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f1fa95bf0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 현황" sheetId="1" r:id="R861cb5a18fc847cc"/>
    <x:sheet xmlns:r="http://schemas.openxmlformats.org/officeDocument/2006/relationships" name="누적 실적" sheetId="2" r:id="R1fda00638deb423b"/>
    <x:sheet xmlns:r="http://schemas.openxmlformats.org/officeDocument/2006/relationships" name="신청 원장" sheetId="3" r:id="Ra14b29581de4441a"/>
    <x:sheet xmlns:r="http://schemas.openxmlformats.org/officeDocument/2006/relationships" name="진행·확인" sheetId="4" r:id="R578101b139094345"/>
    <x:sheet xmlns:r="http://schemas.openxmlformats.org/officeDocument/2006/relationships" name="ORS 비교" sheetId="5" r:id="R5e173aee696f44d8"/>
    <x:sheet xmlns:r="http://schemas.openxmlformats.org/officeDocument/2006/relationships" name="ORS 변경상세" sheetId="6" r:id="R6a63b11cff374ba8"/>
    <x:sheet xmlns:r="http://schemas.openxmlformats.org/officeDocument/2006/relationships" name="자료 품질" sheetId="7" r:id="Rf97a74e67ccc40f1"/>
    <x:sheet xmlns:r="http://schemas.openxmlformats.org/officeDocument/2006/relationships" name="정의·출처" sheetId="8" r:id="R7602f45325c2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334155"/>
      <x:name val="Malgun Gothic"/>
    </x:font>
    <x:font>
      <x:b/>
      <x:sz val="16"/>
      <x:color rgb="FF102A43"/>
      <x:name val="Malgun Gothic"/>
    </x:font>
    <x:font>
      <x:b/>
      <x:sz val="10"/>
      <x:color rgb="FFFFFFFF"/>
      <x:name val="Malgun Gothic"/>
    </x:font>
    <x:font>
      <x:b/>
      <x:sz val="16"/>
      <x:color rgb="FF3559D9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5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f0d2cfe484c2a" /><Relationship Type="http://schemas.openxmlformats.org/officeDocument/2006/relationships/theme" Target="/xl/theme/theme1.xml" Id="R6e8fac88470c486d" /><Relationship Type="http://schemas.openxmlformats.org/officeDocument/2006/relationships/sharedStrings" Target="/xl/sharedStrings.xml" Id="Rb1e85e3a80304898" /><Relationship Type="http://schemas.openxmlformats.org/officeDocument/2006/relationships/worksheet" Target="/xl/worksheets/sheet1.xml" Id="R861cb5a18fc847cc" /><Relationship Type="http://schemas.openxmlformats.org/officeDocument/2006/relationships/worksheet" Target="/xl/worksheets/sheet2.xml" Id="R1fda00638deb423b" /><Relationship Type="http://schemas.openxmlformats.org/officeDocument/2006/relationships/worksheet" Target="/xl/worksheets/sheet3.xml" Id="Ra14b29581de4441a" /><Relationship Type="http://schemas.openxmlformats.org/officeDocument/2006/relationships/worksheet" Target="/xl/worksheets/sheet4.xml" Id="R578101b139094345" /><Relationship Type="http://schemas.openxmlformats.org/officeDocument/2006/relationships/worksheet" Target="/xl/worksheets/sheet5.xml" Id="R5e173aee696f44d8" /><Relationship Type="http://schemas.openxmlformats.org/officeDocument/2006/relationships/worksheet" Target="/xl/worksheets/sheet6.xml" Id="R6a63b11cff374ba8" /><Relationship Type="http://schemas.openxmlformats.org/officeDocument/2006/relationships/worksheet" Target="/xl/worksheets/sheet7.xml" Id="Rf97a74e67ccc40f1" /><Relationship Type="http://schemas.openxmlformats.org/officeDocument/2006/relationships/worksheet" Target="/xl/worksheets/sheet8.xml" Id="R7602f45325c24c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9eda042ff649f7" /><Relationship Type="http://schemas.openxmlformats.org/officeDocument/2006/relationships/chart" Target="/xl/drawings/charts/chart2.xml" Id="R84cc80ee8f3944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4017ff84b8d4c99" /><Relationship Type="http://schemas.openxmlformats.org/officeDocument/2006/relationships/chart" Target="/xl/drawings/charts/chart4.xml" Id="R77a2190497f649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>
                <a:latin typeface="Malgun Gothic"/>
                <a:ea typeface="Malgun Gothic"/>
                <a:cs typeface="Malgun Gothic"/>
              </a:rPr>
              <a:t>미종결 경과 구간 · 원장행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원장행</c:v>
          </c:tx>
          <c:spPr>
            <a:solidFill xmlns:a="http://schemas.openxmlformats.org/drawingml/2006/main">
              <a:srgbClr val="147D86"/>
            </a:solidFill>
          </c:spPr>
          <c:invertIfNegative val="0"/>
          <c:cat>
            <c:strRef>
              <c:f>'종합 현황'!$F$25:$F$29</c:f>
              <c:strCache>
                <c:ptCount val="0"/>
              </c:strCache>
            </c:strRef>
          </c:cat>
          <c:val>
            <c:numRef>
              <c:f>'종합 현황'!$G$25:$G$29</c:f>
              <c:numCache>
                <c:formatCode>#,##0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>
                  <a:latin typeface="Malgun Gothic"/>
                  <a:ea typeface="Malgun Gothic"/>
                  <a:cs typeface="Malgun Gothic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latin typeface="Malgun Gothic"/>
                <a:ea typeface="Malgun Gothic"/>
                <a:cs typeface="Malgun Gothic"/>
              </a:rPr>
              <a:t>업무별 미종결 표시 · 원장행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전 기간 미종결</c:v>
          </c:tx>
          <c:spPr>
            <a:solidFill xmlns:a="http://schemas.openxmlformats.org/drawingml/2006/main">
              <a:srgbClr val="3559D9"/>
            </a:solidFill>
          </c:spPr>
          <c:invertIfNegative val="0"/>
          <c:cat>
            <c:strRef>
              <c:f>'종합 현황'!$A$14:$A$18</c:f>
              <c:strCache>
                <c:ptCount val="0"/>
              </c:strCache>
            </c:strRef>
          </c:cat>
          <c:val>
            <c:numRef>
              <c:f>'종합 현황'!$C$14:$C$18</c:f>
              <c:numCache>
                <c:formatCode>#,##0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>
                  <a:latin typeface="Malgun Gothic"/>
                  <a:ea typeface="Malgun Gothic"/>
                  <a:cs typeface="Malgun Gothic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nextTo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 b="1">
                <a:latin typeface="Malgun Gothic"/>
                <a:ea typeface="Malgun Gothic"/>
                <a:cs typeface="Malgun Gothic"/>
              </a:rPr>
              <a:t>월별 신청 원장행 · 선택연도/전년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 b="1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선택연도</c:v>
          </c:tx>
          <c:spPr>
            <a:solidFill xmlns:a="http://schemas.openxmlformats.org/drawingml/2006/main">
              <a:srgbClr val="147D86"/>
            </a:solidFill>
          </c:spPr>
          <c:invertIfNegative val="0"/>
          <c:cat>
            <c:strRef>
              <c:f>'누적 실적'!$F$27:$F$38</c:f>
              <c:strCache>
                <c:ptCount val="0"/>
              </c:strCache>
            </c:strRef>
          </c:cat>
          <c:val>
            <c:numRef>
              <c:f>'누적 실적'!$G$27:$G$38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전년 같은 월</c:v>
          </c:tx>
          <c:spPr>
            <a:solidFill xmlns:a="http://schemas.openxmlformats.org/drawingml/2006/main">
              <a:srgbClr val="B5C8D6"/>
            </a:solidFill>
          </c:spPr>
          <c:invertIfNegative val="0"/>
          <c:cat>
            <c:strRef>
              <c:f>'누적 실적'!$F$27:$F$38</c:f>
              <c:strCache>
                <c:ptCount val="0"/>
              </c:strCache>
            </c:strRef>
          </c:cat>
          <c:val>
            <c:numRef>
              <c:f>'누적 실적'!$H$27:$H$38</c:f>
              <c:numCache>
                <c:formatCode>#,##0</c:formatCode>
                <c:ptCount val="0"/>
              </c:numCache>
            </c:numRef>
          </c:val>
        </c:ser>
        <c:gapWidth val="95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latin typeface="Malgun Gothic"/>
                <a:ea typeface="Malgun Gothic"/>
                <a:cs typeface="Malgun Gothic"/>
              </a:rPr>
              <a:t>신청연도별 승인·미종결 표시 · 원장행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latin typeface="Malgun Gothic"/>
              <a:ea typeface="Malgun Gothic"/>
              <a:cs typeface="Malgun Gothic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심의승인 표시</c:v>
          </c:tx>
          <c:spPr>
            <a:solidFill xmlns:a="http://schemas.openxmlformats.org/drawingml/2006/main">
              <a:srgbClr val="147D86"/>
            </a:solidFill>
            <a:ln xmlns:a="http://schemas.openxmlformats.org/drawingml/2006/main" w="28575">
              <a:solidFill>
                <a:srgbClr val="147D86"/>
              </a:solidFill>
              <a:prstDash val="solid"/>
            </a:ln>
          </c:spPr>
          <c:marker>
            <c:symbol val="none"/>
          </c:marker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실적'!$C$7:$C$19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미종결 표시</c:v>
          </c:tx>
          <c:spPr>
            <a:solidFill xmlns:a="http://schemas.openxmlformats.org/drawingml/2006/main">
              <a:srgbClr val="D89528"/>
            </a:solidFill>
            <a:ln xmlns:a="http://schemas.openxmlformats.org/drawingml/2006/main" w="28575">
              <a:solidFill>
                <a:srgbClr val="D89528"/>
              </a:solidFill>
              <a:prstDash val="solid"/>
            </a:ln>
          </c:spPr>
          <c:marker>
            <c:symbol val="none"/>
          </c:marker>
          <c:cat>
            <c:strRef>
              <c:f>'누적 실적'!$A$7:$A$19</c:f>
              <c:strCache>
                <c:ptCount val="0"/>
              </c:strCache>
            </c:strRef>
          </c:cat>
          <c:val>
            <c:numRef>
              <c:f>'누적 실적'!$D$7:$D$19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5715">
              <a:solidFill>
                <a:srgbClr val="E7EDF4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spPr>
          <a:ln xmlns:a="http://schemas.openxmlformats.org/drawingml/2006/main" w="5715">
            <a:solidFill>
              <a:srgbClr val="E7EDF4"/>
            </a:solidFill>
            <a:prstDash val="solid"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solidFill>
                  <a:srgbClr val="65758B"/>
                </a:solidFill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9eda042ff649f7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cc80ee8f3944c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017ff84b8d4c99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a2190497f649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Ledger" displayName="SourceLedger" ref="A6:AB3425" headerRowCount="1" totalsRowCount="0" totalsRowShown="0">
  <x:tableColumns count="28">
    <x:tableColumn id="1" name="출처 행 ID"/>
    <x:tableColumn id="2" name="업무"/>
    <x:tableColumn id="3" name="국내외"/>
    <x:tableColumn id="4" name="사업·신청명"/>
    <x:tableColumn id="5" name="관리키 원문"/>
    <x:tableColumn id="6" name="신청일 원문"/>
    <x:tableColumn id="7" name="신청연도"/>
    <x:tableColumn id="8" name="신청월"/>
    <x:tableColumn id="9" name="원본 처리상태"/>
    <x:tableColumn id="10" name="내부 진행상태"/>
    <x:tableColumn id="11" name="종결 구분"/>
    <x:tableColumn id="12" name="담당기관·담당자"/>
    <x:tableColumn id="13" name="보완차수 확인분"/>
    <x:tableColumn id="14" name="신청 후 경과일"/>
    <x:tableColumn id="15" name="현장방문 원문"/>
    <x:tableColumn id="16" name="진행내용·비고"/>
    <x:tableColumn id="17" name="원본 파일"/>
    <x:tableColumn id="18" name="원본 시트"/>
    <x:tableColumn id="19" name="원본 행"/>
    <x:tableColumn id="20" name="가장 이른 배정기록"/>
    <x:tableColumn id="21" name="배정 이력 원문"/>
    <x:tableColumn id="22" name="처리일 원문"/>
    <x:tableColumn id="23" name="데이터 확인 항목"/>
    <x:tableColumn id="24" name="권장 후속 조치"/>
    <x:tableColumn id="25" name="출처 SHA-256"/>
    <x:tableColumn id="26" name="필터 포함"/>
    <x:tableColumn id="27" name="내부 관찰 표시"/>
    <x:tableColumn id="28" name="이력 원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eReview" displayName="ActiveReview" ref="A6:P589" headerRowCount="1" totalsRowCount="0" totalsRowShown="0">
  <x:tableColumns count="16">
    <x:tableColumn id="1" name="업무"/>
    <x:tableColumn id="2" name="신청명"/>
    <x:tableColumn id="3" name="신청일 원문"/>
    <x:tableColumn id="4" name="내부 단계"/>
    <x:tableColumn id="5" name="담당기관·담당자"/>
    <x:tableColumn id="6" name="보완차수"/>
    <x:tableColumn id="7" name="경과일"/>
    <x:tableColumn id="8" name="관찰 표시"/>
    <x:tableColumn id="9" name="현장방문"/>
    <x:tableColumn id="10" name="확인 항목"/>
    <x:tableColumn id="11" name="후속 조치"/>
    <x:tableColumn id="12" name="원본 시트"/>
    <x:tableColumn id="13" name="원본 행"/>
    <x:tableColumn id="14" name="경과 구간"/>
    <x:tableColumn id="15" name="담당 원문 확인"/>
    <x:tableColumn id="16" name="출처 행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SChangeDetail" displayName="ORSChangeDetail" ref="A6:L488" headerRowCount="1" totalsRowCount="0" totalsRowShown="0">
  <x:tableColumns count="12">
    <x:tableColumn id="1" name="비교 ID"/>
    <x:tableColumn id="2" name="업무 코드"/>
    <x:tableColumn id="3" name="범위"/>
    <x:tableColumn id="4" name="비교 상태"/>
    <x:tableColumn id="5" name="복합키 원문"/>
    <x:tableColumn id="6" name="비교 항목"/>
    <x:tableColumn id="7" name="7월 원문"/>
    <x:tableColumn id="8" name="9월 원문"/>
    <x:tableColumn id="9" name="7월 파일"/>
    <x:tableColumn id="10" name="7월 행"/>
    <x:tableColumn id="11" name="9월 파일"/>
    <x:tableColumn id="12" name="9월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a12faef1e6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9613c6107e8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a5440b5881a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f3bea9a11f24c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62a85e1219c4f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종합 현황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 t="str">
        <x:v>현재 미종결은 모든 신청연도 기준 · 누적 통계는 선택연도 기준 · 단위: 원장행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2" t="str">
        <x:v>관리Tool 파일명·기준셀 2026-10-13; ORS 2026-07-31 / 2026-09-21. 처리 상태의 실시간 현황 아님.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업무</x:v>
      </x:c>
      <x:c r="B5" s="9" t="str">
        <x:v>전체</x:v>
      </x:c>
      <x:c r="C5" s="2" t="str">
        <x:v>국내외</x:v>
      </x:c>
      <x:c r="D5" s="9" t="str">
        <x:v>전체</x:v>
      </x:c>
      <x:c r="E5" s="2" t="str">
        <x:v>신청연도</x:v>
      </x:c>
      <x:c r="F5" s="9" t="str">
        <x:v>전체</x:v>
      </x:c>
      <x:c r="G5" s="2" t="str">
        <x:v>내부 관찰일</x:v>
      </x:c>
      <x:c r="H5" s="9" t="n">
        <x:v>30</x:v>
      </x:c>
      <x:c r="I5" s="2" t="str">
        <x:v>일 초과 · 법정기한 아님 (기본 30일)</x:v>
      </x:c>
      <x:c r="J5" s="2"/>
      <x:c r="K5" s="2"/>
      <x:c r="L5" s="2"/>
      <x:c r="M5" s="2"/>
      <x:c r="N5" s="2"/>
      <x:c r="O5" s="2"/>
      <x:c r="P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0" customHeight="1">
      <x:c r="A8" s="6" t="str">
        <x:v>선택연도 원장행</x:v>
      </x:c>
      <x:c r="B8" s="6" t="str">
        <x:v>전 기간 미종결 표시</x:v>
      </x:c>
      <x:c r="C8" s="6" t="str">
        <x:v>전 기간 상태 확인 필요</x:v>
      </x:c>
      <x:c r="D8" s="6" t="str">
        <x:v>내부 관찰 대상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5" customHeight="1">
      <x:c r="A9" s="11" t="n">
        <x:f>SUMIFS('신청 원장'!$Z$7:$Z$3425,'신청 원장'!$B$7:$B$3425,IF($B$5="전체","*",$B$5),'신청 원장'!$C$7:$C$3425,IF($D$5="전체","*",$D$5),'신청 원장'!$G$7:$G$3425,IF($F$5="전체","*",$F$5))</x:f>
        <x:v>3419</x:v>
      </x:c>
      <x:c r="B9" s="11" t="n">
        <x:f>SUMIFS('신청 원장'!$Z$7:$Z$3425,'신청 원장'!$B$7:$B$3425,IF($B$5="전체","*",$B$5),'신청 원장'!$C$7:$C$3425,IF($D$5="전체","*",$D$5),'신청 원장'!$K$7:$K$3425,"미종결 표시")</x:f>
        <x:v>535</x:v>
      </x:c>
      <x:c r="C9" s="11" t="n">
        <x:f>SUMIFS('신청 원장'!$Z$7:$Z$3425,'신청 원장'!$B$7:$B$3425,IF($B$5="전체","*",$B$5),'신청 원장'!$C$7:$C$3425,IF($D$5="전체","*",$D$5),'신청 원장'!$K$7:$K$3425,"상태 확인 필요")</x:f>
        <x:v>48</x:v>
      </x:c>
      <x:c r="D9" s="11" t="n">
        <x:f>SUMIFS('신청 원장'!$Z$7:$Z$3425,'신청 원장'!$B$7:$B$3425,IF($B$5="전체","*",$B$5),'신청 원장'!$C$7:$C$3425,IF($D$5="전체","*",$D$5),'신청 원장'!$AA$7:$AA$3425,"내부 관찰 대상")</x:f>
        <x:v>507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5" customHeight="1">
      <x:c r="A11" s="2" t="str">
        <x:v>고유 사업·신청 회차 수: 식별체계 확정 전 산출 불가. 승인율·순수 검토기간도 산출하지 않습니다.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0" customHeight="1">
      <x:c r="A13" s="6" t="str">
        <x:v>업무</x:v>
      </x:c>
      <x:c r="B13" s="6" t="str">
        <x:v>선택연도 원장행</x:v>
      </x:c>
      <x:c r="C13" s="6" t="str">
        <x:v>전 기간 미종결</x:v>
      </x:c>
      <x:c r="D13" s="6" t="str">
        <x:v>전 기간 상태 확인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5" customHeight="1">
      <x:c r="A14" s="2" t="str">
        <x:v>방법론 신청</x:v>
      </x:c>
      <x:c r="B14" s="2" t="n">
        <x:f>SUMIFS('신청 원장'!$Z$7:$Z$3425,'신청 원장'!$B$7:$B$3425,IF($B$5="전체","*",$B$5),'신청 원장'!$C$7:$C$3425,IF($D$5="전체","*",$D$5),'신청 원장'!$G$7:$G$3425,IF($F$5="전체","*",$F$5),'신청 원장'!$B$7:$B$3425,A14)</x:f>
        <x:v>99</x:v>
      </x:c>
      <x:c r="C14" s="2" t="n">
        <x:f>SUMIFS('신청 원장'!$Z$7:$Z$3425,'신청 원장'!$B$7:$B$3425,IF($B$5="전체","*",$B$5),'신청 원장'!$C$7:$C$3425,IF($D$5="전체","*",$D$5),'신청 원장'!$B$7:$B$3425,A14,'신청 원장'!$K$7:$K$3425,"미종결 표시")</x:f>
        <x:v>28</x:v>
      </x:c>
      <x:c r="D14" s="2" t="n">
        <x:f>SUMIFS('신청 원장'!$Z$7:$Z$3425,'신청 원장'!$B$7:$B$3425,IF($B$5="전체","*",$B$5),'신청 원장'!$C$7:$C$3425,IF($D$5="전체","*",$D$5),'신청 원장'!$B$7:$B$3425,A14,'신청 원장'!$K$7:$K$3425,"상태 확인 필요")</x:f>
        <x:v>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5" customHeight="1">
      <x:c r="A15" s="2" t="str">
        <x:v>사업 평가</x:v>
      </x:c>
      <x:c r="B15" s="2" t="n">
        <x:f>SUMIFS('신청 원장'!$Z$7:$Z$3425,'신청 원장'!$B$7:$B$3425,IF($B$5="전체","*",$B$5),'신청 원장'!$C$7:$C$3425,IF($D$5="전체","*",$D$5),'신청 원장'!$G$7:$G$3425,IF($F$5="전체","*",$F$5),'신청 원장'!$B$7:$B$3425,A15)</x:f>
        <x:v>1584</x:v>
      </x:c>
      <x:c r="C15" s="2" t="n">
        <x:f>SUMIFS('신청 원장'!$Z$7:$Z$3425,'신청 원장'!$B$7:$B$3425,IF($B$5="전체","*",$B$5),'신청 원장'!$C$7:$C$3425,IF($D$5="전체","*",$D$5),'신청 원장'!$B$7:$B$3425,A15,'신청 원장'!$K$7:$K$3425,"미종결 표시")</x:f>
        <x:v>295</x:v>
      </x:c>
      <x:c r="D15" s="2" t="n">
        <x:f>SUMIFS('신청 원장'!$Z$7:$Z$3425,'신청 원장'!$B$7:$B$3425,IF($B$5="전체","*",$B$5),'신청 원장'!$C$7:$C$3425,IF($D$5="전체","*",$D$5),'신청 원장'!$B$7:$B$3425,A15,'신청 원장'!$K$7:$K$3425,"상태 확인 필요")</x:f>
        <x:v>1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5" customHeight="1">
      <x:c r="A16" s="2" t="str">
        <x:v>감축량 인증</x:v>
      </x:c>
      <x:c r="B16" s="2" t="n">
        <x:f>SUMIFS('신청 원장'!$Z$7:$Z$3425,'신청 원장'!$B$7:$B$3425,IF($B$5="전체","*",$B$5),'신청 원장'!$C$7:$C$3425,IF($D$5="전체","*",$D$5),'신청 원장'!$G$7:$G$3425,IF($F$5="전체","*",$F$5),'신청 원장'!$B$7:$B$3425,A16)</x:f>
        <x:v>1405</x:v>
      </x:c>
      <x:c r="C16" s="2" t="n">
        <x:f>SUMIFS('신청 원장'!$Z$7:$Z$3425,'신청 원장'!$B$7:$B$3425,IF($B$5="전체","*",$B$5),'신청 원장'!$C$7:$C$3425,IF($D$5="전체","*",$D$5),'신청 원장'!$B$7:$B$3425,A16,'신청 원장'!$K$7:$K$3425,"미종결 표시")</x:f>
        <x:v>35</x:v>
      </x:c>
      <x:c r="D16" s="2" t="n">
        <x:f>SUMIFS('신청 원장'!$Z$7:$Z$3425,'신청 원장'!$B$7:$B$3425,IF($B$5="전체","*",$B$5),'신청 원장'!$C$7:$C$3425,IF($D$5="전체","*",$D$5),'신청 원장'!$B$7:$B$3425,A16,'신청 원장'!$K$7:$K$3425,"상태 확인 필요")</x:f>
        <x:v>3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5" customHeight="1">
      <x:c r="A17" s="2" t="str">
        <x:v>사업 비공개 신청</x:v>
      </x:c>
      <x:c r="B17" s="2" t="n">
        <x:f>SUMIFS('신청 원장'!$Z$7:$Z$3425,'신청 원장'!$B$7:$B$3425,IF($B$5="전체","*",$B$5),'신청 원장'!$C$7:$C$3425,IF($D$5="전체","*",$D$5),'신청 원장'!$G$7:$G$3425,IF($F$5="전체","*",$F$5),'신청 원장'!$B$7:$B$3425,A17)</x:f>
        <x:v>130</x:v>
      </x:c>
      <x:c r="C17" s="2" t="n">
        <x:f>SUMIFS('신청 원장'!$Z$7:$Z$3425,'신청 원장'!$B$7:$B$3425,IF($B$5="전체","*",$B$5),'신청 원장'!$C$7:$C$3425,IF($D$5="전체","*",$D$5),'신청 원장'!$B$7:$B$3425,A17,'신청 원장'!$K$7:$K$3425,"미종결 표시")</x:f>
        <x:v>57</x:v>
      </x:c>
      <x:c r="D17" s="2" t="n">
        <x:f>SUMIFS('신청 원장'!$Z$7:$Z$3425,'신청 원장'!$B$7:$B$3425,IF($B$5="전체","*",$B$5),'신청 원장'!$C$7:$C$3425,IF($D$5="전체","*",$D$5),'신청 원장'!$B$7:$B$3425,A17,'신청 원장'!$K$7:$K$3425,"상태 확인 필요")</x:f>
        <x:v>38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5" customHeight="1">
      <x:c r="A18" s="2" t="str">
        <x:v>인증 비공개 신청</x:v>
      </x:c>
      <x:c r="B18" s="2" t="n">
        <x:f>SUMIFS('신청 원장'!$Z$7:$Z$3425,'신청 원장'!$B$7:$B$3425,IF($B$5="전체","*",$B$5),'신청 원장'!$C$7:$C$3425,IF($D$5="전체","*",$D$5),'신청 원장'!$G$7:$G$3425,IF($F$5="전체","*",$F$5),'신청 원장'!$B$7:$B$3425,A18)</x:f>
        <x:v>201</x:v>
      </x:c>
      <x:c r="C18" s="2" t="n">
        <x:f>SUMIFS('신청 원장'!$Z$7:$Z$3425,'신청 원장'!$B$7:$B$3425,IF($B$5="전체","*",$B$5),'신청 원장'!$C$7:$C$3425,IF($D$5="전체","*",$D$5),'신청 원장'!$B$7:$B$3425,A18,'신청 원장'!$K$7:$K$3425,"미종결 표시")</x:f>
        <x:v>120</x:v>
      </x:c>
      <x:c r="D18" s="2" t="n">
        <x:f>SUMIFS('신청 원장'!$Z$7:$Z$3425,'신청 원장'!$B$7:$B$3425,IF($B$5="전체","*",$B$5),'신청 원장'!$C$7:$C$3425,IF($D$5="전체","*",$D$5),'신청 원장'!$B$7:$B$3425,A18,'신청 원장'!$K$7:$K$3425,"상태 확인 필요")</x:f>
        <x:v>6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5" customHeight="1">
      <x:c r="A21" s="2" t="str">
        <x:v>선택연도 신청일 미확보</x:v>
      </x:c>
      <x:c r="B21" s="2" t="n">
        <x:f>SUMIFS('신청 원장'!$Z$7:$Z$3425,'신청 원장'!$B$7:$B$3425,IF($B$5="전체","*",$B$5),'신청 원장'!$C$7:$C$3425,IF($D$5="전체","*",$D$5),'신청 원장'!$G$7:$G$3425,IF($F$5="전체","*",$F$5),'신청 원장'!$G$7:$G$3425,"미확보")</x:f>
        <x:v>541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5" customHeight="1">
      <x:c r="A22" s="2" t="str">
        <x:v>전 기간 내부 관찰</x:v>
      </x:c>
      <x:c r="B22" s="2" t="n">
        <x:f>IF(H5="","기준 미설정",SUMIFS('신청 원장'!$Z$7:$Z$3425,'신청 원장'!$B$7:$B$3425,IF($B$5="전체","*",$B$5),'신청 원장'!$C$7:$C$3425,IF($D$5="전체","*",$D$5),'신청 원장'!$AA$7:$AA$3425,"내부 관찰 대상"))</x:f>
        <x:v>507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5" customHeight="1">
      <x:c r="A23" s="2"/>
      <x:c r="B23" s="2"/>
      <x:c r="C23" s="2"/>
      <x:c r="D23" s="2"/>
      <x:c r="E23" s="2"/>
      <x:c r="F23" s="2" t="str">
        <x:v>미종결 원장행의 신청 후 경과 구간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0" customHeight="1">
      <x:c r="A24" s="2" t="str">
        <x:v>내부 관찰: 2026-10-15 기준, 신청 후 달력일이 입력 일수를 초과한 미종결 행. 30일이면 31일째부터. 법정·계약 지연 아님.</x:v>
      </x:c>
      <x:c r="B24" s="2"/>
      <x:c r="C24" s="2"/>
      <x:c r="D24" s="2"/>
      <x:c r="E24" s="2"/>
      <x:c r="F24" s="6" t="str">
        <x:v>경과 구간</x:v>
      </x:c>
      <x:c r="G24" s="6" t="str">
        <x:v>원장행</x:v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5" customHeight="1">
      <x:c r="A25" s="2"/>
      <x:c r="B25" s="2"/>
      <x:c r="C25" s="2"/>
      <x:c r="D25" s="2"/>
      <x:c r="E25" s="2"/>
      <x:c r="F25" s="2" t="str">
        <x:v>0~30일</x:v>
      </x:c>
      <x:c r="G25" s="2" t="n">
        <x:f>SUMIFS('신청 원장'!$Z$7:$Z$3425,'신청 원장'!$B$7:$B$3425,IF($B$5="전체","*",$B$5),'신청 원장'!$C$7:$C$3425,IF($D$5="전체","*",$D$5),'신청 원장'!$K$7:$K$3425,"미종결 표시",'신청 원장'!$N$7:$N$3425,"&lt;&gt;",'신청 원장'!$N$7:$N$3425,"&lt;=30")</x:f>
        <x:v>0</x:v>
      </x:c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5" customHeight="1">
      <x:c r="A26" s="2" t="str">
        <x:v>진행·확인 시트에서 미종결·불명확 행을 조회하고 원본 시트·행으로 근거를 찾습니다.</x:v>
      </x:c>
      <x:c r="B26" s="2"/>
      <x:c r="C26" s="2"/>
      <x:c r="D26" s="2"/>
      <x:c r="E26" s="2"/>
      <x:c r="F26" s="2" t="str">
        <x:v>31~90일</x:v>
      </x:c>
      <x:c r="G26" s="2" t="n">
        <x:f>SUMIFS('신청 원장'!$Z$7:$Z$3425,'신청 원장'!$B$7:$B$3425,IF($B$5="전체","*",$B$5),'신청 원장'!$C$7:$C$3425,IF($D$5="전체","*",$D$5),'신청 원장'!$K$7:$K$3425,"미종결 표시",'신청 원장'!$N$7:$N$3425,"&gt;30",'신청 원장'!$N$7:$N$3425,"&lt;=90")</x:f>
        <x:v>5</x:v>
      </x:c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5" customHeight="1">
      <x:c r="A27" s="2"/>
      <x:c r="B27" s="2"/>
      <x:c r="C27" s="2"/>
      <x:c r="D27" s="2"/>
      <x:c r="E27" s="2"/>
      <x:c r="F27" s="2" t="str">
        <x:v>91~365일</x:v>
      </x:c>
      <x:c r="G27" s="2" t="n">
        <x:f>SUMIFS('신청 원장'!$Z$7:$Z$3425,'신청 원장'!$B$7:$B$3425,IF($B$5="전체","*",$B$5),'신청 원장'!$C$7:$C$3425,IF($D$5="전체","*",$D$5),'신청 원장'!$K$7:$K$3425,"미종결 표시",'신청 원장'!$N$7:$N$3425,"&gt;90",'신청 원장'!$N$7:$N$3425,"&lt;=365")</x:f>
        <x:v>84</x:v>
      </x:c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5" customHeight="1">
      <x:c r="A28" s="2"/>
      <x:c r="B28" s="2"/>
      <x:c r="C28" s="2"/>
      <x:c r="D28" s="2"/>
      <x:c r="E28" s="2"/>
      <x:c r="F28" s="2" t="str">
        <x:v>366일 이상</x:v>
      </x:c>
      <x:c r="G28" s="2" t="n">
        <x:f>SUMIFS('신청 원장'!$Z$7:$Z$3425,'신청 원장'!$B$7:$B$3425,IF($B$5="전체","*",$B$5),'신청 원장'!$C$7:$C$3425,IF($D$5="전체","*",$D$5),'신청 원장'!$K$7:$K$3425,"미종결 표시",'신청 원장'!$N$7:$N$3425,"&gt;365")</x:f>
        <x:v>418</x:v>
      </x:c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5" customHeight="1">
      <x:c r="A29" s="2"/>
      <x:c r="B29" s="2"/>
      <x:c r="C29" s="2"/>
      <x:c r="D29" s="2"/>
      <x:c r="E29" s="2"/>
      <x:c r="F29" s="2" t="str">
        <x:v>일자 확인 필요</x:v>
      </x:c>
      <x:c r="G29" s="2" t="n">
        <x:f>B9-SUM(G25:G28)</x:f>
        <x:v>28</x:v>
      </x:c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5" customHeight="1">
      <x:c r="A31" s="2"/>
      <x:c r="B31" s="2"/>
      <x:c r="C31" s="2"/>
      <x:c r="D31" s="2"/>
      <x:c r="E31" s="2"/>
      <x:c r="F31" s="2" t="str">
        <x:v>구간은 신청 후 달력일이며 단계별 체류·법정/계약 지연 판정이 아닙니다.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</x:sheetData>
  <x:dataValidations count="4">
    <x:dataValidation type="list" sqref="B5">
      <x:formula1>"전체,방법론 신청,사업 평가,감축량 인증,사업 비공개 신청,인증 비공개 신청"</x:formula1>
    </x:dataValidation>
    <x:dataValidation type="list" sqref="D5">
      <x:formula1>"전체,국내,국외,공통"</x:formula1>
    </x:dataValidation>
    <x:dataValidation type="list" sqref="F5">
      <x:formula1>"전체,미확보,2014,2015,2016,2018,2019,2020,2021,2022,2023,2024,2025,2026,2017"</x:formula1>
    </x:dataValidation>
    <x:dataValidation type="whole" operator="between" sqref="H5">
      <x:formula1>1</x:formula1>
      <x:formula2>10000</x:formula2>
    </x:dataValidation>
  </x:dataValidations>
  <x:pageMargins left="0.7" right="0.7" top="0.75" bottom="0.75" header="0.3" footer="0.3"/>
  <x:drawing xmlns:r="http://schemas.openxmlformats.org/officeDocument/2006/relationships" r:id="R2ba12faef1e64e9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누적 실적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신청연도별 현재 내부 진행상태 · 실제 승인연도별 실적은 승인 사건일·회차 확인 후 산출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종합 현황의 업무·국내외 조건을 적용합니다. 신청연도 조건은 이 시트에 적용하지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신청연도</x:v>
      </x:c>
      <x:c r="B6" s="6" t="str">
        <x:v>원장행</x:v>
      </x:c>
      <x:c r="C6" s="6" t="str">
        <x:v>심의승인 표시</x:v>
      </x:c>
      <x:c r="D6" s="6" t="str">
        <x:v>미종결 표시</x:v>
      </x:c>
      <x:c r="E6" s="2"/>
      <x:c r="F6" s="2"/>
      <x:c r="G6" s="2"/>
      <x:c r="H6" s="2"/>
      <x:c r="I6" s="2"/>
      <x:c r="J6" s="2"/>
      <x:c r="K6" s="2"/>
      <x:c r="L6" s="2"/>
    </x:row>
    <x:row r="7" ht="25" customHeight="1">
      <x:c r="A7" s="2" t="str">
        <x:v>2014</x:v>
      </x:c>
      <x:c r="B7" s="2" t="n">
        <x:f>SUMIFS('신청 원장'!$Z$7:$Z$3425,'신청 원장'!$B$7:$B$3425,IF('종합 현황'!$B$5="전체","*",'종합 현황'!$B$5),'신청 원장'!$C$7:$C$3425,IF('종합 현황'!$D$5="전체","*",'종합 현황'!$D$5),'신청 원장'!$G$7:$G$3425,A7)</x:f>
        <x:v>5</x:v>
      </x:c>
      <x:c r="C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원장'!$J$7:$J$3425,"심의승인")</x:f>
        <x:v>3</x:v>
      </x:c>
      <x:c r="D7" s="2" t="n">
        <x:f>SUMIFS('신청 원장'!$Z$7:$Z$3425,'신청 원장'!$B$7:$B$3425,IF('종합 현황'!$B$5="전체","*",'종합 현황'!$B$5),'신청 원장'!$C$7:$C$3425,IF('종합 현황'!$D$5="전체","*",'종합 현황'!$D$5),'신청 원장'!$G$7:$G$3425,A7,'신청 원장'!$K$7:$K$3425,"미종결 표시")</x:f>
        <x:v>0</x:v>
      </x:c>
      <x:c r="E7" s="2"/>
      <x:c r="F7" s="2"/>
      <x:c r="G7" s="2"/>
      <x:c r="H7" s="2"/>
      <x:c r="I7" s="2"/>
      <x:c r="J7" s="2"/>
      <x:c r="K7" s="2"/>
      <x:c r="L7" s="2"/>
    </x:row>
    <x:row r="8" ht="25" customHeight="1">
      <x:c r="A8" s="2" t="str">
        <x:v>2015</x:v>
      </x:c>
      <x:c r="B8" s="2" t="n">
        <x:f>SUMIFS('신청 원장'!$Z$7:$Z$3425,'신청 원장'!$B$7:$B$3425,IF('종합 현황'!$B$5="전체","*",'종합 현황'!$B$5),'신청 원장'!$C$7:$C$3425,IF('종합 현황'!$D$5="전체","*",'종합 현황'!$D$5),'신청 원장'!$G$7:$G$3425,A8)</x:f>
        <x:v>64</x:v>
      </x:c>
      <x:c r="C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원장'!$J$7:$J$3425,"심의승인")</x:f>
        <x:v>49</x:v>
      </x:c>
      <x:c r="D8" s="2" t="n">
        <x:f>SUMIFS('신청 원장'!$Z$7:$Z$3425,'신청 원장'!$B$7:$B$3425,IF('종합 현황'!$B$5="전체","*",'종합 현황'!$B$5),'신청 원장'!$C$7:$C$3425,IF('종합 현황'!$D$5="전체","*",'종합 현황'!$D$5),'신청 원장'!$G$7:$G$3425,A8,'신청 원장'!$K$7:$K$3425,"미종결 표시")</x:f>
        <x:v>0</x:v>
      </x:c>
      <x:c r="E8" s="2"/>
      <x:c r="F8" s="2"/>
      <x:c r="G8" s="2"/>
      <x:c r="H8" s="2"/>
      <x:c r="I8" s="2"/>
      <x:c r="J8" s="2"/>
      <x:c r="K8" s="2"/>
      <x:c r="L8" s="2"/>
    </x:row>
    <x:row r="9" ht="25" customHeight="1">
      <x:c r="A9" s="2" t="str">
        <x:v>2016</x:v>
      </x:c>
      <x:c r="B9" s="2" t="n">
        <x:f>SUMIFS('신청 원장'!$Z$7:$Z$3425,'신청 원장'!$B$7:$B$3425,IF('종합 현황'!$B$5="전체","*",'종합 현황'!$B$5),'신청 원장'!$C$7:$C$3425,IF('종합 현황'!$D$5="전체","*",'종합 현황'!$D$5),'신청 원장'!$G$7:$G$3425,A9)</x:f>
        <x:v>20</x:v>
      </x:c>
      <x:c r="C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원장'!$J$7:$J$3425,"심의승인")</x:f>
        <x:v>11</x:v>
      </x:c>
      <x:c r="D9" s="2" t="n">
        <x:f>SUMIFS('신청 원장'!$Z$7:$Z$3425,'신청 원장'!$B$7:$B$3425,IF('종합 현황'!$B$5="전체","*",'종합 현황'!$B$5),'신청 원장'!$C$7:$C$3425,IF('종합 현황'!$D$5="전체","*",'종합 현황'!$D$5),'신청 원장'!$G$7:$G$3425,A9,'신청 원장'!$K$7:$K$3425,"미종결 표시")</x:f>
        <x:v>0</x:v>
      </x:c>
      <x:c r="E9" s="2"/>
      <x:c r="F9" s="2"/>
      <x:c r="G9" s="2"/>
      <x:c r="H9" s="2"/>
      <x:c r="I9" s="2"/>
      <x:c r="J9" s="2"/>
      <x:c r="K9" s="2"/>
      <x:c r="L9" s="2"/>
    </x:row>
    <x:row r="10" ht="25" customHeight="1">
      <x:c r="A10" s="2" t="str">
        <x:v>2017</x:v>
      </x:c>
      <x:c r="B10" s="2" t="n">
        <x:f>SUMIFS('신청 원장'!$Z$7:$Z$3425,'신청 원장'!$B$7:$B$3425,IF('종합 현황'!$B$5="전체","*",'종합 현황'!$B$5),'신청 원장'!$C$7:$C$3425,IF('종합 현황'!$D$5="전체","*",'종합 현황'!$D$5),'신청 원장'!$G$7:$G$3425,A10)</x:f>
        <x:v>255</x:v>
      </x:c>
      <x:c r="C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원장'!$J$7:$J$3425,"심의승인")</x:f>
        <x:v>169</x:v>
      </x:c>
      <x:c r="D10" s="2" t="n">
        <x:f>SUMIFS('신청 원장'!$Z$7:$Z$3425,'신청 원장'!$B$7:$B$3425,IF('종합 현황'!$B$5="전체","*",'종합 현황'!$B$5),'신청 원장'!$C$7:$C$3425,IF('종합 현황'!$D$5="전체","*",'종합 현황'!$D$5),'신청 원장'!$G$7:$G$3425,A10,'신청 원장'!$K$7:$K$3425,"미종결 표시")</x:f>
        <x:v>16</x:v>
      </x:c>
      <x:c r="E10" s="2"/>
      <x:c r="F10" s="2"/>
      <x:c r="G10" s="2"/>
      <x:c r="H10" s="2"/>
      <x:c r="I10" s="2"/>
      <x:c r="J10" s="2"/>
      <x:c r="K10" s="2"/>
      <x:c r="L10" s="2"/>
    </x:row>
    <x:row r="11" ht="25" customHeight="1">
      <x:c r="A11" s="2" t="str">
        <x:v>2018</x:v>
      </x:c>
      <x:c r="B11" s="2" t="n">
        <x:f>SUMIFS('신청 원장'!$Z$7:$Z$3425,'신청 원장'!$B$7:$B$3425,IF('종합 현황'!$B$5="전체","*",'종합 현황'!$B$5),'신청 원장'!$C$7:$C$3425,IF('종합 현황'!$D$5="전체","*",'종합 현황'!$D$5),'신청 원장'!$G$7:$G$3425,A11)</x:f>
        <x:v>164</x:v>
      </x:c>
      <x:c r="C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원장'!$J$7:$J$3425,"심의승인")</x:f>
        <x:v>121</x:v>
      </x:c>
      <x:c r="D11" s="2" t="n">
        <x:f>SUMIFS('신청 원장'!$Z$7:$Z$3425,'신청 원장'!$B$7:$B$3425,IF('종합 현황'!$B$5="전체","*",'종합 현황'!$B$5),'신청 원장'!$C$7:$C$3425,IF('종합 현황'!$D$5="전체","*",'종합 현황'!$D$5),'신청 원장'!$G$7:$G$3425,A11,'신청 원장'!$K$7:$K$3425,"미종결 표시")</x:f>
        <x:v>5</x:v>
      </x:c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 t="str">
        <x:v>2019</x:v>
      </x:c>
      <x:c r="B12" s="2" t="n">
        <x:f>SUMIFS('신청 원장'!$Z$7:$Z$3425,'신청 원장'!$B$7:$B$3425,IF('종합 현황'!$B$5="전체","*",'종합 현황'!$B$5),'신청 원장'!$C$7:$C$3425,IF('종합 현황'!$D$5="전체","*",'종합 현황'!$D$5),'신청 원장'!$G$7:$G$3425,A12)</x:f>
        <x:v>234</x:v>
      </x:c>
      <x:c r="C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원장'!$J$7:$J$3425,"심의승인")</x:f>
        <x:v>61</x:v>
      </x:c>
      <x:c r="D12" s="2" t="n">
        <x:f>SUMIFS('신청 원장'!$Z$7:$Z$3425,'신청 원장'!$B$7:$B$3425,IF('종합 현황'!$B$5="전체","*",'종합 현황'!$B$5),'신청 원장'!$C$7:$C$3425,IF('종합 현황'!$D$5="전체","*",'종합 현황'!$D$5),'신청 원장'!$G$7:$G$3425,A12,'신청 원장'!$K$7:$K$3425,"미종결 표시")</x:f>
        <x:v>98</x:v>
      </x:c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 t="str">
        <x:v>2020</x:v>
      </x:c>
      <x:c r="B13" s="2" t="n">
        <x:f>SUMIFS('신청 원장'!$Z$7:$Z$3425,'신청 원장'!$B$7:$B$3425,IF('종합 현황'!$B$5="전체","*",'종합 현황'!$B$5),'신청 원장'!$C$7:$C$3425,IF('종합 현황'!$D$5="전체","*",'종합 현황'!$D$5),'신청 원장'!$G$7:$G$3425,A13)</x:f>
        <x:v>488</x:v>
      </x:c>
      <x:c r="C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원장'!$J$7:$J$3425,"심의승인")</x:f>
        <x:v>213</x:v>
      </x:c>
      <x:c r="D13" s="2" t="n">
        <x:f>SUMIFS('신청 원장'!$Z$7:$Z$3425,'신청 원장'!$B$7:$B$3425,IF('종합 현황'!$B$5="전체","*",'종합 현황'!$B$5),'신청 원장'!$C$7:$C$3425,IF('종합 현황'!$D$5="전체","*",'종합 현황'!$D$5),'신청 원장'!$G$7:$G$3425,A13,'신청 원장'!$K$7:$K$3425,"미종결 표시")</x:f>
        <x:v>77</x:v>
      </x:c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 t="str">
        <x:v>2021</x:v>
      </x:c>
      <x:c r="B14" s="2" t="n">
        <x:f>SUMIFS('신청 원장'!$Z$7:$Z$3425,'신청 원장'!$B$7:$B$3425,IF('종합 현황'!$B$5="전체","*",'종합 현황'!$B$5),'신청 원장'!$C$7:$C$3425,IF('종합 현황'!$D$5="전체","*",'종합 현황'!$D$5),'신청 원장'!$G$7:$G$3425,A14)</x:f>
        <x:v>527</x:v>
      </x:c>
      <x:c r="C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원장'!$J$7:$J$3425,"심의승인")</x:f>
        <x:v>367</x:v>
      </x:c>
      <x:c r="D14" s="2" t="n">
        <x:f>SUMIFS('신청 원장'!$Z$7:$Z$3425,'신청 원장'!$B$7:$B$3425,IF('종합 현황'!$B$5="전체","*",'종합 현황'!$B$5),'신청 원장'!$C$7:$C$3425,IF('종합 현황'!$D$5="전체","*",'종합 현황'!$D$5),'신청 원장'!$G$7:$G$3425,A14,'신청 원장'!$K$7:$K$3425,"미종결 표시")</x:f>
        <x:v>37</x:v>
      </x:c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2022</x:v>
      </x:c>
      <x:c r="B15" s="2" t="n">
        <x:f>SUMIFS('신청 원장'!$Z$7:$Z$3425,'신청 원장'!$B$7:$B$3425,IF('종합 현황'!$B$5="전체","*",'종합 현황'!$B$5),'신청 원장'!$C$7:$C$3425,IF('종합 현황'!$D$5="전체","*",'종합 현황'!$D$5),'신청 원장'!$G$7:$G$3425,A15)</x:f>
        <x:v>673</x:v>
      </x:c>
      <x:c r="C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원장'!$J$7:$J$3425,"심의승인")</x:f>
        <x:v>480</x:v>
      </x:c>
      <x:c r="D15" s="2" t="n">
        <x:f>SUMIFS('신청 원장'!$Z$7:$Z$3425,'신청 원장'!$B$7:$B$3425,IF('종합 현황'!$B$5="전체","*",'종합 현황'!$B$5),'신청 원장'!$C$7:$C$3425,IF('종합 현황'!$D$5="전체","*",'종합 현황'!$D$5),'신청 원장'!$G$7:$G$3425,A15,'신청 원장'!$K$7:$K$3425,"미종결 표시")</x:f>
        <x:v>62</x:v>
      </x:c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2023</x:v>
      </x:c>
      <x:c r="B16" s="2" t="n">
        <x:f>SUMIFS('신청 원장'!$Z$7:$Z$3425,'신청 원장'!$B$7:$B$3425,IF('종합 현황'!$B$5="전체","*",'종합 현황'!$B$5),'신청 원장'!$C$7:$C$3425,IF('종합 현황'!$D$5="전체","*",'종합 현황'!$D$5),'신청 원장'!$G$7:$G$3425,A16)</x:f>
        <x:v>134</x:v>
      </x:c>
      <x:c r="C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원장'!$J$7:$J$3425,"심의승인")</x:f>
        <x:v>53</x:v>
      </x:c>
      <x:c r="D16" s="2" t="n">
        <x:f>SUMIFS('신청 원장'!$Z$7:$Z$3425,'신청 원장'!$B$7:$B$3425,IF('종합 현황'!$B$5="전체","*",'종합 현황'!$B$5),'신청 원장'!$C$7:$C$3425,IF('종합 현황'!$D$5="전체","*",'종합 현황'!$D$5),'신청 원장'!$G$7:$G$3425,A16,'신청 원장'!$K$7:$K$3425,"미종결 표시")</x:f>
        <x:v>71</x:v>
      </x:c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2024</x:v>
      </x:c>
      <x:c r="B17" s="2" t="n">
        <x:f>SUMIFS('신청 원장'!$Z$7:$Z$3425,'신청 원장'!$B$7:$B$3425,IF('종합 현황'!$B$5="전체","*",'종합 현황'!$B$5),'신청 원장'!$C$7:$C$3425,IF('종합 현황'!$D$5="전체","*",'종합 현황'!$D$5),'신청 원장'!$G$7:$G$3425,A17)</x:f>
        <x:v>84</x:v>
      </x:c>
      <x:c r="C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원장'!$J$7:$J$3425,"심의승인")</x:f>
        <x:v>38</x:v>
      </x:c>
      <x:c r="D17" s="2" t="n">
        <x:f>SUMIFS('신청 원장'!$Z$7:$Z$3425,'신청 원장'!$B$7:$B$3425,IF('종합 현황'!$B$5="전체","*",'종합 현황'!$B$5),'신청 원장'!$C$7:$C$3425,IF('종합 현황'!$D$5="전체","*",'종합 현황'!$D$5),'신청 원장'!$G$7:$G$3425,A17,'신청 원장'!$K$7:$K$3425,"미종결 표시")</x:f>
        <x:v>40</x:v>
      </x:c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2025</x:v>
      </x:c>
      <x:c r="B18" s="2" t="n">
        <x:f>SUMIFS('신청 원장'!$Z$7:$Z$3425,'신청 원장'!$B$7:$B$3425,IF('종합 현황'!$B$5="전체","*",'종합 현황'!$B$5),'신청 원장'!$C$7:$C$3425,IF('종합 현황'!$D$5="전체","*",'종합 현황'!$D$5),'신청 원장'!$G$7:$G$3425,A18)</x:f>
        <x:v>177</x:v>
      </x:c>
      <x:c r="C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원장'!$J$7:$J$3425,"심의승인")</x:f>
        <x:v>70</x:v>
      </x:c>
      <x:c r="D18" s="2" t="n">
        <x:f>SUMIFS('신청 원장'!$Z$7:$Z$3425,'신청 원장'!$B$7:$B$3425,IF('종합 현황'!$B$5="전체","*",'종합 현황'!$B$5),'신청 원장'!$C$7:$C$3425,IF('종합 현황'!$D$5="전체","*",'종합 현황'!$D$5),'신청 원장'!$G$7:$G$3425,A18,'신청 원장'!$K$7:$K$3425,"미종결 표시")</x:f>
        <x:v>80</x:v>
      </x:c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 t="str">
        <x:v>2026</x:v>
      </x:c>
      <x:c r="B19" s="2" t="n">
        <x:f>SUMIFS('신청 원장'!$Z$7:$Z$3425,'신청 원장'!$B$7:$B$3425,IF('종합 현황'!$B$5="전체","*",'종합 현황'!$B$5),'신청 원장'!$C$7:$C$3425,IF('종합 현황'!$D$5="전체","*",'종합 현황'!$D$5),'신청 원장'!$G$7:$G$3425,A19)</x:f>
        <x:v>53</x:v>
      </x:c>
      <x:c r="C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원장'!$J$7:$J$3425,"심의승인")</x:f>
        <x:v>0</x:v>
      </x:c>
      <x:c r="D19" s="2" t="n">
        <x:f>SUMIFS('신청 원장'!$Z$7:$Z$3425,'신청 원장'!$B$7:$B$3425,IF('종합 현황'!$B$5="전체","*",'종합 현황'!$B$5),'신청 원장'!$C$7:$C$3425,IF('종합 현황'!$D$5="전체","*",'종합 현황'!$D$5),'신청 원장'!$G$7:$G$3425,A19,'신청 원장'!$K$7:$K$3425,"미종결 표시")</x:f>
        <x:v>49</x:v>
      </x:c>
      <x:c r="E19" s="2"/>
      <x:c r="F19" s="2"/>
      <x:c r="G19" s="2"/>
      <x:c r="H19" s="2"/>
      <x:c r="I19" s="2"/>
      <x:c r="J19" s="2"/>
      <x:c r="K19" s="2"/>
      <x:c r="L19" s="2"/>
    </x:row>
    <x:row r="20" ht="25" customHeight="1">
      <x:c r="A20" s="2" t="str">
        <x:v>미확보</x:v>
      </x:c>
      <x:c r="B20" s="2" t="n">
        <x:f>SUMIFS('신청 원장'!$Z$7:$Z$3425,'신청 원장'!$B$7:$B$3425,IF('종합 현황'!$B$5="전체","*",'종합 현황'!$B$5),'신청 원장'!$C$7:$C$3425,IF('종합 현황'!$D$5="전체","*",'종합 현황'!$D$5),'신청 원장'!$G$7:$G$3425,A20)</x:f>
        <x:v>541</x:v>
      </x:c>
      <x:c r="C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원장'!$J$7:$J$3425,"심의승인")</x:f>
        <x:v>531</x:v>
      </x:c>
      <x:c r="D20" s="2" t="n">
        <x:f>SUMIFS('신청 원장'!$Z$7:$Z$3425,'신청 원장'!$B$7:$B$3425,IF('종합 현황'!$B$5="전체","*",'종합 현황'!$B$5),'신청 원장'!$C$7:$C$3425,IF('종합 현황'!$D$5="전체","*",'종합 현황'!$D$5),'신청 원장'!$G$7:$G$3425,A20,'신청 원장'!$K$7:$K$3425,"미종결 표시")</x:f>
        <x:v>0</x:v>
      </x:c>
      <x:c r="E20" s="2"/>
      <x:c r="F20" s="2"/>
      <x:c r="G20" s="2"/>
      <x:c r="H20" s="2"/>
      <x:c r="I20" s="2"/>
      <x:c r="J20" s="2"/>
      <x:c r="K20" s="2"/>
      <x:c r="L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5" customHeight="1">
      <x:c r="A22" s="2" t="str">
        <x:v>그래프의 두 상태는 전체 원장행을 모두 포괄하지 않습니다. 원장행 전체는 왼쪽 표에서 확인하세요.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 t="str">
        <x:v>월별 신청연도</x:v>
      </x:c>
      <x:c r="G24" s="2" t="str">
        <x:f>IF(OR('종합 현황'!F5="전체",'종합 현황'!F5="미확보"),"2026",'종합 현황'!F5)</x:f>
        <x:v>2026</x:v>
      </x:c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40" customHeight="1">
      <x:c r="A26" s="2"/>
      <x:c r="B26" s="2"/>
      <x:c r="C26" s="2"/>
      <x:c r="D26" s="2"/>
      <x:c r="E26" s="2"/>
      <x:c r="F26" s="6" t="str">
        <x:v>월</x:v>
      </x:c>
      <x:c r="G26" s="6" t="str">
        <x:v>선택연도</x:v>
      </x:c>
      <x:c r="H26" s="6" t="str">
        <x:v>전년 같은 월</x:v>
      </x:c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 t="str">
        <x:v>01</x:v>
      </x:c>
      <x:c r="G2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원장'!$H$7:$H$3425,F27)</x:f>
        <x:v>22</x:v>
      </x:c>
      <x:c r="H2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원장'!$H$7:$H$3425,F27)</x:f>
        <x:v>12</x:v>
      </x:c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 t="str">
        <x:v>02</x:v>
      </x:c>
      <x:c r="G2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원장'!$H$7:$H$3425,F28)</x:f>
        <x:v>2</x:v>
      </x:c>
      <x:c r="H2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원장'!$H$7:$H$3425,F28)</x:f>
        <x:v>20</x:v>
      </x:c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 t="str">
        <x:v>03</x:v>
      </x:c>
      <x:c r="G29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원장'!$H$7:$H$3425,F29)</x:f>
        <x:v>11</x:v>
      </x:c>
      <x:c r="H29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원장'!$H$7:$H$3425,F29)</x:f>
        <x:v>11</x:v>
      </x:c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 t="str">
        <x:v>04</x:v>
      </x:c>
      <x:c r="G30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원장'!$H$7:$H$3425,F30)</x:f>
        <x:v>2</x:v>
      </x:c>
      <x:c r="H30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원장'!$H$7:$H$3425,F30)</x:f>
        <x:v>22</x:v>
      </x:c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 t="str">
        <x:v>05</x:v>
      </x:c>
      <x:c r="G31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원장'!$H$7:$H$3425,F31)</x:f>
        <x:v>3</x:v>
      </x:c>
      <x:c r="H31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원장'!$H$7:$H$3425,F31)</x:f>
        <x:v>9</x:v>
      </x:c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 t="str">
        <x:v>06</x:v>
      </x:c>
      <x:c r="G32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원장'!$H$7:$H$3425,F32)</x:f>
        <x:v>4</x:v>
      </x:c>
      <x:c r="H32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원장'!$H$7:$H$3425,F32)</x:f>
        <x:v>13</x:v>
      </x:c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 t="str">
        <x:v>07</x:v>
      </x:c>
      <x:c r="G33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원장'!$H$7:$H$3425,F33)</x:f>
        <x:v>2</x:v>
      </x:c>
      <x:c r="H33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원장'!$H$7:$H$3425,F33)</x:f>
        <x:v>17</x:v>
      </x:c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 t="str">
        <x:v>08</x:v>
      </x:c>
      <x:c r="G34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원장'!$H$7:$H$3425,F34)</x:f>
        <x:v>6</x:v>
      </x:c>
      <x:c r="H34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원장'!$H$7:$H$3425,F34)</x:f>
        <x:v>11</x:v>
      </x:c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 t="str">
        <x:v>09</x:v>
      </x:c>
      <x:c r="G35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원장'!$H$7:$H$3425,F35)</x:f>
        <x:v>1</x:v>
      </x:c>
      <x:c r="H35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원장'!$H$7:$H$3425,F35)</x:f>
        <x:v>4</x:v>
      </x:c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 t="str">
        <x:v>10</x:v>
      </x:c>
      <x:c r="G36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원장'!$H$7:$H$3425,F36)</x:f>
        <x:v>0</x:v>
      </x:c>
      <x:c r="H36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원장'!$H$7:$H$3425,F36)</x:f>
        <x:v>29</x:v>
      </x:c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 t="str">
        <x:v>11</x:v>
      </x:c>
      <x:c r="G37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원장'!$H$7:$H$3425,F37)</x:f>
        <x:v>0</x:v>
      </x:c>
      <x:c r="H37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원장'!$H$7:$H$3425,F37)</x:f>
        <x:v>14</x:v>
      </x:c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 t="str">
        <x:v>12</x:v>
      </x:c>
      <x:c r="G38" s="2" t="n">
        <x:f>SUMIFS('신청 원장'!$Z$7:$Z$3425,'신청 원장'!$B$7:$B$3425,IF('종합 현황'!$B$5="전체","*",'종합 현황'!$B$5),'신청 원장'!$C$7:$C$3425,IF('종합 현황'!$D$5="전체","*",'종합 현황'!$D$5),'신청 원장'!$G$7:$G$3425,$G$24,'신청 원장'!$H$7:$H$3425,F38)</x:f>
        <x:v>0</x:v>
      </x:c>
      <x:c r="H38" s="2" t="n">
        <x:f>SUMIFS('신청 원장'!$Z$7:$Z$3425,'신청 원장'!$B$7:$B$3425,IF('종합 현황'!$B$5="전체","*",'종합 현황'!$B$5),'신청 원장'!$C$7:$C$3425,IF('종합 현황'!$D$5="전체","*",'종합 현황'!$D$5),'신청 원장'!$G$7:$G$3425,TEXT(VALUE($G$24)-1,"0"),'신청 원장'!$H$7:$H$3425,F38)</x:f>
        <x:v>15</x:v>
      </x:c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  <x:drawing xmlns:r="http://schemas.openxmlformats.org/officeDocument/2006/relationships" r:id="Ra9613c6107e84bda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5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42" hidden="0" customWidth="1"/>
    <x:col min="17" max="17" width="42" hidden="0" customWidth="1"/>
    <x:col min="18" max="18" width="17" hidden="0" customWidth="1"/>
    <x:col min="19" max="19" width="17" hidden="0" customWidth="1"/>
    <x:col min="20" max="20" width="17" hidden="0" customWidth="1"/>
    <x:col min="21" max="21" width="42" hidden="0" customWidth="1"/>
    <x:col min="22" max="22" width="17" hidden="0" customWidth="1"/>
    <x:col min="23" max="23" width="42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5" customHeight="1">
      <x:c r="A2" s="3" t="str">
        <x:v>신청 원장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원본 2종의 명칭이 있는 원장행 · 같은 사업의 업무·신청 회차는 합치지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필터로 조회합니다. 입력 스냅샷이므로 원본 변경 후 다시 생성해야 합니다. 원본 수식·수량은 수정하지 않았습니다.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40" customHeight="1">
      <x:c r="A6" s="6" t="str">
        <x:v>출처 행 ID</x:v>
      </x:c>
      <x:c r="B6" s="6" t="str">
        <x:v>업무</x:v>
      </x:c>
      <x:c r="C6" s="6" t="str">
        <x:v>국내외</x:v>
      </x:c>
      <x:c r="D6" s="6" t="str">
        <x:v>사업·신청명</x:v>
      </x:c>
      <x:c r="E6" s="6" t="str">
        <x:v>관리키 원문</x:v>
      </x:c>
      <x:c r="F6" s="6" t="str">
        <x:v>신청일 원문</x:v>
      </x:c>
      <x:c r="G6" s="6" t="str">
        <x:v>신청연도</x:v>
      </x:c>
      <x:c r="H6" s="6" t="str">
        <x:v>신청월</x:v>
      </x:c>
      <x:c r="I6" s="6" t="str">
        <x:v>원본 처리상태</x:v>
      </x:c>
      <x:c r="J6" s="6" t="str">
        <x:v>내부 진행상태</x:v>
      </x:c>
      <x:c r="K6" s="6" t="str">
        <x:v>종결 구분</x:v>
      </x:c>
      <x:c r="L6" s="6" t="str">
        <x:v>담당기관·담당자</x:v>
      </x:c>
      <x:c r="M6" s="6" t="str">
        <x:v>보완차수 확인분</x:v>
      </x:c>
      <x:c r="N6" s="6" t="str">
        <x:v>신청 후 경과일</x:v>
      </x:c>
      <x:c r="O6" s="6" t="str">
        <x:v>현장방문 원문</x:v>
      </x:c>
      <x:c r="P6" s="6" t="str">
        <x:v>진행내용·비고</x:v>
      </x:c>
      <x:c r="Q6" s="6" t="str">
        <x:v>원본 파일</x:v>
      </x:c>
      <x:c r="R6" s="6" t="str">
        <x:v>원본 시트</x:v>
      </x:c>
      <x:c r="S6" s="6" t="str">
        <x:v>원본 행</x:v>
      </x:c>
      <x:c r="T6" s="6" t="str">
        <x:v>가장 이른 배정기록</x:v>
      </x:c>
      <x:c r="U6" s="6" t="str">
        <x:v>배정 이력 원문</x:v>
      </x:c>
      <x:c r="V6" s="6" t="str">
        <x:v>처리일 원문</x:v>
      </x:c>
      <x:c r="W6" s="6" t="str">
        <x:v>데이터 확인 항목</x:v>
      </x:c>
      <x:c r="X6" s="6" t="str">
        <x:v>권장 후속 조치</x:v>
      </x:c>
      <x:c r="Y6" s="6" t="str">
        <x:v>출처 SHA-256</x:v>
      </x:c>
      <x:c r="Z6" s="6" t="str">
        <x:v>필터 포함</x:v>
      </x:c>
      <x:c r="AA6" s="6" t="str">
        <x:v>내부 관찰 표시</x:v>
      </x:c>
      <x:c r="AB6" s="6" t="str">
        <x:v>이력 원문</x:v>
      </x:c>
    </x:row>
    <x:row r="7" ht="42" customHeight="1">
      <x:c r="A7" s="2" t="str">
        <x:v>429a0a12371c7f7c9924a3ee</x:v>
      </x:c>
      <x:c r="B7" s="2" t="str">
        <x:v>방법론 신청</x:v>
      </x:c>
      <x:c r="C7" s="2" t="str">
        <x:v>공통</x:v>
      </x:c>
      <x:c r="D7" s="7" t="str">
        <x:v>바이오매스를 이용한 전력 및 열에너지 생산 [SSC.1-A.1]</x:v>
      </x:c>
      <x:c r="E7" s="2" t="str">
        <x:v>1</x:v>
      </x:c>
      <x:c r="F7" s="2" t="str">
        <x:v>2014-11-19</x:v>
      </x:c>
      <x:c r="G7" s="2" t="str">
        <x:v>2014</x:v>
      </x:c>
      <x:c r="H7" s="2" t="str">
        <x:v>11</x:v>
      </x:c>
      <x:c r="I7" s="2" t="str">
        <x:v>검토반려</x:v>
      </x:c>
      <x:c r="J7" s="2" t="str">
        <x:v>반려</x:v>
      </x:c>
      <x:c r="K7" s="2" t="str">
        <x:f>IF(OR(J7="심의승인",J7="반려",J7="반려완료",J7="심의완료"),"종결 표시",IF(OR(J7="기후부협의",J7="문서재제출요청",J7="보류",J7="보완요청",J7="보완완료",J7="평가중",J7="반려요청",J7="평가필요",LEFT(J7,5)="보완요청("),"미종결 표시","상태 확인 필요"))</x:f>
        <x:v>종결 표시</x:v>
      </x:c>
      <x:c r="L7" s="2"/>
      <x:c r="M7" s="2"/>
      <x:c r="N7" s="8" t="n">
        <x:f>DATE(2026,10,15)-DATE(2014,11,19)</x:f>
        <x:v>4348</x:v>
      </x:c>
      <x:c r="O7" s="2"/>
      <x:c r="P7" s="2"/>
      <x:c r="Q7" s="2" t="str">
        <x:v>산업전환_외부사업관리Tool_260707_이너젠 수정_LJY_261013.xlsx</x:v>
      </x:c>
      <x:c r="R7" s="2" t="str">
        <x:v>방법론</x:v>
      </x:c>
      <x:c r="S7" s="8" t="n">
        <x:v>3</x:v>
      </x:c>
      <x:c r="T7" s="2"/>
      <x:c r="U7" s="2" t="str"/>
      <x:c r="V7" s="2" t="str">
        <x:v>2017-07-20</x:v>
      </x:c>
      <x:c r="W7" s="2" t="str">
        <x:v>담당기관 확인</x:v>
      </x:c>
      <x:c r="X7" s="2" t="str">
        <x:v>원본·배정 기록 확인</x:v>
      </x:c>
      <x:c r="Y7" s="2" t="str">
        <x:v>ad210cd9ec132cfd447541c8984dc53d30aff0f4fb2dc92d254d49275cc55976</x:v>
      </x:c>
      <x:c r="Z7" s="2" t="n">
        <x:f>SUBTOTAL(103,A7)</x:f>
        <x:v>1</x:v>
      </x:c>
      <x:c r="AA7" s="2" t="str">
        <x:f>IF(K7&lt;&gt;"미종결 표시","대상 아님",IF(N7="","신청일 확인",IF(NOT(ISNUMBER('종합 현황'!$H$5)),"관찰기준 확인",IF('종합 현황'!$H$5&lt;1,"관찰기준 확인",IF(N7&gt;'종합 현황'!$H$5,"내부 관찰 대상","내부 관찰일 이하")))))</x:f>
        <x:v>대상 아님</x:v>
      </x:c>
      <x:c r="AB7" s="2" t="str">
        <x:v>2014-11-19 10:09:30 - 방법론신청
2015-02-16 18:23:33 - 보완요청
2015-03-09 15:23:29 - 문서보완접수
2015-05-18 14:17:36 - 보완요청
2015-06-05 15:47:16 - 문서보완접수
2015-08-17 13:43:16 - 보완요청
2015-08-28 17:53:36 - 문서보완접수
2015-09-23 20:29:17 - 보완요청
2015-10-12 14:15:37 - 문서보완접수
2016-01-15 10:29:36 - 보완요청
2017-06-13 16:11:42 - 문서보완접수
2017-07-13 09:43:50 - 보완요청
2017-07-13 16:50:26 - 문서보완접수
2017-07-20 09:55:57 - 검토반려
2018-01-09 11:01:08 - 관장기관지정 (산업통상부)
</x:v>
      </x:c>
    </x:row>
    <x:row r="8" ht="42" customHeight="1">
      <x:c r="A8" s="2" t="str">
        <x:v>f13c4439b48d7d906fe57362</x:v>
      </x:c>
      <x:c r="B8" s="2" t="str">
        <x:v>방법론 신청</x:v>
      </x:c>
      <x:c r="C8" s="2" t="str">
        <x:v>공통</x:v>
      </x:c>
      <x:c r="D8" s="7" t="str">
        <x:v>METH.1-A.3 (Version 01): RDF 및 SRF를 이용한 열에너지 생산</x:v>
      </x:c>
      <x:c r="E8" s="2" t="str">
        <x:v>2</x:v>
      </x:c>
      <x:c r="F8" s="2" t="str">
        <x:v>2015-03-26</x:v>
      </x:c>
      <x:c r="G8" s="2" t="str">
        <x:v>2015</x:v>
      </x:c>
      <x:c r="H8" s="2" t="str">
        <x:v>03</x:v>
      </x:c>
      <x:c r="I8" s="2" t="str">
        <x:v>검토반려</x:v>
      </x:c>
      <x:c r="J8" s="2" t="str">
        <x:v>반려</x:v>
      </x:c>
      <x:c r="K8" s="2" t="str">
        <x:f>IF(OR(J8="심의승인",J8="반려",J8="반려완료",J8="심의완료"),"종결 표시",IF(OR(J8="기후부협의",J8="문서재제출요청",J8="보류",J8="보완요청",J8="보완완료",J8="평가중",J8="반려요청",J8="평가필요",LEFT(J8,5)="보완요청("),"미종결 표시","상태 확인 필요"))</x:f>
        <x:v>종결 표시</x:v>
      </x:c>
      <x:c r="L8" s="2"/>
      <x:c r="M8" s="2"/>
      <x:c r="N8" s="8" t="n">
        <x:f>DATE(2026,10,15)-DATE(2015,3,26)</x:f>
        <x:v>4221</x:v>
      </x:c>
      <x:c r="O8" s="2"/>
      <x:c r="P8" s="2"/>
      <x:c r="Q8" s="2" t="str">
        <x:v>산업전환_외부사업관리Tool_260707_이너젠 수정_LJY_261013.xlsx</x:v>
      </x:c>
      <x:c r="R8" s="2" t="str">
        <x:v>방법론</x:v>
      </x:c>
      <x:c r="S8" s="8" t="n">
        <x:v>4</x:v>
      </x:c>
      <x:c r="T8" s="2"/>
      <x:c r="U8" s="2" t="str"/>
      <x:c r="V8" s="2" t="str">
        <x:v>2017-07-20</x:v>
      </x:c>
      <x:c r="W8" s="2" t="str">
        <x:v>담당기관 확인</x:v>
      </x:c>
      <x:c r="X8" s="2" t="str">
        <x:v>원본·배정 기록 확인</x:v>
      </x:c>
      <x:c r="Y8" s="2" t="str">
        <x:v>ad210cd9ec132cfd447541c8984dc53d30aff0f4fb2dc92d254d49275cc55976</x:v>
      </x:c>
      <x:c r="Z8" s="2" t="n">
        <x:f>SUBTOTAL(103,A8)</x:f>
        <x:v>1</x:v>
      </x:c>
      <x:c r="AA8" s="2" t="str">
        <x:f>IF(K8&lt;&gt;"미종결 표시","대상 아님",IF(N8="","신청일 확인",IF(NOT(ISNUMBER('종합 현황'!$H$5)),"관찰기준 확인",IF('종합 현황'!$H$5&lt;1,"관찰기준 확인",IF(N8&gt;'종합 현황'!$H$5,"내부 관찰 대상","내부 관찰일 이하")))))</x:f>
        <x:v>대상 아님</x:v>
      </x:c>
      <x:c r="AB8" s="2" t="str">
        <x:v>2015-03-26 19:00:09 - 방법론신청
2015-07-21 09:45:11 - 보완요청
2017-06-13 16:12:07 - 문서보완접수
2017-07-13 09:45:04 - 보완요청
2017-07-13 16:49:07 - 문서보완접수
2017-07-20 09:53:46 - 검토반려
2018-01-09 11:00:25 - 관장기관지정 (산업통상부)
</x:v>
      </x:c>
    </x:row>
    <x:row r="9" ht="42" customHeight="1">
      <x:c r="A9" s="2" t="str">
        <x:v>d573696e044a2390a62a34ef</x:v>
      </x:c>
      <x:c r="B9" s="2" t="str">
        <x:v>방법론 신청</x:v>
      </x:c>
      <x:c r="C9" s="2" t="str">
        <x:v>공통</x:v>
      </x:c>
      <x:c r="D9" s="7" t="str">
        <x:v>태기산 풍력발전 사업</x:v>
      </x:c>
      <x:c r="E9" s="2" t="str">
        <x:v>3</x:v>
      </x:c>
      <x:c r="F9" s="2" t="str">
        <x:v>2015-07-03</x:v>
      </x:c>
      <x:c r="G9" s="2" t="str">
        <x:v>2015</x:v>
      </x:c>
      <x:c r="H9" s="2" t="str">
        <x:v>07</x:v>
      </x:c>
      <x:c r="I9" s="2" t="str">
        <x:v>검토반려</x:v>
      </x:c>
      <x:c r="J9" s="2" t="str">
        <x:v>반려</x:v>
      </x:c>
      <x:c r="K9" s="2" t="str">
        <x:f>IF(OR(J9="심의승인",J9="반려",J9="반려완료",J9="심의완료"),"종결 표시",IF(OR(J9="기후부협의",J9="문서재제출요청",J9="보류",J9="보완요청",J9="보완완료",J9="평가중",J9="반려요청",J9="평가필요",LEFT(J9,5)="보완요청("),"미종결 표시","상태 확인 필요"))</x:f>
        <x:v>종결 표시</x:v>
      </x:c>
      <x:c r="L9" s="2"/>
      <x:c r="M9" s="2"/>
      <x:c r="N9" s="8" t="n">
        <x:f>DATE(2026,10,15)-DATE(2015,7,3)</x:f>
        <x:v>4122</x:v>
      </x:c>
      <x:c r="O9" s="2"/>
      <x:c r="P9" s="2"/>
      <x:c r="Q9" s="2" t="str">
        <x:v>산업전환_외부사업관리Tool_260707_이너젠 수정_LJY_261013.xlsx</x:v>
      </x:c>
      <x:c r="R9" s="2" t="str">
        <x:v>방법론</x:v>
      </x:c>
      <x:c r="S9" s="8" t="n">
        <x:v>5</x:v>
      </x:c>
      <x:c r="T9" s="2"/>
      <x:c r="U9" s="2" t="str"/>
      <x:c r="V9" s="2" t="str">
        <x:v>2015-07-09</x:v>
      </x:c>
      <x:c r="W9" s="2" t="str">
        <x:v>담당기관 확인</x:v>
      </x:c>
      <x:c r="X9" s="2" t="str">
        <x:v>원본·배정 기록 확인</x:v>
      </x:c>
      <x:c r="Y9" s="2" t="str">
        <x:v>ad210cd9ec132cfd447541c8984dc53d30aff0f4fb2dc92d254d49275cc55976</x:v>
      </x:c>
      <x:c r="Z9" s="2" t="n">
        <x:f>SUBTOTAL(103,A9)</x:f>
        <x:v>1</x:v>
      </x:c>
      <x:c r="AA9" s="2" t="str">
        <x:f>IF(K9&lt;&gt;"미종결 표시","대상 아님",IF(N9="","신청일 확인",IF(NOT(ISNUMBER('종합 현황'!$H$5)),"관찰기준 확인",IF('종합 현황'!$H$5&lt;1,"관찰기준 확인",IF(N9&gt;'종합 현황'!$H$5,"내부 관찰 대상","내부 관찰일 이하")))))</x:f>
        <x:v>대상 아님</x:v>
      </x:c>
      <x:c r="AB9" s="2" t="str">
        <x:v>2015-07-03 17:37:10 - 방법론신청
2015-07-09 13:22:01 - 검토반려
2018-01-09 10:59:16 - 관장기관지정 (기후에너지환경부)
2018-02-06 17:34:05 - 관장기관지정 (산업통상부)
</x:v>
      </x:c>
    </x:row>
    <x:row r="10" ht="42" customHeight="1">
      <x:c r="A10" s="2" t="str">
        <x:v>865c48574990a31202646e72</x:v>
      </x:c>
      <x:c r="B10" s="2" t="str">
        <x:v>방법론 신청</x:v>
      </x:c>
      <x:c r="C10" s="2" t="str">
        <x:v>공통</x:v>
      </x:c>
      <x:c r="D10" s="7" t="str">
        <x:v>원재료 대체를 통한 마그네슘 주조공정에서의 공정용 SF6 감축 사업의 방법론</x:v>
      </x:c>
      <x:c r="E10" s="2" t="str">
        <x:v>4</x:v>
      </x:c>
      <x:c r="F10" s="2" t="str">
        <x:v>2015-07-31</x:v>
      </x:c>
      <x:c r="G10" s="2" t="str">
        <x:v>2015</x:v>
      </x:c>
      <x:c r="H10" s="2" t="str">
        <x:v>07</x:v>
      </x:c>
      <x:c r="I10" s="2" t="str">
        <x:v>검토반려</x:v>
      </x:c>
      <x:c r="J10" s="2" t="str">
        <x:v>반려</x:v>
      </x:c>
      <x:c r="K10" s="2" t="str">
        <x:f>IF(OR(J10="심의승인",J10="반려",J10="반려완료",J10="심의완료"),"종결 표시",IF(OR(J10="기후부협의",J10="문서재제출요청",J10="보류",J10="보완요청",J10="보완완료",J10="평가중",J10="반려요청",J10="평가필요",LEFT(J10,5)="보완요청("),"미종결 표시","상태 확인 필요"))</x:f>
        <x:v>종결 표시</x:v>
      </x:c>
      <x:c r="L10" s="2"/>
      <x:c r="M10" s="2"/>
      <x:c r="N10" s="8" t="n">
        <x:f>DATE(2026,10,15)-DATE(2015,7,31)</x:f>
        <x:v>4094</x:v>
      </x:c>
      <x:c r="O10" s="2"/>
      <x:c r="P10" s="2"/>
      <x:c r="Q10" s="2" t="str">
        <x:v>산업전환_외부사업관리Tool_260707_이너젠 수정_LJY_261013.xlsx</x:v>
      </x:c>
      <x:c r="R10" s="2" t="str">
        <x:v>방법론</x:v>
      </x:c>
      <x:c r="S10" s="8" t="n">
        <x:v>6</x:v>
      </x:c>
      <x:c r="T10" s="2"/>
      <x:c r="U10" s="2" t="str"/>
      <x:c r="V10" s="2" t="str">
        <x:v>2019-06-28</x:v>
      </x:c>
      <x:c r="W10" s="2" t="str">
        <x:v>담당기관 확인</x:v>
      </x:c>
      <x:c r="X10" s="2" t="str">
        <x:v>원본·배정 기록 확인</x:v>
      </x:c>
      <x:c r="Y10" s="2" t="str">
        <x:v>ad210cd9ec132cfd447541c8984dc53d30aff0f4fb2dc92d254d49275cc55976</x:v>
      </x:c>
      <x:c r="Z10" s="2" t="n">
        <x:f>SUBTOTAL(103,A10)</x:f>
        <x:v>1</x:v>
      </x:c>
      <x:c r="AA10" s="2" t="str">
        <x:f>IF(K10&lt;&gt;"미종결 표시","대상 아님",IF(N10="","신청일 확인",IF(NOT(ISNUMBER('종합 현황'!$H$5)),"관찰기준 확인",IF('종합 현황'!$H$5&lt;1,"관찰기준 확인",IF(N10&gt;'종합 현황'!$H$5,"내부 관찰 대상","내부 관찰일 이하")))))</x:f>
        <x:v>대상 아님</x:v>
      </x:c>
      <x:c r="AB10" s="2" t="str">
        <x:v>2015-07-31 18:47:01 - 방법론신청
2015-09-03 14:48:32 - 보완요청
2015-09-10 14:14:11 - 문서보완접수
2015-10-23 10:47:35 - 보완요청
2015-11-06 19:47:41 - 문서보완접수
2015-12-31 11:32:19 - 보완요청
2016-03-07 16:29:17 - 문서보완접수
2016-04-04 14:50:32 - 보완요청
2017-10-27 13:50:53 - 문서보완접수
2017-10-27 13:50:58 - 보완요청
2017-11-23 11:47:05 - 문서보완접수
2018-01-09 10:58:56 - 관장기관지정 (산업통상부)
2019-06-10 14:20:53 - 문서재제출요청
2019-06-28 16:05:43 - 문서재제출완료
2019-06-28 16:27:45 - 검토반려
</x:v>
      </x:c>
    </x:row>
    <x:row r="11" ht="42" customHeight="1">
      <x:c r="A11" s="2" t="str">
        <x:v>3c525925b2171f2bea2c168b</x:v>
      </x:c>
      <x:c r="B11" s="2" t="str">
        <x:v>방법론 신청</x:v>
      </x:c>
      <x:c r="C11" s="2" t="str">
        <x:v>공통</x:v>
      </x:c>
      <x:c r="D11" s="7" t="str">
        <x:v>연료 전환 사업의 방법론(03A-002-Ver02)</x:v>
      </x:c>
      <x:c r="E11" s="2" t="str">
        <x:v>5</x:v>
      </x:c>
      <x:c r="F11" s="2" t="str">
        <x:v>2015-09-18</x:v>
      </x:c>
      <x:c r="G11" s="2" t="str">
        <x:v>2015</x:v>
      </x:c>
      <x:c r="H11" s="2" t="str">
        <x:v>09</x:v>
      </x:c>
      <x:c r="I11" s="2" t="str">
        <x:v>검토반려</x:v>
      </x:c>
      <x:c r="J11" s="2" t="str">
        <x:v>반려</x:v>
      </x:c>
      <x:c r="K11" s="2" t="str">
        <x:f>IF(OR(J11="심의승인",J11="반려",J11="반려완료",J11="심의완료"),"종결 표시",IF(OR(J11="기후부협의",J11="문서재제출요청",J11="보류",J11="보완요청",J11="보완완료",J11="평가중",J11="반려요청",J11="평가필요",LEFT(J11,5)="보완요청("),"미종결 표시","상태 확인 필요"))</x:f>
        <x:v>종결 표시</x:v>
      </x:c>
      <x:c r="L11" s="2"/>
      <x:c r="M11" s="2"/>
      <x:c r="N11" s="8" t="n">
        <x:f>DATE(2026,10,15)-DATE(2015,9,18)</x:f>
        <x:v>4045</x:v>
      </x:c>
      <x:c r="O11" s="2"/>
      <x:c r="P11" s="2"/>
      <x:c r="Q11" s="2" t="str">
        <x:v>산업전환_외부사업관리Tool_260707_이너젠 수정_LJY_261013.xlsx</x:v>
      </x:c>
      <x:c r="R11" s="2" t="str">
        <x:v>방법론</x:v>
      </x:c>
      <x:c r="S11" s="8" t="n">
        <x:v>7</x:v>
      </x:c>
      <x:c r="T11" s="2"/>
      <x:c r="U11" s="2" t="str"/>
      <x:c r="V11" s="2" t="str">
        <x:v>2017-07-20</x:v>
      </x:c>
      <x:c r="W11" s="2" t="str">
        <x:v>담당기관 확인</x:v>
      </x:c>
      <x:c r="X11" s="2" t="str">
        <x:v>원본·배정 기록 확인</x:v>
      </x:c>
      <x:c r="Y11" s="2" t="str">
        <x:v>ad210cd9ec132cfd447541c8984dc53d30aff0f4fb2dc92d254d49275cc55976</x:v>
      </x:c>
      <x:c r="Z11" s="2" t="n">
        <x:f>SUBTOTAL(103,A11)</x:f>
        <x:v>1</x:v>
      </x:c>
      <x:c r="AA11" s="2" t="str">
        <x:f>IF(K11&lt;&gt;"미종결 표시","대상 아님",IF(N11="","신청일 확인",IF(NOT(ISNUMBER('종합 현황'!$H$5)),"관찰기준 확인",IF('종합 현황'!$H$5&lt;1,"관찰기준 확인",IF(N11&gt;'종합 현황'!$H$5,"내부 관찰 대상","내부 관찰일 이하")))))</x:f>
        <x:v>대상 아님</x:v>
      </x:c>
      <x:c r="AB11" s="2" t="str">
        <x:v>2015-09-18 15:37:29 - 방법론신청
2015-11-27 17:39:53 - 보완요청
2016-12-02 16:14:18 - 문서보완접수
2016-12-02 17:53:19 - 보완요청
2016-12-02 17:57:55 - 문서보완접수
2017-07-13 16:37:49 - 보완요청
2017-07-14 16:45:52 - 문서보완접수
2017-07-20 09:57:47 - 검토반려
2018-01-09 10:58:40 - 관장기관지정 (산업통상부)
</x:v>
      </x:c>
    </x:row>
    <x:row r="12" ht="42" customHeight="1">
      <x:c r="A12" s="2" t="str">
        <x:v>262a5b7bda28c59de2852c6e</x:v>
      </x:c>
      <x:c r="B12" s="2" t="str">
        <x:v>방법론 신청</x:v>
      </x:c>
      <x:c r="C12" s="2" t="str">
        <x:v>공통</x:v>
      </x:c>
      <x:c r="D12" s="7" t="str">
        <x:v>열공급시설에서 목질계 바이오매스 연료를 이용하여 생산된 열에너지 공급을 통한 수용가의 화석연료 사용량 절감사업의 방법론</x:v>
      </x:c>
      <x:c r="E12" s="2" t="str">
        <x:v>6</x:v>
      </x:c>
      <x:c r="F12" s="2" t="str">
        <x:v>2016-04-29</x:v>
      </x:c>
      <x:c r="G12" s="2" t="str">
        <x:v>2016</x:v>
      </x:c>
      <x:c r="H12" s="2" t="str">
        <x:v>04</x:v>
      </x:c>
      <x:c r="I12" s="2" t="str">
        <x:v>심의승인</x:v>
      </x:c>
      <x:c r="J12" s="2" t="str">
        <x:v>심의승인</x:v>
      </x:c>
      <x:c r="K12" s="2" t="str">
        <x:f>IF(OR(J12="심의승인",J12="반려",J12="반려완료",J12="심의완료"),"종결 표시",IF(OR(J12="기후부협의",J12="문서재제출요청",J12="보류",J12="보완요청",J12="보완완료",J12="평가중",J12="반려요청",J12="평가필요",LEFT(J12,5)="보완요청("),"미종결 표시","상태 확인 필요"))</x:f>
        <x:v>종결 표시</x:v>
      </x:c>
      <x:c r="L12" s="2"/>
      <x:c r="M12" s="2"/>
      <x:c r="N12" s="8" t="n">
        <x:f>DATE(2026,10,15)-DATE(2016,4,29)</x:f>
        <x:v>3821</x:v>
      </x:c>
      <x:c r="O12" s="2"/>
      <x:c r="P12" s="2"/>
      <x:c r="Q12" s="2" t="str">
        <x:v>산업전환_외부사업관리Tool_260707_이너젠 수정_LJY_261013.xlsx</x:v>
      </x:c>
      <x:c r="R12" s="2" t="str">
        <x:v>방법론</x:v>
      </x:c>
      <x:c r="S12" s="8" t="n">
        <x:v>8</x:v>
      </x:c>
      <x:c r="T12" s="2"/>
      <x:c r="U12" s="2" t="str"/>
      <x:c r="V12" s="2" t="str">
        <x:v>2017-03-17</x:v>
      </x:c>
      <x:c r="W12" s="2" t="str">
        <x:v>담당기관 확인</x:v>
      </x:c>
      <x:c r="X12" s="2" t="str">
        <x:v>원본·배정 기록 확인</x:v>
      </x:c>
      <x:c r="Y12" s="2" t="str">
        <x:v>ad210cd9ec132cfd447541c8984dc53d30aff0f4fb2dc92d254d49275cc55976</x:v>
      </x:c>
      <x:c r="Z12" s="2" t="n">
        <x:f>SUBTOTAL(103,A12)</x:f>
        <x:v>1</x:v>
      </x:c>
      <x:c r="AA12" s="2" t="str">
        <x:f>IF(K12&lt;&gt;"미종결 표시","대상 아님",IF(N12="","신청일 확인",IF(NOT(ISNUMBER('종합 현황'!$H$5)),"관찰기준 확인",IF('종합 현황'!$H$5&lt;1,"관찰기준 확인",IF(N12&gt;'종합 현황'!$H$5,"내부 관찰 대상","내부 관찰일 이하")))))</x:f>
        <x:v>대상 아님</x:v>
      </x:c>
      <x:c r="AB12" s="2" t="str">
        <x:v>2016-04-29 11:49:34 - 방법론신청
2016-11-30 18:04:19 - 보완요청
2016-12-07 11:56:42 - 문서보완접수
2016-12-07 13:18:00 - 보완요청
2016-12-07 17:37:31 - 문서보완접수
2017-03-03 17:57:50 - 보완요청
2017-03-06 17:27:39 - 문서보완접수
2017-03-06 18:21:06 - 보완요청
2017-03-08 10:44:38 - 문서보완접수
2017-03-08 17:08:35 - 검토승인
2017-03-17 17:14:05 - 심의승인
2018-01-09 10:53:42 - 관장기관지정 (산업통상부)
</x:v>
      </x:c>
    </x:row>
    <x:row r="13" ht="42" customHeight="1">
      <x:c r="A13" s="2" t="str">
        <x:v>59369286d338b4571918c031</x:v>
      </x:c>
      <x:c r="B13" s="2" t="str">
        <x:v>방법론 신청</x:v>
      </x:c>
      <x:c r="C13" s="2" t="str">
        <x:v>공통</x:v>
      </x:c>
      <x:c r="D13" s="7" t="str">
        <x:v>전력절감설비 설치사업의 방법론</x:v>
      </x:c>
      <x:c r="E13" s="2" t="str">
        <x:v>7</x:v>
      </x:c>
      <x:c r="F13" s="2" t="str">
        <x:v>2016-10-24</x:v>
      </x:c>
      <x:c r="G13" s="2" t="str">
        <x:v>2016</x:v>
      </x:c>
      <x:c r="H13" s="2" t="str">
        <x:v>10</x:v>
      </x:c>
      <x:c r="I13" s="2" t="str">
        <x:v>검토반려</x:v>
      </x:c>
      <x:c r="J13" s="2" t="str">
        <x:v>반려</x:v>
      </x:c>
      <x:c r="K13" s="2" t="str">
        <x:f>IF(OR(J13="심의승인",J13="반려",J13="반려완료",J13="심의완료"),"종결 표시",IF(OR(J13="기후부협의",J13="문서재제출요청",J13="보류",J13="보완요청",J13="보완완료",J13="평가중",J13="반려요청",J13="평가필요",LEFT(J13,5)="보완요청("),"미종결 표시","상태 확인 필요"))</x:f>
        <x:v>종결 표시</x:v>
      </x:c>
      <x:c r="L13" s="2"/>
      <x:c r="M13" s="2"/>
      <x:c r="N13" s="8" t="n">
        <x:f>DATE(2026,10,15)-DATE(2016,10,24)</x:f>
        <x:v>3643</x:v>
      </x:c>
      <x:c r="O13" s="2"/>
      <x:c r="P13" s="2"/>
      <x:c r="Q13" s="2" t="str">
        <x:v>산업전환_외부사업관리Tool_260707_이너젠 수정_LJY_261013.xlsx</x:v>
      </x:c>
      <x:c r="R13" s="2" t="str">
        <x:v>방법론</x:v>
      </x:c>
      <x:c r="S13" s="8" t="n">
        <x:v>9</x:v>
      </x:c>
      <x:c r="T13" s="2"/>
      <x:c r="U13" s="2" t="str"/>
      <x:c r="V13" s="2" t="str">
        <x:v>2021-08-12</x:v>
      </x:c>
      <x:c r="W13" s="2" t="str">
        <x:v>담당기관 확인</x:v>
      </x:c>
      <x:c r="X13" s="2" t="str">
        <x:v>원본·배정 기록 확인</x:v>
      </x:c>
      <x:c r="Y13" s="2" t="str">
        <x:v>ad210cd9ec132cfd447541c8984dc53d30aff0f4fb2dc92d254d49275cc55976</x:v>
      </x:c>
      <x:c r="Z13" s="2" t="n">
        <x:f>SUBTOTAL(103,A13)</x:f>
        <x:v>1</x:v>
      </x:c>
      <x:c r="AA13" s="2" t="str">
        <x:f>IF(K13&lt;&gt;"미종결 표시","대상 아님",IF(N13="","신청일 확인",IF(NOT(ISNUMBER('종합 현황'!$H$5)),"관찰기준 확인",IF('종합 현황'!$H$5&lt;1,"관찰기준 확인",IF(N13&gt;'종합 현황'!$H$5,"내부 관찰 대상","내부 관찰일 이하")))))</x:f>
        <x:v>대상 아님</x:v>
      </x:c>
      <x:c r="AB13" s="2" t="str">
        <x:v>2016-10-24 15:33:43 - 방법론신청
2016-11-30 17:57:50 - 보완요청
2017-10-27 14:18:10 - 문서보완접수
2017-10-27 14:18:15 - 보완요청
2017-12-06 09:29:25 - 문서보완접수
2017-12-06 09:29:33 - 문서재제출요청
2017-12-12 10:37:23 - 문서재제출완료
2018-01-09 10:53:00 - 관장기관지정 (산업통상부)
2021-08-12 13:53:29 - 검토반려
</x:v>
      </x:c>
    </x:row>
    <x:row r="14" ht="42" customHeight="1">
      <x:c r="A14" s="2" t="str">
        <x:v>85743ffd9439e01025f1fa18</x:v>
      </x:c>
      <x:c r="B14" s="2" t="str">
        <x:v>방법론 신청</x:v>
      </x:c>
      <x:c r="C14" s="2" t="str">
        <x:v>공통</x:v>
      </x:c>
      <x:c r="D14" s="7" t="str">
        <x:v>가스절연개폐장치 검사용 SF6 회수ㆍ정제 및 재사용을 통한 SF6 감축사업의 방법론</x:v>
      </x:c>
      <x:c r="E14" s="2" t="str">
        <x:v>8</x:v>
      </x:c>
      <x:c r="F14" s="2" t="str">
        <x:v>2016-12-01</x:v>
      </x:c>
      <x:c r="G14" s="2" t="str">
        <x:v>2016</x:v>
      </x:c>
      <x:c r="H14" s="2" t="str">
        <x:v>12</x:v>
      </x:c>
      <x:c r="I14" s="2" t="str">
        <x:v>심의승인</x:v>
      </x:c>
      <x:c r="J14" s="2" t="str">
        <x:v>심의승인</x:v>
      </x:c>
      <x:c r="K14" s="2" t="str">
        <x:f>IF(OR(J14="심의승인",J14="반려",J14="반려완료",J14="심의완료"),"종결 표시",IF(OR(J14="기후부협의",J14="문서재제출요청",J14="보류",J14="보완요청",J14="보완완료",J14="평가중",J14="반려요청",J14="평가필요",LEFT(J14,5)="보완요청("),"미종결 표시","상태 확인 필요"))</x:f>
        <x:v>종결 표시</x:v>
      </x:c>
      <x:c r="L14" s="2"/>
      <x:c r="M14" s="2"/>
      <x:c r="N14" s="8" t="n">
        <x:f>DATE(2026,10,15)-DATE(2016,12,1)</x:f>
        <x:v>3605</x:v>
      </x:c>
      <x:c r="O14" s="2"/>
      <x:c r="P14" s="2"/>
      <x:c r="Q14" s="2" t="str">
        <x:v>산업전환_외부사업관리Tool_260707_이너젠 수정_LJY_261013.xlsx</x:v>
      </x:c>
      <x:c r="R14" s="2" t="str">
        <x:v>방법론</x:v>
      </x:c>
      <x:c r="S14" s="8" t="n">
        <x:v>10</x:v>
      </x:c>
      <x:c r="T14" s="2"/>
      <x:c r="U14" s="2" t="str"/>
      <x:c r="V14" s="2" t="str">
        <x:v>2017-12-15</x:v>
      </x:c>
      <x:c r="W14" s="2" t="str">
        <x:v>담당기관 확인</x:v>
      </x:c>
      <x:c r="X14" s="2" t="str">
        <x:v>원본·배정 기록 확인</x:v>
      </x:c>
      <x:c r="Y14" s="2" t="str">
        <x:v>ad210cd9ec132cfd447541c8984dc53d30aff0f4fb2dc92d254d49275cc55976</x:v>
      </x:c>
      <x:c r="Z14" s="2" t="n">
        <x:f>SUBTOTAL(103,A14)</x:f>
        <x:v>1</x:v>
      </x:c>
      <x:c r="AA14" s="2" t="str">
        <x:f>IF(K14&lt;&gt;"미종결 표시","대상 아님",IF(N14="","신청일 확인",IF(NOT(ISNUMBER('종합 현황'!$H$5)),"관찰기준 확인",IF('종합 현황'!$H$5&lt;1,"관찰기준 확인",IF(N14&gt;'종합 현황'!$H$5,"내부 관찰 대상","내부 관찰일 이하")))))</x:f>
        <x:v>대상 아님</x:v>
      </x:c>
      <x:c r="AB14" s="2" t="str">
        <x:v>2016-12-01 09:37:34 - 방법론신청
2017-10-27 13:57:56 - 보완요청
2017-11-02 09:20:03 - 문서보완접수
2017-11-02 09:20:11 - 문서재제출요청
2017-11-02 09:25:55 - 문서재제출완료
2017-12-13 20:03:19 - 검토승인
2017-12-15 15:47:24 - 심의승인
2018-01-09 10:51:34 - 관장기관지정 (산업통상부)
</x:v>
      </x:c>
    </x:row>
    <x:row r="15" ht="42" customHeight="1">
      <x:c r="A15" s="2" t="str">
        <x:v>146e92ae2cf98de2b2c7699a</x:v>
      </x:c>
      <x:c r="B15" s="2" t="str">
        <x:v>방법론 신청</x:v>
      </x:c>
      <x:c r="C15" s="2" t="str">
        <x:v>공통</x:v>
      </x:c>
      <x:c r="D15" s="7" t="str">
        <x:v>주거용 시설의 심야 전기보일러에서 축열식 히트펌프 보일러로 교체 사업의 방법론</x:v>
      </x:c>
      <x:c r="E15" s="2" t="str">
        <x:v>9</x:v>
      </x:c>
      <x:c r="F15" s="2" t="str">
        <x:v>2016-12-01</x:v>
      </x:c>
      <x:c r="G15" s="2" t="str">
        <x:v>2016</x:v>
      </x:c>
      <x:c r="H15" s="2" t="str">
        <x:v>12</x:v>
      </x:c>
      <x:c r="I15" s="2" t="str">
        <x:v>심의승인</x:v>
      </x:c>
      <x:c r="J15" s="2" t="str">
        <x:v>심의승인</x:v>
      </x:c>
      <x:c r="K15" s="2" t="str">
        <x:f>IF(OR(J15="심의승인",J15="반려",J15="반려완료",J15="심의완료"),"종결 표시",IF(OR(J15="기후부협의",J15="문서재제출요청",J15="보류",J15="보완요청",J15="보완완료",J15="평가중",J15="반려요청",J15="평가필요",LEFT(J15,5)="보완요청("),"미종결 표시","상태 확인 필요"))</x:f>
        <x:v>종결 표시</x:v>
      </x:c>
      <x:c r="L15" s="2"/>
      <x:c r="M15" s="2"/>
      <x:c r="N15" s="8" t="n">
        <x:f>DATE(2026,10,15)-DATE(2016,12,1)</x:f>
        <x:v>3605</x:v>
      </x:c>
      <x:c r="O15" s="2"/>
      <x:c r="P15" s="2"/>
      <x:c r="Q15" s="2" t="str">
        <x:v>산업전환_외부사업관리Tool_260707_이너젠 수정_LJY_261013.xlsx</x:v>
      </x:c>
      <x:c r="R15" s="2" t="str">
        <x:v>방법론</x:v>
      </x:c>
      <x:c r="S15" s="8" t="n">
        <x:v>11</x:v>
      </x:c>
      <x:c r="T15" s="2"/>
      <x:c r="U15" s="2" t="str"/>
      <x:c r="V15" s="2" t="str">
        <x:v>2017-12-15</x:v>
      </x:c>
      <x:c r="W15" s="2" t="str">
        <x:v>담당기관 확인</x:v>
      </x:c>
      <x:c r="X15" s="2" t="str">
        <x:v>원본·배정 기록 확인</x:v>
      </x:c>
      <x:c r="Y15" s="2" t="str">
        <x:v>ad210cd9ec132cfd447541c8984dc53d30aff0f4fb2dc92d254d49275cc55976</x:v>
      </x:c>
      <x:c r="Z15" s="2" t="n">
        <x:f>SUBTOTAL(103,A15)</x:f>
        <x:v>1</x:v>
      </x:c>
      <x:c r="AA15" s="2" t="str">
        <x:f>IF(K15&lt;&gt;"미종결 표시","대상 아님",IF(N15="","신청일 확인",IF(NOT(ISNUMBER('종합 현황'!$H$5)),"관찰기준 확인",IF('종합 현황'!$H$5&lt;1,"관찰기준 확인",IF(N15&gt;'종합 현황'!$H$5,"내부 관찰 대상","내부 관찰일 이하")))))</x:f>
        <x:v>대상 아님</x:v>
      </x:c>
      <x:c r="AB15" s="2" t="str">
        <x:v>2016-12-01 09:40:51 - 방법론신청
2017-10-27 14:14:12 - 보완요청
2017-11-01 18:14:00 - 문서보완접수
2017-11-01 18:14:08 - 문서재제출요청
2017-11-01 18:19:51 - 문서재제출완료
2017-12-05 16:57:48 - 문서재제출요청
2017-12-05 17:45:39 - 문서재제출완료
2017-12-13 19:51:52 - 검토승인
2017-12-15 15:28:02 - 심의승인
2018-01-09 10:50:51 - 관장기관지정 (산업통상부)
</x:v>
      </x:c>
    </x:row>
    <x:row r="16" ht="42" customHeight="1">
      <x:c r="A16" s="2" t="str">
        <x:v>c9fc378164a9e4f0c25b1d2d</x:v>
      </x:c>
      <x:c r="B16" s="2" t="str">
        <x:v>방법론 신청</x:v>
      </x:c>
      <x:c r="C16" s="2" t="str">
        <x:v>공통</x:v>
      </x:c>
      <x:c r="D16" s="7" t="str">
        <x:v>양배수장의 펌프 설비 교체(화석연료→전기)를 통한 온실가스 감축사업의 방법론</x:v>
      </x:c>
      <x:c r="E16" s="2" t="str">
        <x:v>10</x:v>
      </x:c>
      <x:c r="F16" s="2" t="str">
        <x:v>2018-02-01</x:v>
      </x:c>
      <x:c r="G16" s="2" t="str">
        <x:v>2018</x:v>
      </x:c>
      <x:c r="H16" s="2" t="str">
        <x:v>02</x:v>
      </x:c>
      <x:c r="I16" s="2" t="str">
        <x:v>검토반려</x:v>
      </x:c>
      <x:c r="J16" s="2" t="str">
        <x:v>반려</x:v>
      </x:c>
      <x:c r="K16" s="2" t="str">
        <x:f>IF(OR(J16="심의승인",J16="반려",J16="반려완료",J16="심의완료"),"종결 표시",IF(OR(J16="기후부협의",J16="문서재제출요청",J16="보류",J16="보완요청",J16="보완완료",J16="평가중",J16="반려요청",J16="평가필요",LEFT(J16,5)="보완요청("),"미종결 표시","상태 확인 필요"))</x:f>
        <x:v>종결 표시</x:v>
      </x:c>
      <x:c r="L16" s="2"/>
      <x:c r="M16" s="2"/>
      <x:c r="N16" s="8" t="n">
        <x:f>DATE(2026,10,15)-DATE(2018,2,1)</x:f>
        <x:v>3178</x:v>
      </x:c>
      <x:c r="O16" s="2"/>
      <x:c r="P16" s="2"/>
      <x:c r="Q16" s="2" t="str">
        <x:v>산업전환_외부사업관리Tool_260707_이너젠 수정_LJY_261013.xlsx</x:v>
      </x:c>
      <x:c r="R16" s="2" t="str">
        <x:v>방법론</x:v>
      </x:c>
      <x:c r="S16" s="8" t="n">
        <x:v>12</x:v>
      </x:c>
      <x:c r="T16" s="2"/>
      <x:c r="U16" s="2" t="str"/>
      <x:c r="V16" s="2" t="str">
        <x:v>2021-08-12</x:v>
      </x:c>
      <x:c r="W16" s="2" t="str">
        <x:v>담당기관 확인</x:v>
      </x:c>
      <x:c r="X16" s="2" t="str">
        <x:v>원본·배정 기록 확인</x:v>
      </x:c>
      <x:c r="Y16" s="2" t="str">
        <x:v>ad210cd9ec132cfd447541c8984dc53d30aff0f4fb2dc92d254d49275cc55976</x:v>
      </x:c>
      <x:c r="Z16" s="2" t="n">
        <x:f>SUBTOTAL(103,A16)</x:f>
        <x:v>1</x:v>
      </x:c>
      <x:c r="AA16" s="2" t="str">
        <x:f>IF(K16&lt;&gt;"미종결 표시","대상 아님",IF(N16="","신청일 확인",IF(NOT(ISNUMBER('종합 현황'!$H$5)),"관찰기준 확인",IF('종합 현황'!$H$5&lt;1,"관찰기준 확인",IF(N16&gt;'종합 현황'!$H$5,"내부 관찰 대상","내부 관찰일 이하")))))</x:f>
        <x:v>대상 아님</x:v>
      </x:c>
      <x:c r="AB16" s="2" t="str">
        <x:v>2018-02-01 22:06:56 - 방법론신청
2018-02-01 22:06:57 - 관장기관지정 (미지정)
2018-02-12 13:47:37 - 관장기관지정 (산업통상부)
2021-08-12 13:51:30 - 검토반려
</x:v>
      </x:c>
    </x:row>
    <x:row r="17" ht="42" customHeight="1">
      <x:c r="A17" s="2" t="str">
        <x:v>c34faaca024fce9991c9e92e</x:v>
      </x:c>
      <x:c r="B17" s="2" t="str">
        <x:v>방법론 신청</x:v>
      </x:c>
      <x:c r="C17" s="2" t="str">
        <x:v>공통</x:v>
      </x:c>
      <x:c r="D17" s="7" t="str">
        <x:v>로딩-언로딩 공기압축기에서 고효율 인버터제어형 공기압축기로 교체 사업의 방법론 (극소규모)</x:v>
      </x:c>
      <x:c r="E17" s="2" t="str">
        <x:v>11</x:v>
      </x:c>
      <x:c r="F17" s="2" t="str">
        <x:v>2018-02-18</x:v>
      </x:c>
      <x:c r="G17" s="2" t="str">
        <x:v>2018</x:v>
      </x:c>
      <x:c r="H17" s="2" t="str">
        <x:v>02</x:v>
      </x:c>
      <x:c r="I17" s="2" t="str">
        <x:v>검토반려</x:v>
      </x:c>
      <x:c r="J17" s="2" t="str">
        <x:v>반려</x:v>
      </x:c>
      <x:c r="K17" s="2" t="str">
        <x:f>IF(OR(J17="심의승인",J17="반려",J17="반려완료",J17="심의완료"),"종결 표시",IF(OR(J17="기후부협의",J17="문서재제출요청",J17="보류",J17="보완요청",J17="보완완료",J17="평가중",J17="반려요청",J17="평가필요",LEFT(J17,5)="보완요청("),"미종결 표시","상태 확인 필요"))</x:f>
        <x:v>종결 표시</x:v>
      </x:c>
      <x:c r="L17" s="2"/>
      <x:c r="M17" s="2"/>
      <x:c r="N17" s="8" t="n">
        <x:f>DATE(2026,10,15)-DATE(2018,2,18)</x:f>
        <x:v>3161</x:v>
      </x:c>
      <x:c r="O17" s="2"/>
      <x:c r="P17" s="2"/>
      <x:c r="Q17" s="2" t="str">
        <x:v>산업전환_외부사업관리Tool_260707_이너젠 수정_LJY_261013.xlsx</x:v>
      </x:c>
      <x:c r="R17" s="2" t="str">
        <x:v>방법론</x:v>
      </x:c>
      <x:c r="S17" s="8" t="n">
        <x:v>13</x:v>
      </x:c>
      <x:c r="T17" s="2"/>
      <x:c r="U17" s="2" t="str"/>
      <x:c r="V17" s="2" t="str">
        <x:v>2019-12-26</x:v>
      </x:c>
      <x:c r="W17" s="2" t="str">
        <x:v>담당기관 확인</x:v>
      </x:c>
      <x:c r="X17" s="2" t="str">
        <x:v>원본·배정 기록 확인</x:v>
      </x:c>
      <x:c r="Y17" s="2" t="str">
        <x:v>ad210cd9ec132cfd447541c8984dc53d30aff0f4fb2dc92d254d49275cc55976</x:v>
      </x:c>
      <x:c r="Z17" s="2" t="n">
        <x:f>SUBTOTAL(103,A17)</x:f>
        <x:v>1</x:v>
      </x:c>
      <x:c r="AA17" s="2" t="str">
        <x:f>IF(K17&lt;&gt;"미종결 표시","대상 아님",IF(N17="","신청일 확인",IF(NOT(ISNUMBER('종합 현황'!$H$5)),"관찰기준 확인",IF('종합 현황'!$H$5&lt;1,"관찰기준 확인",IF(N17&gt;'종합 현황'!$H$5,"내부 관찰 대상","내부 관찰일 이하")))))</x:f>
        <x:v>대상 아님</x:v>
      </x:c>
      <x:c r="AB17" s="2" t="str">
        <x:v>2018-02-18 18:52:00 - 방법론신청
2018-02-18 18:52:01 - 관장기관지정 (미지정)
2018-03-08 10:23:05 - 관장기관지정 (산업통상부)
2019-12-26 13:50:40 - 검토반려
</x:v>
      </x:c>
    </x:row>
    <x:row r="18" ht="42" customHeight="1">
      <x:c r="A18" s="2" t="str">
        <x:v>a11901020f5930ab18d32c50</x:v>
      </x:c>
      <x:c r="B18" s="2" t="str">
        <x:v>방법론 신청</x:v>
      </x:c>
      <x:c r="C18" s="2" t="str">
        <x:v>공통</x:v>
      </x:c>
      <x:c r="D18" s="7" t="str">
        <x:v>고효율 설비교체 사업의 방법론 (03A-004-Ver01)_인버터 공기압축기_개정</x:v>
      </x:c>
      <x:c r="E18" s="2" t="str">
        <x:v>12</x:v>
      </x:c>
      <x:c r="F18" s="2" t="str">
        <x:v>2018-03-13</x:v>
      </x:c>
      <x:c r="G18" s="2" t="str">
        <x:v>2018</x:v>
      </x:c>
      <x:c r="H18" s="2" t="str">
        <x:v>03</x:v>
      </x:c>
      <x:c r="I18" s="2" t="str">
        <x:v>검토반려</x:v>
      </x:c>
      <x:c r="J18" s="2" t="str">
        <x:v>반려</x:v>
      </x:c>
      <x:c r="K18" s="2" t="str">
        <x:f>IF(OR(J18="심의승인",J18="반려",J18="반려완료",J18="심의완료"),"종결 표시",IF(OR(J18="기후부협의",J18="문서재제출요청",J18="보류",J18="보완요청",J18="보완완료",J18="평가중",J18="반려요청",J18="평가필요",LEFT(J18,5)="보완요청("),"미종결 표시","상태 확인 필요"))</x:f>
        <x:v>종결 표시</x:v>
      </x:c>
      <x:c r="L18" s="2"/>
      <x:c r="M18" s="2"/>
      <x:c r="N18" s="8" t="n">
        <x:f>DATE(2026,10,15)-DATE(2018,3,13)</x:f>
        <x:v>3138</x:v>
      </x:c>
      <x:c r="O18" s="2"/>
      <x:c r="P18" s="2"/>
      <x:c r="Q18" s="2" t="str">
        <x:v>산업전환_외부사업관리Tool_260707_이너젠 수정_LJY_261013.xlsx</x:v>
      </x:c>
      <x:c r="R18" s="2" t="str">
        <x:v>방법론</x:v>
      </x:c>
      <x:c r="S18" s="8" t="n">
        <x:v>14</x:v>
      </x:c>
      <x:c r="T18" s="2"/>
      <x:c r="U18" s="2" t="str"/>
      <x:c r="V18" s="2" t="str">
        <x:v>2019-12-26</x:v>
      </x:c>
      <x:c r="W18" s="2" t="str">
        <x:v>담당기관 확인</x:v>
      </x:c>
      <x:c r="X18" s="2" t="str">
        <x:v>원본·배정 기록 확인</x:v>
      </x:c>
      <x:c r="Y18" s="2" t="str">
        <x:v>ad210cd9ec132cfd447541c8984dc53d30aff0f4fb2dc92d254d49275cc55976</x:v>
      </x:c>
      <x:c r="Z18" s="2" t="n">
        <x:f>SUBTOTAL(103,A18)</x:f>
        <x:v>1</x:v>
      </x:c>
      <x:c r="AA18" s="2" t="str">
        <x:f>IF(K18&lt;&gt;"미종결 표시","대상 아님",IF(N18="","신청일 확인",IF(NOT(ISNUMBER('종합 현황'!$H$5)),"관찰기준 확인",IF('종합 현황'!$H$5&lt;1,"관찰기준 확인",IF(N18&gt;'종합 현황'!$H$5,"내부 관찰 대상","내부 관찰일 이하")))))</x:f>
        <x:v>대상 아님</x:v>
      </x:c>
      <x:c r="AB18" s="2" t="str">
        <x:v>2018-03-13 11:04:46 - 방법론신청
2018-03-13 11:04:47 - 관장기관지정 (미지정)
2018-03-15 18:13:20 - 관장기관지정 (산업통상부)
2018-07-12 09:31:21 - 문서재제출요청
2018-09-06 17:35:54 - 문서재제출완료
2019-02-08 09:25:48 - 문서재제출요청
2019-02-08 15:56:55 - 문서재제출완료
2019-04-03 13:35:28 - 문서재제출요청
2019-04-11 10:09:10 - 문서재제출완료
2019-04-11 10:12:59 - 문서재제출요청
2019-04-11 21:11:21 - 문서재제출완료
2019-04-12 09:54:09 - 문서재제출요청
2019-04-12 11:21:19 - 문서재제출완료
2019-12-26 13:51:38 - 검토반려
</x:v>
      </x:c>
    </x:row>
    <x:row r="19" ht="42" customHeight="1">
      <x:c r="A19" s="2" t="str">
        <x:v>f201613c487c89e7c61589c8</x:v>
      </x:c>
      <x:c r="B19" s="2" t="str">
        <x:v>방법론 신청</x:v>
      </x:c>
      <x:c r="C19" s="2" t="str">
        <x:v>공통</x:v>
      </x:c>
      <x:c r="D19" s="7" t="str">
        <x:v>온실가스 다배출시설에서 배출되는 배기가스의 이산화탄소 포집 사업에 대한 방법론</x:v>
      </x:c>
      <x:c r="E19" s="2" t="str">
        <x:v>13</x:v>
      </x:c>
      <x:c r="F19" s="2" t="str">
        <x:v>2018-03-15</x:v>
      </x:c>
      <x:c r="G19" s="2" t="str">
        <x:v>2018</x:v>
      </x:c>
      <x:c r="H19" s="2" t="str">
        <x:v>03</x:v>
      </x:c>
      <x:c r="I19" s="2" t="str">
        <x:v>보완완료</x:v>
      </x:c>
      <x:c r="J19" s="2" t="str">
        <x:v>기후부협의</x:v>
      </x:c>
      <x:c r="K19" s="2" t="str">
        <x:f>IF(OR(J19="심의승인",J19="반려",J19="반려완료",J19="심의완료"),"종결 표시",IF(OR(J19="기후부협의",J19="문서재제출요청",J19="보류",J19="보완요청",J19="보완완료",J19="평가중",J19="반려요청",J19="평가필요",LEFT(J19,5)="보완요청("),"미종결 표시","상태 확인 필요"))</x:f>
        <x:v>미종결 표시</x:v>
      </x:c>
      <x:c r="L19" s="2" t="str">
        <x:v>한다솔</x:v>
      </x:c>
      <x:c r="M19" s="2"/>
      <x:c r="N19" s="8" t="n">
        <x:f>DATE(2026,10,15)-DATE(2018,3,15)</x:f>
        <x:v>3136</x:v>
      </x:c>
      <x:c r="O19" s="2"/>
      <x:c r="P19" s="2" t="str">
        <x:v>CCUS 평가 보류</x:v>
      </x:c>
      <x:c r="Q19" s="2" t="str">
        <x:v>산업전환_외부사업관리Tool_260707_이너젠 수정_LJY_261013.xlsx</x:v>
      </x:c>
      <x:c r="R19" s="2" t="str">
        <x:v>방법론</x:v>
      </x:c>
      <x:c r="S19" s="8" t="n">
        <x:v>15</x:v>
      </x:c>
      <x:c r="T19" s="2"/>
      <x:c r="U19" s="2" t="str"/>
      <x:c r="V19" s="2" t="str">
        <x:v>2026-03-13</x:v>
      </x:c>
      <x:c r="W19" s="2" t="str"/>
      <x:c r="X19" s="2" t="str">
        <x:v>검토 진행 일정 확인</x:v>
      </x:c>
      <x:c r="Y19" s="2" t="str">
        <x:v>ad210cd9ec132cfd447541c8984dc53d30aff0f4fb2dc92d254d49275cc55976</x:v>
      </x:c>
      <x:c r="Z19" s="2" t="n">
        <x:f>SUBTOTAL(103,A19)</x:f>
        <x:v>1</x:v>
      </x:c>
      <x:c r="AA19" s="2" t="str">
        <x:f>IF(K19&lt;&gt;"미종결 표시","대상 아님",IF(N19="","신청일 확인",IF(NOT(ISNUMBER('종합 현황'!$H$5)),"관찰기준 확인",IF('종합 현황'!$H$5&lt;1,"관찰기준 확인",IF(N19&gt;'종합 현황'!$H$5,"내부 관찰 대상","내부 관찰일 이하")))))</x:f>
        <x:v>내부 관찰 대상</x:v>
      </x:c>
      <x:c r="AB19" s="2" t="str">
        <x:v>2018-03-15 12:51:58 - 방법론신청
2018-03-15 12:51:59 - 관장기관지정 (기후에너지환경부)
2018-04-09 16:34:40 - 관장기관지정 (산업통상부)
2018-07-12 10:43:05 - 문서재제출요청
2018-08-06 08:52:26 - 문서재제출완료
2018-08-21 17:27:51 - 문서재제출요청
2018-08-24 13:55:19 - 문서재제출완료
2019-02-14 17:33:40 - 보완요청
2019-03-14 17:58:36 - 문서보완접수
2019-12-26 11:14:36 - 보완요청
2020-11-26 18:37:42 - 문서보완접수
2020-12-29 16:47:49 - 보완요청
2021-04-07 12:26:01 - 문서보완접수
2021-04-15 19:08:34 - 문서재제출요청
2021-06-18 18:26:04 - 문서재제출완료
2021-06-29 09:51:37 - 문서재제출요청
2021-07-01 17:48:08 - 문서재제출완료
2021-08-23 16:18:20 - 문서재제출요청
2021-08-24 18:04:01 - 문서재제출완료
2021-10-28 11:14:58 - 문서재제출요청
2023-08-03 16:23:16 - 문서재제출완료
2023-11-01 11:46:00 - 문서재제출요청
2024-03-18 15:21:02 - 문서재제출완료
2024-06-19 14:06:11 - 검토승인
2024-06-19 14:10:00 - 협의검토중 (협의 요청일 : 2021-10-28)
2024-06-19 14:11:18 - 협의통보 (협의 통보일 : 2021-10-28)
2026-03-13 14:45:44 - 문서보완접수
</x:v>
      </x:c>
    </x:row>
    <x:row r="20" ht="42" customHeight="1">
      <x:c r="A20" s="2" t="str">
        <x:v>e43dec7bdafc08dd51168882</x:v>
      </x:c>
      <x:c r="B20" s="2" t="str">
        <x:v>방법론 신청</x:v>
      </x:c>
      <x:c r="C20" s="2" t="str">
        <x:v>공통</x:v>
      </x:c>
      <x:c r="D20" s="7" t="str">
        <x:v>고효율 설비(인덕션히터) 교체를 통한 온실가스 배출 감축사업</x:v>
      </x:c>
      <x:c r="E20" s="2" t="str">
        <x:v>14</x:v>
      </x:c>
      <x:c r="F20" s="2" t="str">
        <x:v>2018-04-27</x:v>
      </x:c>
      <x:c r="G20" s="2" t="str">
        <x:v>2018</x:v>
      </x:c>
      <x:c r="H20" s="2" t="str">
        <x:v>04</x:v>
      </x:c>
      <x:c r="I20" s="2" t="str">
        <x:v>검토반려</x:v>
      </x:c>
      <x:c r="J20" s="2" t="str">
        <x:v>반려</x:v>
      </x:c>
      <x:c r="K20" s="2" t="str">
        <x:f>IF(OR(J20="심의승인",J20="반려",J20="반려완료",J20="심의완료"),"종결 표시",IF(OR(J20="기후부협의",J20="문서재제출요청",J20="보류",J20="보완요청",J20="보완완료",J20="평가중",J20="반려요청",J20="평가필요",LEFT(J20,5)="보완요청("),"미종결 표시","상태 확인 필요"))</x:f>
        <x:v>종결 표시</x:v>
      </x:c>
      <x:c r="L20" s="2"/>
      <x:c r="M20" s="2"/>
      <x:c r="N20" s="8" t="n">
        <x:f>DATE(2026,10,15)-DATE(2018,4,27)</x:f>
        <x:v>3093</x:v>
      </x:c>
      <x:c r="O20" s="2"/>
      <x:c r="P20" s="2"/>
      <x:c r="Q20" s="2" t="str">
        <x:v>산업전환_외부사업관리Tool_260707_이너젠 수정_LJY_261013.xlsx</x:v>
      </x:c>
      <x:c r="R20" s="2" t="str">
        <x:v>방법론</x:v>
      </x:c>
      <x:c r="S20" s="8" t="n">
        <x:v>16</x:v>
      </x:c>
      <x:c r="T20" s="2"/>
      <x:c r="U20" s="2" t="str"/>
      <x:c r="V20" s="2" t="str">
        <x:v>2021-08-12</x:v>
      </x:c>
      <x:c r="W20" s="2" t="str">
        <x:v>담당기관 확인</x:v>
      </x:c>
      <x:c r="X20" s="2" t="str">
        <x:v>원본·배정 기록 확인</x:v>
      </x:c>
      <x:c r="Y20" s="2" t="str">
        <x:v>ad210cd9ec132cfd447541c8984dc53d30aff0f4fb2dc92d254d49275cc55976</x:v>
      </x:c>
      <x:c r="Z20" s="2" t="n">
        <x:f>SUBTOTAL(103,A20)</x:f>
        <x:v>1</x:v>
      </x:c>
      <x:c r="AA20" s="2" t="str">
        <x:f>IF(K20&lt;&gt;"미종결 표시","대상 아님",IF(N20="","신청일 확인",IF(NOT(ISNUMBER('종합 현황'!$H$5)),"관찰기준 확인",IF('종합 현황'!$H$5&lt;1,"관찰기준 확인",IF(N20&gt;'종합 현황'!$H$5,"내부 관찰 대상","내부 관찰일 이하")))))</x:f>
        <x:v>대상 아님</x:v>
      </x:c>
      <x:c r="AB20" s="2" t="str">
        <x:v>2018-04-27 10:41:56 - 방법론신청
2018-04-27 10:41:57 - 관장기관지정 (기후에너지환경부)
2018-05-30 08:44:21 - 관장기관지정 (산업통상부)
2021-08-12 13:51:50 - 검토반려
</x:v>
      </x:c>
    </x:row>
    <x:row r="21" ht="42" customHeight="1">
      <x:c r="A21" s="2" t="str">
        <x:v>4803d08b214836d89e96af6a</x:v>
      </x:c>
      <x:c r="B21" s="2" t="str">
        <x:v>방법론 신청</x:v>
      </x:c>
      <x:c r="C21" s="2" t="str">
        <x:v>공통</x:v>
      </x:c>
      <x:c r="D21" s="7" t="str">
        <x:v>고순도 N2O 제조 시 정제기에서 대기로 배출되는 배기가스를 회수하여 고순도 N2O를 생산하는 사업의 방법론</x:v>
      </x:c>
      <x:c r="E21" s="2" t="str">
        <x:v>15</x:v>
      </x:c>
      <x:c r="F21" s="2" t="str">
        <x:v>2018-05-18</x:v>
      </x:c>
      <x:c r="G21" s="2" t="str">
        <x:v>2018</x:v>
      </x:c>
      <x:c r="H21" s="2" t="str">
        <x:v>05</x:v>
      </x:c>
      <x:c r="I21" s="2" t="str">
        <x:v>검토반려</x:v>
      </x:c>
      <x:c r="J21" s="2" t="str">
        <x:v>반려</x:v>
      </x:c>
      <x:c r="K21" s="2" t="str">
        <x:f>IF(OR(J21="심의승인",J21="반려",J21="반려완료",J21="심의완료"),"종결 표시",IF(OR(J21="기후부협의",J21="문서재제출요청",J21="보류",J21="보완요청",J21="보완완료",J21="평가중",J21="반려요청",J21="평가필요",LEFT(J21,5)="보완요청("),"미종결 표시","상태 확인 필요"))</x:f>
        <x:v>종결 표시</x:v>
      </x:c>
      <x:c r="L21" s="2"/>
      <x:c r="M21" s="2"/>
      <x:c r="N21" s="8" t="n">
        <x:f>DATE(2026,10,15)-DATE(2018,5,18)</x:f>
        <x:v>3072</x:v>
      </x:c>
      <x:c r="O21" s="2"/>
      <x:c r="P21" s="2"/>
      <x:c r="Q21" s="2" t="str">
        <x:v>산업전환_외부사업관리Tool_260707_이너젠 수정_LJY_261013.xlsx</x:v>
      </x:c>
      <x:c r="R21" s="2" t="str">
        <x:v>방법론</x:v>
      </x:c>
      <x:c r="S21" s="8" t="n">
        <x:v>17</x:v>
      </x:c>
      <x:c r="T21" s="2"/>
      <x:c r="U21" s="2" t="str"/>
      <x:c r="V21" s="2" t="str">
        <x:v>2021-08-12</x:v>
      </x:c>
      <x:c r="W21" s="2" t="str">
        <x:v>담당기관 확인</x:v>
      </x:c>
      <x:c r="X21" s="2" t="str">
        <x:v>원본·배정 기록 확인</x:v>
      </x:c>
      <x:c r="Y21" s="2" t="str">
        <x:v>ad210cd9ec132cfd447541c8984dc53d30aff0f4fb2dc92d254d49275cc55976</x:v>
      </x:c>
      <x:c r="Z21" s="2" t="n">
        <x:f>SUBTOTAL(103,A21)</x:f>
        <x:v>1</x:v>
      </x:c>
      <x:c r="AA21" s="2" t="str">
        <x:f>IF(K21&lt;&gt;"미종결 표시","대상 아님",IF(N21="","신청일 확인",IF(NOT(ISNUMBER('종합 현황'!$H$5)),"관찰기준 확인",IF('종합 현황'!$H$5&lt;1,"관찰기준 확인",IF(N21&gt;'종합 현황'!$H$5,"내부 관찰 대상","내부 관찰일 이하")))))</x:f>
        <x:v>대상 아님</x:v>
      </x:c>
      <x:c r="AB21" s="2" t="str">
        <x:v>2018-05-18 15:00:35 - 방법론신청
2018-05-18 15:00:36 - 관장기관지정 (기후에너지환경부)
2018-05-30 08:48:00 - 관장기관지정 (산업통상부)
2018-07-12 10:42:48 - 문서재제출요청
2018-07-27 13:52:52 - 문서재제출완료
2021-08-12 13:52:07 - 검토반려
</x:v>
      </x:c>
    </x:row>
    <x:row r="22" ht="42" customHeight="1">
      <x:c r="A22" s="2" t="str">
        <x:v>e6938a96779acceae7c17eaf</x:v>
      </x:c>
      <x:c r="B22" s="2" t="str">
        <x:v>방법론 신청</x:v>
      </x:c>
      <x:c r="C22" s="2" t="str">
        <x:v>공통</x:v>
      </x:c>
      <x:c r="D22" s="7" t="str">
        <x:v>디스플레이 제조공정 공정가스 대체를 통한 온실가스 감축사업 방법론</x:v>
      </x:c>
      <x:c r="E22" s="2" t="str">
        <x:v>16</x:v>
      </x:c>
      <x:c r="F22" s="2" t="str">
        <x:v>2018-08-31</x:v>
      </x:c>
      <x:c r="G22" s="2" t="str">
        <x:v>2018</x:v>
      </x:c>
      <x:c r="H22" s="2" t="str">
        <x:v>08</x:v>
      </x:c>
      <x:c r="I22" s="2" t="str">
        <x:v>검토반려</x:v>
      </x:c>
      <x:c r="J22" s="2" t="str">
        <x:v>반려</x:v>
      </x:c>
      <x:c r="K22" s="2" t="str">
        <x:f>IF(OR(J22="심의승인",J22="반려",J22="반려완료",J22="심의완료"),"종결 표시",IF(OR(J22="기후부협의",J22="문서재제출요청",J22="보류",J22="보완요청",J22="보완완료",J22="평가중",J22="반려요청",J22="평가필요",LEFT(J22,5)="보완요청("),"미종결 표시","상태 확인 필요"))</x:f>
        <x:v>종결 표시</x:v>
      </x:c>
      <x:c r="L22" s="2"/>
      <x:c r="M22" s="2"/>
      <x:c r="N22" s="8" t="n">
        <x:f>DATE(2026,10,15)-DATE(2018,8,31)</x:f>
        <x:v>2967</x:v>
      </x:c>
      <x:c r="O22" s="2"/>
      <x:c r="P22" s="2"/>
      <x:c r="Q22" s="2" t="str">
        <x:v>산업전환_외부사업관리Tool_260707_이너젠 수정_LJY_261013.xlsx</x:v>
      </x:c>
      <x:c r="R22" s="2" t="str">
        <x:v>방법론</x:v>
      </x:c>
      <x:c r="S22" s="8" t="n">
        <x:v>18</x:v>
      </x:c>
      <x:c r="T22" s="2"/>
      <x:c r="U22" s="2" t="str"/>
      <x:c r="V22" s="2" t="str">
        <x:v>2021-08-12</x:v>
      </x:c>
      <x:c r="W22" s="2" t="str">
        <x:v>담당기관 확인</x:v>
      </x:c>
      <x:c r="X22" s="2" t="str">
        <x:v>원본·배정 기록 확인</x:v>
      </x:c>
      <x:c r="Y22" s="2" t="str">
        <x:v>ad210cd9ec132cfd447541c8984dc53d30aff0f4fb2dc92d254d49275cc55976</x:v>
      </x:c>
      <x:c r="Z22" s="2" t="n">
        <x:f>SUBTOTAL(103,A22)</x:f>
        <x:v>1</x:v>
      </x:c>
      <x:c r="AA22" s="2" t="str">
        <x:f>IF(K22&lt;&gt;"미종결 표시","대상 아님",IF(N22="","신청일 확인",IF(NOT(ISNUMBER('종합 현황'!$H$5)),"관찰기준 확인",IF('종합 현황'!$H$5&lt;1,"관찰기준 확인",IF(N22&gt;'종합 현황'!$H$5,"내부 관찰 대상","내부 관찰일 이하")))))</x:f>
        <x:v>대상 아님</x:v>
      </x:c>
      <x:c r="AB22" s="2" t="str">
        <x:v>2018-08-31 18:22:29 - 방법론신청
2018-08-31 18:22:30 - 관장기관지정 (기후에너지환경부)
2018-09-03 09:12:48 - 관장기관지정 (산업통상부)
2018-10-22 09:18:42 - 문서재제출요청
2018-10-23 10:58:26 - 문서재제출완료
2021-08-12 13:52:27 - 검토반려
</x:v>
      </x:c>
    </x:row>
    <x:row r="23" ht="42" customHeight="1">
      <x:c r="A23" s="2" t="str">
        <x:v>66614640f96a64a9f1c3b6fd</x:v>
      </x:c>
      <x:c r="B23" s="2" t="str">
        <x:v>방법론 신청</x:v>
      </x:c>
      <x:c r="C23" s="2" t="str">
        <x:v>공통</x:v>
      </x:c>
      <x:c r="D23" s="7" t="str">
        <x:v>디스플레이 제조공정 FCs 가스 처리를 통한 온실가스 감축사업 방법론</x:v>
      </x:c>
      <x:c r="E23" s="2" t="str">
        <x:v>17</x:v>
      </x:c>
      <x:c r="F23" s="2" t="str">
        <x:v>2018-08-31</x:v>
      </x:c>
      <x:c r="G23" s="2" t="str">
        <x:v>2018</x:v>
      </x:c>
      <x:c r="H23" s="2" t="str">
        <x:v>08</x:v>
      </x:c>
      <x:c r="I23" s="2" t="str">
        <x:v>검토반려</x:v>
      </x:c>
      <x:c r="J23" s="2" t="str">
        <x:v>반려</x:v>
      </x:c>
      <x:c r="K23" s="2" t="str">
        <x:f>IF(OR(J23="심의승인",J23="반려",J23="반려완료",J23="심의완료"),"종결 표시",IF(OR(J23="기후부협의",J23="문서재제출요청",J23="보류",J23="보완요청",J23="보완완료",J23="평가중",J23="반려요청",J23="평가필요",LEFT(J23,5)="보완요청("),"미종결 표시","상태 확인 필요"))</x:f>
        <x:v>종결 표시</x:v>
      </x:c>
      <x:c r="L23" s="2"/>
      <x:c r="M23" s="2"/>
      <x:c r="N23" s="8" t="n">
        <x:f>DATE(2026,10,15)-DATE(2018,8,31)</x:f>
        <x:v>2967</x:v>
      </x:c>
      <x:c r="O23" s="2"/>
      <x:c r="P23" s="2"/>
      <x:c r="Q23" s="2" t="str">
        <x:v>산업전환_외부사업관리Tool_260707_이너젠 수정_LJY_261013.xlsx</x:v>
      </x:c>
      <x:c r="R23" s="2" t="str">
        <x:v>방법론</x:v>
      </x:c>
      <x:c r="S23" s="8" t="n">
        <x:v>19</x:v>
      </x:c>
      <x:c r="T23" s="2"/>
      <x:c r="U23" s="2" t="str"/>
      <x:c r="V23" s="2" t="str">
        <x:v>2023-03-14</x:v>
      </x:c>
      <x:c r="W23" s="2" t="str">
        <x:v>담당기관 확인</x:v>
      </x:c>
      <x:c r="X23" s="2" t="str">
        <x:v>원본·배정 기록 확인</x:v>
      </x:c>
      <x:c r="Y23" s="2" t="str">
        <x:v>ad210cd9ec132cfd447541c8984dc53d30aff0f4fb2dc92d254d49275cc55976</x:v>
      </x:c>
      <x:c r="Z23" s="2" t="n">
        <x:f>SUBTOTAL(103,A23)</x:f>
        <x:v>1</x:v>
      </x:c>
      <x:c r="AA23" s="2" t="str">
        <x:f>IF(K23&lt;&gt;"미종결 표시","대상 아님",IF(N23="","신청일 확인",IF(NOT(ISNUMBER('종합 현황'!$H$5)),"관찰기준 확인",IF('종합 현황'!$H$5&lt;1,"관찰기준 확인",IF(N23&gt;'종합 현황'!$H$5,"내부 관찰 대상","내부 관찰일 이하")))))</x:f>
        <x:v>대상 아님</x:v>
      </x:c>
      <x:c r="AB23" s="2" t="str">
        <x:v>2018-08-31 19:31:26 - 방법론신청
2018-08-31 19:31:27 - 관장기관지정 (기후에너지환경부)
2018-09-03 09:12:36 - 관장기관지정 (산업통상부)
2018-10-22 09:18:31 - 문서재제출요청
2018-10-23 11:03:33 - 문서재제출완료
2019-03-05 17:47:18 - 보완요청
2020-11-30 17:42:49 - 문서보완접수
2021-05-24 11:18:50 - 보완요청
2021-06-18 13:56:36 - 문서보완접수
2021-07-01 17:11:28 - 보완요청
2021-07-30 10:37:50 - 문서보완접수
2021-10-13 16:29:00 - 보완요청
2021-12-13 21:17:41 - 문서보완접수
2022-01-26 15:46:54 - 문서재제출요청
2022-03-29 08:24:06 - 문서재제출완료
2022-05-19 15:08:17 - 보완요청
2022-06-09 13:59:03 - 문서보완접수
2022-06-29 15:39:47 - 문서재제출요청
2022-12-16 13:46:02 - 문서재제출완료
2023-03-14 18:41:10 - 검토반려
</x:v>
      </x:c>
    </x:row>
    <x:row r="24" ht="42" customHeight="1">
      <x:c r="A24" s="2" t="str">
        <x:v>c9b4203b39a470e8e3a3f506</x:v>
      </x:c>
      <x:c r="B24" s="2" t="str">
        <x:v>방법론 신청</x:v>
      </x:c>
      <x:c r="C24" s="2" t="str">
        <x:v>공통</x:v>
      </x:c>
      <x:c r="D24" s="7" t="str">
        <x:v>발포제로 사용되는 HFC-152a 회수·정제 및 재사용을 통한 HFC-152a 감축사업의 방법론</x:v>
      </x:c>
      <x:c r="E24" s="2" t="str">
        <x:v>18</x:v>
      </x:c>
      <x:c r="F24" s="2" t="str">
        <x:v>2018-10-17</x:v>
      </x:c>
      <x:c r="G24" s="2" t="str">
        <x:v>2018</x:v>
      </x:c>
      <x:c r="H24" s="2" t="str">
        <x:v>10</x:v>
      </x:c>
      <x:c r="I24" s="2" t="str">
        <x:v>심의승인</x:v>
      </x:c>
      <x:c r="J24" s="2" t="str">
        <x:v>심의승인</x:v>
      </x:c>
      <x:c r="K24" s="2" t="str">
        <x:f>IF(OR(J24="심의승인",J24="반려",J24="반려완료",J24="심의완료"),"종결 표시",IF(OR(J24="기후부협의",J24="문서재제출요청",J24="보류",J24="보완요청",J24="보완완료",J24="평가중",J24="반려요청",J24="평가필요",LEFT(J24,5)="보완요청("),"미종결 표시","상태 확인 필요"))</x:f>
        <x:v>종결 표시</x:v>
      </x:c>
      <x:c r="L24" s="2"/>
      <x:c r="M24" s="2"/>
      <x:c r="N24" s="8" t="n">
        <x:f>DATE(2026,10,15)-DATE(2018,10,17)</x:f>
        <x:v>2920</x:v>
      </x:c>
      <x:c r="O24" s="2"/>
      <x:c r="P24" s="2"/>
      <x:c r="Q24" s="2" t="str">
        <x:v>산업전환_외부사업관리Tool_260707_이너젠 수정_LJY_261013.xlsx</x:v>
      </x:c>
      <x:c r="R24" s="2" t="str">
        <x:v>방법론</x:v>
      </x:c>
      <x:c r="S24" s="8" t="n">
        <x:v>20</x:v>
      </x:c>
      <x:c r="T24" s="2"/>
      <x:c r="U24" s="2" t="str"/>
      <x:c r="V24" s="2" t="str">
        <x:v>2021-03-18</x:v>
      </x:c>
      <x:c r="W24" s="2" t="str">
        <x:v>담당기관 확인</x:v>
      </x:c>
      <x:c r="X24" s="2" t="str">
        <x:v>원본·배정 기록 확인</x:v>
      </x:c>
      <x:c r="Y24" s="2" t="str">
        <x:v>ad210cd9ec132cfd447541c8984dc53d30aff0f4fb2dc92d254d49275cc55976</x:v>
      </x:c>
      <x:c r="Z24" s="2" t="n">
        <x:f>SUBTOTAL(103,A24)</x:f>
        <x:v>1</x:v>
      </x:c>
      <x:c r="AA24" s="2" t="str">
        <x:f>IF(K24&lt;&gt;"미종결 표시","대상 아님",IF(N24="","신청일 확인",IF(NOT(ISNUMBER('종합 현황'!$H$5)),"관찰기준 확인",IF('종합 현황'!$H$5&lt;1,"관찰기준 확인",IF(N24&gt;'종합 현황'!$H$5,"내부 관찰 대상","내부 관찰일 이하")))))</x:f>
        <x:v>대상 아님</x:v>
      </x:c>
      <x:c r="AB24" s="2" t="str">
        <x:v>2018-10-17 23:59:28 - 방법론신청
2018-10-17 23:59:29 - 관장기관지정 (기후에너지환경부)
2018-10-19 11:33:10 - 관장기관지정 (산업통상부)
2018-10-22 09:18:16 - 문서재제출요청
2018-11-22 15:34:29 - 문서재제출완료
2019-02-14 17:21:49 - 보완요청
2019-08-22 00:31:13 - 문서보완접수
2019-12-10 10:56:30 - 보완요청
2020-04-03 16:59:55 - 문서보완접수
2020-07-29 10:26:55 - 보완요청
2020-07-31 20:34:09 - 문서보완접수
2020-08-06 17:12:35 - 문서재제출요청
2020-08-06 18:38:12 - 문서재제출완료
2020-08-07 15:47:57 - 문서재제출요청
2020-08-07 16:00:40 - 문서재제출완료
2020-08-07 16:04:22 - 문서재제출완료
2020-08-07 16:04:29 - 문서재제출요청
2020-09-17 16:02:35 - 문서재제출요청
2020-12-04 18:36:39 - 문서재제출완료
2021-02-02 13:50:29 - 문서재제출요청
2021-02-02 14:04:03 - 문서재제출완료
2021-02-02 14:39:53 - 문서재제출요청
2021-02-02 14:40:55 - 문서재제출완료
2021-03-08 14:41:27 - 검토승인
2021-03-18 17:19:42 - 심의승인
</x:v>
      </x:c>
    </x:row>
    <x:row r="25" ht="42" customHeight="1">
      <x:c r="A25" s="2" t="str">
        <x:v>4ac6c5fcf782198e776d7481</x:v>
      </x:c>
      <x:c r="B25" s="2" t="str">
        <x:v>방법론 신청</x:v>
      </x:c>
      <x:c r="C25" s="2" t="str">
        <x:v>공통</x:v>
      </x:c>
      <x:c r="D25" s="7" t="str">
        <x:v>냉동기에서 냉각탑으로 냉각수 공급 방식 변경 방법론</x:v>
      </x:c>
      <x:c r="E25" s="2" t="str">
        <x:v>19</x:v>
      </x:c>
      <x:c r="F25" s="2" t="str">
        <x:v>2018-10-19</x:v>
      </x:c>
      <x:c r="G25" s="2" t="str">
        <x:v>2018</x:v>
      </x:c>
      <x:c r="H25" s="2" t="str">
        <x:v>10</x:v>
      </x:c>
      <x:c r="I25" s="2" t="str">
        <x:v>검토반려</x:v>
      </x:c>
      <x:c r="J25" s="2" t="str">
        <x:v>반려</x:v>
      </x:c>
      <x:c r="K25" s="2" t="str">
        <x:f>IF(OR(J25="심의승인",J25="반려",J25="반려완료",J25="심의완료"),"종결 표시",IF(OR(J25="기후부협의",J25="문서재제출요청",J25="보류",J25="보완요청",J25="보완완료",J25="평가중",J25="반려요청",J25="평가필요",LEFT(J25,5)="보완요청("),"미종결 표시","상태 확인 필요"))</x:f>
        <x:v>종결 표시</x:v>
      </x:c>
      <x:c r="L25" s="2"/>
      <x:c r="M25" s="2"/>
      <x:c r="N25" s="8" t="n">
        <x:f>DATE(2026,10,15)-DATE(2018,10,19)</x:f>
        <x:v>2918</x:v>
      </x:c>
      <x:c r="O25" s="2"/>
      <x:c r="P25" s="2"/>
      <x:c r="Q25" s="2" t="str">
        <x:v>산업전환_외부사업관리Tool_260707_이너젠 수정_LJY_261013.xlsx</x:v>
      </x:c>
      <x:c r="R25" s="2" t="str">
        <x:v>방법론</x:v>
      </x:c>
      <x:c r="S25" s="8" t="n">
        <x:v>21</x:v>
      </x:c>
      <x:c r="T25" s="2"/>
      <x:c r="U25" s="2" t="str"/>
      <x:c r="V25" s="2" t="str">
        <x:v>2021-11-03</x:v>
      </x:c>
      <x:c r="W25" s="2" t="str">
        <x:v>담당기관 확인</x:v>
      </x:c>
      <x:c r="X25" s="2" t="str">
        <x:v>원본·배정 기록 확인</x:v>
      </x:c>
      <x:c r="Y25" s="2" t="str">
        <x:v>ad210cd9ec132cfd447541c8984dc53d30aff0f4fb2dc92d254d49275cc55976</x:v>
      </x:c>
      <x:c r="Z25" s="2" t="n">
        <x:f>SUBTOTAL(103,A25)</x:f>
        <x:v>1</x:v>
      </x:c>
      <x:c r="AA25" s="2" t="str">
        <x:f>IF(K25&lt;&gt;"미종결 표시","대상 아님",IF(N25="","신청일 확인",IF(NOT(ISNUMBER('종합 현황'!$H$5)),"관찰기준 확인",IF('종합 현황'!$H$5&lt;1,"관찰기준 확인",IF(N25&gt;'종합 현황'!$H$5,"내부 관찰 대상","내부 관찰일 이하")))))</x:f>
        <x:v>대상 아님</x:v>
      </x:c>
      <x:c r="AB25" s="2" t="str">
        <x:v>2018-10-19 15:55:14 - 방법론신청
2018-10-19 15:55:15 - 관장기관지정 (기후에너지환경부)
2018-10-22 09:10:56 - 관장기관지정 (산업통상부)
2018-10-22 09:18:00 - 문서재제출요청
2018-10-22 16:52:33 - 문서재제출완료
2019-02-27 14:02:10 - 보완요청
2019-05-02 08:13:29 - 문서보완접수
2019-12-04 17:56:42 - 보완요청
2020-11-27 15:42:35 - 문서보완접수
2020-12-30 16:13:39 - 보완요청
2021-06-18 21:43:03 - 문서보완접수
2021-11-03 15:10:12 - 검토반려
</x:v>
      </x:c>
    </x:row>
    <x:row r="26" ht="42" customHeight="1">
      <x:c r="A26" s="2" t="str">
        <x:v>0d39557c0112669651a098b3</x:v>
      </x:c>
      <x:c r="B26" s="2" t="str">
        <x:v>방법론 신청</x:v>
      </x:c>
      <x:c r="C26" s="2" t="str">
        <x:v>공통</x:v>
      </x:c>
      <x:c r="D26" s="7" t="str">
        <x:v>고효율 삼상유도전동기의 개선/교체 또는 신규 설치 사업의 방법론</x:v>
      </x:c>
      <x:c r="E26" s="2" t="str">
        <x:v>20</x:v>
      </x:c>
      <x:c r="F26" s="2" t="str">
        <x:v>2018-10-19</x:v>
      </x:c>
      <x:c r="G26" s="2" t="str">
        <x:v>2018</x:v>
      </x:c>
      <x:c r="H26" s="2" t="str">
        <x:v>10</x:v>
      </x:c>
      <x:c r="I26" s="2" t="str">
        <x:v>검토반려</x:v>
      </x:c>
      <x:c r="J26" s="2" t="str">
        <x:v>반려</x:v>
      </x:c>
      <x:c r="K26" s="2" t="str">
        <x:f>IF(OR(J26="심의승인",J26="반려",J26="반려완료",J26="심의완료"),"종결 표시",IF(OR(J26="기후부협의",J26="문서재제출요청",J26="보류",J26="보완요청",J26="보완완료",J26="평가중",J26="반려요청",J26="평가필요",LEFT(J26,5)="보완요청("),"미종결 표시","상태 확인 필요"))</x:f>
        <x:v>종결 표시</x:v>
      </x:c>
      <x:c r="L26" s="2"/>
      <x:c r="M26" s="2"/>
      <x:c r="N26" s="8" t="n">
        <x:f>DATE(2026,10,15)-DATE(2018,10,19)</x:f>
        <x:v>2918</x:v>
      </x:c>
      <x:c r="O26" s="2"/>
      <x:c r="P26" s="2"/>
      <x:c r="Q26" s="2" t="str">
        <x:v>산업전환_외부사업관리Tool_260707_이너젠 수정_LJY_261013.xlsx</x:v>
      </x:c>
      <x:c r="R26" s="2" t="str">
        <x:v>방법론</x:v>
      </x:c>
      <x:c r="S26" s="8" t="n">
        <x:v>22</x:v>
      </x:c>
      <x:c r="T26" s="2"/>
      <x:c r="U26" s="2" t="str"/>
      <x:c r="V26" s="2" t="str">
        <x:v>2021-11-03</x:v>
      </x:c>
      <x:c r="W26" s="2" t="str">
        <x:v>담당기관 확인</x:v>
      </x:c>
      <x:c r="X26" s="2" t="str">
        <x:v>원본·배정 기록 확인</x:v>
      </x:c>
      <x:c r="Y26" s="2" t="str">
        <x:v>ad210cd9ec132cfd447541c8984dc53d30aff0f4fb2dc92d254d49275cc55976</x:v>
      </x:c>
      <x:c r="Z26" s="2" t="n">
        <x:f>SUBTOTAL(103,A26)</x:f>
        <x:v>1</x:v>
      </x:c>
      <x:c r="AA26" s="2" t="str">
        <x:f>IF(K26&lt;&gt;"미종결 표시","대상 아님",IF(N26="","신청일 확인",IF(NOT(ISNUMBER('종합 현황'!$H$5)),"관찰기준 확인",IF('종합 현황'!$H$5&lt;1,"관찰기준 확인",IF(N26&gt;'종합 현황'!$H$5,"내부 관찰 대상","내부 관찰일 이하")))))</x:f>
        <x:v>대상 아님</x:v>
      </x:c>
      <x:c r="AB26" s="2" t="str">
        <x:v>2018-10-19 15:56:08 - 방법론신청
2018-10-19 15:56:09 - 관장기관지정 (기후에너지환경부)
2018-10-22 09:10:48 - 관장기관지정 (산업통상부)
2018-10-22 09:17:49 - 문서재제출요청
2018-10-22 16:55:39 - 문서재제출완료
2019-11-25 16:59:11 - 보완요청
2020-11-17 16:24:42 - 문서보완접수
2020-12-30 11:12:18 - 보완요청
2021-06-18 21:44:06 - 문서보완접수
2021-11-03 15:10:32 - 검토반려
</x:v>
      </x:c>
    </x:row>
    <x:row r="27" ht="42" customHeight="1">
      <x:c r="A27" s="2" t="str">
        <x:v>a73b793f87b8714bae109ca0</x:v>
      </x:c>
      <x:c r="B27" s="2" t="str">
        <x:v>방법론 신청</x:v>
      </x:c>
      <x:c r="C27" s="2" t="str">
        <x:v>공통</x:v>
      </x:c>
      <x:c r="D27" s="7" t="str">
        <x:v>단위공정 내 배기열 히수 및 투입 열매체 가온 에너지 절감</x:v>
      </x:c>
      <x:c r="E27" s="2" t="str">
        <x:v>21</x:v>
      </x:c>
      <x:c r="F27" s="2" t="str">
        <x:v>2018-11-30</x:v>
      </x:c>
      <x:c r="G27" s="2" t="str">
        <x:v>2018</x:v>
      </x:c>
      <x:c r="H27" s="2" t="str">
        <x:v>11</x:v>
      </x:c>
      <x:c r="I27" s="2" t="str">
        <x:v>검토반려</x:v>
      </x:c>
      <x:c r="J27" s="2" t="str">
        <x:v>반려</x:v>
      </x:c>
      <x:c r="K27" s="2" t="str">
        <x:f>IF(OR(J27="심의승인",J27="반려",J27="반려완료",J27="심의완료"),"종결 표시",IF(OR(J27="기후부협의",J27="문서재제출요청",J27="보류",J27="보완요청",J27="보완완료",J27="평가중",J27="반려요청",J27="평가필요",LEFT(J27,5)="보완요청("),"미종결 표시","상태 확인 필요"))</x:f>
        <x:v>종결 표시</x:v>
      </x:c>
      <x:c r="L27" s="2"/>
      <x:c r="M27" s="2"/>
      <x:c r="N27" s="8" t="n">
        <x:f>DATE(2026,10,15)-DATE(2018,11,30)</x:f>
        <x:v>2876</x:v>
      </x:c>
      <x:c r="O27" s="2"/>
      <x:c r="P27" s="2"/>
      <x:c r="Q27" s="2" t="str">
        <x:v>산업전환_외부사업관리Tool_260707_이너젠 수정_LJY_261013.xlsx</x:v>
      </x:c>
      <x:c r="R27" s="2" t="str">
        <x:v>방법론</x:v>
      </x:c>
      <x:c r="S27" s="8" t="n">
        <x:v>23</x:v>
      </x:c>
      <x:c r="T27" s="2"/>
      <x:c r="U27" s="2" t="str"/>
      <x:c r="V27" s="2" t="str">
        <x:v>2018-12-03</x:v>
      </x:c>
      <x:c r="W27" s="2" t="str">
        <x:v>담당기관 확인</x:v>
      </x:c>
      <x:c r="X27" s="2" t="str">
        <x:v>원본·배정 기록 확인</x:v>
      </x:c>
      <x:c r="Y27" s="2" t="str">
        <x:v>ad210cd9ec132cfd447541c8984dc53d30aff0f4fb2dc92d254d49275cc55976</x:v>
      </x:c>
      <x:c r="Z27" s="2" t="n">
        <x:f>SUBTOTAL(103,A27)</x:f>
        <x:v>1</x:v>
      </x:c>
      <x:c r="AA27" s="2" t="str">
        <x:f>IF(K27&lt;&gt;"미종결 표시","대상 아님",IF(N27="","신청일 확인",IF(NOT(ISNUMBER('종합 현황'!$H$5)),"관찰기준 확인",IF('종합 현황'!$H$5&lt;1,"관찰기준 확인",IF(N27&gt;'종합 현황'!$H$5,"내부 관찰 대상","내부 관찰일 이하")))))</x:f>
        <x:v>대상 아님</x:v>
      </x:c>
      <x:c r="AB27" s="2" t="str">
        <x:v>2018-11-30 16:05:41 - 방법론신청
2018-11-30 16:05:42 - 관장기관지정 (기후에너지환경부)
2018-12-03 09:24:21 - 검토반려
2019-03-12 09:55:25 - 관장기관지정 (산업통상부)
</x:v>
      </x:c>
    </x:row>
    <x:row r="28" ht="42" customHeight="1">
      <x:c r="A28" s="2" t="str">
        <x:v>225d7cb3c15a4a3aea4b75e0</x:v>
      </x:c>
      <x:c r="B28" s="2" t="str">
        <x:v>방법론 신청</x:v>
      </x:c>
      <x:c r="C28" s="2" t="str">
        <x:v>공통</x:v>
      </x:c>
      <x:c r="D28" s="7" t="str">
        <x:v>저탄소 화석연료 전환</x:v>
      </x:c>
      <x:c r="E28" s="2" t="str">
        <x:v>22</x:v>
      </x:c>
      <x:c r="F28" s="2" t="str">
        <x:v>2018-11-30</x:v>
      </x:c>
      <x:c r="G28" s="2" t="str">
        <x:v>2018</x:v>
      </x:c>
      <x:c r="H28" s="2" t="str">
        <x:v>11</x:v>
      </x:c>
      <x:c r="I28" s="2" t="str">
        <x:v>검토반려</x:v>
      </x:c>
      <x:c r="J28" s="2" t="str">
        <x:v>반려</x:v>
      </x:c>
      <x:c r="K28" s="2" t="str">
        <x:f>IF(OR(J28="심의승인",J28="반려",J28="반려완료",J28="심의완료"),"종결 표시",IF(OR(J28="기후부협의",J28="문서재제출요청",J28="보류",J28="보완요청",J28="보완완료",J28="평가중",J28="반려요청",J28="평가필요",LEFT(J28,5)="보완요청("),"미종결 표시","상태 확인 필요"))</x:f>
        <x:v>종결 표시</x:v>
      </x:c>
      <x:c r="L28" s="2"/>
      <x:c r="M28" s="2"/>
      <x:c r="N28" s="8" t="n">
        <x:f>DATE(2026,10,15)-DATE(2018,11,30)</x:f>
        <x:v>2876</x:v>
      </x:c>
      <x:c r="O28" s="2"/>
      <x:c r="P28" s="2"/>
      <x:c r="Q28" s="2" t="str">
        <x:v>산업전환_외부사업관리Tool_260707_이너젠 수정_LJY_261013.xlsx</x:v>
      </x:c>
      <x:c r="R28" s="2" t="str">
        <x:v>방법론</x:v>
      </x:c>
      <x:c r="S28" s="8" t="n">
        <x:v>24</x:v>
      </x:c>
      <x:c r="T28" s="2"/>
      <x:c r="U28" s="2" t="str"/>
      <x:c r="V28" s="2" t="str">
        <x:v>2018-12-03</x:v>
      </x:c>
      <x:c r="W28" s="2" t="str">
        <x:v>담당기관 확인</x:v>
      </x:c>
      <x:c r="X28" s="2" t="str">
        <x:v>원본·배정 기록 확인</x:v>
      </x:c>
      <x:c r="Y28" s="2" t="str">
        <x:v>ad210cd9ec132cfd447541c8984dc53d30aff0f4fb2dc92d254d49275cc55976</x:v>
      </x:c>
      <x:c r="Z28" s="2" t="n">
        <x:f>SUBTOTAL(103,A28)</x:f>
        <x:v>1</x:v>
      </x:c>
      <x:c r="AA28" s="2" t="str">
        <x:f>IF(K28&lt;&gt;"미종결 표시","대상 아님",IF(N28="","신청일 확인",IF(NOT(ISNUMBER('종합 현황'!$H$5)),"관찰기준 확인",IF('종합 현황'!$H$5&lt;1,"관찰기준 확인",IF(N28&gt;'종합 현황'!$H$5,"내부 관찰 대상","내부 관찰일 이하")))))</x:f>
        <x:v>대상 아님</x:v>
      </x:c>
      <x:c r="AB28" s="2" t="str">
        <x:v>2018-11-30 16:16:08 - 방법론신청
2018-11-30 16:16:09 - 관장기관지정 (기후에너지환경부)
2018-12-03 09:24:43 - 검토반려
2019-03-12 09:55:18 - 관장기관지정 (산업통상부)
</x:v>
      </x:c>
    </x:row>
    <x:row r="29" ht="42" customHeight="1">
      <x:c r="A29" s="2" t="str">
        <x:v>356522b3ef7035380f8b8fd7</x:v>
      </x:c>
      <x:c r="B29" s="2" t="str">
        <x:v>방법론 신청</x:v>
      </x:c>
      <x:c r="C29" s="2" t="str">
        <x:v>공통</x:v>
      </x:c>
      <x:c r="D29" s="7" t="str">
        <x:v>극소규모 고효율 설비교체</x:v>
      </x:c>
      <x:c r="E29" s="2" t="str">
        <x:v>23</x:v>
      </x:c>
      <x:c r="F29" s="2" t="str">
        <x:v>2018-11-30</x:v>
      </x:c>
      <x:c r="G29" s="2" t="str">
        <x:v>2018</x:v>
      </x:c>
      <x:c r="H29" s="2" t="str">
        <x:v>11</x:v>
      </x:c>
      <x:c r="I29" s="2" t="str">
        <x:v>검토반려</x:v>
      </x:c>
      <x:c r="J29" s="2" t="str">
        <x:v>반려</x:v>
      </x:c>
      <x:c r="K29" s="2" t="str">
        <x:f>IF(OR(J29="심의승인",J29="반려",J29="반려완료",J29="심의완료"),"종결 표시",IF(OR(J29="기후부협의",J29="문서재제출요청",J29="보류",J29="보완요청",J29="보완완료",J29="평가중",J29="반려요청",J29="평가필요",LEFT(J29,5)="보완요청("),"미종결 표시","상태 확인 필요"))</x:f>
        <x:v>종결 표시</x:v>
      </x:c>
      <x:c r="L29" s="2"/>
      <x:c r="M29" s="2"/>
      <x:c r="N29" s="8" t="n">
        <x:f>DATE(2026,10,15)-DATE(2018,11,30)</x:f>
        <x:v>2876</x:v>
      </x:c>
      <x:c r="O29" s="2"/>
      <x:c r="P29" s="2"/>
      <x:c r="Q29" s="2" t="str">
        <x:v>산업전환_외부사업관리Tool_260707_이너젠 수정_LJY_261013.xlsx</x:v>
      </x:c>
      <x:c r="R29" s="2" t="str">
        <x:v>방법론</x:v>
      </x:c>
      <x:c r="S29" s="8" t="n">
        <x:v>25</x:v>
      </x:c>
      <x:c r="T29" s="2"/>
      <x:c r="U29" s="2" t="str"/>
      <x:c r="V29" s="2" t="str">
        <x:v>2018-12-03</x:v>
      </x:c>
      <x:c r="W29" s="2" t="str">
        <x:v>담당기관 확인</x:v>
      </x:c>
      <x:c r="X29" s="2" t="str">
        <x:v>원본·배정 기록 확인</x:v>
      </x:c>
      <x:c r="Y29" s="2" t="str">
        <x:v>ad210cd9ec132cfd447541c8984dc53d30aff0f4fb2dc92d254d49275cc55976</x:v>
      </x:c>
      <x:c r="Z29" s="2" t="n">
        <x:f>SUBTOTAL(103,A29)</x:f>
        <x:v>1</x:v>
      </x:c>
      <x:c r="AA29" s="2" t="str">
        <x:f>IF(K29&lt;&gt;"미종결 표시","대상 아님",IF(N29="","신청일 확인",IF(NOT(ISNUMBER('종합 현황'!$H$5)),"관찰기준 확인",IF('종합 현황'!$H$5&lt;1,"관찰기준 확인",IF(N29&gt;'종합 현황'!$H$5,"내부 관찰 대상","내부 관찰일 이하")))))</x:f>
        <x:v>대상 아님</x:v>
      </x:c>
      <x:c r="AB29" s="2" t="str">
        <x:v>2018-11-30 16:55:48 - 방법론신청
2018-11-30 16:55:49 - 관장기관지정 (기후에너지환경부)
2018-12-03 09:24:57 - 검토반려
2019-03-12 09:55:10 - 관장기관지정 (산업통상부)
</x:v>
      </x:c>
    </x:row>
    <x:row r="30" ht="42" customHeight="1">
      <x:c r="A30" s="2" t="str">
        <x:v>13559dff6474cc494b326803</x:v>
      </x:c>
      <x:c r="B30" s="2" t="str">
        <x:v>방법론 신청</x:v>
      </x:c>
      <x:c r="C30" s="2" t="str">
        <x:v>공통</x:v>
      </x:c>
      <x:c r="D30" s="7" t="str">
        <x:v>극소규모 고효율 설비교체_인덕션히터</x:v>
      </x:c>
      <x:c r="E30" s="2" t="str">
        <x:v>24</x:v>
      </x:c>
      <x:c r="F30" s="2" t="str">
        <x:v>2018-12-03</x:v>
      </x:c>
      <x:c r="G30" s="2" t="str">
        <x:v>2018</x:v>
      </x:c>
      <x:c r="H30" s="2" t="str">
        <x:v>12</x:v>
      </x:c>
      <x:c r="I30" s="2" t="str">
        <x:v>검토반려</x:v>
      </x:c>
      <x:c r="J30" s="2" t="str">
        <x:v>반려</x:v>
      </x:c>
      <x:c r="K30" s="2" t="str">
        <x:f>IF(OR(J30="심의승인",J30="반려",J30="반려완료",J30="심의완료"),"종결 표시",IF(OR(J30="기후부협의",J30="문서재제출요청",J30="보류",J30="보완요청",J30="보완완료",J30="평가중",J30="반려요청",J30="평가필요",LEFT(J30,5)="보완요청("),"미종결 표시","상태 확인 필요"))</x:f>
        <x:v>종결 표시</x:v>
      </x:c>
      <x:c r="L30" s="2"/>
      <x:c r="M30" s="2"/>
      <x:c r="N30" s="8" t="n">
        <x:f>DATE(2026,10,15)-DATE(2018,12,3)</x:f>
        <x:v>2873</x:v>
      </x:c>
      <x:c r="O30" s="2"/>
      <x:c r="P30" s="2"/>
      <x:c r="Q30" s="2" t="str">
        <x:v>산업전환_외부사업관리Tool_260707_이너젠 수정_LJY_261013.xlsx</x:v>
      </x:c>
      <x:c r="R30" s="2" t="str">
        <x:v>방법론</x:v>
      </x:c>
      <x:c r="S30" s="8" t="n">
        <x:v>26</x:v>
      </x:c>
      <x:c r="T30" s="2"/>
      <x:c r="U30" s="2" t="str"/>
      <x:c r="V30" s="2" t="str">
        <x:v>2021-04-30</x:v>
      </x:c>
      <x:c r="W30" s="2" t="str">
        <x:v>담당기관 확인</x:v>
      </x:c>
      <x:c r="X30" s="2" t="str">
        <x:v>원본·배정 기록 확인</x:v>
      </x:c>
      <x:c r="Y30" s="2" t="str">
        <x:v>ad210cd9ec132cfd447541c8984dc53d30aff0f4fb2dc92d254d49275cc55976</x:v>
      </x:c>
      <x:c r="Z30" s="2" t="n">
        <x:f>SUBTOTAL(103,A30)</x:f>
        <x:v>1</x:v>
      </x:c>
      <x:c r="AA30" s="2" t="str">
        <x:f>IF(K30&lt;&gt;"미종결 표시","대상 아님",IF(N30="","신청일 확인",IF(NOT(ISNUMBER('종합 현황'!$H$5)),"관찰기준 확인",IF('종합 현황'!$H$5&lt;1,"관찰기준 확인",IF(N30&gt;'종합 현황'!$H$5,"내부 관찰 대상","내부 관찰일 이하")))))</x:f>
        <x:v>대상 아님</x:v>
      </x:c>
      <x:c r="AB30" s="2" t="str">
        <x:v>2018-12-03 12:42:59 - 방법론신청
2018-12-03 12:43:00 - 관장기관지정 (기후에너지환경부)
2018-12-05 17:36:24 - 관장기관지정 (산업통상부)
2021-04-30 13:27:29 - 검토반려
</x:v>
      </x:c>
    </x:row>
    <x:row r="31" ht="42" customHeight="1">
      <x:c r="A31" s="2" t="str">
        <x:v>ea9007dc244e0844fc4d31a4</x:v>
      </x:c>
      <x:c r="B31" s="2" t="str">
        <x:v>방법론 신청</x:v>
      </x:c>
      <x:c r="C31" s="2" t="str">
        <x:v>공통</x:v>
      </x:c>
      <x:c r="D31" s="7" t="str">
        <x:v>극소규모 연료 전환 사업</x:v>
      </x:c>
      <x:c r="E31" s="2" t="str">
        <x:v>25</x:v>
      </x:c>
      <x:c r="F31" s="2" t="str">
        <x:v>2018-12-03</x:v>
      </x:c>
      <x:c r="G31" s="2" t="str">
        <x:v>2018</x:v>
      </x:c>
      <x:c r="H31" s="2" t="str">
        <x:v>12</x:v>
      </x:c>
      <x:c r="I31" s="2" t="str">
        <x:v>검토반려</x:v>
      </x:c>
      <x:c r="J31" s="2" t="str">
        <x:v>반려</x:v>
      </x:c>
      <x:c r="K31" s="2" t="str">
        <x:f>IF(OR(J31="심의승인",J31="반려",J31="반려완료",J31="심의완료"),"종결 표시",IF(OR(J31="기후부협의",J31="문서재제출요청",J31="보류",J31="보완요청",J31="보완완료",J31="평가중",J31="반려요청",J31="평가필요",LEFT(J31,5)="보완요청("),"미종결 표시","상태 확인 필요"))</x:f>
        <x:v>종결 표시</x:v>
      </x:c>
      <x:c r="L31" s="2"/>
      <x:c r="M31" s="2"/>
      <x:c r="N31" s="8" t="n">
        <x:f>DATE(2026,10,15)-DATE(2018,12,3)</x:f>
        <x:v>2873</x:v>
      </x:c>
      <x:c r="O31" s="2"/>
      <x:c r="P31" s="2"/>
      <x:c r="Q31" s="2" t="str">
        <x:v>산업전환_외부사업관리Tool_260707_이너젠 수정_LJY_261013.xlsx</x:v>
      </x:c>
      <x:c r="R31" s="2" t="str">
        <x:v>방법론</x:v>
      </x:c>
      <x:c r="S31" s="8" t="n">
        <x:v>27</x:v>
      </x:c>
      <x:c r="T31" s="2"/>
      <x:c r="U31" s="2" t="str"/>
      <x:c r="V31" s="2" t="str">
        <x:v>2021-04-30</x:v>
      </x:c>
      <x:c r="W31" s="2" t="str">
        <x:v>담당기관 확인</x:v>
      </x:c>
      <x:c r="X31" s="2" t="str">
        <x:v>원본·배정 기록 확인</x:v>
      </x:c>
      <x:c r="Y31" s="2" t="str">
        <x:v>ad210cd9ec132cfd447541c8984dc53d30aff0f4fb2dc92d254d49275cc55976</x:v>
      </x:c>
      <x:c r="Z31" s="2" t="n">
        <x:f>SUBTOTAL(103,A31)</x:f>
        <x:v>1</x:v>
      </x:c>
      <x:c r="AA31" s="2" t="str">
        <x:f>IF(K31&lt;&gt;"미종결 표시","대상 아님",IF(N31="","신청일 확인",IF(NOT(ISNUMBER('종합 현황'!$H$5)),"관찰기준 확인",IF('종합 현황'!$H$5&lt;1,"관찰기준 확인",IF(N31&gt;'종합 현황'!$H$5,"내부 관찰 대상","내부 관찰일 이하")))))</x:f>
        <x:v>대상 아님</x:v>
      </x:c>
      <x:c r="AB31" s="2" t="str">
        <x:v>2018-12-03 12:44:36 - 방법론신청
2018-12-03 12:44:37 - 관장기관지정 (기후에너지환경부)
2018-12-05 17:36:18 - 관장기관지정 (산업통상부)
2021-04-30 13:27:58 - 검토반려
</x:v>
      </x:c>
    </x:row>
    <x:row r="32" ht="42" customHeight="1">
      <x:c r="A32" s="2" t="str">
        <x:v>7ab027d07190bf9c24b6bad1</x:v>
      </x:c>
      <x:c r="B32" s="2" t="str">
        <x:v>방법론 신청</x:v>
      </x:c>
      <x:c r="C32" s="2" t="str">
        <x:v>공통</x:v>
      </x:c>
      <x:c r="D32" s="7" t="str">
        <x:v>극소규모 미활용 열 회수 및 이용_단위공정 내 배기열 회수 및 투입 열매체 가온</x:v>
      </x:c>
      <x:c r="E32" s="2" t="str">
        <x:v>26</x:v>
      </x:c>
      <x:c r="F32" s="2" t="str">
        <x:v>2018-12-03</x:v>
      </x:c>
      <x:c r="G32" s="2" t="str">
        <x:v>2018</x:v>
      </x:c>
      <x:c r="H32" s="2" t="str">
        <x:v>12</x:v>
      </x:c>
      <x:c r="I32" s="2" t="str">
        <x:v>검토반려</x:v>
      </x:c>
      <x:c r="J32" s="2" t="str">
        <x:v>반려</x:v>
      </x:c>
      <x:c r="K32" s="2" t="str">
        <x:f>IF(OR(J32="심의승인",J32="반려",J32="반려완료",J32="심의완료"),"종결 표시",IF(OR(J32="기후부협의",J32="문서재제출요청",J32="보류",J32="보완요청",J32="보완완료",J32="평가중",J32="반려요청",J32="평가필요",LEFT(J32,5)="보완요청("),"미종결 표시","상태 확인 필요"))</x:f>
        <x:v>종결 표시</x:v>
      </x:c>
      <x:c r="L32" s="2"/>
      <x:c r="M32" s="2"/>
      <x:c r="N32" s="8" t="n">
        <x:f>DATE(2026,10,15)-DATE(2018,12,3)</x:f>
        <x:v>2873</x:v>
      </x:c>
      <x:c r="O32" s="2"/>
      <x:c r="P32" s="2"/>
      <x:c r="Q32" s="2" t="str">
        <x:v>산업전환_외부사업관리Tool_260707_이너젠 수정_LJY_261013.xlsx</x:v>
      </x:c>
      <x:c r="R32" s="2" t="str">
        <x:v>방법론</x:v>
      </x:c>
      <x:c r="S32" s="8" t="n">
        <x:v>28</x:v>
      </x:c>
      <x:c r="T32" s="2"/>
      <x:c r="U32" s="2" t="str"/>
      <x:c r="V32" s="2" t="str">
        <x:v>2021-04-30</x:v>
      </x:c>
      <x:c r="W32" s="2" t="str">
        <x:v>담당기관 확인</x:v>
      </x:c>
      <x:c r="X32" s="2" t="str">
        <x:v>원본·배정 기록 확인</x:v>
      </x:c>
      <x:c r="Y32" s="2" t="str">
        <x:v>ad210cd9ec132cfd447541c8984dc53d30aff0f4fb2dc92d254d49275cc55976</x:v>
      </x:c>
      <x:c r="Z32" s="2" t="n">
        <x:f>SUBTOTAL(103,A32)</x:f>
        <x:v>1</x:v>
      </x:c>
      <x:c r="AA32" s="2" t="str">
        <x:f>IF(K32&lt;&gt;"미종결 표시","대상 아님",IF(N32="","신청일 확인",IF(NOT(ISNUMBER('종합 현황'!$H$5)),"관찰기준 확인",IF('종합 현황'!$H$5&lt;1,"관찰기준 확인",IF(N32&gt;'종합 현황'!$H$5,"내부 관찰 대상","내부 관찰일 이하")))))</x:f>
        <x:v>대상 아님</x:v>
      </x:c>
      <x:c r="AB32" s="2" t="str">
        <x:v>2018-12-03 12:46:39 - 방법론신청
2018-12-03 12:46:40 - 관장기관지정 (기후에너지환경부)
2018-12-05 17:36:11 - 관장기관지정 (산업통상부)
2021-04-30 13:28:30 - 검토반려
</x:v>
      </x:c>
    </x:row>
    <x:row r="33" ht="42" customHeight="1">
      <x:c r="A33" s="2" t="str">
        <x:v>a3530ea67e7742f76ce7904a</x:v>
      </x:c>
      <x:c r="B33" s="2" t="str">
        <x:v>방법론 신청</x:v>
      </x:c>
      <x:c r="C33" s="2" t="str">
        <x:v>공통</x:v>
      </x:c>
      <x:c r="D33" s="7" t="str">
        <x:v>고효율 에너지 냉장고 생산 사업의 방법론</x:v>
      </x:c>
      <x:c r="E33" s="2" t="str">
        <x:v>27</x:v>
      </x:c>
      <x:c r="F33" s="2" t="str">
        <x:v>2018-12-17</x:v>
      </x:c>
      <x:c r="G33" s="2" t="str">
        <x:v>2018</x:v>
      </x:c>
      <x:c r="H33" s="2" t="str">
        <x:v>12</x:v>
      </x:c>
      <x:c r="I33" s="2" t="str">
        <x:v>문서재제출요청</x:v>
      </x:c>
      <x:c r="J33" s="2" t="str">
        <x:v>문서재제출요청</x:v>
      </x:c>
      <x:c r="K33" s="2" t="str">
        <x:f>IF(OR(J33="심의승인",J33="반려",J33="반려완료",J33="심의완료"),"종결 표시",IF(OR(J33="기후부협의",J33="문서재제출요청",J33="보류",J33="보완요청",J33="보완완료",J33="평가중",J33="반려요청",J33="평가필요",LEFT(J33,5)="보완요청("),"미종결 표시","상태 확인 필요"))</x:f>
        <x:v>미종결 표시</x:v>
      </x:c>
      <x:c r="L33" s="2"/>
      <x:c r="M33" s="2"/>
      <x:c r="N33" s="8" t="n">
        <x:f>DATE(2026,10,15)-DATE(2018,12,17)</x:f>
        <x:v>2859</x:v>
      </x:c>
      <x:c r="O33" s="2"/>
      <x:c r="P33" s="2"/>
      <x:c r="Q33" s="2" t="str">
        <x:v>산업전환_외부사업관리Tool_260707_이너젠 수정_LJY_261013.xlsx</x:v>
      </x:c>
      <x:c r="R33" s="2" t="str">
        <x:v>방법론</x:v>
      </x:c>
      <x:c r="S33" s="8" t="n">
        <x:v>29</x:v>
      </x:c>
      <x:c r="T33" s="2"/>
      <x:c r="U33" s="2" t="str"/>
      <x:c r="V33" s="2" t="str">
        <x:v>2022-06-29</x:v>
      </x:c>
      <x:c r="W33" s="2" t="str">
        <x:v>담당기관 확인</x:v>
      </x:c>
      <x:c r="X33" s="2" t="str">
        <x:v>원본·배정 기록 확인</x:v>
      </x:c>
      <x:c r="Y33" s="2" t="str">
        <x:v>ad210cd9ec132cfd447541c8984dc53d30aff0f4fb2dc92d254d49275cc55976</x:v>
      </x:c>
      <x:c r="Z33" s="2" t="n">
        <x:f>SUBTOTAL(103,A33)</x:f>
        <x:v>1</x:v>
      </x:c>
      <x:c r="AA33" s="2" t="str">
        <x:f>IF(K33&lt;&gt;"미종결 표시","대상 아님",IF(N33="","신청일 확인",IF(NOT(ISNUMBER('종합 현황'!$H$5)),"관찰기준 확인",IF('종합 현황'!$H$5&lt;1,"관찰기준 확인",IF(N33&gt;'종합 현황'!$H$5,"내부 관찰 대상","내부 관찰일 이하")))))</x:f>
        <x:v>내부 관찰 대상</x:v>
      </x:c>
      <x:c r="AB33" s="2" t="str">
        <x:v>2018-12-17 16:32:52 - 방법론신청
2018-12-17 16:32:53 - 관장기관지정 (기후에너지환경부)
2018-12-17 16:52:04 - 관장기관지정 (산업통상부)
2019-11-29 16:34:51 - 보완요청
2020-11-30 17:06:49 - 문서보완접수
2021-05-13 10:33:41 - 보완요청
2021-06-21 10:55:52 - 문서보완접수
2021-06-29 09:54:02 - 보완요청
2021-07-30 16:44:19 - 문서보완접수
2021-09-24 11:38:12 - 보완요청
2021-11-05 15:48:02 - 문서보완접수
2022-01-26 15:45:47 - 문서재제출요청
2022-06-10 22:46:48 - 문서재제출완료
2022-06-29 15:39:13 - 문서재제출요청
</x:v>
      </x:c>
    </x:row>
    <x:row r="34" ht="42" customHeight="1">
      <x:c r="A34" s="2" t="str">
        <x:v>235cbbe2ec10aae53211c61e</x:v>
      </x:c>
      <x:c r="B34" s="2" t="str">
        <x:v>방법론 신청</x:v>
      </x:c>
      <x:c r="C34" s="2" t="str">
        <x:v>공통</x:v>
      </x:c>
      <x:c r="D34" s="7" t="str">
        <x:v>극소규모 고효율 설비교체-인버터 공기 압축기(개정)</x:v>
      </x:c>
      <x:c r="E34" s="2" t="str">
        <x:v>28</x:v>
      </x:c>
      <x:c r="F34" s="2" t="str">
        <x:v>2019-04-09</x:v>
      </x:c>
      <x:c r="G34" s="2" t="str">
        <x:v>2019</x:v>
      </x:c>
      <x:c r="H34" s="2" t="str">
        <x:v>04</x:v>
      </x:c>
      <x:c r="I34" s="2" t="str">
        <x:v>검토반려</x:v>
      </x:c>
      <x:c r="J34" s="2" t="str">
        <x:v>반려</x:v>
      </x:c>
      <x:c r="K34" s="2" t="str">
        <x:f>IF(OR(J34="심의승인",J34="반려",J34="반려완료",J34="심의완료"),"종결 표시",IF(OR(J34="기후부협의",J34="문서재제출요청",J34="보류",J34="보완요청",J34="보완완료",J34="평가중",J34="반려요청",J34="평가필요",LEFT(J34,5)="보완요청("),"미종결 표시","상태 확인 필요"))</x:f>
        <x:v>종결 표시</x:v>
      </x:c>
      <x:c r="L34" s="2"/>
      <x:c r="M34" s="2"/>
      <x:c r="N34" s="8" t="n">
        <x:f>DATE(2026,10,15)-DATE(2019,4,9)</x:f>
        <x:v>2746</x:v>
      </x:c>
      <x:c r="O34" s="2"/>
      <x:c r="P34" s="2"/>
      <x:c r="Q34" s="2" t="str">
        <x:v>산업전환_외부사업관리Tool_260707_이너젠 수정_LJY_261013.xlsx</x:v>
      </x:c>
      <x:c r="R34" s="2" t="str">
        <x:v>방법론</x:v>
      </x:c>
      <x:c r="S34" s="8" t="n">
        <x:v>30</x:v>
      </x:c>
      <x:c r="T34" s="2"/>
      <x:c r="U34" s="2" t="str"/>
      <x:c r="V34" s="2" t="str">
        <x:v>2021-04-30</x:v>
      </x:c>
      <x:c r="W34" s="2" t="str">
        <x:v>담당기관 확인</x:v>
      </x:c>
      <x:c r="X34" s="2" t="str">
        <x:v>원본·배정 기록 확인</x:v>
      </x:c>
      <x:c r="Y34" s="2" t="str">
        <x:v>ad210cd9ec132cfd447541c8984dc53d30aff0f4fb2dc92d254d49275cc55976</x:v>
      </x:c>
      <x:c r="Z34" s="2" t="n">
        <x:f>SUBTOTAL(103,A34)</x:f>
        <x:v>1</x:v>
      </x:c>
      <x:c r="AA34" s="2" t="str">
        <x:f>IF(K34&lt;&gt;"미종결 표시","대상 아님",IF(N34="","신청일 확인",IF(NOT(ISNUMBER('종합 현황'!$H$5)),"관찰기준 확인",IF('종합 현황'!$H$5&lt;1,"관찰기준 확인",IF(N34&gt;'종합 현황'!$H$5,"내부 관찰 대상","내부 관찰일 이하")))))</x:f>
        <x:v>대상 아님</x:v>
      </x:c>
      <x:c r="AB34" s="2" t="str">
        <x:v>2019-04-09 10:28:35 - 방법론신청
2019-04-09 10:28:36 - 관장기관지정 (기후에너지환경부)
2019-04-09 15:14:20 - 관장기관지정 (산업통상부)
2021-04-30 13:29:06 - 검토반려
</x:v>
      </x:c>
    </x:row>
    <x:row r="35" ht="42" customHeight="1">
      <x:c r="A35" s="2" t="str">
        <x:v>3f2712ff7b9337935eb1544b</x:v>
      </x:c>
      <x:c r="B35" s="2" t="str">
        <x:v>방법론 신청</x:v>
      </x:c>
      <x:c r="C35" s="2" t="str">
        <x:v>공통</x:v>
      </x:c>
      <x:c r="D35" s="7" t="str">
        <x:v>바이오 SRF 연료를 이용하여 생산된 열에너지 공급을 통한 수용가의 화석연료 사용량 절감 사업의 방법론</x:v>
      </x:c>
      <x:c r="E35" s="2" t="str">
        <x:v>29</x:v>
      </x:c>
      <x:c r="F35" s="2" t="str">
        <x:v>2019-05-02</x:v>
      </x:c>
      <x:c r="G35" s="2" t="str">
        <x:v>2019</x:v>
      </x:c>
      <x:c r="H35" s="2" t="str">
        <x:v>05</x:v>
      </x:c>
      <x:c r="I35" s="2" t="str">
        <x:v>검토반려</x:v>
      </x:c>
      <x:c r="J35" s="2" t="str">
        <x:v>반려</x:v>
      </x:c>
      <x:c r="K35" s="2" t="str">
        <x:f>IF(OR(J35="심의승인",J35="반려",J35="반려완료",J35="심의완료"),"종결 표시",IF(OR(J35="기후부협의",J35="문서재제출요청",J35="보류",J35="보완요청",J35="보완완료",J35="평가중",J35="반려요청",J35="평가필요",LEFT(J35,5)="보완요청("),"미종결 표시","상태 확인 필요"))</x:f>
        <x:v>종결 표시</x:v>
      </x:c>
      <x:c r="L35" s="2"/>
      <x:c r="M35" s="2"/>
      <x:c r="N35" s="8" t="n">
        <x:f>DATE(2026,10,15)-DATE(2019,5,2)</x:f>
        <x:v>2723</x:v>
      </x:c>
      <x:c r="O35" s="2"/>
      <x:c r="P35" s="2"/>
      <x:c r="Q35" s="2" t="str">
        <x:v>산업전환_외부사업관리Tool_260707_이너젠 수정_LJY_261013.xlsx</x:v>
      </x:c>
      <x:c r="R35" s="2" t="str">
        <x:v>방법론</x:v>
      </x:c>
      <x:c r="S35" s="8" t="n">
        <x:v>31</x:v>
      </x:c>
      <x:c r="T35" s="2"/>
      <x:c r="U35" s="2" t="str"/>
      <x:c r="V35" s="2" t="str">
        <x:v>2019-12-02</x:v>
      </x:c>
      <x:c r="W35" s="2" t="str">
        <x:v>담당기관 확인</x:v>
      </x:c>
      <x:c r="X35" s="2" t="str">
        <x:v>원본·배정 기록 확인</x:v>
      </x:c>
      <x:c r="Y35" s="2" t="str">
        <x:v>ad210cd9ec132cfd447541c8984dc53d30aff0f4fb2dc92d254d49275cc55976</x:v>
      </x:c>
      <x:c r="Z35" s="2" t="n">
        <x:f>SUBTOTAL(103,A35)</x:f>
        <x:v>1</x:v>
      </x:c>
      <x:c r="AA35" s="2" t="str">
        <x:f>IF(K35&lt;&gt;"미종결 표시","대상 아님",IF(N35="","신청일 확인",IF(NOT(ISNUMBER('종합 현황'!$H$5)),"관찰기준 확인",IF('종합 현황'!$H$5&lt;1,"관찰기준 확인",IF(N35&gt;'종합 현황'!$H$5,"내부 관찰 대상","내부 관찰일 이하")))))</x:f>
        <x:v>대상 아님</x:v>
      </x:c>
      <x:c r="AB35" s="2" t="str">
        <x:v>2019-05-02 16:11:10 - 방법론신청
2019-05-02 16:11:11 - 관장기관지정 (기후에너지환경부)
2019-05-02 16:20:47 - 관장기관지정 (산업통상부)
2019-12-02 09:52:42 - 검토반려
</x:v>
      </x:c>
    </x:row>
    <x:row r="36" ht="42" customHeight="1">
      <x:c r="A36" s="2" t="str">
        <x:v>d63b2a3a56d12da58836b757</x:v>
      </x:c>
      <x:c r="B36" s="2" t="str">
        <x:v>방법론 신청</x:v>
      </x:c>
      <x:c r="C36" s="2" t="str">
        <x:v>공통</x:v>
      </x:c>
      <x:c r="D36" s="7" t="str">
        <x:v>고효율 에어컨 신규 설치 사업의 방법론</x:v>
      </x:c>
      <x:c r="E36" s="2" t="str">
        <x:v>30</x:v>
      </x:c>
      <x:c r="F36" s="2" t="str">
        <x:v>2019-05-23</x:v>
      </x:c>
      <x:c r="G36" s="2" t="str">
        <x:v>2019</x:v>
      </x:c>
      <x:c r="H36" s="2" t="str">
        <x:v>05</x:v>
      </x:c>
      <x:c r="I36" s="2" t="str">
        <x:v>검토반려</x:v>
      </x:c>
      <x:c r="J36" s="2" t="str">
        <x:v>반려</x:v>
      </x:c>
      <x:c r="K36" s="2" t="str">
        <x:f>IF(OR(J36="심의승인",J36="반려",J36="반려완료",J36="심의완료"),"종결 표시",IF(OR(J36="기후부협의",J36="문서재제출요청",J36="보류",J36="보완요청",J36="보완완료",J36="평가중",J36="반려요청",J36="평가필요",LEFT(J36,5)="보완요청("),"미종결 표시","상태 확인 필요"))</x:f>
        <x:v>종결 표시</x:v>
      </x:c>
      <x:c r="L36" s="2"/>
      <x:c r="M36" s="2"/>
      <x:c r="N36" s="8" t="n">
        <x:f>DATE(2026,10,15)-DATE(2019,5,23)</x:f>
        <x:v>2702</x:v>
      </x:c>
      <x:c r="O36" s="2"/>
      <x:c r="P36" s="2"/>
      <x:c r="Q36" s="2" t="str">
        <x:v>산업전환_외부사업관리Tool_260707_이너젠 수정_LJY_261013.xlsx</x:v>
      </x:c>
      <x:c r="R36" s="2" t="str">
        <x:v>방법론</x:v>
      </x:c>
      <x:c r="S36" s="8" t="n">
        <x:v>32</x:v>
      </x:c>
      <x:c r="T36" s="2"/>
      <x:c r="U36" s="2" t="str"/>
      <x:c r="V36" s="2" t="str">
        <x:v>2021-07-23</x:v>
      </x:c>
      <x:c r="W36" s="2" t="str">
        <x:v>담당기관 확인</x:v>
      </x:c>
      <x:c r="X36" s="2" t="str">
        <x:v>원본·배정 기록 확인</x:v>
      </x:c>
      <x:c r="Y36" s="2" t="str">
        <x:v>ad210cd9ec132cfd447541c8984dc53d30aff0f4fb2dc92d254d49275cc55976</x:v>
      </x:c>
      <x:c r="Z36" s="2" t="n">
        <x:f>SUBTOTAL(103,A36)</x:f>
        <x:v>1</x:v>
      </x:c>
      <x:c r="AA36" s="2" t="str">
        <x:f>IF(K36&lt;&gt;"미종결 표시","대상 아님",IF(N36="","신청일 확인",IF(NOT(ISNUMBER('종합 현황'!$H$5)),"관찰기준 확인",IF('종합 현황'!$H$5&lt;1,"관찰기준 확인",IF(N36&gt;'종합 현황'!$H$5,"내부 관찰 대상","내부 관찰일 이하")))))</x:f>
        <x:v>대상 아님</x:v>
      </x:c>
      <x:c r="AB36" s="2" t="str">
        <x:v>2019-05-23 09:02:00 - 방법론신청
2019-05-23 09:02:01 - 관장기관지정 (기후에너지환경부)
2019-05-24 09:18:25 - 관장기관지정 (산업통상부)
2019-12-30 18:14:18 - 보완요청
2020-11-27 15:35:58 - 문서보완접수
2021-05-26 14:43:15 - 문서재제출요청
2021-07-20 11:03:29 - 문서재제출완료
2021-07-23 09:21:31 - 검토반려
</x:v>
      </x:c>
    </x:row>
    <x:row r="37" ht="42" customHeight="1">
      <x:c r="A37" s="2" t="str">
        <x:v>8649b15035749ff0248dbd5a</x:v>
      </x:c>
      <x:c r="B37" s="2" t="str">
        <x:v>방법론 신청</x:v>
      </x:c>
      <x:c r="C37" s="2" t="str">
        <x:v>공통</x:v>
      </x:c>
      <x:c r="D37" s="7" t="str">
        <x:v>광전지 제조 공정의 SF6 가스 처리를 통한 온실가스 감축 사업의 방법론</x:v>
      </x:c>
      <x:c r="E37" s="2" t="str">
        <x:v>31</x:v>
      </x:c>
      <x:c r="F37" s="2" t="str">
        <x:v>2019-05-30</x:v>
      </x:c>
      <x:c r="G37" s="2" t="str">
        <x:v>2019</x:v>
      </x:c>
      <x:c r="H37" s="2" t="str">
        <x:v>05</x:v>
      </x:c>
      <x:c r="I37" s="2" t="str">
        <x:v>심의승인</x:v>
      </x:c>
      <x:c r="J37" s="2" t="str">
        <x:v>심의승인</x:v>
      </x:c>
      <x:c r="K37" s="2" t="str">
        <x:f>IF(OR(J37="심의승인",J37="반려",J37="반려완료",J37="심의완료"),"종결 표시",IF(OR(J37="기후부협의",J37="문서재제출요청",J37="보류",J37="보완요청",J37="보완완료",J37="평가중",J37="반려요청",J37="평가필요",LEFT(J37,5)="보완요청("),"미종결 표시","상태 확인 필요"))</x:f>
        <x:v>종결 표시</x:v>
      </x:c>
      <x:c r="L37" s="2"/>
      <x:c r="M37" s="2"/>
      <x:c r="N37" s="8" t="n">
        <x:f>DATE(2026,10,15)-DATE(2019,5,30)</x:f>
        <x:v>2695</x:v>
      </x:c>
      <x:c r="O37" s="2"/>
      <x:c r="P37" s="2"/>
      <x:c r="Q37" s="2" t="str">
        <x:v>산업전환_외부사업관리Tool_260707_이너젠 수정_LJY_261013.xlsx</x:v>
      </x:c>
      <x:c r="R37" s="2" t="str">
        <x:v>방법론</x:v>
      </x:c>
      <x:c r="S37" s="8" t="n">
        <x:v>33</x:v>
      </x:c>
      <x:c r="T37" s="2"/>
      <x:c r="U37" s="2" t="str"/>
      <x:c r="V37" s="2" t="str">
        <x:v>2020-10-23</x:v>
      </x:c>
      <x:c r="W37" s="2" t="str">
        <x:v>담당기관 확인</x:v>
      </x:c>
      <x:c r="X37" s="2" t="str">
        <x:v>원본·배정 기록 확인</x:v>
      </x:c>
      <x:c r="Y37" s="2" t="str">
        <x:v>ad210cd9ec132cfd447541c8984dc53d30aff0f4fb2dc92d254d49275cc55976</x:v>
      </x:c>
      <x:c r="Z37" s="2" t="n">
        <x:f>SUBTOTAL(103,A37)</x:f>
        <x:v>1</x:v>
      </x:c>
      <x:c r="AA37" s="2" t="str">
        <x:f>IF(K37&lt;&gt;"미종결 표시","대상 아님",IF(N37="","신청일 확인",IF(NOT(ISNUMBER('종합 현황'!$H$5)),"관찰기준 확인",IF('종합 현황'!$H$5&lt;1,"관찰기준 확인",IF(N37&gt;'종합 현황'!$H$5,"내부 관찰 대상","내부 관찰일 이하")))))</x:f>
        <x:v>대상 아님</x:v>
      </x:c>
      <x:c r="AB37" s="2" t="str">
        <x:v>2019-05-30 08:47:45 - 방법론신청
2019-05-30 08:47:46 - 관장기관지정 (기후에너지환경부)
2019-05-30 14:21:56 - 관장기관지정 (산업통상부)
2019-06-10 09:33:45 - 문서재제출요청
2019-06-11 17:53:47 - 문서재제출완료
2019-11-22 14:47:56 - 보완요청
2019-12-18 08:55:16 - 문서보완접수
2019-12-18 09:17:38 - 문서재제출요청
2019-12-18 09:29:51 - 문서재제출완료
2020-03-18 11:46:33 - 보완요청
2020-04-09 13:16:36 - 문서보완접수
2020-04-29 15:30:38 - 문서재제출요청
2020-05-27 16:58:29 - 문서재제출완료
2020-09-14 09:23:23 - 문서재제출요청
2020-09-16 08:25:50 - 문서재제출완료
2020-09-16 17:13:24 - 문서재제출요청
2020-09-17 16:44:27 - 문서재제출완료
2020-10-19 14:55:51 - 문서재제출요청
2020-10-19 15:00:20 - 문서재제출완료
2020-10-19 15:55:20 - 검토승인
2020-10-23 15:44:06 - 심의승인
</x:v>
      </x:c>
    </x:row>
    <x:row r="38" ht="42" customHeight="1">
      <x:c r="A38" s="2" t="str">
        <x:v>209c29ac1b9b72a76767a2ea</x:v>
      </x:c>
      <x:c r="B38" s="2" t="str">
        <x:v>방법론 신청</x:v>
      </x:c>
      <x:c r="C38" s="2" t="str">
        <x:v>공통</x:v>
      </x:c>
      <x:c r="D38" s="7" t="str">
        <x:v>국내 중온 아스팔트 혼합물 생산을 통한 연료 및 온실가스 저감에 대한 방법론</x:v>
      </x:c>
      <x:c r="E38" s="2" t="str">
        <x:v>32</x:v>
      </x:c>
      <x:c r="F38" s="2" t="str">
        <x:v>2019-10-07</x:v>
      </x:c>
      <x:c r="G38" s="2" t="str">
        <x:v>2019</x:v>
      </x:c>
      <x:c r="H38" s="2" t="str">
        <x:v>10</x:v>
      </x:c>
      <x:c r="I38" s="2" t="str">
        <x:v>심의승인</x:v>
      </x:c>
      <x:c r="J38" s="2" t="str">
        <x:v>심의승인</x:v>
      </x:c>
      <x:c r="K38" s="2" t="str">
        <x:f>IF(OR(J38="심의승인",J38="반려",J38="반려완료",J38="심의완료"),"종결 표시",IF(OR(J38="기후부협의",J38="문서재제출요청",J38="보류",J38="보완요청",J38="보완완료",J38="평가중",J38="반려요청",J38="평가필요",LEFT(J38,5)="보완요청("),"미종결 표시","상태 확인 필요"))</x:f>
        <x:v>종결 표시</x:v>
      </x:c>
      <x:c r="L38" s="2"/>
      <x:c r="M38" s="2"/>
      <x:c r="N38" s="8" t="n">
        <x:f>DATE(2026,10,15)-DATE(2019,10,7)</x:f>
        <x:v>2565</x:v>
      </x:c>
      <x:c r="O38" s="2"/>
      <x:c r="P38" s="2"/>
      <x:c r="Q38" s="2" t="str">
        <x:v>산업전환_외부사업관리Tool_260707_이너젠 수정_LJY_261013.xlsx</x:v>
      </x:c>
      <x:c r="R38" s="2" t="str">
        <x:v>방법론</x:v>
      </x:c>
      <x:c r="S38" s="8" t="n">
        <x:v>34</x:v>
      </x:c>
      <x:c r="T38" s="2"/>
      <x:c r="U38" s="2" t="str"/>
      <x:c r="V38" s="2" t="str">
        <x:v>2022-01-18</x:v>
      </x:c>
      <x:c r="W38" s="2" t="str">
        <x:v>담당기관 확인</x:v>
      </x:c>
      <x:c r="X38" s="2" t="str">
        <x:v>원본·배정 기록 확인</x:v>
      </x:c>
      <x:c r="Y38" s="2" t="str">
        <x:v>ad210cd9ec132cfd447541c8984dc53d30aff0f4fb2dc92d254d49275cc55976</x:v>
      </x:c>
      <x:c r="Z38" s="2" t="n">
        <x:f>SUBTOTAL(103,A38)</x:f>
        <x:v>1</x:v>
      </x:c>
      <x:c r="AA38" s="2" t="str">
        <x:f>IF(K38&lt;&gt;"미종결 표시","대상 아님",IF(N38="","신청일 확인",IF(NOT(ISNUMBER('종합 현황'!$H$5)),"관찰기준 확인",IF('종합 현황'!$H$5&lt;1,"관찰기준 확인",IF(N38&gt;'종합 현황'!$H$5,"내부 관찰 대상","내부 관찰일 이하")))))</x:f>
        <x:v>대상 아님</x:v>
      </x:c>
      <x:c r="AB38" s="2" t="str">
        <x:v>2019-10-07 10:31:12 - 방법론신청
2019-10-07 10:31:13 - 관장기관지정 (기후에너지환경부)
2019-10-14 17:21:23 - 관장기관지정 (산업통상부)
2019-11-21 11:25:04 - 문서재제출요청
2020-02-20 17:01:56 - 문서재제출완료
2020-03-18 11:42:15 - 보완요청
2020-04-03 14:34:00 - 문서보완접수
2020-04-29 15:33:18 - 보완요청
2020-06-08 15:09:41 - 문서보완접수
2020-07-29 15:04:06 - 보완요청
2020-09-29 13:37:53 - 문서보완접수
2020-12-24 17:15:38 - 문서재제출요청
2021-04-04 16:42:45 - 문서재제출완료
2021-04-16 13:12:33 - 문서재제출요청
2021-04-19 16:38:52 - 문서재제출완료
2021-04-20 10:41:09 - 문서재제출요청
2021-04-21 13:49:47 - 문서재제출완료
2021-05-13 10:32:35 - 문서재제출요청
2021-06-18 15:05:34 - 문서재제출완료
2021-06-29 09:50:37 - 문서재제출요청
2021-07-02 18:27:48 - 문서재제출완료
2021-08-23 16:17:50 - 문서재제출요청
2021-08-24 18:44:47 - 문서재제출완료
2021-08-26 13:14:16 - 문서재제출요청
2021-08-26 17:34:54 - 문서재제출완료
2021-10-22 09:31:37 - 문서재제출요청
2021-11-04 18:54:20 - 문서재제출완료
2022-01-11 15:51:36 - 검토승인
2022-01-18 17:59:37 - 심의승인
</x:v>
      </x:c>
    </x:row>
    <x:row r="39" ht="42" customHeight="1">
      <x:c r="A39" s="2" t="str">
        <x:v>be941e403b454b9325501bff</x:v>
      </x:c>
      <x:c r="B39" s="2" t="str">
        <x:v>방법론 신청</x:v>
      </x:c>
      <x:c r="C39" s="2" t="str">
        <x:v>공통</x:v>
      </x:c>
      <x:c r="D39" s="7" t="str">
        <x:v>부생수소 활용을 통한 수소제조공정 대체사업의 방법론</x:v>
      </x:c>
      <x:c r="E39" s="2" t="str">
        <x:v>33</x:v>
      </x:c>
      <x:c r="F39" s="2" t="str">
        <x:v>2019-10-11</x:v>
      </x:c>
      <x:c r="G39" s="2" t="str">
        <x:v>2019</x:v>
      </x:c>
      <x:c r="H39" s="2" t="str">
        <x:v>10</x:v>
      </x:c>
      <x:c r="I39" s="2" t="str">
        <x:v>심의승인</x:v>
      </x:c>
      <x:c r="J39" s="2" t="str">
        <x:v>심의승인</x:v>
      </x:c>
      <x:c r="K39" s="2" t="str">
        <x:f>IF(OR(J39="심의승인",J39="반려",J39="반려완료",J39="심의완료"),"종결 표시",IF(OR(J39="기후부협의",J39="문서재제출요청",J39="보류",J39="보완요청",J39="보완완료",J39="평가중",J39="반려요청",J39="평가필요",LEFT(J39,5)="보완요청("),"미종결 표시","상태 확인 필요"))</x:f>
        <x:v>종결 표시</x:v>
      </x:c>
      <x:c r="L39" s="2"/>
      <x:c r="M39" s="2"/>
      <x:c r="N39" s="8" t="n">
        <x:f>DATE(2026,10,15)-DATE(2019,10,11)</x:f>
        <x:v>2561</x:v>
      </x:c>
      <x:c r="O39" s="2"/>
      <x:c r="P39" s="2"/>
      <x:c r="Q39" s="2" t="str">
        <x:v>산업전환_외부사업관리Tool_260707_이너젠 수정_LJY_261013.xlsx</x:v>
      </x:c>
      <x:c r="R39" s="2" t="str">
        <x:v>방법론</x:v>
      </x:c>
      <x:c r="S39" s="8" t="n">
        <x:v>35</x:v>
      </x:c>
      <x:c r="T39" s="2"/>
      <x:c r="U39" s="2" t="str"/>
      <x:c r="V39" s="2" t="str">
        <x:v>2020-10-23</x:v>
      </x:c>
      <x:c r="W39" s="2" t="str">
        <x:v>담당기관 확인</x:v>
      </x:c>
      <x:c r="X39" s="2" t="str">
        <x:v>원본·배정 기록 확인</x:v>
      </x:c>
      <x:c r="Y39" s="2" t="str">
        <x:v>ad210cd9ec132cfd447541c8984dc53d30aff0f4fb2dc92d254d49275cc55976</x:v>
      </x:c>
      <x:c r="Z39" s="2" t="n">
        <x:f>SUBTOTAL(103,A39)</x:f>
        <x:v>1</x:v>
      </x:c>
      <x:c r="AA39" s="2" t="str">
        <x:f>IF(K39&lt;&gt;"미종결 표시","대상 아님",IF(N39="","신청일 확인",IF(NOT(ISNUMBER('종합 현황'!$H$5)),"관찰기준 확인",IF('종합 현황'!$H$5&lt;1,"관찰기준 확인",IF(N39&gt;'종합 현황'!$H$5,"내부 관찰 대상","내부 관찰일 이하")))))</x:f>
        <x:v>대상 아님</x:v>
      </x:c>
      <x:c r="AB39" s="2" t="str">
        <x:v>2019-10-11 17:27:04 - 방법론신청
2019-10-11 17:27:05 - 관장기관지정 (기후에너지환경부)
2019-10-14 17:16:22 - 관장기관지정 (산업통상부)
2020-03-18 11:43:58 - 보완요청
2020-03-27 16:10:41 - 문서보완접수
2020-04-29 15:35:30 - 보완요청
2020-05-21 16:28:40 - 문서보완접수
2020-05-27 15:29:11 - 문서재제출요청
2020-05-27 17:14:07 - 문서재제출완료
2020-07-13 16:48:00 - 보완요청
2020-07-21 17:30:35 - 문서보완접수
2020-08-04 18:49:31 - 문서재제출요청
2020-09-17 10:53:00 - 문서재제출완료
2020-09-17 17:27:49 - 문서재제출요청
2020-09-17 17:49:02 - 문서재제출완료
2020-10-19 15:53:26 - 검토승인
2020-10-23 15:47:36 - 심의승인
</x:v>
      </x:c>
    </x:row>
    <x:row r="40" ht="42" customHeight="1">
      <x:c r="A40" s="2" t="str">
        <x:v>db05833ce18463c378b6d014</x:v>
      </x:c>
      <x:c r="B40" s="2" t="str">
        <x:v>방법론 신청</x:v>
      </x:c>
      <x:c r="C40" s="2" t="str">
        <x:v>공통</x:v>
      </x:c>
      <x:c r="D40" s="7" t="str">
        <x:v>질산 또는 카프로락탐 생산 공장의 암모니아 산화 공정에서 N2O를 분해하는 사업의 방법론</x:v>
      </x:c>
      <x:c r="E40" s="2" t="str">
        <x:v>34</x:v>
      </x:c>
      <x:c r="F40" s="2" t="str">
        <x:v>2019-10-15</x:v>
      </x:c>
      <x:c r="G40" s="2" t="str">
        <x:v>2019</x:v>
      </x:c>
      <x:c r="H40" s="2" t="str">
        <x:v>10</x:v>
      </x:c>
      <x:c r="I40" s="2" t="str">
        <x:v>검토반려</x:v>
      </x:c>
      <x:c r="J40" s="2" t="str">
        <x:v>반려</x:v>
      </x:c>
      <x:c r="K40" s="2" t="str">
        <x:f>IF(OR(J40="심의승인",J40="반려",J40="반려완료",J40="심의완료"),"종결 표시",IF(OR(J40="기후부협의",J40="문서재제출요청",J40="보류",J40="보완요청",J40="보완완료",J40="평가중",J40="반려요청",J40="평가필요",LEFT(J40,5)="보완요청("),"미종결 표시","상태 확인 필요"))</x:f>
        <x:v>종결 표시</x:v>
      </x:c>
      <x:c r="L40" s="2"/>
      <x:c r="M40" s="2"/>
      <x:c r="N40" s="8" t="n">
        <x:f>DATE(2026,10,15)-DATE(2019,10,15)</x:f>
        <x:v>2557</x:v>
      </x:c>
      <x:c r="O40" s="2"/>
      <x:c r="P40" s="2"/>
      <x:c r="Q40" s="2" t="str">
        <x:v>산업전환_외부사업관리Tool_260707_이너젠 수정_LJY_261013.xlsx</x:v>
      </x:c>
      <x:c r="R40" s="2" t="str">
        <x:v>방법론</x:v>
      </x:c>
      <x:c r="S40" s="8" t="n">
        <x:v>36</x:v>
      </x:c>
      <x:c r="T40" s="2"/>
      <x:c r="U40" s="2" t="str"/>
      <x:c r="V40" s="2" t="str">
        <x:v>2021-04-30</x:v>
      </x:c>
      <x:c r="W40" s="2" t="str">
        <x:v>담당기관 확인</x:v>
      </x:c>
      <x:c r="X40" s="2" t="str">
        <x:v>원본·배정 기록 확인</x:v>
      </x:c>
      <x:c r="Y40" s="2" t="str">
        <x:v>ad210cd9ec132cfd447541c8984dc53d30aff0f4fb2dc92d254d49275cc55976</x:v>
      </x:c>
      <x:c r="Z40" s="2" t="n">
        <x:f>SUBTOTAL(103,A40)</x:f>
        <x:v>1</x:v>
      </x:c>
      <x:c r="AA40" s="2" t="str">
        <x:f>IF(K40&lt;&gt;"미종결 표시","대상 아님",IF(N40="","신청일 확인",IF(NOT(ISNUMBER('종합 현황'!$H$5)),"관찰기준 확인",IF('종합 현황'!$H$5&lt;1,"관찰기준 확인",IF(N40&gt;'종합 현황'!$H$5,"내부 관찰 대상","내부 관찰일 이하")))))</x:f>
        <x:v>대상 아님</x:v>
      </x:c>
      <x:c r="AB40" s="2" t="str">
        <x:v>2019-10-15 10:37:35 - 방법론신청
2019-10-15 10:37:36 - 관장기관지정 (기후에너지환경부)
2019-10-18 16:53:34 - 관장기관지정 (산업통상부)
2020-03-18 11:44:47 - 보완요청
2020-03-27 18:27:40 - 문서보완접수
2020-04-29 15:34:20 - 문서재제출요청
2020-05-19 13:44:48 - 문서재제출완료
2020-05-27 18:16:30 - 문서재제출요청
2020-05-27 18:30:52 - 문서재제출완료
2020-06-15 11:26:57 - 보완요청
2020-07-17 10:05:42 - 문서보완접수
2020-08-04 18:48:21 - 문서재제출요청
2020-08-12 13:38:05 - 문서재제출완료
2020-09-17 16:01:52 - 문서재제출요청
2020-09-18 11:43:36 - 문서재제출완료
2021-04-30 09:16:07 - 검토반려
</x:v>
      </x:c>
    </x:row>
    <x:row r="41" ht="42" customHeight="1">
      <x:c r="A41" s="2" t="str">
        <x:v>d96e419c197cbfc3cf8586b7</x:v>
      </x:c>
      <x:c r="B41" s="2" t="str">
        <x:v>방법론 신청</x:v>
      </x:c>
      <x:c r="C41" s="2" t="str">
        <x:v>공통</x:v>
      </x:c>
      <x:c r="D41" s="7" t="str">
        <x:v>혼합시멘트 생산에서 원료의 부분적인 전환 및 혼합재 비율 증가를 통한 온실가스 감축</x:v>
      </x:c>
      <x:c r="E41" s="2" t="str">
        <x:v>35</x:v>
      </x:c>
      <x:c r="F41" s="2" t="str">
        <x:v>2019-11-28</x:v>
      </x:c>
      <x:c r="G41" s="2" t="str">
        <x:v>2019</x:v>
      </x:c>
      <x:c r="H41" s="2" t="str">
        <x:v>11</x:v>
      </x:c>
      <x:c r="I41" s="2" t="str">
        <x:v>심의승인</x:v>
      </x:c>
      <x:c r="J41" s="2" t="str">
        <x:v>심의승인</x:v>
      </x:c>
      <x:c r="K41" s="2" t="str">
        <x:f>IF(OR(J41="심의승인",J41="반려",J41="반려완료",J41="심의완료"),"종결 표시",IF(OR(J41="기후부협의",J41="문서재제출요청",J41="보류",J41="보완요청",J41="보완완료",J41="평가중",J41="반려요청",J41="평가필요",LEFT(J41,5)="보완요청("),"미종결 표시","상태 확인 필요"))</x:f>
        <x:v>종결 표시</x:v>
      </x:c>
      <x:c r="L41" s="2"/>
      <x:c r="M41" s="2"/>
      <x:c r="N41" s="8" t="n">
        <x:f>DATE(2026,10,15)-DATE(2019,11,28)</x:f>
        <x:v>2513</x:v>
      </x:c>
      <x:c r="O41" s="2"/>
      <x:c r="P41" s="2"/>
      <x:c r="Q41" s="2" t="str">
        <x:v>산업전환_외부사업관리Tool_260707_이너젠 수정_LJY_261013.xlsx</x:v>
      </x:c>
      <x:c r="R41" s="2" t="str">
        <x:v>방법론</x:v>
      </x:c>
      <x:c r="S41" s="8" t="n">
        <x:v>37</x:v>
      </x:c>
      <x:c r="T41" s="2"/>
      <x:c r="U41" s="2" t="str"/>
      <x:c r="V41" s="2" t="str">
        <x:v>2022-12-26</x:v>
      </x:c>
      <x:c r="W41" s="2" t="str">
        <x:v>담당기관 확인</x:v>
      </x:c>
      <x:c r="X41" s="2" t="str">
        <x:v>원본·배정 기록 확인</x:v>
      </x:c>
      <x:c r="Y41" s="2" t="str">
        <x:v>ad210cd9ec132cfd447541c8984dc53d30aff0f4fb2dc92d254d49275cc55976</x:v>
      </x:c>
      <x:c r="Z41" s="2" t="n">
        <x:f>SUBTOTAL(103,A41)</x:f>
        <x:v>1</x:v>
      </x:c>
      <x:c r="AA41" s="2" t="str">
        <x:f>IF(K41&lt;&gt;"미종결 표시","대상 아님",IF(N41="","신청일 확인",IF(NOT(ISNUMBER('종합 현황'!$H$5)),"관찰기준 확인",IF('종합 현황'!$H$5&lt;1,"관찰기준 확인",IF(N41&gt;'종합 현황'!$H$5,"내부 관찰 대상","내부 관찰일 이하")))))</x:f>
        <x:v>대상 아님</x:v>
      </x:c>
      <x:c r="AB41" s="2" t="str">
        <x:v>2019-11-28 19:28:15 - 방법론신청
2019-11-28 19:28:16 - 관장기관지정 (기후에너지환경부)
2019-11-30 09:57:50 - 관장기관지정 (산업통상부)
2020-03-18 11:43:04 - 보완요청
2020-11-30 22:15:41 - 문서보완접수
2021-05-13 10:31:41 - 보완요청
2021-06-21 23:37:29 - 문서보완접수
2021-06-29 09:52:31 - 보완요청
2021-09-28 13:23:41 - 문서보완접수
2022-01-26 15:42:38 - 문서재제출요청
2022-03-23 16:26:57 - 문서재제출완료
2022-05-19 15:07:18 - 보완요청
2022-05-26 16:09:17 - 문서보완접수
2022-11-15 08:38:01 - 문서재제출요청
2022-11-17 20:34:13 - 문서재제출완료
2022-11-23 09:32:45 - 문서재제출요청
2022-11-23 10:06:21 - 문서재제출완료
2022-12-23 13:59:32 - 검토승인
2022-12-26 15:46:05 - 심의승인
</x:v>
      </x:c>
    </x:row>
    <x:row r="42" ht="42" customHeight="1">
      <x:c r="A42" s="2" t="str">
        <x:v>9abe58f225351b18361f0b3f</x:v>
      </x:c>
      <x:c r="B42" s="2" t="str">
        <x:v>방법론 신청</x:v>
      </x:c>
      <x:c r="C42" s="2" t="str">
        <x:v>공통</x:v>
      </x:c>
      <x:c r="D42" s="7" t="str">
        <x:v>고효율 설비교체 사업의 방법론 (03A-004-Ver01)의 인버터 공기압축기 극소규모 방법론</x:v>
      </x:c>
      <x:c r="E42" s="2" t="str">
        <x:v>36</x:v>
      </x:c>
      <x:c r="F42" s="2" t="str">
        <x:v>2019-12-05</x:v>
      </x:c>
      <x:c r="G42" s="2" t="str">
        <x:v>2019</x:v>
      </x:c>
      <x:c r="H42" s="2" t="str">
        <x:v>12</x:v>
      </x:c>
      <x:c r="I42" s="2" t="str">
        <x:v>검토반려</x:v>
      </x:c>
      <x:c r="J42" s="2" t="str">
        <x:v>반려</x:v>
      </x:c>
      <x:c r="K42" s="2" t="str">
        <x:f>IF(OR(J42="심의승인",J42="반려",J42="반려완료",J42="심의완료"),"종결 표시",IF(OR(J42="기후부협의",J42="문서재제출요청",J42="보류",J42="보완요청",J42="보완완료",J42="평가중",J42="반려요청",J42="평가필요",LEFT(J42,5)="보완요청("),"미종결 표시","상태 확인 필요"))</x:f>
        <x:v>종결 표시</x:v>
      </x:c>
      <x:c r="L42" s="2"/>
      <x:c r="M42" s="2"/>
      <x:c r="N42" s="8" t="n">
        <x:f>DATE(2026,10,15)-DATE(2019,12,5)</x:f>
        <x:v>2506</x:v>
      </x:c>
      <x:c r="O42" s="2"/>
      <x:c r="P42" s="2"/>
      <x:c r="Q42" s="2" t="str">
        <x:v>산업전환_외부사업관리Tool_260707_이너젠 수정_LJY_261013.xlsx</x:v>
      </x:c>
      <x:c r="R42" s="2" t="str">
        <x:v>방법론</x:v>
      </x:c>
      <x:c r="S42" s="8" t="n">
        <x:v>38</x:v>
      </x:c>
      <x:c r="T42" s="2"/>
      <x:c r="U42" s="2" t="str"/>
      <x:c r="V42" s="2" t="str">
        <x:v>2021-07-13</x:v>
      </x:c>
      <x:c r="W42" s="2" t="str">
        <x:v>담당기관 확인</x:v>
      </x:c>
      <x:c r="X42" s="2" t="str">
        <x:v>원본·배정 기록 확인</x:v>
      </x:c>
      <x:c r="Y42" s="2" t="str">
        <x:v>ad210cd9ec132cfd447541c8984dc53d30aff0f4fb2dc92d254d49275cc55976</x:v>
      </x:c>
      <x:c r="Z42" s="2" t="n">
        <x:f>SUBTOTAL(103,A42)</x:f>
        <x:v>1</x:v>
      </x:c>
      <x:c r="AA42" s="2" t="str">
        <x:f>IF(K42&lt;&gt;"미종결 표시","대상 아님",IF(N42="","신청일 확인",IF(NOT(ISNUMBER('종합 현황'!$H$5)),"관찰기준 확인",IF('종합 현황'!$H$5&lt;1,"관찰기준 확인",IF(N42&gt;'종합 현황'!$H$5,"내부 관찰 대상","내부 관찰일 이하")))))</x:f>
        <x:v>대상 아님</x:v>
      </x:c>
      <x:c r="AB42" s="2" t="str">
        <x:v>2019-12-05 09:21:32 - 방법론신청
2019-12-05 09:21:34 - 관장기관지정 (기후에너지환경부)
2019-12-05 09:24:43 - 관장기관지정 (산업통상부)
2020-05-20 10:00:08 - 보완요청
2021-07-13 14:41:28 - 문서보완접수
2021-07-13 16:59:22 - 검토반려
</x:v>
      </x:c>
    </x:row>
    <x:row r="43" ht="42" customHeight="1">
      <x:c r="A43" s="2" t="str">
        <x:v>30e4503776fa25c5ddc1c136</x:v>
      </x:c>
      <x:c r="B43" s="2" t="str">
        <x:v>방법론 신청</x:v>
      </x:c>
      <x:c r="C43" s="2" t="str">
        <x:v>공통</x:v>
      </x:c>
      <x:c r="D43" s="7" t="str">
        <x:v>열공급시설에서 목질계 바이오매스 연료를 이용하여 생산된 열에너지 공급을 통한 수용가의 화석연료 사용량 절감사업의 방법론</x:v>
      </x:c>
      <x:c r="E43" s="2" t="str">
        <x:v>37</x:v>
      </x:c>
      <x:c r="F43" s="2" t="str">
        <x:v>2019-12-19</x:v>
      </x:c>
      <x:c r="G43" s="2" t="str">
        <x:v>2019</x:v>
      </x:c>
      <x:c r="H43" s="2" t="str">
        <x:v>12</x:v>
      </x:c>
      <x:c r="I43" s="2" t="str">
        <x:v>심의승인</x:v>
      </x:c>
      <x:c r="J43" s="2" t="str">
        <x:v>심의승인</x:v>
      </x:c>
      <x:c r="K43" s="2" t="str">
        <x:f>IF(OR(J43="심의승인",J43="반려",J43="반려완료",J43="심의완료"),"종결 표시",IF(OR(J43="기후부협의",J43="문서재제출요청",J43="보류",J43="보완요청",J43="보완완료",J43="평가중",J43="반려요청",J43="평가필요",LEFT(J43,5)="보완요청("),"미종결 표시","상태 확인 필요"))</x:f>
        <x:v>종결 표시</x:v>
      </x:c>
      <x:c r="L43" s="2"/>
      <x:c r="M43" s="2"/>
      <x:c r="N43" s="8" t="n">
        <x:f>DATE(2026,10,15)-DATE(2019,12,19)</x:f>
        <x:v>2492</x:v>
      </x:c>
      <x:c r="O43" s="2"/>
      <x:c r="P43" s="2"/>
      <x:c r="Q43" s="2" t="str">
        <x:v>산업전환_외부사업관리Tool_260707_이너젠 수정_LJY_261013.xlsx</x:v>
      </x:c>
      <x:c r="R43" s="2" t="str">
        <x:v>방법론</x:v>
      </x:c>
      <x:c r="S43" s="8" t="n">
        <x:v>39</x:v>
      </x:c>
      <x:c r="T43" s="2"/>
      <x:c r="U43" s="2" t="str"/>
      <x:c r="V43" s="2" t="str">
        <x:v>2021-03-18</x:v>
      </x:c>
      <x:c r="W43" s="2" t="str">
        <x:v>담당기관 확인</x:v>
      </x:c>
      <x:c r="X43" s="2" t="str">
        <x:v>원본·배정 기록 확인</x:v>
      </x:c>
      <x:c r="Y43" s="2" t="str">
        <x:v>ad210cd9ec132cfd447541c8984dc53d30aff0f4fb2dc92d254d49275cc55976</x:v>
      </x:c>
      <x:c r="Z43" s="2" t="n">
        <x:f>SUBTOTAL(103,A43)</x:f>
        <x:v>1</x:v>
      </x:c>
      <x:c r="AA43" s="2" t="str">
        <x:f>IF(K43&lt;&gt;"미종결 표시","대상 아님",IF(N43="","신청일 확인",IF(NOT(ISNUMBER('종합 현황'!$H$5)),"관찰기준 확인",IF('종합 현황'!$H$5&lt;1,"관찰기준 확인",IF(N43&gt;'종합 현황'!$H$5,"내부 관찰 대상","내부 관찰일 이하")))))</x:f>
        <x:v>대상 아님</x:v>
      </x:c>
      <x:c r="AB43" s="2" t="str">
        <x:v>2019-12-19 16:07:39 - 방법론신청
2019-12-19 16:07:40 - 관장기관지정 (기후에너지환경부)
2019-12-23 09:34:37 - 관장기관지정 (산업통상부)
2020-04-23 09:59:51 - 보완요청
2020-07-30 16:39:59 - 문서보완접수
2020-12-20 13:15:49 - 문서재제출요청
2020-12-21 11:56:02 - 문서재제출완료
2021-01-25 10:18:25 - 문서재제출요청
2021-01-25 16:46:31 - 문서재제출완료
2021-03-08 14:33:05 - 문서재제출요청
2021-03-08 17:46:57 - 문서재제출완료
2021-03-10 17:20:11 - 문서재제출요청
2021-03-15 15:02:20 - 문서재제출완료
2021-03-17 16:01:05 - 문서재제출요청
2021-03-18 17:14:41 - 문서재제출완료
2021-03-18 17:18:51 - 심의승인
2021-03-18 17:20:03 - 검토승인
</x:v>
      </x:c>
    </x:row>
    <x:row r="44" ht="42" customHeight="1">
      <x:c r="A44" s="2" t="str">
        <x:v>fe9e99bb3b5e62c73da0b80f</x:v>
      </x:c>
      <x:c r="B44" s="2" t="str">
        <x:v>방법론 신청</x:v>
      </x:c>
      <x:c r="C44" s="2" t="str">
        <x:v>공통</x:v>
      </x:c>
      <x:c r="D44" s="7" t="str">
        <x:v>Single RAN 설비를 도입하여 legacy 전기통신설비를 대체하는 사업의 방법론</x:v>
      </x:c>
      <x:c r="E44" s="2" t="str">
        <x:v>38</x:v>
      </x:c>
      <x:c r="F44" s="2" t="str">
        <x:v>2019-12-26</x:v>
      </x:c>
      <x:c r="G44" s="2" t="str">
        <x:v>2019</x:v>
      </x:c>
      <x:c r="H44" s="2" t="str">
        <x:v>12</x:v>
      </x:c>
      <x:c r="I44" s="2" t="str">
        <x:v>심의승인</x:v>
      </x:c>
      <x:c r="J44" s="2" t="str">
        <x:v>심의승인</x:v>
      </x:c>
      <x:c r="K44" s="2" t="str">
        <x:f>IF(OR(J44="심의승인",J44="반려",J44="반려완료",J44="심의완료"),"종결 표시",IF(OR(J44="기후부협의",J44="문서재제출요청",J44="보류",J44="보완요청",J44="보완완료",J44="평가중",J44="반려요청",J44="평가필요",LEFT(J44,5)="보완요청("),"미종결 표시","상태 확인 필요"))</x:f>
        <x:v>종결 표시</x:v>
      </x:c>
      <x:c r="L44" s="2"/>
      <x:c r="M44" s="2"/>
      <x:c r="N44" s="8" t="n">
        <x:f>DATE(2026,10,15)-DATE(2019,12,26)</x:f>
        <x:v>2485</x:v>
      </x:c>
      <x:c r="O44" s="2"/>
      <x:c r="P44" s="2"/>
      <x:c r="Q44" s="2" t="str">
        <x:v>산업전환_외부사업관리Tool_260707_이너젠 수정_LJY_261013.xlsx</x:v>
      </x:c>
      <x:c r="R44" s="2" t="str">
        <x:v>방법론</x:v>
      </x:c>
      <x:c r="S44" s="8" t="n">
        <x:v>40</x:v>
      </x:c>
      <x:c r="T44" s="2"/>
      <x:c r="U44" s="2" t="str"/>
      <x:c r="V44" s="2" t="str">
        <x:v>2020-10-23</x:v>
      </x:c>
      <x:c r="W44" s="2" t="str">
        <x:v>담당기관 확인</x:v>
      </x:c>
      <x:c r="X44" s="2" t="str">
        <x:v>원본·배정 기록 확인</x:v>
      </x:c>
      <x:c r="Y44" s="2" t="str">
        <x:v>ad210cd9ec132cfd447541c8984dc53d30aff0f4fb2dc92d254d49275cc55976</x:v>
      </x:c>
      <x:c r="Z44" s="2" t="n">
        <x:f>SUBTOTAL(103,A44)</x:f>
        <x:v>1</x:v>
      </x:c>
      <x:c r="AA44" s="2" t="str">
        <x:f>IF(K44&lt;&gt;"미종결 표시","대상 아님",IF(N44="","신청일 확인",IF(NOT(ISNUMBER('종합 현황'!$H$5)),"관찰기준 확인",IF('종합 현황'!$H$5&lt;1,"관찰기준 확인",IF(N44&gt;'종합 현황'!$H$5,"내부 관찰 대상","내부 관찰일 이하")))))</x:f>
        <x:v>대상 아님</x:v>
      </x:c>
      <x:c r="AB44" s="2" t="str">
        <x:v>2019-12-26 17:25:42 - 방법론신청
2019-12-26 17:25:43 - 관장기관지정 (기후에너지환경부)
2019-12-30 09:54:25 - 관장기관지정 (산업통상부)
2020-03-18 13:43:37 - 보완요청
2020-03-27 11:27:34 - 문서보완접수
2020-04-29 15:38:32 - 보완요청
2020-05-21 17:07:45 - 문서보완접수
2020-05-27 16:23:13 - 문서재제출요청
2020-05-27 17:12:56 - 문서재제출완료
2020-07-13 16:49:09 - 보완요청
2020-07-23 09:29:48 - 문서보완접수
2020-09-16 14:06:24 - 문서재제출요청
2020-09-16 14:21:26 - 문서재제출완료
2020-09-16 18:43:11 - 문서재제출요청
2020-09-16 19:43:48 - 문서재제출완료
2020-10-19 15:43:23 - 검토승인
2020-10-23 15:49:09 - 심의승인
</x:v>
      </x:c>
    </x:row>
    <x:row r="45" ht="42" customHeight="1">
      <x:c r="A45" s="2" t="str">
        <x:v>21fba4de252bfa76768b8645</x:v>
      </x:c>
      <x:c r="B45" s="2" t="str">
        <x:v>방법론 신청</x:v>
      </x:c>
      <x:c r="C45" s="2" t="str">
        <x:v>공통</x:v>
      </x:c>
      <x:c r="D45" s="7" t="str">
        <x:v>극소규모 전력절감설비 설치사업 방법론</x:v>
      </x:c>
      <x:c r="E45" s="2" t="str">
        <x:v>39</x:v>
      </x:c>
      <x:c r="F45" s="2" t="str">
        <x:v>2019-12-30</x:v>
      </x:c>
      <x:c r="G45" s="2" t="str">
        <x:v>2019</x:v>
      </x:c>
      <x:c r="H45" s="2" t="str">
        <x:v>12</x:v>
      </x:c>
      <x:c r="I45" s="2" t="str">
        <x:v>검토반려</x:v>
      </x:c>
      <x:c r="J45" s="2" t="str">
        <x:v>반려</x:v>
      </x:c>
      <x:c r="K45" s="2" t="str">
        <x:f>IF(OR(J45="심의승인",J45="반려",J45="반려완료",J45="심의완료"),"종결 표시",IF(OR(J45="기후부협의",J45="문서재제출요청",J45="보류",J45="보완요청",J45="보완완료",J45="평가중",J45="반려요청",J45="평가필요",LEFT(J45,5)="보완요청("),"미종결 표시","상태 확인 필요"))</x:f>
        <x:v>종결 표시</x:v>
      </x:c>
      <x:c r="L45" s="2"/>
      <x:c r="M45" s="2"/>
      <x:c r="N45" s="8" t="n">
        <x:f>DATE(2026,10,15)-DATE(2019,12,30)</x:f>
        <x:v>2481</x:v>
      </x:c>
      <x:c r="O45" s="2"/>
      <x:c r="P45" s="2"/>
      <x:c r="Q45" s="2" t="str">
        <x:v>산업전환_외부사업관리Tool_260707_이너젠 수정_LJY_261013.xlsx</x:v>
      </x:c>
      <x:c r="R45" s="2" t="str">
        <x:v>방법론</x:v>
      </x:c>
      <x:c r="S45" s="8" t="n">
        <x:v>41</x:v>
      </x:c>
      <x:c r="T45" s="2"/>
      <x:c r="U45" s="2" t="str"/>
      <x:c r="V45" s="2" t="str">
        <x:v>2025-04-10</x:v>
      </x:c>
      <x:c r="W45" s="2" t="str">
        <x:v>담당기관 확인</x:v>
      </x:c>
      <x:c r="X45" s="2" t="str">
        <x:v>원본·배정 기록 확인</x:v>
      </x:c>
      <x:c r="Y45" s="2" t="str">
        <x:v>ad210cd9ec132cfd447541c8984dc53d30aff0f4fb2dc92d254d49275cc55976</x:v>
      </x:c>
      <x:c r="Z45" s="2" t="n">
        <x:f>SUBTOTAL(103,A45)</x:f>
        <x:v>1</x:v>
      </x:c>
      <x:c r="AA45" s="2" t="str">
        <x:f>IF(K45&lt;&gt;"미종결 표시","대상 아님",IF(N45="","신청일 확인",IF(NOT(ISNUMBER('종합 현황'!$H$5)),"관찰기준 확인",IF('종합 현황'!$H$5&lt;1,"관찰기준 확인",IF(N45&gt;'종합 현황'!$H$5,"내부 관찰 대상","내부 관찰일 이하")))))</x:f>
        <x:v>대상 아님</x:v>
      </x:c>
      <x:c r="AB45" s="2" t="str">
        <x:v>2019-12-30 20:19:34 - 방법론신청
2019-12-30 20:19:35 - 관장기관지정 (기후에너지환경부)
2020-01-02 09:07:07 - 관장기관지정 (산업통상부)
2020-02-24 13:34:30 - 보완요청
2020-07-09 16:51:43 - 문서보완접수
2020-12-28 17:30:57 - 보완요청
2021-06-21 18:35:00 - 문서보완접수
2021-06-29 09:57:27 - 보완요청
2021-07-30 17:23:39 - 문서보완접수
2021-09-24 11:36:29 - 보완요청
2021-10-29 15:48:56 - 문서보완접수
2022-01-26 15:46:15 - 문서재제출요청
2022-06-10 17:49:28 - 문서재제출완료
2025-04-10 14:08:47 - 검토반려
</x:v>
      </x:c>
    </x:row>
    <x:row r="46" ht="42" customHeight="1">
      <x:c r="A46" s="2" t="str">
        <x:v>3b94e6f1e2986b309aa7bfe4</x:v>
      </x:c>
      <x:c r="B46" s="2" t="str">
        <x:v>방법론 신청</x:v>
      </x:c>
      <x:c r="C46" s="2" t="str">
        <x:v>공통</x:v>
      </x:c>
      <x:c r="D46" s="7" t="str">
        <x:v>미활용 열에너지 회수 및 이용 사업의 극소규모 방법론</x:v>
      </x:c>
      <x:c r="E46" s="2" t="str">
        <x:v>40</x:v>
      </x:c>
      <x:c r="F46" s="2" t="str">
        <x:v>2019-12-30</x:v>
      </x:c>
      <x:c r="G46" s="2" t="str">
        <x:v>2019</x:v>
      </x:c>
      <x:c r="H46" s="2" t="str">
        <x:v>12</x:v>
      </x:c>
      <x:c r="I46" s="2" t="str">
        <x:v>검토반려</x:v>
      </x:c>
      <x:c r="J46" s="2" t="str">
        <x:v>반려</x:v>
      </x:c>
      <x:c r="K46" s="2" t="str">
        <x:f>IF(OR(J46="심의승인",J46="반려",J46="반려완료",J46="심의완료"),"종결 표시",IF(OR(J46="기후부협의",J46="문서재제출요청",J46="보류",J46="보완요청",J46="보완완료",J46="평가중",J46="반려요청",J46="평가필요",LEFT(J46,5)="보완요청("),"미종결 표시","상태 확인 필요"))</x:f>
        <x:v>종결 표시</x:v>
      </x:c>
      <x:c r="L46" s="2"/>
      <x:c r="M46" s="2"/>
      <x:c r="N46" s="8" t="n">
        <x:f>DATE(2026,10,15)-DATE(2019,12,30)</x:f>
        <x:v>2481</x:v>
      </x:c>
      <x:c r="O46" s="2"/>
      <x:c r="P46" s="2"/>
      <x:c r="Q46" s="2" t="str">
        <x:v>산업전환_외부사업관리Tool_260707_이너젠 수정_LJY_261013.xlsx</x:v>
      </x:c>
      <x:c r="R46" s="2" t="str">
        <x:v>방법론</x:v>
      </x:c>
      <x:c r="S46" s="8" t="n">
        <x:v>42</x:v>
      </x:c>
      <x:c r="T46" s="2"/>
      <x:c r="U46" s="2" t="str"/>
      <x:c r="V46" s="2" t="str">
        <x:v>2021-10-12</x:v>
      </x:c>
      <x:c r="W46" s="2" t="str">
        <x:v>담당기관 확인</x:v>
      </x:c>
      <x:c r="X46" s="2" t="str">
        <x:v>원본·배정 기록 확인</x:v>
      </x:c>
      <x:c r="Y46" s="2" t="str">
        <x:v>ad210cd9ec132cfd447541c8984dc53d30aff0f4fb2dc92d254d49275cc55976</x:v>
      </x:c>
      <x:c r="Z46" s="2" t="n">
        <x:f>SUBTOTAL(103,A46)</x:f>
        <x:v>1</x:v>
      </x:c>
      <x:c r="AA46" s="2" t="str">
        <x:f>IF(K46&lt;&gt;"미종결 표시","대상 아님",IF(N46="","신청일 확인",IF(NOT(ISNUMBER('종합 현황'!$H$5)),"관찰기준 확인",IF('종합 현황'!$H$5&lt;1,"관찰기준 확인",IF(N46&gt;'종합 현황'!$H$5,"내부 관찰 대상","내부 관찰일 이하")))))</x:f>
        <x:v>대상 아님</x:v>
      </x:c>
      <x:c r="AB46" s="2" t="str">
        <x:v>2019-12-30 20:55:57 - 방법론신청
2019-12-30 20:55:58 - 관장기관지정 (기후에너지환경부)
2020-01-02 09:07:12 - 관장기관지정 (산업통상부)
2020-04-02 10:10:34 - 보완요청
2020-08-03 15:47:53 - 문서보완접수
2021-05-13 10:34:08 - 보완요청
2021-06-21 18:33:02 - 문서보완접수
2021-06-29 09:56:39 - 보완요청
2021-07-30 17:22:26 - 문서보완접수
2021-10-12 09:53:39 - 검토반려
</x:v>
      </x:c>
    </x:row>
    <x:row r="47" ht="42" customHeight="1">
      <x:c r="A47" s="2" t="str">
        <x:v>a74ca442cb2438f0411bcb32</x:v>
      </x:c>
      <x:c r="B47" s="2" t="str">
        <x:v>방법론 신청</x:v>
      </x:c>
      <x:c r="C47" s="2" t="str">
        <x:v>공통</x:v>
      </x:c>
      <x:c r="D47" s="7" t="str">
        <x:v>극소규모 고효율 설비교체_보온재 추가 설치</x:v>
      </x:c>
      <x:c r="E47" s="2" t="str">
        <x:v>41</x:v>
      </x:c>
      <x:c r="F47" s="2" t="str">
        <x:v>2019-12-31</x:v>
      </x:c>
      <x:c r="G47" s="2" t="str">
        <x:v>2019</x:v>
      </x:c>
      <x:c r="H47" s="2" t="str">
        <x:v>12</x:v>
      </x:c>
      <x:c r="I47" s="2" t="str">
        <x:v>검토반려</x:v>
      </x:c>
      <x:c r="J47" s="2" t="str">
        <x:v>반려</x:v>
      </x:c>
      <x:c r="K47" s="2" t="str">
        <x:f>IF(OR(J47="심의승인",J47="반려",J47="반려완료",J47="심의완료"),"종결 표시",IF(OR(J47="기후부협의",J47="문서재제출요청",J47="보류",J47="보완요청",J47="보완완료",J47="평가중",J47="반려요청",J47="평가필요",LEFT(J47,5)="보완요청("),"미종결 표시","상태 확인 필요"))</x:f>
        <x:v>종결 표시</x:v>
      </x:c>
      <x:c r="L47" s="2"/>
      <x:c r="M47" s="2"/>
      <x:c r="N47" s="8" t="n">
        <x:f>DATE(2026,10,15)-DATE(2019,12,31)</x:f>
        <x:v>2480</x:v>
      </x:c>
      <x:c r="O47" s="2"/>
      <x:c r="P47" s="2"/>
      <x:c r="Q47" s="2" t="str">
        <x:v>산업전환_외부사업관리Tool_260707_이너젠 수정_LJY_261013.xlsx</x:v>
      </x:c>
      <x:c r="R47" s="2" t="str">
        <x:v>방법론</x:v>
      </x:c>
      <x:c r="S47" s="8" t="n">
        <x:v>43</x:v>
      </x:c>
      <x:c r="T47" s="2"/>
      <x:c r="U47" s="2" t="str"/>
      <x:c r="V47" s="2" t="str">
        <x:v>2021-10-12</x:v>
      </x:c>
      <x:c r="W47" s="2" t="str">
        <x:v>담당기관 확인</x:v>
      </x:c>
      <x:c r="X47" s="2" t="str">
        <x:v>원본·배정 기록 확인</x:v>
      </x:c>
      <x:c r="Y47" s="2" t="str">
        <x:v>ad210cd9ec132cfd447541c8984dc53d30aff0f4fb2dc92d254d49275cc55976</x:v>
      </x:c>
      <x:c r="Z47" s="2" t="n">
        <x:f>SUBTOTAL(103,A47)</x:f>
        <x:v>1</x:v>
      </x:c>
      <x:c r="AA47" s="2" t="str">
        <x:f>IF(K47&lt;&gt;"미종결 표시","대상 아님",IF(N47="","신청일 확인",IF(NOT(ISNUMBER('종합 현황'!$H$5)),"관찰기준 확인",IF('종합 현황'!$H$5&lt;1,"관찰기준 확인",IF(N47&gt;'종합 현황'!$H$5,"내부 관찰 대상","내부 관찰일 이하")))))</x:f>
        <x:v>대상 아님</x:v>
      </x:c>
      <x:c r="AB47" s="2" t="str">
        <x:v>2019-12-31 15:41:33 - 방법론신청
2019-12-31 15:41:34 - 관장기관지정 (기후에너지환경부)
2020-01-02 09:07:40 - 관장기관지정 (산업통상부)
2020-12-29 15:21:39 - 보완요청
2021-06-21 18:37:48 - 문서보완접수
2021-06-29 09:57:48 - 보완요청
2021-07-30 17:24:58 - 문서보완접수
2021-10-12 09:55:47 - 검토반려
</x:v>
      </x:c>
    </x:row>
    <x:row r="48" ht="42" customHeight="1">
      <x:c r="A48" s="2" t="str">
        <x:v>86d4e82d8c18bdc6eed2510e</x:v>
      </x:c>
      <x:c r="B48" s="2" t="str">
        <x:v>방법론 신청</x:v>
      </x:c>
      <x:c r="C48" s="2" t="str">
        <x:v>공통</x:v>
      </x:c>
      <x:c r="D48" s="7" t="str">
        <x:v>고효율 공기압축기 교체 사업의 방법론</x:v>
      </x:c>
      <x:c r="E48" s="2" t="str">
        <x:v>42</x:v>
      </x:c>
      <x:c r="F48" s="2" t="str">
        <x:v>2020-06-12</x:v>
      </x:c>
      <x:c r="G48" s="2" t="str">
        <x:v>2020</x:v>
      </x:c>
      <x:c r="H48" s="2" t="str">
        <x:v>06</x:v>
      </x:c>
      <x:c r="I48" s="2" t="str">
        <x:v>검토반려</x:v>
      </x:c>
      <x:c r="J48" s="2" t="str">
        <x:v>반려</x:v>
      </x:c>
      <x:c r="K48" s="2" t="str">
        <x:f>IF(OR(J48="심의승인",J48="반려",J48="반려완료",J48="심의완료"),"종결 표시",IF(OR(J48="기후부협의",J48="문서재제출요청",J48="보류",J48="보완요청",J48="보완완료",J48="평가중",J48="반려요청",J48="평가필요",LEFT(J48,5)="보완요청("),"미종결 표시","상태 확인 필요"))</x:f>
        <x:v>종결 표시</x:v>
      </x:c>
      <x:c r="L48" s="2"/>
      <x:c r="M48" s="2"/>
      <x:c r="N48" s="8" t="n">
        <x:f>DATE(2026,10,15)-DATE(2020,6,12)</x:f>
        <x:v>2316</x:v>
      </x:c>
      <x:c r="O48" s="2"/>
      <x:c r="P48" s="2"/>
      <x:c r="Q48" s="2" t="str">
        <x:v>산업전환_외부사업관리Tool_260707_이너젠 수정_LJY_261013.xlsx</x:v>
      </x:c>
      <x:c r="R48" s="2" t="str">
        <x:v>방법론</x:v>
      </x:c>
      <x:c r="S48" s="8" t="n">
        <x:v>44</x:v>
      </x:c>
      <x:c r="T48" s="2"/>
      <x:c r="U48" s="2" t="str"/>
      <x:c r="V48" s="2" t="str">
        <x:v>2021-04-30</x:v>
      </x:c>
      <x:c r="W48" s="2" t="str">
        <x:v>담당기관 확인</x:v>
      </x:c>
      <x:c r="X48" s="2" t="str">
        <x:v>원본·배정 기록 확인</x:v>
      </x:c>
      <x:c r="Y48" s="2" t="str">
        <x:v>ad210cd9ec132cfd447541c8984dc53d30aff0f4fb2dc92d254d49275cc55976</x:v>
      </x:c>
      <x:c r="Z48" s="2" t="n">
        <x:f>SUBTOTAL(103,A48)</x:f>
        <x:v>1</x:v>
      </x:c>
      <x:c r="AA48" s="2" t="str">
        <x:f>IF(K48&lt;&gt;"미종결 표시","대상 아님",IF(N48="","신청일 확인",IF(NOT(ISNUMBER('종합 현황'!$H$5)),"관찰기준 확인",IF('종합 현황'!$H$5&lt;1,"관찰기준 확인",IF(N48&gt;'종합 현황'!$H$5,"내부 관찰 대상","내부 관찰일 이하")))))</x:f>
        <x:v>대상 아님</x:v>
      </x:c>
      <x:c r="AB48" s="2" t="str">
        <x:v>2020-06-12 11:43:14 - 방법론신청
2020-06-12 11:43:15 - 관장기관지정 (기후에너지환경부)
2020-06-15 10:22:28 - 관장기관지정 (산업통상부)
2021-04-30 13:41:43 - 검토반려
</x:v>
      </x:c>
    </x:row>
    <x:row r="49" ht="42" customHeight="1">
      <x:c r="A49" s="2" t="str">
        <x:v>3b67e8325e90e746389a2c49</x:v>
      </x:c>
      <x:c r="B49" s="2" t="str">
        <x:v>방법론 신청</x:v>
      </x:c>
      <x:c r="C49" s="2" t="str">
        <x:v>공통</x:v>
      </x:c>
      <x:c r="D49" s="7" t="str">
        <x:v>압출법발포폴리스티렌(XPS) 제품에 있어서 폐쇄형 기포(Closed-Cell) 발포제인 수소불화탄소(HFCs)의 대체 발포제 사용을 통한 온실가스 감축 방법론</x:v>
      </x:c>
      <x:c r="E49" s="2" t="str">
        <x:v>43</x:v>
      </x:c>
      <x:c r="F49" s="2" t="str">
        <x:v>2020-09-14</x:v>
      </x:c>
      <x:c r="G49" s="2" t="str">
        <x:v>2020</x:v>
      </x:c>
      <x:c r="H49" s="2" t="str">
        <x:v>09</x:v>
      </x:c>
      <x:c r="I49" s="2" t="str">
        <x:v>문서재제출요청</x:v>
      </x:c>
      <x:c r="J49" s="2" t="str">
        <x:v>문서재제출요청</x:v>
      </x:c>
      <x:c r="K49" s="2" t="str">
        <x:f>IF(OR(J49="심의승인",J49="반려",J49="반려완료",J49="심의완료"),"종결 표시",IF(OR(J49="기후부협의",J49="문서재제출요청",J49="보류",J49="보완요청",J49="보완완료",J49="평가중",J49="반려요청",J49="평가필요",LEFT(J49,5)="보완요청("),"미종결 표시","상태 확인 필요"))</x:f>
        <x:v>미종결 표시</x:v>
      </x:c>
      <x:c r="L49" s="2"/>
      <x:c r="M49" s="2"/>
      <x:c r="N49" s="8" t="n">
        <x:f>DATE(2026,10,15)-DATE(2020,9,14)</x:f>
        <x:v>2222</x:v>
      </x:c>
      <x:c r="O49" s="2"/>
      <x:c r="P49" s="2"/>
      <x:c r="Q49" s="2" t="str">
        <x:v>산업전환_외부사업관리Tool_260707_이너젠 수정_LJY_261013.xlsx</x:v>
      </x:c>
      <x:c r="R49" s="2" t="str">
        <x:v>방법론</x:v>
      </x:c>
      <x:c r="S49" s="8" t="n">
        <x:v>45</x:v>
      </x:c>
      <x:c r="T49" s="2"/>
      <x:c r="U49" s="2" t="str"/>
      <x:c r="V49" s="2" t="str">
        <x:v>2022-06-29</x:v>
      </x:c>
      <x:c r="W49" s="2" t="str">
        <x:v>담당기관 확인</x:v>
      </x:c>
      <x:c r="X49" s="2" t="str">
        <x:v>원본·배정 기록 확인</x:v>
      </x:c>
      <x:c r="Y49" s="2" t="str">
        <x:v>ad210cd9ec132cfd447541c8984dc53d30aff0f4fb2dc92d254d49275cc55976</x:v>
      </x:c>
      <x:c r="Z49" s="2" t="n">
        <x:f>SUBTOTAL(103,A49)</x:f>
        <x:v>1</x:v>
      </x:c>
      <x:c r="AA49" s="2" t="str">
        <x:f>IF(K49&lt;&gt;"미종결 표시","대상 아님",IF(N49="","신청일 확인",IF(NOT(ISNUMBER('종합 현황'!$H$5)),"관찰기준 확인",IF('종합 현황'!$H$5&lt;1,"관찰기준 확인",IF(N49&gt;'종합 현황'!$H$5,"내부 관찰 대상","내부 관찰일 이하")))))</x:f>
        <x:v>내부 관찰 대상</x:v>
      </x:c>
      <x:c r="AB49" s="2" t="str">
        <x:v>2020-09-14 18:08:40 - 방법론신청
2020-09-14 18:08:41 - 관장기관지정 (기후에너지환경부)
2020-09-16 16:31:24 - 관장기관지정 (산업통상부)
2020-12-30 10:55:31 - 보완요청
2021-01-25 19:12:08 - 문서보완접수
2021-05-13 10:33:19 - 보완요청
2021-06-17 18:10:48 - 문서보완접수
2021-06-29 09:53:23 - 보완요청
2021-08-02 19:24:00 - 문서보완접수
2021-09-24 11:35:55 - 문서재제출요청
2021-11-01 14:36:17 - 문서재제출완료
2022-01-26 15:43:23 - 문서재제출요청
2022-06-10 10:55:22 - 문서재제출완료
2022-06-29 15:41:12 - 문서재제출요청
</x:v>
      </x:c>
    </x:row>
    <x:row r="50" ht="42" customHeight="1">
      <x:c r="A50" s="2" t="str">
        <x:v>ebe87222caa9ea0ab739db3b</x:v>
      </x:c>
      <x:c r="B50" s="2" t="str">
        <x:v>방법론 신청</x:v>
      </x:c>
      <x:c r="C50" s="2" t="str">
        <x:v>공통</x:v>
      </x:c>
      <x:c r="D50" s="7" t="str">
        <x:v>고효율 설비 교체 사업의 방법론</x:v>
      </x:c>
      <x:c r="E50" s="2" t="str">
        <x:v>44</x:v>
      </x:c>
      <x:c r="F50" s="2" t="str">
        <x:v>2020-11-26</x:v>
      </x:c>
      <x:c r="G50" s="2" t="str">
        <x:v>2020</x:v>
      </x:c>
      <x:c r="H50" s="2" t="str">
        <x:v>11</x:v>
      </x:c>
      <x:c r="I50" s="2" t="str">
        <x:v>검토반려</x:v>
      </x:c>
      <x:c r="J50" s="2" t="str">
        <x:v>반려</x:v>
      </x:c>
      <x:c r="K50" s="2" t="str">
        <x:f>IF(OR(J50="심의승인",J50="반려",J50="반려완료",J50="심의완료"),"종결 표시",IF(OR(J50="기후부협의",J50="문서재제출요청",J50="보류",J50="보완요청",J50="보완완료",J50="평가중",J50="반려요청",J50="평가필요",LEFT(J50,5)="보완요청("),"미종결 표시","상태 확인 필요"))</x:f>
        <x:v>종결 표시</x:v>
      </x:c>
      <x:c r="L50" s="2"/>
      <x:c r="M50" s="2"/>
      <x:c r="N50" s="8" t="n">
        <x:f>DATE(2026,10,15)-DATE(2020,11,26)</x:f>
        <x:v>2149</x:v>
      </x:c>
      <x:c r="O50" s="2"/>
      <x:c r="P50" s="2"/>
      <x:c r="Q50" s="2" t="str">
        <x:v>산업전환_외부사업관리Tool_260707_이너젠 수정_LJY_261013.xlsx</x:v>
      </x:c>
      <x:c r="R50" s="2" t="str">
        <x:v>방법론</x:v>
      </x:c>
      <x:c r="S50" s="8" t="n">
        <x:v>46</x:v>
      </x:c>
      <x:c r="T50" s="2"/>
      <x:c r="U50" s="2" t="str"/>
      <x:c r="V50" s="2" t="str">
        <x:v>2023-07-12</x:v>
      </x:c>
      <x:c r="W50" s="2" t="str">
        <x:v>담당기관 확인</x:v>
      </x:c>
      <x:c r="X50" s="2" t="str">
        <x:v>원본·배정 기록 확인</x:v>
      </x:c>
      <x:c r="Y50" s="2" t="str">
        <x:v>ad210cd9ec132cfd447541c8984dc53d30aff0f4fb2dc92d254d49275cc55976</x:v>
      </x:c>
      <x:c r="Z50" s="2" t="n">
        <x:f>SUBTOTAL(103,A50)</x:f>
        <x:v>1</x:v>
      </x:c>
      <x:c r="AA50" s="2" t="str">
        <x:f>IF(K50&lt;&gt;"미종결 표시","대상 아님",IF(N50="","신청일 확인",IF(NOT(ISNUMBER('종합 현황'!$H$5)),"관찰기준 확인",IF('종합 현황'!$H$5&lt;1,"관찰기준 확인",IF(N50&gt;'종합 현황'!$H$5,"내부 관찰 대상","내부 관찰일 이하")))))</x:f>
        <x:v>대상 아님</x:v>
      </x:c>
      <x:c r="AB50" s="2" t="str">
        <x:v>2020-11-26 13:56:22 - 방법론신청
2020-11-26 13:56:23 - 관장기관지정 (기후에너지환경부)
2020-11-27 11:05:55 - 관장기관지정 (산업통상부)
2020-12-30 11:25:33 - 보완요청
2021-06-21 18:27:32 - 문서보완접수
2021-06-29 19:45:20 - 보완요청
2021-07-30 17:20:22 - 문서보완접수
2021-09-24 11:38:53 - 보완요청
2021-10-29 15:44:42 - 문서보완접수
2023-07-12 09:37:49 - 검토반려
</x:v>
      </x:c>
    </x:row>
    <x:row r="51" ht="42" customHeight="1">
      <x:c r="A51" s="2" t="str">
        <x:v>c37164f27a25c5600853e46f</x:v>
      </x:c>
      <x:c r="B51" s="2" t="str">
        <x:v>방법론 신청</x:v>
      </x:c>
      <x:c r="C51" s="2" t="str">
        <x:v>공통</x:v>
      </x:c>
      <x:c r="D51" s="7" t="str">
        <x:v>가스절연 전기기기의 시험에 따라 발생되는 육불화황(SF6) 가스의 회수 및 플라즈마 분해를 통한 온실가스 감축 사업의 방법론</x:v>
      </x:c>
      <x:c r="E51" s="2" t="str">
        <x:v>45</x:v>
      </x:c>
      <x:c r="F51" s="2" t="str">
        <x:v>2021-02-24</x:v>
      </x:c>
      <x:c r="G51" s="2" t="str">
        <x:v>2021</x:v>
      </x:c>
      <x:c r="H51" s="2" t="str">
        <x:v>02</x:v>
      </x:c>
      <x:c r="I51" s="2" t="str">
        <x:v>심의승인</x:v>
      </x:c>
      <x:c r="J51" s="2" t="str">
        <x:v>심의승인</x:v>
      </x:c>
      <x:c r="K51" s="2" t="str">
        <x:f>IF(OR(J51="심의승인",J51="반려",J51="반려완료",J51="심의완료"),"종결 표시",IF(OR(J51="기후부협의",J51="문서재제출요청",J51="보류",J51="보완요청",J51="보완완료",J51="평가중",J51="반려요청",J51="평가필요",LEFT(J51,5)="보완요청("),"미종결 표시","상태 확인 필요"))</x:f>
        <x:v>종결 표시</x:v>
      </x:c>
      <x:c r="L51" s="2"/>
      <x:c r="M51" s="2"/>
      <x:c r="N51" s="8" t="n">
        <x:f>DATE(2026,10,15)-DATE(2021,2,24)</x:f>
        <x:v>2059</x:v>
      </x:c>
      <x:c r="O51" s="2"/>
      <x:c r="P51" s="2"/>
      <x:c r="Q51" s="2" t="str">
        <x:v>산업전환_외부사업관리Tool_260707_이너젠 수정_LJY_261013.xlsx</x:v>
      </x:c>
      <x:c r="R51" s="2" t="str">
        <x:v>방법론</x:v>
      </x:c>
      <x:c r="S51" s="8" t="n">
        <x:v>47</x:v>
      </x:c>
      <x:c r="T51" s="2"/>
      <x:c r="U51" s="2" t="str"/>
      <x:c r="V51" s="2" t="str">
        <x:v>2022-01-11</x:v>
      </x:c>
      <x:c r="W51" s="2" t="str">
        <x:v>담당기관 확인</x:v>
      </x:c>
      <x:c r="X51" s="2" t="str">
        <x:v>원본·배정 기록 확인</x:v>
      </x:c>
      <x:c r="Y51" s="2" t="str">
        <x:v>ad210cd9ec132cfd447541c8984dc53d30aff0f4fb2dc92d254d49275cc55976</x:v>
      </x:c>
      <x:c r="Z51" s="2" t="n">
        <x:f>SUBTOTAL(103,A51)</x:f>
        <x:v>1</x:v>
      </x:c>
      <x:c r="AA51" s="2" t="str">
        <x:f>IF(K51&lt;&gt;"미종결 표시","대상 아님",IF(N51="","신청일 확인",IF(NOT(ISNUMBER('종합 현황'!$H$5)),"관찰기준 확인",IF('종합 현황'!$H$5&lt;1,"관찰기준 확인",IF(N51&gt;'종합 현황'!$H$5,"내부 관찰 대상","내부 관찰일 이하")))))</x:f>
        <x:v>대상 아님</x:v>
      </x:c>
      <x:c r="AB51" s="2" t="str">
        <x:v>2021-02-24 14:23:50 - 방법론신청
2021-02-24 14:23:51 - 관장기관지정 (기후에너지환경부)
2021-02-24 16:56:59 - 관장기관지정 (산업통상부)
2021-05-13 10:32:54 - 보완요청
2021-06-16 11:26:50 - 문서보완접수
2021-06-29 09:52:07 - 보완요청
2021-07-02 15:18:14 - 문서보완접수
2021-08-23 16:18:44 - 문서재제출요청
2021-08-24 16:40:49 - 문서재제출완료
2021-10-22 09:32:06 - 문서재제출요청
2021-11-05 09:08:03 - 문서재제출완료
2021-12-01 16:19:30 - 문서재제출요청
2021-12-01 17:12:41 - 문서재제출완료
2022-01-11 15:48:08 - 검토승인
2022-01-11 15:49:57 - 심의승인
</x:v>
      </x:c>
    </x:row>
    <x:row r="52" ht="42" customHeight="1">
      <x:c r="A52" s="2" t="str">
        <x:v>3e89daccf125341d9fd0bb11</x:v>
      </x:c>
      <x:c r="B52" s="2" t="str">
        <x:v>방법론 신청</x:v>
      </x:c>
      <x:c r="C52" s="2" t="str">
        <x:v>공통</x:v>
      </x:c>
      <x:c r="D52" s="7" t="str">
        <x:v>제지공정에서 침강성탄산칼슘 제조과정의 미활용 CO2 이용과 에너지절감 사업의 방법론</x:v>
      </x:c>
      <x:c r="E52" s="2" t="str">
        <x:v>46</x:v>
      </x:c>
      <x:c r="F52" s="2" t="str">
        <x:v>2021-04-26</x:v>
      </x:c>
      <x:c r="G52" s="2" t="str">
        <x:v>2021</x:v>
      </x:c>
      <x:c r="H52" s="2" t="str">
        <x:v>04</x:v>
      </x:c>
      <x:c r="I52" s="2" t="str">
        <x:v>심의승인</x:v>
      </x:c>
      <x:c r="J52" s="2" t="str">
        <x:v>심의승인</x:v>
      </x:c>
      <x:c r="K52" s="2" t="str">
        <x:f>IF(OR(J52="심의승인",J52="반려",J52="반려완료",J52="심의완료"),"종결 표시",IF(OR(J52="기후부협의",J52="문서재제출요청",J52="보류",J52="보완요청",J52="보완완료",J52="평가중",J52="반려요청",J52="평가필요",LEFT(J52,5)="보완요청("),"미종결 표시","상태 확인 필요"))</x:f>
        <x:v>종결 표시</x:v>
      </x:c>
      <x:c r="L52" s="2"/>
      <x:c r="M52" s="2"/>
      <x:c r="N52" s="8" t="n">
        <x:f>DATE(2026,10,15)-DATE(2021,4,26)</x:f>
        <x:v>1998</x:v>
      </x:c>
      <x:c r="O52" s="2"/>
      <x:c r="P52" s="2"/>
      <x:c r="Q52" s="2" t="str">
        <x:v>산업전환_외부사업관리Tool_260707_이너젠 수정_LJY_261013.xlsx</x:v>
      </x:c>
      <x:c r="R52" s="2" t="str">
        <x:v>방법론</x:v>
      </x:c>
      <x:c r="S52" s="8" t="n">
        <x:v>48</x:v>
      </x:c>
      <x:c r="T52" s="2"/>
      <x:c r="U52" s="2" t="str"/>
      <x:c r="V52" s="2" t="str">
        <x:v>2022-12-26</x:v>
      </x:c>
      <x:c r="W52" s="2" t="str">
        <x:v>담당기관 확인</x:v>
      </x:c>
      <x:c r="X52" s="2" t="str">
        <x:v>원본·배정 기록 확인</x:v>
      </x:c>
      <x:c r="Y52" s="2" t="str">
        <x:v>ad210cd9ec132cfd447541c8984dc53d30aff0f4fb2dc92d254d49275cc55976</x:v>
      </x:c>
      <x:c r="Z52" s="2" t="n">
        <x:f>SUBTOTAL(103,A52)</x:f>
        <x:v>1</x:v>
      </x:c>
      <x:c r="AA52" s="2" t="str">
        <x:f>IF(K52&lt;&gt;"미종결 표시","대상 아님",IF(N52="","신청일 확인",IF(NOT(ISNUMBER('종합 현황'!$H$5)),"관찰기준 확인",IF('종합 현황'!$H$5&lt;1,"관찰기준 확인",IF(N52&gt;'종합 현황'!$H$5,"내부 관찰 대상","내부 관찰일 이하")))))</x:f>
        <x:v>대상 아님</x:v>
      </x:c>
      <x:c r="AB52" s="2" t="str">
        <x:v>2021-04-26 17:16:20 - 방법론신청
2021-04-26 17:16:21 - 관장기관지정 (기후에너지환경부)
2021-04-27 10:02:45 - 관장기관지정 (산업통상부)
2021-05-13 10:32:11 - 보완요청
2021-06-21 22:38:40 - 문서보완접수
2021-06-29 19:44:59 - 보완요청
2021-10-22 09:20:15 - 문서보완접수
2022-05-19 15:06:44 - 보완요청
2022-05-26 16:05:27 - 문서보완접수
2022-11-15 08:37:44 - 문서재제출요청
2022-11-17 20:35:14 - 문서재제출완료
2022-11-23 16:47:04 - 문서재제출요청
2022-11-23 17:57:05 - 문서재제출완료
2022-11-29 18:07:23 - 문서재제출요청
2022-11-30 10:02:28 - 문서재제출완료
2022-12-23 14:01:07 - 검토승인
2022-12-26 15:44:40 - 심의승인
</x:v>
      </x:c>
    </x:row>
    <x:row r="53" ht="42" customHeight="1">
      <x:c r="A53" s="2" t="str">
        <x:v>fde4cf95a667658a74ee756c</x:v>
      </x:c>
      <x:c r="B53" s="2" t="str">
        <x:v>방법론 신청</x:v>
      </x:c>
      <x:c r="C53" s="2" t="str">
        <x:v>공통</x:v>
      </x:c>
      <x:c r="D53" s="7" t="str">
        <x:v>연료 전환 사업(극소규모 반영)</x:v>
      </x:c>
      <x:c r="E53" s="2" t="str">
        <x:v>47</x:v>
      </x:c>
      <x:c r="F53" s="2" t="str">
        <x:v>2021-06-21</x:v>
      </x:c>
      <x:c r="G53" s="2" t="str">
        <x:v>2021</x:v>
      </x:c>
      <x:c r="H53" s="2" t="str">
        <x:v>06</x:v>
      </x:c>
      <x:c r="I53" s="2" t="str">
        <x:v>검토반려</x:v>
      </x:c>
      <x:c r="J53" s="2" t="str">
        <x:v>반려</x:v>
      </x:c>
      <x:c r="K53" s="2" t="str">
        <x:f>IF(OR(J53="심의승인",J53="반려",J53="반려완료",J53="심의완료"),"종결 표시",IF(OR(J53="기후부협의",J53="문서재제출요청",J53="보류",J53="보완요청",J53="보완완료",J53="평가중",J53="반려요청",J53="평가필요",LEFT(J53,5)="보완요청("),"미종결 표시","상태 확인 필요"))</x:f>
        <x:v>종결 표시</x:v>
      </x:c>
      <x:c r="L53" s="2"/>
      <x:c r="M53" s="2"/>
      <x:c r="N53" s="8" t="n">
        <x:f>DATE(2026,10,15)-DATE(2021,6,21)</x:f>
        <x:v>1942</x:v>
      </x:c>
      <x:c r="O53" s="2"/>
      <x:c r="P53" s="2"/>
      <x:c r="Q53" s="2" t="str">
        <x:v>산업전환_외부사업관리Tool_260707_이너젠 수정_LJY_261013.xlsx</x:v>
      </x:c>
      <x:c r="R53" s="2" t="str">
        <x:v>방법론</x:v>
      </x:c>
      <x:c r="S53" s="8" t="n">
        <x:v>49</x:v>
      </x:c>
      <x:c r="T53" s="2"/>
      <x:c r="U53" s="2" t="str"/>
      <x:c r="V53" s="2" t="str">
        <x:v>2021-10-12</x:v>
      </x:c>
      <x:c r="W53" s="2" t="str">
        <x:v>담당기관 확인</x:v>
      </x:c>
      <x:c r="X53" s="2" t="str">
        <x:v>원본·배정 기록 확인</x:v>
      </x:c>
      <x:c r="Y53" s="2" t="str">
        <x:v>ad210cd9ec132cfd447541c8984dc53d30aff0f4fb2dc92d254d49275cc55976</x:v>
      </x:c>
      <x:c r="Z53" s="2" t="n">
        <x:f>SUBTOTAL(103,A53)</x:f>
        <x:v>1</x:v>
      </x:c>
      <x:c r="AA53" s="2" t="str">
        <x:f>IF(K53&lt;&gt;"미종결 표시","대상 아님",IF(N53="","신청일 확인",IF(NOT(ISNUMBER('종합 현황'!$H$5)),"관찰기준 확인",IF('종합 현황'!$H$5&lt;1,"관찰기준 확인",IF(N53&gt;'종합 현황'!$H$5,"내부 관찰 대상","내부 관찰일 이하")))))</x:f>
        <x:v>대상 아님</x:v>
      </x:c>
      <x:c r="AB53" s="2" t="str">
        <x:v>2021-06-21 19:59:53 - 방법론신청
2021-06-21 19:59:54 - 관장기관지정 (기후에너지환경부)
2021-06-23 10:06:47 - 관장기관지정 (산업통상부)
2021-06-29 09:58:32 - 보완요청
2021-07-30 17:46:57 - 문서보완접수
2021-10-12 09:51:47 - 검토반려
</x:v>
      </x:c>
    </x:row>
    <x:row r="54" ht="42" customHeight="1">
      <x:c r="A54" s="2" t="str">
        <x:v>61ac397691d46f951801aca6</x:v>
      </x:c>
      <x:c r="B54" s="2" t="str">
        <x:v>방법론 신청</x:v>
      </x:c>
      <x:c r="C54" s="2" t="str">
        <x:v>공통</x:v>
      </x:c>
      <x:c r="D54" s="7" t="str">
        <x:v>극소규모 미활용 열에너지 회수 및 이용_단위공정 폐열 회수 및 가온</x:v>
      </x:c>
      <x:c r="E54" s="2" t="str">
        <x:v>48</x:v>
      </x:c>
      <x:c r="F54" s="2" t="str">
        <x:v>2021-06-21</x:v>
      </x:c>
      <x:c r="G54" s="2" t="str">
        <x:v>2021</x:v>
      </x:c>
      <x:c r="H54" s="2" t="str">
        <x:v>06</x:v>
      </x:c>
      <x:c r="I54" s="2" t="str">
        <x:v>검토반려</x:v>
      </x:c>
      <x:c r="J54" s="2" t="str">
        <x:v>반려</x:v>
      </x:c>
      <x:c r="K54" s="2" t="str">
        <x:f>IF(OR(J54="심의승인",J54="반려",J54="반려완료",J54="심의완료"),"종결 표시",IF(OR(J54="기후부협의",J54="문서재제출요청",J54="보류",J54="보완요청",J54="보완완료",J54="평가중",J54="반려요청",J54="평가필요",LEFT(J54,5)="보완요청("),"미종결 표시","상태 확인 필요"))</x:f>
        <x:v>종결 표시</x:v>
      </x:c>
      <x:c r="L54" s="2"/>
      <x:c r="M54" s="2"/>
      <x:c r="N54" s="8" t="n">
        <x:f>DATE(2026,10,15)-DATE(2021,6,21)</x:f>
        <x:v>1942</x:v>
      </x:c>
      <x:c r="O54" s="2"/>
      <x:c r="P54" s="2"/>
      <x:c r="Q54" s="2" t="str">
        <x:v>산업전환_외부사업관리Tool_260707_이너젠 수정_LJY_261013.xlsx</x:v>
      </x:c>
      <x:c r="R54" s="2" t="str">
        <x:v>방법론</x:v>
      </x:c>
      <x:c r="S54" s="8" t="n">
        <x:v>50</x:v>
      </x:c>
      <x:c r="T54" s="2"/>
      <x:c r="U54" s="2" t="str"/>
      <x:c r="V54" s="2" t="str">
        <x:v>2021-10-12</x:v>
      </x:c>
      <x:c r="W54" s="2" t="str">
        <x:v>담당기관 확인</x:v>
      </x:c>
      <x:c r="X54" s="2" t="str">
        <x:v>원본·배정 기록 확인</x:v>
      </x:c>
      <x:c r="Y54" s="2" t="str">
        <x:v>ad210cd9ec132cfd447541c8984dc53d30aff0f4fb2dc92d254d49275cc55976</x:v>
      </x:c>
      <x:c r="Z54" s="2" t="n">
        <x:f>SUBTOTAL(103,A54)</x:f>
        <x:v>1</x:v>
      </x:c>
      <x:c r="AA54" s="2" t="str">
        <x:f>IF(K54&lt;&gt;"미종결 표시","대상 아님",IF(N54="","신청일 확인",IF(NOT(ISNUMBER('종합 현황'!$H$5)),"관찰기준 확인",IF('종합 현황'!$H$5&lt;1,"관찰기준 확인",IF(N54&gt;'종합 현황'!$H$5,"내부 관찰 대상","내부 관찰일 이하")))))</x:f>
        <x:v>대상 아님</x:v>
      </x:c>
      <x:c r="AB54" s="2" t="str">
        <x:v>2021-06-21 20:03:20 - 방법론신청
2021-06-21 20:03:21 - 관장기관지정 (기후에너지환경부)
2021-06-23 10:06:54 - 관장기관지정 (산업통상부)
2021-06-29 09:57:01 - 보완요청
2021-07-30 17:41:25 - 문서보완접수
2021-10-12 09:51:16 - 검토반려
</x:v>
      </x:c>
    </x:row>
    <x:row r="55" ht="42" customHeight="1">
      <x:c r="A55" s="2" t="str">
        <x:v>5b038a980bd25e8df5aef9e8</x:v>
      </x:c>
      <x:c r="B55" s="2" t="str">
        <x:v>방법론 신청</x:v>
      </x:c>
      <x:c r="C55" s="2" t="str">
        <x:v>공통</x:v>
      </x:c>
      <x:c r="D55" s="7" t="str">
        <x:v>극소규모 고효율 설비 교체_인덕션 히터</x:v>
      </x:c>
      <x:c r="E55" s="2" t="str">
        <x:v>49</x:v>
      </x:c>
      <x:c r="F55" s="2" t="str">
        <x:v>2021-06-21</x:v>
      </x:c>
      <x:c r="G55" s="2" t="str">
        <x:v>2021</x:v>
      </x:c>
      <x:c r="H55" s="2" t="str">
        <x:v>06</x:v>
      </x:c>
      <x:c r="I55" s="2" t="str">
        <x:v>검토반려</x:v>
      </x:c>
      <x:c r="J55" s="2" t="str">
        <x:v>반려</x:v>
      </x:c>
      <x:c r="K55" s="2" t="str">
        <x:f>IF(OR(J55="심의승인",J55="반려",J55="반려완료",J55="심의완료"),"종결 표시",IF(OR(J55="기후부협의",J55="문서재제출요청",J55="보류",J55="보완요청",J55="보완완료",J55="평가중",J55="반려요청",J55="평가필요",LEFT(J55,5)="보완요청("),"미종결 표시","상태 확인 필요"))</x:f>
        <x:v>종결 표시</x:v>
      </x:c>
      <x:c r="L55" s="2"/>
      <x:c r="M55" s="2"/>
      <x:c r="N55" s="8" t="n">
        <x:f>DATE(2026,10,15)-DATE(2021,6,21)</x:f>
        <x:v>1942</x:v>
      </x:c>
      <x:c r="O55" s="2"/>
      <x:c r="P55" s="2"/>
      <x:c r="Q55" s="2" t="str">
        <x:v>산업전환_외부사업관리Tool_260707_이너젠 수정_LJY_261013.xlsx</x:v>
      </x:c>
      <x:c r="R55" s="2" t="str">
        <x:v>방법론</x:v>
      </x:c>
      <x:c r="S55" s="8" t="n">
        <x:v>51</x:v>
      </x:c>
      <x:c r="T55" s="2"/>
      <x:c r="U55" s="2" t="str"/>
      <x:c r="V55" s="2" t="str">
        <x:v>2023-07-12</x:v>
      </x:c>
      <x:c r="W55" s="2" t="str">
        <x:v>담당기관 확인</x:v>
      </x:c>
      <x:c r="X55" s="2" t="str">
        <x:v>원본·배정 기록 확인</x:v>
      </x:c>
      <x:c r="Y55" s="2" t="str">
        <x:v>ad210cd9ec132cfd447541c8984dc53d30aff0f4fb2dc92d254d49275cc55976</x:v>
      </x:c>
      <x:c r="Z55" s="2" t="n">
        <x:f>SUBTOTAL(103,A55)</x:f>
        <x:v>1</x:v>
      </x:c>
      <x:c r="AA55" s="2" t="str">
        <x:f>IF(K55&lt;&gt;"미종결 표시","대상 아님",IF(N55="","신청일 확인",IF(NOT(ISNUMBER('종합 현황'!$H$5)),"관찰기준 확인",IF('종합 현황'!$H$5&lt;1,"관찰기준 확인",IF(N55&gt;'종합 현황'!$H$5,"내부 관찰 대상","내부 관찰일 이하")))))</x:f>
        <x:v>대상 아님</x:v>
      </x:c>
      <x:c r="AB55" s="2" t="str">
        <x:v>2021-06-21 20:05:00 - 방법론신청
2021-06-21 20:05:01 - 관장기관지정 (기후에너지환경부)
2021-06-23 10:07:00 - 관장기관지정 (산업통상부)
2021-06-29 09:58:10 - 보완요청
2021-07-30 17:38:35 - 문서보완접수
2021-10-13 16:29:25 - 보완요청
2021-12-13 18:21:37 - 문서보완접수
2022-01-26 15:42:03 - 문서재제출요청
2022-11-24 14:10:26 - 문서재제출완료
2023-07-12 13:12:46 - 검토반려
</x:v>
      </x:c>
    </x:row>
    <x:row r="56" ht="42" customHeight="1">
      <x:c r="A56" s="2" t="str">
        <x:v>25432e11cc530a7c94a30ac6</x:v>
      </x:c>
      <x:c r="B56" s="2" t="str">
        <x:v>방법론 신청</x:v>
      </x:c>
      <x:c r="C56" s="2" t="str">
        <x:v>공통</x:v>
      </x:c>
      <x:c r="D56" s="7" t="str">
        <x:v>고효율 설비교체 사업의 방법론 (03A-004-Ver01)의 인버터 공기압축기 극소규모 방법론</x:v>
      </x:c>
      <x:c r="E56" s="2" t="str">
        <x:v>50</x:v>
      </x:c>
      <x:c r="F56" s="2" t="str">
        <x:v>2021-09-01</x:v>
      </x:c>
      <x:c r="G56" s="2" t="str">
        <x:v>2021</x:v>
      </x:c>
      <x:c r="H56" s="2" t="str">
        <x:v>09</x:v>
      </x:c>
      <x:c r="I56" s="2" t="str">
        <x:v>검토반려</x:v>
      </x:c>
      <x:c r="J56" s="2" t="str">
        <x:v>반려</x:v>
      </x:c>
      <x:c r="K56" s="2" t="str">
        <x:f>IF(OR(J56="심의승인",J56="반려",J56="반려완료",J56="심의완료"),"종결 표시",IF(OR(J56="기후부협의",J56="문서재제출요청",J56="보류",J56="보완요청",J56="보완완료",J56="평가중",J56="반려요청",J56="평가필요",LEFT(J56,5)="보완요청("),"미종결 표시","상태 확인 필요"))</x:f>
        <x:v>종결 표시</x:v>
      </x:c>
      <x:c r="L56" s="2"/>
      <x:c r="M56" s="2"/>
      <x:c r="N56" s="8" t="n">
        <x:f>DATE(2026,10,15)-DATE(2021,9,1)</x:f>
        <x:v>1870</x:v>
      </x:c>
      <x:c r="O56" s="2"/>
      <x:c r="P56" s="2"/>
      <x:c r="Q56" s="2" t="str">
        <x:v>산업전환_외부사업관리Tool_260707_이너젠 수정_LJY_261013.xlsx</x:v>
      </x:c>
      <x:c r="R56" s="2" t="str">
        <x:v>방법론</x:v>
      </x:c>
      <x:c r="S56" s="8" t="n">
        <x:v>52</x:v>
      </x:c>
      <x:c r="T56" s="2"/>
      <x:c r="U56" s="2" t="str"/>
      <x:c r="V56" s="2" t="str">
        <x:v>2023-07-12</x:v>
      </x:c>
      <x:c r="W56" s="2" t="str">
        <x:v>담당기관 확인</x:v>
      </x:c>
      <x:c r="X56" s="2" t="str">
        <x:v>원본·배정 기록 확인</x:v>
      </x:c>
      <x:c r="Y56" s="2" t="str">
        <x:v>ad210cd9ec132cfd447541c8984dc53d30aff0f4fb2dc92d254d49275cc55976</x:v>
      </x:c>
      <x:c r="Z56" s="2" t="n">
        <x:f>SUBTOTAL(103,A56)</x:f>
        <x:v>1</x:v>
      </x:c>
      <x:c r="AA56" s="2" t="str">
        <x:f>IF(K56&lt;&gt;"미종결 표시","대상 아님",IF(N56="","신청일 확인",IF(NOT(ISNUMBER('종합 현황'!$H$5)),"관찰기준 확인",IF('종합 현황'!$H$5&lt;1,"관찰기준 확인",IF(N56&gt;'종합 현황'!$H$5,"내부 관찰 대상","내부 관찰일 이하")))))</x:f>
        <x:v>대상 아님</x:v>
      </x:c>
      <x:c r="AB56" s="2" t="str">
        <x:v>2021-09-01 09:04:38 - 방법론신청
2021-09-01 09:04:39 - 관장기관지정 (기후에너지환경부)
2021-09-01 09:59:59 - 관장기관지정 (산업통상부)
2021-09-14 10:11:50 - 문서재제출요청
2021-12-17 00:50:35 - 문서재제출완료
2022-01-26 15:41:32 - 보완요청
2022-06-13 15:36:22 - 문서보완접수
2023-07-12 09:45:50 - 검토반려
</x:v>
      </x:c>
    </x:row>
    <x:row r="57" ht="42" customHeight="1">
      <x:c r="A57" s="2" t="str">
        <x:v>53a4865fdcf91246d89cd218</x:v>
      </x:c>
      <x:c r="B57" s="2" t="str">
        <x:v>방법론 신청</x:v>
      </x:c>
      <x:c r="C57" s="2" t="str">
        <x:v>공통</x:v>
      </x:c>
      <x:c r="D57" s="7" t="str">
        <x:v>미활용 분광을 활용하여 생산한 제강용 경소백운석 및 저탄소 친환경 경소백운석 제품으로 배출량을 감축하는 방법론</x:v>
      </x:c>
      <x:c r="E57" s="2" t="str">
        <x:v>51</x:v>
      </x:c>
      <x:c r="F57" s="2" t="str">
        <x:v>2021-10-07</x:v>
      </x:c>
      <x:c r="G57" s="2" t="str">
        <x:v>2021</x:v>
      </x:c>
      <x:c r="H57" s="2" t="str">
        <x:v>10</x:v>
      </x:c>
      <x:c r="I57" s="2" t="str">
        <x:v>검토반려</x:v>
      </x:c>
      <x:c r="J57" s="2" t="str">
        <x:v>반려</x:v>
      </x:c>
      <x:c r="K57" s="2" t="str">
        <x:f>IF(OR(J57="심의승인",J57="반려",J57="반려완료",J57="심의완료"),"종결 표시",IF(OR(J57="기후부협의",J57="문서재제출요청",J57="보류",J57="보완요청",J57="보완완료",J57="평가중",J57="반려요청",J57="평가필요",LEFT(J57,5)="보완요청("),"미종결 표시","상태 확인 필요"))</x:f>
        <x:v>종결 표시</x:v>
      </x:c>
      <x:c r="L57" s="2"/>
      <x:c r="M57" s="2"/>
      <x:c r="N57" s="8" t="n">
        <x:f>DATE(2026,10,15)-DATE(2021,10,7)</x:f>
        <x:v>1834</x:v>
      </x:c>
      <x:c r="O57" s="2"/>
      <x:c r="P57" s="2"/>
      <x:c r="Q57" s="2" t="str">
        <x:v>산업전환_외부사업관리Tool_260707_이너젠 수정_LJY_261013.xlsx</x:v>
      </x:c>
      <x:c r="R57" s="2" t="str">
        <x:v>방법론</x:v>
      </x:c>
      <x:c r="S57" s="8" t="n">
        <x:v>53</x:v>
      </x:c>
      <x:c r="T57" s="2"/>
      <x:c r="U57" s="2" t="str"/>
      <x:c r="V57" s="2" t="str">
        <x:v>2025-01-08</x:v>
      </x:c>
      <x:c r="W57" s="2" t="str">
        <x:v>담당기관 확인</x:v>
      </x:c>
      <x:c r="X57" s="2" t="str">
        <x:v>원본·배정 기록 확인</x:v>
      </x:c>
      <x:c r="Y57" s="2" t="str">
        <x:v>ad210cd9ec132cfd447541c8984dc53d30aff0f4fb2dc92d254d49275cc55976</x:v>
      </x:c>
      <x:c r="Z57" s="2" t="n">
        <x:f>SUBTOTAL(103,A57)</x:f>
        <x:v>1</x:v>
      </x:c>
      <x:c r="AA57" s="2" t="str">
        <x:f>IF(K57&lt;&gt;"미종결 표시","대상 아님",IF(N57="","신청일 확인",IF(NOT(ISNUMBER('종합 현황'!$H$5)),"관찰기준 확인",IF('종합 현황'!$H$5&lt;1,"관찰기준 확인",IF(N57&gt;'종합 현황'!$H$5,"내부 관찰 대상","내부 관찰일 이하")))))</x:f>
        <x:v>대상 아님</x:v>
      </x:c>
      <x:c r="AB57" s="2" t="str">
        <x:v>2021-10-07 16:04:23 - 방법론신청
2021-10-07 16:04:24 - 관장기관지정 (기후에너지환경부)
2021-10-07 16:11:13 - 관장기관지정 (산업통상부)
2021-10-13 16:29:59 - 보완요청
2021-12-14 07:56:56 - 문서보완접수
2022-01-26 15:37:11 - 보완요청
2022-04-26 16:25:58 - 문서보완접수
2022-05-19 15:09:14 - 보완요청
2022-06-10 15:09:36 - 문서보완접수
2022-06-29 15:40:17 - 문서재제출요청
2024-07-12 11:44:36 - 문서재제출완료
2024-10-07 16:21:48 - 문서재제출요청
2024-10-07 16:50:55 - 문서재제출완료
2025-01-08 10:05:48 - 검토반려
</x:v>
      </x:c>
    </x:row>
    <x:row r="58" ht="42" customHeight="1">
      <x:c r="A58" s="2" t="str">
        <x:v>16583e9ea2bca1a2f61d0db1</x:v>
      </x:c>
      <x:c r="B58" s="2" t="str">
        <x:v>방법론 신청</x:v>
      </x:c>
      <x:c r="C58" s="2" t="str">
        <x:v>공통</x:v>
      </x:c>
      <x:c r="D58" s="7" t="str">
        <x:v>전력계통내 폐기된 전기설비의 충진된 SF6를 회수 및 정제하는 사업의 방법론</x:v>
      </x:c>
      <x:c r="E58" s="2" t="str">
        <x:v>52</x:v>
      </x:c>
      <x:c r="F58" s="2" t="str">
        <x:v>2021-10-12</x:v>
      </x:c>
      <x:c r="G58" s="2" t="str">
        <x:v>2021</x:v>
      </x:c>
      <x:c r="H58" s="2" t="str">
        <x:v>10</x:v>
      </x:c>
      <x:c r="I58" s="2" t="str">
        <x:v>심의승인</x:v>
      </x:c>
      <x:c r="J58" s="2" t="str">
        <x:v>심의승인</x:v>
      </x:c>
      <x:c r="K58" s="2" t="str">
        <x:f>IF(OR(J58="심의승인",J58="반려",J58="반려완료",J58="심의완료"),"종결 표시",IF(OR(J58="기후부협의",J58="문서재제출요청",J58="보류",J58="보완요청",J58="보완완료",J58="평가중",J58="반려요청",J58="평가필요",LEFT(J58,5)="보완요청("),"미종결 표시","상태 확인 필요"))</x:f>
        <x:v>종결 표시</x:v>
      </x:c>
      <x:c r="L58" s="2"/>
      <x:c r="M58" s="2"/>
      <x:c r="N58" s="8" t="n">
        <x:f>DATE(2026,10,15)-DATE(2021,10,12)</x:f>
        <x:v>1829</x:v>
      </x:c>
      <x:c r="O58" s="2"/>
      <x:c r="P58" s="2"/>
      <x:c r="Q58" s="2" t="str">
        <x:v>산업전환_외부사업관리Tool_260707_이너젠 수정_LJY_261013.xlsx</x:v>
      </x:c>
      <x:c r="R58" s="2" t="str">
        <x:v>방법론</x:v>
      </x:c>
      <x:c r="S58" s="8" t="n">
        <x:v>54</x:v>
      </x:c>
      <x:c r="T58" s="2"/>
      <x:c r="U58" s="2" t="str"/>
      <x:c r="V58" s="2" t="str">
        <x:v>2023-03-10</x:v>
      </x:c>
      <x:c r="W58" s="2" t="str">
        <x:v>담당기관 확인</x:v>
      </x:c>
      <x:c r="X58" s="2" t="str">
        <x:v>원본·배정 기록 확인</x:v>
      </x:c>
      <x:c r="Y58" s="2" t="str">
        <x:v>ad210cd9ec132cfd447541c8984dc53d30aff0f4fb2dc92d254d49275cc55976</x:v>
      </x:c>
      <x:c r="Z58" s="2" t="n">
        <x:f>SUBTOTAL(103,A58)</x:f>
        <x:v>1</x:v>
      </x:c>
      <x:c r="AA58" s="2" t="str">
        <x:f>IF(K58&lt;&gt;"미종결 표시","대상 아님",IF(N58="","신청일 확인",IF(NOT(ISNUMBER('종합 현황'!$H$5)),"관찰기준 확인",IF('종합 현황'!$H$5&lt;1,"관찰기준 확인",IF(N58&gt;'종합 현황'!$H$5,"내부 관찰 대상","내부 관찰일 이하")))))</x:f>
        <x:v>대상 아님</x:v>
      </x:c>
      <x:c r="AB58" s="2" t="str">
        <x:v>2021-10-12 14:06:43 - 방법론신청
2021-10-12 14:06:44 - 관장기관지정 (기후에너지환경부)
2021-10-19 09:30:08 - 관장기관지정 (산업통상부)
2022-01-26 15:35:24 - 보완요청
2022-03-22 00:21:10 - 문서보완접수
2022-05-19 15:10:18 - 보완요청
2022-06-10 16:34:30 - 문서보완접수
2022-06-29 15:42:06 - 문서재제출요청
2022-08-05 15:13:10 - 문서재제출완료
2022-10-26 13:13:11 - 문서재제출요청
2022-11-07 12:57:18 - 문서재제출완료
2023-01-19 10:05:35 - 문서재제출요청
2023-01-20 15:03:28 - 문서재제출완료
2023-02-03 17:44:22 - 보완요청
2023-02-08 11:35:23 - 문서보완접수
2023-02-10 14:26:35 - 문서재제출요청
2023-02-10 14:39:53 - 문서재제출완료
2023-03-10 14:36:14 - 검토승인
2023-03-10 14:38:54 - 심의승인
</x:v>
      </x:c>
    </x:row>
    <x:row r="59" ht="42" customHeight="1">
      <x:c r="A59" s="2" t="str">
        <x:v>7b281ce86157a291f295cbbe</x:v>
      </x:c>
      <x:c r="B59" s="2" t="str">
        <x:v>방법론 신청</x:v>
      </x:c>
      <x:c r="C59" s="2" t="str">
        <x:v>공통</x:v>
      </x:c>
      <x:c r="D59" s="7" t="str">
        <x:v>고효율 설비 교체 사업의 방법론(고효율 전동기 교체)</x:v>
      </x:c>
      <x:c r="E59" s="2" t="str">
        <x:v>53</x:v>
      </x:c>
      <x:c r="F59" s="2" t="str">
        <x:v>2021-11-29</x:v>
      </x:c>
      <x:c r="G59" s="2" t="str">
        <x:v>2021</x:v>
      </x:c>
      <x:c r="H59" s="2" t="str">
        <x:v>11</x:v>
      </x:c>
      <x:c r="I59" s="2" t="str">
        <x:v>검토반려</x:v>
      </x:c>
      <x:c r="J59" s="2" t="str">
        <x:v>반려</x:v>
      </x:c>
      <x:c r="K59" s="2" t="str">
        <x:f>IF(OR(J59="심의승인",J59="반려",J59="반려완료",J59="심의완료"),"종결 표시",IF(OR(J59="기후부협의",J59="문서재제출요청",J59="보류",J59="보완요청",J59="보완완료",J59="평가중",J59="반려요청",J59="평가필요",LEFT(J59,5)="보완요청("),"미종결 표시","상태 확인 필요"))</x:f>
        <x:v>종결 표시</x:v>
      </x:c>
      <x:c r="L59" s="2"/>
      <x:c r="M59" s="2"/>
      <x:c r="N59" s="8" t="n">
        <x:f>DATE(2026,10,15)-DATE(2021,11,29)</x:f>
        <x:v>1781</x:v>
      </x:c>
      <x:c r="O59" s="2"/>
      <x:c r="P59" s="2"/>
      <x:c r="Q59" s="2" t="str">
        <x:v>산업전환_외부사업관리Tool_260707_이너젠 수정_LJY_261013.xlsx</x:v>
      </x:c>
      <x:c r="R59" s="2" t="str">
        <x:v>방법론</x:v>
      </x:c>
      <x:c r="S59" s="8" t="n">
        <x:v>55</x:v>
      </x:c>
      <x:c r="T59" s="2"/>
      <x:c r="U59" s="2" t="str"/>
      <x:c r="V59" s="2" t="str">
        <x:v>2025-08-14</x:v>
      </x:c>
      <x:c r="W59" s="2" t="str">
        <x:v>담당기관 확인</x:v>
      </x:c>
      <x:c r="X59" s="2" t="str">
        <x:v>원본·배정 기록 확인</x:v>
      </x:c>
      <x:c r="Y59" s="2" t="str">
        <x:v>ad210cd9ec132cfd447541c8984dc53d30aff0f4fb2dc92d254d49275cc55976</x:v>
      </x:c>
      <x:c r="Z59" s="2" t="n">
        <x:f>SUBTOTAL(103,A59)</x:f>
        <x:v>1</x:v>
      </x:c>
      <x:c r="AA59" s="2" t="str">
        <x:f>IF(K59&lt;&gt;"미종결 표시","대상 아님",IF(N59="","신청일 확인",IF(NOT(ISNUMBER('종합 현황'!$H$5)),"관찰기준 확인",IF('종합 현황'!$H$5&lt;1,"관찰기준 확인",IF(N59&gt;'종합 현황'!$H$5,"내부 관찰 대상","내부 관찰일 이하")))))</x:f>
        <x:v>대상 아님</x:v>
      </x:c>
      <x:c r="AB59" s="2" t="str">
        <x:v>2021-11-29 17:10:10 - 방법론신청
2021-11-29 17:10:11 - 관장기관지정 (기후에너지환경부)
2021-11-29 19:51:04 - 관장기관지정 (산업통상부)
2022-01-26 15:34:35 - 문서재제출요청
2022-11-23 14:10:32 - 문서재제출완료
2025-08-14 13:38:37 - 검토반려
</x:v>
      </x:c>
    </x:row>
    <x:row r="60" ht="42" customHeight="1">
      <x:c r="A60" s="2" t="str">
        <x:v>a0d8267c4e2f1da531001fce</x:v>
      </x:c>
      <x:c r="B60" s="2" t="str">
        <x:v>방법론 신청</x:v>
      </x:c>
      <x:c r="C60" s="2" t="str">
        <x:v>공통</x:v>
      </x:c>
      <x:c r="D60" s="7" t="str">
        <x:v>탄산가스 포집</x:v>
      </x:c>
      <x:c r="E60" s="2" t="str">
        <x:v>54</x:v>
      </x:c>
      <x:c r="F60" s="2" t="str">
        <x:v>2022-01-24</x:v>
      </x:c>
      <x:c r="G60" s="2" t="str">
        <x:v>2022</x:v>
      </x:c>
      <x:c r="H60" s="2" t="str">
        <x:v>01</x:v>
      </x:c>
      <x:c r="I60" s="2" t="str">
        <x:v>문서재제출요청</x:v>
      </x:c>
      <x:c r="J60" s="2" t="str">
        <x:v>보류</x:v>
      </x:c>
      <x:c r="K60" s="2" t="str">
        <x:f>IF(OR(J60="심의승인",J60="반려",J60="반려완료",J60="심의완료"),"종결 표시",IF(OR(J60="기후부협의",J60="문서재제출요청",J60="보류",J60="보완요청",J60="보완완료",J60="평가중",J60="반려요청",J60="평가필요",LEFT(J60,5)="보완요청("),"미종결 표시","상태 확인 필요"))</x:f>
        <x:v>미종결 표시</x:v>
      </x:c>
      <x:c r="L60" s="2"/>
      <x:c r="M60" s="2"/>
      <x:c r="N60" s="8" t="n">
        <x:f>DATE(2026,10,15)-DATE(2022,1,24)</x:f>
        <x:v>1725</x:v>
      </x:c>
      <x:c r="O60" s="2"/>
      <x:c r="P60" s="2" t="str">
        <x:v>사업자 요청으로 반려 예정</x:v>
      </x:c>
      <x:c r="Q60" s="2" t="str">
        <x:v>산업전환_외부사업관리Tool_260707_이너젠 수정_LJY_261013.xlsx</x:v>
      </x:c>
      <x:c r="R60" s="2" t="str">
        <x:v>방법론</x:v>
      </x:c>
      <x:c r="S60" s="8" t="n">
        <x:v>56</x:v>
      </x:c>
      <x:c r="T60" s="2"/>
      <x:c r="U60" s="2" t="str"/>
      <x:c r="V60" s="2" t="str">
        <x:v>2022-06-29</x:v>
      </x:c>
      <x:c r="W60" s="2" t="str">
        <x:v>담당기관 확인</x:v>
      </x:c>
      <x:c r="X60" s="2" t="str">
        <x:v>원본·배정 기록 확인</x:v>
      </x:c>
      <x:c r="Y60" s="2" t="str">
        <x:v>ad210cd9ec132cfd447541c8984dc53d30aff0f4fb2dc92d254d49275cc55976</x:v>
      </x:c>
      <x:c r="Z60" s="2" t="n">
        <x:f>SUBTOTAL(103,A60)</x:f>
        <x:v>1</x:v>
      </x:c>
      <x:c r="AA60" s="2" t="str">
        <x:f>IF(K60&lt;&gt;"미종결 표시","대상 아님",IF(N60="","신청일 확인",IF(NOT(ISNUMBER('종합 현황'!$H$5)),"관찰기준 확인",IF('종합 현황'!$H$5&lt;1,"관찰기준 확인",IF(N60&gt;'종합 현황'!$H$5,"내부 관찰 대상","내부 관찰일 이하")))))</x:f>
        <x:v>내부 관찰 대상</x:v>
      </x:c>
      <x:c r="AB60" s="2" t="str">
        <x:v>2022-01-24 13:27:48 - 방법론신청
2022-01-24 13:27:49 - 관장기관지정 (기후에너지환경부)
2022-01-24 13:50:34 - 관장기관지정 (산업통상부)
2022-01-26 16:02:44 - 문서재제출요청
2022-01-26 17:34:08 - 문서재제출완료
2022-03-23 09:56:27 - 보완요청
2022-04-05 10:38:25 - 문서보완접수
2022-04-05 10:49:30 - 문서재제출요청
2022-04-13 09:10:13 - 문서재제출완료
2022-05-19 15:10:59 - 보완요청
2022-06-10 17:11:17 - 문서보완접수
2022-06-29 15:42:31 - 문서재제출요청
</x:v>
      </x:c>
    </x:row>
    <x:row r="61" ht="42" customHeight="1">
      <x:c r="A61" s="2" t="str">
        <x:v>92ec9a99a2c9c704f3724986</x:v>
      </x:c>
      <x:c r="B61" s="2" t="str">
        <x:v>방법론 신청</x:v>
      </x:c>
      <x:c r="C61" s="2" t="str">
        <x:v>공통</x:v>
      </x:c>
      <x:c r="D61" s="7" t="str">
        <x:v>극소규모 고효율 설비 교체_인버터 공기압축기</x:v>
      </x:c>
      <x:c r="E61" s="2" t="str">
        <x:v>55</x:v>
      </x:c>
      <x:c r="F61" s="2" t="str">
        <x:v>2022-01-27</x:v>
      </x:c>
      <x:c r="G61" s="2" t="str">
        <x:v>2022</x:v>
      </x:c>
      <x:c r="H61" s="2" t="str">
        <x:v>01</x:v>
      </x:c>
      <x:c r="I61" s="2" t="str">
        <x:v>검토반려</x:v>
      </x:c>
      <x:c r="J61" s="2" t="str">
        <x:v>반려</x:v>
      </x:c>
      <x:c r="K61" s="2" t="str">
        <x:f>IF(OR(J61="심의승인",J61="반려",J61="반려완료",J61="심의완료"),"종결 표시",IF(OR(J61="기후부협의",J61="문서재제출요청",J61="보류",J61="보완요청",J61="보완완료",J61="평가중",J61="반려요청",J61="평가필요",LEFT(J61,5)="보완요청("),"미종결 표시","상태 확인 필요"))</x:f>
        <x:v>종결 표시</x:v>
      </x:c>
      <x:c r="L61" s="2"/>
      <x:c r="M61" s="2"/>
      <x:c r="N61" s="8" t="n">
        <x:f>DATE(2026,10,15)-DATE(2022,1,27)</x:f>
        <x:v>1722</x:v>
      </x:c>
      <x:c r="O61" s="2"/>
      <x:c r="P61" s="2"/>
      <x:c r="Q61" s="2" t="str">
        <x:v>산업전환_외부사업관리Tool_260707_이너젠 수정_LJY_261013.xlsx</x:v>
      </x:c>
      <x:c r="R61" s="2" t="str">
        <x:v>방법론</x:v>
      </x:c>
      <x:c r="S61" s="8" t="n">
        <x:v>57</x:v>
      </x:c>
      <x:c r="T61" s="2"/>
      <x:c r="U61" s="2" t="str"/>
      <x:c r="V61" s="2" t="str">
        <x:v>2023-07-12</x:v>
      </x:c>
      <x:c r="W61" s="2" t="str">
        <x:v>담당기관 확인</x:v>
      </x:c>
      <x:c r="X61" s="2" t="str">
        <x:v>원본·배정 기록 확인</x:v>
      </x:c>
      <x:c r="Y61" s="2" t="str">
        <x:v>ad210cd9ec132cfd447541c8984dc53d30aff0f4fb2dc92d254d49275cc55976</x:v>
      </x:c>
      <x:c r="Z61" s="2" t="n">
        <x:f>SUBTOTAL(103,A61)</x:f>
        <x:v>1</x:v>
      </x:c>
      <x:c r="AA61" s="2" t="str">
        <x:f>IF(K61&lt;&gt;"미종결 표시","대상 아님",IF(N61="","신청일 확인",IF(NOT(ISNUMBER('종합 현황'!$H$5)),"관찰기준 확인",IF('종합 현황'!$H$5&lt;1,"관찰기준 확인",IF(N61&gt;'종합 현황'!$H$5,"내부 관찰 대상","내부 관찰일 이하")))))</x:f>
        <x:v>대상 아님</x:v>
      </x:c>
      <x:c r="AB61" s="2" t="str">
        <x:v>2022-01-27 16:10:50 - 방법론신청
2022-01-27 16:10:51 - 관장기관지정 (기후에너지환경부)
2022-01-27 16:30:43 - 관장기관지정 (산업통상부)
2022-05-19 15:22:47 - 보완요청
2022-06-10 14:44:22 - 문서보완접수
2023-07-12 09:42:33 - 검토반려
</x:v>
      </x:c>
    </x:row>
    <x:row r="62" ht="42" customHeight="1">
      <x:c r="A62" s="2" t="str">
        <x:v>fb8ac832727f4fd7a7db6f51</x:v>
      </x:c>
      <x:c r="B62" s="2" t="str">
        <x:v>방법론 신청</x:v>
      </x:c>
      <x:c r="C62" s="2" t="str">
        <x:v>공통</x:v>
      </x:c>
      <x:c r="D62" s="7" t="str">
        <x:v>반도체 제조공정의 F-Gas 감축설비 도입을 통한 온실가스 감축 사업의 방법론</x:v>
      </x:c>
      <x:c r="E62" s="2" t="str">
        <x:v>56</x:v>
      </x:c>
      <x:c r="F62" s="2" t="str">
        <x:v>2022-05-18</x:v>
      </x:c>
      <x:c r="G62" s="2" t="str">
        <x:v>2022</x:v>
      </x:c>
      <x:c r="H62" s="2" t="str">
        <x:v>05</x:v>
      </x:c>
      <x:c r="I62" s="2" t="str">
        <x:v>심의승인</x:v>
      </x:c>
      <x:c r="J62" s="2" t="str">
        <x:v>심의승인</x:v>
      </x:c>
      <x:c r="K62" s="2" t="str">
        <x:f>IF(OR(J62="심의승인",J62="반려",J62="반려완료",J62="심의완료"),"종결 표시",IF(OR(J62="기후부협의",J62="문서재제출요청",J62="보류",J62="보완요청",J62="보완완료",J62="평가중",J62="반려요청",J62="평가필요",LEFT(J62,5)="보완요청("),"미종결 표시","상태 확인 필요"))</x:f>
        <x:v>종결 표시</x:v>
      </x:c>
      <x:c r="L62" s="2"/>
      <x:c r="M62" s="2"/>
      <x:c r="N62" s="8" t="n">
        <x:f>DATE(2026,10,15)-DATE(2022,5,18)</x:f>
        <x:v>1611</x:v>
      </x:c>
      <x:c r="O62" s="2"/>
      <x:c r="P62" s="2"/>
      <x:c r="Q62" s="2" t="str">
        <x:v>산업전환_외부사업관리Tool_260707_이너젠 수정_LJY_261013.xlsx</x:v>
      </x:c>
      <x:c r="R62" s="2" t="str">
        <x:v>방법론</x:v>
      </x:c>
      <x:c r="S62" s="8" t="n">
        <x:v>58</x:v>
      </x:c>
      <x:c r="T62" s="2"/>
      <x:c r="U62" s="2" t="str"/>
      <x:c r="V62" s="2" t="str">
        <x:v>2023-03-10</x:v>
      </x:c>
      <x:c r="W62" s="2" t="str">
        <x:v>담당기관 확인</x:v>
      </x:c>
      <x:c r="X62" s="2" t="str">
        <x:v>원본·배정 기록 확인</x:v>
      </x:c>
      <x:c r="Y62" s="2" t="str">
        <x:v>ad210cd9ec132cfd447541c8984dc53d30aff0f4fb2dc92d254d49275cc55976</x:v>
      </x:c>
      <x:c r="Z62" s="2" t="n">
        <x:f>SUBTOTAL(103,A62)</x:f>
        <x:v>1</x:v>
      </x:c>
      <x:c r="AA62" s="2" t="str">
        <x:f>IF(K62&lt;&gt;"미종결 표시","대상 아님",IF(N62="","신청일 확인",IF(NOT(ISNUMBER('종합 현황'!$H$5)),"관찰기준 확인",IF('종합 현황'!$H$5&lt;1,"관찰기준 확인",IF(N62&gt;'종합 현황'!$H$5,"내부 관찰 대상","내부 관찰일 이하")))))</x:f>
        <x:v>대상 아님</x:v>
      </x:c>
      <x:c r="AB62" s="2" t="str">
        <x:v>2022-05-18 10:38:19 - 방법론신청
2022-05-18 10:38:20 - 관장기관지정 (기후에너지환경부)
2022-05-18 11:19:31 - 관장기관지정 (산업통상부)
2022-05-19 15:11:26 - 보완요청
2022-06-10 14:48:22 - 문서보완접수
2022-06-29 15:40:42 - 문서재제출요청
2022-08-30 14:15:07 - 문서재제출완료
2022-10-13 14:52:39 - 문서재제출요청
2022-11-11 16:40:58 - 문서재제출완료
2023-02-03 17:46:13 - 보완요청
2023-02-08 17:54:55 - 문서보완접수
2023-02-10 09:57:56 - 문서재제출요청
2023-02-10 16:31:07 - 문서재제출완료
2023-02-10 17:07:14 - 문서재제출요청
2023-02-10 17:09:31 - 문서재제출완료
2023-03-10 14:43:36 - 검토승인
2023-03-10 14:45:04 - 심의승인
</x:v>
      </x:c>
    </x:row>
    <x:row r="63" ht="42" customHeight="1">
      <x:c r="A63" s="2" t="str">
        <x:v>6cc25913ba4aa6beeaa26bfb</x:v>
      </x:c>
      <x:c r="B63" s="2" t="str">
        <x:v>방법론 신청</x:v>
      </x:c>
      <x:c r="C63" s="2" t="str">
        <x:v>공통</x:v>
      </x:c>
      <x:c r="D63" s="7" t="str">
        <x:v>자가발전을 통한 사업장 전력 대체 온실가스 감축 방법론</x:v>
      </x:c>
      <x:c r="E63" s="2" t="str">
        <x:v>57</x:v>
      </x:c>
      <x:c r="F63" s="2" t="str">
        <x:v>2022-05-26</x:v>
      </x:c>
      <x:c r="G63" s="2" t="str">
        <x:v>2022</x:v>
      </x:c>
      <x:c r="H63" s="2" t="str">
        <x:v>05</x:v>
      </x:c>
      <x:c r="I63" s="2" t="str">
        <x:v>심의승인</x:v>
      </x:c>
      <x:c r="J63" s="2" t="str">
        <x:v>심의승인</x:v>
      </x:c>
      <x:c r="K63" s="2" t="str">
        <x:f>IF(OR(J63="심의승인",J63="반려",J63="반려완료",J63="심의완료"),"종결 표시",IF(OR(J63="기후부협의",J63="문서재제출요청",J63="보류",J63="보완요청",J63="보완완료",J63="평가중",J63="반려요청",J63="평가필요",LEFT(J63,5)="보완요청("),"미종결 표시","상태 확인 필요"))</x:f>
        <x:v>종결 표시</x:v>
      </x:c>
      <x:c r="L63" s="2"/>
      <x:c r="M63" s="2"/>
      <x:c r="N63" s="8" t="n">
        <x:f>DATE(2026,10,15)-DATE(2022,5,26)</x:f>
        <x:v>1603</x:v>
      </x:c>
      <x:c r="O63" s="2"/>
      <x:c r="P63" s="2"/>
      <x:c r="Q63" s="2" t="str">
        <x:v>산업전환_외부사업관리Tool_260707_이너젠 수정_LJY_261013.xlsx</x:v>
      </x:c>
      <x:c r="R63" s="2" t="str">
        <x:v>방법론</x:v>
      </x:c>
      <x:c r="S63" s="8" t="n">
        <x:v>59</x:v>
      </x:c>
      <x:c r="T63" s="2"/>
      <x:c r="U63" s="2" t="str"/>
      <x:c r="V63" s="2" t="str">
        <x:v>2024-09-19</x:v>
      </x:c>
      <x:c r="W63" s="2" t="str">
        <x:v>담당기관 확인</x:v>
      </x:c>
      <x:c r="X63" s="2" t="str">
        <x:v>원본·배정 기록 확인</x:v>
      </x:c>
      <x:c r="Y63" s="2" t="str">
        <x:v>ad210cd9ec132cfd447541c8984dc53d30aff0f4fb2dc92d254d49275cc55976</x:v>
      </x:c>
      <x:c r="Z63" s="2" t="n">
        <x:f>SUBTOTAL(103,A63)</x:f>
        <x:v>1</x:v>
      </x:c>
      <x:c r="AA63" s="2" t="str">
        <x:f>IF(K63&lt;&gt;"미종결 표시","대상 아님",IF(N63="","신청일 확인",IF(NOT(ISNUMBER('종합 현황'!$H$5)),"관찰기준 확인",IF('종합 현황'!$H$5&lt;1,"관찰기준 확인",IF(N63&gt;'종합 현황'!$H$5,"내부 관찰 대상","내부 관찰일 이하")))))</x:f>
        <x:v>대상 아님</x:v>
      </x:c>
      <x:c r="AB63" s="2" t="str">
        <x:v>2022-05-26 16:42:51 - 방법론신청
2022-05-26 16:42:52 - 관장기관지정 (기후에너지환경부)
2022-05-26 16:53:24 - 관장기관지정 (산업통상부)
2022-06-13 18:27:27 - 보완요청
2022-06-17 14:00:33 - 문서보완접수
2022-06-29 15:41:40 - 문서재제출요청
2022-11-10 18:14:03 - 문서재제출완료
2023-03-09 18:03:25 - 문서재제출요청
2023-03-09 21:19:00 - 문서재제출완료
2023-03-20 09:55:33 - 문서재제출요청
2023-03-20 16:47:40 - 문서재제출완료
2023-05-31 17:11:38 - 문서재제출요청
2023-06-14 17:50:40 - 문서재제출완료
2023-07-28 15:25:26 - 문서재제출요청
2023-07-28 17:07:37 - 문서재제출완료
2023-10-06 15:24:24 - 문서재제출요청
2023-10-06 15:29:13 - 문서재제출완료
2023-12-14 17:33:32 - 문서재제출요청
2023-12-15 16:37:56 - 문서재제출완료
2024-02-06 09:18:29 - 문서재제출요청
2024-02-06 09:31:15 - 문서재제출완료
2024-04-18 10:43:19 - 문서재제출요청
2024-04-18 18:19:47 - 문서재제출완료
2024-04-26 15:03:07 - 문서재제출요청
2024-04-26 15:48:35 - 문서재제출완료
2024-04-26 16:43:43 - 문서재제출요청
2024-04-26 16:51:04 - 문서재제출완료
2024-04-26 16:51:04 - 문서보완접수
2024-06-19 13:36:16 - 검토승인
2024-06-19 14:14:10 - 협의검토중 (협의 요청일 : 2023-03-10)
2024-06-19 14:14:54 - 협의통보 (협의 통보일 : 2023-05-31)
2024-09-19 10:23:57 - 심의승인
</x:v>
      </x:c>
    </x:row>
    <x:row r="64" ht="42" customHeight="1">
      <x:c r="A64" s="2" t="str">
        <x:v>e08c76fc63a70f75dfb7370c</x:v>
      </x:c>
      <x:c r="B64" s="2" t="str">
        <x:v>방법론 신청</x:v>
      </x:c>
      <x:c r="C64" s="2" t="str">
        <x:v>공통</x:v>
      </x:c>
      <x:c r="D64" s="7" t="str">
        <x:v>대기 중 이산화탄소(CO2)를 포집하여 생성한 탄산염을 콘크리트 첨가제로 활용하여 이산화탄소를 콘크리트에 저장하는 방법론</x:v>
      </x:c>
      <x:c r="E64" s="2" t="str">
        <x:v>58</x:v>
      </x:c>
      <x:c r="F64" s="2" t="str">
        <x:v>2022-09-07</x:v>
      </x:c>
      <x:c r="G64" s="2" t="str">
        <x:v>2022</x:v>
      </x:c>
      <x:c r="H64" s="2" t="str">
        <x:v>09</x:v>
      </x:c>
      <x:c r="I64" s="2" t="str">
        <x:v>검토반려</x:v>
      </x:c>
      <x:c r="J64" s="2" t="str">
        <x:v>반려</x:v>
      </x:c>
      <x:c r="K64" s="2" t="str">
        <x:f>IF(OR(J64="심의승인",J64="반려",J64="반려완료",J64="심의완료"),"종결 표시",IF(OR(J64="기후부협의",J64="문서재제출요청",J64="보류",J64="보완요청",J64="보완완료",J64="평가중",J64="반려요청",J64="평가필요",LEFT(J64,5)="보완요청("),"미종결 표시","상태 확인 필요"))</x:f>
        <x:v>종결 표시</x:v>
      </x:c>
      <x:c r="L64" s="2"/>
      <x:c r="M64" s="2"/>
      <x:c r="N64" s="8" t="n">
        <x:f>DATE(2026,10,15)-DATE(2022,9,7)</x:f>
        <x:v>1499</x:v>
      </x:c>
      <x:c r="O64" s="2"/>
      <x:c r="P64" s="2"/>
      <x:c r="Q64" s="2" t="str">
        <x:v>산업전환_외부사업관리Tool_260707_이너젠 수정_LJY_261013.xlsx</x:v>
      </x:c>
      <x:c r="R64" s="2" t="str">
        <x:v>방법론</x:v>
      </x:c>
      <x:c r="S64" s="8" t="n">
        <x:v>60</x:v>
      </x:c>
      <x:c r="T64" s="2"/>
      <x:c r="U64" s="2" t="str"/>
      <x:c r="V64" s="2" t="str">
        <x:v>2024-10-07</x:v>
      </x:c>
      <x:c r="W64" s="2" t="str">
        <x:v>담당기관 확인</x:v>
      </x:c>
      <x:c r="X64" s="2" t="str">
        <x:v>원본·배정 기록 확인</x:v>
      </x:c>
      <x:c r="Y64" s="2" t="str">
        <x:v>ad210cd9ec132cfd447541c8984dc53d30aff0f4fb2dc92d254d49275cc55976</x:v>
      </x:c>
      <x:c r="Z64" s="2" t="n">
        <x:f>SUBTOTAL(103,A64)</x:f>
        <x:v>1</x:v>
      </x:c>
      <x:c r="AA64" s="2" t="str">
        <x:f>IF(K64&lt;&gt;"미종결 표시","대상 아님",IF(N64="","신청일 확인",IF(NOT(ISNUMBER('종합 현황'!$H$5)),"관찰기준 확인",IF('종합 현황'!$H$5&lt;1,"관찰기준 확인",IF(N64&gt;'종합 현황'!$H$5,"내부 관찰 대상","내부 관찰일 이하")))))</x:f>
        <x:v>대상 아님</x:v>
      </x:c>
      <x:c r="AB64" s="2" t="str">
        <x:v>2022-09-07 10:45:28 - 방법론신청
2022-09-07 10:45:29 - 관장기관지정 (기후에너지환경부)
2022-09-07 13:26:47 - 관장기관지정 (산업통상부)
2022-09-20 16:56:20 - 보완요청
2023-06-02 14:54:32 - 문서보완접수
2023-06-07 17:32:35 - 문서재제출요청
2023-06-08 11:28:10 - 문서재제출완료
2023-06-27 16:42:49 - 보완요청
2024-09-19 13:24:21 - 문서보완접수
2024-10-07 14:34:19 - 검토반려
</x:v>
      </x:c>
    </x:row>
    <x:row r="65" ht="42" customHeight="1">
      <x:c r="A65" s="2" t="str">
        <x:v>7a150e258ae773d592854e42</x:v>
      </x:c>
      <x:c r="B65" s="2" t="str">
        <x:v>방법론 신청</x:v>
      </x:c>
      <x:c r="C65" s="2" t="str">
        <x:v>공통</x:v>
      </x:c>
      <x:c r="D65" s="7" t="str">
        <x:v>전력망의 전기설비 폐기 시 발생되는 육불화황(SF6)의 회수 및 분해를 통한 온실가스 감축사업의 방법론</x:v>
      </x:c>
      <x:c r="E65" s="2" t="str">
        <x:v>59</x:v>
      </x:c>
      <x:c r="F65" s="2" t="str">
        <x:v>2022-09-26</x:v>
      </x:c>
      <x:c r="G65" s="2" t="str">
        <x:v>2022</x:v>
      </x:c>
      <x:c r="H65" s="2" t="str">
        <x:v>09</x:v>
      </x:c>
      <x:c r="I65" s="2" t="str">
        <x:v>심의승인</x:v>
      </x:c>
      <x:c r="J65" s="2" t="str">
        <x:v>심의승인</x:v>
      </x:c>
      <x:c r="K65" s="2" t="str">
        <x:f>IF(OR(J65="심의승인",J65="반려",J65="반려완료",J65="심의완료"),"종결 표시",IF(OR(J65="기후부협의",J65="문서재제출요청",J65="보류",J65="보완요청",J65="보완완료",J65="평가중",J65="반려요청",J65="평가필요",LEFT(J65,5)="보완요청("),"미종결 표시","상태 확인 필요"))</x:f>
        <x:v>종결 표시</x:v>
      </x:c>
      <x:c r="L65" s="2" t="str">
        <x:v>한다솔</x:v>
      </x:c>
      <x:c r="M65" s="2"/>
      <x:c r="N65" s="8" t="n">
        <x:f>DATE(2026,10,15)-DATE(2022,9,26)</x:f>
        <x:v>1480</x:v>
      </x:c>
      <x:c r="O65" s="2"/>
      <x:c r="P65" s="2"/>
      <x:c r="Q65" s="2" t="str">
        <x:v>산업전환_외부사업관리Tool_260707_이너젠 수정_LJY_261013.xlsx</x:v>
      </x:c>
      <x:c r="R65" s="2" t="str">
        <x:v>방법론</x:v>
      </x:c>
      <x:c r="S65" s="8" t="n">
        <x:v>61</x:v>
      </x:c>
      <x:c r="T65" s="2"/>
      <x:c r="U65" s="2" t="str"/>
      <x:c r="V65" s="2" t="str">
        <x:v>2026-03-12</x:v>
      </x:c>
      <x:c r="W65" s="2" t="str"/>
      <x:c r="X65" s="2" t="str">
        <x:v>종결 근거 보관</x:v>
      </x:c>
      <x:c r="Y65" s="2" t="str">
        <x:v>ad210cd9ec132cfd447541c8984dc53d30aff0f4fb2dc92d254d49275cc55976</x:v>
      </x:c>
      <x:c r="Z65" s="2" t="n">
        <x:f>SUBTOTAL(103,A65)</x:f>
        <x:v>1</x:v>
      </x:c>
      <x:c r="AA65" s="2" t="str">
        <x:f>IF(K65&lt;&gt;"미종결 표시","대상 아님",IF(N65="","신청일 확인",IF(NOT(ISNUMBER('종합 현황'!$H$5)),"관찰기준 확인",IF('종합 현황'!$H$5&lt;1,"관찰기준 확인",IF(N65&gt;'종합 현황'!$H$5,"내부 관찰 대상","내부 관찰일 이하")))))</x:f>
        <x:v>대상 아님</x:v>
      </x:c>
      <x:c r="AB65" s="2" t="str">
        <x:v>2022-09-26 16:08:55 - 방법론신청
2022-09-26 16:08:56 - 관장기관지정 (기후에너지환경부)
2022-09-28 17:26:52 - 관장기관지정 (산업통상부)
2022-10-26 13:15:13 - 문서재제출요청
2022-12-07 20:04:37 - 문서재제출완료
2023-03-03 11:29:18 - 보완요청
2023-05-22 20:22:36 - 문서보완접수
2023-06-27 17:15:44 - 보완요청
2023-10-06 17:36:29 - 문서보완접수
2023-11-30 15:59:21 - 문서재제출요청
2023-12-01 17:23:15 - 문서보완접수
2023-12-01 17:23:15 - 문서재제출완료
2023-12-15 11:19:57 - 검토승인
2023-12-15 11:21:10 - 협의검토중 (협의 요청일 : 2023-12-07)
2024-01-18 18:40:59 - 협의통보 (협의 통보일 : 2024-01-18)
2026-03-12 11:31:53 - 심의승인
</x:v>
      </x:c>
    </x:row>
    <x:row r="66" ht="42" customHeight="1">
      <x:c r="A66" s="2" t="str">
        <x:v>fe6e7802635c3eb373470189</x:v>
      </x:c>
      <x:c r="B66" s="2" t="str">
        <x:v>방법론 신청</x:v>
      </x:c>
      <x:c r="C66" s="2" t="str">
        <x:v>공통</x:v>
      </x:c>
      <x:c r="D66" s="7" t="str">
        <x:v>극소규모 전력절감설비 설치사업 방법론_마그네틱 커플링 설치</x:v>
      </x:c>
      <x:c r="E66" s="2" t="str">
        <x:v>60</x:v>
      </x:c>
      <x:c r="F66" s="2" t="str">
        <x:v>2022-11-23</x:v>
      </x:c>
      <x:c r="G66" s="2" t="str">
        <x:v>2022</x:v>
      </x:c>
      <x:c r="H66" s="2" t="str">
        <x:v>11</x:v>
      </x:c>
      <x:c r="I66" s="2" t="str">
        <x:v>검토반려</x:v>
      </x:c>
      <x:c r="J66" s="2" t="str">
        <x:v>반려</x:v>
      </x:c>
      <x:c r="K66" s="2" t="str">
        <x:f>IF(OR(J66="심의승인",J66="반려",J66="반려완료",J66="심의완료"),"종결 표시",IF(OR(J66="기후부협의",J66="문서재제출요청",J66="보류",J66="보완요청",J66="보완완료",J66="평가중",J66="반려요청",J66="평가필요",LEFT(J66,5)="보완요청("),"미종결 표시","상태 확인 필요"))</x:f>
        <x:v>종결 표시</x:v>
      </x:c>
      <x:c r="L66" s="2"/>
      <x:c r="M66" s="2"/>
      <x:c r="N66" s="8" t="n">
        <x:f>DATE(2026,10,15)-DATE(2022,11,23)</x:f>
        <x:v>1422</x:v>
      </x:c>
      <x:c r="O66" s="2"/>
      <x:c r="P66" s="2"/>
      <x:c r="Q66" s="2" t="str">
        <x:v>산업전환_외부사업관리Tool_260707_이너젠 수정_LJY_261013.xlsx</x:v>
      </x:c>
      <x:c r="R66" s="2" t="str">
        <x:v>방법론</x:v>
      </x:c>
      <x:c r="S66" s="8" t="n">
        <x:v>62</x:v>
      </x:c>
      <x:c r="T66" s="2"/>
      <x:c r="U66" s="2" t="str"/>
      <x:c r="V66" s="2" t="str">
        <x:v>2025-08-14</x:v>
      </x:c>
      <x:c r="W66" s="2" t="str">
        <x:v>담당기관 확인</x:v>
      </x:c>
      <x:c r="X66" s="2" t="str">
        <x:v>원본·배정 기록 확인</x:v>
      </x:c>
      <x:c r="Y66" s="2" t="str">
        <x:v>ad210cd9ec132cfd447541c8984dc53d30aff0f4fb2dc92d254d49275cc55976</x:v>
      </x:c>
      <x:c r="Z66" s="2" t="n">
        <x:f>SUBTOTAL(103,A66)</x:f>
        <x:v>1</x:v>
      </x:c>
      <x:c r="AA66" s="2" t="str">
        <x:f>IF(K66&lt;&gt;"미종결 표시","대상 아님",IF(N66="","신청일 확인",IF(NOT(ISNUMBER('종합 현황'!$H$5)),"관찰기준 확인",IF('종합 현황'!$H$5&lt;1,"관찰기준 확인",IF(N66&gt;'종합 현황'!$H$5,"내부 관찰 대상","내부 관찰일 이하")))))</x:f>
        <x:v>대상 아님</x:v>
      </x:c>
      <x:c r="AB66" s="2" t="str">
        <x:v>2022-11-23 14:19:47 - 방법론신청
2022-11-23 14:19:48 - 관장기관지정 (기후에너지환경부)
2022-11-23 14:32:15 - 관장기관지정 (산업통상부)
2025-08-14 13:37:48 - 검토반려
</x:v>
      </x:c>
    </x:row>
    <x:row r="67" ht="42" customHeight="1">
      <x:c r="A67" s="2" t="str">
        <x:v>e6165a0a83c049fc58c6b3c7</x:v>
      </x:c>
      <x:c r="B67" s="2" t="str">
        <x:v>방법론 신청</x:v>
      </x:c>
      <x:c r="C67" s="2" t="str">
        <x:v>공통</x:v>
      </x:c>
      <x:c r="D67" s="7" t="str">
        <x:v>배가스 내 이산화탄소 활용을 통한 탈황설비 석회석 대체 사업의 방법론</x:v>
      </x:c>
      <x:c r="E67" s="2" t="str">
        <x:v>61</x:v>
      </x:c>
      <x:c r="F67" s="2" t="str">
        <x:v>2022-11-28</x:v>
      </x:c>
      <x:c r="G67" s="2" t="str">
        <x:v>2022</x:v>
      </x:c>
      <x:c r="H67" s="2" t="str">
        <x:v>11</x:v>
      </x:c>
      <x:c r="I67" s="2" t="str">
        <x:v>검토승인</x:v>
      </x:c>
      <x:c r="J67" s="2" t="str">
        <x:v>기후부협의</x:v>
      </x:c>
      <x:c r="K67" s="2" t="str">
        <x:f>IF(OR(J67="심의승인",J67="반려",J67="반려완료",J67="심의완료"),"종결 표시",IF(OR(J67="기후부협의",J67="문서재제출요청",J67="보류",J67="보완요청",J67="보완완료",J67="평가중",J67="반려요청",J67="평가필요",LEFT(J67,5)="보완요청("),"미종결 표시","상태 확인 필요"))</x:f>
        <x:v>미종결 표시</x:v>
      </x:c>
      <x:c r="L67" s="2"/>
      <x:c r="M67" s="2"/>
      <x:c r="N67" s="8" t="n">
        <x:f>DATE(2026,10,15)-DATE(2022,11,28)</x:f>
        <x:v>1417</x:v>
      </x:c>
      <x:c r="O67" s="2"/>
      <x:c r="P67" s="2"/>
      <x:c r="Q67" s="2" t="str">
        <x:v>산업전환_외부사업관리Tool_260707_이너젠 수정_LJY_261013.xlsx</x:v>
      </x:c>
      <x:c r="R67" s="2" t="str">
        <x:v>방법론</x:v>
      </x:c>
      <x:c r="S67" s="8" t="n">
        <x:v>63</x:v>
      </x:c>
      <x:c r="T67" s="2"/>
      <x:c r="U67" s="2" t="str"/>
      <x:c r="V67" s="2" t="str">
        <x:v>2025-06-13</x:v>
      </x:c>
      <x:c r="W67" s="2" t="str">
        <x:v>담당기관 확인</x:v>
      </x:c>
      <x:c r="X67" s="2" t="str">
        <x:v>원본·배정 기록 확인</x:v>
      </x:c>
      <x:c r="Y67" s="2" t="str">
        <x:v>ad210cd9ec132cfd447541c8984dc53d30aff0f4fb2dc92d254d49275cc55976</x:v>
      </x:c>
      <x:c r="Z67" s="2" t="n">
        <x:f>SUBTOTAL(103,A67)</x:f>
        <x:v>1</x:v>
      </x:c>
      <x:c r="AA67" s="2" t="str">
        <x:f>IF(K67&lt;&gt;"미종결 표시","대상 아님",IF(N67="","신청일 확인",IF(NOT(ISNUMBER('종합 현황'!$H$5)),"관찰기준 확인",IF('종합 현황'!$H$5&lt;1,"관찰기준 확인",IF(N67&gt;'종합 현황'!$H$5,"내부 관찰 대상","내부 관찰일 이하")))))</x:f>
        <x:v>내부 관찰 대상</x:v>
      </x:c>
      <x:c r="AB67" s="2" t="str">
        <x:v>2022-11-28 10:34:23 - 방법론신청
2022-11-28 10:34:24 - 관장기관지정 (기후에너지환경부)
2022-11-28 14:34:17 - 관장기관지정 (산업통상부)
2023-02-20 10:28:26 - 보완요청
2023-05-04 16:42:34 - 문서보완접수
2023-05-23 15:38:05 - 문서재제출요청
2023-06-07 09:40:09 - 문서재제출완료
2023-06-27 16:59:38 - 보완요청
2023-12-05 11:32:06 - 문서보완접수
2024-06-19 15:09:44 - 보완요청
2024-07-04 17:34:01 - 문서보완접수
2024-10-04 14:43:50 - 문서재제출요청
2025-01-15 17:25:31 - 문서재제출완료
2025-04-07 15:00:56 - 보완요청
2025-06-02 14:40:21 - 문서보완접수
2025-06-10 13:18:26 - 문서재제출요청
2025-06-10 16:19:30 - 문서재제출완료
2025-06-13 11:49:18 - 검토승인
2025-06-16 08:05:11 - 협의검토중 (협의 요청일 : 2025-06-12)
2025-07-25 17:27:20 - 협의통보 (협의 통보일 : 2025-07-22)
</x:v>
      </x:c>
    </x:row>
    <x:row r="68" ht="42" customHeight="1">
      <x:c r="A68" s="2" t="str">
        <x:v>6518e32dc3190d826f908792</x:v>
      </x:c>
      <x:c r="B68" s="2" t="str">
        <x:v>방법론 신청</x:v>
      </x:c>
      <x:c r="C68" s="2" t="str">
        <x:v>공통</x:v>
      </x:c>
      <x:c r="D68" s="7" t="str">
        <x:v>시멘트 대체재 사용 및 탄산광물화를 통한 투수블록의 온실가스감축사업 방법론</x:v>
      </x:c>
      <x:c r="E68" s="2" t="str">
        <x:v>62</x:v>
      </x:c>
      <x:c r="F68" s="2" t="str">
        <x:v>2022-12-16</x:v>
      </x:c>
      <x:c r="G68" s="2" t="str">
        <x:v>2022</x:v>
      </x:c>
      <x:c r="H68" s="2" t="str">
        <x:v>12</x:v>
      </x:c>
      <x:c r="I68" s="2" t="str">
        <x:v>검토반려</x:v>
      </x:c>
      <x:c r="J68" s="2" t="str">
        <x:v>반려</x:v>
      </x:c>
      <x:c r="K68" s="2" t="str">
        <x:f>IF(OR(J68="심의승인",J68="반려",J68="반려완료",J68="심의완료"),"종결 표시",IF(OR(J68="기후부협의",J68="문서재제출요청",J68="보류",J68="보완요청",J68="보완완료",J68="평가중",J68="반려요청",J68="평가필요",LEFT(J68,5)="보완요청("),"미종결 표시","상태 확인 필요"))</x:f>
        <x:v>종결 표시</x:v>
      </x:c>
      <x:c r="L68" s="2"/>
      <x:c r="M68" s="2"/>
      <x:c r="N68" s="8" t="n">
        <x:f>DATE(2026,10,15)-DATE(2022,12,16)</x:f>
        <x:v>1399</x:v>
      </x:c>
      <x:c r="O68" s="2"/>
      <x:c r="P68" s="2"/>
      <x:c r="Q68" s="2" t="str">
        <x:v>산업전환_외부사업관리Tool_260707_이너젠 수정_LJY_261013.xlsx</x:v>
      </x:c>
      <x:c r="R68" s="2" t="str">
        <x:v>방법론</x:v>
      </x:c>
      <x:c r="S68" s="8" t="n">
        <x:v>64</x:v>
      </x:c>
      <x:c r="T68" s="2"/>
      <x:c r="U68" s="2" t="str"/>
      <x:c r="V68" s="2" t="str">
        <x:v>2024-10-07</x:v>
      </x:c>
      <x:c r="W68" s="2" t="str">
        <x:v>담당기관 확인</x:v>
      </x:c>
      <x:c r="X68" s="2" t="str">
        <x:v>원본·배정 기록 확인</x:v>
      </x:c>
      <x:c r="Y68" s="2" t="str">
        <x:v>ad210cd9ec132cfd447541c8984dc53d30aff0f4fb2dc92d254d49275cc55976</x:v>
      </x:c>
      <x:c r="Z68" s="2" t="n">
        <x:f>SUBTOTAL(103,A68)</x:f>
        <x:v>1</x:v>
      </x:c>
      <x:c r="AA68" s="2" t="str">
        <x:f>IF(K68&lt;&gt;"미종결 표시","대상 아님",IF(N68="","신청일 확인",IF(NOT(ISNUMBER('종합 현황'!$H$5)),"관찰기준 확인",IF('종합 현황'!$H$5&lt;1,"관찰기준 확인",IF(N68&gt;'종합 현황'!$H$5,"내부 관찰 대상","내부 관찰일 이하")))))</x:f>
        <x:v>대상 아님</x:v>
      </x:c>
      <x:c r="AB68" s="2" t="str">
        <x:v>2022-12-16 13:46:00 - 방법론신청
2022-12-16 13:46:02 - 관장기관지정 (기후에너지환경부)
2022-12-19 09:24:43 - 관장기관지정 (산업통상부)
2023-03-14 09:44:00 - 보완요청
2023-06-02 21:41:12 - 문서보완접수
2023-06-27 17:38:09 - 보완요청
2024-07-16 10:03:08 - 문서보완접수
2024-10-07 14:35:00 - 검토반려
</x:v>
      </x:c>
    </x:row>
    <x:row r="69" ht="42" customHeight="1">
      <x:c r="A69" s="2" t="str">
        <x:v>893ecb0e1737d39d9b2fba1c</x:v>
      </x:c>
      <x:c r="B69" s="2" t="str">
        <x:v>방법론 신청</x:v>
      </x:c>
      <x:c r="C69" s="2" t="str">
        <x:v>공통</x:v>
      </x:c>
      <x:c r="D69" s="7" t="str">
        <x:v>정유사에서 발생된 황 부산물을 이용한 SPC 시멘트 생산 사업의 방법론</x:v>
      </x:c>
      <x:c r="E69" s="2" t="str">
        <x:v>63</x:v>
      </x:c>
      <x:c r="F69" s="2" t="str">
        <x:v>2022-12-21</x:v>
      </x:c>
      <x:c r="G69" s="2" t="str">
        <x:v>2022</x:v>
      </x:c>
      <x:c r="H69" s="2" t="str">
        <x:v>12</x:v>
      </x:c>
      <x:c r="I69" s="2" t="str">
        <x:v>검토반려</x:v>
      </x:c>
      <x:c r="J69" s="2" t="str">
        <x:v>반려</x:v>
      </x:c>
      <x:c r="K69" s="2" t="str">
        <x:f>IF(OR(J69="심의승인",J69="반려",J69="반려완료",J69="심의완료"),"종결 표시",IF(OR(J69="기후부협의",J69="문서재제출요청",J69="보류",J69="보완요청",J69="보완완료",J69="평가중",J69="반려요청",J69="평가필요",LEFT(J69,5)="보완요청("),"미종결 표시","상태 확인 필요"))</x:f>
        <x:v>종결 표시</x:v>
      </x:c>
      <x:c r="L69" s="2"/>
      <x:c r="M69" s="2"/>
      <x:c r="N69" s="8" t="n">
        <x:f>DATE(2026,10,15)-DATE(2022,12,21)</x:f>
        <x:v>1394</x:v>
      </x:c>
      <x:c r="O69" s="2"/>
      <x:c r="P69" s="2"/>
      <x:c r="Q69" s="2" t="str">
        <x:v>산업전환_외부사업관리Tool_260707_이너젠 수정_LJY_261013.xlsx</x:v>
      </x:c>
      <x:c r="R69" s="2" t="str">
        <x:v>방법론</x:v>
      </x:c>
      <x:c r="S69" s="8" t="n">
        <x:v>65</x:v>
      </x:c>
      <x:c r="T69" s="2"/>
      <x:c r="U69" s="2" t="str"/>
      <x:c r="V69" s="2" t="str">
        <x:v>2024-10-07</x:v>
      </x:c>
      <x:c r="W69" s="2" t="str">
        <x:v>담당기관 확인</x:v>
      </x:c>
      <x:c r="X69" s="2" t="str">
        <x:v>원본·배정 기록 확인</x:v>
      </x:c>
      <x:c r="Y69" s="2" t="str">
        <x:v>ad210cd9ec132cfd447541c8984dc53d30aff0f4fb2dc92d254d49275cc55976</x:v>
      </x:c>
      <x:c r="Z69" s="2" t="n">
        <x:f>SUBTOTAL(103,A69)</x:f>
        <x:v>1</x:v>
      </x:c>
      <x:c r="AA69" s="2" t="str">
        <x:f>IF(K69&lt;&gt;"미종결 표시","대상 아님",IF(N69="","신청일 확인",IF(NOT(ISNUMBER('종합 현황'!$H$5)),"관찰기준 확인",IF('종합 현황'!$H$5&lt;1,"관찰기준 확인",IF(N69&gt;'종합 현황'!$H$5,"내부 관찰 대상","내부 관찰일 이하")))))</x:f>
        <x:v>대상 아님</x:v>
      </x:c>
      <x:c r="AB69" s="2" t="str">
        <x:v>2022-12-21 14:31:08 - 방법론신청
2022-12-21 14:31:09 - 관장기관지정 (기후에너지환경부)
2022-12-22 09:31:02 - 관장기관지정 (산업통상부)
2023-03-15 19:25:41 - 보완요청
2024-07-18 10:48:29 - 문서보완접수
2024-10-07 15:33:02 - 검토반려
</x:v>
      </x:c>
    </x:row>
    <x:row r="70" ht="42" customHeight="1">
      <x:c r="A70" s="2" t="str">
        <x:v>bac336a3162d1173a6fc702e</x:v>
      </x:c>
      <x:c r="B70" s="2" t="str">
        <x:v>방법론 신청</x:v>
      </x:c>
      <x:c r="C70" s="2" t="str">
        <x:v>공통</x:v>
      </x:c>
      <x:c r="D70" s="7" t="str">
        <x:v>재생에너지를 이용한 전력 생산과 생산된 전력의 자가 사용 및 사용 후 잉여 전력에 대한 전력계통과의 상계 또는 연계 사업의 방법론</x:v>
      </x:c>
      <x:c r="E70" s="2" t="str">
        <x:v>64</x:v>
      </x:c>
      <x:c r="F70" s="2" t="str">
        <x:v>2023-03-17</x:v>
      </x:c>
      <x:c r="G70" s="2" t="str">
        <x:v>2023</x:v>
      </x:c>
      <x:c r="H70" s="2" t="str">
        <x:v>03</x:v>
      </x:c>
      <x:c r="I70" s="2" t="str">
        <x:v>검토반려</x:v>
      </x:c>
      <x:c r="J70" s="2" t="str">
        <x:v>반려</x:v>
      </x:c>
      <x:c r="K70" s="2" t="str">
        <x:f>IF(OR(J70="심의승인",J70="반려",J70="반려완료",J70="심의완료"),"종결 표시",IF(OR(J70="기후부협의",J70="문서재제출요청",J70="보류",J70="보완요청",J70="보완완료",J70="평가중",J70="반려요청",J70="평가필요",LEFT(J70,5)="보완요청("),"미종결 표시","상태 확인 필요"))</x:f>
        <x:v>종결 표시</x:v>
      </x:c>
      <x:c r="L70" s="2"/>
      <x:c r="M70" s="2"/>
      <x:c r="N70" s="8" t="n">
        <x:f>DATE(2026,10,15)-DATE(2023,3,17)</x:f>
        <x:v>1308</x:v>
      </x:c>
      <x:c r="O70" s="2"/>
      <x:c r="P70" s="2"/>
      <x:c r="Q70" s="2" t="str">
        <x:v>산업전환_외부사업관리Tool_260707_이너젠 수정_LJY_261013.xlsx</x:v>
      </x:c>
      <x:c r="R70" s="2" t="str">
        <x:v>방법론</x:v>
      </x:c>
      <x:c r="S70" s="8" t="n">
        <x:v>66</x:v>
      </x:c>
      <x:c r="T70" s="2"/>
      <x:c r="U70" s="2" t="str"/>
      <x:c r="V70" s="2" t="str">
        <x:v>2025-01-08</x:v>
      </x:c>
      <x:c r="W70" s="2" t="str">
        <x:v>담당기관 확인</x:v>
      </x:c>
      <x:c r="X70" s="2" t="str">
        <x:v>원본·배정 기록 확인</x:v>
      </x:c>
      <x:c r="Y70" s="2" t="str">
        <x:v>ad210cd9ec132cfd447541c8984dc53d30aff0f4fb2dc92d254d49275cc55976</x:v>
      </x:c>
      <x:c r="Z70" s="2" t="n">
        <x:f>SUBTOTAL(103,A70)</x:f>
        <x:v>1</x:v>
      </x:c>
      <x:c r="AA70" s="2" t="str">
        <x:f>IF(K70&lt;&gt;"미종결 표시","대상 아님",IF(N70="","신청일 확인",IF(NOT(ISNUMBER('종합 현황'!$H$5)),"관찰기준 확인",IF('종합 현황'!$H$5&lt;1,"관찰기준 확인",IF(N70&gt;'종합 현황'!$H$5,"내부 관찰 대상","내부 관찰일 이하")))))</x:f>
        <x:v>대상 아님</x:v>
      </x:c>
      <x:c r="AB70" s="2" t="str">
        <x:v>2023-03-17 10:00:12 - 방법론신청
2023-03-17 10:00:13 - 관장기관지정 (기후에너지환경부)
2023-03-17 10:03:13 - 관장기관지정 (산업통상부)
2023-06-14 17:59:19 - 문서재제출요청
2023-06-15 17:34:57 - 문서재제출완료
2024-10-10 13:39:59 - 문서재제출요청
2024-10-30 17:17:26 - 문서재제출완료
2025-01-08 10:09:36 - 검토반려
</x:v>
      </x:c>
    </x:row>
    <x:row r="71" ht="42" customHeight="1">
      <x:c r="A71" s="2" t="str">
        <x:v>75917561a9a5b383da595adb</x:v>
      </x:c>
      <x:c r="B71" s="2" t="str">
        <x:v>방법론 신청</x:v>
      </x:c>
      <x:c r="C71" s="2" t="str">
        <x:v>공통</x:v>
      </x:c>
      <x:c r="D71" s="7" t="str">
        <x:v>석탄재 기반 희토류 농축·추출공정에서 미활용 CO2를 활용한 온실가스 감축 사업의 방법론</x:v>
      </x:c>
      <x:c r="E71" s="2" t="str">
        <x:v>65</x:v>
      </x:c>
      <x:c r="F71" s="2" t="str">
        <x:v>2023-03-28</x:v>
      </x:c>
      <x:c r="G71" s="2" t="str">
        <x:v>2023</x:v>
      </x:c>
      <x:c r="H71" s="2" t="str">
        <x:v>03</x:v>
      </x:c>
      <x:c r="I71" s="2" t="str">
        <x:v>보완요청</x:v>
      </x:c>
      <x:c r="J71" s="2" t="str">
        <x:v>보완요청(2차)</x:v>
      </x:c>
      <x:c r="K71" s="2" t="str">
        <x:f>IF(OR(J71="심의승인",J71="반려",J71="반려완료",J71="심의완료"),"종결 표시",IF(OR(J71="기후부협의",J71="문서재제출요청",J71="보류",J71="보완요청",J71="보완완료",J71="평가중",J71="반려요청",J71="평가필요",LEFT(J71,5)="보완요청("),"미종결 표시","상태 확인 필요"))</x:f>
        <x:v>미종결 표시</x:v>
      </x:c>
      <x:c r="L71" s="2"/>
      <x:c r="M71" s="2" t="n">
        <x:v>2</x:v>
      </x:c>
      <x:c r="N71" s="8" t="n">
        <x:f>DATE(2026,10,15)-DATE(2023,3,28)</x:f>
        <x:v>1297</x:v>
      </x:c>
      <x:c r="O71" s="2"/>
      <x:c r="P71" s="2"/>
      <x:c r="Q71" s="2" t="str">
        <x:v>산업전환_외부사업관리Tool_260707_이너젠 수정_LJY_261013.xlsx</x:v>
      </x:c>
      <x:c r="R71" s="2" t="str">
        <x:v>방법론</x:v>
      </x:c>
      <x:c r="S71" s="8" t="n">
        <x:v>67</x:v>
      </x:c>
      <x:c r="T71" s="2"/>
      <x:c r="U71" s="2" t="str"/>
      <x:c r="V71" s="2" t="str">
        <x:v>2023-06-27</x:v>
      </x:c>
      <x:c r="W71" s="2" t="str">
        <x:v>담당기관 확인</x:v>
      </x:c>
      <x:c r="X71" s="2" t="str">
        <x:v>원본·배정 기록 확인</x:v>
      </x:c>
      <x:c r="Y71" s="2" t="str">
        <x:v>ad210cd9ec132cfd447541c8984dc53d30aff0f4fb2dc92d254d49275cc55976</x:v>
      </x:c>
      <x:c r="Z71" s="2" t="n">
        <x:f>SUBTOTAL(103,A71)</x:f>
        <x:v>1</x:v>
      </x:c>
      <x:c r="AA71" s="2" t="str">
        <x:f>IF(K71&lt;&gt;"미종결 표시","대상 아님",IF(N71="","신청일 확인",IF(NOT(ISNUMBER('종합 현황'!$H$5)),"관찰기준 확인",IF('종합 현황'!$H$5&lt;1,"관찰기준 확인",IF(N71&gt;'종합 현황'!$H$5,"내부 관찰 대상","내부 관찰일 이하")))))</x:f>
        <x:v>내부 관찰 대상</x:v>
      </x:c>
      <x:c r="AB71" s="2" t="str">
        <x:v>2023-03-28 13:13:21 - 방법론신청
2023-03-28 13:13:22 - 관장기관지정 (기후에너지환경부)
2023-03-28 13:31:19 - 관장기관지정 (산업통상부)
2023-05-19 18:13:45 - 보완요청
2023-06-07 10:28:25 - 문서보완접수
2023-06-27 17:21:59 - 보완요청
</x:v>
      </x:c>
    </x:row>
    <x:row r="72" ht="42" customHeight="1">
      <x:c r="A72" s="2" t="str">
        <x:v>f656b12d4dcb0b81388a1b9b</x:v>
      </x:c>
      <x:c r="B72" s="2" t="str">
        <x:v>방법론 신청</x:v>
      </x:c>
      <x:c r="C72" s="2" t="str">
        <x:v>공통</x:v>
      </x:c>
      <x:c r="D72" s="7" t="str">
        <x:v>미활용 열에너지 회수 및 이용 사업의 방법론</x:v>
      </x:c>
      <x:c r="E72" s="2" t="str">
        <x:v>66</x:v>
      </x:c>
      <x:c r="F72" s="2" t="str">
        <x:v>2023-03-31</x:v>
      </x:c>
      <x:c r="G72" s="2" t="str">
        <x:v>2023</x:v>
      </x:c>
      <x:c r="H72" s="2" t="str">
        <x:v>03</x:v>
      </x:c>
      <x:c r="I72" s="2" t="str">
        <x:v>검토반려</x:v>
      </x:c>
      <x:c r="J72" s="2" t="str">
        <x:v>반려</x:v>
      </x:c>
      <x:c r="K72" s="2" t="str">
        <x:f>IF(OR(J72="심의승인",J72="반려",J72="반려완료",J72="심의완료"),"종결 표시",IF(OR(J72="기후부협의",J72="문서재제출요청",J72="보류",J72="보완요청",J72="보완완료",J72="평가중",J72="반려요청",J72="평가필요",LEFT(J72,5)="보완요청("),"미종결 표시","상태 확인 필요"))</x:f>
        <x:v>종결 표시</x:v>
      </x:c>
      <x:c r="L72" s="2"/>
      <x:c r="M72" s="2"/>
      <x:c r="N72" s="8" t="n">
        <x:f>DATE(2026,10,15)-DATE(2023,3,31)</x:f>
        <x:v>1294</x:v>
      </x:c>
      <x:c r="O72" s="2"/>
      <x:c r="P72" s="2"/>
      <x:c r="Q72" s="2" t="str">
        <x:v>산업전환_외부사업관리Tool_260707_이너젠 수정_LJY_261013.xlsx</x:v>
      </x:c>
      <x:c r="R72" s="2" t="str">
        <x:v>방법론</x:v>
      </x:c>
      <x:c r="S72" s="8" t="n">
        <x:v>68</x:v>
      </x:c>
      <x:c r="T72" s="2"/>
      <x:c r="U72" s="2" t="str"/>
      <x:c r="V72" s="2" t="str">
        <x:v>2024-10-07</x:v>
      </x:c>
      <x:c r="W72" s="2" t="str">
        <x:v>담당기관 확인</x:v>
      </x:c>
      <x:c r="X72" s="2" t="str">
        <x:v>원본·배정 기록 확인</x:v>
      </x:c>
      <x:c r="Y72" s="2" t="str">
        <x:v>ad210cd9ec132cfd447541c8984dc53d30aff0f4fb2dc92d254d49275cc55976</x:v>
      </x:c>
      <x:c r="Z72" s="2" t="n">
        <x:f>SUBTOTAL(103,A72)</x:f>
        <x:v>1</x:v>
      </x:c>
      <x:c r="AA72" s="2" t="str">
        <x:f>IF(K72&lt;&gt;"미종결 표시","대상 아님",IF(N72="","신청일 확인",IF(NOT(ISNUMBER('종합 현황'!$H$5)),"관찰기준 확인",IF('종합 현황'!$H$5&lt;1,"관찰기준 확인",IF(N72&gt;'종합 현황'!$H$5,"내부 관찰 대상","내부 관찰일 이하")))))</x:f>
        <x:v>대상 아님</x:v>
      </x:c>
      <x:c r="AB72" s="2" t="str">
        <x:v>2023-03-31 13:24:18 - 방법론신청
2023-03-31 13:24:19 - 관장기관지정 (기후에너지환경부)
2023-04-13 13:41:59 - 관장기관지정 (산업통상부)
2023-06-27 17:07:53 - 보완요청
2024-06-26 18:36:02 - 문서보완접수
2024-10-07 14:36:15 - 검토반려
</x:v>
      </x:c>
    </x:row>
    <x:row r="73" ht="42" customHeight="1">
      <x:c r="A73" s="2" t="str">
        <x:v>217710c1d9a7229951de5945</x:v>
      </x:c>
      <x:c r="B73" s="2" t="str">
        <x:v>방법론 신청</x:v>
      </x:c>
      <x:c r="C73" s="2" t="str">
        <x:v>공통</x:v>
      </x:c>
      <x:c r="D73" s="7" t="str">
        <x:v>미활용 열에너지 회수 및 이용 사업의 방법론</x:v>
      </x:c>
      <x:c r="E73" s="2" t="str">
        <x:v>67</x:v>
      </x:c>
      <x:c r="F73" s="2" t="str">
        <x:v>2023-06-21</x:v>
      </x:c>
      <x:c r="G73" s="2" t="str">
        <x:v>2023</x:v>
      </x:c>
      <x:c r="H73" s="2" t="str">
        <x:v>06</x:v>
      </x:c>
      <x:c r="I73" s="2" t="str">
        <x:v>검토반려</x:v>
      </x:c>
      <x:c r="J73" s="2" t="str">
        <x:v>반려</x:v>
      </x:c>
      <x:c r="K73" s="2" t="str">
        <x:f>IF(OR(J73="심의승인",J73="반려",J73="반려완료",J73="심의완료"),"종결 표시",IF(OR(J73="기후부협의",J73="문서재제출요청",J73="보류",J73="보완요청",J73="보완완료",J73="평가중",J73="반려요청",J73="평가필요",LEFT(J73,5)="보완요청("),"미종결 표시","상태 확인 필요"))</x:f>
        <x:v>종결 표시</x:v>
      </x:c>
      <x:c r="L73" s="2"/>
      <x:c r="M73" s="2"/>
      <x:c r="N73" s="8" t="n">
        <x:f>DATE(2026,10,15)-DATE(2023,6,21)</x:f>
        <x:v>1212</x:v>
      </x:c>
      <x:c r="O73" s="2"/>
      <x:c r="P73" s="2"/>
      <x:c r="Q73" s="2" t="str">
        <x:v>산업전환_외부사업관리Tool_260707_이너젠 수정_LJY_261013.xlsx</x:v>
      </x:c>
      <x:c r="R73" s="2" t="str">
        <x:v>방법론</x:v>
      </x:c>
      <x:c r="S73" s="8" t="n">
        <x:v>69</x:v>
      </x:c>
      <x:c r="T73" s="2"/>
      <x:c r="U73" s="2" t="str"/>
      <x:c r="V73" s="2" t="str">
        <x:v>2024-10-07</x:v>
      </x:c>
      <x:c r="W73" s="2" t="str">
        <x:v>담당기관 확인</x:v>
      </x:c>
      <x:c r="X73" s="2" t="str">
        <x:v>원본·배정 기록 확인</x:v>
      </x:c>
      <x:c r="Y73" s="2" t="str">
        <x:v>ad210cd9ec132cfd447541c8984dc53d30aff0f4fb2dc92d254d49275cc55976</x:v>
      </x:c>
      <x:c r="Z73" s="2" t="n">
        <x:f>SUBTOTAL(103,A73)</x:f>
        <x:v>1</x:v>
      </x:c>
      <x:c r="AA73" s="2" t="str">
        <x:f>IF(K73&lt;&gt;"미종결 표시","대상 아님",IF(N73="","신청일 확인",IF(NOT(ISNUMBER('종합 현황'!$H$5)),"관찰기준 확인",IF('종합 현황'!$H$5&lt;1,"관찰기준 확인",IF(N73&gt;'종합 현황'!$H$5,"내부 관찰 대상","내부 관찰일 이하")))))</x:f>
        <x:v>대상 아님</x:v>
      </x:c>
      <x:c r="AB73" s="2" t="str">
        <x:v>2023-06-21 13:11:47 - 방법론신청
2023-06-21 13:11:48 - 관장기관지정 (기후에너지환경부)
2023-06-21 13:57:03 - 관장기관지정 (산업통상부)
2023-09-11 17:43:59 - 보완요청
2024-07-10 11:12:53 - 문서보완접수
2024-10-07 14:33:40 - 검토반려
</x:v>
      </x:c>
    </x:row>
    <x:row r="74" ht="42" customHeight="1">
      <x:c r="A74" s="2" t="str">
        <x:v>2c2430d2d5fa25fbdffe3136</x:v>
      </x:c>
      <x:c r="B74" s="2" t="str">
        <x:v>방법론 신청</x:v>
      </x:c>
      <x:c r="C74" s="2" t="str">
        <x:v>공통</x:v>
      </x:c>
      <x:c r="D74" s="7" t="str">
        <x:v>섬유염색공정에서 증기 전용 텐터기 도입과 텐터기 전용 열 공급을 통한 수용가의 화석연료 사용량 절감사업의 방법론</x:v>
      </x:c>
      <x:c r="E74" s="2" t="str">
        <x:v>68</x:v>
      </x:c>
      <x:c r="F74" s="2" t="str">
        <x:v>2023-08-01</x:v>
      </x:c>
      <x:c r="G74" s="2" t="str">
        <x:v>2023</x:v>
      </x:c>
      <x:c r="H74" s="2" t="str">
        <x:v>08</x:v>
      </x:c>
      <x:c r="I74" s="2" t="str">
        <x:v>심의승인</x:v>
      </x:c>
      <x:c r="J74" s="2" t="str">
        <x:v>심의승인</x:v>
      </x:c>
      <x:c r="K74" s="2" t="str">
        <x:f>IF(OR(J74="심의승인",J74="반려",J74="반려완료",J74="심의완료"),"종결 표시",IF(OR(J74="기후부협의",J74="문서재제출요청",J74="보류",J74="보완요청",J74="보완완료",J74="평가중",J74="반려요청",J74="평가필요",LEFT(J74,5)="보완요청("),"미종결 표시","상태 확인 필요"))</x:f>
        <x:v>종결 표시</x:v>
      </x:c>
      <x:c r="L74" s="2"/>
      <x:c r="M74" s="2"/>
      <x:c r="N74" s="8" t="n">
        <x:f>DATE(2026,10,15)-DATE(2023,8,1)</x:f>
        <x:v>1171</x:v>
      </x:c>
      <x:c r="O74" s="2"/>
      <x:c r="P74" s="2"/>
      <x:c r="Q74" s="2" t="str">
        <x:v>산업전환_외부사업관리Tool_260707_이너젠 수정_LJY_261013.xlsx</x:v>
      </x:c>
      <x:c r="R74" s="2" t="str">
        <x:v>방법론</x:v>
      </x:c>
      <x:c r="S74" s="8" t="n">
        <x:v>70</x:v>
      </x:c>
      <x:c r="T74" s="2"/>
      <x:c r="U74" s="2" t="str"/>
      <x:c r="V74" s="2" t="str">
        <x:v>2025-09-08</x:v>
      </x:c>
      <x:c r="W74" s="2" t="str">
        <x:v>담당기관 확인</x:v>
      </x:c>
      <x:c r="X74" s="2" t="str">
        <x:v>원본·배정 기록 확인</x:v>
      </x:c>
      <x:c r="Y74" s="2" t="str">
        <x:v>ad210cd9ec132cfd447541c8984dc53d30aff0f4fb2dc92d254d49275cc55976</x:v>
      </x:c>
      <x:c r="Z74" s="2" t="n">
        <x:f>SUBTOTAL(103,A74)</x:f>
        <x:v>1</x:v>
      </x:c>
      <x:c r="AA74" s="2" t="str">
        <x:f>IF(K74&lt;&gt;"미종결 표시","대상 아님",IF(N74="","신청일 확인",IF(NOT(ISNUMBER('종합 현황'!$H$5)),"관찰기준 확인",IF('종합 현황'!$H$5&lt;1,"관찰기준 확인",IF(N74&gt;'종합 현황'!$H$5,"내부 관찰 대상","내부 관찰일 이하")))))</x:f>
        <x:v>대상 아님</x:v>
      </x:c>
      <x:c r="AB74" s="2" t="str">
        <x:v>2023-08-01 15:22:35 - 방법론신청
2023-08-01 15:22:36 - 관장기관지정 (기후에너지환경부)
2023-08-01 16:21:44 - 관장기관지정 (산업통상부)
2023-10-27 16:06:13 - 보완요청
2023-12-01 10:12:58 - 문서보완접수
2024-06-19 15:34:22 - 보완요청
2024-08-28 13:39:41 - 문서보완접수
2025-02-26 13:42:09 - 보완요청
2025-03-11 17:08:32 - 문서보완접수
2025-04-07 17:12:30 - 협의검토중 (협의 요청일 : 2025-04-04)
2025-04-07 17:13:13 - 검토승인
2025-05-21 11:09:16 - 협의통보 (협의 통보일 : 2025-05-19)
2025-05-29 16:00:58 - 문서보완접수
2025-09-08 10:25:57 - 검토승인
2025-09-08 10:26:20 - 심의승인
</x:v>
      </x:c>
    </x:row>
    <x:row r="75" ht="42" customHeight="1">
      <x:c r="A75" s="2" t="str">
        <x:v>a412ff410c58f26c4eb597de</x:v>
      </x:c>
      <x:c r="B75" s="2" t="str">
        <x:v>방법론 신청</x:v>
      </x:c>
      <x:c r="C75" s="2" t="str">
        <x:v>공통</x:v>
      </x:c>
      <x:c r="D75" s="7" t="str">
        <x:v>공동 통신망 기술 적용에 따른 온실가스 감축사업의 방법론</x:v>
      </x:c>
      <x:c r="E75" s="2" t="str">
        <x:v>69</x:v>
      </x:c>
      <x:c r="F75" s="2" t="str">
        <x:v>2023-06-29</x:v>
      </x:c>
      <x:c r="G75" s="2" t="str">
        <x:v>2023</x:v>
      </x:c>
      <x:c r="H75" s="2" t="str">
        <x:v>06</x:v>
      </x:c>
      <x:c r="I75" s="2" t="str">
        <x:v>심의승인</x:v>
      </x:c>
      <x:c r="J75" s="2" t="str">
        <x:v>심의승인</x:v>
      </x:c>
      <x:c r="K75" s="2" t="str">
        <x:f>IF(OR(J75="심의승인",J75="반려",J75="반려완료",J75="심의완료"),"종결 표시",IF(OR(J75="기후부협의",J75="문서재제출요청",J75="보류",J75="보완요청",J75="보완완료",J75="평가중",J75="반려요청",J75="평가필요",LEFT(J75,5)="보완요청("),"미종결 표시","상태 확인 필요"))</x:f>
        <x:v>종결 표시</x:v>
      </x:c>
      <x:c r="L75" s="2" t="str">
        <x:v>한다솔</x:v>
      </x:c>
      <x:c r="M75" s="2"/>
      <x:c r="N75" s="8" t="n">
        <x:f>DATE(2026,10,15)-DATE(2023,6,29)</x:f>
        <x:v>1204</x:v>
      </x:c>
      <x:c r="O75" s="2"/>
      <x:c r="P75" s="2"/>
      <x:c r="Q75" s="2" t="str">
        <x:v>산업전환_외부사업관리Tool_260707_이너젠 수정_LJY_261013.xlsx</x:v>
      </x:c>
      <x:c r="R75" s="2" t="str">
        <x:v>방법론</x:v>
      </x:c>
      <x:c r="S75" s="8" t="n">
        <x:v>71</x:v>
      </x:c>
      <x:c r="T75" s="2"/>
      <x:c r="U75" s="2" t="str"/>
      <x:c r="V75" s="2" t="str">
        <x:v>2025-03-13</x:v>
      </x:c>
      <x:c r="W75" s="2" t="str"/>
      <x:c r="X75" s="2" t="str">
        <x:v>종결 근거 보관</x:v>
      </x:c>
      <x:c r="Y75" s="2" t="str">
        <x:v>ad210cd9ec132cfd447541c8984dc53d30aff0f4fb2dc92d254d49275cc55976</x:v>
      </x:c>
      <x:c r="Z75" s="2" t="n">
        <x:f>SUBTOTAL(103,A75)</x:f>
        <x:v>1</x:v>
      </x:c>
      <x:c r="AA75" s="2" t="str">
        <x:f>IF(K75&lt;&gt;"미종결 표시","대상 아님",IF(N75="","신청일 확인",IF(NOT(ISNUMBER('종합 현황'!$H$5)),"관찰기준 확인",IF('종합 현황'!$H$5&lt;1,"관찰기준 확인",IF(N75&gt;'종합 현황'!$H$5,"내부 관찰 대상","내부 관찰일 이하")))))</x:f>
        <x:v>대상 아님</x:v>
      </x:c>
      <x:c r="AB75" s="2" t="str">
        <x:v>2023-06-29 15:23:35 - 방법론신청
2023-06-29 15:23:36 - 관장기관지정 (기후에너지환경부)
2023-06-29 15:54:55 - 관장기관지정 (국토교통부)
2023-08-18 09:22:01 - 관장기관지정 (산업통상부)
2023-09-22 14:39:25 - 보완요청
2023-12-08 14:35:46 - 문서보완접수
2024-06-19 15:35:55 - 보완요청
2024-07-19 13:22:25 - 문서보완접수
2024-08-26 11:24:43 - 검토승인
2024-09-06 16:32:05 - 협의검토중 (협의 요청일 : 2024-09-05)
2024-10-23 17:00:21 - 협의통보 (협의 통보일 : 2024-10-23)
2024-10-28 15:38:57 - 문서보완접수
2025-03-13 15:31:34 - 검토승인
2025-03-13 15:33:16 - 심의승인
</x:v>
      </x:c>
    </x:row>
    <x:row r="76" ht="42" customHeight="1">
      <x:c r="A76" s="2" t="str">
        <x:v>416fa7ef004f5b0d815a1159</x:v>
      </x:c>
      <x:c r="B76" s="2" t="str">
        <x:v>방법론 신청</x:v>
      </x:c>
      <x:c r="C76" s="2" t="str">
        <x:v>공통</x:v>
      </x:c>
      <x:c r="D76" s="7" t="str">
        <x:v>바이오가스를 활용한 수소 및 이산화탄소 이용 사업의 방법론</x:v>
      </x:c>
      <x:c r="E76" s="2" t="str">
        <x:v>70</x:v>
      </x:c>
      <x:c r="F76" s="2" t="str">
        <x:v>2023-08-23</x:v>
      </x:c>
      <x:c r="G76" s="2" t="str">
        <x:v>2023</x:v>
      </x:c>
      <x:c r="H76" s="2" t="str">
        <x:v>08</x:v>
      </x:c>
      <x:c r="I76" s="2" t="str">
        <x:v>보완요청</x:v>
      </x:c>
      <x:c r="J76" s="2" t="str">
        <x:v>보완요청(2차)</x:v>
      </x:c>
      <x:c r="K76" s="2" t="str">
        <x:f>IF(OR(J76="심의승인",J76="반려",J76="반려완료",J76="심의완료"),"종결 표시",IF(OR(J76="기후부협의",J76="문서재제출요청",J76="보류",J76="보완요청",J76="보완완료",J76="평가중",J76="반려요청",J76="평가필요",LEFT(J76,5)="보완요청("),"미종결 표시","상태 확인 필요"))</x:f>
        <x:v>미종결 표시</x:v>
      </x:c>
      <x:c r="L76" s="2"/>
      <x:c r="M76" s="2" t="n">
        <x:v>2</x:v>
      </x:c>
      <x:c r="N76" s="8" t="n">
        <x:f>DATE(2026,10,15)-DATE(2023,8,23)</x:f>
        <x:v>1149</x:v>
      </x:c>
      <x:c r="O76" s="2"/>
      <x:c r="P76" s="2"/>
      <x:c r="Q76" s="2" t="str">
        <x:v>산업전환_외부사업관리Tool_260707_이너젠 수정_LJY_261013.xlsx</x:v>
      </x:c>
      <x:c r="R76" s="2" t="str">
        <x:v>방법론</x:v>
      </x:c>
      <x:c r="S76" s="8" t="n">
        <x:v>72</x:v>
      </x:c>
      <x:c r="T76" s="2"/>
      <x:c r="U76" s="2" t="str"/>
      <x:c r="V76" s="2" t="str">
        <x:v>2024-06-19</x:v>
      </x:c>
      <x:c r="W76" s="2" t="str">
        <x:v>담당기관 확인</x:v>
      </x:c>
      <x:c r="X76" s="2" t="str">
        <x:v>원본·배정 기록 확인</x:v>
      </x:c>
      <x:c r="Y76" s="2" t="str">
        <x:v>ad210cd9ec132cfd447541c8984dc53d30aff0f4fb2dc92d254d49275cc55976</x:v>
      </x:c>
      <x:c r="Z76" s="2" t="n">
        <x:f>SUBTOTAL(103,A76)</x:f>
        <x:v>1</x:v>
      </x:c>
      <x:c r="AA76" s="2" t="str">
        <x:f>IF(K76&lt;&gt;"미종결 표시","대상 아님",IF(N76="","신청일 확인",IF(NOT(ISNUMBER('종합 현황'!$H$5)),"관찰기준 확인",IF('종합 현황'!$H$5&lt;1,"관찰기준 확인",IF(N76&gt;'종합 현황'!$H$5,"내부 관찰 대상","내부 관찰일 이하")))))</x:f>
        <x:v>내부 관찰 대상</x:v>
      </x:c>
      <x:c r="AB76" s="2" t="str">
        <x:v>2023-08-23 10:30:59 - 방법론신청
2023-08-23 10:31:00 - 관장기관지정 (기후에너지환경부)
2023-08-23 10:41:55 - 관장기관지정 (산업통상부)
2023-10-27 16:10:26 - 보완요청
2024-01-18 17:31:23 - 문서보완접수
2024-06-19 15:23:20 - 보완요청
</x:v>
      </x:c>
    </x:row>
    <x:row r="77" ht="42" customHeight="1">
      <x:c r="A77" s="2" t="str">
        <x:v>66948b99f30ba00f44a2e209</x:v>
      </x:c>
      <x:c r="B77" s="2" t="str">
        <x:v>방법론 신청</x:v>
      </x:c>
      <x:c r="C77" s="2" t="str">
        <x:v>공통</x:v>
      </x:c>
      <x:c r="D77" s="7" t="str">
        <x:v>미활용 LNG 기화 냉열 활용을 통한 전력 및 또는 화석연료 사용 절감 사업의 방법론</x:v>
      </x:c>
      <x:c r="E77" s="2" t="str">
        <x:v>71</x:v>
      </x:c>
      <x:c r="F77" s="2" t="str">
        <x:v>2023-08-30</x:v>
      </x:c>
      <x:c r="G77" s="2" t="str">
        <x:v>2023</x:v>
      </x:c>
      <x:c r="H77" s="2" t="str">
        <x:v>08</x:v>
      </x:c>
      <x:c r="I77" s="2" t="str">
        <x:v>심의승인</x:v>
      </x:c>
      <x:c r="J77" s="2" t="str">
        <x:v>심의승인</x:v>
      </x:c>
      <x:c r="K77" s="2" t="str">
        <x:f>IF(OR(J77="심의승인",J77="반려",J77="반려완료",J77="심의완료"),"종결 표시",IF(OR(J77="기후부협의",J77="문서재제출요청",J77="보류",J77="보완요청",J77="보완완료",J77="평가중",J77="반려요청",J77="평가필요",LEFT(J77,5)="보완요청("),"미종결 표시","상태 확인 필요"))</x:f>
        <x:v>종결 표시</x:v>
      </x:c>
      <x:c r="L77" s="2"/>
      <x:c r="M77" s="2"/>
      <x:c r="N77" s="8" t="n">
        <x:f>DATE(2026,10,15)-DATE(2023,8,30)</x:f>
        <x:v>1142</x:v>
      </x:c>
      <x:c r="O77" s="2"/>
      <x:c r="P77" s="2"/>
      <x:c r="Q77" s="2" t="str">
        <x:v>산업전환_외부사업관리Tool_260707_이너젠 수정_LJY_261013.xlsx</x:v>
      </x:c>
      <x:c r="R77" s="2" t="str">
        <x:v>방법론</x:v>
      </x:c>
      <x:c r="S77" s="8" t="n">
        <x:v>73</x:v>
      </x:c>
      <x:c r="T77" s="2"/>
      <x:c r="U77" s="2" t="str"/>
      <x:c r="V77" s="2" t="str">
        <x:v>2024-03-20</x:v>
      </x:c>
      <x:c r="W77" s="2" t="str">
        <x:v>담당기관 확인</x:v>
      </x:c>
      <x:c r="X77" s="2" t="str">
        <x:v>원본·배정 기록 확인</x:v>
      </x:c>
      <x:c r="Y77" s="2" t="str">
        <x:v>ad210cd9ec132cfd447541c8984dc53d30aff0f4fb2dc92d254d49275cc55976</x:v>
      </x:c>
      <x:c r="Z77" s="2" t="n">
        <x:f>SUBTOTAL(103,A77)</x:f>
        <x:v>1</x:v>
      </x:c>
      <x:c r="AA77" s="2" t="str">
        <x:f>IF(K77&lt;&gt;"미종결 표시","대상 아님",IF(N77="","신청일 확인",IF(NOT(ISNUMBER('종합 현황'!$H$5)),"관찰기준 확인",IF('종합 현황'!$H$5&lt;1,"관찰기준 확인",IF(N77&gt;'종합 현황'!$H$5,"내부 관찰 대상","내부 관찰일 이하")))))</x:f>
        <x:v>대상 아님</x:v>
      </x:c>
      <x:c r="AB77" s="2" t="str">
        <x:v>2023-08-30 10:52:08 - 방법론신청
2023-08-30 10:52:09 - 관장기관지정 (기후에너지환경부)
2023-08-30 10:54:39 - 관장기관지정 (산업통상부)
2023-10-27 16:21:49 - 보완요청
2023-11-01 12:03:09 - 문서보완접수
2023-11-30 15:31:08 - 문서재제출요청
2023-11-30 18:00:22 - 문서보완접수
2023-11-30 18:00:22 - 문서재제출완료
2023-12-15 11:20:47 - 검토승인
2023-12-15 11:21:10 - 협의검토중 (협의 요청일 : 2023-12-07)
2024-01-18 18:40:59 - 협의통보 (협의 통보일 : 2024-01-18)
2024-03-20 17:34:11 - 심의승인
</x:v>
      </x:c>
    </x:row>
    <x:row r="78" ht="42" customHeight="1">
      <x:c r="A78" s="2" t="str">
        <x:v>a49833e8644d1f3661013c2a</x:v>
      </x:c>
      <x:c r="B78" s="2" t="str">
        <x:v>방법론 신청</x:v>
      </x:c>
      <x:c r="C78" s="2" t="str">
        <x:v>공통</x:v>
      </x:c>
      <x:c r="D78" s="7" t="str">
        <x:v>탄소저감 콘크리트 생산 및 이용 사업의 방법론</x:v>
      </x:c>
      <x:c r="E78" s="2" t="str">
        <x:v>72</x:v>
      </x:c>
      <x:c r="F78" s="2" t="str">
        <x:v>2023-09-05</x:v>
      </x:c>
      <x:c r="G78" s="2" t="str">
        <x:v>2023</x:v>
      </x:c>
      <x:c r="H78" s="2" t="str">
        <x:v>09</x:v>
      </x:c>
      <x:c r="I78" s="2" t="str">
        <x:v>검토승인</x:v>
      </x:c>
      <x:c r="J78" s="2" t="str">
        <x:v>기후부협의</x:v>
      </x:c>
      <x:c r="K78" s="2" t="str">
        <x:f>IF(OR(J78="심의승인",J78="반려",J78="반려완료",J78="심의완료"),"종결 표시",IF(OR(J78="기후부협의",J78="문서재제출요청",J78="보류",J78="보완요청",J78="보완완료",J78="평가중",J78="반려요청",J78="평가필요",LEFT(J78,5)="보완요청("),"미종결 표시","상태 확인 필요"))</x:f>
        <x:v>미종결 표시</x:v>
      </x:c>
      <x:c r="L78" s="2" t="str">
        <x:v>한다솔</x:v>
      </x:c>
      <x:c r="M78" s="2"/>
      <x:c r="N78" s="8" t="n">
        <x:f>DATE(2026,10,15)-DATE(2023,9,5)</x:f>
        <x:v>1136</x:v>
      </x:c>
      <x:c r="O78" s="2"/>
      <x:c r="P78" s="2"/>
      <x:c r="Q78" s="2" t="str">
        <x:v>산업전환_외부사업관리Tool_260707_이너젠 수정_LJY_261013.xlsx</x:v>
      </x:c>
      <x:c r="R78" s="2" t="str">
        <x:v>방법론</x:v>
      </x:c>
      <x:c r="S78" s="8" t="n">
        <x:v>74</x:v>
      </x:c>
      <x:c r="T78" s="2"/>
      <x:c r="U78" s="2" t="str"/>
      <x:c r="V78" s="2" t="str">
        <x:v>2023-12-15</x:v>
      </x:c>
      <x:c r="W78" s="2" t="str"/>
      <x:c r="X78" s="2" t="str">
        <x:v>검토 진행 일정 확인</x:v>
      </x:c>
      <x:c r="Y78" s="2" t="str">
        <x:v>ad210cd9ec132cfd447541c8984dc53d30aff0f4fb2dc92d254d49275cc55976</x:v>
      </x:c>
      <x:c r="Z78" s="2" t="n">
        <x:f>SUBTOTAL(103,A78)</x:f>
        <x:v>1</x:v>
      </x:c>
      <x:c r="AA78" s="2" t="str">
        <x:f>IF(K78&lt;&gt;"미종결 표시","대상 아님",IF(N78="","신청일 확인",IF(NOT(ISNUMBER('종합 현황'!$H$5)),"관찰기준 확인",IF('종합 현황'!$H$5&lt;1,"관찰기준 확인",IF(N78&gt;'종합 현황'!$H$5,"내부 관찰 대상","내부 관찰일 이하")))))</x:f>
        <x:v>내부 관찰 대상</x:v>
      </x:c>
      <x:c r="AB78" s="2" t="str">
        <x:v>2023-09-05 08:09:52 - 방법론신청
2023-09-05 08:09:53 - 관장기관지정 (기후에너지환경부)
2023-09-05 09:14:05 - 관장기관지정 (산업통상부)
2023-09-06 15:59:44 - 문서재제출요청
2023-09-07 16:20:05 - 문서재제출완료
2023-09-08 16:46:25 - 문서재제출요청
2023-10-06 14:53:13 - 문서재제출완료
2023-10-27 16:24:04 - 보완요청
2023-11-15 10:17:16 - 문서보완접수
2023-11-28 15:01:43 - 문서재제출요청
2023-12-01 16:59:09 - 문서재제출완료
2023-12-01 16:59:09 - 문서보완접수
2023-12-15 11:17:02 - 검토승인
2023-12-15 11:21:10 - 협의검토중 (협의 요청일 : 2023-12-07)
2024-01-18 18:40:59 - 협의통보 (협의 통보일 : 2024-01-18)
</x:v>
      </x:c>
    </x:row>
    <x:row r="79" ht="42" customHeight="1">
      <x:c r="A79" s="2" t="str">
        <x:v>93151405f0ad5fc186f2f198</x:v>
      </x:c>
      <x:c r="B79" s="2" t="str">
        <x:v>방법론 신청</x:v>
      </x:c>
      <x:c r="C79" s="2" t="str">
        <x:v>공통</x:v>
      </x:c>
      <x:c r="D79" s="7" t="str">
        <x:v>태양광에너지를 이용한 전력 생산 및 전기차 충전 사업의 방법론</x:v>
      </x:c>
      <x:c r="E79" s="2" t="str">
        <x:v>73</x:v>
      </x:c>
      <x:c r="F79" s="2" t="str">
        <x:v>2023-11-29</x:v>
      </x:c>
      <x:c r="G79" s="2" t="str">
        <x:v>2023</x:v>
      </x:c>
      <x:c r="H79" s="2" t="str">
        <x:v>11</x:v>
      </x:c>
      <x:c r="I79" s="2" t="str">
        <x:v>보완요청</x:v>
      </x:c>
      <x:c r="J79" s="2" t="str">
        <x:v>보완요청(1차)</x:v>
      </x:c>
      <x:c r="K79" s="2" t="str">
        <x:f>IF(OR(J79="심의승인",J79="반려",J79="반려완료",J79="심의완료"),"종결 표시",IF(OR(J79="기후부협의",J79="문서재제출요청",J79="보류",J79="보완요청",J79="보완완료",J79="평가중",J79="반려요청",J79="평가필요",LEFT(J79,5)="보완요청("),"미종결 표시","상태 확인 필요"))</x:f>
        <x:v>미종결 표시</x:v>
      </x:c>
      <x:c r="L79" s="2"/>
      <x:c r="M79" s="2" t="n">
        <x:v>1</x:v>
      </x:c>
      <x:c r="N79" s="8" t="n">
        <x:f>DATE(2026,10,15)-DATE(2023,11,29)</x:f>
        <x:v>1051</x:v>
      </x:c>
      <x:c r="O79" s="2"/>
      <x:c r="P79" s="2"/>
      <x:c r="Q79" s="2" t="str">
        <x:v>산업전환_외부사업관리Tool_260707_이너젠 수정_LJY_261013.xlsx</x:v>
      </x:c>
      <x:c r="R79" s="2" t="str">
        <x:v>방법론</x:v>
      </x:c>
      <x:c r="S79" s="8" t="n">
        <x:v>75</x:v>
      </x:c>
      <x:c r="T79" s="2"/>
      <x:c r="U79" s="2" t="str"/>
      <x:c r="V79" s="2" t="str">
        <x:v>2024-06-19</x:v>
      </x:c>
      <x:c r="W79" s="2" t="str">
        <x:v>담당기관 확인</x:v>
      </x:c>
      <x:c r="X79" s="2" t="str">
        <x:v>원본·배정 기록 확인</x:v>
      </x:c>
      <x:c r="Y79" s="2" t="str">
        <x:v>ad210cd9ec132cfd447541c8984dc53d30aff0f4fb2dc92d254d49275cc55976</x:v>
      </x:c>
      <x:c r="Z79" s="2" t="n">
        <x:f>SUBTOTAL(103,A79)</x:f>
        <x:v>1</x:v>
      </x:c>
      <x:c r="AA79" s="2" t="str">
        <x:f>IF(K79&lt;&gt;"미종결 표시","대상 아님",IF(N79="","신청일 확인",IF(NOT(ISNUMBER('종합 현황'!$H$5)),"관찰기준 확인",IF('종합 현황'!$H$5&lt;1,"관찰기준 확인",IF(N79&gt;'종합 현황'!$H$5,"내부 관찰 대상","내부 관찰일 이하")))))</x:f>
        <x:v>내부 관찰 대상</x:v>
      </x:c>
      <x:c r="AB79" s="2" t="str">
        <x:v>2023-11-29 14:45:11 - 방법론신청
2023-11-29 14:45:12 - 관장기관지정 (기후에너지환경부)
2023-11-29 14:48:26 - 관장기관지정 (산업통상부)
2024-06-19 15:29:54 - 보완요청
</x:v>
      </x:c>
    </x:row>
    <x:row r="80" ht="42" customHeight="1">
      <x:c r="A80" s="2" t="str">
        <x:v>61ac0584169d0f41db5a65a9</x:v>
      </x:c>
      <x:c r="B80" s="2" t="str">
        <x:v>방법론 신청</x:v>
      </x:c>
      <x:c r="C80" s="2" t="str">
        <x:v>공통</x:v>
      </x:c>
      <x:c r="D80" s="7" t="str">
        <x:v>배전 변압기 전압제어장치 설치사업의 방법론</x:v>
      </x:c>
      <x:c r="E80" s="2" t="str">
        <x:v>74</x:v>
      </x:c>
      <x:c r="F80" s="2" t="str">
        <x:v>2024-02-06</x:v>
      </x:c>
      <x:c r="G80" s="2" t="str">
        <x:v>2024</x:v>
      </x:c>
      <x:c r="H80" s="2" t="str">
        <x:v>02</x:v>
      </x:c>
      <x:c r="I80" s="2" t="str">
        <x:v>심의승인</x:v>
      </x:c>
      <x:c r="J80" s="2" t="str">
        <x:v>심의승인</x:v>
      </x:c>
      <x:c r="K80" s="2" t="str">
        <x:f>IF(OR(J80="심의승인",J80="반려",J80="반려완료",J80="심의완료"),"종결 표시",IF(OR(J80="기후부협의",J80="문서재제출요청",J80="보류",J80="보완요청",J80="보완완료",J80="평가중",J80="반려요청",J80="평가필요",LEFT(J80,5)="보완요청("),"미종결 표시","상태 확인 필요"))</x:f>
        <x:v>종결 표시</x:v>
      </x:c>
      <x:c r="L80" s="2"/>
      <x:c r="M80" s="2"/>
      <x:c r="N80" s="8" t="n">
        <x:f>DATE(2026,10,15)-DATE(2024,2,6)</x:f>
        <x:v>982</x:v>
      </x:c>
      <x:c r="O80" s="2"/>
      <x:c r="P80" s="2"/>
      <x:c r="Q80" s="2" t="str">
        <x:v>산업전환_외부사업관리Tool_260707_이너젠 수정_LJY_261013.xlsx</x:v>
      </x:c>
      <x:c r="R80" s="2" t="str">
        <x:v>방법론</x:v>
      </x:c>
      <x:c r="S80" s="8" t="n">
        <x:v>76</x:v>
      </x:c>
      <x:c r="T80" s="2"/>
      <x:c r="U80" s="2" t="str"/>
      <x:c r="V80" s="2" t="str">
        <x:v>2025-12-08</x:v>
      </x:c>
      <x:c r="W80" s="2" t="str">
        <x:v>담당기관 확인</x:v>
      </x:c>
      <x:c r="X80" s="2" t="str">
        <x:v>원본·배정 기록 확인</x:v>
      </x:c>
      <x:c r="Y80" s="2" t="str">
        <x:v>ad210cd9ec132cfd447541c8984dc53d30aff0f4fb2dc92d254d49275cc55976</x:v>
      </x:c>
      <x:c r="Z80" s="2" t="n">
        <x:f>SUBTOTAL(103,A80)</x:f>
        <x:v>1</x:v>
      </x:c>
      <x:c r="AA80" s="2" t="str">
        <x:f>IF(K80&lt;&gt;"미종결 표시","대상 아님",IF(N80="","신청일 확인",IF(NOT(ISNUMBER('종합 현황'!$H$5)),"관찰기준 확인",IF('종합 현황'!$H$5&lt;1,"관찰기준 확인",IF(N80&gt;'종합 현황'!$H$5,"내부 관찰 대상","내부 관찰일 이하")))))</x:f>
        <x:v>대상 아님</x:v>
      </x:c>
      <x:c r="AB80" s="2" t="str">
        <x:v>2024-02-06 17:00:37 - 방법론신청
2024-02-06 17:00:38 - 관장기관지정 (기후에너지환경부)
2024-02-06 20:31:36 - 관장기관지정 (산업통상부)
2024-06-19 15:27:36 - 보완요청
2024-08-19 13:01:21 - 문서보완접수
2024-12-17 13:20:57 - 보완요청
2025-02-18 14:24:16 - 문서보완접수
2025-04-21 15:32:47 - 보완요청
2025-07-31 08:51:24 - 문서보완접수
2025-07-31 09:22:35 - 문서재제출요청
2025-07-31 09:24:37 - 문서재제출완료
2025-09-03 14:35:24 - 문서재제출요청
2025-09-04 08:43:10 - 문서재제출완료
2025-09-23 13:05:11 - 검토승인
2025-12-08 17:43:26 - 심의승인
</x:v>
      </x:c>
    </x:row>
    <x:row r="81" ht="42" customHeight="1">
      <x:c r="A81" s="2" t="str">
        <x:v>42a1ad7b883be1e9d7ee3345</x:v>
      </x:c>
      <x:c r="B81" s="2" t="str">
        <x:v>방법론 신청</x:v>
      </x:c>
      <x:c r="C81" s="2" t="str">
        <x:v>공통</x:v>
      </x:c>
      <x:c r="D81" s="7" t="str">
        <x:v>전력망 내 전기설비 폐기 시 발생되는 육불화황(SF6)의 회수 및 수소 활용 열분해를 통한 온실가스 감축사업의 방법론</x:v>
      </x:c>
      <x:c r="E81" s="2" t="str">
        <x:v>75</x:v>
      </x:c>
      <x:c r="F81" s="2" t="str">
        <x:v>2024-05-07</x:v>
      </x:c>
      <x:c r="G81" s="2" t="str">
        <x:v>2024</x:v>
      </x:c>
      <x:c r="H81" s="2" t="str">
        <x:v>05</x:v>
      </x:c>
      <x:c r="I81" s="2" t="str">
        <x:v>검토승인</x:v>
      </x:c>
      <x:c r="J81" s="2" t="str">
        <x:v>기후부협의</x:v>
      </x:c>
      <x:c r="K81" s="2" t="str">
        <x:f>IF(OR(J81="심의승인",J81="반려",J81="반려완료",J81="심의완료"),"종결 표시",IF(OR(J81="기후부협의",J81="문서재제출요청",J81="보류",J81="보완요청",J81="보완완료",J81="평가중",J81="반려요청",J81="평가필요",LEFT(J81,5)="보완요청("),"미종결 표시","상태 확인 필요"))</x:f>
        <x:v>미종결 표시</x:v>
      </x:c>
      <x:c r="L81" s="2"/>
      <x:c r="M81" s="2"/>
      <x:c r="N81" s="8" t="n">
        <x:f>DATE(2026,10,15)-DATE(2024,5,7)</x:f>
        <x:v>891</x:v>
      </x:c>
      <x:c r="O81" s="2"/>
      <x:c r="P81" s="2"/>
      <x:c r="Q81" s="2" t="str">
        <x:v>산업전환_외부사업관리Tool_260707_이너젠 수정_LJY_261013.xlsx</x:v>
      </x:c>
      <x:c r="R81" s="2" t="str">
        <x:v>방법론</x:v>
      </x:c>
      <x:c r="S81" s="8" t="n">
        <x:v>77</x:v>
      </x:c>
      <x:c r="T81" s="2"/>
      <x:c r="U81" s="2" t="str"/>
      <x:c r="V81" s="2" t="str">
        <x:v>2026-06-10</x:v>
      </x:c>
      <x:c r="W81" s="2" t="str">
        <x:v>담당기관 확인</x:v>
      </x:c>
      <x:c r="X81" s="2" t="str">
        <x:v>원본·배정 기록 확인</x:v>
      </x:c>
      <x:c r="Y81" s="2" t="str">
        <x:v>ad210cd9ec132cfd447541c8984dc53d30aff0f4fb2dc92d254d49275cc55976</x:v>
      </x:c>
      <x:c r="Z81" s="2" t="n">
        <x:f>SUBTOTAL(103,A81)</x:f>
        <x:v>1</x:v>
      </x:c>
      <x:c r="AA81" s="2" t="str">
        <x:f>IF(K81&lt;&gt;"미종결 표시","대상 아님",IF(N81="","신청일 확인",IF(NOT(ISNUMBER('종합 현황'!$H$5)),"관찰기준 확인",IF('종합 현황'!$H$5&lt;1,"관찰기준 확인",IF(N81&gt;'종합 현황'!$H$5,"내부 관찰 대상","내부 관찰일 이하")))))</x:f>
        <x:v>내부 관찰 대상</x:v>
      </x:c>
      <x:c r="AB81" s="2" t="str">
        <x:v>2024-05-07 15:15:53 - 방법론신청
2024-05-07 15:15:54 - 관장기관지정 (기후에너지환경부)
2024-05-15 22:05:08 - 관장기관지정 (산업통상부)
2024-06-19 15:04:26 - 보완요청
2024-08-30 18:03:19 - 문서보완접수
2025-03-17 15:16:04 - 보완요청
2025-04-25 08:15:34 - 문서보완접수
2025-04-25 09:11:54 - 문서재제출요청
2025-04-25 10:11:03 - 문서재제출완료
2025-07-14 13:27:05 - 보완요청
2025-10-17 15:15:12 - 문서보완접수
2025-11-24 15:12:18 - 문서재제출요청
2026-01-26 15:51:42 - 문서재제출완료
2026-04-01 13:02:55 - 문서재제출요청
2026-04-08 16:10:14 - 문서재제출완료
2026-05-22 09:47:13 - 문서재제출요청
2026-05-27 15:34:51 - 문서재제출완료
2026-05-28 10:28:24 - 문서재제출요청
2026-05-28 16:33:09 - 문서재제출완료
2026-06-10 14:13:59 - 검토승인
2026-06-10 16:49:53 - 협의검토중 (협의 요청일 : 2026-06-09)
</x:v>
      </x:c>
    </x:row>
    <x:row r="82" ht="42" customHeight="1">
      <x:c r="A82" s="2" t="str">
        <x:v>81c8cd55cf1c782671bcf6d4</x:v>
      </x:c>
      <x:c r="B82" s="2" t="str">
        <x:v>방법론 신청</x:v>
      </x:c>
      <x:c r="C82" s="2" t="str">
        <x:v>공통</x:v>
      </x:c>
      <x:c r="D82" s="7" t="str">
        <x:v>가축분뇨 고체연료를 활용한 열/전력 생산 및 이용 사업의 방법론</x:v>
      </x:c>
      <x:c r="E82" s="2" t="str">
        <x:v>76</x:v>
      </x:c>
      <x:c r="F82" s="2" t="str">
        <x:v>2024-08-21</x:v>
      </x:c>
      <x:c r="G82" s="2" t="str">
        <x:v>2024</x:v>
      </x:c>
      <x:c r="H82" s="2" t="str">
        <x:v>08</x:v>
      </x:c>
      <x:c r="I82" s="2" t="str">
        <x:v>심의승인</x:v>
      </x:c>
      <x:c r="J82" s="2" t="str">
        <x:v>심의승인</x:v>
      </x:c>
      <x:c r="K82" s="2" t="str">
        <x:f>IF(OR(J82="심의승인",J82="반려",J82="반려완료",J82="심의완료"),"종결 표시",IF(OR(J82="기후부협의",J82="문서재제출요청",J82="보류",J82="보완요청",J82="보완완료",J82="평가중",J82="반려요청",J82="평가필요",LEFT(J82,5)="보완요청("),"미종결 표시","상태 확인 필요"))</x:f>
        <x:v>종결 표시</x:v>
      </x:c>
      <x:c r="L82" s="2"/>
      <x:c r="M82" s="2"/>
      <x:c r="N82" s="8" t="n">
        <x:f>DATE(2026,10,15)-DATE(2024,8,21)</x:f>
        <x:v>785</x:v>
      </x:c>
      <x:c r="O82" s="2"/>
      <x:c r="P82" s="2"/>
      <x:c r="Q82" s="2" t="str">
        <x:v>산업전환_외부사업관리Tool_260707_이너젠 수정_LJY_261013.xlsx</x:v>
      </x:c>
      <x:c r="R82" s="2" t="str">
        <x:v>방법론</x:v>
      </x:c>
      <x:c r="S82" s="8" t="n">
        <x:v>78</x:v>
      </x:c>
      <x:c r="T82" s="2"/>
      <x:c r="U82" s="2" t="str"/>
      <x:c r="V82" s="2" t="str">
        <x:v>2025-09-08</x:v>
      </x:c>
      <x:c r="W82" s="2" t="str">
        <x:v>담당기관 확인</x:v>
      </x:c>
      <x:c r="X82" s="2" t="str">
        <x:v>원본·배정 기록 확인</x:v>
      </x:c>
      <x:c r="Y82" s="2" t="str">
        <x:v>ad210cd9ec132cfd447541c8984dc53d30aff0f4fb2dc92d254d49275cc55976</x:v>
      </x:c>
      <x:c r="Z82" s="2" t="n">
        <x:f>SUBTOTAL(103,A82)</x:f>
        <x:v>1</x:v>
      </x:c>
      <x:c r="AA82" s="2" t="str">
        <x:f>IF(K82&lt;&gt;"미종결 표시","대상 아님",IF(N82="","신청일 확인",IF(NOT(ISNUMBER('종합 현황'!$H$5)),"관찰기준 확인",IF('종합 현황'!$H$5&lt;1,"관찰기준 확인",IF(N82&gt;'종합 현황'!$H$5,"내부 관찰 대상","내부 관찰일 이하")))))</x:f>
        <x:v>대상 아님</x:v>
      </x:c>
      <x:c r="AB82" s="2" t="str">
        <x:v>2024-08-21 14:20:55 - 방법론신청
2024-08-21 14:20:57 - 관장기관지정 (기후에너지환경부)
2024-08-23 09:47:51 - 관장기관지정 (농림축산식품부)
2024-08-28 13:24:31 - 관장기관지정 (산업통상부)
2024-10-08 16:24:37 - 보완요청
2024-11-06 08:49:19 - 문서보완접수
2024-12-17 13:19:11 - 보완요청
2025-02-21 14:04:59 - 문서보완접수
2025-03-07 18:00:20 - 보완요청
2025-03-07 19:22:31 - 문서보완접수
2025-04-04 10:29:05 - 협의검토중 (협의 요청일 : 2025-03-18)
2025-04-04 10:29:14 - 검토승인
2025-04-29 08:50:34 - 협의통보 (협의 통보일 : 2025-04-28)
2025-09-08 08:53:12 - 심의승인
</x:v>
      </x:c>
    </x:row>
    <x:row r="83" ht="42" customHeight="1">
      <x:c r="A83" s="2" t="str">
        <x:v>f290fe91a2328cc58b9d8e42</x:v>
      </x:c>
      <x:c r="B83" s="2" t="str">
        <x:v>방법론 신청</x:v>
      </x:c>
      <x:c r="C83" s="2" t="str">
        <x:v>공통</x:v>
      </x:c>
      <x:c r="D83" s="7" t="str">
        <x:v>광물 유래 분말형 석회 대체를 위한 부산석고 유래 분말형 석회 원료생산 방법론</x:v>
      </x:c>
      <x:c r="E83" s="2" t="str">
        <x:v>77</x:v>
      </x:c>
      <x:c r="F83" s="2" t="str">
        <x:v>2024-09-19</x:v>
      </x:c>
      <x:c r="G83" s="2" t="str">
        <x:v>2024</x:v>
      </x:c>
      <x:c r="H83" s="2" t="str">
        <x:v>09</x:v>
      </x:c>
      <x:c r="I83" s="2" t="str">
        <x:v>보완요청</x:v>
      </x:c>
      <x:c r="J83" s="2" t="str">
        <x:v>보완요청(1차)</x:v>
      </x:c>
      <x:c r="K83" s="2" t="str">
        <x:f>IF(OR(J83="심의승인",J83="반려",J83="반려완료",J83="심의완료"),"종결 표시",IF(OR(J83="기후부협의",J83="문서재제출요청",J83="보류",J83="보완요청",J83="보완완료",J83="평가중",J83="반려요청",J83="평가필요",LEFT(J83,5)="보완요청("),"미종결 표시","상태 확인 필요"))</x:f>
        <x:v>미종결 표시</x:v>
      </x:c>
      <x:c r="L83" s="2"/>
      <x:c r="M83" s="2" t="n">
        <x:v>1</x:v>
      </x:c>
      <x:c r="N83" s="8" t="n">
        <x:f>DATE(2026,10,15)-DATE(2024,9,19)</x:f>
        <x:v>756</x:v>
      </x:c>
      <x:c r="O83" s="2"/>
      <x:c r="P83" s="2"/>
      <x:c r="Q83" s="2" t="str">
        <x:v>산업전환_외부사업관리Tool_260707_이너젠 수정_LJY_261013.xlsx</x:v>
      </x:c>
      <x:c r="R83" s="2" t="str">
        <x:v>방법론</x:v>
      </x:c>
      <x:c r="S83" s="8" t="n">
        <x:v>79</x:v>
      </x:c>
      <x:c r="T83" s="2"/>
      <x:c r="U83" s="2" t="str"/>
      <x:c r="V83" s="2" t="str">
        <x:v>2024-12-17</x:v>
      </x:c>
      <x:c r="W83" s="2" t="str">
        <x:v>담당기관 확인</x:v>
      </x:c>
      <x:c r="X83" s="2" t="str">
        <x:v>원본·배정 기록 확인</x:v>
      </x:c>
      <x:c r="Y83" s="2" t="str">
        <x:v>ad210cd9ec132cfd447541c8984dc53d30aff0f4fb2dc92d254d49275cc55976</x:v>
      </x:c>
      <x:c r="Z83" s="2" t="n">
        <x:f>SUBTOTAL(103,A83)</x:f>
        <x:v>1</x:v>
      </x:c>
      <x:c r="AA83" s="2" t="str">
        <x:f>IF(K83&lt;&gt;"미종결 표시","대상 아님",IF(N83="","신청일 확인",IF(NOT(ISNUMBER('종합 현황'!$H$5)),"관찰기준 확인",IF('종합 현황'!$H$5&lt;1,"관찰기준 확인",IF(N83&gt;'종합 현황'!$H$5,"내부 관찰 대상","내부 관찰일 이하")))))</x:f>
        <x:v>내부 관찰 대상</x:v>
      </x:c>
      <x:c r="AB83" s="2" t="str">
        <x:v>2024-09-19 16:48:47 - 방법론신청
2024-09-19 16:48:48 - 관장기관지정 (기후에너지환경부)
2024-09-23 17:11:34 - 관장기관지정 (산업통상부)
2024-09-25 16:19:10 - 문서재제출요청
2024-09-25 16:38:33 - 문서재제출완료
2024-12-17 13:20:18 - 보완요청
</x:v>
      </x:c>
    </x:row>
    <x:row r="84" ht="42" customHeight="1">
      <x:c r="A84" s="2" t="str">
        <x:v>4806368bf8963c5857cd1765</x:v>
      </x:c>
      <x:c r="B84" s="2" t="str">
        <x:v>방법론 신청</x:v>
      </x:c>
      <x:c r="C84" s="2" t="str">
        <x:v>공통</x:v>
      </x:c>
      <x:c r="D84" s="7" t="str">
        <x:v>바이오가스에서 추출된 메탄을 활용한 수소 생산원료 전환사업의 방법론</x:v>
      </x:c>
      <x:c r="E84" s="2" t="str">
        <x:v>78</x:v>
      </x:c>
      <x:c r="F84" s="2" t="str">
        <x:v>2024-10-25</x:v>
      </x:c>
      <x:c r="G84" s="2" t="str">
        <x:v>2024</x:v>
      </x:c>
      <x:c r="H84" s="2" t="str">
        <x:v>10</x:v>
      </x:c>
      <x:c r="I84" s="2" t="str">
        <x:v>보완요청</x:v>
      </x:c>
      <x:c r="J84" s="2" t="str">
        <x:v>보완요청(3차)</x:v>
      </x:c>
      <x:c r="K84" s="2" t="str">
        <x:f>IF(OR(J84="심의승인",J84="반려",J84="반려완료",J84="심의완료"),"종결 표시",IF(OR(J84="기후부협의",J84="문서재제출요청",J84="보류",J84="보완요청",J84="보완완료",J84="평가중",J84="반려요청",J84="평가필요",LEFT(J84,5)="보완요청("),"미종결 표시","상태 확인 필요"))</x:f>
        <x:v>미종결 표시</x:v>
      </x:c>
      <x:c r="L84" s="2"/>
      <x:c r="M84" s="2" t="n">
        <x:v>3</x:v>
      </x:c>
      <x:c r="N84" s="8" t="n">
        <x:f>DATE(2026,10,15)-DATE(2024,10,25)</x:f>
        <x:v>720</x:v>
      </x:c>
      <x:c r="O84" s="2"/>
      <x:c r="P84" s="2"/>
      <x:c r="Q84" s="2" t="str">
        <x:v>산업전환_외부사업관리Tool_260707_이너젠 수정_LJY_261013.xlsx</x:v>
      </x:c>
      <x:c r="R84" s="2" t="str">
        <x:v>방법론</x:v>
      </x:c>
      <x:c r="S84" s="8" t="n">
        <x:v>80</x:v>
      </x:c>
      <x:c r="T84" s="2"/>
      <x:c r="U84" s="2" t="str"/>
      <x:c r="V84" s="2" t="str">
        <x:v>2025-11-17</x:v>
      </x:c>
      <x:c r="W84" s="2" t="str">
        <x:v>담당기관 확인</x:v>
      </x:c>
      <x:c r="X84" s="2" t="str">
        <x:v>원본·배정 기록 확인</x:v>
      </x:c>
      <x:c r="Y84" s="2" t="str">
        <x:v>ad210cd9ec132cfd447541c8984dc53d30aff0f4fb2dc92d254d49275cc55976</x:v>
      </x:c>
      <x:c r="Z84" s="2" t="n">
        <x:f>SUBTOTAL(103,A84)</x:f>
        <x:v>1</x:v>
      </x:c>
      <x:c r="AA84" s="2" t="str">
        <x:f>IF(K84&lt;&gt;"미종결 표시","대상 아님",IF(N84="","신청일 확인",IF(NOT(ISNUMBER('종합 현황'!$H$5)),"관찰기준 확인",IF('종합 현황'!$H$5&lt;1,"관찰기준 확인",IF(N84&gt;'종합 현황'!$H$5,"내부 관찰 대상","내부 관찰일 이하")))))</x:f>
        <x:v>내부 관찰 대상</x:v>
      </x:c>
      <x:c r="AB84" s="2" t="str">
        <x:v>2024-10-25 18:10:12 - 방법론신청
2024-10-25 18:10:13 - 관장기관지정 (기후에너지환경부)
2024-10-29 10:02:29 - 관장기관지정 (산업통상부)
2025-01-07 17:17:42 - 문서재제출요청
2025-01-07 17:30:27 - 문서재제출완료
2025-03-06 18:04:51 - 보완요청
2025-04-16 17:05:14 - 문서보완접수
2025-07-09 13:27:13 - 보완요청
2025-08-25 18:09:44 - 문서보완접수
2025-11-17 11:25:46 - 보완요청
</x:v>
      </x:c>
    </x:row>
    <x:row r="85" ht="42" customHeight="1">
      <x:c r="A85" s="2" t="str">
        <x:v>e6c5a1d6ebf8d57323b1d86b</x:v>
      </x:c>
      <x:c r="B85" s="2" t="str">
        <x:v>방법론 신청</x:v>
      </x:c>
      <x:c r="C85" s="2" t="str">
        <x:v>공통</x:v>
      </x:c>
      <x:c r="D85" s="7" t="str">
        <x:v>이소시아네이트 공장에서 Cl 2 의 생산을 위한 염수 전기분해 공정을 촉매 공정으로의 전환 방법론</x:v>
      </x:c>
      <x:c r="E85" s="2" t="str">
        <x:v>79</x:v>
      </x:c>
      <x:c r="F85" s="2" t="str">
        <x:v>2024-11-01</x:v>
      </x:c>
      <x:c r="G85" s="2" t="str">
        <x:v>2024</x:v>
      </x:c>
      <x:c r="H85" s="2" t="str">
        <x:v>11</x:v>
      </x:c>
      <x:c r="I85" s="2" t="str">
        <x:v>검토승인</x:v>
      </x:c>
      <x:c r="J85" s="2" t="str">
        <x:v>기후부협의</x:v>
      </x:c>
      <x:c r="K85" s="2" t="str">
        <x:f>IF(OR(J85="심의승인",J85="반려",J85="반려완료",J85="심의완료"),"종결 표시",IF(OR(J85="기후부협의",J85="문서재제출요청",J85="보류",J85="보완요청",J85="보완완료",J85="평가중",J85="반려요청",J85="평가필요",LEFT(J85,5)="보완요청("),"미종결 표시","상태 확인 필요"))</x:f>
        <x:v>미종결 표시</x:v>
      </x:c>
      <x:c r="L85" s="2"/>
      <x:c r="M85" s="2"/>
      <x:c r="N85" s="8" t="n">
        <x:f>DATE(2026,10,15)-DATE(2024,11,1)</x:f>
        <x:v>713</x:v>
      </x:c>
      <x:c r="O85" s="2"/>
      <x:c r="P85" s="2"/>
      <x:c r="Q85" s="2" t="str">
        <x:v>산업전환_외부사업관리Tool_260707_이너젠 수정_LJY_261013.xlsx</x:v>
      </x:c>
      <x:c r="R85" s="2" t="str">
        <x:v>방법론</x:v>
      </x:c>
      <x:c r="S85" s="8" t="n">
        <x:v>81</x:v>
      </x:c>
      <x:c r="T85" s="2"/>
      <x:c r="U85" s="2" t="str"/>
      <x:c r="V85" s="2" t="str">
        <x:v>2025-11-07</x:v>
      </x:c>
      <x:c r="W85" s="2" t="str">
        <x:v>담당기관 확인</x:v>
      </x:c>
      <x:c r="X85" s="2" t="str">
        <x:v>원본·배정 기록 확인</x:v>
      </x:c>
      <x:c r="Y85" s="2" t="str">
        <x:v>ad210cd9ec132cfd447541c8984dc53d30aff0f4fb2dc92d254d49275cc55976</x:v>
      </x:c>
      <x:c r="Z85" s="2" t="n">
        <x:f>SUBTOTAL(103,A85)</x:f>
        <x:v>1</x:v>
      </x:c>
      <x:c r="AA85" s="2" t="str">
        <x:f>IF(K85&lt;&gt;"미종결 표시","대상 아님",IF(N85="","신청일 확인",IF(NOT(ISNUMBER('종합 현황'!$H$5)),"관찰기준 확인",IF('종합 현황'!$H$5&lt;1,"관찰기준 확인",IF(N85&gt;'종합 현황'!$H$5,"내부 관찰 대상","내부 관찰일 이하")))))</x:f>
        <x:v>내부 관찰 대상</x:v>
      </x:c>
      <x:c r="AB85" s="2" t="str">
        <x:v>2024-11-01 13:25:13 - 방법론신청
2024-11-01 13:25:15 - 관장기관지정 (기후에너지환경부)
2024-11-04 08:44:09 - 관장기관지정 (산업통상부)
2024-12-17 13:23:05 - 보완요청
2025-03-07 09:41:05 - 문서보완접수
2025-05-29 09:55:30 - 보완요청
2025-06-27 15:04:23 - 문서보완접수
2025-07-09 10:23:09 - 문서재제출요청
2025-07-09 10:39:17 - 문서재제출완료
2025-08-12 21:01:16 - 보완요청
2025-08-18 15:19:23 - 문서보완접수
2025-11-07 09:29:10 - 검토승인
2025-12-08 10:13:53 - 협의검토중 (협의 요청일 : 2025-11-28)
2026-01-14 13:57:53 - 협의통보 (협의 통보일 : 2026-01-13)
</x:v>
      </x:c>
    </x:row>
    <x:row r="86" ht="42" customHeight="1">
      <x:c r="A86" s="2" t="str">
        <x:v>3f2651f12333c8ddb2e4d42e</x:v>
      </x:c>
      <x:c r="B86" s="2" t="str">
        <x:v>방법론 신청</x:v>
      </x:c>
      <x:c r="C86" s="2" t="str">
        <x:v>공통</x:v>
      </x:c>
      <x:c r="D86" s="7" t="str">
        <x:v>최적 전압 제어 시스템 설치 사업을 통한 소비전력 절감 방법론</x:v>
      </x:c>
      <x:c r="E86" s="2" t="str">
        <x:v>80</x:v>
      </x:c>
      <x:c r="F86" s="2" t="str">
        <x:v>2024-11-26</x:v>
      </x:c>
      <x:c r="G86" s="2" t="str">
        <x:v>2024</x:v>
      </x:c>
      <x:c r="H86" s="2" t="str">
        <x:v>11</x:v>
      </x:c>
      <x:c r="I86" s="2" t="str">
        <x:v>보완요청</x:v>
      </x:c>
      <x:c r="J86" s="2" t="str">
        <x:v>보완요청(3차)</x:v>
      </x:c>
      <x:c r="K86" s="2" t="str">
        <x:f>IF(OR(J86="심의승인",J86="반려",J86="반려완료",J86="심의완료"),"종결 표시",IF(OR(J86="기후부협의",J86="문서재제출요청",J86="보류",J86="보완요청",J86="보완완료",J86="평가중",J86="반려요청",J86="평가필요",LEFT(J86,5)="보완요청("),"미종결 표시","상태 확인 필요"))</x:f>
        <x:v>미종결 표시</x:v>
      </x:c>
      <x:c r="L86" s="2"/>
      <x:c r="M86" s="2" t="n">
        <x:v>3</x:v>
      </x:c>
      <x:c r="N86" s="8" t="n">
        <x:f>DATE(2026,10,15)-DATE(2024,11,26)</x:f>
        <x:v>688</x:v>
      </x:c>
      <x:c r="O86" s="2"/>
      <x:c r="P86" s="2"/>
      <x:c r="Q86" s="2" t="str">
        <x:v>산업전환_외부사업관리Tool_260707_이너젠 수정_LJY_261013.xlsx</x:v>
      </x:c>
      <x:c r="R86" s="2" t="str">
        <x:v>방법론</x:v>
      </x:c>
      <x:c r="S86" s="8" t="n">
        <x:v>82</x:v>
      </x:c>
      <x:c r="T86" s="2"/>
      <x:c r="U86" s="2" t="str"/>
      <x:c r="V86" s="2" t="str">
        <x:v>2025-11-24</x:v>
      </x:c>
      <x:c r="W86" s="2" t="str">
        <x:v>담당기관 확인</x:v>
      </x:c>
      <x:c r="X86" s="2" t="str">
        <x:v>원본·배정 기록 확인</x:v>
      </x:c>
      <x:c r="Y86" s="2" t="str">
        <x:v>ad210cd9ec132cfd447541c8984dc53d30aff0f4fb2dc92d254d49275cc55976</x:v>
      </x:c>
      <x:c r="Z86" s="2" t="n">
        <x:f>SUBTOTAL(103,A86)</x:f>
        <x:v>1</x:v>
      </x:c>
      <x:c r="AA86" s="2" t="str">
        <x:f>IF(K86&lt;&gt;"미종결 표시","대상 아님",IF(N86="","신청일 확인",IF(NOT(ISNUMBER('종합 현황'!$H$5)),"관찰기준 확인",IF('종합 현황'!$H$5&lt;1,"관찰기준 확인",IF(N86&gt;'종합 현황'!$H$5,"내부 관찰 대상","내부 관찰일 이하")))))</x:f>
        <x:v>내부 관찰 대상</x:v>
      </x:c>
      <x:c r="AB86" s="2" t="str">
        <x:v>2024-11-26 13:34:05 - 방법론신청
2024-11-26 13:34:06 - 관장기관지정 (기후에너지환경부)
2024-11-26 17:26:58 - 관장기관지정 (산업통상부)
2025-02-12 17:28:46 - 보완요청
2025-05-27 16:42:13 - 문서보완접수
2025-08-19 13:05:28 - 보완요청
2025-09-29 14:24:26 - 문서보완접수
2025-11-24 15:10:55 - 보완요청
</x:v>
      </x:c>
    </x:row>
    <x:row r="87" ht="42" customHeight="1">
      <x:c r="A87" s="2" t="str">
        <x:v>801d57bd19afc43007e65119</x:v>
      </x:c>
      <x:c r="B87" s="2" t="str">
        <x:v>방법론 신청</x:v>
      </x:c>
      <x:c r="C87" s="2" t="str">
        <x:v>공통</x:v>
      </x:c>
      <x:c r="D87" s="7" t="str">
        <x:v>고효율 설비 교체 사업의 방법론</x:v>
      </x:c>
      <x:c r="E87" s="2" t="str">
        <x:v>81</x:v>
      </x:c>
      <x:c r="F87" s="2" t="str">
        <x:v>2024-12-05</x:v>
      </x:c>
      <x:c r="G87" s="2" t="str">
        <x:v>2024</x:v>
      </x:c>
      <x:c r="H87" s="2" t="str">
        <x:v>12</x:v>
      </x:c>
      <x:c r="I87" s="2" t="str">
        <x:v>검토반려</x:v>
      </x:c>
      <x:c r="J87" s="2" t="str">
        <x:v>반려</x:v>
      </x:c>
      <x:c r="K87" s="2" t="str">
        <x:f>IF(OR(J87="심의승인",J87="반려",J87="반려완료",J87="심의완료"),"종결 표시",IF(OR(J87="기후부협의",J87="문서재제출요청",J87="보류",J87="보완요청",J87="보완완료",J87="평가중",J87="반려요청",J87="평가필요",LEFT(J87,5)="보완요청("),"미종결 표시","상태 확인 필요"))</x:f>
        <x:v>종결 표시</x:v>
      </x:c>
      <x:c r="L87" s="2"/>
      <x:c r="M87" s="2"/>
      <x:c r="N87" s="8" t="n">
        <x:f>DATE(2026,10,15)-DATE(2024,12,5)</x:f>
        <x:v>679</x:v>
      </x:c>
      <x:c r="O87" s="2"/>
      <x:c r="P87" s="2"/>
      <x:c r="Q87" s="2" t="str">
        <x:v>산업전환_외부사업관리Tool_260707_이너젠 수정_LJY_261013.xlsx</x:v>
      </x:c>
      <x:c r="R87" s="2" t="str">
        <x:v>방법론</x:v>
      </x:c>
      <x:c r="S87" s="8" t="n">
        <x:v>83</x:v>
      </x:c>
      <x:c r="T87" s="2"/>
      <x:c r="U87" s="2" t="str"/>
      <x:c r="V87" s="2" t="str">
        <x:v>2025-01-07</x:v>
      </x:c>
      <x:c r="W87" s="2" t="str">
        <x:v>담당기관 확인</x:v>
      </x:c>
      <x:c r="X87" s="2" t="str">
        <x:v>원본·배정 기록 확인</x:v>
      </x:c>
      <x:c r="Y87" s="2" t="str">
        <x:v>ad210cd9ec132cfd447541c8984dc53d30aff0f4fb2dc92d254d49275cc55976</x:v>
      </x:c>
      <x:c r="Z87" s="2" t="n">
        <x:f>SUBTOTAL(103,A87)</x:f>
        <x:v>1</x:v>
      </x:c>
      <x:c r="AA87" s="2" t="str">
        <x:f>IF(K87&lt;&gt;"미종결 표시","대상 아님",IF(N87="","신청일 확인",IF(NOT(ISNUMBER('종합 현황'!$H$5)),"관찰기준 확인",IF('종합 현황'!$H$5&lt;1,"관찰기준 확인",IF(N87&gt;'종합 현황'!$H$5,"내부 관찰 대상","내부 관찰일 이하")))))</x:f>
        <x:v>대상 아님</x:v>
      </x:c>
      <x:c r="AB87" s="2" t="str">
        <x:v>2024-12-05 10:37:28 - 방법론신청
2024-12-05 10:37:29 - 관장기관지정 (기후에너지환경부)
2024-12-05 16:41:13 - 관장기관지정 (산업통상부)
2025-01-07 16:48:32 - 검토반려
</x:v>
      </x:c>
    </x:row>
    <x:row r="88" ht="42" customHeight="1">
      <x:c r="A88" s="2" t="str">
        <x:v>fb268a329cd5f3894ee289e8</x:v>
      </x:c>
      <x:c r="B88" s="2" t="str">
        <x:v>방법론 신청</x:v>
      </x:c>
      <x:c r="C88" s="2" t="str">
        <x:v>공통</x:v>
      </x:c>
      <x:c r="D88" s="7" t="str">
        <x:v>고효율 설비 교체 사업의 방법론</x:v>
      </x:c>
      <x:c r="E88" s="2" t="str">
        <x:v>82</x:v>
      </x:c>
      <x:c r="F88" s="2" t="str">
        <x:v>2024-12-03</x:v>
      </x:c>
      <x:c r="G88" s="2" t="str">
        <x:v>2024</x:v>
      </x:c>
      <x:c r="H88" s="2" t="str">
        <x:v>12</x:v>
      </x:c>
      <x:c r="I88" s="2" t="str">
        <x:v>검토반려</x:v>
      </x:c>
      <x:c r="J88" s="2" t="str">
        <x:v>반려</x:v>
      </x:c>
      <x:c r="K88" s="2" t="str">
        <x:f>IF(OR(J88="심의승인",J88="반려",J88="반려완료",J88="심의완료"),"종결 표시",IF(OR(J88="기후부협의",J88="문서재제출요청",J88="보류",J88="보완요청",J88="보완완료",J88="평가중",J88="반려요청",J88="평가필요",LEFT(J88,5)="보완요청("),"미종결 표시","상태 확인 필요"))</x:f>
        <x:v>종결 표시</x:v>
      </x:c>
      <x:c r="L88" s="2"/>
      <x:c r="M88" s="2"/>
      <x:c r="N88" s="8" t="n">
        <x:f>DATE(2026,10,15)-DATE(2024,12,3)</x:f>
        <x:v>681</x:v>
      </x:c>
      <x:c r="O88" s="2"/>
      <x:c r="P88" s="2"/>
      <x:c r="Q88" s="2" t="str">
        <x:v>산업전환_외부사업관리Tool_260707_이너젠 수정_LJY_261013.xlsx</x:v>
      </x:c>
      <x:c r="R88" s="2" t="str">
        <x:v>방법론</x:v>
      </x:c>
      <x:c r="S88" s="8" t="n">
        <x:v>84</x:v>
      </x:c>
      <x:c r="T88" s="2"/>
      <x:c r="U88" s="2" t="str"/>
      <x:c r="V88" s="2" t="str">
        <x:v>2024-12-05</x:v>
      </x:c>
      <x:c r="W88" s="2" t="str">
        <x:v>담당기관 확인</x:v>
      </x:c>
      <x:c r="X88" s="2" t="str">
        <x:v>원본·배정 기록 확인</x:v>
      </x:c>
      <x:c r="Y88" s="2" t="str">
        <x:v>ad210cd9ec132cfd447541c8984dc53d30aff0f4fb2dc92d254d49275cc55976</x:v>
      </x:c>
      <x:c r="Z88" s="2" t="n">
        <x:f>SUBTOTAL(103,A88)</x:f>
        <x:v>1</x:v>
      </x:c>
      <x:c r="AA88" s="2" t="str">
        <x:f>IF(K88&lt;&gt;"미종결 표시","대상 아님",IF(N88="","신청일 확인",IF(NOT(ISNUMBER('종합 현황'!$H$5)),"관찰기준 확인",IF('종합 현황'!$H$5&lt;1,"관찰기준 확인",IF(N88&gt;'종합 현황'!$H$5,"내부 관찰 대상","내부 관찰일 이하")))))</x:f>
        <x:v>대상 아님</x:v>
      </x:c>
      <x:c r="AB88" s="2" t="str">
        <x:v>2024-12-03 14:34:13 - 방법론신청
2024-12-03 14:34:15 - 관장기관지정 (기후에너지환경부)
2024-12-03 15:04:11 - 관장기관지정 (산업통상부)
2024-12-05 10:41:25 - 문서재제출요청
2024-12-05 10:41:41 - 문서재제출완료
2024-12-05 10:43:55 - 검토반려
</x:v>
      </x:c>
    </x:row>
    <x:row r="89" ht="42" customHeight="1">
      <x:c r="A89" s="2" t="str">
        <x:v>8afa97dead9ad12000b2afbc</x:v>
      </x:c>
      <x:c r="B89" s="2" t="str">
        <x:v>방법론 신청</x:v>
      </x:c>
      <x:c r="C89" s="2" t="str">
        <x:v>공통</x:v>
      </x:c>
      <x:c r="D89" s="7" t="str">
        <x:v>해수담수화 농축수와 미활용 CO2를 이용하여 경질마그네사이트를 생산하는 사업의 방법론</x:v>
      </x:c>
      <x:c r="E89" s="2" t="str">
        <x:v>83</x:v>
      </x:c>
      <x:c r="F89" s="2" t="str">
        <x:v>2024-12-23</x:v>
      </x:c>
      <x:c r="G89" s="2" t="str">
        <x:v>2024</x:v>
      </x:c>
      <x:c r="H89" s="2" t="str">
        <x:v>12</x:v>
      </x:c>
      <x:c r="I89" s="2" t="str">
        <x:v>보완요청</x:v>
      </x:c>
      <x:c r="J89" s="2" t="str">
        <x:v>보완요청(1차)</x:v>
      </x:c>
      <x:c r="K89" s="2" t="str">
        <x:f>IF(OR(J89="심의승인",J89="반려",J89="반려완료",J89="심의완료"),"종결 표시",IF(OR(J89="기후부협의",J89="문서재제출요청",J89="보류",J89="보완요청",J89="보완완료",J89="평가중",J89="반려요청",J89="평가필요",LEFT(J89,5)="보완요청("),"미종결 표시","상태 확인 필요"))</x:f>
        <x:v>미종결 표시</x:v>
      </x:c>
      <x:c r="L89" s="2"/>
      <x:c r="M89" s="2" t="n">
        <x:v>1</x:v>
      </x:c>
      <x:c r="N89" s="8" t="n">
        <x:f>DATE(2026,10,15)-DATE(2024,12,23)</x:f>
        <x:v>661</x:v>
      </x:c>
      <x:c r="O89" s="2"/>
      <x:c r="P89" s="2"/>
      <x:c r="Q89" s="2" t="str">
        <x:v>산업전환_외부사업관리Tool_260707_이너젠 수정_LJY_261013.xlsx</x:v>
      </x:c>
      <x:c r="R89" s="2" t="str">
        <x:v>방법론</x:v>
      </x:c>
      <x:c r="S89" s="8" t="n">
        <x:v>85</x:v>
      </x:c>
      <x:c r="T89" s="2"/>
      <x:c r="U89" s="2" t="str"/>
      <x:c r="V89" s="2" t="str">
        <x:v>2025-02-25</x:v>
      </x:c>
      <x:c r="W89" s="2" t="str">
        <x:v>담당기관 확인</x:v>
      </x:c>
      <x:c r="X89" s="2" t="str">
        <x:v>원본·배정 기록 확인</x:v>
      </x:c>
      <x:c r="Y89" s="2" t="str">
        <x:v>ad210cd9ec132cfd447541c8984dc53d30aff0f4fb2dc92d254d49275cc55976</x:v>
      </x:c>
      <x:c r="Z89" s="2" t="n">
        <x:f>SUBTOTAL(103,A89)</x:f>
        <x:v>1</x:v>
      </x:c>
      <x:c r="AA89" s="2" t="str">
        <x:f>IF(K89&lt;&gt;"미종결 표시","대상 아님",IF(N89="","신청일 확인",IF(NOT(ISNUMBER('종합 현황'!$H$5)),"관찰기준 확인",IF('종합 현황'!$H$5&lt;1,"관찰기준 확인",IF(N89&gt;'종합 현황'!$H$5,"내부 관찰 대상","내부 관찰일 이하")))))</x:f>
        <x:v>내부 관찰 대상</x:v>
      </x:c>
      <x:c r="AB89" s="2" t="str">
        <x:v>2024-12-23 15:49:40 - 방법론신청
2024-12-23 15:49:41 - 관장기관지정 (기후에너지환경부)
2024-12-30 15:46:41 - 관장기관지정 (산업통상부)
2025-02-25 15:35:52 - 보완요청
</x:v>
      </x:c>
    </x:row>
    <x:row r="90" ht="42" customHeight="1">
      <x:c r="A90" s="2" t="str">
        <x:v>b86c5bfc328016348b5b4f3a</x:v>
      </x:c>
      <x:c r="B90" s="2" t="str">
        <x:v>방법론 신청</x:v>
      </x:c>
      <x:c r="C90" s="2" t="str">
        <x:v>공통</x:v>
      </x:c>
      <x:c r="D90" s="7" t="str">
        <x:v>미세조류 생산 및 활용을 통한 이산화탄소 제거 사업의 방법론</x:v>
      </x:c>
      <x:c r="E90" s="2" t="str">
        <x:v>84</x:v>
      </x:c>
      <x:c r="F90" s="2" t="str">
        <x:v>2025-02-12</x:v>
      </x:c>
      <x:c r="G90" s="2" t="str">
        <x:v>2025</x:v>
      </x:c>
      <x:c r="H90" s="2" t="str">
        <x:v>02</x:v>
      </x:c>
      <x:c r="I90" s="2" t="str">
        <x:v>보완요청</x:v>
      </x:c>
      <x:c r="J90" s="2" t="str">
        <x:v>보완요청(1차)</x:v>
      </x:c>
      <x:c r="K90" s="2" t="str">
        <x:f>IF(OR(J90="심의승인",J90="반려",J90="반려완료",J90="심의완료"),"종결 표시",IF(OR(J90="기후부협의",J90="문서재제출요청",J90="보류",J90="보완요청",J90="보완완료",J90="평가중",J90="반려요청",J90="평가필요",LEFT(J90,5)="보완요청("),"미종결 표시","상태 확인 필요"))</x:f>
        <x:v>미종결 표시</x:v>
      </x:c>
      <x:c r="L90" s="2"/>
      <x:c r="M90" s="2" t="n">
        <x:v>1</x:v>
      </x:c>
      <x:c r="N90" s="8" t="n">
        <x:f>DATE(2026,10,15)-DATE(2025,2,12)</x:f>
        <x:v>610</x:v>
      </x:c>
      <x:c r="O90" s="2"/>
      <x:c r="P90" s="2"/>
      <x:c r="Q90" s="2" t="str">
        <x:v>산업전환_외부사업관리Tool_260707_이너젠 수정_LJY_261013.xlsx</x:v>
      </x:c>
      <x:c r="R90" s="2" t="str">
        <x:v>방법론</x:v>
      </x:c>
      <x:c r="S90" s="8" t="n">
        <x:v>86</x:v>
      </x:c>
      <x:c r="T90" s="2"/>
      <x:c r="U90" s="2" t="str"/>
      <x:c r="V90" s="2" t="str">
        <x:v>2025-04-17</x:v>
      </x:c>
      <x:c r="W90" s="2" t="str">
        <x:v>담당기관 확인</x:v>
      </x:c>
      <x:c r="X90" s="2" t="str">
        <x:v>원본·배정 기록 확인</x:v>
      </x:c>
      <x:c r="Y90" s="2" t="str">
        <x:v>ad210cd9ec132cfd447541c8984dc53d30aff0f4fb2dc92d254d49275cc55976</x:v>
      </x:c>
      <x:c r="Z90" s="2" t="n">
        <x:f>SUBTOTAL(103,A90)</x:f>
        <x:v>1</x:v>
      </x:c>
      <x:c r="AA90" s="2" t="str">
        <x:f>IF(K90&lt;&gt;"미종결 표시","대상 아님",IF(N90="","신청일 확인",IF(NOT(ISNUMBER('종합 현황'!$H$5)),"관찰기준 확인",IF('종합 현황'!$H$5&lt;1,"관찰기준 확인",IF(N90&gt;'종합 현황'!$H$5,"내부 관찰 대상","내부 관찰일 이하")))))</x:f>
        <x:v>내부 관찰 대상</x:v>
      </x:c>
      <x:c r="AB90" s="2" t="str">
        <x:v>2025-02-12 13:43:25 - 방법론신청
2025-02-12 13:43:26 - 관장기관지정 (기후에너지환경부)
2025-02-13 15:58:38 - 관장기관지정 (산업통상부)
2025-04-17 15:30:13 - 보완요청
</x:v>
      </x:c>
    </x:row>
    <x:row r="91" ht="42" customHeight="1">
      <x:c r="A91" s="2" t="str">
        <x:v>f50c94cd58492ec312238e47</x:v>
      </x:c>
      <x:c r="B91" s="2" t="str">
        <x:v>방법론 신청</x:v>
      </x:c>
      <x:c r="C91" s="2" t="str">
        <x:v>공통</x:v>
      </x:c>
      <x:c r="D91" s="7" t="str">
        <x:v>미활용 열에너지 회수 및 이용 또는 계통연계 사업의 방법론</x:v>
      </x:c>
      <x:c r="E91" s="2" t="str">
        <x:v>85</x:v>
      </x:c>
      <x:c r="F91" s="2" t="str">
        <x:v>2025-02-27</x:v>
      </x:c>
      <x:c r="G91" s="2" t="str">
        <x:v>2025</x:v>
      </x:c>
      <x:c r="H91" s="2" t="str">
        <x:v>02</x:v>
      </x:c>
      <x:c r="I91" s="2" t="str">
        <x:v>보완요청</x:v>
      </x:c>
      <x:c r="J91" s="2" t="str">
        <x:v>보완요청(1차)</x:v>
      </x:c>
      <x:c r="K91" s="2" t="str">
        <x:f>IF(OR(J91="심의승인",J91="반려",J91="반려완료",J91="심의완료"),"종결 표시",IF(OR(J91="기후부협의",J91="문서재제출요청",J91="보류",J91="보완요청",J91="보완완료",J91="평가중",J91="반려요청",J91="평가필요",LEFT(J91,5)="보완요청("),"미종결 표시","상태 확인 필요"))</x:f>
        <x:v>미종결 표시</x:v>
      </x:c>
      <x:c r="L91" s="2"/>
      <x:c r="M91" s="2" t="n">
        <x:v>1</x:v>
      </x:c>
      <x:c r="N91" s="8" t="n">
        <x:f>DATE(2026,10,15)-DATE(2025,2,27)</x:f>
        <x:v>595</x:v>
      </x:c>
      <x:c r="O91" s="2"/>
      <x:c r="P91" s="2"/>
      <x:c r="Q91" s="2" t="str">
        <x:v>산업전환_외부사업관리Tool_260707_이너젠 수정_LJY_261013.xlsx</x:v>
      </x:c>
      <x:c r="R91" s="2" t="str">
        <x:v>방법론</x:v>
      </x:c>
      <x:c r="S91" s="8" t="n">
        <x:v>87</x:v>
      </x:c>
      <x:c r="T91" s="2"/>
      <x:c r="U91" s="2" t="str"/>
      <x:c r="V91" s="2" t="str">
        <x:v>2025-04-21</x:v>
      </x:c>
      <x:c r="W91" s="2" t="str">
        <x:v>담당기관 확인</x:v>
      </x:c>
      <x:c r="X91" s="2" t="str">
        <x:v>원본·배정 기록 확인</x:v>
      </x:c>
      <x:c r="Y91" s="2" t="str">
        <x:v>ad210cd9ec132cfd447541c8984dc53d30aff0f4fb2dc92d254d49275cc55976</x:v>
      </x:c>
      <x:c r="Z91" s="2" t="n">
        <x:f>SUBTOTAL(103,A91)</x:f>
        <x:v>1</x:v>
      </x:c>
      <x:c r="AA91" s="2" t="str">
        <x:f>IF(K91&lt;&gt;"미종결 표시","대상 아님",IF(N91="","신청일 확인",IF(NOT(ISNUMBER('종합 현황'!$H$5)),"관찰기준 확인",IF('종합 현황'!$H$5&lt;1,"관찰기준 확인",IF(N91&gt;'종합 현황'!$H$5,"내부 관찰 대상","내부 관찰일 이하")))))</x:f>
        <x:v>내부 관찰 대상</x:v>
      </x:c>
      <x:c r="AB91" s="2" t="str">
        <x:v>2025-02-27 06:36:20 - 방법론신청
2025-02-27 06:36:22 - 관장기관지정 (기후에너지환경부)
2025-03-04 14:57:26 - 관장기관지정 (산업통상부)
2025-04-21 15:27:44 - 보완요청
</x:v>
      </x:c>
    </x:row>
    <x:row r="92" ht="42" customHeight="1">
      <x:c r="A92" s="2" t="str">
        <x:v>1180429efb103fe0e41a604f</x:v>
      </x:c>
      <x:c r="B92" s="2" t="str">
        <x:v>방법론 신청</x:v>
      </x:c>
      <x:c r="C92" s="2" t="str">
        <x:v>공통</x:v>
      </x:c>
      <x:c r="D92" s="7" t="str">
        <x:v>석유화학 원료의 물리적 재활용된 폐플라스틱 대체에 따른 온실가스 감축 방법론</x:v>
      </x:c>
      <x:c r="E92" s="2" t="str">
        <x:v>86</x:v>
      </x:c>
      <x:c r="F92" s="2" t="str">
        <x:v>2025-06-13</x:v>
      </x:c>
      <x:c r="G92" s="2" t="str">
        <x:v>2025</x:v>
      </x:c>
      <x:c r="H92" s="2" t="str">
        <x:v>06</x:v>
      </x:c>
      <x:c r="I92" s="2" t="str">
        <x:v>보완요청</x:v>
      </x:c>
      <x:c r="J92" s="2" t="str">
        <x:v>보완요청(3차)</x:v>
      </x:c>
      <x:c r="K92" s="2" t="str">
        <x:f>IF(OR(J92="심의승인",J92="반려",J92="반려완료",J92="심의완료"),"종결 표시",IF(OR(J92="기후부협의",J92="문서재제출요청",J92="보류",J92="보완요청",J92="보완완료",J92="평가중",J92="반려요청",J92="평가필요",LEFT(J92,5)="보완요청("),"미종결 표시","상태 확인 필요"))</x:f>
        <x:v>미종결 표시</x:v>
      </x:c>
      <x:c r="L92" s="2"/>
      <x:c r="M92" s="2" t="n">
        <x:v>3</x:v>
      </x:c>
      <x:c r="N92" s="8" t="n">
        <x:f>DATE(2026,10,15)-DATE(2025,6,13)</x:f>
        <x:v>489</x:v>
      </x:c>
      <x:c r="O92" s="2"/>
      <x:c r="P92" s="2"/>
      <x:c r="Q92" s="2" t="str">
        <x:v>산업전환_외부사업관리Tool_260707_이너젠 수정_LJY_261013.xlsx</x:v>
      </x:c>
      <x:c r="R92" s="2" t="str">
        <x:v>방법론</x:v>
      </x:c>
      <x:c r="S92" s="8" t="n">
        <x:v>88</x:v>
      </x:c>
      <x:c r="T92" s="2"/>
      <x:c r="U92" s="2" t="str"/>
      <x:c r="V92" s="2" t="str">
        <x:v>2026-02-10</x:v>
      </x:c>
      <x:c r="W92" s="2" t="str">
        <x:v>담당기관 확인</x:v>
      </x:c>
      <x:c r="X92" s="2" t="str">
        <x:v>원본·배정 기록 확인</x:v>
      </x:c>
      <x:c r="Y92" s="2" t="str">
        <x:v>ad210cd9ec132cfd447541c8984dc53d30aff0f4fb2dc92d254d49275cc55976</x:v>
      </x:c>
      <x:c r="Z92" s="2" t="n">
        <x:f>SUBTOTAL(103,A92)</x:f>
        <x:v>1</x:v>
      </x:c>
      <x:c r="AA92" s="2" t="str">
        <x:f>IF(K92&lt;&gt;"미종결 표시","대상 아님",IF(N92="","신청일 확인",IF(NOT(ISNUMBER('종합 현황'!$H$5)),"관찰기준 확인",IF('종합 현황'!$H$5&lt;1,"관찰기준 확인",IF(N92&gt;'종합 현황'!$H$5,"내부 관찰 대상","내부 관찰일 이하")))))</x:f>
        <x:v>내부 관찰 대상</x:v>
      </x:c>
      <x:c r="AB92" s="2" t="str">
        <x:v>2025-06-13 16:31:59 - 방법론신청
2025-06-13 16:32:01 - 관장기관지정 (기후에너지환경부)
2025-06-17 15:23:19 - 관장기관지정 (산업통상부)
2025-09-01 16:36:55 - 보완요청
2025-11-04 10:56:07 - 문서보완접수
2025-11-05 15:30:54 - 문서재제출요청
2025-11-05 15:32:39 - 문서재제출완료
2025-11-24 15:13:30 - 보완요청
2025-12-30 10:09:47 - 문서보완접수
2026-02-10 13:31:56 - 보완요청
</x:v>
      </x:c>
    </x:row>
    <x:row r="93" ht="42" customHeight="1">
      <x:c r="A93" s="2" t="str">
        <x:v>2e19add6e02c6041d36341e9</x:v>
      </x:c>
      <x:c r="B93" s="2" t="str">
        <x:v>방법론 신청</x:v>
      </x:c>
      <x:c r="C93" s="2" t="str">
        <x:v>공통</x:v>
      </x:c>
      <x:c r="D93" s="7" t="str">
        <x:v>초임계 이산화탄소(CO2) 발전기술을 통한 온실가스 감축사업의 방법론</x:v>
      </x:c>
      <x:c r="E93" s="2" t="str">
        <x:v>87</x:v>
      </x:c>
      <x:c r="F93" s="2" t="str">
        <x:v>2025-06-20</x:v>
      </x:c>
      <x:c r="G93" s="2" t="str">
        <x:v>2025</x:v>
      </x:c>
      <x:c r="H93" s="2" t="str">
        <x:v>06</x:v>
      </x:c>
      <x:c r="I93" s="2" t="str">
        <x:v>보완요청</x:v>
      </x:c>
      <x:c r="J93" s="2" t="str">
        <x:v>보완요청(2차)</x:v>
      </x:c>
      <x:c r="K93" s="2" t="str">
        <x:f>IF(OR(J93="심의승인",J93="반려",J93="반려완료",J93="심의완료"),"종결 표시",IF(OR(J93="기후부협의",J93="문서재제출요청",J93="보류",J93="보완요청",J93="보완완료",J93="평가중",J93="반려요청",J93="평가필요",LEFT(J93,5)="보완요청("),"미종결 표시","상태 확인 필요"))</x:f>
        <x:v>미종결 표시</x:v>
      </x:c>
      <x:c r="L93" s="2"/>
      <x:c r="M93" s="2" t="n">
        <x:v>2</x:v>
      </x:c>
      <x:c r="N93" s="8" t="n">
        <x:f>DATE(2026,10,15)-DATE(2025,6,20)</x:f>
        <x:v>482</x:v>
      </x:c>
      <x:c r="O93" s="2"/>
      <x:c r="P93" s="2"/>
      <x:c r="Q93" s="2" t="str">
        <x:v>산업전환_외부사업관리Tool_260707_이너젠 수정_LJY_261013.xlsx</x:v>
      </x:c>
      <x:c r="R93" s="2" t="str">
        <x:v>방법론</x:v>
      </x:c>
      <x:c r="S93" s="8" t="n">
        <x:v>89</x:v>
      </x:c>
      <x:c r="T93" s="2"/>
      <x:c r="U93" s="2" t="str"/>
      <x:c r="V93" s="2" t="str">
        <x:v>2026-01-13</x:v>
      </x:c>
      <x:c r="W93" s="2" t="str">
        <x:v>담당기관 확인</x:v>
      </x:c>
      <x:c r="X93" s="2" t="str">
        <x:v>원본·배정 기록 확인</x:v>
      </x:c>
      <x:c r="Y93" s="2" t="str">
        <x:v>ad210cd9ec132cfd447541c8984dc53d30aff0f4fb2dc92d254d49275cc55976</x:v>
      </x:c>
      <x:c r="Z93" s="2" t="n">
        <x:f>SUBTOTAL(103,A93)</x:f>
        <x:v>1</x:v>
      </x:c>
      <x:c r="AA93" s="2" t="str">
        <x:f>IF(K93&lt;&gt;"미종결 표시","대상 아님",IF(N93="","신청일 확인",IF(NOT(ISNUMBER('종합 현황'!$H$5)),"관찰기준 확인",IF('종합 현황'!$H$5&lt;1,"관찰기준 확인",IF(N93&gt;'종합 현황'!$H$5,"내부 관찰 대상","내부 관찰일 이하")))))</x:f>
        <x:v>내부 관찰 대상</x:v>
      </x:c>
      <x:c r="AB93" s="2" t="str">
        <x:v>2025-06-20 10:25:29 - 방법론신청
2025-06-20 10:25:30 - 관장기관지정 (기후에너지환경부)
2025-06-24 11:25:30 - 관장기관지정 (산업통상부)
2025-09-11 16:19:57 - 보완요청
2025-10-29 18:14:58 - 문서보완접수
2026-01-13 16:09:51 - 보완요청
</x:v>
      </x:c>
    </x:row>
    <x:row r="94" ht="42" customHeight="1">
      <x:c r="A94" s="2" t="str">
        <x:v>4c7c40b77ac297c98017533f</x:v>
      </x:c>
      <x:c r="B94" s="2" t="str">
        <x:v>방법론 신청</x:v>
      </x:c>
      <x:c r="C94" s="2" t="str">
        <x:v>공통</x:v>
      </x:c>
      <x:c r="D94" s="7" t="str">
        <x:v>미활용 LNG 기화 냉열 활용을 통한 전력 및 또는 화석연료 사용 절감 사업의 방법론</x:v>
      </x:c>
      <x:c r="E94" s="2" t="str">
        <x:v>88</x:v>
      </x:c>
      <x:c r="F94" s="2" t="str">
        <x:v>2025-08-14</x:v>
      </x:c>
      <x:c r="G94" s="2" t="str">
        <x:v>2025</x:v>
      </x:c>
      <x:c r="H94" s="2" t="str">
        <x:v>08</x:v>
      </x:c>
      <x:c r="I94" s="2" t="str">
        <x:v>보완완료</x:v>
      </x:c>
      <x:c r="J94" s="2" t="str">
        <x:v>기후부협의</x:v>
      </x:c>
      <x:c r="K94" s="2" t="str">
        <x:f>IF(OR(J94="심의승인",J94="반려",J94="반려완료",J94="심의완료"),"종결 표시",IF(OR(J94="기후부협의",J94="문서재제출요청",J94="보류",J94="보완요청",J94="보완완료",J94="평가중",J94="반려요청",J94="평가필요",LEFT(J94,5)="보완요청("),"미종결 표시","상태 확인 필요"))</x:f>
        <x:v>미종결 표시</x:v>
      </x:c>
      <x:c r="L94" s="2"/>
      <x:c r="M94" s="2"/>
      <x:c r="N94" s="8" t="n">
        <x:f>DATE(2026,10,15)-DATE(2025,8,14)</x:f>
        <x:v>427</x:v>
      </x:c>
      <x:c r="O94" s="2"/>
      <x:c r="P94" s="2" t="str">
        <x:v>시스템 상 자료요청 상태</x:v>
      </x:c>
      <x:c r="Q94" s="2" t="str">
        <x:v>산업전환_외부사업관리Tool_260707_이너젠 수정_LJY_261013.xlsx</x:v>
      </x:c>
      <x:c r="R94" s="2" t="str">
        <x:v>방법론</x:v>
      </x:c>
      <x:c r="S94" s="8" t="n">
        <x:v>90</x:v>
      </x:c>
      <x:c r="T94" s="2"/>
      <x:c r="U94" s="2" t="str"/>
      <x:c r="V94" s="2" t="str">
        <x:v>2026-04-03</x:v>
      </x:c>
      <x:c r="W94" s="2" t="str">
        <x:v>담당기관 확인 / 신청유형 불일치</x:v>
      </x:c>
      <x:c r="X94" s="2" t="str">
        <x:v>원본·배정 기록 확인</x:v>
      </x:c>
      <x:c r="Y94" s="2" t="str">
        <x:v>ad210cd9ec132cfd447541c8984dc53d30aff0f4fb2dc92d254d49275cc55976</x:v>
      </x:c>
      <x:c r="Z94" s="2" t="n">
        <x:f>SUBTOTAL(103,A94)</x:f>
        <x:v>1</x:v>
      </x:c>
      <x:c r="AA94" s="2" t="str">
        <x:f>IF(K94&lt;&gt;"미종결 표시","대상 아님",IF(N94="","신청일 확인",IF(NOT(ISNUMBER('종합 현황'!$H$5)),"관찰기준 확인",IF('종합 현황'!$H$5&lt;1,"관찰기준 확인",IF(N94&gt;'종합 현황'!$H$5,"내부 관찰 대상","내부 관찰일 이하")))))</x:f>
        <x:v>내부 관찰 대상</x:v>
      </x:c>
      <x:c r="AB94" s="2" t="str">
        <x:v>2025-08-14 14:21:42 - 방법론신청
2025-08-14 14:21:43 - 관장기관지정 (기후에너지환경부)
2025-08-18 08:41:06 - 관장기관지정 (산업통상부)
2025-11-07 08:40:08 - 보완요청
2025-11-11 13:13:40 - 문서보완접수
2025-11-25 16:16:11 - 검토승인
2025-12-08 10:15:03 - 협의검토중 (협의 요청일 : 2025-11-28)
2026-01-14 13:57:53 - 협의통보 (협의 통보일 : 2026-01-13)
2026-04-03 13:24:53 - 문서보완접수
</x:v>
      </x:c>
    </x:row>
    <x:row r="95" ht="42" customHeight="1">
      <x:c r="A95" s="2" t="str">
        <x:v>c1d3c3e22368f2f4caa1223c</x:v>
      </x:c>
      <x:c r="B95" s="2" t="str">
        <x:v>방법론 신청</x:v>
      </x:c>
      <x:c r="C95" s="2" t="str">
        <x:v>공통</x:v>
      </x:c>
      <x:c r="D95" s="7" t="str">
        <x:v>가스절연 전기기기의 시험에 따라 발생되는 육불화황(SF6) 가스의 회수 및 플라즈마 분해를 통한 온실가스 감축 사업의 방법론</x:v>
      </x:c>
      <x:c r="E95" s="2" t="str">
        <x:v>89</x:v>
      </x:c>
      <x:c r="F95" s="2" t="str">
        <x:v>2025-08-29</x:v>
      </x:c>
      <x:c r="G95" s="2" t="str">
        <x:v>2025</x:v>
      </x:c>
      <x:c r="H95" s="2" t="str">
        <x:v>08</x:v>
      </x:c>
      <x:c r="I95" s="2" t="str">
        <x:v>심의승인</x:v>
      </x:c>
      <x:c r="J95" s="2" t="str">
        <x:v>심의승인</x:v>
      </x:c>
      <x:c r="K95" s="2" t="str">
        <x:f>IF(OR(J95="심의승인",J95="반려",J95="반려완료",J95="심의완료"),"종결 표시",IF(OR(J95="기후부협의",J95="문서재제출요청",J95="보류",J95="보완요청",J95="보완완료",J95="평가중",J95="반려요청",J95="평가필요",LEFT(J95,5)="보완요청("),"미종결 표시","상태 확인 필요"))</x:f>
        <x:v>종결 표시</x:v>
      </x:c>
      <x:c r="L95" s="2"/>
      <x:c r="M95" s="2"/>
      <x:c r="N95" s="8" t="n">
        <x:f>DATE(2026,10,15)-DATE(2025,8,29)</x:f>
        <x:v>412</x:v>
      </x:c>
      <x:c r="O95" s="2"/>
      <x:c r="P95" s="2"/>
      <x:c r="Q95" s="2" t="str">
        <x:v>산업전환_외부사업관리Tool_260707_이너젠 수정_LJY_261013.xlsx</x:v>
      </x:c>
      <x:c r="R95" s="2" t="str">
        <x:v>방법론</x:v>
      </x:c>
      <x:c r="S95" s="8" t="n">
        <x:v>91</x:v>
      </x:c>
      <x:c r="T95" s="2"/>
      <x:c r="U95" s="2" t="str"/>
      <x:c r="V95" s="2" t="str">
        <x:v>2026-06-08</x:v>
      </x:c>
      <x:c r="W95" s="2" t="str">
        <x:v>담당기관 확인 / 신청유형 불일치</x:v>
      </x:c>
      <x:c r="X95" s="2" t="str">
        <x:v>원본·배정 기록 확인</x:v>
      </x:c>
      <x:c r="Y95" s="2" t="str">
        <x:v>ad210cd9ec132cfd447541c8984dc53d30aff0f4fb2dc92d254d49275cc55976</x:v>
      </x:c>
      <x:c r="Z95" s="2" t="n">
        <x:f>SUBTOTAL(103,A95)</x:f>
        <x:v>1</x:v>
      </x:c>
      <x:c r="AA95" s="2" t="str">
        <x:f>IF(K95&lt;&gt;"미종결 표시","대상 아님",IF(N95="","신청일 확인",IF(NOT(ISNUMBER('종합 현황'!$H$5)),"관찰기준 확인",IF('종합 현황'!$H$5&lt;1,"관찰기준 확인",IF(N95&gt;'종합 현황'!$H$5,"내부 관찰 대상","내부 관찰일 이하")))))</x:f>
        <x:v>대상 아님</x:v>
      </x:c>
      <x:c r="AB95" s="2" t="str">
        <x:v>2025-08-29 15:16:55 - 방법론신청
2025-08-29 15:16:56 - 관장기관지정 (기후에너지환경부)
2025-09-01 09:24:42 - 관장기관지정 (산업통상부)
2025-11-17 11:23:57 - 보완요청
2025-12-10 08:24:30 - 문서보완접수
2025-12-11 16:21:53 - 보완요청
2025-12-19 09:59:10 - 문서보완접수
2026-02-27 10:48:59 - 보완요청
2026-03-04 15:01:09 - 문서보완접수
2026-03-18 17:25:21 - 검토승인
2026-03-19 11:30:11 - 협의검토중 (협의 요청일 : 2026-03-20)
2026-04-28 10:50:33 - 협의통보 (협의 통보일 : 2026-04-27)
2026-06-08 15:11:21 - 심의승인
</x:v>
      </x:c>
    </x:row>
    <x:row r="96" ht="42" customHeight="1">
      <x:c r="A96" s="2" t="str">
        <x:v>0d359ea21d4a2b6c5f7dd421</x:v>
      </x:c>
      <x:c r="B96" s="2" t="str">
        <x:v>방법론 신청</x:v>
      </x:c>
      <x:c r="C96" s="2" t="str">
        <x:v>공통</x:v>
      </x:c>
      <x:c r="D96" s="7" t="str">
        <x:v>디스플레이 제조공정 감축설비 도입을 통한 온실가스(F-Gas) 감축사업 방법론</x:v>
      </x:c>
      <x:c r="E96" s="2" t="str">
        <x:v>90</x:v>
      </x:c>
      <x:c r="F96" s="2" t="str">
        <x:v>2025-09-29</x:v>
      </x:c>
      <x:c r="G96" s="2" t="str">
        <x:v>2025</x:v>
      </x:c>
      <x:c r="H96" s="2" t="str">
        <x:v>09</x:v>
      </x:c>
      <x:c r="I96" s="2" t="str">
        <x:v>심의승인</x:v>
      </x:c>
      <x:c r="J96" s="2" t="str">
        <x:v>심의승인</x:v>
      </x:c>
      <x:c r="K96" s="2" t="str">
        <x:f>IF(OR(J96="심의승인",J96="반려",J96="반려완료",J96="심의완료"),"종결 표시",IF(OR(J96="기후부협의",J96="문서재제출요청",J96="보류",J96="보완요청",J96="보완완료",J96="평가중",J96="반려요청",J96="평가필요",LEFT(J96,5)="보완요청("),"미종결 표시","상태 확인 필요"))</x:f>
        <x:v>종결 표시</x:v>
      </x:c>
      <x:c r="L96" s="2"/>
      <x:c r="M96" s="2"/>
      <x:c r="N96" s="8" t="n">
        <x:f>DATE(2026,10,15)-DATE(2025,9,29)</x:f>
        <x:v>381</x:v>
      </x:c>
      <x:c r="O96" s="2"/>
      <x:c r="P96" s="2"/>
      <x:c r="Q96" s="2" t="str">
        <x:v>산업전환_외부사업관리Tool_260707_이너젠 수정_LJY_261013.xlsx</x:v>
      </x:c>
      <x:c r="R96" s="2" t="str">
        <x:v>방법론</x:v>
      </x:c>
      <x:c r="S96" s="8" t="n">
        <x:v>92</x:v>
      </x:c>
      <x:c r="T96" s="2"/>
      <x:c r="U96" s="2" t="str"/>
      <x:c r="V96" s="2" t="str">
        <x:v>2026-03-12</x:v>
      </x:c>
      <x:c r="W96" s="2" t="str">
        <x:v>담당기관 확인</x:v>
      </x:c>
      <x:c r="X96" s="2" t="str">
        <x:v>원본·배정 기록 확인</x:v>
      </x:c>
      <x:c r="Y96" s="2" t="str">
        <x:v>ad210cd9ec132cfd447541c8984dc53d30aff0f4fb2dc92d254d49275cc55976</x:v>
      </x:c>
      <x:c r="Z96" s="2" t="n">
        <x:f>SUBTOTAL(103,A96)</x:f>
        <x:v>1</x:v>
      </x:c>
      <x:c r="AA96" s="2" t="str">
        <x:f>IF(K96&lt;&gt;"미종결 표시","대상 아님",IF(N96="","신청일 확인",IF(NOT(ISNUMBER('종합 현황'!$H$5)),"관찰기준 확인",IF('종합 현황'!$H$5&lt;1,"관찰기준 확인",IF(N96&gt;'종합 현황'!$H$5,"내부 관찰 대상","내부 관찰일 이하")))))</x:f>
        <x:v>대상 아님</x:v>
      </x:c>
      <x:c r="AB96" s="2" t="str">
        <x:v>2025-09-29 16:36:02 - 방법론신청
2025-09-29 16:36:03 - 관장기관지정 (기후에너지환경부)
2025-09-30 09:57:47 - 관장기관지정 (산업통상부)
2025-11-21 11:34:35 - 문서재제출요청
2025-11-21 15:28:20 - 문서재제출완료
2025-11-24 14:21:10 - 보완요청
2025-11-25 10:27:49 - 문서보완접수
2025-11-25 16:12:51 - 보완요청
2025-11-26 08:29:33 - 문서보완접수
2025-11-26 10:03:51 - 문서재제출요청
2025-11-26 13:25:25 - 문서보완접수
2025-11-26 13:25:25 - 문서재제출완료
2025-11-28 17:13:08 - 검토승인
2025-12-08 10:15:41 - 협의검토중 (협의 요청일 : 2025-11-28)
2026-01-14 13:57:53 - 협의통보 (협의 통보일 : 2026-01-13)
2026-03-12 11:33:12 - 심의승인
</x:v>
      </x:c>
    </x:row>
    <x:row r="97" ht="42" customHeight="1">
      <x:c r="A97" s="2" t="str">
        <x:v>fa83fadb8d6b79e466a3f770</x:v>
      </x:c>
      <x:c r="B97" s="2" t="str">
        <x:v>방법론 신청</x:v>
      </x:c>
      <x:c r="C97" s="2" t="str">
        <x:v>공통</x:v>
      </x:c>
      <x:c r="D97" s="7" t="str">
        <x:v>LNG연료 추진선박 건조 시 발생하는 BOG를 도시가스 공급망에 주입하는 사업의 방법론</x:v>
      </x:c>
      <x:c r="E97" s="2" t="str">
        <x:v>91</x:v>
      </x:c>
      <x:c r="F97" s="2" t="str">
        <x:v>2025-09-22</x:v>
      </x:c>
      <x:c r="G97" s="2" t="str">
        <x:v>2025</x:v>
      </x:c>
      <x:c r="H97" s="2" t="str">
        <x:v>09</x:v>
      </x:c>
      <x:c r="I97" s="2" t="str">
        <x:v>보완완료</x:v>
      </x:c>
      <x:c r="J97" s="2" t="str">
        <x:v>평가중</x:v>
      </x:c>
      <x:c r="K97" s="2" t="str">
        <x:f>IF(OR(J97="심의승인",J97="반려",J97="반려완료",J97="심의완료"),"종결 표시",IF(OR(J97="기후부협의",J97="문서재제출요청",J97="보류",J97="보완요청",J97="보완완료",J97="평가중",J97="반려요청",J97="평가필요",LEFT(J97,5)="보완요청("),"미종결 표시","상태 확인 필요"))</x:f>
        <x:v>미종결 표시</x:v>
      </x:c>
      <x:c r="L97" s="2"/>
      <x:c r="M97" s="2"/>
      <x:c r="N97" s="8" t="n">
        <x:f>DATE(2026,10,15)-DATE(2025,9,22)</x:f>
        <x:v>388</x:v>
      </x:c>
      <x:c r="O97" s="2"/>
      <x:c r="P97" s="2"/>
      <x:c r="Q97" s="2" t="str">
        <x:v>산업전환_외부사업관리Tool_260707_이너젠 수정_LJY_261013.xlsx</x:v>
      </x:c>
      <x:c r="R97" s="2" t="str">
        <x:v>방법론</x:v>
      </x:c>
      <x:c r="S97" s="8" t="n">
        <x:v>93</x:v>
      </x:c>
      <x:c r="T97" s="2"/>
      <x:c r="U97" s="2" t="str"/>
      <x:c r="V97" s="2" t="str">
        <x:v>2026-06-29</x:v>
      </x:c>
      <x:c r="W97" s="2" t="str">
        <x:v>담당기관 확인 / 신청유형 불일치</x:v>
      </x:c>
      <x:c r="X97" s="2" t="str">
        <x:v>원본·배정 기록 확인</x:v>
      </x:c>
      <x:c r="Y97" s="2" t="str">
        <x:v>ad210cd9ec132cfd447541c8984dc53d30aff0f4fb2dc92d254d49275cc55976</x:v>
      </x:c>
      <x:c r="Z97" s="2" t="n">
        <x:f>SUBTOTAL(103,A97)</x:f>
        <x:v>1</x:v>
      </x:c>
      <x:c r="AA97" s="2" t="str">
        <x:f>IF(K97&lt;&gt;"미종결 표시","대상 아님",IF(N97="","신청일 확인",IF(NOT(ISNUMBER('종합 현황'!$H$5)),"관찰기준 확인",IF('종합 현황'!$H$5&lt;1,"관찰기준 확인",IF(N97&gt;'종합 현황'!$H$5,"내부 관찰 대상","내부 관찰일 이하")))))</x:f>
        <x:v>내부 관찰 대상</x:v>
      </x:c>
      <x:c r="AB97" s="2" t="str">
        <x:v>2025-09-22 11:17:40 - 방법론신청
2025-09-22 11:17:41 - 관장기관지정 (기후에너지환경부)
2025-09-29 09:37:08 - 관장기관지정 (해양수산부)
2025-11-03 16:05:59 - 관장기관지정 (산업통상부)
2025-12-11 16:21:07 - 보완요청
2026-01-16 10:16:22 - 문서보완접수
2026-04-15 09:00:11 - 보완요청
2026-06-29 14:57:07 - 문서보완접수
</x:v>
      </x:c>
    </x:row>
    <x:row r="98" ht="42" customHeight="1">
      <x:c r="A98" s="2" t="str">
        <x:v>9ac4bf6294728788efb562cc</x:v>
      </x:c>
      <x:c r="B98" s="2" t="str">
        <x:v>방법론 신청</x:v>
      </x:c>
      <x:c r="C98" s="2" t="str">
        <x:v>공통</x:v>
      </x:c>
      <x:c r="D98" s="7" t="str">
        <x:v>(AMS-III.AV 개정) 융복합 수처리제를 활용한 500mL 생수 대체 온실가스 감축사업</x:v>
      </x:c>
      <x:c r="E98" s="2" t="str">
        <x:v>92</x:v>
      </x:c>
      <x:c r="F98" s="2" t="str">
        <x:v>2025-10-14</x:v>
      </x:c>
      <x:c r="G98" s="2" t="str">
        <x:v>2025</x:v>
      </x:c>
      <x:c r="H98" s="2" t="str">
        <x:v>10</x:v>
      </x:c>
      <x:c r="I98" s="2" t="str">
        <x:v>문서재제출요청</x:v>
      </x:c>
      <x:c r="J98" s="2" t="str">
        <x:v>문서재제출요청</x:v>
      </x:c>
      <x:c r="K98" s="2" t="str">
        <x:f>IF(OR(J98="심의승인",J98="반려",J98="반려완료",J98="심의완료"),"종결 표시",IF(OR(J98="기후부협의",J98="문서재제출요청",J98="보류",J98="보완요청",J98="보완완료",J98="평가중",J98="반려요청",J98="평가필요",LEFT(J98,5)="보완요청("),"미종결 표시","상태 확인 필요"))</x:f>
        <x:v>미종결 표시</x:v>
      </x:c>
      <x:c r="L98" s="2"/>
      <x:c r="M98" s="2"/>
      <x:c r="N98" s="8" t="n">
        <x:f>DATE(2026,10,15)-DATE(2025,10,14)</x:f>
        <x:v>366</x:v>
      </x:c>
      <x:c r="O98" s="2"/>
      <x:c r="P98" s="2"/>
      <x:c r="Q98" s="2" t="str">
        <x:v>산업전환_외부사업관리Tool_260707_이너젠 수정_LJY_261013.xlsx</x:v>
      </x:c>
      <x:c r="R98" s="2" t="str">
        <x:v>방법론</x:v>
      </x:c>
      <x:c r="S98" s="8" t="n">
        <x:v>94</x:v>
      </x:c>
      <x:c r="T98" s="2"/>
      <x:c r="U98" s="2" t="str"/>
      <x:c r="V98" s="2" t="str">
        <x:v>2025-12-11</x:v>
      </x:c>
      <x:c r="W98" s="2" t="str">
        <x:v>담당기관 확인 / 신청유형 불일치</x:v>
      </x:c>
      <x:c r="X98" s="2" t="str">
        <x:v>원본·배정 기록 확인</x:v>
      </x:c>
      <x:c r="Y98" s="2" t="str">
        <x:v>ad210cd9ec132cfd447541c8984dc53d30aff0f4fb2dc92d254d49275cc55976</x:v>
      </x:c>
      <x:c r="Z98" s="2" t="n">
        <x:f>SUBTOTAL(103,A98)</x:f>
        <x:v>1</x:v>
      </x:c>
      <x:c r="AA98" s="2" t="str">
        <x:f>IF(K98&lt;&gt;"미종결 표시","대상 아님",IF(N98="","신청일 확인",IF(NOT(ISNUMBER('종합 현황'!$H$5)),"관찰기준 확인",IF('종합 현황'!$H$5&lt;1,"관찰기준 확인",IF(N98&gt;'종합 현황'!$H$5,"내부 관찰 대상","내부 관찰일 이하")))))</x:f>
        <x:v>내부 관찰 대상</x:v>
      </x:c>
      <x:c r="AB98" s="2" t="str">
        <x:v>2025-10-14 16:49:53 - 방법론신청
2025-10-14 16:49:54 - 관장기관지정 (기후에너지환경부)
2025-10-16 14:11:49 - 관장기관지정 (산업통상부)
2025-12-11 16:22:15 - 문서재제출요청
</x:v>
      </x:c>
    </x:row>
    <x:row r="99" ht="42" customHeight="1">
      <x:c r="A99" s="2" t="str">
        <x:v>b003c8ca340933f227829762</x:v>
      </x:c>
      <x:c r="B99" s="2" t="str">
        <x:v>방법론 신청</x:v>
      </x:c>
      <x:c r="C99" s="2" t="str">
        <x:v>공통</x:v>
      </x:c>
      <x:c r="D99" s="7" t="str">
        <x:v>디스플레이제조공정 공정가스 처리를 통한 온실가스(F-Gas) 감축사업</x:v>
      </x:c>
      <x:c r="E99" s="2" t="str">
        <x:v>93</x:v>
      </x:c>
      <x:c r="F99" s="2" t="str">
        <x:v>2025-11-19</x:v>
      </x:c>
      <x:c r="G99" s="2" t="str">
        <x:v>2025</x:v>
      </x:c>
      <x:c r="H99" s="2" t="str">
        <x:v>11</x:v>
      </x:c>
      <x:c r="I99" s="2" t="str">
        <x:v>문서재제출요청</x:v>
      </x:c>
      <x:c r="J99" s="2" t="str">
        <x:v>문서재제출요청</x:v>
      </x:c>
      <x:c r="K99" s="2" t="str">
        <x:f>IF(OR(J99="심의승인",J99="반려",J99="반려완료",J99="심의완료"),"종결 표시",IF(OR(J99="기후부협의",J99="문서재제출요청",J99="보류",J99="보완요청",J99="보완완료",J99="평가중",J99="반려요청",J99="평가필요",LEFT(J99,5)="보완요청("),"미종결 표시","상태 확인 필요"))</x:f>
        <x:v>미종결 표시</x:v>
      </x:c>
      <x:c r="L99" s="2"/>
      <x:c r="M99" s="2"/>
      <x:c r="N99" s="8" t="n">
        <x:f>DATE(2026,10,15)-DATE(2025,11,19)</x:f>
        <x:v>330</x:v>
      </x:c>
      <x:c r="O99" s="2"/>
      <x:c r="P99" s="2"/>
      <x:c r="Q99" s="2" t="str">
        <x:v>산업전환_외부사업관리Tool_260707_이너젠 수정_LJY_261013.xlsx</x:v>
      </x:c>
      <x:c r="R99" s="2" t="str">
        <x:v>방법론</x:v>
      </x:c>
      <x:c r="S99" s="8" t="n">
        <x:v>95</x:v>
      </x:c>
      <x:c r="T99" s="2"/>
      <x:c r="U99" s="2" t="str"/>
      <x:c r="V99" s="2" t="str">
        <x:v>2025-11-24</x:v>
      </x:c>
      <x:c r="W99" s="2" t="str">
        <x:v>담당기관 확인</x:v>
      </x:c>
      <x:c r="X99" s="2" t="str">
        <x:v>원본·배정 기록 확인</x:v>
      </x:c>
      <x:c r="Y99" s="2" t="str">
        <x:v>ad210cd9ec132cfd447541c8984dc53d30aff0f4fb2dc92d254d49275cc55976</x:v>
      </x:c>
      <x:c r="Z99" s="2" t="n">
        <x:f>SUBTOTAL(103,A99)</x:f>
        <x:v>1</x:v>
      </x:c>
      <x:c r="AA99" s="2" t="str">
        <x:f>IF(K99&lt;&gt;"미종결 표시","대상 아님",IF(N99="","신청일 확인",IF(NOT(ISNUMBER('종합 현황'!$H$5)),"관찰기준 확인",IF('종합 현황'!$H$5&lt;1,"관찰기준 확인",IF(N99&gt;'종합 현황'!$H$5,"내부 관찰 대상","내부 관찰일 이하")))))</x:f>
        <x:v>내부 관찰 대상</x:v>
      </x:c>
      <x:c r="AB99" s="2" t="str">
        <x:v>2025-11-19 09:58:11 - 방법론신청
2025-11-19 09:58:12 - 관장기관지정 (기후에너지환경부)
2025-11-20 09:03:54 - 관장기관지정 (산업통상부)
2025-11-21 15:34:07 - 보완요청
2025-11-24 14:29:48 - 문서보완접수
2025-11-24 14:31:40 - 문서재제출요청
</x:v>
      </x:c>
    </x:row>
    <x:row r="100" ht="42" customHeight="1">
      <x:c r="A100" s="2" t="str">
        <x:v>75d803420b2fa286e2a84ab2</x:v>
      </x:c>
      <x:c r="B100" s="2" t="str">
        <x:v>방법론 신청</x:v>
      </x:c>
      <x:c r="C100" s="2" t="str">
        <x:v>공통</x:v>
      </x:c>
      <x:c r="D100" s="7" t="str">
        <x:v>디스플레이 제조공정 감축설비 도입을 통한 온실가스(N₂O) 감축사업 방법론</x:v>
      </x:c>
      <x:c r="E100" s="2" t="str">
        <x:v>94</x:v>
      </x:c>
      <x:c r="F100" s="2" t="str">
        <x:v>2025-11-19</x:v>
      </x:c>
      <x:c r="G100" s="2" t="str">
        <x:v>2025</x:v>
      </x:c>
      <x:c r="H100" s="2" t="str">
        <x:v>11</x:v>
      </x:c>
      <x:c r="I100" s="2" t="str">
        <x:v>심의승인</x:v>
      </x:c>
      <x:c r="J100" s="2" t="str">
        <x:v>심의승인</x:v>
      </x:c>
      <x:c r="K100" s="2" t="str">
        <x:f>IF(OR(J100="심의승인",J100="반려",J100="반려완료",J100="심의완료"),"종결 표시",IF(OR(J100="기후부협의",J100="문서재제출요청",J100="보류",J100="보완요청",J100="보완완료",J100="평가중",J100="반려요청",J100="평가필요",LEFT(J100,5)="보완요청("),"미종결 표시","상태 확인 필요"))</x:f>
        <x:v>종결 표시</x:v>
      </x:c>
      <x:c r="L100" s="2"/>
      <x:c r="M100" s="2"/>
      <x:c r="N100" s="8" t="n">
        <x:f>DATE(2026,10,15)-DATE(2025,11,19)</x:f>
        <x:v>330</x:v>
      </x:c>
      <x:c r="O100" s="2"/>
      <x:c r="P100" s="2"/>
      <x:c r="Q100" s="2" t="str">
        <x:v>산업전환_외부사업관리Tool_260707_이너젠 수정_LJY_261013.xlsx</x:v>
      </x:c>
      <x:c r="R100" s="2" t="str">
        <x:v>방법론</x:v>
      </x:c>
      <x:c r="S100" s="8" t="n">
        <x:v>96</x:v>
      </x:c>
      <x:c r="T100" s="2"/>
      <x:c r="U100" s="2" t="str"/>
      <x:c r="V100" s="2" t="str">
        <x:v>2026-03-12</x:v>
      </x:c>
      <x:c r="W100" s="2" t="str">
        <x:v>담당기관 확인</x:v>
      </x:c>
      <x:c r="X100" s="2" t="str">
        <x:v>원본·배정 기록 확인</x:v>
      </x:c>
      <x:c r="Y100" s="2" t="str">
        <x:v>ad210cd9ec132cfd447541c8984dc53d30aff0f4fb2dc92d254d49275cc55976</x:v>
      </x:c>
      <x:c r="Z100" s="2" t="n">
        <x:f>SUBTOTAL(103,A100)</x:f>
        <x:v>1</x:v>
      </x:c>
      <x:c r="AA100" s="2" t="str">
        <x:f>IF(K100&lt;&gt;"미종결 표시","대상 아님",IF(N100="","신청일 확인",IF(NOT(ISNUMBER('종합 현황'!$H$5)),"관찰기준 확인",IF('종합 현황'!$H$5&lt;1,"관찰기준 확인",IF(N100&gt;'종합 현황'!$H$5,"내부 관찰 대상","내부 관찰일 이하")))))</x:f>
        <x:v>대상 아님</x:v>
      </x:c>
      <x:c r="AB100" s="2" t="str">
        <x:v>2025-11-19 09:59:21 - 방법론신청
2025-11-19 09:59:23 - 관장기관지정 (기후에너지환경부)
2025-11-20 09:03:46 - 관장기관지정 (산업통상부)
2025-11-24 14:22:44 - 보완요청
2025-11-25 10:32:02 - 문서보완접수
2025-11-25 16:13:15 - 보완요청
2025-11-26 08:27:01 - 문서보완접수
2025-11-26 10:04:11 - 문서재제출요청
2025-11-26 13:23:26 - 문서보완접수
2025-11-26 13:23:26 - 문서재제출완료
2025-11-28 17:14:01 - 검토승인
2025-12-08 10:15:41 - 협의검토중 (협의 요청일 : 2025-11-28)
2026-01-14 13:57:53 - 협의통보 (협의 통보일 : 2026-01-13)
2026-03-12 11:34:37 - 심의승인
</x:v>
      </x:c>
    </x:row>
    <x:row r="101" ht="42" customHeight="1">
      <x:c r="A101" s="2" t="str">
        <x:v>876112cf95434ba4b3da25e3</x:v>
      </x:c>
      <x:c r="B101" s="2" t="str">
        <x:v>방법론 신청</x:v>
      </x:c>
      <x:c r="C101" s="2" t="str">
        <x:v>공통</x:v>
      </x:c>
      <x:c r="D101" s="7" t="str">
        <x:v>LPG 입하시 승온과정에서 해수열을 이용한 화석연료 사용 절감 사업의 방법론</x:v>
      </x:c>
      <x:c r="E101" s="2" t="str">
        <x:v>95</x:v>
      </x:c>
      <x:c r="F101" s="2" t="str">
        <x:v>2025-12-03</x:v>
      </x:c>
      <x:c r="G101" s="2" t="str">
        <x:v>2025</x:v>
      </x:c>
      <x:c r="H101" s="2" t="str">
        <x:v>12</x:v>
      </x:c>
      <x:c r="I101" s="2" t="str">
        <x:v>보완완료</x:v>
      </x:c>
      <x:c r="J101" s="2" t="str">
        <x:v>평가중</x:v>
      </x:c>
      <x:c r="K101" s="2" t="str">
        <x:f>IF(OR(J101="심의승인",J101="반려",J101="반려완료",J101="심의완료"),"종결 표시",IF(OR(J101="기후부협의",J101="문서재제출요청",J101="보류",J101="보완요청",J101="보완완료",J101="평가중",J101="반려요청",J101="평가필요",LEFT(J101,5)="보완요청("),"미종결 표시","상태 확인 필요"))</x:f>
        <x:v>미종결 표시</x:v>
      </x:c>
      <x:c r="L101" s="2"/>
      <x:c r="M101" s="2"/>
      <x:c r="N101" s="8" t="n">
        <x:f>DATE(2026,10,15)-DATE(2025,12,3)</x:f>
        <x:v>316</x:v>
      </x:c>
      <x:c r="O101" s="2"/>
      <x:c r="P101" s="2"/>
      <x:c r="Q101" s="2" t="str">
        <x:v>산업전환_외부사업관리Tool_260707_이너젠 수정_LJY_261013.xlsx</x:v>
      </x:c>
      <x:c r="R101" s="2" t="str">
        <x:v>방법론</x:v>
      </x:c>
      <x:c r="S101" s="8" t="n">
        <x:v>97</x:v>
      </x:c>
      <x:c r="T101" s="2"/>
      <x:c r="U101" s="2" t="str"/>
      <x:c r="V101" s="2" t="str">
        <x:v>2026-06-19</x:v>
      </x:c>
      <x:c r="W101" s="2" t="str">
        <x:v>담당기관 확인</x:v>
      </x:c>
      <x:c r="X101" s="2" t="str">
        <x:v>원본·배정 기록 확인</x:v>
      </x:c>
      <x:c r="Y101" s="2" t="str">
        <x:v>ad210cd9ec132cfd447541c8984dc53d30aff0f4fb2dc92d254d49275cc55976</x:v>
      </x:c>
      <x:c r="Z101" s="2" t="n">
        <x:f>SUBTOTAL(103,A101)</x:f>
        <x:v>1</x:v>
      </x:c>
      <x:c r="AA101" s="2" t="str">
        <x:f>IF(K101&lt;&gt;"미종결 표시","대상 아님",IF(N101="","신청일 확인",IF(NOT(ISNUMBER('종합 현황'!$H$5)),"관찰기준 확인",IF('종합 현황'!$H$5&lt;1,"관찰기준 확인",IF(N101&gt;'종합 현황'!$H$5,"내부 관찰 대상","내부 관찰일 이하")))))</x:f>
        <x:v>내부 관찰 대상</x:v>
      </x:c>
      <x:c r="AB101" s="2" t="str">
        <x:v>2025-12-03 10:00:39 - 방법론신청
2025-12-03 10:00:40 - 관장기관지정 (기후에너지환경부)
2025-12-04 09:07:20 - 관장기관지정 (해양수산부)
2026-01-05 11:07:06 - 관장기관지정 (산업통상부)
2026-02-24 09:32:05 - 보완요청
2026-03-31 14:41:39 - 문서보완접수
2026-06-17 10:57:44 - 보완요청
2026-06-19 13:04:46 - 문서보완접수
</x:v>
      </x:c>
    </x:row>
    <x:row r="102" ht="42" customHeight="1">
      <x:c r="A102" s="2" t="str">
        <x:v>3c429a8194f4a4bfede04260</x:v>
      </x:c>
      <x:c r="B102" s="2" t="str">
        <x:v>방법론 신청</x:v>
      </x:c>
      <x:c r="C102" s="2" t="str">
        <x:v>공통</x:v>
      </x:c>
      <x:c r="D102" s="7" t="str">
        <x:v>SMR 기반 수소제조시설에서 이산화탄소 포집 및 활용 기술의 온실가스 감축 방법론</x:v>
      </x:c>
      <x:c r="E102" s="2" t="str">
        <x:v>96</x:v>
      </x:c>
      <x:c r="F102" s="2" t="str">
        <x:v>2026-01-05</x:v>
      </x:c>
      <x:c r="G102" s="2" t="str">
        <x:v>2026</x:v>
      </x:c>
      <x:c r="H102" s="2" t="str">
        <x:v>01</x:v>
      </x:c>
      <x:c r="I102" s="2" t="str">
        <x:v>보완완료</x:v>
      </x:c>
      <x:c r="J102" s="2" t="str">
        <x:v>평가중</x:v>
      </x:c>
      <x:c r="K102" s="2" t="str">
        <x:f>IF(OR(J102="심의승인",J102="반려",J102="반려완료",J102="심의완료"),"종결 표시",IF(OR(J102="기후부협의",J102="문서재제출요청",J102="보류",J102="보완요청",J102="보완완료",J102="평가중",J102="반려요청",J102="평가필요",LEFT(J102,5)="보완요청("),"미종결 표시","상태 확인 필요"))</x:f>
        <x:v>미종결 표시</x:v>
      </x:c>
      <x:c r="L102" s="2"/>
      <x:c r="M102" s="2"/>
      <x:c r="N102" s="8" t="n">
        <x:f>DATE(2026,10,15)-DATE(2026,1,5)</x:f>
        <x:v>283</x:v>
      </x:c>
      <x:c r="O102" s="2"/>
      <x:c r="P102" s="2"/>
      <x:c r="Q102" s="2" t="str">
        <x:v>산업전환_외부사업관리Tool_260707_이너젠 수정_LJY_261013.xlsx</x:v>
      </x:c>
      <x:c r="R102" s="2" t="str">
        <x:v>방법론</x:v>
      </x:c>
      <x:c r="S102" s="8" t="n">
        <x:v>98</x:v>
      </x:c>
      <x:c r="T102" s="2"/>
      <x:c r="U102" s="2" t="str"/>
      <x:c r="V102" s="2" t="str">
        <x:v>2026-07-06</x:v>
      </x:c>
      <x:c r="W102" s="2" t="str">
        <x:v>담당기관 확인</x:v>
      </x:c>
      <x:c r="X102" s="2" t="str">
        <x:v>원본·배정 기록 확인</x:v>
      </x:c>
      <x:c r="Y102" s="2" t="str">
        <x:v>ad210cd9ec132cfd447541c8984dc53d30aff0f4fb2dc92d254d49275cc55976</x:v>
      </x:c>
      <x:c r="Z102" s="2" t="n">
        <x:f>SUBTOTAL(103,A102)</x:f>
        <x:v>1</x:v>
      </x:c>
      <x:c r="AA102" s="2" t="str">
        <x:f>IF(K102&lt;&gt;"미종결 표시","대상 아님",IF(N102="","신청일 확인",IF(NOT(ISNUMBER('종합 현황'!$H$5)),"관찰기준 확인",IF('종합 현황'!$H$5&lt;1,"관찰기준 확인",IF(N102&gt;'종합 현황'!$H$5,"내부 관찰 대상","내부 관찰일 이하")))))</x:f>
        <x:v>내부 관찰 대상</x:v>
      </x:c>
      <x:c r="AB102" s="2" t="str">
        <x:v>2026-01-05 13:33:41 - 방법론신청
2026-01-05 13:33:42 - 관장기관지정 (기후에너지환경부)
2026-01-05 17:16:32 - 관장기관지정 (산업통상부)
2026-03-31 11:19:59 - 보완요청
2026-07-06 14:41:50 - 문서보완접수
</x:v>
      </x:c>
    </x:row>
    <x:row r="103" ht="42" customHeight="1">
      <x:c r="A103" s="2" t="str">
        <x:v>658057db6e394aa651db0764</x:v>
      </x:c>
      <x:c r="B103" s="2" t="str">
        <x:v>방법론 신청</x:v>
      </x:c>
      <x:c r="C103" s="2" t="str">
        <x:v>공통</x:v>
      </x:c>
      <x:c r="D103" s="7" t="str">
        <x:v>유수율제고를 통한 간접배출 감축 방법론</x:v>
      </x:c>
      <x:c r="E103" s="2" t="str">
        <x:v>97</x:v>
      </x:c>
      <x:c r="F103" s="2" t="str">
        <x:v>2026-03-09</x:v>
      </x:c>
      <x:c r="G103" s="2" t="str">
        <x:v>2026</x:v>
      </x:c>
      <x:c r="H103" s="2" t="str">
        <x:v>03</x:v>
      </x:c>
      <x:c r="I103" s="2" t="str">
        <x:v>보완완료</x:v>
      </x:c>
      <x:c r="J103" s="2" t="str">
        <x:v>평가중</x:v>
      </x:c>
      <x:c r="K103" s="2" t="str">
        <x:f>IF(OR(J103="심의승인",J103="반려",J103="반려완료",J103="심의완료"),"종결 표시",IF(OR(J103="기후부협의",J103="문서재제출요청",J103="보류",J103="보완요청",J103="보완완료",J103="평가중",J103="반려요청",J103="평가필요",LEFT(J103,5)="보완요청("),"미종결 표시","상태 확인 필요"))</x:f>
        <x:v>미종결 표시</x:v>
      </x:c>
      <x:c r="L103" s="2"/>
      <x:c r="M103" s="2"/>
      <x:c r="N103" s="8" t="n">
        <x:f>DATE(2026,10,15)-DATE(2026,3,9)</x:f>
        <x:v>220</x:v>
      </x:c>
      <x:c r="O103" s="2"/>
      <x:c r="P103" s="2"/>
      <x:c r="Q103" s="2" t="str">
        <x:v>산업전환_외부사업관리Tool_260707_이너젠 수정_LJY_261013.xlsx</x:v>
      </x:c>
      <x:c r="R103" s="2" t="str">
        <x:v>방법론</x:v>
      </x:c>
      <x:c r="S103" s="8" t="n">
        <x:v>99</x:v>
      </x:c>
      <x:c r="T103" s="2"/>
      <x:c r="U103" s="2" t="str"/>
      <x:c r="V103" s="2" t="str">
        <x:v>2026-06-04</x:v>
      </x:c>
      <x:c r="W103" s="2" t="str">
        <x:v>담당기관 확인</x:v>
      </x:c>
      <x:c r="X103" s="2" t="str">
        <x:v>원본·배정 기록 확인</x:v>
      </x:c>
      <x:c r="Y103" s="2" t="str">
        <x:v>ad210cd9ec132cfd447541c8984dc53d30aff0f4fb2dc92d254d49275cc55976</x:v>
      </x:c>
      <x:c r="Z103" s="2" t="n">
        <x:f>SUBTOTAL(103,A103)</x:f>
        <x:v>1</x:v>
      </x:c>
      <x:c r="AA103" s="2" t="str">
        <x:f>IF(K103&lt;&gt;"미종결 표시","대상 아님",IF(N103="","신청일 확인",IF(NOT(ISNUMBER('종합 현황'!$H$5)),"관찰기준 확인",IF('종합 현황'!$H$5&lt;1,"관찰기준 확인",IF(N103&gt;'종합 현황'!$H$5,"내부 관찰 대상","내부 관찰일 이하")))))</x:f>
        <x:v>내부 관찰 대상</x:v>
      </x:c>
      <x:c r="AB103" s="2" t="str">
        <x:v>2026-03-09 16:10:04 - 방법론신청
2026-03-09 16:10:05 - 관장기관지정 (기후에너지환경부)
2026-03-11 09:20:42 - 관장기관지정 (산업통상부)
2026-05-08 13:33:24 - 보완요청
2026-06-04 14:35:02 - 문서보완접수
</x:v>
      </x:c>
    </x:row>
    <x:row r="104" ht="42" customHeight="1">
      <x:c r="A104" s="2" t="str">
        <x:v>cfeac5df640c9e9d4ce790f6</x:v>
      </x:c>
      <x:c r="B104" s="2" t="str">
        <x:v>방법론 신청</x:v>
      </x:c>
      <x:c r="C104" s="2" t="str">
        <x:v>공통</x:v>
      </x:c>
      <x:c r="D104" s="7" t="str">
        <x:v>물재사용절수시스템에 따르 온실가스감축사업의방법론</x:v>
      </x:c>
      <x:c r="E104" s="2" t="str">
        <x:v>98</x:v>
      </x:c>
      <x:c r="F104" s="2" t="str">
        <x:v>2026-03-19</x:v>
      </x:c>
      <x:c r="G104" s="2" t="str">
        <x:v>2026</x:v>
      </x:c>
      <x:c r="H104" s="2" t="str">
        <x:v>03</x:v>
      </x:c>
      <x:c r="I104" s="2" t="str">
        <x:v>보완완료</x:v>
      </x:c>
      <x:c r="J104" s="2" t="str">
        <x:v>평가중</x:v>
      </x:c>
      <x:c r="K104" s="2" t="str">
        <x:f>IF(OR(J104="심의승인",J104="반려",J104="반려완료",J104="심의완료"),"종결 표시",IF(OR(J104="기후부협의",J104="문서재제출요청",J104="보류",J104="보완요청",J104="보완완료",J104="평가중",J104="반려요청",J104="평가필요",LEFT(J104,5)="보완요청("),"미종결 표시","상태 확인 필요"))</x:f>
        <x:v>미종결 표시</x:v>
      </x:c>
      <x:c r="L104" s="2"/>
      <x:c r="M104" s="2"/>
      <x:c r="N104" s="8" t="n">
        <x:f>DATE(2026,10,15)-DATE(2026,3,19)</x:f>
        <x:v>210</x:v>
      </x:c>
      <x:c r="O104" s="2"/>
      <x:c r="P104" s="2"/>
      <x:c r="Q104" s="2" t="str">
        <x:v>산업전환_외부사업관리Tool_260707_이너젠 수정_LJY_261013.xlsx</x:v>
      </x:c>
      <x:c r="R104" s="2" t="str">
        <x:v>방법론</x:v>
      </x:c>
      <x:c r="S104" s="8" t="n">
        <x:v>100</x:v>
      </x:c>
      <x:c r="T104" s="2"/>
      <x:c r="U104" s="2" t="str"/>
      <x:c r="V104" s="2" t="str">
        <x:v>2026-06-30</x:v>
      </x:c>
      <x:c r="W104" s="2" t="str">
        <x:v>담당기관 확인</x:v>
      </x:c>
      <x:c r="X104" s="2" t="str">
        <x:v>원본·배정 기록 확인</x:v>
      </x:c>
      <x:c r="Y104" s="2" t="str">
        <x:v>ad210cd9ec132cfd447541c8984dc53d30aff0f4fb2dc92d254d49275cc55976</x:v>
      </x:c>
      <x:c r="Z104" s="2" t="n">
        <x:f>SUBTOTAL(103,A104)</x:f>
        <x:v>1</x:v>
      </x:c>
      <x:c r="AA104" s="2" t="str">
        <x:f>IF(K104&lt;&gt;"미종결 표시","대상 아님",IF(N104="","신청일 확인",IF(NOT(ISNUMBER('종합 현황'!$H$5)),"관찰기준 확인",IF('종합 현황'!$H$5&lt;1,"관찰기준 확인",IF(N104&gt;'종합 현황'!$H$5,"내부 관찰 대상","내부 관찰일 이하")))))</x:f>
        <x:v>내부 관찰 대상</x:v>
      </x:c>
      <x:c r="AB104" s="2" t="str">
        <x:v>2026-03-19 15:05:24 - 방법론신청
2026-03-19 15:05:26 - 관장기관지정 (기후에너지환경부)
2026-03-20 09:58:08 - 관장기관지정 (산업통상부)
2026-06-09 16:50:33 - 보완요청
2026-06-30 09:16:43 - 문서보완접수
</x:v>
      </x:c>
    </x:row>
    <x:row r="105" ht="42" customHeight="1">
      <x:c r="A105" s="2" t="str">
        <x:v>4cfa2c470a7af1e710bce571</x:v>
      </x:c>
      <x:c r="B105" s="2" t="str">
        <x:v>방법론 신청</x:v>
      </x:c>
      <x:c r="C105" s="2" t="str">
        <x:v>공통</x:v>
      </x:c>
      <x:c r="D105" s="7" t="str">
        <x:v>국내 중온 아스팔트 혼합물 생산을 통한 연료 및 온실가스 저감 사업의 방법론(개정안)</x:v>
      </x:c>
      <x:c r="E105" s="2" t="str">
        <x:v>99</x:v>
      </x:c>
      <x:c r="F105" s="2" t="str">
        <x:v>2026-03-26</x:v>
      </x:c>
      <x:c r="G105" s="2" t="str">
        <x:v>2026</x:v>
      </x:c>
      <x:c r="H105" s="2" t="str">
        <x:v>03</x:v>
      </x:c>
      <x:c r="I105" s="2" t="str">
        <x:v>보완요청</x:v>
      </x:c>
      <x:c r="J105" s="2" t="str">
        <x:v>보완요청(1차)</x:v>
      </x:c>
      <x:c r="K105" s="2" t="str">
        <x:f>IF(OR(J105="심의승인",J105="반려",J105="반려완료",J105="심의완료"),"종결 표시",IF(OR(J105="기후부협의",J105="문서재제출요청",J105="보류",J105="보완요청",J105="보완완료",J105="평가중",J105="반려요청",J105="평가필요",LEFT(J105,5)="보완요청("),"미종결 표시","상태 확인 필요"))</x:f>
        <x:v>미종결 표시</x:v>
      </x:c>
      <x:c r="L105" s="2"/>
      <x:c r="M105" s="2" t="n">
        <x:v>1</x:v>
      </x:c>
      <x:c r="N105" s="8" t="n">
        <x:f>DATE(2026,10,15)-DATE(2026,3,26)</x:f>
        <x:v>203</x:v>
      </x:c>
      <x:c r="O105" s="2"/>
      <x:c r="P105" s="2"/>
      <x:c r="Q105" s="2" t="str">
        <x:v>산업전환_외부사업관리Tool_260707_이너젠 수정_LJY_261013.xlsx</x:v>
      </x:c>
      <x:c r="R105" s="2" t="str">
        <x:v>방법론</x:v>
      </x:c>
      <x:c r="S105" s="8" t="n">
        <x:v>101</x:v>
      </x:c>
      <x:c r="T105" s="2"/>
      <x:c r="U105" s="2" t="str"/>
      <x:c r="V105" s="2" t="str">
        <x:v>2026-06-12</x:v>
      </x:c>
      <x:c r="W105" s="2" t="str">
        <x:v>담당기관 확인</x:v>
      </x:c>
      <x:c r="X105" s="2" t="str">
        <x:v>원본·배정 기록 확인</x:v>
      </x:c>
      <x:c r="Y105" s="2" t="str">
        <x:v>ad210cd9ec132cfd447541c8984dc53d30aff0f4fb2dc92d254d49275cc55976</x:v>
      </x:c>
      <x:c r="Z105" s="2" t="n">
        <x:f>SUBTOTAL(103,A105)</x:f>
        <x:v>1</x:v>
      </x:c>
      <x:c r="AA105" s="2" t="str">
        <x:f>IF(K105&lt;&gt;"미종결 표시","대상 아님",IF(N105="","신청일 확인",IF(NOT(ISNUMBER('종합 현황'!$H$5)),"관찰기준 확인",IF('종합 현황'!$H$5&lt;1,"관찰기준 확인",IF(N105&gt;'종합 현황'!$H$5,"내부 관찰 대상","내부 관찰일 이하")))))</x:f>
        <x:v>내부 관찰 대상</x:v>
      </x:c>
      <x:c r="AB105" s="2" t="str">
        <x:v>2026-03-26 13:48:43 - 방법론신청
2026-03-26 13:48:44 - 관장기관지정 (기후에너지환경부)
2026-03-27 14:33:59 - 관장기관지정 (국토교통부)
2026-03-30 16:52:42 - 관장기관지정 (산업통상부)
2026-06-12 16:51:02 - 보완요청
</x:v>
      </x:c>
    </x:row>
    <x:row r="106" ht="42" customHeight="1">
      <x:c r="A106" s="2" t="str">
        <x:v>ae206357730df9fc1079b8a1</x:v>
      </x:c>
      <x:c r="B106" s="2" t="str">
        <x:v>사업 평가</x:v>
      </x:c>
      <x:c r="C106" s="2" t="str">
        <x:v>국내</x:v>
      </x:c>
      <x:c r="D106" s="7" t="str">
        <x:v>휴켐스 질산공장 N2O 감축사업(휴켐스 주식회사의 질산 공장 세 곳에서 tail gas에 포함된 아산화질소를 촉매를 사용하여 제거하는 프로젝트)</x:v>
      </x:c>
      <x:c r="E106" s="2" t="str">
        <x:v>환경부 이관 추가사업</x:v>
      </x:c>
      <x:c r="F106" s="2" t="str">
        <x:v>2015-02-10</x:v>
      </x:c>
      <x:c r="G106" s="2" t="str">
        <x:v>2015</x:v>
      </x:c>
      <x:c r="H106" s="2" t="str">
        <x:v>02</x:v>
      </x:c>
      <x:c r="I106" s="2" t="str">
        <x:v>승인</x:v>
      </x:c>
      <x:c r="J106" s="2" t="str">
        <x:v>심의승인</x:v>
      </x:c>
      <x:c r="K106" s="2" t="str">
        <x:f>IF(OR(J106="심의승인",J106="반려",J106="반려완료",J106="심의완료"),"종결 표시",IF(OR(J106="기후부협의",J106="문서재제출요청",J106="보류",J106="보완요청",J106="보완완료",J106="평가중",J106="반려요청",J106="평가필요",LEFT(J106,5)="보완요청("),"미종결 표시","상태 확인 필요"))</x:f>
        <x:v>종결 표시</x:v>
      </x:c>
      <x:c r="L106" s="2"/>
      <x:c r="M106" s="2"/>
      <x:c r="N106" s="8" t="n">
        <x:f>DATE(2026,10,15)-DATE(2015,2,10)</x:f>
        <x:v>4265</x:v>
      </x:c>
      <x:c r="O106" s="2"/>
      <x:c r="P106" s="2" t="str">
        <x:v>ORS 상 유효사업현황에서 환경부 사업이나 산업부 사업으로 확인되어 DB상 추가(2016년 7월 이전 승인사업)</x:v>
      </x:c>
      <x:c r="Q106" s="2" t="str">
        <x:v>산업전환_외부사업관리Tool_260707_이너젠 수정_LJY_261013.xlsx</x:v>
      </x:c>
      <x:c r="R106" s="2" t="str">
        <x:v>국내평가</x:v>
      </x:c>
      <x:c r="S106" s="8" t="n">
        <x:v>9</x:v>
      </x:c>
      <x:c r="T106" s="2"/>
      <x:c r="U106" s="2" t="str"/>
      <x:c r="V106" s="2" t="str">
        <x:v>2015-02-10</x:v>
      </x:c>
      <x:c r="W106" s="2" t="str">
        <x:v>담당기관 확인 / 동일 관리키 복수행·회차 확인</x:v>
      </x:c>
      <x:c r="X106" s="2" t="str">
        <x:v>원본·배정 기록 확인</x:v>
      </x:c>
      <x:c r="Y106" s="2" t="str">
        <x:v>ad210cd9ec132cfd447541c8984dc53d30aff0f4fb2dc92d254d49275cc55976</x:v>
      </x:c>
      <x:c r="Z106" s="2" t="n">
        <x:f>SUBTOTAL(103,A106)</x:f>
        <x:v>1</x:v>
      </x:c>
      <x:c r="AA106" s="2" t="str">
        <x:f>IF(K106&lt;&gt;"미종결 표시","대상 아님",IF(N106="","신청일 확인",IF(NOT(ISNUMBER('종합 현황'!$H$5)),"관찰기준 확인",IF('종합 현황'!$H$5&lt;1,"관찰기준 확인",IF(N106&gt;'종합 현황'!$H$5,"내부 관찰 대상","내부 관찰일 이하")))))</x:f>
        <x:v>대상 아님</x:v>
      </x:c>
      <x:c r="AB106" s="2"/>
    </x:row>
    <x:row r="107" ht="42" customHeight="1">
      <x:c r="A107" s="2" t="str">
        <x:v>2c84a4d8b317a3f76e1c43ff</x:v>
      </x:c>
      <x:c r="B107" s="2" t="str">
        <x:v>사업 평가</x:v>
      </x:c>
      <x:c r="C107" s="2" t="str">
        <x:v>국내</x:v>
      </x:c>
      <x:c r="D107" s="7" t="str">
        <x:v>(주)한화 울산소재 질산공장 N2O 감축 프로젝트</x:v>
      </x:c>
      <x:c r="E107" s="2" t="str">
        <x:v>환경부 이관 추가사업</x:v>
      </x:c>
      <x:c r="F107" s="2" t="str">
        <x:v>2015-02-10</x:v>
      </x:c>
      <x:c r="G107" s="2" t="str">
        <x:v>2015</x:v>
      </x:c>
      <x:c r="H107" s="2" t="str">
        <x:v>02</x:v>
      </x:c>
      <x:c r="I107" s="2" t="str">
        <x:v>승인</x:v>
      </x:c>
      <x:c r="J107" s="2" t="str">
        <x:v>심의승인</x:v>
      </x:c>
      <x:c r="K107" s="2" t="str">
        <x:f>IF(OR(J107="심의승인",J107="반려",J107="반려완료",J107="심의완료"),"종결 표시",IF(OR(J107="기후부협의",J107="문서재제출요청",J107="보류",J107="보완요청",J107="보완완료",J107="평가중",J107="반려요청",J107="평가필요",LEFT(J107,5)="보완요청("),"미종결 표시","상태 확인 필요"))</x:f>
        <x:v>종결 표시</x:v>
      </x:c>
      <x:c r="L107" s="2"/>
      <x:c r="M107" s="2"/>
      <x:c r="N107" s="8" t="n">
        <x:f>DATE(2026,10,15)-DATE(2015,2,10)</x:f>
        <x:v>4265</x:v>
      </x:c>
      <x:c r="O107" s="2"/>
      <x:c r="P107" s="2" t="str">
        <x:v>ORS 상 유효사업현황에서 환경부 사업이나 산업부 사업으로 확인되어 DB상 추가(2016년 7월 이전 승인사업)</x:v>
      </x:c>
      <x:c r="Q107" s="2" t="str">
        <x:v>산업전환_외부사업관리Tool_260707_이너젠 수정_LJY_261013.xlsx</x:v>
      </x:c>
      <x:c r="R107" s="2" t="str">
        <x:v>국내평가</x:v>
      </x:c>
      <x:c r="S107" s="8" t="n">
        <x:v>10</x:v>
      </x:c>
      <x:c r="T107" s="2"/>
      <x:c r="U107" s="2" t="str"/>
      <x:c r="V107" s="2" t="str">
        <x:v>2015-02-10</x:v>
      </x:c>
      <x:c r="W107" s="2" t="str">
        <x:v>담당기관 확인 / 동일 관리키 복수행·회차 확인</x:v>
      </x:c>
      <x:c r="X107" s="2" t="str">
        <x:v>원본·배정 기록 확인</x:v>
      </x:c>
      <x:c r="Y107" s="2" t="str">
        <x:v>ad210cd9ec132cfd447541c8984dc53d30aff0f4fb2dc92d254d49275cc55976</x:v>
      </x:c>
      <x:c r="Z107" s="2" t="n">
        <x:f>SUBTOTAL(103,A107)</x:f>
        <x:v>1</x:v>
      </x:c>
      <x:c r="AA107" s="2" t="str">
        <x:f>IF(K107&lt;&gt;"미종결 표시","대상 아님",IF(N107="","신청일 확인",IF(NOT(ISNUMBER('종합 현황'!$H$5)),"관찰기준 확인",IF('종합 현황'!$H$5&lt;1,"관찰기준 확인",IF(N107&gt;'종합 현황'!$H$5,"내부 관찰 대상","내부 관찰일 이하")))))</x:f>
        <x:v>대상 아님</x:v>
      </x:c>
      <x:c r="AB107" s="2"/>
    </x:row>
    <x:row r="108" ht="42" customHeight="1">
      <x:c r="A108" s="2" t="str">
        <x:v>ef419a192da99a47abaa03a7</x:v>
      </x:c>
      <x:c r="B108" s="2" t="str">
        <x:v>사업 평가</x:v>
      </x:c>
      <x:c r="C108" s="2" t="str">
        <x:v>국내</x:v>
      </x:c>
      <x:c r="D108" s="7" t="str">
        <x:v>(주)한화 울산소재 질산공장 N2O 감축 프로젝트</x:v>
      </x:c>
      <x:c r="E108" s="2" t="str">
        <x:v>환경부 이관 추가사업</x:v>
      </x:c>
      <x:c r="F108" s="2" t="str">
        <x:v>2015-02-24</x:v>
      </x:c>
      <x:c r="G108" s="2" t="str">
        <x:v>2015</x:v>
      </x:c>
      <x:c r="H108" s="2" t="str">
        <x:v>02</x:v>
      </x:c>
      <x:c r="I108" s="2" t="str">
        <x:v>승인</x:v>
      </x:c>
      <x:c r="J108" s="2" t="str">
        <x:v>심의승인</x:v>
      </x:c>
      <x:c r="K108" s="2" t="str">
        <x:f>IF(OR(J108="심의승인",J108="반려",J108="반려완료",J108="심의완료"),"종결 표시",IF(OR(J108="기후부협의",J108="문서재제출요청",J108="보류",J108="보완요청",J108="보완완료",J108="평가중",J108="반려요청",J108="평가필요",LEFT(J108,5)="보완요청("),"미종결 표시","상태 확인 필요"))</x:f>
        <x:v>종결 표시</x:v>
      </x:c>
      <x:c r="L108" s="2"/>
      <x:c r="M108" s="2"/>
      <x:c r="N108" s="8" t="n">
        <x:f>DATE(2026,10,15)-DATE(2015,2,24)</x:f>
        <x:v>4251</x:v>
      </x:c>
      <x:c r="O108" s="2"/>
      <x:c r="P108" s="2" t="str">
        <x:v>ORS 상 유효사업현황에서 환경부 사업이나 산업부 사업으로 확인되어 DB상 추가(2016년 7월 이전 승인사업)</x:v>
      </x:c>
      <x:c r="Q108" s="2" t="str">
        <x:v>산업전환_외부사업관리Tool_260707_이너젠 수정_LJY_261013.xlsx</x:v>
      </x:c>
      <x:c r="R108" s="2" t="str">
        <x:v>국내평가</x:v>
      </x:c>
      <x:c r="S108" s="8" t="n">
        <x:v>11</x:v>
      </x:c>
      <x:c r="T108" s="2"/>
      <x:c r="U108" s="2" t="str"/>
      <x:c r="V108" s="2" t="str">
        <x:v>2015-02-24</x:v>
      </x:c>
      <x:c r="W108" s="2" t="str">
        <x:v>담당기관 확인 / 동일 관리키 복수행·회차 확인</x:v>
      </x:c>
      <x:c r="X108" s="2" t="str">
        <x:v>원본·배정 기록 확인</x:v>
      </x:c>
      <x:c r="Y108" s="2" t="str">
        <x:v>ad210cd9ec132cfd447541c8984dc53d30aff0f4fb2dc92d254d49275cc55976</x:v>
      </x:c>
      <x:c r="Z108" s="2" t="n">
        <x:f>SUBTOTAL(103,A108)</x:f>
        <x:v>1</x:v>
      </x:c>
      <x:c r="AA108" s="2" t="str">
        <x:f>IF(K108&lt;&gt;"미종결 표시","대상 아님",IF(N108="","신청일 확인",IF(NOT(ISNUMBER('종합 현황'!$H$5)),"관찰기준 확인",IF('종합 현황'!$H$5&lt;1,"관찰기준 확인",IF(N108&gt;'종합 현황'!$H$5,"내부 관찰 대상","내부 관찰일 이하")))))</x:f>
        <x:v>대상 아님</x:v>
      </x:c>
      <x:c r="AB108" s="2"/>
    </x:row>
    <x:row r="109" ht="42" customHeight="1">
      <x:c r="A109" s="2" t="str">
        <x:v>a697e86efeeb43a6224c025b</x:v>
      </x:c>
      <x:c r="B109" s="2" t="str">
        <x:v>사업 평가</x:v>
      </x:c>
      <x:c r="C109" s="2" t="str">
        <x:v>국내</x:v>
      </x:c>
      <x:c r="D109" s="7" t="str">
        <x:v>SF6 회수 및 재생사업</x:v>
      </x:c>
      <x:c r="E109" s="2" t="str">
        <x:v>환경부 이관 추가사업</x:v>
      </x:c>
      <x:c r="F109" s="2" t="str">
        <x:v>2015-04-01</x:v>
      </x:c>
      <x:c r="G109" s="2" t="str">
        <x:v>2015</x:v>
      </x:c>
      <x:c r="H109" s="2" t="str">
        <x:v>04</x:v>
      </x:c>
      <x:c r="I109" s="2" t="str">
        <x:v>승인</x:v>
      </x:c>
      <x:c r="J109" s="2" t="str">
        <x:v>심의승인</x:v>
      </x:c>
      <x:c r="K109" s="2" t="str">
        <x:f>IF(OR(J109="심의승인",J109="반려",J109="반려완료",J109="심의완료"),"종결 표시",IF(OR(J109="기후부협의",J109="문서재제출요청",J109="보류",J109="보완요청",J109="보완완료",J109="평가중",J109="반려요청",J109="평가필요",LEFT(J109,5)="보완요청("),"미종결 표시","상태 확인 필요"))</x:f>
        <x:v>종결 표시</x:v>
      </x:c>
      <x:c r="L109" s="2"/>
      <x:c r="M109" s="2"/>
      <x:c r="N109" s="8" t="n">
        <x:f>DATE(2026,10,15)-DATE(2015,4,1)</x:f>
        <x:v>4215</x:v>
      </x:c>
      <x:c r="O109" s="2"/>
      <x:c r="P109" s="2" t="str">
        <x:v>ORS 상 유효사업현황에서 환경부 사업이나 산업부 사업으로 확인되어 DB상 추가(2016년 7월 이전 승인사업)</x:v>
      </x:c>
      <x:c r="Q109" s="2" t="str">
        <x:v>산업전환_외부사업관리Tool_260707_이너젠 수정_LJY_261013.xlsx</x:v>
      </x:c>
      <x:c r="R109" s="2" t="str">
        <x:v>국내평가</x:v>
      </x:c>
      <x:c r="S109" s="8" t="n">
        <x:v>12</x:v>
      </x:c>
      <x:c r="T109" s="2"/>
      <x:c r="U109" s="2" t="str"/>
      <x:c r="V109" s="2" t="str">
        <x:v>2015-04-01</x:v>
      </x:c>
      <x:c r="W109" s="2" t="str">
        <x:v>담당기관 확인 / 동일 관리키 복수행·회차 확인</x:v>
      </x:c>
      <x:c r="X109" s="2" t="str">
        <x:v>원본·배정 기록 확인</x:v>
      </x:c>
      <x:c r="Y109" s="2" t="str">
        <x:v>ad210cd9ec132cfd447541c8984dc53d30aff0f4fb2dc92d254d49275cc55976</x:v>
      </x:c>
      <x:c r="Z109" s="2" t="n">
        <x:f>SUBTOTAL(103,A109)</x:f>
        <x:v>1</x:v>
      </x:c>
      <x:c r="AA109" s="2" t="str">
        <x:f>IF(K109&lt;&gt;"미종결 표시","대상 아님",IF(N109="","신청일 확인",IF(NOT(ISNUMBER('종합 현황'!$H$5)),"관찰기준 확인",IF('종합 현황'!$H$5&lt;1,"관찰기준 확인",IF(N109&gt;'종합 현황'!$H$5,"내부 관찰 대상","내부 관찰일 이하")))))</x:f>
        <x:v>대상 아님</x:v>
      </x:c>
      <x:c r="AB109" s="2"/>
    </x:row>
    <x:row r="110" ht="42" customHeight="1">
      <x:c r="A110" s="2" t="str">
        <x:v>744ce6f795f1c7e4f577bbd8</x:v>
      </x:c>
      <x:c r="B110" s="2" t="str">
        <x:v>사업 평가</x:v>
      </x:c>
      <x:c r="C110" s="2" t="str">
        <x:v>국내</x:v>
      </x:c>
      <x:c r="D110" s="7" t="str">
        <x:v>카프로 N2O 저감 사업</x:v>
      </x:c>
      <x:c r="E110" s="2" t="str">
        <x:v>환경부 이관 추가사업</x:v>
      </x:c>
      <x:c r="F110" s="2" t="str">
        <x:v>2015-04-01</x:v>
      </x:c>
      <x:c r="G110" s="2" t="str">
        <x:v>2015</x:v>
      </x:c>
      <x:c r="H110" s="2" t="str">
        <x:v>04</x:v>
      </x:c>
      <x:c r="I110" s="2" t="str">
        <x:v>승인</x:v>
      </x:c>
      <x:c r="J110" s="2" t="str">
        <x:v>심의승인</x:v>
      </x:c>
      <x:c r="K110" s="2" t="str">
        <x:f>IF(OR(J110="심의승인",J110="반려",J110="반려완료",J110="심의완료"),"종결 표시",IF(OR(J110="기후부협의",J110="문서재제출요청",J110="보류",J110="보완요청",J110="보완완료",J110="평가중",J110="반려요청",J110="평가필요",LEFT(J110,5)="보완요청("),"미종결 표시","상태 확인 필요"))</x:f>
        <x:v>종결 표시</x:v>
      </x:c>
      <x:c r="L110" s="2"/>
      <x:c r="M110" s="2"/>
      <x:c r="N110" s="8" t="n">
        <x:f>DATE(2026,10,15)-DATE(2015,4,1)</x:f>
        <x:v>4215</x:v>
      </x:c>
      <x:c r="O110" s="2"/>
      <x:c r="P110" s="2" t="str">
        <x:v>ORS 상 유효사업현황에서 환경부 사업이나 산업부 사업으로 확인되어 DB상 추가(2016년 7월 이전 승인사업)</x:v>
      </x:c>
      <x:c r="Q110" s="2" t="str">
        <x:v>산업전환_외부사업관리Tool_260707_이너젠 수정_LJY_261013.xlsx</x:v>
      </x:c>
      <x:c r="R110" s="2" t="str">
        <x:v>국내평가</x:v>
      </x:c>
      <x:c r="S110" s="8" t="n">
        <x:v>13</x:v>
      </x:c>
      <x:c r="T110" s="2"/>
      <x:c r="U110" s="2" t="str"/>
      <x:c r="V110" s="2" t="str">
        <x:v>2015-04-01</x:v>
      </x:c>
      <x:c r="W110" s="2" t="str">
        <x:v>담당기관 확인 / 동일 관리키 복수행·회차 확인</x:v>
      </x:c>
      <x:c r="X110" s="2" t="str">
        <x:v>원본·배정 기록 확인</x:v>
      </x:c>
      <x:c r="Y110" s="2" t="str">
        <x:v>ad210cd9ec132cfd447541c8984dc53d30aff0f4fb2dc92d254d49275cc55976</x:v>
      </x:c>
      <x:c r="Z110" s="2" t="n">
        <x:f>SUBTOTAL(103,A110)</x:f>
        <x:v>1</x:v>
      </x:c>
      <x:c r="AA110" s="2" t="str">
        <x:f>IF(K110&lt;&gt;"미종결 표시","대상 아님",IF(N110="","신청일 확인",IF(NOT(ISNUMBER('종합 현황'!$H$5)),"관찰기준 확인",IF('종합 현황'!$H$5&lt;1,"관찰기준 확인",IF(N110&gt;'종합 현황'!$H$5,"내부 관찰 대상","내부 관찰일 이하")))))</x:f>
        <x:v>대상 아님</x:v>
      </x:c>
      <x:c r="AB110" s="2"/>
    </x:row>
    <x:row r="111" ht="42" customHeight="1">
      <x:c r="A111" s="2" t="str">
        <x:v>cdf5423378f41a6a4fc0c352</x:v>
      </x:c>
      <x:c r="B111" s="2" t="str">
        <x:v>사업 평가</x:v>
      </x:c>
      <x:c r="C111" s="2" t="str">
        <x:v>국내</x:v>
      </x:c>
      <x:c r="D111" s="7" t="str">
        <x:v>삼천리 연료전환 번들링 CDM</x:v>
      </x:c>
      <x:c r="E111" s="2" t="str">
        <x:v>환경부 이관 추가사업</x:v>
      </x:c>
      <x:c r="F111" s="2" t="str">
        <x:v>2015-04-01</x:v>
      </x:c>
      <x:c r="G111" s="2" t="str">
        <x:v>2015</x:v>
      </x:c>
      <x:c r="H111" s="2" t="str">
        <x:v>04</x:v>
      </x:c>
      <x:c r="I111" s="2" t="str">
        <x:v>승인</x:v>
      </x:c>
      <x:c r="J111" s="2" t="str">
        <x:v>심의승인</x:v>
      </x:c>
      <x:c r="K111" s="2" t="str">
        <x:f>IF(OR(J111="심의승인",J111="반려",J111="반려완료",J111="심의완료"),"종결 표시",IF(OR(J111="기후부협의",J111="문서재제출요청",J111="보류",J111="보완요청",J111="보완완료",J111="평가중",J111="반려요청",J111="평가필요",LEFT(J111,5)="보완요청("),"미종결 표시","상태 확인 필요"))</x:f>
        <x:v>종결 표시</x:v>
      </x:c>
      <x:c r="L111" s="2"/>
      <x:c r="M111" s="2"/>
      <x:c r="N111" s="8" t="n">
        <x:f>DATE(2026,10,15)-DATE(2015,4,1)</x:f>
        <x:v>4215</x:v>
      </x:c>
      <x:c r="O111" s="2"/>
      <x:c r="P111" s="2" t="str">
        <x:v>ORS 상 유효사업현황에서 환경부 사업이나 산업부 사업으로 확인되어 DB상 추가(2016년 7월 이전 승인사업)</x:v>
      </x:c>
      <x:c r="Q111" s="2" t="str">
        <x:v>산업전환_외부사업관리Tool_260707_이너젠 수정_LJY_261013.xlsx</x:v>
      </x:c>
      <x:c r="R111" s="2" t="str">
        <x:v>국내평가</x:v>
      </x:c>
      <x:c r="S111" s="8" t="n">
        <x:v>14</x:v>
      </x:c>
      <x:c r="T111" s="2"/>
      <x:c r="U111" s="2" t="str"/>
      <x:c r="V111" s="2" t="str">
        <x:v>2015-04-01</x:v>
      </x:c>
      <x:c r="W111" s="2" t="str">
        <x:v>담당기관 확인 / 동일 관리키 복수행·회차 확인</x:v>
      </x:c>
      <x:c r="X111" s="2" t="str">
        <x:v>원본·배정 기록 확인</x:v>
      </x:c>
      <x:c r="Y111" s="2" t="str">
        <x:v>ad210cd9ec132cfd447541c8984dc53d30aff0f4fb2dc92d254d49275cc55976</x:v>
      </x:c>
      <x:c r="Z111" s="2" t="n">
        <x:f>SUBTOTAL(103,A111)</x:f>
        <x:v>1</x:v>
      </x:c>
      <x:c r="AA111" s="2" t="str">
        <x:f>IF(K111&lt;&gt;"미종결 표시","대상 아님",IF(N111="","신청일 확인",IF(NOT(ISNUMBER('종합 현황'!$H$5)),"관찰기준 확인",IF('종합 현황'!$H$5&lt;1,"관찰기준 확인",IF(N111&gt;'종합 현황'!$H$5,"내부 관찰 대상","내부 관찰일 이하")))))</x:f>
        <x:v>대상 아님</x:v>
      </x:c>
      <x:c r="AB111" s="2"/>
    </x:row>
    <x:row r="112" ht="42" customHeight="1">
      <x:c r="A112" s="2" t="str">
        <x:v>4d774bfa74c610ff83a69997</x:v>
      </x:c>
      <x:c r="B112" s="2" t="str">
        <x:v>사업 평가</x:v>
      </x:c>
      <x:c r="C112" s="2" t="str">
        <x:v>국내</x:v>
      </x:c>
      <x:c r="D112" s="7" t="str">
        <x:v>영양 61.5MW 풍력발전단지 CDM 사업</x:v>
      </x:c>
      <x:c r="E112" s="2" t="str">
        <x:v>환경부 이관 추가사업</x:v>
      </x:c>
      <x:c r="F112" s="2" t="str">
        <x:v>2015-06-25</x:v>
      </x:c>
      <x:c r="G112" s="2" t="str">
        <x:v>2015</x:v>
      </x:c>
      <x:c r="H112" s="2" t="str">
        <x:v>06</x:v>
      </x:c>
      <x:c r="I112" s="2" t="str">
        <x:v>승인</x:v>
      </x:c>
      <x:c r="J112" s="2" t="str">
        <x:v>심의승인</x:v>
      </x:c>
      <x:c r="K112" s="2" t="str">
        <x:f>IF(OR(J112="심의승인",J112="반려",J112="반려완료",J112="심의완료"),"종결 표시",IF(OR(J112="기후부협의",J112="문서재제출요청",J112="보류",J112="보완요청",J112="보완완료",J112="평가중",J112="반려요청",J112="평가필요",LEFT(J112,5)="보완요청("),"미종결 표시","상태 확인 필요"))</x:f>
        <x:v>종결 표시</x:v>
      </x:c>
      <x:c r="L112" s="2"/>
      <x:c r="M112" s="2"/>
      <x:c r="N112" s="8" t="n">
        <x:f>DATE(2026,10,15)-DATE(2015,6,25)</x:f>
        <x:v>4130</x:v>
      </x:c>
      <x:c r="O112" s="2"/>
      <x:c r="P112" s="2" t="str">
        <x:v>ORS 상 유효사업현황에서 환경부 사업이나 산업부 사업으로 확인되어 DB상 추가(2016년 7월 이전 승인사업)</x:v>
      </x:c>
      <x:c r="Q112" s="2" t="str">
        <x:v>산업전환_외부사업관리Tool_260707_이너젠 수정_LJY_261013.xlsx</x:v>
      </x:c>
      <x:c r="R112" s="2" t="str">
        <x:v>국내평가</x:v>
      </x:c>
      <x:c r="S112" s="8" t="n">
        <x:v>15</x:v>
      </x:c>
      <x:c r="T112" s="2"/>
      <x:c r="U112" s="2" t="str"/>
      <x:c r="V112" s="2" t="str">
        <x:v>2015-06-25</x:v>
      </x:c>
      <x:c r="W112" s="2" t="str">
        <x:v>담당기관 확인 / 동일 관리키 복수행·회차 확인</x:v>
      </x:c>
      <x:c r="X112" s="2" t="str">
        <x:v>원본·배정 기록 확인</x:v>
      </x:c>
      <x:c r="Y112" s="2" t="str">
        <x:v>ad210cd9ec132cfd447541c8984dc53d30aff0f4fb2dc92d254d49275cc55976</x:v>
      </x:c>
      <x:c r="Z112" s="2" t="n">
        <x:f>SUBTOTAL(103,A112)</x:f>
        <x:v>1</x:v>
      </x:c>
      <x:c r="AA112" s="2" t="str">
        <x:f>IF(K112&lt;&gt;"미종결 표시","대상 아님",IF(N112="","신청일 확인",IF(NOT(ISNUMBER('종합 현황'!$H$5)),"관찰기준 확인",IF('종합 현황'!$H$5&lt;1,"관찰기준 확인",IF(N112&gt;'종합 현황'!$H$5,"내부 관찰 대상","내부 관찰일 이하")))))</x:f>
        <x:v>대상 아님</x:v>
      </x:c>
      <x:c r="AB112" s="2"/>
    </x:row>
    <x:row r="113" ht="42" customHeight="1">
      <x:c r="A113" s="2" t="str">
        <x:v>4e69061c737d8a3b806abcf8</x:v>
      </x:c>
      <x:c r="B113" s="2" t="str">
        <x:v>사업 평가</x:v>
      </x:c>
      <x:c r="C113" s="2" t="str">
        <x:v>국내</x:v>
      </x:c>
      <x:c r="D113" s="7" t="str">
        <x:v>강원풍력발전단지사업</x:v>
      </x:c>
      <x:c r="E113" s="2" t="str">
        <x:v>환경부 이관 추가사업</x:v>
      </x:c>
      <x:c r="F113" s="2" t="str">
        <x:v>2015-06-25</x:v>
      </x:c>
      <x:c r="G113" s="2" t="str">
        <x:v>2015</x:v>
      </x:c>
      <x:c r="H113" s="2" t="str">
        <x:v>06</x:v>
      </x:c>
      <x:c r="I113" s="2" t="str">
        <x:v>승인</x:v>
      </x:c>
      <x:c r="J113" s="2" t="str">
        <x:v>심의승인</x:v>
      </x:c>
      <x:c r="K113" s="2" t="str">
        <x:f>IF(OR(J113="심의승인",J113="반려",J113="반려완료",J113="심의완료"),"종결 표시",IF(OR(J113="기후부협의",J113="문서재제출요청",J113="보류",J113="보완요청",J113="보완완료",J113="평가중",J113="반려요청",J113="평가필요",LEFT(J113,5)="보완요청("),"미종결 표시","상태 확인 필요"))</x:f>
        <x:v>종결 표시</x:v>
      </x:c>
      <x:c r="L113" s="2"/>
      <x:c r="M113" s="2"/>
      <x:c r="N113" s="8" t="n">
        <x:f>DATE(2026,10,15)-DATE(2015,6,25)</x:f>
        <x:v>4130</x:v>
      </x:c>
      <x:c r="O113" s="2"/>
      <x:c r="P113" s="2" t="str">
        <x:v>ORS 상 유효사업현황에서 환경부 사업이나 산업부 사업으로 확인되어 DB상 추가(2016년 7월 이전 승인사업)</x:v>
      </x:c>
      <x:c r="Q113" s="2" t="str">
        <x:v>산업전환_외부사업관리Tool_260707_이너젠 수정_LJY_261013.xlsx</x:v>
      </x:c>
      <x:c r="R113" s="2" t="str">
        <x:v>국내평가</x:v>
      </x:c>
      <x:c r="S113" s="8" t="n">
        <x:v>16</x:v>
      </x:c>
      <x:c r="T113" s="2"/>
      <x:c r="U113" s="2" t="str"/>
      <x:c r="V113" s="2" t="str">
        <x:v>2015-06-25</x:v>
      </x:c>
      <x:c r="W113" s="2" t="str">
        <x:v>담당기관 확인 / 동일 관리키 복수행·회차 확인</x:v>
      </x:c>
      <x:c r="X113" s="2" t="str">
        <x:v>원본·배정 기록 확인</x:v>
      </x:c>
      <x:c r="Y113" s="2" t="str">
        <x:v>ad210cd9ec132cfd447541c8984dc53d30aff0f4fb2dc92d254d49275cc55976</x:v>
      </x:c>
      <x:c r="Z113" s="2" t="n">
        <x:f>SUBTOTAL(103,A113)</x:f>
        <x:v>1</x:v>
      </x:c>
      <x:c r="AA113" s="2" t="str">
        <x:f>IF(K113&lt;&gt;"미종결 표시","대상 아님",IF(N113="","신청일 확인",IF(NOT(ISNUMBER('종합 현황'!$H$5)),"관찰기준 확인",IF('종합 현황'!$H$5&lt;1,"관찰기준 확인",IF(N113&gt;'종합 현황'!$H$5,"내부 관찰 대상","내부 관찰일 이하")))))</x:f>
        <x:v>대상 아님</x:v>
      </x:c>
      <x:c r="AB113" s="2"/>
    </x:row>
    <x:row r="114" ht="42" customHeight="1">
      <x:c r="A114" s="2" t="str">
        <x:v>de4d8a09ca3db1236472ae01</x:v>
      </x:c>
      <x:c r="B114" s="2" t="str">
        <x:v>사업 평가</x:v>
      </x:c>
      <x:c r="C114" s="2" t="str">
        <x:v>국내</x:v>
      </x:c>
      <x:c r="D114" s="7" t="str">
        <x:v>24MW 동양 태양광 발전사업</x:v>
      </x:c>
      <x:c r="E114" s="2" t="str">
        <x:v>환경부 이관 추가사업</x:v>
      </x:c>
      <x:c r="F114" s="2" t="str">
        <x:v>2015-06-25</x:v>
      </x:c>
      <x:c r="G114" s="2" t="str">
        <x:v>2015</x:v>
      </x:c>
      <x:c r="H114" s="2" t="str">
        <x:v>06</x:v>
      </x:c>
      <x:c r="I114" s="2" t="str">
        <x:v>승인</x:v>
      </x:c>
      <x:c r="J114" s="2" t="str">
        <x:v>심의승인</x:v>
      </x:c>
      <x:c r="K114" s="2" t="str">
        <x:f>IF(OR(J114="심의승인",J114="반려",J114="반려완료",J114="심의완료"),"종결 표시",IF(OR(J114="기후부협의",J114="문서재제출요청",J114="보류",J114="보완요청",J114="보완완료",J114="평가중",J114="반려요청",J114="평가필요",LEFT(J114,5)="보완요청("),"미종결 표시","상태 확인 필요"))</x:f>
        <x:v>종결 표시</x:v>
      </x:c>
      <x:c r="L114" s="2"/>
      <x:c r="M114" s="2"/>
      <x:c r="N114" s="8" t="n">
        <x:f>DATE(2026,10,15)-DATE(2015,6,25)</x:f>
        <x:v>4130</x:v>
      </x:c>
      <x:c r="O114" s="2"/>
      <x:c r="P114" s="2" t="str">
        <x:v>ORS 상 유효사업현황에서 환경부 사업이나 산업부 사업으로 확인되어 DB상 추가(2016년 7월 이전 승인사업)</x:v>
      </x:c>
      <x:c r="Q114" s="2" t="str">
        <x:v>산업전환_외부사업관리Tool_260707_이너젠 수정_LJY_261013.xlsx</x:v>
      </x:c>
      <x:c r="R114" s="2" t="str">
        <x:v>국내평가</x:v>
      </x:c>
      <x:c r="S114" s="8" t="n">
        <x:v>17</x:v>
      </x:c>
      <x:c r="T114" s="2"/>
      <x:c r="U114" s="2" t="str"/>
      <x:c r="V114" s="2" t="str">
        <x:v>2015-06-25</x:v>
      </x:c>
      <x:c r="W114" s="2" t="str">
        <x:v>담당기관 확인 / 동일 관리키 복수행·회차 확인</x:v>
      </x:c>
      <x:c r="X114" s="2" t="str">
        <x:v>원본·배정 기록 확인</x:v>
      </x:c>
      <x:c r="Y114" s="2" t="str">
        <x:v>ad210cd9ec132cfd447541c8984dc53d30aff0f4fb2dc92d254d49275cc55976</x:v>
      </x:c>
      <x:c r="Z114" s="2" t="n">
        <x:f>SUBTOTAL(103,A114)</x:f>
        <x:v>1</x:v>
      </x:c>
      <x:c r="AA114" s="2" t="str">
        <x:f>IF(K114&lt;&gt;"미종결 표시","대상 아님",IF(N114="","신청일 확인",IF(NOT(ISNUMBER('종합 현황'!$H$5)),"관찰기준 확인",IF('종합 현황'!$H$5&lt;1,"관찰기준 확인",IF(N114&gt;'종합 현황'!$H$5,"내부 관찰 대상","내부 관찰일 이하")))))</x:f>
        <x:v>대상 아님</x:v>
      </x:c>
      <x:c r="AB114" s="2"/>
    </x:row>
    <x:row r="115" ht="42" customHeight="1">
      <x:c r="A115" s="2" t="str">
        <x:v>cbf77b540b464e7081b31fe0</x:v>
      </x:c>
      <x:c r="B115" s="2" t="str">
        <x:v>사업 평가</x:v>
      </x:c>
      <x:c r="C115" s="2" t="str">
        <x:v>국내</x:v>
      </x:c>
      <x:c r="D115" s="7" t="str">
        <x:v>태기산 풍력발전 CDM사업</x:v>
      </x:c>
      <x:c r="E115" s="2" t="str">
        <x:v>환경부 이관 추가사업</x:v>
      </x:c>
      <x:c r="F115" s="2" t="str">
        <x:v>2015-06-25</x:v>
      </x:c>
      <x:c r="G115" s="2" t="str">
        <x:v>2015</x:v>
      </x:c>
      <x:c r="H115" s="2" t="str">
        <x:v>06</x:v>
      </x:c>
      <x:c r="I115" s="2" t="str">
        <x:v>승인</x:v>
      </x:c>
      <x:c r="J115" s="2" t="str">
        <x:v>심의승인</x:v>
      </x:c>
      <x:c r="K115" s="2" t="str">
        <x:f>IF(OR(J115="심의승인",J115="반려",J115="반려완료",J115="심의완료"),"종결 표시",IF(OR(J115="기후부협의",J115="문서재제출요청",J115="보류",J115="보완요청",J115="보완완료",J115="평가중",J115="반려요청",J115="평가필요",LEFT(J115,5)="보완요청("),"미종결 표시","상태 확인 필요"))</x:f>
        <x:v>종결 표시</x:v>
      </x:c>
      <x:c r="L115" s="2"/>
      <x:c r="M115" s="2"/>
      <x:c r="N115" s="8" t="n">
        <x:f>DATE(2026,10,15)-DATE(2015,6,25)</x:f>
        <x:v>4130</x:v>
      </x:c>
      <x:c r="O115" s="2"/>
      <x:c r="P115" s="2" t="str">
        <x:v>ORS 상 유효사업현황에서 환경부 사업이나 산업부 사업으로 확인되어 DB상 추가(2016년 7월 이전 승인사업)</x:v>
      </x:c>
      <x:c r="Q115" s="2" t="str">
        <x:v>산업전환_외부사업관리Tool_260707_이너젠 수정_LJY_261013.xlsx</x:v>
      </x:c>
      <x:c r="R115" s="2" t="str">
        <x:v>국내평가</x:v>
      </x:c>
      <x:c r="S115" s="8" t="n">
        <x:v>18</x:v>
      </x:c>
      <x:c r="T115" s="2"/>
      <x:c r="U115" s="2" t="str"/>
      <x:c r="V115" s="2" t="str">
        <x:v>2015-06-25</x:v>
      </x:c>
      <x:c r="W115" s="2" t="str">
        <x:v>담당기관 확인 / 동일 관리키 복수행·회차 확인</x:v>
      </x:c>
      <x:c r="X115" s="2" t="str">
        <x:v>원본·배정 기록 확인</x:v>
      </x:c>
      <x:c r="Y115" s="2" t="str">
        <x:v>ad210cd9ec132cfd447541c8984dc53d30aff0f4fb2dc92d254d49275cc55976</x:v>
      </x:c>
      <x:c r="Z115" s="2" t="n">
        <x:f>SUBTOTAL(103,A115)</x:f>
        <x:v>1</x:v>
      </x:c>
      <x:c r="AA115" s="2" t="str">
        <x:f>IF(K115&lt;&gt;"미종결 표시","대상 아님",IF(N115="","신청일 확인",IF(NOT(ISNUMBER('종합 현황'!$H$5)),"관찰기준 확인",IF('종합 현황'!$H$5&lt;1,"관찰기준 확인",IF(N115&gt;'종합 현황'!$H$5,"내부 관찰 대상","내부 관찰일 이하")))))</x:f>
        <x:v>대상 아님</x:v>
      </x:c>
      <x:c r="AB115" s="2"/>
    </x:row>
    <x:row r="116" ht="42" customHeight="1">
      <x:c r="A116" s="2" t="str">
        <x:v>fa4da6a4cfc0fce8b41dd228</x:v>
      </x:c>
      <x:c r="B116" s="2" t="str">
        <x:v>사업 평가</x:v>
      </x:c>
      <x:c r="C116" s="2" t="str">
        <x:v>국내</x:v>
      </x:c>
      <x:c r="D116" s="7" t="str">
        <x:v>영양 61.5MW 풍력발전단지 CDM 사업</x:v>
      </x:c>
      <x:c r="E116" s="2" t="str">
        <x:v>환경부 이관 추가사업</x:v>
      </x:c>
      <x:c r="F116" s="2" t="str">
        <x:v>2015-06-25</x:v>
      </x:c>
      <x:c r="G116" s="2" t="str">
        <x:v>2015</x:v>
      </x:c>
      <x:c r="H116" s="2" t="str">
        <x:v>06</x:v>
      </x:c>
      <x:c r="I116" s="2" t="str">
        <x:v>승인</x:v>
      </x:c>
      <x:c r="J116" s="2" t="str">
        <x:v>심의승인</x:v>
      </x:c>
      <x:c r="K116" s="2" t="str">
        <x:f>IF(OR(J116="심의승인",J116="반려",J116="반려완료",J116="심의완료"),"종결 표시",IF(OR(J116="기후부협의",J116="문서재제출요청",J116="보류",J116="보완요청",J116="보완완료",J116="평가중",J116="반려요청",J116="평가필요",LEFT(J116,5)="보완요청("),"미종결 표시","상태 확인 필요"))</x:f>
        <x:v>종결 표시</x:v>
      </x:c>
      <x:c r="L116" s="2"/>
      <x:c r="M116" s="2"/>
      <x:c r="N116" s="8" t="n">
        <x:f>DATE(2026,10,15)-DATE(2015,6,25)</x:f>
        <x:v>4130</x:v>
      </x:c>
      <x:c r="O116" s="2"/>
      <x:c r="P116" s="2" t="str">
        <x:v>ORS 상 유효사업현황에서 환경부 사업이나 산업부 사업으로 확인되어 DB상 추가(2016년 7월 이전 승인사업)</x:v>
      </x:c>
      <x:c r="Q116" s="2" t="str">
        <x:v>산업전환_외부사업관리Tool_260707_이너젠 수정_LJY_261013.xlsx</x:v>
      </x:c>
      <x:c r="R116" s="2" t="str">
        <x:v>국내평가</x:v>
      </x:c>
      <x:c r="S116" s="8" t="n">
        <x:v>19</x:v>
      </x:c>
      <x:c r="T116" s="2"/>
      <x:c r="U116" s="2" t="str"/>
      <x:c r="V116" s="2" t="str">
        <x:v>2015-06-25</x:v>
      </x:c>
      <x:c r="W116" s="2" t="str">
        <x:v>담당기관 확인 / 동일 관리키 복수행·회차 확인</x:v>
      </x:c>
      <x:c r="X116" s="2" t="str">
        <x:v>원본·배정 기록 확인</x:v>
      </x:c>
      <x:c r="Y116" s="2" t="str">
        <x:v>ad210cd9ec132cfd447541c8984dc53d30aff0f4fb2dc92d254d49275cc55976</x:v>
      </x:c>
      <x:c r="Z116" s="2" t="n">
        <x:f>SUBTOTAL(103,A116)</x:f>
        <x:v>1</x:v>
      </x:c>
      <x:c r="AA116" s="2" t="str">
        <x:f>IF(K116&lt;&gt;"미종결 표시","대상 아님",IF(N116="","신청일 확인",IF(NOT(ISNUMBER('종합 현황'!$H$5)),"관찰기준 확인",IF('종합 현황'!$H$5&lt;1,"관찰기준 확인",IF(N116&gt;'종합 현황'!$H$5,"내부 관찰 대상","내부 관찰일 이하")))))</x:f>
        <x:v>대상 아님</x:v>
      </x:c>
      <x:c r="AB116" s="2"/>
    </x:row>
    <x:row r="117" ht="42" customHeight="1">
      <x:c r="A117" s="2" t="str">
        <x:v>539abb9092a34895574c3d65</x:v>
      </x:c>
      <x:c r="B117" s="2" t="str">
        <x:v>사업 평가</x:v>
      </x:c>
      <x:c r="C117" s="2" t="str">
        <x:v>국내</x:v>
      </x:c>
      <x:c r="D117" s="7" t="str">
        <x:v>동부한농 질산공장 N2O 감축사업</x:v>
      </x:c>
      <x:c r="E117" s="2" t="str">
        <x:v>환경부 이관 추가사업</x:v>
      </x:c>
      <x:c r="F117" s="2" t="str">
        <x:v>2015-06-25</x:v>
      </x:c>
      <x:c r="G117" s="2" t="str">
        <x:v>2015</x:v>
      </x:c>
      <x:c r="H117" s="2" t="str">
        <x:v>06</x:v>
      </x:c>
      <x:c r="I117" s="2" t="str">
        <x:v>승인</x:v>
      </x:c>
      <x:c r="J117" s="2" t="str">
        <x:v>심의승인</x:v>
      </x:c>
      <x:c r="K117" s="2" t="str">
        <x:f>IF(OR(J117="심의승인",J117="반려",J117="반려완료",J117="심의완료"),"종결 표시",IF(OR(J117="기후부협의",J117="문서재제출요청",J117="보류",J117="보완요청",J117="보완완료",J117="평가중",J117="반려요청",J117="평가필요",LEFT(J117,5)="보완요청("),"미종결 표시","상태 확인 필요"))</x:f>
        <x:v>종결 표시</x:v>
      </x:c>
      <x:c r="L117" s="2"/>
      <x:c r="M117" s="2"/>
      <x:c r="N117" s="8" t="n">
        <x:f>DATE(2026,10,15)-DATE(2015,6,25)</x:f>
        <x:v>4130</x:v>
      </x:c>
      <x:c r="O117" s="2"/>
      <x:c r="P117" s="2" t="str">
        <x:v>ORS 상 유효사업현황에서 환경부 사업이나 산업부 사업으로 확인되어 DB상 추가(2016년 7월 이전 승인사업)</x:v>
      </x:c>
      <x:c r="Q117" s="2" t="str">
        <x:v>산업전환_외부사업관리Tool_260707_이너젠 수정_LJY_261013.xlsx</x:v>
      </x:c>
      <x:c r="R117" s="2" t="str">
        <x:v>국내평가</x:v>
      </x:c>
      <x:c r="S117" s="8" t="n">
        <x:v>20</x:v>
      </x:c>
      <x:c r="T117" s="2"/>
      <x:c r="U117" s="2" t="str"/>
      <x:c r="V117" s="2" t="str">
        <x:v>2015-06-25</x:v>
      </x:c>
      <x:c r="W117" s="2" t="str">
        <x:v>담당기관 확인 / 동일 관리키 복수행·회차 확인</x:v>
      </x:c>
      <x:c r="X117" s="2" t="str">
        <x:v>원본·배정 기록 확인</x:v>
      </x:c>
      <x:c r="Y117" s="2" t="str">
        <x:v>ad210cd9ec132cfd447541c8984dc53d30aff0f4fb2dc92d254d49275cc55976</x:v>
      </x:c>
      <x:c r="Z117" s="2" t="n">
        <x:f>SUBTOTAL(103,A117)</x:f>
        <x:v>1</x:v>
      </x:c>
      <x:c r="AA117" s="2" t="str">
        <x:f>IF(K117&lt;&gt;"미종결 표시","대상 아님",IF(N117="","신청일 확인",IF(NOT(ISNUMBER('종합 현황'!$H$5)),"관찰기준 확인",IF('종합 현황'!$H$5&lt;1,"관찰기준 확인",IF(N117&gt;'종합 현황'!$H$5,"내부 관찰 대상","내부 관찰일 이하")))))</x:f>
        <x:v>대상 아님</x:v>
      </x:c>
      <x:c r="AB117" s="2"/>
    </x:row>
    <x:row r="118" ht="42" customHeight="1">
      <x:c r="A118" s="2" t="str">
        <x:v>e82a01ca301c4d7befee4e16</x:v>
      </x:c>
      <x:c r="B118" s="2" t="str">
        <x:v>사업 평가</x:v>
      </x:c>
      <x:c r="C118" s="2" t="str">
        <x:v>국내</x:v>
      </x:c>
      <x:c r="D118" s="7" t="str">
        <x:v>휴켐스 질산공장 N2O 감축사업(휴켐스 주식회사의 질산 공장 세 곳에서 tail gas에 포함된 아산화질소를 촉매를 사용하여 제거하는 프로젝트)</x:v>
      </x:c>
      <x:c r="E118" s="2" t="str">
        <x:v>환경부 이관 추가사업</x:v>
      </x:c>
      <x:c r="F118" s="2" t="str">
        <x:v>2015-06-26</x:v>
      </x:c>
      <x:c r="G118" s="2" t="str">
        <x:v>2015</x:v>
      </x:c>
      <x:c r="H118" s="2" t="str">
        <x:v>06</x:v>
      </x:c>
      <x:c r="I118" s="2" t="str">
        <x:v>승인</x:v>
      </x:c>
      <x:c r="J118" s="2" t="str">
        <x:v>심의승인</x:v>
      </x:c>
      <x:c r="K118" s="2" t="str">
        <x:f>IF(OR(J118="심의승인",J118="반려",J118="반려완료",J118="심의완료"),"종결 표시",IF(OR(J118="기후부협의",J118="문서재제출요청",J118="보류",J118="보완요청",J118="보완완료",J118="평가중",J118="반려요청",J118="평가필요",LEFT(J118,5)="보완요청("),"미종결 표시","상태 확인 필요"))</x:f>
        <x:v>종결 표시</x:v>
      </x:c>
      <x:c r="L118" s="2"/>
      <x:c r="M118" s="2"/>
      <x:c r="N118" s="8" t="n">
        <x:f>DATE(2026,10,15)-DATE(2015,6,26)</x:f>
        <x:v>4129</x:v>
      </x:c>
      <x:c r="O118" s="2"/>
      <x:c r="P118" s="2" t="str">
        <x:v>ORS 상 유효사업현황에서 환경부 사업이나 산업부 사업으로 확인되어 DB상 추가(2016년 7월 이전 승인사업)</x:v>
      </x:c>
      <x:c r="Q118" s="2" t="str">
        <x:v>산업전환_외부사업관리Tool_260707_이너젠 수정_LJY_261013.xlsx</x:v>
      </x:c>
      <x:c r="R118" s="2" t="str">
        <x:v>국내평가</x:v>
      </x:c>
      <x:c r="S118" s="8" t="n">
        <x:v>21</x:v>
      </x:c>
      <x:c r="T118" s="2"/>
      <x:c r="U118" s="2" t="str"/>
      <x:c r="V118" s="2" t="str">
        <x:v>2015-06-26</x:v>
      </x:c>
      <x:c r="W118" s="2" t="str">
        <x:v>담당기관 확인 / 동일 관리키 복수행·회차 확인</x:v>
      </x:c>
      <x:c r="X118" s="2" t="str">
        <x:v>원본·배정 기록 확인</x:v>
      </x:c>
      <x:c r="Y118" s="2" t="str">
        <x:v>ad210cd9ec132cfd447541c8984dc53d30aff0f4fb2dc92d254d49275cc55976</x:v>
      </x:c>
      <x:c r="Z118" s="2" t="n">
        <x:f>SUBTOTAL(103,A118)</x:f>
        <x:v>1</x:v>
      </x:c>
      <x:c r="AA118" s="2" t="str">
        <x:f>IF(K118&lt;&gt;"미종결 표시","대상 아님",IF(N118="","신청일 확인",IF(NOT(ISNUMBER('종합 현황'!$H$5)),"관찰기준 확인",IF('종합 현황'!$H$5&lt;1,"관찰기준 확인",IF(N118&gt;'종합 현황'!$H$5,"내부 관찰 대상","내부 관찰일 이하")))))</x:f>
        <x:v>대상 아님</x:v>
      </x:c>
      <x:c r="AB118" s="2"/>
    </x:row>
    <x:row r="119" ht="42" customHeight="1">
      <x:c r="A119" s="2" t="str">
        <x:v>873a461cab5a7bad55b68cca</x:v>
      </x:c>
      <x:c r="B119" s="2" t="str">
        <x:v>사업 평가</x:v>
      </x:c>
      <x:c r="C119" s="2" t="str">
        <x:v>국내</x:v>
      </x:c>
      <x:c r="D119" s="7" t="str">
        <x:v>시화호 조력발전 사업</x:v>
      </x:c>
      <x:c r="E119" s="2" t="str">
        <x:v>환경부 이관 추가사업</x:v>
      </x:c>
      <x:c r="F119" s="2" t="str">
        <x:v>2015-06-26</x:v>
      </x:c>
      <x:c r="G119" s="2" t="str">
        <x:v>2015</x:v>
      </x:c>
      <x:c r="H119" s="2" t="str">
        <x:v>06</x:v>
      </x:c>
      <x:c r="I119" s="2" t="str">
        <x:v>승인</x:v>
      </x:c>
      <x:c r="J119" s="2" t="str">
        <x:v>심의승인</x:v>
      </x:c>
      <x:c r="K119" s="2" t="str">
        <x:f>IF(OR(J119="심의승인",J119="반려",J119="반려완료",J119="심의완료"),"종결 표시",IF(OR(J119="기후부협의",J119="문서재제출요청",J119="보류",J119="보완요청",J119="보완완료",J119="평가중",J119="반려요청",J119="평가필요",LEFT(J119,5)="보완요청("),"미종결 표시","상태 확인 필요"))</x:f>
        <x:v>종결 표시</x:v>
      </x:c>
      <x:c r="L119" s="2"/>
      <x:c r="M119" s="2"/>
      <x:c r="N119" s="8" t="n">
        <x:f>DATE(2026,10,15)-DATE(2015,6,26)</x:f>
        <x:v>4129</x:v>
      </x:c>
      <x:c r="O119" s="2"/>
      <x:c r="P119" s="2" t="str">
        <x:v>ORS 상 유효사업현황에서 환경부 사업이나 산업부 사업으로 확인되어 DB상 추가(2016년 7월 이전 승인사업)</x:v>
      </x:c>
      <x:c r="Q119" s="2" t="str">
        <x:v>산업전환_외부사업관리Tool_260707_이너젠 수정_LJY_261013.xlsx</x:v>
      </x:c>
      <x:c r="R119" s="2" t="str">
        <x:v>국내평가</x:v>
      </x:c>
      <x:c r="S119" s="8" t="n">
        <x:v>22</x:v>
      </x:c>
      <x:c r="T119" s="2"/>
      <x:c r="U119" s="2" t="str"/>
      <x:c r="V119" s="2" t="str">
        <x:v>2015-06-26</x:v>
      </x:c>
      <x:c r="W119" s="2" t="str">
        <x:v>담당기관 확인 / 동일 관리키 복수행·회차 확인</x:v>
      </x:c>
      <x:c r="X119" s="2" t="str">
        <x:v>원본·배정 기록 확인</x:v>
      </x:c>
      <x:c r="Y119" s="2" t="str">
        <x:v>ad210cd9ec132cfd447541c8984dc53d30aff0f4fb2dc92d254d49275cc55976</x:v>
      </x:c>
      <x:c r="Z119" s="2" t="n">
        <x:f>SUBTOTAL(103,A119)</x:f>
        <x:v>1</x:v>
      </x:c>
      <x:c r="AA119" s="2" t="str">
        <x:f>IF(K119&lt;&gt;"미종결 표시","대상 아님",IF(N119="","신청일 확인",IF(NOT(ISNUMBER('종합 현황'!$H$5)),"관찰기준 확인",IF('종합 현황'!$H$5&lt;1,"관찰기준 확인",IF(N119&gt;'종합 현황'!$H$5,"내부 관찰 대상","내부 관찰일 이하")))))</x:f>
        <x:v>대상 아님</x:v>
      </x:c>
      <x:c r="AB119" s="2"/>
    </x:row>
    <x:row r="120" ht="42" customHeight="1">
      <x:c r="A120" s="2" t="str">
        <x:v>d1133583a68f01c64989f062</x:v>
      </x:c>
      <x:c r="B120" s="2" t="str">
        <x:v>사업 평가</x:v>
      </x:c>
      <x:c r="C120" s="2" t="str">
        <x:v>국내</x:v>
      </x:c>
      <x:c r="D120" s="7" t="str">
        <x:v>동부한농 질산공장 N2O 감축사업</x:v>
      </x:c>
      <x:c r="E120" s="2" t="str">
        <x:v>환경부 이관 추가사업</x:v>
      </x:c>
      <x:c r="F120" s="2" t="str">
        <x:v>2015-08-18</x:v>
      </x:c>
      <x:c r="G120" s="2" t="str">
        <x:v>2015</x:v>
      </x:c>
      <x:c r="H120" s="2" t="str">
        <x:v>08</x:v>
      </x:c>
      <x:c r="I120" s="2" t="str">
        <x:v>승인</x:v>
      </x:c>
      <x:c r="J120" s="2" t="str">
        <x:v>심의승인</x:v>
      </x:c>
      <x:c r="K120" s="2" t="str">
        <x:f>IF(OR(J120="심의승인",J120="반려",J120="반려완료",J120="심의완료"),"종결 표시",IF(OR(J120="기후부협의",J120="문서재제출요청",J120="보류",J120="보완요청",J120="보완완료",J120="평가중",J120="반려요청",J120="평가필요",LEFT(J120,5)="보완요청("),"미종결 표시","상태 확인 필요"))</x:f>
        <x:v>종결 표시</x:v>
      </x:c>
      <x:c r="L120" s="2"/>
      <x:c r="M120" s="2"/>
      <x:c r="N120" s="8" t="n">
        <x:f>DATE(2026,10,15)-DATE(2015,8,18)</x:f>
        <x:v>4076</x:v>
      </x:c>
      <x:c r="O120" s="2"/>
      <x:c r="P120" s="2" t="str">
        <x:v>ORS 상 유효사업현황에서 환경부 사업이나 산업부 사업으로 확인되어 DB상 추가(2016년 7월 이전 승인사업)</x:v>
      </x:c>
      <x:c r="Q120" s="2" t="str">
        <x:v>산업전환_외부사업관리Tool_260707_이너젠 수정_LJY_261013.xlsx</x:v>
      </x:c>
      <x:c r="R120" s="2" t="str">
        <x:v>국내평가</x:v>
      </x:c>
      <x:c r="S120" s="8" t="n">
        <x:v>23</x:v>
      </x:c>
      <x:c r="T120" s="2"/>
      <x:c r="U120" s="2" t="str"/>
      <x:c r="V120" s="2" t="str">
        <x:v>2015-08-18</x:v>
      </x:c>
      <x:c r="W120" s="2" t="str">
        <x:v>담당기관 확인 / 동일 관리키 복수행·회차 확인</x:v>
      </x:c>
      <x:c r="X120" s="2" t="str">
        <x:v>원본·배정 기록 확인</x:v>
      </x:c>
      <x:c r="Y120" s="2" t="str">
        <x:v>ad210cd9ec132cfd447541c8984dc53d30aff0f4fb2dc92d254d49275cc55976</x:v>
      </x:c>
      <x:c r="Z120" s="2" t="n">
        <x:f>SUBTOTAL(103,A120)</x:f>
        <x:v>1</x:v>
      </x:c>
      <x:c r="AA120" s="2" t="str">
        <x:f>IF(K120&lt;&gt;"미종결 표시","대상 아님",IF(N120="","신청일 확인",IF(NOT(ISNUMBER('종합 현황'!$H$5)),"관찰기준 확인",IF('종합 현황'!$H$5&lt;1,"관찰기준 확인",IF(N120&gt;'종합 현황'!$H$5,"내부 관찰 대상","내부 관찰일 이하")))))</x:f>
        <x:v>대상 아님</x:v>
      </x:c>
      <x:c r="AB120" s="2"/>
    </x:row>
    <x:row r="121" ht="42" customHeight="1">
      <x:c r="A121" s="2" t="str">
        <x:v>336c9133c1d5f2f93c691237</x:v>
      </x:c>
      <x:c r="B121" s="2" t="str">
        <x:v>사업 평가</x:v>
      </x:c>
      <x:c r="C121" s="2" t="str">
        <x:v>국내</x:v>
      </x:c>
      <x:c r="D121" s="7" t="str">
        <x:v>3MW 신안풍력발전사업</x:v>
      </x:c>
      <x:c r="E121" s="2" t="str">
        <x:v>환경부 이관 추가사업</x:v>
      </x:c>
      <x:c r="F121" s="2" t="str">
        <x:v>2015-09-21</x:v>
      </x:c>
      <x:c r="G121" s="2" t="str">
        <x:v>2015</x:v>
      </x:c>
      <x:c r="H121" s="2" t="str">
        <x:v>09</x:v>
      </x:c>
      <x:c r="I121" s="2" t="str">
        <x:v>승인</x:v>
      </x:c>
      <x:c r="J121" s="2" t="str">
        <x:v>심의승인</x:v>
      </x:c>
      <x:c r="K121" s="2" t="str">
        <x:f>IF(OR(J121="심의승인",J121="반려",J121="반려완료",J121="심의완료"),"종결 표시",IF(OR(J121="기후부협의",J121="문서재제출요청",J121="보류",J121="보완요청",J121="보완완료",J121="평가중",J121="반려요청",J121="평가필요",LEFT(J121,5)="보완요청("),"미종결 표시","상태 확인 필요"))</x:f>
        <x:v>종결 표시</x:v>
      </x:c>
      <x:c r="L121" s="2"/>
      <x:c r="M121" s="2"/>
      <x:c r="N121" s="8" t="n">
        <x:f>DATE(2026,10,15)-DATE(2015,9,21)</x:f>
        <x:v>4042</x:v>
      </x:c>
      <x:c r="O121" s="2"/>
      <x:c r="P121" s="2" t="str">
        <x:v>ORS 상 유효사업현황에서 환경부 사업이나 산업부 사업으로 확인되어 DB상 추가(2016년 7월 이전 승인사업)</x:v>
      </x:c>
      <x:c r="Q121" s="2" t="str">
        <x:v>산업전환_외부사업관리Tool_260707_이너젠 수정_LJY_261013.xlsx</x:v>
      </x:c>
      <x:c r="R121" s="2" t="str">
        <x:v>국내평가</x:v>
      </x:c>
      <x:c r="S121" s="8" t="n">
        <x:v>24</x:v>
      </x:c>
      <x:c r="T121" s="2"/>
      <x:c r="U121" s="2" t="str"/>
      <x:c r="V121" s="2" t="str">
        <x:v>2015-09-21</x:v>
      </x:c>
      <x:c r="W121" s="2" t="str">
        <x:v>담당기관 확인 / 동일 관리키 복수행·회차 확인</x:v>
      </x:c>
      <x:c r="X121" s="2" t="str">
        <x:v>원본·배정 기록 확인</x:v>
      </x:c>
      <x:c r="Y121" s="2" t="str">
        <x:v>ad210cd9ec132cfd447541c8984dc53d30aff0f4fb2dc92d254d49275cc55976</x:v>
      </x:c>
      <x:c r="Z121" s="2" t="n">
        <x:f>SUBTOTAL(103,A121)</x:f>
        <x:v>1</x:v>
      </x:c>
      <x:c r="AA121" s="2" t="str">
        <x:f>IF(K121&lt;&gt;"미종결 표시","대상 아님",IF(N121="","신청일 확인",IF(NOT(ISNUMBER('종합 현황'!$H$5)),"관찰기준 확인",IF('종합 현황'!$H$5&lt;1,"관찰기준 확인",IF(N121&gt;'종합 현황'!$H$5,"내부 관찰 대상","내부 관찰일 이하")))))</x:f>
        <x:v>대상 아님</x:v>
      </x:c>
      <x:c r="AB121" s="2"/>
    </x:row>
    <x:row r="122" ht="42" customHeight="1">
      <x:c r="A122" s="2" t="str">
        <x:v>5ab2eb70e2917da5b7366ee1</x:v>
      </x:c>
      <x:c r="B122" s="2" t="str">
        <x:v>사업 평가</x:v>
      </x:c>
      <x:c r="C122" s="2" t="str">
        <x:v>국내</x:v>
      </x:c>
      <x:c r="D122" s="7" t="str">
        <x:v>태기산 풍력발전 CDM사업</x:v>
      </x:c>
      <x:c r="E122" s="2" t="str">
        <x:v>환경부 이관 추가사업</x:v>
      </x:c>
      <x:c r="F122" s="2" t="str">
        <x:v>2015-09-21</x:v>
      </x:c>
      <x:c r="G122" s="2" t="str">
        <x:v>2015</x:v>
      </x:c>
      <x:c r="H122" s="2" t="str">
        <x:v>09</x:v>
      </x:c>
      <x:c r="I122" s="2" t="str">
        <x:v>승인</x:v>
      </x:c>
      <x:c r="J122" s="2" t="str">
        <x:v>심의승인</x:v>
      </x:c>
      <x:c r="K122" s="2" t="str">
        <x:f>IF(OR(J122="심의승인",J122="반려",J122="반려완료",J122="심의완료"),"종결 표시",IF(OR(J122="기후부협의",J122="문서재제출요청",J122="보류",J122="보완요청",J122="보완완료",J122="평가중",J122="반려요청",J122="평가필요",LEFT(J122,5)="보완요청("),"미종결 표시","상태 확인 필요"))</x:f>
        <x:v>종결 표시</x:v>
      </x:c>
      <x:c r="L122" s="2"/>
      <x:c r="M122" s="2"/>
      <x:c r="N122" s="8" t="n">
        <x:f>DATE(2026,10,15)-DATE(2015,9,21)</x:f>
        <x:v>4042</x:v>
      </x:c>
      <x:c r="O122" s="2"/>
      <x:c r="P122" s="2" t="str">
        <x:v>ORS 상 유효사업현황에서 환경부 사업이나 산업부 사업으로 확인되어 DB상 추가(2016년 7월 이전 승인사업)</x:v>
      </x:c>
      <x:c r="Q122" s="2" t="str">
        <x:v>산업전환_외부사업관리Tool_260707_이너젠 수정_LJY_261013.xlsx</x:v>
      </x:c>
      <x:c r="R122" s="2" t="str">
        <x:v>국내평가</x:v>
      </x:c>
      <x:c r="S122" s="8" t="n">
        <x:v>25</x:v>
      </x:c>
      <x:c r="T122" s="2"/>
      <x:c r="U122" s="2" t="str"/>
      <x:c r="V122" s="2" t="str">
        <x:v>2015-09-21</x:v>
      </x:c>
      <x:c r="W122" s="2" t="str">
        <x:v>담당기관 확인 / 동일 관리키 복수행·회차 확인</x:v>
      </x:c>
      <x:c r="X122" s="2" t="str">
        <x:v>원본·배정 기록 확인</x:v>
      </x:c>
      <x:c r="Y122" s="2" t="str">
        <x:v>ad210cd9ec132cfd447541c8984dc53d30aff0f4fb2dc92d254d49275cc55976</x:v>
      </x:c>
      <x:c r="Z122" s="2" t="n">
        <x:f>SUBTOTAL(103,A122)</x:f>
        <x:v>1</x:v>
      </x:c>
      <x:c r="AA122" s="2" t="str">
        <x:f>IF(K122&lt;&gt;"미종결 표시","대상 아님",IF(N122="","신청일 확인",IF(NOT(ISNUMBER('종합 현황'!$H$5)),"관찰기준 확인",IF('종합 현황'!$H$5&lt;1,"관찰기준 확인",IF(N122&gt;'종합 현황'!$H$5,"내부 관찰 대상","내부 관찰일 이하")))))</x:f>
        <x:v>대상 아님</x:v>
      </x:c>
      <x:c r="AB122" s="2"/>
    </x:row>
    <x:row r="123" ht="42" customHeight="1">
      <x:c r="A123" s="2" t="str">
        <x:v>69b6c8a80b71856c168a229b</x:v>
      </x:c>
      <x:c r="B123" s="2" t="str">
        <x:v>사업 평가</x:v>
      </x:c>
      <x:c r="C123" s="2" t="str">
        <x:v>국내</x:v>
      </x:c>
      <x:c r="D123" s="7" t="str">
        <x:v>휴켐스 질산공장 N2O 감축사업(휴켐스 주식회사의 질산 공장 세곳에서 tail gas에 포함된 아산화질소를 촉매를 사용하여 제거하는 프로젝트)</x:v>
      </x:c>
      <x:c r="E123" s="2" t="str">
        <x:v>환경부 이관 추가사업</x:v>
      </x:c>
      <x:c r="F123" s="2" t="str">
        <x:v>2015-09-21</x:v>
      </x:c>
      <x:c r="G123" s="2" t="str">
        <x:v>2015</x:v>
      </x:c>
      <x:c r="H123" s="2" t="str">
        <x:v>09</x:v>
      </x:c>
      <x:c r="I123" s="2" t="str">
        <x:v>승인</x:v>
      </x:c>
      <x:c r="J123" s="2" t="str">
        <x:v>심의승인</x:v>
      </x:c>
      <x:c r="K123" s="2" t="str">
        <x:f>IF(OR(J123="심의승인",J123="반려",J123="반려완료",J123="심의완료"),"종결 표시",IF(OR(J123="기후부협의",J123="문서재제출요청",J123="보류",J123="보완요청",J123="보완완료",J123="평가중",J123="반려요청",J123="평가필요",LEFT(J123,5)="보완요청("),"미종결 표시","상태 확인 필요"))</x:f>
        <x:v>종결 표시</x:v>
      </x:c>
      <x:c r="L123" s="2"/>
      <x:c r="M123" s="2"/>
      <x:c r="N123" s="8" t="n">
        <x:f>DATE(2026,10,15)-DATE(2015,9,21)</x:f>
        <x:v>4042</x:v>
      </x:c>
      <x:c r="O123" s="2"/>
      <x:c r="P123" s="2" t="str">
        <x:v>ORS 상 유효사업현황에서 환경부 사업이나 산업부 사업으로 확인되어 DB상 추가(2016년 7월 이전 승인사업)</x:v>
      </x:c>
      <x:c r="Q123" s="2" t="str">
        <x:v>산업전환_외부사업관리Tool_260707_이너젠 수정_LJY_261013.xlsx</x:v>
      </x:c>
      <x:c r="R123" s="2" t="str">
        <x:v>국내평가</x:v>
      </x:c>
      <x:c r="S123" s="8" t="n">
        <x:v>26</x:v>
      </x:c>
      <x:c r="T123" s="2"/>
      <x:c r="U123" s="2" t="str"/>
      <x:c r="V123" s="2" t="str">
        <x:v>2015-09-21</x:v>
      </x:c>
      <x:c r="W123" s="2" t="str">
        <x:v>담당기관 확인 / 동일 관리키 복수행·회차 확인</x:v>
      </x:c>
      <x:c r="X123" s="2" t="str">
        <x:v>원본·배정 기록 확인</x:v>
      </x:c>
      <x:c r="Y123" s="2" t="str">
        <x:v>ad210cd9ec132cfd447541c8984dc53d30aff0f4fb2dc92d254d49275cc55976</x:v>
      </x:c>
      <x:c r="Z123" s="2" t="n">
        <x:f>SUBTOTAL(103,A123)</x:f>
        <x:v>1</x:v>
      </x:c>
      <x:c r="AA123" s="2" t="str">
        <x:f>IF(K123&lt;&gt;"미종결 표시","대상 아님",IF(N123="","신청일 확인",IF(NOT(ISNUMBER('종합 현황'!$H$5)),"관찰기준 확인",IF('종합 현황'!$H$5&lt;1,"관찰기준 확인",IF(N123&gt;'종합 현황'!$H$5,"내부 관찰 대상","내부 관찰일 이하")))))</x:f>
        <x:v>대상 아님</x:v>
      </x:c>
      <x:c r="AB123" s="2"/>
    </x:row>
    <x:row r="124" ht="42" customHeight="1">
      <x:c r="A124" s="2" t="str">
        <x:v>5e27317fa7ff48bd24977247</x:v>
      </x:c>
      <x:c r="B124" s="2" t="str">
        <x:v>사업 평가</x:v>
      </x:c>
      <x:c r="C124" s="2" t="str">
        <x:v>국내</x:v>
      </x:c>
      <x:c r="D124" s="7" t="str">
        <x:v>지역 난방용 온수 보일러 연료전환 사업</x:v>
      </x:c>
      <x:c r="E124" s="2" t="str">
        <x:v>환경부 이관 추가사업</x:v>
      </x:c>
      <x:c r="F124" s="2" t="str">
        <x:v>2015-09-21</x:v>
      </x:c>
      <x:c r="G124" s="2" t="str">
        <x:v>2015</x:v>
      </x:c>
      <x:c r="H124" s="2" t="str">
        <x:v>09</x:v>
      </x:c>
      <x:c r="I124" s="2" t="str">
        <x:v>승인</x:v>
      </x:c>
      <x:c r="J124" s="2" t="str">
        <x:v>심의승인</x:v>
      </x:c>
      <x:c r="K124" s="2" t="str">
        <x:f>IF(OR(J124="심의승인",J124="반려",J124="반려완료",J124="심의완료"),"종결 표시",IF(OR(J124="기후부협의",J124="문서재제출요청",J124="보류",J124="보완요청",J124="보완완료",J124="평가중",J124="반려요청",J124="평가필요",LEFT(J124,5)="보완요청("),"미종결 표시","상태 확인 필요"))</x:f>
        <x:v>종결 표시</x:v>
      </x:c>
      <x:c r="L124" s="2"/>
      <x:c r="M124" s="2"/>
      <x:c r="N124" s="8" t="n">
        <x:f>DATE(2026,10,15)-DATE(2015,9,21)</x:f>
        <x:v>4042</x:v>
      </x:c>
      <x:c r="O124" s="2"/>
      <x:c r="P124" s="2" t="str">
        <x:v>ORS 상 유효사업현황에서 환경부 사업이나 산업부 사업으로 확인되어 DB상 추가(2016년 7월 이전 승인사업)</x:v>
      </x:c>
      <x:c r="Q124" s="2" t="str">
        <x:v>산업전환_외부사업관리Tool_260707_이너젠 수정_LJY_261013.xlsx</x:v>
      </x:c>
      <x:c r="R124" s="2" t="str">
        <x:v>국내평가</x:v>
      </x:c>
      <x:c r="S124" s="8" t="n">
        <x:v>27</x:v>
      </x:c>
      <x:c r="T124" s="2"/>
      <x:c r="U124" s="2" t="str"/>
      <x:c r="V124" s="2" t="str">
        <x:v>2015-09-21</x:v>
      </x:c>
      <x:c r="W124" s="2" t="str">
        <x:v>담당기관 확인 / 동일 관리키 복수행·회차 확인</x:v>
      </x:c>
      <x:c r="X124" s="2" t="str">
        <x:v>원본·배정 기록 확인</x:v>
      </x:c>
      <x:c r="Y124" s="2" t="str">
        <x:v>ad210cd9ec132cfd447541c8984dc53d30aff0f4fb2dc92d254d49275cc55976</x:v>
      </x:c>
      <x:c r="Z124" s="2" t="n">
        <x:f>SUBTOTAL(103,A124)</x:f>
        <x:v>1</x:v>
      </x:c>
      <x:c r="AA124" s="2" t="str">
        <x:f>IF(K124&lt;&gt;"미종결 표시","대상 아님",IF(N124="","신청일 확인",IF(NOT(ISNUMBER('종합 현황'!$H$5)),"관찰기준 확인",IF('종합 현황'!$H$5&lt;1,"관찰기준 확인",IF(N124&gt;'종합 현황'!$H$5,"내부 관찰 대상","내부 관찰일 이하")))))</x:f>
        <x:v>대상 아님</x:v>
      </x:c>
      <x:c r="AB124" s="2"/>
    </x:row>
    <x:row r="125" ht="42" customHeight="1">
      <x:c r="A125" s="2" t="str">
        <x:v>d74c01225124585bee5eedee</x:v>
      </x:c>
      <x:c r="B125" s="2" t="str">
        <x:v>사업 평가</x:v>
      </x:c>
      <x:c r="C125" s="2" t="str">
        <x:v>국내</x:v>
      </x:c>
      <x:c r="D125" s="7" t="str">
        <x:v>제주도 한경풍력 2단계 CDM사업</x:v>
      </x:c>
      <x:c r="E125" s="2" t="str">
        <x:v>환경부 이관 추가사업</x:v>
      </x:c>
      <x:c r="F125" s="2" t="str">
        <x:v>2015-09-21</x:v>
      </x:c>
      <x:c r="G125" s="2" t="str">
        <x:v>2015</x:v>
      </x:c>
      <x:c r="H125" s="2" t="str">
        <x:v>09</x:v>
      </x:c>
      <x:c r="I125" s="2" t="str">
        <x:v>승인</x:v>
      </x:c>
      <x:c r="J125" s="2" t="str">
        <x:v>심의승인</x:v>
      </x:c>
      <x:c r="K125" s="2" t="str">
        <x:f>IF(OR(J125="심의승인",J125="반려",J125="반려완료",J125="심의완료"),"종결 표시",IF(OR(J125="기후부협의",J125="문서재제출요청",J125="보류",J125="보완요청",J125="보완완료",J125="평가중",J125="반려요청",J125="평가필요",LEFT(J125,5)="보완요청("),"미종결 표시","상태 확인 필요"))</x:f>
        <x:v>종결 표시</x:v>
      </x:c>
      <x:c r="L125" s="2"/>
      <x:c r="M125" s="2"/>
      <x:c r="N125" s="8" t="n">
        <x:f>DATE(2026,10,15)-DATE(2015,9,21)</x:f>
        <x:v>4042</x:v>
      </x:c>
      <x:c r="O125" s="2"/>
      <x:c r="P125" s="2" t="str">
        <x:v>ORS 상 유효사업현황에서 환경부 사업이나 산업부 사업으로 확인되어 DB상 추가(2016년 7월 이전 승인사업)</x:v>
      </x:c>
      <x:c r="Q125" s="2" t="str">
        <x:v>산업전환_외부사업관리Tool_260707_이너젠 수정_LJY_261013.xlsx</x:v>
      </x:c>
      <x:c r="R125" s="2" t="str">
        <x:v>국내평가</x:v>
      </x:c>
      <x:c r="S125" s="8" t="n">
        <x:v>28</x:v>
      </x:c>
      <x:c r="T125" s="2"/>
      <x:c r="U125" s="2" t="str"/>
      <x:c r="V125" s="2" t="str">
        <x:v>2015-09-21</x:v>
      </x:c>
      <x:c r="W125" s="2" t="str">
        <x:v>담당기관 확인 / 동일 관리키 복수행·회차 확인</x:v>
      </x:c>
      <x:c r="X125" s="2" t="str">
        <x:v>원본·배정 기록 확인</x:v>
      </x:c>
      <x:c r="Y125" s="2" t="str">
        <x:v>ad210cd9ec132cfd447541c8984dc53d30aff0f4fb2dc92d254d49275cc55976</x:v>
      </x:c>
      <x:c r="Z125" s="2" t="n">
        <x:f>SUBTOTAL(103,A125)</x:f>
        <x:v>1</x:v>
      </x:c>
      <x:c r="AA125" s="2" t="str">
        <x:f>IF(K125&lt;&gt;"미종결 표시","대상 아님",IF(N125="","신청일 확인",IF(NOT(ISNUMBER('종합 현황'!$H$5)),"관찰기준 확인",IF('종합 현황'!$H$5&lt;1,"관찰기준 확인",IF(N125&gt;'종합 현황'!$H$5,"내부 관찰 대상","내부 관찰일 이하")))))</x:f>
        <x:v>대상 아님</x:v>
      </x:c>
      <x:c r="AB125" s="2"/>
    </x:row>
    <x:row r="126" ht="42" customHeight="1">
      <x:c r="A126" s="2" t="str">
        <x:v>8fd050877e3397459ec79109</x:v>
      </x:c>
      <x:c r="B126" s="2" t="str">
        <x:v>사업 평가</x:v>
      </x:c>
      <x:c r="C126" s="2" t="str">
        <x:v>국내</x:v>
      </x:c>
      <x:c r="D126" s="7" t="str">
        <x:v>영덕풍력발전단지 사업</x:v>
      </x:c>
      <x:c r="E126" s="2" t="str">
        <x:v>환경부 이관 추가사업</x:v>
      </x:c>
      <x:c r="F126" s="2" t="str">
        <x:v>2015-09-21</x:v>
      </x:c>
      <x:c r="G126" s="2" t="str">
        <x:v>2015</x:v>
      </x:c>
      <x:c r="H126" s="2" t="str">
        <x:v>09</x:v>
      </x:c>
      <x:c r="I126" s="2" t="str">
        <x:v>승인</x:v>
      </x:c>
      <x:c r="J126" s="2" t="str">
        <x:v>심의승인</x:v>
      </x:c>
      <x:c r="K126" s="2" t="str">
        <x:f>IF(OR(J126="심의승인",J126="반려",J126="반려완료",J126="심의완료"),"종결 표시",IF(OR(J126="기후부협의",J126="문서재제출요청",J126="보류",J126="보완요청",J126="보완완료",J126="평가중",J126="반려요청",J126="평가필요",LEFT(J126,5)="보완요청("),"미종결 표시","상태 확인 필요"))</x:f>
        <x:v>종결 표시</x:v>
      </x:c>
      <x:c r="L126" s="2"/>
      <x:c r="M126" s="2"/>
      <x:c r="N126" s="8" t="n">
        <x:f>DATE(2026,10,15)-DATE(2015,9,21)</x:f>
        <x:v>4042</x:v>
      </x:c>
      <x:c r="O126" s="2"/>
      <x:c r="P126" s="2" t="str">
        <x:v>ORS 상 유효사업현황에서 환경부 사업이나 산업부 사업으로 확인되어 DB상 추가(2016년 7월 이전 승인사업)</x:v>
      </x:c>
      <x:c r="Q126" s="2" t="str">
        <x:v>산업전환_외부사업관리Tool_260707_이너젠 수정_LJY_261013.xlsx</x:v>
      </x:c>
      <x:c r="R126" s="2" t="str">
        <x:v>국내평가</x:v>
      </x:c>
      <x:c r="S126" s="8" t="n">
        <x:v>29</x:v>
      </x:c>
      <x:c r="T126" s="2"/>
      <x:c r="U126" s="2" t="str"/>
      <x:c r="V126" s="2" t="str">
        <x:v>2015-09-21</x:v>
      </x:c>
      <x:c r="W126" s="2" t="str">
        <x:v>담당기관 확인 / 동일 관리키 복수행·회차 확인</x:v>
      </x:c>
      <x:c r="X126" s="2" t="str">
        <x:v>원본·배정 기록 확인</x:v>
      </x:c>
      <x:c r="Y126" s="2" t="str">
        <x:v>ad210cd9ec132cfd447541c8984dc53d30aff0f4fb2dc92d254d49275cc55976</x:v>
      </x:c>
      <x:c r="Z126" s="2" t="n">
        <x:f>SUBTOTAL(103,A126)</x:f>
        <x:v>1</x:v>
      </x:c>
      <x:c r="AA126" s="2" t="str">
        <x:f>IF(K126&lt;&gt;"미종결 표시","대상 아님",IF(N126="","신청일 확인",IF(NOT(ISNUMBER('종합 현황'!$H$5)),"관찰기준 확인",IF('종합 현황'!$H$5&lt;1,"관찰기준 확인",IF(N126&gt;'종합 현황'!$H$5,"내부 관찰 대상","내부 관찰일 이하")))))</x:f>
        <x:v>대상 아님</x:v>
      </x:c>
      <x:c r="AB126" s="2"/>
    </x:row>
    <x:row r="127" ht="42" customHeight="1">
      <x:c r="A127" s="2" t="str">
        <x:v>6b98656db5d3b83af957b06c</x:v>
      </x:c>
      <x:c r="B127" s="2" t="str">
        <x:v>사업 평가</x:v>
      </x:c>
      <x:c r="C127" s="2" t="str">
        <x:v>국내</x:v>
      </x:c>
      <x:c r="D127" s="7" t="str">
        <x:v>삼달풍력발전사업</x:v>
      </x:c>
      <x:c r="E127" s="2" t="str">
        <x:v>환경부 이관 추가사업</x:v>
      </x:c>
      <x:c r="F127" s="2" t="str">
        <x:v>2015-09-21</x:v>
      </x:c>
      <x:c r="G127" s="2" t="str">
        <x:v>2015</x:v>
      </x:c>
      <x:c r="H127" s="2" t="str">
        <x:v>09</x:v>
      </x:c>
      <x:c r="I127" s="2" t="str">
        <x:v>승인</x:v>
      </x:c>
      <x:c r="J127" s="2" t="str">
        <x:v>심의승인</x:v>
      </x:c>
      <x:c r="K127" s="2" t="str">
        <x:f>IF(OR(J127="심의승인",J127="반려",J127="반려완료",J127="심의완료"),"종결 표시",IF(OR(J127="기후부협의",J127="문서재제출요청",J127="보류",J127="보완요청",J127="보완완료",J127="평가중",J127="반려요청",J127="평가필요",LEFT(J127,5)="보완요청("),"미종결 표시","상태 확인 필요"))</x:f>
        <x:v>종결 표시</x:v>
      </x:c>
      <x:c r="L127" s="2"/>
      <x:c r="M127" s="2"/>
      <x:c r="N127" s="8" t="n">
        <x:f>DATE(2026,10,15)-DATE(2015,9,21)</x:f>
        <x:v>4042</x:v>
      </x:c>
      <x:c r="O127" s="2"/>
      <x:c r="P127" s="2" t="str">
        <x:v>ORS 상 유효사업현황에서 환경부 사업이나 산업부 사업으로 확인되어 DB상 추가(2016년 7월 이전 승인사업)</x:v>
      </x:c>
      <x:c r="Q127" s="2" t="str">
        <x:v>산업전환_외부사업관리Tool_260707_이너젠 수정_LJY_261013.xlsx</x:v>
      </x:c>
      <x:c r="R127" s="2" t="str">
        <x:v>국내평가</x:v>
      </x:c>
      <x:c r="S127" s="8" t="n">
        <x:v>30</x:v>
      </x:c>
      <x:c r="T127" s="2"/>
      <x:c r="U127" s="2" t="str"/>
      <x:c r="V127" s="2" t="str">
        <x:v>2015-09-21</x:v>
      </x:c>
      <x:c r="W127" s="2" t="str">
        <x:v>담당기관 확인 / 동일 관리키 복수행·회차 확인</x:v>
      </x:c>
      <x:c r="X127" s="2" t="str">
        <x:v>원본·배정 기록 확인</x:v>
      </x:c>
      <x:c r="Y127" s="2" t="str">
        <x:v>ad210cd9ec132cfd447541c8984dc53d30aff0f4fb2dc92d254d49275cc55976</x:v>
      </x:c>
      <x:c r="Z127" s="2" t="n">
        <x:f>SUBTOTAL(103,A127)</x:f>
        <x:v>1</x:v>
      </x:c>
      <x:c r="AA127" s="2" t="str">
        <x:f>IF(K127&lt;&gt;"미종결 표시","대상 아님",IF(N127="","신청일 확인",IF(NOT(ISNUMBER('종합 현황'!$H$5)),"관찰기준 확인",IF('종합 현황'!$H$5&lt;1,"관찰기준 확인",IF(N127&gt;'종합 현황'!$H$5,"내부 관찰 대상","내부 관찰일 이하")))))</x:f>
        <x:v>대상 아님</x:v>
      </x:c>
      <x:c r="AB127" s="2"/>
    </x:row>
    <x:row r="128" ht="42" customHeight="1">
      <x:c r="A128" s="2" t="str">
        <x:v>ec9eea1cdaa1be314e7cb6d6</x:v>
      </x:c>
      <x:c r="B128" s="2" t="str">
        <x:v>사업 평가</x:v>
      </x:c>
      <x:c r="C128" s="2" t="str">
        <x:v>국내</x:v>
      </x:c>
      <x:c r="D128" s="7" t="str">
        <x:v>강원풍력발전단지사업</x:v>
      </x:c>
      <x:c r="E128" s="2" t="str">
        <x:v>환경부 이관 추가사업</x:v>
      </x:c>
      <x:c r="F128" s="2" t="str">
        <x:v>2015-12-18</x:v>
      </x:c>
      <x:c r="G128" s="2" t="str">
        <x:v>2015</x:v>
      </x:c>
      <x:c r="H128" s="2" t="str">
        <x:v>12</x:v>
      </x:c>
      <x:c r="I128" s="2" t="str">
        <x:v>승인</x:v>
      </x:c>
      <x:c r="J128" s="2" t="str">
        <x:v>심의승인</x:v>
      </x:c>
      <x:c r="K128" s="2" t="str">
        <x:f>IF(OR(J128="심의승인",J128="반려",J128="반려완료",J128="심의완료"),"종결 표시",IF(OR(J128="기후부협의",J128="문서재제출요청",J128="보류",J128="보완요청",J128="보완완료",J128="평가중",J128="반려요청",J128="평가필요",LEFT(J128,5)="보완요청("),"미종결 표시","상태 확인 필요"))</x:f>
        <x:v>종결 표시</x:v>
      </x:c>
      <x:c r="L128" s="2"/>
      <x:c r="M128" s="2"/>
      <x:c r="N128" s="8" t="n">
        <x:f>DATE(2026,10,15)-DATE(2015,12,18)</x:f>
        <x:v>3954</x:v>
      </x:c>
      <x:c r="O128" s="2"/>
      <x:c r="P128" s="2" t="str">
        <x:v>ORS 상 유효사업현황에서 환경부 사업이나 산업부 사업으로 확인되어 DB상 추가(2016년 7월 이전 승인사업)</x:v>
      </x:c>
      <x:c r="Q128" s="2" t="str">
        <x:v>산업전환_외부사업관리Tool_260707_이너젠 수정_LJY_261013.xlsx</x:v>
      </x:c>
      <x:c r="R128" s="2" t="str">
        <x:v>국내평가</x:v>
      </x:c>
      <x:c r="S128" s="8" t="n">
        <x:v>31</x:v>
      </x:c>
      <x:c r="T128" s="2"/>
      <x:c r="U128" s="2" t="str"/>
      <x:c r="V128" s="2" t="str">
        <x:v>2015-12-18</x:v>
      </x:c>
      <x:c r="W128" s="2" t="str">
        <x:v>담당기관 확인 / 동일 관리키 복수행·회차 확인</x:v>
      </x:c>
      <x:c r="X128" s="2" t="str">
        <x:v>원본·배정 기록 확인</x:v>
      </x:c>
      <x:c r="Y128" s="2" t="str">
        <x:v>ad210cd9ec132cfd447541c8984dc53d30aff0f4fb2dc92d254d49275cc55976</x:v>
      </x:c>
      <x:c r="Z128" s="2" t="n">
        <x:f>SUBTOTAL(103,A128)</x:f>
        <x:v>1</x:v>
      </x:c>
      <x:c r="AA128" s="2" t="str">
        <x:f>IF(K128&lt;&gt;"미종결 표시","대상 아님",IF(N128="","신청일 확인",IF(NOT(ISNUMBER('종합 현황'!$H$5)),"관찰기준 확인",IF('종합 현황'!$H$5&lt;1,"관찰기준 확인",IF(N128&gt;'종합 현황'!$H$5,"내부 관찰 대상","내부 관찰일 이하")))))</x:f>
        <x:v>대상 아님</x:v>
      </x:c>
      <x:c r="AB128" s="2"/>
    </x:row>
    <x:row r="129" ht="42" customHeight="1">
      <x:c r="A129" s="2" t="str">
        <x:v>b85cda689477f47ec26fdc05</x:v>
      </x:c>
      <x:c r="B129" s="2" t="str">
        <x:v>사업 평가</x:v>
      </x:c>
      <x:c r="C129" s="2" t="str">
        <x:v>국내</x:v>
      </x:c>
      <x:c r="D129" s="7" t="str">
        <x:v>한국서부발전 태안 소수력발전 CDM사업</x:v>
      </x:c>
      <x:c r="E129" s="2" t="str">
        <x:v>환경부 이관 추가사업</x:v>
      </x:c>
      <x:c r="F129" s="2" t="str">
        <x:v>2015-12-18</x:v>
      </x:c>
      <x:c r="G129" s="2" t="str">
        <x:v>2015</x:v>
      </x:c>
      <x:c r="H129" s="2" t="str">
        <x:v>12</x:v>
      </x:c>
      <x:c r="I129" s="2" t="str">
        <x:v>승인</x:v>
      </x:c>
      <x:c r="J129" s="2" t="str">
        <x:v>심의승인</x:v>
      </x:c>
      <x:c r="K129" s="2" t="str">
        <x:f>IF(OR(J129="심의승인",J129="반려",J129="반려완료",J129="심의완료"),"종결 표시",IF(OR(J129="기후부협의",J129="문서재제출요청",J129="보류",J129="보완요청",J129="보완완료",J129="평가중",J129="반려요청",J129="평가필요",LEFT(J129,5)="보완요청("),"미종결 표시","상태 확인 필요"))</x:f>
        <x:v>종결 표시</x:v>
      </x:c>
      <x:c r="L129" s="2"/>
      <x:c r="M129" s="2"/>
      <x:c r="N129" s="8" t="n">
        <x:f>DATE(2026,10,15)-DATE(2015,12,18)</x:f>
        <x:v>3954</x:v>
      </x:c>
      <x:c r="O129" s="2"/>
      <x:c r="P129" s="2" t="str">
        <x:v>ORS 상 유효사업현황에서 환경부 사업이나 산업부 사업으로 확인되어 DB상 추가(2016년 7월 이전 승인사업)</x:v>
      </x:c>
      <x:c r="Q129" s="2" t="str">
        <x:v>산업전환_외부사업관리Tool_260707_이너젠 수정_LJY_261013.xlsx</x:v>
      </x:c>
      <x:c r="R129" s="2" t="str">
        <x:v>국내평가</x:v>
      </x:c>
      <x:c r="S129" s="8" t="n">
        <x:v>32</x:v>
      </x:c>
      <x:c r="T129" s="2"/>
      <x:c r="U129" s="2" t="str"/>
      <x:c r="V129" s="2" t="str">
        <x:v>2015-12-18</x:v>
      </x:c>
      <x:c r="W129" s="2" t="str">
        <x:v>담당기관 확인 / 동일 관리키 복수행·회차 확인</x:v>
      </x:c>
      <x:c r="X129" s="2" t="str">
        <x:v>원본·배정 기록 확인</x:v>
      </x:c>
      <x:c r="Y129" s="2" t="str">
        <x:v>ad210cd9ec132cfd447541c8984dc53d30aff0f4fb2dc92d254d49275cc55976</x:v>
      </x:c>
      <x:c r="Z129" s="2" t="n">
        <x:f>SUBTOTAL(103,A129)</x:f>
        <x:v>1</x:v>
      </x:c>
      <x:c r="AA129" s="2" t="str">
        <x:f>IF(K129&lt;&gt;"미종결 표시","대상 아님",IF(N129="","신청일 확인",IF(NOT(ISNUMBER('종합 현황'!$H$5)),"관찰기준 확인",IF('종합 현황'!$H$5&lt;1,"관찰기준 확인",IF(N129&gt;'종합 현황'!$H$5,"내부 관찰 대상","내부 관찰일 이하")))))</x:f>
        <x:v>대상 아님</x:v>
      </x:c>
      <x:c r="AB129" s="2"/>
    </x:row>
    <x:row r="130" ht="42" customHeight="1">
      <x:c r="A130" s="2" t="str">
        <x:v>ca467a31c4b182e61fa73c91</x:v>
      </x:c>
      <x:c r="B130" s="2" t="str">
        <x:v>사업 평가</x:v>
      </x:c>
      <x:c r="C130" s="2" t="str">
        <x:v>국내</x:v>
      </x:c>
      <x:c r="D130" s="7" t="str">
        <x:v>대구 및 신안증도 태양광발전 사업</x:v>
      </x:c>
      <x:c r="E130" s="2" t="str">
        <x:v>환경부 이관 추가사업</x:v>
      </x:c>
      <x:c r="F130" s="2" t="str">
        <x:v>2015-12-18</x:v>
      </x:c>
      <x:c r="G130" s="2" t="str">
        <x:v>2015</x:v>
      </x:c>
      <x:c r="H130" s="2" t="str">
        <x:v>12</x:v>
      </x:c>
      <x:c r="I130" s="2" t="str">
        <x:v>승인</x:v>
      </x:c>
      <x:c r="J130" s="2" t="str">
        <x:v>심의승인</x:v>
      </x:c>
      <x:c r="K130" s="2" t="str">
        <x:f>IF(OR(J130="심의승인",J130="반려",J130="반려완료",J130="심의완료"),"종결 표시",IF(OR(J130="기후부협의",J130="문서재제출요청",J130="보류",J130="보완요청",J130="보완완료",J130="평가중",J130="반려요청",J130="평가필요",LEFT(J130,5)="보완요청("),"미종결 표시","상태 확인 필요"))</x:f>
        <x:v>종결 표시</x:v>
      </x:c>
      <x:c r="L130" s="2"/>
      <x:c r="M130" s="2"/>
      <x:c r="N130" s="8" t="n">
        <x:f>DATE(2026,10,15)-DATE(2015,12,18)</x:f>
        <x:v>3954</x:v>
      </x:c>
      <x:c r="O130" s="2"/>
      <x:c r="P130" s="2" t="str">
        <x:v>ORS 상 유효사업현황에서 환경부 사업이나 산업부 사업으로 확인되어 DB상 추가(2016년 7월 이전 승인사업)</x:v>
      </x:c>
      <x:c r="Q130" s="2" t="str">
        <x:v>산업전환_외부사업관리Tool_260707_이너젠 수정_LJY_261013.xlsx</x:v>
      </x:c>
      <x:c r="R130" s="2" t="str">
        <x:v>국내평가</x:v>
      </x:c>
      <x:c r="S130" s="8" t="n">
        <x:v>33</x:v>
      </x:c>
      <x:c r="T130" s="2"/>
      <x:c r="U130" s="2" t="str"/>
      <x:c r="V130" s="2" t="str">
        <x:v>2015-12-18</x:v>
      </x:c>
      <x:c r="W130" s="2" t="str">
        <x:v>담당기관 확인 / 동일 관리키 복수행·회차 확인</x:v>
      </x:c>
      <x:c r="X130" s="2" t="str">
        <x:v>원본·배정 기록 확인</x:v>
      </x:c>
      <x:c r="Y130" s="2" t="str">
        <x:v>ad210cd9ec132cfd447541c8984dc53d30aff0f4fb2dc92d254d49275cc55976</x:v>
      </x:c>
      <x:c r="Z130" s="2" t="n">
        <x:f>SUBTOTAL(103,A130)</x:f>
        <x:v>1</x:v>
      </x:c>
      <x:c r="AA130" s="2" t="str">
        <x:f>IF(K130&lt;&gt;"미종결 표시","대상 아님",IF(N130="","신청일 확인",IF(NOT(ISNUMBER('종합 현황'!$H$5)),"관찰기준 확인",IF('종합 현황'!$H$5&lt;1,"관찰기준 확인",IF(N130&gt;'종합 현황'!$H$5,"내부 관찰 대상","내부 관찰일 이하")))))</x:f>
        <x:v>대상 아님</x:v>
      </x:c>
      <x:c r="AB130" s="2"/>
    </x:row>
    <x:row r="131" ht="42" customHeight="1">
      <x:c r="A131" s="2" t="str">
        <x:v>127af9f48d9ccff4ba444ee3</x:v>
      </x:c>
      <x:c r="B131" s="2" t="str">
        <x:v>사업 평가</x:v>
      </x:c>
      <x:c r="C131" s="2" t="str">
        <x:v>국내</x:v>
      </x:c>
      <x:c r="D131" s="7" t="str">
        <x:v>4.85MW 한국농어촌공사 태양광발전 번들링사업</x:v>
      </x:c>
      <x:c r="E131" s="2" t="str">
        <x:v>환경부 이관 추가사업</x:v>
      </x:c>
      <x:c r="F131" s="2" t="str">
        <x:v>2015-12-18</x:v>
      </x:c>
      <x:c r="G131" s="2" t="str">
        <x:v>2015</x:v>
      </x:c>
      <x:c r="H131" s="2" t="str">
        <x:v>12</x:v>
      </x:c>
      <x:c r="I131" s="2" t="str">
        <x:v>승인</x:v>
      </x:c>
      <x:c r="J131" s="2" t="str">
        <x:v>심의승인</x:v>
      </x:c>
      <x:c r="K131" s="2" t="str">
        <x:f>IF(OR(J131="심의승인",J131="반려",J131="반려완료",J131="심의완료"),"종결 표시",IF(OR(J131="기후부협의",J131="문서재제출요청",J131="보류",J131="보완요청",J131="보완완료",J131="평가중",J131="반려요청",J131="평가필요",LEFT(J131,5)="보완요청("),"미종결 표시","상태 확인 필요"))</x:f>
        <x:v>종결 표시</x:v>
      </x:c>
      <x:c r="L131" s="2"/>
      <x:c r="M131" s="2"/>
      <x:c r="N131" s="8" t="n">
        <x:f>DATE(2026,10,15)-DATE(2015,12,18)</x:f>
        <x:v>3954</x:v>
      </x:c>
      <x:c r="O131" s="2"/>
      <x:c r="P131" s="2" t="str">
        <x:v>ORS 상 유효사업현황에서 환경부 사업이나 산업부 사업으로 확인되어 DB상 추가(2016년 7월 이전 승인사업)</x:v>
      </x:c>
      <x:c r="Q131" s="2" t="str">
        <x:v>산업전환_외부사업관리Tool_260707_이너젠 수정_LJY_261013.xlsx</x:v>
      </x:c>
      <x:c r="R131" s="2" t="str">
        <x:v>국내평가</x:v>
      </x:c>
      <x:c r="S131" s="8" t="n">
        <x:v>34</x:v>
      </x:c>
      <x:c r="T131" s="2"/>
      <x:c r="U131" s="2" t="str"/>
      <x:c r="V131" s="2" t="str">
        <x:v>2015-12-18</x:v>
      </x:c>
      <x:c r="W131" s="2" t="str">
        <x:v>담당기관 확인 / 동일 관리키 복수행·회차 확인</x:v>
      </x:c>
      <x:c r="X131" s="2" t="str">
        <x:v>원본·배정 기록 확인</x:v>
      </x:c>
      <x:c r="Y131" s="2" t="str">
        <x:v>ad210cd9ec132cfd447541c8984dc53d30aff0f4fb2dc92d254d49275cc55976</x:v>
      </x:c>
      <x:c r="Z131" s="2" t="n">
        <x:f>SUBTOTAL(103,A131)</x:f>
        <x:v>1</x:v>
      </x:c>
      <x:c r="AA131" s="2" t="str">
        <x:f>IF(K131&lt;&gt;"미종결 표시","대상 아님",IF(N131="","신청일 확인",IF(NOT(ISNUMBER('종합 현황'!$H$5)),"관찰기준 확인",IF('종합 현황'!$H$5&lt;1,"관찰기준 확인",IF(N131&gt;'종합 현황'!$H$5,"내부 관찰 대상","내부 관찰일 이하")))))</x:f>
        <x:v>대상 아님</x:v>
      </x:c>
      <x:c r="AB131" s="2"/>
    </x:row>
    <x:row r="132" ht="42" customHeight="1">
      <x:c r="A132" s="2" t="str">
        <x:v>171e453dc8d9fc7815942872</x:v>
      </x:c>
      <x:c r="B132" s="2" t="str">
        <x:v>사업 평가</x:v>
      </x:c>
      <x:c r="C132" s="2" t="str">
        <x:v>국내</x:v>
      </x:c>
      <x:c r="D132" s="7" t="str">
        <x:v>한국수자원공사 방아머리 풍력발전 사업</x:v>
      </x:c>
      <x:c r="E132" s="2" t="str">
        <x:v>환경부 이관 추가사업</x:v>
      </x:c>
      <x:c r="F132" s="2" t="str">
        <x:v>2015-12-18</x:v>
      </x:c>
      <x:c r="G132" s="2" t="str">
        <x:v>2015</x:v>
      </x:c>
      <x:c r="H132" s="2" t="str">
        <x:v>12</x:v>
      </x:c>
      <x:c r="I132" s="2" t="str">
        <x:v>승인</x:v>
      </x:c>
      <x:c r="J132" s="2" t="str">
        <x:v>심의승인</x:v>
      </x:c>
      <x:c r="K132" s="2" t="str">
        <x:f>IF(OR(J132="심의승인",J132="반려",J132="반려완료",J132="심의완료"),"종결 표시",IF(OR(J132="기후부협의",J132="문서재제출요청",J132="보류",J132="보완요청",J132="보완완료",J132="평가중",J132="반려요청",J132="평가필요",LEFT(J132,5)="보완요청("),"미종결 표시","상태 확인 필요"))</x:f>
        <x:v>종결 표시</x:v>
      </x:c>
      <x:c r="L132" s="2"/>
      <x:c r="M132" s="2"/>
      <x:c r="N132" s="8" t="n">
        <x:f>DATE(2026,10,15)-DATE(2015,12,18)</x:f>
        <x:v>3954</x:v>
      </x:c>
      <x:c r="O132" s="2"/>
      <x:c r="P132" s="2" t="str">
        <x:v>ORS 상 유효사업현황에서 환경부 사업이나 산업부 사업으로 확인되어 DB상 추가(2016년 7월 이전 승인사업)</x:v>
      </x:c>
      <x:c r="Q132" s="2" t="str">
        <x:v>산업전환_외부사업관리Tool_260707_이너젠 수정_LJY_261013.xlsx</x:v>
      </x:c>
      <x:c r="R132" s="2" t="str">
        <x:v>국내평가</x:v>
      </x:c>
      <x:c r="S132" s="8" t="n">
        <x:v>35</x:v>
      </x:c>
      <x:c r="T132" s="2"/>
      <x:c r="U132" s="2" t="str"/>
      <x:c r="V132" s="2" t="str">
        <x:v>2015-12-18</x:v>
      </x:c>
      <x:c r="W132" s="2" t="str">
        <x:v>담당기관 확인 / 동일 관리키 복수행·회차 확인</x:v>
      </x:c>
      <x:c r="X132" s="2" t="str">
        <x:v>원본·배정 기록 확인</x:v>
      </x:c>
      <x:c r="Y132" s="2" t="str">
        <x:v>ad210cd9ec132cfd447541c8984dc53d30aff0f4fb2dc92d254d49275cc55976</x:v>
      </x:c>
      <x:c r="Z132" s="2" t="n">
        <x:f>SUBTOTAL(103,A132)</x:f>
        <x:v>1</x:v>
      </x:c>
      <x:c r="AA132" s="2" t="str">
        <x:f>IF(K132&lt;&gt;"미종결 표시","대상 아님",IF(N132="","신청일 확인",IF(NOT(ISNUMBER('종합 현황'!$H$5)),"관찰기준 확인",IF('종합 현황'!$H$5&lt;1,"관찰기준 확인",IF(N132&gt;'종합 현황'!$H$5,"내부 관찰 대상","내부 관찰일 이하")))))</x:f>
        <x:v>대상 아님</x:v>
      </x:c>
      <x:c r="AB132" s="2"/>
    </x:row>
    <x:row r="133" ht="42" customHeight="1">
      <x:c r="A133" s="2" t="str">
        <x:v>45a82502335dcd51070ca5d2</x:v>
      </x:c>
      <x:c r="B133" s="2" t="str">
        <x:v>사업 평가</x:v>
      </x:c>
      <x:c r="C133" s="2" t="str">
        <x:v>국내</x:v>
      </x:c>
      <x:c r="D133" s="7" t="str">
        <x:v>소수력발전 사업Ⅱ</x:v>
      </x:c>
      <x:c r="E133" s="2" t="str">
        <x:v>환경부 이관 추가사업</x:v>
      </x:c>
      <x:c r="F133" s="2" t="str">
        <x:v>2015-12-18</x:v>
      </x:c>
      <x:c r="G133" s="2" t="str">
        <x:v>2015</x:v>
      </x:c>
      <x:c r="H133" s="2" t="str">
        <x:v>12</x:v>
      </x:c>
      <x:c r="I133" s="2" t="str">
        <x:v>승인</x:v>
      </x:c>
      <x:c r="J133" s="2" t="str">
        <x:v>심의승인</x:v>
      </x:c>
      <x:c r="K133" s="2" t="str">
        <x:f>IF(OR(J133="심의승인",J133="반려",J133="반려완료",J133="심의완료"),"종결 표시",IF(OR(J133="기후부협의",J133="문서재제출요청",J133="보류",J133="보완요청",J133="보완완료",J133="평가중",J133="반려요청",J133="평가필요",LEFT(J133,5)="보완요청("),"미종결 표시","상태 확인 필요"))</x:f>
        <x:v>종결 표시</x:v>
      </x:c>
      <x:c r="L133" s="2"/>
      <x:c r="M133" s="2"/>
      <x:c r="N133" s="8" t="n">
        <x:f>DATE(2026,10,15)-DATE(2015,12,18)</x:f>
        <x:v>3954</x:v>
      </x:c>
      <x:c r="O133" s="2"/>
      <x:c r="P133" s="2" t="str">
        <x:v>ORS 상 유효사업현황에서 환경부 사업이나 산업부 사업으로 확인되어 DB상 추가(2016년 7월 이전 승인사업)</x:v>
      </x:c>
      <x:c r="Q133" s="2" t="str">
        <x:v>산업전환_외부사업관리Tool_260707_이너젠 수정_LJY_261013.xlsx</x:v>
      </x:c>
      <x:c r="R133" s="2" t="str">
        <x:v>국내평가</x:v>
      </x:c>
      <x:c r="S133" s="8" t="n">
        <x:v>36</x:v>
      </x:c>
      <x:c r="T133" s="2"/>
      <x:c r="U133" s="2" t="str"/>
      <x:c r="V133" s="2" t="str">
        <x:v>2015-12-18</x:v>
      </x:c>
      <x:c r="W133" s="2" t="str">
        <x:v>담당기관 확인 / 동일 관리키 복수행·회차 확인</x:v>
      </x:c>
      <x:c r="X133" s="2" t="str">
        <x:v>원본·배정 기록 확인</x:v>
      </x:c>
      <x:c r="Y133" s="2" t="str">
        <x:v>ad210cd9ec132cfd447541c8984dc53d30aff0f4fb2dc92d254d49275cc55976</x:v>
      </x:c>
      <x:c r="Z133" s="2" t="n">
        <x:f>SUBTOTAL(103,A133)</x:f>
        <x:v>1</x:v>
      </x:c>
      <x:c r="AA133" s="2" t="str">
        <x:f>IF(K133&lt;&gt;"미종결 표시","대상 아님",IF(N133="","신청일 확인",IF(NOT(ISNUMBER('종합 현황'!$H$5)),"관찰기준 확인",IF('종합 현황'!$H$5&lt;1,"관찰기준 확인",IF(N133&gt;'종합 현황'!$H$5,"내부 관찰 대상","내부 관찰일 이하")))))</x:f>
        <x:v>대상 아님</x:v>
      </x:c>
      <x:c r="AB133" s="2"/>
    </x:row>
    <x:row r="134" ht="42" customHeight="1">
      <x:c r="A134" s="2" t="str">
        <x:v>9e8f3b8a30e9d3de77d1d369</x:v>
      </x:c>
      <x:c r="B134" s="2" t="str">
        <x:v>사업 평가</x:v>
      </x:c>
      <x:c r="C134" s="2" t="str">
        <x:v>국내</x:v>
      </x:c>
      <x:c r="D134" s="7" t="str">
        <x:v>한국남동발전주식회사 소수력 발전사업</x:v>
      </x:c>
      <x:c r="E134" s="2" t="str">
        <x:v>환경부 이관 추가사업</x:v>
      </x:c>
      <x:c r="F134" s="2" t="str">
        <x:v>2015-12-21</x:v>
      </x:c>
      <x:c r="G134" s="2" t="str">
        <x:v>2015</x:v>
      </x:c>
      <x:c r="H134" s="2" t="str">
        <x:v>12</x:v>
      </x:c>
      <x:c r="I134" s="2" t="str">
        <x:v>승인</x:v>
      </x:c>
      <x:c r="J134" s="2" t="str">
        <x:v>심의승인</x:v>
      </x:c>
      <x:c r="K134" s="2" t="str">
        <x:f>IF(OR(J134="심의승인",J134="반려",J134="반려완료",J134="심의완료"),"종결 표시",IF(OR(J134="기후부협의",J134="문서재제출요청",J134="보류",J134="보완요청",J134="보완완료",J134="평가중",J134="반려요청",J134="평가필요",LEFT(J134,5)="보완요청("),"미종결 표시","상태 확인 필요"))</x:f>
        <x:v>종결 표시</x:v>
      </x:c>
      <x:c r="L134" s="2"/>
      <x:c r="M134" s="2"/>
      <x:c r="N134" s="8" t="n">
        <x:f>DATE(2026,10,15)-DATE(2015,12,21)</x:f>
        <x:v>3951</x:v>
      </x:c>
      <x:c r="O134" s="2"/>
      <x:c r="P134" s="2" t="str">
        <x:v>ORS 상 유효사업현황에서 환경부 사업이나 산업부 사업으로 확인되어 DB상 추가(2016년 7월 이전 승인사업)</x:v>
      </x:c>
      <x:c r="Q134" s="2" t="str">
        <x:v>산업전환_외부사업관리Tool_260707_이너젠 수정_LJY_261013.xlsx</x:v>
      </x:c>
      <x:c r="R134" s="2" t="str">
        <x:v>국내평가</x:v>
      </x:c>
      <x:c r="S134" s="8" t="n">
        <x:v>37</x:v>
      </x:c>
      <x:c r="T134" s="2"/>
      <x:c r="U134" s="2" t="str"/>
      <x:c r="V134" s="2" t="str">
        <x:v>2015-12-21</x:v>
      </x:c>
      <x:c r="W134" s="2" t="str">
        <x:v>담당기관 확인 / 동일 관리키 복수행·회차 확인</x:v>
      </x:c>
      <x:c r="X134" s="2" t="str">
        <x:v>원본·배정 기록 확인</x:v>
      </x:c>
      <x:c r="Y134" s="2" t="str">
        <x:v>ad210cd9ec132cfd447541c8984dc53d30aff0f4fb2dc92d254d49275cc55976</x:v>
      </x:c>
      <x:c r="Z134" s="2" t="n">
        <x:f>SUBTOTAL(103,A134)</x:f>
        <x:v>1</x:v>
      </x:c>
      <x:c r="AA134" s="2" t="str">
        <x:f>IF(K134&lt;&gt;"미종결 표시","대상 아님",IF(N134="","신청일 확인",IF(NOT(ISNUMBER('종합 현황'!$H$5)),"관찰기준 확인",IF('종합 현황'!$H$5&lt;1,"관찰기준 확인",IF(N134&gt;'종합 현황'!$H$5,"내부 관찰 대상","내부 관찰일 이하")))))</x:f>
        <x:v>대상 아님</x:v>
      </x:c>
      <x:c r="AB134" s="2"/>
    </x:row>
    <x:row r="135" ht="42" customHeight="1">
      <x:c r="A135" s="2" t="str">
        <x:v>ab418affcfc284ac5e179c9f</x:v>
      </x:c>
      <x:c r="B135" s="2" t="str">
        <x:v>사업 평가</x:v>
      </x:c>
      <x:c r="C135" s="2" t="str">
        <x:v>국내</x:v>
      </x:c>
      <x:c r="D135" s="7" t="str">
        <x:v>태기산 풍력발전 CDM 사업</x:v>
      </x:c>
      <x:c r="E135" s="2" t="str">
        <x:v>환경부 이관 추가사업</x:v>
      </x:c>
      <x:c r="F135" s="2" t="str">
        <x:v>2015-12-21</x:v>
      </x:c>
      <x:c r="G135" s="2" t="str">
        <x:v>2015</x:v>
      </x:c>
      <x:c r="H135" s="2" t="str">
        <x:v>12</x:v>
      </x:c>
      <x:c r="I135" s="2" t="str">
        <x:v>승인</x:v>
      </x:c>
      <x:c r="J135" s="2" t="str">
        <x:v>심의승인</x:v>
      </x:c>
      <x:c r="K135" s="2" t="str">
        <x:f>IF(OR(J135="심의승인",J135="반려",J135="반려완료",J135="심의완료"),"종결 표시",IF(OR(J135="기후부협의",J135="문서재제출요청",J135="보류",J135="보완요청",J135="보완완료",J135="평가중",J135="반려요청",J135="평가필요",LEFT(J135,5)="보완요청("),"미종결 표시","상태 확인 필요"))</x:f>
        <x:v>종결 표시</x:v>
      </x:c>
      <x:c r="L135" s="2"/>
      <x:c r="M135" s="2"/>
      <x:c r="N135" s="8" t="n">
        <x:f>DATE(2026,10,15)-DATE(2015,12,21)</x:f>
        <x:v>3951</x:v>
      </x:c>
      <x:c r="O135" s="2"/>
      <x:c r="P135" s="2" t="str">
        <x:v>ORS 상 유효사업현황에서 환경부 사업이나 산업부 사업으로 확인되어 DB상 추가(2016년 7월 이전 승인사업)</x:v>
      </x:c>
      <x:c r="Q135" s="2" t="str">
        <x:v>산업전환_외부사업관리Tool_260707_이너젠 수정_LJY_261013.xlsx</x:v>
      </x:c>
      <x:c r="R135" s="2" t="str">
        <x:v>국내평가</x:v>
      </x:c>
      <x:c r="S135" s="8" t="n">
        <x:v>38</x:v>
      </x:c>
      <x:c r="T135" s="2"/>
      <x:c r="U135" s="2" t="str"/>
      <x:c r="V135" s="2" t="str">
        <x:v>2015-12-21</x:v>
      </x:c>
      <x:c r="W135" s="2" t="str">
        <x:v>담당기관 확인 / 동일 관리키 복수행·회차 확인</x:v>
      </x:c>
      <x:c r="X135" s="2" t="str">
        <x:v>원본·배정 기록 확인</x:v>
      </x:c>
      <x:c r="Y135" s="2" t="str">
        <x:v>ad210cd9ec132cfd447541c8984dc53d30aff0f4fb2dc92d254d49275cc55976</x:v>
      </x:c>
      <x:c r="Z135" s="2" t="n">
        <x:f>SUBTOTAL(103,A135)</x:f>
        <x:v>1</x:v>
      </x:c>
      <x:c r="AA135" s="2" t="str">
        <x:f>IF(K135&lt;&gt;"미종결 표시","대상 아님",IF(N135="","신청일 확인",IF(NOT(ISNUMBER('종합 현황'!$H$5)),"관찰기준 확인",IF('종합 현황'!$H$5&lt;1,"관찰기준 확인",IF(N135&gt;'종합 현황'!$H$5,"내부 관찰 대상","내부 관찰일 이하")))))</x:f>
        <x:v>대상 아님</x:v>
      </x:c>
      <x:c r="AB135" s="2"/>
    </x:row>
    <x:row r="136" ht="42" customHeight="1">
      <x:c r="A136" s="2" t="str">
        <x:v>77d61005571c26381fa8fa52</x:v>
      </x:c>
      <x:c r="B136" s="2" t="str">
        <x:v>사업 평가</x:v>
      </x:c>
      <x:c r="C136" s="2" t="str">
        <x:v>국내</x:v>
      </x:c>
      <x:c r="D136" s="7" t="str">
        <x:v>당진소수력 CDM사업</x:v>
      </x:c>
      <x:c r="E136" s="2" t="str">
        <x:v>환경부 이관 추가사업</x:v>
      </x:c>
      <x:c r="F136" s="2" t="str">
        <x:v>2015-12-21</x:v>
      </x:c>
      <x:c r="G136" s="2" t="str">
        <x:v>2015</x:v>
      </x:c>
      <x:c r="H136" s="2" t="str">
        <x:v>12</x:v>
      </x:c>
      <x:c r="I136" s="2" t="str">
        <x:v>승인</x:v>
      </x:c>
      <x:c r="J136" s="2" t="str">
        <x:v>심의승인</x:v>
      </x:c>
      <x:c r="K136" s="2" t="str">
        <x:f>IF(OR(J136="심의승인",J136="반려",J136="반려완료",J136="심의완료"),"종결 표시",IF(OR(J136="기후부협의",J136="문서재제출요청",J136="보류",J136="보완요청",J136="보완완료",J136="평가중",J136="반려요청",J136="평가필요",LEFT(J136,5)="보완요청("),"미종결 표시","상태 확인 필요"))</x:f>
        <x:v>종결 표시</x:v>
      </x:c>
      <x:c r="L136" s="2"/>
      <x:c r="M136" s="2"/>
      <x:c r="N136" s="8" t="n">
        <x:f>DATE(2026,10,15)-DATE(2015,12,21)</x:f>
        <x:v>3951</x:v>
      </x:c>
      <x:c r="O136" s="2"/>
      <x:c r="P136" s="2" t="str">
        <x:v>ORS 상 유효사업현황에서 환경부 사업이나 산업부 사업으로 확인되어 DB상 추가(2016년 7월 이전 승인사업)</x:v>
      </x:c>
      <x:c r="Q136" s="2" t="str">
        <x:v>산업전환_외부사업관리Tool_260707_이너젠 수정_LJY_261013.xlsx</x:v>
      </x:c>
      <x:c r="R136" s="2" t="str">
        <x:v>국내평가</x:v>
      </x:c>
      <x:c r="S136" s="8" t="n">
        <x:v>39</x:v>
      </x:c>
      <x:c r="T136" s="2"/>
      <x:c r="U136" s="2" t="str"/>
      <x:c r="V136" s="2" t="str">
        <x:v>2015-12-21</x:v>
      </x:c>
      <x:c r="W136" s="2" t="str">
        <x:v>담당기관 확인 / 동일 관리키 복수행·회차 확인</x:v>
      </x:c>
      <x:c r="X136" s="2" t="str">
        <x:v>원본·배정 기록 확인</x:v>
      </x:c>
      <x:c r="Y136" s="2" t="str">
        <x:v>ad210cd9ec132cfd447541c8984dc53d30aff0f4fb2dc92d254d49275cc55976</x:v>
      </x:c>
      <x:c r="Z136" s="2" t="n">
        <x:f>SUBTOTAL(103,A136)</x:f>
        <x:v>1</x:v>
      </x:c>
      <x:c r="AA136" s="2" t="str">
        <x:f>IF(K136&lt;&gt;"미종결 표시","대상 아님",IF(N136="","신청일 확인",IF(NOT(ISNUMBER('종합 현황'!$H$5)),"관찰기준 확인",IF('종합 현황'!$H$5&lt;1,"관찰기준 확인",IF(N136&gt;'종합 현황'!$H$5,"내부 관찰 대상","내부 관찰일 이하")))))</x:f>
        <x:v>대상 아님</x:v>
      </x:c>
      <x:c r="AB136" s="2"/>
    </x:row>
    <x:row r="137" ht="42" customHeight="1">
      <x:c r="A137" s="2" t="str">
        <x:v>a0438af4f2f988ec29635110</x:v>
      </x:c>
      <x:c r="B137" s="2" t="str">
        <x:v>사업 평가</x:v>
      </x:c>
      <x:c r="C137" s="2" t="str">
        <x:v>국내</x:v>
      </x:c>
      <x:c r="D137" s="7" t="str">
        <x:v>삼달풍력발전사업</x:v>
      </x:c>
      <x:c r="E137" s="2" t="str">
        <x:v>환경부 이관 추가사업</x:v>
      </x:c>
      <x:c r="F137" s="2" t="str">
        <x:v>2015-12-21</x:v>
      </x:c>
      <x:c r="G137" s="2" t="str">
        <x:v>2015</x:v>
      </x:c>
      <x:c r="H137" s="2" t="str">
        <x:v>12</x:v>
      </x:c>
      <x:c r="I137" s="2" t="str">
        <x:v>승인</x:v>
      </x:c>
      <x:c r="J137" s="2" t="str">
        <x:v>심의승인</x:v>
      </x:c>
      <x:c r="K137" s="2" t="str">
        <x:f>IF(OR(J137="심의승인",J137="반려",J137="반려완료",J137="심의완료"),"종결 표시",IF(OR(J137="기후부협의",J137="문서재제출요청",J137="보류",J137="보완요청",J137="보완완료",J137="평가중",J137="반려요청",J137="평가필요",LEFT(J137,5)="보완요청("),"미종결 표시","상태 확인 필요"))</x:f>
        <x:v>종결 표시</x:v>
      </x:c>
      <x:c r="L137" s="2"/>
      <x:c r="M137" s="2"/>
      <x:c r="N137" s="8" t="n">
        <x:f>DATE(2026,10,15)-DATE(2015,12,21)</x:f>
        <x:v>3951</x:v>
      </x:c>
      <x:c r="O137" s="2"/>
      <x:c r="P137" s="2" t="str">
        <x:v>ORS 상 유효사업현황에서 환경부 사업이나 산업부 사업으로 확인되어 DB상 추가(2016년 7월 이전 승인사업)</x:v>
      </x:c>
      <x:c r="Q137" s="2" t="str">
        <x:v>산업전환_외부사업관리Tool_260707_이너젠 수정_LJY_261013.xlsx</x:v>
      </x:c>
      <x:c r="R137" s="2" t="str">
        <x:v>국내평가</x:v>
      </x:c>
      <x:c r="S137" s="8" t="n">
        <x:v>40</x:v>
      </x:c>
      <x:c r="T137" s="2"/>
      <x:c r="U137" s="2" t="str"/>
      <x:c r="V137" s="2" t="str">
        <x:v>2015-12-21</x:v>
      </x:c>
      <x:c r="W137" s="2" t="str">
        <x:v>담당기관 확인 / 동일 관리키 복수행·회차 확인</x:v>
      </x:c>
      <x:c r="X137" s="2" t="str">
        <x:v>원본·배정 기록 확인</x:v>
      </x:c>
      <x:c r="Y137" s="2" t="str">
        <x:v>ad210cd9ec132cfd447541c8984dc53d30aff0f4fb2dc92d254d49275cc55976</x:v>
      </x:c>
      <x:c r="Z137" s="2" t="n">
        <x:f>SUBTOTAL(103,A137)</x:f>
        <x:v>1</x:v>
      </x:c>
      <x:c r="AA137" s="2" t="str">
        <x:f>IF(K137&lt;&gt;"미종결 표시","대상 아님",IF(N137="","신청일 확인",IF(NOT(ISNUMBER('종합 현황'!$H$5)),"관찰기준 확인",IF('종합 현황'!$H$5&lt;1,"관찰기준 확인",IF(N137&gt;'종합 현황'!$H$5,"내부 관찰 대상","내부 관찰일 이하")))))</x:f>
        <x:v>대상 아님</x:v>
      </x:c>
      <x:c r="AB137" s="2"/>
    </x:row>
    <x:row r="138" ht="42" customHeight="1">
      <x:c r="A138" s="2" t="str">
        <x:v>b06cecadb43afd575661ce7e</x:v>
      </x:c>
      <x:c r="B138" s="2" t="str">
        <x:v>사업 평가</x:v>
      </x:c>
      <x:c r="C138" s="2" t="str">
        <x:v>국내</x:v>
      </x:c>
      <x:c r="D138" s="7" t="str">
        <x:v>동부한농 질산공장 N2O 감축사업</x:v>
      </x:c>
      <x:c r="E138" s="2" t="str">
        <x:v>환경부 이관 추가사업</x:v>
      </x:c>
      <x:c r="F138" s="2" t="str">
        <x:v>2016-02-19</x:v>
      </x:c>
      <x:c r="G138" s="2" t="str">
        <x:v>2016</x:v>
      </x:c>
      <x:c r="H138" s="2" t="str">
        <x:v>02</x:v>
      </x:c>
      <x:c r="I138" s="2" t="str">
        <x:v>승인</x:v>
      </x:c>
      <x:c r="J138" s="2" t="str">
        <x:v>심의승인</x:v>
      </x:c>
      <x:c r="K138" s="2" t="str">
        <x:f>IF(OR(J138="심의승인",J138="반려",J138="반려완료",J138="심의완료"),"종결 표시",IF(OR(J138="기후부협의",J138="문서재제출요청",J138="보류",J138="보완요청",J138="보완완료",J138="평가중",J138="반려요청",J138="평가필요",LEFT(J138,5)="보완요청("),"미종결 표시","상태 확인 필요"))</x:f>
        <x:v>종결 표시</x:v>
      </x:c>
      <x:c r="L138" s="2"/>
      <x:c r="M138" s="2"/>
      <x:c r="N138" s="8" t="n">
        <x:f>DATE(2026,10,15)-DATE(2016,2,19)</x:f>
        <x:v>3891</x:v>
      </x:c>
      <x:c r="O138" s="2"/>
      <x:c r="P138" s="2" t="str">
        <x:v>ORS 상 유효사업현황에서 환경부 사업이나 산업부 사업으로 확인되어 DB상 추가(2016년 7월 이전 승인사업)</x:v>
      </x:c>
      <x:c r="Q138" s="2" t="str">
        <x:v>산업전환_외부사업관리Tool_260707_이너젠 수정_LJY_261013.xlsx</x:v>
      </x:c>
      <x:c r="R138" s="2" t="str">
        <x:v>국내평가</x:v>
      </x:c>
      <x:c r="S138" s="8" t="n">
        <x:v>41</x:v>
      </x:c>
      <x:c r="T138" s="2"/>
      <x:c r="U138" s="2" t="str"/>
      <x:c r="V138" s="2" t="str">
        <x:v>2016-02-19</x:v>
      </x:c>
      <x:c r="W138" s="2" t="str">
        <x:v>담당기관 확인 / 동일 관리키 복수행·회차 확인</x:v>
      </x:c>
      <x:c r="X138" s="2" t="str">
        <x:v>원본·배정 기록 확인</x:v>
      </x:c>
      <x:c r="Y138" s="2" t="str">
        <x:v>ad210cd9ec132cfd447541c8984dc53d30aff0f4fb2dc92d254d49275cc55976</x:v>
      </x:c>
      <x:c r="Z138" s="2" t="n">
        <x:f>SUBTOTAL(103,A138)</x:f>
        <x:v>1</x:v>
      </x:c>
      <x:c r="AA138" s="2" t="str">
        <x:f>IF(K138&lt;&gt;"미종결 표시","대상 아님",IF(N138="","신청일 확인",IF(NOT(ISNUMBER('종합 현황'!$H$5)),"관찰기준 확인",IF('종합 현황'!$H$5&lt;1,"관찰기준 확인",IF(N138&gt;'종합 현황'!$H$5,"내부 관찰 대상","내부 관찰일 이하")))))</x:f>
        <x:v>대상 아님</x:v>
      </x:c>
      <x:c r="AB138" s="2"/>
    </x:row>
    <x:row r="139" ht="42" customHeight="1">
      <x:c r="A139" s="2" t="str">
        <x:v>4b50a168a39f1d7465eff955</x:v>
      </x:c>
      <x:c r="B139" s="2" t="str">
        <x:v>사업 평가</x:v>
      </x:c>
      <x:c r="C139" s="2" t="str">
        <x:v>국내</x:v>
      </x:c>
      <x:c r="D139" s="7" t="str">
        <x:v>(주)한화 울산소재 질산공장 N2O 감축 프로젝트</x:v>
      </x:c>
      <x:c r="E139" s="2" t="str">
        <x:v>환경부 이관 추가사업</x:v>
      </x:c>
      <x:c r="F139" s="2" t="str">
        <x:v>2018-05-16</x:v>
      </x:c>
      <x:c r="G139" s="2" t="str">
        <x:v>2018</x:v>
      </x:c>
      <x:c r="H139" s="2" t="str">
        <x:v>05</x:v>
      </x:c>
      <x:c r="I139" s="2" t="str">
        <x:v>승인</x:v>
      </x:c>
      <x:c r="J139" s="2" t="str">
        <x:v>심의승인</x:v>
      </x:c>
      <x:c r="K139" s="2" t="str">
        <x:f>IF(OR(J139="심의승인",J139="반려",J139="반려완료",J139="심의완료"),"종결 표시",IF(OR(J139="기후부협의",J139="문서재제출요청",J139="보류",J139="보완요청",J139="보완완료",J139="평가중",J139="반려요청",J139="평가필요",LEFT(J139,5)="보완요청("),"미종결 표시","상태 확인 필요"))</x:f>
        <x:v>종결 표시</x:v>
      </x:c>
      <x:c r="L139" s="2"/>
      <x:c r="M139" s="2"/>
      <x:c r="N139" s="8" t="n">
        <x:f>DATE(2026,10,15)-DATE(2018,5,16)</x:f>
        <x:v>3074</x:v>
      </x:c>
      <x:c r="O139" s="2"/>
      <x:c r="P139" s="2" t="str">
        <x:v>ORS 상 유효사업현황에서 환경부 사업이나 산업부 사업으로 확인되어 DB상 추가(2016년 7월 이전 승인사업)</x:v>
      </x:c>
      <x:c r="Q139" s="2" t="str">
        <x:v>산업전환_외부사업관리Tool_260707_이너젠 수정_LJY_261013.xlsx</x:v>
      </x:c>
      <x:c r="R139" s="2" t="str">
        <x:v>국내평가</x:v>
      </x:c>
      <x:c r="S139" s="8" t="n">
        <x:v>42</x:v>
      </x:c>
      <x:c r="T139" s="2"/>
      <x:c r="U139" s="2" t="str"/>
      <x:c r="V139" s="2" t="str">
        <x:v>2018-05-16</x:v>
      </x:c>
      <x:c r="W139" s="2" t="str">
        <x:v>담당기관 확인 / 동일 관리키 복수행·회차 확인</x:v>
      </x:c>
      <x:c r="X139" s="2" t="str">
        <x:v>원본·배정 기록 확인</x:v>
      </x:c>
      <x:c r="Y139" s="2" t="str">
        <x:v>ad210cd9ec132cfd447541c8984dc53d30aff0f4fb2dc92d254d49275cc55976</x:v>
      </x:c>
      <x:c r="Z139" s="2" t="n">
        <x:f>SUBTOTAL(103,A139)</x:f>
        <x:v>1</x:v>
      </x:c>
      <x:c r="AA139" s="2" t="str">
        <x:f>IF(K139&lt;&gt;"미종결 표시","대상 아님",IF(N139="","신청일 확인",IF(NOT(ISNUMBER('종합 현황'!$H$5)),"관찰기준 확인",IF('종합 현황'!$H$5&lt;1,"관찰기준 확인",IF(N139&gt;'종합 현황'!$H$5,"내부 관찰 대상","내부 관찰일 이하")))))</x:f>
        <x:v>대상 아님</x:v>
      </x:c>
      <x:c r="AB139" s="2"/>
    </x:row>
    <x:row r="140" ht="42" customHeight="1">
      <x:c r="A140" s="2" t="str">
        <x:v>b005feb33b8b69d5b4d0520b</x:v>
      </x:c>
      <x:c r="B140" s="2" t="str">
        <x:v>사업 평가</x:v>
      </x:c>
      <x:c r="C140" s="2" t="str">
        <x:v>국내</x:v>
      </x:c>
      <x:c r="D140" s="7" t="str">
        <x:v>(주)한화 울산소재 질산공장 N2O 감축 프로젝트</x:v>
      </x:c>
      <x:c r="E140" s="2" t="str">
        <x:v>1</x:v>
      </x:c>
      <x:c r="F140" s="2" t="str">
        <x:v>2018-02-26</x:v>
      </x:c>
      <x:c r="G140" s="2" t="str">
        <x:v>2018</x:v>
      </x:c>
      <x:c r="H140" s="2" t="str">
        <x:v>02</x:v>
      </x:c>
      <x:c r="I140" s="2" t="str">
        <x:v>사업변경 신청</x:v>
      </x:c>
      <x:c r="J140" s="2" t="str">
        <x:v>심의승인</x:v>
      </x:c>
      <x:c r="K140" s="2" t="str">
        <x:f>IF(OR(J140="심의승인",J140="반려",J140="반려완료",J140="심의완료"),"종결 표시",IF(OR(J140="기후부협의",J140="문서재제출요청",J140="보류",J140="보완요청",J140="보완완료",J140="평가중",J140="반려요청",J140="평가필요",LEFT(J140,5)="보완요청("),"미종결 표시","상태 확인 필요"))</x:f>
        <x:v>종결 표시</x:v>
      </x:c>
      <x:c r="L140" s="2"/>
      <x:c r="M140" s="2"/>
      <x:c r="N140" s="8" t="n">
        <x:f>DATE(2026,10,15)-DATE(2018,2,26)</x:f>
        <x:v>3153</x:v>
      </x:c>
      <x:c r="O140" s="2"/>
      <x:c r="P140" s="2" t="str">
        <x:v>적용방법론 수정</x:v>
      </x:c>
      <x:c r="Q140" s="2" t="str">
        <x:v>산업전환_외부사업관리Tool_260707_이너젠 수정_LJY_261013.xlsx</x:v>
      </x:c>
      <x:c r="R140" s="2" t="str">
        <x:v>국내평가</x:v>
      </x:c>
      <x:c r="S140" s="8" t="n">
        <x:v>43</x:v>
      </x:c>
      <x:c r="T140" s="2"/>
      <x:c r="U140" s="2" t="str"/>
      <x:c r="V140" s="2" t="str">
        <x:v>2018-08-22</x:v>
      </x:c>
      <x:c r="W140" s="2" t="str">
        <x:v>담당기관 확인</x:v>
      </x:c>
      <x:c r="X140" s="2" t="str">
        <x:v>원본·배정 기록 확인</x:v>
      </x:c>
      <x:c r="Y140" s="2" t="str">
        <x:v>ad210cd9ec132cfd447541c8984dc53d30aff0f4fb2dc92d254d49275cc55976</x:v>
      </x:c>
      <x:c r="Z140" s="2" t="n">
        <x:f>SUBTOTAL(103,A140)</x:f>
        <x:v>1</x:v>
      </x:c>
      <x:c r="AA140" s="2" t="str">
        <x:f>IF(K140&lt;&gt;"미종결 표시","대상 아님",IF(N140="","신청일 확인",IF(NOT(ISNUMBER('종합 현황'!$H$5)),"관찰기준 확인",IF('종합 현황'!$H$5&lt;1,"관찰기준 확인",IF(N140&gt;'종합 현황'!$H$5,"내부 관찰 대상","내부 관찰일 이하")))))</x:f>
        <x:v>대상 아님</x:v>
      </x:c>
      <x:c r="AB140" s="2"/>
    </x:row>
    <x:row r="141" ht="42" customHeight="1">
      <x:c r="A141" s="2" t="str">
        <x:v>7d30d490ea840d002e2f39f3</x:v>
      </x:c>
      <x:c r="B141" s="2" t="str">
        <x:v>사업 평가</x:v>
      </x:c>
      <x:c r="C141" s="2" t="str">
        <x:v>국내</x:v>
      </x:c>
      <x:c r="D141" s="7" t="str">
        <x:v>한국의 LCD 제조 과정의 SF6 방출 감축을 위한 사용점 감축 설비</x:v>
      </x:c>
      <x:c r="E141" s="2" t="str">
        <x:v>2</x:v>
      </x:c>
      <x:c r="F141" s="2" t="str">
        <x:v>2014-12-15</x:v>
      </x:c>
      <x:c r="G141" s="2" t="str">
        <x:v>2014</x:v>
      </x:c>
      <x:c r="H141" s="2" t="str">
        <x:v>12</x:v>
      </x:c>
      <x:c r="I141" s="2" t="str">
        <x:v>승인</x:v>
      </x:c>
      <x:c r="J141" s="2" t="str">
        <x:v>심의승인</x:v>
      </x:c>
      <x:c r="K141" s="2" t="str">
        <x:f>IF(OR(J141="심의승인",J141="반려",J141="반려완료",J141="심의완료"),"종결 표시",IF(OR(J141="기후부협의",J141="문서재제출요청",J141="보류",J141="보완요청",J141="보완완료",J141="평가중",J141="반려요청",J141="평가필요",LEFT(J141,5)="보완요청("),"미종결 표시","상태 확인 필요"))</x:f>
        <x:v>종결 표시</x:v>
      </x:c>
      <x:c r="L141" s="2"/>
      <x:c r="M141" s="2"/>
      <x:c r="N141" s="8" t="n">
        <x:f>DATE(2026,10,15)-DATE(2014,12,15)</x:f>
        <x:v>4322</x:v>
      </x:c>
      <x:c r="O141" s="2"/>
      <x:c r="P141" s="2"/>
      <x:c r="Q141" s="2" t="str">
        <x:v>산업전환_외부사업관리Tool_260707_이너젠 수정_LJY_261013.xlsx</x:v>
      </x:c>
      <x:c r="R141" s="2" t="str">
        <x:v>국내평가</x:v>
      </x:c>
      <x:c r="S141" s="8" t="n">
        <x:v>44</x:v>
      </x:c>
      <x:c r="T141" s="2"/>
      <x:c r="U141" s="2" t="str"/>
      <x:c r="V141" s="2" t="str">
        <x:v>2015-04-01</x:v>
      </x:c>
      <x:c r="W141" s="2" t="str">
        <x:v>담당기관 확인</x:v>
      </x:c>
      <x:c r="X141" s="2" t="str">
        <x:v>원본·배정 기록 확인</x:v>
      </x:c>
      <x:c r="Y141" s="2" t="str">
        <x:v>ad210cd9ec132cfd447541c8984dc53d30aff0f4fb2dc92d254d49275cc55976</x:v>
      </x:c>
      <x:c r="Z141" s="2" t="n">
        <x:f>SUBTOTAL(103,A141)</x:f>
        <x:v>1</x:v>
      </x:c>
      <x:c r="AA141" s="2" t="str">
        <x:f>IF(K141&lt;&gt;"미종결 표시","대상 아님",IF(N141="","신청일 확인",IF(NOT(ISNUMBER('종합 현황'!$H$5)),"관찰기준 확인",IF('종합 현황'!$H$5&lt;1,"관찰기준 확인",IF(N141&gt;'종합 현황'!$H$5,"내부 관찰 대상","내부 관찰일 이하")))))</x:f>
        <x:v>대상 아님</x:v>
      </x:c>
      <x:c r="AB141" s="2"/>
    </x:row>
    <x:row r="142" ht="42" customHeight="1">
      <x:c r="A142" s="2" t="str">
        <x:v>a7cf11daffb52e91e8120ecc</x:v>
      </x:c>
      <x:c r="B142" s="2" t="str">
        <x:v>사업 평가</x:v>
      </x:c>
      <x:c r="C142" s="2" t="str">
        <x:v>국내</x:v>
      </x:c>
      <x:c r="D142" s="7" t="str">
        <x:v>삼성전자 SF6 저감 사업</x:v>
      </x:c>
      <x:c r="E142" s="2" t="str">
        <x:v>3</x:v>
      </x:c>
      <x:c r="F142" s="2" t="str">
        <x:v>2014-12-16</x:v>
      </x:c>
      <x:c r="G142" s="2" t="str">
        <x:v>2014</x:v>
      </x:c>
      <x:c r="H142" s="2" t="str">
        <x:v>12</x:v>
      </x:c>
      <x:c r="I142" s="2" t="str">
        <x:v>승인</x:v>
      </x:c>
      <x:c r="J142" s="2" t="str">
        <x:v>심의승인</x:v>
      </x:c>
      <x:c r="K142" s="2" t="str">
        <x:f>IF(OR(J142="심의승인",J142="반려",J142="반려완료",J142="심의완료"),"종결 표시",IF(OR(J142="기후부협의",J142="문서재제출요청",J142="보류",J142="보완요청",J142="보완완료",J142="평가중",J142="반려요청",J142="평가필요",LEFT(J142,5)="보완요청("),"미종결 표시","상태 확인 필요"))</x:f>
        <x:v>종결 표시</x:v>
      </x:c>
      <x:c r="L142" s="2"/>
      <x:c r="M142" s="2"/>
      <x:c r="N142" s="8" t="n">
        <x:f>DATE(2026,10,15)-DATE(2014,12,16)</x:f>
        <x:v>4321</x:v>
      </x:c>
      <x:c r="O142" s="2"/>
      <x:c r="P142" s="2"/>
      <x:c r="Q142" s="2" t="str">
        <x:v>산업전환_외부사업관리Tool_260707_이너젠 수정_LJY_261013.xlsx</x:v>
      </x:c>
      <x:c r="R142" s="2" t="str">
        <x:v>국내평가</x:v>
      </x:c>
      <x:c r="S142" s="8" t="n">
        <x:v>45</x:v>
      </x:c>
      <x:c r="T142" s="2"/>
      <x:c r="U142" s="2" t="str"/>
      <x:c r="V142" s="2" t="str">
        <x:v>2015-04-01</x:v>
      </x:c>
      <x:c r="W142" s="2" t="str">
        <x:v>담당기관 확인</x:v>
      </x:c>
      <x:c r="X142" s="2" t="str">
        <x:v>원본·배정 기록 확인</x:v>
      </x:c>
      <x:c r="Y142" s="2" t="str">
        <x:v>ad210cd9ec132cfd447541c8984dc53d30aff0f4fb2dc92d254d49275cc55976</x:v>
      </x:c>
      <x:c r="Z142" s="2" t="n">
        <x:f>SUBTOTAL(103,A142)</x:f>
        <x:v>1</x:v>
      </x:c>
      <x:c r="AA142" s="2" t="str">
        <x:f>IF(K142&lt;&gt;"미종결 표시","대상 아님",IF(N142="","신청일 확인",IF(NOT(ISNUMBER('종합 현황'!$H$5)),"관찰기준 확인",IF('종합 현황'!$H$5&lt;1,"관찰기준 확인",IF(N142&gt;'종합 현황'!$H$5,"내부 관찰 대상","내부 관찰일 이하")))))</x:f>
        <x:v>대상 아님</x:v>
      </x:c>
      <x:c r="AB142" s="2"/>
    </x:row>
    <x:row r="143" ht="42" customHeight="1">
      <x:c r="A143" s="2" t="str">
        <x:v>0e1695892199681e55179e15</x:v>
      </x:c>
      <x:c r="B143" s="2" t="str">
        <x:v>사업 평가</x:v>
      </x:c>
      <x:c r="C143" s="2" t="str">
        <x:v>국내</x:v>
      </x:c>
      <x:c r="D143" s="7" t="str">
        <x:v>시화호 조력발전 사업</x:v>
      </x:c>
      <x:c r="E143" s="2" t="str">
        <x:v>4</x:v>
      </x:c>
      <x:c r="F143" s="2" t="str">
        <x:v>2017-12-28</x:v>
      </x:c>
      <x:c r="G143" s="2" t="str">
        <x:v>2017</x:v>
      </x:c>
      <x:c r="H143" s="2" t="str">
        <x:v>12</x:v>
      </x:c>
      <x:c r="I143" s="2" t="str">
        <x:v>사업변경 신청</x:v>
      </x:c>
      <x:c r="J143" s="2" t="str">
        <x:v>심의승인</x:v>
      </x:c>
      <x:c r="K143" s="2" t="str">
        <x:f>IF(OR(J143="심의승인",J143="반려",J143="반려완료",J143="심의완료"),"종결 표시",IF(OR(J143="기후부협의",J143="문서재제출요청",J143="보류",J143="보완요청",J143="보완완료",J143="평가중",J143="반려요청",J143="평가필요",LEFT(J143,5)="보완요청("),"미종결 표시","상태 확인 필요"))</x:f>
        <x:v>종결 표시</x:v>
      </x:c>
      <x:c r="L143" s="2"/>
      <x:c r="M143" s="2"/>
      <x:c r="N143" s="8" t="n">
        <x:f>DATE(2026,10,15)-DATE(2017,12,28)</x:f>
        <x:v>3213</x:v>
      </x:c>
      <x:c r="O143" s="2"/>
      <x:c r="P143" s="2" t="str">
        <x:v>적용방법론 수정</x:v>
      </x:c>
      <x:c r="Q143" s="2" t="str">
        <x:v>산업전환_외부사업관리Tool_260707_이너젠 수정_LJY_261013.xlsx</x:v>
      </x:c>
      <x:c r="R143" s="2" t="str">
        <x:v>국내평가</x:v>
      </x:c>
      <x:c r="S143" s="8" t="n">
        <x:v>46</x:v>
      </x:c>
      <x:c r="T143" s="2"/>
      <x:c r="U143" s="2" t="str"/>
      <x:c r="V143" s="2" t="str">
        <x:v>2019-08-12</x:v>
      </x:c>
      <x:c r="W143" s="2" t="str">
        <x:v>담당기관 확인</x:v>
      </x:c>
      <x:c r="X143" s="2" t="str">
        <x:v>원본·배정 기록 확인</x:v>
      </x:c>
      <x:c r="Y143" s="2" t="str">
        <x:v>ad210cd9ec132cfd447541c8984dc53d30aff0f4fb2dc92d254d49275cc55976</x:v>
      </x:c>
      <x:c r="Z143" s="2" t="n">
        <x:f>SUBTOTAL(103,A143)</x:f>
        <x:v>1</x:v>
      </x:c>
      <x:c r="AA143" s="2" t="str">
        <x:f>IF(K143&lt;&gt;"미종결 표시","대상 아님",IF(N143="","신청일 확인",IF(NOT(ISNUMBER('종합 현황'!$H$5)),"관찰기준 확인",IF('종합 현황'!$H$5&lt;1,"관찰기준 확인",IF(N143&gt;'종합 현황'!$H$5,"내부 관찰 대상","내부 관찰일 이하")))))</x:f>
        <x:v>대상 아님</x:v>
      </x:c>
      <x:c r="AB143" s="2"/>
    </x:row>
    <x:row r="144" ht="42" customHeight="1">
      <x:c r="A144" s="2" t="str">
        <x:v>5d159c33f8081d00bdf6415f</x:v>
      </x:c>
      <x:c r="B144" s="2" t="str">
        <x:v>사업 평가</x:v>
      </x:c>
      <x:c r="C144" s="2" t="str">
        <x:v>국내</x:v>
      </x:c>
      <x:c r="D144" s="7" t="str">
        <x:v>동부한농 질산공장 N2O 감축사업</x:v>
      </x:c>
      <x:c r="E144" s="2" t="str">
        <x:v>5</x:v>
      </x:c>
      <x:c r="F144" s="2" t="str">
        <x:v>2014-12-30</x:v>
      </x:c>
      <x:c r="G144" s="2" t="str">
        <x:v>2014</x:v>
      </x:c>
      <x:c r="H144" s="2" t="str">
        <x:v>12</x:v>
      </x:c>
      <x:c r="I144" s="2" t="str">
        <x:v>승인</x:v>
      </x:c>
      <x:c r="J144" s="2" t="str">
        <x:v>심의승인</x:v>
      </x:c>
      <x:c r="K144" s="2" t="str">
        <x:f>IF(OR(J144="심의승인",J144="반려",J144="반려완료",J144="심의완료"),"종결 표시",IF(OR(J144="기후부협의",J144="문서재제출요청",J144="보류",J144="보완요청",J144="보완완료",J144="평가중",J144="반려요청",J144="평가필요",LEFT(J144,5)="보완요청("),"미종결 표시","상태 확인 필요"))</x:f>
        <x:v>종결 표시</x:v>
      </x:c>
      <x:c r="L144" s="2"/>
      <x:c r="M144" s="2"/>
      <x:c r="N144" s="8" t="n">
        <x:f>DATE(2026,10,15)-DATE(2014,12,30)</x:f>
        <x:v>4307</x:v>
      </x:c>
      <x:c r="O144" s="2"/>
      <x:c r="P144" s="2"/>
      <x:c r="Q144" s="2" t="str">
        <x:v>산업전환_외부사업관리Tool_260707_이너젠 수정_LJY_261013.xlsx</x:v>
      </x:c>
      <x:c r="R144" s="2" t="str">
        <x:v>국내평가</x:v>
      </x:c>
      <x:c r="S144" s="8" t="n">
        <x:v>47</x:v>
      </x:c>
      <x:c r="T144" s="2"/>
      <x:c r="U144" s="2" t="str"/>
      <x:c r="V144" s="2" t="str">
        <x:v>2015-07-09</x:v>
      </x:c>
      <x:c r="W144" s="2" t="str">
        <x:v>담당기관 확인</x:v>
      </x:c>
      <x:c r="X144" s="2" t="str">
        <x:v>원본·배정 기록 확인</x:v>
      </x:c>
      <x:c r="Y144" s="2" t="str">
        <x:v>ad210cd9ec132cfd447541c8984dc53d30aff0f4fb2dc92d254d49275cc55976</x:v>
      </x:c>
      <x:c r="Z144" s="2" t="n">
        <x:f>SUBTOTAL(103,A144)</x:f>
        <x:v>1</x:v>
      </x:c>
      <x:c r="AA144" s="2" t="str">
        <x:f>IF(K144&lt;&gt;"미종결 표시","대상 아님",IF(N144="","신청일 확인",IF(NOT(ISNUMBER('종합 현황'!$H$5)),"관찰기준 확인",IF('종합 현황'!$H$5&lt;1,"관찰기준 확인",IF(N144&gt;'종합 현황'!$H$5,"내부 관찰 대상","내부 관찰일 이하")))))</x:f>
        <x:v>대상 아님</x:v>
      </x:c>
      <x:c r="AB144" s="2"/>
    </x:row>
    <x:row r="145" ht="42" customHeight="1">
      <x:c r="A145" s="2" t="str">
        <x:v>51908d8bdb9b516507e1e7c0</x:v>
      </x:c>
      <x:c r="B145" s="2" t="str">
        <x:v>사업 평가</x:v>
      </x:c>
      <x:c r="C145" s="2" t="str">
        <x:v>국내</x:v>
      </x:c>
      <x:c r="D145" s="7" t="str">
        <x:v>휴켐스(주) 신설 5질산에서 발생하는 아산화질소 배출량 저감사업</x:v>
      </x:c>
      <x:c r="E145" s="2" t="str">
        <x:v>6</x:v>
      </x:c>
      <x:c r="F145" s="2" t="str">
        <x:v>2015-01-14</x:v>
      </x:c>
      <x:c r="G145" s="2" t="str">
        <x:v>2015</x:v>
      </x:c>
      <x:c r="H145" s="2" t="str">
        <x:v>01</x:v>
      </x:c>
      <x:c r="I145" s="2" t="str">
        <x:v>승인</x:v>
      </x:c>
      <x:c r="J145" s="2" t="str">
        <x:v>심의승인</x:v>
      </x:c>
      <x:c r="K145" s="2" t="str">
        <x:f>IF(OR(J145="심의승인",J145="반려",J145="반려완료",J145="심의완료"),"종결 표시",IF(OR(J145="기후부협의",J145="문서재제출요청",J145="보류",J145="보완요청",J145="보완완료",J145="평가중",J145="반려요청",J145="평가필요",LEFT(J145,5)="보완요청("),"미종결 표시","상태 확인 필요"))</x:f>
        <x:v>종결 표시</x:v>
      </x:c>
      <x:c r="L145" s="2"/>
      <x:c r="M145" s="2"/>
      <x:c r="N145" s="8" t="n">
        <x:f>DATE(2026,10,15)-DATE(2015,1,14)</x:f>
        <x:v>4292</x:v>
      </x:c>
      <x:c r="O145" s="2"/>
      <x:c r="P145" s="2"/>
      <x:c r="Q145" s="2" t="str">
        <x:v>산업전환_외부사업관리Tool_260707_이너젠 수정_LJY_261013.xlsx</x:v>
      </x:c>
      <x:c r="R145" s="2" t="str">
        <x:v>국내평가</x:v>
      </x:c>
      <x:c r="S145" s="8" t="n">
        <x:v>48</x:v>
      </x:c>
      <x:c r="T145" s="2"/>
      <x:c r="U145" s="2" t="str"/>
      <x:c r="V145" s="2" t="str">
        <x:v>2015-02-10</x:v>
      </x:c>
      <x:c r="W145" s="2" t="str">
        <x:v>담당기관 확인</x:v>
      </x:c>
      <x:c r="X145" s="2" t="str">
        <x:v>원본·배정 기록 확인</x:v>
      </x:c>
      <x:c r="Y145" s="2" t="str">
        <x:v>ad210cd9ec132cfd447541c8984dc53d30aff0f4fb2dc92d254d49275cc55976</x:v>
      </x:c>
      <x:c r="Z145" s="2" t="n">
        <x:f>SUBTOTAL(103,A145)</x:f>
        <x:v>1</x:v>
      </x:c>
      <x:c r="AA145" s="2" t="str">
        <x:f>IF(K145&lt;&gt;"미종결 표시","대상 아님",IF(N145="","신청일 확인",IF(NOT(ISNUMBER('종합 현황'!$H$5)),"관찰기준 확인",IF('종합 현황'!$H$5&lt;1,"관찰기준 확인",IF(N145&gt;'종합 현황'!$H$5,"내부 관찰 대상","내부 관찰일 이하")))))</x:f>
        <x:v>대상 아님</x:v>
      </x:c>
      <x:c r="AB145" s="2"/>
    </x:row>
    <x:row r="146" ht="42" customHeight="1">
      <x:c r="A146" s="2" t="str">
        <x:v>cb8634c4e747bd8fab9040f1</x:v>
      </x:c>
      <x:c r="B146" s="2" t="str">
        <x:v>사업 평가</x:v>
      </x:c>
      <x:c r="C146" s="2" t="str">
        <x:v>국내</x:v>
      </x:c>
      <x:c r="D146" s="7" t="str">
        <x:v>휴켐스 질산공장 N2O 감축사업(휴켐스 주식회사의 질산 공장 세 곳에서 tail gas에 포함된 아산화질소를 촉매를 사용하여 제거하는 프로젝트)</x:v>
      </x:c>
      <x:c r="E146" s="2" t="str">
        <x:v>7</x:v>
      </x:c>
      <x:c r="F146" s="2" t="str">
        <x:v>2015-01-14</x:v>
      </x:c>
      <x:c r="G146" s="2" t="str">
        <x:v>2015</x:v>
      </x:c>
      <x:c r="H146" s="2" t="str">
        <x:v>01</x:v>
      </x:c>
      <x:c r="I146" s="2" t="str">
        <x:v>승인</x:v>
      </x:c>
      <x:c r="J146" s="2" t="str">
        <x:v>심의승인</x:v>
      </x:c>
      <x:c r="K146" s="2" t="str">
        <x:f>IF(OR(J146="심의승인",J146="반려",J146="반려완료",J146="심의완료"),"종결 표시",IF(OR(J146="기후부협의",J146="문서재제출요청",J146="보류",J146="보완요청",J146="보완완료",J146="평가중",J146="반려요청",J146="평가필요",LEFT(J146,5)="보완요청("),"미종결 표시","상태 확인 필요"))</x:f>
        <x:v>종결 표시</x:v>
      </x:c>
      <x:c r="L146" s="2"/>
      <x:c r="M146" s="2"/>
      <x:c r="N146" s="8" t="n">
        <x:f>DATE(2026,10,15)-DATE(2015,1,14)</x:f>
        <x:v>4292</x:v>
      </x:c>
      <x:c r="O146" s="2"/>
      <x:c r="P146" s="2"/>
      <x:c r="Q146" s="2" t="str">
        <x:v>산업전환_외부사업관리Tool_260707_이너젠 수정_LJY_261013.xlsx</x:v>
      </x:c>
      <x:c r="R146" s="2" t="str">
        <x:v>국내평가</x:v>
      </x:c>
      <x:c r="S146" s="8" t="n">
        <x:v>49</x:v>
      </x:c>
      <x:c r="T146" s="2"/>
      <x:c r="U146" s="2" t="str"/>
      <x:c r="V146" s="2" t="str">
        <x:v>2015-02-10</x:v>
      </x:c>
      <x:c r="W146" s="2" t="str">
        <x:v>담당기관 확인</x:v>
      </x:c>
      <x:c r="X146" s="2" t="str">
        <x:v>원본·배정 기록 확인</x:v>
      </x:c>
      <x:c r="Y146" s="2" t="str">
        <x:v>ad210cd9ec132cfd447541c8984dc53d30aff0f4fb2dc92d254d49275cc55976</x:v>
      </x:c>
      <x:c r="Z146" s="2" t="n">
        <x:f>SUBTOTAL(103,A146)</x:f>
        <x:v>1</x:v>
      </x:c>
      <x:c r="AA146" s="2" t="str">
        <x:f>IF(K146&lt;&gt;"미종결 표시","대상 아님",IF(N146="","신청일 확인",IF(NOT(ISNUMBER('종합 현황'!$H$5)),"관찰기준 확인",IF('종합 현황'!$H$5&lt;1,"관찰기준 확인",IF(N146&gt;'종합 현황'!$H$5,"내부 관찰 대상","내부 관찰일 이하")))))</x:f>
        <x:v>대상 아님</x:v>
      </x:c>
      <x:c r="AB146" s="2"/>
    </x:row>
    <x:row r="147" ht="42" customHeight="1">
      <x:c r="A147" s="2" t="str">
        <x:v>c2e0c4c044ab56d907c7d523</x:v>
      </x:c>
      <x:c r="B147" s="2" t="str">
        <x:v>사업 평가</x:v>
      </x:c>
      <x:c r="C147" s="2" t="str">
        <x:v>국내</x:v>
      </x:c>
      <x:c r="D147" s="7" t="str">
        <x:v>LG 솔라에너지 태안 태양광발전소 사업</x:v>
      </x:c>
      <x:c r="E147" s="2" t="str">
        <x:v>8</x:v>
      </x:c>
      <x:c r="F147" s="2" t="str">
        <x:v>2015-01-21</x:v>
      </x:c>
      <x:c r="G147" s="2" t="str">
        <x:v>2015</x:v>
      </x:c>
      <x:c r="H147" s="2" t="str">
        <x:v>01</x:v>
      </x:c>
      <x:c r="I147" s="2" t="str">
        <x:v>승인</x:v>
      </x:c>
      <x:c r="J147" s="2" t="str">
        <x:v>심의승인</x:v>
      </x:c>
      <x:c r="K147" s="2" t="str">
        <x:f>IF(OR(J147="심의승인",J147="반려",J147="반려완료",J147="심의완료"),"종결 표시",IF(OR(J147="기후부협의",J147="문서재제출요청",J147="보류",J147="보완요청",J147="보완완료",J147="평가중",J147="반려요청",J147="평가필요",LEFT(J147,5)="보완요청("),"미종결 표시","상태 확인 필요"))</x:f>
        <x:v>종결 표시</x:v>
      </x:c>
      <x:c r="L147" s="2"/>
      <x:c r="M147" s="2"/>
      <x:c r="N147" s="8" t="n">
        <x:f>DATE(2026,10,15)-DATE(2015,1,21)</x:f>
        <x:v>4285</x:v>
      </x:c>
      <x:c r="O147" s="2"/>
      <x:c r="P147" s="2"/>
      <x:c r="Q147" s="2" t="str">
        <x:v>산업전환_외부사업관리Tool_260707_이너젠 수정_LJY_261013.xlsx</x:v>
      </x:c>
      <x:c r="R147" s="2" t="str">
        <x:v>국내평가</x:v>
      </x:c>
      <x:c r="S147" s="8" t="n">
        <x:v>50</x:v>
      </x:c>
      <x:c r="T147" s="2"/>
      <x:c r="U147" s="2" t="str"/>
      <x:c r="V147" s="2" t="str">
        <x:v>2015-06-25</x:v>
      </x:c>
      <x:c r="W147" s="2" t="str">
        <x:v>담당기관 확인</x:v>
      </x:c>
      <x:c r="X147" s="2" t="str">
        <x:v>원본·배정 기록 확인</x:v>
      </x:c>
      <x:c r="Y147" s="2" t="str">
        <x:v>ad210cd9ec132cfd447541c8984dc53d30aff0f4fb2dc92d254d49275cc55976</x:v>
      </x:c>
      <x:c r="Z147" s="2" t="n">
        <x:f>SUBTOTAL(103,A147)</x:f>
        <x:v>1</x:v>
      </x:c>
      <x:c r="AA147" s="2" t="str">
        <x:f>IF(K147&lt;&gt;"미종결 표시","대상 아님",IF(N147="","신청일 확인",IF(NOT(ISNUMBER('종합 현황'!$H$5)),"관찰기준 확인",IF('종합 현황'!$H$5&lt;1,"관찰기준 확인",IF(N147&gt;'종합 현황'!$H$5,"내부 관찰 대상","내부 관찰일 이하")))))</x:f>
        <x:v>대상 아님</x:v>
      </x:c>
      <x:c r="AB147" s="2"/>
    </x:row>
    <x:row r="148" ht="42" customHeight="1">
      <x:c r="A148" s="2" t="str">
        <x:v>cc0bab5f19ea772289e0e595</x:v>
      </x:c>
      <x:c r="B148" s="2" t="str">
        <x:v>사업 평가</x:v>
      </x:c>
      <x:c r="C148" s="2" t="str">
        <x:v>국내</x:v>
      </x:c>
      <x:c r="D148" s="7" t="str">
        <x:v>SF6 회수 및 재생사업</x:v>
      </x:c>
      <x:c r="E148" s="2" t="str">
        <x:v>9</x:v>
      </x:c>
      <x:c r="F148" s="2" t="str">
        <x:v>2015-01-22</x:v>
      </x:c>
      <x:c r="G148" s="2" t="str">
        <x:v>2015</x:v>
      </x:c>
      <x:c r="H148" s="2" t="str">
        <x:v>01</x:v>
      </x:c>
      <x:c r="I148" s="2" t="str">
        <x:v>사업변경 신청</x:v>
      </x:c>
      <x:c r="J148" s="2" t="str">
        <x:v>심의승인</x:v>
      </x:c>
      <x:c r="K148" s="2" t="str">
        <x:f>IF(OR(J148="심의승인",J148="반려",J148="반려완료",J148="심의완료"),"종결 표시",IF(OR(J148="기후부협의",J148="문서재제출요청",J148="보류",J148="보완요청",J148="보완완료",J148="평가중",J148="반려요청",J148="평가필요",LEFT(J148,5)="보완요청("),"미종결 표시","상태 확인 필요"))</x:f>
        <x:v>종결 표시</x:v>
      </x:c>
      <x:c r="L148" s="2"/>
      <x:c r="M148" s="2"/>
      <x:c r="N148" s="8" t="n">
        <x:f>DATE(2026,10,15)-DATE(2015,1,22)</x:f>
        <x:v>4284</x:v>
      </x:c>
      <x:c r="O148" s="2"/>
      <x:c r="P148" s="2" t="str">
        <x:v>사업자명 변경</x:v>
      </x:c>
      <x:c r="Q148" s="2" t="str">
        <x:v>산업전환_외부사업관리Tool_260707_이너젠 수정_LJY_261013.xlsx</x:v>
      </x:c>
      <x:c r="R148" s="2" t="str">
        <x:v>국내평가</x:v>
      </x:c>
      <x:c r="S148" s="8" t="n">
        <x:v>51</x:v>
      </x:c>
      <x:c r="T148" s="2" t="str">
        <x:v>2021년 처리</x:v>
      </x:c>
      <x:c r="U148" s="2" t="str">
        <x:v>2021 배정: 2021년 처리</x:v>
      </x:c>
      <x:c r="V148" s="2" t="str">
        <x:v>2021-04-14</x:v>
      </x:c>
      <x:c r="W148" s="2" t="str">
        <x:v>담당기관 확인</x:v>
      </x:c>
      <x:c r="X148" s="2" t="str">
        <x:v>원본·배정 기록 확인</x:v>
      </x:c>
      <x:c r="Y148" s="2" t="str">
        <x:v>ad210cd9ec132cfd447541c8984dc53d30aff0f4fb2dc92d254d49275cc55976</x:v>
      </x:c>
      <x:c r="Z148" s="2" t="n">
        <x:f>SUBTOTAL(103,A148)</x:f>
        <x:v>1</x:v>
      </x:c>
      <x:c r="AA148" s="2" t="str">
        <x:f>IF(K148&lt;&gt;"미종결 표시","대상 아님",IF(N148="","신청일 확인",IF(NOT(ISNUMBER('종합 현황'!$H$5)),"관찰기준 확인",IF('종합 현황'!$H$5&lt;1,"관찰기준 확인",IF(N148&gt;'종합 현황'!$H$5,"내부 관찰 대상","내부 관찰일 이하")))))</x:f>
        <x:v>대상 아님</x:v>
      </x:c>
      <x:c r="AB148" s="2"/>
    </x:row>
    <x:row r="149" ht="42" customHeight="1">
      <x:c r="A149" s="2" t="str">
        <x:v>8a257a9c96d27e2199f474ec</x:v>
      </x:c>
      <x:c r="B149" s="2" t="str">
        <x:v>사업 평가</x:v>
      </x:c>
      <x:c r="C149" s="2" t="str">
        <x:v>국내</x:v>
      </x:c>
      <x:c r="D149" s="7" t="str">
        <x:v>한국의 LCD 제조 과정의 SF6 방출 감축을 위한 사용점 감축 설비</x:v>
      </x:c>
      <x:c r="E149" s="2" t="str">
        <x:v>10</x:v>
      </x:c>
      <x:c r="F149" s="2" t="str">
        <x:v>2015-02-17</x:v>
      </x:c>
      <x:c r="G149" s="2" t="str">
        <x:v>2015</x:v>
      </x:c>
      <x:c r="H149" s="2" t="str">
        <x:v>02</x:v>
      </x:c>
      <x:c r="I149" s="2" t="str">
        <x:v>승인</x:v>
      </x:c>
      <x:c r="J149" s="2" t="str">
        <x:v>심의승인</x:v>
      </x:c>
      <x:c r="K149" s="2" t="str">
        <x:f>IF(OR(J149="심의승인",J149="반려",J149="반려완료",J149="심의완료"),"종결 표시",IF(OR(J149="기후부협의",J149="문서재제출요청",J149="보류",J149="보완요청",J149="보완완료",J149="평가중",J149="반려요청",J149="평가필요",LEFT(J149,5)="보완요청("),"미종결 표시","상태 확인 필요"))</x:f>
        <x:v>종결 표시</x:v>
      </x:c>
      <x:c r="L149" s="2"/>
      <x:c r="M149" s="2"/>
      <x:c r="N149" s="8" t="n">
        <x:f>DATE(2026,10,15)-DATE(2015,2,17)</x:f>
        <x:v>4258</x:v>
      </x:c>
      <x:c r="O149" s="2"/>
      <x:c r="P149" s="2"/>
      <x:c r="Q149" s="2" t="str">
        <x:v>산업전환_외부사업관리Tool_260707_이너젠 수정_LJY_261013.xlsx</x:v>
      </x:c>
      <x:c r="R149" s="2" t="str">
        <x:v>국내평가</x:v>
      </x:c>
      <x:c r="S149" s="8" t="n">
        <x:v>52</x:v>
      </x:c>
      <x:c r="T149" s="2"/>
      <x:c r="U149" s="2" t="str"/>
      <x:c r="V149" s="2" t="str">
        <x:v>2015-06-29</x:v>
      </x:c>
      <x:c r="W149" s="2" t="str">
        <x:v>담당기관 확인</x:v>
      </x:c>
      <x:c r="X149" s="2" t="str">
        <x:v>원본·배정 기록 확인</x:v>
      </x:c>
      <x:c r="Y149" s="2" t="str">
        <x:v>ad210cd9ec132cfd447541c8984dc53d30aff0f4fb2dc92d254d49275cc55976</x:v>
      </x:c>
      <x:c r="Z149" s="2" t="n">
        <x:f>SUBTOTAL(103,A149)</x:f>
        <x:v>1</x:v>
      </x:c>
      <x:c r="AA149" s="2" t="str">
        <x:f>IF(K149&lt;&gt;"미종결 표시","대상 아님",IF(N149="","신청일 확인",IF(NOT(ISNUMBER('종합 현황'!$H$5)),"관찰기준 확인",IF('종합 현황'!$H$5&lt;1,"관찰기준 확인",IF(N149&gt;'종합 현황'!$H$5,"내부 관찰 대상","내부 관찰일 이하")))))</x:f>
        <x:v>대상 아님</x:v>
      </x:c>
      <x:c r="AB149" s="2"/>
    </x:row>
    <x:row r="150" ht="42" customHeight="1">
      <x:c r="A150" s="2" t="str">
        <x:v>60281d54929dfba26b8f6042</x:v>
      </x:c>
      <x:c r="B150" s="2" t="str">
        <x:v>사업 평가</x:v>
      </x:c>
      <x:c r="C150" s="2" t="str">
        <x:v>국내</x:v>
      </x:c>
      <x:c r="D150" s="7" t="str">
        <x:v>LG 솔라에너지 태안 태양광발전소 사업</x:v>
      </x:c>
      <x:c r="E150" s="2" t="str">
        <x:v>11</x:v>
      </x:c>
      <x:c r="F150" s="2" t="str">
        <x:v>2015-03-19</x:v>
      </x:c>
      <x:c r="G150" s="2" t="str">
        <x:v>2015</x:v>
      </x:c>
      <x:c r="H150" s="2" t="str">
        <x:v>03</x:v>
      </x:c>
      <x:c r="I150" s="2" t="str">
        <x:v>사업변경 신청</x:v>
      </x:c>
      <x:c r="J150" s="2" t="str">
        <x:v>심의승인</x:v>
      </x:c>
      <x:c r="K150" s="2" t="str">
        <x:f>IF(OR(J150="심의승인",J150="반려",J150="반려완료",J150="심의완료"),"종결 표시",IF(OR(J150="기후부협의",J150="문서재제출요청",J150="보류",J150="보완요청",J150="보완완료",J150="평가중",J150="반려요청",J150="평가필요",LEFT(J150,5)="보완요청("),"미종결 표시","상태 확인 필요"))</x:f>
        <x:v>종결 표시</x:v>
      </x:c>
      <x:c r="L150" s="2"/>
      <x:c r="M150" s="2"/>
      <x:c r="N150" s="8" t="n">
        <x:f>DATE(2026,10,15)-DATE(2015,3,19)</x:f>
        <x:v>4228</x:v>
      </x:c>
      <x:c r="O150" s="2"/>
      <x:c r="P150" s="2" t="str">
        <x:v>사업자명 변경</x:v>
      </x:c>
      <x:c r="Q150" s="2" t="str">
        <x:v>산업전환_외부사업관리Tool_260707_이너젠 수정_LJY_261013.xlsx</x:v>
      </x:c>
      <x:c r="R150" s="2" t="str">
        <x:v>국내평가</x:v>
      </x:c>
      <x:c r="S150" s="8" t="n">
        <x:v>53</x:v>
      </x:c>
      <x:c r="T150" s="2"/>
      <x:c r="U150" s="2" t="str"/>
      <x:c r="V150" s="2" t="str">
        <x:v>2016-05-20</x:v>
      </x:c>
      <x:c r="W150" s="2" t="str">
        <x:v>담당기관 확인</x:v>
      </x:c>
      <x:c r="X150" s="2" t="str">
        <x:v>원본·배정 기록 확인</x:v>
      </x:c>
      <x:c r="Y150" s="2" t="str">
        <x:v>ad210cd9ec132cfd447541c8984dc53d30aff0f4fb2dc92d254d49275cc55976</x:v>
      </x:c>
      <x:c r="Z150" s="2" t="n">
        <x:f>SUBTOTAL(103,A150)</x:f>
        <x:v>1</x:v>
      </x:c>
      <x:c r="AA150" s="2" t="str">
        <x:f>IF(K150&lt;&gt;"미종결 표시","대상 아님",IF(N150="","신청일 확인",IF(NOT(ISNUMBER('종합 현황'!$H$5)),"관찰기준 확인",IF('종합 현황'!$H$5&lt;1,"관찰기준 확인",IF(N150&gt;'종합 현황'!$H$5,"내부 관찰 대상","내부 관찰일 이하")))))</x:f>
        <x:v>대상 아님</x:v>
      </x:c>
      <x:c r="AB150" s="2"/>
    </x:row>
    <x:row r="151" ht="42" customHeight="1">
      <x:c r="A151" s="2" t="str">
        <x:v>22ebe90d93cb6a51ca41584e</x:v>
      </x:c>
      <x:c r="B151" s="2" t="str">
        <x:v>사업 평가</x:v>
      </x:c>
      <x:c r="C151" s="2" t="str">
        <x:v>국내</x:v>
      </x:c>
      <x:c r="D151" s="7" t="str">
        <x:v>(주)한화 울산소재 질산공장 N2O 감축 프로젝트</x:v>
      </x:c>
      <x:c r="E151" s="2" t="str">
        <x:v>12</x:v>
      </x:c>
      <x:c r="F151" s="2" t="str">
        <x:v>2015-04-01</x:v>
      </x:c>
      <x:c r="G151" s="2" t="str">
        <x:v>2015</x:v>
      </x:c>
      <x:c r="H151" s="2" t="str">
        <x:v>04</x:v>
      </x:c>
      <x:c r="I151" s="2" t="str">
        <x:v>사업변경 신청</x:v>
      </x:c>
      <x:c r="J151" s="2" t="str">
        <x:v>반려</x:v>
      </x:c>
      <x:c r="K151" s="2" t="str">
        <x:f>IF(OR(J151="심의승인",J151="반려",J151="반려완료",J151="심의완료"),"종결 표시",IF(OR(J151="기후부협의",J151="문서재제출요청",J151="보류",J151="보완요청",J151="보완완료",J151="평가중",J151="반려요청",J151="평가필요",LEFT(J151,5)="보완요청("),"미종결 표시","상태 확인 필요"))</x:f>
        <x:v>종결 표시</x:v>
      </x:c>
      <x:c r="L151" s="2"/>
      <x:c r="M151" s="2"/>
      <x:c r="N151" s="8" t="n">
        <x:f>DATE(2026,10,15)-DATE(2015,4,1)</x:f>
        <x:v>4215</x:v>
      </x:c>
      <x:c r="O151" s="2"/>
      <x:c r="P151" s="2"/>
      <x:c r="Q151" s="2" t="str">
        <x:v>산업전환_외부사업관리Tool_260707_이너젠 수정_LJY_261013.xlsx</x:v>
      </x:c>
      <x:c r="R151" s="2" t="str">
        <x:v>국내평가</x:v>
      </x:c>
      <x:c r="S151" s="8" t="n">
        <x:v>54</x:v>
      </x:c>
      <x:c r="T151" s="2"/>
      <x:c r="U151" s="2" t="str"/>
      <x:c r="V151" s="2" t="str">
        <x:v>2017-07-20</x:v>
      </x:c>
      <x:c r="W151" s="2" t="str">
        <x:v>담당기관 확인</x:v>
      </x:c>
      <x:c r="X151" s="2" t="str">
        <x:v>원본·배정 기록 확인</x:v>
      </x:c>
      <x:c r="Y151" s="2" t="str">
        <x:v>ad210cd9ec132cfd447541c8984dc53d30aff0f4fb2dc92d254d49275cc55976</x:v>
      </x:c>
      <x:c r="Z151" s="2" t="n">
        <x:f>SUBTOTAL(103,A151)</x:f>
        <x:v>1</x:v>
      </x:c>
      <x:c r="AA151" s="2" t="str">
        <x:f>IF(K151&lt;&gt;"미종결 표시","대상 아님",IF(N151="","신청일 확인",IF(NOT(ISNUMBER('종합 현황'!$H$5)),"관찰기준 확인",IF('종합 현황'!$H$5&lt;1,"관찰기준 확인",IF(N151&gt;'종합 현황'!$H$5,"내부 관찰 대상","내부 관찰일 이하")))))</x:f>
        <x:v>대상 아님</x:v>
      </x:c>
      <x:c r="AB151" s="2"/>
    </x:row>
    <x:row r="152" ht="42" customHeight="1">
      <x:c r="A152" s="2" t="str">
        <x:v>c8abf5a1955d782a53026921</x:v>
      </x:c>
      <x:c r="B152" s="2" t="str">
        <x:v>사업 평가</x:v>
      </x:c>
      <x:c r="C152" s="2" t="str">
        <x:v>국내</x:v>
      </x:c>
      <x:c r="D152" s="7" t="str">
        <x:v>지역난방용 온수보일러 연료전환 사업</x:v>
      </x:c>
      <x:c r="E152" s="2" t="str">
        <x:v>13</x:v>
      </x:c>
      <x:c r="F152" s="2" t="str">
        <x:v>2015-06-16</x:v>
      </x:c>
      <x:c r="G152" s="2" t="str">
        <x:v>2015</x:v>
      </x:c>
      <x:c r="H152" s="2" t="str">
        <x:v>06</x:v>
      </x:c>
      <x:c r="I152" s="2" t="str">
        <x:v>승인</x:v>
      </x:c>
      <x:c r="J152" s="2" t="str">
        <x:v>심의승인</x:v>
      </x:c>
      <x:c r="K152" s="2" t="str">
        <x:f>IF(OR(J152="심의승인",J152="반려",J152="반려완료",J152="심의완료"),"종결 표시",IF(OR(J152="기후부협의",J152="문서재제출요청",J152="보류",J152="보완요청",J152="보완완료",J152="평가중",J152="반려요청",J152="평가필요",LEFT(J152,5)="보완요청("),"미종결 표시","상태 확인 필요"))</x:f>
        <x:v>종결 표시</x:v>
      </x:c>
      <x:c r="L152" s="2"/>
      <x:c r="M152" s="2"/>
      <x:c r="N152" s="8" t="n">
        <x:f>DATE(2026,10,15)-DATE(2015,6,16)</x:f>
        <x:v>4139</x:v>
      </x:c>
      <x:c r="O152" s="2"/>
      <x:c r="P152" s="2"/>
      <x:c r="Q152" s="2" t="str">
        <x:v>산업전환_외부사업관리Tool_260707_이너젠 수정_LJY_261013.xlsx</x:v>
      </x:c>
      <x:c r="R152" s="2" t="str">
        <x:v>국내평가</x:v>
      </x:c>
      <x:c r="S152" s="8" t="n">
        <x:v>55</x:v>
      </x:c>
      <x:c r="T152" s="2"/>
      <x:c r="U152" s="2" t="str"/>
      <x:c r="V152" s="2" t="str">
        <x:v>2015-09-21</x:v>
      </x:c>
      <x:c r="W152" s="2" t="str">
        <x:v>담당기관 확인</x:v>
      </x:c>
      <x:c r="X152" s="2" t="str">
        <x:v>원본·배정 기록 확인</x:v>
      </x:c>
      <x:c r="Y152" s="2" t="str">
        <x:v>ad210cd9ec132cfd447541c8984dc53d30aff0f4fb2dc92d254d49275cc55976</x:v>
      </x:c>
      <x:c r="Z152" s="2" t="n">
        <x:f>SUBTOTAL(103,A152)</x:f>
        <x:v>1</x:v>
      </x:c>
      <x:c r="AA152" s="2" t="str">
        <x:f>IF(K152&lt;&gt;"미종결 표시","대상 아님",IF(N152="","신청일 확인",IF(NOT(ISNUMBER('종합 현황'!$H$5)),"관찰기준 확인",IF('종합 현황'!$H$5&lt;1,"관찰기준 확인",IF(N152&gt;'종합 현황'!$H$5,"내부 관찰 대상","내부 관찰일 이하")))))</x:f>
        <x:v>대상 아님</x:v>
      </x:c>
      <x:c r="AB152" s="2"/>
    </x:row>
    <x:row r="153" ht="42" customHeight="1">
      <x:c r="A153" s="2" t="str">
        <x:v>e2f303564f73b2826ac8d448</x:v>
      </x:c>
      <x:c r="B153" s="2" t="str">
        <x:v>사업 평가</x:v>
      </x:c>
      <x:c r="C153" s="2" t="str">
        <x:v>국내</x:v>
      </x:c>
      <x:c r="D153" s="7" t="str">
        <x:v>시화호 조력발전 사업</x:v>
      </x:c>
      <x:c r="E153" s="2" t="str">
        <x:v>14</x:v>
      </x:c>
      <x:c r="F153" s="2" t="str">
        <x:v>2019-10-10</x:v>
      </x:c>
      <x:c r="G153" s="2" t="str">
        <x:v>2019</x:v>
      </x:c>
      <x:c r="H153" s="2" t="str">
        <x:v>10</x:v>
      </x:c>
      <x:c r="I153" s="2" t="str">
        <x:v>사업변경 신청</x:v>
      </x:c>
      <x:c r="J153" s="2" t="str">
        <x:v>심의승인</x:v>
      </x:c>
      <x:c r="K153" s="2" t="str">
        <x:f>IF(OR(J153="심의승인",J153="반려",J153="반려완료",J153="심의완료"),"종결 표시",IF(OR(J153="기후부협의",J153="문서재제출요청",J153="보류",J153="보완요청",J153="보완완료",J153="평가중",J153="반려요청",J153="평가필요",LEFT(J153,5)="보완요청("),"미종결 표시","상태 확인 필요"))</x:f>
        <x:v>종결 표시</x:v>
      </x:c>
      <x:c r="L153" s="2"/>
      <x:c r="M153" s="2"/>
      <x:c r="N153" s="8" t="n">
        <x:f>DATE(2026,10,15)-DATE(2019,10,10)</x:f>
        <x:v>2562</x:v>
      </x:c>
      <x:c r="O153" s="2"/>
      <x:c r="P153" s="2" t="str">
        <x:v>적용방법론 수정</x:v>
      </x:c>
      <x:c r="Q153" s="2" t="str">
        <x:v>산업전환_외부사업관리Tool_260707_이너젠 수정_LJY_261013.xlsx</x:v>
      </x:c>
      <x:c r="R153" s="2" t="str">
        <x:v>국내평가</x:v>
      </x:c>
      <x:c r="S153" s="8" t="n">
        <x:v>56</x:v>
      </x:c>
      <x:c r="T153" s="2"/>
      <x:c r="U153" s="2" t="str"/>
      <x:c r="V153" s="2" t="str">
        <x:v>2020-02-27</x:v>
      </x:c>
      <x:c r="W153" s="2" t="str">
        <x:v>담당기관 확인</x:v>
      </x:c>
      <x:c r="X153" s="2" t="str">
        <x:v>원본·배정 기록 확인</x:v>
      </x:c>
      <x:c r="Y153" s="2" t="str">
        <x:v>ad210cd9ec132cfd447541c8984dc53d30aff0f4fb2dc92d254d49275cc55976</x:v>
      </x:c>
      <x:c r="Z153" s="2" t="n">
        <x:f>SUBTOTAL(103,A153)</x:f>
        <x:v>1</x:v>
      </x:c>
      <x:c r="AA153" s="2" t="str">
        <x:f>IF(K153&lt;&gt;"미종결 표시","대상 아님",IF(N153="","신청일 확인",IF(NOT(ISNUMBER('종합 현황'!$H$5)),"관찰기준 확인",IF('종합 현황'!$H$5&lt;1,"관찰기준 확인",IF(N153&gt;'종합 현황'!$H$5,"내부 관찰 대상","내부 관찰일 이하")))))</x:f>
        <x:v>대상 아님</x:v>
      </x:c>
      <x:c r="AB153" s="2"/>
    </x:row>
    <x:row r="154" ht="42" customHeight="1">
      <x:c r="A154" s="2" t="str">
        <x:v>84fc6b64ebf5d9bb533b3bdf</x:v>
      </x:c>
      <x:c r="B154" s="2" t="str">
        <x:v>사업 평가</x:v>
      </x:c>
      <x:c r="C154" s="2" t="str">
        <x:v>국내</x:v>
      </x:c>
      <x:c r="D154" s="7" t="str">
        <x:v>휴켐스(주) 신설 5질산에서 발생하는 아산화질소 배출량 저감사업</x:v>
      </x:c>
      <x:c r="E154" s="2" t="str">
        <x:v>15</x:v>
      </x:c>
      <x:c r="F154" s="2" t="str">
        <x:v>2015-07-08</x:v>
      </x:c>
      <x:c r="G154" s="2" t="str">
        <x:v>2015</x:v>
      </x:c>
      <x:c r="H154" s="2" t="str">
        <x:v>07</x:v>
      </x:c>
      <x:c r="I154" s="2" t="str">
        <x:v>승인</x:v>
      </x:c>
      <x:c r="J154" s="2" t="str">
        <x:v>심의승인</x:v>
      </x:c>
      <x:c r="K154" s="2" t="str">
        <x:f>IF(OR(J154="심의승인",J154="반려",J154="반려완료",J154="심의완료"),"종결 표시",IF(OR(J154="기후부협의",J154="문서재제출요청",J154="보류",J154="보완요청",J154="보완완료",J154="평가중",J154="반려요청",J154="평가필요",LEFT(J154,5)="보완요청("),"미종결 표시","상태 확인 필요"))</x:f>
        <x:v>종결 표시</x:v>
      </x:c>
      <x:c r="L154" s="2"/>
      <x:c r="M154" s="2"/>
      <x:c r="N154" s="8" t="n">
        <x:f>DATE(2026,10,15)-DATE(2015,7,8)</x:f>
        <x:v>4117</x:v>
      </x:c>
      <x:c r="O154" s="2"/>
      <x:c r="P154" s="2"/>
      <x:c r="Q154" s="2" t="str">
        <x:v>산업전환_외부사업관리Tool_260707_이너젠 수정_LJY_261013.xlsx</x:v>
      </x:c>
      <x:c r="R154" s="2" t="str">
        <x:v>국내평가</x:v>
      </x:c>
      <x:c r="S154" s="8" t="n">
        <x:v>57</x:v>
      </x:c>
      <x:c r="T154" s="2"/>
      <x:c r="U154" s="2" t="str"/>
      <x:c r="V154" s="2" t="str">
        <x:v>2015-09-21</x:v>
      </x:c>
      <x:c r="W154" s="2" t="str">
        <x:v>담당기관 확인</x:v>
      </x:c>
      <x:c r="X154" s="2" t="str">
        <x:v>원본·배정 기록 확인</x:v>
      </x:c>
      <x:c r="Y154" s="2" t="str">
        <x:v>ad210cd9ec132cfd447541c8984dc53d30aff0f4fb2dc92d254d49275cc55976</x:v>
      </x:c>
      <x:c r="Z154" s="2" t="n">
        <x:f>SUBTOTAL(103,A154)</x:f>
        <x:v>1</x:v>
      </x:c>
      <x:c r="AA154" s="2" t="str">
        <x:f>IF(K154&lt;&gt;"미종결 표시","대상 아님",IF(N154="","신청일 확인",IF(NOT(ISNUMBER('종합 현황'!$H$5)),"관찰기준 확인",IF('종합 현황'!$H$5&lt;1,"관찰기준 확인",IF(N154&gt;'종합 현황'!$H$5,"내부 관찰 대상","내부 관찰일 이하")))))</x:f>
        <x:v>대상 아님</x:v>
      </x:c>
      <x:c r="AB154" s="2"/>
    </x:row>
    <x:row r="155" ht="42" customHeight="1">
      <x:c r="A155" s="2" t="str">
        <x:v>72245a4f6e77b413d6332f58</x:v>
      </x:c>
      <x:c r="B155" s="2" t="str">
        <x:v>사업 평가</x:v>
      </x:c>
      <x:c r="C155" s="2" t="str">
        <x:v>국내</x:v>
      </x:c>
      <x:c r="D155" s="7" t="str">
        <x:v>SF6 회수 및 재생사업</x:v>
      </x:c>
      <x:c r="E155" s="2" t="str">
        <x:v>16</x:v>
      </x:c>
      <x:c r="F155" s="2" t="str">
        <x:v>2015-07-08</x:v>
      </x:c>
      <x:c r="G155" s="2" t="str">
        <x:v>2015</x:v>
      </x:c>
      <x:c r="H155" s="2" t="str">
        <x:v>07</x:v>
      </x:c>
      <x:c r="I155" s="2" t="str">
        <x:v>승인</x:v>
      </x:c>
      <x:c r="J155" s="2" t="str">
        <x:v>심의승인</x:v>
      </x:c>
      <x:c r="K155" s="2" t="str">
        <x:f>IF(OR(J155="심의승인",J155="반려",J155="반려완료",J155="심의완료"),"종결 표시",IF(OR(J155="기후부협의",J155="문서재제출요청",J155="보류",J155="보완요청",J155="보완완료",J155="평가중",J155="반려요청",J155="평가필요",LEFT(J155,5)="보완요청("),"미종결 표시","상태 확인 필요"))</x:f>
        <x:v>종결 표시</x:v>
      </x:c>
      <x:c r="L155" s="2"/>
      <x:c r="M155" s="2"/>
      <x:c r="N155" s="8" t="n">
        <x:f>DATE(2026,10,15)-DATE(2015,7,8)</x:f>
        <x:v>4117</x:v>
      </x:c>
      <x:c r="O155" s="2"/>
      <x:c r="P155" s="2"/>
      <x:c r="Q155" s="2" t="str">
        <x:v>산업전환_외부사업관리Tool_260707_이너젠 수정_LJY_261013.xlsx</x:v>
      </x:c>
      <x:c r="R155" s="2" t="str">
        <x:v>국내평가</x:v>
      </x:c>
      <x:c r="S155" s="8" t="n">
        <x:v>58</x:v>
      </x:c>
      <x:c r="T155" s="2"/>
      <x:c r="U155" s="2" t="str"/>
      <x:c r="V155" s="2" t="str">
        <x:v>2015-09-21</x:v>
      </x:c>
      <x:c r="W155" s="2" t="str">
        <x:v>담당기관 확인</x:v>
      </x:c>
      <x:c r="X155" s="2" t="str">
        <x:v>원본·배정 기록 확인</x:v>
      </x:c>
      <x:c r="Y155" s="2" t="str">
        <x:v>ad210cd9ec132cfd447541c8984dc53d30aff0f4fb2dc92d254d49275cc55976</x:v>
      </x:c>
      <x:c r="Z155" s="2" t="n">
        <x:f>SUBTOTAL(103,A155)</x:f>
        <x:v>1</x:v>
      </x:c>
      <x:c r="AA155" s="2" t="str">
        <x:f>IF(K155&lt;&gt;"미종결 표시","대상 아님",IF(N155="","신청일 확인",IF(NOT(ISNUMBER('종합 현황'!$H$5)),"관찰기준 확인",IF('종합 현황'!$H$5&lt;1,"관찰기준 확인",IF(N155&gt;'종합 현황'!$H$5,"내부 관찰 대상","내부 관찰일 이하")))))</x:f>
        <x:v>대상 아님</x:v>
      </x:c>
      <x:c r="AB155" s="2"/>
    </x:row>
    <x:row r="156" ht="42" customHeight="1">
      <x:c r="A156" s="2" t="str">
        <x:v>b8bbc7bb0c04b90b648a2410</x:v>
      </x:c>
      <x:c r="B156" s="2" t="str">
        <x:v>사업 평가</x:v>
      </x:c>
      <x:c r="C156" s="2" t="str">
        <x:v>국내</x:v>
      </x:c>
      <x:c r="D156" s="7" t="str">
        <x:v>한국의 LCD 제조 과정의 SF6 방출 감축을 위한 사용점 감축설비</x:v>
      </x:c>
      <x:c r="E156" s="2" t="str">
        <x:v>17</x:v>
      </x:c>
      <x:c r="F156" s="2" t="str">
        <x:v>2015-07-08</x:v>
      </x:c>
      <x:c r="G156" s="2" t="str">
        <x:v>2015</x:v>
      </x:c>
      <x:c r="H156" s="2" t="str">
        <x:v>07</x:v>
      </x:c>
      <x:c r="I156" s="2" t="str">
        <x:v>승인</x:v>
      </x:c>
      <x:c r="J156" s="2" t="str">
        <x:v>심의승인</x:v>
      </x:c>
      <x:c r="K156" s="2" t="str">
        <x:f>IF(OR(J156="심의승인",J156="반려",J156="반려완료",J156="심의완료"),"종결 표시",IF(OR(J156="기후부협의",J156="문서재제출요청",J156="보류",J156="보완요청",J156="보완완료",J156="평가중",J156="반려요청",J156="평가필요",LEFT(J156,5)="보완요청("),"미종결 표시","상태 확인 필요"))</x:f>
        <x:v>종결 표시</x:v>
      </x:c>
      <x:c r="L156" s="2"/>
      <x:c r="M156" s="2"/>
      <x:c r="N156" s="8" t="n">
        <x:f>DATE(2026,10,15)-DATE(2015,7,8)</x:f>
        <x:v>4117</x:v>
      </x:c>
      <x:c r="O156" s="2"/>
      <x:c r="P156" s="2"/>
      <x:c r="Q156" s="2" t="str">
        <x:v>산업전환_외부사업관리Tool_260707_이너젠 수정_LJY_261013.xlsx</x:v>
      </x:c>
      <x:c r="R156" s="2" t="str">
        <x:v>국내평가</x:v>
      </x:c>
      <x:c r="S156" s="8" t="n">
        <x:v>59</x:v>
      </x:c>
      <x:c r="T156" s="2"/>
      <x:c r="U156" s="2" t="str"/>
      <x:c r="V156" s="2" t="str">
        <x:v>2015-09-21</x:v>
      </x:c>
      <x:c r="W156" s="2" t="str">
        <x:v>담당기관 확인</x:v>
      </x:c>
      <x:c r="X156" s="2" t="str">
        <x:v>원본·배정 기록 확인</x:v>
      </x:c>
      <x:c r="Y156" s="2" t="str">
        <x:v>ad210cd9ec132cfd447541c8984dc53d30aff0f4fb2dc92d254d49275cc55976</x:v>
      </x:c>
      <x:c r="Z156" s="2" t="n">
        <x:f>SUBTOTAL(103,A156)</x:f>
        <x:v>1</x:v>
      </x:c>
      <x:c r="AA156" s="2" t="str">
        <x:f>IF(K156&lt;&gt;"미종결 표시","대상 아님",IF(N156="","신청일 확인",IF(NOT(ISNUMBER('종합 현황'!$H$5)),"관찰기준 확인",IF('종합 현황'!$H$5&lt;1,"관찰기준 확인",IF(N156&gt;'종합 현황'!$H$5,"내부 관찰 대상","내부 관찰일 이하")))))</x:f>
        <x:v>대상 아님</x:v>
      </x:c>
      <x:c r="AB156" s="2"/>
    </x:row>
    <x:row r="157" ht="42" customHeight="1">
      <x:c r="A157" s="2" t="str">
        <x:v>2c1b8395ba5155f758af097c</x:v>
      </x:c>
      <x:c r="B157" s="2" t="str">
        <x:v>사업 평가</x:v>
      </x:c>
      <x:c r="C157" s="2" t="str">
        <x:v>국내</x:v>
      </x:c>
      <x:c r="D157" s="7" t="str">
        <x:v>한국의 LCD제조 과정의 SF6 방출 감축을 위한 사용점 감축 설비</x:v>
      </x:c>
      <x:c r="E157" s="2" t="str">
        <x:v>18</x:v>
      </x:c>
      <x:c r="F157" s="2" t="str">
        <x:v>2015-08-11</x:v>
      </x:c>
      <x:c r="G157" s="2" t="str">
        <x:v>2015</x:v>
      </x:c>
      <x:c r="H157" s="2" t="str">
        <x:v>08</x:v>
      </x:c>
      <x:c r="I157" s="2" t="str">
        <x:v>승인</x:v>
      </x:c>
      <x:c r="J157" s="2" t="str">
        <x:v>심의승인</x:v>
      </x:c>
      <x:c r="K157" s="2" t="str">
        <x:f>IF(OR(J157="심의승인",J157="반려",J157="반려완료",J157="심의완료"),"종결 표시",IF(OR(J157="기후부협의",J157="문서재제출요청",J157="보류",J157="보완요청",J157="보완완료",J157="평가중",J157="반려요청",J157="평가필요",LEFT(J157,5)="보완요청("),"미종결 표시","상태 확인 필요"))</x:f>
        <x:v>종결 표시</x:v>
      </x:c>
      <x:c r="L157" s="2"/>
      <x:c r="M157" s="2"/>
      <x:c r="N157" s="8" t="n">
        <x:f>DATE(2026,10,15)-DATE(2015,8,11)</x:f>
        <x:v>4083</x:v>
      </x:c>
      <x:c r="O157" s="2"/>
      <x:c r="P157" s="2"/>
      <x:c r="Q157" s="2" t="str">
        <x:v>산업전환_외부사업관리Tool_260707_이너젠 수정_LJY_261013.xlsx</x:v>
      </x:c>
      <x:c r="R157" s="2" t="str">
        <x:v>국내평가</x:v>
      </x:c>
      <x:c r="S157" s="8" t="n">
        <x:v>60</x:v>
      </x:c>
      <x:c r="T157" s="2"/>
      <x:c r="U157" s="2" t="str"/>
      <x:c r="V157" s="2" t="str">
        <x:v>2016-01-14</x:v>
      </x:c>
      <x:c r="W157" s="2" t="str">
        <x:v>담당기관 확인</x:v>
      </x:c>
      <x:c r="X157" s="2" t="str">
        <x:v>원본·배정 기록 확인</x:v>
      </x:c>
      <x:c r="Y157" s="2" t="str">
        <x:v>ad210cd9ec132cfd447541c8984dc53d30aff0f4fb2dc92d254d49275cc55976</x:v>
      </x:c>
      <x:c r="Z157" s="2" t="n">
        <x:f>SUBTOTAL(103,A157)</x:f>
        <x:v>1</x:v>
      </x:c>
      <x:c r="AA157" s="2" t="str">
        <x:f>IF(K157&lt;&gt;"미종결 표시","대상 아님",IF(N157="","신청일 확인",IF(NOT(ISNUMBER('종합 현황'!$H$5)),"관찰기준 확인",IF('종합 현황'!$H$5&lt;1,"관찰기준 확인",IF(N157&gt;'종합 현황'!$H$5,"내부 관찰 대상","내부 관찰일 이하")))))</x:f>
        <x:v>대상 아님</x:v>
      </x:c>
      <x:c r="AB157" s="2"/>
    </x:row>
    <x:row r="158" ht="42" customHeight="1">
      <x:c r="A158" s="2" t="str">
        <x:v>4209abb2dc3c41f7d27525dc</x:v>
      </x:c>
      <x:c r="B158" s="2" t="str">
        <x:v>사업 평가</x:v>
      </x:c>
      <x:c r="C158" s="2" t="str">
        <x:v>국내</x:v>
      </x:c>
      <x:c r="D158" s="7" t="str">
        <x:v>한국남동발전주식회사 소수력 발전사업</x:v>
      </x:c>
      <x:c r="E158" s="2" t="str">
        <x:v>19</x:v>
      </x:c>
      <x:c r="F158" s="2" t="str">
        <x:v>2015-08-13</x:v>
      </x:c>
      <x:c r="G158" s="2" t="str">
        <x:v>2015</x:v>
      </x:c>
      <x:c r="H158" s="2" t="str">
        <x:v>08</x:v>
      </x:c>
      <x:c r="I158" s="2" t="str">
        <x:v>승인</x:v>
      </x:c>
      <x:c r="J158" s="2" t="str">
        <x:v>심의승인</x:v>
      </x:c>
      <x:c r="K158" s="2" t="str">
        <x:f>IF(OR(J158="심의승인",J158="반려",J158="반려완료",J158="심의완료"),"종결 표시",IF(OR(J158="기후부협의",J158="문서재제출요청",J158="보류",J158="보완요청",J158="보완완료",J158="평가중",J158="반려요청",J158="평가필요",LEFT(J158,5)="보완요청("),"미종결 표시","상태 확인 필요"))</x:f>
        <x:v>종결 표시</x:v>
      </x:c>
      <x:c r="L158" s="2"/>
      <x:c r="M158" s="2"/>
      <x:c r="N158" s="8" t="n">
        <x:f>DATE(2026,10,15)-DATE(2015,8,13)</x:f>
        <x:v>4081</x:v>
      </x:c>
      <x:c r="O158" s="2"/>
      <x:c r="P158" s="2"/>
      <x:c r="Q158" s="2" t="str">
        <x:v>산업전환_외부사업관리Tool_260707_이너젠 수정_LJY_261013.xlsx</x:v>
      </x:c>
      <x:c r="R158" s="2" t="str">
        <x:v>국내평가</x:v>
      </x:c>
      <x:c r="S158" s="8" t="n">
        <x:v>61</x:v>
      </x:c>
      <x:c r="T158" s="2"/>
      <x:c r="U158" s="2" t="str"/>
      <x:c r="V158" s="2" t="str">
        <x:v>2015-12-21</x:v>
      </x:c>
      <x:c r="W158" s="2" t="str">
        <x:v>담당기관 확인</x:v>
      </x:c>
      <x:c r="X158" s="2" t="str">
        <x:v>원본·배정 기록 확인</x:v>
      </x:c>
      <x:c r="Y158" s="2" t="str">
        <x:v>ad210cd9ec132cfd447541c8984dc53d30aff0f4fb2dc92d254d49275cc55976</x:v>
      </x:c>
      <x:c r="Z158" s="2" t="n">
        <x:f>SUBTOTAL(103,A158)</x:f>
        <x:v>1</x:v>
      </x:c>
      <x:c r="AA158" s="2" t="str">
        <x:f>IF(K158&lt;&gt;"미종결 표시","대상 아님",IF(N158="","신청일 확인",IF(NOT(ISNUMBER('종합 현황'!$H$5)),"관찰기준 확인",IF('종합 현황'!$H$5&lt;1,"관찰기준 확인",IF(N158&gt;'종합 현황'!$H$5,"내부 관찰 대상","내부 관찰일 이하")))))</x:f>
        <x:v>대상 아님</x:v>
      </x:c>
      <x:c r="AB158" s="2"/>
    </x:row>
    <x:row r="159" ht="42" customHeight="1">
      <x:c r="A159" s="2" t="str">
        <x:v>b706ecc1a0459b5404504a83</x:v>
      </x:c>
      <x:c r="B159" s="2" t="str">
        <x:v>사업 평가</x:v>
      </x:c>
      <x:c r="C159" s="2" t="str">
        <x:v>국내</x:v>
      </x:c>
      <x:c r="D159" s="7" t="str">
        <x:v>고창솔라파크 14.98MW 태양광발전 사업</x:v>
      </x:c>
      <x:c r="E159" s="2" t="str">
        <x:v>20</x:v>
      </x:c>
      <x:c r="F159" s="2" t="str">
        <x:v>2015-08-28</x:v>
      </x:c>
      <x:c r="G159" s="2" t="str">
        <x:v>2015</x:v>
      </x:c>
      <x:c r="H159" s="2" t="str">
        <x:v>08</x:v>
      </x:c>
      <x:c r="I159" s="2" t="str">
        <x:v>승인</x:v>
      </x:c>
      <x:c r="J159" s="2" t="str">
        <x:v>심의승인</x:v>
      </x:c>
      <x:c r="K159" s="2" t="str">
        <x:f>IF(OR(J159="심의승인",J159="반려",J159="반려완료",J159="심의완료"),"종결 표시",IF(OR(J159="기후부협의",J159="문서재제출요청",J159="보류",J159="보완요청",J159="보완완료",J159="평가중",J159="반려요청",J159="평가필요",LEFT(J159,5)="보완요청("),"미종결 표시","상태 확인 필요"))</x:f>
        <x:v>종결 표시</x:v>
      </x:c>
      <x:c r="L159" s="2"/>
      <x:c r="M159" s="2"/>
      <x:c r="N159" s="8" t="n">
        <x:f>DATE(2026,10,15)-DATE(2015,8,28)</x:f>
        <x:v>4066</x:v>
      </x:c>
      <x:c r="O159" s="2"/>
      <x:c r="P159" s="2"/>
      <x:c r="Q159" s="2" t="str">
        <x:v>산업전환_외부사업관리Tool_260707_이너젠 수정_LJY_261013.xlsx</x:v>
      </x:c>
      <x:c r="R159" s="2" t="str">
        <x:v>국내평가</x:v>
      </x:c>
      <x:c r="S159" s="8" t="n">
        <x:v>62</x:v>
      </x:c>
      <x:c r="T159" s="2"/>
      <x:c r="U159" s="2" t="str"/>
      <x:c r="V159" s="2" t="str">
        <x:v>2015-12-21</x:v>
      </x:c>
      <x:c r="W159" s="2" t="str">
        <x:v>담당기관 확인</x:v>
      </x:c>
      <x:c r="X159" s="2" t="str">
        <x:v>원본·배정 기록 확인</x:v>
      </x:c>
      <x:c r="Y159" s="2" t="str">
        <x:v>ad210cd9ec132cfd447541c8984dc53d30aff0f4fb2dc92d254d49275cc55976</x:v>
      </x:c>
      <x:c r="Z159" s="2" t="n">
        <x:f>SUBTOTAL(103,A159)</x:f>
        <x:v>1</x:v>
      </x:c>
      <x:c r="AA159" s="2" t="str">
        <x:f>IF(K159&lt;&gt;"미종결 표시","대상 아님",IF(N159="","신청일 확인",IF(NOT(ISNUMBER('종합 현황'!$H$5)),"관찰기준 확인",IF('종합 현황'!$H$5&lt;1,"관찰기준 확인",IF(N159&gt;'종합 현황'!$H$5,"내부 관찰 대상","내부 관찰일 이하")))))</x:f>
        <x:v>대상 아님</x:v>
      </x:c>
      <x:c r="AB159" s="2"/>
    </x:row>
    <x:row r="160" ht="42" customHeight="1">
      <x:c r="A160" s="2" t="str">
        <x:v>c93b621a06c7c5ef89e9d9c1</x:v>
      </x:c>
      <x:c r="B160" s="2" t="str">
        <x:v>사업 평가</x:v>
      </x:c>
      <x:c r="C160" s="2" t="str">
        <x:v>국내</x:v>
      </x:c>
      <x:c r="D160" s="7" t="str">
        <x:v>카프로 N2O 저감 사업</x:v>
      </x:c>
      <x:c r="E160" s="2" t="str">
        <x:v>21</x:v>
      </x:c>
      <x:c r="F160" s="2" t="str">
        <x:v>2015-09-11</x:v>
      </x:c>
      <x:c r="G160" s="2" t="str">
        <x:v>2015</x:v>
      </x:c>
      <x:c r="H160" s="2" t="str">
        <x:v>09</x:v>
      </x:c>
      <x:c r="I160" s="2" t="str">
        <x:v>사업변경 신청</x:v>
      </x:c>
      <x:c r="J160" s="2" t="str">
        <x:v>심의승인</x:v>
      </x:c>
      <x:c r="K160" s="2" t="str">
        <x:f>IF(OR(J160="심의승인",J160="반려",J160="반려완료",J160="심의완료"),"종결 표시",IF(OR(J160="기후부협의",J160="문서재제출요청",J160="보류",J160="보완요청",J160="보완완료",J160="평가중",J160="반려요청",J160="평가필요",LEFT(J160,5)="보완요청("),"미종결 표시","상태 확인 필요"))</x:f>
        <x:v>종결 표시</x:v>
      </x:c>
      <x:c r="L160" s="2"/>
      <x:c r="M160" s="2"/>
      <x:c r="N160" s="8" t="n">
        <x:f>DATE(2026,10,15)-DATE(2015,9,11)</x:f>
        <x:v>4052</x:v>
      </x:c>
      <x:c r="O160" s="2"/>
      <x:c r="P160" s="2" t="str">
        <x:v>사업자 변경</x:v>
      </x:c>
      <x:c r="Q160" s="2" t="str">
        <x:v>산업전환_외부사업관리Tool_260707_이너젠 수정_LJY_261013.xlsx</x:v>
      </x:c>
      <x:c r="R160" s="2" t="str">
        <x:v>국내평가</x:v>
      </x:c>
      <x:c r="S160" s="8" t="n">
        <x:v>63</x:v>
      </x:c>
      <x:c r="T160" s="2"/>
      <x:c r="U160" s="2" t="str"/>
      <x:c r="V160" s="2" t="str">
        <x:v>2018-10-11</x:v>
      </x:c>
      <x:c r="W160" s="2" t="str">
        <x:v>담당기관 확인</x:v>
      </x:c>
      <x:c r="X160" s="2" t="str">
        <x:v>원본·배정 기록 확인</x:v>
      </x:c>
      <x:c r="Y160" s="2" t="str">
        <x:v>ad210cd9ec132cfd447541c8984dc53d30aff0f4fb2dc92d254d49275cc55976</x:v>
      </x:c>
      <x:c r="Z160" s="2" t="n">
        <x:f>SUBTOTAL(103,A160)</x:f>
        <x:v>1</x:v>
      </x:c>
      <x:c r="AA160" s="2" t="str">
        <x:f>IF(K160&lt;&gt;"미종결 표시","대상 아님",IF(N160="","신청일 확인",IF(NOT(ISNUMBER('종합 현황'!$H$5)),"관찰기준 확인",IF('종합 현황'!$H$5&lt;1,"관찰기준 확인",IF(N160&gt;'종합 현황'!$H$5,"내부 관찰 대상","내부 관찰일 이하")))))</x:f>
        <x:v>대상 아님</x:v>
      </x:c>
      <x:c r="AB160" s="2"/>
    </x:row>
    <x:row r="161" ht="42" customHeight="1">
      <x:c r="A161" s="2" t="str">
        <x:v>8dbd45faf2904ffb0d0eec21</x:v>
      </x:c>
      <x:c r="B161" s="2" t="str">
        <x:v>사업 평가</x:v>
      </x:c>
      <x:c r="C161" s="2" t="str">
        <x:v>국내</x:v>
      </x:c>
      <x:c r="D161" s="7" t="str">
        <x:v>삼성전자 SF6 저감 사업</x:v>
      </x:c>
      <x:c r="E161" s="2" t="str">
        <x:v>22</x:v>
      </x:c>
      <x:c r="F161" s="2" t="str">
        <x:v>2015-09-21</x:v>
      </x:c>
      <x:c r="G161" s="2" t="str">
        <x:v>2015</x:v>
      </x:c>
      <x:c r="H161" s="2" t="str">
        <x:v>09</x:v>
      </x:c>
      <x:c r="I161" s="2" t="str">
        <x:v>승인</x:v>
      </x:c>
      <x:c r="J161" s="2" t="str">
        <x:v>심의승인</x:v>
      </x:c>
      <x:c r="K161" s="2" t="str">
        <x:f>IF(OR(J161="심의승인",J161="반려",J161="반려완료",J161="심의완료"),"종결 표시",IF(OR(J161="기후부협의",J161="문서재제출요청",J161="보류",J161="보완요청",J161="보완완료",J161="평가중",J161="반려요청",J161="평가필요",LEFT(J161,5)="보완요청("),"미종결 표시","상태 확인 필요"))</x:f>
        <x:v>종결 표시</x:v>
      </x:c>
      <x:c r="L161" s="2"/>
      <x:c r="M161" s="2"/>
      <x:c r="N161" s="8" t="n">
        <x:f>DATE(2026,10,15)-DATE(2015,9,21)</x:f>
        <x:v>4042</x:v>
      </x:c>
      <x:c r="O161" s="2"/>
      <x:c r="P161" s="2"/>
      <x:c r="Q161" s="2" t="str">
        <x:v>산업전환_외부사업관리Tool_260707_이너젠 수정_LJY_261013.xlsx</x:v>
      </x:c>
      <x:c r="R161" s="2" t="str">
        <x:v>국내평가</x:v>
      </x:c>
      <x:c r="S161" s="8" t="n">
        <x:v>64</x:v>
      </x:c>
      <x:c r="T161" s="2"/>
      <x:c r="U161" s="2" t="str"/>
      <x:c r="V161" s="2" t="str">
        <x:v>2015-12-21</x:v>
      </x:c>
      <x:c r="W161" s="2" t="str">
        <x:v>담당기관 확인</x:v>
      </x:c>
      <x:c r="X161" s="2" t="str">
        <x:v>원본·배정 기록 확인</x:v>
      </x:c>
      <x:c r="Y161" s="2" t="str">
        <x:v>ad210cd9ec132cfd447541c8984dc53d30aff0f4fb2dc92d254d49275cc55976</x:v>
      </x:c>
      <x:c r="Z161" s="2" t="n">
        <x:f>SUBTOTAL(103,A161)</x:f>
        <x:v>1</x:v>
      </x:c>
      <x:c r="AA161" s="2" t="str">
        <x:f>IF(K161&lt;&gt;"미종결 표시","대상 아님",IF(N161="","신청일 확인",IF(NOT(ISNUMBER('종합 현황'!$H$5)),"관찰기준 확인",IF('종합 현황'!$H$5&lt;1,"관찰기준 확인",IF(N161&gt;'종합 현황'!$H$5,"내부 관찰 대상","내부 관찰일 이하")))))</x:f>
        <x:v>대상 아님</x:v>
      </x:c>
      <x:c r="AB161" s="2"/>
    </x:row>
    <x:row r="162" ht="42" customHeight="1">
      <x:c r="A162" s="2" t="str">
        <x:v>fcaec169eebc9dadaff0fb42</x:v>
      </x:c>
      <x:c r="B162" s="2" t="str">
        <x:v>사업 평가</x:v>
      </x:c>
      <x:c r="C162" s="2" t="str">
        <x:v>국내</x:v>
      </x:c>
      <x:c r="D162" s="7" t="str">
        <x:v>제주도 한경풍력 2단계 CDM사업</x:v>
      </x:c>
      <x:c r="E162" s="2" t="str">
        <x:v>23</x:v>
      </x:c>
      <x:c r="F162" s="2" t="str">
        <x:v>2015-12-22</x:v>
      </x:c>
      <x:c r="G162" s="2" t="str">
        <x:v>2015</x:v>
      </x:c>
      <x:c r="H162" s="2" t="str">
        <x:v>12</x:v>
      </x:c>
      <x:c r="I162" s="2" t="str">
        <x:v>승인</x:v>
      </x:c>
      <x:c r="J162" s="2" t="str">
        <x:v>심의승인</x:v>
      </x:c>
      <x:c r="K162" s="2" t="str">
        <x:f>IF(OR(J162="심의승인",J162="반려",J162="반려완료",J162="심의완료"),"종결 표시",IF(OR(J162="기후부협의",J162="문서재제출요청",J162="보류",J162="보완요청",J162="보완완료",J162="평가중",J162="반려요청",J162="평가필요",LEFT(J162,5)="보완요청("),"미종결 표시","상태 확인 필요"))</x:f>
        <x:v>종결 표시</x:v>
      </x:c>
      <x:c r="L162" s="2"/>
      <x:c r="M162" s="2"/>
      <x:c r="N162" s="8" t="n">
        <x:f>DATE(2026,10,15)-DATE(2015,12,22)</x:f>
        <x:v>3950</x:v>
      </x:c>
      <x:c r="O162" s="2"/>
      <x:c r="P162" s="2"/>
      <x:c r="Q162" s="2" t="str">
        <x:v>산업전환_외부사업관리Tool_260707_이너젠 수정_LJY_261013.xlsx</x:v>
      </x:c>
      <x:c r="R162" s="2" t="str">
        <x:v>국내평가</x:v>
      </x:c>
      <x:c r="S162" s="8" t="n">
        <x:v>65</x:v>
      </x:c>
      <x:c r="T162" s="2"/>
      <x:c r="U162" s="2" t="str"/>
      <x:c r="V162" s="2" t="str">
        <x:v>2016-02-23</x:v>
      </x:c>
      <x:c r="W162" s="2" t="str">
        <x:v>담당기관 확인</x:v>
      </x:c>
      <x:c r="X162" s="2" t="str">
        <x:v>원본·배정 기록 확인</x:v>
      </x:c>
      <x:c r="Y162" s="2" t="str">
        <x:v>ad210cd9ec132cfd447541c8984dc53d30aff0f4fb2dc92d254d49275cc55976</x:v>
      </x:c>
      <x:c r="Z162" s="2" t="n">
        <x:f>SUBTOTAL(103,A162)</x:f>
        <x:v>1</x:v>
      </x:c>
      <x:c r="AA162" s="2" t="str">
        <x:f>IF(K162&lt;&gt;"미종결 표시","대상 아님",IF(N162="","신청일 확인",IF(NOT(ISNUMBER('종합 현황'!$H$5)),"관찰기준 확인",IF('종합 현황'!$H$5&lt;1,"관찰기준 확인",IF(N162&gt;'종합 현황'!$H$5,"내부 관찰 대상","내부 관찰일 이하")))))</x:f>
        <x:v>대상 아님</x:v>
      </x:c>
      <x:c r="AB162" s="2"/>
    </x:row>
    <x:row r="163" ht="42" customHeight="1">
      <x:c r="A163" s="2" t="str">
        <x:v>c1ec8ea6b34ce760aab644a7</x:v>
      </x:c>
      <x:c r="B163" s="2" t="str">
        <x:v>사업 평가</x:v>
      </x:c>
      <x:c r="C163" s="2" t="str">
        <x:v>국내</x:v>
      </x:c>
      <x:c r="D163" s="7" t="str">
        <x:v>㈜동부수지의 고효율 보일러 교체를 통한 온실가스 감축 사업</x:v>
      </x:c>
      <x:c r="E163" s="2" t="str">
        <x:v>24</x:v>
      </x:c>
      <x:c r="F163" s="2" t="str">
        <x:v>2016-05-25</x:v>
      </x:c>
      <x:c r="G163" s="2" t="str">
        <x:v>2016</x:v>
      </x:c>
      <x:c r="H163" s="2" t="str">
        <x:v>05</x:v>
      </x:c>
      <x:c r="I163" s="2" t="str">
        <x:v>반려</x:v>
      </x:c>
      <x:c r="J163" s="2" t="str">
        <x:v>반려</x:v>
      </x:c>
      <x:c r="K163" s="2" t="str">
        <x:f>IF(OR(J163="심의승인",J163="반려",J163="반려완료",J163="심의완료"),"종결 표시",IF(OR(J163="기후부협의",J163="문서재제출요청",J163="보류",J163="보완요청",J163="보완완료",J163="평가중",J163="반려요청",J163="평가필요",LEFT(J163,5)="보완요청("),"미종결 표시","상태 확인 필요"))</x:f>
        <x:v>종결 표시</x:v>
      </x:c>
      <x:c r="L163" s="2"/>
      <x:c r="M163" s="2"/>
      <x:c r="N163" s="8" t="n">
        <x:f>DATE(2026,10,15)-DATE(2016,5,25)</x:f>
        <x:v>3795</x:v>
      </x:c>
      <x:c r="O163" s="2"/>
      <x:c r="P163" s="2"/>
      <x:c r="Q163" s="2" t="str">
        <x:v>산업전환_외부사업관리Tool_260707_이너젠 수정_LJY_261013.xlsx</x:v>
      </x:c>
      <x:c r="R163" s="2" t="str">
        <x:v>국내평가</x:v>
      </x:c>
      <x:c r="S163" s="8" t="n">
        <x:v>66</x:v>
      </x:c>
      <x:c r="T163" s="2"/>
      <x:c r="U163" s="2" t="str"/>
      <x:c r="V163" s="2" t="str">
        <x:v>2017-12-15</x:v>
      </x:c>
      <x:c r="W163" s="2" t="str">
        <x:v>담당기관 확인</x:v>
      </x:c>
      <x:c r="X163" s="2" t="str">
        <x:v>원본·배정 기록 확인</x:v>
      </x:c>
      <x:c r="Y163" s="2" t="str">
        <x:v>ad210cd9ec132cfd447541c8984dc53d30aff0f4fb2dc92d254d49275cc55976</x:v>
      </x:c>
      <x:c r="Z163" s="2" t="n">
        <x:f>SUBTOTAL(103,A163)</x:f>
        <x:v>1</x:v>
      </x:c>
      <x:c r="AA163" s="2" t="str">
        <x:f>IF(K163&lt;&gt;"미종결 표시","대상 아님",IF(N163="","신청일 확인",IF(NOT(ISNUMBER('종합 현황'!$H$5)),"관찰기준 확인",IF('종합 현황'!$H$5&lt;1,"관찰기준 확인",IF(N163&gt;'종합 현황'!$H$5,"내부 관찰 대상","내부 관찰일 이하")))))</x:f>
        <x:v>대상 아님</x:v>
      </x:c>
      <x:c r="AB163" s="2"/>
    </x:row>
    <x:row r="164" ht="42" customHeight="1">
      <x:c r="A164" s="2" t="str">
        <x:v>0858c054659873a9af07b453</x:v>
      </x:c>
      <x:c r="B164" s="2" t="str">
        <x:v>사업 평가</x:v>
      </x:c>
      <x:c r="C164" s="2" t="str">
        <x:v>국내</x:v>
      </x:c>
      <x:c r="D164" s="7" t="str">
        <x:v>휴켐스 질산공장 N2O 감축사업(휴켐스 주식회사의 질산 공장 세 곳에서 tail gas에 포함된 아산화질소를 촉매를 사용하여 제거하는 프로젝트)</x:v>
      </x:c>
      <x:c r="E164" s="2" t="str">
        <x:v>25</x:v>
      </x:c>
      <x:c r="F164" s="2" t="str">
        <x:v>2016-02-04</x:v>
      </x:c>
      <x:c r="G164" s="2" t="str">
        <x:v>2016</x:v>
      </x:c>
      <x:c r="H164" s="2" t="str">
        <x:v>02</x:v>
      </x:c>
      <x:c r="I164" s="2" t="str">
        <x:v>승인</x:v>
      </x:c>
      <x:c r="J164" s="2" t="str">
        <x:v>심의승인</x:v>
      </x:c>
      <x:c r="K164" s="2" t="str">
        <x:f>IF(OR(J164="심의승인",J164="반려",J164="반려완료",J164="심의완료"),"종결 표시",IF(OR(J164="기후부협의",J164="문서재제출요청",J164="보류",J164="보완요청",J164="보완완료",J164="평가중",J164="반려요청",J164="평가필요",LEFT(J164,5)="보완요청("),"미종결 표시","상태 확인 필요"))</x:f>
        <x:v>종결 표시</x:v>
      </x:c>
      <x:c r="L164" s="2"/>
      <x:c r="M164" s="2"/>
      <x:c r="N164" s="8" t="n">
        <x:f>DATE(2026,10,15)-DATE(2016,2,4)</x:f>
        <x:v>3906</x:v>
      </x:c>
      <x:c r="O164" s="2"/>
      <x:c r="P164" s="2"/>
      <x:c r="Q164" s="2" t="str">
        <x:v>산업전환_외부사업관리Tool_260707_이너젠 수정_LJY_261013.xlsx</x:v>
      </x:c>
      <x:c r="R164" s="2" t="str">
        <x:v>국내평가</x:v>
      </x:c>
      <x:c r="S164" s="8" t="n">
        <x:v>67</x:v>
      </x:c>
      <x:c r="T164" s="2"/>
      <x:c r="U164" s="2" t="str"/>
      <x:c r="V164" s="2" t="str">
        <x:v>2016-05-17</x:v>
      </x:c>
      <x:c r="W164" s="2" t="str">
        <x:v>담당기관 확인</x:v>
      </x:c>
      <x:c r="X164" s="2" t="str">
        <x:v>원본·배정 기록 확인</x:v>
      </x:c>
      <x:c r="Y164" s="2" t="str">
        <x:v>ad210cd9ec132cfd447541c8984dc53d30aff0f4fb2dc92d254d49275cc55976</x:v>
      </x:c>
      <x:c r="Z164" s="2" t="n">
        <x:f>SUBTOTAL(103,A164)</x:f>
        <x:v>1</x:v>
      </x:c>
      <x:c r="AA164" s="2" t="str">
        <x:f>IF(K164&lt;&gt;"미종결 표시","대상 아님",IF(N164="","신청일 확인",IF(NOT(ISNUMBER('종합 현황'!$H$5)),"관찰기준 확인",IF('종합 현황'!$H$5&lt;1,"관찰기준 확인",IF(N164&gt;'종합 현황'!$H$5,"내부 관찰 대상","내부 관찰일 이하")))))</x:f>
        <x:v>대상 아님</x:v>
      </x:c>
      <x:c r="AB164" s="2"/>
    </x:row>
    <x:row r="165" ht="42" customHeight="1">
      <x:c r="A165" s="2" t="str">
        <x:v>60f3a541c7474424cb183049</x:v>
      </x:c>
      <x:c r="B165" s="2" t="str">
        <x:v>사업 평가</x:v>
      </x:c>
      <x:c r="C165" s="2" t="str">
        <x:v>국내</x:v>
      </x:c>
      <x:c r="D165" s="7" t="str">
        <x:v>삼성전자 SF6 저감 사업</x:v>
      </x:c>
      <x:c r="E165" s="2" t="str">
        <x:v>26</x:v>
      </x:c>
      <x:c r="F165" s="2" t="str">
        <x:v>2016-03-16</x:v>
      </x:c>
      <x:c r="G165" s="2" t="str">
        <x:v>2016</x:v>
      </x:c>
      <x:c r="H165" s="2" t="str">
        <x:v>03</x:v>
      </x:c>
      <x:c r="I165" s="2" t="str">
        <x:v>승인</x:v>
      </x:c>
      <x:c r="J165" s="2" t="str">
        <x:v>심의승인</x:v>
      </x:c>
      <x:c r="K165" s="2" t="str">
        <x:f>IF(OR(J165="심의승인",J165="반려",J165="반려완료",J165="심의완료"),"종결 표시",IF(OR(J165="기후부협의",J165="문서재제출요청",J165="보류",J165="보완요청",J165="보완완료",J165="평가중",J165="반려요청",J165="평가필요",LEFT(J165,5)="보완요청("),"미종결 표시","상태 확인 필요"))</x:f>
        <x:v>종결 표시</x:v>
      </x:c>
      <x:c r="L165" s="2"/>
      <x:c r="M165" s="2"/>
      <x:c r="N165" s="8" t="n">
        <x:f>DATE(2026,10,15)-DATE(2016,3,16)</x:f>
        <x:v>3865</x:v>
      </x:c>
      <x:c r="O165" s="2"/>
      <x:c r="P165" s="2"/>
      <x:c r="Q165" s="2" t="str">
        <x:v>산업전환_외부사업관리Tool_260707_이너젠 수정_LJY_261013.xlsx</x:v>
      </x:c>
      <x:c r="R165" s="2" t="str">
        <x:v>국내평가</x:v>
      </x:c>
      <x:c r="S165" s="8" t="n">
        <x:v>68</x:v>
      </x:c>
      <x:c r="T165" s="2"/>
      <x:c r="U165" s="2" t="str"/>
      <x:c r="V165" s="2" t="str">
        <x:v>2016-05-17</x:v>
      </x:c>
      <x:c r="W165" s="2" t="str">
        <x:v>담당기관 확인</x:v>
      </x:c>
      <x:c r="X165" s="2" t="str">
        <x:v>원본·배정 기록 확인</x:v>
      </x:c>
      <x:c r="Y165" s="2" t="str">
        <x:v>ad210cd9ec132cfd447541c8984dc53d30aff0f4fb2dc92d254d49275cc55976</x:v>
      </x:c>
      <x:c r="Z165" s="2" t="n">
        <x:f>SUBTOTAL(103,A165)</x:f>
        <x:v>1</x:v>
      </x:c>
      <x:c r="AA165" s="2" t="str">
        <x:f>IF(K165&lt;&gt;"미종결 표시","대상 아님",IF(N165="","신청일 확인",IF(NOT(ISNUMBER('종합 현황'!$H$5)),"관찰기준 확인",IF('종합 현황'!$H$5&lt;1,"관찰기준 확인",IF(N165&gt;'종합 현황'!$H$5,"내부 관찰 대상","내부 관찰일 이하")))))</x:f>
        <x:v>대상 아님</x:v>
      </x:c>
      <x:c r="AB165" s="2"/>
    </x:row>
    <x:row r="166" ht="42" customHeight="1">
      <x:c r="A166" s="2" t="str">
        <x:v>aaa582922195b50fcfb1cfc4</x:v>
      </x:c>
      <x:c r="B166" s="2" t="str">
        <x:v>사업 평가</x:v>
      </x:c>
      <x:c r="C166" s="2" t="str">
        <x:v>국내</x:v>
      </x:c>
      <x:c r="D166" s="7" t="str">
        <x:v>동해천곡5관리소 온수보일러 연료전환(B-C유-&gt;LNG)을 통한 온실가스 배출 감축사업</x:v>
      </x:c>
      <x:c r="E166" s="2" t="str">
        <x:v>27</x:v>
      </x:c>
      <x:c r="F166" s="2" t="str">
        <x:v>2026-02-13</x:v>
      </x:c>
      <x:c r="G166" s="2" t="str">
        <x:v>2026</x:v>
      </x:c>
      <x:c r="H166" s="2" t="str">
        <x:v>02</x:v>
      </x:c>
      <x:c r="I166" s="2" t="str">
        <x:v>인증유효기간 갱신</x:v>
      </x:c>
      <x:c r="J166" s="2" t="str">
        <x:v>평가중</x:v>
      </x:c>
      <x:c r="K166" s="2" t="str">
        <x:f>IF(OR(J166="심의승인",J166="반려",J166="반려완료",J166="심의완료"),"종결 표시",IF(OR(J166="기후부협의",J166="문서재제출요청",J166="보류",J166="보완요청",J166="보완완료",J166="평가중",J166="반려요청",J166="평가필요",LEFT(J166,5)="보완요청("),"미종결 표시","상태 확인 필요"))</x:f>
        <x:v>미종결 표시</x:v>
      </x:c>
      <x:c r="L166" s="2"/>
      <x:c r="M166" s="2"/>
      <x:c r="N166" s="8" t="n">
        <x:f>DATE(2026,10,15)-DATE(2026,2,13)</x:f>
        <x:v>244</x:v>
      </x:c>
      <x:c r="O166" s="2"/>
      <x:c r="P166" s="2"/>
      <x:c r="Q166" s="2" t="str">
        <x:v>산업전환_외부사업관리Tool_260707_이너젠 수정_LJY_261013.xlsx</x:v>
      </x:c>
      <x:c r="R166" s="2" t="str">
        <x:v>국내평가</x:v>
      </x:c>
      <x:c r="S166" s="8" t="n">
        <x:v>69</x:v>
      </x:c>
      <x:c r="T166" s="2" t="str">
        <x:v>2021년 처리</x:v>
      </x:c>
      <x:c r="U166" s="2" t="str">
        <x:v>2021 배정: 2021년 처리 / 2026(사전): (2/26),(3/19),(4/29)</x:v>
      </x:c>
      <x:c r="V166" s="2" t="str">
        <x:v>2026-04-23</x:v>
      </x:c>
      <x:c r="W166" s="2" t="str">
        <x:v>담당기관 확인</x:v>
      </x:c>
      <x:c r="X166" s="2" t="str">
        <x:v>원본·배정 기록 확인</x:v>
      </x:c>
      <x:c r="Y166" s="2" t="str">
        <x:v>ad210cd9ec132cfd447541c8984dc53d30aff0f4fb2dc92d254d49275cc55976</x:v>
      </x:c>
      <x:c r="Z166" s="2" t="n">
        <x:f>SUBTOTAL(103,A166)</x:f>
        <x:v>1</x:v>
      </x:c>
      <x:c r="AA166" s="2" t="str">
        <x:f>IF(K166&lt;&gt;"미종결 표시","대상 아님",IF(N166="","신청일 확인",IF(NOT(ISNUMBER('종합 현황'!$H$5)),"관찰기준 확인",IF('종합 현황'!$H$5&lt;1,"관찰기준 확인",IF(N166&gt;'종합 현황'!$H$5,"내부 관찰 대상","내부 관찰일 이하")))))</x:f>
        <x:v>내부 관찰 대상</x:v>
      </x:c>
      <x:c r="AB166" s="2"/>
    </x:row>
    <x:row r="167" ht="42" customHeight="1">
      <x:c r="A167" s="2" t="str">
        <x:v>d21b2223b69f7b388feeb755</x:v>
      </x:c>
      <x:c r="B167" s="2" t="str">
        <x:v>사업 평가</x:v>
      </x:c>
      <x:c r="C167" s="2" t="str">
        <x:v>국내</x:v>
      </x:c>
      <x:c r="D167" s="7" t="str">
        <x:v>석사3관리소 온수보일러 연료전환(B-C유-&gt;LNG)을 통한 온실가스 배출 감축사업</x:v>
      </x:c>
      <x:c r="E167" s="2" t="str">
        <x:v>28</x:v>
      </x:c>
      <x:c r="F167" s="2" t="str">
        <x:v>2026-02-13</x:v>
      </x:c>
      <x:c r="G167" s="2" t="str">
        <x:v>2026</x:v>
      </x:c>
      <x:c r="H167" s="2" t="str">
        <x:v>02</x:v>
      </x:c>
      <x:c r="I167" s="2" t="str">
        <x:v>인증유효기간 갱신</x:v>
      </x:c>
      <x:c r="J167" s="2" t="str">
        <x:v>평가중</x:v>
      </x:c>
      <x:c r="K167" s="2" t="str">
        <x:f>IF(OR(J167="심의승인",J167="반려",J167="반려완료",J167="심의완료"),"종결 표시",IF(OR(J167="기후부협의",J167="문서재제출요청",J167="보류",J167="보완요청",J167="보완완료",J167="평가중",J167="반려요청",J167="평가필요",LEFT(J167,5)="보완요청("),"미종결 표시","상태 확인 필요"))</x:f>
        <x:v>미종결 표시</x:v>
      </x:c>
      <x:c r="L167" s="2"/>
      <x:c r="M167" s="2"/>
      <x:c r="N167" s="8" t="n">
        <x:f>DATE(2026,10,15)-DATE(2026,2,13)</x:f>
        <x:v>244</x:v>
      </x:c>
      <x:c r="O167" s="2"/>
      <x:c r="P167" s="2"/>
      <x:c r="Q167" s="2" t="str">
        <x:v>산업전환_외부사업관리Tool_260707_이너젠 수정_LJY_261013.xlsx</x:v>
      </x:c>
      <x:c r="R167" s="2" t="str">
        <x:v>국내평가</x:v>
      </x:c>
      <x:c r="S167" s="8" t="n">
        <x:v>70</x:v>
      </x:c>
      <x:c r="T167" s="2" t="str">
        <x:v>2021년 처리</x:v>
      </x:c>
      <x:c r="U167" s="2" t="str">
        <x:v>2021 배정: 2021년 처리 / 2026(사전): (2/26),(4/29)</x:v>
      </x:c>
      <x:c r="V167" s="2" t="str">
        <x:v>2026-04-23</x:v>
      </x:c>
      <x:c r="W167" s="2" t="str">
        <x:v>담당기관 확인</x:v>
      </x:c>
      <x:c r="X167" s="2" t="str">
        <x:v>원본·배정 기록 확인</x:v>
      </x:c>
      <x:c r="Y167" s="2" t="str">
        <x:v>ad210cd9ec132cfd447541c8984dc53d30aff0f4fb2dc92d254d49275cc55976</x:v>
      </x:c>
      <x:c r="Z167" s="2" t="n">
        <x:f>SUBTOTAL(103,A167)</x:f>
        <x:v>1</x:v>
      </x:c>
      <x:c r="AA167" s="2" t="str">
        <x:f>IF(K167&lt;&gt;"미종결 표시","대상 아님",IF(N167="","신청일 확인",IF(NOT(ISNUMBER('종합 현황'!$H$5)),"관찰기준 확인",IF('종합 현황'!$H$5&lt;1,"관찰기준 확인",IF(N167&gt;'종합 현황'!$H$5,"내부 관찰 대상","내부 관찰일 이하")))))</x:f>
        <x:v>내부 관찰 대상</x:v>
      </x:c>
      <x:c r="AB167" s="2"/>
    </x:row>
    <x:row r="168" ht="42" customHeight="1">
      <x:c r="A168" s="2" t="str">
        <x:v>6167bcfb8f65a43429886bef</x:v>
      </x:c>
      <x:c r="B168" s="2" t="str">
        <x:v>사업 평가</x:v>
      </x:c>
      <x:c r="C168" s="2" t="str">
        <x:v>국내</x:v>
      </x:c>
      <x:c r="D168" s="7" t="str">
        <x:v>휴켐스 질산공장 N2O 감축사업(휴켐스 주식회사의 질산 공장 세곡에서 tail gas에 포한된 아산화질소를 촉매를 사용하여 제거하는 프로젝트)</x:v>
      </x:c>
      <x:c r="E168" s="2" t="str">
        <x:v>29</x:v>
      </x:c>
      <x:c r="F168" s="2" t="str">
        <x:v>2016-05-23</x:v>
      </x:c>
      <x:c r="G168" s="2" t="str">
        <x:v>2016</x:v>
      </x:c>
      <x:c r="H168" s="2" t="str">
        <x:v>05</x:v>
      </x:c>
      <x:c r="I168" s="2" t="str">
        <x:v>승인</x:v>
      </x:c>
      <x:c r="J168" s="2" t="str">
        <x:v>심의승인</x:v>
      </x:c>
      <x:c r="K168" s="2" t="str">
        <x:f>IF(OR(J168="심의승인",J168="반려",J168="반려완료",J168="심의완료"),"종결 표시",IF(OR(J168="기후부협의",J168="문서재제출요청",J168="보류",J168="보완요청",J168="보완완료",J168="평가중",J168="반려요청",J168="평가필요",LEFT(J168,5)="보완요청("),"미종결 표시","상태 확인 필요"))</x:f>
        <x:v>종결 표시</x:v>
      </x:c>
      <x:c r="L168" s="2"/>
      <x:c r="M168" s="2"/>
      <x:c r="N168" s="8" t="n">
        <x:f>DATE(2026,10,15)-DATE(2016,5,23)</x:f>
        <x:v>3797</x:v>
      </x:c>
      <x:c r="O168" s="2"/>
      <x:c r="P168" s="2"/>
      <x:c r="Q168" s="2" t="str">
        <x:v>산업전환_외부사업관리Tool_260707_이너젠 수정_LJY_261013.xlsx</x:v>
      </x:c>
      <x:c r="R168" s="2" t="str">
        <x:v>국내평가</x:v>
      </x:c>
      <x:c r="S168" s="8" t="n">
        <x:v>71</x:v>
      </x:c>
      <x:c r="T168" s="2"/>
      <x:c r="U168" s="2" t="str"/>
      <x:c r="V168" s="2" t="str">
        <x:v>2017-03-20</x:v>
      </x:c>
      <x:c r="W168" s="2" t="str">
        <x:v>담당기관 확인</x:v>
      </x:c>
      <x:c r="X168" s="2" t="str">
        <x:v>원본·배정 기록 확인</x:v>
      </x:c>
      <x:c r="Y168" s="2" t="str">
        <x:v>ad210cd9ec132cfd447541c8984dc53d30aff0f4fb2dc92d254d49275cc55976</x:v>
      </x:c>
      <x:c r="Z168" s="2" t="n">
        <x:f>SUBTOTAL(103,A168)</x:f>
        <x:v>1</x:v>
      </x:c>
      <x:c r="AA168" s="2" t="str">
        <x:f>IF(K168&lt;&gt;"미종결 표시","대상 아님",IF(N168="","신청일 확인",IF(NOT(ISNUMBER('종합 현황'!$H$5)),"관찰기준 확인",IF('종합 현황'!$H$5&lt;1,"관찰기준 확인",IF(N168&gt;'종합 현황'!$H$5,"내부 관찰 대상","내부 관찰일 이하")))))</x:f>
        <x:v>대상 아님</x:v>
      </x:c>
      <x:c r="AB168" s="2"/>
    </x:row>
    <x:row r="169" ht="42" customHeight="1">
      <x:c r="A169" s="2" t="str">
        <x:v>ce0b30c9535efdd9c9d63b87</x:v>
      </x:c>
      <x:c r="B169" s="2" t="str">
        <x:v>사업 평가</x:v>
      </x:c>
      <x:c r="C169" s="2" t="str">
        <x:v>국내</x:v>
      </x:c>
      <x:c r="D169" s="7" t="str">
        <x:v>도시가스 연료전환을 통한 정책감축사업</x:v>
      </x:c>
      <x:c r="E169" s="2" t="str">
        <x:v>30</x:v>
      </x:c>
      <x:c r="F169" s="2" t="str">
        <x:v>2016-06-24</x:v>
      </x:c>
      <x:c r="G169" s="2" t="str">
        <x:v>2016</x:v>
      </x:c>
      <x:c r="H169" s="2" t="str">
        <x:v>06</x:v>
      </x:c>
      <x:c r="I169" s="2" t="str">
        <x:v>반려</x:v>
      </x:c>
      <x:c r="J169" s="2" t="str">
        <x:v>반려</x:v>
      </x:c>
      <x:c r="K169" s="2" t="str">
        <x:f>IF(OR(J169="심의승인",J169="반려",J169="반려완료",J169="심의완료"),"종결 표시",IF(OR(J169="기후부협의",J169="문서재제출요청",J169="보류",J169="보완요청",J169="보완완료",J169="평가중",J169="반려요청",J169="평가필요",LEFT(J169,5)="보완요청("),"미종결 표시","상태 확인 필요"))</x:f>
        <x:v>종결 표시</x:v>
      </x:c>
      <x:c r="L169" s="2"/>
      <x:c r="M169" s="2"/>
      <x:c r="N169" s="8" t="n">
        <x:f>DATE(2026,10,15)-DATE(2016,6,24)</x:f>
        <x:v>3765</x:v>
      </x:c>
      <x:c r="O169" s="2"/>
      <x:c r="P169" s="2"/>
      <x:c r="Q169" s="2" t="str">
        <x:v>산업전환_외부사업관리Tool_260707_이너젠 수정_LJY_261013.xlsx</x:v>
      </x:c>
      <x:c r="R169" s="2" t="str">
        <x:v>국내평가</x:v>
      </x:c>
      <x:c r="S169" s="8" t="n">
        <x:v>72</x:v>
      </x:c>
      <x:c r="T169" s="2"/>
      <x:c r="U169" s="2" t="str"/>
      <x:c r="V169" s="2" t="str">
        <x:v>2017-07-20</x:v>
      </x:c>
      <x:c r="W169" s="2" t="str">
        <x:v>담당기관 확인</x:v>
      </x:c>
      <x:c r="X169" s="2" t="str">
        <x:v>원본·배정 기록 확인</x:v>
      </x:c>
      <x:c r="Y169" s="2" t="str">
        <x:v>ad210cd9ec132cfd447541c8984dc53d30aff0f4fb2dc92d254d49275cc55976</x:v>
      </x:c>
      <x:c r="Z169" s="2" t="n">
        <x:f>SUBTOTAL(103,A169)</x:f>
        <x:v>1</x:v>
      </x:c>
      <x:c r="AA169" s="2" t="str">
        <x:f>IF(K169&lt;&gt;"미종결 표시","대상 아님",IF(N169="","신청일 확인",IF(NOT(ISNUMBER('종합 현황'!$H$5)),"관찰기준 확인",IF('종합 현황'!$H$5&lt;1,"관찰기준 확인",IF(N169&gt;'종합 현황'!$H$5,"내부 관찰 대상","내부 관찰일 이하")))))</x:f>
        <x:v>대상 아님</x:v>
      </x:c>
      <x:c r="AB169" s="2"/>
    </x:row>
    <x:row r="170" ht="42" customHeight="1">
      <x:c r="A170" s="2" t="str">
        <x:v>bf8800a40e1cb87f5a71495c</x:v>
      </x:c>
      <x:c r="B170" s="2" t="str">
        <x:v>사업 평가</x:v>
      </x:c>
      <x:c r="C170" s="2" t="str">
        <x:v>국내</x:v>
      </x:c>
      <x:c r="D170" s="7" t="str">
        <x:v>카프로 N2O 저감 사업</x:v>
      </x:c>
      <x:c r="E170" s="2" t="str">
        <x:v>31</x:v>
      </x:c>
      <x:c r="F170" s="2" t="str">
        <x:v>2016-05-25</x:v>
      </x:c>
      <x:c r="G170" s="2" t="str">
        <x:v>2016</x:v>
      </x:c>
      <x:c r="H170" s="2" t="str">
        <x:v>05</x:v>
      </x:c>
      <x:c r="I170" s="2" t="str">
        <x:v>승인</x:v>
      </x:c>
      <x:c r="J170" s="2" t="str">
        <x:v>심의승인</x:v>
      </x:c>
      <x:c r="K170" s="2" t="str">
        <x:f>IF(OR(J170="심의승인",J170="반려",J170="반려완료",J170="심의완료"),"종결 표시",IF(OR(J170="기후부협의",J170="문서재제출요청",J170="보류",J170="보완요청",J170="보완완료",J170="평가중",J170="반려요청",J170="평가필요",LEFT(J170,5)="보완요청("),"미종결 표시","상태 확인 필요"))</x:f>
        <x:v>종결 표시</x:v>
      </x:c>
      <x:c r="L170" s="2"/>
      <x:c r="M170" s="2"/>
      <x:c r="N170" s="8" t="n">
        <x:f>DATE(2026,10,15)-DATE(2016,5,25)</x:f>
        <x:v>3795</x:v>
      </x:c>
      <x:c r="O170" s="2"/>
      <x:c r="P170" s="2"/>
      <x:c r="Q170" s="2" t="str">
        <x:v>산업전환_외부사업관리Tool_260707_이너젠 수정_LJY_261013.xlsx</x:v>
      </x:c>
      <x:c r="R170" s="2" t="str">
        <x:v>국내평가</x:v>
      </x:c>
      <x:c r="S170" s="8" t="n">
        <x:v>73</x:v>
      </x:c>
      <x:c r="T170" s="2"/>
      <x:c r="U170" s="2" t="str"/>
      <x:c r="V170" s="2" t="str">
        <x:v>2017-03-20</x:v>
      </x:c>
      <x:c r="W170" s="2" t="str">
        <x:v>담당기관 확인</x:v>
      </x:c>
      <x:c r="X170" s="2" t="str">
        <x:v>원본·배정 기록 확인</x:v>
      </x:c>
      <x:c r="Y170" s="2" t="str">
        <x:v>ad210cd9ec132cfd447541c8984dc53d30aff0f4fb2dc92d254d49275cc55976</x:v>
      </x:c>
      <x:c r="Z170" s="2" t="n">
        <x:f>SUBTOTAL(103,A170)</x:f>
        <x:v>1</x:v>
      </x:c>
      <x:c r="AA170" s="2" t="str">
        <x:f>IF(K170&lt;&gt;"미종결 표시","대상 아님",IF(N170="","신청일 확인",IF(NOT(ISNUMBER('종합 현황'!$H$5)),"관찰기준 확인",IF('종합 현황'!$H$5&lt;1,"관찰기준 확인",IF(N170&gt;'종합 현황'!$H$5,"내부 관찰 대상","내부 관찰일 이하")))))</x:f>
        <x:v>대상 아님</x:v>
      </x:c>
      <x:c r="AB170" s="2"/>
    </x:row>
    <x:row r="171" ht="42" customHeight="1">
      <x:c r="A171" s="2" t="str">
        <x:v>df74432944fc140193cedfbc</x:v>
      </x:c>
      <x:c r="B171" s="2" t="str">
        <x:v>사업 평가</x:v>
      </x:c>
      <x:c r="C171" s="2" t="str">
        <x:v>국내</x:v>
      </x:c>
      <x:c r="D171" s="7" t="str">
        <x:v>동물성유지제조공정보일러연료전환사업</x:v>
      </x:c>
      <x:c r="E171" s="2" t="str">
        <x:v>32</x:v>
      </x:c>
      <x:c r="F171" s="2" t="str">
        <x:v>2016-08-03</x:v>
      </x:c>
      <x:c r="G171" s="2" t="str">
        <x:v>2016</x:v>
      </x:c>
      <x:c r="H171" s="2" t="str">
        <x:v>08</x:v>
      </x:c>
      <x:c r="I171" s="2" t="str">
        <x:v>반려</x:v>
      </x:c>
      <x:c r="J171" s="2" t="str">
        <x:v>반려</x:v>
      </x:c>
      <x:c r="K171" s="2" t="str">
        <x:f>IF(OR(J171="심의승인",J171="반려",J171="반려완료",J171="심의완료"),"종결 표시",IF(OR(J171="기후부협의",J171="문서재제출요청",J171="보류",J171="보완요청",J171="보완완료",J171="평가중",J171="반려요청",J171="평가필요",LEFT(J171,5)="보완요청("),"미종결 표시","상태 확인 필요"))</x:f>
        <x:v>종결 표시</x:v>
      </x:c>
      <x:c r="L171" s="2"/>
      <x:c r="M171" s="2"/>
      <x:c r="N171" s="8" t="n">
        <x:f>DATE(2026,10,15)-DATE(2016,8,3)</x:f>
        <x:v>3725</x:v>
      </x:c>
      <x:c r="O171" s="2"/>
      <x:c r="P171" s="2"/>
      <x:c r="Q171" s="2" t="str">
        <x:v>산업전환_외부사업관리Tool_260707_이너젠 수정_LJY_261013.xlsx</x:v>
      </x:c>
      <x:c r="R171" s="2" t="str">
        <x:v>국내평가</x:v>
      </x:c>
      <x:c r="S171" s="8" t="n">
        <x:v>74</x:v>
      </x:c>
      <x:c r="T171" s="2"/>
      <x:c r="U171" s="2" t="str"/>
      <x:c r="V171" s="2" t="str">
        <x:v>2017-12-14</x:v>
      </x:c>
      <x:c r="W171" s="2" t="str">
        <x:v>담당기관 확인</x:v>
      </x:c>
      <x:c r="X171" s="2" t="str">
        <x:v>원본·배정 기록 확인</x:v>
      </x:c>
      <x:c r="Y171" s="2" t="str">
        <x:v>ad210cd9ec132cfd447541c8984dc53d30aff0f4fb2dc92d254d49275cc55976</x:v>
      </x:c>
      <x:c r="Z171" s="2" t="n">
        <x:f>SUBTOTAL(103,A171)</x:f>
        <x:v>1</x:v>
      </x:c>
      <x:c r="AA171" s="2" t="str">
        <x:f>IF(K171&lt;&gt;"미종결 표시","대상 아님",IF(N171="","신청일 확인",IF(NOT(ISNUMBER('종합 현황'!$H$5)),"관찰기준 확인",IF('종합 현황'!$H$5&lt;1,"관찰기준 확인",IF(N171&gt;'종합 현황'!$H$5,"내부 관찰 대상","내부 관찰일 이하")))))</x:f>
        <x:v>대상 아님</x:v>
      </x:c>
      <x:c r="AB171" s="2"/>
    </x:row>
    <x:row r="172" ht="42" customHeight="1">
      <x:c r="A172" s="2" t="str">
        <x:v>3bf12d45b171e462eff5619b</x:v>
      </x:c>
      <x:c r="B172" s="2" t="str">
        <x:v>사업 평가</x:v>
      </x:c>
      <x:c r="C172" s="2" t="str">
        <x:v>국내</x:v>
      </x:c>
      <x:c r="D172" s="7" t="str">
        <x:v>삼성전자 지원을 통한 오산시 LED 보안등 교체사업</x:v>
      </x:c>
      <x:c r="E172" s="2" t="str">
        <x:v>33</x:v>
      </x:c>
      <x:c r="F172" s="2" t="str">
        <x:v>2016-11-08</x:v>
      </x:c>
      <x:c r="G172" s="2" t="str">
        <x:v>2016</x:v>
      </x:c>
      <x:c r="H172" s="2" t="str">
        <x:v>11</x:v>
      </x:c>
      <x:c r="I172" s="2" t="str">
        <x:v>반려</x:v>
      </x:c>
      <x:c r="J172" s="2" t="str">
        <x:v>반려</x:v>
      </x:c>
      <x:c r="K172" s="2" t="str">
        <x:f>IF(OR(J172="심의승인",J172="반려",J172="반려완료",J172="심의완료"),"종결 표시",IF(OR(J172="기후부협의",J172="문서재제출요청",J172="보류",J172="보완요청",J172="보완완료",J172="평가중",J172="반려요청",J172="평가필요",LEFT(J172,5)="보완요청("),"미종결 표시","상태 확인 필요"))</x:f>
        <x:v>종결 표시</x:v>
      </x:c>
      <x:c r="L172" s="2"/>
      <x:c r="M172" s="2"/>
      <x:c r="N172" s="8" t="n">
        <x:f>DATE(2026,10,15)-DATE(2016,11,8)</x:f>
        <x:v>3628</x:v>
      </x:c>
      <x:c r="O172" s="2"/>
      <x:c r="P172" s="2"/>
      <x:c r="Q172" s="2" t="str">
        <x:v>산업전환_외부사업관리Tool_260707_이너젠 수정_LJY_261013.xlsx</x:v>
      </x:c>
      <x:c r="R172" s="2" t="str">
        <x:v>국내평가</x:v>
      </x:c>
      <x:c r="S172" s="8" t="n">
        <x:v>75</x:v>
      </x:c>
      <x:c r="T172" s="2" t="str">
        <x:v>2021년 처리</x:v>
      </x:c>
      <x:c r="U172" s="2" t="str">
        <x:v>2021 배정: 2021년 처리</x:v>
      </x:c>
      <x:c r="V172" s="2" t="str">
        <x:v>2021-11-03</x:v>
      </x:c>
      <x:c r="W172" s="2" t="str">
        <x:v>담당기관 확인</x:v>
      </x:c>
      <x:c r="X172" s="2" t="str">
        <x:v>원본·배정 기록 확인</x:v>
      </x:c>
      <x:c r="Y172" s="2" t="str">
        <x:v>ad210cd9ec132cfd447541c8984dc53d30aff0f4fb2dc92d254d49275cc55976</x:v>
      </x:c>
      <x:c r="Z172" s="2" t="n">
        <x:f>SUBTOTAL(103,A172)</x:f>
        <x:v>1</x:v>
      </x:c>
      <x:c r="AA172" s="2" t="str">
        <x:f>IF(K172&lt;&gt;"미종결 표시","대상 아님",IF(N172="","신청일 확인",IF(NOT(ISNUMBER('종합 현황'!$H$5)),"관찰기준 확인",IF('종합 현황'!$H$5&lt;1,"관찰기준 확인",IF(N172&gt;'종합 현황'!$H$5,"내부 관찰 대상","내부 관찰일 이하")))))</x:f>
        <x:v>대상 아님</x:v>
      </x:c>
      <x:c r="AB172" s="2"/>
    </x:row>
    <x:row r="173" ht="42" customHeight="1">
      <x:c r="A173" s="2" t="str">
        <x:v>4cd562c1efeb21dad612b08d</x:v>
      </x:c>
      <x:c r="B173" s="2" t="str">
        <x:v>사업 평가</x:v>
      </x:c>
      <x:c r="C173" s="2" t="str">
        <x:v>국내</x:v>
      </x:c>
      <x:c r="D173" s="7" t="str">
        <x:v>(주)한화 울산소재 질산공장 N2O감축 프로젝트</x:v>
      </x:c>
      <x:c r="E173" s="2" t="str">
        <x:v>34</x:v>
      </x:c>
      <x:c r="F173" s="2" t="str">
        <x:v>2016-08-05</x:v>
      </x:c>
      <x:c r="G173" s="2" t="str">
        <x:v>2016</x:v>
      </x:c>
      <x:c r="H173" s="2" t="str">
        <x:v>08</x:v>
      </x:c>
      <x:c r="I173" s="2" t="str">
        <x:v>승인</x:v>
      </x:c>
      <x:c r="J173" s="2" t="str">
        <x:v>심의승인</x:v>
      </x:c>
      <x:c r="K173" s="2" t="str">
        <x:f>IF(OR(J173="심의승인",J173="반려",J173="반려완료",J173="심의완료"),"종결 표시",IF(OR(J173="기후부협의",J173="문서재제출요청",J173="보류",J173="보완요청",J173="보완완료",J173="평가중",J173="반려요청",J173="평가필요",LEFT(J173,5)="보완요청("),"미종결 표시","상태 확인 필요"))</x:f>
        <x:v>종결 표시</x:v>
      </x:c>
      <x:c r="L173" s="2"/>
      <x:c r="M173" s="2"/>
      <x:c r="N173" s="8" t="n">
        <x:f>DATE(2026,10,15)-DATE(2016,8,5)</x:f>
        <x:v>3723</x:v>
      </x:c>
      <x:c r="O173" s="2"/>
      <x:c r="P173" s="2"/>
      <x:c r="Q173" s="2" t="str">
        <x:v>산업전환_외부사업관리Tool_260707_이너젠 수정_LJY_261013.xlsx</x:v>
      </x:c>
      <x:c r="R173" s="2" t="str">
        <x:v>국내평가</x:v>
      </x:c>
      <x:c r="S173" s="8" t="n">
        <x:v>76</x:v>
      </x:c>
      <x:c r="T173" s="2"/>
      <x:c r="U173" s="2" t="str"/>
      <x:c r="V173" s="2" t="str">
        <x:v>2017-03-20</x:v>
      </x:c>
      <x:c r="W173" s="2" t="str">
        <x:v>담당기관 확인</x:v>
      </x:c>
      <x:c r="X173" s="2" t="str">
        <x:v>원본·배정 기록 확인</x:v>
      </x:c>
      <x:c r="Y173" s="2" t="str">
        <x:v>ad210cd9ec132cfd447541c8984dc53d30aff0f4fb2dc92d254d49275cc55976</x:v>
      </x:c>
      <x:c r="Z173" s="2" t="n">
        <x:f>SUBTOTAL(103,A173)</x:f>
        <x:v>1</x:v>
      </x:c>
      <x:c r="AA173" s="2" t="str">
        <x:f>IF(K173&lt;&gt;"미종결 표시","대상 아님",IF(N173="","신청일 확인",IF(NOT(ISNUMBER('종합 현황'!$H$5)),"관찰기준 확인",IF('종합 현황'!$H$5&lt;1,"관찰기준 확인",IF(N173&gt;'종합 현황'!$H$5,"내부 관찰 대상","내부 관찰일 이하")))))</x:f>
        <x:v>대상 아님</x:v>
      </x:c>
      <x:c r="AB173" s="2"/>
    </x:row>
    <x:row r="174" ht="42" customHeight="1">
      <x:c r="A174" s="2" t="str">
        <x:v>2a9f7af80164218e515f54be</x:v>
      </x:c>
      <x:c r="B174" s="2" t="str">
        <x:v>사업 평가</x:v>
      </x:c>
      <x:c r="C174" s="2" t="str">
        <x:v>국내</x:v>
      </x:c>
      <x:c r="D174" s="7" t="str">
        <x:v>4.85MW 한국농어촌공사 태양광발전 번들링 사업</x:v>
      </x:c>
      <x:c r="E174" s="2" t="str">
        <x:v>35</x:v>
      </x:c>
      <x:c r="F174" s="2" t="str">
        <x:v>2016-09-01</x:v>
      </x:c>
      <x:c r="G174" s="2" t="str">
        <x:v>2016</x:v>
      </x:c>
      <x:c r="H174" s="2" t="str">
        <x:v>09</x:v>
      </x:c>
      <x:c r="I174" s="2" t="str">
        <x:v>승인</x:v>
      </x:c>
      <x:c r="J174" s="2" t="str">
        <x:v>심의승인</x:v>
      </x:c>
      <x:c r="K174" s="2" t="str">
        <x:f>IF(OR(J174="심의승인",J174="반려",J174="반려완료",J174="심의완료"),"종결 표시",IF(OR(J174="기후부협의",J174="문서재제출요청",J174="보류",J174="보완요청",J174="보완완료",J174="평가중",J174="반려요청",J174="평가필요",LEFT(J174,5)="보완요청("),"미종결 표시","상태 확인 필요"))</x:f>
        <x:v>종결 표시</x:v>
      </x:c>
      <x:c r="L174" s="2"/>
      <x:c r="M174" s="2"/>
      <x:c r="N174" s="8" t="n">
        <x:f>DATE(2026,10,15)-DATE(2016,9,1)</x:f>
        <x:v>3696</x:v>
      </x:c>
      <x:c r="O174" s="2"/>
      <x:c r="P174" s="2"/>
      <x:c r="Q174" s="2" t="str">
        <x:v>산업전환_외부사업관리Tool_260707_이너젠 수정_LJY_261013.xlsx</x:v>
      </x:c>
      <x:c r="R174" s="2" t="str">
        <x:v>국내평가</x:v>
      </x:c>
      <x:c r="S174" s="8" t="n">
        <x:v>77</x:v>
      </x:c>
      <x:c r="T174" s="2"/>
      <x:c r="U174" s="2" t="str"/>
      <x:c r="V174" s="2" t="str">
        <x:v>2017-03-20</x:v>
      </x:c>
      <x:c r="W174" s="2" t="str">
        <x:v>담당기관 확인</x:v>
      </x:c>
      <x:c r="X174" s="2" t="str">
        <x:v>원본·배정 기록 확인</x:v>
      </x:c>
      <x:c r="Y174" s="2" t="str">
        <x:v>ad210cd9ec132cfd447541c8984dc53d30aff0f4fb2dc92d254d49275cc55976</x:v>
      </x:c>
      <x:c r="Z174" s="2" t="n">
        <x:f>SUBTOTAL(103,A174)</x:f>
        <x:v>1</x:v>
      </x:c>
      <x:c r="AA174" s="2" t="str">
        <x:f>IF(K174&lt;&gt;"미종결 표시","대상 아님",IF(N174="","신청일 확인",IF(NOT(ISNUMBER('종합 현황'!$H$5)),"관찰기준 확인",IF('종합 현황'!$H$5&lt;1,"관찰기준 확인",IF(N174&gt;'종합 현황'!$H$5,"내부 관찰 대상","내부 관찰일 이하")))))</x:f>
        <x:v>대상 아님</x:v>
      </x:c>
      <x:c r="AB174" s="2"/>
    </x:row>
    <x:row r="175" ht="42" customHeight="1">
      <x:c r="A175" s="2" t="str">
        <x:v>e577fcbb7b7d6ee370674a18</x:v>
      </x:c>
      <x:c r="B175" s="2" t="str">
        <x:v>사업 평가</x:v>
      </x:c>
      <x:c r="C175" s="2" t="str">
        <x:v>국내</x:v>
      </x:c>
      <x:c r="D175" s="7" t="str">
        <x:v>황산공정 미활용 폐열 회수 및 공급을 통한 화석연료 사용 절감 및 온실가스 배출 감축사업</x:v>
      </x:c>
      <x:c r="E175" s="2" t="str">
        <x:v>36</x:v>
      </x:c>
      <x:c r="F175" s="2" t="str">
        <x:v>2020-02-27</x:v>
      </x:c>
      <x:c r="G175" s="2" t="str">
        <x:v>2020</x:v>
      </x:c>
      <x:c r="H175" s="2" t="str">
        <x:v>02</x:v>
      </x:c>
      <x:c r="I175" s="2" t="str">
        <x:v>인증유효기간 갱신</x:v>
      </x:c>
      <x:c r="J175" s="2" t="str">
        <x:v>심의승인</x:v>
      </x:c>
      <x:c r="K175" s="2" t="str">
        <x:f>IF(OR(J175="심의승인",J175="반려",J175="반려완료",J175="심의완료"),"종결 표시",IF(OR(J175="기후부협의",J175="문서재제출요청",J175="보류",J175="보완요청",J175="보완완료",J175="평가중",J175="반려요청",J175="평가필요",LEFT(J175,5)="보완요청("),"미종결 표시","상태 확인 필요"))</x:f>
        <x:v>종결 표시</x:v>
      </x:c>
      <x:c r="L175" s="2"/>
      <x:c r="M175" s="2"/>
      <x:c r="N175" s="8" t="n">
        <x:f>DATE(2026,10,15)-DATE(2020,2,27)</x:f>
        <x:v>2422</x:v>
      </x:c>
      <x:c r="O175" s="2"/>
      <x:c r="P175" s="2"/>
      <x:c r="Q175" s="2" t="str">
        <x:v>산업전환_외부사업관리Tool_260707_이너젠 수정_LJY_261013.xlsx</x:v>
      </x:c>
      <x:c r="R175" s="2" t="str">
        <x:v>국내평가</x:v>
      </x:c>
      <x:c r="S175" s="8" t="n">
        <x:v>78</x:v>
      </x:c>
      <x:c r="T175" s="2" t="str">
        <x:v>2021년 처리</x:v>
      </x:c>
      <x:c r="U175" s="2" t="str">
        <x:v>2021 배정: 2021년 처리</x:v>
      </x:c>
      <x:c r="V175" s="2" t="str">
        <x:v>2021-06-30</x:v>
      </x:c>
      <x:c r="W175" s="2" t="str">
        <x:v>담당기관 확인</x:v>
      </x:c>
      <x:c r="X175" s="2" t="str">
        <x:v>원본·배정 기록 확인</x:v>
      </x:c>
      <x:c r="Y175" s="2" t="str">
        <x:v>ad210cd9ec132cfd447541c8984dc53d30aff0f4fb2dc92d254d49275cc55976</x:v>
      </x:c>
      <x:c r="Z175" s="2" t="n">
        <x:f>SUBTOTAL(103,A175)</x:f>
        <x:v>1</x:v>
      </x:c>
      <x:c r="AA175" s="2" t="str">
        <x:f>IF(K175&lt;&gt;"미종결 표시","대상 아님",IF(N175="","신청일 확인",IF(NOT(ISNUMBER('종합 현황'!$H$5)),"관찰기준 확인",IF('종합 현황'!$H$5&lt;1,"관찰기준 확인",IF(N175&gt;'종합 현황'!$H$5,"내부 관찰 대상","내부 관찰일 이하")))))</x:f>
        <x:v>대상 아님</x:v>
      </x:c>
      <x:c r="AB175" s="2"/>
    </x:row>
    <x:row r="176" ht="42" customHeight="1">
      <x:c r="A176" s="2" t="str">
        <x:v>70039a051980edbd1af2d70a</x:v>
      </x:c>
      <x:c r="B176" s="2" t="str">
        <x:v>사업 평가</x:v>
      </x:c>
      <x:c r="C176" s="2" t="str">
        <x:v>국내</x:v>
      </x:c>
      <x:c r="D176" s="7" t="str">
        <x:v>휴켐스 질산공장 N2O 감축사업(휴켐스 주식회사의 질산 공장 세 곳에서 tail gas에 포함된 아산화질소를 촉매를 사용하여 제거하는 프로젝트)</x:v>
      </x:c>
      <x:c r="E176" s="2" t="str">
        <x:v>37</x:v>
      </x:c>
      <x:c r="F176" s="2" t="str">
        <x:v>2020-07-08</x:v>
      </x:c>
      <x:c r="G176" s="2" t="str">
        <x:v>2020</x:v>
      </x:c>
      <x:c r="H176" s="2" t="str">
        <x:v>07</x:v>
      </x:c>
      <x:c r="I176" s="2" t="str">
        <x:v>인증유효기간 갱신</x:v>
      </x:c>
      <x:c r="J176" s="2" t="str">
        <x:v>심의승인</x:v>
      </x:c>
      <x:c r="K176" s="2" t="str">
        <x:f>IF(OR(J176="심의승인",J176="반려",J176="반려완료",J176="심의완료"),"종결 표시",IF(OR(J176="기후부협의",J176="문서재제출요청",J176="보류",J176="보완요청",J176="보완완료",J176="평가중",J176="반려요청",J176="평가필요",LEFT(J176,5)="보완요청("),"미종결 표시","상태 확인 필요"))</x:f>
        <x:v>종결 표시</x:v>
      </x:c>
      <x:c r="L176" s="2" t="str">
        <x:v>에코시안_박세은</x:v>
      </x:c>
      <x:c r="M176" s="2"/>
      <x:c r="N176" s="8" t="n">
        <x:f>DATE(2026,10,15)-DATE(2020,7,8)</x:f>
        <x:v>2290</x:v>
      </x:c>
      <x:c r="O176" s="2" t="str">
        <x:v>생략</x:v>
      </x:c>
      <x:c r="P176" s="2" t="str">
        <x:v>57차 인증위 승인</x:v>
      </x:c>
      <x:c r="Q176" s="2" t="str">
        <x:v>산업전환_외부사업관리Tool_260707_이너젠 수정_LJY_261013.xlsx</x:v>
      </x:c>
      <x:c r="R176" s="2" t="str">
        <x:v>국내평가</x:v>
      </x:c>
      <x:c r="S176" s="8" t="n">
        <x:v>79</x:v>
      </x:c>
      <x:c r="T176" s="2" t="str">
        <x:v>(5/16),(10/27)</x:v>
      </x:c>
      <x:c r="U176" s="2" t="str">
        <x:v>2023 배정: (5/16),(10/27) / 2024 배정: (1/12)</x:v>
      </x:c>
      <x:c r="V176" s="2" t="str">
        <x:v>2024-06-10</x:v>
      </x:c>
      <x:c r="W176" s="2" t="str"/>
      <x:c r="X176" s="2" t="str">
        <x:v>종결 근거 보관</x:v>
      </x:c>
      <x:c r="Y176" s="2" t="str">
        <x:v>ad210cd9ec132cfd447541c8984dc53d30aff0f4fb2dc92d254d49275cc55976</x:v>
      </x:c>
      <x:c r="Z176" s="2" t="n">
        <x:f>SUBTOTAL(103,A176)</x:f>
        <x:v>1</x:v>
      </x:c>
      <x:c r="AA176" s="2" t="str">
        <x:f>IF(K176&lt;&gt;"미종결 표시","대상 아님",IF(N176="","신청일 확인",IF(NOT(ISNUMBER('종합 현황'!$H$5)),"관찰기준 확인",IF('종합 현황'!$H$5&lt;1,"관찰기준 확인",IF(N176&gt;'종합 현황'!$H$5,"내부 관찰 대상","내부 관찰일 이하")))))</x:f>
        <x:v>대상 아님</x:v>
      </x:c>
      <x:c r="AB176" s="2"/>
    </x:row>
    <x:row r="177" ht="42" customHeight="1">
      <x:c r="A177" s="2" t="str">
        <x:v>b37ccf2f148725a4d54afb53</x:v>
      </x:c>
      <x:c r="B177" s="2" t="str">
        <x:v>사업 평가</x:v>
      </x:c>
      <x:c r="C177" s="2" t="str">
        <x:v>국내</x:v>
      </x:c>
      <x:c r="D177" s="7" t="str">
        <x:v>한국토지주택공사 임대아파트 보일러의 연료전환을 통한 온실가스 배출 정책감축사업</x:v>
      </x:c>
      <x:c r="E177" s="2" t="str">
        <x:v>38</x:v>
      </x:c>
      <x:c r="F177" s="2" t="str">
        <x:v>2016-11-16</x:v>
      </x:c>
      <x:c r="G177" s="2" t="str">
        <x:v>2016</x:v>
      </x:c>
      <x:c r="H177" s="2" t="str">
        <x:v>11</x:v>
      </x:c>
      <x:c r="I177" s="2" t="str">
        <x:v>사업변경 신청</x:v>
      </x:c>
      <x:c r="J177" s="2" t="str">
        <x:v>반려</x:v>
      </x:c>
      <x:c r="K177" s="2" t="str">
        <x:f>IF(OR(J177="심의승인",J177="반려",J177="반려완료",J177="심의완료"),"종결 표시",IF(OR(J177="기후부협의",J177="문서재제출요청",J177="보류",J177="보완요청",J177="보완완료",J177="평가중",J177="반려요청",J177="평가필요",LEFT(J177,5)="보완요청("),"미종결 표시","상태 확인 필요"))</x:f>
        <x:v>종결 표시</x:v>
      </x:c>
      <x:c r="L177" s="2" t="str">
        <x:v>에코시안_정인혜&gt;박세은</x:v>
      </x:c>
      <x:c r="M177" s="2"/>
      <x:c r="N177" s="8" t="n">
        <x:f>DATE(2026,10,15)-DATE(2016,11,16)</x:f>
        <x:v>3620</x:v>
      </x:c>
      <x:c r="O177" s="2"/>
      <x:c r="P177" s="2" t="str">
        <x:v>기 승인 사업이나 사업 변경 신청(갱신형에서 고정형으로 변경 신청-&gt;환경부 협의체 회의 결과 해당 사항으로는 사업계획 변경 신청 불가). 반려 공문 제출 완료</x:v>
      </x:c>
      <x:c r="Q177" s="2" t="str">
        <x:v>산업전환_외부사업관리Tool_260707_이너젠 수정_LJY_261013.xlsx</x:v>
      </x:c>
      <x:c r="R177" s="2" t="str">
        <x:v>국내평가</x:v>
      </x:c>
      <x:c r="S177" s="8" t="n">
        <x:v>80</x:v>
      </x:c>
      <x:c r="T177" s="2" t="str">
        <x:v>(10/19)</x:v>
      </x:c>
      <x:c r="U177" s="2" t="str">
        <x:v>2022 배정(신규): (10/19) / 2023 배정: 2023년 처리</x:v>
      </x:c>
      <x:c r="V177" s="2" t="str">
        <x:v>2023-07-03</x:v>
      </x:c>
      <x:c r="W177" s="2" t="str"/>
      <x:c r="X177" s="2" t="str">
        <x:v>종결 근거 보관</x:v>
      </x:c>
      <x:c r="Y177" s="2" t="str">
        <x:v>ad210cd9ec132cfd447541c8984dc53d30aff0f4fb2dc92d254d49275cc55976</x:v>
      </x:c>
      <x:c r="Z177" s="2" t="n">
        <x:f>SUBTOTAL(103,A177)</x:f>
        <x:v>1</x:v>
      </x:c>
      <x:c r="AA177" s="2" t="str">
        <x:f>IF(K177&lt;&gt;"미종결 표시","대상 아님",IF(N177="","신청일 확인",IF(NOT(ISNUMBER('종합 현황'!$H$5)),"관찰기준 확인",IF('종합 현황'!$H$5&lt;1,"관찰기준 확인",IF(N177&gt;'종합 현황'!$H$5,"내부 관찰 대상","내부 관찰일 이하")))))</x:f>
        <x:v>대상 아님</x:v>
      </x:c>
      <x:c r="AB177" s="2"/>
    </x:row>
    <x:row r="178" ht="42" customHeight="1">
      <x:c r="A178" s="2" t="str">
        <x:v>23afcc306a2c5bca7b9f4614</x:v>
      </x:c>
      <x:c r="B178" s="2" t="str">
        <x:v>사업 평가</x:v>
      </x:c>
      <x:c r="C178" s="2" t="str">
        <x:v>국내</x:v>
      </x:c>
      <x:c r="D178" s="7" t="str">
        <x:v>제2차 한국도로공사 LED 도로조명 설치를 통한 온실가스 배출 정책감축사업</x:v>
      </x:c>
      <x:c r="E178" s="2" t="str">
        <x:v>39</x:v>
      </x:c>
      <x:c r="F178" s="2" t="str">
        <x:v>2016-12-01</x:v>
      </x:c>
      <x:c r="G178" s="2" t="str">
        <x:v>2016</x:v>
      </x:c>
      <x:c r="H178" s="2" t="str">
        <x:v>12</x:v>
      </x:c>
      <x:c r="I178" s="2" t="str">
        <x:v>반려</x:v>
      </x:c>
      <x:c r="J178" s="2" t="str">
        <x:v>반려</x:v>
      </x:c>
      <x:c r="K178" s="2" t="str">
        <x:f>IF(OR(J178="심의승인",J178="반려",J178="반려완료",J178="심의완료"),"종결 표시",IF(OR(J178="기후부협의",J178="문서재제출요청",J178="보류",J178="보완요청",J178="보완완료",J178="평가중",J178="반려요청",J178="평가필요",LEFT(J178,5)="보완요청("),"미종결 표시","상태 확인 필요"))</x:f>
        <x:v>종결 표시</x:v>
      </x:c>
      <x:c r="L178" s="2"/>
      <x:c r="M178" s="2"/>
      <x:c r="N178" s="8" t="n">
        <x:f>DATE(2026,10,15)-DATE(2016,12,1)</x:f>
        <x:v>3605</x:v>
      </x:c>
      <x:c r="O178" s="2"/>
      <x:c r="P178" s="2"/>
      <x:c r="Q178" s="2" t="str">
        <x:v>산업전환_외부사업관리Tool_260707_이너젠 수정_LJY_261013.xlsx</x:v>
      </x:c>
      <x:c r="R178" s="2" t="str">
        <x:v>국내평가</x:v>
      </x:c>
      <x:c r="S178" s="8" t="n">
        <x:v>81</x:v>
      </x:c>
      <x:c r="T178" s="2" t="str">
        <x:v>2021년 처리</x:v>
      </x:c>
      <x:c r="U178" s="2" t="str">
        <x:v>2021 배정: 2021년 처리</x:v>
      </x:c>
      <x:c r="V178" s="2" t="str">
        <x:v>2021-07-01</x:v>
      </x:c>
      <x:c r="W178" s="2" t="str">
        <x:v>담당기관 확인</x:v>
      </x:c>
      <x:c r="X178" s="2" t="str">
        <x:v>원본·배정 기록 확인</x:v>
      </x:c>
      <x:c r="Y178" s="2" t="str">
        <x:v>ad210cd9ec132cfd447541c8984dc53d30aff0f4fb2dc92d254d49275cc55976</x:v>
      </x:c>
      <x:c r="Z178" s="2" t="n">
        <x:f>SUBTOTAL(103,A178)</x:f>
        <x:v>1</x:v>
      </x:c>
      <x:c r="AA178" s="2" t="str">
        <x:f>IF(K178&lt;&gt;"미종결 표시","대상 아님",IF(N178="","신청일 확인",IF(NOT(ISNUMBER('종합 현황'!$H$5)),"관찰기준 확인",IF('종합 현황'!$H$5&lt;1,"관찰기준 확인",IF(N178&gt;'종합 현황'!$H$5,"내부 관찰 대상","내부 관찰일 이하")))))</x:f>
        <x:v>대상 아님</x:v>
      </x:c>
      <x:c r="AB178" s="2"/>
    </x:row>
    <x:row r="179" ht="42" customHeight="1">
      <x:c r="A179" s="2" t="str">
        <x:v>4151c311aefc35c7e9c43d8c</x:v>
      </x:c>
      <x:c r="B179" s="2" t="str">
        <x:v>사업 평가</x:v>
      </x:c>
      <x:c r="C179" s="2" t="str">
        <x:v>국내</x:v>
      </x:c>
      <x:c r="D179" s="7" t="str">
        <x:v>재생에너지 소스 활용 열에너지 생산 기술 적용으로 화석연료 대체를 통한 온실가스 감축사업</x:v>
      </x:c>
      <x:c r="E179" s="2" t="str">
        <x:v>40</x:v>
      </x:c>
      <x:c r="F179" s="2" t="str">
        <x:v>2017-02-13</x:v>
      </x:c>
      <x:c r="G179" s="2" t="str">
        <x:v>2017</x:v>
      </x:c>
      <x:c r="H179" s="2" t="str">
        <x:v>02</x:v>
      </x:c>
      <x:c r="I179" s="2" t="str">
        <x:v>반려</x:v>
      </x:c>
      <x:c r="J179" s="2" t="str">
        <x:v>반려</x:v>
      </x:c>
      <x:c r="K179" s="2" t="str">
        <x:f>IF(OR(J179="심의승인",J179="반려",J179="반려완료",J179="심의완료"),"종결 표시",IF(OR(J179="기후부협의",J179="문서재제출요청",J179="보류",J179="보완요청",J179="보완완료",J179="평가중",J179="반려요청",J179="평가필요",LEFT(J179,5)="보완요청("),"미종결 표시","상태 확인 필요"))</x:f>
        <x:v>종결 표시</x:v>
      </x:c>
      <x:c r="L179" s="2"/>
      <x:c r="M179" s="2"/>
      <x:c r="N179" s="8" t="n">
        <x:f>DATE(2026,10,15)-DATE(2017,2,13)</x:f>
        <x:v>3531</x:v>
      </x:c>
      <x:c r="O179" s="2"/>
      <x:c r="P179" s="2"/>
      <x:c r="Q179" s="2" t="str">
        <x:v>산업전환_외부사업관리Tool_260707_이너젠 수정_LJY_261013.xlsx</x:v>
      </x:c>
      <x:c r="R179" s="2" t="str">
        <x:v>국내평가</x:v>
      </x:c>
      <x:c r="S179" s="8" t="n">
        <x:v>82</x:v>
      </x:c>
      <x:c r="T179" s="2" t="str">
        <x:v>2021년 처리</x:v>
      </x:c>
      <x:c r="U179" s="2" t="str">
        <x:v>2021 배정: 2021년 처리</x:v>
      </x:c>
      <x:c r="V179" s="2" t="str">
        <x:v>2021-08-12</x:v>
      </x:c>
      <x:c r="W179" s="2" t="str">
        <x:v>담당기관 확인</x:v>
      </x:c>
      <x:c r="X179" s="2" t="str">
        <x:v>원본·배정 기록 확인</x:v>
      </x:c>
      <x:c r="Y179" s="2" t="str">
        <x:v>ad210cd9ec132cfd447541c8984dc53d30aff0f4fb2dc92d254d49275cc55976</x:v>
      </x:c>
      <x:c r="Z179" s="2" t="n">
        <x:f>SUBTOTAL(103,A179)</x:f>
        <x:v>1</x:v>
      </x:c>
      <x:c r="AA179" s="2" t="str">
        <x:f>IF(K179&lt;&gt;"미종결 표시","대상 아님",IF(N179="","신청일 확인",IF(NOT(ISNUMBER('종합 현황'!$H$5)),"관찰기준 확인",IF('종합 현황'!$H$5&lt;1,"관찰기준 확인",IF(N179&gt;'종합 현황'!$H$5,"내부 관찰 대상","내부 관찰일 이하")))))</x:f>
        <x:v>대상 아님</x:v>
      </x:c>
      <x:c r="AB179" s="2"/>
    </x:row>
    <x:row r="180" ht="42" customHeight="1">
      <x:c r="A180" s="2" t="str">
        <x:v>cadb8fbed5ab8c5bbeb00695</x:v>
      </x:c>
      <x:c r="B180" s="2" t="str">
        <x:v>사업 평가</x:v>
      </x:c>
      <x:c r="C180" s="2" t="str">
        <x:v>국내</x:v>
      </x:c>
      <x:c r="D180" s="7" t="str">
        <x:v>청라에너지(주) 미활용 소각폐열 회수를 통한 화석연료 사용 절감 및 온실가스 배출 감축사업</x:v>
      </x:c>
      <x:c r="E180" s="2" t="str">
        <x:v>41</x:v>
      </x:c>
      <x:c r="F180" s="2" t="str">
        <x:v>2024-08-14</x:v>
      </x:c>
      <x:c r="G180" s="2" t="str">
        <x:v>2024</x:v>
      </x:c>
      <x:c r="H180" s="2" t="str">
        <x:v>08</x:v>
      </x:c>
      <x:c r="I180" s="2" t="str">
        <x:v>인증유효기간 갱신</x:v>
      </x:c>
      <x:c r="J180" s="2" t="str">
        <x:v>심의승인</x:v>
      </x:c>
      <x:c r="K180" s="2" t="str">
        <x:f>IF(OR(J180="심의승인",J180="반려",J180="반려완료",J180="심의완료"),"종결 표시",IF(OR(J180="기후부협의",J180="문서재제출요청",J180="보류",J180="보완요청",J180="보완완료",J180="평가중",J180="반려요청",J180="평가필요",LEFT(J180,5)="보완요청("),"미종결 표시","상태 확인 필요"))</x:f>
        <x:v>종결 표시</x:v>
      </x:c>
      <x:c r="L180" s="2" t="str">
        <x:v>KECM_이태준</x:v>
      </x:c>
      <x:c r="M180" s="2"/>
      <x:c r="N180" s="8" t="n">
        <x:f>DATE(2026,10,15)-DATE(2024,8,14)</x:f>
        <x:v>792</x:v>
      </x:c>
      <x:c r="O180" s="2" t="str">
        <x:v>생략</x:v>
      </x:c>
      <x:c r="P180" s="2" t="str">
        <x:v>25년 2분기 인증위</x:v>
      </x:c>
      <x:c r="Q180" s="2" t="str">
        <x:v>산업전환_외부사업관리Tool_260707_이너젠 수정_LJY_261013.xlsx</x:v>
      </x:c>
      <x:c r="R180" s="2" t="str">
        <x:v>국내평가</x:v>
      </x:c>
      <x:c r="S180" s="8" t="n">
        <x:v>83</x:v>
      </x:c>
      <x:c r="T180" s="2" t="str">
        <x:v>(10/6),(11/17)</x:v>
      </x:c>
      <x:c r="U180" s="2" t="str">
        <x:v>2023 배정: (10/6),(11/17) / 2024 배정: (9/2) / 2025 배정: (1/8)</x:v>
      </x:c>
      <x:c r="V180" s="2" t="str">
        <x:v>2025-06-12</x:v>
      </x:c>
      <x:c r="W180" s="2" t="str"/>
      <x:c r="X180" s="2" t="str">
        <x:v>종결 근거 보관</x:v>
      </x:c>
      <x:c r="Y180" s="2" t="str">
        <x:v>ad210cd9ec132cfd447541c8984dc53d30aff0f4fb2dc92d254d49275cc55976</x:v>
      </x:c>
      <x:c r="Z180" s="2" t="n">
        <x:f>SUBTOTAL(103,A180)</x:f>
        <x:v>1</x:v>
      </x:c>
      <x:c r="AA180" s="2" t="str">
        <x:f>IF(K180&lt;&gt;"미종결 표시","대상 아님",IF(N180="","신청일 확인",IF(NOT(ISNUMBER('종합 현황'!$H$5)),"관찰기준 확인",IF('종합 현황'!$H$5&lt;1,"관찰기준 확인",IF(N180&gt;'종합 현황'!$H$5,"내부 관찰 대상","내부 관찰일 이하")))))</x:f>
        <x:v>대상 아님</x:v>
      </x:c>
      <x:c r="AB180" s="2"/>
    </x:row>
    <x:row r="181" ht="42" customHeight="1">
      <x:c r="A181" s="2" t="str">
        <x:v>764ab6b09cffa4b76ffa408b</x:v>
      </x:c>
      <x:c r="B181" s="2" t="str">
        <x:v>사업 평가</x:v>
      </x:c>
      <x:c r="C181" s="2" t="str">
        <x:v>국내</x:v>
      </x:c>
      <x:c r="D181" s="7" t="str">
        <x:v>시화호 조력발전 사업</x:v>
      </x:c>
      <x:c r="E181" s="2" t="str">
        <x:v>42</x:v>
      </x:c>
      <x:c r="F181" s="2" t="str">
        <x:v>2016-12-29</x:v>
      </x:c>
      <x:c r="G181" s="2" t="str">
        <x:v>2016</x:v>
      </x:c>
      <x:c r="H181" s="2" t="str">
        <x:v>12</x:v>
      </x:c>
      <x:c r="I181" s="2" t="str">
        <x:v>승인</x:v>
      </x:c>
      <x:c r="J181" s="2" t="str">
        <x:v>심의승인</x:v>
      </x:c>
      <x:c r="K181" s="2" t="str">
        <x:f>IF(OR(J181="심의승인",J181="반려",J181="반려완료",J181="심의완료"),"종결 표시",IF(OR(J181="기후부협의",J181="문서재제출요청",J181="보류",J181="보완요청",J181="보완완료",J181="평가중",J181="반려요청",J181="평가필요",LEFT(J181,5)="보완요청("),"미종결 표시","상태 확인 필요"))</x:f>
        <x:v>종결 표시</x:v>
      </x:c>
      <x:c r="L181" s="2"/>
      <x:c r="M181" s="2"/>
      <x:c r="N181" s="8" t="n">
        <x:f>DATE(2026,10,15)-DATE(2016,12,29)</x:f>
        <x:v>3577</x:v>
      </x:c>
      <x:c r="O181" s="2"/>
      <x:c r="P181" s="2"/>
      <x:c r="Q181" s="2" t="str">
        <x:v>산업전환_외부사업관리Tool_260707_이너젠 수정_LJY_261013.xlsx</x:v>
      </x:c>
      <x:c r="R181" s="2" t="str">
        <x:v>국내평가</x:v>
      </x:c>
      <x:c r="S181" s="8" t="n">
        <x:v>84</x:v>
      </x:c>
      <x:c r="T181" s="2"/>
      <x:c r="U181" s="2" t="str"/>
      <x:c r="V181" s="2" t="str">
        <x:v>2017-03-21</x:v>
      </x:c>
      <x:c r="W181" s="2" t="str">
        <x:v>담당기관 확인</x:v>
      </x:c>
      <x:c r="X181" s="2" t="str">
        <x:v>원본·배정 기록 확인</x:v>
      </x:c>
      <x:c r="Y181" s="2" t="str">
        <x:v>ad210cd9ec132cfd447541c8984dc53d30aff0f4fb2dc92d254d49275cc55976</x:v>
      </x:c>
      <x:c r="Z181" s="2" t="n">
        <x:f>SUBTOTAL(103,A181)</x:f>
        <x:v>1</x:v>
      </x:c>
      <x:c r="AA181" s="2" t="str">
        <x:f>IF(K181&lt;&gt;"미종결 표시","대상 아님",IF(N181="","신청일 확인",IF(NOT(ISNUMBER('종합 현황'!$H$5)),"관찰기준 확인",IF('종합 현황'!$H$5&lt;1,"관찰기준 확인",IF(N181&gt;'종합 현황'!$H$5,"내부 관찰 대상","내부 관찰일 이하")))))</x:f>
        <x:v>대상 아님</x:v>
      </x:c>
      <x:c r="AB181" s="2"/>
    </x:row>
    <x:row r="182" ht="42" customHeight="1">
      <x:c r="A182" s="2" t="str">
        <x:v>309dcfd83ec8f988a8f11d28</x:v>
      </x:c>
      <x:c r="B182" s="2" t="str">
        <x:v>사업 평가</x:v>
      </x:c>
      <x:c r="C182" s="2" t="str">
        <x:v>국내</x:v>
      </x:c>
      <x:c r="D182" s="7" t="str">
        <x:v>동서발전 당진 소수력 프로젝트</x:v>
      </x:c>
      <x:c r="E182" s="2" t="str">
        <x:v>43</x:v>
      </x:c>
      <x:c r="F182" s="2" t="str">
        <x:v>2017-01-16</x:v>
      </x:c>
      <x:c r="G182" s="2" t="str">
        <x:v>2017</x:v>
      </x:c>
      <x:c r="H182" s="2" t="str">
        <x:v>01</x:v>
      </x:c>
      <x:c r="I182" s="2" t="str">
        <x:v>승인</x:v>
      </x:c>
      <x:c r="J182" s="2" t="str">
        <x:v>심의승인</x:v>
      </x:c>
      <x:c r="K182" s="2" t="str">
        <x:f>IF(OR(J182="심의승인",J182="반려",J182="반려완료",J182="심의완료"),"종결 표시",IF(OR(J182="기후부협의",J182="문서재제출요청",J182="보류",J182="보완요청",J182="보완완료",J182="평가중",J182="반려요청",J182="평가필요",LEFT(J182,5)="보완요청("),"미종결 표시","상태 확인 필요"))</x:f>
        <x:v>종결 표시</x:v>
      </x:c>
      <x:c r="L182" s="2"/>
      <x:c r="M182" s="2"/>
      <x:c r="N182" s="8" t="n">
        <x:f>DATE(2026,10,15)-DATE(2017,1,16)</x:f>
        <x:v>3559</x:v>
      </x:c>
      <x:c r="O182" s="2"/>
      <x:c r="P182" s="2"/>
      <x:c r="Q182" s="2" t="str">
        <x:v>산업전환_외부사업관리Tool_260707_이너젠 수정_LJY_261013.xlsx</x:v>
      </x:c>
      <x:c r="R182" s="2" t="str">
        <x:v>국내평가</x:v>
      </x:c>
      <x:c r="S182" s="8" t="n">
        <x:v>85</x:v>
      </x:c>
      <x:c r="T182" s="2"/>
      <x:c r="U182" s="2" t="str"/>
      <x:c r="V182" s="2" t="str">
        <x:v>2017-03-22</x:v>
      </x:c>
      <x:c r="W182" s="2" t="str">
        <x:v>담당기관 확인</x:v>
      </x:c>
      <x:c r="X182" s="2" t="str">
        <x:v>원본·배정 기록 확인</x:v>
      </x:c>
      <x:c r="Y182" s="2" t="str">
        <x:v>ad210cd9ec132cfd447541c8984dc53d30aff0f4fb2dc92d254d49275cc55976</x:v>
      </x:c>
      <x:c r="Z182" s="2" t="n">
        <x:f>SUBTOTAL(103,A182)</x:f>
        <x:v>1</x:v>
      </x:c>
      <x:c r="AA182" s="2" t="str">
        <x:f>IF(K182&lt;&gt;"미종결 표시","대상 아님",IF(N182="","신청일 확인",IF(NOT(ISNUMBER('종합 현황'!$H$5)),"관찰기준 확인",IF('종합 현황'!$H$5&lt;1,"관찰기준 확인",IF(N182&gt;'종합 현황'!$H$5,"내부 관찰 대상","내부 관찰일 이하")))))</x:f>
        <x:v>대상 아님</x:v>
      </x:c>
      <x:c r="AB182" s="2"/>
    </x:row>
    <x:row r="183" ht="42" customHeight="1">
      <x:c r="A183" s="2" t="str">
        <x:v>46dfa9f3e3cc2b571d1fb90f</x:v>
      </x:c>
      <x:c r="B183" s="2" t="str">
        <x:v>사업 평가</x:v>
      </x:c>
      <x:c r="C183" s="2" t="str">
        <x:v>국내</x:v>
      </x:c>
      <x:c r="D183" s="7" t="str">
        <x:v>(주)미래E비젼 미활용 소각폐열 회수를 통한 화석연료 사용 절감 및 온실가스 배출 감축사업</x:v>
      </x:c>
      <x:c r="E183" s="2" t="str">
        <x:v>44</x:v>
      </x:c>
      <x:c r="F183" s="2" t="str">
        <x:v>2017-02-24</x:v>
      </x:c>
      <x:c r="G183" s="2" t="str">
        <x:v>2017</x:v>
      </x:c>
      <x:c r="H183" s="2" t="str">
        <x:v>02</x:v>
      </x:c>
      <x:c r="I183" s="2" t="str">
        <x:v>반려</x:v>
      </x:c>
      <x:c r="J183" s="2" t="str">
        <x:v>반려</x:v>
      </x:c>
      <x:c r="K183" s="2" t="str">
        <x:f>IF(OR(J183="심의승인",J183="반려",J183="반려완료",J183="심의완료"),"종결 표시",IF(OR(J183="기후부협의",J183="문서재제출요청",J183="보류",J183="보완요청",J183="보완완료",J183="평가중",J183="반려요청",J183="평가필요",LEFT(J183,5)="보완요청("),"미종결 표시","상태 확인 필요"))</x:f>
        <x:v>종결 표시</x:v>
      </x:c>
      <x:c r="L183" s="2"/>
      <x:c r="M183" s="2"/>
      <x:c r="N183" s="8" t="n">
        <x:f>DATE(2026,10,15)-DATE(2017,2,24)</x:f>
        <x:v>3520</x:v>
      </x:c>
      <x:c r="O183" s="2"/>
      <x:c r="P183" s="2"/>
      <x:c r="Q183" s="2" t="str">
        <x:v>산업전환_외부사업관리Tool_260707_이너젠 수정_LJY_261013.xlsx</x:v>
      </x:c>
      <x:c r="R183" s="2" t="str">
        <x:v>국내평가</x:v>
      </x:c>
      <x:c r="S183" s="8" t="n">
        <x:v>86</x:v>
      </x:c>
      <x:c r="T183" s="2" t="str">
        <x:v>2021년 처리</x:v>
      </x:c>
      <x:c r="U183" s="2" t="str">
        <x:v>2021 배정: 2021년 처리</x:v>
      </x:c>
      <x:c r="V183" s="2" t="str">
        <x:v>2021-07-14</x:v>
      </x:c>
      <x:c r="W183" s="2" t="str">
        <x:v>담당기관 확인</x:v>
      </x:c>
      <x:c r="X183" s="2" t="str">
        <x:v>원본·배정 기록 확인</x:v>
      </x:c>
      <x:c r="Y183" s="2" t="str">
        <x:v>ad210cd9ec132cfd447541c8984dc53d30aff0f4fb2dc92d254d49275cc55976</x:v>
      </x:c>
      <x:c r="Z183" s="2" t="n">
        <x:f>SUBTOTAL(103,A183)</x:f>
        <x:v>1</x:v>
      </x:c>
      <x:c r="AA183" s="2" t="str">
        <x:f>IF(K183&lt;&gt;"미종결 표시","대상 아님",IF(N183="","신청일 확인",IF(NOT(ISNUMBER('종합 현황'!$H$5)),"관찰기준 확인",IF('종합 현황'!$H$5&lt;1,"관찰기준 확인",IF(N183&gt;'종합 현황'!$H$5,"내부 관찰 대상","내부 관찰일 이하")))))</x:f>
        <x:v>대상 아님</x:v>
      </x:c>
      <x:c r="AB183" s="2"/>
    </x:row>
    <x:row r="184" ht="42" customHeight="1">
      <x:c r="A184" s="2" t="str">
        <x:v>dd30497d7999001f3b52a375</x:v>
      </x:c>
      <x:c r="B184" s="2" t="str">
        <x:v>사업 평가</x:v>
      </x:c>
      <x:c r="C184" s="2" t="str">
        <x:v>국내</x:v>
      </x:c>
      <x:c r="D184" s="7" t="str">
        <x:v>한국토지주택공사 국민임대주택 태양광 발전 번들링 CDM사업</x:v>
      </x:c>
      <x:c r="E184" s="2" t="str">
        <x:v>45</x:v>
      </x:c>
      <x:c r="F184" s="2" t="str">
        <x:v>2017-01-24</x:v>
      </x:c>
      <x:c r="G184" s="2" t="str">
        <x:v>2017</x:v>
      </x:c>
      <x:c r="H184" s="2" t="str">
        <x:v>01</x:v>
      </x:c>
      <x:c r="I184" s="2" t="str">
        <x:v>승인</x:v>
      </x:c>
      <x:c r="J184" s="2" t="str">
        <x:v>심의승인</x:v>
      </x:c>
      <x:c r="K184" s="2" t="str">
        <x:f>IF(OR(J184="심의승인",J184="반려",J184="반려완료",J184="심의완료"),"종결 표시",IF(OR(J184="기후부협의",J184="문서재제출요청",J184="보류",J184="보완요청",J184="보완완료",J184="평가중",J184="반려요청",J184="평가필요",LEFT(J184,5)="보완요청("),"미종결 표시","상태 확인 필요"))</x:f>
        <x:v>종결 표시</x:v>
      </x:c>
      <x:c r="L184" s="2"/>
      <x:c r="M184" s="2"/>
      <x:c r="N184" s="8" t="n">
        <x:f>DATE(2026,10,15)-DATE(2017,1,24)</x:f>
        <x:v>3551</x:v>
      </x:c>
      <x:c r="O184" s="2"/>
      <x:c r="P184" s="2"/>
      <x:c r="Q184" s="2" t="str">
        <x:v>산업전환_외부사업관리Tool_260707_이너젠 수정_LJY_261013.xlsx</x:v>
      </x:c>
      <x:c r="R184" s="2" t="str">
        <x:v>국내평가</x:v>
      </x:c>
      <x:c r="S184" s="8" t="n">
        <x:v>87</x:v>
      </x:c>
      <x:c r="T184" s="2"/>
      <x:c r="U184" s="2" t="str"/>
      <x:c r="V184" s="2" t="str">
        <x:v>2017-03-22</x:v>
      </x:c>
      <x:c r="W184" s="2" t="str">
        <x:v>담당기관 확인</x:v>
      </x:c>
      <x:c r="X184" s="2" t="str">
        <x:v>원본·배정 기록 확인</x:v>
      </x:c>
      <x:c r="Y184" s="2" t="str">
        <x:v>ad210cd9ec132cfd447541c8984dc53d30aff0f4fb2dc92d254d49275cc55976</x:v>
      </x:c>
      <x:c r="Z184" s="2" t="n">
        <x:f>SUBTOTAL(103,A184)</x:f>
        <x:v>1</x:v>
      </x:c>
      <x:c r="AA184" s="2" t="str">
        <x:f>IF(K184&lt;&gt;"미종결 표시","대상 아님",IF(N184="","신청일 확인",IF(NOT(ISNUMBER('종합 현황'!$H$5)),"관찰기준 확인",IF('종합 현황'!$H$5&lt;1,"관찰기준 확인",IF(N184&gt;'종합 현황'!$H$5,"내부 관찰 대상","내부 관찰일 이하")))))</x:f>
        <x:v>대상 아님</x:v>
      </x:c>
      <x:c r="AB184" s="2"/>
    </x:row>
    <x:row r="185" ht="42" customHeight="1">
      <x:c r="A185" s="2" t="str">
        <x:v>03a062c10d58b6fc1cefd719</x:v>
      </x:c>
      <x:c r="B185" s="2" t="str">
        <x:v>사업 평가</x:v>
      </x:c>
      <x:c r="C185" s="2" t="str">
        <x:v>국내</x:v>
      </x:c>
      <x:c r="D185" s="7" t="str">
        <x:v>(주)그린엔텍 미활용 소각폐열 회수를 통한 화석연료 사용 절감 및 온실가스 배출 감축사업</x:v>
      </x:c>
      <x:c r="E185" s="2" t="str">
        <x:v>46</x:v>
      </x:c>
      <x:c r="F185" s="2" t="str">
        <x:v>2017-02-24</x:v>
      </x:c>
      <x:c r="G185" s="2" t="str">
        <x:v>2017</x:v>
      </x:c>
      <x:c r="H185" s="2" t="str">
        <x:v>02</x:v>
      </x:c>
      <x:c r="I185" s="2" t="str">
        <x:v>반려</x:v>
      </x:c>
      <x:c r="J185" s="2" t="str">
        <x:v>반려</x:v>
      </x:c>
      <x:c r="K185" s="2" t="str">
        <x:f>IF(OR(J185="심의승인",J185="반려",J185="반려완료",J185="심의완료"),"종결 표시",IF(OR(J185="기후부협의",J185="문서재제출요청",J185="보류",J185="보완요청",J185="보완완료",J185="평가중",J185="반려요청",J185="평가필요",LEFT(J185,5)="보완요청("),"미종결 표시","상태 확인 필요"))</x:f>
        <x:v>종결 표시</x:v>
      </x:c>
      <x:c r="L185" s="2"/>
      <x:c r="M185" s="2"/>
      <x:c r="N185" s="8" t="n">
        <x:f>DATE(2026,10,15)-DATE(2017,2,24)</x:f>
        <x:v>3520</x:v>
      </x:c>
      <x:c r="O185" s="2"/>
      <x:c r="P185" s="2"/>
      <x:c r="Q185" s="2" t="str">
        <x:v>산업전환_외부사업관리Tool_260707_이너젠 수정_LJY_261013.xlsx</x:v>
      </x:c>
      <x:c r="R185" s="2" t="str">
        <x:v>국내평가</x:v>
      </x:c>
      <x:c r="S185" s="8" t="n">
        <x:v>88</x:v>
      </x:c>
      <x:c r="T185" s="2" t="str">
        <x:v>2021년 처리</x:v>
      </x:c>
      <x:c r="U185" s="2" t="str">
        <x:v>2021 배정: 2021년 처리</x:v>
      </x:c>
      <x:c r="V185" s="2" t="str">
        <x:v>2021-04-26</x:v>
      </x:c>
      <x:c r="W185" s="2" t="str">
        <x:v>담당기관 확인</x:v>
      </x:c>
      <x:c r="X185" s="2" t="str">
        <x:v>원본·배정 기록 확인</x:v>
      </x:c>
      <x:c r="Y185" s="2" t="str">
        <x:v>ad210cd9ec132cfd447541c8984dc53d30aff0f4fb2dc92d254d49275cc55976</x:v>
      </x:c>
      <x:c r="Z185" s="2" t="n">
        <x:f>SUBTOTAL(103,A185)</x:f>
        <x:v>1</x:v>
      </x:c>
      <x:c r="AA185" s="2" t="str">
        <x:f>IF(K185&lt;&gt;"미종결 표시","대상 아님",IF(N185="","신청일 확인",IF(NOT(ISNUMBER('종합 현황'!$H$5)),"관찰기준 확인",IF('종합 현황'!$H$5&lt;1,"관찰기준 확인",IF(N185&gt;'종합 현황'!$H$5,"내부 관찰 대상","내부 관찰일 이하")))))</x:f>
        <x:v>대상 아님</x:v>
      </x:c>
      <x:c r="AB185" s="2"/>
    </x:row>
    <x:row r="186" ht="42" customHeight="1">
      <x:c r="A186" s="2" t="str">
        <x:v>159ea5cb5d79d19454235a51</x:v>
      </x:c>
      <x:c r="B186" s="2" t="str">
        <x:v>사업 평가</x:v>
      </x:c>
      <x:c r="C186" s="2" t="str">
        <x:v>국내</x:v>
      </x:c>
      <x:c r="D186" s="7" t="str">
        <x:v>삼성전자 경기도 LED 보안등 조명 교체 묶음 감축사업</x:v>
      </x:c>
      <x:c r="E186" s="2" t="str">
        <x:v>47</x:v>
      </x:c>
      <x:c r="F186" s="2" t="str">
        <x:v>2017-08-07</x:v>
      </x:c>
      <x:c r="G186" s="2" t="str">
        <x:v>2017</x:v>
      </x:c>
      <x:c r="H186" s="2" t="str">
        <x:v>08</x:v>
      </x:c>
      <x:c r="I186" s="2" t="str">
        <x:v>반려</x:v>
      </x:c>
      <x:c r="J186" s="2" t="str">
        <x:v>반려</x:v>
      </x:c>
      <x:c r="K186" s="2" t="str">
        <x:f>IF(OR(J186="심의승인",J186="반려",J186="반려완료",J186="심의완료"),"종결 표시",IF(OR(J186="기후부협의",J186="문서재제출요청",J186="보류",J186="보완요청",J186="보완완료",J186="평가중",J186="반려요청",J186="평가필요",LEFT(J186,5)="보완요청("),"미종결 표시","상태 확인 필요"))</x:f>
        <x:v>종결 표시</x:v>
      </x:c>
      <x:c r="L186" s="2"/>
      <x:c r="M186" s="2"/>
      <x:c r="N186" s="8" t="n">
        <x:f>DATE(2026,10,15)-DATE(2017,8,7)</x:f>
        <x:v>3356</x:v>
      </x:c>
      <x:c r="O186" s="2"/>
      <x:c r="P186" s="2"/>
      <x:c r="Q186" s="2" t="str">
        <x:v>산업전환_외부사업관리Tool_260707_이너젠 수정_LJY_261013.xlsx</x:v>
      </x:c>
      <x:c r="R186" s="2" t="str">
        <x:v>국내평가</x:v>
      </x:c>
      <x:c r="S186" s="8" t="n">
        <x:v>89</x:v>
      </x:c>
      <x:c r="T186" s="2" t="str">
        <x:v>2021년 처리</x:v>
      </x:c>
      <x:c r="U186" s="2" t="str">
        <x:v>2021 배정: 2021년 처리</x:v>
      </x:c>
      <x:c r="V186" s="2" t="str">
        <x:v>2021-11-03</x:v>
      </x:c>
      <x:c r="W186" s="2" t="str">
        <x:v>담당기관 확인</x:v>
      </x:c>
      <x:c r="X186" s="2" t="str">
        <x:v>원본·배정 기록 확인</x:v>
      </x:c>
      <x:c r="Y186" s="2" t="str">
        <x:v>ad210cd9ec132cfd447541c8984dc53d30aff0f4fb2dc92d254d49275cc55976</x:v>
      </x:c>
      <x:c r="Z186" s="2" t="n">
        <x:f>SUBTOTAL(103,A186)</x:f>
        <x:v>1</x:v>
      </x:c>
      <x:c r="AA186" s="2" t="str">
        <x:f>IF(K186&lt;&gt;"미종결 표시","대상 아님",IF(N186="","신청일 확인",IF(NOT(ISNUMBER('종합 현황'!$H$5)),"관찰기준 확인",IF('종합 현황'!$H$5&lt;1,"관찰기준 확인",IF(N186&gt;'종합 현황'!$H$5,"내부 관찰 대상","내부 관찰일 이하")))))</x:f>
        <x:v>대상 아님</x:v>
      </x:c>
      <x:c r="AB186" s="2"/>
    </x:row>
    <x:row r="187" ht="42" customHeight="1">
      <x:c r="A187" s="2" t="str">
        <x:v>aa9a77b5279ae59e2fbe1c1f</x:v>
      </x:c>
      <x:c r="B187" s="2" t="str">
        <x:v>사업 평가</x:v>
      </x:c>
      <x:c r="C187" s="2" t="str">
        <x:v>국내</x:v>
      </x:c>
      <x:c r="D187" s="7" t="str">
        <x:v>일심알맥스 주식회사 연료전환 (등유 → 도시가스) 감축사업</x:v>
      </x:c>
      <x:c r="E187" s="2" t="str">
        <x:v>48</x:v>
      </x:c>
      <x:c r="F187" s="2" t="str">
        <x:v>2017-08-10</x:v>
      </x:c>
      <x:c r="G187" s="2" t="str">
        <x:v>2017</x:v>
      </x:c>
      <x:c r="H187" s="2" t="str">
        <x:v>08</x:v>
      </x:c>
      <x:c r="I187" s="2" t="str">
        <x:v>반려</x:v>
      </x:c>
      <x:c r="J187" s="2" t="str">
        <x:v>반려</x:v>
      </x:c>
      <x:c r="K187" s="2" t="str">
        <x:f>IF(OR(J187="심의승인",J187="반려",J187="반려완료",J187="심의완료"),"종결 표시",IF(OR(J187="기후부협의",J187="문서재제출요청",J187="보류",J187="보완요청",J187="보완완료",J187="평가중",J187="반려요청",J187="평가필요",LEFT(J187,5)="보완요청("),"미종결 표시","상태 확인 필요"))</x:f>
        <x:v>종결 표시</x:v>
      </x:c>
      <x:c r="L187" s="2"/>
      <x:c r="M187" s="2"/>
      <x:c r="N187" s="8" t="n">
        <x:f>DATE(2026,10,15)-DATE(2017,8,10)</x:f>
        <x:v>3353</x:v>
      </x:c>
      <x:c r="O187" s="2"/>
      <x:c r="P187" s="2"/>
      <x:c r="Q187" s="2" t="str">
        <x:v>산업전환_외부사업관리Tool_260707_이너젠 수정_LJY_261013.xlsx</x:v>
      </x:c>
      <x:c r="R187" s="2" t="str">
        <x:v>국내평가</x:v>
      </x:c>
      <x:c r="S187" s="8" t="n">
        <x:v>90</x:v>
      </x:c>
      <x:c r="T187" s="2" t="str">
        <x:v>2021년 처리</x:v>
      </x:c>
      <x:c r="U187" s="2" t="str">
        <x:v>2021 배정: 2021년 처리</x:v>
      </x:c>
      <x:c r="V187" s="2" t="str">
        <x:v>2021-06-07</x:v>
      </x:c>
      <x:c r="W187" s="2" t="str">
        <x:v>담당기관 확인</x:v>
      </x:c>
      <x:c r="X187" s="2" t="str">
        <x:v>원본·배정 기록 확인</x:v>
      </x:c>
      <x:c r="Y187" s="2" t="str">
        <x:v>ad210cd9ec132cfd447541c8984dc53d30aff0f4fb2dc92d254d49275cc55976</x:v>
      </x:c>
      <x:c r="Z187" s="2" t="n">
        <x:f>SUBTOTAL(103,A187)</x:f>
        <x:v>1</x:v>
      </x:c>
      <x:c r="AA187" s="2" t="str">
        <x:f>IF(K187&lt;&gt;"미종결 표시","대상 아님",IF(N187="","신청일 확인",IF(NOT(ISNUMBER('종합 현황'!$H$5)),"관찰기준 확인",IF('종합 현황'!$H$5&lt;1,"관찰기준 확인",IF(N187&gt;'종합 현황'!$H$5,"내부 관찰 대상","내부 관찰일 이하")))))</x:f>
        <x:v>대상 아님</x:v>
      </x:c>
      <x:c r="AB187" s="2"/>
    </x:row>
    <x:row r="188" ht="42" customHeight="1">
      <x:c r="A188" s="2" t="str">
        <x:v>d5c02d47992477c5c1d1cb56</x:v>
      </x:c>
      <x:c r="B188" s="2" t="str">
        <x:v>사업 평가</x:v>
      </x:c>
      <x:c r="C188" s="2" t="str">
        <x:v>국내</x:v>
      </x:c>
      <x:c r="D188" s="7" t="str">
        <x:v>LG 화학 나주 공장 연료전환 사업</x:v>
      </x:c>
      <x:c r="E188" s="2" t="str">
        <x:v>49</x:v>
      </x:c>
      <x:c r="F188" s="2" t="str">
        <x:v>2017-04-04</x:v>
      </x:c>
      <x:c r="G188" s="2" t="str">
        <x:v>2017</x:v>
      </x:c>
      <x:c r="H188" s="2" t="str">
        <x:v>04</x:v>
      </x:c>
      <x:c r="I188" s="2" t="str">
        <x:v>승인</x:v>
      </x:c>
      <x:c r="J188" s="2" t="str">
        <x:v>심의승인</x:v>
      </x:c>
      <x:c r="K188" s="2" t="str">
        <x:f>IF(OR(J188="심의승인",J188="반려",J188="반려완료",J188="심의완료"),"종결 표시",IF(OR(J188="기후부협의",J188="문서재제출요청",J188="보류",J188="보완요청",J188="보완완료",J188="평가중",J188="반려요청",J188="평가필요",LEFT(J188,5)="보완요청("),"미종결 표시","상태 확인 필요"))</x:f>
        <x:v>종결 표시</x:v>
      </x:c>
      <x:c r="L188" s="2"/>
      <x:c r="M188" s="2"/>
      <x:c r="N188" s="8" t="n">
        <x:f>DATE(2026,10,15)-DATE(2017,4,4)</x:f>
        <x:v>3481</x:v>
      </x:c>
      <x:c r="O188" s="2"/>
      <x:c r="P188" s="2"/>
      <x:c r="Q188" s="2" t="str">
        <x:v>산업전환_외부사업관리Tool_260707_이너젠 수정_LJY_261013.xlsx</x:v>
      </x:c>
      <x:c r="R188" s="2" t="str">
        <x:v>국내평가</x:v>
      </x:c>
      <x:c r="S188" s="8" t="n">
        <x:v>91</x:v>
      </x:c>
      <x:c r="T188" s="2"/>
      <x:c r="U188" s="2" t="str"/>
      <x:c r="V188" s="2" t="str">
        <x:v>2017-08-27</x:v>
      </x:c>
      <x:c r="W188" s="2" t="str">
        <x:v>담당기관 확인</x:v>
      </x:c>
      <x:c r="X188" s="2" t="str">
        <x:v>원본·배정 기록 확인</x:v>
      </x:c>
      <x:c r="Y188" s="2" t="str">
        <x:v>ad210cd9ec132cfd447541c8984dc53d30aff0f4fb2dc92d254d49275cc55976</x:v>
      </x:c>
      <x:c r="Z188" s="2" t="n">
        <x:f>SUBTOTAL(103,A188)</x:f>
        <x:v>1</x:v>
      </x:c>
      <x:c r="AA188" s="2" t="str">
        <x:f>IF(K188&lt;&gt;"미종결 표시","대상 아님",IF(N188="","신청일 확인",IF(NOT(ISNUMBER('종합 현황'!$H$5)),"관찰기준 확인",IF('종합 현황'!$H$5&lt;1,"관찰기준 확인",IF(N188&gt;'종합 현황'!$H$5,"내부 관찰 대상","내부 관찰일 이하")))))</x:f>
        <x:v>대상 아님</x:v>
      </x:c>
      <x:c r="AB188" s="2"/>
    </x:row>
    <x:row r="189" ht="42" customHeight="1">
      <x:c r="A189" s="2" t="str">
        <x:v>50fec7c218b53362ef98763d</x:v>
      </x:c>
      <x:c r="B189" s="2" t="str">
        <x:v>사업 평가</x:v>
      </x:c>
      <x:c r="C189" s="2" t="str">
        <x:v>국내</x:v>
      </x:c>
      <x:c r="D189" s="7" t="str">
        <x:v>㈜성보아스콘 연료전환(B-C유 → LPG)을 통한 온실가스 배출 감축사업</x:v>
      </x:c>
      <x:c r="E189" s="2" t="str">
        <x:v>50</x:v>
      </x:c>
      <x:c r="F189" s="2" t="str">
        <x:v>2020-10-07</x:v>
      </x:c>
      <x:c r="G189" s="2" t="str">
        <x:v>2020</x:v>
      </x:c>
      <x:c r="H189" s="2" t="str">
        <x:v>10</x:v>
      </x:c>
      <x:c r="I189" s="2" t="str">
        <x:v>반려</x:v>
      </x:c>
      <x:c r="J189" s="2" t="str">
        <x:v>반려</x:v>
      </x:c>
      <x:c r="K189" s="2" t="str">
        <x:f>IF(OR(J189="심의승인",J189="반려",J189="반려완료",J189="심의완료"),"종결 표시",IF(OR(J189="기후부협의",J189="문서재제출요청",J189="보류",J189="보완요청",J189="보완완료",J189="평가중",J189="반려요청",J189="평가필요",LEFT(J189,5)="보완요청("),"미종결 표시","상태 확인 필요"))</x:f>
        <x:v>종결 표시</x:v>
      </x:c>
      <x:c r="L189" s="2" t="str">
        <x:v>KECM_이정우</x:v>
      </x:c>
      <x:c r="M189" s="2"/>
      <x:c r="N189" s="8" t="n">
        <x:f>DATE(2026,10,15)-DATE(2020,10,7)</x:f>
        <x:v>2199</x:v>
      </x:c>
      <x:c r="O189" s="2"/>
      <x:c r="P189" s="2" t="str">
        <x:v>LPG 계측기 X, 방법론 개정으로 재신청 필요</x:v>
      </x:c>
      <x:c r="Q189" s="2" t="str">
        <x:v>산업전환_외부사업관리Tool_260707_이너젠 수정_LJY_261013.xlsx</x:v>
      </x:c>
      <x:c r="R189" s="2" t="str">
        <x:v>국내평가</x:v>
      </x:c>
      <x:c r="S189" s="8" t="n">
        <x:v>92</x:v>
      </x:c>
      <x:c r="T189" s="2" t="str">
        <x:v>(4/23)</x:v>
      </x:c>
      <x:c r="U189" s="2" t="str">
        <x:v>2021 배정: (4/23) / 2025 배정: 2025년 처리</x:v>
      </x:c>
      <x:c r="V189" s="2" t="str">
        <x:v>2025-06-20</x:v>
      </x:c>
      <x:c r="W189" s="2" t="str"/>
      <x:c r="X189" s="2" t="str">
        <x:v>종결 근거 보관</x:v>
      </x:c>
      <x:c r="Y189" s="2" t="str">
        <x:v>ad210cd9ec132cfd447541c8984dc53d30aff0f4fb2dc92d254d49275cc55976</x:v>
      </x:c>
      <x:c r="Z189" s="2" t="n">
        <x:f>SUBTOTAL(103,A189)</x:f>
        <x:v>1</x:v>
      </x:c>
      <x:c r="AA189" s="2" t="str">
        <x:f>IF(K189&lt;&gt;"미종결 표시","대상 아님",IF(N189="","신청일 확인",IF(NOT(ISNUMBER('종합 현황'!$H$5)),"관찰기준 확인",IF('종합 현황'!$H$5&lt;1,"관찰기준 확인",IF(N189&gt;'종합 현황'!$H$5,"내부 관찰 대상","내부 관찰일 이하")))))</x:f>
        <x:v>대상 아님</x:v>
      </x:c>
      <x:c r="AB189" s="2"/>
    </x:row>
    <x:row r="190" ht="42" customHeight="1">
      <x:c r="A190" s="2" t="str">
        <x:v>d2317e7efe1bc12e1cd7cd87</x:v>
      </x:c>
      <x:c r="B190" s="2" t="str">
        <x:v>사업 평가</x:v>
      </x:c>
      <x:c r="C190" s="2" t="str">
        <x:v>국내</x:v>
      </x:c>
      <x:c r="D190" s="7" t="str">
        <x:v>한국지역난방공사 대구지사 목질 바이오매스 열병합발전 프로젝트</x:v>
      </x:c>
      <x:c r="E190" s="2" t="str">
        <x:v>51</x:v>
      </x:c>
      <x:c r="F190" s="2" t="str">
        <x:v>2017-04-21</x:v>
      </x:c>
      <x:c r="G190" s="2" t="str">
        <x:v>2017</x:v>
      </x:c>
      <x:c r="H190" s="2" t="str">
        <x:v>04</x:v>
      </x:c>
      <x:c r="I190" s="2" t="str">
        <x:v>승인</x:v>
      </x:c>
      <x:c r="J190" s="2" t="str">
        <x:v>심의승인</x:v>
      </x:c>
      <x:c r="K190" s="2" t="str">
        <x:f>IF(OR(J190="심의승인",J190="반려",J190="반려완료",J190="심의완료"),"종결 표시",IF(OR(J190="기후부협의",J190="문서재제출요청",J190="보류",J190="보완요청",J190="보완완료",J190="평가중",J190="반려요청",J190="평가필요",LEFT(J190,5)="보완요청("),"미종결 표시","상태 확인 필요"))</x:f>
        <x:v>종결 표시</x:v>
      </x:c>
      <x:c r="L190" s="2"/>
      <x:c r="M190" s="2"/>
      <x:c r="N190" s="8" t="n">
        <x:f>DATE(2026,10,15)-DATE(2017,4,21)</x:f>
        <x:v>3464</x:v>
      </x:c>
      <x:c r="O190" s="2"/>
      <x:c r="P190" s="2"/>
      <x:c r="Q190" s="2" t="str">
        <x:v>산업전환_외부사업관리Tool_260707_이너젠 수정_LJY_261013.xlsx</x:v>
      </x:c>
      <x:c r="R190" s="2" t="str">
        <x:v>국내평가</x:v>
      </x:c>
      <x:c r="S190" s="8" t="n">
        <x:v>93</x:v>
      </x:c>
      <x:c r="T190" s="2"/>
      <x:c r="U190" s="2" t="str"/>
      <x:c r="V190" s="2" t="str">
        <x:v>2017-07-27</x:v>
      </x:c>
      <x:c r="W190" s="2" t="str">
        <x:v>담당기관 확인</x:v>
      </x:c>
      <x:c r="X190" s="2" t="str">
        <x:v>원본·배정 기록 확인</x:v>
      </x:c>
      <x:c r="Y190" s="2" t="str">
        <x:v>ad210cd9ec132cfd447541c8984dc53d30aff0f4fb2dc92d254d49275cc55976</x:v>
      </x:c>
      <x:c r="Z190" s="2" t="n">
        <x:f>SUBTOTAL(103,A190)</x:f>
        <x:v>1</x:v>
      </x:c>
      <x:c r="AA190" s="2" t="str">
        <x:f>IF(K190&lt;&gt;"미종결 표시","대상 아님",IF(N190="","신청일 확인",IF(NOT(ISNUMBER('종합 현황'!$H$5)),"관찰기준 확인",IF('종합 현황'!$H$5&lt;1,"관찰기준 확인",IF(N190&gt;'종합 현황'!$H$5,"내부 관찰 대상","내부 관찰일 이하")))))</x:f>
        <x:v>대상 아님</x:v>
      </x:c>
      <x:c r="AB190" s="2"/>
    </x:row>
    <x:row r="191" ht="42" customHeight="1">
      <x:c r="A191" s="2" t="str">
        <x:v>31ed2d286c6aad9946c5a0ea</x:v>
      </x:c>
      <x:c r="B191" s="2" t="str">
        <x:v>사업 평가</x:v>
      </x:c>
      <x:c r="C191" s="2" t="str">
        <x:v>국내</x:v>
      </x:c>
      <x:c r="D191" s="7" t="str">
        <x:v>영진글로벌(주) 열풍기의 연료전환(이온정제유-&gt;LNG)을 통한 온실가스 배출 감축사업</x:v>
      </x:c>
      <x:c r="E191" s="2" t="str">
        <x:v>52</x:v>
      </x:c>
      <x:c r="F191" s="2" t="str">
        <x:v>2017-04-24</x:v>
      </x:c>
      <x:c r="G191" s="2" t="str">
        <x:v>2017</x:v>
      </x:c>
      <x:c r="H191" s="2" t="str">
        <x:v>04</x:v>
      </x:c>
      <x:c r="I191" s="2" t="str">
        <x:v>승인</x:v>
      </x:c>
      <x:c r="J191" s="2" t="str">
        <x:v>심의승인</x:v>
      </x:c>
      <x:c r="K191" s="2" t="str">
        <x:f>IF(OR(J191="심의승인",J191="반려",J191="반려완료",J191="심의완료"),"종결 표시",IF(OR(J191="기후부협의",J191="문서재제출요청",J191="보류",J191="보완요청",J191="보완완료",J191="평가중",J191="반려요청",J191="평가필요",LEFT(J191,5)="보완요청("),"미종결 표시","상태 확인 필요"))</x:f>
        <x:v>종결 표시</x:v>
      </x:c>
      <x:c r="L191" s="2"/>
      <x:c r="M191" s="2"/>
      <x:c r="N191" s="8" t="n">
        <x:f>DATE(2026,10,15)-DATE(2017,4,24)</x:f>
        <x:v>3461</x:v>
      </x:c>
      <x:c r="O191" s="2"/>
      <x:c r="P191" s="2"/>
      <x:c r="Q191" s="2" t="str">
        <x:v>산업전환_외부사업관리Tool_260707_이너젠 수정_LJY_261013.xlsx</x:v>
      </x:c>
      <x:c r="R191" s="2" t="str">
        <x:v>국내평가</x:v>
      </x:c>
      <x:c r="S191" s="8" t="n">
        <x:v>94</x:v>
      </x:c>
      <x:c r="T191" s="2"/>
      <x:c r="U191" s="2" t="str"/>
      <x:c r="V191" s="2" t="str">
        <x:v>2018-01-23</x:v>
      </x:c>
      <x:c r="W191" s="2" t="str">
        <x:v>담당기관 확인</x:v>
      </x:c>
      <x:c r="X191" s="2" t="str">
        <x:v>원본·배정 기록 확인</x:v>
      </x:c>
      <x:c r="Y191" s="2" t="str">
        <x:v>ad210cd9ec132cfd447541c8984dc53d30aff0f4fb2dc92d254d49275cc55976</x:v>
      </x:c>
      <x:c r="Z191" s="2" t="n">
        <x:f>SUBTOTAL(103,A191)</x:f>
        <x:v>1</x:v>
      </x:c>
      <x:c r="AA191" s="2" t="str">
        <x:f>IF(K191&lt;&gt;"미종결 표시","대상 아님",IF(N191="","신청일 확인",IF(NOT(ISNUMBER('종합 현황'!$H$5)),"관찰기준 확인",IF('종합 현황'!$H$5&lt;1,"관찰기준 확인",IF(N191&gt;'종합 현황'!$H$5,"내부 관찰 대상","내부 관찰일 이하")))))</x:f>
        <x:v>대상 아님</x:v>
      </x:c>
      <x:c r="AB191" s="2"/>
    </x:row>
    <x:row r="192" ht="42" customHeight="1">
      <x:c r="A192" s="2" t="str">
        <x:v>d90974a8e135680fe89a03e9</x:v>
      </x:c>
      <x:c r="B192" s="2" t="str">
        <x:v>사업 평가</x:v>
      </x:c>
      <x:c r="C192" s="2" t="str">
        <x:v>국내</x:v>
      </x:c>
      <x:c r="D192" s="7" t="str">
        <x:v>삼천리 도시가스 공급 권역의 연료전환을 통한 프로그램 감축사업</x:v>
      </x:c>
      <x:c r="E192" s="2" t="str">
        <x:v>53</x:v>
      </x:c>
      <x:c r="F192" s="2" t="str">
        <x:v>2017-05-26</x:v>
      </x:c>
      <x:c r="G192" s="2" t="str">
        <x:v>2017</x:v>
      </x:c>
      <x:c r="H192" s="2" t="str">
        <x:v>05</x:v>
      </x:c>
      <x:c r="I192" s="2" t="str">
        <x:v>승인</x:v>
      </x:c>
      <x:c r="J192" s="2" t="str">
        <x:v>심의승인</x:v>
      </x:c>
      <x:c r="K192" s="2" t="str">
        <x:f>IF(OR(J192="심의승인",J192="반려",J192="반려완료",J192="심의완료"),"종결 표시",IF(OR(J192="기후부협의",J192="문서재제출요청",J192="보류",J192="보완요청",J192="보완완료",J192="평가중",J192="반려요청",J192="평가필요",LEFT(J192,5)="보완요청("),"미종결 표시","상태 확인 필요"))</x:f>
        <x:v>종결 표시</x:v>
      </x:c>
      <x:c r="L192" s="2"/>
      <x:c r="M192" s="2"/>
      <x:c r="N192" s="8" t="n">
        <x:f>DATE(2026,10,15)-DATE(2017,5,26)</x:f>
        <x:v>3429</x:v>
      </x:c>
      <x:c r="O192" s="2"/>
      <x:c r="P192" s="2"/>
      <x:c r="Q192" s="2" t="str">
        <x:v>산업전환_외부사업관리Tool_260707_이너젠 수정_LJY_261013.xlsx</x:v>
      </x:c>
      <x:c r="R192" s="2" t="str">
        <x:v>국내평가</x:v>
      </x:c>
      <x:c r="S192" s="8" t="n">
        <x:v>95</x:v>
      </x:c>
      <x:c r="T192" s="2"/>
      <x:c r="U192" s="2" t="str"/>
      <x:c r="V192" s="2" t="str">
        <x:v>2018-12-11</x:v>
      </x:c>
      <x:c r="W192" s="2" t="str">
        <x:v>담당기관 확인</x:v>
      </x:c>
      <x:c r="X192" s="2" t="str">
        <x:v>원본·배정 기록 확인</x:v>
      </x:c>
      <x:c r="Y192" s="2" t="str">
        <x:v>ad210cd9ec132cfd447541c8984dc53d30aff0f4fb2dc92d254d49275cc55976</x:v>
      </x:c>
      <x:c r="Z192" s="2" t="n">
        <x:f>SUBTOTAL(103,A192)</x:f>
        <x:v>1</x:v>
      </x:c>
      <x:c r="AA192" s="2" t="str">
        <x:f>IF(K192&lt;&gt;"미종결 표시","대상 아님",IF(N192="","신청일 확인",IF(NOT(ISNUMBER('종합 현황'!$H$5)),"관찰기준 확인",IF('종합 현황'!$H$5&lt;1,"관찰기준 확인",IF(N192&gt;'종합 현황'!$H$5,"내부 관찰 대상","내부 관찰일 이하")))))</x:f>
        <x:v>대상 아님</x:v>
      </x:c>
      <x:c r="AB192" s="2"/>
    </x:row>
    <x:row r="193" ht="42" customHeight="1">
      <x:c r="A193" s="2" t="str">
        <x:v>68fe3d5b8c52482a0b55c22e</x:v>
      </x:c>
      <x:c r="B193" s="2" t="str">
        <x:v>사업 평가</x:v>
      </x:c>
      <x:c r="C193" s="2" t="str">
        <x:v>국내</x:v>
      </x:c>
      <x:c r="D193" s="7" t="str">
        <x:v>제천 장락 주공 1단지 아파트 연료전환을 통한 온실가스 감축사업</x:v>
      </x:c>
      <x:c r="E193" s="2" t="str">
        <x:v>54</x:v>
      </x:c>
      <x:c r="F193" s="2" t="str">
        <x:v>2017-06-09</x:v>
      </x:c>
      <x:c r="G193" s="2" t="str">
        <x:v>2017</x:v>
      </x:c>
      <x:c r="H193" s="2" t="str">
        <x:v>06</x:v>
      </x:c>
      <x:c r="I193" s="2" t="str">
        <x:v>승인</x:v>
      </x:c>
      <x:c r="J193" s="2" t="str">
        <x:v>심의승인</x:v>
      </x:c>
      <x:c r="K193" s="2" t="str">
        <x:f>IF(OR(J193="심의승인",J193="반려",J193="반려완료",J193="심의완료"),"종결 표시",IF(OR(J193="기후부협의",J193="문서재제출요청",J193="보류",J193="보완요청",J193="보완완료",J193="평가중",J193="반려요청",J193="평가필요",LEFT(J193,5)="보완요청("),"미종결 표시","상태 확인 필요"))</x:f>
        <x:v>종결 표시</x:v>
      </x:c>
      <x:c r="L193" s="2"/>
      <x:c r="M193" s="2"/>
      <x:c r="N193" s="8" t="n">
        <x:f>DATE(2026,10,15)-DATE(2017,6,9)</x:f>
        <x:v>3415</x:v>
      </x:c>
      <x:c r="O193" s="2"/>
      <x:c r="P193" s="2"/>
      <x:c r="Q193" s="2" t="str">
        <x:v>산업전환_외부사업관리Tool_260707_이너젠 수정_LJY_261013.xlsx</x:v>
      </x:c>
      <x:c r="R193" s="2" t="str">
        <x:v>국내평가</x:v>
      </x:c>
      <x:c r="S193" s="8" t="n">
        <x:v>96</x:v>
      </x:c>
      <x:c r="T193" s="2"/>
      <x:c r="U193" s="2" t="str"/>
      <x:c r="V193" s="2" t="str">
        <x:v>2018-08-07</x:v>
      </x:c>
      <x:c r="W193" s="2" t="str">
        <x:v>담당기관 확인</x:v>
      </x:c>
      <x:c r="X193" s="2" t="str">
        <x:v>원본·배정 기록 확인</x:v>
      </x:c>
      <x:c r="Y193" s="2" t="str">
        <x:v>ad210cd9ec132cfd447541c8984dc53d30aff0f4fb2dc92d254d49275cc55976</x:v>
      </x:c>
      <x:c r="Z193" s="2" t="n">
        <x:f>SUBTOTAL(103,A193)</x:f>
        <x:v>1</x:v>
      </x:c>
      <x:c r="AA193" s="2" t="str">
        <x:f>IF(K193&lt;&gt;"미종결 표시","대상 아님",IF(N193="","신청일 확인",IF(NOT(ISNUMBER('종합 현황'!$H$5)),"관찰기준 확인",IF('종합 현황'!$H$5&lt;1,"관찰기준 확인",IF(N193&gt;'종합 현황'!$H$5,"내부 관찰 대상","내부 관찰일 이하")))))</x:f>
        <x:v>대상 아님</x:v>
      </x:c>
      <x:c r="AB193" s="2"/>
    </x:row>
    <x:row r="194" ht="42" customHeight="1">
      <x:c r="A194" s="2" t="str">
        <x:v>f5a0bc39c3e0844eb60e1257</x:v>
      </x:c>
      <x:c r="B194" s="2" t="str">
        <x:v>사업 평가</x:v>
      </x:c>
      <x:c r="C194" s="2" t="str">
        <x:v>국내</x:v>
      </x:c>
      <x:c r="D194" s="7" t="str">
        <x:v>서울 월계 주공1단지 아파트 연료전환을 통한 온실가스 감축사업</x:v>
      </x:c>
      <x:c r="E194" s="2" t="str">
        <x:v>55</x:v>
      </x:c>
      <x:c r="F194" s="2" t="str">
        <x:v>2017-06-09</x:v>
      </x:c>
      <x:c r="G194" s="2" t="str">
        <x:v>2017</x:v>
      </x:c>
      <x:c r="H194" s="2" t="str">
        <x:v>06</x:v>
      </x:c>
      <x:c r="I194" s="2" t="str">
        <x:v>승인</x:v>
      </x:c>
      <x:c r="J194" s="2" t="str">
        <x:v>심의승인</x:v>
      </x:c>
      <x:c r="K194" s="2" t="str">
        <x:f>IF(OR(J194="심의승인",J194="반려",J194="반려완료",J194="심의완료"),"종결 표시",IF(OR(J194="기후부협의",J194="문서재제출요청",J194="보류",J194="보완요청",J194="보완완료",J194="평가중",J194="반려요청",J194="평가필요",LEFT(J194,5)="보완요청("),"미종결 표시","상태 확인 필요"))</x:f>
        <x:v>종결 표시</x:v>
      </x:c>
      <x:c r="L194" s="2"/>
      <x:c r="M194" s="2"/>
      <x:c r="N194" s="8" t="n">
        <x:f>DATE(2026,10,15)-DATE(2017,6,9)</x:f>
        <x:v>3415</x:v>
      </x:c>
      <x:c r="O194" s="2"/>
      <x:c r="P194" s="2"/>
      <x:c r="Q194" s="2" t="str">
        <x:v>산업전환_외부사업관리Tool_260707_이너젠 수정_LJY_261013.xlsx</x:v>
      </x:c>
      <x:c r="R194" s="2" t="str">
        <x:v>국내평가</x:v>
      </x:c>
      <x:c r="S194" s="8" t="n">
        <x:v>97</x:v>
      </x:c>
      <x:c r="T194" s="2"/>
      <x:c r="U194" s="2" t="str"/>
      <x:c r="V194" s="2" t="str">
        <x:v>2018-08-07</x:v>
      </x:c>
      <x:c r="W194" s="2" t="str">
        <x:v>담당기관 확인</x:v>
      </x:c>
      <x:c r="X194" s="2" t="str">
        <x:v>원본·배정 기록 확인</x:v>
      </x:c>
      <x:c r="Y194" s="2" t="str">
        <x:v>ad210cd9ec132cfd447541c8984dc53d30aff0f4fb2dc92d254d49275cc55976</x:v>
      </x:c>
      <x:c r="Z194" s="2" t="n">
        <x:f>SUBTOTAL(103,A194)</x:f>
        <x:v>1</x:v>
      </x:c>
      <x:c r="AA194" s="2" t="str">
        <x:f>IF(K194&lt;&gt;"미종결 표시","대상 아님",IF(N194="","신청일 확인",IF(NOT(ISNUMBER('종합 현황'!$H$5)),"관찰기준 확인",IF('종합 현황'!$H$5&lt;1,"관찰기준 확인",IF(N194&gt;'종합 현황'!$H$5,"내부 관찰 대상","내부 관찰일 이하")))))</x:f>
        <x:v>대상 아님</x:v>
      </x:c>
      <x:c r="AB194" s="2"/>
    </x:row>
    <x:row r="195" ht="42" customHeight="1">
      <x:c r="A195" s="2" t="str">
        <x:v>c514f5cd4c1d43f28cf39a7d</x:v>
      </x:c>
      <x:c r="B195" s="2" t="str">
        <x:v>사업 평가</x:v>
      </x:c>
      <x:c r="C195" s="2" t="str">
        <x:v>국내</x:v>
      </x:c>
      <x:c r="D195" s="7" t="str">
        <x:v>서울 우면아파트 연료전환을 통한 온실가스 감축사업</x:v>
      </x:c>
      <x:c r="E195" s="2" t="str">
        <x:v>56</x:v>
      </x:c>
      <x:c r="F195" s="2" t="str">
        <x:v>2017-06-09</x:v>
      </x:c>
      <x:c r="G195" s="2" t="str">
        <x:v>2017</x:v>
      </x:c>
      <x:c r="H195" s="2" t="str">
        <x:v>06</x:v>
      </x:c>
      <x:c r="I195" s="2" t="str">
        <x:v>승인</x:v>
      </x:c>
      <x:c r="J195" s="2" t="str">
        <x:v>심의승인</x:v>
      </x:c>
      <x:c r="K195" s="2" t="str">
        <x:f>IF(OR(J195="심의승인",J195="반려",J195="반려완료",J195="심의완료"),"종결 표시",IF(OR(J195="기후부협의",J195="문서재제출요청",J195="보류",J195="보완요청",J195="보완완료",J195="평가중",J195="반려요청",J195="평가필요",LEFT(J195,5)="보완요청("),"미종결 표시","상태 확인 필요"))</x:f>
        <x:v>종결 표시</x:v>
      </x:c>
      <x:c r="L195" s="2"/>
      <x:c r="M195" s="2"/>
      <x:c r="N195" s="8" t="n">
        <x:f>DATE(2026,10,15)-DATE(2017,6,9)</x:f>
        <x:v>3415</x:v>
      </x:c>
      <x:c r="O195" s="2"/>
      <x:c r="P195" s="2"/>
      <x:c r="Q195" s="2" t="str">
        <x:v>산업전환_외부사업관리Tool_260707_이너젠 수정_LJY_261013.xlsx</x:v>
      </x:c>
      <x:c r="R195" s="2" t="str">
        <x:v>국내평가</x:v>
      </x:c>
      <x:c r="S195" s="8" t="n">
        <x:v>98</x:v>
      </x:c>
      <x:c r="T195" s="2"/>
      <x:c r="U195" s="2" t="str"/>
      <x:c r="V195" s="2" t="str">
        <x:v>2018-08-07</x:v>
      </x:c>
      <x:c r="W195" s="2" t="str">
        <x:v>담당기관 확인</x:v>
      </x:c>
      <x:c r="X195" s="2" t="str">
        <x:v>원본·배정 기록 확인</x:v>
      </x:c>
      <x:c r="Y195" s="2" t="str">
        <x:v>ad210cd9ec132cfd447541c8984dc53d30aff0f4fb2dc92d254d49275cc55976</x:v>
      </x:c>
      <x:c r="Z195" s="2" t="n">
        <x:f>SUBTOTAL(103,A195)</x:f>
        <x:v>1</x:v>
      </x:c>
      <x:c r="AA195" s="2" t="str">
        <x:f>IF(K195&lt;&gt;"미종결 표시","대상 아님",IF(N195="","신청일 확인",IF(NOT(ISNUMBER('종합 현황'!$H$5)),"관찰기준 확인",IF('종합 현황'!$H$5&lt;1,"관찰기준 확인",IF(N195&gt;'종합 현황'!$H$5,"내부 관찰 대상","내부 관찰일 이하")))))</x:f>
        <x:v>대상 아님</x:v>
      </x:c>
      <x:c r="AB195" s="2"/>
    </x:row>
    <x:row r="196" ht="42" customHeight="1">
      <x:c r="A196" s="2" t="str">
        <x:v>8e732ea8fce13f89a94862f3</x:v>
      </x:c>
      <x:c r="B196" s="2" t="str">
        <x:v>사업 평가</x:v>
      </x:c>
      <x:c r="C196" s="2" t="str">
        <x:v>국내</x:v>
      </x:c>
      <x:c r="D196" s="7" t="str">
        <x:v>서울 번동 주공 5단지 아파트 연료전환을 통한 온실가스 감축사업</x:v>
      </x:c>
      <x:c r="E196" s="2" t="str">
        <x:v>57</x:v>
      </x:c>
      <x:c r="F196" s="2" t="str">
        <x:v>2017-06-09</x:v>
      </x:c>
      <x:c r="G196" s="2" t="str">
        <x:v>2017</x:v>
      </x:c>
      <x:c r="H196" s="2" t="str">
        <x:v>06</x:v>
      </x:c>
      <x:c r="I196" s="2" t="str">
        <x:v>승인</x:v>
      </x:c>
      <x:c r="J196" s="2" t="str">
        <x:v>심의승인</x:v>
      </x:c>
      <x:c r="K196" s="2" t="str">
        <x:f>IF(OR(J196="심의승인",J196="반려",J196="반려완료",J196="심의완료"),"종결 표시",IF(OR(J196="기후부협의",J196="문서재제출요청",J196="보류",J196="보완요청",J196="보완완료",J196="평가중",J196="반려요청",J196="평가필요",LEFT(J196,5)="보완요청("),"미종결 표시","상태 확인 필요"))</x:f>
        <x:v>종결 표시</x:v>
      </x:c>
      <x:c r="L196" s="2"/>
      <x:c r="M196" s="2"/>
      <x:c r="N196" s="8" t="n">
        <x:f>DATE(2026,10,15)-DATE(2017,6,9)</x:f>
        <x:v>3415</x:v>
      </x:c>
      <x:c r="O196" s="2"/>
      <x:c r="P196" s="2"/>
      <x:c r="Q196" s="2" t="str">
        <x:v>산업전환_외부사업관리Tool_260707_이너젠 수정_LJY_261013.xlsx</x:v>
      </x:c>
      <x:c r="R196" s="2" t="str">
        <x:v>국내평가</x:v>
      </x:c>
      <x:c r="S196" s="8" t="n">
        <x:v>99</x:v>
      </x:c>
      <x:c r="T196" s="2"/>
      <x:c r="U196" s="2" t="str"/>
      <x:c r="V196" s="2" t="str">
        <x:v>2018-08-07</x:v>
      </x:c>
      <x:c r="W196" s="2" t="str">
        <x:v>담당기관 확인</x:v>
      </x:c>
      <x:c r="X196" s="2" t="str">
        <x:v>원본·배정 기록 확인</x:v>
      </x:c>
      <x:c r="Y196" s="2" t="str">
        <x:v>ad210cd9ec132cfd447541c8984dc53d30aff0f4fb2dc92d254d49275cc55976</x:v>
      </x:c>
      <x:c r="Z196" s="2" t="n">
        <x:f>SUBTOTAL(103,A196)</x:f>
        <x:v>1</x:v>
      </x:c>
      <x:c r="AA196" s="2" t="str">
        <x:f>IF(K196&lt;&gt;"미종결 표시","대상 아님",IF(N196="","신청일 확인",IF(NOT(ISNUMBER('종합 현황'!$H$5)),"관찰기준 확인",IF('종합 현황'!$H$5&lt;1,"관찰기준 확인",IF(N196&gt;'종합 현황'!$H$5,"내부 관찰 대상","내부 관찰일 이하")))))</x:f>
        <x:v>대상 아님</x:v>
      </x:c>
      <x:c r="AB196" s="2"/>
    </x:row>
    <x:row r="197" ht="42" customHeight="1">
      <x:c r="A197" s="2" t="str">
        <x:v>1a534a539dd2248fccae16c6</x:v>
      </x:c>
      <x:c r="B197" s="2" t="str">
        <x:v>사업 평가</x:v>
      </x:c>
      <x:c r="C197" s="2" t="str">
        <x:v>국내</x:v>
      </x:c>
      <x:c r="D197" s="7" t="str">
        <x:v>서울 번동 주공3단지 아파트연료전환을 통한 온실가스 감축사업</x:v>
      </x:c>
      <x:c r="E197" s="2" t="str">
        <x:v>58</x:v>
      </x:c>
      <x:c r="F197" s="2" t="str">
        <x:v>2017-06-09</x:v>
      </x:c>
      <x:c r="G197" s="2" t="str">
        <x:v>2017</x:v>
      </x:c>
      <x:c r="H197" s="2" t="str">
        <x:v>06</x:v>
      </x:c>
      <x:c r="I197" s="2" t="str">
        <x:v>승인</x:v>
      </x:c>
      <x:c r="J197" s="2" t="str">
        <x:v>심의승인</x:v>
      </x:c>
      <x:c r="K197" s="2" t="str">
        <x:f>IF(OR(J197="심의승인",J197="반려",J197="반려완료",J197="심의완료"),"종결 표시",IF(OR(J197="기후부협의",J197="문서재제출요청",J197="보류",J197="보완요청",J197="보완완료",J197="평가중",J197="반려요청",J197="평가필요",LEFT(J197,5)="보완요청("),"미종결 표시","상태 확인 필요"))</x:f>
        <x:v>종결 표시</x:v>
      </x:c>
      <x:c r="L197" s="2"/>
      <x:c r="M197" s="2"/>
      <x:c r="N197" s="8" t="n">
        <x:f>DATE(2026,10,15)-DATE(2017,6,9)</x:f>
        <x:v>3415</x:v>
      </x:c>
      <x:c r="O197" s="2"/>
      <x:c r="P197" s="2"/>
      <x:c r="Q197" s="2" t="str">
        <x:v>산업전환_외부사업관리Tool_260707_이너젠 수정_LJY_261013.xlsx</x:v>
      </x:c>
      <x:c r="R197" s="2" t="str">
        <x:v>국내평가</x:v>
      </x:c>
      <x:c r="S197" s="8" t="n">
        <x:v>100</x:v>
      </x:c>
      <x:c r="T197" s="2"/>
      <x:c r="U197" s="2" t="str"/>
      <x:c r="V197" s="2" t="str">
        <x:v>2018-08-07</x:v>
      </x:c>
      <x:c r="W197" s="2" t="str">
        <x:v>담당기관 확인</x:v>
      </x:c>
      <x:c r="X197" s="2" t="str">
        <x:v>원본·배정 기록 확인</x:v>
      </x:c>
      <x:c r="Y197" s="2" t="str">
        <x:v>ad210cd9ec132cfd447541c8984dc53d30aff0f4fb2dc92d254d49275cc55976</x:v>
      </x:c>
      <x:c r="Z197" s="2" t="n">
        <x:f>SUBTOTAL(103,A197)</x:f>
        <x:v>1</x:v>
      </x:c>
      <x:c r="AA197" s="2" t="str">
        <x:f>IF(K197&lt;&gt;"미종결 표시","대상 아님",IF(N197="","신청일 확인",IF(NOT(ISNUMBER('종합 현황'!$H$5)),"관찰기준 확인",IF('종합 현황'!$H$5&lt;1,"관찰기준 확인",IF(N197&gt;'종합 현황'!$H$5,"내부 관찰 대상","내부 관찰일 이하")))))</x:f>
        <x:v>대상 아님</x:v>
      </x:c>
      <x:c r="AB197" s="2"/>
    </x:row>
    <x:row r="198" ht="42" customHeight="1">
      <x:c r="A198" s="2" t="str">
        <x:v>097386e7b9b55792a81ffe97</x:v>
      </x:c>
      <x:c r="B198" s="2" t="str">
        <x:v>사업 평가</x:v>
      </x:c>
      <x:c r="C198" s="2" t="str">
        <x:v>국내</x:v>
      </x:c>
      <x:c r="D198" s="7" t="str">
        <x:v>서울 번동 주공2단지 아파트 연료전환을 통한 온실가스 감축사업</x:v>
      </x:c>
      <x:c r="E198" s="2" t="str">
        <x:v>59</x:v>
      </x:c>
      <x:c r="F198" s="2" t="str">
        <x:v>2017-06-09</x:v>
      </x:c>
      <x:c r="G198" s="2" t="str">
        <x:v>2017</x:v>
      </x:c>
      <x:c r="H198" s="2" t="str">
        <x:v>06</x:v>
      </x:c>
      <x:c r="I198" s="2" t="str">
        <x:v>승인</x:v>
      </x:c>
      <x:c r="J198" s="2" t="str">
        <x:v>심의승인</x:v>
      </x:c>
      <x:c r="K198" s="2" t="str">
        <x:f>IF(OR(J198="심의승인",J198="반려",J198="반려완료",J198="심의완료"),"종결 표시",IF(OR(J198="기후부협의",J198="문서재제출요청",J198="보류",J198="보완요청",J198="보완완료",J198="평가중",J198="반려요청",J198="평가필요",LEFT(J198,5)="보완요청("),"미종결 표시","상태 확인 필요"))</x:f>
        <x:v>종결 표시</x:v>
      </x:c>
      <x:c r="L198" s="2"/>
      <x:c r="M198" s="2"/>
      <x:c r="N198" s="8" t="n">
        <x:f>DATE(2026,10,15)-DATE(2017,6,9)</x:f>
        <x:v>3415</x:v>
      </x:c>
      <x:c r="O198" s="2"/>
      <x:c r="P198" s="2"/>
      <x:c r="Q198" s="2" t="str">
        <x:v>산업전환_외부사업관리Tool_260707_이너젠 수정_LJY_261013.xlsx</x:v>
      </x:c>
      <x:c r="R198" s="2" t="str">
        <x:v>국내평가</x:v>
      </x:c>
      <x:c r="S198" s="8" t="n">
        <x:v>101</x:v>
      </x:c>
      <x:c r="T198" s="2"/>
      <x:c r="U198" s="2" t="str"/>
      <x:c r="V198" s="2" t="str">
        <x:v>2018-08-07</x:v>
      </x:c>
      <x:c r="W198" s="2" t="str">
        <x:v>담당기관 확인</x:v>
      </x:c>
      <x:c r="X198" s="2" t="str">
        <x:v>원본·배정 기록 확인</x:v>
      </x:c>
      <x:c r="Y198" s="2" t="str">
        <x:v>ad210cd9ec132cfd447541c8984dc53d30aff0f4fb2dc92d254d49275cc55976</x:v>
      </x:c>
      <x:c r="Z198" s="2" t="n">
        <x:f>SUBTOTAL(103,A198)</x:f>
        <x:v>1</x:v>
      </x:c>
      <x:c r="AA198" s="2" t="str">
        <x:f>IF(K198&lt;&gt;"미종결 표시","대상 아님",IF(N198="","신청일 확인",IF(NOT(ISNUMBER('종합 현황'!$H$5)),"관찰기준 확인",IF('종합 현황'!$H$5&lt;1,"관찰기준 확인",IF(N198&gt;'종합 현황'!$H$5,"내부 관찰 대상","내부 관찰일 이하")))))</x:f>
        <x:v>대상 아님</x:v>
      </x:c>
      <x:c r="AB198" s="2"/>
    </x:row>
    <x:row r="199" ht="42" customHeight="1">
      <x:c r="A199" s="2" t="str">
        <x:v>5d50da25e2df9fcc87d3e489</x:v>
      </x:c>
      <x:c r="B199" s="2" t="str">
        <x:v>사업 평가</x:v>
      </x:c>
      <x:c r="C199" s="2" t="str">
        <x:v>국내</x:v>
      </x:c>
      <x:c r="D199" s="7" t="str">
        <x:v>부천 춘의단지 아파트 연료전환을 통한 온실가스 감축사업</x:v>
      </x:c>
      <x:c r="E199" s="2" t="str">
        <x:v>60</x:v>
      </x:c>
      <x:c r="F199" s="2" t="str">
        <x:v>2017-06-09</x:v>
      </x:c>
      <x:c r="G199" s="2" t="str">
        <x:v>2017</x:v>
      </x:c>
      <x:c r="H199" s="2" t="str">
        <x:v>06</x:v>
      </x:c>
      <x:c r="I199" s="2" t="str">
        <x:v>승인</x:v>
      </x:c>
      <x:c r="J199" s="2" t="str">
        <x:v>심의승인</x:v>
      </x:c>
      <x:c r="K199" s="2" t="str">
        <x:f>IF(OR(J199="심의승인",J199="반려",J199="반려완료",J199="심의완료"),"종결 표시",IF(OR(J199="기후부협의",J199="문서재제출요청",J199="보류",J199="보완요청",J199="보완완료",J199="평가중",J199="반려요청",J199="평가필요",LEFT(J199,5)="보완요청("),"미종결 표시","상태 확인 필요"))</x:f>
        <x:v>종결 표시</x:v>
      </x:c>
      <x:c r="L199" s="2"/>
      <x:c r="M199" s="2"/>
      <x:c r="N199" s="8" t="n">
        <x:f>DATE(2026,10,15)-DATE(2017,6,9)</x:f>
        <x:v>3415</x:v>
      </x:c>
      <x:c r="O199" s="2"/>
      <x:c r="P199" s="2"/>
      <x:c r="Q199" s="2" t="str">
        <x:v>산업전환_외부사업관리Tool_260707_이너젠 수정_LJY_261013.xlsx</x:v>
      </x:c>
      <x:c r="R199" s="2" t="str">
        <x:v>국내평가</x:v>
      </x:c>
      <x:c r="S199" s="8" t="n">
        <x:v>102</x:v>
      </x:c>
      <x:c r="T199" s="2"/>
      <x:c r="U199" s="2" t="str"/>
      <x:c r="V199" s="2" t="str">
        <x:v>2018-08-07</x:v>
      </x:c>
      <x:c r="W199" s="2" t="str">
        <x:v>담당기관 확인</x:v>
      </x:c>
      <x:c r="X199" s="2" t="str">
        <x:v>원본·배정 기록 확인</x:v>
      </x:c>
      <x:c r="Y199" s="2" t="str">
        <x:v>ad210cd9ec132cfd447541c8984dc53d30aff0f4fb2dc92d254d49275cc55976</x:v>
      </x:c>
      <x:c r="Z199" s="2" t="n">
        <x:f>SUBTOTAL(103,A199)</x:f>
        <x:v>1</x:v>
      </x:c>
      <x:c r="AA199" s="2" t="str">
        <x:f>IF(K199&lt;&gt;"미종결 표시","대상 아님",IF(N199="","신청일 확인",IF(NOT(ISNUMBER('종합 현황'!$H$5)),"관찰기준 확인",IF('종합 현황'!$H$5&lt;1,"관찰기준 확인",IF(N199&gt;'종합 현황'!$H$5,"내부 관찰 대상","내부 관찰일 이하")))))</x:f>
        <x:v>대상 아님</x:v>
      </x:c>
      <x:c r="AB199" s="2"/>
    </x:row>
    <x:row r="200" ht="42" customHeight="1">
      <x:c r="A200" s="2" t="str">
        <x:v>ce6370f913d162e378a0e901</x:v>
      </x:c>
      <x:c r="B200" s="2" t="str">
        <x:v>사업 평가</x:v>
      </x:c>
      <x:c r="C200" s="2" t="str">
        <x:v>국내</x:v>
      </x:c>
      <x:c r="D200" s="7" t="str">
        <x:v>광주 각화 주공아파트 연료전환을 통한 온실가스 감축사업</x:v>
      </x:c>
      <x:c r="E200" s="2" t="str">
        <x:v>61</x:v>
      </x:c>
      <x:c r="F200" s="2" t="str">
        <x:v>2025-02-19</x:v>
      </x:c>
      <x:c r="G200" s="2" t="str">
        <x:v>2025</x:v>
      </x:c>
      <x:c r="H200" s="2" t="str">
        <x:v>02</x:v>
      </x:c>
      <x:c r="I200" s="2" t="str">
        <x:v>인증유효기간 갱신</x:v>
      </x:c>
      <x:c r="J200" s="2" t="str">
        <x:v>평가중</x:v>
      </x:c>
      <x:c r="K200" s="2" t="str">
        <x:f>IF(OR(J200="심의승인",J200="반려",J200="반려완료",J200="심의완료"),"종결 표시",IF(OR(J200="기후부협의",J200="문서재제출요청",J200="보류",J200="보완요청",J200="보완완료",J200="평가중",J200="반려요청",J200="평가필요",LEFT(J200,5)="보완요청("),"미종결 표시","상태 확인 필요"))</x:f>
        <x:v>미종결 표시</x:v>
      </x:c>
      <x:c r="L200" s="2"/>
      <x:c r="M200" s="2"/>
      <x:c r="N200" s="8" t="n">
        <x:f>DATE(2026,10,15)-DATE(2025,2,19)</x:f>
        <x:v>603</x:v>
      </x:c>
      <x:c r="O200" s="2" t="str">
        <x:v>생략</x:v>
      </x:c>
      <x:c r="P200" s="2" t="str">
        <x:v>갱신 전 사업계획서에 대한 모니터링 인증신청 건(1차)이 먼저 승인된 이후에 인증위 상정 필요(협의 필요)</x:v>
      </x:c>
      <x:c r="Q200" s="2" t="str">
        <x:v>산업전환_외부사업관리Tool_260707_이너젠 수정_LJY_261013.xlsx</x:v>
      </x:c>
      <x:c r="R200" s="2" t="str">
        <x:v>국내평가</x:v>
      </x:c>
      <x:c r="S200" s="8" t="n">
        <x:v>103</x:v>
      </x:c>
      <x:c r="T200" s="2" t="str">
        <x:v>2021년 처리</x:v>
      </x:c>
      <x:c r="U200" s="2" t="str">
        <x:v>2021 배정: 2021년 처리 / 2025 배정: (3/5),(7/18),(9/1),(10/16),(11/10) / 2026(사전): (3/19)</x:v>
      </x:c>
      <x:c r="V200" s="2" t="str">
        <x:v>2026-03-11</x:v>
      </x:c>
      <x:c r="W200" s="2" t="str">
        <x:v>담당기관 확인</x:v>
      </x:c>
      <x:c r="X200" s="2" t="str">
        <x:v>원본·배정 기록 확인</x:v>
      </x:c>
      <x:c r="Y200" s="2" t="str">
        <x:v>ad210cd9ec132cfd447541c8984dc53d30aff0f4fb2dc92d254d49275cc55976</x:v>
      </x:c>
      <x:c r="Z200" s="2" t="n">
        <x:f>SUBTOTAL(103,A200)</x:f>
        <x:v>1</x:v>
      </x:c>
      <x:c r="AA200" s="2" t="str">
        <x:f>IF(K200&lt;&gt;"미종결 표시","대상 아님",IF(N200="","신청일 확인",IF(NOT(ISNUMBER('종합 현황'!$H$5)),"관찰기준 확인",IF('종합 현황'!$H$5&lt;1,"관찰기준 확인",IF(N200&gt;'종합 현황'!$H$5,"내부 관찰 대상","내부 관찰일 이하")))))</x:f>
        <x:v>내부 관찰 대상</x:v>
      </x:c>
      <x:c r="AB200" s="2"/>
    </x:row>
    <x:row r="201" ht="42" customHeight="1">
      <x:c r="A201" s="2" t="str">
        <x:v>fe06a6d37201fb4b304f9f56</x:v>
      </x:c>
      <x:c r="B201" s="2" t="str">
        <x:v>사업 평가</x:v>
      </x:c>
      <x:c r="C201" s="2" t="str">
        <x:v>국내</x:v>
      </x:c>
      <x:c r="D201" s="7" t="str">
        <x:v>광주 두암 주공 2단지 아파트 연료전환을 통한 온실가스 감축사업</x:v>
      </x:c>
      <x:c r="E201" s="2" t="str">
        <x:v>62</x:v>
      </x:c>
      <x:c r="F201" s="2" t="str">
        <x:v>2025-02-19</x:v>
      </x:c>
      <x:c r="G201" s="2" t="str">
        <x:v>2025</x:v>
      </x:c>
      <x:c r="H201" s="2" t="str">
        <x:v>02</x:v>
      </x:c>
      <x:c r="I201" s="2" t="str">
        <x:v>인증유효기간 갱신</x:v>
      </x:c>
      <x:c r="J201" s="2" t="str">
        <x:v>기후부협의</x:v>
      </x:c>
      <x:c r="K201" s="2" t="str">
        <x:f>IF(OR(J201="심의승인",J201="반려",J201="반려완료",J201="심의완료"),"종결 표시",IF(OR(J201="기후부협의",J201="문서재제출요청",J201="보류",J201="보완요청",J201="보완완료",J201="평가중",J201="반려요청",J201="평가필요",LEFT(J201,5)="보완요청("),"미종결 표시","상태 확인 필요"))</x:f>
        <x:v>미종결 표시</x:v>
      </x:c>
      <x:c r="L201" s="2"/>
      <x:c r="M201" s="2"/>
      <x:c r="N201" s="8" t="n">
        <x:f>DATE(2026,10,15)-DATE(2025,2,19)</x:f>
        <x:v>603</x:v>
      </x:c>
      <x:c r="O201" s="2" t="str">
        <x:v>생략</x:v>
      </x:c>
      <x:c r="P201" s="2" t="str">
        <x:v>갱신 전 사업계획서에 대한 모니터링 인증신청 건(1차)이 먼저 승인된 이후에 인증위 상정 필요</x:v>
      </x:c>
      <x:c r="Q201" s="2" t="str">
        <x:v>산업전환_외부사업관리Tool_260707_이너젠 수정_LJY_261013.xlsx</x:v>
      </x:c>
      <x:c r="R201" s="2" t="str">
        <x:v>국내평가</x:v>
      </x:c>
      <x:c r="S201" s="8" t="n">
        <x:v>104</x:v>
      </x:c>
      <x:c r="T201" s="2" t="str">
        <x:v>2021년 처리</x:v>
      </x:c>
      <x:c r="U201" s="2" t="str">
        <x:v>2021 배정: 2021년 처리 / 2025 배정: (3/5),(6/26)</x:v>
      </x:c>
      <x:c r="V201" s="2" t="str">
        <x:v>2025-10-29</x:v>
      </x:c>
      <x:c r="W201" s="2" t="str">
        <x:v>담당기관 확인</x:v>
      </x:c>
      <x:c r="X201" s="2" t="str">
        <x:v>원본·배정 기록 확인</x:v>
      </x:c>
      <x:c r="Y201" s="2" t="str">
        <x:v>ad210cd9ec132cfd447541c8984dc53d30aff0f4fb2dc92d254d49275cc55976</x:v>
      </x:c>
      <x:c r="Z201" s="2" t="n">
        <x:f>SUBTOTAL(103,A201)</x:f>
        <x:v>1</x:v>
      </x:c>
      <x:c r="AA201" s="2" t="str">
        <x:f>IF(K201&lt;&gt;"미종결 표시","대상 아님",IF(N201="","신청일 확인",IF(NOT(ISNUMBER('종합 현황'!$H$5)),"관찰기준 확인",IF('종합 현황'!$H$5&lt;1,"관찰기준 확인",IF(N201&gt;'종합 현황'!$H$5,"내부 관찰 대상","내부 관찰일 이하")))))</x:f>
        <x:v>내부 관찰 대상</x:v>
      </x:c>
      <x:c r="AB201" s="2"/>
    </x:row>
    <x:row r="202" ht="42" customHeight="1">
      <x:c r="A202" s="2" t="str">
        <x:v>7ab06cba32473ac4a3225f85</x:v>
      </x:c>
      <x:c r="B202" s="2" t="str">
        <x:v>사업 평가</x:v>
      </x:c>
      <x:c r="C202" s="2" t="str">
        <x:v>국내</x:v>
      </x:c>
      <x:c r="D202" s="7" t="str">
        <x:v>광주 두암 주공 4단지 아파트 연료전환을 통한 온실가스 감축사업</x:v>
      </x:c>
      <x:c r="E202" s="2" t="str">
        <x:v>63</x:v>
      </x:c>
      <x:c r="F202" s="2" t="str">
        <x:v>2025-02-19</x:v>
      </x:c>
      <x:c r="G202" s="2" t="str">
        <x:v>2025</x:v>
      </x:c>
      <x:c r="H202" s="2" t="str">
        <x:v>02</x:v>
      </x:c>
      <x:c r="I202" s="2" t="str">
        <x:v>인증유효기간 갱신</x:v>
      </x:c>
      <x:c r="J202" s="2" t="str">
        <x:v>기후부협의</x:v>
      </x:c>
      <x:c r="K202" s="2" t="str">
        <x:f>IF(OR(J202="심의승인",J202="반려",J202="반려완료",J202="심의완료"),"종결 표시",IF(OR(J202="기후부협의",J202="문서재제출요청",J202="보류",J202="보완요청",J202="보완완료",J202="평가중",J202="반려요청",J202="평가필요",LEFT(J202,5)="보완요청("),"미종결 표시","상태 확인 필요"))</x:f>
        <x:v>미종결 표시</x:v>
      </x:c>
      <x:c r="L202" s="2"/>
      <x:c r="M202" s="2"/>
      <x:c r="N202" s="8" t="n">
        <x:f>DATE(2026,10,15)-DATE(2025,2,19)</x:f>
        <x:v>603</x:v>
      </x:c>
      <x:c r="O202" s="2" t="str">
        <x:v>생략</x:v>
      </x:c>
      <x:c r="P202" s="2" t="str">
        <x:v>갱신 전 사업계획서에 대한 모니터링 인증신청 건(1차)이 먼저 승인된 이후에 인증위 상정 필요</x:v>
      </x:c>
      <x:c r="Q202" s="2" t="str">
        <x:v>산업전환_외부사업관리Tool_260707_이너젠 수정_LJY_261013.xlsx</x:v>
      </x:c>
      <x:c r="R202" s="2" t="str">
        <x:v>국내평가</x:v>
      </x:c>
      <x:c r="S202" s="8" t="n">
        <x:v>105</x:v>
      </x:c>
      <x:c r="T202" s="2" t="str">
        <x:v>2021년 처리</x:v>
      </x:c>
      <x:c r="U202" s="2" t="str">
        <x:v>2021 배정: 2021년 처리 / 2025 배정: (3/5),(6/26),(9/1)</x:v>
      </x:c>
      <x:c r="V202" s="2" t="str">
        <x:v>2025-10-29</x:v>
      </x:c>
      <x:c r="W202" s="2" t="str">
        <x:v>담당기관 확인</x:v>
      </x:c>
      <x:c r="X202" s="2" t="str">
        <x:v>원본·배정 기록 확인</x:v>
      </x:c>
      <x:c r="Y202" s="2" t="str">
        <x:v>ad210cd9ec132cfd447541c8984dc53d30aff0f4fb2dc92d254d49275cc55976</x:v>
      </x:c>
      <x:c r="Z202" s="2" t="n">
        <x:f>SUBTOTAL(103,A202)</x:f>
        <x:v>1</x:v>
      </x:c>
      <x:c r="AA202" s="2" t="str">
        <x:f>IF(K202&lt;&gt;"미종결 표시","대상 아님",IF(N202="","신청일 확인",IF(NOT(ISNUMBER('종합 현황'!$H$5)),"관찰기준 확인",IF('종합 현황'!$H$5&lt;1,"관찰기준 확인",IF(N202&gt;'종합 현황'!$H$5,"내부 관찰 대상","내부 관찰일 이하")))))</x:f>
        <x:v>내부 관찰 대상</x:v>
      </x:c>
      <x:c r="AB202" s="2"/>
    </x:row>
    <x:row r="203" ht="42" customHeight="1">
      <x:c r="A203" s="2" t="str">
        <x:v>fae0f957bd085ca5626f7aff</x:v>
      </x:c>
      <x:c r="B203" s="2" t="str">
        <x:v>사업 평가</x:v>
      </x:c>
      <x:c r="C203" s="2" t="str">
        <x:v>국내</x:v>
      </x:c>
      <x:c r="D203" s="7" t="str">
        <x:v>광주 쌍촌 주공 아파트 연료전환을 통한 온실가스 감축사업</x:v>
      </x:c>
      <x:c r="E203" s="2" t="str">
        <x:v>64</x:v>
      </x:c>
      <x:c r="F203" s="2" t="str">
        <x:v>2025-02-19</x:v>
      </x:c>
      <x:c r="G203" s="2" t="str">
        <x:v>2025</x:v>
      </x:c>
      <x:c r="H203" s="2" t="str">
        <x:v>02</x:v>
      </x:c>
      <x:c r="I203" s="2" t="str">
        <x:v>인증유효기간 갱신</x:v>
      </x:c>
      <x:c r="J203" s="2" t="str">
        <x:v>기후부협의</x:v>
      </x:c>
      <x:c r="K203" s="2" t="str">
        <x:f>IF(OR(J203="심의승인",J203="반려",J203="반려완료",J203="심의완료"),"종결 표시",IF(OR(J203="기후부협의",J203="문서재제출요청",J203="보류",J203="보완요청",J203="보완완료",J203="평가중",J203="반려요청",J203="평가필요",LEFT(J203,5)="보완요청("),"미종결 표시","상태 확인 필요"))</x:f>
        <x:v>미종결 표시</x:v>
      </x:c>
      <x:c r="L203" s="2"/>
      <x:c r="M203" s="2"/>
      <x:c r="N203" s="8" t="n">
        <x:f>DATE(2026,10,15)-DATE(2025,2,19)</x:f>
        <x:v>603</x:v>
      </x:c>
      <x:c r="O203" s="2" t="str">
        <x:v>생략</x:v>
      </x:c>
      <x:c r="P203" s="2" t="str">
        <x:v>갱신 전 사업계획서에 대한 모니터링 인증신청 건(1차)이 먼저 승인된 이후에 인증위 상정 필요</x:v>
      </x:c>
      <x:c r="Q203" s="2" t="str">
        <x:v>산업전환_외부사업관리Tool_260707_이너젠 수정_LJY_261013.xlsx</x:v>
      </x:c>
      <x:c r="R203" s="2" t="str">
        <x:v>국내평가</x:v>
      </x:c>
      <x:c r="S203" s="8" t="n">
        <x:v>106</x:v>
      </x:c>
      <x:c r="T203" s="2" t="str">
        <x:v>2021년 처리</x:v>
      </x:c>
      <x:c r="U203" s="2" t="str">
        <x:v>2021 배정: 2021년 처리 / 2025 배정: (3/5),(6/26)</x:v>
      </x:c>
      <x:c r="V203" s="2" t="str">
        <x:v>2025-10-29</x:v>
      </x:c>
      <x:c r="W203" s="2" t="str">
        <x:v>담당기관 확인</x:v>
      </x:c>
      <x:c r="X203" s="2" t="str">
        <x:v>원본·배정 기록 확인</x:v>
      </x:c>
      <x:c r="Y203" s="2" t="str">
        <x:v>ad210cd9ec132cfd447541c8984dc53d30aff0f4fb2dc92d254d49275cc55976</x:v>
      </x:c>
      <x:c r="Z203" s="2" t="n">
        <x:f>SUBTOTAL(103,A203)</x:f>
        <x:v>1</x:v>
      </x:c>
      <x:c r="AA203" s="2" t="str">
        <x:f>IF(K203&lt;&gt;"미종결 표시","대상 아님",IF(N203="","신청일 확인",IF(NOT(ISNUMBER('종합 현황'!$H$5)),"관찰기준 확인",IF('종합 현황'!$H$5&lt;1,"관찰기준 확인",IF(N203&gt;'종합 현황'!$H$5,"내부 관찰 대상","내부 관찰일 이하")))))</x:f>
        <x:v>내부 관찰 대상</x:v>
      </x:c>
      <x:c r="AB203" s="2"/>
    </x:row>
    <x:row r="204" ht="42" customHeight="1">
      <x:c r="A204" s="2" t="str">
        <x:v>ec7b255f73b760e89fc188b6</x:v>
      </x:c>
      <x:c r="B204" s="2" t="str">
        <x:v>사업 평가</x:v>
      </x:c>
      <x:c r="C204" s="2" t="str">
        <x:v>국내</x:v>
      </x:c>
      <x:c r="D204" s="7" t="str">
        <x:v>광주 오치 주공 1단지 아파트 연료전환을 통한 온실가스 감축사업</x:v>
      </x:c>
      <x:c r="E204" s="2" t="str">
        <x:v>65</x:v>
      </x:c>
      <x:c r="F204" s="2" t="str">
        <x:v>2025-02-12</x:v>
      </x:c>
      <x:c r="G204" s="2" t="str">
        <x:v>2025</x:v>
      </x:c>
      <x:c r="H204" s="2" t="str">
        <x:v>02</x:v>
      </x:c>
      <x:c r="I204" s="2" t="str">
        <x:v>인증유효기간 갱신</x:v>
      </x:c>
      <x:c r="J204" s="2" t="str">
        <x:v>기후부협의</x:v>
      </x:c>
      <x:c r="K204" s="2" t="str">
        <x:f>IF(OR(J204="심의승인",J204="반려",J204="반려완료",J204="심의완료"),"종결 표시",IF(OR(J204="기후부협의",J204="문서재제출요청",J204="보류",J204="보완요청",J204="보완완료",J204="평가중",J204="반려요청",J204="평가필요",LEFT(J204,5)="보완요청("),"미종결 표시","상태 확인 필요"))</x:f>
        <x:v>미종결 표시</x:v>
      </x:c>
      <x:c r="L204" s="2"/>
      <x:c r="M204" s="2"/>
      <x:c r="N204" s="8" t="n">
        <x:f>DATE(2026,10,15)-DATE(2025,2,12)</x:f>
        <x:v>610</x:v>
      </x:c>
      <x:c r="O204" s="2" t="str">
        <x:v>생략</x:v>
      </x:c>
      <x:c r="P204" s="2" t="str">
        <x:v>갱신 전 사업계획서에 대한 모니터링 인증신청 건(1차)이 먼저 승인된 이후에 인증위 상정 필요</x:v>
      </x:c>
      <x:c r="Q204" s="2" t="str">
        <x:v>산업전환_외부사업관리Tool_260707_이너젠 수정_LJY_261013.xlsx</x:v>
      </x:c>
      <x:c r="R204" s="2" t="str">
        <x:v>국내평가</x:v>
      </x:c>
      <x:c r="S204" s="8" t="n">
        <x:v>107</x:v>
      </x:c>
      <x:c r="T204" s="2" t="str">
        <x:v>2021년 처리</x:v>
      </x:c>
      <x:c r="U204" s="2" t="str">
        <x:v>2021 배정: 2021년 처리 / 2025 배정: (3/5),(7/18)</x:v>
      </x:c>
      <x:c r="V204" s="2" t="str">
        <x:v>2025-10-29</x:v>
      </x:c>
      <x:c r="W204" s="2" t="str">
        <x:v>담당기관 확인</x:v>
      </x:c>
      <x:c r="X204" s="2" t="str">
        <x:v>원본·배정 기록 확인</x:v>
      </x:c>
      <x:c r="Y204" s="2" t="str">
        <x:v>ad210cd9ec132cfd447541c8984dc53d30aff0f4fb2dc92d254d49275cc55976</x:v>
      </x:c>
      <x:c r="Z204" s="2" t="n">
        <x:f>SUBTOTAL(103,A204)</x:f>
        <x:v>1</x:v>
      </x:c>
      <x:c r="AA204" s="2" t="str">
        <x:f>IF(K204&lt;&gt;"미종결 표시","대상 아님",IF(N204="","신청일 확인",IF(NOT(ISNUMBER('종합 현황'!$H$5)),"관찰기준 확인",IF('종합 현황'!$H$5&lt;1,"관찰기준 확인",IF(N204&gt;'종합 현황'!$H$5,"내부 관찰 대상","내부 관찰일 이하")))))</x:f>
        <x:v>내부 관찰 대상</x:v>
      </x:c>
      <x:c r="AB204" s="2"/>
    </x:row>
    <x:row r="205" ht="42" customHeight="1">
      <x:c r="A205" s="2" t="str">
        <x:v>400f11c8d7fb437103372eb3</x:v>
      </x:c>
      <x:c r="B205" s="2" t="str">
        <x:v>사업 평가</x:v>
      </x:c>
      <x:c r="C205" s="2" t="str">
        <x:v>국내</x:v>
      </x:c>
      <x:c r="D205" s="7" t="str">
        <x:v>광주 우산 주공 3단지 아파트 연료전환을 통한 온실가스 감축사업</x:v>
      </x:c>
      <x:c r="E205" s="2" t="str">
        <x:v>66</x:v>
      </x:c>
      <x:c r="F205" s="2" t="str">
        <x:v>2025-02-19</x:v>
      </x:c>
      <x:c r="G205" s="2" t="str">
        <x:v>2025</x:v>
      </x:c>
      <x:c r="H205" s="2" t="str">
        <x:v>02</x:v>
      </x:c>
      <x:c r="I205" s="2" t="str">
        <x:v>인증유효기간 갱신</x:v>
      </x:c>
      <x:c r="J205" s="2" t="str">
        <x:v>평가중</x:v>
      </x:c>
      <x:c r="K205" s="2" t="str">
        <x:f>IF(OR(J205="심의승인",J205="반려",J205="반려완료",J205="심의완료"),"종결 표시",IF(OR(J205="기후부협의",J205="문서재제출요청",J205="보류",J205="보완요청",J205="보완완료",J205="평가중",J205="반려요청",J205="평가필요",LEFT(J205,5)="보완요청("),"미종결 표시","상태 확인 필요"))</x:f>
        <x:v>미종결 표시</x:v>
      </x:c>
      <x:c r="L205" s="2"/>
      <x:c r="M205" s="2"/>
      <x:c r="N205" s="8" t="n">
        <x:f>DATE(2026,10,15)-DATE(2025,2,19)</x:f>
        <x:v>603</x:v>
      </x:c>
      <x:c r="O205" s="2" t="str">
        <x:v>생략</x:v>
      </x:c>
      <x:c r="P205" s="2" t="str">
        <x:v>갱신 전 사업계획서에 대한 모니터링 인증신청 건(1차)이 먼저 승인된 이후에 인증위 상정 필요(협의 필요)</x:v>
      </x:c>
      <x:c r="Q205" s="2" t="str">
        <x:v>산업전환_외부사업관리Tool_260707_이너젠 수정_LJY_261013.xlsx</x:v>
      </x:c>
      <x:c r="R205" s="2" t="str">
        <x:v>국내평가</x:v>
      </x:c>
      <x:c r="S205" s="8" t="n">
        <x:v>108</x:v>
      </x:c>
      <x:c r="T205" s="2" t="str">
        <x:v>2021년 처리</x:v>
      </x:c>
      <x:c r="U205" s="2" t="str">
        <x:v>2021 배정: 2021년 처리 / 2025 배정: (3/5),(7/18),(9/1) / 2026(사전): (2/3)</x:v>
      </x:c>
      <x:c r="V205" s="2" t="str">
        <x:v>2026-01-20</x:v>
      </x:c>
      <x:c r="W205" s="2" t="str">
        <x:v>담당기관 확인</x:v>
      </x:c>
      <x:c r="X205" s="2" t="str">
        <x:v>원본·배정 기록 확인</x:v>
      </x:c>
      <x:c r="Y205" s="2" t="str">
        <x:v>ad210cd9ec132cfd447541c8984dc53d30aff0f4fb2dc92d254d49275cc55976</x:v>
      </x:c>
      <x:c r="Z205" s="2" t="n">
        <x:f>SUBTOTAL(103,A205)</x:f>
        <x:v>1</x:v>
      </x:c>
      <x:c r="AA205" s="2" t="str">
        <x:f>IF(K205&lt;&gt;"미종결 표시","대상 아님",IF(N205="","신청일 확인",IF(NOT(ISNUMBER('종합 현황'!$H$5)),"관찰기준 확인",IF('종합 현황'!$H$5&lt;1,"관찰기준 확인",IF(N205&gt;'종합 현황'!$H$5,"내부 관찰 대상","내부 관찰일 이하")))))</x:f>
        <x:v>내부 관찰 대상</x:v>
      </x:c>
      <x:c r="AB205" s="2"/>
    </x:row>
    <x:row r="206" ht="42" customHeight="1">
      <x:c r="A206" s="2" t="str">
        <x:v>f9bf208545815af1e604d472</x:v>
      </x:c>
      <x:c r="B206" s="2" t="str">
        <x:v>사업 평가</x:v>
      </x:c>
      <x:c r="C206" s="2" t="str">
        <x:v>국내</x:v>
      </x:c>
      <x:c r="D206" s="7" t="str">
        <x:v>광주 하남 주공 1차 아파트 연료전환을 통한 온실가스 감축사업</x:v>
      </x:c>
      <x:c r="E206" s="2" t="str">
        <x:v>67</x:v>
      </x:c>
      <x:c r="F206" s="2" t="str">
        <x:v>2025-02-19</x:v>
      </x:c>
      <x:c r="G206" s="2" t="str">
        <x:v>2025</x:v>
      </x:c>
      <x:c r="H206" s="2" t="str">
        <x:v>02</x:v>
      </x:c>
      <x:c r="I206" s="2" t="str">
        <x:v>인증유효기간 갱신</x:v>
      </x:c>
      <x:c r="J206" s="2" t="str">
        <x:v>기후부협의</x:v>
      </x:c>
      <x:c r="K206" s="2" t="str">
        <x:f>IF(OR(J206="심의승인",J206="반려",J206="반려완료",J206="심의완료"),"종결 표시",IF(OR(J206="기후부협의",J206="문서재제출요청",J206="보류",J206="보완요청",J206="보완완료",J206="평가중",J206="반려요청",J206="평가필요",LEFT(J206,5)="보완요청("),"미종결 표시","상태 확인 필요"))</x:f>
        <x:v>미종결 표시</x:v>
      </x:c>
      <x:c r="L206" s="2"/>
      <x:c r="M206" s="2"/>
      <x:c r="N206" s="8" t="n">
        <x:f>DATE(2026,10,15)-DATE(2025,2,19)</x:f>
        <x:v>603</x:v>
      </x:c>
      <x:c r="O206" s="2" t="str">
        <x:v>생략</x:v>
      </x:c>
      <x:c r="P206" s="2" t="str">
        <x:v>갱신 전 사업계획서에 대한 모니터링 인증신청 건(1차)이 먼저 승인된 이후에 인증위 상정 필요</x:v>
      </x:c>
      <x:c r="Q206" s="2" t="str">
        <x:v>산업전환_외부사업관리Tool_260707_이너젠 수정_LJY_261013.xlsx</x:v>
      </x:c>
      <x:c r="R206" s="2" t="str">
        <x:v>국내평가</x:v>
      </x:c>
      <x:c r="S206" s="8" t="n">
        <x:v>109</x:v>
      </x:c>
      <x:c r="T206" s="2" t="str">
        <x:v>2021년 처리</x:v>
      </x:c>
      <x:c r="U206" s="2" t="str">
        <x:v>2021 배정: 2021년 처리 / 2025 배정: (3/5),(7/18)</x:v>
      </x:c>
      <x:c r="V206" s="2" t="str">
        <x:v>2025-10-29</x:v>
      </x:c>
      <x:c r="W206" s="2" t="str">
        <x:v>담당기관 확인</x:v>
      </x:c>
      <x:c r="X206" s="2" t="str">
        <x:v>원본·배정 기록 확인</x:v>
      </x:c>
      <x:c r="Y206" s="2" t="str">
        <x:v>ad210cd9ec132cfd447541c8984dc53d30aff0f4fb2dc92d254d49275cc55976</x:v>
      </x:c>
      <x:c r="Z206" s="2" t="n">
        <x:f>SUBTOTAL(103,A206)</x:f>
        <x:v>1</x:v>
      </x:c>
      <x:c r="AA206" s="2" t="str">
        <x:f>IF(K206&lt;&gt;"미종결 표시","대상 아님",IF(N206="","신청일 확인",IF(NOT(ISNUMBER('종합 현황'!$H$5)),"관찰기준 확인",IF('종합 현황'!$H$5&lt;1,"관찰기준 확인",IF(N206&gt;'종합 현황'!$H$5,"내부 관찰 대상","내부 관찰일 이하")))))</x:f>
        <x:v>내부 관찰 대상</x:v>
      </x:c>
      <x:c r="AB206" s="2"/>
    </x:row>
    <x:row r="207" ht="42" customHeight="1">
      <x:c r="A207" s="2" t="str">
        <x:v>6bddfe6b08553d857904dc43</x:v>
      </x:c>
      <x:c r="B207" s="2" t="str">
        <x:v>사업 평가</x:v>
      </x:c>
      <x:c r="C207" s="2" t="str">
        <x:v>국내</x:v>
      </x:c>
      <x:c r="D207" s="7" t="str">
        <x:v>스팀에너지생산공정에서 화석연료 전환을 통한 온실가스 감축사업</x:v>
      </x:c>
      <x:c r="E207" s="2" t="str">
        <x:v>68</x:v>
      </x:c>
      <x:c r="F207" s="2" t="str">
        <x:v>2017-07-18</x:v>
      </x:c>
      <x:c r="G207" s="2" t="str">
        <x:v>2017</x:v>
      </x:c>
      <x:c r="H207" s="2" t="str">
        <x:v>07</x:v>
      </x:c>
      <x:c r="I207" s="2" t="str">
        <x:v>사업변경 신청</x:v>
      </x:c>
      <x:c r="J207" s="2" t="str">
        <x:v>반려</x:v>
      </x:c>
      <x:c r="K207" s="2" t="str">
        <x:f>IF(OR(J207="심의승인",J207="반려",J207="반려완료",J207="심의완료"),"종결 표시",IF(OR(J207="기후부협의",J207="문서재제출요청",J207="보류",J207="보완요청",J207="보완완료",J207="평가중",J207="반려요청",J207="평가필요",LEFT(J207,5)="보완요청("),"미종결 표시","상태 확인 필요"))</x:f>
        <x:v>종결 표시</x:v>
      </x:c>
      <x:c r="L207" s="2" t="str">
        <x:v>(자문)한상국, 장유리, 에코시안_정인혜,박세은</x:v>
      </x:c>
      <x:c r="M207" s="2"/>
      <x:c r="N207" s="8" t="n">
        <x:f>DATE(2026,10,15)-DATE(2017,7,18)</x:f>
        <x:v>3376</x:v>
      </x:c>
      <x:c r="O207" s="2" t="str">
        <x:v>O</x:v>
      </x:c>
      <x:c r="P207" s="2"/>
      <x:c r="Q207" s="2" t="str">
        <x:v>산업전환_외부사업관리Tool_260707_이너젠 수정_LJY_261013.xlsx</x:v>
      </x:c>
      <x:c r="R207" s="2" t="str">
        <x:v>국내평가</x:v>
      </x:c>
      <x:c r="S207" s="8" t="n">
        <x:v>110</x:v>
      </x:c>
      <x:c r="T207" s="2" t="str">
        <x:v>(4/23),(5/26),(6/28),(9/1)</x:v>
      </x:c>
      <x:c r="U207" s="2" t="str">
        <x:v>2021 배정: (4/23),(5/26),(6/28),(9/1) / 2022 배정(신규): (7/13)</x:v>
      </x:c>
      <x:c r="V207" s="2" t="str">
        <x:v>2023-03-20</x:v>
      </x:c>
      <x:c r="W207" s="2" t="str"/>
      <x:c r="X207" s="2" t="str">
        <x:v>종결 근거 보관</x:v>
      </x:c>
      <x:c r="Y207" s="2" t="str">
        <x:v>ad210cd9ec132cfd447541c8984dc53d30aff0f4fb2dc92d254d49275cc55976</x:v>
      </x:c>
      <x:c r="Z207" s="2" t="n">
        <x:f>SUBTOTAL(103,A207)</x:f>
        <x:v>1</x:v>
      </x:c>
      <x:c r="AA207" s="2" t="str">
        <x:f>IF(K207&lt;&gt;"미종결 표시","대상 아님",IF(N207="","신청일 확인",IF(NOT(ISNUMBER('종합 현황'!$H$5)),"관찰기준 확인",IF('종합 현황'!$H$5&lt;1,"관찰기준 확인",IF(N207&gt;'종합 현황'!$H$5,"내부 관찰 대상","내부 관찰일 이하")))))</x:f>
        <x:v>대상 아님</x:v>
      </x:c>
      <x:c r="AB207" s="2"/>
    </x:row>
    <x:row r="208" ht="42" customHeight="1">
      <x:c r="A208" s="2" t="str">
        <x:v>61471602f243ff2f3573612c</x:v>
      </x:c>
      <x:c r="B208" s="2" t="str">
        <x:v>사업 평가</x:v>
      </x:c>
      <x:c r="C208" s="2" t="str">
        <x:v>국내</x:v>
      </x:c>
      <x:c r="D208" s="7" t="str">
        <x:v>영미산업(주) 보일러 연료 BC유 및 부생연료1호를 LNG로의 전환을 통한 온실가스 감축사업</x:v>
      </x:c>
      <x:c r="E208" s="2" t="str">
        <x:v>69</x:v>
      </x:c>
      <x:c r="F208" s="2" t="str">
        <x:v>2017-07-19</x:v>
      </x:c>
      <x:c r="G208" s="2" t="str">
        <x:v>2017</x:v>
      </x:c>
      <x:c r="H208" s="2" t="str">
        <x:v>07</x:v>
      </x:c>
      <x:c r="I208" s="2" t="str">
        <x:v>승인</x:v>
      </x:c>
      <x:c r="J208" s="2" t="str">
        <x:v>심의승인</x:v>
      </x:c>
      <x:c r="K208" s="2" t="str">
        <x:f>IF(OR(J208="심의승인",J208="반려",J208="반려완료",J208="심의완료"),"종결 표시",IF(OR(J208="기후부협의",J208="문서재제출요청",J208="보류",J208="보완요청",J208="보완완료",J208="평가중",J208="반려요청",J208="평가필요",LEFT(J208,5)="보완요청("),"미종결 표시","상태 확인 필요"))</x:f>
        <x:v>종결 표시</x:v>
      </x:c>
      <x:c r="L208" s="2"/>
      <x:c r="M208" s="2"/>
      <x:c r="N208" s="8" t="n">
        <x:f>DATE(2026,10,15)-DATE(2017,7,19)</x:f>
        <x:v>3375</x:v>
      </x:c>
      <x:c r="O208" s="2"/>
      <x:c r="P208" s="2"/>
      <x:c r="Q208" s="2" t="str">
        <x:v>산업전환_외부사업관리Tool_260707_이너젠 수정_LJY_261013.xlsx</x:v>
      </x:c>
      <x:c r="R208" s="2" t="str">
        <x:v>국내평가</x:v>
      </x:c>
      <x:c r="S208" s="8" t="n">
        <x:v>111</x:v>
      </x:c>
      <x:c r="T208" s="2" t="str">
        <x:v>2021년 처리</x:v>
      </x:c>
      <x:c r="U208" s="2" t="str">
        <x:v>2021 배정: 2021년 처리</x:v>
      </x:c>
      <x:c r="V208" s="2" t="str">
        <x:v>2021-09-27</x:v>
      </x:c>
      <x:c r="W208" s="2" t="str">
        <x:v>담당기관 확인</x:v>
      </x:c>
      <x:c r="X208" s="2" t="str">
        <x:v>원본·배정 기록 확인</x:v>
      </x:c>
      <x:c r="Y208" s="2" t="str">
        <x:v>ad210cd9ec132cfd447541c8984dc53d30aff0f4fb2dc92d254d49275cc55976</x:v>
      </x:c>
      <x:c r="Z208" s="2" t="n">
        <x:f>SUBTOTAL(103,A208)</x:f>
        <x:v>1</x:v>
      </x:c>
      <x:c r="AA208" s="2" t="str">
        <x:f>IF(K208&lt;&gt;"미종결 표시","대상 아님",IF(N208="","신청일 확인",IF(NOT(ISNUMBER('종합 현황'!$H$5)),"관찰기준 확인",IF('종합 현황'!$H$5&lt;1,"관찰기준 확인",IF(N208&gt;'종합 현황'!$H$5,"내부 관찰 대상","내부 관찰일 이하")))))</x:f>
        <x:v>대상 아님</x:v>
      </x:c>
      <x:c r="AB208" s="2"/>
    </x:row>
    <x:row r="209" ht="42" customHeight="1">
      <x:c r="A209" s="2" t="str">
        <x:v>a62f17d1aab3691bbb136acf</x:v>
      </x:c>
      <x:c r="B209" s="2" t="str">
        <x:v>사업 평가</x:v>
      </x:c>
      <x:c r="C209" s="2" t="str">
        <x:v>국내</x:v>
      </x:c>
      <x:c r="D209" s="7" t="str">
        <x:v>삼화페인트공업 주식회사 연료전환 (B-C유 → 도시가스) 감축사업</x:v>
      </x:c>
      <x:c r="E209" s="2" t="str">
        <x:v>70</x:v>
      </x:c>
      <x:c r="F209" s="2" t="str">
        <x:v>2017-08-07</x:v>
      </x:c>
      <x:c r="G209" s="2" t="str">
        <x:v>2017</x:v>
      </x:c>
      <x:c r="H209" s="2" t="str">
        <x:v>08</x:v>
      </x:c>
      <x:c r="I209" s="2" t="str">
        <x:v>승인</x:v>
      </x:c>
      <x:c r="J209" s="2" t="str">
        <x:v>심의승인</x:v>
      </x:c>
      <x:c r="K209" s="2" t="str">
        <x:f>IF(OR(J209="심의승인",J209="반려",J209="반려완료",J209="심의완료"),"종결 표시",IF(OR(J209="기후부협의",J209="문서재제출요청",J209="보류",J209="보완요청",J209="보완완료",J209="평가중",J209="반려요청",J209="평가필요",LEFT(J209,5)="보완요청("),"미종결 표시","상태 확인 필요"))</x:f>
        <x:v>종결 표시</x:v>
      </x:c>
      <x:c r="L209" s="2"/>
      <x:c r="M209" s="2"/>
      <x:c r="N209" s="8" t="n">
        <x:f>DATE(2026,10,15)-DATE(2017,8,7)</x:f>
        <x:v>3356</x:v>
      </x:c>
      <x:c r="O209" s="2"/>
      <x:c r="P209" s="2"/>
      <x:c r="Q209" s="2" t="str">
        <x:v>산업전환_외부사업관리Tool_260707_이너젠 수정_LJY_261013.xlsx</x:v>
      </x:c>
      <x:c r="R209" s="2" t="str">
        <x:v>국내평가</x:v>
      </x:c>
      <x:c r="S209" s="8" t="n">
        <x:v>112</x:v>
      </x:c>
      <x:c r="T209" s="2"/>
      <x:c r="U209" s="2" t="str"/>
      <x:c r="V209" s="2" t="str">
        <x:v>2018-12-11</x:v>
      </x:c>
      <x:c r="W209" s="2" t="str">
        <x:v>담당기관 확인</x:v>
      </x:c>
      <x:c r="X209" s="2" t="str">
        <x:v>원본·배정 기록 확인</x:v>
      </x:c>
      <x:c r="Y209" s="2" t="str">
        <x:v>ad210cd9ec132cfd447541c8984dc53d30aff0f4fb2dc92d254d49275cc55976</x:v>
      </x:c>
      <x:c r="Z209" s="2" t="n">
        <x:f>SUBTOTAL(103,A209)</x:f>
        <x:v>1</x:v>
      </x:c>
      <x:c r="AA209" s="2" t="str">
        <x:f>IF(K209&lt;&gt;"미종결 표시","대상 아님",IF(N209="","신청일 확인",IF(NOT(ISNUMBER('종합 현황'!$H$5)),"관찰기준 확인",IF('종합 현황'!$H$5&lt;1,"관찰기준 확인",IF(N209&gt;'종합 현황'!$H$5,"내부 관찰 대상","내부 관찰일 이하")))))</x:f>
        <x:v>대상 아님</x:v>
      </x:c>
      <x:c r="AB209" s="2"/>
    </x:row>
    <x:row r="210" ht="42" customHeight="1">
      <x:c r="A210" s="2" t="str">
        <x:v>ce0fe1ee39e5ad67958c98b4</x:v>
      </x:c>
      <x:c r="B210" s="2" t="str">
        <x:v>사업 평가</x:v>
      </x:c>
      <x:c r="C210" s="2" t="str">
        <x:v>국내</x:v>
      </x:c>
      <x:c r="D210" s="7" t="str">
        <x:v>신안포장산업 주식회사 연료전환 (정제유 -&gt;도시가스) 감축사업</x:v>
      </x:c>
      <x:c r="E210" s="2" t="str">
        <x:v>71</x:v>
      </x:c>
      <x:c r="F210" s="2" t="str">
        <x:v>2017-08-07</x:v>
      </x:c>
      <x:c r="G210" s="2" t="str">
        <x:v>2017</x:v>
      </x:c>
      <x:c r="H210" s="2" t="str">
        <x:v>08</x:v>
      </x:c>
      <x:c r="I210" s="2" t="str">
        <x:v>승인</x:v>
      </x:c>
      <x:c r="J210" s="2" t="str">
        <x:v>심의승인</x:v>
      </x:c>
      <x:c r="K210" s="2" t="str">
        <x:f>IF(OR(J210="심의승인",J210="반려",J210="반려완료",J210="심의완료"),"종결 표시",IF(OR(J210="기후부협의",J210="문서재제출요청",J210="보류",J210="보완요청",J210="보완완료",J210="평가중",J210="반려요청",J210="평가필요",LEFT(J210,5)="보완요청("),"미종결 표시","상태 확인 필요"))</x:f>
        <x:v>종결 표시</x:v>
      </x:c>
      <x:c r="L210" s="2"/>
      <x:c r="M210" s="2"/>
      <x:c r="N210" s="8" t="n">
        <x:f>DATE(2026,10,15)-DATE(2017,8,7)</x:f>
        <x:v>3356</x:v>
      </x:c>
      <x:c r="O210" s="2"/>
      <x:c r="P210" s="2"/>
      <x:c r="Q210" s="2" t="str">
        <x:v>산업전환_외부사업관리Tool_260707_이너젠 수정_LJY_261013.xlsx</x:v>
      </x:c>
      <x:c r="R210" s="2" t="str">
        <x:v>국내평가</x:v>
      </x:c>
      <x:c r="S210" s="8" t="n">
        <x:v>113</x:v>
      </x:c>
      <x:c r="T210" s="2"/>
      <x:c r="U210" s="2" t="str"/>
      <x:c r="V210" s="2" t="str">
        <x:v>2018-12-11</x:v>
      </x:c>
      <x:c r="W210" s="2" t="str">
        <x:v>담당기관 확인</x:v>
      </x:c>
      <x:c r="X210" s="2" t="str">
        <x:v>원본·배정 기록 확인</x:v>
      </x:c>
      <x:c r="Y210" s="2" t="str">
        <x:v>ad210cd9ec132cfd447541c8984dc53d30aff0f4fb2dc92d254d49275cc55976</x:v>
      </x:c>
      <x:c r="Z210" s="2" t="n">
        <x:f>SUBTOTAL(103,A210)</x:f>
        <x:v>1</x:v>
      </x:c>
      <x:c r="AA210" s="2" t="str">
        <x:f>IF(K210&lt;&gt;"미종결 표시","대상 아님",IF(N210="","신청일 확인",IF(NOT(ISNUMBER('종합 현황'!$H$5)),"관찰기준 확인",IF('종합 현황'!$H$5&lt;1,"관찰기준 확인",IF(N210&gt;'종합 현황'!$H$5,"내부 관찰 대상","내부 관찰일 이하")))))</x:f>
        <x:v>대상 아님</x:v>
      </x:c>
      <x:c r="AB210" s="2"/>
    </x:row>
    <x:row r="211" ht="42" customHeight="1">
      <x:c r="A211" s="2" t="str">
        <x:v>a29c92af139ad55f996294d9</x:v>
      </x:c>
      <x:c r="B211" s="2" t="str">
        <x:v>사업 평가</x:v>
      </x:c>
      <x:c r="C211" s="2" t="str">
        <x:v>국내</x:v>
      </x:c>
      <x:c r="D211" s="7" t="str">
        <x:v>팜스코 중부공장 연료전환 (B-C유 &gt;도시가스) 감축사업</x:v>
      </x:c>
      <x:c r="E211" s="2" t="str">
        <x:v>72</x:v>
      </x:c>
      <x:c r="F211" s="2" t="str">
        <x:v>2017-08-07</x:v>
      </x:c>
      <x:c r="G211" s="2" t="str">
        <x:v>2017</x:v>
      </x:c>
      <x:c r="H211" s="2" t="str">
        <x:v>08</x:v>
      </x:c>
      <x:c r="I211" s="2" t="str">
        <x:v>승인</x:v>
      </x:c>
      <x:c r="J211" s="2" t="str">
        <x:v>심의승인</x:v>
      </x:c>
      <x:c r="K211" s="2" t="str">
        <x:f>IF(OR(J211="심의승인",J211="반려",J211="반려완료",J211="심의완료"),"종결 표시",IF(OR(J211="기후부협의",J211="문서재제출요청",J211="보류",J211="보완요청",J211="보완완료",J211="평가중",J211="반려요청",J211="평가필요",LEFT(J211,5)="보완요청("),"미종결 표시","상태 확인 필요"))</x:f>
        <x:v>종결 표시</x:v>
      </x:c>
      <x:c r="L211" s="2"/>
      <x:c r="M211" s="2"/>
      <x:c r="N211" s="8" t="n">
        <x:f>DATE(2026,10,15)-DATE(2017,8,7)</x:f>
        <x:v>3356</x:v>
      </x:c>
      <x:c r="O211" s="2"/>
      <x:c r="P211" s="2"/>
      <x:c r="Q211" s="2" t="str">
        <x:v>산업전환_외부사업관리Tool_260707_이너젠 수정_LJY_261013.xlsx</x:v>
      </x:c>
      <x:c r="R211" s="2" t="str">
        <x:v>국내평가</x:v>
      </x:c>
      <x:c r="S211" s="8" t="n">
        <x:v>114</x:v>
      </x:c>
      <x:c r="T211" s="2"/>
      <x:c r="U211" s="2" t="str"/>
      <x:c r="V211" s="2" t="str">
        <x:v>2018-12-11</x:v>
      </x:c>
      <x:c r="W211" s="2" t="str">
        <x:v>담당기관 확인</x:v>
      </x:c>
      <x:c r="X211" s="2" t="str">
        <x:v>원본·배정 기록 확인</x:v>
      </x:c>
      <x:c r="Y211" s="2" t="str">
        <x:v>ad210cd9ec132cfd447541c8984dc53d30aff0f4fb2dc92d254d49275cc55976</x:v>
      </x:c>
      <x:c r="Z211" s="2" t="n">
        <x:f>SUBTOTAL(103,A211)</x:f>
        <x:v>1</x:v>
      </x:c>
      <x:c r="AA211" s="2" t="str">
        <x:f>IF(K211&lt;&gt;"미종결 표시","대상 아님",IF(N211="","신청일 확인",IF(NOT(ISNUMBER('종합 현황'!$H$5)),"관찰기준 확인",IF('종합 현황'!$H$5&lt;1,"관찰기준 확인",IF(N211&gt;'종합 현황'!$H$5,"내부 관찰 대상","내부 관찰일 이하")))))</x:f>
        <x:v>대상 아님</x:v>
      </x:c>
      <x:c r="AB211" s="2"/>
    </x:row>
    <x:row r="212" ht="42" customHeight="1">
      <x:c r="A212" s="2" t="str">
        <x:v>b5a5f17a466f67cde44452f5</x:v>
      </x:c>
      <x:c r="B212" s="2" t="str">
        <x:v>사업 평가</x:v>
      </x:c>
      <x:c r="C212" s="2" t="str">
        <x:v>국내</x:v>
      </x:c>
      <x:c r="D212" s="7" t="str">
        <x:v>동인신철공업 주식회사 연료전환 (B-C유 -&gt; 도시가스) 감축사업</x:v>
      </x:c>
      <x:c r="E212" s="2" t="str">
        <x:v>73</x:v>
      </x:c>
      <x:c r="F212" s="2" t="str">
        <x:v>2017-08-07</x:v>
      </x:c>
      <x:c r="G212" s="2" t="str">
        <x:v>2017</x:v>
      </x:c>
      <x:c r="H212" s="2" t="str">
        <x:v>08</x:v>
      </x:c>
      <x:c r="I212" s="2" t="str">
        <x:v>승인</x:v>
      </x:c>
      <x:c r="J212" s="2" t="str">
        <x:v>심의승인</x:v>
      </x:c>
      <x:c r="K212" s="2" t="str">
        <x:f>IF(OR(J212="심의승인",J212="반려",J212="반려완료",J212="심의완료"),"종결 표시",IF(OR(J212="기후부협의",J212="문서재제출요청",J212="보류",J212="보완요청",J212="보완완료",J212="평가중",J212="반려요청",J212="평가필요",LEFT(J212,5)="보완요청("),"미종결 표시","상태 확인 필요"))</x:f>
        <x:v>종결 표시</x:v>
      </x:c>
      <x:c r="L212" s="2"/>
      <x:c r="M212" s="2"/>
      <x:c r="N212" s="8" t="n">
        <x:f>DATE(2026,10,15)-DATE(2017,8,7)</x:f>
        <x:v>3356</x:v>
      </x:c>
      <x:c r="O212" s="2"/>
      <x:c r="P212" s="2"/>
      <x:c r="Q212" s="2" t="str">
        <x:v>산업전환_외부사업관리Tool_260707_이너젠 수정_LJY_261013.xlsx</x:v>
      </x:c>
      <x:c r="R212" s="2" t="str">
        <x:v>국내평가</x:v>
      </x:c>
      <x:c r="S212" s="8" t="n">
        <x:v>115</x:v>
      </x:c>
      <x:c r="T212" s="2"/>
      <x:c r="U212" s="2" t="str"/>
      <x:c r="V212" s="2" t="str">
        <x:v>2018-12-11</x:v>
      </x:c>
      <x:c r="W212" s="2" t="str">
        <x:v>담당기관 확인</x:v>
      </x:c>
      <x:c r="X212" s="2" t="str">
        <x:v>원본·배정 기록 확인</x:v>
      </x:c>
      <x:c r="Y212" s="2" t="str">
        <x:v>ad210cd9ec132cfd447541c8984dc53d30aff0f4fb2dc92d254d49275cc55976</x:v>
      </x:c>
      <x:c r="Z212" s="2" t="n">
        <x:f>SUBTOTAL(103,A212)</x:f>
        <x:v>1</x:v>
      </x:c>
      <x:c r="AA212" s="2" t="str">
        <x:f>IF(K212&lt;&gt;"미종결 표시","대상 아님",IF(N212="","신청일 확인",IF(NOT(ISNUMBER('종합 현황'!$H$5)),"관찰기준 확인",IF('종합 현황'!$H$5&lt;1,"관찰기준 확인",IF(N212&gt;'종합 현황'!$H$5,"내부 관찰 대상","내부 관찰일 이하")))))</x:f>
        <x:v>대상 아님</x:v>
      </x:c>
      <x:c r="AB212" s="2"/>
    </x:row>
    <x:row r="213" ht="42" customHeight="1">
      <x:c r="A213" s="2" t="str">
        <x:v>c6b29c05f589c71ab4d1e7e6</x:v>
      </x:c>
      <x:c r="B213" s="2" t="str">
        <x:v>사업 평가</x:v>
      </x:c>
      <x:c r="C213" s="2" t="str">
        <x:v>국내</x:v>
      </x:c>
      <x:c r="D213" s="7" t="str">
        <x:v>경동제약의 경유에서 도시가스(LNG)로 연료전환을 통한 온실가스 배출 감축사업</x:v>
      </x:c>
      <x:c r="E213" s="2" t="str">
        <x:v>74</x:v>
      </x:c>
      <x:c r="F213" s="2" t="str">
        <x:v>2017-08-11</x:v>
      </x:c>
      <x:c r="G213" s="2" t="str">
        <x:v>2017</x:v>
      </x:c>
      <x:c r="H213" s="2" t="str">
        <x:v>08</x:v>
      </x:c>
      <x:c r="I213" s="2" t="str">
        <x:v>반려</x:v>
      </x:c>
      <x:c r="J213" s="2" t="str">
        <x:v>반려</x:v>
      </x:c>
      <x:c r="K213" s="2" t="str">
        <x:f>IF(OR(J213="심의승인",J213="반려",J213="반려완료",J213="심의완료"),"종결 표시",IF(OR(J213="기후부협의",J213="문서재제출요청",J213="보류",J213="보완요청",J213="보완완료",J213="평가중",J213="반려요청",J213="평가필요",LEFT(J213,5)="보완요청("),"미종결 표시","상태 확인 필요"))</x:f>
        <x:v>종결 표시</x:v>
      </x:c>
      <x:c r="L213" s="2" t="str">
        <x:v>공단_강송희</x:v>
      </x:c>
      <x:c r="M213" s="2"/>
      <x:c r="N213" s="8" t="n">
        <x:f>DATE(2026,10,15)-DATE(2017,8,11)</x:f>
        <x:v>3352</x:v>
      </x:c>
      <x:c r="O213" s="2" t="str">
        <x:v>O(6월)</x:v>
      </x:c>
      <x:c r="P213" s="2"/>
      <x:c r="Q213" s="2" t="str">
        <x:v>산업전환_외부사업관리Tool_260707_이너젠 수정_LJY_261013.xlsx</x:v>
      </x:c>
      <x:c r="R213" s="2" t="str">
        <x:v>국내평가</x:v>
      </x:c>
      <x:c r="S213" s="8" t="n">
        <x:v>116</x:v>
      </x:c>
      <x:c r="T213" s="2" t="str">
        <x:v>(6/3)</x:v>
      </x:c>
      <x:c r="U213" s="2" t="str">
        <x:v>2021 배정: (6/3)</x:v>
      </x:c>
      <x:c r="V213" s="2" t="str">
        <x:v>2021-07-23</x:v>
      </x:c>
      <x:c r="W213" s="2" t="str"/>
      <x:c r="X213" s="2" t="str">
        <x:v>종결 근거 보관</x:v>
      </x:c>
      <x:c r="Y213" s="2" t="str">
        <x:v>ad210cd9ec132cfd447541c8984dc53d30aff0f4fb2dc92d254d49275cc55976</x:v>
      </x:c>
      <x:c r="Z213" s="2" t="n">
        <x:f>SUBTOTAL(103,A213)</x:f>
        <x:v>1</x:v>
      </x:c>
      <x:c r="AA213" s="2" t="str">
        <x:f>IF(K213&lt;&gt;"미종결 표시","대상 아님",IF(N213="","신청일 확인",IF(NOT(ISNUMBER('종합 현황'!$H$5)),"관찰기준 확인",IF('종합 현황'!$H$5&lt;1,"관찰기준 확인",IF(N213&gt;'종합 현황'!$H$5,"내부 관찰 대상","내부 관찰일 이하")))))</x:f>
        <x:v>대상 아님</x:v>
      </x:c>
      <x:c r="AB213" s="2"/>
    </x:row>
    <x:row r="214" ht="42" customHeight="1">
      <x:c r="A214" s="2" t="str">
        <x:v>6807113c288dfc89e9b686fa</x:v>
      </x:c>
      <x:c r="B214" s="2" t="str">
        <x:v>사업 평가</x:v>
      </x:c>
      <x:c r="C214" s="2" t="str">
        <x:v>국내</x:v>
      </x:c>
      <x:c r="D214" s="7" t="str">
        <x:v>동신산업 평택공장의 B-C유에서 LNG로 연료전환을 통한 온실가스 배출 감축사업</x:v>
      </x:c>
      <x:c r="E214" s="2" t="str">
        <x:v>75</x:v>
      </x:c>
      <x:c r="F214" s="2" t="str">
        <x:v>2017-08-08</x:v>
      </x:c>
      <x:c r="G214" s="2" t="str">
        <x:v>2017</x:v>
      </x:c>
      <x:c r="H214" s="2" t="str">
        <x:v>08</x:v>
      </x:c>
      <x:c r="I214" s="2" t="str">
        <x:v>승인</x:v>
      </x:c>
      <x:c r="J214" s="2" t="str">
        <x:v>심의승인</x:v>
      </x:c>
      <x:c r="K214" s="2" t="str">
        <x:f>IF(OR(J214="심의승인",J214="반려",J214="반려완료",J214="심의완료"),"종결 표시",IF(OR(J214="기후부협의",J214="문서재제출요청",J214="보류",J214="보완요청",J214="보완완료",J214="평가중",J214="반려요청",J214="평가필요",LEFT(J214,5)="보완요청("),"미종결 표시","상태 확인 필요"))</x:f>
        <x:v>종결 표시</x:v>
      </x:c>
      <x:c r="L214" s="2"/>
      <x:c r="M214" s="2"/>
      <x:c r="N214" s="8" t="n">
        <x:f>DATE(2026,10,15)-DATE(2017,8,8)</x:f>
        <x:v>3355</x:v>
      </x:c>
      <x:c r="O214" s="2" t="str">
        <x:v>O</x:v>
      </x:c>
      <x:c r="P214" s="2"/>
      <x:c r="Q214" s="2" t="str">
        <x:v>산업전환_외부사업관리Tool_260707_이너젠 수정_LJY_261013.xlsx</x:v>
      </x:c>
      <x:c r="R214" s="2" t="str">
        <x:v>국내평가</x:v>
      </x:c>
      <x:c r="S214" s="8" t="n">
        <x:v>117</x:v>
      </x:c>
      <x:c r="T214" s="2"/>
      <x:c r="U214" s="2" t="str"/>
      <x:c r="V214" s="2" t="str">
        <x:v>2021-05-26</x:v>
      </x:c>
      <x:c r="W214" s="2" t="str">
        <x:v>담당기관 확인</x:v>
      </x:c>
      <x:c r="X214" s="2" t="str">
        <x:v>원본·배정 기록 확인</x:v>
      </x:c>
      <x:c r="Y214" s="2" t="str">
        <x:v>ad210cd9ec132cfd447541c8984dc53d30aff0f4fb2dc92d254d49275cc55976</x:v>
      </x:c>
      <x:c r="Z214" s="2" t="n">
        <x:f>SUBTOTAL(103,A214)</x:f>
        <x:v>1</x:v>
      </x:c>
      <x:c r="AA214" s="2" t="str">
        <x:f>IF(K214&lt;&gt;"미종결 표시","대상 아님",IF(N214="","신청일 확인",IF(NOT(ISNUMBER('종합 현황'!$H$5)),"관찰기준 확인",IF('종합 현황'!$H$5&lt;1,"관찰기준 확인",IF(N214&gt;'종합 현황'!$H$5,"내부 관찰 대상","내부 관찰일 이하")))))</x:f>
        <x:v>대상 아님</x:v>
      </x:c>
      <x:c r="AB214" s="2"/>
    </x:row>
    <x:row r="215" ht="42" customHeight="1">
      <x:c r="A215" s="2" t="str">
        <x:v>7d1efd148ae5916b7de78f59</x:v>
      </x:c>
      <x:c r="B215" s="2" t="str">
        <x:v>사업 평가</x:v>
      </x:c>
      <x:c r="C215" s="2" t="str">
        <x:v>국내</x:v>
      </x:c>
      <x:c r="D215" s="7" t="str">
        <x:v>선호피엔에스 연료전환 (B-B유 -&gt; 도시가스) 감축사업</x:v>
      </x:c>
      <x:c r="E215" s="2" t="str">
        <x:v>76</x:v>
      </x:c>
      <x:c r="F215" s="2" t="str">
        <x:v>2017-08-10</x:v>
      </x:c>
      <x:c r="G215" s="2" t="str">
        <x:v>2017</x:v>
      </x:c>
      <x:c r="H215" s="2" t="str">
        <x:v>08</x:v>
      </x:c>
      <x:c r="I215" s="2" t="str">
        <x:v>승인</x:v>
      </x:c>
      <x:c r="J215" s="2" t="str">
        <x:v>심의승인</x:v>
      </x:c>
      <x:c r="K215" s="2" t="str">
        <x:f>IF(OR(J215="심의승인",J215="반려",J215="반려완료",J215="심의완료"),"종결 표시",IF(OR(J215="기후부협의",J215="문서재제출요청",J215="보류",J215="보완요청",J215="보완완료",J215="평가중",J215="반려요청",J215="평가필요",LEFT(J215,5)="보완요청("),"미종결 표시","상태 확인 필요"))</x:f>
        <x:v>종결 표시</x:v>
      </x:c>
      <x:c r="L215" s="2"/>
      <x:c r="M215" s="2"/>
      <x:c r="N215" s="8" t="n">
        <x:f>DATE(2026,10,15)-DATE(2017,8,10)</x:f>
        <x:v>3353</x:v>
      </x:c>
      <x:c r="O215" s="2"/>
      <x:c r="P215" s="2"/>
      <x:c r="Q215" s="2" t="str">
        <x:v>산업전환_외부사업관리Tool_260707_이너젠 수정_LJY_261013.xlsx</x:v>
      </x:c>
      <x:c r="R215" s="2" t="str">
        <x:v>국내평가</x:v>
      </x:c>
      <x:c r="S215" s="8" t="n">
        <x:v>118</x:v>
      </x:c>
      <x:c r="T215" s="2"/>
      <x:c r="U215" s="2" t="str"/>
      <x:c r="V215" s="2" t="str">
        <x:v>2018-12-11</x:v>
      </x:c>
      <x:c r="W215" s="2" t="str">
        <x:v>담당기관 확인</x:v>
      </x:c>
      <x:c r="X215" s="2" t="str">
        <x:v>원본·배정 기록 확인</x:v>
      </x:c>
      <x:c r="Y215" s="2" t="str">
        <x:v>ad210cd9ec132cfd447541c8984dc53d30aff0f4fb2dc92d254d49275cc55976</x:v>
      </x:c>
      <x:c r="Z215" s="2" t="n">
        <x:f>SUBTOTAL(103,A215)</x:f>
        <x:v>1</x:v>
      </x:c>
      <x:c r="AA215" s="2" t="str">
        <x:f>IF(K215&lt;&gt;"미종결 표시","대상 아님",IF(N215="","신청일 확인",IF(NOT(ISNUMBER('종합 현황'!$H$5)),"관찰기준 확인",IF('종합 현황'!$H$5&lt;1,"관찰기준 확인",IF(N215&gt;'종합 현황'!$H$5,"내부 관찰 대상","내부 관찰일 이하")))))</x:f>
        <x:v>대상 아님</x:v>
      </x:c>
      <x:c r="AB215" s="2"/>
    </x:row>
    <x:row r="216" ht="42" customHeight="1">
      <x:c r="A216" s="2" t="str">
        <x:v>577fd9b48eea5185ef63d5cb</x:v>
      </x:c>
      <x:c r="B216" s="2" t="str">
        <x:v>사업 평가</x:v>
      </x:c>
      <x:c r="C216" s="2" t="str">
        <x:v>국내</x:v>
      </x:c>
      <x:c r="D216" s="7" t="str">
        <x:v>코다코 연료전환(LPG -&gt; 도시가스) 감축사업</x:v>
      </x:c>
      <x:c r="E216" s="2" t="str">
        <x:v>77</x:v>
      </x:c>
      <x:c r="F216" s="2" t="str">
        <x:v>2017-08-11</x:v>
      </x:c>
      <x:c r="G216" s="2" t="str">
        <x:v>2017</x:v>
      </x:c>
      <x:c r="H216" s="2" t="str">
        <x:v>08</x:v>
      </x:c>
      <x:c r="I216" s="2" t="str">
        <x:v>반려</x:v>
      </x:c>
      <x:c r="J216" s="2" t="str">
        <x:v>반려</x:v>
      </x:c>
      <x:c r="K216" s="2" t="str">
        <x:f>IF(OR(J216="심의승인",J216="반려",J216="반려완료",J216="심의완료"),"종결 표시",IF(OR(J216="기후부협의",J216="문서재제출요청",J216="보류",J216="보완요청",J216="보완완료",J216="평가중",J216="반려요청",J216="평가필요",LEFT(J216,5)="보완요청("),"미종결 표시","상태 확인 필요"))</x:f>
        <x:v>종결 표시</x:v>
      </x:c>
      <x:c r="L216" s="2"/>
      <x:c r="M216" s="2"/>
      <x:c r="N216" s="8" t="n">
        <x:f>DATE(2026,10,15)-DATE(2017,8,11)</x:f>
        <x:v>3352</x:v>
      </x:c>
      <x:c r="O216" s="2"/>
      <x:c r="P216" s="2"/>
      <x:c r="Q216" s="2" t="str">
        <x:v>산업전환_외부사업관리Tool_260707_이너젠 수정_LJY_261013.xlsx</x:v>
      </x:c>
      <x:c r="R216" s="2" t="str">
        <x:v>국내평가</x:v>
      </x:c>
      <x:c r="S216" s="8" t="n">
        <x:v>119</x:v>
      </x:c>
      <x:c r="T216" s="2" t="str">
        <x:v>2021년 처리</x:v>
      </x:c>
      <x:c r="U216" s="2" t="str">
        <x:v>2021 배정: 2021년 처리</x:v>
      </x:c>
      <x:c r="V216" s="2" t="str">
        <x:v>2021-06-16</x:v>
      </x:c>
      <x:c r="W216" s="2" t="str">
        <x:v>담당기관 확인</x:v>
      </x:c>
      <x:c r="X216" s="2" t="str">
        <x:v>원본·배정 기록 확인</x:v>
      </x:c>
      <x:c r="Y216" s="2" t="str">
        <x:v>ad210cd9ec132cfd447541c8984dc53d30aff0f4fb2dc92d254d49275cc55976</x:v>
      </x:c>
      <x:c r="Z216" s="2" t="n">
        <x:f>SUBTOTAL(103,A216)</x:f>
        <x:v>1</x:v>
      </x:c>
      <x:c r="AA216" s="2" t="str">
        <x:f>IF(K216&lt;&gt;"미종결 표시","대상 아님",IF(N216="","신청일 확인",IF(NOT(ISNUMBER('종합 현황'!$H$5)),"관찰기준 확인",IF('종합 현황'!$H$5&lt;1,"관찰기준 확인",IF(N216&gt;'종합 현황'!$H$5,"내부 관찰 대상","내부 관찰일 이하")))))</x:f>
        <x:v>대상 아님</x:v>
      </x:c>
      <x:c r="AB216" s="2"/>
    </x:row>
    <x:row r="217" ht="42" customHeight="1">
      <x:c r="A217" s="2" t="str">
        <x:v>88a7f28812df7f53865322c0</x:v>
      </x:c>
      <x:c r="B217" s="2" t="str">
        <x:v>사업 평가</x:v>
      </x:c>
      <x:c r="C217" s="2" t="str">
        <x:v>국내</x:v>
      </x:c>
      <x:c r="D217" s="7" t="str">
        <x:v>영덕물산 연료전환(B-C유-&gt;도시가스) 감축사업</x:v>
      </x:c>
      <x:c r="E217" s="2" t="str">
        <x:v>78</x:v>
      </x:c>
      <x:c r="F217" s="2" t="str">
        <x:v>2017-08-11</x:v>
      </x:c>
      <x:c r="G217" s="2" t="str">
        <x:v>2017</x:v>
      </x:c>
      <x:c r="H217" s="2" t="str">
        <x:v>08</x:v>
      </x:c>
      <x:c r="I217" s="2" t="str">
        <x:v>승인</x:v>
      </x:c>
      <x:c r="J217" s="2" t="str">
        <x:v>심의승인</x:v>
      </x:c>
      <x:c r="K217" s="2" t="str">
        <x:f>IF(OR(J217="심의승인",J217="반려",J217="반려완료",J217="심의완료"),"종결 표시",IF(OR(J217="기후부협의",J217="문서재제출요청",J217="보류",J217="보완요청",J217="보완완료",J217="평가중",J217="반려요청",J217="평가필요",LEFT(J217,5)="보완요청("),"미종결 표시","상태 확인 필요"))</x:f>
        <x:v>종결 표시</x:v>
      </x:c>
      <x:c r="L217" s="2"/>
      <x:c r="M217" s="2"/>
      <x:c r="N217" s="8" t="n">
        <x:f>DATE(2026,10,15)-DATE(2017,8,11)</x:f>
        <x:v>3352</x:v>
      </x:c>
      <x:c r="O217" s="2"/>
      <x:c r="P217" s="2"/>
      <x:c r="Q217" s="2" t="str">
        <x:v>산업전환_외부사업관리Tool_260707_이너젠 수정_LJY_261013.xlsx</x:v>
      </x:c>
      <x:c r="R217" s="2" t="str">
        <x:v>국내평가</x:v>
      </x:c>
      <x:c r="S217" s="8" t="n">
        <x:v>120</x:v>
      </x:c>
      <x:c r="T217" s="2"/>
      <x:c r="U217" s="2" t="str"/>
      <x:c r="V217" s="2" t="str">
        <x:v>2018-12-11</x:v>
      </x:c>
      <x:c r="W217" s="2" t="str">
        <x:v>담당기관 확인</x:v>
      </x:c>
      <x:c r="X217" s="2" t="str">
        <x:v>원본·배정 기록 확인</x:v>
      </x:c>
      <x:c r="Y217" s="2" t="str">
        <x:v>ad210cd9ec132cfd447541c8984dc53d30aff0f4fb2dc92d254d49275cc55976</x:v>
      </x:c>
      <x:c r="Z217" s="2" t="n">
        <x:f>SUBTOTAL(103,A217)</x:f>
        <x:v>1</x:v>
      </x:c>
      <x:c r="AA217" s="2" t="str">
        <x:f>IF(K217&lt;&gt;"미종결 표시","대상 아님",IF(N217="","신청일 확인",IF(NOT(ISNUMBER('종합 현황'!$H$5)),"관찰기준 확인",IF('종합 현황'!$H$5&lt;1,"관찰기준 확인",IF(N217&gt;'종합 현황'!$H$5,"내부 관찰 대상","내부 관찰일 이하")))))</x:f>
        <x:v>대상 아님</x:v>
      </x:c>
      <x:c r="AB217" s="2"/>
    </x:row>
    <x:row r="218" ht="42" customHeight="1">
      <x:c r="A218" s="2" t="str">
        <x:v>800d536abd0437564dcb50ab</x:v>
      </x:c>
      <x:c r="B218" s="2" t="str">
        <x:v>사업 평가</x:v>
      </x:c>
      <x:c r="C218" s="2" t="str">
        <x:v>국내</x:v>
      </x:c>
      <x:c r="D218" s="7" t="str">
        <x:v>유원 연료전환(B-C유 -&gt; 도시가스) 감축사업</x:v>
      </x:c>
      <x:c r="E218" s="2" t="str">
        <x:v>79</x:v>
      </x:c>
      <x:c r="F218" s="2" t="str">
        <x:v>2017-08-11</x:v>
      </x:c>
      <x:c r="G218" s="2" t="str">
        <x:v>2017</x:v>
      </x:c>
      <x:c r="H218" s="2" t="str">
        <x:v>08</x:v>
      </x:c>
      <x:c r="I218" s="2" t="str">
        <x:v>반려</x:v>
      </x:c>
      <x:c r="J218" s="2" t="str">
        <x:v>반려</x:v>
      </x:c>
      <x:c r="K218" s="2" t="str">
        <x:f>IF(OR(J218="심의승인",J218="반려",J218="반려완료",J218="심의완료"),"종결 표시",IF(OR(J218="기후부협의",J218="문서재제출요청",J218="보류",J218="보완요청",J218="보완완료",J218="평가중",J218="반려요청",J218="평가필요",LEFT(J218,5)="보완요청("),"미종결 표시","상태 확인 필요"))</x:f>
        <x:v>종결 표시</x:v>
      </x:c>
      <x:c r="L218" s="2"/>
      <x:c r="M218" s="2"/>
      <x:c r="N218" s="8" t="n">
        <x:f>DATE(2026,10,15)-DATE(2017,8,11)</x:f>
        <x:v>3352</x:v>
      </x:c>
      <x:c r="O218" s="2"/>
      <x:c r="P218" s="2"/>
      <x:c r="Q218" s="2" t="str">
        <x:v>산업전환_외부사업관리Tool_260707_이너젠 수정_LJY_261013.xlsx</x:v>
      </x:c>
      <x:c r="R218" s="2" t="str">
        <x:v>국내평가</x:v>
      </x:c>
      <x:c r="S218" s="8" t="n">
        <x:v>121</x:v>
      </x:c>
      <x:c r="T218" s="2" t="str">
        <x:v>2021년 처리</x:v>
      </x:c>
      <x:c r="U218" s="2" t="str">
        <x:v>2021 배정: 2021년 처리</x:v>
      </x:c>
      <x:c r="V218" s="2" t="str">
        <x:v>2021-06-14</x:v>
      </x:c>
      <x:c r="W218" s="2" t="str">
        <x:v>담당기관 확인</x:v>
      </x:c>
      <x:c r="X218" s="2" t="str">
        <x:v>원본·배정 기록 확인</x:v>
      </x:c>
      <x:c r="Y218" s="2" t="str">
        <x:v>ad210cd9ec132cfd447541c8984dc53d30aff0f4fb2dc92d254d49275cc55976</x:v>
      </x:c>
      <x:c r="Z218" s="2" t="n">
        <x:f>SUBTOTAL(103,A218)</x:f>
        <x:v>1</x:v>
      </x:c>
      <x:c r="AA218" s="2" t="str">
        <x:f>IF(K218&lt;&gt;"미종결 표시","대상 아님",IF(N218="","신청일 확인",IF(NOT(ISNUMBER('종합 현황'!$H$5)),"관찰기준 확인",IF('종합 현황'!$H$5&lt;1,"관찰기준 확인",IF(N218&gt;'종합 현황'!$H$5,"내부 관찰 대상","내부 관찰일 이하")))))</x:f>
        <x:v>대상 아님</x:v>
      </x:c>
      <x:c r="AB218" s="2"/>
    </x:row>
    <x:row r="219" ht="42" customHeight="1">
      <x:c r="A219" s="2" t="str">
        <x:v>fe72f8c347c8a2a8df767c9b</x:v>
      </x:c>
      <x:c r="B219" s="2" t="str">
        <x:v>사업 평가</x:v>
      </x:c>
      <x:c r="C219" s="2" t="str">
        <x:v>국내</x:v>
      </x:c>
      <x:c r="D219" s="7" t="str">
        <x:v>케이디파워텍 폐열활용 발전</x:v>
      </x:c>
      <x:c r="E219" s="2" t="str">
        <x:v>80</x:v>
      </x:c>
      <x:c r="F219" s="2" t="str">
        <x:v>2017-08-25</x:v>
      </x:c>
      <x:c r="G219" s="2" t="str">
        <x:v>2017</x:v>
      </x:c>
      <x:c r="H219" s="2" t="str">
        <x:v>08</x:v>
      </x:c>
      <x:c r="I219" s="2" t="str">
        <x:v>반려</x:v>
      </x:c>
      <x:c r="J219" s="2" t="str">
        <x:v>반려</x:v>
      </x:c>
      <x:c r="K219" s="2" t="str">
        <x:f>IF(OR(J219="심의승인",J219="반려",J219="반려완료",J219="심의완료"),"종결 표시",IF(OR(J219="기후부협의",J219="문서재제출요청",J219="보류",J219="보완요청",J219="보완완료",J219="평가중",J219="반려요청",J219="평가필요",LEFT(J219,5)="보완요청("),"미종결 표시","상태 확인 필요"))</x:f>
        <x:v>종결 표시</x:v>
      </x:c>
      <x:c r="L219" s="2"/>
      <x:c r="M219" s="2"/>
      <x:c r="N219" s="8" t="n">
        <x:f>DATE(2026,10,15)-DATE(2017,8,25)</x:f>
        <x:v>3338</x:v>
      </x:c>
      <x:c r="O219" s="2"/>
      <x:c r="P219" s="2"/>
      <x:c r="Q219" s="2" t="str">
        <x:v>산업전환_외부사업관리Tool_260707_이너젠 수정_LJY_261013.xlsx</x:v>
      </x:c>
      <x:c r="R219" s="2" t="str">
        <x:v>국내평가</x:v>
      </x:c>
      <x:c r="S219" s="8" t="n">
        <x:v>122</x:v>
      </x:c>
      <x:c r="T219" s="2"/>
      <x:c r="U219" s="2" t="str"/>
      <x:c r="V219" s="2" t="str">
        <x:v>2019-12-02</x:v>
      </x:c>
      <x:c r="W219" s="2" t="str">
        <x:v>담당기관 확인</x:v>
      </x:c>
      <x:c r="X219" s="2" t="str">
        <x:v>원본·배정 기록 확인</x:v>
      </x:c>
      <x:c r="Y219" s="2" t="str">
        <x:v>ad210cd9ec132cfd447541c8984dc53d30aff0f4fb2dc92d254d49275cc55976</x:v>
      </x:c>
      <x:c r="Z219" s="2" t="n">
        <x:f>SUBTOTAL(103,A219)</x:f>
        <x:v>1</x:v>
      </x:c>
      <x:c r="AA219" s="2" t="str">
        <x:f>IF(K219&lt;&gt;"미종결 표시","대상 아님",IF(N219="","신청일 확인",IF(NOT(ISNUMBER('종합 현황'!$H$5)),"관찰기준 확인",IF('종합 현황'!$H$5&lt;1,"관찰기준 확인",IF(N219&gt;'종합 현황'!$H$5,"내부 관찰 대상","내부 관찰일 이하")))))</x:f>
        <x:v>대상 아님</x:v>
      </x:c>
      <x:c r="AB219" s="2"/>
    </x:row>
    <x:row r="220" ht="42" customHeight="1">
      <x:c r="A220" s="2" t="str">
        <x:v>2b9467bedd59048160cd3f4f</x:v>
      </x:c>
      <x:c r="B220" s="2" t="str">
        <x:v>사업 평가</x:v>
      </x:c>
      <x:c r="C220" s="2" t="str">
        <x:v>국내</x:v>
      </x:c>
      <x:c r="D220" s="7" t="str">
        <x:v>한미약품의 경유에서 LNG로 연료전환을 통한 온실가스 배출 감축사업</x:v>
      </x:c>
      <x:c r="E220" s="2" t="str">
        <x:v>81</x:v>
      </x:c>
      <x:c r="F220" s="2" t="str">
        <x:v>2017-08-11</x:v>
      </x:c>
      <x:c r="G220" s="2" t="str">
        <x:v>2017</x:v>
      </x:c>
      <x:c r="H220" s="2" t="str">
        <x:v>08</x:v>
      </x:c>
      <x:c r="I220" s="2" t="str">
        <x:v>승인</x:v>
      </x:c>
      <x:c r="J220" s="2" t="str">
        <x:v>심의승인</x:v>
      </x:c>
      <x:c r="K220" s="2" t="str">
        <x:f>IF(OR(J220="심의승인",J220="반려",J220="반려완료",J220="심의완료"),"종결 표시",IF(OR(J220="기후부협의",J220="문서재제출요청",J220="보류",J220="보완요청",J220="보완완료",J220="평가중",J220="반려요청",J220="평가필요",LEFT(J220,5)="보완요청("),"미종결 표시","상태 확인 필요"))</x:f>
        <x:v>종결 표시</x:v>
      </x:c>
      <x:c r="L220" s="2"/>
      <x:c r="M220" s="2"/>
      <x:c r="N220" s="8" t="n">
        <x:f>DATE(2026,10,15)-DATE(2017,8,11)</x:f>
        <x:v>3352</x:v>
      </x:c>
      <x:c r="O220" s="2" t="str">
        <x:v>O</x:v>
      </x:c>
      <x:c r="P220" s="2"/>
      <x:c r="Q220" s="2" t="str">
        <x:v>산업전환_외부사업관리Tool_260707_이너젠 수정_LJY_261013.xlsx</x:v>
      </x:c>
      <x:c r="R220" s="2" t="str">
        <x:v>국내평가</x:v>
      </x:c>
      <x:c r="S220" s="8" t="n">
        <x:v>123</x:v>
      </x:c>
      <x:c r="T220" s="2"/>
      <x:c r="U220" s="2" t="str"/>
      <x:c r="V220" s="2" t="str">
        <x:v>2021-02-09</x:v>
      </x:c>
      <x:c r="W220" s="2" t="str">
        <x:v>담당기관 확인</x:v>
      </x:c>
      <x:c r="X220" s="2" t="str">
        <x:v>원본·배정 기록 확인</x:v>
      </x:c>
      <x:c r="Y220" s="2" t="str">
        <x:v>ad210cd9ec132cfd447541c8984dc53d30aff0f4fb2dc92d254d49275cc55976</x:v>
      </x:c>
      <x:c r="Z220" s="2" t="n">
        <x:f>SUBTOTAL(103,A220)</x:f>
        <x:v>1</x:v>
      </x:c>
      <x:c r="AA220" s="2" t="str">
        <x:f>IF(K220&lt;&gt;"미종결 표시","대상 아님",IF(N220="","신청일 확인",IF(NOT(ISNUMBER('종합 현황'!$H$5)),"관찰기준 확인",IF('종합 현황'!$H$5&lt;1,"관찰기준 확인",IF(N220&gt;'종합 현황'!$H$5,"내부 관찰 대상","내부 관찰일 이하")))))</x:f>
        <x:v>대상 아님</x:v>
      </x:c>
      <x:c r="AB220" s="2"/>
    </x:row>
    <x:row r="221" ht="42" customHeight="1">
      <x:c r="A221" s="2" t="str">
        <x:v>06d2f45bd6721752645cceaa</x:v>
      </x:c>
      <x:c r="B221" s="2" t="str">
        <x:v>사업 평가</x:v>
      </x:c>
      <x:c r="C221" s="2" t="str">
        <x:v>국내</x:v>
      </x:c>
      <x:c r="D221" s="7" t="str">
        <x:v>강원도보육시설 20kW 태양광 발전설비 설치 및 계통연계 사업</x:v>
      </x:c>
      <x:c r="E221" s="2" t="str">
        <x:v>82</x:v>
      </x:c>
      <x:c r="F221" s="2" t="str">
        <x:v>2017-09-13</x:v>
      </x:c>
      <x:c r="G221" s="2" t="str">
        <x:v>2017</x:v>
      </x:c>
      <x:c r="H221" s="2" t="str">
        <x:v>09</x:v>
      </x:c>
      <x:c r="I221" s="2" t="str">
        <x:v>반려</x:v>
      </x:c>
      <x:c r="J221" s="2" t="str">
        <x:v>반려</x:v>
      </x:c>
      <x:c r="K221" s="2" t="str">
        <x:f>IF(OR(J221="심의승인",J221="반려",J221="반려완료",J221="심의완료"),"종결 표시",IF(OR(J221="기후부협의",J221="문서재제출요청",J221="보류",J221="보완요청",J221="보완완료",J221="평가중",J221="반려요청",J221="평가필요",LEFT(J221,5)="보완요청("),"미종결 표시","상태 확인 필요"))</x:f>
        <x:v>종결 표시</x:v>
      </x:c>
      <x:c r="L221" s="2"/>
      <x:c r="M221" s="2"/>
      <x:c r="N221" s="8" t="n">
        <x:f>DATE(2026,10,15)-DATE(2017,9,13)</x:f>
        <x:v>3319</x:v>
      </x:c>
      <x:c r="O221" s="2"/>
      <x:c r="P221" s="2"/>
      <x:c r="Q221" s="2" t="str">
        <x:v>산업전환_외부사업관리Tool_260707_이너젠 수정_LJY_261013.xlsx</x:v>
      </x:c>
      <x:c r="R221" s="2" t="str">
        <x:v>국내평가</x:v>
      </x:c>
      <x:c r="S221" s="8" t="n">
        <x:v>124</x:v>
      </x:c>
      <x:c r="T221" s="2" t="str">
        <x:v>2021년 처리</x:v>
      </x:c>
      <x:c r="U221" s="2" t="str">
        <x:v>2021 배정: 2021년 처리</x:v>
      </x:c>
      <x:c r="V221" s="2" t="str">
        <x:v>2021-07-06</x:v>
      </x:c>
      <x:c r="W221" s="2" t="str">
        <x:v>담당기관 확인</x:v>
      </x:c>
      <x:c r="X221" s="2" t="str">
        <x:v>원본·배정 기록 확인</x:v>
      </x:c>
      <x:c r="Y221" s="2" t="str">
        <x:v>ad210cd9ec132cfd447541c8984dc53d30aff0f4fb2dc92d254d49275cc55976</x:v>
      </x:c>
      <x:c r="Z221" s="2" t="n">
        <x:f>SUBTOTAL(103,A221)</x:f>
        <x:v>1</x:v>
      </x:c>
      <x:c r="AA221" s="2" t="str">
        <x:f>IF(K221&lt;&gt;"미종결 표시","대상 아님",IF(N221="","신청일 확인",IF(NOT(ISNUMBER('종합 현황'!$H$5)),"관찰기준 확인",IF('종합 현황'!$H$5&lt;1,"관찰기준 확인",IF(N221&gt;'종합 현황'!$H$5,"내부 관찰 대상","내부 관찰일 이하")))))</x:f>
        <x:v>대상 아님</x:v>
      </x:c>
      <x:c r="AB221" s="2"/>
    </x:row>
    <x:row r="222" ht="42" customHeight="1">
      <x:c r="A222" s="2" t="str">
        <x:v>6342ab4f2293f5d97c777804</x:v>
      </x:c>
      <x:c r="B222" s="2" t="str">
        <x:v>사업 평가</x:v>
      </x:c>
      <x:c r="C222" s="2" t="str">
        <x:v>국내</x:v>
      </x:c>
      <x:c r="D222" s="7" t="str">
        <x:v>대재에너지㈜의 집단에너지 열공급시설에서 목질계 바이오매스 연료를 이용하여 생산된 열에너지 공급을 통한 수용가의 화석연료 사용량 절감 사업</x:v>
      </x:c>
      <x:c r="E222" s="2" t="str">
        <x:v>83</x:v>
      </x:c>
      <x:c r="F222" s="2" t="str">
        <x:v>2017-08-25</x:v>
      </x:c>
      <x:c r="G222" s="2" t="str">
        <x:v>2017</x:v>
      </x:c>
      <x:c r="H222" s="2" t="str">
        <x:v>08</x:v>
      </x:c>
      <x:c r="I222" s="2" t="str">
        <x:v>승인</x:v>
      </x:c>
      <x:c r="J222" s="2" t="str">
        <x:v>심의승인</x:v>
      </x:c>
      <x:c r="K222" s="2" t="str">
        <x:f>IF(OR(J222="심의승인",J222="반려",J222="반려완료",J222="심의완료"),"종결 표시",IF(OR(J222="기후부협의",J222="문서재제출요청",J222="보류",J222="보완요청",J222="보완완료",J222="평가중",J222="반려요청",J222="평가필요",LEFT(J222,5)="보완요청("),"미종결 표시","상태 확인 필요"))</x:f>
        <x:v>종결 표시</x:v>
      </x:c>
      <x:c r="L222" s="2"/>
      <x:c r="M222" s="2"/>
      <x:c r="N222" s="8" t="n">
        <x:f>DATE(2026,10,15)-DATE(2017,8,25)</x:f>
        <x:v>3338</x:v>
      </x:c>
      <x:c r="O222" s="2"/>
      <x:c r="P222" s="2"/>
      <x:c r="Q222" s="2" t="str">
        <x:v>산업전환_외부사업관리Tool_260707_이너젠 수정_LJY_261013.xlsx</x:v>
      </x:c>
      <x:c r="R222" s="2" t="str">
        <x:v>국내평가</x:v>
      </x:c>
      <x:c r="S222" s="8" t="n">
        <x:v>125</x:v>
      </x:c>
      <x:c r="T222" s="2"/>
      <x:c r="U222" s="2" t="str"/>
      <x:c r="V222" s="2" t="str">
        <x:v>2020-10-19</x:v>
      </x:c>
      <x:c r="W222" s="2" t="str">
        <x:v>담당기관 확인</x:v>
      </x:c>
      <x:c r="X222" s="2" t="str">
        <x:v>원본·배정 기록 확인</x:v>
      </x:c>
      <x:c r="Y222" s="2" t="str">
        <x:v>ad210cd9ec132cfd447541c8984dc53d30aff0f4fb2dc92d254d49275cc55976</x:v>
      </x:c>
      <x:c r="Z222" s="2" t="n">
        <x:f>SUBTOTAL(103,A222)</x:f>
        <x:v>1</x:v>
      </x:c>
      <x:c r="AA222" s="2" t="str">
        <x:f>IF(K222&lt;&gt;"미종결 표시","대상 아님",IF(N222="","신청일 확인",IF(NOT(ISNUMBER('종합 현황'!$H$5)),"관찰기준 확인",IF('종합 현황'!$H$5&lt;1,"관찰기준 확인",IF(N222&gt;'종합 현황'!$H$5,"내부 관찰 대상","내부 관찰일 이하")))))</x:f>
        <x:v>대상 아님</x:v>
      </x:c>
      <x:c r="AB222" s="2"/>
    </x:row>
    <x:row r="223" ht="42" customHeight="1">
      <x:c r="A223" s="2" t="str">
        <x:v>188cc7db65624a27347d8008</x:v>
      </x:c>
      <x:c r="B223" s="2" t="str">
        <x:v>사업 평가</x:v>
      </x:c>
      <x:c r="C223" s="2" t="str">
        <x:v>국내</x:v>
      </x:c>
      <x:c r="D223" s="7" t="str">
        <x:v>한국여성수련원 50.35kW 태양광 발전설비 설치 및 자가 사용 사업</x:v>
      </x:c>
      <x:c r="E223" s="2" t="str">
        <x:v>84</x:v>
      </x:c>
      <x:c r="F223" s="2" t="str">
        <x:v>2017-09-13</x:v>
      </x:c>
      <x:c r="G223" s="2" t="str">
        <x:v>2017</x:v>
      </x:c>
      <x:c r="H223" s="2" t="str">
        <x:v>09</x:v>
      </x:c>
      <x:c r="I223" s="2" t="str">
        <x:v>반려</x:v>
      </x:c>
      <x:c r="J223" s="2" t="str">
        <x:v>반려</x:v>
      </x:c>
      <x:c r="K223" s="2" t="str">
        <x:f>IF(OR(J223="심의승인",J223="반려",J223="반려완료",J223="심의완료"),"종결 표시",IF(OR(J223="기후부협의",J223="문서재제출요청",J223="보류",J223="보완요청",J223="보완완료",J223="평가중",J223="반려요청",J223="평가필요",LEFT(J223,5)="보완요청("),"미종결 표시","상태 확인 필요"))</x:f>
        <x:v>종결 표시</x:v>
      </x:c>
      <x:c r="L223" s="2"/>
      <x:c r="M223" s="2"/>
      <x:c r="N223" s="8" t="n">
        <x:f>DATE(2026,10,15)-DATE(2017,9,13)</x:f>
        <x:v>3319</x:v>
      </x:c>
      <x:c r="O223" s="2"/>
      <x:c r="P223" s="2"/>
      <x:c r="Q223" s="2" t="str">
        <x:v>산업전환_외부사업관리Tool_260707_이너젠 수정_LJY_261013.xlsx</x:v>
      </x:c>
      <x:c r="R223" s="2" t="str">
        <x:v>국내평가</x:v>
      </x:c>
      <x:c r="S223" s="8" t="n">
        <x:v>126</x:v>
      </x:c>
      <x:c r="T223" s="2" t="str">
        <x:v>2021년 처리</x:v>
      </x:c>
      <x:c r="U223" s="2" t="str">
        <x:v>2021 배정: 2021년 처리</x:v>
      </x:c>
      <x:c r="V223" s="2" t="str">
        <x:v>2021-07-06</x:v>
      </x:c>
      <x:c r="W223" s="2" t="str">
        <x:v>담당기관 확인</x:v>
      </x:c>
      <x:c r="X223" s="2" t="str">
        <x:v>원본·배정 기록 확인</x:v>
      </x:c>
      <x:c r="Y223" s="2" t="str">
        <x:v>ad210cd9ec132cfd447541c8984dc53d30aff0f4fb2dc92d254d49275cc55976</x:v>
      </x:c>
      <x:c r="Z223" s="2" t="n">
        <x:f>SUBTOTAL(103,A223)</x:f>
        <x:v>1</x:v>
      </x:c>
      <x:c r="AA223" s="2" t="str">
        <x:f>IF(K223&lt;&gt;"미종결 표시","대상 아님",IF(N223="","신청일 확인",IF(NOT(ISNUMBER('종합 현황'!$H$5)),"관찰기준 확인",IF('종합 현황'!$H$5&lt;1,"관찰기준 확인",IF(N223&gt;'종합 현황'!$H$5,"내부 관찰 대상","내부 관찰일 이하")))))</x:f>
        <x:v>대상 아님</x:v>
      </x:c>
      <x:c r="AB223" s="2"/>
    </x:row>
    <x:row r="224" ht="42" customHeight="1">
      <x:c r="A224" s="2" t="str">
        <x:v>dd61d5fe74f8ec6452e40e33</x:v>
      </x:c>
      <x:c r="B224" s="2" t="str">
        <x:v>사업 평가</x:v>
      </x:c>
      <x:c r="C224" s="2" t="str">
        <x:v>국내</x:v>
      </x:c>
      <x:c r="D224" s="7" t="str">
        <x:v>강원학사 100.7kW 태양광 발전설비 설치 및 자가 사용 사업</x:v>
      </x:c>
      <x:c r="E224" s="2" t="str">
        <x:v>85</x:v>
      </x:c>
      <x:c r="F224" s="2" t="str">
        <x:v>2017-09-13</x:v>
      </x:c>
      <x:c r="G224" s="2" t="str">
        <x:v>2017</x:v>
      </x:c>
      <x:c r="H224" s="2" t="str">
        <x:v>09</x:v>
      </x:c>
      <x:c r="I224" s="2" t="str">
        <x:v>반려</x:v>
      </x:c>
      <x:c r="J224" s="2" t="str">
        <x:v>반려</x:v>
      </x:c>
      <x:c r="K224" s="2" t="str">
        <x:f>IF(OR(J224="심의승인",J224="반려",J224="반려완료",J224="심의완료"),"종결 표시",IF(OR(J224="기후부협의",J224="문서재제출요청",J224="보류",J224="보완요청",J224="보완완료",J224="평가중",J224="반려요청",J224="평가필요",LEFT(J224,5)="보완요청("),"미종결 표시","상태 확인 필요"))</x:f>
        <x:v>종결 표시</x:v>
      </x:c>
      <x:c r="L224" s="2"/>
      <x:c r="M224" s="2"/>
      <x:c r="N224" s="8" t="n">
        <x:f>DATE(2026,10,15)-DATE(2017,9,13)</x:f>
        <x:v>3319</x:v>
      </x:c>
      <x:c r="O224" s="2"/>
      <x:c r="P224" s="2"/>
      <x:c r="Q224" s="2" t="str">
        <x:v>산업전환_외부사업관리Tool_260707_이너젠 수정_LJY_261013.xlsx</x:v>
      </x:c>
      <x:c r="R224" s="2" t="str">
        <x:v>국내평가</x:v>
      </x:c>
      <x:c r="S224" s="8" t="n">
        <x:v>127</x:v>
      </x:c>
      <x:c r="T224" s="2" t="str">
        <x:v>2021년 처리</x:v>
      </x:c>
      <x:c r="U224" s="2" t="str">
        <x:v>2021 배정: 2021년 처리</x:v>
      </x:c>
      <x:c r="V224" s="2" t="str">
        <x:v>2021-07-06</x:v>
      </x:c>
      <x:c r="W224" s="2" t="str">
        <x:v>담당기관 확인</x:v>
      </x:c>
      <x:c r="X224" s="2" t="str">
        <x:v>원본·배정 기록 확인</x:v>
      </x:c>
      <x:c r="Y224" s="2" t="str">
        <x:v>ad210cd9ec132cfd447541c8984dc53d30aff0f4fb2dc92d254d49275cc55976</x:v>
      </x:c>
      <x:c r="Z224" s="2" t="n">
        <x:f>SUBTOTAL(103,A224)</x:f>
        <x:v>1</x:v>
      </x:c>
      <x:c r="AA224" s="2" t="str">
        <x:f>IF(K224&lt;&gt;"미종결 표시","대상 아님",IF(N224="","신청일 확인",IF(NOT(ISNUMBER('종합 현황'!$H$5)),"관찰기준 확인",IF('종합 현황'!$H$5&lt;1,"관찰기준 확인",IF(N224&gt;'종합 현황'!$H$5,"내부 관찰 대상","내부 관찰일 이하")))))</x:f>
        <x:v>대상 아님</x:v>
      </x:c>
      <x:c r="AB224" s="2"/>
    </x:row>
    <x:row r="225" ht="42" customHeight="1">
      <x:c r="A225" s="2" t="str">
        <x:v>361b1b3bc165ff1a692dc4a5</x:v>
      </x:c>
      <x:c r="B225" s="2" t="str">
        <x:v>사업 평가</x:v>
      </x:c>
      <x:c r="C225" s="2" t="str">
        <x:v>국내</x:v>
      </x:c>
      <x:c r="D225" s="7" t="str">
        <x:v>2015년 건물형 태양광 미니발전소 설치 및 자가사용 사업</x:v>
      </x:c>
      <x:c r="E225" s="2" t="str">
        <x:v>86</x:v>
      </x:c>
      <x:c r="F225" s="2" t="str">
        <x:v>2017-10-17</x:v>
      </x:c>
      <x:c r="G225" s="2" t="str">
        <x:v>2017</x:v>
      </x:c>
      <x:c r="H225" s="2" t="str">
        <x:v>10</x:v>
      </x:c>
      <x:c r="I225" s="2" t="str">
        <x:v>반려</x:v>
      </x:c>
      <x:c r="J225" s="2" t="str">
        <x:v>반려</x:v>
      </x:c>
      <x:c r="K225" s="2" t="str">
        <x:f>IF(OR(J225="심의승인",J225="반려",J225="반려완료",J225="심의완료"),"종결 표시",IF(OR(J225="기후부협의",J225="문서재제출요청",J225="보류",J225="보완요청",J225="보완완료",J225="평가중",J225="반려요청",J225="평가필요",LEFT(J225,5)="보완요청("),"미종결 표시","상태 확인 필요"))</x:f>
        <x:v>종결 표시</x:v>
      </x:c>
      <x:c r="L225" s="2"/>
      <x:c r="M225" s="2"/>
      <x:c r="N225" s="8" t="n">
        <x:f>DATE(2026,10,15)-DATE(2017,10,17)</x:f>
        <x:v>3285</x:v>
      </x:c>
      <x:c r="O225" s="2"/>
      <x:c r="P225" s="2"/>
      <x:c r="Q225" s="2" t="str">
        <x:v>산업전환_외부사업관리Tool_260707_이너젠 수정_LJY_261013.xlsx</x:v>
      </x:c>
      <x:c r="R225" s="2" t="str">
        <x:v>국내평가</x:v>
      </x:c>
      <x:c r="S225" s="8" t="n">
        <x:v>128</x:v>
      </x:c>
      <x:c r="T225" s="2" t="str">
        <x:v>2021년 처리</x:v>
      </x:c>
      <x:c r="U225" s="2" t="str">
        <x:v>2021 배정: 2021년 처리</x:v>
      </x:c>
      <x:c r="V225" s="2" t="str">
        <x:v>2021-06-07</x:v>
      </x:c>
      <x:c r="W225" s="2" t="str">
        <x:v>담당기관 확인</x:v>
      </x:c>
      <x:c r="X225" s="2" t="str">
        <x:v>원본·배정 기록 확인</x:v>
      </x:c>
      <x:c r="Y225" s="2" t="str">
        <x:v>ad210cd9ec132cfd447541c8984dc53d30aff0f4fb2dc92d254d49275cc55976</x:v>
      </x:c>
      <x:c r="Z225" s="2" t="n">
        <x:f>SUBTOTAL(103,A225)</x:f>
        <x:v>1</x:v>
      </x:c>
      <x:c r="AA225" s="2" t="str">
        <x:f>IF(K225&lt;&gt;"미종결 표시","대상 아님",IF(N225="","신청일 확인",IF(NOT(ISNUMBER('종합 현황'!$H$5)),"관찰기준 확인",IF('종합 현황'!$H$5&lt;1,"관찰기준 확인",IF(N225&gt;'종합 현황'!$H$5,"내부 관찰 대상","내부 관찰일 이하")))))</x:f>
        <x:v>대상 아님</x:v>
      </x:c>
      <x:c r="AB225" s="2"/>
    </x:row>
    <x:row r="226" ht="42" customHeight="1">
      <x:c r="A226" s="2" t="str">
        <x:v>8d403e9cd9166531b3c32d86</x:v>
      </x:c>
      <x:c r="B226" s="2" t="str">
        <x:v>사업 평가</x:v>
      </x:c>
      <x:c r="C226" s="2" t="str">
        <x:v>국내</x:v>
      </x:c>
      <x:c r="D226" s="7" t="str">
        <x:v>2016년 서울시 건물형 미니발전소 설치 및 자가사용 묶음감축사업</x:v>
      </x:c>
      <x:c r="E226" s="2" t="str">
        <x:v>87</x:v>
      </x:c>
      <x:c r="F226" s="2" t="str">
        <x:v>2017-10-17</x:v>
      </x:c>
      <x:c r="G226" s="2" t="str">
        <x:v>2017</x:v>
      </x:c>
      <x:c r="H226" s="2" t="str">
        <x:v>10</x:v>
      </x:c>
      <x:c r="I226" s="2" t="str">
        <x:v>반려</x:v>
      </x:c>
      <x:c r="J226" s="2" t="str">
        <x:v>반려</x:v>
      </x:c>
      <x:c r="K226" s="2" t="str">
        <x:f>IF(OR(J226="심의승인",J226="반려",J226="반려완료",J226="심의완료"),"종결 표시",IF(OR(J226="기후부협의",J226="문서재제출요청",J226="보류",J226="보완요청",J226="보완완료",J226="평가중",J226="반려요청",J226="평가필요",LEFT(J226,5)="보완요청("),"미종결 표시","상태 확인 필요"))</x:f>
        <x:v>종결 표시</x:v>
      </x:c>
      <x:c r="L226" s="2"/>
      <x:c r="M226" s="2"/>
      <x:c r="N226" s="8" t="n">
        <x:f>DATE(2026,10,15)-DATE(2017,10,17)</x:f>
        <x:v>3285</x:v>
      </x:c>
      <x:c r="O226" s="2"/>
      <x:c r="P226" s="2"/>
      <x:c r="Q226" s="2" t="str">
        <x:v>산업전환_외부사업관리Tool_260707_이너젠 수정_LJY_261013.xlsx</x:v>
      </x:c>
      <x:c r="R226" s="2" t="str">
        <x:v>국내평가</x:v>
      </x:c>
      <x:c r="S226" s="8" t="n">
        <x:v>129</x:v>
      </x:c>
      <x:c r="T226" s="2" t="str">
        <x:v>2021년 처리</x:v>
      </x:c>
      <x:c r="U226" s="2" t="str">
        <x:v>2021 배정: 2021년 처리</x:v>
      </x:c>
      <x:c r="V226" s="2" t="str">
        <x:v>2021-06-09</x:v>
      </x:c>
      <x:c r="W226" s="2" t="str">
        <x:v>담당기관 확인</x:v>
      </x:c>
      <x:c r="X226" s="2" t="str">
        <x:v>원본·배정 기록 확인</x:v>
      </x:c>
      <x:c r="Y226" s="2" t="str">
        <x:v>ad210cd9ec132cfd447541c8984dc53d30aff0f4fb2dc92d254d49275cc55976</x:v>
      </x:c>
      <x:c r="Z226" s="2" t="n">
        <x:f>SUBTOTAL(103,A226)</x:f>
        <x:v>1</x:v>
      </x:c>
      <x:c r="AA226" s="2" t="str">
        <x:f>IF(K226&lt;&gt;"미종결 표시","대상 아님",IF(N226="","신청일 확인",IF(NOT(ISNUMBER('종합 현황'!$H$5)),"관찰기준 확인",IF('종합 현황'!$H$5&lt;1,"관찰기준 확인",IF(N226&gt;'종합 현황'!$H$5,"내부 관찰 대상","내부 관찰일 이하")))))</x:f>
        <x:v>대상 아님</x:v>
      </x:c>
      <x:c r="AB226" s="2"/>
    </x:row>
    <x:row r="227" ht="42" customHeight="1">
      <x:c r="A227" s="2" t="str">
        <x:v>68c37a373666370d62ef2a7b</x:v>
      </x:c>
      <x:c r="B227" s="2" t="str">
        <x:v>사업 평가</x:v>
      </x:c>
      <x:c r="C227" s="2" t="str">
        <x:v>국내</x:v>
      </x:c>
      <x:c r="D227" s="7" t="str">
        <x:v>사조오양 연료전환 (B-C유 → 도시가스) 감축사업</x:v>
      </x:c>
      <x:c r="E227" s="2" t="str">
        <x:v>88</x:v>
      </x:c>
      <x:c r="F227" s="2" t="str">
        <x:v>2017-10-19</x:v>
      </x:c>
      <x:c r="G227" s="2" t="str">
        <x:v>2017</x:v>
      </x:c>
      <x:c r="H227" s="2" t="str">
        <x:v>10</x:v>
      </x:c>
      <x:c r="I227" s="2" t="str">
        <x:v>반려</x:v>
      </x:c>
      <x:c r="J227" s="2" t="str">
        <x:v>반려</x:v>
      </x:c>
      <x:c r="K227" s="2" t="str">
        <x:f>IF(OR(J227="심의승인",J227="반려",J227="반려완료",J227="심의완료"),"종결 표시",IF(OR(J227="기후부협의",J227="문서재제출요청",J227="보류",J227="보완요청",J227="보완완료",J227="평가중",J227="반려요청",J227="평가필요",LEFT(J227,5)="보완요청("),"미종결 표시","상태 확인 필요"))</x:f>
        <x:v>종결 표시</x:v>
      </x:c>
      <x:c r="L227" s="2"/>
      <x:c r="M227" s="2"/>
      <x:c r="N227" s="8" t="n">
        <x:f>DATE(2026,10,15)-DATE(2017,10,19)</x:f>
        <x:v>3283</x:v>
      </x:c>
      <x:c r="O227" s="2"/>
      <x:c r="P227" s="2"/>
      <x:c r="Q227" s="2" t="str">
        <x:v>산업전환_외부사업관리Tool_260707_이너젠 수정_LJY_261013.xlsx</x:v>
      </x:c>
      <x:c r="R227" s="2" t="str">
        <x:v>국내평가</x:v>
      </x:c>
      <x:c r="S227" s="8" t="n">
        <x:v>130</x:v>
      </x:c>
      <x:c r="T227" s="2" t="str">
        <x:v>(6/17)</x:v>
      </x:c>
      <x:c r="U227" s="2" t="str">
        <x:v>2021 배정: (6/17)</x:v>
      </x:c>
      <x:c r="V227" s="2" t="str">
        <x:v>2021-06-16</x:v>
      </x:c>
      <x:c r="W227" s="2" t="str">
        <x:v>담당기관 확인</x:v>
      </x:c>
      <x:c r="X227" s="2" t="str">
        <x:v>원본·배정 기록 확인</x:v>
      </x:c>
      <x:c r="Y227" s="2" t="str">
        <x:v>ad210cd9ec132cfd447541c8984dc53d30aff0f4fb2dc92d254d49275cc55976</x:v>
      </x:c>
      <x:c r="Z227" s="2" t="n">
        <x:f>SUBTOTAL(103,A227)</x:f>
        <x:v>1</x:v>
      </x:c>
      <x:c r="AA227" s="2" t="str">
        <x:f>IF(K227&lt;&gt;"미종결 표시","대상 아님",IF(N227="","신청일 확인",IF(NOT(ISNUMBER('종합 현황'!$H$5)),"관찰기준 확인",IF('종합 현황'!$H$5&lt;1,"관찰기준 확인",IF(N227&gt;'종합 현황'!$H$5,"내부 관찰 대상","내부 관찰일 이하")))))</x:f>
        <x:v>대상 아님</x:v>
      </x:c>
      <x:c r="AB227" s="2"/>
    </x:row>
    <x:row r="228" ht="42" customHeight="1">
      <x:c r="A228" s="2" t="str">
        <x:v>c6434fd45811515a55d7d4a5</x:v>
      </x:c>
      <x:c r="B228" s="2" t="str">
        <x:v>사업 평가</x:v>
      </x:c>
      <x:c r="C228" s="2" t="str">
        <x:v>국내</x:v>
      </x:c>
      <x:c r="D228" s="7" t="str">
        <x:v>양산시 공공시설 태양광발전 자가 사용에 의한 온실가스 배출 감축사업</x:v>
      </x:c>
      <x:c r="E228" s="2" t="str">
        <x:v>89</x:v>
      </x:c>
      <x:c r="F228" s="2" t="str">
        <x:v>2017-10-31</x:v>
      </x:c>
      <x:c r="G228" s="2" t="str">
        <x:v>2017</x:v>
      </x:c>
      <x:c r="H228" s="2" t="str">
        <x:v>10</x:v>
      </x:c>
      <x:c r="I228" s="2" t="str">
        <x:v>반려</x:v>
      </x:c>
      <x:c r="J228" s="2" t="str">
        <x:v>반려</x:v>
      </x:c>
      <x:c r="K228" s="2" t="str">
        <x:f>IF(OR(J228="심의승인",J228="반려",J228="반려완료",J228="심의완료"),"종결 표시",IF(OR(J228="기후부협의",J228="문서재제출요청",J228="보류",J228="보완요청",J228="보완완료",J228="평가중",J228="반려요청",J228="평가필요",LEFT(J228,5)="보완요청("),"미종결 표시","상태 확인 필요"))</x:f>
        <x:v>종결 표시</x:v>
      </x:c>
      <x:c r="L228" s="2"/>
      <x:c r="M228" s="2"/>
      <x:c r="N228" s="8" t="n">
        <x:f>DATE(2026,10,15)-DATE(2017,10,31)</x:f>
        <x:v>3271</x:v>
      </x:c>
      <x:c r="O228" s="2"/>
      <x:c r="P228" s="2"/>
      <x:c r="Q228" s="2" t="str">
        <x:v>산업전환_외부사업관리Tool_260707_이너젠 수정_LJY_261013.xlsx</x:v>
      </x:c>
      <x:c r="R228" s="2" t="str">
        <x:v>국내평가</x:v>
      </x:c>
      <x:c r="S228" s="8" t="n">
        <x:v>131</x:v>
      </x:c>
      <x:c r="T228" s="2" t="str">
        <x:v>(6/17)</x:v>
      </x:c>
      <x:c r="U228" s="2" t="str">
        <x:v>2021 배정: (6/17)</x:v>
      </x:c>
      <x:c r="V228" s="2" t="str">
        <x:v>2021-06-17</x:v>
      </x:c>
      <x:c r="W228" s="2" t="str">
        <x:v>담당기관 확인</x:v>
      </x:c>
      <x:c r="X228" s="2" t="str">
        <x:v>원본·배정 기록 확인</x:v>
      </x:c>
      <x:c r="Y228" s="2" t="str">
        <x:v>ad210cd9ec132cfd447541c8984dc53d30aff0f4fb2dc92d254d49275cc55976</x:v>
      </x:c>
      <x:c r="Z228" s="2" t="n">
        <x:f>SUBTOTAL(103,A228)</x:f>
        <x:v>1</x:v>
      </x:c>
      <x:c r="AA228" s="2" t="str">
        <x:f>IF(K228&lt;&gt;"미종결 표시","대상 아님",IF(N228="","신청일 확인",IF(NOT(ISNUMBER('종합 현황'!$H$5)),"관찰기준 확인",IF('종합 현황'!$H$5&lt;1,"관찰기준 확인",IF(N228&gt;'종합 현황'!$H$5,"내부 관찰 대상","내부 관찰일 이하")))))</x:f>
        <x:v>대상 아님</x:v>
      </x:c>
      <x:c r="AB228" s="2"/>
    </x:row>
    <x:row r="229" ht="42" customHeight="1">
      <x:c r="A229" s="2" t="str">
        <x:v>8427046eb29f9e78cbe12744</x:v>
      </x:c>
      <x:c r="B229" s="2" t="str">
        <x:v>사업 평가</x:v>
      </x:c>
      <x:c r="C229" s="2" t="str">
        <x:v>국내</x:v>
      </x:c>
      <x:c r="D229" s="7" t="str">
        <x:v>양산시 상북문화의 집 태양광발전 자가 사용에 의한 온실가스 배출 감축사업</x:v>
      </x:c>
      <x:c r="E229" s="2" t="str">
        <x:v>90</x:v>
      </x:c>
      <x:c r="F229" s="2" t="str">
        <x:v>2017-10-31</x:v>
      </x:c>
      <x:c r="G229" s="2" t="str">
        <x:v>2017</x:v>
      </x:c>
      <x:c r="H229" s="2" t="str">
        <x:v>10</x:v>
      </x:c>
      <x:c r="I229" s="2" t="str">
        <x:v>반려</x:v>
      </x:c>
      <x:c r="J229" s="2" t="str">
        <x:v>반려</x:v>
      </x:c>
      <x:c r="K229" s="2" t="str">
        <x:f>IF(OR(J229="심의승인",J229="반려",J229="반려완료",J229="심의완료"),"종결 표시",IF(OR(J229="기후부협의",J229="문서재제출요청",J229="보류",J229="보완요청",J229="보완완료",J229="평가중",J229="반려요청",J229="평가필요",LEFT(J229,5)="보완요청("),"미종결 표시","상태 확인 필요"))</x:f>
        <x:v>종결 표시</x:v>
      </x:c>
      <x:c r="L229" s="2"/>
      <x:c r="M229" s="2"/>
      <x:c r="N229" s="8" t="n">
        <x:f>DATE(2026,10,15)-DATE(2017,10,31)</x:f>
        <x:v>3271</x:v>
      </x:c>
      <x:c r="O229" s="2"/>
      <x:c r="P229" s="2"/>
      <x:c r="Q229" s="2" t="str">
        <x:v>산업전환_외부사업관리Tool_260707_이너젠 수정_LJY_261013.xlsx</x:v>
      </x:c>
      <x:c r="R229" s="2" t="str">
        <x:v>국내평가</x:v>
      </x:c>
      <x:c r="S229" s="8" t="n">
        <x:v>132</x:v>
      </x:c>
      <x:c r="T229" s="2" t="str">
        <x:v>(6/17)</x:v>
      </x:c>
      <x:c r="U229" s="2" t="str">
        <x:v>2021 배정: (6/17)</x:v>
      </x:c>
      <x:c r="V229" s="2" t="str">
        <x:v>2021-06-17</x:v>
      </x:c>
      <x:c r="W229" s="2" t="str">
        <x:v>담당기관 확인</x:v>
      </x:c>
      <x:c r="X229" s="2" t="str">
        <x:v>원본·배정 기록 확인</x:v>
      </x:c>
      <x:c r="Y229" s="2" t="str">
        <x:v>ad210cd9ec132cfd447541c8984dc53d30aff0f4fb2dc92d254d49275cc55976</x:v>
      </x:c>
      <x:c r="Z229" s="2" t="n">
        <x:f>SUBTOTAL(103,A229)</x:f>
        <x:v>1</x:v>
      </x:c>
      <x:c r="AA229" s="2" t="str">
        <x:f>IF(K229&lt;&gt;"미종결 표시","대상 아님",IF(N229="","신청일 확인",IF(NOT(ISNUMBER('종합 현황'!$H$5)),"관찰기준 확인",IF('종합 현황'!$H$5&lt;1,"관찰기준 확인",IF(N229&gt;'종합 현황'!$H$5,"내부 관찰 대상","내부 관찰일 이하")))))</x:f>
        <x:v>대상 아님</x:v>
      </x:c>
      <x:c r="AB229" s="2"/>
    </x:row>
    <x:row r="230" ht="42" customHeight="1">
      <x:c r="A230" s="2" t="str">
        <x:v>6be6a20fa3e0db3099e06817</x:v>
      </x:c>
      <x:c r="B230" s="2" t="str">
        <x:v>사업 평가</x:v>
      </x:c>
      <x:c r="C230" s="2" t="str">
        <x:v>국내</x:v>
      </x:c>
      <x:c r="D230" s="7" t="str">
        <x:v>양산시 삼성문화의 집 태양광발전 자가 사용에 의한 온실가스 배출 감축사업</x:v>
      </x:c>
      <x:c r="E230" s="2" t="str">
        <x:v>91</x:v>
      </x:c>
      <x:c r="F230" s="2" t="str">
        <x:v>2017-10-31</x:v>
      </x:c>
      <x:c r="G230" s="2" t="str">
        <x:v>2017</x:v>
      </x:c>
      <x:c r="H230" s="2" t="str">
        <x:v>10</x:v>
      </x:c>
      <x:c r="I230" s="2" t="str">
        <x:v>반려</x:v>
      </x:c>
      <x:c r="J230" s="2" t="str">
        <x:v>반려</x:v>
      </x:c>
      <x:c r="K230" s="2" t="str">
        <x:f>IF(OR(J230="심의승인",J230="반려",J230="반려완료",J230="심의완료"),"종결 표시",IF(OR(J230="기후부협의",J230="문서재제출요청",J230="보류",J230="보완요청",J230="보완완료",J230="평가중",J230="반려요청",J230="평가필요",LEFT(J230,5)="보완요청("),"미종결 표시","상태 확인 필요"))</x:f>
        <x:v>종결 표시</x:v>
      </x:c>
      <x:c r="L230" s="2"/>
      <x:c r="M230" s="2"/>
      <x:c r="N230" s="8" t="n">
        <x:f>DATE(2026,10,15)-DATE(2017,10,31)</x:f>
        <x:v>3271</x:v>
      </x:c>
      <x:c r="O230" s="2"/>
      <x:c r="P230" s="2"/>
      <x:c r="Q230" s="2" t="str">
        <x:v>산업전환_외부사업관리Tool_260707_이너젠 수정_LJY_261013.xlsx</x:v>
      </x:c>
      <x:c r="R230" s="2" t="str">
        <x:v>국내평가</x:v>
      </x:c>
      <x:c r="S230" s="8" t="n">
        <x:v>133</x:v>
      </x:c>
      <x:c r="T230" s="2" t="str">
        <x:v>(6/17)</x:v>
      </x:c>
      <x:c r="U230" s="2" t="str">
        <x:v>2021 배정: (6/17)</x:v>
      </x:c>
      <x:c r="V230" s="2" t="str">
        <x:v>2021-06-17</x:v>
      </x:c>
      <x:c r="W230" s="2" t="str">
        <x:v>담당기관 확인</x:v>
      </x:c>
      <x:c r="X230" s="2" t="str">
        <x:v>원본·배정 기록 확인</x:v>
      </x:c>
      <x:c r="Y230" s="2" t="str">
        <x:v>ad210cd9ec132cfd447541c8984dc53d30aff0f4fb2dc92d254d49275cc55976</x:v>
      </x:c>
      <x:c r="Z230" s="2" t="n">
        <x:f>SUBTOTAL(103,A230)</x:f>
        <x:v>1</x:v>
      </x:c>
      <x:c r="AA230" s="2" t="str">
        <x:f>IF(K230&lt;&gt;"미종결 표시","대상 아님",IF(N230="","신청일 확인",IF(NOT(ISNUMBER('종합 현황'!$H$5)),"관찰기준 확인",IF('종합 현황'!$H$5&lt;1,"관찰기준 확인",IF(N230&gt;'종합 현황'!$H$5,"내부 관찰 대상","내부 관찰일 이하")))))</x:f>
        <x:v>대상 아님</x:v>
      </x:c>
      <x:c r="AB230" s="2"/>
    </x:row>
    <x:row r="231" ht="42" customHeight="1">
      <x:c r="A231" s="2" t="str">
        <x:v>1efcee2976aa260eef1a9b0a</x:v>
      </x:c>
      <x:c r="B231" s="2" t="str">
        <x:v>사업 평가</x:v>
      </x:c>
      <x:c r="C231" s="2" t="str">
        <x:v>국내</x:v>
      </x:c>
      <x:c r="D231" s="7" t="str">
        <x:v>양산시 주택 태양광발전 자가 사용에 의한 온실가스 배출 감축사업</x:v>
      </x:c>
      <x:c r="E231" s="2" t="str">
        <x:v>92</x:v>
      </x:c>
      <x:c r="F231" s="2" t="str">
        <x:v>2017-10-31</x:v>
      </x:c>
      <x:c r="G231" s="2" t="str">
        <x:v>2017</x:v>
      </x:c>
      <x:c r="H231" s="2" t="str">
        <x:v>10</x:v>
      </x:c>
      <x:c r="I231" s="2" t="str">
        <x:v>반려</x:v>
      </x:c>
      <x:c r="J231" s="2" t="str">
        <x:v>반려</x:v>
      </x:c>
      <x:c r="K231" s="2" t="str">
        <x:f>IF(OR(J231="심의승인",J231="반려",J231="반려완료",J231="심의완료"),"종결 표시",IF(OR(J231="기후부협의",J231="문서재제출요청",J231="보류",J231="보완요청",J231="보완완료",J231="평가중",J231="반려요청",J231="평가필요",LEFT(J231,5)="보완요청("),"미종결 표시","상태 확인 필요"))</x:f>
        <x:v>종결 표시</x:v>
      </x:c>
      <x:c r="L231" s="2"/>
      <x:c r="M231" s="2"/>
      <x:c r="N231" s="8" t="n">
        <x:f>DATE(2026,10,15)-DATE(2017,10,31)</x:f>
        <x:v>3271</x:v>
      </x:c>
      <x:c r="O231" s="2"/>
      <x:c r="P231" s="2"/>
      <x:c r="Q231" s="2" t="str">
        <x:v>산업전환_외부사업관리Tool_260707_이너젠 수정_LJY_261013.xlsx</x:v>
      </x:c>
      <x:c r="R231" s="2" t="str">
        <x:v>국내평가</x:v>
      </x:c>
      <x:c r="S231" s="8" t="n">
        <x:v>134</x:v>
      </x:c>
      <x:c r="T231" s="2" t="str">
        <x:v>2021년 처리</x:v>
      </x:c>
      <x:c r="U231" s="2" t="str">
        <x:v>2021 배정: 2021년 처리</x:v>
      </x:c>
      <x:c r="V231" s="2" t="str">
        <x:v>2021-06-11</x:v>
      </x:c>
      <x:c r="W231" s="2" t="str">
        <x:v>담당기관 확인</x:v>
      </x:c>
      <x:c r="X231" s="2" t="str">
        <x:v>원본·배정 기록 확인</x:v>
      </x:c>
      <x:c r="Y231" s="2" t="str">
        <x:v>ad210cd9ec132cfd447541c8984dc53d30aff0f4fb2dc92d254d49275cc55976</x:v>
      </x:c>
      <x:c r="Z231" s="2" t="n">
        <x:f>SUBTOTAL(103,A231)</x:f>
        <x:v>1</x:v>
      </x:c>
      <x:c r="AA231" s="2" t="str">
        <x:f>IF(K231&lt;&gt;"미종결 표시","대상 아님",IF(N231="","신청일 확인",IF(NOT(ISNUMBER('종합 현황'!$H$5)),"관찰기준 확인",IF('종합 현황'!$H$5&lt;1,"관찰기준 확인",IF(N231&gt;'종합 현황'!$H$5,"내부 관찰 대상","내부 관찰일 이하")))))</x:f>
        <x:v>대상 아님</x:v>
      </x:c>
      <x:c r="AB231" s="2"/>
    </x:row>
    <x:row r="232" ht="42" customHeight="1">
      <x:c r="A232" s="2" t="str">
        <x:v>a128e99fdca353f35b4f0994</x:v>
      </x:c>
      <x:c r="B232" s="2" t="str">
        <x:v>사업 평가</x:v>
      </x:c>
      <x:c r="C232" s="2" t="str">
        <x:v>국내</x:v>
      </x:c>
      <x:c r="D232" s="7" t="str">
        <x:v>주식회사 디티알 진주공장 인버터 공기압축기 고효율설비 교체 사업</x:v>
      </x:c>
      <x:c r="E232" s="2" t="str">
        <x:v>93</x:v>
      </x:c>
      <x:c r="F232" s="2" t="str">
        <x:v>2017-10-27</x:v>
      </x:c>
      <x:c r="G232" s="2" t="str">
        <x:v>2017</x:v>
      </x:c>
      <x:c r="H232" s="2" t="str">
        <x:v>10</x:v>
      </x:c>
      <x:c r="I232" s="2" t="str">
        <x:v>승인</x:v>
      </x:c>
      <x:c r="J232" s="2" t="str">
        <x:v>심의승인</x:v>
      </x:c>
      <x:c r="K232" s="2" t="str">
        <x:f>IF(OR(J232="심의승인",J232="반려",J232="반려완료",J232="심의완료"),"종결 표시",IF(OR(J232="기후부협의",J232="문서재제출요청",J232="보류",J232="보완요청",J232="보완완료",J232="평가중",J232="반려요청",J232="평가필요",LEFT(J232,5)="보완요청("),"미종결 표시","상태 확인 필요"))</x:f>
        <x:v>종결 표시</x:v>
      </x:c>
      <x:c r="L232" s="2"/>
      <x:c r="M232" s="2"/>
      <x:c r="N232" s="8" t="n">
        <x:f>DATE(2026,10,15)-DATE(2017,10,27)</x:f>
        <x:v>3275</x:v>
      </x:c>
      <x:c r="O232" s="2" t="str">
        <x:v>O</x:v>
      </x:c>
      <x:c r="P232" s="2"/>
      <x:c r="Q232" s="2" t="str">
        <x:v>산업전환_외부사업관리Tool_260707_이너젠 수정_LJY_261013.xlsx</x:v>
      </x:c>
      <x:c r="R232" s="2" t="str">
        <x:v>국내평가</x:v>
      </x:c>
      <x:c r="S232" s="8" t="n">
        <x:v>135</x:v>
      </x:c>
      <x:c r="T232" s="2"/>
      <x:c r="U232" s="2" t="str"/>
      <x:c r="V232" s="2" t="str">
        <x:v>2020-11-13</x:v>
      </x:c>
      <x:c r="W232" s="2" t="str">
        <x:v>담당기관 확인</x:v>
      </x:c>
      <x:c r="X232" s="2" t="str">
        <x:v>원본·배정 기록 확인</x:v>
      </x:c>
      <x:c r="Y232" s="2" t="str">
        <x:v>ad210cd9ec132cfd447541c8984dc53d30aff0f4fb2dc92d254d49275cc55976</x:v>
      </x:c>
      <x:c r="Z232" s="2" t="n">
        <x:f>SUBTOTAL(103,A232)</x:f>
        <x:v>1</x:v>
      </x:c>
      <x:c r="AA232" s="2" t="str">
        <x:f>IF(K232&lt;&gt;"미종결 표시","대상 아님",IF(N232="","신청일 확인",IF(NOT(ISNUMBER('종합 현황'!$H$5)),"관찰기준 확인",IF('종합 현황'!$H$5&lt;1,"관찰기준 확인",IF(N232&gt;'종합 현황'!$H$5,"내부 관찰 대상","내부 관찰일 이하")))))</x:f>
        <x:v>대상 아님</x:v>
      </x:c>
      <x:c r="AB232" s="2"/>
    </x:row>
    <x:row r="233" ht="42" customHeight="1">
      <x:c r="A233" s="2" t="str">
        <x:v>04fb8a5b2cc118e4e3844b4f</x:v>
      </x:c>
      <x:c r="B233" s="2" t="str">
        <x:v>사업 평가</x:v>
      </x:c>
      <x:c r="C233" s="2" t="str">
        <x:v>국내</x:v>
      </x:c>
      <x:c r="D233" s="7" t="str">
        <x:v>정한정밀 태양광발전 설비 설치를 통한 전력 생산 및 자가 사용 사업</x:v>
      </x:c>
      <x:c r="E233" s="2" t="str">
        <x:v>94</x:v>
      </x:c>
      <x:c r="F233" s="2" t="str">
        <x:v>2017-10-30</x:v>
      </x:c>
      <x:c r="G233" s="2" t="str">
        <x:v>2017</x:v>
      </x:c>
      <x:c r="H233" s="2" t="str">
        <x:v>10</x:v>
      </x:c>
      <x:c r="I233" s="2" t="str">
        <x:v>승인</x:v>
      </x:c>
      <x:c r="J233" s="2" t="str">
        <x:v>심의승인</x:v>
      </x:c>
      <x:c r="K233" s="2" t="str">
        <x:f>IF(OR(J233="심의승인",J233="반려",J233="반려완료",J233="심의완료"),"종결 표시",IF(OR(J233="기후부협의",J233="문서재제출요청",J233="보류",J233="보완요청",J233="보완완료",J233="평가중",J233="반려요청",J233="평가필요",LEFT(J233,5)="보완요청("),"미종결 표시","상태 확인 필요"))</x:f>
        <x:v>종결 표시</x:v>
      </x:c>
      <x:c r="L233" s="2"/>
      <x:c r="M233" s="2"/>
      <x:c r="N233" s="8" t="n">
        <x:f>DATE(2026,10,15)-DATE(2017,10,30)</x:f>
        <x:v>3272</x:v>
      </x:c>
      <x:c r="O233" s="2"/>
      <x:c r="P233" s="2"/>
      <x:c r="Q233" s="2" t="str">
        <x:v>산업전환_외부사업관리Tool_260707_이너젠 수정_LJY_261013.xlsx</x:v>
      </x:c>
      <x:c r="R233" s="2" t="str">
        <x:v>국내평가</x:v>
      </x:c>
      <x:c r="S233" s="8" t="n">
        <x:v>136</x:v>
      </x:c>
      <x:c r="T233" s="2"/>
      <x:c r="U233" s="2" t="str"/>
      <x:c r="V233" s="2" t="str">
        <x:v>2020-02-26</x:v>
      </x:c>
      <x:c r="W233" s="2" t="str">
        <x:v>담당기관 확인</x:v>
      </x:c>
      <x:c r="X233" s="2" t="str">
        <x:v>원본·배정 기록 확인</x:v>
      </x:c>
      <x:c r="Y233" s="2" t="str">
        <x:v>ad210cd9ec132cfd447541c8984dc53d30aff0f4fb2dc92d254d49275cc55976</x:v>
      </x:c>
      <x:c r="Z233" s="2" t="n">
        <x:f>SUBTOTAL(103,A233)</x:f>
        <x:v>1</x:v>
      </x:c>
      <x:c r="AA233" s="2" t="str">
        <x:f>IF(K233&lt;&gt;"미종결 표시","대상 아님",IF(N233="","신청일 확인",IF(NOT(ISNUMBER('종합 현황'!$H$5)),"관찰기준 확인",IF('종합 현황'!$H$5&lt;1,"관찰기준 확인",IF(N233&gt;'종합 현황'!$H$5,"내부 관찰 대상","내부 관찰일 이하")))))</x:f>
        <x:v>대상 아님</x:v>
      </x:c>
      <x:c r="AB233" s="2"/>
    </x:row>
    <x:row r="234" ht="42" customHeight="1">
      <x:c r="A234" s="2" t="str">
        <x:v>6e5f4d72db43fc9f9cd3d3bc</x:v>
      </x:c>
      <x:c r="B234" s="2" t="str">
        <x:v>사업 평가</x:v>
      </x:c>
      <x:c r="C234" s="2" t="str">
        <x:v>국내</x:v>
      </x:c>
      <x:c r="D234" s="7" t="str">
        <x:v>동해시 LED 도로조명 교체를 통한 온실가스 배출 감축사업</x:v>
      </x:c>
      <x:c r="E234" s="2" t="str">
        <x:v>95</x:v>
      </x:c>
      <x:c r="F234" s="2" t="str">
        <x:v>2017-11-07</x:v>
      </x:c>
      <x:c r="G234" s="2" t="str">
        <x:v>2017</x:v>
      </x:c>
      <x:c r="H234" s="2" t="str">
        <x:v>11</x:v>
      </x:c>
      <x:c r="I234" s="2" t="str">
        <x:v>반려</x:v>
      </x:c>
      <x:c r="J234" s="2" t="str">
        <x:v>반려</x:v>
      </x:c>
      <x:c r="K234" s="2" t="str">
        <x:f>IF(OR(J234="심의승인",J234="반려",J234="반려완료",J234="심의완료"),"종결 표시",IF(OR(J234="기후부협의",J234="문서재제출요청",J234="보류",J234="보완요청",J234="보완완료",J234="평가중",J234="반려요청",J234="평가필요",LEFT(J234,5)="보완요청("),"미종결 표시","상태 확인 필요"))</x:f>
        <x:v>종결 표시</x:v>
      </x:c>
      <x:c r="L234" s="2"/>
      <x:c r="M234" s="2"/>
      <x:c r="N234" s="8" t="n">
        <x:f>DATE(2026,10,15)-DATE(2017,11,7)</x:f>
        <x:v>3264</x:v>
      </x:c>
      <x:c r="O234" s="2"/>
      <x:c r="P234" s="2"/>
      <x:c r="Q234" s="2" t="str">
        <x:v>산업전환_외부사업관리Tool_260707_이너젠 수정_LJY_261013.xlsx</x:v>
      </x:c>
      <x:c r="R234" s="2" t="str">
        <x:v>국내평가</x:v>
      </x:c>
      <x:c r="S234" s="8" t="n">
        <x:v>137</x:v>
      </x:c>
      <x:c r="T234" s="2" t="str">
        <x:v>2021년 처리</x:v>
      </x:c>
      <x:c r="U234" s="2" t="str">
        <x:v>2021 배정: 2021년 처리</x:v>
      </x:c>
      <x:c r="V234" s="2" t="str">
        <x:v>2021-06-24</x:v>
      </x:c>
      <x:c r="W234" s="2" t="str">
        <x:v>담당기관 확인</x:v>
      </x:c>
      <x:c r="X234" s="2" t="str">
        <x:v>원본·배정 기록 확인</x:v>
      </x:c>
      <x:c r="Y234" s="2" t="str">
        <x:v>ad210cd9ec132cfd447541c8984dc53d30aff0f4fb2dc92d254d49275cc55976</x:v>
      </x:c>
      <x:c r="Z234" s="2" t="n">
        <x:f>SUBTOTAL(103,A234)</x:f>
        <x:v>1</x:v>
      </x:c>
      <x:c r="AA234" s="2" t="str">
        <x:f>IF(K234&lt;&gt;"미종결 표시","대상 아님",IF(N234="","신청일 확인",IF(NOT(ISNUMBER('종합 현황'!$H$5)),"관찰기준 확인",IF('종합 현황'!$H$5&lt;1,"관찰기준 확인",IF(N234&gt;'종합 현황'!$H$5,"내부 관찰 대상","내부 관찰일 이하")))))</x:f>
        <x:v>대상 아님</x:v>
      </x:c>
      <x:c r="AB234" s="2"/>
    </x:row>
    <x:row r="235" ht="42" customHeight="1">
      <x:c r="A235" s="2" t="str">
        <x:v>83e2818933f13bdc18fab42d</x:v>
      </x:c>
      <x:c r="B235" s="2" t="str">
        <x:v>사업 평가</x:v>
      </x:c>
      <x:c r="C235" s="2" t="str">
        <x:v>국내</x:v>
      </x:c>
      <x:c r="D235" s="7" t="str">
        <x:v>K-water 소수력발전 6번들 CDM</x:v>
      </x:c>
      <x:c r="E235" s="2" t="str">
        <x:v>96</x:v>
      </x:c>
      <x:c r="F235" s="2" t="str">
        <x:v>2017-11-16</x:v>
      </x:c>
      <x:c r="G235" s="2" t="str">
        <x:v>2017</x:v>
      </x:c>
      <x:c r="H235" s="2" t="str">
        <x:v>11</x:v>
      </x:c>
      <x:c r="I235" s="2" t="str">
        <x:v>반려</x:v>
      </x:c>
      <x:c r="J235" s="2" t="str">
        <x:v>반려</x:v>
      </x:c>
      <x:c r="K235" s="2" t="str">
        <x:f>IF(OR(J235="심의승인",J235="반려",J235="반려완료",J235="심의완료"),"종결 표시",IF(OR(J235="기후부협의",J235="문서재제출요청",J235="보류",J235="보완요청",J235="보완완료",J235="평가중",J235="반려요청",J235="평가필요",LEFT(J235,5)="보완요청("),"미종결 표시","상태 확인 필요"))</x:f>
        <x:v>종결 표시</x:v>
      </x:c>
      <x:c r="L235" s="2"/>
      <x:c r="M235" s="2"/>
      <x:c r="N235" s="8" t="n">
        <x:f>DATE(2026,10,15)-DATE(2017,11,16)</x:f>
        <x:v>3255</x:v>
      </x:c>
      <x:c r="O235" s="2"/>
      <x:c r="P235" s="2"/>
      <x:c r="Q235" s="2" t="str">
        <x:v>산업전환_외부사업관리Tool_260707_이너젠 수정_LJY_261013.xlsx</x:v>
      </x:c>
      <x:c r="R235" s="2" t="str">
        <x:v>국내평가</x:v>
      </x:c>
      <x:c r="S235" s="8" t="n">
        <x:v>138</x:v>
      </x:c>
      <x:c r="T235" s="2"/>
      <x:c r="U235" s="2" t="str"/>
      <x:c r="V235" s="2" t="str">
        <x:v>2020-05-21</x:v>
      </x:c>
      <x:c r="W235" s="2" t="str">
        <x:v>담당기관 확인</x:v>
      </x:c>
      <x:c r="X235" s="2" t="str">
        <x:v>원본·배정 기록 확인</x:v>
      </x:c>
      <x:c r="Y235" s="2" t="str">
        <x:v>ad210cd9ec132cfd447541c8984dc53d30aff0f4fb2dc92d254d49275cc55976</x:v>
      </x:c>
      <x:c r="Z235" s="2" t="n">
        <x:f>SUBTOTAL(103,A235)</x:f>
        <x:v>1</x:v>
      </x:c>
      <x:c r="AA235" s="2" t="str">
        <x:f>IF(K235&lt;&gt;"미종결 표시","대상 아님",IF(N235="","신청일 확인",IF(NOT(ISNUMBER('종합 현황'!$H$5)),"관찰기준 확인",IF('종합 현황'!$H$5&lt;1,"관찰기준 확인",IF(N235&gt;'종합 현황'!$H$5,"내부 관찰 대상","내부 관찰일 이하")))))</x:f>
        <x:v>대상 아님</x:v>
      </x:c>
      <x:c r="AB235" s="2"/>
    </x:row>
    <x:row r="236" ht="42" customHeight="1">
      <x:c r="A236" s="2" t="str">
        <x:v>03e42c34ee4977ac6134e31e</x:v>
      </x:c>
      <x:c r="B236" s="2" t="str">
        <x:v>사업 평가</x:v>
      </x:c>
      <x:c r="C236" s="2" t="str">
        <x:v>국내</x:v>
      </x:c>
      <x:c r="D236" s="7" t="str">
        <x:v>K-water 소수력발전 7번들 CDM</x:v>
      </x:c>
      <x:c r="E236" s="2" t="str">
        <x:v>97</x:v>
      </x:c>
      <x:c r="F236" s="2" t="str">
        <x:v>2017-11-16</x:v>
      </x:c>
      <x:c r="G236" s="2" t="str">
        <x:v>2017</x:v>
      </x:c>
      <x:c r="H236" s="2" t="str">
        <x:v>11</x:v>
      </x:c>
      <x:c r="I236" s="2" t="str">
        <x:v>반려</x:v>
      </x:c>
      <x:c r="J236" s="2" t="str">
        <x:v>반려</x:v>
      </x:c>
      <x:c r="K236" s="2" t="str">
        <x:f>IF(OR(J236="심의승인",J236="반려",J236="반려완료",J236="심의완료"),"종결 표시",IF(OR(J236="기후부협의",J236="문서재제출요청",J236="보류",J236="보완요청",J236="보완완료",J236="평가중",J236="반려요청",J236="평가필요",LEFT(J236,5)="보완요청("),"미종결 표시","상태 확인 필요"))</x:f>
        <x:v>종결 표시</x:v>
      </x:c>
      <x:c r="L236" s="2"/>
      <x:c r="M236" s="2"/>
      <x:c r="N236" s="8" t="n">
        <x:f>DATE(2026,10,15)-DATE(2017,11,16)</x:f>
        <x:v>3255</x:v>
      </x:c>
      <x:c r="O236" s="2"/>
      <x:c r="P236" s="2"/>
      <x:c r="Q236" s="2" t="str">
        <x:v>산업전환_외부사업관리Tool_260707_이너젠 수정_LJY_261013.xlsx</x:v>
      </x:c>
      <x:c r="R236" s="2" t="str">
        <x:v>국내평가</x:v>
      </x:c>
      <x:c r="S236" s="8" t="n">
        <x:v>139</x:v>
      </x:c>
      <x:c r="T236" s="2"/>
      <x:c r="U236" s="2" t="str"/>
      <x:c r="V236" s="2" t="str">
        <x:v>2020-05-21</x:v>
      </x:c>
      <x:c r="W236" s="2" t="str">
        <x:v>담당기관 확인</x:v>
      </x:c>
      <x:c r="X236" s="2" t="str">
        <x:v>원본·배정 기록 확인</x:v>
      </x:c>
      <x:c r="Y236" s="2" t="str">
        <x:v>ad210cd9ec132cfd447541c8984dc53d30aff0f4fb2dc92d254d49275cc55976</x:v>
      </x:c>
      <x:c r="Z236" s="2" t="n">
        <x:f>SUBTOTAL(103,A236)</x:f>
        <x:v>1</x:v>
      </x:c>
      <x:c r="AA236" s="2" t="str">
        <x:f>IF(K236&lt;&gt;"미종결 표시","대상 아님",IF(N236="","신청일 확인",IF(NOT(ISNUMBER('종합 현황'!$H$5)),"관찰기준 확인",IF('종합 현황'!$H$5&lt;1,"관찰기준 확인",IF(N236&gt;'종합 현황'!$H$5,"내부 관찰 대상","내부 관찰일 이하")))))</x:f>
        <x:v>대상 아님</x:v>
      </x:c>
      <x:c r="AB236" s="2"/>
    </x:row>
    <x:row r="237" ht="42" customHeight="1">
      <x:c r="A237" s="2" t="str">
        <x:v>7b15b673564711e4426bf255</x:v>
      </x:c>
      <x:c r="B237" s="2" t="str">
        <x:v>사업 평가</x:v>
      </x:c>
      <x:c r="C237" s="2" t="str">
        <x:v>국내</x:v>
      </x:c>
      <x:c r="D237" s="7" t="str">
        <x:v>K-water 소수력발전 8번들 CDM</x:v>
      </x:c>
      <x:c r="E237" s="2" t="str">
        <x:v>98</x:v>
      </x:c>
      <x:c r="F237" s="2" t="str">
        <x:v>2017-11-16</x:v>
      </x:c>
      <x:c r="G237" s="2" t="str">
        <x:v>2017</x:v>
      </x:c>
      <x:c r="H237" s="2" t="str">
        <x:v>11</x:v>
      </x:c>
      <x:c r="I237" s="2" t="str">
        <x:v>반려</x:v>
      </x:c>
      <x:c r="J237" s="2" t="str">
        <x:v>반려</x:v>
      </x:c>
      <x:c r="K237" s="2" t="str">
        <x:f>IF(OR(J237="심의승인",J237="반려",J237="반려완료",J237="심의완료"),"종결 표시",IF(OR(J237="기후부협의",J237="문서재제출요청",J237="보류",J237="보완요청",J237="보완완료",J237="평가중",J237="반려요청",J237="평가필요",LEFT(J237,5)="보완요청("),"미종결 표시","상태 확인 필요"))</x:f>
        <x:v>종결 표시</x:v>
      </x:c>
      <x:c r="L237" s="2"/>
      <x:c r="M237" s="2"/>
      <x:c r="N237" s="8" t="n">
        <x:f>DATE(2026,10,15)-DATE(2017,11,16)</x:f>
        <x:v>3255</x:v>
      </x:c>
      <x:c r="O237" s="2"/>
      <x:c r="P237" s="2"/>
      <x:c r="Q237" s="2" t="str">
        <x:v>산업전환_외부사업관리Tool_260707_이너젠 수정_LJY_261013.xlsx</x:v>
      </x:c>
      <x:c r="R237" s="2" t="str">
        <x:v>국내평가</x:v>
      </x:c>
      <x:c r="S237" s="8" t="n">
        <x:v>140</x:v>
      </x:c>
      <x:c r="T237" s="2"/>
      <x:c r="U237" s="2" t="str"/>
      <x:c r="V237" s="2" t="str">
        <x:v>2020-05-21</x:v>
      </x:c>
      <x:c r="W237" s="2" t="str">
        <x:v>담당기관 확인</x:v>
      </x:c>
      <x:c r="X237" s="2" t="str">
        <x:v>원본·배정 기록 확인</x:v>
      </x:c>
      <x:c r="Y237" s="2" t="str">
        <x:v>ad210cd9ec132cfd447541c8984dc53d30aff0f4fb2dc92d254d49275cc55976</x:v>
      </x:c>
      <x:c r="Z237" s="2" t="n">
        <x:f>SUBTOTAL(103,A237)</x:f>
        <x:v>1</x:v>
      </x:c>
      <x:c r="AA237" s="2" t="str">
        <x:f>IF(K237&lt;&gt;"미종결 표시","대상 아님",IF(N237="","신청일 확인",IF(NOT(ISNUMBER('종합 현황'!$H$5)),"관찰기준 확인",IF('종합 현황'!$H$5&lt;1,"관찰기준 확인",IF(N237&gt;'종합 현황'!$H$5,"내부 관찰 대상","내부 관찰일 이하")))))</x:f>
        <x:v>대상 아님</x:v>
      </x:c>
      <x:c r="AB237" s="2"/>
    </x:row>
    <x:row r="238" ht="42" customHeight="1">
      <x:c r="A238" s="2" t="str">
        <x:v>591c5d7781a05d57f4666b16</x:v>
      </x:c>
      <x:c r="B238" s="2" t="str">
        <x:v>사업 평가</x:v>
      </x:c>
      <x:c r="C238" s="2" t="str">
        <x:v>국내</x:v>
      </x:c>
      <x:c r="D238" s="7" t="str">
        <x:v>양양 풍력 소수력 CDM사업</x:v>
      </x:c>
      <x:c r="E238" s="2" t="str">
        <x:v>99</x:v>
      </x:c>
      <x:c r="F238" s="2" t="str">
        <x:v>2017-11-01</x:v>
      </x:c>
      <x:c r="G238" s="2" t="str">
        <x:v>2017</x:v>
      </x:c>
      <x:c r="H238" s="2" t="str">
        <x:v>11</x:v>
      </x:c>
      <x:c r="I238" s="2" t="str">
        <x:v>사업변경 신청</x:v>
      </x:c>
      <x:c r="J238" s="2" t="str">
        <x:v>심의승인</x:v>
      </x:c>
      <x:c r="K238" s="2" t="str">
        <x:f>IF(OR(J238="심의승인",J238="반려",J238="반려완료",J238="심의완료"),"종결 표시",IF(OR(J238="기후부협의",J238="문서재제출요청",J238="보류",J238="보완요청",J238="보완완료",J238="평가중",J238="반려요청",J238="평가필요",LEFT(J238,5)="보완요청("),"미종결 표시","상태 확인 필요"))</x:f>
        <x:v>종결 표시</x:v>
      </x:c>
      <x:c r="L238" s="2"/>
      <x:c r="M238" s="2"/>
      <x:c r="N238" s="8" t="n">
        <x:f>DATE(2026,10,15)-DATE(2017,11,1)</x:f>
        <x:v>3270</x:v>
      </x:c>
      <x:c r="O238" s="2"/>
      <x:c r="P238" s="2" t="str">
        <x:v>적용방법론 오적용</x:v>
      </x:c>
      <x:c r="Q238" s="2" t="str">
        <x:v>산업전환_외부사업관리Tool_260707_이너젠 수정_LJY_261013.xlsx</x:v>
      </x:c>
      <x:c r="R238" s="2" t="str">
        <x:v>국내평가</x:v>
      </x:c>
      <x:c r="S238" s="8" t="n">
        <x:v>141</x:v>
      </x:c>
      <x:c r="T238" s="2"/>
      <x:c r="U238" s="2" t="str"/>
      <x:c r="V238" s="2" t="str">
        <x:v>2020-07-31</x:v>
      </x:c>
      <x:c r="W238" s="2" t="str">
        <x:v>담당기관 확인</x:v>
      </x:c>
      <x:c r="X238" s="2" t="str">
        <x:v>원본·배정 기록 확인</x:v>
      </x:c>
      <x:c r="Y238" s="2" t="str">
        <x:v>ad210cd9ec132cfd447541c8984dc53d30aff0f4fb2dc92d254d49275cc55976</x:v>
      </x:c>
      <x:c r="Z238" s="2" t="n">
        <x:f>SUBTOTAL(103,A238)</x:f>
        <x:v>1</x:v>
      </x:c>
      <x:c r="AA238" s="2" t="str">
        <x:f>IF(K238&lt;&gt;"미종결 표시","대상 아님",IF(N238="","신청일 확인",IF(NOT(ISNUMBER('종합 현황'!$H$5)),"관찰기준 확인",IF('종합 현황'!$H$5&lt;1,"관찰기준 확인",IF(N238&gt;'종합 현황'!$H$5,"내부 관찰 대상","내부 관찰일 이하")))))</x:f>
        <x:v>대상 아님</x:v>
      </x:c>
      <x:c r="AB238" s="2"/>
    </x:row>
    <x:row r="239" ht="42" customHeight="1">
      <x:c r="A239" s="2" t="str">
        <x:v>a165ee03b2ceaadc35cc81ed</x:v>
      </x:c>
      <x:c r="B239" s="2" t="str">
        <x:v>사업 평가</x:v>
      </x:c>
      <x:c r="C239" s="2" t="str">
        <x:v>국내</x:v>
      </x:c>
      <x:c r="D239" s="7" t="str">
        <x:v>한국중부발전 보령 소수력 CDM사업</x:v>
      </x:c>
      <x:c r="E239" s="2" t="str">
        <x:v>100</x:v>
      </x:c>
      <x:c r="F239" s="2" t="str">
        <x:v>2017-11-01</x:v>
      </x:c>
      <x:c r="G239" s="2" t="str">
        <x:v>2017</x:v>
      </x:c>
      <x:c r="H239" s="2" t="str">
        <x:v>11</x:v>
      </x:c>
      <x:c r="I239" s="2" t="str">
        <x:v>승인</x:v>
      </x:c>
      <x:c r="J239" s="2" t="str">
        <x:v>심의승인</x:v>
      </x:c>
      <x:c r="K239" s="2" t="str">
        <x:f>IF(OR(J239="심의승인",J239="반려",J239="반려완료",J239="심의완료"),"종결 표시",IF(OR(J239="기후부협의",J239="문서재제출요청",J239="보류",J239="보완요청",J239="보완완료",J239="평가중",J239="반려요청",J239="평가필요",LEFT(J239,5)="보완요청("),"미종결 표시","상태 확인 필요"))</x:f>
        <x:v>종결 표시</x:v>
      </x:c>
      <x:c r="L239" s="2"/>
      <x:c r="M239" s="2"/>
      <x:c r="N239" s="8" t="n">
        <x:f>DATE(2026,10,15)-DATE(2017,11,1)</x:f>
        <x:v>3270</x:v>
      </x:c>
      <x:c r="O239" s="2"/>
      <x:c r="P239" s="2"/>
      <x:c r="Q239" s="2" t="str">
        <x:v>산업전환_외부사업관리Tool_260707_이너젠 수정_LJY_261013.xlsx</x:v>
      </x:c>
      <x:c r="R239" s="2" t="str">
        <x:v>국내평가</x:v>
      </x:c>
      <x:c r="S239" s="8" t="n">
        <x:v>142</x:v>
      </x:c>
      <x:c r="T239" s="2"/>
      <x:c r="U239" s="2" t="str"/>
      <x:c r="V239" s="2" t="str">
        <x:v>2018-12-31</x:v>
      </x:c>
      <x:c r="W239" s="2" t="str">
        <x:v>담당기관 확인</x:v>
      </x:c>
      <x:c r="X239" s="2" t="str">
        <x:v>원본·배정 기록 확인</x:v>
      </x:c>
      <x:c r="Y239" s="2" t="str">
        <x:v>ad210cd9ec132cfd447541c8984dc53d30aff0f4fb2dc92d254d49275cc55976</x:v>
      </x:c>
      <x:c r="Z239" s="2" t="n">
        <x:f>SUBTOTAL(103,A239)</x:f>
        <x:v>1</x:v>
      </x:c>
      <x:c r="AA239" s="2" t="str">
        <x:f>IF(K239&lt;&gt;"미종결 표시","대상 아님",IF(N239="","신청일 확인",IF(NOT(ISNUMBER('종합 현황'!$H$5)),"관찰기준 확인",IF('종합 현황'!$H$5&lt;1,"관찰기준 확인",IF(N239&gt;'종합 현황'!$H$5,"내부 관찰 대상","내부 관찰일 이하")))))</x:f>
        <x:v>대상 아님</x:v>
      </x:c>
      <x:c r="AB239" s="2"/>
    </x:row>
    <x:row r="240" ht="42" customHeight="1">
      <x:c r="A240" s="2" t="str">
        <x:v>6c41effbff846aef59a1f58a</x:v>
      </x:c>
      <x:c r="B240" s="2" t="str">
        <x:v>사업 평가</x:v>
      </x:c>
      <x:c r="C240" s="2" t="str">
        <x:v>국내</x:v>
      </x:c>
      <x:c r="D240" s="7" t="str">
        <x:v>강원 풍력 CDM사업</x:v>
      </x:c>
      <x:c r="E240" s="2" t="str">
        <x:v>101</x:v>
      </x:c>
      <x:c r="F240" s="2" t="str">
        <x:v>2017-11-01</x:v>
      </x:c>
      <x:c r="G240" s="2" t="str">
        <x:v>2017</x:v>
      </x:c>
      <x:c r="H240" s="2" t="str">
        <x:v>11</x:v>
      </x:c>
      <x:c r="I240" s="2" t="str">
        <x:v>승인</x:v>
      </x:c>
      <x:c r="J240" s="2" t="str">
        <x:v>심의승인</x:v>
      </x:c>
      <x:c r="K240" s="2" t="str">
        <x:f>IF(OR(J240="심의승인",J240="반려",J240="반려완료",J240="심의완료"),"종결 표시",IF(OR(J240="기후부협의",J240="문서재제출요청",J240="보류",J240="보완요청",J240="보완완료",J240="평가중",J240="반려요청",J240="평가필요",LEFT(J240,5)="보완요청("),"미종결 표시","상태 확인 필요"))</x:f>
        <x:v>종결 표시</x:v>
      </x:c>
      <x:c r="L240" s="2"/>
      <x:c r="M240" s="2"/>
      <x:c r="N240" s="8" t="n">
        <x:f>DATE(2026,10,15)-DATE(2017,11,1)</x:f>
        <x:v>3270</x:v>
      </x:c>
      <x:c r="O240" s="2"/>
      <x:c r="P240" s="2"/>
      <x:c r="Q240" s="2" t="str">
        <x:v>산업전환_외부사업관리Tool_260707_이너젠 수정_LJY_261013.xlsx</x:v>
      </x:c>
      <x:c r="R240" s="2" t="str">
        <x:v>국내평가</x:v>
      </x:c>
      <x:c r="S240" s="8" t="n">
        <x:v>143</x:v>
      </x:c>
      <x:c r="T240" s="2"/>
      <x:c r="U240" s="2" t="str"/>
      <x:c r="V240" s="2" t="str">
        <x:v>2018-12-31</x:v>
      </x:c>
      <x:c r="W240" s="2" t="str">
        <x:v>담당기관 확인</x:v>
      </x:c>
      <x:c r="X240" s="2" t="str">
        <x:v>원본·배정 기록 확인</x:v>
      </x:c>
      <x:c r="Y240" s="2" t="str">
        <x:v>ad210cd9ec132cfd447541c8984dc53d30aff0f4fb2dc92d254d49275cc55976</x:v>
      </x:c>
      <x:c r="Z240" s="2" t="n">
        <x:f>SUBTOTAL(103,A240)</x:f>
        <x:v>1</x:v>
      </x:c>
      <x:c r="AA240" s="2" t="str">
        <x:f>IF(K240&lt;&gt;"미종결 표시","대상 아님",IF(N240="","신청일 확인",IF(NOT(ISNUMBER('종합 현황'!$H$5)),"관찰기준 확인",IF('종합 현황'!$H$5&lt;1,"관찰기준 확인",IF(N240&gt;'종합 현황'!$H$5,"내부 관찰 대상","내부 관찰일 이하")))))</x:f>
        <x:v>대상 아님</x:v>
      </x:c>
      <x:c r="AB240" s="2"/>
    </x:row>
    <x:row r="241" ht="42" customHeight="1">
      <x:c r="A241" s="2" t="str">
        <x:v>bf68dec742c6aa011f1f2683</x:v>
      </x:c>
      <x:c r="B241" s="2" t="str">
        <x:v>사업 평가</x:v>
      </x:c>
      <x:c r="C241" s="2" t="str">
        <x:v>국내</x:v>
      </x:c>
      <x:c r="D241" s="7" t="str">
        <x:v>태림포장의 B-C유에서 LNG로 연료전환을 통한 온실가스 배출 감축사업</x:v>
      </x:c>
      <x:c r="E241" s="2" t="str">
        <x:v>102</x:v>
      </x:c>
      <x:c r="F241" s="2" t="str">
        <x:v>2017-11-03</x:v>
      </x:c>
      <x:c r="G241" s="2" t="str">
        <x:v>2017</x:v>
      </x:c>
      <x:c r="H241" s="2" t="str">
        <x:v>11</x:v>
      </x:c>
      <x:c r="I241" s="2" t="str">
        <x:v>사업변경 신청</x:v>
      </x:c>
      <x:c r="J241" s="2" t="str">
        <x:v>심의승인</x:v>
      </x:c>
      <x:c r="K241" s="2" t="str">
        <x:f>IF(OR(J241="심의승인",J241="반려",J241="반려완료",J241="심의완료"),"종결 표시",IF(OR(J241="기후부협의",J241="문서재제출요청",J241="보류",J241="보완요청",J241="보완완료",J241="평가중",J241="반려요청",J241="평가필요",LEFT(J241,5)="보완요청("),"미종결 표시","상태 확인 필요"))</x:f>
        <x:v>종결 표시</x:v>
      </x:c>
      <x:c r="L241" s="2"/>
      <x:c r="M241" s="2"/>
      <x:c r="N241" s="8" t="n">
        <x:f>DATE(2026,10,15)-DATE(2017,11,3)</x:f>
        <x:v>3268</x:v>
      </x:c>
      <x:c r="O241" s="2"/>
      <x:c r="P241" s="2" t="str">
        <x:v>사업자, 대표자, 주소(도로명) 변경</x:v>
      </x:c>
      <x:c r="Q241" s="2" t="str">
        <x:v>산업전환_외부사업관리Tool_260707_이너젠 수정_LJY_261013.xlsx</x:v>
      </x:c>
      <x:c r="R241" s="2" t="str">
        <x:v>국내평가</x:v>
      </x:c>
      <x:c r="S241" s="8" t="n">
        <x:v>144</x:v>
      </x:c>
      <x:c r="T241" s="2"/>
      <x:c r="U241" s="2" t="str"/>
      <x:c r="V241" s="2" t="str">
        <x:v>2022-03-22</x:v>
      </x:c>
      <x:c r="W241" s="2" t="str">
        <x:v>담당기관 확인</x:v>
      </x:c>
      <x:c r="X241" s="2" t="str">
        <x:v>원본·배정 기록 확인</x:v>
      </x:c>
      <x:c r="Y241" s="2" t="str">
        <x:v>ad210cd9ec132cfd447541c8984dc53d30aff0f4fb2dc92d254d49275cc55976</x:v>
      </x:c>
      <x:c r="Z241" s="2" t="n">
        <x:f>SUBTOTAL(103,A241)</x:f>
        <x:v>1</x:v>
      </x:c>
      <x:c r="AA241" s="2" t="str">
        <x:f>IF(K241&lt;&gt;"미종결 표시","대상 아님",IF(N241="","신청일 확인",IF(NOT(ISNUMBER('종합 현황'!$H$5)),"관찰기준 확인",IF('종합 현황'!$H$5&lt;1,"관찰기준 확인",IF(N241&gt;'종합 현황'!$H$5,"내부 관찰 대상","내부 관찰일 이하")))))</x:f>
        <x:v>대상 아님</x:v>
      </x:c>
      <x:c r="AB241" s="2"/>
    </x:row>
    <x:row r="242" ht="42" customHeight="1">
      <x:c r="A242" s="2" t="str">
        <x:v>6fa26ff4d455136cc9d41fce</x:v>
      </x:c>
      <x:c r="B242" s="2" t="str">
        <x:v>사업 평가</x:v>
      </x:c>
      <x:c r="C242" s="2" t="str">
        <x:v>국내</x:v>
      </x:c>
      <x:c r="D242" s="7" t="str">
        <x:v>K-water 소수력발전 1번들 CDM</x:v>
      </x:c>
      <x:c r="E242" s="2" t="str">
        <x:v>103</x:v>
      </x:c>
      <x:c r="F242" s="2" t="str">
        <x:v>2017-11-07</x:v>
      </x:c>
      <x:c r="G242" s="2" t="str">
        <x:v>2017</x:v>
      </x:c>
      <x:c r="H242" s="2" t="str">
        <x:v>11</x:v>
      </x:c>
      <x:c r="I242" s="2" t="str">
        <x:v>승인</x:v>
      </x:c>
      <x:c r="J242" s="2" t="str">
        <x:v>심의승인</x:v>
      </x:c>
      <x:c r="K242" s="2" t="str">
        <x:f>IF(OR(J242="심의승인",J242="반려",J242="반려완료",J242="심의완료"),"종결 표시",IF(OR(J242="기후부협의",J242="문서재제출요청",J242="보류",J242="보완요청",J242="보완완료",J242="평가중",J242="반려요청",J242="평가필요",LEFT(J242,5)="보완요청("),"미종결 표시","상태 확인 필요"))</x:f>
        <x:v>종결 표시</x:v>
      </x:c>
      <x:c r="L242" s="2"/>
      <x:c r="M242" s="2"/>
      <x:c r="N242" s="8" t="n">
        <x:f>DATE(2026,10,15)-DATE(2017,11,7)</x:f>
        <x:v>3264</x:v>
      </x:c>
      <x:c r="O242" s="2"/>
      <x:c r="P242" s="2"/>
      <x:c r="Q242" s="2" t="str">
        <x:v>산업전환_외부사업관리Tool_260707_이너젠 수정_LJY_261013.xlsx</x:v>
      </x:c>
      <x:c r="R242" s="2" t="str">
        <x:v>국내평가</x:v>
      </x:c>
      <x:c r="S242" s="8" t="n">
        <x:v>145</x:v>
      </x:c>
      <x:c r="T242" s="2"/>
      <x:c r="U242" s="2" t="str"/>
      <x:c r="V242" s="2" t="str">
        <x:v>2018-08-13</x:v>
      </x:c>
      <x:c r="W242" s="2" t="str">
        <x:v>담당기관 확인</x:v>
      </x:c>
      <x:c r="X242" s="2" t="str">
        <x:v>원본·배정 기록 확인</x:v>
      </x:c>
      <x:c r="Y242" s="2" t="str">
        <x:v>ad210cd9ec132cfd447541c8984dc53d30aff0f4fb2dc92d254d49275cc55976</x:v>
      </x:c>
      <x:c r="Z242" s="2" t="n">
        <x:f>SUBTOTAL(103,A242)</x:f>
        <x:v>1</x:v>
      </x:c>
      <x:c r="AA242" s="2" t="str">
        <x:f>IF(K242&lt;&gt;"미종결 표시","대상 아님",IF(N242="","신청일 확인",IF(NOT(ISNUMBER('종합 현황'!$H$5)),"관찰기준 확인",IF('종합 현황'!$H$5&lt;1,"관찰기준 확인",IF(N242&gt;'종합 현황'!$H$5,"내부 관찰 대상","내부 관찰일 이하")))))</x:f>
        <x:v>대상 아님</x:v>
      </x:c>
      <x:c r="AB242" s="2"/>
    </x:row>
    <x:row r="243" ht="42" customHeight="1">
      <x:c r="A243" s="2" t="str">
        <x:v>ffd18886f4ce58fd80e87f8b</x:v>
      </x:c>
      <x:c r="B243" s="2" t="str">
        <x:v>사업 평가</x:v>
      </x:c>
      <x:c r="C243" s="2" t="str">
        <x:v>국내</x:v>
      </x:c>
      <x:c r="D243" s="7" t="str">
        <x:v>K-water 소수력발전 2번들 CDM</x:v>
      </x:c>
      <x:c r="E243" s="2" t="str">
        <x:v>104</x:v>
      </x:c>
      <x:c r="F243" s="2" t="str">
        <x:v>2017-11-07</x:v>
      </x:c>
      <x:c r="G243" s="2" t="str">
        <x:v>2017</x:v>
      </x:c>
      <x:c r="H243" s="2" t="str">
        <x:v>11</x:v>
      </x:c>
      <x:c r="I243" s="2" t="str">
        <x:v>승인</x:v>
      </x:c>
      <x:c r="J243" s="2" t="str">
        <x:v>심의승인</x:v>
      </x:c>
      <x:c r="K243" s="2" t="str">
        <x:f>IF(OR(J243="심의승인",J243="반려",J243="반려완료",J243="심의완료"),"종결 표시",IF(OR(J243="기후부협의",J243="문서재제출요청",J243="보류",J243="보완요청",J243="보완완료",J243="평가중",J243="반려요청",J243="평가필요",LEFT(J243,5)="보완요청("),"미종결 표시","상태 확인 필요"))</x:f>
        <x:v>종결 표시</x:v>
      </x:c>
      <x:c r="L243" s="2"/>
      <x:c r="M243" s="2"/>
      <x:c r="N243" s="8" t="n">
        <x:f>DATE(2026,10,15)-DATE(2017,11,7)</x:f>
        <x:v>3264</x:v>
      </x:c>
      <x:c r="O243" s="2"/>
      <x:c r="P243" s="2"/>
      <x:c r="Q243" s="2" t="str">
        <x:v>산업전환_외부사업관리Tool_260707_이너젠 수정_LJY_261013.xlsx</x:v>
      </x:c>
      <x:c r="R243" s="2" t="str">
        <x:v>국내평가</x:v>
      </x:c>
      <x:c r="S243" s="8" t="n">
        <x:v>146</x:v>
      </x:c>
      <x:c r="T243" s="2"/>
      <x:c r="U243" s="2" t="str"/>
      <x:c r="V243" s="2" t="str">
        <x:v>2018-08-13</x:v>
      </x:c>
      <x:c r="W243" s="2" t="str">
        <x:v>담당기관 확인</x:v>
      </x:c>
      <x:c r="X243" s="2" t="str">
        <x:v>원본·배정 기록 확인</x:v>
      </x:c>
      <x:c r="Y243" s="2" t="str">
        <x:v>ad210cd9ec132cfd447541c8984dc53d30aff0f4fb2dc92d254d49275cc55976</x:v>
      </x:c>
      <x:c r="Z243" s="2" t="n">
        <x:f>SUBTOTAL(103,A243)</x:f>
        <x:v>1</x:v>
      </x:c>
      <x:c r="AA243" s="2" t="str">
        <x:f>IF(K243&lt;&gt;"미종결 표시","대상 아님",IF(N243="","신청일 확인",IF(NOT(ISNUMBER('종합 현황'!$H$5)),"관찰기준 확인",IF('종합 현황'!$H$5&lt;1,"관찰기준 확인",IF(N243&gt;'종합 현황'!$H$5,"내부 관찰 대상","내부 관찰일 이하")))))</x:f>
        <x:v>대상 아님</x:v>
      </x:c>
      <x:c r="AB243" s="2"/>
    </x:row>
    <x:row r="244" ht="42" customHeight="1">
      <x:c r="A244" s="2" t="str">
        <x:v>42615276cb2d48df0d056b54</x:v>
      </x:c>
      <x:c r="B244" s="2" t="str">
        <x:v>사업 평가</x:v>
      </x:c>
      <x:c r="C244" s="2" t="str">
        <x:v>국내</x:v>
      </x:c>
      <x:c r="D244" s="7" t="str">
        <x:v>K-water 소수력발전 9번들 CDM</x:v>
      </x:c>
      <x:c r="E244" s="2" t="str">
        <x:v>105</x:v>
      </x:c>
      <x:c r="F244" s="2" t="str">
        <x:v>2017-11-16</x:v>
      </x:c>
      <x:c r="G244" s="2" t="str">
        <x:v>2017</x:v>
      </x:c>
      <x:c r="H244" s="2" t="str">
        <x:v>11</x:v>
      </x:c>
      <x:c r="I244" s="2" t="str">
        <x:v>반려</x:v>
      </x:c>
      <x:c r="J244" s="2" t="str">
        <x:v>반려</x:v>
      </x:c>
      <x:c r="K244" s="2" t="str">
        <x:f>IF(OR(J244="심의승인",J244="반려",J244="반려완료",J244="심의완료"),"종결 표시",IF(OR(J244="기후부협의",J244="문서재제출요청",J244="보류",J244="보완요청",J244="보완완료",J244="평가중",J244="반려요청",J244="평가필요",LEFT(J244,5)="보완요청("),"미종결 표시","상태 확인 필요"))</x:f>
        <x:v>종결 표시</x:v>
      </x:c>
      <x:c r="L244" s="2"/>
      <x:c r="M244" s="2"/>
      <x:c r="N244" s="8" t="n">
        <x:f>DATE(2026,10,15)-DATE(2017,11,16)</x:f>
        <x:v>3255</x:v>
      </x:c>
      <x:c r="O244" s="2"/>
      <x:c r="P244" s="2"/>
      <x:c r="Q244" s="2" t="str">
        <x:v>산업전환_외부사업관리Tool_260707_이너젠 수정_LJY_261013.xlsx</x:v>
      </x:c>
      <x:c r="R244" s="2" t="str">
        <x:v>국내평가</x:v>
      </x:c>
      <x:c r="S244" s="8" t="n">
        <x:v>147</x:v>
      </x:c>
      <x:c r="T244" s="2"/>
      <x:c r="U244" s="2" t="str"/>
      <x:c r="V244" s="2" t="str">
        <x:v>2020-05-21</x:v>
      </x:c>
      <x:c r="W244" s="2" t="str">
        <x:v>담당기관 확인</x:v>
      </x:c>
      <x:c r="X244" s="2" t="str">
        <x:v>원본·배정 기록 확인</x:v>
      </x:c>
      <x:c r="Y244" s="2" t="str">
        <x:v>ad210cd9ec132cfd447541c8984dc53d30aff0f4fb2dc92d254d49275cc55976</x:v>
      </x:c>
      <x:c r="Z244" s="2" t="n">
        <x:f>SUBTOTAL(103,A244)</x:f>
        <x:v>1</x:v>
      </x:c>
      <x:c r="AA244" s="2" t="str">
        <x:f>IF(K244&lt;&gt;"미종결 표시","대상 아님",IF(N244="","신청일 확인",IF(NOT(ISNUMBER('종합 현황'!$H$5)),"관찰기준 확인",IF('종합 현황'!$H$5&lt;1,"관찰기준 확인",IF(N244&gt;'종합 현황'!$H$5,"내부 관찰 대상","내부 관찰일 이하")))))</x:f>
        <x:v>대상 아님</x:v>
      </x:c>
      <x:c r="AB244" s="2"/>
    </x:row>
    <x:row r="245" ht="42" customHeight="1">
      <x:c r="A245" s="2" t="str">
        <x:v>4a23a515a05b9c73bdb64354</x:v>
      </x:c>
      <x:c r="B245" s="2" t="str">
        <x:v>사업 평가</x:v>
      </x:c>
      <x:c r="C245" s="2" t="str">
        <x:v>국내</x:v>
      </x:c>
      <x:c r="D245" s="7" t="str">
        <x:v>K-water 소수력발전 3번들 CDM</x:v>
      </x:c>
      <x:c r="E245" s="2" t="str">
        <x:v>106</x:v>
      </x:c>
      <x:c r="F245" s="2" t="str">
        <x:v>2017-11-15</x:v>
      </x:c>
      <x:c r="G245" s="2" t="str">
        <x:v>2017</x:v>
      </x:c>
      <x:c r="H245" s="2" t="str">
        <x:v>11</x:v>
      </x:c>
      <x:c r="I245" s="2" t="str">
        <x:v>승인</x:v>
      </x:c>
      <x:c r="J245" s="2" t="str">
        <x:v>심의승인</x:v>
      </x:c>
      <x:c r="K245" s="2" t="str">
        <x:f>IF(OR(J245="심의승인",J245="반려",J245="반려완료",J245="심의완료"),"종결 표시",IF(OR(J245="기후부협의",J245="문서재제출요청",J245="보류",J245="보완요청",J245="보완완료",J245="평가중",J245="반려요청",J245="평가필요",LEFT(J245,5)="보완요청("),"미종결 표시","상태 확인 필요"))</x:f>
        <x:v>종결 표시</x:v>
      </x:c>
      <x:c r="L245" s="2"/>
      <x:c r="M245" s="2"/>
      <x:c r="N245" s="8" t="n">
        <x:f>DATE(2026,10,15)-DATE(2017,11,15)</x:f>
        <x:v>3256</x:v>
      </x:c>
      <x:c r="O245" s="2"/>
      <x:c r="P245" s="2"/>
      <x:c r="Q245" s="2" t="str">
        <x:v>산업전환_외부사업관리Tool_260707_이너젠 수정_LJY_261013.xlsx</x:v>
      </x:c>
      <x:c r="R245" s="2" t="str">
        <x:v>국내평가</x:v>
      </x:c>
      <x:c r="S245" s="8" t="n">
        <x:v>148</x:v>
      </x:c>
      <x:c r="T245" s="2"/>
      <x:c r="U245" s="2" t="str"/>
      <x:c r="V245" s="2" t="str">
        <x:v>2018-08-13</x:v>
      </x:c>
      <x:c r="W245" s="2" t="str">
        <x:v>담당기관 확인</x:v>
      </x:c>
      <x:c r="X245" s="2" t="str">
        <x:v>원본·배정 기록 확인</x:v>
      </x:c>
      <x:c r="Y245" s="2" t="str">
        <x:v>ad210cd9ec132cfd447541c8984dc53d30aff0f4fb2dc92d254d49275cc55976</x:v>
      </x:c>
      <x:c r="Z245" s="2" t="n">
        <x:f>SUBTOTAL(103,A245)</x:f>
        <x:v>1</x:v>
      </x:c>
      <x:c r="AA245" s="2" t="str">
        <x:f>IF(K245&lt;&gt;"미종결 표시","대상 아님",IF(N245="","신청일 확인",IF(NOT(ISNUMBER('종합 현황'!$H$5)),"관찰기준 확인",IF('종합 현황'!$H$5&lt;1,"관찰기준 확인",IF(N245&gt;'종합 현황'!$H$5,"내부 관찰 대상","내부 관찰일 이하")))))</x:f>
        <x:v>대상 아님</x:v>
      </x:c>
      <x:c r="AB245" s="2"/>
    </x:row>
    <x:row r="246" ht="42" customHeight="1">
      <x:c r="A246" s="2" t="str">
        <x:v>65ff8d0d8c05d90a59f35417</x:v>
      </x:c>
      <x:c r="B246" s="2" t="str">
        <x:v>사업 평가</x:v>
      </x:c>
      <x:c r="C246" s="2" t="str">
        <x:v>국내</x:v>
      </x:c>
      <x:c r="D246" s="7" t="str">
        <x:v>보일러 연료전환 (보일러 등유 에서 LNG)을  통한 온실가스 감축사업</x:v>
      </x:c>
      <x:c r="E246" s="2" t="str">
        <x:v>107</x:v>
      </x:c>
      <x:c r="F246" s="2" t="str">
        <x:v>2017-12-14</x:v>
      </x:c>
      <x:c r="G246" s="2" t="str">
        <x:v>2017</x:v>
      </x:c>
      <x:c r="H246" s="2" t="str">
        <x:v>12</x:v>
      </x:c>
      <x:c r="I246" s="2" t="str">
        <x:v>사업변경 신청</x:v>
      </x:c>
      <x:c r="J246" s="2" t="str">
        <x:v>반려</x:v>
      </x:c>
      <x:c r="K246" s="2" t="str">
        <x:f>IF(OR(J246="심의승인",J246="반려",J246="반려완료",J246="심의완료"),"종결 표시",IF(OR(J246="기후부협의",J246="문서재제출요청",J246="보류",J246="보완요청",J246="보완완료",J246="평가중",J246="반려요청",J246="평가필요",LEFT(J246,5)="보완요청("),"미종결 표시","상태 확인 필요"))</x:f>
        <x:v>종결 표시</x:v>
      </x:c>
      <x:c r="L246" s="2"/>
      <x:c r="M246" s="2"/>
      <x:c r="N246" s="8" t="n">
        <x:f>DATE(2026,10,15)-DATE(2017,12,14)</x:f>
        <x:v>3227</x:v>
      </x:c>
      <x:c r="O246" s="2"/>
      <x:c r="P246" s="2"/>
      <x:c r="Q246" s="2" t="str">
        <x:v>산업전환_외부사업관리Tool_260707_이너젠 수정_LJY_261013.xlsx</x:v>
      </x:c>
      <x:c r="R246" s="2" t="str">
        <x:v>국내평가</x:v>
      </x:c>
      <x:c r="S246" s="8" t="n">
        <x:v>149</x:v>
      </x:c>
      <x:c r="T246" s="2"/>
      <x:c r="U246" s="2" t="str"/>
      <x:c r="V246" s="2" t="str">
        <x:v>2020-10-19</x:v>
      </x:c>
      <x:c r="W246" s="2" t="str">
        <x:v>담당기관 확인</x:v>
      </x:c>
      <x:c r="X246" s="2" t="str">
        <x:v>원본·배정 기록 확인</x:v>
      </x:c>
      <x:c r="Y246" s="2" t="str">
        <x:v>ad210cd9ec132cfd447541c8984dc53d30aff0f4fb2dc92d254d49275cc55976</x:v>
      </x:c>
      <x:c r="Z246" s="2" t="n">
        <x:f>SUBTOTAL(103,A246)</x:f>
        <x:v>1</x:v>
      </x:c>
      <x:c r="AA246" s="2" t="str">
        <x:f>IF(K246&lt;&gt;"미종결 표시","대상 아님",IF(N246="","신청일 확인",IF(NOT(ISNUMBER('종합 현황'!$H$5)),"관찰기준 확인",IF('종합 현황'!$H$5&lt;1,"관찰기준 확인",IF(N246&gt;'종합 현황'!$H$5,"내부 관찰 대상","내부 관찰일 이하")))))</x:f>
        <x:v>대상 아님</x:v>
      </x:c>
      <x:c r="AB246" s="2"/>
    </x:row>
    <x:row r="247" ht="42" customHeight="1">
      <x:c r="A247" s="2" t="str">
        <x:v>02447eb0d653cbef37639a62</x:v>
      </x:c>
      <x:c r="B247" s="2" t="str">
        <x:v>사업 평가</x:v>
      </x:c>
      <x:c r="C247" s="2" t="str">
        <x:v>국내</x:v>
      </x:c>
      <x:c r="D247" s="7" t="str">
        <x:v>동보섬유 버너교체를 통한 연료전환 온실가스 배출 감축 사업</x:v>
      </x:c>
      <x:c r="E247" s="2" t="str">
        <x:v>108</x:v>
      </x:c>
      <x:c r="F247" s="2" t="str">
        <x:v>2017-12-14</x:v>
      </x:c>
      <x:c r="G247" s="2" t="str">
        <x:v>2017</x:v>
      </x:c>
      <x:c r="H247" s="2" t="str">
        <x:v>12</x:v>
      </x:c>
      <x:c r="I247" s="2" t="str">
        <x:v>사업변경 신청</x:v>
      </x:c>
      <x:c r="J247" s="2" t="str">
        <x:v>반려</x:v>
      </x:c>
      <x:c r="K247" s="2" t="str">
        <x:f>IF(OR(J247="심의승인",J247="반려",J247="반려완료",J247="심의완료"),"종결 표시",IF(OR(J247="기후부협의",J247="문서재제출요청",J247="보류",J247="보완요청",J247="보완완료",J247="평가중",J247="반려요청",J247="평가필요",LEFT(J247,5)="보완요청("),"미종결 표시","상태 확인 필요"))</x:f>
        <x:v>종결 표시</x:v>
      </x:c>
      <x:c r="L247" s="2"/>
      <x:c r="M247" s="2"/>
      <x:c r="N247" s="8" t="n">
        <x:f>DATE(2026,10,15)-DATE(2017,12,14)</x:f>
        <x:v>3227</x:v>
      </x:c>
      <x:c r="O247" s="2"/>
      <x:c r="P247" s="2"/>
      <x:c r="Q247" s="2" t="str">
        <x:v>산업전환_외부사업관리Tool_260707_이너젠 수정_LJY_261013.xlsx</x:v>
      </x:c>
      <x:c r="R247" s="2" t="str">
        <x:v>국내평가</x:v>
      </x:c>
      <x:c r="S247" s="8" t="n">
        <x:v>150</x:v>
      </x:c>
      <x:c r="T247" s="2" t="str">
        <x:v>2021년 처리</x:v>
      </x:c>
      <x:c r="U247" s="2" t="str">
        <x:v>2021 배정: 2021년 처리</x:v>
      </x:c>
      <x:c r="V247" s="2" t="str">
        <x:v>2021-04-08</x:v>
      </x:c>
      <x:c r="W247" s="2" t="str">
        <x:v>담당기관 확인</x:v>
      </x:c>
      <x:c r="X247" s="2" t="str">
        <x:v>원본·배정 기록 확인</x:v>
      </x:c>
      <x:c r="Y247" s="2" t="str">
        <x:v>ad210cd9ec132cfd447541c8984dc53d30aff0f4fb2dc92d254d49275cc55976</x:v>
      </x:c>
      <x:c r="Z247" s="2" t="n">
        <x:f>SUBTOTAL(103,A247)</x:f>
        <x:v>1</x:v>
      </x:c>
      <x:c r="AA247" s="2" t="str">
        <x:f>IF(K247&lt;&gt;"미종결 표시","대상 아님",IF(N247="","신청일 확인",IF(NOT(ISNUMBER('종합 현황'!$H$5)),"관찰기준 확인",IF('종합 현황'!$H$5&lt;1,"관찰기준 확인",IF(N247&gt;'종합 현황'!$H$5,"내부 관찰 대상","내부 관찰일 이하")))))</x:f>
        <x:v>대상 아님</x:v>
      </x:c>
      <x:c r="AB247" s="2"/>
    </x:row>
    <x:row r="248" ht="42" customHeight="1">
      <x:c r="A248" s="2" t="str">
        <x:v>9594340f4db382d44d52052a</x:v>
      </x:c>
      <x:c r="B248" s="2" t="str">
        <x:v>사업 평가</x:v>
      </x:c>
      <x:c r="C248" s="2" t="str">
        <x:v>국내</x:v>
      </x:c>
      <x:c r="D248" s="7" t="str">
        <x:v>(주)메라톤 보일러 연료전환(B-C유+LPG&gt;LNG)에 의한 온실가스(CO2)배출 감축사업</x:v>
      </x:c>
      <x:c r="E248" s="2" t="str">
        <x:v>109</x:v>
      </x:c>
      <x:c r="F248" s="2" t="str">
        <x:v>2017-12-14</x:v>
      </x:c>
      <x:c r="G248" s="2" t="str">
        <x:v>2017</x:v>
      </x:c>
      <x:c r="H248" s="2" t="str">
        <x:v>12</x:v>
      </x:c>
      <x:c r="I248" s="2" t="str">
        <x:v>사업변경 신청</x:v>
      </x:c>
      <x:c r="J248" s="2" t="str">
        <x:v>반려</x:v>
      </x:c>
      <x:c r="K248" s="2" t="str">
        <x:f>IF(OR(J248="심의승인",J248="반려",J248="반려완료",J248="심의완료"),"종결 표시",IF(OR(J248="기후부협의",J248="문서재제출요청",J248="보류",J248="보완요청",J248="보완완료",J248="평가중",J248="반려요청",J248="평가필요",LEFT(J248,5)="보완요청("),"미종결 표시","상태 확인 필요"))</x:f>
        <x:v>종결 표시</x:v>
      </x:c>
      <x:c r="L248" s="2"/>
      <x:c r="M248" s="2"/>
      <x:c r="N248" s="8" t="n">
        <x:f>DATE(2026,10,15)-DATE(2017,12,14)</x:f>
        <x:v>3227</x:v>
      </x:c>
      <x:c r="O248" s="2"/>
      <x:c r="P248" s="2"/>
      <x:c r="Q248" s="2" t="str">
        <x:v>산업전환_외부사업관리Tool_260707_이너젠 수정_LJY_261013.xlsx</x:v>
      </x:c>
      <x:c r="R248" s="2" t="str">
        <x:v>국내평가</x:v>
      </x:c>
      <x:c r="S248" s="8" t="n">
        <x:v>151</x:v>
      </x:c>
      <x:c r="T248" s="2" t="str">
        <x:v>2021년 처리</x:v>
      </x:c>
      <x:c r="U248" s="2" t="str">
        <x:v>2021 배정: 2021년 처리</x:v>
      </x:c>
      <x:c r="V248" s="2" t="str">
        <x:v>2021-04-08</x:v>
      </x:c>
      <x:c r="W248" s="2" t="str">
        <x:v>담당기관 확인</x:v>
      </x:c>
      <x:c r="X248" s="2" t="str">
        <x:v>원본·배정 기록 확인</x:v>
      </x:c>
      <x:c r="Y248" s="2" t="str">
        <x:v>ad210cd9ec132cfd447541c8984dc53d30aff0f4fb2dc92d254d49275cc55976</x:v>
      </x:c>
      <x:c r="Z248" s="2" t="n">
        <x:f>SUBTOTAL(103,A248)</x:f>
        <x:v>1</x:v>
      </x:c>
      <x:c r="AA248" s="2" t="str">
        <x:f>IF(K248&lt;&gt;"미종결 표시","대상 아님",IF(N248="","신청일 확인",IF(NOT(ISNUMBER('종합 현황'!$H$5)),"관찰기준 확인",IF('종합 현황'!$H$5&lt;1,"관찰기준 확인",IF(N248&gt;'종합 현황'!$H$5,"내부 관찰 대상","내부 관찰일 이하")))))</x:f>
        <x:v>대상 아님</x:v>
      </x:c>
      <x:c r="AB248" s="2"/>
    </x:row>
    <x:row r="249" ht="42" customHeight="1">
      <x:c r="A249" s="2" t="str">
        <x:v>9a7dc589da730092e3969793</x:v>
      </x:c>
      <x:c r="B249" s="2" t="str">
        <x:v>사업 평가</x:v>
      </x:c>
      <x:c r="C249" s="2" t="str">
        <x:v>국내</x:v>
      </x:c>
      <x:c r="D249" s="7" t="str">
        <x:v>(주)자연과사람들 스팀보일러의 연료교체(B-C유→LNG)를 통한 온실가스(CO2) 배출 감축사업</x:v>
      </x:c>
      <x:c r="E249" s="2" t="str">
        <x:v>110</x:v>
      </x:c>
      <x:c r="F249" s="2" t="str">
        <x:v>2017-12-14</x:v>
      </x:c>
      <x:c r="G249" s="2" t="str">
        <x:v>2017</x:v>
      </x:c>
      <x:c r="H249" s="2" t="str">
        <x:v>12</x:v>
      </x:c>
      <x:c r="I249" s="2" t="str">
        <x:v>사업변경 신청</x:v>
      </x:c>
      <x:c r="J249" s="2" t="str">
        <x:v>반려</x:v>
      </x:c>
      <x:c r="K249" s="2" t="str">
        <x:f>IF(OR(J249="심의승인",J249="반려",J249="반려완료",J249="심의완료"),"종결 표시",IF(OR(J249="기후부협의",J249="문서재제출요청",J249="보류",J249="보완요청",J249="보완완료",J249="평가중",J249="반려요청",J249="평가필요",LEFT(J249,5)="보완요청("),"미종결 표시","상태 확인 필요"))</x:f>
        <x:v>종결 표시</x:v>
      </x:c>
      <x:c r="L249" s="2"/>
      <x:c r="M249" s="2"/>
      <x:c r="N249" s="8" t="n">
        <x:f>DATE(2026,10,15)-DATE(2017,12,14)</x:f>
        <x:v>3227</x:v>
      </x:c>
      <x:c r="O249" s="2"/>
      <x:c r="P249" s="2"/>
      <x:c r="Q249" s="2" t="str">
        <x:v>산업전환_외부사업관리Tool_260707_이너젠 수정_LJY_261013.xlsx</x:v>
      </x:c>
      <x:c r="R249" s="2" t="str">
        <x:v>국내평가</x:v>
      </x:c>
      <x:c r="S249" s="8" t="n">
        <x:v>152</x:v>
      </x:c>
      <x:c r="T249" s="2"/>
      <x:c r="U249" s="2" t="str"/>
      <x:c r="V249" s="2" t="str">
        <x:v>2019-10-29</x:v>
      </x:c>
      <x:c r="W249" s="2" t="str">
        <x:v>담당기관 확인</x:v>
      </x:c>
      <x:c r="X249" s="2" t="str">
        <x:v>원본·배정 기록 확인</x:v>
      </x:c>
      <x:c r="Y249" s="2" t="str">
        <x:v>ad210cd9ec132cfd447541c8984dc53d30aff0f4fb2dc92d254d49275cc55976</x:v>
      </x:c>
      <x:c r="Z249" s="2" t="n">
        <x:f>SUBTOTAL(103,A249)</x:f>
        <x:v>1</x:v>
      </x:c>
      <x:c r="AA249" s="2" t="str">
        <x:f>IF(K249&lt;&gt;"미종결 표시","대상 아님",IF(N249="","신청일 확인",IF(NOT(ISNUMBER('종합 현황'!$H$5)),"관찰기준 확인",IF('종합 현황'!$H$5&lt;1,"관찰기준 확인",IF(N249&gt;'종합 현황'!$H$5,"내부 관찰 대상","내부 관찰일 이하")))))</x:f>
        <x:v>대상 아님</x:v>
      </x:c>
      <x:c r="AB249" s="2"/>
    </x:row>
    <x:row r="250" ht="42" customHeight="1">
      <x:c r="A250" s="2" t="str">
        <x:v>f1b866a3e14c8c6653f5a13c</x:v>
      </x:c>
      <x:c r="B250" s="2" t="str">
        <x:v>사업 평가</x:v>
      </x:c>
      <x:c r="C250" s="2" t="str">
        <x:v>국내</x:v>
      </x:c>
      <x:c r="D250" s="7" t="str">
        <x:v>(주)동방전기에서의 가스절연개폐장치 검사용 SF6 회수․정제 및 재사용을 통한 SF6 감축사업</x:v>
      </x:c>
      <x:c r="E250" s="2" t="str">
        <x:v>111</x:v>
      </x:c>
      <x:c r="F250" s="2" t="str">
        <x:v>2018-10-23</x:v>
      </x:c>
      <x:c r="G250" s="2" t="str">
        <x:v>2018</x:v>
      </x:c>
      <x:c r="H250" s="2" t="str">
        <x:v>10</x:v>
      </x:c>
      <x:c r="I250" s="2" t="str">
        <x:v>반려</x:v>
      </x:c>
      <x:c r="J250" s="2" t="str">
        <x:v>반려</x:v>
      </x:c>
      <x:c r="K250" s="2" t="str">
        <x:f>IF(OR(J250="심의승인",J250="반려",J250="반려완료",J250="심의완료"),"종결 표시",IF(OR(J250="기후부협의",J250="문서재제출요청",J250="보류",J250="보완요청",J250="보완완료",J250="평가중",J250="반려요청",J250="평가필요",LEFT(J250,5)="보완요청("),"미종결 표시","상태 확인 필요"))</x:f>
        <x:v>종결 표시</x:v>
      </x:c>
      <x:c r="L250" s="2"/>
      <x:c r="M250" s="2"/>
      <x:c r="N250" s="8" t="n">
        <x:f>DATE(2026,10,15)-DATE(2018,10,23)</x:f>
        <x:v>2914</x:v>
      </x:c>
      <x:c r="O250" s="2"/>
      <x:c r="P250" s="2"/>
      <x:c r="Q250" s="2" t="str">
        <x:v>산업전환_외부사업관리Tool_260707_이너젠 수정_LJY_261013.xlsx</x:v>
      </x:c>
      <x:c r="R250" s="2" t="str">
        <x:v>국내평가</x:v>
      </x:c>
      <x:c r="S250" s="8" t="n">
        <x:v>153</x:v>
      </x:c>
      <x:c r="T250" s="2"/>
      <x:c r="U250" s="2" t="str"/>
      <x:c r="V250" s="2" t="str">
        <x:v>2021-12-23</x:v>
      </x:c>
      <x:c r="W250" s="2" t="str">
        <x:v>담당기관 확인</x:v>
      </x:c>
      <x:c r="X250" s="2" t="str">
        <x:v>원본·배정 기록 확인</x:v>
      </x:c>
      <x:c r="Y250" s="2" t="str">
        <x:v>ad210cd9ec132cfd447541c8984dc53d30aff0f4fb2dc92d254d49275cc55976</x:v>
      </x:c>
      <x:c r="Z250" s="2" t="n">
        <x:f>SUBTOTAL(103,A250)</x:f>
        <x:v>1</x:v>
      </x:c>
      <x:c r="AA250" s="2" t="str">
        <x:f>IF(K250&lt;&gt;"미종결 표시","대상 아님",IF(N250="","신청일 확인",IF(NOT(ISNUMBER('종합 현황'!$H$5)),"관찰기준 확인",IF('종합 현황'!$H$5&lt;1,"관찰기준 확인",IF(N250&gt;'종합 현황'!$H$5,"내부 관찰 대상","내부 관찰일 이하")))))</x:f>
        <x:v>대상 아님</x:v>
      </x:c>
      <x:c r="AB250" s="2"/>
    </x:row>
    <x:row r="251" ht="42" customHeight="1">
      <x:c r="A251" s="2" t="str">
        <x:v>7fcb288ce10d013262cd1b03</x:v>
      </x:c>
      <x:c r="B251" s="2" t="str">
        <x:v>사업 평가</x:v>
      </x:c>
      <x:c r="C251" s="2" t="str">
        <x:v>국내</x:v>
      </x:c>
      <x:c r="D251" s="7" t="str">
        <x:v>(주)크레아 서산지점에서 건조공정의 연료를 LPG에서 도시가스(LNG)로 전환하는 사업</x:v>
      </x:c>
      <x:c r="E251" s="2" t="str">
        <x:v>112</x:v>
      </x:c>
      <x:c r="F251" s="2" t="str">
        <x:v>2017-11-28</x:v>
      </x:c>
      <x:c r="G251" s="2" t="str">
        <x:v>2017</x:v>
      </x:c>
      <x:c r="H251" s="2" t="str">
        <x:v>11</x:v>
      </x:c>
      <x:c r="I251" s="2" t="str">
        <x:v>승인</x:v>
      </x:c>
      <x:c r="J251" s="2" t="str">
        <x:v>심의승인</x:v>
      </x:c>
      <x:c r="K251" s="2" t="str">
        <x:f>IF(OR(J251="심의승인",J251="반려",J251="반려완료",J251="심의완료"),"종결 표시",IF(OR(J251="기후부협의",J251="문서재제출요청",J251="보류",J251="보완요청",J251="보완완료",J251="평가중",J251="반려요청",J251="평가필요",LEFT(J251,5)="보완요청("),"미종결 표시","상태 확인 필요"))</x:f>
        <x:v>종결 표시</x:v>
      </x:c>
      <x:c r="L251" s="2"/>
      <x:c r="M251" s="2"/>
      <x:c r="N251" s="8" t="n">
        <x:f>DATE(2026,10,15)-DATE(2017,11,28)</x:f>
        <x:v>3243</x:v>
      </x:c>
      <x:c r="O251" s="2" t="str">
        <x:v>O</x:v>
      </x:c>
      <x:c r="P251" s="2"/>
      <x:c r="Q251" s="2" t="str">
        <x:v>산업전환_외부사업관리Tool_260707_이너젠 수정_LJY_261013.xlsx</x:v>
      </x:c>
      <x:c r="R251" s="2" t="str">
        <x:v>국내평가</x:v>
      </x:c>
      <x:c r="S251" s="8" t="n">
        <x:v>154</x:v>
      </x:c>
      <x:c r="T251" s="2"/>
      <x:c r="U251" s="2" t="str"/>
      <x:c r="V251" s="2" t="str">
        <x:v>2021-03-04</x:v>
      </x:c>
      <x:c r="W251" s="2" t="str">
        <x:v>담당기관 확인</x:v>
      </x:c>
      <x:c r="X251" s="2" t="str">
        <x:v>원본·배정 기록 확인</x:v>
      </x:c>
      <x:c r="Y251" s="2" t="str">
        <x:v>ad210cd9ec132cfd447541c8984dc53d30aff0f4fb2dc92d254d49275cc55976</x:v>
      </x:c>
      <x:c r="Z251" s="2" t="n">
        <x:f>SUBTOTAL(103,A251)</x:f>
        <x:v>1</x:v>
      </x:c>
      <x:c r="AA251" s="2" t="str">
        <x:f>IF(K251&lt;&gt;"미종결 표시","대상 아님",IF(N251="","신청일 확인",IF(NOT(ISNUMBER('종합 현황'!$H$5)),"관찰기준 확인",IF('종합 현황'!$H$5&lt;1,"관찰기준 확인",IF(N251&gt;'종합 현황'!$H$5,"내부 관찰 대상","내부 관찰일 이하")))))</x:f>
        <x:v>대상 아님</x:v>
      </x:c>
      <x:c r="AB251" s="2"/>
    </x:row>
    <x:row r="252" ht="42" customHeight="1">
      <x:c r="A252" s="2" t="str">
        <x:v>7a7d759f57689ee3ceef87fa</x:v>
      </x:c>
      <x:c r="B252" s="2" t="str">
        <x:v>사업 평가</x:v>
      </x:c>
      <x:c r="C252" s="2" t="str">
        <x:v>국내</x:v>
      </x:c>
      <x:c r="D252" s="7" t="str">
        <x:v>김천 태양광발전 사이트 2 CDM프로젝트</x:v>
      </x:c>
      <x:c r="E252" s="2" t="str">
        <x:v>113</x:v>
      </x:c>
      <x:c r="F252" s="2" t="str">
        <x:v>2017-12-04</x:v>
      </x:c>
      <x:c r="G252" s="2" t="str">
        <x:v>2017</x:v>
      </x:c>
      <x:c r="H252" s="2" t="str">
        <x:v>12</x:v>
      </x:c>
      <x:c r="I252" s="2" t="str">
        <x:v>승인</x:v>
      </x:c>
      <x:c r="J252" s="2" t="str">
        <x:v>심의승인</x:v>
      </x:c>
      <x:c r="K252" s="2" t="str">
        <x:f>IF(OR(J252="심의승인",J252="반려",J252="반려완료",J252="심의완료"),"종결 표시",IF(OR(J252="기후부협의",J252="문서재제출요청",J252="보류",J252="보완요청",J252="보완완료",J252="평가중",J252="반려요청",J252="평가필요",LEFT(J252,5)="보완요청("),"미종결 표시","상태 확인 필요"))</x:f>
        <x:v>종결 표시</x:v>
      </x:c>
      <x:c r="L252" s="2"/>
      <x:c r="M252" s="2"/>
      <x:c r="N252" s="8" t="n">
        <x:f>DATE(2026,10,15)-DATE(2017,12,4)</x:f>
        <x:v>3237</x:v>
      </x:c>
      <x:c r="O252" s="2"/>
      <x:c r="P252" s="2"/>
      <x:c r="Q252" s="2" t="str">
        <x:v>산업전환_외부사업관리Tool_260707_이너젠 수정_LJY_261013.xlsx</x:v>
      </x:c>
      <x:c r="R252" s="2" t="str">
        <x:v>국내평가</x:v>
      </x:c>
      <x:c r="S252" s="8" t="n">
        <x:v>155</x:v>
      </x:c>
      <x:c r="T252" s="2"/>
      <x:c r="U252" s="2" t="str"/>
      <x:c r="V252" s="2" t="str">
        <x:v>2018-08-08</x:v>
      </x:c>
      <x:c r="W252" s="2" t="str">
        <x:v>담당기관 확인</x:v>
      </x:c>
      <x:c r="X252" s="2" t="str">
        <x:v>원본·배정 기록 확인</x:v>
      </x:c>
      <x:c r="Y252" s="2" t="str">
        <x:v>ad210cd9ec132cfd447541c8984dc53d30aff0f4fb2dc92d254d49275cc55976</x:v>
      </x:c>
      <x:c r="Z252" s="2" t="n">
        <x:f>SUBTOTAL(103,A252)</x:f>
        <x:v>1</x:v>
      </x:c>
      <x:c r="AA252" s="2" t="str">
        <x:f>IF(K252&lt;&gt;"미종결 표시","대상 아님",IF(N252="","신청일 확인",IF(NOT(ISNUMBER('종합 현황'!$H$5)),"관찰기준 확인",IF('종합 현황'!$H$5&lt;1,"관찰기준 확인",IF(N252&gt;'종합 현황'!$H$5,"내부 관찰 대상","내부 관찰일 이하")))))</x:f>
        <x:v>대상 아님</x:v>
      </x:c>
      <x:c r="AB252" s="2"/>
    </x:row>
    <x:row r="253" ht="42" customHeight="1">
      <x:c r="A253" s="2" t="str">
        <x:v>e5b84c40163f19e381bcf6db</x:v>
      </x:c>
      <x:c r="B253" s="2" t="str">
        <x:v>사업 평가</x:v>
      </x:c>
      <x:c r="C253" s="2" t="str">
        <x:v>국내</x:v>
      </x:c>
      <x:c r="D253" s="7" t="str">
        <x:v>김천 태양광발전 사이트 1 CDM프로젝트</x:v>
      </x:c>
      <x:c r="E253" s="2" t="str">
        <x:v>114</x:v>
      </x:c>
      <x:c r="F253" s="2" t="str">
        <x:v>2017-12-04</x:v>
      </x:c>
      <x:c r="G253" s="2" t="str">
        <x:v>2017</x:v>
      </x:c>
      <x:c r="H253" s="2" t="str">
        <x:v>12</x:v>
      </x:c>
      <x:c r="I253" s="2" t="str">
        <x:v>승인</x:v>
      </x:c>
      <x:c r="J253" s="2" t="str">
        <x:v>심의승인</x:v>
      </x:c>
      <x:c r="K253" s="2" t="str">
        <x:f>IF(OR(J253="심의승인",J253="반려",J253="반려완료",J253="심의완료"),"종결 표시",IF(OR(J253="기후부협의",J253="문서재제출요청",J253="보류",J253="보완요청",J253="보완완료",J253="평가중",J253="반려요청",J253="평가필요",LEFT(J253,5)="보완요청("),"미종결 표시","상태 확인 필요"))</x:f>
        <x:v>종결 표시</x:v>
      </x:c>
      <x:c r="L253" s="2"/>
      <x:c r="M253" s="2"/>
      <x:c r="N253" s="8" t="n">
        <x:f>DATE(2026,10,15)-DATE(2017,12,4)</x:f>
        <x:v>3237</x:v>
      </x:c>
      <x:c r="O253" s="2"/>
      <x:c r="P253" s="2"/>
      <x:c r="Q253" s="2" t="str">
        <x:v>산업전환_외부사업관리Tool_260707_이너젠 수정_LJY_261013.xlsx</x:v>
      </x:c>
      <x:c r="R253" s="2" t="str">
        <x:v>국내평가</x:v>
      </x:c>
      <x:c r="S253" s="8" t="n">
        <x:v>156</x:v>
      </x:c>
      <x:c r="T253" s="2"/>
      <x:c r="U253" s="2" t="str"/>
      <x:c r="V253" s="2" t="str">
        <x:v>2018-08-08</x:v>
      </x:c>
      <x:c r="W253" s="2" t="str">
        <x:v>담당기관 확인</x:v>
      </x:c>
      <x:c r="X253" s="2" t="str">
        <x:v>원본·배정 기록 확인</x:v>
      </x:c>
      <x:c r="Y253" s="2" t="str">
        <x:v>ad210cd9ec132cfd447541c8984dc53d30aff0f4fb2dc92d254d49275cc55976</x:v>
      </x:c>
      <x:c r="Z253" s="2" t="n">
        <x:f>SUBTOTAL(103,A253)</x:f>
        <x:v>1</x:v>
      </x:c>
      <x:c r="AA253" s="2" t="str">
        <x:f>IF(K253&lt;&gt;"미종결 표시","대상 아님",IF(N253="","신청일 확인",IF(NOT(ISNUMBER('종합 현황'!$H$5)),"관찰기준 확인",IF('종합 현황'!$H$5&lt;1,"관찰기준 확인",IF(N253&gt;'종합 현황'!$H$5,"내부 관찰 대상","내부 관찰일 이하")))))</x:f>
        <x:v>대상 아님</x:v>
      </x:c>
      <x:c r="AB253" s="2"/>
    </x:row>
    <x:row r="254" ht="42" customHeight="1">
      <x:c r="A254" s="2" t="str">
        <x:v>0c3cd8f5aacd35e1d6235737</x:v>
      </x:c>
      <x:c r="B254" s="2" t="str">
        <x:v>사업 평가</x:v>
      </x:c>
      <x:c r="C254" s="2" t="str">
        <x:v>국내</x:v>
      </x:c>
      <x:c r="D254" s="7" t="str">
        <x:v>(주)선일로에스의 B-A유에서 LNG로 연료전환을 통한 온실가스 배출 감축사업</x:v>
      </x:c>
      <x:c r="E254" s="2" t="str">
        <x:v>115</x:v>
      </x:c>
      <x:c r="F254" s="2" t="str">
        <x:v>2017-12-07</x:v>
      </x:c>
      <x:c r="G254" s="2" t="str">
        <x:v>2017</x:v>
      </x:c>
      <x:c r="H254" s="2" t="str">
        <x:v>12</x:v>
      </x:c>
      <x:c r="I254" s="2" t="str">
        <x:v>승인</x:v>
      </x:c>
      <x:c r="J254" s="2" t="str">
        <x:v>심의승인</x:v>
      </x:c>
      <x:c r="K254" s="2" t="str">
        <x:f>IF(OR(J254="심의승인",J254="반려",J254="반려완료",J254="심의완료"),"종결 표시",IF(OR(J254="기후부협의",J254="문서재제출요청",J254="보류",J254="보완요청",J254="보완완료",J254="평가중",J254="반려요청",J254="평가필요",LEFT(J254,5)="보완요청("),"미종결 표시","상태 확인 필요"))</x:f>
        <x:v>종결 표시</x:v>
      </x:c>
      <x:c r="L254" s="2"/>
      <x:c r="M254" s="2"/>
      <x:c r="N254" s="8" t="n">
        <x:f>DATE(2026,10,15)-DATE(2017,12,7)</x:f>
        <x:v>3234</x:v>
      </x:c>
      <x:c r="O254" s="2" t="str">
        <x:v>O(6월)</x:v>
      </x:c>
      <x:c r="P254" s="2"/>
      <x:c r="Q254" s="2" t="str">
        <x:v>산업전환_외부사업관리Tool_260707_이너젠 수정_LJY_261013.xlsx</x:v>
      </x:c>
      <x:c r="R254" s="2" t="str">
        <x:v>국내평가</x:v>
      </x:c>
      <x:c r="S254" s="8" t="n">
        <x:v>157</x:v>
      </x:c>
      <x:c r="T254" s="2"/>
      <x:c r="U254" s="2" t="str"/>
      <x:c r="V254" s="2" t="str">
        <x:v>2022-01-04</x:v>
      </x:c>
      <x:c r="W254" s="2" t="str">
        <x:v>담당기관 확인</x:v>
      </x:c>
      <x:c r="X254" s="2" t="str">
        <x:v>원본·배정 기록 확인</x:v>
      </x:c>
      <x:c r="Y254" s="2" t="str">
        <x:v>ad210cd9ec132cfd447541c8984dc53d30aff0f4fb2dc92d254d49275cc55976</x:v>
      </x:c>
      <x:c r="Z254" s="2" t="n">
        <x:f>SUBTOTAL(103,A254)</x:f>
        <x:v>1</x:v>
      </x:c>
      <x:c r="AA254" s="2" t="str">
        <x:f>IF(K254&lt;&gt;"미종결 표시","대상 아님",IF(N254="","신청일 확인",IF(NOT(ISNUMBER('종합 현황'!$H$5)),"관찰기준 확인",IF('종합 현황'!$H$5&lt;1,"관찰기준 확인",IF(N254&gt;'종합 현황'!$H$5,"내부 관찰 대상","내부 관찰일 이하")))))</x:f>
        <x:v>대상 아님</x:v>
      </x:c>
      <x:c r="AB254" s="2"/>
    </x:row>
    <x:row r="255" ht="42" customHeight="1">
      <x:c r="A255" s="2" t="str">
        <x:v>31b9be792745f61359a16491</x:v>
      </x:c>
      <x:c r="B255" s="2" t="str">
        <x:v>사업 평가</x:v>
      </x:c>
      <x:c r="C255" s="2" t="str">
        <x:v>국내</x:v>
      </x:c>
      <x:c r="D255" s="7" t="str">
        <x:v>우성세라믹스공업의 LPG에서 LNG로 연료전환을 통한 온실가스 배출 감축사업</x:v>
      </x:c>
      <x:c r="E255" s="2" t="str">
        <x:v>116</x:v>
      </x:c>
      <x:c r="F255" s="2" t="str">
        <x:v>2017-12-07</x:v>
      </x:c>
      <x:c r="G255" s="2" t="str">
        <x:v>2017</x:v>
      </x:c>
      <x:c r="H255" s="2" t="str">
        <x:v>12</x:v>
      </x:c>
      <x:c r="I255" s="2" t="str">
        <x:v>승인</x:v>
      </x:c>
      <x:c r="J255" s="2" t="str">
        <x:v>심의승인</x:v>
      </x:c>
      <x:c r="K255" s="2" t="str">
        <x:f>IF(OR(J255="심의승인",J255="반려",J255="반려완료",J255="심의완료"),"종결 표시",IF(OR(J255="기후부협의",J255="문서재제출요청",J255="보류",J255="보완요청",J255="보완완료",J255="평가중",J255="반려요청",J255="평가필요",LEFT(J255,5)="보완요청("),"미종결 표시","상태 확인 필요"))</x:f>
        <x:v>종결 표시</x:v>
      </x:c>
      <x:c r="L255" s="2"/>
      <x:c r="M255" s="2"/>
      <x:c r="N255" s="8" t="n">
        <x:f>DATE(2026,10,15)-DATE(2017,12,7)</x:f>
        <x:v>3234</x:v>
      </x:c>
      <x:c r="O255" s="2"/>
      <x:c r="P255" s="2"/>
      <x:c r="Q255" s="2" t="str">
        <x:v>산업전환_외부사업관리Tool_260707_이너젠 수정_LJY_261013.xlsx</x:v>
      </x:c>
      <x:c r="R255" s="2" t="str">
        <x:v>국내평가</x:v>
      </x:c>
      <x:c r="S255" s="8" t="n">
        <x:v>158</x:v>
      </x:c>
      <x:c r="T255" s="2"/>
      <x:c r="U255" s="2" t="str"/>
      <x:c r="V255" s="2" t="str">
        <x:v>2021-04-02</x:v>
      </x:c>
      <x:c r="W255" s="2" t="str">
        <x:v>담당기관 확인</x:v>
      </x:c>
      <x:c r="X255" s="2" t="str">
        <x:v>원본·배정 기록 확인</x:v>
      </x:c>
      <x:c r="Y255" s="2" t="str">
        <x:v>ad210cd9ec132cfd447541c8984dc53d30aff0f4fb2dc92d254d49275cc55976</x:v>
      </x:c>
      <x:c r="Z255" s="2" t="n">
        <x:f>SUBTOTAL(103,A255)</x:f>
        <x:v>1</x:v>
      </x:c>
      <x:c r="AA255" s="2" t="str">
        <x:f>IF(K255&lt;&gt;"미종결 표시","대상 아님",IF(N255="","신청일 확인",IF(NOT(ISNUMBER('종합 현황'!$H$5)),"관찰기준 확인",IF('종합 현황'!$H$5&lt;1,"관찰기준 확인",IF(N255&gt;'종합 현황'!$H$5,"내부 관찰 대상","내부 관찰일 이하")))))</x:f>
        <x:v>대상 아님</x:v>
      </x:c>
      <x:c r="AB255" s="2"/>
    </x:row>
    <x:row r="256" ht="42" customHeight="1">
      <x:c r="A256" s="2" t="str">
        <x:v>b35d865ce8a2a7e30c2d7594</x:v>
      </x:c>
      <x:c r="B256" s="2" t="str">
        <x:v>사업 평가</x:v>
      </x:c>
      <x:c r="C256" s="2" t="str">
        <x:v>국내</x:v>
      </x:c>
      <x:c r="D256" s="7" t="str">
        <x:v>보일러 연료전환 (벙커C유 → LNG)을 통한 온실가스(CO2) 배출 감축사업</x:v>
      </x:c>
      <x:c r="E256" s="2" t="str">
        <x:v>117</x:v>
      </x:c>
      <x:c r="F256" s="2" t="str">
        <x:v>2017-12-14</x:v>
      </x:c>
      <x:c r="G256" s="2" t="str">
        <x:v>2017</x:v>
      </x:c>
      <x:c r="H256" s="2" t="str">
        <x:v>12</x:v>
      </x:c>
      <x:c r="I256" s="2" t="str">
        <x:v>사업변경 신청</x:v>
      </x:c>
      <x:c r="J256" s="2" t="str">
        <x:v>반려</x:v>
      </x:c>
      <x:c r="K256" s="2" t="str">
        <x:f>IF(OR(J256="심의승인",J256="반려",J256="반려완료",J256="심의완료"),"종결 표시",IF(OR(J256="기후부협의",J256="문서재제출요청",J256="보류",J256="보완요청",J256="보완완료",J256="평가중",J256="반려요청",J256="평가필요",LEFT(J256,5)="보완요청("),"미종결 표시","상태 확인 필요"))</x:f>
        <x:v>종결 표시</x:v>
      </x:c>
      <x:c r="L256" s="2"/>
      <x:c r="M256" s="2"/>
      <x:c r="N256" s="8" t="n">
        <x:f>DATE(2026,10,15)-DATE(2017,12,14)</x:f>
        <x:v>3227</x:v>
      </x:c>
      <x:c r="O256" s="2" t="str">
        <x:v>O(4월)</x:v>
      </x:c>
      <x:c r="P256" s="2"/>
      <x:c r="Q256" s="2" t="str">
        <x:v>산업전환_외부사업관리Tool_260707_이너젠 수정_LJY_261013.xlsx</x:v>
      </x:c>
      <x:c r="R256" s="2" t="str">
        <x:v>국내평가</x:v>
      </x:c>
      <x:c r="S256" s="8" t="n">
        <x:v>159</x:v>
      </x:c>
      <x:c r="T256" s="2" t="str">
        <x:v>2021년 처리</x:v>
      </x:c>
      <x:c r="U256" s="2" t="str">
        <x:v>2021 배정: 2021년 처리</x:v>
      </x:c>
      <x:c r="V256" s="2" t="str">
        <x:v>2021-04-08</x:v>
      </x:c>
      <x:c r="W256" s="2" t="str">
        <x:v>담당기관 확인</x:v>
      </x:c>
      <x:c r="X256" s="2" t="str">
        <x:v>원본·배정 기록 확인</x:v>
      </x:c>
      <x:c r="Y256" s="2" t="str">
        <x:v>ad210cd9ec132cfd447541c8984dc53d30aff0f4fb2dc92d254d49275cc55976</x:v>
      </x:c>
      <x:c r="Z256" s="2" t="n">
        <x:f>SUBTOTAL(103,A256)</x:f>
        <x:v>1</x:v>
      </x:c>
      <x:c r="AA256" s="2" t="str">
        <x:f>IF(K256&lt;&gt;"미종결 표시","대상 아님",IF(N256="","신청일 확인",IF(NOT(ISNUMBER('종합 현황'!$H$5)),"관찰기준 확인",IF('종합 현황'!$H$5&lt;1,"관찰기준 확인",IF(N256&gt;'종합 현황'!$H$5,"내부 관찰 대상","내부 관찰일 이하")))))</x:f>
        <x:v>대상 아님</x:v>
      </x:c>
      <x:c r="AB256" s="2"/>
    </x:row>
    <x:row r="257" ht="42" customHeight="1">
      <x:c r="A257" s="2" t="str">
        <x:v>496e3a973e52cc5d29de0f19</x:v>
      </x:c>
      <x:c r="B257" s="2" t="str">
        <x:v>사업 평가</x:v>
      </x:c>
      <x:c r="C257" s="2" t="str">
        <x:v>국내</x:v>
      </x:c>
      <x:c r="D257" s="7" t="str">
        <x:v>국순당 횡성공장의 보일러 연료전환 (감압정제유 → LNG)을 통한 온실가스(CO2) 배출 감축사업</x:v>
      </x:c>
      <x:c r="E257" s="2" t="str">
        <x:v>118</x:v>
      </x:c>
      <x:c r="F257" s="2" t="str">
        <x:v>2017-12-14</x:v>
      </x:c>
      <x:c r="G257" s="2" t="str">
        <x:v>2017</x:v>
      </x:c>
      <x:c r="H257" s="2" t="str">
        <x:v>12</x:v>
      </x:c>
      <x:c r="I257" s="2" t="str">
        <x:v>승인</x:v>
      </x:c>
      <x:c r="J257" s="2" t="str">
        <x:v>심의승인</x:v>
      </x:c>
      <x:c r="K257" s="2" t="str">
        <x:f>IF(OR(J257="심의승인",J257="반려",J257="반려완료",J257="심의완료"),"종결 표시",IF(OR(J257="기후부협의",J257="문서재제출요청",J257="보류",J257="보완요청",J257="보완완료",J257="평가중",J257="반려요청",J257="평가필요",LEFT(J257,5)="보완요청("),"미종결 표시","상태 확인 필요"))</x:f>
        <x:v>종결 표시</x:v>
      </x:c>
      <x:c r="L257" s="2"/>
      <x:c r="M257" s="2"/>
      <x:c r="N257" s="8" t="n">
        <x:f>DATE(2026,10,15)-DATE(2017,12,14)</x:f>
        <x:v>3227</x:v>
      </x:c>
      <x:c r="O257" s="2"/>
      <x:c r="P257" s="2"/>
      <x:c r="Q257" s="2" t="str">
        <x:v>산업전환_외부사업관리Tool_260707_이너젠 수정_LJY_261013.xlsx</x:v>
      </x:c>
      <x:c r="R257" s="2" t="str">
        <x:v>국내평가</x:v>
      </x:c>
      <x:c r="S257" s="8" t="n">
        <x:v>160</x:v>
      </x:c>
      <x:c r="T257" s="2"/>
      <x:c r="U257" s="2" t="str"/>
      <x:c r="V257" s="2" t="str">
        <x:v>2019-02-20</x:v>
      </x:c>
      <x:c r="W257" s="2" t="str">
        <x:v>담당기관 확인</x:v>
      </x:c>
      <x:c r="X257" s="2" t="str">
        <x:v>원본·배정 기록 확인</x:v>
      </x:c>
      <x:c r="Y257" s="2" t="str">
        <x:v>ad210cd9ec132cfd447541c8984dc53d30aff0f4fb2dc92d254d49275cc55976</x:v>
      </x:c>
      <x:c r="Z257" s="2" t="n">
        <x:f>SUBTOTAL(103,A257)</x:f>
        <x:v>1</x:v>
      </x:c>
      <x:c r="AA257" s="2" t="str">
        <x:f>IF(K257&lt;&gt;"미종결 표시","대상 아님",IF(N257="","신청일 확인",IF(NOT(ISNUMBER('종합 현황'!$H$5)),"관찰기준 확인",IF('종합 현황'!$H$5&lt;1,"관찰기준 확인",IF(N257&gt;'종합 현황'!$H$5,"내부 관찰 대상","내부 관찰일 이하")))))</x:f>
        <x:v>대상 아님</x:v>
      </x:c>
      <x:c r="AB257" s="2"/>
    </x:row>
    <x:row r="258" ht="42" customHeight="1">
      <x:c r="A258" s="2" t="str">
        <x:v>97ef92989eca1b0084bdbb92</x:v>
      </x:c>
      <x:c r="B258" s="2" t="str">
        <x:v>사업 평가</x:v>
      </x:c>
      <x:c r="C258" s="2" t="str">
        <x:v>국내</x:v>
      </x:c>
      <x:c r="D258" s="7" t="str">
        <x:v>네오세라믹의 소성로 연료교체(LPG→LNG)를 통한 온실가스(CO2) 배출 감축사업</x:v>
      </x:c>
      <x:c r="E258" s="2" t="str">
        <x:v>119</x:v>
      </x:c>
      <x:c r="F258" s="2" t="str">
        <x:v>2017-12-14</x:v>
      </x:c>
      <x:c r="G258" s="2" t="str">
        <x:v>2017</x:v>
      </x:c>
      <x:c r="H258" s="2" t="str">
        <x:v>12</x:v>
      </x:c>
      <x:c r="I258" s="2" t="str">
        <x:v>승인</x:v>
      </x:c>
      <x:c r="J258" s="2" t="str">
        <x:v>심의승인</x:v>
      </x:c>
      <x:c r="K258" s="2" t="str">
        <x:f>IF(OR(J258="심의승인",J258="반려",J258="반려완료",J258="심의완료"),"종결 표시",IF(OR(J258="기후부협의",J258="문서재제출요청",J258="보류",J258="보완요청",J258="보완완료",J258="평가중",J258="반려요청",J258="평가필요",LEFT(J258,5)="보완요청("),"미종결 표시","상태 확인 필요"))</x:f>
        <x:v>종결 표시</x:v>
      </x:c>
      <x:c r="L258" s="2"/>
      <x:c r="M258" s="2"/>
      <x:c r="N258" s="8" t="n">
        <x:f>DATE(2026,10,15)-DATE(2017,12,14)</x:f>
        <x:v>3227</x:v>
      </x:c>
      <x:c r="O258" s="2"/>
      <x:c r="P258" s="2"/>
      <x:c r="Q258" s="2" t="str">
        <x:v>산업전환_외부사업관리Tool_260707_이너젠 수정_LJY_261013.xlsx</x:v>
      </x:c>
      <x:c r="R258" s="2" t="str">
        <x:v>국내평가</x:v>
      </x:c>
      <x:c r="S258" s="8" t="n">
        <x:v>161</x:v>
      </x:c>
      <x:c r="T258" s="2"/>
      <x:c r="U258" s="2" t="str"/>
      <x:c r="V258" s="2" t="str">
        <x:v>2018-11-29</x:v>
      </x:c>
      <x:c r="W258" s="2" t="str">
        <x:v>담당기관 확인</x:v>
      </x:c>
      <x:c r="X258" s="2" t="str">
        <x:v>원본·배정 기록 확인</x:v>
      </x:c>
      <x:c r="Y258" s="2" t="str">
        <x:v>ad210cd9ec132cfd447541c8984dc53d30aff0f4fb2dc92d254d49275cc55976</x:v>
      </x:c>
      <x:c r="Z258" s="2" t="n">
        <x:f>SUBTOTAL(103,A258)</x:f>
        <x:v>1</x:v>
      </x:c>
      <x:c r="AA258" s="2" t="str">
        <x:f>IF(K258&lt;&gt;"미종결 표시","대상 아님",IF(N258="","신청일 확인",IF(NOT(ISNUMBER('종합 현황'!$H$5)),"관찰기준 확인",IF('종합 현황'!$H$5&lt;1,"관찰기준 확인",IF(N258&gt;'종합 현황'!$H$5,"내부 관찰 대상","내부 관찰일 이하")))))</x:f>
        <x:v>대상 아님</x:v>
      </x:c>
      <x:c r="AB258" s="2"/>
    </x:row>
    <x:row r="259" ht="42" customHeight="1">
      <x:c r="A259" s="2" t="str">
        <x:v>84ae7169a0beb322f9f7b8d5</x:v>
      </x:c>
      <x:c r="B259" s="2" t="str">
        <x:v>사업 평가</x:v>
      </x:c>
      <x:c r="C259" s="2" t="str">
        <x:v>국내</x:v>
      </x:c>
      <x:c r="D259" s="7" t="str">
        <x:v>(주)네이처셀의 보일러 연료전환 (B-C유 → LNG)에 의한 온실가스(CO2) 배출 감축사업</x:v>
      </x:c>
      <x:c r="E259" s="2" t="str">
        <x:v>120</x:v>
      </x:c>
      <x:c r="F259" s="2" t="str">
        <x:v>2017-12-14</x:v>
      </x:c>
      <x:c r="G259" s="2" t="str">
        <x:v>2017</x:v>
      </x:c>
      <x:c r="H259" s="2" t="str">
        <x:v>12</x:v>
      </x:c>
      <x:c r="I259" s="2" t="str">
        <x:v>승인</x:v>
      </x:c>
      <x:c r="J259" s="2" t="str">
        <x:v>심의승인</x:v>
      </x:c>
      <x:c r="K259" s="2" t="str">
        <x:f>IF(OR(J259="심의승인",J259="반려",J259="반려완료",J259="심의완료"),"종결 표시",IF(OR(J259="기후부협의",J259="문서재제출요청",J259="보류",J259="보완요청",J259="보완완료",J259="평가중",J259="반려요청",J259="평가필요",LEFT(J259,5)="보완요청("),"미종결 표시","상태 확인 필요"))</x:f>
        <x:v>종결 표시</x:v>
      </x:c>
      <x:c r="L259" s="2"/>
      <x:c r="M259" s="2"/>
      <x:c r="N259" s="8" t="n">
        <x:f>DATE(2026,10,15)-DATE(2017,12,14)</x:f>
        <x:v>3227</x:v>
      </x:c>
      <x:c r="O259" s="2"/>
      <x:c r="P259" s="2"/>
      <x:c r="Q259" s="2" t="str">
        <x:v>산업전환_외부사업관리Tool_260707_이너젠 수정_LJY_261013.xlsx</x:v>
      </x:c>
      <x:c r="R259" s="2" t="str">
        <x:v>국내평가</x:v>
      </x:c>
      <x:c r="S259" s="8" t="n">
        <x:v>162</x:v>
      </x:c>
      <x:c r="T259" s="2"/>
      <x:c r="U259" s="2" t="str"/>
      <x:c r="V259" s="2" t="str">
        <x:v>2019-11-14</x:v>
      </x:c>
      <x:c r="W259" s="2" t="str">
        <x:v>담당기관 확인</x:v>
      </x:c>
      <x:c r="X259" s="2" t="str">
        <x:v>원본·배정 기록 확인</x:v>
      </x:c>
      <x:c r="Y259" s="2" t="str">
        <x:v>ad210cd9ec132cfd447541c8984dc53d30aff0f4fb2dc92d254d49275cc55976</x:v>
      </x:c>
      <x:c r="Z259" s="2" t="n">
        <x:f>SUBTOTAL(103,A259)</x:f>
        <x:v>1</x:v>
      </x:c>
      <x:c r="AA259" s="2" t="str">
        <x:f>IF(K259&lt;&gt;"미종결 표시","대상 아님",IF(N259="","신청일 확인",IF(NOT(ISNUMBER('종합 현황'!$H$5)),"관찰기준 확인",IF('종합 현황'!$H$5&lt;1,"관찰기준 확인",IF(N259&gt;'종합 현황'!$H$5,"내부 관찰 대상","내부 관찰일 이하")))))</x:f>
        <x:v>대상 아님</x:v>
      </x:c>
      <x:c r="AB259" s="2"/>
    </x:row>
    <x:row r="260" ht="42" customHeight="1">
      <x:c r="A260" s="2" t="str">
        <x:v>eeb53114f1709e91521a72d0</x:v>
      </x:c>
      <x:c r="B260" s="2" t="str">
        <x:v>사업 평가</x:v>
      </x:c>
      <x:c r="C260" s="2" t="str">
        <x:v>국내</x:v>
      </x:c>
      <x:c r="D260" s="7" t="str">
        <x:v>뉴봉이랜드 목재펠릿 연료전환(LNG-&amp;gt목재펠릿)을 통한 온실가스 배출 감축사업</x:v>
      </x:c>
      <x:c r="E260" s="2" t="str">
        <x:v>121</x:v>
      </x:c>
      <x:c r="F260" s="2" t="str">
        <x:v>2017-12-14</x:v>
      </x:c>
      <x:c r="G260" s="2" t="str">
        <x:v>2017</x:v>
      </x:c>
      <x:c r="H260" s="2" t="str">
        <x:v>12</x:v>
      </x:c>
      <x:c r="I260" s="2" t="str">
        <x:v>승인</x:v>
      </x:c>
      <x:c r="J260" s="2" t="str">
        <x:v>심의승인</x:v>
      </x:c>
      <x:c r="K260" s="2" t="str">
        <x:f>IF(OR(J260="심의승인",J260="반려",J260="반려완료",J260="심의완료"),"종결 표시",IF(OR(J260="기후부협의",J260="문서재제출요청",J260="보류",J260="보완요청",J260="보완완료",J260="평가중",J260="반려요청",J260="평가필요",LEFT(J260,5)="보완요청("),"미종결 표시","상태 확인 필요"))</x:f>
        <x:v>종결 표시</x:v>
      </x:c>
      <x:c r="L260" s="2"/>
      <x:c r="M260" s="2"/>
      <x:c r="N260" s="8" t="n">
        <x:f>DATE(2026,10,15)-DATE(2017,12,14)</x:f>
        <x:v>3227</x:v>
      </x:c>
      <x:c r="O260" s="2"/>
      <x:c r="P260" s="2"/>
      <x:c r="Q260" s="2" t="str">
        <x:v>산업전환_외부사업관리Tool_260707_이너젠 수정_LJY_261013.xlsx</x:v>
      </x:c>
      <x:c r="R260" s="2" t="str">
        <x:v>국내평가</x:v>
      </x:c>
      <x:c r="S260" s="8" t="n">
        <x:v>163</x:v>
      </x:c>
      <x:c r="T260" s="2"/>
      <x:c r="U260" s="2" t="str"/>
      <x:c r="V260" s="2" t="str">
        <x:v>2018-11-28</x:v>
      </x:c>
      <x:c r="W260" s="2" t="str">
        <x:v>담당기관 확인</x:v>
      </x:c>
      <x:c r="X260" s="2" t="str">
        <x:v>원본·배정 기록 확인</x:v>
      </x:c>
      <x:c r="Y260" s="2" t="str">
        <x:v>ad210cd9ec132cfd447541c8984dc53d30aff0f4fb2dc92d254d49275cc55976</x:v>
      </x:c>
      <x:c r="Z260" s="2" t="n">
        <x:f>SUBTOTAL(103,A260)</x:f>
        <x:v>1</x:v>
      </x:c>
      <x:c r="AA260" s="2" t="str">
        <x:f>IF(K260&lt;&gt;"미종결 표시","대상 아님",IF(N260="","신청일 확인",IF(NOT(ISNUMBER('종합 현황'!$H$5)),"관찰기준 확인",IF('종합 현황'!$H$5&lt;1,"관찰기준 확인",IF(N260&gt;'종합 현황'!$H$5,"내부 관찰 대상","내부 관찰일 이하")))))</x:f>
        <x:v>대상 아님</x:v>
      </x:c>
      <x:c r="AB260" s="2"/>
    </x:row>
    <x:row r="261" ht="42" customHeight="1">
      <x:c r="A261" s="2" t="str">
        <x:v>cebe71bd64cf8d36d95db26e</x:v>
      </x:c>
      <x:c r="B261" s="2" t="str">
        <x:v>사업 평가</x:v>
      </x:c>
      <x:c r="C261" s="2" t="str">
        <x:v>국내</x:v>
      </x:c>
      <x:c r="D261" s="7" t="str">
        <x:v>대갑 스팀보일러의 연료교체(B-C유→LNG)를 통한 온실가스(CO2) 배출 감축사업</x:v>
      </x:c>
      <x:c r="E261" s="2" t="str">
        <x:v>122</x:v>
      </x:c>
      <x:c r="F261" s="2" t="str">
        <x:v>2017-12-14</x:v>
      </x:c>
      <x:c r="G261" s="2" t="str">
        <x:v>2017</x:v>
      </x:c>
      <x:c r="H261" s="2" t="str">
        <x:v>12</x:v>
      </x:c>
      <x:c r="I261" s="2" t="str">
        <x:v>승인</x:v>
      </x:c>
      <x:c r="J261" s="2" t="str">
        <x:v>심의승인</x:v>
      </x:c>
      <x:c r="K261" s="2" t="str">
        <x:f>IF(OR(J261="심의승인",J261="반려",J261="반려완료",J261="심의완료"),"종결 표시",IF(OR(J261="기후부협의",J261="문서재제출요청",J261="보류",J261="보완요청",J261="보완완료",J261="평가중",J261="반려요청",J261="평가필요",LEFT(J261,5)="보완요청("),"미종결 표시","상태 확인 필요"))</x:f>
        <x:v>종결 표시</x:v>
      </x:c>
      <x:c r="L261" s="2"/>
      <x:c r="M261" s="2"/>
      <x:c r="N261" s="8" t="n">
        <x:f>DATE(2026,10,15)-DATE(2017,12,14)</x:f>
        <x:v>3227</x:v>
      </x:c>
      <x:c r="O261" s="2"/>
      <x:c r="P261" s="2"/>
      <x:c r="Q261" s="2" t="str">
        <x:v>산업전환_외부사업관리Tool_260707_이너젠 수정_LJY_261013.xlsx</x:v>
      </x:c>
      <x:c r="R261" s="2" t="str">
        <x:v>국내평가</x:v>
      </x:c>
      <x:c r="S261" s="8" t="n">
        <x:v>164</x:v>
      </x:c>
      <x:c r="T261" s="2"/>
      <x:c r="U261" s="2" t="str"/>
      <x:c r="V261" s="2" t="str">
        <x:v>2018-11-29</x:v>
      </x:c>
      <x:c r="W261" s="2" t="str">
        <x:v>담당기관 확인</x:v>
      </x:c>
      <x:c r="X261" s="2" t="str">
        <x:v>원본·배정 기록 확인</x:v>
      </x:c>
      <x:c r="Y261" s="2" t="str">
        <x:v>ad210cd9ec132cfd447541c8984dc53d30aff0f4fb2dc92d254d49275cc55976</x:v>
      </x:c>
      <x:c r="Z261" s="2" t="n">
        <x:f>SUBTOTAL(103,A261)</x:f>
        <x:v>1</x:v>
      </x:c>
      <x:c r="AA261" s="2" t="str">
        <x:f>IF(K261&lt;&gt;"미종결 표시","대상 아님",IF(N261="","신청일 확인",IF(NOT(ISNUMBER('종합 현황'!$H$5)),"관찰기준 확인",IF('종합 현황'!$H$5&lt;1,"관찰기준 확인",IF(N261&gt;'종합 현황'!$H$5,"내부 관찰 대상","내부 관찰일 이하")))))</x:f>
        <x:v>대상 아님</x:v>
      </x:c>
      <x:c r="AB261" s="2"/>
    </x:row>
    <x:row r="262" ht="42" customHeight="1">
      <x:c r="A262" s="2" t="str">
        <x:v>9ca3429742cd23cd4bd789ae</x:v>
      </x:c>
      <x:c r="B262" s="2" t="str">
        <x:v>사업 평가</x:v>
      </x:c>
      <x:c r="C262" s="2" t="str">
        <x:v>국내</x:v>
      </x:c>
      <x:c r="D262" s="7" t="str">
        <x:v>대성나염 스팀보일러 및 열매체보일러 연료교체(B-C유→LNG)를 통한 온실가스(CO2) 배출 감축사업</x:v>
      </x:c>
      <x:c r="E262" s="2" t="str">
        <x:v>123</x:v>
      </x:c>
      <x:c r="F262" s="2" t="str">
        <x:v>2017-12-14</x:v>
      </x:c>
      <x:c r="G262" s="2" t="str">
        <x:v>2017</x:v>
      </x:c>
      <x:c r="H262" s="2" t="str">
        <x:v>12</x:v>
      </x:c>
      <x:c r="I262" s="2" t="str">
        <x:v>승인</x:v>
      </x:c>
      <x:c r="J262" s="2" t="str">
        <x:v>심의승인</x:v>
      </x:c>
      <x:c r="K262" s="2" t="str">
        <x:f>IF(OR(J262="심의승인",J262="반려",J262="반려완료",J262="심의완료"),"종결 표시",IF(OR(J262="기후부협의",J262="문서재제출요청",J262="보류",J262="보완요청",J262="보완완료",J262="평가중",J262="반려요청",J262="평가필요",LEFT(J262,5)="보완요청("),"미종결 표시","상태 확인 필요"))</x:f>
        <x:v>종결 표시</x:v>
      </x:c>
      <x:c r="L262" s="2"/>
      <x:c r="M262" s="2"/>
      <x:c r="N262" s="8" t="n">
        <x:f>DATE(2026,10,15)-DATE(2017,12,14)</x:f>
        <x:v>3227</x:v>
      </x:c>
      <x:c r="O262" s="2"/>
      <x:c r="P262" s="2"/>
      <x:c r="Q262" s="2" t="str">
        <x:v>산업전환_외부사업관리Tool_260707_이너젠 수정_LJY_261013.xlsx</x:v>
      </x:c>
      <x:c r="R262" s="2" t="str">
        <x:v>국내평가</x:v>
      </x:c>
      <x:c r="S262" s="8" t="n">
        <x:v>165</x:v>
      </x:c>
      <x:c r="T262" s="2"/>
      <x:c r="U262" s="2" t="str"/>
      <x:c r="V262" s="2" t="str">
        <x:v>2019-11-14</x:v>
      </x:c>
      <x:c r="W262" s="2" t="str">
        <x:v>담당기관 확인</x:v>
      </x:c>
      <x:c r="X262" s="2" t="str">
        <x:v>원본·배정 기록 확인</x:v>
      </x:c>
      <x:c r="Y262" s="2" t="str">
        <x:v>ad210cd9ec132cfd447541c8984dc53d30aff0f4fb2dc92d254d49275cc55976</x:v>
      </x:c>
      <x:c r="Z262" s="2" t="n">
        <x:f>SUBTOTAL(103,A262)</x:f>
        <x:v>1</x:v>
      </x:c>
      <x:c r="AA262" s="2" t="str">
        <x:f>IF(K262&lt;&gt;"미종결 표시","대상 아님",IF(N262="","신청일 확인",IF(NOT(ISNUMBER('종합 현황'!$H$5)),"관찰기준 확인",IF('종합 현황'!$H$5&lt;1,"관찰기준 확인",IF(N262&gt;'종합 현황'!$H$5,"내부 관찰 대상","내부 관찰일 이하")))))</x:f>
        <x:v>대상 아님</x:v>
      </x:c>
      <x:c r="AB262" s="2"/>
    </x:row>
    <x:row r="263" ht="42" customHeight="1">
      <x:c r="A263" s="2" t="str">
        <x:v>8410772369ad9dccc8194fa0</x:v>
      </x:c>
      <x:c r="B263" s="2" t="str">
        <x:v>사업 평가</x:v>
      </x:c>
      <x:c r="C263" s="2" t="str">
        <x:v>국내</x:v>
      </x:c>
      <x:c r="D263" s="7" t="str">
        <x:v>주식회사 동녘 아스콘 드라이어 버너 연료전환(B-C유, 정제유 → LPG)을 통한 온실가스(CO2) 감축사업</x:v>
      </x:c>
      <x:c r="E263" s="2" t="str">
        <x:v>124</x:v>
      </x:c>
      <x:c r="F263" s="2" t="str">
        <x:v>2017-12-14</x:v>
      </x:c>
      <x:c r="G263" s="2" t="str">
        <x:v>2017</x:v>
      </x:c>
      <x:c r="H263" s="2" t="str">
        <x:v>12</x:v>
      </x:c>
      <x:c r="I263" s="2" t="str">
        <x:v>승인</x:v>
      </x:c>
      <x:c r="J263" s="2" t="str">
        <x:v>심의승인</x:v>
      </x:c>
      <x:c r="K263" s="2" t="str">
        <x:f>IF(OR(J263="심의승인",J263="반려",J263="반려완료",J263="심의완료"),"종결 표시",IF(OR(J263="기후부협의",J263="문서재제출요청",J263="보류",J263="보완요청",J263="보완완료",J263="평가중",J263="반려요청",J263="평가필요",LEFT(J263,5)="보완요청("),"미종결 표시","상태 확인 필요"))</x:f>
        <x:v>종결 표시</x:v>
      </x:c>
      <x:c r="L263" s="2"/>
      <x:c r="M263" s="2"/>
      <x:c r="N263" s="8" t="n">
        <x:f>DATE(2026,10,15)-DATE(2017,12,14)</x:f>
        <x:v>3227</x:v>
      </x:c>
      <x:c r="O263" s="2"/>
      <x:c r="P263" s="2"/>
      <x:c r="Q263" s="2" t="str">
        <x:v>산업전환_외부사업관리Tool_260707_이너젠 수정_LJY_261013.xlsx</x:v>
      </x:c>
      <x:c r="R263" s="2" t="str">
        <x:v>국내평가</x:v>
      </x:c>
      <x:c r="S263" s="8" t="n">
        <x:v>166</x:v>
      </x:c>
      <x:c r="T263" s="2"/>
      <x:c r="U263" s="2" t="str"/>
      <x:c r="V263" s="2" t="str">
        <x:v>2018-11-29</x:v>
      </x:c>
      <x:c r="W263" s="2" t="str">
        <x:v>담당기관 확인</x:v>
      </x:c>
      <x:c r="X263" s="2" t="str">
        <x:v>원본·배정 기록 확인</x:v>
      </x:c>
      <x:c r="Y263" s="2" t="str">
        <x:v>ad210cd9ec132cfd447541c8984dc53d30aff0f4fb2dc92d254d49275cc55976</x:v>
      </x:c>
      <x:c r="Z263" s="2" t="n">
        <x:f>SUBTOTAL(103,A263)</x:f>
        <x:v>1</x:v>
      </x:c>
      <x:c r="AA263" s="2" t="str">
        <x:f>IF(K263&lt;&gt;"미종결 표시","대상 아님",IF(N263="","신청일 확인",IF(NOT(ISNUMBER('종합 현황'!$H$5)),"관찰기준 확인",IF('종합 현황'!$H$5&lt;1,"관찰기준 확인",IF(N263&gt;'종합 현황'!$H$5,"내부 관찰 대상","내부 관찰일 이하")))))</x:f>
        <x:v>대상 아님</x:v>
      </x:c>
      <x:c r="AB263" s="2"/>
    </x:row>
    <x:row r="264" ht="42" customHeight="1">
      <x:c r="A264" s="2" t="str">
        <x:v>cc259167ac594b13b6471c6c</x:v>
      </x:c>
      <x:c r="B264" s="2" t="str">
        <x:v>사업 평가</x:v>
      </x:c>
      <x:c r="C264" s="2" t="str">
        <x:v>국내</x:v>
      </x:c>
      <x:c r="D264" s="7" t="str">
        <x:v>강원도산업경제진흥원 태양광 발전설비 설치 및 자가 사용을 통한 온실가스 배출 감축사업</x:v>
      </x:c>
      <x:c r="E264" s="2" t="str">
        <x:v>125</x:v>
      </x:c>
      <x:c r="F264" s="2" t="str">
        <x:v>2017-12-14</x:v>
      </x:c>
      <x:c r="G264" s="2" t="str">
        <x:v>2017</x:v>
      </x:c>
      <x:c r="H264" s="2" t="str">
        <x:v>12</x:v>
      </x:c>
      <x:c r="I264" s="2" t="str">
        <x:v>반려</x:v>
      </x:c>
      <x:c r="J264" s="2" t="str">
        <x:v>반려</x:v>
      </x:c>
      <x:c r="K264" s="2" t="str">
        <x:f>IF(OR(J264="심의승인",J264="반려",J264="반려완료",J264="심의완료"),"종결 표시",IF(OR(J264="기후부협의",J264="문서재제출요청",J264="보류",J264="보완요청",J264="보완완료",J264="평가중",J264="반려요청",J264="평가필요",LEFT(J264,5)="보완요청("),"미종결 표시","상태 확인 필요"))</x:f>
        <x:v>종결 표시</x:v>
      </x:c>
      <x:c r="L264" s="2"/>
      <x:c r="M264" s="2"/>
      <x:c r="N264" s="8" t="n">
        <x:f>DATE(2026,10,15)-DATE(2017,12,14)</x:f>
        <x:v>3227</x:v>
      </x:c>
      <x:c r="O264" s="2"/>
      <x:c r="P264" s="2"/>
      <x:c r="Q264" s="2" t="str">
        <x:v>산업전환_외부사업관리Tool_260707_이너젠 수정_LJY_261013.xlsx</x:v>
      </x:c>
      <x:c r="R264" s="2" t="str">
        <x:v>국내평가</x:v>
      </x:c>
      <x:c r="S264" s="8" t="n">
        <x:v>167</x:v>
      </x:c>
      <x:c r="T264" s="2" t="str">
        <x:v>2021년 처리</x:v>
      </x:c>
      <x:c r="U264" s="2" t="str">
        <x:v>2021 배정: 2021년 처리</x:v>
      </x:c>
      <x:c r="V264" s="2" t="str">
        <x:v>2021-07-06</x:v>
      </x:c>
      <x:c r="W264" s="2" t="str">
        <x:v>담당기관 확인</x:v>
      </x:c>
      <x:c r="X264" s="2" t="str">
        <x:v>원본·배정 기록 확인</x:v>
      </x:c>
      <x:c r="Y264" s="2" t="str">
        <x:v>ad210cd9ec132cfd447541c8984dc53d30aff0f4fb2dc92d254d49275cc55976</x:v>
      </x:c>
      <x:c r="Z264" s="2" t="n">
        <x:f>SUBTOTAL(103,A264)</x:f>
        <x:v>1</x:v>
      </x:c>
      <x:c r="AA264" s="2" t="str">
        <x:f>IF(K264&lt;&gt;"미종결 표시","대상 아님",IF(N264="","신청일 확인",IF(NOT(ISNUMBER('종합 현황'!$H$5)),"관찰기준 확인",IF('종합 현황'!$H$5&lt;1,"관찰기준 확인",IF(N264&gt;'종합 현황'!$H$5,"내부 관찰 대상","내부 관찰일 이하")))))</x:f>
        <x:v>대상 아님</x:v>
      </x:c>
      <x:c r="AB264" s="2"/>
    </x:row>
    <x:row r="265" ht="42" customHeight="1">
      <x:c r="A265" s="2" t="str">
        <x:v>7a4face4f62b0ebe5da59ef4</x:v>
      </x:c>
      <x:c r="B265" s="2" t="str">
        <x:v>사업 평가</x:v>
      </x:c>
      <x:c r="C265" s="2" t="str">
        <x:v>국내</x:v>
      </x:c>
      <x:c r="D265" s="7" t="str">
        <x:v>강원테크노파크 태양광 발전설비 설치 및 자가 사용을 통한 온실가스 배출 감축사업</x:v>
      </x:c>
      <x:c r="E265" s="2" t="str">
        <x:v>126</x:v>
      </x:c>
      <x:c r="F265" s="2" t="str">
        <x:v>2017-12-14</x:v>
      </x:c>
      <x:c r="G265" s="2" t="str">
        <x:v>2017</x:v>
      </x:c>
      <x:c r="H265" s="2" t="str">
        <x:v>12</x:v>
      </x:c>
      <x:c r="I265" s="2" t="str">
        <x:v>반려</x:v>
      </x:c>
      <x:c r="J265" s="2" t="str">
        <x:v>반려</x:v>
      </x:c>
      <x:c r="K265" s="2" t="str">
        <x:f>IF(OR(J265="심의승인",J265="반려",J265="반려완료",J265="심의완료"),"종결 표시",IF(OR(J265="기후부협의",J265="문서재제출요청",J265="보류",J265="보완요청",J265="보완완료",J265="평가중",J265="반려요청",J265="평가필요",LEFT(J265,5)="보완요청("),"미종결 표시","상태 확인 필요"))</x:f>
        <x:v>종결 표시</x:v>
      </x:c>
      <x:c r="L265" s="2"/>
      <x:c r="M265" s="2"/>
      <x:c r="N265" s="8" t="n">
        <x:f>DATE(2026,10,15)-DATE(2017,12,14)</x:f>
        <x:v>3227</x:v>
      </x:c>
      <x:c r="O265" s="2"/>
      <x:c r="P265" s="2"/>
      <x:c r="Q265" s="2" t="str">
        <x:v>산업전환_외부사업관리Tool_260707_이너젠 수정_LJY_261013.xlsx</x:v>
      </x:c>
      <x:c r="R265" s="2" t="str">
        <x:v>국내평가</x:v>
      </x:c>
      <x:c r="S265" s="8" t="n">
        <x:v>168</x:v>
      </x:c>
      <x:c r="T265" s="2" t="str">
        <x:v>2021년 처리</x:v>
      </x:c>
      <x:c r="U265" s="2" t="str">
        <x:v>2021 배정: 2021년 처리</x:v>
      </x:c>
      <x:c r="V265" s="2" t="str">
        <x:v>2021-07-06</x:v>
      </x:c>
      <x:c r="W265" s="2" t="str">
        <x:v>담당기관 확인</x:v>
      </x:c>
      <x:c r="X265" s="2" t="str">
        <x:v>원본·배정 기록 확인</x:v>
      </x:c>
      <x:c r="Y265" s="2" t="str">
        <x:v>ad210cd9ec132cfd447541c8984dc53d30aff0f4fb2dc92d254d49275cc55976</x:v>
      </x:c>
      <x:c r="Z265" s="2" t="n">
        <x:f>SUBTOTAL(103,A265)</x:f>
        <x:v>1</x:v>
      </x:c>
      <x:c r="AA265" s="2" t="str">
        <x:f>IF(K265&lt;&gt;"미종결 표시","대상 아님",IF(N265="","신청일 확인",IF(NOT(ISNUMBER('종합 현황'!$H$5)),"관찰기준 확인",IF('종합 현황'!$H$5&lt;1,"관찰기준 확인",IF(N265&gt;'종합 현황'!$H$5,"내부 관찰 대상","내부 관찰일 이하")))))</x:f>
        <x:v>대상 아님</x:v>
      </x:c>
      <x:c r="AB265" s="2"/>
    </x:row>
    <x:row r="266" ht="42" customHeight="1">
      <x:c r="A266" s="2" t="str">
        <x:v>522904d892568ef3ddf71625</x:v>
      </x:c>
      <x:c r="B266" s="2" t="str">
        <x:v>사업 평가</x:v>
      </x:c>
      <x:c r="C266" s="2" t="str">
        <x:v>국내</x:v>
      </x:c>
      <x:c r="D266" s="7" t="str">
        <x:v>보원케미칼 열 회수설비 설치를 통한 온실가스감축사업</x:v>
      </x:c>
      <x:c r="E266" s="2" t="str">
        <x:v>127</x:v>
      </x:c>
      <x:c r="F266" s="2" t="str">
        <x:v>2017-12-14</x:v>
      </x:c>
      <x:c r="G266" s="2" t="str">
        <x:v>2017</x:v>
      </x:c>
      <x:c r="H266" s="2" t="str">
        <x:v>12</x:v>
      </x:c>
      <x:c r="I266" s="2" t="str">
        <x:v>승인</x:v>
      </x:c>
      <x:c r="J266" s="2" t="str">
        <x:v>심의승인</x:v>
      </x:c>
      <x:c r="K266" s="2" t="str">
        <x:f>IF(OR(J266="심의승인",J266="반려",J266="반려완료",J266="심의완료"),"종결 표시",IF(OR(J266="기후부협의",J266="문서재제출요청",J266="보류",J266="보완요청",J266="보완완료",J266="평가중",J266="반려요청",J266="평가필요",LEFT(J266,5)="보완요청("),"미종결 표시","상태 확인 필요"))</x:f>
        <x:v>종결 표시</x:v>
      </x:c>
      <x:c r="L266" s="2"/>
      <x:c r="M266" s="2"/>
      <x:c r="N266" s="8" t="n">
        <x:f>DATE(2026,10,15)-DATE(2017,12,14)</x:f>
        <x:v>3227</x:v>
      </x:c>
      <x:c r="O266" s="2"/>
      <x:c r="P266" s="2"/>
      <x:c r="Q266" s="2" t="str">
        <x:v>산업전환_외부사업관리Tool_260707_이너젠 수정_LJY_261013.xlsx</x:v>
      </x:c>
      <x:c r="R266" s="2" t="str">
        <x:v>국내평가</x:v>
      </x:c>
      <x:c r="S266" s="8" t="n">
        <x:v>169</x:v>
      </x:c>
      <x:c r="T266" s="2"/>
      <x:c r="U266" s="2" t="str"/>
      <x:c r="V266" s="2" t="str">
        <x:v>2019-02-13</x:v>
      </x:c>
      <x:c r="W266" s="2" t="str">
        <x:v>담당기관 확인</x:v>
      </x:c>
      <x:c r="X266" s="2" t="str">
        <x:v>원본·배정 기록 확인</x:v>
      </x:c>
      <x:c r="Y266" s="2" t="str">
        <x:v>ad210cd9ec132cfd447541c8984dc53d30aff0f4fb2dc92d254d49275cc55976</x:v>
      </x:c>
      <x:c r="Z266" s="2" t="n">
        <x:f>SUBTOTAL(103,A266)</x:f>
        <x:v>1</x:v>
      </x:c>
      <x:c r="AA266" s="2" t="str">
        <x:f>IF(K266&lt;&gt;"미종결 표시","대상 아님",IF(N266="","신청일 확인",IF(NOT(ISNUMBER('종합 현황'!$H$5)),"관찰기준 확인",IF('종합 현황'!$H$5&lt;1,"관찰기준 확인",IF(N266&gt;'종합 현황'!$H$5,"내부 관찰 대상","내부 관찰일 이하")))))</x:f>
        <x:v>대상 아님</x:v>
      </x:c>
      <x:c r="AB266" s="2"/>
    </x:row>
    <x:row r="267" ht="42" customHeight="1">
      <x:c r="A267" s="2" t="str">
        <x:v>2843e75a2da428f75171263f</x:v>
      </x:c>
      <x:c r="B267" s="2" t="str">
        <x:v>사업 평가</x:v>
      </x:c>
      <x:c r="C267" s="2" t="str">
        <x:v>국내</x:v>
      </x:c>
      <x:c r="D267" s="7" t="str">
        <x:v>보일러 연료전환(벙커C유 및 벙커A유-&gt; LNG)을 통한 온실가스(CO2) 배출 감축 사업</x:v>
      </x:c>
      <x:c r="E267" s="2" t="str">
        <x:v>128</x:v>
      </x:c>
      <x:c r="F267" s="2" t="str">
        <x:v>2017-12-14</x:v>
      </x:c>
      <x:c r="G267" s="2" t="str">
        <x:v>2017</x:v>
      </x:c>
      <x:c r="H267" s="2" t="str">
        <x:v>12</x:v>
      </x:c>
      <x:c r="I267" s="2" t="str">
        <x:v>승인</x:v>
      </x:c>
      <x:c r="J267" s="2" t="str">
        <x:v>심의승인</x:v>
      </x:c>
      <x:c r="K267" s="2" t="str">
        <x:f>IF(OR(J267="심의승인",J267="반려",J267="반려완료",J267="심의완료"),"종결 표시",IF(OR(J267="기후부협의",J267="문서재제출요청",J267="보류",J267="보완요청",J267="보완완료",J267="평가중",J267="반려요청",J267="평가필요",LEFT(J267,5)="보완요청("),"미종결 표시","상태 확인 필요"))</x:f>
        <x:v>종결 표시</x:v>
      </x:c>
      <x:c r="L267" s="2"/>
      <x:c r="M267" s="2"/>
      <x:c r="N267" s="8" t="n">
        <x:f>DATE(2026,10,15)-DATE(2017,12,14)</x:f>
        <x:v>3227</x:v>
      </x:c>
      <x:c r="O267" s="2"/>
      <x:c r="P267" s="2"/>
      <x:c r="Q267" s="2" t="str">
        <x:v>산업전환_외부사업관리Tool_260707_이너젠 수정_LJY_261013.xlsx</x:v>
      </x:c>
      <x:c r="R267" s="2" t="str">
        <x:v>국내평가</x:v>
      </x:c>
      <x:c r="S267" s="8" t="n">
        <x:v>170</x:v>
      </x:c>
      <x:c r="T267" s="2"/>
      <x:c r="U267" s="2" t="str"/>
      <x:c r="V267" s="2" t="str">
        <x:v>2018-11-29</x:v>
      </x:c>
      <x:c r="W267" s="2" t="str">
        <x:v>담당기관 확인</x:v>
      </x:c>
      <x:c r="X267" s="2" t="str">
        <x:v>원본·배정 기록 확인</x:v>
      </x:c>
      <x:c r="Y267" s="2" t="str">
        <x:v>ad210cd9ec132cfd447541c8984dc53d30aff0f4fb2dc92d254d49275cc55976</x:v>
      </x:c>
      <x:c r="Z267" s="2" t="n">
        <x:f>SUBTOTAL(103,A267)</x:f>
        <x:v>1</x:v>
      </x:c>
      <x:c r="AA267" s="2" t="str">
        <x:f>IF(K267&lt;&gt;"미종결 표시","대상 아님",IF(N267="","신청일 확인",IF(NOT(ISNUMBER('종합 현황'!$H$5)),"관찰기준 확인",IF('종합 현황'!$H$5&lt;1,"관찰기준 확인",IF(N267&gt;'종합 현황'!$H$5,"내부 관찰 대상","내부 관찰일 이하")))))</x:f>
        <x:v>대상 아님</x:v>
      </x:c>
      <x:c r="AB267" s="2"/>
    </x:row>
    <x:row r="268" ht="42" customHeight="1">
      <x:c r="A268" s="2" t="str">
        <x:v>083d01a8309e0a74edf6942c</x:v>
      </x:c>
      <x:c r="B268" s="2" t="str">
        <x:v>사업 평가</x:v>
      </x:c>
      <x:c r="C268" s="2" t="str">
        <x:v>국내</x:v>
      </x:c>
      <x:c r="D268" s="7" t="str">
        <x:v>샘표 영동사업장 목재펠릿 연료전환을 통한 온실가스 감축사업</x:v>
      </x:c>
      <x:c r="E268" s="2" t="str">
        <x:v>129</x:v>
      </x:c>
      <x:c r="F268" s="2" t="str">
        <x:v>2017-12-14</x:v>
      </x:c>
      <x:c r="G268" s="2" t="str">
        <x:v>2017</x:v>
      </x:c>
      <x:c r="H268" s="2" t="str">
        <x:v>12</x:v>
      </x:c>
      <x:c r="I268" s="2" t="str">
        <x:v>승인</x:v>
      </x:c>
      <x:c r="J268" s="2" t="str">
        <x:v>심의승인</x:v>
      </x:c>
      <x:c r="K268" s="2" t="str">
        <x:f>IF(OR(J268="심의승인",J268="반려",J268="반려완료",J268="심의완료"),"종결 표시",IF(OR(J268="기후부협의",J268="문서재제출요청",J268="보류",J268="보완요청",J268="보완완료",J268="평가중",J268="반려요청",J268="평가필요",LEFT(J268,5)="보완요청("),"미종결 표시","상태 확인 필요"))</x:f>
        <x:v>종결 표시</x:v>
      </x:c>
      <x:c r="L268" s="2"/>
      <x:c r="M268" s="2"/>
      <x:c r="N268" s="8" t="n">
        <x:f>DATE(2026,10,15)-DATE(2017,12,14)</x:f>
        <x:v>3227</x:v>
      </x:c>
      <x:c r="O268" s="2"/>
      <x:c r="P268" s="2"/>
      <x:c r="Q268" s="2" t="str">
        <x:v>산업전환_외부사업관리Tool_260707_이너젠 수정_LJY_261013.xlsx</x:v>
      </x:c>
      <x:c r="R268" s="2" t="str">
        <x:v>국내평가</x:v>
      </x:c>
      <x:c r="S268" s="8" t="n">
        <x:v>171</x:v>
      </x:c>
      <x:c r="T268" s="2"/>
      <x:c r="U268" s="2" t="str"/>
      <x:c r="V268" s="2" t="str">
        <x:v>2019-02-25</x:v>
      </x:c>
      <x:c r="W268" s="2" t="str">
        <x:v>담당기관 확인</x:v>
      </x:c>
      <x:c r="X268" s="2" t="str">
        <x:v>원본·배정 기록 확인</x:v>
      </x:c>
      <x:c r="Y268" s="2" t="str">
        <x:v>ad210cd9ec132cfd447541c8984dc53d30aff0f4fb2dc92d254d49275cc55976</x:v>
      </x:c>
      <x:c r="Z268" s="2" t="n">
        <x:f>SUBTOTAL(103,A268)</x:f>
        <x:v>1</x:v>
      </x:c>
      <x:c r="AA268" s="2" t="str">
        <x:f>IF(K268&lt;&gt;"미종결 표시","대상 아님",IF(N268="","신청일 확인",IF(NOT(ISNUMBER('종합 현황'!$H$5)),"관찰기준 확인",IF('종합 현황'!$H$5&lt;1,"관찰기준 확인",IF(N268&gt;'종합 현황'!$H$5,"내부 관찰 대상","내부 관찰일 이하")))))</x:f>
        <x:v>대상 아님</x:v>
      </x:c>
      <x:c r="AB268" s="2"/>
    </x:row>
    <x:row r="269" ht="42" customHeight="1">
      <x:c r="A269" s="2" t="str">
        <x:v>5ec877b94a59845a104a1b9d</x:v>
      </x:c>
      <x:c r="B269" s="2" t="str">
        <x:v>사업 평가</x:v>
      </x:c>
      <x:c r="C269" s="2" t="str">
        <x:v>국내</x:v>
      </x:c>
      <x:c r="D269" s="7" t="str">
        <x:v>원일식품 제1공장 스팀보일러 연료교체를 통한 온실가스(CO2) 배출 감축사업</x:v>
      </x:c>
      <x:c r="E269" s="2" t="str">
        <x:v>130</x:v>
      </x:c>
      <x:c r="F269" s="2" t="str">
        <x:v>2017-12-14</x:v>
      </x:c>
      <x:c r="G269" s="2" t="str">
        <x:v>2017</x:v>
      </x:c>
      <x:c r="H269" s="2" t="str">
        <x:v>12</x:v>
      </x:c>
      <x:c r="I269" s="2" t="str">
        <x:v>승인</x:v>
      </x:c>
      <x:c r="J269" s="2" t="str">
        <x:v>심의승인</x:v>
      </x:c>
      <x:c r="K269" s="2" t="str">
        <x:f>IF(OR(J269="심의승인",J269="반려",J269="반려완료",J269="심의완료"),"종결 표시",IF(OR(J269="기후부협의",J269="문서재제출요청",J269="보류",J269="보완요청",J269="보완완료",J269="평가중",J269="반려요청",J269="평가필요",LEFT(J269,5)="보완요청("),"미종결 표시","상태 확인 필요"))</x:f>
        <x:v>종결 표시</x:v>
      </x:c>
      <x:c r="L269" s="2"/>
      <x:c r="M269" s="2"/>
      <x:c r="N269" s="8" t="n">
        <x:f>DATE(2026,10,15)-DATE(2017,12,14)</x:f>
        <x:v>3227</x:v>
      </x:c>
      <x:c r="O269" s="2"/>
      <x:c r="P269" s="2"/>
      <x:c r="Q269" s="2" t="str">
        <x:v>산업전환_외부사업관리Tool_260707_이너젠 수정_LJY_261013.xlsx</x:v>
      </x:c>
      <x:c r="R269" s="2" t="str">
        <x:v>국내평가</x:v>
      </x:c>
      <x:c r="S269" s="8" t="n">
        <x:v>172</x:v>
      </x:c>
      <x:c r="T269" s="2"/>
      <x:c r="U269" s="2" t="str"/>
      <x:c r="V269" s="2" t="str">
        <x:v>2018-11-28</x:v>
      </x:c>
      <x:c r="W269" s="2" t="str">
        <x:v>담당기관 확인</x:v>
      </x:c>
      <x:c r="X269" s="2" t="str">
        <x:v>원본·배정 기록 확인</x:v>
      </x:c>
      <x:c r="Y269" s="2" t="str">
        <x:v>ad210cd9ec132cfd447541c8984dc53d30aff0f4fb2dc92d254d49275cc55976</x:v>
      </x:c>
      <x:c r="Z269" s="2" t="n">
        <x:f>SUBTOTAL(103,A269)</x:f>
        <x:v>1</x:v>
      </x:c>
      <x:c r="AA269" s="2" t="str">
        <x:f>IF(K269&lt;&gt;"미종결 표시","대상 아님",IF(N269="","신청일 확인",IF(NOT(ISNUMBER('종합 현황'!$H$5)),"관찰기준 확인",IF('종합 현황'!$H$5&lt;1,"관찰기준 확인",IF(N269&gt;'종합 현황'!$H$5,"내부 관찰 대상","내부 관찰일 이하")))))</x:f>
        <x:v>대상 아님</x:v>
      </x:c>
      <x:c r="AB269" s="2"/>
    </x:row>
    <x:row r="270" ht="42" customHeight="1">
      <x:c r="A270" s="2" t="str">
        <x:v>1b232ca65db265e55b670ee5</x:v>
      </x:c>
      <x:c r="B270" s="2" t="str">
        <x:v>사업 평가</x:v>
      </x:c>
      <x:c r="C270" s="2" t="str">
        <x:v>국내</x:v>
      </x:c>
      <x:c r="D270" s="7" t="str">
        <x:v>삼척시 맹방해수욕장 고효율 도로조명 설치 사업으로 인한 온실가스 배출 감축사업</x:v>
      </x:c>
      <x:c r="E270" s="2" t="str">
        <x:v>131</x:v>
      </x:c>
      <x:c r="F270" s="2" t="str">
        <x:v>2017-12-14</x:v>
      </x:c>
      <x:c r="G270" s="2" t="str">
        <x:v>2017</x:v>
      </x:c>
      <x:c r="H270" s="2" t="str">
        <x:v>12</x:v>
      </x:c>
      <x:c r="I270" s="2" t="str">
        <x:v>반려</x:v>
      </x:c>
      <x:c r="J270" s="2" t="str">
        <x:v>반려</x:v>
      </x:c>
      <x:c r="K270" s="2" t="str">
        <x:f>IF(OR(J270="심의승인",J270="반려",J270="반려완료",J270="심의완료"),"종결 표시",IF(OR(J270="기후부협의",J270="문서재제출요청",J270="보류",J270="보완요청",J270="보완완료",J270="평가중",J270="반려요청",J270="평가필요",LEFT(J270,5)="보완요청("),"미종결 표시","상태 확인 필요"))</x:f>
        <x:v>종결 표시</x:v>
      </x:c>
      <x:c r="L270" s="2"/>
      <x:c r="M270" s="2"/>
      <x:c r="N270" s="8" t="n">
        <x:f>DATE(2026,10,15)-DATE(2017,12,14)</x:f>
        <x:v>3227</x:v>
      </x:c>
      <x:c r="O270" s="2"/>
      <x:c r="P270" s="2"/>
      <x:c r="Q270" s="2" t="str">
        <x:v>산업전환_외부사업관리Tool_260707_이너젠 수정_LJY_261013.xlsx</x:v>
      </x:c>
      <x:c r="R270" s="2" t="str">
        <x:v>국내평가</x:v>
      </x:c>
      <x:c r="S270" s="8" t="n">
        <x:v>173</x:v>
      </x:c>
      <x:c r="T270" s="2" t="str">
        <x:v>2021년 처리</x:v>
      </x:c>
      <x:c r="U270" s="2" t="str">
        <x:v>2021 배정: 2021년 처리</x:v>
      </x:c>
      <x:c r="V270" s="2" t="str">
        <x:v>2021-06-24</x:v>
      </x:c>
      <x:c r="W270" s="2" t="str">
        <x:v>담당기관 확인</x:v>
      </x:c>
      <x:c r="X270" s="2" t="str">
        <x:v>원본·배정 기록 확인</x:v>
      </x:c>
      <x:c r="Y270" s="2" t="str">
        <x:v>ad210cd9ec132cfd447541c8984dc53d30aff0f4fb2dc92d254d49275cc55976</x:v>
      </x:c>
      <x:c r="Z270" s="2" t="n">
        <x:f>SUBTOTAL(103,A270)</x:f>
        <x:v>1</x:v>
      </x:c>
      <x:c r="AA270" s="2" t="str">
        <x:f>IF(K270&lt;&gt;"미종결 표시","대상 아님",IF(N270="","신청일 확인",IF(NOT(ISNUMBER('종합 현황'!$H$5)),"관찰기준 확인",IF('종합 현황'!$H$5&lt;1,"관찰기준 확인",IF(N270&gt;'종합 현황'!$H$5,"내부 관찰 대상","내부 관찰일 이하")))))</x:f>
        <x:v>대상 아님</x:v>
      </x:c>
      <x:c r="AB270" s="2"/>
    </x:row>
    <x:row r="271" ht="42" customHeight="1">
      <x:c r="A271" s="2" t="str">
        <x:v>cf0b16c0ca32d006b23e29a9</x:v>
      </x:c>
      <x:c r="B271" s="2" t="str">
        <x:v>사업 평가</x:v>
      </x:c>
      <x:c r="C271" s="2" t="str">
        <x:v>국내</x:v>
      </x:c>
      <x:c r="D271" s="7" t="str">
        <x:v>(주)태창섬유 제1공장 폐열회수설비 설치를 통한 온실가스 감축 사업</x:v>
      </x:c>
      <x:c r="E271" s="2" t="str">
        <x:v>132</x:v>
      </x:c>
      <x:c r="F271" s="2" t="str">
        <x:v>2017-12-14</x:v>
      </x:c>
      <x:c r="G271" s="2" t="str">
        <x:v>2017</x:v>
      </x:c>
      <x:c r="H271" s="2" t="str">
        <x:v>12</x:v>
      </x:c>
      <x:c r="I271" s="2" t="str">
        <x:v>승인</x:v>
      </x:c>
      <x:c r="J271" s="2" t="str">
        <x:v>심의승인</x:v>
      </x:c>
      <x:c r="K271" s="2" t="str">
        <x:f>IF(OR(J271="심의승인",J271="반려",J271="반려완료",J271="심의완료"),"종결 표시",IF(OR(J271="기후부협의",J271="문서재제출요청",J271="보류",J271="보완요청",J271="보완완료",J271="평가중",J271="반려요청",J271="평가필요",LEFT(J271,5)="보완요청("),"미종결 표시","상태 확인 필요"))</x:f>
        <x:v>종결 표시</x:v>
      </x:c>
      <x:c r="L271" s="2"/>
      <x:c r="M271" s="2"/>
      <x:c r="N271" s="8" t="n">
        <x:f>DATE(2026,10,15)-DATE(2017,12,14)</x:f>
        <x:v>3227</x:v>
      </x:c>
      <x:c r="O271" s="2"/>
      <x:c r="P271" s="2"/>
      <x:c r="Q271" s="2" t="str">
        <x:v>산업전환_외부사업관리Tool_260707_이너젠 수정_LJY_261013.xlsx</x:v>
      </x:c>
      <x:c r="R271" s="2" t="str">
        <x:v>국내평가</x:v>
      </x:c>
      <x:c r="S271" s="8" t="n">
        <x:v>174</x:v>
      </x:c>
      <x:c r="T271" s="2"/>
      <x:c r="U271" s="2" t="str"/>
      <x:c r="V271" s="2" t="str">
        <x:v>2018-11-29</x:v>
      </x:c>
      <x:c r="W271" s="2" t="str">
        <x:v>담당기관 확인</x:v>
      </x:c>
      <x:c r="X271" s="2" t="str">
        <x:v>원본·배정 기록 확인</x:v>
      </x:c>
      <x:c r="Y271" s="2" t="str">
        <x:v>ad210cd9ec132cfd447541c8984dc53d30aff0f4fb2dc92d254d49275cc55976</x:v>
      </x:c>
      <x:c r="Z271" s="2" t="n">
        <x:f>SUBTOTAL(103,A271)</x:f>
        <x:v>1</x:v>
      </x:c>
      <x:c r="AA271" s="2" t="str">
        <x:f>IF(K271&lt;&gt;"미종결 표시","대상 아님",IF(N271="","신청일 확인",IF(NOT(ISNUMBER('종합 현황'!$H$5)),"관찰기준 확인",IF('종합 현황'!$H$5&lt;1,"관찰기준 확인",IF(N271&gt;'종합 현황'!$H$5,"내부 관찰 대상","내부 관찰일 이하")))))</x:f>
        <x:v>대상 아님</x:v>
      </x:c>
      <x:c r="AB271" s="2"/>
    </x:row>
    <x:row r="272" ht="42" customHeight="1">
      <x:c r="A272" s="2" t="str">
        <x:v>85bf6fd3a21b6735f6975038</x:v>
      </x:c>
      <x:c r="B272" s="2" t="str">
        <x:v>사업 평가</x:v>
      </x:c>
      <x:c r="C272" s="2" t="str">
        <x:v>국내</x:v>
      </x:c>
      <x:c r="D272" s="7" t="str">
        <x:v>㈜팔마 보일러 연료교체 KVER 사업</x:v>
      </x:c>
      <x:c r="E272" s="2" t="str">
        <x:v>133</x:v>
      </x:c>
      <x:c r="F272" s="2" t="str">
        <x:v>2017-12-14</x:v>
      </x:c>
      <x:c r="G272" s="2" t="str">
        <x:v>2017</x:v>
      </x:c>
      <x:c r="H272" s="2" t="str">
        <x:v>12</x:v>
      </x:c>
      <x:c r="I272" s="2" t="str">
        <x:v>승인</x:v>
      </x:c>
      <x:c r="J272" s="2" t="str">
        <x:v>심의승인</x:v>
      </x:c>
      <x:c r="K272" s="2" t="str">
        <x:f>IF(OR(J272="심의승인",J272="반려",J272="반려완료",J272="심의완료"),"종결 표시",IF(OR(J272="기후부협의",J272="문서재제출요청",J272="보류",J272="보완요청",J272="보완완료",J272="평가중",J272="반려요청",J272="평가필요",LEFT(J272,5)="보완요청("),"미종결 표시","상태 확인 필요"))</x:f>
        <x:v>종결 표시</x:v>
      </x:c>
      <x:c r="L272" s="2"/>
      <x:c r="M272" s="2"/>
      <x:c r="N272" s="8" t="n">
        <x:f>DATE(2026,10,15)-DATE(2017,12,14)</x:f>
        <x:v>3227</x:v>
      </x:c>
      <x:c r="O272" s="2"/>
      <x:c r="P272" s="2"/>
      <x:c r="Q272" s="2" t="str">
        <x:v>산업전환_외부사업관리Tool_260707_이너젠 수정_LJY_261013.xlsx</x:v>
      </x:c>
      <x:c r="R272" s="2" t="str">
        <x:v>국내평가</x:v>
      </x:c>
      <x:c r="S272" s="8" t="n">
        <x:v>175</x:v>
      </x:c>
      <x:c r="T272" s="2"/>
      <x:c r="U272" s="2" t="str"/>
      <x:c r="V272" s="2" t="str">
        <x:v>2019-02-25</x:v>
      </x:c>
      <x:c r="W272" s="2" t="str">
        <x:v>담당기관 확인</x:v>
      </x:c>
      <x:c r="X272" s="2" t="str">
        <x:v>원본·배정 기록 확인</x:v>
      </x:c>
      <x:c r="Y272" s="2" t="str">
        <x:v>ad210cd9ec132cfd447541c8984dc53d30aff0f4fb2dc92d254d49275cc55976</x:v>
      </x:c>
      <x:c r="Z272" s="2" t="n">
        <x:f>SUBTOTAL(103,A272)</x:f>
        <x:v>1</x:v>
      </x:c>
      <x:c r="AA272" s="2" t="str">
        <x:f>IF(K272&lt;&gt;"미종결 표시","대상 아님",IF(N272="","신청일 확인",IF(NOT(ISNUMBER('종합 현황'!$H$5)),"관찰기준 확인",IF('종합 현황'!$H$5&lt;1,"관찰기준 확인",IF(N272&gt;'종합 현황'!$H$5,"내부 관찰 대상","내부 관찰일 이하")))))</x:f>
        <x:v>대상 아님</x:v>
      </x:c>
      <x:c r="AB272" s="2"/>
    </x:row>
    <x:row r="273" ht="42" customHeight="1">
      <x:c r="A273" s="2" t="str">
        <x:v>1fdecd347560eee9e7b5bd0d</x:v>
      </x:c>
      <x:c r="B273" s="2" t="str">
        <x:v>사업 평가</x:v>
      </x:c>
      <x:c r="C273" s="2" t="str">
        <x:v>국내</x:v>
      </x:c>
      <x:c r="D273" s="7" t="str">
        <x:v>현대요업 소성로 연료교체(B-C유→LNG)를 통한 온실가스(CO2) 배출 감축사업</x:v>
      </x:c>
      <x:c r="E273" s="2" t="str">
        <x:v>134</x:v>
      </x:c>
      <x:c r="F273" s="2" t="str">
        <x:v>2017-12-14</x:v>
      </x:c>
      <x:c r="G273" s="2" t="str">
        <x:v>2017</x:v>
      </x:c>
      <x:c r="H273" s="2" t="str">
        <x:v>12</x:v>
      </x:c>
      <x:c r="I273" s="2" t="str">
        <x:v>승인</x:v>
      </x:c>
      <x:c r="J273" s="2" t="str">
        <x:v>심의승인</x:v>
      </x:c>
      <x:c r="K273" s="2" t="str">
        <x:f>IF(OR(J273="심의승인",J273="반려",J273="반려완료",J273="심의완료"),"종결 표시",IF(OR(J273="기후부협의",J273="문서재제출요청",J273="보류",J273="보완요청",J273="보완완료",J273="평가중",J273="반려요청",J273="평가필요",LEFT(J273,5)="보완요청("),"미종결 표시","상태 확인 필요"))</x:f>
        <x:v>종결 표시</x:v>
      </x:c>
      <x:c r="L273" s="2"/>
      <x:c r="M273" s="2"/>
      <x:c r="N273" s="8" t="n">
        <x:f>DATE(2026,10,15)-DATE(2017,12,14)</x:f>
        <x:v>3227</x:v>
      </x:c>
      <x:c r="O273" s="2"/>
      <x:c r="P273" s="2"/>
      <x:c r="Q273" s="2" t="str">
        <x:v>산업전환_외부사업관리Tool_260707_이너젠 수정_LJY_261013.xlsx</x:v>
      </x:c>
      <x:c r="R273" s="2" t="str">
        <x:v>국내평가</x:v>
      </x:c>
      <x:c r="S273" s="8" t="n">
        <x:v>176</x:v>
      </x:c>
      <x:c r="T273" s="2"/>
      <x:c r="U273" s="2" t="str"/>
      <x:c r="V273" s="2" t="str">
        <x:v>2019-02-21</x:v>
      </x:c>
      <x:c r="W273" s="2" t="str">
        <x:v>담당기관 확인</x:v>
      </x:c>
      <x:c r="X273" s="2" t="str">
        <x:v>원본·배정 기록 확인</x:v>
      </x:c>
      <x:c r="Y273" s="2" t="str">
        <x:v>ad210cd9ec132cfd447541c8984dc53d30aff0f4fb2dc92d254d49275cc55976</x:v>
      </x:c>
      <x:c r="Z273" s="2" t="n">
        <x:f>SUBTOTAL(103,A273)</x:f>
        <x:v>1</x:v>
      </x:c>
      <x:c r="AA273" s="2" t="str">
        <x:f>IF(K273&lt;&gt;"미종결 표시","대상 아님",IF(N273="","신청일 확인",IF(NOT(ISNUMBER('종합 현황'!$H$5)),"관찰기준 확인",IF('종합 현황'!$H$5&lt;1,"관찰기준 확인",IF(N273&gt;'종합 현황'!$H$5,"내부 관찰 대상","내부 관찰일 이하")))))</x:f>
        <x:v>대상 아님</x:v>
      </x:c>
      <x:c r="AB273" s="2"/>
    </x:row>
    <x:row r="274" ht="42" customHeight="1">
      <x:c r="A274" s="2" t="str">
        <x:v>092d12c74eeb63cd76c176e0</x:v>
      </x:c>
      <x:c r="B274" s="2" t="str">
        <x:v>사업 평가</x:v>
      </x:c>
      <x:c r="C274" s="2" t="str">
        <x:v>국내</x:v>
      </x:c>
      <x:c r="D274" s="7" t="str">
        <x:v>(주)경희 광주공장 사출기 일부교체(유압식→하이브리드)를 통한 온실가스(CO2) 감축사업</x:v>
      </x:c>
      <x:c r="E274" s="2" t="str">
        <x:v>135</x:v>
      </x:c>
      <x:c r="F274" s="2" t="str">
        <x:v>2017-12-14</x:v>
      </x:c>
      <x:c r="G274" s="2" t="str">
        <x:v>2017</x:v>
      </x:c>
      <x:c r="H274" s="2" t="str">
        <x:v>12</x:v>
      </x:c>
      <x:c r="I274" s="2" t="str">
        <x:v>승인</x:v>
      </x:c>
      <x:c r="J274" s="2" t="str">
        <x:v>심의승인</x:v>
      </x:c>
      <x:c r="K274" s="2" t="str">
        <x:f>IF(OR(J274="심의승인",J274="반려",J274="반려완료",J274="심의완료"),"종결 표시",IF(OR(J274="기후부협의",J274="문서재제출요청",J274="보류",J274="보완요청",J274="보완완료",J274="평가중",J274="반려요청",J274="평가필요",LEFT(J274,5)="보완요청("),"미종결 표시","상태 확인 필요"))</x:f>
        <x:v>종결 표시</x:v>
      </x:c>
      <x:c r="L274" s="2"/>
      <x:c r="M274" s="2"/>
      <x:c r="N274" s="8" t="n">
        <x:f>DATE(2026,10,15)-DATE(2017,12,14)</x:f>
        <x:v>3227</x:v>
      </x:c>
      <x:c r="O274" s="2"/>
      <x:c r="P274" s="2"/>
      <x:c r="Q274" s="2" t="str">
        <x:v>산업전환_외부사업관리Tool_260707_이너젠 수정_LJY_261013.xlsx</x:v>
      </x:c>
      <x:c r="R274" s="2" t="str">
        <x:v>국내평가</x:v>
      </x:c>
      <x:c r="S274" s="8" t="n">
        <x:v>177</x:v>
      </x:c>
      <x:c r="T274" s="2"/>
      <x:c r="U274" s="2" t="str"/>
      <x:c r="V274" s="2" t="str">
        <x:v>2018-11-29</x:v>
      </x:c>
      <x:c r="W274" s="2" t="str">
        <x:v>담당기관 확인</x:v>
      </x:c>
      <x:c r="X274" s="2" t="str">
        <x:v>원본·배정 기록 확인</x:v>
      </x:c>
      <x:c r="Y274" s="2" t="str">
        <x:v>ad210cd9ec132cfd447541c8984dc53d30aff0f4fb2dc92d254d49275cc55976</x:v>
      </x:c>
      <x:c r="Z274" s="2" t="n">
        <x:f>SUBTOTAL(103,A274)</x:f>
        <x:v>1</x:v>
      </x:c>
      <x:c r="AA274" s="2" t="str">
        <x:f>IF(K274&lt;&gt;"미종결 표시","대상 아님",IF(N274="","신청일 확인",IF(NOT(ISNUMBER('종합 현황'!$H$5)),"관찰기준 확인",IF('종합 현황'!$H$5&lt;1,"관찰기준 확인",IF(N274&gt;'종합 현황'!$H$5,"내부 관찰 대상","내부 관찰일 이하")))))</x:f>
        <x:v>대상 아님</x:v>
      </x:c>
      <x:c r="AB274" s="2"/>
    </x:row>
    <x:row r="275" ht="42" customHeight="1">
      <x:c r="A275" s="2" t="str">
        <x:v>0eebf1cf08fc35b6552a1f39</x:v>
      </x:c>
      <x:c r="B275" s="2" t="str">
        <x:v>사업 평가</x:v>
      </x:c>
      <x:c r="C275" s="2" t="str">
        <x:v>국내</x:v>
      </x:c>
      <x:c r="D275" s="7" t="str">
        <x:v>국일화학 사출기 일부 개조(유압식-&amp;gt하이브리드)를 통한 설비 성능 개선에 따른 온실가스 감축사업</x:v>
      </x:c>
      <x:c r="E275" s="2" t="str">
        <x:v>136</x:v>
      </x:c>
      <x:c r="F275" s="2" t="str">
        <x:v>2017-12-14</x:v>
      </x:c>
      <x:c r="G275" s="2" t="str">
        <x:v>2017</x:v>
      </x:c>
      <x:c r="H275" s="2" t="str">
        <x:v>12</x:v>
      </x:c>
      <x:c r="I275" s="2" t="str">
        <x:v>승인</x:v>
      </x:c>
      <x:c r="J275" s="2" t="str">
        <x:v>심의승인</x:v>
      </x:c>
      <x:c r="K275" s="2" t="str">
        <x:f>IF(OR(J275="심의승인",J275="반려",J275="반려완료",J275="심의완료"),"종결 표시",IF(OR(J275="기후부협의",J275="문서재제출요청",J275="보류",J275="보완요청",J275="보완완료",J275="평가중",J275="반려요청",J275="평가필요",LEFT(J275,5)="보완요청("),"미종결 표시","상태 확인 필요"))</x:f>
        <x:v>종결 표시</x:v>
      </x:c>
      <x:c r="L275" s="2"/>
      <x:c r="M275" s="2"/>
      <x:c r="N275" s="8" t="n">
        <x:f>DATE(2026,10,15)-DATE(2017,12,14)</x:f>
        <x:v>3227</x:v>
      </x:c>
      <x:c r="O275" s="2"/>
      <x:c r="P275" s="2"/>
      <x:c r="Q275" s="2" t="str">
        <x:v>산업전환_외부사업관리Tool_260707_이너젠 수정_LJY_261013.xlsx</x:v>
      </x:c>
      <x:c r="R275" s="2" t="str">
        <x:v>국내평가</x:v>
      </x:c>
      <x:c r="S275" s="8" t="n">
        <x:v>178</x:v>
      </x:c>
      <x:c r="T275" s="2"/>
      <x:c r="U275" s="2" t="str"/>
      <x:c r="V275" s="2" t="str">
        <x:v>2018-11-29</x:v>
      </x:c>
      <x:c r="W275" s="2" t="str">
        <x:v>담당기관 확인</x:v>
      </x:c>
      <x:c r="X275" s="2" t="str">
        <x:v>원본·배정 기록 확인</x:v>
      </x:c>
      <x:c r="Y275" s="2" t="str">
        <x:v>ad210cd9ec132cfd447541c8984dc53d30aff0f4fb2dc92d254d49275cc55976</x:v>
      </x:c>
      <x:c r="Z275" s="2" t="n">
        <x:f>SUBTOTAL(103,A275)</x:f>
        <x:v>1</x:v>
      </x:c>
      <x:c r="AA275" s="2" t="str">
        <x:f>IF(K275&lt;&gt;"미종결 표시","대상 아님",IF(N275="","신청일 확인",IF(NOT(ISNUMBER('종합 현황'!$H$5)),"관찰기준 확인",IF('종합 현황'!$H$5&lt;1,"관찰기준 확인",IF(N275&gt;'종합 현황'!$H$5,"내부 관찰 대상","내부 관찰일 이하")))))</x:f>
        <x:v>대상 아님</x:v>
      </x:c>
      <x:c r="AB275" s="2"/>
    </x:row>
    <x:row r="276" ht="42" customHeight="1">
      <x:c r="A276" s="2" t="str">
        <x:v>a6c8b3e108a7a7af8727d336</x:v>
      </x:c>
      <x:c r="B276" s="2" t="str">
        <x:v>사업 평가</x:v>
      </x:c>
      <x:c r="C276" s="2" t="str">
        <x:v>국내</x:v>
      </x:c>
      <x:c r="D276" s="7" t="str">
        <x:v>금산공영(합) 아스콘 드라이어 버너 연료전환(B-C유 → LPG)을 통한 온실가스(CO2) 감축사업</x:v>
      </x:c>
      <x:c r="E276" s="2" t="str">
        <x:v>137</x:v>
      </x:c>
      <x:c r="F276" s="2" t="str">
        <x:v>2017-12-14</x:v>
      </x:c>
      <x:c r="G276" s="2" t="str">
        <x:v>2017</x:v>
      </x:c>
      <x:c r="H276" s="2" t="str">
        <x:v>12</x:v>
      </x:c>
      <x:c r="I276" s="2" t="str">
        <x:v>승인</x:v>
      </x:c>
      <x:c r="J276" s="2" t="str">
        <x:v>심의승인</x:v>
      </x:c>
      <x:c r="K276" s="2" t="str">
        <x:f>IF(OR(J276="심의승인",J276="반려",J276="반려완료",J276="심의완료"),"종결 표시",IF(OR(J276="기후부협의",J276="문서재제출요청",J276="보류",J276="보완요청",J276="보완완료",J276="평가중",J276="반려요청",J276="평가필요",LEFT(J276,5)="보완요청("),"미종결 표시","상태 확인 필요"))</x:f>
        <x:v>종결 표시</x:v>
      </x:c>
      <x:c r="L276" s="2"/>
      <x:c r="M276" s="2"/>
      <x:c r="N276" s="8" t="n">
        <x:f>DATE(2026,10,15)-DATE(2017,12,14)</x:f>
        <x:v>3227</x:v>
      </x:c>
      <x:c r="O276" s="2"/>
      <x:c r="P276" s="2"/>
      <x:c r="Q276" s="2" t="str">
        <x:v>산업전환_외부사업관리Tool_260707_이너젠 수정_LJY_261013.xlsx</x:v>
      </x:c>
      <x:c r="R276" s="2" t="str">
        <x:v>국내평가</x:v>
      </x:c>
      <x:c r="S276" s="8" t="n">
        <x:v>179</x:v>
      </x:c>
      <x:c r="T276" s="2"/>
      <x:c r="U276" s="2" t="str"/>
      <x:c r="V276" s="2" t="str">
        <x:v>2018-11-29</x:v>
      </x:c>
      <x:c r="W276" s="2" t="str">
        <x:v>담당기관 확인</x:v>
      </x:c>
      <x:c r="X276" s="2" t="str">
        <x:v>원본·배정 기록 확인</x:v>
      </x:c>
      <x:c r="Y276" s="2" t="str">
        <x:v>ad210cd9ec132cfd447541c8984dc53d30aff0f4fb2dc92d254d49275cc55976</x:v>
      </x:c>
      <x:c r="Z276" s="2" t="n">
        <x:f>SUBTOTAL(103,A276)</x:f>
        <x:v>1</x:v>
      </x:c>
      <x:c r="AA276" s="2" t="str">
        <x:f>IF(K276&lt;&gt;"미종결 표시","대상 아님",IF(N276="","신청일 확인",IF(NOT(ISNUMBER('종합 현황'!$H$5)),"관찰기준 확인",IF('종합 현황'!$H$5&lt;1,"관찰기준 확인",IF(N276&gt;'종합 현황'!$H$5,"내부 관찰 대상","내부 관찰일 이하")))))</x:f>
        <x:v>대상 아님</x:v>
      </x:c>
      <x:c r="AB276" s="2"/>
    </x:row>
    <x:row r="277" ht="42" customHeight="1">
      <x:c r="A277" s="2" t="str">
        <x:v>e5cb436ebcee8fcbe39bcb79</x:v>
      </x:c>
      <x:c r="B277" s="2" t="str">
        <x:v>사업 평가</x:v>
      </x:c>
      <x:c r="C277" s="2" t="str">
        <x:v>국내</x:v>
      </x:c>
      <x:c r="D277" s="7" t="str">
        <x:v>(주)다린 제2공장 사출기 일부교체(유압식→절전형)를 통한 온실가스(CO2) 감축사업</x:v>
      </x:c>
      <x:c r="E277" s="2" t="str">
        <x:v>138</x:v>
      </x:c>
      <x:c r="F277" s="2" t="str">
        <x:v>2017-12-14</x:v>
      </x:c>
      <x:c r="G277" s="2" t="str">
        <x:v>2017</x:v>
      </x:c>
      <x:c r="H277" s="2" t="str">
        <x:v>12</x:v>
      </x:c>
      <x:c r="I277" s="2" t="str">
        <x:v>승인</x:v>
      </x:c>
      <x:c r="J277" s="2" t="str">
        <x:v>심의승인</x:v>
      </x:c>
      <x:c r="K277" s="2" t="str">
        <x:f>IF(OR(J277="심의승인",J277="반려",J277="반려완료",J277="심의완료"),"종결 표시",IF(OR(J277="기후부협의",J277="문서재제출요청",J277="보류",J277="보완요청",J277="보완완료",J277="평가중",J277="반려요청",J277="평가필요",LEFT(J277,5)="보완요청("),"미종결 표시","상태 확인 필요"))</x:f>
        <x:v>종결 표시</x:v>
      </x:c>
      <x:c r="L277" s="2"/>
      <x:c r="M277" s="2"/>
      <x:c r="N277" s="8" t="n">
        <x:f>DATE(2026,10,15)-DATE(2017,12,14)</x:f>
        <x:v>3227</x:v>
      </x:c>
      <x:c r="O277" s="2"/>
      <x:c r="P277" s="2"/>
      <x:c r="Q277" s="2" t="str">
        <x:v>산업전환_외부사업관리Tool_260707_이너젠 수정_LJY_261013.xlsx</x:v>
      </x:c>
      <x:c r="R277" s="2" t="str">
        <x:v>국내평가</x:v>
      </x:c>
      <x:c r="S277" s="8" t="n">
        <x:v>180</x:v>
      </x:c>
      <x:c r="T277" s="2"/>
      <x:c r="U277" s="2" t="str"/>
      <x:c r="V277" s="2" t="str">
        <x:v>2018-11-29</x:v>
      </x:c>
      <x:c r="W277" s="2" t="str">
        <x:v>담당기관 확인</x:v>
      </x:c>
      <x:c r="X277" s="2" t="str">
        <x:v>원본·배정 기록 확인</x:v>
      </x:c>
      <x:c r="Y277" s="2" t="str">
        <x:v>ad210cd9ec132cfd447541c8984dc53d30aff0f4fb2dc92d254d49275cc55976</x:v>
      </x:c>
      <x:c r="Z277" s="2" t="n">
        <x:f>SUBTOTAL(103,A277)</x:f>
        <x:v>1</x:v>
      </x:c>
      <x:c r="AA277" s="2" t="str">
        <x:f>IF(K277&lt;&gt;"미종결 표시","대상 아님",IF(N277="","신청일 확인",IF(NOT(ISNUMBER('종합 현황'!$H$5)),"관찰기준 확인",IF('종합 현황'!$H$5&lt;1,"관찰기준 확인",IF(N277&gt;'종합 현황'!$H$5,"내부 관찰 대상","내부 관찰일 이하")))))</x:f>
        <x:v>대상 아님</x:v>
      </x:c>
      <x:c r="AB277" s="2"/>
    </x:row>
    <x:row r="278" ht="42" customHeight="1">
      <x:c r="A278" s="2" t="str">
        <x:v>bf8901c1a7d7da2bf8224112</x:v>
      </x:c>
      <x:c r="B278" s="2" t="str">
        <x:v>사업 평가</x:v>
      </x:c>
      <x:c r="C278" s="2" t="str">
        <x:v>국내</x:v>
      </x:c>
      <x:c r="D278" s="7" t="str">
        <x:v>대성프라스틱(주) 사출기 일부교체 및 개조(유압식→하이브리드)를 통한 온실가스(CO2) 감축사업</x:v>
      </x:c>
      <x:c r="E278" s="2" t="str">
        <x:v>139</x:v>
      </x:c>
      <x:c r="F278" s="2" t="str">
        <x:v>2017-12-14</x:v>
      </x:c>
      <x:c r="G278" s="2" t="str">
        <x:v>2017</x:v>
      </x:c>
      <x:c r="H278" s="2" t="str">
        <x:v>12</x:v>
      </x:c>
      <x:c r="I278" s="2" t="str">
        <x:v>승인</x:v>
      </x:c>
      <x:c r="J278" s="2" t="str">
        <x:v>심의승인</x:v>
      </x:c>
      <x:c r="K278" s="2" t="str">
        <x:f>IF(OR(J278="심의승인",J278="반려",J278="반려완료",J278="심의완료"),"종결 표시",IF(OR(J278="기후부협의",J278="문서재제출요청",J278="보류",J278="보완요청",J278="보완완료",J278="평가중",J278="반려요청",J278="평가필요",LEFT(J278,5)="보완요청("),"미종결 표시","상태 확인 필요"))</x:f>
        <x:v>종결 표시</x:v>
      </x:c>
      <x:c r="L278" s="2"/>
      <x:c r="M278" s="2"/>
      <x:c r="N278" s="8" t="n">
        <x:f>DATE(2026,10,15)-DATE(2017,12,14)</x:f>
        <x:v>3227</x:v>
      </x:c>
      <x:c r="O278" s="2"/>
      <x:c r="P278" s="2"/>
      <x:c r="Q278" s="2" t="str">
        <x:v>산업전환_외부사업관리Tool_260707_이너젠 수정_LJY_261013.xlsx</x:v>
      </x:c>
      <x:c r="R278" s="2" t="str">
        <x:v>국내평가</x:v>
      </x:c>
      <x:c r="S278" s="8" t="n">
        <x:v>181</x:v>
      </x:c>
      <x:c r="T278" s="2"/>
      <x:c r="U278" s="2" t="str"/>
      <x:c r="V278" s="2" t="str">
        <x:v>2018-12-12</x:v>
      </x:c>
      <x:c r="W278" s="2" t="str">
        <x:v>담당기관 확인</x:v>
      </x:c>
      <x:c r="X278" s="2" t="str">
        <x:v>원본·배정 기록 확인</x:v>
      </x:c>
      <x:c r="Y278" s="2" t="str">
        <x:v>ad210cd9ec132cfd447541c8984dc53d30aff0f4fb2dc92d254d49275cc55976</x:v>
      </x:c>
      <x:c r="Z278" s="2" t="n">
        <x:f>SUBTOTAL(103,A278)</x:f>
        <x:v>1</x:v>
      </x:c>
      <x:c r="AA278" s="2" t="str">
        <x:f>IF(K278&lt;&gt;"미종결 표시","대상 아님",IF(N278="","신청일 확인",IF(NOT(ISNUMBER('종합 현황'!$H$5)),"관찰기준 확인",IF('종합 현황'!$H$5&lt;1,"관찰기준 확인",IF(N278&gt;'종합 현황'!$H$5,"내부 관찰 대상","내부 관찰일 이하")))))</x:f>
        <x:v>대상 아님</x:v>
      </x:c>
      <x:c r="AB278" s="2"/>
    </x:row>
    <x:row r="279" ht="42" customHeight="1">
      <x:c r="A279" s="2" t="str">
        <x:v>ca68440cf38ec34d68b6ce2c</x:v>
      </x:c>
      <x:c r="B279" s="2" t="str">
        <x:v>사업 평가</x:v>
      </x:c>
      <x:c r="C279" s="2" t="str">
        <x:v>국내</x:v>
      </x:c>
      <x:c r="D279" s="7" t="str">
        <x:v>속초시 목우재터널 고효율 도로조명 교체를 통한 온실가스 배출감축 사업</x:v>
      </x:c>
      <x:c r="E279" s="2" t="str">
        <x:v>140</x:v>
      </x:c>
      <x:c r="F279" s="2" t="str">
        <x:v>2017-12-14</x:v>
      </x:c>
      <x:c r="G279" s="2" t="str">
        <x:v>2017</x:v>
      </x:c>
      <x:c r="H279" s="2" t="str">
        <x:v>12</x:v>
      </x:c>
      <x:c r="I279" s="2" t="str">
        <x:v>반려</x:v>
      </x:c>
      <x:c r="J279" s="2" t="str">
        <x:v>반려</x:v>
      </x:c>
      <x:c r="K279" s="2" t="str">
        <x:f>IF(OR(J279="심의승인",J279="반려",J279="반려완료",J279="심의완료"),"종결 표시",IF(OR(J279="기후부협의",J279="문서재제출요청",J279="보류",J279="보완요청",J279="보완완료",J279="평가중",J279="반려요청",J279="평가필요",LEFT(J279,5)="보완요청("),"미종결 표시","상태 확인 필요"))</x:f>
        <x:v>종결 표시</x:v>
      </x:c>
      <x:c r="L279" s="2"/>
      <x:c r="M279" s="2"/>
      <x:c r="N279" s="8" t="n">
        <x:f>DATE(2026,10,15)-DATE(2017,12,14)</x:f>
        <x:v>3227</x:v>
      </x:c>
      <x:c r="O279" s="2"/>
      <x:c r="P279" s="2"/>
      <x:c r="Q279" s="2" t="str">
        <x:v>산업전환_외부사업관리Tool_260707_이너젠 수정_LJY_261013.xlsx</x:v>
      </x:c>
      <x:c r="R279" s="2" t="str">
        <x:v>국내평가</x:v>
      </x:c>
      <x:c r="S279" s="8" t="n">
        <x:v>182</x:v>
      </x:c>
      <x:c r="T279" s="2" t="str">
        <x:v>2021년 처리</x:v>
      </x:c>
      <x:c r="U279" s="2" t="str">
        <x:v>2021 배정: 2021년 처리</x:v>
      </x:c>
      <x:c r="V279" s="2" t="str">
        <x:v>2021-06-24</x:v>
      </x:c>
      <x:c r="W279" s="2" t="str">
        <x:v>담당기관 확인</x:v>
      </x:c>
      <x:c r="X279" s="2" t="str">
        <x:v>원본·배정 기록 확인</x:v>
      </x:c>
      <x:c r="Y279" s="2" t="str">
        <x:v>ad210cd9ec132cfd447541c8984dc53d30aff0f4fb2dc92d254d49275cc55976</x:v>
      </x:c>
      <x:c r="Z279" s="2" t="n">
        <x:f>SUBTOTAL(103,A279)</x:f>
        <x:v>1</x:v>
      </x:c>
      <x:c r="AA279" s="2" t="str">
        <x:f>IF(K279&lt;&gt;"미종결 표시","대상 아님",IF(N279="","신청일 확인",IF(NOT(ISNUMBER('종합 현황'!$H$5)),"관찰기준 확인",IF('종합 현황'!$H$5&lt;1,"관찰기준 확인",IF(N279&gt;'종합 현황'!$H$5,"내부 관찰 대상","내부 관찰일 이하")))))</x:f>
        <x:v>대상 아님</x:v>
      </x:c>
      <x:c r="AB279" s="2"/>
    </x:row>
    <x:row r="280" ht="42" customHeight="1">
      <x:c r="A280" s="2" t="str">
        <x:v>5717258e95c9acb7c42f71b8</x:v>
      </x:c>
      <x:c r="B280" s="2" t="str">
        <x:v>사업 평가</x:v>
      </x:c>
      <x:c r="C280" s="2" t="str">
        <x:v>국내</x:v>
      </x:c>
      <x:c r="D280" s="7" t="str">
        <x:v>(주)도원 아스콘 드라이어 버너 연료전환(B-C유 → LPG)을 통한 온실가스(CO2) 감축사업</x:v>
      </x:c>
      <x:c r="E280" s="2" t="str">
        <x:v>141</x:v>
      </x:c>
      <x:c r="F280" s="2" t="str">
        <x:v>2017-12-14</x:v>
      </x:c>
      <x:c r="G280" s="2" t="str">
        <x:v>2017</x:v>
      </x:c>
      <x:c r="H280" s="2" t="str">
        <x:v>12</x:v>
      </x:c>
      <x:c r="I280" s="2" t="str">
        <x:v>승인</x:v>
      </x:c>
      <x:c r="J280" s="2" t="str">
        <x:v>심의승인</x:v>
      </x:c>
      <x:c r="K280" s="2" t="str">
        <x:f>IF(OR(J280="심의승인",J280="반려",J280="반려완료",J280="심의완료"),"종결 표시",IF(OR(J280="기후부협의",J280="문서재제출요청",J280="보류",J280="보완요청",J280="보완완료",J280="평가중",J280="반려요청",J280="평가필요",LEFT(J280,5)="보완요청("),"미종결 표시","상태 확인 필요"))</x:f>
        <x:v>종결 표시</x:v>
      </x:c>
      <x:c r="L280" s="2"/>
      <x:c r="M280" s="2"/>
      <x:c r="N280" s="8" t="n">
        <x:f>DATE(2026,10,15)-DATE(2017,12,14)</x:f>
        <x:v>3227</x:v>
      </x:c>
      <x:c r="O280" s="2"/>
      <x:c r="P280" s="2"/>
      <x:c r="Q280" s="2" t="str">
        <x:v>산업전환_외부사업관리Tool_260707_이너젠 수정_LJY_261013.xlsx</x:v>
      </x:c>
      <x:c r="R280" s="2" t="str">
        <x:v>국내평가</x:v>
      </x:c>
      <x:c r="S280" s="8" t="n">
        <x:v>183</x:v>
      </x:c>
      <x:c r="T280" s="2"/>
      <x:c r="U280" s="2" t="str"/>
      <x:c r="V280" s="2" t="str">
        <x:v>2019-02-13</x:v>
      </x:c>
      <x:c r="W280" s="2" t="str">
        <x:v>담당기관 확인</x:v>
      </x:c>
      <x:c r="X280" s="2" t="str">
        <x:v>원본·배정 기록 확인</x:v>
      </x:c>
      <x:c r="Y280" s="2" t="str">
        <x:v>ad210cd9ec132cfd447541c8984dc53d30aff0f4fb2dc92d254d49275cc55976</x:v>
      </x:c>
      <x:c r="Z280" s="2" t="n">
        <x:f>SUBTOTAL(103,A280)</x:f>
        <x:v>1</x:v>
      </x:c>
      <x:c r="AA280" s="2" t="str">
        <x:f>IF(K280&lt;&gt;"미종결 표시","대상 아님",IF(N280="","신청일 확인",IF(NOT(ISNUMBER('종합 현황'!$H$5)),"관찰기준 확인",IF('종합 현황'!$H$5&lt;1,"관찰기준 확인",IF(N280&gt;'종합 현황'!$H$5,"내부 관찰 대상","내부 관찰일 이하")))))</x:f>
        <x:v>대상 아님</x:v>
      </x:c>
      <x:c r="AB280" s="2"/>
    </x:row>
    <x:row r="281" ht="42" customHeight="1">
      <x:c r="A281" s="2" t="str">
        <x:v>17166ba31e344b32b106182a</x:v>
      </x:c>
      <x:c r="B281" s="2" t="str">
        <x:v>사업 평가</x:v>
      </x:c>
      <x:c r="C281" s="2" t="str">
        <x:v>국내</x:v>
      </x:c>
      <x:c r="D281" s="7" t="str">
        <x:v>두리테크 성형사출기 일부 모터 교체을 통한 설비 성능 개선에 따른 온실가스 감축사업</x:v>
      </x:c>
      <x:c r="E281" s="2" t="str">
        <x:v>142</x:v>
      </x:c>
      <x:c r="F281" s="2" t="str">
        <x:v>2017-12-14</x:v>
      </x:c>
      <x:c r="G281" s="2" t="str">
        <x:v>2017</x:v>
      </x:c>
      <x:c r="H281" s="2" t="str">
        <x:v>12</x:v>
      </x:c>
      <x:c r="I281" s="2" t="str">
        <x:v>승인</x:v>
      </x:c>
      <x:c r="J281" s="2" t="str">
        <x:v>심의승인</x:v>
      </x:c>
      <x:c r="K281" s="2" t="str">
        <x:f>IF(OR(J281="심의승인",J281="반려",J281="반려완료",J281="심의완료"),"종결 표시",IF(OR(J281="기후부협의",J281="문서재제출요청",J281="보류",J281="보완요청",J281="보완완료",J281="평가중",J281="반려요청",J281="평가필요",LEFT(J281,5)="보완요청("),"미종결 표시","상태 확인 필요"))</x:f>
        <x:v>종결 표시</x:v>
      </x:c>
      <x:c r="L281" s="2"/>
      <x:c r="M281" s="2"/>
      <x:c r="N281" s="8" t="n">
        <x:f>DATE(2026,10,15)-DATE(2017,12,14)</x:f>
        <x:v>3227</x:v>
      </x:c>
      <x:c r="O281" s="2"/>
      <x:c r="P281" s="2"/>
      <x:c r="Q281" s="2" t="str">
        <x:v>산업전환_외부사업관리Tool_260707_이너젠 수정_LJY_261013.xlsx</x:v>
      </x:c>
      <x:c r="R281" s="2" t="str">
        <x:v>국내평가</x:v>
      </x:c>
      <x:c r="S281" s="8" t="n">
        <x:v>184</x:v>
      </x:c>
      <x:c r="T281" s="2"/>
      <x:c r="U281" s="2" t="str"/>
      <x:c r="V281" s="2" t="str">
        <x:v>2018-11-29</x:v>
      </x:c>
      <x:c r="W281" s="2" t="str">
        <x:v>담당기관 확인</x:v>
      </x:c>
      <x:c r="X281" s="2" t="str">
        <x:v>원본·배정 기록 확인</x:v>
      </x:c>
      <x:c r="Y281" s="2" t="str">
        <x:v>ad210cd9ec132cfd447541c8984dc53d30aff0f4fb2dc92d254d49275cc55976</x:v>
      </x:c>
      <x:c r="Z281" s="2" t="n">
        <x:f>SUBTOTAL(103,A281)</x:f>
        <x:v>1</x:v>
      </x:c>
      <x:c r="AA281" s="2" t="str">
        <x:f>IF(K281&lt;&gt;"미종결 표시","대상 아님",IF(N281="","신청일 확인",IF(NOT(ISNUMBER('종합 현황'!$H$5)),"관찰기준 확인",IF('종합 현황'!$H$5&lt;1,"관찰기준 확인",IF(N281&gt;'종합 현황'!$H$5,"내부 관찰 대상","내부 관찰일 이하")))))</x:f>
        <x:v>대상 아님</x:v>
      </x:c>
      <x:c r="AB281" s="2"/>
    </x:row>
    <x:row r="282" ht="42" customHeight="1">
      <x:c r="A282" s="2" t="str">
        <x:v>0fe100f4869efa8411ea1a51</x:v>
      </x:c>
      <x:c r="B282" s="2" t="str">
        <x:v>사업 평가</x:v>
      </x:c>
      <x:c r="C282" s="2" t="str">
        <x:v>국내</x:v>
      </x:c>
      <x:c r="D282" s="7" t="str">
        <x:v>사출기 일부 개조(유압식-&amp;gt하이브리드) 및 사출기 일부 교체(유압식-&amp;gt전동식)를 통한 온실가스 감축사업</x:v>
      </x:c>
      <x:c r="E282" s="2" t="str">
        <x:v>143</x:v>
      </x:c>
      <x:c r="F282" s="2" t="str">
        <x:v>2017-12-14</x:v>
      </x:c>
      <x:c r="G282" s="2" t="str">
        <x:v>2017</x:v>
      </x:c>
      <x:c r="H282" s="2" t="str">
        <x:v>12</x:v>
      </x:c>
      <x:c r="I282" s="2" t="str">
        <x:v>승인</x:v>
      </x:c>
      <x:c r="J282" s="2" t="str">
        <x:v>심의승인</x:v>
      </x:c>
      <x:c r="K282" s="2" t="str">
        <x:f>IF(OR(J282="심의승인",J282="반려",J282="반려완료",J282="심의완료"),"종결 표시",IF(OR(J282="기후부협의",J282="문서재제출요청",J282="보류",J282="보완요청",J282="보완완료",J282="평가중",J282="반려요청",J282="평가필요",LEFT(J282,5)="보완요청("),"미종결 표시","상태 확인 필요"))</x:f>
        <x:v>종결 표시</x:v>
      </x:c>
      <x:c r="L282" s="2"/>
      <x:c r="M282" s="2"/>
      <x:c r="N282" s="8" t="n">
        <x:f>DATE(2026,10,15)-DATE(2017,12,14)</x:f>
        <x:v>3227</x:v>
      </x:c>
      <x:c r="O282" s="2"/>
      <x:c r="P282" s="2"/>
      <x:c r="Q282" s="2" t="str">
        <x:v>산업전환_외부사업관리Tool_260707_이너젠 수정_LJY_261013.xlsx</x:v>
      </x:c>
      <x:c r="R282" s="2" t="str">
        <x:v>국내평가</x:v>
      </x:c>
      <x:c r="S282" s="8" t="n">
        <x:v>185</x:v>
      </x:c>
      <x:c r="T282" s="2"/>
      <x:c r="U282" s="2" t="str"/>
      <x:c r="V282" s="2" t="str">
        <x:v>2019-11-16</x:v>
      </x:c>
      <x:c r="W282" s="2" t="str">
        <x:v>담당기관 확인</x:v>
      </x:c>
      <x:c r="X282" s="2" t="str">
        <x:v>원본·배정 기록 확인</x:v>
      </x:c>
      <x:c r="Y282" s="2" t="str">
        <x:v>ad210cd9ec132cfd447541c8984dc53d30aff0f4fb2dc92d254d49275cc55976</x:v>
      </x:c>
      <x:c r="Z282" s="2" t="n">
        <x:f>SUBTOTAL(103,A282)</x:f>
        <x:v>1</x:v>
      </x:c>
      <x:c r="AA282" s="2" t="str">
        <x:f>IF(K282&lt;&gt;"미종결 표시","대상 아님",IF(N282="","신청일 확인",IF(NOT(ISNUMBER('종합 현황'!$H$5)),"관찰기준 확인",IF('종합 현황'!$H$5&lt;1,"관찰기준 확인",IF(N282&gt;'종합 현황'!$H$5,"내부 관찰 대상","내부 관찰일 이하")))))</x:f>
        <x:v>대상 아님</x:v>
      </x:c>
      <x:c r="AB282" s="2"/>
    </x:row>
    <x:row r="283" ht="42" customHeight="1">
      <x:c r="A283" s="2" t="str">
        <x:v>11fa1f57e2b9f8e2faaeca14</x:v>
      </x:c>
      <x:c r="B283" s="2" t="str">
        <x:v>사업 평가</x:v>
      </x:c>
      <x:c r="C283" s="2" t="str">
        <x:v>국내</x:v>
      </x:c>
      <x:c r="D283" s="7" t="str">
        <x:v>(유)새한하이테크 광주공장 사출기 일부교체 및 개조(유압식→하이브리드)를 통한 온실가스(CO2) 감축사업</x:v>
      </x:c>
      <x:c r="E283" s="2" t="str">
        <x:v>144</x:v>
      </x:c>
      <x:c r="F283" s="2" t="str">
        <x:v>2017-12-14</x:v>
      </x:c>
      <x:c r="G283" s="2" t="str">
        <x:v>2017</x:v>
      </x:c>
      <x:c r="H283" s="2" t="str">
        <x:v>12</x:v>
      </x:c>
      <x:c r="I283" s="2" t="str">
        <x:v>승인</x:v>
      </x:c>
      <x:c r="J283" s="2" t="str">
        <x:v>심의승인</x:v>
      </x:c>
      <x:c r="K283" s="2" t="str">
        <x:f>IF(OR(J283="심의승인",J283="반려",J283="반려완료",J283="심의완료"),"종결 표시",IF(OR(J283="기후부협의",J283="문서재제출요청",J283="보류",J283="보완요청",J283="보완완료",J283="평가중",J283="반려요청",J283="평가필요",LEFT(J283,5)="보완요청("),"미종결 표시","상태 확인 필요"))</x:f>
        <x:v>종결 표시</x:v>
      </x:c>
      <x:c r="L283" s="2"/>
      <x:c r="M283" s="2"/>
      <x:c r="N283" s="8" t="n">
        <x:f>DATE(2026,10,15)-DATE(2017,12,14)</x:f>
        <x:v>3227</x:v>
      </x:c>
      <x:c r="O283" s="2"/>
      <x:c r="P283" s="2"/>
      <x:c r="Q283" s="2" t="str">
        <x:v>산업전환_외부사업관리Tool_260707_이너젠 수정_LJY_261013.xlsx</x:v>
      </x:c>
      <x:c r="R283" s="2" t="str">
        <x:v>국내평가</x:v>
      </x:c>
      <x:c r="S283" s="8" t="n">
        <x:v>186</x:v>
      </x:c>
      <x:c r="T283" s="2"/>
      <x:c r="U283" s="2" t="str"/>
      <x:c r="V283" s="2" t="str">
        <x:v>2018-11-29</x:v>
      </x:c>
      <x:c r="W283" s="2" t="str">
        <x:v>담당기관 확인</x:v>
      </x:c>
      <x:c r="X283" s="2" t="str">
        <x:v>원본·배정 기록 확인</x:v>
      </x:c>
      <x:c r="Y283" s="2" t="str">
        <x:v>ad210cd9ec132cfd447541c8984dc53d30aff0f4fb2dc92d254d49275cc55976</x:v>
      </x:c>
      <x:c r="Z283" s="2" t="n">
        <x:f>SUBTOTAL(103,A283)</x:f>
        <x:v>1</x:v>
      </x:c>
      <x:c r="AA283" s="2" t="str">
        <x:f>IF(K283&lt;&gt;"미종결 표시","대상 아님",IF(N283="","신청일 확인",IF(NOT(ISNUMBER('종합 현황'!$H$5)),"관찰기준 확인",IF('종합 현황'!$H$5&lt;1,"관찰기준 확인",IF(N283&gt;'종합 현황'!$H$5,"내부 관찰 대상","내부 관찰일 이하")))))</x:f>
        <x:v>대상 아님</x:v>
      </x:c>
      <x:c r="AB283" s="2"/>
    </x:row>
    <x:row r="284" ht="42" customHeight="1">
      <x:c r="A284" s="2" t="str">
        <x:v>93ecfe8e108df7d9d0871c1b</x:v>
      </x:c>
      <x:c r="B284" s="2" t="str">
        <x:v>사업 평가</x:v>
      </x:c>
      <x:c r="C284" s="2" t="str">
        <x:v>국내</x:v>
      </x:c>
      <x:c r="D284" s="7" t="str">
        <x:v>성은 음성공장 B-C유의 LNG로의 연료전환을 통한 온실가스 감축사업</x:v>
      </x:c>
      <x:c r="E284" s="2" t="str">
        <x:v>145</x:v>
      </x:c>
      <x:c r="F284" s="2" t="str">
        <x:v>2017-12-14</x:v>
      </x:c>
      <x:c r="G284" s="2" t="str">
        <x:v>2017</x:v>
      </x:c>
      <x:c r="H284" s="2" t="str">
        <x:v>12</x:v>
      </x:c>
      <x:c r="I284" s="2" t="str">
        <x:v>승인</x:v>
      </x:c>
      <x:c r="J284" s="2" t="str">
        <x:v>심의승인</x:v>
      </x:c>
      <x:c r="K284" s="2" t="str">
        <x:f>IF(OR(J284="심의승인",J284="반려",J284="반려완료",J284="심의완료"),"종결 표시",IF(OR(J284="기후부협의",J284="문서재제출요청",J284="보류",J284="보완요청",J284="보완완료",J284="평가중",J284="반려요청",J284="평가필요",LEFT(J284,5)="보완요청("),"미종결 표시","상태 확인 필요"))</x:f>
        <x:v>종결 표시</x:v>
      </x:c>
      <x:c r="L284" s="2"/>
      <x:c r="M284" s="2"/>
      <x:c r="N284" s="8" t="n">
        <x:f>DATE(2026,10,15)-DATE(2017,12,14)</x:f>
        <x:v>3227</x:v>
      </x:c>
      <x:c r="O284" s="2"/>
      <x:c r="P284" s="2"/>
      <x:c r="Q284" s="2" t="str">
        <x:v>산업전환_외부사업관리Tool_260707_이너젠 수정_LJY_261013.xlsx</x:v>
      </x:c>
      <x:c r="R284" s="2" t="str">
        <x:v>국내평가</x:v>
      </x:c>
      <x:c r="S284" s="8" t="n">
        <x:v>187</x:v>
      </x:c>
      <x:c r="T284" s="2"/>
      <x:c r="U284" s="2" t="str"/>
      <x:c r="V284" s="2" t="str">
        <x:v>2018-11-28</x:v>
      </x:c>
      <x:c r="W284" s="2" t="str">
        <x:v>담당기관 확인</x:v>
      </x:c>
      <x:c r="X284" s="2" t="str">
        <x:v>원본·배정 기록 확인</x:v>
      </x:c>
      <x:c r="Y284" s="2" t="str">
        <x:v>ad210cd9ec132cfd447541c8984dc53d30aff0f4fb2dc92d254d49275cc55976</x:v>
      </x:c>
      <x:c r="Z284" s="2" t="n">
        <x:f>SUBTOTAL(103,A284)</x:f>
        <x:v>1</x:v>
      </x:c>
      <x:c r="AA284" s="2" t="str">
        <x:f>IF(K284&lt;&gt;"미종결 표시","대상 아님",IF(N284="","신청일 확인",IF(NOT(ISNUMBER('종합 현황'!$H$5)),"관찰기준 확인",IF('종합 현황'!$H$5&lt;1,"관찰기준 확인",IF(N284&gt;'종합 현황'!$H$5,"내부 관찰 대상","내부 관찰일 이하")))))</x:f>
        <x:v>대상 아님</x:v>
      </x:c>
      <x:c r="AB284" s="2"/>
    </x:row>
    <x:row r="285" ht="42" customHeight="1">
      <x:c r="A285" s="2" t="str">
        <x:v>c9b50585a80bfc771b2b0136</x:v>
      </x:c>
      <x:c r="B285" s="2" t="str">
        <x:v>사업 평가</x:v>
      </x:c>
      <x:c r="C285" s="2" t="str">
        <x:v>국내</x:v>
      </x:c>
      <x:c r="D285" s="7" t="str">
        <x:v>신원화학 스팀보일러의 연료교체(B-C유→LNG)를 통한 온실가스(CO2) 배출 감축사업</x:v>
      </x:c>
      <x:c r="E285" s="2" t="str">
        <x:v>146</x:v>
      </x:c>
      <x:c r="F285" s="2" t="str">
        <x:v>2017-12-14</x:v>
      </x:c>
      <x:c r="G285" s="2" t="str">
        <x:v>2017</x:v>
      </x:c>
      <x:c r="H285" s="2" t="str">
        <x:v>12</x:v>
      </x:c>
      <x:c r="I285" s="2" t="str">
        <x:v>승인</x:v>
      </x:c>
      <x:c r="J285" s="2" t="str">
        <x:v>심의승인</x:v>
      </x:c>
      <x:c r="K285" s="2" t="str">
        <x:f>IF(OR(J285="심의승인",J285="반려",J285="반려완료",J285="심의완료"),"종결 표시",IF(OR(J285="기후부협의",J285="문서재제출요청",J285="보류",J285="보완요청",J285="보완완료",J285="평가중",J285="반려요청",J285="평가필요",LEFT(J285,5)="보완요청("),"미종결 표시","상태 확인 필요"))</x:f>
        <x:v>종결 표시</x:v>
      </x:c>
      <x:c r="L285" s="2"/>
      <x:c r="M285" s="2"/>
      <x:c r="N285" s="8" t="n">
        <x:f>DATE(2026,10,15)-DATE(2017,12,14)</x:f>
        <x:v>3227</x:v>
      </x:c>
      <x:c r="O285" s="2"/>
      <x:c r="P285" s="2"/>
      <x:c r="Q285" s="2" t="str">
        <x:v>산업전환_외부사업관리Tool_260707_이너젠 수정_LJY_261013.xlsx</x:v>
      </x:c>
      <x:c r="R285" s="2" t="str">
        <x:v>국내평가</x:v>
      </x:c>
      <x:c r="S285" s="8" t="n">
        <x:v>188</x:v>
      </x:c>
      <x:c r="T285" s="2"/>
      <x:c r="U285" s="2" t="str"/>
      <x:c r="V285" s="2" t="str">
        <x:v>2018-11-28</x:v>
      </x:c>
      <x:c r="W285" s="2" t="str">
        <x:v>담당기관 확인</x:v>
      </x:c>
      <x:c r="X285" s="2" t="str">
        <x:v>원본·배정 기록 확인</x:v>
      </x:c>
      <x:c r="Y285" s="2" t="str">
        <x:v>ad210cd9ec132cfd447541c8984dc53d30aff0f4fb2dc92d254d49275cc55976</x:v>
      </x:c>
      <x:c r="Z285" s="2" t="n">
        <x:f>SUBTOTAL(103,A285)</x:f>
        <x:v>1</x:v>
      </x:c>
      <x:c r="AA285" s="2" t="str">
        <x:f>IF(K285&lt;&gt;"미종결 표시","대상 아님",IF(N285="","신청일 확인",IF(NOT(ISNUMBER('종합 현황'!$H$5)),"관찰기준 확인",IF('종합 현황'!$H$5&lt;1,"관찰기준 확인",IF(N285&gt;'종합 현황'!$H$5,"내부 관찰 대상","내부 관찰일 이하")))))</x:f>
        <x:v>대상 아님</x:v>
      </x:c>
      <x:c r="AB285" s="2"/>
    </x:row>
    <x:row r="286" ht="42" customHeight="1">
      <x:c r="A286" s="2" t="str">
        <x:v>179f709447688eb6d4bc57df</x:v>
      </x:c>
      <x:c r="B286" s="2" t="str">
        <x:v>사업 평가</x:v>
      </x:c>
      <x:c r="C286" s="2" t="str">
        <x:v>국내</x:v>
      </x:c>
      <x:c r="D286" s="7" t="str">
        <x:v>(주)아성프라텍 화성공장 사출기 일부교체(유압식→하이브리드)를 통한 온실가스(CO2) 감축사업</x:v>
      </x:c>
      <x:c r="E286" s="2" t="str">
        <x:v>147</x:v>
      </x:c>
      <x:c r="F286" s="2" t="str">
        <x:v>2017-12-14</x:v>
      </x:c>
      <x:c r="G286" s="2" t="str">
        <x:v>2017</x:v>
      </x:c>
      <x:c r="H286" s="2" t="str">
        <x:v>12</x:v>
      </x:c>
      <x:c r="I286" s="2" t="str">
        <x:v>승인</x:v>
      </x:c>
      <x:c r="J286" s="2" t="str">
        <x:v>심의승인</x:v>
      </x:c>
      <x:c r="K286" s="2" t="str">
        <x:f>IF(OR(J286="심의승인",J286="반려",J286="반려완료",J286="심의완료"),"종결 표시",IF(OR(J286="기후부협의",J286="문서재제출요청",J286="보류",J286="보완요청",J286="보완완료",J286="평가중",J286="반려요청",J286="평가필요",LEFT(J286,5)="보완요청("),"미종결 표시","상태 확인 필요"))</x:f>
        <x:v>종결 표시</x:v>
      </x:c>
      <x:c r="L286" s="2"/>
      <x:c r="M286" s="2"/>
      <x:c r="N286" s="8" t="n">
        <x:f>DATE(2026,10,15)-DATE(2017,12,14)</x:f>
        <x:v>3227</x:v>
      </x:c>
      <x:c r="O286" s="2"/>
      <x:c r="P286" s="2"/>
      <x:c r="Q286" s="2" t="str">
        <x:v>산업전환_외부사업관리Tool_260707_이너젠 수정_LJY_261013.xlsx</x:v>
      </x:c>
      <x:c r="R286" s="2" t="str">
        <x:v>국내평가</x:v>
      </x:c>
      <x:c r="S286" s="8" t="n">
        <x:v>189</x:v>
      </x:c>
      <x:c r="T286" s="2"/>
      <x:c r="U286" s="2" t="str"/>
      <x:c r="V286" s="2" t="str">
        <x:v>2018-11-29</x:v>
      </x:c>
      <x:c r="W286" s="2" t="str">
        <x:v>담당기관 확인</x:v>
      </x:c>
      <x:c r="X286" s="2" t="str">
        <x:v>원본·배정 기록 확인</x:v>
      </x:c>
      <x:c r="Y286" s="2" t="str">
        <x:v>ad210cd9ec132cfd447541c8984dc53d30aff0f4fb2dc92d254d49275cc55976</x:v>
      </x:c>
      <x:c r="Z286" s="2" t="n">
        <x:f>SUBTOTAL(103,A286)</x:f>
        <x:v>1</x:v>
      </x:c>
      <x:c r="AA286" s="2" t="str">
        <x:f>IF(K286&lt;&gt;"미종결 표시","대상 아님",IF(N286="","신청일 확인",IF(NOT(ISNUMBER('종합 현황'!$H$5)),"관찰기준 확인",IF('종합 현황'!$H$5&lt;1,"관찰기준 확인",IF(N286&gt;'종합 현황'!$H$5,"내부 관찰 대상","내부 관찰일 이하")))))</x:f>
        <x:v>대상 아님</x:v>
      </x:c>
      <x:c r="AB286" s="2"/>
    </x:row>
    <x:row r="287" ht="42" customHeight="1">
      <x:c r="A287" s="2" t="str">
        <x:v>92a0a0e5a5c00d250a530c71</x:v>
      </x:c>
      <x:c r="B287" s="2" t="str">
        <x:v>사업 평가</x:v>
      </x:c>
      <x:c r="C287" s="2" t="str">
        <x:v>국내</x:v>
      </x:c>
      <x:c r="D287" s="7" t="str">
        <x:v>(주)일석 아스콘 드라이어 버너 연료전환(B-C유 → LPG)을 통한 온실가스(CO2) 감축사업</x:v>
      </x:c>
      <x:c r="E287" s="2" t="str">
        <x:v>148</x:v>
      </x:c>
      <x:c r="F287" s="2" t="str">
        <x:v>2017-12-14</x:v>
      </x:c>
      <x:c r="G287" s="2" t="str">
        <x:v>2017</x:v>
      </x:c>
      <x:c r="H287" s="2" t="str">
        <x:v>12</x:v>
      </x:c>
      <x:c r="I287" s="2" t="str">
        <x:v>승인</x:v>
      </x:c>
      <x:c r="J287" s="2" t="str">
        <x:v>심의승인</x:v>
      </x:c>
      <x:c r="K287" s="2" t="str">
        <x:f>IF(OR(J287="심의승인",J287="반려",J287="반려완료",J287="심의완료"),"종결 표시",IF(OR(J287="기후부협의",J287="문서재제출요청",J287="보류",J287="보완요청",J287="보완완료",J287="평가중",J287="반려요청",J287="평가필요",LEFT(J287,5)="보완요청("),"미종결 표시","상태 확인 필요"))</x:f>
        <x:v>종결 표시</x:v>
      </x:c>
      <x:c r="L287" s="2"/>
      <x:c r="M287" s="2"/>
      <x:c r="N287" s="8" t="n">
        <x:f>DATE(2026,10,15)-DATE(2017,12,14)</x:f>
        <x:v>3227</x:v>
      </x:c>
      <x:c r="O287" s="2"/>
      <x:c r="P287" s="2"/>
      <x:c r="Q287" s="2" t="str">
        <x:v>산업전환_외부사업관리Tool_260707_이너젠 수정_LJY_261013.xlsx</x:v>
      </x:c>
      <x:c r="R287" s="2" t="str">
        <x:v>국내평가</x:v>
      </x:c>
      <x:c r="S287" s="8" t="n">
        <x:v>190</x:v>
      </x:c>
      <x:c r="T287" s="2"/>
      <x:c r="U287" s="2" t="str"/>
      <x:c r="V287" s="2" t="str">
        <x:v>2018-11-29</x:v>
      </x:c>
      <x:c r="W287" s="2" t="str">
        <x:v>담당기관 확인</x:v>
      </x:c>
      <x:c r="X287" s="2" t="str">
        <x:v>원본·배정 기록 확인</x:v>
      </x:c>
      <x:c r="Y287" s="2" t="str">
        <x:v>ad210cd9ec132cfd447541c8984dc53d30aff0f4fb2dc92d254d49275cc55976</x:v>
      </x:c>
      <x:c r="Z287" s="2" t="n">
        <x:f>SUBTOTAL(103,A287)</x:f>
        <x:v>1</x:v>
      </x:c>
      <x:c r="AA287" s="2" t="str">
        <x:f>IF(K287&lt;&gt;"미종결 표시","대상 아님",IF(N287="","신청일 확인",IF(NOT(ISNUMBER('종합 현황'!$H$5)),"관찰기준 확인",IF('종합 현황'!$H$5&lt;1,"관찰기준 확인",IF(N287&gt;'종합 현황'!$H$5,"내부 관찰 대상","내부 관찰일 이하")))))</x:f>
        <x:v>대상 아님</x:v>
      </x:c>
      <x:c r="AB287" s="2"/>
    </x:row>
    <x:row r="288" ht="42" customHeight="1">
      <x:c r="A288" s="2" t="str">
        <x:v>445b8696450be04788ccfe38</x:v>
      </x:c>
      <x:c r="B288" s="2" t="str">
        <x:v>사업 평가</x:v>
      </x:c>
      <x:c r="C288" s="2" t="str">
        <x:v>국내</x:v>
      </x:c>
      <x:c r="D288" s="7" t="str">
        <x:v>일성정공 사출기 일부 개조(유압식-&amp;gt하이브리드)를 통한 설비 성능 개선에 따른 온실가스 감축사업</x:v>
      </x:c>
      <x:c r="E288" s="2" t="str">
        <x:v>149</x:v>
      </x:c>
      <x:c r="F288" s="2" t="str">
        <x:v>2017-12-14</x:v>
      </x:c>
      <x:c r="G288" s="2" t="str">
        <x:v>2017</x:v>
      </x:c>
      <x:c r="H288" s="2" t="str">
        <x:v>12</x:v>
      </x:c>
      <x:c r="I288" s="2" t="str">
        <x:v>승인</x:v>
      </x:c>
      <x:c r="J288" s="2" t="str">
        <x:v>심의승인</x:v>
      </x:c>
      <x:c r="K288" s="2" t="str">
        <x:f>IF(OR(J288="심의승인",J288="반려",J288="반려완료",J288="심의완료"),"종결 표시",IF(OR(J288="기후부협의",J288="문서재제출요청",J288="보류",J288="보완요청",J288="보완완료",J288="평가중",J288="반려요청",J288="평가필요",LEFT(J288,5)="보완요청("),"미종결 표시","상태 확인 필요"))</x:f>
        <x:v>종결 표시</x:v>
      </x:c>
      <x:c r="L288" s="2"/>
      <x:c r="M288" s="2"/>
      <x:c r="N288" s="8" t="n">
        <x:f>DATE(2026,10,15)-DATE(2017,12,14)</x:f>
        <x:v>3227</x:v>
      </x:c>
      <x:c r="O288" s="2"/>
      <x:c r="P288" s="2"/>
      <x:c r="Q288" s="2" t="str">
        <x:v>산업전환_외부사업관리Tool_260707_이너젠 수정_LJY_261013.xlsx</x:v>
      </x:c>
      <x:c r="R288" s="2" t="str">
        <x:v>국내평가</x:v>
      </x:c>
      <x:c r="S288" s="8" t="n">
        <x:v>191</x:v>
      </x:c>
      <x:c r="T288" s="2"/>
      <x:c r="U288" s="2" t="str"/>
      <x:c r="V288" s="2" t="str">
        <x:v>2019-11-18</x:v>
      </x:c>
      <x:c r="W288" s="2" t="str">
        <x:v>담당기관 확인</x:v>
      </x:c>
      <x:c r="X288" s="2" t="str">
        <x:v>원본·배정 기록 확인</x:v>
      </x:c>
      <x:c r="Y288" s="2" t="str">
        <x:v>ad210cd9ec132cfd447541c8984dc53d30aff0f4fb2dc92d254d49275cc55976</x:v>
      </x:c>
      <x:c r="Z288" s="2" t="n">
        <x:f>SUBTOTAL(103,A288)</x:f>
        <x:v>1</x:v>
      </x:c>
      <x:c r="AA288" s="2" t="str">
        <x:f>IF(K288&lt;&gt;"미종결 표시","대상 아님",IF(N288="","신청일 확인",IF(NOT(ISNUMBER('종합 현황'!$H$5)),"관찰기준 확인",IF('종합 현황'!$H$5&lt;1,"관찰기준 확인",IF(N288&gt;'종합 현황'!$H$5,"내부 관찰 대상","내부 관찰일 이하")))))</x:f>
        <x:v>대상 아님</x:v>
      </x:c>
      <x:c r="AB288" s="2"/>
    </x:row>
    <x:row r="289" ht="42" customHeight="1">
      <x:c r="A289" s="2" t="str">
        <x:v>37723059ba4f4e4bf9079d40</x:v>
      </x:c>
      <x:c r="B289" s="2" t="str">
        <x:v>사업 평가</x:v>
      </x:c>
      <x:c r="C289" s="2" t="str">
        <x:v>국내</x:v>
      </x:c>
      <x:c r="D289" s="7" t="str">
        <x:v>지금강(주) 제1공장 사출기 일부교체(유압식→하이브리드)를 통한 온실가스(CO2) 감축사업</x:v>
      </x:c>
      <x:c r="E289" s="2" t="str">
        <x:v>150</x:v>
      </x:c>
      <x:c r="F289" s="2" t="str">
        <x:v>2017-12-14</x:v>
      </x:c>
      <x:c r="G289" s="2" t="str">
        <x:v>2017</x:v>
      </x:c>
      <x:c r="H289" s="2" t="str">
        <x:v>12</x:v>
      </x:c>
      <x:c r="I289" s="2" t="str">
        <x:v>승인</x:v>
      </x:c>
      <x:c r="J289" s="2" t="str">
        <x:v>심의승인</x:v>
      </x:c>
      <x:c r="K289" s="2" t="str">
        <x:f>IF(OR(J289="심의승인",J289="반려",J289="반려완료",J289="심의완료"),"종결 표시",IF(OR(J289="기후부협의",J289="문서재제출요청",J289="보류",J289="보완요청",J289="보완완료",J289="평가중",J289="반려요청",J289="평가필요",LEFT(J289,5)="보완요청("),"미종결 표시","상태 확인 필요"))</x:f>
        <x:v>종결 표시</x:v>
      </x:c>
      <x:c r="L289" s="2"/>
      <x:c r="M289" s="2"/>
      <x:c r="N289" s="8" t="n">
        <x:f>DATE(2026,10,15)-DATE(2017,12,14)</x:f>
        <x:v>3227</x:v>
      </x:c>
      <x:c r="O289" s="2"/>
      <x:c r="P289" s="2"/>
      <x:c r="Q289" s="2" t="str">
        <x:v>산업전환_외부사업관리Tool_260707_이너젠 수정_LJY_261013.xlsx</x:v>
      </x:c>
      <x:c r="R289" s="2" t="str">
        <x:v>국내평가</x:v>
      </x:c>
      <x:c r="S289" s="8" t="n">
        <x:v>192</x:v>
      </x:c>
      <x:c r="T289" s="2"/>
      <x:c r="U289" s="2" t="str"/>
      <x:c r="V289" s="2" t="str">
        <x:v>2018-11-29</x:v>
      </x:c>
      <x:c r="W289" s="2" t="str">
        <x:v>담당기관 확인</x:v>
      </x:c>
      <x:c r="X289" s="2" t="str">
        <x:v>원본·배정 기록 확인</x:v>
      </x:c>
      <x:c r="Y289" s="2" t="str">
        <x:v>ad210cd9ec132cfd447541c8984dc53d30aff0f4fb2dc92d254d49275cc55976</x:v>
      </x:c>
      <x:c r="Z289" s="2" t="n">
        <x:f>SUBTOTAL(103,A289)</x:f>
        <x:v>1</x:v>
      </x:c>
      <x:c r="AA289" s="2" t="str">
        <x:f>IF(K289&lt;&gt;"미종결 표시","대상 아님",IF(N289="","신청일 확인",IF(NOT(ISNUMBER('종합 현황'!$H$5)),"관찰기준 확인",IF('종합 현황'!$H$5&lt;1,"관찰기준 확인",IF(N289&gt;'종합 현황'!$H$5,"내부 관찰 대상","내부 관찰일 이하")))))</x:f>
        <x:v>대상 아님</x:v>
      </x:c>
      <x:c r="AB289" s="2"/>
    </x:row>
    <x:row r="290" ht="42" customHeight="1">
      <x:c r="A290" s="2" t="str">
        <x:v>acf0ca2fab1f191734c33ccf</x:v>
      </x:c>
      <x:c r="B290" s="2" t="str">
        <x:v>사업 평가</x:v>
      </x:c>
      <x:c r="C290" s="2" t="str">
        <x:v>국내</x:v>
      </x:c>
      <x:c r="D290" s="7" t="str">
        <x:v>(주)​ 청우식품 보일러 연료전환(B-C유 &gt;목재펠릿)을  통한 온실가스(CO2)배출 감축사업</x:v>
      </x:c>
      <x:c r="E290" s="2" t="str">
        <x:v>151</x:v>
      </x:c>
      <x:c r="F290" s="2" t="str">
        <x:v>2017-12-14</x:v>
      </x:c>
      <x:c r="G290" s="2" t="str">
        <x:v>2017</x:v>
      </x:c>
      <x:c r="H290" s="2" t="str">
        <x:v>12</x:v>
      </x:c>
      <x:c r="I290" s="2" t="str">
        <x:v>승인</x:v>
      </x:c>
      <x:c r="J290" s="2" t="str">
        <x:v>심의승인</x:v>
      </x:c>
      <x:c r="K290" s="2" t="str">
        <x:f>IF(OR(J290="심의승인",J290="반려",J290="반려완료",J290="심의완료"),"종결 표시",IF(OR(J290="기후부협의",J290="문서재제출요청",J290="보류",J290="보완요청",J290="보완완료",J290="평가중",J290="반려요청",J290="평가필요",LEFT(J290,5)="보완요청("),"미종결 표시","상태 확인 필요"))</x:f>
        <x:v>종결 표시</x:v>
      </x:c>
      <x:c r="L290" s="2"/>
      <x:c r="M290" s="2"/>
      <x:c r="N290" s="8" t="n">
        <x:f>DATE(2026,10,15)-DATE(2017,12,14)</x:f>
        <x:v>3227</x:v>
      </x:c>
      <x:c r="O290" s="2"/>
      <x:c r="P290" s="2"/>
      <x:c r="Q290" s="2" t="str">
        <x:v>산업전환_외부사업관리Tool_260707_이너젠 수정_LJY_261013.xlsx</x:v>
      </x:c>
      <x:c r="R290" s="2" t="str">
        <x:v>국내평가</x:v>
      </x:c>
      <x:c r="S290" s="8" t="n">
        <x:v>193</x:v>
      </x:c>
      <x:c r="T290" s="2"/>
      <x:c r="U290" s="2" t="str"/>
      <x:c r="V290" s="2" t="str">
        <x:v>2020-01-06</x:v>
      </x:c>
      <x:c r="W290" s="2" t="str">
        <x:v>담당기관 확인</x:v>
      </x:c>
      <x:c r="X290" s="2" t="str">
        <x:v>원본·배정 기록 확인</x:v>
      </x:c>
      <x:c r="Y290" s="2" t="str">
        <x:v>ad210cd9ec132cfd447541c8984dc53d30aff0f4fb2dc92d254d49275cc55976</x:v>
      </x:c>
      <x:c r="Z290" s="2" t="n">
        <x:f>SUBTOTAL(103,A290)</x:f>
        <x:v>1</x:v>
      </x:c>
      <x:c r="AA290" s="2" t="str">
        <x:f>IF(K290&lt;&gt;"미종결 표시","대상 아님",IF(N290="","신청일 확인",IF(NOT(ISNUMBER('종합 현황'!$H$5)),"관찰기준 확인",IF('종합 현황'!$H$5&lt;1,"관찰기준 확인",IF(N290&gt;'종합 현황'!$H$5,"내부 관찰 대상","내부 관찰일 이하")))))</x:f>
        <x:v>대상 아님</x:v>
      </x:c>
      <x:c r="AB290" s="2"/>
    </x:row>
    <x:row r="291" ht="42" customHeight="1">
      <x:c r="A291" s="2" t="str">
        <x:v>f69ef97f911a4b6d83d11ed3</x:v>
      </x:c>
      <x:c r="B291" s="2" t="str">
        <x:v>사업 평가</x:v>
      </x:c>
      <x:c r="C291" s="2" t="str">
        <x:v>국내</x:v>
      </x:c>
      <x:c r="D291" s="7" t="str">
        <x:v>청운산업의 보일러 연료전환 (벙커C유 → LNG)을 통한 온실가스(CO2) 배출 감축사업</x:v>
      </x:c>
      <x:c r="E291" s="2" t="str">
        <x:v>152</x:v>
      </x:c>
      <x:c r="F291" s="2" t="str">
        <x:v>2017-12-14</x:v>
      </x:c>
      <x:c r="G291" s="2" t="str">
        <x:v>2017</x:v>
      </x:c>
      <x:c r="H291" s="2" t="str">
        <x:v>12</x:v>
      </x:c>
      <x:c r="I291" s="2" t="str">
        <x:v>승인</x:v>
      </x:c>
      <x:c r="J291" s="2" t="str">
        <x:v>심의승인</x:v>
      </x:c>
      <x:c r="K291" s="2" t="str">
        <x:f>IF(OR(J291="심의승인",J291="반려",J291="반려완료",J291="심의완료"),"종결 표시",IF(OR(J291="기후부협의",J291="문서재제출요청",J291="보류",J291="보완요청",J291="보완완료",J291="평가중",J291="반려요청",J291="평가필요",LEFT(J291,5)="보완요청("),"미종결 표시","상태 확인 필요"))</x:f>
        <x:v>종결 표시</x:v>
      </x:c>
      <x:c r="L291" s="2"/>
      <x:c r="M291" s="2"/>
      <x:c r="N291" s="8" t="n">
        <x:f>DATE(2026,10,15)-DATE(2017,12,14)</x:f>
        <x:v>3227</x:v>
      </x:c>
      <x:c r="O291" s="2"/>
      <x:c r="P291" s="2"/>
      <x:c r="Q291" s="2" t="str">
        <x:v>산업전환_외부사업관리Tool_260707_이너젠 수정_LJY_261013.xlsx</x:v>
      </x:c>
      <x:c r="R291" s="2" t="str">
        <x:v>국내평가</x:v>
      </x:c>
      <x:c r="S291" s="8" t="n">
        <x:v>194</x:v>
      </x:c>
      <x:c r="T291" s="2"/>
      <x:c r="U291" s="2" t="str"/>
      <x:c r="V291" s="2" t="str">
        <x:v>2018-11-29</x:v>
      </x:c>
      <x:c r="W291" s="2" t="str">
        <x:v>담당기관 확인</x:v>
      </x:c>
      <x:c r="X291" s="2" t="str">
        <x:v>원본·배정 기록 확인</x:v>
      </x:c>
      <x:c r="Y291" s="2" t="str">
        <x:v>ad210cd9ec132cfd447541c8984dc53d30aff0f4fb2dc92d254d49275cc55976</x:v>
      </x:c>
      <x:c r="Z291" s="2" t="n">
        <x:f>SUBTOTAL(103,A291)</x:f>
        <x:v>1</x:v>
      </x:c>
      <x:c r="AA291" s="2" t="str">
        <x:f>IF(K291&lt;&gt;"미종결 표시","대상 아님",IF(N291="","신청일 확인",IF(NOT(ISNUMBER('종합 현황'!$H$5)),"관찰기준 확인",IF('종합 현황'!$H$5&lt;1,"관찰기준 확인",IF(N291&gt;'종합 현황'!$H$5,"내부 관찰 대상","내부 관찰일 이하")))))</x:f>
        <x:v>대상 아님</x:v>
      </x:c>
      <x:c r="AB291" s="2"/>
    </x:row>
    <x:row r="292" ht="42" customHeight="1">
      <x:c r="A292" s="2" t="str">
        <x:v>c6bdbcb026cf957ee2f2f8e5</x:v>
      </x:c>
      <x:c r="B292" s="2" t="str">
        <x:v>사업 평가</x:v>
      </x:c>
      <x:c r="C292" s="2" t="str">
        <x:v>국내</x:v>
      </x:c>
      <x:c r="D292" s="7" t="str">
        <x:v>한백섬유㈜ 대전사업장 LNG에서 목재펠릿으로 연료 전환을 통한 온실가스 감축사업</x:v>
      </x:c>
      <x:c r="E292" s="2" t="str">
        <x:v>153</x:v>
      </x:c>
      <x:c r="F292" s="2" t="str">
        <x:v>2017-12-14</x:v>
      </x:c>
      <x:c r="G292" s="2" t="str">
        <x:v>2017</x:v>
      </x:c>
      <x:c r="H292" s="2" t="str">
        <x:v>12</x:v>
      </x:c>
      <x:c r="I292" s="2" t="str">
        <x:v>승인</x:v>
      </x:c>
      <x:c r="J292" s="2" t="str">
        <x:v>심의승인</x:v>
      </x:c>
      <x:c r="K292" s="2" t="str">
        <x:f>IF(OR(J292="심의승인",J292="반려",J292="반려완료",J292="심의완료"),"종결 표시",IF(OR(J292="기후부협의",J292="문서재제출요청",J292="보류",J292="보완요청",J292="보완완료",J292="평가중",J292="반려요청",J292="평가필요",LEFT(J292,5)="보완요청("),"미종결 표시","상태 확인 필요"))</x:f>
        <x:v>종결 표시</x:v>
      </x:c>
      <x:c r="L292" s="2"/>
      <x:c r="M292" s="2"/>
      <x:c r="N292" s="8" t="n">
        <x:f>DATE(2026,10,15)-DATE(2017,12,14)</x:f>
        <x:v>3227</x:v>
      </x:c>
      <x:c r="O292" s="2"/>
      <x:c r="P292" s="2"/>
      <x:c r="Q292" s="2" t="str">
        <x:v>산업전환_외부사업관리Tool_260707_이너젠 수정_LJY_261013.xlsx</x:v>
      </x:c>
      <x:c r="R292" s="2" t="str">
        <x:v>국내평가</x:v>
      </x:c>
      <x:c r="S292" s="8" t="n">
        <x:v>195</x:v>
      </x:c>
      <x:c r="T292" s="2"/>
      <x:c r="U292" s="2" t="str"/>
      <x:c r="V292" s="2" t="str">
        <x:v>2018-11-29</x:v>
      </x:c>
      <x:c r="W292" s="2" t="str">
        <x:v>담당기관 확인</x:v>
      </x:c>
      <x:c r="X292" s="2" t="str">
        <x:v>원본·배정 기록 확인</x:v>
      </x:c>
      <x:c r="Y292" s="2" t="str">
        <x:v>ad210cd9ec132cfd447541c8984dc53d30aff0f4fb2dc92d254d49275cc55976</x:v>
      </x:c>
      <x:c r="Z292" s="2" t="n">
        <x:f>SUBTOTAL(103,A292)</x:f>
        <x:v>1</x:v>
      </x:c>
      <x:c r="AA292" s="2" t="str">
        <x:f>IF(K292&lt;&gt;"미종결 표시","대상 아님",IF(N292="","신청일 확인",IF(NOT(ISNUMBER('종합 현황'!$H$5)),"관찰기준 확인",IF('종합 현황'!$H$5&lt;1,"관찰기준 확인",IF(N292&gt;'종합 현황'!$H$5,"내부 관찰 대상","내부 관찰일 이하")))))</x:f>
        <x:v>대상 아님</x:v>
      </x:c>
      <x:c r="AB292" s="2"/>
    </x:row>
    <x:row r="293" ht="42" customHeight="1">
      <x:c r="A293" s="2" t="str">
        <x:v>12d89f1c512c3f34478d4f18</x:v>
      </x:c>
      <x:c r="B293" s="2" t="str">
        <x:v>사업 평가</x:v>
      </x:c>
      <x:c r="C293" s="2" t="str">
        <x:v>국내</x:v>
      </x:c>
      <x:c r="D293" s="7" t="str">
        <x:v>폐기물 소각 열을 회수하여 LNG 보일러 생산스팀을 대체하는 온실가스 감축사업</x:v>
      </x:c>
      <x:c r="E293" s="2" t="str">
        <x:v>154</x:v>
      </x:c>
      <x:c r="F293" s="2" t="str">
        <x:v>2017-12-14</x:v>
      </x:c>
      <x:c r="G293" s="2" t="str">
        <x:v>2017</x:v>
      </x:c>
      <x:c r="H293" s="2" t="str">
        <x:v>12</x:v>
      </x:c>
      <x:c r="I293" s="2" t="str">
        <x:v>반려</x:v>
      </x:c>
      <x:c r="J293" s="2" t="str">
        <x:v>반려</x:v>
      </x:c>
      <x:c r="K293" s="2" t="str">
        <x:f>IF(OR(J293="심의승인",J293="반려",J293="반려완료",J293="심의완료"),"종결 표시",IF(OR(J293="기후부협의",J293="문서재제출요청",J293="보류",J293="보완요청",J293="보완완료",J293="평가중",J293="반려요청",J293="평가필요",LEFT(J293,5)="보완요청("),"미종결 표시","상태 확인 필요"))</x:f>
        <x:v>종결 표시</x:v>
      </x:c>
      <x:c r="L293" s="2"/>
      <x:c r="M293" s="2"/>
      <x:c r="N293" s="8" t="n">
        <x:f>DATE(2026,10,15)-DATE(2017,12,14)</x:f>
        <x:v>3227</x:v>
      </x:c>
      <x:c r="O293" s="2"/>
      <x:c r="P293" s="2" t="str">
        <x:v>권리의 승계관리 메뉴에서 기후부 반려 확인</x:v>
      </x:c>
      <x:c r="Q293" s="2" t="str">
        <x:v>산업전환_외부사업관리Tool_260707_이너젠 수정_LJY_261013.xlsx</x:v>
      </x:c>
      <x:c r="R293" s="2" t="str">
        <x:v>국내평가</x:v>
      </x:c>
      <x:c r="S293" s="8" t="n">
        <x:v>196</x:v>
      </x:c>
      <x:c r="T293" s="2"/>
      <x:c r="U293" s="2" t="str"/>
      <x:c r="V293" s="2" t="str">
        <x:v>2019-04-09</x:v>
      </x:c>
      <x:c r="W293" s="2" t="str">
        <x:v>담당기관 확인</x:v>
      </x:c>
      <x:c r="X293" s="2" t="str">
        <x:v>원본·배정 기록 확인</x:v>
      </x:c>
      <x:c r="Y293" s="2" t="str">
        <x:v>ad210cd9ec132cfd447541c8984dc53d30aff0f4fb2dc92d254d49275cc55976</x:v>
      </x:c>
      <x:c r="Z293" s="2" t="n">
        <x:f>SUBTOTAL(103,A293)</x:f>
        <x:v>1</x:v>
      </x:c>
      <x:c r="AA293" s="2" t="str">
        <x:f>IF(K293&lt;&gt;"미종결 표시","대상 아님",IF(N293="","신청일 확인",IF(NOT(ISNUMBER('종합 현황'!$H$5)),"관찰기준 확인",IF('종합 현황'!$H$5&lt;1,"관찰기준 확인",IF(N293&gt;'종합 현황'!$H$5,"내부 관찰 대상","내부 관찰일 이하")))))</x:f>
        <x:v>대상 아님</x:v>
      </x:c>
      <x:c r="AB293" s="2"/>
    </x:row>
    <x:row r="294" ht="42" customHeight="1">
      <x:c r="A294" s="2" t="str">
        <x:v>590184b0ada4896c619b0a9e</x:v>
      </x:c>
      <x:c r="B294" s="2" t="str">
        <x:v>사업 평가</x:v>
      </x:c>
      <x:c r="C294" s="2" t="str">
        <x:v>국내</x:v>
      </x:c>
      <x:c r="D294" s="7" t="str">
        <x:v>(주)한남코퍼레이션의 폐기물 소각 열을 회수하여 LNG보일러 생산스팀을 대체하는 온실가스 감축사업</x:v>
      </x:c>
      <x:c r="E294" s="2" t="str">
        <x:v>155</x:v>
      </x:c>
      <x:c r="F294" s="2" t="str">
        <x:v>2017-12-14</x:v>
      </x:c>
      <x:c r="G294" s="2" t="str">
        <x:v>2017</x:v>
      </x:c>
      <x:c r="H294" s="2" t="str">
        <x:v>12</x:v>
      </x:c>
      <x:c r="I294" s="2" t="str">
        <x:v>반려</x:v>
      </x:c>
      <x:c r="J294" s="2" t="str">
        <x:v>반려</x:v>
      </x:c>
      <x:c r="K294" s="2" t="str">
        <x:f>IF(OR(J294="심의승인",J294="반려",J294="반려완료",J294="심의완료"),"종결 표시",IF(OR(J294="기후부협의",J294="문서재제출요청",J294="보류",J294="보완요청",J294="보완완료",J294="평가중",J294="반려요청",J294="평가필요",LEFT(J294,5)="보완요청("),"미종결 표시","상태 확인 필요"))</x:f>
        <x:v>종결 표시</x:v>
      </x:c>
      <x:c r="L294" s="2"/>
      <x:c r="M294" s="2"/>
      <x:c r="N294" s="8" t="n">
        <x:f>DATE(2026,10,15)-DATE(2017,12,14)</x:f>
        <x:v>3227</x:v>
      </x:c>
      <x:c r="O294" s="2"/>
      <x:c r="P294" s="2" t="str">
        <x:v>권리의 승계관리 메뉴에서 기후부 반려 확인</x:v>
      </x:c>
      <x:c r="Q294" s="2" t="str">
        <x:v>산업전환_외부사업관리Tool_260707_이너젠 수정_LJY_261013.xlsx</x:v>
      </x:c>
      <x:c r="R294" s="2" t="str">
        <x:v>국내평가</x:v>
      </x:c>
      <x:c r="S294" s="8" t="n">
        <x:v>197</x:v>
      </x:c>
      <x:c r="T294" s="2"/>
      <x:c r="U294" s="2" t="str"/>
      <x:c r="V294" s="2" t="str">
        <x:v>2019-04-09</x:v>
      </x:c>
      <x:c r="W294" s="2" t="str">
        <x:v>담당기관 확인</x:v>
      </x:c>
      <x:c r="X294" s="2" t="str">
        <x:v>원본·배정 기록 확인</x:v>
      </x:c>
      <x:c r="Y294" s="2" t="str">
        <x:v>ad210cd9ec132cfd447541c8984dc53d30aff0f4fb2dc92d254d49275cc55976</x:v>
      </x:c>
      <x:c r="Z294" s="2" t="n">
        <x:f>SUBTOTAL(103,A294)</x:f>
        <x:v>1</x:v>
      </x:c>
      <x:c r="AA294" s="2" t="str">
        <x:f>IF(K294&lt;&gt;"미종결 표시","대상 아님",IF(N294="","신청일 확인",IF(NOT(ISNUMBER('종합 현황'!$H$5)),"관찰기준 확인",IF('종합 현황'!$H$5&lt;1,"관찰기준 확인",IF(N294&gt;'종합 현황'!$H$5,"내부 관찰 대상","내부 관찰일 이하")))))</x:f>
        <x:v>대상 아님</x:v>
      </x:c>
      <x:c r="AB294" s="2"/>
    </x:row>
    <x:row r="295" ht="42" customHeight="1">
      <x:c r="A295" s="2" t="str">
        <x:v>ca3f1594ea3209103cf6e612</x:v>
      </x:c>
      <x:c r="B295" s="2" t="str">
        <x:v>사업 평가</x:v>
      </x:c>
      <x:c r="C295" s="2" t="str">
        <x:v>국내</x:v>
      </x:c>
      <x:c r="D295" s="7" t="str">
        <x:v>바이넥스 스팀보일러 연료교체(부생연료2호→LNG)를 통한 온실가스(CO2)배출 감축사업</x:v>
      </x:c>
      <x:c r="E295" s="2" t="str">
        <x:v>156</x:v>
      </x:c>
      <x:c r="F295" s="2" t="str">
        <x:v>2017-12-14</x:v>
      </x:c>
      <x:c r="G295" s="2" t="str">
        <x:v>2017</x:v>
      </x:c>
      <x:c r="H295" s="2" t="str">
        <x:v>12</x:v>
      </x:c>
      <x:c r="I295" s="2" t="str">
        <x:v>사업변경 신청</x:v>
      </x:c>
      <x:c r="J295" s="2" t="str">
        <x:v>반려</x:v>
      </x:c>
      <x:c r="K295" s="2" t="str">
        <x:f>IF(OR(J295="심의승인",J295="반려",J295="반려완료",J295="심의완료"),"종결 표시",IF(OR(J295="기후부협의",J295="문서재제출요청",J295="보류",J295="보완요청",J295="보완완료",J295="평가중",J295="반려요청",J295="평가필요",LEFT(J295,5)="보완요청("),"미종결 표시","상태 확인 필요"))</x:f>
        <x:v>종결 표시</x:v>
      </x:c>
      <x:c r="L295" s="2"/>
      <x:c r="M295" s="2"/>
      <x:c r="N295" s="8" t="n">
        <x:f>DATE(2026,10,15)-DATE(2017,12,14)</x:f>
        <x:v>3227</x:v>
      </x:c>
      <x:c r="O295" s="2"/>
      <x:c r="P295" s="2"/>
      <x:c r="Q295" s="2" t="str">
        <x:v>산업전환_외부사업관리Tool_260707_이너젠 수정_LJY_261013.xlsx</x:v>
      </x:c>
      <x:c r="R295" s="2" t="str">
        <x:v>국내평가</x:v>
      </x:c>
      <x:c r="S295" s="8" t="n">
        <x:v>198</x:v>
      </x:c>
      <x:c r="T295" s="2" t="str">
        <x:v>2021년 처리</x:v>
      </x:c>
      <x:c r="U295" s="2" t="str">
        <x:v>2021 배정: 2021년 처리</x:v>
      </x:c>
      <x:c r="V295" s="2" t="str">
        <x:v>2021-04-08</x:v>
      </x:c>
      <x:c r="W295" s="2" t="str">
        <x:v>담당기관 확인</x:v>
      </x:c>
      <x:c r="X295" s="2" t="str">
        <x:v>원본·배정 기록 확인</x:v>
      </x:c>
      <x:c r="Y295" s="2" t="str">
        <x:v>ad210cd9ec132cfd447541c8984dc53d30aff0f4fb2dc92d254d49275cc55976</x:v>
      </x:c>
      <x:c r="Z295" s="2" t="n">
        <x:f>SUBTOTAL(103,A295)</x:f>
        <x:v>1</x:v>
      </x:c>
      <x:c r="AA295" s="2" t="str">
        <x:f>IF(K295&lt;&gt;"미종결 표시","대상 아님",IF(N295="","신청일 확인",IF(NOT(ISNUMBER('종합 현황'!$H$5)),"관찰기준 확인",IF('종합 현황'!$H$5&lt;1,"관찰기준 확인",IF(N295&gt;'종합 현황'!$H$5,"내부 관찰 대상","내부 관찰일 이하")))))</x:f>
        <x:v>대상 아님</x:v>
      </x:c>
      <x:c r="AB295" s="2"/>
    </x:row>
    <x:row r="296" ht="42" customHeight="1">
      <x:c r="A296" s="2" t="str">
        <x:v>e2f566a6074ebd938c76e19f</x:v>
      </x:c>
      <x:c r="B296" s="2" t="str">
        <x:v>사업 평가</x:v>
      </x:c>
      <x:c r="C296" s="2" t="str">
        <x:v>국내</x:v>
      </x:c>
      <x:c r="D296" s="7" t="str">
        <x:v>스팀보일러와 열매보일러의 연료를 B-C유에서 LNG로 연료 전환하는 온실가스(CO2) 감축사업</x:v>
      </x:c>
      <x:c r="E296" s="2" t="str">
        <x:v>157</x:v>
      </x:c>
      <x:c r="F296" s="2" t="str">
        <x:v>2017-12-14</x:v>
      </x:c>
      <x:c r="G296" s="2" t="str">
        <x:v>2017</x:v>
      </x:c>
      <x:c r="H296" s="2" t="str">
        <x:v>12</x:v>
      </x:c>
      <x:c r="I296" s="2" t="str">
        <x:v>사업변경 신청</x:v>
      </x:c>
      <x:c r="J296" s="2" t="str">
        <x:v>반려</x:v>
      </x:c>
      <x:c r="K296" s="2" t="str">
        <x:f>IF(OR(J296="심의승인",J296="반려",J296="반려완료",J296="심의완료"),"종결 표시",IF(OR(J296="기후부협의",J296="문서재제출요청",J296="보류",J296="보완요청",J296="보완완료",J296="평가중",J296="반려요청",J296="평가필요",LEFT(J296,5)="보완요청("),"미종결 표시","상태 확인 필요"))</x:f>
        <x:v>종결 표시</x:v>
      </x:c>
      <x:c r="L296" s="2"/>
      <x:c r="M296" s="2"/>
      <x:c r="N296" s="8" t="n">
        <x:f>DATE(2026,10,15)-DATE(2017,12,14)</x:f>
        <x:v>3227</x:v>
      </x:c>
      <x:c r="O296" s="2"/>
      <x:c r="P296" s="2"/>
      <x:c r="Q296" s="2" t="str">
        <x:v>산업전환_외부사업관리Tool_260707_이너젠 수정_LJY_261013.xlsx</x:v>
      </x:c>
      <x:c r="R296" s="2" t="str">
        <x:v>국내평가</x:v>
      </x:c>
      <x:c r="S296" s="8" t="n">
        <x:v>199</x:v>
      </x:c>
      <x:c r="T296" s="2"/>
      <x:c r="U296" s="2" t="str"/>
      <x:c r="V296" s="2" t="str">
        <x:v>2020-10-19</x:v>
      </x:c>
      <x:c r="W296" s="2" t="str">
        <x:v>담당기관 확인</x:v>
      </x:c>
      <x:c r="X296" s="2" t="str">
        <x:v>원본·배정 기록 확인</x:v>
      </x:c>
      <x:c r="Y296" s="2" t="str">
        <x:v>ad210cd9ec132cfd447541c8984dc53d30aff0f4fb2dc92d254d49275cc55976</x:v>
      </x:c>
      <x:c r="Z296" s="2" t="n">
        <x:f>SUBTOTAL(103,A296)</x:f>
        <x:v>1</x:v>
      </x:c>
      <x:c r="AA296" s="2" t="str">
        <x:f>IF(K296&lt;&gt;"미종결 표시","대상 아님",IF(N296="","신청일 확인",IF(NOT(ISNUMBER('종합 현황'!$H$5)),"관찰기준 확인",IF('종합 현황'!$H$5&lt;1,"관찰기준 확인",IF(N296&gt;'종합 현황'!$H$5,"내부 관찰 대상","내부 관찰일 이하")))))</x:f>
        <x:v>대상 아님</x:v>
      </x:c>
      <x:c r="AB296" s="2"/>
    </x:row>
    <x:row r="297" ht="42" customHeight="1">
      <x:c r="A297" s="2" t="str">
        <x:v>844fb8e64144dd574e32e940</x:v>
      </x:c>
      <x:c r="B297" s="2" t="str">
        <x:v>사업 평가</x:v>
      </x:c>
      <x:c r="C297" s="2" t="str">
        <x:v>국내</x:v>
      </x:c>
      <x:c r="D297" s="7" t="str">
        <x:v>한국 경기도 지역의 천연가스 연료전환 번들링 사업</x:v>
      </x:c>
      <x:c r="E297" s="2" t="str">
        <x:v>158</x:v>
      </x:c>
      <x:c r="F297" s="2" t="str">
        <x:v>2017-12-14</x:v>
      </x:c>
      <x:c r="G297" s="2" t="str">
        <x:v>2017</x:v>
      </x:c>
      <x:c r="H297" s="2" t="str">
        <x:v>12</x:v>
      </x:c>
      <x:c r="I297" s="2" t="str">
        <x:v>승인</x:v>
      </x:c>
      <x:c r="J297" s="2" t="str">
        <x:v>심의승인</x:v>
      </x:c>
      <x:c r="K297" s="2" t="str">
        <x:f>IF(OR(J297="심의승인",J297="반려",J297="반려완료",J297="심의완료"),"종결 표시",IF(OR(J297="기후부협의",J297="문서재제출요청",J297="보류",J297="보완요청",J297="보완완료",J297="평가중",J297="반려요청",J297="평가필요",LEFT(J297,5)="보완요청("),"미종결 표시","상태 확인 필요"))</x:f>
        <x:v>종결 표시</x:v>
      </x:c>
      <x:c r="L297" s="2"/>
      <x:c r="M297" s="2"/>
      <x:c r="N297" s="8" t="n">
        <x:f>DATE(2026,10,15)-DATE(2017,12,14)</x:f>
        <x:v>3227</x:v>
      </x:c>
      <x:c r="O297" s="2"/>
      <x:c r="P297" s="2"/>
      <x:c r="Q297" s="2" t="str">
        <x:v>산업전환_외부사업관리Tool_260707_이너젠 수정_LJY_261013.xlsx</x:v>
      </x:c>
      <x:c r="R297" s="2" t="str">
        <x:v>국내평가</x:v>
      </x:c>
      <x:c r="S297" s="8" t="n">
        <x:v>200</x:v>
      </x:c>
      <x:c r="T297" s="2"/>
      <x:c r="U297" s="2" t="str"/>
      <x:c r="V297" s="2" t="str">
        <x:v>2019-06-12</x:v>
      </x:c>
      <x:c r="W297" s="2" t="str">
        <x:v>담당기관 확인</x:v>
      </x:c>
      <x:c r="X297" s="2" t="str">
        <x:v>원본·배정 기록 확인</x:v>
      </x:c>
      <x:c r="Y297" s="2" t="str">
        <x:v>ad210cd9ec132cfd447541c8984dc53d30aff0f4fb2dc92d254d49275cc55976</x:v>
      </x:c>
      <x:c r="Z297" s="2" t="n">
        <x:f>SUBTOTAL(103,A297)</x:f>
        <x:v>1</x:v>
      </x:c>
      <x:c r="AA297" s="2" t="str">
        <x:f>IF(K297&lt;&gt;"미종결 표시","대상 아님",IF(N297="","신청일 확인",IF(NOT(ISNUMBER('종합 현황'!$H$5)),"관찰기준 확인",IF('종합 현황'!$H$5&lt;1,"관찰기준 확인",IF(N297&gt;'종합 현황'!$H$5,"내부 관찰 대상","내부 관찰일 이하")))))</x:f>
        <x:v>대상 아님</x:v>
      </x:c>
      <x:c r="AB297" s="2"/>
    </x:row>
    <x:row r="298" ht="42" customHeight="1">
      <x:c r="A298" s="2" t="str">
        <x:v>89b1ff88add488fbb2babae3</x:v>
      </x:c>
      <x:c r="B298" s="2" t="str">
        <x:v>사업 평가</x:v>
      </x:c>
      <x:c r="C298" s="2" t="str">
        <x:v>국내</x:v>
      </x:c>
      <x:c r="D298" s="7" t="str">
        <x:v>JW중외제약(주) 폐열회수 KVER 사업</x:v>
      </x:c>
      <x:c r="E298" s="2" t="str">
        <x:v>159</x:v>
      </x:c>
      <x:c r="F298" s="2" t="str">
        <x:v>2017-12-14</x:v>
      </x:c>
      <x:c r="G298" s="2" t="str">
        <x:v>2017</x:v>
      </x:c>
      <x:c r="H298" s="2" t="str">
        <x:v>12</x:v>
      </x:c>
      <x:c r="I298" s="2" t="str">
        <x:v>승인</x:v>
      </x:c>
      <x:c r="J298" s="2" t="str">
        <x:v>심의승인</x:v>
      </x:c>
      <x:c r="K298" s="2" t="str">
        <x:f>IF(OR(J298="심의승인",J298="반려",J298="반려완료",J298="심의완료"),"종결 표시",IF(OR(J298="기후부협의",J298="문서재제출요청",J298="보류",J298="보완요청",J298="보완완료",J298="평가중",J298="반려요청",J298="평가필요",LEFT(J298,5)="보완요청("),"미종결 표시","상태 확인 필요"))</x:f>
        <x:v>종결 표시</x:v>
      </x:c>
      <x:c r="L298" s="2"/>
      <x:c r="M298" s="2"/>
      <x:c r="N298" s="8" t="n">
        <x:f>DATE(2026,10,15)-DATE(2017,12,14)</x:f>
        <x:v>3227</x:v>
      </x:c>
      <x:c r="O298" s="2"/>
      <x:c r="P298" s="2"/>
      <x:c r="Q298" s="2" t="str">
        <x:v>산업전환_외부사업관리Tool_260707_이너젠 수정_LJY_261013.xlsx</x:v>
      </x:c>
      <x:c r="R298" s="2" t="str">
        <x:v>국내평가</x:v>
      </x:c>
      <x:c r="S298" s="8" t="n">
        <x:v>201</x:v>
      </x:c>
      <x:c r="T298" s="2"/>
      <x:c r="U298" s="2" t="str"/>
      <x:c r="V298" s="2" t="str">
        <x:v>2018-11-28</x:v>
      </x:c>
      <x:c r="W298" s="2" t="str">
        <x:v>담당기관 확인</x:v>
      </x:c>
      <x:c r="X298" s="2" t="str">
        <x:v>원본·배정 기록 확인</x:v>
      </x:c>
      <x:c r="Y298" s="2" t="str">
        <x:v>ad210cd9ec132cfd447541c8984dc53d30aff0f4fb2dc92d254d49275cc55976</x:v>
      </x:c>
      <x:c r="Z298" s="2" t="n">
        <x:f>SUBTOTAL(103,A298)</x:f>
        <x:v>1</x:v>
      </x:c>
      <x:c r="AA298" s="2" t="str">
        <x:f>IF(K298&lt;&gt;"미종결 표시","대상 아님",IF(N298="","신청일 확인",IF(NOT(ISNUMBER('종합 현황'!$H$5)),"관찰기준 확인",IF('종합 현황'!$H$5&lt;1,"관찰기준 확인",IF(N298&gt;'종합 현황'!$H$5,"내부 관찰 대상","내부 관찰일 이하")))))</x:f>
        <x:v>대상 아님</x:v>
      </x:c>
      <x:c r="AB298" s="2"/>
    </x:row>
    <x:row r="299" ht="42" customHeight="1">
      <x:c r="A299" s="2" t="str">
        <x:v>3521a44bdb26eef110d69c13</x:v>
      </x:c>
      <x:c r="B299" s="2" t="str">
        <x:v>사업 평가</x:v>
      </x:c>
      <x:c r="C299" s="2" t="str">
        <x:v>국내</x:v>
      </x:c>
      <x:c r="D299" s="7" t="str">
        <x:v>(주)천안의종개발의 폐기물 소각 열을 회수하여 LNG 보일러 생산스팀을 대체하는 온실가스 감축사업</x:v>
      </x:c>
      <x:c r="E299" s="2" t="str">
        <x:v>160</x:v>
      </x:c>
      <x:c r="F299" s="2" t="str">
        <x:v>2017-12-14</x:v>
      </x:c>
      <x:c r="G299" s="2" t="str">
        <x:v>2017</x:v>
      </x:c>
      <x:c r="H299" s="2" t="str">
        <x:v>12</x:v>
      </x:c>
      <x:c r="I299" s="2" t="str">
        <x:v>사업변경 신청</x:v>
      </x:c>
      <x:c r="J299" s="2" t="str">
        <x:v>반려</x:v>
      </x:c>
      <x:c r="K299" s="2" t="str">
        <x:f>IF(OR(J299="심의승인",J299="반려",J299="반려완료",J299="심의완료"),"종결 표시",IF(OR(J299="기후부협의",J299="문서재제출요청",J299="보류",J299="보완요청",J299="보완완료",J299="평가중",J299="반려요청",J299="평가필요",LEFT(J299,5)="보완요청("),"미종결 표시","상태 확인 필요"))</x:f>
        <x:v>종결 표시</x:v>
      </x:c>
      <x:c r="L299" s="2"/>
      <x:c r="M299" s="2"/>
      <x:c r="N299" s="8" t="n">
        <x:f>DATE(2026,10,15)-DATE(2017,12,14)</x:f>
        <x:v>3227</x:v>
      </x:c>
      <x:c r="O299" s="2"/>
      <x:c r="P299" s="2"/>
      <x:c r="Q299" s="2" t="str">
        <x:v>산업전환_외부사업관리Tool_260707_이너젠 수정_LJY_261013.xlsx</x:v>
      </x:c>
      <x:c r="R299" s="2" t="str">
        <x:v>국내평가</x:v>
      </x:c>
      <x:c r="S299" s="8" t="n">
        <x:v>202</x:v>
      </x:c>
      <x:c r="T299" s="2" t="str">
        <x:v>2021년 처리</x:v>
      </x:c>
      <x:c r="U299" s="2" t="str">
        <x:v>2021 배정: 2021년 처리</x:v>
      </x:c>
      <x:c r="V299" s="2" t="str">
        <x:v>2021-05-17</x:v>
      </x:c>
      <x:c r="W299" s="2" t="str">
        <x:v>담당기관 확인</x:v>
      </x:c>
      <x:c r="X299" s="2" t="str">
        <x:v>원본·배정 기록 확인</x:v>
      </x:c>
      <x:c r="Y299" s="2" t="str">
        <x:v>ad210cd9ec132cfd447541c8984dc53d30aff0f4fb2dc92d254d49275cc55976</x:v>
      </x:c>
      <x:c r="Z299" s="2" t="n">
        <x:f>SUBTOTAL(103,A299)</x:f>
        <x:v>1</x:v>
      </x:c>
      <x:c r="AA299" s="2" t="str">
        <x:f>IF(K299&lt;&gt;"미종결 표시","대상 아님",IF(N299="","신청일 확인",IF(NOT(ISNUMBER('종합 현황'!$H$5)),"관찰기준 확인",IF('종합 현황'!$H$5&lt;1,"관찰기준 확인",IF(N299&gt;'종합 현황'!$H$5,"내부 관찰 대상","내부 관찰일 이하")))))</x:f>
        <x:v>대상 아님</x:v>
      </x:c>
      <x:c r="AB299" s="2"/>
    </x:row>
    <x:row r="300" ht="42" customHeight="1">
      <x:c r="A300" s="2" t="str">
        <x:v>417e348decf7760cf903e9a6</x:v>
      </x:c>
      <x:c r="B300" s="2" t="str">
        <x:v>사업 평가</x:v>
      </x:c>
      <x:c r="C300" s="2" t="str">
        <x:v>국내</x:v>
      </x:c>
      <x:c r="D300" s="7" t="str">
        <x:v>인천이피에스 목재펠릿 연료전환을 통한 온실가스 감축사업(B-C유, 정제유→목재펠릿)</x:v>
      </x:c>
      <x:c r="E300" s="2" t="str">
        <x:v>161</x:v>
      </x:c>
      <x:c r="F300" s="2" t="str">
        <x:v>2017-12-14</x:v>
      </x:c>
      <x:c r="G300" s="2" t="str">
        <x:v>2017</x:v>
      </x:c>
      <x:c r="H300" s="2" t="str">
        <x:v>12</x:v>
      </x:c>
      <x:c r="I300" s="2" t="str">
        <x:v>승인</x:v>
      </x:c>
      <x:c r="J300" s="2" t="str">
        <x:v>심의승인</x:v>
      </x:c>
      <x:c r="K300" s="2" t="str">
        <x:f>IF(OR(J300="심의승인",J300="반려",J300="반려완료",J300="심의완료"),"종결 표시",IF(OR(J300="기후부협의",J300="문서재제출요청",J300="보류",J300="보완요청",J300="보완완료",J300="평가중",J300="반려요청",J300="평가필요",LEFT(J300,5)="보완요청("),"미종결 표시","상태 확인 필요"))</x:f>
        <x:v>종결 표시</x:v>
      </x:c>
      <x:c r="L300" s="2"/>
      <x:c r="M300" s="2"/>
      <x:c r="N300" s="8" t="n">
        <x:f>DATE(2026,10,15)-DATE(2017,12,14)</x:f>
        <x:v>3227</x:v>
      </x:c>
      <x:c r="O300" s="2"/>
      <x:c r="P300" s="2"/>
      <x:c r="Q300" s="2" t="str">
        <x:v>산업전환_외부사업관리Tool_260707_이너젠 수정_LJY_261013.xlsx</x:v>
      </x:c>
      <x:c r="R300" s="2" t="str">
        <x:v>국내평가</x:v>
      </x:c>
      <x:c r="S300" s="8" t="n">
        <x:v>203</x:v>
      </x:c>
      <x:c r="T300" s="2"/>
      <x:c r="U300" s="2" t="str"/>
      <x:c r="V300" s="2" t="str">
        <x:v>2018-11-27</x:v>
      </x:c>
      <x:c r="W300" s="2" t="str">
        <x:v>담당기관 확인</x:v>
      </x:c>
      <x:c r="X300" s="2" t="str">
        <x:v>원본·배정 기록 확인</x:v>
      </x:c>
      <x:c r="Y300" s="2" t="str">
        <x:v>ad210cd9ec132cfd447541c8984dc53d30aff0f4fb2dc92d254d49275cc55976</x:v>
      </x:c>
      <x:c r="Z300" s="2" t="n">
        <x:f>SUBTOTAL(103,A300)</x:f>
        <x:v>1</x:v>
      </x:c>
      <x:c r="AA300" s="2" t="str">
        <x:f>IF(K300&lt;&gt;"미종결 표시","대상 아님",IF(N300="","신청일 확인",IF(NOT(ISNUMBER('종합 현황'!$H$5)),"관찰기준 확인",IF('종합 현황'!$H$5&lt;1,"관찰기준 확인",IF(N300&gt;'종합 현황'!$H$5,"내부 관찰 대상","내부 관찰일 이하")))))</x:f>
        <x:v>대상 아님</x:v>
      </x:c>
      <x:c r="AB300" s="2"/>
    </x:row>
    <x:row r="301" ht="42" customHeight="1">
      <x:c r="A301" s="2" t="str">
        <x:v>8268bd3b28e91d1b635b1616</x:v>
      </x:c>
      <x:c r="B301" s="2" t="str">
        <x:v>사업 평가</x:v>
      </x:c>
      <x:c r="C301" s="2" t="str">
        <x:v>국내</x:v>
      </x:c>
      <x:c r="D301" s="7" t="str">
        <x:v>(주)삼오텍 하이브리드형 사출기 교체를 통한 설비 성능개선에 따른 온실가스 감축사업</x:v>
      </x:c>
      <x:c r="E301" s="2" t="str">
        <x:v>162</x:v>
      </x:c>
      <x:c r="F301" s="2" t="str">
        <x:v>2017-12-14</x:v>
      </x:c>
      <x:c r="G301" s="2" t="str">
        <x:v>2017</x:v>
      </x:c>
      <x:c r="H301" s="2" t="str">
        <x:v>12</x:v>
      </x:c>
      <x:c r="I301" s="2" t="str">
        <x:v>승인</x:v>
      </x:c>
      <x:c r="J301" s="2" t="str">
        <x:v>심의승인</x:v>
      </x:c>
      <x:c r="K301" s="2" t="str">
        <x:f>IF(OR(J301="심의승인",J301="반려",J301="반려완료",J301="심의완료"),"종결 표시",IF(OR(J301="기후부협의",J301="문서재제출요청",J301="보류",J301="보완요청",J301="보완완료",J301="평가중",J301="반려요청",J301="평가필요",LEFT(J301,5)="보완요청("),"미종결 표시","상태 확인 필요"))</x:f>
        <x:v>종결 표시</x:v>
      </x:c>
      <x:c r="L301" s="2"/>
      <x:c r="M301" s="2"/>
      <x:c r="N301" s="8" t="n">
        <x:f>DATE(2026,10,15)-DATE(2017,12,14)</x:f>
        <x:v>3227</x:v>
      </x:c>
      <x:c r="O301" s="2"/>
      <x:c r="P301" s="2"/>
      <x:c r="Q301" s="2" t="str">
        <x:v>산업전환_외부사업관리Tool_260707_이너젠 수정_LJY_261013.xlsx</x:v>
      </x:c>
      <x:c r="R301" s="2" t="str">
        <x:v>국내평가</x:v>
      </x:c>
      <x:c r="S301" s="8" t="n">
        <x:v>204</x:v>
      </x:c>
      <x:c r="T301" s="2"/>
      <x:c r="U301" s="2" t="str"/>
      <x:c r="V301" s="2" t="str">
        <x:v>2019-10-25</x:v>
      </x:c>
      <x:c r="W301" s="2" t="str">
        <x:v>담당기관 확인</x:v>
      </x:c>
      <x:c r="X301" s="2" t="str">
        <x:v>원본·배정 기록 확인</x:v>
      </x:c>
      <x:c r="Y301" s="2" t="str">
        <x:v>ad210cd9ec132cfd447541c8984dc53d30aff0f4fb2dc92d254d49275cc55976</x:v>
      </x:c>
      <x:c r="Z301" s="2" t="n">
        <x:f>SUBTOTAL(103,A301)</x:f>
        <x:v>1</x:v>
      </x:c>
      <x:c r="AA301" s="2" t="str">
        <x:f>IF(K301&lt;&gt;"미종결 표시","대상 아님",IF(N301="","신청일 확인",IF(NOT(ISNUMBER('종합 현황'!$H$5)),"관찰기준 확인",IF('종합 현황'!$H$5&lt;1,"관찰기준 확인",IF(N301&gt;'종합 현황'!$H$5,"내부 관찰 대상","내부 관찰일 이하")))))</x:f>
        <x:v>대상 아님</x:v>
      </x:c>
      <x:c r="AB301" s="2"/>
    </x:row>
    <x:row r="302" ht="42" customHeight="1">
      <x:c r="A302" s="2" t="str">
        <x:v>aae5be9071f734121ceb83c0</x:v>
      </x:c>
      <x:c r="B302" s="2" t="str">
        <x:v>사업 평가</x:v>
      </x:c>
      <x:c r="C302" s="2" t="str">
        <x:v>국내</x:v>
      </x:c>
      <x:c r="D302" s="7" t="str">
        <x:v>세림산업 소성로 및 열풍기 등의 연료교체(LPG→LNG)를 통한 온실가스(CO2) 배출 감축사업</x:v>
      </x:c>
      <x:c r="E302" s="2" t="str">
        <x:v>163</x:v>
      </x:c>
      <x:c r="F302" s="2" t="str">
        <x:v>2017-12-14</x:v>
      </x:c>
      <x:c r="G302" s="2" t="str">
        <x:v>2017</x:v>
      </x:c>
      <x:c r="H302" s="2" t="str">
        <x:v>12</x:v>
      </x:c>
      <x:c r="I302" s="2" t="str">
        <x:v>사업변경 신청</x:v>
      </x:c>
      <x:c r="J302" s="2" t="str">
        <x:v>반려</x:v>
      </x:c>
      <x:c r="K302" s="2" t="str">
        <x:f>IF(OR(J302="심의승인",J302="반려",J302="반려완료",J302="심의완료"),"종결 표시",IF(OR(J302="기후부협의",J302="문서재제출요청",J302="보류",J302="보완요청",J302="보완완료",J302="평가중",J302="반려요청",J302="평가필요",LEFT(J302,5)="보완요청("),"미종결 표시","상태 확인 필요"))</x:f>
        <x:v>종결 표시</x:v>
      </x:c>
      <x:c r="L302" s="2"/>
      <x:c r="M302" s="2"/>
      <x:c r="N302" s="8" t="n">
        <x:f>DATE(2026,10,15)-DATE(2017,12,14)</x:f>
        <x:v>3227</x:v>
      </x:c>
      <x:c r="O302" s="2"/>
      <x:c r="P302" s="2"/>
      <x:c r="Q302" s="2" t="str">
        <x:v>산업전환_외부사업관리Tool_260707_이너젠 수정_LJY_261013.xlsx</x:v>
      </x:c>
      <x:c r="R302" s="2" t="str">
        <x:v>국내평가</x:v>
      </x:c>
      <x:c r="S302" s="8" t="n">
        <x:v>205</x:v>
      </x:c>
      <x:c r="T302" s="2"/>
      <x:c r="U302" s="2" t="str"/>
      <x:c r="V302" s="2" t="str">
        <x:v>2020-10-19</x:v>
      </x:c>
      <x:c r="W302" s="2" t="str">
        <x:v>담당기관 확인</x:v>
      </x:c>
      <x:c r="X302" s="2" t="str">
        <x:v>원본·배정 기록 확인</x:v>
      </x:c>
      <x:c r="Y302" s="2" t="str">
        <x:v>ad210cd9ec132cfd447541c8984dc53d30aff0f4fb2dc92d254d49275cc55976</x:v>
      </x:c>
      <x:c r="Z302" s="2" t="n">
        <x:f>SUBTOTAL(103,A302)</x:f>
        <x:v>1</x:v>
      </x:c>
      <x:c r="AA302" s="2" t="str">
        <x:f>IF(K302&lt;&gt;"미종결 표시","대상 아님",IF(N302="","신청일 확인",IF(NOT(ISNUMBER('종합 현황'!$H$5)),"관찰기준 확인",IF('종합 현황'!$H$5&lt;1,"관찰기준 확인",IF(N302&gt;'종합 현황'!$H$5,"내부 관찰 대상","내부 관찰일 이하")))))</x:f>
        <x:v>대상 아님</x:v>
      </x:c>
      <x:c r="AB302" s="2"/>
    </x:row>
    <x:row r="303" ht="42" customHeight="1">
      <x:c r="A303" s="2" t="str">
        <x:v>72b7e6b8fb37243ec19d7076</x:v>
      </x:c>
      <x:c r="B303" s="2" t="str">
        <x:v>사업 평가</x:v>
      </x:c>
      <x:c r="C303" s="2" t="str">
        <x:v>국내</x:v>
      </x:c>
      <x:c r="D303" s="7" t="str">
        <x:v>보광섬유 보일러의 연료전환(B-C유·부생연료유2호-&gt;LNG)을 통한 온실가스감축사업</x:v>
      </x:c>
      <x:c r="E303" s="2" t="str">
        <x:v>164</x:v>
      </x:c>
      <x:c r="F303" s="2" t="str">
        <x:v>2017-12-14</x:v>
      </x:c>
      <x:c r="G303" s="2" t="str">
        <x:v>2017</x:v>
      </x:c>
      <x:c r="H303" s="2" t="str">
        <x:v>12</x:v>
      </x:c>
      <x:c r="I303" s="2" t="str">
        <x:v>승인</x:v>
      </x:c>
      <x:c r="J303" s="2" t="str">
        <x:v>심의승인</x:v>
      </x:c>
      <x:c r="K303" s="2" t="str">
        <x:f>IF(OR(J303="심의승인",J303="반려",J303="반려완료",J303="심의완료"),"종결 표시",IF(OR(J303="기후부협의",J303="문서재제출요청",J303="보류",J303="보완요청",J303="보완완료",J303="평가중",J303="반려요청",J303="평가필요",LEFT(J303,5)="보완요청("),"미종결 표시","상태 확인 필요"))</x:f>
        <x:v>종결 표시</x:v>
      </x:c>
      <x:c r="L303" s="2"/>
      <x:c r="M303" s="2"/>
      <x:c r="N303" s="8" t="n">
        <x:f>DATE(2026,10,15)-DATE(2017,12,14)</x:f>
        <x:v>3227</x:v>
      </x:c>
      <x:c r="O303" s="2"/>
      <x:c r="P303" s="2"/>
      <x:c r="Q303" s="2" t="str">
        <x:v>산업전환_외부사업관리Tool_260707_이너젠 수정_LJY_261013.xlsx</x:v>
      </x:c>
      <x:c r="R303" s="2" t="str">
        <x:v>국내평가</x:v>
      </x:c>
      <x:c r="S303" s="8" t="n">
        <x:v>206</x:v>
      </x:c>
      <x:c r="T303" s="2"/>
      <x:c r="U303" s="2" t="str"/>
      <x:c r="V303" s="2" t="str">
        <x:v>2019-11-14</x:v>
      </x:c>
      <x:c r="W303" s="2" t="str">
        <x:v>담당기관 확인</x:v>
      </x:c>
      <x:c r="X303" s="2" t="str">
        <x:v>원본·배정 기록 확인</x:v>
      </x:c>
      <x:c r="Y303" s="2" t="str">
        <x:v>ad210cd9ec132cfd447541c8984dc53d30aff0f4fb2dc92d254d49275cc55976</x:v>
      </x:c>
      <x:c r="Z303" s="2" t="n">
        <x:f>SUBTOTAL(103,A303)</x:f>
        <x:v>1</x:v>
      </x:c>
      <x:c r="AA303" s="2" t="str">
        <x:f>IF(K303&lt;&gt;"미종결 표시","대상 아님",IF(N303="","신청일 확인",IF(NOT(ISNUMBER('종합 현황'!$H$5)),"관찰기준 확인",IF('종합 현황'!$H$5&lt;1,"관찰기준 확인",IF(N303&gt;'종합 현황'!$H$5,"내부 관찰 대상","내부 관찰일 이하")))))</x:f>
        <x:v>대상 아님</x:v>
      </x:c>
      <x:c r="AB303" s="2"/>
    </x:row>
    <x:row r="304" ht="42" customHeight="1">
      <x:c r="A304" s="2" t="str">
        <x:v>b47260118615ec19c8e90a2b</x:v>
      </x:c>
      <x:c r="B304" s="2" t="str">
        <x:v>사업 평가</x:v>
      </x:c>
      <x:c r="C304" s="2" t="str">
        <x:v>국내</x:v>
      </x:c>
      <x:c r="D304" s="7" t="str">
        <x:v>홍창엠앤티 진천공장 목재펠릿 연료전환을 통한 온실가스 감축사업(부생연료유 2호→목재펠릿)</x:v>
      </x:c>
      <x:c r="E304" s="2" t="str">
        <x:v>165</x:v>
      </x:c>
      <x:c r="F304" s="2" t="str">
        <x:v>2017-12-14</x:v>
      </x:c>
      <x:c r="G304" s="2" t="str">
        <x:v>2017</x:v>
      </x:c>
      <x:c r="H304" s="2" t="str">
        <x:v>12</x:v>
      </x:c>
      <x:c r="I304" s="2" t="str">
        <x:v>승인</x:v>
      </x:c>
      <x:c r="J304" s="2" t="str">
        <x:v>심의승인</x:v>
      </x:c>
      <x:c r="K304" s="2" t="str">
        <x:f>IF(OR(J304="심의승인",J304="반려",J304="반려완료",J304="심의완료"),"종결 표시",IF(OR(J304="기후부협의",J304="문서재제출요청",J304="보류",J304="보완요청",J304="보완완료",J304="평가중",J304="반려요청",J304="평가필요",LEFT(J304,5)="보완요청("),"미종결 표시","상태 확인 필요"))</x:f>
        <x:v>종결 표시</x:v>
      </x:c>
      <x:c r="L304" s="2"/>
      <x:c r="M304" s="2"/>
      <x:c r="N304" s="8" t="n">
        <x:f>DATE(2026,10,15)-DATE(2017,12,14)</x:f>
        <x:v>3227</x:v>
      </x:c>
      <x:c r="O304" s="2"/>
      <x:c r="P304" s="2"/>
      <x:c r="Q304" s="2" t="str">
        <x:v>산업전환_외부사업관리Tool_260707_이너젠 수정_LJY_261013.xlsx</x:v>
      </x:c>
      <x:c r="R304" s="2" t="str">
        <x:v>국내평가</x:v>
      </x:c>
      <x:c r="S304" s="8" t="n">
        <x:v>207</x:v>
      </x:c>
      <x:c r="T304" s="2"/>
      <x:c r="U304" s="2" t="str"/>
      <x:c r="V304" s="2" t="str">
        <x:v>2019-04-04</x:v>
      </x:c>
      <x:c r="W304" s="2" t="str">
        <x:v>담당기관 확인</x:v>
      </x:c>
      <x:c r="X304" s="2" t="str">
        <x:v>원본·배정 기록 확인</x:v>
      </x:c>
      <x:c r="Y304" s="2" t="str">
        <x:v>ad210cd9ec132cfd447541c8984dc53d30aff0f4fb2dc92d254d49275cc55976</x:v>
      </x:c>
      <x:c r="Z304" s="2" t="n">
        <x:f>SUBTOTAL(103,A304)</x:f>
        <x:v>1</x:v>
      </x:c>
      <x:c r="AA304" s="2" t="str">
        <x:f>IF(K304&lt;&gt;"미종결 표시","대상 아님",IF(N304="","신청일 확인",IF(NOT(ISNUMBER('종합 현황'!$H$5)),"관찰기준 확인",IF('종합 현황'!$H$5&lt;1,"관찰기준 확인",IF(N304&gt;'종합 현황'!$H$5,"내부 관찰 대상","내부 관찰일 이하")))))</x:f>
        <x:v>대상 아님</x:v>
      </x:c>
      <x:c r="AB304" s="2"/>
    </x:row>
    <x:row r="305" ht="42" customHeight="1">
      <x:c r="A305" s="2" t="str">
        <x:v>d9790ca06df7b81869623c6c</x:v>
      </x:c>
      <x:c r="B305" s="2" t="str">
        <x:v>사업 평가</x:v>
      </x:c>
      <x:c r="C305" s="2" t="str">
        <x:v>국내</x:v>
      </x:c>
      <x:c r="D305" s="7" t="str">
        <x:v>현진테크 사출기 일부교체(유압식→하이브리드)를 통한 온실가스 감축사업</x:v>
      </x:c>
      <x:c r="E305" s="2" t="str">
        <x:v>166</x:v>
      </x:c>
      <x:c r="F305" s="2" t="str">
        <x:v>2017-12-14</x:v>
      </x:c>
      <x:c r="G305" s="2" t="str">
        <x:v>2017</x:v>
      </x:c>
      <x:c r="H305" s="2" t="str">
        <x:v>12</x:v>
      </x:c>
      <x:c r="I305" s="2" t="str">
        <x:v>승인</x:v>
      </x:c>
      <x:c r="J305" s="2" t="str">
        <x:v>심의승인</x:v>
      </x:c>
      <x:c r="K305" s="2" t="str">
        <x:f>IF(OR(J305="심의승인",J305="반려",J305="반려완료",J305="심의완료"),"종결 표시",IF(OR(J305="기후부협의",J305="문서재제출요청",J305="보류",J305="보완요청",J305="보완완료",J305="평가중",J305="반려요청",J305="평가필요",LEFT(J305,5)="보완요청("),"미종결 표시","상태 확인 필요"))</x:f>
        <x:v>종결 표시</x:v>
      </x:c>
      <x:c r="L305" s="2"/>
      <x:c r="M305" s="2"/>
      <x:c r="N305" s="8" t="n">
        <x:f>DATE(2026,10,15)-DATE(2017,12,14)</x:f>
        <x:v>3227</x:v>
      </x:c>
      <x:c r="O305" s="2"/>
      <x:c r="P305" s="2"/>
      <x:c r="Q305" s="2" t="str">
        <x:v>산업전환_외부사업관리Tool_260707_이너젠 수정_LJY_261013.xlsx</x:v>
      </x:c>
      <x:c r="R305" s="2" t="str">
        <x:v>국내평가</x:v>
      </x:c>
      <x:c r="S305" s="8" t="n">
        <x:v>208</x:v>
      </x:c>
      <x:c r="T305" s="2"/>
      <x:c r="U305" s="2" t="str"/>
      <x:c r="V305" s="2" t="str">
        <x:v>2018-11-28</x:v>
      </x:c>
      <x:c r="W305" s="2" t="str">
        <x:v>담당기관 확인</x:v>
      </x:c>
      <x:c r="X305" s="2" t="str">
        <x:v>원본·배정 기록 확인</x:v>
      </x:c>
      <x:c r="Y305" s="2" t="str">
        <x:v>ad210cd9ec132cfd447541c8984dc53d30aff0f4fb2dc92d254d49275cc55976</x:v>
      </x:c>
      <x:c r="Z305" s="2" t="n">
        <x:f>SUBTOTAL(103,A305)</x:f>
        <x:v>1</x:v>
      </x:c>
      <x:c r="AA305" s="2" t="str">
        <x:f>IF(K305&lt;&gt;"미종결 표시","대상 아님",IF(N305="","신청일 확인",IF(NOT(ISNUMBER('종합 현황'!$H$5)),"관찰기준 확인",IF('종합 현황'!$H$5&lt;1,"관찰기준 확인",IF(N305&gt;'종합 현황'!$H$5,"내부 관찰 대상","내부 관찰일 이하")))))</x:f>
        <x:v>대상 아님</x:v>
      </x:c>
      <x:c r="AB305" s="2"/>
    </x:row>
    <x:row r="306" ht="42" customHeight="1">
      <x:c r="A306" s="2" t="str">
        <x:v>6ed0e5dfc97197b5cfb06c8f</x:v>
      </x:c>
      <x:c r="B306" s="2" t="str">
        <x:v>사업 평가</x:v>
      </x:c>
      <x:c r="C306" s="2" t="str">
        <x:v>국내</x:v>
      </x:c>
      <x:c r="D306" s="7" t="str">
        <x:v>봉림FOOD 스팀보일러 연료전환(B-C유 → LPG)을 통한 온실가스(CO2) 감축사업</x:v>
      </x:c>
      <x:c r="E306" s="2" t="str">
        <x:v>167</x:v>
      </x:c>
      <x:c r="F306" s="2" t="str">
        <x:v>2017-12-14</x:v>
      </x:c>
      <x:c r="G306" s="2" t="str">
        <x:v>2017</x:v>
      </x:c>
      <x:c r="H306" s="2" t="str">
        <x:v>12</x:v>
      </x:c>
      <x:c r="I306" s="2" t="str">
        <x:v>사업변경 신청</x:v>
      </x:c>
      <x:c r="J306" s="2" t="str">
        <x:v>심의승인</x:v>
      </x:c>
      <x:c r="K306" s="2" t="str">
        <x:f>IF(OR(J306="심의승인",J306="반려",J306="반려완료",J306="심의완료"),"종결 표시",IF(OR(J306="기후부협의",J306="문서재제출요청",J306="보류",J306="보완요청",J306="보완완료",J306="평가중",J306="반려요청",J306="평가필요",LEFT(J306,5)="보완요청("),"미종결 표시","상태 확인 필요"))</x:f>
        <x:v>종결 표시</x:v>
      </x:c>
      <x:c r="L306" s="2"/>
      <x:c r="M306" s="2"/>
      <x:c r="N306" s="8" t="n">
        <x:f>DATE(2026,10,15)-DATE(2017,12,14)</x:f>
        <x:v>3227</x:v>
      </x:c>
      <x:c r="O306" s="2"/>
      <x:c r="P306" s="2" t="str">
        <x:v>사업자 업소명 변경</x:v>
      </x:c>
      <x:c r="Q306" s="2" t="str">
        <x:v>산업전환_외부사업관리Tool_260707_이너젠 수정_LJY_261013.xlsx</x:v>
      </x:c>
      <x:c r="R306" s="2" t="str">
        <x:v>국내평가</x:v>
      </x:c>
      <x:c r="S306" s="8" t="n">
        <x:v>209</x:v>
      </x:c>
      <x:c r="T306" s="2"/>
      <x:c r="U306" s="2" t="str"/>
      <x:c r="V306" s="2" t="str">
        <x:v>2020-09-15</x:v>
      </x:c>
      <x:c r="W306" s="2" t="str">
        <x:v>담당기관 확인</x:v>
      </x:c>
      <x:c r="X306" s="2" t="str">
        <x:v>원본·배정 기록 확인</x:v>
      </x:c>
      <x:c r="Y306" s="2" t="str">
        <x:v>ad210cd9ec132cfd447541c8984dc53d30aff0f4fb2dc92d254d49275cc55976</x:v>
      </x:c>
      <x:c r="Z306" s="2" t="n">
        <x:f>SUBTOTAL(103,A306)</x:f>
        <x:v>1</x:v>
      </x:c>
      <x:c r="AA306" s="2" t="str">
        <x:f>IF(K306&lt;&gt;"미종결 표시","대상 아님",IF(N306="","신청일 확인",IF(NOT(ISNUMBER('종합 현황'!$H$5)),"관찰기준 확인",IF('종합 현황'!$H$5&lt;1,"관찰기준 확인",IF(N306&gt;'종합 현황'!$H$5,"내부 관찰 대상","내부 관찰일 이하")))))</x:f>
        <x:v>대상 아님</x:v>
      </x:c>
      <x:c r="AB306" s="2"/>
    </x:row>
    <x:row r="307" ht="42" customHeight="1">
      <x:c r="A307" s="2" t="str">
        <x:v>151874d907822a6e5d162494</x:v>
      </x:c>
      <x:c r="B307" s="2" t="str">
        <x:v>사업 평가</x:v>
      </x:c>
      <x:c r="C307" s="2" t="str">
        <x:v>국내</x:v>
      </x:c>
      <x:c r="D307" s="7" t="str">
        <x:v>폐열스팀으로 LNG 스팀보일러 생산스팀을 대체하여 CO2를 감축하는 사업</x:v>
      </x:c>
      <x:c r="E307" s="2" t="str">
        <x:v>168</x:v>
      </x:c>
      <x:c r="F307" s="2" t="str">
        <x:v>2017-12-14</x:v>
      </x:c>
      <x:c r="G307" s="2" t="str">
        <x:v>2017</x:v>
      </x:c>
      <x:c r="H307" s="2" t="str">
        <x:v>12</x:v>
      </x:c>
      <x:c r="I307" s="2" t="str">
        <x:v>승인</x:v>
      </x:c>
      <x:c r="J307" s="2" t="str">
        <x:v>심의승인</x:v>
      </x:c>
      <x:c r="K307" s="2" t="str">
        <x:f>IF(OR(J307="심의승인",J307="반려",J307="반려완료",J307="심의완료"),"종결 표시",IF(OR(J307="기후부협의",J307="문서재제출요청",J307="보류",J307="보완요청",J307="보완완료",J307="평가중",J307="반려요청",J307="평가필요",LEFT(J307,5)="보완요청("),"미종결 표시","상태 확인 필요"))</x:f>
        <x:v>종결 표시</x:v>
      </x:c>
      <x:c r="L307" s="2"/>
      <x:c r="M307" s="2"/>
      <x:c r="N307" s="8" t="n">
        <x:f>DATE(2026,10,15)-DATE(2017,12,14)</x:f>
        <x:v>3227</x:v>
      </x:c>
      <x:c r="O307" s="2"/>
      <x:c r="P307" s="2"/>
      <x:c r="Q307" s="2" t="str">
        <x:v>산업전환_외부사업관리Tool_260707_이너젠 수정_LJY_261013.xlsx</x:v>
      </x:c>
      <x:c r="R307" s="2" t="str">
        <x:v>국내평가</x:v>
      </x:c>
      <x:c r="S307" s="8" t="n">
        <x:v>210</x:v>
      </x:c>
      <x:c r="T307" s="2"/>
      <x:c r="U307" s="2" t="str"/>
      <x:c r="V307" s="2" t="str">
        <x:v>2018-11-28</x:v>
      </x:c>
      <x:c r="W307" s="2" t="str">
        <x:v>담당기관 확인</x:v>
      </x:c>
      <x:c r="X307" s="2" t="str">
        <x:v>원본·배정 기록 확인</x:v>
      </x:c>
      <x:c r="Y307" s="2" t="str">
        <x:v>ad210cd9ec132cfd447541c8984dc53d30aff0f4fb2dc92d254d49275cc55976</x:v>
      </x:c>
      <x:c r="Z307" s="2" t="n">
        <x:f>SUBTOTAL(103,A307)</x:f>
        <x:v>1</x:v>
      </x:c>
      <x:c r="AA307" s="2" t="str">
        <x:f>IF(K307&lt;&gt;"미종결 표시","대상 아님",IF(N307="","신청일 확인",IF(NOT(ISNUMBER('종합 현황'!$H$5)),"관찰기준 확인",IF('종합 현황'!$H$5&lt;1,"관찰기준 확인",IF(N307&gt;'종합 현황'!$H$5,"내부 관찰 대상","내부 관찰일 이하")))))</x:f>
        <x:v>대상 아님</x:v>
      </x:c>
      <x:c r="AB307" s="2"/>
    </x:row>
    <x:row r="308" ht="42" customHeight="1">
      <x:c r="A308" s="2" t="str">
        <x:v>06146d4786fcdbd6d74fd858</x:v>
      </x:c>
      <x:c r="B308" s="2" t="str">
        <x:v>사업 평가</x:v>
      </x:c>
      <x:c r="C308" s="2" t="str">
        <x:v>국내</x:v>
      </x:c>
      <x:c r="D308" s="7" t="str">
        <x:v>진흥염직의 보일러 연료전환 (벙커C유 → LNG)을 통한 온실가스(CO2) 배출 감축사업</x:v>
      </x:c>
      <x:c r="E308" s="2" t="str">
        <x:v>169</x:v>
      </x:c>
      <x:c r="F308" s="2" t="str">
        <x:v>2017-12-14</x:v>
      </x:c>
      <x:c r="G308" s="2" t="str">
        <x:v>2017</x:v>
      </x:c>
      <x:c r="H308" s="2" t="str">
        <x:v>12</x:v>
      </x:c>
      <x:c r="I308" s="2" t="str">
        <x:v>승인</x:v>
      </x:c>
      <x:c r="J308" s="2" t="str">
        <x:v>심의승인</x:v>
      </x:c>
      <x:c r="K308" s="2" t="str">
        <x:f>IF(OR(J308="심의승인",J308="반려",J308="반려완료",J308="심의완료"),"종결 표시",IF(OR(J308="기후부협의",J308="문서재제출요청",J308="보류",J308="보완요청",J308="보완완료",J308="평가중",J308="반려요청",J308="평가필요",LEFT(J308,5)="보완요청("),"미종결 표시","상태 확인 필요"))</x:f>
        <x:v>종결 표시</x:v>
      </x:c>
      <x:c r="L308" s="2"/>
      <x:c r="M308" s="2"/>
      <x:c r="N308" s="8" t="n">
        <x:f>DATE(2026,10,15)-DATE(2017,12,14)</x:f>
        <x:v>3227</x:v>
      </x:c>
      <x:c r="O308" s="2"/>
      <x:c r="P308" s="2"/>
      <x:c r="Q308" s="2" t="str">
        <x:v>산업전환_외부사업관리Tool_260707_이너젠 수정_LJY_261013.xlsx</x:v>
      </x:c>
      <x:c r="R308" s="2" t="str">
        <x:v>국내평가</x:v>
      </x:c>
      <x:c r="S308" s="8" t="n">
        <x:v>211</x:v>
      </x:c>
      <x:c r="T308" s="2"/>
      <x:c r="U308" s="2" t="str"/>
      <x:c r="V308" s="2" t="str">
        <x:v>2018-11-28</x:v>
      </x:c>
      <x:c r="W308" s="2" t="str">
        <x:v>담당기관 확인</x:v>
      </x:c>
      <x:c r="X308" s="2" t="str">
        <x:v>원본·배정 기록 확인</x:v>
      </x:c>
      <x:c r="Y308" s="2" t="str">
        <x:v>ad210cd9ec132cfd447541c8984dc53d30aff0f4fb2dc92d254d49275cc55976</x:v>
      </x:c>
      <x:c r="Z308" s="2" t="n">
        <x:f>SUBTOTAL(103,A308)</x:f>
        <x:v>1</x:v>
      </x:c>
      <x:c r="AA308" s="2" t="str">
        <x:f>IF(K308&lt;&gt;"미종결 표시","대상 아님",IF(N308="","신청일 확인",IF(NOT(ISNUMBER('종합 현황'!$H$5)),"관찰기준 확인",IF('종합 현황'!$H$5&lt;1,"관찰기준 확인",IF(N308&gt;'종합 현황'!$H$5,"내부 관찰 대상","내부 관찰일 이하")))))</x:f>
        <x:v>대상 아님</x:v>
      </x:c>
      <x:c r="AB308" s="2"/>
    </x:row>
    <x:row r="309" ht="42" customHeight="1">
      <x:c r="A309" s="2" t="str">
        <x:v>1cf306c495e4af8b69242d89</x:v>
      </x:c>
      <x:c r="B309" s="2" t="str">
        <x:v>사업 평가</x:v>
      </x:c>
      <x:c r="C309" s="2" t="str">
        <x:v>국내</x:v>
      </x:c>
      <x:c r="D309" s="7" t="str">
        <x:v>스팀보일러의 연료전환(부생연료유, B-C유→LNG)을 통해 CO2 배출을 감축하는 사업</x:v>
      </x:c>
      <x:c r="E309" s="2" t="str">
        <x:v>170</x:v>
      </x:c>
      <x:c r="F309" s="2" t="str">
        <x:v>2017-12-14</x:v>
      </x:c>
      <x:c r="G309" s="2" t="str">
        <x:v>2017</x:v>
      </x:c>
      <x:c r="H309" s="2" t="str">
        <x:v>12</x:v>
      </x:c>
      <x:c r="I309" s="2" t="str">
        <x:v>승인</x:v>
      </x:c>
      <x:c r="J309" s="2" t="str">
        <x:v>심의승인</x:v>
      </x:c>
      <x:c r="K309" s="2" t="str">
        <x:f>IF(OR(J309="심의승인",J309="반려",J309="반려완료",J309="심의완료"),"종결 표시",IF(OR(J309="기후부협의",J309="문서재제출요청",J309="보류",J309="보완요청",J309="보완완료",J309="평가중",J309="반려요청",J309="평가필요",LEFT(J309,5)="보완요청("),"미종결 표시","상태 확인 필요"))</x:f>
        <x:v>종결 표시</x:v>
      </x:c>
      <x:c r="L309" s="2"/>
      <x:c r="M309" s="2"/>
      <x:c r="N309" s="8" t="n">
        <x:f>DATE(2026,10,15)-DATE(2017,12,14)</x:f>
        <x:v>3227</x:v>
      </x:c>
      <x:c r="O309" s="2"/>
      <x:c r="P309" s="2"/>
      <x:c r="Q309" s="2" t="str">
        <x:v>산업전환_외부사업관리Tool_260707_이너젠 수정_LJY_261013.xlsx</x:v>
      </x:c>
      <x:c r="R309" s="2" t="str">
        <x:v>국내평가</x:v>
      </x:c>
      <x:c r="S309" s="8" t="n">
        <x:v>212</x:v>
      </x:c>
      <x:c r="T309" s="2"/>
      <x:c r="U309" s="2" t="str"/>
      <x:c r="V309" s="2" t="str">
        <x:v>2019-11-15</x:v>
      </x:c>
      <x:c r="W309" s="2" t="str">
        <x:v>담당기관 확인</x:v>
      </x:c>
      <x:c r="X309" s="2" t="str">
        <x:v>원본·배정 기록 확인</x:v>
      </x:c>
      <x:c r="Y309" s="2" t="str">
        <x:v>ad210cd9ec132cfd447541c8984dc53d30aff0f4fb2dc92d254d49275cc55976</x:v>
      </x:c>
      <x:c r="Z309" s="2" t="n">
        <x:f>SUBTOTAL(103,A309)</x:f>
        <x:v>1</x:v>
      </x:c>
      <x:c r="AA309" s="2" t="str">
        <x:f>IF(K309&lt;&gt;"미종결 표시","대상 아님",IF(N309="","신청일 확인",IF(NOT(ISNUMBER('종합 현황'!$H$5)),"관찰기준 확인",IF('종합 현황'!$H$5&lt;1,"관찰기준 확인",IF(N309&gt;'종합 현황'!$H$5,"내부 관찰 대상","내부 관찰일 이하")))))</x:f>
        <x:v>대상 아님</x:v>
      </x:c>
      <x:c r="AB309" s="2"/>
    </x:row>
    <x:row r="310" ht="42" customHeight="1">
      <x:c r="A310" s="2" t="str">
        <x:v>0dc710b2db95a3d0327c81a6</x:v>
      </x:c>
      <x:c r="B310" s="2" t="str">
        <x:v>사업 평가</x:v>
      </x:c>
      <x:c r="C310" s="2" t="str">
        <x:v>국내</x:v>
      </x:c>
      <x:c r="D310" s="7" t="str">
        <x:v>진성염직 건조공정 연료전환 및 효율개선사업</x:v>
      </x:c>
      <x:c r="E310" s="2" t="str">
        <x:v>171</x:v>
      </x:c>
      <x:c r="F310" s="2" t="str">
        <x:v>2017-12-14</x:v>
      </x:c>
      <x:c r="G310" s="2" t="str">
        <x:v>2017</x:v>
      </x:c>
      <x:c r="H310" s="2" t="str">
        <x:v>12</x:v>
      </x:c>
      <x:c r="I310" s="2" t="str">
        <x:v>승인</x:v>
      </x:c>
      <x:c r="J310" s="2" t="str">
        <x:v>심의승인</x:v>
      </x:c>
      <x:c r="K310" s="2" t="str">
        <x:f>IF(OR(J310="심의승인",J310="반려",J310="반려완료",J310="심의완료"),"종결 표시",IF(OR(J310="기후부협의",J310="문서재제출요청",J310="보류",J310="보완요청",J310="보완완료",J310="평가중",J310="반려요청",J310="평가필요",LEFT(J310,5)="보완요청("),"미종결 표시","상태 확인 필요"))</x:f>
        <x:v>종결 표시</x:v>
      </x:c>
      <x:c r="L310" s="2"/>
      <x:c r="M310" s="2"/>
      <x:c r="N310" s="8" t="n">
        <x:f>DATE(2026,10,15)-DATE(2017,12,14)</x:f>
        <x:v>3227</x:v>
      </x:c>
      <x:c r="O310" s="2"/>
      <x:c r="P310" s="2"/>
      <x:c r="Q310" s="2" t="str">
        <x:v>산업전환_외부사업관리Tool_260707_이너젠 수정_LJY_261013.xlsx</x:v>
      </x:c>
      <x:c r="R310" s="2" t="str">
        <x:v>국내평가</x:v>
      </x:c>
      <x:c r="S310" s="8" t="n">
        <x:v>213</x:v>
      </x:c>
      <x:c r="T310" s="2"/>
      <x:c r="U310" s="2" t="str"/>
      <x:c r="V310" s="2" t="str">
        <x:v>2019-02-11</x:v>
      </x:c>
      <x:c r="W310" s="2" t="str">
        <x:v>담당기관 확인</x:v>
      </x:c>
      <x:c r="X310" s="2" t="str">
        <x:v>원본·배정 기록 확인</x:v>
      </x:c>
      <x:c r="Y310" s="2" t="str">
        <x:v>ad210cd9ec132cfd447541c8984dc53d30aff0f4fb2dc92d254d49275cc55976</x:v>
      </x:c>
      <x:c r="Z310" s="2" t="n">
        <x:f>SUBTOTAL(103,A310)</x:f>
        <x:v>1</x:v>
      </x:c>
      <x:c r="AA310" s="2" t="str">
        <x:f>IF(K310&lt;&gt;"미종결 표시","대상 아님",IF(N310="","신청일 확인",IF(NOT(ISNUMBER('종합 현황'!$H$5)),"관찰기준 확인",IF('종합 현황'!$H$5&lt;1,"관찰기준 확인",IF(N310&gt;'종합 현황'!$H$5,"내부 관찰 대상","내부 관찰일 이하")))))</x:f>
        <x:v>대상 아님</x:v>
      </x:c>
      <x:c r="AB310" s="2"/>
    </x:row>
    <x:row r="311" ht="42" customHeight="1">
      <x:c r="A311" s="2" t="str">
        <x:v>0d3e0bfae43b2687dea7f9f2</x:v>
      </x:c>
      <x:c r="B311" s="2" t="str">
        <x:v>사업 평가</x:v>
      </x:c>
      <x:c r="C311" s="2" t="str">
        <x:v>국내</x:v>
      </x:c>
      <x:c r="D311" s="7" t="str">
        <x:v>하나산업의 보일러 연료전환 (B-C유 → LNG)을 통한 온실가스 감축사업</x:v>
      </x:c>
      <x:c r="E311" s="2" t="str">
        <x:v>172</x:v>
      </x:c>
      <x:c r="F311" s="2" t="str">
        <x:v>2017-12-14</x:v>
      </x:c>
      <x:c r="G311" s="2" t="str">
        <x:v>2017</x:v>
      </x:c>
      <x:c r="H311" s="2" t="str">
        <x:v>12</x:v>
      </x:c>
      <x:c r="I311" s="2" t="str">
        <x:v>사업변경 신청</x:v>
      </x:c>
      <x:c r="J311" s="2" t="str">
        <x:v>반려</x:v>
      </x:c>
      <x:c r="K311" s="2" t="str">
        <x:f>IF(OR(J311="심의승인",J311="반려",J311="반려완료",J311="심의완료"),"종결 표시",IF(OR(J311="기후부협의",J311="문서재제출요청",J311="보류",J311="보완요청",J311="보완완료",J311="평가중",J311="반려요청",J311="평가필요",LEFT(J311,5)="보완요청("),"미종결 표시","상태 확인 필요"))</x:f>
        <x:v>종결 표시</x:v>
      </x:c>
      <x:c r="L311" s="2"/>
      <x:c r="M311" s="2"/>
      <x:c r="N311" s="8" t="n">
        <x:f>DATE(2026,10,15)-DATE(2017,12,14)</x:f>
        <x:v>3227</x:v>
      </x:c>
      <x:c r="O311" s="2"/>
      <x:c r="P311" s="2"/>
      <x:c r="Q311" s="2" t="str">
        <x:v>산업전환_외부사업관리Tool_260707_이너젠 수정_LJY_261013.xlsx</x:v>
      </x:c>
      <x:c r="R311" s="2" t="str">
        <x:v>국내평가</x:v>
      </x:c>
      <x:c r="S311" s="8" t="n">
        <x:v>214</x:v>
      </x:c>
      <x:c r="T311" s="2"/>
      <x:c r="U311" s="2" t="str"/>
      <x:c r="V311" s="2" t="str">
        <x:v>2020-10-19</x:v>
      </x:c>
      <x:c r="W311" s="2" t="str">
        <x:v>담당기관 확인</x:v>
      </x:c>
      <x:c r="X311" s="2" t="str">
        <x:v>원본·배정 기록 확인</x:v>
      </x:c>
      <x:c r="Y311" s="2" t="str">
        <x:v>ad210cd9ec132cfd447541c8984dc53d30aff0f4fb2dc92d254d49275cc55976</x:v>
      </x:c>
      <x:c r="Z311" s="2" t="n">
        <x:f>SUBTOTAL(103,A311)</x:f>
        <x:v>1</x:v>
      </x:c>
      <x:c r="AA311" s="2" t="str">
        <x:f>IF(K311&lt;&gt;"미종결 표시","대상 아님",IF(N311="","신청일 확인",IF(NOT(ISNUMBER('종합 현황'!$H$5)),"관찰기준 확인",IF('종합 현황'!$H$5&lt;1,"관찰기준 확인",IF(N311&gt;'종합 현황'!$H$5,"내부 관찰 대상","내부 관찰일 이하")))))</x:f>
        <x:v>대상 아님</x:v>
      </x:c>
      <x:c r="AB311" s="2"/>
    </x:row>
    <x:row r="312" ht="42" customHeight="1">
      <x:c r="A312" s="2" t="str">
        <x:v>14b22c48451fa35fe3b16646</x:v>
      </x:c>
      <x:c r="B312" s="2" t="str">
        <x:v>사업 평가</x:v>
      </x:c>
      <x:c r="C312" s="2" t="str">
        <x:v>국내</x:v>
      </x:c>
      <x:c r="D312" s="7" t="str">
        <x:v>(주)한맥전자 하이브리드형 사출기 교체를 통한 설비 성능 개선에 따른 온실가스 감축사업</x:v>
      </x:c>
      <x:c r="E312" s="2" t="str">
        <x:v>173</x:v>
      </x:c>
      <x:c r="F312" s="2" t="str">
        <x:v>2017-12-14</x:v>
      </x:c>
      <x:c r="G312" s="2" t="str">
        <x:v>2017</x:v>
      </x:c>
      <x:c r="H312" s="2" t="str">
        <x:v>12</x:v>
      </x:c>
      <x:c r="I312" s="2" t="str">
        <x:v>승인</x:v>
      </x:c>
      <x:c r="J312" s="2" t="str">
        <x:v>심의승인</x:v>
      </x:c>
      <x:c r="K312" s="2" t="str">
        <x:f>IF(OR(J312="심의승인",J312="반려",J312="반려완료",J312="심의완료"),"종결 표시",IF(OR(J312="기후부협의",J312="문서재제출요청",J312="보류",J312="보완요청",J312="보완완료",J312="평가중",J312="반려요청",J312="평가필요",LEFT(J312,5)="보완요청("),"미종결 표시","상태 확인 필요"))</x:f>
        <x:v>종결 표시</x:v>
      </x:c>
      <x:c r="L312" s="2"/>
      <x:c r="M312" s="2"/>
      <x:c r="N312" s="8" t="n">
        <x:f>DATE(2026,10,15)-DATE(2017,12,14)</x:f>
        <x:v>3227</x:v>
      </x:c>
      <x:c r="O312" s="2"/>
      <x:c r="P312" s="2"/>
      <x:c r="Q312" s="2" t="str">
        <x:v>산업전환_외부사업관리Tool_260707_이너젠 수정_LJY_261013.xlsx</x:v>
      </x:c>
      <x:c r="R312" s="2" t="str">
        <x:v>국내평가</x:v>
      </x:c>
      <x:c r="S312" s="8" t="n">
        <x:v>215</x:v>
      </x:c>
      <x:c r="T312" s="2"/>
      <x:c r="U312" s="2" t="str"/>
      <x:c r="V312" s="2" t="str">
        <x:v>2019-10-30</x:v>
      </x:c>
      <x:c r="W312" s="2" t="str">
        <x:v>담당기관 확인</x:v>
      </x:c>
      <x:c r="X312" s="2" t="str">
        <x:v>원본·배정 기록 확인</x:v>
      </x:c>
      <x:c r="Y312" s="2" t="str">
        <x:v>ad210cd9ec132cfd447541c8984dc53d30aff0f4fb2dc92d254d49275cc55976</x:v>
      </x:c>
      <x:c r="Z312" s="2" t="n">
        <x:f>SUBTOTAL(103,A312)</x:f>
        <x:v>1</x:v>
      </x:c>
      <x:c r="AA312" s="2" t="str">
        <x:f>IF(K312&lt;&gt;"미종결 표시","대상 아님",IF(N312="","신청일 확인",IF(NOT(ISNUMBER('종합 현황'!$H$5)),"관찰기준 확인",IF('종합 현황'!$H$5&lt;1,"관찰기준 확인",IF(N312&gt;'종합 현황'!$H$5,"내부 관찰 대상","내부 관찰일 이하")))))</x:f>
        <x:v>대상 아님</x:v>
      </x:c>
      <x:c r="AB312" s="2"/>
    </x:row>
    <x:row r="313" ht="42" customHeight="1">
      <x:c r="A313" s="2" t="str">
        <x:v>a84168d01712ee8e94881308</x:v>
      </x:c>
      <x:c r="B313" s="2" t="str">
        <x:v>사업 평가</x:v>
      </x:c>
      <x:c r="C313" s="2" t="str">
        <x:v>국내</x:v>
      </x:c>
      <x:c r="D313" s="7" t="str">
        <x:v>(주)뉴덕흥기업 보일러 버너교체를 통한 연료전환(B-C유 → LNG)  온실가스 배출 감축 사업</x:v>
      </x:c>
      <x:c r="E313" s="2" t="str">
        <x:v>174</x:v>
      </x:c>
      <x:c r="F313" s="2" t="str">
        <x:v>2017-12-14</x:v>
      </x:c>
      <x:c r="G313" s="2" t="str">
        <x:v>2017</x:v>
      </x:c>
      <x:c r="H313" s="2" t="str">
        <x:v>12</x:v>
      </x:c>
      <x:c r="I313" s="2" t="str">
        <x:v>사업변경 신청</x:v>
      </x:c>
      <x:c r="J313" s="2" t="str">
        <x:v>반려</x:v>
      </x:c>
      <x:c r="K313" s="2" t="str">
        <x:f>IF(OR(J313="심의승인",J313="반려",J313="반려완료",J313="심의완료"),"종결 표시",IF(OR(J313="기후부협의",J313="문서재제출요청",J313="보류",J313="보완요청",J313="보완완료",J313="평가중",J313="반려요청",J313="평가필요",LEFT(J313,5)="보완요청("),"미종결 표시","상태 확인 필요"))</x:f>
        <x:v>종결 표시</x:v>
      </x:c>
      <x:c r="L313" s="2"/>
      <x:c r="M313" s="2"/>
      <x:c r="N313" s="8" t="n">
        <x:f>DATE(2026,10,15)-DATE(2017,12,14)</x:f>
        <x:v>3227</x:v>
      </x:c>
      <x:c r="O313" s="2"/>
      <x:c r="P313" s="2"/>
      <x:c r="Q313" s="2" t="str">
        <x:v>산업전환_외부사업관리Tool_260707_이너젠 수정_LJY_261013.xlsx</x:v>
      </x:c>
      <x:c r="R313" s="2" t="str">
        <x:v>국내평가</x:v>
      </x:c>
      <x:c r="S313" s="8" t="n">
        <x:v>216</x:v>
      </x:c>
      <x:c r="T313" s="2" t="str">
        <x:v>2021년 처리</x:v>
      </x:c>
      <x:c r="U313" s="2" t="str">
        <x:v>2021 배정: 2021년 처리</x:v>
      </x:c>
      <x:c r="V313" s="2" t="str">
        <x:v>2021-04-08</x:v>
      </x:c>
      <x:c r="W313" s="2" t="str">
        <x:v>담당기관 확인</x:v>
      </x:c>
      <x:c r="X313" s="2" t="str">
        <x:v>원본·배정 기록 확인</x:v>
      </x:c>
      <x:c r="Y313" s="2" t="str">
        <x:v>ad210cd9ec132cfd447541c8984dc53d30aff0f4fb2dc92d254d49275cc55976</x:v>
      </x:c>
      <x:c r="Z313" s="2" t="n">
        <x:f>SUBTOTAL(103,A313)</x:f>
        <x:v>1</x:v>
      </x:c>
      <x:c r="AA313" s="2" t="str">
        <x:f>IF(K313&lt;&gt;"미종결 표시","대상 아님",IF(N313="","신청일 확인",IF(NOT(ISNUMBER('종합 현황'!$H$5)),"관찰기준 확인",IF('종합 현황'!$H$5&lt;1,"관찰기준 확인",IF(N313&gt;'종합 현황'!$H$5,"내부 관찰 대상","내부 관찰일 이하")))))</x:f>
        <x:v>대상 아님</x:v>
      </x:c>
      <x:c r="AB313" s="2"/>
    </x:row>
    <x:row r="314" ht="42" customHeight="1">
      <x:c r="A314" s="2" t="str">
        <x:v>58f418dbe6bfbef4861d9738</x:v>
      </x:c>
      <x:c r="B314" s="2" t="str">
        <x:v>사업 평가</x:v>
      </x:c>
      <x:c r="C314" s="2" t="str">
        <x:v>국내</x:v>
      </x:c>
      <x:c r="D314" s="7" t="str">
        <x:v>나산산업의 사출기 일부 모터 교체를 통한 설비 성능 개선에 따른 온실가스 감축사업</x:v>
      </x:c>
      <x:c r="E314" s="2" t="str">
        <x:v>175</x:v>
      </x:c>
      <x:c r="F314" s="2" t="str">
        <x:v>2017-12-14</x:v>
      </x:c>
      <x:c r="G314" s="2" t="str">
        <x:v>2017</x:v>
      </x:c>
      <x:c r="H314" s="2" t="str">
        <x:v>12</x:v>
      </x:c>
      <x:c r="I314" s="2" t="str">
        <x:v>승인</x:v>
      </x:c>
      <x:c r="J314" s="2" t="str">
        <x:v>심의승인</x:v>
      </x:c>
      <x:c r="K314" s="2" t="str">
        <x:f>IF(OR(J314="심의승인",J314="반려",J314="반려완료",J314="심의완료"),"종결 표시",IF(OR(J314="기후부협의",J314="문서재제출요청",J314="보류",J314="보완요청",J314="보완완료",J314="평가중",J314="반려요청",J314="평가필요",LEFT(J314,5)="보완요청("),"미종결 표시","상태 확인 필요"))</x:f>
        <x:v>종결 표시</x:v>
      </x:c>
      <x:c r="L314" s="2"/>
      <x:c r="M314" s="2"/>
      <x:c r="N314" s="8" t="n">
        <x:f>DATE(2026,10,15)-DATE(2017,12,14)</x:f>
        <x:v>3227</x:v>
      </x:c>
      <x:c r="O314" s="2"/>
      <x:c r="P314" s="2"/>
      <x:c r="Q314" s="2" t="str">
        <x:v>산업전환_외부사업관리Tool_260707_이너젠 수정_LJY_261013.xlsx</x:v>
      </x:c>
      <x:c r="R314" s="2" t="str">
        <x:v>국내평가</x:v>
      </x:c>
      <x:c r="S314" s="8" t="n">
        <x:v>217</x:v>
      </x:c>
      <x:c r="T314" s="2"/>
      <x:c r="U314" s="2" t="str"/>
      <x:c r="V314" s="2" t="str">
        <x:v>2018-11-28</x:v>
      </x:c>
      <x:c r="W314" s="2" t="str">
        <x:v>담당기관 확인</x:v>
      </x:c>
      <x:c r="X314" s="2" t="str">
        <x:v>원본·배정 기록 확인</x:v>
      </x:c>
      <x:c r="Y314" s="2" t="str">
        <x:v>ad210cd9ec132cfd447541c8984dc53d30aff0f4fb2dc92d254d49275cc55976</x:v>
      </x:c>
      <x:c r="Z314" s="2" t="n">
        <x:f>SUBTOTAL(103,A314)</x:f>
        <x:v>1</x:v>
      </x:c>
      <x:c r="AA314" s="2" t="str">
        <x:f>IF(K314&lt;&gt;"미종결 표시","대상 아님",IF(N314="","신청일 확인",IF(NOT(ISNUMBER('종합 현황'!$H$5)),"관찰기준 확인",IF('종합 현황'!$H$5&lt;1,"관찰기준 확인",IF(N314&gt;'종합 현황'!$H$5,"내부 관찰 대상","내부 관찰일 이하")))))</x:f>
        <x:v>대상 아님</x:v>
      </x:c>
      <x:c r="AB314" s="2"/>
    </x:row>
    <x:row r="315" ht="42" customHeight="1">
      <x:c r="A315" s="2" t="str">
        <x:v>38caecf38e68489417ceafa8</x:v>
      </x:c>
      <x:c r="B315" s="2" t="str">
        <x:v>사업 평가</x:v>
      </x:c>
      <x:c r="C315" s="2" t="str">
        <x:v>국내</x:v>
      </x:c>
      <x:c r="D315" s="7" t="str">
        <x:v>광일케미스틸 스팀보일러 연료교체(B-C유→LNG)를 통한 온실가스(CO2)배출 감축사업</x:v>
      </x:c>
      <x:c r="E315" s="2" t="str">
        <x:v>176</x:v>
      </x:c>
      <x:c r="F315" s="2" t="str">
        <x:v>2017-12-14</x:v>
      </x:c>
      <x:c r="G315" s="2" t="str">
        <x:v>2017</x:v>
      </x:c>
      <x:c r="H315" s="2" t="str">
        <x:v>12</x:v>
      </x:c>
      <x:c r="I315" s="2" t="str">
        <x:v>승인</x:v>
      </x:c>
      <x:c r="J315" s="2" t="str">
        <x:v>심의승인</x:v>
      </x:c>
      <x:c r="K315" s="2" t="str">
        <x:f>IF(OR(J315="심의승인",J315="반려",J315="반려완료",J315="심의완료"),"종결 표시",IF(OR(J315="기후부협의",J315="문서재제출요청",J315="보류",J315="보완요청",J315="보완완료",J315="평가중",J315="반려요청",J315="평가필요",LEFT(J315,5)="보완요청("),"미종결 표시","상태 확인 필요"))</x:f>
        <x:v>종결 표시</x:v>
      </x:c>
      <x:c r="L315" s="2"/>
      <x:c r="M315" s="2"/>
      <x:c r="N315" s="8" t="n">
        <x:f>DATE(2026,10,15)-DATE(2017,12,14)</x:f>
        <x:v>3227</x:v>
      </x:c>
      <x:c r="O315" s="2"/>
      <x:c r="P315" s="2"/>
      <x:c r="Q315" s="2" t="str">
        <x:v>산업전환_외부사업관리Tool_260707_이너젠 수정_LJY_261013.xlsx</x:v>
      </x:c>
      <x:c r="R315" s="2" t="str">
        <x:v>국내평가</x:v>
      </x:c>
      <x:c r="S315" s="8" t="n">
        <x:v>218</x:v>
      </x:c>
      <x:c r="T315" s="2"/>
      <x:c r="U315" s="2" t="str"/>
      <x:c r="V315" s="2" t="str">
        <x:v>2019-10-31</x:v>
      </x:c>
      <x:c r="W315" s="2" t="str">
        <x:v>담당기관 확인</x:v>
      </x:c>
      <x:c r="X315" s="2" t="str">
        <x:v>원본·배정 기록 확인</x:v>
      </x:c>
      <x:c r="Y315" s="2" t="str">
        <x:v>ad210cd9ec132cfd447541c8984dc53d30aff0f4fb2dc92d254d49275cc55976</x:v>
      </x:c>
      <x:c r="Z315" s="2" t="n">
        <x:f>SUBTOTAL(103,A315)</x:f>
        <x:v>1</x:v>
      </x:c>
      <x:c r="AA315" s="2" t="str">
        <x:f>IF(K315&lt;&gt;"미종결 표시","대상 아님",IF(N315="","신청일 확인",IF(NOT(ISNUMBER('종합 현황'!$H$5)),"관찰기준 확인",IF('종합 현황'!$H$5&lt;1,"관찰기준 확인",IF(N315&gt;'종합 현황'!$H$5,"내부 관찰 대상","내부 관찰일 이하")))))</x:f>
        <x:v>대상 아님</x:v>
      </x:c>
      <x:c r="AB315" s="2"/>
    </x:row>
    <x:row r="316" ht="42" customHeight="1">
      <x:c r="A316" s="2" t="str">
        <x:v>8b0a75fc2b39b84eade8e232</x:v>
      </x:c>
      <x:c r="B316" s="2" t="str">
        <x:v>사업 평가</x:v>
      </x:c>
      <x:c r="C316" s="2" t="str">
        <x:v>국내</x:v>
      </x:c>
      <x:c r="D316" s="7" t="str">
        <x:v>(주)면사랑 보일러 연료전환(LNG → 목재펠릿)을 통한 온실가스(CO2) 감축사업</x:v>
      </x:c>
      <x:c r="E316" s="2" t="str">
        <x:v>177</x:v>
      </x:c>
      <x:c r="F316" s="2" t="str">
        <x:v>2017-12-14</x:v>
      </x:c>
      <x:c r="G316" s="2" t="str">
        <x:v>2017</x:v>
      </x:c>
      <x:c r="H316" s="2" t="str">
        <x:v>12</x:v>
      </x:c>
      <x:c r="I316" s="2" t="str">
        <x:v>승인</x:v>
      </x:c>
      <x:c r="J316" s="2" t="str">
        <x:v>심의승인</x:v>
      </x:c>
      <x:c r="K316" s="2" t="str">
        <x:f>IF(OR(J316="심의승인",J316="반려",J316="반려완료",J316="심의완료"),"종결 표시",IF(OR(J316="기후부협의",J316="문서재제출요청",J316="보류",J316="보완요청",J316="보완완료",J316="평가중",J316="반려요청",J316="평가필요",LEFT(J316,5)="보완요청("),"미종결 표시","상태 확인 필요"))</x:f>
        <x:v>종결 표시</x:v>
      </x:c>
      <x:c r="L316" s="2"/>
      <x:c r="M316" s="2"/>
      <x:c r="N316" s="8" t="n">
        <x:f>DATE(2026,10,15)-DATE(2017,12,14)</x:f>
        <x:v>3227</x:v>
      </x:c>
      <x:c r="O316" s="2"/>
      <x:c r="P316" s="2"/>
      <x:c r="Q316" s="2" t="str">
        <x:v>산업전환_외부사업관리Tool_260707_이너젠 수정_LJY_261013.xlsx</x:v>
      </x:c>
      <x:c r="R316" s="2" t="str">
        <x:v>국내평가</x:v>
      </x:c>
      <x:c r="S316" s="8" t="n">
        <x:v>219</x:v>
      </x:c>
      <x:c r="T316" s="2"/>
      <x:c r="U316" s="2" t="str"/>
      <x:c r="V316" s="2" t="str">
        <x:v>2018-12-12</x:v>
      </x:c>
      <x:c r="W316" s="2" t="str">
        <x:v>담당기관 확인</x:v>
      </x:c>
      <x:c r="X316" s="2" t="str">
        <x:v>원본·배정 기록 확인</x:v>
      </x:c>
      <x:c r="Y316" s="2" t="str">
        <x:v>ad210cd9ec132cfd447541c8984dc53d30aff0f4fb2dc92d254d49275cc55976</x:v>
      </x:c>
      <x:c r="Z316" s="2" t="n">
        <x:f>SUBTOTAL(103,A316)</x:f>
        <x:v>1</x:v>
      </x:c>
      <x:c r="AA316" s="2" t="str">
        <x:f>IF(K316&lt;&gt;"미종결 표시","대상 아님",IF(N316="","신청일 확인",IF(NOT(ISNUMBER('종합 현황'!$H$5)),"관찰기준 확인",IF('종합 현황'!$H$5&lt;1,"관찰기준 확인",IF(N316&gt;'종합 현황'!$H$5,"내부 관찰 대상","내부 관찰일 이하")))))</x:f>
        <x:v>대상 아님</x:v>
      </x:c>
      <x:c r="AB316" s="2"/>
    </x:row>
    <x:row r="317" ht="42" customHeight="1">
      <x:c r="A317" s="2" t="str">
        <x:v>9016f75c84e22ed463c7f9e3</x:v>
      </x:c>
      <x:c r="B317" s="2" t="str">
        <x:v>사업 평가</x:v>
      </x:c>
      <x:c r="C317" s="2" t="str">
        <x:v>국내</x:v>
      </x:c>
      <x:c r="D317" s="7" t="str">
        <x:v>(주)대연 사출기 일부 개조(유압식-&amp;gt하이브리드)를 통한 설비 성능 개선에 따른 온실가스 감축사업</x:v>
      </x:c>
      <x:c r="E317" s="2" t="str">
        <x:v>178</x:v>
      </x:c>
      <x:c r="F317" s="2" t="str">
        <x:v>2017-12-14</x:v>
      </x:c>
      <x:c r="G317" s="2" t="str">
        <x:v>2017</x:v>
      </x:c>
      <x:c r="H317" s="2" t="str">
        <x:v>12</x:v>
      </x:c>
      <x:c r="I317" s="2" t="str">
        <x:v>승인</x:v>
      </x:c>
      <x:c r="J317" s="2" t="str">
        <x:v>심의승인</x:v>
      </x:c>
      <x:c r="K317" s="2" t="str">
        <x:f>IF(OR(J317="심의승인",J317="반려",J317="반려완료",J317="심의완료"),"종결 표시",IF(OR(J317="기후부협의",J317="문서재제출요청",J317="보류",J317="보완요청",J317="보완완료",J317="평가중",J317="반려요청",J317="평가필요",LEFT(J317,5)="보완요청("),"미종결 표시","상태 확인 필요"))</x:f>
        <x:v>종결 표시</x:v>
      </x:c>
      <x:c r="L317" s="2"/>
      <x:c r="M317" s="2"/>
      <x:c r="N317" s="8" t="n">
        <x:f>DATE(2026,10,15)-DATE(2017,12,14)</x:f>
        <x:v>3227</x:v>
      </x:c>
      <x:c r="O317" s="2"/>
      <x:c r="P317" s="2"/>
      <x:c r="Q317" s="2" t="str">
        <x:v>산업전환_외부사업관리Tool_260707_이너젠 수정_LJY_261013.xlsx</x:v>
      </x:c>
      <x:c r="R317" s="2" t="str">
        <x:v>국내평가</x:v>
      </x:c>
      <x:c r="S317" s="8" t="n">
        <x:v>220</x:v>
      </x:c>
      <x:c r="T317" s="2"/>
      <x:c r="U317" s="2" t="str"/>
      <x:c r="V317" s="2" t="str">
        <x:v>2018-11-28</x:v>
      </x:c>
      <x:c r="W317" s="2" t="str">
        <x:v>담당기관 확인</x:v>
      </x:c>
      <x:c r="X317" s="2" t="str">
        <x:v>원본·배정 기록 확인</x:v>
      </x:c>
      <x:c r="Y317" s="2" t="str">
        <x:v>ad210cd9ec132cfd447541c8984dc53d30aff0f4fb2dc92d254d49275cc55976</x:v>
      </x:c>
      <x:c r="Z317" s="2" t="n">
        <x:f>SUBTOTAL(103,A317)</x:f>
        <x:v>1</x:v>
      </x:c>
      <x:c r="AA317" s="2" t="str">
        <x:f>IF(K317&lt;&gt;"미종결 표시","대상 아님",IF(N317="","신청일 확인",IF(NOT(ISNUMBER('종합 현황'!$H$5)),"관찰기준 확인",IF('종합 현황'!$H$5&lt;1,"관찰기준 확인",IF(N317&gt;'종합 현황'!$H$5,"내부 관찰 대상","내부 관찰일 이하")))))</x:f>
        <x:v>대상 아님</x:v>
      </x:c>
      <x:c r="AB317" s="2"/>
    </x:row>
    <x:row r="318" ht="42" customHeight="1">
      <x:c r="A318" s="2" t="str">
        <x:v>57610b7360366cf8ed9c64fc</x:v>
      </x:c>
      <x:c r="B318" s="2" t="str">
        <x:v>사업 평가</x:v>
      </x:c>
      <x:c r="C318" s="2" t="str">
        <x:v>국내</x:v>
      </x:c>
      <x:c r="D318" s="7" t="str">
        <x:v>산양 스팀보일러 및 건조로의 연료교체를 통한 온실가스 감축사업</x:v>
      </x:c>
      <x:c r="E318" s="2" t="str">
        <x:v>179</x:v>
      </x:c>
      <x:c r="F318" s="2" t="str">
        <x:v>2017-12-14</x:v>
      </x:c>
      <x:c r="G318" s="2" t="str">
        <x:v>2017</x:v>
      </x:c>
      <x:c r="H318" s="2" t="str">
        <x:v>12</x:v>
      </x:c>
      <x:c r="I318" s="2" t="str">
        <x:v>승인</x:v>
      </x:c>
      <x:c r="J318" s="2" t="str">
        <x:v>심의승인</x:v>
      </x:c>
      <x:c r="K318" s="2" t="str">
        <x:f>IF(OR(J318="심의승인",J318="반려",J318="반려완료",J318="심의완료"),"종결 표시",IF(OR(J318="기후부협의",J318="문서재제출요청",J318="보류",J318="보완요청",J318="보완완료",J318="평가중",J318="반려요청",J318="평가필요",LEFT(J318,5)="보완요청("),"미종결 표시","상태 확인 필요"))</x:f>
        <x:v>종결 표시</x:v>
      </x:c>
      <x:c r="L318" s="2"/>
      <x:c r="M318" s="2"/>
      <x:c r="N318" s="8" t="n">
        <x:f>DATE(2026,10,15)-DATE(2017,12,14)</x:f>
        <x:v>3227</x:v>
      </x:c>
      <x:c r="O318" s="2"/>
      <x:c r="P318" s="2"/>
      <x:c r="Q318" s="2" t="str">
        <x:v>산업전환_외부사업관리Tool_260707_이너젠 수정_LJY_261013.xlsx</x:v>
      </x:c>
      <x:c r="R318" s="2" t="str">
        <x:v>국내평가</x:v>
      </x:c>
      <x:c r="S318" s="8" t="n">
        <x:v>221</x:v>
      </x:c>
      <x:c r="T318" s="2"/>
      <x:c r="U318" s="2" t="str"/>
      <x:c r="V318" s="2" t="str">
        <x:v>2018-11-27</x:v>
      </x:c>
      <x:c r="W318" s="2" t="str">
        <x:v>담당기관 확인</x:v>
      </x:c>
      <x:c r="X318" s="2" t="str">
        <x:v>원본·배정 기록 확인</x:v>
      </x:c>
      <x:c r="Y318" s="2" t="str">
        <x:v>ad210cd9ec132cfd447541c8984dc53d30aff0f4fb2dc92d254d49275cc55976</x:v>
      </x:c>
      <x:c r="Z318" s="2" t="n">
        <x:f>SUBTOTAL(103,A318)</x:f>
        <x:v>1</x:v>
      </x:c>
      <x:c r="AA318" s="2" t="str">
        <x:f>IF(K318&lt;&gt;"미종결 표시","대상 아님",IF(N318="","신청일 확인",IF(NOT(ISNUMBER('종합 현황'!$H$5)),"관찰기준 확인",IF('종합 현황'!$H$5&lt;1,"관찰기준 확인",IF(N318&gt;'종합 현황'!$H$5,"내부 관찰 대상","내부 관찰일 이하")))))</x:f>
        <x:v>대상 아님</x:v>
      </x:c>
      <x:c r="AB318" s="2"/>
    </x:row>
    <x:row r="319" ht="42" customHeight="1">
      <x:c r="A319" s="2" t="str">
        <x:v>96d8a5ea468a6ae53a193a0a</x:v>
      </x:c>
      <x:c r="B319" s="2" t="str">
        <x:v>사업 평가</x:v>
      </x:c>
      <x:c r="C319" s="2" t="str">
        <x:v>국내</x:v>
      </x:c>
      <x:c r="D319" s="7" t="str">
        <x:v>융도물산 목재펠릿 연료전환(B-C유, 연료유→목재펠릿)을 통한 온실가스 감축사업</x:v>
      </x:c>
      <x:c r="E319" s="2" t="str">
        <x:v>180</x:v>
      </x:c>
      <x:c r="F319" s="2" t="str">
        <x:v>2017-12-14</x:v>
      </x:c>
      <x:c r="G319" s="2" t="str">
        <x:v>2017</x:v>
      </x:c>
      <x:c r="H319" s="2" t="str">
        <x:v>12</x:v>
      </x:c>
      <x:c r="I319" s="2" t="str">
        <x:v>승인</x:v>
      </x:c>
      <x:c r="J319" s="2" t="str">
        <x:v>심의승인</x:v>
      </x:c>
      <x:c r="K319" s="2" t="str">
        <x:f>IF(OR(J319="심의승인",J319="반려",J319="반려완료",J319="심의완료"),"종결 표시",IF(OR(J319="기후부협의",J319="문서재제출요청",J319="보류",J319="보완요청",J319="보완완료",J319="평가중",J319="반려요청",J319="평가필요",LEFT(J319,5)="보완요청("),"미종결 표시","상태 확인 필요"))</x:f>
        <x:v>종결 표시</x:v>
      </x:c>
      <x:c r="L319" s="2"/>
      <x:c r="M319" s="2"/>
      <x:c r="N319" s="8" t="n">
        <x:f>DATE(2026,10,15)-DATE(2017,12,14)</x:f>
        <x:v>3227</x:v>
      </x:c>
      <x:c r="O319" s="2"/>
      <x:c r="P319" s="2"/>
      <x:c r="Q319" s="2" t="str">
        <x:v>산업전환_외부사업관리Tool_260707_이너젠 수정_LJY_261013.xlsx</x:v>
      </x:c>
      <x:c r="R319" s="2" t="str">
        <x:v>국내평가</x:v>
      </x:c>
      <x:c r="S319" s="8" t="n">
        <x:v>222</x:v>
      </x:c>
      <x:c r="T319" s="2"/>
      <x:c r="U319" s="2" t="str"/>
      <x:c r="V319" s="2" t="str">
        <x:v>2019-08-26</x:v>
      </x:c>
      <x:c r="W319" s="2" t="str">
        <x:v>담당기관 확인</x:v>
      </x:c>
      <x:c r="X319" s="2" t="str">
        <x:v>원본·배정 기록 확인</x:v>
      </x:c>
      <x:c r="Y319" s="2" t="str">
        <x:v>ad210cd9ec132cfd447541c8984dc53d30aff0f4fb2dc92d254d49275cc55976</x:v>
      </x:c>
      <x:c r="Z319" s="2" t="n">
        <x:f>SUBTOTAL(103,A319)</x:f>
        <x:v>1</x:v>
      </x:c>
      <x:c r="AA319" s="2" t="str">
        <x:f>IF(K319&lt;&gt;"미종결 표시","대상 아님",IF(N319="","신청일 확인",IF(NOT(ISNUMBER('종합 현황'!$H$5)),"관찰기준 확인",IF('종합 현황'!$H$5&lt;1,"관찰기준 확인",IF(N319&gt;'종합 현황'!$H$5,"내부 관찰 대상","내부 관찰일 이하")))))</x:f>
        <x:v>대상 아님</x:v>
      </x:c>
      <x:c r="AB319" s="2"/>
    </x:row>
    <x:row r="320" ht="42" customHeight="1">
      <x:c r="A320" s="2" t="str">
        <x:v>8423992af6f56c356182f775</x:v>
      </x:c>
      <x:c r="B320" s="2" t="str">
        <x:v>사업 평가</x:v>
      </x:c>
      <x:c r="C320" s="2" t="str">
        <x:v>국내</x:v>
      </x:c>
      <x:c r="D320" s="7" t="str">
        <x:v>태양케미칼의 목재펠릿 연료전환(LPG-&amp;gt목재펠릿)을 통한 온실가스 감축사업</x:v>
      </x:c>
      <x:c r="E320" s="2" t="str">
        <x:v>181</x:v>
      </x:c>
      <x:c r="F320" s="2" t="str">
        <x:v>2017-12-14</x:v>
      </x:c>
      <x:c r="G320" s="2" t="str">
        <x:v>2017</x:v>
      </x:c>
      <x:c r="H320" s="2" t="str">
        <x:v>12</x:v>
      </x:c>
      <x:c r="I320" s="2" t="str">
        <x:v>승인</x:v>
      </x:c>
      <x:c r="J320" s="2" t="str">
        <x:v>심의승인</x:v>
      </x:c>
      <x:c r="K320" s="2" t="str">
        <x:f>IF(OR(J320="심의승인",J320="반려",J320="반려완료",J320="심의완료"),"종결 표시",IF(OR(J320="기후부협의",J320="문서재제출요청",J320="보류",J320="보완요청",J320="보완완료",J320="평가중",J320="반려요청",J320="평가필요",LEFT(J320,5)="보완요청("),"미종결 표시","상태 확인 필요"))</x:f>
        <x:v>종결 표시</x:v>
      </x:c>
      <x:c r="L320" s="2"/>
      <x:c r="M320" s="2"/>
      <x:c r="N320" s="8" t="n">
        <x:f>DATE(2026,10,15)-DATE(2017,12,14)</x:f>
        <x:v>3227</x:v>
      </x:c>
      <x:c r="O320" s="2"/>
      <x:c r="P320" s="2"/>
      <x:c r="Q320" s="2" t="str">
        <x:v>산업전환_외부사업관리Tool_260707_이너젠 수정_LJY_261013.xlsx</x:v>
      </x:c>
      <x:c r="R320" s="2" t="str">
        <x:v>국내평가</x:v>
      </x:c>
      <x:c r="S320" s="8" t="n">
        <x:v>223</x:v>
      </x:c>
      <x:c r="T320" s="2"/>
      <x:c r="U320" s="2" t="str"/>
      <x:c r="V320" s="2" t="str">
        <x:v>2018-11-27</x:v>
      </x:c>
      <x:c r="W320" s="2" t="str">
        <x:v>담당기관 확인</x:v>
      </x:c>
      <x:c r="X320" s="2" t="str">
        <x:v>원본·배정 기록 확인</x:v>
      </x:c>
      <x:c r="Y320" s="2" t="str">
        <x:v>ad210cd9ec132cfd447541c8984dc53d30aff0f4fb2dc92d254d49275cc55976</x:v>
      </x:c>
      <x:c r="Z320" s="2" t="n">
        <x:f>SUBTOTAL(103,A320)</x:f>
        <x:v>1</x:v>
      </x:c>
      <x:c r="AA320" s="2" t="str">
        <x:f>IF(K320&lt;&gt;"미종결 표시","대상 아님",IF(N320="","신청일 확인",IF(NOT(ISNUMBER('종합 현황'!$H$5)),"관찰기준 확인",IF('종합 현황'!$H$5&lt;1,"관찰기준 확인",IF(N320&gt;'종합 현황'!$H$5,"내부 관찰 대상","내부 관찰일 이하")))))</x:f>
        <x:v>대상 아님</x:v>
      </x:c>
      <x:c r="AB320" s="2"/>
    </x:row>
    <x:row r="321" ht="42" customHeight="1">
      <x:c r="A321" s="2" t="str">
        <x:v>24938412b495b7d46983ffff</x:v>
      </x:c>
      <x:c r="B321" s="2" t="str">
        <x:v>사업 평가</x:v>
      </x:c>
      <x:c r="C321" s="2" t="str">
        <x:v>국내</x:v>
      </x:c>
      <x:c r="D321" s="7" t="str">
        <x:v>목재펠릿 연료전환(LNG-&gt;목재펠릿)을 통한 온실가스 감축사업</x:v>
      </x:c>
      <x:c r="E321" s="2" t="str">
        <x:v>182</x:v>
      </x:c>
      <x:c r="F321" s="2" t="str">
        <x:v>2021-03-19</x:v>
      </x:c>
      <x:c r="G321" s="2" t="str">
        <x:v>2021</x:v>
      </x:c>
      <x:c r="H321" s="2" t="str">
        <x:v>03</x:v>
      </x:c>
      <x:c r="I321" s="2" t="str">
        <x:v>반려</x:v>
      </x:c>
      <x:c r="J321" s="2" t="str">
        <x:v>반려</x:v>
      </x:c>
      <x:c r="K321" s="2" t="str">
        <x:f>IF(OR(J321="심의승인",J321="반려",J321="반려완료",J321="심의완료"),"종결 표시",IF(OR(J321="기후부협의",J321="문서재제출요청",J321="보류",J321="보완요청",J321="보완완료",J321="평가중",J321="반려요청",J321="평가필요",LEFT(J321,5)="보완요청("),"미종결 표시","상태 확인 필요"))</x:f>
        <x:v>종결 표시</x:v>
      </x:c>
      <x:c r="L321" s="2"/>
      <x:c r="M321" s="2"/>
      <x:c r="N321" s="8" t="n">
        <x:f>DATE(2026,10,15)-DATE(2021,3,19)</x:f>
        <x:v>2036</x:v>
      </x:c>
      <x:c r="O321" s="2"/>
      <x:c r="P321" s="2"/>
      <x:c r="Q321" s="2" t="str">
        <x:v>산업전환_외부사업관리Tool_260707_이너젠 수정_LJY_261013.xlsx</x:v>
      </x:c>
      <x:c r="R321" s="2" t="str">
        <x:v>국내평가</x:v>
      </x:c>
      <x:c r="S321" s="8" t="n">
        <x:v>224</x:v>
      </x:c>
      <x:c r="T321" s="2"/>
      <x:c r="U321" s="2" t="str"/>
      <x:c r="V321" s="2" t="str">
        <x:v>2021-07-16</x:v>
      </x:c>
      <x:c r="W321" s="2" t="str">
        <x:v>담당기관 확인</x:v>
      </x:c>
      <x:c r="X321" s="2" t="str">
        <x:v>원본·배정 기록 확인</x:v>
      </x:c>
      <x:c r="Y321" s="2" t="str">
        <x:v>ad210cd9ec132cfd447541c8984dc53d30aff0f4fb2dc92d254d49275cc55976</x:v>
      </x:c>
      <x:c r="Z321" s="2" t="n">
        <x:f>SUBTOTAL(103,A321)</x:f>
        <x:v>1</x:v>
      </x:c>
      <x:c r="AA321" s="2" t="str">
        <x:f>IF(K321&lt;&gt;"미종결 표시","대상 아님",IF(N321="","신청일 확인",IF(NOT(ISNUMBER('종합 현황'!$H$5)),"관찰기준 확인",IF('종합 현황'!$H$5&lt;1,"관찰기준 확인",IF(N321&gt;'종합 현황'!$H$5,"내부 관찰 대상","내부 관찰일 이하")))))</x:f>
        <x:v>대상 아님</x:v>
      </x:c>
      <x:c r="AB321" s="2"/>
    </x:row>
    <x:row r="322" ht="42" customHeight="1">
      <x:c r="A322" s="2" t="str">
        <x:v>b5933da2ef2311ff69417bbb</x:v>
      </x:c>
      <x:c r="B322" s="2" t="str">
        <x:v>사업 평가</x:v>
      </x:c>
      <x:c r="C322" s="2" t="str">
        <x:v>국내</x:v>
      </x:c>
      <x:c r="D322" s="7" t="str">
        <x:v>한일섬유  건조공정 연료교체 KVER사업</x:v>
      </x:c>
      <x:c r="E322" s="2" t="str">
        <x:v>183</x:v>
      </x:c>
      <x:c r="F322" s="2" t="str">
        <x:v>2017-12-14</x:v>
      </x:c>
      <x:c r="G322" s="2" t="str">
        <x:v>2017</x:v>
      </x:c>
      <x:c r="H322" s="2" t="str">
        <x:v>12</x:v>
      </x:c>
      <x:c r="I322" s="2" t="str">
        <x:v>사업변경 신청</x:v>
      </x:c>
      <x:c r="J322" s="2" t="str">
        <x:v>반려</x:v>
      </x:c>
      <x:c r="K322" s="2" t="str">
        <x:f>IF(OR(J322="심의승인",J322="반려",J322="반려완료",J322="심의완료"),"종결 표시",IF(OR(J322="기후부협의",J322="문서재제출요청",J322="보류",J322="보완요청",J322="보완완료",J322="평가중",J322="반려요청",J322="평가필요",LEFT(J322,5)="보완요청("),"미종결 표시","상태 확인 필요"))</x:f>
        <x:v>종결 표시</x:v>
      </x:c>
      <x:c r="L322" s="2"/>
      <x:c r="M322" s="2"/>
      <x:c r="N322" s="8" t="n">
        <x:f>DATE(2026,10,15)-DATE(2017,12,14)</x:f>
        <x:v>3227</x:v>
      </x:c>
      <x:c r="O322" s="2"/>
      <x:c r="P322" s="2"/>
      <x:c r="Q322" s="2" t="str">
        <x:v>산업전환_외부사업관리Tool_260707_이너젠 수정_LJY_261013.xlsx</x:v>
      </x:c>
      <x:c r="R322" s="2" t="str">
        <x:v>국내평가</x:v>
      </x:c>
      <x:c r="S322" s="8" t="n">
        <x:v>225</x:v>
      </x:c>
      <x:c r="T322" s="2"/>
      <x:c r="U322" s="2" t="str"/>
      <x:c r="V322" s="2" t="str">
        <x:v>2020-03-09</x:v>
      </x:c>
      <x:c r="W322" s="2" t="str">
        <x:v>담당기관 확인</x:v>
      </x:c>
      <x:c r="X322" s="2" t="str">
        <x:v>원본·배정 기록 확인</x:v>
      </x:c>
      <x:c r="Y322" s="2" t="str">
        <x:v>ad210cd9ec132cfd447541c8984dc53d30aff0f4fb2dc92d254d49275cc55976</x:v>
      </x:c>
      <x:c r="Z322" s="2" t="n">
        <x:f>SUBTOTAL(103,A322)</x:f>
        <x:v>1</x:v>
      </x:c>
      <x:c r="AA322" s="2" t="str">
        <x:f>IF(K322&lt;&gt;"미종결 표시","대상 아님",IF(N322="","신청일 확인",IF(NOT(ISNUMBER('종합 현황'!$H$5)),"관찰기준 확인",IF('종합 현황'!$H$5&lt;1,"관찰기준 확인",IF(N322&gt;'종합 현황'!$H$5,"내부 관찰 대상","내부 관찰일 이하")))))</x:f>
        <x:v>대상 아님</x:v>
      </x:c>
      <x:c r="AB322" s="2"/>
    </x:row>
    <x:row r="323" ht="42" customHeight="1">
      <x:c r="A323" s="2" t="str">
        <x:v>09f1ccd43944d2417422951c</x:v>
      </x:c>
      <x:c r="B323" s="2" t="str">
        <x:v>사업 평가</x:v>
      </x:c>
      <x:c r="C323" s="2" t="str">
        <x:v>국내</x:v>
      </x:c>
      <x:c r="D323" s="7" t="str">
        <x:v>신우에스에프 보일러 연료전환(LPG → 목재펠릿)을 통한 온실가스 감축사업</x:v>
      </x:c>
      <x:c r="E323" s="2" t="str">
        <x:v>184</x:v>
      </x:c>
      <x:c r="F323" s="2" t="str">
        <x:v>2017-12-14</x:v>
      </x:c>
      <x:c r="G323" s="2" t="str">
        <x:v>2017</x:v>
      </x:c>
      <x:c r="H323" s="2" t="str">
        <x:v>12</x:v>
      </x:c>
      <x:c r="I323" s="2" t="str">
        <x:v>승인</x:v>
      </x:c>
      <x:c r="J323" s="2" t="str">
        <x:v>심의승인</x:v>
      </x:c>
      <x:c r="K323" s="2" t="str">
        <x:f>IF(OR(J323="심의승인",J323="반려",J323="반려완료",J323="심의완료"),"종결 표시",IF(OR(J323="기후부협의",J323="문서재제출요청",J323="보류",J323="보완요청",J323="보완완료",J323="평가중",J323="반려요청",J323="평가필요",LEFT(J323,5)="보완요청("),"미종결 표시","상태 확인 필요"))</x:f>
        <x:v>종결 표시</x:v>
      </x:c>
      <x:c r="L323" s="2"/>
      <x:c r="M323" s="2"/>
      <x:c r="N323" s="8" t="n">
        <x:f>DATE(2026,10,15)-DATE(2017,12,14)</x:f>
        <x:v>3227</x:v>
      </x:c>
      <x:c r="O323" s="2"/>
      <x:c r="P323" s="2"/>
      <x:c r="Q323" s="2" t="str">
        <x:v>산업전환_외부사업관리Tool_260707_이너젠 수정_LJY_261013.xlsx</x:v>
      </x:c>
      <x:c r="R323" s="2" t="str">
        <x:v>국내평가</x:v>
      </x:c>
      <x:c r="S323" s="8" t="n">
        <x:v>226</x:v>
      </x:c>
      <x:c r="T323" s="2"/>
      <x:c r="U323" s="2" t="str"/>
      <x:c r="V323" s="2" t="str">
        <x:v>2018-11-28</x:v>
      </x:c>
      <x:c r="W323" s="2" t="str">
        <x:v>담당기관 확인</x:v>
      </x:c>
      <x:c r="X323" s="2" t="str">
        <x:v>원본·배정 기록 확인</x:v>
      </x:c>
      <x:c r="Y323" s="2" t="str">
        <x:v>ad210cd9ec132cfd447541c8984dc53d30aff0f4fb2dc92d254d49275cc55976</x:v>
      </x:c>
      <x:c r="Z323" s="2" t="n">
        <x:f>SUBTOTAL(103,A323)</x:f>
        <x:v>1</x:v>
      </x:c>
      <x:c r="AA323" s="2" t="str">
        <x:f>IF(K323&lt;&gt;"미종결 표시","대상 아님",IF(N323="","신청일 확인",IF(NOT(ISNUMBER('종합 현황'!$H$5)),"관찰기준 확인",IF('종합 현황'!$H$5&lt;1,"관찰기준 확인",IF(N323&gt;'종합 현황'!$H$5,"내부 관찰 대상","내부 관찰일 이하")))))</x:f>
        <x:v>대상 아님</x:v>
      </x:c>
      <x:c r="AB323" s="2"/>
    </x:row>
    <x:row r="324" ht="42" customHeight="1">
      <x:c r="A324" s="2" t="str">
        <x:v>be783a485fe59f7e62bd958f</x:v>
      </x:c>
      <x:c r="B324" s="2" t="str">
        <x:v>사업 평가</x:v>
      </x:c>
      <x:c r="C324" s="2" t="str">
        <x:v>국내</x:v>
      </x:c>
      <x:c r="D324" s="7" t="str">
        <x:v>삼원의 스팀보일러 연료교체를 통한 온실가스 감축사업</x:v>
      </x:c>
      <x:c r="E324" s="2" t="str">
        <x:v>185</x:v>
      </x:c>
      <x:c r="F324" s="2" t="str">
        <x:v>2017-12-14</x:v>
      </x:c>
      <x:c r="G324" s="2" t="str">
        <x:v>2017</x:v>
      </x:c>
      <x:c r="H324" s="2" t="str">
        <x:v>12</x:v>
      </x:c>
      <x:c r="I324" s="2" t="str">
        <x:v>승인</x:v>
      </x:c>
      <x:c r="J324" s="2" t="str">
        <x:v>심의승인</x:v>
      </x:c>
      <x:c r="K324" s="2" t="str">
        <x:f>IF(OR(J324="심의승인",J324="반려",J324="반려완료",J324="심의완료"),"종결 표시",IF(OR(J324="기후부협의",J324="문서재제출요청",J324="보류",J324="보완요청",J324="보완완료",J324="평가중",J324="반려요청",J324="평가필요",LEFT(J324,5)="보완요청("),"미종결 표시","상태 확인 필요"))</x:f>
        <x:v>종결 표시</x:v>
      </x:c>
      <x:c r="L324" s="2"/>
      <x:c r="M324" s="2"/>
      <x:c r="N324" s="8" t="n">
        <x:f>DATE(2026,10,15)-DATE(2017,12,14)</x:f>
        <x:v>3227</x:v>
      </x:c>
      <x:c r="O324" s="2"/>
      <x:c r="P324" s="2"/>
      <x:c r="Q324" s="2" t="str">
        <x:v>산업전환_외부사업관리Tool_260707_이너젠 수정_LJY_261013.xlsx</x:v>
      </x:c>
      <x:c r="R324" s="2" t="str">
        <x:v>국내평가</x:v>
      </x:c>
      <x:c r="S324" s="8" t="n">
        <x:v>227</x:v>
      </x:c>
      <x:c r="T324" s="2"/>
      <x:c r="U324" s="2" t="str"/>
      <x:c r="V324" s="2" t="str">
        <x:v>2019-02-07</x:v>
      </x:c>
      <x:c r="W324" s="2" t="str">
        <x:v>담당기관 확인</x:v>
      </x:c>
      <x:c r="X324" s="2" t="str">
        <x:v>원본·배정 기록 확인</x:v>
      </x:c>
      <x:c r="Y324" s="2" t="str">
        <x:v>ad210cd9ec132cfd447541c8984dc53d30aff0f4fb2dc92d254d49275cc55976</x:v>
      </x:c>
      <x:c r="Z324" s="2" t="n">
        <x:f>SUBTOTAL(103,A324)</x:f>
        <x:v>1</x:v>
      </x:c>
      <x:c r="AA324" s="2" t="str">
        <x:f>IF(K324&lt;&gt;"미종결 표시","대상 아님",IF(N324="","신청일 확인",IF(NOT(ISNUMBER('종합 현황'!$H$5)),"관찰기준 확인",IF('종합 현황'!$H$5&lt;1,"관찰기준 확인",IF(N324&gt;'종합 현황'!$H$5,"내부 관찰 대상","내부 관찰일 이하")))))</x:f>
        <x:v>대상 아님</x:v>
      </x:c>
      <x:c r="AB324" s="2"/>
    </x:row>
    <x:row r="325" ht="42" customHeight="1">
      <x:c r="A325" s="2" t="str">
        <x:v>f1d52bae9b64546e8e135c8a</x:v>
      </x:c>
      <x:c r="B325" s="2" t="str">
        <x:v>사업 평가</x:v>
      </x:c>
      <x:c r="C325" s="2" t="str">
        <x:v>국내</x:v>
      </x:c>
      <x:c r="D325" s="7" t="str">
        <x:v>(주)에버텍 스팀보일러의 연료교체(B-C유 등→LNG)를 통한 온실가스(CO2) 배출 감축사업</x:v>
      </x:c>
      <x:c r="E325" s="2" t="str">
        <x:v>186</x:v>
      </x:c>
      <x:c r="F325" s="2" t="str">
        <x:v>2017-12-14</x:v>
      </x:c>
      <x:c r="G325" s="2" t="str">
        <x:v>2017</x:v>
      </x:c>
      <x:c r="H325" s="2" t="str">
        <x:v>12</x:v>
      </x:c>
      <x:c r="I325" s="2" t="str">
        <x:v>사업변경 신청</x:v>
      </x:c>
      <x:c r="J325" s="2" t="str">
        <x:v>반려</x:v>
      </x:c>
      <x:c r="K325" s="2" t="str">
        <x:f>IF(OR(J325="심의승인",J325="반려",J325="반려완료",J325="심의완료"),"종결 표시",IF(OR(J325="기후부협의",J325="문서재제출요청",J325="보류",J325="보완요청",J325="보완완료",J325="평가중",J325="반려요청",J325="평가필요",LEFT(J325,5)="보완요청("),"미종결 표시","상태 확인 필요"))</x:f>
        <x:v>종결 표시</x:v>
      </x:c>
      <x:c r="L325" s="2"/>
      <x:c r="M325" s="2"/>
      <x:c r="N325" s="8" t="n">
        <x:f>DATE(2026,10,15)-DATE(2017,12,14)</x:f>
        <x:v>3227</x:v>
      </x:c>
      <x:c r="O325" s="2"/>
      <x:c r="P325" s="2"/>
      <x:c r="Q325" s="2" t="str">
        <x:v>산업전환_외부사업관리Tool_260707_이너젠 수정_LJY_261013.xlsx</x:v>
      </x:c>
      <x:c r="R325" s="2" t="str">
        <x:v>국내평가</x:v>
      </x:c>
      <x:c r="S325" s="8" t="n">
        <x:v>228</x:v>
      </x:c>
      <x:c r="T325" s="2"/>
      <x:c r="U325" s="2" t="str"/>
      <x:c r="V325" s="2" t="str">
        <x:v>2020-04-16</x:v>
      </x:c>
      <x:c r="W325" s="2" t="str">
        <x:v>담당기관 확인</x:v>
      </x:c>
      <x:c r="X325" s="2" t="str">
        <x:v>원본·배정 기록 확인</x:v>
      </x:c>
      <x:c r="Y325" s="2" t="str">
        <x:v>ad210cd9ec132cfd447541c8984dc53d30aff0f4fb2dc92d254d49275cc55976</x:v>
      </x:c>
      <x:c r="Z325" s="2" t="n">
        <x:f>SUBTOTAL(103,A325)</x:f>
        <x:v>1</x:v>
      </x:c>
      <x:c r="AA325" s="2" t="str">
        <x:f>IF(K325&lt;&gt;"미종결 표시","대상 아님",IF(N325="","신청일 확인",IF(NOT(ISNUMBER('종합 현황'!$H$5)),"관찰기준 확인",IF('종합 현황'!$H$5&lt;1,"관찰기준 확인",IF(N325&gt;'종합 현황'!$H$5,"내부 관찰 대상","내부 관찰일 이하")))))</x:f>
        <x:v>대상 아님</x:v>
      </x:c>
      <x:c r="AB325" s="2"/>
    </x:row>
    <x:row r="326" ht="42" customHeight="1">
      <x:c r="A326" s="2" t="str">
        <x:v>b9b8b555635134ccc3e1200d</x:v>
      </x:c>
      <x:c r="B326" s="2" t="str">
        <x:v>사업 평가</x:v>
      </x:c>
      <x:c r="C326" s="2" t="str">
        <x:v>국내</x:v>
      </x:c>
      <x:c r="D326" s="7" t="str">
        <x:v>선광제지 목재펠릿 연료전환(B-C유-&amp;gt목재펠릿)을 통한 온실가스 감축사업</x:v>
      </x:c>
      <x:c r="E326" s="2" t="str">
        <x:v>187</x:v>
      </x:c>
      <x:c r="F326" s="2" t="str">
        <x:v>2017-12-14</x:v>
      </x:c>
      <x:c r="G326" s="2" t="str">
        <x:v>2017</x:v>
      </x:c>
      <x:c r="H326" s="2" t="str">
        <x:v>12</x:v>
      </x:c>
      <x:c r="I326" s="2" t="str">
        <x:v>승인</x:v>
      </x:c>
      <x:c r="J326" s="2" t="str">
        <x:v>심의승인</x:v>
      </x:c>
      <x:c r="K326" s="2" t="str">
        <x:f>IF(OR(J326="심의승인",J326="반려",J326="반려완료",J326="심의완료"),"종결 표시",IF(OR(J326="기후부협의",J326="문서재제출요청",J326="보류",J326="보완요청",J326="보완완료",J326="평가중",J326="반려요청",J326="평가필요",LEFT(J326,5)="보완요청("),"미종결 표시","상태 확인 필요"))</x:f>
        <x:v>종결 표시</x:v>
      </x:c>
      <x:c r="L326" s="2"/>
      <x:c r="M326" s="2"/>
      <x:c r="N326" s="8" t="n">
        <x:f>DATE(2026,10,15)-DATE(2017,12,14)</x:f>
        <x:v>3227</x:v>
      </x:c>
      <x:c r="O326" s="2"/>
      <x:c r="P326" s="2"/>
      <x:c r="Q326" s="2" t="str">
        <x:v>산업전환_외부사업관리Tool_260707_이너젠 수정_LJY_261013.xlsx</x:v>
      </x:c>
      <x:c r="R326" s="2" t="str">
        <x:v>국내평가</x:v>
      </x:c>
      <x:c r="S326" s="8" t="n">
        <x:v>229</x:v>
      </x:c>
      <x:c r="T326" s="2"/>
      <x:c r="U326" s="2" t="str"/>
      <x:c r="V326" s="2" t="str">
        <x:v>2019-11-15</x:v>
      </x:c>
      <x:c r="W326" s="2" t="str">
        <x:v>담당기관 확인</x:v>
      </x:c>
      <x:c r="X326" s="2" t="str">
        <x:v>원본·배정 기록 확인</x:v>
      </x:c>
      <x:c r="Y326" s="2" t="str">
        <x:v>ad210cd9ec132cfd447541c8984dc53d30aff0f4fb2dc92d254d49275cc55976</x:v>
      </x:c>
      <x:c r="Z326" s="2" t="n">
        <x:f>SUBTOTAL(103,A326)</x:f>
        <x:v>1</x:v>
      </x:c>
      <x:c r="AA326" s="2" t="str">
        <x:f>IF(K326&lt;&gt;"미종결 표시","대상 아님",IF(N326="","신청일 확인",IF(NOT(ISNUMBER('종합 현황'!$H$5)),"관찰기준 확인",IF('종합 현황'!$H$5&lt;1,"관찰기준 확인",IF(N326&gt;'종합 현황'!$H$5,"내부 관찰 대상","내부 관찰일 이하")))))</x:f>
        <x:v>대상 아님</x:v>
      </x:c>
      <x:c r="AB326" s="2"/>
    </x:row>
    <x:row r="327" ht="42" customHeight="1">
      <x:c r="A327" s="2" t="str">
        <x:v>3b80369ea12ca383d3a6d831</x:v>
      </x:c>
      <x:c r="B327" s="2" t="str">
        <x:v>사업 평가</x:v>
      </x:c>
      <x:c r="C327" s="2" t="str">
        <x:v>국내</x:v>
      </x:c>
      <x:c r="D327" s="7" t="str">
        <x:v>우성수지 보일러의 목재펠릿 연료전환(B-C유-&amp;gt목재펠릿)을 통한 온실가스 감축사업</x:v>
      </x:c>
      <x:c r="E327" s="2" t="str">
        <x:v>188</x:v>
      </x:c>
      <x:c r="F327" s="2" t="str">
        <x:v>2017-12-14</x:v>
      </x:c>
      <x:c r="G327" s="2" t="str">
        <x:v>2017</x:v>
      </x:c>
      <x:c r="H327" s="2" t="str">
        <x:v>12</x:v>
      </x:c>
      <x:c r="I327" s="2" t="str">
        <x:v>승인</x:v>
      </x:c>
      <x:c r="J327" s="2" t="str">
        <x:v>심의승인</x:v>
      </x:c>
      <x:c r="K327" s="2" t="str">
        <x:f>IF(OR(J327="심의승인",J327="반려",J327="반려완료",J327="심의완료"),"종결 표시",IF(OR(J327="기후부협의",J327="문서재제출요청",J327="보류",J327="보완요청",J327="보완완료",J327="평가중",J327="반려요청",J327="평가필요",LEFT(J327,5)="보완요청("),"미종결 표시","상태 확인 필요"))</x:f>
        <x:v>종결 표시</x:v>
      </x:c>
      <x:c r="L327" s="2"/>
      <x:c r="M327" s="2"/>
      <x:c r="N327" s="8" t="n">
        <x:f>DATE(2026,10,15)-DATE(2017,12,14)</x:f>
        <x:v>3227</x:v>
      </x:c>
      <x:c r="O327" s="2"/>
      <x:c r="P327" s="2"/>
      <x:c r="Q327" s="2" t="str">
        <x:v>산업전환_외부사업관리Tool_260707_이너젠 수정_LJY_261013.xlsx</x:v>
      </x:c>
      <x:c r="R327" s="2" t="str">
        <x:v>국내평가</x:v>
      </x:c>
      <x:c r="S327" s="8" t="n">
        <x:v>230</x:v>
      </x:c>
      <x:c r="T327" s="2"/>
      <x:c r="U327" s="2" t="str"/>
      <x:c r="V327" s="2" t="str">
        <x:v>2018-11-27</x:v>
      </x:c>
      <x:c r="W327" s="2" t="str">
        <x:v>담당기관 확인</x:v>
      </x:c>
      <x:c r="X327" s="2" t="str">
        <x:v>원본·배정 기록 확인</x:v>
      </x:c>
      <x:c r="Y327" s="2" t="str">
        <x:v>ad210cd9ec132cfd447541c8984dc53d30aff0f4fb2dc92d254d49275cc55976</x:v>
      </x:c>
      <x:c r="Z327" s="2" t="n">
        <x:f>SUBTOTAL(103,A327)</x:f>
        <x:v>1</x:v>
      </x:c>
      <x:c r="AA327" s="2" t="str">
        <x:f>IF(K327&lt;&gt;"미종결 표시","대상 아님",IF(N327="","신청일 확인",IF(NOT(ISNUMBER('종합 현황'!$H$5)),"관찰기준 확인",IF('종합 현황'!$H$5&lt;1,"관찰기준 확인",IF(N327&gt;'종합 현황'!$H$5,"내부 관찰 대상","내부 관찰일 이하")))))</x:f>
        <x:v>대상 아님</x:v>
      </x:c>
      <x:c r="AB327" s="2"/>
    </x:row>
    <x:row r="328" ht="42" customHeight="1">
      <x:c r="A328" s="2" t="str">
        <x:v>a54a4025e4fa9068b2718e99</x:v>
      </x:c>
      <x:c r="B328" s="2" t="str">
        <x:v>사업 평가</x:v>
      </x:c>
      <x:c r="C328" s="2" t="str">
        <x:v>국내</x:v>
      </x:c>
      <x:c r="D328" s="7" t="str">
        <x:v>버울새송이 목재펠릿 연료전환(경유→목재펠릿)을 통한 온실가스 감축사업</x:v>
      </x:c>
      <x:c r="E328" s="2" t="str">
        <x:v>189</x:v>
      </x:c>
      <x:c r="F328" s="2" t="str">
        <x:v>2017-12-14</x:v>
      </x:c>
      <x:c r="G328" s="2" t="str">
        <x:v>2017</x:v>
      </x:c>
      <x:c r="H328" s="2" t="str">
        <x:v>12</x:v>
      </x:c>
      <x:c r="I328" s="2" t="str">
        <x:v>승인</x:v>
      </x:c>
      <x:c r="J328" s="2" t="str">
        <x:v>심의승인</x:v>
      </x:c>
      <x:c r="K328" s="2" t="str">
        <x:f>IF(OR(J328="심의승인",J328="반려",J328="반려완료",J328="심의완료"),"종결 표시",IF(OR(J328="기후부협의",J328="문서재제출요청",J328="보류",J328="보완요청",J328="보완완료",J328="평가중",J328="반려요청",J328="평가필요",LEFT(J328,5)="보완요청("),"미종결 표시","상태 확인 필요"))</x:f>
        <x:v>종결 표시</x:v>
      </x:c>
      <x:c r="L328" s="2"/>
      <x:c r="M328" s="2"/>
      <x:c r="N328" s="8" t="n">
        <x:f>DATE(2026,10,15)-DATE(2017,12,14)</x:f>
        <x:v>3227</x:v>
      </x:c>
      <x:c r="O328" s="2"/>
      <x:c r="P328" s="2"/>
      <x:c r="Q328" s="2" t="str">
        <x:v>산업전환_외부사업관리Tool_260707_이너젠 수정_LJY_261013.xlsx</x:v>
      </x:c>
      <x:c r="R328" s="2" t="str">
        <x:v>국내평가</x:v>
      </x:c>
      <x:c r="S328" s="8" t="n">
        <x:v>231</x:v>
      </x:c>
      <x:c r="T328" s="2"/>
      <x:c r="U328" s="2" t="str"/>
      <x:c r="V328" s="2" t="str">
        <x:v>2019-11-14</x:v>
      </x:c>
      <x:c r="W328" s="2" t="str">
        <x:v>담당기관 확인</x:v>
      </x:c>
      <x:c r="X328" s="2" t="str">
        <x:v>원본·배정 기록 확인</x:v>
      </x:c>
      <x:c r="Y328" s="2" t="str">
        <x:v>ad210cd9ec132cfd447541c8984dc53d30aff0f4fb2dc92d254d49275cc55976</x:v>
      </x:c>
      <x:c r="Z328" s="2" t="n">
        <x:f>SUBTOTAL(103,A328)</x:f>
        <x:v>1</x:v>
      </x:c>
      <x:c r="AA328" s="2" t="str">
        <x:f>IF(K328&lt;&gt;"미종결 표시","대상 아님",IF(N328="","신청일 확인",IF(NOT(ISNUMBER('종합 현황'!$H$5)),"관찰기준 확인",IF('종합 현황'!$H$5&lt;1,"관찰기준 확인",IF(N328&gt;'종합 현황'!$H$5,"내부 관찰 대상","내부 관찰일 이하")))))</x:f>
        <x:v>대상 아님</x:v>
      </x:c>
      <x:c r="AB328" s="2"/>
    </x:row>
    <x:row r="329" ht="42" customHeight="1">
      <x:c r="A329" s="2" t="str">
        <x:v>a01b0e5de5783aedd1d47c68</x:v>
      </x:c>
      <x:c r="B329" s="2" t="str">
        <x:v>사업 평가</x:v>
      </x:c>
      <x:c r="C329" s="2" t="str">
        <x:v>국내</x:v>
      </x:c>
      <x:c r="D329" s="7" t="str">
        <x:v>명성산업(주) 스팀보일러의 연료교체(B-C유→LNG)를 통한 온실가스(CO2) 배출 감축사업</x:v>
      </x:c>
      <x:c r="E329" s="2" t="str">
        <x:v>190</x:v>
      </x:c>
      <x:c r="F329" s="2" t="str">
        <x:v>2017-12-14</x:v>
      </x:c>
      <x:c r="G329" s="2" t="str">
        <x:v>2017</x:v>
      </x:c>
      <x:c r="H329" s="2" t="str">
        <x:v>12</x:v>
      </x:c>
      <x:c r="I329" s="2" t="str">
        <x:v>승인</x:v>
      </x:c>
      <x:c r="J329" s="2" t="str">
        <x:v>심의승인</x:v>
      </x:c>
      <x:c r="K329" s="2" t="str">
        <x:f>IF(OR(J329="심의승인",J329="반려",J329="반려완료",J329="심의완료"),"종결 표시",IF(OR(J329="기후부협의",J329="문서재제출요청",J329="보류",J329="보완요청",J329="보완완료",J329="평가중",J329="반려요청",J329="평가필요",LEFT(J329,5)="보완요청("),"미종결 표시","상태 확인 필요"))</x:f>
        <x:v>종결 표시</x:v>
      </x:c>
      <x:c r="L329" s="2"/>
      <x:c r="M329" s="2"/>
      <x:c r="N329" s="8" t="n">
        <x:f>DATE(2026,10,15)-DATE(2017,12,14)</x:f>
        <x:v>3227</x:v>
      </x:c>
      <x:c r="O329" s="2"/>
      <x:c r="P329" s="2"/>
      <x:c r="Q329" s="2" t="str">
        <x:v>산업전환_외부사업관리Tool_260707_이너젠 수정_LJY_261013.xlsx</x:v>
      </x:c>
      <x:c r="R329" s="2" t="str">
        <x:v>국내평가</x:v>
      </x:c>
      <x:c r="S329" s="8" t="n">
        <x:v>232</x:v>
      </x:c>
      <x:c r="T329" s="2"/>
      <x:c r="U329" s="2" t="str"/>
      <x:c r="V329" s="2" t="str">
        <x:v>2018-11-28</x:v>
      </x:c>
      <x:c r="W329" s="2" t="str">
        <x:v>담당기관 확인</x:v>
      </x:c>
      <x:c r="X329" s="2" t="str">
        <x:v>원본·배정 기록 확인</x:v>
      </x:c>
      <x:c r="Y329" s="2" t="str">
        <x:v>ad210cd9ec132cfd447541c8984dc53d30aff0f4fb2dc92d254d49275cc55976</x:v>
      </x:c>
      <x:c r="Z329" s="2" t="n">
        <x:f>SUBTOTAL(103,A329)</x:f>
        <x:v>1</x:v>
      </x:c>
      <x:c r="AA329" s="2" t="str">
        <x:f>IF(K329&lt;&gt;"미종결 표시","대상 아님",IF(N329="","신청일 확인",IF(NOT(ISNUMBER('종합 현황'!$H$5)),"관찰기준 확인",IF('종합 현황'!$H$5&lt;1,"관찰기준 확인",IF(N329&gt;'종합 현황'!$H$5,"내부 관찰 대상","내부 관찰일 이하")))))</x:f>
        <x:v>대상 아님</x:v>
      </x:c>
      <x:c r="AB329" s="2"/>
    </x:row>
    <x:row r="330" ht="42" customHeight="1">
      <x:c r="A330" s="2" t="str">
        <x:v>1036497f804b62ffe711a23c</x:v>
      </x:c>
      <x:c r="B330" s="2" t="str">
        <x:v>사업 평가</x:v>
      </x:c>
      <x:c r="C330" s="2" t="str">
        <x:v>국내</x:v>
      </x:c>
      <x:c r="D330" s="7" t="str">
        <x:v>보일러 연료전환(벙커C유 및 보일러 등유 -&gt;LNG)을 통한 온실가스(CO2) 배출 감축 사업</x:v>
      </x:c>
      <x:c r="E330" s="2" t="str">
        <x:v>191</x:v>
      </x:c>
      <x:c r="F330" s="2" t="str">
        <x:v>2017-12-14</x:v>
      </x:c>
      <x:c r="G330" s="2" t="str">
        <x:v>2017</x:v>
      </x:c>
      <x:c r="H330" s="2" t="str">
        <x:v>12</x:v>
      </x:c>
      <x:c r="I330" s="2" t="str">
        <x:v>사업변경 신청</x:v>
      </x:c>
      <x:c r="J330" s="2" t="str">
        <x:v>반려</x:v>
      </x:c>
      <x:c r="K330" s="2" t="str">
        <x:f>IF(OR(J330="심의승인",J330="반려",J330="반려완료",J330="심의완료"),"종결 표시",IF(OR(J330="기후부협의",J330="문서재제출요청",J330="보류",J330="보완요청",J330="보완완료",J330="평가중",J330="반려요청",J330="평가필요",LEFT(J330,5)="보완요청("),"미종결 표시","상태 확인 필요"))</x:f>
        <x:v>종결 표시</x:v>
      </x:c>
      <x:c r="L330" s="2"/>
      <x:c r="M330" s="2"/>
      <x:c r="N330" s="8" t="n">
        <x:f>DATE(2026,10,15)-DATE(2017,12,14)</x:f>
        <x:v>3227</x:v>
      </x:c>
      <x:c r="O330" s="2"/>
      <x:c r="P330" s="2"/>
      <x:c r="Q330" s="2" t="str">
        <x:v>산업전환_외부사업관리Tool_260707_이너젠 수정_LJY_261013.xlsx</x:v>
      </x:c>
      <x:c r="R330" s="2" t="str">
        <x:v>국내평가</x:v>
      </x:c>
      <x:c r="S330" s="8" t="n">
        <x:v>233</x:v>
      </x:c>
      <x:c r="T330" s="2"/>
      <x:c r="U330" s="2" t="str"/>
      <x:c r="V330" s="2" t="str">
        <x:v>2020-03-09</x:v>
      </x:c>
      <x:c r="W330" s="2" t="str">
        <x:v>담당기관 확인</x:v>
      </x:c>
      <x:c r="X330" s="2" t="str">
        <x:v>원본·배정 기록 확인</x:v>
      </x:c>
      <x:c r="Y330" s="2" t="str">
        <x:v>ad210cd9ec132cfd447541c8984dc53d30aff0f4fb2dc92d254d49275cc55976</x:v>
      </x:c>
      <x:c r="Z330" s="2" t="n">
        <x:f>SUBTOTAL(103,A330)</x:f>
        <x:v>1</x:v>
      </x:c>
      <x:c r="AA330" s="2" t="str">
        <x:f>IF(K330&lt;&gt;"미종결 표시","대상 아님",IF(N330="","신청일 확인",IF(NOT(ISNUMBER('종합 현황'!$H$5)),"관찰기준 확인",IF('종합 현황'!$H$5&lt;1,"관찰기준 확인",IF(N330&gt;'종합 현황'!$H$5,"내부 관찰 대상","내부 관찰일 이하")))))</x:f>
        <x:v>대상 아님</x:v>
      </x:c>
      <x:c r="AB330" s="2"/>
    </x:row>
    <x:row r="331" ht="42" customHeight="1">
      <x:c r="A331" s="2" t="str">
        <x:v>3832236ae934ded7ab4d19e1</x:v>
      </x:c>
      <x:c r="B331" s="2" t="str">
        <x:v>사업 평가</x:v>
      </x:c>
      <x:c r="C331" s="2" t="str">
        <x:v>국내</x:v>
      </x:c>
      <x:c r="D331" s="7" t="str">
        <x:v>동아기업(주) 사출기 일부교체(유압식→하이브리드형)을 통한 온실가스 감축사업</x:v>
      </x:c>
      <x:c r="E331" s="2" t="str">
        <x:v>192</x:v>
      </x:c>
      <x:c r="F331" s="2" t="str">
        <x:v>2017-12-14</x:v>
      </x:c>
      <x:c r="G331" s="2" t="str">
        <x:v>2017</x:v>
      </x:c>
      <x:c r="H331" s="2" t="str">
        <x:v>12</x:v>
      </x:c>
      <x:c r="I331" s="2" t="str">
        <x:v>승인</x:v>
      </x:c>
      <x:c r="J331" s="2" t="str">
        <x:v>심의승인</x:v>
      </x:c>
      <x:c r="K331" s="2" t="str">
        <x:f>IF(OR(J331="심의승인",J331="반려",J331="반려완료",J331="심의완료"),"종결 표시",IF(OR(J331="기후부협의",J331="문서재제출요청",J331="보류",J331="보완요청",J331="보완완료",J331="평가중",J331="반려요청",J331="평가필요",LEFT(J331,5)="보완요청("),"미종결 표시","상태 확인 필요"))</x:f>
        <x:v>종결 표시</x:v>
      </x:c>
      <x:c r="L331" s="2"/>
      <x:c r="M331" s="2"/>
      <x:c r="N331" s="8" t="n">
        <x:f>DATE(2026,10,15)-DATE(2017,12,14)</x:f>
        <x:v>3227</x:v>
      </x:c>
      <x:c r="O331" s="2"/>
      <x:c r="P331" s="2"/>
      <x:c r="Q331" s="2" t="str">
        <x:v>산업전환_외부사업관리Tool_260707_이너젠 수정_LJY_261013.xlsx</x:v>
      </x:c>
      <x:c r="R331" s="2" t="str">
        <x:v>국내평가</x:v>
      </x:c>
      <x:c r="S331" s="8" t="n">
        <x:v>234</x:v>
      </x:c>
      <x:c r="T331" s="2"/>
      <x:c r="U331" s="2" t="str"/>
      <x:c r="V331" s="2" t="str">
        <x:v>2018-11-28</x:v>
      </x:c>
      <x:c r="W331" s="2" t="str">
        <x:v>담당기관 확인</x:v>
      </x:c>
      <x:c r="X331" s="2" t="str">
        <x:v>원본·배정 기록 확인</x:v>
      </x:c>
      <x:c r="Y331" s="2" t="str">
        <x:v>ad210cd9ec132cfd447541c8984dc53d30aff0f4fb2dc92d254d49275cc55976</x:v>
      </x:c>
      <x:c r="Z331" s="2" t="n">
        <x:f>SUBTOTAL(103,A331)</x:f>
        <x:v>1</x:v>
      </x:c>
      <x:c r="AA331" s="2" t="str">
        <x:f>IF(K331&lt;&gt;"미종결 표시","대상 아님",IF(N331="","신청일 확인",IF(NOT(ISNUMBER('종합 현황'!$H$5)),"관찰기준 확인",IF('종합 현황'!$H$5&lt;1,"관찰기준 확인",IF(N331&gt;'종합 현황'!$H$5,"내부 관찰 대상","내부 관찰일 이하")))))</x:f>
        <x:v>대상 아님</x:v>
      </x:c>
      <x:c r="AB331" s="2"/>
    </x:row>
    <x:row r="332" ht="42" customHeight="1">
      <x:c r="A332" s="2" t="str">
        <x:v>74a657efc53053fb976dd813</x:v>
      </x:c>
      <x:c r="B332" s="2" t="str">
        <x:v>사업 평가</x:v>
      </x:c>
      <x:c r="C332" s="2" t="str">
        <x:v>국내</x:v>
      </x:c>
      <x:c r="D332" s="7" t="str">
        <x:v>세화산업 동해공장 목재펠릿 연료 전환(B-C유-&gt;목재펠릿)을 통한 온실가스 감축사업</x:v>
      </x:c>
      <x:c r="E332" s="2" t="str">
        <x:v>193</x:v>
      </x:c>
      <x:c r="F332" s="2" t="str">
        <x:v>2017-12-14</x:v>
      </x:c>
      <x:c r="G332" s="2" t="str">
        <x:v>2017</x:v>
      </x:c>
      <x:c r="H332" s="2" t="str">
        <x:v>12</x:v>
      </x:c>
      <x:c r="I332" s="2" t="str">
        <x:v>승인</x:v>
      </x:c>
      <x:c r="J332" s="2" t="str">
        <x:v>심의승인</x:v>
      </x:c>
      <x:c r="K332" s="2" t="str">
        <x:f>IF(OR(J332="심의승인",J332="반려",J332="반려완료",J332="심의완료"),"종결 표시",IF(OR(J332="기후부협의",J332="문서재제출요청",J332="보류",J332="보완요청",J332="보완완료",J332="평가중",J332="반려요청",J332="평가필요",LEFT(J332,5)="보완요청("),"미종결 표시","상태 확인 필요"))</x:f>
        <x:v>종결 표시</x:v>
      </x:c>
      <x:c r="L332" s="2"/>
      <x:c r="M332" s="2"/>
      <x:c r="N332" s="8" t="n">
        <x:f>DATE(2026,10,15)-DATE(2017,12,14)</x:f>
        <x:v>3227</x:v>
      </x:c>
      <x:c r="O332" s="2"/>
      <x:c r="P332" s="2"/>
      <x:c r="Q332" s="2" t="str">
        <x:v>산업전환_외부사업관리Tool_260707_이너젠 수정_LJY_261013.xlsx</x:v>
      </x:c>
      <x:c r="R332" s="2" t="str">
        <x:v>국내평가</x:v>
      </x:c>
      <x:c r="S332" s="8" t="n">
        <x:v>235</x:v>
      </x:c>
      <x:c r="T332" s="2"/>
      <x:c r="U332" s="2" t="str"/>
      <x:c r="V332" s="2" t="str">
        <x:v>2019-11-15</x:v>
      </x:c>
      <x:c r="W332" s="2" t="str">
        <x:v>담당기관 확인</x:v>
      </x:c>
      <x:c r="X332" s="2" t="str">
        <x:v>원본·배정 기록 확인</x:v>
      </x:c>
      <x:c r="Y332" s="2" t="str">
        <x:v>ad210cd9ec132cfd447541c8984dc53d30aff0f4fb2dc92d254d49275cc55976</x:v>
      </x:c>
      <x:c r="Z332" s="2" t="n">
        <x:f>SUBTOTAL(103,A332)</x:f>
        <x:v>1</x:v>
      </x:c>
      <x:c r="AA332" s="2" t="str">
        <x:f>IF(K332&lt;&gt;"미종결 표시","대상 아님",IF(N332="","신청일 확인",IF(NOT(ISNUMBER('종합 현황'!$H$5)),"관찰기준 확인",IF('종합 현황'!$H$5&lt;1,"관찰기준 확인",IF(N332&gt;'종합 현황'!$H$5,"내부 관찰 대상","내부 관찰일 이하")))))</x:f>
        <x:v>대상 아님</x:v>
      </x:c>
      <x:c r="AB332" s="2"/>
    </x:row>
    <x:row r="333" ht="42" customHeight="1">
      <x:c r="A333" s="2" t="str">
        <x:v>b0535a1f70de3ce01e37bfb9</x:v>
      </x:c>
      <x:c r="B333" s="2" t="str">
        <x:v>사업 평가</x:v>
      </x:c>
      <x:c r="C333" s="2" t="str">
        <x:v>국내</x:v>
      </x:c>
      <x:c r="D333" s="7" t="str">
        <x:v>동부요업 터널침탄가마 교체를 통한 설비 성능개선에 따른 온실가스 배출 감축사업</x:v>
      </x:c>
      <x:c r="E333" s="2" t="str">
        <x:v>194</x:v>
      </x:c>
      <x:c r="F333" s="2" t="str">
        <x:v>2017-12-14</x:v>
      </x:c>
      <x:c r="G333" s="2" t="str">
        <x:v>2017</x:v>
      </x:c>
      <x:c r="H333" s="2" t="str">
        <x:v>12</x:v>
      </x:c>
      <x:c r="I333" s="2" t="str">
        <x:v>승인</x:v>
      </x:c>
      <x:c r="J333" s="2" t="str">
        <x:v>심의승인</x:v>
      </x:c>
      <x:c r="K333" s="2" t="str">
        <x:f>IF(OR(J333="심의승인",J333="반려",J333="반려완료",J333="심의완료"),"종결 표시",IF(OR(J333="기후부협의",J333="문서재제출요청",J333="보류",J333="보완요청",J333="보완완료",J333="평가중",J333="반려요청",J333="평가필요",LEFT(J333,5)="보완요청("),"미종결 표시","상태 확인 필요"))</x:f>
        <x:v>종결 표시</x:v>
      </x:c>
      <x:c r="L333" s="2"/>
      <x:c r="M333" s="2"/>
      <x:c r="N333" s="8" t="n">
        <x:f>DATE(2026,10,15)-DATE(2017,12,14)</x:f>
        <x:v>3227</x:v>
      </x:c>
      <x:c r="O333" s="2"/>
      <x:c r="P333" s="2"/>
      <x:c r="Q333" s="2" t="str">
        <x:v>산업전환_외부사업관리Tool_260707_이너젠 수정_LJY_261013.xlsx</x:v>
      </x:c>
      <x:c r="R333" s="2" t="str">
        <x:v>국내평가</x:v>
      </x:c>
      <x:c r="S333" s="8" t="n">
        <x:v>236</x:v>
      </x:c>
      <x:c r="T333" s="2"/>
      <x:c r="U333" s="2" t="str"/>
      <x:c r="V333" s="2" t="str">
        <x:v>2019-11-15</x:v>
      </x:c>
      <x:c r="W333" s="2" t="str">
        <x:v>담당기관 확인</x:v>
      </x:c>
      <x:c r="X333" s="2" t="str">
        <x:v>원본·배정 기록 확인</x:v>
      </x:c>
      <x:c r="Y333" s="2" t="str">
        <x:v>ad210cd9ec132cfd447541c8984dc53d30aff0f4fb2dc92d254d49275cc55976</x:v>
      </x:c>
      <x:c r="Z333" s="2" t="n">
        <x:f>SUBTOTAL(103,A333)</x:f>
        <x:v>1</x:v>
      </x:c>
      <x:c r="AA333" s="2" t="str">
        <x:f>IF(K333&lt;&gt;"미종결 표시","대상 아님",IF(N333="","신청일 확인",IF(NOT(ISNUMBER('종합 현황'!$H$5)),"관찰기준 확인",IF('종합 현황'!$H$5&lt;1,"관찰기준 확인",IF(N333&gt;'종합 현황'!$H$5,"내부 관찰 대상","내부 관찰일 이하")))))</x:f>
        <x:v>대상 아님</x:v>
      </x:c>
      <x:c r="AB333" s="2"/>
    </x:row>
    <x:row r="334" ht="42" customHeight="1">
      <x:c r="A334" s="2" t="str">
        <x:v>aa2de1e48e7a1d6a6d257f22</x:v>
      </x:c>
      <x:c r="B334" s="2" t="str">
        <x:v>사업 평가</x:v>
      </x:c>
      <x:c r="C334" s="2" t="str">
        <x:v>국내</x:v>
      </x:c>
      <x:c r="D334" s="7" t="str">
        <x:v>(주)K.D 사출기 일부 개조(유압식-&amp;gt하이브리드)를 통한 설비 성능 개선에 따른 온실가스 감축사업</x:v>
      </x:c>
      <x:c r="E334" s="2" t="str">
        <x:v>195</x:v>
      </x:c>
      <x:c r="F334" s="2" t="str">
        <x:v>2017-12-14</x:v>
      </x:c>
      <x:c r="G334" s="2" t="str">
        <x:v>2017</x:v>
      </x:c>
      <x:c r="H334" s="2" t="str">
        <x:v>12</x:v>
      </x:c>
      <x:c r="I334" s="2" t="str">
        <x:v>승인</x:v>
      </x:c>
      <x:c r="J334" s="2" t="str">
        <x:v>심의승인</x:v>
      </x:c>
      <x:c r="K334" s="2" t="str">
        <x:f>IF(OR(J334="심의승인",J334="반려",J334="반려완료",J334="심의완료"),"종결 표시",IF(OR(J334="기후부협의",J334="문서재제출요청",J334="보류",J334="보완요청",J334="보완완료",J334="평가중",J334="반려요청",J334="평가필요",LEFT(J334,5)="보완요청("),"미종결 표시","상태 확인 필요"))</x:f>
        <x:v>종결 표시</x:v>
      </x:c>
      <x:c r="L334" s="2"/>
      <x:c r="M334" s="2"/>
      <x:c r="N334" s="8" t="n">
        <x:f>DATE(2026,10,15)-DATE(2017,12,14)</x:f>
        <x:v>3227</x:v>
      </x:c>
      <x:c r="O334" s="2"/>
      <x:c r="P334" s="2"/>
      <x:c r="Q334" s="2" t="str">
        <x:v>산업전환_외부사업관리Tool_260707_이너젠 수정_LJY_261013.xlsx</x:v>
      </x:c>
      <x:c r="R334" s="2" t="str">
        <x:v>국내평가</x:v>
      </x:c>
      <x:c r="S334" s="8" t="n">
        <x:v>237</x:v>
      </x:c>
      <x:c r="T334" s="2"/>
      <x:c r="U334" s="2" t="str"/>
      <x:c r="V334" s="2" t="str">
        <x:v>2018-11-28</x:v>
      </x:c>
      <x:c r="W334" s="2" t="str">
        <x:v>담당기관 확인</x:v>
      </x:c>
      <x:c r="X334" s="2" t="str">
        <x:v>원본·배정 기록 확인</x:v>
      </x:c>
      <x:c r="Y334" s="2" t="str">
        <x:v>ad210cd9ec132cfd447541c8984dc53d30aff0f4fb2dc92d254d49275cc55976</x:v>
      </x:c>
      <x:c r="Z334" s="2" t="n">
        <x:f>SUBTOTAL(103,A334)</x:f>
        <x:v>1</x:v>
      </x:c>
      <x:c r="AA334" s="2" t="str">
        <x:f>IF(K334&lt;&gt;"미종결 표시","대상 아님",IF(N334="","신청일 확인",IF(NOT(ISNUMBER('종합 현황'!$H$5)),"관찰기준 확인",IF('종합 현황'!$H$5&lt;1,"관찰기준 확인",IF(N334&gt;'종합 현황'!$H$5,"내부 관찰 대상","내부 관찰일 이하")))))</x:f>
        <x:v>대상 아님</x:v>
      </x:c>
      <x:c r="AB334" s="2"/>
    </x:row>
    <x:row r="335" ht="42" customHeight="1">
      <x:c r="A335" s="2" t="str">
        <x:v>98ca426e05ae84827725b722</x:v>
      </x:c>
      <x:c r="B335" s="2" t="str">
        <x:v>사업 평가</x:v>
      </x:c>
      <x:c r="C335" s="2" t="str">
        <x:v>국내</x:v>
      </x:c>
      <x:c r="D335" s="7" t="str">
        <x:v>대림산업 목재펠릿 연료전환(B-C유-&amp;gt목재펠릿)을 통한 온실가스 감축사업</x:v>
      </x:c>
      <x:c r="E335" s="2" t="str">
        <x:v>196</x:v>
      </x:c>
      <x:c r="F335" s="2" t="str">
        <x:v>2017-12-14</x:v>
      </x:c>
      <x:c r="G335" s="2" t="str">
        <x:v>2017</x:v>
      </x:c>
      <x:c r="H335" s="2" t="str">
        <x:v>12</x:v>
      </x:c>
      <x:c r="I335" s="2" t="str">
        <x:v>승인</x:v>
      </x:c>
      <x:c r="J335" s="2" t="str">
        <x:v>심의승인</x:v>
      </x:c>
      <x:c r="K335" s="2" t="str">
        <x:f>IF(OR(J335="심의승인",J335="반려",J335="반려완료",J335="심의완료"),"종결 표시",IF(OR(J335="기후부협의",J335="문서재제출요청",J335="보류",J335="보완요청",J335="보완완료",J335="평가중",J335="반려요청",J335="평가필요",LEFT(J335,5)="보완요청("),"미종결 표시","상태 확인 필요"))</x:f>
        <x:v>종결 표시</x:v>
      </x:c>
      <x:c r="L335" s="2"/>
      <x:c r="M335" s="2"/>
      <x:c r="N335" s="8" t="n">
        <x:f>DATE(2026,10,15)-DATE(2017,12,14)</x:f>
        <x:v>3227</x:v>
      </x:c>
      <x:c r="O335" s="2"/>
      <x:c r="P335" s="2"/>
      <x:c r="Q335" s="2" t="str">
        <x:v>산업전환_외부사업관리Tool_260707_이너젠 수정_LJY_261013.xlsx</x:v>
      </x:c>
      <x:c r="R335" s="2" t="str">
        <x:v>국내평가</x:v>
      </x:c>
      <x:c r="S335" s="8" t="n">
        <x:v>238</x:v>
      </x:c>
      <x:c r="T335" s="2"/>
      <x:c r="U335" s="2" t="str"/>
      <x:c r="V335" s="2" t="str">
        <x:v>2018-11-28</x:v>
      </x:c>
      <x:c r="W335" s="2" t="str">
        <x:v>담당기관 확인</x:v>
      </x:c>
      <x:c r="X335" s="2" t="str">
        <x:v>원본·배정 기록 확인</x:v>
      </x:c>
      <x:c r="Y335" s="2" t="str">
        <x:v>ad210cd9ec132cfd447541c8984dc53d30aff0f4fb2dc92d254d49275cc55976</x:v>
      </x:c>
      <x:c r="Z335" s="2" t="n">
        <x:f>SUBTOTAL(103,A335)</x:f>
        <x:v>1</x:v>
      </x:c>
      <x:c r="AA335" s="2" t="str">
        <x:f>IF(K335&lt;&gt;"미종결 표시","대상 아님",IF(N335="","신청일 확인",IF(NOT(ISNUMBER('종합 현황'!$H$5)),"관찰기준 확인",IF('종합 현황'!$H$5&lt;1,"관찰기준 확인",IF(N335&gt;'종합 현황'!$H$5,"내부 관찰 대상","내부 관찰일 이하")))))</x:f>
        <x:v>대상 아님</x:v>
      </x:c>
      <x:c r="AB335" s="2"/>
    </x:row>
    <x:row r="336" ht="42" customHeight="1">
      <x:c r="A336" s="2" t="str">
        <x:v>7612caec605b31d70e4ace01</x:v>
      </x:c>
      <x:c r="B336" s="2" t="str">
        <x:v>사업 평가</x:v>
      </x:c>
      <x:c r="C336" s="2" t="str">
        <x:v>국내</x:v>
      </x:c>
      <x:c r="D336" s="7" t="str">
        <x:v>인제군 애향원 태양광 발전설비 설치 및 자가 사용을 통한 온실가스 배출 감축사업</x:v>
      </x:c>
      <x:c r="E336" s="2" t="str">
        <x:v>197</x:v>
      </x:c>
      <x:c r="F336" s="2" t="str">
        <x:v>2017-12-14</x:v>
      </x:c>
      <x:c r="G336" s="2" t="str">
        <x:v>2017</x:v>
      </x:c>
      <x:c r="H336" s="2" t="str">
        <x:v>12</x:v>
      </x:c>
      <x:c r="I336" s="2" t="str">
        <x:v>반려</x:v>
      </x:c>
      <x:c r="J336" s="2" t="str">
        <x:v>반려</x:v>
      </x:c>
      <x:c r="K336" s="2" t="str">
        <x:f>IF(OR(J336="심의승인",J336="반려",J336="반려완료",J336="심의완료"),"종결 표시",IF(OR(J336="기후부협의",J336="문서재제출요청",J336="보류",J336="보완요청",J336="보완완료",J336="평가중",J336="반려요청",J336="평가필요",LEFT(J336,5)="보완요청("),"미종결 표시","상태 확인 필요"))</x:f>
        <x:v>종결 표시</x:v>
      </x:c>
      <x:c r="L336" s="2"/>
      <x:c r="M336" s="2"/>
      <x:c r="N336" s="8" t="n">
        <x:f>DATE(2026,10,15)-DATE(2017,12,14)</x:f>
        <x:v>3227</x:v>
      </x:c>
      <x:c r="O336" s="2"/>
      <x:c r="P336" s="2"/>
      <x:c r="Q336" s="2" t="str">
        <x:v>산업전환_외부사업관리Tool_260707_이너젠 수정_LJY_261013.xlsx</x:v>
      </x:c>
      <x:c r="R336" s="2" t="str">
        <x:v>국내평가</x:v>
      </x:c>
      <x:c r="S336" s="8" t="n">
        <x:v>239</x:v>
      </x:c>
      <x:c r="T336" s="2" t="str">
        <x:v>2021년 처리</x:v>
      </x:c>
      <x:c r="U336" s="2" t="str">
        <x:v>2021 배정: 2021년 처리</x:v>
      </x:c>
      <x:c r="V336" s="2" t="str">
        <x:v>2021-06-24</x:v>
      </x:c>
      <x:c r="W336" s="2" t="str">
        <x:v>담당기관 확인</x:v>
      </x:c>
      <x:c r="X336" s="2" t="str">
        <x:v>원본·배정 기록 확인</x:v>
      </x:c>
      <x:c r="Y336" s="2" t="str">
        <x:v>ad210cd9ec132cfd447541c8984dc53d30aff0f4fb2dc92d254d49275cc55976</x:v>
      </x:c>
      <x:c r="Z336" s="2" t="n">
        <x:f>SUBTOTAL(103,A336)</x:f>
        <x:v>1</x:v>
      </x:c>
      <x:c r="AA336" s="2" t="str">
        <x:f>IF(K336&lt;&gt;"미종결 표시","대상 아님",IF(N336="","신청일 확인",IF(NOT(ISNUMBER('종합 현황'!$H$5)),"관찰기준 확인",IF('종합 현황'!$H$5&lt;1,"관찰기준 확인",IF(N336&gt;'종합 현황'!$H$5,"내부 관찰 대상","내부 관찰일 이하")))))</x:f>
        <x:v>대상 아님</x:v>
      </x:c>
      <x:c r="AB336" s="2"/>
    </x:row>
    <x:row r="337" ht="42" customHeight="1">
      <x:c r="A337" s="2" t="str">
        <x:v>fbecf5f3e6a165c1ac462355</x:v>
      </x:c>
      <x:c r="B337" s="2" t="str">
        <x:v>사업 평가</x:v>
      </x:c>
      <x:c r="C337" s="2" t="str">
        <x:v>국내</x:v>
      </x:c>
      <x:c r="D337" s="7" t="str">
        <x:v>대동실업 내 폐수열 회수설비를 설치하여 스팀사용량 절감을 통한 온실가스(CO2)배출 감축사업</x:v>
      </x:c>
      <x:c r="E337" s="2" t="str">
        <x:v>198</x:v>
      </x:c>
      <x:c r="F337" s="2" t="str">
        <x:v>2017-12-14</x:v>
      </x:c>
      <x:c r="G337" s="2" t="str">
        <x:v>2017</x:v>
      </x:c>
      <x:c r="H337" s="2" t="str">
        <x:v>12</x:v>
      </x:c>
      <x:c r="I337" s="2" t="str">
        <x:v>승인</x:v>
      </x:c>
      <x:c r="J337" s="2" t="str">
        <x:v>심의승인</x:v>
      </x:c>
      <x:c r="K337" s="2" t="str">
        <x:f>IF(OR(J337="심의승인",J337="반려",J337="반려완료",J337="심의완료"),"종결 표시",IF(OR(J337="기후부협의",J337="문서재제출요청",J337="보류",J337="보완요청",J337="보완완료",J337="평가중",J337="반려요청",J337="평가필요",LEFT(J337,5)="보완요청("),"미종결 표시","상태 확인 필요"))</x:f>
        <x:v>종결 표시</x:v>
      </x:c>
      <x:c r="L337" s="2"/>
      <x:c r="M337" s="2"/>
      <x:c r="N337" s="8" t="n">
        <x:f>DATE(2026,10,15)-DATE(2017,12,14)</x:f>
        <x:v>3227</x:v>
      </x:c>
      <x:c r="O337" s="2"/>
      <x:c r="P337" s="2"/>
      <x:c r="Q337" s="2" t="str">
        <x:v>산업전환_외부사업관리Tool_260707_이너젠 수정_LJY_261013.xlsx</x:v>
      </x:c>
      <x:c r="R337" s="2" t="str">
        <x:v>국내평가</x:v>
      </x:c>
      <x:c r="S337" s="8" t="n">
        <x:v>240</x:v>
      </x:c>
      <x:c r="T337" s="2"/>
      <x:c r="U337" s="2" t="str"/>
      <x:c r="V337" s="2" t="str">
        <x:v>2018-12-12</x:v>
      </x:c>
      <x:c r="W337" s="2" t="str">
        <x:v>담당기관 확인</x:v>
      </x:c>
      <x:c r="X337" s="2" t="str">
        <x:v>원본·배정 기록 확인</x:v>
      </x:c>
      <x:c r="Y337" s="2" t="str">
        <x:v>ad210cd9ec132cfd447541c8984dc53d30aff0f4fb2dc92d254d49275cc55976</x:v>
      </x:c>
      <x:c r="Z337" s="2" t="n">
        <x:f>SUBTOTAL(103,A337)</x:f>
        <x:v>1</x:v>
      </x:c>
      <x:c r="AA337" s="2" t="str">
        <x:f>IF(K337&lt;&gt;"미종결 표시","대상 아님",IF(N337="","신청일 확인",IF(NOT(ISNUMBER('종합 현황'!$H$5)),"관찰기준 확인",IF('종합 현황'!$H$5&lt;1,"관찰기준 확인",IF(N337&gt;'종합 현황'!$H$5,"내부 관찰 대상","내부 관찰일 이하")))))</x:f>
        <x:v>대상 아님</x:v>
      </x:c>
      <x:c r="AB337" s="2"/>
    </x:row>
    <x:row r="338" ht="42" customHeight="1">
      <x:c r="A338" s="2" t="str">
        <x:v>61e050abc32a0611880a2578</x:v>
      </x:c>
      <x:c r="B338" s="2" t="str">
        <x:v>사업 평가</x:v>
      </x:c>
      <x:c r="C338" s="2" t="str">
        <x:v>국내</x:v>
      </x:c>
      <x:c r="D338" s="7" t="str">
        <x:v>경동금속의 고효율 전기유도용해로 교체를 통한 효율개선에 따른 온실가스 감축사업</x:v>
      </x:c>
      <x:c r="E338" s="2" t="str">
        <x:v>199</x:v>
      </x:c>
      <x:c r="F338" s="2" t="str">
        <x:v>2017-12-14</x:v>
      </x:c>
      <x:c r="G338" s="2" t="str">
        <x:v>2017</x:v>
      </x:c>
      <x:c r="H338" s="2" t="str">
        <x:v>12</x:v>
      </x:c>
      <x:c r="I338" s="2" t="str">
        <x:v>승인</x:v>
      </x:c>
      <x:c r="J338" s="2" t="str">
        <x:v>심의승인</x:v>
      </x:c>
      <x:c r="K338" s="2" t="str">
        <x:f>IF(OR(J338="심의승인",J338="반려",J338="반려완료",J338="심의완료"),"종결 표시",IF(OR(J338="기후부협의",J338="문서재제출요청",J338="보류",J338="보완요청",J338="보완완료",J338="평가중",J338="반려요청",J338="평가필요",LEFT(J338,5)="보완요청("),"미종결 표시","상태 확인 필요"))</x:f>
        <x:v>종결 표시</x:v>
      </x:c>
      <x:c r="L338" s="2"/>
      <x:c r="M338" s="2"/>
      <x:c r="N338" s="8" t="n">
        <x:f>DATE(2026,10,15)-DATE(2017,12,14)</x:f>
        <x:v>3227</x:v>
      </x:c>
      <x:c r="O338" s="2"/>
      <x:c r="P338" s="2"/>
      <x:c r="Q338" s="2" t="str">
        <x:v>산업전환_외부사업관리Tool_260707_이너젠 수정_LJY_261013.xlsx</x:v>
      </x:c>
      <x:c r="R338" s="2" t="str">
        <x:v>국내평가</x:v>
      </x:c>
      <x:c r="S338" s="8" t="n">
        <x:v>241</x:v>
      </x:c>
      <x:c r="T338" s="2"/>
      <x:c r="U338" s="2" t="str"/>
      <x:c r="V338" s="2" t="str">
        <x:v>2018-11-28</x:v>
      </x:c>
      <x:c r="W338" s="2" t="str">
        <x:v>담당기관 확인</x:v>
      </x:c>
      <x:c r="X338" s="2" t="str">
        <x:v>원본·배정 기록 확인</x:v>
      </x:c>
      <x:c r="Y338" s="2" t="str">
        <x:v>ad210cd9ec132cfd447541c8984dc53d30aff0f4fb2dc92d254d49275cc55976</x:v>
      </x:c>
      <x:c r="Z338" s="2" t="n">
        <x:f>SUBTOTAL(103,A338)</x:f>
        <x:v>1</x:v>
      </x:c>
      <x:c r="AA338" s="2" t="str">
        <x:f>IF(K338&lt;&gt;"미종결 표시","대상 아님",IF(N338="","신청일 확인",IF(NOT(ISNUMBER('종합 현황'!$H$5)),"관찰기준 확인",IF('종합 현황'!$H$5&lt;1,"관찰기준 확인",IF(N338&gt;'종합 현황'!$H$5,"내부 관찰 대상","내부 관찰일 이하")))))</x:f>
        <x:v>대상 아님</x:v>
      </x:c>
      <x:c r="AB338" s="2"/>
    </x:row>
    <x:row r="339" ht="42" customHeight="1">
      <x:c r="A339" s="2" t="str">
        <x:v>e39c980e23f3db1db6653570</x:v>
      </x:c>
      <x:c r="B339" s="2" t="str">
        <x:v>사업 평가</x:v>
      </x:c>
      <x:c r="C339" s="2" t="str">
        <x:v>국내</x:v>
      </x:c>
      <x:c r="D339" s="7" t="str">
        <x:v>다윈섬유의 스팀보일러 등의 연료교체를 통한 온실가스 감축사업</x:v>
      </x:c>
      <x:c r="E339" s="2" t="str">
        <x:v>200</x:v>
      </x:c>
      <x:c r="F339" s="2" t="str">
        <x:v>2017-12-14</x:v>
      </x:c>
      <x:c r="G339" s="2" t="str">
        <x:v>2017</x:v>
      </x:c>
      <x:c r="H339" s="2" t="str">
        <x:v>12</x:v>
      </x:c>
      <x:c r="I339" s="2" t="str">
        <x:v>승인</x:v>
      </x:c>
      <x:c r="J339" s="2" t="str">
        <x:v>심의승인</x:v>
      </x:c>
      <x:c r="K339" s="2" t="str">
        <x:f>IF(OR(J339="심의승인",J339="반려",J339="반려완료",J339="심의완료"),"종결 표시",IF(OR(J339="기후부협의",J339="문서재제출요청",J339="보류",J339="보완요청",J339="보완완료",J339="평가중",J339="반려요청",J339="평가필요",LEFT(J339,5)="보완요청("),"미종결 표시","상태 확인 필요"))</x:f>
        <x:v>종결 표시</x:v>
      </x:c>
      <x:c r="L339" s="2"/>
      <x:c r="M339" s="2"/>
      <x:c r="N339" s="8" t="n">
        <x:f>DATE(2026,10,15)-DATE(2017,12,14)</x:f>
        <x:v>3227</x:v>
      </x:c>
      <x:c r="O339" s="2"/>
      <x:c r="P339" s="2"/>
      <x:c r="Q339" s="2" t="str">
        <x:v>산업전환_외부사업관리Tool_260707_이너젠 수정_LJY_261013.xlsx</x:v>
      </x:c>
      <x:c r="R339" s="2" t="str">
        <x:v>국내평가</x:v>
      </x:c>
      <x:c r="S339" s="8" t="n">
        <x:v>242</x:v>
      </x:c>
      <x:c r="T339" s="2"/>
      <x:c r="U339" s="2" t="str"/>
      <x:c r="V339" s="2" t="str">
        <x:v>2019-02-18</x:v>
      </x:c>
      <x:c r="W339" s="2" t="str">
        <x:v>담당기관 확인</x:v>
      </x:c>
      <x:c r="X339" s="2" t="str">
        <x:v>원본·배정 기록 확인</x:v>
      </x:c>
      <x:c r="Y339" s="2" t="str">
        <x:v>ad210cd9ec132cfd447541c8984dc53d30aff0f4fb2dc92d254d49275cc55976</x:v>
      </x:c>
      <x:c r="Z339" s="2" t="n">
        <x:f>SUBTOTAL(103,A339)</x:f>
        <x:v>1</x:v>
      </x:c>
      <x:c r="AA339" s="2" t="str">
        <x:f>IF(K339&lt;&gt;"미종결 표시","대상 아님",IF(N339="","신청일 확인",IF(NOT(ISNUMBER('종합 현황'!$H$5)),"관찰기준 확인",IF('종합 현황'!$H$5&lt;1,"관찰기준 확인",IF(N339&gt;'종합 현황'!$H$5,"내부 관찰 대상","내부 관찰일 이하")))))</x:f>
        <x:v>대상 아님</x:v>
      </x:c>
      <x:c r="AB339" s="2"/>
    </x:row>
    <x:row r="340" ht="42" customHeight="1">
      <x:c r="A340" s="2" t="str">
        <x:v>8f86d0443b32b3c24315c92f</x:v>
      </x:c>
      <x:c r="B340" s="2" t="str">
        <x:v>사업 평가</x:v>
      </x:c>
      <x:c r="C340" s="2" t="str">
        <x:v>국내</x:v>
      </x:c>
      <x:c r="D340" s="7" t="str">
        <x:v>인제군 실버홈 태양광 발전설비 설치 및 자가 사용을 통한 온실가스 배출 감축사업</x:v>
      </x:c>
      <x:c r="E340" s="2" t="str">
        <x:v>201</x:v>
      </x:c>
      <x:c r="F340" s="2" t="str">
        <x:v>2017-12-14</x:v>
      </x:c>
      <x:c r="G340" s="2" t="str">
        <x:v>2017</x:v>
      </x:c>
      <x:c r="H340" s="2" t="str">
        <x:v>12</x:v>
      </x:c>
      <x:c r="I340" s="2" t="str">
        <x:v>반려</x:v>
      </x:c>
      <x:c r="J340" s="2" t="str">
        <x:v>반려</x:v>
      </x:c>
      <x:c r="K340" s="2" t="str">
        <x:f>IF(OR(J340="심의승인",J340="반려",J340="반려완료",J340="심의완료"),"종결 표시",IF(OR(J340="기후부협의",J340="문서재제출요청",J340="보류",J340="보완요청",J340="보완완료",J340="평가중",J340="반려요청",J340="평가필요",LEFT(J340,5)="보완요청("),"미종결 표시","상태 확인 필요"))</x:f>
        <x:v>종결 표시</x:v>
      </x:c>
      <x:c r="L340" s="2"/>
      <x:c r="M340" s="2"/>
      <x:c r="N340" s="8" t="n">
        <x:f>DATE(2026,10,15)-DATE(2017,12,14)</x:f>
        <x:v>3227</x:v>
      </x:c>
      <x:c r="O340" s="2"/>
      <x:c r="P340" s="2"/>
      <x:c r="Q340" s="2" t="str">
        <x:v>산업전환_외부사업관리Tool_260707_이너젠 수정_LJY_261013.xlsx</x:v>
      </x:c>
      <x:c r="R340" s="2" t="str">
        <x:v>국내평가</x:v>
      </x:c>
      <x:c r="S340" s="8" t="n">
        <x:v>243</x:v>
      </x:c>
      <x:c r="T340" s="2" t="str">
        <x:v>2021년 처리</x:v>
      </x:c>
      <x:c r="U340" s="2" t="str">
        <x:v>2021 배정: 2021년 처리</x:v>
      </x:c>
      <x:c r="V340" s="2" t="str">
        <x:v>2021-06-24</x:v>
      </x:c>
      <x:c r="W340" s="2" t="str">
        <x:v>담당기관 확인</x:v>
      </x:c>
      <x:c r="X340" s="2" t="str">
        <x:v>원본·배정 기록 확인</x:v>
      </x:c>
      <x:c r="Y340" s="2" t="str">
        <x:v>ad210cd9ec132cfd447541c8984dc53d30aff0f4fb2dc92d254d49275cc55976</x:v>
      </x:c>
      <x:c r="Z340" s="2" t="n">
        <x:f>SUBTOTAL(103,A340)</x:f>
        <x:v>1</x:v>
      </x:c>
      <x:c r="AA340" s="2" t="str">
        <x:f>IF(K340&lt;&gt;"미종결 표시","대상 아님",IF(N340="","신청일 확인",IF(NOT(ISNUMBER('종합 현황'!$H$5)),"관찰기준 확인",IF('종합 현황'!$H$5&lt;1,"관찰기준 확인",IF(N340&gt;'종합 현황'!$H$5,"내부 관찰 대상","내부 관찰일 이하")))))</x:f>
        <x:v>대상 아님</x:v>
      </x:c>
      <x:c r="AB340" s="2"/>
    </x:row>
    <x:row r="341" ht="42" customHeight="1">
      <x:c r="A341" s="2" t="str">
        <x:v>71741d2df891af7db7f72b1b</x:v>
      </x:c>
      <x:c r="B341" s="2" t="str">
        <x:v>사업 평가</x:v>
      </x:c>
      <x:c r="C341" s="2" t="str">
        <x:v>국내</x:v>
      </x:c>
      <x:c r="D341" s="7" t="str">
        <x:v>팜스코 스팀보일러의 연료교체를 통한 온실가스 감축사업</x:v>
      </x:c>
      <x:c r="E341" s="2" t="str">
        <x:v>202</x:v>
      </x:c>
      <x:c r="F341" s="2" t="str">
        <x:v>2017-12-14</x:v>
      </x:c>
      <x:c r="G341" s="2" t="str">
        <x:v>2017</x:v>
      </x:c>
      <x:c r="H341" s="2" t="str">
        <x:v>12</x:v>
      </x:c>
      <x:c r="I341" s="2" t="str">
        <x:v>승인</x:v>
      </x:c>
      <x:c r="J341" s="2" t="str">
        <x:v>심의승인</x:v>
      </x:c>
      <x:c r="K341" s="2" t="str">
        <x:f>IF(OR(J341="심의승인",J341="반려",J341="반려완료",J341="심의완료"),"종결 표시",IF(OR(J341="기후부협의",J341="문서재제출요청",J341="보류",J341="보완요청",J341="보완완료",J341="평가중",J341="반려요청",J341="평가필요",LEFT(J341,5)="보완요청("),"미종결 표시","상태 확인 필요"))</x:f>
        <x:v>종결 표시</x:v>
      </x:c>
      <x:c r="L341" s="2"/>
      <x:c r="M341" s="2"/>
      <x:c r="N341" s="8" t="n">
        <x:f>DATE(2026,10,15)-DATE(2017,12,14)</x:f>
        <x:v>3227</x:v>
      </x:c>
      <x:c r="O341" s="2"/>
      <x:c r="P341" s="2"/>
      <x:c r="Q341" s="2" t="str">
        <x:v>산업전환_외부사업관리Tool_260707_이너젠 수정_LJY_261013.xlsx</x:v>
      </x:c>
      <x:c r="R341" s="2" t="str">
        <x:v>국내평가</x:v>
      </x:c>
      <x:c r="S341" s="8" t="n">
        <x:v>244</x:v>
      </x:c>
      <x:c r="T341" s="2"/>
      <x:c r="U341" s="2" t="str"/>
      <x:c r="V341" s="2" t="str">
        <x:v>2018-11-28</x:v>
      </x:c>
      <x:c r="W341" s="2" t="str">
        <x:v>담당기관 확인</x:v>
      </x:c>
      <x:c r="X341" s="2" t="str">
        <x:v>원본·배정 기록 확인</x:v>
      </x:c>
      <x:c r="Y341" s="2" t="str">
        <x:v>ad210cd9ec132cfd447541c8984dc53d30aff0f4fb2dc92d254d49275cc55976</x:v>
      </x:c>
      <x:c r="Z341" s="2" t="n">
        <x:f>SUBTOTAL(103,A341)</x:f>
        <x:v>1</x:v>
      </x:c>
      <x:c r="AA341" s="2" t="str">
        <x:f>IF(K341&lt;&gt;"미종결 표시","대상 아님",IF(N341="","신청일 확인",IF(NOT(ISNUMBER('종합 현황'!$H$5)),"관찰기준 확인",IF('종합 현황'!$H$5&lt;1,"관찰기준 확인",IF(N341&gt;'종합 현황'!$H$5,"내부 관찰 대상","내부 관찰일 이하")))))</x:f>
        <x:v>대상 아님</x:v>
      </x:c>
      <x:c r="AB341" s="2"/>
    </x:row>
    <x:row r="342" ht="42" customHeight="1">
      <x:c r="A342" s="2" t="str">
        <x:v>95a7ecd7e283f472e9182b52</x:v>
      </x:c>
      <x:c r="B342" s="2" t="str">
        <x:v>사업 평가</x:v>
      </x:c>
      <x:c r="C342" s="2" t="str">
        <x:v>국내</x:v>
      </x:c>
      <x:c r="D342" s="7" t="str">
        <x:v>(주)세림인더스트리 사출기 일부교체(유압식→하이브리드형)을 통한 온실가스 감축사업</x:v>
      </x:c>
      <x:c r="E342" s="2" t="str">
        <x:v>203</x:v>
      </x:c>
      <x:c r="F342" s="2" t="str">
        <x:v>2017-12-14</x:v>
      </x:c>
      <x:c r="G342" s="2" t="str">
        <x:v>2017</x:v>
      </x:c>
      <x:c r="H342" s="2" t="str">
        <x:v>12</x:v>
      </x:c>
      <x:c r="I342" s="2" t="str">
        <x:v>승인</x:v>
      </x:c>
      <x:c r="J342" s="2" t="str">
        <x:v>심의승인</x:v>
      </x:c>
      <x:c r="K342" s="2" t="str">
        <x:f>IF(OR(J342="심의승인",J342="반려",J342="반려완료",J342="심의완료"),"종결 표시",IF(OR(J342="기후부협의",J342="문서재제출요청",J342="보류",J342="보완요청",J342="보완완료",J342="평가중",J342="반려요청",J342="평가필요",LEFT(J342,5)="보완요청("),"미종결 표시","상태 확인 필요"))</x:f>
        <x:v>종결 표시</x:v>
      </x:c>
      <x:c r="L342" s="2"/>
      <x:c r="M342" s="2"/>
      <x:c r="N342" s="8" t="n">
        <x:f>DATE(2026,10,15)-DATE(2017,12,14)</x:f>
        <x:v>3227</x:v>
      </x:c>
      <x:c r="O342" s="2"/>
      <x:c r="P342" s="2"/>
      <x:c r="Q342" s="2" t="str">
        <x:v>산업전환_외부사업관리Tool_260707_이너젠 수정_LJY_261013.xlsx</x:v>
      </x:c>
      <x:c r="R342" s="2" t="str">
        <x:v>국내평가</x:v>
      </x:c>
      <x:c r="S342" s="8" t="n">
        <x:v>245</x:v>
      </x:c>
      <x:c r="T342" s="2"/>
      <x:c r="U342" s="2" t="str"/>
      <x:c r="V342" s="2" t="str">
        <x:v>2018-11-28</x:v>
      </x:c>
      <x:c r="W342" s="2" t="str">
        <x:v>담당기관 확인</x:v>
      </x:c>
      <x:c r="X342" s="2" t="str">
        <x:v>원본·배정 기록 확인</x:v>
      </x:c>
      <x:c r="Y342" s="2" t="str">
        <x:v>ad210cd9ec132cfd447541c8984dc53d30aff0f4fb2dc92d254d49275cc55976</x:v>
      </x:c>
      <x:c r="Z342" s="2" t="n">
        <x:f>SUBTOTAL(103,A342)</x:f>
        <x:v>1</x:v>
      </x:c>
      <x:c r="AA342" s="2" t="str">
        <x:f>IF(K342&lt;&gt;"미종결 표시","대상 아님",IF(N342="","신청일 확인",IF(NOT(ISNUMBER('종합 현황'!$H$5)),"관찰기준 확인",IF('종합 현황'!$H$5&lt;1,"관찰기준 확인",IF(N342&gt;'종합 현황'!$H$5,"내부 관찰 대상","내부 관찰일 이하")))))</x:f>
        <x:v>대상 아님</x:v>
      </x:c>
      <x:c r="AB342" s="2"/>
    </x:row>
    <x:row r="343" ht="42" customHeight="1">
      <x:c r="A343" s="2" t="str">
        <x:v>e6a3299945af418206037c8b</x:v>
      </x:c>
      <x:c r="B343" s="2" t="str">
        <x:v>사업 평가</x:v>
      </x:c>
      <x:c r="C343" s="2" t="str">
        <x:v>국내</x:v>
      </x:c>
      <x:c r="D343" s="7" t="str">
        <x:v>(주)카파맥스 사출기 교체(유압식→하이브리드)를 통한 온실가스(CO2) 감축사업</x:v>
      </x:c>
      <x:c r="E343" s="2" t="str">
        <x:v>204</x:v>
      </x:c>
      <x:c r="F343" s="2" t="str">
        <x:v>2017-12-14</x:v>
      </x:c>
      <x:c r="G343" s="2" t="str">
        <x:v>2017</x:v>
      </x:c>
      <x:c r="H343" s="2" t="str">
        <x:v>12</x:v>
      </x:c>
      <x:c r="I343" s="2" t="str">
        <x:v>승인</x:v>
      </x:c>
      <x:c r="J343" s="2" t="str">
        <x:v>심의승인</x:v>
      </x:c>
      <x:c r="K343" s="2" t="str">
        <x:f>IF(OR(J343="심의승인",J343="반려",J343="반려완료",J343="심의완료"),"종결 표시",IF(OR(J343="기후부협의",J343="문서재제출요청",J343="보류",J343="보완요청",J343="보완완료",J343="평가중",J343="반려요청",J343="평가필요",LEFT(J343,5)="보완요청("),"미종결 표시","상태 확인 필요"))</x:f>
        <x:v>종결 표시</x:v>
      </x:c>
      <x:c r="L343" s="2"/>
      <x:c r="M343" s="2"/>
      <x:c r="N343" s="8" t="n">
        <x:f>DATE(2026,10,15)-DATE(2017,12,14)</x:f>
        <x:v>3227</x:v>
      </x:c>
      <x:c r="O343" s="2"/>
      <x:c r="P343" s="2"/>
      <x:c r="Q343" s="2" t="str">
        <x:v>산업전환_외부사업관리Tool_260707_이너젠 수정_LJY_261013.xlsx</x:v>
      </x:c>
      <x:c r="R343" s="2" t="str">
        <x:v>국내평가</x:v>
      </x:c>
      <x:c r="S343" s="8" t="n">
        <x:v>246</x:v>
      </x:c>
      <x:c r="T343" s="2"/>
      <x:c r="U343" s="2" t="str"/>
      <x:c r="V343" s="2" t="str">
        <x:v>2018-11-28</x:v>
      </x:c>
      <x:c r="W343" s="2" t="str">
        <x:v>담당기관 확인</x:v>
      </x:c>
      <x:c r="X343" s="2" t="str">
        <x:v>원본·배정 기록 확인</x:v>
      </x:c>
      <x:c r="Y343" s="2" t="str">
        <x:v>ad210cd9ec132cfd447541c8984dc53d30aff0f4fb2dc92d254d49275cc55976</x:v>
      </x:c>
      <x:c r="Z343" s="2" t="n">
        <x:f>SUBTOTAL(103,A343)</x:f>
        <x:v>1</x:v>
      </x:c>
      <x:c r="AA343" s="2" t="str">
        <x:f>IF(K343&lt;&gt;"미종결 표시","대상 아님",IF(N343="","신청일 확인",IF(NOT(ISNUMBER('종합 현황'!$H$5)),"관찰기준 확인",IF('종합 현황'!$H$5&lt;1,"관찰기준 확인",IF(N343&gt;'종합 현황'!$H$5,"내부 관찰 대상","내부 관찰일 이하")))))</x:f>
        <x:v>대상 아님</x:v>
      </x:c>
      <x:c r="AB343" s="2"/>
    </x:row>
    <x:row r="344" ht="42" customHeight="1">
      <x:c r="A344" s="2" t="str">
        <x:v>7683008ad218dd5b321c07bd</x:v>
      </x:c>
      <x:c r="B344" s="2" t="str">
        <x:v>사업 평가</x:v>
      </x:c>
      <x:c r="C344" s="2" t="str">
        <x:v>국내</x:v>
      </x:c>
      <x:c r="D344" s="7" t="str">
        <x:v>(주)축림 익산사업장 LPG에서 목재펠릿으로 연료 전환을 통한 온실가스 감축사업</x:v>
      </x:c>
      <x:c r="E344" s="2" t="str">
        <x:v>205</x:v>
      </x:c>
      <x:c r="F344" s="2" t="str">
        <x:v>2017-12-14</x:v>
      </x:c>
      <x:c r="G344" s="2" t="str">
        <x:v>2017</x:v>
      </x:c>
      <x:c r="H344" s="2" t="str">
        <x:v>12</x:v>
      </x:c>
      <x:c r="I344" s="2" t="str">
        <x:v>승인</x:v>
      </x:c>
      <x:c r="J344" s="2" t="str">
        <x:v>심의승인</x:v>
      </x:c>
      <x:c r="K344" s="2" t="str">
        <x:f>IF(OR(J344="심의승인",J344="반려",J344="반려완료",J344="심의완료"),"종결 표시",IF(OR(J344="기후부협의",J344="문서재제출요청",J344="보류",J344="보완요청",J344="보완완료",J344="평가중",J344="반려요청",J344="평가필요",LEFT(J344,5)="보완요청("),"미종결 표시","상태 확인 필요"))</x:f>
        <x:v>종결 표시</x:v>
      </x:c>
      <x:c r="L344" s="2"/>
      <x:c r="M344" s="2"/>
      <x:c r="N344" s="8" t="n">
        <x:f>DATE(2026,10,15)-DATE(2017,12,14)</x:f>
        <x:v>3227</x:v>
      </x:c>
      <x:c r="O344" s="2"/>
      <x:c r="P344" s="2"/>
      <x:c r="Q344" s="2" t="str">
        <x:v>산업전환_외부사업관리Tool_260707_이너젠 수정_LJY_261013.xlsx</x:v>
      </x:c>
      <x:c r="R344" s="2" t="str">
        <x:v>국내평가</x:v>
      </x:c>
      <x:c r="S344" s="8" t="n">
        <x:v>247</x:v>
      </x:c>
      <x:c r="T344" s="2"/>
      <x:c r="U344" s="2" t="str"/>
      <x:c r="V344" s="2" t="str">
        <x:v>2018-12-03</x:v>
      </x:c>
      <x:c r="W344" s="2" t="str">
        <x:v>담당기관 확인</x:v>
      </x:c>
      <x:c r="X344" s="2" t="str">
        <x:v>원본·배정 기록 확인</x:v>
      </x:c>
      <x:c r="Y344" s="2" t="str">
        <x:v>ad210cd9ec132cfd447541c8984dc53d30aff0f4fb2dc92d254d49275cc55976</x:v>
      </x:c>
      <x:c r="Z344" s="2" t="n">
        <x:f>SUBTOTAL(103,A344)</x:f>
        <x:v>1</x:v>
      </x:c>
      <x:c r="AA344" s="2" t="str">
        <x:f>IF(K344&lt;&gt;"미종결 표시","대상 아님",IF(N344="","신청일 확인",IF(NOT(ISNUMBER('종합 현황'!$H$5)),"관찰기준 확인",IF('종합 현황'!$H$5&lt;1,"관찰기준 확인",IF(N344&gt;'종합 현황'!$H$5,"내부 관찰 대상","내부 관찰일 이하")))))</x:f>
        <x:v>대상 아님</x:v>
      </x:c>
      <x:c r="AB344" s="2"/>
    </x:row>
    <x:row r="345" ht="42" customHeight="1">
      <x:c r="A345" s="2" t="str">
        <x:v>b3b36b08423234032b7146a2</x:v>
      </x:c>
      <x:c r="B345" s="2" t="str">
        <x:v>사업 평가</x:v>
      </x:c>
      <x:c r="C345" s="2" t="str">
        <x:v>국내</x:v>
      </x:c>
      <x:c r="D345" s="7" t="str">
        <x:v>인제군 내린천요양원 태양광 발전설비 설치 및 자가 사용을 통한 온실가스 배출 감축사업</x:v>
      </x:c>
      <x:c r="E345" s="2" t="str">
        <x:v>206</x:v>
      </x:c>
      <x:c r="F345" s="2" t="str">
        <x:v>2017-12-14</x:v>
      </x:c>
      <x:c r="G345" s="2" t="str">
        <x:v>2017</x:v>
      </x:c>
      <x:c r="H345" s="2" t="str">
        <x:v>12</x:v>
      </x:c>
      <x:c r="I345" s="2" t="str">
        <x:v>반려</x:v>
      </x:c>
      <x:c r="J345" s="2" t="str">
        <x:v>반려</x:v>
      </x:c>
      <x:c r="K345" s="2" t="str">
        <x:f>IF(OR(J345="심의승인",J345="반려",J345="반려완료",J345="심의완료"),"종결 표시",IF(OR(J345="기후부협의",J345="문서재제출요청",J345="보류",J345="보완요청",J345="보완완료",J345="평가중",J345="반려요청",J345="평가필요",LEFT(J345,5)="보완요청("),"미종결 표시","상태 확인 필요"))</x:f>
        <x:v>종결 표시</x:v>
      </x:c>
      <x:c r="L345" s="2"/>
      <x:c r="M345" s="2"/>
      <x:c r="N345" s="8" t="n">
        <x:f>DATE(2026,10,15)-DATE(2017,12,14)</x:f>
        <x:v>3227</x:v>
      </x:c>
      <x:c r="O345" s="2"/>
      <x:c r="P345" s="2"/>
      <x:c r="Q345" s="2" t="str">
        <x:v>산업전환_외부사업관리Tool_260707_이너젠 수정_LJY_261013.xlsx</x:v>
      </x:c>
      <x:c r="R345" s="2" t="str">
        <x:v>국내평가</x:v>
      </x:c>
      <x:c r="S345" s="8" t="n">
        <x:v>248</x:v>
      </x:c>
      <x:c r="T345" s="2" t="str">
        <x:v>2021년 처리</x:v>
      </x:c>
      <x:c r="U345" s="2" t="str">
        <x:v>2021 배정: 2021년 처리</x:v>
      </x:c>
      <x:c r="V345" s="2" t="str">
        <x:v>2021-06-24</x:v>
      </x:c>
      <x:c r="W345" s="2" t="str">
        <x:v>담당기관 확인</x:v>
      </x:c>
      <x:c r="X345" s="2" t="str">
        <x:v>원본·배정 기록 확인</x:v>
      </x:c>
      <x:c r="Y345" s="2" t="str">
        <x:v>ad210cd9ec132cfd447541c8984dc53d30aff0f4fb2dc92d254d49275cc55976</x:v>
      </x:c>
      <x:c r="Z345" s="2" t="n">
        <x:f>SUBTOTAL(103,A345)</x:f>
        <x:v>1</x:v>
      </x:c>
      <x:c r="AA345" s="2" t="str">
        <x:f>IF(K345&lt;&gt;"미종결 표시","대상 아님",IF(N345="","신청일 확인",IF(NOT(ISNUMBER('종합 현황'!$H$5)),"관찰기준 확인",IF('종합 현황'!$H$5&lt;1,"관찰기준 확인",IF(N345&gt;'종합 현황'!$H$5,"내부 관찰 대상","내부 관찰일 이하")))))</x:f>
        <x:v>대상 아님</x:v>
      </x:c>
      <x:c r="AB345" s="2"/>
    </x:row>
    <x:row r="346" ht="42" customHeight="1">
      <x:c r="A346" s="2" t="str">
        <x:v>ee363336e5d3ee2902371c2b</x:v>
      </x:c>
      <x:c r="B346" s="2" t="str">
        <x:v>사업 평가</x:v>
      </x:c>
      <x:c r="C346" s="2" t="str">
        <x:v>국내</x:v>
      </x:c>
      <x:c r="D346" s="7" t="str">
        <x:v>남도금형제2공장 하이브리드형 사출기 일부교체를 통한 설비 성능 개선에 따른 온실가스 감축사업</x:v>
      </x:c>
      <x:c r="E346" s="2" t="str">
        <x:v>207</x:v>
      </x:c>
      <x:c r="F346" s="2" t="str">
        <x:v>2017-12-14</x:v>
      </x:c>
      <x:c r="G346" s="2" t="str">
        <x:v>2017</x:v>
      </x:c>
      <x:c r="H346" s="2" t="str">
        <x:v>12</x:v>
      </x:c>
      <x:c r="I346" s="2" t="str">
        <x:v>승인</x:v>
      </x:c>
      <x:c r="J346" s="2" t="str">
        <x:v>심의승인</x:v>
      </x:c>
      <x:c r="K346" s="2" t="str">
        <x:f>IF(OR(J346="심의승인",J346="반려",J346="반려완료",J346="심의완료"),"종결 표시",IF(OR(J346="기후부협의",J346="문서재제출요청",J346="보류",J346="보완요청",J346="보완완료",J346="평가중",J346="반려요청",J346="평가필요",LEFT(J346,5)="보완요청("),"미종결 표시","상태 확인 필요"))</x:f>
        <x:v>종결 표시</x:v>
      </x:c>
      <x:c r="L346" s="2"/>
      <x:c r="M346" s="2"/>
      <x:c r="N346" s="8" t="n">
        <x:f>DATE(2026,10,15)-DATE(2017,12,14)</x:f>
        <x:v>3227</x:v>
      </x:c>
      <x:c r="O346" s="2"/>
      <x:c r="P346" s="2"/>
      <x:c r="Q346" s="2" t="str">
        <x:v>산업전환_외부사업관리Tool_260707_이너젠 수정_LJY_261013.xlsx</x:v>
      </x:c>
      <x:c r="R346" s="2" t="str">
        <x:v>국내평가</x:v>
      </x:c>
      <x:c r="S346" s="8" t="n">
        <x:v>249</x:v>
      </x:c>
      <x:c r="T346" s="2"/>
      <x:c r="U346" s="2" t="str"/>
      <x:c r="V346" s="2" t="str">
        <x:v>2020-11-10</x:v>
      </x:c>
      <x:c r="W346" s="2" t="str">
        <x:v>담당기관 확인</x:v>
      </x:c>
      <x:c r="X346" s="2" t="str">
        <x:v>원본·배정 기록 확인</x:v>
      </x:c>
      <x:c r="Y346" s="2" t="str">
        <x:v>ad210cd9ec132cfd447541c8984dc53d30aff0f4fb2dc92d254d49275cc55976</x:v>
      </x:c>
      <x:c r="Z346" s="2" t="n">
        <x:f>SUBTOTAL(103,A346)</x:f>
        <x:v>1</x:v>
      </x:c>
      <x:c r="AA346" s="2" t="str">
        <x:f>IF(K346&lt;&gt;"미종결 표시","대상 아님",IF(N346="","신청일 확인",IF(NOT(ISNUMBER('종합 현황'!$H$5)),"관찰기준 확인",IF('종합 현황'!$H$5&lt;1,"관찰기준 확인",IF(N346&gt;'종합 현황'!$H$5,"내부 관찰 대상","내부 관찰일 이하")))))</x:f>
        <x:v>대상 아님</x:v>
      </x:c>
      <x:c r="AB346" s="2"/>
    </x:row>
    <x:row r="347" ht="42" customHeight="1">
      <x:c r="A347" s="2" t="str">
        <x:v>43cc0ed1d70ed8d117b0deae</x:v>
      </x:c>
      <x:c r="B347" s="2" t="str">
        <x:v>사업 평가</x:v>
      </x:c>
      <x:c r="C347" s="2" t="str">
        <x:v>국내</x:v>
      </x:c>
      <x:c r="D347" s="7" t="str">
        <x:v>보일러 연료 정제유를 LNG로의 전환을 통한 온실가스 감축사업</x:v>
      </x:c>
      <x:c r="E347" s="2" t="str">
        <x:v>208</x:v>
      </x:c>
      <x:c r="F347" s="2" t="str">
        <x:v>2017-12-18</x:v>
      </x:c>
      <x:c r="G347" s="2" t="str">
        <x:v>2017</x:v>
      </x:c>
      <x:c r="H347" s="2" t="str">
        <x:v>12</x:v>
      </x:c>
      <x:c r="I347" s="2" t="str">
        <x:v>반려</x:v>
      </x:c>
      <x:c r="J347" s="2" t="str">
        <x:v>반려</x:v>
      </x:c>
      <x:c r="K347" s="2" t="str">
        <x:f>IF(OR(J347="심의승인",J347="반려",J347="반려완료",J347="심의완료"),"종결 표시",IF(OR(J347="기후부협의",J347="문서재제출요청",J347="보류",J347="보완요청",J347="보완완료",J347="평가중",J347="반려요청",J347="평가필요",LEFT(J347,5)="보완요청("),"미종결 표시","상태 확인 필요"))</x:f>
        <x:v>종결 표시</x:v>
      </x:c>
      <x:c r="L347" s="2"/>
      <x:c r="M347" s="2"/>
      <x:c r="N347" s="8" t="n">
        <x:f>DATE(2026,10,15)-DATE(2017,12,18)</x:f>
        <x:v>3223</x:v>
      </x:c>
      <x:c r="O347" s="2"/>
      <x:c r="P347" s="2"/>
      <x:c r="Q347" s="2" t="str">
        <x:v>산업전환_외부사업관리Tool_260707_이너젠 수정_LJY_261013.xlsx</x:v>
      </x:c>
      <x:c r="R347" s="2" t="str">
        <x:v>국내평가</x:v>
      </x:c>
      <x:c r="S347" s="8" t="n">
        <x:v>250</x:v>
      </x:c>
      <x:c r="T347" s="2" t="str">
        <x:v>2021년 처리</x:v>
      </x:c>
      <x:c r="U347" s="2" t="str">
        <x:v>2021 배정: 2021년 처리</x:v>
      </x:c>
      <x:c r="V347" s="2" t="str">
        <x:v>2021-08-12</x:v>
      </x:c>
      <x:c r="W347" s="2" t="str">
        <x:v>담당기관 확인</x:v>
      </x:c>
      <x:c r="X347" s="2" t="str">
        <x:v>원본·배정 기록 확인</x:v>
      </x:c>
      <x:c r="Y347" s="2" t="str">
        <x:v>ad210cd9ec132cfd447541c8984dc53d30aff0f4fb2dc92d254d49275cc55976</x:v>
      </x:c>
      <x:c r="Z347" s="2" t="n">
        <x:f>SUBTOTAL(103,A347)</x:f>
        <x:v>1</x:v>
      </x:c>
      <x:c r="AA347" s="2" t="str">
        <x:f>IF(K347&lt;&gt;"미종결 표시","대상 아님",IF(N347="","신청일 확인",IF(NOT(ISNUMBER('종합 현황'!$H$5)),"관찰기준 확인",IF('종합 현황'!$H$5&lt;1,"관찰기준 확인",IF(N347&gt;'종합 현황'!$H$5,"내부 관찰 대상","내부 관찰일 이하")))))</x:f>
        <x:v>대상 아님</x:v>
      </x:c>
      <x:c r="AB347" s="2"/>
    </x:row>
    <x:row r="348" ht="42" customHeight="1">
      <x:c r="A348" s="2" t="str">
        <x:v>d1aca5e92b17d472558dc833</x:v>
      </x:c>
      <x:c r="B348" s="2" t="str">
        <x:v>사업 평가</x:v>
      </x:c>
      <x:c r="C348" s="2" t="str">
        <x:v>국내</x:v>
      </x:c>
      <x:c r="D348" s="7" t="str">
        <x:v>진영텍스코 보일러의 연료교체를 통한 온실가스 감축사업</x:v>
      </x:c>
      <x:c r="E348" s="2" t="str">
        <x:v>209</x:v>
      </x:c>
      <x:c r="F348" s="2" t="str">
        <x:v>2017-12-14</x:v>
      </x:c>
      <x:c r="G348" s="2" t="str">
        <x:v>2017</x:v>
      </x:c>
      <x:c r="H348" s="2" t="str">
        <x:v>12</x:v>
      </x:c>
      <x:c r="I348" s="2" t="str">
        <x:v>승인</x:v>
      </x:c>
      <x:c r="J348" s="2" t="str">
        <x:v>심의승인</x:v>
      </x:c>
      <x:c r="K348" s="2" t="str">
        <x:f>IF(OR(J348="심의승인",J348="반려",J348="반려완료",J348="심의완료"),"종결 표시",IF(OR(J348="기후부협의",J348="문서재제출요청",J348="보류",J348="보완요청",J348="보완완료",J348="평가중",J348="반려요청",J348="평가필요",LEFT(J348,5)="보완요청("),"미종결 표시","상태 확인 필요"))</x:f>
        <x:v>종결 표시</x:v>
      </x:c>
      <x:c r="L348" s="2"/>
      <x:c r="M348" s="2"/>
      <x:c r="N348" s="8" t="n">
        <x:f>DATE(2026,10,15)-DATE(2017,12,14)</x:f>
        <x:v>3227</x:v>
      </x:c>
      <x:c r="O348" s="2"/>
      <x:c r="P348" s="2"/>
      <x:c r="Q348" s="2" t="str">
        <x:v>산업전환_외부사업관리Tool_260707_이너젠 수정_LJY_261013.xlsx</x:v>
      </x:c>
      <x:c r="R348" s="2" t="str">
        <x:v>국내평가</x:v>
      </x:c>
      <x:c r="S348" s="8" t="n">
        <x:v>251</x:v>
      </x:c>
      <x:c r="T348" s="2"/>
      <x:c r="U348" s="2" t="str"/>
      <x:c r="V348" s="2" t="str">
        <x:v>2018-11-28</x:v>
      </x:c>
      <x:c r="W348" s="2" t="str">
        <x:v>담당기관 확인</x:v>
      </x:c>
      <x:c r="X348" s="2" t="str">
        <x:v>원본·배정 기록 확인</x:v>
      </x:c>
      <x:c r="Y348" s="2" t="str">
        <x:v>ad210cd9ec132cfd447541c8984dc53d30aff0f4fb2dc92d254d49275cc55976</x:v>
      </x:c>
      <x:c r="Z348" s="2" t="n">
        <x:f>SUBTOTAL(103,A348)</x:f>
        <x:v>1</x:v>
      </x:c>
      <x:c r="AA348" s="2" t="str">
        <x:f>IF(K348&lt;&gt;"미종결 표시","대상 아님",IF(N348="","신청일 확인",IF(NOT(ISNUMBER('종합 현황'!$H$5)),"관찰기준 확인",IF('종합 현황'!$H$5&lt;1,"관찰기준 확인",IF(N348&gt;'종합 현황'!$H$5,"내부 관찰 대상","내부 관찰일 이하")))))</x:f>
        <x:v>대상 아님</x:v>
      </x:c>
      <x:c r="AB348" s="2"/>
    </x:row>
    <x:row r="349" ht="42" customHeight="1">
      <x:c r="A349" s="2" t="str">
        <x:v>7c5877a8347e7924aca554f4</x:v>
      </x:c>
      <x:c r="B349" s="2" t="str">
        <x:v>사업 평가</x:v>
      </x:c>
      <x:c r="C349" s="2" t="str">
        <x:v>국내</x:v>
      </x:c>
      <x:c r="D349" s="7" t="str">
        <x:v>정광기업 가열로 및 열처리로의 연료교체를 통한 온실가스 감축사업</x:v>
      </x:c>
      <x:c r="E349" s="2" t="str">
        <x:v>210</x:v>
      </x:c>
      <x:c r="F349" s="2" t="str">
        <x:v>2017-12-14</x:v>
      </x:c>
      <x:c r="G349" s="2" t="str">
        <x:v>2017</x:v>
      </x:c>
      <x:c r="H349" s="2" t="str">
        <x:v>12</x:v>
      </x:c>
      <x:c r="I349" s="2" t="str">
        <x:v>승인</x:v>
      </x:c>
      <x:c r="J349" s="2" t="str">
        <x:v>심의승인</x:v>
      </x:c>
      <x:c r="K349" s="2" t="str">
        <x:f>IF(OR(J349="심의승인",J349="반려",J349="반려완료",J349="심의완료"),"종결 표시",IF(OR(J349="기후부협의",J349="문서재제출요청",J349="보류",J349="보완요청",J349="보완완료",J349="평가중",J349="반려요청",J349="평가필요",LEFT(J349,5)="보완요청("),"미종결 표시","상태 확인 필요"))</x:f>
        <x:v>종결 표시</x:v>
      </x:c>
      <x:c r="L349" s="2"/>
      <x:c r="M349" s="2"/>
      <x:c r="N349" s="8" t="n">
        <x:f>DATE(2026,10,15)-DATE(2017,12,14)</x:f>
        <x:v>3227</x:v>
      </x:c>
      <x:c r="O349" s="2"/>
      <x:c r="P349" s="2"/>
      <x:c r="Q349" s="2" t="str">
        <x:v>산업전환_외부사업관리Tool_260707_이너젠 수정_LJY_261013.xlsx</x:v>
      </x:c>
      <x:c r="R349" s="2" t="str">
        <x:v>국내평가</x:v>
      </x:c>
      <x:c r="S349" s="8" t="n">
        <x:v>252</x:v>
      </x:c>
      <x:c r="T349" s="2"/>
      <x:c r="U349" s="2" t="str"/>
      <x:c r="V349" s="2" t="str">
        <x:v>2018-11-27</x:v>
      </x:c>
      <x:c r="W349" s="2" t="str">
        <x:v>담당기관 확인</x:v>
      </x:c>
      <x:c r="X349" s="2" t="str">
        <x:v>원본·배정 기록 확인</x:v>
      </x:c>
      <x:c r="Y349" s="2" t="str">
        <x:v>ad210cd9ec132cfd447541c8984dc53d30aff0f4fb2dc92d254d49275cc55976</x:v>
      </x:c>
      <x:c r="Z349" s="2" t="n">
        <x:f>SUBTOTAL(103,A349)</x:f>
        <x:v>1</x:v>
      </x:c>
      <x:c r="AA349" s="2" t="str">
        <x:f>IF(K349&lt;&gt;"미종결 표시","대상 아님",IF(N349="","신청일 확인",IF(NOT(ISNUMBER('종합 현황'!$H$5)),"관찰기준 확인",IF('종합 현황'!$H$5&lt;1,"관찰기준 확인",IF(N349&gt;'종합 현황'!$H$5,"내부 관찰 대상","내부 관찰일 이하")))))</x:f>
        <x:v>대상 아님</x:v>
      </x:c>
      <x:c r="AB349" s="2"/>
    </x:row>
    <x:row r="350" ht="42" customHeight="1">
      <x:c r="A350" s="2" t="str">
        <x:v>8a5c28b9212034c90ddd76dd</x:v>
      </x:c>
      <x:c r="B350" s="2" t="str">
        <x:v>사업 평가</x:v>
      </x:c>
      <x:c r="C350" s="2" t="str">
        <x:v>국내</x:v>
      </x:c>
      <x:c r="D350" s="7" t="str">
        <x:v>스팀생산을 위한 보일러의 도시가스 연료교체를 통한 온실가스(CO2)감축사업</x:v>
      </x:c>
      <x:c r="E350" s="2" t="str">
        <x:v>211</x:v>
      </x:c>
      <x:c r="F350" s="2" t="str">
        <x:v>2017-12-19</x:v>
      </x:c>
      <x:c r="G350" s="2" t="str">
        <x:v>2017</x:v>
      </x:c>
      <x:c r="H350" s="2" t="str">
        <x:v>12</x:v>
      </x:c>
      <x:c r="I350" s="2" t="str">
        <x:v>반려</x:v>
      </x:c>
      <x:c r="J350" s="2" t="str">
        <x:v>반려</x:v>
      </x:c>
      <x:c r="K350" s="2" t="str">
        <x:f>IF(OR(J350="심의승인",J350="반려",J350="반려완료",J350="심의완료"),"종결 표시",IF(OR(J350="기후부협의",J350="문서재제출요청",J350="보류",J350="보완요청",J350="보완완료",J350="평가중",J350="반려요청",J350="평가필요",LEFT(J350,5)="보완요청("),"미종결 표시","상태 확인 필요"))</x:f>
        <x:v>종결 표시</x:v>
      </x:c>
      <x:c r="L350" s="2" t="str">
        <x:v>KECM_이정우</x:v>
      </x:c>
      <x:c r="M350" s="2"/>
      <x:c r="N350" s="8" t="n">
        <x:f>DATE(2026,10,15)-DATE(2017,12,19)</x:f>
        <x:v>3222</x:v>
      </x:c>
      <x:c r="O350" s="2"/>
      <x:c r="P350" s="2"/>
      <x:c r="Q350" s="2" t="str">
        <x:v>산업전환_외부사업관리Tool_260707_이너젠 수정_LJY_261013.xlsx</x:v>
      </x:c>
      <x:c r="R350" s="2" t="str">
        <x:v>국내평가</x:v>
      </x:c>
      <x:c r="S350" s="8" t="n">
        <x:v>253</x:v>
      </x:c>
      <x:c r="T350" s="2" t="str">
        <x:v>2021년 처리</x:v>
      </x:c>
      <x:c r="U350" s="2" t="str">
        <x:v>2021 배정: 2021년 처리</x:v>
      </x:c>
      <x:c r="V350" s="2" t="str">
        <x:v>2021-08-12</x:v>
      </x:c>
      <x:c r="W350" s="2" t="str"/>
      <x:c r="X350" s="2" t="str">
        <x:v>종결 근거 보관</x:v>
      </x:c>
      <x:c r="Y350" s="2" t="str">
        <x:v>ad210cd9ec132cfd447541c8984dc53d30aff0f4fb2dc92d254d49275cc55976</x:v>
      </x:c>
      <x:c r="Z350" s="2" t="n">
        <x:f>SUBTOTAL(103,A350)</x:f>
        <x:v>1</x:v>
      </x:c>
      <x:c r="AA350" s="2" t="str">
        <x:f>IF(K350&lt;&gt;"미종결 표시","대상 아님",IF(N350="","신청일 확인",IF(NOT(ISNUMBER('종합 현황'!$H$5)),"관찰기준 확인",IF('종합 현황'!$H$5&lt;1,"관찰기준 확인",IF(N350&gt;'종합 현황'!$H$5,"내부 관찰 대상","내부 관찰일 이하")))))</x:f>
        <x:v>대상 아님</x:v>
      </x:c>
      <x:c r="AB350" s="2"/>
    </x:row>
    <x:row r="351" ht="42" customHeight="1">
      <x:c r="A351" s="2" t="str">
        <x:v>45f9d704458b405901db45aa</x:v>
      </x:c>
      <x:c r="B351" s="2" t="str">
        <x:v>사업 평가</x:v>
      </x:c>
      <x:c r="C351" s="2" t="str">
        <x:v>국내</x:v>
      </x:c>
      <x:c r="D351" s="7" t="str">
        <x:v>스팀생산을 위한 보일러의 도시가스 연료교체를 통한 온실가스(CO2)감축사업</x:v>
      </x:c>
      <x:c r="E351" s="2" t="str">
        <x:v>212</x:v>
      </x:c>
      <x:c r="F351" s="2" t="str">
        <x:v>2017-12-20</x:v>
      </x:c>
      <x:c r="G351" s="2" t="str">
        <x:v>2017</x:v>
      </x:c>
      <x:c r="H351" s="2" t="str">
        <x:v>12</x:v>
      </x:c>
      <x:c r="I351" s="2" t="str">
        <x:v>반려</x:v>
      </x:c>
      <x:c r="J351" s="2" t="str">
        <x:v>반려</x:v>
      </x:c>
      <x:c r="K351" s="2" t="str">
        <x:f>IF(OR(J351="심의승인",J351="반려",J351="반려완료",J351="심의완료"),"종결 표시",IF(OR(J351="기후부협의",J351="문서재제출요청",J351="보류",J351="보완요청",J351="보완완료",J351="평가중",J351="반려요청",J351="평가필요",LEFT(J351,5)="보완요청("),"미종결 표시","상태 확인 필요"))</x:f>
        <x:v>종결 표시</x:v>
      </x:c>
      <x:c r="L351" s="2"/>
      <x:c r="M351" s="2"/>
      <x:c r="N351" s="8" t="n">
        <x:f>DATE(2026,10,15)-DATE(2017,12,20)</x:f>
        <x:v>3221</x:v>
      </x:c>
      <x:c r="O351" s="2"/>
      <x:c r="P351" s="2"/>
      <x:c r="Q351" s="2" t="str">
        <x:v>산업전환_외부사업관리Tool_260707_이너젠 수정_LJY_261013.xlsx</x:v>
      </x:c>
      <x:c r="R351" s="2" t="str">
        <x:v>국내평가</x:v>
      </x:c>
      <x:c r="S351" s="8" t="n">
        <x:v>254</x:v>
      </x:c>
      <x:c r="T351" s="2"/>
      <x:c r="U351" s="2" t="str"/>
      <x:c r="V351" s="2" t="str">
        <x:v>2020-08-10</x:v>
      </x:c>
      <x:c r="W351" s="2" t="str">
        <x:v>담당기관 확인</x:v>
      </x:c>
      <x:c r="X351" s="2" t="str">
        <x:v>원본·배정 기록 확인</x:v>
      </x:c>
      <x:c r="Y351" s="2" t="str">
        <x:v>ad210cd9ec132cfd447541c8984dc53d30aff0f4fb2dc92d254d49275cc55976</x:v>
      </x:c>
      <x:c r="Z351" s="2" t="n">
        <x:f>SUBTOTAL(103,A351)</x:f>
        <x:v>1</x:v>
      </x:c>
      <x:c r="AA351" s="2" t="str">
        <x:f>IF(K351&lt;&gt;"미종결 표시","대상 아님",IF(N351="","신청일 확인",IF(NOT(ISNUMBER('종합 현황'!$H$5)),"관찰기준 확인",IF('종합 현황'!$H$5&lt;1,"관찰기준 확인",IF(N351&gt;'종합 현황'!$H$5,"내부 관찰 대상","내부 관찰일 이하")))))</x:f>
        <x:v>대상 아님</x:v>
      </x:c>
      <x:c r="AB351" s="2"/>
    </x:row>
    <x:row r="352" ht="42" customHeight="1">
      <x:c r="A352" s="2" t="str">
        <x:v>f583efec2498dbce40afeeb8</x:v>
      </x:c>
      <x:c r="B352" s="2" t="str">
        <x:v>사업 평가</x:v>
      </x:c>
      <x:c r="C352" s="2" t="str">
        <x:v>국내</x:v>
      </x:c>
      <x:c r="D352" s="7" t="str">
        <x:v>(유)성광쎄라믹 소성로 연료교체 (B-C유→LNG)를 통한 온실가스 배출 감축사업</x:v>
      </x:c>
      <x:c r="E352" s="2" t="str">
        <x:v>213</x:v>
      </x:c>
      <x:c r="F352" s="2" t="str">
        <x:v>2017-12-21</x:v>
      </x:c>
      <x:c r="G352" s="2" t="str">
        <x:v>2017</x:v>
      </x:c>
      <x:c r="H352" s="2" t="str">
        <x:v>12</x:v>
      </x:c>
      <x:c r="I352" s="2" t="str">
        <x:v>사업변경 신청</x:v>
      </x:c>
      <x:c r="J352" s="2" t="str">
        <x:v>반려</x:v>
      </x:c>
      <x:c r="K352" s="2" t="str">
        <x:f>IF(OR(J352="심의승인",J352="반려",J352="반려완료",J352="심의완료"),"종결 표시",IF(OR(J352="기후부협의",J352="문서재제출요청",J352="보류",J352="보완요청",J352="보완완료",J352="평가중",J352="반려요청",J352="평가필요",LEFT(J352,5)="보완요청("),"미종결 표시","상태 확인 필요"))</x:f>
        <x:v>종결 표시</x:v>
      </x:c>
      <x:c r="L352" s="2"/>
      <x:c r="M352" s="2"/>
      <x:c r="N352" s="8" t="n">
        <x:f>DATE(2026,10,15)-DATE(2017,12,21)</x:f>
        <x:v>3220</x:v>
      </x:c>
      <x:c r="O352" s="2"/>
      <x:c r="P352" s="2"/>
      <x:c r="Q352" s="2" t="str">
        <x:v>산업전환_외부사업관리Tool_260707_이너젠 수정_LJY_261013.xlsx</x:v>
      </x:c>
      <x:c r="R352" s="2" t="str">
        <x:v>국내평가</x:v>
      </x:c>
      <x:c r="S352" s="8" t="n">
        <x:v>255</x:v>
      </x:c>
      <x:c r="T352" s="2"/>
      <x:c r="U352" s="2" t="str"/>
      <x:c r="V352" s="2" t="str">
        <x:v>2020-09-01</x:v>
      </x:c>
      <x:c r="W352" s="2" t="str">
        <x:v>담당기관 확인</x:v>
      </x:c>
      <x:c r="X352" s="2" t="str">
        <x:v>원본·배정 기록 확인</x:v>
      </x:c>
      <x:c r="Y352" s="2" t="str">
        <x:v>ad210cd9ec132cfd447541c8984dc53d30aff0f4fb2dc92d254d49275cc55976</x:v>
      </x:c>
      <x:c r="Z352" s="2" t="n">
        <x:f>SUBTOTAL(103,A352)</x:f>
        <x:v>1</x:v>
      </x:c>
      <x:c r="AA352" s="2" t="str">
        <x:f>IF(K352&lt;&gt;"미종결 표시","대상 아님",IF(N352="","신청일 확인",IF(NOT(ISNUMBER('종합 현황'!$H$5)),"관찰기준 확인",IF('종합 현황'!$H$5&lt;1,"관찰기준 확인",IF(N352&gt;'종합 현황'!$H$5,"내부 관찰 대상","내부 관찰일 이하")))))</x:f>
        <x:v>대상 아님</x:v>
      </x:c>
      <x:c r="AB352" s="2"/>
    </x:row>
    <x:row r="353" ht="42" customHeight="1">
      <x:c r="A353" s="2" t="str">
        <x:v>89375381cd802af3ce3d22c9</x:v>
      </x:c>
      <x:c r="B353" s="2" t="str">
        <x:v>사업 평가</x:v>
      </x:c>
      <x:c r="C353" s="2" t="str">
        <x:v>국내</x:v>
      </x:c>
      <x:c r="D353" s="7" t="str">
        <x:v>가열드라이어 버너 연료전환(벙커C유 및 이온정제유 → LNG)을 통한 온실가스(CO2) 배출 감축사업</x:v>
      </x:c>
      <x:c r="E353" s="2" t="str">
        <x:v>214</x:v>
      </x:c>
      <x:c r="F353" s="2" t="str">
        <x:v>2017-12-21</x:v>
      </x:c>
      <x:c r="G353" s="2" t="str">
        <x:v>2017</x:v>
      </x:c>
      <x:c r="H353" s="2" t="str">
        <x:v>12</x:v>
      </x:c>
      <x:c r="I353" s="2" t="str">
        <x:v>사업변경 신청</x:v>
      </x:c>
      <x:c r="J353" s="2" t="str">
        <x:v>반려</x:v>
      </x:c>
      <x:c r="K353" s="2" t="str">
        <x:f>IF(OR(J353="심의승인",J353="반려",J353="반려완료",J353="심의완료"),"종결 표시",IF(OR(J353="기후부협의",J353="문서재제출요청",J353="보류",J353="보완요청",J353="보완완료",J353="평가중",J353="반려요청",J353="평가필요",LEFT(J353,5)="보완요청("),"미종결 표시","상태 확인 필요"))</x:f>
        <x:v>종결 표시</x:v>
      </x:c>
      <x:c r="L353" s="2"/>
      <x:c r="M353" s="2"/>
      <x:c r="N353" s="8" t="n">
        <x:f>DATE(2026,10,15)-DATE(2017,12,21)</x:f>
        <x:v>3220</x:v>
      </x:c>
      <x:c r="O353" s="2"/>
      <x:c r="P353" s="2"/>
      <x:c r="Q353" s="2" t="str">
        <x:v>산업전환_외부사업관리Tool_260707_이너젠 수정_LJY_261013.xlsx</x:v>
      </x:c>
      <x:c r="R353" s="2" t="str">
        <x:v>국내평가</x:v>
      </x:c>
      <x:c r="S353" s="8" t="n">
        <x:v>256</x:v>
      </x:c>
      <x:c r="T353" s="2"/>
      <x:c r="U353" s="2" t="str"/>
      <x:c r="V353" s="2" t="str">
        <x:v>2020-03-09</x:v>
      </x:c>
      <x:c r="W353" s="2" t="str">
        <x:v>담당기관 확인</x:v>
      </x:c>
      <x:c r="X353" s="2" t="str">
        <x:v>원본·배정 기록 확인</x:v>
      </x:c>
      <x:c r="Y353" s="2" t="str">
        <x:v>ad210cd9ec132cfd447541c8984dc53d30aff0f4fb2dc92d254d49275cc55976</x:v>
      </x:c>
      <x:c r="Z353" s="2" t="n">
        <x:f>SUBTOTAL(103,A353)</x:f>
        <x:v>1</x:v>
      </x:c>
      <x:c r="AA353" s="2" t="str">
        <x:f>IF(K353&lt;&gt;"미종결 표시","대상 아님",IF(N353="","신청일 확인",IF(NOT(ISNUMBER('종합 현황'!$H$5)),"관찰기준 확인",IF('종합 현황'!$H$5&lt;1,"관찰기준 확인",IF(N353&gt;'종합 현황'!$H$5,"내부 관찰 대상","내부 관찰일 이하")))))</x:f>
        <x:v>대상 아님</x:v>
      </x:c>
      <x:c r="AB353" s="2"/>
    </x:row>
    <x:row r="354" ht="42" customHeight="1">
      <x:c r="A354" s="2" t="str">
        <x:v>06f036889a1a70939e83733a</x:v>
      </x:c>
      <x:c r="B354" s="2" t="str">
        <x:v>사업 평가</x:v>
      </x:c>
      <x:c r="C354" s="2" t="str">
        <x:v>국내</x:v>
      </x:c>
      <x:c r="D354" s="7" t="str">
        <x:v>삼성전자 강원도 LED 보안등 조명 교체 묶음 감축사업</x:v>
      </x:c>
      <x:c r="E354" s="2" t="str">
        <x:v>215</x:v>
      </x:c>
      <x:c r="F354" s="2" t="str">
        <x:v>2017-12-19</x:v>
      </x:c>
      <x:c r="G354" s="2" t="str">
        <x:v>2017</x:v>
      </x:c>
      <x:c r="H354" s="2" t="str">
        <x:v>12</x:v>
      </x:c>
      <x:c r="I354" s="2" t="str">
        <x:v>승인</x:v>
      </x:c>
      <x:c r="J354" s="2" t="str">
        <x:v>심의승인</x:v>
      </x:c>
      <x:c r="K354" s="2" t="str">
        <x:f>IF(OR(J354="심의승인",J354="반려",J354="반려완료",J354="심의완료"),"종결 표시",IF(OR(J354="기후부협의",J354="문서재제출요청",J354="보류",J354="보완요청",J354="보완완료",J354="평가중",J354="반려요청",J354="평가필요",LEFT(J354,5)="보완요청("),"미종결 표시","상태 확인 필요"))</x:f>
        <x:v>종결 표시</x:v>
      </x:c>
      <x:c r="L354" s="2"/>
      <x:c r="M354" s="2"/>
      <x:c r="N354" s="8" t="n">
        <x:f>DATE(2026,10,15)-DATE(2017,12,19)</x:f>
        <x:v>3222</x:v>
      </x:c>
      <x:c r="O354" s="2"/>
      <x:c r="P354" s="2"/>
      <x:c r="Q354" s="2" t="str">
        <x:v>산업전환_외부사업관리Tool_260707_이너젠 수정_LJY_261013.xlsx</x:v>
      </x:c>
      <x:c r="R354" s="2" t="str">
        <x:v>국내평가</x:v>
      </x:c>
      <x:c r="S354" s="8" t="n">
        <x:v>257</x:v>
      </x:c>
      <x:c r="T354" s="2" t="str">
        <x:v>2021년 처리</x:v>
      </x:c>
      <x:c r="U354" s="2" t="str">
        <x:v>2021 배정: 2021년 처리</x:v>
      </x:c>
      <x:c r="V354" s="2" t="str">
        <x:v>2021-09-27</x:v>
      </x:c>
      <x:c r="W354" s="2" t="str">
        <x:v>담당기관 확인</x:v>
      </x:c>
      <x:c r="X354" s="2" t="str">
        <x:v>원본·배정 기록 확인</x:v>
      </x:c>
      <x:c r="Y354" s="2" t="str">
        <x:v>ad210cd9ec132cfd447541c8984dc53d30aff0f4fb2dc92d254d49275cc55976</x:v>
      </x:c>
      <x:c r="Z354" s="2" t="n">
        <x:f>SUBTOTAL(103,A354)</x:f>
        <x:v>1</x:v>
      </x:c>
      <x:c r="AA354" s="2" t="str">
        <x:f>IF(K354&lt;&gt;"미종결 표시","대상 아님",IF(N354="","신청일 확인",IF(NOT(ISNUMBER('종합 현황'!$H$5)),"관찰기준 확인",IF('종합 현황'!$H$5&lt;1,"관찰기준 확인",IF(N354&gt;'종합 현황'!$H$5,"내부 관찰 대상","내부 관찰일 이하")))))</x:f>
        <x:v>대상 아님</x:v>
      </x:c>
      <x:c r="AB354" s="2"/>
    </x:row>
    <x:row r="355" ht="42" customHeight="1">
      <x:c r="A355" s="2" t="str">
        <x:v>e9e73fa62364aadc0ba8b98d</x:v>
      </x:c>
      <x:c r="B355" s="2" t="str">
        <x:v>사업 평가</x:v>
      </x:c>
      <x:c r="C355" s="2" t="str">
        <x:v>국내</x:v>
      </x:c>
      <x:c r="D355" s="7" t="str">
        <x:v>온실가스감축사업</x:v>
      </x:c>
      <x:c r="E355" s="2" t="str">
        <x:v>216</x:v>
      </x:c>
      <x:c r="F355" s="2" t="str">
        <x:v>2017-12-22</x:v>
      </x:c>
      <x:c r="G355" s="2" t="str">
        <x:v>2017</x:v>
      </x:c>
      <x:c r="H355" s="2" t="str">
        <x:v>12</x:v>
      </x:c>
      <x:c r="I355" s="2" t="str">
        <x:v>반려</x:v>
      </x:c>
      <x:c r="J355" s="2" t="str">
        <x:v>반려</x:v>
      </x:c>
      <x:c r="K355" s="2" t="str">
        <x:f>IF(OR(J355="심의승인",J355="반려",J355="반려완료",J355="심의완료"),"종결 표시",IF(OR(J355="기후부협의",J355="문서재제출요청",J355="보류",J355="보완요청",J355="보완완료",J355="평가중",J355="반려요청",J355="평가필요",LEFT(J355,5)="보완요청("),"미종결 표시","상태 확인 필요"))</x:f>
        <x:v>종결 표시</x:v>
      </x:c>
      <x:c r="L355" s="2"/>
      <x:c r="M355" s="2"/>
      <x:c r="N355" s="8" t="n">
        <x:f>DATE(2026,10,15)-DATE(2017,12,22)</x:f>
        <x:v>3219</x:v>
      </x:c>
      <x:c r="O355" s="2"/>
      <x:c r="P355" s="2"/>
      <x:c r="Q355" s="2" t="str">
        <x:v>산업전환_외부사업관리Tool_260707_이너젠 수정_LJY_261013.xlsx</x:v>
      </x:c>
      <x:c r="R355" s="2" t="str">
        <x:v>국내평가</x:v>
      </x:c>
      <x:c r="S355" s="8" t="n">
        <x:v>258</x:v>
      </x:c>
      <x:c r="T355" s="2" t="str">
        <x:v>(6/17)</x:v>
      </x:c>
      <x:c r="U355" s="2" t="str">
        <x:v>2021 배정: (6/17)</x:v>
      </x:c>
      <x:c r="V355" s="2" t="str">
        <x:v>2021-06-16</x:v>
      </x:c>
      <x:c r="W355" s="2" t="str">
        <x:v>담당기관 확인</x:v>
      </x:c>
      <x:c r="X355" s="2" t="str">
        <x:v>원본·배정 기록 확인</x:v>
      </x:c>
      <x:c r="Y355" s="2" t="str">
        <x:v>ad210cd9ec132cfd447541c8984dc53d30aff0f4fb2dc92d254d49275cc55976</x:v>
      </x:c>
      <x:c r="Z355" s="2" t="n">
        <x:f>SUBTOTAL(103,A355)</x:f>
        <x:v>1</x:v>
      </x:c>
      <x:c r="AA355" s="2" t="str">
        <x:f>IF(K355&lt;&gt;"미종결 표시","대상 아님",IF(N355="","신청일 확인",IF(NOT(ISNUMBER('종합 현황'!$H$5)),"관찰기준 확인",IF('종합 현황'!$H$5&lt;1,"관찰기준 확인",IF(N355&gt;'종합 현황'!$H$5,"내부 관찰 대상","내부 관찰일 이하")))))</x:f>
        <x:v>대상 아님</x:v>
      </x:c>
      <x:c r="AB355" s="2"/>
    </x:row>
    <x:row r="356" ht="42" customHeight="1">
      <x:c r="A356" s="2" t="str">
        <x:v>714ab4f8ab684b50962e0447</x:v>
      </x:c>
      <x:c r="B356" s="2" t="str">
        <x:v>사업 평가</x:v>
      </x:c>
      <x:c r="C356" s="2" t="str">
        <x:v>국내</x:v>
      </x:c>
      <x:c r="D356" s="7" t="str">
        <x:v>이지팜스의 B-C유에서 LNG로 연료전환을 통한 온실가스 배출감축사업</x:v>
      </x:c>
      <x:c r="E356" s="2" t="str">
        <x:v>217</x:v>
      </x:c>
      <x:c r="F356" s="2" t="str">
        <x:v>2017-12-26</x:v>
      </x:c>
      <x:c r="G356" s="2" t="str">
        <x:v>2017</x:v>
      </x:c>
      <x:c r="H356" s="2" t="str">
        <x:v>12</x:v>
      </x:c>
      <x:c r="I356" s="2" t="str">
        <x:v>반려</x:v>
      </x:c>
      <x:c r="J356" s="2" t="str">
        <x:v>반려</x:v>
      </x:c>
      <x:c r="K356" s="2" t="str">
        <x:f>IF(OR(J356="심의승인",J356="반려",J356="반려완료",J356="심의완료"),"종결 표시",IF(OR(J356="기후부협의",J356="문서재제출요청",J356="보류",J356="보완요청",J356="보완완료",J356="평가중",J356="반려요청",J356="평가필요",LEFT(J356,5)="보완요청("),"미종결 표시","상태 확인 필요"))</x:f>
        <x:v>종결 표시</x:v>
      </x:c>
      <x:c r="L356" s="2"/>
      <x:c r="M356" s="2"/>
      <x:c r="N356" s="8" t="n">
        <x:f>DATE(2026,10,15)-DATE(2017,12,26)</x:f>
        <x:v>3215</x:v>
      </x:c>
      <x:c r="O356" s="2"/>
      <x:c r="P356" s="2"/>
      <x:c r="Q356" s="2" t="str">
        <x:v>산업전환_외부사업관리Tool_260707_이너젠 수정_LJY_261013.xlsx</x:v>
      </x:c>
      <x:c r="R356" s="2" t="str">
        <x:v>국내평가</x:v>
      </x:c>
      <x:c r="S356" s="8" t="n">
        <x:v>259</x:v>
      </x:c>
      <x:c r="T356" s="2"/>
      <x:c r="U356" s="2" t="str"/>
      <x:c r="V356" s="2" t="str">
        <x:v>2021-03-25</x:v>
      </x:c>
      <x:c r="W356" s="2" t="str">
        <x:v>담당기관 확인</x:v>
      </x:c>
      <x:c r="X356" s="2" t="str">
        <x:v>원본·배정 기록 확인</x:v>
      </x:c>
      <x:c r="Y356" s="2" t="str">
        <x:v>ad210cd9ec132cfd447541c8984dc53d30aff0f4fb2dc92d254d49275cc55976</x:v>
      </x:c>
      <x:c r="Z356" s="2" t="n">
        <x:f>SUBTOTAL(103,A356)</x:f>
        <x:v>1</x:v>
      </x:c>
      <x:c r="AA356" s="2" t="str">
        <x:f>IF(K356&lt;&gt;"미종결 표시","대상 아님",IF(N356="","신청일 확인",IF(NOT(ISNUMBER('종합 현황'!$H$5)),"관찰기준 확인",IF('종합 현황'!$H$5&lt;1,"관찰기준 확인",IF(N356&gt;'종합 현황'!$H$5,"내부 관찰 대상","내부 관찰일 이하")))))</x:f>
        <x:v>대상 아님</x:v>
      </x:c>
      <x:c r="AB356" s="2"/>
    </x:row>
    <x:row r="357" ht="42" customHeight="1">
      <x:c r="A357" s="2" t="str">
        <x:v>a4effd25d08269e2aa95af34</x:v>
      </x:c>
      <x:c r="B357" s="2" t="str">
        <x:v>사업 평가</x:v>
      </x:c>
      <x:c r="C357" s="2" t="str">
        <x:v>국내</x:v>
      </x:c>
      <x:c r="D357" s="7" t="str">
        <x:v>㈜세명기업 고효율 인버터형 공기압축기 교체를 통한 온실가스 감축사업</x:v>
      </x:c>
      <x:c r="E357" s="2" t="str">
        <x:v>218</x:v>
      </x:c>
      <x:c r="F357" s="2" t="str">
        <x:v>2017-12-26</x:v>
      </x:c>
      <x:c r="G357" s="2" t="str">
        <x:v>2017</x:v>
      </x:c>
      <x:c r="H357" s="2" t="str">
        <x:v>12</x:v>
      </x:c>
      <x:c r="I357" s="2" t="str">
        <x:v>반려</x:v>
      </x:c>
      <x:c r="J357" s="2" t="str">
        <x:v>반려</x:v>
      </x:c>
      <x:c r="K357" s="2" t="str">
        <x:f>IF(OR(J357="심의승인",J357="반려",J357="반려완료",J357="심의완료"),"종결 표시",IF(OR(J357="기후부협의",J357="문서재제출요청",J357="보류",J357="보완요청",J357="보완완료",J357="평가중",J357="반려요청",J357="평가필요",LEFT(J357,5)="보완요청("),"미종결 표시","상태 확인 필요"))</x:f>
        <x:v>종결 표시</x:v>
      </x:c>
      <x:c r="L357" s="2" t="str">
        <x:v>에코시안_박세은,정다윤</x:v>
      </x:c>
      <x:c r="M357" s="2"/>
      <x:c r="N357" s="8" t="n">
        <x:f>DATE(2026,10,15)-DATE(2017,12,26)</x:f>
        <x:v>3215</x:v>
      </x:c>
      <x:c r="O357" s="2" t="str">
        <x:v>O(8월)</x:v>
      </x:c>
      <x:c r="P357" s="2"/>
      <x:c r="Q357" s="2" t="str">
        <x:v>산업전환_외부사업관리Tool_260707_이너젠 수정_LJY_261013.xlsx</x:v>
      </x:c>
      <x:c r="R357" s="2" t="str">
        <x:v>국내평가</x:v>
      </x:c>
      <x:c r="S357" s="8" t="n">
        <x:v>260</x:v>
      </x:c>
      <x:c r="T357" s="2" t="str">
        <x:v>(7/12)</x:v>
      </x:c>
      <x:c r="U357" s="2" t="str">
        <x:v>2021 배정: (7/12)</x:v>
      </x:c>
      <x:c r="V357" s="2" t="str">
        <x:v>2021-11-01</x:v>
      </x:c>
      <x:c r="W357" s="2" t="str"/>
      <x:c r="X357" s="2" t="str">
        <x:v>종결 근거 보관</x:v>
      </x:c>
      <x:c r="Y357" s="2" t="str">
        <x:v>ad210cd9ec132cfd447541c8984dc53d30aff0f4fb2dc92d254d49275cc55976</x:v>
      </x:c>
      <x:c r="Z357" s="2" t="n">
        <x:f>SUBTOTAL(103,A357)</x:f>
        <x:v>1</x:v>
      </x:c>
      <x:c r="AA357" s="2" t="str">
        <x:f>IF(K357&lt;&gt;"미종결 표시","대상 아님",IF(N357="","신청일 확인",IF(NOT(ISNUMBER('종합 현황'!$H$5)),"관찰기준 확인",IF('종합 현황'!$H$5&lt;1,"관찰기준 확인",IF(N357&gt;'종합 현황'!$H$5,"내부 관찰 대상","내부 관찰일 이하")))))</x:f>
        <x:v>대상 아님</x:v>
      </x:c>
      <x:c r="AB357" s="2"/>
    </x:row>
    <x:row r="358" ht="42" customHeight="1">
      <x:c r="A358" s="2" t="str">
        <x:v>15dc6f4bf93f7070bedbb8df</x:v>
      </x:c>
      <x:c r="B358" s="2" t="str">
        <x:v>사업 평가</x:v>
      </x:c>
      <x:c r="C358" s="2" t="str">
        <x:v>국내</x:v>
      </x:c>
      <x:c r="D358" s="7" t="str">
        <x:v>(주)건창스치로폴 나주사업장 LNG에서 목재펠릿으로 연료 전환을 통한 온실가스 감축사업</x:v>
      </x:c>
      <x:c r="E358" s="2" t="str">
        <x:v>219</x:v>
      </x:c>
      <x:c r="F358" s="2" t="str">
        <x:v>2017-12-21</x:v>
      </x:c>
      <x:c r="G358" s="2" t="str">
        <x:v>2017</x:v>
      </x:c>
      <x:c r="H358" s="2" t="str">
        <x:v>12</x:v>
      </x:c>
      <x:c r="I358" s="2" t="str">
        <x:v>승인</x:v>
      </x:c>
      <x:c r="J358" s="2" t="str">
        <x:v>심의승인</x:v>
      </x:c>
      <x:c r="K358" s="2" t="str">
        <x:f>IF(OR(J358="심의승인",J358="반려",J358="반려완료",J358="심의완료"),"종결 표시",IF(OR(J358="기후부협의",J358="문서재제출요청",J358="보류",J358="보완요청",J358="보완완료",J358="평가중",J358="반려요청",J358="평가필요",LEFT(J358,5)="보완요청("),"미종결 표시","상태 확인 필요"))</x:f>
        <x:v>종결 표시</x:v>
      </x:c>
      <x:c r="L358" s="2"/>
      <x:c r="M358" s="2"/>
      <x:c r="N358" s="8" t="n">
        <x:f>DATE(2026,10,15)-DATE(2017,12,21)</x:f>
        <x:v>3220</x:v>
      </x:c>
      <x:c r="O358" s="2"/>
      <x:c r="P358" s="2"/>
      <x:c r="Q358" s="2" t="str">
        <x:v>산업전환_외부사업관리Tool_260707_이너젠 수정_LJY_261013.xlsx</x:v>
      </x:c>
      <x:c r="R358" s="2" t="str">
        <x:v>국내평가</x:v>
      </x:c>
      <x:c r="S358" s="8" t="n">
        <x:v>261</x:v>
      </x:c>
      <x:c r="T358" s="2"/>
      <x:c r="U358" s="2" t="str"/>
      <x:c r="V358" s="2" t="str">
        <x:v>2018-11-29</x:v>
      </x:c>
      <x:c r="W358" s="2" t="str">
        <x:v>담당기관 확인</x:v>
      </x:c>
      <x:c r="X358" s="2" t="str">
        <x:v>원본·배정 기록 확인</x:v>
      </x:c>
      <x:c r="Y358" s="2" t="str">
        <x:v>ad210cd9ec132cfd447541c8984dc53d30aff0f4fb2dc92d254d49275cc55976</x:v>
      </x:c>
      <x:c r="Z358" s="2" t="n">
        <x:f>SUBTOTAL(103,A358)</x:f>
        <x:v>1</x:v>
      </x:c>
      <x:c r="AA358" s="2" t="str">
        <x:f>IF(K358&lt;&gt;"미종결 표시","대상 아님",IF(N358="","신청일 확인",IF(NOT(ISNUMBER('종합 현황'!$H$5)),"관찰기준 확인",IF('종합 현황'!$H$5&lt;1,"관찰기준 확인",IF(N358&gt;'종합 현황'!$H$5,"내부 관찰 대상","내부 관찰일 이하")))))</x:f>
        <x:v>대상 아님</x:v>
      </x:c>
      <x:c r="AB358" s="2"/>
    </x:row>
    <x:row r="359" ht="42" customHeight="1">
      <x:c r="A359" s="2" t="str">
        <x:v>88148c9bb191a466e21f235d</x:v>
      </x:c>
      <x:c r="B359" s="2" t="str">
        <x:v>사업 평가</x:v>
      </x:c>
      <x:c r="C359" s="2" t="str">
        <x:v>국내</x:v>
      </x:c>
      <x:c r="D359" s="7" t="str">
        <x:v>소성로의 연료인 B-C유를 LNG로 전환함으로써 CO2 배출을 감축하는 사업</x:v>
      </x:c>
      <x:c r="E359" s="2" t="str">
        <x:v>220</x:v>
      </x:c>
      <x:c r="F359" s="2" t="str">
        <x:v>2017-12-21</x:v>
      </x:c>
      <x:c r="G359" s="2" t="str">
        <x:v>2017</x:v>
      </x:c>
      <x:c r="H359" s="2" t="str">
        <x:v>12</x:v>
      </x:c>
      <x:c r="I359" s="2" t="str">
        <x:v>승인</x:v>
      </x:c>
      <x:c r="J359" s="2" t="str">
        <x:v>심의승인</x:v>
      </x:c>
      <x:c r="K359" s="2" t="str">
        <x:f>IF(OR(J359="심의승인",J359="반려",J359="반려완료",J359="심의완료"),"종결 표시",IF(OR(J359="기후부협의",J359="문서재제출요청",J359="보류",J359="보완요청",J359="보완완료",J359="평가중",J359="반려요청",J359="평가필요",LEFT(J359,5)="보완요청("),"미종결 표시","상태 확인 필요"))</x:f>
        <x:v>종결 표시</x:v>
      </x:c>
      <x:c r="L359" s="2"/>
      <x:c r="M359" s="2"/>
      <x:c r="N359" s="8" t="n">
        <x:f>DATE(2026,10,15)-DATE(2017,12,21)</x:f>
        <x:v>3220</x:v>
      </x:c>
      <x:c r="O359" s="2"/>
      <x:c r="P359" s="2"/>
      <x:c r="Q359" s="2" t="str">
        <x:v>산업전환_외부사업관리Tool_260707_이너젠 수정_LJY_261013.xlsx</x:v>
      </x:c>
      <x:c r="R359" s="2" t="str">
        <x:v>국내평가</x:v>
      </x:c>
      <x:c r="S359" s="8" t="n">
        <x:v>262</x:v>
      </x:c>
      <x:c r="T359" s="2"/>
      <x:c r="U359" s="2" t="str"/>
      <x:c r="V359" s="2" t="str">
        <x:v>2018-11-29</x:v>
      </x:c>
      <x:c r="W359" s="2" t="str">
        <x:v>담당기관 확인</x:v>
      </x:c>
      <x:c r="X359" s="2" t="str">
        <x:v>원본·배정 기록 확인</x:v>
      </x:c>
      <x:c r="Y359" s="2" t="str">
        <x:v>ad210cd9ec132cfd447541c8984dc53d30aff0f4fb2dc92d254d49275cc55976</x:v>
      </x:c>
      <x:c r="Z359" s="2" t="n">
        <x:f>SUBTOTAL(103,A359)</x:f>
        <x:v>1</x:v>
      </x:c>
      <x:c r="AA359" s="2" t="str">
        <x:f>IF(K359&lt;&gt;"미종결 표시","대상 아님",IF(N359="","신청일 확인",IF(NOT(ISNUMBER('종합 현황'!$H$5)),"관찰기준 확인",IF('종합 현황'!$H$5&lt;1,"관찰기준 확인",IF(N359&gt;'종합 현황'!$H$5,"내부 관찰 대상","내부 관찰일 이하")))))</x:f>
        <x:v>대상 아님</x:v>
      </x:c>
      <x:c r="AB359" s="2"/>
    </x:row>
    <x:row r="360" ht="42" customHeight="1">
      <x:c r="A360" s="2" t="str">
        <x:v>c26def9fb19e1d7b375c3823</x:v>
      </x:c>
      <x:c r="B360" s="2" t="str">
        <x:v>사업 평가</x:v>
      </x:c>
      <x:c r="C360" s="2" t="str">
        <x:v>국내</x:v>
      </x:c>
      <x:c r="D360" s="7" t="str">
        <x:v>(주)대평의 연료전환 (B-B유 → LNG)에 의한 온실가스(CO2) 배출 감축사업</x:v>
      </x:c>
      <x:c r="E360" s="2" t="str">
        <x:v>221</x:v>
      </x:c>
      <x:c r="F360" s="2" t="str">
        <x:v>2017-12-21</x:v>
      </x:c>
      <x:c r="G360" s="2" t="str">
        <x:v>2017</x:v>
      </x:c>
      <x:c r="H360" s="2" t="str">
        <x:v>12</x:v>
      </x:c>
      <x:c r="I360" s="2" t="str">
        <x:v>승인</x:v>
      </x:c>
      <x:c r="J360" s="2" t="str">
        <x:v>심의승인</x:v>
      </x:c>
      <x:c r="K360" s="2" t="str">
        <x:f>IF(OR(J360="심의승인",J360="반려",J360="반려완료",J360="심의완료"),"종결 표시",IF(OR(J360="기후부협의",J360="문서재제출요청",J360="보류",J360="보완요청",J360="보완완료",J360="평가중",J360="반려요청",J360="평가필요",LEFT(J360,5)="보완요청("),"미종결 표시","상태 확인 필요"))</x:f>
        <x:v>종결 표시</x:v>
      </x:c>
      <x:c r="L360" s="2"/>
      <x:c r="M360" s="2"/>
      <x:c r="N360" s="8" t="n">
        <x:f>DATE(2026,10,15)-DATE(2017,12,21)</x:f>
        <x:v>3220</x:v>
      </x:c>
      <x:c r="O360" s="2"/>
      <x:c r="P360" s="2"/>
      <x:c r="Q360" s="2" t="str">
        <x:v>산업전환_외부사업관리Tool_260707_이너젠 수정_LJY_261013.xlsx</x:v>
      </x:c>
      <x:c r="R360" s="2" t="str">
        <x:v>국내평가</x:v>
      </x:c>
      <x:c r="S360" s="8" t="n">
        <x:v>263</x:v>
      </x:c>
      <x:c r="T360" s="2"/>
      <x:c r="U360" s="2" t="str"/>
      <x:c r="V360" s="2" t="str">
        <x:v>2018-11-29</x:v>
      </x:c>
      <x:c r="W360" s="2" t="str">
        <x:v>담당기관 확인</x:v>
      </x:c>
      <x:c r="X360" s="2" t="str">
        <x:v>원본·배정 기록 확인</x:v>
      </x:c>
      <x:c r="Y360" s="2" t="str">
        <x:v>ad210cd9ec132cfd447541c8984dc53d30aff0f4fb2dc92d254d49275cc55976</x:v>
      </x:c>
      <x:c r="Z360" s="2" t="n">
        <x:f>SUBTOTAL(103,A360)</x:f>
        <x:v>1</x:v>
      </x:c>
      <x:c r="AA360" s="2" t="str">
        <x:f>IF(K360&lt;&gt;"미종결 표시","대상 아님",IF(N360="","신청일 확인",IF(NOT(ISNUMBER('종합 현황'!$H$5)),"관찰기준 확인",IF('종합 현황'!$H$5&lt;1,"관찰기준 확인",IF(N360&gt;'종합 현황'!$H$5,"내부 관찰 대상","내부 관찰일 이하")))))</x:f>
        <x:v>대상 아님</x:v>
      </x:c>
      <x:c r="AB360" s="2"/>
    </x:row>
    <x:row r="361" ht="42" customHeight="1">
      <x:c r="A361" s="2" t="str">
        <x:v>516d40644c7d75caea9bb1f3</x:v>
      </x:c>
      <x:c r="B361" s="2" t="str">
        <x:v>사업 평가</x:v>
      </x:c>
      <x:c r="C361" s="2" t="str">
        <x:v>국내</x:v>
      </x:c>
      <x:c r="D361" s="7" t="str">
        <x:v>성암 스팀보일러 연료교체(B-C유 -&gt;LNG)를 통한 온실가스 배출 감축사업</x:v>
      </x:c>
      <x:c r="E361" s="2" t="str">
        <x:v>222</x:v>
      </x:c>
      <x:c r="F361" s="2" t="str">
        <x:v>2017-12-21</x:v>
      </x:c>
      <x:c r="G361" s="2" t="str">
        <x:v>2017</x:v>
      </x:c>
      <x:c r="H361" s="2" t="str">
        <x:v>12</x:v>
      </x:c>
      <x:c r="I361" s="2" t="str">
        <x:v>승인</x:v>
      </x:c>
      <x:c r="J361" s="2" t="str">
        <x:v>심의승인</x:v>
      </x:c>
      <x:c r="K361" s="2" t="str">
        <x:f>IF(OR(J361="심의승인",J361="반려",J361="반려완료",J361="심의완료"),"종결 표시",IF(OR(J361="기후부협의",J361="문서재제출요청",J361="보류",J361="보완요청",J361="보완완료",J361="평가중",J361="반려요청",J361="평가필요",LEFT(J361,5)="보완요청("),"미종결 표시","상태 확인 필요"))</x:f>
        <x:v>종결 표시</x:v>
      </x:c>
      <x:c r="L361" s="2"/>
      <x:c r="M361" s="2"/>
      <x:c r="N361" s="8" t="n">
        <x:f>DATE(2026,10,15)-DATE(2017,12,21)</x:f>
        <x:v>3220</x:v>
      </x:c>
      <x:c r="O361" s="2"/>
      <x:c r="P361" s="2"/>
      <x:c r="Q361" s="2" t="str">
        <x:v>산업전환_외부사업관리Tool_260707_이너젠 수정_LJY_261013.xlsx</x:v>
      </x:c>
      <x:c r="R361" s="2" t="str">
        <x:v>국내평가</x:v>
      </x:c>
      <x:c r="S361" s="8" t="n">
        <x:v>264</x:v>
      </x:c>
      <x:c r="T361" s="2"/>
      <x:c r="U361" s="2" t="str"/>
      <x:c r="V361" s="2" t="str">
        <x:v>2018-11-30</x:v>
      </x:c>
      <x:c r="W361" s="2" t="str">
        <x:v>담당기관 확인</x:v>
      </x:c>
      <x:c r="X361" s="2" t="str">
        <x:v>원본·배정 기록 확인</x:v>
      </x:c>
      <x:c r="Y361" s="2" t="str">
        <x:v>ad210cd9ec132cfd447541c8984dc53d30aff0f4fb2dc92d254d49275cc55976</x:v>
      </x:c>
      <x:c r="Z361" s="2" t="n">
        <x:f>SUBTOTAL(103,A361)</x:f>
        <x:v>1</x:v>
      </x:c>
      <x:c r="AA361" s="2" t="str">
        <x:f>IF(K361&lt;&gt;"미종결 표시","대상 아님",IF(N361="","신청일 확인",IF(NOT(ISNUMBER('종합 현황'!$H$5)),"관찰기준 확인",IF('종합 현황'!$H$5&lt;1,"관찰기준 확인",IF(N361&gt;'종합 현황'!$H$5,"내부 관찰 대상","내부 관찰일 이하")))))</x:f>
        <x:v>대상 아님</x:v>
      </x:c>
      <x:c r="AB361" s="2"/>
    </x:row>
    <x:row r="362" ht="42" customHeight="1">
      <x:c r="A362" s="2" t="str">
        <x:v>7b99d827da929a097561109c</x:v>
      </x:c>
      <x:c r="B362" s="2" t="str">
        <x:v>사업 평가</x:v>
      </x:c>
      <x:c r="C362" s="2" t="str">
        <x:v>국내</x:v>
      </x:c>
      <x:c r="D362" s="7" t="str">
        <x:v>성암아스콘 건조로 연료교체(B-C유 -&gt;LNG)를 통한 온실가스 배출 감축사업</x:v>
      </x:c>
      <x:c r="E362" s="2" t="str">
        <x:v>223</x:v>
      </x:c>
      <x:c r="F362" s="2" t="str">
        <x:v>2017-12-21</x:v>
      </x:c>
      <x:c r="G362" s="2" t="str">
        <x:v>2017</x:v>
      </x:c>
      <x:c r="H362" s="2" t="str">
        <x:v>12</x:v>
      </x:c>
      <x:c r="I362" s="2" t="str">
        <x:v>승인</x:v>
      </x:c>
      <x:c r="J362" s="2" t="str">
        <x:v>심의승인</x:v>
      </x:c>
      <x:c r="K362" s="2" t="str">
        <x:f>IF(OR(J362="심의승인",J362="반려",J362="반려완료",J362="심의완료"),"종결 표시",IF(OR(J362="기후부협의",J362="문서재제출요청",J362="보류",J362="보완요청",J362="보완완료",J362="평가중",J362="반려요청",J362="평가필요",LEFT(J362,5)="보완요청("),"미종결 표시","상태 확인 필요"))</x:f>
        <x:v>종결 표시</x:v>
      </x:c>
      <x:c r="L362" s="2"/>
      <x:c r="M362" s="2"/>
      <x:c r="N362" s="8" t="n">
        <x:f>DATE(2026,10,15)-DATE(2017,12,21)</x:f>
        <x:v>3220</x:v>
      </x:c>
      <x:c r="O362" s="2"/>
      <x:c r="P362" s="2"/>
      <x:c r="Q362" s="2" t="str">
        <x:v>산업전환_외부사업관리Tool_260707_이너젠 수정_LJY_261013.xlsx</x:v>
      </x:c>
      <x:c r="R362" s="2" t="str">
        <x:v>국내평가</x:v>
      </x:c>
      <x:c r="S362" s="8" t="n">
        <x:v>265</x:v>
      </x:c>
      <x:c r="T362" s="2"/>
      <x:c r="U362" s="2" t="str"/>
      <x:c r="V362" s="2" t="str">
        <x:v>2018-11-30</x:v>
      </x:c>
      <x:c r="W362" s="2" t="str">
        <x:v>담당기관 확인</x:v>
      </x:c>
      <x:c r="X362" s="2" t="str">
        <x:v>원본·배정 기록 확인</x:v>
      </x:c>
      <x:c r="Y362" s="2" t="str">
        <x:v>ad210cd9ec132cfd447541c8984dc53d30aff0f4fb2dc92d254d49275cc55976</x:v>
      </x:c>
      <x:c r="Z362" s="2" t="n">
        <x:f>SUBTOTAL(103,A362)</x:f>
        <x:v>1</x:v>
      </x:c>
      <x:c r="AA362" s="2" t="str">
        <x:f>IF(K362&lt;&gt;"미종결 표시","대상 아님",IF(N362="","신청일 확인",IF(NOT(ISNUMBER('종합 현황'!$H$5)),"관찰기준 확인",IF('종합 현황'!$H$5&lt;1,"관찰기준 확인",IF(N362&gt;'종합 현황'!$H$5,"내부 관찰 대상","내부 관찰일 이하")))))</x:f>
        <x:v>대상 아님</x:v>
      </x:c>
      <x:c r="AB362" s="2"/>
    </x:row>
    <x:row r="363" ht="42" customHeight="1">
      <x:c r="A363" s="2" t="str">
        <x:v>d932e119aaee1ab6985af708</x:v>
      </x:c>
      <x:c r="B363" s="2" t="str">
        <x:v>사업 평가</x:v>
      </x:c>
      <x:c r="C363" s="2" t="str">
        <x:v>국내</x:v>
      </x:c>
      <x:c r="D363" s="7" t="str">
        <x:v>미활용열을 회수하는 사업</x:v>
      </x:c>
      <x:c r="E363" s="2" t="str">
        <x:v>224</x:v>
      </x:c>
      <x:c r="F363" s="2" t="str">
        <x:v>2017-12-21</x:v>
      </x:c>
      <x:c r="G363" s="2" t="str">
        <x:v>2017</x:v>
      </x:c>
      <x:c r="H363" s="2" t="str">
        <x:v>12</x:v>
      </x:c>
      <x:c r="I363" s="2" t="str">
        <x:v>승인</x:v>
      </x:c>
      <x:c r="J363" s="2" t="str">
        <x:v>심의승인</x:v>
      </x:c>
      <x:c r="K363" s="2" t="str">
        <x:f>IF(OR(J363="심의승인",J363="반려",J363="반려완료",J363="심의완료"),"종결 표시",IF(OR(J363="기후부협의",J363="문서재제출요청",J363="보류",J363="보완요청",J363="보완완료",J363="평가중",J363="반려요청",J363="평가필요",LEFT(J363,5)="보완요청("),"미종결 표시","상태 확인 필요"))</x:f>
        <x:v>종결 표시</x:v>
      </x:c>
      <x:c r="L363" s="2"/>
      <x:c r="M363" s="2"/>
      <x:c r="N363" s="8" t="n">
        <x:f>DATE(2026,10,15)-DATE(2017,12,21)</x:f>
        <x:v>3220</x:v>
      </x:c>
      <x:c r="O363" s="2"/>
      <x:c r="P363" s="2"/>
      <x:c r="Q363" s="2" t="str">
        <x:v>산업전환_외부사업관리Tool_260707_이너젠 수정_LJY_261013.xlsx</x:v>
      </x:c>
      <x:c r="R363" s="2" t="str">
        <x:v>국내평가</x:v>
      </x:c>
      <x:c r="S363" s="8" t="n">
        <x:v>266</x:v>
      </x:c>
      <x:c r="T363" s="2"/>
      <x:c r="U363" s="2" t="str"/>
      <x:c r="V363" s="2" t="str">
        <x:v>2018-11-30</x:v>
      </x:c>
      <x:c r="W363" s="2" t="str">
        <x:v>담당기관 확인</x:v>
      </x:c>
      <x:c r="X363" s="2" t="str">
        <x:v>원본·배정 기록 확인</x:v>
      </x:c>
      <x:c r="Y363" s="2" t="str">
        <x:v>ad210cd9ec132cfd447541c8984dc53d30aff0f4fb2dc92d254d49275cc55976</x:v>
      </x:c>
      <x:c r="Z363" s="2" t="n">
        <x:f>SUBTOTAL(103,A363)</x:f>
        <x:v>1</x:v>
      </x:c>
      <x:c r="AA363" s="2" t="str">
        <x:f>IF(K363&lt;&gt;"미종결 표시","대상 아님",IF(N363="","신청일 확인",IF(NOT(ISNUMBER('종합 현황'!$H$5)),"관찰기준 확인",IF('종합 현황'!$H$5&lt;1,"관찰기준 확인",IF(N363&gt;'종합 현황'!$H$5,"내부 관찰 대상","내부 관찰일 이하")))))</x:f>
        <x:v>대상 아님</x:v>
      </x:c>
      <x:c r="AB363" s="2"/>
    </x:row>
    <x:row r="364" ht="42" customHeight="1">
      <x:c r="A364" s="2" t="str">
        <x:v>3a97fb7672f1bb851a28dfcb</x:v>
      </x:c>
      <x:c r="B364" s="2" t="str">
        <x:v>사업 평가</x:v>
      </x:c>
      <x:c r="C364" s="2" t="str">
        <x:v>국내</x:v>
      </x:c>
      <x:c r="D364" s="7" t="str">
        <x:v>보일러 연료 BC유를 LNG로의 전환을 통한 온실가스 감축사업</x:v>
      </x:c>
      <x:c r="E364" s="2" t="str">
        <x:v>225</x:v>
      </x:c>
      <x:c r="F364" s="2" t="str">
        <x:v>2017-12-28</x:v>
      </x:c>
      <x:c r="G364" s="2" t="str">
        <x:v>2017</x:v>
      </x:c>
      <x:c r="H364" s="2" t="str">
        <x:v>12</x:v>
      </x:c>
      <x:c r="I364" s="2" t="str">
        <x:v>반려</x:v>
      </x:c>
      <x:c r="J364" s="2" t="str">
        <x:v>반려</x:v>
      </x:c>
      <x:c r="K364" s="2" t="str">
        <x:f>IF(OR(J364="심의승인",J364="반려",J364="반려완료",J364="심의완료"),"종결 표시",IF(OR(J364="기후부협의",J364="문서재제출요청",J364="보류",J364="보완요청",J364="보완완료",J364="평가중",J364="반려요청",J364="평가필요",LEFT(J364,5)="보완요청("),"미종결 표시","상태 확인 필요"))</x:f>
        <x:v>종결 표시</x:v>
      </x:c>
      <x:c r="L364" s="2"/>
      <x:c r="M364" s="2"/>
      <x:c r="N364" s="8" t="n">
        <x:f>DATE(2026,10,15)-DATE(2017,12,28)</x:f>
        <x:v>3213</x:v>
      </x:c>
      <x:c r="O364" s="2"/>
      <x:c r="P364" s="2"/>
      <x:c r="Q364" s="2" t="str">
        <x:v>산업전환_외부사업관리Tool_260707_이너젠 수정_LJY_261013.xlsx</x:v>
      </x:c>
      <x:c r="R364" s="2" t="str">
        <x:v>국내평가</x:v>
      </x:c>
      <x:c r="S364" s="8" t="n">
        <x:v>267</x:v>
      </x:c>
      <x:c r="T364" s="2" t="str">
        <x:v>2021년 처리</x:v>
      </x:c>
      <x:c r="U364" s="2" t="str">
        <x:v>2021 배정: 2021년 처리</x:v>
      </x:c>
      <x:c r="V364" s="2" t="str">
        <x:v>2021-08-12</x:v>
      </x:c>
      <x:c r="W364" s="2" t="str">
        <x:v>담당기관 확인</x:v>
      </x:c>
      <x:c r="X364" s="2" t="str">
        <x:v>원본·배정 기록 확인</x:v>
      </x:c>
      <x:c r="Y364" s="2" t="str">
        <x:v>ad210cd9ec132cfd447541c8984dc53d30aff0f4fb2dc92d254d49275cc55976</x:v>
      </x:c>
      <x:c r="Z364" s="2" t="n">
        <x:f>SUBTOTAL(103,A364)</x:f>
        <x:v>1</x:v>
      </x:c>
      <x:c r="AA364" s="2" t="str">
        <x:f>IF(K364&lt;&gt;"미종결 표시","대상 아님",IF(N364="","신청일 확인",IF(NOT(ISNUMBER('종합 현황'!$H$5)),"관찰기준 확인",IF('종합 현황'!$H$5&lt;1,"관찰기준 확인",IF(N364&gt;'종합 현황'!$H$5,"내부 관찰 대상","내부 관찰일 이하")))))</x:f>
        <x:v>대상 아님</x:v>
      </x:c>
      <x:c r="AB364" s="2"/>
    </x:row>
    <x:row r="365" ht="42" customHeight="1">
      <x:c r="A365" s="2" t="str">
        <x:v>4a62217b159cbf533db00192</x:v>
      </x:c>
      <x:c r="B365" s="2" t="str">
        <x:v>사업 평가</x:v>
      </x:c>
      <x:c r="C365" s="2" t="str">
        <x:v>국내</x:v>
      </x:c>
      <x:c r="D365" s="7" t="str">
        <x:v>(주)에이치에스아쿠아피드 밀양사업장 B-C유에서 목재펠릿으로 연료전환을 통한 온실가스 감축사업</x:v>
      </x:c>
      <x:c r="E365" s="2" t="str">
        <x:v>226</x:v>
      </x:c>
      <x:c r="F365" s="2" t="str">
        <x:v>2017-12-21</x:v>
      </x:c>
      <x:c r="G365" s="2" t="str">
        <x:v>2017</x:v>
      </x:c>
      <x:c r="H365" s="2" t="str">
        <x:v>12</x:v>
      </x:c>
      <x:c r="I365" s="2" t="str">
        <x:v>승인</x:v>
      </x:c>
      <x:c r="J365" s="2" t="str">
        <x:v>심의승인</x:v>
      </x:c>
      <x:c r="K365" s="2" t="str">
        <x:f>IF(OR(J365="심의승인",J365="반려",J365="반려완료",J365="심의완료"),"종결 표시",IF(OR(J365="기후부협의",J365="문서재제출요청",J365="보류",J365="보완요청",J365="보완완료",J365="평가중",J365="반려요청",J365="평가필요",LEFT(J365,5)="보완요청("),"미종결 표시","상태 확인 필요"))</x:f>
        <x:v>종결 표시</x:v>
      </x:c>
      <x:c r="L365" s="2"/>
      <x:c r="M365" s="2"/>
      <x:c r="N365" s="8" t="n">
        <x:f>DATE(2026,10,15)-DATE(2017,12,21)</x:f>
        <x:v>3220</x:v>
      </x:c>
      <x:c r="O365" s="2"/>
      <x:c r="P365" s="2"/>
      <x:c r="Q365" s="2" t="str">
        <x:v>산업전환_외부사업관리Tool_260707_이너젠 수정_LJY_261013.xlsx</x:v>
      </x:c>
      <x:c r="R365" s="2" t="str">
        <x:v>국내평가</x:v>
      </x:c>
      <x:c r="S365" s="8" t="n">
        <x:v>268</x:v>
      </x:c>
      <x:c r="T365" s="2"/>
      <x:c r="U365" s="2" t="str"/>
      <x:c r="V365" s="2" t="str">
        <x:v>2018-11-30</x:v>
      </x:c>
      <x:c r="W365" s="2" t="str">
        <x:v>담당기관 확인</x:v>
      </x:c>
      <x:c r="X365" s="2" t="str">
        <x:v>원본·배정 기록 확인</x:v>
      </x:c>
      <x:c r="Y365" s="2" t="str">
        <x:v>ad210cd9ec132cfd447541c8984dc53d30aff0f4fb2dc92d254d49275cc55976</x:v>
      </x:c>
      <x:c r="Z365" s="2" t="n">
        <x:f>SUBTOTAL(103,A365)</x:f>
        <x:v>1</x:v>
      </x:c>
      <x:c r="AA365" s="2" t="str">
        <x:f>IF(K365&lt;&gt;"미종결 표시","대상 아님",IF(N365="","신청일 확인",IF(NOT(ISNUMBER('종합 현황'!$H$5)),"관찰기준 확인",IF('종합 현황'!$H$5&lt;1,"관찰기준 확인",IF(N365&gt;'종합 현황'!$H$5,"내부 관찰 대상","내부 관찰일 이하")))))</x:f>
        <x:v>대상 아님</x:v>
      </x:c>
      <x:c r="AB365" s="2"/>
    </x:row>
    <x:row r="366" ht="42" customHeight="1">
      <x:c r="A366" s="2" t="str">
        <x:v>1df03e990937e44c48ad1333</x:v>
      </x:c>
      <x:c r="B366" s="2" t="str">
        <x:v>사업 평가</x:v>
      </x:c>
      <x:c r="C366" s="2" t="str">
        <x:v>국내</x:v>
      </x:c>
      <x:c r="D366" s="7" t="str">
        <x:v>(주)우리섬유 버너교체 연료전환(경유, B-C유 → LPG)을 통한 온실가스 감축 사업</x:v>
      </x:c>
      <x:c r="E366" s="2" t="str">
        <x:v>227</x:v>
      </x:c>
      <x:c r="F366" s="2" t="str">
        <x:v>2017-12-21</x:v>
      </x:c>
      <x:c r="G366" s="2" t="str">
        <x:v>2017</x:v>
      </x:c>
      <x:c r="H366" s="2" t="str">
        <x:v>12</x:v>
      </x:c>
      <x:c r="I366" s="2" t="str">
        <x:v>승인</x:v>
      </x:c>
      <x:c r="J366" s="2" t="str">
        <x:v>심의승인</x:v>
      </x:c>
      <x:c r="K366" s="2" t="str">
        <x:f>IF(OR(J366="심의승인",J366="반려",J366="반려완료",J366="심의완료"),"종결 표시",IF(OR(J366="기후부협의",J366="문서재제출요청",J366="보류",J366="보완요청",J366="보완완료",J366="평가중",J366="반려요청",J366="평가필요",LEFT(J366,5)="보완요청("),"미종결 표시","상태 확인 필요"))</x:f>
        <x:v>종결 표시</x:v>
      </x:c>
      <x:c r="L366" s="2"/>
      <x:c r="M366" s="2"/>
      <x:c r="N366" s="8" t="n">
        <x:f>DATE(2026,10,15)-DATE(2017,12,21)</x:f>
        <x:v>3220</x:v>
      </x:c>
      <x:c r="O366" s="2"/>
      <x:c r="P366" s="2"/>
      <x:c r="Q366" s="2" t="str">
        <x:v>산업전환_외부사업관리Tool_260707_이너젠 수정_LJY_261013.xlsx</x:v>
      </x:c>
      <x:c r="R366" s="2" t="str">
        <x:v>국내평가</x:v>
      </x:c>
      <x:c r="S366" s="8" t="n">
        <x:v>269</x:v>
      </x:c>
      <x:c r="T366" s="2"/>
      <x:c r="U366" s="2" t="str"/>
      <x:c r="V366" s="2" t="str">
        <x:v>2018-11-30</x:v>
      </x:c>
      <x:c r="W366" s="2" t="str">
        <x:v>담당기관 확인</x:v>
      </x:c>
      <x:c r="X366" s="2" t="str">
        <x:v>원본·배정 기록 확인</x:v>
      </x:c>
      <x:c r="Y366" s="2" t="str">
        <x:v>ad210cd9ec132cfd447541c8984dc53d30aff0f4fb2dc92d254d49275cc55976</x:v>
      </x:c>
      <x:c r="Z366" s="2" t="n">
        <x:f>SUBTOTAL(103,A366)</x:f>
        <x:v>1</x:v>
      </x:c>
      <x:c r="AA366" s="2" t="str">
        <x:f>IF(K366&lt;&gt;"미종결 표시","대상 아님",IF(N366="","신청일 확인",IF(NOT(ISNUMBER('종합 현황'!$H$5)),"관찰기준 확인",IF('종합 현황'!$H$5&lt;1,"관찰기준 확인",IF(N366&gt;'종합 현황'!$H$5,"내부 관찰 대상","내부 관찰일 이하")))))</x:f>
        <x:v>대상 아님</x:v>
      </x:c>
      <x:c r="AB366" s="2"/>
    </x:row>
    <x:row r="367" ht="42" customHeight="1">
      <x:c r="A367" s="2" t="str">
        <x:v>cdf075c9e28aa6d11b544a08</x:v>
      </x:c>
      <x:c r="B367" s="2" t="str">
        <x:v>사업 평가</x:v>
      </x:c>
      <x:c r="C367" s="2" t="str">
        <x:v>국내</x:v>
      </x:c>
      <x:c r="D367" s="7" t="str">
        <x:v>(주)이지테이프 세종특별자치시사업장 LPG에서 목재펠릿으로 연료전환을 통한 온실가스 감축사업</x:v>
      </x:c>
      <x:c r="E367" s="2" t="str">
        <x:v>228</x:v>
      </x:c>
      <x:c r="F367" s="2" t="str">
        <x:v>2017-12-21</x:v>
      </x:c>
      <x:c r="G367" s="2" t="str">
        <x:v>2017</x:v>
      </x:c>
      <x:c r="H367" s="2" t="str">
        <x:v>12</x:v>
      </x:c>
      <x:c r="I367" s="2" t="str">
        <x:v>승인</x:v>
      </x:c>
      <x:c r="J367" s="2" t="str">
        <x:v>심의승인</x:v>
      </x:c>
      <x:c r="K367" s="2" t="str">
        <x:f>IF(OR(J367="심의승인",J367="반려",J367="반려완료",J367="심의완료"),"종결 표시",IF(OR(J367="기후부협의",J367="문서재제출요청",J367="보류",J367="보완요청",J367="보완완료",J367="평가중",J367="반려요청",J367="평가필요",LEFT(J367,5)="보완요청("),"미종결 표시","상태 확인 필요"))</x:f>
        <x:v>종결 표시</x:v>
      </x:c>
      <x:c r="L367" s="2"/>
      <x:c r="M367" s="2"/>
      <x:c r="N367" s="8" t="n">
        <x:f>DATE(2026,10,15)-DATE(2017,12,21)</x:f>
        <x:v>3220</x:v>
      </x:c>
      <x:c r="O367" s="2"/>
      <x:c r="P367" s="2"/>
      <x:c r="Q367" s="2" t="str">
        <x:v>산업전환_외부사업관리Tool_260707_이너젠 수정_LJY_261013.xlsx</x:v>
      </x:c>
      <x:c r="R367" s="2" t="str">
        <x:v>국내평가</x:v>
      </x:c>
      <x:c r="S367" s="8" t="n">
        <x:v>270</x:v>
      </x:c>
      <x:c r="T367" s="2"/>
      <x:c r="U367" s="2" t="str"/>
      <x:c r="V367" s="2" t="str">
        <x:v>2018-11-30</x:v>
      </x:c>
      <x:c r="W367" s="2" t="str">
        <x:v>담당기관 확인</x:v>
      </x:c>
      <x:c r="X367" s="2" t="str">
        <x:v>원본·배정 기록 확인</x:v>
      </x:c>
      <x:c r="Y367" s="2" t="str">
        <x:v>ad210cd9ec132cfd447541c8984dc53d30aff0f4fb2dc92d254d49275cc55976</x:v>
      </x:c>
      <x:c r="Z367" s="2" t="n">
        <x:f>SUBTOTAL(103,A367)</x:f>
        <x:v>1</x:v>
      </x:c>
      <x:c r="AA367" s="2" t="str">
        <x:f>IF(K367&lt;&gt;"미종결 표시","대상 아님",IF(N367="","신청일 확인",IF(NOT(ISNUMBER('종합 현황'!$H$5)),"관찰기준 확인",IF('종합 현황'!$H$5&lt;1,"관찰기준 확인",IF(N367&gt;'종합 현황'!$H$5,"내부 관찰 대상","내부 관찰일 이하")))))</x:f>
        <x:v>대상 아님</x:v>
      </x:c>
      <x:c r="AB367" s="2"/>
    </x:row>
    <x:row r="368" ht="42" customHeight="1">
      <x:c r="A368" s="2" t="str">
        <x:v>993211b9dae39873775d1adc</x:v>
      </x:c>
      <x:c r="B368" s="2" t="str">
        <x:v>사업 평가</x:v>
      </x:c>
      <x:c r="C368" s="2" t="str">
        <x:v>국내</x:v>
      </x:c>
      <x:c r="D368" s="7" t="str">
        <x:v>케이티세라믹 예산사업장 소성로 및 드라이어의 연료교체(LPG-LNG)을 통한 온실가스 배출 감축사업</x:v>
      </x:c>
      <x:c r="E368" s="2" t="str">
        <x:v>229</x:v>
      </x:c>
      <x:c r="F368" s="2" t="str">
        <x:v>2017-12-21</x:v>
      </x:c>
      <x:c r="G368" s="2" t="str">
        <x:v>2017</x:v>
      </x:c>
      <x:c r="H368" s="2" t="str">
        <x:v>12</x:v>
      </x:c>
      <x:c r="I368" s="2" t="str">
        <x:v>승인</x:v>
      </x:c>
      <x:c r="J368" s="2" t="str">
        <x:v>심의승인</x:v>
      </x:c>
      <x:c r="K368" s="2" t="str">
        <x:f>IF(OR(J368="심의승인",J368="반려",J368="반려완료",J368="심의완료"),"종결 표시",IF(OR(J368="기후부협의",J368="문서재제출요청",J368="보류",J368="보완요청",J368="보완완료",J368="평가중",J368="반려요청",J368="평가필요",LEFT(J368,5)="보완요청("),"미종결 표시","상태 확인 필요"))</x:f>
        <x:v>종결 표시</x:v>
      </x:c>
      <x:c r="L368" s="2"/>
      <x:c r="M368" s="2"/>
      <x:c r="N368" s="8" t="n">
        <x:f>DATE(2026,10,15)-DATE(2017,12,21)</x:f>
        <x:v>3220</x:v>
      </x:c>
      <x:c r="O368" s="2"/>
      <x:c r="P368" s="2"/>
      <x:c r="Q368" s="2" t="str">
        <x:v>산업전환_외부사업관리Tool_260707_이너젠 수정_LJY_261013.xlsx</x:v>
      </x:c>
      <x:c r="R368" s="2" t="str">
        <x:v>국내평가</x:v>
      </x:c>
      <x:c r="S368" s="8" t="n">
        <x:v>271</x:v>
      </x:c>
      <x:c r="T368" s="2" t="str">
        <x:v>2022년 처리</x:v>
      </x:c>
      <x:c r="U368" s="2" t="str">
        <x:v>2022 배정(신규): 2022년 처리</x:v>
      </x:c>
      <x:c r="V368" s="2" t="str">
        <x:v>2022-08-31</x:v>
      </x:c>
      <x:c r="W368" s="2" t="str">
        <x:v>담당기관 확인</x:v>
      </x:c>
      <x:c r="X368" s="2" t="str">
        <x:v>원본·배정 기록 확인</x:v>
      </x:c>
      <x:c r="Y368" s="2" t="str">
        <x:v>ad210cd9ec132cfd447541c8984dc53d30aff0f4fb2dc92d254d49275cc55976</x:v>
      </x:c>
      <x:c r="Z368" s="2" t="n">
        <x:f>SUBTOTAL(103,A368)</x:f>
        <x:v>1</x:v>
      </x:c>
      <x:c r="AA368" s="2" t="str">
        <x:f>IF(K368&lt;&gt;"미종결 표시","대상 아님",IF(N368="","신청일 확인",IF(NOT(ISNUMBER('종합 현황'!$H$5)),"관찰기준 확인",IF('종합 현황'!$H$5&lt;1,"관찰기준 확인",IF(N368&gt;'종합 현황'!$H$5,"내부 관찰 대상","내부 관찰일 이하")))))</x:f>
        <x:v>대상 아님</x:v>
      </x:c>
      <x:c r="AB368" s="2"/>
    </x:row>
    <x:row r="369" ht="42" customHeight="1">
      <x:c r="A369" s="2" t="str">
        <x:v>acc7de923cfc47aed3492d47</x:v>
      </x:c>
      <x:c r="B369" s="2" t="str">
        <x:v>사업 평가</x:v>
      </x:c>
      <x:c r="C369" s="2" t="str">
        <x:v>국내</x:v>
      </x:c>
      <x:c r="D369" s="7" t="str">
        <x:v>케이티세라믹 당진사업장 소성로 및 드라이어의 연료교체(LPG-&gt;LNG)를 통한 온실가스 배출 감축사업</x:v>
      </x:c>
      <x:c r="E369" s="2" t="str">
        <x:v>230</x:v>
      </x:c>
      <x:c r="F369" s="2" t="str">
        <x:v>2017-12-21</x:v>
      </x:c>
      <x:c r="G369" s="2" t="str">
        <x:v>2017</x:v>
      </x:c>
      <x:c r="H369" s="2" t="str">
        <x:v>12</x:v>
      </x:c>
      <x:c r="I369" s="2" t="str">
        <x:v>승인</x:v>
      </x:c>
      <x:c r="J369" s="2" t="str">
        <x:v>심의승인</x:v>
      </x:c>
      <x:c r="K369" s="2" t="str">
        <x:f>IF(OR(J369="심의승인",J369="반려",J369="반려완료",J369="심의완료"),"종결 표시",IF(OR(J369="기후부협의",J369="문서재제출요청",J369="보류",J369="보완요청",J369="보완완료",J369="평가중",J369="반려요청",J369="평가필요",LEFT(J369,5)="보완요청("),"미종결 표시","상태 확인 필요"))</x:f>
        <x:v>종결 표시</x:v>
      </x:c>
      <x:c r="L369" s="2"/>
      <x:c r="M369" s="2"/>
      <x:c r="N369" s="8" t="n">
        <x:f>DATE(2026,10,15)-DATE(2017,12,21)</x:f>
        <x:v>3220</x:v>
      </x:c>
      <x:c r="O369" s="2"/>
      <x:c r="P369" s="2"/>
      <x:c r="Q369" s="2" t="str">
        <x:v>산업전환_외부사업관리Tool_260707_이너젠 수정_LJY_261013.xlsx</x:v>
      </x:c>
      <x:c r="R369" s="2" t="str">
        <x:v>국내평가</x:v>
      </x:c>
      <x:c r="S369" s="8" t="n">
        <x:v>272</x:v>
      </x:c>
      <x:c r="T369" s="2" t="str">
        <x:v>2022년 처리</x:v>
      </x:c>
      <x:c r="U369" s="2" t="str">
        <x:v>2022 배정(신규): 2022년 처리</x:v>
      </x:c>
      <x:c r="V369" s="2" t="str">
        <x:v>2022-08-31</x:v>
      </x:c>
      <x:c r="W369" s="2" t="str">
        <x:v>담당기관 확인</x:v>
      </x:c>
      <x:c r="X369" s="2" t="str">
        <x:v>원본·배정 기록 확인</x:v>
      </x:c>
      <x:c r="Y369" s="2" t="str">
        <x:v>ad210cd9ec132cfd447541c8984dc53d30aff0f4fb2dc92d254d49275cc55976</x:v>
      </x:c>
      <x:c r="Z369" s="2" t="n">
        <x:f>SUBTOTAL(103,A369)</x:f>
        <x:v>1</x:v>
      </x:c>
      <x:c r="AA369" s="2" t="str">
        <x:f>IF(K369&lt;&gt;"미종결 표시","대상 아님",IF(N369="","신청일 확인",IF(NOT(ISNUMBER('종합 현황'!$H$5)),"관찰기준 확인",IF('종합 현황'!$H$5&lt;1,"관찰기준 확인",IF(N369&gt;'종합 현황'!$H$5,"내부 관찰 대상","내부 관찰일 이하")))))</x:f>
        <x:v>대상 아님</x:v>
      </x:c>
      <x:c r="AB369" s="2"/>
    </x:row>
    <x:row r="370" ht="42" customHeight="1">
      <x:c r="A370" s="2" t="str">
        <x:v>41ec42e52e32bb3ab213c98d</x:v>
      </x:c>
      <x:c r="B370" s="2" t="str">
        <x:v>사업 평가</x:v>
      </x:c>
      <x:c r="C370" s="2" t="str">
        <x:v>국내</x:v>
      </x:c>
      <x:c r="D370" s="7" t="str">
        <x:v>(주)태명실업 보일러의 연료전환 (B-C유 -&gt; LNG)을 통한 온실가스 감축사업</x:v>
      </x:c>
      <x:c r="E370" s="2" t="str">
        <x:v>231</x:v>
      </x:c>
      <x:c r="F370" s="2" t="str">
        <x:v>2017-12-22</x:v>
      </x:c>
      <x:c r="G370" s="2" t="str">
        <x:v>2017</x:v>
      </x:c>
      <x:c r="H370" s="2" t="str">
        <x:v>12</x:v>
      </x:c>
      <x:c r="I370" s="2" t="str">
        <x:v>승인</x:v>
      </x:c>
      <x:c r="J370" s="2" t="str">
        <x:v>심의승인</x:v>
      </x:c>
      <x:c r="K370" s="2" t="str">
        <x:f>IF(OR(J370="심의승인",J370="반려",J370="반려완료",J370="심의완료"),"종결 표시",IF(OR(J370="기후부협의",J370="문서재제출요청",J370="보류",J370="보완요청",J370="보완완료",J370="평가중",J370="반려요청",J370="평가필요",LEFT(J370,5)="보완요청("),"미종결 표시","상태 확인 필요"))</x:f>
        <x:v>종결 표시</x:v>
      </x:c>
      <x:c r="L370" s="2"/>
      <x:c r="M370" s="2"/>
      <x:c r="N370" s="8" t="n">
        <x:f>DATE(2026,10,15)-DATE(2017,12,22)</x:f>
        <x:v>3219</x:v>
      </x:c>
      <x:c r="O370" s="2"/>
      <x:c r="P370" s="2"/>
      <x:c r="Q370" s="2" t="str">
        <x:v>산업전환_외부사업관리Tool_260707_이너젠 수정_LJY_261013.xlsx</x:v>
      </x:c>
      <x:c r="R370" s="2" t="str">
        <x:v>국내평가</x:v>
      </x:c>
      <x:c r="S370" s="8" t="n">
        <x:v>273</x:v>
      </x:c>
      <x:c r="T370" s="2"/>
      <x:c r="U370" s="2" t="str"/>
      <x:c r="V370" s="2" t="str">
        <x:v>2018-11-30</x:v>
      </x:c>
      <x:c r="W370" s="2" t="str">
        <x:v>담당기관 확인</x:v>
      </x:c>
      <x:c r="X370" s="2" t="str">
        <x:v>원본·배정 기록 확인</x:v>
      </x:c>
      <x:c r="Y370" s="2" t="str">
        <x:v>ad210cd9ec132cfd447541c8984dc53d30aff0f4fb2dc92d254d49275cc55976</x:v>
      </x:c>
      <x:c r="Z370" s="2" t="n">
        <x:f>SUBTOTAL(103,A370)</x:f>
        <x:v>1</x:v>
      </x:c>
      <x:c r="AA370" s="2" t="str">
        <x:f>IF(K370&lt;&gt;"미종결 표시","대상 아님",IF(N370="","신청일 확인",IF(NOT(ISNUMBER('종합 현황'!$H$5)),"관찰기준 확인",IF('종합 현황'!$H$5&lt;1,"관찰기준 확인",IF(N370&gt;'종합 현황'!$H$5,"내부 관찰 대상","내부 관찰일 이하")))))</x:f>
        <x:v>대상 아님</x:v>
      </x:c>
      <x:c r="AB370" s="2"/>
    </x:row>
    <x:row r="371" ht="42" customHeight="1">
      <x:c r="A371" s="2" t="str">
        <x:v>f1e05c6a1025453727dc3514</x:v>
      </x:c>
      <x:c r="B371" s="2" t="str">
        <x:v>사업 평가</x:v>
      </x:c>
      <x:c r="C371" s="2" t="str">
        <x:v>국내</x:v>
      </x:c>
      <x:c r="D371" s="7" t="str">
        <x:v>㈜태호화학 논산사업장 B-C유에서 LPG로 연료 전환을 통한 온실가스 감축사업</x:v>
      </x:c>
      <x:c r="E371" s="2" t="str">
        <x:v>232</x:v>
      </x:c>
      <x:c r="F371" s="2" t="str">
        <x:v>2017-12-22</x:v>
      </x:c>
      <x:c r="G371" s="2" t="str">
        <x:v>2017</x:v>
      </x:c>
      <x:c r="H371" s="2" t="str">
        <x:v>12</x:v>
      </x:c>
      <x:c r="I371" s="2" t="str">
        <x:v>승인</x:v>
      </x:c>
      <x:c r="J371" s="2" t="str">
        <x:v>심의승인</x:v>
      </x:c>
      <x:c r="K371" s="2" t="str">
        <x:f>IF(OR(J371="심의승인",J371="반려",J371="반려완료",J371="심의완료"),"종결 표시",IF(OR(J371="기후부협의",J371="문서재제출요청",J371="보류",J371="보완요청",J371="보완완료",J371="평가중",J371="반려요청",J371="평가필요",LEFT(J371,5)="보완요청("),"미종결 표시","상태 확인 필요"))</x:f>
        <x:v>종결 표시</x:v>
      </x:c>
      <x:c r="L371" s="2"/>
      <x:c r="M371" s="2"/>
      <x:c r="N371" s="8" t="n">
        <x:f>DATE(2026,10,15)-DATE(2017,12,22)</x:f>
        <x:v>3219</x:v>
      </x:c>
      <x:c r="O371" s="2"/>
      <x:c r="P371" s="2"/>
      <x:c r="Q371" s="2" t="str">
        <x:v>산업전환_외부사업관리Tool_260707_이너젠 수정_LJY_261013.xlsx</x:v>
      </x:c>
      <x:c r="R371" s="2" t="str">
        <x:v>국내평가</x:v>
      </x:c>
      <x:c r="S371" s="8" t="n">
        <x:v>274</x:v>
      </x:c>
      <x:c r="T371" s="2"/>
      <x:c r="U371" s="2" t="str"/>
      <x:c r="V371" s="2" t="str">
        <x:v>2018-11-30</x:v>
      </x:c>
      <x:c r="W371" s="2" t="str">
        <x:v>담당기관 확인</x:v>
      </x:c>
      <x:c r="X371" s="2" t="str">
        <x:v>원본·배정 기록 확인</x:v>
      </x:c>
      <x:c r="Y371" s="2" t="str">
        <x:v>ad210cd9ec132cfd447541c8984dc53d30aff0f4fb2dc92d254d49275cc55976</x:v>
      </x:c>
      <x:c r="Z371" s="2" t="n">
        <x:f>SUBTOTAL(103,A371)</x:f>
        <x:v>1</x:v>
      </x:c>
      <x:c r="AA371" s="2" t="str">
        <x:f>IF(K371&lt;&gt;"미종결 표시","대상 아님",IF(N371="","신청일 확인",IF(NOT(ISNUMBER('종합 현황'!$H$5)),"관찰기준 확인",IF('종합 현황'!$H$5&lt;1,"관찰기준 확인",IF(N371&gt;'종합 현황'!$H$5,"내부 관찰 대상","내부 관찰일 이하")))))</x:f>
        <x:v>대상 아님</x:v>
      </x:c>
      <x:c r="AB371" s="2"/>
    </x:row>
    <x:row r="372" ht="42" customHeight="1">
      <x:c r="A372" s="2" t="str">
        <x:v>efc809d853dc55be0188e56d</x:v>
      </x:c>
      <x:c r="B372" s="2" t="str">
        <x:v>사업 평가</x:v>
      </x:c>
      <x:c r="C372" s="2" t="str">
        <x:v>국내</x:v>
      </x:c>
      <x:c r="D372" s="7" t="str">
        <x:v>경만섬유 버너교체 연료전환(B-C유 → LNG)을 통한 온실가스 감축사업</x:v>
      </x:c>
      <x:c r="E372" s="2" t="str">
        <x:v>233</x:v>
      </x:c>
      <x:c r="F372" s="2" t="str">
        <x:v>2017-12-22</x:v>
      </x:c>
      <x:c r="G372" s="2" t="str">
        <x:v>2017</x:v>
      </x:c>
      <x:c r="H372" s="2" t="str">
        <x:v>12</x:v>
      </x:c>
      <x:c r="I372" s="2" t="str">
        <x:v>승인</x:v>
      </x:c>
      <x:c r="J372" s="2" t="str">
        <x:v>심의승인</x:v>
      </x:c>
      <x:c r="K372" s="2" t="str">
        <x:f>IF(OR(J372="심의승인",J372="반려",J372="반려완료",J372="심의완료"),"종결 표시",IF(OR(J372="기후부협의",J372="문서재제출요청",J372="보류",J372="보완요청",J372="보완완료",J372="평가중",J372="반려요청",J372="평가필요",LEFT(J372,5)="보완요청("),"미종결 표시","상태 확인 필요"))</x:f>
        <x:v>종결 표시</x:v>
      </x:c>
      <x:c r="L372" s="2"/>
      <x:c r="M372" s="2"/>
      <x:c r="N372" s="8" t="n">
        <x:f>DATE(2026,10,15)-DATE(2017,12,22)</x:f>
        <x:v>3219</x:v>
      </x:c>
      <x:c r="O372" s="2"/>
      <x:c r="P372" s="2"/>
      <x:c r="Q372" s="2" t="str">
        <x:v>산업전환_외부사업관리Tool_260707_이너젠 수정_LJY_261013.xlsx</x:v>
      </x:c>
      <x:c r="R372" s="2" t="str">
        <x:v>국내평가</x:v>
      </x:c>
      <x:c r="S372" s="8" t="n">
        <x:v>275</x:v>
      </x:c>
      <x:c r="T372" s="2"/>
      <x:c r="U372" s="2" t="str"/>
      <x:c r="V372" s="2" t="str">
        <x:v>2018-11-30</x:v>
      </x:c>
      <x:c r="W372" s="2" t="str">
        <x:v>담당기관 확인</x:v>
      </x:c>
      <x:c r="X372" s="2" t="str">
        <x:v>원본·배정 기록 확인</x:v>
      </x:c>
      <x:c r="Y372" s="2" t="str">
        <x:v>ad210cd9ec132cfd447541c8984dc53d30aff0f4fb2dc92d254d49275cc55976</x:v>
      </x:c>
      <x:c r="Z372" s="2" t="n">
        <x:f>SUBTOTAL(103,A372)</x:f>
        <x:v>1</x:v>
      </x:c>
      <x:c r="AA372" s="2" t="str">
        <x:f>IF(K372&lt;&gt;"미종결 표시","대상 아님",IF(N372="","신청일 확인",IF(NOT(ISNUMBER('종합 현황'!$H$5)),"관찰기준 확인",IF('종합 현황'!$H$5&lt;1,"관찰기준 확인",IF(N372&gt;'종합 현황'!$H$5,"내부 관찰 대상","내부 관찰일 이하")))))</x:f>
        <x:v>대상 아님</x:v>
      </x:c>
      <x:c r="AB372" s="2"/>
    </x:row>
    <x:row r="373" ht="42" customHeight="1">
      <x:c r="A373" s="2" t="str">
        <x:v>c41ab3ed4a51c1c2b157317d</x:v>
      </x:c>
      <x:c r="B373" s="2" t="str">
        <x:v>사업 평가</x:v>
      </x:c>
      <x:c r="C373" s="2" t="str">
        <x:v>국내</x:v>
      </x:c>
      <x:c r="D373" s="7" t="str">
        <x:v>고려테크주식회사 순산소 버너 도입을 통한 온실가스(CO2) 감축사업</x:v>
      </x:c>
      <x:c r="E373" s="2" t="str">
        <x:v>234</x:v>
      </x:c>
      <x:c r="F373" s="2" t="str">
        <x:v>2017-12-22</x:v>
      </x:c>
      <x:c r="G373" s="2" t="str">
        <x:v>2017</x:v>
      </x:c>
      <x:c r="H373" s="2" t="str">
        <x:v>12</x:v>
      </x:c>
      <x:c r="I373" s="2" t="str">
        <x:v>승인</x:v>
      </x:c>
      <x:c r="J373" s="2" t="str">
        <x:v>심의승인</x:v>
      </x:c>
      <x:c r="K373" s="2" t="str">
        <x:f>IF(OR(J373="심의승인",J373="반려",J373="반려완료",J373="심의완료"),"종결 표시",IF(OR(J373="기후부협의",J373="문서재제출요청",J373="보류",J373="보완요청",J373="보완완료",J373="평가중",J373="반려요청",J373="평가필요",LEFT(J373,5)="보완요청("),"미종결 표시","상태 확인 필요"))</x:f>
        <x:v>종결 표시</x:v>
      </x:c>
      <x:c r="L373" s="2"/>
      <x:c r="M373" s="2"/>
      <x:c r="N373" s="8" t="n">
        <x:f>DATE(2026,10,15)-DATE(2017,12,22)</x:f>
        <x:v>3219</x:v>
      </x:c>
      <x:c r="O373" s="2"/>
      <x:c r="P373" s="2"/>
      <x:c r="Q373" s="2" t="str">
        <x:v>산업전환_외부사업관리Tool_260707_이너젠 수정_LJY_261013.xlsx</x:v>
      </x:c>
      <x:c r="R373" s="2" t="str">
        <x:v>국내평가</x:v>
      </x:c>
      <x:c r="S373" s="8" t="n">
        <x:v>276</x:v>
      </x:c>
      <x:c r="T373" s="2"/>
      <x:c r="U373" s="2" t="str"/>
      <x:c r="V373" s="2" t="str">
        <x:v>2019-11-19</x:v>
      </x:c>
      <x:c r="W373" s="2" t="str">
        <x:v>담당기관 확인</x:v>
      </x:c>
      <x:c r="X373" s="2" t="str">
        <x:v>원본·배정 기록 확인</x:v>
      </x:c>
      <x:c r="Y373" s="2" t="str">
        <x:v>ad210cd9ec132cfd447541c8984dc53d30aff0f4fb2dc92d254d49275cc55976</x:v>
      </x:c>
      <x:c r="Z373" s="2" t="n">
        <x:f>SUBTOTAL(103,A373)</x:f>
        <x:v>1</x:v>
      </x:c>
      <x:c r="AA373" s="2" t="str">
        <x:f>IF(K373&lt;&gt;"미종결 표시","대상 아님",IF(N373="","신청일 확인",IF(NOT(ISNUMBER('종합 현황'!$H$5)),"관찰기준 확인",IF('종합 현황'!$H$5&lt;1,"관찰기준 확인",IF(N373&gt;'종합 현황'!$H$5,"내부 관찰 대상","내부 관찰일 이하")))))</x:f>
        <x:v>대상 아님</x:v>
      </x:c>
      <x:c r="AB373" s="2"/>
    </x:row>
    <x:row r="374" ht="42" customHeight="1">
      <x:c r="A374" s="2" t="str">
        <x:v>59095dc28a132ce14d64f3f0</x:v>
      </x:c>
      <x:c r="B374" s="2" t="str">
        <x:v>사업 평가</x:v>
      </x:c>
      <x:c r="C374" s="2" t="str">
        <x:v>국내</x:v>
      </x:c>
      <x:c r="D374" s="7" t="str">
        <x:v>서울금속공업의 정제유에서 LNG로 연료전환을 통한 온실가스 배출 감축사업</x:v>
      </x:c>
      <x:c r="E374" s="2" t="str">
        <x:v>235</x:v>
      </x:c>
      <x:c r="F374" s="2" t="str">
        <x:v>2017-12-29</x:v>
      </x:c>
      <x:c r="G374" s="2" t="str">
        <x:v>2017</x:v>
      </x:c>
      <x:c r="H374" s="2" t="str">
        <x:v>12</x:v>
      </x:c>
      <x:c r="I374" s="2" t="str">
        <x:v>사업변경 신청</x:v>
      </x:c>
      <x:c r="J374" s="2" t="str">
        <x:v>반려</x:v>
      </x:c>
      <x:c r="K374" s="2" t="str">
        <x:f>IF(OR(J374="심의승인",J374="반려",J374="반려완료",J374="심의완료"),"종결 표시",IF(OR(J374="기후부협의",J374="문서재제출요청",J374="보류",J374="보완요청",J374="보완완료",J374="평가중",J374="반려요청",J374="평가필요",LEFT(J374,5)="보완요청("),"미종결 표시","상태 확인 필요"))</x:f>
        <x:v>종결 표시</x:v>
      </x:c>
      <x:c r="L374" s="2"/>
      <x:c r="M374" s="2"/>
      <x:c r="N374" s="8" t="n">
        <x:f>DATE(2026,10,15)-DATE(2017,12,29)</x:f>
        <x:v>3212</x:v>
      </x:c>
      <x:c r="O374" s="2"/>
      <x:c r="P374" s="2"/>
      <x:c r="Q374" s="2" t="str">
        <x:v>산업전환_외부사업관리Tool_260707_이너젠 수정_LJY_261013.xlsx</x:v>
      </x:c>
      <x:c r="R374" s="2" t="str">
        <x:v>국내평가</x:v>
      </x:c>
      <x:c r="S374" s="8" t="n">
        <x:v>277</x:v>
      </x:c>
      <x:c r="T374" s="2" t="str">
        <x:v>2021년 처리</x:v>
      </x:c>
      <x:c r="U374" s="2" t="str">
        <x:v>2021 배정: 2021년 처리</x:v>
      </x:c>
      <x:c r="V374" s="2" t="str">
        <x:v>2021-05-17</x:v>
      </x:c>
      <x:c r="W374" s="2" t="str">
        <x:v>담당기관 확인</x:v>
      </x:c>
      <x:c r="X374" s="2" t="str">
        <x:v>원본·배정 기록 확인</x:v>
      </x:c>
      <x:c r="Y374" s="2" t="str">
        <x:v>ad210cd9ec132cfd447541c8984dc53d30aff0f4fb2dc92d254d49275cc55976</x:v>
      </x:c>
      <x:c r="Z374" s="2" t="n">
        <x:f>SUBTOTAL(103,A374)</x:f>
        <x:v>1</x:v>
      </x:c>
      <x:c r="AA374" s="2" t="str">
        <x:f>IF(K374&lt;&gt;"미종결 표시","대상 아님",IF(N374="","신청일 확인",IF(NOT(ISNUMBER('종합 현황'!$H$5)),"관찰기준 확인",IF('종합 현황'!$H$5&lt;1,"관찰기준 확인",IF(N374&gt;'종합 현황'!$H$5,"내부 관찰 대상","내부 관찰일 이하")))))</x:f>
        <x:v>대상 아님</x:v>
      </x:c>
      <x:c r="AB374" s="2"/>
    </x:row>
    <x:row r="375" ht="42" customHeight="1">
      <x:c r="A375" s="2" t="str">
        <x:v>db5793d42cdff986ed4c5faf</x:v>
      </x:c>
      <x:c r="B375" s="2" t="str">
        <x:v>사업 평가</x:v>
      </x:c>
      <x:c r="C375" s="2" t="str">
        <x:v>국내</x:v>
      </x:c>
      <x:c r="D375" s="7" t="str">
        <x:v>청우테크 반사로 버너(정제유, LNG)에서 순산소-LNG버너로의 설비 성능개선을 통한 온실가스 감축 사업</x:v>
      </x:c>
      <x:c r="E375" s="2" t="str">
        <x:v>236</x:v>
      </x:c>
      <x:c r="F375" s="2" t="str">
        <x:v>2017-12-26</x:v>
      </x:c>
      <x:c r="G375" s="2" t="str">
        <x:v>2017</x:v>
      </x:c>
      <x:c r="H375" s="2" t="str">
        <x:v>12</x:v>
      </x:c>
      <x:c r="I375" s="2" t="str">
        <x:v>승인</x:v>
      </x:c>
      <x:c r="J375" s="2" t="str">
        <x:v>심의승인</x:v>
      </x:c>
      <x:c r="K375" s="2" t="str">
        <x:f>IF(OR(J375="심의승인",J375="반려",J375="반려완료",J375="심의완료"),"종결 표시",IF(OR(J375="기후부협의",J375="문서재제출요청",J375="보류",J375="보완요청",J375="보완완료",J375="평가중",J375="반려요청",J375="평가필요",LEFT(J375,5)="보완요청("),"미종결 표시","상태 확인 필요"))</x:f>
        <x:v>종결 표시</x:v>
      </x:c>
      <x:c r="L375" s="2"/>
      <x:c r="M375" s="2"/>
      <x:c r="N375" s="8" t="n">
        <x:f>DATE(2026,10,15)-DATE(2017,12,26)</x:f>
        <x:v>3215</x:v>
      </x:c>
      <x:c r="O375" s="2"/>
      <x:c r="P375" s="2"/>
      <x:c r="Q375" s="2" t="str">
        <x:v>산업전환_외부사업관리Tool_260707_이너젠 수정_LJY_261013.xlsx</x:v>
      </x:c>
      <x:c r="R375" s="2" t="str">
        <x:v>국내평가</x:v>
      </x:c>
      <x:c r="S375" s="8" t="n">
        <x:v>278</x:v>
      </x:c>
      <x:c r="T375" s="2"/>
      <x:c r="U375" s="2" t="str"/>
      <x:c r="V375" s="2" t="str">
        <x:v>2018-12-05</x:v>
      </x:c>
      <x:c r="W375" s="2" t="str">
        <x:v>담당기관 확인</x:v>
      </x:c>
      <x:c r="X375" s="2" t="str">
        <x:v>원본·배정 기록 확인</x:v>
      </x:c>
      <x:c r="Y375" s="2" t="str">
        <x:v>ad210cd9ec132cfd447541c8984dc53d30aff0f4fb2dc92d254d49275cc55976</x:v>
      </x:c>
      <x:c r="Z375" s="2" t="n">
        <x:f>SUBTOTAL(103,A375)</x:f>
        <x:v>1</x:v>
      </x:c>
      <x:c r="AA375" s="2" t="str">
        <x:f>IF(K375&lt;&gt;"미종결 표시","대상 아님",IF(N375="","신청일 확인",IF(NOT(ISNUMBER('종합 현황'!$H$5)),"관찰기준 확인",IF('종합 현황'!$H$5&lt;1,"관찰기준 확인",IF(N375&gt;'종합 현황'!$H$5,"내부 관찰 대상","내부 관찰일 이하")))))</x:f>
        <x:v>대상 아님</x:v>
      </x:c>
      <x:c r="AB375" s="2"/>
    </x:row>
    <x:row r="376" ht="42" customHeight="1">
      <x:c r="A376" s="2" t="str">
        <x:v>331ff8e8cd66bb1b8a7514e6</x:v>
      </x:c>
      <x:c r="B376" s="2" t="str">
        <x:v>사업 평가</x:v>
      </x:c>
      <x:c r="C376" s="2" t="str">
        <x:v>국내</x:v>
      </x:c>
      <x:c r="D376" s="7" t="str">
        <x:v>캐처스 저압 스팀 재 사용 설비 설치를 통한 온실가스감축사업</x:v>
      </x:c>
      <x:c r="E376" s="2" t="str">
        <x:v>237</x:v>
      </x:c>
      <x:c r="F376" s="2" t="str">
        <x:v>2017-12-26</x:v>
      </x:c>
      <x:c r="G376" s="2" t="str">
        <x:v>2017</x:v>
      </x:c>
      <x:c r="H376" s="2" t="str">
        <x:v>12</x:v>
      </x:c>
      <x:c r="I376" s="2" t="str">
        <x:v>승인</x:v>
      </x:c>
      <x:c r="J376" s="2" t="str">
        <x:v>심의승인</x:v>
      </x:c>
      <x:c r="K376" s="2" t="str">
        <x:f>IF(OR(J376="심의승인",J376="반려",J376="반려완료",J376="심의완료"),"종결 표시",IF(OR(J376="기후부협의",J376="문서재제출요청",J376="보류",J376="보완요청",J376="보완완료",J376="평가중",J376="반려요청",J376="평가필요",LEFT(J376,5)="보완요청("),"미종결 표시","상태 확인 필요"))</x:f>
        <x:v>종결 표시</x:v>
      </x:c>
      <x:c r="L376" s="2"/>
      <x:c r="M376" s="2"/>
      <x:c r="N376" s="8" t="n">
        <x:f>DATE(2026,10,15)-DATE(2017,12,26)</x:f>
        <x:v>3215</x:v>
      </x:c>
      <x:c r="O376" s="2"/>
      <x:c r="P376" s="2"/>
      <x:c r="Q376" s="2" t="str">
        <x:v>산업전환_외부사업관리Tool_260707_이너젠 수정_LJY_261013.xlsx</x:v>
      </x:c>
      <x:c r="R376" s="2" t="str">
        <x:v>국내평가</x:v>
      </x:c>
      <x:c r="S376" s="8" t="n">
        <x:v>279</x:v>
      </x:c>
      <x:c r="T376" s="2"/>
      <x:c r="U376" s="2" t="str"/>
      <x:c r="V376" s="2" t="str">
        <x:v>2018-12-12</x:v>
      </x:c>
      <x:c r="W376" s="2" t="str">
        <x:v>담당기관 확인</x:v>
      </x:c>
      <x:c r="X376" s="2" t="str">
        <x:v>원본·배정 기록 확인</x:v>
      </x:c>
      <x:c r="Y376" s="2" t="str">
        <x:v>ad210cd9ec132cfd447541c8984dc53d30aff0f4fb2dc92d254d49275cc55976</x:v>
      </x:c>
      <x:c r="Z376" s="2" t="n">
        <x:f>SUBTOTAL(103,A376)</x:f>
        <x:v>1</x:v>
      </x:c>
      <x:c r="AA376" s="2" t="str">
        <x:f>IF(K376&lt;&gt;"미종결 표시","대상 아님",IF(N376="","신청일 확인",IF(NOT(ISNUMBER('종합 현황'!$H$5)),"관찰기준 확인",IF('종합 현황'!$H$5&lt;1,"관찰기준 확인",IF(N376&gt;'종합 현황'!$H$5,"내부 관찰 대상","내부 관찰일 이하")))))</x:f>
        <x:v>대상 아님</x:v>
      </x:c>
      <x:c r="AB376" s="2"/>
    </x:row>
    <x:row r="377" ht="42" customHeight="1">
      <x:c r="A377" s="2" t="str">
        <x:v>0a10d94948fe78c61691ee93</x:v>
      </x:c>
      <x:c r="B377" s="2" t="str">
        <x:v>사업 평가</x:v>
      </x:c>
      <x:c r="C377" s="2" t="str">
        <x:v>국내</x:v>
      </x:c>
      <x:c r="D377" s="7" t="str">
        <x:v>케이비에프 보일러의 연료전환(부생연료2호-&amp;gtLPG)을 통한 온실가스 감축 사업</x:v>
      </x:c>
      <x:c r="E377" s="2" t="str">
        <x:v>238</x:v>
      </x:c>
      <x:c r="F377" s="2" t="str">
        <x:v>2017-12-26</x:v>
      </x:c>
      <x:c r="G377" s="2" t="str">
        <x:v>2017</x:v>
      </x:c>
      <x:c r="H377" s="2" t="str">
        <x:v>12</x:v>
      </x:c>
      <x:c r="I377" s="2" t="str">
        <x:v>승인</x:v>
      </x:c>
      <x:c r="J377" s="2" t="str">
        <x:v>심의승인</x:v>
      </x:c>
      <x:c r="K377" s="2" t="str">
        <x:f>IF(OR(J377="심의승인",J377="반려",J377="반려완료",J377="심의완료"),"종결 표시",IF(OR(J377="기후부협의",J377="문서재제출요청",J377="보류",J377="보완요청",J377="보완완료",J377="평가중",J377="반려요청",J377="평가필요",LEFT(J377,5)="보완요청("),"미종결 표시","상태 확인 필요"))</x:f>
        <x:v>종결 표시</x:v>
      </x:c>
      <x:c r="L377" s="2"/>
      <x:c r="M377" s="2"/>
      <x:c r="N377" s="8" t="n">
        <x:f>DATE(2026,10,15)-DATE(2017,12,26)</x:f>
        <x:v>3215</x:v>
      </x:c>
      <x:c r="O377" s="2"/>
      <x:c r="P377" s="2"/>
      <x:c r="Q377" s="2" t="str">
        <x:v>산업전환_외부사업관리Tool_260707_이너젠 수정_LJY_261013.xlsx</x:v>
      </x:c>
      <x:c r="R377" s="2" t="str">
        <x:v>국내평가</x:v>
      </x:c>
      <x:c r="S377" s="8" t="n">
        <x:v>280</x:v>
      </x:c>
      <x:c r="T377" s="2"/>
      <x:c r="U377" s="2" t="str"/>
      <x:c r="V377" s="2" t="str">
        <x:v>2018-12-05</x:v>
      </x:c>
      <x:c r="W377" s="2" t="str">
        <x:v>담당기관 확인</x:v>
      </x:c>
      <x:c r="X377" s="2" t="str">
        <x:v>원본·배정 기록 확인</x:v>
      </x:c>
      <x:c r="Y377" s="2" t="str">
        <x:v>ad210cd9ec132cfd447541c8984dc53d30aff0f4fb2dc92d254d49275cc55976</x:v>
      </x:c>
      <x:c r="Z377" s="2" t="n">
        <x:f>SUBTOTAL(103,A377)</x:f>
        <x:v>1</x:v>
      </x:c>
      <x:c r="AA377" s="2" t="str">
        <x:f>IF(K377&lt;&gt;"미종결 표시","대상 아님",IF(N377="","신청일 확인",IF(NOT(ISNUMBER('종합 현황'!$H$5)),"관찰기준 확인",IF('종합 현황'!$H$5&lt;1,"관찰기준 확인",IF(N377&gt;'종합 현황'!$H$5,"내부 관찰 대상","내부 관찰일 이하")))))</x:f>
        <x:v>대상 아님</x:v>
      </x:c>
      <x:c r="AB377" s="2"/>
    </x:row>
    <x:row r="378" ht="42" customHeight="1">
      <x:c r="A378" s="2" t="str">
        <x:v>a2693adc30c8478e14cdc344</x:v>
      </x:c>
      <x:c r="B378" s="2" t="str">
        <x:v>사업 평가</x:v>
      </x:c>
      <x:c r="C378" s="2" t="str">
        <x:v>국내</x:v>
      </x:c>
      <x:c r="D378" s="7" t="str">
        <x:v>케이엠레텍의 보일러 연료 교체(B-C유-&amp;gt목재펠릿)를 통한 온실 가스 감축사업</x:v>
      </x:c>
      <x:c r="E378" s="2" t="str">
        <x:v>239</x:v>
      </x:c>
      <x:c r="F378" s="2" t="str">
        <x:v>2017-12-26</x:v>
      </x:c>
      <x:c r="G378" s="2" t="str">
        <x:v>2017</x:v>
      </x:c>
      <x:c r="H378" s="2" t="str">
        <x:v>12</x:v>
      </x:c>
      <x:c r="I378" s="2" t="str">
        <x:v>승인</x:v>
      </x:c>
      <x:c r="J378" s="2" t="str">
        <x:v>심의승인</x:v>
      </x:c>
      <x:c r="K378" s="2" t="str">
        <x:f>IF(OR(J378="심의승인",J378="반려",J378="반려완료",J378="심의완료"),"종결 표시",IF(OR(J378="기후부협의",J378="문서재제출요청",J378="보류",J378="보완요청",J378="보완완료",J378="평가중",J378="반려요청",J378="평가필요",LEFT(J378,5)="보완요청("),"미종결 표시","상태 확인 필요"))</x:f>
        <x:v>종결 표시</x:v>
      </x:c>
      <x:c r="L378" s="2"/>
      <x:c r="M378" s="2"/>
      <x:c r="N378" s="8" t="n">
        <x:f>DATE(2026,10,15)-DATE(2017,12,26)</x:f>
        <x:v>3215</x:v>
      </x:c>
      <x:c r="O378" s="2"/>
      <x:c r="P378" s="2"/>
      <x:c r="Q378" s="2" t="str">
        <x:v>산업전환_외부사업관리Tool_260707_이너젠 수정_LJY_261013.xlsx</x:v>
      </x:c>
      <x:c r="R378" s="2" t="str">
        <x:v>국내평가</x:v>
      </x:c>
      <x:c r="S378" s="8" t="n">
        <x:v>281</x:v>
      </x:c>
      <x:c r="T378" s="2"/>
      <x:c r="U378" s="2" t="str"/>
      <x:c r="V378" s="2" t="str">
        <x:v>2018-12-05</x:v>
      </x:c>
      <x:c r="W378" s="2" t="str">
        <x:v>담당기관 확인</x:v>
      </x:c>
      <x:c r="X378" s="2" t="str">
        <x:v>원본·배정 기록 확인</x:v>
      </x:c>
      <x:c r="Y378" s="2" t="str">
        <x:v>ad210cd9ec132cfd447541c8984dc53d30aff0f4fb2dc92d254d49275cc55976</x:v>
      </x:c>
      <x:c r="Z378" s="2" t="n">
        <x:f>SUBTOTAL(103,A378)</x:f>
        <x:v>1</x:v>
      </x:c>
      <x:c r="AA378" s="2" t="str">
        <x:f>IF(K378&lt;&gt;"미종결 표시","대상 아님",IF(N378="","신청일 확인",IF(NOT(ISNUMBER('종합 현황'!$H$5)),"관찰기준 확인",IF('종합 현황'!$H$5&lt;1,"관찰기준 확인",IF(N378&gt;'종합 현황'!$H$5,"내부 관찰 대상","내부 관찰일 이하")))))</x:f>
        <x:v>대상 아님</x:v>
      </x:c>
      <x:c r="AB378" s="2"/>
    </x:row>
    <x:row r="379" ht="42" customHeight="1">
      <x:c r="A379" s="2" t="str">
        <x:v>ba680157c640e1f92113e143</x:v>
      </x:c>
      <x:c r="B379" s="2" t="str">
        <x:v>사업 평가</x:v>
      </x:c>
      <x:c r="C379" s="2" t="str">
        <x:v>국내</x:v>
      </x:c>
      <x:c r="D379" s="7" t="str">
        <x:v>폴린트컴포지트코리아 연료교체를 통한 온실가스 배출감축사업</x:v>
      </x:c>
      <x:c r="E379" s="2" t="str">
        <x:v>240</x:v>
      </x:c>
      <x:c r="F379" s="2" t="str">
        <x:v>2017-12-26</x:v>
      </x:c>
      <x:c r="G379" s="2" t="str">
        <x:v>2017</x:v>
      </x:c>
      <x:c r="H379" s="2" t="str">
        <x:v>12</x:v>
      </x:c>
      <x:c r="I379" s="2" t="str">
        <x:v>승인</x:v>
      </x:c>
      <x:c r="J379" s="2" t="str">
        <x:v>심의승인</x:v>
      </x:c>
      <x:c r="K379" s="2" t="str">
        <x:f>IF(OR(J379="심의승인",J379="반려",J379="반려완료",J379="심의완료"),"종결 표시",IF(OR(J379="기후부협의",J379="문서재제출요청",J379="보류",J379="보완요청",J379="보완완료",J379="평가중",J379="반려요청",J379="평가필요",LEFT(J379,5)="보완요청("),"미종결 표시","상태 확인 필요"))</x:f>
        <x:v>종결 표시</x:v>
      </x:c>
      <x:c r="L379" s="2"/>
      <x:c r="M379" s="2"/>
      <x:c r="N379" s="8" t="n">
        <x:f>DATE(2026,10,15)-DATE(2017,12,26)</x:f>
        <x:v>3215</x:v>
      </x:c>
      <x:c r="O379" s="2"/>
      <x:c r="P379" s="2"/>
      <x:c r="Q379" s="2" t="str">
        <x:v>산업전환_외부사업관리Tool_260707_이너젠 수정_LJY_261013.xlsx</x:v>
      </x:c>
      <x:c r="R379" s="2" t="str">
        <x:v>국내평가</x:v>
      </x:c>
      <x:c r="S379" s="8" t="n">
        <x:v>282</x:v>
      </x:c>
      <x:c r="T379" s="2"/>
      <x:c r="U379" s="2" t="str"/>
      <x:c r="V379" s="2" t="str">
        <x:v>2018-12-05</x:v>
      </x:c>
      <x:c r="W379" s="2" t="str">
        <x:v>담당기관 확인</x:v>
      </x:c>
      <x:c r="X379" s="2" t="str">
        <x:v>원본·배정 기록 확인</x:v>
      </x:c>
      <x:c r="Y379" s="2" t="str">
        <x:v>ad210cd9ec132cfd447541c8984dc53d30aff0f4fb2dc92d254d49275cc55976</x:v>
      </x:c>
      <x:c r="Z379" s="2" t="n">
        <x:f>SUBTOTAL(103,A379)</x:f>
        <x:v>1</x:v>
      </x:c>
      <x:c r="AA379" s="2" t="str">
        <x:f>IF(K379&lt;&gt;"미종결 표시","대상 아님",IF(N379="","신청일 확인",IF(NOT(ISNUMBER('종합 현황'!$H$5)),"관찰기준 확인",IF('종합 현황'!$H$5&lt;1,"관찰기준 확인",IF(N379&gt;'종합 현황'!$H$5,"내부 관찰 대상","내부 관찰일 이하")))))</x:f>
        <x:v>대상 아님</x:v>
      </x:c>
      <x:c r="AB379" s="2"/>
    </x:row>
    <x:row r="380" ht="42" customHeight="1">
      <x:c r="A380" s="2" t="str">
        <x:v>5bfcdbf7b0e70082a315e071</x:v>
      </x:c>
      <x:c r="B380" s="2" t="str">
        <x:v>사업 평가</x:v>
      </x:c>
      <x:c r="C380" s="2" t="str">
        <x:v>국내</x:v>
      </x:c>
      <x:c r="D380" s="7" t="str">
        <x:v>동진기연 연료전환(등유 → 도시가스) 감축사업</x:v>
      </x:c>
      <x:c r="E380" s="2" t="str">
        <x:v>241</x:v>
      </x:c>
      <x:c r="F380" s="2" t="str">
        <x:v>2017-12-29</x:v>
      </x:c>
      <x:c r="G380" s="2" t="str">
        <x:v>2017</x:v>
      </x:c>
      <x:c r="H380" s="2" t="str">
        <x:v>12</x:v>
      </x:c>
      <x:c r="I380" s="2" t="str">
        <x:v>반려</x:v>
      </x:c>
      <x:c r="J380" s="2" t="str">
        <x:v>반려</x:v>
      </x:c>
      <x:c r="K380" s="2" t="str">
        <x:f>IF(OR(J380="심의승인",J380="반려",J380="반려완료",J380="심의완료"),"종결 표시",IF(OR(J380="기후부협의",J380="문서재제출요청",J380="보류",J380="보완요청",J380="보완완료",J380="평가중",J380="반려요청",J380="평가필요",LEFT(J380,5)="보완요청("),"미종결 표시","상태 확인 필요"))</x:f>
        <x:v>종결 표시</x:v>
      </x:c>
      <x:c r="L380" s="2"/>
      <x:c r="M380" s="2"/>
      <x:c r="N380" s="8" t="n">
        <x:f>DATE(2026,10,15)-DATE(2017,12,29)</x:f>
        <x:v>3212</x:v>
      </x:c>
      <x:c r="O380" s="2"/>
      <x:c r="P380" s="2"/>
      <x:c r="Q380" s="2" t="str">
        <x:v>산업전환_외부사업관리Tool_260707_이너젠 수정_LJY_261013.xlsx</x:v>
      </x:c>
      <x:c r="R380" s="2" t="str">
        <x:v>국내평가</x:v>
      </x:c>
      <x:c r="S380" s="8" t="n">
        <x:v>283</x:v>
      </x:c>
      <x:c r="T380" s="2" t="str">
        <x:v>2021년 처리</x:v>
      </x:c>
      <x:c r="U380" s="2" t="str">
        <x:v>2021 배정: 2021년 처리</x:v>
      </x:c>
      <x:c r="V380" s="2" t="str">
        <x:v>2021-06-09</x:v>
      </x:c>
      <x:c r="W380" s="2" t="str">
        <x:v>담당기관 확인</x:v>
      </x:c>
      <x:c r="X380" s="2" t="str">
        <x:v>원본·배정 기록 확인</x:v>
      </x:c>
      <x:c r="Y380" s="2" t="str">
        <x:v>ad210cd9ec132cfd447541c8984dc53d30aff0f4fb2dc92d254d49275cc55976</x:v>
      </x:c>
      <x:c r="Z380" s="2" t="n">
        <x:f>SUBTOTAL(103,A380)</x:f>
        <x:v>1</x:v>
      </x:c>
      <x:c r="AA380" s="2" t="str">
        <x:f>IF(K380&lt;&gt;"미종결 표시","대상 아님",IF(N380="","신청일 확인",IF(NOT(ISNUMBER('종합 현황'!$H$5)),"관찰기준 확인",IF('종합 현황'!$H$5&lt;1,"관찰기준 확인",IF(N380&gt;'종합 현황'!$H$5,"내부 관찰 대상","내부 관찰일 이하")))))</x:f>
        <x:v>대상 아님</x:v>
      </x:c>
      <x:c r="AB380" s="2"/>
    </x:row>
    <x:row r="381" ht="42" customHeight="1">
      <x:c r="A381" s="2" t="str">
        <x:v>58d2842f273e4cc81266c333</x:v>
      </x:c>
      <x:c r="B381" s="2" t="str">
        <x:v>사업 평가</x:v>
      </x:c>
      <x:c r="C381" s="2" t="str">
        <x:v>국내</x:v>
      </x:c>
      <x:c r="D381" s="7" t="str">
        <x:v>피피이씨의령 두부공장 목재펠릿 연료 전환을 통한 온실가스 감축사업</x:v>
      </x:c>
      <x:c r="E381" s="2" t="str">
        <x:v>242</x:v>
      </x:c>
      <x:c r="F381" s="2" t="str">
        <x:v>2017-12-26</x:v>
      </x:c>
      <x:c r="G381" s="2" t="str">
        <x:v>2017</x:v>
      </x:c>
      <x:c r="H381" s="2" t="str">
        <x:v>12</x:v>
      </x:c>
      <x:c r="I381" s="2" t="str">
        <x:v>승인</x:v>
      </x:c>
      <x:c r="J381" s="2" t="str">
        <x:v>심의승인</x:v>
      </x:c>
      <x:c r="K381" s="2" t="str">
        <x:f>IF(OR(J381="심의승인",J381="반려",J381="반려완료",J381="심의완료"),"종결 표시",IF(OR(J381="기후부협의",J381="문서재제출요청",J381="보류",J381="보완요청",J381="보완완료",J381="평가중",J381="반려요청",J381="평가필요",LEFT(J381,5)="보완요청("),"미종결 표시","상태 확인 필요"))</x:f>
        <x:v>종결 표시</x:v>
      </x:c>
      <x:c r="L381" s="2"/>
      <x:c r="M381" s="2"/>
      <x:c r="N381" s="8" t="n">
        <x:f>DATE(2026,10,15)-DATE(2017,12,26)</x:f>
        <x:v>3215</x:v>
      </x:c>
      <x:c r="O381" s="2"/>
      <x:c r="P381" s="2"/>
      <x:c r="Q381" s="2" t="str">
        <x:v>산업전환_외부사업관리Tool_260707_이너젠 수정_LJY_261013.xlsx</x:v>
      </x:c>
      <x:c r="R381" s="2" t="str">
        <x:v>국내평가</x:v>
      </x:c>
      <x:c r="S381" s="8" t="n">
        <x:v>284</x:v>
      </x:c>
      <x:c r="T381" s="2"/>
      <x:c r="U381" s="2" t="str"/>
      <x:c r="V381" s="2" t="str">
        <x:v>2018-12-06</x:v>
      </x:c>
      <x:c r="W381" s="2" t="str">
        <x:v>담당기관 확인</x:v>
      </x:c>
      <x:c r="X381" s="2" t="str">
        <x:v>원본·배정 기록 확인</x:v>
      </x:c>
      <x:c r="Y381" s="2" t="str">
        <x:v>ad210cd9ec132cfd447541c8984dc53d30aff0f4fb2dc92d254d49275cc55976</x:v>
      </x:c>
      <x:c r="Z381" s="2" t="n">
        <x:f>SUBTOTAL(103,A381)</x:f>
        <x:v>1</x:v>
      </x:c>
      <x:c r="AA381" s="2" t="str">
        <x:f>IF(K381&lt;&gt;"미종결 표시","대상 아님",IF(N381="","신청일 확인",IF(NOT(ISNUMBER('종합 현황'!$H$5)),"관찰기준 확인",IF('종합 현황'!$H$5&lt;1,"관찰기준 확인",IF(N381&gt;'종합 현황'!$H$5,"내부 관찰 대상","내부 관찰일 이하")))))</x:f>
        <x:v>대상 아님</x:v>
      </x:c>
      <x:c r="AB381" s="2"/>
    </x:row>
    <x:row r="382" ht="42" customHeight="1">
      <x:c r="A382" s="2" t="str">
        <x:v>f5b69ca54cc7ca8fe2b0163c</x:v>
      </x:c>
      <x:c r="B382" s="2" t="str">
        <x:v>사업 평가</x:v>
      </x:c>
      <x:c r="C382" s="2" t="str">
        <x:v>국내</x:v>
      </x:c>
      <x:c r="D382" s="7" t="str">
        <x:v>풀무원 음성 두부공장 목재펠릿 연료 전환을 통한 온실가스 감축사업</x:v>
      </x:c>
      <x:c r="E382" s="2" t="str">
        <x:v>243</x:v>
      </x:c>
      <x:c r="F382" s="2" t="str">
        <x:v>2017-12-26</x:v>
      </x:c>
      <x:c r="G382" s="2" t="str">
        <x:v>2017</x:v>
      </x:c>
      <x:c r="H382" s="2" t="str">
        <x:v>12</x:v>
      </x:c>
      <x:c r="I382" s="2" t="str">
        <x:v>승인</x:v>
      </x:c>
      <x:c r="J382" s="2" t="str">
        <x:v>심의승인</x:v>
      </x:c>
      <x:c r="K382" s="2" t="str">
        <x:f>IF(OR(J382="심의승인",J382="반려",J382="반려완료",J382="심의완료"),"종결 표시",IF(OR(J382="기후부협의",J382="문서재제출요청",J382="보류",J382="보완요청",J382="보완완료",J382="평가중",J382="반려요청",J382="평가필요",LEFT(J382,5)="보완요청("),"미종결 표시","상태 확인 필요"))</x:f>
        <x:v>종결 표시</x:v>
      </x:c>
      <x:c r="L382" s="2"/>
      <x:c r="M382" s="2"/>
      <x:c r="N382" s="8" t="n">
        <x:f>DATE(2026,10,15)-DATE(2017,12,26)</x:f>
        <x:v>3215</x:v>
      </x:c>
      <x:c r="O382" s="2"/>
      <x:c r="P382" s="2"/>
      <x:c r="Q382" s="2" t="str">
        <x:v>산업전환_외부사업관리Tool_260707_이너젠 수정_LJY_261013.xlsx</x:v>
      </x:c>
      <x:c r="R382" s="2" t="str">
        <x:v>국내평가</x:v>
      </x:c>
      <x:c r="S382" s="8" t="n">
        <x:v>285</x:v>
      </x:c>
      <x:c r="T382" s="2"/>
      <x:c r="U382" s="2" t="str"/>
      <x:c r="V382" s="2" t="str">
        <x:v>2018-12-06</x:v>
      </x:c>
      <x:c r="W382" s="2" t="str">
        <x:v>담당기관 확인</x:v>
      </x:c>
      <x:c r="X382" s="2" t="str">
        <x:v>원본·배정 기록 확인</x:v>
      </x:c>
      <x:c r="Y382" s="2" t="str">
        <x:v>ad210cd9ec132cfd447541c8984dc53d30aff0f4fb2dc92d254d49275cc55976</x:v>
      </x:c>
      <x:c r="Z382" s="2" t="n">
        <x:f>SUBTOTAL(103,A382)</x:f>
        <x:v>1</x:v>
      </x:c>
      <x:c r="AA382" s="2" t="str">
        <x:f>IF(K382&lt;&gt;"미종결 표시","대상 아님",IF(N382="","신청일 확인",IF(NOT(ISNUMBER('종합 현황'!$H$5)),"관찰기준 확인",IF('종합 현황'!$H$5&lt;1,"관찰기준 확인",IF(N382&gt;'종합 현황'!$H$5,"내부 관찰 대상","내부 관찰일 이하")))))</x:f>
        <x:v>대상 아님</x:v>
      </x:c>
      <x:c r="AB382" s="2"/>
    </x:row>
    <x:row r="383" ht="42" customHeight="1">
      <x:c r="A383" s="2" t="str">
        <x:v>6cd7f95c05a74a06e0dd8992</x:v>
      </x:c>
      <x:c r="B383" s="2" t="str">
        <x:v>사업 평가</x:v>
      </x:c>
      <x:c r="C383" s="2" t="str">
        <x:v>국내</x:v>
      </x:c>
      <x:c r="D383" s="7" t="str">
        <x:v>하이원 인버터형 공기압축기 설치에 따른 전력사용량 절감으로 인한 온실가스 감축사업</x:v>
      </x:c>
      <x:c r="E383" s="2" t="str">
        <x:v>244</x:v>
      </x:c>
      <x:c r="F383" s="2" t="str">
        <x:v>2017-12-26</x:v>
      </x:c>
      <x:c r="G383" s="2" t="str">
        <x:v>2017</x:v>
      </x:c>
      <x:c r="H383" s="2" t="str">
        <x:v>12</x:v>
      </x:c>
      <x:c r="I383" s="2" t="str">
        <x:v>승인</x:v>
      </x:c>
      <x:c r="J383" s="2" t="str">
        <x:v>심의승인</x:v>
      </x:c>
      <x:c r="K383" s="2" t="str">
        <x:f>IF(OR(J383="심의승인",J383="반려",J383="반려완료",J383="심의완료"),"종결 표시",IF(OR(J383="기후부협의",J383="문서재제출요청",J383="보류",J383="보완요청",J383="보완완료",J383="평가중",J383="반려요청",J383="평가필요",LEFT(J383,5)="보완요청("),"미종결 표시","상태 확인 필요"))</x:f>
        <x:v>종결 표시</x:v>
      </x:c>
      <x:c r="L383" s="2"/>
      <x:c r="M383" s="2"/>
      <x:c r="N383" s="8" t="n">
        <x:f>DATE(2026,10,15)-DATE(2017,12,26)</x:f>
        <x:v>3215</x:v>
      </x:c>
      <x:c r="O383" s="2"/>
      <x:c r="P383" s="2"/>
      <x:c r="Q383" s="2" t="str">
        <x:v>산업전환_외부사업관리Tool_260707_이너젠 수정_LJY_261013.xlsx</x:v>
      </x:c>
      <x:c r="R383" s="2" t="str">
        <x:v>국내평가</x:v>
      </x:c>
      <x:c r="S383" s="8" t="n">
        <x:v>286</x:v>
      </x:c>
      <x:c r="T383" s="2"/>
      <x:c r="U383" s="2" t="str"/>
      <x:c r="V383" s="2" t="str">
        <x:v>2018-12-06</x:v>
      </x:c>
      <x:c r="W383" s="2" t="str">
        <x:v>담당기관 확인</x:v>
      </x:c>
      <x:c r="X383" s="2" t="str">
        <x:v>원본·배정 기록 확인</x:v>
      </x:c>
      <x:c r="Y383" s="2" t="str">
        <x:v>ad210cd9ec132cfd447541c8984dc53d30aff0f4fb2dc92d254d49275cc55976</x:v>
      </x:c>
      <x:c r="Z383" s="2" t="n">
        <x:f>SUBTOTAL(103,A383)</x:f>
        <x:v>1</x:v>
      </x:c>
      <x:c r="AA383" s="2" t="str">
        <x:f>IF(K383&lt;&gt;"미종결 표시","대상 아님",IF(N383="","신청일 확인",IF(NOT(ISNUMBER('종합 현황'!$H$5)),"관찰기준 확인",IF('종합 현황'!$H$5&lt;1,"관찰기준 확인",IF(N383&gt;'종합 현황'!$H$5,"내부 관찰 대상","내부 관찰일 이하")))))</x:f>
        <x:v>대상 아님</x:v>
      </x:c>
      <x:c r="AB383" s="2"/>
    </x:row>
    <x:row r="384" ht="42" customHeight="1">
      <x:c r="A384" s="2" t="str">
        <x:v>146273b7d0abb42cac74f0b6</x:v>
      </x:c>
      <x:c r="B384" s="2" t="str">
        <x:v>사업 평가</x:v>
      </x:c>
      <x:c r="C384" s="2" t="str">
        <x:v>국내</x:v>
      </x:c>
      <x:c r="D384" s="7" t="str">
        <x:v>(주)한국요업 소성로 미활용에너지 회수를 통한 온실가스 감축사업</x:v>
      </x:c>
      <x:c r="E384" s="2" t="str">
        <x:v>245</x:v>
      </x:c>
      <x:c r="F384" s="2" t="str">
        <x:v>2020-09-29</x:v>
      </x:c>
      <x:c r="G384" s="2" t="str">
        <x:v>2020</x:v>
      </x:c>
      <x:c r="H384" s="2" t="str">
        <x:v>09</x:v>
      </x:c>
      <x:c r="I384" s="2" t="str">
        <x:v>반려</x:v>
      </x:c>
      <x:c r="J384" s="2" t="str">
        <x:v>반려</x:v>
      </x:c>
      <x:c r="K384" s="2" t="str">
        <x:f>IF(OR(J384="심의승인",J384="반려",J384="반려완료",J384="심의완료"),"종결 표시",IF(OR(J384="기후부협의",J384="문서재제출요청",J384="보류",J384="보완요청",J384="보완완료",J384="평가중",J384="반려요청",J384="평가필요",LEFT(J384,5)="보완요청("),"미종결 표시","상태 확인 필요"))</x:f>
        <x:v>종결 표시</x:v>
      </x:c>
      <x:c r="L384" s="2"/>
      <x:c r="M384" s="2"/>
      <x:c r="N384" s="8" t="n">
        <x:f>DATE(2026,10,15)-DATE(2020,9,29)</x:f>
        <x:v>2207</x:v>
      </x:c>
      <x:c r="O384" s="2"/>
      <x:c r="P384" s="2"/>
      <x:c r="Q384" s="2" t="str">
        <x:v>산업전환_외부사업관리Tool_260707_이너젠 수정_LJY_261013.xlsx</x:v>
      </x:c>
      <x:c r="R384" s="2" t="str">
        <x:v>국내평가</x:v>
      </x:c>
      <x:c r="S384" s="8" t="n">
        <x:v>287</x:v>
      </x:c>
      <x:c r="T384" s="2"/>
      <x:c r="U384" s="2" t="str"/>
      <x:c r="V384" s="2" t="str">
        <x:v>2021-06-30</x:v>
      </x:c>
      <x:c r="W384" s="2" t="str">
        <x:v>담당기관 확인</x:v>
      </x:c>
      <x:c r="X384" s="2" t="str">
        <x:v>원본·배정 기록 확인</x:v>
      </x:c>
      <x:c r="Y384" s="2" t="str">
        <x:v>ad210cd9ec132cfd447541c8984dc53d30aff0f4fb2dc92d254d49275cc55976</x:v>
      </x:c>
      <x:c r="Z384" s="2" t="n">
        <x:f>SUBTOTAL(103,A384)</x:f>
        <x:v>1</x:v>
      </x:c>
      <x:c r="AA384" s="2" t="str">
        <x:f>IF(K384&lt;&gt;"미종결 표시","대상 아님",IF(N384="","신청일 확인",IF(NOT(ISNUMBER('종합 현황'!$H$5)),"관찰기준 확인",IF('종합 현황'!$H$5&lt;1,"관찰기준 확인",IF(N384&gt;'종합 현황'!$H$5,"내부 관찰 대상","내부 관찰일 이하")))))</x:f>
        <x:v>대상 아님</x:v>
      </x:c>
      <x:c r="AB384" s="2"/>
    </x:row>
    <x:row r="385" ht="42" customHeight="1">
      <x:c r="A385" s="2" t="str">
        <x:v>375744f95e942b4d80f67f5f</x:v>
      </x:c>
      <x:c r="B385" s="2" t="str">
        <x:v>사업 평가</x:v>
      </x:c>
      <x:c r="C385" s="2" t="str">
        <x:v>국내</x:v>
      </x:c>
      <x:c r="D385" s="7" t="str">
        <x:v>한청판지 보일러 버너의 연료전환 (B-C유 → LNG)을 통한 온실가스 감축사업</x:v>
      </x:c>
      <x:c r="E385" s="2" t="str">
        <x:v>246</x:v>
      </x:c>
      <x:c r="F385" s="2" t="str">
        <x:v>2017-12-26</x:v>
      </x:c>
      <x:c r="G385" s="2" t="str">
        <x:v>2017</x:v>
      </x:c>
      <x:c r="H385" s="2" t="str">
        <x:v>12</x:v>
      </x:c>
      <x:c r="I385" s="2" t="str">
        <x:v>승인</x:v>
      </x:c>
      <x:c r="J385" s="2" t="str">
        <x:v>심의승인</x:v>
      </x:c>
      <x:c r="K385" s="2" t="str">
        <x:f>IF(OR(J385="심의승인",J385="반려",J385="반려완료",J385="심의완료"),"종결 표시",IF(OR(J385="기후부협의",J385="문서재제출요청",J385="보류",J385="보완요청",J385="보완완료",J385="평가중",J385="반려요청",J385="평가필요",LEFT(J385,5)="보완요청("),"미종결 표시","상태 확인 필요"))</x:f>
        <x:v>종결 표시</x:v>
      </x:c>
      <x:c r="L385" s="2"/>
      <x:c r="M385" s="2"/>
      <x:c r="N385" s="8" t="n">
        <x:f>DATE(2026,10,15)-DATE(2017,12,26)</x:f>
        <x:v>3215</x:v>
      </x:c>
      <x:c r="O385" s="2"/>
      <x:c r="P385" s="2"/>
      <x:c r="Q385" s="2" t="str">
        <x:v>산업전환_외부사업관리Tool_260707_이너젠 수정_LJY_261013.xlsx</x:v>
      </x:c>
      <x:c r="R385" s="2" t="str">
        <x:v>국내평가</x:v>
      </x:c>
      <x:c r="S385" s="8" t="n">
        <x:v>288</x:v>
      </x:c>
      <x:c r="T385" s="2"/>
      <x:c r="U385" s="2" t="str"/>
      <x:c r="V385" s="2" t="str">
        <x:v>2018-12-06</x:v>
      </x:c>
      <x:c r="W385" s="2" t="str">
        <x:v>담당기관 확인</x:v>
      </x:c>
      <x:c r="X385" s="2" t="str">
        <x:v>원본·배정 기록 확인</x:v>
      </x:c>
      <x:c r="Y385" s="2" t="str">
        <x:v>ad210cd9ec132cfd447541c8984dc53d30aff0f4fb2dc92d254d49275cc55976</x:v>
      </x:c>
      <x:c r="Z385" s="2" t="n">
        <x:f>SUBTOTAL(103,A385)</x:f>
        <x:v>1</x:v>
      </x:c>
      <x:c r="AA385" s="2" t="str">
        <x:f>IF(K385&lt;&gt;"미종결 표시","대상 아님",IF(N385="","신청일 확인",IF(NOT(ISNUMBER('종합 현황'!$H$5)),"관찰기준 확인",IF('종합 현황'!$H$5&lt;1,"관찰기준 확인",IF(N385&gt;'종합 현황'!$H$5,"내부 관찰 대상","내부 관찰일 이하")))))</x:f>
        <x:v>대상 아님</x:v>
      </x:c>
      <x:c r="AB385" s="2"/>
    </x:row>
    <x:row r="386" ht="42" customHeight="1">
      <x:c r="A386" s="2" t="str">
        <x:v>0fa8987340f8bcf6651468ff</x:v>
      </x:c>
      <x:c r="B386" s="2" t="str">
        <x:v>사업 평가</x:v>
      </x:c>
      <x:c r="C386" s="2" t="str">
        <x:v>국내</x:v>
      </x:c>
      <x:c r="D386" s="7" t="str">
        <x:v>신화콘크리트의 목재펠릿 연료전환(B-C유-&amp;gt목재펠릿)을 통한 온실가스 감축사업</x:v>
      </x:c>
      <x:c r="E386" s="2" t="str">
        <x:v>247</x:v>
      </x:c>
      <x:c r="F386" s="2" t="str">
        <x:v>2017-12-26</x:v>
      </x:c>
      <x:c r="G386" s="2" t="str">
        <x:v>2017</x:v>
      </x:c>
      <x:c r="H386" s="2" t="str">
        <x:v>12</x:v>
      </x:c>
      <x:c r="I386" s="2" t="str">
        <x:v>승인</x:v>
      </x:c>
      <x:c r="J386" s="2" t="str">
        <x:v>심의승인</x:v>
      </x:c>
      <x:c r="K386" s="2" t="str">
        <x:f>IF(OR(J386="심의승인",J386="반려",J386="반려완료",J386="심의완료"),"종결 표시",IF(OR(J386="기후부협의",J386="문서재제출요청",J386="보류",J386="보완요청",J386="보완완료",J386="평가중",J386="반려요청",J386="평가필요",LEFT(J386,5)="보완요청("),"미종결 표시","상태 확인 필요"))</x:f>
        <x:v>종결 표시</x:v>
      </x:c>
      <x:c r="L386" s="2"/>
      <x:c r="M386" s="2"/>
      <x:c r="N386" s="8" t="n">
        <x:f>DATE(2026,10,15)-DATE(2017,12,26)</x:f>
        <x:v>3215</x:v>
      </x:c>
      <x:c r="O386" s="2"/>
      <x:c r="P386" s="2"/>
      <x:c r="Q386" s="2" t="str">
        <x:v>산업전환_외부사업관리Tool_260707_이너젠 수정_LJY_261013.xlsx</x:v>
      </x:c>
      <x:c r="R386" s="2" t="str">
        <x:v>국내평가</x:v>
      </x:c>
      <x:c r="S386" s="8" t="n">
        <x:v>289</x:v>
      </x:c>
      <x:c r="T386" s="2"/>
      <x:c r="U386" s="2" t="str"/>
      <x:c r="V386" s="2" t="str">
        <x:v>2018-12-05</x:v>
      </x:c>
      <x:c r="W386" s="2" t="str">
        <x:v>담당기관 확인</x:v>
      </x:c>
      <x:c r="X386" s="2" t="str">
        <x:v>원본·배정 기록 확인</x:v>
      </x:c>
      <x:c r="Y386" s="2" t="str">
        <x:v>ad210cd9ec132cfd447541c8984dc53d30aff0f4fb2dc92d254d49275cc55976</x:v>
      </x:c>
      <x:c r="Z386" s="2" t="n">
        <x:f>SUBTOTAL(103,A386)</x:f>
        <x:v>1</x:v>
      </x:c>
      <x:c r="AA386" s="2" t="str">
        <x:f>IF(K386&lt;&gt;"미종결 표시","대상 아님",IF(N386="","신청일 확인",IF(NOT(ISNUMBER('종합 현황'!$H$5)),"관찰기준 확인",IF('종합 현황'!$H$5&lt;1,"관찰기준 확인",IF(N386&gt;'종합 현황'!$H$5,"내부 관찰 대상","내부 관찰일 이하")))))</x:f>
        <x:v>대상 아님</x:v>
      </x:c>
      <x:c r="AB386" s="2"/>
    </x:row>
    <x:row r="387" ht="42" customHeight="1">
      <x:c r="A387" s="2" t="str">
        <x:v>088c6413829501e7f8a6a624</x:v>
      </x:c>
      <x:c r="B387" s="2" t="str">
        <x:v>사업 평가</x:v>
      </x:c>
      <x:c r="C387" s="2" t="str">
        <x:v>국내</x:v>
      </x:c>
      <x:c r="D387" s="7" t="str">
        <x:v>보일러 버너(#1, #2, #3) 연료전환(B-C유에서 LNG)을 통한 온실가스(CO2) 배출 감축사업</x:v>
      </x:c>
      <x:c r="E387" s="2" t="str">
        <x:v>248</x:v>
      </x:c>
      <x:c r="F387" s="2" t="str">
        <x:v>2017-12-26</x:v>
      </x:c>
      <x:c r="G387" s="2" t="str">
        <x:v>2017</x:v>
      </x:c>
      <x:c r="H387" s="2" t="str">
        <x:v>12</x:v>
      </x:c>
      <x:c r="I387" s="2" t="str">
        <x:v>승인</x:v>
      </x:c>
      <x:c r="J387" s="2" t="str">
        <x:v>심의승인</x:v>
      </x:c>
      <x:c r="K387" s="2" t="str">
        <x:f>IF(OR(J387="심의승인",J387="반려",J387="반려완료",J387="심의완료"),"종결 표시",IF(OR(J387="기후부협의",J387="문서재제출요청",J387="보류",J387="보완요청",J387="보완완료",J387="평가중",J387="반려요청",J387="평가필요",LEFT(J387,5)="보완요청("),"미종결 표시","상태 확인 필요"))</x:f>
        <x:v>종결 표시</x:v>
      </x:c>
      <x:c r="L387" s="2"/>
      <x:c r="M387" s="2"/>
      <x:c r="N387" s="8" t="n">
        <x:f>DATE(2026,10,15)-DATE(2017,12,26)</x:f>
        <x:v>3215</x:v>
      </x:c>
      <x:c r="O387" s="2"/>
      <x:c r="P387" s="2"/>
      <x:c r="Q387" s="2" t="str">
        <x:v>산업전환_외부사업관리Tool_260707_이너젠 수정_LJY_261013.xlsx</x:v>
      </x:c>
      <x:c r="R387" s="2" t="str">
        <x:v>국내평가</x:v>
      </x:c>
      <x:c r="S387" s="8" t="n">
        <x:v>290</x:v>
      </x:c>
      <x:c r="T387" s="2"/>
      <x:c r="U387" s="2" t="str"/>
      <x:c r="V387" s="2" t="str">
        <x:v>2019-01-22</x:v>
      </x:c>
      <x:c r="W387" s="2" t="str">
        <x:v>담당기관 확인</x:v>
      </x:c>
      <x:c r="X387" s="2" t="str">
        <x:v>원본·배정 기록 확인</x:v>
      </x:c>
      <x:c r="Y387" s="2" t="str">
        <x:v>ad210cd9ec132cfd447541c8984dc53d30aff0f4fb2dc92d254d49275cc55976</x:v>
      </x:c>
      <x:c r="Z387" s="2" t="n">
        <x:f>SUBTOTAL(103,A387)</x:f>
        <x:v>1</x:v>
      </x:c>
      <x:c r="AA387" s="2" t="str">
        <x:f>IF(K387&lt;&gt;"미종결 표시","대상 아님",IF(N387="","신청일 확인",IF(NOT(ISNUMBER('종합 현황'!$H$5)),"관찰기준 확인",IF('종합 현황'!$H$5&lt;1,"관찰기준 확인",IF(N387&gt;'종합 현황'!$H$5,"내부 관찰 대상","내부 관찰일 이하")))))</x:f>
        <x:v>대상 아님</x:v>
      </x:c>
      <x:c r="AB387" s="2"/>
    </x:row>
    <x:row r="388" ht="42" customHeight="1">
      <x:c r="A388" s="2" t="str">
        <x:v>2ff9e3488cf5184fc4b21952</x:v>
      </x:c>
      <x:c r="B388" s="2" t="str">
        <x:v>사업 평가</x:v>
      </x:c>
      <x:c r="C388" s="2" t="str">
        <x:v>국내</x:v>
      </x:c>
      <x:c r="D388" s="7" t="str">
        <x:v>우일산업 청양공장 목재펠릿 연료 전환(부생연료 2호-&gt;목재펠릿)을 통한 온실가스 감축사업</x:v>
      </x:c>
      <x:c r="E388" s="2" t="str">
        <x:v>249</x:v>
      </x:c>
      <x:c r="F388" s="2" t="str">
        <x:v>2017-12-26</x:v>
      </x:c>
      <x:c r="G388" s="2" t="str">
        <x:v>2017</x:v>
      </x:c>
      <x:c r="H388" s="2" t="str">
        <x:v>12</x:v>
      </x:c>
      <x:c r="I388" s="2" t="str">
        <x:v>승인</x:v>
      </x:c>
      <x:c r="J388" s="2" t="str">
        <x:v>심의승인</x:v>
      </x:c>
      <x:c r="K388" s="2" t="str">
        <x:f>IF(OR(J388="심의승인",J388="반려",J388="반려완료",J388="심의완료"),"종결 표시",IF(OR(J388="기후부협의",J388="문서재제출요청",J388="보류",J388="보완요청",J388="보완완료",J388="평가중",J388="반려요청",J388="평가필요",LEFT(J388,5)="보완요청("),"미종결 표시","상태 확인 필요"))</x:f>
        <x:v>종결 표시</x:v>
      </x:c>
      <x:c r="L388" s="2"/>
      <x:c r="M388" s="2"/>
      <x:c r="N388" s="8" t="n">
        <x:f>DATE(2026,10,15)-DATE(2017,12,26)</x:f>
        <x:v>3215</x:v>
      </x:c>
      <x:c r="O388" s="2"/>
      <x:c r="P388" s="2"/>
      <x:c r="Q388" s="2" t="str">
        <x:v>산업전환_외부사업관리Tool_260707_이너젠 수정_LJY_261013.xlsx</x:v>
      </x:c>
      <x:c r="R388" s="2" t="str">
        <x:v>국내평가</x:v>
      </x:c>
      <x:c r="S388" s="8" t="n">
        <x:v>291</x:v>
      </x:c>
      <x:c r="T388" s="2"/>
      <x:c r="U388" s="2" t="str"/>
      <x:c r="V388" s="2" t="str">
        <x:v>2018-12-05</x:v>
      </x:c>
      <x:c r="W388" s="2" t="str">
        <x:v>담당기관 확인</x:v>
      </x:c>
      <x:c r="X388" s="2" t="str">
        <x:v>원본·배정 기록 확인</x:v>
      </x:c>
      <x:c r="Y388" s="2" t="str">
        <x:v>ad210cd9ec132cfd447541c8984dc53d30aff0f4fb2dc92d254d49275cc55976</x:v>
      </x:c>
      <x:c r="Z388" s="2" t="n">
        <x:f>SUBTOTAL(103,A388)</x:f>
        <x:v>1</x:v>
      </x:c>
      <x:c r="AA388" s="2" t="str">
        <x:f>IF(K388&lt;&gt;"미종결 표시","대상 아님",IF(N388="","신청일 확인",IF(NOT(ISNUMBER('종합 현황'!$H$5)),"관찰기준 확인",IF('종합 현황'!$H$5&lt;1,"관찰기준 확인",IF(N388&gt;'종합 현황'!$H$5,"내부 관찰 대상","내부 관찰일 이하")))))</x:f>
        <x:v>대상 아님</x:v>
      </x:c>
      <x:c r="AB388" s="2"/>
    </x:row>
    <x:row r="389" ht="42" customHeight="1">
      <x:c r="A389" s="2" t="str">
        <x:v>12b16a4b3e7f82fd96c6efaa</x:v>
      </x:c>
      <x:c r="B389" s="2" t="str">
        <x:v>사업 평가</x:v>
      </x:c>
      <x:c r="C389" s="2" t="str">
        <x:v>국내</x:v>
      </x:c>
      <x:c r="D389" s="7" t="str">
        <x:v>영우냉동식품 절탄기설치에 따른 미활용에너지 회수를 통한 온실가스 감축사업</x:v>
      </x:c>
      <x:c r="E389" s="2" t="str">
        <x:v>250</x:v>
      </x:c>
      <x:c r="F389" s="2" t="str">
        <x:v>2017-12-26</x:v>
      </x:c>
      <x:c r="G389" s="2" t="str">
        <x:v>2017</x:v>
      </x:c>
      <x:c r="H389" s="2" t="str">
        <x:v>12</x:v>
      </x:c>
      <x:c r="I389" s="2" t="str">
        <x:v>승인</x:v>
      </x:c>
      <x:c r="J389" s="2" t="str">
        <x:v>심의승인</x:v>
      </x:c>
      <x:c r="K389" s="2" t="str">
        <x:f>IF(OR(J389="심의승인",J389="반려",J389="반려완료",J389="심의완료"),"종결 표시",IF(OR(J389="기후부협의",J389="문서재제출요청",J389="보류",J389="보완요청",J389="보완완료",J389="평가중",J389="반려요청",J389="평가필요",LEFT(J389,5)="보완요청("),"미종결 표시","상태 확인 필요"))</x:f>
        <x:v>종결 표시</x:v>
      </x:c>
      <x:c r="L389" s="2"/>
      <x:c r="M389" s="2"/>
      <x:c r="N389" s="8" t="n">
        <x:f>DATE(2026,10,15)-DATE(2017,12,26)</x:f>
        <x:v>3215</x:v>
      </x:c>
      <x:c r="O389" s="2"/>
      <x:c r="P389" s="2"/>
      <x:c r="Q389" s="2" t="str">
        <x:v>산업전환_외부사업관리Tool_260707_이너젠 수정_LJY_261013.xlsx</x:v>
      </x:c>
      <x:c r="R389" s="2" t="str">
        <x:v>국내평가</x:v>
      </x:c>
      <x:c r="S389" s="8" t="n">
        <x:v>292</x:v>
      </x:c>
      <x:c r="T389" s="2"/>
      <x:c r="U389" s="2" t="str"/>
      <x:c r="V389" s="2" t="str">
        <x:v>2021-12-14</x:v>
      </x:c>
      <x:c r="W389" s="2" t="str">
        <x:v>담당기관 확인</x:v>
      </x:c>
      <x:c r="X389" s="2" t="str">
        <x:v>원본·배정 기록 확인</x:v>
      </x:c>
      <x:c r="Y389" s="2" t="str">
        <x:v>ad210cd9ec132cfd447541c8984dc53d30aff0f4fb2dc92d254d49275cc55976</x:v>
      </x:c>
      <x:c r="Z389" s="2" t="n">
        <x:f>SUBTOTAL(103,A389)</x:f>
        <x:v>1</x:v>
      </x:c>
      <x:c r="AA389" s="2" t="str">
        <x:f>IF(K389&lt;&gt;"미종결 표시","대상 아님",IF(N389="","신청일 확인",IF(NOT(ISNUMBER('종합 현황'!$H$5)),"관찰기준 확인",IF('종합 현황'!$H$5&lt;1,"관찰기준 확인",IF(N389&gt;'종합 현황'!$H$5,"내부 관찰 대상","내부 관찰일 이하")))))</x:f>
        <x:v>대상 아님</x:v>
      </x:c>
      <x:c r="AB389" s="2"/>
    </x:row>
    <x:row r="390" ht="42" customHeight="1">
      <x:c r="A390" s="2" t="str">
        <x:v>85c3181ce3a1d2cc20e257b1</x:v>
      </x:c>
      <x:c r="B390" s="2" t="str">
        <x:v>사업 평가</x:v>
      </x:c>
      <x:c r="C390" s="2" t="str">
        <x:v>국내</x:v>
      </x:c>
      <x:c r="D390" s="7" t="str">
        <x:v>우창산업(주) 사출기 일부교체(유압식→전동식, 하이브리드)를 통한 온실가스(CO2) 감축사업</x:v>
      </x:c>
      <x:c r="E390" s="2" t="str">
        <x:v>251</x:v>
      </x:c>
      <x:c r="F390" s="2" t="str">
        <x:v>2017-12-26</x:v>
      </x:c>
      <x:c r="G390" s="2" t="str">
        <x:v>2017</x:v>
      </x:c>
      <x:c r="H390" s="2" t="str">
        <x:v>12</x:v>
      </x:c>
      <x:c r="I390" s="2" t="str">
        <x:v>승인</x:v>
      </x:c>
      <x:c r="J390" s="2" t="str">
        <x:v>심의승인</x:v>
      </x:c>
      <x:c r="K390" s="2" t="str">
        <x:f>IF(OR(J390="심의승인",J390="반려",J390="반려완료",J390="심의완료"),"종결 표시",IF(OR(J390="기후부협의",J390="문서재제출요청",J390="보류",J390="보완요청",J390="보완완료",J390="평가중",J390="반려요청",J390="평가필요",LEFT(J390,5)="보완요청("),"미종결 표시","상태 확인 필요"))</x:f>
        <x:v>종결 표시</x:v>
      </x:c>
      <x:c r="L390" s="2"/>
      <x:c r="M390" s="2"/>
      <x:c r="N390" s="8" t="n">
        <x:f>DATE(2026,10,15)-DATE(2017,12,26)</x:f>
        <x:v>3215</x:v>
      </x:c>
      <x:c r="O390" s="2"/>
      <x:c r="P390" s="2"/>
      <x:c r="Q390" s="2" t="str">
        <x:v>산업전환_외부사업관리Tool_260707_이너젠 수정_LJY_261013.xlsx</x:v>
      </x:c>
      <x:c r="R390" s="2" t="str">
        <x:v>국내평가</x:v>
      </x:c>
      <x:c r="S390" s="8" t="n">
        <x:v>293</x:v>
      </x:c>
      <x:c r="T390" s="2"/>
      <x:c r="U390" s="2" t="str"/>
      <x:c r="V390" s="2" t="str">
        <x:v>2018-12-05</x:v>
      </x:c>
      <x:c r="W390" s="2" t="str">
        <x:v>담당기관 확인</x:v>
      </x:c>
      <x:c r="X390" s="2" t="str">
        <x:v>원본·배정 기록 확인</x:v>
      </x:c>
      <x:c r="Y390" s="2" t="str">
        <x:v>ad210cd9ec132cfd447541c8984dc53d30aff0f4fb2dc92d254d49275cc55976</x:v>
      </x:c>
      <x:c r="Z390" s="2" t="n">
        <x:f>SUBTOTAL(103,A390)</x:f>
        <x:v>1</x:v>
      </x:c>
      <x:c r="AA390" s="2" t="str">
        <x:f>IF(K390&lt;&gt;"미종결 표시","대상 아님",IF(N390="","신청일 확인",IF(NOT(ISNUMBER('종합 현황'!$H$5)),"관찰기준 확인",IF('종합 현황'!$H$5&lt;1,"관찰기준 확인",IF(N390&gt;'종합 현황'!$H$5,"내부 관찰 대상","내부 관찰일 이하")))))</x:f>
        <x:v>대상 아님</x:v>
      </x:c>
      <x:c r="AB390" s="2"/>
    </x:row>
    <x:row r="391" ht="42" customHeight="1">
      <x:c r="A391" s="2" t="str">
        <x:v>899660095db9746b7eb071cc</x:v>
      </x:c>
      <x:c r="B391" s="2" t="str">
        <x:v>사업 평가</x:v>
      </x:c>
      <x:c r="C391" s="2" t="str">
        <x:v>국내</x:v>
      </x:c>
      <x:c r="D391" s="7" t="str">
        <x:v>일신콘크리트의 목재펠릿 연료전환을 통한 온실가스 감축사업</x:v>
      </x:c>
      <x:c r="E391" s="2" t="str">
        <x:v>252</x:v>
      </x:c>
      <x:c r="F391" s="2" t="str">
        <x:v>2017-12-26</x:v>
      </x:c>
      <x:c r="G391" s="2" t="str">
        <x:v>2017</x:v>
      </x:c>
      <x:c r="H391" s="2" t="str">
        <x:v>12</x:v>
      </x:c>
      <x:c r="I391" s="2" t="str">
        <x:v>승인</x:v>
      </x:c>
      <x:c r="J391" s="2" t="str">
        <x:v>심의승인</x:v>
      </x:c>
      <x:c r="K391" s="2" t="str">
        <x:f>IF(OR(J391="심의승인",J391="반려",J391="반려완료",J391="심의완료"),"종결 표시",IF(OR(J391="기후부협의",J391="문서재제출요청",J391="보류",J391="보완요청",J391="보완완료",J391="평가중",J391="반려요청",J391="평가필요",LEFT(J391,5)="보완요청("),"미종결 표시","상태 확인 필요"))</x:f>
        <x:v>종결 표시</x:v>
      </x:c>
      <x:c r="L391" s="2"/>
      <x:c r="M391" s="2"/>
      <x:c r="N391" s="8" t="n">
        <x:f>DATE(2026,10,15)-DATE(2017,12,26)</x:f>
        <x:v>3215</x:v>
      </x:c>
      <x:c r="O391" s="2"/>
      <x:c r="P391" s="2"/>
      <x:c r="Q391" s="2" t="str">
        <x:v>산업전환_외부사업관리Tool_260707_이너젠 수정_LJY_261013.xlsx</x:v>
      </x:c>
      <x:c r="R391" s="2" t="str">
        <x:v>국내평가</x:v>
      </x:c>
      <x:c r="S391" s="8" t="n">
        <x:v>294</x:v>
      </x:c>
      <x:c r="T391" s="2"/>
      <x:c r="U391" s="2" t="str"/>
      <x:c r="V391" s="2" t="str">
        <x:v>2018-12-05</x:v>
      </x:c>
      <x:c r="W391" s="2" t="str">
        <x:v>담당기관 확인</x:v>
      </x:c>
      <x:c r="X391" s="2" t="str">
        <x:v>원본·배정 기록 확인</x:v>
      </x:c>
      <x:c r="Y391" s="2" t="str">
        <x:v>ad210cd9ec132cfd447541c8984dc53d30aff0f4fb2dc92d254d49275cc55976</x:v>
      </x:c>
      <x:c r="Z391" s="2" t="n">
        <x:f>SUBTOTAL(103,A391)</x:f>
        <x:v>1</x:v>
      </x:c>
      <x:c r="AA391" s="2" t="str">
        <x:f>IF(K391&lt;&gt;"미종결 표시","대상 아님",IF(N391="","신청일 확인",IF(NOT(ISNUMBER('종합 현황'!$H$5)),"관찰기준 확인",IF('종합 현황'!$H$5&lt;1,"관찰기준 확인",IF(N391&gt;'종합 현황'!$H$5,"내부 관찰 대상","내부 관찰일 이하")))))</x:f>
        <x:v>대상 아님</x:v>
      </x:c>
      <x:c r="AB391" s="2"/>
    </x:row>
    <x:row r="392" ht="42" customHeight="1">
      <x:c r="A392" s="2" t="str">
        <x:v>d9f7977805e041c4413e5794</x:v>
      </x:c>
      <x:c r="B392" s="2" t="str">
        <x:v>사업 평가</x:v>
      </x:c>
      <x:c r="C392" s="2" t="str">
        <x:v>국내</x:v>
      </x:c>
      <x:c r="D392" s="7" t="str">
        <x:v>삼화판지 보일러의 연료전환 (B-C유→LNG)를 통한 온실가스 감축사업</x:v>
      </x:c>
      <x:c r="E392" s="2" t="str">
        <x:v>253</x:v>
      </x:c>
      <x:c r="F392" s="2" t="str">
        <x:v>2017-12-26</x:v>
      </x:c>
      <x:c r="G392" s="2" t="str">
        <x:v>2017</x:v>
      </x:c>
      <x:c r="H392" s="2" t="str">
        <x:v>12</x:v>
      </x:c>
      <x:c r="I392" s="2" t="str">
        <x:v>승인</x:v>
      </x:c>
      <x:c r="J392" s="2" t="str">
        <x:v>심의승인</x:v>
      </x:c>
      <x:c r="K392" s="2" t="str">
        <x:f>IF(OR(J392="심의승인",J392="반려",J392="반려완료",J392="심의완료"),"종결 표시",IF(OR(J392="기후부협의",J392="문서재제출요청",J392="보류",J392="보완요청",J392="보완완료",J392="평가중",J392="반려요청",J392="평가필요",LEFT(J392,5)="보완요청("),"미종결 표시","상태 확인 필요"))</x:f>
        <x:v>종결 표시</x:v>
      </x:c>
      <x:c r="L392" s="2"/>
      <x:c r="M392" s="2"/>
      <x:c r="N392" s="8" t="n">
        <x:f>DATE(2026,10,15)-DATE(2017,12,26)</x:f>
        <x:v>3215</x:v>
      </x:c>
      <x:c r="O392" s="2"/>
      <x:c r="P392" s="2"/>
      <x:c r="Q392" s="2" t="str">
        <x:v>산업전환_외부사업관리Tool_260707_이너젠 수정_LJY_261013.xlsx</x:v>
      </x:c>
      <x:c r="R392" s="2" t="str">
        <x:v>국내평가</x:v>
      </x:c>
      <x:c r="S392" s="8" t="n">
        <x:v>295</x:v>
      </x:c>
      <x:c r="T392" s="2"/>
      <x:c r="U392" s="2" t="str"/>
      <x:c r="V392" s="2" t="str">
        <x:v>2018-12-05</x:v>
      </x:c>
      <x:c r="W392" s="2" t="str">
        <x:v>담당기관 확인</x:v>
      </x:c>
      <x:c r="X392" s="2" t="str">
        <x:v>원본·배정 기록 확인</x:v>
      </x:c>
      <x:c r="Y392" s="2" t="str">
        <x:v>ad210cd9ec132cfd447541c8984dc53d30aff0f4fb2dc92d254d49275cc55976</x:v>
      </x:c>
      <x:c r="Z392" s="2" t="n">
        <x:f>SUBTOTAL(103,A392)</x:f>
        <x:v>1</x:v>
      </x:c>
      <x:c r="AA392" s="2" t="str">
        <x:f>IF(K392&lt;&gt;"미종결 표시","대상 아님",IF(N392="","신청일 확인",IF(NOT(ISNUMBER('종합 현황'!$H$5)),"관찰기준 확인",IF('종합 현황'!$H$5&lt;1,"관찰기준 확인",IF(N392&gt;'종합 현황'!$H$5,"내부 관찰 대상","내부 관찰일 이하")))))</x:f>
        <x:v>대상 아님</x:v>
      </x:c>
      <x:c r="AB392" s="2"/>
    </x:row>
    <x:row r="393" ht="42" customHeight="1">
      <x:c r="A393" s="2" t="str">
        <x:v>9c8807823e00285c00e3f660</x:v>
      </x:c>
      <x:c r="B393" s="2" t="str">
        <x:v>사업 평가</x:v>
      </x:c>
      <x:c r="C393" s="2" t="str">
        <x:v>국내</x:v>
      </x:c>
      <x:c r="D393" s="7" t="str">
        <x:v>덕성 수원사업장의 B-A유에서 LNG로 연료전환을 통한 온실가스 배출 감축사업</x:v>
      </x:c>
      <x:c r="E393" s="2" t="str">
        <x:v>254</x:v>
      </x:c>
      <x:c r="F393" s="2" t="str">
        <x:v>2017-12-26</x:v>
      </x:c>
      <x:c r="G393" s="2" t="str">
        <x:v>2017</x:v>
      </x:c>
      <x:c r="H393" s="2" t="str">
        <x:v>12</x:v>
      </x:c>
      <x:c r="I393" s="2" t="str">
        <x:v>승인</x:v>
      </x:c>
      <x:c r="J393" s="2" t="str">
        <x:v>심의승인</x:v>
      </x:c>
      <x:c r="K393" s="2" t="str">
        <x:f>IF(OR(J393="심의승인",J393="반려",J393="반려완료",J393="심의완료"),"종결 표시",IF(OR(J393="기후부협의",J393="문서재제출요청",J393="보류",J393="보완요청",J393="보완완료",J393="평가중",J393="반려요청",J393="평가필요",LEFT(J393,5)="보완요청("),"미종결 표시","상태 확인 필요"))</x:f>
        <x:v>종결 표시</x:v>
      </x:c>
      <x:c r="L393" s="2"/>
      <x:c r="M393" s="2"/>
      <x:c r="N393" s="8" t="n">
        <x:f>DATE(2026,10,15)-DATE(2017,12,26)</x:f>
        <x:v>3215</x:v>
      </x:c>
      <x:c r="O393" s="2"/>
      <x:c r="P393" s="2"/>
      <x:c r="Q393" s="2" t="str">
        <x:v>산업전환_외부사업관리Tool_260707_이너젠 수정_LJY_261013.xlsx</x:v>
      </x:c>
      <x:c r="R393" s="2" t="str">
        <x:v>국내평가</x:v>
      </x:c>
      <x:c r="S393" s="8" t="n">
        <x:v>296</x:v>
      </x:c>
      <x:c r="T393" s="2"/>
      <x:c r="U393" s="2" t="str"/>
      <x:c r="V393" s="2" t="str">
        <x:v>2020-04-27</x:v>
      </x:c>
      <x:c r="W393" s="2" t="str">
        <x:v>담당기관 확인</x:v>
      </x:c>
      <x:c r="X393" s="2" t="str">
        <x:v>원본·배정 기록 확인</x:v>
      </x:c>
      <x:c r="Y393" s="2" t="str">
        <x:v>ad210cd9ec132cfd447541c8984dc53d30aff0f4fb2dc92d254d49275cc55976</x:v>
      </x:c>
      <x:c r="Z393" s="2" t="n">
        <x:f>SUBTOTAL(103,A393)</x:f>
        <x:v>1</x:v>
      </x:c>
      <x:c r="AA393" s="2" t="str">
        <x:f>IF(K393&lt;&gt;"미종결 표시","대상 아님",IF(N393="","신청일 확인",IF(NOT(ISNUMBER('종합 현황'!$H$5)),"관찰기준 확인",IF('종합 현황'!$H$5&lt;1,"관찰기준 확인",IF(N393&gt;'종합 현황'!$H$5,"내부 관찰 대상","내부 관찰일 이하")))))</x:f>
        <x:v>대상 아님</x:v>
      </x:c>
      <x:c r="AB393" s="2"/>
    </x:row>
    <x:row r="394" ht="42" customHeight="1">
      <x:c r="A394" s="2" t="str">
        <x:v>990a923cbc7bb529714f2567</x:v>
      </x:c>
      <x:c r="B394" s="2" t="str">
        <x:v>사업 평가</x:v>
      </x:c>
      <x:c r="C394" s="2" t="str">
        <x:v>국내</x:v>
      </x:c>
      <x:c r="D394" s="7" t="str">
        <x:v>외부감축사업 -RTO 고효율 설비 설치 감축 방법론</x:v>
      </x:c>
      <x:c r="E394" s="2" t="str">
        <x:v>255</x:v>
      </x:c>
      <x:c r="F394" s="2" t="str">
        <x:v>2017-12-29</x:v>
      </x:c>
      <x:c r="G394" s="2" t="str">
        <x:v>2017</x:v>
      </x:c>
      <x:c r="H394" s="2" t="str">
        <x:v>12</x:v>
      </x:c>
      <x:c r="I394" s="2" t="str">
        <x:v>반려</x:v>
      </x:c>
      <x:c r="J394" s="2" t="str">
        <x:v>반려</x:v>
      </x:c>
      <x:c r="K394" s="2" t="str">
        <x:f>IF(OR(J394="심의승인",J394="반려",J394="반려완료",J394="심의완료"),"종결 표시",IF(OR(J394="기후부협의",J394="문서재제출요청",J394="보류",J394="보완요청",J394="보완완료",J394="평가중",J394="반려요청",J394="평가필요",LEFT(J394,5)="보완요청("),"미종결 표시","상태 확인 필요"))</x:f>
        <x:v>종결 표시</x:v>
      </x:c>
      <x:c r="L394" s="2"/>
      <x:c r="M394" s="2"/>
      <x:c r="N394" s="8" t="n">
        <x:f>DATE(2026,10,15)-DATE(2017,12,29)</x:f>
        <x:v>3212</x:v>
      </x:c>
      <x:c r="O394" s="2"/>
      <x:c r="P394" s="2"/>
      <x:c r="Q394" s="2" t="str">
        <x:v>산업전환_외부사업관리Tool_260707_이너젠 수정_LJY_261013.xlsx</x:v>
      </x:c>
      <x:c r="R394" s="2" t="str">
        <x:v>국내평가</x:v>
      </x:c>
      <x:c r="S394" s="8" t="n">
        <x:v>297</x:v>
      </x:c>
      <x:c r="T394" s="2" t="str">
        <x:v>(6/17)</x:v>
      </x:c>
      <x:c r="U394" s="2" t="str">
        <x:v>2021 배정: (6/17)</x:v>
      </x:c>
      <x:c r="V394" s="2" t="str">
        <x:v>2021-06-16</x:v>
      </x:c>
      <x:c r="W394" s="2" t="str">
        <x:v>담당기관 확인</x:v>
      </x:c>
      <x:c r="X394" s="2" t="str">
        <x:v>원본·배정 기록 확인</x:v>
      </x:c>
      <x:c r="Y394" s="2" t="str">
        <x:v>ad210cd9ec132cfd447541c8984dc53d30aff0f4fb2dc92d254d49275cc55976</x:v>
      </x:c>
      <x:c r="Z394" s="2" t="n">
        <x:f>SUBTOTAL(103,A394)</x:f>
        <x:v>1</x:v>
      </x:c>
      <x:c r="AA394" s="2" t="str">
        <x:f>IF(K394&lt;&gt;"미종결 표시","대상 아님",IF(N394="","신청일 확인",IF(NOT(ISNUMBER('종합 현황'!$H$5)),"관찰기준 확인",IF('종합 현황'!$H$5&lt;1,"관찰기준 확인",IF(N394&gt;'종합 현황'!$H$5,"내부 관찰 대상","내부 관찰일 이하")))))</x:f>
        <x:v>대상 아님</x:v>
      </x:c>
      <x:c r="AB394" s="2"/>
    </x:row>
    <x:row r="395" ht="42" customHeight="1">
      <x:c r="A395" s="2" t="str">
        <x:v>da1a3397e78c20125f4ccabb</x:v>
      </x:c>
      <x:c r="B395" s="2" t="str">
        <x:v>사업 평가</x:v>
      </x:c>
      <x:c r="C395" s="2" t="str">
        <x:v>국내</x:v>
      </x:c>
      <x:c r="D395" s="7" t="str">
        <x:v>화인산업 사출기 일부교체(유압식에서 절전형)을 통한 온실가스 감축사업</x:v>
      </x:c>
      <x:c r="E395" s="2" t="str">
        <x:v>256</x:v>
      </x:c>
      <x:c r="F395" s="2" t="str">
        <x:v>2017-12-27</x:v>
      </x:c>
      <x:c r="G395" s="2" t="str">
        <x:v>2017</x:v>
      </x:c>
      <x:c r="H395" s="2" t="str">
        <x:v>12</x:v>
      </x:c>
      <x:c r="I395" s="2" t="str">
        <x:v>승인</x:v>
      </x:c>
      <x:c r="J395" s="2" t="str">
        <x:v>심의승인</x:v>
      </x:c>
      <x:c r="K395" s="2" t="str">
        <x:f>IF(OR(J395="심의승인",J395="반려",J395="반려완료",J395="심의완료"),"종결 표시",IF(OR(J395="기후부협의",J395="문서재제출요청",J395="보류",J395="보완요청",J395="보완완료",J395="평가중",J395="반려요청",J395="평가필요",LEFT(J395,5)="보완요청("),"미종결 표시","상태 확인 필요"))</x:f>
        <x:v>종결 표시</x:v>
      </x:c>
      <x:c r="L395" s="2"/>
      <x:c r="M395" s="2"/>
      <x:c r="N395" s="8" t="n">
        <x:f>DATE(2026,10,15)-DATE(2017,12,27)</x:f>
        <x:v>3214</x:v>
      </x:c>
      <x:c r="O395" s="2"/>
      <x:c r="P395" s="2"/>
      <x:c r="Q395" s="2" t="str">
        <x:v>산업전환_외부사업관리Tool_260707_이너젠 수정_LJY_261013.xlsx</x:v>
      </x:c>
      <x:c r="R395" s="2" t="str">
        <x:v>국내평가</x:v>
      </x:c>
      <x:c r="S395" s="8" t="n">
        <x:v>298</x:v>
      </x:c>
      <x:c r="T395" s="2"/>
      <x:c r="U395" s="2" t="str"/>
      <x:c r="V395" s="2" t="str">
        <x:v>2019-01-22</x:v>
      </x:c>
      <x:c r="W395" s="2" t="str">
        <x:v>담당기관 확인</x:v>
      </x:c>
      <x:c r="X395" s="2" t="str">
        <x:v>원본·배정 기록 확인</x:v>
      </x:c>
      <x:c r="Y395" s="2" t="str">
        <x:v>ad210cd9ec132cfd447541c8984dc53d30aff0f4fb2dc92d254d49275cc55976</x:v>
      </x:c>
      <x:c r="Z395" s="2" t="n">
        <x:f>SUBTOTAL(103,A395)</x:f>
        <x:v>1</x:v>
      </x:c>
      <x:c r="AA395" s="2" t="str">
        <x:f>IF(K395&lt;&gt;"미종결 표시","대상 아님",IF(N395="","신청일 확인",IF(NOT(ISNUMBER('종합 현황'!$H$5)),"관찰기준 확인",IF('종합 현황'!$H$5&lt;1,"관찰기준 확인",IF(N395&gt;'종합 현황'!$H$5,"내부 관찰 대상","내부 관찰일 이하")))))</x:f>
        <x:v>대상 아님</x:v>
      </x:c>
      <x:c r="AB395" s="2"/>
    </x:row>
    <x:row r="396" ht="42" customHeight="1">
      <x:c r="A396" s="2" t="str">
        <x:v>675ce78069221fa9de2c3229</x:v>
      </x:c>
      <x:c r="B396" s="2" t="str">
        <x:v>사업 평가</x:v>
      </x:c>
      <x:c r="C396" s="2" t="str">
        <x:v>국내</x:v>
      </x:c>
      <x:c r="D396" s="7" t="str">
        <x:v>기존 유압식 사출기 4대를 고효율 하이브리드형 사출기로 교체함으로 인한 온실가스 감축사업</x:v>
      </x:c>
      <x:c r="E396" s="2" t="str">
        <x:v>257</x:v>
      </x:c>
      <x:c r="F396" s="2" t="str">
        <x:v>2017-12-27</x:v>
      </x:c>
      <x:c r="G396" s="2" t="str">
        <x:v>2017</x:v>
      </x:c>
      <x:c r="H396" s="2" t="str">
        <x:v>12</x:v>
      </x:c>
      <x:c r="I396" s="2" t="str">
        <x:v>승인</x:v>
      </x:c>
      <x:c r="J396" s="2" t="str">
        <x:v>심의승인</x:v>
      </x:c>
      <x:c r="K396" s="2" t="str">
        <x:f>IF(OR(J396="심의승인",J396="반려",J396="반려완료",J396="심의완료"),"종결 표시",IF(OR(J396="기후부협의",J396="문서재제출요청",J396="보류",J396="보완요청",J396="보완완료",J396="평가중",J396="반려요청",J396="평가필요",LEFT(J396,5)="보완요청("),"미종결 표시","상태 확인 필요"))</x:f>
        <x:v>종결 표시</x:v>
      </x:c>
      <x:c r="L396" s="2"/>
      <x:c r="M396" s="2"/>
      <x:c r="N396" s="8" t="n">
        <x:f>DATE(2026,10,15)-DATE(2017,12,27)</x:f>
        <x:v>3214</x:v>
      </x:c>
      <x:c r="O396" s="2"/>
      <x:c r="P396" s="2"/>
      <x:c r="Q396" s="2" t="str">
        <x:v>산업전환_외부사업관리Tool_260707_이너젠 수정_LJY_261013.xlsx</x:v>
      </x:c>
      <x:c r="R396" s="2" t="str">
        <x:v>국내평가</x:v>
      </x:c>
      <x:c r="S396" s="8" t="n">
        <x:v>299</x:v>
      </x:c>
      <x:c r="T396" s="2"/>
      <x:c r="U396" s="2" t="str"/>
      <x:c r="V396" s="2" t="str">
        <x:v>2018-12-06</x:v>
      </x:c>
      <x:c r="W396" s="2" t="str">
        <x:v>담당기관 확인</x:v>
      </x:c>
      <x:c r="X396" s="2" t="str">
        <x:v>원본·배정 기록 확인</x:v>
      </x:c>
      <x:c r="Y396" s="2" t="str">
        <x:v>ad210cd9ec132cfd447541c8984dc53d30aff0f4fb2dc92d254d49275cc55976</x:v>
      </x:c>
      <x:c r="Z396" s="2" t="n">
        <x:f>SUBTOTAL(103,A396)</x:f>
        <x:v>1</x:v>
      </x:c>
      <x:c r="AA396" s="2" t="str">
        <x:f>IF(K396&lt;&gt;"미종결 표시","대상 아님",IF(N396="","신청일 확인",IF(NOT(ISNUMBER('종합 현황'!$H$5)),"관찰기준 확인",IF('종합 현황'!$H$5&lt;1,"관찰기준 확인",IF(N396&gt;'종합 현황'!$H$5,"내부 관찰 대상","내부 관찰일 이하")))))</x:f>
        <x:v>대상 아님</x:v>
      </x:c>
      <x:c r="AB396" s="2"/>
    </x:row>
    <x:row r="397" ht="42" customHeight="1">
      <x:c r="A397" s="2" t="str">
        <x:v>d49ae62f148a523bb82627a2</x:v>
      </x:c>
      <x:c r="B397" s="2" t="str">
        <x:v>사업 평가</x:v>
      </x:c>
      <x:c r="C397" s="2" t="str">
        <x:v>국내</x:v>
      </x:c>
      <x:c r="D397" s="7" t="str">
        <x:v>현보하이텍의 하이브리드형 사출기 설치하여 설비 성능 개선을 통한 온실가스 감축사업</x:v>
      </x:c>
      <x:c r="E397" s="2" t="str">
        <x:v>258</x:v>
      </x:c>
      <x:c r="F397" s="2" t="str">
        <x:v>2017-12-27</x:v>
      </x:c>
      <x:c r="G397" s="2" t="str">
        <x:v>2017</x:v>
      </x:c>
      <x:c r="H397" s="2" t="str">
        <x:v>12</x:v>
      </x:c>
      <x:c r="I397" s="2" t="str">
        <x:v>승인</x:v>
      </x:c>
      <x:c r="J397" s="2" t="str">
        <x:v>심의승인</x:v>
      </x:c>
      <x:c r="K397" s="2" t="str">
        <x:f>IF(OR(J397="심의승인",J397="반려",J397="반려완료",J397="심의완료"),"종결 표시",IF(OR(J397="기후부협의",J397="문서재제출요청",J397="보류",J397="보완요청",J397="보완완료",J397="평가중",J397="반려요청",J397="평가필요",LEFT(J397,5)="보완요청("),"미종결 표시","상태 확인 필요"))</x:f>
        <x:v>종결 표시</x:v>
      </x:c>
      <x:c r="L397" s="2"/>
      <x:c r="M397" s="2"/>
      <x:c r="N397" s="8" t="n">
        <x:f>DATE(2026,10,15)-DATE(2017,12,27)</x:f>
        <x:v>3214</x:v>
      </x:c>
      <x:c r="O397" s="2"/>
      <x:c r="P397" s="2"/>
      <x:c r="Q397" s="2" t="str">
        <x:v>산업전환_외부사업관리Tool_260707_이너젠 수정_LJY_261013.xlsx</x:v>
      </x:c>
      <x:c r="R397" s="2" t="str">
        <x:v>국내평가</x:v>
      </x:c>
      <x:c r="S397" s="8" t="n">
        <x:v>300</x:v>
      </x:c>
      <x:c r="T397" s="2"/>
      <x:c r="U397" s="2" t="str"/>
      <x:c r="V397" s="2" t="str">
        <x:v>2018-12-06</x:v>
      </x:c>
      <x:c r="W397" s="2" t="str">
        <x:v>담당기관 확인</x:v>
      </x:c>
      <x:c r="X397" s="2" t="str">
        <x:v>원본·배정 기록 확인</x:v>
      </x:c>
      <x:c r="Y397" s="2" t="str">
        <x:v>ad210cd9ec132cfd447541c8984dc53d30aff0f4fb2dc92d254d49275cc55976</x:v>
      </x:c>
      <x:c r="Z397" s="2" t="n">
        <x:f>SUBTOTAL(103,A397)</x:f>
        <x:v>1</x:v>
      </x:c>
      <x:c r="AA397" s="2" t="str">
        <x:f>IF(K397&lt;&gt;"미종결 표시","대상 아님",IF(N397="","신청일 확인",IF(NOT(ISNUMBER('종합 현황'!$H$5)),"관찰기준 확인",IF('종합 현황'!$H$5&lt;1,"관찰기준 확인",IF(N397&gt;'종합 현황'!$H$5,"내부 관찰 대상","내부 관찰일 이하")))))</x:f>
        <x:v>대상 아님</x:v>
      </x:c>
      <x:c r="AB397" s="2"/>
    </x:row>
    <x:row r="398" ht="42" customHeight="1">
      <x:c r="A398" s="2" t="str">
        <x:v>2ddea8417da58b327a365933</x:v>
      </x:c>
      <x:c r="B398" s="2" t="str">
        <x:v>사업 평가</x:v>
      </x:c>
      <x:c r="C398" s="2" t="str">
        <x:v>국내</x:v>
      </x:c>
      <x:c r="D398" s="7" t="str">
        <x:v>한탈L&amp;C의 보일러 연료 교체(LPG-&amp;gt목재펠릿)을 통한 온실가스 감축사업</x:v>
      </x:c>
      <x:c r="E398" s="2" t="str">
        <x:v>259</x:v>
      </x:c>
      <x:c r="F398" s="2" t="str">
        <x:v>2017-12-27</x:v>
      </x:c>
      <x:c r="G398" s="2" t="str">
        <x:v>2017</x:v>
      </x:c>
      <x:c r="H398" s="2" t="str">
        <x:v>12</x:v>
      </x:c>
      <x:c r="I398" s="2" t="str">
        <x:v>승인</x:v>
      </x:c>
      <x:c r="J398" s="2" t="str">
        <x:v>심의승인</x:v>
      </x:c>
      <x:c r="K398" s="2" t="str">
        <x:f>IF(OR(J398="심의승인",J398="반려",J398="반려완료",J398="심의완료"),"종결 표시",IF(OR(J398="기후부협의",J398="문서재제출요청",J398="보류",J398="보완요청",J398="보완완료",J398="평가중",J398="반려요청",J398="평가필요",LEFT(J398,5)="보완요청("),"미종결 표시","상태 확인 필요"))</x:f>
        <x:v>종결 표시</x:v>
      </x:c>
      <x:c r="L398" s="2"/>
      <x:c r="M398" s="2"/>
      <x:c r="N398" s="8" t="n">
        <x:f>DATE(2026,10,15)-DATE(2017,12,27)</x:f>
        <x:v>3214</x:v>
      </x:c>
      <x:c r="O398" s="2"/>
      <x:c r="P398" s="2"/>
      <x:c r="Q398" s="2" t="str">
        <x:v>산업전환_외부사업관리Tool_260707_이너젠 수정_LJY_261013.xlsx</x:v>
      </x:c>
      <x:c r="R398" s="2" t="str">
        <x:v>국내평가</x:v>
      </x:c>
      <x:c r="S398" s="8" t="n">
        <x:v>301</x:v>
      </x:c>
      <x:c r="T398" s="2"/>
      <x:c r="U398" s="2" t="str"/>
      <x:c r="V398" s="2" t="str">
        <x:v>2018-12-06</x:v>
      </x:c>
      <x:c r="W398" s="2" t="str">
        <x:v>담당기관 확인</x:v>
      </x:c>
      <x:c r="X398" s="2" t="str">
        <x:v>원본·배정 기록 확인</x:v>
      </x:c>
      <x:c r="Y398" s="2" t="str">
        <x:v>ad210cd9ec132cfd447541c8984dc53d30aff0f4fb2dc92d254d49275cc55976</x:v>
      </x:c>
      <x:c r="Z398" s="2" t="n">
        <x:f>SUBTOTAL(103,A398)</x:f>
        <x:v>1</x:v>
      </x:c>
      <x:c r="AA398" s="2" t="str">
        <x:f>IF(K398&lt;&gt;"미종결 표시","대상 아님",IF(N398="","신청일 확인",IF(NOT(ISNUMBER('종합 현황'!$H$5)),"관찰기준 확인",IF('종합 현황'!$H$5&lt;1,"관찰기준 확인",IF(N398&gt;'종합 현황'!$H$5,"내부 관찰 대상","내부 관찰일 이하")))))</x:f>
        <x:v>대상 아님</x:v>
      </x:c>
      <x:c r="AB398" s="2"/>
    </x:row>
    <x:row r="399" ht="42" customHeight="1">
      <x:c r="A399" s="2" t="str">
        <x:v>f318c85c77e4ae84b513dcb6</x:v>
      </x:c>
      <x:c r="B399" s="2" t="str">
        <x:v>사업 평가</x:v>
      </x:c>
      <x:c r="C399" s="2" t="str">
        <x:v>국내</x:v>
      </x:c>
      <x:c r="D399" s="7" t="str">
        <x:v>한국유에스지보랄 소성공정 연료전환(B-C유에서 LNG)을 통한 온실가스 감축사업</x:v>
      </x:c>
      <x:c r="E399" s="2" t="str">
        <x:v>260</x:v>
      </x:c>
      <x:c r="F399" s="2" t="str">
        <x:v>2017-12-27</x:v>
      </x:c>
      <x:c r="G399" s="2" t="str">
        <x:v>2017</x:v>
      </x:c>
      <x:c r="H399" s="2" t="str">
        <x:v>12</x:v>
      </x:c>
      <x:c r="I399" s="2" t="str">
        <x:v>승인</x:v>
      </x:c>
      <x:c r="J399" s="2" t="str">
        <x:v>심의승인</x:v>
      </x:c>
      <x:c r="K399" s="2" t="str">
        <x:f>IF(OR(J399="심의승인",J399="반려",J399="반려완료",J399="심의완료"),"종결 표시",IF(OR(J399="기후부협의",J399="문서재제출요청",J399="보류",J399="보완요청",J399="보완완료",J399="평가중",J399="반려요청",J399="평가필요",LEFT(J399,5)="보완요청("),"미종결 표시","상태 확인 필요"))</x:f>
        <x:v>종결 표시</x:v>
      </x:c>
      <x:c r="L399" s="2"/>
      <x:c r="M399" s="2"/>
      <x:c r="N399" s="8" t="n">
        <x:f>DATE(2026,10,15)-DATE(2017,12,27)</x:f>
        <x:v>3214</x:v>
      </x:c>
      <x:c r="O399" s="2"/>
      <x:c r="P399" s="2"/>
      <x:c r="Q399" s="2" t="str">
        <x:v>산업전환_외부사업관리Tool_260707_이너젠 수정_LJY_261013.xlsx</x:v>
      </x:c>
      <x:c r="R399" s="2" t="str">
        <x:v>국내평가</x:v>
      </x:c>
      <x:c r="S399" s="8" t="n">
        <x:v>302</x:v>
      </x:c>
      <x:c r="T399" s="2"/>
      <x:c r="U399" s="2" t="str"/>
      <x:c r="V399" s="2" t="str">
        <x:v>2019-02-11</x:v>
      </x:c>
      <x:c r="W399" s="2" t="str">
        <x:v>담당기관 확인</x:v>
      </x:c>
      <x:c r="X399" s="2" t="str">
        <x:v>원본·배정 기록 확인</x:v>
      </x:c>
      <x:c r="Y399" s="2" t="str">
        <x:v>ad210cd9ec132cfd447541c8984dc53d30aff0f4fb2dc92d254d49275cc55976</x:v>
      </x:c>
      <x:c r="Z399" s="2" t="n">
        <x:f>SUBTOTAL(103,A399)</x:f>
        <x:v>1</x:v>
      </x:c>
      <x:c r="AA399" s="2" t="str">
        <x:f>IF(K399&lt;&gt;"미종결 표시","대상 아님",IF(N399="","신청일 확인",IF(NOT(ISNUMBER('종합 현황'!$H$5)),"관찰기준 확인",IF('종합 현황'!$H$5&lt;1,"관찰기준 확인",IF(N399&gt;'종합 현황'!$H$5,"내부 관찰 대상","내부 관찰일 이하")))))</x:f>
        <x:v>대상 아님</x:v>
      </x:c>
      <x:c r="AB399" s="2"/>
    </x:row>
    <x:row r="400" ht="42" customHeight="1">
      <x:c r="A400" s="2" t="str">
        <x:v>55c56f684b57aacf0bb4d25a</x:v>
      </x:c>
      <x:c r="B400" s="2" t="str">
        <x:v>사업 평가</x:v>
      </x:c>
      <x:c r="C400" s="2" t="str">
        <x:v>국내</x:v>
      </x:c>
      <x:c r="D400" s="7" t="str">
        <x:v>㈜태형기업 화성 공장 아스콘 생산 시 연료 B-C유에서 LNG로의 연료전환을 통한 온실가스 감축사업</x:v>
      </x:c>
      <x:c r="E400" s="2" t="str">
        <x:v>261</x:v>
      </x:c>
      <x:c r="F400" s="2" t="str">
        <x:v>2017-12-27</x:v>
      </x:c>
      <x:c r="G400" s="2" t="str">
        <x:v>2017</x:v>
      </x:c>
      <x:c r="H400" s="2" t="str">
        <x:v>12</x:v>
      </x:c>
      <x:c r="I400" s="2" t="str">
        <x:v>승인</x:v>
      </x:c>
      <x:c r="J400" s="2" t="str">
        <x:v>심의승인</x:v>
      </x:c>
      <x:c r="K400" s="2" t="str">
        <x:f>IF(OR(J400="심의승인",J400="반려",J400="반려완료",J400="심의완료"),"종결 표시",IF(OR(J400="기후부협의",J400="문서재제출요청",J400="보류",J400="보완요청",J400="보완완료",J400="평가중",J400="반려요청",J400="평가필요",LEFT(J400,5)="보완요청("),"미종결 표시","상태 확인 필요"))</x:f>
        <x:v>종결 표시</x:v>
      </x:c>
      <x:c r="L400" s="2"/>
      <x:c r="M400" s="2"/>
      <x:c r="N400" s="8" t="n">
        <x:f>DATE(2026,10,15)-DATE(2017,12,27)</x:f>
        <x:v>3214</x:v>
      </x:c>
      <x:c r="O400" s="2"/>
      <x:c r="P400" s="2"/>
      <x:c r="Q400" s="2" t="str">
        <x:v>산업전환_외부사업관리Tool_260707_이너젠 수정_LJY_261013.xlsx</x:v>
      </x:c>
      <x:c r="R400" s="2" t="str">
        <x:v>국내평가</x:v>
      </x:c>
      <x:c r="S400" s="8" t="n">
        <x:v>303</x:v>
      </x:c>
      <x:c r="T400" s="2"/>
      <x:c r="U400" s="2" t="str"/>
      <x:c r="V400" s="2" t="str">
        <x:v>2018-12-12</x:v>
      </x:c>
      <x:c r="W400" s="2" t="str">
        <x:v>담당기관 확인</x:v>
      </x:c>
      <x:c r="X400" s="2" t="str">
        <x:v>원본·배정 기록 확인</x:v>
      </x:c>
      <x:c r="Y400" s="2" t="str">
        <x:v>ad210cd9ec132cfd447541c8984dc53d30aff0f4fb2dc92d254d49275cc55976</x:v>
      </x:c>
      <x:c r="Z400" s="2" t="n">
        <x:f>SUBTOTAL(103,A400)</x:f>
        <x:v>1</x:v>
      </x:c>
      <x:c r="AA400" s="2" t="str">
        <x:f>IF(K400&lt;&gt;"미종결 표시","대상 아님",IF(N400="","신청일 확인",IF(NOT(ISNUMBER('종합 현황'!$H$5)),"관찰기준 확인",IF('종합 현황'!$H$5&lt;1,"관찰기준 확인",IF(N400&gt;'종합 현황'!$H$5,"내부 관찰 대상","내부 관찰일 이하")))))</x:f>
        <x:v>대상 아님</x:v>
      </x:c>
      <x:c r="AB400" s="2"/>
    </x:row>
    <x:row r="401" ht="42" customHeight="1">
      <x:c r="A401" s="2" t="str">
        <x:v>69dff537b998fc81932efa3a</x:v>
      </x:c>
      <x:c r="B401" s="2" t="str">
        <x:v>사업 평가</x:v>
      </x:c>
      <x:c r="C401" s="2" t="str">
        <x:v>국내</x:v>
      </x:c>
      <x:c r="D401" s="7" t="str">
        <x:v>창명의 절전형 사출 성형기 일부 교체를 통한 설비 성능 개선 온실가스 감축사업</x:v>
      </x:c>
      <x:c r="E401" s="2" t="str">
        <x:v>262</x:v>
      </x:c>
      <x:c r="F401" s="2" t="str">
        <x:v>2017-12-27</x:v>
      </x:c>
      <x:c r="G401" s="2" t="str">
        <x:v>2017</x:v>
      </x:c>
      <x:c r="H401" s="2" t="str">
        <x:v>12</x:v>
      </x:c>
      <x:c r="I401" s="2" t="str">
        <x:v>승인</x:v>
      </x:c>
      <x:c r="J401" s="2" t="str">
        <x:v>심의승인</x:v>
      </x:c>
      <x:c r="K401" s="2" t="str">
        <x:f>IF(OR(J401="심의승인",J401="반려",J401="반려완료",J401="심의완료"),"종결 표시",IF(OR(J401="기후부협의",J401="문서재제출요청",J401="보류",J401="보완요청",J401="보완완료",J401="평가중",J401="반려요청",J401="평가필요",LEFT(J401,5)="보완요청("),"미종결 표시","상태 확인 필요"))</x:f>
        <x:v>종결 표시</x:v>
      </x:c>
      <x:c r="L401" s="2"/>
      <x:c r="M401" s="2"/>
      <x:c r="N401" s="8" t="n">
        <x:f>DATE(2026,10,15)-DATE(2017,12,27)</x:f>
        <x:v>3214</x:v>
      </x:c>
      <x:c r="O401" s="2"/>
      <x:c r="P401" s="2"/>
      <x:c r="Q401" s="2" t="str">
        <x:v>산업전환_외부사업관리Tool_260707_이너젠 수정_LJY_261013.xlsx</x:v>
      </x:c>
      <x:c r="R401" s="2" t="str">
        <x:v>국내평가</x:v>
      </x:c>
      <x:c r="S401" s="8" t="n">
        <x:v>304</x:v>
      </x:c>
      <x:c r="T401" s="2"/>
      <x:c r="U401" s="2" t="str"/>
      <x:c r="V401" s="2" t="str">
        <x:v>2018-12-12</x:v>
      </x:c>
      <x:c r="W401" s="2" t="str">
        <x:v>담당기관 확인</x:v>
      </x:c>
      <x:c r="X401" s="2" t="str">
        <x:v>원본·배정 기록 확인</x:v>
      </x:c>
      <x:c r="Y401" s="2" t="str">
        <x:v>ad210cd9ec132cfd447541c8984dc53d30aff0f4fb2dc92d254d49275cc55976</x:v>
      </x:c>
      <x:c r="Z401" s="2" t="n">
        <x:f>SUBTOTAL(103,A401)</x:f>
        <x:v>1</x:v>
      </x:c>
      <x:c r="AA401" s="2" t="str">
        <x:f>IF(K401&lt;&gt;"미종결 표시","대상 아님",IF(N401="","신청일 확인",IF(NOT(ISNUMBER('종합 현황'!$H$5)),"관찰기준 확인",IF('종합 현황'!$H$5&lt;1,"관찰기준 확인",IF(N401&gt;'종합 현황'!$H$5,"내부 관찰 대상","내부 관찰일 이하")))))</x:f>
        <x:v>대상 아님</x:v>
      </x:c>
      <x:c r="AB401" s="2"/>
    </x:row>
    <x:row r="402" ht="42" customHeight="1">
      <x:c r="A402" s="2" t="str">
        <x:v>f8f79ea09737a85e9b1d698c</x:v>
      </x:c>
      <x:c r="B402" s="2" t="str">
        <x:v>사업 평가</x:v>
      </x:c>
      <x:c r="C402" s="2" t="str">
        <x:v>국내</x:v>
      </x:c>
      <x:c r="D402" s="7" t="str">
        <x:v>중앙아스콘(주) 버너연료를 B-C유 에서 LNG로 연료 전환 하는 온실가스 감축사업</x:v>
      </x:c>
      <x:c r="E402" s="2" t="str">
        <x:v>263</x:v>
      </x:c>
      <x:c r="F402" s="2" t="str">
        <x:v>2017-12-27</x:v>
      </x:c>
      <x:c r="G402" s="2" t="str">
        <x:v>2017</x:v>
      </x:c>
      <x:c r="H402" s="2" t="str">
        <x:v>12</x:v>
      </x:c>
      <x:c r="I402" s="2" t="str">
        <x:v>승인</x:v>
      </x:c>
      <x:c r="J402" s="2" t="str">
        <x:v>심의승인</x:v>
      </x:c>
      <x:c r="K402" s="2" t="str">
        <x:f>IF(OR(J402="심의승인",J402="반려",J402="반려완료",J402="심의완료"),"종결 표시",IF(OR(J402="기후부협의",J402="문서재제출요청",J402="보류",J402="보완요청",J402="보완완료",J402="평가중",J402="반려요청",J402="평가필요",LEFT(J402,5)="보완요청("),"미종결 표시","상태 확인 필요"))</x:f>
        <x:v>종결 표시</x:v>
      </x:c>
      <x:c r="L402" s="2"/>
      <x:c r="M402" s="2"/>
      <x:c r="N402" s="8" t="n">
        <x:f>DATE(2026,10,15)-DATE(2017,12,27)</x:f>
        <x:v>3214</x:v>
      </x:c>
      <x:c r="O402" s="2"/>
      <x:c r="P402" s="2"/>
      <x:c r="Q402" s="2" t="str">
        <x:v>산업전환_외부사업관리Tool_260707_이너젠 수정_LJY_261013.xlsx</x:v>
      </x:c>
      <x:c r="R402" s="2" t="str">
        <x:v>국내평가</x:v>
      </x:c>
      <x:c r="S402" s="8" t="n">
        <x:v>305</x:v>
      </x:c>
      <x:c r="T402" s="2"/>
      <x:c r="U402" s="2" t="str"/>
      <x:c r="V402" s="2" t="str">
        <x:v>2018-12-12</x:v>
      </x:c>
      <x:c r="W402" s="2" t="str">
        <x:v>담당기관 확인</x:v>
      </x:c>
      <x:c r="X402" s="2" t="str">
        <x:v>원본·배정 기록 확인</x:v>
      </x:c>
      <x:c r="Y402" s="2" t="str">
        <x:v>ad210cd9ec132cfd447541c8984dc53d30aff0f4fb2dc92d254d49275cc55976</x:v>
      </x:c>
      <x:c r="Z402" s="2" t="n">
        <x:f>SUBTOTAL(103,A402)</x:f>
        <x:v>1</x:v>
      </x:c>
      <x:c r="AA402" s="2" t="str">
        <x:f>IF(K402&lt;&gt;"미종결 표시","대상 아님",IF(N402="","신청일 확인",IF(NOT(ISNUMBER('종합 현황'!$H$5)),"관찰기준 확인",IF('종합 현황'!$H$5&lt;1,"관찰기준 확인",IF(N402&gt;'종합 현황'!$H$5,"내부 관찰 대상","내부 관찰일 이하")))))</x:f>
        <x:v>대상 아님</x:v>
      </x:c>
      <x:c r="AB402" s="2"/>
    </x:row>
    <x:row r="403" ht="42" customHeight="1">
      <x:c r="A403" s="2" t="str">
        <x:v>b41e6ccb590296da6204fdee</x:v>
      </x:c>
      <x:c r="B403" s="2" t="str">
        <x:v>사업 평가</x:v>
      </x:c>
      <x:c r="C403" s="2" t="str">
        <x:v>국내</x:v>
      </x:c>
      <x:c r="D403" s="7" t="str">
        <x:v>신성금속 용해로 버너교체(정제유버너-&gt;순산소-LNG 버너)에 따른 설비 성능개선 및 연료전환을 통한 온실가스 감축사업</x:v>
      </x:c>
      <x:c r="E403" s="2" t="str">
        <x:v>264</x:v>
      </x:c>
      <x:c r="F403" s="2" t="str">
        <x:v>2017-12-27</x:v>
      </x:c>
      <x:c r="G403" s="2" t="str">
        <x:v>2017</x:v>
      </x:c>
      <x:c r="H403" s="2" t="str">
        <x:v>12</x:v>
      </x:c>
      <x:c r="I403" s="2" t="str">
        <x:v>승인</x:v>
      </x:c>
      <x:c r="J403" s="2" t="str">
        <x:v>심의승인</x:v>
      </x:c>
      <x:c r="K403" s="2" t="str">
        <x:f>IF(OR(J403="심의승인",J403="반려",J403="반려완료",J403="심의완료"),"종결 표시",IF(OR(J403="기후부협의",J403="문서재제출요청",J403="보류",J403="보완요청",J403="보완완료",J403="평가중",J403="반려요청",J403="평가필요",LEFT(J403,5)="보완요청("),"미종결 표시","상태 확인 필요"))</x:f>
        <x:v>종결 표시</x:v>
      </x:c>
      <x:c r="L403" s="2"/>
      <x:c r="M403" s="2"/>
      <x:c r="N403" s="8" t="n">
        <x:f>DATE(2026,10,15)-DATE(2017,12,27)</x:f>
        <x:v>3214</x:v>
      </x:c>
      <x:c r="O403" s="2"/>
      <x:c r="P403" s="2"/>
      <x:c r="Q403" s="2" t="str">
        <x:v>산업전환_외부사업관리Tool_260707_이너젠 수정_LJY_261013.xlsx</x:v>
      </x:c>
      <x:c r="R403" s="2" t="str">
        <x:v>국내평가</x:v>
      </x:c>
      <x:c r="S403" s="8" t="n">
        <x:v>306</x:v>
      </x:c>
      <x:c r="T403" s="2"/>
      <x:c r="U403" s="2" t="str"/>
      <x:c r="V403" s="2" t="str">
        <x:v>2018-12-12</x:v>
      </x:c>
      <x:c r="W403" s="2" t="str">
        <x:v>담당기관 확인</x:v>
      </x:c>
      <x:c r="X403" s="2" t="str">
        <x:v>원본·배정 기록 확인</x:v>
      </x:c>
      <x:c r="Y403" s="2" t="str">
        <x:v>ad210cd9ec132cfd447541c8984dc53d30aff0f4fb2dc92d254d49275cc55976</x:v>
      </x:c>
      <x:c r="Z403" s="2" t="n">
        <x:f>SUBTOTAL(103,A403)</x:f>
        <x:v>1</x:v>
      </x:c>
      <x:c r="AA403" s="2" t="str">
        <x:f>IF(K403&lt;&gt;"미종결 표시","대상 아님",IF(N403="","신청일 확인",IF(NOT(ISNUMBER('종합 현황'!$H$5)),"관찰기준 확인",IF('종합 현황'!$H$5&lt;1,"관찰기준 확인",IF(N403&gt;'종합 현황'!$H$5,"내부 관찰 대상","내부 관찰일 이하")))))</x:f>
        <x:v>대상 아님</x:v>
      </x:c>
      <x:c r="AB403" s="2"/>
    </x:row>
    <x:row r="404" ht="42" customHeight="1">
      <x:c r="A404" s="2" t="str">
        <x:v>424d01b94670864331d3f926</x:v>
      </x:c>
      <x:c r="B404" s="2" t="str">
        <x:v>사업 평가</x:v>
      </x:c>
      <x:c r="C404" s="2" t="str">
        <x:v>국내</x:v>
      </x:c>
      <x:c r="D404" s="7" t="str">
        <x:v>정암산업 버너 교체를 통한 연료전환 사업 (콘크리트 파일 생산)</x:v>
      </x:c>
      <x:c r="E404" s="2" t="str">
        <x:v>265</x:v>
      </x:c>
      <x:c r="F404" s="2" t="str">
        <x:v>2017-12-27</x:v>
      </x:c>
      <x:c r="G404" s="2" t="str">
        <x:v>2017</x:v>
      </x:c>
      <x:c r="H404" s="2" t="str">
        <x:v>12</x:v>
      </x:c>
      <x:c r="I404" s="2" t="str">
        <x:v>승인</x:v>
      </x:c>
      <x:c r="J404" s="2" t="str">
        <x:v>심의승인</x:v>
      </x:c>
      <x:c r="K404" s="2" t="str">
        <x:f>IF(OR(J404="심의승인",J404="반려",J404="반려완료",J404="심의완료"),"종결 표시",IF(OR(J404="기후부협의",J404="문서재제출요청",J404="보류",J404="보완요청",J404="보완완료",J404="평가중",J404="반려요청",J404="평가필요",LEFT(J404,5)="보완요청("),"미종결 표시","상태 확인 필요"))</x:f>
        <x:v>종결 표시</x:v>
      </x:c>
      <x:c r="L404" s="2"/>
      <x:c r="M404" s="2"/>
      <x:c r="N404" s="8" t="n">
        <x:f>DATE(2026,10,15)-DATE(2017,12,27)</x:f>
        <x:v>3214</x:v>
      </x:c>
      <x:c r="O404" s="2"/>
      <x:c r="P404" s="2"/>
      <x:c r="Q404" s="2" t="str">
        <x:v>산업전환_외부사업관리Tool_260707_이너젠 수정_LJY_261013.xlsx</x:v>
      </x:c>
      <x:c r="R404" s="2" t="str">
        <x:v>국내평가</x:v>
      </x:c>
      <x:c r="S404" s="8" t="n">
        <x:v>307</x:v>
      </x:c>
      <x:c r="T404" s="2"/>
      <x:c r="U404" s="2" t="str"/>
      <x:c r="V404" s="2" t="str">
        <x:v>2019-12-16</x:v>
      </x:c>
      <x:c r="W404" s="2" t="str">
        <x:v>담당기관 확인</x:v>
      </x:c>
      <x:c r="X404" s="2" t="str">
        <x:v>원본·배정 기록 확인</x:v>
      </x:c>
      <x:c r="Y404" s="2" t="str">
        <x:v>ad210cd9ec132cfd447541c8984dc53d30aff0f4fb2dc92d254d49275cc55976</x:v>
      </x:c>
      <x:c r="Z404" s="2" t="n">
        <x:f>SUBTOTAL(103,A404)</x:f>
        <x:v>1</x:v>
      </x:c>
      <x:c r="AA404" s="2" t="str">
        <x:f>IF(K404&lt;&gt;"미종결 표시","대상 아님",IF(N404="","신청일 확인",IF(NOT(ISNUMBER('종합 현황'!$H$5)),"관찰기준 확인",IF('종합 현황'!$H$5&lt;1,"관찰기준 확인",IF(N404&gt;'종합 현황'!$H$5,"내부 관찰 대상","내부 관찰일 이하")))))</x:f>
        <x:v>대상 아님</x:v>
      </x:c>
      <x:c r="AB404" s="2"/>
    </x:row>
    <x:row r="405" ht="42" customHeight="1">
      <x:c r="A405" s="2" t="str">
        <x:v>3f4c7a7465d62545fcc2bbec</x:v>
      </x:c>
      <x:c r="B405" s="2" t="str">
        <x:v>사업 평가</x:v>
      </x:c>
      <x:c r="C405" s="2" t="str">
        <x:v>국내</x:v>
      </x:c>
      <x:c r="D405" s="7" t="str">
        <x:v>정암산업 버너 교체를 통한 연료전환 사업 (아스콘 생산)</x:v>
      </x:c>
      <x:c r="E405" s="2" t="str">
        <x:v>266</x:v>
      </x:c>
      <x:c r="F405" s="2" t="str">
        <x:v>2017-12-27</x:v>
      </x:c>
      <x:c r="G405" s="2" t="str">
        <x:v>2017</x:v>
      </x:c>
      <x:c r="H405" s="2" t="str">
        <x:v>12</x:v>
      </x:c>
      <x:c r="I405" s="2" t="str">
        <x:v>승인</x:v>
      </x:c>
      <x:c r="J405" s="2" t="str">
        <x:v>심의승인</x:v>
      </x:c>
      <x:c r="K405" s="2" t="str">
        <x:f>IF(OR(J405="심의승인",J405="반려",J405="반려완료",J405="심의완료"),"종결 표시",IF(OR(J405="기후부협의",J405="문서재제출요청",J405="보류",J405="보완요청",J405="보완완료",J405="평가중",J405="반려요청",J405="평가필요",LEFT(J405,5)="보완요청("),"미종결 표시","상태 확인 필요"))</x:f>
        <x:v>종결 표시</x:v>
      </x:c>
      <x:c r="L405" s="2"/>
      <x:c r="M405" s="2"/>
      <x:c r="N405" s="8" t="n">
        <x:f>DATE(2026,10,15)-DATE(2017,12,27)</x:f>
        <x:v>3214</x:v>
      </x:c>
      <x:c r="O405" s="2"/>
      <x:c r="P405" s="2"/>
      <x:c r="Q405" s="2" t="str">
        <x:v>산업전환_외부사업관리Tool_260707_이너젠 수정_LJY_261013.xlsx</x:v>
      </x:c>
      <x:c r="R405" s="2" t="str">
        <x:v>국내평가</x:v>
      </x:c>
      <x:c r="S405" s="8" t="n">
        <x:v>308</x:v>
      </x:c>
      <x:c r="T405" s="2"/>
      <x:c r="U405" s="2" t="str"/>
      <x:c r="V405" s="2" t="str">
        <x:v>2019-06-17</x:v>
      </x:c>
      <x:c r="W405" s="2" t="str">
        <x:v>담당기관 확인</x:v>
      </x:c>
      <x:c r="X405" s="2" t="str">
        <x:v>원본·배정 기록 확인</x:v>
      </x:c>
      <x:c r="Y405" s="2" t="str">
        <x:v>ad210cd9ec132cfd447541c8984dc53d30aff0f4fb2dc92d254d49275cc55976</x:v>
      </x:c>
      <x:c r="Z405" s="2" t="n">
        <x:f>SUBTOTAL(103,A405)</x:f>
        <x:v>1</x:v>
      </x:c>
      <x:c r="AA405" s="2" t="str">
        <x:f>IF(K405&lt;&gt;"미종결 표시","대상 아님",IF(N405="","신청일 확인",IF(NOT(ISNUMBER('종합 현황'!$H$5)),"관찰기준 확인",IF('종합 현황'!$H$5&lt;1,"관찰기준 확인",IF(N405&gt;'종합 현황'!$H$5,"내부 관찰 대상","내부 관찰일 이하")))))</x:f>
        <x:v>대상 아님</x:v>
      </x:c>
      <x:c r="AB405" s="2"/>
    </x:row>
    <x:row r="406" ht="42" customHeight="1">
      <x:c r="A406" s="2" t="str">
        <x:v>1b59c4d389a82293cbf13f39</x:v>
      </x:c>
      <x:c r="B406" s="2" t="str">
        <x:v>사업 평가</x:v>
      </x:c>
      <x:c r="C406" s="2" t="str">
        <x:v>국내</x:v>
      </x:c>
      <x:c r="D406" s="7" t="str">
        <x:v>일진아스콘 버너의 연료전환(B-C유 → LNG)을 통한 온실가스 감축사업</x:v>
      </x:c>
      <x:c r="E406" s="2" t="str">
        <x:v>267</x:v>
      </x:c>
      <x:c r="F406" s="2" t="str">
        <x:v>2017-12-27</x:v>
      </x:c>
      <x:c r="G406" s="2" t="str">
        <x:v>2017</x:v>
      </x:c>
      <x:c r="H406" s="2" t="str">
        <x:v>12</x:v>
      </x:c>
      <x:c r="I406" s="2" t="str">
        <x:v>승인</x:v>
      </x:c>
      <x:c r="J406" s="2" t="str">
        <x:v>심의승인</x:v>
      </x:c>
      <x:c r="K406" s="2" t="str">
        <x:f>IF(OR(J406="심의승인",J406="반려",J406="반려완료",J406="심의완료"),"종결 표시",IF(OR(J406="기후부협의",J406="문서재제출요청",J406="보류",J406="보완요청",J406="보완완료",J406="평가중",J406="반려요청",J406="평가필요",LEFT(J406,5)="보완요청("),"미종결 표시","상태 확인 필요"))</x:f>
        <x:v>종결 표시</x:v>
      </x:c>
      <x:c r="L406" s="2"/>
      <x:c r="M406" s="2"/>
      <x:c r="N406" s="8" t="n">
        <x:f>DATE(2026,10,15)-DATE(2017,12,27)</x:f>
        <x:v>3214</x:v>
      </x:c>
      <x:c r="O406" s="2"/>
      <x:c r="P406" s="2"/>
      <x:c r="Q406" s="2" t="str">
        <x:v>산업전환_외부사업관리Tool_260707_이너젠 수정_LJY_261013.xlsx</x:v>
      </x:c>
      <x:c r="R406" s="2" t="str">
        <x:v>국내평가</x:v>
      </x:c>
      <x:c r="S406" s="8" t="n">
        <x:v>309</x:v>
      </x:c>
      <x:c r="T406" s="2"/>
      <x:c r="U406" s="2" t="str"/>
      <x:c r="V406" s="2" t="str">
        <x:v>2018-12-05</x:v>
      </x:c>
      <x:c r="W406" s="2" t="str">
        <x:v>담당기관 확인</x:v>
      </x:c>
      <x:c r="X406" s="2" t="str">
        <x:v>원본·배정 기록 확인</x:v>
      </x:c>
      <x:c r="Y406" s="2" t="str">
        <x:v>ad210cd9ec132cfd447541c8984dc53d30aff0f4fb2dc92d254d49275cc55976</x:v>
      </x:c>
      <x:c r="Z406" s="2" t="n">
        <x:f>SUBTOTAL(103,A406)</x:f>
        <x:v>1</x:v>
      </x:c>
      <x:c r="AA406" s="2" t="str">
        <x:f>IF(K406&lt;&gt;"미종결 표시","대상 아님",IF(N406="","신청일 확인",IF(NOT(ISNUMBER('종합 현황'!$H$5)),"관찰기준 확인",IF('종합 현황'!$H$5&lt;1,"관찰기준 확인",IF(N406&gt;'종합 현황'!$H$5,"내부 관찰 대상","내부 관찰일 이하")))))</x:f>
        <x:v>대상 아님</x:v>
      </x:c>
      <x:c r="AB406" s="2"/>
    </x:row>
    <x:row r="407" ht="42" customHeight="1">
      <x:c r="A407" s="2" t="str">
        <x:v>a46db3445baeadb89a3e7b64</x:v>
      </x:c>
      <x:c r="B407" s="2" t="str">
        <x:v>사업 평가</x:v>
      </x:c>
      <x:c r="C407" s="2" t="str">
        <x:v>국내</x:v>
      </x:c>
      <x:c r="D407" s="7" t="str">
        <x:v>영진화학 김포공장 목재펠릿 연료 전환(B-C유, 경유-&gt;목재펠릿)을 통한 온실가스 감축사업</x:v>
      </x:c>
      <x:c r="E407" s="2" t="str">
        <x:v>268</x:v>
      </x:c>
      <x:c r="F407" s="2" t="str">
        <x:v>2017-12-27</x:v>
      </x:c>
      <x:c r="G407" s="2" t="str">
        <x:v>2017</x:v>
      </x:c>
      <x:c r="H407" s="2" t="str">
        <x:v>12</x:v>
      </x:c>
      <x:c r="I407" s="2" t="str">
        <x:v>승인</x:v>
      </x:c>
      <x:c r="J407" s="2" t="str">
        <x:v>심의승인</x:v>
      </x:c>
      <x:c r="K407" s="2" t="str">
        <x:f>IF(OR(J407="심의승인",J407="반려",J407="반려완료",J407="심의완료"),"종결 표시",IF(OR(J407="기후부협의",J407="문서재제출요청",J407="보류",J407="보완요청",J407="보완완료",J407="평가중",J407="반려요청",J407="평가필요",LEFT(J407,5)="보완요청("),"미종결 표시","상태 확인 필요"))</x:f>
        <x:v>종결 표시</x:v>
      </x:c>
      <x:c r="L407" s="2"/>
      <x:c r="M407" s="2"/>
      <x:c r="N407" s="8" t="n">
        <x:f>DATE(2026,10,15)-DATE(2017,12,27)</x:f>
        <x:v>3214</x:v>
      </x:c>
      <x:c r="O407" s="2"/>
      <x:c r="P407" s="2"/>
      <x:c r="Q407" s="2" t="str">
        <x:v>산업전환_외부사업관리Tool_260707_이너젠 수정_LJY_261013.xlsx</x:v>
      </x:c>
      <x:c r="R407" s="2" t="str">
        <x:v>국내평가</x:v>
      </x:c>
      <x:c r="S407" s="8" t="n">
        <x:v>310</x:v>
      </x:c>
      <x:c r="T407" s="2"/>
      <x:c r="U407" s="2" t="str"/>
      <x:c r="V407" s="2" t="str">
        <x:v>2018-12-05</x:v>
      </x:c>
      <x:c r="W407" s="2" t="str">
        <x:v>담당기관 확인</x:v>
      </x:c>
      <x:c r="X407" s="2" t="str">
        <x:v>원본·배정 기록 확인</x:v>
      </x:c>
      <x:c r="Y407" s="2" t="str">
        <x:v>ad210cd9ec132cfd447541c8984dc53d30aff0f4fb2dc92d254d49275cc55976</x:v>
      </x:c>
      <x:c r="Z407" s="2" t="n">
        <x:f>SUBTOTAL(103,A407)</x:f>
        <x:v>1</x:v>
      </x:c>
      <x:c r="AA407" s="2" t="str">
        <x:f>IF(K407&lt;&gt;"미종결 표시","대상 아님",IF(N407="","신청일 확인",IF(NOT(ISNUMBER('종합 현황'!$H$5)),"관찰기준 확인",IF('종합 현황'!$H$5&lt;1,"관찰기준 확인",IF(N407&gt;'종합 현황'!$H$5,"내부 관찰 대상","내부 관찰일 이하")))))</x:f>
        <x:v>대상 아님</x:v>
      </x:c>
      <x:c r="AB407" s="2"/>
    </x:row>
    <x:row r="408" ht="42" customHeight="1">
      <x:c r="A408" s="2" t="str">
        <x:v>cfd3f24f5d62622dc34e6358</x:v>
      </x:c>
      <x:c r="B408" s="2" t="str">
        <x:v>사업 평가</x:v>
      </x:c>
      <x:c r="C408" s="2" t="str">
        <x:v>국내</x:v>
      </x:c>
      <x:c r="D408" s="7" t="str">
        <x:v>영광아스콘(주) 버너연료를 B-C유 에서 LNG로 연료 전환 하는 온실가스 감축사업</x:v>
      </x:c>
      <x:c r="E408" s="2" t="str">
        <x:v>269</x:v>
      </x:c>
      <x:c r="F408" s="2" t="str">
        <x:v>2017-12-27</x:v>
      </x:c>
      <x:c r="G408" s="2" t="str">
        <x:v>2017</x:v>
      </x:c>
      <x:c r="H408" s="2" t="str">
        <x:v>12</x:v>
      </x:c>
      <x:c r="I408" s="2" t="str">
        <x:v>승인</x:v>
      </x:c>
      <x:c r="J408" s="2" t="str">
        <x:v>심의승인</x:v>
      </x:c>
      <x:c r="K408" s="2" t="str">
        <x:f>IF(OR(J408="심의승인",J408="반려",J408="반려완료",J408="심의완료"),"종결 표시",IF(OR(J408="기후부협의",J408="문서재제출요청",J408="보류",J408="보완요청",J408="보완완료",J408="평가중",J408="반려요청",J408="평가필요",LEFT(J408,5)="보완요청("),"미종결 표시","상태 확인 필요"))</x:f>
        <x:v>종결 표시</x:v>
      </x:c>
      <x:c r="L408" s="2"/>
      <x:c r="M408" s="2"/>
      <x:c r="N408" s="8" t="n">
        <x:f>DATE(2026,10,15)-DATE(2017,12,27)</x:f>
        <x:v>3214</x:v>
      </x:c>
      <x:c r="O408" s="2"/>
      <x:c r="P408" s="2"/>
      <x:c r="Q408" s="2" t="str">
        <x:v>산업전환_외부사업관리Tool_260707_이너젠 수정_LJY_261013.xlsx</x:v>
      </x:c>
      <x:c r="R408" s="2" t="str">
        <x:v>국내평가</x:v>
      </x:c>
      <x:c r="S408" s="8" t="n">
        <x:v>311</x:v>
      </x:c>
      <x:c r="T408" s="2"/>
      <x:c r="U408" s="2" t="str"/>
      <x:c r="V408" s="2" t="str">
        <x:v>2018-12-05</x:v>
      </x:c>
      <x:c r="W408" s="2" t="str">
        <x:v>담당기관 확인</x:v>
      </x:c>
      <x:c r="X408" s="2" t="str">
        <x:v>원본·배정 기록 확인</x:v>
      </x:c>
      <x:c r="Y408" s="2" t="str">
        <x:v>ad210cd9ec132cfd447541c8984dc53d30aff0f4fb2dc92d254d49275cc55976</x:v>
      </x:c>
      <x:c r="Z408" s="2" t="n">
        <x:f>SUBTOTAL(103,A408)</x:f>
        <x:v>1</x:v>
      </x:c>
      <x:c r="AA408" s="2" t="str">
        <x:f>IF(K408&lt;&gt;"미종결 표시","대상 아님",IF(N408="","신청일 확인",IF(NOT(ISNUMBER('종합 현황'!$H$5)),"관찰기준 확인",IF('종합 현황'!$H$5&lt;1,"관찰기준 확인",IF(N408&gt;'종합 현황'!$H$5,"내부 관찰 대상","내부 관찰일 이하")))))</x:f>
        <x:v>대상 아님</x:v>
      </x:c>
      <x:c r="AB408" s="2"/>
    </x:row>
    <x:row r="409" ht="42" customHeight="1">
      <x:c r="A409" s="2" t="str">
        <x:v>71e723cf36f0c1c9274c9f0b</x:v>
      </x:c>
      <x:c r="B409" s="2" t="str">
        <x:v>사업 평가</x:v>
      </x:c>
      <x:c r="C409" s="2" t="str">
        <x:v>국내</x:v>
      </x:c>
      <x:c r="D409" s="7" t="str">
        <x:v>신진이엔지의 사출기 일부교체(유압식→전동식)를 통한 온실가스 감축사업</x:v>
      </x:c>
      <x:c r="E409" s="2" t="str">
        <x:v>270</x:v>
      </x:c>
      <x:c r="F409" s="2" t="str">
        <x:v>2017-12-27</x:v>
      </x:c>
      <x:c r="G409" s="2" t="str">
        <x:v>2017</x:v>
      </x:c>
      <x:c r="H409" s="2" t="str">
        <x:v>12</x:v>
      </x:c>
      <x:c r="I409" s="2" t="str">
        <x:v>승인</x:v>
      </x:c>
      <x:c r="J409" s="2" t="str">
        <x:v>심의승인</x:v>
      </x:c>
      <x:c r="K409" s="2" t="str">
        <x:f>IF(OR(J409="심의승인",J409="반려",J409="반려완료",J409="심의완료"),"종결 표시",IF(OR(J409="기후부협의",J409="문서재제출요청",J409="보류",J409="보완요청",J409="보완완료",J409="평가중",J409="반려요청",J409="평가필요",LEFT(J409,5)="보완요청("),"미종결 표시","상태 확인 필요"))</x:f>
        <x:v>종결 표시</x:v>
      </x:c>
      <x:c r="L409" s="2"/>
      <x:c r="M409" s="2"/>
      <x:c r="N409" s="8" t="n">
        <x:f>DATE(2026,10,15)-DATE(2017,12,27)</x:f>
        <x:v>3214</x:v>
      </x:c>
      <x:c r="O409" s="2"/>
      <x:c r="P409" s="2"/>
      <x:c r="Q409" s="2" t="str">
        <x:v>산업전환_외부사업관리Tool_260707_이너젠 수정_LJY_261013.xlsx</x:v>
      </x:c>
      <x:c r="R409" s="2" t="str">
        <x:v>국내평가</x:v>
      </x:c>
      <x:c r="S409" s="8" t="n">
        <x:v>312</x:v>
      </x:c>
      <x:c r="T409" s="2"/>
      <x:c r="U409" s="2" t="str"/>
      <x:c r="V409" s="2" t="str">
        <x:v>2018-12-05</x:v>
      </x:c>
      <x:c r="W409" s="2" t="str">
        <x:v>담당기관 확인</x:v>
      </x:c>
      <x:c r="X409" s="2" t="str">
        <x:v>원본·배정 기록 확인</x:v>
      </x:c>
      <x:c r="Y409" s="2" t="str">
        <x:v>ad210cd9ec132cfd447541c8984dc53d30aff0f4fb2dc92d254d49275cc55976</x:v>
      </x:c>
      <x:c r="Z409" s="2" t="n">
        <x:f>SUBTOTAL(103,A409)</x:f>
        <x:v>1</x:v>
      </x:c>
      <x:c r="AA409" s="2" t="str">
        <x:f>IF(K409&lt;&gt;"미종결 표시","대상 아님",IF(N409="","신청일 확인",IF(NOT(ISNUMBER('종합 현황'!$H$5)),"관찰기준 확인",IF('종합 현황'!$H$5&lt;1,"관찰기준 확인",IF(N409&gt;'종합 현황'!$H$5,"내부 관찰 대상","내부 관찰일 이하")))))</x:f>
        <x:v>대상 아님</x:v>
      </x:c>
      <x:c r="AB409" s="2"/>
    </x:row>
    <x:row r="410" ht="42" customHeight="1">
      <x:c r="A410" s="2" t="str">
        <x:v>d223a23dead57047a2facaa3</x:v>
      </x:c>
      <x:c r="B410" s="2" t="str">
        <x:v>사업 평가</x:v>
      </x:c>
      <x:c r="C410" s="2" t="str">
        <x:v>국내</x:v>
      </x:c>
      <x:c r="D410" s="7" t="str">
        <x:v>태형기업(주) 양주사업장의 B-C유에서 도시가스(LNG)로 연료전환을 통한 온실가스(CO2) 배출 감축사업</x:v>
      </x:c>
      <x:c r="E410" s="2" t="str">
        <x:v>271</x:v>
      </x:c>
      <x:c r="F410" s="2" t="str">
        <x:v>2017-12-27</x:v>
      </x:c>
      <x:c r="G410" s="2" t="str">
        <x:v>2017</x:v>
      </x:c>
      <x:c r="H410" s="2" t="str">
        <x:v>12</x:v>
      </x:c>
      <x:c r="I410" s="2" t="str">
        <x:v>승인</x:v>
      </x:c>
      <x:c r="J410" s="2" t="str">
        <x:v>심의승인</x:v>
      </x:c>
      <x:c r="K410" s="2" t="str">
        <x:f>IF(OR(J410="심의승인",J410="반려",J410="반려완료",J410="심의완료"),"종결 표시",IF(OR(J410="기후부협의",J410="문서재제출요청",J410="보류",J410="보완요청",J410="보완완료",J410="평가중",J410="반려요청",J410="평가필요",LEFT(J410,5)="보완요청("),"미종결 표시","상태 확인 필요"))</x:f>
        <x:v>종결 표시</x:v>
      </x:c>
      <x:c r="L410" s="2"/>
      <x:c r="M410" s="2"/>
      <x:c r="N410" s="8" t="n">
        <x:f>DATE(2026,10,15)-DATE(2017,12,27)</x:f>
        <x:v>3214</x:v>
      </x:c>
      <x:c r="O410" s="2"/>
      <x:c r="P410" s="2"/>
      <x:c r="Q410" s="2" t="str">
        <x:v>산업전환_외부사업관리Tool_260707_이너젠 수정_LJY_261013.xlsx</x:v>
      </x:c>
      <x:c r="R410" s="2" t="str">
        <x:v>국내평가</x:v>
      </x:c>
      <x:c r="S410" s="8" t="n">
        <x:v>313</x:v>
      </x:c>
      <x:c r="T410" s="2"/>
      <x:c r="U410" s="2" t="str"/>
      <x:c r="V410" s="2" t="str">
        <x:v>2021-08-25</x:v>
      </x:c>
      <x:c r="W410" s="2" t="str">
        <x:v>담당기관 확인</x:v>
      </x:c>
      <x:c r="X410" s="2" t="str">
        <x:v>원본·배정 기록 확인</x:v>
      </x:c>
      <x:c r="Y410" s="2" t="str">
        <x:v>ad210cd9ec132cfd447541c8984dc53d30aff0f4fb2dc92d254d49275cc55976</x:v>
      </x:c>
      <x:c r="Z410" s="2" t="n">
        <x:f>SUBTOTAL(103,A410)</x:f>
        <x:v>1</x:v>
      </x:c>
      <x:c r="AA410" s="2" t="str">
        <x:f>IF(K410&lt;&gt;"미종결 표시","대상 아님",IF(N410="","신청일 확인",IF(NOT(ISNUMBER('종합 현황'!$H$5)),"관찰기준 확인",IF('종합 현황'!$H$5&lt;1,"관찰기준 확인",IF(N410&gt;'종합 현황'!$H$5,"내부 관찰 대상","내부 관찰일 이하")))))</x:f>
        <x:v>대상 아님</x:v>
      </x:c>
      <x:c r="AB410" s="2"/>
    </x:row>
    <x:row r="411" ht="42" customHeight="1">
      <x:c r="A411" s="2" t="str">
        <x:v>41eaa6dfcb455c865f61a6cd</x:v>
      </x:c>
      <x:c r="B411" s="2" t="str">
        <x:v>사업 평가</x:v>
      </x:c>
      <x:c r="C411" s="2" t="str">
        <x:v>국내</x:v>
      </x:c>
      <x:c r="D411" s="7" t="str">
        <x:v>3MW 신안풍력발전사업</x:v>
      </x:c>
      <x:c r="E411" s="2" t="str">
        <x:v>272</x:v>
      </x:c>
      <x:c r="F411" s="2" t="str">
        <x:v>2017-12-28</x:v>
      </x:c>
      <x:c r="G411" s="2" t="str">
        <x:v>2017</x:v>
      </x:c>
      <x:c r="H411" s="2" t="str">
        <x:v>12</x:v>
      </x:c>
      <x:c r="I411" s="2" t="str">
        <x:v>승인</x:v>
      </x:c>
      <x:c r="J411" s="2" t="str">
        <x:v>심의승인</x:v>
      </x:c>
      <x:c r="K411" s="2" t="str">
        <x:f>IF(OR(J411="심의승인",J411="반려",J411="반려완료",J411="심의완료"),"종결 표시",IF(OR(J411="기후부협의",J411="문서재제출요청",J411="보류",J411="보완요청",J411="보완완료",J411="평가중",J411="반려요청",J411="평가필요",LEFT(J411,5)="보완요청("),"미종결 표시","상태 확인 필요"))</x:f>
        <x:v>종결 표시</x:v>
      </x:c>
      <x:c r="L411" s="2"/>
      <x:c r="M411" s="2"/>
      <x:c r="N411" s="8" t="n">
        <x:f>DATE(2026,10,15)-DATE(2017,12,28)</x:f>
        <x:v>3213</x:v>
      </x:c>
      <x:c r="O411" s="2"/>
      <x:c r="P411" s="2"/>
      <x:c r="Q411" s="2" t="str">
        <x:v>산업전환_외부사업관리Tool_260707_이너젠 수정_LJY_261013.xlsx</x:v>
      </x:c>
      <x:c r="R411" s="2" t="str">
        <x:v>국내평가</x:v>
      </x:c>
      <x:c r="S411" s="8" t="n">
        <x:v>314</x:v>
      </x:c>
      <x:c r="T411" s="2"/>
      <x:c r="U411" s="2" t="str"/>
      <x:c r="V411" s="2" t="str">
        <x:v>2020-02-26</x:v>
      </x:c>
      <x:c r="W411" s="2" t="str">
        <x:v>담당기관 확인</x:v>
      </x:c>
      <x:c r="X411" s="2" t="str">
        <x:v>원본·배정 기록 확인</x:v>
      </x:c>
      <x:c r="Y411" s="2" t="str">
        <x:v>ad210cd9ec132cfd447541c8984dc53d30aff0f4fb2dc92d254d49275cc55976</x:v>
      </x:c>
      <x:c r="Z411" s="2" t="n">
        <x:f>SUBTOTAL(103,A411)</x:f>
        <x:v>1</x:v>
      </x:c>
      <x:c r="AA411" s="2" t="str">
        <x:f>IF(K411&lt;&gt;"미종결 표시","대상 아님",IF(N411="","신청일 확인",IF(NOT(ISNUMBER('종합 현황'!$H$5)),"관찰기준 확인",IF('종합 현황'!$H$5&lt;1,"관찰기준 확인",IF(N411&gt;'종합 현황'!$H$5,"내부 관찰 대상","내부 관찰일 이하")))))</x:f>
        <x:v>대상 아님</x:v>
      </x:c>
      <x:c r="AB411" s="2"/>
    </x:row>
    <x:row r="412" ht="42" customHeight="1">
      <x:c r="A412" s="2" t="str">
        <x:v>4c0cf81fd22979beb0e48375</x:v>
      </x:c>
      <x:c r="B412" s="2" t="str">
        <x:v>사업 평가</x:v>
      </x:c>
      <x:c r="C412" s="2" t="str">
        <x:v>국내</x:v>
      </x:c>
      <x:c r="D412" s="7" t="str">
        <x:v>삼광에프엔씨 목재펠릿 연료 전환을 통한 온실가스 감축사업</x:v>
      </x:c>
      <x:c r="E412" s="2" t="str">
        <x:v>273</x:v>
      </x:c>
      <x:c r="F412" s="2" t="str">
        <x:v>2018-01-02</x:v>
      </x:c>
      <x:c r="G412" s="2" t="str">
        <x:v>2018</x:v>
      </x:c>
      <x:c r="H412" s="2" t="str">
        <x:v>01</x:v>
      </x:c>
      <x:c r="I412" s="2" t="str">
        <x:v>사업변경 신청</x:v>
      </x:c>
      <x:c r="J412" s="2" t="str">
        <x:v>반려</x:v>
      </x:c>
      <x:c r="K412" s="2" t="str">
        <x:f>IF(OR(J412="심의승인",J412="반려",J412="반려완료",J412="심의완료"),"종결 표시",IF(OR(J412="기후부협의",J412="문서재제출요청",J412="보류",J412="보완요청",J412="보완완료",J412="평가중",J412="반려요청",J412="평가필요",LEFT(J412,5)="보완요청("),"미종결 표시","상태 확인 필요"))</x:f>
        <x:v>종결 표시</x:v>
      </x:c>
      <x:c r="L412" s="2"/>
      <x:c r="M412" s="2"/>
      <x:c r="N412" s="8" t="n">
        <x:f>DATE(2026,10,15)-DATE(2018,1,2)</x:f>
        <x:v>3208</x:v>
      </x:c>
      <x:c r="O412" s="2"/>
      <x:c r="P412" s="2"/>
      <x:c r="Q412" s="2" t="str">
        <x:v>산업전환_외부사업관리Tool_260707_이너젠 수정_LJY_261013.xlsx</x:v>
      </x:c>
      <x:c r="R412" s="2" t="str">
        <x:v>국내평가</x:v>
      </x:c>
      <x:c r="S412" s="8" t="n">
        <x:v>315</x:v>
      </x:c>
      <x:c r="T412" s="2"/>
      <x:c r="U412" s="2" t="str"/>
      <x:c r="V412" s="2" t="str">
        <x:v>2020-10-19</x:v>
      </x:c>
      <x:c r="W412" s="2" t="str">
        <x:v>담당기관 확인</x:v>
      </x:c>
      <x:c r="X412" s="2" t="str">
        <x:v>원본·배정 기록 확인</x:v>
      </x:c>
      <x:c r="Y412" s="2" t="str">
        <x:v>ad210cd9ec132cfd447541c8984dc53d30aff0f4fb2dc92d254d49275cc55976</x:v>
      </x:c>
      <x:c r="Z412" s="2" t="n">
        <x:f>SUBTOTAL(103,A412)</x:f>
        <x:v>1</x:v>
      </x:c>
      <x:c r="AA412" s="2" t="str">
        <x:f>IF(K412&lt;&gt;"미종결 표시","대상 아님",IF(N412="","신청일 확인",IF(NOT(ISNUMBER('종합 현황'!$H$5)),"관찰기준 확인",IF('종합 현황'!$H$5&lt;1,"관찰기준 확인",IF(N412&gt;'종합 현황'!$H$5,"내부 관찰 대상","내부 관찰일 이하")))))</x:f>
        <x:v>대상 아님</x:v>
      </x:c>
      <x:c r="AB412" s="2"/>
    </x:row>
    <x:row r="413" ht="42" customHeight="1">
      <x:c r="A413" s="2" t="str">
        <x:v>31ed662ab1ed3097fb48e883</x:v>
      </x:c>
      <x:c r="B413" s="2" t="str">
        <x:v>사업 평가</x:v>
      </x:c>
      <x:c r="C413" s="2" t="str">
        <x:v>국내</x:v>
      </x:c>
      <x:c r="D413" s="7" t="str">
        <x:v>성산 풍력발전 건설사업</x:v>
      </x:c>
      <x:c r="E413" s="2" t="str">
        <x:v>274</x:v>
      </x:c>
      <x:c r="F413" s="2" t="str">
        <x:v>2017-12-28</x:v>
      </x:c>
      <x:c r="G413" s="2" t="str">
        <x:v>2017</x:v>
      </x:c>
      <x:c r="H413" s="2" t="str">
        <x:v>12</x:v>
      </x:c>
      <x:c r="I413" s="2" t="str">
        <x:v>승인</x:v>
      </x:c>
      <x:c r="J413" s="2" t="str">
        <x:v>심의승인</x:v>
      </x:c>
      <x:c r="K413" s="2" t="str">
        <x:f>IF(OR(J413="심의승인",J413="반려",J413="반려완료",J413="심의완료"),"종결 표시",IF(OR(J413="기후부협의",J413="문서재제출요청",J413="보류",J413="보완요청",J413="보완완료",J413="평가중",J413="반려요청",J413="평가필요",LEFT(J413,5)="보완요청("),"미종결 표시","상태 확인 필요"))</x:f>
        <x:v>종결 표시</x:v>
      </x:c>
      <x:c r="L413" s="2"/>
      <x:c r="M413" s="2"/>
      <x:c r="N413" s="8" t="n">
        <x:f>DATE(2026,10,15)-DATE(2017,12,28)</x:f>
        <x:v>3213</x:v>
      </x:c>
      <x:c r="O413" s="2"/>
      <x:c r="P413" s="2"/>
      <x:c r="Q413" s="2" t="str">
        <x:v>산업전환_외부사업관리Tool_260707_이너젠 수정_LJY_261013.xlsx</x:v>
      </x:c>
      <x:c r="R413" s="2" t="str">
        <x:v>국내평가</x:v>
      </x:c>
      <x:c r="S413" s="8" t="n">
        <x:v>316</x:v>
      </x:c>
      <x:c r="T413" s="2"/>
      <x:c r="U413" s="2" t="str"/>
      <x:c r="V413" s="2" t="str">
        <x:v>2020-02-26</x:v>
      </x:c>
      <x:c r="W413" s="2" t="str">
        <x:v>담당기관 확인</x:v>
      </x:c>
      <x:c r="X413" s="2" t="str">
        <x:v>원본·배정 기록 확인</x:v>
      </x:c>
      <x:c r="Y413" s="2" t="str">
        <x:v>ad210cd9ec132cfd447541c8984dc53d30aff0f4fb2dc92d254d49275cc55976</x:v>
      </x:c>
      <x:c r="Z413" s="2" t="n">
        <x:f>SUBTOTAL(103,A413)</x:f>
        <x:v>1</x:v>
      </x:c>
      <x:c r="AA413" s="2" t="str">
        <x:f>IF(K413&lt;&gt;"미종결 표시","대상 아님",IF(N413="","신청일 확인",IF(NOT(ISNUMBER('종합 현황'!$H$5)),"관찰기준 확인",IF('종합 현황'!$H$5&lt;1,"관찰기준 확인",IF(N413&gt;'종합 현황'!$H$5,"내부 관찰 대상","내부 관찰일 이하")))))</x:f>
        <x:v>대상 아님</x:v>
      </x:c>
      <x:c r="AB413" s="2"/>
    </x:row>
    <x:row r="414" ht="42" customHeight="1">
      <x:c r="A414" s="2" t="str">
        <x:v>6c8f884245fe5a00df12fb8c</x:v>
      </x:c>
      <x:c r="B414" s="2" t="str">
        <x:v>사업 평가</x:v>
      </x:c>
      <x:c r="C414" s="2" t="str">
        <x:v>국내</x:v>
      </x:c>
      <x:c r="D414" s="7" t="str">
        <x:v>한국남부발전 하동-부산 번들 태양광 발전 사업</x:v>
      </x:c>
      <x:c r="E414" s="2" t="str">
        <x:v>275</x:v>
      </x:c>
      <x:c r="F414" s="2" t="str">
        <x:v>2017-12-28</x:v>
      </x:c>
      <x:c r="G414" s="2" t="str">
        <x:v>2017</x:v>
      </x:c>
      <x:c r="H414" s="2" t="str">
        <x:v>12</x:v>
      </x:c>
      <x:c r="I414" s="2" t="str">
        <x:v>승인</x:v>
      </x:c>
      <x:c r="J414" s="2" t="str">
        <x:v>심의승인</x:v>
      </x:c>
      <x:c r="K414" s="2" t="str">
        <x:f>IF(OR(J414="심의승인",J414="반려",J414="반려완료",J414="심의완료"),"종결 표시",IF(OR(J414="기후부협의",J414="문서재제출요청",J414="보류",J414="보완요청",J414="보완완료",J414="평가중",J414="반려요청",J414="평가필요",LEFT(J414,5)="보완요청("),"미종결 표시","상태 확인 필요"))</x:f>
        <x:v>종결 표시</x:v>
      </x:c>
      <x:c r="L414" s="2"/>
      <x:c r="M414" s="2"/>
      <x:c r="N414" s="8" t="n">
        <x:f>DATE(2026,10,15)-DATE(2017,12,28)</x:f>
        <x:v>3213</x:v>
      </x:c>
      <x:c r="O414" s="2"/>
      <x:c r="P414" s="2"/>
      <x:c r="Q414" s="2" t="str">
        <x:v>산업전환_외부사업관리Tool_260707_이너젠 수정_LJY_261013.xlsx</x:v>
      </x:c>
      <x:c r="R414" s="2" t="str">
        <x:v>국내평가</x:v>
      </x:c>
      <x:c r="S414" s="8" t="n">
        <x:v>317</x:v>
      </x:c>
      <x:c r="T414" s="2"/>
      <x:c r="U414" s="2" t="str"/>
      <x:c r="V414" s="2" t="str">
        <x:v>2020-02-26</x:v>
      </x:c>
      <x:c r="W414" s="2" t="str">
        <x:v>담당기관 확인</x:v>
      </x:c>
      <x:c r="X414" s="2" t="str">
        <x:v>원본·배정 기록 확인</x:v>
      </x:c>
      <x:c r="Y414" s="2" t="str">
        <x:v>ad210cd9ec132cfd447541c8984dc53d30aff0f4fb2dc92d254d49275cc55976</x:v>
      </x:c>
      <x:c r="Z414" s="2" t="n">
        <x:f>SUBTOTAL(103,A414)</x:f>
        <x:v>1</x:v>
      </x:c>
      <x:c r="AA414" s="2" t="str">
        <x:f>IF(K414&lt;&gt;"미종결 표시","대상 아님",IF(N414="","신청일 확인",IF(NOT(ISNUMBER('종합 현황'!$H$5)),"관찰기준 확인",IF('종합 현황'!$H$5&lt;1,"관찰기준 확인",IF(N414&gt;'종합 현황'!$H$5,"내부 관찰 대상","내부 관찰일 이하")))))</x:f>
        <x:v>대상 아님</x:v>
      </x:c>
      <x:c r="AB414" s="2"/>
    </x:row>
    <x:row r="415" ht="42" customHeight="1">
      <x:c r="A415" s="2" t="str">
        <x:v>e8b94c4d0ebdbc531debe50a</x:v>
      </x:c>
      <x:c r="B415" s="2" t="str">
        <x:v>사업 평가</x:v>
      </x:c>
      <x:c r="C415" s="2" t="str">
        <x:v>국내</x:v>
      </x:c>
      <x:c r="D415" s="7" t="str">
        <x:v>24MW 동양에너지 태양광발전</x:v>
      </x:c>
      <x:c r="E415" s="2" t="str">
        <x:v>276</x:v>
      </x:c>
      <x:c r="F415" s="2" t="str">
        <x:v>2017-12-28</x:v>
      </x:c>
      <x:c r="G415" s="2" t="str">
        <x:v>2017</x:v>
      </x:c>
      <x:c r="H415" s="2" t="str">
        <x:v>12</x:v>
      </x:c>
      <x:c r="I415" s="2" t="str">
        <x:v>승인</x:v>
      </x:c>
      <x:c r="J415" s="2" t="str">
        <x:v>심의승인</x:v>
      </x:c>
      <x:c r="K415" s="2" t="str">
        <x:f>IF(OR(J415="심의승인",J415="반려",J415="반려완료",J415="심의완료"),"종결 표시",IF(OR(J415="기후부협의",J415="문서재제출요청",J415="보류",J415="보완요청",J415="보완완료",J415="평가중",J415="반려요청",J415="평가필요",LEFT(J415,5)="보완요청("),"미종결 표시","상태 확인 필요"))</x:f>
        <x:v>종결 표시</x:v>
      </x:c>
      <x:c r="L415" s="2"/>
      <x:c r="M415" s="2"/>
      <x:c r="N415" s="8" t="n">
        <x:f>DATE(2026,10,15)-DATE(2017,12,28)</x:f>
        <x:v>3213</x:v>
      </x:c>
      <x:c r="O415" s="2"/>
      <x:c r="P415" s="2"/>
      <x:c r="Q415" s="2" t="str">
        <x:v>산업전환_외부사업관리Tool_260707_이너젠 수정_LJY_261013.xlsx</x:v>
      </x:c>
      <x:c r="R415" s="2" t="str">
        <x:v>국내평가</x:v>
      </x:c>
      <x:c r="S415" s="8" t="n">
        <x:v>318</x:v>
      </x:c>
      <x:c r="T415" s="2"/>
      <x:c r="U415" s="2" t="str"/>
      <x:c r="V415" s="2" t="str">
        <x:v>2019-05-13</x:v>
      </x:c>
      <x:c r="W415" s="2" t="str">
        <x:v>담당기관 확인</x:v>
      </x:c>
      <x:c r="X415" s="2" t="str">
        <x:v>원본·배정 기록 확인</x:v>
      </x:c>
      <x:c r="Y415" s="2" t="str">
        <x:v>ad210cd9ec132cfd447541c8984dc53d30aff0f4fb2dc92d254d49275cc55976</x:v>
      </x:c>
      <x:c r="Z415" s="2" t="n">
        <x:f>SUBTOTAL(103,A415)</x:f>
        <x:v>1</x:v>
      </x:c>
      <x:c r="AA415" s="2" t="str">
        <x:f>IF(K415&lt;&gt;"미종결 표시","대상 아님",IF(N415="","신청일 확인",IF(NOT(ISNUMBER('종합 현황'!$H$5)),"관찰기준 확인",IF('종합 현황'!$H$5&lt;1,"관찰기준 확인",IF(N415&gt;'종합 현황'!$H$5,"내부 관찰 대상","내부 관찰일 이하")))))</x:f>
        <x:v>대상 아님</x:v>
      </x:c>
      <x:c r="AB415" s="2"/>
    </x:row>
    <x:row r="416" ht="42" customHeight="1">
      <x:c r="A416" s="2" t="str">
        <x:v>73ec08ef87e1c772648dd4dd</x:v>
      </x:c>
      <x:c r="B416" s="2" t="str">
        <x:v>사업 평가</x:v>
      </x:c>
      <x:c r="C416" s="2" t="str">
        <x:v>국내</x:v>
      </x:c>
      <x:c r="D416" s="7" t="str">
        <x:v>마니커 동두천지점의 B-C유에서 LNG로 연료전환을 통한 온실가스 배출 감축사업</x:v>
      </x:c>
      <x:c r="E416" s="2" t="str">
        <x:v>277</x:v>
      </x:c>
      <x:c r="F416" s="2" t="str">
        <x:v>2017-12-29</x:v>
      </x:c>
      <x:c r="G416" s="2" t="str">
        <x:v>2017</x:v>
      </x:c>
      <x:c r="H416" s="2" t="str">
        <x:v>12</x:v>
      </x:c>
      <x:c r="I416" s="2" t="str">
        <x:v>승인</x:v>
      </x:c>
      <x:c r="J416" s="2" t="str">
        <x:v>심의승인</x:v>
      </x:c>
      <x:c r="K416" s="2" t="str">
        <x:f>IF(OR(J416="심의승인",J416="반려",J416="반려완료",J416="심의완료"),"종결 표시",IF(OR(J416="기후부협의",J416="문서재제출요청",J416="보류",J416="보완요청",J416="보완완료",J416="평가중",J416="반려요청",J416="평가필요",LEFT(J416,5)="보완요청("),"미종결 표시","상태 확인 필요"))</x:f>
        <x:v>종결 표시</x:v>
      </x:c>
      <x:c r="L416" s="2"/>
      <x:c r="M416" s="2"/>
      <x:c r="N416" s="8" t="n">
        <x:f>DATE(2026,10,15)-DATE(2017,12,29)</x:f>
        <x:v>3212</x:v>
      </x:c>
      <x:c r="O416" s="2"/>
      <x:c r="P416" s="2"/>
      <x:c r="Q416" s="2" t="str">
        <x:v>산업전환_외부사업관리Tool_260707_이너젠 수정_LJY_261013.xlsx</x:v>
      </x:c>
      <x:c r="R416" s="2" t="str">
        <x:v>국내평가</x:v>
      </x:c>
      <x:c r="S416" s="8" t="n">
        <x:v>319</x:v>
      </x:c>
      <x:c r="T416" s="2"/>
      <x:c r="U416" s="2" t="str"/>
      <x:c r="V416" s="2" t="str">
        <x:v>2020-09-02</x:v>
      </x:c>
      <x:c r="W416" s="2" t="str">
        <x:v>담당기관 확인</x:v>
      </x:c>
      <x:c r="X416" s="2" t="str">
        <x:v>원본·배정 기록 확인</x:v>
      </x:c>
      <x:c r="Y416" s="2" t="str">
        <x:v>ad210cd9ec132cfd447541c8984dc53d30aff0f4fb2dc92d254d49275cc55976</x:v>
      </x:c>
      <x:c r="Z416" s="2" t="n">
        <x:f>SUBTOTAL(103,A416)</x:f>
        <x:v>1</x:v>
      </x:c>
      <x:c r="AA416" s="2" t="str">
        <x:f>IF(K416&lt;&gt;"미종결 표시","대상 아님",IF(N416="","신청일 확인",IF(NOT(ISNUMBER('종합 현황'!$H$5)),"관찰기준 확인",IF('종합 현황'!$H$5&lt;1,"관찰기준 확인",IF(N416&gt;'종합 현황'!$H$5,"내부 관찰 대상","내부 관찰일 이하")))))</x:f>
        <x:v>대상 아님</x:v>
      </x:c>
      <x:c r="AB416" s="2"/>
    </x:row>
    <x:row r="417" ht="42" customHeight="1">
      <x:c r="A417" s="2" t="str">
        <x:v>286333f219a88afd3d566fce</x:v>
      </x:c>
      <x:c r="B417" s="2" t="str">
        <x:v>사업 평가</x:v>
      </x:c>
      <x:c r="C417" s="2" t="str">
        <x:v>국내</x:v>
      </x:c>
      <x:c r="D417" s="7" t="str">
        <x:v>부일화학의 B-C유에서 LNG로 연료전환을 통한 온실가스 배출 감축사업</x:v>
      </x:c>
      <x:c r="E417" s="2" t="str">
        <x:v>278</x:v>
      </x:c>
      <x:c r="F417" s="2" t="str">
        <x:v>2017-12-29</x:v>
      </x:c>
      <x:c r="G417" s="2" t="str">
        <x:v>2017</x:v>
      </x:c>
      <x:c r="H417" s="2" t="str">
        <x:v>12</x:v>
      </x:c>
      <x:c r="I417" s="2" t="str">
        <x:v>승인</x:v>
      </x:c>
      <x:c r="J417" s="2" t="str">
        <x:v>심의승인</x:v>
      </x:c>
      <x:c r="K417" s="2" t="str">
        <x:f>IF(OR(J417="심의승인",J417="반려",J417="반려완료",J417="심의완료"),"종결 표시",IF(OR(J417="기후부협의",J417="문서재제출요청",J417="보류",J417="보완요청",J417="보완완료",J417="평가중",J417="반려요청",J417="평가필요",LEFT(J417,5)="보완요청("),"미종결 표시","상태 확인 필요"))</x:f>
        <x:v>종결 표시</x:v>
      </x:c>
      <x:c r="L417" s="2"/>
      <x:c r="M417" s="2"/>
      <x:c r="N417" s="8" t="n">
        <x:f>DATE(2026,10,15)-DATE(2017,12,29)</x:f>
        <x:v>3212</x:v>
      </x:c>
      <x:c r="O417" s="2"/>
      <x:c r="P417" s="2"/>
      <x:c r="Q417" s="2" t="str">
        <x:v>산업전환_외부사업관리Tool_260707_이너젠 수정_LJY_261013.xlsx</x:v>
      </x:c>
      <x:c r="R417" s="2" t="str">
        <x:v>국내평가</x:v>
      </x:c>
      <x:c r="S417" s="8" t="n">
        <x:v>320</x:v>
      </x:c>
      <x:c r="T417" s="2"/>
      <x:c r="U417" s="2" t="str"/>
      <x:c r="V417" s="2" t="str">
        <x:v>2020-08-24</x:v>
      </x:c>
      <x:c r="W417" s="2" t="str">
        <x:v>담당기관 확인</x:v>
      </x:c>
      <x:c r="X417" s="2" t="str">
        <x:v>원본·배정 기록 확인</x:v>
      </x:c>
      <x:c r="Y417" s="2" t="str">
        <x:v>ad210cd9ec132cfd447541c8984dc53d30aff0f4fb2dc92d254d49275cc55976</x:v>
      </x:c>
      <x:c r="Z417" s="2" t="n">
        <x:f>SUBTOTAL(103,A417)</x:f>
        <x:v>1</x:v>
      </x:c>
      <x:c r="AA417" s="2" t="str">
        <x:f>IF(K417&lt;&gt;"미종결 표시","대상 아님",IF(N417="","신청일 확인",IF(NOT(ISNUMBER('종합 현황'!$H$5)),"관찰기준 확인",IF('종합 현황'!$H$5&lt;1,"관찰기준 확인",IF(N417&gt;'종합 현황'!$H$5,"내부 관찰 대상","내부 관찰일 이하")))))</x:f>
        <x:v>대상 아님</x:v>
      </x:c>
      <x:c r="AB417" s="2"/>
    </x:row>
    <x:row r="418" ht="42" customHeight="1">
      <x:c r="A418" s="2" t="str">
        <x:v>5b4cf98e47eb5f961631064a</x:v>
      </x:c>
      <x:c r="B418" s="2" t="str">
        <x:v>사업 평가</x:v>
      </x:c>
      <x:c r="C418" s="2" t="str">
        <x:v>국내</x:v>
      </x:c>
      <x:c r="D418" s="7" t="str">
        <x:v>(주)웅진산업 보일러 연료 전환(B-B유 → 목재펠릿)을 통한 온실가스 감축사업</x:v>
      </x:c>
      <x:c r="E418" s="2" t="str">
        <x:v>279</x:v>
      </x:c>
      <x:c r="F418" s="2" t="str">
        <x:v>2018-01-03</x:v>
      </x:c>
      <x:c r="G418" s="2" t="str">
        <x:v>2018</x:v>
      </x:c>
      <x:c r="H418" s="2" t="str">
        <x:v>01</x:v>
      </x:c>
      <x:c r="I418" s="2" t="str">
        <x:v>사업변경 신청</x:v>
      </x:c>
      <x:c r="J418" s="2" t="str">
        <x:v>반려</x:v>
      </x:c>
      <x:c r="K418" s="2" t="str">
        <x:f>IF(OR(J418="심의승인",J418="반려",J418="반려완료",J418="심의완료"),"종결 표시",IF(OR(J418="기후부협의",J418="문서재제출요청",J418="보류",J418="보완요청",J418="보완완료",J418="평가중",J418="반려요청",J418="평가필요",LEFT(J418,5)="보완요청("),"미종결 표시","상태 확인 필요"))</x:f>
        <x:v>종결 표시</x:v>
      </x:c>
      <x:c r="L418" s="2"/>
      <x:c r="M418" s="2"/>
      <x:c r="N418" s="8" t="n">
        <x:f>DATE(2026,10,15)-DATE(2018,1,3)</x:f>
        <x:v>3207</x:v>
      </x:c>
      <x:c r="O418" s="2"/>
      <x:c r="P418" s="2"/>
      <x:c r="Q418" s="2" t="str">
        <x:v>산업전환_외부사업관리Tool_260707_이너젠 수정_LJY_261013.xlsx</x:v>
      </x:c>
      <x:c r="R418" s="2" t="str">
        <x:v>국내평가</x:v>
      </x:c>
      <x:c r="S418" s="8" t="n">
        <x:v>321</x:v>
      </x:c>
      <x:c r="T418" s="2" t="str">
        <x:v>2021년 처리</x:v>
      </x:c>
      <x:c r="U418" s="2" t="str">
        <x:v>2021 배정: 2021년 처리</x:v>
      </x:c>
      <x:c r="V418" s="2" t="str">
        <x:v>2021-05-25</x:v>
      </x:c>
      <x:c r="W418" s="2" t="str">
        <x:v>담당기관 확인</x:v>
      </x:c>
      <x:c r="X418" s="2" t="str">
        <x:v>원본·배정 기록 확인</x:v>
      </x:c>
      <x:c r="Y418" s="2" t="str">
        <x:v>ad210cd9ec132cfd447541c8984dc53d30aff0f4fb2dc92d254d49275cc55976</x:v>
      </x:c>
      <x:c r="Z418" s="2" t="n">
        <x:f>SUBTOTAL(103,A418)</x:f>
        <x:v>1</x:v>
      </x:c>
      <x:c r="AA418" s="2" t="str">
        <x:f>IF(K418&lt;&gt;"미종결 표시","대상 아님",IF(N418="","신청일 확인",IF(NOT(ISNUMBER('종합 현황'!$H$5)),"관찰기준 확인",IF('종합 현황'!$H$5&lt;1,"관찰기준 확인",IF(N418&gt;'종합 현황'!$H$5,"내부 관찰 대상","내부 관찰일 이하")))))</x:f>
        <x:v>대상 아님</x:v>
      </x:c>
      <x:c r="AB418" s="2"/>
    </x:row>
    <x:row r="419" ht="42" customHeight="1">
      <x:c r="A419" s="2" t="str">
        <x:v>5e9a4c5cb870044271437a82</x:v>
      </x:c>
      <x:c r="B419" s="2" t="str">
        <x:v>사업 평가</x:v>
      </x:c>
      <x:c r="C419" s="2" t="str">
        <x:v>국내</x:v>
      </x:c>
      <x:c r="D419" s="7" t="str">
        <x:v>경보판지공업의 연료전환을 통한 온실가스 감축사업</x:v>
      </x:c>
      <x:c r="E419" s="2" t="str">
        <x:v>280</x:v>
      </x:c>
      <x:c r="F419" s="2" t="str">
        <x:v>2018-01-03</x:v>
      </x:c>
      <x:c r="G419" s="2" t="str">
        <x:v>2018</x:v>
      </x:c>
      <x:c r="H419" s="2" t="str">
        <x:v>01</x:v>
      </x:c>
      <x:c r="I419" s="2" t="str">
        <x:v>사업변경 신청</x:v>
      </x:c>
      <x:c r="J419" s="2" t="str">
        <x:v>반려</x:v>
      </x:c>
      <x:c r="K419" s="2" t="str">
        <x:f>IF(OR(J419="심의승인",J419="반려",J419="반려완료",J419="심의완료"),"종결 표시",IF(OR(J419="기후부협의",J419="문서재제출요청",J419="보류",J419="보완요청",J419="보완완료",J419="평가중",J419="반려요청",J419="평가필요",LEFT(J419,5)="보완요청("),"미종결 표시","상태 확인 필요"))</x:f>
        <x:v>종결 표시</x:v>
      </x:c>
      <x:c r="L419" s="2"/>
      <x:c r="M419" s="2"/>
      <x:c r="N419" s="8" t="n">
        <x:f>DATE(2026,10,15)-DATE(2018,1,3)</x:f>
        <x:v>3207</x:v>
      </x:c>
      <x:c r="O419" s="2"/>
      <x:c r="P419" s="2"/>
      <x:c r="Q419" s="2" t="str">
        <x:v>산업전환_외부사업관리Tool_260707_이너젠 수정_LJY_261013.xlsx</x:v>
      </x:c>
      <x:c r="R419" s="2" t="str">
        <x:v>국내평가</x:v>
      </x:c>
      <x:c r="S419" s="8" t="n">
        <x:v>322</x:v>
      </x:c>
      <x:c r="T419" s="2"/>
      <x:c r="U419" s="2" t="str"/>
      <x:c r="V419" s="2" t="str">
        <x:v>2020-03-09</x:v>
      </x:c>
      <x:c r="W419" s="2" t="str">
        <x:v>담당기관 확인</x:v>
      </x:c>
      <x:c r="X419" s="2" t="str">
        <x:v>원본·배정 기록 확인</x:v>
      </x:c>
      <x:c r="Y419" s="2" t="str">
        <x:v>ad210cd9ec132cfd447541c8984dc53d30aff0f4fb2dc92d254d49275cc55976</x:v>
      </x:c>
      <x:c r="Z419" s="2" t="n">
        <x:f>SUBTOTAL(103,A419)</x:f>
        <x:v>1</x:v>
      </x:c>
      <x:c r="AA419" s="2" t="str">
        <x:f>IF(K419&lt;&gt;"미종결 표시","대상 아님",IF(N419="","신청일 확인",IF(NOT(ISNUMBER('종합 현황'!$H$5)),"관찰기준 확인",IF('종합 현황'!$H$5&lt;1,"관찰기준 확인",IF(N419&gt;'종합 현황'!$H$5,"내부 관찰 대상","내부 관찰일 이하")))))</x:f>
        <x:v>대상 아님</x:v>
      </x:c>
      <x:c r="AB419" s="2"/>
    </x:row>
    <x:row r="420" ht="42" customHeight="1">
      <x:c r="A420" s="2" t="str">
        <x:v>4ff55681cad82b77c6056b0c</x:v>
      </x:c>
      <x:c r="B420" s="2" t="str">
        <x:v>사업 평가</x:v>
      </x:c>
      <x:c r="C420" s="2" t="str">
        <x:v>국내</x:v>
      </x:c>
      <x:c r="D420" s="7" t="str">
        <x:v>조일염공사 인버터형 공기압축기 교체 사업</x:v>
      </x:c>
      <x:c r="E420" s="2" t="str">
        <x:v>281</x:v>
      </x:c>
      <x:c r="F420" s="2" t="str">
        <x:v>2018-01-04</x:v>
      </x:c>
      <x:c r="G420" s="2" t="str">
        <x:v>2018</x:v>
      </x:c>
      <x:c r="H420" s="2" t="str">
        <x:v>01</x:v>
      </x:c>
      <x:c r="I420" s="2" t="str">
        <x:v>반려</x:v>
      </x:c>
      <x:c r="J420" s="2" t="str">
        <x:v>반려</x:v>
      </x:c>
      <x:c r="K420" s="2" t="str">
        <x:f>IF(OR(J420="심의승인",J420="반려",J420="반려완료",J420="심의완료"),"종결 표시",IF(OR(J420="기후부협의",J420="문서재제출요청",J420="보류",J420="보완요청",J420="보완완료",J420="평가중",J420="반려요청",J420="평가필요",LEFT(J420,5)="보완요청("),"미종결 표시","상태 확인 필요"))</x:f>
        <x:v>종결 표시</x:v>
      </x:c>
      <x:c r="L420" s="2"/>
      <x:c r="M420" s="2"/>
      <x:c r="N420" s="8" t="n">
        <x:f>DATE(2026,10,15)-DATE(2018,1,4)</x:f>
        <x:v>3206</x:v>
      </x:c>
      <x:c r="O420" s="2"/>
      <x:c r="P420" s="2"/>
      <x:c r="Q420" s="2" t="str">
        <x:v>산업전환_외부사업관리Tool_260707_이너젠 수정_LJY_261013.xlsx</x:v>
      </x:c>
      <x:c r="R420" s="2" t="str">
        <x:v>국내평가</x:v>
      </x:c>
      <x:c r="S420" s="8" t="n">
        <x:v>323</x:v>
      </x:c>
      <x:c r="T420" s="2" t="str">
        <x:v>2021년 처리</x:v>
      </x:c>
      <x:c r="U420" s="2" t="str">
        <x:v>2021 배정: 2021년 처리</x:v>
      </x:c>
      <x:c r="V420" s="2" t="str">
        <x:v>2021-06-07</x:v>
      </x:c>
      <x:c r="W420" s="2" t="str">
        <x:v>담당기관 확인</x:v>
      </x:c>
      <x:c r="X420" s="2" t="str">
        <x:v>원본·배정 기록 확인</x:v>
      </x:c>
      <x:c r="Y420" s="2" t="str">
        <x:v>ad210cd9ec132cfd447541c8984dc53d30aff0f4fb2dc92d254d49275cc55976</x:v>
      </x:c>
      <x:c r="Z420" s="2" t="n">
        <x:f>SUBTOTAL(103,A420)</x:f>
        <x:v>1</x:v>
      </x:c>
      <x:c r="AA420" s="2" t="str">
        <x:f>IF(K420&lt;&gt;"미종결 표시","대상 아님",IF(N420="","신청일 확인",IF(NOT(ISNUMBER('종합 현황'!$H$5)),"관찰기준 확인",IF('종합 현황'!$H$5&lt;1,"관찰기준 확인",IF(N420&gt;'종합 현황'!$H$5,"내부 관찰 대상","내부 관찰일 이하")))))</x:f>
        <x:v>대상 아님</x:v>
      </x:c>
      <x:c r="AB420" s="2"/>
    </x:row>
    <x:row r="421" ht="42" customHeight="1">
      <x:c r="A421" s="2" t="str">
        <x:v>73017aad8d94e613744e28ad</x:v>
      </x:c>
      <x:c r="B421" s="2" t="str">
        <x:v>사업 평가</x:v>
      </x:c>
      <x:c r="C421" s="2" t="str">
        <x:v>국내</x:v>
      </x:c>
      <x:c r="D421" s="7" t="str">
        <x:v>갑을메탈 산소버너 도입을 통한 온실가스(CO2) 감축사업</x:v>
      </x:c>
      <x:c r="E421" s="2" t="str">
        <x:v>282</x:v>
      </x:c>
      <x:c r="F421" s="2" t="str">
        <x:v>2018-01-02</x:v>
      </x:c>
      <x:c r="G421" s="2" t="str">
        <x:v>2018</x:v>
      </x:c>
      <x:c r="H421" s="2" t="str">
        <x:v>01</x:v>
      </x:c>
      <x:c r="I421" s="2" t="str">
        <x:v>승인</x:v>
      </x:c>
      <x:c r="J421" s="2" t="str">
        <x:v>심의승인</x:v>
      </x:c>
      <x:c r="K421" s="2" t="str">
        <x:f>IF(OR(J421="심의승인",J421="반려",J421="반려완료",J421="심의완료"),"종결 표시",IF(OR(J421="기후부협의",J421="문서재제출요청",J421="보류",J421="보완요청",J421="보완완료",J421="평가중",J421="반려요청",J421="평가필요",LEFT(J421,5)="보완요청("),"미종결 표시","상태 확인 필요"))</x:f>
        <x:v>종결 표시</x:v>
      </x:c>
      <x:c r="L421" s="2"/>
      <x:c r="M421" s="2"/>
      <x:c r="N421" s="8" t="n">
        <x:f>DATE(2026,10,15)-DATE(2018,1,2)</x:f>
        <x:v>3208</x:v>
      </x:c>
      <x:c r="O421" s="2"/>
      <x:c r="P421" s="2"/>
      <x:c r="Q421" s="2" t="str">
        <x:v>산업전환_외부사업관리Tool_260707_이너젠 수정_LJY_261013.xlsx</x:v>
      </x:c>
      <x:c r="R421" s="2" t="str">
        <x:v>국내평가</x:v>
      </x:c>
      <x:c r="S421" s="8" t="n">
        <x:v>324</x:v>
      </x:c>
      <x:c r="T421" s="2"/>
      <x:c r="U421" s="2" t="str"/>
      <x:c r="V421" s="2" t="str">
        <x:v>2018-11-30</x:v>
      </x:c>
      <x:c r="W421" s="2" t="str">
        <x:v>담당기관 확인</x:v>
      </x:c>
      <x:c r="X421" s="2" t="str">
        <x:v>원본·배정 기록 확인</x:v>
      </x:c>
      <x:c r="Y421" s="2" t="str">
        <x:v>ad210cd9ec132cfd447541c8984dc53d30aff0f4fb2dc92d254d49275cc55976</x:v>
      </x:c>
      <x:c r="Z421" s="2" t="n">
        <x:f>SUBTOTAL(103,A421)</x:f>
        <x:v>1</x:v>
      </x:c>
      <x:c r="AA421" s="2" t="str">
        <x:f>IF(K421&lt;&gt;"미종결 표시","대상 아님",IF(N421="","신청일 확인",IF(NOT(ISNUMBER('종합 현황'!$H$5)),"관찰기준 확인",IF('종합 현황'!$H$5&lt;1,"관찰기준 확인",IF(N421&gt;'종합 현황'!$H$5,"내부 관찰 대상","내부 관찰일 이하")))))</x:f>
        <x:v>대상 아님</x:v>
      </x:c>
      <x:c r="AB421" s="2"/>
    </x:row>
    <x:row r="422" ht="42" customHeight="1">
      <x:c r="A422" s="2" t="str">
        <x:v>86e0de4cd8319c5d446447c9</x:v>
      </x:c>
      <x:c r="B422" s="2" t="str">
        <x:v>사업 평가</x:v>
      </x:c>
      <x:c r="C422" s="2" t="str">
        <x:v>국내</x:v>
      </x:c>
      <x:c r="D422" s="7" t="str">
        <x:v>IS동서 청양 보일러 연료전환(B-C유→LNG)을 통한 온실가스 감축 사업</x:v>
      </x:c>
      <x:c r="E422" s="2" t="str">
        <x:v>283</x:v>
      </x:c>
      <x:c r="F422" s="2" t="str">
        <x:v>2018-01-02</x:v>
      </x:c>
      <x:c r="G422" s="2" t="str">
        <x:v>2018</x:v>
      </x:c>
      <x:c r="H422" s="2" t="str">
        <x:v>01</x:v>
      </x:c>
      <x:c r="I422" s="2" t="str">
        <x:v>승인</x:v>
      </x:c>
      <x:c r="J422" s="2" t="str">
        <x:v>심의승인</x:v>
      </x:c>
      <x:c r="K422" s="2" t="str">
        <x:f>IF(OR(J422="심의승인",J422="반려",J422="반려완료",J422="심의완료"),"종결 표시",IF(OR(J422="기후부협의",J422="문서재제출요청",J422="보류",J422="보완요청",J422="보완완료",J422="평가중",J422="반려요청",J422="평가필요",LEFT(J422,5)="보완요청("),"미종결 표시","상태 확인 필요"))</x:f>
        <x:v>종결 표시</x:v>
      </x:c>
      <x:c r="L422" s="2"/>
      <x:c r="M422" s="2"/>
      <x:c r="N422" s="8" t="n">
        <x:f>DATE(2026,10,15)-DATE(2018,1,2)</x:f>
        <x:v>3208</x:v>
      </x:c>
      <x:c r="O422" s="2"/>
      <x:c r="P422" s="2"/>
      <x:c r="Q422" s="2" t="str">
        <x:v>산업전환_외부사업관리Tool_260707_이너젠 수정_LJY_261013.xlsx</x:v>
      </x:c>
      <x:c r="R422" s="2" t="str">
        <x:v>국내평가</x:v>
      </x:c>
      <x:c r="S422" s="8" t="n">
        <x:v>325</x:v>
      </x:c>
      <x:c r="T422" s="2"/>
      <x:c r="U422" s="2" t="str"/>
      <x:c r="V422" s="2" t="str">
        <x:v>2019-03-15</x:v>
      </x:c>
      <x:c r="W422" s="2" t="str">
        <x:v>담당기관 확인</x:v>
      </x:c>
      <x:c r="X422" s="2" t="str">
        <x:v>원본·배정 기록 확인</x:v>
      </x:c>
      <x:c r="Y422" s="2" t="str">
        <x:v>ad210cd9ec132cfd447541c8984dc53d30aff0f4fb2dc92d254d49275cc55976</x:v>
      </x:c>
      <x:c r="Z422" s="2" t="n">
        <x:f>SUBTOTAL(103,A422)</x:f>
        <x:v>1</x:v>
      </x:c>
      <x:c r="AA422" s="2" t="str">
        <x:f>IF(K422&lt;&gt;"미종결 표시","대상 아님",IF(N422="","신청일 확인",IF(NOT(ISNUMBER('종합 현황'!$H$5)),"관찰기준 확인",IF('종합 현황'!$H$5&lt;1,"관찰기준 확인",IF(N422&gt;'종합 현황'!$H$5,"내부 관찰 대상","내부 관찰일 이하")))))</x:f>
        <x:v>대상 아님</x:v>
      </x:c>
      <x:c r="AB422" s="2"/>
    </x:row>
    <x:row r="423" ht="42" customHeight="1">
      <x:c r="A423" s="2" t="str">
        <x:v>f142bbccd0e205b9de901fbf</x:v>
      </x:c>
      <x:c r="B423" s="2" t="str">
        <x:v>사업 평가</x:v>
      </x:c>
      <x:c r="C423" s="2" t="str">
        <x:v>국내</x:v>
      </x:c>
      <x:c r="D423" s="7" t="str">
        <x:v>유니온 화성의 연료전환을 통한 온실가스 감축사업</x:v>
      </x:c>
      <x:c r="E423" s="2" t="str">
        <x:v>284</x:v>
      </x:c>
      <x:c r="F423" s="2" t="str">
        <x:v>2018-01-02</x:v>
      </x:c>
      <x:c r="G423" s="2" t="str">
        <x:v>2018</x:v>
      </x:c>
      <x:c r="H423" s="2" t="str">
        <x:v>01</x:v>
      </x:c>
      <x:c r="I423" s="2" t="str">
        <x:v>승인</x:v>
      </x:c>
      <x:c r="J423" s="2" t="str">
        <x:v>심의승인</x:v>
      </x:c>
      <x:c r="K423" s="2" t="str">
        <x:f>IF(OR(J423="심의승인",J423="반려",J423="반려완료",J423="심의완료"),"종결 표시",IF(OR(J423="기후부협의",J423="문서재제출요청",J423="보류",J423="보완요청",J423="보완완료",J423="평가중",J423="반려요청",J423="평가필요",LEFT(J423,5)="보완요청("),"미종결 표시","상태 확인 필요"))</x:f>
        <x:v>종결 표시</x:v>
      </x:c>
      <x:c r="L423" s="2"/>
      <x:c r="M423" s="2"/>
      <x:c r="N423" s="8" t="n">
        <x:f>DATE(2026,10,15)-DATE(2018,1,2)</x:f>
        <x:v>3208</x:v>
      </x:c>
      <x:c r="O423" s="2"/>
      <x:c r="P423" s="2"/>
      <x:c r="Q423" s="2" t="str">
        <x:v>산업전환_외부사업관리Tool_260707_이너젠 수정_LJY_261013.xlsx</x:v>
      </x:c>
      <x:c r="R423" s="2" t="str">
        <x:v>국내평가</x:v>
      </x:c>
      <x:c r="S423" s="8" t="n">
        <x:v>326</x:v>
      </x:c>
      <x:c r="T423" s="2"/>
      <x:c r="U423" s="2" t="str"/>
      <x:c r="V423" s="2" t="str">
        <x:v>2019-01-22</x:v>
      </x:c>
      <x:c r="W423" s="2" t="str">
        <x:v>담당기관 확인</x:v>
      </x:c>
      <x:c r="X423" s="2" t="str">
        <x:v>원본·배정 기록 확인</x:v>
      </x:c>
      <x:c r="Y423" s="2" t="str">
        <x:v>ad210cd9ec132cfd447541c8984dc53d30aff0f4fb2dc92d254d49275cc55976</x:v>
      </x:c>
      <x:c r="Z423" s="2" t="n">
        <x:f>SUBTOTAL(103,A423)</x:f>
        <x:v>1</x:v>
      </x:c>
      <x:c r="AA423" s="2" t="str">
        <x:f>IF(K423&lt;&gt;"미종결 표시","대상 아님",IF(N423="","신청일 확인",IF(NOT(ISNUMBER('종합 현황'!$H$5)),"관찰기준 확인",IF('종합 현황'!$H$5&lt;1,"관찰기준 확인",IF(N423&gt;'종합 현황'!$H$5,"내부 관찰 대상","내부 관찰일 이하")))))</x:f>
        <x:v>대상 아님</x:v>
      </x:c>
      <x:c r="AB423" s="2"/>
    </x:row>
    <x:row r="424" ht="42" customHeight="1">
      <x:c r="A424" s="2" t="str">
        <x:v>c166196ec328dde3336e1bdc</x:v>
      </x:c>
      <x:c r="B424" s="2" t="str">
        <x:v>사업 평가</x:v>
      </x:c>
      <x:c r="C424" s="2" t="str">
        <x:v>국내</x:v>
      </x:c>
      <x:c r="D424" s="7" t="str">
        <x:v>(주)금성인슈텍 스팀보일러의 연료교체(B-C유&amp;LNG)를 통한 온실가스(CO2)배출 감축사업</x:v>
      </x:c>
      <x:c r="E424" s="2" t="str">
        <x:v>285</x:v>
      </x:c>
      <x:c r="F424" s="2" t="str">
        <x:v>2018-01-02</x:v>
      </x:c>
      <x:c r="G424" s="2" t="str">
        <x:v>2018</x:v>
      </x:c>
      <x:c r="H424" s="2" t="str">
        <x:v>01</x:v>
      </x:c>
      <x:c r="I424" s="2" t="str">
        <x:v>사업변경 신청</x:v>
      </x:c>
      <x:c r="J424" s="2" t="str">
        <x:v>심의승인</x:v>
      </x:c>
      <x:c r="K424" s="2" t="str">
        <x:f>IF(OR(J424="심의승인",J424="반려",J424="반려완료",J424="심의완료"),"종결 표시",IF(OR(J424="기후부협의",J424="문서재제출요청",J424="보류",J424="보완요청",J424="보완완료",J424="평가중",J424="반려요청",J424="평가필요",LEFT(J424,5)="보완요청("),"미종결 표시","상태 확인 필요"))</x:f>
        <x:v>종결 표시</x:v>
      </x:c>
      <x:c r="L424" s="2"/>
      <x:c r="M424" s="2"/>
      <x:c r="N424" s="8" t="n">
        <x:f>DATE(2026,10,15)-DATE(2018,1,2)</x:f>
        <x:v>3208</x:v>
      </x:c>
      <x:c r="O424" s="2"/>
      <x:c r="P424" s="2" t="str">
        <x:v>사업자명 변경</x:v>
      </x:c>
      <x:c r="Q424" s="2" t="str">
        <x:v>산업전환_외부사업관리Tool_260707_이너젠 수정_LJY_261013.xlsx</x:v>
      </x:c>
      <x:c r="R424" s="2" t="str">
        <x:v>국내평가</x:v>
      </x:c>
      <x:c r="S424" s="8" t="n">
        <x:v>327</x:v>
      </x:c>
      <x:c r="T424" s="2"/>
      <x:c r="U424" s="2" t="str"/>
      <x:c r="V424" s="2" t="str">
        <x:v>2020-09-15</x:v>
      </x:c>
      <x:c r="W424" s="2" t="str">
        <x:v>담당기관 확인</x:v>
      </x:c>
      <x:c r="X424" s="2" t="str">
        <x:v>원본·배정 기록 확인</x:v>
      </x:c>
      <x:c r="Y424" s="2" t="str">
        <x:v>ad210cd9ec132cfd447541c8984dc53d30aff0f4fb2dc92d254d49275cc55976</x:v>
      </x:c>
      <x:c r="Z424" s="2" t="n">
        <x:f>SUBTOTAL(103,A424)</x:f>
        <x:v>1</x:v>
      </x:c>
      <x:c r="AA424" s="2" t="str">
        <x:f>IF(K424&lt;&gt;"미종결 표시","대상 아님",IF(N424="","신청일 확인",IF(NOT(ISNUMBER('종합 현황'!$H$5)),"관찰기준 확인",IF('종합 현황'!$H$5&lt;1,"관찰기준 확인",IF(N424&gt;'종합 현황'!$H$5,"내부 관찰 대상","내부 관찰일 이하")))))</x:f>
        <x:v>대상 아님</x:v>
      </x:c>
      <x:c r="AB424" s="2"/>
    </x:row>
    <x:row r="425" ht="42" customHeight="1">
      <x:c r="A425" s="2" t="str">
        <x:v>b9785c7d47821603256d932b</x:v>
      </x:c>
      <x:c r="B425" s="2" t="str">
        <x:v>사업 평가</x:v>
      </x:c>
      <x:c r="C425" s="2" t="str">
        <x:v>국내</x:v>
      </x:c>
      <x:c r="D425" s="7" t="str">
        <x:v>동원유지 보일러 연료 전환(B-C유→목재펠릿)을 통한 온실가스 감축사업</x:v>
      </x:c>
      <x:c r="E425" s="2" t="str">
        <x:v>286</x:v>
      </x:c>
      <x:c r="F425" s="2" t="str">
        <x:v>2018-01-02</x:v>
      </x:c>
      <x:c r="G425" s="2" t="str">
        <x:v>2018</x:v>
      </x:c>
      <x:c r="H425" s="2" t="str">
        <x:v>01</x:v>
      </x:c>
      <x:c r="I425" s="2" t="str">
        <x:v>승인</x:v>
      </x:c>
      <x:c r="J425" s="2" t="str">
        <x:v>심의승인</x:v>
      </x:c>
      <x:c r="K425" s="2" t="str">
        <x:f>IF(OR(J425="심의승인",J425="반려",J425="반려완료",J425="심의완료"),"종결 표시",IF(OR(J425="기후부협의",J425="문서재제출요청",J425="보류",J425="보완요청",J425="보완완료",J425="평가중",J425="반려요청",J425="평가필요",LEFT(J425,5)="보완요청("),"미종결 표시","상태 확인 필요"))</x:f>
        <x:v>종결 표시</x:v>
      </x:c>
      <x:c r="L425" s="2"/>
      <x:c r="M425" s="2"/>
      <x:c r="N425" s="8" t="n">
        <x:f>DATE(2026,10,15)-DATE(2018,1,2)</x:f>
        <x:v>3208</x:v>
      </x:c>
      <x:c r="O425" s="2"/>
      <x:c r="P425" s="2"/>
      <x:c r="Q425" s="2" t="str">
        <x:v>산업전환_외부사업관리Tool_260707_이너젠 수정_LJY_261013.xlsx</x:v>
      </x:c>
      <x:c r="R425" s="2" t="str">
        <x:v>국내평가</x:v>
      </x:c>
      <x:c r="S425" s="8" t="n">
        <x:v>328</x:v>
      </x:c>
      <x:c r="T425" s="2"/>
      <x:c r="U425" s="2" t="str"/>
      <x:c r="V425" s="2" t="str">
        <x:v>2018-11-29</x:v>
      </x:c>
      <x:c r="W425" s="2" t="str">
        <x:v>담당기관 확인</x:v>
      </x:c>
      <x:c r="X425" s="2" t="str">
        <x:v>원본·배정 기록 확인</x:v>
      </x:c>
      <x:c r="Y425" s="2" t="str">
        <x:v>ad210cd9ec132cfd447541c8984dc53d30aff0f4fb2dc92d254d49275cc55976</x:v>
      </x:c>
      <x:c r="Z425" s="2" t="n">
        <x:f>SUBTOTAL(103,A425)</x:f>
        <x:v>1</x:v>
      </x:c>
      <x:c r="AA425" s="2" t="str">
        <x:f>IF(K425&lt;&gt;"미종결 표시","대상 아님",IF(N425="","신청일 확인",IF(NOT(ISNUMBER('종합 현황'!$H$5)),"관찰기준 확인",IF('종합 현황'!$H$5&lt;1,"관찰기준 확인",IF(N425&gt;'종합 현황'!$H$5,"내부 관찰 대상","내부 관찰일 이하")))))</x:f>
        <x:v>대상 아님</x:v>
      </x:c>
      <x:c r="AB425" s="2"/>
    </x:row>
    <x:row r="426" ht="42" customHeight="1">
      <x:c r="A426" s="2" t="str">
        <x:v>d5b65759c51a18880e778d60</x:v>
      </x:c>
      <x:c r="B426" s="2" t="str">
        <x:v>사업 평가</x:v>
      </x:c>
      <x:c r="C426" s="2" t="str">
        <x:v>국내</x:v>
      </x:c>
      <x:c r="D426" s="7" t="str">
        <x:v>골드라인 고효율 사출기 개조 및 교체를 통한 온실가스 감축사업</x:v>
      </x:c>
      <x:c r="E426" s="2" t="str">
        <x:v>287</x:v>
      </x:c>
      <x:c r="F426" s="2" t="str">
        <x:v>2018-01-02</x:v>
      </x:c>
      <x:c r="G426" s="2" t="str">
        <x:v>2018</x:v>
      </x:c>
      <x:c r="H426" s="2" t="str">
        <x:v>01</x:v>
      </x:c>
      <x:c r="I426" s="2" t="str">
        <x:v>승인</x:v>
      </x:c>
      <x:c r="J426" s="2" t="str">
        <x:v>심의승인</x:v>
      </x:c>
      <x:c r="K426" s="2" t="str">
        <x:f>IF(OR(J426="심의승인",J426="반려",J426="반려완료",J426="심의완료"),"종결 표시",IF(OR(J426="기후부협의",J426="문서재제출요청",J426="보류",J426="보완요청",J426="보완완료",J426="평가중",J426="반려요청",J426="평가필요",LEFT(J426,5)="보완요청("),"미종결 표시","상태 확인 필요"))</x:f>
        <x:v>종결 표시</x:v>
      </x:c>
      <x:c r="L426" s="2"/>
      <x:c r="M426" s="2"/>
      <x:c r="N426" s="8" t="n">
        <x:f>DATE(2026,10,15)-DATE(2018,1,2)</x:f>
        <x:v>3208</x:v>
      </x:c>
      <x:c r="O426" s="2"/>
      <x:c r="P426" s="2"/>
      <x:c r="Q426" s="2" t="str">
        <x:v>산업전환_외부사업관리Tool_260707_이너젠 수정_LJY_261013.xlsx</x:v>
      </x:c>
      <x:c r="R426" s="2" t="str">
        <x:v>국내평가</x:v>
      </x:c>
      <x:c r="S426" s="8" t="n">
        <x:v>329</x:v>
      </x:c>
      <x:c r="T426" s="2"/>
      <x:c r="U426" s="2" t="str"/>
      <x:c r="V426" s="2" t="str">
        <x:v>2019-02-11</x:v>
      </x:c>
      <x:c r="W426" s="2" t="str">
        <x:v>담당기관 확인</x:v>
      </x:c>
      <x:c r="X426" s="2" t="str">
        <x:v>원본·배정 기록 확인</x:v>
      </x:c>
      <x:c r="Y426" s="2" t="str">
        <x:v>ad210cd9ec132cfd447541c8984dc53d30aff0f4fb2dc92d254d49275cc55976</x:v>
      </x:c>
      <x:c r="Z426" s="2" t="n">
        <x:f>SUBTOTAL(103,A426)</x:f>
        <x:v>1</x:v>
      </x:c>
      <x:c r="AA426" s="2" t="str">
        <x:f>IF(K426&lt;&gt;"미종결 표시","대상 아님",IF(N426="","신청일 확인",IF(NOT(ISNUMBER('종합 현황'!$H$5)),"관찰기준 확인",IF('종합 현황'!$H$5&lt;1,"관찰기준 확인",IF(N426&gt;'종합 현황'!$H$5,"내부 관찰 대상","내부 관찰일 이하")))))</x:f>
        <x:v>대상 아님</x:v>
      </x:c>
      <x:c r="AB426" s="2"/>
    </x:row>
    <x:row r="427" ht="42" customHeight="1">
      <x:c r="A427" s="2" t="str">
        <x:v>3b8b3c3c48902fa3985e909a</x:v>
      </x:c>
      <x:c r="B427" s="2" t="str">
        <x:v>사업 평가</x:v>
      </x:c>
      <x:c r="C427" s="2" t="str">
        <x:v>국내</x:v>
      </x:c>
      <x:c r="D427" s="7" t="str">
        <x:v>㈜대성아스콘 건조공정 버너 연료전환(B-C유→LNG)을 통한 온실가스 감축사업</x:v>
      </x:c>
      <x:c r="E427" s="2" t="str">
        <x:v>288</x:v>
      </x:c>
      <x:c r="F427" s="2" t="str">
        <x:v>2018-01-02</x:v>
      </x:c>
      <x:c r="G427" s="2" t="str">
        <x:v>2018</x:v>
      </x:c>
      <x:c r="H427" s="2" t="str">
        <x:v>01</x:v>
      </x:c>
      <x:c r="I427" s="2" t="str">
        <x:v>승인</x:v>
      </x:c>
      <x:c r="J427" s="2" t="str">
        <x:v>심의승인</x:v>
      </x:c>
      <x:c r="K427" s="2" t="str">
        <x:f>IF(OR(J427="심의승인",J427="반려",J427="반려완료",J427="심의완료"),"종결 표시",IF(OR(J427="기후부협의",J427="문서재제출요청",J427="보류",J427="보완요청",J427="보완완료",J427="평가중",J427="반려요청",J427="평가필요",LEFT(J427,5)="보완요청("),"미종결 표시","상태 확인 필요"))</x:f>
        <x:v>종결 표시</x:v>
      </x:c>
      <x:c r="L427" s="2"/>
      <x:c r="M427" s="2"/>
      <x:c r="N427" s="8" t="n">
        <x:f>DATE(2026,10,15)-DATE(2018,1,2)</x:f>
        <x:v>3208</x:v>
      </x:c>
      <x:c r="O427" s="2"/>
      <x:c r="P427" s="2"/>
      <x:c r="Q427" s="2" t="str">
        <x:v>산업전환_외부사업관리Tool_260707_이너젠 수정_LJY_261013.xlsx</x:v>
      </x:c>
      <x:c r="R427" s="2" t="str">
        <x:v>국내평가</x:v>
      </x:c>
      <x:c r="S427" s="8" t="n">
        <x:v>330</x:v>
      </x:c>
      <x:c r="T427" s="2"/>
      <x:c r="U427" s="2" t="str"/>
      <x:c r="V427" s="2" t="str">
        <x:v>2018-11-29</x:v>
      </x:c>
      <x:c r="W427" s="2" t="str">
        <x:v>담당기관 확인</x:v>
      </x:c>
      <x:c r="X427" s="2" t="str">
        <x:v>원본·배정 기록 확인</x:v>
      </x:c>
      <x:c r="Y427" s="2" t="str">
        <x:v>ad210cd9ec132cfd447541c8984dc53d30aff0f4fb2dc92d254d49275cc55976</x:v>
      </x:c>
      <x:c r="Z427" s="2" t="n">
        <x:f>SUBTOTAL(103,A427)</x:f>
        <x:v>1</x:v>
      </x:c>
      <x:c r="AA427" s="2" t="str">
        <x:f>IF(K427&lt;&gt;"미종결 표시","대상 아님",IF(N427="","신청일 확인",IF(NOT(ISNUMBER('종합 현황'!$H$5)),"관찰기준 확인",IF('종합 현황'!$H$5&lt;1,"관찰기준 확인",IF(N427&gt;'종합 현황'!$H$5,"내부 관찰 대상","내부 관찰일 이하")))))</x:f>
        <x:v>대상 아님</x:v>
      </x:c>
      <x:c r="AB427" s="2"/>
    </x:row>
    <x:row r="428" ht="42" customHeight="1">
      <x:c r="A428" s="2" t="str">
        <x:v>c8102e43d4f51418dfd2cbfc</x:v>
      </x:c>
      <x:c r="B428" s="2" t="str">
        <x:v>사업 평가</x:v>
      </x:c>
      <x:c r="C428" s="2" t="str">
        <x:v>국내</x:v>
      </x:c>
      <x:c r="D428" s="7" t="str">
        <x:v>(주)와이엠 프로폴의 보일러 연료전환 (B-C유 → LNG)에 의한 온실가스(CO2) 배출 감축사업</x:v>
      </x:c>
      <x:c r="E428" s="2" t="str">
        <x:v>289</x:v>
      </x:c>
      <x:c r="F428" s="2" t="str">
        <x:v>2018-01-02</x:v>
      </x:c>
      <x:c r="G428" s="2" t="str">
        <x:v>2018</x:v>
      </x:c>
      <x:c r="H428" s="2" t="str">
        <x:v>01</x:v>
      </x:c>
      <x:c r="I428" s="2" t="str">
        <x:v>승인</x:v>
      </x:c>
      <x:c r="J428" s="2" t="str">
        <x:v>심의승인</x:v>
      </x:c>
      <x:c r="K428" s="2" t="str">
        <x:f>IF(OR(J428="심의승인",J428="반려",J428="반려완료",J428="심의완료"),"종결 표시",IF(OR(J428="기후부협의",J428="문서재제출요청",J428="보류",J428="보완요청",J428="보완완료",J428="평가중",J428="반려요청",J428="평가필요",LEFT(J428,5)="보완요청("),"미종결 표시","상태 확인 필요"))</x:f>
        <x:v>종결 표시</x:v>
      </x:c>
      <x:c r="L428" s="2"/>
      <x:c r="M428" s="2"/>
      <x:c r="N428" s="8" t="n">
        <x:f>DATE(2026,10,15)-DATE(2018,1,2)</x:f>
        <x:v>3208</x:v>
      </x:c>
      <x:c r="O428" s="2"/>
      <x:c r="P428" s="2"/>
      <x:c r="Q428" s="2" t="str">
        <x:v>산업전환_외부사업관리Tool_260707_이너젠 수정_LJY_261013.xlsx</x:v>
      </x:c>
      <x:c r="R428" s="2" t="str">
        <x:v>국내평가</x:v>
      </x:c>
      <x:c r="S428" s="8" t="n">
        <x:v>331</x:v>
      </x:c>
      <x:c r="T428" s="2"/>
      <x:c r="U428" s="2" t="str"/>
      <x:c r="V428" s="2" t="str">
        <x:v>2018-11-30</x:v>
      </x:c>
      <x:c r="W428" s="2" t="str">
        <x:v>담당기관 확인</x:v>
      </x:c>
      <x:c r="X428" s="2" t="str">
        <x:v>원본·배정 기록 확인</x:v>
      </x:c>
      <x:c r="Y428" s="2" t="str">
        <x:v>ad210cd9ec132cfd447541c8984dc53d30aff0f4fb2dc92d254d49275cc55976</x:v>
      </x:c>
      <x:c r="Z428" s="2" t="n">
        <x:f>SUBTOTAL(103,A428)</x:f>
        <x:v>1</x:v>
      </x:c>
      <x:c r="AA428" s="2" t="str">
        <x:f>IF(K428&lt;&gt;"미종결 표시","대상 아님",IF(N428="","신청일 확인",IF(NOT(ISNUMBER('종합 현황'!$H$5)),"관찰기준 확인",IF('종합 현황'!$H$5&lt;1,"관찰기준 확인",IF(N428&gt;'종합 현황'!$H$5,"내부 관찰 대상","내부 관찰일 이하")))))</x:f>
        <x:v>대상 아님</x:v>
      </x:c>
      <x:c r="AB428" s="2"/>
    </x:row>
    <x:row r="429" ht="42" customHeight="1">
      <x:c r="A429" s="2" t="str">
        <x:v>f0c92b0302d8cf40c2ca6f0c</x:v>
      </x:c>
      <x:c r="B429" s="2" t="str">
        <x:v>사업 평가</x:v>
      </x:c>
      <x:c r="C429" s="2" t="str">
        <x:v>국내</x:v>
      </x:c>
      <x:c r="D429" s="7" t="str">
        <x:v>(주)산하의 아스콘 제조 사업장의 버너연료를 B-C유에서 LNG로 연료 전환하는 온실가스 감축사업</x:v>
      </x:c>
      <x:c r="E429" s="2" t="str">
        <x:v>290</x:v>
      </x:c>
      <x:c r="F429" s="2" t="str">
        <x:v>2018-01-02</x:v>
      </x:c>
      <x:c r="G429" s="2" t="str">
        <x:v>2018</x:v>
      </x:c>
      <x:c r="H429" s="2" t="str">
        <x:v>01</x:v>
      </x:c>
      <x:c r="I429" s="2" t="str">
        <x:v>승인</x:v>
      </x:c>
      <x:c r="J429" s="2" t="str">
        <x:v>심의승인</x:v>
      </x:c>
      <x:c r="K429" s="2" t="str">
        <x:f>IF(OR(J429="심의승인",J429="반려",J429="반려완료",J429="심의완료"),"종결 표시",IF(OR(J429="기후부협의",J429="문서재제출요청",J429="보류",J429="보완요청",J429="보완완료",J429="평가중",J429="반려요청",J429="평가필요",LEFT(J429,5)="보완요청("),"미종결 표시","상태 확인 필요"))</x:f>
        <x:v>종결 표시</x:v>
      </x:c>
      <x:c r="L429" s="2"/>
      <x:c r="M429" s="2"/>
      <x:c r="N429" s="8" t="n">
        <x:f>DATE(2026,10,15)-DATE(2018,1,2)</x:f>
        <x:v>3208</x:v>
      </x:c>
      <x:c r="O429" s="2"/>
      <x:c r="P429" s="2"/>
      <x:c r="Q429" s="2" t="str">
        <x:v>산업전환_외부사업관리Tool_260707_이너젠 수정_LJY_261013.xlsx</x:v>
      </x:c>
      <x:c r="R429" s="2" t="str">
        <x:v>국내평가</x:v>
      </x:c>
      <x:c r="S429" s="8" t="n">
        <x:v>332</x:v>
      </x:c>
      <x:c r="T429" s="2"/>
      <x:c r="U429" s="2" t="str"/>
      <x:c r="V429" s="2" t="str">
        <x:v>2020-10-28</x:v>
      </x:c>
      <x:c r="W429" s="2" t="str">
        <x:v>담당기관 확인</x:v>
      </x:c>
      <x:c r="X429" s="2" t="str">
        <x:v>원본·배정 기록 확인</x:v>
      </x:c>
      <x:c r="Y429" s="2" t="str">
        <x:v>ad210cd9ec132cfd447541c8984dc53d30aff0f4fb2dc92d254d49275cc55976</x:v>
      </x:c>
      <x:c r="Z429" s="2" t="n">
        <x:f>SUBTOTAL(103,A429)</x:f>
        <x:v>1</x:v>
      </x:c>
      <x:c r="AA429" s="2" t="str">
        <x:f>IF(K429&lt;&gt;"미종결 표시","대상 아님",IF(N429="","신청일 확인",IF(NOT(ISNUMBER('종합 현황'!$H$5)),"관찰기준 확인",IF('종합 현황'!$H$5&lt;1,"관찰기준 확인",IF(N429&gt;'종합 현황'!$H$5,"내부 관찰 대상","내부 관찰일 이하")))))</x:f>
        <x:v>대상 아님</x:v>
      </x:c>
      <x:c r="AB429" s="2"/>
    </x:row>
    <x:row r="430" ht="42" customHeight="1">
      <x:c r="A430" s="2" t="str">
        <x:v>3c794584c831d928c4f9a029</x:v>
      </x:c>
      <x:c r="B430" s="2" t="str">
        <x:v>사업 평가</x:v>
      </x:c>
      <x:c r="C430" s="2" t="str">
        <x:v>국내</x:v>
      </x:c>
      <x:c r="D430" s="7" t="str">
        <x:v>(주)삼오 평택사업장 사출기  개조를 통한 설비 성능 개선에 따른 온실가스 감축사업</x:v>
      </x:c>
      <x:c r="E430" s="2" t="str">
        <x:v>291</x:v>
      </x:c>
      <x:c r="F430" s="2" t="str">
        <x:v>2018-01-02</x:v>
      </x:c>
      <x:c r="G430" s="2" t="str">
        <x:v>2018</x:v>
      </x:c>
      <x:c r="H430" s="2" t="str">
        <x:v>01</x:v>
      </x:c>
      <x:c r="I430" s="2" t="str">
        <x:v>승인</x:v>
      </x:c>
      <x:c r="J430" s="2" t="str">
        <x:v>심의승인</x:v>
      </x:c>
      <x:c r="K430" s="2" t="str">
        <x:f>IF(OR(J430="심의승인",J430="반려",J430="반려완료",J430="심의완료"),"종결 표시",IF(OR(J430="기후부협의",J430="문서재제출요청",J430="보류",J430="보완요청",J430="보완완료",J430="평가중",J430="반려요청",J430="평가필요",LEFT(J430,5)="보완요청("),"미종결 표시","상태 확인 필요"))</x:f>
        <x:v>종결 표시</x:v>
      </x:c>
      <x:c r="L430" s="2"/>
      <x:c r="M430" s="2"/>
      <x:c r="N430" s="8" t="n">
        <x:f>DATE(2026,10,15)-DATE(2018,1,2)</x:f>
        <x:v>3208</x:v>
      </x:c>
      <x:c r="O430" s="2"/>
      <x:c r="P430" s="2"/>
      <x:c r="Q430" s="2" t="str">
        <x:v>산업전환_외부사업관리Tool_260707_이너젠 수정_LJY_261013.xlsx</x:v>
      </x:c>
      <x:c r="R430" s="2" t="str">
        <x:v>국내평가</x:v>
      </x:c>
      <x:c r="S430" s="8" t="n">
        <x:v>333</x:v>
      </x:c>
      <x:c r="T430" s="2"/>
      <x:c r="U430" s="2" t="str"/>
      <x:c r="V430" s="2" t="str">
        <x:v>2019-11-15</x:v>
      </x:c>
      <x:c r="W430" s="2" t="str">
        <x:v>담당기관 확인</x:v>
      </x:c>
      <x:c r="X430" s="2" t="str">
        <x:v>원본·배정 기록 확인</x:v>
      </x:c>
      <x:c r="Y430" s="2" t="str">
        <x:v>ad210cd9ec132cfd447541c8984dc53d30aff0f4fb2dc92d254d49275cc55976</x:v>
      </x:c>
      <x:c r="Z430" s="2" t="n">
        <x:f>SUBTOTAL(103,A430)</x:f>
        <x:v>1</x:v>
      </x:c>
      <x:c r="AA430" s="2" t="str">
        <x:f>IF(K430&lt;&gt;"미종결 표시","대상 아님",IF(N430="","신청일 확인",IF(NOT(ISNUMBER('종합 현황'!$H$5)),"관찰기준 확인",IF('종합 현황'!$H$5&lt;1,"관찰기준 확인",IF(N430&gt;'종합 현황'!$H$5,"내부 관찰 대상","내부 관찰일 이하")))))</x:f>
        <x:v>대상 아님</x:v>
      </x:c>
      <x:c r="AB430" s="2"/>
    </x:row>
    <x:row r="431" ht="42" customHeight="1">
      <x:c r="A431" s="2" t="str">
        <x:v>d4a7df580e41dcc38c759aca</x:v>
      </x:c>
      <x:c r="B431" s="2" t="str">
        <x:v>사업 평가</x:v>
      </x:c>
      <x:c r="C431" s="2" t="str">
        <x:v>국내</x:v>
      </x:c>
      <x:c r="D431" s="7" t="str">
        <x:v>㈜ 상산쎄라믹 버너 연료전환(B-C유-LNG)를 통한 온실가스 감축사업</x:v>
      </x:c>
      <x:c r="E431" s="2" t="str">
        <x:v>292</x:v>
      </x:c>
      <x:c r="F431" s="2" t="str">
        <x:v>2018-01-02</x:v>
      </x:c>
      <x:c r="G431" s="2" t="str">
        <x:v>2018</x:v>
      </x:c>
      <x:c r="H431" s="2" t="str">
        <x:v>01</x:v>
      </x:c>
      <x:c r="I431" s="2" t="str">
        <x:v>승인</x:v>
      </x:c>
      <x:c r="J431" s="2" t="str">
        <x:v>심의승인</x:v>
      </x:c>
      <x:c r="K431" s="2" t="str">
        <x:f>IF(OR(J431="심의승인",J431="반려",J431="반려완료",J431="심의완료"),"종결 표시",IF(OR(J431="기후부협의",J431="문서재제출요청",J431="보류",J431="보완요청",J431="보완완료",J431="평가중",J431="반려요청",J431="평가필요",LEFT(J431,5)="보완요청("),"미종결 표시","상태 확인 필요"))</x:f>
        <x:v>종결 표시</x:v>
      </x:c>
      <x:c r="L431" s="2"/>
      <x:c r="M431" s="2"/>
      <x:c r="N431" s="8" t="n">
        <x:f>DATE(2026,10,15)-DATE(2018,1,2)</x:f>
        <x:v>3208</x:v>
      </x:c>
      <x:c r="O431" s="2"/>
      <x:c r="P431" s="2"/>
      <x:c r="Q431" s="2" t="str">
        <x:v>산업전환_외부사업관리Tool_260707_이너젠 수정_LJY_261013.xlsx</x:v>
      </x:c>
      <x:c r="R431" s="2" t="str">
        <x:v>국내평가</x:v>
      </x:c>
      <x:c r="S431" s="8" t="n">
        <x:v>334</x:v>
      </x:c>
      <x:c r="T431" s="2"/>
      <x:c r="U431" s="2" t="str"/>
      <x:c r="V431" s="2" t="str">
        <x:v>2018-11-30</x:v>
      </x:c>
      <x:c r="W431" s="2" t="str">
        <x:v>담당기관 확인</x:v>
      </x:c>
      <x:c r="X431" s="2" t="str">
        <x:v>원본·배정 기록 확인</x:v>
      </x:c>
      <x:c r="Y431" s="2" t="str">
        <x:v>ad210cd9ec132cfd447541c8984dc53d30aff0f4fb2dc92d254d49275cc55976</x:v>
      </x:c>
      <x:c r="Z431" s="2" t="n">
        <x:f>SUBTOTAL(103,A431)</x:f>
        <x:v>1</x:v>
      </x:c>
      <x:c r="AA431" s="2" t="str">
        <x:f>IF(K431&lt;&gt;"미종결 표시","대상 아님",IF(N431="","신청일 확인",IF(NOT(ISNUMBER('종합 현황'!$H$5)),"관찰기준 확인",IF('종합 현황'!$H$5&lt;1,"관찰기준 확인",IF(N431&gt;'종합 현황'!$H$5,"내부 관찰 대상","내부 관찰일 이하")))))</x:f>
        <x:v>대상 아님</x:v>
      </x:c>
      <x:c r="AB431" s="2"/>
    </x:row>
    <x:row r="432" ht="42" customHeight="1">
      <x:c r="A432" s="2" t="str">
        <x:v>c589273b20a2afc7b1dae7a6</x:v>
      </x:c>
      <x:c r="B432" s="2" t="str">
        <x:v>사업 평가</x:v>
      </x:c>
      <x:c r="C432" s="2" t="str">
        <x:v>국내</x:v>
      </x:c>
      <x:c r="D432" s="7" t="str">
        <x:v>대경화학 증기재압축장치 등(B-C유를 LNG로 연료전환) 설치를 통한 온실가스 감축사업</x:v>
      </x:c>
      <x:c r="E432" s="2" t="str">
        <x:v>293</x:v>
      </x:c>
      <x:c r="F432" s="2" t="str">
        <x:v>2018-01-02</x:v>
      </x:c>
      <x:c r="G432" s="2" t="str">
        <x:v>2018</x:v>
      </x:c>
      <x:c r="H432" s="2" t="str">
        <x:v>01</x:v>
      </x:c>
      <x:c r="I432" s="2" t="str">
        <x:v>승인</x:v>
      </x:c>
      <x:c r="J432" s="2" t="str">
        <x:v>심의승인</x:v>
      </x:c>
      <x:c r="K432" s="2" t="str">
        <x:f>IF(OR(J432="심의승인",J432="반려",J432="반려완료",J432="심의완료"),"종결 표시",IF(OR(J432="기후부협의",J432="문서재제출요청",J432="보류",J432="보완요청",J432="보완완료",J432="평가중",J432="반려요청",J432="평가필요",LEFT(J432,5)="보완요청("),"미종결 표시","상태 확인 필요"))</x:f>
        <x:v>종결 표시</x:v>
      </x:c>
      <x:c r="L432" s="2"/>
      <x:c r="M432" s="2"/>
      <x:c r="N432" s="8" t="n">
        <x:f>DATE(2026,10,15)-DATE(2018,1,2)</x:f>
        <x:v>3208</x:v>
      </x:c>
      <x:c r="O432" s="2"/>
      <x:c r="P432" s="2"/>
      <x:c r="Q432" s="2" t="str">
        <x:v>산업전환_외부사업관리Tool_260707_이너젠 수정_LJY_261013.xlsx</x:v>
      </x:c>
      <x:c r="R432" s="2" t="str">
        <x:v>국내평가</x:v>
      </x:c>
      <x:c r="S432" s="8" t="n">
        <x:v>335</x:v>
      </x:c>
      <x:c r="T432" s="2"/>
      <x:c r="U432" s="2" t="str"/>
      <x:c r="V432" s="2" t="str">
        <x:v>2018-11-30</x:v>
      </x:c>
      <x:c r="W432" s="2" t="str">
        <x:v>담당기관 확인</x:v>
      </x:c>
      <x:c r="X432" s="2" t="str">
        <x:v>원본·배정 기록 확인</x:v>
      </x:c>
      <x:c r="Y432" s="2" t="str">
        <x:v>ad210cd9ec132cfd447541c8984dc53d30aff0f4fb2dc92d254d49275cc55976</x:v>
      </x:c>
      <x:c r="Z432" s="2" t="n">
        <x:f>SUBTOTAL(103,A432)</x:f>
        <x:v>1</x:v>
      </x:c>
      <x:c r="AA432" s="2" t="str">
        <x:f>IF(K432&lt;&gt;"미종결 표시","대상 아님",IF(N432="","신청일 확인",IF(NOT(ISNUMBER('종합 현황'!$H$5)),"관찰기준 확인",IF('종합 현황'!$H$5&lt;1,"관찰기준 확인",IF(N432&gt;'종합 현황'!$H$5,"내부 관찰 대상","내부 관찰일 이하")))))</x:f>
        <x:v>대상 아님</x:v>
      </x:c>
      <x:c r="AB432" s="2"/>
    </x:row>
    <x:row r="433" ht="42" customHeight="1">
      <x:c r="A433" s="2" t="str">
        <x:v>b83ca4fa6b387d45f61747b2</x:v>
      </x:c>
      <x:c r="B433" s="2" t="str">
        <x:v>사업 평가</x:v>
      </x:c>
      <x:c r="C433" s="2" t="str">
        <x:v>국내</x:v>
      </x:c>
      <x:c r="D433" s="7" t="str">
        <x:v>성관기공 인버터형 공기압축기 설치를 통한 온실가스 감축사업</x:v>
      </x:c>
      <x:c r="E433" s="2" t="str">
        <x:v>294</x:v>
      </x:c>
      <x:c r="F433" s="2" t="str">
        <x:v>2018-01-02</x:v>
      </x:c>
      <x:c r="G433" s="2" t="str">
        <x:v>2018</x:v>
      </x:c>
      <x:c r="H433" s="2" t="str">
        <x:v>01</x:v>
      </x:c>
      <x:c r="I433" s="2" t="str">
        <x:v>승인</x:v>
      </x:c>
      <x:c r="J433" s="2" t="str">
        <x:v>심의승인</x:v>
      </x:c>
      <x:c r="K433" s="2" t="str">
        <x:f>IF(OR(J433="심의승인",J433="반려",J433="반려완료",J433="심의완료"),"종결 표시",IF(OR(J433="기후부협의",J433="문서재제출요청",J433="보류",J433="보완요청",J433="보완완료",J433="평가중",J433="반려요청",J433="평가필요",LEFT(J433,5)="보완요청("),"미종결 표시","상태 확인 필요"))</x:f>
        <x:v>종결 표시</x:v>
      </x:c>
      <x:c r="L433" s="2"/>
      <x:c r="M433" s="2"/>
      <x:c r="N433" s="8" t="n">
        <x:f>DATE(2026,10,15)-DATE(2018,1,2)</x:f>
        <x:v>3208</x:v>
      </x:c>
      <x:c r="O433" s="2"/>
      <x:c r="P433" s="2"/>
      <x:c r="Q433" s="2" t="str">
        <x:v>산업전환_외부사업관리Tool_260707_이너젠 수정_LJY_261013.xlsx</x:v>
      </x:c>
      <x:c r="R433" s="2" t="str">
        <x:v>국내평가</x:v>
      </x:c>
      <x:c r="S433" s="8" t="n">
        <x:v>336</x:v>
      </x:c>
      <x:c r="T433" s="2"/>
      <x:c r="U433" s="2" t="str"/>
      <x:c r="V433" s="2" t="str">
        <x:v>2018-12-03</x:v>
      </x:c>
      <x:c r="W433" s="2" t="str">
        <x:v>담당기관 확인</x:v>
      </x:c>
      <x:c r="X433" s="2" t="str">
        <x:v>원본·배정 기록 확인</x:v>
      </x:c>
      <x:c r="Y433" s="2" t="str">
        <x:v>ad210cd9ec132cfd447541c8984dc53d30aff0f4fb2dc92d254d49275cc55976</x:v>
      </x:c>
      <x:c r="Z433" s="2" t="n">
        <x:f>SUBTOTAL(103,A433)</x:f>
        <x:v>1</x:v>
      </x:c>
      <x:c r="AA433" s="2" t="str">
        <x:f>IF(K433&lt;&gt;"미종결 표시","대상 아님",IF(N433="","신청일 확인",IF(NOT(ISNUMBER('종합 현황'!$H$5)),"관찰기준 확인",IF('종합 현황'!$H$5&lt;1,"관찰기준 확인",IF(N433&gt;'종합 현황'!$H$5,"내부 관찰 대상","내부 관찰일 이하")))))</x:f>
        <x:v>대상 아님</x:v>
      </x:c>
      <x:c r="AB433" s="2"/>
    </x:row>
    <x:row r="434" ht="42" customHeight="1">
      <x:c r="A434" s="2" t="str">
        <x:v>c14cbab84041851c0b0a1632</x:v>
      </x:c>
      <x:c r="B434" s="2" t="str">
        <x:v>사업 평가</x:v>
      </x:c>
      <x:c r="C434" s="2" t="str">
        <x:v>국내</x:v>
      </x:c>
      <x:c r="D434" s="7" t="str">
        <x:v>폐열스팀으로 LNG 스팀보일러 생산스팀을 대체하여 CO2를 감축하는 사업</x:v>
      </x:c>
      <x:c r="E434" s="2" t="str">
        <x:v>295</x:v>
      </x:c>
      <x:c r="F434" s="2" t="str">
        <x:v>2018-01-02</x:v>
      </x:c>
      <x:c r="G434" s="2" t="str">
        <x:v>2018</x:v>
      </x:c>
      <x:c r="H434" s="2" t="str">
        <x:v>01</x:v>
      </x:c>
      <x:c r="I434" s="2" t="str">
        <x:v>승인</x:v>
      </x:c>
      <x:c r="J434" s="2" t="str">
        <x:v>심의승인</x:v>
      </x:c>
      <x:c r="K434" s="2" t="str">
        <x:f>IF(OR(J434="심의승인",J434="반려",J434="반려완료",J434="심의완료"),"종결 표시",IF(OR(J434="기후부협의",J434="문서재제출요청",J434="보류",J434="보완요청",J434="보완완료",J434="평가중",J434="반려요청",J434="평가필요",LEFT(J434,5)="보완요청("),"미종결 표시","상태 확인 필요"))</x:f>
        <x:v>종결 표시</x:v>
      </x:c>
      <x:c r="L434" s="2"/>
      <x:c r="M434" s="2"/>
      <x:c r="N434" s="8" t="n">
        <x:f>DATE(2026,10,15)-DATE(2018,1,2)</x:f>
        <x:v>3208</x:v>
      </x:c>
      <x:c r="O434" s="2"/>
      <x:c r="P434" s="2"/>
      <x:c r="Q434" s="2" t="str">
        <x:v>산업전환_외부사업관리Tool_260707_이너젠 수정_LJY_261013.xlsx</x:v>
      </x:c>
      <x:c r="R434" s="2" t="str">
        <x:v>국내평가</x:v>
      </x:c>
      <x:c r="S434" s="8" t="n">
        <x:v>337</x:v>
      </x:c>
      <x:c r="T434" s="2"/>
      <x:c r="U434" s="2" t="str"/>
      <x:c r="V434" s="2" t="str">
        <x:v>2018-12-03</x:v>
      </x:c>
      <x:c r="W434" s="2" t="str">
        <x:v>담당기관 확인</x:v>
      </x:c>
      <x:c r="X434" s="2" t="str">
        <x:v>원본·배정 기록 확인</x:v>
      </x:c>
      <x:c r="Y434" s="2" t="str">
        <x:v>ad210cd9ec132cfd447541c8984dc53d30aff0f4fb2dc92d254d49275cc55976</x:v>
      </x:c>
      <x:c r="Z434" s="2" t="n">
        <x:f>SUBTOTAL(103,A434)</x:f>
        <x:v>1</x:v>
      </x:c>
      <x:c r="AA434" s="2" t="str">
        <x:f>IF(K434&lt;&gt;"미종결 표시","대상 아님",IF(N434="","신청일 확인",IF(NOT(ISNUMBER('종합 현황'!$H$5)),"관찰기준 확인",IF('종합 현황'!$H$5&lt;1,"관찰기준 확인",IF(N434&gt;'종합 현황'!$H$5,"내부 관찰 대상","내부 관찰일 이하")))))</x:f>
        <x:v>대상 아님</x:v>
      </x:c>
      <x:c r="AB434" s="2"/>
    </x:row>
    <x:row r="435" ht="42" customHeight="1">
      <x:c r="A435" s="2" t="str">
        <x:v>df124a26333748bef4fb98a4</x:v>
      </x:c>
      <x:c r="B435" s="2" t="str">
        <x:v>사업 평가</x:v>
      </x:c>
      <x:c r="C435" s="2" t="str">
        <x:v>국내</x:v>
      </x:c>
      <x:c r="D435" s="7" t="str">
        <x:v>폐열스팀으로 기존의 LNG 및 B-C유 사용 생산스팀을 대체하여 온실가스 배출을 감축하는 사업</x:v>
      </x:c>
      <x:c r="E435" s="2" t="str">
        <x:v>296</x:v>
      </x:c>
      <x:c r="F435" s="2" t="str">
        <x:v>2018-01-02</x:v>
      </x:c>
      <x:c r="G435" s="2" t="str">
        <x:v>2018</x:v>
      </x:c>
      <x:c r="H435" s="2" t="str">
        <x:v>01</x:v>
      </x:c>
      <x:c r="I435" s="2" t="str">
        <x:v>승인</x:v>
      </x:c>
      <x:c r="J435" s="2" t="str">
        <x:v>심의승인</x:v>
      </x:c>
      <x:c r="K435" s="2" t="str">
        <x:f>IF(OR(J435="심의승인",J435="반려",J435="반려완료",J435="심의완료"),"종결 표시",IF(OR(J435="기후부협의",J435="문서재제출요청",J435="보류",J435="보완요청",J435="보완완료",J435="평가중",J435="반려요청",J435="평가필요",LEFT(J435,5)="보완요청("),"미종결 표시","상태 확인 필요"))</x:f>
        <x:v>종결 표시</x:v>
      </x:c>
      <x:c r="L435" s="2"/>
      <x:c r="M435" s="2"/>
      <x:c r="N435" s="8" t="n">
        <x:f>DATE(2026,10,15)-DATE(2018,1,2)</x:f>
        <x:v>3208</x:v>
      </x:c>
      <x:c r="O435" s="2"/>
      <x:c r="P435" s="2"/>
      <x:c r="Q435" s="2" t="str">
        <x:v>산업전환_외부사업관리Tool_260707_이너젠 수정_LJY_261013.xlsx</x:v>
      </x:c>
      <x:c r="R435" s="2" t="str">
        <x:v>국내평가</x:v>
      </x:c>
      <x:c r="S435" s="8" t="n">
        <x:v>338</x:v>
      </x:c>
      <x:c r="T435" s="2"/>
      <x:c r="U435" s="2" t="str"/>
      <x:c r="V435" s="2" t="str">
        <x:v>2018-12-03</x:v>
      </x:c>
      <x:c r="W435" s="2" t="str">
        <x:v>담당기관 확인</x:v>
      </x:c>
      <x:c r="X435" s="2" t="str">
        <x:v>원본·배정 기록 확인</x:v>
      </x:c>
      <x:c r="Y435" s="2" t="str">
        <x:v>ad210cd9ec132cfd447541c8984dc53d30aff0f4fb2dc92d254d49275cc55976</x:v>
      </x:c>
      <x:c r="Z435" s="2" t="n">
        <x:f>SUBTOTAL(103,A435)</x:f>
        <x:v>1</x:v>
      </x:c>
      <x:c r="AA435" s="2" t="str">
        <x:f>IF(K435&lt;&gt;"미종결 표시","대상 아님",IF(N435="","신청일 확인",IF(NOT(ISNUMBER('종합 현황'!$H$5)),"관찰기준 확인",IF('종합 현황'!$H$5&lt;1,"관찰기준 확인",IF(N435&gt;'종합 현황'!$H$5,"내부 관찰 대상","내부 관찰일 이하")))))</x:f>
        <x:v>대상 아님</x:v>
      </x:c>
      <x:c r="AB435" s="2"/>
    </x:row>
    <x:row r="436" ht="42" customHeight="1">
      <x:c r="A436" s="2" t="str">
        <x:v>8db3a008b8c3d15653a232a3</x:v>
      </x:c>
      <x:c r="B436" s="2" t="str">
        <x:v>사업 평가</x:v>
      </x:c>
      <x:c r="C436" s="2" t="str">
        <x:v>국내</x:v>
      </x:c>
      <x:c r="D436" s="7" t="str">
        <x:v>동화산업사의 절전형 사출 성형기 일부 설비교체 및 신규추가를 통한 설비 성능 개선 온실가스 감축사업</x:v>
      </x:c>
      <x:c r="E436" s="2" t="str">
        <x:v>297</x:v>
      </x:c>
      <x:c r="F436" s="2" t="str">
        <x:v>2018-01-02</x:v>
      </x:c>
      <x:c r="G436" s="2" t="str">
        <x:v>2018</x:v>
      </x:c>
      <x:c r="H436" s="2" t="str">
        <x:v>01</x:v>
      </x:c>
      <x:c r="I436" s="2" t="str">
        <x:v>승인</x:v>
      </x:c>
      <x:c r="J436" s="2" t="str">
        <x:v>심의승인</x:v>
      </x:c>
      <x:c r="K436" s="2" t="str">
        <x:f>IF(OR(J436="심의승인",J436="반려",J436="반려완료",J436="심의완료"),"종결 표시",IF(OR(J436="기후부협의",J436="문서재제출요청",J436="보류",J436="보완요청",J436="보완완료",J436="평가중",J436="반려요청",J436="평가필요",LEFT(J436,5)="보완요청("),"미종결 표시","상태 확인 필요"))</x:f>
        <x:v>종결 표시</x:v>
      </x:c>
      <x:c r="L436" s="2"/>
      <x:c r="M436" s="2"/>
      <x:c r="N436" s="8" t="n">
        <x:f>DATE(2026,10,15)-DATE(2018,1,2)</x:f>
        <x:v>3208</x:v>
      </x:c>
      <x:c r="O436" s="2"/>
      <x:c r="P436" s="2"/>
      <x:c r="Q436" s="2" t="str">
        <x:v>산업전환_외부사업관리Tool_260707_이너젠 수정_LJY_261013.xlsx</x:v>
      </x:c>
      <x:c r="R436" s="2" t="str">
        <x:v>국내평가</x:v>
      </x:c>
      <x:c r="S436" s="8" t="n">
        <x:v>339</x:v>
      </x:c>
      <x:c r="T436" s="2"/>
      <x:c r="U436" s="2" t="str"/>
      <x:c r="V436" s="2" t="str">
        <x:v>2018-12-03</x:v>
      </x:c>
      <x:c r="W436" s="2" t="str">
        <x:v>담당기관 확인</x:v>
      </x:c>
      <x:c r="X436" s="2" t="str">
        <x:v>원본·배정 기록 확인</x:v>
      </x:c>
      <x:c r="Y436" s="2" t="str">
        <x:v>ad210cd9ec132cfd447541c8984dc53d30aff0f4fb2dc92d254d49275cc55976</x:v>
      </x:c>
      <x:c r="Z436" s="2" t="n">
        <x:f>SUBTOTAL(103,A436)</x:f>
        <x:v>1</x:v>
      </x:c>
      <x:c r="AA436" s="2" t="str">
        <x:f>IF(K436&lt;&gt;"미종결 표시","대상 아님",IF(N436="","신청일 확인",IF(NOT(ISNUMBER('종합 현황'!$H$5)),"관찰기준 확인",IF('종합 현황'!$H$5&lt;1,"관찰기준 확인",IF(N436&gt;'종합 현황'!$H$5,"내부 관찰 대상","내부 관찰일 이하")))))</x:f>
        <x:v>대상 아님</x:v>
      </x:c>
      <x:c r="AB436" s="2"/>
    </x:row>
    <x:row r="437" ht="42" customHeight="1">
      <x:c r="A437" s="2" t="str">
        <x:v>4d7b95ed04490bc474055591</x:v>
      </x:c>
      <x:c r="B437" s="2" t="str">
        <x:v>사업 평가</x:v>
      </x:c>
      <x:c r="C437" s="2" t="str">
        <x:v>국내</x:v>
      </x:c>
      <x:c r="D437" s="7" t="str">
        <x:v>만진산업 사출기 일부교체(유압식→절전형 전동식)를 통한 온실가스(CO2) 감축사업</x:v>
      </x:c>
      <x:c r="E437" s="2" t="str">
        <x:v>298</x:v>
      </x:c>
      <x:c r="F437" s="2" t="str">
        <x:v>2018-01-02</x:v>
      </x:c>
      <x:c r="G437" s="2" t="str">
        <x:v>2018</x:v>
      </x:c>
      <x:c r="H437" s="2" t="str">
        <x:v>01</x:v>
      </x:c>
      <x:c r="I437" s="2" t="str">
        <x:v>승인</x:v>
      </x:c>
      <x:c r="J437" s="2" t="str">
        <x:v>심의승인</x:v>
      </x:c>
      <x:c r="K437" s="2" t="str">
        <x:f>IF(OR(J437="심의승인",J437="반려",J437="반려완료",J437="심의완료"),"종결 표시",IF(OR(J437="기후부협의",J437="문서재제출요청",J437="보류",J437="보완요청",J437="보완완료",J437="평가중",J437="반려요청",J437="평가필요",LEFT(J437,5)="보완요청("),"미종결 표시","상태 확인 필요"))</x:f>
        <x:v>종결 표시</x:v>
      </x:c>
      <x:c r="L437" s="2"/>
      <x:c r="M437" s="2"/>
      <x:c r="N437" s="8" t="n">
        <x:f>DATE(2026,10,15)-DATE(2018,1,2)</x:f>
        <x:v>3208</x:v>
      </x:c>
      <x:c r="O437" s="2"/>
      <x:c r="P437" s="2"/>
      <x:c r="Q437" s="2" t="str">
        <x:v>산업전환_외부사업관리Tool_260707_이너젠 수정_LJY_261013.xlsx</x:v>
      </x:c>
      <x:c r="R437" s="2" t="str">
        <x:v>국내평가</x:v>
      </x:c>
      <x:c r="S437" s="8" t="n">
        <x:v>340</x:v>
      </x:c>
      <x:c r="T437" s="2"/>
      <x:c r="U437" s="2" t="str"/>
      <x:c r="V437" s="2" t="str">
        <x:v>2018-12-03</x:v>
      </x:c>
      <x:c r="W437" s="2" t="str">
        <x:v>담당기관 확인</x:v>
      </x:c>
      <x:c r="X437" s="2" t="str">
        <x:v>원본·배정 기록 확인</x:v>
      </x:c>
      <x:c r="Y437" s="2" t="str">
        <x:v>ad210cd9ec132cfd447541c8984dc53d30aff0f4fb2dc92d254d49275cc55976</x:v>
      </x:c>
      <x:c r="Z437" s="2" t="n">
        <x:f>SUBTOTAL(103,A437)</x:f>
        <x:v>1</x:v>
      </x:c>
      <x:c r="AA437" s="2" t="str">
        <x:f>IF(K437&lt;&gt;"미종결 표시","대상 아님",IF(N437="","신청일 확인",IF(NOT(ISNUMBER('종합 현황'!$H$5)),"관찰기준 확인",IF('종합 현황'!$H$5&lt;1,"관찰기준 확인",IF(N437&gt;'종합 현황'!$H$5,"내부 관찰 대상","내부 관찰일 이하")))))</x:f>
        <x:v>대상 아님</x:v>
      </x:c>
      <x:c r="AB437" s="2"/>
    </x:row>
    <x:row r="438" ht="42" customHeight="1">
      <x:c r="A438" s="2" t="str">
        <x:v>c8fc05f2f78394cb5f7f7ddd</x:v>
      </x:c>
      <x:c r="B438" s="2" t="str">
        <x:v>사업 평가</x:v>
      </x:c>
      <x:c r="C438" s="2" t="str">
        <x:v>국내</x:v>
      </x:c>
      <x:c r="D438" s="7" t="str">
        <x:v>남양아스콘(주) 버너연료를 B-C유에서 LNG로 연료 전환 하는 온실가스감축사업</x:v>
      </x:c>
      <x:c r="E438" s="2" t="str">
        <x:v>299</x:v>
      </x:c>
      <x:c r="F438" s="2" t="str">
        <x:v>2018-01-02</x:v>
      </x:c>
      <x:c r="G438" s="2" t="str">
        <x:v>2018</x:v>
      </x:c>
      <x:c r="H438" s="2" t="str">
        <x:v>01</x:v>
      </x:c>
      <x:c r="I438" s="2" t="str">
        <x:v>승인</x:v>
      </x:c>
      <x:c r="J438" s="2" t="str">
        <x:v>심의승인</x:v>
      </x:c>
      <x:c r="K438" s="2" t="str">
        <x:f>IF(OR(J438="심의승인",J438="반려",J438="반려완료",J438="심의완료"),"종결 표시",IF(OR(J438="기후부협의",J438="문서재제출요청",J438="보류",J438="보완요청",J438="보완완료",J438="평가중",J438="반려요청",J438="평가필요",LEFT(J438,5)="보완요청("),"미종결 표시","상태 확인 필요"))</x:f>
        <x:v>종결 표시</x:v>
      </x:c>
      <x:c r="L438" s="2"/>
      <x:c r="M438" s="2"/>
      <x:c r="N438" s="8" t="n">
        <x:f>DATE(2026,10,15)-DATE(2018,1,2)</x:f>
        <x:v>3208</x:v>
      </x:c>
      <x:c r="O438" s="2"/>
      <x:c r="P438" s="2"/>
      <x:c r="Q438" s="2" t="str">
        <x:v>산업전환_외부사업관리Tool_260707_이너젠 수정_LJY_261013.xlsx</x:v>
      </x:c>
      <x:c r="R438" s="2" t="str">
        <x:v>국내평가</x:v>
      </x:c>
      <x:c r="S438" s="8" t="n">
        <x:v>341</x:v>
      </x:c>
      <x:c r="T438" s="2"/>
      <x:c r="U438" s="2" t="str"/>
      <x:c r="V438" s="2" t="str">
        <x:v>2019-02-20</x:v>
      </x:c>
      <x:c r="W438" s="2" t="str">
        <x:v>담당기관 확인</x:v>
      </x:c>
      <x:c r="X438" s="2" t="str">
        <x:v>원본·배정 기록 확인</x:v>
      </x:c>
      <x:c r="Y438" s="2" t="str">
        <x:v>ad210cd9ec132cfd447541c8984dc53d30aff0f4fb2dc92d254d49275cc55976</x:v>
      </x:c>
      <x:c r="Z438" s="2" t="n">
        <x:f>SUBTOTAL(103,A438)</x:f>
        <x:v>1</x:v>
      </x:c>
      <x:c r="AA438" s="2" t="str">
        <x:f>IF(K438&lt;&gt;"미종결 표시","대상 아님",IF(N438="","신청일 확인",IF(NOT(ISNUMBER('종합 현황'!$H$5)),"관찰기준 확인",IF('종합 현황'!$H$5&lt;1,"관찰기준 확인",IF(N438&gt;'종합 현황'!$H$5,"내부 관찰 대상","내부 관찰일 이하")))))</x:f>
        <x:v>대상 아님</x:v>
      </x:c>
      <x:c r="AB438" s="2"/>
    </x:row>
    <x:row r="439" ht="42" customHeight="1">
      <x:c r="A439" s="2" t="str">
        <x:v>023deb952b20ca257c4f6f3c</x:v>
      </x:c>
      <x:c r="B439" s="2" t="str">
        <x:v>사업 평가</x:v>
      </x:c>
      <x:c r="C439" s="2" t="str">
        <x:v>국내</x:v>
      </x:c>
      <x:c r="D439" s="7" t="str">
        <x:v>대림씨엔에스 용인공장 스팀보일러 연료교체 (c9+ → LNG)를 통한 온실가스(CO2) 감축사업</x:v>
      </x:c>
      <x:c r="E439" s="2" t="str">
        <x:v>300</x:v>
      </x:c>
      <x:c r="F439" s="2" t="str">
        <x:v>2018-01-02</x:v>
      </x:c>
      <x:c r="G439" s="2" t="str">
        <x:v>2018</x:v>
      </x:c>
      <x:c r="H439" s="2" t="str">
        <x:v>01</x:v>
      </x:c>
      <x:c r="I439" s="2" t="str">
        <x:v>승인</x:v>
      </x:c>
      <x:c r="J439" s="2" t="str">
        <x:v>심의승인</x:v>
      </x:c>
      <x:c r="K439" s="2" t="str">
        <x:f>IF(OR(J439="심의승인",J439="반려",J439="반려완료",J439="심의완료"),"종결 표시",IF(OR(J439="기후부협의",J439="문서재제출요청",J439="보류",J439="보완요청",J439="보완완료",J439="평가중",J439="반려요청",J439="평가필요",LEFT(J439,5)="보완요청("),"미종결 표시","상태 확인 필요"))</x:f>
        <x:v>종결 표시</x:v>
      </x:c>
      <x:c r="L439" s="2"/>
      <x:c r="M439" s="2"/>
      <x:c r="N439" s="8" t="n">
        <x:f>DATE(2026,10,15)-DATE(2018,1,2)</x:f>
        <x:v>3208</x:v>
      </x:c>
      <x:c r="O439" s="2"/>
      <x:c r="P439" s="2"/>
      <x:c r="Q439" s="2" t="str">
        <x:v>산업전환_외부사업관리Tool_260707_이너젠 수정_LJY_261013.xlsx</x:v>
      </x:c>
      <x:c r="R439" s="2" t="str">
        <x:v>국내평가</x:v>
      </x:c>
      <x:c r="S439" s="8" t="n">
        <x:v>342</x:v>
      </x:c>
      <x:c r="T439" s="2"/>
      <x:c r="U439" s="2" t="str"/>
      <x:c r="V439" s="2" t="str">
        <x:v>2018-11-30</x:v>
      </x:c>
      <x:c r="W439" s="2" t="str">
        <x:v>담당기관 확인</x:v>
      </x:c>
      <x:c r="X439" s="2" t="str">
        <x:v>원본·배정 기록 확인</x:v>
      </x:c>
      <x:c r="Y439" s="2" t="str">
        <x:v>ad210cd9ec132cfd447541c8984dc53d30aff0f4fb2dc92d254d49275cc55976</x:v>
      </x:c>
      <x:c r="Z439" s="2" t="n">
        <x:f>SUBTOTAL(103,A439)</x:f>
        <x:v>1</x:v>
      </x:c>
      <x:c r="AA439" s="2" t="str">
        <x:f>IF(K439&lt;&gt;"미종결 표시","대상 아님",IF(N439="","신청일 확인",IF(NOT(ISNUMBER('종합 현황'!$H$5)),"관찰기준 확인",IF('종합 현황'!$H$5&lt;1,"관찰기준 확인",IF(N439&gt;'종합 현황'!$H$5,"내부 관찰 대상","내부 관찰일 이하")))))</x:f>
        <x:v>대상 아님</x:v>
      </x:c>
      <x:c r="AB439" s="2"/>
    </x:row>
    <x:row r="440" ht="42" customHeight="1">
      <x:c r="A440" s="2" t="str">
        <x:v>b7bc2f6fb32a8bf9e2bd8664</x:v>
      </x:c>
      <x:c r="B440" s="2" t="str">
        <x:v>사업 평가</x:v>
      </x:c>
      <x:c r="C440" s="2" t="str">
        <x:v>국내</x:v>
      </x:c>
      <x:c r="D440" s="7" t="str">
        <x:v>대흥산업 열매체 보일러의 연료교체(B-C유→LNG)를 통한 온실가스(CO2) 배출 감축사업</x:v>
      </x:c>
      <x:c r="E440" s="2" t="str">
        <x:v>301</x:v>
      </x:c>
      <x:c r="F440" s="2" t="str">
        <x:v>2018-01-02</x:v>
      </x:c>
      <x:c r="G440" s="2" t="str">
        <x:v>2018</x:v>
      </x:c>
      <x:c r="H440" s="2" t="str">
        <x:v>01</x:v>
      </x:c>
      <x:c r="I440" s="2" t="str">
        <x:v>승인</x:v>
      </x:c>
      <x:c r="J440" s="2" t="str">
        <x:v>심의승인</x:v>
      </x:c>
      <x:c r="K440" s="2" t="str">
        <x:f>IF(OR(J440="심의승인",J440="반려",J440="반려완료",J440="심의완료"),"종결 표시",IF(OR(J440="기후부협의",J440="문서재제출요청",J440="보류",J440="보완요청",J440="보완완료",J440="평가중",J440="반려요청",J440="평가필요",LEFT(J440,5)="보완요청("),"미종결 표시","상태 확인 필요"))</x:f>
        <x:v>종결 표시</x:v>
      </x:c>
      <x:c r="L440" s="2"/>
      <x:c r="M440" s="2"/>
      <x:c r="N440" s="8" t="n">
        <x:f>DATE(2026,10,15)-DATE(2018,1,2)</x:f>
        <x:v>3208</x:v>
      </x:c>
      <x:c r="O440" s="2"/>
      <x:c r="P440" s="2"/>
      <x:c r="Q440" s="2" t="str">
        <x:v>산업전환_외부사업관리Tool_260707_이너젠 수정_LJY_261013.xlsx</x:v>
      </x:c>
      <x:c r="R440" s="2" t="str">
        <x:v>국내평가</x:v>
      </x:c>
      <x:c r="S440" s="8" t="n">
        <x:v>343</x:v>
      </x:c>
      <x:c r="T440" s="2" t="str">
        <x:v>2021년 처리</x:v>
      </x:c>
      <x:c r="U440" s="2" t="str">
        <x:v>2021 배정: 2021년 처리</x:v>
      </x:c>
      <x:c r="V440" s="2" t="str">
        <x:v>2021-07-23</x:v>
      </x:c>
      <x:c r="W440" s="2" t="str">
        <x:v>담당기관 확인</x:v>
      </x:c>
      <x:c r="X440" s="2" t="str">
        <x:v>원본·배정 기록 확인</x:v>
      </x:c>
      <x:c r="Y440" s="2" t="str">
        <x:v>ad210cd9ec132cfd447541c8984dc53d30aff0f4fb2dc92d254d49275cc55976</x:v>
      </x:c>
      <x:c r="Z440" s="2" t="n">
        <x:f>SUBTOTAL(103,A440)</x:f>
        <x:v>1</x:v>
      </x:c>
      <x:c r="AA440" s="2" t="str">
        <x:f>IF(K440&lt;&gt;"미종결 표시","대상 아님",IF(N440="","신청일 확인",IF(NOT(ISNUMBER('종합 현황'!$H$5)),"관찰기준 확인",IF('종합 현황'!$H$5&lt;1,"관찰기준 확인",IF(N440&gt;'종합 현황'!$H$5,"내부 관찰 대상","내부 관찰일 이하")))))</x:f>
        <x:v>대상 아님</x:v>
      </x:c>
      <x:c r="AB440" s="2"/>
    </x:row>
    <x:row r="441" ht="42" customHeight="1">
      <x:c r="A441" s="2" t="str">
        <x:v>c4c0c9191b60aa551c8d96cd</x:v>
      </x:c>
      <x:c r="B441" s="2" t="str">
        <x:v>사업 평가</x:v>
      </x:c>
      <x:c r="C441" s="2" t="str">
        <x:v>국내</x:v>
      </x:c>
      <x:c r="D441" s="7" t="str">
        <x:v>동보피엔티 목재펠릿 연료 전환을 통한 온실가스 감축사업</x:v>
      </x:c>
      <x:c r="E441" s="2" t="str">
        <x:v>302</x:v>
      </x:c>
      <x:c r="F441" s="2" t="str">
        <x:v>2018-01-02</x:v>
      </x:c>
      <x:c r="G441" s="2" t="str">
        <x:v>2018</x:v>
      </x:c>
      <x:c r="H441" s="2" t="str">
        <x:v>01</x:v>
      </x:c>
      <x:c r="I441" s="2" t="str">
        <x:v>승인</x:v>
      </x:c>
      <x:c r="J441" s="2" t="str">
        <x:v>심의승인</x:v>
      </x:c>
      <x:c r="K441" s="2" t="str">
        <x:f>IF(OR(J441="심의승인",J441="반려",J441="반려완료",J441="심의완료"),"종결 표시",IF(OR(J441="기후부협의",J441="문서재제출요청",J441="보류",J441="보완요청",J441="보완완료",J441="평가중",J441="반려요청",J441="평가필요",LEFT(J441,5)="보완요청("),"미종결 표시","상태 확인 필요"))</x:f>
        <x:v>종결 표시</x:v>
      </x:c>
      <x:c r="L441" s="2"/>
      <x:c r="M441" s="2"/>
      <x:c r="N441" s="8" t="n">
        <x:f>DATE(2026,10,15)-DATE(2018,1,2)</x:f>
        <x:v>3208</x:v>
      </x:c>
      <x:c r="O441" s="2"/>
      <x:c r="P441" s="2"/>
      <x:c r="Q441" s="2" t="str">
        <x:v>산업전환_외부사업관리Tool_260707_이너젠 수정_LJY_261013.xlsx</x:v>
      </x:c>
      <x:c r="R441" s="2" t="str">
        <x:v>국내평가</x:v>
      </x:c>
      <x:c r="S441" s="8" t="n">
        <x:v>344</x:v>
      </x:c>
      <x:c r="T441" s="2"/>
      <x:c r="U441" s="2" t="str"/>
      <x:c r="V441" s="2" t="str">
        <x:v>2018-12-03</x:v>
      </x:c>
      <x:c r="W441" s="2" t="str">
        <x:v>담당기관 확인</x:v>
      </x:c>
      <x:c r="X441" s="2" t="str">
        <x:v>원본·배정 기록 확인</x:v>
      </x:c>
      <x:c r="Y441" s="2" t="str">
        <x:v>ad210cd9ec132cfd447541c8984dc53d30aff0f4fb2dc92d254d49275cc55976</x:v>
      </x:c>
      <x:c r="Z441" s="2" t="n">
        <x:f>SUBTOTAL(103,A441)</x:f>
        <x:v>1</x:v>
      </x:c>
      <x:c r="AA441" s="2" t="str">
        <x:f>IF(K441&lt;&gt;"미종결 표시","대상 아님",IF(N441="","신청일 확인",IF(NOT(ISNUMBER('종합 현황'!$H$5)),"관찰기준 확인",IF('종합 현황'!$H$5&lt;1,"관찰기준 확인",IF(N441&gt;'종합 현황'!$H$5,"내부 관찰 대상","내부 관찰일 이하")))))</x:f>
        <x:v>대상 아님</x:v>
      </x:c>
      <x:c r="AB441" s="2"/>
    </x:row>
    <x:row r="442" ht="42" customHeight="1">
      <x:c r="A442" s="2" t="str">
        <x:v>021dc93f819830013d9e8de1</x:v>
      </x:c>
      <x:c r="B442" s="2" t="str">
        <x:v>사업 평가</x:v>
      </x:c>
      <x:c r="C442" s="2" t="str">
        <x:v>국내</x:v>
      </x:c>
      <x:c r="D442" s="7" t="str">
        <x:v>동원유지 목재펠릿 연료 전환을 통한 온실가스 감축사업</x:v>
      </x:c>
      <x:c r="E442" s="2" t="str">
        <x:v>303</x:v>
      </x:c>
      <x:c r="F442" s="2" t="str">
        <x:v>2018-01-02</x:v>
      </x:c>
      <x:c r="G442" s="2" t="str">
        <x:v>2018</x:v>
      </x:c>
      <x:c r="H442" s="2" t="str">
        <x:v>01</x:v>
      </x:c>
      <x:c r="I442" s="2" t="str">
        <x:v>승인</x:v>
      </x:c>
      <x:c r="J442" s="2" t="str">
        <x:v>심의승인</x:v>
      </x:c>
      <x:c r="K442" s="2" t="str">
        <x:f>IF(OR(J442="심의승인",J442="반려",J442="반려완료",J442="심의완료"),"종결 표시",IF(OR(J442="기후부협의",J442="문서재제출요청",J442="보류",J442="보완요청",J442="보완완료",J442="평가중",J442="반려요청",J442="평가필요",LEFT(J442,5)="보완요청("),"미종결 표시","상태 확인 필요"))</x:f>
        <x:v>종결 표시</x:v>
      </x:c>
      <x:c r="L442" s="2"/>
      <x:c r="M442" s="2"/>
      <x:c r="N442" s="8" t="n">
        <x:f>DATE(2026,10,15)-DATE(2018,1,2)</x:f>
        <x:v>3208</x:v>
      </x:c>
      <x:c r="O442" s="2"/>
      <x:c r="P442" s="2"/>
      <x:c r="Q442" s="2" t="str">
        <x:v>산업전환_외부사업관리Tool_260707_이너젠 수정_LJY_261013.xlsx</x:v>
      </x:c>
      <x:c r="R442" s="2" t="str">
        <x:v>국내평가</x:v>
      </x:c>
      <x:c r="S442" s="8" t="n">
        <x:v>345</x:v>
      </x:c>
      <x:c r="T442" s="2"/>
      <x:c r="U442" s="2" t="str"/>
      <x:c r="V442" s="2" t="str">
        <x:v>2018-12-03</x:v>
      </x:c>
      <x:c r="W442" s="2" t="str">
        <x:v>담당기관 확인</x:v>
      </x:c>
      <x:c r="X442" s="2" t="str">
        <x:v>원본·배정 기록 확인</x:v>
      </x:c>
      <x:c r="Y442" s="2" t="str">
        <x:v>ad210cd9ec132cfd447541c8984dc53d30aff0f4fb2dc92d254d49275cc55976</x:v>
      </x:c>
      <x:c r="Z442" s="2" t="n">
        <x:f>SUBTOTAL(103,A442)</x:f>
        <x:v>1</x:v>
      </x:c>
      <x:c r="AA442" s="2" t="str">
        <x:f>IF(K442&lt;&gt;"미종결 표시","대상 아님",IF(N442="","신청일 확인",IF(NOT(ISNUMBER('종합 현황'!$H$5)),"관찰기준 확인",IF('종합 현황'!$H$5&lt;1,"관찰기준 확인",IF(N442&gt;'종합 현황'!$H$5,"내부 관찰 대상","내부 관찰일 이하")))))</x:f>
        <x:v>대상 아님</x:v>
      </x:c>
      <x:c r="AB442" s="2"/>
    </x:row>
    <x:row r="443" ht="42" customHeight="1">
      <x:c r="A443" s="2" t="str">
        <x:v>88b30a5dadc71872bd4deed6</x:v>
      </x:c>
      <x:c r="B443" s="2" t="str">
        <x:v>사업 평가</x:v>
      </x:c>
      <x:c r="C443" s="2" t="str">
        <x:v>국내</x:v>
      </x:c>
      <x:c r="D443" s="7" t="str">
        <x:v>대동EPS의 보일러 교체(B-C유 -&gt;목재펠릿보일러)를 통한 온실가스 감축사업</x:v>
      </x:c>
      <x:c r="E443" s="2" t="str">
        <x:v>304</x:v>
      </x:c>
      <x:c r="F443" s="2" t="str">
        <x:v>2018-01-02</x:v>
      </x:c>
      <x:c r="G443" s="2" t="str">
        <x:v>2018</x:v>
      </x:c>
      <x:c r="H443" s="2" t="str">
        <x:v>01</x:v>
      </x:c>
      <x:c r="I443" s="2" t="str">
        <x:v>승인</x:v>
      </x:c>
      <x:c r="J443" s="2" t="str">
        <x:v>심의승인</x:v>
      </x:c>
      <x:c r="K443" s="2" t="str">
        <x:f>IF(OR(J443="심의승인",J443="반려",J443="반려완료",J443="심의완료"),"종결 표시",IF(OR(J443="기후부협의",J443="문서재제출요청",J443="보류",J443="보완요청",J443="보완완료",J443="평가중",J443="반려요청",J443="평가필요",LEFT(J443,5)="보완요청("),"미종결 표시","상태 확인 필요"))</x:f>
        <x:v>종결 표시</x:v>
      </x:c>
      <x:c r="L443" s="2"/>
      <x:c r="M443" s="2"/>
      <x:c r="N443" s="8" t="n">
        <x:f>DATE(2026,10,15)-DATE(2018,1,2)</x:f>
        <x:v>3208</x:v>
      </x:c>
      <x:c r="O443" s="2"/>
      <x:c r="P443" s="2"/>
      <x:c r="Q443" s="2" t="str">
        <x:v>산업전환_외부사업관리Tool_260707_이너젠 수정_LJY_261013.xlsx</x:v>
      </x:c>
      <x:c r="R443" s="2" t="str">
        <x:v>국내평가</x:v>
      </x:c>
      <x:c r="S443" s="8" t="n">
        <x:v>346</x:v>
      </x:c>
      <x:c r="T443" s="2"/>
      <x:c r="U443" s="2" t="str"/>
      <x:c r="V443" s="2" t="str">
        <x:v>2018-11-30</x:v>
      </x:c>
      <x:c r="W443" s="2" t="str">
        <x:v>담당기관 확인</x:v>
      </x:c>
      <x:c r="X443" s="2" t="str">
        <x:v>원본·배정 기록 확인</x:v>
      </x:c>
      <x:c r="Y443" s="2" t="str">
        <x:v>ad210cd9ec132cfd447541c8984dc53d30aff0f4fb2dc92d254d49275cc55976</x:v>
      </x:c>
      <x:c r="Z443" s="2" t="n">
        <x:f>SUBTOTAL(103,A443)</x:f>
        <x:v>1</x:v>
      </x:c>
      <x:c r="AA443" s="2" t="str">
        <x:f>IF(K443&lt;&gt;"미종결 표시","대상 아님",IF(N443="","신청일 확인",IF(NOT(ISNUMBER('종합 현황'!$H$5)),"관찰기준 확인",IF('종합 현황'!$H$5&lt;1,"관찰기준 확인",IF(N443&gt;'종합 현황'!$H$5,"내부 관찰 대상","내부 관찰일 이하")))))</x:f>
        <x:v>대상 아님</x:v>
      </x:c>
      <x:c r="AB443" s="2"/>
    </x:row>
    <x:row r="444" ht="42" customHeight="1">
      <x:c r="A444" s="2" t="str">
        <x:v>93cc91102f1a9c7470fb107d</x:v>
      </x:c>
      <x:c r="B444" s="2" t="str">
        <x:v>사업 평가</x:v>
      </x:c>
      <x:c r="C444" s="2" t="str">
        <x:v>국내</x:v>
      </x:c>
      <x:c r="D444" s="7" t="str">
        <x:v>도형아스콘 버너 연료전환을 통한 온실가스 감축사업</x:v>
      </x:c>
      <x:c r="E444" s="2" t="str">
        <x:v>305</x:v>
      </x:c>
      <x:c r="F444" s="2" t="str">
        <x:v>2018-01-02</x:v>
      </x:c>
      <x:c r="G444" s="2" t="str">
        <x:v>2018</x:v>
      </x:c>
      <x:c r="H444" s="2" t="str">
        <x:v>01</x:v>
      </x:c>
      <x:c r="I444" s="2" t="str">
        <x:v>승인</x:v>
      </x:c>
      <x:c r="J444" s="2" t="str">
        <x:v>심의승인</x:v>
      </x:c>
      <x:c r="K444" s="2" t="str">
        <x:f>IF(OR(J444="심의승인",J444="반려",J444="반려완료",J444="심의완료"),"종결 표시",IF(OR(J444="기후부협의",J444="문서재제출요청",J444="보류",J444="보완요청",J444="보완완료",J444="평가중",J444="반려요청",J444="평가필요",LEFT(J444,5)="보완요청("),"미종결 표시","상태 확인 필요"))</x:f>
        <x:v>종결 표시</x:v>
      </x:c>
      <x:c r="L444" s="2"/>
      <x:c r="M444" s="2"/>
      <x:c r="N444" s="8" t="n">
        <x:f>DATE(2026,10,15)-DATE(2018,1,2)</x:f>
        <x:v>3208</x:v>
      </x:c>
      <x:c r="O444" s="2"/>
      <x:c r="P444" s="2"/>
      <x:c r="Q444" s="2" t="str">
        <x:v>산업전환_외부사업관리Tool_260707_이너젠 수정_LJY_261013.xlsx</x:v>
      </x:c>
      <x:c r="R444" s="2" t="str">
        <x:v>국내평가</x:v>
      </x:c>
      <x:c r="S444" s="8" t="n">
        <x:v>347</x:v>
      </x:c>
      <x:c r="T444" s="2"/>
      <x:c r="U444" s="2" t="str"/>
      <x:c r="V444" s="2" t="str">
        <x:v>2018-12-03</x:v>
      </x:c>
      <x:c r="W444" s="2" t="str">
        <x:v>담당기관 확인</x:v>
      </x:c>
      <x:c r="X444" s="2" t="str">
        <x:v>원본·배정 기록 확인</x:v>
      </x:c>
      <x:c r="Y444" s="2" t="str">
        <x:v>ad210cd9ec132cfd447541c8984dc53d30aff0f4fb2dc92d254d49275cc55976</x:v>
      </x:c>
      <x:c r="Z444" s="2" t="n">
        <x:f>SUBTOTAL(103,A444)</x:f>
        <x:v>1</x:v>
      </x:c>
      <x:c r="AA444" s="2" t="str">
        <x:f>IF(K444&lt;&gt;"미종결 표시","대상 아님",IF(N444="","신청일 확인",IF(NOT(ISNUMBER('종합 현황'!$H$5)),"관찰기준 확인",IF('종합 현황'!$H$5&lt;1,"관찰기준 확인",IF(N444&gt;'종합 현황'!$H$5,"내부 관찰 대상","내부 관찰일 이하")))))</x:f>
        <x:v>대상 아님</x:v>
      </x:c>
      <x:c r="AB444" s="2"/>
    </x:row>
    <x:row r="445" ht="42" customHeight="1">
      <x:c r="A445" s="2" t="str">
        <x:v>705a8af93761bae3b0c98d60</x:v>
      </x:c>
      <x:c r="B445" s="2" t="str">
        <x:v>사업 평가</x:v>
      </x:c>
      <x:c r="C445" s="2" t="str">
        <x:v>국내</x:v>
      </x:c>
      <x:c r="D445" s="7" t="str">
        <x:v>동양제지공업 보일러 연료 전환([B-C유+정제유]→LNG) 온실가스 감축사업</x:v>
      </x:c>
      <x:c r="E445" s="2" t="str">
        <x:v>306</x:v>
      </x:c>
      <x:c r="F445" s="2" t="str">
        <x:v>2018-01-02</x:v>
      </x:c>
      <x:c r="G445" s="2" t="str">
        <x:v>2018</x:v>
      </x:c>
      <x:c r="H445" s="2" t="str">
        <x:v>01</x:v>
      </x:c>
      <x:c r="I445" s="2" t="str">
        <x:v>승인</x:v>
      </x:c>
      <x:c r="J445" s="2" t="str">
        <x:v>심의승인</x:v>
      </x:c>
      <x:c r="K445" s="2" t="str">
        <x:f>IF(OR(J445="심의승인",J445="반려",J445="반려완료",J445="심의완료"),"종결 표시",IF(OR(J445="기후부협의",J445="문서재제출요청",J445="보류",J445="보완요청",J445="보완완료",J445="평가중",J445="반려요청",J445="평가필요",LEFT(J445,5)="보완요청("),"미종결 표시","상태 확인 필요"))</x:f>
        <x:v>종결 표시</x:v>
      </x:c>
      <x:c r="L445" s="2"/>
      <x:c r="M445" s="2"/>
      <x:c r="N445" s="8" t="n">
        <x:f>DATE(2026,10,15)-DATE(2018,1,2)</x:f>
        <x:v>3208</x:v>
      </x:c>
      <x:c r="O445" s="2"/>
      <x:c r="P445" s="2"/>
      <x:c r="Q445" s="2" t="str">
        <x:v>산업전환_외부사업관리Tool_260707_이너젠 수정_LJY_261013.xlsx</x:v>
      </x:c>
      <x:c r="R445" s="2" t="str">
        <x:v>국내평가</x:v>
      </x:c>
      <x:c r="S445" s="8" t="n">
        <x:v>348</x:v>
      </x:c>
      <x:c r="T445" s="2"/>
      <x:c r="U445" s="2" t="str"/>
      <x:c r="V445" s="2" t="str">
        <x:v>2018-12-03</x:v>
      </x:c>
      <x:c r="W445" s="2" t="str">
        <x:v>담당기관 확인</x:v>
      </x:c>
      <x:c r="X445" s="2" t="str">
        <x:v>원본·배정 기록 확인</x:v>
      </x:c>
      <x:c r="Y445" s="2" t="str">
        <x:v>ad210cd9ec132cfd447541c8984dc53d30aff0f4fb2dc92d254d49275cc55976</x:v>
      </x:c>
      <x:c r="Z445" s="2" t="n">
        <x:f>SUBTOTAL(103,A445)</x:f>
        <x:v>1</x:v>
      </x:c>
      <x:c r="AA445" s="2" t="str">
        <x:f>IF(K445&lt;&gt;"미종결 표시","대상 아님",IF(N445="","신청일 확인",IF(NOT(ISNUMBER('종합 현황'!$H$5)),"관찰기준 확인",IF('종합 현황'!$H$5&lt;1,"관찰기준 확인",IF(N445&gt;'종합 현황'!$H$5,"내부 관찰 대상","내부 관찰일 이하")))))</x:f>
        <x:v>대상 아님</x:v>
      </x:c>
      <x:c r="AB445" s="2"/>
    </x:row>
    <x:row r="446" ht="42" customHeight="1">
      <x:c r="A446" s="2" t="str">
        <x:v>349fbb43c7f6205f8ddcc72b</x:v>
      </x:c>
      <x:c r="B446" s="2" t="str">
        <x:v>사업 평가</x:v>
      </x:c>
      <x:c r="C446" s="2" t="str">
        <x:v>국내</x:v>
      </x:c>
      <x:c r="D446" s="7" t="str">
        <x:v>동호칼슘(주)의 보일러 연료전환(벙커C유-&gt;LNG)을 통한 온실가스 배출 감축사업</x:v>
      </x:c>
      <x:c r="E446" s="2" t="str">
        <x:v>307</x:v>
      </x:c>
      <x:c r="F446" s="2" t="str">
        <x:v>2018-01-02</x:v>
      </x:c>
      <x:c r="G446" s="2" t="str">
        <x:v>2018</x:v>
      </x:c>
      <x:c r="H446" s="2" t="str">
        <x:v>01</x:v>
      </x:c>
      <x:c r="I446" s="2" t="str">
        <x:v>승인</x:v>
      </x:c>
      <x:c r="J446" s="2" t="str">
        <x:v>심의승인</x:v>
      </x:c>
      <x:c r="K446" s="2" t="str">
        <x:f>IF(OR(J446="심의승인",J446="반려",J446="반려완료",J446="심의완료"),"종결 표시",IF(OR(J446="기후부협의",J446="문서재제출요청",J446="보류",J446="보완요청",J446="보완완료",J446="평가중",J446="반려요청",J446="평가필요",LEFT(J446,5)="보완요청("),"미종결 표시","상태 확인 필요"))</x:f>
        <x:v>종결 표시</x:v>
      </x:c>
      <x:c r="L446" s="2"/>
      <x:c r="M446" s="2"/>
      <x:c r="N446" s="8" t="n">
        <x:f>DATE(2026,10,15)-DATE(2018,1,2)</x:f>
        <x:v>3208</x:v>
      </x:c>
      <x:c r="O446" s="2"/>
      <x:c r="P446" s="2"/>
      <x:c r="Q446" s="2" t="str">
        <x:v>산업전환_외부사업관리Tool_260707_이너젠 수정_LJY_261013.xlsx</x:v>
      </x:c>
      <x:c r="R446" s="2" t="str">
        <x:v>국내평가</x:v>
      </x:c>
      <x:c r="S446" s="8" t="n">
        <x:v>349</x:v>
      </x:c>
      <x:c r="T446" s="2"/>
      <x:c r="U446" s="2" t="str"/>
      <x:c r="V446" s="2" t="str">
        <x:v>2018-12-12</x:v>
      </x:c>
      <x:c r="W446" s="2" t="str">
        <x:v>담당기관 확인</x:v>
      </x:c>
      <x:c r="X446" s="2" t="str">
        <x:v>원본·배정 기록 확인</x:v>
      </x:c>
      <x:c r="Y446" s="2" t="str">
        <x:v>ad210cd9ec132cfd447541c8984dc53d30aff0f4fb2dc92d254d49275cc55976</x:v>
      </x:c>
      <x:c r="Z446" s="2" t="n">
        <x:f>SUBTOTAL(103,A446)</x:f>
        <x:v>1</x:v>
      </x:c>
      <x:c r="AA446" s="2" t="str">
        <x:f>IF(K446&lt;&gt;"미종결 표시","대상 아님",IF(N446="","신청일 확인",IF(NOT(ISNUMBER('종합 현황'!$H$5)),"관찰기준 확인",IF('종합 현황'!$H$5&lt;1,"관찰기준 확인",IF(N446&gt;'종합 현황'!$H$5,"내부 관찰 대상","내부 관찰일 이하")))))</x:f>
        <x:v>대상 아님</x:v>
      </x:c>
      <x:c r="AB446" s="2"/>
    </x:row>
    <x:row r="447" ht="42" customHeight="1">
      <x:c r="A447" s="2" t="str">
        <x:v>f6669da32d6d99a2eaa74f74</x:v>
      </x:c>
      <x:c r="B447" s="2" t="str">
        <x:v>사업 평가</x:v>
      </x:c>
      <x:c r="C447" s="2" t="str">
        <x:v>국내</x:v>
      </x:c>
      <x:c r="D447" s="7" t="str">
        <x:v>블루텍스 버너교체 연료전환(B-C유 → LPG)을 통한 온실가스 감축 사업</x:v>
      </x:c>
      <x:c r="E447" s="2" t="str">
        <x:v>308</x:v>
      </x:c>
      <x:c r="F447" s="2" t="str">
        <x:v>2018-01-02</x:v>
      </x:c>
      <x:c r="G447" s="2" t="str">
        <x:v>2018</x:v>
      </x:c>
      <x:c r="H447" s="2" t="str">
        <x:v>01</x:v>
      </x:c>
      <x:c r="I447" s="2" t="str">
        <x:v>승인</x:v>
      </x:c>
      <x:c r="J447" s="2" t="str">
        <x:v>심의승인</x:v>
      </x:c>
      <x:c r="K447" s="2" t="str">
        <x:f>IF(OR(J447="심의승인",J447="반려",J447="반려완료",J447="심의완료"),"종결 표시",IF(OR(J447="기후부협의",J447="문서재제출요청",J447="보류",J447="보완요청",J447="보완완료",J447="평가중",J447="반려요청",J447="평가필요",LEFT(J447,5)="보완요청("),"미종결 표시","상태 확인 필요"))</x:f>
        <x:v>종결 표시</x:v>
      </x:c>
      <x:c r="L447" s="2"/>
      <x:c r="M447" s="2"/>
      <x:c r="N447" s="8" t="n">
        <x:f>DATE(2026,10,15)-DATE(2018,1,2)</x:f>
        <x:v>3208</x:v>
      </x:c>
      <x:c r="O447" s="2"/>
      <x:c r="P447" s="2"/>
      <x:c r="Q447" s="2" t="str">
        <x:v>산업전환_외부사업관리Tool_260707_이너젠 수정_LJY_261013.xlsx</x:v>
      </x:c>
      <x:c r="R447" s="2" t="str">
        <x:v>국내평가</x:v>
      </x:c>
      <x:c r="S447" s="8" t="n">
        <x:v>350</x:v>
      </x:c>
      <x:c r="T447" s="2"/>
      <x:c r="U447" s="2" t="str"/>
      <x:c r="V447" s="2" t="str">
        <x:v>2018-12-03</x:v>
      </x:c>
      <x:c r="W447" s="2" t="str">
        <x:v>담당기관 확인</x:v>
      </x:c>
      <x:c r="X447" s="2" t="str">
        <x:v>원본·배정 기록 확인</x:v>
      </x:c>
      <x:c r="Y447" s="2" t="str">
        <x:v>ad210cd9ec132cfd447541c8984dc53d30aff0f4fb2dc92d254d49275cc55976</x:v>
      </x:c>
      <x:c r="Z447" s="2" t="n">
        <x:f>SUBTOTAL(103,A447)</x:f>
        <x:v>1</x:v>
      </x:c>
      <x:c r="AA447" s="2" t="str">
        <x:f>IF(K447&lt;&gt;"미종결 표시","대상 아님",IF(N447="","신청일 확인",IF(NOT(ISNUMBER('종합 현황'!$H$5)),"관찰기준 확인",IF('종합 현황'!$H$5&lt;1,"관찰기준 확인",IF(N447&gt;'종합 현황'!$H$5,"내부 관찰 대상","내부 관찰일 이하")))))</x:f>
        <x:v>대상 아님</x:v>
      </x:c>
      <x:c r="AB447" s="2"/>
    </x:row>
    <x:row r="448" ht="42" customHeight="1">
      <x:c r="A448" s="2" t="str">
        <x:v>c3af4b8fb46354734d501656</x:v>
      </x:c>
      <x:c r="B448" s="2" t="str">
        <x:v>사업 평가</x:v>
      </x:c>
      <x:c r="C448" s="2" t="str">
        <x:v>국내</x:v>
      </x:c>
      <x:c r="D448" s="7" t="str">
        <x:v>산청토기와 버너교체 연료전환(c9+,LPG → LNG)를 통한 온실가스(CO2) 감축사업</x:v>
      </x:c>
      <x:c r="E448" s="2" t="str">
        <x:v>309</x:v>
      </x:c>
      <x:c r="F448" s="2" t="str">
        <x:v>2018-01-02</x:v>
      </x:c>
      <x:c r="G448" s="2" t="str">
        <x:v>2018</x:v>
      </x:c>
      <x:c r="H448" s="2" t="str">
        <x:v>01</x:v>
      </x:c>
      <x:c r="I448" s="2" t="str">
        <x:v>승인</x:v>
      </x:c>
      <x:c r="J448" s="2" t="str">
        <x:v>심의승인</x:v>
      </x:c>
      <x:c r="K448" s="2" t="str">
        <x:f>IF(OR(J448="심의승인",J448="반려",J448="반려완료",J448="심의완료"),"종결 표시",IF(OR(J448="기후부협의",J448="문서재제출요청",J448="보류",J448="보완요청",J448="보완완료",J448="평가중",J448="반려요청",J448="평가필요",LEFT(J448,5)="보완요청("),"미종결 표시","상태 확인 필요"))</x:f>
        <x:v>종결 표시</x:v>
      </x:c>
      <x:c r="L448" s="2"/>
      <x:c r="M448" s="2"/>
      <x:c r="N448" s="8" t="n">
        <x:f>DATE(2026,10,15)-DATE(2018,1,2)</x:f>
        <x:v>3208</x:v>
      </x:c>
      <x:c r="O448" s="2"/>
      <x:c r="P448" s="2"/>
      <x:c r="Q448" s="2" t="str">
        <x:v>산업전환_외부사업관리Tool_260707_이너젠 수정_LJY_261013.xlsx</x:v>
      </x:c>
      <x:c r="R448" s="2" t="str">
        <x:v>국내평가</x:v>
      </x:c>
      <x:c r="S448" s="8" t="n">
        <x:v>351</x:v>
      </x:c>
      <x:c r="T448" s="2"/>
      <x:c r="U448" s="2" t="str"/>
      <x:c r="V448" s="2" t="str">
        <x:v>2018-12-03</x:v>
      </x:c>
      <x:c r="W448" s="2" t="str">
        <x:v>담당기관 확인</x:v>
      </x:c>
      <x:c r="X448" s="2" t="str">
        <x:v>원본·배정 기록 확인</x:v>
      </x:c>
      <x:c r="Y448" s="2" t="str">
        <x:v>ad210cd9ec132cfd447541c8984dc53d30aff0f4fb2dc92d254d49275cc55976</x:v>
      </x:c>
      <x:c r="Z448" s="2" t="n">
        <x:f>SUBTOTAL(103,A448)</x:f>
        <x:v>1</x:v>
      </x:c>
      <x:c r="AA448" s="2" t="str">
        <x:f>IF(K448&lt;&gt;"미종결 표시","대상 아님",IF(N448="","신청일 확인",IF(NOT(ISNUMBER('종합 현황'!$H$5)),"관찰기준 확인",IF('종합 현황'!$H$5&lt;1,"관찰기준 확인",IF(N448&gt;'종합 현황'!$H$5,"내부 관찰 대상","내부 관찰일 이하")))))</x:f>
        <x:v>대상 아님</x:v>
      </x:c>
      <x:c r="AB448" s="2"/>
    </x:row>
    <x:row r="449" ht="42" customHeight="1">
      <x:c r="A449" s="2" t="str">
        <x:v>32262da5923ea96b72f3b760</x:v>
      </x:c>
      <x:c r="B449" s="2" t="str">
        <x:v>사업 평가</x:v>
      </x:c>
      <x:c r="C449" s="2" t="str">
        <x:v>국내</x:v>
      </x:c>
      <x:c r="D449" s="7" t="str">
        <x:v>울산광역시 남구청의 태양광 발전을 통한 온실가스 배출 정책 감축사업</x:v>
      </x:c>
      <x:c r="E449" s="2" t="str">
        <x:v>310</x:v>
      </x:c>
      <x:c r="F449" s="2" t="str">
        <x:v>2018-04-30</x:v>
      </x:c>
      <x:c r="G449" s="2" t="str">
        <x:v>2018</x:v>
      </x:c>
      <x:c r="H449" s="2" t="str">
        <x:v>04</x:v>
      </x:c>
      <x:c r="I449" s="2" t="str">
        <x:v>반려</x:v>
      </x:c>
      <x:c r="J449" s="2" t="str">
        <x:v>반려</x:v>
      </x:c>
      <x:c r="K449" s="2" t="str">
        <x:f>IF(OR(J449="심의승인",J449="반려",J449="반려완료",J449="심의완료"),"종결 표시",IF(OR(J449="기후부협의",J449="문서재제출요청",J449="보류",J449="보완요청",J449="보완완료",J449="평가중",J449="반려요청",J449="평가필요",LEFT(J449,5)="보완요청("),"미종결 표시","상태 확인 필요"))</x:f>
        <x:v>종결 표시</x:v>
      </x:c>
      <x:c r="L449" s="2"/>
      <x:c r="M449" s="2"/>
      <x:c r="N449" s="8" t="n">
        <x:f>DATE(2026,10,15)-DATE(2018,4,30)</x:f>
        <x:v>3090</x:v>
      </x:c>
      <x:c r="O449" s="2"/>
      <x:c r="P449" s="2"/>
      <x:c r="Q449" s="2" t="str">
        <x:v>산업전환_외부사업관리Tool_260707_이너젠 수정_LJY_261013.xlsx</x:v>
      </x:c>
      <x:c r="R449" s="2" t="str">
        <x:v>국내평가</x:v>
      </x:c>
      <x:c r="S449" s="8" t="n">
        <x:v>352</x:v>
      </x:c>
      <x:c r="T449" s="2" t="str">
        <x:v>2021년 처리</x:v>
      </x:c>
      <x:c r="U449" s="2" t="str">
        <x:v>2021 배정: 2021년 처리</x:v>
      </x:c>
      <x:c r="V449" s="2" t="str">
        <x:v>2021-06-11</x:v>
      </x:c>
      <x:c r="W449" s="2" t="str">
        <x:v>담당기관 확인</x:v>
      </x:c>
      <x:c r="X449" s="2" t="str">
        <x:v>원본·배정 기록 확인</x:v>
      </x:c>
      <x:c r="Y449" s="2" t="str">
        <x:v>ad210cd9ec132cfd447541c8984dc53d30aff0f4fb2dc92d254d49275cc55976</x:v>
      </x:c>
      <x:c r="Z449" s="2" t="n">
        <x:f>SUBTOTAL(103,A449)</x:f>
        <x:v>1</x:v>
      </x:c>
      <x:c r="AA449" s="2" t="str">
        <x:f>IF(K449&lt;&gt;"미종결 표시","대상 아님",IF(N449="","신청일 확인",IF(NOT(ISNUMBER('종합 현황'!$H$5)),"관찰기준 확인",IF('종합 현황'!$H$5&lt;1,"관찰기준 확인",IF(N449&gt;'종합 현황'!$H$5,"내부 관찰 대상","내부 관찰일 이하")))))</x:f>
        <x:v>대상 아님</x:v>
      </x:c>
      <x:c r="AB449" s="2"/>
    </x:row>
    <x:row r="450" ht="42" customHeight="1">
      <x:c r="A450" s="2" t="str">
        <x:v>45cad859b882d6691e7b8550</x:v>
      </x:c>
      <x:c r="B450" s="2" t="str">
        <x:v>사업 평가</x:v>
      </x:c>
      <x:c r="C450" s="2" t="str">
        <x:v>국내</x:v>
      </x:c>
      <x:c r="D450" s="7" t="str">
        <x:v>삼덕프라스틱 절전형 유압식 사출기 일부교체를 통한 설비 성능 개선에 따른 온실가스 감축사업</x:v>
      </x:c>
      <x:c r="E450" s="2" t="str">
        <x:v>311</x:v>
      </x:c>
      <x:c r="F450" s="2" t="str">
        <x:v>2018-01-02</x:v>
      </x:c>
      <x:c r="G450" s="2" t="str">
        <x:v>2018</x:v>
      </x:c>
      <x:c r="H450" s="2" t="str">
        <x:v>01</x:v>
      </x:c>
      <x:c r="I450" s="2" t="str">
        <x:v>승인</x:v>
      </x:c>
      <x:c r="J450" s="2" t="str">
        <x:v>심의승인</x:v>
      </x:c>
      <x:c r="K450" s="2" t="str">
        <x:f>IF(OR(J450="심의승인",J450="반려",J450="반려완료",J450="심의완료"),"종결 표시",IF(OR(J450="기후부협의",J450="문서재제출요청",J450="보류",J450="보완요청",J450="보완완료",J450="평가중",J450="반려요청",J450="평가필요",LEFT(J450,5)="보완요청("),"미종결 표시","상태 확인 필요"))</x:f>
        <x:v>종결 표시</x:v>
      </x:c>
      <x:c r="L450" s="2"/>
      <x:c r="M450" s="2"/>
      <x:c r="N450" s="8" t="n">
        <x:f>DATE(2026,10,15)-DATE(2018,1,2)</x:f>
        <x:v>3208</x:v>
      </x:c>
      <x:c r="O450" s="2"/>
      <x:c r="P450" s="2"/>
      <x:c r="Q450" s="2" t="str">
        <x:v>산업전환_외부사업관리Tool_260707_이너젠 수정_LJY_261013.xlsx</x:v>
      </x:c>
      <x:c r="R450" s="2" t="str">
        <x:v>국내평가</x:v>
      </x:c>
      <x:c r="S450" s="8" t="n">
        <x:v>353</x:v>
      </x:c>
      <x:c r="T450" s="2"/>
      <x:c r="U450" s="2" t="str"/>
      <x:c r="V450" s="2" t="str">
        <x:v>2018-12-03</x:v>
      </x:c>
      <x:c r="W450" s="2" t="str">
        <x:v>담당기관 확인</x:v>
      </x:c>
      <x:c r="X450" s="2" t="str">
        <x:v>원본·배정 기록 확인</x:v>
      </x:c>
      <x:c r="Y450" s="2" t="str">
        <x:v>ad210cd9ec132cfd447541c8984dc53d30aff0f4fb2dc92d254d49275cc55976</x:v>
      </x:c>
      <x:c r="Z450" s="2" t="n">
        <x:f>SUBTOTAL(103,A450)</x:f>
        <x:v>1</x:v>
      </x:c>
      <x:c r="AA450" s="2" t="str">
        <x:f>IF(K450&lt;&gt;"미종결 표시","대상 아님",IF(N450="","신청일 확인",IF(NOT(ISNUMBER('종합 현황'!$H$5)),"관찰기준 확인",IF('종합 현황'!$H$5&lt;1,"관찰기준 확인",IF(N450&gt;'종합 현황'!$H$5,"내부 관찰 대상","내부 관찰일 이하")))))</x:f>
        <x:v>대상 아님</x:v>
      </x:c>
      <x:c r="AB450" s="2"/>
    </x:row>
    <x:row r="451" ht="42" customHeight="1">
      <x:c r="A451" s="2" t="str">
        <x:v>3fa1f356316aa6e309a8cf8a</x:v>
      </x:c>
      <x:c r="B451" s="2" t="str">
        <x:v>사업 평가</x:v>
      </x:c>
      <x:c r="C451" s="2" t="str">
        <x:v>국내</x:v>
      </x:c>
      <x:c r="D451" s="7" t="str">
        <x:v>세창이피에스 김포공장 목재펠릿 연료 전환(LNG→목재펠릿)을 통한 온실가스 감축사업</x:v>
      </x:c>
      <x:c r="E451" s="2" t="str">
        <x:v>312</x:v>
      </x:c>
      <x:c r="F451" s="2" t="str">
        <x:v>2018-01-02</x:v>
      </x:c>
      <x:c r="G451" s="2" t="str">
        <x:v>2018</x:v>
      </x:c>
      <x:c r="H451" s="2" t="str">
        <x:v>01</x:v>
      </x:c>
      <x:c r="I451" s="2" t="str">
        <x:v>승인</x:v>
      </x:c>
      <x:c r="J451" s="2" t="str">
        <x:v>심의승인</x:v>
      </x:c>
      <x:c r="K451" s="2" t="str">
        <x:f>IF(OR(J451="심의승인",J451="반려",J451="반려완료",J451="심의완료"),"종결 표시",IF(OR(J451="기후부협의",J451="문서재제출요청",J451="보류",J451="보완요청",J451="보완완료",J451="평가중",J451="반려요청",J451="평가필요",LEFT(J451,5)="보완요청("),"미종결 표시","상태 확인 필요"))</x:f>
        <x:v>종결 표시</x:v>
      </x:c>
      <x:c r="L451" s="2"/>
      <x:c r="M451" s="2"/>
      <x:c r="N451" s="8" t="n">
        <x:f>DATE(2026,10,15)-DATE(2018,1,2)</x:f>
        <x:v>3208</x:v>
      </x:c>
      <x:c r="O451" s="2"/>
      <x:c r="P451" s="2"/>
      <x:c r="Q451" s="2" t="str">
        <x:v>산업전환_외부사업관리Tool_260707_이너젠 수정_LJY_261013.xlsx</x:v>
      </x:c>
      <x:c r="R451" s="2" t="str">
        <x:v>국내평가</x:v>
      </x:c>
      <x:c r="S451" s="8" t="n">
        <x:v>354</x:v>
      </x:c>
      <x:c r="T451" s="2"/>
      <x:c r="U451" s="2" t="str"/>
      <x:c r="V451" s="2" t="str">
        <x:v>2018-12-03</x:v>
      </x:c>
      <x:c r="W451" s="2" t="str">
        <x:v>담당기관 확인</x:v>
      </x:c>
      <x:c r="X451" s="2" t="str">
        <x:v>원본·배정 기록 확인</x:v>
      </x:c>
      <x:c r="Y451" s="2" t="str">
        <x:v>ad210cd9ec132cfd447541c8984dc53d30aff0f4fb2dc92d254d49275cc55976</x:v>
      </x:c>
      <x:c r="Z451" s="2" t="n">
        <x:f>SUBTOTAL(103,A451)</x:f>
        <x:v>1</x:v>
      </x:c>
      <x:c r="AA451" s="2" t="str">
        <x:f>IF(K451&lt;&gt;"미종결 표시","대상 아님",IF(N451="","신청일 확인",IF(NOT(ISNUMBER('종합 현황'!$H$5)),"관찰기준 확인",IF('종합 현황'!$H$5&lt;1,"관찰기준 확인",IF(N451&gt;'종합 현황'!$H$5,"내부 관찰 대상","내부 관찰일 이하")))))</x:f>
        <x:v>대상 아님</x:v>
      </x:c>
      <x:c r="AB451" s="2"/>
    </x:row>
    <x:row r="452" ht="42" customHeight="1">
      <x:c r="A452" s="2" t="str">
        <x:v>f0c6f9c6e774a3d56f9ae5a8</x:v>
      </x:c>
      <x:c r="B452" s="2" t="str">
        <x:v>사업 평가</x:v>
      </x:c>
      <x:c r="C452" s="2" t="str">
        <x:v>국내</x:v>
      </x:c>
      <x:c r="D452" s="7" t="str">
        <x:v>신명염색 버너교체 연료전환(B-C유 → LPG)을 통한 온실가스 감축 사업</x:v>
      </x:c>
      <x:c r="E452" s="2" t="str">
        <x:v>313</x:v>
      </x:c>
      <x:c r="F452" s="2" t="str">
        <x:v>2018-01-03</x:v>
      </x:c>
      <x:c r="G452" s="2" t="str">
        <x:v>2018</x:v>
      </x:c>
      <x:c r="H452" s="2" t="str">
        <x:v>01</x:v>
      </x:c>
      <x:c r="I452" s="2" t="str">
        <x:v>승인</x:v>
      </x:c>
      <x:c r="J452" s="2" t="str">
        <x:v>심의승인</x:v>
      </x:c>
      <x:c r="K452" s="2" t="str">
        <x:f>IF(OR(J452="심의승인",J452="반려",J452="반려완료",J452="심의완료"),"종결 표시",IF(OR(J452="기후부협의",J452="문서재제출요청",J452="보류",J452="보완요청",J452="보완완료",J452="평가중",J452="반려요청",J452="평가필요",LEFT(J452,5)="보완요청("),"미종결 표시","상태 확인 필요"))</x:f>
        <x:v>종결 표시</x:v>
      </x:c>
      <x:c r="L452" s="2"/>
      <x:c r="M452" s="2"/>
      <x:c r="N452" s="8" t="n">
        <x:f>DATE(2026,10,15)-DATE(2018,1,3)</x:f>
        <x:v>3207</x:v>
      </x:c>
      <x:c r="O452" s="2"/>
      <x:c r="P452" s="2"/>
      <x:c r="Q452" s="2" t="str">
        <x:v>산업전환_외부사업관리Tool_260707_이너젠 수정_LJY_261013.xlsx</x:v>
      </x:c>
      <x:c r="R452" s="2" t="str">
        <x:v>국내평가</x:v>
      </x:c>
      <x:c r="S452" s="8" t="n">
        <x:v>355</x:v>
      </x:c>
      <x:c r="T452" s="2"/>
      <x:c r="U452" s="2" t="str"/>
      <x:c r="V452" s="2" t="str">
        <x:v>2018-12-03</x:v>
      </x:c>
      <x:c r="W452" s="2" t="str">
        <x:v>담당기관 확인</x:v>
      </x:c>
      <x:c r="X452" s="2" t="str">
        <x:v>원본·배정 기록 확인</x:v>
      </x:c>
      <x:c r="Y452" s="2" t="str">
        <x:v>ad210cd9ec132cfd447541c8984dc53d30aff0f4fb2dc92d254d49275cc55976</x:v>
      </x:c>
      <x:c r="Z452" s="2" t="n">
        <x:f>SUBTOTAL(103,A452)</x:f>
        <x:v>1</x:v>
      </x:c>
      <x:c r="AA452" s="2" t="str">
        <x:f>IF(K452&lt;&gt;"미종결 표시","대상 아님",IF(N452="","신청일 확인",IF(NOT(ISNUMBER('종합 현황'!$H$5)),"관찰기준 확인",IF('종합 현황'!$H$5&lt;1,"관찰기준 확인",IF(N452&gt;'종합 현황'!$H$5,"내부 관찰 대상","내부 관찰일 이하")))))</x:f>
        <x:v>대상 아님</x:v>
      </x:c>
      <x:c r="AB452" s="2"/>
    </x:row>
    <x:row r="453" ht="42" customHeight="1">
      <x:c r="A453" s="2" t="str">
        <x:v>8aa52c0cfc7dddb241390588</x:v>
      </x:c>
      <x:c r="B453" s="2" t="str">
        <x:v>사업 평가</x:v>
      </x:c>
      <x:c r="C453" s="2" t="str">
        <x:v>국내</x:v>
      </x:c>
      <x:c r="D453" s="7" t="str">
        <x:v>신원아이엔티 버너교체 연료전환(B-C유 → LPG)을 통한 온실가스 감축 사업</x:v>
      </x:c>
      <x:c r="E453" s="2" t="str">
        <x:v>314</x:v>
      </x:c>
      <x:c r="F453" s="2" t="str">
        <x:v>2018-01-03</x:v>
      </x:c>
      <x:c r="G453" s="2" t="str">
        <x:v>2018</x:v>
      </x:c>
      <x:c r="H453" s="2" t="str">
        <x:v>01</x:v>
      </x:c>
      <x:c r="I453" s="2" t="str">
        <x:v>승인</x:v>
      </x:c>
      <x:c r="J453" s="2" t="str">
        <x:v>심의승인</x:v>
      </x:c>
      <x:c r="K453" s="2" t="str">
        <x:f>IF(OR(J453="심의승인",J453="반려",J453="반려완료",J453="심의완료"),"종결 표시",IF(OR(J453="기후부협의",J453="문서재제출요청",J453="보류",J453="보완요청",J453="보완완료",J453="평가중",J453="반려요청",J453="평가필요",LEFT(J453,5)="보완요청("),"미종결 표시","상태 확인 필요"))</x:f>
        <x:v>종결 표시</x:v>
      </x:c>
      <x:c r="L453" s="2"/>
      <x:c r="M453" s="2"/>
      <x:c r="N453" s="8" t="n">
        <x:f>DATE(2026,10,15)-DATE(2018,1,3)</x:f>
        <x:v>3207</x:v>
      </x:c>
      <x:c r="O453" s="2"/>
      <x:c r="P453" s="2"/>
      <x:c r="Q453" s="2" t="str">
        <x:v>산업전환_외부사업관리Tool_260707_이너젠 수정_LJY_261013.xlsx</x:v>
      </x:c>
      <x:c r="R453" s="2" t="str">
        <x:v>국내평가</x:v>
      </x:c>
      <x:c r="S453" s="8" t="n">
        <x:v>356</x:v>
      </x:c>
      <x:c r="T453" s="2"/>
      <x:c r="U453" s="2" t="str"/>
      <x:c r="V453" s="2" t="str">
        <x:v>2018-12-05</x:v>
      </x:c>
      <x:c r="W453" s="2" t="str">
        <x:v>담당기관 확인</x:v>
      </x:c>
      <x:c r="X453" s="2" t="str">
        <x:v>원본·배정 기록 확인</x:v>
      </x:c>
      <x:c r="Y453" s="2" t="str">
        <x:v>ad210cd9ec132cfd447541c8984dc53d30aff0f4fb2dc92d254d49275cc55976</x:v>
      </x:c>
      <x:c r="Z453" s="2" t="n">
        <x:f>SUBTOTAL(103,A453)</x:f>
        <x:v>1</x:v>
      </x:c>
      <x:c r="AA453" s="2" t="str">
        <x:f>IF(K453&lt;&gt;"미종결 표시","대상 아님",IF(N453="","신청일 확인",IF(NOT(ISNUMBER('종합 현황'!$H$5)),"관찰기준 확인",IF('종합 현황'!$H$5&lt;1,"관찰기준 확인",IF(N453&gt;'종합 현황'!$H$5,"내부 관찰 대상","내부 관찰일 이하")))))</x:f>
        <x:v>대상 아님</x:v>
      </x:c>
      <x:c r="AB453" s="2"/>
    </x:row>
    <x:row r="454" ht="42" customHeight="1">
      <x:c r="A454" s="2" t="str">
        <x:v>f8f01ef5a8a96a0090e28874</x:v>
      </x:c>
      <x:c r="B454" s="2" t="str">
        <x:v>사업 평가</x:v>
      </x:c>
      <x:c r="C454" s="2" t="str">
        <x:v>국내</x:v>
      </x:c>
      <x:c r="D454" s="7" t="str">
        <x:v>신일산업의 보일러 연료교체(LNG-&amp;gt목재펠릿)을 통한 온실가스 감축사업</x:v>
      </x:c>
      <x:c r="E454" s="2" t="str">
        <x:v>315</x:v>
      </x:c>
      <x:c r="F454" s="2" t="str">
        <x:v>2018-01-03</x:v>
      </x:c>
      <x:c r="G454" s="2" t="str">
        <x:v>2018</x:v>
      </x:c>
      <x:c r="H454" s="2" t="str">
        <x:v>01</x:v>
      </x:c>
      <x:c r="I454" s="2" t="str">
        <x:v>승인</x:v>
      </x:c>
      <x:c r="J454" s="2" t="str">
        <x:v>심의승인</x:v>
      </x:c>
      <x:c r="K454" s="2" t="str">
        <x:f>IF(OR(J454="심의승인",J454="반려",J454="반려완료",J454="심의완료"),"종결 표시",IF(OR(J454="기후부협의",J454="문서재제출요청",J454="보류",J454="보완요청",J454="보완완료",J454="평가중",J454="반려요청",J454="평가필요",LEFT(J454,5)="보완요청("),"미종결 표시","상태 확인 필요"))</x:f>
        <x:v>종결 표시</x:v>
      </x:c>
      <x:c r="L454" s="2"/>
      <x:c r="M454" s="2"/>
      <x:c r="N454" s="8" t="n">
        <x:f>DATE(2026,10,15)-DATE(2018,1,3)</x:f>
        <x:v>3207</x:v>
      </x:c>
      <x:c r="O454" s="2"/>
      <x:c r="P454" s="2"/>
      <x:c r="Q454" s="2" t="str">
        <x:v>산업전환_외부사업관리Tool_260707_이너젠 수정_LJY_261013.xlsx</x:v>
      </x:c>
      <x:c r="R454" s="2" t="str">
        <x:v>국내평가</x:v>
      </x:c>
      <x:c r="S454" s="8" t="n">
        <x:v>357</x:v>
      </x:c>
      <x:c r="T454" s="2"/>
      <x:c r="U454" s="2" t="str"/>
      <x:c r="V454" s="2" t="str">
        <x:v>2018-12-05</x:v>
      </x:c>
      <x:c r="W454" s="2" t="str">
        <x:v>담당기관 확인</x:v>
      </x:c>
      <x:c r="X454" s="2" t="str">
        <x:v>원본·배정 기록 확인</x:v>
      </x:c>
      <x:c r="Y454" s="2" t="str">
        <x:v>ad210cd9ec132cfd447541c8984dc53d30aff0f4fb2dc92d254d49275cc55976</x:v>
      </x:c>
      <x:c r="Z454" s="2" t="n">
        <x:f>SUBTOTAL(103,A454)</x:f>
        <x:v>1</x:v>
      </x:c>
      <x:c r="AA454" s="2" t="str">
        <x:f>IF(K454&lt;&gt;"미종결 표시","대상 아님",IF(N454="","신청일 확인",IF(NOT(ISNUMBER('종합 현황'!$H$5)),"관찰기준 확인",IF('종합 현황'!$H$5&lt;1,"관찰기준 확인",IF(N454&gt;'종합 현황'!$H$5,"내부 관찰 대상","내부 관찰일 이하")))))</x:f>
        <x:v>대상 아님</x:v>
      </x:c>
      <x:c r="AB454" s="2"/>
    </x:row>
    <x:row r="455" ht="42" customHeight="1">
      <x:c r="A455" s="2" t="str">
        <x:v>eb0aaef70753621c09efd7c3</x:v>
      </x:c>
      <x:c r="B455" s="2" t="str">
        <x:v>사업 평가</x:v>
      </x:c>
      <x:c r="C455" s="2" t="str">
        <x:v>국내</x:v>
      </x:c>
      <x:c r="D455" s="7" t="str">
        <x:v>서광의 절전형 사출기 일부개조를 통한 온실가스 감축사업</x:v>
      </x:c>
      <x:c r="E455" s="2" t="str">
        <x:v>316</x:v>
      </x:c>
      <x:c r="F455" s="2" t="str">
        <x:v>2018-01-03</x:v>
      </x:c>
      <x:c r="G455" s="2" t="str">
        <x:v>2018</x:v>
      </x:c>
      <x:c r="H455" s="2" t="str">
        <x:v>01</x:v>
      </x:c>
      <x:c r="I455" s="2" t="str">
        <x:v>승인</x:v>
      </x:c>
      <x:c r="J455" s="2" t="str">
        <x:v>심의승인</x:v>
      </x:c>
      <x:c r="K455" s="2" t="str">
        <x:f>IF(OR(J455="심의승인",J455="반려",J455="반려완료",J455="심의완료"),"종결 표시",IF(OR(J455="기후부협의",J455="문서재제출요청",J455="보류",J455="보완요청",J455="보완완료",J455="평가중",J455="반려요청",J455="평가필요",LEFT(J455,5)="보완요청("),"미종결 표시","상태 확인 필요"))</x:f>
        <x:v>종결 표시</x:v>
      </x:c>
      <x:c r="L455" s="2"/>
      <x:c r="M455" s="2"/>
      <x:c r="N455" s="8" t="n">
        <x:f>DATE(2026,10,15)-DATE(2018,1,3)</x:f>
        <x:v>3207</x:v>
      </x:c>
      <x:c r="O455" s="2"/>
      <x:c r="P455" s="2"/>
      <x:c r="Q455" s="2" t="str">
        <x:v>산업전환_외부사업관리Tool_260707_이너젠 수정_LJY_261013.xlsx</x:v>
      </x:c>
      <x:c r="R455" s="2" t="str">
        <x:v>국내평가</x:v>
      </x:c>
      <x:c r="S455" s="8" t="n">
        <x:v>358</x:v>
      </x:c>
      <x:c r="T455" s="2"/>
      <x:c r="U455" s="2" t="str"/>
      <x:c r="V455" s="2" t="str">
        <x:v>2018-12-03</x:v>
      </x:c>
      <x:c r="W455" s="2" t="str">
        <x:v>담당기관 확인</x:v>
      </x:c>
      <x:c r="X455" s="2" t="str">
        <x:v>원본·배정 기록 확인</x:v>
      </x:c>
      <x:c r="Y455" s="2" t="str">
        <x:v>ad210cd9ec132cfd447541c8984dc53d30aff0f4fb2dc92d254d49275cc55976</x:v>
      </x:c>
      <x:c r="Z455" s="2" t="n">
        <x:f>SUBTOTAL(103,A455)</x:f>
        <x:v>1</x:v>
      </x:c>
      <x:c r="AA455" s="2" t="str">
        <x:f>IF(K455&lt;&gt;"미종결 표시","대상 아님",IF(N455="","신청일 확인",IF(NOT(ISNUMBER('종합 현황'!$H$5)),"관찰기준 확인",IF('종합 현황'!$H$5&lt;1,"관찰기준 확인",IF(N455&gt;'종합 현황'!$H$5,"내부 관찰 대상","내부 관찰일 이하")))))</x:f>
        <x:v>대상 아님</x:v>
      </x:c>
      <x:c r="AB455" s="2"/>
    </x:row>
    <x:row r="456" ht="42" customHeight="1">
      <x:c r="A456" s="2" t="str">
        <x:v>27ed6ec32bcdeaf28e07d57b</x:v>
      </x:c>
      <x:c r="B456" s="2" t="str">
        <x:v>사업 평가</x:v>
      </x:c>
      <x:c r="C456" s="2" t="str">
        <x:v>국내</x:v>
      </x:c>
      <x:c r="D456" s="7" t="str">
        <x:v>성원산업사 열매체보일러 버너교체를 통한 연료전환(B-C유 → LNG) 온실가스 배출 감축 사업</x:v>
      </x:c>
      <x:c r="E456" s="2" t="str">
        <x:v>317</x:v>
      </x:c>
      <x:c r="F456" s="2" t="str">
        <x:v>2018-01-03</x:v>
      </x:c>
      <x:c r="G456" s="2" t="str">
        <x:v>2018</x:v>
      </x:c>
      <x:c r="H456" s="2" t="str">
        <x:v>01</x:v>
      </x:c>
      <x:c r="I456" s="2" t="str">
        <x:v>승인</x:v>
      </x:c>
      <x:c r="J456" s="2" t="str">
        <x:v>심의승인</x:v>
      </x:c>
      <x:c r="K456" s="2" t="str">
        <x:f>IF(OR(J456="심의승인",J456="반려",J456="반려완료",J456="심의완료"),"종결 표시",IF(OR(J456="기후부협의",J456="문서재제출요청",J456="보류",J456="보완요청",J456="보완완료",J456="평가중",J456="반려요청",J456="평가필요",LEFT(J456,5)="보완요청("),"미종결 표시","상태 확인 필요"))</x:f>
        <x:v>종결 표시</x:v>
      </x:c>
      <x:c r="L456" s="2"/>
      <x:c r="M456" s="2"/>
      <x:c r="N456" s="8" t="n">
        <x:f>DATE(2026,10,15)-DATE(2018,1,3)</x:f>
        <x:v>3207</x:v>
      </x:c>
      <x:c r="O456" s="2"/>
      <x:c r="P456" s="2"/>
      <x:c r="Q456" s="2" t="str">
        <x:v>산업전환_외부사업관리Tool_260707_이너젠 수정_LJY_261013.xlsx</x:v>
      </x:c>
      <x:c r="R456" s="2" t="str">
        <x:v>국내평가</x:v>
      </x:c>
      <x:c r="S456" s="8" t="n">
        <x:v>359</x:v>
      </x:c>
      <x:c r="T456" s="2"/>
      <x:c r="U456" s="2" t="str"/>
      <x:c r="V456" s="2" t="str">
        <x:v>2018-12-03</x:v>
      </x:c>
      <x:c r="W456" s="2" t="str">
        <x:v>담당기관 확인</x:v>
      </x:c>
      <x:c r="X456" s="2" t="str">
        <x:v>원본·배정 기록 확인</x:v>
      </x:c>
      <x:c r="Y456" s="2" t="str">
        <x:v>ad210cd9ec132cfd447541c8984dc53d30aff0f4fb2dc92d254d49275cc55976</x:v>
      </x:c>
      <x:c r="Z456" s="2" t="n">
        <x:f>SUBTOTAL(103,A456)</x:f>
        <x:v>1</x:v>
      </x:c>
      <x:c r="AA456" s="2" t="str">
        <x:f>IF(K456&lt;&gt;"미종결 표시","대상 아님",IF(N456="","신청일 확인",IF(NOT(ISNUMBER('종합 현황'!$H$5)),"관찰기준 확인",IF('종합 현황'!$H$5&lt;1,"관찰기준 확인",IF(N456&gt;'종합 현황'!$H$5,"내부 관찰 대상","내부 관찰일 이하")))))</x:f>
        <x:v>대상 아님</x:v>
      </x:c>
      <x:c r="AB456" s="2"/>
    </x:row>
    <x:row r="457" ht="42" customHeight="1">
      <x:c r="A457" s="2" t="str">
        <x:v>08ac69a8b54d88a35810aad6</x:v>
      </x:c>
      <x:c r="B457" s="2" t="str">
        <x:v>사업 평가</x:v>
      </x:c>
      <x:c r="C457" s="2" t="str">
        <x:v>국내</x:v>
      </x:c>
      <x:c r="D457" s="7" t="str">
        <x:v>세흥 목재펠릿 보일러 설치를 통한 온실가스 감축사업</x:v>
      </x:c>
      <x:c r="E457" s="2" t="str">
        <x:v>318</x:v>
      </x:c>
      <x:c r="F457" s="2" t="str">
        <x:v>2018-01-03</x:v>
      </x:c>
      <x:c r="G457" s="2" t="str">
        <x:v>2018</x:v>
      </x:c>
      <x:c r="H457" s="2" t="str">
        <x:v>01</x:v>
      </x:c>
      <x:c r="I457" s="2" t="str">
        <x:v>승인</x:v>
      </x:c>
      <x:c r="J457" s="2" t="str">
        <x:v>심의승인</x:v>
      </x:c>
      <x:c r="K457" s="2" t="str">
        <x:f>IF(OR(J457="심의승인",J457="반려",J457="반려완료",J457="심의완료"),"종결 표시",IF(OR(J457="기후부협의",J457="문서재제출요청",J457="보류",J457="보완요청",J457="보완완료",J457="평가중",J457="반려요청",J457="평가필요",LEFT(J457,5)="보완요청("),"미종결 표시","상태 확인 필요"))</x:f>
        <x:v>종결 표시</x:v>
      </x:c>
      <x:c r="L457" s="2"/>
      <x:c r="M457" s="2"/>
      <x:c r="N457" s="8" t="n">
        <x:f>DATE(2026,10,15)-DATE(2018,1,3)</x:f>
        <x:v>3207</x:v>
      </x:c>
      <x:c r="O457" s="2"/>
      <x:c r="P457" s="2"/>
      <x:c r="Q457" s="2" t="str">
        <x:v>산업전환_외부사업관리Tool_260707_이너젠 수정_LJY_261013.xlsx</x:v>
      </x:c>
      <x:c r="R457" s="2" t="str">
        <x:v>국내평가</x:v>
      </x:c>
      <x:c r="S457" s="8" t="n">
        <x:v>360</x:v>
      </x:c>
      <x:c r="T457" s="2"/>
      <x:c r="U457" s="2" t="str"/>
      <x:c r="V457" s="2" t="str">
        <x:v>2018-12-03</x:v>
      </x:c>
      <x:c r="W457" s="2" t="str">
        <x:v>담당기관 확인</x:v>
      </x:c>
      <x:c r="X457" s="2" t="str">
        <x:v>원본·배정 기록 확인</x:v>
      </x:c>
      <x:c r="Y457" s="2" t="str">
        <x:v>ad210cd9ec132cfd447541c8984dc53d30aff0f4fb2dc92d254d49275cc55976</x:v>
      </x:c>
      <x:c r="Z457" s="2" t="n">
        <x:f>SUBTOTAL(103,A457)</x:f>
        <x:v>1</x:v>
      </x:c>
      <x:c r="AA457" s="2" t="str">
        <x:f>IF(K457&lt;&gt;"미종결 표시","대상 아님",IF(N457="","신청일 확인",IF(NOT(ISNUMBER('종합 현황'!$H$5)),"관찰기준 확인",IF('종합 현황'!$H$5&lt;1,"관찰기준 확인",IF(N457&gt;'종합 현황'!$H$5,"내부 관찰 대상","내부 관찰일 이하")))))</x:f>
        <x:v>대상 아님</x:v>
      </x:c>
      <x:c r="AB457" s="2"/>
    </x:row>
    <x:row r="458" ht="42" customHeight="1">
      <x:c r="A458" s="2" t="str">
        <x:v>f649a7d309476e502dbe6a15</x:v>
      </x:c>
      <x:c r="B458" s="2" t="str">
        <x:v>사업 평가</x:v>
      </x:c>
      <x:c r="C458" s="2" t="str">
        <x:v>국내</x:v>
      </x:c>
      <x:c r="D458" s="7" t="str">
        <x:v>승민섬유 보일러 버너의 연료전환(B-C → LNG)을 통한 온실가스 감축사업</x:v>
      </x:c>
      <x:c r="E458" s="2" t="str">
        <x:v>319</x:v>
      </x:c>
      <x:c r="F458" s="2" t="str">
        <x:v>2018-01-03</x:v>
      </x:c>
      <x:c r="G458" s="2" t="str">
        <x:v>2018</x:v>
      </x:c>
      <x:c r="H458" s="2" t="str">
        <x:v>01</x:v>
      </x:c>
      <x:c r="I458" s="2" t="str">
        <x:v>승인</x:v>
      </x:c>
      <x:c r="J458" s="2" t="str">
        <x:v>심의승인</x:v>
      </x:c>
      <x:c r="K458" s="2" t="str">
        <x:f>IF(OR(J458="심의승인",J458="반려",J458="반려완료",J458="심의완료"),"종결 표시",IF(OR(J458="기후부협의",J458="문서재제출요청",J458="보류",J458="보완요청",J458="보완완료",J458="평가중",J458="반려요청",J458="평가필요",LEFT(J458,5)="보완요청("),"미종결 표시","상태 확인 필요"))</x:f>
        <x:v>종결 표시</x:v>
      </x:c>
      <x:c r="L458" s="2"/>
      <x:c r="M458" s="2"/>
      <x:c r="N458" s="8" t="n">
        <x:f>DATE(2026,10,15)-DATE(2018,1,3)</x:f>
        <x:v>3207</x:v>
      </x:c>
      <x:c r="O458" s="2"/>
      <x:c r="P458" s="2"/>
      <x:c r="Q458" s="2" t="str">
        <x:v>산업전환_외부사업관리Tool_260707_이너젠 수정_LJY_261013.xlsx</x:v>
      </x:c>
      <x:c r="R458" s="2" t="str">
        <x:v>국내평가</x:v>
      </x:c>
      <x:c r="S458" s="8" t="n">
        <x:v>361</x:v>
      </x:c>
      <x:c r="T458" s="2"/>
      <x:c r="U458" s="2" t="str"/>
      <x:c r="V458" s="2" t="str">
        <x:v>2018-12-03</x:v>
      </x:c>
      <x:c r="W458" s="2" t="str">
        <x:v>담당기관 확인</x:v>
      </x:c>
      <x:c r="X458" s="2" t="str">
        <x:v>원본·배정 기록 확인</x:v>
      </x:c>
      <x:c r="Y458" s="2" t="str">
        <x:v>ad210cd9ec132cfd447541c8984dc53d30aff0f4fb2dc92d254d49275cc55976</x:v>
      </x:c>
      <x:c r="Z458" s="2" t="n">
        <x:f>SUBTOTAL(103,A458)</x:f>
        <x:v>1</x:v>
      </x:c>
      <x:c r="AA458" s="2" t="str">
        <x:f>IF(K458&lt;&gt;"미종결 표시","대상 아님",IF(N458="","신청일 확인",IF(NOT(ISNUMBER('종합 현황'!$H$5)),"관찰기준 확인",IF('종합 현황'!$H$5&lt;1,"관찰기준 확인",IF(N458&gt;'종합 현황'!$H$5,"내부 관찰 대상","내부 관찰일 이하")))))</x:f>
        <x:v>대상 아님</x:v>
      </x:c>
      <x:c r="AB458" s="2"/>
    </x:row>
    <x:row r="459" ht="42" customHeight="1">
      <x:c r="A459" s="2" t="str">
        <x:v>99c2275e4376961e784a95a2</x:v>
      </x:c>
      <x:c r="B459" s="2" t="str">
        <x:v>사업 평가</x:v>
      </x:c>
      <x:c r="C459" s="2" t="str">
        <x:v>국내</x:v>
      </x:c>
      <x:c r="D459" s="7" t="str">
        <x:v>삼두염색(주) 보일러 연료전환(LNG → 목재펠릿)을 통한 온실가스(CO2) 감축사업</x:v>
      </x:c>
      <x:c r="E459" s="2" t="str">
        <x:v>320</x:v>
      </x:c>
      <x:c r="F459" s="2" t="str">
        <x:v>2018-01-03</x:v>
      </x:c>
      <x:c r="G459" s="2" t="str">
        <x:v>2018</x:v>
      </x:c>
      <x:c r="H459" s="2" t="str">
        <x:v>01</x:v>
      </x:c>
      <x:c r="I459" s="2" t="str">
        <x:v>승인</x:v>
      </x:c>
      <x:c r="J459" s="2" t="str">
        <x:v>심의승인</x:v>
      </x:c>
      <x:c r="K459" s="2" t="str">
        <x:f>IF(OR(J459="심의승인",J459="반려",J459="반려완료",J459="심의완료"),"종결 표시",IF(OR(J459="기후부협의",J459="문서재제출요청",J459="보류",J459="보완요청",J459="보완완료",J459="평가중",J459="반려요청",J459="평가필요",LEFT(J459,5)="보완요청("),"미종결 표시","상태 확인 필요"))</x:f>
        <x:v>종결 표시</x:v>
      </x:c>
      <x:c r="L459" s="2"/>
      <x:c r="M459" s="2"/>
      <x:c r="N459" s="8" t="n">
        <x:f>DATE(2026,10,15)-DATE(2018,1,3)</x:f>
        <x:v>3207</x:v>
      </x:c>
      <x:c r="O459" s="2"/>
      <x:c r="P459" s="2"/>
      <x:c r="Q459" s="2" t="str">
        <x:v>산업전환_외부사업관리Tool_260707_이너젠 수정_LJY_261013.xlsx</x:v>
      </x:c>
      <x:c r="R459" s="2" t="str">
        <x:v>국내평가</x:v>
      </x:c>
      <x:c r="S459" s="8" t="n">
        <x:v>362</x:v>
      </x:c>
      <x:c r="T459" s="2"/>
      <x:c r="U459" s="2" t="str"/>
      <x:c r="V459" s="2" t="str">
        <x:v>2018-12-03</x:v>
      </x:c>
      <x:c r="W459" s="2" t="str">
        <x:v>담당기관 확인</x:v>
      </x:c>
      <x:c r="X459" s="2" t="str">
        <x:v>원본·배정 기록 확인</x:v>
      </x:c>
      <x:c r="Y459" s="2" t="str">
        <x:v>ad210cd9ec132cfd447541c8984dc53d30aff0f4fb2dc92d254d49275cc55976</x:v>
      </x:c>
      <x:c r="Z459" s="2" t="n">
        <x:f>SUBTOTAL(103,A459)</x:f>
        <x:v>1</x:v>
      </x:c>
      <x:c r="AA459" s="2" t="str">
        <x:f>IF(K459&lt;&gt;"미종결 표시","대상 아님",IF(N459="","신청일 확인",IF(NOT(ISNUMBER('종합 현황'!$H$5)),"관찰기준 확인",IF('종합 현황'!$H$5&lt;1,"관찰기준 확인",IF(N459&gt;'종합 현황'!$H$5,"내부 관찰 대상","내부 관찰일 이하")))))</x:f>
        <x:v>대상 아님</x:v>
      </x:c>
      <x:c r="AB459" s="2"/>
    </x:row>
    <x:row r="460" ht="42" customHeight="1">
      <x:c r="A460" s="2" t="str">
        <x:v>bd64a75eb946329d83bfe9f8</x:v>
      </x:c>
      <x:c r="B460" s="2" t="str">
        <x:v>사업 평가</x:v>
      </x:c>
      <x:c r="C460" s="2" t="str">
        <x:v>국내</x:v>
      </x:c>
      <x:c r="D460" s="7" t="str">
        <x:v>(주)세광케미칼김포사업장 정제유 및 벙커C유에서 목재펠릿 연료전환을 통한 온실가스 감축사업</x:v>
      </x:c>
      <x:c r="E460" s="2" t="str">
        <x:v>321</x:v>
      </x:c>
      <x:c r="F460" s="2" t="str">
        <x:v>2018-01-03</x:v>
      </x:c>
      <x:c r="G460" s="2" t="str">
        <x:v>2018</x:v>
      </x:c>
      <x:c r="H460" s="2" t="str">
        <x:v>01</x:v>
      </x:c>
      <x:c r="I460" s="2" t="str">
        <x:v>승인</x:v>
      </x:c>
      <x:c r="J460" s="2" t="str">
        <x:v>심의승인</x:v>
      </x:c>
      <x:c r="K460" s="2" t="str">
        <x:f>IF(OR(J460="심의승인",J460="반려",J460="반려완료",J460="심의완료"),"종결 표시",IF(OR(J460="기후부협의",J460="문서재제출요청",J460="보류",J460="보완요청",J460="보완완료",J460="평가중",J460="반려요청",J460="평가필요",LEFT(J460,5)="보완요청("),"미종결 표시","상태 확인 필요"))</x:f>
        <x:v>종결 표시</x:v>
      </x:c>
      <x:c r="L460" s="2"/>
      <x:c r="M460" s="2"/>
      <x:c r="N460" s="8" t="n">
        <x:f>DATE(2026,10,15)-DATE(2018,1,3)</x:f>
        <x:v>3207</x:v>
      </x:c>
      <x:c r="O460" s="2"/>
      <x:c r="P460" s="2"/>
      <x:c r="Q460" s="2" t="str">
        <x:v>산업전환_외부사업관리Tool_260707_이너젠 수정_LJY_261013.xlsx</x:v>
      </x:c>
      <x:c r="R460" s="2" t="str">
        <x:v>국내평가</x:v>
      </x:c>
      <x:c r="S460" s="8" t="n">
        <x:v>363</x:v>
      </x:c>
      <x:c r="T460" s="2"/>
      <x:c r="U460" s="2" t="str"/>
      <x:c r="V460" s="2" t="str">
        <x:v>2018-12-03</x:v>
      </x:c>
      <x:c r="W460" s="2" t="str">
        <x:v>담당기관 확인</x:v>
      </x:c>
      <x:c r="X460" s="2" t="str">
        <x:v>원본·배정 기록 확인</x:v>
      </x:c>
      <x:c r="Y460" s="2" t="str">
        <x:v>ad210cd9ec132cfd447541c8984dc53d30aff0f4fb2dc92d254d49275cc55976</x:v>
      </x:c>
      <x:c r="Z460" s="2" t="n">
        <x:f>SUBTOTAL(103,A460)</x:f>
        <x:v>1</x:v>
      </x:c>
      <x:c r="AA460" s="2" t="str">
        <x:f>IF(K460&lt;&gt;"미종결 표시","대상 아님",IF(N460="","신청일 확인",IF(NOT(ISNUMBER('종합 현황'!$H$5)),"관찰기준 확인",IF('종합 현황'!$H$5&lt;1,"관찰기준 확인",IF(N460&gt;'종합 현황'!$H$5,"내부 관찰 대상","내부 관찰일 이하")))))</x:f>
        <x:v>대상 아님</x:v>
      </x:c>
      <x:c r="AB460" s="2"/>
    </x:row>
    <x:row r="461" ht="42" customHeight="1">
      <x:c r="A461" s="2" t="str">
        <x:v>e3568f9eb67b0a7753bbf933</x:v>
      </x:c>
      <x:c r="B461" s="2" t="str">
        <x:v>사업 평가</x:v>
      </x:c>
      <x:c r="C461" s="2" t="str">
        <x:v>국내</x:v>
      </x:c>
      <x:c r="D461" s="7" t="str">
        <x:v>(주)상일 보일러의 연료전환 (B-C유 -&gt;LNG)을 통한 온실가스 감축사업</x:v>
      </x:c>
      <x:c r="E461" s="2" t="str">
        <x:v>322</x:v>
      </x:c>
      <x:c r="F461" s="2" t="str">
        <x:v>2018-01-03</x:v>
      </x:c>
      <x:c r="G461" s="2" t="str">
        <x:v>2018</x:v>
      </x:c>
      <x:c r="H461" s="2" t="str">
        <x:v>01</x:v>
      </x:c>
      <x:c r="I461" s="2" t="str">
        <x:v>승인</x:v>
      </x:c>
      <x:c r="J461" s="2" t="str">
        <x:v>심의승인</x:v>
      </x:c>
      <x:c r="K461" s="2" t="str">
        <x:f>IF(OR(J461="심의승인",J461="반려",J461="반려완료",J461="심의완료"),"종결 표시",IF(OR(J461="기후부협의",J461="문서재제출요청",J461="보류",J461="보완요청",J461="보완완료",J461="평가중",J461="반려요청",J461="평가필요",LEFT(J461,5)="보완요청("),"미종결 표시","상태 확인 필요"))</x:f>
        <x:v>종결 표시</x:v>
      </x:c>
      <x:c r="L461" s="2"/>
      <x:c r="M461" s="2"/>
      <x:c r="N461" s="8" t="n">
        <x:f>DATE(2026,10,15)-DATE(2018,1,3)</x:f>
        <x:v>3207</x:v>
      </x:c>
      <x:c r="O461" s="2"/>
      <x:c r="P461" s="2"/>
      <x:c r="Q461" s="2" t="str">
        <x:v>산업전환_외부사업관리Tool_260707_이너젠 수정_LJY_261013.xlsx</x:v>
      </x:c>
      <x:c r="R461" s="2" t="str">
        <x:v>국내평가</x:v>
      </x:c>
      <x:c r="S461" s="8" t="n">
        <x:v>364</x:v>
      </x:c>
      <x:c r="T461" s="2"/>
      <x:c r="U461" s="2" t="str"/>
      <x:c r="V461" s="2" t="str">
        <x:v>2018-11-30</x:v>
      </x:c>
      <x:c r="W461" s="2" t="str">
        <x:v>담당기관 확인</x:v>
      </x:c>
      <x:c r="X461" s="2" t="str">
        <x:v>원본·배정 기록 확인</x:v>
      </x:c>
      <x:c r="Y461" s="2" t="str">
        <x:v>ad210cd9ec132cfd447541c8984dc53d30aff0f4fb2dc92d254d49275cc55976</x:v>
      </x:c>
      <x:c r="Z461" s="2" t="n">
        <x:f>SUBTOTAL(103,A461)</x:f>
        <x:v>1</x:v>
      </x:c>
      <x:c r="AA461" s="2" t="str">
        <x:f>IF(K461&lt;&gt;"미종결 표시","대상 아님",IF(N461="","신청일 확인",IF(NOT(ISNUMBER('종합 현황'!$H$5)),"관찰기준 확인",IF('종합 현황'!$H$5&lt;1,"관찰기준 확인",IF(N461&gt;'종합 현황'!$H$5,"내부 관찰 대상","내부 관찰일 이하")))))</x:f>
        <x:v>대상 아님</x:v>
      </x:c>
      <x:c r="AB461" s="2"/>
    </x:row>
    <x:row r="462" ht="42" customHeight="1">
      <x:c r="A462" s="2" t="str">
        <x:v>fbe3bd8bb679f82df8a33b88</x:v>
      </x:c>
      <x:c r="B462" s="2" t="str">
        <x:v>사업 평가</x:v>
      </x:c>
      <x:c r="C462" s="2" t="str">
        <x:v>국내</x:v>
      </x:c>
      <x:c r="D462" s="7" t="str">
        <x:v>성창 버너 연료전환을 통한 온실가스 (CO2) 감축사업</x:v>
      </x:c>
      <x:c r="E462" s="2" t="str">
        <x:v>323</x:v>
      </x:c>
      <x:c r="F462" s="2" t="str">
        <x:v>2018-01-03</x:v>
      </x:c>
      <x:c r="G462" s="2" t="str">
        <x:v>2018</x:v>
      </x:c>
      <x:c r="H462" s="2" t="str">
        <x:v>01</x:v>
      </x:c>
      <x:c r="I462" s="2" t="str">
        <x:v>승인</x:v>
      </x:c>
      <x:c r="J462" s="2" t="str">
        <x:v>심의승인</x:v>
      </x:c>
      <x:c r="K462" s="2" t="str">
        <x:f>IF(OR(J462="심의승인",J462="반려",J462="반려완료",J462="심의완료"),"종결 표시",IF(OR(J462="기후부협의",J462="문서재제출요청",J462="보류",J462="보완요청",J462="보완완료",J462="평가중",J462="반려요청",J462="평가필요",LEFT(J462,5)="보완요청("),"미종결 표시","상태 확인 필요"))</x:f>
        <x:v>종결 표시</x:v>
      </x:c>
      <x:c r="L462" s="2"/>
      <x:c r="M462" s="2"/>
      <x:c r="N462" s="8" t="n">
        <x:f>DATE(2026,10,15)-DATE(2018,1,3)</x:f>
        <x:v>3207</x:v>
      </x:c>
      <x:c r="O462" s="2"/>
      <x:c r="P462" s="2"/>
      <x:c r="Q462" s="2" t="str">
        <x:v>산업전환_외부사업관리Tool_260707_이너젠 수정_LJY_261013.xlsx</x:v>
      </x:c>
      <x:c r="R462" s="2" t="str">
        <x:v>국내평가</x:v>
      </x:c>
      <x:c r="S462" s="8" t="n">
        <x:v>365</x:v>
      </x:c>
      <x:c r="T462" s="2"/>
      <x:c r="U462" s="2" t="str"/>
      <x:c r="V462" s="2" t="str">
        <x:v>2018-11-30</x:v>
      </x:c>
      <x:c r="W462" s="2" t="str">
        <x:v>담당기관 확인</x:v>
      </x:c>
      <x:c r="X462" s="2" t="str">
        <x:v>원본·배정 기록 확인</x:v>
      </x:c>
      <x:c r="Y462" s="2" t="str">
        <x:v>ad210cd9ec132cfd447541c8984dc53d30aff0f4fb2dc92d254d49275cc55976</x:v>
      </x:c>
      <x:c r="Z462" s="2" t="n">
        <x:f>SUBTOTAL(103,A462)</x:f>
        <x:v>1</x:v>
      </x:c>
      <x:c r="AA462" s="2" t="str">
        <x:f>IF(K462&lt;&gt;"미종결 표시","대상 아님",IF(N462="","신청일 확인",IF(NOT(ISNUMBER('종합 현황'!$H$5)),"관찰기준 확인",IF('종합 현황'!$H$5&lt;1,"관찰기준 확인",IF(N462&gt;'종합 현황'!$H$5,"내부 관찰 대상","내부 관찰일 이하")))))</x:f>
        <x:v>대상 아님</x:v>
      </x:c>
      <x:c r="AB462" s="2"/>
    </x:row>
    <x:row r="463" ht="42" customHeight="1">
      <x:c r="A463" s="2" t="str">
        <x:v>2190227a0e47240face3e63e</x:v>
      </x:c>
      <x:c r="B463" s="2" t="str">
        <x:v>사업 평가</x:v>
      </x:c>
      <x:c r="C463" s="2" t="str">
        <x:v>국내</x:v>
      </x:c>
      <x:c r="D463" s="7" t="str">
        <x:v>KT 외부사업 묶음감축사업_001</x:v>
      </x:c>
      <x:c r="E463" s="2" t="str">
        <x:v>324</x:v>
      </x:c>
      <x:c r="F463" s="2" t="str">
        <x:v>2018-09-19</x:v>
      </x:c>
      <x:c r="G463" s="2" t="str">
        <x:v>2018</x:v>
      </x:c>
      <x:c r="H463" s="2" t="str">
        <x:v>09</x:v>
      </x:c>
      <x:c r="I463" s="2" t="str">
        <x:v>반려</x:v>
      </x:c>
      <x:c r="J463" s="2" t="str">
        <x:v>반려</x:v>
      </x:c>
      <x:c r="K463" s="2" t="str">
        <x:f>IF(OR(J463="심의승인",J463="반려",J463="반려완료",J463="심의완료"),"종결 표시",IF(OR(J463="기후부협의",J463="문서재제출요청",J463="보류",J463="보완요청",J463="보완완료",J463="평가중",J463="반려요청",J463="평가필요",LEFT(J463,5)="보완요청("),"미종결 표시","상태 확인 필요"))</x:f>
        <x:v>종결 표시</x:v>
      </x:c>
      <x:c r="L463" s="2"/>
      <x:c r="M463" s="2"/>
      <x:c r="N463" s="8" t="n">
        <x:f>DATE(2026,10,15)-DATE(2018,9,19)</x:f>
        <x:v>2948</x:v>
      </x:c>
      <x:c r="O463" s="2"/>
      <x:c r="P463" s="2"/>
      <x:c r="Q463" s="2" t="str">
        <x:v>산업전환_외부사업관리Tool_260707_이너젠 수정_LJY_261013.xlsx</x:v>
      </x:c>
      <x:c r="R463" s="2" t="str">
        <x:v>국내평가</x:v>
      </x:c>
      <x:c r="S463" s="8" t="n">
        <x:v>366</x:v>
      </x:c>
      <x:c r="T463" s="2" t="str">
        <x:v>2021년 처리</x:v>
      </x:c>
      <x:c r="U463" s="2" t="str">
        <x:v>2021 배정: 2021년 처리</x:v>
      </x:c>
      <x:c r="V463" s="2" t="str">
        <x:v>2021-06-28</x:v>
      </x:c>
      <x:c r="W463" s="2" t="str">
        <x:v>담당기관 확인</x:v>
      </x:c>
      <x:c r="X463" s="2" t="str">
        <x:v>원본·배정 기록 확인</x:v>
      </x:c>
      <x:c r="Y463" s="2" t="str">
        <x:v>ad210cd9ec132cfd447541c8984dc53d30aff0f4fb2dc92d254d49275cc55976</x:v>
      </x:c>
      <x:c r="Z463" s="2" t="n">
        <x:f>SUBTOTAL(103,A463)</x:f>
        <x:v>1</x:v>
      </x:c>
      <x:c r="AA463" s="2" t="str">
        <x:f>IF(K463&lt;&gt;"미종결 표시","대상 아님",IF(N463="","신청일 확인",IF(NOT(ISNUMBER('종합 현황'!$H$5)),"관찰기준 확인",IF('종합 현황'!$H$5&lt;1,"관찰기준 확인",IF(N463&gt;'종합 현황'!$H$5,"내부 관찰 대상","내부 관찰일 이하")))))</x:f>
        <x:v>대상 아님</x:v>
      </x:c>
      <x:c r="AB463" s="2"/>
    </x:row>
    <x:row r="464" ht="42" customHeight="1">
      <x:c r="A464" s="2" t="str">
        <x:v>47230a68506c557dc939ac0e</x:v>
      </x:c>
      <x:c r="B464" s="2" t="str">
        <x:v>사업 평가</x:v>
      </x:c>
      <x:c r="C464" s="2" t="str">
        <x:v>국내</x:v>
      </x:c>
      <x:c r="D464" s="7" t="str">
        <x:v>(주)조양의 연료전환을 통한 온실가스 감축사업</x:v>
      </x:c>
      <x:c r="E464" s="2" t="str">
        <x:v>325</x:v>
      </x:c>
      <x:c r="F464" s="2" t="str">
        <x:v>2018-01-03</x:v>
      </x:c>
      <x:c r="G464" s="2" t="str">
        <x:v>2018</x:v>
      </x:c>
      <x:c r="H464" s="2" t="str">
        <x:v>01</x:v>
      </x:c>
      <x:c r="I464" s="2" t="str">
        <x:v>승인</x:v>
      </x:c>
      <x:c r="J464" s="2" t="str">
        <x:v>심의승인</x:v>
      </x:c>
      <x:c r="K464" s="2" t="str">
        <x:f>IF(OR(J464="심의승인",J464="반려",J464="반려완료",J464="심의완료"),"종결 표시",IF(OR(J464="기후부협의",J464="문서재제출요청",J464="보류",J464="보완요청",J464="보완완료",J464="평가중",J464="반려요청",J464="평가필요",LEFT(J464,5)="보완요청("),"미종결 표시","상태 확인 필요"))</x:f>
        <x:v>종결 표시</x:v>
      </x:c>
      <x:c r="L464" s="2"/>
      <x:c r="M464" s="2"/>
      <x:c r="N464" s="8" t="n">
        <x:f>DATE(2026,10,15)-DATE(2018,1,3)</x:f>
        <x:v>3207</x:v>
      </x:c>
      <x:c r="O464" s="2"/>
      <x:c r="P464" s="2"/>
      <x:c r="Q464" s="2" t="str">
        <x:v>산업전환_외부사업관리Tool_260707_이너젠 수정_LJY_261013.xlsx</x:v>
      </x:c>
      <x:c r="R464" s="2" t="str">
        <x:v>국내평가</x:v>
      </x:c>
      <x:c r="S464" s="8" t="n">
        <x:v>367</x:v>
      </x:c>
      <x:c r="T464" s="2"/>
      <x:c r="U464" s="2" t="str"/>
      <x:c r="V464" s="2" t="str">
        <x:v>2018-11-30</x:v>
      </x:c>
      <x:c r="W464" s="2" t="str">
        <x:v>담당기관 확인</x:v>
      </x:c>
      <x:c r="X464" s="2" t="str">
        <x:v>원본·배정 기록 확인</x:v>
      </x:c>
      <x:c r="Y464" s="2" t="str">
        <x:v>ad210cd9ec132cfd447541c8984dc53d30aff0f4fb2dc92d254d49275cc55976</x:v>
      </x:c>
      <x:c r="Z464" s="2" t="n">
        <x:f>SUBTOTAL(103,A464)</x:f>
        <x:v>1</x:v>
      </x:c>
      <x:c r="AA464" s="2" t="str">
        <x:f>IF(K464&lt;&gt;"미종결 표시","대상 아님",IF(N464="","신청일 확인",IF(NOT(ISNUMBER('종합 현황'!$H$5)),"관찰기준 확인",IF('종합 현황'!$H$5&lt;1,"관찰기준 확인",IF(N464&gt;'종합 현황'!$H$5,"내부 관찰 대상","내부 관찰일 이하")))))</x:f>
        <x:v>대상 아님</x:v>
      </x:c>
      <x:c r="AB464" s="2"/>
    </x:row>
    <x:row r="465" ht="42" customHeight="1">
      <x:c r="A465" s="2" t="str">
        <x:v>ac402646024ecc096e174e0c</x:v>
      </x:c>
      <x:c r="B465" s="2" t="str">
        <x:v>사업 평가</x:v>
      </x:c>
      <x:c r="C465" s="2" t="str">
        <x:v>국내</x:v>
      </x:c>
      <x:c r="D465" s="7" t="str">
        <x:v>크린멤버스의 목재펠릿 연료전환(LPG-&amp;gt목재펠릿)을 통한 온실가스 감축사업</x:v>
      </x:c>
      <x:c r="E465" s="2" t="str">
        <x:v>326</x:v>
      </x:c>
      <x:c r="F465" s="2" t="str">
        <x:v>2018-01-03</x:v>
      </x:c>
      <x:c r="G465" s="2" t="str">
        <x:v>2018</x:v>
      </x:c>
      <x:c r="H465" s="2" t="str">
        <x:v>01</x:v>
      </x:c>
      <x:c r="I465" s="2" t="str">
        <x:v>승인</x:v>
      </x:c>
      <x:c r="J465" s="2" t="str">
        <x:v>심의승인</x:v>
      </x:c>
      <x:c r="K465" s="2" t="str">
        <x:f>IF(OR(J465="심의승인",J465="반려",J465="반려완료",J465="심의완료"),"종결 표시",IF(OR(J465="기후부협의",J465="문서재제출요청",J465="보류",J465="보완요청",J465="보완완료",J465="평가중",J465="반려요청",J465="평가필요",LEFT(J465,5)="보완요청("),"미종결 표시","상태 확인 필요"))</x:f>
        <x:v>종결 표시</x:v>
      </x:c>
      <x:c r="L465" s="2"/>
      <x:c r="M465" s="2"/>
      <x:c r="N465" s="8" t="n">
        <x:f>DATE(2026,10,15)-DATE(2018,1,3)</x:f>
        <x:v>3207</x:v>
      </x:c>
      <x:c r="O465" s="2"/>
      <x:c r="P465" s="2"/>
      <x:c r="Q465" s="2" t="str">
        <x:v>산업전환_외부사업관리Tool_260707_이너젠 수정_LJY_261013.xlsx</x:v>
      </x:c>
      <x:c r="R465" s="2" t="str">
        <x:v>국내평가</x:v>
      </x:c>
      <x:c r="S465" s="8" t="n">
        <x:v>368</x:v>
      </x:c>
      <x:c r="T465" s="2"/>
      <x:c r="U465" s="2" t="str"/>
      <x:c r="V465" s="2" t="str">
        <x:v>2018-11-30</x:v>
      </x:c>
      <x:c r="W465" s="2" t="str">
        <x:v>담당기관 확인</x:v>
      </x:c>
      <x:c r="X465" s="2" t="str">
        <x:v>원본·배정 기록 확인</x:v>
      </x:c>
      <x:c r="Y465" s="2" t="str">
        <x:v>ad210cd9ec132cfd447541c8984dc53d30aff0f4fb2dc92d254d49275cc55976</x:v>
      </x:c>
      <x:c r="Z465" s="2" t="n">
        <x:f>SUBTOTAL(103,A465)</x:f>
        <x:v>1</x:v>
      </x:c>
      <x:c r="AA465" s="2" t="str">
        <x:f>IF(K465&lt;&gt;"미종결 표시","대상 아님",IF(N465="","신청일 확인",IF(NOT(ISNUMBER('종합 현황'!$H$5)),"관찰기준 확인",IF('종합 현황'!$H$5&lt;1,"관찰기준 확인",IF(N465&gt;'종합 현황'!$H$5,"내부 관찰 대상","내부 관찰일 이하")))))</x:f>
        <x:v>대상 아님</x:v>
      </x:c>
      <x:c r="AB465" s="2"/>
    </x:row>
    <x:row r="466" ht="42" customHeight="1">
      <x:c r="A466" s="2" t="str">
        <x:v>3b103c414a1b962b7f666c63</x:v>
      </x:c>
      <x:c r="B466" s="2" t="str">
        <x:v>사업 평가</x:v>
      </x:c>
      <x:c r="C466" s="2" t="str">
        <x:v>국내</x:v>
      </x:c>
      <x:c r="D466" s="7" t="str">
        <x:v>경림산업(주) 제주사업장 B-B유에서 목재펠릿으로 연료 전환을 통한 온실가스 감축사업</x:v>
      </x:c>
      <x:c r="E466" s="2" t="str">
        <x:v>327</x:v>
      </x:c>
      <x:c r="F466" s="2" t="str">
        <x:v>2018-01-03</x:v>
      </x:c>
      <x:c r="G466" s="2" t="str">
        <x:v>2018</x:v>
      </x:c>
      <x:c r="H466" s="2" t="str">
        <x:v>01</x:v>
      </x:c>
      <x:c r="I466" s="2" t="str">
        <x:v>승인</x:v>
      </x:c>
      <x:c r="J466" s="2" t="str">
        <x:v>심의승인</x:v>
      </x:c>
      <x:c r="K466" s="2" t="str">
        <x:f>IF(OR(J466="심의승인",J466="반려",J466="반려완료",J466="심의완료"),"종결 표시",IF(OR(J466="기후부협의",J466="문서재제출요청",J466="보류",J466="보완요청",J466="보완완료",J466="평가중",J466="반려요청",J466="평가필요",LEFT(J466,5)="보완요청("),"미종결 표시","상태 확인 필요"))</x:f>
        <x:v>종결 표시</x:v>
      </x:c>
      <x:c r="L466" s="2"/>
      <x:c r="M466" s="2"/>
      <x:c r="N466" s="8" t="n">
        <x:f>DATE(2026,10,15)-DATE(2018,1,3)</x:f>
        <x:v>3207</x:v>
      </x:c>
      <x:c r="O466" s="2"/>
      <x:c r="P466" s="2"/>
      <x:c r="Q466" s="2" t="str">
        <x:v>산업전환_외부사업관리Tool_260707_이너젠 수정_LJY_261013.xlsx</x:v>
      </x:c>
      <x:c r="R466" s="2" t="str">
        <x:v>국내평가</x:v>
      </x:c>
      <x:c r="S466" s="8" t="n">
        <x:v>369</x:v>
      </x:c>
      <x:c r="T466" s="2"/>
      <x:c r="U466" s="2" t="str"/>
      <x:c r="V466" s="2" t="str">
        <x:v>2018-11-30</x:v>
      </x:c>
      <x:c r="W466" s="2" t="str">
        <x:v>담당기관 확인</x:v>
      </x:c>
      <x:c r="X466" s="2" t="str">
        <x:v>원본·배정 기록 확인</x:v>
      </x:c>
      <x:c r="Y466" s="2" t="str">
        <x:v>ad210cd9ec132cfd447541c8984dc53d30aff0f4fb2dc92d254d49275cc55976</x:v>
      </x:c>
      <x:c r="Z466" s="2" t="n">
        <x:f>SUBTOTAL(103,A466)</x:f>
        <x:v>1</x:v>
      </x:c>
      <x:c r="AA466" s="2" t="str">
        <x:f>IF(K466&lt;&gt;"미종결 표시","대상 아님",IF(N466="","신청일 확인",IF(NOT(ISNUMBER('종합 현황'!$H$5)),"관찰기준 확인",IF('종합 현황'!$H$5&lt;1,"관찰기준 확인",IF(N466&gt;'종합 현황'!$H$5,"내부 관찰 대상","내부 관찰일 이하")))))</x:f>
        <x:v>대상 아님</x:v>
      </x:c>
      <x:c r="AB466" s="2"/>
    </x:row>
    <x:row r="467" ht="42" customHeight="1">
      <x:c r="A467" s="2" t="str">
        <x:v>5f8f049bb2419272d02ae536</x:v>
      </x:c>
      <x:c r="B467" s="2" t="str">
        <x:v>사업 평가</x:v>
      </x:c>
      <x:c r="C467" s="2" t="str">
        <x:v>국내</x:v>
      </x:c>
      <x:c r="D467" s="7" t="str">
        <x:v>서울시 태양광 미니발전소 보급사업에 의한 온실가스 배출량 감축사업</x:v>
      </x:c>
      <x:c r="E467" s="2" t="str">
        <x:v>328</x:v>
      </x:c>
      <x:c r="F467" s="2" t="str">
        <x:v>2018-11-08</x:v>
      </x:c>
      <x:c r="G467" s="2" t="str">
        <x:v>2018</x:v>
      </x:c>
      <x:c r="H467" s="2" t="str">
        <x:v>11</x:v>
      </x:c>
      <x:c r="I467" s="2" t="str">
        <x:v>반려</x:v>
      </x:c>
      <x:c r="J467" s="2" t="str">
        <x:v>반려</x:v>
      </x:c>
      <x:c r="K467" s="2" t="str">
        <x:f>IF(OR(J467="심의승인",J467="반려",J467="반려완료",J467="심의완료"),"종결 표시",IF(OR(J467="기후부협의",J467="문서재제출요청",J467="보류",J467="보완요청",J467="보완완료",J467="평가중",J467="반려요청",J467="평가필요",LEFT(J467,5)="보완요청("),"미종결 표시","상태 확인 필요"))</x:f>
        <x:v>종결 표시</x:v>
      </x:c>
      <x:c r="L467" s="2"/>
      <x:c r="M467" s="2"/>
      <x:c r="N467" s="8" t="n">
        <x:f>DATE(2026,10,15)-DATE(2018,11,8)</x:f>
        <x:v>2898</x:v>
      </x:c>
      <x:c r="O467" s="2"/>
      <x:c r="P467" s="2"/>
      <x:c r="Q467" s="2" t="str">
        <x:v>산업전환_외부사업관리Tool_260707_이너젠 수정_LJY_261013.xlsx</x:v>
      </x:c>
      <x:c r="R467" s="2" t="str">
        <x:v>국내평가</x:v>
      </x:c>
      <x:c r="S467" s="8" t="n">
        <x:v>370</x:v>
      </x:c>
      <x:c r="T467" s="2" t="str">
        <x:v>2021년 처리</x:v>
      </x:c>
      <x:c r="U467" s="2" t="str">
        <x:v>2021 배정: 2021년 처리</x:v>
      </x:c>
      <x:c r="V467" s="2" t="str">
        <x:v>2021-11-08</x:v>
      </x:c>
      <x:c r="W467" s="2" t="str">
        <x:v>담당기관 확인</x:v>
      </x:c>
      <x:c r="X467" s="2" t="str">
        <x:v>원본·배정 기록 확인</x:v>
      </x:c>
      <x:c r="Y467" s="2" t="str">
        <x:v>ad210cd9ec132cfd447541c8984dc53d30aff0f4fb2dc92d254d49275cc55976</x:v>
      </x:c>
      <x:c r="Z467" s="2" t="n">
        <x:f>SUBTOTAL(103,A467)</x:f>
        <x:v>1</x:v>
      </x:c>
      <x:c r="AA467" s="2" t="str">
        <x:f>IF(K467&lt;&gt;"미종결 표시","대상 아님",IF(N467="","신청일 확인",IF(NOT(ISNUMBER('종합 현황'!$H$5)),"관찰기준 확인",IF('종합 현황'!$H$5&lt;1,"관찰기준 확인",IF(N467&gt;'종합 현황'!$H$5,"내부 관찰 대상","내부 관찰일 이하")))))</x:f>
        <x:v>대상 아님</x:v>
      </x:c>
      <x:c r="AB467" s="2"/>
    </x:row>
    <x:row r="468" ht="42" customHeight="1">
      <x:c r="A468" s="2" t="str">
        <x:v>f91e89ff36d36a6e0594fa1e</x:v>
      </x:c>
      <x:c r="B468" s="2" t="str">
        <x:v>사업 평가</x:v>
      </x:c>
      <x:c r="C468" s="2" t="str">
        <x:v>국내</x:v>
      </x:c>
      <x:c r="D468" s="7" t="str">
        <x:v>상신싸이징의 보일러 연료전환(감압정제유-&gt;LNG)에 의한 온실가스(CO2) 배출 감축사업</x:v>
      </x:c>
      <x:c r="E468" s="2" t="str">
        <x:v>329</x:v>
      </x:c>
      <x:c r="F468" s="2" t="str">
        <x:v>2018-01-03</x:v>
      </x:c>
      <x:c r="G468" s="2" t="str">
        <x:v>2018</x:v>
      </x:c>
      <x:c r="H468" s="2" t="str">
        <x:v>01</x:v>
      </x:c>
      <x:c r="I468" s="2" t="str">
        <x:v>승인</x:v>
      </x:c>
      <x:c r="J468" s="2" t="str">
        <x:v>심의승인</x:v>
      </x:c>
      <x:c r="K468" s="2" t="str">
        <x:f>IF(OR(J468="심의승인",J468="반려",J468="반려완료",J468="심의완료"),"종결 표시",IF(OR(J468="기후부협의",J468="문서재제출요청",J468="보류",J468="보완요청",J468="보완완료",J468="평가중",J468="반려요청",J468="평가필요",LEFT(J468,5)="보완요청("),"미종결 표시","상태 확인 필요"))</x:f>
        <x:v>종결 표시</x:v>
      </x:c>
      <x:c r="L468" s="2"/>
      <x:c r="M468" s="2"/>
      <x:c r="N468" s="8" t="n">
        <x:f>DATE(2026,10,15)-DATE(2018,1,3)</x:f>
        <x:v>3207</x:v>
      </x:c>
      <x:c r="O468" s="2"/>
      <x:c r="P468" s="2"/>
      <x:c r="Q468" s="2" t="str">
        <x:v>산업전환_외부사업관리Tool_260707_이너젠 수정_LJY_261013.xlsx</x:v>
      </x:c>
      <x:c r="R468" s="2" t="str">
        <x:v>국내평가</x:v>
      </x:c>
      <x:c r="S468" s="8" t="n">
        <x:v>371</x:v>
      </x:c>
      <x:c r="T468" s="2"/>
      <x:c r="U468" s="2" t="str"/>
      <x:c r="V468" s="2" t="str">
        <x:v>2018-12-03</x:v>
      </x:c>
      <x:c r="W468" s="2" t="str">
        <x:v>담당기관 확인</x:v>
      </x:c>
      <x:c r="X468" s="2" t="str">
        <x:v>원본·배정 기록 확인</x:v>
      </x:c>
      <x:c r="Y468" s="2" t="str">
        <x:v>ad210cd9ec132cfd447541c8984dc53d30aff0f4fb2dc92d254d49275cc55976</x:v>
      </x:c>
      <x:c r="Z468" s="2" t="n">
        <x:f>SUBTOTAL(103,A468)</x:f>
        <x:v>1</x:v>
      </x:c>
      <x:c r="AA468" s="2" t="str">
        <x:f>IF(K468&lt;&gt;"미종결 표시","대상 아님",IF(N468="","신청일 확인",IF(NOT(ISNUMBER('종합 현황'!$H$5)),"관찰기준 확인",IF('종합 현황'!$H$5&lt;1,"관찰기준 확인",IF(N468&gt;'종합 현황'!$H$5,"내부 관찰 대상","내부 관찰일 이하")))))</x:f>
        <x:v>대상 아님</x:v>
      </x:c>
      <x:c r="AB468" s="2"/>
    </x:row>
    <x:row r="469" ht="42" customHeight="1">
      <x:c r="A469" s="2" t="str">
        <x:v>570736041a734659759fce60</x:v>
      </x:c>
      <x:c r="B469" s="2" t="str">
        <x:v>사업 평가</x:v>
      </x:c>
      <x:c r="C469" s="2" t="str">
        <x:v>국내</x:v>
      </x:c>
      <x:c r="D469" s="7" t="str">
        <x:v>한솔플라스틱의 사출기 일부교체(유압식→전동식)를 통한 온실가스 감축사업</x:v>
      </x:c>
      <x:c r="E469" s="2" t="str">
        <x:v>330</x:v>
      </x:c>
      <x:c r="F469" s="2" t="str">
        <x:v>2018-01-03</x:v>
      </x:c>
      <x:c r="G469" s="2" t="str">
        <x:v>2018</x:v>
      </x:c>
      <x:c r="H469" s="2" t="str">
        <x:v>01</x:v>
      </x:c>
      <x:c r="I469" s="2" t="str">
        <x:v>사업변경 신청</x:v>
      </x:c>
      <x:c r="J469" s="2" t="str">
        <x:v>심의승인</x:v>
      </x:c>
      <x:c r="K469" s="2" t="str">
        <x:f>IF(OR(J469="심의승인",J469="반려",J469="반려완료",J469="심의완료"),"종결 표시",IF(OR(J469="기후부협의",J469="문서재제출요청",J469="보류",J469="보완요청",J469="보완완료",J469="평가중",J469="반려요청",J469="평가필요",LEFT(J469,5)="보완요청("),"미종결 표시","상태 확인 필요"))</x:f>
        <x:v>종결 표시</x:v>
      </x:c>
      <x:c r="L469" s="2"/>
      <x:c r="M469" s="2"/>
      <x:c r="N469" s="8" t="n">
        <x:f>DATE(2026,10,15)-DATE(2018,1,3)</x:f>
        <x:v>3207</x:v>
      </x:c>
      <x:c r="O469" s="2"/>
      <x:c r="P469" s="2" t="str">
        <x:v>사업자명 변경</x:v>
      </x:c>
      <x:c r="Q469" s="2" t="str">
        <x:v>산업전환_외부사업관리Tool_260707_이너젠 수정_LJY_261013.xlsx</x:v>
      </x:c>
      <x:c r="R469" s="2" t="str">
        <x:v>국내평가</x:v>
      </x:c>
      <x:c r="S469" s="8" t="n">
        <x:v>372</x:v>
      </x:c>
      <x:c r="T469" s="2"/>
      <x:c r="U469" s="2" t="str"/>
      <x:c r="V469" s="2" t="str">
        <x:v>2021-03-02</x:v>
      </x:c>
      <x:c r="W469" s="2" t="str">
        <x:v>담당기관 확인</x:v>
      </x:c>
      <x:c r="X469" s="2" t="str">
        <x:v>원본·배정 기록 확인</x:v>
      </x:c>
      <x:c r="Y469" s="2" t="str">
        <x:v>ad210cd9ec132cfd447541c8984dc53d30aff0f4fb2dc92d254d49275cc55976</x:v>
      </x:c>
      <x:c r="Z469" s="2" t="n">
        <x:f>SUBTOTAL(103,A469)</x:f>
        <x:v>1</x:v>
      </x:c>
      <x:c r="AA469" s="2" t="str">
        <x:f>IF(K469&lt;&gt;"미종결 표시","대상 아님",IF(N469="","신청일 확인",IF(NOT(ISNUMBER('종합 현황'!$H$5)),"관찰기준 확인",IF('종합 현황'!$H$5&lt;1,"관찰기준 확인",IF(N469&gt;'종합 현황'!$H$5,"내부 관찰 대상","내부 관찰일 이하")))))</x:f>
        <x:v>대상 아님</x:v>
      </x:c>
      <x:c r="AB469" s="2"/>
    </x:row>
    <x:row r="470" ht="42" customHeight="1">
      <x:c r="A470" s="2" t="str">
        <x:v>d91e20872352035663d30cb1</x:v>
      </x:c>
      <x:c r="B470" s="2" t="str">
        <x:v>사업 평가</x:v>
      </x:c>
      <x:c r="C470" s="2" t="str">
        <x:v>국내</x:v>
      </x:c>
      <x:c r="D470" s="7" t="str">
        <x:v>한일식품(주) 보일러의 연료전환 (B-C유 → LNG)을 통한 온실가스 감축사업</x:v>
      </x:c>
      <x:c r="E470" s="2" t="str">
        <x:v>331</x:v>
      </x:c>
      <x:c r="F470" s="2" t="str">
        <x:v>2018-01-03</x:v>
      </x:c>
      <x:c r="G470" s="2" t="str">
        <x:v>2018</x:v>
      </x:c>
      <x:c r="H470" s="2" t="str">
        <x:v>01</x:v>
      </x:c>
      <x:c r="I470" s="2" t="str">
        <x:v>승인</x:v>
      </x:c>
      <x:c r="J470" s="2" t="str">
        <x:v>심의승인</x:v>
      </x:c>
      <x:c r="K470" s="2" t="str">
        <x:f>IF(OR(J470="심의승인",J470="반려",J470="반려완료",J470="심의완료"),"종결 표시",IF(OR(J470="기후부협의",J470="문서재제출요청",J470="보류",J470="보완요청",J470="보완완료",J470="평가중",J470="반려요청",J470="평가필요",LEFT(J470,5)="보완요청("),"미종결 표시","상태 확인 필요"))</x:f>
        <x:v>종결 표시</x:v>
      </x:c>
      <x:c r="L470" s="2"/>
      <x:c r="M470" s="2"/>
      <x:c r="N470" s="8" t="n">
        <x:f>DATE(2026,10,15)-DATE(2018,1,3)</x:f>
        <x:v>3207</x:v>
      </x:c>
      <x:c r="O470" s="2"/>
      <x:c r="P470" s="2"/>
      <x:c r="Q470" s="2" t="str">
        <x:v>산업전환_외부사업관리Tool_260707_이너젠 수정_LJY_261013.xlsx</x:v>
      </x:c>
      <x:c r="R470" s="2" t="str">
        <x:v>국내평가</x:v>
      </x:c>
      <x:c r="S470" s="8" t="n">
        <x:v>373</x:v>
      </x:c>
      <x:c r="T470" s="2"/>
      <x:c r="U470" s="2" t="str"/>
      <x:c r="V470" s="2" t="str">
        <x:v>2018-11-28</x:v>
      </x:c>
      <x:c r="W470" s="2" t="str">
        <x:v>담당기관 확인</x:v>
      </x:c>
      <x:c r="X470" s="2" t="str">
        <x:v>원본·배정 기록 확인</x:v>
      </x:c>
      <x:c r="Y470" s="2" t="str">
        <x:v>ad210cd9ec132cfd447541c8984dc53d30aff0f4fb2dc92d254d49275cc55976</x:v>
      </x:c>
      <x:c r="Z470" s="2" t="n">
        <x:f>SUBTOTAL(103,A470)</x:f>
        <x:v>1</x:v>
      </x:c>
      <x:c r="AA470" s="2" t="str">
        <x:f>IF(K470&lt;&gt;"미종결 표시","대상 아님",IF(N470="","신청일 확인",IF(NOT(ISNUMBER('종합 현황'!$H$5)),"관찰기준 확인",IF('종합 현황'!$H$5&lt;1,"관찰기준 확인",IF(N470&gt;'종합 현황'!$H$5,"내부 관찰 대상","내부 관찰일 이하")))))</x:f>
        <x:v>대상 아님</x:v>
      </x:c>
      <x:c r="AB470" s="2"/>
    </x:row>
    <x:row r="471" ht="42" customHeight="1">
      <x:c r="A471" s="2" t="str">
        <x:v>4bacdd6d19b524b014494736</x:v>
      </x:c>
      <x:c r="B471" s="2" t="str">
        <x:v>사업 평가</x:v>
      </x:c>
      <x:c r="C471" s="2" t="str">
        <x:v>국내</x:v>
      </x:c>
      <x:c r="D471" s="7" t="str">
        <x:v>경향산업 열교환기 등의 연료교체(LPG→LNG)를 통한 온실가스(CO2) 배출 감축사업</x:v>
      </x:c>
      <x:c r="E471" s="2" t="str">
        <x:v>332</x:v>
      </x:c>
      <x:c r="F471" s="2" t="str">
        <x:v>2018-01-03</x:v>
      </x:c>
      <x:c r="G471" s="2" t="str">
        <x:v>2018</x:v>
      </x:c>
      <x:c r="H471" s="2" t="str">
        <x:v>01</x:v>
      </x:c>
      <x:c r="I471" s="2" t="str">
        <x:v>승인</x:v>
      </x:c>
      <x:c r="J471" s="2" t="str">
        <x:v>심의승인</x:v>
      </x:c>
      <x:c r="K471" s="2" t="str">
        <x:f>IF(OR(J471="심의승인",J471="반려",J471="반려완료",J471="심의완료"),"종결 표시",IF(OR(J471="기후부협의",J471="문서재제출요청",J471="보류",J471="보완요청",J471="보완완료",J471="평가중",J471="반려요청",J471="평가필요",LEFT(J471,5)="보완요청("),"미종결 표시","상태 확인 필요"))</x:f>
        <x:v>종결 표시</x:v>
      </x:c>
      <x:c r="L471" s="2"/>
      <x:c r="M471" s="2"/>
      <x:c r="N471" s="8" t="n">
        <x:f>DATE(2026,10,15)-DATE(2018,1,3)</x:f>
        <x:v>3207</x:v>
      </x:c>
      <x:c r="O471" s="2"/>
      <x:c r="P471" s="2"/>
      <x:c r="Q471" s="2" t="str">
        <x:v>산업전환_외부사업관리Tool_260707_이너젠 수정_LJY_261013.xlsx</x:v>
      </x:c>
      <x:c r="R471" s="2" t="str">
        <x:v>국내평가</x:v>
      </x:c>
      <x:c r="S471" s="8" t="n">
        <x:v>374</x:v>
      </x:c>
      <x:c r="T471" s="2"/>
      <x:c r="U471" s="2" t="str"/>
      <x:c r="V471" s="2" t="str">
        <x:v>2018-11-29</x:v>
      </x:c>
      <x:c r="W471" s="2" t="str">
        <x:v>담당기관 확인</x:v>
      </x:c>
      <x:c r="X471" s="2" t="str">
        <x:v>원본·배정 기록 확인</x:v>
      </x:c>
      <x:c r="Y471" s="2" t="str">
        <x:v>ad210cd9ec132cfd447541c8984dc53d30aff0f4fb2dc92d254d49275cc55976</x:v>
      </x:c>
      <x:c r="Z471" s="2" t="n">
        <x:f>SUBTOTAL(103,A471)</x:f>
        <x:v>1</x:v>
      </x:c>
      <x:c r="AA471" s="2" t="str">
        <x:f>IF(K471&lt;&gt;"미종결 표시","대상 아님",IF(N471="","신청일 확인",IF(NOT(ISNUMBER('종합 현황'!$H$5)),"관찰기준 확인",IF('종합 현황'!$H$5&lt;1,"관찰기준 확인",IF(N471&gt;'종합 현황'!$H$5,"내부 관찰 대상","내부 관찰일 이하")))))</x:f>
        <x:v>대상 아님</x:v>
      </x:c>
      <x:c r="AB471" s="2"/>
    </x:row>
    <x:row r="472" ht="42" customHeight="1">
      <x:c r="A472" s="2" t="str">
        <x:v>e04732bfe0f7e6965997fc47</x:v>
      </x:c>
      <x:c r="B472" s="2" t="str">
        <x:v>사업 평가</x:v>
      </x:c>
      <x:c r="C472" s="2" t="str">
        <x:v>국내</x:v>
      </x:c>
      <x:c r="D472" s="7" t="str">
        <x:v>유영나염 스팀보일러의 연료교체(B-C유→LNG)를 통한 온실가스(CO2) 배출 감축사업</x:v>
      </x:c>
      <x:c r="E472" s="2" t="str">
        <x:v>333</x:v>
      </x:c>
      <x:c r="F472" s="2" t="str">
        <x:v>2018-01-03</x:v>
      </x:c>
      <x:c r="G472" s="2" t="str">
        <x:v>2018</x:v>
      </x:c>
      <x:c r="H472" s="2" t="str">
        <x:v>01</x:v>
      </x:c>
      <x:c r="I472" s="2" t="str">
        <x:v>승인</x:v>
      </x:c>
      <x:c r="J472" s="2" t="str">
        <x:v>심의승인</x:v>
      </x:c>
      <x:c r="K472" s="2" t="str">
        <x:f>IF(OR(J472="심의승인",J472="반려",J472="반려완료",J472="심의완료"),"종결 표시",IF(OR(J472="기후부협의",J472="문서재제출요청",J472="보류",J472="보완요청",J472="보완완료",J472="평가중",J472="반려요청",J472="평가필요",LEFT(J472,5)="보완요청("),"미종결 표시","상태 확인 필요"))</x:f>
        <x:v>종결 표시</x:v>
      </x:c>
      <x:c r="L472" s="2"/>
      <x:c r="M472" s="2"/>
      <x:c r="N472" s="8" t="n">
        <x:f>DATE(2026,10,15)-DATE(2018,1,3)</x:f>
        <x:v>3207</x:v>
      </x:c>
      <x:c r="O472" s="2"/>
      <x:c r="P472" s="2"/>
      <x:c r="Q472" s="2" t="str">
        <x:v>산업전환_외부사업관리Tool_260707_이너젠 수정_LJY_261013.xlsx</x:v>
      </x:c>
      <x:c r="R472" s="2" t="str">
        <x:v>국내평가</x:v>
      </x:c>
      <x:c r="S472" s="8" t="n">
        <x:v>375</x:v>
      </x:c>
      <x:c r="T472" s="2"/>
      <x:c r="U472" s="2" t="str"/>
      <x:c r="V472" s="2" t="str">
        <x:v>2018-11-29</x:v>
      </x:c>
      <x:c r="W472" s="2" t="str">
        <x:v>담당기관 확인</x:v>
      </x:c>
      <x:c r="X472" s="2" t="str">
        <x:v>원본·배정 기록 확인</x:v>
      </x:c>
      <x:c r="Y472" s="2" t="str">
        <x:v>ad210cd9ec132cfd447541c8984dc53d30aff0f4fb2dc92d254d49275cc55976</x:v>
      </x:c>
      <x:c r="Z472" s="2" t="n">
        <x:f>SUBTOTAL(103,A472)</x:f>
        <x:v>1</x:v>
      </x:c>
      <x:c r="AA472" s="2" t="str">
        <x:f>IF(K472&lt;&gt;"미종결 표시","대상 아님",IF(N472="","신청일 확인",IF(NOT(ISNUMBER('종합 현황'!$H$5)),"관찰기준 확인",IF('종합 현황'!$H$5&lt;1,"관찰기준 확인",IF(N472&gt;'종합 현황'!$H$5,"내부 관찰 대상","내부 관찰일 이하")))))</x:f>
        <x:v>대상 아님</x:v>
      </x:c>
      <x:c r="AB472" s="2"/>
    </x:row>
    <x:row r="473" ht="42" customHeight="1">
      <x:c r="A473" s="2" t="str">
        <x:v>e54c77d0a984b94502d1fdc0</x:v>
      </x:c>
      <x:c r="B473" s="2" t="str">
        <x:v>사업 평가</x:v>
      </x:c>
      <x:c r="C473" s="2" t="str">
        <x:v>국내</x:v>
      </x:c>
      <x:c r="D473" s="7" t="str">
        <x:v>한화제약(주) 스팀보일러 버너 연료전환(부생연료유 1호 → LPG)을 통한 온실가스(CO2) 감축사업</x:v>
      </x:c>
      <x:c r="E473" s="2" t="str">
        <x:v>334</x:v>
      </x:c>
      <x:c r="F473" s="2" t="str">
        <x:v>2018-01-03</x:v>
      </x:c>
      <x:c r="G473" s="2" t="str">
        <x:v>2018</x:v>
      </x:c>
      <x:c r="H473" s="2" t="str">
        <x:v>01</x:v>
      </x:c>
      <x:c r="I473" s="2" t="str">
        <x:v>승인</x:v>
      </x:c>
      <x:c r="J473" s="2" t="str">
        <x:v>심의승인</x:v>
      </x:c>
      <x:c r="K473" s="2" t="str">
        <x:f>IF(OR(J473="심의승인",J473="반려",J473="반려완료",J473="심의완료"),"종결 표시",IF(OR(J473="기후부협의",J473="문서재제출요청",J473="보류",J473="보완요청",J473="보완완료",J473="평가중",J473="반려요청",J473="평가필요",LEFT(J473,5)="보완요청("),"미종결 표시","상태 확인 필요"))</x:f>
        <x:v>종결 표시</x:v>
      </x:c>
      <x:c r="L473" s="2"/>
      <x:c r="M473" s="2"/>
      <x:c r="N473" s="8" t="n">
        <x:f>DATE(2026,10,15)-DATE(2018,1,3)</x:f>
        <x:v>3207</x:v>
      </x:c>
      <x:c r="O473" s="2"/>
      <x:c r="P473" s="2"/>
      <x:c r="Q473" s="2" t="str">
        <x:v>산업전환_외부사업관리Tool_260707_이너젠 수정_LJY_261013.xlsx</x:v>
      </x:c>
      <x:c r="R473" s="2" t="str">
        <x:v>국내평가</x:v>
      </x:c>
      <x:c r="S473" s="8" t="n">
        <x:v>376</x:v>
      </x:c>
      <x:c r="T473" s="2"/>
      <x:c r="U473" s="2" t="str"/>
      <x:c r="V473" s="2" t="str">
        <x:v>2018-11-28</x:v>
      </x:c>
      <x:c r="W473" s="2" t="str">
        <x:v>담당기관 확인</x:v>
      </x:c>
      <x:c r="X473" s="2" t="str">
        <x:v>원본·배정 기록 확인</x:v>
      </x:c>
      <x:c r="Y473" s="2" t="str">
        <x:v>ad210cd9ec132cfd447541c8984dc53d30aff0f4fb2dc92d254d49275cc55976</x:v>
      </x:c>
      <x:c r="Z473" s="2" t="n">
        <x:f>SUBTOTAL(103,A473)</x:f>
        <x:v>1</x:v>
      </x:c>
      <x:c r="AA473" s="2" t="str">
        <x:f>IF(K473&lt;&gt;"미종결 표시","대상 아님",IF(N473="","신청일 확인",IF(NOT(ISNUMBER('종합 현황'!$H$5)),"관찰기준 확인",IF('종합 현황'!$H$5&lt;1,"관찰기준 확인",IF(N473&gt;'종합 현황'!$H$5,"내부 관찰 대상","내부 관찰일 이하")))))</x:f>
        <x:v>대상 아님</x:v>
      </x:c>
      <x:c r="AB473" s="2"/>
    </x:row>
    <x:row r="474" ht="42" customHeight="1">
      <x:c r="A474" s="2" t="str">
        <x:v>cc8378e12d9dc94a966ea9f2</x:v>
      </x:c>
      <x:c r="B474" s="2" t="str">
        <x:v>사업 평가</x:v>
      </x:c>
      <x:c r="C474" s="2" t="str">
        <x:v>국내</x:v>
      </x:c>
      <x:c r="D474" s="7" t="str">
        <x:v>2015년 춘천시 도로조명 LED 교체를 통한 묶음 감축사업</x:v>
      </x:c>
      <x:c r="E474" s="2" t="str">
        <x:v>335</x:v>
      </x:c>
      <x:c r="F474" s="2" t="str">
        <x:v>2018-01-03</x:v>
      </x:c>
      <x:c r="G474" s="2" t="str">
        <x:v>2018</x:v>
      </x:c>
      <x:c r="H474" s="2" t="str">
        <x:v>01</x:v>
      </x:c>
      <x:c r="I474" s="2" t="str">
        <x:v>승인</x:v>
      </x:c>
      <x:c r="J474" s="2" t="str">
        <x:v>심의승인</x:v>
      </x:c>
      <x:c r="K474" s="2" t="str">
        <x:f>IF(OR(J474="심의승인",J474="반려",J474="반려완료",J474="심의완료"),"종결 표시",IF(OR(J474="기후부협의",J474="문서재제출요청",J474="보류",J474="보완요청",J474="보완완료",J474="평가중",J474="반려요청",J474="평가필요",LEFT(J474,5)="보완요청("),"미종결 표시","상태 확인 필요"))</x:f>
        <x:v>종결 표시</x:v>
      </x:c>
      <x:c r="L474" s="2"/>
      <x:c r="M474" s="2"/>
      <x:c r="N474" s="8" t="n">
        <x:f>DATE(2026,10,15)-DATE(2018,1,3)</x:f>
        <x:v>3207</x:v>
      </x:c>
      <x:c r="O474" s="2" t="str">
        <x:v>O(4월)</x:v>
      </x:c>
      <x:c r="P474" s="2"/>
      <x:c r="Q474" s="2" t="str">
        <x:v>산업전환_외부사업관리Tool_260707_이너젠 수정_LJY_261013.xlsx</x:v>
      </x:c>
      <x:c r="R474" s="2" t="str">
        <x:v>국내평가</x:v>
      </x:c>
      <x:c r="S474" s="8" t="n">
        <x:v>377</x:v>
      </x:c>
      <x:c r="T474" s="2"/>
      <x:c r="U474" s="2" t="str"/>
      <x:c r="V474" s="2" t="str">
        <x:v>2021-09-30</x:v>
      </x:c>
      <x:c r="W474" s="2" t="str">
        <x:v>담당기관 확인</x:v>
      </x:c>
      <x:c r="X474" s="2" t="str">
        <x:v>원본·배정 기록 확인</x:v>
      </x:c>
      <x:c r="Y474" s="2" t="str">
        <x:v>ad210cd9ec132cfd447541c8984dc53d30aff0f4fb2dc92d254d49275cc55976</x:v>
      </x:c>
      <x:c r="Z474" s="2" t="n">
        <x:f>SUBTOTAL(103,A474)</x:f>
        <x:v>1</x:v>
      </x:c>
      <x:c r="AA474" s="2" t="str">
        <x:f>IF(K474&lt;&gt;"미종결 표시","대상 아님",IF(N474="","신청일 확인",IF(NOT(ISNUMBER('종합 현황'!$H$5)),"관찰기준 확인",IF('종합 현황'!$H$5&lt;1,"관찰기준 확인",IF(N474&gt;'종합 현황'!$H$5,"내부 관찰 대상","내부 관찰일 이하")))))</x:f>
        <x:v>대상 아님</x:v>
      </x:c>
      <x:c r="AB474" s="2"/>
    </x:row>
    <x:row r="475" ht="42" customHeight="1">
      <x:c r="A475" s="2" t="str">
        <x:v>bd5826383bb5ccdaaca20a11</x:v>
      </x:c>
      <x:c r="B475" s="2" t="str">
        <x:v>사업 평가</x:v>
      </x:c>
      <x:c r="C475" s="2" t="str">
        <x:v>국내</x:v>
      </x:c>
      <x:c r="D475" s="7" t="str">
        <x:v>녹산패션칼라사업협동조합의   폐수 미활용 열에너지의 회수를 통한 온실가스 배출 감축사업</x:v>
      </x:c>
      <x:c r="E475" s="2" t="str">
        <x:v>336</x:v>
      </x:c>
      <x:c r="F475" s="2" t="str">
        <x:v>2018-11-27</x:v>
      </x:c>
      <x:c r="G475" s="2" t="str">
        <x:v>2018</x:v>
      </x:c>
      <x:c r="H475" s="2" t="str">
        <x:v>11</x:v>
      </x:c>
      <x:c r="I475" s="2" t="str">
        <x:v>반려</x:v>
      </x:c>
      <x:c r="J475" s="2" t="str">
        <x:v>반려</x:v>
      </x:c>
      <x:c r="K475" s="2" t="str">
        <x:f>IF(OR(J475="심의승인",J475="반려",J475="반려완료",J475="심의완료"),"종결 표시",IF(OR(J475="기후부협의",J475="문서재제출요청",J475="보류",J475="보완요청",J475="보완완료",J475="평가중",J475="반려요청",J475="평가필요",LEFT(J475,5)="보완요청("),"미종결 표시","상태 확인 필요"))</x:f>
        <x:v>종결 표시</x:v>
      </x:c>
      <x:c r="L475" s="2"/>
      <x:c r="M475" s="2"/>
      <x:c r="N475" s="8" t="n">
        <x:f>DATE(2026,10,15)-DATE(2018,11,27)</x:f>
        <x:v>2879</x:v>
      </x:c>
      <x:c r="O475" s="2" t="str">
        <x:v>O(4월)</x:v>
      </x:c>
      <x:c r="P475" s="2"/>
      <x:c r="Q475" s="2" t="str">
        <x:v>산업전환_외부사업관리Tool_260707_이너젠 수정_LJY_261013.xlsx</x:v>
      </x:c>
      <x:c r="R475" s="2" t="str">
        <x:v>국내평가</x:v>
      </x:c>
      <x:c r="S475" s="8" t="n">
        <x:v>378</x:v>
      </x:c>
      <x:c r="T475" s="2" t="str">
        <x:v>(6/17)</x:v>
      </x:c>
      <x:c r="U475" s="2" t="str">
        <x:v>2021 배정: (6/17)</x:v>
      </x:c>
      <x:c r="V475" s="2" t="str">
        <x:v>2021-06-17</x:v>
      </x:c>
      <x:c r="W475" s="2" t="str">
        <x:v>담당기관 확인</x:v>
      </x:c>
      <x:c r="X475" s="2" t="str">
        <x:v>원본·배정 기록 확인</x:v>
      </x:c>
      <x:c r="Y475" s="2" t="str">
        <x:v>ad210cd9ec132cfd447541c8984dc53d30aff0f4fb2dc92d254d49275cc55976</x:v>
      </x:c>
      <x:c r="Z475" s="2" t="n">
        <x:f>SUBTOTAL(103,A475)</x:f>
        <x:v>1</x:v>
      </x:c>
      <x:c r="AA475" s="2" t="str">
        <x:f>IF(K475&lt;&gt;"미종결 표시","대상 아님",IF(N475="","신청일 확인",IF(NOT(ISNUMBER('종합 현황'!$H$5)),"관찰기준 확인",IF('종합 현황'!$H$5&lt;1,"관찰기준 확인",IF(N475&gt;'종합 현황'!$H$5,"내부 관찰 대상","내부 관찰일 이하")))))</x:f>
        <x:v>대상 아님</x:v>
      </x:c>
      <x:c r="AB475" s="2"/>
    </x:row>
    <x:row r="476" ht="42" customHeight="1">
      <x:c r="A476" s="2" t="str">
        <x:v>520fa58352afb98e58c8168b</x:v>
      </x:c>
      <x:c r="B476" s="2" t="str">
        <x:v>사업 평가</x:v>
      </x:c>
      <x:c r="C476" s="2" t="str">
        <x:v>국내</x:v>
      </x:c>
      <x:c r="D476" s="7" t="str">
        <x:v>휴켐스(주) 신설 5질산에서 발생하는 아산화질소 배출량 저감사업</x:v>
      </x:c>
      <x:c r="E476" s="2" t="str">
        <x:v>337</x:v>
      </x:c>
      <x:c r="F476" s="2" t="str">
        <x:v>2018-02-06</x:v>
      </x:c>
      <x:c r="G476" s="2" t="str">
        <x:v>2018</x:v>
      </x:c>
      <x:c r="H476" s="2" t="str">
        <x:v>02</x:v>
      </x:c>
      <x:c r="I476" s="2" t="str">
        <x:v>승인</x:v>
      </x:c>
      <x:c r="J476" s="2" t="str">
        <x:v>심의승인</x:v>
      </x:c>
      <x:c r="K476" s="2" t="str">
        <x:f>IF(OR(J476="심의승인",J476="반려",J476="반려완료",J476="심의완료"),"종결 표시",IF(OR(J476="기후부협의",J476="문서재제출요청",J476="보류",J476="보완요청",J476="보완완료",J476="평가중",J476="반려요청",J476="평가필요",LEFT(J476,5)="보완요청("),"미종결 표시","상태 확인 필요"))</x:f>
        <x:v>종결 표시</x:v>
      </x:c>
      <x:c r="L476" s="2"/>
      <x:c r="M476" s="2"/>
      <x:c r="N476" s="8" t="n">
        <x:f>DATE(2026,10,15)-DATE(2018,2,6)</x:f>
        <x:v>3173</x:v>
      </x:c>
      <x:c r="O476" s="2" t="str">
        <x:v>O(4월)</x:v>
      </x:c>
      <x:c r="P476" s="2"/>
      <x:c r="Q476" s="2" t="str">
        <x:v>산업전환_외부사업관리Tool_260707_이너젠 수정_LJY_261013.xlsx</x:v>
      </x:c>
      <x:c r="R476" s="2" t="str">
        <x:v>국내평가</x:v>
      </x:c>
      <x:c r="S476" s="8" t="n">
        <x:v>379</x:v>
      </x:c>
      <x:c r="T476" s="2"/>
      <x:c r="U476" s="2" t="str"/>
      <x:c r="V476" s="2" t="str">
        <x:v>2019-05-14</x:v>
      </x:c>
      <x:c r="W476" s="2" t="str">
        <x:v>담당기관 확인</x:v>
      </x:c>
      <x:c r="X476" s="2" t="str">
        <x:v>원본·배정 기록 확인</x:v>
      </x:c>
      <x:c r="Y476" s="2" t="str">
        <x:v>ad210cd9ec132cfd447541c8984dc53d30aff0f4fb2dc92d254d49275cc55976</x:v>
      </x:c>
      <x:c r="Z476" s="2" t="n">
        <x:f>SUBTOTAL(103,A476)</x:f>
        <x:v>1</x:v>
      </x:c>
      <x:c r="AA476" s="2" t="str">
        <x:f>IF(K476&lt;&gt;"미종결 표시","대상 아님",IF(N476="","신청일 확인",IF(NOT(ISNUMBER('종합 현황'!$H$5)),"관찰기준 확인",IF('종합 현황'!$H$5&lt;1,"관찰기준 확인",IF(N476&gt;'종합 현황'!$H$5,"내부 관찰 대상","내부 관찰일 이하")))))</x:f>
        <x:v>대상 아님</x:v>
      </x:c>
      <x:c r="AB476" s="2"/>
    </x:row>
    <x:row r="477" ht="42" customHeight="1">
      <x:c r="A477" s="2" t="str">
        <x:v>01b2689bcddd76b2efa0f451</x:v>
      </x:c>
      <x:c r="B477" s="2" t="str">
        <x:v>사업 평가</x:v>
      </x:c>
      <x:c r="C477" s="2" t="str">
        <x:v>국내</x:v>
      </x:c>
      <x:c r="D477" s="7" t="str">
        <x:v>군산 나운 주공 4단지 아파트 연료전환을 통한 온실가스 단위감축사업</x:v>
      </x:c>
      <x:c r="E477" s="2" t="str">
        <x:v>338</x:v>
      </x:c>
      <x:c r="F477" s="2" t="str">
        <x:v>2018-02-12</x:v>
      </x:c>
      <x:c r="G477" s="2" t="str">
        <x:v>2018</x:v>
      </x:c>
      <x:c r="H477" s="2" t="str">
        <x:v>02</x:v>
      </x:c>
      <x:c r="I477" s="2" t="str">
        <x:v>승인</x:v>
      </x:c>
      <x:c r="J477" s="2" t="str">
        <x:v>심의승인</x:v>
      </x:c>
      <x:c r="K477" s="2" t="str">
        <x:f>IF(OR(J477="심의승인",J477="반려",J477="반려완료",J477="심의완료"),"종결 표시",IF(OR(J477="기후부협의",J477="문서재제출요청",J477="보류",J477="보완요청",J477="보완완료",J477="평가중",J477="반려요청",J477="평가필요",LEFT(J477,5)="보완요청("),"미종결 표시","상태 확인 필요"))</x:f>
        <x:v>종결 표시</x:v>
      </x:c>
      <x:c r="L477" s="2"/>
      <x:c r="M477" s="2"/>
      <x:c r="N477" s="8" t="n">
        <x:f>DATE(2026,10,15)-DATE(2018,2,12)</x:f>
        <x:v>3167</x:v>
      </x:c>
      <x:c r="O477" s="2" t="str">
        <x:v>O(4월)</x:v>
      </x:c>
      <x:c r="P477" s="2"/>
      <x:c r="Q477" s="2" t="str">
        <x:v>산업전환_외부사업관리Tool_260707_이너젠 수정_LJY_261013.xlsx</x:v>
      </x:c>
      <x:c r="R477" s="2" t="str">
        <x:v>국내평가</x:v>
      </x:c>
      <x:c r="S477" s="8" t="n">
        <x:v>380</x:v>
      </x:c>
      <x:c r="T477" s="2" t="str">
        <x:v>2021년 처리</x:v>
      </x:c>
      <x:c r="U477" s="2" t="str">
        <x:v>2021 배정: 2021년 처리</x:v>
      </x:c>
      <x:c r="V477" s="2" t="str">
        <x:v>2021-09-27</x:v>
      </x:c>
      <x:c r="W477" s="2" t="str">
        <x:v>담당기관 확인</x:v>
      </x:c>
      <x:c r="X477" s="2" t="str">
        <x:v>원본·배정 기록 확인</x:v>
      </x:c>
      <x:c r="Y477" s="2" t="str">
        <x:v>ad210cd9ec132cfd447541c8984dc53d30aff0f4fb2dc92d254d49275cc55976</x:v>
      </x:c>
      <x:c r="Z477" s="2" t="n">
        <x:f>SUBTOTAL(103,A477)</x:f>
        <x:v>1</x:v>
      </x:c>
      <x:c r="AA477" s="2" t="str">
        <x:f>IF(K477&lt;&gt;"미종결 표시","대상 아님",IF(N477="","신청일 확인",IF(NOT(ISNUMBER('종합 현황'!$H$5)),"관찰기준 확인",IF('종합 현황'!$H$5&lt;1,"관찰기준 확인",IF(N477&gt;'종합 현황'!$H$5,"내부 관찰 대상","내부 관찰일 이하")))))</x:f>
        <x:v>대상 아님</x:v>
      </x:c>
      <x:c r="AB477" s="2"/>
    </x:row>
    <x:row r="478" ht="42" customHeight="1">
      <x:c r="A478" s="2" t="str">
        <x:v>be8faf9e4fec2c7ae01f1f11</x:v>
      </x:c>
      <x:c r="B478" s="2" t="str">
        <x:v>사업 평가</x:v>
      </x:c>
      <x:c r="C478" s="2" t="str">
        <x:v>국내</x:v>
      </x:c>
      <x:c r="D478" s="7" t="str">
        <x:v>의정부 장암1단지아파트 연료전환을 통한 온실가스 단위감축사업</x:v>
      </x:c>
      <x:c r="E478" s="2" t="str">
        <x:v>339</x:v>
      </x:c>
      <x:c r="F478" s="2" t="str">
        <x:v>2018-02-12</x:v>
      </x:c>
      <x:c r="G478" s="2" t="str">
        <x:v>2018</x:v>
      </x:c>
      <x:c r="H478" s="2" t="str">
        <x:v>02</x:v>
      </x:c>
      <x:c r="I478" s="2" t="str">
        <x:v>승인</x:v>
      </x:c>
      <x:c r="J478" s="2" t="str">
        <x:v>심의승인</x:v>
      </x:c>
      <x:c r="K478" s="2" t="str">
        <x:f>IF(OR(J478="심의승인",J478="반려",J478="반려완료",J478="심의완료"),"종결 표시",IF(OR(J478="기후부협의",J478="문서재제출요청",J478="보류",J478="보완요청",J478="보완완료",J478="평가중",J478="반려요청",J478="평가필요",LEFT(J478,5)="보완요청("),"미종결 표시","상태 확인 필요"))</x:f>
        <x:v>종결 표시</x:v>
      </x:c>
      <x:c r="L478" s="2"/>
      <x:c r="M478" s="2"/>
      <x:c r="N478" s="8" t="n">
        <x:f>DATE(2026,10,15)-DATE(2018,2,12)</x:f>
        <x:v>3167</x:v>
      </x:c>
      <x:c r="O478" s="2" t="str">
        <x:v>O(4월)</x:v>
      </x:c>
      <x:c r="P478" s="2"/>
      <x:c r="Q478" s="2" t="str">
        <x:v>산업전환_외부사업관리Tool_260707_이너젠 수정_LJY_261013.xlsx</x:v>
      </x:c>
      <x:c r="R478" s="2" t="str">
        <x:v>국내평가</x:v>
      </x:c>
      <x:c r="S478" s="8" t="n">
        <x:v>381</x:v>
      </x:c>
      <x:c r="T478" s="2"/>
      <x:c r="U478" s="2" t="str"/>
      <x:c r="V478" s="2" t="str">
        <x:v>2022-04-14</x:v>
      </x:c>
      <x:c r="W478" s="2" t="str">
        <x:v>담당기관 확인</x:v>
      </x:c>
      <x:c r="X478" s="2" t="str">
        <x:v>원본·배정 기록 확인</x:v>
      </x:c>
      <x:c r="Y478" s="2" t="str">
        <x:v>ad210cd9ec132cfd447541c8984dc53d30aff0f4fb2dc92d254d49275cc55976</x:v>
      </x:c>
      <x:c r="Z478" s="2" t="n">
        <x:f>SUBTOTAL(103,A478)</x:f>
        <x:v>1</x:v>
      </x:c>
      <x:c r="AA478" s="2" t="str">
        <x:f>IF(K478&lt;&gt;"미종결 표시","대상 아님",IF(N478="","신청일 확인",IF(NOT(ISNUMBER('종합 현황'!$H$5)),"관찰기준 확인",IF('종합 현황'!$H$5&lt;1,"관찰기준 확인",IF(N478&gt;'종합 현황'!$H$5,"내부 관찰 대상","내부 관찰일 이하")))))</x:f>
        <x:v>대상 아님</x:v>
      </x:c>
      <x:c r="AB478" s="2"/>
    </x:row>
    <x:row r="479" ht="42" customHeight="1">
      <x:c r="A479" s="2" t="str">
        <x:v>6967b438658451942af71284</x:v>
      </x:c>
      <x:c r="B479" s="2" t="str">
        <x:v>사업 평가</x:v>
      </x:c>
      <x:c r="C479" s="2" t="str">
        <x:v>국내</x:v>
      </x:c>
      <x:c r="D479" s="7" t="str">
        <x:v>정읍 수성1단지아파트 연료전환을 통한 온실가스 단위감축사업</x:v>
      </x:c>
      <x:c r="E479" s="2" t="str">
        <x:v>340</x:v>
      </x:c>
      <x:c r="F479" s="2" t="str">
        <x:v>2018-02-12</x:v>
      </x:c>
      <x:c r="G479" s="2" t="str">
        <x:v>2018</x:v>
      </x:c>
      <x:c r="H479" s="2" t="str">
        <x:v>02</x:v>
      </x:c>
      <x:c r="I479" s="2" t="str">
        <x:v>승인</x:v>
      </x:c>
      <x:c r="J479" s="2" t="str">
        <x:v>심의승인</x:v>
      </x:c>
      <x:c r="K479" s="2" t="str">
        <x:f>IF(OR(J479="심의승인",J479="반려",J479="반려완료",J479="심의완료"),"종결 표시",IF(OR(J479="기후부협의",J479="문서재제출요청",J479="보류",J479="보완요청",J479="보완완료",J479="평가중",J479="반려요청",J479="평가필요",LEFT(J479,5)="보완요청("),"미종결 표시","상태 확인 필요"))</x:f>
        <x:v>종결 표시</x:v>
      </x:c>
      <x:c r="L479" s="2"/>
      <x:c r="M479" s="2"/>
      <x:c r="N479" s="8" t="n">
        <x:f>DATE(2026,10,15)-DATE(2018,2,12)</x:f>
        <x:v>3167</x:v>
      </x:c>
      <x:c r="O479" s="2" t="str">
        <x:v>O(4월)</x:v>
      </x:c>
      <x:c r="P479" s="2"/>
      <x:c r="Q479" s="2" t="str">
        <x:v>산업전환_외부사업관리Tool_260707_이너젠 수정_LJY_261013.xlsx</x:v>
      </x:c>
      <x:c r="R479" s="2" t="str">
        <x:v>국내평가</x:v>
      </x:c>
      <x:c r="S479" s="8" t="n">
        <x:v>382</x:v>
      </x:c>
      <x:c r="T479" s="2" t="str">
        <x:v>2021년 처리</x:v>
      </x:c>
      <x:c r="U479" s="2" t="str">
        <x:v>2021 배정: 2021년 처리</x:v>
      </x:c>
      <x:c r="V479" s="2" t="str">
        <x:v>2021-09-27</x:v>
      </x:c>
      <x:c r="W479" s="2" t="str">
        <x:v>담당기관 확인</x:v>
      </x:c>
      <x:c r="X479" s="2" t="str">
        <x:v>원본·배정 기록 확인</x:v>
      </x:c>
      <x:c r="Y479" s="2" t="str">
        <x:v>ad210cd9ec132cfd447541c8984dc53d30aff0f4fb2dc92d254d49275cc55976</x:v>
      </x:c>
      <x:c r="Z479" s="2" t="n">
        <x:f>SUBTOTAL(103,A479)</x:f>
        <x:v>1</x:v>
      </x:c>
      <x:c r="AA479" s="2" t="str">
        <x:f>IF(K479&lt;&gt;"미종결 표시","대상 아님",IF(N479="","신청일 확인",IF(NOT(ISNUMBER('종합 현황'!$H$5)),"관찰기준 확인",IF('종합 현황'!$H$5&lt;1,"관찰기준 확인",IF(N479&gt;'종합 현황'!$H$5,"내부 관찰 대상","내부 관찰일 이하")))))</x:f>
        <x:v>대상 아님</x:v>
      </x:c>
      <x:c r="AB479" s="2"/>
    </x:row>
    <x:row r="480" ht="42" customHeight="1">
      <x:c r="A480" s="2" t="str">
        <x:v>c8f6773402b310da0acee59b</x:v>
      </x:c>
      <x:c r="B480" s="2" t="str">
        <x:v>사업 평가</x:v>
      </x:c>
      <x:c r="C480" s="2" t="str">
        <x:v>국내</x:v>
      </x:c>
      <x:c r="D480" s="7" t="str">
        <x:v>진주 가좌1단지아파트 연료전환을 통한 온실가스 단위감축사업</x:v>
      </x:c>
      <x:c r="E480" s="2" t="str">
        <x:v>341</x:v>
      </x:c>
      <x:c r="F480" s="2" t="str">
        <x:v>2018-02-12</x:v>
      </x:c>
      <x:c r="G480" s="2" t="str">
        <x:v>2018</x:v>
      </x:c>
      <x:c r="H480" s="2" t="str">
        <x:v>02</x:v>
      </x:c>
      <x:c r="I480" s="2" t="str">
        <x:v>승인</x:v>
      </x:c>
      <x:c r="J480" s="2" t="str">
        <x:v>심의승인</x:v>
      </x:c>
      <x:c r="K480" s="2" t="str">
        <x:f>IF(OR(J480="심의승인",J480="반려",J480="반려완료",J480="심의완료"),"종결 표시",IF(OR(J480="기후부협의",J480="문서재제출요청",J480="보류",J480="보완요청",J480="보완완료",J480="평가중",J480="반려요청",J480="평가필요",LEFT(J480,5)="보완요청("),"미종결 표시","상태 확인 필요"))</x:f>
        <x:v>종결 표시</x:v>
      </x:c>
      <x:c r="L480" s="2"/>
      <x:c r="M480" s="2"/>
      <x:c r="N480" s="8" t="n">
        <x:f>DATE(2026,10,15)-DATE(2018,2,12)</x:f>
        <x:v>3167</x:v>
      </x:c>
      <x:c r="O480" s="2" t="str">
        <x:v>O(4월)</x:v>
      </x:c>
      <x:c r="P480" s="2"/>
      <x:c r="Q480" s="2" t="str">
        <x:v>산업전환_외부사업관리Tool_260707_이너젠 수정_LJY_261013.xlsx</x:v>
      </x:c>
      <x:c r="R480" s="2" t="str">
        <x:v>국내평가</x:v>
      </x:c>
      <x:c r="S480" s="8" t="n">
        <x:v>383</x:v>
      </x:c>
      <x:c r="T480" s="2" t="str">
        <x:v>2021년 처리</x:v>
      </x:c>
      <x:c r="U480" s="2" t="str">
        <x:v>2021 배정: 2021년 처리</x:v>
      </x:c>
      <x:c r="V480" s="2" t="str">
        <x:v>2021-09-27</x:v>
      </x:c>
      <x:c r="W480" s="2" t="str">
        <x:v>담당기관 확인</x:v>
      </x:c>
      <x:c r="X480" s="2" t="str">
        <x:v>원본·배정 기록 확인</x:v>
      </x:c>
      <x:c r="Y480" s="2" t="str">
        <x:v>ad210cd9ec132cfd447541c8984dc53d30aff0f4fb2dc92d254d49275cc55976</x:v>
      </x:c>
      <x:c r="Z480" s="2" t="n">
        <x:f>SUBTOTAL(103,A480)</x:f>
        <x:v>1</x:v>
      </x:c>
      <x:c r="AA480" s="2" t="str">
        <x:f>IF(K480&lt;&gt;"미종결 표시","대상 아님",IF(N480="","신청일 확인",IF(NOT(ISNUMBER('종합 현황'!$H$5)),"관찰기준 확인",IF('종합 현황'!$H$5&lt;1,"관찰기준 확인",IF(N480&gt;'종합 현황'!$H$5,"내부 관찰 대상","내부 관찰일 이하")))))</x:f>
        <x:v>대상 아님</x:v>
      </x:c>
      <x:c r="AB480" s="2"/>
    </x:row>
    <x:row r="481" ht="42" customHeight="1">
      <x:c r="A481" s="2" t="str">
        <x:v>310e84eae4e1922adead2d98</x:v>
      </x:c>
      <x:c r="B481" s="2" t="str">
        <x:v>사업 평가</x:v>
      </x:c>
      <x:c r="C481" s="2" t="str">
        <x:v>국내</x:v>
      </x:c>
      <x:c r="D481" s="7" t="str">
        <x:v>부산 금곡1단지 아파트 연료전환을 통한 온실가스 단위감축사업</x:v>
      </x:c>
      <x:c r="E481" s="2" t="str">
        <x:v>342</x:v>
      </x:c>
      <x:c r="F481" s="2" t="str">
        <x:v>2018-02-12</x:v>
      </x:c>
      <x:c r="G481" s="2" t="str">
        <x:v>2018</x:v>
      </x:c>
      <x:c r="H481" s="2" t="str">
        <x:v>02</x:v>
      </x:c>
      <x:c r="I481" s="2" t="str">
        <x:v>승인</x:v>
      </x:c>
      <x:c r="J481" s="2" t="str">
        <x:v>심의승인</x:v>
      </x:c>
      <x:c r="K481" s="2" t="str">
        <x:f>IF(OR(J481="심의승인",J481="반려",J481="반려완료",J481="심의완료"),"종결 표시",IF(OR(J481="기후부협의",J481="문서재제출요청",J481="보류",J481="보완요청",J481="보완완료",J481="평가중",J481="반려요청",J481="평가필요",LEFT(J481,5)="보완요청("),"미종결 표시","상태 확인 필요"))</x:f>
        <x:v>종결 표시</x:v>
      </x:c>
      <x:c r="L481" s="2"/>
      <x:c r="M481" s="2"/>
      <x:c r="N481" s="8" t="n">
        <x:f>DATE(2026,10,15)-DATE(2018,2,12)</x:f>
        <x:v>3167</x:v>
      </x:c>
      <x:c r="O481" s="2" t="str">
        <x:v>O(4월)</x:v>
      </x:c>
      <x:c r="P481" s="2"/>
      <x:c r="Q481" s="2" t="str">
        <x:v>산업전환_외부사업관리Tool_260707_이너젠 수정_LJY_261013.xlsx</x:v>
      </x:c>
      <x:c r="R481" s="2" t="str">
        <x:v>국내평가</x:v>
      </x:c>
      <x:c r="S481" s="8" t="n">
        <x:v>384</x:v>
      </x:c>
      <x:c r="T481" s="2"/>
      <x:c r="U481" s="2" t="str"/>
      <x:c r="V481" s="2" t="str">
        <x:v>2022-03-11</x:v>
      </x:c>
      <x:c r="W481" s="2" t="str">
        <x:v>담당기관 확인</x:v>
      </x:c>
      <x:c r="X481" s="2" t="str">
        <x:v>원본·배정 기록 확인</x:v>
      </x:c>
      <x:c r="Y481" s="2" t="str">
        <x:v>ad210cd9ec132cfd447541c8984dc53d30aff0f4fb2dc92d254d49275cc55976</x:v>
      </x:c>
      <x:c r="Z481" s="2" t="n">
        <x:f>SUBTOTAL(103,A481)</x:f>
        <x:v>1</x:v>
      </x:c>
      <x:c r="AA481" s="2" t="str">
        <x:f>IF(K481&lt;&gt;"미종결 표시","대상 아님",IF(N481="","신청일 확인",IF(NOT(ISNUMBER('종합 현황'!$H$5)),"관찰기준 확인",IF('종합 현황'!$H$5&lt;1,"관찰기준 확인",IF(N481&gt;'종합 현황'!$H$5,"내부 관찰 대상","내부 관찰일 이하")))))</x:f>
        <x:v>대상 아님</x:v>
      </x:c>
      <x:c r="AB481" s="2"/>
    </x:row>
    <x:row r="482" ht="42" customHeight="1">
      <x:c r="A482" s="2" t="str">
        <x:v>3f5be979452f0a563d82fef0</x:v>
      </x:c>
      <x:c r="B482" s="2" t="str">
        <x:v>사업 평가</x:v>
      </x:c>
      <x:c r="C482" s="2" t="str">
        <x:v>국내</x:v>
      </x:c>
      <x:c r="D482" s="7" t="str">
        <x:v>보령 명천 주공 2단지 아파트 연료전환을 통한 온실가스 단위감축사업</x:v>
      </x:c>
      <x:c r="E482" s="2" t="str">
        <x:v>343</x:v>
      </x:c>
      <x:c r="F482" s="2" t="str">
        <x:v>2018-02-12</x:v>
      </x:c>
      <x:c r="G482" s="2" t="str">
        <x:v>2018</x:v>
      </x:c>
      <x:c r="H482" s="2" t="str">
        <x:v>02</x:v>
      </x:c>
      <x:c r="I482" s="2" t="str">
        <x:v>승인</x:v>
      </x:c>
      <x:c r="J482" s="2" t="str">
        <x:v>심의승인</x:v>
      </x:c>
      <x:c r="K482" s="2" t="str">
        <x:f>IF(OR(J482="심의승인",J482="반려",J482="반려완료",J482="심의완료"),"종결 표시",IF(OR(J482="기후부협의",J482="문서재제출요청",J482="보류",J482="보완요청",J482="보완완료",J482="평가중",J482="반려요청",J482="평가필요",LEFT(J482,5)="보완요청("),"미종결 표시","상태 확인 필요"))</x:f>
        <x:v>종결 표시</x:v>
      </x:c>
      <x:c r="L482" s="2"/>
      <x:c r="M482" s="2"/>
      <x:c r="N482" s="8" t="n">
        <x:f>DATE(2026,10,15)-DATE(2018,2,12)</x:f>
        <x:v>3167</x:v>
      </x:c>
      <x:c r="O482" s="2" t="str">
        <x:v>O(4월)</x:v>
      </x:c>
      <x:c r="P482" s="2"/>
      <x:c r="Q482" s="2" t="str">
        <x:v>산업전환_외부사업관리Tool_260707_이너젠 수정_LJY_261013.xlsx</x:v>
      </x:c>
      <x:c r="R482" s="2" t="str">
        <x:v>국내평가</x:v>
      </x:c>
      <x:c r="S482" s="8" t="n">
        <x:v>385</x:v>
      </x:c>
      <x:c r="T482" s="2" t="str">
        <x:v>2021년 처리</x:v>
      </x:c>
      <x:c r="U482" s="2" t="str">
        <x:v>2021 배정: 2021년 처리</x:v>
      </x:c>
      <x:c r="V482" s="2" t="str">
        <x:v>2021-09-27</x:v>
      </x:c>
      <x:c r="W482" s="2" t="str">
        <x:v>담당기관 확인</x:v>
      </x:c>
      <x:c r="X482" s="2" t="str">
        <x:v>원본·배정 기록 확인</x:v>
      </x:c>
      <x:c r="Y482" s="2" t="str">
        <x:v>ad210cd9ec132cfd447541c8984dc53d30aff0f4fb2dc92d254d49275cc55976</x:v>
      </x:c>
      <x:c r="Z482" s="2" t="n">
        <x:f>SUBTOTAL(103,A482)</x:f>
        <x:v>1</x:v>
      </x:c>
      <x:c r="AA482" s="2" t="str">
        <x:f>IF(K482&lt;&gt;"미종결 표시","대상 아님",IF(N482="","신청일 확인",IF(NOT(ISNUMBER('종합 현황'!$H$5)),"관찰기준 확인",IF('종합 현황'!$H$5&lt;1,"관찰기준 확인",IF(N482&gt;'종합 현황'!$H$5,"내부 관찰 대상","내부 관찰일 이하")))))</x:f>
        <x:v>대상 아님</x:v>
      </x:c>
      <x:c r="AB482" s="2"/>
    </x:row>
    <x:row r="483" ht="42" customHeight="1">
      <x:c r="A483" s="2" t="str">
        <x:v>7e41f4abf0a3fcfdcefab26c</x:v>
      </x:c>
      <x:c r="B483" s="2" t="str">
        <x:v>사업 평가</x:v>
      </x:c>
      <x:c r="C483" s="2" t="str">
        <x:v>국내</x:v>
      </x:c>
      <x:c r="D483" s="7" t="str">
        <x:v>공주 옥룡 주공 1단지 아파트 연료전환을 통한 온실가스 단위감축사업</x:v>
      </x:c>
      <x:c r="E483" s="2" t="str">
        <x:v>344</x:v>
      </x:c>
      <x:c r="F483" s="2" t="str">
        <x:v>2018-02-12</x:v>
      </x:c>
      <x:c r="G483" s="2" t="str">
        <x:v>2018</x:v>
      </x:c>
      <x:c r="H483" s="2" t="str">
        <x:v>02</x:v>
      </x:c>
      <x:c r="I483" s="2" t="str">
        <x:v>승인</x:v>
      </x:c>
      <x:c r="J483" s="2" t="str">
        <x:v>심의승인</x:v>
      </x:c>
      <x:c r="K483" s="2" t="str">
        <x:f>IF(OR(J483="심의승인",J483="반려",J483="반려완료",J483="심의완료"),"종결 표시",IF(OR(J483="기후부협의",J483="문서재제출요청",J483="보류",J483="보완요청",J483="보완완료",J483="평가중",J483="반려요청",J483="평가필요",LEFT(J483,5)="보완요청("),"미종결 표시","상태 확인 필요"))</x:f>
        <x:v>종결 표시</x:v>
      </x:c>
      <x:c r="L483" s="2"/>
      <x:c r="M483" s="2"/>
      <x:c r="N483" s="8" t="n">
        <x:f>DATE(2026,10,15)-DATE(2018,2,12)</x:f>
        <x:v>3167</x:v>
      </x:c>
      <x:c r="O483" s="2" t="str">
        <x:v>O(4월)</x:v>
      </x:c>
      <x:c r="P483" s="2"/>
      <x:c r="Q483" s="2" t="str">
        <x:v>산업전환_외부사업관리Tool_260707_이너젠 수정_LJY_261013.xlsx</x:v>
      </x:c>
      <x:c r="R483" s="2" t="str">
        <x:v>국내평가</x:v>
      </x:c>
      <x:c r="S483" s="8" t="n">
        <x:v>386</x:v>
      </x:c>
      <x:c r="T483" s="2" t="str">
        <x:v>2021년 처리</x:v>
      </x:c>
      <x:c r="U483" s="2" t="str">
        <x:v>2021 배정: 2021년 처리</x:v>
      </x:c>
      <x:c r="V483" s="2" t="str">
        <x:v>2021-09-27</x:v>
      </x:c>
      <x:c r="W483" s="2" t="str">
        <x:v>담당기관 확인</x:v>
      </x:c>
      <x:c r="X483" s="2" t="str">
        <x:v>원본·배정 기록 확인</x:v>
      </x:c>
      <x:c r="Y483" s="2" t="str">
        <x:v>ad210cd9ec132cfd447541c8984dc53d30aff0f4fb2dc92d254d49275cc55976</x:v>
      </x:c>
      <x:c r="Z483" s="2" t="n">
        <x:f>SUBTOTAL(103,A483)</x:f>
        <x:v>1</x:v>
      </x:c>
      <x:c r="AA483" s="2" t="str">
        <x:f>IF(K483&lt;&gt;"미종결 표시","대상 아님",IF(N483="","신청일 확인",IF(NOT(ISNUMBER('종합 현황'!$H$5)),"관찰기준 확인",IF('종합 현황'!$H$5&lt;1,"관찰기준 확인",IF(N483&gt;'종합 현황'!$H$5,"내부 관찰 대상","내부 관찰일 이하")))))</x:f>
        <x:v>대상 아님</x:v>
      </x:c>
      <x:c r="AB483" s="2"/>
    </x:row>
    <x:row r="484" ht="42" customHeight="1">
      <x:c r="A484" s="2" t="str">
        <x:v>c187d80399d26f82595b41e9</x:v>
      </x:c>
      <x:c r="B484" s="2" t="str">
        <x:v>사업 평가</x:v>
      </x:c>
      <x:c r="C484" s="2" t="str">
        <x:v>국내</x:v>
      </x:c>
      <x:c r="D484" s="7" t="str">
        <x:v>원주 명륜2단지 아파트 연료전환을 통한 온실가스 단위감축사업</x:v>
      </x:c>
      <x:c r="E484" s="2" t="str">
        <x:v>345</x:v>
      </x:c>
      <x:c r="F484" s="2" t="str">
        <x:v>2018-02-12</x:v>
      </x:c>
      <x:c r="G484" s="2" t="str">
        <x:v>2018</x:v>
      </x:c>
      <x:c r="H484" s="2" t="str">
        <x:v>02</x:v>
      </x:c>
      <x:c r="I484" s="2" t="str">
        <x:v>승인</x:v>
      </x:c>
      <x:c r="J484" s="2" t="str">
        <x:v>심의승인</x:v>
      </x:c>
      <x:c r="K484" s="2" t="str">
        <x:f>IF(OR(J484="심의승인",J484="반려",J484="반려완료",J484="심의완료"),"종결 표시",IF(OR(J484="기후부협의",J484="문서재제출요청",J484="보류",J484="보완요청",J484="보완완료",J484="평가중",J484="반려요청",J484="평가필요",LEFT(J484,5)="보완요청("),"미종결 표시","상태 확인 필요"))</x:f>
        <x:v>종결 표시</x:v>
      </x:c>
      <x:c r="L484" s="2"/>
      <x:c r="M484" s="2"/>
      <x:c r="N484" s="8" t="n">
        <x:f>DATE(2026,10,15)-DATE(2018,2,12)</x:f>
        <x:v>3167</x:v>
      </x:c>
      <x:c r="O484" s="2" t="str">
        <x:v>O(4월)</x:v>
      </x:c>
      <x:c r="P484" s="2"/>
      <x:c r="Q484" s="2" t="str">
        <x:v>산업전환_외부사업관리Tool_260707_이너젠 수정_LJY_261013.xlsx</x:v>
      </x:c>
      <x:c r="R484" s="2" t="str">
        <x:v>국내평가</x:v>
      </x:c>
      <x:c r="S484" s="8" t="n">
        <x:v>387</x:v>
      </x:c>
      <x:c r="T484" s="2" t="str">
        <x:v>2021년 처리</x:v>
      </x:c>
      <x:c r="U484" s="2" t="str">
        <x:v>2021 배정: 2021년 처리</x:v>
      </x:c>
      <x:c r="V484" s="2" t="str">
        <x:v>2021-09-27</x:v>
      </x:c>
      <x:c r="W484" s="2" t="str">
        <x:v>담당기관 확인</x:v>
      </x:c>
      <x:c r="X484" s="2" t="str">
        <x:v>원본·배정 기록 확인</x:v>
      </x:c>
      <x:c r="Y484" s="2" t="str">
        <x:v>ad210cd9ec132cfd447541c8984dc53d30aff0f4fb2dc92d254d49275cc55976</x:v>
      </x:c>
      <x:c r="Z484" s="2" t="n">
        <x:f>SUBTOTAL(103,A484)</x:f>
        <x:v>1</x:v>
      </x:c>
      <x:c r="AA484" s="2" t="str">
        <x:f>IF(K484&lt;&gt;"미종결 표시","대상 아님",IF(N484="","신청일 확인",IF(NOT(ISNUMBER('종합 현황'!$H$5)),"관찰기준 확인",IF('종합 현황'!$H$5&lt;1,"관찰기준 확인",IF(N484&gt;'종합 현황'!$H$5,"내부 관찰 대상","내부 관찰일 이하")))))</x:f>
        <x:v>대상 아님</x:v>
      </x:c>
      <x:c r="AB484" s="2"/>
    </x:row>
    <x:row r="485" ht="42" customHeight="1">
      <x:c r="A485" s="2" t="str">
        <x:v>dda4b8bf87b19fd7d9d6daaf</x:v>
      </x:c>
      <x:c r="B485" s="2" t="str">
        <x:v>사업 평가</x:v>
      </x:c>
      <x:c r="C485" s="2" t="str">
        <x:v>국내</x:v>
      </x:c>
      <x:c r="D485" s="7" t="str">
        <x:v>부산 모라 주공3단지 아파트 연료전환을 통한 온실가스 단위감축사업</x:v>
      </x:c>
      <x:c r="E485" s="2" t="str">
        <x:v>346</x:v>
      </x:c>
      <x:c r="F485" s="2" t="str">
        <x:v>2018-02-12</x:v>
      </x:c>
      <x:c r="G485" s="2" t="str">
        <x:v>2018</x:v>
      </x:c>
      <x:c r="H485" s="2" t="str">
        <x:v>02</x:v>
      </x:c>
      <x:c r="I485" s="2" t="str">
        <x:v>승인</x:v>
      </x:c>
      <x:c r="J485" s="2" t="str">
        <x:v>심의승인</x:v>
      </x:c>
      <x:c r="K485" s="2" t="str">
        <x:f>IF(OR(J485="심의승인",J485="반려",J485="반려완료",J485="심의완료"),"종결 표시",IF(OR(J485="기후부협의",J485="문서재제출요청",J485="보류",J485="보완요청",J485="보완완료",J485="평가중",J485="반려요청",J485="평가필요",LEFT(J485,5)="보완요청("),"미종결 표시","상태 확인 필요"))</x:f>
        <x:v>종결 표시</x:v>
      </x:c>
      <x:c r="L485" s="2"/>
      <x:c r="M485" s="2"/>
      <x:c r="N485" s="8" t="n">
        <x:f>DATE(2026,10,15)-DATE(2018,2,12)</x:f>
        <x:v>3167</x:v>
      </x:c>
      <x:c r="O485" s="2" t="str">
        <x:v>O(4월)</x:v>
      </x:c>
      <x:c r="P485" s="2"/>
      <x:c r="Q485" s="2" t="str">
        <x:v>산업전환_외부사업관리Tool_260707_이너젠 수정_LJY_261013.xlsx</x:v>
      </x:c>
      <x:c r="R485" s="2" t="str">
        <x:v>국내평가</x:v>
      </x:c>
      <x:c r="S485" s="8" t="n">
        <x:v>388</x:v>
      </x:c>
      <x:c r="T485" s="2"/>
      <x:c r="U485" s="2" t="str"/>
      <x:c r="V485" s="2" t="str">
        <x:v>2021-03-02</x:v>
      </x:c>
      <x:c r="W485" s="2" t="str">
        <x:v>담당기관 확인</x:v>
      </x:c>
      <x:c r="X485" s="2" t="str">
        <x:v>원본·배정 기록 확인</x:v>
      </x:c>
      <x:c r="Y485" s="2" t="str">
        <x:v>ad210cd9ec132cfd447541c8984dc53d30aff0f4fb2dc92d254d49275cc55976</x:v>
      </x:c>
      <x:c r="Z485" s="2" t="n">
        <x:f>SUBTOTAL(103,A485)</x:f>
        <x:v>1</x:v>
      </x:c>
      <x:c r="AA485" s="2" t="str">
        <x:f>IF(K485&lt;&gt;"미종결 표시","대상 아님",IF(N485="","신청일 확인",IF(NOT(ISNUMBER('종합 현황'!$H$5)),"관찰기준 확인",IF('종합 현황'!$H$5&lt;1,"관찰기준 확인",IF(N485&gt;'종합 현황'!$H$5,"내부 관찰 대상","내부 관찰일 이하")))))</x:f>
        <x:v>대상 아님</x:v>
      </x:c>
      <x:c r="AB485" s="2"/>
    </x:row>
    <x:row r="486" ht="42" customHeight="1">
      <x:c r="A486" s="2" t="str">
        <x:v>12b400506337ed71521d9c82</x:v>
      </x:c>
      <x:c r="B486" s="2" t="str">
        <x:v>사업 평가</x:v>
      </x:c>
      <x:c r="C486" s="2" t="str">
        <x:v>국내</x:v>
      </x:c>
      <x:c r="D486" s="7" t="str">
        <x:v>부산 반송아파트 연료전환을 통한 온실가스 단위감축사업</x:v>
      </x:c>
      <x:c r="E486" s="2" t="str">
        <x:v>347</x:v>
      </x:c>
      <x:c r="F486" s="2" t="str">
        <x:v>2018-02-12</x:v>
      </x:c>
      <x:c r="G486" s="2" t="str">
        <x:v>2018</x:v>
      </x:c>
      <x:c r="H486" s="2" t="str">
        <x:v>02</x:v>
      </x:c>
      <x:c r="I486" s="2" t="str">
        <x:v>승인</x:v>
      </x:c>
      <x:c r="J486" s="2" t="str">
        <x:v>심의승인</x:v>
      </x:c>
      <x:c r="K486" s="2" t="str">
        <x:f>IF(OR(J486="심의승인",J486="반려",J486="반려완료",J486="심의완료"),"종결 표시",IF(OR(J486="기후부협의",J486="문서재제출요청",J486="보류",J486="보완요청",J486="보완완료",J486="평가중",J486="반려요청",J486="평가필요",LEFT(J486,5)="보완요청("),"미종결 표시","상태 확인 필요"))</x:f>
        <x:v>종결 표시</x:v>
      </x:c>
      <x:c r="L486" s="2"/>
      <x:c r="M486" s="2"/>
      <x:c r="N486" s="8" t="n">
        <x:f>DATE(2026,10,15)-DATE(2018,2,12)</x:f>
        <x:v>3167</x:v>
      </x:c>
      <x:c r="O486" s="2" t="str">
        <x:v>O(4월)</x:v>
      </x:c>
      <x:c r="P486" s="2"/>
      <x:c r="Q486" s="2" t="str">
        <x:v>산업전환_외부사업관리Tool_260707_이너젠 수정_LJY_261013.xlsx</x:v>
      </x:c>
      <x:c r="R486" s="2" t="str">
        <x:v>국내평가</x:v>
      </x:c>
      <x:c r="S486" s="8" t="n">
        <x:v>389</x:v>
      </x:c>
      <x:c r="T486" s="2" t="str">
        <x:v>2021년 처리</x:v>
      </x:c>
      <x:c r="U486" s="2" t="str">
        <x:v>2021 배정: 2021년 처리</x:v>
      </x:c>
      <x:c r="V486" s="2" t="str">
        <x:v>2021-09-27</x:v>
      </x:c>
      <x:c r="W486" s="2" t="str">
        <x:v>담당기관 확인</x:v>
      </x:c>
      <x:c r="X486" s="2" t="str">
        <x:v>원본·배정 기록 확인</x:v>
      </x:c>
      <x:c r="Y486" s="2" t="str">
        <x:v>ad210cd9ec132cfd447541c8984dc53d30aff0f4fb2dc92d254d49275cc55976</x:v>
      </x:c>
      <x:c r="Z486" s="2" t="n">
        <x:f>SUBTOTAL(103,A486)</x:f>
        <x:v>1</x:v>
      </x:c>
      <x:c r="AA486" s="2" t="str">
        <x:f>IF(K486&lt;&gt;"미종결 표시","대상 아님",IF(N486="","신청일 확인",IF(NOT(ISNUMBER('종합 현황'!$H$5)),"관찰기준 확인",IF('종합 현황'!$H$5&lt;1,"관찰기준 확인",IF(N486&gt;'종합 현황'!$H$5,"내부 관찰 대상","내부 관찰일 이하")))))</x:f>
        <x:v>대상 아님</x:v>
      </x:c>
      <x:c r="AB486" s="2"/>
    </x:row>
    <x:row r="487" ht="42" customHeight="1">
      <x:c r="A487" s="2" t="str">
        <x:v>d00d90e1b1994c342c983daf</x:v>
      </x:c>
      <x:c r="B487" s="2" t="str">
        <x:v>사업 평가</x:v>
      </x:c>
      <x:c r="C487" s="2" t="str">
        <x:v>국내</x:v>
      </x:c>
      <x:c r="D487" s="7" t="str">
        <x:v>부산 덕천 주공2단지 아파트 연료전환을 통한 온실가스 단위감축사업</x:v>
      </x:c>
      <x:c r="E487" s="2" t="str">
        <x:v>348</x:v>
      </x:c>
      <x:c r="F487" s="2" t="str">
        <x:v>2018-02-12</x:v>
      </x:c>
      <x:c r="G487" s="2" t="str">
        <x:v>2018</x:v>
      </x:c>
      <x:c r="H487" s="2" t="str">
        <x:v>02</x:v>
      </x:c>
      <x:c r="I487" s="2" t="str">
        <x:v>승인</x:v>
      </x:c>
      <x:c r="J487" s="2" t="str">
        <x:v>심의승인</x:v>
      </x:c>
      <x:c r="K487" s="2" t="str">
        <x:f>IF(OR(J487="심의승인",J487="반려",J487="반려완료",J487="심의완료"),"종결 표시",IF(OR(J487="기후부협의",J487="문서재제출요청",J487="보류",J487="보완요청",J487="보완완료",J487="평가중",J487="반려요청",J487="평가필요",LEFT(J487,5)="보완요청("),"미종결 표시","상태 확인 필요"))</x:f>
        <x:v>종결 표시</x:v>
      </x:c>
      <x:c r="L487" s="2"/>
      <x:c r="M487" s="2"/>
      <x:c r="N487" s="8" t="n">
        <x:f>DATE(2026,10,15)-DATE(2018,2,12)</x:f>
        <x:v>3167</x:v>
      </x:c>
      <x:c r="O487" s="2" t="str">
        <x:v>O(4월)</x:v>
      </x:c>
      <x:c r="P487" s="2"/>
      <x:c r="Q487" s="2" t="str">
        <x:v>산업전환_외부사업관리Tool_260707_이너젠 수정_LJY_261013.xlsx</x:v>
      </x:c>
      <x:c r="R487" s="2" t="str">
        <x:v>국내평가</x:v>
      </x:c>
      <x:c r="S487" s="8" t="n">
        <x:v>390</x:v>
      </x:c>
      <x:c r="T487" s="2"/>
      <x:c r="U487" s="2" t="str"/>
      <x:c r="V487" s="2" t="str">
        <x:v>2022-03-11</x:v>
      </x:c>
      <x:c r="W487" s="2" t="str">
        <x:v>담당기관 확인</x:v>
      </x:c>
      <x:c r="X487" s="2" t="str">
        <x:v>원본·배정 기록 확인</x:v>
      </x:c>
      <x:c r="Y487" s="2" t="str">
        <x:v>ad210cd9ec132cfd447541c8984dc53d30aff0f4fb2dc92d254d49275cc55976</x:v>
      </x:c>
      <x:c r="Z487" s="2" t="n">
        <x:f>SUBTOTAL(103,A487)</x:f>
        <x:v>1</x:v>
      </x:c>
      <x:c r="AA487" s="2" t="str">
        <x:f>IF(K487&lt;&gt;"미종결 표시","대상 아님",IF(N487="","신청일 확인",IF(NOT(ISNUMBER('종합 현황'!$H$5)),"관찰기준 확인",IF('종합 현황'!$H$5&lt;1,"관찰기준 확인",IF(N487&gt;'종합 현황'!$H$5,"내부 관찰 대상","내부 관찰일 이하")))))</x:f>
        <x:v>대상 아님</x:v>
      </x:c>
      <x:c r="AB487" s="2"/>
    </x:row>
    <x:row r="488" ht="42" customHeight="1">
      <x:c r="A488" s="2" t="str">
        <x:v>635bdba66bd82d2ad09c86af</x:v>
      </x:c>
      <x:c r="B488" s="2" t="str">
        <x:v>사업 평가</x:v>
      </x:c>
      <x:c r="C488" s="2" t="str">
        <x:v>국내</x:v>
      </x:c>
      <x:c r="D488" s="7" t="str">
        <x:v>부산 동삼2단지 아파트 연료전환을 통한 온실가스 단위감축사업</x:v>
      </x:c>
      <x:c r="E488" s="2" t="str">
        <x:v>349</x:v>
      </x:c>
      <x:c r="F488" s="2" t="str">
        <x:v>2018-02-12</x:v>
      </x:c>
      <x:c r="G488" s="2" t="str">
        <x:v>2018</x:v>
      </x:c>
      <x:c r="H488" s="2" t="str">
        <x:v>02</x:v>
      </x:c>
      <x:c r="I488" s="2" t="str">
        <x:v>승인</x:v>
      </x:c>
      <x:c r="J488" s="2" t="str">
        <x:v>심의승인</x:v>
      </x:c>
      <x:c r="K488" s="2" t="str">
        <x:f>IF(OR(J488="심의승인",J488="반려",J488="반려완료",J488="심의완료"),"종결 표시",IF(OR(J488="기후부협의",J488="문서재제출요청",J488="보류",J488="보완요청",J488="보완완료",J488="평가중",J488="반려요청",J488="평가필요",LEFT(J488,5)="보완요청("),"미종결 표시","상태 확인 필요"))</x:f>
        <x:v>종결 표시</x:v>
      </x:c>
      <x:c r="L488" s="2"/>
      <x:c r="M488" s="2"/>
      <x:c r="N488" s="8" t="n">
        <x:f>DATE(2026,10,15)-DATE(2018,2,12)</x:f>
        <x:v>3167</x:v>
      </x:c>
      <x:c r="O488" s="2" t="str">
        <x:v>O(4월)</x:v>
      </x:c>
      <x:c r="P488" s="2"/>
      <x:c r="Q488" s="2" t="str">
        <x:v>산업전환_외부사업관리Tool_260707_이너젠 수정_LJY_261013.xlsx</x:v>
      </x:c>
      <x:c r="R488" s="2" t="str">
        <x:v>국내평가</x:v>
      </x:c>
      <x:c r="S488" s="8" t="n">
        <x:v>391</x:v>
      </x:c>
      <x:c r="T488" s="2"/>
      <x:c r="U488" s="2" t="str"/>
      <x:c r="V488" s="2" t="str">
        <x:v>2022-03-11</x:v>
      </x:c>
      <x:c r="W488" s="2" t="str">
        <x:v>담당기관 확인</x:v>
      </x:c>
      <x:c r="X488" s="2" t="str">
        <x:v>원본·배정 기록 확인</x:v>
      </x:c>
      <x:c r="Y488" s="2" t="str">
        <x:v>ad210cd9ec132cfd447541c8984dc53d30aff0f4fb2dc92d254d49275cc55976</x:v>
      </x:c>
      <x:c r="Z488" s="2" t="n">
        <x:f>SUBTOTAL(103,A488)</x:f>
        <x:v>1</x:v>
      </x:c>
      <x:c r="AA488" s="2" t="str">
        <x:f>IF(K488&lt;&gt;"미종결 표시","대상 아님",IF(N488="","신청일 확인",IF(NOT(ISNUMBER('종합 현황'!$H$5)),"관찰기준 확인",IF('종합 현황'!$H$5&lt;1,"관찰기준 확인",IF(N488&gt;'종합 현황'!$H$5,"내부 관찰 대상","내부 관찰일 이하")))))</x:f>
        <x:v>대상 아님</x:v>
      </x:c>
      <x:c r="AB488" s="2"/>
    </x:row>
    <x:row r="489" ht="42" customHeight="1">
      <x:c r="A489" s="2" t="str">
        <x:v>8a5f4dcd3af789909345a8dd</x:v>
      </x:c>
      <x:c r="B489" s="2" t="str">
        <x:v>사업 평가</x:v>
      </x:c>
      <x:c r="C489" s="2" t="str">
        <x:v>국내</x:v>
      </x:c>
      <x:c r="D489" s="7" t="str">
        <x:v>부산 모라 주공 1단지 아파트 연료전환을 통한 온실가스 단위감축사업</x:v>
      </x:c>
      <x:c r="E489" s="2" t="str">
        <x:v>350</x:v>
      </x:c>
      <x:c r="F489" s="2" t="str">
        <x:v>2018-02-12</x:v>
      </x:c>
      <x:c r="G489" s="2" t="str">
        <x:v>2018</x:v>
      </x:c>
      <x:c r="H489" s="2" t="str">
        <x:v>02</x:v>
      </x:c>
      <x:c r="I489" s="2" t="str">
        <x:v>승인</x:v>
      </x:c>
      <x:c r="J489" s="2" t="str">
        <x:v>심의승인</x:v>
      </x:c>
      <x:c r="K489" s="2" t="str">
        <x:f>IF(OR(J489="심의승인",J489="반려",J489="반려완료",J489="심의완료"),"종결 표시",IF(OR(J489="기후부협의",J489="문서재제출요청",J489="보류",J489="보완요청",J489="보완완료",J489="평가중",J489="반려요청",J489="평가필요",LEFT(J489,5)="보완요청("),"미종결 표시","상태 확인 필요"))</x:f>
        <x:v>종결 표시</x:v>
      </x:c>
      <x:c r="L489" s="2"/>
      <x:c r="M489" s="2"/>
      <x:c r="N489" s="8" t="n">
        <x:f>DATE(2026,10,15)-DATE(2018,2,12)</x:f>
        <x:v>3167</x:v>
      </x:c>
      <x:c r="O489" s="2" t="str">
        <x:v>O(4월)</x:v>
      </x:c>
      <x:c r="P489" s="2"/>
      <x:c r="Q489" s="2" t="str">
        <x:v>산업전환_외부사업관리Tool_260707_이너젠 수정_LJY_261013.xlsx</x:v>
      </x:c>
      <x:c r="R489" s="2" t="str">
        <x:v>국내평가</x:v>
      </x:c>
      <x:c r="S489" s="8" t="n">
        <x:v>392</x:v>
      </x:c>
      <x:c r="T489" s="2"/>
      <x:c r="U489" s="2" t="str"/>
      <x:c r="V489" s="2" t="str">
        <x:v>2021-03-02</x:v>
      </x:c>
      <x:c r="W489" s="2" t="str">
        <x:v>담당기관 확인</x:v>
      </x:c>
      <x:c r="X489" s="2" t="str">
        <x:v>원본·배정 기록 확인</x:v>
      </x:c>
      <x:c r="Y489" s="2" t="str">
        <x:v>ad210cd9ec132cfd447541c8984dc53d30aff0f4fb2dc92d254d49275cc55976</x:v>
      </x:c>
      <x:c r="Z489" s="2" t="n">
        <x:f>SUBTOTAL(103,A489)</x:f>
        <x:v>1</x:v>
      </x:c>
      <x:c r="AA489" s="2" t="str">
        <x:f>IF(K489&lt;&gt;"미종결 표시","대상 아님",IF(N489="","신청일 확인",IF(NOT(ISNUMBER('종합 현황'!$H$5)),"관찰기준 확인",IF('종합 현황'!$H$5&lt;1,"관찰기준 확인",IF(N489&gt;'종합 현황'!$H$5,"내부 관찰 대상","내부 관찰일 이하")))))</x:f>
        <x:v>대상 아님</x:v>
      </x:c>
      <x:c r="AB489" s="2"/>
    </x:row>
    <x:row r="490" ht="42" customHeight="1">
      <x:c r="A490" s="2" t="str">
        <x:v>86d94890dffa46a0ebb0237e</x:v>
      </x:c>
      <x:c r="B490" s="2" t="str">
        <x:v>사업 평가</x:v>
      </x:c>
      <x:c r="C490" s="2" t="str">
        <x:v>국내</x:v>
      </x:c>
      <x:c r="D490" s="7" t="str">
        <x:v>영주 가흥1,2단지아파트 연료전환을 통한 온실가스 단위감축사업</x:v>
      </x:c>
      <x:c r="E490" s="2" t="str">
        <x:v>351</x:v>
      </x:c>
      <x:c r="F490" s="2" t="str">
        <x:v>2018-02-12</x:v>
      </x:c>
      <x:c r="G490" s="2" t="str">
        <x:v>2018</x:v>
      </x:c>
      <x:c r="H490" s="2" t="str">
        <x:v>02</x:v>
      </x:c>
      <x:c r="I490" s="2" t="str">
        <x:v>승인</x:v>
      </x:c>
      <x:c r="J490" s="2" t="str">
        <x:v>심의승인</x:v>
      </x:c>
      <x:c r="K490" s="2" t="str">
        <x:f>IF(OR(J490="심의승인",J490="반려",J490="반려완료",J490="심의완료"),"종결 표시",IF(OR(J490="기후부협의",J490="문서재제출요청",J490="보류",J490="보완요청",J490="보완완료",J490="평가중",J490="반려요청",J490="평가필요",LEFT(J490,5)="보완요청("),"미종결 표시","상태 확인 필요"))</x:f>
        <x:v>종결 표시</x:v>
      </x:c>
      <x:c r="L490" s="2"/>
      <x:c r="M490" s="2"/>
      <x:c r="N490" s="8" t="n">
        <x:f>DATE(2026,10,15)-DATE(2018,2,12)</x:f>
        <x:v>3167</x:v>
      </x:c>
      <x:c r="O490" s="2" t="str">
        <x:v>O(4월)</x:v>
      </x:c>
      <x:c r="P490" s="2"/>
      <x:c r="Q490" s="2" t="str">
        <x:v>산업전환_외부사업관리Tool_260707_이너젠 수정_LJY_261013.xlsx</x:v>
      </x:c>
      <x:c r="R490" s="2" t="str">
        <x:v>국내평가</x:v>
      </x:c>
      <x:c r="S490" s="8" t="n">
        <x:v>393</x:v>
      </x:c>
      <x:c r="T490" s="2" t="str">
        <x:v>2021년 처리</x:v>
      </x:c>
      <x:c r="U490" s="2" t="str">
        <x:v>2021 배정: 2021년 처리</x:v>
      </x:c>
      <x:c r="V490" s="2" t="str">
        <x:v>2021-09-27</x:v>
      </x:c>
      <x:c r="W490" s="2" t="str">
        <x:v>담당기관 확인</x:v>
      </x:c>
      <x:c r="X490" s="2" t="str">
        <x:v>원본·배정 기록 확인</x:v>
      </x:c>
      <x:c r="Y490" s="2" t="str">
        <x:v>ad210cd9ec132cfd447541c8984dc53d30aff0f4fb2dc92d254d49275cc55976</x:v>
      </x:c>
      <x:c r="Z490" s="2" t="n">
        <x:f>SUBTOTAL(103,A490)</x:f>
        <x:v>1</x:v>
      </x:c>
      <x:c r="AA490" s="2" t="str">
        <x:f>IF(K490&lt;&gt;"미종결 표시","대상 아님",IF(N490="","신청일 확인",IF(NOT(ISNUMBER('종합 현황'!$H$5)),"관찰기준 확인",IF('종합 현황'!$H$5&lt;1,"관찰기준 확인",IF(N490&gt;'종합 현황'!$H$5,"내부 관찰 대상","내부 관찰일 이하")))))</x:f>
        <x:v>대상 아님</x:v>
      </x:c>
      <x:c r="AB490" s="2"/>
    </x:row>
    <x:row r="491" ht="42" customHeight="1">
      <x:c r="A491" s="2" t="str">
        <x:v>9721d688a35cfdb63e9b5702</x:v>
      </x:c>
      <x:c r="B491" s="2" t="str">
        <x:v>사업 평가</x:v>
      </x:c>
      <x:c r="C491" s="2" t="str">
        <x:v>국내</x:v>
      </x:c>
      <x:c r="D491" s="7" t="str">
        <x:v>아산 읍내 주공 아파트 연료전환을 통한 온실가스 단위감축사업</x:v>
      </x:c>
      <x:c r="E491" s="2" t="str">
        <x:v>352</x:v>
      </x:c>
      <x:c r="F491" s="2" t="str">
        <x:v>2018-02-12</x:v>
      </x:c>
      <x:c r="G491" s="2" t="str">
        <x:v>2018</x:v>
      </x:c>
      <x:c r="H491" s="2" t="str">
        <x:v>02</x:v>
      </x:c>
      <x:c r="I491" s="2" t="str">
        <x:v>승인</x:v>
      </x:c>
      <x:c r="J491" s="2" t="str">
        <x:v>심의승인</x:v>
      </x:c>
      <x:c r="K491" s="2" t="str">
        <x:f>IF(OR(J491="심의승인",J491="반려",J491="반려완료",J491="심의완료"),"종결 표시",IF(OR(J491="기후부협의",J491="문서재제출요청",J491="보류",J491="보완요청",J491="보완완료",J491="평가중",J491="반려요청",J491="평가필요",LEFT(J491,5)="보완요청("),"미종결 표시","상태 확인 필요"))</x:f>
        <x:v>종결 표시</x:v>
      </x:c>
      <x:c r="L491" s="2"/>
      <x:c r="M491" s="2"/>
      <x:c r="N491" s="8" t="n">
        <x:f>DATE(2026,10,15)-DATE(2018,2,12)</x:f>
        <x:v>3167</x:v>
      </x:c>
      <x:c r="O491" s="2" t="str">
        <x:v>O(4월)</x:v>
      </x:c>
      <x:c r="P491" s="2"/>
      <x:c r="Q491" s="2" t="str">
        <x:v>산업전환_외부사업관리Tool_260707_이너젠 수정_LJY_261013.xlsx</x:v>
      </x:c>
      <x:c r="R491" s="2" t="str">
        <x:v>국내평가</x:v>
      </x:c>
      <x:c r="S491" s="8" t="n">
        <x:v>394</x:v>
      </x:c>
      <x:c r="T491" s="2"/>
      <x:c r="U491" s="2" t="str"/>
      <x:c r="V491" s="2" t="str">
        <x:v>2022-03-11</x:v>
      </x:c>
      <x:c r="W491" s="2" t="str">
        <x:v>담당기관 확인</x:v>
      </x:c>
      <x:c r="X491" s="2" t="str">
        <x:v>원본·배정 기록 확인</x:v>
      </x:c>
      <x:c r="Y491" s="2" t="str">
        <x:v>ad210cd9ec132cfd447541c8984dc53d30aff0f4fb2dc92d254d49275cc55976</x:v>
      </x:c>
      <x:c r="Z491" s="2" t="n">
        <x:f>SUBTOTAL(103,A491)</x:f>
        <x:v>1</x:v>
      </x:c>
      <x:c r="AA491" s="2" t="str">
        <x:f>IF(K491&lt;&gt;"미종결 표시","대상 아님",IF(N491="","신청일 확인",IF(NOT(ISNUMBER('종합 현황'!$H$5)),"관찰기준 확인",IF('종합 현황'!$H$5&lt;1,"관찰기준 확인",IF(N491&gt;'종합 현황'!$H$5,"내부 관찰 대상","내부 관찰일 이하")))))</x:f>
        <x:v>대상 아님</x:v>
      </x:c>
      <x:c r="AB491" s="2"/>
    </x:row>
    <x:row r="492" ht="42" customHeight="1">
      <x:c r="A492" s="2" t="str">
        <x:v>1e1c0ffb8a80013c22772dbc</x:v>
      </x:c>
      <x:c r="B492" s="2" t="str">
        <x:v>사업 평가</x:v>
      </x:c>
      <x:c r="C492" s="2" t="str">
        <x:v>국내</x:v>
      </x:c>
      <x:c r="D492" s="7" t="str">
        <x:v>안동 옥동2단지 아파트 연료전환을 통한 온실가스 단위감축사업</x:v>
      </x:c>
      <x:c r="E492" s="2" t="str">
        <x:v>353</x:v>
      </x:c>
      <x:c r="F492" s="2" t="str">
        <x:v>2018-02-12</x:v>
      </x:c>
      <x:c r="G492" s="2" t="str">
        <x:v>2018</x:v>
      </x:c>
      <x:c r="H492" s="2" t="str">
        <x:v>02</x:v>
      </x:c>
      <x:c r="I492" s="2" t="str">
        <x:v>승인</x:v>
      </x:c>
      <x:c r="J492" s="2" t="str">
        <x:v>심의승인</x:v>
      </x:c>
      <x:c r="K492" s="2" t="str">
        <x:f>IF(OR(J492="심의승인",J492="반려",J492="반려완료",J492="심의완료"),"종결 표시",IF(OR(J492="기후부협의",J492="문서재제출요청",J492="보류",J492="보완요청",J492="보완완료",J492="평가중",J492="반려요청",J492="평가필요",LEFT(J492,5)="보완요청("),"미종결 표시","상태 확인 필요"))</x:f>
        <x:v>종결 표시</x:v>
      </x:c>
      <x:c r="L492" s="2"/>
      <x:c r="M492" s="2"/>
      <x:c r="N492" s="8" t="n">
        <x:f>DATE(2026,10,15)-DATE(2018,2,12)</x:f>
        <x:v>3167</x:v>
      </x:c>
      <x:c r="O492" s="2" t="str">
        <x:v>O(4월)</x:v>
      </x:c>
      <x:c r="P492" s="2"/>
      <x:c r="Q492" s="2" t="str">
        <x:v>산업전환_외부사업관리Tool_260707_이너젠 수정_LJY_261013.xlsx</x:v>
      </x:c>
      <x:c r="R492" s="2" t="str">
        <x:v>국내평가</x:v>
      </x:c>
      <x:c r="S492" s="8" t="n">
        <x:v>395</x:v>
      </x:c>
      <x:c r="T492" s="2" t="str">
        <x:v>2021년 처리</x:v>
      </x:c>
      <x:c r="U492" s="2" t="str">
        <x:v>2021 배정: 2021년 처리</x:v>
      </x:c>
      <x:c r="V492" s="2" t="str">
        <x:v>2021-09-27</x:v>
      </x:c>
      <x:c r="W492" s="2" t="str">
        <x:v>담당기관 확인</x:v>
      </x:c>
      <x:c r="X492" s="2" t="str">
        <x:v>원본·배정 기록 확인</x:v>
      </x:c>
      <x:c r="Y492" s="2" t="str">
        <x:v>ad210cd9ec132cfd447541c8984dc53d30aff0f4fb2dc92d254d49275cc55976</x:v>
      </x:c>
      <x:c r="Z492" s="2" t="n">
        <x:f>SUBTOTAL(103,A492)</x:f>
        <x:v>1</x:v>
      </x:c>
      <x:c r="AA492" s="2" t="str">
        <x:f>IF(K492&lt;&gt;"미종결 표시","대상 아님",IF(N492="","신청일 확인",IF(NOT(ISNUMBER('종합 현황'!$H$5)),"관찰기준 확인",IF('종합 현황'!$H$5&lt;1,"관찰기준 확인",IF(N492&gt;'종합 현황'!$H$5,"내부 관찰 대상","내부 관찰일 이하")))))</x:f>
        <x:v>대상 아님</x:v>
      </x:c>
      <x:c r="AB492" s="2"/>
    </x:row>
    <x:row r="493" ht="42" customHeight="1">
      <x:c r="A493" s="2" t="str">
        <x:v>76a5059cfd15c9cd6e9ff4b7</x:v>
      </x:c>
      <x:c r="B493" s="2" t="str">
        <x:v>사업 평가</x:v>
      </x:c>
      <x:c r="C493" s="2" t="str">
        <x:v>국내</x:v>
      </x:c>
      <x:c r="D493" s="7" t="str">
        <x:v>울산 화정아파트 연료전환을 통한 온실가스 단위감축사업</x:v>
      </x:c>
      <x:c r="E493" s="2" t="str">
        <x:v>354</x:v>
      </x:c>
      <x:c r="F493" s="2" t="str">
        <x:v>2018-02-12</x:v>
      </x:c>
      <x:c r="G493" s="2" t="str">
        <x:v>2018</x:v>
      </x:c>
      <x:c r="H493" s="2" t="str">
        <x:v>02</x:v>
      </x:c>
      <x:c r="I493" s="2" t="str">
        <x:v>승인</x:v>
      </x:c>
      <x:c r="J493" s="2" t="str">
        <x:v>심의승인</x:v>
      </x:c>
      <x:c r="K493" s="2" t="str">
        <x:f>IF(OR(J493="심의승인",J493="반려",J493="반려완료",J493="심의완료"),"종결 표시",IF(OR(J493="기후부협의",J493="문서재제출요청",J493="보류",J493="보완요청",J493="보완완료",J493="평가중",J493="반려요청",J493="평가필요",LEFT(J493,5)="보완요청("),"미종결 표시","상태 확인 필요"))</x:f>
        <x:v>종결 표시</x:v>
      </x:c>
      <x:c r="L493" s="2"/>
      <x:c r="M493" s="2"/>
      <x:c r="N493" s="8" t="n">
        <x:f>DATE(2026,10,15)-DATE(2018,2,12)</x:f>
        <x:v>3167</x:v>
      </x:c>
      <x:c r="O493" s="2" t="str">
        <x:v>O(LH)</x:v>
      </x:c>
      <x:c r="P493" s="2"/>
      <x:c r="Q493" s="2" t="str">
        <x:v>산업전환_외부사업관리Tool_260707_이너젠 수정_LJY_261013.xlsx</x:v>
      </x:c>
      <x:c r="R493" s="2" t="str">
        <x:v>국내평가</x:v>
      </x:c>
      <x:c r="S493" s="8" t="n">
        <x:v>396</x:v>
      </x:c>
      <x:c r="T493" s="2" t="str">
        <x:v>2021년 처리</x:v>
      </x:c>
      <x:c r="U493" s="2" t="str">
        <x:v>2021 배정: 2021년 처리</x:v>
      </x:c>
      <x:c r="V493" s="2" t="str">
        <x:v>2021-09-27</x:v>
      </x:c>
      <x:c r="W493" s="2" t="str">
        <x:v>담당기관 확인</x:v>
      </x:c>
      <x:c r="X493" s="2" t="str">
        <x:v>원본·배정 기록 확인</x:v>
      </x:c>
      <x:c r="Y493" s="2" t="str">
        <x:v>ad210cd9ec132cfd447541c8984dc53d30aff0f4fb2dc92d254d49275cc55976</x:v>
      </x:c>
      <x:c r="Z493" s="2" t="n">
        <x:f>SUBTOTAL(103,A493)</x:f>
        <x:v>1</x:v>
      </x:c>
      <x:c r="AA493" s="2" t="str">
        <x:f>IF(K493&lt;&gt;"미종결 표시","대상 아님",IF(N493="","신청일 확인",IF(NOT(ISNUMBER('종합 현황'!$H$5)),"관찰기준 확인",IF('종합 현황'!$H$5&lt;1,"관찰기준 확인",IF(N493&gt;'종합 현황'!$H$5,"내부 관찰 대상","내부 관찰일 이하")))))</x:f>
        <x:v>대상 아님</x:v>
      </x:c>
      <x:c r="AB493" s="2"/>
    </x:row>
    <x:row r="494" ht="42" customHeight="1">
      <x:c r="A494" s="2" t="str">
        <x:v>c5a70d5328ad8e7f2d69f480</x:v>
      </x:c>
      <x:c r="B494" s="2" t="str">
        <x:v>사업 평가</x:v>
      </x:c>
      <x:c r="C494" s="2" t="str">
        <x:v>국내</x:v>
      </x:c>
      <x:c r="D494" s="7" t="str">
        <x:v>대전 법동 주공 3단지 아파트 연료전환을 통한 온실가스 단위감축사업</x:v>
      </x:c>
      <x:c r="E494" s="2" t="str">
        <x:v>355</x:v>
      </x:c>
      <x:c r="F494" s="2" t="str">
        <x:v>2018-02-12</x:v>
      </x:c>
      <x:c r="G494" s="2" t="str">
        <x:v>2018</x:v>
      </x:c>
      <x:c r="H494" s="2" t="str">
        <x:v>02</x:v>
      </x:c>
      <x:c r="I494" s="2" t="str">
        <x:v>승인</x:v>
      </x:c>
      <x:c r="J494" s="2" t="str">
        <x:v>심의승인</x:v>
      </x:c>
      <x:c r="K494" s="2" t="str">
        <x:f>IF(OR(J494="심의승인",J494="반려",J494="반려완료",J494="심의완료"),"종결 표시",IF(OR(J494="기후부협의",J494="문서재제출요청",J494="보류",J494="보완요청",J494="보완완료",J494="평가중",J494="반려요청",J494="평가필요",LEFT(J494,5)="보완요청("),"미종결 표시","상태 확인 필요"))</x:f>
        <x:v>종결 표시</x:v>
      </x:c>
      <x:c r="L494" s="2"/>
      <x:c r="M494" s="2"/>
      <x:c r="N494" s="8" t="n">
        <x:f>DATE(2026,10,15)-DATE(2018,2,12)</x:f>
        <x:v>3167</x:v>
      </x:c>
      <x:c r="O494" s="2" t="str">
        <x:v>O(LH)</x:v>
      </x:c>
      <x:c r="P494" s="2"/>
      <x:c r="Q494" s="2" t="str">
        <x:v>산업전환_외부사업관리Tool_260707_이너젠 수정_LJY_261013.xlsx</x:v>
      </x:c>
      <x:c r="R494" s="2" t="str">
        <x:v>국내평가</x:v>
      </x:c>
      <x:c r="S494" s="8" t="n">
        <x:v>397</x:v>
      </x:c>
      <x:c r="T494" s="2" t="str">
        <x:v>2021년 처리</x:v>
      </x:c>
      <x:c r="U494" s="2" t="str">
        <x:v>2021 배정: 2021년 처리</x:v>
      </x:c>
      <x:c r="V494" s="2" t="str">
        <x:v>2021-09-27</x:v>
      </x:c>
      <x:c r="W494" s="2" t="str">
        <x:v>담당기관 확인</x:v>
      </x:c>
      <x:c r="X494" s="2" t="str">
        <x:v>원본·배정 기록 확인</x:v>
      </x:c>
      <x:c r="Y494" s="2" t="str">
        <x:v>ad210cd9ec132cfd447541c8984dc53d30aff0f4fb2dc92d254d49275cc55976</x:v>
      </x:c>
      <x:c r="Z494" s="2" t="n">
        <x:f>SUBTOTAL(103,A494)</x:f>
        <x:v>1</x:v>
      </x:c>
      <x:c r="AA494" s="2" t="str">
        <x:f>IF(K494&lt;&gt;"미종결 표시","대상 아님",IF(N494="","신청일 확인",IF(NOT(ISNUMBER('종합 현황'!$H$5)),"관찰기준 확인",IF('종합 현황'!$H$5&lt;1,"관찰기준 확인",IF(N494&gt;'종합 현황'!$H$5,"내부 관찰 대상","내부 관찰일 이하")))))</x:f>
        <x:v>대상 아님</x:v>
      </x:c>
      <x:c r="AB494" s="2"/>
    </x:row>
    <x:row r="495" ht="42" customHeight="1">
      <x:c r="A495" s="2" t="str">
        <x:v>40f8ef825af3e34d754b1035</x:v>
      </x:c>
      <x:c r="B495" s="2" t="str">
        <x:v>사업 평가</x:v>
      </x:c>
      <x:c r="C495" s="2" t="str">
        <x:v>국내</x:v>
      </x:c>
      <x:c r="D495" s="7" t="str">
        <x:v>남원 노암아파트 연료전환을 통한 온실가스 단위감축사업</x:v>
      </x:c>
      <x:c r="E495" s="2" t="str">
        <x:v>356</x:v>
      </x:c>
      <x:c r="F495" s="2" t="str">
        <x:v>2018-02-12</x:v>
      </x:c>
      <x:c r="G495" s="2" t="str">
        <x:v>2018</x:v>
      </x:c>
      <x:c r="H495" s="2" t="str">
        <x:v>02</x:v>
      </x:c>
      <x:c r="I495" s="2" t="str">
        <x:v>승인</x:v>
      </x:c>
      <x:c r="J495" s="2" t="str">
        <x:v>심의승인</x:v>
      </x:c>
      <x:c r="K495" s="2" t="str">
        <x:f>IF(OR(J495="심의승인",J495="반려",J495="반려완료",J495="심의완료"),"종결 표시",IF(OR(J495="기후부협의",J495="문서재제출요청",J495="보류",J495="보완요청",J495="보완완료",J495="평가중",J495="반려요청",J495="평가필요",LEFT(J495,5)="보완요청("),"미종결 표시","상태 확인 필요"))</x:f>
        <x:v>종결 표시</x:v>
      </x:c>
      <x:c r="L495" s="2"/>
      <x:c r="M495" s="2"/>
      <x:c r="N495" s="8" t="n">
        <x:f>DATE(2026,10,15)-DATE(2018,2,12)</x:f>
        <x:v>3167</x:v>
      </x:c>
      <x:c r="O495" s="2" t="str">
        <x:v>O(LH)</x:v>
      </x:c>
      <x:c r="P495" s="2"/>
      <x:c r="Q495" s="2" t="str">
        <x:v>산업전환_외부사업관리Tool_260707_이너젠 수정_LJY_261013.xlsx</x:v>
      </x:c>
      <x:c r="R495" s="2" t="str">
        <x:v>국내평가</x:v>
      </x:c>
      <x:c r="S495" s="8" t="n">
        <x:v>398</x:v>
      </x:c>
      <x:c r="T495" s="2" t="str">
        <x:v>2021년 처리</x:v>
      </x:c>
      <x:c r="U495" s="2" t="str">
        <x:v>2021 배정: 2021년 처리</x:v>
      </x:c>
      <x:c r="V495" s="2" t="str">
        <x:v>2021-09-27</x:v>
      </x:c>
      <x:c r="W495" s="2" t="str">
        <x:v>담당기관 확인</x:v>
      </x:c>
      <x:c r="X495" s="2" t="str">
        <x:v>원본·배정 기록 확인</x:v>
      </x:c>
      <x:c r="Y495" s="2" t="str">
        <x:v>ad210cd9ec132cfd447541c8984dc53d30aff0f4fb2dc92d254d49275cc55976</x:v>
      </x:c>
      <x:c r="Z495" s="2" t="n">
        <x:f>SUBTOTAL(103,A495)</x:f>
        <x:v>1</x:v>
      </x:c>
      <x:c r="AA495" s="2" t="str">
        <x:f>IF(K495&lt;&gt;"미종결 표시","대상 아님",IF(N495="","신청일 확인",IF(NOT(ISNUMBER('종합 현황'!$H$5)),"관찰기준 확인",IF('종합 현황'!$H$5&lt;1,"관찰기준 확인",IF(N495&gt;'종합 현황'!$H$5,"내부 관찰 대상","내부 관찰일 이하")))))</x:f>
        <x:v>대상 아님</x:v>
      </x:c>
      <x:c r="AB495" s="2"/>
    </x:row>
    <x:row r="496" ht="42" customHeight="1">
      <x:c r="A496" s="2" t="str">
        <x:v>3adb4ac83c709c07e133a99c</x:v>
      </x:c>
      <x:c r="B496" s="2" t="str">
        <x:v>사업 평가</x:v>
      </x:c>
      <x:c r="C496" s="2" t="str">
        <x:v>국내</x:v>
      </x:c>
      <x:c r="D496" s="7" t="str">
        <x:v>대구 황금 3단지 아파트 연료전환을 통한 온실가스 단위감축사업</x:v>
      </x:c>
      <x:c r="E496" s="2" t="str">
        <x:v>357</x:v>
      </x:c>
      <x:c r="F496" s="2" t="str">
        <x:v>2018-02-12</x:v>
      </x:c>
      <x:c r="G496" s="2" t="str">
        <x:v>2018</x:v>
      </x:c>
      <x:c r="H496" s="2" t="str">
        <x:v>02</x:v>
      </x:c>
      <x:c r="I496" s="2" t="str">
        <x:v>승인</x:v>
      </x:c>
      <x:c r="J496" s="2" t="str">
        <x:v>심의승인</x:v>
      </x:c>
      <x:c r="K496" s="2" t="str">
        <x:f>IF(OR(J496="심의승인",J496="반려",J496="반려완료",J496="심의완료"),"종결 표시",IF(OR(J496="기후부협의",J496="문서재제출요청",J496="보류",J496="보완요청",J496="보완완료",J496="평가중",J496="반려요청",J496="평가필요",LEFT(J496,5)="보완요청("),"미종결 표시","상태 확인 필요"))</x:f>
        <x:v>종결 표시</x:v>
      </x:c>
      <x:c r="L496" s="2"/>
      <x:c r="M496" s="2"/>
      <x:c r="N496" s="8" t="n">
        <x:f>DATE(2026,10,15)-DATE(2018,2,12)</x:f>
        <x:v>3167</x:v>
      </x:c>
      <x:c r="O496" s="2" t="str">
        <x:v>O(LH)</x:v>
      </x:c>
      <x:c r="P496" s="2"/>
      <x:c r="Q496" s="2" t="str">
        <x:v>산업전환_외부사업관리Tool_260707_이너젠 수정_LJY_261013.xlsx</x:v>
      </x:c>
      <x:c r="R496" s="2" t="str">
        <x:v>국내평가</x:v>
      </x:c>
      <x:c r="S496" s="8" t="n">
        <x:v>399</x:v>
      </x:c>
      <x:c r="T496" s="2" t="str">
        <x:v>2021년 처리</x:v>
      </x:c>
      <x:c r="U496" s="2" t="str">
        <x:v>2021 배정: 2021년 처리</x:v>
      </x:c>
      <x:c r="V496" s="2" t="str">
        <x:v>2021-09-27</x:v>
      </x:c>
      <x:c r="W496" s="2" t="str">
        <x:v>담당기관 확인</x:v>
      </x:c>
      <x:c r="X496" s="2" t="str">
        <x:v>원본·배정 기록 확인</x:v>
      </x:c>
      <x:c r="Y496" s="2" t="str">
        <x:v>ad210cd9ec132cfd447541c8984dc53d30aff0f4fb2dc92d254d49275cc55976</x:v>
      </x:c>
      <x:c r="Z496" s="2" t="n">
        <x:f>SUBTOTAL(103,A496)</x:f>
        <x:v>1</x:v>
      </x:c>
      <x:c r="AA496" s="2" t="str">
        <x:f>IF(K496&lt;&gt;"미종결 표시","대상 아님",IF(N496="","신청일 확인",IF(NOT(ISNUMBER('종합 현황'!$H$5)),"관찰기준 확인",IF('종합 현황'!$H$5&lt;1,"관찰기준 확인",IF(N496&gt;'종합 현황'!$H$5,"내부 관찰 대상","내부 관찰일 이하")))))</x:f>
        <x:v>대상 아님</x:v>
      </x:c>
      <x:c r="AB496" s="2"/>
    </x:row>
    <x:row r="497" ht="42" customHeight="1">
      <x:c r="A497" s="2" t="str">
        <x:v>00c14750b6c787b2c6724ef0</x:v>
      </x:c>
      <x:c r="B497" s="2" t="str">
        <x:v>사업 평가</x:v>
      </x:c>
      <x:c r="C497" s="2" t="str">
        <x:v>국내</x:v>
      </x:c>
      <x:c r="D497" s="7" t="str">
        <x:v>경산 백천1단지아파트 연료전환을 통한 온실가스 단위감축사업</x:v>
      </x:c>
      <x:c r="E497" s="2" t="str">
        <x:v>358</x:v>
      </x:c>
      <x:c r="F497" s="2" t="str">
        <x:v>2018-02-12</x:v>
      </x:c>
      <x:c r="G497" s="2" t="str">
        <x:v>2018</x:v>
      </x:c>
      <x:c r="H497" s="2" t="str">
        <x:v>02</x:v>
      </x:c>
      <x:c r="I497" s="2" t="str">
        <x:v>승인</x:v>
      </x:c>
      <x:c r="J497" s="2" t="str">
        <x:v>심의승인</x:v>
      </x:c>
      <x:c r="K497" s="2" t="str">
        <x:f>IF(OR(J497="심의승인",J497="반려",J497="반려완료",J497="심의완료"),"종결 표시",IF(OR(J497="기후부협의",J497="문서재제출요청",J497="보류",J497="보완요청",J497="보완완료",J497="평가중",J497="반려요청",J497="평가필요",LEFT(J497,5)="보완요청("),"미종결 표시","상태 확인 필요"))</x:f>
        <x:v>종결 표시</x:v>
      </x:c>
      <x:c r="L497" s="2" t="str">
        <x:v>에코시안_조영우</x:v>
      </x:c>
      <x:c r="M497" s="2"/>
      <x:c r="N497" s="8" t="n">
        <x:f>DATE(2026,10,15)-DATE(2018,2,12)</x:f>
        <x:v>3167</x:v>
      </x:c>
      <x:c r="O497" s="2" t="str">
        <x:v>O(LH)</x:v>
      </x:c>
      <x:c r="P497" s="2"/>
      <x:c r="Q497" s="2" t="str">
        <x:v>산업전환_외부사업관리Tool_260707_이너젠 수정_LJY_261013.xlsx</x:v>
      </x:c>
      <x:c r="R497" s="2" t="str">
        <x:v>국내평가</x:v>
      </x:c>
      <x:c r="S497" s="8" t="n">
        <x:v>400</x:v>
      </x:c>
      <x:c r="T497" s="2" t="str">
        <x:v>(4/21)</x:v>
      </x:c>
      <x:c r="U497" s="2" t="str">
        <x:v>2023 배정: (4/21)</x:v>
      </x:c>
      <x:c r="V497" s="2" t="str">
        <x:v>2023-04-06</x:v>
      </x:c>
      <x:c r="W497" s="2" t="str"/>
      <x:c r="X497" s="2" t="str">
        <x:v>종결 근거 보관</x:v>
      </x:c>
      <x:c r="Y497" s="2" t="str">
        <x:v>ad210cd9ec132cfd447541c8984dc53d30aff0f4fb2dc92d254d49275cc55976</x:v>
      </x:c>
      <x:c r="Z497" s="2" t="n">
        <x:f>SUBTOTAL(103,A497)</x:f>
        <x:v>1</x:v>
      </x:c>
      <x:c r="AA497" s="2" t="str">
        <x:f>IF(K497&lt;&gt;"미종결 표시","대상 아님",IF(N497="","신청일 확인",IF(NOT(ISNUMBER('종합 현황'!$H$5)),"관찰기준 확인",IF('종합 현황'!$H$5&lt;1,"관찰기준 확인",IF(N497&gt;'종합 현황'!$H$5,"내부 관찰 대상","내부 관찰일 이하")))))</x:f>
        <x:v>대상 아님</x:v>
      </x:c>
      <x:c r="AB497" s="2"/>
    </x:row>
    <x:row r="498" ht="42" customHeight="1">
      <x:c r="A498" s="2" t="str">
        <x:v>5464082d2b21c154b201b8d6</x:v>
      </x:c>
      <x:c r="B498" s="2" t="str">
        <x:v>사업 평가</x:v>
      </x:c>
      <x:c r="C498" s="2" t="str">
        <x:v>국내</x:v>
      </x:c>
      <x:c r="D498" s="7" t="str">
        <x:v>여수 미평 주공 1단지 연료전환을 통한 온실가스 단위감축사업</x:v>
      </x:c>
      <x:c r="E498" s="2" t="str">
        <x:v>359</x:v>
      </x:c>
      <x:c r="F498" s="2" t="str">
        <x:v>2018-02-12</x:v>
      </x:c>
      <x:c r="G498" s="2" t="str">
        <x:v>2018</x:v>
      </x:c>
      <x:c r="H498" s="2" t="str">
        <x:v>02</x:v>
      </x:c>
      <x:c r="I498" s="2" t="str">
        <x:v>승인</x:v>
      </x:c>
      <x:c r="J498" s="2" t="str">
        <x:v>심의승인</x:v>
      </x:c>
      <x:c r="K498" s="2" t="str">
        <x:f>IF(OR(J498="심의승인",J498="반려",J498="반려완료",J498="심의완료"),"종결 표시",IF(OR(J498="기후부협의",J498="문서재제출요청",J498="보류",J498="보완요청",J498="보완완료",J498="평가중",J498="반려요청",J498="평가필요",LEFT(J498,5)="보완요청("),"미종결 표시","상태 확인 필요"))</x:f>
        <x:v>종결 표시</x:v>
      </x:c>
      <x:c r="L498" s="2" t="str">
        <x:v>에코시안_조영우</x:v>
      </x:c>
      <x:c r="M498" s="2"/>
      <x:c r="N498" s="8" t="n">
        <x:f>DATE(2026,10,15)-DATE(2018,2,12)</x:f>
        <x:v>3167</x:v>
      </x:c>
      <x:c r="O498" s="2" t="str">
        <x:v>O(LH)</x:v>
      </x:c>
      <x:c r="P498" s="2"/>
      <x:c r="Q498" s="2" t="str">
        <x:v>산업전환_외부사업관리Tool_260707_이너젠 수정_LJY_261013.xlsx</x:v>
      </x:c>
      <x:c r="R498" s="2" t="str">
        <x:v>국내평가</x:v>
      </x:c>
      <x:c r="S498" s="8" t="n">
        <x:v>401</x:v>
      </x:c>
      <x:c r="T498" s="2" t="str">
        <x:v>(4/21)</x:v>
      </x:c>
      <x:c r="U498" s="2" t="str">
        <x:v>2023 배정: (4/21)</x:v>
      </x:c>
      <x:c r="V498" s="2" t="str">
        <x:v>2023-04-06</x:v>
      </x:c>
      <x:c r="W498" s="2" t="str"/>
      <x:c r="X498" s="2" t="str">
        <x:v>종결 근거 보관</x:v>
      </x:c>
      <x:c r="Y498" s="2" t="str">
        <x:v>ad210cd9ec132cfd447541c8984dc53d30aff0f4fb2dc92d254d49275cc55976</x:v>
      </x:c>
      <x:c r="Z498" s="2" t="n">
        <x:f>SUBTOTAL(103,A498)</x:f>
        <x:v>1</x:v>
      </x:c>
      <x:c r="AA498" s="2" t="str">
        <x:f>IF(K498&lt;&gt;"미종결 표시","대상 아님",IF(N498="","신청일 확인",IF(NOT(ISNUMBER('종합 현황'!$H$5)),"관찰기준 확인",IF('종합 현황'!$H$5&lt;1,"관찰기준 확인",IF(N498&gt;'종합 현황'!$H$5,"내부 관찰 대상","내부 관찰일 이하")))))</x:f>
        <x:v>대상 아님</x:v>
      </x:c>
      <x:c r="AB498" s="2"/>
    </x:row>
    <x:row r="499" ht="42" customHeight="1">
      <x:c r="A499" s="2" t="str">
        <x:v>c811634295dbb795aaa1b28c</x:v>
      </x:c>
      <x:c r="B499" s="2" t="str">
        <x:v>사업 평가</x:v>
      </x:c>
      <x:c r="C499" s="2" t="str">
        <x:v>국내</x:v>
      </x:c>
      <x:c r="D499" s="7" t="str">
        <x:v>천안 쌍용 7단지 1차 아파트 연료전환을 통한 온실가스 단위감축사업</x:v>
      </x:c>
      <x:c r="E499" s="2" t="str">
        <x:v>360</x:v>
      </x:c>
      <x:c r="F499" s="2" t="str">
        <x:v>2018-02-12</x:v>
      </x:c>
      <x:c r="G499" s="2" t="str">
        <x:v>2018</x:v>
      </x:c>
      <x:c r="H499" s="2" t="str">
        <x:v>02</x:v>
      </x:c>
      <x:c r="I499" s="2" t="str">
        <x:v>승인</x:v>
      </x:c>
      <x:c r="J499" s="2" t="str">
        <x:v>심의승인</x:v>
      </x:c>
      <x:c r="K499" s="2" t="str">
        <x:f>IF(OR(J499="심의승인",J499="반려",J499="반려완료",J499="심의완료"),"종결 표시",IF(OR(J499="기후부협의",J499="문서재제출요청",J499="보류",J499="보완요청",J499="보완완료",J499="평가중",J499="반려요청",J499="평가필요",LEFT(J499,5)="보완요청("),"미종결 표시","상태 확인 필요"))</x:f>
        <x:v>종결 표시</x:v>
      </x:c>
      <x:c r="L499" s="2"/>
      <x:c r="M499" s="2"/>
      <x:c r="N499" s="8" t="n">
        <x:f>DATE(2026,10,15)-DATE(2018,2,12)</x:f>
        <x:v>3167</x:v>
      </x:c>
      <x:c r="O499" s="2" t="str">
        <x:v>O(LH)</x:v>
      </x:c>
      <x:c r="P499" s="2"/>
      <x:c r="Q499" s="2" t="str">
        <x:v>산업전환_외부사업관리Tool_260707_이너젠 수정_LJY_261013.xlsx</x:v>
      </x:c>
      <x:c r="R499" s="2" t="str">
        <x:v>국내평가</x:v>
      </x:c>
      <x:c r="S499" s="8" t="n">
        <x:v>402</x:v>
      </x:c>
      <x:c r="T499" s="2" t="str">
        <x:v>2021년 처리</x:v>
      </x:c>
      <x:c r="U499" s="2" t="str">
        <x:v>2021 배정: 2021년 처리</x:v>
      </x:c>
      <x:c r="V499" s="2" t="str">
        <x:v>2021-09-27</x:v>
      </x:c>
      <x:c r="W499" s="2" t="str">
        <x:v>담당기관 확인</x:v>
      </x:c>
      <x:c r="X499" s="2" t="str">
        <x:v>원본·배정 기록 확인</x:v>
      </x:c>
      <x:c r="Y499" s="2" t="str">
        <x:v>ad210cd9ec132cfd447541c8984dc53d30aff0f4fb2dc92d254d49275cc55976</x:v>
      </x:c>
      <x:c r="Z499" s="2" t="n">
        <x:f>SUBTOTAL(103,A499)</x:f>
        <x:v>1</x:v>
      </x:c>
      <x:c r="AA499" s="2" t="str">
        <x:f>IF(K499&lt;&gt;"미종결 표시","대상 아님",IF(N499="","신청일 확인",IF(NOT(ISNUMBER('종합 현황'!$H$5)),"관찰기준 확인",IF('종합 현황'!$H$5&lt;1,"관찰기준 확인",IF(N499&gt;'종합 현황'!$H$5,"내부 관찰 대상","내부 관찰일 이하")))))</x:f>
        <x:v>대상 아님</x:v>
      </x:c>
      <x:c r="AB499" s="2"/>
    </x:row>
    <x:row r="500" ht="42" customHeight="1">
      <x:c r="A500" s="2" t="str">
        <x:v>d8cdcfd567529f0335aeb59f</x:v>
      </x:c>
      <x:c r="B500" s="2" t="str">
        <x:v>사업 평가</x:v>
      </x:c>
      <x:c r="C500" s="2" t="str">
        <x:v>국내</x:v>
      </x:c>
      <x:c r="D500" s="7" t="str">
        <x:v>강릉 송정 아파트 연료전환을 통한 온실가스 단위감축사업</x:v>
      </x:c>
      <x:c r="E500" s="2" t="str">
        <x:v>361</x:v>
      </x:c>
      <x:c r="F500" s="2" t="str">
        <x:v>2018-02-12</x:v>
      </x:c>
      <x:c r="G500" s="2" t="str">
        <x:v>2018</x:v>
      </x:c>
      <x:c r="H500" s="2" t="str">
        <x:v>02</x:v>
      </x:c>
      <x:c r="I500" s="2" t="str">
        <x:v>승인</x:v>
      </x:c>
      <x:c r="J500" s="2" t="str">
        <x:v>심의승인</x:v>
      </x:c>
      <x:c r="K500" s="2" t="str">
        <x:f>IF(OR(J500="심의승인",J500="반려",J500="반려완료",J500="심의완료"),"종결 표시",IF(OR(J500="기후부협의",J500="문서재제출요청",J500="보류",J500="보완요청",J500="보완완료",J500="평가중",J500="반려요청",J500="평가필요",LEFT(J500,5)="보완요청("),"미종결 표시","상태 확인 필요"))</x:f>
        <x:v>종결 표시</x:v>
      </x:c>
      <x:c r="L500" s="2"/>
      <x:c r="M500" s="2"/>
      <x:c r="N500" s="8" t="n">
        <x:f>DATE(2026,10,15)-DATE(2018,2,12)</x:f>
        <x:v>3167</x:v>
      </x:c>
      <x:c r="O500" s="2" t="str">
        <x:v>O(LH)</x:v>
      </x:c>
      <x:c r="P500" s="2"/>
      <x:c r="Q500" s="2" t="str">
        <x:v>산업전환_외부사업관리Tool_260707_이너젠 수정_LJY_261013.xlsx</x:v>
      </x:c>
      <x:c r="R500" s="2" t="str">
        <x:v>국내평가</x:v>
      </x:c>
      <x:c r="S500" s="8" t="n">
        <x:v>403</x:v>
      </x:c>
      <x:c r="T500" s="2" t="str">
        <x:v>2021년 처리</x:v>
      </x:c>
      <x:c r="U500" s="2" t="str">
        <x:v>2021 배정: 2021년 처리</x:v>
      </x:c>
      <x:c r="V500" s="2" t="str">
        <x:v>2021-09-27</x:v>
      </x:c>
      <x:c r="W500" s="2" t="str">
        <x:v>담당기관 확인</x:v>
      </x:c>
      <x:c r="X500" s="2" t="str">
        <x:v>원본·배정 기록 확인</x:v>
      </x:c>
      <x:c r="Y500" s="2" t="str">
        <x:v>ad210cd9ec132cfd447541c8984dc53d30aff0f4fb2dc92d254d49275cc55976</x:v>
      </x:c>
      <x:c r="Z500" s="2" t="n">
        <x:f>SUBTOTAL(103,A500)</x:f>
        <x:v>1</x:v>
      </x:c>
      <x:c r="AA500" s="2" t="str">
        <x:f>IF(K500&lt;&gt;"미종결 표시","대상 아님",IF(N500="","신청일 확인",IF(NOT(ISNUMBER('종합 현황'!$H$5)),"관찰기준 확인",IF('종합 현황'!$H$5&lt;1,"관찰기준 확인",IF(N500&gt;'종합 현황'!$H$5,"내부 관찰 대상","내부 관찰일 이하")))))</x:f>
        <x:v>대상 아님</x:v>
      </x:c>
      <x:c r="AB500" s="2"/>
    </x:row>
    <x:row r="501" ht="42" customHeight="1">
      <x:c r="A501" s="2" t="str">
        <x:v>e4a7f0203a9320b06aee4f25</x:v>
      </x:c>
      <x:c r="B501" s="2" t="str">
        <x:v>사업 평가</x:v>
      </x:c>
      <x:c r="C501" s="2" t="str">
        <x:v>국내</x:v>
      </x:c>
      <x:c r="D501" s="7" t="str">
        <x:v>강릉 입암 3단지 아파트 연료전환을 통한 온실가스 단위감축사업</x:v>
      </x:c>
      <x:c r="E501" s="2" t="str">
        <x:v>362</x:v>
      </x:c>
      <x:c r="F501" s="2" t="str">
        <x:v>2018-02-12</x:v>
      </x:c>
      <x:c r="G501" s="2" t="str">
        <x:v>2018</x:v>
      </x:c>
      <x:c r="H501" s="2" t="str">
        <x:v>02</x:v>
      </x:c>
      <x:c r="I501" s="2" t="str">
        <x:v>승인</x:v>
      </x:c>
      <x:c r="J501" s="2" t="str">
        <x:v>심의승인</x:v>
      </x:c>
      <x:c r="K501" s="2" t="str">
        <x:f>IF(OR(J501="심의승인",J501="반려",J501="반려완료",J501="심의완료"),"종결 표시",IF(OR(J501="기후부협의",J501="문서재제출요청",J501="보류",J501="보완요청",J501="보완완료",J501="평가중",J501="반려요청",J501="평가필요",LEFT(J501,5)="보완요청("),"미종결 표시","상태 확인 필요"))</x:f>
        <x:v>종결 표시</x:v>
      </x:c>
      <x:c r="L501" s="2"/>
      <x:c r="M501" s="2"/>
      <x:c r="N501" s="8" t="n">
        <x:f>DATE(2026,10,15)-DATE(2018,2,12)</x:f>
        <x:v>3167</x:v>
      </x:c>
      <x:c r="O501" s="2" t="str">
        <x:v>O(LH)</x:v>
      </x:c>
      <x:c r="P501" s="2"/>
      <x:c r="Q501" s="2" t="str">
        <x:v>산업전환_외부사업관리Tool_260707_이너젠 수정_LJY_261013.xlsx</x:v>
      </x:c>
      <x:c r="R501" s="2" t="str">
        <x:v>국내평가</x:v>
      </x:c>
      <x:c r="S501" s="8" t="n">
        <x:v>404</x:v>
      </x:c>
      <x:c r="T501" s="2" t="str">
        <x:v>2021년 처리</x:v>
      </x:c>
      <x:c r="U501" s="2" t="str">
        <x:v>2021 배정: 2021년 처리</x:v>
      </x:c>
      <x:c r="V501" s="2" t="str">
        <x:v>2021-09-27</x:v>
      </x:c>
      <x:c r="W501" s="2" t="str">
        <x:v>담당기관 확인</x:v>
      </x:c>
      <x:c r="X501" s="2" t="str">
        <x:v>원본·배정 기록 확인</x:v>
      </x:c>
      <x:c r="Y501" s="2" t="str">
        <x:v>ad210cd9ec132cfd447541c8984dc53d30aff0f4fb2dc92d254d49275cc55976</x:v>
      </x:c>
      <x:c r="Z501" s="2" t="n">
        <x:f>SUBTOTAL(103,A501)</x:f>
        <x:v>1</x:v>
      </x:c>
      <x:c r="AA501" s="2" t="str">
        <x:f>IF(K501&lt;&gt;"미종결 표시","대상 아님",IF(N501="","신청일 확인",IF(NOT(ISNUMBER('종합 현황'!$H$5)),"관찰기준 확인",IF('종합 현황'!$H$5&lt;1,"관찰기준 확인",IF(N501&gt;'종합 현황'!$H$5,"내부 관찰 대상","내부 관찰일 이하")))))</x:f>
        <x:v>대상 아님</x:v>
      </x:c>
      <x:c r="AB501" s="2"/>
    </x:row>
    <x:row r="502" ht="42" customHeight="1">
      <x:c r="A502" s="2" t="str">
        <x:v>72eda5a6731b8472bb3b201c</x:v>
      </x:c>
      <x:c r="B502" s="2" t="str">
        <x:v>사업 평가</x:v>
      </x:c>
      <x:c r="C502" s="2" t="str">
        <x:v>국내</x:v>
      </x:c>
      <x:c r="D502" s="7" t="str">
        <x:v>청주 산남2-1아파트 연료전환을 통한 온실가스 단위감축사업</x:v>
      </x:c>
      <x:c r="E502" s="2" t="str">
        <x:v>363</x:v>
      </x:c>
      <x:c r="F502" s="2" t="str">
        <x:v>2018-02-12</x:v>
      </x:c>
      <x:c r="G502" s="2" t="str">
        <x:v>2018</x:v>
      </x:c>
      <x:c r="H502" s="2" t="str">
        <x:v>02</x:v>
      </x:c>
      <x:c r="I502" s="2" t="str">
        <x:v>승인</x:v>
      </x:c>
      <x:c r="J502" s="2" t="str">
        <x:v>심의승인</x:v>
      </x:c>
      <x:c r="K502" s="2" t="str">
        <x:f>IF(OR(J502="심의승인",J502="반려",J502="반려완료",J502="심의완료"),"종결 표시",IF(OR(J502="기후부협의",J502="문서재제출요청",J502="보류",J502="보완요청",J502="보완완료",J502="평가중",J502="반려요청",J502="평가필요",LEFT(J502,5)="보완요청("),"미종결 표시","상태 확인 필요"))</x:f>
        <x:v>종결 표시</x:v>
      </x:c>
      <x:c r="L502" s="2"/>
      <x:c r="M502" s="2"/>
      <x:c r="N502" s="8" t="n">
        <x:f>DATE(2026,10,15)-DATE(2018,2,12)</x:f>
        <x:v>3167</x:v>
      </x:c>
      <x:c r="O502" s="2" t="str">
        <x:v>O(LH)</x:v>
      </x:c>
      <x:c r="P502" s="2"/>
      <x:c r="Q502" s="2" t="str">
        <x:v>산업전환_외부사업관리Tool_260707_이너젠 수정_LJY_261013.xlsx</x:v>
      </x:c>
      <x:c r="R502" s="2" t="str">
        <x:v>국내평가</x:v>
      </x:c>
      <x:c r="S502" s="8" t="n">
        <x:v>405</x:v>
      </x:c>
      <x:c r="T502" s="2" t="str">
        <x:v>2021년 처리</x:v>
      </x:c>
      <x:c r="U502" s="2" t="str">
        <x:v>2021 배정: 2021년 처리</x:v>
      </x:c>
      <x:c r="V502" s="2" t="str">
        <x:v>2021-09-27</x:v>
      </x:c>
      <x:c r="W502" s="2" t="str">
        <x:v>담당기관 확인</x:v>
      </x:c>
      <x:c r="X502" s="2" t="str">
        <x:v>원본·배정 기록 확인</x:v>
      </x:c>
      <x:c r="Y502" s="2" t="str">
        <x:v>ad210cd9ec132cfd447541c8984dc53d30aff0f4fb2dc92d254d49275cc55976</x:v>
      </x:c>
      <x:c r="Z502" s="2" t="n">
        <x:f>SUBTOTAL(103,A502)</x:f>
        <x:v>1</x:v>
      </x:c>
      <x:c r="AA502" s="2" t="str">
        <x:f>IF(K502&lt;&gt;"미종결 표시","대상 아님",IF(N502="","신청일 확인",IF(NOT(ISNUMBER('종합 현황'!$H$5)),"관찰기준 확인",IF('종합 현황'!$H$5&lt;1,"관찰기준 확인",IF(N502&gt;'종합 현황'!$H$5,"내부 관찰 대상","내부 관찰일 이하")))))</x:f>
        <x:v>대상 아님</x:v>
      </x:c>
      <x:c r="AB502" s="2"/>
    </x:row>
    <x:row r="503" ht="42" customHeight="1">
      <x:c r="A503" s="2" t="str">
        <x:v>65b017c6cac94b850438b1f6</x:v>
      </x:c>
      <x:c r="B503" s="2" t="str">
        <x:v>사업 평가</x:v>
      </x:c>
      <x:c r="C503" s="2" t="str">
        <x:v>국내</x:v>
      </x:c>
      <x:c r="D503" s="7" t="str">
        <x:v>충주 연수2단지아파트 연료전환을 통한 온실가스 단위감축사업</x:v>
      </x:c>
      <x:c r="E503" s="2" t="str">
        <x:v>364</x:v>
      </x:c>
      <x:c r="F503" s="2" t="str">
        <x:v>2018-02-12</x:v>
      </x:c>
      <x:c r="G503" s="2" t="str">
        <x:v>2018</x:v>
      </x:c>
      <x:c r="H503" s="2" t="str">
        <x:v>02</x:v>
      </x:c>
      <x:c r="I503" s="2" t="str">
        <x:v>승인</x:v>
      </x:c>
      <x:c r="J503" s="2" t="str">
        <x:v>심의승인</x:v>
      </x:c>
      <x:c r="K503" s="2" t="str">
        <x:f>IF(OR(J503="심의승인",J503="반려",J503="반려완료",J503="심의완료"),"종결 표시",IF(OR(J503="기후부협의",J503="문서재제출요청",J503="보류",J503="보완요청",J503="보완완료",J503="평가중",J503="반려요청",J503="평가필요",LEFT(J503,5)="보완요청("),"미종결 표시","상태 확인 필요"))</x:f>
        <x:v>종결 표시</x:v>
      </x:c>
      <x:c r="L503" s="2"/>
      <x:c r="M503" s="2"/>
      <x:c r="N503" s="8" t="n">
        <x:f>DATE(2026,10,15)-DATE(2018,2,12)</x:f>
        <x:v>3167</x:v>
      </x:c>
      <x:c r="O503" s="2" t="str">
        <x:v>O(LH)</x:v>
      </x:c>
      <x:c r="P503" s="2"/>
      <x:c r="Q503" s="2" t="str">
        <x:v>산업전환_외부사업관리Tool_260707_이너젠 수정_LJY_261013.xlsx</x:v>
      </x:c>
      <x:c r="R503" s="2" t="str">
        <x:v>국내평가</x:v>
      </x:c>
      <x:c r="S503" s="8" t="n">
        <x:v>406</x:v>
      </x:c>
      <x:c r="T503" s="2" t="str">
        <x:v>2021년 처리</x:v>
      </x:c>
      <x:c r="U503" s="2" t="str">
        <x:v>2021 배정: 2021년 처리</x:v>
      </x:c>
      <x:c r="V503" s="2" t="str">
        <x:v>2021-09-27</x:v>
      </x:c>
      <x:c r="W503" s="2" t="str">
        <x:v>담당기관 확인</x:v>
      </x:c>
      <x:c r="X503" s="2" t="str">
        <x:v>원본·배정 기록 확인</x:v>
      </x:c>
      <x:c r="Y503" s="2" t="str">
        <x:v>ad210cd9ec132cfd447541c8984dc53d30aff0f4fb2dc92d254d49275cc55976</x:v>
      </x:c>
      <x:c r="Z503" s="2" t="n">
        <x:f>SUBTOTAL(103,A503)</x:f>
        <x:v>1</x:v>
      </x:c>
      <x:c r="AA503" s="2" t="str">
        <x:f>IF(K503&lt;&gt;"미종결 표시","대상 아님",IF(N503="","신청일 확인",IF(NOT(ISNUMBER('종합 현황'!$H$5)),"관찰기준 확인",IF('종합 현황'!$H$5&lt;1,"관찰기준 확인",IF(N503&gt;'종합 현황'!$H$5,"내부 관찰 대상","내부 관찰일 이하")))))</x:f>
        <x:v>대상 아님</x:v>
      </x:c>
      <x:c r="AB503" s="2"/>
    </x:row>
    <x:row r="504" ht="42" customHeight="1">
      <x:c r="A504" s="2" t="str">
        <x:v>ca34d5d97ba516217dbe6966</x:v>
      </x:c>
      <x:c r="B504" s="2" t="str">
        <x:v>사업 평가</x:v>
      </x:c>
      <x:c r="C504" s="2" t="str">
        <x:v>국내</x:v>
      </x:c>
      <x:c r="D504" s="7" t="str">
        <x:v>전주평화 4단지아파트 연료전환을 통한 온실가스 단위감축사업</x:v>
      </x:c>
      <x:c r="E504" s="2" t="str">
        <x:v>365</x:v>
      </x:c>
      <x:c r="F504" s="2" t="str">
        <x:v>2018-02-12</x:v>
      </x:c>
      <x:c r="G504" s="2" t="str">
        <x:v>2018</x:v>
      </x:c>
      <x:c r="H504" s="2" t="str">
        <x:v>02</x:v>
      </x:c>
      <x:c r="I504" s="2" t="str">
        <x:v>승인</x:v>
      </x:c>
      <x:c r="J504" s="2" t="str">
        <x:v>심의승인</x:v>
      </x:c>
      <x:c r="K504" s="2" t="str">
        <x:f>IF(OR(J504="심의승인",J504="반려",J504="반려완료",J504="심의완료"),"종결 표시",IF(OR(J504="기후부협의",J504="문서재제출요청",J504="보류",J504="보완요청",J504="보완완료",J504="평가중",J504="반려요청",J504="평가필요",LEFT(J504,5)="보완요청("),"미종결 표시","상태 확인 필요"))</x:f>
        <x:v>종결 표시</x:v>
      </x:c>
      <x:c r="L504" s="2"/>
      <x:c r="M504" s="2"/>
      <x:c r="N504" s="8" t="n">
        <x:f>DATE(2026,10,15)-DATE(2018,2,12)</x:f>
        <x:v>3167</x:v>
      </x:c>
      <x:c r="O504" s="2" t="str">
        <x:v>O(LH)</x:v>
      </x:c>
      <x:c r="P504" s="2"/>
      <x:c r="Q504" s="2" t="str">
        <x:v>산업전환_외부사업관리Tool_260707_이너젠 수정_LJY_261013.xlsx</x:v>
      </x:c>
      <x:c r="R504" s="2" t="str">
        <x:v>국내평가</x:v>
      </x:c>
      <x:c r="S504" s="8" t="n">
        <x:v>407</x:v>
      </x:c>
      <x:c r="T504" s="2" t="str">
        <x:v>2021년 처리</x:v>
      </x:c>
      <x:c r="U504" s="2" t="str">
        <x:v>2021 배정: 2021년 처리</x:v>
      </x:c>
      <x:c r="V504" s="2" t="str">
        <x:v>2021-09-27</x:v>
      </x:c>
      <x:c r="W504" s="2" t="str">
        <x:v>담당기관 확인</x:v>
      </x:c>
      <x:c r="X504" s="2" t="str">
        <x:v>원본·배정 기록 확인</x:v>
      </x:c>
      <x:c r="Y504" s="2" t="str">
        <x:v>ad210cd9ec132cfd447541c8984dc53d30aff0f4fb2dc92d254d49275cc55976</x:v>
      </x:c>
      <x:c r="Z504" s="2" t="n">
        <x:f>SUBTOTAL(103,A504)</x:f>
        <x:v>1</x:v>
      </x:c>
      <x:c r="AA504" s="2" t="str">
        <x:f>IF(K504&lt;&gt;"미종결 표시","대상 아님",IF(N504="","신청일 확인",IF(NOT(ISNUMBER('종합 현황'!$H$5)),"관찰기준 확인",IF('종합 현황'!$H$5&lt;1,"관찰기준 확인",IF(N504&gt;'종합 현황'!$H$5,"내부 관찰 대상","내부 관찰일 이하")))))</x:f>
        <x:v>대상 아님</x:v>
      </x:c>
      <x:c r="AB504" s="2"/>
    </x:row>
    <x:row r="505" ht="42" customHeight="1">
      <x:c r="A505" s="2" t="str">
        <x:v>2625ce6769aff79fc968d840</x:v>
      </x:c>
      <x:c r="B505" s="2" t="str">
        <x:v>사업 평가</x:v>
      </x:c>
      <x:c r="C505" s="2" t="str">
        <x:v>국내</x:v>
      </x:c>
      <x:c r="D505" s="7" t="str">
        <x:v>울산 달동3단지 아파트 연료전환을 통한 온실가스 단위감축사업</x:v>
      </x:c>
      <x:c r="E505" s="2" t="str">
        <x:v>366</x:v>
      </x:c>
      <x:c r="F505" s="2" t="str">
        <x:v>2018-02-12</x:v>
      </x:c>
      <x:c r="G505" s="2" t="str">
        <x:v>2018</x:v>
      </x:c>
      <x:c r="H505" s="2" t="str">
        <x:v>02</x:v>
      </x:c>
      <x:c r="I505" s="2" t="str">
        <x:v>승인</x:v>
      </x:c>
      <x:c r="J505" s="2" t="str">
        <x:v>심의승인</x:v>
      </x:c>
      <x:c r="K505" s="2" t="str">
        <x:f>IF(OR(J505="심의승인",J505="반려",J505="반려완료",J505="심의완료"),"종결 표시",IF(OR(J505="기후부협의",J505="문서재제출요청",J505="보류",J505="보완요청",J505="보완완료",J505="평가중",J505="반려요청",J505="평가필요",LEFT(J505,5)="보완요청("),"미종결 표시","상태 확인 필요"))</x:f>
        <x:v>종결 표시</x:v>
      </x:c>
      <x:c r="L505" s="2"/>
      <x:c r="M505" s="2"/>
      <x:c r="N505" s="8" t="n">
        <x:f>DATE(2026,10,15)-DATE(2018,2,12)</x:f>
        <x:v>3167</x:v>
      </x:c>
      <x:c r="O505" s="2" t="str">
        <x:v>O(LH)</x:v>
      </x:c>
      <x:c r="P505" s="2"/>
      <x:c r="Q505" s="2" t="str">
        <x:v>산업전환_외부사업관리Tool_260707_이너젠 수정_LJY_261013.xlsx</x:v>
      </x:c>
      <x:c r="R505" s="2" t="str">
        <x:v>국내평가</x:v>
      </x:c>
      <x:c r="S505" s="8" t="n">
        <x:v>408</x:v>
      </x:c>
      <x:c r="T505" s="2" t="str">
        <x:v>2021년 처리</x:v>
      </x:c>
      <x:c r="U505" s="2" t="str">
        <x:v>2021 배정: 2021년 처리</x:v>
      </x:c>
      <x:c r="V505" s="2" t="str">
        <x:v>2021-09-27</x:v>
      </x:c>
      <x:c r="W505" s="2" t="str">
        <x:v>담당기관 확인</x:v>
      </x:c>
      <x:c r="X505" s="2" t="str">
        <x:v>원본·배정 기록 확인</x:v>
      </x:c>
      <x:c r="Y505" s="2" t="str">
        <x:v>ad210cd9ec132cfd447541c8984dc53d30aff0f4fb2dc92d254d49275cc55976</x:v>
      </x:c>
      <x:c r="Z505" s="2" t="n">
        <x:f>SUBTOTAL(103,A505)</x:f>
        <x:v>1</x:v>
      </x:c>
      <x:c r="AA505" s="2" t="str">
        <x:f>IF(K505&lt;&gt;"미종결 표시","대상 아님",IF(N505="","신청일 확인",IF(NOT(ISNUMBER('종합 현황'!$H$5)),"관찰기준 확인",IF('종합 현황'!$H$5&lt;1,"관찰기준 확인",IF(N505&gt;'종합 현황'!$H$5,"내부 관찰 대상","내부 관찰일 이하")))))</x:f>
        <x:v>대상 아님</x:v>
      </x:c>
      <x:c r="AB505" s="2"/>
    </x:row>
    <x:row r="506" ht="42" customHeight="1">
      <x:c r="A506" s="2" t="str">
        <x:v>211fced1e90502b97f3e690e</x:v>
      </x:c>
      <x:c r="B506" s="2" t="str">
        <x:v>사업 평가</x:v>
      </x:c>
      <x:c r="C506" s="2" t="str">
        <x:v>국내</x:v>
      </x:c>
      <x:c r="D506" s="7" t="str">
        <x:v>전주평화 1단지아파트 연료전환을 통한 온실가스 단위감축사업</x:v>
      </x:c>
      <x:c r="E506" s="2" t="str">
        <x:v>367</x:v>
      </x:c>
      <x:c r="F506" s="2" t="str">
        <x:v>2018-02-12</x:v>
      </x:c>
      <x:c r="G506" s="2" t="str">
        <x:v>2018</x:v>
      </x:c>
      <x:c r="H506" s="2" t="str">
        <x:v>02</x:v>
      </x:c>
      <x:c r="I506" s="2" t="str">
        <x:v>승인</x:v>
      </x:c>
      <x:c r="J506" s="2" t="str">
        <x:v>심의승인</x:v>
      </x:c>
      <x:c r="K506" s="2" t="str">
        <x:f>IF(OR(J506="심의승인",J506="반려",J506="반려완료",J506="심의완료"),"종결 표시",IF(OR(J506="기후부협의",J506="문서재제출요청",J506="보류",J506="보완요청",J506="보완완료",J506="평가중",J506="반려요청",J506="평가필요",LEFT(J506,5)="보완요청("),"미종결 표시","상태 확인 필요"))</x:f>
        <x:v>종결 표시</x:v>
      </x:c>
      <x:c r="L506" s="2"/>
      <x:c r="M506" s="2"/>
      <x:c r="N506" s="8" t="n">
        <x:f>DATE(2026,10,15)-DATE(2018,2,12)</x:f>
        <x:v>3167</x:v>
      </x:c>
      <x:c r="O506" s="2" t="str">
        <x:v>O(LH)</x:v>
      </x:c>
      <x:c r="P506" s="2"/>
      <x:c r="Q506" s="2" t="str">
        <x:v>산업전환_외부사업관리Tool_260707_이너젠 수정_LJY_261013.xlsx</x:v>
      </x:c>
      <x:c r="R506" s="2" t="str">
        <x:v>국내평가</x:v>
      </x:c>
      <x:c r="S506" s="8" t="n">
        <x:v>409</x:v>
      </x:c>
      <x:c r="T506" s="2" t="str">
        <x:v>2021년 처리</x:v>
      </x:c>
      <x:c r="U506" s="2" t="str">
        <x:v>2021 배정: 2021년 처리</x:v>
      </x:c>
      <x:c r="V506" s="2" t="str">
        <x:v>2021-09-27</x:v>
      </x:c>
      <x:c r="W506" s="2" t="str">
        <x:v>담당기관 확인</x:v>
      </x:c>
      <x:c r="X506" s="2" t="str">
        <x:v>원본·배정 기록 확인</x:v>
      </x:c>
      <x:c r="Y506" s="2" t="str">
        <x:v>ad210cd9ec132cfd447541c8984dc53d30aff0f4fb2dc92d254d49275cc55976</x:v>
      </x:c>
      <x:c r="Z506" s="2" t="n">
        <x:f>SUBTOTAL(103,A506)</x:f>
        <x:v>1</x:v>
      </x:c>
      <x:c r="AA506" s="2" t="str">
        <x:f>IF(K506&lt;&gt;"미종결 표시","대상 아님",IF(N506="","신청일 확인",IF(NOT(ISNUMBER('종합 현황'!$H$5)),"관찰기준 확인",IF('종합 현황'!$H$5&lt;1,"관찰기준 확인",IF(N506&gt;'종합 현황'!$H$5,"내부 관찰 대상","내부 관찰일 이하")))))</x:f>
        <x:v>대상 아님</x:v>
      </x:c>
      <x:c r="AB506" s="2"/>
    </x:row>
    <x:row r="507" ht="42" customHeight="1">
      <x:c r="A507" s="2" t="str">
        <x:v>d21a84aee7a5ed2fda41542f</x:v>
      </x:c>
      <x:c r="B507" s="2" t="str">
        <x:v>사업 평가</x:v>
      </x:c>
      <x:c r="C507" s="2" t="str">
        <x:v>국내</x:v>
      </x:c>
      <x:c r="D507" s="7" t="str">
        <x:v>익산 동산아파트 연료전환을 통한 온실가스 단위감축사업</x:v>
      </x:c>
      <x:c r="E507" s="2" t="str">
        <x:v>368</x:v>
      </x:c>
      <x:c r="F507" s="2" t="str">
        <x:v>2018-02-12</x:v>
      </x:c>
      <x:c r="G507" s="2" t="str">
        <x:v>2018</x:v>
      </x:c>
      <x:c r="H507" s="2" t="str">
        <x:v>02</x:v>
      </x:c>
      <x:c r="I507" s="2" t="str">
        <x:v>승인</x:v>
      </x:c>
      <x:c r="J507" s="2" t="str">
        <x:v>심의승인</x:v>
      </x:c>
      <x:c r="K507" s="2" t="str">
        <x:f>IF(OR(J507="심의승인",J507="반려",J507="반려완료",J507="심의완료"),"종결 표시",IF(OR(J507="기후부협의",J507="문서재제출요청",J507="보류",J507="보완요청",J507="보완완료",J507="평가중",J507="반려요청",J507="평가필요",LEFT(J507,5)="보완요청("),"미종결 표시","상태 확인 필요"))</x:f>
        <x:v>종결 표시</x:v>
      </x:c>
      <x:c r="L507" s="2"/>
      <x:c r="M507" s="2"/>
      <x:c r="N507" s="8" t="n">
        <x:f>DATE(2026,10,15)-DATE(2018,2,12)</x:f>
        <x:v>3167</x:v>
      </x:c>
      <x:c r="O507" s="2" t="str">
        <x:v>O(LH)</x:v>
      </x:c>
      <x:c r="P507" s="2"/>
      <x:c r="Q507" s="2" t="str">
        <x:v>산업전환_외부사업관리Tool_260707_이너젠 수정_LJY_261013.xlsx</x:v>
      </x:c>
      <x:c r="R507" s="2" t="str">
        <x:v>국내평가</x:v>
      </x:c>
      <x:c r="S507" s="8" t="n">
        <x:v>410</x:v>
      </x:c>
      <x:c r="T507" s="2" t="str">
        <x:v>2021년 처리</x:v>
      </x:c>
      <x:c r="U507" s="2" t="str">
        <x:v>2021 배정: 2021년 처리</x:v>
      </x:c>
      <x:c r="V507" s="2" t="str">
        <x:v>2021-09-27</x:v>
      </x:c>
      <x:c r="W507" s="2" t="str">
        <x:v>담당기관 확인</x:v>
      </x:c>
      <x:c r="X507" s="2" t="str">
        <x:v>원본·배정 기록 확인</x:v>
      </x:c>
      <x:c r="Y507" s="2" t="str">
        <x:v>ad210cd9ec132cfd447541c8984dc53d30aff0f4fb2dc92d254d49275cc55976</x:v>
      </x:c>
      <x:c r="Z507" s="2" t="n">
        <x:f>SUBTOTAL(103,A507)</x:f>
        <x:v>1</x:v>
      </x:c>
      <x:c r="AA507" s="2" t="str">
        <x:f>IF(K507&lt;&gt;"미종결 표시","대상 아님",IF(N507="","신청일 확인",IF(NOT(ISNUMBER('종합 현황'!$H$5)),"관찰기준 확인",IF('종합 현황'!$H$5&lt;1,"관찰기준 확인",IF(N507&gt;'종합 현황'!$H$5,"내부 관찰 대상","내부 관찰일 이하")))))</x:f>
        <x:v>대상 아님</x:v>
      </x:c>
      <x:c r="AB507" s="2"/>
    </x:row>
    <x:row r="508" ht="42" customHeight="1">
      <x:c r="A508" s="2" t="str">
        <x:v>c392f2b70f54665176cd55ee</x:v>
      </x:c>
      <x:c r="B508" s="2" t="str">
        <x:v>사업 평가</x:v>
      </x:c>
      <x:c r="C508" s="2" t="str">
        <x:v>국내</x:v>
      </x:c>
      <x:c r="D508" s="7" t="str">
        <x:v>부산 금곡2단지 아파트 연료전환을 통한 온실가스 단위감축사업</x:v>
      </x:c>
      <x:c r="E508" s="2" t="str">
        <x:v>369</x:v>
      </x:c>
      <x:c r="F508" s="2" t="str">
        <x:v>2018-02-12</x:v>
      </x:c>
      <x:c r="G508" s="2" t="str">
        <x:v>2018</x:v>
      </x:c>
      <x:c r="H508" s="2" t="str">
        <x:v>02</x:v>
      </x:c>
      <x:c r="I508" s="2" t="str">
        <x:v>승인</x:v>
      </x:c>
      <x:c r="J508" s="2" t="str">
        <x:v>심의승인</x:v>
      </x:c>
      <x:c r="K508" s="2" t="str">
        <x:f>IF(OR(J508="심의승인",J508="반려",J508="반려완료",J508="심의완료"),"종결 표시",IF(OR(J508="기후부협의",J508="문서재제출요청",J508="보류",J508="보완요청",J508="보완완료",J508="평가중",J508="반려요청",J508="평가필요",LEFT(J508,5)="보완요청("),"미종결 표시","상태 확인 필요"))</x:f>
        <x:v>종결 표시</x:v>
      </x:c>
      <x:c r="L508" s="2"/>
      <x:c r="M508" s="2"/>
      <x:c r="N508" s="8" t="n">
        <x:f>DATE(2026,10,15)-DATE(2018,2,12)</x:f>
        <x:v>3167</x:v>
      </x:c>
      <x:c r="O508" s="2" t="str">
        <x:v>O(LH)</x:v>
      </x:c>
      <x:c r="P508" s="2"/>
      <x:c r="Q508" s="2" t="str">
        <x:v>산업전환_외부사업관리Tool_260707_이너젠 수정_LJY_261013.xlsx</x:v>
      </x:c>
      <x:c r="R508" s="2" t="str">
        <x:v>국내평가</x:v>
      </x:c>
      <x:c r="S508" s="8" t="n">
        <x:v>411</x:v>
      </x:c>
      <x:c r="T508" s="2"/>
      <x:c r="U508" s="2" t="str"/>
      <x:c r="V508" s="2" t="str">
        <x:v>2022-03-11</x:v>
      </x:c>
      <x:c r="W508" s="2" t="str">
        <x:v>담당기관 확인</x:v>
      </x:c>
      <x:c r="X508" s="2" t="str">
        <x:v>원본·배정 기록 확인</x:v>
      </x:c>
      <x:c r="Y508" s="2" t="str">
        <x:v>ad210cd9ec132cfd447541c8984dc53d30aff0f4fb2dc92d254d49275cc55976</x:v>
      </x:c>
      <x:c r="Z508" s="2" t="n">
        <x:f>SUBTOTAL(103,A508)</x:f>
        <x:v>1</x:v>
      </x:c>
      <x:c r="AA508" s="2" t="str">
        <x:f>IF(K508&lt;&gt;"미종결 표시","대상 아님",IF(N508="","신청일 확인",IF(NOT(ISNUMBER('종합 현황'!$H$5)),"관찰기준 확인",IF('종합 현황'!$H$5&lt;1,"관찰기준 확인",IF(N508&gt;'종합 현황'!$H$5,"내부 관찰 대상","내부 관찰일 이하")))))</x:f>
        <x:v>대상 아님</x:v>
      </x:c>
      <x:c r="AB508" s="2"/>
    </x:row>
    <x:row r="509" ht="42" customHeight="1">
      <x:c r="A509" s="2" t="str">
        <x:v>18105546f00ab1fdeeda76ea</x:v>
      </x:c>
      <x:c r="B509" s="2" t="str">
        <x:v>사업 평가</x:v>
      </x:c>
      <x:c r="C509" s="2" t="str">
        <x:v>국내</x:v>
      </x:c>
      <x:c r="D509" s="7" t="str">
        <x:v>대전 중촌 2단지 아파트 연료전환을 통한 온실가스 단위감축사업</x:v>
      </x:c>
      <x:c r="E509" s="2" t="str">
        <x:v>370</x:v>
      </x:c>
      <x:c r="F509" s="2" t="str">
        <x:v>2018-02-12</x:v>
      </x:c>
      <x:c r="G509" s="2" t="str">
        <x:v>2018</x:v>
      </x:c>
      <x:c r="H509" s="2" t="str">
        <x:v>02</x:v>
      </x:c>
      <x:c r="I509" s="2" t="str">
        <x:v>승인</x:v>
      </x:c>
      <x:c r="J509" s="2" t="str">
        <x:v>심의승인</x:v>
      </x:c>
      <x:c r="K509" s="2" t="str">
        <x:f>IF(OR(J509="심의승인",J509="반려",J509="반려완료",J509="심의완료"),"종결 표시",IF(OR(J509="기후부협의",J509="문서재제출요청",J509="보류",J509="보완요청",J509="보완완료",J509="평가중",J509="반려요청",J509="평가필요",LEFT(J509,5)="보완요청("),"미종결 표시","상태 확인 필요"))</x:f>
        <x:v>종결 표시</x:v>
      </x:c>
      <x:c r="L509" s="2"/>
      <x:c r="M509" s="2"/>
      <x:c r="N509" s="8" t="n">
        <x:f>DATE(2026,10,15)-DATE(2018,2,12)</x:f>
        <x:v>3167</x:v>
      </x:c>
      <x:c r="O509" s="2" t="str">
        <x:v>O(LH)</x:v>
      </x:c>
      <x:c r="P509" s="2"/>
      <x:c r="Q509" s="2" t="str">
        <x:v>산업전환_외부사업관리Tool_260707_이너젠 수정_LJY_261013.xlsx</x:v>
      </x:c>
      <x:c r="R509" s="2" t="str">
        <x:v>국내평가</x:v>
      </x:c>
      <x:c r="S509" s="8" t="n">
        <x:v>412</x:v>
      </x:c>
      <x:c r="T509" s="2" t="str">
        <x:v>2021년 처리</x:v>
      </x:c>
      <x:c r="U509" s="2" t="str">
        <x:v>2021 배정: 2021년 처리</x:v>
      </x:c>
      <x:c r="V509" s="2" t="str">
        <x:v>2021-09-27</x:v>
      </x:c>
      <x:c r="W509" s="2" t="str">
        <x:v>담당기관 확인</x:v>
      </x:c>
      <x:c r="X509" s="2" t="str">
        <x:v>원본·배정 기록 확인</x:v>
      </x:c>
      <x:c r="Y509" s="2" t="str">
        <x:v>ad210cd9ec132cfd447541c8984dc53d30aff0f4fb2dc92d254d49275cc55976</x:v>
      </x:c>
      <x:c r="Z509" s="2" t="n">
        <x:f>SUBTOTAL(103,A509)</x:f>
        <x:v>1</x:v>
      </x:c>
      <x:c r="AA509" s="2" t="str">
        <x:f>IF(K509&lt;&gt;"미종결 표시","대상 아님",IF(N509="","신청일 확인",IF(NOT(ISNUMBER('종합 현황'!$H$5)),"관찰기준 확인",IF('종합 현황'!$H$5&lt;1,"관찰기준 확인",IF(N509&gt;'종합 현황'!$H$5,"내부 관찰 대상","내부 관찰일 이하")))))</x:f>
        <x:v>대상 아님</x:v>
      </x:c>
      <x:c r="AB509" s="2"/>
    </x:row>
    <x:row r="510" ht="42" customHeight="1">
      <x:c r="A510" s="2" t="str">
        <x:v>52467535f86c99da661694be</x:v>
      </x:c>
      <x:c r="B510" s="2" t="str">
        <x:v>사업 평가</x:v>
      </x:c>
      <x:c r="C510" s="2" t="str">
        <x:v>국내</x:v>
      </x:c>
      <x:c r="D510" s="7" t="str">
        <x:v>대전 판암 주공 3단지 아파트 연료전환을 통한 온실가스 단위감축사업</x:v>
      </x:c>
      <x:c r="E510" s="2" t="str">
        <x:v>371</x:v>
      </x:c>
      <x:c r="F510" s="2" t="str">
        <x:v>2018-02-12</x:v>
      </x:c>
      <x:c r="G510" s="2" t="str">
        <x:v>2018</x:v>
      </x:c>
      <x:c r="H510" s="2" t="str">
        <x:v>02</x:v>
      </x:c>
      <x:c r="I510" s="2" t="str">
        <x:v>승인</x:v>
      </x:c>
      <x:c r="J510" s="2" t="str">
        <x:v>심의승인</x:v>
      </x:c>
      <x:c r="K510" s="2" t="str">
        <x:f>IF(OR(J510="심의승인",J510="반려",J510="반려완료",J510="심의완료"),"종결 표시",IF(OR(J510="기후부협의",J510="문서재제출요청",J510="보류",J510="보완요청",J510="보완완료",J510="평가중",J510="반려요청",J510="평가필요",LEFT(J510,5)="보완요청("),"미종결 표시","상태 확인 필요"))</x:f>
        <x:v>종결 표시</x:v>
      </x:c>
      <x:c r="L510" s="2"/>
      <x:c r="M510" s="2"/>
      <x:c r="N510" s="8" t="n">
        <x:f>DATE(2026,10,15)-DATE(2018,2,12)</x:f>
        <x:v>3167</x:v>
      </x:c>
      <x:c r="O510" s="2" t="str">
        <x:v>O(LH)</x:v>
      </x:c>
      <x:c r="P510" s="2"/>
      <x:c r="Q510" s="2" t="str">
        <x:v>산업전환_외부사업관리Tool_260707_이너젠 수정_LJY_261013.xlsx</x:v>
      </x:c>
      <x:c r="R510" s="2" t="str">
        <x:v>국내평가</x:v>
      </x:c>
      <x:c r="S510" s="8" t="n">
        <x:v>413</x:v>
      </x:c>
      <x:c r="T510" s="2" t="str">
        <x:v>2021년 처리</x:v>
      </x:c>
      <x:c r="U510" s="2" t="str">
        <x:v>2021 배정: 2021년 처리</x:v>
      </x:c>
      <x:c r="V510" s="2" t="str">
        <x:v>2021-09-27</x:v>
      </x:c>
      <x:c r="W510" s="2" t="str">
        <x:v>담당기관 확인</x:v>
      </x:c>
      <x:c r="X510" s="2" t="str">
        <x:v>원본·배정 기록 확인</x:v>
      </x:c>
      <x:c r="Y510" s="2" t="str">
        <x:v>ad210cd9ec132cfd447541c8984dc53d30aff0f4fb2dc92d254d49275cc55976</x:v>
      </x:c>
      <x:c r="Z510" s="2" t="n">
        <x:f>SUBTOTAL(103,A510)</x:f>
        <x:v>1</x:v>
      </x:c>
      <x:c r="AA510" s="2" t="str">
        <x:f>IF(K510&lt;&gt;"미종결 표시","대상 아님",IF(N510="","신청일 확인",IF(NOT(ISNUMBER('종합 현황'!$H$5)),"관찰기준 확인",IF('종합 현황'!$H$5&lt;1,"관찰기준 확인",IF(N510&gt;'종합 현황'!$H$5,"내부 관찰 대상","내부 관찰일 이하")))))</x:f>
        <x:v>대상 아님</x:v>
      </x:c>
      <x:c r="AB510" s="2"/>
    </x:row>
    <x:row r="511" ht="42" customHeight="1">
      <x:c r="A511" s="2" t="str">
        <x:v>e22811ed8b3f1d4998513647</x:v>
      </x:c>
      <x:c r="B511" s="2" t="str">
        <x:v>사업 평가</x:v>
      </x:c>
      <x:c r="C511" s="2" t="str">
        <x:v>국내</x:v>
      </x:c>
      <x:c r="D511" s="7" t="str">
        <x:v>경주 용강 주공 1단지 아파트 연료전환을 통한 온실가스 단위감축사업</x:v>
      </x:c>
      <x:c r="E511" s="2" t="str">
        <x:v>372</x:v>
      </x:c>
      <x:c r="F511" s="2" t="str">
        <x:v>2018-02-12</x:v>
      </x:c>
      <x:c r="G511" s="2" t="str">
        <x:v>2018</x:v>
      </x:c>
      <x:c r="H511" s="2" t="str">
        <x:v>02</x:v>
      </x:c>
      <x:c r="I511" s="2" t="str">
        <x:v>승인</x:v>
      </x:c>
      <x:c r="J511" s="2" t="str">
        <x:v>심의승인</x:v>
      </x:c>
      <x:c r="K511" s="2" t="str">
        <x:f>IF(OR(J511="심의승인",J511="반려",J511="반려완료",J511="심의완료"),"종결 표시",IF(OR(J511="기후부협의",J511="문서재제출요청",J511="보류",J511="보완요청",J511="보완완료",J511="평가중",J511="반려요청",J511="평가필요",LEFT(J511,5)="보완요청("),"미종결 표시","상태 확인 필요"))</x:f>
        <x:v>종결 표시</x:v>
      </x:c>
      <x:c r="L511" s="2"/>
      <x:c r="M511" s="2"/>
      <x:c r="N511" s="8" t="n">
        <x:f>DATE(2026,10,15)-DATE(2018,2,12)</x:f>
        <x:v>3167</x:v>
      </x:c>
      <x:c r="O511" s="2" t="str">
        <x:v>O(LH)</x:v>
      </x:c>
      <x:c r="P511" s="2"/>
      <x:c r="Q511" s="2" t="str">
        <x:v>산업전환_외부사업관리Tool_260707_이너젠 수정_LJY_261013.xlsx</x:v>
      </x:c>
      <x:c r="R511" s="2" t="str">
        <x:v>국내평가</x:v>
      </x:c>
      <x:c r="S511" s="8" t="n">
        <x:v>414</x:v>
      </x:c>
      <x:c r="T511" s="2" t="str">
        <x:v>2021년 처리</x:v>
      </x:c>
      <x:c r="U511" s="2" t="str">
        <x:v>2021 배정: 2021년 처리</x:v>
      </x:c>
      <x:c r="V511" s="2" t="str">
        <x:v>2021-09-27</x:v>
      </x:c>
      <x:c r="W511" s="2" t="str">
        <x:v>담당기관 확인</x:v>
      </x:c>
      <x:c r="X511" s="2" t="str">
        <x:v>원본·배정 기록 확인</x:v>
      </x:c>
      <x:c r="Y511" s="2" t="str">
        <x:v>ad210cd9ec132cfd447541c8984dc53d30aff0f4fb2dc92d254d49275cc55976</x:v>
      </x:c>
      <x:c r="Z511" s="2" t="n">
        <x:f>SUBTOTAL(103,A511)</x:f>
        <x:v>1</x:v>
      </x:c>
      <x:c r="AA511" s="2" t="str">
        <x:f>IF(K511&lt;&gt;"미종결 표시","대상 아님",IF(N511="","신청일 확인",IF(NOT(ISNUMBER('종합 현황'!$H$5)),"관찰기준 확인",IF('종합 현황'!$H$5&lt;1,"관찰기준 확인",IF(N511&gt;'종합 현황'!$H$5,"내부 관찰 대상","내부 관찰일 이하")))))</x:f>
        <x:v>대상 아님</x:v>
      </x:c>
      <x:c r="AB511" s="2"/>
    </x:row>
    <x:row r="512" ht="42" customHeight="1">
      <x:c r="A512" s="2" t="str">
        <x:v>eff4b09068faa35c7dfffb06</x:v>
      </x:c>
      <x:c r="B512" s="2" t="str">
        <x:v>사업 평가</x:v>
      </x:c>
      <x:c r="C512" s="2" t="str">
        <x:v>국내</x:v>
      </x:c>
      <x:c r="D512" s="7" t="str">
        <x:v>대구 본동 주공아파트 연료전환을 통한 온실가스 단위감축사업</x:v>
      </x:c>
      <x:c r="E512" s="2" t="str">
        <x:v>373</x:v>
      </x:c>
      <x:c r="F512" s="2" t="str">
        <x:v>2018-02-12</x:v>
      </x:c>
      <x:c r="G512" s="2" t="str">
        <x:v>2018</x:v>
      </x:c>
      <x:c r="H512" s="2" t="str">
        <x:v>02</x:v>
      </x:c>
      <x:c r="I512" s="2" t="str">
        <x:v>승인</x:v>
      </x:c>
      <x:c r="J512" s="2" t="str">
        <x:v>심의승인</x:v>
      </x:c>
      <x:c r="K512" s="2" t="str">
        <x:f>IF(OR(J512="심의승인",J512="반려",J512="반려완료",J512="심의완료"),"종결 표시",IF(OR(J512="기후부협의",J512="문서재제출요청",J512="보류",J512="보완요청",J512="보완완료",J512="평가중",J512="반려요청",J512="평가필요",LEFT(J512,5)="보완요청("),"미종결 표시","상태 확인 필요"))</x:f>
        <x:v>종결 표시</x:v>
      </x:c>
      <x:c r="L512" s="2"/>
      <x:c r="M512" s="2"/>
      <x:c r="N512" s="8" t="n">
        <x:f>DATE(2026,10,15)-DATE(2018,2,12)</x:f>
        <x:v>3167</x:v>
      </x:c>
      <x:c r="O512" s="2" t="str">
        <x:v>O(LH)</x:v>
      </x:c>
      <x:c r="P512" s="2"/>
      <x:c r="Q512" s="2" t="str">
        <x:v>산업전환_외부사업관리Tool_260707_이너젠 수정_LJY_261013.xlsx</x:v>
      </x:c>
      <x:c r="R512" s="2" t="str">
        <x:v>국내평가</x:v>
      </x:c>
      <x:c r="S512" s="8" t="n">
        <x:v>415</x:v>
      </x:c>
      <x:c r="T512" s="2" t="str">
        <x:v>2021년 처리</x:v>
      </x:c>
      <x:c r="U512" s="2" t="str">
        <x:v>2021 배정: 2021년 처리</x:v>
      </x:c>
      <x:c r="V512" s="2" t="str">
        <x:v>2021-09-27</x:v>
      </x:c>
      <x:c r="W512" s="2" t="str">
        <x:v>담당기관 확인</x:v>
      </x:c>
      <x:c r="X512" s="2" t="str">
        <x:v>원본·배정 기록 확인</x:v>
      </x:c>
      <x:c r="Y512" s="2" t="str">
        <x:v>ad210cd9ec132cfd447541c8984dc53d30aff0f4fb2dc92d254d49275cc55976</x:v>
      </x:c>
      <x:c r="Z512" s="2" t="n">
        <x:f>SUBTOTAL(103,A512)</x:f>
        <x:v>1</x:v>
      </x:c>
      <x:c r="AA512" s="2" t="str">
        <x:f>IF(K512&lt;&gt;"미종결 표시","대상 아님",IF(N512="","신청일 확인",IF(NOT(ISNUMBER('종합 현황'!$H$5)),"관찰기준 확인",IF('종합 현황'!$H$5&lt;1,"관찰기준 확인",IF(N512&gt;'종합 현황'!$H$5,"내부 관찰 대상","내부 관찰일 이하")))))</x:f>
        <x:v>대상 아님</x:v>
      </x:c>
      <x:c r="AB512" s="2"/>
    </x:row>
    <x:row r="513" ht="42" customHeight="1">
      <x:c r="A513" s="2" t="str">
        <x:v>775533dc12bfe54eb98a7bef</x:v>
      </x:c>
      <x:c r="B513" s="2" t="str">
        <x:v>사업 평가</x:v>
      </x:c>
      <x:c r="C513" s="2" t="str">
        <x:v>국내</x:v>
      </x:c>
      <x:c r="D513" s="7" t="str">
        <x:v>대구 산격아파트 연료전환을 통한 온실가스 단위감축사업</x:v>
      </x:c>
      <x:c r="E513" s="2" t="str">
        <x:v>374</x:v>
      </x:c>
      <x:c r="F513" s="2" t="str">
        <x:v>2018-02-12</x:v>
      </x:c>
      <x:c r="G513" s="2" t="str">
        <x:v>2018</x:v>
      </x:c>
      <x:c r="H513" s="2" t="str">
        <x:v>02</x:v>
      </x:c>
      <x:c r="I513" s="2" t="str">
        <x:v>승인</x:v>
      </x:c>
      <x:c r="J513" s="2" t="str">
        <x:v>심의승인</x:v>
      </x:c>
      <x:c r="K513" s="2" t="str">
        <x:f>IF(OR(J513="심의승인",J513="반려",J513="반려완료",J513="심의완료"),"종결 표시",IF(OR(J513="기후부협의",J513="문서재제출요청",J513="보류",J513="보완요청",J513="보완완료",J513="평가중",J513="반려요청",J513="평가필요",LEFT(J513,5)="보완요청("),"미종결 표시","상태 확인 필요"))</x:f>
        <x:v>종결 표시</x:v>
      </x:c>
      <x:c r="L513" s="2"/>
      <x:c r="M513" s="2"/>
      <x:c r="N513" s="8" t="n">
        <x:f>DATE(2026,10,15)-DATE(2018,2,12)</x:f>
        <x:v>3167</x:v>
      </x:c>
      <x:c r="O513" s="2" t="str">
        <x:v>O(LH)</x:v>
      </x:c>
      <x:c r="P513" s="2"/>
      <x:c r="Q513" s="2" t="str">
        <x:v>산업전환_외부사업관리Tool_260707_이너젠 수정_LJY_261013.xlsx</x:v>
      </x:c>
      <x:c r="R513" s="2" t="str">
        <x:v>국내평가</x:v>
      </x:c>
      <x:c r="S513" s="8" t="n">
        <x:v>416</x:v>
      </x:c>
      <x:c r="T513" s="2" t="str">
        <x:v>2021년 처리</x:v>
      </x:c>
      <x:c r="U513" s="2" t="str">
        <x:v>2021 배정: 2021년 처리</x:v>
      </x:c>
      <x:c r="V513" s="2" t="str">
        <x:v>2025-06-19</x:v>
      </x:c>
      <x:c r="W513" s="2" t="str">
        <x:v>담당기관 확인</x:v>
      </x:c>
      <x:c r="X513" s="2" t="str">
        <x:v>원본·배정 기록 확인</x:v>
      </x:c>
      <x:c r="Y513" s="2" t="str">
        <x:v>ad210cd9ec132cfd447541c8984dc53d30aff0f4fb2dc92d254d49275cc55976</x:v>
      </x:c>
      <x:c r="Z513" s="2" t="n">
        <x:f>SUBTOTAL(103,A513)</x:f>
        <x:v>1</x:v>
      </x:c>
      <x:c r="AA513" s="2" t="str">
        <x:f>IF(K513&lt;&gt;"미종결 표시","대상 아님",IF(N513="","신청일 확인",IF(NOT(ISNUMBER('종합 현황'!$H$5)),"관찰기준 확인",IF('종합 현황'!$H$5&lt;1,"관찰기준 확인",IF(N513&gt;'종합 현황'!$H$5,"내부 관찰 대상","내부 관찰일 이하")))))</x:f>
        <x:v>대상 아님</x:v>
      </x:c>
      <x:c r="AB513" s="2"/>
    </x:row>
    <x:row r="514" ht="42" customHeight="1">
      <x:c r="A514" s="2" t="str">
        <x:v>942d89b6ceb5e22480d93c44</x:v>
      </x:c>
      <x:c r="B514" s="2" t="str">
        <x:v>사업 평가</x:v>
      </x:c>
      <x:c r="C514" s="2" t="str">
        <x:v>국내</x:v>
      </x:c>
      <x:c r="D514" s="7" t="str">
        <x:v>부산 금곡4단지 아파트 연료전환을 통한 온실가스 단위감축사업</x:v>
      </x:c>
      <x:c r="E514" s="2" t="str">
        <x:v>375</x:v>
      </x:c>
      <x:c r="F514" s="2" t="str">
        <x:v>2018-02-12</x:v>
      </x:c>
      <x:c r="G514" s="2" t="str">
        <x:v>2018</x:v>
      </x:c>
      <x:c r="H514" s="2" t="str">
        <x:v>02</x:v>
      </x:c>
      <x:c r="I514" s="2" t="str">
        <x:v>승인</x:v>
      </x:c>
      <x:c r="J514" s="2" t="str">
        <x:v>심의승인</x:v>
      </x:c>
      <x:c r="K514" s="2" t="str">
        <x:f>IF(OR(J514="심의승인",J514="반려",J514="반려완료",J514="심의완료"),"종결 표시",IF(OR(J514="기후부협의",J514="문서재제출요청",J514="보류",J514="보완요청",J514="보완완료",J514="평가중",J514="반려요청",J514="평가필요",LEFT(J514,5)="보완요청("),"미종결 표시","상태 확인 필요"))</x:f>
        <x:v>종결 표시</x:v>
      </x:c>
      <x:c r="L514" s="2"/>
      <x:c r="M514" s="2"/>
      <x:c r="N514" s="8" t="n">
        <x:f>DATE(2026,10,15)-DATE(2018,2,12)</x:f>
        <x:v>3167</x:v>
      </x:c>
      <x:c r="O514" s="2" t="str">
        <x:v>O(LH)</x:v>
      </x:c>
      <x:c r="P514" s="2"/>
      <x:c r="Q514" s="2" t="str">
        <x:v>산업전환_외부사업관리Tool_260707_이너젠 수정_LJY_261013.xlsx</x:v>
      </x:c>
      <x:c r="R514" s="2" t="str">
        <x:v>국내평가</x:v>
      </x:c>
      <x:c r="S514" s="8" t="n">
        <x:v>417</x:v>
      </x:c>
      <x:c r="T514" s="2"/>
      <x:c r="U514" s="2" t="str"/>
      <x:c r="V514" s="2" t="str">
        <x:v>2022-03-11</x:v>
      </x:c>
      <x:c r="W514" s="2" t="str">
        <x:v>담당기관 확인</x:v>
      </x:c>
      <x:c r="X514" s="2" t="str">
        <x:v>원본·배정 기록 확인</x:v>
      </x:c>
      <x:c r="Y514" s="2" t="str">
        <x:v>ad210cd9ec132cfd447541c8984dc53d30aff0f4fb2dc92d254d49275cc55976</x:v>
      </x:c>
      <x:c r="Z514" s="2" t="n">
        <x:f>SUBTOTAL(103,A514)</x:f>
        <x:v>1</x:v>
      </x:c>
      <x:c r="AA514" s="2" t="str">
        <x:f>IF(K514&lt;&gt;"미종결 표시","대상 아님",IF(N514="","신청일 확인",IF(NOT(ISNUMBER('종합 현황'!$H$5)),"관찰기준 확인",IF('종합 현황'!$H$5&lt;1,"관찰기준 확인",IF(N514&gt;'종합 현황'!$H$5,"내부 관찰 대상","내부 관찰일 이하")))))</x:f>
        <x:v>대상 아님</x:v>
      </x:c>
      <x:c r="AB514" s="2"/>
    </x:row>
    <x:row r="515" ht="42" customHeight="1">
      <x:c r="A515" s="2" t="str">
        <x:v>52e016b86e51939ba8e64588</x:v>
      </x:c>
      <x:c r="B515" s="2" t="str">
        <x:v>사업 평가</x:v>
      </x:c>
      <x:c r="C515" s="2" t="str">
        <x:v>국내</x:v>
      </x:c>
      <x:c r="D515" s="7" t="str">
        <x:v>포항 창포 주공 1단지아파트 연료전환을 통한 온실가스 단위감축사업</x:v>
      </x:c>
      <x:c r="E515" s="2" t="str">
        <x:v>376</x:v>
      </x:c>
      <x:c r="F515" s="2" t="str">
        <x:v>2018-02-12</x:v>
      </x:c>
      <x:c r="G515" s="2" t="str">
        <x:v>2018</x:v>
      </x:c>
      <x:c r="H515" s="2" t="str">
        <x:v>02</x:v>
      </x:c>
      <x:c r="I515" s="2" t="str">
        <x:v>승인</x:v>
      </x:c>
      <x:c r="J515" s="2" t="str">
        <x:v>심의승인</x:v>
      </x:c>
      <x:c r="K515" s="2" t="str">
        <x:f>IF(OR(J515="심의승인",J515="반려",J515="반려완료",J515="심의완료"),"종결 표시",IF(OR(J515="기후부협의",J515="문서재제출요청",J515="보류",J515="보완요청",J515="보완완료",J515="평가중",J515="반려요청",J515="평가필요",LEFT(J515,5)="보완요청("),"미종결 표시","상태 확인 필요"))</x:f>
        <x:v>종결 표시</x:v>
      </x:c>
      <x:c r="L515" s="2"/>
      <x:c r="M515" s="2"/>
      <x:c r="N515" s="8" t="n">
        <x:f>DATE(2026,10,15)-DATE(2018,2,12)</x:f>
        <x:v>3167</x:v>
      </x:c>
      <x:c r="O515" s="2" t="str">
        <x:v>O(LH)</x:v>
      </x:c>
      <x:c r="P515" s="2"/>
      <x:c r="Q515" s="2" t="str">
        <x:v>산업전환_외부사업관리Tool_260707_이너젠 수정_LJY_261013.xlsx</x:v>
      </x:c>
      <x:c r="R515" s="2" t="str">
        <x:v>국내평가</x:v>
      </x:c>
      <x:c r="S515" s="8" t="n">
        <x:v>418</x:v>
      </x:c>
      <x:c r="T515" s="2" t="str">
        <x:v>2021년 처리</x:v>
      </x:c>
      <x:c r="U515" s="2" t="str">
        <x:v>2021 배정: 2021년 처리</x:v>
      </x:c>
      <x:c r="V515" s="2" t="str">
        <x:v>2021-09-27</x:v>
      </x:c>
      <x:c r="W515" s="2" t="str">
        <x:v>담당기관 확인</x:v>
      </x:c>
      <x:c r="X515" s="2" t="str">
        <x:v>원본·배정 기록 확인</x:v>
      </x:c>
      <x:c r="Y515" s="2" t="str">
        <x:v>ad210cd9ec132cfd447541c8984dc53d30aff0f4fb2dc92d254d49275cc55976</x:v>
      </x:c>
      <x:c r="Z515" s="2" t="n">
        <x:f>SUBTOTAL(103,A515)</x:f>
        <x:v>1</x:v>
      </x:c>
      <x:c r="AA515" s="2" t="str">
        <x:f>IF(K515&lt;&gt;"미종결 표시","대상 아님",IF(N515="","신청일 확인",IF(NOT(ISNUMBER('종합 현황'!$H$5)),"관찰기준 확인",IF('종합 현황'!$H$5&lt;1,"관찰기준 확인",IF(N515&gt;'종합 현황'!$H$5,"내부 관찰 대상","내부 관찰일 이하")))))</x:f>
        <x:v>대상 아님</x:v>
      </x:c>
      <x:c r="AB515" s="2"/>
    </x:row>
    <x:row r="516" ht="42" customHeight="1">
      <x:c r="A516" s="2" t="str">
        <x:v>138b7cb86593cb835fcf1548</x:v>
      </x:c>
      <x:c r="B516" s="2" t="str">
        <x:v>사업 평가</x:v>
      </x:c>
      <x:c r="C516" s="2" t="str">
        <x:v>국내</x:v>
      </x:c>
      <x:c r="D516" s="7" t="str">
        <x:v>청주 산남2-2아파트 연료전환을 통한 온실가스 단위감축사업</x:v>
      </x:c>
      <x:c r="E516" s="2" t="str">
        <x:v>377</x:v>
      </x:c>
      <x:c r="F516" s="2" t="str">
        <x:v>2018-02-12</x:v>
      </x:c>
      <x:c r="G516" s="2" t="str">
        <x:v>2018</x:v>
      </x:c>
      <x:c r="H516" s="2" t="str">
        <x:v>02</x:v>
      </x:c>
      <x:c r="I516" s="2" t="str">
        <x:v>승인</x:v>
      </x:c>
      <x:c r="J516" s="2" t="str">
        <x:v>심의승인</x:v>
      </x:c>
      <x:c r="K516" s="2" t="str">
        <x:f>IF(OR(J516="심의승인",J516="반려",J516="반려완료",J516="심의완료"),"종결 표시",IF(OR(J516="기후부협의",J516="문서재제출요청",J516="보류",J516="보완요청",J516="보완완료",J516="평가중",J516="반려요청",J516="평가필요",LEFT(J516,5)="보완요청("),"미종결 표시","상태 확인 필요"))</x:f>
        <x:v>종결 표시</x:v>
      </x:c>
      <x:c r="L516" s="2"/>
      <x:c r="M516" s="2"/>
      <x:c r="N516" s="8" t="n">
        <x:f>DATE(2026,10,15)-DATE(2018,2,12)</x:f>
        <x:v>3167</x:v>
      </x:c>
      <x:c r="O516" s="2" t="str">
        <x:v>O(LH)</x:v>
      </x:c>
      <x:c r="P516" s="2"/>
      <x:c r="Q516" s="2" t="str">
        <x:v>산업전환_외부사업관리Tool_260707_이너젠 수정_LJY_261013.xlsx</x:v>
      </x:c>
      <x:c r="R516" s="2" t="str">
        <x:v>국내평가</x:v>
      </x:c>
      <x:c r="S516" s="8" t="n">
        <x:v>419</x:v>
      </x:c>
      <x:c r="T516" s="2" t="str">
        <x:v>2021년 처리</x:v>
      </x:c>
      <x:c r="U516" s="2" t="str">
        <x:v>2021 배정: 2021년 처리</x:v>
      </x:c>
      <x:c r="V516" s="2" t="str">
        <x:v>2021-09-27</x:v>
      </x:c>
      <x:c r="W516" s="2" t="str">
        <x:v>담당기관 확인</x:v>
      </x:c>
      <x:c r="X516" s="2" t="str">
        <x:v>원본·배정 기록 확인</x:v>
      </x:c>
      <x:c r="Y516" s="2" t="str">
        <x:v>ad210cd9ec132cfd447541c8984dc53d30aff0f4fb2dc92d254d49275cc55976</x:v>
      </x:c>
      <x:c r="Z516" s="2" t="n">
        <x:f>SUBTOTAL(103,A516)</x:f>
        <x:v>1</x:v>
      </x:c>
      <x:c r="AA516" s="2" t="str">
        <x:f>IF(K516&lt;&gt;"미종결 표시","대상 아님",IF(N516="","신청일 확인",IF(NOT(ISNUMBER('종합 현황'!$H$5)),"관찰기준 확인",IF('종합 현황'!$H$5&lt;1,"관찰기준 확인",IF(N516&gt;'종합 현황'!$H$5,"내부 관찰 대상","내부 관찰일 이하")))))</x:f>
        <x:v>대상 아님</x:v>
      </x:c>
      <x:c r="AB516" s="2"/>
    </x:row>
    <x:row r="517" ht="42" customHeight="1">
      <x:c r="A517" s="2" t="str">
        <x:v>c5ab9db1fc6e7f59c4a93316</x:v>
      </x:c>
      <x:c r="B517" s="2" t="str">
        <x:v>사업 평가</x:v>
      </x:c>
      <x:c r="C517" s="2" t="str">
        <x:v>국내</x:v>
      </x:c>
      <x:c r="D517" s="7" t="str">
        <x:v>제천 하소 주공 3단지 아파트 연료전환을 통한 온실가스 단위감축사업</x:v>
      </x:c>
      <x:c r="E517" s="2" t="str">
        <x:v>378</x:v>
      </x:c>
      <x:c r="F517" s="2" t="str">
        <x:v>2018-02-12</x:v>
      </x:c>
      <x:c r="G517" s="2" t="str">
        <x:v>2018</x:v>
      </x:c>
      <x:c r="H517" s="2" t="str">
        <x:v>02</x:v>
      </x:c>
      <x:c r="I517" s="2" t="str">
        <x:v>승인</x:v>
      </x:c>
      <x:c r="J517" s="2" t="str">
        <x:v>심의승인</x:v>
      </x:c>
      <x:c r="K517" s="2" t="str">
        <x:f>IF(OR(J517="심의승인",J517="반려",J517="반려완료",J517="심의완료"),"종결 표시",IF(OR(J517="기후부협의",J517="문서재제출요청",J517="보류",J517="보완요청",J517="보완완료",J517="평가중",J517="반려요청",J517="평가필요",LEFT(J517,5)="보완요청("),"미종결 표시","상태 확인 필요"))</x:f>
        <x:v>종결 표시</x:v>
      </x:c>
      <x:c r="L517" s="2"/>
      <x:c r="M517" s="2"/>
      <x:c r="N517" s="8" t="n">
        <x:f>DATE(2026,10,15)-DATE(2018,2,12)</x:f>
        <x:v>3167</x:v>
      </x:c>
      <x:c r="O517" s="2" t="str">
        <x:v>O(LH)</x:v>
      </x:c>
      <x:c r="P517" s="2"/>
      <x:c r="Q517" s="2" t="str">
        <x:v>산업전환_외부사업관리Tool_260707_이너젠 수정_LJY_261013.xlsx</x:v>
      </x:c>
      <x:c r="R517" s="2" t="str">
        <x:v>국내평가</x:v>
      </x:c>
      <x:c r="S517" s="8" t="n">
        <x:v>420</x:v>
      </x:c>
      <x:c r="T517" s="2" t="str">
        <x:v>2021년 처리</x:v>
      </x:c>
      <x:c r="U517" s="2" t="str">
        <x:v>2021 배정: 2021년 처리</x:v>
      </x:c>
      <x:c r="V517" s="2" t="str">
        <x:v>2021-09-27</x:v>
      </x:c>
      <x:c r="W517" s="2" t="str">
        <x:v>담당기관 확인</x:v>
      </x:c>
      <x:c r="X517" s="2" t="str">
        <x:v>원본·배정 기록 확인</x:v>
      </x:c>
      <x:c r="Y517" s="2" t="str">
        <x:v>ad210cd9ec132cfd447541c8984dc53d30aff0f4fb2dc92d254d49275cc55976</x:v>
      </x:c>
      <x:c r="Z517" s="2" t="n">
        <x:f>SUBTOTAL(103,A517)</x:f>
        <x:v>1</x:v>
      </x:c>
      <x:c r="AA517" s="2" t="str">
        <x:f>IF(K517&lt;&gt;"미종결 표시","대상 아님",IF(N517="","신청일 확인",IF(NOT(ISNUMBER('종합 현황'!$H$5)),"관찰기준 확인",IF('종합 현황'!$H$5&lt;1,"관찰기준 확인",IF(N517&gt;'종합 현황'!$H$5,"내부 관찰 대상","내부 관찰일 이하")))))</x:f>
        <x:v>대상 아님</x:v>
      </x:c>
      <x:c r="AB517" s="2"/>
    </x:row>
    <x:row r="518" ht="42" customHeight="1">
      <x:c r="A518" s="2" t="str">
        <x:v>21f5b45979667a7cea120a95</x:v>
      </x:c>
      <x:c r="B518" s="2" t="str">
        <x:v>사업 평가</x:v>
      </x:c>
      <x:c r="C518" s="2" t="str">
        <x:v>국내</x:v>
      </x:c>
      <x:c r="D518" s="7" t="str">
        <x:v>제천 하소 주공 4단지아파트 연료전환을 통한 온실가스 단위감축사업</x:v>
      </x:c>
      <x:c r="E518" s="2" t="str">
        <x:v>379</x:v>
      </x:c>
      <x:c r="F518" s="2" t="str">
        <x:v>2018-02-12</x:v>
      </x:c>
      <x:c r="G518" s="2" t="str">
        <x:v>2018</x:v>
      </x:c>
      <x:c r="H518" s="2" t="str">
        <x:v>02</x:v>
      </x:c>
      <x:c r="I518" s="2" t="str">
        <x:v>승인</x:v>
      </x:c>
      <x:c r="J518" s="2" t="str">
        <x:v>심의승인</x:v>
      </x:c>
      <x:c r="K518" s="2" t="str">
        <x:f>IF(OR(J518="심의승인",J518="반려",J518="반려완료",J518="심의완료"),"종결 표시",IF(OR(J518="기후부협의",J518="문서재제출요청",J518="보류",J518="보완요청",J518="보완완료",J518="평가중",J518="반려요청",J518="평가필요",LEFT(J518,5)="보완요청("),"미종결 표시","상태 확인 필요"))</x:f>
        <x:v>종결 표시</x:v>
      </x:c>
      <x:c r="L518" s="2"/>
      <x:c r="M518" s="2"/>
      <x:c r="N518" s="8" t="n">
        <x:f>DATE(2026,10,15)-DATE(2018,2,12)</x:f>
        <x:v>3167</x:v>
      </x:c>
      <x:c r="O518" s="2" t="str">
        <x:v>O(LH)</x:v>
      </x:c>
      <x:c r="P518" s="2"/>
      <x:c r="Q518" s="2" t="str">
        <x:v>산업전환_외부사업관리Tool_260707_이너젠 수정_LJY_261013.xlsx</x:v>
      </x:c>
      <x:c r="R518" s="2" t="str">
        <x:v>국내평가</x:v>
      </x:c>
      <x:c r="S518" s="8" t="n">
        <x:v>421</x:v>
      </x:c>
      <x:c r="T518" s="2" t="str">
        <x:v>2021년 처리</x:v>
      </x:c>
      <x:c r="U518" s="2" t="str">
        <x:v>2021 배정: 2021년 처리</x:v>
      </x:c>
      <x:c r="V518" s="2" t="str">
        <x:v>2021-09-27</x:v>
      </x:c>
      <x:c r="W518" s="2" t="str">
        <x:v>담당기관 확인</x:v>
      </x:c>
      <x:c r="X518" s="2" t="str">
        <x:v>원본·배정 기록 확인</x:v>
      </x:c>
      <x:c r="Y518" s="2" t="str">
        <x:v>ad210cd9ec132cfd447541c8984dc53d30aff0f4fb2dc92d254d49275cc55976</x:v>
      </x:c>
      <x:c r="Z518" s="2" t="n">
        <x:f>SUBTOTAL(103,A518)</x:f>
        <x:v>1</x:v>
      </x:c>
      <x:c r="AA518" s="2" t="str">
        <x:f>IF(K518&lt;&gt;"미종결 표시","대상 아님",IF(N518="","신청일 확인",IF(NOT(ISNUMBER('종합 현황'!$H$5)),"관찰기준 확인",IF('종합 현황'!$H$5&lt;1,"관찰기준 확인",IF(N518&gt;'종합 현황'!$H$5,"내부 관찰 대상","내부 관찰일 이하")))))</x:f>
        <x:v>대상 아님</x:v>
      </x:c>
      <x:c r="AB518" s="2"/>
    </x:row>
    <x:row r="519" ht="42" customHeight="1">
      <x:c r="A519" s="2" t="str">
        <x:v>212f74102e0507f78a24391e</x:v>
      </x:c>
      <x:c r="B519" s="2" t="str">
        <x:v>사업 평가</x:v>
      </x:c>
      <x:c r="C519" s="2" t="str">
        <x:v>국내</x:v>
      </x:c>
      <x:c r="D519" s="7" t="str">
        <x:v>포항 학산 주공아파트 연료전환을 통한 온실가스 단위감축사업</x:v>
      </x:c>
      <x:c r="E519" s="2" t="str">
        <x:v>380</x:v>
      </x:c>
      <x:c r="F519" s="2" t="str">
        <x:v>2018-02-12</x:v>
      </x:c>
      <x:c r="G519" s="2" t="str">
        <x:v>2018</x:v>
      </x:c>
      <x:c r="H519" s="2" t="str">
        <x:v>02</x:v>
      </x:c>
      <x:c r="I519" s="2" t="str">
        <x:v>승인</x:v>
      </x:c>
      <x:c r="J519" s="2" t="str">
        <x:v>심의승인</x:v>
      </x:c>
      <x:c r="K519" s="2" t="str">
        <x:f>IF(OR(J519="심의승인",J519="반려",J519="반려완료",J519="심의완료"),"종결 표시",IF(OR(J519="기후부협의",J519="문서재제출요청",J519="보류",J519="보완요청",J519="보완완료",J519="평가중",J519="반려요청",J519="평가필요",LEFT(J519,5)="보완요청("),"미종결 표시","상태 확인 필요"))</x:f>
        <x:v>종결 표시</x:v>
      </x:c>
      <x:c r="L519" s="2"/>
      <x:c r="M519" s="2"/>
      <x:c r="N519" s="8" t="n">
        <x:f>DATE(2026,10,15)-DATE(2018,2,12)</x:f>
        <x:v>3167</x:v>
      </x:c>
      <x:c r="O519" s="2" t="str">
        <x:v>O(LH)</x:v>
      </x:c>
      <x:c r="P519" s="2"/>
      <x:c r="Q519" s="2" t="str">
        <x:v>산업전환_외부사업관리Tool_260707_이너젠 수정_LJY_261013.xlsx</x:v>
      </x:c>
      <x:c r="R519" s="2" t="str">
        <x:v>국내평가</x:v>
      </x:c>
      <x:c r="S519" s="8" t="n">
        <x:v>422</x:v>
      </x:c>
      <x:c r="T519" s="2" t="str">
        <x:v>2021년 처리</x:v>
      </x:c>
      <x:c r="U519" s="2" t="str">
        <x:v>2021 배정: 2021년 처리</x:v>
      </x:c>
      <x:c r="V519" s="2" t="str">
        <x:v>2021-09-27</x:v>
      </x:c>
      <x:c r="W519" s="2" t="str">
        <x:v>담당기관 확인</x:v>
      </x:c>
      <x:c r="X519" s="2" t="str">
        <x:v>원본·배정 기록 확인</x:v>
      </x:c>
      <x:c r="Y519" s="2" t="str">
        <x:v>ad210cd9ec132cfd447541c8984dc53d30aff0f4fb2dc92d254d49275cc55976</x:v>
      </x:c>
      <x:c r="Z519" s="2" t="n">
        <x:f>SUBTOTAL(103,A519)</x:f>
        <x:v>1</x:v>
      </x:c>
      <x:c r="AA519" s="2" t="str">
        <x:f>IF(K519&lt;&gt;"미종결 표시","대상 아님",IF(N519="","신청일 확인",IF(NOT(ISNUMBER('종합 현황'!$H$5)),"관찰기준 확인",IF('종합 현황'!$H$5&lt;1,"관찰기준 확인",IF(N519&gt;'종합 현황'!$H$5,"내부 관찰 대상","내부 관찰일 이하")))))</x:f>
        <x:v>대상 아님</x:v>
      </x:c>
      <x:c r="AB519" s="2"/>
    </x:row>
    <x:row r="520" ht="42" customHeight="1">
      <x:c r="A520" s="2" t="str">
        <x:v>cbec99f1f72760d4a8c48741</x:v>
      </x:c>
      <x:c r="B520" s="2" t="str">
        <x:v>사업 평가</x:v>
      </x:c>
      <x:c r="C520" s="2" t="str">
        <x:v>국내</x:v>
      </x:c>
      <x:c r="D520" s="7" t="str">
        <x:v>김천 부곡 주공 2단지 아파트 연료전환을 통한 온실가스 단위감축사업</x:v>
      </x:c>
      <x:c r="E520" s="2" t="str">
        <x:v>381</x:v>
      </x:c>
      <x:c r="F520" s="2" t="str">
        <x:v>2018-02-12</x:v>
      </x:c>
      <x:c r="G520" s="2" t="str">
        <x:v>2018</x:v>
      </x:c>
      <x:c r="H520" s="2" t="str">
        <x:v>02</x:v>
      </x:c>
      <x:c r="I520" s="2" t="str">
        <x:v>승인</x:v>
      </x:c>
      <x:c r="J520" s="2" t="str">
        <x:v>심의승인</x:v>
      </x:c>
      <x:c r="K520" s="2" t="str">
        <x:f>IF(OR(J520="심의승인",J520="반려",J520="반려완료",J520="심의완료"),"종결 표시",IF(OR(J520="기후부협의",J520="문서재제출요청",J520="보류",J520="보완요청",J520="보완완료",J520="평가중",J520="반려요청",J520="평가필요",LEFT(J520,5)="보완요청("),"미종결 표시","상태 확인 필요"))</x:f>
        <x:v>종결 표시</x:v>
      </x:c>
      <x:c r="L520" s="2"/>
      <x:c r="M520" s="2"/>
      <x:c r="N520" s="8" t="n">
        <x:f>DATE(2026,10,15)-DATE(2018,2,12)</x:f>
        <x:v>3167</x:v>
      </x:c>
      <x:c r="O520" s="2" t="str">
        <x:v>O(LH)</x:v>
      </x:c>
      <x:c r="P520" s="2"/>
      <x:c r="Q520" s="2" t="str">
        <x:v>산업전환_외부사업관리Tool_260707_이너젠 수정_LJY_261013.xlsx</x:v>
      </x:c>
      <x:c r="R520" s="2" t="str">
        <x:v>국내평가</x:v>
      </x:c>
      <x:c r="S520" s="8" t="n">
        <x:v>423</x:v>
      </x:c>
      <x:c r="T520" s="2" t="str">
        <x:v>2021년 처리</x:v>
      </x:c>
      <x:c r="U520" s="2" t="str">
        <x:v>2021 배정: 2021년 처리</x:v>
      </x:c>
      <x:c r="V520" s="2" t="str">
        <x:v>2021-09-27</x:v>
      </x:c>
      <x:c r="W520" s="2" t="str">
        <x:v>담당기관 확인</x:v>
      </x:c>
      <x:c r="X520" s="2" t="str">
        <x:v>원본·배정 기록 확인</x:v>
      </x:c>
      <x:c r="Y520" s="2" t="str">
        <x:v>ad210cd9ec132cfd447541c8984dc53d30aff0f4fb2dc92d254d49275cc55976</x:v>
      </x:c>
      <x:c r="Z520" s="2" t="n">
        <x:f>SUBTOTAL(103,A520)</x:f>
        <x:v>1</x:v>
      </x:c>
      <x:c r="AA520" s="2" t="str">
        <x:f>IF(K520&lt;&gt;"미종결 표시","대상 아님",IF(N520="","신청일 확인",IF(NOT(ISNUMBER('종합 현황'!$H$5)),"관찰기준 확인",IF('종합 현황'!$H$5&lt;1,"관찰기준 확인",IF(N520&gt;'종합 현황'!$H$5,"내부 관찰 대상","내부 관찰일 이하")))))</x:f>
        <x:v>대상 아님</x:v>
      </x:c>
      <x:c r="AB520" s="2"/>
    </x:row>
    <x:row r="521" ht="42" customHeight="1">
      <x:c r="A521" s="2" t="str">
        <x:v>0bd9a68a14f5d04a091cd837</x:v>
      </x:c>
      <x:c r="B521" s="2" t="str">
        <x:v>사업 평가</x:v>
      </x:c>
      <x:c r="C521" s="2" t="str">
        <x:v>국내</x:v>
      </x:c>
      <x:c r="D521" s="7" t="str">
        <x:v>괴산 증평 주공 3단지 아파트 연료전환을 통한 온실가스 단위감축사업</x:v>
      </x:c>
      <x:c r="E521" s="2" t="str">
        <x:v>382</x:v>
      </x:c>
      <x:c r="F521" s="2" t="str">
        <x:v>2018-02-12</x:v>
      </x:c>
      <x:c r="G521" s="2" t="str">
        <x:v>2018</x:v>
      </x:c>
      <x:c r="H521" s="2" t="str">
        <x:v>02</x:v>
      </x:c>
      <x:c r="I521" s="2" t="str">
        <x:v>승인</x:v>
      </x:c>
      <x:c r="J521" s="2" t="str">
        <x:v>심의승인</x:v>
      </x:c>
      <x:c r="K521" s="2" t="str">
        <x:f>IF(OR(J521="심의승인",J521="반려",J521="반려완료",J521="심의완료"),"종결 표시",IF(OR(J521="기후부협의",J521="문서재제출요청",J521="보류",J521="보완요청",J521="보완완료",J521="평가중",J521="반려요청",J521="평가필요",LEFT(J521,5)="보완요청("),"미종결 표시","상태 확인 필요"))</x:f>
        <x:v>종결 표시</x:v>
      </x:c>
      <x:c r="L521" s="2"/>
      <x:c r="M521" s="2"/>
      <x:c r="N521" s="8" t="n">
        <x:f>DATE(2026,10,15)-DATE(2018,2,12)</x:f>
        <x:v>3167</x:v>
      </x:c>
      <x:c r="O521" s="2" t="str">
        <x:v>O(LH)</x:v>
      </x:c>
      <x:c r="P521" s="2"/>
      <x:c r="Q521" s="2" t="str">
        <x:v>산업전환_외부사업관리Tool_260707_이너젠 수정_LJY_261013.xlsx</x:v>
      </x:c>
      <x:c r="R521" s="2" t="str">
        <x:v>국내평가</x:v>
      </x:c>
      <x:c r="S521" s="8" t="n">
        <x:v>424</x:v>
      </x:c>
      <x:c r="T521" s="2" t="str">
        <x:v>2021년 처리</x:v>
      </x:c>
      <x:c r="U521" s="2" t="str">
        <x:v>2021 배정: 2021년 처리</x:v>
      </x:c>
      <x:c r="V521" s="2" t="str">
        <x:v>2021-09-27</x:v>
      </x:c>
      <x:c r="W521" s="2" t="str">
        <x:v>담당기관 확인</x:v>
      </x:c>
      <x:c r="X521" s="2" t="str">
        <x:v>원본·배정 기록 확인</x:v>
      </x:c>
      <x:c r="Y521" s="2" t="str">
        <x:v>ad210cd9ec132cfd447541c8984dc53d30aff0f4fb2dc92d254d49275cc55976</x:v>
      </x:c>
      <x:c r="Z521" s="2" t="n">
        <x:f>SUBTOTAL(103,A521)</x:f>
        <x:v>1</x:v>
      </x:c>
      <x:c r="AA521" s="2" t="str">
        <x:f>IF(K521&lt;&gt;"미종결 표시","대상 아님",IF(N521="","신청일 확인",IF(NOT(ISNUMBER('종합 현황'!$H$5)),"관찰기준 확인",IF('종합 현황'!$H$5&lt;1,"관찰기준 확인",IF(N521&gt;'종합 현황'!$H$5,"내부 관찰 대상","내부 관찰일 이하")))))</x:f>
        <x:v>대상 아님</x:v>
      </x:c>
      <x:c r="AB521" s="2"/>
    </x:row>
    <x:row r="522" ht="42" customHeight="1">
      <x:c r="A522" s="2" t="str">
        <x:v>1647fbf2d58ed7eff4b0e222</x:v>
      </x:c>
      <x:c r="B522" s="2" t="str">
        <x:v>사업 평가</x:v>
      </x:c>
      <x:c r="C522" s="2" t="str">
        <x:v>국내</x:v>
      </x:c>
      <x:c r="D522" s="7" t="str">
        <x:v>김제 검산아파트 연료전환을 통한 온실가스 단위감축사업</x:v>
      </x:c>
      <x:c r="E522" s="2" t="str">
        <x:v>383</x:v>
      </x:c>
      <x:c r="F522" s="2" t="str">
        <x:v>2018-02-12</x:v>
      </x:c>
      <x:c r="G522" s="2" t="str">
        <x:v>2018</x:v>
      </x:c>
      <x:c r="H522" s="2" t="str">
        <x:v>02</x:v>
      </x:c>
      <x:c r="I522" s="2" t="str">
        <x:v>승인</x:v>
      </x:c>
      <x:c r="J522" s="2" t="str">
        <x:v>심의승인</x:v>
      </x:c>
      <x:c r="K522" s="2" t="str">
        <x:f>IF(OR(J522="심의승인",J522="반려",J522="반려완료",J522="심의완료"),"종결 표시",IF(OR(J522="기후부협의",J522="문서재제출요청",J522="보류",J522="보완요청",J522="보완완료",J522="평가중",J522="반려요청",J522="평가필요",LEFT(J522,5)="보완요청("),"미종결 표시","상태 확인 필요"))</x:f>
        <x:v>종결 표시</x:v>
      </x:c>
      <x:c r="L522" s="2"/>
      <x:c r="M522" s="2"/>
      <x:c r="N522" s="8" t="n">
        <x:f>DATE(2026,10,15)-DATE(2018,2,12)</x:f>
        <x:v>3167</x:v>
      </x:c>
      <x:c r="O522" s="2" t="str">
        <x:v>O(LH)</x:v>
      </x:c>
      <x:c r="P522" s="2"/>
      <x:c r="Q522" s="2" t="str">
        <x:v>산업전환_외부사업관리Tool_260707_이너젠 수정_LJY_261013.xlsx</x:v>
      </x:c>
      <x:c r="R522" s="2" t="str">
        <x:v>국내평가</x:v>
      </x:c>
      <x:c r="S522" s="8" t="n">
        <x:v>425</x:v>
      </x:c>
      <x:c r="T522" s="2" t="str">
        <x:v>2021년 처리</x:v>
      </x:c>
      <x:c r="U522" s="2" t="str">
        <x:v>2021 배정: 2021년 처리</x:v>
      </x:c>
      <x:c r="V522" s="2" t="str">
        <x:v>2021-09-27</x:v>
      </x:c>
      <x:c r="W522" s="2" t="str">
        <x:v>담당기관 확인</x:v>
      </x:c>
      <x:c r="X522" s="2" t="str">
        <x:v>원본·배정 기록 확인</x:v>
      </x:c>
      <x:c r="Y522" s="2" t="str">
        <x:v>ad210cd9ec132cfd447541c8984dc53d30aff0f4fb2dc92d254d49275cc55976</x:v>
      </x:c>
      <x:c r="Z522" s="2" t="n">
        <x:f>SUBTOTAL(103,A522)</x:f>
        <x:v>1</x:v>
      </x:c>
      <x:c r="AA522" s="2" t="str">
        <x:f>IF(K522&lt;&gt;"미종결 표시","대상 아님",IF(N522="","신청일 확인",IF(NOT(ISNUMBER('종합 현황'!$H$5)),"관찰기준 확인",IF('종합 현황'!$H$5&lt;1,"관찰기준 확인",IF(N522&gt;'종합 현황'!$H$5,"내부 관찰 대상","내부 관찰일 이하")))))</x:f>
        <x:v>대상 아님</x:v>
      </x:c>
      <x:c r="AB522" s="2"/>
    </x:row>
    <x:row r="523" ht="42" customHeight="1">
      <x:c r="A523" s="2" t="str">
        <x:v>011d29e323132b06cf2b55c3</x:v>
      </x:c>
      <x:c r="B523" s="2" t="str">
        <x:v>사업 평가</x:v>
      </x:c>
      <x:c r="C523" s="2" t="str">
        <x:v>국내</x:v>
      </x:c>
      <x:c r="D523" s="7" t="str">
        <x:v>부산 동삼 주공 1단지 아파트 연료전환을 통한 온실가스 단위감축사업</x:v>
      </x:c>
      <x:c r="E523" s="2" t="str">
        <x:v>384</x:v>
      </x:c>
      <x:c r="F523" s="2" t="str">
        <x:v>2018-02-12</x:v>
      </x:c>
      <x:c r="G523" s="2" t="str">
        <x:v>2018</x:v>
      </x:c>
      <x:c r="H523" s="2" t="str">
        <x:v>02</x:v>
      </x:c>
      <x:c r="I523" s="2" t="str">
        <x:v>승인</x:v>
      </x:c>
      <x:c r="J523" s="2" t="str">
        <x:v>심의승인</x:v>
      </x:c>
      <x:c r="K523" s="2" t="str">
        <x:f>IF(OR(J523="심의승인",J523="반려",J523="반려완료",J523="심의완료"),"종결 표시",IF(OR(J523="기후부협의",J523="문서재제출요청",J523="보류",J523="보완요청",J523="보완완료",J523="평가중",J523="반려요청",J523="평가필요",LEFT(J523,5)="보완요청("),"미종결 표시","상태 확인 필요"))</x:f>
        <x:v>종결 표시</x:v>
      </x:c>
      <x:c r="L523" s="2"/>
      <x:c r="M523" s="2"/>
      <x:c r="N523" s="8" t="n">
        <x:f>DATE(2026,10,15)-DATE(2018,2,12)</x:f>
        <x:v>3167</x:v>
      </x:c>
      <x:c r="O523" s="2" t="str">
        <x:v>O(LH)</x:v>
      </x:c>
      <x:c r="P523" s="2"/>
      <x:c r="Q523" s="2" t="str">
        <x:v>산업전환_외부사업관리Tool_260707_이너젠 수정_LJY_261013.xlsx</x:v>
      </x:c>
      <x:c r="R523" s="2" t="str">
        <x:v>국내평가</x:v>
      </x:c>
      <x:c r="S523" s="8" t="n">
        <x:v>426</x:v>
      </x:c>
      <x:c r="T523" s="2"/>
      <x:c r="U523" s="2" t="str"/>
      <x:c r="V523" s="2" t="str">
        <x:v>2022-03-11</x:v>
      </x:c>
      <x:c r="W523" s="2" t="str">
        <x:v>담당기관 확인</x:v>
      </x:c>
      <x:c r="X523" s="2" t="str">
        <x:v>원본·배정 기록 확인</x:v>
      </x:c>
      <x:c r="Y523" s="2" t="str">
        <x:v>ad210cd9ec132cfd447541c8984dc53d30aff0f4fb2dc92d254d49275cc55976</x:v>
      </x:c>
      <x:c r="Z523" s="2" t="n">
        <x:f>SUBTOTAL(103,A523)</x:f>
        <x:v>1</x:v>
      </x:c>
      <x:c r="AA523" s="2" t="str">
        <x:f>IF(K523&lt;&gt;"미종결 표시","대상 아님",IF(N523="","신청일 확인",IF(NOT(ISNUMBER('종합 현황'!$H$5)),"관찰기준 확인",IF('종합 현황'!$H$5&lt;1,"관찰기준 확인",IF(N523&gt;'종합 현황'!$H$5,"내부 관찰 대상","내부 관찰일 이하")))))</x:f>
        <x:v>대상 아님</x:v>
      </x:c>
      <x:c r="AB523" s="2"/>
    </x:row>
    <x:row r="524" ht="42" customHeight="1">
      <x:c r="A524" s="2" t="str">
        <x:v>fb466ca80d4416c577e43d87</x:v>
      </x:c>
      <x:c r="B524" s="2" t="str">
        <x:v>사업 평가</x:v>
      </x:c>
      <x:c r="C524" s="2" t="str">
        <x:v>국내</x:v>
      </x:c>
      <x:c r="D524" s="7" t="str">
        <x:v>마산 중리1단지 아파트 연료전환을 통한 온실가스 단위감축사업</x:v>
      </x:c>
      <x:c r="E524" s="2" t="str">
        <x:v>385</x:v>
      </x:c>
      <x:c r="F524" s="2" t="str">
        <x:v>2018-02-12</x:v>
      </x:c>
      <x:c r="G524" s="2" t="str">
        <x:v>2018</x:v>
      </x:c>
      <x:c r="H524" s="2" t="str">
        <x:v>02</x:v>
      </x:c>
      <x:c r="I524" s="2" t="str">
        <x:v>승인</x:v>
      </x:c>
      <x:c r="J524" s="2" t="str">
        <x:v>심의승인</x:v>
      </x:c>
      <x:c r="K524" s="2" t="str">
        <x:f>IF(OR(J524="심의승인",J524="반려",J524="반려완료",J524="심의완료"),"종결 표시",IF(OR(J524="기후부협의",J524="문서재제출요청",J524="보류",J524="보완요청",J524="보완완료",J524="평가중",J524="반려요청",J524="평가필요",LEFT(J524,5)="보완요청("),"미종결 표시","상태 확인 필요"))</x:f>
        <x:v>종결 표시</x:v>
      </x:c>
      <x:c r="L524" s="2"/>
      <x:c r="M524" s="2"/>
      <x:c r="N524" s="8" t="n">
        <x:f>DATE(2026,10,15)-DATE(2018,2,12)</x:f>
        <x:v>3167</x:v>
      </x:c>
      <x:c r="O524" s="2" t="str">
        <x:v>O(LH)</x:v>
      </x:c>
      <x:c r="P524" s="2"/>
      <x:c r="Q524" s="2" t="str">
        <x:v>산업전환_외부사업관리Tool_260707_이너젠 수정_LJY_261013.xlsx</x:v>
      </x:c>
      <x:c r="R524" s="2" t="str">
        <x:v>국내평가</x:v>
      </x:c>
      <x:c r="S524" s="8" t="n">
        <x:v>427</x:v>
      </x:c>
      <x:c r="T524" s="2" t="str">
        <x:v>2021년 처리</x:v>
      </x:c>
      <x:c r="U524" s="2" t="str">
        <x:v>2021 배정: 2021년 처리</x:v>
      </x:c>
      <x:c r="V524" s="2" t="str">
        <x:v>2021-09-27</x:v>
      </x:c>
      <x:c r="W524" s="2" t="str">
        <x:v>담당기관 확인</x:v>
      </x:c>
      <x:c r="X524" s="2" t="str">
        <x:v>원본·배정 기록 확인</x:v>
      </x:c>
      <x:c r="Y524" s="2" t="str">
        <x:v>ad210cd9ec132cfd447541c8984dc53d30aff0f4fb2dc92d254d49275cc55976</x:v>
      </x:c>
      <x:c r="Z524" s="2" t="n">
        <x:f>SUBTOTAL(103,A524)</x:f>
        <x:v>1</x:v>
      </x:c>
      <x:c r="AA524" s="2" t="str">
        <x:f>IF(K524&lt;&gt;"미종결 표시","대상 아님",IF(N524="","신청일 확인",IF(NOT(ISNUMBER('종합 현황'!$H$5)),"관찰기준 확인",IF('종합 현황'!$H$5&lt;1,"관찰기준 확인",IF(N524&gt;'종합 현황'!$H$5,"내부 관찰 대상","내부 관찰일 이하")))))</x:f>
        <x:v>대상 아님</x:v>
      </x:c>
      <x:c r="AB524" s="2"/>
    </x:row>
    <x:row r="525" ht="42" customHeight="1">
      <x:c r="A525" s="2" t="str">
        <x:v>cb500586f096ea4b13765fd2</x:v>
      </x:c>
      <x:c r="B525" s="2" t="str">
        <x:v>사업 평가</x:v>
      </x:c>
      <x:c r="C525" s="2" t="str">
        <x:v>국내</x:v>
      </x:c>
      <x:c r="D525" s="7" t="str">
        <x:v>문경 모전2단지 아파트 연료전환을 통한 온실가스 단위감축사업</x:v>
      </x:c>
      <x:c r="E525" s="2" t="str">
        <x:v>386</x:v>
      </x:c>
      <x:c r="F525" s="2" t="str">
        <x:v>2018-02-12</x:v>
      </x:c>
      <x:c r="G525" s="2" t="str">
        <x:v>2018</x:v>
      </x:c>
      <x:c r="H525" s="2" t="str">
        <x:v>02</x:v>
      </x:c>
      <x:c r="I525" s="2" t="str">
        <x:v>승인</x:v>
      </x:c>
      <x:c r="J525" s="2" t="str">
        <x:v>심의승인</x:v>
      </x:c>
      <x:c r="K525" s="2" t="str">
        <x:f>IF(OR(J525="심의승인",J525="반려",J525="반려완료",J525="심의완료"),"종결 표시",IF(OR(J525="기후부협의",J525="문서재제출요청",J525="보류",J525="보완요청",J525="보완완료",J525="평가중",J525="반려요청",J525="평가필요",LEFT(J525,5)="보완요청("),"미종결 표시","상태 확인 필요"))</x:f>
        <x:v>종결 표시</x:v>
      </x:c>
      <x:c r="L525" s="2"/>
      <x:c r="M525" s="2"/>
      <x:c r="N525" s="8" t="n">
        <x:f>DATE(2026,10,15)-DATE(2018,2,12)</x:f>
        <x:v>3167</x:v>
      </x:c>
      <x:c r="O525" s="2" t="str">
        <x:v>O(LH)</x:v>
      </x:c>
      <x:c r="P525" s="2"/>
      <x:c r="Q525" s="2" t="str">
        <x:v>산업전환_외부사업관리Tool_260707_이너젠 수정_LJY_261013.xlsx</x:v>
      </x:c>
      <x:c r="R525" s="2" t="str">
        <x:v>국내평가</x:v>
      </x:c>
      <x:c r="S525" s="8" t="n">
        <x:v>428</x:v>
      </x:c>
      <x:c r="T525" s="2" t="str">
        <x:v>2021년 처리</x:v>
      </x:c>
      <x:c r="U525" s="2" t="str">
        <x:v>2021 배정: 2021년 처리</x:v>
      </x:c>
      <x:c r="V525" s="2" t="str">
        <x:v>2021-09-27</x:v>
      </x:c>
      <x:c r="W525" s="2" t="str">
        <x:v>담당기관 확인</x:v>
      </x:c>
      <x:c r="X525" s="2" t="str">
        <x:v>원본·배정 기록 확인</x:v>
      </x:c>
      <x:c r="Y525" s="2" t="str">
        <x:v>ad210cd9ec132cfd447541c8984dc53d30aff0f4fb2dc92d254d49275cc55976</x:v>
      </x:c>
      <x:c r="Z525" s="2" t="n">
        <x:f>SUBTOTAL(103,A525)</x:f>
        <x:v>1</x:v>
      </x:c>
      <x:c r="AA525" s="2" t="str">
        <x:f>IF(K525&lt;&gt;"미종결 표시","대상 아님",IF(N525="","신청일 확인",IF(NOT(ISNUMBER('종합 현황'!$H$5)),"관찰기준 확인",IF('종합 현황'!$H$5&lt;1,"관찰기준 확인",IF(N525&gt;'종합 현황'!$H$5,"내부 관찰 대상","내부 관찰일 이하")))))</x:f>
        <x:v>대상 아님</x:v>
      </x:c>
      <x:c r="AB525" s="2"/>
    </x:row>
    <x:row r="526" ht="42" customHeight="1">
      <x:c r="A526" s="2" t="str">
        <x:v>041cc00ecada41093c34fe7b</x:v>
      </x:c>
      <x:c r="B526" s="2" t="str">
        <x:v>사업 평가</x:v>
      </x:c>
      <x:c r="C526" s="2" t="str">
        <x:v>국내</x:v>
      </x:c>
      <x:c r="D526" s="7" t="str">
        <x:v>대전 둔산 주공 1단지 아파트 연료전환을 통한 온실가스 단위감축사업</x:v>
      </x:c>
      <x:c r="E526" s="2" t="str">
        <x:v>387</x:v>
      </x:c>
      <x:c r="F526" s="2" t="str">
        <x:v>2018-02-12</x:v>
      </x:c>
      <x:c r="G526" s="2" t="str">
        <x:v>2018</x:v>
      </x:c>
      <x:c r="H526" s="2" t="str">
        <x:v>02</x:v>
      </x:c>
      <x:c r="I526" s="2" t="str">
        <x:v>승인</x:v>
      </x:c>
      <x:c r="J526" s="2" t="str">
        <x:v>심의승인</x:v>
      </x:c>
      <x:c r="K526" s="2" t="str">
        <x:f>IF(OR(J526="심의승인",J526="반려",J526="반려완료",J526="심의완료"),"종결 표시",IF(OR(J526="기후부협의",J526="문서재제출요청",J526="보류",J526="보완요청",J526="보완완료",J526="평가중",J526="반려요청",J526="평가필요",LEFT(J526,5)="보완요청("),"미종결 표시","상태 확인 필요"))</x:f>
        <x:v>종결 표시</x:v>
      </x:c>
      <x:c r="L526" s="2"/>
      <x:c r="M526" s="2"/>
      <x:c r="N526" s="8" t="n">
        <x:f>DATE(2026,10,15)-DATE(2018,2,12)</x:f>
        <x:v>3167</x:v>
      </x:c>
      <x:c r="O526" s="2" t="str">
        <x:v>O(LH)</x:v>
      </x:c>
      <x:c r="P526" s="2"/>
      <x:c r="Q526" s="2" t="str">
        <x:v>산업전환_외부사업관리Tool_260707_이너젠 수정_LJY_261013.xlsx</x:v>
      </x:c>
      <x:c r="R526" s="2" t="str">
        <x:v>국내평가</x:v>
      </x:c>
      <x:c r="S526" s="8" t="n">
        <x:v>429</x:v>
      </x:c>
      <x:c r="T526" s="2" t="str">
        <x:v>2021년 처리</x:v>
      </x:c>
      <x:c r="U526" s="2" t="str">
        <x:v>2021 배정: 2021년 처리</x:v>
      </x:c>
      <x:c r="V526" s="2" t="str">
        <x:v>2021-09-27</x:v>
      </x:c>
      <x:c r="W526" s="2" t="str">
        <x:v>담당기관 확인</x:v>
      </x:c>
      <x:c r="X526" s="2" t="str">
        <x:v>원본·배정 기록 확인</x:v>
      </x:c>
      <x:c r="Y526" s="2" t="str">
        <x:v>ad210cd9ec132cfd447541c8984dc53d30aff0f4fb2dc92d254d49275cc55976</x:v>
      </x:c>
      <x:c r="Z526" s="2" t="n">
        <x:f>SUBTOTAL(103,A526)</x:f>
        <x:v>1</x:v>
      </x:c>
      <x:c r="AA526" s="2" t="str">
        <x:f>IF(K526&lt;&gt;"미종결 표시","대상 아님",IF(N526="","신청일 확인",IF(NOT(ISNUMBER('종합 현황'!$H$5)),"관찰기준 확인",IF('종합 현황'!$H$5&lt;1,"관찰기준 확인",IF(N526&gt;'종합 현황'!$H$5,"내부 관찰 대상","내부 관찰일 이하")))))</x:f>
        <x:v>대상 아님</x:v>
      </x:c>
      <x:c r="AB526" s="2"/>
    </x:row>
    <x:row r="527" ht="42" customHeight="1">
      <x:c r="A527" s="2" t="str">
        <x:v>83a2c6a927acd7148b381bd2</x:v>
      </x:c>
      <x:c r="B527" s="2" t="str">
        <x:v>사업 평가</x:v>
      </x:c>
      <x:c r="C527" s="2" t="str">
        <x:v>국내</x:v>
      </x:c>
      <x:c r="D527" s="7" t="str">
        <x:v>대전 둔산 주공 3단지 아파트 연료전환을 통한 온실가스 단위감축사업</x:v>
      </x:c>
      <x:c r="E527" s="2" t="str">
        <x:v>388</x:v>
      </x:c>
      <x:c r="F527" s="2" t="str">
        <x:v>2018-02-12</x:v>
      </x:c>
      <x:c r="G527" s="2" t="str">
        <x:v>2018</x:v>
      </x:c>
      <x:c r="H527" s="2" t="str">
        <x:v>02</x:v>
      </x:c>
      <x:c r="I527" s="2" t="str">
        <x:v>승인</x:v>
      </x:c>
      <x:c r="J527" s="2" t="str">
        <x:v>심의승인</x:v>
      </x:c>
      <x:c r="K527" s="2" t="str">
        <x:f>IF(OR(J527="심의승인",J527="반려",J527="반려완료",J527="심의완료"),"종결 표시",IF(OR(J527="기후부협의",J527="문서재제출요청",J527="보류",J527="보완요청",J527="보완완료",J527="평가중",J527="반려요청",J527="평가필요",LEFT(J527,5)="보완요청("),"미종결 표시","상태 확인 필요"))</x:f>
        <x:v>종결 표시</x:v>
      </x:c>
      <x:c r="L527" s="2"/>
      <x:c r="M527" s="2"/>
      <x:c r="N527" s="8" t="n">
        <x:f>DATE(2026,10,15)-DATE(2018,2,12)</x:f>
        <x:v>3167</x:v>
      </x:c>
      <x:c r="O527" s="2" t="str">
        <x:v>O(LH)</x:v>
      </x:c>
      <x:c r="P527" s="2"/>
      <x:c r="Q527" s="2" t="str">
        <x:v>산업전환_외부사업관리Tool_260707_이너젠 수정_LJY_261013.xlsx</x:v>
      </x:c>
      <x:c r="R527" s="2" t="str">
        <x:v>국내평가</x:v>
      </x:c>
      <x:c r="S527" s="8" t="n">
        <x:v>430</x:v>
      </x:c>
      <x:c r="T527" s="2" t="str">
        <x:v>2021년 처리</x:v>
      </x:c>
      <x:c r="U527" s="2" t="str">
        <x:v>2021 배정: 2021년 처리</x:v>
      </x:c>
      <x:c r="V527" s="2" t="str">
        <x:v>2021-09-27</x:v>
      </x:c>
      <x:c r="W527" s="2" t="str">
        <x:v>담당기관 확인</x:v>
      </x:c>
      <x:c r="X527" s="2" t="str">
        <x:v>원본·배정 기록 확인</x:v>
      </x:c>
      <x:c r="Y527" s="2" t="str">
        <x:v>ad210cd9ec132cfd447541c8984dc53d30aff0f4fb2dc92d254d49275cc55976</x:v>
      </x:c>
      <x:c r="Z527" s="2" t="n">
        <x:f>SUBTOTAL(103,A527)</x:f>
        <x:v>1</x:v>
      </x:c>
      <x:c r="AA527" s="2" t="str">
        <x:f>IF(K527&lt;&gt;"미종결 표시","대상 아님",IF(N527="","신청일 확인",IF(NOT(ISNUMBER('종합 현황'!$H$5)),"관찰기준 확인",IF('종합 현황'!$H$5&lt;1,"관찰기준 확인",IF(N527&gt;'종합 현황'!$H$5,"내부 관찰 대상","내부 관찰일 이하")))))</x:f>
        <x:v>대상 아님</x:v>
      </x:c>
      <x:c r="AB527" s="2"/>
    </x:row>
    <x:row r="528" ht="42" customHeight="1">
      <x:c r="A528" s="2" t="str">
        <x:v>bacbce8b34f8eacdcce6e018</x:v>
      </x:c>
      <x:c r="B528" s="2" t="str">
        <x:v>사업 평가</x:v>
      </x:c>
      <x:c r="C528" s="2" t="str">
        <x:v>국내</x:v>
      </x:c>
      <x:c r="D528" s="7" t="str">
        <x:v>대전 문화 주공 1단지 아파트 연료전환을 통한 온실가스 단위감축사업</x:v>
      </x:c>
      <x:c r="E528" s="2" t="str">
        <x:v>389</x:v>
      </x:c>
      <x:c r="F528" s="2" t="str">
        <x:v>2018-02-12</x:v>
      </x:c>
      <x:c r="G528" s="2" t="str">
        <x:v>2018</x:v>
      </x:c>
      <x:c r="H528" s="2" t="str">
        <x:v>02</x:v>
      </x:c>
      <x:c r="I528" s="2" t="str">
        <x:v>승인</x:v>
      </x:c>
      <x:c r="J528" s="2" t="str">
        <x:v>심의승인</x:v>
      </x:c>
      <x:c r="K528" s="2" t="str">
        <x:f>IF(OR(J528="심의승인",J528="반려",J528="반려완료",J528="심의완료"),"종결 표시",IF(OR(J528="기후부협의",J528="문서재제출요청",J528="보류",J528="보완요청",J528="보완완료",J528="평가중",J528="반려요청",J528="평가필요",LEFT(J528,5)="보완요청("),"미종결 표시","상태 확인 필요"))</x:f>
        <x:v>종결 표시</x:v>
      </x:c>
      <x:c r="L528" s="2"/>
      <x:c r="M528" s="2"/>
      <x:c r="N528" s="8" t="n">
        <x:f>DATE(2026,10,15)-DATE(2018,2,12)</x:f>
        <x:v>3167</x:v>
      </x:c>
      <x:c r="O528" s="2" t="str">
        <x:v>O(LH)</x:v>
      </x:c>
      <x:c r="P528" s="2"/>
      <x:c r="Q528" s="2" t="str">
        <x:v>산업전환_외부사업관리Tool_260707_이너젠 수정_LJY_261013.xlsx</x:v>
      </x:c>
      <x:c r="R528" s="2" t="str">
        <x:v>국내평가</x:v>
      </x:c>
      <x:c r="S528" s="8" t="n">
        <x:v>431</x:v>
      </x:c>
      <x:c r="T528" s="2" t="str">
        <x:v>2021년 처리</x:v>
      </x:c>
      <x:c r="U528" s="2" t="str">
        <x:v>2021 배정: 2021년 처리</x:v>
      </x:c>
      <x:c r="V528" s="2" t="str">
        <x:v>2021-09-27</x:v>
      </x:c>
      <x:c r="W528" s="2" t="str">
        <x:v>담당기관 확인</x:v>
      </x:c>
      <x:c r="X528" s="2" t="str">
        <x:v>원본·배정 기록 확인</x:v>
      </x:c>
      <x:c r="Y528" s="2" t="str">
        <x:v>ad210cd9ec132cfd447541c8984dc53d30aff0f4fb2dc92d254d49275cc55976</x:v>
      </x:c>
      <x:c r="Z528" s="2" t="n">
        <x:f>SUBTOTAL(103,A528)</x:f>
        <x:v>1</x:v>
      </x:c>
      <x:c r="AA528" s="2" t="str">
        <x:f>IF(K528&lt;&gt;"미종결 표시","대상 아님",IF(N528="","신청일 확인",IF(NOT(ISNUMBER('종합 현황'!$H$5)),"관찰기준 확인",IF('종합 현황'!$H$5&lt;1,"관찰기준 확인",IF(N528&gt;'종합 현황'!$H$5,"내부 관찰 대상","내부 관찰일 이하")))))</x:f>
        <x:v>대상 아님</x:v>
      </x:c>
      <x:c r="AB528" s="2"/>
    </x:row>
    <x:row r="529" ht="42" customHeight="1">
      <x:c r="A529" s="2" t="str">
        <x:v>59b3bb82d316226f1a629d0d</x:v>
      </x:c>
      <x:c r="B529" s="2" t="str">
        <x:v>사업 평가</x:v>
      </x:c>
      <x:c r="C529" s="2" t="str">
        <x:v>국내</x:v>
      </x:c>
      <x:c r="D529" s="7" t="str">
        <x:v>서산 석림 주공3단지 아파트 연료전환을 통한 온실가스 단위감축사업</x:v>
      </x:c>
      <x:c r="E529" s="2" t="str">
        <x:v>390</x:v>
      </x:c>
      <x:c r="F529" s="2" t="str">
        <x:v>2018-02-12</x:v>
      </x:c>
      <x:c r="G529" s="2" t="str">
        <x:v>2018</x:v>
      </x:c>
      <x:c r="H529" s="2" t="str">
        <x:v>02</x:v>
      </x:c>
      <x:c r="I529" s="2" t="str">
        <x:v>승인</x:v>
      </x:c>
      <x:c r="J529" s="2" t="str">
        <x:v>심의승인</x:v>
      </x:c>
      <x:c r="K529" s="2" t="str">
        <x:f>IF(OR(J529="심의승인",J529="반려",J529="반려완료",J529="심의완료"),"종결 표시",IF(OR(J529="기후부협의",J529="문서재제출요청",J529="보류",J529="보완요청",J529="보완완료",J529="평가중",J529="반려요청",J529="평가필요",LEFT(J529,5)="보완요청("),"미종결 표시","상태 확인 필요"))</x:f>
        <x:v>종결 표시</x:v>
      </x:c>
      <x:c r="L529" s="2"/>
      <x:c r="M529" s="2"/>
      <x:c r="N529" s="8" t="n">
        <x:f>DATE(2026,10,15)-DATE(2018,2,12)</x:f>
        <x:v>3167</x:v>
      </x:c>
      <x:c r="O529" s="2" t="str">
        <x:v>O(LH)</x:v>
      </x:c>
      <x:c r="P529" s="2"/>
      <x:c r="Q529" s="2" t="str">
        <x:v>산업전환_외부사업관리Tool_260707_이너젠 수정_LJY_261013.xlsx</x:v>
      </x:c>
      <x:c r="R529" s="2" t="str">
        <x:v>국내평가</x:v>
      </x:c>
      <x:c r="S529" s="8" t="n">
        <x:v>432</x:v>
      </x:c>
      <x:c r="T529" s="2"/>
      <x:c r="U529" s="2" t="str"/>
      <x:c r="V529" s="2" t="str">
        <x:v>2022-03-11</x:v>
      </x:c>
      <x:c r="W529" s="2" t="str">
        <x:v>담당기관 확인</x:v>
      </x:c>
      <x:c r="X529" s="2" t="str">
        <x:v>원본·배정 기록 확인</x:v>
      </x:c>
      <x:c r="Y529" s="2" t="str">
        <x:v>ad210cd9ec132cfd447541c8984dc53d30aff0f4fb2dc92d254d49275cc55976</x:v>
      </x:c>
      <x:c r="Z529" s="2" t="n">
        <x:f>SUBTOTAL(103,A529)</x:f>
        <x:v>1</x:v>
      </x:c>
      <x:c r="AA529" s="2" t="str">
        <x:f>IF(K529&lt;&gt;"미종결 표시","대상 아님",IF(N529="","신청일 확인",IF(NOT(ISNUMBER('종합 현황'!$H$5)),"관찰기준 확인",IF('종합 현황'!$H$5&lt;1,"관찰기준 확인",IF(N529&gt;'종합 현황'!$H$5,"내부 관찰 대상","내부 관찰일 이하")))))</x:f>
        <x:v>대상 아님</x:v>
      </x:c>
      <x:c r="AB529" s="2"/>
    </x:row>
    <x:row r="530" ht="42" customHeight="1">
      <x:c r="A530" s="2" t="str">
        <x:v>4324019e34e19b052a156a81</x:v>
      </x:c>
      <x:c r="B530" s="2" t="str">
        <x:v>사업 평가</x:v>
      </x:c>
      <x:c r="C530" s="2" t="str">
        <x:v>국내</x:v>
      </x:c>
      <x:c r="D530" s="7" t="str">
        <x:v>주식회사 창성 연료전환(B-C유 → LPG)을 통한 온실가스 배출 감축사업</x:v>
      </x:c>
      <x:c r="E530" s="2" t="str">
        <x:v>391</x:v>
      </x:c>
      <x:c r="F530" s="2" t="str">
        <x:v>2020-11-10</x:v>
      </x:c>
      <x:c r="G530" s="2" t="str">
        <x:v>2020</x:v>
      </x:c>
      <x:c r="H530" s="2" t="str">
        <x:v>11</x:v>
      </x:c>
      <x:c r="I530" s="2" t="str">
        <x:v>반려</x:v>
      </x:c>
      <x:c r="J530" s="2" t="str">
        <x:v>반려</x:v>
      </x:c>
      <x:c r="K530" s="2" t="str">
        <x:f>IF(OR(J530="심의승인",J530="반려",J530="반려완료",J530="심의완료"),"종결 표시",IF(OR(J530="기후부협의",J530="문서재제출요청",J530="보류",J530="보완요청",J530="보완완료",J530="평가중",J530="반려요청",J530="평가필요",LEFT(J530,5)="보완요청("),"미종결 표시","상태 확인 필요"))</x:f>
        <x:v>종결 표시</x:v>
      </x:c>
      <x:c r="L530" s="2" t="str">
        <x:v>KECM_이정우</x:v>
      </x:c>
      <x:c r="M530" s="2"/>
      <x:c r="N530" s="8" t="n">
        <x:f>DATE(2026,10,15)-DATE(2020,11,10)</x:f>
        <x:v>2165</x:v>
      </x:c>
      <x:c r="O530" s="2"/>
      <x:c r="P530" s="2" t="str">
        <x:v>LPG 계측기 X, 방법론 개정으로 재신청 필요</x:v>
      </x:c>
      <x:c r="Q530" s="2" t="str">
        <x:v>산업전환_외부사업관리Tool_260707_이너젠 수정_LJY_261013.xlsx</x:v>
      </x:c>
      <x:c r="R530" s="2" t="str">
        <x:v>국내평가</x:v>
      </x:c>
      <x:c r="S530" s="8" t="n">
        <x:v>433</x:v>
      </x:c>
      <x:c r="T530" s="2" t="str">
        <x:v>(4/23)</x:v>
      </x:c>
      <x:c r="U530" s="2" t="str">
        <x:v>2021 배정: (4/23) / 2025 배정: 2025년 처리</x:v>
      </x:c>
      <x:c r="V530" s="2" t="str">
        <x:v>2025-06-20</x:v>
      </x:c>
      <x:c r="W530" s="2" t="str"/>
      <x:c r="X530" s="2" t="str">
        <x:v>종결 근거 보관</x:v>
      </x:c>
      <x:c r="Y530" s="2" t="str">
        <x:v>ad210cd9ec132cfd447541c8984dc53d30aff0f4fb2dc92d254d49275cc55976</x:v>
      </x:c>
      <x:c r="Z530" s="2" t="n">
        <x:f>SUBTOTAL(103,A530)</x:f>
        <x:v>1</x:v>
      </x:c>
      <x:c r="AA530" s="2" t="str">
        <x:f>IF(K530&lt;&gt;"미종결 표시","대상 아님",IF(N530="","신청일 확인",IF(NOT(ISNUMBER('종합 현황'!$H$5)),"관찰기준 확인",IF('종합 현황'!$H$5&lt;1,"관찰기준 확인",IF(N530&gt;'종합 현황'!$H$5,"내부 관찰 대상","내부 관찰일 이하")))))</x:f>
        <x:v>대상 아님</x:v>
      </x:c>
      <x:c r="AB530" s="2"/>
    </x:row>
    <x:row r="531" ht="42" customHeight="1">
      <x:c r="A531" s="2" t="str">
        <x:v>8d3d92e00b5d745511d3fcef</x:v>
      </x:c>
      <x:c r="B531" s="2" t="str">
        <x:v>사업 평가</x:v>
      </x:c>
      <x:c r="C531" s="2" t="str">
        <x:v>국내</x:v>
      </x:c>
      <x:c r="D531" s="7" t="str">
        <x:v>(유)호경완주지점 연료전환(B-C유 → LPG)을 통한 온실가스 배출 감축사업</x:v>
      </x:c>
      <x:c r="E531" s="2" t="str">
        <x:v>392</x:v>
      </x:c>
      <x:c r="F531" s="2" t="str">
        <x:v>2020-09-23</x:v>
      </x:c>
      <x:c r="G531" s="2" t="str">
        <x:v>2020</x:v>
      </x:c>
      <x:c r="H531" s="2" t="str">
        <x:v>09</x:v>
      </x:c>
      <x:c r="I531" s="2" t="str">
        <x:v>승인</x:v>
      </x:c>
      <x:c r="J531" s="2" t="str">
        <x:v>심의승인</x:v>
      </x:c>
      <x:c r="K531" s="2" t="str">
        <x:f>IF(OR(J531="심의승인",J531="반려",J531="반려완료",J531="심의완료"),"종결 표시",IF(OR(J531="기후부협의",J531="문서재제출요청",J531="보류",J531="보완요청",J531="보완완료",J531="평가중",J531="반려요청",J531="평가필요",LEFT(J531,5)="보완요청("),"미종결 표시","상태 확인 필요"))</x:f>
        <x:v>종결 표시</x:v>
      </x:c>
      <x:c r="L531" s="2" t="str">
        <x:v>에코시안_박세은</x:v>
      </x:c>
      <x:c r="M531" s="2"/>
      <x:c r="N531" s="8" t="n">
        <x:f>DATE(2026,10,15)-DATE(2020,9,23)</x:f>
        <x:v>2213</x:v>
      </x:c>
      <x:c r="O531" s="2" t="str">
        <x:v>O(21.07), 방법론 변경</x:v>
      </x:c>
      <x:c r="P531" s="2"/>
      <x:c r="Q531" s="2" t="str">
        <x:v>산업전환_외부사업관리Tool_260707_이너젠 수정_LJY_261013.xlsx</x:v>
      </x:c>
      <x:c r="R531" s="2" t="str">
        <x:v>국내평가</x:v>
      </x:c>
      <x:c r="S531" s="8" t="n">
        <x:v>434</x:v>
      </x:c>
      <x:c r="T531" s="2" t="str">
        <x:v>(6/28)</x:v>
      </x:c>
      <x:c r="U531" s="2" t="str">
        <x:v>2021 배정: (6/28) / 2025 배정: (5/30),(9/16),(11/10) / 2026(사전): (1/14),(2/26),(4/9),(5/26)</x:v>
      </x:c>
      <x:c r="V531" s="2" t="str">
        <x:v>2026-09-08</x:v>
      </x:c>
      <x:c r="W531" s="2" t="str"/>
      <x:c r="X531" s="2" t="str">
        <x:v>종결 근거 보관</x:v>
      </x:c>
      <x:c r="Y531" s="2" t="str">
        <x:v>ad210cd9ec132cfd447541c8984dc53d30aff0f4fb2dc92d254d49275cc55976</x:v>
      </x:c>
      <x:c r="Z531" s="2" t="n">
        <x:f>SUBTOTAL(103,A531)</x:f>
        <x:v>1</x:v>
      </x:c>
      <x:c r="AA531" s="2" t="str">
        <x:f>IF(K531&lt;&gt;"미종결 표시","대상 아님",IF(N531="","신청일 확인",IF(NOT(ISNUMBER('종합 현황'!$H$5)),"관찰기준 확인",IF('종합 현황'!$H$5&lt;1,"관찰기준 확인",IF(N531&gt;'종합 현황'!$H$5,"내부 관찰 대상","내부 관찰일 이하")))))</x:f>
        <x:v>대상 아님</x:v>
      </x:c>
      <x:c r="AB531" s="2"/>
    </x:row>
    <x:row r="532" ht="42" customHeight="1">
      <x:c r="A532" s="2" t="str">
        <x:v>8a8596b69a3b42484c090f19</x:v>
      </x:c>
      <x:c r="B532" s="2" t="str">
        <x:v>사업 평가</x:v>
      </x:c>
      <x:c r="C532" s="2" t="str">
        <x:v>국내</x:v>
      </x:c>
      <x:c r="D532" s="7" t="str">
        <x:v>(주)건영기계의 에너지절감형 공기압축기  설치를 통한 전력사용량 및 온실가스 묶음 감축사업</x:v>
      </x:c>
      <x:c r="E532" s="2" t="str">
        <x:v>393</x:v>
      </x:c>
      <x:c r="F532" s="2" t="str">
        <x:v>2018-09-14</x:v>
      </x:c>
      <x:c r="G532" s="2" t="str">
        <x:v>2018</x:v>
      </x:c>
      <x:c r="H532" s="2" t="str">
        <x:v>09</x:v>
      </x:c>
      <x:c r="I532" s="2" t="str">
        <x:v>반려</x:v>
      </x:c>
      <x:c r="J532" s="2" t="str">
        <x:v>반려</x:v>
      </x:c>
      <x:c r="K532" s="2" t="str">
        <x:f>IF(OR(J532="심의승인",J532="반려",J532="반려완료",J532="심의완료"),"종결 표시",IF(OR(J532="기후부협의",J532="문서재제출요청",J532="보류",J532="보완요청",J532="보완완료",J532="평가중",J532="반려요청",J532="평가필요",LEFT(J532,5)="보완요청("),"미종결 표시","상태 확인 필요"))</x:f>
        <x:v>종결 표시</x:v>
      </x:c>
      <x:c r="L532" s="2" t="str">
        <x:v>에코시안_박세은</x:v>
      </x:c>
      <x:c r="M532" s="2"/>
      <x:c r="N532" s="8" t="n">
        <x:f>DATE(2026,10,15)-DATE(2018,9,14)</x:f>
        <x:v>2953</x:v>
      </x:c>
      <x:c r="O532" s="2"/>
      <x:c r="P532" s="2"/>
      <x:c r="Q532" s="2" t="str">
        <x:v>산업전환_외부사업관리Tool_260707_이너젠 수정_LJY_261013.xlsx</x:v>
      </x:c>
      <x:c r="R532" s="2" t="str">
        <x:v>국내평가</x:v>
      </x:c>
      <x:c r="S532" s="8" t="n">
        <x:v>435</x:v>
      </x:c>
      <x:c r="T532" s="2" t="str">
        <x:v>(7/12)</x:v>
      </x:c>
      <x:c r="U532" s="2" t="str">
        <x:v>2021 배정: (7/12) / 2025 배정: (8/8)</x:v>
      </x:c>
      <x:c r="V532" s="2" t="str">
        <x:v>2026-02-06</x:v>
      </x:c>
      <x:c r="W532" s="2" t="str"/>
      <x:c r="X532" s="2" t="str">
        <x:v>종결 근거 보관</x:v>
      </x:c>
      <x:c r="Y532" s="2" t="str">
        <x:v>ad210cd9ec132cfd447541c8984dc53d30aff0f4fb2dc92d254d49275cc55976</x:v>
      </x:c>
      <x:c r="Z532" s="2" t="n">
        <x:f>SUBTOTAL(103,A532)</x:f>
        <x:v>1</x:v>
      </x:c>
      <x:c r="AA532" s="2" t="str">
        <x:f>IF(K532&lt;&gt;"미종결 표시","대상 아님",IF(N532="","신청일 확인",IF(NOT(ISNUMBER('종합 현황'!$H$5)),"관찰기준 확인",IF('종합 현황'!$H$5&lt;1,"관찰기준 확인",IF(N532&gt;'종합 현황'!$H$5,"내부 관찰 대상","내부 관찰일 이하")))))</x:f>
        <x:v>대상 아님</x:v>
      </x:c>
      <x:c r="AB532" s="2"/>
    </x:row>
    <x:row r="533" ht="42" customHeight="1">
      <x:c r="A533" s="2" t="str">
        <x:v>8b00d5108cd5d00a69449d3d</x:v>
      </x:c>
      <x:c r="B533" s="2" t="str">
        <x:v>사업 평가</x:v>
      </x:c>
      <x:c r="C533" s="2" t="str">
        <x:v>국내</x:v>
      </x:c>
      <x:c r="D533" s="7" t="str">
        <x:v>2017년 강원권역 기존 심야전기 보일러의 축열식 히트펌프 보일러 교체를 통한 온실가스 묶음 감축 사업</x:v>
      </x:c>
      <x:c r="E533" s="2" t="str">
        <x:v>394</x:v>
      </x:c>
      <x:c r="F533" s="2" t="str">
        <x:v>2018-02-19</x:v>
      </x:c>
      <x:c r="G533" s="2" t="str">
        <x:v>2018</x:v>
      </x:c>
      <x:c r="H533" s="2" t="str">
        <x:v>02</x:v>
      </x:c>
      <x:c r="I533" s="2" t="str">
        <x:v>승인</x:v>
      </x:c>
      <x:c r="J533" s="2" t="str">
        <x:v>심의승인</x:v>
      </x:c>
      <x:c r="K533" s="2" t="str">
        <x:f>IF(OR(J533="심의승인",J533="반려",J533="반려완료",J533="심의완료"),"종결 표시",IF(OR(J533="기후부협의",J533="문서재제출요청",J533="보류",J533="보완요청",J533="보완완료",J533="평가중",J533="반려요청",J533="평가필요",LEFT(J533,5)="보완요청("),"미종결 표시","상태 확인 필요"))</x:f>
        <x:v>종결 표시</x:v>
      </x:c>
      <x:c r="L533" s="2" t="str">
        <x:v>DNV_장유리, 에코시안_정인혜,기샛별</x:v>
      </x:c>
      <x:c r="M533" s="2"/>
      <x:c r="N533" s="8" t="n">
        <x:f>DATE(2026,10,15)-DATE(2018,2,19)</x:f>
        <x:v>3160</x:v>
      </x:c>
      <x:c r="O533" s="2" t="str">
        <x:v>O(22.5월)</x:v>
      </x:c>
      <x:c r="P533" s="2"/>
      <x:c r="Q533" s="2" t="str">
        <x:v>산업전환_외부사업관리Tool_260707_이너젠 수정_LJY_261013.xlsx</x:v>
      </x:c>
      <x:c r="R533" s="2" t="str">
        <x:v>국내평가</x:v>
      </x:c>
      <x:c r="S533" s="8" t="n">
        <x:v>436</x:v>
      </x:c>
      <x:c r="T533" s="2" t="str">
        <x:v>(4/23),(9/14)</x:v>
      </x:c>
      <x:c r="U533" s="2" t="str">
        <x:v>2021 배정: (4/23),(9/14) / 2022 배정(신규): (5/18)</x:v>
      </x:c>
      <x:c r="V533" s="2" t="str">
        <x:v>2024-07-19</x:v>
      </x:c>
      <x:c r="W533" s="2" t="str"/>
      <x:c r="X533" s="2" t="str">
        <x:v>종결 근거 보관</x:v>
      </x:c>
      <x:c r="Y533" s="2" t="str">
        <x:v>ad210cd9ec132cfd447541c8984dc53d30aff0f4fb2dc92d254d49275cc55976</x:v>
      </x:c>
      <x:c r="Z533" s="2" t="n">
        <x:f>SUBTOTAL(103,A533)</x:f>
        <x:v>1</x:v>
      </x:c>
      <x:c r="AA533" s="2" t="str">
        <x:f>IF(K533&lt;&gt;"미종결 표시","대상 아님",IF(N533="","신청일 확인",IF(NOT(ISNUMBER('종합 현황'!$H$5)),"관찰기준 확인",IF('종합 현황'!$H$5&lt;1,"관찰기준 확인",IF(N533&gt;'종합 현황'!$H$5,"내부 관찰 대상","내부 관찰일 이하")))))</x:f>
        <x:v>대상 아님</x:v>
      </x:c>
      <x:c r="AB533" s="2"/>
    </x:row>
    <x:row r="534" ht="42" customHeight="1">
      <x:c r="A534" s="2" t="str">
        <x:v>5f762c8e0a28d787b51b5af2</x:v>
      </x:c>
      <x:c r="B534" s="2" t="str">
        <x:v>사업 평가</x:v>
      </x:c>
      <x:c r="C534" s="2" t="str">
        <x:v>국내</x:v>
      </x:c>
      <x:c r="D534" s="7" t="str">
        <x:v>한국도로공사 도로조명 설치를 통한 LED 온실가스 배출 프로그램 감축사업</x:v>
      </x:c>
      <x:c r="E534" s="2" t="str">
        <x:v>395</x:v>
      </x:c>
      <x:c r="F534" s="2" t="str">
        <x:v>2016-12-01</x:v>
      </x:c>
      <x:c r="G534" s="2" t="str">
        <x:v>2016</x:v>
      </x:c>
      <x:c r="H534" s="2" t="str">
        <x:v>12</x:v>
      </x:c>
      <x:c r="I534" s="2" t="str">
        <x:v>반려</x:v>
      </x:c>
      <x:c r="J534" s="2" t="str">
        <x:v>반려</x:v>
      </x:c>
      <x:c r="K534" s="2" t="str">
        <x:f>IF(OR(J534="심의승인",J534="반려",J534="반려완료",J534="심의완료"),"종결 표시",IF(OR(J534="기후부협의",J534="문서재제출요청",J534="보류",J534="보완요청",J534="보완완료",J534="평가중",J534="반려요청",J534="평가필요",LEFT(J534,5)="보완요청("),"미종결 표시","상태 확인 필요"))</x:f>
        <x:v>종결 표시</x:v>
      </x:c>
      <x:c r="L534" s="2" t="str">
        <x:v>KECM</x:v>
      </x:c>
      <x:c r="M534" s="2"/>
      <x:c r="N534" s="8" t="n">
        <x:f>DATE(2026,10,15)-DATE(2016,12,1)</x:f>
        <x:v>3605</x:v>
      </x:c>
      <x:c r="O534" s="2" t="str">
        <x:v>생략</x:v>
      </x:c>
      <x:c r="P534" s="2"/>
      <x:c r="Q534" s="2" t="str">
        <x:v>산업전환_외부사업관리Tool_260707_이너젠 수정_LJY_261013.xlsx</x:v>
      </x:c>
      <x:c r="R534" s="2" t="str">
        <x:v>국내평가</x:v>
      </x:c>
      <x:c r="S534" s="8" t="n">
        <x:v>437</x:v>
      </x:c>
      <x:c r="T534" s="2" t="str">
        <x:v>(4/23),(6/28)</x:v>
      </x:c>
      <x:c r="U534" s="2" t="str">
        <x:v>2021 배정: (4/23),(6/28) / 2022 배정(신규): (12/27)</x:v>
      </x:c>
      <x:c r="V534" s="2" t="str">
        <x:v>2023-03-30</x:v>
      </x:c>
      <x:c r="W534" s="2" t="str"/>
      <x:c r="X534" s="2" t="str">
        <x:v>종결 근거 보관</x:v>
      </x:c>
      <x:c r="Y534" s="2" t="str">
        <x:v>ad210cd9ec132cfd447541c8984dc53d30aff0f4fb2dc92d254d49275cc55976</x:v>
      </x:c>
      <x:c r="Z534" s="2" t="n">
        <x:f>SUBTOTAL(103,A534)</x:f>
        <x:v>1</x:v>
      </x:c>
      <x:c r="AA534" s="2" t="str">
        <x:f>IF(K534&lt;&gt;"미종결 표시","대상 아님",IF(N534="","신청일 확인",IF(NOT(ISNUMBER('종합 현황'!$H$5)),"관찰기준 확인",IF('종합 현황'!$H$5&lt;1,"관찰기준 확인",IF(N534&gt;'종합 현황'!$H$5,"내부 관찰 대상","내부 관찰일 이하")))))</x:f>
        <x:v>대상 아님</x:v>
      </x:c>
      <x:c r="AB534" s="2"/>
    </x:row>
    <x:row r="535" ht="42" customHeight="1">
      <x:c r="A535" s="2" t="str">
        <x:v>7b5f475b61e3583d2469b6e7</x:v>
      </x:c>
      <x:c r="B535" s="2" t="str">
        <x:v>사업 평가</x:v>
      </x:c>
      <x:c r="C535" s="2" t="str">
        <x:v>국내</x:v>
      </x:c>
      <x:c r="D535" s="7" t="str">
        <x:v>㈜한화 울산소재 질산공장 N2O 감축 프로젝트</x:v>
      </x:c>
      <x:c r="E535" s="2" t="str">
        <x:v>396</x:v>
      </x:c>
      <x:c r="F535" s="2" t="str">
        <x:v>2020-12-21</x:v>
      </x:c>
      <x:c r="G535" s="2" t="str">
        <x:v>2020</x:v>
      </x:c>
      <x:c r="H535" s="2" t="str">
        <x:v>12</x:v>
      </x:c>
      <x:c r="I535" s="2" t="str">
        <x:v>인증유효기간 갱신</x:v>
      </x:c>
      <x:c r="J535" s="2" t="str">
        <x:v>심의승인</x:v>
      </x:c>
      <x:c r="K535" s="2" t="str">
        <x:f>IF(OR(J535="심의승인",J535="반려",J535="반려완료",J535="심의완료"),"종결 표시",IF(OR(J535="기후부협의",J535="문서재제출요청",J535="보류",J535="보완요청",J535="보완완료",J535="평가중",J535="반려요청",J535="평가필요",LEFT(J535,5)="보완요청("),"미종결 표시","상태 확인 필요"))</x:f>
        <x:v>종결 표시</x:v>
      </x:c>
      <x:c r="L535" s="2" t="str">
        <x:v>에코시안_박세은</x:v>
      </x:c>
      <x:c r="M535" s="2"/>
      <x:c r="N535" s="8" t="n">
        <x:f>DATE(2026,10,15)-DATE(2020,12,21)</x:f>
        <x:v>2124</x:v>
      </x:c>
      <x:c r="O535" s="2" t="str">
        <x:v>생략</x:v>
      </x:c>
      <x:c r="P535" s="2" t="str">
        <x:v>57차 인증위 승인</x:v>
      </x:c>
      <x:c r="Q535" s="2" t="str">
        <x:v>산업전환_외부사업관리Tool_260707_이너젠 수정_LJY_261013.xlsx</x:v>
      </x:c>
      <x:c r="R535" s="2" t="str">
        <x:v>국내평가</x:v>
      </x:c>
      <x:c r="S535" s="8" t="n">
        <x:v>438</x:v>
      </x:c>
      <x:c r="T535" s="2" t="str">
        <x:v>(5/7), (6/28)</x:v>
      </x:c>
      <x:c r="U535" s="2" t="str">
        <x:v>2021 배정: (5/7), (6/28) / 2024 배정: (1/12)</x:v>
      </x:c>
      <x:c r="V535" s="2" t="str">
        <x:v>2024-06-10</x:v>
      </x:c>
      <x:c r="W535" s="2" t="str"/>
      <x:c r="X535" s="2" t="str">
        <x:v>종결 근거 보관</x:v>
      </x:c>
      <x:c r="Y535" s="2" t="str">
        <x:v>ad210cd9ec132cfd447541c8984dc53d30aff0f4fb2dc92d254d49275cc55976</x:v>
      </x:c>
      <x:c r="Z535" s="2" t="n">
        <x:f>SUBTOTAL(103,A535)</x:f>
        <x:v>1</x:v>
      </x:c>
      <x:c r="AA535" s="2" t="str">
        <x:f>IF(K535&lt;&gt;"미종결 표시","대상 아님",IF(N535="","신청일 확인",IF(NOT(ISNUMBER('종합 현황'!$H$5)),"관찰기준 확인",IF('종합 현황'!$H$5&lt;1,"관찰기준 확인",IF(N535&gt;'종합 현황'!$H$5,"내부 관찰 대상","내부 관찰일 이하")))))</x:f>
        <x:v>대상 아님</x:v>
      </x:c>
      <x:c r="AB535" s="2"/>
    </x:row>
    <x:row r="536" ht="42" customHeight="1">
      <x:c r="A536" s="2" t="str">
        <x:v>b19fcab7a40f38d5a303e3fa</x:v>
      </x:c>
      <x:c r="B536" s="2" t="str">
        <x:v>사업 평가</x:v>
      </x:c>
      <x:c r="C536" s="2" t="str">
        <x:v>국내</x:v>
      </x:c>
      <x:c r="D536" s="7" t="str">
        <x:v>녹산폐션칼라협동조합 고효율블로워 도입</x:v>
      </x:c>
      <x:c r="E536" s="2" t="str">
        <x:v>397</x:v>
      </x:c>
      <x:c r="F536" s="2" t="str">
        <x:v>2018-11-27</x:v>
      </x:c>
      <x:c r="G536" s="2" t="str">
        <x:v>2018</x:v>
      </x:c>
      <x:c r="H536" s="2" t="str">
        <x:v>11</x:v>
      </x:c>
      <x:c r="I536" s="2" t="str">
        <x:v>반려</x:v>
      </x:c>
      <x:c r="J536" s="2" t="str">
        <x:v>반려</x:v>
      </x:c>
      <x:c r="K536" s="2" t="str">
        <x:f>IF(OR(J536="심의승인",J536="반려",J536="반려완료",J536="심의완료"),"종결 표시",IF(OR(J536="기후부협의",J536="문서재제출요청",J536="보류",J536="보완요청",J536="보완완료",J536="평가중",J536="반려요청",J536="평가필요",LEFT(J536,5)="보완요청("),"미종결 표시","상태 확인 필요"))</x:f>
        <x:v>종결 표시</x:v>
      </x:c>
      <x:c r="L536" s="2"/>
      <x:c r="M536" s="2"/>
      <x:c r="N536" s="8" t="n">
        <x:f>DATE(2026,10,15)-DATE(2018,11,27)</x:f>
        <x:v>2879</x:v>
      </x:c>
      <x:c r="O536" s="2"/>
      <x:c r="P536" s="2"/>
      <x:c r="Q536" s="2" t="str">
        <x:v>산업전환_외부사업관리Tool_260707_이너젠 수정_LJY_261013.xlsx</x:v>
      </x:c>
      <x:c r="R536" s="2" t="str">
        <x:v>국내평가</x:v>
      </x:c>
      <x:c r="S536" s="8" t="n">
        <x:v>439</x:v>
      </x:c>
      <x:c r="T536" s="2" t="str">
        <x:v>2021년 처리</x:v>
      </x:c>
      <x:c r="U536" s="2" t="str">
        <x:v>2021 배정: 2021년 처리</x:v>
      </x:c>
      <x:c r="V536" s="2" t="str">
        <x:v>2021-06-17</x:v>
      </x:c>
      <x:c r="W536" s="2" t="str">
        <x:v>담당기관 확인</x:v>
      </x:c>
      <x:c r="X536" s="2" t="str">
        <x:v>원본·배정 기록 확인</x:v>
      </x:c>
      <x:c r="Y536" s="2" t="str">
        <x:v>ad210cd9ec132cfd447541c8984dc53d30aff0f4fb2dc92d254d49275cc55976</x:v>
      </x:c>
      <x:c r="Z536" s="2" t="n">
        <x:f>SUBTOTAL(103,A536)</x:f>
        <x:v>1</x:v>
      </x:c>
      <x:c r="AA536" s="2" t="str">
        <x:f>IF(K536&lt;&gt;"미종결 표시","대상 아님",IF(N536="","신청일 확인",IF(NOT(ISNUMBER('종합 현황'!$H$5)),"관찰기준 확인",IF('종합 현황'!$H$5&lt;1,"관찰기준 확인",IF(N536&gt;'종합 현황'!$H$5,"내부 관찰 대상","내부 관찰일 이하")))))</x:f>
        <x:v>대상 아님</x:v>
      </x:c>
      <x:c r="AB536" s="2"/>
    </x:row>
    <x:row r="537" ht="42" customHeight="1">
      <x:c r="A537" s="2" t="str">
        <x:v>53a6a34993ed969da4a5381a</x:v>
      </x:c>
      <x:c r="B537" s="2" t="str">
        <x:v>사업 평가</x:v>
      </x:c>
      <x:c r="C537" s="2" t="str">
        <x:v>국내</x:v>
      </x:c>
      <x:c r="D537" s="7" t="str">
        <x:v>현대제철 태양광 발전설비 설치 및 자가사용 사업(사회공헌)</x:v>
      </x:c>
      <x:c r="E537" s="2" t="str">
        <x:v>398</x:v>
      </x:c>
      <x:c r="F537" s="2" t="str">
        <x:v>2018-08-10</x:v>
      </x:c>
      <x:c r="G537" s="2" t="str">
        <x:v>2018</x:v>
      </x:c>
      <x:c r="H537" s="2" t="str">
        <x:v>08</x:v>
      </x:c>
      <x:c r="I537" s="2" t="str">
        <x:v>승인</x:v>
      </x:c>
      <x:c r="J537" s="2" t="str">
        <x:v>심의승인</x:v>
      </x:c>
      <x:c r="K537" s="2" t="str">
        <x:f>IF(OR(J537="심의승인",J537="반려",J537="반려완료",J537="심의완료"),"종결 표시",IF(OR(J537="기후부협의",J537="문서재제출요청",J537="보류",J537="보완요청",J537="보완완료",J537="평가중",J537="반려요청",J537="평가필요",LEFT(J537,5)="보완요청("),"미종결 표시","상태 확인 필요"))</x:f>
        <x:v>종결 표시</x:v>
      </x:c>
      <x:c r="L537" s="2"/>
      <x:c r="M537" s="2"/>
      <x:c r="N537" s="8" t="n">
        <x:f>DATE(2026,10,15)-DATE(2018,8,10)</x:f>
        <x:v>2988</x:v>
      </x:c>
      <x:c r="O537" s="2"/>
      <x:c r="P537" s="2"/>
      <x:c r="Q537" s="2" t="str">
        <x:v>산업전환_외부사업관리Tool_260707_이너젠 수정_LJY_261013.xlsx</x:v>
      </x:c>
      <x:c r="R537" s="2" t="str">
        <x:v>국내평가</x:v>
      </x:c>
      <x:c r="S537" s="8" t="n">
        <x:v>440</x:v>
      </x:c>
      <x:c r="T537" s="2"/>
      <x:c r="U537" s="2" t="str"/>
      <x:c r="V537" s="2" t="str">
        <x:v>2020-10-19</x:v>
      </x:c>
      <x:c r="W537" s="2" t="str">
        <x:v>담당기관 확인</x:v>
      </x:c>
      <x:c r="X537" s="2" t="str">
        <x:v>원본·배정 기록 확인</x:v>
      </x:c>
      <x:c r="Y537" s="2" t="str">
        <x:v>ad210cd9ec132cfd447541c8984dc53d30aff0f4fb2dc92d254d49275cc55976</x:v>
      </x:c>
      <x:c r="Z537" s="2" t="n">
        <x:f>SUBTOTAL(103,A537)</x:f>
        <x:v>1</x:v>
      </x:c>
      <x:c r="AA537" s="2" t="str">
        <x:f>IF(K537&lt;&gt;"미종결 표시","대상 아님",IF(N537="","신청일 확인",IF(NOT(ISNUMBER('종합 현황'!$H$5)),"관찰기준 확인",IF('종합 현황'!$H$5&lt;1,"관찰기준 확인",IF(N537&gt;'종합 현황'!$H$5,"내부 관찰 대상","내부 관찰일 이하")))))</x:f>
        <x:v>대상 아님</x:v>
      </x:c>
      <x:c r="AB537" s="2"/>
    </x:row>
    <x:row r="538" ht="42" customHeight="1">
      <x:c r="A538" s="2" t="str">
        <x:v>6bb94b4623f697ce22d34aec</x:v>
      </x:c>
      <x:c r="B538" s="2" t="str">
        <x:v>사업 평가</x:v>
      </x:c>
      <x:c r="C538" s="2" t="str">
        <x:v>국내</x:v>
      </x:c>
      <x:c r="D538" s="7" t="str">
        <x:v>2017년 수도권역 기존 심야전기 보일러의 축열식 히트펌프 보일러 교체를 통한 온실가스 묶음 감축 사업</x:v>
      </x:c>
      <x:c r="E538" s="2" t="str">
        <x:v>399</x:v>
      </x:c>
      <x:c r="F538" s="2" t="str">
        <x:v>2018-02-19</x:v>
      </x:c>
      <x:c r="G538" s="2" t="str">
        <x:v>2018</x:v>
      </x:c>
      <x:c r="H538" s="2" t="str">
        <x:v>02</x:v>
      </x:c>
      <x:c r="I538" s="2" t="str">
        <x:v>승인</x:v>
      </x:c>
      <x:c r="J538" s="2" t="str">
        <x:v>심의승인</x:v>
      </x:c>
      <x:c r="K538" s="2" t="str">
        <x:f>IF(OR(J538="심의승인",J538="반려",J538="반려완료",J538="심의완료"),"종결 표시",IF(OR(J538="기후부협의",J538="문서재제출요청",J538="보류",J538="보완요청",J538="보완완료",J538="평가중",J538="반려요청",J538="평가필요",LEFT(J538,5)="보완요청("),"미종결 표시","상태 확인 필요"))</x:f>
        <x:v>종결 표시</x:v>
      </x:c>
      <x:c r="L538" s="2" t="str">
        <x:v>공단, DNV_박상연, KECM</x:v>
      </x:c>
      <x:c r="M538" s="2"/>
      <x:c r="N538" s="8" t="n">
        <x:f>DATE(2026,10,15)-DATE(2018,2,19)</x:f>
        <x:v>3160</x:v>
      </x:c>
      <x:c r="O538" s="2" t="str">
        <x:v>생략</x:v>
      </x:c>
      <x:c r="P538" s="2"/>
      <x:c r="Q538" s="2" t="str">
        <x:v>산업전환_외부사업관리Tool_260707_이너젠 수정_LJY_261013.xlsx</x:v>
      </x:c>
      <x:c r="R538" s="2" t="str">
        <x:v>국내평가</x:v>
      </x:c>
      <x:c r="S538" s="8" t="n">
        <x:v>441</x:v>
      </x:c>
      <x:c r="T538" s="2" t="str">
        <x:v>(9/14), (10/20)</x:v>
      </x:c>
      <x:c r="U538" s="2" t="str">
        <x:v>2021 배정: (9/14), (10/20) / 2023 배정: (1/30),(10/6) / 2024 배정: (9/2) / 2025 배정: (2/6),(5/8)</x:v>
      </x:c>
      <x:c r="V538" s="2" t="str">
        <x:v>2025-09-08</x:v>
      </x:c>
      <x:c r="W538" s="2" t="str"/>
      <x:c r="X538" s="2" t="str">
        <x:v>종결 근거 보관</x:v>
      </x:c>
      <x:c r="Y538" s="2" t="str">
        <x:v>ad210cd9ec132cfd447541c8984dc53d30aff0f4fb2dc92d254d49275cc55976</x:v>
      </x:c>
      <x:c r="Z538" s="2" t="n">
        <x:f>SUBTOTAL(103,A538)</x:f>
        <x:v>1</x:v>
      </x:c>
      <x:c r="AA538" s="2" t="str">
        <x:f>IF(K538&lt;&gt;"미종결 표시","대상 아님",IF(N538="","신청일 확인",IF(NOT(ISNUMBER('종합 현황'!$H$5)),"관찰기준 확인",IF('종합 현황'!$H$5&lt;1,"관찰기준 확인",IF(N538&gt;'종합 현황'!$H$5,"내부 관찰 대상","내부 관찰일 이하")))))</x:f>
        <x:v>대상 아님</x:v>
      </x:c>
      <x:c r="AB538" s="2"/>
    </x:row>
    <x:row r="539" ht="42" customHeight="1">
      <x:c r="A539" s="2" t="str">
        <x:v>c24f98f6d73e453cb46fd178</x:v>
      </x:c>
      <x:c r="B539" s="2" t="str">
        <x:v>사업 평가</x:v>
      </x:c>
      <x:c r="C539" s="2" t="str">
        <x:v>국내</x:v>
      </x:c>
      <x:c r="D539" s="7" t="str">
        <x:v>녹산폐션칼라사업협동조합 고효율 공기압축기 도입</x:v>
      </x:c>
      <x:c r="E539" s="2" t="str">
        <x:v>400</x:v>
      </x:c>
      <x:c r="F539" s="2" t="str">
        <x:v>2018-11-27</x:v>
      </x:c>
      <x:c r="G539" s="2" t="str">
        <x:v>2018</x:v>
      </x:c>
      <x:c r="H539" s="2" t="str">
        <x:v>11</x:v>
      </x:c>
      <x:c r="I539" s="2" t="str">
        <x:v>반려</x:v>
      </x:c>
      <x:c r="J539" s="2" t="str">
        <x:v>반려</x:v>
      </x:c>
      <x:c r="K539" s="2" t="str">
        <x:f>IF(OR(J539="심의승인",J539="반려",J539="반려완료",J539="심의완료"),"종결 표시",IF(OR(J539="기후부협의",J539="문서재제출요청",J539="보류",J539="보완요청",J539="보완완료",J539="평가중",J539="반려요청",J539="평가필요",LEFT(J539,5)="보완요청("),"미종결 표시","상태 확인 필요"))</x:f>
        <x:v>종결 표시</x:v>
      </x:c>
      <x:c r="L539" s="2"/>
      <x:c r="M539" s="2"/>
      <x:c r="N539" s="8" t="n">
        <x:f>DATE(2026,10,15)-DATE(2018,11,27)</x:f>
        <x:v>2879</x:v>
      </x:c>
      <x:c r="O539" s="2"/>
      <x:c r="P539" s="2"/>
      <x:c r="Q539" s="2" t="str">
        <x:v>산업전환_외부사업관리Tool_260707_이너젠 수정_LJY_261013.xlsx</x:v>
      </x:c>
      <x:c r="R539" s="2" t="str">
        <x:v>국내평가</x:v>
      </x:c>
      <x:c r="S539" s="8" t="n">
        <x:v>442</x:v>
      </x:c>
      <x:c r="T539" s="2" t="str">
        <x:v>2021년 처리</x:v>
      </x:c>
      <x:c r="U539" s="2" t="str">
        <x:v>2021 배정: 2021년 처리</x:v>
      </x:c>
      <x:c r="V539" s="2" t="str">
        <x:v>2021-06-17</x:v>
      </x:c>
      <x:c r="W539" s="2" t="str">
        <x:v>담당기관 확인</x:v>
      </x:c>
      <x:c r="X539" s="2" t="str">
        <x:v>원본·배정 기록 확인</x:v>
      </x:c>
      <x:c r="Y539" s="2" t="str">
        <x:v>ad210cd9ec132cfd447541c8984dc53d30aff0f4fb2dc92d254d49275cc55976</x:v>
      </x:c>
      <x:c r="Z539" s="2" t="n">
        <x:f>SUBTOTAL(103,A539)</x:f>
        <x:v>1</x:v>
      </x:c>
      <x:c r="AA539" s="2" t="str">
        <x:f>IF(K539&lt;&gt;"미종결 표시","대상 아님",IF(N539="","신청일 확인",IF(NOT(ISNUMBER('종합 현황'!$H$5)),"관찰기준 확인",IF('종합 현황'!$H$5&lt;1,"관찰기준 확인",IF(N539&gt;'종합 현황'!$H$5,"내부 관찰 대상","내부 관찰일 이하")))))</x:f>
        <x:v>대상 아님</x:v>
      </x:c>
      <x:c r="AB539" s="2"/>
    </x:row>
    <x:row r="540" ht="42" customHeight="1">
      <x:c r="A540" s="2" t="str">
        <x:v>766f62ad7da4b393eea60161</x:v>
      </x:c>
      <x:c r="B540" s="2" t="str">
        <x:v>사업 평가</x:v>
      </x:c>
      <x:c r="C540" s="2" t="str">
        <x:v>국내</x:v>
      </x:c>
      <x:c r="D540" s="7" t="str">
        <x:v>고효율 공기압축기 도입을 통한 온실가스 감축사업</x:v>
      </x:c>
      <x:c r="E540" s="2" t="str">
        <x:v>401</x:v>
      </x:c>
      <x:c r="F540" s="2" t="str">
        <x:v>2018-12-03</x:v>
      </x:c>
      <x:c r="G540" s="2" t="str">
        <x:v>2018</x:v>
      </x:c>
      <x:c r="H540" s="2" t="str">
        <x:v>12</x:v>
      </x:c>
      <x:c r="I540" s="2" t="str">
        <x:v>반려</x:v>
      </x:c>
      <x:c r="J540" s="2" t="str">
        <x:v>반려</x:v>
      </x:c>
      <x:c r="K540" s="2" t="str">
        <x:f>IF(OR(J540="심의승인",J540="반려",J540="반려완료",J540="심의완료"),"종결 표시",IF(OR(J540="기후부협의",J540="문서재제출요청",J540="보류",J540="보완요청",J540="보완완료",J540="평가중",J540="반려요청",J540="평가필요",LEFT(J540,5)="보완요청("),"미종결 표시","상태 확인 필요"))</x:f>
        <x:v>종결 표시</x:v>
      </x:c>
      <x:c r="L540" s="2"/>
      <x:c r="M540" s="2"/>
      <x:c r="N540" s="8" t="n">
        <x:f>DATE(2026,10,15)-DATE(2018,12,3)</x:f>
        <x:v>2873</x:v>
      </x:c>
      <x:c r="O540" s="2"/>
      <x:c r="P540" s="2"/>
      <x:c r="Q540" s="2" t="str">
        <x:v>산업전환_외부사업관리Tool_260707_이너젠 수정_LJY_261013.xlsx</x:v>
      </x:c>
      <x:c r="R540" s="2" t="str">
        <x:v>국내평가</x:v>
      </x:c>
      <x:c r="S540" s="8" t="n">
        <x:v>443</x:v>
      </x:c>
      <x:c r="T540" s="2" t="str">
        <x:v>2021년 처리</x:v>
      </x:c>
      <x:c r="U540" s="2" t="str">
        <x:v>2021 배정: 2021년 처리</x:v>
      </x:c>
      <x:c r="V540" s="2" t="str">
        <x:v>2021-06-07</x:v>
      </x:c>
      <x:c r="W540" s="2" t="str">
        <x:v>담당기관 확인</x:v>
      </x:c>
      <x:c r="X540" s="2" t="str">
        <x:v>원본·배정 기록 확인</x:v>
      </x:c>
      <x:c r="Y540" s="2" t="str">
        <x:v>ad210cd9ec132cfd447541c8984dc53d30aff0f4fb2dc92d254d49275cc55976</x:v>
      </x:c>
      <x:c r="Z540" s="2" t="n">
        <x:f>SUBTOTAL(103,A540)</x:f>
        <x:v>1</x:v>
      </x:c>
      <x:c r="AA540" s="2" t="str">
        <x:f>IF(K540&lt;&gt;"미종결 표시","대상 아님",IF(N540="","신청일 확인",IF(NOT(ISNUMBER('종합 현황'!$H$5)),"관찰기준 확인",IF('종합 현황'!$H$5&lt;1,"관찰기준 확인",IF(N540&gt;'종합 현황'!$H$5,"내부 관찰 대상","내부 관찰일 이하")))))</x:f>
        <x:v>대상 아님</x:v>
      </x:c>
      <x:c r="AB540" s="2"/>
    </x:row>
    <x:row r="541" ht="42" customHeight="1">
      <x:c r="A541" s="2" t="str">
        <x:v>5cbf99aa3230b7799b7ee724</x:v>
      </x:c>
      <x:c r="B541" s="2" t="str">
        <x:v>사업 평가</x:v>
      </x:c>
      <x:c r="C541" s="2" t="str">
        <x:v>국내</x:v>
      </x:c>
      <x:c r="D541" s="7" t="str">
        <x:v>부옥물산의 B-C유에서 LNG로 연료전환을 통한 온실가스 배출 감축사업</x:v>
      </x:c>
      <x:c r="E541" s="2" t="str">
        <x:v>402</x:v>
      </x:c>
      <x:c r="F541" s="2" t="str">
        <x:v>2018-10-04</x:v>
      </x:c>
      <x:c r="G541" s="2" t="str">
        <x:v>2018</x:v>
      </x:c>
      <x:c r="H541" s="2" t="str">
        <x:v>10</x:v>
      </x:c>
      <x:c r="I541" s="2" t="str">
        <x:v>승인</x:v>
      </x:c>
      <x:c r="J541" s="2" t="str">
        <x:v>심의승인</x:v>
      </x:c>
      <x:c r="K541" s="2" t="str">
        <x:f>IF(OR(J541="심의승인",J541="반려",J541="반려완료",J541="심의완료"),"종결 표시",IF(OR(J541="기후부협의",J541="문서재제출요청",J541="보류",J541="보완요청",J541="보완완료",J541="평가중",J541="반려요청",J541="평가필요",LEFT(J541,5)="보완요청("),"미종결 표시","상태 확인 필요"))</x:f>
        <x:v>종결 표시</x:v>
      </x:c>
      <x:c r="L541" s="2"/>
      <x:c r="M541" s="2"/>
      <x:c r="N541" s="8" t="n">
        <x:f>DATE(2026,10,15)-DATE(2018,10,4)</x:f>
        <x:v>2933</x:v>
      </x:c>
      <x:c r="O541" s="2"/>
      <x:c r="P541" s="2"/>
      <x:c r="Q541" s="2" t="str">
        <x:v>산업전환_외부사업관리Tool_260707_이너젠 수정_LJY_261013.xlsx</x:v>
      </x:c>
      <x:c r="R541" s="2" t="str">
        <x:v>국내평가</x:v>
      </x:c>
      <x:c r="S541" s="8" t="n">
        <x:v>444</x:v>
      </x:c>
      <x:c r="T541" s="2"/>
      <x:c r="U541" s="2" t="str"/>
      <x:c r="V541" s="2" t="str">
        <x:v>2020-04-14</x:v>
      </x:c>
      <x:c r="W541" s="2" t="str">
        <x:v>담당기관 확인</x:v>
      </x:c>
      <x:c r="X541" s="2" t="str">
        <x:v>원본·배정 기록 확인</x:v>
      </x:c>
      <x:c r="Y541" s="2" t="str">
        <x:v>ad210cd9ec132cfd447541c8984dc53d30aff0f4fb2dc92d254d49275cc55976</x:v>
      </x:c>
      <x:c r="Z541" s="2" t="n">
        <x:f>SUBTOTAL(103,A541)</x:f>
        <x:v>1</x:v>
      </x:c>
      <x:c r="AA541" s="2" t="str">
        <x:f>IF(K541&lt;&gt;"미종결 표시","대상 아님",IF(N541="","신청일 확인",IF(NOT(ISNUMBER('종합 현황'!$H$5)),"관찰기준 확인",IF('종합 현황'!$H$5&lt;1,"관찰기준 확인",IF(N541&gt;'종합 현황'!$H$5,"내부 관찰 대상","내부 관찰일 이하")))))</x:f>
        <x:v>대상 아님</x:v>
      </x:c>
      <x:c r="AB541" s="2"/>
    </x:row>
    <x:row r="542" ht="42" customHeight="1">
      <x:c r="A542" s="2" t="str">
        <x:v>e4e5269aba58db566f03f1c9</x:v>
      </x:c>
      <x:c r="B542" s="2" t="str">
        <x:v>사업 평가</x:v>
      </x:c>
      <x:c r="C542" s="2" t="str">
        <x:v>국내</x:v>
      </x:c>
      <x:c r="D542" s="7" t="str">
        <x:v>덕성 인천사업장의 B-A유 및 B-C유에서 LNG로 연료전환을 통한 온실가스 배출 감축사업</x:v>
      </x:c>
      <x:c r="E542" s="2" t="str">
        <x:v>403</x:v>
      </x:c>
      <x:c r="F542" s="2" t="str">
        <x:v>2018-10-17</x:v>
      </x:c>
      <x:c r="G542" s="2" t="str">
        <x:v>2018</x:v>
      </x:c>
      <x:c r="H542" s="2" t="str">
        <x:v>10</x:v>
      </x:c>
      <x:c r="I542" s="2" t="str">
        <x:v>승인</x:v>
      </x:c>
      <x:c r="J542" s="2" t="str">
        <x:v>심의승인</x:v>
      </x:c>
      <x:c r="K542" s="2" t="str">
        <x:f>IF(OR(J542="심의승인",J542="반려",J542="반려완료",J542="심의완료"),"종결 표시",IF(OR(J542="기후부협의",J542="문서재제출요청",J542="보류",J542="보완요청",J542="보완완료",J542="평가중",J542="반려요청",J542="평가필요",LEFT(J542,5)="보완요청("),"미종결 표시","상태 확인 필요"))</x:f>
        <x:v>종결 표시</x:v>
      </x:c>
      <x:c r="L542" s="2"/>
      <x:c r="M542" s="2"/>
      <x:c r="N542" s="8" t="n">
        <x:f>DATE(2026,10,15)-DATE(2018,10,17)</x:f>
        <x:v>2920</x:v>
      </x:c>
      <x:c r="O542" s="2"/>
      <x:c r="P542" s="2"/>
      <x:c r="Q542" s="2" t="str">
        <x:v>산업전환_외부사업관리Tool_260707_이너젠 수정_LJY_261013.xlsx</x:v>
      </x:c>
      <x:c r="R542" s="2" t="str">
        <x:v>국내평가</x:v>
      </x:c>
      <x:c r="S542" s="8" t="n">
        <x:v>445</x:v>
      </x:c>
      <x:c r="T542" s="2"/>
      <x:c r="U542" s="2" t="str"/>
      <x:c r="V542" s="2" t="str">
        <x:v>2021-03-22</x:v>
      </x:c>
      <x:c r="W542" s="2" t="str">
        <x:v>담당기관 확인</x:v>
      </x:c>
      <x:c r="X542" s="2" t="str">
        <x:v>원본·배정 기록 확인</x:v>
      </x:c>
      <x:c r="Y542" s="2" t="str">
        <x:v>ad210cd9ec132cfd447541c8984dc53d30aff0f4fb2dc92d254d49275cc55976</x:v>
      </x:c>
      <x:c r="Z542" s="2" t="n">
        <x:f>SUBTOTAL(103,A542)</x:f>
        <x:v>1</x:v>
      </x:c>
      <x:c r="AA542" s="2" t="str">
        <x:f>IF(K542&lt;&gt;"미종결 표시","대상 아님",IF(N542="","신청일 확인",IF(NOT(ISNUMBER('종합 현황'!$H$5)),"관찰기준 확인",IF('종합 현황'!$H$5&lt;1,"관찰기준 확인",IF(N542&gt;'종합 현황'!$H$5,"내부 관찰 대상","내부 관찰일 이하")))))</x:f>
        <x:v>대상 아님</x:v>
      </x:c>
      <x:c r="AB542" s="2"/>
    </x:row>
    <x:row r="543" ht="42" customHeight="1">
      <x:c r="A543" s="2" t="str">
        <x:v>9e7802ae5efa5e65b0e04e8b</x:v>
      </x:c>
      <x:c r="B543" s="2" t="str">
        <x:v>사업 평가</x:v>
      </x:c>
      <x:c r="C543" s="2" t="str">
        <x:v>국내</x:v>
      </x:c>
      <x:c r="D543" s="7" t="str">
        <x:v>2017년 경기남부권역 기존 심야전기 보일러의 축열식 히트펌프 보일러 교체를 통한 온실가스 묶음 감축사업</x:v>
      </x:c>
      <x:c r="E543" s="2" t="str">
        <x:v>404</x:v>
      </x:c>
      <x:c r="F543" s="2" t="str">
        <x:v>2018-02-19</x:v>
      </x:c>
      <x:c r="G543" s="2" t="str">
        <x:v>2018</x:v>
      </x:c>
      <x:c r="H543" s="2" t="str">
        <x:v>02</x:v>
      </x:c>
      <x:c r="I543" s="2" t="str">
        <x:v>승인</x:v>
      </x:c>
      <x:c r="J543" s="2" t="str">
        <x:v>심의승인</x:v>
      </x:c>
      <x:c r="K543" s="2" t="str">
        <x:f>IF(OR(J543="심의승인",J543="반려",J543="반려완료",J543="심의완료"),"종결 표시",IF(OR(J543="기후부협의",J543="문서재제출요청",J543="보류",J543="보완요청",J543="보완완료",J543="평가중",J543="반려요청",J543="평가필요",LEFT(J543,5)="보완요청("),"미종결 표시","상태 확인 필요"))</x:f>
        <x:v>종결 표시</x:v>
      </x:c>
      <x:c r="L543" s="2" t="str">
        <x:v>에코시안_최용철, DNV_장유리&gt;조영우</x:v>
      </x:c>
      <x:c r="M543" s="2"/>
      <x:c r="N543" s="8" t="n">
        <x:f>DATE(2026,10,15)-DATE(2018,2,19)</x:f>
        <x:v>3160</x:v>
      </x:c>
      <x:c r="O543" s="2" t="str">
        <x:v>생략</x:v>
      </x:c>
      <x:c r="P543" s="2"/>
      <x:c r="Q543" s="2" t="str">
        <x:v>산업전환_외부사업관리Tool_260707_이너젠 수정_LJY_261013.xlsx</x:v>
      </x:c>
      <x:c r="R543" s="2" t="str">
        <x:v>국내평가</x:v>
      </x:c>
      <x:c r="S543" s="8" t="n">
        <x:v>446</x:v>
      </x:c>
      <x:c r="T543" s="2" t="str">
        <x:v>(9/14), (10/20)</x:v>
      </x:c>
      <x:c r="U543" s="2" t="str">
        <x:v>2021 배정: (9/14), (10/20) / 2023 배정: (1/30),(8/7),(10/6) / 2024 배정: (9/2) / 2025 배정: (2/6)</x:v>
      </x:c>
      <x:c r="V543" s="2" t="str">
        <x:v>2025-09-08</x:v>
      </x:c>
      <x:c r="W543" s="2" t="str"/>
      <x:c r="X543" s="2" t="str">
        <x:v>종결 근거 보관</x:v>
      </x:c>
      <x:c r="Y543" s="2" t="str">
        <x:v>ad210cd9ec132cfd447541c8984dc53d30aff0f4fb2dc92d254d49275cc55976</x:v>
      </x:c>
      <x:c r="Z543" s="2" t="n">
        <x:f>SUBTOTAL(103,A543)</x:f>
        <x:v>1</x:v>
      </x:c>
      <x:c r="AA543" s="2" t="str">
        <x:f>IF(K543&lt;&gt;"미종결 표시","대상 아님",IF(N543="","신청일 확인",IF(NOT(ISNUMBER('종합 현황'!$H$5)),"관찰기준 확인",IF('종합 현황'!$H$5&lt;1,"관찰기준 확인",IF(N543&gt;'종합 현황'!$H$5,"내부 관찰 대상","내부 관찰일 이하")))))</x:f>
        <x:v>대상 아님</x:v>
      </x:c>
      <x:c r="AB543" s="2"/>
    </x:row>
    <x:row r="544" ht="42" customHeight="1">
      <x:c r="A544" s="2" t="str">
        <x:v>fb911ce73df6fbd876a397be</x:v>
      </x:c>
      <x:c r="B544" s="2" t="str">
        <x:v>사업 평가</x:v>
      </x:c>
      <x:c r="C544" s="2" t="str">
        <x:v>국내</x:v>
      </x:c>
      <x:c r="D544" s="7" t="str">
        <x:v>(주)한일파워텍 고효율 공기압축기 교체를 통한  온실가스 감축사업</x:v>
      </x:c>
      <x:c r="E544" s="2" t="str">
        <x:v>405</x:v>
      </x:c>
      <x:c r="F544" s="2" t="str">
        <x:v>2020-07-01</x:v>
      </x:c>
      <x:c r="G544" s="2" t="str">
        <x:v>2020</x:v>
      </x:c>
      <x:c r="H544" s="2" t="str">
        <x:v>07</x:v>
      </x:c>
      <x:c r="I544" s="2" t="str">
        <x:v>보완3차_문서보완중</x:v>
      </x:c>
      <x:c r="J544" s="2" t="str">
        <x:v>보완요청</x:v>
      </x:c>
      <x:c r="K544" s="2" t="str">
        <x:f>IF(OR(J544="심의승인",J544="반려",J544="반려완료",J544="심의완료"),"종결 표시",IF(OR(J544="기후부협의",J544="문서재제출요청",J544="보류",J544="보완요청",J544="보완완료",J544="평가중",J544="반려요청",J544="평가필요",LEFT(J544,5)="보완요청("),"미종결 표시","상태 확인 필요"))</x:f>
        <x:v>미종결 표시</x:v>
      </x:c>
      <x:c r="L544" s="2" t="str">
        <x:v>에코시안_정인혜&gt;박세은</x:v>
      </x:c>
      <x:c r="M544" s="2" t="n">
        <x:v>3</x:v>
      </x:c>
      <x:c r="N544" s="8" t="n">
        <x:f>DATE(2026,10,15)-DATE(2020,7,1)</x:f>
        <x:v>2297</x:v>
      </x:c>
      <x:c r="O544" s="2" t="str">
        <x:v>생략</x:v>
      </x:c>
      <x:c r="P544" s="2"/>
      <x:c r="Q544" s="2" t="str">
        <x:v>산업전환_외부사업관리Tool_260707_이너젠 수정_LJY_261013.xlsx</x:v>
      </x:c>
      <x:c r="R544" s="2" t="str">
        <x:v>국내평가</x:v>
      </x:c>
      <x:c r="S544" s="8" t="n">
        <x:v>447</x:v>
      </x:c>
      <x:c r="T544" s="2" t="str">
        <x:v>(4/23)</x:v>
      </x:c>
      <x:c r="U544" s="2" t="str">
        <x:v>2021 배정: (4/23) / 2022 배정: (3/16) / 2022 배정(신규): (10/19) / 2023 배정: (1/30),(6/27) / 2024 배정: (1/12),(2/5),(5/20) / 2025 배정: (4/17)</x:v>
      </x:c>
      <x:c r="V544" s="2" t="str">
        <x:v>2025-04-30</x:v>
      </x:c>
      <x:c r="W544" s="2" t="str"/>
      <x:c r="X544" s="2" t="str">
        <x:v>보완 회신 일정 확인</x:v>
      </x:c>
      <x:c r="Y544" s="2" t="str">
        <x:v>ad210cd9ec132cfd447541c8984dc53d30aff0f4fb2dc92d254d49275cc55976</x:v>
      </x:c>
      <x:c r="Z544" s="2" t="n">
        <x:f>SUBTOTAL(103,A544)</x:f>
        <x:v>1</x:v>
      </x:c>
      <x:c r="AA544" s="2" t="str">
        <x:f>IF(K544&lt;&gt;"미종결 표시","대상 아님",IF(N544="","신청일 확인",IF(NOT(ISNUMBER('종합 현황'!$H$5)),"관찰기준 확인",IF('종합 현황'!$H$5&lt;1,"관찰기준 확인",IF(N544&gt;'종합 현황'!$H$5,"내부 관찰 대상","내부 관찰일 이하")))))</x:f>
        <x:v>내부 관찰 대상</x:v>
      </x:c>
      <x:c r="AB544" s="2"/>
    </x:row>
    <x:row r="545" ht="42" customHeight="1">
      <x:c r="A545" s="2" t="str">
        <x:v>d95b6c2df6ad8c3a8552f090</x:v>
      </x:c>
      <x:c r="B545" s="2" t="str">
        <x:v>사업 평가</x:v>
      </x:c>
      <x:c r="C545" s="2" t="str">
        <x:v>국내</x:v>
      </x:c>
      <x:c r="D545" s="7" t="str">
        <x:v>인천광역시 주택 태양광 발전설비 보급 프로그램 감축사업</x:v>
      </x:c>
      <x:c r="E545" s="2" t="str">
        <x:v>406</x:v>
      </x:c>
      <x:c r="F545" s="2" t="str">
        <x:v>2019-12-31</x:v>
      </x:c>
      <x:c r="G545" s="2" t="str">
        <x:v>2019</x:v>
      </x:c>
      <x:c r="H545" s="2" t="str">
        <x:v>12</x:v>
      </x:c>
      <x:c r="I545" s="2" t="str">
        <x:v>반려</x:v>
      </x:c>
      <x:c r="J545" s="2" t="str">
        <x:v>반려</x:v>
      </x:c>
      <x:c r="K545" s="2" t="str">
        <x:f>IF(OR(J545="심의승인",J545="반려",J545="반려완료",J545="심의완료"),"종결 표시",IF(OR(J545="기후부협의",J545="문서재제출요청",J545="보류",J545="보완요청",J545="보완완료",J545="평가중",J545="반려요청",J545="평가필요",LEFT(J545,5)="보완요청("),"미종결 표시","상태 확인 필요"))</x:f>
        <x:v>종결 표시</x:v>
      </x:c>
      <x:c r="L545" s="2" t="str">
        <x:v>에코시안_정인혜</x:v>
      </x:c>
      <x:c r="M545" s="2"/>
      <x:c r="N545" s="8" t="n">
        <x:f>DATE(2026,10,15)-DATE(2019,12,31)</x:f>
        <x:v>2480</x:v>
      </x:c>
      <x:c r="O545" s="2"/>
      <x:c r="P545" s="2"/>
      <x:c r="Q545" s="2" t="str">
        <x:v>산업전환_외부사업관리Tool_260707_이너젠 수정_LJY_261013.xlsx</x:v>
      </x:c>
      <x:c r="R545" s="2" t="str">
        <x:v>국내평가</x:v>
      </x:c>
      <x:c r="S545" s="8" t="n">
        <x:v>448</x:v>
      </x:c>
      <x:c r="T545" s="2" t="str">
        <x:v>(4/23)</x:v>
      </x:c>
      <x:c r="U545" s="2" t="str">
        <x:v>2021 배정: (4/23)</x:v>
      </x:c>
      <x:c r="V545" s="2" t="str">
        <x:v>2021-12-23</x:v>
      </x:c>
      <x:c r="W545" s="2" t="str"/>
      <x:c r="X545" s="2" t="str">
        <x:v>종결 근거 보관</x:v>
      </x:c>
      <x:c r="Y545" s="2" t="str">
        <x:v>ad210cd9ec132cfd447541c8984dc53d30aff0f4fb2dc92d254d49275cc55976</x:v>
      </x:c>
      <x:c r="Z545" s="2" t="n">
        <x:f>SUBTOTAL(103,A545)</x:f>
        <x:v>1</x:v>
      </x:c>
      <x:c r="AA545" s="2" t="str">
        <x:f>IF(K545&lt;&gt;"미종결 표시","대상 아님",IF(N545="","신청일 확인",IF(NOT(ISNUMBER('종합 현황'!$H$5)),"관찰기준 확인",IF('종합 현황'!$H$5&lt;1,"관찰기준 확인",IF(N545&gt;'종합 현황'!$H$5,"내부 관찰 대상","내부 관찰일 이하")))))</x:f>
        <x:v>대상 아님</x:v>
      </x:c>
      <x:c r="AB545" s="2"/>
    </x:row>
    <x:row r="546" ht="42" customHeight="1">
      <x:c r="A546" s="2" t="str">
        <x:v>2d9ec4dacf169daf5d78bb37</x:v>
      </x:c>
      <x:c r="B546" s="2" t="str">
        <x:v>사업 평가</x:v>
      </x:c>
      <x:c r="C546" s="2" t="str">
        <x:v>국내</x:v>
      </x:c>
      <x:c r="D546" s="7" t="str">
        <x:v>㈜오렌지다이텍의 고효율 보일러 교체를 통한 온실가스(CO2) 배출 감축 사업</x:v>
      </x:c>
      <x:c r="E546" s="2" t="str">
        <x:v>407</x:v>
      </x:c>
      <x:c r="F546" s="2" t="str">
        <x:v>2023-05-25</x:v>
      </x:c>
      <x:c r="G546" s="2" t="str">
        <x:v>2023</x:v>
      </x:c>
      <x:c r="H546" s="2" t="str">
        <x:v>05</x:v>
      </x:c>
      <x:c r="I546" s="2" t="str">
        <x:v>보완3차_보완중</x:v>
      </x:c>
      <x:c r="J546" s="2" t="str">
        <x:v>보류</x:v>
      </x:c>
      <x:c r="K546" s="2" t="str">
        <x:f>IF(OR(J546="심의승인",J546="반려",J546="반려완료",J546="심의완료"),"종결 표시",IF(OR(J546="기후부협의",J546="문서재제출요청",J546="보류",J546="보완요청",J546="보완완료",J546="평가중",J546="반려요청",J546="평가필요",LEFT(J546,5)="보완요청("),"미종결 표시","상태 확인 필요"))</x:f>
        <x:v>미종결 표시</x:v>
      </x:c>
      <x:c r="L546" s="2" t="str">
        <x:v>에코시안_전윤호</x:v>
      </x:c>
      <x:c r="M546" s="2" t="n">
        <x:v>3</x:v>
      </x:c>
      <x:c r="N546" s="8" t="n">
        <x:f>DATE(2026,10,15)-DATE(2023,5,25)</x:f>
        <x:v>1239</x:v>
      </x:c>
      <x:c r="O546" s="2" t="str">
        <x:v>O(23.08), 반려예정</x:v>
      </x:c>
      <x:c r="P546" s="2" t="str">
        <x:v>탄소감축설비 지원사업으로 반려 필요</x:v>
      </x:c>
      <x:c r="Q546" s="2" t="str">
        <x:v>산업전환_외부사업관리Tool_260707_이너젠 수정_LJY_261013.xlsx</x:v>
      </x:c>
      <x:c r="R546" s="2" t="str">
        <x:v>국내평가</x:v>
      </x:c>
      <x:c r="S546" s="8" t="n">
        <x:v>449</x:v>
      </x:c>
      <x:c r="T546" s="2" t="str">
        <x:v>(6/7),(10/27)</x:v>
      </x:c>
      <x:c r="U546" s="2" t="str">
        <x:v>2023 배정: (6/7),(10/27) / 2024 배정: (2/5)</x:v>
      </x:c>
      <x:c r="V546" s="2" t="str">
        <x:v>2024-03-05</x:v>
      </x:c>
      <x:c r="W546" s="2" t="str"/>
      <x:c r="X546" s="2" t="str">
        <x:v>검토 진행 일정 확인</x:v>
      </x:c>
      <x:c r="Y546" s="2" t="str">
        <x:v>ad210cd9ec132cfd447541c8984dc53d30aff0f4fb2dc92d254d49275cc55976</x:v>
      </x:c>
      <x:c r="Z546" s="2" t="n">
        <x:f>SUBTOTAL(103,A546)</x:f>
        <x:v>1</x:v>
      </x:c>
      <x:c r="AA546" s="2" t="str">
        <x:f>IF(K546&lt;&gt;"미종결 표시","대상 아님",IF(N546="","신청일 확인",IF(NOT(ISNUMBER('종합 현황'!$H$5)),"관찰기준 확인",IF('종합 현황'!$H$5&lt;1,"관찰기준 확인",IF(N546&gt;'종합 현황'!$H$5,"내부 관찰 대상","내부 관찰일 이하")))))</x:f>
        <x:v>내부 관찰 대상</x:v>
      </x:c>
      <x:c r="AB546" s="2"/>
    </x:row>
    <x:row r="547" ht="42" customHeight="1">
      <x:c r="A547" s="2" t="str">
        <x:v>b9384ba0633ab484129c810c</x:v>
      </x:c>
      <x:c r="B547" s="2" t="str">
        <x:v>사업 평가</x:v>
      </x:c>
      <x:c r="C547" s="2" t="str">
        <x:v>국내</x:v>
      </x:c>
      <x:c r="D547" s="7" t="str">
        <x:v>승진(주) 고효율설비 교체 사업</x:v>
      </x:c>
      <x:c r="E547" s="2" t="str">
        <x:v>408</x:v>
      </x:c>
      <x:c r="F547" s="2" t="str">
        <x:v>2018-11-12</x:v>
      </x:c>
      <x:c r="G547" s="2" t="str">
        <x:v>2018</x:v>
      </x:c>
      <x:c r="H547" s="2" t="str">
        <x:v>11</x:v>
      </x:c>
      <x:c r="I547" s="2" t="str">
        <x:v>승인</x:v>
      </x:c>
      <x:c r="J547" s="2" t="str">
        <x:v>심의승인</x:v>
      </x:c>
      <x:c r="K547" s="2" t="str">
        <x:f>IF(OR(J547="심의승인",J547="반려",J547="반려완료",J547="심의완료"),"종결 표시",IF(OR(J547="기후부협의",J547="문서재제출요청",J547="보류",J547="보완요청",J547="보완완료",J547="평가중",J547="반려요청",J547="평가필요",LEFT(J547,5)="보완요청("),"미종결 표시","상태 확인 필요"))</x:f>
        <x:v>종결 표시</x:v>
      </x:c>
      <x:c r="L547" s="2" t="str">
        <x:v>공단_신광수</x:v>
      </x:c>
      <x:c r="M547" s="2"/>
      <x:c r="N547" s="8" t="n">
        <x:f>DATE(2026,10,15)-DATE(2018,11,12)</x:f>
        <x:v>2894</x:v>
      </x:c>
      <x:c r="O547" s="2" t="str">
        <x:v>O</x:v>
      </x:c>
      <x:c r="P547" s="2"/>
      <x:c r="Q547" s="2" t="str">
        <x:v>산업전환_외부사업관리Tool_260707_이너젠 수정_LJY_261013.xlsx</x:v>
      </x:c>
      <x:c r="R547" s="2" t="str">
        <x:v>국내평가</x:v>
      </x:c>
      <x:c r="S547" s="8" t="n">
        <x:v>450</x:v>
      </x:c>
      <x:c r="T547" s="2" t="str">
        <x:v>(9/1)</x:v>
      </x:c>
      <x:c r="U547" s="2" t="str">
        <x:v>2021 배정: (9/1)</x:v>
      </x:c>
      <x:c r="V547" s="2" t="str">
        <x:v>2022-06-09</x:v>
      </x:c>
      <x:c r="W547" s="2" t="str"/>
      <x:c r="X547" s="2" t="str">
        <x:v>종결 근거 보관</x:v>
      </x:c>
      <x:c r="Y547" s="2" t="str">
        <x:v>ad210cd9ec132cfd447541c8984dc53d30aff0f4fb2dc92d254d49275cc55976</x:v>
      </x:c>
      <x:c r="Z547" s="2" t="n">
        <x:f>SUBTOTAL(103,A547)</x:f>
        <x:v>1</x:v>
      </x:c>
      <x:c r="AA547" s="2" t="str">
        <x:f>IF(K547&lt;&gt;"미종결 표시","대상 아님",IF(N547="","신청일 확인",IF(NOT(ISNUMBER('종합 현황'!$H$5)),"관찰기준 확인",IF('종합 현황'!$H$5&lt;1,"관찰기준 확인",IF(N547&gt;'종합 현황'!$H$5,"내부 관찰 대상","내부 관찰일 이하")))))</x:f>
        <x:v>대상 아님</x:v>
      </x:c>
      <x:c r="AB547" s="2"/>
    </x:row>
    <x:row r="548" ht="42" customHeight="1">
      <x:c r="A548" s="2" t="str">
        <x:v>fb57bc7c4878d211c9b939cd</x:v>
      </x:c>
      <x:c r="B548" s="2" t="str">
        <x:v>사업 평가</x:v>
      </x:c>
      <x:c r="C548" s="2" t="str">
        <x:v>국내</x:v>
      </x:c>
      <x:c r="D548" s="7" t="str">
        <x:v>현대제철 삼우에코 태양광 발전설비 설치 및 자가사용 사업</x:v>
      </x:c>
      <x:c r="E548" s="2" t="str">
        <x:v>409</x:v>
      </x:c>
      <x:c r="F548" s="2" t="str">
        <x:v>2018-11-13</x:v>
      </x:c>
      <x:c r="G548" s="2" t="str">
        <x:v>2018</x:v>
      </x:c>
      <x:c r="H548" s="2" t="str">
        <x:v>11</x:v>
      </x:c>
      <x:c r="I548" s="2" t="str">
        <x:v>승인</x:v>
      </x:c>
      <x:c r="J548" s="2" t="str">
        <x:v>심의승인</x:v>
      </x:c>
      <x:c r="K548" s="2" t="str">
        <x:f>IF(OR(J548="심의승인",J548="반려",J548="반려완료",J548="심의완료"),"종결 표시",IF(OR(J548="기후부협의",J548="문서재제출요청",J548="보류",J548="보완요청",J548="보완완료",J548="평가중",J548="반려요청",J548="평가필요",LEFT(J548,5)="보완요청("),"미종결 표시","상태 확인 필요"))</x:f>
        <x:v>종결 표시</x:v>
      </x:c>
      <x:c r="L548" s="2"/>
      <x:c r="M548" s="2"/>
      <x:c r="N548" s="8" t="n">
        <x:f>DATE(2026,10,15)-DATE(2018,11,13)</x:f>
        <x:v>2893</x:v>
      </x:c>
      <x:c r="O548" s="2"/>
      <x:c r="P548" s="2"/>
      <x:c r="Q548" s="2" t="str">
        <x:v>산업전환_외부사업관리Tool_260707_이너젠 수정_LJY_261013.xlsx</x:v>
      </x:c>
      <x:c r="R548" s="2" t="str">
        <x:v>국내평가</x:v>
      </x:c>
      <x:c r="S548" s="8" t="n">
        <x:v>451</x:v>
      </x:c>
      <x:c r="T548" s="2"/>
      <x:c r="U548" s="2" t="str"/>
      <x:c r="V548" s="2" t="str">
        <x:v>2020-08-05</x:v>
      </x:c>
      <x:c r="W548" s="2" t="str">
        <x:v>담당기관 확인</x:v>
      </x:c>
      <x:c r="X548" s="2" t="str">
        <x:v>원본·배정 기록 확인</x:v>
      </x:c>
      <x:c r="Y548" s="2" t="str">
        <x:v>ad210cd9ec132cfd447541c8984dc53d30aff0f4fb2dc92d254d49275cc55976</x:v>
      </x:c>
      <x:c r="Z548" s="2" t="n">
        <x:f>SUBTOTAL(103,A548)</x:f>
        <x:v>1</x:v>
      </x:c>
      <x:c r="AA548" s="2" t="str">
        <x:f>IF(K548&lt;&gt;"미종결 표시","대상 아님",IF(N548="","신청일 확인",IF(NOT(ISNUMBER('종합 현황'!$H$5)),"관찰기준 확인",IF('종합 현황'!$H$5&lt;1,"관찰기준 확인",IF(N548&gt;'종합 현황'!$H$5,"내부 관찰 대상","내부 관찰일 이하")))))</x:f>
        <x:v>대상 아님</x:v>
      </x:c>
      <x:c r="AB548" s="2"/>
    </x:row>
    <x:row r="549" ht="42" customHeight="1">
      <x:c r="A549" s="2" t="str">
        <x:v>2484d54c794bd338cac80317</x:v>
      </x:c>
      <x:c r="B549" s="2" t="str">
        <x:v>사업 평가</x:v>
      </x:c>
      <x:c r="C549" s="2" t="str">
        <x:v>국내</x:v>
      </x:c>
      <x:c r="D549" s="7" t="str">
        <x:v>(주)성우하이텍지사공장 인버터 공기압축기 고효율설비 교체사업</x:v>
      </x:c>
      <x:c r="E549" s="2" t="str">
        <x:v>410</x:v>
      </x:c>
      <x:c r="F549" s="2" t="str">
        <x:v>2018-11-19</x:v>
      </x:c>
      <x:c r="G549" s="2" t="str">
        <x:v>2018</x:v>
      </x:c>
      <x:c r="H549" s="2" t="str">
        <x:v>11</x:v>
      </x:c>
      <x:c r="I549" s="2" t="str">
        <x:v>승인</x:v>
      </x:c>
      <x:c r="J549" s="2" t="str">
        <x:v>심의승인</x:v>
      </x:c>
      <x:c r="K549" s="2" t="str">
        <x:f>IF(OR(J549="심의승인",J549="반려",J549="반려완료",J549="심의완료"),"종결 표시",IF(OR(J549="기후부협의",J549="문서재제출요청",J549="보류",J549="보완요청",J549="보완완료",J549="평가중",J549="반려요청",J549="평가필요",LEFT(J549,5)="보완요청("),"미종결 표시","상태 확인 필요"))</x:f>
        <x:v>종결 표시</x:v>
      </x:c>
      <x:c r="L549" s="2"/>
      <x:c r="M549" s="2"/>
      <x:c r="N549" s="8" t="n">
        <x:f>DATE(2026,10,15)-DATE(2018,11,19)</x:f>
        <x:v>2887</x:v>
      </x:c>
      <x:c r="O549" s="2"/>
      <x:c r="P549" s="2"/>
      <x:c r="Q549" s="2" t="str">
        <x:v>산업전환_외부사업관리Tool_260707_이너젠 수정_LJY_261013.xlsx</x:v>
      </x:c>
      <x:c r="R549" s="2" t="str">
        <x:v>국내평가</x:v>
      </x:c>
      <x:c r="S549" s="8" t="n">
        <x:v>452</x:v>
      </x:c>
      <x:c r="T549" s="2"/>
      <x:c r="U549" s="2" t="str"/>
      <x:c r="V549" s="2" t="str">
        <x:v>2020-11-13</x:v>
      </x:c>
      <x:c r="W549" s="2" t="str">
        <x:v>담당기관 확인</x:v>
      </x:c>
      <x:c r="X549" s="2" t="str">
        <x:v>원본·배정 기록 확인</x:v>
      </x:c>
      <x:c r="Y549" s="2" t="str">
        <x:v>ad210cd9ec132cfd447541c8984dc53d30aff0f4fb2dc92d254d49275cc55976</x:v>
      </x:c>
      <x:c r="Z549" s="2" t="n">
        <x:f>SUBTOTAL(103,A549)</x:f>
        <x:v>1</x:v>
      </x:c>
      <x:c r="AA549" s="2" t="str">
        <x:f>IF(K549&lt;&gt;"미종결 표시","대상 아님",IF(N549="","신청일 확인",IF(NOT(ISNUMBER('종합 현황'!$H$5)),"관찰기준 확인",IF('종합 현황'!$H$5&lt;1,"관찰기준 확인",IF(N549&gt;'종합 현황'!$H$5,"내부 관찰 대상","내부 관찰일 이하")))))</x:f>
        <x:v>대상 아님</x:v>
      </x:c>
      <x:c r="AB549" s="2"/>
    </x:row>
    <x:row r="550" ht="42" customHeight="1">
      <x:c r="A550" s="2" t="str">
        <x:v>9bab50bf418757831a5ef73e</x:v>
      </x:c>
      <x:c r="B550" s="2" t="str">
        <x:v>사업 평가</x:v>
      </x:c>
      <x:c r="C550" s="2" t="str">
        <x:v>국내</x:v>
      </x:c>
      <x:c r="D550" s="7" t="str">
        <x:v>고효율 공기압축기 도입을 통한 온실가스 감축사업-와이엠양산기공 주식회사</x:v>
      </x:c>
      <x:c r="E550" s="2" t="str">
        <x:v>411</x:v>
      </x:c>
      <x:c r="F550" s="2" t="str">
        <x:v>2018-12-03</x:v>
      </x:c>
      <x:c r="G550" s="2" t="str">
        <x:v>2018</x:v>
      </x:c>
      <x:c r="H550" s="2" t="str">
        <x:v>12</x:v>
      </x:c>
      <x:c r="I550" s="2" t="str">
        <x:v>반려</x:v>
      </x:c>
      <x:c r="J550" s="2" t="str">
        <x:v>반려</x:v>
      </x:c>
      <x:c r="K550" s="2" t="str">
        <x:f>IF(OR(J550="심의승인",J550="반려",J550="반려완료",J550="심의완료"),"종결 표시",IF(OR(J550="기후부협의",J550="문서재제출요청",J550="보류",J550="보완요청",J550="보완완료",J550="평가중",J550="반려요청",J550="평가필요",LEFT(J550,5)="보완요청("),"미종결 표시","상태 확인 필요"))</x:f>
        <x:v>종결 표시</x:v>
      </x:c>
      <x:c r="L550" s="2"/>
      <x:c r="M550" s="2"/>
      <x:c r="N550" s="8" t="n">
        <x:f>DATE(2026,10,15)-DATE(2018,12,3)</x:f>
        <x:v>2873</x:v>
      </x:c>
      <x:c r="O550" s="2"/>
      <x:c r="P550" s="2"/>
      <x:c r="Q550" s="2" t="str">
        <x:v>산업전환_외부사업관리Tool_260707_이너젠 수정_LJY_261013.xlsx</x:v>
      </x:c>
      <x:c r="R550" s="2" t="str">
        <x:v>국내평가</x:v>
      </x:c>
      <x:c r="S550" s="8" t="n">
        <x:v>453</x:v>
      </x:c>
      <x:c r="T550" s="2" t="str">
        <x:v>2021년 처리</x:v>
      </x:c>
      <x:c r="U550" s="2" t="str">
        <x:v>2021 배정: 2021년 처리</x:v>
      </x:c>
      <x:c r="V550" s="2" t="str">
        <x:v>2021-06-07</x:v>
      </x:c>
      <x:c r="W550" s="2" t="str">
        <x:v>담당기관 확인</x:v>
      </x:c>
      <x:c r="X550" s="2" t="str">
        <x:v>원본·배정 기록 확인</x:v>
      </x:c>
      <x:c r="Y550" s="2" t="str">
        <x:v>ad210cd9ec132cfd447541c8984dc53d30aff0f4fb2dc92d254d49275cc55976</x:v>
      </x:c>
      <x:c r="Z550" s="2" t="n">
        <x:f>SUBTOTAL(103,A550)</x:f>
        <x:v>1</x:v>
      </x:c>
      <x:c r="AA550" s="2" t="str">
        <x:f>IF(K550&lt;&gt;"미종결 표시","대상 아님",IF(N550="","신청일 확인",IF(NOT(ISNUMBER('종합 현황'!$H$5)),"관찰기준 확인",IF('종합 현황'!$H$5&lt;1,"관찰기준 확인",IF(N550&gt;'종합 현황'!$H$5,"내부 관찰 대상","내부 관찰일 이하")))))</x:f>
        <x:v>대상 아님</x:v>
      </x:c>
      <x:c r="AB550" s="2"/>
    </x:row>
    <x:row r="551" ht="42" customHeight="1">
      <x:c r="A551" s="2" t="str">
        <x:v>7ed298b496839a366c667744</x:v>
      </x:c>
      <x:c r="B551" s="2" t="str">
        <x:v>사업 평가</x:v>
      </x:c>
      <x:c r="C551" s="2" t="str">
        <x:v>국내</x:v>
      </x:c>
      <x:c r="D551" s="7" t="str">
        <x:v>고효율 공기압축기 도입을 통한 온실가스 감축사업-(주)세정엠티엘</x:v>
      </x:c>
      <x:c r="E551" s="2" t="str">
        <x:v>412</x:v>
      </x:c>
      <x:c r="F551" s="2" t="str">
        <x:v>2018-12-03</x:v>
      </x:c>
      <x:c r="G551" s="2" t="str">
        <x:v>2018</x:v>
      </x:c>
      <x:c r="H551" s="2" t="str">
        <x:v>12</x:v>
      </x:c>
      <x:c r="I551" s="2" t="str">
        <x:v>반려</x:v>
      </x:c>
      <x:c r="J551" s="2" t="str">
        <x:v>반려</x:v>
      </x:c>
      <x:c r="K551" s="2" t="str">
        <x:f>IF(OR(J551="심의승인",J551="반려",J551="반려완료",J551="심의완료"),"종결 표시",IF(OR(J551="기후부협의",J551="문서재제출요청",J551="보류",J551="보완요청",J551="보완완료",J551="평가중",J551="반려요청",J551="평가필요",LEFT(J551,5)="보완요청("),"미종결 표시","상태 확인 필요"))</x:f>
        <x:v>종결 표시</x:v>
      </x:c>
      <x:c r="L551" s="2"/>
      <x:c r="M551" s="2"/>
      <x:c r="N551" s="8" t="n">
        <x:f>DATE(2026,10,15)-DATE(2018,12,3)</x:f>
        <x:v>2873</x:v>
      </x:c>
      <x:c r="O551" s="2"/>
      <x:c r="P551" s="2"/>
      <x:c r="Q551" s="2" t="str">
        <x:v>산업전환_외부사업관리Tool_260707_이너젠 수정_LJY_261013.xlsx</x:v>
      </x:c>
      <x:c r="R551" s="2" t="str">
        <x:v>국내평가</x:v>
      </x:c>
      <x:c r="S551" s="8" t="n">
        <x:v>454</x:v>
      </x:c>
      <x:c r="T551" s="2" t="str">
        <x:v>2021년 처리</x:v>
      </x:c>
      <x:c r="U551" s="2" t="str">
        <x:v>2021 배정: 2021년 처리</x:v>
      </x:c>
      <x:c r="V551" s="2" t="str">
        <x:v>2021-06-07</x:v>
      </x:c>
      <x:c r="W551" s="2" t="str">
        <x:v>담당기관 확인</x:v>
      </x:c>
      <x:c r="X551" s="2" t="str">
        <x:v>원본·배정 기록 확인</x:v>
      </x:c>
      <x:c r="Y551" s="2" t="str">
        <x:v>ad210cd9ec132cfd447541c8984dc53d30aff0f4fb2dc92d254d49275cc55976</x:v>
      </x:c>
      <x:c r="Z551" s="2" t="n">
        <x:f>SUBTOTAL(103,A551)</x:f>
        <x:v>1</x:v>
      </x:c>
      <x:c r="AA551" s="2" t="str">
        <x:f>IF(K551&lt;&gt;"미종결 표시","대상 아님",IF(N551="","신청일 확인",IF(NOT(ISNUMBER('종합 현황'!$H$5)),"관찰기준 확인",IF('종합 현황'!$H$5&lt;1,"관찰기준 확인",IF(N551&gt;'종합 현황'!$H$5,"내부 관찰 대상","내부 관찰일 이하")))))</x:f>
        <x:v>대상 아님</x:v>
      </x:c>
      <x:c r="AB551" s="2"/>
    </x:row>
    <x:row r="552" ht="42" customHeight="1">
      <x:c r="A552" s="2" t="str">
        <x:v>8778ce2a60b1d3fb69603416</x:v>
      </x:c>
      <x:c r="B552" s="2" t="str">
        <x:v>사업 평가</x:v>
      </x:c>
      <x:c r="C552" s="2" t="str">
        <x:v>국내</x:v>
      </x:c>
      <x:c r="D552" s="7" t="str">
        <x:v>고효율 공기압축기 도입을 통한 온실가스 감축사업-한일차단기(주)</x:v>
      </x:c>
      <x:c r="E552" s="2" t="str">
        <x:v>413</x:v>
      </x:c>
      <x:c r="F552" s="2" t="str">
        <x:v>2018-12-03</x:v>
      </x:c>
      <x:c r="G552" s="2" t="str">
        <x:v>2018</x:v>
      </x:c>
      <x:c r="H552" s="2" t="str">
        <x:v>12</x:v>
      </x:c>
      <x:c r="I552" s="2" t="str">
        <x:v>반려</x:v>
      </x:c>
      <x:c r="J552" s="2" t="str">
        <x:v>반려</x:v>
      </x:c>
      <x:c r="K552" s="2" t="str">
        <x:f>IF(OR(J552="심의승인",J552="반려",J552="반려완료",J552="심의완료"),"종결 표시",IF(OR(J552="기후부협의",J552="문서재제출요청",J552="보류",J552="보완요청",J552="보완완료",J552="평가중",J552="반려요청",J552="평가필요",LEFT(J552,5)="보완요청("),"미종결 표시","상태 확인 필요"))</x:f>
        <x:v>종결 표시</x:v>
      </x:c>
      <x:c r="L552" s="2"/>
      <x:c r="M552" s="2"/>
      <x:c r="N552" s="8" t="n">
        <x:f>DATE(2026,10,15)-DATE(2018,12,3)</x:f>
        <x:v>2873</x:v>
      </x:c>
      <x:c r="O552" s="2"/>
      <x:c r="P552" s="2"/>
      <x:c r="Q552" s="2" t="str">
        <x:v>산업전환_외부사업관리Tool_260707_이너젠 수정_LJY_261013.xlsx</x:v>
      </x:c>
      <x:c r="R552" s="2" t="str">
        <x:v>국내평가</x:v>
      </x:c>
      <x:c r="S552" s="8" t="n">
        <x:v>455</x:v>
      </x:c>
      <x:c r="T552" s="2" t="str">
        <x:v>2021년 처리</x:v>
      </x:c>
      <x:c r="U552" s="2" t="str">
        <x:v>2021 배정: 2021년 처리</x:v>
      </x:c>
      <x:c r="V552" s="2" t="str">
        <x:v>2021-06-07</x:v>
      </x:c>
      <x:c r="W552" s="2" t="str">
        <x:v>담당기관 확인</x:v>
      </x:c>
      <x:c r="X552" s="2" t="str">
        <x:v>원본·배정 기록 확인</x:v>
      </x:c>
      <x:c r="Y552" s="2" t="str">
        <x:v>ad210cd9ec132cfd447541c8984dc53d30aff0f4fb2dc92d254d49275cc55976</x:v>
      </x:c>
      <x:c r="Z552" s="2" t="n">
        <x:f>SUBTOTAL(103,A552)</x:f>
        <x:v>1</x:v>
      </x:c>
      <x:c r="AA552" s="2" t="str">
        <x:f>IF(K552&lt;&gt;"미종결 표시","대상 아님",IF(N552="","신청일 확인",IF(NOT(ISNUMBER('종합 현황'!$H$5)),"관찰기준 확인",IF('종합 현황'!$H$5&lt;1,"관찰기준 확인",IF(N552&gt;'종합 현황'!$H$5,"내부 관찰 대상","내부 관찰일 이하")))))</x:f>
        <x:v>대상 아님</x:v>
      </x:c>
      <x:c r="AB552" s="2"/>
    </x:row>
    <x:row r="553" ht="42" customHeight="1">
      <x:c r="A553" s="2" t="str">
        <x:v>05080bcb933f32a47f78ca11</x:v>
      </x:c>
      <x:c r="B553" s="2" t="str">
        <x:v>사업 평가</x:v>
      </x:c>
      <x:c r="C553" s="2" t="str">
        <x:v>국내</x:v>
      </x:c>
      <x:c r="D553" s="7" t="str">
        <x:v>2017년 영남권역 기존 심야전기 보일러의 축열식 히트펌프 보일러 교체를 통한 온실가스 묶음 감축 사업</x:v>
      </x:c>
      <x:c r="E553" s="2" t="str">
        <x:v>414</x:v>
      </x:c>
      <x:c r="F553" s="2" t="str">
        <x:v>2018-02-19</x:v>
      </x:c>
      <x:c r="G553" s="2" t="str">
        <x:v>2018</x:v>
      </x:c>
      <x:c r="H553" s="2" t="str">
        <x:v>02</x:v>
      </x:c>
      <x:c r="I553" s="2" t="str">
        <x:v>승인</x:v>
      </x:c>
      <x:c r="J553" s="2" t="str">
        <x:v>심의승인</x:v>
      </x:c>
      <x:c r="K553" s="2" t="str">
        <x:f>IF(OR(J553="심의승인",J553="반려",J553="반려완료",J553="심의완료"),"종결 표시",IF(OR(J553="기후부협의",J553="문서재제출요청",J553="보류",J553="보완요청",J553="보완완료",J553="평가중",J553="반려요청",J553="평가필요",LEFT(J553,5)="보완요청("),"미종결 표시","상태 확인 필요"))</x:f>
        <x:v>종결 표시</x:v>
      </x:c>
      <x:c r="L553" s="2" t="str">
        <x:v>에코시안_권송화</x:v>
      </x:c>
      <x:c r="M553" s="2"/>
      <x:c r="N553" s="8" t="n">
        <x:f>DATE(2026,10,15)-DATE(2018,2,19)</x:f>
        <x:v>3160</x:v>
      </x:c>
      <x:c r="O553" s="2" t="str">
        <x:v>생략</x:v>
      </x:c>
      <x:c r="P553" s="2"/>
      <x:c r="Q553" s="2" t="str">
        <x:v>산업전환_외부사업관리Tool_260707_이너젠 수정_LJY_261013.xlsx</x:v>
      </x:c>
      <x:c r="R553" s="2" t="str">
        <x:v>국내평가</x:v>
      </x:c>
      <x:c r="S553" s="8" t="n">
        <x:v>456</x:v>
      </x:c>
      <x:c r="T553" s="2" t="str">
        <x:v>(9/14)</x:v>
      </x:c>
      <x:c r="U553" s="2" t="str">
        <x:v>2021 배정: (9/14) / 2023 배정: (1/30),(10/6) / 2024 배정: (9/2) / 2025 배정: (2/6),(5/8)</x:v>
      </x:c>
      <x:c r="V553" s="2" t="str">
        <x:v>2025-09-08</x:v>
      </x:c>
      <x:c r="W553" s="2" t="str"/>
      <x:c r="X553" s="2" t="str">
        <x:v>종결 근거 보관</x:v>
      </x:c>
      <x:c r="Y553" s="2" t="str">
        <x:v>ad210cd9ec132cfd447541c8984dc53d30aff0f4fb2dc92d254d49275cc55976</x:v>
      </x:c>
      <x:c r="Z553" s="2" t="n">
        <x:f>SUBTOTAL(103,A553)</x:f>
        <x:v>1</x:v>
      </x:c>
      <x:c r="AA553" s="2" t="str">
        <x:f>IF(K553&lt;&gt;"미종결 표시","대상 아님",IF(N553="","신청일 확인",IF(NOT(ISNUMBER('종합 현황'!$H$5)),"관찰기준 확인",IF('종합 현황'!$H$5&lt;1,"관찰기준 확인",IF(N553&gt;'종합 현황'!$H$5,"내부 관찰 대상","내부 관찰일 이하")))))</x:f>
        <x:v>대상 아님</x:v>
      </x:c>
      <x:c r="AB553" s="2"/>
    </x:row>
    <x:row r="554" ht="42" customHeight="1">
      <x:c r="A554" s="2" t="str">
        <x:v>6c66d6ec23722a6b5811fed8</x:v>
      </x:c>
      <x:c r="B554" s="2" t="str">
        <x:v>사업 평가</x:v>
      </x:c>
      <x:c r="C554" s="2" t="str">
        <x:v>국내</x:v>
      </x:c>
      <x:c r="D554" s="7" t="str">
        <x:v>고효율 공기압축기 도입을 통한 온실가스 감축사업-에프에프지디엠씨(주)</x:v>
      </x:c>
      <x:c r="E554" s="2" t="str">
        <x:v>415</x:v>
      </x:c>
      <x:c r="F554" s="2" t="str">
        <x:v>2018-12-03</x:v>
      </x:c>
      <x:c r="G554" s="2" t="str">
        <x:v>2018</x:v>
      </x:c>
      <x:c r="H554" s="2" t="str">
        <x:v>12</x:v>
      </x:c>
      <x:c r="I554" s="2" t="str">
        <x:v>반려</x:v>
      </x:c>
      <x:c r="J554" s="2" t="str">
        <x:v>반려</x:v>
      </x:c>
      <x:c r="K554" s="2" t="str">
        <x:f>IF(OR(J554="심의승인",J554="반려",J554="반려완료",J554="심의완료"),"종결 표시",IF(OR(J554="기후부협의",J554="문서재제출요청",J554="보류",J554="보완요청",J554="보완완료",J554="평가중",J554="반려요청",J554="평가필요",LEFT(J554,5)="보완요청("),"미종결 표시","상태 확인 필요"))</x:f>
        <x:v>종결 표시</x:v>
      </x:c>
      <x:c r="L554" s="2"/>
      <x:c r="M554" s="2"/>
      <x:c r="N554" s="8" t="n">
        <x:f>DATE(2026,10,15)-DATE(2018,12,3)</x:f>
        <x:v>2873</x:v>
      </x:c>
      <x:c r="O554" s="2"/>
      <x:c r="P554" s="2"/>
      <x:c r="Q554" s="2" t="str">
        <x:v>산업전환_외부사업관리Tool_260707_이너젠 수정_LJY_261013.xlsx</x:v>
      </x:c>
      <x:c r="R554" s="2" t="str">
        <x:v>국내평가</x:v>
      </x:c>
      <x:c r="S554" s="8" t="n">
        <x:v>457</x:v>
      </x:c>
      <x:c r="T554" s="2" t="str">
        <x:v>2021년 처리</x:v>
      </x:c>
      <x:c r="U554" s="2" t="str">
        <x:v>2021 배정: 2021년 처리</x:v>
      </x:c>
      <x:c r="V554" s="2" t="str">
        <x:v>2021-06-07</x:v>
      </x:c>
      <x:c r="W554" s="2" t="str">
        <x:v>담당기관 확인</x:v>
      </x:c>
      <x:c r="X554" s="2" t="str">
        <x:v>원본·배정 기록 확인</x:v>
      </x:c>
      <x:c r="Y554" s="2" t="str">
        <x:v>ad210cd9ec132cfd447541c8984dc53d30aff0f4fb2dc92d254d49275cc55976</x:v>
      </x:c>
      <x:c r="Z554" s="2" t="n">
        <x:f>SUBTOTAL(103,A554)</x:f>
        <x:v>1</x:v>
      </x:c>
      <x:c r="AA554" s="2" t="str">
        <x:f>IF(K554&lt;&gt;"미종결 표시","대상 아님",IF(N554="","신청일 확인",IF(NOT(ISNUMBER('종합 현황'!$H$5)),"관찰기준 확인",IF('종합 현황'!$H$5&lt;1,"관찰기준 확인",IF(N554&gt;'종합 현황'!$H$5,"내부 관찰 대상","내부 관찰일 이하")))))</x:f>
        <x:v>대상 아님</x:v>
      </x:c>
      <x:c r="AB554" s="2"/>
    </x:row>
    <x:row r="555" ht="42" customHeight="1">
      <x:c r="A555" s="2" t="str">
        <x:v>3f075a09f6a01a133f177b4e</x:v>
      </x:c>
      <x:c r="B555" s="2" t="str">
        <x:v>사업 평가</x:v>
      </x:c>
      <x:c r="C555" s="2" t="str">
        <x:v>국내</x:v>
      </x:c>
      <x:c r="D555" s="7" t="str">
        <x:v>고효율 공기압축기 도입을 통한 온실가스 감축사업-한영기계(주)</x:v>
      </x:c>
      <x:c r="E555" s="2" t="str">
        <x:v>416</x:v>
      </x:c>
      <x:c r="F555" s="2" t="str">
        <x:v>2018-12-03</x:v>
      </x:c>
      <x:c r="G555" s="2" t="str">
        <x:v>2018</x:v>
      </x:c>
      <x:c r="H555" s="2" t="str">
        <x:v>12</x:v>
      </x:c>
      <x:c r="I555" s="2" t="str">
        <x:v>반려</x:v>
      </x:c>
      <x:c r="J555" s="2" t="str">
        <x:v>반려</x:v>
      </x:c>
      <x:c r="K555" s="2" t="str">
        <x:f>IF(OR(J555="심의승인",J555="반려",J555="반려완료",J555="심의완료"),"종결 표시",IF(OR(J555="기후부협의",J555="문서재제출요청",J555="보류",J555="보완요청",J555="보완완료",J555="평가중",J555="반려요청",J555="평가필요",LEFT(J555,5)="보완요청("),"미종결 표시","상태 확인 필요"))</x:f>
        <x:v>종결 표시</x:v>
      </x:c>
      <x:c r="L555" s="2"/>
      <x:c r="M555" s="2"/>
      <x:c r="N555" s="8" t="n">
        <x:f>DATE(2026,10,15)-DATE(2018,12,3)</x:f>
        <x:v>2873</x:v>
      </x:c>
      <x:c r="O555" s="2"/>
      <x:c r="P555" s="2"/>
      <x:c r="Q555" s="2" t="str">
        <x:v>산업전환_외부사업관리Tool_260707_이너젠 수정_LJY_261013.xlsx</x:v>
      </x:c>
      <x:c r="R555" s="2" t="str">
        <x:v>국내평가</x:v>
      </x:c>
      <x:c r="S555" s="8" t="n">
        <x:v>458</x:v>
      </x:c>
      <x:c r="T555" s="2" t="str">
        <x:v>2021년 처리</x:v>
      </x:c>
      <x:c r="U555" s="2" t="str">
        <x:v>2021 배정: 2021년 처리</x:v>
      </x:c>
      <x:c r="V555" s="2" t="str">
        <x:v>2021-06-07</x:v>
      </x:c>
      <x:c r="W555" s="2" t="str">
        <x:v>담당기관 확인</x:v>
      </x:c>
      <x:c r="X555" s="2" t="str">
        <x:v>원본·배정 기록 확인</x:v>
      </x:c>
      <x:c r="Y555" s="2" t="str">
        <x:v>ad210cd9ec132cfd447541c8984dc53d30aff0f4fb2dc92d254d49275cc55976</x:v>
      </x:c>
      <x:c r="Z555" s="2" t="n">
        <x:f>SUBTOTAL(103,A555)</x:f>
        <x:v>1</x:v>
      </x:c>
      <x:c r="AA555" s="2" t="str">
        <x:f>IF(K555&lt;&gt;"미종결 표시","대상 아님",IF(N555="","신청일 확인",IF(NOT(ISNUMBER('종합 현황'!$H$5)),"관찰기준 확인",IF('종합 현황'!$H$5&lt;1,"관찰기준 확인",IF(N555&gt;'종합 현황'!$H$5,"내부 관찰 대상","내부 관찰일 이하")))))</x:f>
        <x:v>대상 아님</x:v>
      </x:c>
      <x:c r="AB555" s="2"/>
    </x:row>
    <x:row r="556" ht="42" customHeight="1">
      <x:c r="A556" s="2" t="str">
        <x:v>32cda4bc2ae4fe60ff733e9e</x:v>
      </x:c>
      <x:c r="B556" s="2" t="str">
        <x:v>사업 평가</x:v>
      </x:c>
      <x:c r="C556" s="2" t="str">
        <x:v>국내</x:v>
      </x:c>
      <x:c r="D556" s="7" t="str">
        <x:v>도로조명 LED 교체사업(2017)</x:v>
      </x:c>
      <x:c r="E556" s="2" t="str">
        <x:v>417</x:v>
      </x:c>
      <x:c r="F556" s="2" t="str">
        <x:v>2018-12-17</x:v>
      </x:c>
      <x:c r="G556" s="2" t="str">
        <x:v>2018</x:v>
      </x:c>
      <x:c r="H556" s="2" t="str">
        <x:v>12</x:v>
      </x:c>
      <x:c r="I556" s="2" t="str">
        <x:v>반려</x:v>
      </x:c>
      <x:c r="J556" s="2" t="str">
        <x:v>반려</x:v>
      </x:c>
      <x:c r="K556" s="2" t="str">
        <x:f>IF(OR(J556="심의승인",J556="반려",J556="반려완료",J556="심의완료"),"종결 표시",IF(OR(J556="기후부협의",J556="문서재제출요청",J556="보류",J556="보완요청",J556="보완완료",J556="평가중",J556="반려요청",J556="평가필요",LEFT(J556,5)="보완요청("),"미종결 표시","상태 확인 필요"))</x:f>
        <x:v>종결 표시</x:v>
      </x:c>
      <x:c r="L556" s="2"/>
      <x:c r="M556" s="2"/>
      <x:c r="N556" s="8" t="n">
        <x:f>DATE(2026,10,15)-DATE(2018,12,17)</x:f>
        <x:v>2859</x:v>
      </x:c>
      <x:c r="O556" s="2"/>
      <x:c r="P556" s="2"/>
      <x:c r="Q556" s="2" t="str">
        <x:v>산업전환_외부사업관리Tool_260707_이너젠 수정_LJY_261013.xlsx</x:v>
      </x:c>
      <x:c r="R556" s="2" t="str">
        <x:v>국내평가</x:v>
      </x:c>
      <x:c r="S556" s="8" t="n">
        <x:v>459</x:v>
      </x:c>
      <x:c r="T556" s="2" t="str">
        <x:v>2021년 처리</x:v>
      </x:c>
      <x:c r="U556" s="2" t="str">
        <x:v>2021 배정: 2021년 처리</x:v>
      </x:c>
      <x:c r="V556" s="2" t="str">
        <x:v>2021-06-07</x:v>
      </x:c>
      <x:c r="W556" s="2" t="str">
        <x:v>담당기관 확인</x:v>
      </x:c>
      <x:c r="X556" s="2" t="str">
        <x:v>원본·배정 기록 확인</x:v>
      </x:c>
      <x:c r="Y556" s="2" t="str">
        <x:v>ad210cd9ec132cfd447541c8984dc53d30aff0f4fb2dc92d254d49275cc55976</x:v>
      </x:c>
      <x:c r="Z556" s="2" t="n">
        <x:f>SUBTOTAL(103,A556)</x:f>
        <x:v>1</x:v>
      </x:c>
      <x:c r="AA556" s="2" t="str">
        <x:f>IF(K556&lt;&gt;"미종결 표시","대상 아님",IF(N556="","신청일 확인",IF(NOT(ISNUMBER('종합 현황'!$H$5)),"관찰기준 확인",IF('종합 현황'!$H$5&lt;1,"관찰기준 확인",IF(N556&gt;'종합 현황'!$H$5,"내부 관찰 대상","내부 관찰일 이하")))))</x:f>
        <x:v>대상 아님</x:v>
      </x:c>
      <x:c r="AB556" s="2"/>
    </x:row>
    <x:row r="557" ht="42" customHeight="1">
      <x:c r="A557" s="2" t="str">
        <x:v>c2d369865636b5225219ebc6</x:v>
      </x:c>
      <x:c r="B557" s="2" t="str">
        <x:v>사업 평가</x:v>
      </x:c>
      <x:c r="C557" s="2" t="str">
        <x:v>국내</x:v>
      </x:c>
      <x:c r="D557" s="7" t="str">
        <x:v>LG전자 인도공장에 의한 인도 내 고효율 냉장고 생산 및 판매사업</x:v>
      </x:c>
      <x:c r="E557" s="2" t="str">
        <x:v>418</x:v>
      </x:c>
      <x:c r="F557" s="2" t="str">
        <x:v>2019-04-02</x:v>
      </x:c>
      <x:c r="G557" s="2" t="str">
        <x:v>2019</x:v>
      </x:c>
      <x:c r="H557" s="2" t="str">
        <x:v>04</x:v>
      </x:c>
      <x:c r="I557" s="2" t="str">
        <x:v>반려</x:v>
      </x:c>
      <x:c r="J557" s="2" t="str">
        <x:v>반려</x:v>
      </x:c>
      <x:c r="K557" s="2" t="str">
        <x:f>IF(OR(J557="심의승인",J557="반려",J557="반려완료",J557="심의완료"),"종결 표시",IF(OR(J557="기후부협의",J557="문서재제출요청",J557="보류",J557="보완요청",J557="보완완료",J557="평가중",J557="반려요청",J557="평가필요",LEFT(J557,5)="보완요청("),"미종결 표시","상태 확인 필요"))</x:f>
        <x:v>종결 표시</x:v>
      </x:c>
      <x:c r="L557" s="2"/>
      <x:c r="M557" s="2"/>
      <x:c r="N557" s="8" t="n">
        <x:f>DATE(2026,10,15)-DATE(2019,4,2)</x:f>
        <x:v>2753</x:v>
      </x:c>
      <x:c r="O557" s="2"/>
      <x:c r="P557" s="2"/>
      <x:c r="Q557" s="2" t="str">
        <x:v>산업전환_외부사업관리Tool_260707_이너젠 수정_LJY_261013.xlsx</x:v>
      </x:c>
      <x:c r="R557" s="2" t="str">
        <x:v>국내평가</x:v>
      </x:c>
      <x:c r="S557" s="8" t="n">
        <x:v>460</x:v>
      </x:c>
      <x:c r="T557" s="2"/>
      <x:c r="U557" s="2" t="str"/>
      <x:c r="V557" s="2" t="str">
        <x:v>2019-04-16</x:v>
      </x:c>
      <x:c r="W557" s="2" t="str">
        <x:v>담당기관 확인</x:v>
      </x:c>
      <x:c r="X557" s="2" t="str">
        <x:v>원본·배정 기록 확인</x:v>
      </x:c>
      <x:c r="Y557" s="2" t="str">
        <x:v>ad210cd9ec132cfd447541c8984dc53d30aff0f4fb2dc92d254d49275cc55976</x:v>
      </x:c>
      <x:c r="Z557" s="2" t="n">
        <x:f>SUBTOTAL(103,A557)</x:f>
        <x:v>1</x:v>
      </x:c>
      <x:c r="AA557" s="2" t="str">
        <x:f>IF(K557&lt;&gt;"미종결 표시","대상 아님",IF(N557="","신청일 확인",IF(NOT(ISNUMBER('종합 현황'!$H$5)),"관찰기준 확인",IF('종합 현황'!$H$5&lt;1,"관찰기준 확인",IF(N557&gt;'종합 현황'!$H$5,"내부 관찰 대상","내부 관찰일 이하")))))</x:f>
        <x:v>대상 아님</x:v>
      </x:c>
      <x:c r="AB557" s="2"/>
    </x:row>
    <x:row r="558" ht="42" customHeight="1">
      <x:c r="A558" s="2" t="str">
        <x:v>76588c9ecd41513626ca57e5</x:v>
      </x:c>
      <x:c r="B558" s="2" t="str">
        <x:v>사업 평가</x:v>
      </x:c>
      <x:c r="C558" s="2" t="str">
        <x:v>국내</x:v>
      </x:c>
      <x:c r="D558" s="7" t="str">
        <x:v>(주)명진TSR 고효율인버터 공기압축기 교체를 통한 온실가스 감축사업</x:v>
      </x:c>
      <x:c r="E558" s="2" t="str">
        <x:v>419</x:v>
      </x:c>
      <x:c r="F558" s="2" t="str">
        <x:v>2019-05-13</x:v>
      </x:c>
      <x:c r="G558" s="2" t="str">
        <x:v>2019</x:v>
      </x:c>
      <x:c r="H558" s="2" t="str">
        <x:v>05</x:v>
      </x:c>
      <x:c r="I558" s="2" t="str">
        <x:v>반려</x:v>
      </x:c>
      <x:c r="J558" s="2" t="str">
        <x:v>반려</x:v>
      </x:c>
      <x:c r="K558" s="2" t="str">
        <x:f>IF(OR(J558="심의승인",J558="반려",J558="반려완료",J558="심의완료"),"종결 표시",IF(OR(J558="기후부협의",J558="문서재제출요청",J558="보류",J558="보완요청",J558="보완완료",J558="평가중",J558="반려요청",J558="평가필요",LEFT(J558,5)="보완요청("),"미종결 표시","상태 확인 필요"))</x:f>
        <x:v>종결 표시</x:v>
      </x:c>
      <x:c r="L558" s="2"/>
      <x:c r="M558" s="2"/>
      <x:c r="N558" s="8" t="n">
        <x:f>DATE(2026,10,15)-DATE(2019,5,13)</x:f>
        <x:v>2712</x:v>
      </x:c>
      <x:c r="O558" s="2"/>
      <x:c r="P558" s="2" t="str">
        <x:v>반려완료(재신청 예정)</x:v>
      </x:c>
      <x:c r="Q558" s="2" t="str">
        <x:v>산업전환_외부사업관리Tool_260707_이너젠 수정_LJY_261013.xlsx</x:v>
      </x:c>
      <x:c r="R558" s="2" t="str">
        <x:v>국내평가</x:v>
      </x:c>
      <x:c r="S558" s="8" t="n">
        <x:v>461</x:v>
      </x:c>
      <x:c r="T558" s="2" t="str">
        <x:v>2021년 처리</x:v>
      </x:c>
      <x:c r="U558" s="2" t="str">
        <x:v>2021 배정: 2021년 처리</x:v>
      </x:c>
      <x:c r="V558" s="2" t="str">
        <x:v>2021-06-30</x:v>
      </x:c>
      <x:c r="W558" s="2" t="str">
        <x:v>담당기관 확인</x:v>
      </x:c>
      <x:c r="X558" s="2" t="str">
        <x:v>원본·배정 기록 확인</x:v>
      </x:c>
      <x:c r="Y558" s="2" t="str">
        <x:v>ad210cd9ec132cfd447541c8984dc53d30aff0f4fb2dc92d254d49275cc55976</x:v>
      </x:c>
      <x:c r="Z558" s="2" t="n">
        <x:f>SUBTOTAL(103,A558)</x:f>
        <x:v>1</x:v>
      </x:c>
      <x:c r="AA558" s="2" t="str">
        <x:f>IF(K558&lt;&gt;"미종결 표시","대상 아님",IF(N558="","신청일 확인",IF(NOT(ISNUMBER('종합 현황'!$H$5)),"관찰기준 확인",IF('종합 현황'!$H$5&lt;1,"관찰기준 확인",IF(N558&gt;'종합 현황'!$H$5,"내부 관찰 대상","내부 관찰일 이하")))))</x:f>
        <x:v>대상 아님</x:v>
      </x:c>
      <x:c r="AB558" s="2"/>
    </x:row>
    <x:row r="559" ht="42" customHeight="1">
      <x:c r="A559" s="2" t="str">
        <x:v>72c50712a1c965c2e76fc7a1</x:v>
      </x:c>
      <x:c r="B559" s="2" t="str">
        <x:v>사업 평가</x:v>
      </x:c>
      <x:c r="C559" s="2" t="str">
        <x:v>국내</x:v>
      </x:c>
      <x:c r="D559" s="7" t="str">
        <x:v>(주)삼공사 고효율인버터 공기압축기 교체를 통한 온실가스 감축사업</x:v>
      </x:c>
      <x:c r="E559" s="2" t="str">
        <x:v>420</x:v>
      </x:c>
      <x:c r="F559" s="2" t="str">
        <x:v>2019-05-14</x:v>
      </x:c>
      <x:c r="G559" s="2" t="str">
        <x:v>2019</x:v>
      </x:c>
      <x:c r="H559" s="2" t="str">
        <x:v>05</x:v>
      </x:c>
      <x:c r="I559" s="2" t="str">
        <x:v>반려</x:v>
      </x:c>
      <x:c r="J559" s="2" t="str">
        <x:v>반려</x:v>
      </x:c>
      <x:c r="K559" s="2" t="str">
        <x:f>IF(OR(J559="심의승인",J559="반려",J559="반려완료",J559="심의완료"),"종결 표시",IF(OR(J559="기후부협의",J559="문서재제출요청",J559="보류",J559="보완요청",J559="보완완료",J559="평가중",J559="반려요청",J559="평가필요",LEFT(J559,5)="보완요청("),"미종결 표시","상태 확인 필요"))</x:f>
        <x:v>종결 표시</x:v>
      </x:c>
      <x:c r="L559" s="2"/>
      <x:c r="M559" s="2"/>
      <x:c r="N559" s="8" t="n">
        <x:f>DATE(2026,10,15)-DATE(2019,5,14)</x:f>
        <x:v>2711</x:v>
      </x:c>
      <x:c r="O559" s="2"/>
      <x:c r="P559" s="2" t="str">
        <x:v>반려완료(재신청 예정)</x:v>
      </x:c>
      <x:c r="Q559" s="2" t="str">
        <x:v>산업전환_외부사업관리Tool_260707_이너젠 수정_LJY_261013.xlsx</x:v>
      </x:c>
      <x:c r="R559" s="2" t="str">
        <x:v>국내평가</x:v>
      </x:c>
      <x:c r="S559" s="8" t="n">
        <x:v>462</x:v>
      </x:c>
      <x:c r="T559" s="2" t="str">
        <x:v>2021년 처리</x:v>
      </x:c>
      <x:c r="U559" s="2" t="str">
        <x:v>2021 배정: 2021년 처리</x:v>
      </x:c>
      <x:c r="V559" s="2" t="str">
        <x:v>2021-06-30</x:v>
      </x:c>
      <x:c r="W559" s="2" t="str">
        <x:v>담당기관 확인</x:v>
      </x:c>
      <x:c r="X559" s="2" t="str">
        <x:v>원본·배정 기록 확인</x:v>
      </x:c>
      <x:c r="Y559" s="2" t="str">
        <x:v>ad210cd9ec132cfd447541c8984dc53d30aff0f4fb2dc92d254d49275cc55976</x:v>
      </x:c>
      <x:c r="Z559" s="2" t="n">
        <x:f>SUBTOTAL(103,A559)</x:f>
        <x:v>1</x:v>
      </x:c>
      <x:c r="AA559" s="2" t="str">
        <x:f>IF(K559&lt;&gt;"미종결 표시","대상 아님",IF(N559="","신청일 확인",IF(NOT(ISNUMBER('종합 현황'!$H$5)),"관찰기준 확인",IF('종합 현황'!$H$5&lt;1,"관찰기준 확인",IF(N559&gt;'종합 현황'!$H$5,"내부 관찰 대상","내부 관찰일 이하")))))</x:f>
        <x:v>대상 아님</x:v>
      </x:c>
      <x:c r="AB559" s="2"/>
    </x:row>
    <x:row r="560" ht="42" customHeight="1">
      <x:c r="A560" s="2" t="str">
        <x:v>eb2af1d8b181ce5c922db9a1</x:v>
      </x:c>
      <x:c r="B560" s="2" t="str">
        <x:v>사업 평가</x:v>
      </x:c>
      <x:c r="C560" s="2" t="str">
        <x:v>국내</x:v>
      </x:c>
      <x:c r="D560" s="7" t="str">
        <x:v>(주)성일터빈 고효율인버터 공기압축기 교체를 통한 온실가스 감축사업</x:v>
      </x:c>
      <x:c r="E560" s="2" t="str">
        <x:v>421</x:v>
      </x:c>
      <x:c r="F560" s="2" t="str">
        <x:v>2019-05-14</x:v>
      </x:c>
      <x:c r="G560" s="2" t="str">
        <x:v>2019</x:v>
      </x:c>
      <x:c r="H560" s="2" t="str">
        <x:v>05</x:v>
      </x:c>
      <x:c r="I560" s="2" t="str">
        <x:v>반려</x:v>
      </x:c>
      <x:c r="J560" s="2" t="str">
        <x:v>반려</x:v>
      </x:c>
      <x:c r="K560" s="2" t="str">
        <x:f>IF(OR(J560="심의승인",J560="반려",J560="반려완료",J560="심의완료"),"종결 표시",IF(OR(J560="기후부협의",J560="문서재제출요청",J560="보류",J560="보완요청",J560="보완완료",J560="평가중",J560="반려요청",J560="평가필요",LEFT(J560,5)="보완요청("),"미종결 표시","상태 확인 필요"))</x:f>
        <x:v>종결 표시</x:v>
      </x:c>
      <x:c r="L560" s="2"/>
      <x:c r="M560" s="2"/>
      <x:c r="N560" s="8" t="n">
        <x:f>DATE(2026,10,15)-DATE(2019,5,14)</x:f>
        <x:v>2711</x:v>
      </x:c>
      <x:c r="O560" s="2"/>
      <x:c r="P560" s="2" t="str">
        <x:v>반려완료(재신청 예정)</x:v>
      </x:c>
      <x:c r="Q560" s="2" t="str">
        <x:v>산업전환_외부사업관리Tool_260707_이너젠 수정_LJY_261013.xlsx</x:v>
      </x:c>
      <x:c r="R560" s="2" t="str">
        <x:v>국내평가</x:v>
      </x:c>
      <x:c r="S560" s="8" t="n">
        <x:v>463</x:v>
      </x:c>
      <x:c r="T560" s="2" t="str">
        <x:v>2021년 처리</x:v>
      </x:c>
      <x:c r="U560" s="2" t="str">
        <x:v>2021 배정: 2021년 처리</x:v>
      </x:c>
      <x:c r="V560" s="2" t="str">
        <x:v>2021-06-30</x:v>
      </x:c>
      <x:c r="W560" s="2" t="str">
        <x:v>담당기관 확인</x:v>
      </x:c>
      <x:c r="X560" s="2" t="str">
        <x:v>원본·배정 기록 확인</x:v>
      </x:c>
      <x:c r="Y560" s="2" t="str">
        <x:v>ad210cd9ec132cfd447541c8984dc53d30aff0f4fb2dc92d254d49275cc55976</x:v>
      </x:c>
      <x:c r="Z560" s="2" t="n">
        <x:f>SUBTOTAL(103,A560)</x:f>
        <x:v>1</x:v>
      </x:c>
      <x:c r="AA560" s="2" t="str">
        <x:f>IF(K560&lt;&gt;"미종결 표시","대상 아님",IF(N560="","신청일 확인",IF(NOT(ISNUMBER('종합 현황'!$H$5)),"관찰기준 확인",IF('종합 현황'!$H$5&lt;1,"관찰기준 확인",IF(N560&gt;'종합 현황'!$H$5,"내부 관찰 대상","내부 관찰일 이하")))))</x:f>
        <x:v>대상 아님</x:v>
      </x:c>
      <x:c r="AB560" s="2"/>
    </x:row>
    <x:row r="561" ht="42" customHeight="1">
      <x:c r="A561" s="2" t="str">
        <x:v>e32c0f08a141aea8e441ac0e</x:v>
      </x:c>
      <x:c r="B561" s="2" t="str">
        <x:v>사업 평가</x:v>
      </x:c>
      <x:c r="C561" s="2" t="str">
        <x:v>국내</x:v>
      </x:c>
      <x:c r="D561" s="7" t="str">
        <x:v>(주)동서기연 고효율인버터 공기압축기 교체를 통한 온실가스 감축사업</x:v>
      </x:c>
      <x:c r="E561" s="2" t="str">
        <x:v>422</x:v>
      </x:c>
      <x:c r="F561" s="2" t="str">
        <x:v>2019-05-22</x:v>
      </x:c>
      <x:c r="G561" s="2" t="str">
        <x:v>2019</x:v>
      </x:c>
      <x:c r="H561" s="2" t="str">
        <x:v>05</x:v>
      </x:c>
      <x:c r="I561" s="2" t="str">
        <x:v>반려</x:v>
      </x:c>
      <x:c r="J561" s="2" t="str">
        <x:v>반려</x:v>
      </x:c>
      <x:c r="K561" s="2" t="str">
        <x:f>IF(OR(J561="심의승인",J561="반려",J561="반려완료",J561="심의완료"),"종결 표시",IF(OR(J561="기후부협의",J561="문서재제출요청",J561="보류",J561="보완요청",J561="보완완료",J561="평가중",J561="반려요청",J561="평가필요",LEFT(J561,5)="보완요청("),"미종결 표시","상태 확인 필요"))</x:f>
        <x:v>종결 표시</x:v>
      </x:c>
      <x:c r="L561" s="2"/>
      <x:c r="M561" s="2"/>
      <x:c r="N561" s="8" t="n">
        <x:f>DATE(2026,10,15)-DATE(2019,5,22)</x:f>
        <x:v>2703</x:v>
      </x:c>
      <x:c r="O561" s="2"/>
      <x:c r="P561" s="2" t="str">
        <x:v>반려완료(재신청 예정)</x:v>
      </x:c>
      <x:c r="Q561" s="2" t="str">
        <x:v>산업전환_외부사업관리Tool_260707_이너젠 수정_LJY_261013.xlsx</x:v>
      </x:c>
      <x:c r="R561" s="2" t="str">
        <x:v>국내평가</x:v>
      </x:c>
      <x:c r="S561" s="8" t="n">
        <x:v>464</x:v>
      </x:c>
      <x:c r="T561" s="2" t="str">
        <x:v>2021년 처리</x:v>
      </x:c>
      <x:c r="U561" s="2" t="str">
        <x:v>2021 배정: 2021년 처리</x:v>
      </x:c>
      <x:c r="V561" s="2" t="str">
        <x:v>2021-06-30</x:v>
      </x:c>
      <x:c r="W561" s="2" t="str">
        <x:v>담당기관 확인</x:v>
      </x:c>
      <x:c r="X561" s="2" t="str">
        <x:v>원본·배정 기록 확인</x:v>
      </x:c>
      <x:c r="Y561" s="2" t="str">
        <x:v>ad210cd9ec132cfd447541c8984dc53d30aff0f4fb2dc92d254d49275cc55976</x:v>
      </x:c>
      <x:c r="Z561" s="2" t="n">
        <x:f>SUBTOTAL(103,A561)</x:f>
        <x:v>1</x:v>
      </x:c>
      <x:c r="AA561" s="2" t="str">
        <x:f>IF(K561&lt;&gt;"미종결 표시","대상 아님",IF(N561="","신청일 확인",IF(NOT(ISNUMBER('종합 현황'!$H$5)),"관찰기준 확인",IF('종합 현황'!$H$5&lt;1,"관찰기준 확인",IF(N561&gt;'종합 현황'!$H$5,"내부 관찰 대상","내부 관찰일 이하")))))</x:f>
        <x:v>대상 아님</x:v>
      </x:c>
      <x:c r="AB561" s="2"/>
    </x:row>
    <x:row r="562" ht="42" customHeight="1">
      <x:c r="A562" s="2" t="str">
        <x:v>7d58b24dfa25810e03d3660d</x:v>
      </x:c>
      <x:c r="B562" s="2" t="str">
        <x:v>사업 평가</x:v>
      </x:c>
      <x:c r="C562" s="2" t="str">
        <x:v>국내</x:v>
      </x:c>
      <x:c r="D562" s="7" t="str">
        <x:v>속초 청초 1단지 아파트 연료전환을 통한 온실가스 단위감축사업</x:v>
      </x:c>
      <x:c r="E562" s="2" t="str">
        <x:v>423</x:v>
      </x:c>
      <x:c r="F562" s="2" t="str">
        <x:v>2019-02-20</x:v>
      </x:c>
      <x:c r="G562" s="2" t="str">
        <x:v>2019</x:v>
      </x:c>
      <x:c r="H562" s="2" t="str">
        <x:v>02</x:v>
      </x:c>
      <x:c r="I562" s="2" t="str">
        <x:v>승인</x:v>
      </x:c>
      <x:c r="J562" s="2" t="str">
        <x:v>심의승인</x:v>
      </x:c>
      <x:c r="K562" s="2" t="str">
        <x:f>IF(OR(J562="심의승인",J562="반려",J562="반려완료",J562="심의완료"),"종결 표시",IF(OR(J562="기후부협의",J562="문서재제출요청",J562="보류",J562="보완요청",J562="보완완료",J562="평가중",J562="반려요청",J562="평가필요",LEFT(J562,5)="보완요청("),"미종결 표시","상태 확인 필요"))</x:f>
        <x:v>종결 표시</x:v>
      </x:c>
      <x:c r="L562" s="2"/>
      <x:c r="M562" s="2"/>
      <x:c r="N562" s="8" t="n">
        <x:f>DATE(2026,10,15)-DATE(2019,2,20)</x:f>
        <x:v>2794</x:v>
      </x:c>
      <x:c r="O562" s="2"/>
      <x:c r="P562" s="2"/>
      <x:c r="Q562" s="2" t="str">
        <x:v>산업전환_외부사업관리Tool_260707_이너젠 수정_LJY_261013.xlsx</x:v>
      </x:c>
      <x:c r="R562" s="2" t="str">
        <x:v>국내평가</x:v>
      </x:c>
      <x:c r="S562" s="8" t="n">
        <x:v>465</x:v>
      </x:c>
      <x:c r="T562" s="2" t="str">
        <x:v>2021년 처리</x:v>
      </x:c>
      <x:c r="U562" s="2" t="str">
        <x:v>2021 배정: 2021년 처리</x:v>
      </x:c>
      <x:c r="V562" s="2" t="str">
        <x:v>2021-09-27</x:v>
      </x:c>
      <x:c r="W562" s="2" t="str">
        <x:v>담당기관 확인</x:v>
      </x:c>
      <x:c r="X562" s="2" t="str">
        <x:v>원본·배정 기록 확인</x:v>
      </x:c>
      <x:c r="Y562" s="2" t="str">
        <x:v>ad210cd9ec132cfd447541c8984dc53d30aff0f4fb2dc92d254d49275cc55976</x:v>
      </x:c>
      <x:c r="Z562" s="2" t="n">
        <x:f>SUBTOTAL(103,A562)</x:f>
        <x:v>1</x:v>
      </x:c>
      <x:c r="AA562" s="2" t="str">
        <x:f>IF(K562&lt;&gt;"미종결 표시","대상 아님",IF(N562="","신청일 확인",IF(NOT(ISNUMBER('종합 현황'!$H$5)),"관찰기준 확인",IF('종합 현황'!$H$5&lt;1,"관찰기준 확인",IF(N562&gt;'종합 현황'!$H$5,"내부 관찰 대상","내부 관찰일 이하")))))</x:f>
        <x:v>대상 아님</x:v>
      </x:c>
      <x:c r="AB562" s="2"/>
    </x:row>
    <x:row r="563" ht="42" customHeight="1">
      <x:c r="A563" s="2" t="str">
        <x:v>74ce9965006d1b34675634ec</x:v>
      </x:c>
      <x:c r="B563" s="2" t="str">
        <x:v>사업 평가</x:v>
      </x:c>
      <x:c r="C563" s="2" t="str">
        <x:v>국내</x:v>
      </x:c>
      <x:c r="D563" s="7" t="str">
        <x:v>신성밸브 고효율인버터 공기압축기 교체를 통한 온실가스 감축사업</x:v>
      </x:c>
      <x:c r="E563" s="2" t="str">
        <x:v>424</x:v>
      </x:c>
      <x:c r="F563" s="2" t="str">
        <x:v>2019-05-22</x:v>
      </x:c>
      <x:c r="G563" s="2" t="str">
        <x:v>2019</x:v>
      </x:c>
      <x:c r="H563" s="2" t="str">
        <x:v>05</x:v>
      </x:c>
      <x:c r="I563" s="2" t="str">
        <x:v>반려</x:v>
      </x:c>
      <x:c r="J563" s="2" t="str">
        <x:v>반려</x:v>
      </x:c>
      <x:c r="K563" s="2" t="str">
        <x:f>IF(OR(J563="심의승인",J563="반려",J563="반려완료",J563="심의완료"),"종결 표시",IF(OR(J563="기후부협의",J563="문서재제출요청",J563="보류",J563="보완요청",J563="보완완료",J563="평가중",J563="반려요청",J563="평가필요",LEFT(J563,5)="보완요청("),"미종결 표시","상태 확인 필요"))</x:f>
        <x:v>종결 표시</x:v>
      </x:c>
      <x:c r="L563" s="2"/>
      <x:c r="M563" s="2"/>
      <x:c r="N563" s="8" t="n">
        <x:f>DATE(2026,10,15)-DATE(2019,5,22)</x:f>
        <x:v>2703</x:v>
      </x:c>
      <x:c r="O563" s="2"/>
      <x:c r="P563" s="2" t="str">
        <x:v>반려완료(재신청 예정)</x:v>
      </x:c>
      <x:c r="Q563" s="2" t="str">
        <x:v>산업전환_외부사업관리Tool_260707_이너젠 수정_LJY_261013.xlsx</x:v>
      </x:c>
      <x:c r="R563" s="2" t="str">
        <x:v>국내평가</x:v>
      </x:c>
      <x:c r="S563" s="8" t="n">
        <x:v>466</x:v>
      </x:c>
      <x:c r="T563" s="2" t="str">
        <x:v>2021년 처리</x:v>
      </x:c>
      <x:c r="U563" s="2" t="str">
        <x:v>2021 배정: 2021년 처리</x:v>
      </x:c>
      <x:c r="V563" s="2" t="str">
        <x:v>2021-06-30</x:v>
      </x:c>
      <x:c r="W563" s="2" t="str">
        <x:v>담당기관 확인</x:v>
      </x:c>
      <x:c r="X563" s="2" t="str">
        <x:v>원본·배정 기록 확인</x:v>
      </x:c>
      <x:c r="Y563" s="2" t="str">
        <x:v>ad210cd9ec132cfd447541c8984dc53d30aff0f4fb2dc92d254d49275cc55976</x:v>
      </x:c>
      <x:c r="Z563" s="2" t="n">
        <x:f>SUBTOTAL(103,A563)</x:f>
        <x:v>1</x:v>
      </x:c>
      <x:c r="AA563" s="2" t="str">
        <x:f>IF(K563&lt;&gt;"미종결 표시","대상 아님",IF(N563="","신청일 확인",IF(NOT(ISNUMBER('종합 현황'!$H$5)),"관찰기준 확인",IF('종합 현황'!$H$5&lt;1,"관찰기준 확인",IF(N563&gt;'종합 현황'!$H$5,"내부 관찰 대상","내부 관찰일 이하")))))</x:f>
        <x:v>대상 아님</x:v>
      </x:c>
      <x:c r="AB563" s="2"/>
    </x:row>
    <x:row r="564" ht="42" customHeight="1">
      <x:c r="A564" s="2" t="str">
        <x:v>14b154637f998c42e353c6e1</x:v>
      </x:c>
      <x:c r="B564" s="2" t="str">
        <x:v>사업 평가</x:v>
      </x:c>
      <x:c r="C564" s="2" t="str">
        <x:v>국내</x:v>
      </x:c>
      <x:c r="D564" s="7" t="str">
        <x:v>부일레미콘의 B-C유에서 도시가스(LNG)로 연료전환을 통한 온실가스 배출 감축사업</x:v>
      </x:c>
      <x:c r="E564" s="2" t="str">
        <x:v>425</x:v>
      </x:c>
      <x:c r="F564" s="2" t="str">
        <x:v>2019-04-02</x:v>
      </x:c>
      <x:c r="G564" s="2" t="str">
        <x:v>2019</x:v>
      </x:c>
      <x:c r="H564" s="2" t="str">
        <x:v>04</x:v>
      </x:c>
      <x:c r="I564" s="2" t="str">
        <x:v>승인</x:v>
      </x:c>
      <x:c r="J564" s="2" t="str">
        <x:v>심의승인</x:v>
      </x:c>
      <x:c r="K564" s="2" t="str">
        <x:f>IF(OR(J564="심의승인",J564="반려",J564="반려완료",J564="심의완료"),"종결 표시",IF(OR(J564="기후부협의",J564="문서재제출요청",J564="보류",J564="보완요청",J564="보완완료",J564="평가중",J564="반려요청",J564="평가필요",LEFT(J564,5)="보완요청("),"미종결 표시","상태 확인 필요"))</x:f>
        <x:v>종결 표시</x:v>
      </x:c>
      <x:c r="L564" s="2"/>
      <x:c r="M564" s="2"/>
      <x:c r="N564" s="8" t="n">
        <x:f>DATE(2026,10,15)-DATE(2019,4,2)</x:f>
        <x:v>2753</x:v>
      </x:c>
      <x:c r="O564" s="2" t="str">
        <x:v>O(4월)</x:v>
      </x:c>
      <x:c r="P564" s="2"/>
      <x:c r="Q564" s="2" t="str">
        <x:v>산업전환_외부사업관리Tool_260707_이너젠 수정_LJY_261013.xlsx</x:v>
      </x:c>
      <x:c r="R564" s="2" t="str">
        <x:v>국내평가</x:v>
      </x:c>
      <x:c r="S564" s="8" t="n">
        <x:v>467</x:v>
      </x:c>
      <x:c r="T564" s="2"/>
      <x:c r="U564" s="2" t="str"/>
      <x:c r="V564" s="2" t="str">
        <x:v>2021-12-17</x:v>
      </x:c>
      <x:c r="W564" s="2" t="str">
        <x:v>담당기관 확인</x:v>
      </x:c>
      <x:c r="X564" s="2" t="str">
        <x:v>원본·배정 기록 확인</x:v>
      </x:c>
      <x:c r="Y564" s="2" t="str">
        <x:v>ad210cd9ec132cfd447541c8984dc53d30aff0f4fb2dc92d254d49275cc55976</x:v>
      </x:c>
      <x:c r="Z564" s="2" t="n">
        <x:f>SUBTOTAL(103,A564)</x:f>
        <x:v>1</x:v>
      </x:c>
      <x:c r="AA564" s="2" t="str">
        <x:f>IF(K564&lt;&gt;"미종결 표시","대상 아님",IF(N564="","신청일 확인",IF(NOT(ISNUMBER('종합 현황'!$H$5)),"관찰기준 확인",IF('종합 현황'!$H$5&lt;1,"관찰기준 확인",IF(N564&gt;'종합 현황'!$H$5,"내부 관찰 대상","내부 관찰일 이하")))))</x:f>
        <x:v>대상 아님</x:v>
      </x:c>
      <x:c r="AB564" s="2"/>
    </x:row>
    <x:row r="565" ht="42" customHeight="1">
      <x:c r="A565" s="2" t="str">
        <x:v>4a8bd3d24ebb8b7df49f51f2</x:v>
      </x:c>
      <x:c r="B565" s="2" t="str">
        <x:v>사업 평가</x:v>
      </x:c>
      <x:c r="C565" s="2" t="str">
        <x:v>국내</x:v>
      </x:c>
      <x:c r="D565" s="7" t="str">
        <x:v>오뚜기제유(주)의 고효율 착유기 교체를 통한 온실가스 배출 감축사업</x:v>
      </x:c>
      <x:c r="E565" s="2" t="str">
        <x:v>426</x:v>
      </x:c>
      <x:c r="F565" s="2" t="str">
        <x:v>2020-02-28</x:v>
      </x:c>
      <x:c r="G565" s="2" t="str">
        <x:v>2020</x:v>
      </x:c>
      <x:c r="H565" s="2" t="str">
        <x:v>02</x:v>
      </x:c>
      <x:c r="I565" s="2" t="str">
        <x:v>반려</x:v>
      </x:c>
      <x:c r="J565" s="2" t="str">
        <x:v>반려</x:v>
      </x:c>
      <x:c r="K565" s="2" t="str">
        <x:f>IF(OR(J565="심의승인",J565="반려",J565="반려완료",J565="심의완료"),"종결 표시",IF(OR(J565="기후부협의",J565="문서재제출요청",J565="보류",J565="보완요청",J565="보완완료",J565="평가중",J565="반려요청",J565="평가필요",LEFT(J565,5)="보완요청("),"미종결 표시","상태 확인 필요"))</x:f>
        <x:v>종결 표시</x:v>
      </x:c>
      <x:c r="L565" s="2" t="str">
        <x:v>DNV_박상연, 에코시안_정인혜,권송화</x:v>
      </x:c>
      <x:c r="M565" s="2"/>
      <x:c r="N565" s="8" t="n">
        <x:f>DATE(2026,10,15)-DATE(2020,2,28)</x:f>
        <x:v>2421</x:v>
      </x:c>
      <x:c r="O565" s="2" t="str">
        <x:v>O(21.11)</x:v>
      </x:c>
      <x:c r="P565" s="2"/>
      <x:c r="Q565" s="2" t="str">
        <x:v>산업전환_외부사업관리Tool_260707_이너젠 수정_LJY_261013.xlsx</x:v>
      </x:c>
      <x:c r="R565" s="2" t="str">
        <x:v>국내평가</x:v>
      </x:c>
      <x:c r="S565" s="8" t="n">
        <x:v>468</x:v>
      </x:c>
      <x:c r="T565" s="2" t="str">
        <x:v>(5/7),(11/2)</x:v>
      </x:c>
      <x:c r="U565" s="2" t="str">
        <x:v>2021 배정: (5/7),(11/2) / 2022 배정: (1/18),(4/19)</x:v>
      </x:c>
      <x:c r="V565" s="2" t="str">
        <x:v>2023-03-30</x:v>
      </x:c>
      <x:c r="W565" s="2" t="str"/>
      <x:c r="X565" s="2" t="str">
        <x:v>종결 근거 보관</x:v>
      </x:c>
      <x:c r="Y565" s="2" t="str">
        <x:v>ad210cd9ec132cfd447541c8984dc53d30aff0f4fb2dc92d254d49275cc55976</x:v>
      </x:c>
      <x:c r="Z565" s="2" t="n">
        <x:f>SUBTOTAL(103,A565)</x:f>
        <x:v>1</x:v>
      </x:c>
      <x:c r="AA565" s="2" t="str">
        <x:f>IF(K565&lt;&gt;"미종결 표시","대상 아님",IF(N565="","신청일 확인",IF(NOT(ISNUMBER('종합 현황'!$H$5)),"관찰기준 확인",IF('종합 현황'!$H$5&lt;1,"관찰기준 확인",IF(N565&gt;'종합 현황'!$H$5,"내부 관찰 대상","내부 관찰일 이하")))))</x:f>
        <x:v>대상 아님</x:v>
      </x:c>
      <x:c r="AB565" s="2"/>
    </x:row>
    <x:row r="566" ht="42" customHeight="1">
      <x:c r="A566" s="2" t="str">
        <x:v>41b9b198159f0b01fd471be7</x:v>
      </x:c>
      <x:c r="B566" s="2" t="str">
        <x:v>사업 평가</x:v>
      </x:c>
      <x:c r="C566" s="2" t="str">
        <x:v>국내</x:v>
      </x:c>
      <x:c r="D566" s="7" t="str">
        <x:v>(주)디엠티 고효율인버터 공기압축기 교체를 통한 온실가스 감축사업</x:v>
      </x:c>
      <x:c r="E566" s="2" t="str">
        <x:v>427</x:v>
      </x:c>
      <x:c r="F566" s="2" t="str">
        <x:v>2019-05-22</x:v>
      </x:c>
      <x:c r="G566" s="2" t="str">
        <x:v>2019</x:v>
      </x:c>
      <x:c r="H566" s="2" t="str">
        <x:v>05</x:v>
      </x:c>
      <x:c r="I566" s="2" t="str">
        <x:v>반려</x:v>
      </x:c>
      <x:c r="J566" s="2" t="str">
        <x:v>반려</x:v>
      </x:c>
      <x:c r="K566" s="2" t="str">
        <x:f>IF(OR(J566="심의승인",J566="반려",J566="반려완료",J566="심의완료"),"종결 표시",IF(OR(J566="기후부협의",J566="문서재제출요청",J566="보류",J566="보완요청",J566="보완완료",J566="평가중",J566="반려요청",J566="평가필요",LEFT(J566,5)="보완요청("),"미종결 표시","상태 확인 필요"))</x:f>
        <x:v>종결 표시</x:v>
      </x:c>
      <x:c r="L566" s="2"/>
      <x:c r="M566" s="2"/>
      <x:c r="N566" s="8" t="n">
        <x:f>DATE(2026,10,15)-DATE(2019,5,22)</x:f>
        <x:v>2703</x:v>
      </x:c>
      <x:c r="O566" s="2"/>
      <x:c r="P566" s="2" t="str">
        <x:v>반려완료(재신청 예정)</x:v>
      </x:c>
      <x:c r="Q566" s="2" t="str">
        <x:v>산업전환_외부사업관리Tool_260707_이너젠 수정_LJY_261013.xlsx</x:v>
      </x:c>
      <x:c r="R566" s="2" t="str">
        <x:v>국내평가</x:v>
      </x:c>
      <x:c r="S566" s="8" t="n">
        <x:v>469</x:v>
      </x:c>
      <x:c r="T566" s="2" t="str">
        <x:v>2021년 처리</x:v>
      </x:c>
      <x:c r="U566" s="2" t="str">
        <x:v>2021 배정: 2021년 처리</x:v>
      </x:c>
      <x:c r="V566" s="2" t="str">
        <x:v>2021-06-30</x:v>
      </x:c>
      <x:c r="W566" s="2" t="str">
        <x:v>담당기관 확인</x:v>
      </x:c>
      <x:c r="X566" s="2" t="str">
        <x:v>원본·배정 기록 확인</x:v>
      </x:c>
      <x:c r="Y566" s="2" t="str">
        <x:v>ad210cd9ec132cfd447541c8984dc53d30aff0f4fb2dc92d254d49275cc55976</x:v>
      </x:c>
      <x:c r="Z566" s="2" t="n">
        <x:f>SUBTOTAL(103,A566)</x:f>
        <x:v>1</x:v>
      </x:c>
      <x:c r="AA566" s="2" t="str">
        <x:f>IF(K566&lt;&gt;"미종결 표시","대상 아님",IF(N566="","신청일 확인",IF(NOT(ISNUMBER('종합 현황'!$H$5)),"관찰기준 확인",IF('종합 현황'!$H$5&lt;1,"관찰기준 확인",IF(N566&gt;'종합 현황'!$H$5,"내부 관찰 대상","내부 관찰일 이하")))))</x:f>
        <x:v>대상 아님</x:v>
      </x:c>
      <x:c r="AB566" s="2"/>
    </x:row>
    <x:row r="567" ht="42" customHeight="1">
      <x:c r="A567" s="2" t="str">
        <x:v>b4af14fcfb618ab25e7dd3c8</x:v>
      </x:c>
      <x:c r="B567" s="2" t="str">
        <x:v>사업 평가</x:v>
      </x:c>
      <x:c r="C567" s="2" t="str">
        <x:v>국내</x:v>
      </x:c>
      <x:c r="D567" s="7" t="str">
        <x:v>이연제약 진천공장의 B-C유에서 LNG로의 연료전환을 통한 온실가스 배출 감축사업</x:v>
      </x:c>
      <x:c r="E567" s="2" t="str">
        <x:v>428</x:v>
      </x:c>
      <x:c r="F567" s="2" t="str">
        <x:v>2019-04-02</x:v>
      </x:c>
      <x:c r="G567" s="2" t="str">
        <x:v>2019</x:v>
      </x:c>
      <x:c r="H567" s="2" t="str">
        <x:v>04</x:v>
      </x:c>
      <x:c r="I567" s="2" t="str">
        <x:v>승인</x:v>
      </x:c>
      <x:c r="J567" s="2" t="str">
        <x:v>심의승인</x:v>
      </x:c>
      <x:c r="K567" s="2" t="str">
        <x:f>IF(OR(J567="심의승인",J567="반려",J567="반려완료",J567="심의완료"),"종결 표시",IF(OR(J567="기후부협의",J567="문서재제출요청",J567="보류",J567="보완요청",J567="보완완료",J567="평가중",J567="반려요청",J567="평가필요",LEFT(J567,5)="보완요청("),"미종결 표시","상태 확인 필요"))</x:f>
        <x:v>종결 표시</x:v>
      </x:c>
      <x:c r="L567" s="2"/>
      <x:c r="M567" s="2"/>
      <x:c r="N567" s="8" t="n">
        <x:f>DATE(2026,10,15)-DATE(2019,4,2)</x:f>
        <x:v>2753</x:v>
      </x:c>
      <x:c r="O567" s="2" t="str">
        <x:v>O(5월)</x:v>
      </x:c>
      <x:c r="P567" s="2"/>
      <x:c r="Q567" s="2" t="str">
        <x:v>산업전환_외부사업관리Tool_260707_이너젠 수정_LJY_261013.xlsx</x:v>
      </x:c>
      <x:c r="R567" s="2" t="str">
        <x:v>국내평가</x:v>
      </x:c>
      <x:c r="S567" s="8" t="n">
        <x:v>470</x:v>
      </x:c>
      <x:c r="T567" s="2"/>
      <x:c r="U567" s="2" t="str"/>
      <x:c r="V567" s="2" t="str">
        <x:v>2022-02-10</x:v>
      </x:c>
      <x:c r="W567" s="2" t="str">
        <x:v>담당기관 확인</x:v>
      </x:c>
      <x:c r="X567" s="2" t="str">
        <x:v>원본·배정 기록 확인</x:v>
      </x:c>
      <x:c r="Y567" s="2" t="str">
        <x:v>ad210cd9ec132cfd447541c8984dc53d30aff0f4fb2dc92d254d49275cc55976</x:v>
      </x:c>
      <x:c r="Z567" s="2" t="n">
        <x:f>SUBTOTAL(103,A567)</x:f>
        <x:v>1</x:v>
      </x:c>
      <x:c r="AA567" s="2" t="str">
        <x:f>IF(K567&lt;&gt;"미종결 표시","대상 아님",IF(N567="","신청일 확인",IF(NOT(ISNUMBER('종합 현황'!$H$5)),"관찰기준 확인",IF('종합 현황'!$H$5&lt;1,"관찰기준 확인",IF(N567&gt;'종합 현황'!$H$5,"내부 관찰 대상","내부 관찰일 이하")))))</x:f>
        <x:v>대상 아님</x:v>
      </x:c>
      <x:c r="AB567" s="2"/>
    </x:row>
    <x:row r="568" ht="42" customHeight="1">
      <x:c r="A568" s="2" t="str">
        <x:v>ec1efa25ed66ff81ab6f85ea</x:v>
      </x:c>
      <x:c r="B568" s="2" t="str">
        <x:v>사업 평가</x:v>
      </x:c>
      <x:c r="C568" s="2" t="str">
        <x:v>국내</x:v>
      </x:c>
      <x:c r="D568" s="7" t="str">
        <x:v>(주)영광공작소 고효율 인버터 공기압축기 교체를 통한 온실가스 감축사업</x:v>
      </x:c>
      <x:c r="E568" s="2" t="str">
        <x:v>429</x:v>
      </x:c>
      <x:c r="F568" s="2" t="str">
        <x:v>2019-05-22</x:v>
      </x:c>
      <x:c r="G568" s="2" t="str">
        <x:v>2019</x:v>
      </x:c>
      <x:c r="H568" s="2" t="str">
        <x:v>05</x:v>
      </x:c>
      <x:c r="I568" s="2" t="str">
        <x:v>반려</x:v>
      </x:c>
      <x:c r="J568" s="2" t="str">
        <x:v>반려</x:v>
      </x:c>
      <x:c r="K568" s="2" t="str">
        <x:f>IF(OR(J568="심의승인",J568="반려",J568="반려완료",J568="심의완료"),"종결 표시",IF(OR(J568="기후부협의",J568="문서재제출요청",J568="보류",J568="보완요청",J568="보완완료",J568="평가중",J568="반려요청",J568="평가필요",LEFT(J568,5)="보완요청("),"미종결 표시","상태 확인 필요"))</x:f>
        <x:v>종결 표시</x:v>
      </x:c>
      <x:c r="L568" s="2"/>
      <x:c r="M568" s="2"/>
      <x:c r="N568" s="8" t="n">
        <x:f>DATE(2026,10,15)-DATE(2019,5,22)</x:f>
        <x:v>2703</x:v>
      </x:c>
      <x:c r="O568" s="2"/>
      <x:c r="P568" s="2" t="str">
        <x:v>반려완료(재신청 예정)</x:v>
      </x:c>
      <x:c r="Q568" s="2" t="str">
        <x:v>산업전환_외부사업관리Tool_260707_이너젠 수정_LJY_261013.xlsx</x:v>
      </x:c>
      <x:c r="R568" s="2" t="str">
        <x:v>국내평가</x:v>
      </x:c>
      <x:c r="S568" s="8" t="n">
        <x:v>471</x:v>
      </x:c>
      <x:c r="T568" s="2" t="str">
        <x:v>2021년 처리</x:v>
      </x:c>
      <x:c r="U568" s="2" t="str">
        <x:v>2021 배정: 2021년 처리</x:v>
      </x:c>
      <x:c r="V568" s="2" t="str">
        <x:v>2021-06-30</x:v>
      </x:c>
      <x:c r="W568" s="2" t="str">
        <x:v>담당기관 확인</x:v>
      </x:c>
      <x:c r="X568" s="2" t="str">
        <x:v>원본·배정 기록 확인</x:v>
      </x:c>
      <x:c r="Y568" s="2" t="str">
        <x:v>ad210cd9ec132cfd447541c8984dc53d30aff0f4fb2dc92d254d49275cc55976</x:v>
      </x:c>
      <x:c r="Z568" s="2" t="n">
        <x:f>SUBTOTAL(103,A568)</x:f>
        <x:v>1</x:v>
      </x:c>
      <x:c r="AA568" s="2" t="str">
        <x:f>IF(K568&lt;&gt;"미종결 표시","대상 아님",IF(N568="","신청일 확인",IF(NOT(ISNUMBER('종합 현황'!$H$5)),"관찰기준 확인",IF('종합 현황'!$H$5&lt;1,"관찰기준 확인",IF(N568&gt;'종합 현황'!$H$5,"내부 관찰 대상","내부 관찰일 이하")))))</x:f>
        <x:v>대상 아님</x:v>
      </x:c>
      <x:c r="AB568" s="2"/>
    </x:row>
    <x:row r="569" ht="42" customHeight="1">
      <x:c r="A569" s="2" t="str">
        <x:v>6df9befa160c001d65f94eb6</x:v>
      </x:c>
      <x:c r="B569" s="2" t="str">
        <x:v>사업 평가</x:v>
      </x:c>
      <x:c r="C569" s="2" t="str">
        <x:v>국내</x:v>
      </x:c>
      <x:c r="D569" s="7" t="str">
        <x:v>삼일이노팩의 B-C유에서 LNG로 연료전환을 통한 온실가스 배출 감축사업</x:v>
      </x:c>
      <x:c r="E569" s="2" t="str">
        <x:v>430</x:v>
      </x:c>
      <x:c r="F569" s="2" t="str">
        <x:v>2019-05-14</x:v>
      </x:c>
      <x:c r="G569" s="2" t="str">
        <x:v>2019</x:v>
      </x:c>
      <x:c r="H569" s="2" t="str">
        <x:v>05</x:v>
      </x:c>
      <x:c r="I569" s="2" t="str">
        <x:v>승인</x:v>
      </x:c>
      <x:c r="J569" s="2" t="str">
        <x:v>심의승인</x:v>
      </x:c>
      <x:c r="K569" s="2" t="str">
        <x:f>IF(OR(J569="심의승인",J569="반려",J569="반려완료",J569="심의완료"),"종결 표시",IF(OR(J569="기후부협의",J569="문서재제출요청",J569="보류",J569="보완요청",J569="보완완료",J569="평가중",J569="반려요청",J569="평가필요",LEFT(J569,5)="보완요청("),"미종결 표시","상태 확인 필요"))</x:f>
        <x:v>종결 표시</x:v>
      </x:c>
      <x:c r="L569" s="2"/>
      <x:c r="M569" s="2"/>
      <x:c r="N569" s="8" t="n">
        <x:f>DATE(2026,10,15)-DATE(2019,5,14)</x:f>
        <x:v>2711</x:v>
      </x:c>
      <x:c r="O569" s="2"/>
      <x:c r="P569" s="2"/>
      <x:c r="Q569" s="2" t="str">
        <x:v>산업전환_외부사업관리Tool_260707_이너젠 수정_LJY_261013.xlsx</x:v>
      </x:c>
      <x:c r="R569" s="2" t="str">
        <x:v>국내평가</x:v>
      </x:c>
      <x:c r="S569" s="8" t="n">
        <x:v>472</x:v>
      </x:c>
      <x:c r="T569" s="2"/>
      <x:c r="U569" s="2" t="str"/>
      <x:c r="V569" s="2" t="str">
        <x:v>2021-02-09</x:v>
      </x:c>
      <x:c r="W569" s="2" t="str">
        <x:v>담당기관 확인</x:v>
      </x:c>
      <x:c r="X569" s="2" t="str">
        <x:v>원본·배정 기록 확인</x:v>
      </x:c>
      <x:c r="Y569" s="2" t="str">
        <x:v>ad210cd9ec132cfd447541c8984dc53d30aff0f4fb2dc92d254d49275cc55976</x:v>
      </x:c>
      <x:c r="Z569" s="2" t="n">
        <x:f>SUBTOTAL(103,A569)</x:f>
        <x:v>1</x:v>
      </x:c>
      <x:c r="AA569" s="2" t="str">
        <x:f>IF(K569&lt;&gt;"미종결 표시","대상 아님",IF(N569="","신청일 확인",IF(NOT(ISNUMBER('종합 현황'!$H$5)),"관찰기준 확인",IF('종합 현황'!$H$5&lt;1,"관찰기준 확인",IF(N569&gt;'종합 현황'!$H$5,"내부 관찰 대상","내부 관찰일 이하")))))</x:f>
        <x:v>대상 아님</x:v>
      </x:c>
      <x:c r="AB569" s="2"/>
    </x:row>
    <x:row r="570" ht="42" customHeight="1">
      <x:c r="A570" s="2" t="str">
        <x:v>d85a276cb8619c4f41923a76</x:v>
      </x:c>
      <x:c r="B570" s="2" t="str">
        <x:v>사업 평가</x:v>
      </x:c>
      <x:c r="C570" s="2" t="str">
        <x:v>국내</x:v>
      </x:c>
      <x:c r="D570" s="7" t="str">
        <x:v>(주)태원 고효율인버터 공기압축기 교체를 통한 온실가스 감축사업</x:v>
      </x:c>
      <x:c r="E570" s="2" t="str">
        <x:v>431</x:v>
      </x:c>
      <x:c r="F570" s="2" t="str">
        <x:v>2019-05-22</x:v>
      </x:c>
      <x:c r="G570" s="2" t="str">
        <x:v>2019</x:v>
      </x:c>
      <x:c r="H570" s="2" t="str">
        <x:v>05</x:v>
      </x:c>
      <x:c r="I570" s="2" t="str">
        <x:v>반려</x:v>
      </x:c>
      <x:c r="J570" s="2" t="str">
        <x:v>반려</x:v>
      </x:c>
      <x:c r="K570" s="2" t="str">
        <x:f>IF(OR(J570="심의승인",J570="반려",J570="반려완료",J570="심의완료"),"종결 표시",IF(OR(J570="기후부협의",J570="문서재제출요청",J570="보류",J570="보완요청",J570="보완완료",J570="평가중",J570="반려요청",J570="평가필요",LEFT(J570,5)="보완요청("),"미종결 표시","상태 확인 필요"))</x:f>
        <x:v>종결 표시</x:v>
      </x:c>
      <x:c r="L570" s="2"/>
      <x:c r="M570" s="2"/>
      <x:c r="N570" s="8" t="n">
        <x:f>DATE(2026,10,15)-DATE(2019,5,22)</x:f>
        <x:v>2703</x:v>
      </x:c>
      <x:c r="O570" s="2"/>
      <x:c r="P570" s="2" t="str">
        <x:v>반려완료(재신청 예정)</x:v>
      </x:c>
      <x:c r="Q570" s="2" t="str">
        <x:v>산업전환_외부사업관리Tool_260707_이너젠 수정_LJY_261013.xlsx</x:v>
      </x:c>
      <x:c r="R570" s="2" t="str">
        <x:v>국내평가</x:v>
      </x:c>
      <x:c r="S570" s="8" t="n">
        <x:v>473</x:v>
      </x:c>
      <x:c r="T570" s="2" t="str">
        <x:v>2021년 처리</x:v>
      </x:c>
      <x:c r="U570" s="2" t="str">
        <x:v>2021 배정: 2021년 처리</x:v>
      </x:c>
      <x:c r="V570" s="2" t="str">
        <x:v>2021-06-30</x:v>
      </x:c>
      <x:c r="W570" s="2" t="str">
        <x:v>담당기관 확인</x:v>
      </x:c>
      <x:c r="X570" s="2" t="str">
        <x:v>원본·배정 기록 확인</x:v>
      </x:c>
      <x:c r="Y570" s="2" t="str">
        <x:v>ad210cd9ec132cfd447541c8984dc53d30aff0f4fb2dc92d254d49275cc55976</x:v>
      </x:c>
      <x:c r="Z570" s="2" t="n">
        <x:f>SUBTOTAL(103,A570)</x:f>
        <x:v>1</x:v>
      </x:c>
      <x:c r="AA570" s="2" t="str">
        <x:f>IF(K570&lt;&gt;"미종결 표시","대상 아님",IF(N570="","신청일 확인",IF(NOT(ISNUMBER('종합 현황'!$H$5)),"관찰기준 확인",IF('종합 현황'!$H$5&lt;1,"관찰기준 확인",IF(N570&gt;'종합 현황'!$H$5,"내부 관찰 대상","내부 관찰일 이하")))))</x:f>
        <x:v>대상 아님</x:v>
      </x:c>
      <x:c r="AB570" s="2"/>
    </x:row>
    <x:row r="571" ht="42" customHeight="1">
      <x:c r="A571" s="2" t="str">
        <x:v>83ea1c771cbee881660717e2</x:v>
      </x:c>
      <x:c r="B571" s="2" t="str">
        <x:v>사업 평가</x:v>
      </x:c>
      <x:c r="C571" s="2" t="str">
        <x:v>국내</x:v>
      </x:c>
      <x:c r="D571" s="7" t="str">
        <x:v>진영티비엑스(주) 고효율인버터 공기압축기 교체를 통한 온실가스 감축사업</x:v>
      </x:c>
      <x:c r="E571" s="2" t="str">
        <x:v>432</x:v>
      </x:c>
      <x:c r="F571" s="2" t="str">
        <x:v>2019-05-22</x:v>
      </x:c>
      <x:c r="G571" s="2" t="str">
        <x:v>2019</x:v>
      </x:c>
      <x:c r="H571" s="2" t="str">
        <x:v>05</x:v>
      </x:c>
      <x:c r="I571" s="2" t="str">
        <x:v>반려</x:v>
      </x:c>
      <x:c r="J571" s="2" t="str">
        <x:v>반려</x:v>
      </x:c>
      <x:c r="K571" s="2" t="str">
        <x:f>IF(OR(J571="심의승인",J571="반려",J571="반려완료",J571="심의완료"),"종결 표시",IF(OR(J571="기후부협의",J571="문서재제출요청",J571="보류",J571="보완요청",J571="보완완료",J571="평가중",J571="반려요청",J571="평가필요",LEFT(J571,5)="보완요청("),"미종결 표시","상태 확인 필요"))</x:f>
        <x:v>종결 표시</x:v>
      </x:c>
      <x:c r="L571" s="2"/>
      <x:c r="M571" s="2"/>
      <x:c r="N571" s="8" t="n">
        <x:f>DATE(2026,10,15)-DATE(2019,5,22)</x:f>
        <x:v>2703</x:v>
      </x:c>
      <x:c r="O571" s="2"/>
      <x:c r="P571" s="2" t="str">
        <x:v>반려완료(재신청 예정)</x:v>
      </x:c>
      <x:c r="Q571" s="2" t="str">
        <x:v>산업전환_외부사업관리Tool_260707_이너젠 수정_LJY_261013.xlsx</x:v>
      </x:c>
      <x:c r="R571" s="2" t="str">
        <x:v>국내평가</x:v>
      </x:c>
      <x:c r="S571" s="8" t="n">
        <x:v>474</x:v>
      </x:c>
      <x:c r="T571" s="2" t="str">
        <x:v>2021년 처리</x:v>
      </x:c>
      <x:c r="U571" s="2" t="str">
        <x:v>2021 배정: 2021년 처리</x:v>
      </x:c>
      <x:c r="V571" s="2" t="str">
        <x:v>2021-06-30</x:v>
      </x:c>
      <x:c r="W571" s="2" t="str">
        <x:v>담당기관 확인</x:v>
      </x:c>
      <x:c r="X571" s="2" t="str">
        <x:v>원본·배정 기록 확인</x:v>
      </x:c>
      <x:c r="Y571" s="2" t="str">
        <x:v>ad210cd9ec132cfd447541c8984dc53d30aff0f4fb2dc92d254d49275cc55976</x:v>
      </x:c>
      <x:c r="Z571" s="2" t="n">
        <x:f>SUBTOTAL(103,A571)</x:f>
        <x:v>1</x:v>
      </x:c>
      <x:c r="AA571" s="2" t="str">
        <x:f>IF(K571&lt;&gt;"미종결 표시","대상 아님",IF(N571="","신청일 확인",IF(NOT(ISNUMBER('종합 현황'!$H$5)),"관찰기준 확인",IF('종합 현황'!$H$5&lt;1,"관찰기준 확인",IF(N571&gt;'종합 현황'!$H$5,"내부 관찰 대상","내부 관찰일 이하")))))</x:f>
        <x:v>대상 아님</x:v>
      </x:c>
      <x:c r="AB571" s="2"/>
    </x:row>
    <x:row r="572" ht="42" customHeight="1">
      <x:c r="A572" s="2" t="str">
        <x:v>e619da2d0914c095ded44b1b</x:v>
      </x:c>
      <x:c r="B572" s="2" t="str">
        <x:v>사업 평가</x:v>
      </x:c>
      <x:c r="C572" s="2" t="str">
        <x:v>국내</x:v>
      </x:c>
      <x:c r="D572" s="7" t="str">
        <x:v>(주)석진이엔티 고효율인버터 공기압축기 교체를 통한 온실가스 감축사업</x:v>
      </x:c>
      <x:c r="E572" s="2" t="str">
        <x:v>433</x:v>
      </x:c>
      <x:c r="F572" s="2" t="str">
        <x:v>2019-05-22</x:v>
      </x:c>
      <x:c r="G572" s="2" t="str">
        <x:v>2019</x:v>
      </x:c>
      <x:c r="H572" s="2" t="str">
        <x:v>05</x:v>
      </x:c>
      <x:c r="I572" s="2" t="str">
        <x:v>반려</x:v>
      </x:c>
      <x:c r="J572" s="2" t="str">
        <x:v>반려</x:v>
      </x:c>
      <x:c r="K572" s="2" t="str">
        <x:f>IF(OR(J572="심의승인",J572="반려",J572="반려완료",J572="심의완료"),"종결 표시",IF(OR(J572="기후부협의",J572="문서재제출요청",J572="보류",J572="보완요청",J572="보완완료",J572="평가중",J572="반려요청",J572="평가필요",LEFT(J572,5)="보완요청("),"미종결 표시","상태 확인 필요"))</x:f>
        <x:v>종결 표시</x:v>
      </x:c>
      <x:c r="L572" s="2"/>
      <x:c r="M572" s="2"/>
      <x:c r="N572" s="8" t="n">
        <x:f>DATE(2026,10,15)-DATE(2019,5,22)</x:f>
        <x:v>2703</x:v>
      </x:c>
      <x:c r="O572" s="2"/>
      <x:c r="P572" s="2" t="str">
        <x:v>반려완료(재신청 예정)</x:v>
      </x:c>
      <x:c r="Q572" s="2" t="str">
        <x:v>산업전환_외부사업관리Tool_260707_이너젠 수정_LJY_261013.xlsx</x:v>
      </x:c>
      <x:c r="R572" s="2" t="str">
        <x:v>국내평가</x:v>
      </x:c>
      <x:c r="S572" s="8" t="n">
        <x:v>475</x:v>
      </x:c>
      <x:c r="T572" s="2" t="str">
        <x:v>2021년 처리</x:v>
      </x:c>
      <x:c r="U572" s="2" t="str">
        <x:v>2021 배정: 2021년 처리</x:v>
      </x:c>
      <x:c r="V572" s="2" t="str">
        <x:v>2021-06-30</x:v>
      </x:c>
      <x:c r="W572" s="2" t="str">
        <x:v>담당기관 확인</x:v>
      </x:c>
      <x:c r="X572" s="2" t="str">
        <x:v>원본·배정 기록 확인</x:v>
      </x:c>
      <x:c r="Y572" s="2" t="str">
        <x:v>ad210cd9ec132cfd447541c8984dc53d30aff0f4fb2dc92d254d49275cc55976</x:v>
      </x:c>
      <x:c r="Z572" s="2" t="n">
        <x:f>SUBTOTAL(103,A572)</x:f>
        <x:v>1</x:v>
      </x:c>
      <x:c r="AA572" s="2" t="str">
        <x:f>IF(K572&lt;&gt;"미종결 표시","대상 아님",IF(N572="","신청일 확인",IF(NOT(ISNUMBER('종합 현황'!$H$5)),"관찰기준 확인",IF('종합 현황'!$H$5&lt;1,"관찰기준 확인",IF(N572&gt;'종합 현황'!$H$5,"내부 관찰 대상","내부 관찰일 이하")))))</x:f>
        <x:v>대상 아님</x:v>
      </x:c>
      <x:c r="AB572" s="2"/>
    </x:row>
    <x:row r="573" ht="42" customHeight="1">
      <x:c r="A573" s="2" t="str">
        <x:v>2ba02428782303e3acb9e573</x:v>
      </x:c>
      <x:c r="B573" s="2" t="str">
        <x:v>사업 평가</x:v>
      </x:c>
      <x:c r="C573" s="2" t="str">
        <x:v>국내</x:v>
      </x:c>
      <x:c r="D573" s="7" t="str">
        <x:v>(주)화신볼트산업 고효율인버터 공기압축기 교체를 통한 온실가스 감축사업</x:v>
      </x:c>
      <x:c r="E573" s="2" t="str">
        <x:v>434</x:v>
      </x:c>
      <x:c r="F573" s="2" t="str">
        <x:v>2019-05-22</x:v>
      </x:c>
      <x:c r="G573" s="2" t="str">
        <x:v>2019</x:v>
      </x:c>
      <x:c r="H573" s="2" t="str">
        <x:v>05</x:v>
      </x:c>
      <x:c r="I573" s="2" t="str">
        <x:v>반려</x:v>
      </x:c>
      <x:c r="J573" s="2" t="str">
        <x:v>반려</x:v>
      </x:c>
      <x:c r="K573" s="2" t="str">
        <x:f>IF(OR(J573="심의승인",J573="반려",J573="반려완료",J573="심의완료"),"종결 표시",IF(OR(J573="기후부협의",J573="문서재제출요청",J573="보류",J573="보완요청",J573="보완완료",J573="평가중",J573="반려요청",J573="평가필요",LEFT(J573,5)="보완요청("),"미종결 표시","상태 확인 필요"))</x:f>
        <x:v>종결 표시</x:v>
      </x:c>
      <x:c r="L573" s="2"/>
      <x:c r="M573" s="2"/>
      <x:c r="N573" s="8" t="n">
        <x:f>DATE(2026,10,15)-DATE(2019,5,22)</x:f>
        <x:v>2703</x:v>
      </x:c>
      <x:c r="O573" s="2"/>
      <x:c r="P573" s="2" t="str">
        <x:v>반려완료(재신청 예정)</x:v>
      </x:c>
      <x:c r="Q573" s="2" t="str">
        <x:v>산업전환_외부사업관리Tool_260707_이너젠 수정_LJY_261013.xlsx</x:v>
      </x:c>
      <x:c r="R573" s="2" t="str">
        <x:v>국내평가</x:v>
      </x:c>
      <x:c r="S573" s="8" t="n">
        <x:v>476</x:v>
      </x:c>
      <x:c r="T573" s="2" t="str">
        <x:v>2021년 처리</x:v>
      </x:c>
      <x:c r="U573" s="2" t="str">
        <x:v>2021 배정: 2021년 처리</x:v>
      </x:c>
      <x:c r="V573" s="2" t="str">
        <x:v>2021-06-30</x:v>
      </x:c>
      <x:c r="W573" s="2" t="str">
        <x:v>담당기관 확인</x:v>
      </x:c>
      <x:c r="X573" s="2" t="str">
        <x:v>원본·배정 기록 확인</x:v>
      </x:c>
      <x:c r="Y573" s="2" t="str">
        <x:v>ad210cd9ec132cfd447541c8984dc53d30aff0f4fb2dc92d254d49275cc55976</x:v>
      </x:c>
      <x:c r="Z573" s="2" t="n">
        <x:f>SUBTOTAL(103,A573)</x:f>
        <x:v>1</x:v>
      </x:c>
      <x:c r="AA573" s="2" t="str">
        <x:f>IF(K573&lt;&gt;"미종결 표시","대상 아님",IF(N573="","신청일 확인",IF(NOT(ISNUMBER('종합 현황'!$H$5)),"관찰기준 확인",IF('종합 현황'!$H$5&lt;1,"관찰기준 확인",IF(N573&gt;'종합 현황'!$H$5,"내부 관찰 대상","내부 관찰일 이하")))))</x:f>
        <x:v>대상 아님</x:v>
      </x:c>
      <x:c r="AB573" s="2"/>
    </x:row>
    <x:row r="574" ht="42" customHeight="1">
      <x:c r="A574" s="2" t="str">
        <x:v>d46bf1bc9fbd22f42c28bf5b</x:v>
      </x:c>
      <x:c r="B574" s="2" t="str">
        <x:v>사업 평가</x:v>
      </x:c>
      <x:c r="C574" s="2" t="str">
        <x:v>국내</x:v>
      </x:c>
      <x:c r="D574" s="7" t="str">
        <x:v>천일식품 고효율 보일러 교체를 통한 온실가스 감축사업</x:v>
      </x:c>
      <x:c r="E574" s="2" t="str">
        <x:v>435</x:v>
      </x:c>
      <x:c r="F574" s="2" t="str">
        <x:v>2019-05-23</x:v>
      </x:c>
      <x:c r="G574" s="2" t="str">
        <x:v>2019</x:v>
      </x:c>
      <x:c r="H574" s="2" t="str">
        <x:v>05</x:v>
      </x:c>
      <x:c r="I574" s="2" t="str">
        <x:v>반려</x:v>
      </x:c>
      <x:c r="J574" s="2" t="str">
        <x:v>반려</x:v>
      </x:c>
      <x:c r="K574" s="2" t="str">
        <x:f>IF(OR(J574="심의승인",J574="반려",J574="반려완료",J574="심의완료"),"종결 표시",IF(OR(J574="기후부협의",J574="문서재제출요청",J574="보류",J574="보완요청",J574="보완완료",J574="평가중",J574="반려요청",J574="평가필요",LEFT(J574,5)="보완요청("),"미종결 표시","상태 확인 필요"))</x:f>
        <x:v>종결 표시</x:v>
      </x:c>
      <x:c r="L574" s="2"/>
      <x:c r="M574" s="2"/>
      <x:c r="N574" s="8" t="n">
        <x:f>DATE(2026,10,15)-DATE(2019,5,23)</x:f>
        <x:v>2702</x:v>
      </x:c>
      <x:c r="O574" s="2" t="str">
        <x:v>O</x:v>
      </x:c>
      <x:c r="P574" s="2"/>
      <x:c r="Q574" s="2" t="str">
        <x:v>산업전환_외부사업관리Tool_260707_이너젠 수정_LJY_261013.xlsx</x:v>
      </x:c>
      <x:c r="R574" s="2" t="str">
        <x:v>국내평가</x:v>
      </x:c>
      <x:c r="S574" s="8" t="n">
        <x:v>477</x:v>
      </x:c>
      <x:c r="T574" s="2" t="str">
        <x:v>2021년 처리</x:v>
      </x:c>
      <x:c r="U574" s="2" t="str">
        <x:v>2021 배정: 2021년 처리</x:v>
      </x:c>
      <x:c r="V574" s="2" t="str">
        <x:v>2021-06-18</x:v>
      </x:c>
      <x:c r="W574" s="2" t="str">
        <x:v>담당기관 확인</x:v>
      </x:c>
      <x:c r="X574" s="2" t="str">
        <x:v>원본·배정 기록 확인</x:v>
      </x:c>
      <x:c r="Y574" s="2" t="str">
        <x:v>ad210cd9ec132cfd447541c8984dc53d30aff0f4fb2dc92d254d49275cc55976</x:v>
      </x:c>
      <x:c r="Z574" s="2" t="n">
        <x:f>SUBTOTAL(103,A574)</x:f>
        <x:v>1</x:v>
      </x:c>
      <x:c r="AA574" s="2" t="str">
        <x:f>IF(K574&lt;&gt;"미종결 표시","대상 아님",IF(N574="","신청일 확인",IF(NOT(ISNUMBER('종합 현황'!$H$5)),"관찰기준 확인",IF('종합 현황'!$H$5&lt;1,"관찰기준 확인",IF(N574&gt;'종합 현황'!$H$5,"내부 관찰 대상","내부 관찰일 이하")))))</x:f>
        <x:v>대상 아님</x:v>
      </x:c>
      <x:c r="AB574" s="2"/>
    </x:row>
    <x:row r="575" ht="42" customHeight="1">
      <x:c r="A575" s="2" t="str">
        <x:v>34ba40d4f12f8b22f03fbfa0</x:v>
      </x:c>
      <x:c r="B575" s="2" t="str">
        <x:v>사업 평가</x:v>
      </x:c>
      <x:c r="C575" s="2" t="str">
        <x:v>국내</x:v>
      </x:c>
      <x:c r="D575" s="7" t="str">
        <x:v>진영티비엑스 주식회사 고효율 설비 교체 사업</x:v>
      </x:c>
      <x:c r="E575" s="2" t="str">
        <x:v>436</x:v>
      </x:c>
      <x:c r="F575" s="2" t="str">
        <x:v>2019-06-03</x:v>
      </x:c>
      <x:c r="G575" s="2" t="str">
        <x:v>2019</x:v>
      </x:c>
      <x:c r="H575" s="2" t="str">
        <x:v>06</x:v>
      </x:c>
      <x:c r="I575" s="2" t="str">
        <x:v>반려</x:v>
      </x:c>
      <x:c r="J575" s="2" t="str">
        <x:v>반려</x:v>
      </x:c>
      <x:c r="K575" s="2" t="str">
        <x:f>IF(OR(J575="심의승인",J575="반려",J575="반려완료",J575="심의완료"),"종결 표시",IF(OR(J575="기후부협의",J575="문서재제출요청",J575="보류",J575="보완요청",J575="보완완료",J575="평가중",J575="반려요청",J575="평가필요",LEFT(J575,5)="보완요청("),"미종결 표시","상태 확인 필요"))</x:f>
        <x:v>종결 표시</x:v>
      </x:c>
      <x:c r="L575" s="2"/>
      <x:c r="M575" s="2"/>
      <x:c r="N575" s="8" t="n">
        <x:f>DATE(2026,10,15)-DATE(2019,6,3)</x:f>
        <x:v>2691</x:v>
      </x:c>
      <x:c r="O575" s="2"/>
      <x:c r="P575" s="2"/>
      <x:c r="Q575" s="2" t="str">
        <x:v>산업전환_외부사업관리Tool_260707_이너젠 수정_LJY_261013.xlsx</x:v>
      </x:c>
      <x:c r="R575" s="2" t="str">
        <x:v>국내평가</x:v>
      </x:c>
      <x:c r="S575" s="8" t="n">
        <x:v>478</x:v>
      </x:c>
      <x:c r="T575" s="2" t="str">
        <x:v>2021년 처리</x:v>
      </x:c>
      <x:c r="U575" s="2" t="str">
        <x:v>2021 배정: 2021년 처리</x:v>
      </x:c>
      <x:c r="V575" s="2" t="str">
        <x:v>2021-07-14</x:v>
      </x:c>
      <x:c r="W575" s="2" t="str">
        <x:v>담당기관 확인</x:v>
      </x:c>
      <x:c r="X575" s="2" t="str">
        <x:v>원본·배정 기록 확인</x:v>
      </x:c>
      <x:c r="Y575" s="2" t="str">
        <x:v>ad210cd9ec132cfd447541c8984dc53d30aff0f4fb2dc92d254d49275cc55976</x:v>
      </x:c>
      <x:c r="Z575" s="2" t="n">
        <x:f>SUBTOTAL(103,A575)</x:f>
        <x:v>1</x:v>
      </x:c>
      <x:c r="AA575" s="2" t="str">
        <x:f>IF(K575&lt;&gt;"미종결 표시","대상 아님",IF(N575="","신청일 확인",IF(NOT(ISNUMBER('종합 현황'!$H$5)),"관찰기준 확인",IF('종합 현황'!$H$5&lt;1,"관찰기준 확인",IF(N575&gt;'종합 현황'!$H$5,"내부 관찰 대상","내부 관찰일 이하")))))</x:f>
        <x:v>대상 아님</x:v>
      </x:c>
      <x:c r="AB575" s="2"/>
    </x:row>
    <x:row r="576" ht="42" customHeight="1">
      <x:c r="A576" s="2" t="str">
        <x:v>60d8d721778cf6fa9aacd4b0</x:v>
      </x:c>
      <x:c r="B576" s="2" t="str">
        <x:v>사업 평가</x:v>
      </x:c>
      <x:c r="C576" s="2" t="str">
        <x:v>국내</x:v>
      </x:c>
      <x:c r="D576" s="7" t="str">
        <x:v>포스텍 고효율인버터 공기압축기 교체를 통한 온실가스 감축사업</x:v>
      </x:c>
      <x:c r="E576" s="2" t="str">
        <x:v>437</x:v>
      </x:c>
      <x:c r="F576" s="2" t="str">
        <x:v>2019-07-02</x:v>
      </x:c>
      <x:c r="G576" s="2" t="str">
        <x:v>2019</x:v>
      </x:c>
      <x:c r="H576" s="2" t="str">
        <x:v>07</x:v>
      </x:c>
      <x:c r="I576" s="2" t="str">
        <x:v>반려</x:v>
      </x:c>
      <x:c r="J576" s="2" t="str">
        <x:v>반려</x:v>
      </x:c>
      <x:c r="K576" s="2" t="str">
        <x:f>IF(OR(J576="심의승인",J576="반려",J576="반려완료",J576="심의완료"),"종결 표시",IF(OR(J576="기후부협의",J576="문서재제출요청",J576="보류",J576="보완요청",J576="보완완료",J576="평가중",J576="반려요청",J576="평가필요",LEFT(J576,5)="보완요청("),"미종결 표시","상태 확인 필요"))</x:f>
        <x:v>종결 표시</x:v>
      </x:c>
      <x:c r="L576" s="2"/>
      <x:c r="M576" s="2"/>
      <x:c r="N576" s="8" t="n">
        <x:f>DATE(2026,10,15)-DATE(2019,7,2)</x:f>
        <x:v>2662</x:v>
      </x:c>
      <x:c r="O576" s="2"/>
      <x:c r="P576" s="2" t="str">
        <x:v>반려완료(재신청 예정)</x:v>
      </x:c>
      <x:c r="Q576" s="2" t="str">
        <x:v>산업전환_외부사업관리Tool_260707_이너젠 수정_LJY_261013.xlsx</x:v>
      </x:c>
      <x:c r="R576" s="2" t="str">
        <x:v>국내평가</x:v>
      </x:c>
      <x:c r="S576" s="8" t="n">
        <x:v>479</x:v>
      </x:c>
      <x:c r="T576" s="2" t="str">
        <x:v>2021년 처리</x:v>
      </x:c>
      <x:c r="U576" s="2" t="str">
        <x:v>2021 배정: 2021년 처리</x:v>
      </x:c>
      <x:c r="V576" s="2" t="str">
        <x:v>2021-06-30</x:v>
      </x:c>
      <x:c r="W576" s="2" t="str">
        <x:v>담당기관 확인</x:v>
      </x:c>
      <x:c r="X576" s="2" t="str">
        <x:v>원본·배정 기록 확인</x:v>
      </x:c>
      <x:c r="Y576" s="2" t="str">
        <x:v>ad210cd9ec132cfd447541c8984dc53d30aff0f4fb2dc92d254d49275cc55976</x:v>
      </x:c>
      <x:c r="Z576" s="2" t="n">
        <x:f>SUBTOTAL(103,A576)</x:f>
        <x:v>1</x:v>
      </x:c>
      <x:c r="AA576" s="2" t="str">
        <x:f>IF(K576&lt;&gt;"미종결 표시","대상 아님",IF(N576="","신청일 확인",IF(NOT(ISNUMBER('종합 현황'!$H$5)),"관찰기준 확인",IF('종합 현황'!$H$5&lt;1,"관찰기준 확인",IF(N576&gt;'종합 현황'!$H$5,"내부 관찰 대상","내부 관찰일 이하")))))</x:f>
        <x:v>대상 아님</x:v>
      </x:c>
      <x:c r="AB576" s="2"/>
    </x:row>
    <x:row r="577" ht="42" customHeight="1">
      <x:c r="A577" s="2" t="str">
        <x:v>f30a18500aa2b9239850be42</x:v>
      </x:c>
      <x:c r="B577" s="2" t="str">
        <x:v>사업 평가</x:v>
      </x:c>
      <x:c r="C577" s="2" t="str">
        <x:v>국내</x:v>
      </x:c>
      <x:c r="D577" s="7" t="str">
        <x:v>주식회사 예건 고효율설비 개선사업</x:v>
      </x:c>
      <x:c r="E577" s="2" t="str">
        <x:v>438</x:v>
      </x:c>
      <x:c r="F577" s="2" t="str">
        <x:v>2019-08-16</x:v>
      </x:c>
      <x:c r="G577" s="2" t="str">
        <x:v>2019</x:v>
      </x:c>
      <x:c r="H577" s="2" t="str">
        <x:v>08</x:v>
      </x:c>
      <x:c r="I577" s="2" t="str">
        <x:v>반려</x:v>
      </x:c>
      <x:c r="J577" s="2" t="str">
        <x:v>반려</x:v>
      </x:c>
      <x:c r="K577" s="2" t="str">
        <x:f>IF(OR(J577="심의승인",J577="반려",J577="반려완료",J577="심의완료"),"종결 표시",IF(OR(J577="기후부협의",J577="문서재제출요청",J577="보류",J577="보완요청",J577="보완완료",J577="평가중",J577="반려요청",J577="평가필요",LEFT(J577,5)="보완요청("),"미종결 표시","상태 확인 필요"))</x:f>
        <x:v>종결 표시</x:v>
      </x:c>
      <x:c r="L577" s="2"/>
      <x:c r="M577" s="2"/>
      <x:c r="N577" s="8" t="n">
        <x:f>DATE(2026,10,15)-DATE(2019,8,16)</x:f>
        <x:v>2617</x:v>
      </x:c>
      <x:c r="O577" s="2"/>
      <x:c r="P577" s="2"/>
      <x:c r="Q577" s="2" t="str">
        <x:v>산업전환_외부사업관리Tool_260707_이너젠 수정_LJY_261013.xlsx</x:v>
      </x:c>
      <x:c r="R577" s="2" t="str">
        <x:v>국내평가</x:v>
      </x:c>
      <x:c r="S577" s="8" t="n">
        <x:v>480</x:v>
      </x:c>
      <x:c r="T577" s="2"/>
      <x:c r="U577" s="2" t="str"/>
      <x:c r="V577" s="2" t="str">
        <x:v>2021-03-16</x:v>
      </x:c>
      <x:c r="W577" s="2" t="str">
        <x:v>담당기관 확인</x:v>
      </x:c>
      <x:c r="X577" s="2" t="str">
        <x:v>원본·배정 기록 확인</x:v>
      </x:c>
      <x:c r="Y577" s="2" t="str">
        <x:v>ad210cd9ec132cfd447541c8984dc53d30aff0f4fb2dc92d254d49275cc55976</x:v>
      </x:c>
      <x:c r="Z577" s="2" t="n">
        <x:f>SUBTOTAL(103,A577)</x:f>
        <x:v>1</x:v>
      </x:c>
      <x:c r="AA577" s="2" t="str">
        <x:f>IF(K577&lt;&gt;"미종결 표시","대상 아님",IF(N577="","신청일 확인",IF(NOT(ISNUMBER('종합 현황'!$H$5)),"관찰기준 확인",IF('종합 현황'!$H$5&lt;1,"관찰기준 확인",IF(N577&gt;'종합 현황'!$H$5,"내부 관찰 대상","내부 관찰일 이하")))))</x:f>
        <x:v>대상 아님</x:v>
      </x:c>
      <x:c r="AB577" s="2"/>
    </x:row>
    <x:row r="578" ht="42" customHeight="1">
      <x:c r="A578" s="2" t="str">
        <x:v>5c7857ff1fd1a39b008e0ea1</x:v>
      </x:c>
      <x:c r="B578" s="2" t="str">
        <x:v>사업 평가</x:v>
      </x:c>
      <x:c r="C578" s="2" t="str">
        <x:v>국내</x:v>
      </x:c>
      <x:c r="D578" s="7" t="str">
        <x:v>(주)정성테크 고효율설비 개선 사업</x:v>
      </x:c>
      <x:c r="E578" s="2" t="str">
        <x:v>439</x:v>
      </x:c>
      <x:c r="F578" s="2" t="str">
        <x:v>2019-08-22</x:v>
      </x:c>
      <x:c r="G578" s="2" t="str">
        <x:v>2019</x:v>
      </x:c>
      <x:c r="H578" s="2" t="str">
        <x:v>08</x:v>
      </x:c>
      <x:c r="I578" s="2" t="str">
        <x:v>반려</x:v>
      </x:c>
      <x:c r="J578" s="2" t="str">
        <x:v>반려</x:v>
      </x:c>
      <x:c r="K578" s="2" t="str">
        <x:f>IF(OR(J578="심의승인",J578="반려",J578="반려완료",J578="심의완료"),"종결 표시",IF(OR(J578="기후부협의",J578="문서재제출요청",J578="보류",J578="보완요청",J578="보완완료",J578="평가중",J578="반려요청",J578="평가필요",LEFT(J578,5)="보완요청("),"미종결 표시","상태 확인 필요"))</x:f>
        <x:v>종결 표시</x:v>
      </x:c>
      <x:c r="L578" s="2"/>
      <x:c r="M578" s="2"/>
      <x:c r="N578" s="8" t="n">
        <x:f>DATE(2026,10,15)-DATE(2019,8,22)</x:f>
        <x:v>2611</x:v>
      </x:c>
      <x:c r="O578" s="2"/>
      <x:c r="P578" s="2"/>
      <x:c r="Q578" s="2" t="str">
        <x:v>산업전환_외부사업관리Tool_260707_이너젠 수정_LJY_261013.xlsx</x:v>
      </x:c>
      <x:c r="R578" s="2" t="str">
        <x:v>국내평가</x:v>
      </x:c>
      <x:c r="S578" s="8" t="n">
        <x:v>481</x:v>
      </x:c>
      <x:c r="T578" s="2"/>
      <x:c r="U578" s="2" t="str"/>
      <x:c r="V578" s="2" t="str">
        <x:v>2021-03-16</x:v>
      </x:c>
      <x:c r="W578" s="2" t="str">
        <x:v>담당기관 확인</x:v>
      </x:c>
      <x:c r="X578" s="2" t="str">
        <x:v>원본·배정 기록 확인</x:v>
      </x:c>
      <x:c r="Y578" s="2" t="str">
        <x:v>ad210cd9ec132cfd447541c8984dc53d30aff0f4fb2dc92d254d49275cc55976</x:v>
      </x:c>
      <x:c r="Z578" s="2" t="n">
        <x:f>SUBTOTAL(103,A578)</x:f>
        <x:v>1</x:v>
      </x:c>
      <x:c r="AA578" s="2" t="str">
        <x:f>IF(K578&lt;&gt;"미종결 표시","대상 아님",IF(N578="","신청일 확인",IF(NOT(ISNUMBER('종합 현황'!$H$5)),"관찰기준 확인",IF('종합 현황'!$H$5&lt;1,"관찰기준 확인",IF(N578&gt;'종합 현황'!$H$5,"내부 관찰 대상","내부 관찰일 이하")))))</x:f>
        <x:v>대상 아님</x:v>
      </x:c>
      <x:c r="AB578" s="2"/>
    </x:row>
    <x:row r="579" ht="42" customHeight="1">
      <x:c r="A579" s="2" t="str">
        <x:v>fbaf500caf2b18b44cd44608</x:v>
      </x:c>
      <x:c r="B579" s="2" t="str">
        <x:v>사업 평가</x:v>
      </x:c>
      <x:c r="C579" s="2" t="str">
        <x:v>국내</x:v>
      </x:c>
      <x:c r="D579" s="7" t="str">
        <x:v>성진아노다이징 전력절감설비 설치 사업</x:v>
      </x:c>
      <x:c r="E579" s="2" t="str">
        <x:v>440</x:v>
      </x:c>
      <x:c r="F579" s="2" t="str">
        <x:v>2019-10-17</x:v>
      </x:c>
      <x:c r="G579" s="2" t="str">
        <x:v>2019</x:v>
      </x:c>
      <x:c r="H579" s="2" t="str">
        <x:v>10</x:v>
      </x:c>
      <x:c r="I579" s="2" t="str">
        <x:v>반려</x:v>
      </x:c>
      <x:c r="J579" s="2" t="str">
        <x:v>반려</x:v>
      </x:c>
      <x:c r="K579" s="2" t="str">
        <x:f>IF(OR(J579="심의승인",J579="반려",J579="반려완료",J579="심의완료"),"종결 표시",IF(OR(J579="기후부협의",J579="문서재제출요청",J579="보류",J579="보완요청",J579="보완완료",J579="평가중",J579="반려요청",J579="평가필요",LEFT(J579,5)="보완요청("),"미종결 표시","상태 확인 필요"))</x:f>
        <x:v>종결 표시</x:v>
      </x:c>
      <x:c r="L579" s="2"/>
      <x:c r="M579" s="2"/>
      <x:c r="N579" s="8" t="n">
        <x:f>DATE(2026,10,15)-DATE(2019,10,17)</x:f>
        <x:v>2555</x:v>
      </x:c>
      <x:c r="O579" s="2"/>
      <x:c r="P579" s="2"/>
      <x:c r="Q579" s="2" t="str">
        <x:v>산업전환_외부사업관리Tool_260707_이너젠 수정_LJY_261013.xlsx</x:v>
      </x:c>
      <x:c r="R579" s="2" t="str">
        <x:v>국내평가</x:v>
      </x:c>
      <x:c r="S579" s="8" t="n">
        <x:v>482</x:v>
      </x:c>
      <x:c r="T579" s="2" t="str">
        <x:v>2021년 처리</x:v>
      </x:c>
      <x:c r="U579" s="2" t="str">
        <x:v>2021 배정: 2021년 처리</x:v>
      </x:c>
      <x:c r="V579" s="2" t="str">
        <x:v>2021-05-28</x:v>
      </x:c>
      <x:c r="W579" s="2" t="str">
        <x:v>담당기관 확인</x:v>
      </x:c>
      <x:c r="X579" s="2" t="str">
        <x:v>원본·배정 기록 확인</x:v>
      </x:c>
      <x:c r="Y579" s="2" t="str">
        <x:v>ad210cd9ec132cfd447541c8984dc53d30aff0f4fb2dc92d254d49275cc55976</x:v>
      </x:c>
      <x:c r="Z579" s="2" t="n">
        <x:f>SUBTOTAL(103,A579)</x:f>
        <x:v>1</x:v>
      </x:c>
      <x:c r="AA579" s="2" t="str">
        <x:f>IF(K579&lt;&gt;"미종결 표시","대상 아님",IF(N579="","신청일 확인",IF(NOT(ISNUMBER('종합 현황'!$H$5)),"관찰기준 확인",IF('종합 현황'!$H$5&lt;1,"관찰기준 확인",IF(N579&gt;'종합 현황'!$H$5,"내부 관찰 대상","내부 관찰일 이하")))))</x:f>
        <x:v>대상 아님</x:v>
      </x:c>
      <x:c r="AB579" s="2"/>
    </x:row>
    <x:row r="580" ht="42" customHeight="1">
      <x:c r="A580" s="2" t="str">
        <x:v>befd267bb1eabedb4c60b1e4</x:v>
      </x:c>
      <x:c r="B580" s="2" t="str">
        <x:v>사업 평가</x:v>
      </x:c>
      <x:c r="C580" s="2" t="str">
        <x:v>국내</x:v>
      </x:c>
      <x:c r="D580" s="7" t="str">
        <x:v>세원테크 전력절감설비 설치 사업</x:v>
      </x:c>
      <x:c r="E580" s="2" t="str">
        <x:v>441</x:v>
      </x:c>
      <x:c r="F580" s="2" t="str">
        <x:v>2019-10-17</x:v>
      </x:c>
      <x:c r="G580" s="2" t="str">
        <x:v>2019</x:v>
      </x:c>
      <x:c r="H580" s="2" t="str">
        <x:v>10</x:v>
      </x:c>
      <x:c r="I580" s="2" t="str">
        <x:v>반려</x:v>
      </x:c>
      <x:c r="J580" s="2" t="str">
        <x:v>반려</x:v>
      </x:c>
      <x:c r="K580" s="2" t="str">
        <x:f>IF(OR(J580="심의승인",J580="반려",J580="반려완료",J580="심의완료"),"종결 표시",IF(OR(J580="기후부협의",J580="문서재제출요청",J580="보류",J580="보완요청",J580="보완완료",J580="평가중",J580="반려요청",J580="평가필요",LEFT(J580,5)="보완요청("),"미종결 표시","상태 확인 필요"))</x:f>
        <x:v>종결 표시</x:v>
      </x:c>
      <x:c r="L580" s="2"/>
      <x:c r="M580" s="2"/>
      <x:c r="N580" s="8" t="n">
        <x:f>DATE(2026,10,15)-DATE(2019,10,17)</x:f>
        <x:v>2555</x:v>
      </x:c>
      <x:c r="O580" s="2"/>
      <x:c r="P580" s="2"/>
      <x:c r="Q580" s="2" t="str">
        <x:v>산업전환_외부사업관리Tool_260707_이너젠 수정_LJY_261013.xlsx</x:v>
      </x:c>
      <x:c r="R580" s="2" t="str">
        <x:v>국내평가</x:v>
      </x:c>
      <x:c r="S580" s="8" t="n">
        <x:v>483</x:v>
      </x:c>
      <x:c r="T580" s="2" t="str">
        <x:v>2021년 처리</x:v>
      </x:c>
      <x:c r="U580" s="2" t="str">
        <x:v>2021 배정: 2021년 처리</x:v>
      </x:c>
      <x:c r="V580" s="2" t="str">
        <x:v>2021-05-28</x:v>
      </x:c>
      <x:c r="W580" s="2" t="str">
        <x:v>담당기관 확인</x:v>
      </x:c>
      <x:c r="X580" s="2" t="str">
        <x:v>원본·배정 기록 확인</x:v>
      </x:c>
      <x:c r="Y580" s="2" t="str">
        <x:v>ad210cd9ec132cfd447541c8984dc53d30aff0f4fb2dc92d254d49275cc55976</x:v>
      </x:c>
      <x:c r="Z580" s="2" t="n">
        <x:f>SUBTOTAL(103,A580)</x:f>
        <x:v>1</x:v>
      </x:c>
      <x:c r="AA580" s="2" t="str">
        <x:f>IF(K580&lt;&gt;"미종결 표시","대상 아님",IF(N580="","신청일 확인",IF(NOT(ISNUMBER('종합 현황'!$H$5)),"관찰기준 확인",IF('종합 현황'!$H$5&lt;1,"관찰기준 확인",IF(N580&gt;'종합 현황'!$H$5,"내부 관찰 대상","내부 관찰일 이하")))))</x:f>
        <x:v>대상 아님</x:v>
      </x:c>
      <x:c r="AB580" s="2"/>
    </x:row>
    <x:row r="581" ht="42" customHeight="1">
      <x:c r="A581" s="2" t="str">
        <x:v>ebac9e50e8167e6ebf248275</x:v>
      </x:c>
      <x:c r="B581" s="2" t="str">
        <x:v>사업 평가</x:v>
      </x:c>
      <x:c r="C581" s="2" t="str">
        <x:v>국내</x:v>
      </x:c>
      <x:c r="D581" s="7" t="str">
        <x:v>2017년 중부권역 기존 심야전기 보일러의 축열식 히트펌프 보일러 교체를 통한 온실가스 묶음 감축 사업</x:v>
      </x:c>
      <x:c r="E581" s="2" t="str">
        <x:v>442</x:v>
      </x:c>
      <x:c r="F581" s="2" t="str">
        <x:v>2018-02-19</x:v>
      </x:c>
      <x:c r="G581" s="2" t="str">
        <x:v>2018</x:v>
      </x:c>
      <x:c r="H581" s="2" t="str">
        <x:v>02</x:v>
      </x:c>
      <x:c r="I581" s="2" t="str">
        <x:v>승인</x:v>
      </x:c>
      <x:c r="J581" s="2" t="str">
        <x:v>심의승인</x:v>
      </x:c>
      <x:c r="K581" s="2" t="str">
        <x:f>IF(OR(J581="심의승인",J581="반려",J581="반려완료",J581="심의완료"),"종결 표시",IF(OR(J581="기후부협의",J581="문서재제출요청",J581="보류",J581="보완요청",J581="보완완료",J581="평가중",J581="반려요청",J581="평가필요",LEFT(J581,5)="보완요청("),"미종결 표시","상태 확인 필요"))</x:f>
        <x:v>종결 표시</x:v>
      </x:c>
      <x:c r="L581" s="2" t="str">
        <x:v>에코시안_권송화</x:v>
      </x:c>
      <x:c r="M581" s="2"/>
      <x:c r="N581" s="8" t="n">
        <x:f>DATE(2026,10,15)-DATE(2018,2,19)</x:f>
        <x:v>3160</x:v>
      </x:c>
      <x:c r="O581" s="2" t="str">
        <x:v>O(25.05)</x:v>
      </x:c>
      <x:c r="P581" s="2"/>
      <x:c r="Q581" s="2" t="str">
        <x:v>산업전환_외부사업관리Tool_260707_이너젠 수정_LJY_261013.xlsx</x:v>
      </x:c>
      <x:c r="R581" s="2" t="str">
        <x:v>국내평가</x:v>
      </x:c>
      <x:c r="S581" s="8" t="n">
        <x:v>484</x:v>
      </x:c>
      <x:c r="T581" s="2" t="str">
        <x:v>(9/14)</x:v>
      </x:c>
      <x:c r="U581" s="2" t="str">
        <x:v>2021 배정: (9/14) / 2023 배정: (1/30),(10/6) / 2024 배정: (9/2) / 2025 배정: (2/6),(4/17)</x:v>
      </x:c>
      <x:c r="V581" s="2" t="str">
        <x:v>2025-09-08</x:v>
      </x:c>
      <x:c r="W581" s="2" t="str"/>
      <x:c r="X581" s="2" t="str">
        <x:v>종결 근거 보관</x:v>
      </x:c>
      <x:c r="Y581" s="2" t="str">
        <x:v>ad210cd9ec132cfd447541c8984dc53d30aff0f4fb2dc92d254d49275cc55976</x:v>
      </x:c>
      <x:c r="Z581" s="2" t="n">
        <x:f>SUBTOTAL(103,A581)</x:f>
        <x:v>1</x:v>
      </x:c>
      <x:c r="AA581" s="2" t="str">
        <x:f>IF(K581&lt;&gt;"미종결 표시","대상 아님",IF(N581="","신청일 확인",IF(NOT(ISNUMBER('종합 현황'!$H$5)),"관찰기준 확인",IF('종합 현황'!$H$5&lt;1,"관찰기준 확인",IF(N581&gt;'종합 현황'!$H$5,"내부 관찰 대상","내부 관찰일 이하")))))</x:f>
        <x:v>대상 아님</x:v>
      </x:c>
      <x:c r="AB581" s="2"/>
    </x:row>
    <x:row r="582" ht="42" customHeight="1">
      <x:c r="A582" s="2" t="str">
        <x:v>7fc1f31861751cd0cba5a96a</x:v>
      </x:c>
      <x:c r="B582" s="2" t="str">
        <x:v>사업 평가</x:v>
      </x:c>
      <x:c r="C582" s="2" t="str">
        <x:v>국내</x:v>
      </x:c>
      <x:c r="D582" s="7" t="str">
        <x:v>(주)에이에스이 칠곡지점 고효율 인버터형 공기압축기 교체를 통한 온실가스 감축사업</x:v>
      </x:c>
      <x:c r="E582" s="2" t="str">
        <x:v>443</x:v>
      </x:c>
      <x:c r="F582" s="2" t="str">
        <x:v>2019-12-24</x:v>
      </x:c>
      <x:c r="G582" s="2" t="str">
        <x:v>2019</x:v>
      </x:c>
      <x:c r="H582" s="2" t="str">
        <x:v>12</x:v>
      </x:c>
      <x:c r="I582" s="2" t="str">
        <x:v>반려</x:v>
      </x:c>
      <x:c r="J582" s="2" t="str">
        <x:v>반려</x:v>
      </x:c>
      <x:c r="K582" s="2" t="str">
        <x:f>IF(OR(J582="심의승인",J582="반려",J582="반려완료",J582="심의완료"),"종결 표시",IF(OR(J582="기후부협의",J582="문서재제출요청",J582="보류",J582="보완요청",J582="보완완료",J582="평가중",J582="반려요청",J582="평가필요",LEFT(J582,5)="보완요청("),"미종결 표시","상태 확인 필요"))</x:f>
        <x:v>종결 표시</x:v>
      </x:c>
      <x:c r="L582" s="2" t="str">
        <x:v>에코시안_정다윤</x:v>
      </x:c>
      <x:c r="M582" s="2"/>
      <x:c r="N582" s="8" t="n">
        <x:f>DATE(2026,10,15)-DATE(2019,12,24)</x:f>
        <x:v>2487</x:v>
      </x:c>
      <x:c r="O582" s="2" t="str">
        <x:v>O(9월)</x:v>
      </x:c>
      <x:c r="P582" s="2"/>
      <x:c r="Q582" s="2" t="str">
        <x:v>산업전환_외부사업관리Tool_260707_이너젠 수정_LJY_261013.xlsx</x:v>
      </x:c>
      <x:c r="R582" s="2" t="str">
        <x:v>국내평가</x:v>
      </x:c>
      <x:c r="S582" s="8" t="n">
        <x:v>485</x:v>
      </x:c>
      <x:c r="T582" s="2" t="str">
        <x:v>(7/12),(9/1)</x:v>
      </x:c>
      <x:c r="U582" s="2" t="str">
        <x:v>2021 배정: (7/12),(9/1)</x:v>
      </x:c>
      <x:c r="V582" s="2" t="str">
        <x:v>2021-07-27</x:v>
      </x:c>
      <x:c r="W582" s="2" t="str"/>
      <x:c r="X582" s="2" t="str">
        <x:v>종결 근거 보관</x:v>
      </x:c>
      <x:c r="Y582" s="2" t="str">
        <x:v>ad210cd9ec132cfd447541c8984dc53d30aff0f4fb2dc92d254d49275cc55976</x:v>
      </x:c>
      <x:c r="Z582" s="2" t="n">
        <x:f>SUBTOTAL(103,A582)</x:f>
        <x:v>1</x:v>
      </x:c>
      <x:c r="AA582" s="2" t="str">
        <x:f>IF(K582&lt;&gt;"미종결 표시","대상 아님",IF(N582="","신청일 확인",IF(NOT(ISNUMBER('종합 현황'!$H$5)),"관찰기준 확인",IF('종합 현황'!$H$5&lt;1,"관찰기준 확인",IF(N582&gt;'종합 현황'!$H$5,"내부 관찰 대상","내부 관찰일 이하")))))</x:f>
        <x:v>대상 아님</x:v>
      </x:c>
      <x:c r="AB582" s="2"/>
    </x:row>
    <x:row r="583" ht="42" customHeight="1">
      <x:c r="A583" s="2" t="str">
        <x:v>f67dd852f63fd825ac8a4fe9</x:v>
      </x:c>
      <x:c r="B583" s="2" t="str">
        <x:v>사업 평가</x:v>
      </x:c>
      <x:c r="C583" s="2" t="str">
        <x:v>국내</x:v>
      </x:c>
      <x:c r="D583" s="7" t="str">
        <x:v>유일금속 전력절감설비 설치 사업</x:v>
      </x:c>
      <x:c r="E583" s="2" t="str">
        <x:v>444</x:v>
      </x:c>
      <x:c r="F583" s="2" t="str">
        <x:v>2019-10-17</x:v>
      </x:c>
      <x:c r="G583" s="2" t="str">
        <x:v>2019</x:v>
      </x:c>
      <x:c r="H583" s="2" t="str">
        <x:v>10</x:v>
      </x:c>
      <x:c r="I583" s="2" t="str">
        <x:v>반려</x:v>
      </x:c>
      <x:c r="J583" s="2" t="str">
        <x:v>반려</x:v>
      </x:c>
      <x:c r="K583" s="2" t="str">
        <x:f>IF(OR(J583="심의승인",J583="반려",J583="반려완료",J583="심의완료"),"종결 표시",IF(OR(J583="기후부협의",J583="문서재제출요청",J583="보류",J583="보완요청",J583="보완완료",J583="평가중",J583="반려요청",J583="평가필요",LEFT(J583,5)="보완요청("),"미종결 표시","상태 확인 필요"))</x:f>
        <x:v>종결 표시</x:v>
      </x:c>
      <x:c r="L583" s="2"/>
      <x:c r="M583" s="2"/>
      <x:c r="N583" s="8" t="n">
        <x:f>DATE(2026,10,15)-DATE(2019,10,17)</x:f>
        <x:v>2555</x:v>
      </x:c>
      <x:c r="O583" s="2"/>
      <x:c r="P583" s="2"/>
      <x:c r="Q583" s="2" t="str">
        <x:v>산업전환_외부사업관리Tool_260707_이너젠 수정_LJY_261013.xlsx</x:v>
      </x:c>
      <x:c r="R583" s="2" t="str">
        <x:v>국내평가</x:v>
      </x:c>
      <x:c r="S583" s="8" t="n">
        <x:v>486</x:v>
      </x:c>
      <x:c r="T583" s="2" t="str">
        <x:v>2021년 처리</x:v>
      </x:c>
      <x:c r="U583" s="2" t="str">
        <x:v>2021 배정: 2021년 처리</x:v>
      </x:c>
      <x:c r="V583" s="2" t="str">
        <x:v>2021-05-28</x:v>
      </x:c>
      <x:c r="W583" s="2" t="str">
        <x:v>담당기관 확인</x:v>
      </x:c>
      <x:c r="X583" s="2" t="str">
        <x:v>원본·배정 기록 확인</x:v>
      </x:c>
      <x:c r="Y583" s="2" t="str">
        <x:v>ad210cd9ec132cfd447541c8984dc53d30aff0f4fb2dc92d254d49275cc55976</x:v>
      </x:c>
      <x:c r="Z583" s="2" t="n">
        <x:f>SUBTOTAL(103,A583)</x:f>
        <x:v>1</x:v>
      </x:c>
      <x:c r="AA583" s="2" t="str">
        <x:f>IF(K583&lt;&gt;"미종결 표시","대상 아님",IF(N583="","신청일 확인",IF(NOT(ISNUMBER('종합 현황'!$H$5)),"관찰기준 확인",IF('종합 현황'!$H$5&lt;1,"관찰기준 확인",IF(N583&gt;'종합 현황'!$H$5,"내부 관찰 대상","내부 관찰일 이하")))))</x:f>
        <x:v>대상 아님</x:v>
      </x:c>
      <x:c r="AB583" s="2"/>
    </x:row>
    <x:row r="584" ht="42" customHeight="1">
      <x:c r="A584" s="2" t="str">
        <x:v>00f8a4100dd840eb9a4dc90e</x:v>
      </x:c>
      <x:c r="B584" s="2" t="str">
        <x:v>사업 평가</x:v>
      </x:c>
      <x:c r="C584" s="2" t="str">
        <x:v>국내</x:v>
      </x:c>
      <x:c r="D584" s="7" t="str">
        <x:v>신영금속 전력절감설비 교체 사업</x:v>
      </x:c>
      <x:c r="E584" s="2" t="str">
        <x:v>445</x:v>
      </x:c>
      <x:c r="F584" s="2" t="str">
        <x:v>2019-10-28</x:v>
      </x:c>
      <x:c r="G584" s="2" t="str">
        <x:v>2019</x:v>
      </x:c>
      <x:c r="H584" s="2" t="str">
        <x:v>10</x:v>
      </x:c>
      <x:c r="I584" s="2" t="str">
        <x:v>반려</x:v>
      </x:c>
      <x:c r="J584" s="2" t="str">
        <x:v>반려</x:v>
      </x:c>
      <x:c r="K584" s="2" t="str">
        <x:f>IF(OR(J584="심의승인",J584="반려",J584="반려완료",J584="심의완료"),"종결 표시",IF(OR(J584="기후부협의",J584="문서재제출요청",J584="보류",J584="보완요청",J584="보완완료",J584="평가중",J584="반려요청",J584="평가필요",LEFT(J584,5)="보완요청("),"미종결 표시","상태 확인 필요"))</x:f>
        <x:v>종결 표시</x:v>
      </x:c>
      <x:c r="L584" s="2"/>
      <x:c r="M584" s="2"/>
      <x:c r="N584" s="8" t="n">
        <x:f>DATE(2026,10,15)-DATE(2019,10,28)</x:f>
        <x:v>2544</x:v>
      </x:c>
      <x:c r="O584" s="2"/>
      <x:c r="P584" s="2"/>
      <x:c r="Q584" s="2" t="str">
        <x:v>산업전환_외부사업관리Tool_260707_이너젠 수정_LJY_261013.xlsx</x:v>
      </x:c>
      <x:c r="R584" s="2" t="str">
        <x:v>국내평가</x:v>
      </x:c>
      <x:c r="S584" s="8" t="n">
        <x:v>487</x:v>
      </x:c>
      <x:c r="T584" s="2" t="str">
        <x:v>2021년 처리</x:v>
      </x:c>
      <x:c r="U584" s="2" t="str">
        <x:v>2021 배정: 2021년 처리</x:v>
      </x:c>
      <x:c r="V584" s="2" t="str">
        <x:v>2021-05-28</x:v>
      </x:c>
      <x:c r="W584" s="2" t="str">
        <x:v>담당기관 확인</x:v>
      </x:c>
      <x:c r="X584" s="2" t="str">
        <x:v>원본·배정 기록 확인</x:v>
      </x:c>
      <x:c r="Y584" s="2" t="str">
        <x:v>ad210cd9ec132cfd447541c8984dc53d30aff0f4fb2dc92d254d49275cc55976</x:v>
      </x:c>
      <x:c r="Z584" s="2" t="n">
        <x:f>SUBTOTAL(103,A584)</x:f>
        <x:v>1</x:v>
      </x:c>
      <x:c r="AA584" s="2" t="str">
        <x:f>IF(K584&lt;&gt;"미종결 표시","대상 아님",IF(N584="","신청일 확인",IF(NOT(ISNUMBER('종합 현황'!$H$5)),"관찰기준 확인",IF('종합 현황'!$H$5&lt;1,"관찰기준 확인",IF(N584&gt;'종합 현황'!$H$5,"내부 관찰 대상","내부 관찰일 이하")))))</x:f>
        <x:v>대상 아님</x:v>
      </x:c>
      <x:c r="AB584" s="2"/>
    </x:row>
    <x:row r="585" ht="42" customHeight="1">
      <x:c r="A585" s="2" t="str">
        <x:v>3e9b07707331fe0c3636bb07</x:v>
      </x:c>
      <x:c r="B585" s="2" t="str">
        <x:v>사업 평가</x:v>
      </x:c>
      <x:c r="C585" s="2" t="str">
        <x:v>국내</x:v>
      </x:c>
      <x:c r="D585" s="7" t="str">
        <x:v>서울형 에너지복지 태양광발전 프로그램 감축사업</x:v>
      </x:c>
      <x:c r="E585" s="2" t="str">
        <x:v>446</x:v>
      </x:c>
      <x:c r="F585" s="2" t="str">
        <x:v>2019-06-07</x:v>
      </x:c>
      <x:c r="G585" s="2" t="str">
        <x:v>2019</x:v>
      </x:c>
      <x:c r="H585" s="2" t="str">
        <x:v>06</x:v>
      </x:c>
      <x:c r="I585" s="2" t="str">
        <x:v>사업변경 신청</x:v>
      </x:c>
      <x:c r="J585" s="2" t="str">
        <x:v>심의승인</x:v>
      </x:c>
      <x:c r="K585" s="2" t="str">
        <x:f>IF(OR(J585="심의승인",J585="반려",J585="반려완료",J585="심의완료"),"종결 표시",IF(OR(J585="기후부협의",J585="문서재제출요청",J585="보류",J585="보완요청",J585="보완완료",J585="평가중",J585="반려요청",J585="평가필요",LEFT(J585,5)="보완요청("),"미종결 표시","상태 확인 필요"))</x:f>
        <x:v>종결 표시</x:v>
      </x:c>
      <x:c r="L585" s="2" t="str">
        <x:v>에코시안_권송화</x:v>
      </x:c>
      <x:c r="M585" s="2"/>
      <x:c r="N585" s="8" t="n">
        <x:f>DATE(2026,10,15)-DATE(2019,6,7)</x:f>
        <x:v>2687</x:v>
      </x:c>
      <x:c r="O585" s="2" t="str">
        <x:v>생략(기승인사업O)</x:v>
      </x:c>
      <x:c r="P585" s="2" t="str">
        <x:v>승인 후 변경신청</x:v>
      </x:c>
      <x:c r="Q585" s="2" t="str">
        <x:v>산업전환_외부사업관리Tool_260707_이너젠 수정_LJY_261013.xlsx</x:v>
      </x:c>
      <x:c r="R585" s="2" t="str">
        <x:v>국내평가</x:v>
      </x:c>
      <x:c r="S585" s="8" t="n">
        <x:v>488</x:v>
      </x:c>
      <x:c r="T585" s="2" t="str">
        <x:v>(6/27)</x:v>
      </x:c>
      <x:c r="U585" s="2" t="str">
        <x:v>2023 배정: (6/27)</x:v>
      </x:c>
      <x:c r="V585" s="2" t="str">
        <x:v>2023-12-14</x:v>
      </x:c>
      <x:c r="W585" s="2" t="str"/>
      <x:c r="X585" s="2" t="str">
        <x:v>종결 근거 보관</x:v>
      </x:c>
      <x:c r="Y585" s="2" t="str">
        <x:v>ad210cd9ec132cfd447541c8984dc53d30aff0f4fb2dc92d254d49275cc55976</x:v>
      </x:c>
      <x:c r="Z585" s="2" t="n">
        <x:f>SUBTOTAL(103,A585)</x:f>
        <x:v>1</x:v>
      </x:c>
      <x:c r="AA585" s="2" t="str">
        <x:f>IF(K585&lt;&gt;"미종결 표시","대상 아님",IF(N585="","신청일 확인",IF(NOT(ISNUMBER('종합 현황'!$H$5)),"관찰기준 확인",IF('종합 현황'!$H$5&lt;1,"관찰기준 확인",IF(N585&gt;'종합 현황'!$H$5,"내부 관찰 대상","내부 관찰일 이하")))))</x:f>
        <x:v>대상 아님</x:v>
      </x:c>
      <x:c r="AB585" s="2"/>
    </x:row>
    <x:row r="586" ht="42" customHeight="1">
      <x:c r="A586" s="2" t="str">
        <x:v>7130ce054ad0cee6e6e559a6</x:v>
      </x:c>
      <x:c r="B586" s="2" t="str">
        <x:v>사업 평가</x:v>
      </x:c>
      <x:c r="C586" s="2" t="str">
        <x:v>국내</x:v>
      </x:c>
      <x:c r="D586" s="7" t="str">
        <x:v>현대리바트의 부생연료 1호에서 LNG로 연료전환을 통한 온실가스 배출 감축사업</x:v>
      </x:c>
      <x:c r="E586" s="2" t="str">
        <x:v>447</x:v>
      </x:c>
      <x:c r="F586" s="2" t="str">
        <x:v>2019-06-13</x:v>
      </x:c>
      <x:c r="G586" s="2" t="str">
        <x:v>2019</x:v>
      </x:c>
      <x:c r="H586" s="2" t="str">
        <x:v>06</x:v>
      </x:c>
      <x:c r="I586" s="2" t="str">
        <x:v>승인</x:v>
      </x:c>
      <x:c r="J586" s="2" t="str">
        <x:v>심의승인</x:v>
      </x:c>
      <x:c r="K586" s="2" t="str">
        <x:f>IF(OR(J586="심의승인",J586="반려",J586="반려완료",J586="심의완료"),"종결 표시",IF(OR(J586="기후부협의",J586="문서재제출요청",J586="보류",J586="보완요청",J586="보완완료",J586="평가중",J586="반려요청",J586="평가필요",LEFT(J586,5)="보완요청("),"미종결 표시","상태 확인 필요"))</x:f>
        <x:v>종결 표시</x:v>
      </x:c>
      <x:c r="L586" s="2"/>
      <x:c r="M586" s="2"/>
      <x:c r="N586" s="8" t="n">
        <x:f>DATE(2026,10,15)-DATE(2019,6,13)</x:f>
        <x:v>2681</x:v>
      </x:c>
      <x:c r="O586" s="2"/>
      <x:c r="P586" s="2"/>
      <x:c r="Q586" s="2" t="str">
        <x:v>산업전환_외부사업관리Tool_260707_이너젠 수정_LJY_261013.xlsx</x:v>
      </x:c>
      <x:c r="R586" s="2" t="str">
        <x:v>국내평가</x:v>
      </x:c>
      <x:c r="S586" s="8" t="n">
        <x:v>489</x:v>
      </x:c>
      <x:c r="T586" s="2"/>
      <x:c r="U586" s="2" t="str"/>
      <x:c r="V586" s="2" t="str">
        <x:v>2021-05-24</x:v>
      </x:c>
      <x:c r="W586" s="2" t="str">
        <x:v>담당기관 확인</x:v>
      </x:c>
      <x:c r="X586" s="2" t="str">
        <x:v>원본·배정 기록 확인</x:v>
      </x:c>
      <x:c r="Y586" s="2" t="str">
        <x:v>ad210cd9ec132cfd447541c8984dc53d30aff0f4fb2dc92d254d49275cc55976</x:v>
      </x:c>
      <x:c r="Z586" s="2" t="n">
        <x:f>SUBTOTAL(103,A586)</x:f>
        <x:v>1</x:v>
      </x:c>
      <x:c r="AA586" s="2" t="str">
        <x:f>IF(K586&lt;&gt;"미종결 표시","대상 아님",IF(N586="","신청일 확인",IF(NOT(ISNUMBER('종합 현황'!$H$5)),"관찰기준 확인",IF('종합 현황'!$H$5&lt;1,"관찰기준 확인",IF(N586&gt;'종합 현황'!$H$5,"내부 관찰 대상","내부 관찰일 이하")))))</x:f>
        <x:v>대상 아님</x:v>
      </x:c>
      <x:c r="AB586" s="2"/>
    </x:row>
    <x:row r="587" ht="42" customHeight="1">
      <x:c r="A587" s="2" t="str">
        <x:v>1a4f44c64e3632c4c7041264</x:v>
      </x:c>
      <x:c r="B587" s="2" t="str">
        <x:v>사업 평가</x:v>
      </x:c>
      <x:c r="C587" s="2" t="str">
        <x:v>국내</x:v>
      </x:c>
      <x:c r="D587" s="7" t="str">
        <x:v>(주)엠케이테크 고효율 공기압축기 교체를 통한 온실가스 감축사업</x:v>
      </x:c>
      <x:c r="E587" s="2" t="str">
        <x:v>448</x:v>
      </x:c>
      <x:c r="F587" s="2" t="str">
        <x:v>2019-06-20</x:v>
      </x:c>
      <x:c r="G587" s="2" t="str">
        <x:v>2019</x:v>
      </x:c>
      <x:c r="H587" s="2" t="str">
        <x:v>06</x:v>
      </x:c>
      <x:c r="I587" s="2" t="str">
        <x:v>승인</x:v>
      </x:c>
      <x:c r="J587" s="2" t="str">
        <x:v>심의승인</x:v>
      </x:c>
      <x:c r="K587" s="2" t="str">
        <x:f>IF(OR(J587="심의승인",J587="반려",J587="반려완료",J587="심의완료"),"종결 표시",IF(OR(J587="기후부협의",J587="문서재제출요청",J587="보류",J587="보완요청",J587="보완완료",J587="평가중",J587="반려요청",J587="평가필요",LEFT(J587,5)="보완요청("),"미종결 표시","상태 확인 필요"))</x:f>
        <x:v>종결 표시</x:v>
      </x:c>
      <x:c r="L587" s="2" t="str">
        <x:v>에코시안_권송화</x:v>
      </x:c>
      <x:c r="M587" s="2"/>
      <x:c r="N587" s="8" t="n">
        <x:f>DATE(2026,10,15)-DATE(2019,6,20)</x:f>
        <x:v>2674</x:v>
      </x:c>
      <x:c r="O587" s="2" t="str">
        <x:v>생략</x:v>
      </x:c>
      <x:c r="P587" s="2"/>
      <x:c r="Q587" s="2" t="str">
        <x:v>산업전환_외부사업관리Tool_260707_이너젠 수정_LJY_261013.xlsx</x:v>
      </x:c>
      <x:c r="R587" s="2" t="str">
        <x:v>국내평가</x:v>
      </x:c>
      <x:c r="S587" s="8" t="n">
        <x:v>490</x:v>
      </x:c>
      <x:c r="T587" s="2" t="str">
        <x:v>(7/12),(9/1)</x:v>
      </x:c>
      <x:c r="U587" s="2" t="str">
        <x:v>2021 배정: (7/12),(9/1) / 2022 배정: (4/19) / 2022 배정(신규): (5/18),(6/10),(7/13)</x:v>
      </x:c>
      <x:c r="V587" s="2" t="str">
        <x:v>2022-10-24</x:v>
      </x:c>
      <x:c r="W587" s="2" t="str"/>
      <x:c r="X587" s="2" t="str">
        <x:v>종결 근거 보관</x:v>
      </x:c>
      <x:c r="Y587" s="2" t="str">
        <x:v>ad210cd9ec132cfd447541c8984dc53d30aff0f4fb2dc92d254d49275cc55976</x:v>
      </x:c>
      <x:c r="Z587" s="2" t="n">
        <x:f>SUBTOTAL(103,A587)</x:f>
        <x:v>1</x:v>
      </x:c>
      <x:c r="AA587" s="2" t="str">
        <x:f>IF(K587&lt;&gt;"미종결 표시","대상 아님",IF(N587="","신청일 확인",IF(NOT(ISNUMBER('종합 현황'!$H$5)),"관찰기준 확인",IF('종합 현황'!$H$5&lt;1,"관찰기준 확인",IF(N587&gt;'종합 현황'!$H$5,"내부 관찰 대상","내부 관찰일 이하")))))</x:f>
        <x:v>대상 아님</x:v>
      </x:c>
      <x:c r="AB587" s="2"/>
    </x:row>
    <x:row r="588" ht="42" customHeight="1">
      <x:c r="A588" s="2" t="str">
        <x:v>1beb6139c4a138147ec1d549</x:v>
      </x:c>
      <x:c r="B588" s="2" t="str">
        <x:v>사업 평가</x:v>
      </x:c>
      <x:c r="C588" s="2" t="str">
        <x:v>국내</x:v>
      </x:c>
      <x:c r="D588" s="7" t="str">
        <x:v>2017년 호남권역 기존 심야전기 보일러의 축열식 히트펌프 보일러 교체를 통한 온실가스 묶음 감축 사업</x:v>
      </x:c>
      <x:c r="E588" s="2" t="str">
        <x:v>449</x:v>
      </x:c>
      <x:c r="F588" s="2" t="str">
        <x:v>2018-02-19</x:v>
      </x:c>
      <x:c r="G588" s="2" t="str">
        <x:v>2018</x:v>
      </x:c>
      <x:c r="H588" s="2" t="str">
        <x:v>02</x:v>
      </x:c>
      <x:c r="I588" s="2" t="str">
        <x:v>승인</x:v>
      </x:c>
      <x:c r="J588" s="2" t="str">
        <x:v>심의승인</x:v>
      </x:c>
      <x:c r="K588" s="2" t="str">
        <x:f>IF(OR(J588="심의승인",J588="반려",J588="반려완료",J588="심의완료"),"종결 표시",IF(OR(J588="기후부협의",J588="문서재제출요청",J588="보류",J588="보완요청",J588="보완완료",J588="평가중",J588="반려요청",J588="평가필요",LEFT(J588,5)="보완요청("),"미종결 표시","상태 확인 필요"))</x:f>
        <x:v>종결 표시</x:v>
      </x:c>
      <x:c r="L588" s="2" t="str">
        <x:v>에코시안_박세은&gt;전윤호</x:v>
      </x:c>
      <x:c r="M588" s="2"/>
      <x:c r="N588" s="8" t="n">
        <x:f>DATE(2026,10,15)-DATE(2018,2,19)</x:f>
        <x:v>3160</x:v>
      </x:c>
      <x:c r="O588" s="2" t="str">
        <x:v>생략</x:v>
      </x:c>
      <x:c r="P588" s="2"/>
      <x:c r="Q588" s="2" t="str">
        <x:v>산업전환_외부사업관리Tool_260707_이너젠 수정_LJY_261013.xlsx</x:v>
      </x:c>
      <x:c r="R588" s="2" t="str">
        <x:v>국내평가</x:v>
      </x:c>
      <x:c r="S588" s="8" t="n">
        <x:v>491</x:v>
      </x:c>
      <x:c r="T588" s="2" t="str">
        <x:v>(9/14)</x:v>
      </x:c>
      <x:c r="U588" s="2" t="str">
        <x:v>2021 배정: (9/14) / 2023 배정: (2/17),(10/6) / 2024 배정: (9/2) / 2025 배정: (2/6)</x:v>
      </x:c>
      <x:c r="V588" s="2" t="str">
        <x:v>2025-09-08</x:v>
      </x:c>
      <x:c r="W588" s="2" t="str"/>
      <x:c r="X588" s="2" t="str">
        <x:v>종결 근거 보관</x:v>
      </x:c>
      <x:c r="Y588" s="2" t="str">
        <x:v>ad210cd9ec132cfd447541c8984dc53d30aff0f4fb2dc92d254d49275cc55976</x:v>
      </x:c>
      <x:c r="Z588" s="2" t="n">
        <x:f>SUBTOTAL(103,A588)</x:f>
        <x:v>1</x:v>
      </x:c>
      <x:c r="AA588" s="2" t="str">
        <x:f>IF(K588&lt;&gt;"미종결 표시","대상 아님",IF(N588="","신청일 확인",IF(NOT(ISNUMBER('종합 현황'!$H$5)),"관찰기준 확인",IF('종합 현황'!$H$5&lt;1,"관찰기준 확인",IF(N588&gt;'종합 현황'!$H$5,"내부 관찰 대상","내부 관찰일 이하")))))</x:f>
        <x:v>대상 아님</x:v>
      </x:c>
      <x:c r="AB588" s="2"/>
    </x:row>
    <x:row r="589" ht="42" customHeight="1">
      <x:c r="A589" s="2" t="str">
        <x:v>e53b33b63662e06a23d32463</x:v>
      </x:c>
      <x:c r="B589" s="2" t="str">
        <x:v>사업 평가</x:v>
      </x:c>
      <x:c r="C589" s="2" t="str">
        <x:v>국내</x:v>
      </x:c>
      <x:c r="D589" s="7" t="str">
        <x:v>㈜공영사 연료전환(B-C유 → LPG)을 통한 온실가스 배출 감축사업</x:v>
      </x:c>
      <x:c r="E589" s="2" t="str">
        <x:v>450</x:v>
      </x:c>
      <x:c r="F589" s="2" t="str">
        <x:v>2020-05-16</x:v>
      </x:c>
      <x:c r="G589" s="2" t="str">
        <x:v>2020</x:v>
      </x:c>
      <x:c r="H589" s="2" t="str">
        <x:v>05</x:v>
      </x:c>
      <x:c r="I589" s="2" t="str">
        <x:v>보완3차_검토중</x:v>
      </x:c>
      <x:c r="J589" s="2" t="str">
        <x:v>평가중</x:v>
      </x:c>
      <x:c r="K589" s="2" t="str">
        <x:f>IF(OR(J589="심의승인",J589="반려",J589="반려완료",J589="심의완료"),"종결 표시",IF(OR(J589="기후부협의",J589="문서재제출요청",J589="보류",J589="보완요청",J589="보완완료",J589="평가중",J589="반려요청",J589="평가필요",LEFT(J589,5)="보완요청("),"미종결 표시","상태 확인 필요"))</x:f>
        <x:v>미종결 표시</x:v>
      </x:c>
      <x:c r="L589" s="2" t="str">
        <x:v>KECM</x:v>
      </x:c>
      <x:c r="M589" s="2" t="n">
        <x:v>3</x:v>
      </x:c>
      <x:c r="N589" s="8" t="n">
        <x:f>DATE(2026,10,15)-DATE(2020,5,16)</x:f>
        <x:v>2343</x:v>
      </x:c>
      <x:c r="O589" s="2" t="str">
        <x:v>생략</x:v>
      </x:c>
      <x:c r="P589" s="2"/>
      <x:c r="Q589" s="2" t="str">
        <x:v>산업전환_외부사업관리Tool_260707_이너젠 수정_LJY_261013.xlsx</x:v>
      </x:c>
      <x:c r="R589" s="2" t="str">
        <x:v>국내평가</x:v>
      </x:c>
      <x:c r="S589" s="8" t="n">
        <x:v>492</x:v>
      </x:c>
      <x:c r="T589" s="2" t="str">
        <x:v>(7/12),(9/1)</x:v>
      </x:c>
      <x:c r="U589" s="2" t="str">
        <x:v>2021 배정: (7/12),(9/1) / 2025 배정: (5/30),(9/1),(10/16),(12/1) / 2026(사전): (7/7)</x:v>
      </x:c>
      <x:c r="V589" s="2" t="str">
        <x:v>2026-09-07</x:v>
      </x:c>
      <x:c r="W589" s="2" t="str"/>
      <x:c r="X589" s="2" t="str">
        <x:v>검토 진행 일정 확인</x:v>
      </x:c>
      <x:c r="Y589" s="2" t="str">
        <x:v>ad210cd9ec132cfd447541c8984dc53d30aff0f4fb2dc92d254d49275cc55976</x:v>
      </x:c>
      <x:c r="Z589" s="2" t="n">
        <x:f>SUBTOTAL(103,A589)</x:f>
        <x:v>1</x:v>
      </x:c>
      <x:c r="AA589" s="2" t="str">
        <x:f>IF(K589&lt;&gt;"미종결 표시","대상 아님",IF(N589="","신청일 확인",IF(NOT(ISNUMBER('종합 현황'!$H$5)),"관찰기준 확인",IF('종합 현황'!$H$5&lt;1,"관찰기준 확인",IF(N589&gt;'종합 현황'!$H$5,"내부 관찰 대상","내부 관찰일 이하")))))</x:f>
        <x:v>내부 관찰 대상</x:v>
      </x:c>
      <x:c r="AB589" s="2"/>
    </x:row>
    <x:row r="590" ht="42" customHeight="1">
      <x:c r="A590" s="2" t="str">
        <x:v>a1b590caa7cb043d8c342817</x:v>
      </x:c>
      <x:c r="B590" s="2" t="str">
        <x:v>사업 평가</x:v>
      </x:c>
      <x:c r="C590" s="2" t="str">
        <x:v>국내</x:v>
      </x:c>
      <x:c r="D590" s="7" t="str">
        <x:v>동양금속 전력절감설비 교체 사업</x:v>
      </x:c>
      <x:c r="E590" s="2" t="str">
        <x:v>451</x:v>
      </x:c>
      <x:c r="F590" s="2" t="str">
        <x:v>2019-10-28</x:v>
      </x:c>
      <x:c r="G590" s="2" t="str">
        <x:v>2019</x:v>
      </x:c>
      <x:c r="H590" s="2" t="str">
        <x:v>10</x:v>
      </x:c>
      <x:c r="I590" s="2" t="str">
        <x:v>반려</x:v>
      </x:c>
      <x:c r="J590" s="2" t="str">
        <x:v>반려</x:v>
      </x:c>
      <x:c r="K590" s="2" t="str">
        <x:f>IF(OR(J590="심의승인",J590="반려",J590="반려완료",J590="심의완료"),"종결 표시",IF(OR(J590="기후부협의",J590="문서재제출요청",J590="보류",J590="보완요청",J590="보완완료",J590="평가중",J590="반려요청",J590="평가필요",LEFT(J590,5)="보완요청("),"미종결 표시","상태 확인 필요"))</x:f>
        <x:v>종결 표시</x:v>
      </x:c>
      <x:c r="L590" s="2"/>
      <x:c r="M590" s="2"/>
      <x:c r="N590" s="8" t="n">
        <x:f>DATE(2026,10,15)-DATE(2019,10,28)</x:f>
        <x:v>2544</x:v>
      </x:c>
      <x:c r="O590" s="2"/>
      <x:c r="P590" s="2"/>
      <x:c r="Q590" s="2" t="str">
        <x:v>산업전환_외부사업관리Tool_260707_이너젠 수정_LJY_261013.xlsx</x:v>
      </x:c>
      <x:c r="R590" s="2" t="str">
        <x:v>국내평가</x:v>
      </x:c>
      <x:c r="S590" s="8" t="n">
        <x:v>493</x:v>
      </x:c>
      <x:c r="T590" s="2" t="str">
        <x:v>2021년 처리</x:v>
      </x:c>
      <x:c r="U590" s="2" t="str">
        <x:v>2021 배정: 2021년 처리</x:v>
      </x:c>
      <x:c r="V590" s="2" t="str">
        <x:v>2021-05-28</x:v>
      </x:c>
      <x:c r="W590" s="2" t="str">
        <x:v>담당기관 확인</x:v>
      </x:c>
      <x:c r="X590" s="2" t="str">
        <x:v>원본·배정 기록 확인</x:v>
      </x:c>
      <x:c r="Y590" s="2" t="str">
        <x:v>ad210cd9ec132cfd447541c8984dc53d30aff0f4fb2dc92d254d49275cc55976</x:v>
      </x:c>
      <x:c r="Z590" s="2" t="n">
        <x:f>SUBTOTAL(103,A590)</x:f>
        <x:v>1</x:v>
      </x:c>
      <x:c r="AA590" s="2" t="str">
        <x:f>IF(K590&lt;&gt;"미종결 표시","대상 아님",IF(N590="","신청일 확인",IF(NOT(ISNUMBER('종합 현황'!$H$5)),"관찰기준 확인",IF('종합 현황'!$H$5&lt;1,"관찰기준 확인",IF(N590&gt;'종합 현황'!$H$5,"내부 관찰 대상","내부 관찰일 이하")))))</x:f>
        <x:v>대상 아님</x:v>
      </x:c>
      <x:c r="AB590" s="2"/>
    </x:row>
    <x:row r="591" ht="42" customHeight="1">
      <x:c r="A591" s="2" t="str">
        <x:v>86163c123f5f4563174dada2</x:v>
      </x:c>
      <x:c r="B591" s="2" t="str">
        <x:v>사업 평가</x:v>
      </x:c>
      <x:c r="C591" s="2" t="str">
        <x:v>국내</x:v>
      </x:c>
      <x:c r="D591" s="7" t="str">
        <x:v>남부산업의 이온정제유에서 LNG로 연료전환을 통한 온실가스 배출 감축사업</x:v>
      </x:c>
      <x:c r="E591" s="2" t="str">
        <x:v>452</x:v>
      </x:c>
      <x:c r="F591" s="2" t="str">
        <x:v>2019-07-17</x:v>
      </x:c>
      <x:c r="G591" s="2" t="str">
        <x:v>2019</x:v>
      </x:c>
      <x:c r="H591" s="2" t="str">
        <x:v>07</x:v>
      </x:c>
      <x:c r="I591" s="2" t="str">
        <x:v>승인</x:v>
      </x:c>
      <x:c r="J591" s="2" t="str">
        <x:v>심의승인</x:v>
      </x:c>
      <x:c r="K591" s="2" t="str">
        <x:f>IF(OR(J591="심의승인",J591="반려",J591="반려완료",J591="심의완료"),"종결 표시",IF(OR(J591="기후부협의",J591="문서재제출요청",J591="보류",J591="보완요청",J591="보완완료",J591="평가중",J591="반려요청",J591="평가필요",LEFT(J591,5)="보완요청("),"미종결 표시","상태 확인 필요"))</x:f>
        <x:v>종결 표시</x:v>
      </x:c>
      <x:c r="L591" s="2"/>
      <x:c r="M591" s="2"/>
      <x:c r="N591" s="8" t="n">
        <x:f>DATE(2026,10,15)-DATE(2019,7,17)</x:f>
        <x:v>2647</x:v>
      </x:c>
      <x:c r="O591" s="2"/>
      <x:c r="P591" s="2"/>
      <x:c r="Q591" s="2" t="str">
        <x:v>산업전환_외부사업관리Tool_260707_이너젠 수정_LJY_261013.xlsx</x:v>
      </x:c>
      <x:c r="R591" s="2" t="str">
        <x:v>국내평가</x:v>
      </x:c>
      <x:c r="S591" s="8" t="n">
        <x:v>494</x:v>
      </x:c>
      <x:c r="T591" s="2"/>
      <x:c r="U591" s="2" t="str"/>
      <x:c r="V591" s="2" t="str">
        <x:v>2021-09-29</x:v>
      </x:c>
      <x:c r="W591" s="2" t="str">
        <x:v>담당기관 확인</x:v>
      </x:c>
      <x:c r="X591" s="2" t="str">
        <x:v>원본·배정 기록 확인</x:v>
      </x:c>
      <x:c r="Y591" s="2" t="str">
        <x:v>ad210cd9ec132cfd447541c8984dc53d30aff0f4fb2dc92d254d49275cc55976</x:v>
      </x:c>
      <x:c r="Z591" s="2" t="n">
        <x:f>SUBTOTAL(103,A591)</x:f>
        <x:v>1</x:v>
      </x:c>
      <x:c r="AA591" s="2" t="str">
        <x:f>IF(K591&lt;&gt;"미종결 표시","대상 아님",IF(N591="","신청일 확인",IF(NOT(ISNUMBER('종합 현황'!$H$5)),"관찰기준 확인",IF('종합 현황'!$H$5&lt;1,"관찰기준 확인",IF(N591&gt;'종합 현황'!$H$5,"내부 관찰 대상","내부 관찰일 이하")))))</x:f>
        <x:v>대상 아님</x:v>
      </x:c>
      <x:c r="AB591" s="2"/>
    </x:row>
    <x:row r="592" ht="42" customHeight="1">
      <x:c r="A592" s="2" t="str">
        <x:v>120a00dbb74057a1ec765218</x:v>
      </x:c>
      <x:c r="B592" s="2" t="str">
        <x:v>사업 평가</x:v>
      </x:c>
      <x:c r="C592" s="2" t="str">
        <x:v>국내</x:v>
      </x:c>
      <x:c r="D592" s="7" t="str">
        <x:v>덕산지에스의 부생연료유 2호에서 도시가스(LNG)로의 연료전환을 통한 온실가스 배출 감축사업</x:v>
      </x:c>
      <x:c r="E592" s="2" t="str">
        <x:v>453</x:v>
      </x:c>
      <x:c r="F592" s="2" t="str">
        <x:v>2019-07-29</x:v>
      </x:c>
      <x:c r="G592" s="2" t="str">
        <x:v>2019</x:v>
      </x:c>
      <x:c r="H592" s="2" t="str">
        <x:v>07</x:v>
      </x:c>
      <x:c r="I592" s="2" t="str">
        <x:v>승인</x:v>
      </x:c>
      <x:c r="J592" s="2" t="str">
        <x:v>심의승인</x:v>
      </x:c>
      <x:c r="K592" s="2" t="str">
        <x:f>IF(OR(J592="심의승인",J592="반려",J592="반려완료",J592="심의완료"),"종결 표시",IF(OR(J592="기후부협의",J592="문서재제출요청",J592="보류",J592="보완요청",J592="보완완료",J592="평가중",J592="반려요청",J592="평가필요",LEFT(J592,5)="보완요청("),"미종결 표시","상태 확인 필요"))</x:f>
        <x:v>종결 표시</x:v>
      </x:c>
      <x:c r="L592" s="2"/>
      <x:c r="M592" s="2"/>
      <x:c r="N592" s="8" t="n">
        <x:f>DATE(2026,10,15)-DATE(2019,7,29)</x:f>
        <x:v>2635</x:v>
      </x:c>
      <x:c r="O592" s="2" t="str">
        <x:v>O(4월)</x:v>
      </x:c>
      <x:c r="P592" s="2"/>
      <x:c r="Q592" s="2" t="str">
        <x:v>산업전환_외부사업관리Tool_260707_이너젠 수정_LJY_261013.xlsx</x:v>
      </x:c>
      <x:c r="R592" s="2" t="str">
        <x:v>국내평가</x:v>
      </x:c>
      <x:c r="S592" s="8" t="n">
        <x:v>495</x:v>
      </x:c>
      <x:c r="T592" s="2"/>
      <x:c r="U592" s="2" t="str"/>
      <x:c r="V592" s="2" t="str">
        <x:v>2022-05-16</x:v>
      </x:c>
      <x:c r="W592" s="2" t="str">
        <x:v>담당기관 확인</x:v>
      </x:c>
      <x:c r="X592" s="2" t="str">
        <x:v>원본·배정 기록 확인</x:v>
      </x:c>
      <x:c r="Y592" s="2" t="str">
        <x:v>ad210cd9ec132cfd447541c8984dc53d30aff0f4fb2dc92d254d49275cc55976</x:v>
      </x:c>
      <x:c r="Z592" s="2" t="n">
        <x:f>SUBTOTAL(103,A592)</x:f>
        <x:v>1</x:v>
      </x:c>
      <x:c r="AA592" s="2" t="str">
        <x:f>IF(K592&lt;&gt;"미종결 표시","대상 아님",IF(N592="","신청일 확인",IF(NOT(ISNUMBER('종합 현황'!$H$5)),"관찰기준 확인",IF('종합 현황'!$H$5&lt;1,"관찰기준 확인",IF(N592&gt;'종합 현황'!$H$5,"내부 관찰 대상","내부 관찰일 이하")))))</x:f>
        <x:v>대상 아님</x:v>
      </x:c>
      <x:c r="AB592" s="2"/>
    </x:row>
    <x:row r="593" ht="42" customHeight="1">
      <x:c r="A593" s="2" t="str">
        <x:v>a48012e1939c5fac23b165ae</x:v>
      </x:c>
      <x:c r="B593" s="2" t="str">
        <x:v>사업 평가</x:v>
      </x:c>
      <x:c r="C593" s="2" t="str">
        <x:v>국내</x:v>
      </x:c>
      <x:c r="D593" s="7" t="str">
        <x:v>쓰리디테크 전력절감설비 교체 사업</x:v>
      </x:c>
      <x:c r="E593" s="2" t="str">
        <x:v>454</x:v>
      </x:c>
      <x:c r="F593" s="2" t="str">
        <x:v>2019-10-28</x:v>
      </x:c>
      <x:c r="G593" s="2" t="str">
        <x:v>2019</x:v>
      </x:c>
      <x:c r="H593" s="2" t="str">
        <x:v>10</x:v>
      </x:c>
      <x:c r="I593" s="2" t="str">
        <x:v>반려</x:v>
      </x:c>
      <x:c r="J593" s="2" t="str">
        <x:v>반려</x:v>
      </x:c>
      <x:c r="K593" s="2" t="str">
        <x:f>IF(OR(J593="심의승인",J593="반려",J593="반려완료",J593="심의완료"),"종결 표시",IF(OR(J593="기후부협의",J593="문서재제출요청",J593="보류",J593="보완요청",J593="보완완료",J593="평가중",J593="반려요청",J593="평가필요",LEFT(J593,5)="보완요청("),"미종결 표시","상태 확인 필요"))</x:f>
        <x:v>종결 표시</x:v>
      </x:c>
      <x:c r="L593" s="2"/>
      <x:c r="M593" s="2"/>
      <x:c r="N593" s="8" t="n">
        <x:f>DATE(2026,10,15)-DATE(2019,10,28)</x:f>
        <x:v>2544</x:v>
      </x:c>
      <x:c r="O593" s="2"/>
      <x:c r="P593" s="2"/>
      <x:c r="Q593" s="2" t="str">
        <x:v>산업전환_외부사업관리Tool_260707_이너젠 수정_LJY_261013.xlsx</x:v>
      </x:c>
      <x:c r="R593" s="2" t="str">
        <x:v>국내평가</x:v>
      </x:c>
      <x:c r="S593" s="8" t="n">
        <x:v>496</x:v>
      </x:c>
      <x:c r="T593" s="2" t="str">
        <x:v>2021년 처리</x:v>
      </x:c>
      <x:c r="U593" s="2" t="str">
        <x:v>2021 배정: 2021년 처리</x:v>
      </x:c>
      <x:c r="V593" s="2" t="str">
        <x:v>2021-05-28</x:v>
      </x:c>
      <x:c r="W593" s="2" t="str">
        <x:v>담당기관 확인</x:v>
      </x:c>
      <x:c r="X593" s="2" t="str">
        <x:v>원본·배정 기록 확인</x:v>
      </x:c>
      <x:c r="Y593" s="2" t="str">
        <x:v>ad210cd9ec132cfd447541c8984dc53d30aff0f4fb2dc92d254d49275cc55976</x:v>
      </x:c>
      <x:c r="Z593" s="2" t="n">
        <x:f>SUBTOTAL(103,A593)</x:f>
        <x:v>1</x:v>
      </x:c>
      <x:c r="AA593" s="2" t="str">
        <x:f>IF(K593&lt;&gt;"미종결 표시","대상 아님",IF(N593="","신청일 확인",IF(NOT(ISNUMBER('종합 현황'!$H$5)),"관찰기준 확인",IF('종합 현황'!$H$5&lt;1,"관찰기준 확인",IF(N593&gt;'종합 현황'!$H$5,"내부 관찰 대상","내부 관찰일 이하")))))</x:f>
        <x:v>대상 아님</x:v>
      </x:c>
      <x:c r="AB593" s="2"/>
    </x:row>
    <x:row r="594" ht="42" customHeight="1">
      <x:c r="A594" s="2" t="str">
        <x:v>53344c64555c6ebc685d93bc</x:v>
      </x:c>
      <x:c r="B594" s="2" t="str">
        <x:v>사업 평가</x:v>
      </x:c>
      <x:c r="C594" s="2" t="str">
        <x:v>국내</x:v>
      </x:c>
      <x:c r="D594" s="7" t="str">
        <x:v>정성테크 전력절감설비 교체 사업</x:v>
      </x:c>
      <x:c r="E594" s="2" t="str">
        <x:v>455</x:v>
      </x:c>
      <x:c r="F594" s="2" t="str">
        <x:v>2019-10-28</x:v>
      </x:c>
      <x:c r="G594" s="2" t="str">
        <x:v>2019</x:v>
      </x:c>
      <x:c r="H594" s="2" t="str">
        <x:v>10</x:v>
      </x:c>
      <x:c r="I594" s="2" t="str">
        <x:v>반려</x:v>
      </x:c>
      <x:c r="J594" s="2" t="str">
        <x:v>반려</x:v>
      </x:c>
      <x:c r="K594" s="2" t="str">
        <x:f>IF(OR(J594="심의승인",J594="반려",J594="반려완료",J594="심의완료"),"종결 표시",IF(OR(J594="기후부협의",J594="문서재제출요청",J594="보류",J594="보완요청",J594="보완완료",J594="평가중",J594="반려요청",J594="평가필요",LEFT(J594,5)="보완요청("),"미종결 표시","상태 확인 필요"))</x:f>
        <x:v>종결 표시</x:v>
      </x:c>
      <x:c r="L594" s="2"/>
      <x:c r="M594" s="2"/>
      <x:c r="N594" s="8" t="n">
        <x:f>DATE(2026,10,15)-DATE(2019,10,28)</x:f>
        <x:v>2544</x:v>
      </x:c>
      <x:c r="O594" s="2"/>
      <x:c r="P594" s="2"/>
      <x:c r="Q594" s="2" t="str">
        <x:v>산업전환_외부사업관리Tool_260707_이너젠 수정_LJY_261013.xlsx</x:v>
      </x:c>
      <x:c r="R594" s="2" t="str">
        <x:v>국내평가</x:v>
      </x:c>
      <x:c r="S594" s="8" t="n">
        <x:v>497</x:v>
      </x:c>
      <x:c r="T594" s="2" t="str">
        <x:v>2021년 처리</x:v>
      </x:c>
      <x:c r="U594" s="2" t="str">
        <x:v>2021 배정: 2021년 처리</x:v>
      </x:c>
      <x:c r="V594" s="2" t="str">
        <x:v>2021-05-28</x:v>
      </x:c>
      <x:c r="W594" s="2" t="str">
        <x:v>담당기관 확인</x:v>
      </x:c>
      <x:c r="X594" s="2" t="str">
        <x:v>원본·배정 기록 확인</x:v>
      </x:c>
      <x:c r="Y594" s="2" t="str">
        <x:v>ad210cd9ec132cfd447541c8984dc53d30aff0f4fb2dc92d254d49275cc55976</x:v>
      </x:c>
      <x:c r="Z594" s="2" t="n">
        <x:f>SUBTOTAL(103,A594)</x:f>
        <x:v>1</x:v>
      </x:c>
      <x:c r="AA594" s="2" t="str">
        <x:f>IF(K594&lt;&gt;"미종결 표시","대상 아님",IF(N594="","신청일 확인",IF(NOT(ISNUMBER('종합 현황'!$H$5)),"관찰기준 확인",IF('종합 현황'!$H$5&lt;1,"관찰기준 확인",IF(N594&gt;'종합 현황'!$H$5,"내부 관찰 대상","내부 관찰일 이하")))))</x:f>
        <x:v>대상 아님</x:v>
      </x:c>
      <x:c r="AB594" s="2"/>
    </x:row>
    <x:row r="595" ht="42" customHeight="1">
      <x:c r="A595" s="2" t="str">
        <x:v>f3e61095520c7f159fa0803f</x:v>
      </x:c>
      <x:c r="B595" s="2" t="str">
        <x:v>사업 평가</x:v>
      </x:c>
      <x:c r="C595" s="2" t="str">
        <x:v>국내</x:v>
      </x:c>
      <x:c r="D595" s="7" t="str">
        <x:v>대평산업개발의 정제유 및 B-C유에서 도시가스(LNG)로의 연료전환을 통한 온실가스 배출 감축사업</x:v>
      </x:c>
      <x:c r="E595" s="2" t="str">
        <x:v>456</x:v>
      </x:c>
      <x:c r="F595" s="2" t="str">
        <x:v>2025-07-08</x:v>
      </x:c>
      <x:c r="G595" s="2" t="str">
        <x:v>2025</x:v>
      </x:c>
      <x:c r="H595" s="2" t="str">
        <x:v>07</x:v>
      </x:c>
      <x:c r="I595" s="2" t="str">
        <x:v>인증유효기간 갱신</x:v>
      </x:c>
      <x:c r="J595" s="2" t="str">
        <x:v>보완요청</x:v>
      </x:c>
      <x:c r="K595" s="2" t="str">
        <x:f>IF(OR(J595="심의승인",J595="반려",J595="반려완료",J595="심의완료"),"종결 표시",IF(OR(J595="기후부협의",J595="문서재제출요청",J595="보류",J595="보완요청",J595="보완완료",J595="평가중",J595="반려요청",J595="평가필요",LEFT(J595,5)="보완요청("),"미종결 표시","상태 확인 필요"))</x:f>
        <x:v>미종결 표시</x:v>
      </x:c>
      <x:c r="L595" s="2"/>
      <x:c r="M595" s="2"/>
      <x:c r="N595" s="8" t="n">
        <x:f>DATE(2026,10,15)-DATE(2025,7,8)</x:f>
        <x:v>464</x:v>
      </x:c>
      <x:c r="O595" s="2" t="str">
        <x:v>생략</x:v>
      </x:c>
      <x:c r="P595" s="2"/>
      <x:c r="Q595" s="2" t="str">
        <x:v>산업전환_외부사업관리Tool_260707_이너젠 수정_LJY_261013.xlsx</x:v>
      </x:c>
      <x:c r="R595" s="2" t="str">
        <x:v>국내평가</x:v>
      </x:c>
      <x:c r="S595" s="8" t="n">
        <x:v>498</x:v>
      </x:c>
      <x:c r="T595" s="2" t="str">
        <x:v>(7/18),(10/16)</x:v>
      </x:c>
      <x:c r="U595" s="2" t="str">
        <x:v>2025 배정: (7/18),(10/16)</x:v>
      </x:c>
      <x:c r="V595" s="2" t="str">
        <x:v>2025-11-05</x:v>
      </x:c>
      <x:c r="W595" s="2" t="str">
        <x:v>담당기관 확인</x:v>
      </x:c>
      <x:c r="X595" s="2" t="str">
        <x:v>원본·배정 기록 확인</x:v>
      </x:c>
      <x:c r="Y595" s="2" t="str">
        <x:v>ad210cd9ec132cfd447541c8984dc53d30aff0f4fb2dc92d254d49275cc55976</x:v>
      </x:c>
      <x:c r="Z595" s="2" t="n">
        <x:f>SUBTOTAL(103,A595)</x:f>
        <x:v>1</x:v>
      </x:c>
      <x:c r="AA595" s="2" t="str">
        <x:f>IF(K595&lt;&gt;"미종결 표시","대상 아님",IF(N595="","신청일 확인",IF(NOT(ISNUMBER('종합 현황'!$H$5)),"관찰기준 확인",IF('종합 현황'!$H$5&lt;1,"관찰기준 확인",IF(N595&gt;'종합 현황'!$H$5,"내부 관찰 대상","내부 관찰일 이하")))))</x:f>
        <x:v>내부 관찰 대상</x:v>
      </x:c>
      <x:c r="AB595" s="2"/>
    </x:row>
    <x:row r="596" ht="42" customHeight="1">
      <x:c r="A596" s="2" t="str">
        <x:v>52c3795faa85c43694cf2bd0</x:v>
      </x:c>
      <x:c r="B596" s="2" t="str">
        <x:v>사업 평가</x:v>
      </x:c>
      <x:c r="C596" s="2" t="str">
        <x:v>국내</x:v>
      </x:c>
      <x:c r="D596" s="7" t="str">
        <x:v>(주)경북환경 연료전환(B-C유에서 LPG)을 통한 온실가스 배출 감축사업</x:v>
      </x:c>
      <x:c r="E596" s="2" t="str">
        <x:v>457</x:v>
      </x:c>
      <x:c r="F596" s="2" t="str">
        <x:v>2020-05-22</x:v>
      </x:c>
      <x:c r="G596" s="2" t="str">
        <x:v>2020</x:v>
      </x:c>
      <x:c r="H596" s="2" t="str">
        <x:v>05</x:v>
      </x:c>
      <x:c r="I596" s="2" t="str">
        <x:v>반려</x:v>
      </x:c>
      <x:c r="J596" s="2" t="str">
        <x:v>반려</x:v>
      </x:c>
      <x:c r="K596" s="2" t="str">
        <x:f>IF(OR(J596="심의승인",J596="반려",J596="반려완료",J596="심의완료"),"종결 표시",IF(OR(J596="기후부협의",J596="문서재제출요청",J596="보류",J596="보완요청",J596="보완완료",J596="평가중",J596="반려요청",J596="평가필요",LEFT(J596,5)="보완요청("),"미종결 표시","상태 확인 필요"))</x:f>
        <x:v>종결 표시</x:v>
      </x:c>
      <x:c r="L596" s="2" t="str">
        <x:v>KECM</x:v>
      </x:c>
      <x:c r="M596" s="2"/>
      <x:c r="N596" s="8" t="n">
        <x:f>DATE(2026,10,15)-DATE(2020,5,22)</x:f>
        <x:v>2337</x:v>
      </x:c>
      <x:c r="O596" s="2"/>
      <x:c r="P596" s="2"/>
      <x:c r="Q596" s="2" t="str">
        <x:v>산업전환_외부사업관리Tool_260707_이너젠 수정_LJY_261013.xlsx</x:v>
      </x:c>
      <x:c r="R596" s="2" t="str">
        <x:v>국내평가</x:v>
      </x:c>
      <x:c r="S596" s="8" t="n">
        <x:v>499</x:v>
      </x:c>
      <x:c r="T596" s="2" t="str">
        <x:v>(7/12),(9/1)</x:v>
      </x:c>
      <x:c r="U596" s="2" t="str">
        <x:v>2021 배정: (7/12),(9/1) / 2025 배정: (4/17)</x:v>
      </x:c>
      <x:c r="V596" s="2" t="str">
        <x:v>2025-04-29</x:v>
      </x:c>
      <x:c r="W596" s="2" t="str"/>
      <x:c r="X596" s="2" t="str">
        <x:v>종결 근거 보관</x:v>
      </x:c>
      <x:c r="Y596" s="2" t="str">
        <x:v>ad210cd9ec132cfd447541c8984dc53d30aff0f4fb2dc92d254d49275cc55976</x:v>
      </x:c>
      <x:c r="Z596" s="2" t="n">
        <x:f>SUBTOTAL(103,A596)</x:f>
        <x:v>1</x:v>
      </x:c>
      <x:c r="AA596" s="2" t="str">
        <x:f>IF(K596&lt;&gt;"미종결 표시","대상 아님",IF(N596="","신청일 확인",IF(NOT(ISNUMBER('종합 현황'!$H$5)),"관찰기준 확인",IF('종합 현황'!$H$5&lt;1,"관찰기준 확인",IF(N596&gt;'종합 현황'!$H$5,"내부 관찰 대상","내부 관찰일 이하")))))</x:f>
        <x:v>대상 아님</x:v>
      </x:c>
      <x:c r="AB596" s="2"/>
    </x:row>
    <x:row r="597" ht="42" customHeight="1">
      <x:c r="A597" s="2" t="str">
        <x:v>184834c963dd968d43597559</x:v>
      </x:c>
      <x:c r="B597" s="2" t="str">
        <x:v>사업 평가</x:v>
      </x:c>
      <x:c r="C597" s="2" t="str">
        <x:v>국내</x:v>
      </x:c>
      <x:c r="D597" s="7" t="str">
        <x:v>(주)석진산업 연료전환(B-C유→ LPG)을 통한 온실가스 배출 감축사업</x:v>
      </x:c>
      <x:c r="E597" s="2" t="str">
        <x:v>458</x:v>
      </x:c>
      <x:c r="F597" s="2" t="str">
        <x:v>2020-05-29</x:v>
      </x:c>
      <x:c r="G597" s="2" t="str">
        <x:v>2020</x:v>
      </x:c>
      <x:c r="H597" s="2" t="str">
        <x:v>05</x:v>
      </x:c>
      <x:c r="I597" s="2" t="str">
        <x:v>보완3차_문서보완중</x:v>
      </x:c>
      <x:c r="J597" s="2" t="str">
        <x:v>보완요청</x:v>
      </x:c>
      <x:c r="K597" s="2" t="str">
        <x:f>IF(OR(J597="심의승인",J597="반려",J597="반려완료",J597="심의완료"),"종결 표시",IF(OR(J597="기후부협의",J597="문서재제출요청",J597="보류",J597="보완요청",J597="보완완료",J597="평가중",J597="반려요청",J597="평가필요",LEFT(J597,5)="보완요청("),"미종결 표시","상태 확인 필요"))</x:f>
        <x:v>미종결 표시</x:v>
      </x:c>
      <x:c r="L597" s="2" t="str">
        <x:v>KECM</x:v>
      </x:c>
      <x:c r="M597" s="2" t="n">
        <x:v>3</x:v>
      </x:c>
      <x:c r="N597" s="8" t="n">
        <x:f>DATE(2026,10,15)-DATE(2020,5,29)</x:f>
        <x:v>2330</x:v>
      </x:c>
      <x:c r="O597" s="2" t="str">
        <x:v>생략</x:v>
      </x:c>
      <x:c r="P597" s="2"/>
      <x:c r="Q597" s="2" t="str">
        <x:v>산업전환_외부사업관리Tool_260707_이너젠 수정_LJY_261013.xlsx</x:v>
      </x:c>
      <x:c r="R597" s="2" t="str">
        <x:v>국내평가</x:v>
      </x:c>
      <x:c r="S597" s="8" t="n">
        <x:v>500</x:v>
      </x:c>
      <x:c r="T597" s="2" t="str">
        <x:v>(7/12),(9/1)</x:v>
      </x:c>
      <x:c r="U597" s="2" t="str">
        <x:v>2021 배정: (7/12),(9/1) / 2025 배정: (5/30),(9/1),(12/1) / 2026(사전): (3/19)</x:v>
      </x:c>
      <x:c r="V597" s="2" t="str">
        <x:v>2026-03-25</x:v>
      </x:c>
      <x:c r="W597" s="2" t="str"/>
      <x:c r="X597" s="2" t="str">
        <x:v>보완 회신 일정 확인</x:v>
      </x:c>
      <x:c r="Y597" s="2" t="str">
        <x:v>ad210cd9ec132cfd447541c8984dc53d30aff0f4fb2dc92d254d49275cc55976</x:v>
      </x:c>
      <x:c r="Z597" s="2" t="n">
        <x:f>SUBTOTAL(103,A597)</x:f>
        <x:v>1</x:v>
      </x:c>
      <x:c r="AA597" s="2" t="str">
        <x:f>IF(K597&lt;&gt;"미종결 표시","대상 아님",IF(N597="","신청일 확인",IF(NOT(ISNUMBER('종합 현황'!$H$5)),"관찰기준 확인",IF('종합 현황'!$H$5&lt;1,"관찰기준 확인",IF(N597&gt;'종합 현황'!$H$5,"내부 관찰 대상","내부 관찰일 이하")))))</x:f>
        <x:v>내부 관찰 대상</x:v>
      </x:c>
      <x:c r="AB597" s="2"/>
    </x:row>
    <x:row r="598" ht="42" customHeight="1">
      <x:c r="A598" s="2" t="str">
        <x:v>7d1ddb51c94856a8e3233ab5</x:v>
      </x:c>
      <x:c r="B598" s="2" t="str">
        <x:v>사업 평가</x:v>
      </x:c>
      <x:c r="C598" s="2" t="str">
        <x:v>국내</x:v>
      </x:c>
      <x:c r="D598" s="7" t="str">
        <x:v>인탑스(주) 고효율 공기압축기 교체를  통한 온실가스 감축사업</x:v>
      </x:c>
      <x:c r="E598" s="2" t="str">
        <x:v>459</x:v>
      </x:c>
      <x:c r="F598" s="2" t="str">
        <x:v>2019-11-15</x:v>
      </x:c>
      <x:c r="G598" s="2" t="str">
        <x:v>2019</x:v>
      </x:c>
      <x:c r="H598" s="2" t="str">
        <x:v>11</x:v>
      </x:c>
      <x:c r="I598" s="2" t="str">
        <x:v>승인</x:v>
      </x:c>
      <x:c r="J598" s="2" t="str">
        <x:v>심의승인</x:v>
      </x:c>
      <x:c r="K598" s="2" t="str">
        <x:f>IF(OR(J598="심의승인",J598="반려",J598="반려완료",J598="심의완료"),"종결 표시",IF(OR(J598="기후부협의",J598="문서재제출요청",J598="보류",J598="보완요청",J598="보완완료",J598="평가중",J598="반려요청",J598="평가필요",LEFT(J598,5)="보완요청("),"미종결 표시","상태 확인 필요"))</x:f>
        <x:v>종결 표시</x:v>
      </x:c>
      <x:c r="L598" s="2" t="str">
        <x:v>에코시안_조혜민&gt;정다윤</x:v>
      </x:c>
      <x:c r="M598" s="2"/>
      <x:c r="N598" s="8" t="n">
        <x:f>DATE(2026,10,15)-DATE(2019,11,15)</x:f>
        <x:v>2526</x:v>
      </x:c>
      <x:c r="O598" s="2" t="str">
        <x:v>생략</x:v>
      </x:c>
      <x:c r="P598" s="2" t="str">
        <x:v>57차 인증위 승인</x:v>
      </x:c>
      <x:c r="Q598" s="2" t="str">
        <x:v>산업전환_외부사업관리Tool_260707_이너젠 수정_LJY_261013.xlsx</x:v>
      </x:c>
      <x:c r="R598" s="2" t="str">
        <x:v>국내평가</x:v>
      </x:c>
      <x:c r="S598" s="8" t="n">
        <x:v>501</x:v>
      </x:c>
      <x:c r="T598" s="2" t="str">
        <x:v>(6/28),(11/2)</x:v>
      </x:c>
      <x:c r="U598" s="2" t="str">
        <x:v>2021 배정: (6/28),(11/2) / 2022 배정: (4/19) / 2022 배정(신규): (5/18),(9/19),(10/19) / 2023 배정: (1/30),(5/16),(6/27),(8/30) / 2024 배정: (2/5)</x:v>
      </x:c>
      <x:c r="V598" s="2" t="str">
        <x:v>2024-06-10</x:v>
      </x:c>
      <x:c r="W598" s="2" t="str"/>
      <x:c r="X598" s="2" t="str">
        <x:v>종결 근거 보관</x:v>
      </x:c>
      <x:c r="Y598" s="2" t="str">
        <x:v>ad210cd9ec132cfd447541c8984dc53d30aff0f4fb2dc92d254d49275cc55976</x:v>
      </x:c>
      <x:c r="Z598" s="2" t="n">
        <x:f>SUBTOTAL(103,A598)</x:f>
        <x:v>1</x:v>
      </x:c>
      <x:c r="AA598" s="2" t="str">
        <x:f>IF(K598&lt;&gt;"미종결 표시","대상 아님",IF(N598="","신청일 확인",IF(NOT(ISNUMBER('종합 현황'!$H$5)),"관찰기준 확인",IF('종합 현황'!$H$5&lt;1,"관찰기준 확인",IF(N598&gt;'종합 현황'!$H$5,"내부 관찰 대상","내부 관찰일 이하")))))</x:f>
        <x:v>대상 아님</x:v>
      </x:c>
      <x:c r="AB598" s="2"/>
    </x:row>
    <x:row r="599" ht="42" customHeight="1">
      <x:c r="A599" s="2" t="str">
        <x:v>ca4fd12b9852f51ab0be2538</x:v>
      </x:c>
      <x:c r="B599" s="2" t="str">
        <x:v>사업 평가</x:v>
      </x:c>
      <x:c r="C599" s="2" t="str">
        <x:v>국내</x:v>
      </x:c>
      <x:c r="D599" s="7" t="str">
        <x:v>삼성화재 글로벌캠퍼스 태양광발전 설비 설치를 통한 전력 생산 및 자가 사용 사업</x:v>
      </x:c>
      <x:c r="E599" s="2" t="str">
        <x:v>460</x:v>
      </x:c>
      <x:c r="F599" s="2" t="str">
        <x:v>2019-12-26</x:v>
      </x:c>
      <x:c r="G599" s="2" t="str">
        <x:v>2019</x:v>
      </x:c>
      <x:c r="H599" s="2" t="str">
        <x:v>12</x:v>
      </x:c>
      <x:c r="I599" s="2" t="str">
        <x:v>반려</x:v>
      </x:c>
      <x:c r="J599" s="2" t="str">
        <x:v>반려</x:v>
      </x:c>
      <x:c r="K599" s="2" t="str">
        <x:f>IF(OR(J599="심의승인",J599="반려",J599="반려완료",J599="심의완료"),"종결 표시",IF(OR(J599="기후부협의",J599="문서재제출요청",J599="보류",J599="보완요청",J599="보완완료",J599="평가중",J599="반려요청",J599="평가필요",LEFT(J599,5)="보완요청("),"미종결 표시","상태 확인 필요"))</x:f>
        <x:v>종결 표시</x:v>
      </x:c>
      <x:c r="L599" s="2" t="str">
        <x:v>에코시안_정인혜</x:v>
      </x:c>
      <x:c r="M599" s="2"/>
      <x:c r="N599" s="8" t="n">
        <x:f>DATE(2026,10,15)-DATE(2019,12,26)</x:f>
        <x:v>2485</x:v>
      </x:c>
      <x:c r="O599" s="2" t="str">
        <x:v>O</x:v>
      </x:c>
      <x:c r="P599" s="2"/>
      <x:c r="Q599" s="2" t="str">
        <x:v>산업전환_외부사업관리Tool_260707_이너젠 수정_LJY_261013.xlsx</x:v>
      </x:c>
      <x:c r="R599" s="2" t="str">
        <x:v>국내평가</x:v>
      </x:c>
      <x:c r="S599" s="8" t="n">
        <x:v>502</x:v>
      </x:c>
      <x:c r="T599" s="2" t="str">
        <x:v>(6/3)</x:v>
      </x:c>
      <x:c r="U599" s="2" t="str">
        <x:v>2021 배정: (6/3)</x:v>
      </x:c>
      <x:c r="V599" s="2" t="str">
        <x:v>2021-12-23</x:v>
      </x:c>
      <x:c r="W599" s="2" t="str"/>
      <x:c r="X599" s="2" t="str">
        <x:v>종결 근거 보관</x:v>
      </x:c>
      <x:c r="Y599" s="2" t="str">
        <x:v>ad210cd9ec132cfd447541c8984dc53d30aff0f4fb2dc92d254d49275cc55976</x:v>
      </x:c>
      <x:c r="Z599" s="2" t="n">
        <x:f>SUBTOTAL(103,A599)</x:f>
        <x:v>1</x:v>
      </x:c>
      <x:c r="AA599" s="2" t="str">
        <x:f>IF(K599&lt;&gt;"미종결 표시","대상 아님",IF(N599="","신청일 확인",IF(NOT(ISNUMBER('종합 현황'!$H$5)),"관찰기준 확인",IF('종합 현황'!$H$5&lt;1,"관찰기준 확인",IF(N599&gt;'종합 현황'!$H$5,"내부 관찰 대상","내부 관찰일 이하")))))</x:f>
        <x:v>대상 아님</x:v>
      </x:c>
      <x:c r="AB599" s="2"/>
    </x:row>
    <x:row r="600" ht="42" customHeight="1">
      <x:c r="A600" s="2" t="str">
        <x:v>33a8e921671df0aaf260d7ae</x:v>
      </x:c>
      <x:c r="B600" s="2" t="str">
        <x:v>사업 평가</x:v>
      </x:c>
      <x:c r="C600" s="2" t="str">
        <x:v>국내</x:v>
      </x:c>
      <x:c r="D600" s="7" t="str">
        <x:v>(주)엘지화학 자가 소비용 태양광 발전설비의 설치 지원을 통한 프로그램 감축사업</x:v>
      </x:c>
      <x:c r="E600" s="2" t="str">
        <x:v>461</x:v>
      </x:c>
      <x:c r="F600" s="2" t="str">
        <x:v>2019-10-11</x:v>
      </x:c>
      <x:c r="G600" s="2" t="str">
        <x:v>2019</x:v>
      </x:c>
      <x:c r="H600" s="2" t="str">
        <x:v>10</x:v>
      </x:c>
      <x:c r="I600" s="2" t="str">
        <x:v>승인</x:v>
      </x:c>
      <x:c r="J600" s="2" t="str">
        <x:v>심의승인</x:v>
      </x:c>
      <x:c r="K600" s="2" t="str">
        <x:f>IF(OR(J600="심의승인",J600="반려",J600="반려완료",J600="심의완료"),"종결 표시",IF(OR(J600="기후부협의",J600="문서재제출요청",J600="보류",J600="보완요청",J600="보완완료",J600="평가중",J600="반려요청",J600="평가필요",LEFT(J600,5)="보완요청("),"미종결 표시","상태 확인 필요"))</x:f>
        <x:v>종결 표시</x:v>
      </x:c>
      <x:c r="L600" s="2"/>
      <x:c r="M600" s="2"/>
      <x:c r="N600" s="8" t="n">
        <x:f>DATE(2026,10,15)-DATE(2019,10,11)</x:f>
        <x:v>2561</x:v>
      </x:c>
      <x:c r="O600" s="2" t="str">
        <x:v>O(4월)</x:v>
      </x:c>
      <x:c r="P600" s="2"/>
      <x:c r="Q600" s="2" t="str">
        <x:v>산업전환_외부사업관리Tool_260707_이너젠 수정_LJY_261013.xlsx</x:v>
      </x:c>
      <x:c r="R600" s="2" t="str">
        <x:v>국내평가</x:v>
      </x:c>
      <x:c r="S600" s="8" t="n">
        <x:v>503</x:v>
      </x:c>
      <x:c r="T600" s="2" t="str">
        <x:v>2021년 처리</x:v>
      </x:c>
      <x:c r="U600" s="2" t="str">
        <x:v>2021 배정: 2021년 처리</x:v>
      </x:c>
      <x:c r="V600" s="2" t="str">
        <x:v>2021-09-30</x:v>
      </x:c>
      <x:c r="W600" s="2" t="str">
        <x:v>담당기관 확인</x:v>
      </x:c>
      <x:c r="X600" s="2" t="str">
        <x:v>원본·배정 기록 확인</x:v>
      </x:c>
      <x:c r="Y600" s="2" t="str">
        <x:v>ad210cd9ec132cfd447541c8984dc53d30aff0f4fb2dc92d254d49275cc55976</x:v>
      </x:c>
      <x:c r="Z600" s="2" t="n">
        <x:f>SUBTOTAL(103,A600)</x:f>
        <x:v>1</x:v>
      </x:c>
      <x:c r="AA600" s="2" t="str">
        <x:f>IF(K600&lt;&gt;"미종결 표시","대상 아님",IF(N600="","신청일 확인",IF(NOT(ISNUMBER('종합 현황'!$H$5)),"관찰기준 확인",IF('종합 현황'!$H$5&lt;1,"관찰기준 확인",IF(N600&gt;'종합 현황'!$H$5,"내부 관찰 대상","내부 관찰일 이하")))))</x:f>
        <x:v>대상 아님</x:v>
      </x:c>
      <x:c r="AB600" s="2"/>
    </x:row>
    <x:row r="601" ht="42" customHeight="1">
      <x:c r="A601" s="2" t="str">
        <x:v>ad2c086f764699b334e105be</x:v>
      </x:c>
      <x:c r="B601" s="2" t="str">
        <x:v>사업 평가</x:v>
      </x:c>
      <x:c r="C601" s="2" t="str">
        <x:v>국내</x:v>
      </x:c>
      <x:c r="D601" s="7" t="str">
        <x:v>동양테크윈 전력절감설비 교체 사업</x:v>
      </x:c>
      <x:c r="E601" s="2" t="str">
        <x:v>462</x:v>
      </x:c>
      <x:c r="F601" s="2" t="str">
        <x:v>2019-10-28</x:v>
      </x:c>
      <x:c r="G601" s="2" t="str">
        <x:v>2019</x:v>
      </x:c>
      <x:c r="H601" s="2" t="str">
        <x:v>10</x:v>
      </x:c>
      <x:c r="I601" s="2" t="str">
        <x:v>반려</x:v>
      </x:c>
      <x:c r="J601" s="2" t="str">
        <x:v>반려</x:v>
      </x:c>
      <x:c r="K601" s="2" t="str">
        <x:f>IF(OR(J601="심의승인",J601="반려",J601="반려완료",J601="심의완료"),"종결 표시",IF(OR(J601="기후부협의",J601="문서재제출요청",J601="보류",J601="보완요청",J601="보완완료",J601="평가중",J601="반려요청",J601="평가필요",LEFT(J601,5)="보완요청("),"미종결 표시","상태 확인 필요"))</x:f>
        <x:v>종결 표시</x:v>
      </x:c>
      <x:c r="L601" s="2"/>
      <x:c r="M601" s="2"/>
      <x:c r="N601" s="8" t="n">
        <x:f>DATE(2026,10,15)-DATE(2019,10,28)</x:f>
        <x:v>2544</x:v>
      </x:c>
      <x:c r="O601" s="2"/>
      <x:c r="P601" s="2"/>
      <x:c r="Q601" s="2" t="str">
        <x:v>산업전환_외부사업관리Tool_260707_이너젠 수정_LJY_261013.xlsx</x:v>
      </x:c>
      <x:c r="R601" s="2" t="str">
        <x:v>국내평가</x:v>
      </x:c>
      <x:c r="S601" s="8" t="n">
        <x:v>504</x:v>
      </x:c>
      <x:c r="T601" s="2" t="str">
        <x:v>2021년 처리</x:v>
      </x:c>
      <x:c r="U601" s="2" t="str">
        <x:v>2021 배정: 2021년 처리</x:v>
      </x:c>
      <x:c r="V601" s="2" t="str">
        <x:v>2021-05-28</x:v>
      </x:c>
      <x:c r="W601" s="2" t="str">
        <x:v>담당기관 확인</x:v>
      </x:c>
      <x:c r="X601" s="2" t="str">
        <x:v>원본·배정 기록 확인</x:v>
      </x:c>
      <x:c r="Y601" s="2" t="str">
        <x:v>ad210cd9ec132cfd447541c8984dc53d30aff0f4fb2dc92d254d49275cc55976</x:v>
      </x:c>
      <x:c r="Z601" s="2" t="n">
        <x:f>SUBTOTAL(103,A601)</x:f>
        <x:v>1</x:v>
      </x:c>
      <x:c r="AA601" s="2" t="str">
        <x:f>IF(K601&lt;&gt;"미종결 표시","대상 아님",IF(N601="","신청일 확인",IF(NOT(ISNUMBER('종합 현황'!$H$5)),"관찰기준 확인",IF('종합 현황'!$H$5&lt;1,"관찰기준 확인",IF(N601&gt;'종합 현황'!$H$5,"내부 관찰 대상","내부 관찰일 이하")))))</x:f>
        <x:v>대상 아님</x:v>
      </x:c>
      <x:c r="AB601" s="2"/>
    </x:row>
    <x:row r="602" ht="42" customHeight="1">
      <x:c r="A602" s="2" t="str">
        <x:v>abc026cc8b0c1fbbf39318a6</x:v>
      </x:c>
      <x:c r="B602" s="2" t="str">
        <x:v>사업 평가</x:v>
      </x:c>
      <x:c r="C602" s="2" t="str">
        <x:v>국내</x:v>
      </x:c>
      <x:c r="D602" s="7" t="str">
        <x:v>금강금속도금 전력절감설비 교체 사업</x:v>
      </x:c>
      <x:c r="E602" s="2" t="str">
        <x:v>463</x:v>
      </x:c>
      <x:c r="F602" s="2" t="str">
        <x:v>2019-10-28</x:v>
      </x:c>
      <x:c r="G602" s="2" t="str">
        <x:v>2019</x:v>
      </x:c>
      <x:c r="H602" s="2" t="str">
        <x:v>10</x:v>
      </x:c>
      <x:c r="I602" s="2" t="str">
        <x:v>반려</x:v>
      </x:c>
      <x:c r="J602" s="2" t="str">
        <x:v>반려</x:v>
      </x:c>
      <x:c r="K602" s="2" t="str">
        <x:f>IF(OR(J602="심의승인",J602="반려",J602="반려완료",J602="심의완료"),"종결 표시",IF(OR(J602="기후부협의",J602="문서재제출요청",J602="보류",J602="보완요청",J602="보완완료",J602="평가중",J602="반려요청",J602="평가필요",LEFT(J602,5)="보완요청("),"미종결 표시","상태 확인 필요"))</x:f>
        <x:v>종결 표시</x:v>
      </x:c>
      <x:c r="L602" s="2"/>
      <x:c r="M602" s="2"/>
      <x:c r="N602" s="8" t="n">
        <x:f>DATE(2026,10,15)-DATE(2019,10,28)</x:f>
        <x:v>2544</x:v>
      </x:c>
      <x:c r="O602" s="2"/>
      <x:c r="P602" s="2"/>
      <x:c r="Q602" s="2" t="str">
        <x:v>산업전환_외부사업관리Tool_260707_이너젠 수정_LJY_261013.xlsx</x:v>
      </x:c>
      <x:c r="R602" s="2" t="str">
        <x:v>국내평가</x:v>
      </x:c>
      <x:c r="S602" s="8" t="n">
        <x:v>505</x:v>
      </x:c>
      <x:c r="T602" s="2" t="str">
        <x:v>2021년 처리</x:v>
      </x:c>
      <x:c r="U602" s="2" t="str">
        <x:v>2021 배정: 2021년 처리</x:v>
      </x:c>
      <x:c r="V602" s="2" t="str">
        <x:v>2021-05-28</x:v>
      </x:c>
      <x:c r="W602" s="2" t="str">
        <x:v>담당기관 확인</x:v>
      </x:c>
      <x:c r="X602" s="2" t="str">
        <x:v>원본·배정 기록 확인</x:v>
      </x:c>
      <x:c r="Y602" s="2" t="str">
        <x:v>ad210cd9ec132cfd447541c8984dc53d30aff0f4fb2dc92d254d49275cc55976</x:v>
      </x:c>
      <x:c r="Z602" s="2" t="n">
        <x:f>SUBTOTAL(103,A602)</x:f>
        <x:v>1</x:v>
      </x:c>
      <x:c r="AA602" s="2" t="str">
        <x:f>IF(K602&lt;&gt;"미종결 표시","대상 아님",IF(N602="","신청일 확인",IF(NOT(ISNUMBER('종합 현황'!$H$5)),"관찰기준 확인",IF('종합 현황'!$H$5&lt;1,"관찰기준 확인",IF(N602&gt;'종합 현황'!$H$5,"내부 관찰 대상","내부 관찰일 이하")))))</x:f>
        <x:v>대상 아님</x:v>
      </x:c>
      <x:c r="AB602" s="2"/>
    </x:row>
    <x:row r="603" ht="42" customHeight="1">
      <x:c r="A603" s="2" t="str">
        <x:v>c662b4ff609da8d127d90abd</x:v>
      </x:c>
      <x:c r="B603" s="2" t="str">
        <x:v>사업 평가</x:v>
      </x:c>
      <x:c r="C603" s="2" t="str">
        <x:v>국내</x:v>
      </x:c>
      <x:c r="D603" s="7" t="str">
        <x:v>우신이엔지 전력절감설비 교체 사업</x:v>
      </x:c>
      <x:c r="E603" s="2" t="str">
        <x:v>464</x:v>
      </x:c>
      <x:c r="F603" s="2" t="str">
        <x:v>2019-10-28</x:v>
      </x:c>
      <x:c r="G603" s="2" t="str">
        <x:v>2019</x:v>
      </x:c>
      <x:c r="H603" s="2" t="str">
        <x:v>10</x:v>
      </x:c>
      <x:c r="I603" s="2" t="str">
        <x:v>반려</x:v>
      </x:c>
      <x:c r="J603" s="2" t="str">
        <x:v>반려</x:v>
      </x:c>
      <x:c r="K603" s="2" t="str">
        <x:f>IF(OR(J603="심의승인",J603="반려",J603="반려완료",J603="심의완료"),"종결 표시",IF(OR(J603="기후부협의",J603="문서재제출요청",J603="보류",J603="보완요청",J603="보완완료",J603="평가중",J603="반려요청",J603="평가필요",LEFT(J603,5)="보완요청("),"미종결 표시","상태 확인 필요"))</x:f>
        <x:v>종결 표시</x:v>
      </x:c>
      <x:c r="L603" s="2"/>
      <x:c r="M603" s="2"/>
      <x:c r="N603" s="8" t="n">
        <x:f>DATE(2026,10,15)-DATE(2019,10,28)</x:f>
        <x:v>2544</x:v>
      </x:c>
      <x:c r="O603" s="2"/>
      <x:c r="P603" s="2"/>
      <x:c r="Q603" s="2" t="str">
        <x:v>산업전환_외부사업관리Tool_260707_이너젠 수정_LJY_261013.xlsx</x:v>
      </x:c>
      <x:c r="R603" s="2" t="str">
        <x:v>국내평가</x:v>
      </x:c>
      <x:c r="S603" s="8" t="n">
        <x:v>506</x:v>
      </x:c>
      <x:c r="T603" s="2" t="str">
        <x:v>2021년 처리</x:v>
      </x:c>
      <x:c r="U603" s="2" t="str">
        <x:v>2021 배정: 2021년 처리</x:v>
      </x:c>
      <x:c r="V603" s="2" t="str">
        <x:v>2021-05-28</x:v>
      </x:c>
      <x:c r="W603" s="2" t="str">
        <x:v>담당기관 확인</x:v>
      </x:c>
      <x:c r="X603" s="2" t="str">
        <x:v>원본·배정 기록 확인</x:v>
      </x:c>
      <x:c r="Y603" s="2" t="str">
        <x:v>ad210cd9ec132cfd447541c8984dc53d30aff0f4fb2dc92d254d49275cc55976</x:v>
      </x:c>
      <x:c r="Z603" s="2" t="n">
        <x:f>SUBTOTAL(103,A603)</x:f>
        <x:v>1</x:v>
      </x:c>
      <x:c r="AA603" s="2" t="str">
        <x:f>IF(K603&lt;&gt;"미종결 표시","대상 아님",IF(N603="","신청일 확인",IF(NOT(ISNUMBER('종합 현황'!$H$5)),"관찰기준 확인",IF('종합 현황'!$H$5&lt;1,"관찰기준 확인",IF(N603&gt;'종합 현황'!$H$5,"내부 관찰 대상","내부 관찰일 이하")))))</x:f>
        <x:v>대상 아님</x:v>
      </x:c>
      <x:c r="AB603" s="2"/>
    </x:row>
    <x:row r="604" ht="42" customHeight="1">
      <x:c r="A604" s="2" t="str">
        <x:v>436ae9bcbf4e7a490022f75b</x:v>
      </x:c>
      <x:c r="B604" s="2" t="str">
        <x:v>사업 평가</x:v>
      </x:c>
      <x:c r="C604" s="2" t="str">
        <x:v>국내</x:v>
      </x:c>
      <x:c r="D604" s="7" t="str">
        <x:v>(주)세명기업_고효율 인버터형 공기압축기 교체를 통한 온실가스 감축사업</x:v>
      </x:c>
      <x:c r="E604" s="2" t="str">
        <x:v>465</x:v>
      </x:c>
      <x:c r="F604" s="2" t="str">
        <x:v>2019-10-30</x:v>
      </x:c>
      <x:c r="G604" s="2" t="str">
        <x:v>2019</x:v>
      </x:c>
      <x:c r="H604" s="2" t="str">
        <x:v>10</x:v>
      </x:c>
      <x:c r="I604" s="2" t="str">
        <x:v>반려</x:v>
      </x:c>
      <x:c r="J604" s="2" t="str">
        <x:v>반려</x:v>
      </x:c>
      <x:c r="K604" s="2" t="str">
        <x:f>IF(OR(J604="심의승인",J604="반려",J604="반려완료",J604="심의완료"),"종결 표시",IF(OR(J604="기후부협의",J604="문서재제출요청",J604="보류",J604="보완요청",J604="보완완료",J604="평가중",J604="반려요청",J604="평가필요",LEFT(J604,5)="보완요청("),"미종결 표시","상태 확인 필요"))</x:f>
        <x:v>종결 표시</x:v>
      </x:c>
      <x:c r="L604" s="2"/>
      <x:c r="M604" s="2"/>
      <x:c r="N604" s="8" t="n">
        <x:f>DATE(2026,10,15)-DATE(2019,10,30)</x:f>
        <x:v>2542</x:v>
      </x:c>
      <x:c r="O604" s="2"/>
      <x:c r="P604" s="2"/>
      <x:c r="Q604" s="2" t="str">
        <x:v>산업전환_외부사업관리Tool_260707_이너젠 수정_LJY_261013.xlsx</x:v>
      </x:c>
      <x:c r="R604" s="2" t="str">
        <x:v>국내평가</x:v>
      </x:c>
      <x:c r="S604" s="8" t="n">
        <x:v>507</x:v>
      </x:c>
      <x:c r="T604" s="2" t="str">
        <x:v>2021년 처리</x:v>
      </x:c>
      <x:c r="U604" s="2" t="str">
        <x:v>2021 배정: 2021년 처리</x:v>
      </x:c>
      <x:c r="V604" s="2" t="str">
        <x:v>2021-07-20</x:v>
      </x:c>
      <x:c r="W604" s="2" t="str">
        <x:v>담당기관 확인</x:v>
      </x:c>
      <x:c r="X604" s="2" t="str">
        <x:v>원본·배정 기록 확인</x:v>
      </x:c>
      <x:c r="Y604" s="2" t="str">
        <x:v>ad210cd9ec132cfd447541c8984dc53d30aff0f4fb2dc92d254d49275cc55976</x:v>
      </x:c>
      <x:c r="Z604" s="2" t="n">
        <x:f>SUBTOTAL(103,A604)</x:f>
        <x:v>1</x:v>
      </x:c>
      <x:c r="AA604" s="2" t="str">
        <x:f>IF(K604&lt;&gt;"미종결 표시","대상 아님",IF(N604="","신청일 확인",IF(NOT(ISNUMBER('종합 현황'!$H$5)),"관찰기준 확인",IF('종합 현황'!$H$5&lt;1,"관찰기준 확인",IF(N604&gt;'종합 현황'!$H$5,"내부 관찰 대상","내부 관찰일 이하")))))</x:f>
        <x:v>대상 아님</x:v>
      </x:c>
      <x:c r="AB604" s="2"/>
    </x:row>
    <x:row r="605" ht="42" customHeight="1">
      <x:c r="A605" s="2" t="str">
        <x:v>1d03592f82306bd44afa9002</x:v>
      </x:c>
      <x:c r="B605" s="2" t="str">
        <x:v>사업 평가</x:v>
      </x:c>
      <x:c r="C605" s="2" t="str">
        <x:v>국내</x:v>
      </x:c>
      <x:c r="D605" s="7" t="str">
        <x:v>용탕온도관리시스템 도입을 통한 온실가스 감축 사업</x:v>
      </x:c>
      <x:c r="E605" s="2" t="str">
        <x:v>466</x:v>
      </x:c>
      <x:c r="F605" s="2" t="str">
        <x:v>2019-11-01</x:v>
      </x:c>
      <x:c r="G605" s="2" t="str">
        <x:v>2019</x:v>
      </x:c>
      <x:c r="H605" s="2" t="str">
        <x:v>11</x:v>
      </x:c>
      <x:c r="I605" s="2" t="str">
        <x:v>반려</x:v>
      </x:c>
      <x:c r="J605" s="2" t="str">
        <x:v>반려</x:v>
      </x:c>
      <x:c r="K605" s="2" t="str">
        <x:f>IF(OR(J605="심의승인",J605="반려",J605="반려완료",J605="심의완료"),"종결 표시",IF(OR(J605="기후부협의",J605="문서재제출요청",J605="보류",J605="보완요청",J605="보완완료",J605="평가중",J605="반려요청",J605="평가필요",LEFT(J605,5)="보완요청("),"미종결 표시","상태 확인 필요"))</x:f>
        <x:v>종결 표시</x:v>
      </x:c>
      <x:c r="L605" s="2"/>
      <x:c r="M605" s="2"/>
      <x:c r="N605" s="8" t="n">
        <x:f>DATE(2026,10,15)-DATE(2019,11,1)</x:f>
        <x:v>2540</x:v>
      </x:c>
      <x:c r="O605" s="2"/>
      <x:c r="P605" s="2"/>
      <x:c r="Q605" s="2" t="str">
        <x:v>산업전환_외부사업관리Tool_260707_이너젠 수정_LJY_261013.xlsx</x:v>
      </x:c>
      <x:c r="R605" s="2" t="str">
        <x:v>국내평가</x:v>
      </x:c>
      <x:c r="S605" s="8" t="n">
        <x:v>508</x:v>
      </x:c>
      <x:c r="T605" s="2" t="str">
        <x:v>2021년 처리</x:v>
      </x:c>
      <x:c r="U605" s="2" t="str">
        <x:v>2021 배정: 2021년 처리</x:v>
      </x:c>
      <x:c r="V605" s="2" t="str">
        <x:v>2021-06-07</x:v>
      </x:c>
      <x:c r="W605" s="2" t="str">
        <x:v>담당기관 확인</x:v>
      </x:c>
      <x:c r="X605" s="2" t="str">
        <x:v>원본·배정 기록 확인</x:v>
      </x:c>
      <x:c r="Y605" s="2" t="str">
        <x:v>ad210cd9ec132cfd447541c8984dc53d30aff0f4fb2dc92d254d49275cc55976</x:v>
      </x:c>
      <x:c r="Z605" s="2" t="n">
        <x:f>SUBTOTAL(103,A605)</x:f>
        <x:v>1</x:v>
      </x:c>
      <x:c r="AA605" s="2" t="str">
        <x:f>IF(K605&lt;&gt;"미종결 표시","대상 아님",IF(N605="","신청일 확인",IF(NOT(ISNUMBER('종합 현황'!$H$5)),"관찰기준 확인",IF('종합 현황'!$H$5&lt;1,"관찰기준 확인",IF(N605&gt;'종합 현황'!$H$5,"내부 관찰 대상","내부 관찰일 이하")))))</x:f>
        <x:v>대상 아님</x:v>
      </x:c>
      <x:c r="AB605" s="2"/>
    </x:row>
    <x:row r="606" ht="42" customHeight="1">
      <x:c r="A606" s="2" t="str">
        <x:v>319308525f788479e83aff7b</x:v>
      </x:c>
      <x:c r="B606" s="2" t="str">
        <x:v>사업 평가</x:v>
      </x:c>
      <x:c r="C606" s="2" t="str">
        <x:v>국내</x:v>
      </x:c>
      <x:c r="D606" s="7" t="str">
        <x:v>용탕온도관리시스템 도입을 통한 온실가스 감축 사업</x:v>
      </x:c>
      <x:c r="E606" s="2" t="str">
        <x:v>467</x:v>
      </x:c>
      <x:c r="F606" s="2" t="str">
        <x:v>2019-11-01</x:v>
      </x:c>
      <x:c r="G606" s="2" t="str">
        <x:v>2019</x:v>
      </x:c>
      <x:c r="H606" s="2" t="str">
        <x:v>11</x:v>
      </x:c>
      <x:c r="I606" s="2" t="str">
        <x:v>반려</x:v>
      </x:c>
      <x:c r="J606" s="2" t="str">
        <x:v>반려</x:v>
      </x:c>
      <x:c r="K606" s="2" t="str">
        <x:f>IF(OR(J606="심의승인",J606="반려",J606="반려완료",J606="심의완료"),"종결 표시",IF(OR(J606="기후부협의",J606="문서재제출요청",J606="보류",J606="보완요청",J606="보완완료",J606="평가중",J606="반려요청",J606="평가필요",LEFT(J606,5)="보완요청("),"미종결 표시","상태 확인 필요"))</x:f>
        <x:v>종결 표시</x:v>
      </x:c>
      <x:c r="L606" s="2"/>
      <x:c r="M606" s="2"/>
      <x:c r="N606" s="8" t="n">
        <x:f>DATE(2026,10,15)-DATE(2019,11,1)</x:f>
        <x:v>2540</x:v>
      </x:c>
      <x:c r="O606" s="2"/>
      <x:c r="P606" s="2"/>
      <x:c r="Q606" s="2" t="str">
        <x:v>산업전환_외부사업관리Tool_260707_이너젠 수정_LJY_261013.xlsx</x:v>
      </x:c>
      <x:c r="R606" s="2" t="str">
        <x:v>국내평가</x:v>
      </x:c>
      <x:c r="S606" s="8" t="n">
        <x:v>509</x:v>
      </x:c>
      <x:c r="T606" s="2" t="str">
        <x:v>2021년 처리</x:v>
      </x:c>
      <x:c r="U606" s="2" t="str">
        <x:v>2021 배정: 2021년 처리</x:v>
      </x:c>
      <x:c r="V606" s="2" t="str">
        <x:v>2021-06-07</x:v>
      </x:c>
      <x:c r="W606" s="2" t="str">
        <x:v>담당기관 확인</x:v>
      </x:c>
      <x:c r="X606" s="2" t="str">
        <x:v>원본·배정 기록 확인</x:v>
      </x:c>
      <x:c r="Y606" s="2" t="str">
        <x:v>ad210cd9ec132cfd447541c8984dc53d30aff0f4fb2dc92d254d49275cc55976</x:v>
      </x:c>
      <x:c r="Z606" s="2" t="n">
        <x:f>SUBTOTAL(103,A606)</x:f>
        <x:v>1</x:v>
      </x:c>
      <x:c r="AA606" s="2" t="str">
        <x:f>IF(K606&lt;&gt;"미종결 표시","대상 아님",IF(N606="","신청일 확인",IF(NOT(ISNUMBER('종합 현황'!$H$5)),"관찰기준 확인",IF('종합 현황'!$H$5&lt;1,"관찰기준 확인",IF(N606&gt;'종합 현황'!$H$5,"내부 관찰 대상","내부 관찰일 이하")))))</x:f>
        <x:v>대상 아님</x:v>
      </x:c>
      <x:c r="AB606" s="2"/>
    </x:row>
    <x:row r="607" ht="42" customHeight="1">
      <x:c r="A607" s="2" t="str">
        <x:v>dacb10d3824c72c1aae559d5</x:v>
      </x:c>
      <x:c r="B607" s="2" t="str">
        <x:v>사업 평가</x:v>
      </x:c>
      <x:c r="C607" s="2" t="str">
        <x:v>국내</x:v>
      </x:c>
      <x:c r="D607" s="7" t="str">
        <x:v>용탕온도관리시스템 도입을 통한 온실가스 감축 사업</x:v>
      </x:c>
      <x:c r="E607" s="2" t="str">
        <x:v>468</x:v>
      </x:c>
      <x:c r="F607" s="2" t="str">
        <x:v>2019-11-01</x:v>
      </x:c>
      <x:c r="G607" s="2" t="str">
        <x:v>2019</x:v>
      </x:c>
      <x:c r="H607" s="2" t="str">
        <x:v>11</x:v>
      </x:c>
      <x:c r="I607" s="2" t="str">
        <x:v>반려</x:v>
      </x:c>
      <x:c r="J607" s="2" t="str">
        <x:v>반려</x:v>
      </x:c>
      <x:c r="K607" s="2" t="str">
        <x:f>IF(OR(J607="심의승인",J607="반려",J607="반려완료",J607="심의완료"),"종결 표시",IF(OR(J607="기후부협의",J607="문서재제출요청",J607="보류",J607="보완요청",J607="보완완료",J607="평가중",J607="반려요청",J607="평가필요",LEFT(J607,5)="보완요청("),"미종결 표시","상태 확인 필요"))</x:f>
        <x:v>종결 표시</x:v>
      </x:c>
      <x:c r="L607" s="2"/>
      <x:c r="M607" s="2"/>
      <x:c r="N607" s="8" t="n">
        <x:f>DATE(2026,10,15)-DATE(2019,11,1)</x:f>
        <x:v>2540</x:v>
      </x:c>
      <x:c r="O607" s="2"/>
      <x:c r="P607" s="2"/>
      <x:c r="Q607" s="2" t="str">
        <x:v>산업전환_외부사업관리Tool_260707_이너젠 수정_LJY_261013.xlsx</x:v>
      </x:c>
      <x:c r="R607" s="2" t="str">
        <x:v>국내평가</x:v>
      </x:c>
      <x:c r="S607" s="8" t="n">
        <x:v>510</x:v>
      </x:c>
      <x:c r="T607" s="2" t="str">
        <x:v>2021년 처리</x:v>
      </x:c>
      <x:c r="U607" s="2" t="str">
        <x:v>2021 배정: 2021년 처리</x:v>
      </x:c>
      <x:c r="V607" s="2" t="str">
        <x:v>2021-06-07</x:v>
      </x:c>
      <x:c r="W607" s="2" t="str">
        <x:v>담당기관 확인</x:v>
      </x:c>
      <x:c r="X607" s="2" t="str">
        <x:v>원본·배정 기록 확인</x:v>
      </x:c>
      <x:c r="Y607" s="2" t="str">
        <x:v>ad210cd9ec132cfd447541c8984dc53d30aff0f4fb2dc92d254d49275cc55976</x:v>
      </x:c>
      <x:c r="Z607" s="2" t="n">
        <x:f>SUBTOTAL(103,A607)</x:f>
        <x:v>1</x:v>
      </x:c>
      <x:c r="AA607" s="2" t="str">
        <x:f>IF(K607&lt;&gt;"미종결 표시","대상 아님",IF(N607="","신청일 확인",IF(NOT(ISNUMBER('종합 현황'!$H$5)),"관찰기준 확인",IF('종합 현황'!$H$5&lt;1,"관찰기준 확인",IF(N607&gt;'종합 현황'!$H$5,"내부 관찰 대상","내부 관찰일 이하")))))</x:f>
        <x:v>대상 아님</x:v>
      </x:c>
      <x:c r="AB607" s="2"/>
    </x:row>
    <x:row r="608" ht="42" customHeight="1">
      <x:c r="A608" s="2" t="str">
        <x:v>1f7c113f07bb1567a6ad001e</x:v>
      </x:c>
      <x:c r="B608" s="2" t="str">
        <x:v>사업 평가</x:v>
      </x:c>
      <x:c r="C608" s="2" t="str">
        <x:v>국내</x:v>
      </x:c>
      <x:c r="D608" s="7" t="str">
        <x:v>용탕온도관리시스템 도입을 통한 온실가스 감축 사업</x:v>
      </x:c>
      <x:c r="E608" s="2" t="str">
        <x:v>469</x:v>
      </x:c>
      <x:c r="F608" s="2" t="str">
        <x:v>2019-11-01</x:v>
      </x:c>
      <x:c r="G608" s="2" t="str">
        <x:v>2019</x:v>
      </x:c>
      <x:c r="H608" s="2" t="str">
        <x:v>11</x:v>
      </x:c>
      <x:c r="I608" s="2" t="str">
        <x:v>반려</x:v>
      </x:c>
      <x:c r="J608" s="2" t="str">
        <x:v>반려</x:v>
      </x:c>
      <x:c r="K608" s="2" t="str">
        <x:f>IF(OR(J608="심의승인",J608="반려",J608="반려완료",J608="심의완료"),"종결 표시",IF(OR(J608="기후부협의",J608="문서재제출요청",J608="보류",J608="보완요청",J608="보완완료",J608="평가중",J608="반려요청",J608="평가필요",LEFT(J608,5)="보완요청("),"미종결 표시","상태 확인 필요"))</x:f>
        <x:v>종결 표시</x:v>
      </x:c>
      <x:c r="L608" s="2"/>
      <x:c r="M608" s="2"/>
      <x:c r="N608" s="8" t="n">
        <x:f>DATE(2026,10,15)-DATE(2019,11,1)</x:f>
        <x:v>2540</x:v>
      </x:c>
      <x:c r="O608" s="2"/>
      <x:c r="P608" s="2"/>
      <x:c r="Q608" s="2" t="str">
        <x:v>산업전환_외부사업관리Tool_260707_이너젠 수정_LJY_261013.xlsx</x:v>
      </x:c>
      <x:c r="R608" s="2" t="str">
        <x:v>국내평가</x:v>
      </x:c>
      <x:c r="S608" s="8" t="n">
        <x:v>511</x:v>
      </x:c>
      <x:c r="T608" s="2" t="str">
        <x:v>2021년 처리</x:v>
      </x:c>
      <x:c r="U608" s="2" t="str">
        <x:v>2021 배정: 2021년 처리</x:v>
      </x:c>
      <x:c r="V608" s="2" t="str">
        <x:v>2021-06-07</x:v>
      </x:c>
      <x:c r="W608" s="2" t="str">
        <x:v>담당기관 확인</x:v>
      </x:c>
      <x:c r="X608" s="2" t="str">
        <x:v>원본·배정 기록 확인</x:v>
      </x:c>
      <x:c r="Y608" s="2" t="str">
        <x:v>ad210cd9ec132cfd447541c8984dc53d30aff0f4fb2dc92d254d49275cc55976</x:v>
      </x:c>
      <x:c r="Z608" s="2" t="n">
        <x:f>SUBTOTAL(103,A608)</x:f>
        <x:v>1</x:v>
      </x:c>
      <x:c r="AA608" s="2" t="str">
        <x:f>IF(K608&lt;&gt;"미종결 표시","대상 아님",IF(N608="","신청일 확인",IF(NOT(ISNUMBER('종합 현황'!$H$5)),"관찰기준 확인",IF('종합 현황'!$H$5&lt;1,"관찰기준 확인",IF(N608&gt;'종합 현황'!$H$5,"내부 관찰 대상","내부 관찰일 이하")))))</x:f>
        <x:v>대상 아님</x:v>
      </x:c>
      <x:c r="AB608" s="2"/>
    </x:row>
    <x:row r="609" ht="42" customHeight="1">
      <x:c r="A609" s="2" t="str">
        <x:v>03253c80ecabdfa8a449e9d7</x:v>
      </x:c>
      <x:c r="B609" s="2" t="str">
        <x:v>사업 평가</x:v>
      </x:c>
      <x:c r="C609" s="2" t="str">
        <x:v>국내</x:v>
      </x:c>
      <x:c r="D609" s="7" t="str">
        <x:v>용탕온도관리시스템 도입을 통한 온실가스 감축 사업</x:v>
      </x:c>
      <x:c r="E609" s="2" t="str">
        <x:v>470</x:v>
      </x:c>
      <x:c r="F609" s="2" t="str">
        <x:v>2019-11-01</x:v>
      </x:c>
      <x:c r="G609" s="2" t="str">
        <x:v>2019</x:v>
      </x:c>
      <x:c r="H609" s="2" t="str">
        <x:v>11</x:v>
      </x:c>
      <x:c r="I609" s="2" t="str">
        <x:v>반려</x:v>
      </x:c>
      <x:c r="J609" s="2" t="str">
        <x:v>반려</x:v>
      </x:c>
      <x:c r="K609" s="2" t="str">
        <x:f>IF(OR(J609="심의승인",J609="반려",J609="반려완료",J609="심의완료"),"종결 표시",IF(OR(J609="기후부협의",J609="문서재제출요청",J609="보류",J609="보완요청",J609="보완완료",J609="평가중",J609="반려요청",J609="평가필요",LEFT(J609,5)="보완요청("),"미종결 표시","상태 확인 필요"))</x:f>
        <x:v>종결 표시</x:v>
      </x:c>
      <x:c r="L609" s="2"/>
      <x:c r="M609" s="2"/>
      <x:c r="N609" s="8" t="n">
        <x:f>DATE(2026,10,15)-DATE(2019,11,1)</x:f>
        <x:v>2540</x:v>
      </x:c>
      <x:c r="O609" s="2"/>
      <x:c r="P609" s="2"/>
      <x:c r="Q609" s="2" t="str">
        <x:v>산업전환_외부사업관리Tool_260707_이너젠 수정_LJY_261013.xlsx</x:v>
      </x:c>
      <x:c r="R609" s="2" t="str">
        <x:v>국내평가</x:v>
      </x:c>
      <x:c r="S609" s="8" t="n">
        <x:v>512</x:v>
      </x:c>
      <x:c r="T609" s="2" t="str">
        <x:v>2021년 처리</x:v>
      </x:c>
      <x:c r="U609" s="2" t="str">
        <x:v>2021 배정: 2021년 처리</x:v>
      </x:c>
      <x:c r="V609" s="2" t="str">
        <x:v>2021-06-07</x:v>
      </x:c>
      <x:c r="W609" s="2" t="str">
        <x:v>담당기관 확인</x:v>
      </x:c>
      <x:c r="X609" s="2" t="str">
        <x:v>원본·배정 기록 확인</x:v>
      </x:c>
      <x:c r="Y609" s="2" t="str">
        <x:v>ad210cd9ec132cfd447541c8984dc53d30aff0f4fb2dc92d254d49275cc55976</x:v>
      </x:c>
      <x:c r="Z609" s="2" t="n">
        <x:f>SUBTOTAL(103,A609)</x:f>
        <x:v>1</x:v>
      </x:c>
      <x:c r="AA609" s="2" t="str">
        <x:f>IF(K609&lt;&gt;"미종결 표시","대상 아님",IF(N609="","신청일 확인",IF(NOT(ISNUMBER('종합 현황'!$H$5)),"관찰기준 확인",IF('종합 현황'!$H$5&lt;1,"관찰기준 확인",IF(N609&gt;'종합 현황'!$H$5,"내부 관찰 대상","내부 관찰일 이하")))))</x:f>
        <x:v>대상 아님</x:v>
      </x:c>
      <x:c r="AB609" s="2"/>
    </x:row>
    <x:row r="610" ht="42" customHeight="1">
      <x:c r="A610" s="2" t="str">
        <x:v>83738ee61ec0a9d0275b26f5</x:v>
      </x:c>
      <x:c r="B610" s="2" t="str">
        <x:v>사업 평가</x:v>
      </x:c>
      <x:c r="C610" s="2" t="str">
        <x:v>국내</x:v>
      </x:c>
      <x:c r="D610" s="7" t="str">
        <x:v>(주)엘림 188.7kW 태양광 발전사업</x:v>
      </x:c>
      <x:c r="E610" s="2" t="str">
        <x:v>471</x:v>
      </x:c>
      <x:c r="F610" s="2" t="str">
        <x:v>2019-11-27</x:v>
      </x:c>
      <x:c r="G610" s="2" t="str">
        <x:v>2019</x:v>
      </x:c>
      <x:c r="H610" s="2" t="str">
        <x:v>11</x:v>
      </x:c>
      <x:c r="I610" s="2" t="str">
        <x:v>반려</x:v>
      </x:c>
      <x:c r="J610" s="2" t="str">
        <x:v>반려</x:v>
      </x:c>
      <x:c r="K610" s="2" t="str">
        <x:f>IF(OR(J610="심의승인",J610="반려",J610="반려완료",J610="심의완료"),"종결 표시",IF(OR(J610="기후부협의",J610="문서재제출요청",J610="보류",J610="보완요청",J610="보완완료",J610="평가중",J610="반려요청",J610="평가필요",LEFT(J610,5)="보완요청("),"미종결 표시","상태 확인 필요"))</x:f>
        <x:v>종결 표시</x:v>
      </x:c>
      <x:c r="L610" s="2"/>
      <x:c r="M610" s="2"/>
      <x:c r="N610" s="8" t="n">
        <x:f>DATE(2026,10,15)-DATE(2019,11,27)</x:f>
        <x:v>2514</x:v>
      </x:c>
      <x:c r="O610" s="2"/>
      <x:c r="P610" s="2"/>
      <x:c r="Q610" s="2" t="str">
        <x:v>산업전환_외부사업관리Tool_260707_이너젠 수정_LJY_261013.xlsx</x:v>
      </x:c>
      <x:c r="R610" s="2" t="str">
        <x:v>국내평가</x:v>
      </x:c>
      <x:c r="S610" s="8" t="n">
        <x:v>513</x:v>
      </x:c>
      <x:c r="T610" s="2" t="str">
        <x:v>2021년 처리</x:v>
      </x:c>
      <x:c r="U610" s="2" t="str">
        <x:v>2021 배정: 2021년 처리</x:v>
      </x:c>
      <x:c r="V610" s="2" t="str">
        <x:v>2021-11-03</x:v>
      </x:c>
      <x:c r="W610" s="2" t="str">
        <x:v>담당기관 확인</x:v>
      </x:c>
      <x:c r="X610" s="2" t="str">
        <x:v>원본·배정 기록 확인</x:v>
      </x:c>
      <x:c r="Y610" s="2" t="str">
        <x:v>ad210cd9ec132cfd447541c8984dc53d30aff0f4fb2dc92d254d49275cc55976</x:v>
      </x:c>
      <x:c r="Z610" s="2" t="n">
        <x:f>SUBTOTAL(103,A610)</x:f>
        <x:v>1</x:v>
      </x:c>
      <x:c r="AA610" s="2" t="str">
        <x:f>IF(K610&lt;&gt;"미종결 표시","대상 아님",IF(N610="","신청일 확인",IF(NOT(ISNUMBER('종합 현황'!$H$5)),"관찰기준 확인",IF('종합 현황'!$H$5&lt;1,"관찰기준 확인",IF(N610&gt;'종합 현황'!$H$5,"내부 관찰 대상","내부 관찰일 이하")))))</x:f>
        <x:v>대상 아님</x:v>
      </x:c>
      <x:c r="AB610" s="2"/>
    </x:row>
    <x:row r="611" ht="42" customHeight="1">
      <x:c r="A611" s="2" t="str">
        <x:v>057281bfb1805fdfface8b2c</x:v>
      </x:c>
      <x:c r="B611" s="2" t="str">
        <x:v>사업 평가</x:v>
      </x:c>
      <x:c r="C611" s="2" t="str">
        <x:v>국내</x:v>
      </x:c>
      <x:c r="D611" s="7" t="str">
        <x:v>대린테크(주)_고효율 공기압축기 교체를 통한 온실가스 감축사업</x:v>
      </x:c>
      <x:c r="E611" s="2" t="str">
        <x:v>472</x:v>
      </x:c>
      <x:c r="F611" s="2" t="str">
        <x:v>2019-10-30</x:v>
      </x:c>
      <x:c r="G611" s="2" t="str">
        <x:v>2019</x:v>
      </x:c>
      <x:c r="H611" s="2" t="str">
        <x:v>10</x:v>
      </x:c>
      <x:c r="I611" s="2" t="str">
        <x:v>승인</x:v>
      </x:c>
      <x:c r="J611" s="2" t="str">
        <x:v>심의승인</x:v>
      </x:c>
      <x:c r="K611" s="2" t="str">
        <x:f>IF(OR(J611="심의승인",J611="반려",J611="반려완료",J611="심의완료"),"종결 표시",IF(OR(J611="기후부협의",J611="문서재제출요청",J611="보류",J611="보완요청",J611="보완완료",J611="평가중",J611="반려요청",J611="평가필요",LEFT(J611,5)="보완요청("),"미종결 표시","상태 확인 필요"))</x:f>
        <x:v>종결 표시</x:v>
      </x:c>
      <x:c r="L611" s="2" t="str">
        <x:v>KECM_이태준</x:v>
      </x:c>
      <x:c r="M611" s="2"/>
      <x:c r="N611" s="8" t="n">
        <x:f>DATE(2026,10,15)-DATE(2019,10,30)</x:f>
        <x:v>2542</x:v>
      </x:c>
      <x:c r="O611" s="2" t="str">
        <x:v>O(21.08)</x:v>
      </x:c>
      <x:c r="P611" s="2" t="str">
        <x:v>1분기 인증위 승인</x:v>
      </x:c>
      <x:c r="Q611" s="2" t="str">
        <x:v>산업전환_외부사업관리Tool_260707_이너젠 수정_LJY_261013.xlsx</x:v>
      </x:c>
      <x:c r="R611" s="2" t="str">
        <x:v>국내평가</x:v>
      </x:c>
      <x:c r="S611" s="8" t="n">
        <x:v>514</x:v>
      </x:c>
      <x:c r="T611" s="2" t="str">
        <x:v>(7/12),(9/1),(10/20)</x:v>
      </x:c>
      <x:c r="U611" s="2" t="str">
        <x:v>2021 배정: (7/12),(9/1),(10/20) / 2022 배정: (4/19) / 2022 배정(신규): (5/18),(8/16),(10/19)</x:v>
      </x:c>
      <x:c r="V611" s="2" t="str">
        <x:v>2023-04-19</x:v>
      </x:c>
      <x:c r="W611" s="2" t="str"/>
      <x:c r="X611" s="2" t="str">
        <x:v>종결 근거 보관</x:v>
      </x:c>
      <x:c r="Y611" s="2" t="str">
        <x:v>ad210cd9ec132cfd447541c8984dc53d30aff0f4fb2dc92d254d49275cc55976</x:v>
      </x:c>
      <x:c r="Z611" s="2" t="n">
        <x:f>SUBTOTAL(103,A611)</x:f>
        <x:v>1</x:v>
      </x:c>
      <x:c r="AA611" s="2" t="str">
        <x:f>IF(K611&lt;&gt;"미종결 표시","대상 아님",IF(N611="","신청일 확인",IF(NOT(ISNUMBER('종합 현황'!$H$5)),"관찰기준 확인",IF('종합 현황'!$H$5&lt;1,"관찰기준 확인",IF(N611&gt;'종합 현황'!$H$5,"내부 관찰 대상","내부 관찰일 이하")))))</x:f>
        <x:v>대상 아님</x:v>
      </x:c>
      <x:c r="AB611" s="2"/>
    </x:row>
    <x:row r="612" ht="42" customHeight="1">
      <x:c r="A612" s="2" t="str">
        <x:v>efcaef9157d80ba80385223b</x:v>
      </x:c>
      <x:c r="B612" s="2" t="str">
        <x:v>사업 평가</x:v>
      </x:c>
      <x:c r="C612" s="2" t="str">
        <x:v>국내</x:v>
      </x:c>
      <x:c r="D612" s="7" t="str">
        <x:v>대경TC_고효율 공기압축기 교체를 통한 온실가스 감축사업</x:v>
      </x:c>
      <x:c r="E612" s="2" t="str">
        <x:v>473</x:v>
      </x:c>
      <x:c r="F612" s="2" t="str">
        <x:v>2019-10-30</x:v>
      </x:c>
      <x:c r="G612" s="2" t="str">
        <x:v>2019</x:v>
      </x:c>
      <x:c r="H612" s="2" t="str">
        <x:v>10</x:v>
      </x:c>
      <x:c r="I612" s="2" t="str">
        <x:v>승인</x:v>
      </x:c>
      <x:c r="J612" s="2" t="str">
        <x:v>심의승인</x:v>
      </x:c>
      <x:c r="K612" s="2" t="str">
        <x:f>IF(OR(J612="심의승인",J612="반려",J612="반려완료",J612="심의완료"),"종결 표시",IF(OR(J612="기후부협의",J612="문서재제출요청",J612="보류",J612="보완요청",J612="보완완료",J612="평가중",J612="반려요청",J612="평가필요",LEFT(J612,5)="보완요청("),"미종결 표시","상태 확인 필요"))</x:f>
        <x:v>종결 표시</x:v>
      </x:c>
      <x:c r="L612" s="2" t="str">
        <x:v>KECM_이태준</x:v>
      </x:c>
      <x:c r="M612" s="2"/>
      <x:c r="N612" s="8" t="n">
        <x:f>DATE(2026,10,15)-DATE(2019,10,30)</x:f>
        <x:v>2542</x:v>
      </x:c>
      <x:c r="O612" s="2" t="str">
        <x:v>O(21.08)</x:v>
      </x:c>
      <x:c r="P612" s="2" t="str">
        <x:v>1분기 인증위 승인</x:v>
      </x:c>
      <x:c r="Q612" s="2" t="str">
        <x:v>산업전환_외부사업관리Tool_260707_이너젠 수정_LJY_261013.xlsx</x:v>
      </x:c>
      <x:c r="R612" s="2" t="str">
        <x:v>국내평가</x:v>
      </x:c>
      <x:c r="S612" s="8" t="n">
        <x:v>515</x:v>
      </x:c>
      <x:c r="T612" s="2" t="str">
        <x:v>(7/12),(9/1),(10/20)</x:v>
      </x:c>
      <x:c r="U612" s="2" t="str">
        <x:v>2021 배정: (7/12),(9/1),(10/20) / 2022 배정: (4/19) / 2022 배정(신규): (5/18),(8/16),(9/19),(10/19)</x:v>
      </x:c>
      <x:c r="V612" s="2" t="str">
        <x:v>2023-04-19</x:v>
      </x:c>
      <x:c r="W612" s="2" t="str"/>
      <x:c r="X612" s="2" t="str">
        <x:v>종결 근거 보관</x:v>
      </x:c>
      <x:c r="Y612" s="2" t="str">
        <x:v>ad210cd9ec132cfd447541c8984dc53d30aff0f4fb2dc92d254d49275cc55976</x:v>
      </x:c>
      <x:c r="Z612" s="2" t="n">
        <x:f>SUBTOTAL(103,A612)</x:f>
        <x:v>1</x:v>
      </x:c>
      <x:c r="AA612" s="2" t="str">
        <x:f>IF(K612&lt;&gt;"미종결 표시","대상 아님",IF(N612="","신청일 확인",IF(NOT(ISNUMBER('종합 현황'!$H$5)),"관찰기준 확인",IF('종합 현황'!$H$5&lt;1,"관찰기준 확인",IF(N612&gt;'종합 현황'!$H$5,"내부 관찰 대상","내부 관찰일 이하")))))</x:f>
        <x:v>대상 아님</x:v>
      </x:c>
      <x:c r="AB612" s="2"/>
    </x:row>
    <x:row r="613" ht="42" customHeight="1">
      <x:c r="A613" s="2" t="str">
        <x:v>2fa4f644dfb04a5f64b8725d</x:v>
      </x:c>
      <x:c r="B613" s="2" t="str">
        <x:v>사업 평가</x:v>
      </x:c>
      <x:c r="C613" s="2" t="str">
        <x:v>국내</x:v>
      </x:c>
      <x:c r="D613" s="7" t="str">
        <x:v>㈜서대구에너지의 집단에너지 열공급시설에서 목질계 바이오매스 연료를 이용하여 생산된 열에너지 공급을 통한 수용가의 화석연료 사용량 절감사업</x:v>
      </x:c>
      <x:c r="E613" s="2" t="str">
        <x:v>474</x:v>
      </x:c>
      <x:c r="F613" s="2" t="str">
        <x:v>2017-08-28</x:v>
      </x:c>
      <x:c r="G613" s="2" t="str">
        <x:v>2017</x:v>
      </x:c>
      <x:c r="H613" s="2" t="str">
        <x:v>08</x:v>
      </x:c>
      <x:c r="I613" s="2" t="str">
        <x:v>승인</x:v>
      </x:c>
      <x:c r="J613" s="2" t="str">
        <x:v>심의승인</x:v>
      </x:c>
      <x:c r="K613" s="2" t="str">
        <x:f>IF(OR(J613="심의승인",J613="반려",J613="반려완료",J613="심의완료"),"종결 표시",IF(OR(J613="기후부협의",J613="문서재제출요청",J613="보류",J613="보완요청",J613="보완완료",J613="평가중",J613="반려요청",J613="평가필요",LEFT(J613,5)="보완요청("),"미종결 표시","상태 확인 필요"))</x:f>
        <x:v>종결 표시</x:v>
      </x:c>
      <x:c r="L613" s="2" t="str">
        <x:v>KFQ_이석원,에코시안_정인혜,조영우</x:v>
      </x:c>
      <x:c r="M613" s="2"/>
      <x:c r="N613" s="8" t="n">
        <x:f>DATE(2026,10,15)-DATE(2017,8,28)</x:f>
        <x:v>3335</x:v>
      </x:c>
      <x:c r="O613" s="2" t="str">
        <x:v>O(6월)</x:v>
      </x:c>
      <x:c r="P613" s="2"/>
      <x:c r="Q613" s="2" t="str">
        <x:v>산업전환_외부사업관리Tool_260707_이너젠 수정_LJY_261013.xlsx</x:v>
      </x:c>
      <x:c r="R613" s="2" t="str">
        <x:v>국내평가</x:v>
      </x:c>
      <x:c r="S613" s="8" t="n">
        <x:v>516</x:v>
      </x:c>
      <x:c r="T613" s="2" t="str">
        <x:v>(5/26),(12/1)</x:v>
      </x:c>
      <x:c r="U613" s="2" t="str">
        <x:v>2021 배정: (5/26),(12/1) / 2022 배정: (1/18),(3/16)</x:v>
      </x:c>
      <x:c r="V613" s="2" t="str">
        <x:v>2022-10-11</x:v>
      </x:c>
      <x:c r="W613" s="2" t="str"/>
      <x:c r="X613" s="2" t="str">
        <x:v>종결 근거 보관</x:v>
      </x:c>
      <x:c r="Y613" s="2" t="str">
        <x:v>ad210cd9ec132cfd447541c8984dc53d30aff0f4fb2dc92d254d49275cc55976</x:v>
      </x:c>
      <x:c r="Z613" s="2" t="n">
        <x:f>SUBTOTAL(103,A613)</x:f>
        <x:v>1</x:v>
      </x:c>
      <x:c r="AA613" s="2" t="str">
        <x:f>IF(K613&lt;&gt;"미종결 표시","대상 아님",IF(N613="","신청일 확인",IF(NOT(ISNUMBER('종합 현황'!$H$5)),"관찰기준 확인",IF('종합 현황'!$H$5&lt;1,"관찰기준 확인",IF(N613&gt;'종합 현황'!$H$5,"내부 관찰 대상","내부 관찰일 이하")))))</x:f>
        <x:v>대상 아님</x:v>
      </x:c>
      <x:c r="AB613" s="2"/>
    </x:row>
    <x:row r="614" ht="42" customHeight="1">
      <x:c r="A614" s="2" t="str">
        <x:v>5e70792a723df1065b4547a5</x:v>
      </x:c>
      <x:c r="B614" s="2" t="str">
        <x:v>사업 평가</x:v>
      </x:c>
      <x:c r="C614" s="2" t="str">
        <x:v>국내</x:v>
      </x:c>
      <x:c r="D614" s="7" t="str">
        <x:v>영덕산업의 LPG에서 도시가스(LNG)로 연료전환을 통한 온실가스 배출 감축사업</x:v>
      </x:c>
      <x:c r="E614" s="2" t="str">
        <x:v>475</x:v>
      </x:c>
      <x:c r="F614" s="2" t="str">
        <x:v>2019-12-12</x:v>
      </x:c>
      <x:c r="G614" s="2" t="str">
        <x:v>2019</x:v>
      </x:c>
      <x:c r="H614" s="2" t="str">
        <x:v>12</x:v>
      </x:c>
      <x:c r="I614" s="2" t="str">
        <x:v>반려</x:v>
      </x:c>
      <x:c r="J614" s="2" t="str">
        <x:v>반려</x:v>
      </x:c>
      <x:c r="K614" s="2" t="str">
        <x:f>IF(OR(J614="심의승인",J614="반려",J614="반려완료",J614="심의완료"),"종결 표시",IF(OR(J614="기후부협의",J614="문서재제출요청",J614="보류",J614="보완요청",J614="보완완료",J614="평가중",J614="반려요청",J614="평가필요",LEFT(J614,5)="보완요청("),"미종결 표시","상태 확인 필요"))</x:f>
        <x:v>종결 표시</x:v>
      </x:c>
      <x:c r="L614" s="2" t="str">
        <x:v>KECM</x:v>
      </x:c>
      <x:c r="M614" s="2"/>
      <x:c r="N614" s="8" t="n">
        <x:f>DATE(2026,10,15)-DATE(2019,12,12)</x:f>
        <x:v>2499</x:v>
      </x:c>
      <x:c r="O614" s="2"/>
      <x:c r="P614" s="2"/>
      <x:c r="Q614" s="2" t="str">
        <x:v>산업전환_외부사업관리Tool_260707_이너젠 수정_LJY_261013.xlsx</x:v>
      </x:c>
      <x:c r="R614" s="2" t="str">
        <x:v>국내평가</x:v>
      </x:c>
      <x:c r="S614" s="8" t="n">
        <x:v>517</x:v>
      </x:c>
      <x:c r="T614" s="2" t="str">
        <x:v>(5/7)</x:v>
      </x:c>
      <x:c r="U614" s="2" t="str">
        <x:v>2021 배정: (5/7)</x:v>
      </x:c>
      <x:c r="V614" s="2" t="str">
        <x:v>2021-05-10</x:v>
      </x:c>
      <x:c r="W614" s="2" t="str"/>
      <x:c r="X614" s="2" t="str">
        <x:v>종결 근거 보관</x:v>
      </x:c>
      <x:c r="Y614" s="2" t="str">
        <x:v>ad210cd9ec132cfd447541c8984dc53d30aff0f4fb2dc92d254d49275cc55976</x:v>
      </x:c>
      <x:c r="Z614" s="2" t="n">
        <x:f>SUBTOTAL(103,A614)</x:f>
        <x:v>1</x:v>
      </x:c>
      <x:c r="AA614" s="2" t="str">
        <x:f>IF(K614&lt;&gt;"미종결 표시","대상 아님",IF(N614="","신청일 확인",IF(NOT(ISNUMBER('종합 현황'!$H$5)),"관찰기준 확인",IF('종합 현황'!$H$5&lt;1,"관찰기준 확인",IF(N614&gt;'종합 현황'!$H$5,"내부 관찰 대상","내부 관찰일 이하")))))</x:f>
        <x:v>대상 아님</x:v>
      </x:c>
      <x:c r="AB614" s="2"/>
    </x:row>
    <x:row r="615" ht="42" customHeight="1">
      <x:c r="A615" s="2" t="str">
        <x:v>290b2cbde6e6b1a19e4c2d1a</x:v>
      </x:c>
      <x:c r="B615" s="2" t="str">
        <x:v>사업 평가</x:v>
      </x:c>
      <x:c r="C615" s="2" t="str">
        <x:v>국내</x:v>
      </x:c>
      <x:c r="D615" s="7" t="str">
        <x:v>신원산업 열교환기 설치를 통한 온실가스 감축사업</x:v>
      </x:c>
      <x:c r="E615" s="2" t="str">
        <x:v>476</x:v>
      </x:c>
      <x:c r="F615" s="2" t="str">
        <x:v>2019-12-16</x:v>
      </x:c>
      <x:c r="G615" s="2" t="str">
        <x:v>2019</x:v>
      </x:c>
      <x:c r="H615" s="2" t="str">
        <x:v>12</x:v>
      </x:c>
      <x:c r="I615" s="2" t="str">
        <x:v>반려</x:v>
      </x:c>
      <x:c r="J615" s="2" t="str">
        <x:v>반려</x:v>
      </x:c>
      <x:c r="K615" s="2" t="str">
        <x:f>IF(OR(J615="심의승인",J615="반려",J615="반려완료",J615="심의완료"),"종결 표시",IF(OR(J615="기후부협의",J615="문서재제출요청",J615="보류",J615="보완요청",J615="보완완료",J615="평가중",J615="반려요청",J615="평가필요",LEFT(J615,5)="보완요청("),"미종결 표시","상태 확인 필요"))</x:f>
        <x:v>종결 표시</x:v>
      </x:c>
      <x:c r="L615" s="2"/>
      <x:c r="M615" s="2"/>
      <x:c r="N615" s="8" t="n">
        <x:f>DATE(2026,10,15)-DATE(2019,12,16)</x:f>
        <x:v>2495</x:v>
      </x:c>
      <x:c r="O615" s="2"/>
      <x:c r="P615" s="2"/>
      <x:c r="Q615" s="2" t="str">
        <x:v>산업전환_외부사업관리Tool_260707_이너젠 수정_LJY_261013.xlsx</x:v>
      </x:c>
      <x:c r="R615" s="2" t="str">
        <x:v>국내평가</x:v>
      </x:c>
      <x:c r="S615" s="8" t="n">
        <x:v>518</x:v>
      </x:c>
      <x:c r="T615" s="2" t="str">
        <x:v>2021년 처리</x:v>
      </x:c>
      <x:c r="U615" s="2" t="str">
        <x:v>2021 배정: 2021년 처리</x:v>
      </x:c>
      <x:c r="V615" s="2" t="str">
        <x:v>2021-07-14</x:v>
      </x:c>
      <x:c r="W615" s="2" t="str">
        <x:v>담당기관 확인</x:v>
      </x:c>
      <x:c r="X615" s="2" t="str">
        <x:v>원본·배정 기록 확인</x:v>
      </x:c>
      <x:c r="Y615" s="2" t="str">
        <x:v>ad210cd9ec132cfd447541c8984dc53d30aff0f4fb2dc92d254d49275cc55976</x:v>
      </x:c>
      <x:c r="Z615" s="2" t="n">
        <x:f>SUBTOTAL(103,A615)</x:f>
        <x:v>1</x:v>
      </x:c>
      <x:c r="AA615" s="2" t="str">
        <x:f>IF(K615&lt;&gt;"미종결 표시","대상 아님",IF(N615="","신청일 확인",IF(NOT(ISNUMBER('종합 현황'!$H$5)),"관찰기준 확인",IF('종합 현황'!$H$5&lt;1,"관찰기준 확인",IF(N615&gt;'종합 현황'!$H$5,"내부 관찰 대상","내부 관찰일 이하")))))</x:f>
        <x:v>대상 아님</x:v>
      </x:c>
      <x:c r="AB615" s="2"/>
    </x:row>
    <x:row r="616" ht="42" customHeight="1">
      <x:c r="A616" s="2" t="str">
        <x:v>1a8c9204f7fe0ed56a79acec</x:v>
      </x:c>
      <x:c r="B616" s="2" t="str">
        <x:v>사업 평가</x:v>
      </x:c>
      <x:c r="C616" s="2" t="str">
        <x:v>국내</x:v>
      </x:c>
      <x:c r="D616" s="7" t="str">
        <x:v>고효율인덕션히터 도입을 통한 온실가스 감축 사업</x:v>
      </x:c>
      <x:c r="E616" s="2" t="str">
        <x:v>477</x:v>
      </x:c>
      <x:c r="F616" s="2" t="str">
        <x:v>2019-12-17</x:v>
      </x:c>
      <x:c r="G616" s="2" t="str">
        <x:v>2019</x:v>
      </x:c>
      <x:c r="H616" s="2" t="str">
        <x:v>12</x:v>
      </x:c>
      <x:c r="I616" s="2" t="str">
        <x:v>반려</x:v>
      </x:c>
      <x:c r="J616" s="2" t="str">
        <x:v>반려</x:v>
      </x:c>
      <x:c r="K616" s="2" t="str">
        <x:f>IF(OR(J616="심의승인",J616="반려",J616="반려완료",J616="심의완료"),"종결 표시",IF(OR(J616="기후부협의",J616="문서재제출요청",J616="보류",J616="보완요청",J616="보완완료",J616="평가중",J616="반려요청",J616="평가필요",LEFT(J616,5)="보완요청("),"미종결 표시","상태 확인 필요"))</x:f>
        <x:v>종결 표시</x:v>
      </x:c>
      <x:c r="L616" s="2"/>
      <x:c r="M616" s="2"/>
      <x:c r="N616" s="8" t="n">
        <x:f>DATE(2026,10,15)-DATE(2019,12,17)</x:f>
        <x:v>2494</x:v>
      </x:c>
      <x:c r="O616" s="2"/>
      <x:c r="P616" s="2"/>
      <x:c r="Q616" s="2" t="str">
        <x:v>산업전환_외부사업관리Tool_260707_이너젠 수정_LJY_261013.xlsx</x:v>
      </x:c>
      <x:c r="R616" s="2" t="str">
        <x:v>국내평가</x:v>
      </x:c>
      <x:c r="S616" s="8" t="n">
        <x:v>519</x:v>
      </x:c>
      <x:c r="T616" s="2" t="str">
        <x:v>2021년 처리</x:v>
      </x:c>
      <x:c r="U616" s="2" t="str">
        <x:v>2021 배정: 2021년 처리</x:v>
      </x:c>
      <x:c r="V616" s="2" t="str">
        <x:v>2021-06-07</x:v>
      </x:c>
      <x:c r="W616" s="2" t="str">
        <x:v>담당기관 확인</x:v>
      </x:c>
      <x:c r="X616" s="2" t="str">
        <x:v>원본·배정 기록 확인</x:v>
      </x:c>
      <x:c r="Y616" s="2" t="str">
        <x:v>ad210cd9ec132cfd447541c8984dc53d30aff0f4fb2dc92d254d49275cc55976</x:v>
      </x:c>
      <x:c r="Z616" s="2" t="n">
        <x:f>SUBTOTAL(103,A616)</x:f>
        <x:v>1</x:v>
      </x:c>
      <x:c r="AA616" s="2" t="str">
        <x:f>IF(K616&lt;&gt;"미종결 표시","대상 아님",IF(N616="","신청일 확인",IF(NOT(ISNUMBER('종합 현황'!$H$5)),"관찰기준 확인",IF('종합 현황'!$H$5&lt;1,"관찰기준 확인",IF(N616&gt;'종합 현황'!$H$5,"내부 관찰 대상","내부 관찰일 이하")))))</x:f>
        <x:v>대상 아님</x:v>
      </x:c>
      <x:c r="AB616" s="2"/>
    </x:row>
    <x:row r="617" ht="42" customHeight="1">
      <x:c r="A617" s="2" t="str">
        <x:v>77e4327279bc05720bb32a03</x:v>
      </x:c>
      <x:c r="B617" s="2" t="str">
        <x:v>사업 평가</x:v>
      </x:c>
      <x:c r="C617" s="2" t="str">
        <x:v>국내</x:v>
      </x:c>
      <x:c r="D617" s="7" t="str">
        <x:v>고효율인덕션히터 도입을 통한 온실가스 감축 사업</x:v>
      </x:c>
      <x:c r="E617" s="2" t="str">
        <x:v>478</x:v>
      </x:c>
      <x:c r="F617" s="2" t="str">
        <x:v>2019-12-17</x:v>
      </x:c>
      <x:c r="G617" s="2" t="str">
        <x:v>2019</x:v>
      </x:c>
      <x:c r="H617" s="2" t="str">
        <x:v>12</x:v>
      </x:c>
      <x:c r="I617" s="2" t="str">
        <x:v>반려</x:v>
      </x:c>
      <x:c r="J617" s="2" t="str">
        <x:v>반려</x:v>
      </x:c>
      <x:c r="K617" s="2" t="str">
        <x:f>IF(OR(J617="심의승인",J617="반려",J617="반려완료",J617="심의완료"),"종결 표시",IF(OR(J617="기후부협의",J617="문서재제출요청",J617="보류",J617="보완요청",J617="보완완료",J617="평가중",J617="반려요청",J617="평가필요",LEFT(J617,5)="보완요청("),"미종결 표시","상태 확인 필요"))</x:f>
        <x:v>종결 표시</x:v>
      </x:c>
      <x:c r="L617" s="2"/>
      <x:c r="M617" s="2"/>
      <x:c r="N617" s="8" t="n">
        <x:f>DATE(2026,10,15)-DATE(2019,12,17)</x:f>
        <x:v>2494</x:v>
      </x:c>
      <x:c r="O617" s="2"/>
      <x:c r="P617" s="2"/>
      <x:c r="Q617" s="2" t="str">
        <x:v>산업전환_외부사업관리Tool_260707_이너젠 수정_LJY_261013.xlsx</x:v>
      </x:c>
      <x:c r="R617" s="2" t="str">
        <x:v>국내평가</x:v>
      </x:c>
      <x:c r="S617" s="8" t="n">
        <x:v>520</x:v>
      </x:c>
      <x:c r="T617" s="2" t="str">
        <x:v>2021년 처리</x:v>
      </x:c>
      <x:c r="U617" s="2" t="str">
        <x:v>2021 배정: 2021년 처리</x:v>
      </x:c>
      <x:c r="V617" s="2" t="str">
        <x:v>2021-06-07</x:v>
      </x:c>
      <x:c r="W617" s="2" t="str">
        <x:v>담당기관 확인</x:v>
      </x:c>
      <x:c r="X617" s="2" t="str">
        <x:v>원본·배정 기록 확인</x:v>
      </x:c>
      <x:c r="Y617" s="2" t="str">
        <x:v>ad210cd9ec132cfd447541c8984dc53d30aff0f4fb2dc92d254d49275cc55976</x:v>
      </x:c>
      <x:c r="Z617" s="2" t="n">
        <x:f>SUBTOTAL(103,A617)</x:f>
        <x:v>1</x:v>
      </x:c>
      <x:c r="AA617" s="2" t="str">
        <x:f>IF(K617&lt;&gt;"미종결 표시","대상 아님",IF(N617="","신청일 확인",IF(NOT(ISNUMBER('종합 현황'!$H$5)),"관찰기준 확인",IF('종합 현황'!$H$5&lt;1,"관찰기준 확인",IF(N617&gt;'종합 현황'!$H$5,"내부 관찰 대상","내부 관찰일 이하")))))</x:f>
        <x:v>대상 아님</x:v>
      </x:c>
      <x:c r="AB617" s="2"/>
    </x:row>
    <x:row r="618" ht="42" customHeight="1">
      <x:c r="A618" s="2" t="str">
        <x:v>aba2079a7df21babc56b076e</x:v>
      </x:c>
      <x:c r="B618" s="2" t="str">
        <x:v>사업 평가</x:v>
      </x:c>
      <x:c r="C618" s="2" t="str">
        <x:v>국내</x:v>
      </x:c>
      <x:c r="D618" s="7" t="str">
        <x:v>고효율인덕션히터 도입을 통한 온실가스 감축 사업</x:v>
      </x:c>
      <x:c r="E618" s="2" t="str">
        <x:v>479</x:v>
      </x:c>
      <x:c r="F618" s="2" t="str">
        <x:v>2019-12-17</x:v>
      </x:c>
      <x:c r="G618" s="2" t="str">
        <x:v>2019</x:v>
      </x:c>
      <x:c r="H618" s="2" t="str">
        <x:v>12</x:v>
      </x:c>
      <x:c r="I618" s="2" t="str">
        <x:v>반려</x:v>
      </x:c>
      <x:c r="J618" s="2" t="str">
        <x:v>반려</x:v>
      </x:c>
      <x:c r="K618" s="2" t="str">
        <x:f>IF(OR(J618="심의승인",J618="반려",J618="반려완료",J618="심의완료"),"종결 표시",IF(OR(J618="기후부협의",J618="문서재제출요청",J618="보류",J618="보완요청",J618="보완완료",J618="평가중",J618="반려요청",J618="평가필요",LEFT(J618,5)="보완요청("),"미종결 표시","상태 확인 필요"))</x:f>
        <x:v>종결 표시</x:v>
      </x:c>
      <x:c r="L618" s="2"/>
      <x:c r="M618" s="2"/>
      <x:c r="N618" s="8" t="n">
        <x:f>DATE(2026,10,15)-DATE(2019,12,17)</x:f>
        <x:v>2494</x:v>
      </x:c>
      <x:c r="O618" s="2"/>
      <x:c r="P618" s="2"/>
      <x:c r="Q618" s="2" t="str">
        <x:v>산업전환_외부사업관리Tool_260707_이너젠 수정_LJY_261013.xlsx</x:v>
      </x:c>
      <x:c r="R618" s="2" t="str">
        <x:v>국내평가</x:v>
      </x:c>
      <x:c r="S618" s="8" t="n">
        <x:v>521</x:v>
      </x:c>
      <x:c r="T618" s="2" t="str">
        <x:v>2021년 처리</x:v>
      </x:c>
      <x:c r="U618" s="2" t="str">
        <x:v>2021 배정: 2021년 처리</x:v>
      </x:c>
      <x:c r="V618" s="2" t="str">
        <x:v>2021-06-07</x:v>
      </x:c>
      <x:c r="W618" s="2" t="str">
        <x:v>담당기관 확인</x:v>
      </x:c>
      <x:c r="X618" s="2" t="str">
        <x:v>원본·배정 기록 확인</x:v>
      </x:c>
      <x:c r="Y618" s="2" t="str">
        <x:v>ad210cd9ec132cfd447541c8984dc53d30aff0f4fb2dc92d254d49275cc55976</x:v>
      </x:c>
      <x:c r="Z618" s="2" t="n">
        <x:f>SUBTOTAL(103,A618)</x:f>
        <x:v>1</x:v>
      </x:c>
      <x:c r="AA618" s="2" t="str">
        <x:f>IF(K618&lt;&gt;"미종결 표시","대상 아님",IF(N618="","신청일 확인",IF(NOT(ISNUMBER('종합 현황'!$H$5)),"관찰기준 확인",IF('종합 현황'!$H$5&lt;1,"관찰기준 확인",IF(N618&gt;'종합 현황'!$H$5,"내부 관찰 대상","내부 관찰일 이하")))))</x:f>
        <x:v>대상 아님</x:v>
      </x:c>
      <x:c r="AB618" s="2"/>
    </x:row>
    <x:row r="619" ht="42" customHeight="1">
      <x:c r="A619" s="2" t="str">
        <x:v>75dd82ab3ce36b0dd3896a2c</x:v>
      </x:c>
      <x:c r="B619" s="2" t="str">
        <x:v>사업 평가</x:v>
      </x:c>
      <x:c r="C619" s="2" t="str">
        <x:v>국내</x:v>
      </x:c>
      <x:c r="D619" s="7" t="str">
        <x:v>고효율인덕션히터 도입을 통한 온실가스 감축 사업</x:v>
      </x:c>
      <x:c r="E619" s="2" t="str">
        <x:v>480</x:v>
      </x:c>
      <x:c r="F619" s="2" t="str">
        <x:v>2019-12-17</x:v>
      </x:c>
      <x:c r="G619" s="2" t="str">
        <x:v>2019</x:v>
      </x:c>
      <x:c r="H619" s="2" t="str">
        <x:v>12</x:v>
      </x:c>
      <x:c r="I619" s="2" t="str">
        <x:v>반려</x:v>
      </x:c>
      <x:c r="J619" s="2" t="str">
        <x:v>반려</x:v>
      </x:c>
      <x:c r="K619" s="2" t="str">
        <x:f>IF(OR(J619="심의승인",J619="반려",J619="반려완료",J619="심의완료"),"종결 표시",IF(OR(J619="기후부협의",J619="문서재제출요청",J619="보류",J619="보완요청",J619="보완완료",J619="평가중",J619="반려요청",J619="평가필요",LEFT(J619,5)="보완요청("),"미종결 표시","상태 확인 필요"))</x:f>
        <x:v>종결 표시</x:v>
      </x:c>
      <x:c r="L619" s="2"/>
      <x:c r="M619" s="2"/>
      <x:c r="N619" s="8" t="n">
        <x:f>DATE(2026,10,15)-DATE(2019,12,17)</x:f>
        <x:v>2494</x:v>
      </x:c>
      <x:c r="O619" s="2"/>
      <x:c r="P619" s="2"/>
      <x:c r="Q619" s="2" t="str">
        <x:v>산업전환_외부사업관리Tool_260707_이너젠 수정_LJY_261013.xlsx</x:v>
      </x:c>
      <x:c r="R619" s="2" t="str">
        <x:v>국내평가</x:v>
      </x:c>
      <x:c r="S619" s="8" t="n">
        <x:v>522</x:v>
      </x:c>
      <x:c r="T619" s="2" t="str">
        <x:v>2021년 처리</x:v>
      </x:c>
      <x:c r="U619" s="2" t="str">
        <x:v>2021 배정: 2021년 처리</x:v>
      </x:c>
      <x:c r="V619" s="2" t="str">
        <x:v>2021-06-07</x:v>
      </x:c>
      <x:c r="W619" s="2" t="str">
        <x:v>담당기관 확인</x:v>
      </x:c>
      <x:c r="X619" s="2" t="str">
        <x:v>원본·배정 기록 확인</x:v>
      </x:c>
      <x:c r="Y619" s="2" t="str">
        <x:v>ad210cd9ec132cfd447541c8984dc53d30aff0f4fb2dc92d254d49275cc55976</x:v>
      </x:c>
      <x:c r="Z619" s="2" t="n">
        <x:f>SUBTOTAL(103,A619)</x:f>
        <x:v>1</x:v>
      </x:c>
      <x:c r="AA619" s="2" t="str">
        <x:f>IF(K619&lt;&gt;"미종결 표시","대상 아님",IF(N619="","신청일 확인",IF(NOT(ISNUMBER('종합 현황'!$H$5)),"관찰기준 확인",IF('종합 현황'!$H$5&lt;1,"관찰기준 확인",IF(N619&gt;'종합 현황'!$H$5,"내부 관찰 대상","내부 관찰일 이하")))))</x:f>
        <x:v>대상 아님</x:v>
      </x:c>
      <x:c r="AB619" s="2"/>
    </x:row>
    <x:row r="620" ht="42" customHeight="1">
      <x:c r="A620" s="2" t="str">
        <x:v>8e1750c66b84deb1e3ab1596</x:v>
      </x:c>
      <x:c r="B620" s="2" t="str">
        <x:v>사업 평가</x:v>
      </x:c>
      <x:c r="C620" s="2" t="str">
        <x:v>국내</x:v>
      </x:c>
      <x:c r="D620" s="7" t="str">
        <x:v>고효율인덕션히터 도입을 통한 온실가스 감축 사업</x:v>
      </x:c>
      <x:c r="E620" s="2" t="str">
        <x:v>481</x:v>
      </x:c>
      <x:c r="F620" s="2" t="str">
        <x:v>2019-12-17</x:v>
      </x:c>
      <x:c r="G620" s="2" t="str">
        <x:v>2019</x:v>
      </x:c>
      <x:c r="H620" s="2" t="str">
        <x:v>12</x:v>
      </x:c>
      <x:c r="I620" s="2" t="str">
        <x:v>반려</x:v>
      </x:c>
      <x:c r="J620" s="2" t="str">
        <x:v>반려</x:v>
      </x:c>
      <x:c r="K620" s="2" t="str">
        <x:f>IF(OR(J620="심의승인",J620="반려",J620="반려완료",J620="심의완료"),"종결 표시",IF(OR(J620="기후부협의",J620="문서재제출요청",J620="보류",J620="보완요청",J620="보완완료",J620="평가중",J620="반려요청",J620="평가필요",LEFT(J620,5)="보완요청("),"미종결 표시","상태 확인 필요"))</x:f>
        <x:v>종결 표시</x:v>
      </x:c>
      <x:c r="L620" s="2"/>
      <x:c r="M620" s="2"/>
      <x:c r="N620" s="8" t="n">
        <x:f>DATE(2026,10,15)-DATE(2019,12,17)</x:f>
        <x:v>2494</x:v>
      </x:c>
      <x:c r="O620" s="2"/>
      <x:c r="P620" s="2"/>
      <x:c r="Q620" s="2" t="str">
        <x:v>산업전환_외부사업관리Tool_260707_이너젠 수정_LJY_261013.xlsx</x:v>
      </x:c>
      <x:c r="R620" s="2" t="str">
        <x:v>국내평가</x:v>
      </x:c>
      <x:c r="S620" s="8" t="n">
        <x:v>523</x:v>
      </x:c>
      <x:c r="T620" s="2" t="str">
        <x:v>2021년 처리</x:v>
      </x:c>
      <x:c r="U620" s="2" t="str">
        <x:v>2021 배정: 2021년 처리</x:v>
      </x:c>
      <x:c r="V620" s="2" t="str">
        <x:v>2021-06-07</x:v>
      </x:c>
      <x:c r="W620" s="2" t="str">
        <x:v>담당기관 확인</x:v>
      </x:c>
      <x:c r="X620" s="2" t="str">
        <x:v>원본·배정 기록 확인</x:v>
      </x:c>
      <x:c r="Y620" s="2" t="str">
        <x:v>ad210cd9ec132cfd447541c8984dc53d30aff0f4fb2dc92d254d49275cc55976</x:v>
      </x:c>
      <x:c r="Z620" s="2" t="n">
        <x:f>SUBTOTAL(103,A620)</x:f>
        <x:v>1</x:v>
      </x:c>
      <x:c r="AA620" s="2" t="str">
        <x:f>IF(K620&lt;&gt;"미종결 표시","대상 아님",IF(N620="","신청일 확인",IF(NOT(ISNUMBER('종합 현황'!$H$5)),"관찰기준 확인",IF('종합 현황'!$H$5&lt;1,"관찰기준 확인",IF(N620&gt;'종합 현황'!$H$5,"내부 관찰 대상","내부 관찰일 이하")))))</x:f>
        <x:v>대상 아님</x:v>
      </x:c>
      <x:c r="AB620" s="2"/>
    </x:row>
    <x:row r="621" ht="42" customHeight="1">
      <x:c r="A621" s="2" t="str">
        <x:v>b25e0b97ede720a4b9522b3a</x:v>
      </x:c>
      <x:c r="B621" s="2" t="str">
        <x:v>사업 평가</x:v>
      </x:c>
      <x:c r="C621" s="2" t="str">
        <x:v>국내</x:v>
      </x:c>
      <x:c r="D621" s="7" t="str">
        <x:v>아성크린후로텍(주) 고효율 인버터 공기압축기로 교체 사업</x:v>
      </x:c>
      <x:c r="E621" s="2" t="str">
        <x:v>482</x:v>
      </x:c>
      <x:c r="F621" s="2" t="str">
        <x:v>2019-11-10</x:v>
      </x:c>
      <x:c r="G621" s="2" t="str">
        <x:v>2019</x:v>
      </x:c>
      <x:c r="H621" s="2" t="str">
        <x:v>11</x:v>
      </x:c>
      <x:c r="I621" s="2" t="str">
        <x:v>승인</x:v>
      </x:c>
      <x:c r="J621" s="2" t="str">
        <x:v>심의승인</x:v>
      </x:c>
      <x:c r="K621" s="2" t="str">
        <x:f>IF(OR(J621="심의승인",J621="반려",J621="반려완료",J621="심의완료"),"종결 표시",IF(OR(J621="기후부협의",J621="문서재제출요청",J621="보류",J621="보완요청",J621="보완완료",J621="평가중",J621="반려요청",J621="평가필요",LEFT(J621,5)="보완요청("),"미종결 표시","상태 확인 필요"))</x:f>
        <x:v>종결 표시</x:v>
      </x:c>
      <x:c r="L621" s="2"/>
      <x:c r="M621" s="2"/>
      <x:c r="N621" s="8" t="n">
        <x:f>DATE(2026,10,15)-DATE(2019,11,10)</x:f>
        <x:v>2531</x:v>
      </x:c>
      <x:c r="O621" s="2"/>
      <x:c r="P621" s="2"/>
      <x:c r="Q621" s="2" t="str">
        <x:v>산업전환_외부사업관리Tool_260707_이너젠 수정_LJY_261013.xlsx</x:v>
      </x:c>
      <x:c r="R621" s="2" t="str">
        <x:v>국내평가</x:v>
      </x:c>
      <x:c r="S621" s="8" t="n">
        <x:v>524</x:v>
      </x:c>
      <x:c r="T621" s="2"/>
      <x:c r="U621" s="2" t="str"/>
      <x:c r="V621" s="2" t="str">
        <x:v>2022-06-09</x:v>
      </x:c>
      <x:c r="W621" s="2" t="str">
        <x:v>담당기관 확인</x:v>
      </x:c>
      <x:c r="X621" s="2" t="str">
        <x:v>원본·배정 기록 확인</x:v>
      </x:c>
      <x:c r="Y621" s="2" t="str">
        <x:v>ad210cd9ec132cfd447541c8984dc53d30aff0f4fb2dc92d254d49275cc55976</x:v>
      </x:c>
      <x:c r="Z621" s="2" t="n">
        <x:f>SUBTOTAL(103,A621)</x:f>
        <x:v>1</x:v>
      </x:c>
      <x:c r="AA621" s="2" t="str">
        <x:f>IF(K621&lt;&gt;"미종결 표시","대상 아님",IF(N621="","신청일 확인",IF(NOT(ISNUMBER('종합 현황'!$H$5)),"관찰기준 확인",IF('종합 현황'!$H$5&lt;1,"관찰기준 확인",IF(N621&gt;'종합 현황'!$H$5,"내부 관찰 대상","내부 관찰일 이하")))))</x:f>
        <x:v>대상 아님</x:v>
      </x:c>
      <x:c r="AB621" s="2"/>
    </x:row>
    <x:row r="622" ht="42" customHeight="1">
      <x:c r="A622" s="2" t="str">
        <x:v>5e6ed9d6fc8f75c19af25511</x:v>
      </x:c>
      <x:c r="B622" s="2" t="str">
        <x:v>사업 평가</x:v>
      </x:c>
      <x:c r="C622" s="2" t="str">
        <x:v>국내</x:v>
      </x:c>
      <x:c r="D622" s="7" t="str">
        <x:v>(주)대흥산업공사 군위지점의 고효율 인버터 공기압축기 교체를 통한 온실가스 감축 사업</x:v>
      </x:c>
      <x:c r="E622" s="2" t="str">
        <x:v>483</x:v>
      </x:c>
      <x:c r="F622" s="2" t="str">
        <x:v>2019-11-14</x:v>
      </x:c>
      <x:c r="G622" s="2" t="str">
        <x:v>2019</x:v>
      </x:c>
      <x:c r="H622" s="2" t="str">
        <x:v>11</x:v>
      </x:c>
      <x:c r="I622" s="2" t="str">
        <x:v>승인</x:v>
      </x:c>
      <x:c r="J622" s="2" t="str">
        <x:v>심의승인</x:v>
      </x:c>
      <x:c r="K622" s="2" t="str">
        <x:f>IF(OR(J622="심의승인",J622="반려",J622="반려완료",J622="심의완료"),"종결 표시",IF(OR(J622="기후부협의",J622="문서재제출요청",J622="보류",J622="보완요청",J622="보완완료",J622="평가중",J622="반려요청",J622="평가필요",LEFT(J622,5)="보완요청("),"미종결 표시","상태 확인 필요"))</x:f>
        <x:v>종결 표시</x:v>
      </x:c>
      <x:c r="L622" s="2" t="str">
        <x:v>공단_강송희</x:v>
      </x:c>
      <x:c r="M622" s="2"/>
      <x:c r="N622" s="8" t="n">
        <x:f>DATE(2026,10,15)-DATE(2019,11,14)</x:f>
        <x:v>2527</x:v>
      </x:c>
      <x:c r="O622" s="2" t="str">
        <x:v>O</x:v>
      </x:c>
      <x:c r="P622" s="2"/>
      <x:c r="Q622" s="2" t="str">
        <x:v>산업전환_외부사업관리Tool_260707_이너젠 수정_LJY_261013.xlsx</x:v>
      </x:c>
      <x:c r="R622" s="2" t="str">
        <x:v>국내평가</x:v>
      </x:c>
      <x:c r="S622" s="8" t="n">
        <x:v>525</x:v>
      </x:c>
      <x:c r="T622" s="2" t="str">
        <x:v>(7/12),(9/1)</x:v>
      </x:c>
      <x:c r="U622" s="2" t="str">
        <x:v>2021 배정: (7/12),(9/1)</x:v>
      </x:c>
      <x:c r="V622" s="2" t="str">
        <x:v>2022-04-22</x:v>
      </x:c>
      <x:c r="W622" s="2" t="str"/>
      <x:c r="X622" s="2" t="str">
        <x:v>종결 근거 보관</x:v>
      </x:c>
      <x:c r="Y622" s="2" t="str">
        <x:v>ad210cd9ec132cfd447541c8984dc53d30aff0f4fb2dc92d254d49275cc55976</x:v>
      </x:c>
      <x:c r="Z622" s="2" t="n">
        <x:f>SUBTOTAL(103,A622)</x:f>
        <x:v>1</x:v>
      </x:c>
      <x:c r="AA622" s="2" t="str">
        <x:f>IF(K622&lt;&gt;"미종결 표시","대상 아님",IF(N622="","신청일 확인",IF(NOT(ISNUMBER('종합 현황'!$H$5)),"관찰기준 확인",IF('종합 현황'!$H$5&lt;1,"관찰기준 확인",IF(N622&gt;'종합 현황'!$H$5,"내부 관찰 대상","내부 관찰일 이하")))))</x:f>
        <x:v>대상 아님</x:v>
      </x:c>
      <x:c r="AB622" s="2"/>
    </x:row>
    <x:row r="623" ht="42" customHeight="1">
      <x:c r="A623" s="2" t="str">
        <x:v>c1d67df5a1ab120ffe986c36</x:v>
      </x:c>
      <x:c r="B623" s="2" t="str">
        <x:v>사업 평가</x:v>
      </x:c>
      <x:c r="C623" s="2" t="str">
        <x:v>국내</x:v>
      </x:c>
      <x:c r="D623" s="7" t="str">
        <x:v>고효율인덕션히터 도입을 통한 온실가스 감축 사업</x:v>
      </x:c>
      <x:c r="E623" s="2" t="str">
        <x:v>484</x:v>
      </x:c>
      <x:c r="F623" s="2" t="str">
        <x:v>2019-12-17</x:v>
      </x:c>
      <x:c r="G623" s="2" t="str">
        <x:v>2019</x:v>
      </x:c>
      <x:c r="H623" s="2" t="str">
        <x:v>12</x:v>
      </x:c>
      <x:c r="I623" s="2" t="str">
        <x:v>반려</x:v>
      </x:c>
      <x:c r="J623" s="2" t="str">
        <x:v>반려</x:v>
      </x:c>
      <x:c r="K623" s="2" t="str">
        <x:f>IF(OR(J623="심의승인",J623="반려",J623="반려완료",J623="심의완료"),"종결 표시",IF(OR(J623="기후부협의",J623="문서재제출요청",J623="보류",J623="보완요청",J623="보완완료",J623="평가중",J623="반려요청",J623="평가필요",LEFT(J623,5)="보완요청("),"미종결 표시","상태 확인 필요"))</x:f>
        <x:v>종결 표시</x:v>
      </x:c>
      <x:c r="L623" s="2"/>
      <x:c r="M623" s="2"/>
      <x:c r="N623" s="8" t="n">
        <x:f>DATE(2026,10,15)-DATE(2019,12,17)</x:f>
        <x:v>2494</x:v>
      </x:c>
      <x:c r="O623" s="2"/>
      <x:c r="P623" s="2"/>
      <x:c r="Q623" s="2" t="str">
        <x:v>산업전환_외부사업관리Tool_260707_이너젠 수정_LJY_261013.xlsx</x:v>
      </x:c>
      <x:c r="R623" s="2" t="str">
        <x:v>국내평가</x:v>
      </x:c>
      <x:c r="S623" s="8" t="n">
        <x:v>526</x:v>
      </x:c>
      <x:c r="T623" s="2" t="str">
        <x:v>2021년 처리</x:v>
      </x:c>
      <x:c r="U623" s="2" t="str">
        <x:v>2021 배정: 2021년 처리</x:v>
      </x:c>
      <x:c r="V623" s="2" t="str">
        <x:v>2021-06-07</x:v>
      </x:c>
      <x:c r="W623" s="2" t="str">
        <x:v>담당기관 확인</x:v>
      </x:c>
      <x:c r="X623" s="2" t="str">
        <x:v>원본·배정 기록 확인</x:v>
      </x:c>
      <x:c r="Y623" s="2" t="str">
        <x:v>ad210cd9ec132cfd447541c8984dc53d30aff0f4fb2dc92d254d49275cc55976</x:v>
      </x:c>
      <x:c r="Z623" s="2" t="n">
        <x:f>SUBTOTAL(103,A623)</x:f>
        <x:v>1</x:v>
      </x:c>
      <x:c r="AA623" s="2" t="str">
        <x:f>IF(K623&lt;&gt;"미종결 표시","대상 아님",IF(N623="","신청일 확인",IF(NOT(ISNUMBER('종합 현황'!$H$5)),"관찰기준 확인",IF('종합 현황'!$H$5&lt;1,"관찰기준 확인",IF(N623&gt;'종합 현황'!$H$5,"내부 관찰 대상","내부 관찰일 이하")))))</x:f>
        <x:v>대상 아님</x:v>
      </x:c>
      <x:c r="AB623" s="2"/>
    </x:row>
    <x:row r="624" ht="42" customHeight="1">
      <x:c r="A624" s="2" t="str">
        <x:v>3154b3c21415c617c9c25cbb</x:v>
      </x:c>
      <x:c r="B624" s="2" t="str">
        <x:v>사업 평가</x:v>
      </x:c>
      <x:c r="C624" s="2" t="str">
        <x:v>국내</x:v>
      </x:c>
      <x:c r="D624" s="7" t="str">
        <x:v>유니슨이테크(주) 고효율 공기압축기 교체를 통한  온실가스 감축사업</x:v>
      </x:c>
      <x:c r="E624" s="2" t="str">
        <x:v>485</x:v>
      </x:c>
      <x:c r="F624" s="2" t="str">
        <x:v>2019-11-15</x:v>
      </x:c>
      <x:c r="G624" s="2" t="str">
        <x:v>2019</x:v>
      </x:c>
      <x:c r="H624" s="2" t="str">
        <x:v>11</x:v>
      </x:c>
      <x:c r="I624" s="2" t="str">
        <x:v>승인</x:v>
      </x:c>
      <x:c r="J624" s="2" t="str">
        <x:v>심의승인</x:v>
      </x:c>
      <x:c r="K624" s="2" t="str">
        <x:f>IF(OR(J624="심의승인",J624="반려",J624="반려완료",J624="심의완료"),"종결 표시",IF(OR(J624="기후부협의",J624="문서재제출요청",J624="보류",J624="보완요청",J624="보완완료",J624="평가중",J624="반려요청",J624="평가필요",LEFT(J624,5)="보완요청("),"미종결 표시","상태 확인 필요"))</x:f>
        <x:v>종결 표시</x:v>
      </x:c>
      <x:c r="L624" s="2"/>
      <x:c r="M624" s="2"/>
      <x:c r="N624" s="8" t="n">
        <x:f>DATE(2026,10,15)-DATE(2019,11,15)</x:f>
        <x:v>2526</x:v>
      </x:c>
      <x:c r="O624" s="2" t="str">
        <x:v>O(6월추가)</x:v>
      </x:c>
      <x:c r="P624" s="2"/>
      <x:c r="Q624" s="2" t="str">
        <x:v>산업전환_외부사업관리Tool_260707_이너젠 수정_LJY_261013.xlsx</x:v>
      </x:c>
      <x:c r="R624" s="2" t="str">
        <x:v>국내평가</x:v>
      </x:c>
      <x:c r="S624" s="8" t="n">
        <x:v>527</x:v>
      </x:c>
      <x:c r="T624" s="2"/>
      <x:c r="U624" s="2" t="str"/>
      <x:c r="V624" s="2" t="str">
        <x:v>2022-05-13</x:v>
      </x:c>
      <x:c r="W624" s="2" t="str">
        <x:v>담당기관 확인</x:v>
      </x:c>
      <x:c r="X624" s="2" t="str">
        <x:v>원본·배정 기록 확인</x:v>
      </x:c>
      <x:c r="Y624" s="2" t="str">
        <x:v>ad210cd9ec132cfd447541c8984dc53d30aff0f4fb2dc92d254d49275cc55976</x:v>
      </x:c>
      <x:c r="Z624" s="2" t="n">
        <x:f>SUBTOTAL(103,A624)</x:f>
        <x:v>1</x:v>
      </x:c>
      <x:c r="AA624" s="2" t="str">
        <x:f>IF(K624&lt;&gt;"미종결 표시","대상 아님",IF(N624="","신청일 확인",IF(NOT(ISNUMBER('종합 현황'!$H$5)),"관찰기준 확인",IF('종합 현황'!$H$5&lt;1,"관찰기준 확인",IF(N624&gt;'종합 현황'!$H$5,"내부 관찰 대상","내부 관찰일 이하")))))</x:f>
        <x:v>대상 아님</x:v>
      </x:c>
      <x:c r="AB624" s="2"/>
    </x:row>
    <x:row r="625" ht="42" customHeight="1">
      <x:c r="A625" s="2" t="str">
        <x:v>87345691e763b1c1c07c8d4c</x:v>
      </x:c>
      <x:c r="B625" s="2" t="str">
        <x:v>사업 평가</x:v>
      </x:c>
      <x:c r="C625" s="2" t="str">
        <x:v>국내</x:v>
      </x:c>
      <x:c r="D625" s="7" t="str">
        <x:v>㈜엘지화학 자가 소비용 태양광 발전설비의 설치 지원을 통한 프로그램 감축사업</x:v>
      </x:c>
      <x:c r="E625" s="2" t="str">
        <x:v>486</x:v>
      </x:c>
      <x:c r="F625" s="2" t="str">
        <x:v>2019-12-19</x:v>
      </x:c>
      <x:c r="G625" s="2" t="str">
        <x:v>2019</x:v>
      </x:c>
      <x:c r="H625" s="2" t="str">
        <x:v>12</x:v>
      </x:c>
      <x:c r="I625" s="2" t="str">
        <x:v>반려</x:v>
      </x:c>
      <x:c r="J625" s="2" t="str">
        <x:v>반려</x:v>
      </x:c>
      <x:c r="K625" s="2" t="str">
        <x:f>IF(OR(J625="심의승인",J625="반려",J625="반려완료",J625="심의완료"),"종결 표시",IF(OR(J625="기후부협의",J625="문서재제출요청",J625="보류",J625="보완요청",J625="보완완료",J625="평가중",J625="반려요청",J625="평가필요",LEFT(J625,5)="보완요청("),"미종결 표시","상태 확인 필요"))</x:f>
        <x:v>종결 표시</x:v>
      </x:c>
      <x:c r="L625" s="2" t="str">
        <x:v>에코시안_정인혜</x:v>
      </x:c>
      <x:c r="M625" s="2"/>
      <x:c r="N625" s="8" t="n">
        <x:f>DATE(2026,10,15)-DATE(2019,12,19)</x:f>
        <x:v>2492</x:v>
      </x:c>
      <x:c r="O625" s="2" t="str">
        <x:v>O(4월)</x:v>
      </x:c>
      <x:c r="P625" s="2"/>
      <x:c r="Q625" s="2" t="str">
        <x:v>산업전환_외부사업관리Tool_260707_이너젠 수정_LJY_261013.xlsx</x:v>
      </x:c>
      <x:c r="R625" s="2" t="str">
        <x:v>국내평가</x:v>
      </x:c>
      <x:c r="S625" s="8" t="n">
        <x:v>528</x:v>
      </x:c>
      <x:c r="T625" s="2" t="str">
        <x:v>2021년 처리</x:v>
      </x:c>
      <x:c r="U625" s="2" t="str">
        <x:v>2021 배정: 2021년 처리</x:v>
      </x:c>
      <x:c r="V625" s="2" t="str">
        <x:v>2021-11-29</x:v>
      </x:c>
      <x:c r="W625" s="2" t="str"/>
      <x:c r="X625" s="2" t="str">
        <x:v>종결 근거 보관</x:v>
      </x:c>
      <x:c r="Y625" s="2" t="str">
        <x:v>ad210cd9ec132cfd447541c8984dc53d30aff0f4fb2dc92d254d49275cc55976</x:v>
      </x:c>
      <x:c r="Z625" s="2" t="n">
        <x:f>SUBTOTAL(103,A625)</x:f>
        <x:v>1</x:v>
      </x:c>
      <x:c r="AA625" s="2" t="str">
        <x:f>IF(K625&lt;&gt;"미종결 표시","대상 아님",IF(N625="","신청일 확인",IF(NOT(ISNUMBER('종합 현황'!$H$5)),"관찰기준 확인",IF('종합 현황'!$H$5&lt;1,"관찰기준 확인",IF(N625&gt;'종합 현황'!$H$5,"내부 관찰 대상","내부 관찰일 이하")))))</x:f>
        <x:v>대상 아님</x:v>
      </x:c>
      <x:c r="AB625" s="2"/>
    </x:row>
    <x:row r="626" ht="42" customHeight="1">
      <x:c r="A626" s="2" t="str">
        <x:v>c09e307167e7207ddfbd93a2</x:v>
      </x:c>
      <x:c r="B626" s="2" t="str">
        <x:v>사업 평가</x:v>
      </x:c>
      <x:c r="C626" s="2" t="str">
        <x:v>국내</x:v>
      </x:c>
      <x:c r="D626" s="7" t="str">
        <x:v>태광아스콘(주) 연료전환(B-C유 및 정제유→ LPG)을 통한 온실가스 배출 감축사업</x:v>
      </x:c>
      <x:c r="E626" s="2" t="str">
        <x:v>487</x:v>
      </x:c>
      <x:c r="F626" s="2" t="str">
        <x:v>2020-06-10</x:v>
      </x:c>
      <x:c r="G626" s="2" t="str">
        <x:v>2020</x:v>
      </x:c>
      <x:c r="H626" s="2" t="str">
        <x:v>06</x:v>
      </x:c>
      <x:c r="I626" s="2" t="str">
        <x:v>승인</x:v>
      </x:c>
      <x:c r="J626" s="2" t="str">
        <x:v>심의승인</x:v>
      </x:c>
      <x:c r="K626" s="2" t="str">
        <x:f>IF(OR(J626="심의승인",J626="반려",J626="반려완료",J626="심의완료"),"종결 표시",IF(OR(J626="기후부협의",J626="문서재제출요청",J626="보류",J626="보완요청",J626="보완완료",J626="평가중",J626="반려요청",J626="평가필요",LEFT(J626,5)="보완요청("),"미종결 표시","상태 확인 필요"))</x:f>
        <x:v>종결 표시</x:v>
      </x:c>
      <x:c r="L626" s="2" t="str">
        <x:v>KECM</x:v>
      </x:c>
      <x:c r="M626" s="2"/>
      <x:c r="N626" s="8" t="n">
        <x:f>DATE(2026,10,15)-DATE(2020,6,10)</x:f>
        <x:v>2318</x:v>
      </x:c>
      <x:c r="O626" s="2" t="str">
        <x:v>생략</x:v>
      </x:c>
      <x:c r="P626" s="2" t="str">
        <x:v>협의의견 보완 검토 필요</x:v>
      </x:c>
      <x:c r="Q626" s="2" t="str">
        <x:v>산업전환_외부사업관리Tool_260707_이너젠 수정_LJY_261013.xlsx</x:v>
      </x:c>
      <x:c r="R626" s="2" t="str">
        <x:v>국내평가</x:v>
      </x:c>
      <x:c r="S626" s="8" t="n">
        <x:v>529</x:v>
      </x:c>
      <x:c r="T626" s="2" t="str">
        <x:v>(7/12),(9/1)</x:v>
      </x:c>
      <x:c r="U626" s="2" t="str">
        <x:v>2021 배정: (7/12),(9/1) / 2025 배정: (4/17),(6/26),(11/10) / 2026(사전): (1/14)</x:v>
      </x:c>
      <x:c r="V626" s="2" t="str">
        <x:v>2026-09-08</x:v>
      </x:c>
      <x:c r="W626" s="2" t="str"/>
      <x:c r="X626" s="2" t="str">
        <x:v>종결 근거 보관</x:v>
      </x:c>
      <x:c r="Y626" s="2" t="str">
        <x:v>ad210cd9ec132cfd447541c8984dc53d30aff0f4fb2dc92d254d49275cc55976</x:v>
      </x:c>
      <x:c r="Z626" s="2" t="n">
        <x:f>SUBTOTAL(103,A626)</x:f>
        <x:v>1</x:v>
      </x:c>
      <x:c r="AA626" s="2" t="str">
        <x:f>IF(K626&lt;&gt;"미종결 표시","대상 아님",IF(N626="","신청일 확인",IF(NOT(ISNUMBER('종합 현황'!$H$5)),"관찰기준 확인",IF('종합 현황'!$H$5&lt;1,"관찰기준 확인",IF(N626&gt;'종합 현황'!$H$5,"내부 관찰 대상","내부 관찰일 이하")))))</x:f>
        <x:v>대상 아님</x:v>
      </x:c>
      <x:c r="AB626" s="2"/>
    </x:row>
    <x:row r="627" ht="42" customHeight="1">
      <x:c r="A627" s="2" t="str">
        <x:v>80979ee273ff829d15a977c4</x:v>
      </x:c>
      <x:c r="B627" s="2" t="str">
        <x:v>사업 평가</x:v>
      </x:c>
      <x:c r="C627" s="2" t="str">
        <x:v>국내</x:v>
      </x:c>
      <x:c r="D627" s="7" t="str">
        <x:v>원주시 보안등 LED교체 ESCO용역사업</x:v>
      </x:c>
      <x:c r="E627" s="2" t="str">
        <x:v>488</x:v>
      </x:c>
      <x:c r="F627" s="2" t="str">
        <x:v>2023-04-25</x:v>
      </x:c>
      <x:c r="G627" s="2" t="str">
        <x:v>2023</x:v>
      </x:c>
      <x:c r="H627" s="2" t="str">
        <x:v>04</x:v>
      </x:c>
      <x:c r="I627" s="2" t="str">
        <x:v>인증유효기간 갱신</x:v>
      </x:c>
      <x:c r="J627" s="2" t="str">
        <x:v>기후부협의</x:v>
      </x:c>
      <x:c r="K627" s="2" t="str">
        <x:f>IF(OR(J627="심의승인",J627="반려",J627="반려완료",J627="심의완료"),"종결 표시",IF(OR(J627="기후부협의",J627="문서재제출요청",J627="보류",J627="보완요청",J627="보완완료",J627="평가중",J627="반려요청",J627="평가필요",LEFT(J627,5)="보완요청("),"미종결 표시","상태 확인 필요"))</x:f>
        <x:v>미종결 표시</x:v>
      </x:c>
      <x:c r="L627" s="2" t="str">
        <x:v>KECM_이태준</x:v>
      </x:c>
      <x:c r="M627" s="2"/>
      <x:c r="N627" s="8" t="n">
        <x:f>DATE(2026,10,15)-DATE(2023,4,25)</x:f>
        <x:v>1269</x:v>
      </x:c>
      <x:c r="O627" s="2" t="str">
        <x:v>O(4월)</x:v>
      </x:c>
      <x:c r="P627" s="2" t="str">
        <x:v>갱신 전 사업계획서에 대한 모니터링 인증신청 건(1차)이 먼저 승인된 이후에 인증위 상정 필요</x:v>
      </x:c>
      <x:c r="Q627" s="2" t="str">
        <x:v>산업전환_외부사업관리Tool_260707_이너젠 수정_LJY_261013.xlsx</x:v>
      </x:c>
      <x:c r="R627" s="2" t="str">
        <x:v>국내평가</x:v>
      </x:c>
      <x:c r="S627" s="8" t="n">
        <x:v>530</x:v>
      </x:c>
      <x:c r="T627" s="2" t="str">
        <x:v>(4/23),(6/3),(6/28),(7/12),(10/20)</x:v>
      </x:c>
      <x:c r="U627" s="2" t="str">
        <x:v>2021 배정: (4/23),(6/3),(6/28),(7/12),(10/20) / 2023 배정: (5/16) / 2024 배정: (6/10),(7/23)</x:v>
      </x:c>
      <x:c r="V627" s="2" t="str">
        <x:v>2025-01-21</x:v>
      </x:c>
      <x:c r="W627" s="2" t="str"/>
      <x:c r="X627" s="2" t="str">
        <x:v>검토 진행 일정 확인</x:v>
      </x:c>
      <x:c r="Y627" s="2" t="str">
        <x:v>ad210cd9ec132cfd447541c8984dc53d30aff0f4fb2dc92d254d49275cc55976</x:v>
      </x:c>
      <x:c r="Z627" s="2" t="n">
        <x:f>SUBTOTAL(103,A627)</x:f>
        <x:v>1</x:v>
      </x:c>
      <x:c r="AA627" s="2" t="str">
        <x:f>IF(K627&lt;&gt;"미종결 표시","대상 아님",IF(N627="","신청일 확인",IF(NOT(ISNUMBER('종합 현황'!$H$5)),"관찰기준 확인",IF('종합 현황'!$H$5&lt;1,"관찰기준 확인",IF(N627&gt;'종합 현황'!$H$5,"내부 관찰 대상","내부 관찰일 이하")))))</x:f>
        <x:v>내부 관찰 대상</x:v>
      </x:c>
      <x:c r="AB627" s="2"/>
    </x:row>
    <x:row r="628" ht="42" customHeight="1">
      <x:c r="A628" s="2" t="str">
        <x:v>fa62997fb15e58bf35cfd253</x:v>
      </x:c>
      <x:c r="B628" s="2" t="str">
        <x:v>사업 평가</x:v>
      </x:c>
      <x:c r="C628" s="2" t="str">
        <x:v>국내</x:v>
      </x:c>
      <x:c r="D628" s="7" t="str">
        <x:v>롯데케미칼㈜ 공정폐열의 ㈜스마트에너지팩토리 공정스팀 활용사업</x:v>
      </x:c>
      <x:c r="E628" s="2" t="str">
        <x:v>489</x:v>
      </x:c>
      <x:c r="F628" s="2" t="str">
        <x:v>2019-12-25</x:v>
      </x:c>
      <x:c r="G628" s="2" t="str">
        <x:v>2019</x:v>
      </x:c>
      <x:c r="H628" s="2" t="str">
        <x:v>12</x:v>
      </x:c>
      <x:c r="I628" s="2" t="str">
        <x:v>반려</x:v>
      </x:c>
      <x:c r="J628" s="2" t="str">
        <x:v>반려</x:v>
      </x:c>
      <x:c r="K628" s="2" t="str">
        <x:f>IF(OR(J628="심의승인",J628="반려",J628="반려완료",J628="심의완료"),"종결 표시",IF(OR(J628="기후부협의",J628="문서재제출요청",J628="보류",J628="보완요청",J628="보완완료",J628="평가중",J628="반려요청",J628="평가필요",LEFT(J628,5)="보완요청("),"미종결 표시","상태 확인 필요"))</x:f>
        <x:v>종결 표시</x:v>
      </x:c>
      <x:c r="L628" s="2"/>
      <x:c r="M628" s="2"/>
      <x:c r="N628" s="8" t="n">
        <x:f>DATE(2026,10,15)-DATE(2019,12,25)</x:f>
        <x:v>2486</x:v>
      </x:c>
      <x:c r="O628" s="2"/>
      <x:c r="P628" s="2"/>
      <x:c r="Q628" s="2" t="str">
        <x:v>산업전환_외부사업관리Tool_260707_이너젠 수정_LJY_261013.xlsx</x:v>
      </x:c>
      <x:c r="R628" s="2" t="str">
        <x:v>국내평가</x:v>
      </x:c>
      <x:c r="S628" s="8" t="n">
        <x:v>531</x:v>
      </x:c>
      <x:c r="T628" s="2" t="str">
        <x:v>2021년 처리</x:v>
      </x:c>
      <x:c r="U628" s="2" t="str">
        <x:v>2021 배정: 2021년 처리</x:v>
      </x:c>
      <x:c r="V628" s="2" t="str">
        <x:v>2021-11-03</x:v>
      </x:c>
      <x:c r="W628" s="2" t="str">
        <x:v>담당기관 확인</x:v>
      </x:c>
      <x:c r="X628" s="2" t="str">
        <x:v>원본·배정 기록 확인</x:v>
      </x:c>
      <x:c r="Y628" s="2" t="str">
        <x:v>ad210cd9ec132cfd447541c8984dc53d30aff0f4fb2dc92d254d49275cc55976</x:v>
      </x:c>
      <x:c r="Z628" s="2" t="n">
        <x:f>SUBTOTAL(103,A628)</x:f>
        <x:v>1</x:v>
      </x:c>
      <x:c r="AA628" s="2" t="str">
        <x:f>IF(K628&lt;&gt;"미종결 표시","대상 아님",IF(N628="","신청일 확인",IF(NOT(ISNUMBER('종합 현황'!$H$5)),"관찰기준 확인",IF('종합 현황'!$H$5&lt;1,"관찰기준 확인",IF(N628&gt;'종합 현황'!$H$5,"내부 관찰 대상","내부 관찰일 이하")))))</x:f>
        <x:v>대상 아님</x:v>
      </x:c>
      <x:c r="AB628" s="2"/>
    </x:row>
    <x:row r="629" ht="42" customHeight="1">
      <x:c r="A629" s="2" t="str">
        <x:v>49050f1b4e7171c7c6ba407e</x:v>
      </x:c>
      <x:c r="B629" s="2" t="str">
        <x:v>사업 평가</x:v>
      </x:c>
      <x:c r="C629" s="2" t="str">
        <x:v>국내</x:v>
      </x:c>
      <x:c r="D629" s="7" t="str">
        <x:v>아산이피에스(주) 연료전환(B-C유→LPG) 온실가스 감축사업</x:v>
      </x:c>
      <x:c r="E629" s="2" t="str">
        <x:v>490</x:v>
      </x:c>
      <x:c r="F629" s="2" t="str">
        <x:v>2020-01-16</x:v>
      </x:c>
      <x:c r="G629" s="2" t="str">
        <x:v>2020</x:v>
      </x:c>
      <x:c r="H629" s="2" t="str">
        <x:v>01</x:v>
      </x:c>
      <x:c r="I629" s="2" t="str">
        <x:v>반려</x:v>
      </x:c>
      <x:c r="J629" s="2" t="str">
        <x:v>반려</x:v>
      </x:c>
      <x:c r="K629" s="2" t="str">
        <x:f>IF(OR(J629="심의승인",J629="반려",J629="반려완료",J629="심의완료"),"종결 표시",IF(OR(J629="기후부협의",J629="문서재제출요청",J629="보류",J629="보완요청",J629="보완완료",J629="평가중",J629="반려요청",J629="평가필요",LEFT(J629,5)="보완요청("),"미종결 표시","상태 확인 필요"))</x:f>
        <x:v>종결 표시</x:v>
      </x:c>
      <x:c r="L629" s="2"/>
      <x:c r="M629" s="2"/>
      <x:c r="N629" s="8" t="n">
        <x:f>DATE(2026,10,15)-DATE(2020,1,16)</x:f>
        <x:v>2464</x:v>
      </x:c>
      <x:c r="O629" s="2"/>
      <x:c r="P629" s="2"/>
      <x:c r="Q629" s="2" t="str">
        <x:v>산업전환_외부사업관리Tool_260707_이너젠 수정_LJY_261013.xlsx</x:v>
      </x:c>
      <x:c r="R629" s="2" t="str">
        <x:v>국내평가</x:v>
      </x:c>
      <x:c r="S629" s="8" t="n">
        <x:v>532</x:v>
      </x:c>
      <x:c r="T629" s="2" t="str">
        <x:v>2021년 처리</x:v>
      </x:c>
      <x:c r="U629" s="2" t="str">
        <x:v>2021 배정: 2021년 처리</x:v>
      </x:c>
      <x:c r="V629" s="2" t="str">
        <x:v>2021-07-23</x:v>
      </x:c>
      <x:c r="W629" s="2" t="str">
        <x:v>담당기관 확인</x:v>
      </x:c>
      <x:c r="X629" s="2" t="str">
        <x:v>원본·배정 기록 확인</x:v>
      </x:c>
      <x:c r="Y629" s="2" t="str">
        <x:v>ad210cd9ec132cfd447541c8984dc53d30aff0f4fb2dc92d254d49275cc55976</x:v>
      </x:c>
      <x:c r="Z629" s="2" t="n">
        <x:f>SUBTOTAL(103,A629)</x:f>
        <x:v>1</x:v>
      </x:c>
      <x:c r="AA629" s="2" t="str">
        <x:f>IF(K629&lt;&gt;"미종결 표시","대상 아님",IF(N629="","신청일 확인",IF(NOT(ISNUMBER('종합 현황'!$H$5)),"관찰기준 확인",IF('종합 현황'!$H$5&lt;1,"관찰기준 확인",IF(N629&gt;'종합 현황'!$H$5,"내부 관찰 대상","내부 관찰일 이하")))))</x:f>
        <x:v>대상 아님</x:v>
      </x:c>
      <x:c r="AB629" s="2"/>
    </x:row>
    <x:row r="630" ht="42" customHeight="1">
      <x:c r="A630" s="2" t="str">
        <x:v>4703af7056ac32ca6e553337</x:v>
      </x:c>
      <x:c r="B630" s="2" t="str">
        <x:v>사업 평가</x:v>
      </x:c>
      <x:c r="C630" s="2" t="str">
        <x:v>국내</x:v>
      </x:c>
      <x:c r="D630" s="7" t="str">
        <x:v>휴켐스(주) 신설 6질산 공장에서 발생하는 아산화질소(N2O) 배출량 저감사업</x:v>
      </x:c>
      <x:c r="E630" s="2" t="str">
        <x:v>491</x:v>
      </x:c>
      <x:c r="F630" s="2" t="str">
        <x:v>2020-02-24</x:v>
      </x:c>
      <x:c r="G630" s="2" t="str">
        <x:v>2020</x:v>
      </x:c>
      <x:c r="H630" s="2" t="str">
        <x:v>02</x:v>
      </x:c>
      <x:c r="I630" s="2" t="str">
        <x:v>반려</x:v>
      </x:c>
      <x:c r="J630" s="2" t="str">
        <x:v>반려</x:v>
      </x:c>
      <x:c r="K630" s="2" t="str">
        <x:f>IF(OR(J630="심의승인",J630="반려",J630="반려완료",J630="심의완료"),"종결 표시",IF(OR(J630="기후부협의",J630="문서재제출요청",J630="보류",J630="보완요청",J630="보완완료",J630="평가중",J630="반려요청",J630="평가필요",LEFT(J630,5)="보완요청("),"미종결 표시","상태 확인 필요"))</x:f>
        <x:v>종결 표시</x:v>
      </x:c>
      <x:c r="L630" s="2"/>
      <x:c r="M630" s="2"/>
      <x:c r="N630" s="8" t="n">
        <x:f>DATE(2026,10,15)-DATE(2020,2,24)</x:f>
        <x:v>2425</x:v>
      </x:c>
      <x:c r="O630" s="2"/>
      <x:c r="P630" s="2"/>
      <x:c r="Q630" s="2" t="str">
        <x:v>산업전환_외부사업관리Tool_260707_이너젠 수정_LJY_261013.xlsx</x:v>
      </x:c>
      <x:c r="R630" s="2" t="str">
        <x:v>국내평가</x:v>
      </x:c>
      <x:c r="S630" s="8" t="n">
        <x:v>533</x:v>
      </x:c>
      <x:c r="T630" s="2"/>
      <x:c r="U630" s="2" t="str"/>
      <x:c r="V630" s="2" t="str">
        <x:v>2020-05-21</x:v>
      </x:c>
      <x:c r="W630" s="2" t="str">
        <x:v>담당기관 확인</x:v>
      </x:c>
      <x:c r="X630" s="2" t="str">
        <x:v>원본·배정 기록 확인</x:v>
      </x:c>
      <x:c r="Y630" s="2" t="str">
        <x:v>ad210cd9ec132cfd447541c8984dc53d30aff0f4fb2dc92d254d49275cc55976</x:v>
      </x:c>
      <x:c r="Z630" s="2" t="n">
        <x:f>SUBTOTAL(103,A630)</x:f>
        <x:v>1</x:v>
      </x:c>
      <x:c r="AA630" s="2" t="str">
        <x:f>IF(K630&lt;&gt;"미종결 표시","대상 아님",IF(N630="","신청일 확인",IF(NOT(ISNUMBER('종합 현황'!$H$5)),"관찰기준 확인",IF('종합 현황'!$H$5&lt;1,"관찰기준 확인",IF(N630&gt;'종합 현황'!$H$5,"내부 관찰 대상","내부 관찰일 이하")))))</x:f>
        <x:v>대상 아님</x:v>
      </x:c>
      <x:c r="AB630" s="2"/>
    </x:row>
    <x:row r="631" ht="42" customHeight="1">
      <x:c r="A631" s="2" t="str">
        <x:v>15a545a963675545474001ee</x:v>
      </x:c>
      <x:c r="B631" s="2" t="str">
        <x:v>사업 평가</x:v>
      </x:c>
      <x:c r="C631" s="2" t="str">
        <x:v>국내</x:v>
      </x:c>
      <x:c r="D631" s="7" t="str">
        <x:v>삼승텍스타일의 LPG에서 LNG로 연료전환을 통한 온실가스 배출 감축사업</x:v>
      </x:c>
      <x:c r="E631" s="2" t="str">
        <x:v>492</x:v>
      </x:c>
      <x:c r="F631" s="2" t="str">
        <x:v>2020-03-06</x:v>
      </x:c>
      <x:c r="G631" s="2" t="str">
        <x:v>2020</x:v>
      </x:c>
      <x:c r="H631" s="2" t="str">
        <x:v>03</x:v>
      </x:c>
      <x:c r="I631" s="2" t="str">
        <x:v>반려</x:v>
      </x:c>
      <x:c r="J631" s="2" t="str">
        <x:v>반려</x:v>
      </x:c>
      <x:c r="K631" s="2" t="str">
        <x:f>IF(OR(J631="심의승인",J631="반려",J631="반려완료",J631="심의완료"),"종결 표시",IF(OR(J631="기후부협의",J631="문서재제출요청",J631="보류",J631="보완요청",J631="보완완료",J631="평가중",J631="반려요청",J631="평가필요",LEFT(J631,5)="보완요청("),"미종결 표시","상태 확인 필요"))</x:f>
        <x:v>종결 표시</x:v>
      </x:c>
      <x:c r="L631" s="2" t="str">
        <x:v>KECM</x:v>
      </x:c>
      <x:c r="M631" s="2"/>
      <x:c r="N631" s="8" t="n">
        <x:f>DATE(2026,10,15)-DATE(2020,3,6)</x:f>
        <x:v>2414</x:v>
      </x:c>
      <x:c r="O631" s="2"/>
      <x:c r="P631" s="2"/>
      <x:c r="Q631" s="2" t="str">
        <x:v>산업전환_외부사업관리Tool_260707_이너젠 수정_LJY_261013.xlsx</x:v>
      </x:c>
      <x:c r="R631" s="2" t="str">
        <x:v>국내평가</x:v>
      </x:c>
      <x:c r="S631" s="8" t="n">
        <x:v>534</x:v>
      </x:c>
      <x:c r="T631" s="2" t="str">
        <x:v>(5/7)</x:v>
      </x:c>
      <x:c r="U631" s="2" t="str">
        <x:v>2021 배정: (5/7)</x:v>
      </x:c>
      <x:c r="V631" s="2" t="str">
        <x:v>2021-05-10</x:v>
      </x:c>
      <x:c r="W631" s="2" t="str"/>
      <x:c r="X631" s="2" t="str">
        <x:v>종결 근거 보관</x:v>
      </x:c>
      <x:c r="Y631" s="2" t="str">
        <x:v>ad210cd9ec132cfd447541c8984dc53d30aff0f4fb2dc92d254d49275cc55976</x:v>
      </x:c>
      <x:c r="Z631" s="2" t="n">
        <x:f>SUBTOTAL(103,A631)</x:f>
        <x:v>1</x:v>
      </x:c>
      <x:c r="AA631" s="2" t="str">
        <x:f>IF(K631&lt;&gt;"미종결 표시","대상 아님",IF(N631="","신청일 확인",IF(NOT(ISNUMBER('종합 현황'!$H$5)),"관찰기준 확인",IF('종합 현황'!$H$5&lt;1,"관찰기준 확인",IF(N631&gt;'종합 현황'!$H$5,"내부 관찰 대상","내부 관찰일 이하")))))</x:f>
        <x:v>대상 아님</x:v>
      </x:c>
      <x:c r="AB631" s="2"/>
    </x:row>
    <x:row r="632" ht="42" customHeight="1">
      <x:c r="A632" s="2" t="str">
        <x:v>f4c36864a04effc848217f84</x:v>
      </x:c>
      <x:c r="B632" s="2" t="str">
        <x:v>사업 평가</x:v>
      </x:c>
      <x:c r="C632" s="2" t="str">
        <x:v>국내</x:v>
      </x:c>
      <x:c r="D632" s="7" t="str">
        <x:v>삼천리 도시가스 공급 권역의 연료전환을 통한 프로그램 감축사업</x:v>
      </x:c>
      <x:c r="E632" s="2" t="str">
        <x:v>493</x:v>
      </x:c>
      <x:c r="F632" s="2" t="str">
        <x:v>2020-03-13</x:v>
      </x:c>
      <x:c r="G632" s="2" t="str">
        <x:v>2020</x:v>
      </x:c>
      <x:c r="H632" s="2" t="str">
        <x:v>03</x:v>
      </x:c>
      <x:c r="I632" s="2" t="str">
        <x:v>반려</x:v>
      </x:c>
      <x:c r="J632" s="2" t="str">
        <x:v>반려</x:v>
      </x:c>
      <x:c r="K632" s="2" t="str">
        <x:f>IF(OR(J632="심의승인",J632="반려",J632="반려완료",J632="심의완료"),"종결 표시",IF(OR(J632="기후부협의",J632="문서재제출요청",J632="보류",J632="보완요청",J632="보완완료",J632="평가중",J632="반려요청",J632="평가필요",LEFT(J632,5)="보완요청("),"미종결 표시","상태 확인 필요"))</x:f>
        <x:v>종결 표시</x:v>
      </x:c>
      <x:c r="L632" s="2"/>
      <x:c r="M632" s="2"/>
      <x:c r="N632" s="8" t="n">
        <x:f>DATE(2026,10,15)-DATE(2020,3,13)</x:f>
        <x:v>2407</x:v>
      </x:c>
      <x:c r="O632" s="2"/>
      <x:c r="P632" s="2"/>
      <x:c r="Q632" s="2" t="str">
        <x:v>산업전환_외부사업관리Tool_260707_이너젠 수정_LJY_261013.xlsx</x:v>
      </x:c>
      <x:c r="R632" s="2" t="str">
        <x:v>국내평가</x:v>
      </x:c>
      <x:c r="S632" s="8" t="n">
        <x:v>535</x:v>
      </x:c>
      <x:c r="T632" s="2"/>
      <x:c r="U632" s="2" t="str"/>
      <x:c r="V632" s="2" t="str">
        <x:v>2020-12-24</x:v>
      </x:c>
      <x:c r="W632" s="2" t="str">
        <x:v>담당기관 확인</x:v>
      </x:c>
      <x:c r="X632" s="2" t="str">
        <x:v>원본·배정 기록 확인</x:v>
      </x:c>
      <x:c r="Y632" s="2" t="str">
        <x:v>ad210cd9ec132cfd447541c8984dc53d30aff0f4fb2dc92d254d49275cc55976</x:v>
      </x:c>
      <x:c r="Z632" s="2" t="n">
        <x:f>SUBTOTAL(103,A632)</x:f>
        <x:v>1</x:v>
      </x:c>
      <x:c r="AA632" s="2" t="str">
        <x:f>IF(K632&lt;&gt;"미종결 표시","대상 아님",IF(N632="","신청일 확인",IF(NOT(ISNUMBER('종합 현황'!$H$5)),"관찰기준 확인",IF('종합 현황'!$H$5&lt;1,"관찰기준 확인",IF(N632&gt;'종합 현황'!$H$5,"내부 관찰 대상","내부 관찰일 이하")))))</x:f>
        <x:v>대상 아님</x:v>
      </x:c>
      <x:c r="AB632" s="2"/>
    </x:row>
    <x:row r="633" ht="42" customHeight="1">
      <x:c r="A633" s="2" t="str">
        <x:v>398e5dd5e6b4de0262ff3a76</x:v>
      </x:c>
      <x:c r="B633" s="2" t="str">
        <x:v>사업 평가</x:v>
      </x:c>
      <x:c r="C633" s="2" t="str">
        <x:v>국내</x:v>
      </x:c>
      <x:c r="D633" s="7" t="str">
        <x:v>(주)바라 고효율 인버터형 공기압축기 교체를 통한 온실가스 감축사업</x:v>
      </x:c>
      <x:c r="E633" s="2" t="str">
        <x:v>494</x:v>
      </x:c>
      <x:c r="F633" s="2" t="str">
        <x:v>2020-06-10</x:v>
      </x:c>
      <x:c r="G633" s="2" t="str">
        <x:v>2020</x:v>
      </x:c>
      <x:c r="H633" s="2" t="str">
        <x:v>06</x:v>
      </x:c>
      <x:c r="I633" s="2" t="str">
        <x:v>반려</x:v>
      </x:c>
      <x:c r="J633" s="2" t="str">
        <x:v>반려</x:v>
      </x:c>
      <x:c r="K633" s="2" t="str">
        <x:f>IF(OR(J633="심의승인",J633="반려",J633="반려완료",J633="심의완료"),"종결 표시",IF(OR(J633="기후부협의",J633="문서재제출요청",J633="보류",J633="보완요청",J633="보완완료",J633="평가중",J633="반려요청",J633="평가필요",LEFT(J633,5)="보완요청("),"미종결 표시","상태 확인 필요"))</x:f>
        <x:v>종결 표시</x:v>
      </x:c>
      <x:c r="L633" s="2" t="str">
        <x:v>공단_강송희</x:v>
      </x:c>
      <x:c r="M633" s="2"/>
      <x:c r="N633" s="8" t="n">
        <x:f>DATE(2026,10,15)-DATE(2020,6,10)</x:f>
        <x:v>2318</x:v>
      </x:c>
      <x:c r="O633" s="2" t="str">
        <x:v>O</x:v>
      </x:c>
      <x:c r="P633" s="2"/>
      <x:c r="Q633" s="2" t="str">
        <x:v>산업전환_외부사업관리Tool_260707_이너젠 수정_LJY_261013.xlsx</x:v>
      </x:c>
      <x:c r="R633" s="2" t="str">
        <x:v>국내평가</x:v>
      </x:c>
      <x:c r="S633" s="8" t="n">
        <x:v>536</x:v>
      </x:c>
      <x:c r="T633" s="2" t="str">
        <x:v>(7/12)</x:v>
      </x:c>
      <x:c r="U633" s="2" t="str">
        <x:v>2021 배정: (7/12)</x:v>
      </x:c>
      <x:c r="V633" s="2" t="str">
        <x:v>2021-11-15</x:v>
      </x:c>
      <x:c r="W633" s="2" t="str"/>
      <x:c r="X633" s="2" t="str">
        <x:v>종결 근거 보관</x:v>
      </x:c>
      <x:c r="Y633" s="2" t="str">
        <x:v>ad210cd9ec132cfd447541c8984dc53d30aff0f4fb2dc92d254d49275cc55976</x:v>
      </x:c>
      <x:c r="Z633" s="2" t="n">
        <x:f>SUBTOTAL(103,A633)</x:f>
        <x:v>1</x:v>
      </x:c>
      <x:c r="AA633" s="2" t="str">
        <x:f>IF(K633&lt;&gt;"미종결 표시","대상 아님",IF(N633="","신청일 확인",IF(NOT(ISNUMBER('종합 현황'!$H$5)),"관찰기준 확인",IF('종합 현황'!$H$5&lt;1,"관찰기준 확인",IF(N633&gt;'종합 현황'!$H$5,"내부 관찰 대상","내부 관찰일 이하")))))</x:f>
        <x:v>대상 아님</x:v>
      </x:c>
      <x:c r="AB633" s="2"/>
    </x:row>
    <x:row r="634" ht="42" customHeight="1">
      <x:c r="A634" s="2" t="str">
        <x:v>825589985914ca8cdd9c04ec</x:v>
      </x:c>
      <x:c r="B634" s="2" t="str">
        <x:v>사업 평가</x:v>
      </x:c>
      <x:c r="C634" s="2" t="str">
        <x:v>국내</x:v>
      </x:c>
      <x:c r="D634" s="7" t="str">
        <x:v>(주)팔마 보일러 연료교체 KVER사업</x:v>
      </x:c>
      <x:c r="E634" s="2" t="str">
        <x:v>495</x:v>
      </x:c>
      <x:c r="F634" s="2" t="str">
        <x:v>2020-07-08</x:v>
      </x:c>
      <x:c r="G634" s="2" t="str">
        <x:v>2020</x:v>
      </x:c>
      <x:c r="H634" s="2" t="str">
        <x:v>07</x:v>
      </x:c>
      <x:c r="I634" s="2" t="str">
        <x:v>반려</x:v>
      </x:c>
      <x:c r="J634" s="2" t="str">
        <x:v>반려</x:v>
      </x:c>
      <x:c r="K634" s="2" t="str">
        <x:f>IF(OR(J634="심의승인",J634="반려",J634="반려완료",J634="심의완료"),"종결 표시",IF(OR(J634="기후부협의",J634="문서재제출요청",J634="보류",J634="보완요청",J634="보완완료",J634="평가중",J634="반려요청",J634="평가필요",LEFT(J634,5)="보완요청("),"미종결 표시","상태 확인 필요"))</x:f>
        <x:v>종결 표시</x:v>
      </x:c>
      <x:c r="L634" s="2"/>
      <x:c r="M634" s="2"/>
      <x:c r="N634" s="8" t="n">
        <x:f>DATE(2026,10,15)-DATE(2020,7,8)</x:f>
        <x:v>2290</x:v>
      </x:c>
      <x:c r="O634" s="2"/>
      <x:c r="P634" s="2"/>
      <x:c r="Q634" s="2" t="str">
        <x:v>산업전환_외부사업관리Tool_260707_이너젠 수정_LJY_261013.xlsx</x:v>
      </x:c>
      <x:c r="R634" s="2" t="str">
        <x:v>국내평가</x:v>
      </x:c>
      <x:c r="S634" s="8" t="n">
        <x:v>537</x:v>
      </x:c>
      <x:c r="T634" s="2" t="str">
        <x:v>2021년 처리</x:v>
      </x:c>
      <x:c r="U634" s="2" t="str">
        <x:v>2021 배정: 2021년 처리</x:v>
      </x:c>
      <x:c r="V634" s="2" t="str">
        <x:v>2021-07-16</x:v>
      </x:c>
      <x:c r="W634" s="2" t="str">
        <x:v>담당기관 확인</x:v>
      </x:c>
      <x:c r="X634" s="2" t="str">
        <x:v>원본·배정 기록 확인</x:v>
      </x:c>
      <x:c r="Y634" s="2" t="str">
        <x:v>ad210cd9ec132cfd447541c8984dc53d30aff0f4fb2dc92d254d49275cc55976</x:v>
      </x:c>
      <x:c r="Z634" s="2" t="n">
        <x:f>SUBTOTAL(103,A634)</x:f>
        <x:v>1</x:v>
      </x:c>
      <x:c r="AA634" s="2" t="str">
        <x:f>IF(K634&lt;&gt;"미종결 표시","대상 아님",IF(N634="","신청일 확인",IF(NOT(ISNUMBER('종합 현황'!$H$5)),"관찰기준 확인",IF('종합 현황'!$H$5&lt;1,"관찰기준 확인",IF(N634&gt;'종합 현황'!$H$5,"내부 관찰 대상","내부 관찰일 이하")))))</x:f>
        <x:v>대상 아님</x:v>
      </x:c>
      <x:c r="AB634" s="2"/>
    </x:row>
    <x:row r="635" ht="42" customHeight="1">
      <x:c r="A635" s="2" t="str">
        <x:v>7a6f484b764b30a8dfeec818</x:v>
      </x:c>
      <x:c r="B635" s="2" t="str">
        <x:v>사업 평가</x:v>
      </x:c>
      <x:c r="C635" s="2" t="str">
        <x:v>국내</x:v>
      </x:c>
      <x:c r="D635" s="7" t="str">
        <x:v>(주)도원 아스콘 드라이어 버너 연료전환(B-C유 → LPG)을 통한 온실가스(CO2) 감축사업</x:v>
      </x:c>
      <x:c r="E635" s="2" t="str">
        <x:v>496</x:v>
      </x:c>
      <x:c r="F635" s="2" t="str">
        <x:v>2020-07-08</x:v>
      </x:c>
      <x:c r="G635" s="2" t="str">
        <x:v>2020</x:v>
      </x:c>
      <x:c r="H635" s="2" t="str">
        <x:v>07</x:v>
      </x:c>
      <x:c r="I635" s="2" t="str">
        <x:v>반려</x:v>
      </x:c>
      <x:c r="J635" s="2" t="str">
        <x:v>반려</x:v>
      </x:c>
      <x:c r="K635" s="2" t="str">
        <x:f>IF(OR(J635="심의승인",J635="반려",J635="반려완료",J635="심의완료"),"종결 표시",IF(OR(J635="기후부협의",J635="문서재제출요청",J635="보류",J635="보완요청",J635="보완완료",J635="평가중",J635="반려요청",J635="평가필요",LEFT(J635,5)="보완요청("),"미종결 표시","상태 확인 필요"))</x:f>
        <x:v>종결 표시</x:v>
      </x:c>
      <x:c r="L635" s="2"/>
      <x:c r="M635" s="2"/>
      <x:c r="N635" s="8" t="n">
        <x:f>DATE(2026,10,15)-DATE(2020,7,8)</x:f>
        <x:v>2290</x:v>
      </x:c>
      <x:c r="O635" s="2"/>
      <x:c r="P635" s="2"/>
      <x:c r="Q635" s="2" t="str">
        <x:v>산업전환_외부사업관리Tool_260707_이너젠 수정_LJY_261013.xlsx</x:v>
      </x:c>
      <x:c r="R635" s="2" t="str">
        <x:v>국내평가</x:v>
      </x:c>
      <x:c r="S635" s="8" t="n">
        <x:v>538</x:v>
      </x:c>
      <x:c r="T635" s="2" t="str">
        <x:v>2021년 처리</x:v>
      </x:c>
      <x:c r="U635" s="2" t="str">
        <x:v>2021 배정: 2021년 처리</x:v>
      </x:c>
      <x:c r="V635" s="2" t="str">
        <x:v>2021-07-16</x:v>
      </x:c>
      <x:c r="W635" s="2" t="str">
        <x:v>담당기관 확인</x:v>
      </x:c>
      <x:c r="X635" s="2" t="str">
        <x:v>원본·배정 기록 확인</x:v>
      </x:c>
      <x:c r="Y635" s="2" t="str">
        <x:v>ad210cd9ec132cfd447541c8984dc53d30aff0f4fb2dc92d254d49275cc55976</x:v>
      </x:c>
      <x:c r="Z635" s="2" t="n">
        <x:f>SUBTOTAL(103,A635)</x:f>
        <x:v>1</x:v>
      </x:c>
      <x:c r="AA635" s="2" t="str">
        <x:f>IF(K635&lt;&gt;"미종결 표시","대상 아님",IF(N635="","신청일 확인",IF(NOT(ISNUMBER('종합 현황'!$H$5)),"관찰기준 확인",IF('종합 현황'!$H$5&lt;1,"관찰기준 확인",IF(N635&gt;'종합 현황'!$H$5,"내부 관찰 대상","내부 관찰일 이하")))))</x:f>
        <x:v>대상 아님</x:v>
      </x:c>
      <x:c r="AB635" s="2"/>
    </x:row>
    <x:row r="636" ht="42" customHeight="1">
      <x:c r="A636" s="2" t="str">
        <x:v>d04c62de7a3444536044f5b8</x:v>
      </x:c>
      <x:c r="B636" s="2" t="str">
        <x:v>사업 평가</x:v>
      </x:c>
      <x:c r="C636" s="2" t="str">
        <x:v>국내</x:v>
      </x:c>
      <x:c r="D636" s="7" t="str">
        <x:v>(주)일석 아스콘 드라이어 버너 연료전환(B-C유 → LPG)을 통한 온실가스(CO2) 감축사업</x:v>
      </x:c>
      <x:c r="E636" s="2" t="str">
        <x:v>497</x:v>
      </x:c>
      <x:c r="F636" s="2" t="str">
        <x:v>2020-07-08</x:v>
      </x:c>
      <x:c r="G636" s="2" t="str">
        <x:v>2020</x:v>
      </x:c>
      <x:c r="H636" s="2" t="str">
        <x:v>07</x:v>
      </x:c>
      <x:c r="I636" s="2" t="str">
        <x:v>반려</x:v>
      </x:c>
      <x:c r="J636" s="2" t="str">
        <x:v>반려</x:v>
      </x:c>
      <x:c r="K636" s="2" t="str">
        <x:f>IF(OR(J636="심의승인",J636="반려",J636="반려완료",J636="심의완료"),"종결 표시",IF(OR(J636="기후부협의",J636="문서재제출요청",J636="보류",J636="보완요청",J636="보완완료",J636="평가중",J636="반려요청",J636="평가필요",LEFT(J636,5)="보완요청("),"미종결 표시","상태 확인 필요"))</x:f>
        <x:v>종결 표시</x:v>
      </x:c>
      <x:c r="L636" s="2"/>
      <x:c r="M636" s="2"/>
      <x:c r="N636" s="8" t="n">
        <x:f>DATE(2026,10,15)-DATE(2020,7,8)</x:f>
        <x:v>2290</x:v>
      </x:c>
      <x:c r="O636" s="2"/>
      <x:c r="P636" s="2"/>
      <x:c r="Q636" s="2" t="str">
        <x:v>산업전환_외부사업관리Tool_260707_이너젠 수정_LJY_261013.xlsx</x:v>
      </x:c>
      <x:c r="R636" s="2" t="str">
        <x:v>국내평가</x:v>
      </x:c>
      <x:c r="S636" s="8" t="n">
        <x:v>539</x:v>
      </x:c>
      <x:c r="T636" s="2" t="str">
        <x:v>2021년 처리</x:v>
      </x:c>
      <x:c r="U636" s="2" t="str">
        <x:v>2021 배정: 2021년 처리</x:v>
      </x:c>
      <x:c r="V636" s="2" t="str">
        <x:v>2021-07-16</x:v>
      </x:c>
      <x:c r="W636" s="2" t="str">
        <x:v>담당기관 확인</x:v>
      </x:c>
      <x:c r="X636" s="2" t="str">
        <x:v>원본·배정 기록 확인</x:v>
      </x:c>
      <x:c r="Y636" s="2" t="str">
        <x:v>ad210cd9ec132cfd447541c8984dc53d30aff0f4fb2dc92d254d49275cc55976</x:v>
      </x:c>
      <x:c r="Z636" s="2" t="n">
        <x:f>SUBTOTAL(103,A636)</x:f>
        <x:v>1</x:v>
      </x:c>
      <x:c r="AA636" s="2" t="str">
        <x:f>IF(K636&lt;&gt;"미종결 표시","대상 아님",IF(N636="","신청일 확인",IF(NOT(ISNUMBER('종합 현황'!$H$5)),"관찰기준 확인",IF('종합 현황'!$H$5&lt;1,"관찰기준 확인",IF(N636&gt;'종합 현황'!$H$5,"내부 관찰 대상","내부 관찰일 이하")))))</x:f>
        <x:v>대상 아님</x:v>
      </x:c>
      <x:c r="AB636" s="2"/>
    </x:row>
    <x:row r="637" ht="42" customHeight="1">
      <x:c r="A637" s="2" t="str">
        <x:v>b831c842da209ccf3d5c78e0</x:v>
      </x:c>
      <x:c r="B637" s="2" t="str">
        <x:v>사업 평가</x:v>
      </x:c>
      <x:c r="C637" s="2" t="str">
        <x:v>국내</x:v>
      </x:c>
      <x:c r="D637" s="7" t="str">
        <x:v>㈜네오세라믹의 소성로 연료교체(LPG→LNG)를 통한 온실가스(CO2) 배출 감축사업</x:v>
      </x:c>
      <x:c r="E637" s="2" t="str">
        <x:v>498</x:v>
      </x:c>
      <x:c r="F637" s="2" t="str">
        <x:v>2020-07-08</x:v>
      </x:c>
      <x:c r="G637" s="2" t="str">
        <x:v>2020</x:v>
      </x:c>
      <x:c r="H637" s="2" t="str">
        <x:v>07</x:v>
      </x:c>
      <x:c r="I637" s="2" t="str">
        <x:v>반려</x:v>
      </x:c>
      <x:c r="J637" s="2" t="str">
        <x:v>반려</x:v>
      </x:c>
      <x:c r="K637" s="2" t="str">
        <x:f>IF(OR(J637="심의승인",J637="반려",J637="반려완료",J637="심의완료"),"종결 표시",IF(OR(J637="기후부협의",J637="문서재제출요청",J637="보류",J637="보완요청",J637="보완완료",J637="평가중",J637="반려요청",J637="평가필요",LEFT(J637,5)="보완요청("),"미종결 표시","상태 확인 필요"))</x:f>
        <x:v>종결 표시</x:v>
      </x:c>
      <x:c r="L637" s="2"/>
      <x:c r="M637" s="2"/>
      <x:c r="N637" s="8" t="n">
        <x:f>DATE(2026,10,15)-DATE(2020,7,8)</x:f>
        <x:v>2290</x:v>
      </x:c>
      <x:c r="O637" s="2"/>
      <x:c r="P637" s="2"/>
      <x:c r="Q637" s="2" t="str">
        <x:v>산업전환_외부사업관리Tool_260707_이너젠 수정_LJY_261013.xlsx</x:v>
      </x:c>
      <x:c r="R637" s="2" t="str">
        <x:v>국내평가</x:v>
      </x:c>
      <x:c r="S637" s="8" t="n">
        <x:v>540</x:v>
      </x:c>
      <x:c r="T637" s="2" t="str">
        <x:v>2021년 처리</x:v>
      </x:c>
      <x:c r="U637" s="2" t="str">
        <x:v>2021 배정: 2021년 처리</x:v>
      </x:c>
      <x:c r="V637" s="2" t="str">
        <x:v>2021-07-16</x:v>
      </x:c>
      <x:c r="W637" s="2" t="str">
        <x:v>담당기관 확인</x:v>
      </x:c>
      <x:c r="X637" s="2" t="str">
        <x:v>원본·배정 기록 확인</x:v>
      </x:c>
      <x:c r="Y637" s="2" t="str">
        <x:v>ad210cd9ec132cfd447541c8984dc53d30aff0f4fb2dc92d254d49275cc55976</x:v>
      </x:c>
      <x:c r="Z637" s="2" t="n">
        <x:f>SUBTOTAL(103,A637)</x:f>
        <x:v>1</x:v>
      </x:c>
      <x:c r="AA637" s="2" t="str">
        <x:f>IF(K637&lt;&gt;"미종결 표시","대상 아님",IF(N637="","신청일 확인",IF(NOT(ISNUMBER('종합 현황'!$H$5)),"관찰기준 확인",IF('종합 현황'!$H$5&lt;1,"관찰기준 확인",IF(N637&gt;'종합 현황'!$H$5,"내부 관찰 대상","내부 관찰일 이하")))))</x:f>
        <x:v>대상 아님</x:v>
      </x:c>
      <x:c r="AB637" s="2"/>
    </x:row>
    <x:row r="638" ht="42" customHeight="1">
      <x:c r="A638" s="2" t="str">
        <x:v>287c2c31ef22cd9ae6ff3680</x:v>
      </x:c>
      <x:c r="B638" s="2" t="str">
        <x:v>사업 평가</x:v>
      </x:c>
      <x:c r="C638" s="2" t="str">
        <x:v>국내</x:v>
      </x:c>
      <x:c r="D638" s="7" t="str">
        <x:v>㈜한국다이케스팅 고효율 공기압축기 교체를 통한 온실가스 감축사업</x:v>
      </x:c>
      <x:c r="E638" s="2" t="str">
        <x:v>499</x:v>
      </x:c>
      <x:c r="F638" s="2" t="str">
        <x:v>2019-12-24</x:v>
      </x:c>
      <x:c r="G638" s="2" t="str">
        <x:v>2019</x:v>
      </x:c>
      <x:c r="H638" s="2" t="str">
        <x:v>12</x:v>
      </x:c>
      <x:c r="I638" s="2" t="str">
        <x:v>승인</x:v>
      </x:c>
      <x:c r="J638" s="2" t="str">
        <x:v>심의승인</x:v>
      </x:c>
      <x:c r="K638" s="2" t="str">
        <x:f>IF(OR(J638="심의승인",J638="반려",J638="반려완료",J638="심의완료"),"종결 표시",IF(OR(J638="기후부협의",J638="문서재제출요청",J638="보류",J638="보완요청",J638="보완완료",J638="평가중",J638="반려요청",J638="평가필요",LEFT(J638,5)="보완요청("),"미종결 표시","상태 확인 필요"))</x:f>
        <x:v>종결 표시</x:v>
      </x:c>
      <x:c r="L638" s="2" t="str">
        <x:v>공단_강송희</x:v>
      </x:c>
      <x:c r="M638" s="2"/>
      <x:c r="N638" s="8" t="n">
        <x:f>DATE(2026,10,15)-DATE(2019,12,24)</x:f>
        <x:v>2487</x:v>
      </x:c>
      <x:c r="O638" s="2" t="str">
        <x:v>O</x:v>
      </x:c>
      <x:c r="P638" s="2"/>
      <x:c r="Q638" s="2" t="str">
        <x:v>산업전환_외부사업관리Tool_260707_이너젠 수정_LJY_261013.xlsx</x:v>
      </x:c>
      <x:c r="R638" s="2" t="str">
        <x:v>국내평가</x:v>
      </x:c>
      <x:c r="S638" s="8" t="n">
        <x:v>541</x:v>
      </x:c>
      <x:c r="T638" s="2" t="str">
        <x:v>(7/12),(12/1)</x:v>
      </x:c>
      <x:c r="U638" s="2" t="str">
        <x:v>2021 배정: (7/12),(12/1)</x:v>
      </x:c>
      <x:c r="V638" s="2" t="str">
        <x:v>2022-04-19</x:v>
      </x:c>
      <x:c r="W638" s="2" t="str"/>
      <x:c r="X638" s="2" t="str">
        <x:v>종결 근거 보관</x:v>
      </x:c>
      <x:c r="Y638" s="2" t="str">
        <x:v>ad210cd9ec132cfd447541c8984dc53d30aff0f4fb2dc92d254d49275cc55976</x:v>
      </x:c>
      <x:c r="Z638" s="2" t="n">
        <x:f>SUBTOTAL(103,A638)</x:f>
        <x:v>1</x:v>
      </x:c>
      <x:c r="AA638" s="2" t="str">
        <x:f>IF(K638&lt;&gt;"미종결 표시","대상 아님",IF(N638="","신청일 확인",IF(NOT(ISNUMBER('종합 현황'!$H$5)),"관찰기준 확인",IF('종합 현황'!$H$5&lt;1,"관찰기준 확인",IF(N638&gt;'종합 현황'!$H$5,"내부 관찰 대상","내부 관찰일 이하")))))</x:f>
        <x:v>대상 아님</x:v>
      </x:c>
      <x:c r="AB638" s="2"/>
    </x:row>
    <x:row r="639" ht="42" customHeight="1">
      <x:c r="A639" s="2" t="str">
        <x:v>8133281d764ee84160e3afdf</x:v>
      </x:c>
      <x:c r="B639" s="2" t="str">
        <x:v>사업 평가</x:v>
      </x:c>
      <x:c r="C639" s="2" t="str">
        <x:v>국내</x:v>
      </x:c>
      <x:c r="D639" s="7" t="str">
        <x:v>봉림FOOD 스팀보일러 연료전환(B-C유 → LPG)을 통한 온실가스(CO2) 감축사업</x:v>
      </x:c>
      <x:c r="E639" s="2" t="str">
        <x:v>500</x:v>
      </x:c>
      <x:c r="F639" s="2" t="str">
        <x:v>2020-07-08</x:v>
      </x:c>
      <x:c r="G639" s="2" t="str">
        <x:v>2020</x:v>
      </x:c>
      <x:c r="H639" s="2" t="str">
        <x:v>07</x:v>
      </x:c>
      <x:c r="I639" s="2" t="str">
        <x:v>반려</x:v>
      </x:c>
      <x:c r="J639" s="2" t="str">
        <x:v>반려</x:v>
      </x:c>
      <x:c r="K639" s="2" t="str">
        <x:f>IF(OR(J639="심의승인",J639="반려",J639="반려완료",J639="심의완료"),"종결 표시",IF(OR(J639="기후부협의",J639="문서재제출요청",J639="보류",J639="보완요청",J639="보완완료",J639="평가중",J639="반려요청",J639="평가필요",LEFT(J639,5)="보완요청("),"미종결 표시","상태 확인 필요"))</x:f>
        <x:v>종결 표시</x:v>
      </x:c>
      <x:c r="L639" s="2"/>
      <x:c r="M639" s="2"/>
      <x:c r="N639" s="8" t="n">
        <x:f>DATE(2026,10,15)-DATE(2020,7,8)</x:f>
        <x:v>2290</x:v>
      </x:c>
      <x:c r="O639" s="2"/>
      <x:c r="P639" s="2"/>
      <x:c r="Q639" s="2" t="str">
        <x:v>산업전환_외부사업관리Tool_260707_이너젠 수정_LJY_261013.xlsx</x:v>
      </x:c>
      <x:c r="R639" s="2" t="str">
        <x:v>국내평가</x:v>
      </x:c>
      <x:c r="S639" s="8" t="n">
        <x:v>542</x:v>
      </x:c>
      <x:c r="T639" s="2" t="str">
        <x:v>2021년 처리</x:v>
      </x:c>
      <x:c r="U639" s="2" t="str">
        <x:v>2021 배정: 2021년 처리</x:v>
      </x:c>
      <x:c r="V639" s="2" t="str">
        <x:v>2021-07-16</x:v>
      </x:c>
      <x:c r="W639" s="2" t="str">
        <x:v>담당기관 확인</x:v>
      </x:c>
      <x:c r="X639" s="2" t="str">
        <x:v>원본·배정 기록 확인</x:v>
      </x:c>
      <x:c r="Y639" s="2" t="str">
        <x:v>ad210cd9ec132cfd447541c8984dc53d30aff0f4fb2dc92d254d49275cc55976</x:v>
      </x:c>
      <x:c r="Z639" s="2" t="n">
        <x:f>SUBTOTAL(103,A639)</x:f>
        <x:v>1</x:v>
      </x:c>
      <x:c r="AA639" s="2" t="str">
        <x:f>IF(K639&lt;&gt;"미종결 표시","대상 아님",IF(N639="","신청일 확인",IF(NOT(ISNUMBER('종합 현황'!$H$5)),"관찰기준 확인",IF('종합 현황'!$H$5&lt;1,"관찰기준 확인",IF(N639&gt;'종합 현황'!$H$5,"내부 관찰 대상","내부 관찰일 이하")))))</x:f>
        <x:v>대상 아님</x:v>
      </x:c>
      <x:c r="AB639" s="2"/>
    </x:row>
    <x:row r="640" ht="42" customHeight="1">
      <x:c r="A640" s="2" t="str">
        <x:v>092debd3f4da2b0703bc4f82</x:v>
      </x:c>
      <x:c r="B640" s="2" t="str">
        <x:v>사업 평가</x:v>
      </x:c>
      <x:c r="C640" s="2" t="str">
        <x:v>국내</x:v>
      </x:c>
      <x:c r="D640" s="7" t="str">
        <x:v>금산환경재생산업(주) 연료전환(B-C유 → LPG)을 통한 온실가스 배출 감축사업</x:v>
      </x:c>
      <x:c r="E640" s="2" t="str">
        <x:v>501</x:v>
      </x:c>
      <x:c r="F640" s="2" t="str">
        <x:v>2020-09-25</x:v>
      </x:c>
      <x:c r="G640" s="2" t="str">
        <x:v>2020</x:v>
      </x:c>
      <x:c r="H640" s="2" t="str">
        <x:v>09</x:v>
      </x:c>
      <x:c r="I640" s="2" t="str">
        <x:v>보완3차_문서보완중</x:v>
      </x:c>
      <x:c r="J640" s="2" t="str">
        <x:v>보류</x:v>
      </x:c>
      <x:c r="K640" s="2" t="str">
        <x:f>IF(OR(J640="심의승인",J640="반려",J640="반려완료",J640="심의완료"),"종결 표시",IF(OR(J640="기후부협의",J640="문서재제출요청",J640="보류",J640="보완요청",J640="보완완료",J640="평가중",J640="반려요청",J640="평가필요",LEFT(J640,5)="보완요청("),"미종결 표시","상태 확인 필요"))</x:f>
        <x:v>미종결 표시</x:v>
      </x:c>
      <x:c r="L640" s="2" t="str">
        <x:v>KECM</x:v>
      </x:c>
      <x:c r="M640" s="2" t="n">
        <x:v>3</x:v>
      </x:c>
      <x:c r="N640" s="8" t="n">
        <x:f>DATE(2026,10,15)-DATE(2020,9,25)</x:f>
        <x:v>2211</x:v>
      </x:c>
      <x:c r="O640" s="2" t="str">
        <x:v>O(21.04)</x:v>
      </x:c>
      <x:c r="P640" s="2" t="str">
        <x:v>반려 공문 재제출 필요</x:v>
      </x:c>
      <x:c r="Q640" s="2" t="str">
        <x:v>산업전환_외부사업관리Tool_260707_이너젠 수정_LJY_261013.xlsx</x:v>
      </x:c>
      <x:c r="R640" s="2" t="str">
        <x:v>국내평가</x:v>
      </x:c>
      <x:c r="S640" s="8" t="n">
        <x:v>543</x:v>
      </x:c>
      <x:c r="T640" s="2" t="str">
        <x:v>(6/28),(9/1)</x:v>
      </x:c>
      <x:c r="U640" s="2" t="str">
        <x:v>2021 배정: (6/28),(9/1) / 2025 배정: 2025년 처리</x:v>
      </x:c>
      <x:c r="V640" s="2" t="str">
        <x:v>2025-10-13</x:v>
      </x:c>
      <x:c r="W640" s="2" t="str"/>
      <x:c r="X640" s="2" t="str">
        <x:v>검토 진행 일정 확인</x:v>
      </x:c>
      <x:c r="Y640" s="2" t="str">
        <x:v>ad210cd9ec132cfd447541c8984dc53d30aff0f4fb2dc92d254d49275cc55976</x:v>
      </x:c>
      <x:c r="Z640" s="2" t="n">
        <x:f>SUBTOTAL(103,A640)</x:f>
        <x:v>1</x:v>
      </x:c>
      <x:c r="AA640" s="2" t="str">
        <x:f>IF(K640&lt;&gt;"미종결 표시","대상 아님",IF(N640="","신청일 확인",IF(NOT(ISNUMBER('종합 현황'!$H$5)),"관찰기준 확인",IF('종합 현황'!$H$5&lt;1,"관찰기준 확인",IF(N640&gt;'종합 현황'!$H$5,"내부 관찰 대상","내부 관찰일 이하")))))</x:f>
        <x:v>내부 관찰 대상</x:v>
      </x:c>
      <x:c r="AB640" s="2"/>
    </x:row>
    <x:row r="641" ht="42" customHeight="1">
      <x:c r="A641" s="2" t="str">
        <x:v>0eb6efde2b522096a80cc4a6</x:v>
      </x:c>
      <x:c r="B641" s="2" t="str">
        <x:v>사업 평가</x:v>
      </x:c>
      <x:c r="C641" s="2" t="str">
        <x:v>국내</x:v>
      </x:c>
      <x:c r="D641" s="7" t="str">
        <x:v>천일식품㈜ 고효율  공기압축기 교체를 통한 온실가스 감축사업</x:v>
      </x:c>
      <x:c r="E641" s="2" t="str">
        <x:v>502</x:v>
      </x:c>
      <x:c r="F641" s="2" t="str">
        <x:v>2019-12-24</x:v>
      </x:c>
      <x:c r="G641" s="2" t="str">
        <x:v>2019</x:v>
      </x:c>
      <x:c r="H641" s="2" t="str">
        <x:v>12</x:v>
      </x:c>
      <x:c r="I641" s="2" t="str">
        <x:v>승인</x:v>
      </x:c>
      <x:c r="J641" s="2" t="str">
        <x:v>심의승인</x:v>
      </x:c>
      <x:c r="K641" s="2" t="str">
        <x:f>IF(OR(J641="심의승인",J641="반려",J641="반려완료",J641="심의완료"),"종결 표시",IF(OR(J641="기후부협의",J641="문서재제출요청",J641="보류",J641="보완요청",J641="보완완료",J641="평가중",J641="반려요청",J641="평가필요",LEFT(J641,5)="보완요청("),"미종결 표시","상태 확인 필요"))</x:f>
        <x:v>종결 표시</x:v>
      </x:c>
      <x:c r="L641" s="2" t="str">
        <x:v>에코시안_정다윤</x:v>
      </x:c>
      <x:c r="M641" s="2"/>
      <x:c r="N641" s="8" t="n">
        <x:f>DATE(2026,10,15)-DATE(2019,12,24)</x:f>
        <x:v>2487</x:v>
      </x:c>
      <x:c r="O641" s="2" t="str">
        <x:v>생략</x:v>
      </x:c>
      <x:c r="P641" s="2"/>
      <x:c r="Q641" s="2" t="str">
        <x:v>산업전환_외부사업관리Tool_260707_이너젠 수정_LJY_261013.xlsx</x:v>
      </x:c>
      <x:c r="R641" s="2" t="str">
        <x:v>국내평가</x:v>
      </x:c>
      <x:c r="S641" s="8" t="n">
        <x:v>544</x:v>
      </x:c>
      <x:c r="T641" s="2" t="str">
        <x:v>(7/12),(9/14),(12/1)</x:v>
      </x:c>
      <x:c r="U641" s="2" t="str">
        <x:v>2021 배정: (7/12),(9/14),(12/1) / 2022 배정: (3/16),(4/19) / 2022 배정(신규): (8/16),(9/19),(11/18) / 2023 배정: (1/30),(4/21)</x:v>
      </x:c>
      <x:c r="V641" s="2" t="str">
        <x:v>2023-10-05</x:v>
      </x:c>
      <x:c r="W641" s="2" t="str"/>
      <x:c r="X641" s="2" t="str">
        <x:v>종결 근거 보관</x:v>
      </x:c>
      <x:c r="Y641" s="2" t="str">
        <x:v>ad210cd9ec132cfd447541c8984dc53d30aff0f4fb2dc92d254d49275cc55976</x:v>
      </x:c>
      <x:c r="Z641" s="2" t="n">
        <x:f>SUBTOTAL(103,A641)</x:f>
        <x:v>1</x:v>
      </x:c>
      <x:c r="AA641" s="2" t="str">
        <x:f>IF(K641&lt;&gt;"미종결 표시","대상 아님",IF(N641="","신청일 확인",IF(NOT(ISNUMBER('종합 현황'!$H$5)),"관찰기준 확인",IF('종합 현황'!$H$5&lt;1,"관찰기준 확인",IF(N641&gt;'종합 현황'!$H$5,"내부 관찰 대상","내부 관찰일 이하")))))</x:f>
        <x:v>대상 아님</x:v>
      </x:c>
      <x:c r="AB641" s="2"/>
    </x:row>
    <x:row r="642" ht="42" customHeight="1">
      <x:c r="A642" s="2" t="str">
        <x:v>f76992a6ab2e5580d42018f3</x:v>
      </x:c>
      <x:c r="B642" s="2" t="str">
        <x:v>사업 평가</x:v>
      </x:c>
      <x:c r="C642" s="2" t="str">
        <x:v>국내</x:v>
      </x:c>
      <x:c r="D642" s="7" t="str">
        <x:v>㈜보광섬유 보일러의 연료전환(B-C유·부생연료유2호→LNG)을 통한 온실가스감축사업</x:v>
      </x:c>
      <x:c r="E642" s="2" t="str">
        <x:v>503</x:v>
      </x:c>
      <x:c r="F642" s="2" t="str">
        <x:v>2020-07-08</x:v>
      </x:c>
      <x:c r="G642" s="2" t="str">
        <x:v>2020</x:v>
      </x:c>
      <x:c r="H642" s="2" t="str">
        <x:v>07</x:v>
      </x:c>
      <x:c r="I642" s="2" t="str">
        <x:v>반려</x:v>
      </x:c>
      <x:c r="J642" s="2" t="str">
        <x:v>반려</x:v>
      </x:c>
      <x:c r="K642" s="2" t="str">
        <x:f>IF(OR(J642="심의승인",J642="반려",J642="반려완료",J642="심의완료"),"종결 표시",IF(OR(J642="기후부협의",J642="문서재제출요청",J642="보류",J642="보완요청",J642="보완완료",J642="평가중",J642="반려요청",J642="평가필요",LEFT(J642,5)="보완요청("),"미종결 표시","상태 확인 필요"))</x:f>
        <x:v>종결 표시</x:v>
      </x:c>
      <x:c r="L642" s="2"/>
      <x:c r="M642" s="2"/>
      <x:c r="N642" s="8" t="n">
        <x:f>DATE(2026,10,15)-DATE(2020,7,8)</x:f>
        <x:v>2290</x:v>
      </x:c>
      <x:c r="O642" s="2"/>
      <x:c r="P642" s="2"/>
      <x:c r="Q642" s="2" t="str">
        <x:v>산업전환_외부사업관리Tool_260707_이너젠 수정_LJY_261013.xlsx</x:v>
      </x:c>
      <x:c r="R642" s="2" t="str">
        <x:v>국내평가</x:v>
      </x:c>
      <x:c r="S642" s="8" t="n">
        <x:v>545</x:v>
      </x:c>
      <x:c r="T642" s="2" t="str">
        <x:v>2021년 처리</x:v>
      </x:c>
      <x:c r="U642" s="2" t="str">
        <x:v>2021 배정: 2021년 처리</x:v>
      </x:c>
      <x:c r="V642" s="2" t="str">
        <x:v>2021-07-16</x:v>
      </x:c>
      <x:c r="W642" s="2" t="str">
        <x:v>담당기관 확인</x:v>
      </x:c>
      <x:c r="X642" s="2" t="str">
        <x:v>원본·배정 기록 확인</x:v>
      </x:c>
      <x:c r="Y642" s="2" t="str">
        <x:v>ad210cd9ec132cfd447541c8984dc53d30aff0f4fb2dc92d254d49275cc55976</x:v>
      </x:c>
      <x:c r="Z642" s="2" t="n">
        <x:f>SUBTOTAL(103,A642)</x:f>
        <x:v>1</x:v>
      </x:c>
      <x:c r="AA642" s="2" t="str">
        <x:f>IF(K642&lt;&gt;"미종결 표시","대상 아님",IF(N642="","신청일 확인",IF(NOT(ISNUMBER('종합 현황'!$H$5)),"관찰기준 확인",IF('종합 현황'!$H$5&lt;1,"관찰기준 확인",IF(N642&gt;'종합 현황'!$H$5,"내부 관찰 대상","내부 관찰일 이하")))))</x:f>
        <x:v>대상 아님</x:v>
      </x:c>
      <x:c r="AB642" s="2"/>
    </x:row>
    <x:row r="643" ht="42" customHeight="1">
      <x:c r="A643" s="2" t="str">
        <x:v>fd582b27de468ab76cd4c7b8</x:v>
      </x:c>
      <x:c r="B643" s="2" t="str">
        <x:v>사업 평가</x:v>
      </x:c>
      <x:c r="C643" s="2" t="str">
        <x:v>국내</x:v>
      </x:c>
      <x:c r="D643" s="7" t="str">
        <x:v>청운산업의 보일러 연료전환 (벙커C유 → LNG)을 통한 온실가스 배출감축사업</x:v>
      </x:c>
      <x:c r="E643" s="2" t="str">
        <x:v>504</x:v>
      </x:c>
      <x:c r="F643" s="2" t="str">
        <x:v>2020-07-08</x:v>
      </x:c>
      <x:c r="G643" s="2" t="str">
        <x:v>2020</x:v>
      </x:c>
      <x:c r="H643" s="2" t="str">
        <x:v>07</x:v>
      </x:c>
      <x:c r="I643" s="2" t="str">
        <x:v>반려</x:v>
      </x:c>
      <x:c r="J643" s="2" t="str">
        <x:v>반려</x:v>
      </x:c>
      <x:c r="K643" s="2" t="str">
        <x:f>IF(OR(J643="심의승인",J643="반려",J643="반려완료",J643="심의완료"),"종결 표시",IF(OR(J643="기후부협의",J643="문서재제출요청",J643="보류",J643="보완요청",J643="보완완료",J643="평가중",J643="반려요청",J643="평가필요",LEFT(J643,5)="보완요청("),"미종결 표시","상태 확인 필요"))</x:f>
        <x:v>종결 표시</x:v>
      </x:c>
      <x:c r="L643" s="2"/>
      <x:c r="M643" s="2"/>
      <x:c r="N643" s="8" t="n">
        <x:f>DATE(2026,10,15)-DATE(2020,7,8)</x:f>
        <x:v>2290</x:v>
      </x:c>
      <x:c r="O643" s="2"/>
      <x:c r="P643" s="2"/>
      <x:c r="Q643" s="2" t="str">
        <x:v>산업전환_외부사업관리Tool_260707_이너젠 수정_LJY_261013.xlsx</x:v>
      </x:c>
      <x:c r="R643" s="2" t="str">
        <x:v>국내평가</x:v>
      </x:c>
      <x:c r="S643" s="8" t="n">
        <x:v>546</x:v>
      </x:c>
      <x:c r="T643" s="2" t="str">
        <x:v>2021년 처리</x:v>
      </x:c>
      <x:c r="U643" s="2" t="str">
        <x:v>2021 배정: 2021년 처리</x:v>
      </x:c>
      <x:c r="V643" s="2" t="str">
        <x:v>2021-07-16</x:v>
      </x:c>
      <x:c r="W643" s="2" t="str">
        <x:v>담당기관 확인</x:v>
      </x:c>
      <x:c r="X643" s="2" t="str">
        <x:v>원본·배정 기록 확인</x:v>
      </x:c>
      <x:c r="Y643" s="2" t="str">
        <x:v>ad210cd9ec132cfd447541c8984dc53d30aff0f4fb2dc92d254d49275cc55976</x:v>
      </x:c>
      <x:c r="Z643" s="2" t="n">
        <x:f>SUBTOTAL(103,A643)</x:f>
        <x:v>1</x:v>
      </x:c>
      <x:c r="AA643" s="2" t="str">
        <x:f>IF(K643&lt;&gt;"미종결 표시","대상 아님",IF(N643="","신청일 확인",IF(NOT(ISNUMBER('종합 현황'!$H$5)),"관찰기준 확인",IF('종합 현황'!$H$5&lt;1,"관찰기준 확인",IF(N643&gt;'종합 현황'!$H$5,"내부 관찰 대상","내부 관찰일 이하")))))</x:f>
        <x:v>대상 아님</x:v>
      </x:c>
      <x:c r="AB643" s="2"/>
    </x:row>
    <x:row r="644" ht="42" customHeight="1">
      <x:c r="A644" s="2" t="str">
        <x:v>f61bc0863bc40d94373e6c5d</x:v>
      </x:c>
      <x:c r="B644" s="2" t="str">
        <x:v>사업 평가</x:v>
      </x:c>
      <x:c r="C644" s="2" t="str">
        <x:v>국내</x:v>
      </x:c>
      <x:c r="D644" s="7" t="str">
        <x:v>㈜덕진섬유 고효율 터보 블로워 교체 사업</x:v>
      </x:c>
      <x:c r="E644" s="2" t="str">
        <x:v>505</x:v>
      </x:c>
      <x:c r="F644" s="2" t="str">
        <x:v>2019-12-30</x:v>
      </x:c>
      <x:c r="G644" s="2" t="str">
        <x:v>2019</x:v>
      </x:c>
      <x:c r="H644" s="2" t="str">
        <x:v>12</x:v>
      </x:c>
      <x:c r="I644" s="2" t="str">
        <x:v>승인</x:v>
      </x:c>
      <x:c r="J644" s="2" t="str">
        <x:v>심의승인</x:v>
      </x:c>
      <x:c r="K644" s="2" t="str">
        <x:f>IF(OR(J644="심의승인",J644="반려",J644="반려완료",J644="심의완료"),"종결 표시",IF(OR(J644="기후부협의",J644="문서재제출요청",J644="보류",J644="보완요청",J644="보완완료",J644="평가중",J644="반려요청",J644="평가필요",LEFT(J644,5)="보완요청("),"미종결 표시","상태 확인 필요"))</x:f>
        <x:v>종결 표시</x:v>
      </x:c>
      <x:c r="L644" s="2"/>
      <x:c r="M644" s="2"/>
      <x:c r="N644" s="8" t="n">
        <x:f>DATE(2026,10,15)-DATE(2019,12,30)</x:f>
        <x:v>2481</x:v>
      </x:c>
      <x:c r="O644" s="2"/>
      <x:c r="P644" s="2"/>
      <x:c r="Q644" s="2" t="str">
        <x:v>산업전환_외부사업관리Tool_260707_이너젠 수정_LJY_261013.xlsx</x:v>
      </x:c>
      <x:c r="R644" s="2" t="str">
        <x:v>국내평가</x:v>
      </x:c>
      <x:c r="S644" s="8" t="n">
        <x:v>547</x:v>
      </x:c>
      <x:c r="T644" s="2"/>
      <x:c r="U644" s="2" t="str"/>
      <x:c r="V644" s="2" t="str">
        <x:v>2021-03-02</x:v>
      </x:c>
      <x:c r="W644" s="2" t="str">
        <x:v>담당기관 확인</x:v>
      </x:c>
      <x:c r="X644" s="2" t="str">
        <x:v>원본·배정 기록 확인</x:v>
      </x:c>
      <x:c r="Y644" s="2" t="str">
        <x:v>ad210cd9ec132cfd447541c8984dc53d30aff0f4fb2dc92d254d49275cc55976</x:v>
      </x:c>
      <x:c r="Z644" s="2" t="n">
        <x:f>SUBTOTAL(103,A644)</x:f>
        <x:v>1</x:v>
      </x:c>
      <x:c r="AA644" s="2" t="str">
        <x:f>IF(K644&lt;&gt;"미종결 표시","대상 아님",IF(N644="","신청일 확인",IF(NOT(ISNUMBER('종합 현황'!$H$5)),"관찰기준 확인",IF('종합 현황'!$H$5&lt;1,"관찰기준 확인",IF(N644&gt;'종합 현황'!$H$5,"내부 관찰 대상","내부 관찰일 이하")))))</x:f>
        <x:v>대상 아님</x:v>
      </x:c>
      <x:c r="AB644" s="2"/>
    </x:row>
    <x:row r="645" ht="42" customHeight="1">
      <x:c r="A645" s="2" t="str">
        <x:v>8cf6349177b3325e3b4173f7</x:v>
      </x:c>
      <x:c r="B645" s="2" t="str">
        <x:v>사업 평가</x:v>
      </x:c>
      <x:c r="C645" s="2" t="str">
        <x:v>국내</x:v>
      </x:c>
      <x:c r="D645" s="7" t="str">
        <x:v>(주)진영텍스코 보일러의 연료교체를 통한 온실가스 감축사업</x:v>
      </x:c>
      <x:c r="E645" s="2" t="str">
        <x:v>506</x:v>
      </x:c>
      <x:c r="F645" s="2" t="str">
        <x:v>2020-07-08</x:v>
      </x:c>
      <x:c r="G645" s="2" t="str">
        <x:v>2020</x:v>
      </x:c>
      <x:c r="H645" s="2" t="str">
        <x:v>07</x:v>
      </x:c>
      <x:c r="I645" s="2" t="str">
        <x:v>반려</x:v>
      </x:c>
      <x:c r="J645" s="2" t="str">
        <x:v>반려</x:v>
      </x:c>
      <x:c r="K645" s="2" t="str">
        <x:f>IF(OR(J645="심의승인",J645="반려",J645="반려완료",J645="심의완료"),"종결 표시",IF(OR(J645="기후부협의",J645="문서재제출요청",J645="보류",J645="보완요청",J645="보완완료",J645="평가중",J645="반려요청",J645="평가필요",LEFT(J645,5)="보완요청("),"미종결 표시","상태 확인 필요"))</x:f>
        <x:v>종결 표시</x:v>
      </x:c>
      <x:c r="L645" s="2"/>
      <x:c r="M645" s="2"/>
      <x:c r="N645" s="8" t="n">
        <x:f>DATE(2026,10,15)-DATE(2020,7,8)</x:f>
        <x:v>2290</x:v>
      </x:c>
      <x:c r="O645" s="2"/>
      <x:c r="P645" s="2"/>
      <x:c r="Q645" s="2" t="str">
        <x:v>산업전환_외부사업관리Tool_260707_이너젠 수정_LJY_261013.xlsx</x:v>
      </x:c>
      <x:c r="R645" s="2" t="str">
        <x:v>국내평가</x:v>
      </x:c>
      <x:c r="S645" s="8" t="n">
        <x:v>548</x:v>
      </x:c>
      <x:c r="T645" s="2" t="str">
        <x:v>2021년 처리</x:v>
      </x:c>
      <x:c r="U645" s="2" t="str">
        <x:v>2021 배정: 2021년 처리</x:v>
      </x:c>
      <x:c r="V645" s="2" t="str">
        <x:v>2021-07-16</x:v>
      </x:c>
      <x:c r="W645" s="2" t="str">
        <x:v>담당기관 확인</x:v>
      </x:c>
      <x:c r="X645" s="2" t="str">
        <x:v>원본·배정 기록 확인</x:v>
      </x:c>
      <x:c r="Y645" s="2" t="str">
        <x:v>ad210cd9ec132cfd447541c8984dc53d30aff0f4fb2dc92d254d49275cc55976</x:v>
      </x:c>
      <x:c r="Z645" s="2" t="n">
        <x:f>SUBTOTAL(103,A645)</x:f>
        <x:v>1</x:v>
      </x:c>
      <x:c r="AA645" s="2" t="str">
        <x:f>IF(K645&lt;&gt;"미종결 표시","대상 아님",IF(N645="","신청일 확인",IF(NOT(ISNUMBER('종합 현황'!$H$5)),"관찰기준 확인",IF('종합 현황'!$H$5&lt;1,"관찰기준 확인",IF(N645&gt;'종합 현황'!$H$5,"내부 관찰 대상","내부 관찰일 이하")))))</x:f>
        <x:v>대상 아님</x:v>
      </x:c>
      <x:c r="AB645" s="2"/>
    </x:row>
    <x:row r="646" ht="42" customHeight="1">
      <x:c r="A646" s="2" t="str">
        <x:v>9eda1d23247f1a4a161f8090</x:v>
      </x:c>
      <x:c r="B646" s="2" t="str">
        <x:v>사업 평가</x:v>
      </x:c>
      <x:c r="C646" s="2" t="str">
        <x:v>국내</x:v>
      </x:c>
      <x:c r="D646" s="7" t="str">
        <x:v>유원테크 고효율 공기압축기 교체를 통한  온실가스 감축사업</x:v>
      </x:c>
      <x:c r="E646" s="2" t="str">
        <x:v>507</x:v>
      </x:c>
      <x:c r="F646" s="2" t="str">
        <x:v>2019-11-15</x:v>
      </x:c>
      <x:c r="G646" s="2" t="str">
        <x:v>2019</x:v>
      </x:c>
      <x:c r="H646" s="2" t="str">
        <x:v>11</x:v>
      </x:c>
      <x:c r="I646" s="2" t="str">
        <x:v>승인</x:v>
      </x:c>
      <x:c r="J646" s="2" t="str">
        <x:v>심의승인</x:v>
      </x:c>
      <x:c r="K646" s="2" t="str">
        <x:f>IF(OR(J646="심의승인",J646="반려",J646="반려완료",J646="심의완료"),"종결 표시",IF(OR(J646="기후부협의",J646="문서재제출요청",J646="보류",J646="보완요청",J646="보완완료",J646="평가중",J646="반려요청",J646="평가필요",LEFT(J646,5)="보완요청("),"미종결 표시","상태 확인 필요"))</x:f>
        <x:v>종결 표시</x:v>
      </x:c>
      <x:c r="L646" s="2" t="str">
        <x:v>에코시안_권송화</x:v>
      </x:c>
      <x:c r="M646" s="2"/>
      <x:c r="N646" s="8" t="n">
        <x:f>DATE(2026,10,15)-DATE(2019,11,15)</x:f>
        <x:v>2526</x:v>
      </x:c>
      <x:c r="O646" s="2" t="str">
        <x:v>O(21.06)</x:v>
      </x:c>
      <x:c r="P646" s="2"/>
      <x:c r="Q646" s="2" t="str">
        <x:v>산업전환_외부사업관리Tool_260707_이너젠 수정_LJY_261013.xlsx</x:v>
      </x:c>
      <x:c r="R646" s="2" t="str">
        <x:v>국내평가</x:v>
      </x:c>
      <x:c r="S646" s="8" t="n">
        <x:v>549</x:v>
      </x:c>
      <x:c r="T646" s="2" t="str">
        <x:v>(6/28),(7/12),(11/2)</x:v>
      </x:c>
      <x:c r="U646" s="2" t="str">
        <x:v>2021 배정: (6/28),(7/12),(11/2) / 2022 배정: (3/16),(4/19) / 2022 배정(신규): (10/19),(11/18) / 2023 배정: (1/30),(6/26)</x:v>
      </x:c>
      <x:c r="V646" s="2" t="str">
        <x:v>2024-12-19</x:v>
      </x:c>
      <x:c r="W646" s="2" t="str"/>
      <x:c r="X646" s="2" t="str">
        <x:v>종결 근거 보관</x:v>
      </x:c>
      <x:c r="Y646" s="2" t="str">
        <x:v>ad210cd9ec132cfd447541c8984dc53d30aff0f4fb2dc92d254d49275cc55976</x:v>
      </x:c>
      <x:c r="Z646" s="2" t="n">
        <x:f>SUBTOTAL(103,A646)</x:f>
        <x:v>1</x:v>
      </x:c>
      <x:c r="AA646" s="2" t="str">
        <x:f>IF(K646&lt;&gt;"미종결 표시","대상 아님",IF(N646="","신청일 확인",IF(NOT(ISNUMBER('종합 현황'!$H$5)),"관찰기준 확인",IF('종합 현황'!$H$5&lt;1,"관찰기준 확인",IF(N646&gt;'종합 현황'!$H$5,"내부 관찰 대상","내부 관찰일 이하")))))</x:f>
        <x:v>대상 아님</x:v>
      </x:c>
      <x:c r="AB646" s="2"/>
    </x:row>
    <x:row r="647" ht="42" customHeight="1">
      <x:c r="A647" s="2" t="str">
        <x:v>52032805f6c9b0fd1a71bab5</x:v>
      </x:c>
      <x:c r="B647" s="2" t="str">
        <x:v>사업 평가</x:v>
      </x:c>
      <x:c r="C647" s="2" t="str">
        <x:v>국내</x:v>
      </x:c>
      <x:c r="D647" s="7" t="str">
        <x:v>(주)정광기업 가열로 및 열처리로의 연료교체를 통한 온실가스 감축사업</x:v>
      </x:c>
      <x:c r="E647" s="2" t="str">
        <x:v>508</x:v>
      </x:c>
      <x:c r="F647" s="2" t="str">
        <x:v>2020-07-08</x:v>
      </x:c>
      <x:c r="G647" s="2" t="str">
        <x:v>2020</x:v>
      </x:c>
      <x:c r="H647" s="2" t="str">
        <x:v>07</x:v>
      </x:c>
      <x:c r="I647" s="2" t="str">
        <x:v>반려</x:v>
      </x:c>
      <x:c r="J647" s="2" t="str">
        <x:v>반려</x:v>
      </x:c>
      <x:c r="K647" s="2" t="str">
        <x:f>IF(OR(J647="심의승인",J647="반려",J647="반려완료",J647="심의완료"),"종결 표시",IF(OR(J647="기후부협의",J647="문서재제출요청",J647="보류",J647="보완요청",J647="보완완료",J647="평가중",J647="반려요청",J647="평가필요",LEFT(J647,5)="보완요청("),"미종결 표시","상태 확인 필요"))</x:f>
        <x:v>종결 표시</x:v>
      </x:c>
      <x:c r="L647" s="2"/>
      <x:c r="M647" s="2"/>
      <x:c r="N647" s="8" t="n">
        <x:f>DATE(2026,10,15)-DATE(2020,7,8)</x:f>
        <x:v>2290</x:v>
      </x:c>
      <x:c r="O647" s="2"/>
      <x:c r="P647" s="2"/>
      <x:c r="Q647" s="2" t="str">
        <x:v>산업전환_외부사업관리Tool_260707_이너젠 수정_LJY_261013.xlsx</x:v>
      </x:c>
      <x:c r="R647" s="2" t="str">
        <x:v>국내평가</x:v>
      </x:c>
      <x:c r="S647" s="8" t="n">
        <x:v>550</x:v>
      </x:c>
      <x:c r="T647" s="2" t="str">
        <x:v>2021년 처리</x:v>
      </x:c>
      <x:c r="U647" s="2" t="str">
        <x:v>2021 배정: 2021년 처리</x:v>
      </x:c>
      <x:c r="V647" s="2" t="str">
        <x:v>2021-07-16</x:v>
      </x:c>
      <x:c r="W647" s="2" t="str">
        <x:v>담당기관 확인</x:v>
      </x:c>
      <x:c r="X647" s="2" t="str">
        <x:v>원본·배정 기록 확인</x:v>
      </x:c>
      <x:c r="Y647" s="2" t="str">
        <x:v>ad210cd9ec132cfd447541c8984dc53d30aff0f4fb2dc92d254d49275cc55976</x:v>
      </x:c>
      <x:c r="Z647" s="2" t="n">
        <x:f>SUBTOTAL(103,A647)</x:f>
        <x:v>1</x:v>
      </x:c>
      <x:c r="AA647" s="2" t="str">
        <x:f>IF(K647&lt;&gt;"미종결 표시","대상 아님",IF(N647="","신청일 확인",IF(NOT(ISNUMBER('종합 현황'!$H$5)),"관찰기준 확인",IF('종합 현황'!$H$5&lt;1,"관찰기준 확인",IF(N647&gt;'종합 현황'!$H$5,"내부 관찰 대상","내부 관찰일 이하")))))</x:f>
        <x:v>대상 아님</x:v>
      </x:c>
      <x:c r="AB647" s="2"/>
    </x:row>
    <x:row r="648" ht="42" customHeight="1">
      <x:c r="A648" s="2" t="str">
        <x:v>82b5907769ad9ac3325f7494</x:v>
      </x:c>
      <x:c r="B648" s="2" t="str">
        <x:v>사업 평가</x:v>
      </x:c>
      <x:c r="C648" s="2" t="str">
        <x:v>국내</x:v>
      </x:c>
      <x:c r="D648" s="7" t="str">
        <x:v>명성산업(주) 스팀보일러의 연료교체(B-C유→LNG)를 통한 온실가스(CO2) 배출 감축사업</x:v>
      </x:c>
      <x:c r="E648" s="2" t="str">
        <x:v>509</x:v>
      </x:c>
      <x:c r="F648" s="2" t="str">
        <x:v>2020-07-08</x:v>
      </x:c>
      <x:c r="G648" s="2" t="str">
        <x:v>2020</x:v>
      </x:c>
      <x:c r="H648" s="2" t="str">
        <x:v>07</x:v>
      </x:c>
      <x:c r="I648" s="2" t="str">
        <x:v>반려</x:v>
      </x:c>
      <x:c r="J648" s="2" t="str">
        <x:v>반려</x:v>
      </x:c>
      <x:c r="K648" s="2" t="str">
        <x:f>IF(OR(J648="심의승인",J648="반려",J648="반려완료",J648="심의완료"),"종결 표시",IF(OR(J648="기후부협의",J648="문서재제출요청",J648="보류",J648="보완요청",J648="보완완료",J648="평가중",J648="반려요청",J648="평가필요",LEFT(J648,5)="보완요청("),"미종결 표시","상태 확인 필요"))</x:f>
        <x:v>종결 표시</x:v>
      </x:c>
      <x:c r="L648" s="2"/>
      <x:c r="M648" s="2"/>
      <x:c r="N648" s="8" t="n">
        <x:f>DATE(2026,10,15)-DATE(2020,7,8)</x:f>
        <x:v>2290</x:v>
      </x:c>
      <x:c r="O648" s="2"/>
      <x:c r="P648" s="2"/>
      <x:c r="Q648" s="2" t="str">
        <x:v>산업전환_외부사업관리Tool_260707_이너젠 수정_LJY_261013.xlsx</x:v>
      </x:c>
      <x:c r="R648" s="2" t="str">
        <x:v>국내평가</x:v>
      </x:c>
      <x:c r="S648" s="8" t="n">
        <x:v>551</x:v>
      </x:c>
      <x:c r="T648" s="2" t="str">
        <x:v>2021년 처리</x:v>
      </x:c>
      <x:c r="U648" s="2" t="str">
        <x:v>2021 배정: 2021년 처리</x:v>
      </x:c>
      <x:c r="V648" s="2" t="str">
        <x:v>2021-07-16</x:v>
      </x:c>
      <x:c r="W648" s="2" t="str">
        <x:v>담당기관 확인</x:v>
      </x:c>
      <x:c r="X648" s="2" t="str">
        <x:v>원본·배정 기록 확인</x:v>
      </x:c>
      <x:c r="Y648" s="2" t="str">
        <x:v>ad210cd9ec132cfd447541c8984dc53d30aff0f4fb2dc92d254d49275cc55976</x:v>
      </x:c>
      <x:c r="Z648" s="2" t="n">
        <x:f>SUBTOTAL(103,A648)</x:f>
        <x:v>1</x:v>
      </x:c>
      <x:c r="AA648" s="2" t="str">
        <x:f>IF(K648&lt;&gt;"미종결 표시","대상 아님",IF(N648="","신청일 확인",IF(NOT(ISNUMBER('종합 현황'!$H$5)),"관찰기준 확인",IF('종합 현황'!$H$5&lt;1,"관찰기준 확인",IF(N648&gt;'종합 현황'!$H$5,"내부 관찰 대상","내부 관찰일 이하")))))</x:f>
        <x:v>대상 아님</x:v>
      </x:c>
      <x:c r="AB648" s="2"/>
    </x:row>
    <x:row r="649" ht="42" customHeight="1">
      <x:c r="A649" s="2" t="str">
        <x:v>dd0a5753d6567be5f606aa1c</x:v>
      </x:c>
      <x:c r="B649" s="2" t="str">
        <x:v>사업 평가</x:v>
      </x:c>
      <x:c r="C649" s="2" t="str">
        <x:v>국내</x:v>
      </x:c>
      <x:c r="D649" s="7" t="str">
        <x:v>2018년 중부권역 심야 전기보일러의 축열식 히트펌프 교체를 통한 온실가스 묶음 감축사업</x:v>
      </x:c>
      <x:c r="E649" s="2" t="str">
        <x:v>510</x:v>
      </x:c>
      <x:c r="F649" s="2" t="str">
        <x:v>2020-09-28</x:v>
      </x:c>
      <x:c r="G649" s="2" t="str">
        <x:v>2020</x:v>
      </x:c>
      <x:c r="H649" s="2" t="str">
        <x:v>09</x:v>
      </x:c>
      <x:c r="I649" s="2" t="str">
        <x:v>승인</x:v>
      </x:c>
      <x:c r="J649" s="2" t="str">
        <x:v>심의승인</x:v>
      </x:c>
      <x:c r="K649" s="2" t="str">
        <x:f>IF(OR(J649="심의승인",J649="반려",J649="반려완료",J649="심의완료"),"종결 표시",IF(OR(J649="기후부협의",J649="문서재제출요청",J649="보류",J649="보완요청",J649="보완완료",J649="평가중",J649="반려요청",J649="평가필요",LEFT(J649,5)="보완요청("),"미종결 표시","상태 확인 필요"))</x:f>
        <x:v>종결 표시</x:v>
      </x:c>
      <x:c r="L649" s="2" t="str">
        <x:v>에코시안_박세은</x:v>
      </x:c>
      <x:c r="M649" s="2"/>
      <x:c r="N649" s="8" t="n">
        <x:f>DATE(2026,10,15)-DATE(2020,9,28)</x:f>
        <x:v>2208</x:v>
      </x:c>
      <x:c r="O649" s="2" t="str">
        <x:v>생략</x:v>
      </x:c>
      <x:c r="P649" s="2"/>
      <x:c r="Q649" s="2" t="str">
        <x:v>산업전환_외부사업관리Tool_260707_이너젠 수정_LJY_261013.xlsx</x:v>
      </x:c>
      <x:c r="R649" s="2" t="str">
        <x:v>국내평가</x:v>
      </x:c>
      <x:c r="S649" s="8" t="n">
        <x:v>552</x:v>
      </x:c>
      <x:c r="T649" s="2" t="str">
        <x:v>(9/14)</x:v>
      </x:c>
      <x:c r="U649" s="2" t="str">
        <x:v>2021 배정: (9/14) / 2025 배정: (6/26),(9/1)</x:v>
      </x:c>
      <x:c r="V649" s="2" t="str">
        <x:v>2026-03-11</x:v>
      </x:c>
      <x:c r="W649" s="2" t="str"/>
      <x:c r="X649" s="2" t="str">
        <x:v>종결 근거 보관</x:v>
      </x:c>
      <x:c r="Y649" s="2" t="str">
        <x:v>ad210cd9ec132cfd447541c8984dc53d30aff0f4fb2dc92d254d49275cc55976</x:v>
      </x:c>
      <x:c r="Z649" s="2" t="n">
        <x:f>SUBTOTAL(103,A649)</x:f>
        <x:v>1</x:v>
      </x:c>
      <x:c r="AA649" s="2" t="str">
        <x:f>IF(K649&lt;&gt;"미종결 표시","대상 아님",IF(N649="","신청일 확인",IF(NOT(ISNUMBER('종합 현황'!$H$5)),"관찰기준 확인",IF('종합 현황'!$H$5&lt;1,"관찰기준 확인",IF(N649&gt;'종합 현황'!$H$5,"내부 관찰 대상","내부 관찰일 이하")))))</x:f>
        <x:v>대상 아님</x:v>
      </x:c>
      <x:c r="AB649" s="2"/>
    </x:row>
    <x:row r="650" ht="42" customHeight="1">
      <x:c r="A650" s="2" t="str">
        <x:v>df9118e0e29eae0a957e5681</x:v>
      </x:c>
      <x:c r="B650" s="2" t="str">
        <x:v>사업 평가</x:v>
      </x:c>
      <x:c r="C650" s="2" t="str">
        <x:v>국내</x:v>
      </x:c>
      <x:c r="D650" s="7" t="str">
        <x:v>2018년 호남권역 기존 심야 전기보일러의 축열식 히트펌프 교체를 통한 온실가스 묶음 감축사업</x:v>
      </x:c>
      <x:c r="E650" s="2" t="str">
        <x:v>511</x:v>
      </x:c>
      <x:c r="F650" s="2" t="str">
        <x:v>2020-09-28</x:v>
      </x:c>
      <x:c r="G650" s="2" t="str">
        <x:v>2020</x:v>
      </x:c>
      <x:c r="H650" s="2" t="str">
        <x:v>09</x:v>
      </x:c>
      <x:c r="I650" s="2" t="str">
        <x:v>승인</x:v>
      </x:c>
      <x:c r="J650" s="2" t="str">
        <x:v>심의승인</x:v>
      </x:c>
      <x:c r="K650" s="2" t="str">
        <x:f>IF(OR(J650="심의승인",J650="반려",J650="반려완료",J650="심의완료"),"종결 표시",IF(OR(J650="기후부협의",J650="문서재제출요청",J650="보류",J650="보완요청",J650="보완완료",J650="평가중",J650="반려요청",J650="평가필요",LEFT(J650,5)="보완요청("),"미종결 표시","상태 확인 필요"))</x:f>
        <x:v>종결 표시</x:v>
      </x:c>
      <x:c r="L650" s="2" t="str">
        <x:v>에코시안_정다윤</x:v>
      </x:c>
      <x:c r="M650" s="2"/>
      <x:c r="N650" s="8" t="n">
        <x:f>DATE(2026,10,15)-DATE(2020,9,28)</x:f>
        <x:v>2208</x:v>
      </x:c>
      <x:c r="O650" s="2" t="str">
        <x:v>생략</x:v>
      </x:c>
      <x:c r="P650" s="2"/>
      <x:c r="Q650" s="2" t="str">
        <x:v>산업전환_외부사업관리Tool_260707_이너젠 수정_LJY_261013.xlsx</x:v>
      </x:c>
      <x:c r="R650" s="2" t="str">
        <x:v>국내평가</x:v>
      </x:c>
      <x:c r="S650" s="8" t="n">
        <x:v>553</x:v>
      </x:c>
      <x:c r="T650" s="2" t="str">
        <x:v>(9/14)</x:v>
      </x:c>
      <x:c r="U650" s="2" t="str">
        <x:v>2021 배정: (9/14) / 2025 배정: (6/26),(9/1)</x:v>
      </x:c>
      <x:c r="V650" s="2" t="str">
        <x:v>2026-03-11</x:v>
      </x:c>
      <x:c r="W650" s="2" t="str"/>
      <x:c r="X650" s="2" t="str">
        <x:v>종결 근거 보관</x:v>
      </x:c>
      <x:c r="Y650" s="2" t="str">
        <x:v>ad210cd9ec132cfd447541c8984dc53d30aff0f4fb2dc92d254d49275cc55976</x:v>
      </x:c>
      <x:c r="Z650" s="2" t="n">
        <x:f>SUBTOTAL(103,A650)</x:f>
        <x:v>1</x:v>
      </x:c>
      <x:c r="AA650" s="2" t="str">
        <x:f>IF(K650&lt;&gt;"미종결 표시","대상 아님",IF(N650="","신청일 확인",IF(NOT(ISNUMBER('종합 현황'!$H$5)),"관찰기준 확인",IF('종합 현황'!$H$5&lt;1,"관찰기준 확인",IF(N650&gt;'종합 현황'!$H$5,"내부 관찰 대상","내부 관찰일 이하")))))</x:f>
        <x:v>대상 아님</x:v>
      </x:c>
      <x:c r="AB650" s="2"/>
    </x:row>
    <x:row r="651" ht="42" customHeight="1">
      <x:c r="A651" s="2" t="str">
        <x:v>f9855c954ca88cef0aa18dfa</x:v>
      </x:c>
      <x:c r="B651" s="2" t="str">
        <x:v>사업 평가</x:v>
      </x:c>
      <x:c r="C651" s="2" t="str">
        <x:v>국내</x:v>
      </x:c>
      <x:c r="D651" s="7" t="str">
        <x:v>2018년 경북권역 기존 심야 전기보일러의 축열식 히트펌프 교체를  통한 온실가스 묶음 감축사업</x:v>
      </x:c>
      <x:c r="E651" s="2" t="str">
        <x:v>512</x:v>
      </x:c>
      <x:c r="F651" s="2" t="str">
        <x:v>2020-09-28</x:v>
      </x:c>
      <x:c r="G651" s="2" t="str">
        <x:v>2020</x:v>
      </x:c>
      <x:c r="H651" s="2" t="str">
        <x:v>09</x:v>
      </x:c>
      <x:c r="I651" s="2" t="str">
        <x:v>승인</x:v>
      </x:c>
      <x:c r="J651" s="2" t="str">
        <x:v>심의승인</x:v>
      </x:c>
      <x:c r="K651" s="2" t="str">
        <x:f>IF(OR(J651="심의승인",J651="반려",J651="반려완료",J651="심의완료"),"종결 표시",IF(OR(J651="기후부협의",J651="문서재제출요청",J651="보류",J651="보완요청",J651="보완완료",J651="평가중",J651="반려요청",J651="평가필요",LEFT(J651,5)="보완요청("),"미종결 표시","상태 확인 필요"))</x:f>
        <x:v>종결 표시</x:v>
      </x:c>
      <x:c r="L651" s="2" t="str">
        <x:v>에코시안_정다윤</x:v>
      </x:c>
      <x:c r="M651" s="2"/>
      <x:c r="N651" s="8" t="n">
        <x:f>DATE(2026,10,15)-DATE(2020,9,28)</x:f>
        <x:v>2208</x:v>
      </x:c>
      <x:c r="O651" s="2" t="str">
        <x:v>생략</x:v>
      </x:c>
      <x:c r="P651" s="2"/>
      <x:c r="Q651" s="2" t="str">
        <x:v>산업전환_외부사업관리Tool_260707_이너젠 수정_LJY_261013.xlsx</x:v>
      </x:c>
      <x:c r="R651" s="2" t="str">
        <x:v>국내평가</x:v>
      </x:c>
      <x:c r="S651" s="8" t="n">
        <x:v>554</x:v>
      </x:c>
      <x:c r="T651" s="2" t="str">
        <x:v>(9/14)</x:v>
      </x:c>
      <x:c r="U651" s="2" t="str">
        <x:v>2021 배정: (9/14) / 2025 배정: (6/26),(9/1)</x:v>
      </x:c>
      <x:c r="V651" s="2" t="str">
        <x:v>2026-03-11</x:v>
      </x:c>
      <x:c r="W651" s="2" t="str"/>
      <x:c r="X651" s="2" t="str">
        <x:v>종결 근거 보관</x:v>
      </x:c>
      <x:c r="Y651" s="2" t="str">
        <x:v>ad210cd9ec132cfd447541c8984dc53d30aff0f4fb2dc92d254d49275cc55976</x:v>
      </x:c>
      <x:c r="Z651" s="2" t="n">
        <x:f>SUBTOTAL(103,A651)</x:f>
        <x:v>1</x:v>
      </x:c>
      <x:c r="AA651" s="2" t="str">
        <x:f>IF(K651&lt;&gt;"미종결 표시","대상 아님",IF(N651="","신청일 확인",IF(NOT(ISNUMBER('종합 현황'!$H$5)),"관찰기준 확인",IF('종합 현황'!$H$5&lt;1,"관찰기준 확인",IF(N651&gt;'종합 현황'!$H$5,"내부 관찰 대상","내부 관찰일 이하")))))</x:f>
        <x:v>대상 아님</x:v>
      </x:c>
      <x:c r="AB651" s="2"/>
    </x:row>
    <x:row r="652" ht="42" customHeight="1">
      <x:c r="A652" s="2" t="str">
        <x:v>09798777ac8a9e2b94be2e02</x:v>
      </x:c>
      <x:c r="B652" s="2" t="str">
        <x:v>사업 평가</x:v>
      </x:c>
      <x:c r="C652" s="2" t="str">
        <x:v>국내</x:v>
      </x:c>
      <x:c r="D652" s="7" t="str">
        <x:v>서남아스콘(주) 연료전환(B-C유 → LPG) 사업</x:v>
      </x:c>
      <x:c r="E652" s="2" t="str">
        <x:v>513</x:v>
      </x:c>
      <x:c r="F652" s="2" t="str">
        <x:v>2021-01-15</x:v>
      </x:c>
      <x:c r="G652" s="2" t="str">
        <x:v>2021</x:v>
      </x:c>
      <x:c r="H652" s="2" t="str">
        <x:v>01</x:v>
      </x:c>
      <x:c r="I652" s="2" t="str">
        <x:v>반려</x:v>
      </x:c>
      <x:c r="J652" s="2" t="str">
        <x:v>반려</x:v>
      </x:c>
      <x:c r="K652" s="2" t="str">
        <x:f>IF(OR(J652="심의승인",J652="반려",J652="반려완료",J652="심의완료"),"종결 표시",IF(OR(J652="기후부협의",J652="문서재제출요청",J652="보류",J652="보완요청",J652="보완완료",J652="평가중",J652="반려요청",J652="평가필요",LEFT(J652,5)="보완요청("),"미종결 표시","상태 확인 필요"))</x:f>
        <x:v>종결 표시</x:v>
      </x:c>
      <x:c r="L652" s="2" t="str">
        <x:v>에코시안_기샛별</x:v>
      </x:c>
      <x:c r="M652" s="2"/>
      <x:c r="N652" s="8" t="n">
        <x:f>DATE(2026,10,15)-DATE(2021,1,15)</x:f>
        <x:v>2099</x:v>
      </x:c>
      <x:c r="O652" s="2"/>
      <x:c r="P652" s="2" t="str">
        <x:v>LPG 계측기 X(반려 신청 및 사업 재신청)</x:v>
      </x:c>
      <x:c r="Q652" s="2" t="str">
        <x:v>산업전환_외부사업관리Tool_260707_이너젠 수정_LJY_261013.xlsx</x:v>
      </x:c>
      <x:c r="R652" s="2" t="str">
        <x:v>국내평가</x:v>
      </x:c>
      <x:c r="S652" s="8" t="n">
        <x:v>555</x:v>
      </x:c>
      <x:c r="T652" s="2" t="str">
        <x:v>(4/23),(7/12)</x:v>
      </x:c>
      <x:c r="U652" s="2" t="str">
        <x:v>2021 배정: (4/23),(7/12) / 2022 배정: (4/19)</x:v>
      </x:c>
      <x:c r="V652" s="2" t="str">
        <x:v>2023-03-17</x:v>
      </x:c>
      <x:c r="W652" s="2" t="str"/>
      <x:c r="X652" s="2" t="str">
        <x:v>종결 근거 보관</x:v>
      </x:c>
      <x:c r="Y652" s="2" t="str">
        <x:v>ad210cd9ec132cfd447541c8984dc53d30aff0f4fb2dc92d254d49275cc55976</x:v>
      </x:c>
      <x:c r="Z652" s="2" t="n">
        <x:f>SUBTOTAL(103,A652)</x:f>
        <x:v>1</x:v>
      </x:c>
      <x:c r="AA652" s="2" t="str">
        <x:f>IF(K652&lt;&gt;"미종결 표시","대상 아님",IF(N652="","신청일 확인",IF(NOT(ISNUMBER('종합 현황'!$H$5)),"관찰기준 확인",IF('종합 현황'!$H$5&lt;1,"관찰기준 확인",IF(N652&gt;'종합 현황'!$H$5,"내부 관찰 대상","내부 관찰일 이하")))))</x:f>
        <x:v>대상 아님</x:v>
      </x:c>
      <x:c r="AB652" s="2"/>
    </x:row>
    <x:row r="653" ht="42" customHeight="1">
      <x:c r="A653" s="2" t="str">
        <x:v>475ee26db99e4ded67348ef8</x:v>
      </x:c>
      <x:c r="B653" s="2" t="str">
        <x:v>사업 평가</x:v>
      </x:c>
      <x:c r="C653" s="2" t="str">
        <x:v>국내</x:v>
      </x:c>
      <x:c r="D653" s="7" t="str">
        <x:v>제석아스콘㈜ 연료전환(B-C유→LPG)을 통한 온실가스 배출 감축사업</x:v>
      </x:c>
      <x:c r="E653" s="2" t="str">
        <x:v>514</x:v>
      </x:c>
      <x:c r="F653" s="2" t="str">
        <x:v>2021-02-15</x:v>
      </x:c>
      <x:c r="G653" s="2" t="str">
        <x:v>2021</x:v>
      </x:c>
      <x:c r="H653" s="2" t="str">
        <x:v>02</x:v>
      </x:c>
      <x:c r="I653" s="2" t="str">
        <x:v>반려</x:v>
      </x:c>
      <x:c r="J653" s="2" t="str">
        <x:v>반려</x:v>
      </x:c>
      <x:c r="K653" s="2" t="str">
        <x:f>IF(OR(J653="심의승인",J653="반려",J653="반려완료",J653="심의완료"),"종결 표시",IF(OR(J653="기후부협의",J653="문서재제출요청",J653="보류",J653="보완요청",J653="보완완료",J653="평가중",J653="반려요청",J653="평가필요",LEFT(J653,5)="보완요청("),"미종결 표시","상태 확인 필요"))</x:f>
        <x:v>종결 표시</x:v>
      </x:c>
      <x:c r="L653" s="2" t="str">
        <x:v>에코시안_기샛별</x:v>
      </x:c>
      <x:c r="M653" s="2"/>
      <x:c r="N653" s="8" t="n">
        <x:f>DATE(2026,10,15)-DATE(2021,2,15)</x:f>
        <x:v>2068</x:v>
      </x:c>
      <x:c r="O653" s="2"/>
      <x:c r="P653" s="2"/>
      <x:c r="Q653" s="2" t="str">
        <x:v>산업전환_외부사업관리Tool_260707_이너젠 수정_LJY_261013.xlsx</x:v>
      </x:c>
      <x:c r="R653" s="2" t="str">
        <x:v>국내평가</x:v>
      </x:c>
      <x:c r="S653" s="8" t="n">
        <x:v>556</x:v>
      </x:c>
      <x:c r="T653" s="2" t="str">
        <x:v>(4/23),(7/12)</x:v>
      </x:c>
      <x:c r="U653" s="2" t="str">
        <x:v>2021 배정: (4/23),(7/12) / 2022 배정: (4/19) / 2023 배정: 2023년 처리</x:v>
      </x:c>
      <x:c r="V653" s="2" t="str">
        <x:v>2023-04-24</x:v>
      </x:c>
      <x:c r="W653" s="2" t="str"/>
      <x:c r="X653" s="2" t="str">
        <x:v>종결 근거 보관</x:v>
      </x:c>
      <x:c r="Y653" s="2" t="str">
        <x:v>ad210cd9ec132cfd447541c8984dc53d30aff0f4fb2dc92d254d49275cc55976</x:v>
      </x:c>
      <x:c r="Z653" s="2" t="n">
        <x:f>SUBTOTAL(103,A653)</x:f>
        <x:v>1</x:v>
      </x:c>
      <x:c r="AA653" s="2" t="str">
        <x:f>IF(K653&lt;&gt;"미종결 표시","대상 아님",IF(N653="","신청일 확인",IF(NOT(ISNUMBER('종합 현황'!$H$5)),"관찰기준 확인",IF('종합 현황'!$H$5&lt;1,"관찰기준 확인",IF(N653&gt;'종합 현황'!$H$5,"내부 관찰 대상","내부 관찰일 이하")))))</x:f>
        <x:v>대상 아님</x:v>
      </x:c>
      <x:c r="AB653" s="2"/>
    </x:row>
    <x:row r="654" ht="42" customHeight="1">
      <x:c r="A654" s="2" t="str">
        <x:v>0441807fb205159399b59a5f</x:v>
      </x:c>
      <x:c r="B654" s="2" t="str">
        <x:v>사업 평가</x:v>
      </x:c>
      <x:c r="C654" s="2" t="str">
        <x:v>국내</x:v>
      </x:c>
      <x:c r="D654" s="7" t="str">
        <x:v>인천광역시 주택 태양광 발전설비 보급 프로그램 감축사업</x:v>
      </x:c>
      <x:c r="E654" s="2" t="str">
        <x:v>515</x:v>
      </x:c>
      <x:c r="F654" s="2" t="str">
        <x:v>2020-12-21</x:v>
      </x:c>
      <x:c r="G654" s="2" t="str">
        <x:v>2020</x:v>
      </x:c>
      <x:c r="H654" s="2" t="str">
        <x:v>12</x:v>
      </x:c>
      <x:c r="I654" s="2" t="str">
        <x:v>반려</x:v>
      </x:c>
      <x:c r="J654" s="2" t="str">
        <x:v>반려</x:v>
      </x:c>
      <x:c r="K654" s="2" t="str">
        <x:f>IF(OR(J654="심의승인",J654="반려",J654="반려완료",J654="심의완료"),"종결 표시",IF(OR(J654="기후부협의",J654="문서재제출요청",J654="보류",J654="보완요청",J654="보완완료",J654="평가중",J654="반려요청",J654="평가필요",LEFT(J654,5)="보완요청("),"미종결 표시","상태 확인 필요"))</x:f>
        <x:v>종결 표시</x:v>
      </x:c>
      <x:c r="L654" s="2"/>
      <x:c r="M654" s="2"/>
      <x:c r="N654" s="8" t="n">
        <x:f>DATE(2026,10,15)-DATE(2020,12,21)</x:f>
        <x:v>2124</x:v>
      </x:c>
      <x:c r="O654" s="2"/>
      <x:c r="P654" s="2"/>
      <x:c r="Q654" s="2" t="str">
        <x:v>산업전환_외부사업관리Tool_260707_이너젠 수정_LJY_261013.xlsx</x:v>
      </x:c>
      <x:c r="R654" s="2" t="str">
        <x:v>국내평가</x:v>
      </x:c>
      <x:c r="S654" s="8" t="n">
        <x:v>557</x:v>
      </x:c>
      <x:c r="T654" s="2"/>
      <x:c r="U654" s="2" t="str"/>
      <x:c r="V654" s="2" t="str">
        <x:v>2021-12-23</x:v>
      </x:c>
      <x:c r="W654" s="2" t="str">
        <x:v>담당기관 확인</x:v>
      </x:c>
      <x:c r="X654" s="2" t="str">
        <x:v>원본·배정 기록 확인</x:v>
      </x:c>
      <x:c r="Y654" s="2" t="str">
        <x:v>ad210cd9ec132cfd447541c8984dc53d30aff0f4fb2dc92d254d49275cc55976</x:v>
      </x:c>
      <x:c r="Z654" s="2" t="n">
        <x:f>SUBTOTAL(103,A654)</x:f>
        <x:v>1</x:v>
      </x:c>
      <x:c r="AA654" s="2" t="str">
        <x:f>IF(K654&lt;&gt;"미종결 표시","대상 아님",IF(N654="","신청일 확인",IF(NOT(ISNUMBER('종합 현황'!$H$5)),"관찰기준 확인",IF('종합 현황'!$H$5&lt;1,"관찰기준 확인",IF(N654&gt;'종합 현황'!$H$5,"내부 관찰 대상","내부 관찰일 이하")))))</x:f>
        <x:v>대상 아님</x:v>
      </x:c>
      <x:c r="AB654" s="2"/>
    </x:row>
    <x:row r="655" ht="42" customHeight="1">
      <x:c r="A655" s="2" t="str">
        <x:v>ae07c9b028cf3183f88d1547</x:v>
      </x:c>
      <x:c r="B655" s="2" t="str">
        <x:v>사업 평가</x:v>
      </x:c>
      <x:c r="C655" s="2" t="str">
        <x:v>국내</x:v>
      </x:c>
      <x:c r="D655" s="7" t="str">
        <x:v>인천광역시 주택 태양광 발전설비 보급 프로그램 감축사업</x:v>
      </x:c>
      <x:c r="E655" s="2" t="str">
        <x:v>516</x:v>
      </x:c>
      <x:c r="F655" s="2" t="str">
        <x:v>2020-12-22</x:v>
      </x:c>
      <x:c r="G655" s="2" t="str">
        <x:v>2020</x:v>
      </x:c>
      <x:c r="H655" s="2" t="str">
        <x:v>12</x:v>
      </x:c>
      <x:c r="I655" s="2" t="str">
        <x:v>반려</x:v>
      </x:c>
      <x:c r="J655" s="2" t="str">
        <x:v>반려</x:v>
      </x:c>
      <x:c r="K655" s="2" t="str">
        <x:f>IF(OR(J655="심의승인",J655="반려",J655="반려완료",J655="심의완료"),"종결 표시",IF(OR(J655="기후부협의",J655="문서재제출요청",J655="보류",J655="보완요청",J655="보완완료",J655="평가중",J655="반려요청",J655="평가필요",LEFT(J655,5)="보완요청("),"미종결 표시","상태 확인 필요"))</x:f>
        <x:v>종결 표시</x:v>
      </x:c>
      <x:c r="L655" s="2"/>
      <x:c r="M655" s="2"/>
      <x:c r="N655" s="8" t="n">
        <x:f>DATE(2026,10,15)-DATE(2020,12,22)</x:f>
        <x:v>2123</x:v>
      </x:c>
      <x:c r="O655" s="2"/>
      <x:c r="P655" s="2"/>
      <x:c r="Q655" s="2" t="str">
        <x:v>산업전환_외부사업관리Tool_260707_이너젠 수정_LJY_261013.xlsx</x:v>
      </x:c>
      <x:c r="R655" s="2" t="str">
        <x:v>국내평가</x:v>
      </x:c>
      <x:c r="S655" s="8" t="n">
        <x:v>558</x:v>
      </x:c>
      <x:c r="T655" s="2"/>
      <x:c r="U655" s="2" t="str"/>
      <x:c r="V655" s="2" t="str">
        <x:v>2021-12-23</x:v>
      </x:c>
      <x:c r="W655" s="2" t="str">
        <x:v>담당기관 확인</x:v>
      </x:c>
      <x:c r="X655" s="2" t="str">
        <x:v>원본·배정 기록 확인</x:v>
      </x:c>
      <x:c r="Y655" s="2" t="str">
        <x:v>ad210cd9ec132cfd447541c8984dc53d30aff0f4fb2dc92d254d49275cc55976</x:v>
      </x:c>
      <x:c r="Z655" s="2" t="n">
        <x:f>SUBTOTAL(103,A655)</x:f>
        <x:v>1</x:v>
      </x:c>
      <x:c r="AA655" s="2" t="str">
        <x:f>IF(K655&lt;&gt;"미종결 표시","대상 아님",IF(N655="","신청일 확인",IF(NOT(ISNUMBER('종합 현황'!$H$5)),"관찰기준 확인",IF('종합 현황'!$H$5&lt;1,"관찰기준 확인",IF(N655&gt;'종합 현황'!$H$5,"내부 관찰 대상","내부 관찰일 이하")))))</x:f>
        <x:v>대상 아님</x:v>
      </x:c>
      <x:c r="AB655" s="2"/>
    </x:row>
    <x:row r="656" ht="42" customHeight="1">
      <x:c r="A656" s="2" t="str">
        <x:v>c20dfd3ecccf32847a366627</x:v>
      </x:c>
      <x:c r="B656" s="2" t="str">
        <x:v>사업 평가</x:v>
      </x:c>
      <x:c r="C656" s="2" t="str">
        <x:v>국내</x:v>
      </x:c>
      <x:c r="D656" s="7" t="str">
        <x:v>서울시사회복지협의회 태양광발전설비 설치를 통한 프로그램 온실가스 배출 감축사업</x:v>
      </x:c>
      <x:c r="E656" s="2" t="str">
        <x:v>517</x:v>
      </x:c>
      <x:c r="F656" s="2" t="str">
        <x:v>2021-05-03</x:v>
      </x:c>
      <x:c r="G656" s="2" t="str">
        <x:v>2021</x:v>
      </x:c>
      <x:c r="H656" s="2" t="str">
        <x:v>05</x:v>
      </x:c>
      <x:c r="I656" s="2" t="str">
        <x:v>반려</x:v>
      </x:c>
      <x:c r="J656" s="2" t="str">
        <x:v>반려</x:v>
      </x:c>
      <x:c r="K656" s="2" t="str">
        <x:f>IF(OR(J656="심의승인",J656="반려",J656="반려완료",J656="심의완료"),"종결 표시",IF(OR(J656="기후부협의",J656="문서재제출요청",J656="보류",J656="보완요청",J656="보완완료",J656="평가중",J656="반려요청",J656="평가필요",LEFT(J656,5)="보완요청("),"미종결 표시","상태 확인 필요"))</x:f>
        <x:v>종결 표시</x:v>
      </x:c>
      <x:c r="L656" s="2" t="str">
        <x:v>에코시안_권송화</x:v>
      </x:c>
      <x:c r="M656" s="2"/>
      <x:c r="N656" s="8" t="n">
        <x:f>DATE(2026,10,15)-DATE(2021,5,3)</x:f>
        <x:v>1991</x:v>
      </x:c>
      <x:c r="O656" s="2"/>
      <x:c r="P656" s="2"/>
      <x:c r="Q656" s="2" t="str">
        <x:v>산업전환_외부사업관리Tool_260707_이너젠 수정_LJY_261013.xlsx</x:v>
      </x:c>
      <x:c r="R656" s="2" t="str">
        <x:v>국내평가</x:v>
      </x:c>
      <x:c r="S656" s="8" t="n">
        <x:v>559</x:v>
      </x:c>
      <x:c r="T656" s="2" t="str">
        <x:v>(5/7),(6/28)</x:v>
      </x:c>
      <x:c r="U656" s="2" t="str">
        <x:v>2021 배정: (5/7),(6/28)</x:v>
      </x:c>
      <x:c r="V656" s="2" t="str">
        <x:v>2023-03-20</x:v>
      </x:c>
      <x:c r="W656" s="2" t="str"/>
      <x:c r="X656" s="2" t="str">
        <x:v>종결 근거 보관</x:v>
      </x:c>
      <x:c r="Y656" s="2" t="str">
        <x:v>ad210cd9ec132cfd447541c8984dc53d30aff0f4fb2dc92d254d49275cc55976</x:v>
      </x:c>
      <x:c r="Z656" s="2" t="n">
        <x:f>SUBTOTAL(103,A656)</x:f>
        <x:v>1</x:v>
      </x:c>
      <x:c r="AA656" s="2" t="str">
        <x:f>IF(K656&lt;&gt;"미종결 표시","대상 아님",IF(N656="","신청일 확인",IF(NOT(ISNUMBER('종합 현황'!$H$5)),"관찰기준 확인",IF('종합 현황'!$H$5&lt;1,"관찰기준 확인",IF(N656&gt;'종합 현황'!$H$5,"내부 관찰 대상","내부 관찰일 이하")))))</x:f>
        <x:v>대상 아님</x:v>
      </x:c>
      <x:c r="AB656" s="2"/>
    </x:row>
    <x:row r="657" ht="42" customHeight="1">
      <x:c r="A657" s="2" t="str">
        <x:v>2ac5004e6925f4bbbb01f877</x:v>
      </x:c>
      <x:c r="B657" s="2" t="str">
        <x:v>사업 평가</x:v>
      </x:c>
      <x:c r="C657" s="2" t="str">
        <x:v>국내</x:v>
      </x:c>
      <x:c r="D657" s="7" t="str">
        <x:v>2018년 경남권역 기존 심야 전기보일러의 축열식 히트펌프 교체를  통한 온실가스 묶음 감축사업</x:v>
      </x:c>
      <x:c r="E657" s="2" t="str">
        <x:v>518</x:v>
      </x:c>
      <x:c r="F657" s="2" t="str">
        <x:v>2020-09-28</x:v>
      </x:c>
      <x:c r="G657" s="2" t="str">
        <x:v>2020</x:v>
      </x:c>
      <x:c r="H657" s="2" t="str">
        <x:v>09</x:v>
      </x:c>
      <x:c r="I657" s="2" t="str">
        <x:v>승인</x:v>
      </x:c>
      <x:c r="J657" s="2" t="str">
        <x:v>심의승인</x:v>
      </x:c>
      <x:c r="K657" s="2" t="str">
        <x:f>IF(OR(J657="심의승인",J657="반려",J657="반려완료",J657="심의완료"),"종결 표시",IF(OR(J657="기후부협의",J657="문서재제출요청",J657="보류",J657="보완요청",J657="보완완료",J657="평가중",J657="반려요청",J657="평가필요",LEFT(J657,5)="보완요청("),"미종결 표시","상태 확인 필요"))</x:f>
        <x:v>종결 표시</x:v>
      </x:c>
      <x:c r="L657" s="2" t="str">
        <x:v>에코시안_조혜민</x:v>
      </x:c>
      <x:c r="M657" s="2"/>
      <x:c r="N657" s="8" t="n">
        <x:f>DATE(2026,10,15)-DATE(2020,9,28)</x:f>
        <x:v>2208</x:v>
      </x:c>
      <x:c r="O657" s="2" t="str">
        <x:v>생략</x:v>
      </x:c>
      <x:c r="P657" s="2"/>
      <x:c r="Q657" s="2" t="str">
        <x:v>산업전환_외부사업관리Tool_260707_이너젠 수정_LJY_261013.xlsx</x:v>
      </x:c>
      <x:c r="R657" s="2" t="str">
        <x:v>국내평가</x:v>
      </x:c>
      <x:c r="S657" s="8" t="n">
        <x:v>560</x:v>
      </x:c>
      <x:c r="T657" s="2" t="str">
        <x:v>(9/14)</x:v>
      </x:c>
      <x:c r="U657" s="2" t="str">
        <x:v>2021 배정: (9/14) / 2025 배정: (6/26),(9/1)</x:v>
      </x:c>
      <x:c r="V657" s="2" t="str">
        <x:v>2026-03-19</x:v>
      </x:c>
      <x:c r="W657" s="2" t="str"/>
      <x:c r="X657" s="2" t="str">
        <x:v>종결 근거 보관</x:v>
      </x:c>
      <x:c r="Y657" s="2" t="str">
        <x:v>ad210cd9ec132cfd447541c8984dc53d30aff0f4fb2dc92d254d49275cc55976</x:v>
      </x:c>
      <x:c r="Z657" s="2" t="n">
        <x:f>SUBTOTAL(103,A657)</x:f>
        <x:v>1</x:v>
      </x:c>
      <x:c r="AA657" s="2" t="str">
        <x:f>IF(K657&lt;&gt;"미종결 표시","대상 아님",IF(N657="","신청일 확인",IF(NOT(ISNUMBER('종합 현황'!$H$5)),"관찰기준 확인",IF('종합 현황'!$H$5&lt;1,"관찰기준 확인",IF(N657&gt;'종합 현황'!$H$5,"내부 관찰 대상","내부 관찰일 이하")))))</x:f>
        <x:v>대상 아님</x:v>
      </x:c>
      <x:c r="AB657" s="2"/>
    </x:row>
    <x:row r="658" ht="42" customHeight="1">
      <x:c r="A658" s="2" t="str">
        <x:v>c010e8f7a446edb9ca0cf6cc</x:v>
      </x:c>
      <x:c r="B658" s="2" t="str">
        <x:v>사업 평가</x:v>
      </x:c>
      <x:c r="C658" s="2" t="str">
        <x:v>국내</x:v>
      </x:c>
      <x:c r="D658" s="7" t="str">
        <x:v>진흥염직의 보일러 연료전환 (B-C유 → LNG)을 통한 온실가스(CO2) 배출 감축사업</x:v>
      </x:c>
      <x:c r="E658" s="2" t="str">
        <x:v>519</x:v>
      </x:c>
      <x:c r="F658" s="2" t="str">
        <x:v>2020-07-08</x:v>
      </x:c>
      <x:c r="G658" s="2" t="str">
        <x:v>2020</x:v>
      </x:c>
      <x:c r="H658" s="2" t="str">
        <x:v>07</x:v>
      </x:c>
      <x:c r="I658" s="2" t="str">
        <x:v>반려</x:v>
      </x:c>
      <x:c r="J658" s="2" t="str">
        <x:v>반려</x:v>
      </x:c>
      <x:c r="K658" s="2" t="str">
        <x:f>IF(OR(J658="심의승인",J658="반려",J658="반려완료",J658="심의완료"),"종결 표시",IF(OR(J658="기후부협의",J658="문서재제출요청",J658="보류",J658="보완요청",J658="보완완료",J658="평가중",J658="반려요청",J658="평가필요",LEFT(J658,5)="보완요청("),"미종결 표시","상태 확인 필요"))</x:f>
        <x:v>종결 표시</x:v>
      </x:c>
      <x:c r="L658" s="2"/>
      <x:c r="M658" s="2"/>
      <x:c r="N658" s="8" t="n">
        <x:f>DATE(2026,10,15)-DATE(2020,7,8)</x:f>
        <x:v>2290</x:v>
      </x:c>
      <x:c r="O658" s="2"/>
      <x:c r="P658" s="2"/>
      <x:c r="Q658" s="2" t="str">
        <x:v>산업전환_외부사업관리Tool_260707_이너젠 수정_LJY_261013.xlsx</x:v>
      </x:c>
      <x:c r="R658" s="2" t="str">
        <x:v>국내평가</x:v>
      </x:c>
      <x:c r="S658" s="8" t="n">
        <x:v>561</x:v>
      </x:c>
      <x:c r="T658" s="2" t="str">
        <x:v>2021년 처리</x:v>
      </x:c>
      <x:c r="U658" s="2" t="str">
        <x:v>2021 배정: 2021년 처리</x:v>
      </x:c>
      <x:c r="V658" s="2" t="str">
        <x:v>2021-07-16</x:v>
      </x:c>
      <x:c r="W658" s="2" t="str">
        <x:v>담당기관 확인</x:v>
      </x:c>
      <x:c r="X658" s="2" t="str">
        <x:v>원본·배정 기록 확인</x:v>
      </x:c>
      <x:c r="Y658" s="2" t="str">
        <x:v>ad210cd9ec132cfd447541c8984dc53d30aff0f4fb2dc92d254d49275cc55976</x:v>
      </x:c>
      <x:c r="Z658" s="2" t="n">
        <x:f>SUBTOTAL(103,A658)</x:f>
        <x:v>1</x:v>
      </x:c>
      <x:c r="AA658" s="2" t="str">
        <x:f>IF(K658&lt;&gt;"미종결 표시","대상 아님",IF(N658="","신청일 확인",IF(NOT(ISNUMBER('종합 현황'!$H$5)),"관찰기준 확인",IF('종합 현황'!$H$5&lt;1,"관찰기준 확인",IF(N658&gt;'종합 현황'!$H$5,"내부 관찰 대상","내부 관찰일 이하")))))</x:f>
        <x:v>대상 아님</x:v>
      </x:c>
      <x:c r="AB658" s="2"/>
    </x:row>
    <x:row r="659" ht="42" customHeight="1">
      <x:c r="A659" s="2" t="str">
        <x:v>8702e6393fcab596d5aeb4cb</x:v>
      </x:c>
      <x:c r="B659" s="2" t="str">
        <x:v>사업 평가</x:v>
      </x:c>
      <x:c r="C659" s="2" t="str">
        <x:v>국내</x:v>
      </x:c>
      <x:c r="D659" s="7" t="str">
        <x:v>㈜ 신안피앤씨 인버터 공기압축기 고효율설비 교체 사업</x:v>
      </x:c>
      <x:c r="E659" s="2" t="str">
        <x:v>520</x:v>
      </x:c>
      <x:c r="F659" s="2" t="str">
        <x:v>2020-01-20</x:v>
      </x:c>
      <x:c r="G659" s="2" t="str">
        <x:v>2020</x:v>
      </x:c>
      <x:c r="H659" s="2" t="str">
        <x:v>01</x:v>
      </x:c>
      <x:c r="I659" s="2" t="str">
        <x:v>승인</x:v>
      </x:c>
      <x:c r="J659" s="2" t="str">
        <x:v>심의승인</x:v>
      </x:c>
      <x:c r="K659" s="2" t="str">
        <x:f>IF(OR(J659="심의승인",J659="반려",J659="반려완료",J659="심의완료"),"종결 표시",IF(OR(J659="기후부협의",J659="문서재제출요청",J659="보류",J659="보완요청",J659="보완완료",J659="평가중",J659="반려요청",J659="평가필요",LEFT(J659,5)="보완요청("),"미종결 표시","상태 확인 필요"))</x:f>
        <x:v>종결 표시</x:v>
      </x:c>
      <x:c r="L659" s="2"/>
      <x:c r="M659" s="2"/>
      <x:c r="N659" s="8" t="n">
        <x:f>DATE(2026,10,15)-DATE(2020,1,20)</x:f>
        <x:v>2460</x:v>
      </x:c>
      <x:c r="O659" s="2"/>
      <x:c r="P659" s="2"/>
      <x:c r="Q659" s="2" t="str">
        <x:v>산업전환_외부사업관리Tool_260707_이너젠 수정_LJY_261013.xlsx</x:v>
      </x:c>
      <x:c r="R659" s="2" t="str">
        <x:v>국내평가</x:v>
      </x:c>
      <x:c r="S659" s="8" t="n">
        <x:v>562</x:v>
      </x:c>
      <x:c r="T659" s="2" t="str">
        <x:v>2021년 처리</x:v>
      </x:c>
      <x:c r="U659" s="2" t="str">
        <x:v>2021 배정: 2021년 처리</x:v>
      </x:c>
      <x:c r="V659" s="2" t="str">
        <x:v>2021-07-12</x:v>
      </x:c>
      <x:c r="W659" s="2" t="str">
        <x:v>담당기관 확인</x:v>
      </x:c>
      <x:c r="X659" s="2" t="str">
        <x:v>원본·배정 기록 확인</x:v>
      </x:c>
      <x:c r="Y659" s="2" t="str">
        <x:v>ad210cd9ec132cfd447541c8984dc53d30aff0f4fb2dc92d254d49275cc55976</x:v>
      </x:c>
      <x:c r="Z659" s="2" t="n">
        <x:f>SUBTOTAL(103,A659)</x:f>
        <x:v>1</x:v>
      </x:c>
      <x:c r="AA659" s="2" t="str">
        <x:f>IF(K659&lt;&gt;"미종결 표시","대상 아님",IF(N659="","신청일 확인",IF(NOT(ISNUMBER('종합 현황'!$H$5)),"관찰기준 확인",IF('종합 현황'!$H$5&lt;1,"관찰기준 확인",IF(N659&gt;'종합 현황'!$H$5,"내부 관찰 대상","내부 관찰일 이하")))))</x:f>
        <x:v>대상 아님</x:v>
      </x:c>
      <x:c r="AB659" s="2"/>
    </x:row>
    <x:row r="660" ht="42" customHeight="1">
      <x:c r="A660" s="2" t="str">
        <x:v>b529f90f6f56ae94a71f4c99</x:v>
      </x:c>
      <x:c r="B660" s="2" t="str">
        <x:v>사업 평가</x:v>
      </x:c>
      <x:c r="C660" s="2" t="str">
        <x:v>국내</x:v>
      </x:c>
      <x:c r="D660" s="7" t="str">
        <x:v>주식회사 한영지에스티 인버터 공기압축기 고효율설비 교체 사업</x:v>
      </x:c>
      <x:c r="E660" s="2" t="str">
        <x:v>521</x:v>
      </x:c>
      <x:c r="F660" s="2" t="str">
        <x:v>2020-01-20</x:v>
      </x:c>
      <x:c r="G660" s="2" t="str">
        <x:v>2020</x:v>
      </x:c>
      <x:c r="H660" s="2" t="str">
        <x:v>01</x:v>
      </x:c>
      <x:c r="I660" s="2" t="str">
        <x:v>승인</x:v>
      </x:c>
      <x:c r="J660" s="2" t="str">
        <x:v>심의승인</x:v>
      </x:c>
      <x:c r="K660" s="2" t="str">
        <x:f>IF(OR(J660="심의승인",J660="반려",J660="반려완료",J660="심의완료"),"종결 표시",IF(OR(J660="기후부협의",J660="문서재제출요청",J660="보류",J660="보완요청",J660="보완완료",J660="평가중",J660="반려요청",J660="평가필요",LEFT(J660,5)="보완요청("),"미종결 표시","상태 확인 필요"))</x:f>
        <x:v>종결 표시</x:v>
      </x:c>
      <x:c r="L660" s="2"/>
      <x:c r="M660" s="2"/>
      <x:c r="N660" s="8" t="n">
        <x:f>DATE(2026,10,15)-DATE(2020,1,20)</x:f>
        <x:v>2460</x:v>
      </x:c>
      <x:c r="O660" s="2"/>
      <x:c r="P660" s="2"/>
      <x:c r="Q660" s="2" t="str">
        <x:v>산업전환_외부사업관리Tool_260707_이너젠 수정_LJY_261013.xlsx</x:v>
      </x:c>
      <x:c r="R660" s="2" t="str">
        <x:v>국내평가</x:v>
      </x:c>
      <x:c r="S660" s="8" t="n">
        <x:v>563</x:v>
      </x:c>
      <x:c r="T660" s="2" t="str">
        <x:v>2021년 처리</x:v>
      </x:c>
      <x:c r="U660" s="2" t="str">
        <x:v>2021 배정: 2021년 처리</x:v>
      </x:c>
      <x:c r="V660" s="2" t="str">
        <x:v>2021-07-09</x:v>
      </x:c>
      <x:c r="W660" s="2" t="str">
        <x:v>담당기관 확인</x:v>
      </x:c>
      <x:c r="X660" s="2" t="str">
        <x:v>원본·배정 기록 확인</x:v>
      </x:c>
      <x:c r="Y660" s="2" t="str">
        <x:v>ad210cd9ec132cfd447541c8984dc53d30aff0f4fb2dc92d254d49275cc55976</x:v>
      </x:c>
      <x:c r="Z660" s="2" t="n">
        <x:f>SUBTOTAL(103,A660)</x:f>
        <x:v>1</x:v>
      </x:c>
      <x:c r="AA660" s="2" t="str">
        <x:f>IF(K660&lt;&gt;"미종결 표시","대상 아님",IF(N660="","신청일 확인",IF(NOT(ISNUMBER('종합 현황'!$H$5)),"관찰기준 확인",IF('종합 현황'!$H$5&lt;1,"관찰기준 확인",IF(N660&gt;'종합 현황'!$H$5,"내부 관찰 대상","내부 관찰일 이하")))))</x:f>
        <x:v>대상 아님</x:v>
      </x:c>
      <x:c r="AB660" s="2"/>
    </x:row>
    <x:row r="661" ht="42" customHeight="1">
      <x:c r="A661" s="2" t="str">
        <x:v>db1d3c192a21ddf596245ae5</x:v>
      </x:c>
      <x:c r="B661" s="2" t="str">
        <x:v>사업 평가</x:v>
      </x:c>
      <x:c r="C661" s="2" t="str">
        <x:v>국내</x:v>
      </x:c>
      <x:c r="D661" s="7" t="str">
        <x:v>㈜ 대호시리카 인버터 공기압축기 고효율설비 교체 사업</x:v>
      </x:c>
      <x:c r="E661" s="2" t="str">
        <x:v>522</x:v>
      </x:c>
      <x:c r="F661" s="2" t="str">
        <x:v>2020-01-22</x:v>
      </x:c>
      <x:c r="G661" s="2" t="str">
        <x:v>2020</x:v>
      </x:c>
      <x:c r="H661" s="2" t="str">
        <x:v>01</x:v>
      </x:c>
      <x:c r="I661" s="2" t="str">
        <x:v>승인</x:v>
      </x:c>
      <x:c r="J661" s="2" t="str">
        <x:v>심의승인</x:v>
      </x:c>
      <x:c r="K661" s="2" t="str">
        <x:f>IF(OR(J661="심의승인",J661="반려",J661="반려완료",J661="심의완료"),"종결 표시",IF(OR(J661="기후부협의",J661="문서재제출요청",J661="보류",J661="보완요청",J661="보완완료",J661="평가중",J661="반려요청",J661="평가필요",LEFT(J661,5)="보완요청("),"미종결 표시","상태 확인 필요"))</x:f>
        <x:v>종결 표시</x:v>
      </x:c>
      <x:c r="L661" s="2"/>
      <x:c r="M661" s="2"/>
      <x:c r="N661" s="8" t="n">
        <x:f>DATE(2026,10,15)-DATE(2020,1,22)</x:f>
        <x:v>2458</x:v>
      </x:c>
      <x:c r="O661" s="2"/>
      <x:c r="P661" s="2"/>
      <x:c r="Q661" s="2" t="str">
        <x:v>산업전환_외부사업관리Tool_260707_이너젠 수정_LJY_261013.xlsx</x:v>
      </x:c>
      <x:c r="R661" s="2" t="str">
        <x:v>국내평가</x:v>
      </x:c>
      <x:c r="S661" s="8" t="n">
        <x:v>564</x:v>
      </x:c>
      <x:c r="T661" s="2" t="str">
        <x:v>2021년 처리</x:v>
      </x:c>
      <x:c r="U661" s="2" t="str">
        <x:v>2021 배정: 2021년 처리</x:v>
      </x:c>
      <x:c r="V661" s="2" t="str">
        <x:v>2021-07-12</x:v>
      </x:c>
      <x:c r="W661" s="2" t="str">
        <x:v>담당기관 확인</x:v>
      </x:c>
      <x:c r="X661" s="2" t="str">
        <x:v>원본·배정 기록 확인</x:v>
      </x:c>
      <x:c r="Y661" s="2" t="str">
        <x:v>ad210cd9ec132cfd447541c8984dc53d30aff0f4fb2dc92d254d49275cc55976</x:v>
      </x:c>
      <x:c r="Z661" s="2" t="n">
        <x:f>SUBTOTAL(103,A661)</x:f>
        <x:v>1</x:v>
      </x:c>
      <x:c r="AA661" s="2" t="str">
        <x:f>IF(K661&lt;&gt;"미종결 표시","대상 아님",IF(N661="","신청일 확인",IF(NOT(ISNUMBER('종합 현황'!$H$5)),"관찰기준 확인",IF('종합 현황'!$H$5&lt;1,"관찰기준 확인",IF(N661&gt;'종합 현황'!$H$5,"내부 관찰 대상","내부 관찰일 이하")))))</x:f>
        <x:v>대상 아님</x:v>
      </x:c>
      <x:c r="AB661" s="2"/>
    </x:row>
    <x:row r="662" ht="42" customHeight="1">
      <x:c r="A662" s="2" t="str">
        <x:v>6fc7c2ffb3273d67a56df64e</x:v>
      </x:c>
      <x:c r="B662" s="2" t="str">
        <x:v>사업 평가</x:v>
      </x:c>
      <x:c r="C662" s="2" t="str">
        <x:v>국내</x:v>
      </x:c>
      <x:c r="D662" s="7" t="str">
        <x:v>우림기계 태양광발전 설비 설치를 통한 전력 생산 및 자가 사용 사업</x:v>
      </x:c>
      <x:c r="E662" s="2" t="str">
        <x:v>523</x:v>
      </x:c>
      <x:c r="F662" s="2" t="str">
        <x:v>2020-01-28</x:v>
      </x:c>
      <x:c r="G662" s="2" t="str">
        <x:v>2020</x:v>
      </x:c>
      <x:c r="H662" s="2" t="str">
        <x:v>01</x:v>
      </x:c>
      <x:c r="I662" s="2" t="str">
        <x:v>승인</x:v>
      </x:c>
      <x:c r="J662" s="2" t="str">
        <x:v>심의승인</x:v>
      </x:c>
      <x:c r="K662" s="2" t="str">
        <x:f>IF(OR(J662="심의승인",J662="반려",J662="반려완료",J662="심의완료"),"종결 표시",IF(OR(J662="기후부협의",J662="문서재제출요청",J662="보류",J662="보완요청",J662="보완완료",J662="평가중",J662="반려요청",J662="평가필요",LEFT(J662,5)="보완요청("),"미종결 표시","상태 확인 필요"))</x:f>
        <x:v>종결 표시</x:v>
      </x:c>
      <x:c r="L662" s="2"/>
      <x:c r="M662" s="2"/>
      <x:c r="N662" s="8" t="n">
        <x:f>DATE(2026,10,15)-DATE(2020,1,28)</x:f>
        <x:v>2452</x:v>
      </x:c>
      <x:c r="O662" s="2"/>
      <x:c r="P662" s="2"/>
      <x:c r="Q662" s="2" t="str">
        <x:v>산업전환_외부사업관리Tool_260707_이너젠 수정_LJY_261013.xlsx</x:v>
      </x:c>
      <x:c r="R662" s="2" t="str">
        <x:v>국내평가</x:v>
      </x:c>
      <x:c r="S662" s="8" t="n">
        <x:v>565</x:v>
      </x:c>
      <x:c r="T662" s="2"/>
      <x:c r="U662" s="2" t="str"/>
      <x:c r="V662" s="2" t="str">
        <x:v>2020-08-05</x:v>
      </x:c>
      <x:c r="W662" s="2" t="str">
        <x:v>담당기관 확인</x:v>
      </x:c>
      <x:c r="X662" s="2" t="str">
        <x:v>원본·배정 기록 확인</x:v>
      </x:c>
      <x:c r="Y662" s="2" t="str">
        <x:v>ad210cd9ec132cfd447541c8984dc53d30aff0f4fb2dc92d254d49275cc55976</x:v>
      </x:c>
      <x:c r="Z662" s="2" t="n">
        <x:f>SUBTOTAL(103,A662)</x:f>
        <x:v>1</x:v>
      </x:c>
      <x:c r="AA662" s="2" t="str">
        <x:f>IF(K662&lt;&gt;"미종결 표시","대상 아님",IF(N662="","신청일 확인",IF(NOT(ISNUMBER('종합 현황'!$H$5)),"관찰기준 확인",IF('종합 현황'!$H$5&lt;1,"관찰기준 확인",IF(N662&gt;'종합 현황'!$H$5,"내부 관찰 대상","내부 관찰일 이하")))))</x:f>
        <x:v>대상 아님</x:v>
      </x:c>
      <x:c r="AB662" s="2"/>
    </x:row>
    <x:row r="663" ht="42" customHeight="1">
      <x:c r="A663" s="2" t="str">
        <x:v>ab8cb69f7aed7721dcec5eb1</x:v>
      </x:c>
      <x:c r="B663" s="2" t="str">
        <x:v>사업 평가</x:v>
      </x:c>
      <x:c r="C663" s="2" t="str">
        <x:v>국내</x:v>
      </x:c>
      <x:c r="D663" s="7" t="str">
        <x:v>에스피탱크터미널의 B-C유에서 도시가스(LNG)로 연료전환을 통한 온실가스 배출 감축사업</x:v>
      </x:c>
      <x:c r="E663" s="2" t="str">
        <x:v>524</x:v>
      </x:c>
      <x:c r="F663" s="2" t="str">
        <x:v>2020-01-28</x:v>
      </x:c>
      <x:c r="G663" s="2" t="str">
        <x:v>2020</x:v>
      </x:c>
      <x:c r="H663" s="2" t="str">
        <x:v>01</x:v>
      </x:c>
      <x:c r="I663" s="2" t="str">
        <x:v>승인</x:v>
      </x:c>
      <x:c r="J663" s="2" t="str">
        <x:v>심의승인</x:v>
      </x:c>
      <x:c r="K663" s="2" t="str">
        <x:f>IF(OR(J663="심의승인",J663="반려",J663="반려완료",J663="심의완료"),"종결 표시",IF(OR(J663="기후부협의",J663="문서재제출요청",J663="보류",J663="보완요청",J663="보완완료",J663="평가중",J663="반려요청",J663="평가필요",LEFT(J663,5)="보완요청("),"미종결 표시","상태 확인 필요"))</x:f>
        <x:v>종결 표시</x:v>
      </x:c>
      <x:c r="L663" s="2" t="str">
        <x:v>KECM</x:v>
      </x:c>
      <x:c r="M663" s="2"/>
      <x:c r="N663" s="8" t="n">
        <x:f>DATE(2026,10,15)-DATE(2020,1,28)</x:f>
        <x:v>2452</x:v>
      </x:c>
      <x:c r="O663" s="2" t="str">
        <x:v>O</x:v>
      </x:c>
      <x:c r="P663" s="2"/>
      <x:c r="Q663" s="2" t="str">
        <x:v>산업전환_외부사업관리Tool_260707_이너젠 수정_LJY_261013.xlsx</x:v>
      </x:c>
      <x:c r="R663" s="2" t="str">
        <x:v>국내평가</x:v>
      </x:c>
      <x:c r="S663" s="8" t="n">
        <x:v>566</x:v>
      </x:c>
      <x:c r="T663" s="2" t="str">
        <x:v>(6/28),(9/1)</x:v>
      </x:c>
      <x:c r="U663" s="2" t="str">
        <x:v>2021 배정: (6/28),(9/1)</x:v>
      </x:c>
      <x:c r="V663" s="2" t="str">
        <x:v>2022-01-07</x:v>
      </x:c>
      <x:c r="W663" s="2" t="str"/>
      <x:c r="X663" s="2" t="str">
        <x:v>종결 근거 보관</x:v>
      </x:c>
      <x:c r="Y663" s="2" t="str">
        <x:v>ad210cd9ec132cfd447541c8984dc53d30aff0f4fb2dc92d254d49275cc55976</x:v>
      </x:c>
      <x:c r="Z663" s="2" t="n">
        <x:f>SUBTOTAL(103,A663)</x:f>
        <x:v>1</x:v>
      </x:c>
      <x:c r="AA663" s="2" t="str">
        <x:f>IF(K663&lt;&gt;"미종결 표시","대상 아님",IF(N663="","신청일 확인",IF(NOT(ISNUMBER('종합 현황'!$H$5)),"관찰기준 확인",IF('종합 현황'!$H$5&lt;1,"관찰기준 확인",IF(N663&gt;'종합 현황'!$H$5,"내부 관찰 대상","내부 관찰일 이하")))))</x:f>
        <x:v>대상 아님</x:v>
      </x:c>
      <x:c r="AB663" s="2"/>
    </x:row>
    <x:row r="664" ht="42" customHeight="1">
      <x:c r="A664" s="2" t="str">
        <x:v>1ad38251decf49b071a9bda7</x:v>
      </x:c>
      <x:c r="B664" s="2" t="str">
        <x:v>사업 평가</x:v>
      </x:c>
      <x:c r="C664" s="2" t="str">
        <x:v>국내</x:v>
      </x:c>
      <x:c r="D664" s="7" t="str">
        <x:v>(주) 지팩 인버터 공기압축기 고효율설비 교체 사업</x:v>
      </x:c>
      <x:c r="E664" s="2" t="str">
        <x:v>525</x:v>
      </x:c>
      <x:c r="F664" s="2" t="str">
        <x:v>2020-02-04</x:v>
      </x:c>
      <x:c r="G664" s="2" t="str">
        <x:v>2020</x:v>
      </x:c>
      <x:c r="H664" s="2" t="str">
        <x:v>02</x:v>
      </x:c>
      <x:c r="I664" s="2" t="str">
        <x:v>승인</x:v>
      </x:c>
      <x:c r="J664" s="2" t="str">
        <x:v>심의승인</x:v>
      </x:c>
      <x:c r="K664" s="2" t="str">
        <x:f>IF(OR(J664="심의승인",J664="반려",J664="반려완료",J664="심의완료"),"종결 표시",IF(OR(J664="기후부협의",J664="문서재제출요청",J664="보류",J664="보완요청",J664="보완완료",J664="평가중",J664="반려요청",J664="평가필요",LEFT(J664,5)="보완요청("),"미종결 표시","상태 확인 필요"))</x:f>
        <x:v>종결 표시</x:v>
      </x:c>
      <x:c r="L664" s="2"/>
      <x:c r="M664" s="2"/>
      <x:c r="N664" s="8" t="n">
        <x:f>DATE(2026,10,15)-DATE(2020,2,4)</x:f>
        <x:v>2445</x:v>
      </x:c>
      <x:c r="O664" s="2"/>
      <x:c r="P664" s="2"/>
      <x:c r="Q664" s="2" t="str">
        <x:v>산업전환_외부사업관리Tool_260707_이너젠 수정_LJY_261013.xlsx</x:v>
      </x:c>
      <x:c r="R664" s="2" t="str">
        <x:v>국내평가</x:v>
      </x:c>
      <x:c r="S664" s="8" t="n">
        <x:v>567</x:v>
      </x:c>
      <x:c r="T664" s="2" t="str">
        <x:v>2021년 처리</x:v>
      </x:c>
      <x:c r="U664" s="2" t="str">
        <x:v>2021 배정: 2021년 처리</x:v>
      </x:c>
      <x:c r="V664" s="2" t="str">
        <x:v>2021-07-08</x:v>
      </x:c>
      <x:c r="W664" s="2" t="str">
        <x:v>담당기관 확인</x:v>
      </x:c>
      <x:c r="X664" s="2" t="str">
        <x:v>원본·배정 기록 확인</x:v>
      </x:c>
      <x:c r="Y664" s="2" t="str">
        <x:v>ad210cd9ec132cfd447541c8984dc53d30aff0f4fb2dc92d254d49275cc55976</x:v>
      </x:c>
      <x:c r="Z664" s="2" t="n">
        <x:f>SUBTOTAL(103,A664)</x:f>
        <x:v>1</x:v>
      </x:c>
      <x:c r="AA664" s="2" t="str">
        <x:f>IF(K664&lt;&gt;"미종결 표시","대상 아님",IF(N664="","신청일 확인",IF(NOT(ISNUMBER('종합 현황'!$H$5)),"관찰기준 확인",IF('종합 현황'!$H$5&lt;1,"관찰기준 확인",IF(N664&gt;'종합 현황'!$H$5,"내부 관찰 대상","내부 관찰일 이하")))))</x:f>
        <x:v>대상 아님</x:v>
      </x:c>
      <x:c r="AB664" s="2"/>
    </x:row>
    <x:row r="665" ht="42" customHeight="1">
      <x:c r="A665" s="2" t="str">
        <x:v>a1ae71a5981e0379a9589ae6</x:v>
      </x:c>
      <x:c r="B665" s="2" t="str">
        <x:v>사업 평가</x:v>
      </x:c>
      <x:c r="C665" s="2" t="str">
        <x:v>국내</x:v>
      </x:c>
      <x:c r="D665" s="7" t="str">
        <x:v>영덕산업(주)  고효율 2단 인버터 PM Motor 공기압축기로 교체 사업</x:v>
      </x:c>
      <x:c r="E665" s="2" t="str">
        <x:v>526</x:v>
      </x:c>
      <x:c r="F665" s="2" t="str">
        <x:v>2020-02-13</x:v>
      </x:c>
      <x:c r="G665" s="2" t="str">
        <x:v>2020</x:v>
      </x:c>
      <x:c r="H665" s="2" t="str">
        <x:v>02</x:v>
      </x:c>
      <x:c r="I665" s="2" t="str">
        <x:v>승인</x:v>
      </x:c>
      <x:c r="J665" s="2" t="str">
        <x:v>심의승인</x:v>
      </x:c>
      <x:c r="K665" s="2" t="str">
        <x:f>IF(OR(J665="심의승인",J665="반려",J665="반려완료",J665="심의완료"),"종결 표시",IF(OR(J665="기후부협의",J665="문서재제출요청",J665="보류",J665="보완요청",J665="보완완료",J665="평가중",J665="반려요청",J665="평가필요",LEFT(J665,5)="보완요청("),"미종결 표시","상태 확인 필요"))</x:f>
        <x:v>종결 표시</x:v>
      </x:c>
      <x:c r="L665" s="2" t="str">
        <x:v>KECM</x:v>
      </x:c>
      <x:c r="M665" s="2"/>
      <x:c r="N665" s="8" t="n">
        <x:f>DATE(2026,10,15)-DATE(2020,2,13)</x:f>
        <x:v>2436</x:v>
      </x:c>
      <x:c r="O665" s="2" t="str">
        <x:v>O</x:v>
      </x:c>
      <x:c r="P665" s="2"/>
      <x:c r="Q665" s="2" t="str">
        <x:v>산업전환_외부사업관리Tool_260707_이너젠 수정_LJY_261013.xlsx</x:v>
      </x:c>
      <x:c r="R665" s="2" t="str">
        <x:v>국내평가</x:v>
      </x:c>
      <x:c r="S665" s="8" t="n">
        <x:v>568</x:v>
      </x:c>
      <x:c r="T665" s="2" t="str">
        <x:v>(7/12)</x:v>
      </x:c>
      <x:c r="U665" s="2" t="str">
        <x:v>2021 배정: (7/12)</x:v>
      </x:c>
      <x:c r="V665" s="2" t="str">
        <x:v>2022-01-08</x:v>
      </x:c>
      <x:c r="W665" s="2" t="str"/>
      <x:c r="X665" s="2" t="str">
        <x:v>종결 근거 보관</x:v>
      </x:c>
      <x:c r="Y665" s="2" t="str">
        <x:v>ad210cd9ec132cfd447541c8984dc53d30aff0f4fb2dc92d254d49275cc55976</x:v>
      </x:c>
      <x:c r="Z665" s="2" t="n">
        <x:f>SUBTOTAL(103,A665)</x:f>
        <x:v>1</x:v>
      </x:c>
      <x:c r="AA665" s="2" t="str">
        <x:f>IF(K665&lt;&gt;"미종결 표시","대상 아님",IF(N665="","신청일 확인",IF(NOT(ISNUMBER('종합 현황'!$H$5)),"관찰기준 확인",IF('종합 현황'!$H$5&lt;1,"관찰기준 확인",IF(N665&gt;'종합 현황'!$H$5,"내부 관찰 대상","내부 관찰일 이하")))))</x:f>
        <x:v>대상 아님</x:v>
      </x:c>
      <x:c r="AB665" s="2"/>
    </x:row>
    <x:row r="666" ht="42" customHeight="1">
      <x:c r="A666" s="2" t="str">
        <x:v>a383a2d63b484fe3656d7638</x:v>
      </x:c>
      <x:c r="B666" s="2" t="str">
        <x:v>사업 평가</x:v>
      </x:c>
      <x:c r="C666" s="2" t="str">
        <x:v>국내</x:v>
      </x:c>
      <x:c r="D666" s="7" t="str">
        <x:v>(주)신진수지  고효율 1단 인버터 PM Motor 공기압축기로 교체 사업</x:v>
      </x:c>
      <x:c r="E666" s="2" t="str">
        <x:v>527</x:v>
      </x:c>
      <x:c r="F666" s="2" t="str">
        <x:v>2020-02-13</x:v>
      </x:c>
      <x:c r="G666" s="2" t="str">
        <x:v>2020</x:v>
      </x:c>
      <x:c r="H666" s="2" t="str">
        <x:v>02</x:v>
      </x:c>
      <x:c r="I666" s="2" t="str">
        <x:v>승인</x:v>
      </x:c>
      <x:c r="J666" s="2" t="str">
        <x:v>심의승인</x:v>
      </x:c>
      <x:c r="K666" s="2" t="str">
        <x:f>IF(OR(J666="심의승인",J666="반려",J666="반려완료",J666="심의완료"),"종결 표시",IF(OR(J666="기후부협의",J666="문서재제출요청",J666="보류",J666="보완요청",J666="보완완료",J666="평가중",J666="반려요청",J666="평가필요",LEFT(J666,5)="보완요청("),"미종결 표시","상태 확인 필요"))</x:f>
        <x:v>종결 표시</x:v>
      </x:c>
      <x:c r="L666" s="2" t="str">
        <x:v>에코시안_조혜민</x:v>
      </x:c>
      <x:c r="M666" s="2"/>
      <x:c r="N666" s="8" t="n">
        <x:f>DATE(2026,10,15)-DATE(2020,2,13)</x:f>
        <x:v>2436</x:v>
      </x:c>
      <x:c r="O666" s="2" t="str">
        <x:v>O</x:v>
      </x:c>
      <x:c r="P666" s="2"/>
      <x:c r="Q666" s="2" t="str">
        <x:v>산업전환_외부사업관리Tool_260707_이너젠 수정_LJY_261013.xlsx</x:v>
      </x:c>
      <x:c r="R666" s="2" t="str">
        <x:v>국내평가</x:v>
      </x:c>
      <x:c r="S666" s="8" t="n">
        <x:v>569</x:v>
      </x:c>
      <x:c r="T666" s="2" t="str">
        <x:v>(6/28),(9/14)</x:v>
      </x:c>
      <x:c r="U666" s="2" t="str">
        <x:v>2021 배정: (6/28),(9/14)</x:v>
      </x:c>
      <x:c r="V666" s="2" t="str">
        <x:v>2022-01-08</x:v>
      </x:c>
      <x:c r="W666" s="2" t="str"/>
      <x:c r="X666" s="2" t="str">
        <x:v>종결 근거 보관</x:v>
      </x:c>
      <x:c r="Y666" s="2" t="str">
        <x:v>ad210cd9ec132cfd447541c8984dc53d30aff0f4fb2dc92d254d49275cc55976</x:v>
      </x:c>
      <x:c r="Z666" s="2" t="n">
        <x:f>SUBTOTAL(103,A666)</x:f>
        <x:v>1</x:v>
      </x:c>
      <x:c r="AA666" s="2" t="str">
        <x:f>IF(K666&lt;&gt;"미종결 표시","대상 아님",IF(N666="","신청일 확인",IF(NOT(ISNUMBER('종합 현황'!$H$5)),"관찰기준 확인",IF('종합 현황'!$H$5&lt;1,"관찰기준 확인",IF(N666&gt;'종합 현황'!$H$5,"내부 관찰 대상","내부 관찰일 이하")))))</x:f>
        <x:v>대상 아님</x:v>
      </x:c>
      <x:c r="AB666" s="2"/>
    </x:row>
    <x:row r="667" ht="42" customHeight="1">
      <x:c r="A667" s="2" t="str">
        <x:v>c21773bd308d1967e1657fad</x:v>
      </x:c>
      <x:c r="B667" s="2" t="str">
        <x:v>사업 평가</x:v>
      </x:c>
      <x:c r="C667" s="2" t="str">
        <x:v>국내</x:v>
      </x:c>
      <x:c r="D667" s="7" t="str">
        <x:v>2018년 수도권역 기존 심야 전기보일러의 축열식 히트펌프 교체를 통한 온실가스 묶음 감축사업</x:v>
      </x:c>
      <x:c r="E667" s="2" t="str">
        <x:v>528</x:v>
      </x:c>
      <x:c r="F667" s="2" t="str">
        <x:v>2020-09-28</x:v>
      </x:c>
      <x:c r="G667" s="2" t="str">
        <x:v>2020</x:v>
      </x:c>
      <x:c r="H667" s="2" t="str">
        <x:v>09</x:v>
      </x:c>
      <x:c r="I667" s="2" t="str">
        <x:v>승인</x:v>
      </x:c>
      <x:c r="J667" s="2" t="str">
        <x:v>심의승인</x:v>
      </x:c>
      <x:c r="K667" s="2" t="str">
        <x:f>IF(OR(J667="심의승인",J667="반려",J667="반려완료",J667="심의완료"),"종결 표시",IF(OR(J667="기후부협의",J667="문서재제출요청",J667="보류",J667="보완요청",J667="보완완료",J667="평가중",J667="반려요청",J667="평가필요",LEFT(J667,5)="보완요청("),"미종결 표시","상태 확인 필요"))</x:f>
        <x:v>종결 표시</x:v>
      </x:c>
      <x:c r="L667" s="2" t="str">
        <x:v>KECM</x:v>
      </x:c>
      <x:c r="M667" s="2"/>
      <x:c r="N667" s="8" t="n">
        <x:f>DATE(2026,10,15)-DATE(2020,9,28)</x:f>
        <x:v>2208</x:v>
      </x:c>
      <x:c r="O667" s="2" t="str">
        <x:v>생략</x:v>
      </x:c>
      <x:c r="P667" s="2"/>
      <x:c r="Q667" s="2" t="str">
        <x:v>산업전환_외부사업관리Tool_260707_이너젠 수정_LJY_261013.xlsx</x:v>
      </x:c>
      <x:c r="R667" s="2" t="str">
        <x:v>국내평가</x:v>
      </x:c>
      <x:c r="S667" s="8" t="n">
        <x:v>570</x:v>
      </x:c>
      <x:c r="T667" s="2" t="str">
        <x:v>(9/14)</x:v>
      </x:c>
      <x:c r="U667" s="2" t="str">
        <x:v>2021 배정: (9/14) / 2025 배정: (6/26),(9/1)</x:v>
      </x:c>
      <x:c r="V667" s="2" t="str">
        <x:v>2026-03-11</x:v>
      </x:c>
      <x:c r="W667" s="2" t="str"/>
      <x:c r="X667" s="2" t="str">
        <x:v>종결 근거 보관</x:v>
      </x:c>
      <x:c r="Y667" s="2" t="str">
        <x:v>ad210cd9ec132cfd447541c8984dc53d30aff0f4fb2dc92d254d49275cc55976</x:v>
      </x:c>
      <x:c r="Z667" s="2" t="n">
        <x:f>SUBTOTAL(103,A667)</x:f>
        <x:v>1</x:v>
      </x:c>
      <x:c r="AA667" s="2" t="str">
        <x:f>IF(K667&lt;&gt;"미종결 표시","대상 아님",IF(N667="","신청일 확인",IF(NOT(ISNUMBER('종합 현황'!$H$5)),"관찰기준 확인",IF('종합 현황'!$H$5&lt;1,"관찰기준 확인",IF(N667&gt;'종합 현황'!$H$5,"내부 관찰 대상","내부 관찰일 이하")))))</x:f>
        <x:v>대상 아님</x:v>
      </x:c>
      <x:c r="AB667" s="2"/>
    </x:row>
    <x:row r="668" ht="42" customHeight="1">
      <x:c r="A668" s="2" t="str">
        <x:v>99380a8151a74e3810c4bd76</x:v>
      </x:c>
      <x:c r="B668" s="2" t="str">
        <x:v>사업 평가</x:v>
      </x:c>
      <x:c r="C668" s="2" t="str">
        <x:v>국내</x:v>
      </x:c>
      <x:c r="D668" s="7" t="str">
        <x:v>2018년 경기남부권역 기존 심야 전기보일러의 축열식 히트펌프 교체를  통한 온실가스 묶음 감축사업</x:v>
      </x:c>
      <x:c r="E668" s="2" t="str">
        <x:v>529</x:v>
      </x:c>
      <x:c r="F668" s="2" t="str">
        <x:v>2020-09-28</x:v>
      </x:c>
      <x:c r="G668" s="2" t="str">
        <x:v>2020</x:v>
      </x:c>
      <x:c r="H668" s="2" t="str">
        <x:v>09</x:v>
      </x:c>
      <x:c r="I668" s="2" t="str">
        <x:v>승인</x:v>
      </x:c>
      <x:c r="J668" s="2" t="str">
        <x:v>심의승인</x:v>
      </x:c>
      <x:c r="K668" s="2" t="str">
        <x:f>IF(OR(J668="심의승인",J668="반려",J668="반려완료",J668="심의완료"),"종결 표시",IF(OR(J668="기후부협의",J668="문서재제출요청",J668="보류",J668="보완요청",J668="보완완료",J668="평가중",J668="반려요청",J668="평가필요",LEFT(J668,5)="보완요청("),"미종결 표시","상태 확인 필요"))</x:f>
        <x:v>종결 표시</x:v>
      </x:c>
      <x:c r="L668" s="2" t="str">
        <x:v>KECM</x:v>
      </x:c>
      <x:c r="M668" s="2"/>
      <x:c r="N668" s="8" t="n">
        <x:f>DATE(2026,10,15)-DATE(2020,9,28)</x:f>
        <x:v>2208</x:v>
      </x:c>
      <x:c r="O668" s="2" t="str">
        <x:v>생략</x:v>
      </x:c>
      <x:c r="P668" s="2"/>
      <x:c r="Q668" s="2" t="str">
        <x:v>산업전환_외부사업관리Tool_260707_이너젠 수정_LJY_261013.xlsx</x:v>
      </x:c>
      <x:c r="R668" s="2" t="str">
        <x:v>국내평가</x:v>
      </x:c>
      <x:c r="S668" s="8" t="n">
        <x:v>571</x:v>
      </x:c>
      <x:c r="T668" s="2" t="str">
        <x:v>(9/14)</x:v>
      </x:c>
      <x:c r="U668" s="2" t="str">
        <x:v>2021 배정: (9/14) / 2025 배정: (6/26),(9/1)</x:v>
      </x:c>
      <x:c r="V668" s="2" t="str">
        <x:v>2026-03-11</x:v>
      </x:c>
      <x:c r="W668" s="2" t="str"/>
      <x:c r="X668" s="2" t="str">
        <x:v>종결 근거 보관</x:v>
      </x:c>
      <x:c r="Y668" s="2" t="str">
        <x:v>ad210cd9ec132cfd447541c8984dc53d30aff0f4fb2dc92d254d49275cc55976</x:v>
      </x:c>
      <x:c r="Z668" s="2" t="n">
        <x:f>SUBTOTAL(103,A668)</x:f>
        <x:v>1</x:v>
      </x:c>
      <x:c r="AA668" s="2" t="str">
        <x:f>IF(K668&lt;&gt;"미종결 표시","대상 아님",IF(N668="","신청일 확인",IF(NOT(ISNUMBER('종합 현황'!$H$5)),"관찰기준 확인",IF('종합 현황'!$H$5&lt;1,"관찰기준 확인",IF(N668&gt;'종합 현황'!$H$5,"내부 관찰 대상","내부 관찰일 이하")))))</x:f>
        <x:v>대상 아님</x:v>
      </x:c>
      <x:c r="AB668" s="2"/>
    </x:row>
    <x:row r="669" ht="42" customHeight="1">
      <x:c r="A669" s="2" t="str">
        <x:v>63bfc0c935e57f196d316f10</x:v>
      </x:c>
      <x:c r="B669" s="2" t="str">
        <x:v>사업 평가</x:v>
      </x:c>
      <x:c r="C669" s="2" t="str">
        <x:v>국내</x:v>
      </x:c>
      <x:c r="D669" s="7" t="str">
        <x:v>(주)동우정공  고효율 1단 PM Motor 공기압축기로 교체 사업</x:v>
      </x:c>
      <x:c r="E669" s="2" t="str">
        <x:v>530</x:v>
      </x:c>
      <x:c r="F669" s="2" t="str">
        <x:v>2020-02-21</x:v>
      </x:c>
      <x:c r="G669" s="2" t="str">
        <x:v>2020</x:v>
      </x:c>
      <x:c r="H669" s="2" t="str">
        <x:v>02</x:v>
      </x:c>
      <x:c r="I669" s="2" t="str">
        <x:v>승인</x:v>
      </x:c>
      <x:c r="J669" s="2" t="str">
        <x:v>심의승인</x:v>
      </x:c>
      <x:c r="K669" s="2" t="str">
        <x:f>IF(OR(J669="심의승인",J669="반려",J669="반려완료",J669="심의완료"),"종결 표시",IF(OR(J669="기후부협의",J669="문서재제출요청",J669="보류",J669="보완요청",J669="보완완료",J669="평가중",J669="반려요청",J669="평가필요",LEFT(J669,5)="보완요청("),"미종결 표시","상태 확인 필요"))</x:f>
        <x:v>종결 표시</x:v>
      </x:c>
      <x:c r="L669" s="2" t="str">
        <x:v>에코시안_조혜민</x:v>
      </x:c>
      <x:c r="M669" s="2"/>
      <x:c r="N669" s="8" t="n">
        <x:f>DATE(2026,10,15)-DATE(2020,2,21)</x:f>
        <x:v>2428</x:v>
      </x:c>
      <x:c r="O669" s="2" t="str">
        <x:v>O</x:v>
      </x:c>
      <x:c r="P669" s="2"/>
      <x:c r="Q669" s="2" t="str">
        <x:v>산업전환_외부사업관리Tool_260707_이너젠 수정_LJY_261013.xlsx</x:v>
      </x:c>
      <x:c r="R669" s="2" t="str">
        <x:v>국내평가</x:v>
      </x:c>
      <x:c r="S669" s="8" t="n">
        <x:v>572</x:v>
      </x:c>
      <x:c r="T669" s="2" t="str">
        <x:v>(7/12),(10/20)</x:v>
      </x:c>
      <x:c r="U669" s="2" t="str">
        <x:v>2021 배정: (7/12),(10/20) / 2022 배정: (1/18),(4/19)</x:v>
      </x:c>
      <x:c r="V669" s="2" t="str">
        <x:v>2022-11-17</x:v>
      </x:c>
      <x:c r="W669" s="2" t="str"/>
      <x:c r="X669" s="2" t="str">
        <x:v>종결 근거 보관</x:v>
      </x:c>
      <x:c r="Y669" s="2" t="str">
        <x:v>ad210cd9ec132cfd447541c8984dc53d30aff0f4fb2dc92d254d49275cc55976</x:v>
      </x:c>
      <x:c r="Z669" s="2" t="n">
        <x:f>SUBTOTAL(103,A669)</x:f>
        <x:v>1</x:v>
      </x:c>
      <x:c r="AA669" s="2" t="str">
        <x:f>IF(K669&lt;&gt;"미종결 표시","대상 아님",IF(N669="","신청일 확인",IF(NOT(ISNUMBER('종합 현황'!$H$5)),"관찰기준 확인",IF('종합 현황'!$H$5&lt;1,"관찰기준 확인",IF(N669&gt;'종합 현황'!$H$5,"내부 관찰 대상","내부 관찰일 이하")))))</x:f>
        <x:v>대상 아님</x:v>
      </x:c>
      <x:c r="AB669" s="2"/>
    </x:row>
    <x:row r="670" ht="42" customHeight="1">
      <x:c r="A670" s="2" t="str">
        <x:v>d5254bc57dc08f37bc992c76</x:v>
      </x:c>
      <x:c r="B670" s="2" t="str">
        <x:v>사업 평가</x:v>
      </x:c>
      <x:c r="C670" s="2" t="str">
        <x:v>국내</x:v>
      </x:c>
      <x:c r="D670" s="7" t="str">
        <x:v>(주)진영프로토  고효율 2단 인버터 PM Motor 공기압축기로 교체 사업</x:v>
      </x:c>
      <x:c r="E670" s="2" t="str">
        <x:v>531</x:v>
      </x:c>
      <x:c r="F670" s="2" t="str">
        <x:v>2020-02-22</x:v>
      </x:c>
      <x:c r="G670" s="2" t="str">
        <x:v>2020</x:v>
      </x:c>
      <x:c r="H670" s="2" t="str">
        <x:v>02</x:v>
      </x:c>
      <x:c r="I670" s="2" t="str">
        <x:v>승인</x:v>
      </x:c>
      <x:c r="J670" s="2" t="str">
        <x:v>심의승인</x:v>
      </x:c>
      <x:c r="K670" s="2" t="str">
        <x:f>IF(OR(J670="심의승인",J670="반려",J670="반려완료",J670="심의완료"),"종결 표시",IF(OR(J670="기후부협의",J670="문서재제출요청",J670="보류",J670="보완요청",J670="보완완료",J670="평가중",J670="반려요청",J670="평가필요",LEFT(J670,5)="보완요청("),"미종결 표시","상태 확인 필요"))</x:f>
        <x:v>종결 표시</x:v>
      </x:c>
      <x:c r="L670" s="2"/>
      <x:c r="M670" s="2"/>
      <x:c r="N670" s="8" t="n">
        <x:f>DATE(2026,10,15)-DATE(2020,2,22)</x:f>
        <x:v>2427</x:v>
      </x:c>
      <x:c r="O670" s="2"/>
      <x:c r="P670" s="2"/>
      <x:c r="Q670" s="2" t="str">
        <x:v>산업전환_외부사업관리Tool_260707_이너젠 수정_LJY_261013.xlsx</x:v>
      </x:c>
      <x:c r="R670" s="2" t="str">
        <x:v>국내평가</x:v>
      </x:c>
      <x:c r="S670" s="8" t="n">
        <x:v>573</x:v>
      </x:c>
      <x:c r="T670" s="2"/>
      <x:c r="U670" s="2" t="str"/>
      <x:c r="V670" s="2" t="str">
        <x:v>2021-12-29</x:v>
      </x:c>
      <x:c r="W670" s="2" t="str">
        <x:v>담당기관 확인</x:v>
      </x:c>
      <x:c r="X670" s="2" t="str">
        <x:v>원본·배정 기록 확인</x:v>
      </x:c>
      <x:c r="Y670" s="2" t="str">
        <x:v>ad210cd9ec132cfd447541c8984dc53d30aff0f4fb2dc92d254d49275cc55976</x:v>
      </x:c>
      <x:c r="Z670" s="2" t="n">
        <x:f>SUBTOTAL(103,A670)</x:f>
        <x:v>1</x:v>
      </x:c>
      <x:c r="AA670" s="2" t="str">
        <x:f>IF(K670&lt;&gt;"미종결 표시","대상 아님",IF(N670="","신청일 확인",IF(NOT(ISNUMBER('종합 현황'!$H$5)),"관찰기준 확인",IF('종합 현황'!$H$5&lt;1,"관찰기준 확인",IF(N670&gt;'종합 현황'!$H$5,"내부 관찰 대상","내부 관찰일 이하")))))</x:f>
        <x:v>대상 아님</x:v>
      </x:c>
      <x:c r="AB670" s="2"/>
    </x:row>
    <x:row r="671" ht="42" customHeight="1">
      <x:c r="A671" s="2" t="str">
        <x:v>fbd45042a11e47382d6b087f</x:v>
      </x:c>
      <x:c r="B671" s="2" t="str">
        <x:v>사업 평가</x:v>
      </x:c>
      <x:c r="C671" s="2" t="str">
        <x:v>국내</x:v>
      </x:c>
      <x:c r="D671" s="7" t="str">
        <x:v>(주)화성특수금속 고효율 2단 인버터 PM Motor 공기압축기로 교체 사업</x:v>
      </x:c>
      <x:c r="E671" s="2" t="str">
        <x:v>532</x:v>
      </x:c>
      <x:c r="F671" s="2" t="str">
        <x:v>2020-07-10</x:v>
      </x:c>
      <x:c r="G671" s="2" t="str">
        <x:v>2020</x:v>
      </x:c>
      <x:c r="H671" s="2" t="str">
        <x:v>07</x:v>
      </x:c>
      <x:c r="I671" s="2" t="str">
        <x:v>반려</x:v>
      </x:c>
      <x:c r="J671" s="2" t="str">
        <x:v>반려</x:v>
      </x:c>
      <x:c r="K671" s="2" t="str">
        <x:f>IF(OR(J671="심의승인",J671="반려",J671="반려완료",J671="심의완료"),"종결 표시",IF(OR(J671="기후부협의",J671="문서재제출요청",J671="보류",J671="보완요청",J671="보완완료",J671="평가중",J671="반려요청",J671="평가필요",LEFT(J671,5)="보완요청("),"미종결 표시","상태 확인 필요"))</x:f>
        <x:v>종결 표시</x:v>
      </x:c>
      <x:c r="L671" s="2" t="str">
        <x:v>KECM</x:v>
      </x:c>
      <x:c r="M671" s="2"/>
      <x:c r="N671" s="8" t="n">
        <x:f>DATE(2026,10,15)-DATE(2020,7,10)</x:f>
        <x:v>2288</x:v>
      </x:c>
      <x:c r="O671" s="2" t="str">
        <x:v>O</x:v>
      </x:c>
      <x:c r="P671" s="2"/>
      <x:c r="Q671" s="2" t="str">
        <x:v>산업전환_외부사업관리Tool_260707_이너젠 수정_LJY_261013.xlsx</x:v>
      </x:c>
      <x:c r="R671" s="2" t="str">
        <x:v>국내평가</x:v>
      </x:c>
      <x:c r="S671" s="8" t="n">
        <x:v>574</x:v>
      </x:c>
      <x:c r="T671" s="2" t="str">
        <x:v>(7/12),(10/20)</x:v>
      </x:c>
      <x:c r="U671" s="2" t="str">
        <x:v>2021 배정: (7/12),(10/20)</x:v>
      </x:c>
      <x:c r="V671" s="2" t="str">
        <x:v>2021-10-22</x:v>
      </x:c>
      <x:c r="W671" s="2" t="str"/>
      <x:c r="X671" s="2" t="str">
        <x:v>종결 근거 보관</x:v>
      </x:c>
      <x:c r="Y671" s="2" t="str">
        <x:v>ad210cd9ec132cfd447541c8984dc53d30aff0f4fb2dc92d254d49275cc55976</x:v>
      </x:c>
      <x:c r="Z671" s="2" t="n">
        <x:f>SUBTOTAL(103,A671)</x:f>
        <x:v>1</x:v>
      </x:c>
      <x:c r="AA671" s="2" t="str">
        <x:f>IF(K671&lt;&gt;"미종결 표시","대상 아님",IF(N671="","신청일 확인",IF(NOT(ISNUMBER('종합 현황'!$H$5)),"관찰기준 확인",IF('종합 현황'!$H$5&lt;1,"관찰기준 확인",IF(N671&gt;'종합 현황'!$H$5,"내부 관찰 대상","내부 관찰일 이하")))))</x:f>
        <x:v>대상 아님</x:v>
      </x:c>
      <x:c r="AB671" s="2"/>
    </x:row>
    <x:row r="672" ht="42" customHeight="1">
      <x:c r="A672" s="2" t="str">
        <x:v>f65078b41a4460420b59728b</x:v>
      </x:c>
      <x:c r="B672" s="2" t="str">
        <x:v>사업 평가</x:v>
      </x:c>
      <x:c r="C672" s="2" t="str">
        <x:v>국내</x:v>
      </x:c>
      <x:c r="D672" s="7" t="str">
        <x:v>구미시 LED 가로등 교체를 통한 전력사용량 절감 및 온실가스 감축사업</x:v>
      </x:c>
      <x:c r="E672" s="2" t="str">
        <x:v>533</x:v>
      </x:c>
      <x:c r="F672" s="2" t="str">
        <x:v>2020-09-09</x:v>
      </x:c>
      <x:c r="G672" s="2" t="str">
        <x:v>2020</x:v>
      </x:c>
      <x:c r="H672" s="2" t="str">
        <x:v>09</x:v>
      </x:c>
      <x:c r="I672" s="2" t="str">
        <x:v>반려</x:v>
      </x:c>
      <x:c r="J672" s="2" t="str">
        <x:v>반려</x:v>
      </x:c>
      <x:c r="K672" s="2" t="str">
        <x:f>IF(OR(J672="심의승인",J672="반려",J672="반려완료",J672="심의완료"),"종결 표시",IF(OR(J672="기후부협의",J672="문서재제출요청",J672="보류",J672="보완요청",J672="보완완료",J672="평가중",J672="반려요청",J672="평가필요",LEFT(J672,5)="보완요청("),"미종결 표시","상태 확인 필요"))</x:f>
        <x:v>종결 표시</x:v>
      </x:c>
      <x:c r="L672" s="2"/>
      <x:c r="M672" s="2"/>
      <x:c r="N672" s="8" t="n">
        <x:f>DATE(2026,10,15)-DATE(2020,9,9)</x:f>
        <x:v>2227</x:v>
      </x:c>
      <x:c r="O672" s="2"/>
      <x:c r="P672" s="2"/>
      <x:c r="Q672" s="2" t="str">
        <x:v>산업전환_외부사업관리Tool_260707_이너젠 수정_LJY_261013.xlsx</x:v>
      </x:c>
      <x:c r="R672" s="2" t="str">
        <x:v>국내평가</x:v>
      </x:c>
      <x:c r="S672" s="8" t="n">
        <x:v>575</x:v>
      </x:c>
      <x:c r="T672" s="2" t="str">
        <x:v>2021년 처리</x:v>
      </x:c>
      <x:c r="U672" s="2" t="str">
        <x:v>2021 배정: 2021년 처리</x:v>
      </x:c>
      <x:c r="V672" s="2" t="str">
        <x:v>2021-07-14</x:v>
      </x:c>
      <x:c r="W672" s="2" t="str">
        <x:v>담당기관 확인</x:v>
      </x:c>
      <x:c r="X672" s="2" t="str">
        <x:v>원본·배정 기록 확인</x:v>
      </x:c>
      <x:c r="Y672" s="2" t="str">
        <x:v>ad210cd9ec132cfd447541c8984dc53d30aff0f4fb2dc92d254d49275cc55976</x:v>
      </x:c>
      <x:c r="Z672" s="2" t="n">
        <x:f>SUBTOTAL(103,A672)</x:f>
        <x:v>1</x:v>
      </x:c>
      <x:c r="AA672" s="2" t="str">
        <x:f>IF(K672&lt;&gt;"미종결 표시","대상 아님",IF(N672="","신청일 확인",IF(NOT(ISNUMBER('종합 현황'!$H$5)),"관찰기준 확인",IF('종합 현황'!$H$5&lt;1,"관찰기준 확인",IF(N672&gt;'종합 현황'!$H$5,"내부 관찰 대상","내부 관찰일 이하")))))</x:f>
        <x:v>대상 아님</x:v>
      </x:c>
      <x:c r="AB672" s="2"/>
    </x:row>
    <x:row r="673" ht="42" customHeight="1">
      <x:c r="A673" s="2" t="str">
        <x:v>546980435e1606d92649d519</x:v>
      </x:c>
      <x:c r="B673" s="2" t="str">
        <x:v>사업 평가</x:v>
      </x:c>
      <x:c r="C673" s="2" t="str">
        <x:v>국내</x:v>
      </x:c>
      <x:c r="D673" s="7" t="str">
        <x:v>씨텍  고효율 1단 인버터 PM Motor 공기압축기로 교체 사업</x:v>
      </x:c>
      <x:c r="E673" s="2" t="str">
        <x:v>534</x:v>
      </x:c>
      <x:c r="F673" s="2" t="str">
        <x:v>2020-02-24</x:v>
      </x:c>
      <x:c r="G673" s="2" t="str">
        <x:v>2020</x:v>
      </x:c>
      <x:c r="H673" s="2" t="str">
        <x:v>02</x:v>
      </x:c>
      <x:c r="I673" s="2" t="str">
        <x:v>승인</x:v>
      </x:c>
      <x:c r="J673" s="2" t="str">
        <x:v>심의승인</x:v>
      </x:c>
      <x:c r="K673" s="2" t="str">
        <x:f>IF(OR(J673="심의승인",J673="반려",J673="반려완료",J673="심의완료"),"종결 표시",IF(OR(J673="기후부협의",J673="문서재제출요청",J673="보류",J673="보완요청",J673="보완완료",J673="평가중",J673="반려요청",J673="평가필요",LEFT(J673,5)="보완요청("),"미종결 표시","상태 확인 필요"))</x:f>
        <x:v>종결 표시</x:v>
      </x:c>
      <x:c r="L673" s="2" t="str">
        <x:v>공단_신광수</x:v>
      </x:c>
      <x:c r="M673" s="2"/>
      <x:c r="N673" s="8" t="n">
        <x:f>DATE(2026,10,15)-DATE(2020,2,24)</x:f>
        <x:v>2425</x:v>
      </x:c>
      <x:c r="O673" s="2" t="str">
        <x:v>O</x:v>
      </x:c>
      <x:c r="P673" s="2"/>
      <x:c r="Q673" s="2" t="str">
        <x:v>산업전환_외부사업관리Tool_260707_이너젠 수정_LJY_261013.xlsx</x:v>
      </x:c>
      <x:c r="R673" s="2" t="str">
        <x:v>국내평가</x:v>
      </x:c>
      <x:c r="S673" s="8" t="n">
        <x:v>576</x:v>
      </x:c>
      <x:c r="T673" s="2" t="str">
        <x:v>(6/3),(7/12)</x:v>
      </x:c>
      <x:c r="U673" s="2" t="str">
        <x:v>2021 배정: (6/3),(7/12)</x:v>
      </x:c>
      <x:c r="V673" s="2" t="str">
        <x:v>2022-01-08</x:v>
      </x:c>
      <x:c r="W673" s="2" t="str"/>
      <x:c r="X673" s="2" t="str">
        <x:v>종결 근거 보관</x:v>
      </x:c>
      <x:c r="Y673" s="2" t="str">
        <x:v>ad210cd9ec132cfd447541c8984dc53d30aff0f4fb2dc92d254d49275cc55976</x:v>
      </x:c>
      <x:c r="Z673" s="2" t="n">
        <x:f>SUBTOTAL(103,A673)</x:f>
        <x:v>1</x:v>
      </x:c>
      <x:c r="AA673" s="2" t="str">
        <x:f>IF(K673&lt;&gt;"미종결 표시","대상 아님",IF(N673="","신청일 확인",IF(NOT(ISNUMBER('종합 현황'!$H$5)),"관찰기준 확인",IF('종합 현황'!$H$5&lt;1,"관찰기준 확인",IF(N673&gt;'종합 현황'!$H$5,"내부 관찰 대상","내부 관찰일 이하")))))</x:f>
        <x:v>대상 아님</x:v>
      </x:c>
      <x:c r="AB673" s="2"/>
    </x:row>
    <x:row r="674" ht="42" customHeight="1">
      <x:c r="A674" s="2" t="str">
        <x:v>8512471d26ee22fb139215cf</x:v>
      </x:c>
      <x:c r="B674" s="2" t="str">
        <x:v>사업 평가</x:v>
      </x:c>
      <x:c r="C674" s="2" t="str">
        <x:v>국내</x:v>
      </x:c>
      <x:c r="D674" s="7" t="str">
        <x:v>2018년 강원권역 기존 심야 전기보일러의 축열식 히트펌프 교체를  통한 온실가스 묶음 감축사업</x:v>
      </x:c>
      <x:c r="E674" s="2" t="str">
        <x:v>535</x:v>
      </x:c>
      <x:c r="F674" s="2" t="str">
        <x:v>2020-09-28</x:v>
      </x:c>
      <x:c r="G674" s="2" t="str">
        <x:v>2020</x:v>
      </x:c>
      <x:c r="H674" s="2" t="str">
        <x:v>09</x:v>
      </x:c>
      <x:c r="I674" s="2" t="str">
        <x:v>승인</x:v>
      </x:c>
      <x:c r="J674" s="2" t="str">
        <x:v>심의승인</x:v>
      </x:c>
      <x:c r="K674" s="2" t="str">
        <x:f>IF(OR(J674="심의승인",J674="반려",J674="반려완료",J674="심의완료"),"종결 표시",IF(OR(J674="기후부협의",J674="문서재제출요청",J674="보류",J674="보완요청",J674="보완완료",J674="평가중",J674="반려요청",J674="평가필요",LEFT(J674,5)="보완요청("),"미종결 표시","상태 확인 필요"))</x:f>
        <x:v>종결 표시</x:v>
      </x:c>
      <x:c r="L674" s="2" t="str">
        <x:v>KECM</x:v>
      </x:c>
      <x:c r="M674" s="2"/>
      <x:c r="N674" s="8" t="n">
        <x:f>DATE(2026,10,15)-DATE(2020,9,28)</x:f>
        <x:v>2208</x:v>
      </x:c>
      <x:c r="O674" s="2" t="str">
        <x:v>생략</x:v>
      </x:c>
      <x:c r="P674" s="2"/>
      <x:c r="Q674" s="2" t="str">
        <x:v>산업전환_외부사업관리Tool_260707_이너젠 수정_LJY_261013.xlsx</x:v>
      </x:c>
      <x:c r="R674" s="2" t="str">
        <x:v>국내평가</x:v>
      </x:c>
      <x:c r="S674" s="8" t="n">
        <x:v>577</x:v>
      </x:c>
      <x:c r="T674" s="2" t="str">
        <x:v>(9/14)</x:v>
      </x:c>
      <x:c r="U674" s="2" t="str">
        <x:v>2021 배정: (9/14) / 2025 배정: (6/26),(9/1)</x:v>
      </x:c>
      <x:c r="V674" s="2" t="str">
        <x:v>2026-03-11</x:v>
      </x:c>
      <x:c r="W674" s="2" t="str"/>
      <x:c r="X674" s="2" t="str">
        <x:v>종결 근거 보관</x:v>
      </x:c>
      <x:c r="Y674" s="2" t="str">
        <x:v>ad210cd9ec132cfd447541c8984dc53d30aff0f4fb2dc92d254d49275cc55976</x:v>
      </x:c>
      <x:c r="Z674" s="2" t="n">
        <x:f>SUBTOTAL(103,A674)</x:f>
        <x:v>1</x:v>
      </x:c>
      <x:c r="AA674" s="2" t="str">
        <x:f>IF(K674&lt;&gt;"미종결 표시","대상 아님",IF(N674="","신청일 확인",IF(NOT(ISNUMBER('종합 현황'!$H$5)),"관찰기준 확인",IF('종합 현황'!$H$5&lt;1,"관찰기준 확인",IF(N674&gt;'종합 현황'!$H$5,"내부 관찰 대상","내부 관찰일 이하")))))</x:f>
        <x:v>대상 아님</x:v>
      </x:c>
      <x:c r="AB674" s="2"/>
    </x:row>
    <x:row r="675" ht="42" customHeight="1">
      <x:c r="A675" s="2" t="str">
        <x:v>39f1c49f41b00debc08e7669</x:v>
      </x:c>
      <x:c r="B675" s="2" t="str">
        <x:v>사업 평가</x:v>
      </x:c>
      <x:c r="C675" s="2" t="str">
        <x:v>국내</x:v>
      </x:c>
      <x:c r="D675" s="7" t="str">
        <x:v>유니온화성 연료교체(B-C유 → LNG) 사업</x:v>
      </x:c>
      <x:c r="E675" s="2" t="str">
        <x:v>536</x:v>
      </x:c>
      <x:c r="F675" s="2" t="str">
        <x:v>2020-09-28</x:v>
      </x:c>
      <x:c r="G675" s="2" t="str">
        <x:v>2020</x:v>
      </x:c>
      <x:c r="H675" s="2" t="str">
        <x:v>09</x:v>
      </x:c>
      <x:c r="I675" s="2" t="str">
        <x:v>반려</x:v>
      </x:c>
      <x:c r="J675" s="2" t="str">
        <x:v>반려</x:v>
      </x:c>
      <x:c r="K675" s="2" t="str">
        <x:f>IF(OR(J675="심의승인",J675="반려",J675="반려완료",J675="심의완료"),"종결 표시",IF(OR(J675="기후부협의",J675="문서재제출요청",J675="보류",J675="보완요청",J675="보완완료",J675="평가중",J675="반려요청",J675="평가필요",LEFT(J675,5)="보완요청("),"미종결 표시","상태 확인 필요"))</x:f>
        <x:v>종결 표시</x:v>
      </x:c>
      <x:c r="L675" s="2"/>
      <x:c r="M675" s="2"/>
      <x:c r="N675" s="8" t="n">
        <x:f>DATE(2026,10,15)-DATE(2020,9,28)</x:f>
        <x:v>2208</x:v>
      </x:c>
      <x:c r="O675" s="2"/>
      <x:c r="P675" s="2"/>
      <x:c r="Q675" s="2" t="str">
        <x:v>산업전환_외부사업관리Tool_260707_이너젠 수정_LJY_261013.xlsx</x:v>
      </x:c>
      <x:c r="R675" s="2" t="str">
        <x:v>국내평가</x:v>
      </x:c>
      <x:c r="S675" s="8" t="n">
        <x:v>578</x:v>
      </x:c>
      <x:c r="T675" s="2" t="str">
        <x:v>2021년 처리</x:v>
      </x:c>
      <x:c r="U675" s="2" t="str">
        <x:v>2021 배정: 2021년 처리</x:v>
      </x:c>
      <x:c r="V675" s="2" t="str">
        <x:v>2021-07-27</x:v>
      </x:c>
      <x:c r="W675" s="2" t="str">
        <x:v>담당기관 확인</x:v>
      </x:c>
      <x:c r="X675" s="2" t="str">
        <x:v>원본·배정 기록 확인</x:v>
      </x:c>
      <x:c r="Y675" s="2" t="str">
        <x:v>ad210cd9ec132cfd447541c8984dc53d30aff0f4fb2dc92d254d49275cc55976</x:v>
      </x:c>
      <x:c r="Z675" s="2" t="n">
        <x:f>SUBTOTAL(103,A675)</x:f>
        <x:v>1</x:v>
      </x:c>
      <x:c r="AA675" s="2" t="str">
        <x:f>IF(K675&lt;&gt;"미종결 표시","대상 아님",IF(N675="","신청일 확인",IF(NOT(ISNUMBER('종합 현황'!$H$5)),"관찰기준 확인",IF('종합 현황'!$H$5&lt;1,"관찰기준 확인",IF(N675&gt;'종합 현황'!$H$5,"내부 관찰 대상","내부 관찰일 이하")))))</x:f>
        <x:v>대상 아님</x:v>
      </x:c>
      <x:c r="AB675" s="2"/>
    </x:row>
    <x:row r="676" ht="42" customHeight="1">
      <x:c r="A676" s="2" t="str">
        <x:v>cc70d71a9d127bc65fb70e60</x:v>
      </x:c>
      <x:c r="B676" s="2" t="str">
        <x:v>사업 평가</x:v>
      </x:c>
      <x:c r="C676" s="2" t="str">
        <x:v>국내</x:v>
      </x:c>
      <x:c r="D676" s="7" t="str">
        <x:v>삼천리 도시가스 공급 권역의 연료전환을 통한 프로그램 감축사업</x:v>
      </x:c>
      <x:c r="E676" s="2" t="str">
        <x:v>537</x:v>
      </x:c>
      <x:c r="F676" s="2" t="str">
        <x:v>2026-01-29</x:v>
      </x:c>
      <x:c r="G676" s="2" t="str">
        <x:v>2026</x:v>
      </x:c>
      <x:c r="H676" s="2" t="str">
        <x:v>01</x:v>
      </x:c>
      <x:c r="I676" s="2" t="str">
        <x:v>인증유효기간 갱신</x:v>
      </x:c>
      <x:c r="J676" s="2" t="str">
        <x:v>보완요청</x:v>
      </x:c>
      <x:c r="K676" s="2" t="str">
        <x:f>IF(OR(J676="심의승인",J676="반려",J676="반려완료",J676="심의완료"),"종결 표시",IF(OR(J676="기후부협의",J676="문서재제출요청",J676="보류",J676="보완요청",J676="보완완료",J676="평가중",J676="반려요청",J676="평가필요",LEFT(J676,5)="보완요청("),"미종결 표시","상태 확인 필요"))</x:f>
        <x:v>미종결 표시</x:v>
      </x:c>
      <x:c r="L676" s="2"/>
      <x:c r="M676" s="2"/>
      <x:c r="N676" s="8" t="n">
        <x:f>DATE(2026,10,15)-DATE(2026,1,29)</x:f>
        <x:v>259</x:v>
      </x:c>
      <x:c r="O676" s="2"/>
      <x:c r="P676" s="2"/>
      <x:c r="Q676" s="2" t="str">
        <x:v>산업전환_외부사업관리Tool_260707_이너젠 수정_LJY_261013.xlsx</x:v>
      </x:c>
      <x:c r="R676" s="2" t="str">
        <x:v>국내평가</x:v>
      </x:c>
      <x:c r="S676" s="8" t="n">
        <x:v>579</x:v>
      </x:c>
      <x:c r="T676" s="2" t="str">
        <x:v>(2/3)</x:v>
      </x:c>
      <x:c r="U676" s="2" t="str">
        <x:v>2026(사전): (2/3)</x:v>
      </x:c>
      <x:c r="V676" s="2" t="str">
        <x:v>2026-03-19</x:v>
      </x:c>
      <x:c r="W676" s="2" t="str">
        <x:v>담당기관 확인</x:v>
      </x:c>
      <x:c r="X676" s="2" t="str">
        <x:v>원본·배정 기록 확인</x:v>
      </x:c>
      <x:c r="Y676" s="2" t="str">
        <x:v>ad210cd9ec132cfd447541c8984dc53d30aff0f4fb2dc92d254d49275cc55976</x:v>
      </x:c>
      <x:c r="Z676" s="2" t="n">
        <x:f>SUBTOTAL(103,A676)</x:f>
        <x:v>1</x:v>
      </x:c>
      <x:c r="AA676" s="2" t="str">
        <x:f>IF(K676&lt;&gt;"미종결 표시","대상 아님",IF(N676="","신청일 확인",IF(NOT(ISNUMBER('종합 현황'!$H$5)),"관찰기준 확인",IF('종합 현황'!$H$5&lt;1,"관찰기준 확인",IF(N676&gt;'종합 현황'!$H$5,"내부 관찰 대상","내부 관찰일 이하")))))</x:f>
        <x:v>내부 관찰 대상</x:v>
      </x:c>
      <x:c r="AB676" s="2"/>
    </x:row>
    <x:row r="677" ht="42" customHeight="1">
      <x:c r="A677" s="2" t="str">
        <x:v>95d05dc80c3ce1f2a673f7b0</x:v>
      </x:c>
      <x:c r="B677" s="2" t="str">
        <x:v>사업 평가</x:v>
      </x:c>
      <x:c r="C677" s="2" t="str">
        <x:v>국내</x:v>
      </x:c>
      <x:c r="D677" s="7" t="str">
        <x:v>스팀보일러와 열매보일러의 연료를 B-C유에서 LNG로 연료 전환하는 온실가스(CO2) 감축사업</x:v>
      </x:c>
      <x:c r="E677" s="2" t="str">
        <x:v>538</x:v>
      </x:c>
      <x:c r="F677" s="2" t="str">
        <x:v>2020-09-28</x:v>
      </x:c>
      <x:c r="G677" s="2" t="str">
        <x:v>2020</x:v>
      </x:c>
      <x:c r="H677" s="2" t="str">
        <x:v>09</x:v>
      </x:c>
      <x:c r="I677" s="2" t="str">
        <x:v>반려</x:v>
      </x:c>
      <x:c r="J677" s="2" t="str">
        <x:v>반려</x:v>
      </x:c>
      <x:c r="K677" s="2" t="str">
        <x:f>IF(OR(J677="심의승인",J677="반려",J677="반려완료",J677="심의완료"),"종결 표시",IF(OR(J677="기후부협의",J677="문서재제출요청",J677="보류",J677="보완요청",J677="보완완료",J677="평가중",J677="반려요청",J677="평가필요",LEFT(J677,5)="보완요청("),"미종결 표시","상태 확인 필요"))</x:f>
        <x:v>종결 표시</x:v>
      </x:c>
      <x:c r="L677" s="2"/>
      <x:c r="M677" s="2"/>
      <x:c r="N677" s="8" t="n">
        <x:f>DATE(2026,10,15)-DATE(2020,9,28)</x:f>
        <x:v>2208</x:v>
      </x:c>
      <x:c r="O677" s="2"/>
      <x:c r="P677" s="2"/>
      <x:c r="Q677" s="2" t="str">
        <x:v>산업전환_외부사업관리Tool_260707_이너젠 수정_LJY_261013.xlsx</x:v>
      </x:c>
      <x:c r="R677" s="2" t="str">
        <x:v>국내평가</x:v>
      </x:c>
      <x:c r="S677" s="8" t="n">
        <x:v>580</x:v>
      </x:c>
      <x:c r="T677" s="2" t="str">
        <x:v>2021년 처리</x:v>
      </x:c>
      <x:c r="U677" s="2" t="str">
        <x:v>2021 배정: 2021년 처리</x:v>
      </x:c>
      <x:c r="V677" s="2" t="str">
        <x:v>2021-07-01</x:v>
      </x:c>
      <x:c r="W677" s="2" t="str">
        <x:v>담당기관 확인</x:v>
      </x:c>
      <x:c r="X677" s="2" t="str">
        <x:v>원본·배정 기록 확인</x:v>
      </x:c>
      <x:c r="Y677" s="2" t="str">
        <x:v>ad210cd9ec132cfd447541c8984dc53d30aff0f4fb2dc92d254d49275cc55976</x:v>
      </x:c>
      <x:c r="Z677" s="2" t="n">
        <x:f>SUBTOTAL(103,A677)</x:f>
        <x:v>1</x:v>
      </x:c>
      <x:c r="AA677" s="2" t="str">
        <x:f>IF(K677&lt;&gt;"미종결 표시","대상 아님",IF(N677="","신청일 확인",IF(NOT(ISNUMBER('종합 현황'!$H$5)),"관찰기준 확인",IF('종합 현황'!$H$5&lt;1,"관찰기준 확인",IF(N677&gt;'종합 현황'!$H$5,"내부 관찰 대상","내부 관찰일 이하")))))</x:f>
        <x:v>대상 아님</x:v>
      </x:c>
      <x:c r="AB677" s="2"/>
    </x:row>
    <x:row r="678" ht="42" customHeight="1">
      <x:c r="A678" s="2" t="str">
        <x:v>43807c64fb3c66665d44fdcb</x:v>
      </x:c>
      <x:c r="B678" s="2" t="str">
        <x:v>사업 평가</x:v>
      </x:c>
      <x:c r="C678" s="2" t="str">
        <x:v>국내</x:v>
      </x:c>
      <x:c r="D678" s="7" t="str">
        <x:v>(주)켐스필드코리아 고효율 1단 인버터 PM Motor 공기압축기로 교체 사업</x:v>
      </x:c>
      <x:c r="E678" s="2" t="str">
        <x:v>539</x:v>
      </x:c>
      <x:c r="F678" s="2" t="str">
        <x:v>2020-03-18</x:v>
      </x:c>
      <x:c r="G678" s="2" t="str">
        <x:v>2020</x:v>
      </x:c>
      <x:c r="H678" s="2" t="str">
        <x:v>03</x:v>
      </x:c>
      <x:c r="I678" s="2" t="str">
        <x:v>승인</x:v>
      </x:c>
      <x:c r="J678" s="2" t="str">
        <x:v>심의승인</x:v>
      </x:c>
      <x:c r="K678" s="2" t="str">
        <x:f>IF(OR(J678="심의승인",J678="반려",J678="반려완료",J678="심의완료"),"종결 표시",IF(OR(J678="기후부협의",J678="문서재제출요청",J678="보류",J678="보완요청",J678="보완완료",J678="평가중",J678="반려요청",J678="평가필요",LEFT(J678,5)="보완요청("),"미종결 표시","상태 확인 필요"))</x:f>
        <x:v>종결 표시</x:v>
      </x:c>
      <x:c r="L678" s="2" t="str">
        <x:v>공단_신광수</x:v>
      </x:c>
      <x:c r="M678" s="2"/>
      <x:c r="N678" s="8" t="n">
        <x:f>DATE(2026,10,15)-DATE(2020,3,18)</x:f>
        <x:v>2402</x:v>
      </x:c>
      <x:c r="O678" s="2" t="str">
        <x:v>O</x:v>
      </x:c>
      <x:c r="P678" s="2"/>
      <x:c r="Q678" s="2" t="str">
        <x:v>산업전환_외부사업관리Tool_260707_이너젠 수정_LJY_261013.xlsx</x:v>
      </x:c>
      <x:c r="R678" s="2" t="str">
        <x:v>국내평가</x:v>
      </x:c>
      <x:c r="S678" s="8" t="n">
        <x:v>581</x:v>
      </x:c>
      <x:c r="T678" s="2" t="str">
        <x:v>(6/3),(7/12)</x:v>
      </x:c>
      <x:c r="U678" s="2" t="str">
        <x:v>2021 배정: (6/3),(7/12)</x:v>
      </x:c>
      <x:c r="V678" s="2" t="str">
        <x:v>2022-01-08</x:v>
      </x:c>
      <x:c r="W678" s="2" t="str"/>
      <x:c r="X678" s="2" t="str">
        <x:v>종결 근거 보관</x:v>
      </x:c>
      <x:c r="Y678" s="2" t="str">
        <x:v>ad210cd9ec132cfd447541c8984dc53d30aff0f4fb2dc92d254d49275cc55976</x:v>
      </x:c>
      <x:c r="Z678" s="2" t="n">
        <x:f>SUBTOTAL(103,A678)</x:f>
        <x:v>1</x:v>
      </x:c>
      <x:c r="AA678" s="2" t="str">
        <x:f>IF(K678&lt;&gt;"미종결 표시","대상 아님",IF(N678="","신청일 확인",IF(NOT(ISNUMBER('종합 현황'!$H$5)),"관찰기준 확인",IF('종합 현황'!$H$5&lt;1,"관찰기준 확인",IF(N678&gt;'종합 현황'!$H$5,"내부 관찰 대상","내부 관찰일 이하")))))</x:f>
        <x:v>대상 아님</x:v>
      </x:c>
      <x:c r="AB678" s="2"/>
    </x:row>
    <x:row r="679" ht="42" customHeight="1">
      <x:c r="A679" s="2" t="str">
        <x:v>c9d98dc8a7a4b84d94d7d5c4</x:v>
      </x:c>
      <x:c r="B679" s="2" t="str">
        <x:v>사업 평가</x:v>
      </x:c>
      <x:c r="C679" s="2" t="str">
        <x:v>국내</x:v>
      </x:c>
      <x:c r="D679" s="7" t="str">
        <x:v>2019년 강원권역 기존 심야 전기보일러의 축열식 히트펌프 교체를 통한 온실가스 묶음 감축사업</x:v>
      </x:c>
      <x:c r="E679" s="2" t="str">
        <x:v>540</x:v>
      </x:c>
      <x:c r="F679" s="2" t="str">
        <x:v>2020-09-28</x:v>
      </x:c>
      <x:c r="G679" s="2" t="str">
        <x:v>2020</x:v>
      </x:c>
      <x:c r="H679" s="2" t="str">
        <x:v>09</x:v>
      </x:c>
      <x:c r="I679" s="2" t="str">
        <x:v>승인</x:v>
      </x:c>
      <x:c r="J679" s="2" t="str">
        <x:v>심의승인</x:v>
      </x:c>
      <x:c r="K679" s="2" t="str">
        <x:f>IF(OR(J679="심의승인",J679="반려",J679="반려완료",J679="심의완료"),"종결 표시",IF(OR(J679="기후부협의",J679="문서재제출요청",J679="보류",J679="보완요청",J679="보완완료",J679="평가중",J679="반려요청",J679="평가필요",LEFT(J679,5)="보완요청("),"미종결 표시","상태 확인 필요"))</x:f>
        <x:v>종결 표시</x:v>
      </x:c>
      <x:c r="L679" s="2" t="str">
        <x:v>KECM</x:v>
      </x:c>
      <x:c r="M679" s="2"/>
      <x:c r="N679" s="8" t="n">
        <x:f>DATE(2026,10,15)-DATE(2020,9,28)</x:f>
        <x:v>2208</x:v>
      </x:c>
      <x:c r="O679" s="2" t="str">
        <x:v>생략</x:v>
      </x:c>
      <x:c r="P679" s="2"/>
      <x:c r="Q679" s="2" t="str">
        <x:v>산업전환_외부사업관리Tool_260707_이너젠 수정_LJY_261013.xlsx</x:v>
      </x:c>
      <x:c r="R679" s="2" t="str">
        <x:v>국내평가</x:v>
      </x:c>
      <x:c r="S679" s="8" t="n">
        <x:v>582</x:v>
      </x:c>
      <x:c r="T679" s="2" t="str">
        <x:v>(9/14)</x:v>
      </x:c>
      <x:c r="U679" s="2" t="str">
        <x:v>2021 배정: (9/14) / 2025 배정: (6/26),(9/1)</x:v>
      </x:c>
      <x:c r="V679" s="2" t="str">
        <x:v>2026-03-11</x:v>
      </x:c>
      <x:c r="W679" s="2" t="str"/>
      <x:c r="X679" s="2" t="str">
        <x:v>종결 근거 보관</x:v>
      </x:c>
      <x:c r="Y679" s="2" t="str">
        <x:v>ad210cd9ec132cfd447541c8984dc53d30aff0f4fb2dc92d254d49275cc55976</x:v>
      </x:c>
      <x:c r="Z679" s="2" t="n">
        <x:f>SUBTOTAL(103,A679)</x:f>
        <x:v>1</x:v>
      </x:c>
      <x:c r="AA679" s="2" t="str">
        <x:f>IF(K679&lt;&gt;"미종결 표시","대상 아님",IF(N679="","신청일 확인",IF(NOT(ISNUMBER('종합 현황'!$H$5)),"관찰기준 확인",IF('종합 현황'!$H$5&lt;1,"관찰기준 확인",IF(N679&gt;'종합 현황'!$H$5,"내부 관찰 대상","내부 관찰일 이하")))))</x:f>
        <x:v>대상 아님</x:v>
      </x:c>
      <x:c r="AB679" s="2"/>
    </x:row>
    <x:row r="680" ht="42" customHeight="1">
      <x:c r="A680" s="2" t="str">
        <x:v>23217e2acae6c815b32c064a</x:v>
      </x:c>
      <x:c r="B680" s="2" t="str">
        <x:v>사업 평가</x:v>
      </x:c>
      <x:c r="C680" s="2" t="str">
        <x:v>국내</x:v>
      </x:c>
      <x:c r="D680" s="7" t="str">
        <x:v>2019년 경기남부권역 기존 심야 전기보일러의 축열식 히트펌프 교체를 통한 온실가스 묶음 감축사업</x:v>
      </x:c>
      <x:c r="E680" s="2" t="str">
        <x:v>541</x:v>
      </x:c>
      <x:c r="F680" s="2" t="str">
        <x:v>2020-09-28</x:v>
      </x:c>
      <x:c r="G680" s="2" t="str">
        <x:v>2020</x:v>
      </x:c>
      <x:c r="H680" s="2" t="str">
        <x:v>09</x:v>
      </x:c>
      <x:c r="I680" s="2" t="str">
        <x:v>승인</x:v>
      </x:c>
      <x:c r="J680" s="2" t="str">
        <x:v>심의승인</x:v>
      </x:c>
      <x:c r="K680" s="2" t="str">
        <x:f>IF(OR(J680="심의승인",J680="반려",J680="반려완료",J680="심의완료"),"종결 표시",IF(OR(J680="기후부협의",J680="문서재제출요청",J680="보류",J680="보완요청",J680="보완완료",J680="평가중",J680="반려요청",J680="평가필요",LEFT(J680,5)="보완요청("),"미종결 표시","상태 확인 필요"))</x:f>
        <x:v>종결 표시</x:v>
      </x:c>
      <x:c r="L680" s="2" t="str">
        <x:v>KECM</x:v>
      </x:c>
      <x:c r="M680" s="2"/>
      <x:c r="N680" s="8" t="n">
        <x:f>DATE(2026,10,15)-DATE(2020,9,28)</x:f>
        <x:v>2208</x:v>
      </x:c>
      <x:c r="O680" s="2" t="str">
        <x:v>생략</x:v>
      </x:c>
      <x:c r="P680" s="2"/>
      <x:c r="Q680" s="2" t="str">
        <x:v>산업전환_외부사업관리Tool_260707_이너젠 수정_LJY_261013.xlsx</x:v>
      </x:c>
      <x:c r="R680" s="2" t="str">
        <x:v>국내평가</x:v>
      </x:c>
      <x:c r="S680" s="8" t="n">
        <x:v>583</x:v>
      </x:c>
      <x:c r="T680" s="2" t="str">
        <x:v>(9/14)</x:v>
      </x:c>
      <x:c r="U680" s="2" t="str">
        <x:v>2021 배정: (9/14) / 2025 배정: (6/26),(9/1)</x:v>
      </x:c>
      <x:c r="V680" s="2" t="str">
        <x:v>2026-03-11</x:v>
      </x:c>
      <x:c r="W680" s="2" t="str"/>
      <x:c r="X680" s="2" t="str">
        <x:v>종결 근거 보관</x:v>
      </x:c>
      <x:c r="Y680" s="2" t="str">
        <x:v>ad210cd9ec132cfd447541c8984dc53d30aff0f4fb2dc92d254d49275cc55976</x:v>
      </x:c>
      <x:c r="Z680" s="2" t="n">
        <x:f>SUBTOTAL(103,A680)</x:f>
        <x:v>1</x:v>
      </x:c>
      <x:c r="AA680" s="2" t="str">
        <x:f>IF(K680&lt;&gt;"미종결 표시","대상 아님",IF(N680="","신청일 확인",IF(NOT(ISNUMBER('종합 현황'!$H$5)),"관찰기준 확인",IF('종합 현황'!$H$5&lt;1,"관찰기준 확인",IF(N680&gt;'종합 현황'!$H$5,"내부 관찰 대상","내부 관찰일 이하")))))</x:f>
        <x:v>대상 아님</x:v>
      </x:c>
      <x:c r="AB680" s="2"/>
    </x:row>
    <x:row r="681" ht="42" customHeight="1">
      <x:c r="A681" s="2" t="str">
        <x:v>e29085fda2d762cb976f5b51</x:v>
      </x:c>
      <x:c r="B681" s="2" t="str">
        <x:v>사업 평가</x:v>
      </x:c>
      <x:c r="C681" s="2" t="str">
        <x:v>국내</x:v>
      </x:c>
      <x:c r="D681" s="7" t="str">
        <x:v>(주)한솔산업 연료전환(B-C유→LPG) 온실가스 감축사업</x:v>
      </x:c>
      <x:c r="E681" s="2" t="str">
        <x:v>542</x:v>
      </x:c>
      <x:c r="F681" s="2" t="str">
        <x:v>2021-03-18</x:v>
      </x:c>
      <x:c r="G681" s="2" t="str">
        <x:v>2021</x:v>
      </x:c>
      <x:c r="H681" s="2" t="str">
        <x:v>03</x:v>
      </x:c>
      <x:c r="I681" s="2" t="str">
        <x:v>반려</x:v>
      </x:c>
      <x:c r="J681" s="2" t="str">
        <x:v>반려</x:v>
      </x:c>
      <x:c r="K681" s="2" t="str">
        <x:f>IF(OR(J681="심의승인",J681="반려",J681="반려완료",J681="심의완료"),"종결 표시",IF(OR(J681="기후부협의",J681="문서재제출요청",J681="보류",J681="보완요청",J681="보완완료",J681="평가중",J681="반려요청",J681="평가필요",LEFT(J681,5)="보완요청("),"미종결 표시","상태 확인 필요"))</x:f>
        <x:v>종결 표시</x:v>
      </x:c>
      <x:c r="L681" s="2" t="str">
        <x:v>에코시안_조영우</x:v>
      </x:c>
      <x:c r="M681" s="2"/>
      <x:c r="N681" s="8" t="n">
        <x:f>DATE(2026,10,15)-DATE(2021,3,18)</x:f>
        <x:v>2037</x:v>
      </x:c>
      <x:c r="O681" s="2" t="str">
        <x:v>O(21.06)</x:v>
      </x:c>
      <x:c r="P681" s="2"/>
      <x:c r="Q681" s="2" t="str">
        <x:v>산업전환_외부사업관리Tool_260707_이너젠 수정_LJY_261013.xlsx</x:v>
      </x:c>
      <x:c r="R681" s="2" t="str">
        <x:v>국내평가</x:v>
      </x:c>
      <x:c r="S681" s="8" t="n">
        <x:v>584</x:v>
      </x:c>
      <x:c r="T681" s="2" t="str">
        <x:v>(4/23),(5/26),(6/28),(11/2)</x:v>
      </x:c>
      <x:c r="U681" s="2" t="str">
        <x:v>2021 배정: (4/23),(5/26),(6/28),(11/2) / 2022 배정: (4/19)</x:v>
      </x:c>
      <x:c r="V681" s="2" t="str">
        <x:v>2023-03-20</x:v>
      </x:c>
      <x:c r="W681" s="2" t="str"/>
      <x:c r="X681" s="2" t="str">
        <x:v>종결 근거 보관</x:v>
      </x:c>
      <x:c r="Y681" s="2" t="str">
        <x:v>ad210cd9ec132cfd447541c8984dc53d30aff0f4fb2dc92d254d49275cc55976</x:v>
      </x:c>
      <x:c r="Z681" s="2" t="n">
        <x:f>SUBTOTAL(103,A681)</x:f>
        <x:v>1</x:v>
      </x:c>
      <x:c r="AA681" s="2" t="str">
        <x:f>IF(K681&lt;&gt;"미종결 표시","대상 아님",IF(N681="","신청일 확인",IF(NOT(ISNUMBER('종합 현황'!$H$5)),"관찰기준 확인",IF('종합 현황'!$H$5&lt;1,"관찰기준 확인",IF(N681&gt;'종합 현황'!$H$5,"내부 관찰 대상","내부 관찰일 이하")))))</x:f>
        <x:v>대상 아님</x:v>
      </x:c>
      <x:c r="AB681" s="2"/>
    </x:row>
    <x:row r="682" ht="42" customHeight="1">
      <x:c r="A682" s="2" t="str">
        <x:v>0172d96f554249de082aa548</x:v>
      </x:c>
      <x:c r="B682" s="2" t="str">
        <x:v>사업 평가</x:v>
      </x:c>
      <x:c r="C682" s="2" t="str">
        <x:v>국내</x:v>
      </x:c>
      <x:c r="D682" s="7" t="str">
        <x:v>(주)성심메디칼  고효율 1단 인버터 PM Motor 공기압축기로 교체 사업</x:v>
      </x:c>
      <x:c r="E682" s="2" t="str">
        <x:v>543</x:v>
      </x:c>
      <x:c r="F682" s="2" t="str">
        <x:v>2020-03-25</x:v>
      </x:c>
      <x:c r="G682" s="2" t="str">
        <x:v>2020</x:v>
      </x:c>
      <x:c r="H682" s="2" t="str">
        <x:v>03</x:v>
      </x:c>
      <x:c r="I682" s="2" t="str">
        <x:v>승인</x:v>
      </x:c>
      <x:c r="J682" s="2" t="str">
        <x:v>심의승인</x:v>
      </x:c>
      <x:c r="K682" s="2" t="str">
        <x:f>IF(OR(J682="심의승인",J682="반려",J682="반려완료",J682="심의완료"),"종결 표시",IF(OR(J682="기후부협의",J682="문서재제출요청",J682="보류",J682="보완요청",J682="보완완료",J682="평가중",J682="반려요청",J682="평가필요",LEFT(J682,5)="보완요청("),"미종결 표시","상태 확인 필요"))</x:f>
        <x:v>종결 표시</x:v>
      </x:c>
      <x:c r="L682" s="2" t="str">
        <x:v>공단_신광수</x:v>
      </x:c>
      <x:c r="M682" s="2"/>
      <x:c r="N682" s="8" t="n">
        <x:f>DATE(2026,10,15)-DATE(2020,3,25)</x:f>
        <x:v>2395</x:v>
      </x:c>
      <x:c r="O682" s="2" t="str">
        <x:v>O</x:v>
      </x:c>
      <x:c r="P682" s="2"/>
      <x:c r="Q682" s="2" t="str">
        <x:v>산업전환_외부사업관리Tool_260707_이너젠 수정_LJY_261013.xlsx</x:v>
      </x:c>
      <x:c r="R682" s="2" t="str">
        <x:v>국내평가</x:v>
      </x:c>
      <x:c r="S682" s="8" t="n">
        <x:v>585</x:v>
      </x:c>
      <x:c r="T682" s="2" t="str">
        <x:v>(6/3),(7/12)</x:v>
      </x:c>
      <x:c r="U682" s="2" t="str">
        <x:v>2021 배정: (6/3),(7/12)</x:v>
      </x:c>
      <x:c r="V682" s="2" t="str">
        <x:v>2022-01-08</x:v>
      </x:c>
      <x:c r="W682" s="2" t="str"/>
      <x:c r="X682" s="2" t="str">
        <x:v>종결 근거 보관</x:v>
      </x:c>
      <x:c r="Y682" s="2" t="str">
        <x:v>ad210cd9ec132cfd447541c8984dc53d30aff0f4fb2dc92d254d49275cc55976</x:v>
      </x:c>
      <x:c r="Z682" s="2" t="n">
        <x:f>SUBTOTAL(103,A682)</x:f>
        <x:v>1</x:v>
      </x:c>
      <x:c r="AA682" s="2" t="str">
        <x:f>IF(K682&lt;&gt;"미종결 표시","대상 아님",IF(N682="","신청일 확인",IF(NOT(ISNUMBER('종합 현황'!$H$5)),"관찰기준 확인",IF('종합 현황'!$H$5&lt;1,"관찰기준 확인",IF(N682&gt;'종합 현황'!$H$5,"내부 관찰 대상","내부 관찰일 이하")))))</x:f>
        <x:v>대상 아님</x:v>
      </x:c>
      <x:c r="AB682" s="2"/>
    </x:row>
    <x:row r="683" ht="42" customHeight="1">
      <x:c r="A683" s="2" t="str">
        <x:v>44375b84cdcdb974621c2edd</x:v>
      </x:c>
      <x:c r="B683" s="2" t="str">
        <x:v>사업 평가</x:v>
      </x:c>
      <x:c r="C683" s="2" t="str">
        <x:v>국내</x:v>
      </x:c>
      <x:c r="D683" s="7" t="str">
        <x:v>(주)오성테크  고효율 1단 PM Motor 공기압축기로 교체 사업</x:v>
      </x:c>
      <x:c r="E683" s="2" t="str">
        <x:v>544</x:v>
      </x:c>
      <x:c r="F683" s="2" t="str">
        <x:v>2020-03-25</x:v>
      </x:c>
      <x:c r="G683" s="2" t="str">
        <x:v>2020</x:v>
      </x:c>
      <x:c r="H683" s="2" t="str">
        <x:v>03</x:v>
      </x:c>
      <x:c r="I683" s="2" t="str">
        <x:v>승인</x:v>
      </x:c>
      <x:c r="J683" s="2" t="str">
        <x:v>심의승인</x:v>
      </x:c>
      <x:c r="K683" s="2" t="str">
        <x:f>IF(OR(J683="심의승인",J683="반려",J683="반려완료",J683="심의완료"),"종결 표시",IF(OR(J683="기후부협의",J683="문서재제출요청",J683="보류",J683="보완요청",J683="보완완료",J683="평가중",J683="반려요청",J683="평가필요",LEFT(J683,5)="보완요청("),"미종결 표시","상태 확인 필요"))</x:f>
        <x:v>종결 표시</x:v>
      </x:c>
      <x:c r="L683" s="2" t="str">
        <x:v>에코시안_정다윤</x:v>
      </x:c>
      <x:c r="M683" s="2"/>
      <x:c r="N683" s="8" t="n">
        <x:f>DATE(2026,10,15)-DATE(2020,3,25)</x:f>
        <x:v>2395</x:v>
      </x:c>
      <x:c r="O683" s="2" t="str">
        <x:v>O</x:v>
      </x:c>
      <x:c r="P683" s="2"/>
      <x:c r="Q683" s="2" t="str">
        <x:v>산업전환_외부사업관리Tool_260707_이너젠 수정_LJY_261013.xlsx</x:v>
      </x:c>
      <x:c r="R683" s="2" t="str">
        <x:v>국내평가</x:v>
      </x:c>
      <x:c r="S683" s="8" t="n">
        <x:v>586</x:v>
      </x:c>
      <x:c r="T683" s="2" t="str">
        <x:v>(6/28)</x:v>
      </x:c>
      <x:c r="U683" s="2" t="str">
        <x:v>2021 배정: (6/28)</x:v>
      </x:c>
      <x:c r="V683" s="2" t="str">
        <x:v>2022-01-08</x:v>
      </x:c>
      <x:c r="W683" s="2" t="str"/>
      <x:c r="X683" s="2" t="str">
        <x:v>종결 근거 보관</x:v>
      </x:c>
      <x:c r="Y683" s="2" t="str">
        <x:v>ad210cd9ec132cfd447541c8984dc53d30aff0f4fb2dc92d254d49275cc55976</x:v>
      </x:c>
      <x:c r="Z683" s="2" t="n">
        <x:f>SUBTOTAL(103,A683)</x:f>
        <x:v>1</x:v>
      </x:c>
      <x:c r="AA683" s="2" t="str">
        <x:f>IF(K683&lt;&gt;"미종결 표시","대상 아님",IF(N683="","신청일 확인",IF(NOT(ISNUMBER('종합 현황'!$H$5)),"관찰기준 확인",IF('종합 현황'!$H$5&lt;1,"관찰기준 확인",IF(N683&gt;'종합 현황'!$H$5,"내부 관찰 대상","내부 관찰일 이하")))))</x:f>
        <x:v>대상 아님</x:v>
      </x:c>
      <x:c r="AB683" s="2"/>
    </x:row>
    <x:row r="684" ht="42" customHeight="1">
      <x:c r="A684" s="2" t="str">
        <x:v>5dcb7b208aaf7d0203b550c0</x:v>
      </x:c>
      <x:c r="B684" s="2" t="str">
        <x:v>사업 평가</x:v>
      </x:c>
      <x:c r="C684" s="2" t="str">
        <x:v>국내</x:v>
      </x:c>
      <x:c r="D684" s="7" t="str">
        <x:v>2019년 수도권역 기존 심야 전기보일러의 축열식 히트펌프 교체를  통한 온실가스 묶음 감축사업</x:v>
      </x:c>
      <x:c r="E684" s="2" t="str">
        <x:v>545</x:v>
      </x:c>
      <x:c r="F684" s="2" t="str">
        <x:v>2020-09-28</x:v>
      </x:c>
      <x:c r="G684" s="2" t="str">
        <x:v>2020</x:v>
      </x:c>
      <x:c r="H684" s="2" t="str">
        <x:v>09</x:v>
      </x:c>
      <x:c r="I684" s="2" t="str">
        <x:v>승인</x:v>
      </x:c>
      <x:c r="J684" s="2" t="str">
        <x:v>심의승인</x:v>
      </x:c>
      <x:c r="K684" s="2" t="str">
        <x:f>IF(OR(J684="심의승인",J684="반려",J684="반려완료",J684="심의완료"),"종결 표시",IF(OR(J684="기후부협의",J684="문서재제출요청",J684="보류",J684="보완요청",J684="보완완료",J684="평가중",J684="반려요청",J684="평가필요",LEFT(J684,5)="보완요청("),"미종결 표시","상태 확인 필요"))</x:f>
        <x:v>종결 표시</x:v>
      </x:c>
      <x:c r="L684" s="2" t="str">
        <x:v>KECM</x:v>
      </x:c>
      <x:c r="M684" s="2"/>
      <x:c r="N684" s="8" t="n">
        <x:f>DATE(2026,10,15)-DATE(2020,9,28)</x:f>
        <x:v>2208</x:v>
      </x:c>
      <x:c r="O684" s="2" t="str">
        <x:v>생략</x:v>
      </x:c>
      <x:c r="P684" s="2"/>
      <x:c r="Q684" s="2" t="str">
        <x:v>산업전환_외부사업관리Tool_260707_이너젠 수정_LJY_261013.xlsx</x:v>
      </x:c>
      <x:c r="R684" s="2" t="str">
        <x:v>국내평가</x:v>
      </x:c>
      <x:c r="S684" s="8" t="n">
        <x:v>587</x:v>
      </x:c>
      <x:c r="T684" s="2" t="str">
        <x:v>(9/14)</x:v>
      </x:c>
      <x:c r="U684" s="2" t="str">
        <x:v>2021 배정: (9/14) / 2025 배정: (6/26),(9/1)</x:v>
      </x:c>
      <x:c r="V684" s="2" t="str">
        <x:v>2026-03-11</x:v>
      </x:c>
      <x:c r="W684" s="2" t="str"/>
      <x:c r="X684" s="2" t="str">
        <x:v>종결 근거 보관</x:v>
      </x:c>
      <x:c r="Y684" s="2" t="str">
        <x:v>ad210cd9ec132cfd447541c8984dc53d30aff0f4fb2dc92d254d49275cc55976</x:v>
      </x:c>
      <x:c r="Z684" s="2" t="n">
        <x:f>SUBTOTAL(103,A684)</x:f>
        <x:v>1</x:v>
      </x:c>
      <x:c r="AA684" s="2" t="str">
        <x:f>IF(K684&lt;&gt;"미종결 표시","대상 아님",IF(N684="","신청일 확인",IF(NOT(ISNUMBER('종합 현황'!$H$5)),"관찰기준 확인",IF('종합 현황'!$H$5&lt;1,"관찰기준 확인",IF(N684&gt;'종합 현황'!$H$5,"내부 관찰 대상","내부 관찰일 이하")))))</x:f>
        <x:v>대상 아님</x:v>
      </x:c>
      <x:c r="AB684" s="2"/>
    </x:row>
    <x:row r="685" ht="42" customHeight="1">
      <x:c r="A685" s="2" t="str">
        <x:v>7fd4a837532326ed30a84328</x:v>
      </x:c>
      <x:c r="B685" s="2" t="str">
        <x:v>사업 평가</x:v>
      </x:c>
      <x:c r="C685" s="2" t="str">
        <x:v>국내</x:v>
      </x:c>
      <x:c r="D685" s="7" t="str">
        <x:v>다담PL  고효율 2단 인버터 PM Motor 공기압축기로 교체 사업</x:v>
      </x:c>
      <x:c r="E685" s="2" t="str">
        <x:v>546</x:v>
      </x:c>
      <x:c r="F685" s="2" t="str">
        <x:v>2020-03-26</x:v>
      </x:c>
      <x:c r="G685" s="2" t="str">
        <x:v>2020</x:v>
      </x:c>
      <x:c r="H685" s="2" t="str">
        <x:v>03</x:v>
      </x:c>
      <x:c r="I685" s="2" t="str">
        <x:v>승인</x:v>
      </x:c>
      <x:c r="J685" s="2" t="str">
        <x:v>심의승인</x:v>
      </x:c>
      <x:c r="K685" s="2" t="str">
        <x:f>IF(OR(J685="심의승인",J685="반려",J685="반려완료",J685="심의완료"),"종결 표시",IF(OR(J685="기후부협의",J685="문서재제출요청",J685="보류",J685="보완요청",J685="보완완료",J685="평가중",J685="반려요청",J685="평가필요",LEFT(J685,5)="보완요청("),"미종결 표시","상태 확인 필요"))</x:f>
        <x:v>종결 표시</x:v>
      </x:c>
      <x:c r="L685" s="2" t="str">
        <x:v>공단_신광수</x:v>
      </x:c>
      <x:c r="M685" s="2"/>
      <x:c r="N685" s="8" t="n">
        <x:f>DATE(2026,10,15)-DATE(2020,3,26)</x:f>
        <x:v>2394</x:v>
      </x:c>
      <x:c r="O685" s="2" t="str">
        <x:v>O</x:v>
      </x:c>
      <x:c r="P685" s="2"/>
      <x:c r="Q685" s="2" t="str">
        <x:v>산업전환_외부사업관리Tool_260707_이너젠 수정_LJY_261013.xlsx</x:v>
      </x:c>
      <x:c r="R685" s="2" t="str">
        <x:v>국내평가</x:v>
      </x:c>
      <x:c r="S685" s="8" t="n">
        <x:v>588</x:v>
      </x:c>
      <x:c r="T685" s="2" t="str">
        <x:v>(6/3),(7/12)</x:v>
      </x:c>
      <x:c r="U685" s="2" t="str">
        <x:v>2021 배정: (6/3),(7/12)</x:v>
      </x:c>
      <x:c r="V685" s="2" t="str">
        <x:v>2022-01-08</x:v>
      </x:c>
      <x:c r="W685" s="2" t="str"/>
      <x:c r="X685" s="2" t="str">
        <x:v>종결 근거 보관</x:v>
      </x:c>
      <x:c r="Y685" s="2" t="str">
        <x:v>ad210cd9ec132cfd447541c8984dc53d30aff0f4fb2dc92d254d49275cc55976</x:v>
      </x:c>
      <x:c r="Z685" s="2" t="n">
        <x:f>SUBTOTAL(103,A685)</x:f>
        <x:v>1</x:v>
      </x:c>
      <x:c r="AA685" s="2" t="str">
        <x:f>IF(K685&lt;&gt;"미종결 표시","대상 아님",IF(N685="","신청일 확인",IF(NOT(ISNUMBER('종합 현황'!$H$5)),"관찰기준 확인",IF('종합 현황'!$H$5&lt;1,"관찰기준 확인",IF(N685&gt;'종합 현황'!$H$5,"내부 관찰 대상","내부 관찰일 이하")))))</x:f>
        <x:v>대상 아님</x:v>
      </x:c>
      <x:c r="AB685" s="2"/>
    </x:row>
    <x:row r="686" ht="42" customHeight="1">
      <x:c r="A686" s="2" t="str">
        <x:v>f2fe1480c9af958138b60a7d</x:v>
      </x:c>
      <x:c r="B686" s="2" t="str">
        <x:v>사업 평가</x:v>
      </x:c>
      <x:c r="C686" s="2" t="str">
        <x:v>국내</x:v>
      </x:c>
      <x:c r="D686" s="7" t="str">
        <x:v>코오롱바스프이노폼의 TX 생산공정에서의 폐열회수를 통한 온실가스 감축사업</x:v>
      </x:c>
      <x:c r="E686" s="2" t="str">
        <x:v>547</x:v>
      </x:c>
      <x:c r="F686" s="2" t="str">
        <x:v>2020-03-31</x:v>
      </x:c>
      <x:c r="G686" s="2" t="str">
        <x:v>2020</x:v>
      </x:c>
      <x:c r="H686" s="2" t="str">
        <x:v>03</x:v>
      </x:c>
      <x:c r="I686" s="2" t="str">
        <x:v>승인</x:v>
      </x:c>
      <x:c r="J686" s="2" t="str">
        <x:v>심의승인</x:v>
      </x:c>
      <x:c r="K686" s="2" t="str">
        <x:f>IF(OR(J686="심의승인",J686="반려",J686="반려완료",J686="심의완료"),"종결 표시",IF(OR(J686="기후부협의",J686="문서재제출요청",J686="보류",J686="보완요청",J686="보완완료",J686="평가중",J686="반려요청",J686="평가필요",LEFT(J686,5)="보완요청("),"미종결 표시","상태 확인 필요"))</x:f>
        <x:v>종결 표시</x:v>
      </x:c>
      <x:c r="L686" s="2" t="str">
        <x:v>(자문)윤성한 3회</x:v>
      </x:c>
      <x:c r="M686" s="2"/>
      <x:c r="N686" s="8" t="n">
        <x:f>DATE(2026,10,15)-DATE(2020,3,31)</x:f>
        <x:v>2389</x:v>
      </x:c>
      <x:c r="O686" s="2" t="str">
        <x:v>O(8월)</x:v>
      </x:c>
      <x:c r="P686" s="2" t="str">
        <x:v>권리의무승계(소유권 이전) '26.3월 승인</x:v>
      </x:c>
      <x:c r="Q686" s="2" t="str">
        <x:v>산업전환_외부사업관리Tool_260707_이너젠 수정_LJY_261013.xlsx</x:v>
      </x:c>
      <x:c r="R686" s="2" t="str">
        <x:v>국내평가</x:v>
      </x:c>
      <x:c r="S686" s="8" t="n">
        <x:v>589</x:v>
      </x:c>
      <x:c r="T686" s="2" t="str">
        <x:v>(4/23),(6/28),(7/12),(10/20),(12/10)</x:v>
      </x:c>
      <x:c r="U686" s="2" t="str">
        <x:v>2021 배정: (4/23),(6/28),(7/12),(10/20),(12/10) / 2022 배정: (4/19)</x:v>
      </x:c>
      <x:c r="V686" s="2" t="str">
        <x:v>2026-03-06 00:00:00</x:v>
      </x:c>
      <x:c r="W686" s="2" t="str"/>
      <x:c r="X686" s="2" t="str">
        <x:v>종결 근거 보관</x:v>
      </x:c>
      <x:c r="Y686" s="2" t="str">
        <x:v>ad210cd9ec132cfd447541c8984dc53d30aff0f4fb2dc92d254d49275cc55976</x:v>
      </x:c>
      <x:c r="Z686" s="2" t="n">
        <x:f>SUBTOTAL(103,A686)</x:f>
        <x:v>1</x:v>
      </x:c>
      <x:c r="AA686" s="2" t="str">
        <x:f>IF(K686&lt;&gt;"미종결 표시","대상 아님",IF(N686="","신청일 확인",IF(NOT(ISNUMBER('종합 현황'!$H$5)),"관찰기준 확인",IF('종합 현황'!$H$5&lt;1,"관찰기준 확인",IF(N686&gt;'종합 현황'!$H$5,"내부 관찰 대상","내부 관찰일 이하")))))</x:f>
        <x:v>대상 아님</x:v>
      </x:c>
      <x:c r="AB686" s="2"/>
    </x:row>
    <x:row r="687" ht="42" customHeight="1">
      <x:c r="A687" s="2" t="str">
        <x:v>fafd42891ee08de289c6c760</x:v>
      </x:c>
      <x:c r="B687" s="2" t="str">
        <x:v>사업 평가</x:v>
      </x:c>
      <x:c r="C687" s="2" t="str">
        <x:v>국내</x:v>
      </x:c>
      <x:c r="D687" s="7" t="str">
        <x:v>(주)아산대신  고효율 1단 인버터 PM Motor 공기압축기로 교체 사업</x:v>
      </x:c>
      <x:c r="E687" s="2" t="str">
        <x:v>548</x:v>
      </x:c>
      <x:c r="F687" s="2" t="str">
        <x:v>2020-04-09</x:v>
      </x:c>
      <x:c r="G687" s="2" t="str">
        <x:v>2020</x:v>
      </x:c>
      <x:c r="H687" s="2" t="str">
        <x:v>04</x:v>
      </x:c>
      <x:c r="I687" s="2" t="str">
        <x:v>승인</x:v>
      </x:c>
      <x:c r="J687" s="2" t="str">
        <x:v>심의승인</x:v>
      </x:c>
      <x:c r="K687" s="2" t="str">
        <x:f>IF(OR(J687="심의승인",J687="반려",J687="반려완료",J687="심의완료"),"종결 표시",IF(OR(J687="기후부협의",J687="문서재제출요청",J687="보류",J687="보완요청",J687="보완완료",J687="평가중",J687="반려요청",J687="평가필요",LEFT(J687,5)="보완요청("),"미종결 표시","상태 확인 필요"))</x:f>
        <x:v>종결 표시</x:v>
      </x:c>
      <x:c r="L687" s="2" t="str">
        <x:v>KECM</x:v>
      </x:c>
      <x:c r="M687" s="2"/>
      <x:c r="N687" s="8" t="n">
        <x:f>DATE(2026,10,15)-DATE(2020,4,9)</x:f>
        <x:v>2380</x:v>
      </x:c>
      <x:c r="O687" s="2" t="str">
        <x:v>O</x:v>
      </x:c>
      <x:c r="P687" s="2"/>
      <x:c r="Q687" s="2" t="str">
        <x:v>산업전환_외부사업관리Tool_260707_이너젠 수정_LJY_261013.xlsx</x:v>
      </x:c>
      <x:c r="R687" s="2" t="str">
        <x:v>국내평가</x:v>
      </x:c>
      <x:c r="S687" s="8" t="n">
        <x:v>590</x:v>
      </x:c>
      <x:c r="T687" s="2" t="str">
        <x:v>(7/12),(9/14)</x:v>
      </x:c>
      <x:c r="U687" s="2" t="str">
        <x:v>2021 배정: (7/12),(9/14)</x:v>
      </x:c>
      <x:c r="V687" s="2" t="str">
        <x:v>2022-01-08</x:v>
      </x:c>
      <x:c r="W687" s="2" t="str"/>
      <x:c r="X687" s="2" t="str">
        <x:v>종결 근거 보관</x:v>
      </x:c>
      <x:c r="Y687" s="2" t="str">
        <x:v>ad210cd9ec132cfd447541c8984dc53d30aff0f4fb2dc92d254d49275cc55976</x:v>
      </x:c>
      <x:c r="Z687" s="2" t="n">
        <x:f>SUBTOTAL(103,A687)</x:f>
        <x:v>1</x:v>
      </x:c>
      <x:c r="AA687" s="2" t="str">
        <x:f>IF(K687&lt;&gt;"미종결 표시","대상 아님",IF(N687="","신청일 확인",IF(NOT(ISNUMBER('종합 현황'!$H$5)),"관찰기준 확인",IF('종합 현황'!$H$5&lt;1,"관찰기준 확인",IF(N687&gt;'종합 현황'!$H$5,"내부 관찰 대상","내부 관찰일 이하")))))</x:f>
        <x:v>대상 아님</x:v>
      </x:c>
      <x:c r="AB687" s="2"/>
    </x:row>
    <x:row r="688" ht="42" customHeight="1">
      <x:c r="A688" s="2" t="str">
        <x:v>7e9027284c8615a1f2838717</x:v>
      </x:c>
      <x:c r="B688" s="2" t="str">
        <x:v>사업 평가</x:v>
      </x:c>
      <x:c r="C688" s="2" t="str">
        <x:v>국내</x:v>
      </x:c>
      <x:c r="D688" s="7" t="str">
        <x:v>2019년 중부권역 기존 심야 전기보일러의 축열식 히트펌프 교체를 통한 온실가스 묶음 감축사업</x:v>
      </x:c>
      <x:c r="E688" s="2" t="str">
        <x:v>549</x:v>
      </x:c>
      <x:c r="F688" s="2" t="str">
        <x:v>2020-09-28</x:v>
      </x:c>
      <x:c r="G688" s="2" t="str">
        <x:v>2020</x:v>
      </x:c>
      <x:c r="H688" s="2" t="str">
        <x:v>09</x:v>
      </x:c>
      <x:c r="I688" s="2" t="str">
        <x:v>승인</x:v>
      </x:c>
      <x:c r="J688" s="2" t="str">
        <x:v>심의승인</x:v>
      </x:c>
      <x:c r="K688" s="2" t="str">
        <x:f>IF(OR(J688="심의승인",J688="반려",J688="반려완료",J688="심의완료"),"종결 표시",IF(OR(J688="기후부협의",J688="문서재제출요청",J688="보류",J688="보완요청",J688="보완완료",J688="평가중",J688="반려요청",J688="평가필요",LEFT(J688,5)="보완요청("),"미종결 표시","상태 확인 필요"))</x:f>
        <x:v>종결 표시</x:v>
      </x:c>
      <x:c r="L688" s="2" t="str">
        <x:v>KECM</x:v>
      </x:c>
      <x:c r="M688" s="2"/>
      <x:c r="N688" s="8" t="n">
        <x:f>DATE(2026,10,15)-DATE(2020,9,28)</x:f>
        <x:v>2208</x:v>
      </x:c>
      <x:c r="O688" s="2" t="str">
        <x:v>생략</x:v>
      </x:c>
      <x:c r="P688" s="2"/>
      <x:c r="Q688" s="2" t="str">
        <x:v>산업전환_외부사업관리Tool_260707_이너젠 수정_LJY_261013.xlsx</x:v>
      </x:c>
      <x:c r="R688" s="2" t="str">
        <x:v>국내평가</x:v>
      </x:c>
      <x:c r="S688" s="8" t="n">
        <x:v>591</x:v>
      </x:c>
      <x:c r="T688" s="2" t="str">
        <x:v>(9/14)</x:v>
      </x:c>
      <x:c r="U688" s="2" t="str">
        <x:v>2021 배정: (9/14) / 2025 배정: (6/26),(9/1)</x:v>
      </x:c>
      <x:c r="V688" s="2" t="str">
        <x:v>2026-03-11</x:v>
      </x:c>
      <x:c r="W688" s="2" t="str"/>
      <x:c r="X688" s="2" t="str">
        <x:v>종결 근거 보관</x:v>
      </x:c>
      <x:c r="Y688" s="2" t="str">
        <x:v>ad210cd9ec132cfd447541c8984dc53d30aff0f4fb2dc92d254d49275cc55976</x:v>
      </x:c>
      <x:c r="Z688" s="2" t="n">
        <x:f>SUBTOTAL(103,A688)</x:f>
        <x:v>1</x:v>
      </x:c>
      <x:c r="AA688" s="2" t="str">
        <x:f>IF(K688&lt;&gt;"미종결 표시","대상 아님",IF(N688="","신청일 확인",IF(NOT(ISNUMBER('종합 현황'!$H$5)),"관찰기준 확인",IF('종합 현황'!$H$5&lt;1,"관찰기준 확인",IF(N688&gt;'종합 현황'!$H$5,"내부 관찰 대상","내부 관찰일 이하")))))</x:f>
        <x:v>대상 아님</x:v>
      </x:c>
      <x:c r="AB688" s="2"/>
    </x:row>
    <x:row r="689" ht="42" customHeight="1">
      <x:c r="A689" s="2" t="str">
        <x:v>a74b5004485d2e8ea54d08aa</x:v>
      </x:c>
      <x:c r="B689" s="2" t="str">
        <x:v>사업 평가</x:v>
      </x:c>
      <x:c r="C689" s="2" t="str">
        <x:v>국내</x:v>
      </x:c>
      <x:c r="D689" s="7" t="str">
        <x:v>2019년 영남권역 기존 심야 전기보일러의 축열식 히트펌프 교체를  통한 온실가스 묶음 감축사업</x:v>
      </x:c>
      <x:c r="E689" s="2" t="str">
        <x:v>550</x:v>
      </x:c>
      <x:c r="F689" s="2" t="str">
        <x:v>2020-09-28</x:v>
      </x:c>
      <x:c r="G689" s="2" t="str">
        <x:v>2020</x:v>
      </x:c>
      <x:c r="H689" s="2" t="str">
        <x:v>09</x:v>
      </x:c>
      <x:c r="I689" s="2" t="str">
        <x:v>승인</x:v>
      </x:c>
      <x:c r="J689" s="2" t="str">
        <x:v>심의승인</x:v>
      </x:c>
      <x:c r="K689" s="2" t="str">
        <x:f>IF(OR(J689="심의승인",J689="반려",J689="반려완료",J689="심의완료"),"종결 표시",IF(OR(J689="기후부협의",J689="문서재제출요청",J689="보류",J689="보완요청",J689="보완완료",J689="평가중",J689="반려요청",J689="평가필요",LEFT(J689,5)="보완요청("),"미종결 표시","상태 확인 필요"))</x:f>
        <x:v>종결 표시</x:v>
      </x:c>
      <x:c r="L689" s="2" t="str">
        <x:v>KECM</x:v>
      </x:c>
      <x:c r="M689" s="2"/>
      <x:c r="N689" s="8" t="n">
        <x:f>DATE(2026,10,15)-DATE(2020,9,28)</x:f>
        <x:v>2208</x:v>
      </x:c>
      <x:c r="O689" s="2" t="str">
        <x:v>생략</x:v>
      </x:c>
      <x:c r="P689" s="2"/>
      <x:c r="Q689" s="2" t="str">
        <x:v>산업전환_외부사업관리Tool_260707_이너젠 수정_LJY_261013.xlsx</x:v>
      </x:c>
      <x:c r="R689" s="2" t="str">
        <x:v>국내평가</x:v>
      </x:c>
      <x:c r="S689" s="8" t="n">
        <x:v>592</x:v>
      </x:c>
      <x:c r="T689" s="2" t="str">
        <x:v>(9/14)</x:v>
      </x:c>
      <x:c r="U689" s="2" t="str">
        <x:v>2021 배정: (9/14) / 2025 배정: (6/26),(9/1)</x:v>
      </x:c>
      <x:c r="V689" s="2" t="str">
        <x:v>2026-03-11</x:v>
      </x:c>
      <x:c r="W689" s="2" t="str"/>
      <x:c r="X689" s="2" t="str">
        <x:v>종결 근거 보관</x:v>
      </x:c>
      <x:c r="Y689" s="2" t="str">
        <x:v>ad210cd9ec132cfd447541c8984dc53d30aff0f4fb2dc92d254d49275cc55976</x:v>
      </x:c>
      <x:c r="Z689" s="2" t="n">
        <x:f>SUBTOTAL(103,A689)</x:f>
        <x:v>1</x:v>
      </x:c>
      <x:c r="AA689" s="2" t="str">
        <x:f>IF(K689&lt;&gt;"미종결 표시","대상 아님",IF(N689="","신청일 확인",IF(NOT(ISNUMBER('종합 현황'!$H$5)),"관찰기준 확인",IF('종합 현황'!$H$5&lt;1,"관찰기준 확인",IF(N689&gt;'종합 현황'!$H$5,"내부 관찰 대상","내부 관찰일 이하")))))</x:f>
        <x:v>대상 아님</x:v>
      </x:c>
      <x:c r="AB689" s="2"/>
    </x:row>
    <x:row r="690" ht="42" customHeight="1">
      <x:c r="A690" s="2" t="str">
        <x:v>5eb8c65895a99af408ded514</x:v>
      </x:c>
      <x:c r="B690" s="2" t="str">
        <x:v>사업 평가</x:v>
      </x:c>
      <x:c r="C690" s="2" t="str">
        <x:v>국내</x:v>
      </x:c>
      <x:c r="D690" s="7" t="str">
        <x:v>2019년 호남권역 기존 심야 전기보일러의 축열식 히트펌프 교체를  통한 온실가스 묶음 감축사업</x:v>
      </x:c>
      <x:c r="E690" s="2" t="str">
        <x:v>551</x:v>
      </x:c>
      <x:c r="F690" s="2" t="str">
        <x:v>2020-09-28</x:v>
      </x:c>
      <x:c r="G690" s="2" t="str">
        <x:v>2020</x:v>
      </x:c>
      <x:c r="H690" s="2" t="str">
        <x:v>09</x:v>
      </x:c>
      <x:c r="I690" s="2" t="str">
        <x:v>승인</x:v>
      </x:c>
      <x:c r="J690" s="2" t="str">
        <x:v>심의승인</x:v>
      </x:c>
      <x:c r="K690" s="2" t="str">
        <x:f>IF(OR(J690="심의승인",J690="반려",J690="반려완료",J690="심의완료"),"종결 표시",IF(OR(J690="기후부협의",J690="문서재제출요청",J690="보류",J690="보완요청",J690="보완완료",J690="평가중",J690="반려요청",J690="평가필요",LEFT(J690,5)="보완요청("),"미종결 표시","상태 확인 필요"))</x:f>
        <x:v>종결 표시</x:v>
      </x:c>
      <x:c r="L690" s="2" t="str">
        <x:v>KECM</x:v>
      </x:c>
      <x:c r="M690" s="2"/>
      <x:c r="N690" s="8" t="n">
        <x:f>DATE(2026,10,15)-DATE(2020,9,28)</x:f>
        <x:v>2208</x:v>
      </x:c>
      <x:c r="O690" s="2" t="str">
        <x:v>생략</x:v>
      </x:c>
      <x:c r="P690" s="2"/>
      <x:c r="Q690" s="2" t="str">
        <x:v>산업전환_외부사업관리Tool_260707_이너젠 수정_LJY_261013.xlsx</x:v>
      </x:c>
      <x:c r="R690" s="2" t="str">
        <x:v>국내평가</x:v>
      </x:c>
      <x:c r="S690" s="8" t="n">
        <x:v>593</x:v>
      </x:c>
      <x:c r="T690" s="2" t="str">
        <x:v>(9/14)</x:v>
      </x:c>
      <x:c r="U690" s="2" t="str">
        <x:v>2021 배정: (9/14) / 2025 배정: (6/26),(9/1)</x:v>
      </x:c>
      <x:c r="V690" s="2" t="str">
        <x:v>2026-03-11</x:v>
      </x:c>
      <x:c r="W690" s="2" t="str"/>
      <x:c r="X690" s="2" t="str">
        <x:v>종결 근거 보관</x:v>
      </x:c>
      <x:c r="Y690" s="2" t="str">
        <x:v>ad210cd9ec132cfd447541c8984dc53d30aff0f4fb2dc92d254d49275cc55976</x:v>
      </x:c>
      <x:c r="Z690" s="2" t="n">
        <x:f>SUBTOTAL(103,A690)</x:f>
        <x:v>1</x:v>
      </x:c>
      <x:c r="AA690" s="2" t="str">
        <x:f>IF(K690&lt;&gt;"미종결 표시","대상 아님",IF(N690="","신청일 확인",IF(NOT(ISNUMBER('종합 현황'!$H$5)),"관찰기준 확인",IF('종합 현황'!$H$5&lt;1,"관찰기준 확인",IF(N690&gt;'종합 현황'!$H$5,"내부 관찰 대상","내부 관찰일 이하")))))</x:f>
        <x:v>대상 아님</x:v>
      </x:c>
      <x:c r="AB690" s="2"/>
    </x:row>
    <x:row r="691" ht="42" customHeight="1">
      <x:c r="A691" s="2" t="str">
        <x:v>31d2d15a9b87856aea58f0a4</x:v>
      </x:c>
      <x:c r="B691" s="2" t="str">
        <x:v>사업 평가</x:v>
      </x:c>
      <x:c r="C691" s="2" t="str">
        <x:v>국내</x:v>
      </x:c>
      <x:c r="D691" s="7" t="str">
        <x:v>태창산업(주) 연료전환(B-C유 → LPG)을 통한 온실가스 배출 감축사업</x:v>
      </x:c>
      <x:c r="E691" s="2" t="str">
        <x:v>552</x:v>
      </x:c>
      <x:c r="F691" s="2" t="str">
        <x:v>2020-10-06</x:v>
      </x:c>
      <x:c r="G691" s="2" t="str">
        <x:v>2020</x:v>
      </x:c>
      <x:c r="H691" s="2" t="str">
        <x:v>10</x:v>
      </x:c>
      <x:c r="I691" s="2" t="str">
        <x:v>반려</x:v>
      </x:c>
      <x:c r="J691" s="2" t="str">
        <x:v>반려</x:v>
      </x:c>
      <x:c r="K691" s="2" t="str">
        <x:f>IF(OR(J691="심의승인",J691="반려",J691="반려완료",J691="심의완료"),"종결 표시",IF(OR(J691="기후부협의",J691="문서재제출요청",J691="보류",J691="보완요청",J691="보완완료",J691="평가중",J691="반려요청",J691="평가필요",LEFT(J691,5)="보완요청("),"미종결 표시","상태 확인 필요"))</x:f>
        <x:v>종결 표시</x:v>
      </x:c>
      <x:c r="L691" s="2" t="str">
        <x:v>KECM</x:v>
      </x:c>
      <x:c r="M691" s="2"/>
      <x:c r="N691" s="8" t="n">
        <x:f>DATE(2026,10,15)-DATE(2020,10,6)</x:f>
        <x:v>2200</x:v>
      </x:c>
      <x:c r="O691" s="2" t="str">
        <x:v>생략</x:v>
      </x:c>
      <x:c r="P691" s="2" t="str">
        <x:v>용량 증대로 방법론 부합하지 않아 반려</x:v>
      </x:c>
      <x:c r="Q691" s="2" t="str">
        <x:v>산업전환_외부사업관리Tool_260707_이너젠 수정_LJY_261013.xlsx</x:v>
      </x:c>
      <x:c r="R691" s="2" t="str">
        <x:v>국내평가</x:v>
      </x:c>
      <x:c r="S691" s="8" t="n">
        <x:v>594</x:v>
      </x:c>
      <x:c r="T691" s="2" t="str">
        <x:v>(7/12),(9/1)</x:v>
      </x:c>
      <x:c r="U691" s="2" t="str">
        <x:v>2021 배정: (7/12),(9/1) / 2025 배정: (5/30),(9/16),(11/10) / 2026(사전): (1/14),(2/26),(4/9)</x:v>
      </x:c>
      <x:c r="V691" s="2" t="str">
        <x:v>2026-04-22</x:v>
      </x:c>
      <x:c r="W691" s="2" t="str"/>
      <x:c r="X691" s="2" t="str">
        <x:v>종결 근거 보관</x:v>
      </x:c>
      <x:c r="Y691" s="2" t="str">
        <x:v>ad210cd9ec132cfd447541c8984dc53d30aff0f4fb2dc92d254d49275cc55976</x:v>
      </x:c>
      <x:c r="Z691" s="2" t="n">
        <x:f>SUBTOTAL(103,A691)</x:f>
        <x:v>1</x:v>
      </x:c>
      <x:c r="AA691" s="2" t="str">
        <x:f>IF(K691&lt;&gt;"미종결 표시","대상 아님",IF(N691="","신청일 확인",IF(NOT(ISNUMBER('종합 현황'!$H$5)),"관찰기준 확인",IF('종합 현황'!$H$5&lt;1,"관찰기준 확인",IF(N691&gt;'종합 현황'!$H$5,"내부 관찰 대상","내부 관찰일 이하")))))</x:f>
        <x:v>대상 아님</x:v>
      </x:c>
      <x:c r="AB691" s="2"/>
    </x:row>
    <x:row r="692" ht="42" customHeight="1">
      <x:c r="A692" s="2" t="str">
        <x:v>35334b347e566574ee6dcc02</x:v>
      </x:c>
      <x:c r="B692" s="2" t="str">
        <x:v>사업 평가</x:v>
      </x:c>
      <x:c r="C692" s="2" t="str">
        <x:v>국내</x:v>
      </x:c>
      <x:c r="D692" s="7" t="str">
        <x:v>㈜보광아스콘 연료전환(B-C유 → LPG)을 통한 온실가스 배출 감축사업</x:v>
      </x:c>
      <x:c r="E692" s="2" t="str">
        <x:v>553</x:v>
      </x:c>
      <x:c r="F692" s="2" t="str">
        <x:v>2020-10-08</x:v>
      </x:c>
      <x:c r="G692" s="2" t="str">
        <x:v>2020</x:v>
      </x:c>
      <x:c r="H692" s="2" t="str">
        <x:v>10</x:v>
      </x:c>
      <x:c r="I692" s="2" t="str">
        <x:v>반려</x:v>
      </x:c>
      <x:c r="J692" s="2" t="str">
        <x:v>반려</x:v>
      </x:c>
      <x:c r="K692" s="2" t="str">
        <x:f>IF(OR(J692="심의승인",J692="반려",J692="반려완료",J692="심의완료"),"종결 표시",IF(OR(J692="기후부협의",J692="문서재제출요청",J692="보류",J692="보완요청",J692="보완완료",J692="평가중",J692="반려요청",J692="평가필요",LEFT(J692,5)="보완요청("),"미종결 표시","상태 확인 필요"))</x:f>
        <x:v>종결 표시</x:v>
      </x:c>
      <x:c r="L692" s="2" t="str">
        <x:v>KECM_이정우</x:v>
      </x:c>
      <x:c r="M692" s="2"/>
      <x:c r="N692" s="8" t="n">
        <x:f>DATE(2026,10,15)-DATE(2020,10,8)</x:f>
        <x:v>2198</x:v>
      </x:c>
      <x:c r="O692" s="2"/>
      <x:c r="P692" s="2" t="str">
        <x:v>LPG 계측기 X, 방법론 개정으로 재신청 필요</x:v>
      </x:c>
      <x:c r="Q692" s="2" t="str">
        <x:v>산업전환_외부사업관리Tool_260707_이너젠 수정_LJY_261013.xlsx</x:v>
      </x:c>
      <x:c r="R692" s="2" t="str">
        <x:v>국내평가</x:v>
      </x:c>
      <x:c r="S692" s="8" t="n">
        <x:v>595</x:v>
      </x:c>
      <x:c r="T692" s="2" t="str">
        <x:v>(4/23),(6/28),(9/1)</x:v>
      </x:c>
      <x:c r="U692" s="2" t="str">
        <x:v>2021 배정: (4/23),(6/28),(9/1) / 2025 배정: 2025년 처리</x:v>
      </x:c>
      <x:c r="V692" s="2" t="str">
        <x:v>2025-06-20</x:v>
      </x:c>
      <x:c r="W692" s="2" t="str"/>
      <x:c r="X692" s="2" t="str">
        <x:v>종결 근거 보관</x:v>
      </x:c>
      <x:c r="Y692" s="2" t="str">
        <x:v>ad210cd9ec132cfd447541c8984dc53d30aff0f4fb2dc92d254d49275cc55976</x:v>
      </x:c>
      <x:c r="Z692" s="2" t="n">
        <x:f>SUBTOTAL(103,A692)</x:f>
        <x:v>1</x:v>
      </x:c>
      <x:c r="AA692" s="2" t="str">
        <x:f>IF(K692&lt;&gt;"미종결 표시","대상 아님",IF(N692="","신청일 확인",IF(NOT(ISNUMBER('종합 현황'!$H$5)),"관찰기준 확인",IF('종합 현황'!$H$5&lt;1,"관찰기준 확인",IF(N692&gt;'종합 현황'!$H$5,"내부 관찰 대상","내부 관찰일 이하")))))</x:f>
        <x:v>대상 아님</x:v>
      </x:c>
      <x:c r="AB692" s="2"/>
    </x:row>
    <x:row r="693" ht="42" customHeight="1">
      <x:c r="A693" s="2" t="str">
        <x:v>4cde1649de2242807135cc9f</x:v>
      </x:c>
      <x:c r="B693" s="2" t="str">
        <x:v>사업 평가</x:v>
      </x:c>
      <x:c r="C693" s="2" t="str">
        <x:v>국내</x:v>
      </x:c>
      <x:c r="D693" s="7" t="str">
        <x:v>대광소결금속(주) 벌지공장 고효율 인버터형 공기압축기 교체를 통한 온실가스 감축사업</x:v>
      </x:c>
      <x:c r="E693" s="2" t="str">
        <x:v>554</x:v>
      </x:c>
      <x:c r="F693" s="2" t="str">
        <x:v>2020-06-08</x:v>
      </x:c>
      <x:c r="G693" s="2" t="str">
        <x:v>2020</x:v>
      </x:c>
      <x:c r="H693" s="2" t="str">
        <x:v>06</x:v>
      </x:c>
      <x:c r="I693" s="2" t="str">
        <x:v>승인</x:v>
      </x:c>
      <x:c r="J693" s="2" t="str">
        <x:v>심의승인</x:v>
      </x:c>
      <x:c r="K693" s="2" t="str">
        <x:f>IF(OR(J693="심의승인",J693="반려",J693="반려완료",J693="심의완료"),"종결 표시",IF(OR(J693="기후부협의",J693="문서재제출요청",J693="보류",J693="보완요청",J693="보완완료",J693="평가중",J693="반려요청",J693="평가필요",LEFT(J693,5)="보완요청("),"미종결 표시","상태 확인 필요"))</x:f>
        <x:v>종결 표시</x:v>
      </x:c>
      <x:c r="L693" s="2" t="str">
        <x:v>공단_강송희</x:v>
      </x:c>
      <x:c r="M693" s="2"/>
      <x:c r="N693" s="8" t="n">
        <x:f>DATE(2026,10,15)-DATE(2020,6,8)</x:f>
        <x:v>2320</x:v>
      </x:c>
      <x:c r="O693" s="2" t="str">
        <x:v>O</x:v>
      </x:c>
      <x:c r="P693" s="2"/>
      <x:c r="Q693" s="2" t="str">
        <x:v>산업전환_외부사업관리Tool_260707_이너젠 수정_LJY_261013.xlsx</x:v>
      </x:c>
      <x:c r="R693" s="2" t="str">
        <x:v>국내평가</x:v>
      </x:c>
      <x:c r="S693" s="8" t="n">
        <x:v>596</x:v>
      </x:c>
      <x:c r="T693" s="2" t="str">
        <x:v>(7/12),(12/1)</x:v>
      </x:c>
      <x:c r="U693" s="2" t="str">
        <x:v>2021 배정: (7/12),(12/1)</x:v>
      </x:c>
      <x:c r="V693" s="2" t="str">
        <x:v>2022-02-03</x:v>
      </x:c>
      <x:c r="W693" s="2" t="str"/>
      <x:c r="X693" s="2" t="str">
        <x:v>종결 근거 보관</x:v>
      </x:c>
      <x:c r="Y693" s="2" t="str">
        <x:v>ad210cd9ec132cfd447541c8984dc53d30aff0f4fb2dc92d254d49275cc55976</x:v>
      </x:c>
      <x:c r="Z693" s="2" t="n">
        <x:f>SUBTOTAL(103,A693)</x:f>
        <x:v>1</x:v>
      </x:c>
      <x:c r="AA693" s="2" t="str">
        <x:f>IF(K693&lt;&gt;"미종결 표시","대상 아님",IF(N693="","신청일 확인",IF(NOT(ISNUMBER('종합 현황'!$H$5)),"관찰기준 확인",IF('종합 현황'!$H$5&lt;1,"관찰기준 확인",IF(N693&gt;'종합 현황'!$H$5,"내부 관찰 대상","내부 관찰일 이하")))))</x:f>
        <x:v>대상 아님</x:v>
      </x:c>
      <x:c r="AB693" s="2"/>
    </x:row>
    <x:row r="694" ht="42" customHeight="1">
      <x:c r="A694" s="2" t="str">
        <x:v>5ec9f9dc5d3b845d3dba22da</x:v>
      </x:c>
      <x:c r="B694" s="2" t="str">
        <x:v>사업 평가</x:v>
      </x:c>
      <x:c r="C694" s="2" t="str">
        <x:v>국내</x:v>
      </x:c>
      <x:c r="D694" s="7" t="str">
        <x:v>공동주택 태양광 발전사업 2016-LH-001-05826</x:v>
      </x:c>
      <x:c r="E694" s="2" t="str">
        <x:v>555</x:v>
      </x:c>
      <x:c r="F694" s="2" t="str">
        <x:v>2023-03-29</x:v>
      </x:c>
      <x:c r="G694" s="2" t="str">
        <x:v>2023</x:v>
      </x:c>
      <x:c r="H694" s="2" t="str">
        <x:v>03</x:v>
      </x:c>
      <x:c r="I694" s="2" t="str">
        <x:v>인증유효기간 갱신</x:v>
      </x:c>
      <x:c r="J694" s="2" t="str">
        <x:v>평가중</x:v>
      </x:c>
      <x:c r="K694" s="2" t="str">
        <x:f>IF(OR(J694="심의승인",J694="반려",J694="반려완료",J694="심의완료"),"종결 표시",IF(OR(J694="기후부협의",J694="문서재제출요청",J694="보류",J694="보완요청",J694="보완완료",J694="평가중",J694="반려요청",J694="평가필요",LEFT(J694,5)="보완요청("),"미종결 표시","상태 확인 필요"))</x:f>
        <x:v>미종결 표시</x:v>
      </x:c>
      <x:c r="L694" s="2" t="str">
        <x:v>KECM_김민정&gt;이태준</x:v>
      </x:c>
      <x:c r="M694" s="2"/>
      <x:c r="N694" s="8" t="n">
        <x:f>DATE(2026,10,15)-DATE(2023,3,29)</x:f>
        <x:v>1296</x:v>
      </x:c>
      <x:c r="O694" s="2" t="str">
        <x:v>생략</x:v>
      </x:c>
      <x:c r="P694" s="2"/>
      <x:c r="Q694" s="2" t="str">
        <x:v>산업전환_외부사업관리Tool_260707_이너젠 수정_LJY_261013.xlsx</x:v>
      </x:c>
      <x:c r="R694" s="2" t="str">
        <x:v>국내평가</x:v>
      </x:c>
      <x:c r="S694" s="8" t="n">
        <x:v>597</x:v>
      </x:c>
      <x:c r="T694" s="2" t="str">
        <x:v>(4/3),(8/30),(11/17)</x:v>
      </x:c>
      <x:c r="U694" s="2" t="str">
        <x:v>2023 배정: (4/3),(8/30),(11/17) / 2024 배정: (2/5),(4/29),(7/1) / 2026(사전): (2/3),(7/7)</x:v>
      </x:c>
      <x:c r="V694" s="2" t="str">
        <x:v>2026-06-19</x:v>
      </x:c>
      <x:c r="W694" s="2" t="str"/>
      <x:c r="X694" s="2" t="str">
        <x:v>검토 진행 일정 확인</x:v>
      </x:c>
      <x:c r="Y694" s="2" t="str">
        <x:v>ad210cd9ec132cfd447541c8984dc53d30aff0f4fb2dc92d254d49275cc55976</x:v>
      </x:c>
      <x:c r="Z694" s="2" t="n">
        <x:f>SUBTOTAL(103,A694)</x:f>
        <x:v>1</x:v>
      </x:c>
      <x:c r="AA694" s="2" t="str">
        <x:f>IF(K694&lt;&gt;"미종결 표시","대상 아님",IF(N694="","신청일 확인",IF(NOT(ISNUMBER('종합 현황'!$H$5)),"관찰기준 확인",IF('종합 현황'!$H$5&lt;1,"관찰기준 확인",IF(N694&gt;'종합 현황'!$H$5,"내부 관찰 대상","내부 관찰일 이하")))))</x:f>
        <x:v>내부 관찰 대상</x:v>
      </x:c>
      <x:c r="AB694" s="2"/>
    </x:row>
    <x:row r="695" ht="42" customHeight="1">
      <x:c r="A695" s="2" t="str">
        <x:v>6666e8ba6e4b2bba59b150d3</x:v>
      </x:c>
      <x:c r="B695" s="2" t="str">
        <x:v>사업 평가</x:v>
      </x:c>
      <x:c r="C695" s="2" t="str">
        <x:v>국내</x:v>
      </x:c>
      <x:c r="D695" s="7" t="str">
        <x:v>우정건설(주) 연료전환(B-C유 → LPG)을 통한 온실가스 배출 감축사업</x:v>
      </x:c>
      <x:c r="E695" s="2" t="str">
        <x:v>556</x:v>
      </x:c>
      <x:c r="F695" s="2" t="str">
        <x:v>2020-10-27</x:v>
      </x:c>
      <x:c r="G695" s="2" t="str">
        <x:v>2020</x:v>
      </x:c>
      <x:c r="H695" s="2" t="str">
        <x:v>10</x:v>
      </x:c>
      <x:c r="I695" s="2" t="str">
        <x:v>반려</x:v>
      </x:c>
      <x:c r="J695" s="2" t="str">
        <x:v>반려</x:v>
      </x:c>
      <x:c r="K695" s="2" t="str">
        <x:f>IF(OR(J695="심의승인",J695="반려",J695="반려완료",J695="심의완료"),"종결 표시",IF(OR(J695="기후부협의",J695="문서재제출요청",J695="보류",J695="보완요청",J695="보완완료",J695="평가중",J695="반려요청",J695="평가필요",LEFT(J695,5)="보완요청("),"미종결 표시","상태 확인 필요"))</x:f>
        <x:v>종결 표시</x:v>
      </x:c>
      <x:c r="L695" s="2" t="str">
        <x:v>KECM</x:v>
      </x:c>
      <x:c r="M695" s="2"/>
      <x:c r="N695" s="8" t="n">
        <x:f>DATE(2026,10,15)-DATE(2020,10,27)</x:f>
        <x:v>2179</x:v>
      </x:c>
      <x:c r="O695" s="2"/>
      <x:c r="P695" s="2"/>
      <x:c r="Q695" s="2" t="str">
        <x:v>산업전환_외부사업관리Tool_260707_이너젠 수정_LJY_261013.xlsx</x:v>
      </x:c>
      <x:c r="R695" s="2" t="str">
        <x:v>국내평가</x:v>
      </x:c>
      <x:c r="S695" s="8" t="n">
        <x:v>598</x:v>
      </x:c>
      <x:c r="T695" s="2" t="str">
        <x:v>(7/12),(9/14)</x:v>
      </x:c>
      <x:c r="U695" s="2" t="str">
        <x:v>2021 배정: (7/12),(9/14) / 2023 배정: 2023년 처리</x:v>
      </x:c>
      <x:c r="V695" s="2" t="str">
        <x:v>2026-02-06</x:v>
      </x:c>
      <x:c r="W695" s="2" t="str"/>
      <x:c r="X695" s="2" t="str">
        <x:v>종결 근거 보관</x:v>
      </x:c>
      <x:c r="Y695" s="2" t="str">
        <x:v>ad210cd9ec132cfd447541c8984dc53d30aff0f4fb2dc92d254d49275cc55976</x:v>
      </x:c>
      <x:c r="Z695" s="2" t="n">
        <x:f>SUBTOTAL(103,A695)</x:f>
        <x:v>1</x:v>
      </x:c>
      <x:c r="AA695" s="2" t="str">
        <x:f>IF(K695&lt;&gt;"미종결 표시","대상 아님",IF(N695="","신청일 확인",IF(NOT(ISNUMBER('종합 현황'!$H$5)),"관찰기준 확인",IF('종합 현황'!$H$5&lt;1,"관찰기준 확인",IF(N695&gt;'종합 현황'!$H$5,"내부 관찰 대상","내부 관찰일 이하")))))</x:f>
        <x:v>대상 아님</x:v>
      </x:c>
      <x:c r="AB695" s="2"/>
    </x:row>
    <x:row r="696" ht="42" customHeight="1">
      <x:c r="A696" s="2" t="str">
        <x:v>08550ef444f13a2b94c24efe</x:v>
      </x:c>
      <x:c r="B696" s="2" t="str">
        <x:v>사업 평가</x:v>
      </x:c>
      <x:c r="C696" s="2" t="str">
        <x:v>국내</x:v>
      </x:c>
      <x:c r="D696" s="7" t="str">
        <x:v>우광산업(주) 연료전환(B-C유 → LPG)을 통한 온실가스 배출 감축사업</x:v>
      </x:c>
      <x:c r="E696" s="2" t="str">
        <x:v>557</x:v>
      </x:c>
      <x:c r="F696" s="2" t="str">
        <x:v>2020-11-09</x:v>
      </x:c>
      <x:c r="G696" s="2" t="str">
        <x:v>2020</x:v>
      </x:c>
      <x:c r="H696" s="2" t="str">
        <x:v>11</x:v>
      </x:c>
      <x:c r="I696" s="2" t="str">
        <x:v>반려</x:v>
      </x:c>
      <x:c r="J696" s="2" t="str">
        <x:v>반려</x:v>
      </x:c>
      <x:c r="K696" s="2" t="str">
        <x:f>IF(OR(J696="심의승인",J696="반려",J696="반려완료",J696="심의완료"),"종결 표시",IF(OR(J696="기후부협의",J696="문서재제출요청",J696="보류",J696="보완요청",J696="보완완료",J696="평가중",J696="반려요청",J696="평가필요",LEFT(J696,5)="보완요청("),"미종결 표시","상태 확인 필요"))</x:f>
        <x:v>종결 표시</x:v>
      </x:c>
      <x:c r="L696" s="2" t="str">
        <x:v>KECM</x:v>
      </x:c>
      <x:c r="M696" s="2"/>
      <x:c r="N696" s="8" t="n">
        <x:f>DATE(2026,10,15)-DATE(2020,11,9)</x:f>
        <x:v>2166</x:v>
      </x:c>
      <x:c r="O696" s="2"/>
      <x:c r="P696" s="2"/>
      <x:c r="Q696" s="2" t="str">
        <x:v>산업전환_외부사업관리Tool_260707_이너젠 수정_LJY_261013.xlsx</x:v>
      </x:c>
      <x:c r="R696" s="2" t="str">
        <x:v>국내평가</x:v>
      </x:c>
      <x:c r="S696" s="8" t="n">
        <x:v>599</x:v>
      </x:c>
      <x:c r="T696" s="2" t="str">
        <x:v>(7/12),(9/14)</x:v>
      </x:c>
      <x:c r="U696" s="2" t="str">
        <x:v>2021 배정: (7/12),(9/14) / 2025 배정: 2025년 처리</x:v>
      </x:c>
      <x:c r="V696" s="2" t="str">
        <x:v>2026-02-06</x:v>
      </x:c>
      <x:c r="W696" s="2" t="str"/>
      <x:c r="X696" s="2" t="str">
        <x:v>종결 근거 보관</x:v>
      </x:c>
      <x:c r="Y696" s="2" t="str">
        <x:v>ad210cd9ec132cfd447541c8984dc53d30aff0f4fb2dc92d254d49275cc55976</x:v>
      </x:c>
      <x:c r="Z696" s="2" t="n">
        <x:f>SUBTOTAL(103,A696)</x:f>
        <x:v>1</x:v>
      </x:c>
      <x:c r="AA696" s="2" t="str">
        <x:f>IF(K696&lt;&gt;"미종결 표시","대상 아님",IF(N696="","신청일 확인",IF(NOT(ISNUMBER('종합 현황'!$H$5)),"관찰기준 확인",IF('종합 현황'!$H$5&lt;1,"관찰기준 확인",IF(N696&gt;'종합 현황'!$H$5,"내부 관찰 대상","내부 관찰일 이하")))))</x:f>
        <x:v>대상 아님</x:v>
      </x:c>
      <x:c r="AB696" s="2"/>
    </x:row>
    <x:row r="697" ht="42" customHeight="1">
      <x:c r="A697" s="2" t="str">
        <x:v>2ec708033aa40978d03ba18c</x:v>
      </x:c>
      <x:c r="B697" s="2" t="str">
        <x:v>사업 평가</x:v>
      </x:c>
      <x:c r="C697" s="2" t="str">
        <x:v>국내</x:v>
      </x:c>
      <x:c r="D697" s="7" t="str">
        <x:v>윤성아스콘 버너 연료전환(B-C유-&gt;LNG) 온실가스 감축사업</x:v>
      </x:c>
      <x:c r="E697" s="2" t="str">
        <x:v>558</x:v>
      </x:c>
      <x:c r="F697" s="2" t="str">
        <x:v>2020-06-09</x:v>
      </x:c>
      <x:c r="G697" s="2" t="str">
        <x:v>2020</x:v>
      </x:c>
      <x:c r="H697" s="2" t="str">
        <x:v>06</x:v>
      </x:c>
      <x:c r="I697" s="2" t="str">
        <x:v>승인</x:v>
      </x:c>
      <x:c r="J697" s="2" t="str">
        <x:v>심의승인</x:v>
      </x:c>
      <x:c r="K697" s="2" t="str">
        <x:f>IF(OR(J697="심의승인",J697="반려",J697="반려완료",J697="심의완료"),"종결 표시",IF(OR(J697="기후부협의",J697="문서재제출요청",J697="보류",J697="보완요청",J697="보완완료",J697="평가중",J697="반려요청",J697="평가필요",LEFT(J697,5)="보완요청("),"미종결 표시","상태 확인 필요"))</x:f>
        <x:v>종결 표시</x:v>
      </x:c>
      <x:c r="L697" s="2" t="str">
        <x:v>에코시안_오경환, 조혜민</x:v>
      </x:c>
      <x:c r="M697" s="2"/>
      <x:c r="N697" s="8" t="n">
        <x:f>DATE(2026,10,15)-DATE(2020,6,9)</x:f>
        <x:v>2319</x:v>
      </x:c>
      <x:c r="O697" s="2" t="str">
        <x:v>O(6월)</x:v>
      </x:c>
      <x:c r="P697" s="2"/>
      <x:c r="Q697" s="2" t="str">
        <x:v>산업전환_외부사업관리Tool_260707_이너젠 수정_LJY_261013.xlsx</x:v>
      </x:c>
      <x:c r="R697" s="2" t="str">
        <x:v>국내평가</x:v>
      </x:c>
      <x:c r="S697" s="8" t="n">
        <x:v>600</x:v>
      </x:c>
      <x:c r="T697" s="2" t="str">
        <x:v>(5/7),(6/18),(7/12),(9/1),(12/1)</x:v>
      </x:c>
      <x:c r="U697" s="2" t="str">
        <x:v>2021 배정: (5/7),(6/18),(7/12),(9/1),(12/1) / 2022 배정: (1/18),(3/16)</x:v>
      </x:c>
      <x:c r="V697" s="2" t="str">
        <x:v>2023-05-22</x:v>
      </x:c>
      <x:c r="W697" s="2" t="str"/>
      <x:c r="X697" s="2" t="str">
        <x:v>종결 근거 보관</x:v>
      </x:c>
      <x:c r="Y697" s="2" t="str">
        <x:v>ad210cd9ec132cfd447541c8984dc53d30aff0f4fb2dc92d254d49275cc55976</x:v>
      </x:c>
      <x:c r="Z697" s="2" t="n">
        <x:f>SUBTOTAL(103,A697)</x:f>
        <x:v>1</x:v>
      </x:c>
      <x:c r="AA697" s="2" t="str">
        <x:f>IF(K697&lt;&gt;"미종결 표시","대상 아님",IF(N697="","신청일 확인",IF(NOT(ISNUMBER('종합 현황'!$H$5)),"관찰기준 확인",IF('종합 현황'!$H$5&lt;1,"관찰기준 확인",IF(N697&gt;'종합 현황'!$H$5,"내부 관찰 대상","내부 관찰일 이하")))))</x:f>
        <x:v>대상 아님</x:v>
      </x:c>
      <x:c r="AB697" s="2"/>
    </x:row>
    <x:row r="698" ht="42" customHeight="1">
      <x:c r="A698" s="2" t="str">
        <x:v>ca76031e269f115d41b585b8</x:v>
      </x:c>
      <x:c r="B698" s="2" t="str">
        <x:v>사업 평가</x:v>
      </x:c>
      <x:c r="C698" s="2" t="str">
        <x:v>국내</x:v>
      </x:c>
      <x:c r="D698" s="7" t="str">
        <x:v>(주)제일기업 연료전환(B-C유 → LPG)을 통한 온실가스 배출 감축사업</x:v>
      </x:c>
      <x:c r="E698" s="2" t="str">
        <x:v>559</x:v>
      </x:c>
      <x:c r="F698" s="2" t="str">
        <x:v>2020-11-10</x:v>
      </x:c>
      <x:c r="G698" s="2" t="str">
        <x:v>2020</x:v>
      </x:c>
      <x:c r="H698" s="2" t="str">
        <x:v>11</x:v>
      </x:c>
      <x:c r="I698" s="2" t="str">
        <x:v>협의검토중</x:v>
      </x:c>
      <x:c r="J698" s="2" t="str">
        <x:v>평가중</x:v>
      </x:c>
      <x:c r="K698" s="2" t="str">
        <x:f>IF(OR(J698="심의승인",J698="반려",J698="반려완료",J698="심의완료"),"종결 표시",IF(OR(J698="기후부협의",J698="문서재제출요청",J698="보류",J698="보완요청",J698="보완완료",J698="평가중",J698="반려요청",J698="평가필요",LEFT(J698,5)="보완요청("),"미종결 표시","상태 확인 필요"))</x:f>
        <x:v>미종결 표시</x:v>
      </x:c>
      <x:c r="L698" s="2" t="str">
        <x:v>KECM</x:v>
      </x:c>
      <x:c r="M698" s="2"/>
      <x:c r="N698" s="8" t="n">
        <x:f>DATE(2026,10,15)-DATE(2020,11,10)</x:f>
        <x:v>2165</x:v>
      </x:c>
      <x:c r="O698" s="2" t="str">
        <x:v>생략</x:v>
      </x:c>
      <x:c r="P698" s="2"/>
      <x:c r="Q698" s="2" t="str">
        <x:v>산업전환_외부사업관리Tool_260707_이너젠 수정_LJY_261013.xlsx</x:v>
      </x:c>
      <x:c r="R698" s="2" t="str">
        <x:v>국내평가</x:v>
      </x:c>
      <x:c r="S698" s="8" t="n">
        <x:v>601</x:v>
      </x:c>
      <x:c r="T698" s="2" t="str">
        <x:v>(7/12),(9/14)</x:v>
      </x:c>
      <x:c r="U698" s="2" t="str">
        <x:v>2021 배정: (7/12),(9/14) / 2025 배정: (5/30),(9/16),(12/1) / 2026(사전): (1/14),(2/26),(4/9),(5/26),(6/16)</x:v>
      </x:c>
      <x:c r="V698" s="2" t="str">
        <x:v>2026-09-07</x:v>
      </x:c>
      <x:c r="W698" s="2" t="str"/>
      <x:c r="X698" s="2" t="str">
        <x:v>검토 진행 일정 확인</x:v>
      </x:c>
      <x:c r="Y698" s="2" t="str">
        <x:v>ad210cd9ec132cfd447541c8984dc53d30aff0f4fb2dc92d254d49275cc55976</x:v>
      </x:c>
      <x:c r="Z698" s="2" t="n">
        <x:f>SUBTOTAL(103,A698)</x:f>
        <x:v>1</x:v>
      </x:c>
      <x:c r="AA698" s="2" t="str">
        <x:f>IF(K698&lt;&gt;"미종결 표시","대상 아님",IF(N698="","신청일 확인",IF(NOT(ISNUMBER('종합 현황'!$H$5)),"관찰기준 확인",IF('종합 현황'!$H$5&lt;1,"관찰기준 확인",IF(N698&gt;'종합 현황'!$H$5,"내부 관찰 대상","내부 관찰일 이하")))))</x:f>
        <x:v>내부 관찰 대상</x:v>
      </x:c>
      <x:c r="AB698" s="2"/>
    </x:row>
    <x:row r="699" ht="42" customHeight="1">
      <x:c r="A699" s="2" t="str">
        <x:v>ba9a52562aab288d504c3b3e</x:v>
      </x:c>
      <x:c r="B699" s="2" t="str">
        <x:v>사업 평가</x:v>
      </x:c>
      <x:c r="C699" s="2" t="str">
        <x:v>국내</x:v>
      </x:c>
      <x:c r="D699" s="7" t="str">
        <x:v>대성골재(주) 아스콘지점 연료전환(B-C유 → LPG)을 통한 온실가스 배출 감축사업</x:v>
      </x:c>
      <x:c r="E699" s="2" t="str">
        <x:v>560</x:v>
      </x:c>
      <x:c r="F699" s="2" t="str">
        <x:v>2020-10-06</x:v>
      </x:c>
      <x:c r="G699" s="2" t="str">
        <x:v>2020</x:v>
      </x:c>
      <x:c r="H699" s="2" t="str">
        <x:v>10</x:v>
      </x:c>
      <x:c r="I699" s="2" t="str">
        <x:v>승인</x:v>
      </x:c>
      <x:c r="J699" s="2" t="str">
        <x:v>심의승인</x:v>
      </x:c>
      <x:c r="K699" s="2" t="str">
        <x:f>IF(OR(J699="심의승인",J699="반려",J699="반려완료",J699="심의완료"),"종결 표시",IF(OR(J699="기후부협의",J699="문서재제출요청",J699="보류",J699="보완요청",J699="보완완료",J699="평가중",J699="반려요청",J699="평가필요",LEFT(J699,5)="보완요청("),"미종결 표시","상태 확인 필요"))</x:f>
        <x:v>종결 표시</x:v>
      </x:c>
      <x:c r="L699" s="2" t="str">
        <x:v>KECM_이정우</x:v>
      </x:c>
      <x:c r="M699" s="2"/>
      <x:c r="N699" s="8" t="n">
        <x:f>DATE(2026,10,15)-DATE(2020,10,6)</x:f>
        <x:v>2200</x:v>
      </x:c>
      <x:c r="O699" s="2" t="str">
        <x:v>O(21.05)</x:v>
      </x:c>
      <x:c r="P699" s="2"/>
      <x:c r="Q699" s="2" t="str">
        <x:v>산업전환_외부사업관리Tool_260707_이너젠 수정_LJY_261013.xlsx</x:v>
      </x:c>
      <x:c r="R699" s="2" t="str">
        <x:v>국내평가</x:v>
      </x:c>
      <x:c r="S699" s="8" t="n">
        <x:v>602</x:v>
      </x:c>
      <x:c r="T699" s="2" t="str">
        <x:v>(4/23),(9/14)</x:v>
      </x:c>
      <x:c r="U699" s="2" t="str">
        <x:v>2021 배정: (4/23),(9/14) / 2025 배정: (5/30),(8/8),(11/10),(12/1) / 2026(사전): (2/26),(3/19),(5/26)</x:v>
      </x:c>
      <x:c r="V699" s="2" t="str">
        <x:v>2026-09-08</x:v>
      </x:c>
      <x:c r="W699" s="2" t="str"/>
      <x:c r="X699" s="2" t="str">
        <x:v>종결 근거 보관</x:v>
      </x:c>
      <x:c r="Y699" s="2" t="str">
        <x:v>ad210cd9ec132cfd447541c8984dc53d30aff0f4fb2dc92d254d49275cc55976</x:v>
      </x:c>
      <x:c r="Z699" s="2" t="n">
        <x:f>SUBTOTAL(103,A699)</x:f>
        <x:v>1</x:v>
      </x:c>
      <x:c r="AA699" s="2" t="str">
        <x:f>IF(K699&lt;&gt;"미종결 표시","대상 아님",IF(N699="","신청일 확인",IF(NOT(ISNUMBER('종합 현황'!$H$5)),"관찰기준 확인",IF('종합 현황'!$H$5&lt;1,"관찰기준 확인",IF(N699&gt;'종합 현황'!$H$5,"내부 관찰 대상","내부 관찰일 이하")))))</x:f>
        <x:v>대상 아님</x:v>
      </x:c>
      <x:c r="AB699" s="2"/>
    </x:row>
    <x:row r="700" ht="42" customHeight="1">
      <x:c r="A700" s="2" t="str">
        <x:v>ae7ccf07c6613853d0c263cd</x:v>
      </x:c>
      <x:c r="B700" s="2" t="str">
        <x:v>사업 평가</x:v>
      </x:c>
      <x:c r="C700" s="2" t="str">
        <x:v>국내</x:v>
      </x:c>
      <x:c r="D700" s="7" t="str">
        <x:v>㈜금성인슈텍 스팀보일러의 연료교체(B-C유 →LNG)를 통한 온실가스(CO2)배출 감축사업</x:v>
      </x:c>
      <x:c r="E700" s="2" t="str">
        <x:v>561</x:v>
      </x:c>
      <x:c r="F700" s="2" t="str">
        <x:v>2020-09-28</x:v>
      </x:c>
      <x:c r="G700" s="2" t="str">
        <x:v>2020</x:v>
      </x:c>
      <x:c r="H700" s="2" t="str">
        <x:v>09</x:v>
      </x:c>
      <x:c r="I700" s="2" t="str">
        <x:v>반려</x:v>
      </x:c>
      <x:c r="J700" s="2" t="str">
        <x:v>반려</x:v>
      </x:c>
      <x:c r="K700" s="2" t="str">
        <x:f>IF(OR(J700="심의승인",J700="반려",J700="반려완료",J700="심의완료"),"종결 표시",IF(OR(J700="기후부협의",J700="문서재제출요청",J700="보류",J700="보완요청",J700="보완완료",J700="평가중",J700="반려요청",J700="평가필요",LEFT(J700,5)="보완요청("),"미종결 표시","상태 확인 필요"))</x:f>
        <x:v>종결 표시</x:v>
      </x:c>
      <x:c r="L700" s="2"/>
      <x:c r="M700" s="2"/>
      <x:c r="N700" s="8" t="n">
        <x:f>DATE(2026,10,15)-DATE(2020,9,28)</x:f>
        <x:v>2208</x:v>
      </x:c>
      <x:c r="O700" s="2"/>
      <x:c r="P700" s="2"/>
      <x:c r="Q700" s="2" t="str">
        <x:v>산업전환_외부사업관리Tool_260707_이너젠 수정_LJY_261013.xlsx</x:v>
      </x:c>
      <x:c r="R700" s="2" t="str">
        <x:v>국내평가</x:v>
      </x:c>
      <x:c r="S700" s="8" t="n">
        <x:v>603</x:v>
      </x:c>
      <x:c r="T700" s="2" t="str">
        <x:v>2021년 처리</x:v>
      </x:c>
      <x:c r="U700" s="2" t="str">
        <x:v>2021 배정: 2021년 처리</x:v>
      </x:c>
      <x:c r="V700" s="2" t="str">
        <x:v>2021-07-21</x:v>
      </x:c>
      <x:c r="W700" s="2" t="str">
        <x:v>담당기관 확인</x:v>
      </x:c>
      <x:c r="X700" s="2" t="str">
        <x:v>원본·배정 기록 확인</x:v>
      </x:c>
      <x:c r="Y700" s="2" t="str">
        <x:v>ad210cd9ec132cfd447541c8984dc53d30aff0f4fb2dc92d254d49275cc55976</x:v>
      </x:c>
      <x:c r="Z700" s="2" t="n">
        <x:f>SUBTOTAL(103,A700)</x:f>
        <x:v>1</x:v>
      </x:c>
      <x:c r="AA700" s="2" t="str">
        <x:f>IF(K700&lt;&gt;"미종결 표시","대상 아님",IF(N700="","신청일 확인",IF(NOT(ISNUMBER('종합 현황'!$H$5)),"관찰기준 확인",IF('종합 현황'!$H$5&lt;1,"관찰기준 확인",IF(N700&gt;'종합 현황'!$H$5,"내부 관찰 대상","내부 관찰일 이하")))))</x:f>
        <x:v>대상 아님</x:v>
      </x:c>
      <x:c r="AB700" s="2"/>
    </x:row>
    <x:row r="701" ht="42" customHeight="1">
      <x:c r="A701" s="2" t="str">
        <x:v>f892010f17df23e45b3a179e</x:v>
      </x:c>
      <x:c r="B701" s="2" t="str">
        <x:v>사업 평가</x:v>
      </x:c>
      <x:c r="C701" s="2" t="str">
        <x:v>국내</x:v>
      </x:c>
      <x:c r="D701" s="7" t="str">
        <x:v>(주)금광특수아스콘 연료전환(B-C유 및 정제유 →  LPG)을 통한 온실가스 배출 감축사업</x:v>
      </x:c>
      <x:c r="E701" s="2" t="str">
        <x:v>562</x:v>
      </x:c>
      <x:c r="F701" s="2" t="str">
        <x:v>2020-10-07</x:v>
      </x:c>
      <x:c r="G701" s="2" t="str">
        <x:v>2020</x:v>
      </x:c>
      <x:c r="H701" s="2" t="str">
        <x:v>10</x:v>
      </x:c>
      <x:c r="I701" s="2" t="str">
        <x:v>보완2차_문서보완중</x:v>
      </x:c>
      <x:c r="J701" s="2" t="str">
        <x:v>보류</x:v>
      </x:c>
      <x:c r="K701" s="2" t="str">
        <x:f>IF(OR(J701="심의승인",J701="반려",J701="반려완료",J701="심의완료"),"종결 표시",IF(OR(J701="기후부협의",J701="문서재제출요청",J701="보류",J701="보완요청",J701="보완완료",J701="평가중",J701="반려요청",J701="평가필요",LEFT(J701,5)="보완요청("),"미종결 표시","상태 확인 필요"))</x:f>
        <x:v>미종결 표시</x:v>
      </x:c>
      <x:c r="L701" s="2" t="str">
        <x:v>KECM</x:v>
      </x:c>
      <x:c r="M701" s="2" t="n">
        <x:v>2</x:v>
      </x:c>
      <x:c r="N701" s="8" t="n">
        <x:f>DATE(2026,10,15)-DATE(2020,10,7)</x:f>
        <x:v>2199</x:v>
      </x:c>
      <x:c r="O701" s="2" t="str">
        <x:v>O(21.04)</x:v>
      </x:c>
      <x:c r="P701" s="2" t="str">
        <x:v>LPG 계측기 X, 방법론 개정으로 재신청 필요</x:v>
      </x:c>
      <x:c r="Q701" s="2" t="str">
        <x:v>산업전환_외부사업관리Tool_260707_이너젠 수정_LJY_261013.xlsx</x:v>
      </x:c>
      <x:c r="R701" s="2" t="str">
        <x:v>국내평가</x:v>
      </x:c>
      <x:c r="S701" s="8" t="n">
        <x:v>604</x:v>
      </x:c>
      <x:c r="T701" s="2" t="str">
        <x:v>(9/14)</x:v>
      </x:c>
      <x:c r="U701" s="2" t="str">
        <x:v>2021 배정: (9/14)</x:v>
      </x:c>
      <x:c r="V701" s="2" t="str">
        <x:v>2021-11-03</x:v>
      </x:c>
      <x:c r="W701" s="2" t="str"/>
      <x:c r="X701" s="2" t="str">
        <x:v>검토 진행 일정 확인</x:v>
      </x:c>
      <x:c r="Y701" s="2" t="str">
        <x:v>ad210cd9ec132cfd447541c8984dc53d30aff0f4fb2dc92d254d49275cc55976</x:v>
      </x:c>
      <x:c r="Z701" s="2" t="n">
        <x:f>SUBTOTAL(103,A701)</x:f>
        <x:v>1</x:v>
      </x:c>
      <x:c r="AA701" s="2" t="str">
        <x:f>IF(K701&lt;&gt;"미종결 표시","대상 아님",IF(N701="","신청일 확인",IF(NOT(ISNUMBER('종합 현황'!$H$5)),"관찰기준 확인",IF('종합 현황'!$H$5&lt;1,"관찰기준 확인",IF(N701&gt;'종합 현황'!$H$5,"내부 관찰 대상","내부 관찰일 이하")))))</x:f>
        <x:v>내부 관찰 대상</x:v>
      </x:c>
      <x:c r="AB701" s="2"/>
    </x:row>
    <x:row r="702" ht="42" customHeight="1">
      <x:c r="A702" s="2" t="str">
        <x:v>7d11db09d74ad63c0ecdd9ac</x:v>
      </x:c>
      <x:c r="B702" s="2" t="str">
        <x:v>사업 평가</x:v>
      </x:c>
      <x:c r="C702" s="2" t="str">
        <x:v>국내</x:v>
      </x:c>
      <x:c r="D702" s="7" t="str">
        <x:v>청운보육원 태양광발전 자가사용 감축사업</x:v>
      </x:c>
      <x:c r="E702" s="2" t="str">
        <x:v>563</x:v>
      </x:c>
      <x:c r="F702" s="2" t="str">
        <x:v>2020-06-12</x:v>
      </x:c>
      <x:c r="G702" s="2" t="str">
        <x:v>2020</x:v>
      </x:c>
      <x:c r="H702" s="2" t="str">
        <x:v>06</x:v>
      </x:c>
      <x:c r="I702" s="2" t="str">
        <x:v>승인</x:v>
      </x:c>
      <x:c r="J702" s="2" t="str">
        <x:v>심의승인</x:v>
      </x:c>
      <x:c r="K702" s="2" t="str">
        <x:f>IF(OR(J702="심의승인",J702="반려",J702="반려완료",J702="심의완료"),"종결 표시",IF(OR(J702="기후부협의",J702="문서재제출요청",J702="보류",J702="보완요청",J702="보완완료",J702="평가중",J702="반려요청",J702="평가필요",LEFT(J702,5)="보완요청("),"미종결 표시","상태 확인 필요"))</x:f>
        <x:v>종결 표시</x:v>
      </x:c>
      <x:c r="L702" s="2"/>
      <x:c r="M702" s="2"/>
      <x:c r="N702" s="8" t="n">
        <x:f>DATE(2026,10,15)-DATE(2020,6,12)</x:f>
        <x:v>2316</x:v>
      </x:c>
      <x:c r="O702" s="2"/>
      <x:c r="P702" s="2"/>
      <x:c r="Q702" s="2" t="str">
        <x:v>산업전환_외부사업관리Tool_260707_이너젠 수정_LJY_261013.xlsx</x:v>
      </x:c>
      <x:c r="R702" s="2" t="str">
        <x:v>국내평가</x:v>
      </x:c>
      <x:c r="S702" s="8" t="n">
        <x:v>605</x:v>
      </x:c>
      <x:c r="T702" s="2" t="str">
        <x:v>2021년 처리</x:v>
      </x:c>
      <x:c r="U702" s="2" t="str">
        <x:v>2021 배정: 2021년 처리</x:v>
      </x:c>
      <x:c r="V702" s="2" t="str">
        <x:v>2021-09-27</x:v>
      </x:c>
      <x:c r="W702" s="2" t="str">
        <x:v>담당기관 확인</x:v>
      </x:c>
      <x:c r="X702" s="2" t="str">
        <x:v>원본·배정 기록 확인</x:v>
      </x:c>
      <x:c r="Y702" s="2" t="str">
        <x:v>ad210cd9ec132cfd447541c8984dc53d30aff0f4fb2dc92d254d49275cc55976</x:v>
      </x:c>
      <x:c r="Z702" s="2" t="n">
        <x:f>SUBTOTAL(103,A702)</x:f>
        <x:v>1</x:v>
      </x:c>
      <x:c r="AA702" s="2" t="str">
        <x:f>IF(K702&lt;&gt;"미종결 표시","대상 아님",IF(N702="","신청일 확인",IF(NOT(ISNUMBER('종합 현황'!$H$5)),"관찰기준 확인",IF('종합 현황'!$H$5&lt;1,"관찰기준 확인",IF(N702&gt;'종합 현황'!$H$5,"내부 관찰 대상","내부 관찰일 이하")))))</x:f>
        <x:v>대상 아님</x:v>
      </x:c>
      <x:c r="AB702" s="2"/>
    </x:row>
    <x:row r="703" ht="42" customHeight="1">
      <x:c r="A703" s="2" t="str">
        <x:v>cb4724c7a170ac1997cb390d</x:v>
      </x:c>
      <x:c r="B703" s="2" t="str">
        <x:v>사업 평가</x:v>
      </x:c>
      <x:c r="C703" s="2" t="str">
        <x:v>국내</x:v>
      </x:c>
      <x:c r="D703" s="7" t="str">
        <x:v>남산원 태양광발전 자가사용 감축사업</x:v>
      </x:c>
      <x:c r="E703" s="2" t="str">
        <x:v>564</x:v>
      </x:c>
      <x:c r="F703" s="2" t="str">
        <x:v>2020-06-12</x:v>
      </x:c>
      <x:c r="G703" s="2" t="str">
        <x:v>2020</x:v>
      </x:c>
      <x:c r="H703" s="2" t="str">
        <x:v>06</x:v>
      </x:c>
      <x:c r="I703" s="2" t="str">
        <x:v>승인</x:v>
      </x:c>
      <x:c r="J703" s="2" t="str">
        <x:v>심의승인</x:v>
      </x:c>
      <x:c r="K703" s="2" t="str">
        <x:f>IF(OR(J703="심의승인",J703="반려",J703="반려완료",J703="심의완료"),"종결 표시",IF(OR(J703="기후부협의",J703="문서재제출요청",J703="보류",J703="보완요청",J703="보완완료",J703="평가중",J703="반려요청",J703="평가필요",LEFT(J703,5)="보완요청("),"미종결 표시","상태 확인 필요"))</x:f>
        <x:v>종결 표시</x:v>
      </x:c>
      <x:c r="L703" s="2"/>
      <x:c r="M703" s="2"/>
      <x:c r="N703" s="8" t="n">
        <x:f>DATE(2026,10,15)-DATE(2020,6,12)</x:f>
        <x:v>2316</x:v>
      </x:c>
      <x:c r="O703" s="2"/>
      <x:c r="P703" s="2"/>
      <x:c r="Q703" s="2" t="str">
        <x:v>산업전환_외부사업관리Tool_260707_이너젠 수정_LJY_261013.xlsx</x:v>
      </x:c>
      <x:c r="R703" s="2" t="str">
        <x:v>국내평가</x:v>
      </x:c>
      <x:c r="S703" s="8" t="n">
        <x:v>606</x:v>
      </x:c>
      <x:c r="T703" s="2" t="str">
        <x:v>2021년 처리</x:v>
      </x:c>
      <x:c r="U703" s="2" t="str">
        <x:v>2021 배정: 2021년 처리</x:v>
      </x:c>
      <x:c r="V703" s="2" t="str">
        <x:v>2021-09-27</x:v>
      </x:c>
      <x:c r="W703" s="2" t="str">
        <x:v>담당기관 확인</x:v>
      </x:c>
      <x:c r="X703" s="2" t="str">
        <x:v>원본·배정 기록 확인</x:v>
      </x:c>
      <x:c r="Y703" s="2" t="str">
        <x:v>ad210cd9ec132cfd447541c8984dc53d30aff0f4fb2dc92d254d49275cc55976</x:v>
      </x:c>
      <x:c r="Z703" s="2" t="n">
        <x:f>SUBTOTAL(103,A703)</x:f>
        <x:v>1</x:v>
      </x:c>
      <x:c r="AA703" s="2" t="str">
        <x:f>IF(K703&lt;&gt;"미종결 표시","대상 아님",IF(N703="","신청일 확인",IF(NOT(ISNUMBER('종합 현황'!$H$5)),"관찰기준 확인",IF('종합 현황'!$H$5&lt;1,"관찰기준 확인",IF(N703&gt;'종합 현황'!$H$5,"내부 관찰 대상","내부 관찰일 이하")))))</x:f>
        <x:v>대상 아님</x:v>
      </x:c>
      <x:c r="AB703" s="2"/>
    </x:row>
    <x:row r="704" ht="42" customHeight="1">
      <x:c r="A704" s="2" t="str">
        <x:v>6fa86b4d600dd0e74785b6ae</x:v>
      </x:c>
      <x:c r="B704" s="2" t="str">
        <x:v>사업 평가</x:v>
      </x:c>
      <x:c r="C704" s="2" t="str">
        <x:v>국내</x:v>
      </x:c>
      <x:c r="D704" s="7" t="str">
        <x:v>돈보스코자립생활관 태양광발전 자가사용 감축사업</x:v>
      </x:c>
      <x:c r="E704" s="2" t="str">
        <x:v>565</x:v>
      </x:c>
      <x:c r="F704" s="2" t="str">
        <x:v>2020-06-12</x:v>
      </x:c>
      <x:c r="G704" s="2" t="str">
        <x:v>2020</x:v>
      </x:c>
      <x:c r="H704" s="2" t="str">
        <x:v>06</x:v>
      </x:c>
      <x:c r="I704" s="2" t="str">
        <x:v>승인</x:v>
      </x:c>
      <x:c r="J704" s="2" t="str">
        <x:v>심의승인</x:v>
      </x:c>
      <x:c r="K704" s="2" t="str">
        <x:f>IF(OR(J704="심의승인",J704="반려",J704="반려완료",J704="심의완료"),"종결 표시",IF(OR(J704="기후부협의",J704="문서재제출요청",J704="보류",J704="보완요청",J704="보완완료",J704="평가중",J704="반려요청",J704="평가필요",LEFT(J704,5)="보완요청("),"미종결 표시","상태 확인 필요"))</x:f>
        <x:v>종결 표시</x:v>
      </x:c>
      <x:c r="L704" s="2"/>
      <x:c r="M704" s="2"/>
      <x:c r="N704" s="8" t="n">
        <x:f>DATE(2026,10,15)-DATE(2020,6,12)</x:f>
        <x:v>2316</x:v>
      </x:c>
      <x:c r="O704" s="2"/>
      <x:c r="P704" s="2"/>
      <x:c r="Q704" s="2" t="str">
        <x:v>산업전환_외부사업관리Tool_260707_이너젠 수정_LJY_261013.xlsx</x:v>
      </x:c>
      <x:c r="R704" s="2" t="str">
        <x:v>국내평가</x:v>
      </x:c>
      <x:c r="S704" s="8" t="n">
        <x:v>607</x:v>
      </x:c>
      <x:c r="T704" s="2" t="str">
        <x:v>2021년 처리</x:v>
      </x:c>
      <x:c r="U704" s="2" t="str">
        <x:v>2021 배정: 2021년 처리</x:v>
      </x:c>
      <x:c r="V704" s="2" t="str">
        <x:v>2021-09-27</x:v>
      </x:c>
      <x:c r="W704" s="2" t="str">
        <x:v>담당기관 확인</x:v>
      </x:c>
      <x:c r="X704" s="2" t="str">
        <x:v>원본·배정 기록 확인</x:v>
      </x:c>
      <x:c r="Y704" s="2" t="str">
        <x:v>ad210cd9ec132cfd447541c8984dc53d30aff0f4fb2dc92d254d49275cc55976</x:v>
      </x:c>
      <x:c r="Z704" s="2" t="n">
        <x:f>SUBTOTAL(103,A704)</x:f>
        <x:v>1</x:v>
      </x:c>
      <x:c r="AA704" s="2" t="str">
        <x:f>IF(K704&lt;&gt;"미종결 표시","대상 아님",IF(N704="","신청일 확인",IF(NOT(ISNUMBER('종합 현황'!$H$5)),"관찰기준 확인",IF('종합 현황'!$H$5&lt;1,"관찰기준 확인",IF(N704&gt;'종합 현황'!$H$5,"내부 관찰 대상","내부 관찰일 이하")))))</x:f>
        <x:v>대상 아님</x:v>
      </x:c>
      <x:c r="AB704" s="2"/>
    </x:row>
    <x:row r="705" ht="42" customHeight="1">
      <x:c r="A705" s="2" t="str">
        <x:v>43f811440f2150dc1c848ef3</x:v>
      </x:c>
      <x:c r="B705" s="2" t="str">
        <x:v>사업 평가</x:v>
      </x:c>
      <x:c r="C705" s="2" t="str">
        <x:v>국내</x:v>
      </x:c>
      <x:c r="D705" s="7" t="str">
        <x:v>성모자애드림힐 태양광발전 자가사용 감축사업</x:v>
      </x:c>
      <x:c r="E705" s="2" t="str">
        <x:v>566</x:v>
      </x:c>
      <x:c r="F705" s="2" t="str">
        <x:v>2020-06-12</x:v>
      </x:c>
      <x:c r="G705" s="2" t="str">
        <x:v>2020</x:v>
      </x:c>
      <x:c r="H705" s="2" t="str">
        <x:v>06</x:v>
      </x:c>
      <x:c r="I705" s="2" t="str">
        <x:v>승인</x:v>
      </x:c>
      <x:c r="J705" s="2" t="str">
        <x:v>심의승인</x:v>
      </x:c>
      <x:c r="K705" s="2" t="str">
        <x:f>IF(OR(J705="심의승인",J705="반려",J705="반려완료",J705="심의완료"),"종결 표시",IF(OR(J705="기후부협의",J705="문서재제출요청",J705="보류",J705="보완요청",J705="보완완료",J705="평가중",J705="반려요청",J705="평가필요",LEFT(J705,5)="보완요청("),"미종결 표시","상태 확인 필요"))</x:f>
        <x:v>종결 표시</x:v>
      </x:c>
      <x:c r="L705" s="2"/>
      <x:c r="M705" s="2"/>
      <x:c r="N705" s="8" t="n">
        <x:f>DATE(2026,10,15)-DATE(2020,6,12)</x:f>
        <x:v>2316</x:v>
      </x:c>
      <x:c r="O705" s="2"/>
      <x:c r="P705" s="2"/>
      <x:c r="Q705" s="2" t="str">
        <x:v>산업전환_외부사업관리Tool_260707_이너젠 수정_LJY_261013.xlsx</x:v>
      </x:c>
      <x:c r="R705" s="2" t="str">
        <x:v>국내평가</x:v>
      </x:c>
      <x:c r="S705" s="8" t="n">
        <x:v>608</x:v>
      </x:c>
      <x:c r="T705" s="2" t="str">
        <x:v>2021년 처리</x:v>
      </x:c>
      <x:c r="U705" s="2" t="str">
        <x:v>2021 배정: 2021년 처리</x:v>
      </x:c>
      <x:c r="V705" s="2" t="str">
        <x:v>2021-09-27</x:v>
      </x:c>
      <x:c r="W705" s="2" t="str">
        <x:v>담당기관 확인</x:v>
      </x:c>
      <x:c r="X705" s="2" t="str">
        <x:v>원본·배정 기록 확인</x:v>
      </x:c>
      <x:c r="Y705" s="2" t="str">
        <x:v>ad210cd9ec132cfd447541c8984dc53d30aff0f4fb2dc92d254d49275cc55976</x:v>
      </x:c>
      <x:c r="Z705" s="2" t="n">
        <x:f>SUBTOTAL(103,A705)</x:f>
        <x:v>1</x:v>
      </x:c>
      <x:c r="AA705" s="2" t="str">
        <x:f>IF(K705&lt;&gt;"미종결 표시","대상 아님",IF(N705="","신청일 확인",IF(NOT(ISNUMBER('종합 현황'!$H$5)),"관찰기준 확인",IF('종합 현황'!$H$5&lt;1,"관찰기준 확인",IF(N705&gt;'종합 현황'!$H$5,"내부 관찰 대상","내부 관찰일 이하")))))</x:f>
        <x:v>대상 아님</x:v>
      </x:c>
      <x:c r="AB705" s="2"/>
    </x:row>
    <x:row r="706" ht="42" customHeight="1">
      <x:c r="A706" s="2" t="str">
        <x:v>a7ab409b1a7e7926b733e483</x:v>
      </x:c>
      <x:c r="B706" s="2" t="str">
        <x:v>사업 평가</x:v>
      </x:c>
      <x:c r="C706" s="2" t="str">
        <x:v>국내</x:v>
      </x:c>
      <x:c r="D706" s="7" t="str">
        <x:v>은평재활원 태양광발전 자가사용 감축사업</x:v>
      </x:c>
      <x:c r="E706" s="2" t="str">
        <x:v>567</x:v>
      </x:c>
      <x:c r="F706" s="2" t="str">
        <x:v>2020-06-16</x:v>
      </x:c>
      <x:c r="G706" s="2" t="str">
        <x:v>2020</x:v>
      </x:c>
      <x:c r="H706" s="2" t="str">
        <x:v>06</x:v>
      </x:c>
      <x:c r="I706" s="2" t="str">
        <x:v>승인</x:v>
      </x:c>
      <x:c r="J706" s="2" t="str">
        <x:v>심의승인</x:v>
      </x:c>
      <x:c r="K706" s="2" t="str">
        <x:f>IF(OR(J706="심의승인",J706="반려",J706="반려완료",J706="심의완료"),"종결 표시",IF(OR(J706="기후부협의",J706="문서재제출요청",J706="보류",J706="보완요청",J706="보완완료",J706="평가중",J706="반려요청",J706="평가필요",LEFT(J706,5)="보완요청("),"미종결 표시","상태 확인 필요"))</x:f>
        <x:v>종결 표시</x:v>
      </x:c>
      <x:c r="L706" s="2"/>
      <x:c r="M706" s="2"/>
      <x:c r="N706" s="8" t="n">
        <x:f>DATE(2026,10,15)-DATE(2020,6,16)</x:f>
        <x:v>2312</x:v>
      </x:c>
      <x:c r="O706" s="2"/>
      <x:c r="P706" s="2"/>
      <x:c r="Q706" s="2" t="str">
        <x:v>산업전환_외부사업관리Tool_260707_이너젠 수정_LJY_261013.xlsx</x:v>
      </x:c>
      <x:c r="R706" s="2" t="str">
        <x:v>국내평가</x:v>
      </x:c>
      <x:c r="S706" s="8" t="n">
        <x:v>609</x:v>
      </x:c>
      <x:c r="T706" s="2" t="str">
        <x:v>2021년 처리</x:v>
      </x:c>
      <x:c r="U706" s="2" t="str">
        <x:v>2021 배정: 2021년 처리</x:v>
      </x:c>
      <x:c r="V706" s="2" t="str">
        <x:v>2021-09-27</x:v>
      </x:c>
      <x:c r="W706" s="2" t="str">
        <x:v>담당기관 확인</x:v>
      </x:c>
      <x:c r="X706" s="2" t="str">
        <x:v>원본·배정 기록 확인</x:v>
      </x:c>
      <x:c r="Y706" s="2" t="str">
        <x:v>ad210cd9ec132cfd447541c8984dc53d30aff0f4fb2dc92d254d49275cc55976</x:v>
      </x:c>
      <x:c r="Z706" s="2" t="n">
        <x:f>SUBTOTAL(103,A706)</x:f>
        <x:v>1</x:v>
      </x:c>
      <x:c r="AA706" s="2" t="str">
        <x:f>IF(K706&lt;&gt;"미종결 표시","대상 아님",IF(N706="","신청일 확인",IF(NOT(ISNUMBER('종합 현황'!$H$5)),"관찰기준 확인",IF('종합 현황'!$H$5&lt;1,"관찰기준 확인",IF(N706&gt;'종합 현황'!$H$5,"내부 관찰 대상","내부 관찰일 이하")))))</x:f>
        <x:v>대상 아님</x:v>
      </x:c>
      <x:c r="AB706" s="2"/>
    </x:row>
    <x:row r="707" ht="42" customHeight="1">
      <x:c r="A707" s="2" t="str">
        <x:v>618117516a88bf9a3181b6ea</x:v>
      </x:c>
      <x:c r="B707" s="2" t="str">
        <x:v>사업 평가</x:v>
      </x:c>
      <x:c r="C707" s="2" t="str">
        <x:v>국내</x:v>
      </x:c>
      <x:c r="D707" s="7" t="str">
        <x:v>인강원 태양광발전 자가사용 감축사업</x:v>
      </x:c>
      <x:c r="E707" s="2" t="str">
        <x:v>568</x:v>
      </x:c>
      <x:c r="F707" s="2" t="str">
        <x:v>2020-06-16</x:v>
      </x:c>
      <x:c r="G707" s="2" t="str">
        <x:v>2020</x:v>
      </x:c>
      <x:c r="H707" s="2" t="str">
        <x:v>06</x:v>
      </x:c>
      <x:c r="I707" s="2" t="str">
        <x:v>승인</x:v>
      </x:c>
      <x:c r="J707" s="2" t="str">
        <x:v>심의승인</x:v>
      </x:c>
      <x:c r="K707" s="2" t="str">
        <x:f>IF(OR(J707="심의승인",J707="반려",J707="반려완료",J707="심의완료"),"종결 표시",IF(OR(J707="기후부협의",J707="문서재제출요청",J707="보류",J707="보완요청",J707="보완완료",J707="평가중",J707="반려요청",J707="평가필요",LEFT(J707,5)="보완요청("),"미종결 표시","상태 확인 필요"))</x:f>
        <x:v>종결 표시</x:v>
      </x:c>
      <x:c r="L707" s="2"/>
      <x:c r="M707" s="2"/>
      <x:c r="N707" s="8" t="n">
        <x:f>DATE(2026,10,15)-DATE(2020,6,16)</x:f>
        <x:v>2312</x:v>
      </x:c>
      <x:c r="O707" s="2"/>
      <x:c r="P707" s="2"/>
      <x:c r="Q707" s="2" t="str">
        <x:v>산업전환_외부사업관리Tool_260707_이너젠 수정_LJY_261013.xlsx</x:v>
      </x:c>
      <x:c r="R707" s="2" t="str">
        <x:v>국내평가</x:v>
      </x:c>
      <x:c r="S707" s="8" t="n">
        <x:v>610</x:v>
      </x:c>
      <x:c r="T707" s="2" t="str">
        <x:v>2021년 처리</x:v>
      </x:c>
      <x:c r="U707" s="2" t="str">
        <x:v>2021 배정: 2021년 처리</x:v>
      </x:c>
      <x:c r="V707" s="2" t="str">
        <x:v>2021-09-27</x:v>
      </x:c>
      <x:c r="W707" s="2" t="str">
        <x:v>담당기관 확인</x:v>
      </x:c>
      <x:c r="X707" s="2" t="str">
        <x:v>원본·배정 기록 확인</x:v>
      </x:c>
      <x:c r="Y707" s="2" t="str">
        <x:v>ad210cd9ec132cfd447541c8984dc53d30aff0f4fb2dc92d254d49275cc55976</x:v>
      </x:c>
      <x:c r="Z707" s="2" t="n">
        <x:f>SUBTOTAL(103,A707)</x:f>
        <x:v>1</x:v>
      </x:c>
      <x:c r="AA707" s="2" t="str">
        <x:f>IF(K707&lt;&gt;"미종결 표시","대상 아님",IF(N707="","신청일 확인",IF(NOT(ISNUMBER('종합 현황'!$H$5)),"관찰기준 확인",IF('종합 현황'!$H$5&lt;1,"관찰기준 확인",IF(N707&gt;'종합 현황'!$H$5,"내부 관찰 대상","내부 관찰일 이하")))))</x:f>
        <x:v>대상 아님</x:v>
      </x:c>
      <x:c r="AB707" s="2"/>
    </x:row>
    <x:row r="708" ht="42" customHeight="1">
      <x:c r="A708" s="2" t="str">
        <x:v>cea9a9ceba506bf00c20f854</x:v>
      </x:c>
      <x:c r="B708" s="2" t="str">
        <x:v>사업 평가</x:v>
      </x:c>
      <x:c r="C708" s="2" t="str">
        <x:v>국내</x:v>
      </x:c>
      <x:c r="D708" s="7" t="str">
        <x:v>교남소망의집 태양광발전 자가사용 감축사업</x:v>
      </x:c>
      <x:c r="E708" s="2" t="str">
        <x:v>569</x:v>
      </x:c>
      <x:c r="F708" s="2" t="str">
        <x:v>2020-06-16</x:v>
      </x:c>
      <x:c r="G708" s="2" t="str">
        <x:v>2020</x:v>
      </x:c>
      <x:c r="H708" s="2" t="str">
        <x:v>06</x:v>
      </x:c>
      <x:c r="I708" s="2" t="str">
        <x:v>승인</x:v>
      </x:c>
      <x:c r="J708" s="2" t="str">
        <x:v>심의승인</x:v>
      </x:c>
      <x:c r="K708" s="2" t="str">
        <x:f>IF(OR(J708="심의승인",J708="반려",J708="반려완료",J708="심의완료"),"종결 표시",IF(OR(J708="기후부협의",J708="문서재제출요청",J708="보류",J708="보완요청",J708="보완완료",J708="평가중",J708="반려요청",J708="평가필요",LEFT(J708,5)="보완요청("),"미종결 표시","상태 확인 필요"))</x:f>
        <x:v>종결 표시</x:v>
      </x:c>
      <x:c r="L708" s="2"/>
      <x:c r="M708" s="2"/>
      <x:c r="N708" s="8" t="n">
        <x:f>DATE(2026,10,15)-DATE(2020,6,16)</x:f>
        <x:v>2312</x:v>
      </x:c>
      <x:c r="O708" s="2"/>
      <x:c r="P708" s="2"/>
      <x:c r="Q708" s="2" t="str">
        <x:v>산업전환_외부사업관리Tool_260707_이너젠 수정_LJY_261013.xlsx</x:v>
      </x:c>
      <x:c r="R708" s="2" t="str">
        <x:v>국내평가</x:v>
      </x:c>
      <x:c r="S708" s="8" t="n">
        <x:v>611</x:v>
      </x:c>
      <x:c r="T708" s="2" t="str">
        <x:v>2021년 처리</x:v>
      </x:c>
      <x:c r="U708" s="2" t="str">
        <x:v>2021 배정: 2021년 처리</x:v>
      </x:c>
      <x:c r="V708" s="2" t="str">
        <x:v>2021-09-27</x:v>
      </x:c>
      <x:c r="W708" s="2" t="str">
        <x:v>담당기관 확인</x:v>
      </x:c>
      <x:c r="X708" s="2" t="str">
        <x:v>원본·배정 기록 확인</x:v>
      </x:c>
      <x:c r="Y708" s="2" t="str">
        <x:v>ad210cd9ec132cfd447541c8984dc53d30aff0f4fb2dc92d254d49275cc55976</x:v>
      </x:c>
      <x:c r="Z708" s="2" t="n">
        <x:f>SUBTOTAL(103,A708)</x:f>
        <x:v>1</x:v>
      </x:c>
      <x:c r="AA708" s="2" t="str">
        <x:f>IF(K708&lt;&gt;"미종결 표시","대상 아님",IF(N708="","신청일 확인",IF(NOT(ISNUMBER('종합 현황'!$H$5)),"관찰기준 확인",IF('종합 현황'!$H$5&lt;1,"관찰기준 확인",IF(N708&gt;'종합 현황'!$H$5,"내부 관찰 대상","내부 관찰일 이하")))))</x:f>
        <x:v>대상 아님</x:v>
      </x:c>
      <x:c r="AB708" s="2"/>
    </x:row>
    <x:row r="709" ht="42" customHeight="1">
      <x:c r="A709" s="2" t="str">
        <x:v>da40c0b37972a204e8c4bba1</x:v>
      </x:c>
      <x:c r="B709" s="2" t="str">
        <x:v>사업 평가</x:v>
      </x:c>
      <x:c r="C709" s="2" t="str">
        <x:v>국내</x:v>
      </x:c>
      <x:c r="D709" s="7" t="str">
        <x:v>한빛맹아원 태양광발전 자가사용 감축사업</x:v>
      </x:c>
      <x:c r="E709" s="2" t="str">
        <x:v>570</x:v>
      </x:c>
      <x:c r="F709" s="2" t="str">
        <x:v>2020-06-16</x:v>
      </x:c>
      <x:c r="G709" s="2" t="str">
        <x:v>2020</x:v>
      </x:c>
      <x:c r="H709" s="2" t="str">
        <x:v>06</x:v>
      </x:c>
      <x:c r="I709" s="2" t="str">
        <x:v>승인</x:v>
      </x:c>
      <x:c r="J709" s="2" t="str">
        <x:v>심의승인</x:v>
      </x:c>
      <x:c r="K709" s="2" t="str">
        <x:f>IF(OR(J709="심의승인",J709="반려",J709="반려완료",J709="심의완료"),"종결 표시",IF(OR(J709="기후부협의",J709="문서재제출요청",J709="보류",J709="보완요청",J709="보완완료",J709="평가중",J709="반려요청",J709="평가필요",LEFT(J709,5)="보완요청("),"미종결 표시","상태 확인 필요"))</x:f>
        <x:v>종결 표시</x:v>
      </x:c>
      <x:c r="L709" s="2"/>
      <x:c r="M709" s="2"/>
      <x:c r="N709" s="8" t="n">
        <x:f>DATE(2026,10,15)-DATE(2020,6,16)</x:f>
        <x:v>2312</x:v>
      </x:c>
      <x:c r="O709" s="2"/>
      <x:c r="P709" s="2"/>
      <x:c r="Q709" s="2" t="str">
        <x:v>산업전환_외부사업관리Tool_260707_이너젠 수정_LJY_261013.xlsx</x:v>
      </x:c>
      <x:c r="R709" s="2" t="str">
        <x:v>국내평가</x:v>
      </x:c>
      <x:c r="S709" s="8" t="n">
        <x:v>612</x:v>
      </x:c>
      <x:c r="T709" s="2" t="str">
        <x:v>2021년 처리</x:v>
      </x:c>
      <x:c r="U709" s="2" t="str">
        <x:v>2021 배정: 2021년 처리</x:v>
      </x:c>
      <x:c r="V709" s="2" t="str">
        <x:v>2021-09-27</x:v>
      </x:c>
      <x:c r="W709" s="2" t="str">
        <x:v>담당기관 확인</x:v>
      </x:c>
      <x:c r="X709" s="2" t="str">
        <x:v>원본·배정 기록 확인</x:v>
      </x:c>
      <x:c r="Y709" s="2" t="str">
        <x:v>ad210cd9ec132cfd447541c8984dc53d30aff0f4fb2dc92d254d49275cc55976</x:v>
      </x:c>
      <x:c r="Z709" s="2" t="n">
        <x:f>SUBTOTAL(103,A709)</x:f>
        <x:v>1</x:v>
      </x:c>
      <x:c r="AA709" s="2" t="str">
        <x:f>IF(K709&lt;&gt;"미종결 표시","대상 아님",IF(N709="","신청일 확인",IF(NOT(ISNUMBER('종합 현황'!$H$5)),"관찰기준 확인",IF('종합 현황'!$H$5&lt;1,"관찰기준 확인",IF(N709&gt;'종합 현황'!$H$5,"내부 관찰 대상","내부 관찰일 이하")))))</x:f>
        <x:v>대상 아님</x:v>
      </x:c>
      <x:c r="AB709" s="2"/>
    </x:row>
    <x:row r="710" ht="42" customHeight="1">
      <x:c r="A710" s="2" t="str">
        <x:v>f3fb08cff12d0b2bf8329e2f</x:v>
      </x:c>
      <x:c r="B710" s="2" t="str">
        <x:v>사업 평가</x:v>
      </x:c>
      <x:c r="C710" s="2" t="str">
        <x:v>국내</x:v>
      </x:c>
      <x:c r="D710" s="7" t="str">
        <x:v>H2빌 태양광발전 자가사용 감축사업</x:v>
      </x:c>
      <x:c r="E710" s="2" t="str">
        <x:v>571</x:v>
      </x:c>
      <x:c r="F710" s="2" t="str">
        <x:v>2020-06-16</x:v>
      </x:c>
      <x:c r="G710" s="2" t="str">
        <x:v>2020</x:v>
      </x:c>
      <x:c r="H710" s="2" t="str">
        <x:v>06</x:v>
      </x:c>
      <x:c r="I710" s="2" t="str">
        <x:v>승인</x:v>
      </x:c>
      <x:c r="J710" s="2" t="str">
        <x:v>심의승인</x:v>
      </x:c>
      <x:c r="K710" s="2" t="str">
        <x:f>IF(OR(J710="심의승인",J710="반려",J710="반려완료",J710="심의완료"),"종결 표시",IF(OR(J710="기후부협의",J710="문서재제출요청",J710="보류",J710="보완요청",J710="보완완료",J710="평가중",J710="반려요청",J710="평가필요",LEFT(J710,5)="보완요청("),"미종결 표시","상태 확인 필요"))</x:f>
        <x:v>종결 표시</x:v>
      </x:c>
      <x:c r="L710" s="2"/>
      <x:c r="M710" s="2"/>
      <x:c r="N710" s="8" t="n">
        <x:f>DATE(2026,10,15)-DATE(2020,6,16)</x:f>
        <x:v>2312</x:v>
      </x:c>
      <x:c r="O710" s="2"/>
      <x:c r="P710" s="2"/>
      <x:c r="Q710" s="2" t="str">
        <x:v>산업전환_외부사업관리Tool_260707_이너젠 수정_LJY_261013.xlsx</x:v>
      </x:c>
      <x:c r="R710" s="2" t="str">
        <x:v>국내평가</x:v>
      </x:c>
      <x:c r="S710" s="8" t="n">
        <x:v>613</x:v>
      </x:c>
      <x:c r="T710" s="2" t="str">
        <x:v>2021년 처리</x:v>
      </x:c>
      <x:c r="U710" s="2" t="str">
        <x:v>2021 배정: 2021년 처리</x:v>
      </x:c>
      <x:c r="V710" s="2" t="str">
        <x:v>2021-09-27</x:v>
      </x:c>
      <x:c r="W710" s="2" t="str">
        <x:v>담당기관 확인</x:v>
      </x:c>
      <x:c r="X710" s="2" t="str">
        <x:v>원본·배정 기록 확인</x:v>
      </x:c>
      <x:c r="Y710" s="2" t="str">
        <x:v>ad210cd9ec132cfd447541c8984dc53d30aff0f4fb2dc92d254d49275cc55976</x:v>
      </x:c>
      <x:c r="Z710" s="2" t="n">
        <x:f>SUBTOTAL(103,A710)</x:f>
        <x:v>1</x:v>
      </x:c>
      <x:c r="AA710" s="2" t="str">
        <x:f>IF(K710&lt;&gt;"미종결 표시","대상 아님",IF(N710="","신청일 확인",IF(NOT(ISNUMBER('종합 현황'!$H$5)),"관찰기준 확인",IF('종합 현황'!$H$5&lt;1,"관찰기준 확인",IF(N710&gt;'종합 현황'!$H$5,"내부 관찰 대상","내부 관찰일 이하")))))</x:f>
        <x:v>대상 아님</x:v>
      </x:c>
      <x:c r="AB710" s="2"/>
    </x:row>
    <x:row r="711" ht="42" customHeight="1">
      <x:c r="A711" s="2" t="str">
        <x:v>aa0d9588609b0084bb151349</x:v>
      </x:c>
      <x:c r="B711" s="2" t="str">
        <x:v>사업 평가</x:v>
      </x:c>
      <x:c r="C711" s="2" t="str">
        <x:v>국내</x:v>
      </x:c>
      <x:c r="D711" s="7" t="str">
        <x:v>명진들꽃사랑마을 태양광발전 자가사용 감축사업</x:v>
      </x:c>
      <x:c r="E711" s="2" t="str">
        <x:v>572</x:v>
      </x:c>
      <x:c r="F711" s="2" t="str">
        <x:v>2020-06-16</x:v>
      </x:c>
      <x:c r="G711" s="2" t="str">
        <x:v>2020</x:v>
      </x:c>
      <x:c r="H711" s="2" t="str">
        <x:v>06</x:v>
      </x:c>
      <x:c r="I711" s="2" t="str">
        <x:v>승인</x:v>
      </x:c>
      <x:c r="J711" s="2" t="str">
        <x:v>심의승인</x:v>
      </x:c>
      <x:c r="K711" s="2" t="str">
        <x:f>IF(OR(J711="심의승인",J711="반려",J711="반려완료",J711="심의완료"),"종결 표시",IF(OR(J711="기후부협의",J711="문서재제출요청",J711="보류",J711="보완요청",J711="보완완료",J711="평가중",J711="반려요청",J711="평가필요",LEFT(J711,5)="보완요청("),"미종결 표시","상태 확인 필요"))</x:f>
        <x:v>종결 표시</x:v>
      </x:c>
      <x:c r="L711" s="2"/>
      <x:c r="M711" s="2"/>
      <x:c r="N711" s="8" t="n">
        <x:f>DATE(2026,10,15)-DATE(2020,6,16)</x:f>
        <x:v>2312</x:v>
      </x:c>
      <x:c r="O711" s="2"/>
      <x:c r="P711" s="2"/>
      <x:c r="Q711" s="2" t="str">
        <x:v>산업전환_외부사업관리Tool_260707_이너젠 수정_LJY_261013.xlsx</x:v>
      </x:c>
      <x:c r="R711" s="2" t="str">
        <x:v>국내평가</x:v>
      </x:c>
      <x:c r="S711" s="8" t="n">
        <x:v>614</x:v>
      </x:c>
      <x:c r="T711" s="2" t="str">
        <x:v>2021년 처리</x:v>
      </x:c>
      <x:c r="U711" s="2" t="str">
        <x:v>2021 배정: 2021년 처리</x:v>
      </x:c>
      <x:c r="V711" s="2" t="str">
        <x:v>2021-09-27</x:v>
      </x:c>
      <x:c r="W711" s="2" t="str">
        <x:v>담당기관 확인</x:v>
      </x:c>
      <x:c r="X711" s="2" t="str">
        <x:v>원본·배정 기록 확인</x:v>
      </x:c>
      <x:c r="Y711" s="2" t="str">
        <x:v>ad210cd9ec132cfd447541c8984dc53d30aff0f4fb2dc92d254d49275cc55976</x:v>
      </x:c>
      <x:c r="Z711" s="2" t="n">
        <x:f>SUBTOTAL(103,A711)</x:f>
        <x:v>1</x:v>
      </x:c>
      <x:c r="AA711" s="2" t="str">
        <x:f>IF(K711&lt;&gt;"미종결 표시","대상 아님",IF(N711="","신청일 확인",IF(NOT(ISNUMBER('종합 현황'!$H$5)),"관찰기준 확인",IF('종합 현황'!$H$5&lt;1,"관찰기준 확인",IF(N711&gt;'종합 현황'!$H$5,"내부 관찰 대상","내부 관찰일 이하")))))</x:f>
        <x:v>대상 아님</x:v>
      </x:c>
      <x:c r="AB711" s="2"/>
    </x:row>
    <x:row r="712" ht="42" customHeight="1">
      <x:c r="A712" s="2" t="str">
        <x:v>0b24bc2250f29c4a2c1a53b3</x:v>
      </x:c>
      <x:c r="B712" s="2" t="str">
        <x:v>사업 평가</x:v>
      </x:c>
      <x:c r="C712" s="2" t="str">
        <x:v>국내</x:v>
      </x:c>
      <x:c r="D712" s="7" t="str">
        <x:v>은평천사원 태양광발전 자가사용 감축사업</x:v>
      </x:c>
      <x:c r="E712" s="2" t="str">
        <x:v>573</x:v>
      </x:c>
      <x:c r="F712" s="2" t="str">
        <x:v>2020-06-16</x:v>
      </x:c>
      <x:c r="G712" s="2" t="str">
        <x:v>2020</x:v>
      </x:c>
      <x:c r="H712" s="2" t="str">
        <x:v>06</x:v>
      </x:c>
      <x:c r="I712" s="2" t="str">
        <x:v>승인</x:v>
      </x:c>
      <x:c r="J712" s="2" t="str">
        <x:v>심의승인</x:v>
      </x:c>
      <x:c r="K712" s="2" t="str">
        <x:f>IF(OR(J712="심의승인",J712="반려",J712="반려완료",J712="심의완료"),"종결 표시",IF(OR(J712="기후부협의",J712="문서재제출요청",J712="보류",J712="보완요청",J712="보완완료",J712="평가중",J712="반려요청",J712="평가필요",LEFT(J712,5)="보완요청("),"미종결 표시","상태 확인 필요"))</x:f>
        <x:v>종결 표시</x:v>
      </x:c>
      <x:c r="L712" s="2"/>
      <x:c r="M712" s="2"/>
      <x:c r="N712" s="8" t="n">
        <x:f>DATE(2026,10,15)-DATE(2020,6,16)</x:f>
        <x:v>2312</x:v>
      </x:c>
      <x:c r="O712" s="2"/>
      <x:c r="P712" s="2"/>
      <x:c r="Q712" s="2" t="str">
        <x:v>산업전환_외부사업관리Tool_260707_이너젠 수정_LJY_261013.xlsx</x:v>
      </x:c>
      <x:c r="R712" s="2" t="str">
        <x:v>국내평가</x:v>
      </x:c>
      <x:c r="S712" s="8" t="n">
        <x:v>615</x:v>
      </x:c>
      <x:c r="T712" s="2" t="str">
        <x:v>2021년 처리</x:v>
      </x:c>
      <x:c r="U712" s="2" t="str">
        <x:v>2021 배정: 2021년 처리</x:v>
      </x:c>
      <x:c r="V712" s="2" t="str">
        <x:v>2021-09-27</x:v>
      </x:c>
      <x:c r="W712" s="2" t="str">
        <x:v>담당기관 확인</x:v>
      </x:c>
      <x:c r="X712" s="2" t="str">
        <x:v>원본·배정 기록 확인</x:v>
      </x:c>
      <x:c r="Y712" s="2" t="str">
        <x:v>ad210cd9ec132cfd447541c8984dc53d30aff0f4fb2dc92d254d49275cc55976</x:v>
      </x:c>
      <x:c r="Z712" s="2" t="n">
        <x:f>SUBTOTAL(103,A712)</x:f>
        <x:v>1</x:v>
      </x:c>
      <x:c r="AA712" s="2" t="str">
        <x:f>IF(K712&lt;&gt;"미종결 표시","대상 아님",IF(N712="","신청일 확인",IF(NOT(ISNUMBER('종합 현황'!$H$5)),"관찰기준 확인",IF('종합 현황'!$H$5&lt;1,"관찰기준 확인",IF(N712&gt;'종합 현황'!$H$5,"내부 관찰 대상","내부 관찰일 이하")))))</x:f>
        <x:v>대상 아님</x:v>
      </x:c>
      <x:c r="AB712" s="2"/>
    </x:row>
    <x:row r="713" ht="42" customHeight="1">
      <x:c r="A713" s="2" t="str">
        <x:v>db47afddf4f5d48374709ddc</x:v>
      </x:c>
      <x:c r="B713" s="2" t="str">
        <x:v>사업 평가</x:v>
      </x:c>
      <x:c r="C713" s="2" t="str">
        <x:v>국내</x:v>
      </x:c>
      <x:c r="D713" s="7" t="str">
        <x:v>울산항 하역시설 LED  조명기기 교체를 통한 온실가스 배출 극소규모 감축사업</x:v>
      </x:c>
      <x:c r="E713" s="2" t="str">
        <x:v>574</x:v>
      </x:c>
      <x:c r="F713" s="2" t="str">
        <x:v>2023-01-13</x:v>
      </x:c>
      <x:c r="G713" s="2" t="str">
        <x:v>2023</x:v>
      </x:c>
      <x:c r="H713" s="2" t="str">
        <x:v>01</x:v>
      </x:c>
      <x:c r="I713" s="2" t="str">
        <x:v>인증유효기간 갱신</x:v>
      </x:c>
      <x:c r="J713" s="2" t="str">
        <x:v>심의승인</x:v>
      </x:c>
      <x:c r="K713" s="2" t="str">
        <x:f>IF(OR(J713="심의승인",J713="반려",J713="반려완료",J713="심의완료"),"종결 표시",IF(OR(J713="기후부협의",J713="문서재제출요청",J713="보류",J713="보완요청",J713="보완완료",J713="평가중",J713="반려요청",J713="평가필요",LEFT(J713,5)="보완요청("),"미종결 표시","상태 확인 필요"))</x:f>
        <x:v>종결 표시</x:v>
      </x:c>
      <x:c r="L713" s="2" t="str">
        <x:v>에코시안_박세은</x:v>
      </x:c>
      <x:c r="M713" s="2"/>
      <x:c r="N713" s="8" t="n">
        <x:f>DATE(2026,10,15)-DATE(2023,1,13)</x:f>
        <x:v>1371</x:v>
      </x:c>
      <x:c r="O713" s="2" t="str">
        <x:v>생략</x:v>
      </x:c>
      <x:c r="P713" s="2" t="str">
        <x:v>인증유효기간 변경(5년)하여 6월 협의 상정</x:v>
      </x:c>
      <x:c r="Q713" s="2" t="str">
        <x:v>산업전환_외부사업관리Tool_260707_이너젠 수정_LJY_261013.xlsx</x:v>
      </x:c>
      <x:c r="R713" s="2" t="str">
        <x:v>국내평가</x:v>
      </x:c>
      <x:c r="S713" s="8" t="n">
        <x:v>616</x:v>
      </x:c>
      <x:c r="T713" s="2" t="str">
        <x:v>(1/30)</x:v>
      </x:c>
      <x:c r="U713" s="2" t="str">
        <x:v>2023 배정: (1/30)</x:v>
      </x:c>
      <x:c r="V713" s="2" t="str">
        <x:v>2023-09-21</x:v>
      </x:c>
      <x:c r="W713" s="2" t="str"/>
      <x:c r="X713" s="2" t="str">
        <x:v>종결 근거 보관</x:v>
      </x:c>
      <x:c r="Y713" s="2" t="str">
        <x:v>ad210cd9ec132cfd447541c8984dc53d30aff0f4fb2dc92d254d49275cc55976</x:v>
      </x:c>
      <x:c r="Z713" s="2" t="n">
        <x:f>SUBTOTAL(103,A713)</x:f>
        <x:v>1</x:v>
      </x:c>
      <x:c r="AA713" s="2" t="str">
        <x:f>IF(K713&lt;&gt;"미종결 표시","대상 아님",IF(N713="","신청일 확인",IF(NOT(ISNUMBER('종합 현황'!$H$5)),"관찰기준 확인",IF('종합 현황'!$H$5&lt;1,"관찰기준 확인",IF(N713&gt;'종합 현황'!$H$5,"내부 관찰 대상","내부 관찰일 이하")))))</x:f>
        <x:v>대상 아님</x:v>
      </x:c>
      <x:c r="AB713" s="2"/>
    </x:row>
    <x:row r="714" ht="42" customHeight="1">
      <x:c r="A714" s="2" t="str">
        <x:v>69b5bc02a1680a0a25c8aff6</x:v>
      </x:c>
      <x:c r="B714" s="2" t="str">
        <x:v>사업 평가</x:v>
      </x:c>
      <x:c r="C714" s="2" t="str">
        <x:v>국내</x:v>
      </x:c>
      <x:c r="D714" s="7" t="str">
        <x:v>(주)성환금속 고효율 공기압축기 교체를  통한  온실가스 감축사업</x:v>
      </x:c>
      <x:c r="E714" s="2" t="str">
        <x:v>575</x:v>
      </x:c>
      <x:c r="F714" s="2" t="str">
        <x:v>2020-06-23</x:v>
      </x:c>
      <x:c r="G714" s="2" t="str">
        <x:v>2020</x:v>
      </x:c>
      <x:c r="H714" s="2" t="str">
        <x:v>06</x:v>
      </x:c>
      <x:c r="I714" s="2" t="str">
        <x:v>승인</x:v>
      </x:c>
      <x:c r="J714" s="2" t="str">
        <x:v>심의승인</x:v>
      </x:c>
      <x:c r="K714" s="2" t="str">
        <x:f>IF(OR(J714="심의승인",J714="반려",J714="반려완료",J714="심의완료"),"종결 표시",IF(OR(J714="기후부협의",J714="문서재제출요청",J714="보류",J714="보완요청",J714="보완완료",J714="평가중",J714="반려요청",J714="평가필요",LEFT(J714,5)="보완요청("),"미종결 표시","상태 확인 필요"))</x:f>
        <x:v>종결 표시</x:v>
      </x:c>
      <x:c r="L714" s="2"/>
      <x:c r="M714" s="2"/>
      <x:c r="N714" s="8" t="n">
        <x:f>DATE(2026,10,15)-DATE(2020,6,23)</x:f>
        <x:v>2305</x:v>
      </x:c>
      <x:c r="O714" s="2" t="str">
        <x:v>O(5월)</x:v>
      </x:c>
      <x:c r="P714" s="2"/>
      <x:c r="Q714" s="2" t="str">
        <x:v>산업전환_외부사업관리Tool_260707_이너젠 수정_LJY_261013.xlsx</x:v>
      </x:c>
      <x:c r="R714" s="2" t="str">
        <x:v>국내평가</x:v>
      </x:c>
      <x:c r="S714" s="8" t="n">
        <x:v>617</x:v>
      </x:c>
      <x:c r="T714" s="2"/>
      <x:c r="U714" s="2" t="str"/>
      <x:c r="V714" s="2" t="str">
        <x:v>2022-05-13</x:v>
      </x:c>
      <x:c r="W714" s="2" t="str">
        <x:v>담당기관 확인</x:v>
      </x:c>
      <x:c r="X714" s="2" t="str">
        <x:v>원본·배정 기록 확인</x:v>
      </x:c>
      <x:c r="Y714" s="2" t="str">
        <x:v>ad210cd9ec132cfd447541c8984dc53d30aff0f4fb2dc92d254d49275cc55976</x:v>
      </x:c>
      <x:c r="Z714" s="2" t="n">
        <x:f>SUBTOTAL(103,A714)</x:f>
        <x:v>1</x:v>
      </x:c>
      <x:c r="AA714" s="2" t="str">
        <x:f>IF(K714&lt;&gt;"미종결 표시","대상 아님",IF(N714="","신청일 확인",IF(NOT(ISNUMBER('종합 현황'!$H$5)),"관찰기준 확인",IF('종합 현황'!$H$5&lt;1,"관찰기준 확인",IF(N714&gt;'종합 현황'!$H$5,"내부 관찰 대상","내부 관찰일 이하")))))</x:f>
        <x:v>대상 아님</x:v>
      </x:c>
      <x:c r="AB714" s="2"/>
    </x:row>
    <x:row r="715" ht="42" customHeight="1">
      <x:c r="A715" s="2" t="str">
        <x:v>9a38ce87bb437bd521a7c63e</x:v>
      </x:c>
      <x:c r="B715" s="2" t="str">
        <x:v>사업 평가</x:v>
      </x:c>
      <x:c r="C715" s="2" t="str">
        <x:v>국내</x:v>
      </x:c>
      <x:c r="D715" s="7" t="str">
        <x:v>국내 (극)소규모 자가사용 태양광 발전 프로그램 감축사업</x:v>
      </x:c>
      <x:c r="E715" s="2" t="str">
        <x:v>576</x:v>
      </x:c>
      <x:c r="F715" s="2" t="str">
        <x:v>2020-06-24</x:v>
      </x:c>
      <x:c r="G715" s="2" t="str">
        <x:v>2020</x:v>
      </x:c>
      <x:c r="H715" s="2" t="str">
        <x:v>06</x:v>
      </x:c>
      <x:c r="I715" s="2" t="str">
        <x:v>승인</x:v>
      </x:c>
      <x:c r="J715" s="2" t="str">
        <x:v>심의승인</x:v>
      </x:c>
      <x:c r="K715" s="2" t="str">
        <x:f>IF(OR(J715="심의승인",J715="반려",J715="반려완료",J715="심의완료"),"종결 표시",IF(OR(J715="기후부협의",J715="문서재제출요청",J715="보류",J715="보완요청",J715="보완완료",J715="평가중",J715="반려요청",J715="평가필요",LEFT(J715,5)="보완요청("),"미종결 표시","상태 확인 필요"))</x:f>
        <x:v>종결 표시</x:v>
      </x:c>
      <x:c r="L715" s="2"/>
      <x:c r="M715" s="2"/>
      <x:c r="N715" s="8" t="n">
        <x:f>DATE(2026,10,15)-DATE(2020,6,24)</x:f>
        <x:v>2304</x:v>
      </x:c>
      <x:c r="O715" s="2"/>
      <x:c r="P715" s="2"/>
      <x:c r="Q715" s="2" t="str">
        <x:v>산업전환_외부사업관리Tool_260707_이너젠 수정_LJY_261013.xlsx</x:v>
      </x:c>
      <x:c r="R715" s="2" t="str">
        <x:v>국내평가</x:v>
      </x:c>
      <x:c r="S715" s="8" t="n">
        <x:v>618</x:v>
      </x:c>
      <x:c r="T715" s="2"/>
      <x:c r="U715" s="2" t="str"/>
      <x:c r="V715" s="2" t="str">
        <x:v>2021-03-02</x:v>
      </x:c>
      <x:c r="W715" s="2" t="str">
        <x:v>담당기관 확인</x:v>
      </x:c>
      <x:c r="X715" s="2" t="str">
        <x:v>원본·배정 기록 확인</x:v>
      </x:c>
      <x:c r="Y715" s="2" t="str">
        <x:v>ad210cd9ec132cfd447541c8984dc53d30aff0f4fb2dc92d254d49275cc55976</x:v>
      </x:c>
      <x:c r="Z715" s="2" t="n">
        <x:f>SUBTOTAL(103,A715)</x:f>
        <x:v>1</x:v>
      </x:c>
      <x:c r="AA715" s="2" t="str">
        <x:f>IF(K715&lt;&gt;"미종결 표시","대상 아님",IF(N715="","신청일 확인",IF(NOT(ISNUMBER('종합 현황'!$H$5)),"관찰기준 확인",IF('종합 현황'!$H$5&lt;1,"관찰기준 확인",IF(N715&gt;'종합 현황'!$H$5,"내부 관찰 대상","내부 관찰일 이하")))))</x:f>
        <x:v>대상 아님</x:v>
      </x:c>
      <x:c r="AB715" s="2"/>
    </x:row>
    <x:row r="716" ht="42" customHeight="1">
      <x:c r="A716" s="2" t="str">
        <x:v>653f0ac8d8afa2fb535ca50d</x:v>
      </x:c>
      <x:c r="B716" s="2" t="str">
        <x:v>사업 평가</x:v>
      </x:c>
      <x:c r="C716" s="2" t="str">
        <x:v>국내</x:v>
      </x:c>
      <x:c r="D716" s="7" t="str">
        <x:v>주식회사 일동엔에스티 고효율 공기압축기 교체를  통한  온실가스 감축사업</x:v>
      </x:c>
      <x:c r="E716" s="2" t="str">
        <x:v>577</x:v>
      </x:c>
      <x:c r="F716" s="2" t="str">
        <x:v>2020-06-25</x:v>
      </x:c>
      <x:c r="G716" s="2" t="str">
        <x:v>2020</x:v>
      </x:c>
      <x:c r="H716" s="2" t="str">
        <x:v>06</x:v>
      </x:c>
      <x:c r="I716" s="2" t="str">
        <x:v>승인</x:v>
      </x:c>
      <x:c r="J716" s="2" t="str">
        <x:v>심의승인</x:v>
      </x:c>
      <x:c r="K716" s="2" t="str">
        <x:f>IF(OR(J716="심의승인",J716="반려",J716="반려완료",J716="심의완료"),"종결 표시",IF(OR(J716="기후부협의",J716="문서재제출요청",J716="보류",J716="보완요청",J716="보완완료",J716="평가중",J716="반려요청",J716="평가필요",LEFT(J716,5)="보완요청("),"미종결 표시","상태 확인 필요"))</x:f>
        <x:v>종결 표시</x:v>
      </x:c>
      <x:c r="L716" s="2"/>
      <x:c r="M716" s="2"/>
      <x:c r="N716" s="8" t="n">
        <x:f>DATE(2026,10,15)-DATE(2020,6,25)</x:f>
        <x:v>2303</x:v>
      </x:c>
      <x:c r="O716" s="2"/>
      <x:c r="P716" s="2"/>
      <x:c r="Q716" s="2" t="str">
        <x:v>산업전환_외부사업관리Tool_260707_이너젠 수정_LJY_261013.xlsx</x:v>
      </x:c>
      <x:c r="R716" s="2" t="str">
        <x:v>국내평가</x:v>
      </x:c>
      <x:c r="S716" s="8" t="n">
        <x:v>619</x:v>
      </x:c>
      <x:c r="T716" s="2"/>
      <x:c r="U716" s="2" t="str"/>
      <x:c r="V716" s="2" t="str">
        <x:v>2022-05-13</x:v>
      </x:c>
      <x:c r="W716" s="2" t="str">
        <x:v>담당기관 확인</x:v>
      </x:c>
      <x:c r="X716" s="2" t="str">
        <x:v>원본·배정 기록 확인</x:v>
      </x:c>
      <x:c r="Y716" s="2" t="str">
        <x:v>ad210cd9ec132cfd447541c8984dc53d30aff0f4fb2dc92d254d49275cc55976</x:v>
      </x:c>
      <x:c r="Z716" s="2" t="n">
        <x:f>SUBTOTAL(103,A716)</x:f>
        <x:v>1</x:v>
      </x:c>
      <x:c r="AA716" s="2" t="str">
        <x:f>IF(K716&lt;&gt;"미종결 표시","대상 아님",IF(N716="","신청일 확인",IF(NOT(ISNUMBER('종합 현황'!$H$5)),"관찰기준 확인",IF('종합 현황'!$H$5&lt;1,"관찰기준 확인",IF(N716&gt;'종합 현황'!$H$5,"내부 관찰 대상","내부 관찰일 이하")))))</x:f>
        <x:v>대상 아님</x:v>
      </x:c>
      <x:c r="AB716" s="2"/>
    </x:row>
    <x:row r="717" ht="42" customHeight="1">
      <x:c r="A717" s="2" t="str">
        <x:v>8000848b051b048d5a58423a</x:v>
      </x:c>
      <x:c r="B717" s="2" t="str">
        <x:v>사업 평가</x:v>
      </x:c>
      <x:c r="C717" s="2" t="str">
        <x:v>국내</x:v>
      </x:c>
      <x:c r="D717" s="7" t="str">
        <x:v>방태산업(주) 연료 전환(B-C유에서 LPG)을 통한 온실가스 배출 감축사업</x:v>
      </x:c>
      <x:c r="E717" s="2" t="str">
        <x:v>578</x:v>
      </x:c>
      <x:c r="F717" s="2" t="str">
        <x:v>2020-05-17</x:v>
      </x:c>
      <x:c r="G717" s="2" t="str">
        <x:v>2020</x:v>
      </x:c>
      <x:c r="H717" s="2" t="str">
        <x:v>05</x:v>
      </x:c>
      <x:c r="I717" s="2" t="str">
        <x:v>보완3차_검토중</x:v>
      </x:c>
      <x:c r="J717" s="2" t="str">
        <x:v>보완요청</x:v>
      </x:c>
      <x:c r="K717" s="2" t="str">
        <x:f>IF(OR(J717="심의승인",J717="반려",J717="반려완료",J717="심의완료"),"종결 표시",IF(OR(J717="기후부협의",J717="문서재제출요청",J717="보류",J717="보완요청",J717="보완완료",J717="평가중",J717="반려요청",J717="평가필요",LEFT(J717,5)="보완요청("),"미종결 표시","상태 확인 필요"))</x:f>
        <x:v>미종결 표시</x:v>
      </x:c>
      <x:c r="L717" s="2" t="str">
        <x:v>에코시안_오경환, 권송화</x:v>
      </x:c>
      <x:c r="M717" s="2" t="n">
        <x:v>3</x:v>
      </x:c>
      <x:c r="N717" s="8" t="n">
        <x:f>DATE(2026,10,15)-DATE(2020,5,17)</x:f>
        <x:v>2342</x:v>
      </x:c>
      <x:c r="O717" s="2" t="str">
        <x:v>생략</x:v>
      </x:c>
      <x:c r="P717" s="2" t="str">
        <x:v>대기관리권역법 해당(추가성 X), 재확인 필요</x:v>
      </x:c>
      <x:c r="Q717" s="2" t="str">
        <x:v>산업전환_외부사업관리Tool_260707_이너젠 수정_LJY_261013.xlsx</x:v>
      </x:c>
      <x:c r="R717" s="2" t="str">
        <x:v>국내평가</x:v>
      </x:c>
      <x:c r="S717" s="8" t="n">
        <x:v>620</x:v>
      </x:c>
      <x:c r="T717" s="2" t="str">
        <x:v>(7/12),(9/1),(10/20)</x:v>
      </x:c>
      <x:c r="U717" s="2" t="str">
        <x:v>2021 배정: (7/12),(9/1),(10/20) / 2025 배정: (4/17),(6/26),(10/16)</x:v>
      </x:c>
      <x:c r="V717" s="2" t="str">
        <x:v>2026-09-07</x:v>
      </x:c>
      <x:c r="W717" s="2" t="str"/>
      <x:c r="X717" s="2" t="str">
        <x:v>보완 회신 일정 확인</x:v>
      </x:c>
      <x:c r="Y717" s="2" t="str">
        <x:v>ad210cd9ec132cfd447541c8984dc53d30aff0f4fb2dc92d254d49275cc55976</x:v>
      </x:c>
      <x:c r="Z717" s="2" t="n">
        <x:f>SUBTOTAL(103,A717)</x:f>
        <x:v>1</x:v>
      </x:c>
      <x:c r="AA717" s="2" t="str">
        <x:f>IF(K717&lt;&gt;"미종결 표시","대상 아님",IF(N717="","신청일 확인",IF(NOT(ISNUMBER('종합 현황'!$H$5)),"관찰기준 확인",IF('종합 현황'!$H$5&lt;1,"관찰기준 확인",IF(N717&gt;'종합 현황'!$H$5,"내부 관찰 대상","내부 관찰일 이하")))))</x:f>
        <x:v>내부 관찰 대상</x:v>
      </x:c>
      <x:c r="AB717" s="2"/>
    </x:row>
    <x:row r="718" ht="42" customHeight="1">
      <x:c r="A718" s="2" t="str">
        <x:v>c78244bb321550b3ef45e7e0</x:v>
      </x:c>
      <x:c r="B718" s="2" t="str">
        <x:v>사업 평가</x:v>
      </x:c>
      <x:c r="C718" s="2" t="str">
        <x:v>국내</x:v>
      </x:c>
      <x:c r="D718" s="7" t="str">
        <x:v>신흥 보일러 연료교체(B-C유 → LNG) 사업</x:v>
      </x:c>
      <x:c r="E718" s="2" t="str">
        <x:v>579</x:v>
      </x:c>
      <x:c r="F718" s="2" t="str">
        <x:v>2020-09-28</x:v>
      </x:c>
      <x:c r="G718" s="2" t="str">
        <x:v>2020</x:v>
      </x:c>
      <x:c r="H718" s="2" t="str">
        <x:v>09</x:v>
      </x:c>
      <x:c r="I718" s="2" t="str">
        <x:v>승인</x:v>
      </x:c>
      <x:c r="J718" s="2" t="str">
        <x:v>심의승인</x:v>
      </x:c>
      <x:c r="K718" s="2" t="str">
        <x:f>IF(OR(J718="심의승인",J718="반려",J718="반려완료",J718="심의완료"),"종결 표시",IF(OR(J718="기후부협의",J718="문서재제출요청",J718="보류",J718="보완요청",J718="보완완료",J718="평가중",J718="반려요청",J718="평가필요",LEFT(J718,5)="보완요청("),"미종결 표시","상태 확인 필요"))</x:f>
        <x:v>종결 표시</x:v>
      </x:c>
      <x:c r="L718" s="2" t="str">
        <x:v>KECM_임하진</x:v>
      </x:c>
      <x:c r="M718" s="2"/>
      <x:c r="N718" s="8" t="n">
        <x:f>DATE(2026,10,15)-DATE(2020,9,28)</x:f>
        <x:v>2208</x:v>
      </x:c>
      <x:c r="O718" s="2" t="str">
        <x:v>O(21.10)</x:v>
      </x:c>
      <x:c r="P718" s="2"/>
      <x:c r="Q718" s="2" t="str">
        <x:v>산업전환_외부사업관리Tool_260707_이너젠 수정_LJY_261013.xlsx</x:v>
      </x:c>
      <x:c r="R718" s="2" t="str">
        <x:v>국내평가</x:v>
      </x:c>
      <x:c r="S718" s="8" t="n">
        <x:v>621</x:v>
      </x:c>
      <x:c r="T718" s="2" t="str">
        <x:v>(6/28),(11/2)</x:v>
      </x:c>
      <x:c r="U718" s="2" t="str">
        <x:v>2021 배정: (6/28),(11/2) / 2022 배정: (3/16) / 2022 배정(신규): (6/10)</x:v>
      </x:c>
      <x:c r="V718" s="2" t="str">
        <x:v>2022-12-23</x:v>
      </x:c>
      <x:c r="W718" s="2" t="str"/>
      <x:c r="X718" s="2" t="str">
        <x:v>종결 근거 보관</x:v>
      </x:c>
      <x:c r="Y718" s="2" t="str">
        <x:v>ad210cd9ec132cfd447541c8984dc53d30aff0f4fb2dc92d254d49275cc55976</x:v>
      </x:c>
      <x:c r="Z718" s="2" t="n">
        <x:f>SUBTOTAL(103,A718)</x:f>
        <x:v>1</x:v>
      </x:c>
      <x:c r="AA718" s="2" t="str">
        <x:f>IF(K718&lt;&gt;"미종결 표시","대상 아님",IF(N718="","신청일 확인",IF(NOT(ISNUMBER('종합 현황'!$H$5)),"관찰기준 확인",IF('종합 현황'!$H$5&lt;1,"관찰기준 확인",IF(N718&gt;'종합 현황'!$H$5,"내부 관찰 대상","내부 관찰일 이하")))))</x:f>
        <x:v>대상 아님</x:v>
      </x:c>
      <x:c r="AB718" s="2"/>
    </x:row>
    <x:row r="719" ht="42" customHeight="1">
      <x:c r="A719" s="2" t="str">
        <x:v>07b8a65780b00f84fd48ac24</x:v>
      </x:c>
      <x:c r="B719" s="2" t="str">
        <x:v>사업 평가</x:v>
      </x:c>
      <x:c r="C719" s="2" t="str">
        <x:v>국내</x:v>
      </x:c>
      <x:c r="D719" s="7" t="str">
        <x:v>대원강업(주) 창원2공장 고효율 공기압축기 교체를  통한  온실가스 감축사업</x:v>
      </x:c>
      <x:c r="E719" s="2" t="str">
        <x:v>580</x:v>
      </x:c>
      <x:c r="F719" s="2" t="str">
        <x:v>2020-07-02</x:v>
      </x:c>
      <x:c r="G719" s="2" t="str">
        <x:v>2020</x:v>
      </x:c>
      <x:c r="H719" s="2" t="str">
        <x:v>07</x:v>
      </x:c>
      <x:c r="I719" s="2" t="str">
        <x:v>승인</x:v>
      </x:c>
      <x:c r="J719" s="2" t="str">
        <x:v>심의승인</x:v>
      </x:c>
      <x:c r="K719" s="2" t="str">
        <x:f>IF(OR(J719="심의승인",J719="반려",J719="반려완료",J719="심의완료"),"종결 표시",IF(OR(J719="기후부협의",J719="문서재제출요청",J719="보류",J719="보완요청",J719="보완완료",J719="평가중",J719="반려요청",J719="평가필요",LEFT(J719,5)="보완요청("),"미종결 표시","상태 확인 필요"))</x:f>
        <x:v>종결 표시</x:v>
      </x:c>
      <x:c r="L719" s="2"/>
      <x:c r="M719" s="2"/>
      <x:c r="N719" s="8" t="n">
        <x:f>DATE(2026,10,15)-DATE(2020,7,2)</x:f>
        <x:v>2296</x:v>
      </x:c>
      <x:c r="O719" s="2"/>
      <x:c r="P719" s="2"/>
      <x:c r="Q719" s="2" t="str">
        <x:v>산업전환_외부사업관리Tool_260707_이너젠 수정_LJY_261013.xlsx</x:v>
      </x:c>
      <x:c r="R719" s="2" t="str">
        <x:v>국내평가</x:v>
      </x:c>
      <x:c r="S719" s="8" t="n">
        <x:v>622</x:v>
      </x:c>
      <x:c r="T719" s="2"/>
      <x:c r="U719" s="2" t="str"/>
      <x:c r="V719" s="2" t="str">
        <x:v>2022-05-13</x:v>
      </x:c>
      <x:c r="W719" s="2" t="str">
        <x:v>담당기관 확인</x:v>
      </x:c>
      <x:c r="X719" s="2" t="str">
        <x:v>원본·배정 기록 확인</x:v>
      </x:c>
      <x:c r="Y719" s="2" t="str">
        <x:v>ad210cd9ec132cfd447541c8984dc53d30aff0f4fb2dc92d254d49275cc55976</x:v>
      </x:c>
      <x:c r="Z719" s="2" t="n">
        <x:f>SUBTOTAL(103,A719)</x:f>
        <x:v>1</x:v>
      </x:c>
      <x:c r="AA719" s="2" t="str">
        <x:f>IF(K719&lt;&gt;"미종결 표시","대상 아님",IF(N719="","신청일 확인",IF(NOT(ISNUMBER('종합 현황'!$H$5)),"관찰기준 확인",IF('종합 현황'!$H$5&lt;1,"관찰기준 확인",IF(N719&gt;'종합 현황'!$H$5,"내부 관찰 대상","내부 관찰일 이하")))))</x:f>
        <x:v>대상 아님</x:v>
      </x:c>
      <x:c r="AB719" s="2"/>
    </x:row>
    <x:row r="720" ht="42" customHeight="1">
      <x:c r="A720" s="2" t="str">
        <x:v>496536eef2c8765d4c3e805f</x:v>
      </x:c>
      <x:c r="B720" s="2" t="str">
        <x:v>사업 평가</x:v>
      </x:c>
      <x:c r="C720" s="2" t="str">
        <x:v>국내</x:v>
      </x:c>
      <x:c r="D720" s="7" t="str">
        <x:v>동화산업(주) 연료전환(B-C유→LNG) 온실가스 감축사업</x:v>
      </x:c>
      <x:c r="E720" s="2" t="str">
        <x:v>581</x:v>
      </x:c>
      <x:c r="F720" s="2" t="str">
        <x:v>2020-07-02</x:v>
      </x:c>
      <x:c r="G720" s="2" t="str">
        <x:v>2020</x:v>
      </x:c>
      <x:c r="H720" s="2" t="str">
        <x:v>07</x:v>
      </x:c>
      <x:c r="I720" s="2" t="str">
        <x:v>승인</x:v>
      </x:c>
      <x:c r="J720" s="2" t="str">
        <x:v>심의승인</x:v>
      </x:c>
      <x:c r="K720" s="2" t="str">
        <x:f>IF(OR(J720="심의승인",J720="반려",J720="반려완료",J720="심의완료"),"종결 표시",IF(OR(J720="기후부협의",J720="문서재제출요청",J720="보류",J720="보완요청",J720="보완완료",J720="평가중",J720="반려요청",J720="평가필요",LEFT(J720,5)="보완요청("),"미종결 표시","상태 확인 필요"))</x:f>
        <x:v>종결 표시</x:v>
      </x:c>
      <x:c r="L720" s="2"/>
      <x:c r="M720" s="2"/>
      <x:c r="N720" s="8" t="n">
        <x:f>DATE(2026,10,15)-DATE(2020,7,2)</x:f>
        <x:v>2296</x:v>
      </x:c>
      <x:c r="O720" s="2" t="str">
        <x:v>O(5월)</x:v>
      </x:c>
      <x:c r="P720" s="2"/>
      <x:c r="Q720" s="2" t="str">
        <x:v>산업전환_외부사업관리Tool_260707_이너젠 수정_LJY_261013.xlsx</x:v>
      </x:c>
      <x:c r="R720" s="2" t="str">
        <x:v>국내평가</x:v>
      </x:c>
      <x:c r="S720" s="8" t="n">
        <x:v>623</x:v>
      </x:c>
      <x:c r="T720" s="2"/>
      <x:c r="U720" s="2" t="str"/>
      <x:c r="V720" s="2" t="str">
        <x:v>2022-01-18</x:v>
      </x:c>
      <x:c r="W720" s="2" t="str">
        <x:v>담당기관 확인</x:v>
      </x:c>
      <x:c r="X720" s="2" t="str">
        <x:v>원본·배정 기록 확인</x:v>
      </x:c>
      <x:c r="Y720" s="2" t="str">
        <x:v>ad210cd9ec132cfd447541c8984dc53d30aff0f4fb2dc92d254d49275cc55976</x:v>
      </x:c>
      <x:c r="Z720" s="2" t="n">
        <x:f>SUBTOTAL(103,A720)</x:f>
        <x:v>1</x:v>
      </x:c>
      <x:c r="AA720" s="2" t="str">
        <x:f>IF(K720&lt;&gt;"미종결 표시","대상 아님",IF(N720="","신청일 확인",IF(NOT(ISNUMBER('종합 현황'!$H$5)),"관찰기준 확인",IF('종합 현황'!$H$5&lt;1,"관찰기준 확인",IF(N720&gt;'종합 현황'!$H$5,"내부 관찰 대상","내부 관찰일 이하")))))</x:f>
        <x:v>대상 아님</x:v>
      </x:c>
      <x:c r="AB720" s="2"/>
    </x:row>
    <x:row r="721" ht="42" customHeight="1">
      <x:c r="A721" s="2" t="str">
        <x:v>62c65738ba4194aa13ab27b5</x:v>
      </x:c>
      <x:c r="B721" s="2" t="str">
        <x:v>사업 평가</x:v>
      </x:c>
      <x:c r="C721" s="2" t="str">
        <x:v>국내</x:v>
      </x:c>
      <x:c r="D721" s="7" t="str">
        <x:v>부천수지의 B-C유에서 도시가스(LNG)로 연료전환을 통한 온실가스 배출 감축사업</x:v>
      </x:c>
      <x:c r="E721" s="2" t="str">
        <x:v>582</x:v>
      </x:c>
      <x:c r="F721" s="2" t="str">
        <x:v>2020-07-06</x:v>
      </x:c>
      <x:c r="G721" s="2" t="str">
        <x:v>2020</x:v>
      </x:c>
      <x:c r="H721" s="2" t="str">
        <x:v>07</x:v>
      </x:c>
      <x:c r="I721" s="2" t="str">
        <x:v>승인</x:v>
      </x:c>
      <x:c r="J721" s="2" t="str">
        <x:v>심의승인</x:v>
      </x:c>
      <x:c r="K721" s="2" t="str">
        <x:f>IF(OR(J721="심의승인",J721="반려",J721="반려완료",J721="심의완료"),"종결 표시",IF(OR(J721="기후부협의",J721="문서재제출요청",J721="보류",J721="보완요청",J721="보완완료",J721="평가중",J721="반려요청",J721="평가필요",LEFT(J721,5)="보완요청("),"미종결 표시","상태 확인 필요"))</x:f>
        <x:v>종결 표시</x:v>
      </x:c>
      <x:c r="L721" s="2"/>
      <x:c r="M721" s="2"/>
      <x:c r="N721" s="8" t="n">
        <x:f>DATE(2026,10,15)-DATE(2020,7,6)</x:f>
        <x:v>2292</x:v>
      </x:c>
      <x:c r="O721" s="2" t="str">
        <x:v>O(5월)</x:v>
      </x:c>
      <x:c r="P721" s="2"/>
      <x:c r="Q721" s="2" t="str">
        <x:v>산업전환_외부사업관리Tool_260707_이너젠 수정_LJY_261013.xlsx</x:v>
      </x:c>
      <x:c r="R721" s="2" t="str">
        <x:v>국내평가</x:v>
      </x:c>
      <x:c r="S721" s="8" t="n">
        <x:v>624</x:v>
      </x:c>
      <x:c r="T721" s="2"/>
      <x:c r="U721" s="2" t="str"/>
      <x:c r="V721" s="2" t="str">
        <x:v>2022-06-10</x:v>
      </x:c>
      <x:c r="W721" s="2" t="str">
        <x:v>담당기관 확인</x:v>
      </x:c>
      <x:c r="X721" s="2" t="str">
        <x:v>원본·배정 기록 확인</x:v>
      </x:c>
      <x:c r="Y721" s="2" t="str">
        <x:v>ad210cd9ec132cfd447541c8984dc53d30aff0f4fb2dc92d254d49275cc55976</x:v>
      </x:c>
      <x:c r="Z721" s="2" t="n">
        <x:f>SUBTOTAL(103,A721)</x:f>
        <x:v>1</x:v>
      </x:c>
      <x:c r="AA721" s="2" t="str">
        <x:f>IF(K721&lt;&gt;"미종결 표시","대상 아님",IF(N721="","신청일 확인",IF(NOT(ISNUMBER('종합 현황'!$H$5)),"관찰기준 확인",IF('종합 현황'!$H$5&lt;1,"관찰기준 확인",IF(N721&gt;'종합 현황'!$H$5,"내부 관찰 대상","내부 관찰일 이하")))))</x:f>
        <x:v>대상 아님</x:v>
      </x:c>
      <x:c r="AB721" s="2"/>
    </x:row>
    <x:row r="722" ht="42" customHeight="1">
      <x:c r="A722" s="2" t="str">
        <x:v>bc29b6195ced1449067f8018</x:v>
      </x:c>
      <x:c r="B722" s="2" t="str">
        <x:v>사업 평가</x:v>
      </x:c>
      <x:c r="C722" s="2" t="str">
        <x:v>국내</x:v>
      </x:c>
      <x:c r="D722" s="7" t="str">
        <x:v>(주)자연과사람들 스팀보일러의 연료교체(B-C유→LNG)를  통한 온실가스(CO2) 배출 감축사업</x:v>
      </x:c>
      <x:c r="E722" s="2" t="str">
        <x:v>583</x:v>
      </x:c>
      <x:c r="F722" s="2" t="str">
        <x:v>2020-09-28</x:v>
      </x:c>
      <x:c r="G722" s="2" t="str">
        <x:v>2020</x:v>
      </x:c>
      <x:c r="H722" s="2" t="str">
        <x:v>09</x:v>
      </x:c>
      <x:c r="I722" s="2" t="str">
        <x:v>반려</x:v>
      </x:c>
      <x:c r="J722" s="2" t="str">
        <x:v>반려</x:v>
      </x:c>
      <x:c r="K722" s="2" t="str">
        <x:f>IF(OR(J722="심의승인",J722="반려",J722="반려완료",J722="심의완료"),"종결 표시",IF(OR(J722="기후부협의",J722="문서재제출요청",J722="보류",J722="보완요청",J722="보완완료",J722="평가중",J722="반려요청",J722="평가필요",LEFT(J722,5)="보완요청("),"미종결 표시","상태 확인 필요"))</x:f>
        <x:v>종결 표시</x:v>
      </x:c>
      <x:c r="L722" s="2"/>
      <x:c r="M722" s="2"/>
      <x:c r="N722" s="8" t="n">
        <x:f>DATE(2026,10,15)-DATE(2020,9,28)</x:f>
        <x:v>2208</x:v>
      </x:c>
      <x:c r="O722" s="2" t="str">
        <x:v>O(4월)</x:v>
      </x:c>
      <x:c r="P722" s="2"/>
      <x:c r="Q722" s="2" t="str">
        <x:v>산업전환_외부사업관리Tool_260707_이너젠 수정_LJY_261013.xlsx</x:v>
      </x:c>
      <x:c r="R722" s="2" t="str">
        <x:v>국내평가</x:v>
      </x:c>
      <x:c r="S722" s="8" t="n">
        <x:v>625</x:v>
      </x:c>
      <x:c r="T722" s="2" t="str">
        <x:v>2021년 처리</x:v>
      </x:c>
      <x:c r="U722" s="2" t="str">
        <x:v>2021 배정: 2021년 처리</x:v>
      </x:c>
      <x:c r="V722" s="2" t="str">
        <x:v>2021-06-30</x:v>
      </x:c>
      <x:c r="W722" s="2" t="str">
        <x:v>담당기관 확인</x:v>
      </x:c>
      <x:c r="X722" s="2" t="str">
        <x:v>원본·배정 기록 확인</x:v>
      </x:c>
      <x:c r="Y722" s="2" t="str">
        <x:v>ad210cd9ec132cfd447541c8984dc53d30aff0f4fb2dc92d254d49275cc55976</x:v>
      </x:c>
      <x:c r="Z722" s="2" t="n">
        <x:f>SUBTOTAL(103,A722)</x:f>
        <x:v>1</x:v>
      </x:c>
      <x:c r="AA722" s="2" t="str">
        <x:f>IF(K722&lt;&gt;"미종결 표시","대상 아님",IF(N722="","신청일 확인",IF(NOT(ISNUMBER('종합 현황'!$H$5)),"관찰기준 확인",IF('종합 현황'!$H$5&lt;1,"관찰기준 확인",IF(N722&gt;'종합 현황'!$H$5,"내부 관찰 대상","내부 관찰일 이하")))))</x:f>
        <x:v>대상 아님</x:v>
      </x:c>
      <x:c r="AB722" s="2"/>
    </x:row>
    <x:row r="723" ht="42" customHeight="1">
      <x:c r="A723" s="2" t="str">
        <x:v>89b6b05678af0009d9dcf121</x:v>
      </x:c>
      <x:c r="B723" s="2" t="str">
        <x:v>사업 평가</x:v>
      </x:c>
      <x:c r="C723" s="2" t="str">
        <x:v>국내</x:v>
      </x:c>
      <x:c r="D723" s="7" t="str">
        <x:v>신원화학 스팀보일러의 연료교체(B-C유→LNG)를 통한 온실가스(CO2) 배출 감축사업</x:v>
      </x:c>
      <x:c r="E723" s="2" t="str">
        <x:v>584</x:v>
      </x:c>
      <x:c r="F723" s="2" t="str">
        <x:v>2020-09-29</x:v>
      </x:c>
      <x:c r="G723" s="2" t="str">
        <x:v>2020</x:v>
      </x:c>
      <x:c r="H723" s="2" t="str">
        <x:v>09</x:v>
      </x:c>
      <x:c r="I723" s="2" t="str">
        <x:v>반려</x:v>
      </x:c>
      <x:c r="J723" s="2" t="str">
        <x:v>반려</x:v>
      </x:c>
      <x:c r="K723" s="2" t="str">
        <x:f>IF(OR(J723="심의승인",J723="반려",J723="반려완료",J723="심의완료"),"종결 표시",IF(OR(J723="기후부협의",J723="문서재제출요청",J723="보류",J723="보완요청",J723="보완완료",J723="평가중",J723="반려요청",J723="평가필요",LEFT(J723,5)="보완요청("),"미종결 표시","상태 확인 필요"))</x:f>
        <x:v>종결 표시</x:v>
      </x:c>
      <x:c r="L723" s="2"/>
      <x:c r="M723" s="2"/>
      <x:c r="N723" s="8" t="n">
        <x:f>DATE(2026,10,15)-DATE(2020,9,29)</x:f>
        <x:v>2207</x:v>
      </x:c>
      <x:c r="O723" s="2"/>
      <x:c r="P723" s="2"/>
      <x:c r="Q723" s="2" t="str">
        <x:v>산업전환_외부사업관리Tool_260707_이너젠 수정_LJY_261013.xlsx</x:v>
      </x:c>
      <x:c r="R723" s="2" t="str">
        <x:v>국내평가</x:v>
      </x:c>
      <x:c r="S723" s="8" t="n">
        <x:v>626</x:v>
      </x:c>
      <x:c r="T723" s="2" t="str">
        <x:v>2021년 처리</x:v>
      </x:c>
      <x:c r="U723" s="2" t="str">
        <x:v>2021 배정: 2021년 처리</x:v>
      </x:c>
      <x:c r="V723" s="2" t="str">
        <x:v>2021-07-01</x:v>
      </x:c>
      <x:c r="W723" s="2" t="str">
        <x:v>담당기관 확인</x:v>
      </x:c>
      <x:c r="X723" s="2" t="str">
        <x:v>원본·배정 기록 확인</x:v>
      </x:c>
      <x:c r="Y723" s="2" t="str">
        <x:v>ad210cd9ec132cfd447541c8984dc53d30aff0f4fb2dc92d254d49275cc55976</x:v>
      </x:c>
      <x:c r="Z723" s="2" t="n">
        <x:f>SUBTOTAL(103,A723)</x:f>
        <x:v>1</x:v>
      </x:c>
      <x:c r="AA723" s="2" t="str">
        <x:f>IF(K723&lt;&gt;"미종결 표시","대상 아님",IF(N723="","신청일 확인",IF(NOT(ISNUMBER('종합 현황'!$H$5)),"관찰기준 확인",IF('종합 현황'!$H$5&lt;1,"관찰기준 확인",IF(N723&gt;'종합 현황'!$H$5,"내부 관찰 대상","내부 관찰일 이하")))))</x:f>
        <x:v>대상 아님</x:v>
      </x:c>
      <x:c r="AB723" s="2"/>
    </x:row>
    <x:row r="724" ht="42" customHeight="1">
      <x:c r="A724" s="2" t="str">
        <x:v>2b7f6ec563f906c1d0c93c33</x:v>
      </x:c>
      <x:c r="B724" s="2" t="str">
        <x:v>사업 평가</x:v>
      </x:c>
      <x:c r="C724" s="2" t="str">
        <x:v>국내</x:v>
      </x:c>
      <x:c r="D724" s="7" t="str">
        <x:v>세림산업 소성로 및 열풍기 등의  연료교체(LPG→LNG)를 통한 온실가스(CO2)  배출 감축사업</x:v>
      </x:c>
      <x:c r="E724" s="2" t="str">
        <x:v>585</x:v>
      </x:c>
      <x:c r="F724" s="2" t="str">
        <x:v>2020-09-29</x:v>
      </x:c>
      <x:c r="G724" s="2" t="str">
        <x:v>2020</x:v>
      </x:c>
      <x:c r="H724" s="2" t="str">
        <x:v>09</x:v>
      </x:c>
      <x:c r="I724" s="2" t="str">
        <x:v>반려</x:v>
      </x:c>
      <x:c r="J724" s="2" t="str">
        <x:v>반려</x:v>
      </x:c>
      <x:c r="K724" s="2" t="str">
        <x:f>IF(OR(J724="심의승인",J724="반려",J724="반려완료",J724="심의완료"),"종결 표시",IF(OR(J724="기후부협의",J724="문서재제출요청",J724="보류",J724="보완요청",J724="보완완료",J724="평가중",J724="반려요청",J724="평가필요",LEFT(J724,5)="보완요청("),"미종결 표시","상태 확인 필요"))</x:f>
        <x:v>종결 표시</x:v>
      </x:c>
      <x:c r="L724" s="2"/>
      <x:c r="M724" s="2"/>
      <x:c r="N724" s="8" t="n">
        <x:f>DATE(2026,10,15)-DATE(2020,9,29)</x:f>
        <x:v>2207</x:v>
      </x:c>
      <x:c r="O724" s="2"/>
      <x:c r="P724" s="2"/>
      <x:c r="Q724" s="2" t="str">
        <x:v>산업전환_외부사업관리Tool_260707_이너젠 수정_LJY_261013.xlsx</x:v>
      </x:c>
      <x:c r="R724" s="2" t="str">
        <x:v>국내평가</x:v>
      </x:c>
      <x:c r="S724" s="8" t="n">
        <x:v>627</x:v>
      </x:c>
      <x:c r="T724" s="2" t="str">
        <x:v>2021년 처리</x:v>
      </x:c>
      <x:c r="U724" s="2" t="str">
        <x:v>2021 배정: 2021년 처리</x:v>
      </x:c>
      <x:c r="V724" s="2" t="str">
        <x:v>2021-07-01</x:v>
      </x:c>
      <x:c r="W724" s="2" t="str">
        <x:v>담당기관 확인</x:v>
      </x:c>
      <x:c r="X724" s="2" t="str">
        <x:v>원본·배정 기록 확인</x:v>
      </x:c>
      <x:c r="Y724" s="2" t="str">
        <x:v>ad210cd9ec132cfd447541c8984dc53d30aff0f4fb2dc92d254d49275cc55976</x:v>
      </x:c>
      <x:c r="Z724" s="2" t="n">
        <x:f>SUBTOTAL(103,A724)</x:f>
        <x:v>1</x:v>
      </x:c>
      <x:c r="AA724" s="2" t="str">
        <x:f>IF(K724&lt;&gt;"미종결 표시","대상 아님",IF(N724="","신청일 확인",IF(NOT(ISNUMBER('종합 현황'!$H$5)),"관찰기준 확인",IF('종합 현황'!$H$5&lt;1,"관찰기준 확인",IF(N724&gt;'종합 현황'!$H$5,"내부 관찰 대상","내부 관찰일 이하")))))</x:f>
        <x:v>대상 아님</x:v>
      </x:c>
      <x:c r="AB724" s="2"/>
    </x:row>
    <x:row r="725" ht="42" customHeight="1">
      <x:c r="A725" s="2" t="str">
        <x:v>6b4b8ecedd8c34d594cc7768</x:v>
      </x:c>
      <x:c r="B725" s="2" t="str">
        <x:v>사업 평가</x:v>
      </x:c>
      <x:c r="C725" s="2" t="str">
        <x:v>국내</x:v>
      </x:c>
      <x:c r="D725" s="7" t="str">
        <x:v>(주)메라톤의 연료전환 (B-C유 → LNG)에 의한 온실가스(CO2) 배출 감축사업</x:v>
      </x:c>
      <x:c r="E725" s="2" t="str">
        <x:v>586</x:v>
      </x:c>
      <x:c r="F725" s="2" t="str">
        <x:v>2020-09-29</x:v>
      </x:c>
      <x:c r="G725" s="2" t="str">
        <x:v>2020</x:v>
      </x:c>
      <x:c r="H725" s="2" t="str">
        <x:v>09</x:v>
      </x:c>
      <x:c r="I725" s="2" t="str">
        <x:v>반려</x:v>
      </x:c>
      <x:c r="J725" s="2" t="str">
        <x:v>반려</x:v>
      </x:c>
      <x:c r="K725" s="2" t="str">
        <x:f>IF(OR(J725="심의승인",J725="반려",J725="반려완료",J725="심의완료"),"종결 표시",IF(OR(J725="기후부협의",J725="문서재제출요청",J725="보류",J725="보완요청",J725="보완완료",J725="평가중",J725="반려요청",J725="평가필요",LEFT(J725,5)="보완요청("),"미종결 표시","상태 확인 필요"))</x:f>
        <x:v>종결 표시</x:v>
      </x:c>
      <x:c r="L725" s="2"/>
      <x:c r="M725" s="2"/>
      <x:c r="N725" s="8" t="n">
        <x:f>DATE(2026,10,15)-DATE(2020,9,29)</x:f>
        <x:v>2207</x:v>
      </x:c>
      <x:c r="O725" s="2"/>
      <x:c r="P725" s="2"/>
      <x:c r="Q725" s="2" t="str">
        <x:v>산업전환_외부사업관리Tool_260707_이너젠 수정_LJY_261013.xlsx</x:v>
      </x:c>
      <x:c r="R725" s="2" t="str">
        <x:v>국내평가</x:v>
      </x:c>
      <x:c r="S725" s="8" t="n">
        <x:v>628</x:v>
      </x:c>
      <x:c r="T725" s="2" t="str">
        <x:v>2021년 처리</x:v>
      </x:c>
      <x:c r="U725" s="2" t="str">
        <x:v>2021 배정: 2021년 처리</x:v>
      </x:c>
      <x:c r="V725" s="2" t="str">
        <x:v>2021-07-01</x:v>
      </x:c>
      <x:c r="W725" s="2" t="str">
        <x:v>담당기관 확인</x:v>
      </x:c>
      <x:c r="X725" s="2" t="str">
        <x:v>원본·배정 기록 확인</x:v>
      </x:c>
      <x:c r="Y725" s="2" t="str">
        <x:v>ad210cd9ec132cfd447541c8984dc53d30aff0f4fb2dc92d254d49275cc55976</x:v>
      </x:c>
      <x:c r="Z725" s="2" t="n">
        <x:f>SUBTOTAL(103,A725)</x:f>
        <x:v>1</x:v>
      </x:c>
      <x:c r="AA725" s="2" t="str">
        <x:f>IF(K725&lt;&gt;"미종결 표시","대상 아님",IF(N725="","신청일 확인",IF(NOT(ISNUMBER('종합 현황'!$H$5)),"관찰기준 확인",IF('종합 현황'!$H$5&lt;1,"관찰기준 확인",IF(N725&gt;'종합 현황'!$H$5,"내부 관찰 대상","내부 관찰일 이하")))))</x:f>
        <x:v>대상 아님</x:v>
      </x:c>
      <x:c r="AB725" s="2"/>
    </x:row>
    <x:row r="726" ht="42" customHeight="1">
      <x:c r="A726" s="2" t="str">
        <x:v>d2b662186bdc7ac0d26b3003</x:v>
      </x:c>
      <x:c r="B726" s="2" t="str">
        <x:v>사업 평가</x:v>
      </x:c>
      <x:c r="C726" s="2" t="str">
        <x:v>국내</x:v>
      </x:c>
      <x:c r="D726" s="7" t="str">
        <x:v>㈜뉴덕흥기업 보일러 버너교체를 통한 연료전환(B-C유 → LNG) 온실가스 배출 감축 사업</x:v>
      </x:c>
      <x:c r="E726" s="2" t="str">
        <x:v>587</x:v>
      </x:c>
      <x:c r="F726" s="2" t="str">
        <x:v>2020-09-29</x:v>
      </x:c>
      <x:c r="G726" s="2" t="str">
        <x:v>2020</x:v>
      </x:c>
      <x:c r="H726" s="2" t="str">
        <x:v>09</x:v>
      </x:c>
      <x:c r="I726" s="2" t="str">
        <x:v>반려</x:v>
      </x:c>
      <x:c r="J726" s="2" t="str">
        <x:v>반려</x:v>
      </x:c>
      <x:c r="K726" s="2" t="str">
        <x:f>IF(OR(J726="심의승인",J726="반려",J726="반려완료",J726="심의완료"),"종결 표시",IF(OR(J726="기후부협의",J726="문서재제출요청",J726="보류",J726="보완요청",J726="보완완료",J726="평가중",J726="반려요청",J726="평가필요",LEFT(J726,5)="보완요청("),"미종결 표시","상태 확인 필요"))</x:f>
        <x:v>종결 표시</x:v>
      </x:c>
      <x:c r="L726" s="2"/>
      <x:c r="M726" s="2"/>
      <x:c r="N726" s="8" t="n">
        <x:f>DATE(2026,10,15)-DATE(2020,9,29)</x:f>
        <x:v>2207</x:v>
      </x:c>
      <x:c r="O726" s="2"/>
      <x:c r="P726" s="2"/>
      <x:c r="Q726" s="2" t="str">
        <x:v>산업전환_외부사업관리Tool_260707_이너젠 수정_LJY_261013.xlsx</x:v>
      </x:c>
      <x:c r="R726" s="2" t="str">
        <x:v>국내평가</x:v>
      </x:c>
      <x:c r="S726" s="8" t="n">
        <x:v>629</x:v>
      </x:c>
      <x:c r="T726" s="2" t="str">
        <x:v>2021년 처리</x:v>
      </x:c>
      <x:c r="U726" s="2" t="str">
        <x:v>2021 배정: 2021년 처리</x:v>
      </x:c>
      <x:c r="V726" s="2" t="str">
        <x:v>2021-07-01</x:v>
      </x:c>
      <x:c r="W726" s="2" t="str">
        <x:v>담당기관 확인</x:v>
      </x:c>
      <x:c r="X726" s="2" t="str">
        <x:v>원본·배정 기록 확인</x:v>
      </x:c>
      <x:c r="Y726" s="2" t="str">
        <x:v>ad210cd9ec132cfd447541c8984dc53d30aff0f4fb2dc92d254d49275cc55976</x:v>
      </x:c>
      <x:c r="Z726" s="2" t="n">
        <x:f>SUBTOTAL(103,A726)</x:f>
        <x:v>1</x:v>
      </x:c>
      <x:c r="AA726" s="2" t="str">
        <x:f>IF(K726&lt;&gt;"미종결 표시","대상 아님",IF(N726="","신청일 확인",IF(NOT(ISNUMBER('종합 현황'!$H$5)),"관찰기준 확인",IF('종합 현황'!$H$5&lt;1,"관찰기준 확인",IF(N726&gt;'종합 현황'!$H$5,"내부 관찰 대상","내부 관찰일 이하")))))</x:f>
        <x:v>대상 아님</x:v>
      </x:c>
      <x:c r="AB726" s="2"/>
    </x:row>
    <x:row r="727" ht="42" customHeight="1">
      <x:c r="A727" s="2" t="str">
        <x:v>8555d102d00d35e31abe5b52</x:v>
      </x:c>
      <x:c r="B727" s="2" t="str">
        <x:v>사업 평가</x:v>
      </x:c>
      <x:c r="C727" s="2" t="str">
        <x:v>국내</x:v>
      </x:c>
      <x:c r="D727" s="7" t="str">
        <x:v>성은 음성공장 B-C유의 LNG로의 연료전환을 통한 온실가스 감축사업</x:v>
      </x:c>
      <x:c r="E727" s="2" t="str">
        <x:v>588</x:v>
      </x:c>
      <x:c r="F727" s="2" t="str">
        <x:v>2020-09-29</x:v>
      </x:c>
      <x:c r="G727" s="2" t="str">
        <x:v>2020</x:v>
      </x:c>
      <x:c r="H727" s="2" t="str">
        <x:v>09</x:v>
      </x:c>
      <x:c r="I727" s="2" t="str">
        <x:v>반려</x:v>
      </x:c>
      <x:c r="J727" s="2" t="str">
        <x:v>반려</x:v>
      </x:c>
      <x:c r="K727" s="2" t="str">
        <x:f>IF(OR(J727="심의승인",J727="반려",J727="반려완료",J727="심의완료"),"종결 표시",IF(OR(J727="기후부협의",J727="문서재제출요청",J727="보류",J727="보완요청",J727="보완완료",J727="평가중",J727="반려요청",J727="평가필요",LEFT(J727,5)="보완요청("),"미종결 표시","상태 확인 필요"))</x:f>
        <x:v>종결 표시</x:v>
      </x:c>
      <x:c r="L727" s="2"/>
      <x:c r="M727" s="2"/>
      <x:c r="N727" s="8" t="n">
        <x:f>DATE(2026,10,15)-DATE(2020,9,29)</x:f>
        <x:v>2207</x:v>
      </x:c>
      <x:c r="O727" s="2" t="str">
        <x:v>O(4월)</x:v>
      </x:c>
      <x:c r="P727" s="2"/>
      <x:c r="Q727" s="2" t="str">
        <x:v>산업전환_외부사업관리Tool_260707_이너젠 수정_LJY_261013.xlsx</x:v>
      </x:c>
      <x:c r="R727" s="2" t="str">
        <x:v>국내평가</x:v>
      </x:c>
      <x:c r="S727" s="8" t="n">
        <x:v>630</x:v>
      </x:c>
      <x:c r="T727" s="2" t="str">
        <x:v>2021년 처리</x:v>
      </x:c>
      <x:c r="U727" s="2" t="str">
        <x:v>2021 배정: 2021년 처리</x:v>
      </x:c>
      <x:c r="V727" s="2" t="str">
        <x:v>2021-07-01</x:v>
      </x:c>
      <x:c r="W727" s="2" t="str">
        <x:v>담당기관 확인</x:v>
      </x:c>
      <x:c r="X727" s="2" t="str">
        <x:v>원본·배정 기록 확인</x:v>
      </x:c>
      <x:c r="Y727" s="2" t="str">
        <x:v>ad210cd9ec132cfd447541c8984dc53d30aff0f4fb2dc92d254d49275cc55976</x:v>
      </x:c>
      <x:c r="Z727" s="2" t="n">
        <x:f>SUBTOTAL(103,A727)</x:f>
        <x:v>1</x:v>
      </x:c>
      <x:c r="AA727" s="2" t="str">
        <x:f>IF(K727&lt;&gt;"미종결 표시","대상 아님",IF(N727="","신청일 확인",IF(NOT(ISNUMBER('종합 현황'!$H$5)),"관찰기준 확인",IF('종합 현황'!$H$5&lt;1,"관찰기준 확인",IF(N727&gt;'종합 현황'!$H$5,"내부 관찰 대상","내부 관찰일 이하")))))</x:f>
        <x:v>대상 아님</x:v>
      </x:c>
      <x:c r="AB727" s="2"/>
    </x:row>
    <x:row r="728" ht="42" customHeight="1">
      <x:c r="A728" s="2" t="str">
        <x:v>765464376ecc613016378ef4</x:v>
      </x:c>
      <x:c r="B728" s="2" t="str">
        <x:v>사업 평가</x:v>
      </x:c>
      <x:c r="C728" s="2" t="str">
        <x:v>국내</x:v>
      </x:c>
      <x:c r="D728" s="7" t="str">
        <x:v>산양 스팀보일러 및 건조로의 연료교체를 통한 온실가스 감축사업</x:v>
      </x:c>
      <x:c r="E728" s="2" t="str">
        <x:v>589</x:v>
      </x:c>
      <x:c r="F728" s="2" t="str">
        <x:v>2020-09-29</x:v>
      </x:c>
      <x:c r="G728" s="2" t="str">
        <x:v>2020</x:v>
      </x:c>
      <x:c r="H728" s="2" t="str">
        <x:v>09</x:v>
      </x:c>
      <x:c r="I728" s="2" t="str">
        <x:v>반려</x:v>
      </x:c>
      <x:c r="J728" s="2" t="str">
        <x:v>반려</x:v>
      </x:c>
      <x:c r="K728" s="2" t="str">
        <x:f>IF(OR(J728="심의승인",J728="반려",J728="반려완료",J728="심의완료"),"종결 표시",IF(OR(J728="기후부협의",J728="문서재제출요청",J728="보류",J728="보완요청",J728="보완완료",J728="평가중",J728="반려요청",J728="평가필요",LEFT(J728,5)="보완요청("),"미종결 표시","상태 확인 필요"))</x:f>
        <x:v>종결 표시</x:v>
      </x:c>
      <x:c r="L728" s="2"/>
      <x:c r="M728" s="2"/>
      <x:c r="N728" s="8" t="n">
        <x:f>DATE(2026,10,15)-DATE(2020,9,29)</x:f>
        <x:v>2207</x:v>
      </x:c>
      <x:c r="O728" s="2"/>
      <x:c r="P728" s="2"/>
      <x:c r="Q728" s="2" t="str">
        <x:v>산업전환_외부사업관리Tool_260707_이너젠 수정_LJY_261013.xlsx</x:v>
      </x:c>
      <x:c r="R728" s="2" t="str">
        <x:v>국내평가</x:v>
      </x:c>
      <x:c r="S728" s="8" t="n">
        <x:v>631</x:v>
      </x:c>
      <x:c r="T728" s="2" t="str">
        <x:v>2021년 처리</x:v>
      </x:c>
      <x:c r="U728" s="2" t="str">
        <x:v>2021 배정: 2021년 처리</x:v>
      </x:c>
      <x:c r="V728" s="2" t="str">
        <x:v>2021-07-01</x:v>
      </x:c>
      <x:c r="W728" s="2" t="str">
        <x:v>담당기관 확인</x:v>
      </x:c>
      <x:c r="X728" s="2" t="str">
        <x:v>원본·배정 기록 확인</x:v>
      </x:c>
      <x:c r="Y728" s="2" t="str">
        <x:v>ad210cd9ec132cfd447541c8984dc53d30aff0f4fb2dc92d254d49275cc55976</x:v>
      </x:c>
      <x:c r="Z728" s="2" t="n">
        <x:f>SUBTOTAL(103,A728)</x:f>
        <x:v>1</x:v>
      </x:c>
      <x:c r="AA728" s="2" t="str">
        <x:f>IF(K728&lt;&gt;"미종결 표시","대상 아님",IF(N728="","신청일 확인",IF(NOT(ISNUMBER('종합 현황'!$H$5)),"관찰기준 확인",IF('종합 현황'!$H$5&lt;1,"관찰기준 확인",IF(N728&gt;'종합 현황'!$H$5,"내부 관찰 대상","내부 관찰일 이하")))))</x:f>
        <x:v>대상 아님</x:v>
      </x:c>
      <x:c r="AB728" s="2"/>
    </x:row>
    <x:row r="729" ht="42" customHeight="1">
      <x:c r="A729" s="2" t="str">
        <x:v>3d0a0193f436685f6651ef58</x:v>
      </x:c>
      <x:c r="B729" s="2" t="str">
        <x:v>사업 평가</x:v>
      </x:c>
      <x:c r="C729" s="2" t="str">
        <x:v>국내</x:v>
      </x:c>
      <x:c r="D729" s="7" t="str">
        <x:v>케이티세라믹 당진사업장 소성로 및 드라이어의 연료교체(LPG-&gt;LNG)를 통한 온실가스 배출 감축사업</x:v>
      </x:c>
      <x:c r="E729" s="2" t="str">
        <x:v>590</x:v>
      </x:c>
      <x:c r="F729" s="2" t="str">
        <x:v>2020-09-29</x:v>
      </x:c>
      <x:c r="G729" s="2" t="str">
        <x:v>2020</x:v>
      </x:c>
      <x:c r="H729" s="2" t="str">
        <x:v>09</x:v>
      </x:c>
      <x:c r="I729" s="2" t="str">
        <x:v>반려</x:v>
      </x:c>
      <x:c r="J729" s="2" t="str">
        <x:v>반려</x:v>
      </x:c>
      <x:c r="K729" s="2" t="str">
        <x:f>IF(OR(J729="심의승인",J729="반려",J729="반려완료",J729="심의완료"),"종결 표시",IF(OR(J729="기후부협의",J729="문서재제출요청",J729="보류",J729="보완요청",J729="보완완료",J729="평가중",J729="반려요청",J729="평가필요",LEFT(J729,5)="보완요청("),"미종결 표시","상태 확인 필요"))</x:f>
        <x:v>종결 표시</x:v>
      </x:c>
      <x:c r="L729" s="2"/>
      <x:c r="M729" s="2"/>
      <x:c r="N729" s="8" t="n">
        <x:f>DATE(2026,10,15)-DATE(2020,9,29)</x:f>
        <x:v>2207</x:v>
      </x:c>
      <x:c r="O729" s="2"/>
      <x:c r="P729" s="2"/>
      <x:c r="Q729" s="2" t="str">
        <x:v>산업전환_외부사업관리Tool_260707_이너젠 수정_LJY_261013.xlsx</x:v>
      </x:c>
      <x:c r="R729" s="2" t="str">
        <x:v>국내평가</x:v>
      </x:c>
      <x:c r="S729" s="8" t="n">
        <x:v>632</x:v>
      </x:c>
      <x:c r="T729" s="2" t="str">
        <x:v>2021년 처리</x:v>
      </x:c>
      <x:c r="U729" s="2" t="str">
        <x:v>2021 배정: 2021년 처리</x:v>
      </x:c>
      <x:c r="V729" s="2" t="str">
        <x:v>2021-07-01</x:v>
      </x:c>
      <x:c r="W729" s="2" t="str">
        <x:v>담당기관 확인</x:v>
      </x:c>
      <x:c r="X729" s="2" t="str">
        <x:v>원본·배정 기록 확인</x:v>
      </x:c>
      <x:c r="Y729" s="2" t="str">
        <x:v>ad210cd9ec132cfd447541c8984dc53d30aff0f4fb2dc92d254d49275cc55976</x:v>
      </x:c>
      <x:c r="Z729" s="2" t="n">
        <x:f>SUBTOTAL(103,A729)</x:f>
        <x:v>1</x:v>
      </x:c>
      <x:c r="AA729" s="2" t="str">
        <x:f>IF(K729&lt;&gt;"미종결 표시","대상 아님",IF(N729="","신청일 확인",IF(NOT(ISNUMBER('종합 현황'!$H$5)),"관찰기준 확인",IF('종합 현황'!$H$5&lt;1,"관찰기준 확인",IF(N729&gt;'종합 현황'!$H$5,"내부 관찰 대상","내부 관찰일 이하")))))</x:f>
        <x:v>대상 아님</x:v>
      </x:c>
      <x:c r="AB729" s="2"/>
    </x:row>
    <x:row r="730" ht="42" customHeight="1">
      <x:c r="A730" s="2" t="str">
        <x:v>5443c2d98fb966228bb8e379</x:v>
      </x:c>
      <x:c r="B730" s="2" t="str">
        <x:v>사업 평가</x:v>
      </x:c>
      <x:c r="C730" s="2" t="str">
        <x:v>국내</x:v>
      </x:c>
      <x:c r="D730" s="7" t="str">
        <x:v>케이티세라믹 예산사업장 소성로 및 드라이 어의 연료교체(LPG→LNG)을 통한 온실가스  감축사업</x:v>
      </x:c>
      <x:c r="E730" s="2" t="str">
        <x:v>591</x:v>
      </x:c>
      <x:c r="F730" s="2" t="str">
        <x:v>2020-09-29</x:v>
      </x:c>
      <x:c r="G730" s="2" t="str">
        <x:v>2020</x:v>
      </x:c>
      <x:c r="H730" s="2" t="str">
        <x:v>09</x:v>
      </x:c>
      <x:c r="I730" s="2" t="str">
        <x:v>반려</x:v>
      </x:c>
      <x:c r="J730" s="2" t="str">
        <x:v>반려</x:v>
      </x:c>
      <x:c r="K730" s="2" t="str">
        <x:f>IF(OR(J730="심의승인",J730="반려",J730="반려완료",J730="심의완료"),"종결 표시",IF(OR(J730="기후부협의",J730="문서재제출요청",J730="보류",J730="보완요청",J730="보완완료",J730="평가중",J730="반려요청",J730="평가필요",LEFT(J730,5)="보완요청("),"미종결 표시","상태 확인 필요"))</x:f>
        <x:v>종결 표시</x:v>
      </x:c>
      <x:c r="L730" s="2"/>
      <x:c r="M730" s="2"/>
      <x:c r="N730" s="8" t="n">
        <x:f>DATE(2026,10,15)-DATE(2020,9,29)</x:f>
        <x:v>2207</x:v>
      </x:c>
      <x:c r="O730" s="2"/>
      <x:c r="P730" s="2"/>
      <x:c r="Q730" s="2" t="str">
        <x:v>산업전환_외부사업관리Tool_260707_이너젠 수정_LJY_261013.xlsx</x:v>
      </x:c>
      <x:c r="R730" s="2" t="str">
        <x:v>국내평가</x:v>
      </x:c>
      <x:c r="S730" s="8" t="n">
        <x:v>633</x:v>
      </x:c>
      <x:c r="T730" s="2" t="str">
        <x:v>2021년 처리</x:v>
      </x:c>
      <x:c r="U730" s="2" t="str">
        <x:v>2021 배정: 2021년 처리</x:v>
      </x:c>
      <x:c r="V730" s="2" t="str">
        <x:v>2021-07-01</x:v>
      </x:c>
      <x:c r="W730" s="2" t="str">
        <x:v>담당기관 확인</x:v>
      </x:c>
      <x:c r="X730" s="2" t="str">
        <x:v>원본·배정 기록 확인</x:v>
      </x:c>
      <x:c r="Y730" s="2" t="str">
        <x:v>ad210cd9ec132cfd447541c8984dc53d30aff0f4fb2dc92d254d49275cc55976</x:v>
      </x:c>
      <x:c r="Z730" s="2" t="n">
        <x:f>SUBTOTAL(103,A730)</x:f>
        <x:v>1</x:v>
      </x:c>
      <x:c r="AA730" s="2" t="str">
        <x:f>IF(K730&lt;&gt;"미종결 표시","대상 아님",IF(N730="","신청일 확인",IF(NOT(ISNUMBER('종합 현황'!$H$5)),"관찰기준 확인",IF('종합 현황'!$H$5&lt;1,"관찰기준 확인",IF(N730&gt;'종합 현황'!$H$5,"내부 관찰 대상","내부 관찰일 이하")))))</x:f>
        <x:v>대상 아님</x:v>
      </x:c>
      <x:c r="AB730" s="2"/>
    </x:row>
    <x:row r="731" ht="42" customHeight="1">
      <x:c r="A731" s="2" t="str">
        <x:v>8bd3a6e7b4d675f8a380a781</x:v>
      </x:c>
      <x:c r="B731" s="2" t="str">
        <x:v>사업 평가</x:v>
      </x:c>
      <x:c r="C731" s="2" t="str">
        <x:v>국내</x:v>
      </x:c>
      <x:c r="D731" s="7" t="str">
        <x:v>국순당 횡성공장의 보일러 연료전환(감압정제유→LNG)을 통한 온실가스(CO2) 배출 감축사업</x:v>
      </x:c>
      <x:c r="E731" s="2" t="str">
        <x:v>592</x:v>
      </x:c>
      <x:c r="F731" s="2" t="str">
        <x:v>2020-09-29</x:v>
      </x:c>
      <x:c r="G731" s="2" t="str">
        <x:v>2020</x:v>
      </x:c>
      <x:c r="H731" s="2" t="str">
        <x:v>09</x:v>
      </x:c>
      <x:c r="I731" s="2" t="str">
        <x:v>반려</x:v>
      </x:c>
      <x:c r="J731" s="2" t="str">
        <x:v>반려</x:v>
      </x:c>
      <x:c r="K731" s="2" t="str">
        <x:f>IF(OR(J731="심의승인",J731="반려",J731="반려완료",J731="심의완료"),"종결 표시",IF(OR(J731="기후부협의",J731="문서재제출요청",J731="보류",J731="보완요청",J731="보완완료",J731="평가중",J731="반려요청",J731="평가필요",LEFT(J731,5)="보완요청("),"미종결 표시","상태 확인 필요"))</x:f>
        <x:v>종결 표시</x:v>
      </x:c>
      <x:c r="L731" s="2"/>
      <x:c r="M731" s="2"/>
      <x:c r="N731" s="8" t="n">
        <x:f>DATE(2026,10,15)-DATE(2020,9,29)</x:f>
        <x:v>2207</x:v>
      </x:c>
      <x:c r="O731" s="2"/>
      <x:c r="P731" s="2"/>
      <x:c r="Q731" s="2" t="str">
        <x:v>산업전환_외부사업관리Tool_260707_이너젠 수정_LJY_261013.xlsx</x:v>
      </x:c>
      <x:c r="R731" s="2" t="str">
        <x:v>국내평가</x:v>
      </x:c>
      <x:c r="S731" s="8" t="n">
        <x:v>634</x:v>
      </x:c>
      <x:c r="T731" s="2" t="str">
        <x:v>2021년 처리</x:v>
      </x:c>
      <x:c r="U731" s="2" t="str">
        <x:v>2021 배정: 2021년 처리</x:v>
      </x:c>
      <x:c r="V731" s="2" t="str">
        <x:v>2021-06-30</x:v>
      </x:c>
      <x:c r="W731" s="2" t="str">
        <x:v>담당기관 확인</x:v>
      </x:c>
      <x:c r="X731" s="2" t="str">
        <x:v>원본·배정 기록 확인</x:v>
      </x:c>
      <x:c r="Y731" s="2" t="str">
        <x:v>ad210cd9ec132cfd447541c8984dc53d30aff0f4fb2dc92d254d49275cc55976</x:v>
      </x:c>
      <x:c r="Z731" s="2" t="n">
        <x:f>SUBTOTAL(103,A731)</x:f>
        <x:v>1</x:v>
      </x:c>
      <x:c r="AA731" s="2" t="str">
        <x:f>IF(K731&lt;&gt;"미종결 표시","대상 아님",IF(N731="","신청일 확인",IF(NOT(ISNUMBER('종합 현황'!$H$5)),"관찰기준 확인",IF('종합 현황'!$H$5&lt;1,"관찰기준 확인",IF(N731&gt;'종합 현황'!$H$5,"내부 관찰 대상","내부 관찰일 이하")))))</x:f>
        <x:v>대상 아님</x:v>
      </x:c>
      <x:c r="AB731" s="2"/>
    </x:row>
    <x:row r="732" ht="42" customHeight="1">
      <x:c r="A732" s="2" t="str">
        <x:v>f07f180bc717ec936466337e</x:v>
      </x:c>
      <x:c r="B732" s="2" t="str">
        <x:v>사업 평가</x:v>
      </x:c>
      <x:c r="C732" s="2" t="str">
        <x:v>국내</x:v>
      </x:c>
      <x:c r="D732" s="7" t="str">
        <x:v>보일러 연료전환(벙커C유→LNG)을 통한 온실가스(CO2)배출 감축사업</x:v>
      </x:c>
      <x:c r="E732" s="2" t="str">
        <x:v>593</x:v>
      </x:c>
      <x:c r="F732" s="2" t="str">
        <x:v>2020-09-29</x:v>
      </x:c>
      <x:c r="G732" s="2" t="str">
        <x:v>2020</x:v>
      </x:c>
      <x:c r="H732" s="2" t="str">
        <x:v>09</x:v>
      </x:c>
      <x:c r="I732" s="2" t="str">
        <x:v>반려</x:v>
      </x:c>
      <x:c r="J732" s="2" t="str">
        <x:v>반려</x:v>
      </x:c>
      <x:c r="K732" s="2" t="str">
        <x:f>IF(OR(J732="심의승인",J732="반려",J732="반려완료",J732="심의완료"),"종결 표시",IF(OR(J732="기후부협의",J732="문서재제출요청",J732="보류",J732="보완요청",J732="보완완료",J732="평가중",J732="반려요청",J732="평가필요",LEFT(J732,5)="보완요청("),"미종결 표시","상태 확인 필요"))</x:f>
        <x:v>종결 표시</x:v>
      </x:c>
      <x:c r="L732" s="2"/>
      <x:c r="M732" s="2"/>
      <x:c r="N732" s="8" t="n">
        <x:f>DATE(2026,10,15)-DATE(2020,9,29)</x:f>
        <x:v>2207</x:v>
      </x:c>
      <x:c r="O732" s="2" t="str">
        <x:v>O(4월)</x:v>
      </x:c>
      <x:c r="P732" s="2"/>
      <x:c r="Q732" s="2" t="str">
        <x:v>산업전환_외부사업관리Tool_260707_이너젠 수정_LJY_261013.xlsx</x:v>
      </x:c>
      <x:c r="R732" s="2" t="str">
        <x:v>국내평가</x:v>
      </x:c>
      <x:c r="S732" s="8" t="n">
        <x:v>635</x:v>
      </x:c>
      <x:c r="T732" s="2" t="str">
        <x:v>2021년 처리</x:v>
      </x:c>
      <x:c r="U732" s="2" t="str">
        <x:v>2021 배정: 2021년 처리</x:v>
      </x:c>
      <x:c r="V732" s="2" t="str">
        <x:v>2021-06-30</x:v>
      </x:c>
      <x:c r="W732" s="2" t="str">
        <x:v>담당기관 확인</x:v>
      </x:c>
      <x:c r="X732" s="2" t="str">
        <x:v>원본·배정 기록 확인</x:v>
      </x:c>
      <x:c r="Y732" s="2" t="str">
        <x:v>ad210cd9ec132cfd447541c8984dc53d30aff0f4fb2dc92d254d49275cc55976</x:v>
      </x:c>
      <x:c r="Z732" s="2" t="n">
        <x:f>SUBTOTAL(103,A732)</x:f>
        <x:v>1</x:v>
      </x:c>
      <x:c r="AA732" s="2" t="str">
        <x:f>IF(K732&lt;&gt;"미종결 표시","대상 아님",IF(N732="","신청일 확인",IF(NOT(ISNUMBER('종합 현황'!$H$5)),"관찰기준 확인",IF('종합 현황'!$H$5&lt;1,"관찰기준 확인",IF(N732&gt;'종합 현황'!$H$5,"내부 관찰 대상","내부 관찰일 이하")))))</x:f>
        <x:v>대상 아님</x:v>
      </x:c>
      <x:c r="AB732" s="2"/>
    </x:row>
    <x:row r="733" ht="42" customHeight="1">
      <x:c r="A733" s="2" t="str">
        <x:v>f93c2eef7a088bf8756a1cb6</x:v>
      </x:c>
      <x:c r="B733" s="2" t="str">
        <x:v>사업 평가</x:v>
      </x:c>
      <x:c r="C733" s="2" t="str">
        <x:v>국내</x:v>
      </x:c>
      <x:c r="D733" s="7" t="str">
        <x:v>㈜예일하이테크 고효율 2단 인버터 PM Motor 공기압축기로 교체 사업</x:v>
      </x:c>
      <x:c r="E733" s="2" t="str">
        <x:v>594</x:v>
      </x:c>
      <x:c r="F733" s="2" t="str">
        <x:v>2020-07-10</x:v>
      </x:c>
      <x:c r="G733" s="2" t="str">
        <x:v>2020</x:v>
      </x:c>
      <x:c r="H733" s="2" t="str">
        <x:v>07</x:v>
      </x:c>
      <x:c r="I733" s="2" t="str">
        <x:v>승인</x:v>
      </x:c>
      <x:c r="J733" s="2" t="str">
        <x:v>심의승인</x:v>
      </x:c>
      <x:c r="K733" s="2" t="str">
        <x:f>IF(OR(J733="심의승인",J733="반려",J733="반려완료",J733="심의완료"),"종결 표시",IF(OR(J733="기후부협의",J733="문서재제출요청",J733="보류",J733="보완요청",J733="보완완료",J733="평가중",J733="반려요청",J733="평가필요",LEFT(J733,5)="보완요청("),"미종결 표시","상태 확인 필요"))</x:f>
        <x:v>종결 표시</x:v>
      </x:c>
      <x:c r="L733" s="2" t="str">
        <x:v>KECM</x:v>
      </x:c>
      <x:c r="M733" s="2"/>
      <x:c r="N733" s="8" t="n">
        <x:f>DATE(2026,10,15)-DATE(2020,7,10)</x:f>
        <x:v>2288</x:v>
      </x:c>
      <x:c r="O733" s="2" t="str">
        <x:v>O</x:v>
      </x:c>
      <x:c r="P733" s="2"/>
      <x:c r="Q733" s="2" t="str">
        <x:v>산업전환_외부사업관리Tool_260707_이너젠 수정_LJY_261013.xlsx</x:v>
      </x:c>
      <x:c r="R733" s="2" t="str">
        <x:v>국내평가</x:v>
      </x:c>
      <x:c r="S733" s="8" t="n">
        <x:v>636</x:v>
      </x:c>
      <x:c r="T733" s="2" t="str">
        <x:v>(7/12),(9/14)</x:v>
      </x:c>
      <x:c r="U733" s="2" t="str">
        <x:v>2021 배정: (7/12),(9/14)</x:v>
      </x:c>
      <x:c r="V733" s="2" t="str">
        <x:v>2022-01-08</x:v>
      </x:c>
      <x:c r="W733" s="2" t="str"/>
      <x:c r="X733" s="2" t="str">
        <x:v>종결 근거 보관</x:v>
      </x:c>
      <x:c r="Y733" s="2" t="str">
        <x:v>ad210cd9ec132cfd447541c8984dc53d30aff0f4fb2dc92d254d49275cc55976</x:v>
      </x:c>
      <x:c r="Z733" s="2" t="n">
        <x:f>SUBTOTAL(103,A733)</x:f>
        <x:v>1</x:v>
      </x:c>
      <x:c r="AA733" s="2" t="str">
        <x:f>IF(K733&lt;&gt;"미종결 표시","대상 아님",IF(N733="","신청일 확인",IF(NOT(ISNUMBER('종합 현황'!$H$5)),"관찰기준 확인",IF('종합 현황'!$H$5&lt;1,"관찰기준 확인",IF(N733&gt;'종합 현황'!$H$5,"내부 관찰 대상","내부 관찰일 이하")))))</x:f>
        <x:v>대상 아님</x:v>
      </x:c>
      <x:c r="AB733" s="2"/>
    </x:row>
    <x:row r="734" ht="42" customHeight="1">
      <x:c r="A734" s="2" t="str">
        <x:v>249c09087f3bbcde282ec759</x:v>
      </x:c>
      <x:c r="B734" s="2" t="str">
        <x:v>사업 평가</x:v>
      </x:c>
      <x:c r="C734" s="2" t="str">
        <x:v>국내</x:v>
      </x:c>
      <x:c r="D734" s="7" t="str">
        <x:v>동보섬유 버너교체를 통한 연료전환 온실가스 배출 감축사업</x:v>
      </x:c>
      <x:c r="E734" s="2" t="str">
        <x:v>595</x:v>
      </x:c>
      <x:c r="F734" s="2" t="str">
        <x:v>2020-09-29</x:v>
      </x:c>
      <x:c r="G734" s="2" t="str">
        <x:v>2020</x:v>
      </x:c>
      <x:c r="H734" s="2" t="str">
        <x:v>09</x:v>
      </x:c>
      <x:c r="I734" s="2" t="str">
        <x:v>반려</x:v>
      </x:c>
      <x:c r="J734" s="2" t="str">
        <x:v>반려</x:v>
      </x:c>
      <x:c r="K734" s="2" t="str">
        <x:f>IF(OR(J734="심의승인",J734="반려",J734="반려완료",J734="심의완료"),"종결 표시",IF(OR(J734="기후부협의",J734="문서재제출요청",J734="보류",J734="보완요청",J734="보완완료",J734="평가중",J734="반려요청",J734="평가필요",LEFT(J734,5)="보완요청("),"미종결 표시","상태 확인 필요"))</x:f>
        <x:v>종결 표시</x:v>
      </x:c>
      <x:c r="L734" s="2"/>
      <x:c r="M734" s="2"/>
      <x:c r="N734" s="8" t="n">
        <x:f>DATE(2026,10,15)-DATE(2020,9,29)</x:f>
        <x:v>2207</x:v>
      </x:c>
      <x:c r="O734" s="2"/>
      <x:c r="P734" s="2"/>
      <x:c r="Q734" s="2" t="str">
        <x:v>산업전환_외부사업관리Tool_260707_이너젠 수정_LJY_261013.xlsx</x:v>
      </x:c>
      <x:c r="R734" s="2" t="str">
        <x:v>국내평가</x:v>
      </x:c>
      <x:c r="S734" s="8" t="n">
        <x:v>637</x:v>
      </x:c>
      <x:c r="T734" s="2" t="str">
        <x:v>2021년 처리</x:v>
      </x:c>
      <x:c r="U734" s="2" t="str">
        <x:v>2021 배정: 2021년 처리</x:v>
      </x:c>
      <x:c r="V734" s="2" t="str">
        <x:v>2021-06-30</x:v>
      </x:c>
      <x:c r="W734" s="2" t="str">
        <x:v>담당기관 확인</x:v>
      </x:c>
      <x:c r="X734" s="2" t="str">
        <x:v>원본·배정 기록 확인</x:v>
      </x:c>
      <x:c r="Y734" s="2" t="str">
        <x:v>ad210cd9ec132cfd447541c8984dc53d30aff0f4fb2dc92d254d49275cc55976</x:v>
      </x:c>
      <x:c r="Z734" s="2" t="n">
        <x:f>SUBTOTAL(103,A734)</x:f>
        <x:v>1</x:v>
      </x:c>
      <x:c r="AA734" s="2" t="str">
        <x:f>IF(K734&lt;&gt;"미종결 표시","대상 아님",IF(N734="","신청일 확인",IF(NOT(ISNUMBER('종합 현황'!$H$5)),"관찰기준 확인",IF('종합 현황'!$H$5&lt;1,"관찰기준 확인",IF(N734&gt;'종합 현황'!$H$5,"내부 관찰 대상","내부 관찰일 이하")))))</x:f>
        <x:v>대상 아님</x:v>
      </x:c>
      <x:c r="AB734" s="2"/>
    </x:row>
    <x:row r="735" ht="42" customHeight="1">
      <x:c r="A735" s="2" t="str">
        <x:v>eb0892d6c88a98b569742bc2</x:v>
      </x:c>
      <x:c r="B735" s="2" t="str">
        <x:v>사업 평가</x:v>
      </x:c>
      <x:c r="C735" s="2" t="str">
        <x:v>국내</x:v>
      </x:c>
      <x:c r="D735" s="7" t="str">
        <x:v>주식회사 클린에코 보일러 연료교체(LPG→LNG) 사업</x:v>
      </x:c>
      <x:c r="E735" s="2" t="str">
        <x:v>596</x:v>
      </x:c>
      <x:c r="F735" s="2" t="str">
        <x:v>2020-07-15</x:v>
      </x:c>
      <x:c r="G735" s="2" t="str">
        <x:v>2020</x:v>
      </x:c>
      <x:c r="H735" s="2" t="str">
        <x:v>07</x:v>
      </x:c>
      <x:c r="I735" s="2" t="str">
        <x:v>승인</x:v>
      </x:c>
      <x:c r="J735" s="2" t="str">
        <x:v>심의승인</x:v>
      </x:c>
      <x:c r="K735" s="2" t="str">
        <x:f>IF(OR(J735="심의승인",J735="반려",J735="반려완료",J735="심의완료"),"종결 표시",IF(OR(J735="기후부협의",J735="문서재제출요청",J735="보류",J735="보완요청",J735="보완완료",J735="평가중",J735="반려요청",J735="평가필요",LEFT(J735,5)="보완요청("),"미종결 표시","상태 확인 필요"))</x:f>
        <x:v>종결 표시</x:v>
      </x:c>
      <x:c r="L735" s="2"/>
      <x:c r="M735" s="2"/>
      <x:c r="N735" s="8" t="n">
        <x:f>DATE(2026,10,15)-DATE(2020,7,15)</x:f>
        <x:v>2283</x:v>
      </x:c>
      <x:c r="O735" s="2" t="str">
        <x:v>O(5월)</x:v>
      </x:c>
      <x:c r="P735" s="2"/>
      <x:c r="Q735" s="2" t="str">
        <x:v>산업전환_외부사업관리Tool_260707_이너젠 수정_LJY_261013.xlsx</x:v>
      </x:c>
      <x:c r="R735" s="2" t="str">
        <x:v>국내평가</x:v>
      </x:c>
      <x:c r="S735" s="8" t="n">
        <x:v>638</x:v>
      </x:c>
      <x:c r="T735" s="2" t="str">
        <x:v>2021년 처리</x:v>
      </x:c>
      <x:c r="U735" s="2" t="str">
        <x:v>2021 배정: 2021년 처리</x:v>
      </x:c>
      <x:c r="V735" s="2" t="str">
        <x:v>2021-09-27</x:v>
      </x:c>
      <x:c r="W735" s="2" t="str">
        <x:v>담당기관 확인</x:v>
      </x:c>
      <x:c r="X735" s="2" t="str">
        <x:v>원본·배정 기록 확인</x:v>
      </x:c>
      <x:c r="Y735" s="2" t="str">
        <x:v>ad210cd9ec132cfd447541c8984dc53d30aff0f4fb2dc92d254d49275cc55976</x:v>
      </x:c>
      <x:c r="Z735" s="2" t="n">
        <x:f>SUBTOTAL(103,A735)</x:f>
        <x:v>1</x:v>
      </x:c>
      <x:c r="AA735" s="2" t="str">
        <x:f>IF(K735&lt;&gt;"미종결 표시","대상 아님",IF(N735="","신청일 확인",IF(NOT(ISNUMBER('종합 현황'!$H$5)),"관찰기준 확인",IF('종합 현황'!$H$5&lt;1,"관찰기준 확인",IF(N735&gt;'종합 현황'!$H$5,"내부 관찰 대상","내부 관찰일 이하")))))</x:f>
        <x:v>대상 아님</x:v>
      </x:c>
      <x:c r="AB735" s="2"/>
    </x:row>
    <x:row r="736" ht="42" customHeight="1">
      <x:c r="A736" s="2" t="str">
        <x:v>46fc6b022d780830fcf0dd38</x:v>
      </x:c>
      <x:c r="B736" s="2" t="str">
        <x:v>사업 평가</x:v>
      </x:c>
      <x:c r="C736" s="2" t="str">
        <x:v>국내</x:v>
      </x:c>
      <x:c r="D736" s="7" t="str">
        <x:v>웅진식품(주) 연료전환(B-B유, 감압정제유 → LNG)을 통한 온실가스 배출 감축사업</x:v>
      </x:c>
      <x:c r="E736" s="2" t="str">
        <x:v>597</x:v>
      </x:c>
      <x:c r="F736" s="2" t="str">
        <x:v>2020-07-31</x:v>
      </x:c>
      <x:c r="G736" s="2" t="str">
        <x:v>2020</x:v>
      </x:c>
      <x:c r="H736" s="2" t="str">
        <x:v>07</x:v>
      </x:c>
      <x:c r="I736" s="2" t="str">
        <x:v>승인</x:v>
      </x:c>
      <x:c r="J736" s="2" t="str">
        <x:v>심의승인</x:v>
      </x:c>
      <x:c r="K736" s="2" t="str">
        <x:f>IF(OR(J736="심의승인",J736="반려",J736="반려완료",J736="심의완료"),"종결 표시",IF(OR(J736="기후부협의",J736="문서재제출요청",J736="보류",J736="보완요청",J736="보완완료",J736="평가중",J736="반려요청",J736="평가필요",LEFT(J736,5)="보완요청("),"미종결 표시","상태 확인 필요"))</x:f>
        <x:v>종결 표시</x:v>
      </x:c>
      <x:c r="L736" s="2"/>
      <x:c r="M736" s="2"/>
      <x:c r="N736" s="8" t="n">
        <x:f>DATE(2026,10,15)-DATE(2020,7,31)</x:f>
        <x:v>2267</x:v>
      </x:c>
      <x:c r="O736" s="2" t="str">
        <x:v>O(5월)</x:v>
      </x:c>
      <x:c r="P736" s="2"/>
      <x:c r="Q736" s="2" t="str">
        <x:v>산업전환_외부사업관리Tool_260707_이너젠 수정_LJY_261013.xlsx</x:v>
      </x:c>
      <x:c r="R736" s="2" t="str">
        <x:v>국내평가</x:v>
      </x:c>
      <x:c r="S736" s="8" t="n">
        <x:v>639</x:v>
      </x:c>
      <x:c r="T736" s="2" t="str">
        <x:v>2021년 처리</x:v>
      </x:c>
      <x:c r="U736" s="2" t="str">
        <x:v>2021 배정: 2021년 처리</x:v>
      </x:c>
      <x:c r="V736" s="2" t="str">
        <x:v>2021-10-01</x:v>
      </x:c>
      <x:c r="W736" s="2" t="str">
        <x:v>담당기관 확인</x:v>
      </x:c>
      <x:c r="X736" s="2" t="str">
        <x:v>원본·배정 기록 확인</x:v>
      </x:c>
      <x:c r="Y736" s="2" t="str">
        <x:v>ad210cd9ec132cfd447541c8984dc53d30aff0f4fb2dc92d254d49275cc55976</x:v>
      </x:c>
      <x:c r="Z736" s="2" t="n">
        <x:f>SUBTOTAL(103,A736)</x:f>
        <x:v>1</x:v>
      </x:c>
      <x:c r="AA736" s="2" t="str">
        <x:f>IF(K736&lt;&gt;"미종결 표시","대상 아님",IF(N736="","신청일 확인",IF(NOT(ISNUMBER('종합 현황'!$H$5)),"관찰기준 확인",IF('종합 현황'!$H$5&lt;1,"관찰기준 확인",IF(N736&gt;'종합 현황'!$H$5,"내부 관찰 대상","내부 관찰일 이하")))))</x:f>
        <x:v>대상 아님</x:v>
      </x:c>
      <x:c r="AB736" s="2"/>
    </x:row>
    <x:row r="737" ht="42" customHeight="1">
      <x:c r="A737" s="2" t="str">
        <x:v>655b9081cb1432cd98c993d5</x:v>
      </x:c>
      <x:c r="B737" s="2" t="str">
        <x:v>사업 평가</x:v>
      </x:c>
      <x:c r="C737" s="2" t="str">
        <x:v>국내</x:v>
      </x:c>
      <x:c r="D737" s="7" t="str">
        <x:v>㈜금호정공 고효율 인버터형 공기압축기 교체를 통한 온실가스 감축사업</x:v>
      </x:c>
      <x:c r="E737" s="2" t="str">
        <x:v>598</x:v>
      </x:c>
      <x:c r="F737" s="2" t="str">
        <x:v>2020-08-18</x:v>
      </x:c>
      <x:c r="G737" s="2" t="str">
        <x:v>2020</x:v>
      </x:c>
      <x:c r="H737" s="2" t="str">
        <x:v>08</x:v>
      </x:c>
      <x:c r="I737" s="2" t="str">
        <x:v>승인</x:v>
      </x:c>
      <x:c r="J737" s="2" t="str">
        <x:v>심의승인</x:v>
      </x:c>
      <x:c r="K737" s="2" t="str">
        <x:f>IF(OR(J737="심의승인",J737="반려",J737="반려완료",J737="심의완료"),"종결 표시",IF(OR(J737="기후부협의",J737="문서재제출요청",J737="보류",J737="보완요청",J737="보완완료",J737="평가중",J737="반려요청",J737="평가필요",LEFT(J737,5)="보완요청("),"미종결 표시","상태 확인 필요"))</x:f>
        <x:v>종결 표시</x:v>
      </x:c>
      <x:c r="L737" s="2" t="str">
        <x:v>공단_강송희</x:v>
      </x:c>
      <x:c r="M737" s="2"/>
      <x:c r="N737" s="8" t="n">
        <x:f>DATE(2026,10,15)-DATE(2020,8,18)</x:f>
        <x:v>2249</x:v>
      </x:c>
      <x:c r="O737" s="2" t="str">
        <x:v>O</x:v>
      </x:c>
      <x:c r="P737" s="2"/>
      <x:c r="Q737" s="2" t="str">
        <x:v>산업전환_외부사업관리Tool_260707_이너젠 수정_LJY_261013.xlsx</x:v>
      </x:c>
      <x:c r="R737" s="2" t="str">
        <x:v>국내평가</x:v>
      </x:c>
      <x:c r="S737" s="8" t="n">
        <x:v>640</x:v>
      </x:c>
      <x:c r="T737" s="2" t="str">
        <x:v>(7/12),(12/1)</x:v>
      </x:c>
      <x:c r="U737" s="2" t="str">
        <x:v>2021 배정: (7/12),(12/1)</x:v>
      </x:c>
      <x:c r="V737" s="2" t="str">
        <x:v>2022-04-26</x:v>
      </x:c>
      <x:c r="W737" s="2" t="str"/>
      <x:c r="X737" s="2" t="str">
        <x:v>종결 근거 보관</x:v>
      </x:c>
      <x:c r="Y737" s="2" t="str">
        <x:v>ad210cd9ec132cfd447541c8984dc53d30aff0f4fb2dc92d254d49275cc55976</x:v>
      </x:c>
      <x:c r="Z737" s="2" t="n">
        <x:f>SUBTOTAL(103,A737)</x:f>
        <x:v>1</x:v>
      </x:c>
      <x:c r="AA737" s="2" t="str">
        <x:f>IF(K737&lt;&gt;"미종결 표시","대상 아님",IF(N737="","신청일 확인",IF(NOT(ISNUMBER('종합 현황'!$H$5)),"관찰기준 확인",IF('종합 현황'!$H$5&lt;1,"관찰기준 확인",IF(N737&gt;'종합 현황'!$H$5,"내부 관찰 대상","내부 관찰일 이하")))))</x:f>
        <x:v>대상 아님</x:v>
      </x:c>
      <x:c r="AB737" s="2"/>
    </x:row>
    <x:row r="738" ht="42" customHeight="1">
      <x:c r="A738" s="2" t="str">
        <x:v>2d4e40a3edfd659510b3acd9</x:v>
      </x:c>
      <x:c r="B738" s="2" t="str">
        <x:v>사업 평가</x:v>
      </x:c>
      <x:c r="C738" s="2" t="str">
        <x:v>국내</x:v>
      </x:c>
      <x:c r="D738" s="7" t="str">
        <x:v>고효율설비교체를 통한 온실가스묶음감축사업</x:v>
      </x:c>
      <x:c r="E738" s="2" t="str">
        <x:v>599</x:v>
      </x:c>
      <x:c r="F738" s="2" t="str">
        <x:v>2021-12-28</x:v>
      </x:c>
      <x:c r="G738" s="2" t="str">
        <x:v>2021</x:v>
      </x:c>
      <x:c r="H738" s="2" t="str">
        <x:v>12</x:v>
      </x:c>
      <x:c r="I738" s="2" t="str">
        <x:v>보완1차_보완중</x:v>
      </x:c>
      <x:c r="J738" s="2" t="str">
        <x:v>보완요청</x:v>
      </x:c>
      <x:c r="K738" s="2" t="str">
        <x:f>IF(OR(J738="심의승인",J738="반려",J738="반려완료",J738="심의완료"),"종결 표시",IF(OR(J738="기후부협의",J738="문서재제출요청",J738="보류",J738="보완요청",J738="보완완료",J738="평가중",J738="반려요청",J738="평가필요",LEFT(J738,5)="보완요청("),"미종결 표시","상태 확인 필요"))</x:f>
        <x:v>미종결 표시</x:v>
      </x:c>
      <x:c r="L738" s="2" t="str">
        <x:v>KECM</x:v>
      </x:c>
      <x:c r="M738" s="2" t="n">
        <x:v>1</x:v>
      </x:c>
      <x:c r="N738" s="8" t="n">
        <x:f>DATE(2026,10,15)-DATE(2021,12,28)</x:f>
        <x:v>1752</x:v>
      </x:c>
      <x:c r="O738" s="2" t="str">
        <x:v>보류</x:v>
      </x:c>
      <x:c r="P738" s="2"/>
      <x:c r="Q738" s="2" t="str">
        <x:v>산업전환_외부사업관리Tool_260707_이너젠 수정_LJY_261013.xlsx</x:v>
      </x:c>
      <x:c r="R738" s="2" t="str">
        <x:v>국내평가</x:v>
      </x:c>
      <x:c r="S738" s="8" t="n">
        <x:v>641</x:v>
      </x:c>
      <x:c r="T738" s="2" t="str">
        <x:v>(1/18)</x:v>
      </x:c>
      <x:c r="U738" s="2" t="str">
        <x:v>2022 배정: (1/18)</x:v>
      </x:c>
      <x:c r="V738" s="2" t="str">
        <x:v>2022-02-07</x:v>
      </x:c>
      <x:c r="W738" s="2" t="str"/>
      <x:c r="X738" s="2" t="str">
        <x:v>보완 회신 일정 확인</x:v>
      </x:c>
      <x:c r="Y738" s="2" t="str">
        <x:v>ad210cd9ec132cfd447541c8984dc53d30aff0f4fb2dc92d254d49275cc55976</x:v>
      </x:c>
      <x:c r="Z738" s="2" t="n">
        <x:f>SUBTOTAL(103,A738)</x:f>
        <x:v>1</x:v>
      </x:c>
      <x:c r="AA738" s="2" t="str">
        <x:f>IF(K738&lt;&gt;"미종결 표시","대상 아님",IF(N738="","신청일 확인",IF(NOT(ISNUMBER('종합 현황'!$H$5)),"관찰기준 확인",IF('종합 현황'!$H$5&lt;1,"관찰기준 확인",IF(N738&gt;'종합 현황'!$H$5,"내부 관찰 대상","내부 관찰일 이하")))))</x:f>
        <x:v>내부 관찰 대상</x:v>
      </x:c>
      <x:c r="AB738" s="2"/>
    </x:row>
    <x:row r="739" ht="42" customHeight="1">
      <x:c r="A739" s="2" t="str">
        <x:v>5e96d66ca9ae38425ae49c05</x:v>
      </x:c>
      <x:c r="B739" s="2" t="str">
        <x:v>사업 평가</x:v>
      </x:c>
      <x:c r="C739" s="2" t="str">
        <x:v>국내</x:v>
      </x:c>
      <x:c r="D739" s="7" t="str">
        <x:v>대구염색산업단지 온실가스 감축을 위한 압축공기제어시스템 도입</x:v>
      </x:c>
      <x:c r="E739" s="2" t="str">
        <x:v>600</x:v>
      </x:c>
      <x:c r="F739" s="2" t="str">
        <x:v>2021-12-28</x:v>
      </x:c>
      <x:c r="G739" s="2" t="str">
        <x:v>2021</x:v>
      </x:c>
      <x:c r="H739" s="2" t="str">
        <x:v>12</x:v>
      </x:c>
      <x:c r="I739" s="2" t="str">
        <x:v>보완1차_보완중</x:v>
      </x:c>
      <x:c r="J739" s="2" t="str">
        <x:v>보완요청</x:v>
      </x:c>
      <x:c r="K739" s="2" t="str">
        <x:f>IF(OR(J739="심의승인",J739="반려",J739="반려완료",J739="심의완료"),"종결 표시",IF(OR(J739="기후부협의",J739="문서재제출요청",J739="보류",J739="보완요청",J739="보완완료",J739="평가중",J739="반려요청",J739="평가필요",LEFT(J739,5)="보완요청("),"미종결 표시","상태 확인 필요"))</x:f>
        <x:v>미종결 표시</x:v>
      </x:c>
      <x:c r="L739" s="2" t="str">
        <x:v>KECM</x:v>
      </x:c>
      <x:c r="M739" s="2" t="n">
        <x:v>1</x:v>
      </x:c>
      <x:c r="N739" s="8" t="n">
        <x:f>DATE(2026,10,15)-DATE(2021,12,28)</x:f>
        <x:v>1752</x:v>
      </x:c>
      <x:c r="O739" s="2" t="str">
        <x:v>보류</x:v>
      </x:c>
      <x:c r="P739" s="2"/>
      <x:c r="Q739" s="2" t="str">
        <x:v>산업전환_외부사업관리Tool_260707_이너젠 수정_LJY_261013.xlsx</x:v>
      </x:c>
      <x:c r="R739" s="2" t="str">
        <x:v>국내평가</x:v>
      </x:c>
      <x:c r="S739" s="8" t="n">
        <x:v>642</x:v>
      </x:c>
      <x:c r="T739" s="2" t="str">
        <x:v>(1/18)</x:v>
      </x:c>
      <x:c r="U739" s="2" t="str">
        <x:v>2022 배정: (1/18)</x:v>
      </x:c>
      <x:c r="V739" s="2" t="str">
        <x:v>2022-02-07</x:v>
      </x:c>
      <x:c r="W739" s="2" t="str"/>
      <x:c r="X739" s="2" t="str">
        <x:v>보완 회신 일정 확인</x:v>
      </x:c>
      <x:c r="Y739" s="2" t="str">
        <x:v>ad210cd9ec132cfd447541c8984dc53d30aff0f4fb2dc92d254d49275cc55976</x:v>
      </x:c>
      <x:c r="Z739" s="2" t="n">
        <x:f>SUBTOTAL(103,A739)</x:f>
        <x:v>1</x:v>
      </x:c>
      <x:c r="AA739" s="2" t="str">
        <x:f>IF(K739&lt;&gt;"미종결 표시","대상 아님",IF(N739="","신청일 확인",IF(NOT(ISNUMBER('종합 현황'!$H$5)),"관찰기준 확인",IF('종합 현황'!$H$5&lt;1,"관찰기준 확인",IF(N739&gt;'종합 현황'!$H$5,"내부 관찰 대상","내부 관찰일 이하")))))</x:f>
        <x:v>내부 관찰 대상</x:v>
      </x:c>
      <x:c r="AB739" s="2"/>
    </x:row>
    <x:row r="740" ht="42" customHeight="1">
      <x:c r="A740" s="2" t="str">
        <x:v>3ec0d5c558d6793a0a9aff28</x:v>
      </x:c>
      <x:c r="B740" s="2" t="str">
        <x:v>사업 평가</x:v>
      </x:c>
      <x:c r="C740" s="2" t="str">
        <x:v>국내</x:v>
      </x:c>
      <x:c r="D740" s="7" t="str">
        <x:v>(주)일아아스콘 연료전환(B-C유에서 LPG)을 통한 온실가스 배출 감축사업</x:v>
      </x:c>
      <x:c r="E740" s="2" t="str">
        <x:v>601</x:v>
      </x:c>
      <x:c r="F740" s="2" t="str">
        <x:v>2020-08-27</x:v>
      </x:c>
      <x:c r="G740" s="2" t="str">
        <x:v>2020</x:v>
      </x:c>
      <x:c r="H740" s="2" t="str">
        <x:v>08</x:v>
      </x:c>
      <x:c r="I740" s="2" t="str">
        <x:v>반려</x:v>
      </x:c>
      <x:c r="J740" s="2" t="str">
        <x:v>반려</x:v>
      </x:c>
      <x:c r="K740" s="2" t="str">
        <x:f>IF(OR(J740="심의승인",J740="반려",J740="반려완료",J740="심의완료"),"종결 표시",IF(OR(J740="기후부협의",J740="문서재제출요청",J740="보류",J740="보완요청",J740="보완완료",J740="평가중",J740="반려요청",J740="평가필요",LEFT(J740,5)="보완요청("),"미종결 표시","상태 확인 필요"))</x:f>
        <x:v>종결 표시</x:v>
      </x:c>
      <x:c r="L740" s="2" t="str">
        <x:v>에코시안_권송화</x:v>
      </x:c>
      <x:c r="M740" s="2"/>
      <x:c r="N740" s="8" t="n">
        <x:f>DATE(2026,10,15)-DATE(2020,8,27)</x:f>
        <x:v>2240</x:v>
      </x:c>
      <x:c r="O740" s="2" t="str">
        <x:v>O(21.04)</x:v>
      </x:c>
      <x:c r="P740" s="2"/>
      <x:c r="Q740" s="2" t="str">
        <x:v>산업전환_외부사업관리Tool_260707_이너젠 수정_LJY_261013.xlsx</x:v>
      </x:c>
      <x:c r="R740" s="2" t="str">
        <x:v>국내평가</x:v>
      </x:c>
      <x:c r="S740" s="8" t="n">
        <x:v>643</x:v>
      </x:c>
      <x:c r="T740" s="2" t="str">
        <x:v>(5/7),(7/12),(9/14),(12/1)</x:v>
      </x:c>
      <x:c r="U740" s="2" t="str">
        <x:v>2021 배정: (5/7),(7/12),(9/14),(12/1) / 2022 배정: (4/19)</x:v>
      </x:c>
      <x:c r="V740" s="2" t="str">
        <x:v>2023-03-20</x:v>
      </x:c>
      <x:c r="W740" s="2" t="str"/>
      <x:c r="X740" s="2" t="str">
        <x:v>종결 근거 보관</x:v>
      </x:c>
      <x:c r="Y740" s="2" t="str">
        <x:v>ad210cd9ec132cfd447541c8984dc53d30aff0f4fb2dc92d254d49275cc55976</x:v>
      </x:c>
      <x:c r="Z740" s="2" t="n">
        <x:f>SUBTOTAL(103,A740)</x:f>
        <x:v>1</x:v>
      </x:c>
      <x:c r="AA740" s="2" t="str">
        <x:f>IF(K740&lt;&gt;"미종결 표시","대상 아님",IF(N740="","신청일 확인",IF(NOT(ISNUMBER('종합 현황'!$H$5)),"관찰기준 확인",IF('종합 현황'!$H$5&lt;1,"관찰기준 확인",IF(N740&gt;'종합 현황'!$H$5,"내부 관찰 대상","내부 관찰일 이하")))))</x:f>
        <x:v>대상 아님</x:v>
      </x:c>
      <x:c r="AB740" s="2"/>
    </x:row>
    <x:row r="741" ht="42" customHeight="1">
      <x:c r="A741" s="2" t="str">
        <x:v>47358ed803ff06baba1654ad</x:v>
      </x:c>
      <x:c r="B741" s="2" t="str">
        <x:v>사업 평가</x:v>
      </x:c>
      <x:c r="C741" s="2" t="str">
        <x:v>국내</x:v>
      </x:c>
      <x:c r="D741" s="7" t="str">
        <x:v>인평산업(주) 연료전환(B-C유 및 감압정제유에서 LPG)을 통한 온실가스 배출 감축사업</x:v>
      </x:c>
      <x:c r="E741" s="2" t="str">
        <x:v>602</x:v>
      </x:c>
      <x:c r="F741" s="2" t="str">
        <x:v>2020-08-27</x:v>
      </x:c>
      <x:c r="G741" s="2" t="str">
        <x:v>2020</x:v>
      </x:c>
      <x:c r="H741" s="2" t="str">
        <x:v>08</x:v>
      </x:c>
      <x:c r="I741" s="2" t="str">
        <x:v>반려</x:v>
      </x:c>
      <x:c r="J741" s="2" t="str">
        <x:v>반려</x:v>
      </x:c>
      <x:c r="K741" s="2" t="str">
        <x:f>IF(OR(J741="심의승인",J741="반려",J741="반려완료",J741="심의완료"),"종결 표시",IF(OR(J741="기후부협의",J741="문서재제출요청",J741="보류",J741="보완요청",J741="보완완료",J741="평가중",J741="반려요청",J741="평가필요",LEFT(J741,5)="보완요청("),"미종결 표시","상태 확인 필요"))</x:f>
        <x:v>종결 표시</x:v>
      </x:c>
      <x:c r="L741" s="2" t="str">
        <x:v>에코시안_정인혜</x:v>
      </x:c>
      <x:c r="M741" s="2"/>
      <x:c r="N741" s="8" t="n">
        <x:f>DATE(2026,10,15)-DATE(2020,8,27)</x:f>
        <x:v>2240</x:v>
      </x:c>
      <x:c r="O741" s="2" t="str">
        <x:v>O(21.04)</x:v>
      </x:c>
      <x:c r="P741" s="2"/>
      <x:c r="Q741" s="2" t="str">
        <x:v>산업전환_외부사업관리Tool_260707_이너젠 수정_LJY_261013.xlsx</x:v>
      </x:c>
      <x:c r="R741" s="2" t="str">
        <x:v>국내평가</x:v>
      </x:c>
      <x:c r="S741" s="8" t="n">
        <x:v>644</x:v>
      </x:c>
      <x:c r="T741" s="2" t="str">
        <x:v>(9/14),(10/20)</x:v>
      </x:c>
      <x:c r="U741" s="2" t="str">
        <x:v>2021 배정: (9/14),(10/20) / 2022 배정: (4/19)</x:v>
      </x:c>
      <x:c r="V741" s="2" t="str">
        <x:v>2023-03-20</x:v>
      </x:c>
      <x:c r="W741" s="2" t="str"/>
      <x:c r="X741" s="2" t="str">
        <x:v>종결 근거 보관</x:v>
      </x:c>
      <x:c r="Y741" s="2" t="str">
        <x:v>ad210cd9ec132cfd447541c8984dc53d30aff0f4fb2dc92d254d49275cc55976</x:v>
      </x:c>
      <x:c r="Z741" s="2" t="n">
        <x:f>SUBTOTAL(103,A741)</x:f>
        <x:v>1</x:v>
      </x:c>
      <x:c r="AA741" s="2" t="str">
        <x:f>IF(K741&lt;&gt;"미종결 표시","대상 아님",IF(N741="","신청일 확인",IF(NOT(ISNUMBER('종합 현황'!$H$5)),"관찰기준 확인",IF('종합 현황'!$H$5&lt;1,"관찰기준 확인",IF(N741&gt;'종합 현황'!$H$5,"내부 관찰 대상","내부 관찰일 이하")))))</x:f>
        <x:v>대상 아님</x:v>
      </x:c>
      <x:c r="AB741" s="2"/>
    </x:row>
    <x:row r="742" ht="42" customHeight="1">
      <x:c r="A742" s="2" t="str">
        <x:v>fab64eb8785cd09ba22944e9</x:v>
      </x:c>
      <x:c r="B742" s="2" t="str">
        <x:v>사업 평가</x:v>
      </x:c>
      <x:c r="C742" s="2" t="str">
        <x:v>국내</x:v>
      </x:c>
      <x:c r="D742" s="7" t="str">
        <x:v>대주아스콘(주) 연료전환(B-C유→ LPG)을 통한 온실가스 배출 감축사업</x:v>
      </x:c>
      <x:c r="E742" s="2" t="str">
        <x:v>603</x:v>
      </x:c>
      <x:c r="F742" s="2" t="str">
        <x:v>2020-08-28</x:v>
      </x:c>
      <x:c r="G742" s="2" t="str">
        <x:v>2020</x:v>
      </x:c>
      <x:c r="H742" s="2" t="str">
        <x:v>08</x:v>
      </x:c>
      <x:c r="I742" s="2" t="str">
        <x:v>반려</x:v>
      </x:c>
      <x:c r="J742" s="2" t="str">
        <x:v>반려</x:v>
      </x:c>
      <x:c r="K742" s="2" t="str">
        <x:f>IF(OR(J742="심의승인",J742="반려",J742="반려완료",J742="심의완료"),"종결 표시",IF(OR(J742="기후부협의",J742="문서재제출요청",J742="보류",J742="보완요청",J742="보완완료",J742="평가중",J742="반려요청",J742="평가필요",LEFT(J742,5)="보완요청("),"미종결 표시","상태 확인 필요"))</x:f>
        <x:v>종결 표시</x:v>
      </x:c>
      <x:c r="L742" s="2" t="str">
        <x:v>에코시안_정다윤</x:v>
      </x:c>
      <x:c r="M742" s="2"/>
      <x:c r="N742" s="8" t="n">
        <x:f>DATE(2026,10,15)-DATE(2020,8,28)</x:f>
        <x:v>2239</x:v>
      </x:c>
      <x:c r="O742" s="2"/>
      <x:c r="P742" s="2"/>
      <x:c r="Q742" s="2" t="str">
        <x:v>산업전환_외부사업관리Tool_260707_이너젠 수정_LJY_261013.xlsx</x:v>
      </x:c>
      <x:c r="R742" s="2" t="str">
        <x:v>국내평가</x:v>
      </x:c>
      <x:c r="S742" s="8" t="n">
        <x:v>645</x:v>
      </x:c>
      <x:c r="T742" s="2" t="str">
        <x:v>(7/12),(9/14)</x:v>
      </x:c>
      <x:c r="U742" s="2" t="str">
        <x:v>2021 배정: (7/12),(9/14) / 2022 배정: (4/19) / 2022 배정(신규): (9/19)</x:v>
      </x:c>
      <x:c r="V742" s="2" t="str">
        <x:v>2023-03-20</x:v>
      </x:c>
      <x:c r="W742" s="2" t="str"/>
      <x:c r="X742" s="2" t="str">
        <x:v>종결 근거 보관</x:v>
      </x:c>
      <x:c r="Y742" s="2" t="str">
        <x:v>ad210cd9ec132cfd447541c8984dc53d30aff0f4fb2dc92d254d49275cc55976</x:v>
      </x:c>
      <x:c r="Z742" s="2" t="n">
        <x:f>SUBTOTAL(103,A742)</x:f>
        <x:v>1</x:v>
      </x:c>
      <x:c r="AA742" s="2" t="str">
        <x:f>IF(K742&lt;&gt;"미종결 표시","대상 아님",IF(N742="","신청일 확인",IF(NOT(ISNUMBER('종합 현황'!$H$5)),"관찰기준 확인",IF('종합 현황'!$H$5&lt;1,"관찰기준 확인",IF(N742&gt;'종합 현황'!$H$5,"내부 관찰 대상","내부 관찰일 이하")))))</x:f>
        <x:v>대상 아님</x:v>
      </x:c>
      <x:c r="AB742" s="2"/>
    </x:row>
    <x:row r="743" ht="42" customHeight="1">
      <x:c r="A743" s="2" t="str">
        <x:v>32bb3e89a2c6ac02674498ed</x:v>
      </x:c>
      <x:c r="B743" s="2" t="str">
        <x:v>사업 평가</x:v>
      </x:c>
      <x:c r="C743" s="2" t="str">
        <x:v>국내</x:v>
      </x:c>
      <x:c r="D743" s="7" t="str">
        <x:v>(주)종근당 천안공장 미활용 열에너지 회수를 통한 온실가스 배출 감축사업</x:v>
      </x:c>
      <x:c r="E743" s="2" t="str">
        <x:v>604</x:v>
      </x:c>
      <x:c r="F743" s="2" t="str">
        <x:v>2020-02-16</x:v>
      </x:c>
      <x:c r="G743" s="2" t="str">
        <x:v>2020</x:v>
      </x:c>
      <x:c r="H743" s="2" t="str">
        <x:v>02</x:v>
      </x:c>
      <x:c r="I743" s="2" t="str">
        <x:v>승인</x:v>
      </x:c>
      <x:c r="J743" s="2" t="str">
        <x:v>심의승인</x:v>
      </x:c>
      <x:c r="K743" s="2" t="str">
        <x:f>IF(OR(J743="심의승인",J743="반려",J743="반려완료",J743="심의완료"),"종결 표시",IF(OR(J743="기후부협의",J743="문서재제출요청",J743="보류",J743="보완요청",J743="보완완료",J743="평가중",J743="반려요청",J743="평가필요",LEFT(J743,5)="보완요청("),"미종결 표시","상태 확인 필요"))</x:f>
        <x:v>종결 표시</x:v>
      </x:c>
      <x:c r="L743" s="2" t="str">
        <x:v>KSA_조영권, 에코시안_정인혜,박세은</x:v>
      </x:c>
      <x:c r="M743" s="2"/>
      <x:c r="N743" s="8" t="n">
        <x:f>DATE(2026,10,15)-DATE(2020,2,16)</x:f>
        <x:v>2433</x:v>
      </x:c>
      <x:c r="O743" s="2" t="str">
        <x:v>O(7월)</x:v>
      </x:c>
      <x:c r="P743" s="2"/>
      <x:c r="Q743" s="2" t="str">
        <x:v>산업전환_외부사업관리Tool_260707_이너젠 수정_LJY_261013.xlsx</x:v>
      </x:c>
      <x:c r="R743" s="2" t="str">
        <x:v>국내평가</x:v>
      </x:c>
      <x:c r="S743" s="8" t="n">
        <x:v>646</x:v>
      </x:c>
      <x:c r="T743" s="2" t="str">
        <x:v>(7/12),(11/2)</x:v>
      </x:c>
      <x:c r="U743" s="2" t="str">
        <x:v>2021 배정: (7/12),(11/2) / 2022 배정: (4/19)</x:v>
      </x:c>
      <x:c r="V743" s="2" t="str">
        <x:v>2022-10-12</x:v>
      </x:c>
      <x:c r="W743" s="2" t="str"/>
      <x:c r="X743" s="2" t="str">
        <x:v>종결 근거 보관</x:v>
      </x:c>
      <x:c r="Y743" s="2" t="str">
        <x:v>ad210cd9ec132cfd447541c8984dc53d30aff0f4fb2dc92d254d49275cc55976</x:v>
      </x:c>
      <x:c r="Z743" s="2" t="n">
        <x:f>SUBTOTAL(103,A743)</x:f>
        <x:v>1</x:v>
      </x:c>
      <x:c r="AA743" s="2" t="str">
        <x:f>IF(K743&lt;&gt;"미종결 표시","대상 아님",IF(N743="","신청일 확인",IF(NOT(ISNUMBER('종합 현황'!$H$5)),"관찰기준 확인",IF('종합 현황'!$H$5&lt;1,"관찰기준 확인",IF(N743&gt;'종합 현황'!$H$5,"내부 관찰 대상","내부 관찰일 이하")))))</x:f>
        <x:v>대상 아님</x:v>
      </x:c>
      <x:c r="AB743" s="2"/>
    </x:row>
    <x:row r="744" ht="42" customHeight="1">
      <x:c r="A744" s="2" t="str">
        <x:v>bf7a4a737e7d0a8bafea1855</x:v>
      </x:c>
      <x:c r="B744" s="2" t="str">
        <x:v>사업 평가</x:v>
      </x:c>
      <x:c r="C744" s="2" t="str">
        <x:v>국내</x:v>
      </x:c>
      <x:c r="D744" s="7" t="str">
        <x:v>동고령산업단지 온실가스 감축을 위한 고효율인버터제어형 공기압축기 및 압축공기제어시스템</x:v>
      </x:c>
      <x:c r="E744" s="2" t="str">
        <x:v>605</x:v>
      </x:c>
      <x:c r="F744" s="2" t="str">
        <x:v>2021-12-28</x:v>
      </x:c>
      <x:c r="G744" s="2" t="str">
        <x:v>2021</x:v>
      </x:c>
      <x:c r="H744" s="2" t="str">
        <x:v>12</x:v>
      </x:c>
      <x:c r="I744" s="2" t="str">
        <x:v>보완1차_보완중</x:v>
      </x:c>
      <x:c r="J744" s="2" t="str">
        <x:v>보완요청</x:v>
      </x:c>
      <x:c r="K744" s="2" t="str">
        <x:f>IF(OR(J744="심의승인",J744="반려",J744="반려완료",J744="심의완료"),"종결 표시",IF(OR(J744="기후부협의",J744="문서재제출요청",J744="보류",J744="보완요청",J744="보완완료",J744="평가중",J744="반려요청",J744="평가필요",LEFT(J744,5)="보완요청("),"미종결 표시","상태 확인 필요"))</x:f>
        <x:v>미종결 표시</x:v>
      </x:c>
      <x:c r="L744" s="2" t="str">
        <x:v>KECM</x:v>
      </x:c>
      <x:c r="M744" s="2" t="n">
        <x:v>1</x:v>
      </x:c>
      <x:c r="N744" s="8" t="n">
        <x:f>DATE(2026,10,15)-DATE(2021,12,28)</x:f>
        <x:v>1752</x:v>
      </x:c>
      <x:c r="O744" s="2" t="str">
        <x:v>보류</x:v>
      </x:c>
      <x:c r="P744" s="2"/>
      <x:c r="Q744" s="2" t="str">
        <x:v>산업전환_외부사업관리Tool_260707_이너젠 수정_LJY_261013.xlsx</x:v>
      </x:c>
      <x:c r="R744" s="2" t="str">
        <x:v>국내평가</x:v>
      </x:c>
      <x:c r="S744" s="8" t="n">
        <x:v>647</x:v>
      </x:c>
      <x:c r="T744" s="2" t="str">
        <x:v>(1/18)</x:v>
      </x:c>
      <x:c r="U744" s="2" t="str">
        <x:v>2022 배정: (1/18)</x:v>
      </x:c>
      <x:c r="V744" s="2" t="str">
        <x:v>2022-02-07</x:v>
      </x:c>
      <x:c r="W744" s="2" t="str"/>
      <x:c r="X744" s="2" t="str">
        <x:v>보완 회신 일정 확인</x:v>
      </x:c>
      <x:c r="Y744" s="2" t="str">
        <x:v>ad210cd9ec132cfd447541c8984dc53d30aff0f4fb2dc92d254d49275cc55976</x:v>
      </x:c>
      <x:c r="Z744" s="2" t="n">
        <x:f>SUBTOTAL(103,A744)</x:f>
        <x:v>1</x:v>
      </x:c>
      <x:c r="AA744" s="2" t="str">
        <x:f>IF(K744&lt;&gt;"미종결 표시","대상 아님",IF(N744="","신청일 확인",IF(NOT(ISNUMBER('종합 현황'!$H$5)),"관찰기준 확인",IF('종합 현황'!$H$5&lt;1,"관찰기준 확인",IF(N744&gt;'종합 현황'!$H$5,"내부 관찰 대상","내부 관찰일 이하")))))</x:f>
        <x:v>내부 관찰 대상</x:v>
      </x:c>
      <x:c r="AB744" s="2"/>
    </x:row>
    <x:row r="745" ht="42" customHeight="1">
      <x:c r="A745" s="2" t="str">
        <x:v>98d3d06f0eb8767609eab406</x:v>
      </x:c>
      <x:c r="B745" s="2" t="str">
        <x:v>사업 평가</x:v>
      </x:c>
      <x:c r="C745" s="2" t="str">
        <x:v>국내</x:v>
      </x:c>
      <x:c r="D745" s="7" t="str">
        <x:v>두양산업(주) 연료전환(B-C유→ LNG)을 통한 온실가스 배출 감축사업</x:v>
      </x:c>
      <x:c r="E745" s="2" t="str">
        <x:v>606</x:v>
      </x:c>
      <x:c r="F745" s="2" t="str">
        <x:v>2020-09-02</x:v>
      </x:c>
      <x:c r="G745" s="2" t="str">
        <x:v>2020</x:v>
      </x:c>
      <x:c r="H745" s="2" t="str">
        <x:v>09</x:v>
      </x:c>
      <x:c r="I745" s="2" t="str">
        <x:v>승인</x:v>
      </x:c>
      <x:c r="J745" s="2" t="str">
        <x:v>심의승인</x:v>
      </x:c>
      <x:c r="K745" s="2" t="str">
        <x:f>IF(OR(J745="심의승인",J745="반려",J745="반려완료",J745="심의완료"),"종결 표시",IF(OR(J745="기후부협의",J745="문서재제출요청",J745="보류",J745="보완요청",J745="보완완료",J745="평가중",J745="반려요청",J745="평가필요",LEFT(J745,5)="보완요청("),"미종결 표시","상태 확인 필요"))</x:f>
        <x:v>종결 표시</x:v>
      </x:c>
      <x:c r="L745" s="2" t="str">
        <x:v>에코시안_정다윤</x:v>
      </x:c>
      <x:c r="M745" s="2"/>
      <x:c r="N745" s="8" t="n">
        <x:f>DATE(2026,10,15)-DATE(2020,9,2)</x:f>
        <x:v>2234</x:v>
      </x:c>
      <x:c r="O745" s="2" t="str">
        <x:v>O(21.08)</x:v>
      </x:c>
      <x:c r="P745" s="2" t="str">
        <x:v>3분기 인증위 승인</x:v>
      </x:c>
      <x:c r="Q745" s="2" t="str">
        <x:v>산업전환_외부사업관리Tool_260707_이너젠 수정_LJY_261013.xlsx</x:v>
      </x:c>
      <x:c r="R745" s="2" t="str">
        <x:v>국내평가</x:v>
      </x:c>
      <x:c r="S745" s="8" t="n">
        <x:v>648</x:v>
      </x:c>
      <x:c r="T745" s="2" t="str">
        <x:v>(7/12),(10/20)</x:v>
      </x:c>
      <x:c r="U745" s="2" t="str">
        <x:v>2021 배정: (7/12),(10/20) / 2022 배정: (2/9),(4/19) / 2022 배정(신규): (9/19) / 2023 배정: (1/30),(4/21),(6/27),(9/12) / 2024 배정: (1/12)</x:v>
      </x:c>
      <x:c r="V745" s="2" t="str">
        <x:v>2024-09-20</x:v>
      </x:c>
      <x:c r="W745" s="2" t="str"/>
      <x:c r="X745" s="2" t="str">
        <x:v>종결 근거 보관</x:v>
      </x:c>
      <x:c r="Y745" s="2" t="str">
        <x:v>ad210cd9ec132cfd447541c8984dc53d30aff0f4fb2dc92d254d49275cc55976</x:v>
      </x:c>
      <x:c r="Z745" s="2" t="n">
        <x:f>SUBTOTAL(103,A745)</x:f>
        <x:v>1</x:v>
      </x:c>
      <x:c r="AA745" s="2" t="str">
        <x:f>IF(K745&lt;&gt;"미종결 표시","대상 아님",IF(N745="","신청일 확인",IF(NOT(ISNUMBER('종합 현황'!$H$5)),"관찰기준 확인",IF('종합 현황'!$H$5&lt;1,"관찰기준 확인",IF(N745&gt;'종합 현황'!$H$5,"내부 관찰 대상","내부 관찰일 이하")))))</x:f>
        <x:v>대상 아님</x:v>
      </x:c>
      <x:c r="AB745" s="2"/>
    </x:row>
    <x:row r="746" ht="42" customHeight="1">
      <x:c r="A746" s="2" t="str">
        <x:v>7c11495429f9656982598787</x:v>
      </x:c>
      <x:c r="B746" s="2" t="str">
        <x:v>사업 평가</x:v>
      </x:c>
      <x:c r="C746" s="2" t="str">
        <x:v>국내</x:v>
      </x:c>
      <x:c r="D746" s="7" t="str">
        <x:v>동호칼슘(주)의 보일러 연료전환(벙커C유 → LNG)을 통한 온실가스(tCO2) 배출 감축사업</x:v>
      </x:c>
      <x:c r="E746" s="2" t="str">
        <x:v>607</x:v>
      </x:c>
      <x:c r="F746" s="2" t="str">
        <x:v>2020-09-29</x:v>
      </x:c>
      <x:c r="G746" s="2" t="str">
        <x:v>2020</x:v>
      </x:c>
      <x:c r="H746" s="2" t="str">
        <x:v>09</x:v>
      </x:c>
      <x:c r="I746" s="2" t="str">
        <x:v>반려</x:v>
      </x:c>
      <x:c r="J746" s="2" t="str">
        <x:v>반려</x:v>
      </x:c>
      <x:c r="K746" s="2" t="str">
        <x:f>IF(OR(J746="심의승인",J746="반려",J746="반려완료",J746="심의완료"),"종결 표시",IF(OR(J746="기후부협의",J746="문서재제출요청",J746="보류",J746="보완요청",J746="보완완료",J746="평가중",J746="반려요청",J746="평가필요",LEFT(J746,5)="보완요청("),"미종결 표시","상태 확인 필요"))</x:f>
        <x:v>종결 표시</x:v>
      </x:c>
      <x:c r="L746" s="2"/>
      <x:c r="M746" s="2"/>
      <x:c r="N746" s="8" t="n">
        <x:f>DATE(2026,10,15)-DATE(2020,9,29)</x:f>
        <x:v>2207</x:v>
      </x:c>
      <x:c r="O746" s="2"/>
      <x:c r="P746" s="2"/>
      <x:c r="Q746" s="2" t="str">
        <x:v>산업전환_외부사업관리Tool_260707_이너젠 수정_LJY_261013.xlsx</x:v>
      </x:c>
      <x:c r="R746" s="2" t="str">
        <x:v>국내평가</x:v>
      </x:c>
      <x:c r="S746" s="8" t="n">
        <x:v>649</x:v>
      </x:c>
      <x:c r="T746" s="2" t="str">
        <x:v>2021년 처리</x:v>
      </x:c>
      <x:c r="U746" s="2" t="str">
        <x:v>2021 배정: 2021년 처리</x:v>
      </x:c>
      <x:c r="V746" s="2" t="str">
        <x:v>2021-06-30</x:v>
      </x:c>
      <x:c r="W746" s="2" t="str">
        <x:v>담당기관 확인</x:v>
      </x:c>
      <x:c r="X746" s="2" t="str">
        <x:v>원본·배정 기록 확인</x:v>
      </x:c>
      <x:c r="Y746" s="2" t="str">
        <x:v>ad210cd9ec132cfd447541c8984dc53d30aff0f4fb2dc92d254d49275cc55976</x:v>
      </x:c>
      <x:c r="Z746" s="2" t="n">
        <x:f>SUBTOTAL(103,A746)</x:f>
        <x:v>1</x:v>
      </x:c>
      <x:c r="AA746" s="2" t="str">
        <x:f>IF(K746&lt;&gt;"미종결 표시","대상 아님",IF(N746="","신청일 확인",IF(NOT(ISNUMBER('종합 현황'!$H$5)),"관찰기준 확인",IF('종합 현황'!$H$5&lt;1,"관찰기준 확인",IF(N746&gt;'종합 현황'!$H$5,"내부 관찰 대상","내부 관찰일 이하")))))</x:f>
        <x:v>대상 아님</x:v>
      </x:c>
      <x:c r="AB746" s="2"/>
    </x:row>
    <x:row r="747" ht="42" customHeight="1">
      <x:c r="A747" s="2" t="str">
        <x:v>b5afabe200db4a81dc740d8d</x:v>
      </x:c>
      <x:c r="B747" s="2" t="str">
        <x:v>사업 평가</x:v>
      </x:c>
      <x:c r="C747" s="2" t="str">
        <x:v>국내</x:v>
      </x:c>
      <x:c r="D747" s="7" t="str">
        <x:v>스팀보일러 폐열회수를 통한 온실가스 감축사업</x:v>
      </x:c>
      <x:c r="E747" s="2" t="str">
        <x:v>608</x:v>
      </x:c>
      <x:c r="F747" s="2" t="str">
        <x:v>2021-12-14</x:v>
      </x:c>
      <x:c r="G747" s="2" t="str">
        <x:v>2021</x:v>
      </x:c>
      <x:c r="H747" s="2" t="str">
        <x:v>12</x:v>
      </x:c>
      <x:c r="I747" s="2" t="str">
        <x:v>보완1차_보완중</x:v>
      </x:c>
      <x:c r="J747" s="2" t="str">
        <x:v>보완요청</x:v>
      </x:c>
      <x:c r="K747" s="2" t="str">
        <x:f>IF(OR(J747="심의승인",J747="반려",J747="반려완료",J747="심의완료"),"종결 표시",IF(OR(J747="기후부협의",J747="문서재제출요청",J747="보류",J747="보완요청",J747="보완완료",J747="평가중",J747="반려요청",J747="평가필요",LEFT(J747,5)="보완요청("),"미종결 표시","상태 확인 필요"))</x:f>
        <x:v>미종결 표시</x:v>
      </x:c>
      <x:c r="L747" s="2" t="str">
        <x:v>에코시안_정인혜</x:v>
      </x:c>
      <x:c r="M747" s="2" t="n">
        <x:v>1</x:v>
      </x:c>
      <x:c r="N747" s="8" t="n">
        <x:f>DATE(2026,10,15)-DATE(2021,12,14)</x:f>
        <x:v>1766</x:v>
      </x:c>
      <x:c r="O747" s="2" t="str">
        <x:v>보류</x:v>
      </x:c>
      <x:c r="P747" s="2"/>
      <x:c r="Q747" s="2" t="str">
        <x:v>산업전환_외부사업관리Tool_260707_이너젠 수정_LJY_261013.xlsx</x:v>
      </x:c>
      <x:c r="R747" s="2" t="str">
        <x:v>국내평가</x:v>
      </x:c>
      <x:c r="S747" s="8" t="n">
        <x:v>650</x:v>
      </x:c>
      <x:c r="T747" s="2" t="str">
        <x:v>(1/18)</x:v>
      </x:c>
      <x:c r="U747" s="2" t="str">
        <x:v>2022 배정: (1/18)</x:v>
      </x:c>
      <x:c r="V747" s="2" t="str">
        <x:v>2022-02-09</x:v>
      </x:c>
      <x:c r="W747" s="2" t="str"/>
      <x:c r="X747" s="2" t="str">
        <x:v>보완 회신 일정 확인</x:v>
      </x:c>
      <x:c r="Y747" s="2" t="str">
        <x:v>ad210cd9ec132cfd447541c8984dc53d30aff0f4fb2dc92d254d49275cc55976</x:v>
      </x:c>
      <x:c r="Z747" s="2" t="n">
        <x:f>SUBTOTAL(103,A747)</x:f>
        <x:v>1</x:v>
      </x:c>
      <x:c r="AA747" s="2" t="str">
        <x:f>IF(K747&lt;&gt;"미종결 표시","대상 아님",IF(N747="","신청일 확인",IF(NOT(ISNUMBER('종합 현황'!$H$5)),"관찰기준 확인",IF('종합 현황'!$H$5&lt;1,"관찰기준 확인",IF(N747&gt;'종합 현황'!$H$5,"내부 관찰 대상","내부 관찰일 이하")))))</x:f>
        <x:v>내부 관찰 대상</x:v>
      </x:c>
      <x:c r="AB747" s="2"/>
    </x:row>
    <x:row r="748" ht="42" customHeight="1">
      <x:c r="A748" s="2" t="str">
        <x:v>d4cce0ec67f50e0e73ecb6d4</x:v>
      </x:c>
      <x:c r="B748" s="2" t="str">
        <x:v>사업 평가</x:v>
      </x:c>
      <x:c r="C748" s="2" t="str">
        <x:v>국내</x:v>
      </x:c>
      <x:c r="D748" s="7" t="str">
        <x:v>중력식 고효율 농축조 개선을 통한 온실가스 감축사업</x:v>
      </x:c>
      <x:c r="E748" s="2" t="str">
        <x:v>609</x:v>
      </x:c>
      <x:c r="F748" s="2" t="str">
        <x:v>2021-12-14</x:v>
      </x:c>
      <x:c r="G748" s="2" t="str">
        <x:v>2021</x:v>
      </x:c>
      <x:c r="H748" s="2" t="str">
        <x:v>12</x:v>
      </x:c>
      <x:c r="I748" s="2" t="str">
        <x:v>보완1차_보완중</x:v>
      </x:c>
      <x:c r="J748" s="2" t="str">
        <x:v>보완요청</x:v>
      </x:c>
      <x:c r="K748" s="2" t="str">
        <x:f>IF(OR(J748="심의승인",J748="반려",J748="반려완료",J748="심의완료"),"종결 표시",IF(OR(J748="기후부협의",J748="문서재제출요청",J748="보류",J748="보완요청",J748="보완완료",J748="평가중",J748="반려요청",J748="평가필요",LEFT(J748,5)="보완요청("),"미종결 표시","상태 확인 필요"))</x:f>
        <x:v>미종결 표시</x:v>
      </x:c>
      <x:c r="L748" s="2" t="str">
        <x:v>에코시안_박세은</x:v>
      </x:c>
      <x:c r="M748" s="2" t="n">
        <x:v>1</x:v>
      </x:c>
      <x:c r="N748" s="8" t="n">
        <x:f>DATE(2026,10,15)-DATE(2021,12,14)</x:f>
        <x:v>1766</x:v>
      </x:c>
      <x:c r="O748" s="2" t="str">
        <x:v>보류</x:v>
      </x:c>
      <x:c r="P748" s="2"/>
      <x:c r="Q748" s="2" t="str">
        <x:v>산업전환_외부사업관리Tool_260707_이너젠 수정_LJY_261013.xlsx</x:v>
      </x:c>
      <x:c r="R748" s="2" t="str">
        <x:v>국내평가</x:v>
      </x:c>
      <x:c r="S748" s="8" t="n">
        <x:v>651</x:v>
      </x:c>
      <x:c r="T748" s="2" t="str">
        <x:v>(1/18)</x:v>
      </x:c>
      <x:c r="U748" s="2" t="str">
        <x:v>2022 배정: (1/18)</x:v>
      </x:c>
      <x:c r="V748" s="2" t="str">
        <x:v>2022-02-10</x:v>
      </x:c>
      <x:c r="W748" s="2" t="str"/>
      <x:c r="X748" s="2" t="str">
        <x:v>보완 회신 일정 확인</x:v>
      </x:c>
      <x:c r="Y748" s="2" t="str">
        <x:v>ad210cd9ec132cfd447541c8984dc53d30aff0f4fb2dc92d254d49275cc55976</x:v>
      </x:c>
      <x:c r="Z748" s="2" t="n">
        <x:f>SUBTOTAL(103,A748)</x:f>
        <x:v>1</x:v>
      </x:c>
      <x:c r="AA748" s="2" t="str">
        <x:f>IF(K748&lt;&gt;"미종결 표시","대상 아님",IF(N748="","신청일 확인",IF(NOT(ISNUMBER('종합 현황'!$H$5)),"관찰기준 확인",IF('종합 현황'!$H$5&lt;1,"관찰기준 확인",IF(N748&gt;'종합 현황'!$H$5,"내부 관찰 대상","내부 관찰일 이하")))))</x:f>
        <x:v>내부 관찰 대상</x:v>
      </x:c>
      <x:c r="AB748" s="2"/>
    </x:row>
    <x:row r="749" ht="42" customHeight="1">
      <x:c r="A749" s="2" t="str">
        <x:v>88675c6cf35938b7c3a73a7d</x:v>
      </x:c>
      <x:c r="B749" s="2" t="str">
        <x:v>사업 평가</x:v>
      </x:c>
      <x:c r="C749" s="2" t="str">
        <x:v>국내</x:v>
      </x:c>
      <x:c r="D749" s="7" t="str">
        <x:v>2021년도 생태산업개발을 통한 미세먼지 및 온실가스 감축 사업</x:v>
      </x:c>
      <x:c r="E749" s="2" t="str">
        <x:v>610</x:v>
      </x:c>
      <x:c r="F749" s="2" t="str">
        <x:v>2021-12-22</x:v>
      </x:c>
      <x:c r="G749" s="2" t="str">
        <x:v>2021</x:v>
      </x:c>
      <x:c r="H749" s="2" t="str">
        <x:v>12</x:v>
      </x:c>
      <x:c r="I749" s="2" t="str">
        <x:v>보완1차_보완중</x:v>
      </x:c>
      <x:c r="J749" s="2" t="str">
        <x:v>보완요청</x:v>
      </x:c>
      <x:c r="K749" s="2" t="str">
        <x:f>IF(OR(J749="심의승인",J749="반려",J749="반려완료",J749="심의완료"),"종결 표시",IF(OR(J749="기후부협의",J749="문서재제출요청",J749="보류",J749="보완요청",J749="보완완료",J749="평가중",J749="반려요청",J749="평가필요",LEFT(J749,5)="보완요청("),"미종결 표시","상태 확인 필요"))</x:f>
        <x:v>미종결 표시</x:v>
      </x:c>
      <x:c r="L749" s="2" t="str">
        <x:v>에코시안_정인혜</x:v>
      </x:c>
      <x:c r="M749" s="2" t="n">
        <x:v>1</x:v>
      </x:c>
      <x:c r="N749" s="8" t="n">
        <x:f>DATE(2026,10,15)-DATE(2021,12,22)</x:f>
        <x:v>1758</x:v>
      </x:c>
      <x:c r="O749" s="2" t="str">
        <x:v>보류</x:v>
      </x:c>
      <x:c r="P749" s="2"/>
      <x:c r="Q749" s="2" t="str">
        <x:v>산업전환_외부사업관리Tool_260707_이너젠 수정_LJY_261013.xlsx</x:v>
      </x:c>
      <x:c r="R749" s="2" t="str">
        <x:v>국내평가</x:v>
      </x:c>
      <x:c r="S749" s="8" t="n">
        <x:v>652</x:v>
      </x:c>
      <x:c r="T749" s="2" t="str">
        <x:v>(1/18)</x:v>
      </x:c>
      <x:c r="U749" s="2" t="str">
        <x:v>2022 배정: (1/18)</x:v>
      </x:c>
      <x:c r="V749" s="2" t="str">
        <x:v>2022-02-14</x:v>
      </x:c>
      <x:c r="W749" s="2" t="str"/>
      <x:c r="X749" s="2" t="str">
        <x:v>보완 회신 일정 확인</x:v>
      </x:c>
      <x:c r="Y749" s="2" t="str">
        <x:v>ad210cd9ec132cfd447541c8984dc53d30aff0f4fb2dc92d254d49275cc55976</x:v>
      </x:c>
      <x:c r="Z749" s="2" t="n">
        <x:f>SUBTOTAL(103,A749)</x:f>
        <x:v>1</x:v>
      </x:c>
      <x:c r="AA749" s="2" t="str">
        <x:f>IF(K749&lt;&gt;"미종결 표시","대상 아님",IF(N749="","신청일 확인",IF(NOT(ISNUMBER('종합 현황'!$H$5)),"관찰기준 확인",IF('종합 현황'!$H$5&lt;1,"관찰기준 확인",IF(N749&gt;'종합 현황'!$H$5,"내부 관찰 대상","내부 관찰일 이하")))))</x:f>
        <x:v>내부 관찰 대상</x:v>
      </x:c>
      <x:c r="AB749" s="2"/>
    </x:row>
    <x:row r="750" ht="42" customHeight="1">
      <x:c r="A750" s="2" t="str">
        <x:v>115e9b5551c09b75c92ef4da</x:v>
      </x:c>
      <x:c r="B750" s="2" t="str">
        <x:v>사업 평가</x:v>
      </x:c>
      <x:c r="C750" s="2" t="str">
        <x:v>국내</x:v>
      </x:c>
      <x:c r="D750" s="7" t="str">
        <x:v>㈜동녘 아스콘 드라이어 버너 연료전환 (B-C유, 정제유→LPG)을 통한 온실가스(CO2)감축사업</x:v>
      </x:c>
      <x:c r="E750" s="2" t="str">
        <x:v>611</x:v>
      </x:c>
      <x:c r="F750" s="2" t="str">
        <x:v>2020-09-29</x:v>
      </x:c>
      <x:c r="G750" s="2" t="str">
        <x:v>2020</x:v>
      </x:c>
      <x:c r="H750" s="2" t="str">
        <x:v>09</x:v>
      </x:c>
      <x:c r="I750" s="2" t="str">
        <x:v>반려</x:v>
      </x:c>
      <x:c r="J750" s="2" t="str">
        <x:v>반려</x:v>
      </x:c>
      <x:c r="K750" s="2" t="str">
        <x:f>IF(OR(J750="심의승인",J750="반려",J750="반려완료",J750="심의완료"),"종결 표시",IF(OR(J750="기후부협의",J750="문서재제출요청",J750="보류",J750="보완요청",J750="보완완료",J750="평가중",J750="반려요청",J750="평가필요",LEFT(J750,5)="보완요청("),"미종결 표시","상태 확인 필요"))</x:f>
        <x:v>종결 표시</x:v>
      </x:c>
      <x:c r="L750" s="2"/>
      <x:c r="M750" s="2"/>
      <x:c r="N750" s="8" t="n">
        <x:f>DATE(2026,10,15)-DATE(2020,9,29)</x:f>
        <x:v>2207</x:v>
      </x:c>
      <x:c r="O750" s="2"/>
      <x:c r="P750" s="2"/>
      <x:c r="Q750" s="2" t="str">
        <x:v>산업전환_외부사업관리Tool_260707_이너젠 수정_LJY_261013.xlsx</x:v>
      </x:c>
      <x:c r="R750" s="2" t="str">
        <x:v>국내평가</x:v>
      </x:c>
      <x:c r="S750" s="8" t="n">
        <x:v>653</x:v>
      </x:c>
      <x:c r="T750" s="2" t="str">
        <x:v>2021년 처리</x:v>
      </x:c>
      <x:c r="U750" s="2" t="str">
        <x:v>2021 배정: 2021년 처리</x:v>
      </x:c>
      <x:c r="V750" s="2" t="str">
        <x:v>2021-06-30</x:v>
      </x:c>
      <x:c r="W750" s="2" t="str">
        <x:v>담당기관 확인</x:v>
      </x:c>
      <x:c r="X750" s="2" t="str">
        <x:v>원본·배정 기록 확인</x:v>
      </x:c>
      <x:c r="Y750" s="2" t="str">
        <x:v>ad210cd9ec132cfd447541c8984dc53d30aff0f4fb2dc92d254d49275cc55976</x:v>
      </x:c>
      <x:c r="Z750" s="2" t="n">
        <x:f>SUBTOTAL(103,A750)</x:f>
        <x:v>1</x:v>
      </x:c>
      <x:c r="AA750" s="2" t="str">
        <x:f>IF(K750&lt;&gt;"미종결 표시","대상 아님",IF(N750="","신청일 확인",IF(NOT(ISNUMBER('종합 현황'!$H$5)),"관찰기준 확인",IF('종합 현황'!$H$5&lt;1,"관찰기준 확인",IF(N750&gt;'종합 현황'!$H$5,"내부 관찰 대상","내부 관찰일 이하")))))</x:f>
        <x:v>대상 아님</x:v>
      </x:c>
      <x:c r="AB750" s="2"/>
    </x:row>
    <x:row r="751" ht="42" customHeight="1">
      <x:c r="A751" s="2" t="str">
        <x:v>505dee8a5a38a1035831b43b</x:v>
      </x:c>
      <x:c r="B751" s="2" t="str">
        <x:v>사업 평가</x:v>
      </x:c>
      <x:c r="C751" s="2" t="str">
        <x:v>국내</x:v>
      </x:c>
      <x:c r="D751" s="7" t="str">
        <x:v>2019년 인천광역시 도로조명 LED 교체 묶음 감축사업</x:v>
      </x:c>
      <x:c r="E751" s="2" t="str">
        <x:v>612</x:v>
      </x:c>
      <x:c r="F751" s="2" t="str">
        <x:v>2019-12-31</x:v>
      </x:c>
      <x:c r="G751" s="2" t="str">
        <x:v>2019</x:v>
      </x:c>
      <x:c r="H751" s="2" t="str">
        <x:v>12</x:v>
      </x:c>
      <x:c r="I751" s="2" t="str">
        <x:v>보완3차_문서보완중</x:v>
      </x:c>
      <x:c r="J751" s="2" t="str">
        <x:v>보완요청</x:v>
      </x:c>
      <x:c r="K751" s="2" t="str">
        <x:f>IF(OR(J751="심의승인",J751="반려",J751="반려완료",J751="심의완료"),"종결 표시",IF(OR(J751="기후부협의",J751="문서재제출요청",J751="보류",J751="보완요청",J751="보완완료",J751="평가중",J751="반려요청",J751="평가필요",LEFT(J751,5)="보완요청("),"미종결 표시","상태 확인 필요"))</x:f>
        <x:v>미종결 표시</x:v>
      </x:c>
      <x:c r="L751" s="2" t="str">
        <x:v>KECM_이태준</x:v>
      </x:c>
      <x:c r="M751" s="2" t="n">
        <x:v>3</x:v>
      </x:c>
      <x:c r="N751" s="8" t="n">
        <x:f>DATE(2026,10,15)-DATE(2019,12,31)</x:f>
        <x:v>2480</x:v>
      </x:c>
      <x:c r="O751" s="2" t="str">
        <x:v>생략</x:v>
      </x:c>
      <x:c r="P751" s="2"/>
      <x:c r="Q751" s="2" t="str">
        <x:v>산업전환_외부사업관리Tool_260707_이너젠 수정_LJY_261013.xlsx</x:v>
      </x:c>
      <x:c r="R751" s="2" t="str">
        <x:v>국내평가</x:v>
      </x:c>
      <x:c r="S751" s="8" t="n">
        <x:v>654</x:v>
      </x:c>
      <x:c r="T751" s="2" t="str">
        <x:v>(7/12),(12/1)</x:v>
      </x:c>
      <x:c r="U751" s="2" t="str">
        <x:v>2021 배정: (7/12),(12/1) / 2022 배정: (3/16) / 2022 배정(신규): (7/13),(9/19)</x:v>
      </x:c>
      <x:c r="V751" s="2" t="str">
        <x:v>2022-10-18</x:v>
      </x:c>
      <x:c r="W751" s="2" t="str"/>
      <x:c r="X751" s="2" t="str">
        <x:v>보완 회신 일정 확인</x:v>
      </x:c>
      <x:c r="Y751" s="2" t="str">
        <x:v>ad210cd9ec132cfd447541c8984dc53d30aff0f4fb2dc92d254d49275cc55976</x:v>
      </x:c>
      <x:c r="Z751" s="2" t="n">
        <x:f>SUBTOTAL(103,A751)</x:f>
        <x:v>1</x:v>
      </x:c>
      <x:c r="AA751" s="2" t="str">
        <x:f>IF(K751&lt;&gt;"미종결 표시","대상 아님",IF(N751="","신청일 확인",IF(NOT(ISNUMBER('종합 현황'!$H$5)),"관찰기준 확인",IF('종합 현황'!$H$5&lt;1,"관찰기준 확인",IF(N751&gt;'종합 현황'!$H$5,"내부 관찰 대상","내부 관찰일 이하")))))</x:f>
        <x:v>내부 관찰 대상</x:v>
      </x:c>
      <x:c r="AB751" s="2"/>
    </x:row>
    <x:row r="752" ht="42" customHeight="1">
      <x:c r="A752" s="2" t="str">
        <x:v>c96e5fd6fea0e0a7bce09cea</x:v>
      </x:c>
      <x:c r="B752" s="2" t="str">
        <x:v>사업 평가</x:v>
      </x:c>
      <x:c r="C752" s="2" t="str">
        <x:v>국내</x:v>
      </x:c>
      <x:c r="D752" s="7" t="str">
        <x:v>2019년 인천광역시 보안등 LED 교체 묶음 감축사업</x:v>
      </x:c>
      <x:c r="E752" s="2" t="str">
        <x:v>613</x:v>
      </x:c>
      <x:c r="F752" s="2" t="str">
        <x:v>2019-12-31</x:v>
      </x:c>
      <x:c r="G752" s="2" t="str">
        <x:v>2019</x:v>
      </x:c>
      <x:c r="H752" s="2" t="str">
        <x:v>12</x:v>
      </x:c>
      <x:c r="I752" s="2" t="str">
        <x:v>보완3차_문서보완중</x:v>
      </x:c>
      <x:c r="J752" s="2" t="str">
        <x:v>보완요청</x:v>
      </x:c>
      <x:c r="K752" s="2" t="str">
        <x:f>IF(OR(J752="심의승인",J752="반려",J752="반려완료",J752="심의완료"),"종결 표시",IF(OR(J752="기후부협의",J752="문서재제출요청",J752="보류",J752="보완요청",J752="보완완료",J752="평가중",J752="반려요청",J752="평가필요",LEFT(J752,5)="보완요청("),"미종결 표시","상태 확인 필요"))</x:f>
        <x:v>미종결 표시</x:v>
      </x:c>
      <x:c r="L752" s="2" t="str">
        <x:v>KECM_이태준</x:v>
      </x:c>
      <x:c r="M752" s="2" t="n">
        <x:v>3</x:v>
      </x:c>
      <x:c r="N752" s="8" t="n">
        <x:f>DATE(2026,10,15)-DATE(2019,12,31)</x:f>
        <x:v>2480</x:v>
      </x:c>
      <x:c r="O752" s="2" t="str">
        <x:v>생략</x:v>
      </x:c>
      <x:c r="P752" s="2"/>
      <x:c r="Q752" s="2" t="str">
        <x:v>산업전환_외부사업관리Tool_260707_이너젠 수정_LJY_261013.xlsx</x:v>
      </x:c>
      <x:c r="R752" s="2" t="str">
        <x:v>국내평가</x:v>
      </x:c>
      <x:c r="S752" s="8" t="n">
        <x:v>655</x:v>
      </x:c>
      <x:c r="T752" s="2" t="str">
        <x:v>(7/12),(12/1)</x:v>
      </x:c>
      <x:c r="U752" s="2" t="str">
        <x:v>2021 배정: (7/12),(12/1) / 2022 배정: (3/16) / 2022 배정(신규): (7/13),(9/19)</x:v>
      </x:c>
      <x:c r="V752" s="2" t="str">
        <x:v>2022-10-20</x:v>
      </x:c>
      <x:c r="W752" s="2" t="str"/>
      <x:c r="X752" s="2" t="str">
        <x:v>보완 회신 일정 확인</x:v>
      </x:c>
      <x:c r="Y752" s="2" t="str">
        <x:v>ad210cd9ec132cfd447541c8984dc53d30aff0f4fb2dc92d254d49275cc55976</x:v>
      </x:c>
      <x:c r="Z752" s="2" t="n">
        <x:f>SUBTOTAL(103,A752)</x:f>
        <x:v>1</x:v>
      </x:c>
      <x:c r="AA752" s="2" t="str">
        <x:f>IF(K752&lt;&gt;"미종결 표시","대상 아님",IF(N752="","신청일 확인",IF(NOT(ISNUMBER('종합 현황'!$H$5)),"관찰기준 확인",IF('종합 현황'!$H$5&lt;1,"관찰기준 확인",IF(N752&gt;'종합 현황'!$H$5,"내부 관찰 대상","내부 관찰일 이하")))))</x:f>
        <x:v>내부 관찰 대상</x:v>
      </x:c>
      <x:c r="AB752" s="2"/>
    </x:row>
    <x:row r="753" ht="42" customHeight="1">
      <x:c r="A753" s="2" t="str">
        <x:v>817bf11a595e70fe75f27b8a</x:v>
      </x:c>
      <x:c r="B753" s="2" t="str">
        <x:v>사업 평가</x:v>
      </x:c>
      <x:c r="C753" s="2" t="str">
        <x:v>국내</x:v>
      </x:c>
      <x:c r="D753" s="7" t="str">
        <x:v>포스코에너지(주) 태양광 발전설비를 이용한 전력 생산 및 자가사용 사업(사회공헌)</x:v>
      </x:c>
      <x:c r="E753" s="2" t="str">
        <x:v>614</x:v>
      </x:c>
      <x:c r="F753" s="2" t="str">
        <x:v>2021-12-27</x:v>
      </x:c>
      <x:c r="G753" s="2" t="str">
        <x:v>2021</x:v>
      </x:c>
      <x:c r="H753" s="2" t="str">
        <x:v>12</x:v>
      </x:c>
      <x:c r="I753" s="2" t="str">
        <x:v>반려</x:v>
      </x:c>
      <x:c r="J753" s="2" t="str">
        <x:v>반려</x:v>
      </x:c>
      <x:c r="K753" s="2" t="str">
        <x:f>IF(OR(J753="심의승인",J753="반려",J753="반려완료",J753="심의완료"),"종결 표시",IF(OR(J753="기후부협의",J753="문서재제출요청",J753="보류",J753="보완요청",J753="보완완료",J753="평가중",J753="반려요청",J753="평가필요",LEFT(J753,5)="보완요청("),"미종결 표시","상태 확인 필요"))</x:f>
        <x:v>종결 표시</x:v>
      </x:c>
      <x:c r="L753" s="2" t="str">
        <x:v>에코시안_권송화</x:v>
      </x:c>
      <x:c r="M753" s="2"/>
      <x:c r="N753" s="8" t="n">
        <x:f>DATE(2026,10,15)-DATE(2021,12,27)</x:f>
        <x:v>1753</x:v>
      </x:c>
      <x:c r="O753" s="2" t="str">
        <x:v>보류</x:v>
      </x:c>
      <x:c r="P753" s="2" t="str">
        <x:v>중복사업으로 확인되므로 반려 여부 확인 필요</x:v>
      </x:c>
      <x:c r="Q753" s="2" t="str">
        <x:v>산업전환_외부사업관리Tool_260707_이너젠 수정_LJY_261013.xlsx</x:v>
      </x:c>
      <x:c r="R753" s="2" t="str">
        <x:v>국내평가</x:v>
      </x:c>
      <x:c r="S753" s="8" t="n">
        <x:v>656</x:v>
      </x:c>
      <x:c r="T753" s="2" t="str">
        <x:v>(1/18)</x:v>
      </x:c>
      <x:c r="U753" s="2" t="str">
        <x:v>2022 배정: (1/18) / 2023 배정: 2023년 처리</x:v>
      </x:c>
      <x:c r="V753" s="2" t="str">
        <x:v>2023-04-24</x:v>
      </x:c>
      <x:c r="W753" s="2" t="str"/>
      <x:c r="X753" s="2" t="str">
        <x:v>종결 근거 보관</x:v>
      </x:c>
      <x:c r="Y753" s="2" t="str">
        <x:v>ad210cd9ec132cfd447541c8984dc53d30aff0f4fb2dc92d254d49275cc55976</x:v>
      </x:c>
      <x:c r="Z753" s="2" t="n">
        <x:f>SUBTOTAL(103,A753)</x:f>
        <x:v>1</x:v>
      </x:c>
      <x:c r="AA753" s="2" t="str">
        <x:f>IF(K753&lt;&gt;"미종결 표시","대상 아님",IF(N753="","신청일 확인",IF(NOT(ISNUMBER('종합 현황'!$H$5)),"관찰기준 확인",IF('종합 현황'!$H$5&lt;1,"관찰기준 확인",IF(N753&gt;'종합 현황'!$H$5,"내부 관찰 대상","내부 관찰일 이하")))))</x:f>
        <x:v>대상 아님</x:v>
      </x:c>
      <x:c r="AB753" s="2"/>
    </x:row>
    <x:row r="754" ht="42" customHeight="1">
      <x:c r="A754" s="2" t="str">
        <x:v>69a833e5d21380bc26454939</x:v>
      </x:c>
      <x:c r="B754" s="2" t="str">
        <x:v>사업 평가</x:v>
      </x:c>
      <x:c r="C754" s="2" t="str">
        <x:v>국내</x:v>
      </x:c>
      <x:c r="D754" s="7" t="str">
        <x:v>(주)삼성산업의 보일러 연료전환(B-B유 → LPG)을 통한 온실가스(CO2) 배출 감축사업</x:v>
      </x:c>
      <x:c r="E754" s="2" t="str">
        <x:v>615</x:v>
      </x:c>
      <x:c r="F754" s="2" t="str">
        <x:v>2020-09-25</x:v>
      </x:c>
      <x:c r="G754" s="2" t="str">
        <x:v>2020</x:v>
      </x:c>
      <x:c r="H754" s="2" t="str">
        <x:v>09</x:v>
      </x:c>
      <x:c r="I754" s="2" t="str">
        <x:v>승인</x:v>
      </x:c>
      <x:c r="J754" s="2" t="str">
        <x:v>심의승인</x:v>
      </x:c>
      <x:c r="K754" s="2" t="str">
        <x:f>IF(OR(J754="심의승인",J754="반려",J754="반려완료",J754="심의완료"),"종결 표시",IF(OR(J754="기후부협의",J754="문서재제출요청",J754="보류",J754="보완요청",J754="보완완료",J754="평가중",J754="반려요청",J754="평가필요",LEFT(J754,5)="보완요청("),"미종결 표시","상태 확인 필요"))</x:f>
        <x:v>종결 표시</x:v>
      </x:c>
      <x:c r="L754" s="2" t="str">
        <x:v>KECM_임하진</x:v>
      </x:c>
      <x:c r="M754" s="2"/>
      <x:c r="N754" s="8" t="n">
        <x:f>DATE(2026,10,15)-DATE(2020,9,25)</x:f>
        <x:v>2211</x:v>
      </x:c>
      <x:c r="O754" s="2" t="str">
        <x:v>O(21.10)</x:v>
      </x:c>
      <x:c r="P754" s="2" t="str">
        <x:v>LPG 계측기 O</x:v>
      </x:c>
      <x:c r="Q754" s="2" t="str">
        <x:v>산업전환_외부사업관리Tool_260707_이너젠 수정_LJY_261013.xlsx</x:v>
      </x:c>
      <x:c r="R754" s="2" t="str">
        <x:v>국내평가</x:v>
      </x:c>
      <x:c r="S754" s="8" t="n">
        <x:v>657</x:v>
      </x:c>
      <x:c r="T754" s="2" t="str">
        <x:v>(9/1),(10/20)</x:v>
      </x:c>
      <x:c r="U754" s="2" t="str">
        <x:v>2021 배정: (9/1),(10/20) / 2022 배정: (4/19)</x:v>
      </x:c>
      <x:c r="V754" s="2" t="str">
        <x:v>2022-07-05</x:v>
      </x:c>
      <x:c r="W754" s="2" t="str"/>
      <x:c r="X754" s="2" t="str">
        <x:v>종결 근거 보관</x:v>
      </x:c>
      <x:c r="Y754" s="2" t="str">
        <x:v>ad210cd9ec132cfd447541c8984dc53d30aff0f4fb2dc92d254d49275cc55976</x:v>
      </x:c>
      <x:c r="Z754" s="2" t="n">
        <x:f>SUBTOTAL(103,A754)</x:f>
        <x:v>1</x:v>
      </x:c>
      <x:c r="AA754" s="2" t="str">
        <x:f>IF(K754&lt;&gt;"미종결 표시","대상 아님",IF(N754="","신청일 확인",IF(NOT(ISNUMBER('종합 현황'!$H$5)),"관찰기준 확인",IF('종합 현황'!$H$5&lt;1,"관찰기준 확인",IF(N754&gt;'종합 현황'!$H$5,"내부 관찰 대상","내부 관찰일 이하")))))</x:f>
        <x:v>대상 아님</x:v>
      </x:c>
      <x:c r="AB754" s="2"/>
    </x:row>
    <x:row r="755" ht="42" customHeight="1">
      <x:c r="A755" s="2" t="str">
        <x:v>cff67f6040ad5b2b53e59ad3</x:v>
      </x:c>
      <x:c r="B755" s="2" t="str">
        <x:v>사업 평가</x:v>
      </x:c>
      <x:c r="C755" s="2" t="str">
        <x:v>국내</x:v>
      </x:c>
      <x:c r="D755" s="7" t="str">
        <x:v>압축공기 공동 이용 설비통합및 제어 시스넴 구축</x:v>
      </x:c>
      <x:c r="E755" s="2" t="str">
        <x:v>616</x:v>
      </x:c>
      <x:c r="F755" s="2" t="str">
        <x:v>2021-12-27</x:v>
      </x:c>
      <x:c r="G755" s="2" t="str">
        <x:v>2021</x:v>
      </x:c>
      <x:c r="H755" s="2" t="str">
        <x:v>12</x:v>
      </x:c>
      <x:c r="I755" s="2" t="str">
        <x:v>보완1차_보완중</x:v>
      </x:c>
      <x:c r="J755" s="2" t="str">
        <x:v>보완요청</x:v>
      </x:c>
      <x:c r="K755" s="2" t="str">
        <x:f>IF(OR(J755="심의승인",J755="반려",J755="반려완료",J755="심의완료"),"종결 표시",IF(OR(J755="기후부협의",J755="문서재제출요청",J755="보류",J755="보완요청",J755="보완완료",J755="평가중",J755="반려요청",J755="평가필요",LEFT(J755,5)="보완요청("),"미종결 표시","상태 확인 필요"))</x:f>
        <x:v>미종결 표시</x:v>
      </x:c>
      <x:c r="L755" s="2" t="str">
        <x:v>에코시안_박세은</x:v>
      </x:c>
      <x:c r="M755" s="2" t="n">
        <x:v>1</x:v>
      </x:c>
      <x:c r="N755" s="8" t="n">
        <x:f>DATE(2026,10,15)-DATE(2021,12,27)</x:f>
        <x:v>1753</x:v>
      </x:c>
      <x:c r="O755" s="2" t="str">
        <x:v>보류</x:v>
      </x:c>
      <x:c r="P755" s="2"/>
      <x:c r="Q755" s="2" t="str">
        <x:v>산업전환_외부사업관리Tool_260707_이너젠 수정_LJY_261013.xlsx</x:v>
      </x:c>
      <x:c r="R755" s="2" t="str">
        <x:v>국내평가</x:v>
      </x:c>
      <x:c r="S755" s="8" t="n">
        <x:v>658</x:v>
      </x:c>
      <x:c r="T755" s="2" t="str">
        <x:v>(1/18)</x:v>
      </x:c>
      <x:c r="U755" s="2" t="str">
        <x:v>2022 배정: (1/18)</x:v>
      </x:c>
      <x:c r="V755" s="2" t="str">
        <x:v>2022-02-17</x:v>
      </x:c>
      <x:c r="W755" s="2" t="str"/>
      <x:c r="X755" s="2" t="str">
        <x:v>보완 회신 일정 확인</x:v>
      </x:c>
      <x:c r="Y755" s="2" t="str">
        <x:v>ad210cd9ec132cfd447541c8984dc53d30aff0f4fb2dc92d254d49275cc55976</x:v>
      </x:c>
      <x:c r="Z755" s="2" t="n">
        <x:f>SUBTOTAL(103,A755)</x:f>
        <x:v>1</x:v>
      </x:c>
      <x:c r="AA755" s="2" t="str">
        <x:f>IF(K755&lt;&gt;"미종결 표시","대상 아님",IF(N755="","신청일 확인",IF(NOT(ISNUMBER('종합 현황'!$H$5)),"관찰기준 확인",IF('종합 현황'!$H$5&lt;1,"관찰기준 확인",IF(N755&gt;'종합 현황'!$H$5,"내부 관찰 대상","내부 관찰일 이하")))))</x:f>
        <x:v>내부 관찰 대상</x:v>
      </x:c>
      <x:c r="AB755" s="2"/>
    </x:row>
    <x:row r="756" ht="42" customHeight="1">
      <x:c r="A756" s="2" t="str">
        <x:v>46bce9e12fdc7e9cba028ace</x:v>
      </x:c>
      <x:c r="B756" s="2" t="str">
        <x:v>사업 평가</x:v>
      </x:c>
      <x:c r="C756" s="2" t="str">
        <x:v>국내</x:v>
      </x:c>
      <x:c r="D756" s="7" t="str">
        <x:v>(주)동아금속_ 고효율 공기압축기 교체를 통한 온실가스 감축사업</x:v>
      </x:c>
      <x:c r="E756" s="2" t="str">
        <x:v>617</x:v>
      </x:c>
      <x:c r="F756" s="2" t="str">
        <x:v>2019-09-24</x:v>
      </x:c>
      <x:c r="G756" s="2" t="str">
        <x:v>2019</x:v>
      </x:c>
      <x:c r="H756" s="2" t="str">
        <x:v>09</x:v>
      </x:c>
      <x:c r="I756" s="2" t="str">
        <x:v>승인</x:v>
      </x:c>
      <x:c r="J756" s="2" t="str">
        <x:v>심의승인</x:v>
      </x:c>
      <x:c r="K756" s="2" t="str">
        <x:f>IF(OR(J756="심의승인",J756="반려",J756="반려완료",J756="심의완료"),"종결 표시",IF(OR(J756="기후부협의",J756="문서재제출요청",J756="보류",J756="보완요청",J756="보완완료",J756="평가중",J756="반려요청",J756="평가필요",LEFT(J756,5)="보완요청("),"미종결 표시","상태 확인 필요"))</x:f>
        <x:v>종결 표시</x:v>
      </x:c>
      <x:c r="L756" s="2" t="str">
        <x:v>KECM_이태준</x:v>
      </x:c>
      <x:c r="M756" s="2"/>
      <x:c r="N756" s="8" t="n">
        <x:f>DATE(2026,10,15)-DATE(2019,9,24)</x:f>
        <x:v>2578</x:v>
      </x:c>
      <x:c r="O756" s="2" t="str">
        <x:v>생략</x:v>
      </x:c>
      <x:c r="P756" s="2" t="str">
        <x:v>1분기 인증위 승인</x:v>
      </x:c>
      <x:c r="Q756" s="2" t="str">
        <x:v>산업전환_외부사업관리Tool_260707_이너젠 수정_LJY_261013.xlsx</x:v>
      </x:c>
      <x:c r="R756" s="2" t="str">
        <x:v>국내평가</x:v>
      </x:c>
      <x:c r="S756" s="8" t="n">
        <x:v>659</x:v>
      </x:c>
      <x:c r="T756" s="2" t="str">
        <x:v>(7/12),(10/20),(12/1)</x:v>
      </x:c>
      <x:c r="U756" s="2" t="str">
        <x:v>2021 배정: (7/12),(10/20),(12/1) / 2022 배정(신규): (5/18),(9/19),(10/19)</x:v>
      </x:c>
      <x:c r="V756" s="2" t="str">
        <x:v>2023-04-19</x:v>
      </x:c>
      <x:c r="W756" s="2" t="str"/>
      <x:c r="X756" s="2" t="str">
        <x:v>종결 근거 보관</x:v>
      </x:c>
      <x:c r="Y756" s="2" t="str">
        <x:v>ad210cd9ec132cfd447541c8984dc53d30aff0f4fb2dc92d254d49275cc55976</x:v>
      </x:c>
      <x:c r="Z756" s="2" t="n">
        <x:f>SUBTOTAL(103,A756)</x:f>
        <x:v>1</x:v>
      </x:c>
      <x:c r="AA756" s="2" t="str">
        <x:f>IF(K756&lt;&gt;"미종결 표시","대상 아님",IF(N756="","신청일 확인",IF(NOT(ISNUMBER('종합 현황'!$H$5)),"관찰기준 확인",IF('종합 현황'!$H$5&lt;1,"관찰기준 확인",IF(N756&gt;'종합 현황'!$H$5,"내부 관찰 대상","내부 관찰일 이하")))))</x:f>
        <x:v>대상 아님</x:v>
      </x:c>
      <x:c r="AB756" s="2"/>
    </x:row>
    <x:row r="757" ht="42" customHeight="1">
      <x:c r="A757" s="2" t="str">
        <x:v>f391819c00583071b5c60178</x:v>
      </x:c>
      <x:c r="B757" s="2" t="str">
        <x:v>사업 평가</x:v>
      </x:c>
      <x:c r="C757" s="2" t="str">
        <x:v>국내</x:v>
      </x:c>
      <x:c r="D757" s="7" t="str">
        <x:v>㈜포스코건설 태양광 발전설비를 이용한 전력생산 및 자가사용 사업(사회공헌형)</x:v>
      </x:c>
      <x:c r="E757" s="2" t="str">
        <x:v>618</x:v>
      </x:c>
      <x:c r="F757" s="2" t="str">
        <x:v>2021-12-29</x:v>
      </x:c>
      <x:c r="G757" s="2" t="str">
        <x:v>2021</x:v>
      </x:c>
      <x:c r="H757" s="2" t="str">
        <x:v>12</x:v>
      </x:c>
      <x:c r="I757" s="2" t="str">
        <x:v>보완1차_보완중</x:v>
      </x:c>
      <x:c r="J757" s="2" t="str">
        <x:v>보완요청</x:v>
      </x:c>
      <x:c r="K757" s="2" t="str">
        <x:f>IF(OR(J757="심의승인",J757="반려",J757="반려완료",J757="심의완료"),"종결 표시",IF(OR(J757="기후부협의",J757="문서재제출요청",J757="보류",J757="보완요청",J757="보완완료",J757="평가중",J757="반려요청",J757="평가필요",LEFT(J757,5)="보완요청("),"미종결 표시","상태 확인 필요"))</x:f>
        <x:v>미종결 표시</x:v>
      </x:c>
      <x:c r="L757" s="2" t="str">
        <x:v>에코시안_권송화</x:v>
      </x:c>
      <x:c r="M757" s="2" t="n">
        <x:v>1</x:v>
      </x:c>
      <x:c r="N757" s="8" t="n">
        <x:f>DATE(2026,10,15)-DATE(2021,12,29)</x:f>
        <x:v>1751</x:v>
      </x:c>
      <x:c r="O757" s="2" t="str">
        <x:v>보류</x:v>
      </x:c>
      <x:c r="P757" s="2"/>
      <x:c r="Q757" s="2" t="str">
        <x:v>산업전환_외부사업관리Tool_260707_이너젠 수정_LJY_261013.xlsx</x:v>
      </x:c>
      <x:c r="R757" s="2" t="str">
        <x:v>국내평가</x:v>
      </x:c>
      <x:c r="S757" s="8" t="n">
        <x:v>660</x:v>
      </x:c>
      <x:c r="T757" s="2" t="str">
        <x:v>(1/18)</x:v>
      </x:c>
      <x:c r="U757" s="2" t="str">
        <x:v>2022 배정: (1/18)</x:v>
      </x:c>
      <x:c r="V757" s="2" t="str">
        <x:v>2022-03-02</x:v>
      </x:c>
      <x:c r="W757" s="2" t="str"/>
      <x:c r="X757" s="2" t="str">
        <x:v>보완 회신 일정 확인</x:v>
      </x:c>
      <x:c r="Y757" s="2" t="str">
        <x:v>ad210cd9ec132cfd447541c8984dc53d30aff0f4fb2dc92d254d49275cc55976</x:v>
      </x:c>
      <x:c r="Z757" s="2" t="n">
        <x:f>SUBTOTAL(103,A757)</x:f>
        <x:v>1</x:v>
      </x:c>
      <x:c r="AA757" s="2" t="str">
        <x:f>IF(K757&lt;&gt;"미종결 표시","대상 아님",IF(N757="","신청일 확인",IF(NOT(ISNUMBER('종합 현황'!$H$5)),"관찰기준 확인",IF('종합 현황'!$H$5&lt;1,"관찰기준 확인",IF(N757&gt;'종합 현황'!$H$5,"내부 관찰 대상","내부 관찰일 이하")))))</x:f>
        <x:v>내부 관찰 대상</x:v>
      </x:c>
      <x:c r="AB757" s="2"/>
    </x:row>
    <x:row r="758" ht="42" customHeight="1">
      <x:c r="A758" s="2" t="str">
        <x:v>883592bed82a93bd39ff7aa2</x:v>
      </x:c>
      <x:c r="B758" s="2" t="str">
        <x:v>사업 평가</x:v>
      </x:c>
      <x:c r="C758" s="2" t="str">
        <x:v>국내</x:v>
      </x:c>
      <x:c r="D758" s="7" t="str">
        <x:v>삼진프라스틱공업(주)  고효율 2단 인버터 PM Motor 공기압축기로 교체 사업</x:v>
      </x:c>
      <x:c r="E758" s="2" t="str">
        <x:v>619</x:v>
      </x:c>
      <x:c r="F758" s="2" t="str">
        <x:v>2020-03-25</x:v>
      </x:c>
      <x:c r="G758" s="2" t="str">
        <x:v>2020</x:v>
      </x:c>
      <x:c r="H758" s="2" t="str">
        <x:v>03</x:v>
      </x:c>
      <x:c r="I758" s="2" t="str">
        <x:v>반려</x:v>
      </x:c>
      <x:c r="J758" s="2" t="str">
        <x:v>반려</x:v>
      </x:c>
      <x:c r="K758" s="2" t="str">
        <x:f>IF(OR(J758="심의승인",J758="반려",J758="반려완료",J758="심의완료"),"종결 표시",IF(OR(J758="기후부협의",J758="문서재제출요청",J758="보류",J758="보완요청",J758="보완완료",J758="평가중",J758="반려요청",J758="평가필요",LEFT(J758,5)="보완요청("),"미종결 표시","상태 확인 필요"))</x:f>
        <x:v>종결 표시</x:v>
      </x:c>
      <x:c r="L758" s="2" t="str">
        <x:v>KECM_이태준</x:v>
      </x:c>
      <x:c r="M758" s="2"/>
      <x:c r="N758" s="8" t="n">
        <x:f>DATE(2026,10,15)-DATE(2020,3,25)</x:f>
        <x:v>2395</x:v>
      </x:c>
      <x:c r="O758" s="2" t="str">
        <x:v>생략</x:v>
      </x:c>
      <x:c r="P758" s="2" t="str">
        <x:v>사업자 요청으로 반려</x:v>
      </x:c>
      <x:c r="Q758" s="2" t="str">
        <x:v>산업전환_외부사업관리Tool_260707_이너젠 수정_LJY_261013.xlsx</x:v>
      </x:c>
      <x:c r="R758" s="2" t="str">
        <x:v>국내평가</x:v>
      </x:c>
      <x:c r="S758" s="8" t="n">
        <x:v>661</x:v>
      </x:c>
      <x:c r="T758" s="2" t="str">
        <x:v>(7/12),(9/14),(12/1)</x:v>
      </x:c>
      <x:c r="U758" s="2" t="str">
        <x:v>2021 배정: (7/12),(9/14),(12/1) / 2022 배정: (4/19) / 2022 배정(신규): (12/27) / 2023 배정: (11/17) / 2024 배정: (2/5)</x:v>
      </x:c>
      <x:c r="V758" s="2" t="str">
        <x:v>2024-03-07</x:v>
      </x:c>
      <x:c r="W758" s="2" t="str"/>
      <x:c r="X758" s="2" t="str">
        <x:v>종결 근거 보관</x:v>
      </x:c>
      <x:c r="Y758" s="2" t="str">
        <x:v>ad210cd9ec132cfd447541c8984dc53d30aff0f4fb2dc92d254d49275cc55976</x:v>
      </x:c>
      <x:c r="Z758" s="2" t="n">
        <x:f>SUBTOTAL(103,A758)</x:f>
        <x:v>1</x:v>
      </x:c>
      <x:c r="AA758" s="2" t="str">
        <x:f>IF(K758&lt;&gt;"미종결 표시","대상 아님",IF(N758="","신청일 확인",IF(NOT(ISNUMBER('종합 현황'!$H$5)),"관찰기준 확인",IF('종합 현황'!$H$5&lt;1,"관찰기준 확인",IF(N758&gt;'종합 현황'!$H$5,"내부 관찰 대상","내부 관찰일 이하")))))</x:f>
        <x:v>대상 아님</x:v>
      </x:c>
      <x:c r="AB758" s="2"/>
    </x:row>
    <x:row r="759" ht="42" customHeight="1">
      <x:c r="A759" s="2" t="str">
        <x:v>2cd4fc2d49750087ccc0ba0d</x:v>
      </x:c>
      <x:c r="B759" s="2" t="str">
        <x:v>사업 평가</x:v>
      </x:c>
      <x:c r="C759" s="2" t="str">
        <x:v>국내</x:v>
      </x:c>
      <x:c r="D759" s="7" t="str">
        <x:v>서울시사회복지협의회 태양광발전설비 설치를 통한 프로그램 온실가스 배출 감축사업</x:v>
      </x:c>
      <x:c r="E759" s="2" t="str">
        <x:v>620</x:v>
      </x:c>
      <x:c r="F759" s="2" t="str">
        <x:v>2021-05-03</x:v>
      </x:c>
      <x:c r="G759" s="2" t="str">
        <x:v>2021</x:v>
      </x:c>
      <x:c r="H759" s="2" t="str">
        <x:v>05</x:v>
      </x:c>
      <x:c r="I759" s="2" t="str">
        <x:v>반려</x:v>
      </x:c>
      <x:c r="J759" s="2" t="str">
        <x:v>반려</x:v>
      </x:c>
      <x:c r="K759" s="2" t="str">
        <x:f>IF(OR(J759="심의승인",J759="반려",J759="반려완료",J759="심의완료"),"종결 표시",IF(OR(J759="기후부협의",J759="문서재제출요청",J759="보류",J759="보완요청",J759="보완완료",J759="평가중",J759="반려요청",J759="평가필요",LEFT(J759,5)="보완요청("),"미종결 표시","상태 확인 필요"))</x:f>
        <x:v>종결 표시</x:v>
      </x:c>
      <x:c r="L759" s="2" t="str">
        <x:v>에코시안_권송화,정다윤</x:v>
      </x:c>
      <x:c r="M759" s="2"/>
      <x:c r="N759" s="8" t="n">
        <x:f>DATE(2026,10,15)-DATE(2021,5,3)</x:f>
        <x:v>1991</x:v>
      </x:c>
      <x:c r="O759" s="2" t="str">
        <x:v>생략</x:v>
      </x:c>
      <x:c r="P759" s="2"/>
      <x:c r="Q759" s="2" t="str">
        <x:v>산업전환_외부사업관리Tool_260707_이너젠 수정_LJY_261013.xlsx</x:v>
      </x:c>
      <x:c r="R759" s="2" t="str">
        <x:v>국내평가</x:v>
      </x:c>
      <x:c r="S759" s="8" t="n">
        <x:v>662</x:v>
      </x:c>
      <x:c r="T759" s="2" t="str">
        <x:v>(5/7),(7/12),(11/2)</x:v>
      </x:c>
      <x:c r="U759" s="2" t="str">
        <x:v>2021 배정: (5/7),(7/12),(11/2) / 2022 배정(신규): (5/18)</x:v>
      </x:c>
      <x:c r="V759" s="2" t="str">
        <x:v>2023-03-20</x:v>
      </x:c>
      <x:c r="W759" s="2" t="str"/>
      <x:c r="X759" s="2" t="str">
        <x:v>종결 근거 보관</x:v>
      </x:c>
      <x:c r="Y759" s="2" t="str">
        <x:v>ad210cd9ec132cfd447541c8984dc53d30aff0f4fb2dc92d254d49275cc55976</x:v>
      </x:c>
      <x:c r="Z759" s="2" t="n">
        <x:f>SUBTOTAL(103,A759)</x:f>
        <x:v>1</x:v>
      </x:c>
      <x:c r="AA759" s="2" t="str">
        <x:f>IF(K759&lt;&gt;"미종결 표시","대상 아님",IF(N759="","신청일 확인",IF(NOT(ISNUMBER('종합 현황'!$H$5)),"관찰기준 확인",IF('종합 현황'!$H$5&lt;1,"관찰기준 확인",IF(N759&gt;'종합 현황'!$H$5,"내부 관찰 대상","내부 관찰일 이하")))))</x:f>
        <x:v>대상 아님</x:v>
      </x:c>
      <x:c r="AB759" s="2"/>
    </x:row>
    <x:row r="760" ht="42" customHeight="1">
      <x:c r="A760" s="2" t="str">
        <x:v>5b1403ca8a990a9e40b9636e</x:v>
      </x:c>
      <x:c r="B760" s="2" t="str">
        <x:v>사업 평가</x:v>
      </x:c>
      <x:c r="C760" s="2" t="str">
        <x:v>국내</x:v>
      </x:c>
      <x:c r="D760" s="7" t="str">
        <x:v>동성EPS 태양광발전 설비 설치를 통한 전력 생산 및 자가 사용 사업</x:v>
      </x:c>
      <x:c r="E760" s="2" t="str">
        <x:v>621</x:v>
      </x:c>
      <x:c r="F760" s="2" t="str">
        <x:v>2020-06-26</x:v>
      </x:c>
      <x:c r="G760" s="2" t="str">
        <x:v>2020</x:v>
      </x:c>
      <x:c r="H760" s="2" t="str">
        <x:v>06</x:v>
      </x:c>
      <x:c r="I760" s="2" t="str">
        <x:v>보완3차_보완중</x:v>
      </x:c>
      <x:c r="J760" s="2" t="str">
        <x:v>보완요청</x:v>
      </x:c>
      <x:c r="K760" s="2" t="str">
        <x:f>IF(OR(J760="심의승인",J760="반려",J760="반려완료",J760="심의완료"),"종결 표시",IF(OR(J760="기후부협의",J760="문서재제출요청",J760="보류",J760="보완요청",J760="보완완료",J760="평가중",J760="반려요청",J760="평가필요",LEFT(J760,5)="보완요청("),"미종결 표시","상태 확인 필요"))</x:f>
        <x:v>미종결 표시</x:v>
      </x:c>
      <x:c r="L760" s="2" t="str">
        <x:v>KECM&gt;에코시안_정다윤</x:v>
      </x:c>
      <x:c r="M760" s="2" t="n">
        <x:v>3</x:v>
      </x:c>
      <x:c r="N760" s="8" t="n">
        <x:f>DATE(2026,10,15)-DATE(2020,6,26)</x:f>
        <x:v>2302</x:v>
      </x:c>
      <x:c r="O760" s="2" t="str">
        <x:v>생략</x:v>
      </x:c>
      <x:c r="P760" s="2"/>
      <x:c r="Q760" s="2" t="str">
        <x:v>산업전환_외부사업관리Tool_260707_이너젠 수정_LJY_261013.xlsx</x:v>
      </x:c>
      <x:c r="R760" s="2" t="str">
        <x:v>국내평가</x:v>
      </x:c>
      <x:c r="S760" s="8" t="n">
        <x:v>663</x:v>
      </x:c>
      <x:c r="T760" s="2" t="str">
        <x:v>(6/3),(12/1)</x:v>
      </x:c>
      <x:c r="U760" s="2" t="str">
        <x:v>2021 배정: (6/3),(12/1) / 2022 배정: (2/9),(3/16),(4/19)</x:v>
      </x:c>
      <x:c r="V760" s="2" t="str">
        <x:v>2022-05-13</x:v>
      </x:c>
      <x:c r="W760" s="2" t="str"/>
      <x:c r="X760" s="2" t="str">
        <x:v>보완 회신 일정 확인</x:v>
      </x:c>
      <x:c r="Y760" s="2" t="str">
        <x:v>ad210cd9ec132cfd447541c8984dc53d30aff0f4fb2dc92d254d49275cc55976</x:v>
      </x:c>
      <x:c r="Z760" s="2" t="n">
        <x:f>SUBTOTAL(103,A760)</x:f>
        <x:v>1</x:v>
      </x:c>
      <x:c r="AA760" s="2" t="str">
        <x:f>IF(K760&lt;&gt;"미종결 표시","대상 아님",IF(N760="","신청일 확인",IF(NOT(ISNUMBER('종합 현황'!$H$5)),"관찰기준 확인",IF('종합 현황'!$H$5&lt;1,"관찰기준 확인",IF(N760&gt;'종합 현황'!$H$5,"내부 관찰 대상","내부 관찰일 이하")))))</x:f>
        <x:v>내부 관찰 대상</x:v>
      </x:c>
      <x:c r="AB760" s="2"/>
    </x:row>
    <x:row r="761" ht="42" customHeight="1">
      <x:c r="A761" s="2" t="str">
        <x:v>916e6b7c9c3304ce173721a9</x:v>
      </x:c>
      <x:c r="B761" s="2" t="str">
        <x:v>사업 평가</x:v>
      </x:c>
      <x:c r="C761" s="2" t="str">
        <x:v>국내</x:v>
      </x:c>
      <x:c r="D761" s="7" t="str">
        <x:v>에이치엠텍 고효율 공기압축기 교체를 통한  온실가스 감축사업</x:v>
      </x:c>
      <x:c r="E761" s="2" t="str">
        <x:v>622</x:v>
      </x:c>
      <x:c r="F761" s="2" t="str">
        <x:v>2020-09-28</x:v>
      </x:c>
      <x:c r="G761" s="2" t="str">
        <x:v>2020</x:v>
      </x:c>
      <x:c r="H761" s="2" t="str">
        <x:v>09</x:v>
      </x:c>
      <x:c r="I761" s="2" t="str">
        <x:v>승인</x:v>
      </x:c>
      <x:c r="J761" s="2" t="str">
        <x:v>심의승인</x:v>
      </x:c>
      <x:c r="K761" s="2" t="str">
        <x:f>IF(OR(J761="심의승인",J761="반려",J761="반려완료",J761="심의완료"),"종결 표시",IF(OR(J761="기후부협의",J761="문서재제출요청",J761="보류",J761="보완요청",J761="보완완료",J761="평가중",J761="반려요청",J761="평가필요",LEFT(J761,5)="보완요청("),"미종결 표시","상태 확인 필요"))</x:f>
        <x:v>종결 표시</x:v>
      </x:c>
      <x:c r="L761" s="2"/>
      <x:c r="M761" s="2"/>
      <x:c r="N761" s="8" t="n">
        <x:f>DATE(2026,10,15)-DATE(2020,9,28)</x:f>
        <x:v>2208</x:v>
      </x:c>
      <x:c r="O761" s="2" t="str">
        <x:v>O(5월)</x:v>
      </x:c>
      <x:c r="P761" s="2"/>
      <x:c r="Q761" s="2" t="str">
        <x:v>산업전환_외부사업관리Tool_260707_이너젠 수정_LJY_261013.xlsx</x:v>
      </x:c>
      <x:c r="R761" s="2" t="str">
        <x:v>국내평가</x:v>
      </x:c>
      <x:c r="S761" s="8" t="n">
        <x:v>664</x:v>
      </x:c>
      <x:c r="T761" s="2"/>
      <x:c r="U761" s="2" t="str"/>
      <x:c r="V761" s="2" t="str">
        <x:v>2022-05-13</x:v>
      </x:c>
      <x:c r="W761" s="2" t="str">
        <x:v>담당기관 확인</x:v>
      </x:c>
      <x:c r="X761" s="2" t="str">
        <x:v>원본·배정 기록 확인</x:v>
      </x:c>
      <x:c r="Y761" s="2" t="str">
        <x:v>ad210cd9ec132cfd447541c8984dc53d30aff0f4fb2dc92d254d49275cc55976</x:v>
      </x:c>
      <x:c r="Z761" s="2" t="n">
        <x:f>SUBTOTAL(103,A761)</x:f>
        <x:v>1</x:v>
      </x:c>
      <x:c r="AA761" s="2" t="str">
        <x:f>IF(K761&lt;&gt;"미종결 표시","대상 아님",IF(N761="","신청일 확인",IF(NOT(ISNUMBER('종합 현황'!$H$5)),"관찰기준 확인",IF('종합 현황'!$H$5&lt;1,"관찰기준 확인",IF(N761&gt;'종합 현황'!$H$5,"내부 관찰 대상","내부 관찰일 이하")))))</x:f>
        <x:v>대상 아님</x:v>
      </x:c>
      <x:c r="AB761" s="2"/>
    </x:row>
    <x:row r="762" ht="42" customHeight="1">
      <x:c r="A762" s="2" t="str">
        <x:v>e1a2c294ed324f41735fe143</x:v>
      </x:c>
      <x:c r="B762" s="2" t="str">
        <x:v>사업 평가</x:v>
      </x:c>
      <x:c r="C762" s="2" t="str">
        <x:v>국내</x:v>
      </x:c>
      <x:c r="D762" s="7" t="str">
        <x:v>주식회사 삼성엠케이의 보일러 연료전환 (B-C유 → LPG)을 통한 온실가스 감축사업</x:v>
      </x:c>
      <x:c r="E762" s="2" t="str">
        <x:v>623</x:v>
      </x:c>
      <x:c r="F762" s="2" t="str">
        <x:v>2020-09-25</x:v>
      </x:c>
      <x:c r="G762" s="2" t="str">
        <x:v>2020</x:v>
      </x:c>
      <x:c r="H762" s="2" t="str">
        <x:v>09</x:v>
      </x:c>
      <x:c r="I762" s="2" t="str">
        <x:v>보완3차_문서보완중</x:v>
      </x:c>
      <x:c r="J762" s="2" t="str">
        <x:v>보완요청</x:v>
      </x:c>
      <x:c r="K762" s="2" t="str">
        <x:f>IF(OR(J762="심의승인",J762="반려",J762="반려완료",J762="심의완료"),"종결 표시",IF(OR(J762="기후부협의",J762="문서재제출요청",J762="보류",J762="보완요청",J762="보완완료",J762="평가중",J762="반려요청",J762="평가필요",LEFT(J762,5)="보완요청("),"미종결 표시","상태 확인 필요"))</x:f>
        <x:v>미종결 표시</x:v>
      </x:c>
      <x:c r="L762" s="2" t="str">
        <x:v>KECM_임하진</x:v>
      </x:c>
      <x:c r="M762" s="2" t="n">
        <x:v>3</x:v>
      </x:c>
      <x:c r="N762" s="8" t="n">
        <x:f>DATE(2026,10,15)-DATE(2020,9,25)</x:f>
        <x:v>2211</x:v>
      </x:c>
      <x:c r="O762" s="2" t="str">
        <x:v>O(21.10)</x:v>
      </x:c>
      <x:c r="P762" s="2" t="str">
        <x:v>LPG 계측기 O</x:v>
      </x:c>
      <x:c r="Q762" s="2" t="str">
        <x:v>산업전환_외부사업관리Tool_260707_이너젠 수정_LJY_261013.xlsx</x:v>
      </x:c>
      <x:c r="R762" s="2" t="str">
        <x:v>국내평가</x:v>
      </x:c>
      <x:c r="S762" s="8" t="n">
        <x:v>665</x:v>
      </x:c>
      <x:c r="T762" s="2" t="str">
        <x:v>(8/3),(9/14),(10/20)</x:v>
      </x:c>
      <x:c r="U762" s="2" t="str">
        <x:v>2021 배정: (8/3),(9/14),(10/20) / 2022 배정: (4/19) / 2022 배정(신규): (12/27) / 2024 배정: (1/12)</x:v>
      </x:c>
      <x:c r="V762" s="2" t="str">
        <x:v>2024-01-24</x:v>
      </x:c>
      <x:c r="W762" s="2" t="str"/>
      <x:c r="X762" s="2" t="str">
        <x:v>보완 회신 일정 확인</x:v>
      </x:c>
      <x:c r="Y762" s="2" t="str">
        <x:v>ad210cd9ec132cfd447541c8984dc53d30aff0f4fb2dc92d254d49275cc55976</x:v>
      </x:c>
      <x:c r="Z762" s="2" t="n">
        <x:f>SUBTOTAL(103,A762)</x:f>
        <x:v>1</x:v>
      </x:c>
      <x:c r="AA762" s="2" t="str">
        <x:f>IF(K762&lt;&gt;"미종결 표시","대상 아님",IF(N762="","신청일 확인",IF(NOT(ISNUMBER('종합 현황'!$H$5)),"관찰기준 확인",IF('종합 현황'!$H$5&lt;1,"관찰기준 확인",IF(N762&gt;'종합 현황'!$H$5,"내부 관찰 대상","내부 관찰일 이하")))))</x:f>
        <x:v>내부 관찰 대상</x:v>
      </x:c>
      <x:c r="AB762" s="2"/>
    </x:row>
    <x:row r="763" ht="42" customHeight="1">
      <x:c r="A763" s="2" t="str">
        <x:v>12b651857664c1147a0e0824</x:v>
      </x:c>
      <x:c r="B763" s="2" t="str">
        <x:v>사업 평가</x:v>
      </x:c>
      <x:c r="C763" s="2" t="str">
        <x:v>국내</x:v>
      </x:c>
      <x:c r="D763" s="7" t="str">
        <x:v>삼원 스팀보일러 연료교체를 통한  온실가스 감축사업</x:v>
      </x:c>
      <x:c r="E763" s="2" t="str">
        <x:v>624</x:v>
      </x:c>
      <x:c r="F763" s="2" t="str">
        <x:v>2020-09-29</x:v>
      </x:c>
      <x:c r="G763" s="2" t="str">
        <x:v>2020</x:v>
      </x:c>
      <x:c r="H763" s="2" t="str">
        <x:v>09</x:v>
      </x:c>
      <x:c r="I763" s="2" t="str">
        <x:v>반려</x:v>
      </x:c>
      <x:c r="J763" s="2" t="str">
        <x:v>반려</x:v>
      </x:c>
      <x:c r="K763" s="2" t="str">
        <x:f>IF(OR(J763="심의승인",J763="반려",J763="반려완료",J763="심의완료"),"종결 표시",IF(OR(J763="기후부협의",J763="문서재제출요청",J763="보류",J763="보완요청",J763="보완완료",J763="평가중",J763="반려요청",J763="평가필요",LEFT(J763,5)="보완요청("),"미종결 표시","상태 확인 필요"))</x:f>
        <x:v>종결 표시</x:v>
      </x:c>
      <x:c r="L763" s="2"/>
      <x:c r="M763" s="2"/>
      <x:c r="N763" s="8" t="n">
        <x:f>DATE(2026,10,15)-DATE(2020,9,29)</x:f>
        <x:v>2207</x:v>
      </x:c>
      <x:c r="O763" s="2"/>
      <x:c r="P763" s="2"/>
      <x:c r="Q763" s="2" t="str">
        <x:v>산업전환_외부사업관리Tool_260707_이너젠 수정_LJY_261013.xlsx</x:v>
      </x:c>
      <x:c r="R763" s="2" t="str">
        <x:v>국내평가</x:v>
      </x:c>
      <x:c r="S763" s="8" t="n">
        <x:v>666</x:v>
      </x:c>
      <x:c r="T763" s="2" t="str">
        <x:v>2021년 처리</x:v>
      </x:c>
      <x:c r="U763" s="2" t="str">
        <x:v>2021 배정: 2021년 처리</x:v>
      </x:c>
      <x:c r="V763" s="2" t="str">
        <x:v>2021-07-01</x:v>
      </x:c>
      <x:c r="W763" s="2" t="str">
        <x:v>담당기관 확인</x:v>
      </x:c>
      <x:c r="X763" s="2" t="str">
        <x:v>원본·배정 기록 확인</x:v>
      </x:c>
      <x:c r="Y763" s="2" t="str">
        <x:v>ad210cd9ec132cfd447541c8984dc53d30aff0f4fb2dc92d254d49275cc55976</x:v>
      </x:c>
      <x:c r="Z763" s="2" t="n">
        <x:f>SUBTOTAL(103,A763)</x:f>
        <x:v>1</x:v>
      </x:c>
      <x:c r="AA763" s="2" t="str">
        <x:f>IF(K763&lt;&gt;"미종결 표시","대상 아님",IF(N763="","신청일 확인",IF(NOT(ISNUMBER('종합 현황'!$H$5)),"관찰기준 확인",IF('종합 현황'!$H$5&lt;1,"관찰기준 확인",IF(N763&gt;'종합 현황'!$H$5,"내부 관찰 대상","내부 관찰일 이하")))))</x:f>
        <x:v>대상 아님</x:v>
      </x:c>
      <x:c r="AB763" s="2"/>
    </x:row>
    <x:row r="764" ht="42" customHeight="1">
      <x:c r="A764" s="2" t="str">
        <x:v>f4cd79ba21a924d23267ef13</x:v>
      </x:c>
      <x:c r="B764" s="2" t="str">
        <x:v>사업 평가</x:v>
      </x:c>
      <x:c r="C764" s="2" t="str">
        <x:v>국내</x:v>
      </x:c>
      <x:c r="D764" s="7" t="str">
        <x:v>(주)세우산업의 보일러 연료전환(B-C유 → LPG)을 통한 온실가스(CO2) 배출 감축사업</x:v>
      </x:c>
      <x:c r="E764" s="2" t="str">
        <x:v>625</x:v>
      </x:c>
      <x:c r="F764" s="2" t="str">
        <x:v>2020-09-25</x:v>
      </x:c>
      <x:c r="G764" s="2" t="str">
        <x:v>2020</x:v>
      </x:c>
      <x:c r="H764" s="2" t="str">
        <x:v>09</x:v>
      </x:c>
      <x:c r="I764" s="2" t="str">
        <x:v>보완3차_문서보완중</x:v>
      </x:c>
      <x:c r="J764" s="2" t="str">
        <x:v>보완요청</x:v>
      </x:c>
      <x:c r="K764" s="2" t="str">
        <x:f>IF(OR(J764="심의승인",J764="반려",J764="반려완료",J764="심의완료"),"종결 표시",IF(OR(J764="기후부협의",J764="문서재제출요청",J764="보류",J764="보완요청",J764="보완완료",J764="평가중",J764="반려요청",J764="평가필요",LEFT(J764,5)="보완요청("),"미종결 표시","상태 확인 필요"))</x:f>
        <x:v>미종결 표시</x:v>
      </x:c>
      <x:c r="L764" s="2" t="str">
        <x:v>KECM_임하진,DNV 박상연</x:v>
      </x:c>
      <x:c r="M764" s="2" t="n">
        <x:v>3</x:v>
      </x:c>
      <x:c r="N764" s="8" t="n">
        <x:f>DATE(2026,10,15)-DATE(2020,9,25)</x:f>
        <x:v>2211</x:v>
      </x:c>
      <x:c r="O764" s="2" t="str">
        <x:v>O(22.05)</x:v>
      </x:c>
      <x:c r="P764" s="2" t="str">
        <x:v>LPG 계측기 O</x:v>
      </x:c>
      <x:c r="Q764" s="2" t="str">
        <x:v>산업전환_외부사업관리Tool_260707_이너젠 수정_LJY_261013.xlsx</x:v>
      </x:c>
      <x:c r="R764" s="2" t="str">
        <x:v>국내평가</x:v>
      </x:c>
      <x:c r="S764" s="8" t="n">
        <x:v>667</x:v>
      </x:c>
      <x:c r="T764" s="2" t="str">
        <x:v>(8/3),(10/20)</x:v>
      </x:c>
      <x:c r="U764" s="2" t="str">
        <x:v>2021 배정: (8/3),(10/20) / 2022 배정: (4/19) / 2022 배정(신규): (12/27) / 2024 배정: (1/12),(2/26),(4/29)</x:v>
      </x:c>
      <x:c r="V764" s="2" t="str">
        <x:v>2024-06-10</x:v>
      </x:c>
      <x:c r="W764" s="2" t="str"/>
      <x:c r="X764" s="2" t="str">
        <x:v>보완 회신 일정 확인</x:v>
      </x:c>
      <x:c r="Y764" s="2" t="str">
        <x:v>ad210cd9ec132cfd447541c8984dc53d30aff0f4fb2dc92d254d49275cc55976</x:v>
      </x:c>
      <x:c r="Z764" s="2" t="n">
        <x:f>SUBTOTAL(103,A764)</x:f>
        <x:v>1</x:v>
      </x:c>
      <x:c r="AA764" s="2" t="str">
        <x:f>IF(K764&lt;&gt;"미종결 표시","대상 아님",IF(N764="","신청일 확인",IF(NOT(ISNUMBER('종합 현황'!$H$5)),"관찰기준 확인",IF('종합 현황'!$H$5&lt;1,"관찰기준 확인",IF(N764&gt;'종합 현황'!$H$5,"내부 관찰 대상","내부 관찰일 이하")))))</x:f>
        <x:v>내부 관찰 대상</x:v>
      </x:c>
      <x:c r="AB764" s="2"/>
    </x:row>
    <x:row r="765" ht="42" customHeight="1">
      <x:c r="A765" s="2" t="str">
        <x:v>d40d4d74778253b5d637dc61</x:v>
      </x:c>
      <x:c r="B765" s="2" t="str">
        <x:v>사업 평가</x:v>
      </x:c>
      <x:c r="C765" s="2" t="str">
        <x:v>국내</x:v>
      </x:c>
      <x:c r="D765" s="7" t="str">
        <x:v>부림인슈보드(주) 연료교체(B-C유→LPG) 사업</x:v>
      </x:c>
      <x:c r="E765" s="2" t="str">
        <x:v>626</x:v>
      </x:c>
      <x:c r="F765" s="2" t="str">
        <x:v>2020-09-28</x:v>
      </x:c>
      <x:c r="G765" s="2" t="str">
        <x:v>2020</x:v>
      </x:c>
      <x:c r="H765" s="2" t="str">
        <x:v>09</x:v>
      </x:c>
      <x:c r="I765" s="2" t="str">
        <x:v>보완2차_보완중</x:v>
      </x:c>
      <x:c r="J765" s="2" t="str">
        <x:v>보완요청</x:v>
      </x:c>
      <x:c r="K765" s="2" t="str">
        <x:f>IF(OR(J765="심의승인",J765="반려",J765="반려완료",J765="심의완료"),"종결 표시",IF(OR(J765="기후부협의",J765="문서재제출요청",J765="보류",J765="보완요청",J765="보완완료",J765="평가중",J765="반려요청",J765="평가필요",LEFT(J765,5)="보완요청("),"미종결 표시","상태 확인 필요"))</x:f>
        <x:v>미종결 표시</x:v>
      </x:c>
      <x:c r="L765" s="2" t="str">
        <x:v>KECM_임하진</x:v>
      </x:c>
      <x:c r="M765" s="2" t="n">
        <x:v>2</x:v>
      </x:c>
      <x:c r="N765" s="8" t="n">
        <x:f>DATE(2026,10,15)-DATE(2020,9,28)</x:f>
        <x:v>2208</x:v>
      </x:c>
      <x:c r="O765" s="2" t="str">
        <x:v>O(21.07)</x:v>
      </x:c>
      <x:c r="P765" s="2" t="str">
        <x:v>LPG 계측기 O</x:v>
      </x:c>
      <x:c r="Q765" s="2" t="str">
        <x:v>산업전환_외부사업관리Tool_260707_이너젠 수정_LJY_261013.xlsx</x:v>
      </x:c>
      <x:c r="R765" s="2" t="str">
        <x:v>국내평가</x:v>
      </x:c>
      <x:c r="S765" s="8" t="n">
        <x:v>668</x:v>
      </x:c>
      <x:c r="T765" s="2" t="str">
        <x:v>(6/28),(11/2)</x:v>
      </x:c>
      <x:c r="U765" s="2" t="str">
        <x:v>2021 배정: (6/28),(11/2) / 2022 배정: (4/19)</x:v>
      </x:c>
      <x:c r="V765" s="2" t="str">
        <x:v>2022-05-16</x:v>
      </x:c>
      <x:c r="W765" s="2" t="str"/>
      <x:c r="X765" s="2" t="str">
        <x:v>보완 회신 일정 확인</x:v>
      </x:c>
      <x:c r="Y765" s="2" t="str">
        <x:v>ad210cd9ec132cfd447541c8984dc53d30aff0f4fb2dc92d254d49275cc55976</x:v>
      </x:c>
      <x:c r="Z765" s="2" t="n">
        <x:f>SUBTOTAL(103,A765)</x:f>
        <x:v>1</x:v>
      </x:c>
      <x:c r="AA765" s="2" t="str">
        <x:f>IF(K765&lt;&gt;"미종결 표시","대상 아님",IF(N765="","신청일 확인",IF(NOT(ISNUMBER('종합 현황'!$H$5)),"관찰기준 확인",IF('종합 현황'!$H$5&lt;1,"관찰기준 확인",IF(N765&gt;'종합 현황'!$H$5,"내부 관찰 대상","내부 관찰일 이하")))))</x:f>
        <x:v>내부 관찰 대상</x:v>
      </x:c>
      <x:c r="AB765" s="2"/>
    </x:row>
    <x:row r="766" ht="42" customHeight="1">
      <x:c r="A766" s="2" t="str">
        <x:v>e3edc508cc84a791015abee4</x:v>
      </x:c>
      <x:c r="B766" s="2" t="str">
        <x:v>사업 평가</x:v>
      </x:c>
      <x:c r="C766" s="2" t="str">
        <x:v>국내</x:v>
      </x:c>
      <x:c r="D766" s="7" t="str">
        <x:v>(주)포천수지 보일러 연료교체(B-C유→LPG) 사업</x:v>
      </x:c>
      <x:c r="E766" s="2" t="str">
        <x:v>627</x:v>
      </x:c>
      <x:c r="F766" s="2" t="str">
        <x:v>2020-09-28</x:v>
      </x:c>
      <x:c r="G766" s="2" t="str">
        <x:v>2020</x:v>
      </x:c>
      <x:c r="H766" s="2" t="str">
        <x:v>09</x:v>
      </x:c>
      <x:c r="I766" s="2" t="str">
        <x:v>보완3차_검토중</x:v>
      </x:c>
      <x:c r="J766" s="2" t="str">
        <x:v>보완요청</x:v>
      </x:c>
      <x:c r="K766" s="2" t="str">
        <x:f>IF(OR(J766="심의승인",J766="반려",J766="반려완료",J766="심의완료"),"종결 표시",IF(OR(J766="기후부협의",J766="문서재제출요청",J766="보류",J766="보완요청",J766="보완완료",J766="평가중",J766="반려요청",J766="평가필요",LEFT(J766,5)="보완요청("),"미종결 표시","상태 확인 필요"))</x:f>
        <x:v>미종결 표시</x:v>
      </x:c>
      <x:c r="L766" s="2" t="str">
        <x:v>KECM_임하진</x:v>
      </x:c>
      <x:c r="M766" s="2" t="n">
        <x:v>3</x:v>
      </x:c>
      <x:c r="N766" s="8" t="n">
        <x:f>DATE(2026,10,15)-DATE(2020,9,28)</x:f>
        <x:v>2208</x:v>
      </x:c>
      <x:c r="O766" s="2" t="str">
        <x:v>O(21.09)</x:v>
      </x:c>
      <x:c r="P766" s="2" t="str">
        <x:v>LPG 계측기 O</x:v>
      </x:c>
      <x:c r="Q766" s="2" t="str">
        <x:v>산업전환_외부사업관리Tool_260707_이너젠 수정_LJY_261013.xlsx</x:v>
      </x:c>
      <x:c r="R766" s="2" t="str">
        <x:v>국내평가</x:v>
      </x:c>
      <x:c r="S766" s="8" t="n">
        <x:v>669</x:v>
      </x:c>
      <x:c r="T766" s="2" t="str">
        <x:v>(6/28),(11/2)</x:v>
      </x:c>
      <x:c r="U766" s="2" t="str">
        <x:v>2021 배정: (6/28),(11/2) / 2022 배정: (4/19) / 2025 배정: (3/5),(4/17),(6/26),(7/18),(10/16),(11/10)</x:v>
      </x:c>
      <x:c r="V766" s="2" t="str">
        <x:v>2026-09-18</x:v>
      </x:c>
      <x:c r="W766" s="2" t="str"/>
      <x:c r="X766" s="2" t="str">
        <x:v>보완 회신 일정 확인</x:v>
      </x:c>
      <x:c r="Y766" s="2" t="str">
        <x:v>ad210cd9ec132cfd447541c8984dc53d30aff0f4fb2dc92d254d49275cc55976</x:v>
      </x:c>
      <x:c r="Z766" s="2" t="n">
        <x:f>SUBTOTAL(103,A766)</x:f>
        <x:v>1</x:v>
      </x:c>
      <x:c r="AA766" s="2" t="str">
        <x:f>IF(K766&lt;&gt;"미종결 표시","대상 아님",IF(N766="","신청일 확인",IF(NOT(ISNUMBER('종합 현황'!$H$5)),"관찰기준 확인",IF('종합 현황'!$H$5&lt;1,"관찰기준 확인",IF(N766&gt;'종합 현황'!$H$5,"내부 관찰 대상","내부 관찰일 이하")))))</x:f>
        <x:v>내부 관찰 대상</x:v>
      </x:c>
      <x:c r="AB766" s="2"/>
    </x:row>
    <x:row r="767" ht="42" customHeight="1">
      <x:c r="A767" s="2" t="str">
        <x:v>b4057b45f64fdf6d7d2e5b5f</x:v>
      </x:c>
      <x:c r="B767" s="2" t="str">
        <x:v>사업 평가</x:v>
      </x:c>
      <x:c r="C767" s="2" t="str">
        <x:v>국내</x:v>
      </x:c>
      <x:c r="D767" s="7" t="str">
        <x:v>(주)에이에스이 칠곡지점 고효율 공기압축기 교체를 통한 온실가스 감축사업</x:v>
      </x:c>
      <x:c r="E767" s="2" t="str">
        <x:v>628</x:v>
      </x:c>
      <x:c r="F767" s="2" t="str">
        <x:v>2019-05-31</x:v>
      </x:c>
      <x:c r="G767" s="2" t="str">
        <x:v>2019</x:v>
      </x:c>
      <x:c r="H767" s="2" t="str">
        <x:v>05</x:v>
      </x:c>
      <x:c r="I767" s="2" t="str">
        <x:v>보완3차_문서보완중</x:v>
      </x:c>
      <x:c r="J767" s="2" t="str">
        <x:v>보완요청</x:v>
      </x:c>
      <x:c r="K767" s="2" t="str">
        <x:f>IF(OR(J767="심의승인",J767="반려",J767="반려완료",J767="심의완료"),"종결 표시",IF(OR(J767="기후부협의",J767="문서재제출요청",J767="보류",J767="보완요청",J767="보완완료",J767="평가중",J767="반려요청",J767="평가필요",LEFT(J767,5)="보완요청("),"미종결 표시","상태 확인 필요"))</x:f>
        <x:v>미종결 표시</x:v>
      </x:c>
      <x:c r="L767" s="2" t="str">
        <x:v>에코시안_조혜민&gt;조영우</x:v>
      </x:c>
      <x:c r="M767" s="2" t="n">
        <x:v>3</x:v>
      </x:c>
      <x:c r="N767" s="8" t="n">
        <x:f>DATE(2026,10,15)-DATE(2019,5,31)</x:f>
        <x:v>2694</x:v>
      </x:c>
      <x:c r="O767" s="2" t="str">
        <x:v>O(21.09)</x:v>
      </x:c>
      <x:c r="P767" s="2"/>
      <x:c r="Q767" s="2" t="str">
        <x:v>산업전환_외부사업관리Tool_260707_이너젠 수정_LJY_261013.xlsx</x:v>
      </x:c>
      <x:c r="R767" s="2" t="str">
        <x:v>국내평가</x:v>
      </x:c>
      <x:c r="S767" s="8" t="n">
        <x:v>670</x:v>
      </x:c>
      <x:c r="T767" s="2" t="str">
        <x:v>(7/12)</x:v>
      </x:c>
      <x:c r="U767" s="2" t="str">
        <x:v>2021 배정: (7/12) / 2022 배정(신규): (5/18),(12/27)</x:v>
      </x:c>
      <x:c r="V767" s="2" t="str">
        <x:v>2023-02-03</x:v>
      </x:c>
      <x:c r="W767" s="2" t="str"/>
      <x:c r="X767" s="2" t="str">
        <x:v>보완 회신 일정 확인</x:v>
      </x:c>
      <x:c r="Y767" s="2" t="str">
        <x:v>ad210cd9ec132cfd447541c8984dc53d30aff0f4fb2dc92d254d49275cc55976</x:v>
      </x:c>
      <x:c r="Z767" s="2" t="n">
        <x:f>SUBTOTAL(103,A767)</x:f>
        <x:v>1</x:v>
      </x:c>
      <x:c r="AA767" s="2" t="str">
        <x:f>IF(K767&lt;&gt;"미종결 표시","대상 아님",IF(N767="","신청일 확인",IF(NOT(ISNUMBER('종합 현황'!$H$5)),"관찰기준 확인",IF('종합 현황'!$H$5&lt;1,"관찰기준 확인",IF(N767&gt;'종합 현황'!$H$5,"내부 관찰 대상","내부 관찰일 이하")))))</x:f>
        <x:v>내부 관찰 대상</x:v>
      </x:c>
      <x:c r="AB767" s="2"/>
    </x:row>
    <x:row r="768" ht="42" customHeight="1">
      <x:c r="A768" s="2" t="str">
        <x:v>bbb18e03d155c0f3e19d31db</x:v>
      </x:c>
      <x:c r="B768" s="2" t="str">
        <x:v>사업 평가</x:v>
      </x:c>
      <x:c r="C768" s="2" t="str">
        <x:v>국내</x:v>
      </x:c>
      <x:c r="D768" s="7" t="str">
        <x:v>㈜ASPT 인버터형 공기압축기 교체 사업</x:v>
      </x:c>
      <x:c r="E768" s="2" t="str">
        <x:v>629</x:v>
      </x:c>
      <x:c r="F768" s="2" t="str">
        <x:v>2019-12-30</x:v>
      </x:c>
      <x:c r="G768" s="2" t="str">
        <x:v>2019</x:v>
      </x:c>
      <x:c r="H768" s="2" t="str">
        <x:v>12</x:v>
      </x:c>
      <x:c r="I768" s="2" t="str">
        <x:v>보완3차_문서보완중</x:v>
      </x:c>
      <x:c r="J768" s="2" t="str">
        <x:v>보완요청</x:v>
      </x:c>
      <x:c r="K768" s="2" t="str">
        <x:f>IF(OR(J768="심의승인",J768="반려",J768="반려완료",J768="심의완료"),"종결 표시",IF(OR(J768="기후부협의",J768="문서재제출요청",J768="보류",J768="보완요청",J768="보완완료",J768="평가중",J768="반려요청",J768="평가필요",LEFT(J768,5)="보완요청("),"미종결 표시","상태 확인 필요"))</x:f>
        <x:v>미종결 표시</x:v>
      </x:c>
      <x:c r="L768" s="2" t="str">
        <x:v>에코시안_기샛별&gt;전윤호</x:v>
      </x:c>
      <x:c r="M768" s="2" t="n">
        <x:v>3</x:v>
      </x:c>
      <x:c r="N768" s="8" t="n">
        <x:f>DATE(2026,10,15)-DATE(2019,12,30)</x:f>
        <x:v>2481</x:v>
      </x:c>
      <x:c r="O768" s="2" t="str">
        <x:v>보류</x:v>
      </x:c>
      <x:c r="P768" s="2" t="str">
        <x:v>사업자 방법론 개정 진행 중</x:v>
      </x:c>
      <x:c r="Q768" s="2" t="str">
        <x:v>산업전환_외부사업관리Tool_260707_이너젠 수정_LJY_261013.xlsx</x:v>
      </x:c>
      <x:c r="R768" s="2" t="str">
        <x:v>국내평가</x:v>
      </x:c>
      <x:c r="S768" s="8" t="n">
        <x:v>671</x:v>
      </x:c>
      <x:c r="T768" s="2" t="str">
        <x:v>(6/28),(9/1),(12/1)</x:v>
      </x:c>
      <x:c r="U768" s="2" t="str">
        <x:v>2021 배정: (6/28),(9/1),(12/1) / 2022 배정: (3/16),(4/19)</x:v>
      </x:c>
      <x:c r="V768" s="2" t="str">
        <x:v>2022-05-23</x:v>
      </x:c>
      <x:c r="W768" s="2" t="str"/>
      <x:c r="X768" s="2" t="str">
        <x:v>보완 회신 일정 확인</x:v>
      </x:c>
      <x:c r="Y768" s="2" t="str">
        <x:v>ad210cd9ec132cfd447541c8984dc53d30aff0f4fb2dc92d254d49275cc55976</x:v>
      </x:c>
      <x:c r="Z768" s="2" t="n">
        <x:f>SUBTOTAL(103,A768)</x:f>
        <x:v>1</x:v>
      </x:c>
      <x:c r="AA768" s="2" t="str">
        <x:f>IF(K768&lt;&gt;"미종결 표시","대상 아님",IF(N768="","신청일 확인",IF(NOT(ISNUMBER('종합 현황'!$H$5)),"관찰기준 확인",IF('종합 현황'!$H$5&lt;1,"관찰기준 확인",IF(N768&gt;'종합 현황'!$H$5,"내부 관찰 대상","내부 관찰일 이하")))))</x:f>
        <x:v>내부 관찰 대상</x:v>
      </x:c>
      <x:c r="AB768" s="2"/>
    </x:row>
    <x:row r="769" ht="42" customHeight="1">
      <x:c r="A769" s="2" t="str">
        <x:v>c90ac738751712e2a129e8f4</x:v>
      </x:c>
      <x:c r="B769" s="2" t="str">
        <x:v>사업 평가</x:v>
      </x:c>
      <x:c r="C769" s="2" t="str">
        <x:v>국내</x:v>
      </x:c>
      <x:c r="D769" s="7" t="str">
        <x:v>(주)태원프라콘 고효율 공기압축기로 교체 사업</x:v>
      </x:c>
      <x:c r="E769" s="2" t="str">
        <x:v>630</x:v>
      </x:c>
      <x:c r="F769" s="2" t="str">
        <x:v>2020-08-19</x:v>
      </x:c>
      <x:c r="G769" s="2" t="str">
        <x:v>2020</x:v>
      </x:c>
      <x:c r="H769" s="2" t="str">
        <x:v>08</x:v>
      </x:c>
      <x:c r="I769" s="2" t="str">
        <x:v>반려</x:v>
      </x:c>
      <x:c r="J769" s="2" t="str">
        <x:v>반려</x:v>
      </x:c>
      <x:c r="K769" s="2" t="str">
        <x:f>IF(OR(J769="심의승인",J769="반려",J769="반려완료",J769="심의완료"),"종결 표시",IF(OR(J769="기후부협의",J769="문서재제출요청",J769="보류",J769="보완요청",J769="보완완료",J769="평가중",J769="반려요청",J769="평가필요",LEFT(J769,5)="보완요청("),"미종결 표시","상태 확인 필요"))</x:f>
        <x:v>종결 표시</x:v>
      </x:c>
      <x:c r="L769" s="2" t="str">
        <x:v>에코시안_조혜민&gt;박세은</x:v>
      </x:c>
      <x:c r="M769" s="2"/>
      <x:c r="N769" s="8" t="n">
        <x:f>DATE(2026,10,15)-DATE(2020,8,19)</x:f>
        <x:v>2248</x:v>
      </x:c>
      <x:c r="O769" s="2" t="str">
        <x:v>생략</x:v>
      </x:c>
      <x:c r="P769" s="2" t="str">
        <x:v>폐업으로 철회 공문 제출, 반려</x:v>
      </x:c>
      <x:c r="Q769" s="2" t="str">
        <x:v>산업전환_외부사업관리Tool_260707_이너젠 수정_LJY_261013.xlsx</x:v>
      </x:c>
      <x:c r="R769" s="2" t="str">
        <x:v>국내평가</x:v>
      </x:c>
      <x:c r="S769" s="8" t="n">
        <x:v>672</x:v>
      </x:c>
      <x:c r="T769" s="2" t="str">
        <x:v>(8/3),(10/20)</x:v>
      </x:c>
      <x:c r="U769" s="2" t="str">
        <x:v>2021 배정: (8/3),(10/20) / 2022 배정: (1/18),(4/19) / 2022 배정(신규): (11/18) / 2023 배정: (4/3) / 2024 배정: (4/8),(4/29)</x:v>
      </x:c>
      <x:c r="V769" s="2" t="str">
        <x:v>2024-08-19</x:v>
      </x:c>
      <x:c r="W769" s="2" t="str"/>
      <x:c r="X769" s="2" t="str">
        <x:v>종결 근거 보관</x:v>
      </x:c>
      <x:c r="Y769" s="2" t="str">
        <x:v>ad210cd9ec132cfd447541c8984dc53d30aff0f4fb2dc92d254d49275cc55976</x:v>
      </x:c>
      <x:c r="Z769" s="2" t="n">
        <x:f>SUBTOTAL(103,A769)</x:f>
        <x:v>1</x:v>
      </x:c>
      <x:c r="AA769" s="2" t="str">
        <x:f>IF(K769&lt;&gt;"미종결 표시","대상 아님",IF(N769="","신청일 확인",IF(NOT(ISNUMBER('종합 현황'!$H$5)),"관찰기준 확인",IF('종합 현황'!$H$5&lt;1,"관찰기준 확인",IF(N769&gt;'종합 현황'!$H$5,"내부 관찰 대상","내부 관찰일 이하")))))</x:f>
        <x:v>대상 아님</x:v>
      </x:c>
      <x:c r="AB769" s="2"/>
    </x:row>
    <x:row r="770" ht="42" customHeight="1">
      <x:c r="A770" s="2" t="str">
        <x:v>9780e648ba090065c54e1643</x:v>
      </x:c>
      <x:c r="B770" s="2" t="str">
        <x:v>사업 평가</x:v>
      </x:c>
      <x:c r="C770" s="2" t="str">
        <x:v>국내</x:v>
      </x:c>
      <x:c r="D770" s="7" t="str">
        <x:v>㈜태영금속 고효율 2단 인버터 제어형 스크류 공기압축기로 교체 사업</x:v>
      </x:c>
      <x:c r="E770" s="2" t="str">
        <x:v>631</x:v>
      </x:c>
      <x:c r="F770" s="2" t="str">
        <x:v>2020-11-10</x:v>
      </x:c>
      <x:c r="G770" s="2" t="str">
        <x:v>2020</x:v>
      </x:c>
      <x:c r="H770" s="2" t="str">
        <x:v>11</x:v>
      </x:c>
      <x:c r="I770" s="2" t="str">
        <x:v>승인</x:v>
      </x:c>
      <x:c r="J770" s="2" t="str">
        <x:v>심의승인</x:v>
      </x:c>
      <x:c r="K770" s="2" t="str">
        <x:f>IF(OR(J770="심의승인",J770="반려",J770="반려완료",J770="심의완료"),"종결 표시",IF(OR(J770="기후부협의",J770="문서재제출요청",J770="보류",J770="보완요청",J770="보완완료",J770="평가중",J770="반려요청",J770="평가필요",LEFT(J770,5)="보완요청("),"미종결 표시","상태 확인 필요"))</x:f>
        <x:v>종결 표시</x:v>
      </x:c>
      <x:c r="L770" s="2" t="str">
        <x:v>에코시안_조혜민&gt;조영우</x:v>
      </x:c>
      <x:c r="M770" s="2"/>
      <x:c r="N770" s="8" t="n">
        <x:f>DATE(2026,10,15)-DATE(2020,11,10)</x:f>
        <x:v>2165</x:v>
      </x:c>
      <x:c r="O770" s="2" t="str">
        <x:v>O(21.07)</x:v>
      </x:c>
      <x:c r="P770" s="2"/>
      <x:c r="Q770" s="2" t="str">
        <x:v>산업전환_외부사업관리Tool_260707_이너젠 수정_LJY_261013.xlsx</x:v>
      </x:c>
      <x:c r="R770" s="2" t="str">
        <x:v>국내평가</x:v>
      </x:c>
      <x:c r="S770" s="8" t="n">
        <x:v>673</x:v>
      </x:c>
      <x:c r="T770" s="2" t="str">
        <x:v>(6/28),(10/20)</x:v>
      </x:c>
      <x:c r="U770" s="2" t="str">
        <x:v>2021 배정: (6/28),(10/20) / 2022 배정: (4/19) / 2022 배정(신규): (12/8),(12/27) / 2023 배정: (1/30),(4/21)</x:v>
      </x:c>
      <x:c r="V770" s="2" t="str">
        <x:v>2023-10-04</x:v>
      </x:c>
      <x:c r="W770" s="2" t="str"/>
      <x:c r="X770" s="2" t="str">
        <x:v>종결 근거 보관</x:v>
      </x:c>
      <x:c r="Y770" s="2" t="str">
        <x:v>ad210cd9ec132cfd447541c8984dc53d30aff0f4fb2dc92d254d49275cc55976</x:v>
      </x:c>
      <x:c r="Z770" s="2" t="n">
        <x:f>SUBTOTAL(103,A770)</x:f>
        <x:v>1</x:v>
      </x:c>
      <x:c r="AA770" s="2" t="str">
        <x:f>IF(K770&lt;&gt;"미종결 표시","대상 아님",IF(N770="","신청일 확인",IF(NOT(ISNUMBER('종합 현황'!$H$5)),"관찰기준 확인",IF('종합 현황'!$H$5&lt;1,"관찰기준 확인",IF(N770&gt;'종합 현황'!$H$5,"내부 관찰 대상","내부 관찰일 이하")))))</x:f>
        <x:v>대상 아님</x:v>
      </x:c>
      <x:c r="AB770" s="2"/>
    </x:row>
    <x:row r="771" ht="42" customHeight="1">
      <x:c r="A771" s="2" t="str">
        <x:v>e5487ef556d2a121333971c8</x:v>
      </x:c>
      <x:c r="B771" s="2" t="str">
        <x:v>사업 평가</x:v>
      </x:c>
      <x:c r="C771" s="2" t="str">
        <x:v>국내</x:v>
      </x:c>
      <x:c r="D771" s="7" t="str">
        <x:v>(주)한국요업 소성로 미활용에너지 회수를 통한 온실가스 감축사업</x:v>
      </x:c>
      <x:c r="E771" s="2" t="str">
        <x:v>632</x:v>
      </x:c>
      <x:c r="F771" s="2" t="str">
        <x:v>2017-12-26</x:v>
      </x:c>
      <x:c r="G771" s="2" t="str">
        <x:v>2017</x:v>
      </x:c>
      <x:c r="H771" s="2" t="str">
        <x:v>12</x:v>
      </x:c>
      <x:c r="I771" s="2" t="str">
        <x:v>승인</x:v>
      </x:c>
      <x:c r="J771" s="2" t="str">
        <x:v>심의승인</x:v>
      </x:c>
      <x:c r="K771" s="2" t="str">
        <x:f>IF(OR(J771="심의승인",J771="반려",J771="반려완료",J771="심의완료"),"종결 표시",IF(OR(J771="기후부협의",J771="문서재제출요청",J771="보류",J771="보완요청",J771="보완완료",J771="평가중",J771="반려요청",J771="평가필요",LEFT(J771,5)="보완요청("),"미종결 표시","상태 확인 필요"))</x:f>
        <x:v>종결 표시</x:v>
      </x:c>
      <x:c r="L771" s="2"/>
      <x:c r="M771" s="2"/>
      <x:c r="N771" s="8" t="n">
        <x:f>DATE(2026,10,15)-DATE(2017,12,26)</x:f>
        <x:v>3215</x:v>
      </x:c>
      <x:c r="O771" s="2"/>
      <x:c r="P771" s="2" t="str">
        <x:v>KVER 반려</x:v>
      </x:c>
      <x:c r="Q771" s="2" t="str">
        <x:v>산업전환_외부사업관리Tool_260707_이너젠 수정_LJY_261013.xlsx</x:v>
      </x:c>
      <x:c r="R771" s="2" t="str">
        <x:v>국내평가</x:v>
      </x:c>
      <x:c r="S771" s="8" t="n">
        <x:v>674</x:v>
      </x:c>
      <x:c r="T771" s="2" t="str">
        <x:v>2021년 처리</x:v>
      </x:c>
      <x:c r="U771" s="2" t="str">
        <x:v>2021 배정: 2021년 처리</x:v>
      </x:c>
      <x:c r="V771" s="2" t="str">
        <x:v>2018-12-06</x:v>
      </x:c>
      <x:c r="W771" s="2" t="str">
        <x:v>담당기관 확인</x:v>
      </x:c>
      <x:c r="X771" s="2" t="str">
        <x:v>원본·배정 기록 확인</x:v>
      </x:c>
      <x:c r="Y771" s="2" t="str">
        <x:v>ad210cd9ec132cfd447541c8984dc53d30aff0f4fb2dc92d254d49275cc55976</x:v>
      </x:c>
      <x:c r="Z771" s="2" t="n">
        <x:f>SUBTOTAL(103,A771)</x:f>
        <x:v>1</x:v>
      </x:c>
      <x:c r="AA771" s="2" t="str">
        <x:f>IF(K771&lt;&gt;"미종결 표시","대상 아님",IF(N771="","신청일 확인",IF(NOT(ISNUMBER('종합 현황'!$H$5)),"관찰기준 확인",IF('종합 현황'!$H$5&lt;1,"관찰기준 확인",IF(N771&gt;'종합 현황'!$H$5,"내부 관찰 대상","내부 관찰일 이하")))))</x:f>
        <x:v>대상 아님</x:v>
      </x:c>
      <x:c r="AB771" s="2"/>
    </x:row>
    <x:row r="772" ht="42" customHeight="1">
      <x:c r="A772" s="2" t="str">
        <x:v>b89a031f8b0bcb3a7866be74</x:v>
      </x:c>
      <x:c r="B772" s="2" t="str">
        <x:v>사업 평가</x:v>
      </x:c>
      <x:c r="C772" s="2" t="str">
        <x:v>국내</x:v>
      </x:c>
      <x:c r="D772" s="7" t="str">
        <x:v>㈜중앙벽돌 소성로 연료교체(B-C유→LPG)를 통한 온실가스(CO2) 배출 감축사업</x:v>
      </x:c>
      <x:c r="E772" s="2" t="str">
        <x:v>633</x:v>
      </x:c>
      <x:c r="F772" s="2" t="str">
        <x:v>2020-03-25</x:v>
      </x:c>
      <x:c r="G772" s="2" t="str">
        <x:v>2020</x:v>
      </x:c>
      <x:c r="H772" s="2" t="str">
        <x:v>03</x:v>
      </x:c>
      <x:c r="I772" s="2" t="str">
        <x:v>사업변경 신청</x:v>
      </x:c>
      <x:c r="J772" s="2" t="str">
        <x:v>심의승인</x:v>
      </x:c>
      <x:c r="K772" s="2" t="str">
        <x:f>IF(OR(J772="심의승인",J772="반려",J772="반려완료",J772="심의완료"),"종결 표시",IF(OR(J772="기후부협의",J772="문서재제출요청",J772="보류",J772="보완요청",J772="보완완료",J772="평가중",J772="반려요청",J772="평가필요",LEFT(J772,5)="보완요청("),"미종결 표시","상태 확인 필요"))</x:f>
        <x:v>종결 표시</x:v>
      </x:c>
      <x:c r="L772" s="2" t="str">
        <x:v>에코시안_정다윤,KSA 한상국</x:v>
      </x:c>
      <x:c r="M772" s="2"/>
      <x:c r="N772" s="8" t="n">
        <x:f>DATE(2026,10,15)-DATE(2020,3,25)</x:f>
        <x:v>2395</x:v>
      </x:c>
      <x:c r="O772" s="2" t="str">
        <x:v>O(21.11)</x:v>
      </x:c>
      <x:c r="P772" s="2"/>
      <x:c r="Q772" s="2" t="str">
        <x:v>산업전환_외부사업관리Tool_260707_이너젠 수정_LJY_261013.xlsx</x:v>
      </x:c>
      <x:c r="R772" s="2" t="str">
        <x:v>국내평가</x:v>
      </x:c>
      <x:c r="S772" s="8" t="n">
        <x:v>675</x:v>
      </x:c>
      <x:c r="T772" s="2" t="str">
        <x:v>(8/3),(10/20)</x:v>
      </x:c>
      <x:c r="U772" s="2" t="str">
        <x:v>2021 배정: (8/3),(10/20) / 2022 배정: (4/19) / 2022 배정(신규): (12/27) / 2024 배정: (1/12) / 2025 배정: (4/9),(5/9)</x:v>
      </x:c>
      <x:c r="V772" s="2" t="str">
        <x:v>2025-09-08</x:v>
      </x:c>
      <x:c r="W772" s="2" t="str"/>
      <x:c r="X772" s="2" t="str">
        <x:v>종결 근거 보관</x:v>
      </x:c>
      <x:c r="Y772" s="2" t="str">
        <x:v>ad210cd9ec132cfd447541c8984dc53d30aff0f4fb2dc92d254d49275cc55976</x:v>
      </x:c>
      <x:c r="Z772" s="2" t="n">
        <x:f>SUBTOTAL(103,A772)</x:f>
        <x:v>1</x:v>
      </x:c>
      <x:c r="AA772" s="2" t="str">
        <x:f>IF(K772&lt;&gt;"미종결 표시","대상 아님",IF(N772="","신청일 확인",IF(NOT(ISNUMBER('종합 현황'!$H$5)),"관찰기준 확인",IF('종합 현황'!$H$5&lt;1,"관찰기준 확인",IF(N772&gt;'종합 현황'!$H$5,"내부 관찰 대상","내부 관찰일 이하")))))</x:f>
        <x:v>대상 아님</x:v>
      </x:c>
      <x:c r="AB772" s="2"/>
    </x:row>
    <x:row r="773" ht="42" customHeight="1">
      <x:c r="A773" s="2" t="str">
        <x:v>81de3e690bdab940c5671c37</x:v>
      </x:c>
      <x:c r="B773" s="2" t="str">
        <x:v>사업 평가</x:v>
      </x:c>
      <x:c r="C773" s="2" t="str">
        <x:v>국내</x:v>
      </x:c>
      <x:c r="D773" s="7" t="str">
        <x:v>㈜왕성테크 고효율설비 교체(스크류 공기압축기 → 인버터형 공기압축기) 사업</x:v>
      </x:c>
      <x:c r="E773" s="2" t="str">
        <x:v>634</x:v>
      </x:c>
      <x:c r="F773" s="2" t="str">
        <x:v>2019-12-30</x:v>
      </x:c>
      <x:c r="G773" s="2" t="str">
        <x:v>2019</x:v>
      </x:c>
      <x:c r="H773" s="2" t="str">
        <x:v>12</x:v>
      </x:c>
      <x:c r="I773" s="2" t="str">
        <x:v>보완5차_보완중</x:v>
      </x:c>
      <x:c r="J773" s="2" t="str">
        <x:v>보완요청</x:v>
      </x:c>
      <x:c r="K773" s="2" t="str">
        <x:f>IF(OR(J773="심의승인",J773="반려",J773="반려완료",J773="심의완료"),"종결 표시",IF(OR(J773="기후부협의",J773="문서재제출요청",J773="보류",J773="보완요청",J773="보완완료",J773="평가중",J773="반려요청",J773="평가필요",LEFT(J773,5)="보완요청("),"미종결 표시","상태 확인 필요"))</x:f>
        <x:v>미종결 표시</x:v>
      </x:c>
      <x:c r="L773" s="2" t="str">
        <x:v>에코시안_조영우</x:v>
      </x:c>
      <x:c r="M773" s="2" t="n">
        <x:v>5</x:v>
      </x:c>
      <x:c r="N773" s="8" t="n">
        <x:f>DATE(2026,10,15)-DATE(2019,12,30)</x:f>
        <x:v>2481</x:v>
      </x:c>
      <x:c r="O773" s="2" t="str">
        <x:v>보류</x:v>
      </x:c>
      <x:c r="P773" s="2" t="str">
        <x:v>사업자 방법론 개정 진행 중</x:v>
      </x:c>
      <x:c r="Q773" s="2" t="str">
        <x:v>산업전환_외부사업관리Tool_260707_이너젠 수정_LJY_261013.xlsx</x:v>
      </x:c>
      <x:c r="R773" s="2" t="str">
        <x:v>국내평가</x:v>
      </x:c>
      <x:c r="S773" s="8" t="n">
        <x:v>676</x:v>
      </x:c>
      <x:c r="T773" s="2" t="str">
        <x:v>(6/28),(9/1),(12/1)</x:v>
      </x:c>
      <x:c r="U773" s="2" t="str">
        <x:v>2021 배정: (6/28),(9/1),(12/1) / 2022 배정: (4/19)</x:v>
      </x:c>
      <x:c r="V773" s="2" t="str">
        <x:v>2022-05-23</x:v>
      </x:c>
      <x:c r="W773" s="2" t="str"/>
      <x:c r="X773" s="2" t="str">
        <x:v>보완 회신 일정 확인</x:v>
      </x:c>
      <x:c r="Y773" s="2" t="str">
        <x:v>ad210cd9ec132cfd447541c8984dc53d30aff0f4fb2dc92d254d49275cc55976</x:v>
      </x:c>
      <x:c r="Z773" s="2" t="n">
        <x:f>SUBTOTAL(103,A773)</x:f>
        <x:v>1</x:v>
      </x:c>
      <x:c r="AA773" s="2" t="str">
        <x:f>IF(K773&lt;&gt;"미종결 표시","대상 아님",IF(N773="","신청일 확인",IF(NOT(ISNUMBER('종합 현황'!$H$5)),"관찰기준 확인",IF('종합 현황'!$H$5&lt;1,"관찰기준 확인",IF(N773&gt;'종합 현황'!$H$5,"내부 관찰 대상","내부 관찰일 이하")))))</x:f>
        <x:v>내부 관찰 대상</x:v>
      </x:c>
      <x:c r="AB773" s="2"/>
    </x:row>
    <x:row r="774" ht="42" customHeight="1">
      <x:c r="A774" s="2" t="str">
        <x:v>d35cb10ceba578c2e223c3c4</x:v>
      </x:c>
      <x:c r="B774" s="2" t="str">
        <x:v>사업 평가</x:v>
      </x:c>
      <x:c r="C774" s="2" t="str">
        <x:v>국내</x:v>
      </x:c>
      <x:c r="D774" s="7" t="str">
        <x:v>신화산업㈜ 고효율설비 교체(스크류 공기압축기 → 인버터형 공기압축기) 사업</x:v>
      </x:c>
      <x:c r="E774" s="2" t="str">
        <x:v>635</x:v>
      </x:c>
      <x:c r="F774" s="2" t="str">
        <x:v>2019-12-30</x:v>
      </x:c>
      <x:c r="G774" s="2" t="str">
        <x:v>2019</x:v>
      </x:c>
      <x:c r="H774" s="2" t="str">
        <x:v>12</x:v>
      </x:c>
      <x:c r="I774" s="2" t="str">
        <x:v>보완5차_보완중</x:v>
      </x:c>
      <x:c r="J774" s="2" t="str">
        <x:v>보완요청</x:v>
      </x:c>
      <x:c r="K774" s="2" t="str">
        <x:f>IF(OR(J774="심의승인",J774="반려",J774="반려완료",J774="심의완료"),"종결 표시",IF(OR(J774="기후부협의",J774="문서재제출요청",J774="보류",J774="보완요청",J774="보완완료",J774="평가중",J774="반려요청",J774="평가필요",LEFT(J774,5)="보완요청("),"미종결 표시","상태 확인 필요"))</x:f>
        <x:v>미종결 표시</x:v>
      </x:c>
      <x:c r="L774" s="2" t="str">
        <x:v>에코시안_조영우</x:v>
      </x:c>
      <x:c r="M774" s="2" t="n">
        <x:v>5</x:v>
      </x:c>
      <x:c r="N774" s="8" t="n">
        <x:f>DATE(2026,10,15)-DATE(2019,12,30)</x:f>
        <x:v>2481</x:v>
      </x:c>
      <x:c r="O774" s="2" t="str">
        <x:v>보류</x:v>
      </x:c>
      <x:c r="P774" s="2" t="str">
        <x:v>사업자 방법론 개정 진행 중</x:v>
      </x:c>
      <x:c r="Q774" s="2" t="str">
        <x:v>산업전환_외부사업관리Tool_260707_이너젠 수정_LJY_261013.xlsx</x:v>
      </x:c>
      <x:c r="R774" s="2" t="str">
        <x:v>국내평가</x:v>
      </x:c>
      <x:c r="S774" s="8" t="n">
        <x:v>677</x:v>
      </x:c>
      <x:c r="T774" s="2" t="str">
        <x:v>(6/28),(9/1),(12/1)</x:v>
      </x:c>
      <x:c r="U774" s="2" t="str">
        <x:v>2021 배정: (6/28),(9/1),(12/1) / 2022 배정: (4/19)</x:v>
      </x:c>
      <x:c r="V774" s="2" t="str">
        <x:v>2022-05-23</x:v>
      </x:c>
      <x:c r="W774" s="2" t="str"/>
      <x:c r="X774" s="2" t="str">
        <x:v>보완 회신 일정 확인</x:v>
      </x:c>
      <x:c r="Y774" s="2" t="str">
        <x:v>ad210cd9ec132cfd447541c8984dc53d30aff0f4fb2dc92d254d49275cc55976</x:v>
      </x:c>
      <x:c r="Z774" s="2" t="n">
        <x:f>SUBTOTAL(103,A774)</x:f>
        <x:v>1</x:v>
      </x:c>
      <x:c r="AA774" s="2" t="str">
        <x:f>IF(K774&lt;&gt;"미종결 표시","대상 아님",IF(N774="","신청일 확인",IF(NOT(ISNUMBER('종합 현황'!$H$5)),"관찰기준 확인",IF('종합 현황'!$H$5&lt;1,"관찰기준 확인",IF(N774&gt;'종합 현황'!$H$5,"내부 관찰 대상","내부 관찰일 이하")))))</x:f>
        <x:v>내부 관찰 대상</x:v>
      </x:c>
      <x:c r="AB774" s="2"/>
    </x:row>
    <x:row r="775" ht="42" customHeight="1">
      <x:c r="A775" s="2" t="str">
        <x:v>34085621b1547f38f121aebb</x:v>
      </x:c>
      <x:c r="B775" s="2" t="str">
        <x:v>사업 평가</x:v>
      </x:c>
      <x:c r="C775" s="2" t="str">
        <x:v>국내</x:v>
      </x:c>
      <x:c r="D775" s="7" t="str">
        <x:v>㈜제천 고효율설비 교체(스크류 공기압축기 →  인버터형 공기압축기) 사업</x:v>
      </x:c>
      <x:c r="E775" s="2" t="str">
        <x:v>636</x:v>
      </x:c>
      <x:c r="F775" s="2" t="str">
        <x:v>2020-11-20</x:v>
      </x:c>
      <x:c r="G775" s="2" t="str">
        <x:v>2020</x:v>
      </x:c>
      <x:c r="H775" s="2" t="str">
        <x:v>11</x:v>
      </x:c>
      <x:c r="I775" s="2" t="str">
        <x:v>보완3차_문서보완중</x:v>
      </x:c>
      <x:c r="J775" s="2" t="str">
        <x:v>보완요청</x:v>
      </x:c>
      <x:c r="K775" s="2" t="str">
        <x:f>IF(OR(J775="심의승인",J775="반려",J775="반려완료",J775="심의완료"),"종결 표시",IF(OR(J775="기후부협의",J775="문서재제출요청",J775="보류",J775="보완요청",J775="보완완료",J775="평가중",J775="반려요청",J775="평가필요",LEFT(J775,5)="보완요청("),"미종결 표시","상태 확인 필요"))</x:f>
        <x:v>미종결 표시</x:v>
      </x:c>
      <x:c r="L775" s="2" t="str">
        <x:v>에코시안_정인혜</x:v>
      </x:c>
      <x:c r="M775" s="2" t="n">
        <x:v>3</x:v>
      </x:c>
      <x:c r="N775" s="8" t="n">
        <x:f>DATE(2026,10,15)-DATE(2020,11,20)</x:f>
        <x:v>2155</x:v>
      </x:c>
      <x:c r="O775" s="2" t="str">
        <x:v>보류</x:v>
      </x:c>
      <x:c r="P775" s="2"/>
      <x:c r="Q775" s="2" t="str">
        <x:v>산업전환_외부사업관리Tool_260707_이너젠 수정_LJY_261013.xlsx</x:v>
      </x:c>
      <x:c r="R775" s="2" t="str">
        <x:v>국내평가</x:v>
      </x:c>
      <x:c r="S775" s="8" t="n">
        <x:v>678</x:v>
      </x:c>
      <x:c r="T775" s="2" t="str">
        <x:v>(6/28),(9/1),(12/1)</x:v>
      </x:c>
      <x:c r="U775" s="2" t="str">
        <x:v>2021 배정: (6/28),(9/1),(12/1) / 2022 배정: (4/19)</x:v>
      </x:c>
      <x:c r="V775" s="2" t="str">
        <x:v>2022-05-23</x:v>
      </x:c>
      <x:c r="W775" s="2" t="str"/>
      <x:c r="X775" s="2" t="str">
        <x:v>보완 회신 일정 확인</x:v>
      </x:c>
      <x:c r="Y775" s="2" t="str">
        <x:v>ad210cd9ec132cfd447541c8984dc53d30aff0f4fb2dc92d254d49275cc55976</x:v>
      </x:c>
      <x:c r="Z775" s="2" t="n">
        <x:f>SUBTOTAL(103,A775)</x:f>
        <x:v>1</x:v>
      </x:c>
      <x:c r="AA775" s="2" t="str">
        <x:f>IF(K775&lt;&gt;"미종결 표시","대상 아님",IF(N775="","신청일 확인",IF(NOT(ISNUMBER('종합 현황'!$H$5)),"관찰기준 확인",IF('종합 현황'!$H$5&lt;1,"관찰기준 확인",IF(N775&gt;'종합 현황'!$H$5,"내부 관찰 대상","내부 관찰일 이하")))))</x:f>
        <x:v>내부 관찰 대상</x:v>
      </x:c>
      <x:c r="AB775" s="2"/>
    </x:row>
    <x:row r="776" ht="42" customHeight="1">
      <x:c r="A776" s="2" t="str">
        <x:v>b7e3ee50be85f58732b705b5</x:v>
      </x:c>
      <x:c r="B776" s="2" t="str">
        <x:v>사업 평가</x:v>
      </x:c>
      <x:c r="C776" s="2" t="str">
        <x:v>국내</x:v>
      </x:c>
      <x:c r="D776" s="7" t="str">
        <x:v>㈜늘푸른바다 고효율설비 교체 (스크류 공기압축기 →  인버터형 공기압축기) 사업</x:v>
      </x:c>
      <x:c r="E776" s="2" t="str">
        <x:v>637</x:v>
      </x:c>
      <x:c r="F776" s="2" t="str">
        <x:v>2020-11-30</x:v>
      </x:c>
      <x:c r="G776" s="2" t="str">
        <x:v>2020</x:v>
      </x:c>
      <x:c r="H776" s="2" t="str">
        <x:v>11</x:v>
      </x:c>
      <x:c r="I776" s="2" t="str">
        <x:v>보완3차_문서보완중</x:v>
      </x:c>
      <x:c r="J776" s="2" t="str">
        <x:v>보완요청</x:v>
      </x:c>
      <x:c r="K776" s="2" t="str">
        <x:f>IF(OR(J776="심의승인",J776="반려",J776="반려완료",J776="심의완료"),"종결 표시",IF(OR(J776="기후부협의",J776="문서재제출요청",J776="보류",J776="보완요청",J776="보완완료",J776="평가중",J776="반려요청",J776="평가필요",LEFT(J776,5)="보완요청("),"미종결 표시","상태 확인 필요"))</x:f>
        <x:v>미종결 표시</x:v>
      </x:c>
      <x:c r="L776" s="2" t="str">
        <x:v>에코시안_박세은</x:v>
      </x:c>
      <x:c r="M776" s="2" t="n">
        <x:v>3</x:v>
      </x:c>
      <x:c r="N776" s="8" t="n">
        <x:f>DATE(2026,10,15)-DATE(2020,11,30)</x:f>
        <x:v>2145</x:v>
      </x:c>
      <x:c r="O776" s="2" t="str">
        <x:v>보류</x:v>
      </x:c>
      <x:c r="P776" s="2"/>
      <x:c r="Q776" s="2" t="str">
        <x:v>산업전환_외부사업관리Tool_260707_이너젠 수정_LJY_261013.xlsx</x:v>
      </x:c>
      <x:c r="R776" s="2" t="str">
        <x:v>국내평가</x:v>
      </x:c>
      <x:c r="S776" s="8" t="n">
        <x:v>679</x:v>
      </x:c>
      <x:c r="T776" s="2" t="str">
        <x:v>(6/28),(9/1),(12/1)</x:v>
      </x:c>
      <x:c r="U776" s="2" t="str">
        <x:v>2021 배정: (6/28),(9/1),(12/1) / 2022 배정: (4/19)</x:v>
      </x:c>
      <x:c r="V776" s="2" t="str">
        <x:v>2022-05-23</x:v>
      </x:c>
      <x:c r="W776" s="2" t="str"/>
      <x:c r="X776" s="2" t="str">
        <x:v>보완 회신 일정 확인</x:v>
      </x:c>
      <x:c r="Y776" s="2" t="str">
        <x:v>ad210cd9ec132cfd447541c8984dc53d30aff0f4fb2dc92d254d49275cc55976</x:v>
      </x:c>
      <x:c r="Z776" s="2" t="n">
        <x:f>SUBTOTAL(103,A776)</x:f>
        <x:v>1</x:v>
      </x:c>
      <x:c r="AA776" s="2" t="str">
        <x:f>IF(K776&lt;&gt;"미종결 표시","대상 아님",IF(N776="","신청일 확인",IF(NOT(ISNUMBER('종합 현황'!$H$5)),"관찰기준 확인",IF('종합 현황'!$H$5&lt;1,"관찰기준 확인",IF(N776&gt;'종합 현황'!$H$5,"내부 관찰 대상","내부 관찰일 이하")))))</x:f>
        <x:v>내부 관찰 대상</x:v>
      </x:c>
      <x:c r="AB776" s="2"/>
    </x:row>
    <x:row r="777" ht="42" customHeight="1">
      <x:c r="A777" s="2" t="str">
        <x:v>3a52f668d686534b9d339d45</x:v>
      </x:c>
      <x:c r="B777" s="2" t="str">
        <x:v>사업 평가</x:v>
      </x:c>
      <x:c r="C777" s="2" t="str">
        <x:v>국내</x:v>
      </x:c>
      <x:c r="D777" s="7" t="str">
        <x:v>㈜지코엔지니어링 고효율설비 교체 (스크류 공기압축기 → 인버터형 공기압축기) 사업</x:v>
      </x:c>
      <x:c r="E777" s="2" t="str">
        <x:v>638</x:v>
      </x:c>
      <x:c r="F777" s="2" t="str">
        <x:v>2020-11-30</x:v>
      </x:c>
      <x:c r="G777" s="2" t="str">
        <x:v>2020</x:v>
      </x:c>
      <x:c r="H777" s="2" t="str">
        <x:v>11</x:v>
      </x:c>
      <x:c r="I777" s="2" t="str">
        <x:v>보완3차_문서보완중</x:v>
      </x:c>
      <x:c r="J777" s="2" t="str">
        <x:v>보완요청</x:v>
      </x:c>
      <x:c r="K777" s="2" t="str">
        <x:f>IF(OR(J777="심의승인",J777="반려",J777="반려완료",J777="심의완료"),"종결 표시",IF(OR(J777="기후부협의",J777="문서재제출요청",J777="보류",J777="보완요청",J777="보완완료",J777="평가중",J777="반려요청",J777="평가필요",LEFT(J777,5)="보완요청("),"미종결 표시","상태 확인 필요"))</x:f>
        <x:v>미종결 표시</x:v>
      </x:c>
      <x:c r="L777" s="2" t="str">
        <x:v>에코시안_박세은</x:v>
      </x:c>
      <x:c r="M777" s="2" t="n">
        <x:v>3</x:v>
      </x:c>
      <x:c r="N777" s="8" t="n">
        <x:f>DATE(2026,10,15)-DATE(2020,11,30)</x:f>
        <x:v>2145</x:v>
      </x:c>
      <x:c r="O777" s="2" t="str">
        <x:v>보류</x:v>
      </x:c>
      <x:c r="P777" s="2"/>
      <x:c r="Q777" s="2" t="str">
        <x:v>산업전환_외부사업관리Tool_260707_이너젠 수정_LJY_261013.xlsx</x:v>
      </x:c>
      <x:c r="R777" s="2" t="str">
        <x:v>국내평가</x:v>
      </x:c>
      <x:c r="S777" s="8" t="n">
        <x:v>680</x:v>
      </x:c>
      <x:c r="T777" s="2" t="str">
        <x:v>(6/28),(9/1),(12/1)</x:v>
      </x:c>
      <x:c r="U777" s="2" t="str">
        <x:v>2021 배정: (6/28),(9/1),(12/1) / 2022 배정: (4/19)</x:v>
      </x:c>
      <x:c r="V777" s="2" t="str">
        <x:v>2022-05-23</x:v>
      </x:c>
      <x:c r="W777" s="2" t="str"/>
      <x:c r="X777" s="2" t="str">
        <x:v>보완 회신 일정 확인</x:v>
      </x:c>
      <x:c r="Y777" s="2" t="str">
        <x:v>ad210cd9ec132cfd447541c8984dc53d30aff0f4fb2dc92d254d49275cc55976</x:v>
      </x:c>
      <x:c r="Z777" s="2" t="n">
        <x:f>SUBTOTAL(103,A777)</x:f>
        <x:v>1</x:v>
      </x:c>
      <x:c r="AA777" s="2" t="str">
        <x:f>IF(K777&lt;&gt;"미종결 표시","대상 아님",IF(N777="","신청일 확인",IF(NOT(ISNUMBER('종합 현황'!$H$5)),"관찰기준 확인",IF('종합 현황'!$H$5&lt;1,"관찰기준 확인",IF(N777&gt;'종합 현황'!$H$5,"내부 관찰 대상","내부 관찰일 이하")))))</x:f>
        <x:v>내부 관찰 대상</x:v>
      </x:c>
      <x:c r="AB777" s="2"/>
    </x:row>
    <x:row r="778" ht="42" customHeight="1">
      <x:c r="A778" s="2" t="str">
        <x:v>06487a4e5a65cf1b2f784a23</x:v>
      </x:c>
      <x:c r="B778" s="2" t="str">
        <x:v>사업 평가</x:v>
      </x:c>
      <x:c r="C778" s="2" t="str">
        <x:v>국내</x:v>
      </x:c>
      <x:c r="D778" s="7" t="str">
        <x:v>㈜영진개발 경산공장 연료전환(B-C유 → LPG)을 통한 온실가스 배출 감축사업</x:v>
      </x:c>
      <x:c r="E778" s="2" t="str">
        <x:v>639</x:v>
      </x:c>
      <x:c r="F778" s="2" t="str">
        <x:v>2020-10-07</x:v>
      </x:c>
      <x:c r="G778" s="2" t="str">
        <x:v>2020</x:v>
      </x:c>
      <x:c r="H778" s="2" t="str">
        <x:v>10</x:v>
      </x:c>
      <x:c r="I778" s="2" t="str">
        <x:v>반려</x:v>
      </x:c>
      <x:c r="J778" s="2" t="str">
        <x:v>반려</x:v>
      </x:c>
      <x:c r="K778" s="2" t="str">
        <x:f>IF(OR(J778="심의승인",J778="반려",J778="반려완료",J778="심의완료"),"종결 표시",IF(OR(J778="기후부협의",J778="문서재제출요청",J778="보류",J778="보완요청",J778="보완완료",J778="평가중",J778="반려요청",J778="평가필요",LEFT(J778,5)="보완요청("),"미종결 표시","상태 확인 필요"))</x:f>
        <x:v>종결 표시</x:v>
      </x:c>
      <x:c r="L778" s="2" t="str">
        <x:v>KECM</x:v>
      </x:c>
      <x:c r="M778" s="2"/>
      <x:c r="N778" s="8" t="n">
        <x:f>DATE(2026,10,15)-DATE(2020,10,7)</x:f>
        <x:v>2199</x:v>
      </x:c>
      <x:c r="O778" s="2"/>
      <x:c r="P778" s="2"/>
      <x:c r="Q778" s="2" t="str">
        <x:v>산업전환_외부사업관리Tool_260707_이너젠 수정_LJY_261013.xlsx</x:v>
      </x:c>
      <x:c r="R778" s="2" t="str">
        <x:v>국내평가</x:v>
      </x:c>
      <x:c r="S778" s="8" t="n">
        <x:v>681</x:v>
      </x:c>
      <x:c r="T778" s="2" t="str">
        <x:v>(7/12)</x:v>
      </x:c>
      <x:c r="U778" s="2" t="str">
        <x:v>2021 배정: (7/12)</x:v>
      </x:c>
      <x:c r="V778" s="2" t="str">
        <x:v>2021-11-18</x:v>
      </x:c>
      <x:c r="W778" s="2" t="str"/>
      <x:c r="X778" s="2" t="str">
        <x:v>종결 근거 보관</x:v>
      </x:c>
      <x:c r="Y778" s="2" t="str">
        <x:v>ad210cd9ec132cfd447541c8984dc53d30aff0f4fb2dc92d254d49275cc55976</x:v>
      </x:c>
      <x:c r="Z778" s="2" t="n">
        <x:f>SUBTOTAL(103,A778)</x:f>
        <x:v>1</x:v>
      </x:c>
      <x:c r="AA778" s="2" t="str">
        <x:f>IF(K778&lt;&gt;"미종결 표시","대상 아님",IF(N778="","신청일 확인",IF(NOT(ISNUMBER('종합 현황'!$H$5)),"관찰기준 확인",IF('종합 현황'!$H$5&lt;1,"관찰기준 확인",IF(N778&gt;'종합 현황'!$H$5,"내부 관찰 대상","내부 관찰일 이하")))))</x:f>
        <x:v>대상 아님</x:v>
      </x:c>
      <x:c r="AB778" s="2"/>
    </x:row>
    <x:row r="779" ht="42" customHeight="1">
      <x:c r="A779" s="2" t="str">
        <x:v>a26cf2f0bba9d3daef7556f9</x:v>
      </x:c>
      <x:c r="B779" s="2" t="str">
        <x:v>사업 평가</x:v>
      </x:c>
      <x:c r="C779" s="2" t="str">
        <x:v>국내</x:v>
      </x:c>
      <x:c r="D779" s="7" t="str">
        <x:v>(주)시화도금단지 미활용 열에너지 회수 온실가스 감축사업</x:v>
      </x:c>
      <x:c r="E779" s="2" t="str">
        <x:v>640</x:v>
      </x:c>
      <x:c r="F779" s="2" t="str">
        <x:v>2020-11-02</x:v>
      </x:c>
      <x:c r="G779" s="2" t="str">
        <x:v>2020</x:v>
      </x:c>
      <x:c r="H779" s="2" t="str">
        <x:v>11</x:v>
      </x:c>
      <x:c r="I779" s="2" t="str">
        <x:v>반려</x:v>
      </x:c>
      <x:c r="J779" s="2" t="str">
        <x:v>반려</x:v>
      </x:c>
      <x:c r="K779" s="2" t="str">
        <x:f>IF(OR(J779="심의승인",J779="반려",J779="반려완료",J779="심의완료"),"종결 표시",IF(OR(J779="기후부협의",J779="문서재제출요청",J779="보류",J779="보완요청",J779="보완완료",J779="평가중",J779="반려요청",J779="평가필요",LEFT(J779,5)="보완요청("),"미종결 표시","상태 확인 필요"))</x:f>
        <x:v>종결 표시</x:v>
      </x:c>
      <x:c r="L779" s="2"/>
      <x:c r="M779" s="2"/>
      <x:c r="N779" s="8" t="n">
        <x:f>DATE(2026,10,15)-DATE(2020,11,2)</x:f>
        <x:v>2173</x:v>
      </x:c>
      <x:c r="O779" s="2"/>
      <x:c r="P779" s="2"/>
      <x:c r="Q779" s="2" t="str">
        <x:v>산업전환_외부사업관리Tool_260707_이너젠 수정_LJY_261013.xlsx</x:v>
      </x:c>
      <x:c r="R779" s="2" t="str">
        <x:v>국내평가</x:v>
      </x:c>
      <x:c r="S779" s="8" t="n">
        <x:v>682</x:v>
      </x:c>
      <x:c r="T779" s="2" t="str">
        <x:v>2021년 처리</x:v>
      </x:c>
      <x:c r="U779" s="2" t="str">
        <x:v>2021 배정: 2021년 처리</x:v>
      </x:c>
      <x:c r="V779" s="2" t="str">
        <x:v>2021-08-12</x:v>
      </x:c>
      <x:c r="W779" s="2" t="str">
        <x:v>담당기관 확인</x:v>
      </x:c>
      <x:c r="X779" s="2" t="str">
        <x:v>원본·배정 기록 확인</x:v>
      </x:c>
      <x:c r="Y779" s="2" t="str">
        <x:v>ad210cd9ec132cfd447541c8984dc53d30aff0f4fb2dc92d254d49275cc55976</x:v>
      </x:c>
      <x:c r="Z779" s="2" t="n">
        <x:f>SUBTOTAL(103,A779)</x:f>
        <x:v>1</x:v>
      </x:c>
      <x:c r="AA779" s="2" t="str">
        <x:f>IF(K779&lt;&gt;"미종결 표시","대상 아님",IF(N779="","신청일 확인",IF(NOT(ISNUMBER('종합 현황'!$H$5)),"관찰기준 확인",IF('종합 현황'!$H$5&lt;1,"관찰기준 확인",IF(N779&gt;'종합 현황'!$H$5,"내부 관찰 대상","내부 관찰일 이하")))))</x:f>
        <x:v>대상 아님</x:v>
      </x:c>
      <x:c r="AB779" s="2"/>
    </x:row>
    <x:row r="780" ht="42" customHeight="1">
      <x:c r="A780" s="2" t="str">
        <x:v>e8d809fac4c3f5ab8d765fae</x:v>
      </x:c>
      <x:c r="B780" s="2" t="str">
        <x:v>사업 평가</x:v>
      </x:c>
      <x:c r="C780" s="2" t="str">
        <x:v>국내</x:v>
      </x:c>
      <x:c r="D780" s="7" t="str">
        <x:v>(주)시화도금단지 전력절감설비 설치사업</x:v>
      </x:c>
      <x:c r="E780" s="2" t="str">
        <x:v>641</x:v>
      </x:c>
      <x:c r="F780" s="2" t="str">
        <x:v>2020-11-23</x:v>
      </x:c>
      <x:c r="G780" s="2" t="str">
        <x:v>2020</x:v>
      </x:c>
      <x:c r="H780" s="2" t="str">
        <x:v>11</x:v>
      </x:c>
      <x:c r="I780" s="2" t="str">
        <x:v>반려</x:v>
      </x:c>
      <x:c r="J780" s="2" t="str">
        <x:v>반려</x:v>
      </x:c>
      <x:c r="K780" s="2" t="str">
        <x:f>IF(OR(J780="심의승인",J780="반려",J780="반려완료",J780="심의완료"),"종결 표시",IF(OR(J780="기후부협의",J780="문서재제출요청",J780="보류",J780="보완요청",J780="보완완료",J780="평가중",J780="반려요청",J780="평가필요",LEFT(J780,5)="보완요청("),"미종결 표시","상태 확인 필요"))</x:f>
        <x:v>종결 표시</x:v>
      </x:c>
      <x:c r="L780" s="2"/>
      <x:c r="M780" s="2"/>
      <x:c r="N780" s="8" t="n">
        <x:f>DATE(2026,10,15)-DATE(2020,11,23)</x:f>
        <x:v>2152</x:v>
      </x:c>
      <x:c r="O780" s="2"/>
      <x:c r="P780" s="2"/>
      <x:c r="Q780" s="2" t="str">
        <x:v>산업전환_외부사업관리Tool_260707_이너젠 수정_LJY_261013.xlsx</x:v>
      </x:c>
      <x:c r="R780" s="2" t="str">
        <x:v>국내평가</x:v>
      </x:c>
      <x:c r="S780" s="8" t="n">
        <x:v>683</x:v>
      </x:c>
      <x:c r="T780" s="2" t="str">
        <x:v>2021년 처리</x:v>
      </x:c>
      <x:c r="U780" s="2" t="str">
        <x:v>2021 배정: 2021년 처리</x:v>
      </x:c>
      <x:c r="V780" s="2" t="str">
        <x:v>2021-08-12</x:v>
      </x:c>
      <x:c r="W780" s="2" t="str">
        <x:v>담당기관 확인</x:v>
      </x:c>
      <x:c r="X780" s="2" t="str">
        <x:v>원본·배정 기록 확인</x:v>
      </x:c>
      <x:c r="Y780" s="2" t="str">
        <x:v>ad210cd9ec132cfd447541c8984dc53d30aff0f4fb2dc92d254d49275cc55976</x:v>
      </x:c>
      <x:c r="Z780" s="2" t="n">
        <x:f>SUBTOTAL(103,A780)</x:f>
        <x:v>1</x:v>
      </x:c>
      <x:c r="AA780" s="2" t="str">
        <x:f>IF(K780&lt;&gt;"미종결 표시","대상 아님",IF(N780="","신청일 확인",IF(NOT(ISNUMBER('종합 현황'!$H$5)),"관찰기준 확인",IF('종합 현황'!$H$5&lt;1,"관찰기준 확인",IF(N780&gt;'종합 현황'!$H$5,"내부 관찰 대상","내부 관찰일 이하")))))</x:f>
        <x:v>대상 아님</x:v>
      </x:c>
      <x:c r="AB780" s="2"/>
    </x:row>
    <x:row r="781" ht="42" customHeight="1">
      <x:c r="A781" s="2" t="str">
        <x:v>3c67f30c28acbf2e626babc6</x:v>
      </x:c>
      <x:c r="B781" s="2" t="str">
        <x:v>사업 평가</x:v>
      </x:c>
      <x:c r="C781" s="2" t="str">
        <x:v>국내</x:v>
      </x:c>
      <x:c r="D781" s="7" t="str">
        <x:v>현대요업 소성로 연료교체(B-C유→LNG)를 통한 온실가스(CO2) 배출 감축사업</x:v>
      </x:c>
      <x:c r="E781" s="2" t="str">
        <x:v>642</x:v>
      </x:c>
      <x:c r="F781" s="2" t="str">
        <x:v>2020-12-10</x:v>
      </x:c>
      <x:c r="G781" s="2" t="str">
        <x:v>2020</x:v>
      </x:c>
      <x:c r="H781" s="2" t="str">
        <x:v>12</x:v>
      </x:c>
      <x:c r="I781" s="2" t="str">
        <x:v>반려</x:v>
      </x:c>
      <x:c r="J781" s="2" t="str">
        <x:v>반려</x:v>
      </x:c>
      <x:c r="K781" s="2" t="str">
        <x:f>IF(OR(J781="심의승인",J781="반려",J781="반려완료",J781="심의완료"),"종결 표시",IF(OR(J781="기후부협의",J781="문서재제출요청",J781="보류",J781="보완요청",J781="보완완료",J781="평가중",J781="반려요청",J781="평가필요",LEFT(J781,5)="보완요청("),"미종결 표시","상태 확인 필요"))</x:f>
        <x:v>종결 표시</x:v>
      </x:c>
      <x:c r="L781" s="2"/>
      <x:c r="M781" s="2"/>
      <x:c r="N781" s="8" t="n">
        <x:f>DATE(2026,10,15)-DATE(2020,12,10)</x:f>
        <x:v>2135</x:v>
      </x:c>
      <x:c r="O781" s="2"/>
      <x:c r="P781" s="2"/>
      <x:c r="Q781" s="2" t="str">
        <x:v>산업전환_외부사업관리Tool_260707_이너젠 수정_LJY_261013.xlsx</x:v>
      </x:c>
      <x:c r="R781" s="2" t="str">
        <x:v>국내평가</x:v>
      </x:c>
      <x:c r="S781" s="8" t="n">
        <x:v>684</x:v>
      </x:c>
      <x:c r="T781" s="2" t="str">
        <x:v>2021년 처리</x:v>
      </x:c>
      <x:c r="U781" s="2" t="str">
        <x:v>2021 배정: 2021년 처리</x:v>
      </x:c>
      <x:c r="V781" s="2" t="str">
        <x:v>2021-06-30</x:v>
      </x:c>
      <x:c r="W781" s="2" t="str">
        <x:v>담당기관 확인</x:v>
      </x:c>
      <x:c r="X781" s="2" t="str">
        <x:v>원본·배정 기록 확인</x:v>
      </x:c>
      <x:c r="Y781" s="2" t="str">
        <x:v>ad210cd9ec132cfd447541c8984dc53d30aff0f4fb2dc92d254d49275cc55976</x:v>
      </x:c>
      <x:c r="Z781" s="2" t="n">
        <x:f>SUBTOTAL(103,A781)</x:f>
        <x:v>1</x:v>
      </x:c>
      <x:c r="AA781" s="2" t="str">
        <x:f>IF(K781&lt;&gt;"미종결 표시","대상 아님",IF(N781="","신청일 확인",IF(NOT(ISNUMBER('종합 현황'!$H$5)),"관찰기준 확인",IF('종합 현황'!$H$5&lt;1,"관찰기준 확인",IF(N781&gt;'종합 현황'!$H$5,"내부 관찰 대상","내부 관찰일 이하")))))</x:f>
        <x:v>대상 아님</x:v>
      </x:c>
      <x:c r="AB781" s="2"/>
    </x:row>
    <x:row r="782" ht="42" customHeight="1">
      <x:c r="A782" s="2" t="str">
        <x:v>f36501b664e12e169bec2708</x:v>
      </x:c>
      <x:c r="B782" s="2" t="str">
        <x:v>사업 평가</x:v>
      </x:c>
      <x:c r="C782" s="2" t="str">
        <x:v>국내</x:v>
      </x:c>
      <x:c r="D782" s="7" t="str">
        <x:v>검상산업단지 스팀생산 노후 LNG보일러 교체사업</x:v>
      </x:c>
      <x:c r="E782" s="2" t="str">
        <x:v>643</x:v>
      </x:c>
      <x:c r="F782" s="2" t="str">
        <x:v>2020-12-21</x:v>
      </x:c>
      <x:c r="G782" s="2" t="str">
        <x:v>2020</x:v>
      </x:c>
      <x:c r="H782" s="2" t="str">
        <x:v>12</x:v>
      </x:c>
      <x:c r="I782" s="2" t="str">
        <x:v>반려</x:v>
      </x:c>
      <x:c r="J782" s="2" t="str">
        <x:v>반려</x:v>
      </x:c>
      <x:c r="K782" s="2" t="str">
        <x:f>IF(OR(J782="심의승인",J782="반려",J782="반려완료",J782="심의완료"),"종결 표시",IF(OR(J782="기후부협의",J782="문서재제출요청",J782="보류",J782="보완요청",J782="보완완료",J782="평가중",J782="반려요청",J782="평가필요",LEFT(J782,5)="보완요청("),"미종결 표시","상태 확인 필요"))</x:f>
        <x:v>종결 표시</x:v>
      </x:c>
      <x:c r="L782" s="2" t="str">
        <x:v>KECM</x:v>
      </x:c>
      <x:c r="M782" s="2"/>
      <x:c r="N782" s="8" t="n">
        <x:f>DATE(2026,10,15)-DATE(2020,12,21)</x:f>
        <x:v>2124</x:v>
      </x:c>
      <x:c r="O782" s="2" t="str">
        <x:v>O(4월)</x:v>
      </x:c>
      <x:c r="P782" s="2"/>
      <x:c r="Q782" s="2" t="str">
        <x:v>산업전환_외부사업관리Tool_260707_이너젠 수정_LJY_261013.xlsx</x:v>
      </x:c>
      <x:c r="R782" s="2" t="str">
        <x:v>국내평가</x:v>
      </x:c>
      <x:c r="S782" s="8" t="n">
        <x:v>685</x:v>
      </x:c>
      <x:c r="T782" s="2" t="str">
        <x:v>2021년 처리</x:v>
      </x:c>
      <x:c r="U782" s="2" t="str">
        <x:v>2021 배정: 2021년 처리</x:v>
      </x:c>
      <x:c r="V782" s="2" t="str">
        <x:v>2021-05-28</x:v>
      </x:c>
      <x:c r="W782" s="2" t="str"/>
      <x:c r="X782" s="2" t="str">
        <x:v>종결 근거 보관</x:v>
      </x:c>
      <x:c r="Y782" s="2" t="str">
        <x:v>ad210cd9ec132cfd447541c8984dc53d30aff0f4fb2dc92d254d49275cc55976</x:v>
      </x:c>
      <x:c r="Z782" s="2" t="n">
        <x:f>SUBTOTAL(103,A782)</x:f>
        <x:v>1</x:v>
      </x:c>
      <x:c r="AA782" s="2" t="str">
        <x:f>IF(K782&lt;&gt;"미종결 표시","대상 아님",IF(N782="","신청일 확인",IF(NOT(ISNUMBER('종합 현황'!$H$5)),"관찰기준 확인",IF('종합 현황'!$H$5&lt;1,"관찰기준 확인",IF(N782&gt;'종합 현황'!$H$5,"내부 관찰 대상","내부 관찰일 이하")))))</x:f>
        <x:v>대상 아님</x:v>
      </x:c>
      <x:c r="AB782" s="2"/>
    </x:row>
    <x:row r="783" ht="42" customHeight="1">
      <x:c r="A783" s="2" t="str">
        <x:v>83ca47d14c0e4a514750187b</x:v>
      </x:c>
      <x:c r="B783" s="2" t="str">
        <x:v>사업 평가</x:v>
      </x:c>
      <x:c r="C783" s="2" t="str">
        <x:v>국내</x:v>
      </x:c>
      <x:c r="D783" s="7" t="str">
        <x:v>동우팜투테이블의 B-C유에서 도시가스(LNG)로 연료전환을 통한 온실가스 배출 감축사업</x:v>
      </x:c>
      <x:c r="E783" s="2" t="str">
        <x:v>644</x:v>
      </x:c>
      <x:c r="F783" s="2" t="str">
        <x:v>2021-01-12</x:v>
      </x:c>
      <x:c r="G783" s="2" t="str">
        <x:v>2021</x:v>
      </x:c>
      <x:c r="H783" s="2" t="str">
        <x:v>01</x:v>
      </x:c>
      <x:c r="I783" s="2" t="str">
        <x:v>반려</x:v>
      </x:c>
      <x:c r="J783" s="2" t="str">
        <x:v>반려</x:v>
      </x:c>
      <x:c r="K783" s="2" t="str">
        <x:f>IF(OR(J783="심의승인",J783="반려",J783="반려완료",J783="심의완료"),"종결 표시",IF(OR(J783="기후부협의",J783="문서재제출요청",J783="보류",J783="보완요청",J783="보완완료",J783="평가중",J783="반려요청",J783="평가필요",LEFT(J783,5)="보완요청("),"미종결 표시","상태 확인 필요"))</x:f>
        <x:v>종결 표시</x:v>
      </x:c>
      <x:c r="L783" s="2" t="str">
        <x:v>KECM</x:v>
      </x:c>
      <x:c r="M783" s="2"/>
      <x:c r="N783" s="8" t="n">
        <x:f>DATE(2026,10,15)-DATE(2021,1,12)</x:f>
        <x:v>2102</x:v>
      </x:c>
      <x:c r="O783" s="2" t="str">
        <x:v>O(9월)</x:v>
      </x:c>
      <x:c r="P783" s="2"/>
      <x:c r="Q783" s="2" t="str">
        <x:v>산업전환_외부사업관리Tool_260707_이너젠 수정_LJY_261013.xlsx</x:v>
      </x:c>
      <x:c r="R783" s="2" t="str">
        <x:v>국내평가</x:v>
      </x:c>
      <x:c r="S783" s="8" t="n">
        <x:v>686</x:v>
      </x:c>
      <x:c r="T783" s="2" t="str">
        <x:v>(7/12),(9/1),(11/20)</x:v>
      </x:c>
      <x:c r="U783" s="2" t="str">
        <x:v>2021 배정: (7/12),(9/1),(11/20)</x:v>
      </x:c>
      <x:c r="V783" s="2" t="str">
        <x:v>2021-11-02</x:v>
      </x:c>
      <x:c r="W783" s="2" t="str"/>
      <x:c r="X783" s="2" t="str">
        <x:v>종결 근거 보관</x:v>
      </x:c>
      <x:c r="Y783" s="2" t="str">
        <x:v>ad210cd9ec132cfd447541c8984dc53d30aff0f4fb2dc92d254d49275cc55976</x:v>
      </x:c>
      <x:c r="Z783" s="2" t="n">
        <x:f>SUBTOTAL(103,A783)</x:f>
        <x:v>1</x:v>
      </x:c>
      <x:c r="AA783" s="2" t="str">
        <x:f>IF(K783&lt;&gt;"미종결 표시","대상 아님",IF(N783="","신청일 확인",IF(NOT(ISNUMBER('종합 현황'!$H$5)),"관찰기준 확인",IF('종합 현황'!$H$5&lt;1,"관찰기준 확인",IF(N783&gt;'종합 현황'!$H$5,"내부 관찰 대상","내부 관찰일 이하")))))</x:f>
        <x:v>대상 아님</x:v>
      </x:c>
      <x:c r="AB783" s="2"/>
    </x:row>
    <x:row r="784" ht="42" customHeight="1">
      <x:c r="A784" s="2" t="str">
        <x:v>e9972638ea729b64c8fba83c</x:v>
      </x:c>
      <x:c r="B784" s="2" t="str">
        <x:v>사업 평가</x:v>
      </x:c>
      <x:c r="C784" s="2" t="str">
        <x:v>국내</x:v>
      </x:c>
      <x:c r="D784" s="7" t="str">
        <x:v>부경열처리 인버터 공기압축기 교체를 통한 온실가스 감축사업</x:v>
      </x:c>
      <x:c r="E784" s="2" t="str">
        <x:v>645</x:v>
      </x:c>
      <x:c r="F784" s="2" t="str">
        <x:v>2021-01-25</x:v>
      </x:c>
      <x:c r="G784" s="2" t="str">
        <x:v>2021</x:v>
      </x:c>
      <x:c r="H784" s="2" t="str">
        <x:v>01</x:v>
      </x:c>
      <x:c r="I784" s="2" t="str">
        <x:v>반려</x:v>
      </x:c>
      <x:c r="J784" s="2" t="str">
        <x:v>반려</x:v>
      </x:c>
      <x:c r="K784" s="2" t="str">
        <x:f>IF(OR(J784="심의승인",J784="반려",J784="반려완료",J784="심의완료"),"종결 표시",IF(OR(J784="기후부협의",J784="문서재제출요청",J784="보류",J784="보완요청",J784="보완완료",J784="평가중",J784="반려요청",J784="평가필요",LEFT(J784,5)="보완요청("),"미종결 표시","상태 확인 필요"))</x:f>
        <x:v>종결 표시</x:v>
      </x:c>
      <x:c r="L784" s="2"/>
      <x:c r="M784" s="2"/>
      <x:c r="N784" s="8" t="n">
        <x:f>DATE(2026,10,15)-DATE(2021,1,25)</x:f>
        <x:v>2089</x:v>
      </x:c>
      <x:c r="O784" s="2"/>
      <x:c r="P784" s="2" t="str">
        <x:v>반려완료(재신청 예정)</x:v>
      </x:c>
      <x:c r="Q784" s="2" t="str">
        <x:v>산업전환_외부사업관리Tool_260707_이너젠 수정_LJY_261013.xlsx</x:v>
      </x:c>
      <x:c r="R784" s="2" t="str">
        <x:v>국내평가</x:v>
      </x:c>
      <x:c r="S784" s="8" t="n">
        <x:v>687</x:v>
      </x:c>
      <x:c r="T784" s="2" t="str">
        <x:v>2021년 처리</x:v>
      </x:c>
      <x:c r="U784" s="2" t="str">
        <x:v>2021 배정: 2021년 처리</x:v>
      </x:c>
      <x:c r="V784" s="2" t="str">
        <x:v>2021-06-30</x:v>
      </x:c>
      <x:c r="W784" s="2" t="str">
        <x:v>담당기관 확인</x:v>
      </x:c>
      <x:c r="X784" s="2" t="str">
        <x:v>원본·배정 기록 확인</x:v>
      </x:c>
      <x:c r="Y784" s="2" t="str">
        <x:v>ad210cd9ec132cfd447541c8984dc53d30aff0f4fb2dc92d254d49275cc55976</x:v>
      </x:c>
      <x:c r="Z784" s="2" t="n">
        <x:f>SUBTOTAL(103,A784)</x:f>
        <x:v>1</x:v>
      </x:c>
      <x:c r="AA784" s="2" t="str">
        <x:f>IF(K784&lt;&gt;"미종결 표시","대상 아님",IF(N784="","신청일 확인",IF(NOT(ISNUMBER('종합 현황'!$H$5)),"관찰기준 확인",IF('종합 현황'!$H$5&lt;1,"관찰기준 확인",IF(N784&gt;'종합 현황'!$H$5,"내부 관찰 대상","내부 관찰일 이하")))))</x:f>
        <x:v>대상 아님</x:v>
      </x:c>
      <x:c r="AB784" s="2"/>
    </x:row>
    <x:row r="785" ht="42" customHeight="1">
      <x:c r="A785" s="2" t="str">
        <x:v>dc6d7eb79064905611015757</x:v>
      </x:c>
      <x:c r="B785" s="2" t="str">
        <x:v>사업 평가</x:v>
      </x:c>
      <x:c r="C785" s="2" t="str">
        <x:v>국내</x:v>
      </x:c>
      <x:c r="D785" s="7" t="str">
        <x:v>진양화학주식회사 인버터 공기압축기 교체를 통한 온실가스 감축사업</x:v>
      </x:c>
      <x:c r="E785" s="2" t="str">
        <x:v>646</x:v>
      </x:c>
      <x:c r="F785" s="2" t="str">
        <x:v>2021-01-25</x:v>
      </x:c>
      <x:c r="G785" s="2" t="str">
        <x:v>2021</x:v>
      </x:c>
      <x:c r="H785" s="2" t="str">
        <x:v>01</x:v>
      </x:c>
      <x:c r="I785" s="2" t="str">
        <x:v>반려</x:v>
      </x:c>
      <x:c r="J785" s="2" t="str">
        <x:v>반려</x:v>
      </x:c>
      <x:c r="K785" s="2" t="str">
        <x:f>IF(OR(J785="심의승인",J785="반려",J785="반려완료",J785="심의완료"),"종결 표시",IF(OR(J785="기후부협의",J785="문서재제출요청",J785="보류",J785="보완요청",J785="보완완료",J785="평가중",J785="반려요청",J785="평가필요",LEFT(J785,5)="보완요청("),"미종결 표시","상태 확인 필요"))</x:f>
        <x:v>종결 표시</x:v>
      </x:c>
      <x:c r="L785" s="2"/>
      <x:c r="M785" s="2"/>
      <x:c r="N785" s="8" t="n">
        <x:f>DATE(2026,10,15)-DATE(2021,1,25)</x:f>
        <x:v>2089</x:v>
      </x:c>
      <x:c r="O785" s="2"/>
      <x:c r="P785" s="2" t="str">
        <x:v>반려완료(재신청 예정)</x:v>
      </x:c>
      <x:c r="Q785" s="2" t="str">
        <x:v>산업전환_외부사업관리Tool_260707_이너젠 수정_LJY_261013.xlsx</x:v>
      </x:c>
      <x:c r="R785" s="2" t="str">
        <x:v>국내평가</x:v>
      </x:c>
      <x:c r="S785" s="8" t="n">
        <x:v>688</x:v>
      </x:c>
      <x:c r="T785" s="2" t="str">
        <x:v>2021년 처리</x:v>
      </x:c>
      <x:c r="U785" s="2" t="str">
        <x:v>2021 배정: 2021년 처리</x:v>
      </x:c>
      <x:c r="V785" s="2" t="str">
        <x:v>2021-06-30</x:v>
      </x:c>
      <x:c r="W785" s="2" t="str">
        <x:v>담당기관 확인</x:v>
      </x:c>
      <x:c r="X785" s="2" t="str">
        <x:v>원본·배정 기록 확인</x:v>
      </x:c>
      <x:c r="Y785" s="2" t="str">
        <x:v>ad210cd9ec132cfd447541c8984dc53d30aff0f4fb2dc92d254d49275cc55976</x:v>
      </x:c>
      <x:c r="Z785" s="2" t="n">
        <x:f>SUBTOTAL(103,A785)</x:f>
        <x:v>1</x:v>
      </x:c>
      <x:c r="AA785" s="2" t="str">
        <x:f>IF(K785&lt;&gt;"미종결 표시","대상 아님",IF(N785="","신청일 확인",IF(NOT(ISNUMBER('종합 현황'!$H$5)),"관찰기준 확인",IF('종합 현황'!$H$5&lt;1,"관찰기준 확인",IF(N785&gt;'종합 현황'!$H$5,"내부 관찰 대상","내부 관찰일 이하")))))</x:f>
        <x:v>대상 아님</x:v>
      </x:c>
      <x:c r="AB785" s="2"/>
    </x:row>
    <x:row r="786" ht="42" customHeight="1">
      <x:c r="A786" s="2" t="str">
        <x:v>68992b1a47d25af3a454bb7a</x:v>
      </x:c>
      <x:c r="B786" s="2" t="str">
        <x:v>사업 평가</x:v>
      </x:c>
      <x:c r="C786" s="2" t="str">
        <x:v>국내</x:v>
      </x:c>
      <x:c r="D786" s="7" t="str">
        <x:v>주식회사 유성 에이텍 인버터 공기압축기 교체를 통한 온실가스 감축사업</x:v>
      </x:c>
      <x:c r="E786" s="2" t="str">
        <x:v>647</x:v>
      </x:c>
      <x:c r="F786" s="2" t="str">
        <x:v>2021-01-26</x:v>
      </x:c>
      <x:c r="G786" s="2" t="str">
        <x:v>2021</x:v>
      </x:c>
      <x:c r="H786" s="2" t="str">
        <x:v>01</x:v>
      </x:c>
      <x:c r="I786" s="2" t="str">
        <x:v>반려</x:v>
      </x:c>
      <x:c r="J786" s="2" t="str">
        <x:v>반려</x:v>
      </x:c>
      <x:c r="K786" s="2" t="str">
        <x:f>IF(OR(J786="심의승인",J786="반려",J786="반려완료",J786="심의완료"),"종결 표시",IF(OR(J786="기후부협의",J786="문서재제출요청",J786="보류",J786="보완요청",J786="보완완료",J786="평가중",J786="반려요청",J786="평가필요",LEFT(J786,5)="보완요청("),"미종결 표시","상태 확인 필요"))</x:f>
        <x:v>종결 표시</x:v>
      </x:c>
      <x:c r="L786" s="2"/>
      <x:c r="M786" s="2"/>
      <x:c r="N786" s="8" t="n">
        <x:f>DATE(2026,10,15)-DATE(2021,1,26)</x:f>
        <x:v>2088</x:v>
      </x:c>
      <x:c r="O786" s="2"/>
      <x:c r="P786" s="2" t="str">
        <x:v>반려완료(재신청 예정)</x:v>
      </x:c>
      <x:c r="Q786" s="2" t="str">
        <x:v>산업전환_외부사업관리Tool_260707_이너젠 수정_LJY_261013.xlsx</x:v>
      </x:c>
      <x:c r="R786" s="2" t="str">
        <x:v>국내평가</x:v>
      </x:c>
      <x:c r="S786" s="8" t="n">
        <x:v>689</x:v>
      </x:c>
      <x:c r="T786" s="2" t="str">
        <x:v>2021년 처리</x:v>
      </x:c>
      <x:c r="U786" s="2" t="str">
        <x:v>2021 배정: 2021년 처리</x:v>
      </x:c>
      <x:c r="V786" s="2" t="str">
        <x:v>2021-06-30</x:v>
      </x:c>
      <x:c r="W786" s="2" t="str">
        <x:v>담당기관 확인</x:v>
      </x:c>
      <x:c r="X786" s="2" t="str">
        <x:v>원본·배정 기록 확인</x:v>
      </x:c>
      <x:c r="Y786" s="2" t="str">
        <x:v>ad210cd9ec132cfd447541c8984dc53d30aff0f4fb2dc92d254d49275cc55976</x:v>
      </x:c>
      <x:c r="Z786" s="2" t="n">
        <x:f>SUBTOTAL(103,A786)</x:f>
        <x:v>1</x:v>
      </x:c>
      <x:c r="AA786" s="2" t="str">
        <x:f>IF(K786&lt;&gt;"미종결 표시","대상 아님",IF(N786="","신청일 확인",IF(NOT(ISNUMBER('종합 현황'!$H$5)),"관찰기준 확인",IF('종합 현황'!$H$5&lt;1,"관찰기준 확인",IF(N786&gt;'종합 현황'!$H$5,"내부 관찰 대상","내부 관찰일 이하")))))</x:f>
        <x:v>대상 아님</x:v>
      </x:c>
      <x:c r="AB786" s="2"/>
    </x:row>
    <x:row r="787" ht="42" customHeight="1">
      <x:c r="A787" s="2" t="str">
        <x:v>9004857b6e872ed739715b7d</x:v>
      </x:c>
      <x:c r="B787" s="2" t="str">
        <x:v>사업 평가</x:v>
      </x:c>
      <x:c r="C787" s="2" t="str">
        <x:v>국내</x:v>
      </x:c>
      <x:c r="D787" s="7" t="str">
        <x:v>(주)덕산의 신재 및 재생 드라이어의 B-C유에서 도시가스(LNG)로 연료전환을 통한 온실가스 배출 감축사업</x:v>
      </x:c>
      <x:c r="E787" s="2" t="str">
        <x:v>648</x:v>
      </x:c>
      <x:c r="F787" s="2" t="str">
        <x:v>2020-09-29</x:v>
      </x:c>
      <x:c r="G787" s="2" t="str">
        <x:v>2020</x:v>
      </x:c>
      <x:c r="H787" s="2" t="str">
        <x:v>09</x:v>
      </x:c>
      <x:c r="I787" s="2" t="str">
        <x:v>승인</x:v>
      </x:c>
      <x:c r="J787" s="2" t="str">
        <x:v>반려</x:v>
      </x:c>
      <x:c r="K787" s="2" t="str">
        <x:f>IF(OR(J787="심의승인",J787="반려",J787="반려완료",J787="심의완료"),"종결 표시",IF(OR(J787="기후부협의",J787="문서재제출요청",J787="보류",J787="보완요청",J787="보완완료",J787="평가중",J787="반려요청",J787="평가필요",LEFT(J787,5)="보완요청("),"미종결 표시","상태 확인 필요"))</x:f>
        <x:v>종결 표시</x:v>
      </x:c>
      <x:c r="L787" s="2"/>
      <x:c r="M787" s="2"/>
      <x:c r="N787" s="8" t="n">
        <x:f>DATE(2026,10,15)-DATE(2020,9,29)</x:f>
        <x:v>2207</x:v>
      </x:c>
      <x:c r="O787" s="2" t="str">
        <x:v>O(5월)</x:v>
      </x:c>
      <x:c r="P787" s="2" t="str">
        <x:v>권리의 승계관리 메뉴에서 기후부 반려 확인</x:v>
      </x:c>
      <x:c r="Q787" s="2" t="str">
        <x:v>산업전환_외부사업관리Tool_260707_이너젠 수정_LJY_261013.xlsx</x:v>
      </x:c>
      <x:c r="R787" s="2" t="str">
        <x:v>국내평가</x:v>
      </x:c>
      <x:c r="S787" s="8" t="n">
        <x:v>690</x:v>
      </x:c>
      <x:c r="T787" s="2"/>
      <x:c r="U787" s="2" t="str"/>
      <x:c r="V787" s="2" t="str">
        <x:v>2022-05-30</x:v>
      </x:c>
      <x:c r="W787" s="2" t="str">
        <x:v>담당기관 확인</x:v>
      </x:c>
      <x:c r="X787" s="2" t="str">
        <x:v>원본·배정 기록 확인</x:v>
      </x:c>
      <x:c r="Y787" s="2" t="str">
        <x:v>ad210cd9ec132cfd447541c8984dc53d30aff0f4fb2dc92d254d49275cc55976</x:v>
      </x:c>
      <x:c r="Z787" s="2" t="n">
        <x:f>SUBTOTAL(103,A787)</x:f>
        <x:v>1</x:v>
      </x:c>
      <x:c r="AA787" s="2" t="str">
        <x:f>IF(K787&lt;&gt;"미종결 표시","대상 아님",IF(N787="","신청일 확인",IF(NOT(ISNUMBER('종합 현황'!$H$5)),"관찰기준 확인",IF('종합 현황'!$H$5&lt;1,"관찰기준 확인",IF(N787&gt;'종합 현황'!$H$5,"내부 관찰 대상","내부 관찰일 이하")))))</x:f>
        <x:v>대상 아님</x:v>
      </x:c>
      <x:c r="AB787" s="2"/>
    </x:row>
    <x:row r="788" ht="42" customHeight="1">
      <x:c r="A788" s="2" t="str">
        <x:v>ed947b253821e1460936017c</x:v>
      </x:c>
      <x:c r="B788" s="2" t="str">
        <x:v>사업 평가</x:v>
      </x:c>
      <x:c r="C788" s="2" t="str">
        <x:v>국내</x:v>
      </x:c>
      <x:c r="D788" s="7" t="str">
        <x:v>나라엠앤디 성산공장 인버터 공기압축기 교체를 통한 온실가스 감축사업</x:v>
      </x:c>
      <x:c r="E788" s="2" t="str">
        <x:v>649</x:v>
      </x:c>
      <x:c r="F788" s="2" t="str">
        <x:v>2021-01-26</x:v>
      </x:c>
      <x:c r="G788" s="2" t="str">
        <x:v>2021</x:v>
      </x:c>
      <x:c r="H788" s="2" t="str">
        <x:v>01</x:v>
      </x:c>
      <x:c r="I788" s="2" t="str">
        <x:v>반려</x:v>
      </x:c>
      <x:c r="J788" s="2" t="str">
        <x:v>반려</x:v>
      </x:c>
      <x:c r="K788" s="2" t="str">
        <x:f>IF(OR(J788="심의승인",J788="반려",J788="반려완료",J788="심의완료"),"종결 표시",IF(OR(J788="기후부협의",J788="문서재제출요청",J788="보류",J788="보완요청",J788="보완완료",J788="평가중",J788="반려요청",J788="평가필요",LEFT(J788,5)="보완요청("),"미종결 표시","상태 확인 필요"))</x:f>
        <x:v>종결 표시</x:v>
      </x:c>
      <x:c r="L788" s="2"/>
      <x:c r="M788" s="2"/>
      <x:c r="N788" s="8" t="n">
        <x:f>DATE(2026,10,15)-DATE(2021,1,26)</x:f>
        <x:v>2088</x:v>
      </x:c>
      <x:c r="O788" s="2"/>
      <x:c r="P788" s="2" t="str">
        <x:v>반려완료(재신청 예정)</x:v>
      </x:c>
      <x:c r="Q788" s="2" t="str">
        <x:v>산업전환_외부사업관리Tool_260707_이너젠 수정_LJY_261013.xlsx</x:v>
      </x:c>
      <x:c r="R788" s="2" t="str">
        <x:v>국내평가</x:v>
      </x:c>
      <x:c r="S788" s="8" t="n">
        <x:v>691</x:v>
      </x:c>
      <x:c r="T788" s="2" t="str">
        <x:v>2021년 처리</x:v>
      </x:c>
      <x:c r="U788" s="2" t="str">
        <x:v>2021 배정: 2021년 처리</x:v>
      </x:c>
      <x:c r="V788" s="2" t="str">
        <x:v>2021-06-30</x:v>
      </x:c>
      <x:c r="W788" s="2" t="str">
        <x:v>담당기관 확인</x:v>
      </x:c>
      <x:c r="X788" s="2" t="str">
        <x:v>원본·배정 기록 확인</x:v>
      </x:c>
      <x:c r="Y788" s="2" t="str">
        <x:v>ad210cd9ec132cfd447541c8984dc53d30aff0f4fb2dc92d254d49275cc55976</x:v>
      </x:c>
      <x:c r="Z788" s="2" t="n">
        <x:f>SUBTOTAL(103,A788)</x:f>
        <x:v>1</x:v>
      </x:c>
      <x:c r="AA788" s="2" t="str">
        <x:f>IF(K788&lt;&gt;"미종결 표시","대상 아님",IF(N788="","신청일 확인",IF(NOT(ISNUMBER('종합 현황'!$H$5)),"관찰기준 확인",IF('종합 현황'!$H$5&lt;1,"관찰기준 확인",IF(N788&gt;'종합 현황'!$H$5,"내부 관찰 대상","내부 관찰일 이하")))))</x:f>
        <x:v>대상 아님</x:v>
      </x:c>
      <x:c r="AB788" s="2"/>
    </x:row>
    <x:row r="789" ht="42" customHeight="1">
      <x:c r="A789" s="2" t="str">
        <x:v>0eb0fe9223d26452bb232bd5</x:v>
      </x:c>
      <x:c r="B789" s="2" t="str">
        <x:v>사업 평가</x:v>
      </x:c>
      <x:c r="C789" s="2" t="str">
        <x:v>국내</x:v>
      </x:c>
      <x:c r="D789" s="7" t="str">
        <x:v>나라엠앤디(주) 인버터 공기압축기 교체를 통한 온실가스 감축사업</x:v>
      </x:c>
      <x:c r="E789" s="2" t="str">
        <x:v>650</x:v>
      </x:c>
      <x:c r="F789" s="2" t="str">
        <x:v>2021-01-26</x:v>
      </x:c>
      <x:c r="G789" s="2" t="str">
        <x:v>2021</x:v>
      </x:c>
      <x:c r="H789" s="2" t="str">
        <x:v>01</x:v>
      </x:c>
      <x:c r="I789" s="2" t="str">
        <x:v>반려</x:v>
      </x:c>
      <x:c r="J789" s="2" t="str">
        <x:v>반려</x:v>
      </x:c>
      <x:c r="K789" s="2" t="str">
        <x:f>IF(OR(J789="심의승인",J789="반려",J789="반려완료",J789="심의완료"),"종결 표시",IF(OR(J789="기후부협의",J789="문서재제출요청",J789="보류",J789="보완요청",J789="보완완료",J789="평가중",J789="반려요청",J789="평가필요",LEFT(J789,5)="보완요청("),"미종결 표시","상태 확인 필요"))</x:f>
        <x:v>종결 표시</x:v>
      </x:c>
      <x:c r="L789" s="2"/>
      <x:c r="M789" s="2"/>
      <x:c r="N789" s="8" t="n">
        <x:f>DATE(2026,10,15)-DATE(2021,1,26)</x:f>
        <x:v>2088</x:v>
      </x:c>
      <x:c r="O789" s="2"/>
      <x:c r="P789" s="2" t="str">
        <x:v>반려완료(재신청 예정)</x:v>
      </x:c>
      <x:c r="Q789" s="2" t="str">
        <x:v>산업전환_외부사업관리Tool_260707_이너젠 수정_LJY_261013.xlsx</x:v>
      </x:c>
      <x:c r="R789" s="2" t="str">
        <x:v>국내평가</x:v>
      </x:c>
      <x:c r="S789" s="8" t="n">
        <x:v>692</x:v>
      </x:c>
      <x:c r="T789" s="2" t="str">
        <x:v>2021년 처리</x:v>
      </x:c>
      <x:c r="U789" s="2" t="str">
        <x:v>2021 배정: 2021년 처리</x:v>
      </x:c>
      <x:c r="V789" s="2" t="str">
        <x:v>2021-06-30</x:v>
      </x:c>
      <x:c r="W789" s="2" t="str">
        <x:v>담당기관 확인</x:v>
      </x:c>
      <x:c r="X789" s="2" t="str">
        <x:v>원본·배정 기록 확인</x:v>
      </x:c>
      <x:c r="Y789" s="2" t="str">
        <x:v>ad210cd9ec132cfd447541c8984dc53d30aff0f4fb2dc92d254d49275cc55976</x:v>
      </x:c>
      <x:c r="Z789" s="2" t="n">
        <x:f>SUBTOTAL(103,A789)</x:f>
        <x:v>1</x:v>
      </x:c>
      <x:c r="AA789" s="2" t="str">
        <x:f>IF(K789&lt;&gt;"미종결 표시","대상 아님",IF(N789="","신청일 확인",IF(NOT(ISNUMBER('종합 현황'!$H$5)),"관찰기준 확인",IF('종합 현황'!$H$5&lt;1,"관찰기준 확인",IF(N789&gt;'종합 현황'!$H$5,"내부 관찰 대상","내부 관찰일 이하")))))</x:f>
        <x:v>대상 아님</x:v>
      </x:c>
      <x:c r="AB789" s="2"/>
    </x:row>
    <x:row r="790" ht="42" customHeight="1">
      <x:c r="A790" s="2" t="str">
        <x:v>ec2a11a17a7f781c0784b3c2</x:v>
      </x:c>
      <x:c r="B790" s="2" t="str">
        <x:v>사업 평가</x:v>
      </x:c>
      <x:c r="C790" s="2" t="str">
        <x:v>국내</x:v>
      </x:c>
      <x:c r="D790" s="7" t="str">
        <x:v>대원공업(주) 인버터 공기압축기 교체를 통한 온실가스 감축사업</x:v>
      </x:c>
      <x:c r="E790" s="2" t="str">
        <x:v>651</x:v>
      </x:c>
      <x:c r="F790" s="2" t="str">
        <x:v>2021-01-26</x:v>
      </x:c>
      <x:c r="G790" s="2" t="str">
        <x:v>2021</x:v>
      </x:c>
      <x:c r="H790" s="2" t="str">
        <x:v>01</x:v>
      </x:c>
      <x:c r="I790" s="2" t="str">
        <x:v>반려</x:v>
      </x:c>
      <x:c r="J790" s="2" t="str">
        <x:v>반려</x:v>
      </x:c>
      <x:c r="K790" s="2" t="str">
        <x:f>IF(OR(J790="심의승인",J790="반려",J790="반려완료",J790="심의완료"),"종결 표시",IF(OR(J790="기후부협의",J790="문서재제출요청",J790="보류",J790="보완요청",J790="보완완료",J790="평가중",J790="반려요청",J790="평가필요",LEFT(J790,5)="보완요청("),"미종결 표시","상태 확인 필요"))</x:f>
        <x:v>종결 표시</x:v>
      </x:c>
      <x:c r="L790" s="2"/>
      <x:c r="M790" s="2"/>
      <x:c r="N790" s="8" t="n">
        <x:f>DATE(2026,10,15)-DATE(2021,1,26)</x:f>
        <x:v>2088</x:v>
      </x:c>
      <x:c r="O790" s="2"/>
      <x:c r="P790" s="2" t="str">
        <x:v>반려완료(재신청 예정)</x:v>
      </x:c>
      <x:c r="Q790" s="2" t="str">
        <x:v>산업전환_외부사업관리Tool_260707_이너젠 수정_LJY_261013.xlsx</x:v>
      </x:c>
      <x:c r="R790" s="2" t="str">
        <x:v>국내평가</x:v>
      </x:c>
      <x:c r="S790" s="8" t="n">
        <x:v>693</x:v>
      </x:c>
      <x:c r="T790" s="2" t="str">
        <x:v>2021년 처리</x:v>
      </x:c>
      <x:c r="U790" s="2" t="str">
        <x:v>2021 배정: 2021년 처리</x:v>
      </x:c>
      <x:c r="V790" s="2" t="str">
        <x:v>2021-06-30</x:v>
      </x:c>
      <x:c r="W790" s="2" t="str">
        <x:v>담당기관 확인</x:v>
      </x:c>
      <x:c r="X790" s="2" t="str">
        <x:v>원본·배정 기록 확인</x:v>
      </x:c>
      <x:c r="Y790" s="2" t="str">
        <x:v>ad210cd9ec132cfd447541c8984dc53d30aff0f4fb2dc92d254d49275cc55976</x:v>
      </x:c>
      <x:c r="Z790" s="2" t="n">
        <x:f>SUBTOTAL(103,A790)</x:f>
        <x:v>1</x:v>
      </x:c>
      <x:c r="AA790" s="2" t="str">
        <x:f>IF(K790&lt;&gt;"미종결 표시","대상 아님",IF(N790="","신청일 확인",IF(NOT(ISNUMBER('종합 현황'!$H$5)),"관찰기준 확인",IF('종합 현황'!$H$5&lt;1,"관찰기준 확인",IF(N790&gt;'종합 현황'!$H$5,"내부 관찰 대상","내부 관찰일 이하")))))</x:f>
        <x:v>대상 아님</x:v>
      </x:c>
      <x:c r="AB790" s="2"/>
    </x:row>
    <x:row r="791" ht="42" customHeight="1">
      <x:c r="A791" s="2" t="str">
        <x:v>260bc074199f7da58936dd74</x:v>
      </x:c>
      <x:c r="B791" s="2" t="str">
        <x:v>사업 평가</x:v>
      </x:c>
      <x:c r="C791" s="2" t="str">
        <x:v>국내</x:v>
      </x:c>
      <x:c r="D791" s="7" t="str">
        <x:v>한국스기야마 (주) 고효율 공기압축기 교체를 통한 온실가스 감축사업</x:v>
      </x:c>
      <x:c r="E791" s="2" t="str">
        <x:v>652</x:v>
      </x:c>
      <x:c r="F791" s="2" t="str">
        <x:v>2021-01-26</x:v>
      </x:c>
      <x:c r="G791" s="2" t="str">
        <x:v>2021</x:v>
      </x:c>
      <x:c r="H791" s="2" t="str">
        <x:v>01</x:v>
      </x:c>
      <x:c r="I791" s="2" t="str">
        <x:v>반려</x:v>
      </x:c>
      <x:c r="J791" s="2" t="str">
        <x:v>반려</x:v>
      </x:c>
      <x:c r="K791" s="2" t="str">
        <x:f>IF(OR(J791="심의승인",J791="반려",J791="반려완료",J791="심의완료"),"종결 표시",IF(OR(J791="기후부협의",J791="문서재제출요청",J791="보류",J791="보완요청",J791="보완완료",J791="평가중",J791="반려요청",J791="평가필요",LEFT(J791,5)="보완요청("),"미종결 표시","상태 확인 필요"))</x:f>
        <x:v>종결 표시</x:v>
      </x:c>
      <x:c r="L791" s="2" t="str">
        <x:v>에코시안_배윤빈</x:v>
      </x:c>
      <x:c r="M791" s="2"/>
      <x:c r="N791" s="8" t="n">
        <x:f>DATE(2026,10,15)-DATE(2021,1,26)</x:f>
        <x:v>2088</x:v>
      </x:c>
      <x:c r="O791" s="2" t="str">
        <x:v>O(6월추가)</x:v>
      </x:c>
      <x:c r="P791" s="2"/>
      <x:c r="Q791" s="2" t="str">
        <x:v>산업전환_외부사업관리Tool_260707_이너젠 수정_LJY_261013.xlsx</x:v>
      </x:c>
      <x:c r="R791" s="2" t="str">
        <x:v>국내평가</x:v>
      </x:c>
      <x:c r="S791" s="8" t="n">
        <x:v>694</x:v>
      </x:c>
      <x:c r="T791" s="2" t="str">
        <x:v>(6/28)</x:v>
      </x:c>
      <x:c r="U791" s="2" t="str">
        <x:v>2021 배정: (6/28)</x:v>
      </x:c>
      <x:c r="V791" s="2" t="str">
        <x:v>2021-10-25</x:v>
      </x:c>
      <x:c r="W791" s="2" t="str"/>
      <x:c r="X791" s="2" t="str">
        <x:v>종결 근거 보관</x:v>
      </x:c>
      <x:c r="Y791" s="2" t="str">
        <x:v>ad210cd9ec132cfd447541c8984dc53d30aff0f4fb2dc92d254d49275cc55976</x:v>
      </x:c>
      <x:c r="Z791" s="2" t="n">
        <x:f>SUBTOTAL(103,A791)</x:f>
        <x:v>1</x:v>
      </x:c>
      <x:c r="AA791" s="2" t="str">
        <x:f>IF(K791&lt;&gt;"미종결 표시","대상 아님",IF(N791="","신청일 확인",IF(NOT(ISNUMBER('종합 현황'!$H$5)),"관찰기준 확인",IF('종합 현황'!$H$5&lt;1,"관찰기준 확인",IF(N791&gt;'종합 현황'!$H$5,"내부 관찰 대상","내부 관찰일 이하")))))</x:f>
        <x:v>대상 아님</x:v>
      </x:c>
      <x:c r="AB791" s="2"/>
    </x:row>
    <x:row r="792" ht="42" customHeight="1">
      <x:c r="A792" s="2" t="str">
        <x:v>77015c03b720a2dbf2b2d080</x:v>
      </x:c>
      <x:c r="B792" s="2" t="str">
        <x:v>사업 평가</x:v>
      </x:c>
      <x:c r="C792" s="2" t="str">
        <x:v>국내</x:v>
      </x:c>
      <x:c r="D792" s="7" t="str">
        <x:v>(주)성산 인버터 공기압축기 교체를 통한 온실가스 감축사업</x:v>
      </x:c>
      <x:c r="E792" s="2" t="str">
        <x:v>653</x:v>
      </x:c>
      <x:c r="F792" s="2" t="str">
        <x:v>2021-01-26</x:v>
      </x:c>
      <x:c r="G792" s="2" t="str">
        <x:v>2021</x:v>
      </x:c>
      <x:c r="H792" s="2" t="str">
        <x:v>01</x:v>
      </x:c>
      <x:c r="I792" s="2" t="str">
        <x:v>반려</x:v>
      </x:c>
      <x:c r="J792" s="2" t="str">
        <x:v>반려</x:v>
      </x:c>
      <x:c r="K792" s="2" t="str">
        <x:f>IF(OR(J792="심의승인",J792="반려",J792="반려완료",J792="심의완료"),"종결 표시",IF(OR(J792="기후부협의",J792="문서재제출요청",J792="보류",J792="보완요청",J792="보완완료",J792="평가중",J792="반려요청",J792="평가필요",LEFT(J792,5)="보완요청("),"미종결 표시","상태 확인 필요"))</x:f>
        <x:v>종결 표시</x:v>
      </x:c>
      <x:c r="L792" s="2"/>
      <x:c r="M792" s="2"/>
      <x:c r="N792" s="8" t="n">
        <x:f>DATE(2026,10,15)-DATE(2021,1,26)</x:f>
        <x:v>2088</x:v>
      </x:c>
      <x:c r="O792" s="2"/>
      <x:c r="P792" s="2" t="str">
        <x:v>반려완료(재신청 예정)</x:v>
      </x:c>
      <x:c r="Q792" s="2" t="str">
        <x:v>산업전환_외부사업관리Tool_260707_이너젠 수정_LJY_261013.xlsx</x:v>
      </x:c>
      <x:c r="R792" s="2" t="str">
        <x:v>국내평가</x:v>
      </x:c>
      <x:c r="S792" s="8" t="n">
        <x:v>695</x:v>
      </x:c>
      <x:c r="T792" s="2" t="str">
        <x:v>2021년 처리</x:v>
      </x:c>
      <x:c r="U792" s="2" t="str">
        <x:v>2021 배정: 2021년 처리</x:v>
      </x:c>
      <x:c r="V792" s="2" t="str">
        <x:v>2021-06-30</x:v>
      </x:c>
      <x:c r="W792" s="2" t="str">
        <x:v>담당기관 확인</x:v>
      </x:c>
      <x:c r="X792" s="2" t="str">
        <x:v>원본·배정 기록 확인</x:v>
      </x:c>
      <x:c r="Y792" s="2" t="str">
        <x:v>ad210cd9ec132cfd447541c8984dc53d30aff0f4fb2dc92d254d49275cc55976</x:v>
      </x:c>
      <x:c r="Z792" s="2" t="n">
        <x:f>SUBTOTAL(103,A792)</x:f>
        <x:v>1</x:v>
      </x:c>
      <x:c r="AA792" s="2" t="str">
        <x:f>IF(K792&lt;&gt;"미종결 표시","대상 아님",IF(N792="","신청일 확인",IF(NOT(ISNUMBER('종합 현황'!$H$5)),"관찰기준 확인",IF('종합 현황'!$H$5&lt;1,"관찰기준 확인",IF(N792&gt;'종합 현황'!$H$5,"내부 관찰 대상","내부 관찰일 이하")))))</x:f>
        <x:v>대상 아님</x:v>
      </x:c>
      <x:c r="AB792" s="2"/>
    </x:row>
    <x:row r="793" ht="42" customHeight="1">
      <x:c r="A793" s="2" t="str">
        <x:v>d8686cdebcc18c78d665293e</x:v>
      </x:c>
      <x:c r="B793" s="2" t="str">
        <x:v>사업 평가</x:v>
      </x:c>
      <x:c r="C793" s="2" t="str">
        <x:v>국내</x:v>
      </x:c>
      <x:c r="D793" s="7" t="str">
        <x:v>프로스텍 고효율 공기압축기 교체를 통한 온실가스 감축사업</x:v>
      </x:c>
      <x:c r="E793" s="2" t="str">
        <x:v>654</x:v>
      </x:c>
      <x:c r="F793" s="2" t="str">
        <x:v>2021-01-26</x:v>
      </x:c>
      <x:c r="G793" s="2" t="str">
        <x:v>2021</x:v>
      </x:c>
      <x:c r="H793" s="2" t="str">
        <x:v>01</x:v>
      </x:c>
      <x:c r="I793" s="2" t="str">
        <x:v>반려</x:v>
      </x:c>
      <x:c r="J793" s="2" t="str">
        <x:v>반려</x:v>
      </x:c>
      <x:c r="K793" s="2" t="str">
        <x:f>IF(OR(J793="심의승인",J793="반려",J793="반려완료",J793="심의완료"),"종결 표시",IF(OR(J793="기후부협의",J793="문서재제출요청",J793="보류",J793="보완요청",J793="보완완료",J793="평가중",J793="반려요청",J793="평가필요",LEFT(J793,5)="보완요청("),"미종결 표시","상태 확인 필요"))</x:f>
        <x:v>종결 표시</x:v>
      </x:c>
      <x:c r="L793" s="2" t="str">
        <x:v>에코시안_오경환</x:v>
      </x:c>
      <x:c r="M793" s="2"/>
      <x:c r="N793" s="8" t="n">
        <x:f>DATE(2026,10,15)-DATE(2021,1,26)</x:f>
        <x:v>2088</x:v>
      </x:c>
      <x:c r="O793" s="2" t="str">
        <x:v>O(6월추가)</x:v>
      </x:c>
      <x:c r="P793" s="2"/>
      <x:c r="Q793" s="2" t="str">
        <x:v>산업전환_외부사업관리Tool_260707_이너젠 수정_LJY_261013.xlsx</x:v>
      </x:c>
      <x:c r="R793" s="2" t="str">
        <x:v>국내평가</x:v>
      </x:c>
      <x:c r="S793" s="8" t="n">
        <x:v>696</x:v>
      </x:c>
      <x:c r="T793" s="2" t="str">
        <x:v>(6/28)</x:v>
      </x:c>
      <x:c r="U793" s="2" t="str">
        <x:v>2021 배정: (6/28)</x:v>
      </x:c>
      <x:c r="V793" s="2" t="str">
        <x:v>2021-10-25</x:v>
      </x:c>
      <x:c r="W793" s="2" t="str"/>
      <x:c r="X793" s="2" t="str">
        <x:v>종결 근거 보관</x:v>
      </x:c>
      <x:c r="Y793" s="2" t="str">
        <x:v>ad210cd9ec132cfd447541c8984dc53d30aff0f4fb2dc92d254d49275cc55976</x:v>
      </x:c>
      <x:c r="Z793" s="2" t="n">
        <x:f>SUBTOTAL(103,A793)</x:f>
        <x:v>1</x:v>
      </x:c>
      <x:c r="AA793" s="2" t="str">
        <x:f>IF(K793&lt;&gt;"미종결 표시","대상 아님",IF(N793="","신청일 확인",IF(NOT(ISNUMBER('종합 현황'!$H$5)),"관찰기준 확인",IF('종합 현황'!$H$5&lt;1,"관찰기준 확인",IF(N793&gt;'종합 현황'!$H$5,"내부 관찰 대상","내부 관찰일 이하")))))</x:f>
        <x:v>대상 아님</x:v>
      </x:c>
      <x:c r="AB793" s="2"/>
    </x:row>
    <x:row r="794" ht="42" customHeight="1">
      <x:c r="A794" s="2" t="str">
        <x:v>b8423253d95b8a8dabc45fbe</x:v>
      </x:c>
      <x:c r="B794" s="2" t="str">
        <x:v>사업 평가</x:v>
      </x:c>
      <x:c r="C794" s="2" t="str">
        <x:v>국내</x:v>
      </x:c>
      <x:c r="D794" s="7" t="str">
        <x:v>신진TECH 인버터 공기압축기 교체를 통한 온실가스 감축사업</x:v>
      </x:c>
      <x:c r="E794" s="2" t="str">
        <x:v>655</x:v>
      </x:c>
      <x:c r="F794" s="2" t="str">
        <x:v>2021-01-26</x:v>
      </x:c>
      <x:c r="G794" s="2" t="str">
        <x:v>2021</x:v>
      </x:c>
      <x:c r="H794" s="2" t="str">
        <x:v>01</x:v>
      </x:c>
      <x:c r="I794" s="2" t="str">
        <x:v>반려</x:v>
      </x:c>
      <x:c r="J794" s="2" t="str">
        <x:v>반려</x:v>
      </x:c>
      <x:c r="K794" s="2" t="str">
        <x:f>IF(OR(J794="심의승인",J794="반려",J794="반려완료",J794="심의완료"),"종결 표시",IF(OR(J794="기후부협의",J794="문서재제출요청",J794="보류",J794="보완요청",J794="보완완료",J794="평가중",J794="반려요청",J794="평가필요",LEFT(J794,5)="보완요청("),"미종결 표시","상태 확인 필요"))</x:f>
        <x:v>종결 표시</x:v>
      </x:c>
      <x:c r="L794" s="2"/>
      <x:c r="M794" s="2"/>
      <x:c r="N794" s="8" t="n">
        <x:f>DATE(2026,10,15)-DATE(2021,1,26)</x:f>
        <x:v>2088</x:v>
      </x:c>
      <x:c r="O794" s="2"/>
      <x:c r="P794" s="2" t="str">
        <x:v>반려완료(재신청 예정)</x:v>
      </x:c>
      <x:c r="Q794" s="2" t="str">
        <x:v>산업전환_외부사업관리Tool_260707_이너젠 수정_LJY_261013.xlsx</x:v>
      </x:c>
      <x:c r="R794" s="2" t="str">
        <x:v>국내평가</x:v>
      </x:c>
      <x:c r="S794" s="8" t="n">
        <x:v>697</x:v>
      </x:c>
      <x:c r="T794" s="2" t="str">
        <x:v>2021년 처리</x:v>
      </x:c>
      <x:c r="U794" s="2" t="str">
        <x:v>2021 배정: 2021년 처리</x:v>
      </x:c>
      <x:c r="V794" s="2" t="str">
        <x:v>2021-06-30</x:v>
      </x:c>
      <x:c r="W794" s="2" t="str">
        <x:v>담당기관 확인</x:v>
      </x:c>
      <x:c r="X794" s="2" t="str">
        <x:v>원본·배정 기록 확인</x:v>
      </x:c>
      <x:c r="Y794" s="2" t="str">
        <x:v>ad210cd9ec132cfd447541c8984dc53d30aff0f4fb2dc92d254d49275cc55976</x:v>
      </x:c>
      <x:c r="Z794" s="2" t="n">
        <x:f>SUBTOTAL(103,A794)</x:f>
        <x:v>1</x:v>
      </x:c>
      <x:c r="AA794" s="2" t="str">
        <x:f>IF(K794&lt;&gt;"미종결 표시","대상 아님",IF(N794="","신청일 확인",IF(NOT(ISNUMBER('종합 현황'!$H$5)),"관찰기준 확인",IF('종합 현황'!$H$5&lt;1,"관찰기준 확인",IF(N794&gt;'종합 현황'!$H$5,"내부 관찰 대상","내부 관찰일 이하")))))</x:f>
        <x:v>대상 아님</x:v>
      </x:c>
      <x:c r="AB794" s="2"/>
    </x:row>
    <x:row r="795" ht="42" customHeight="1">
      <x:c r="A795" s="2" t="str">
        <x:v>5a322c3ff2eb53e684a16bc8</x:v>
      </x:c>
      <x:c r="B795" s="2" t="str">
        <x:v>사업 평가</x:v>
      </x:c>
      <x:c r="C795" s="2" t="str">
        <x:v>국내</x:v>
      </x:c>
      <x:c r="D795" s="7" t="str">
        <x:v>신천기업 인버터 공기압축기 교체를 통한 온실가스 감축사업</x:v>
      </x:c>
      <x:c r="E795" s="2" t="str">
        <x:v>656</x:v>
      </x:c>
      <x:c r="F795" s="2" t="str">
        <x:v>2021-01-26</x:v>
      </x:c>
      <x:c r="G795" s="2" t="str">
        <x:v>2021</x:v>
      </x:c>
      <x:c r="H795" s="2" t="str">
        <x:v>01</x:v>
      </x:c>
      <x:c r="I795" s="2" t="str">
        <x:v>반려</x:v>
      </x:c>
      <x:c r="J795" s="2" t="str">
        <x:v>반려</x:v>
      </x:c>
      <x:c r="K795" s="2" t="str">
        <x:f>IF(OR(J795="심의승인",J795="반려",J795="반려완료",J795="심의완료"),"종결 표시",IF(OR(J795="기후부협의",J795="문서재제출요청",J795="보류",J795="보완요청",J795="보완완료",J795="평가중",J795="반려요청",J795="평가필요",LEFT(J795,5)="보완요청("),"미종결 표시","상태 확인 필요"))</x:f>
        <x:v>종결 표시</x:v>
      </x:c>
      <x:c r="L795" s="2"/>
      <x:c r="M795" s="2"/>
      <x:c r="N795" s="8" t="n">
        <x:f>DATE(2026,10,15)-DATE(2021,1,26)</x:f>
        <x:v>2088</x:v>
      </x:c>
      <x:c r="O795" s="2"/>
      <x:c r="P795" s="2" t="str">
        <x:v>반려완료(재신청 예정)</x:v>
      </x:c>
      <x:c r="Q795" s="2" t="str">
        <x:v>산업전환_외부사업관리Tool_260707_이너젠 수정_LJY_261013.xlsx</x:v>
      </x:c>
      <x:c r="R795" s="2" t="str">
        <x:v>국내평가</x:v>
      </x:c>
      <x:c r="S795" s="8" t="n">
        <x:v>698</x:v>
      </x:c>
      <x:c r="T795" s="2" t="str">
        <x:v>2021년 처리</x:v>
      </x:c>
      <x:c r="U795" s="2" t="str">
        <x:v>2021 배정: 2021년 처리</x:v>
      </x:c>
      <x:c r="V795" s="2" t="str">
        <x:v>2021-06-30</x:v>
      </x:c>
      <x:c r="W795" s="2" t="str">
        <x:v>담당기관 확인</x:v>
      </x:c>
      <x:c r="X795" s="2" t="str">
        <x:v>원본·배정 기록 확인</x:v>
      </x:c>
      <x:c r="Y795" s="2" t="str">
        <x:v>ad210cd9ec132cfd447541c8984dc53d30aff0f4fb2dc92d254d49275cc55976</x:v>
      </x:c>
      <x:c r="Z795" s="2" t="n">
        <x:f>SUBTOTAL(103,A795)</x:f>
        <x:v>1</x:v>
      </x:c>
      <x:c r="AA795" s="2" t="str">
        <x:f>IF(K795&lt;&gt;"미종결 표시","대상 아님",IF(N795="","신청일 확인",IF(NOT(ISNUMBER('종합 현황'!$H$5)),"관찰기준 확인",IF('종합 현황'!$H$5&lt;1,"관찰기준 확인",IF(N795&gt;'종합 현황'!$H$5,"내부 관찰 대상","내부 관찰일 이하")))))</x:f>
        <x:v>대상 아님</x:v>
      </x:c>
      <x:c r="AB795" s="2"/>
    </x:row>
    <x:row r="796" ht="42" customHeight="1">
      <x:c r="A796" s="2" t="str">
        <x:v>a0e9aa9adb3416d24b8af4a3</x:v>
      </x:c>
      <x:c r="B796" s="2" t="str">
        <x:v>사업 평가</x:v>
      </x:c>
      <x:c r="C796" s="2" t="str">
        <x:v>국내</x:v>
      </x:c>
      <x:c r="D796" s="7" t="str">
        <x:v>주식회사 테흥테크 인버터 공기압축기 교체를 통한 온실가스 감축사업</x:v>
      </x:c>
      <x:c r="E796" s="2" t="str">
        <x:v>657</x:v>
      </x:c>
      <x:c r="F796" s="2" t="str">
        <x:v>2021-01-26</x:v>
      </x:c>
      <x:c r="G796" s="2" t="str">
        <x:v>2021</x:v>
      </x:c>
      <x:c r="H796" s="2" t="str">
        <x:v>01</x:v>
      </x:c>
      <x:c r="I796" s="2" t="str">
        <x:v>반려</x:v>
      </x:c>
      <x:c r="J796" s="2" t="str">
        <x:v>반려</x:v>
      </x:c>
      <x:c r="K796" s="2" t="str">
        <x:f>IF(OR(J796="심의승인",J796="반려",J796="반려완료",J796="심의완료"),"종결 표시",IF(OR(J796="기후부협의",J796="문서재제출요청",J796="보류",J796="보완요청",J796="보완완료",J796="평가중",J796="반려요청",J796="평가필요",LEFT(J796,5)="보완요청("),"미종결 표시","상태 확인 필요"))</x:f>
        <x:v>종결 표시</x:v>
      </x:c>
      <x:c r="L796" s="2"/>
      <x:c r="M796" s="2"/>
      <x:c r="N796" s="8" t="n">
        <x:f>DATE(2026,10,15)-DATE(2021,1,26)</x:f>
        <x:v>2088</x:v>
      </x:c>
      <x:c r="O796" s="2"/>
      <x:c r="P796" s="2" t="str">
        <x:v>반려완료(재신청 예정)</x:v>
      </x:c>
      <x:c r="Q796" s="2" t="str">
        <x:v>산업전환_외부사업관리Tool_260707_이너젠 수정_LJY_261013.xlsx</x:v>
      </x:c>
      <x:c r="R796" s="2" t="str">
        <x:v>국내평가</x:v>
      </x:c>
      <x:c r="S796" s="8" t="n">
        <x:v>699</x:v>
      </x:c>
      <x:c r="T796" s="2" t="str">
        <x:v>2021년 처리</x:v>
      </x:c>
      <x:c r="U796" s="2" t="str">
        <x:v>2021 배정: 2021년 처리</x:v>
      </x:c>
      <x:c r="V796" s="2" t="str">
        <x:v>2021-06-30</x:v>
      </x:c>
      <x:c r="W796" s="2" t="str">
        <x:v>담당기관 확인</x:v>
      </x:c>
      <x:c r="X796" s="2" t="str">
        <x:v>원본·배정 기록 확인</x:v>
      </x:c>
      <x:c r="Y796" s="2" t="str">
        <x:v>ad210cd9ec132cfd447541c8984dc53d30aff0f4fb2dc92d254d49275cc55976</x:v>
      </x:c>
      <x:c r="Z796" s="2" t="n">
        <x:f>SUBTOTAL(103,A796)</x:f>
        <x:v>1</x:v>
      </x:c>
      <x:c r="AA796" s="2" t="str">
        <x:f>IF(K796&lt;&gt;"미종결 표시","대상 아님",IF(N796="","신청일 확인",IF(NOT(ISNUMBER('종합 현황'!$H$5)),"관찰기준 확인",IF('종합 현황'!$H$5&lt;1,"관찰기준 확인",IF(N796&gt;'종합 현황'!$H$5,"내부 관찰 대상","내부 관찰일 이하")))))</x:f>
        <x:v>대상 아님</x:v>
      </x:c>
      <x:c r="AB796" s="2"/>
    </x:row>
    <x:row r="797" ht="42" customHeight="1">
      <x:c r="A797" s="2" t="str">
        <x:v>a4682c54ca5c1e7ceea411d2</x:v>
      </x:c>
      <x:c r="B797" s="2" t="str">
        <x:v>사업 평가</x:v>
      </x:c>
      <x:c r="C797" s="2" t="str">
        <x:v>국내</x:v>
      </x:c>
      <x:c r="D797" s="7" t="str">
        <x:v>백두엔씨디 고효율설비 교체 (스크류 공기압축기 → 인버터형 공기압축기) 사업</x:v>
      </x:c>
      <x:c r="E797" s="2" t="str">
        <x:v>658</x:v>
      </x:c>
      <x:c r="F797" s="2" t="str">
        <x:v>2021-12-15</x:v>
      </x:c>
      <x:c r="G797" s="2" t="str">
        <x:v>2021</x:v>
      </x:c>
      <x:c r="H797" s="2" t="str">
        <x:v>12</x:v>
      </x:c>
      <x:c r="I797" s="2" t="str">
        <x:v>보완2차_보완중</x:v>
      </x:c>
      <x:c r="J797" s="2" t="str">
        <x:v>보완요청</x:v>
      </x:c>
      <x:c r="K797" s="2" t="str">
        <x:f>IF(OR(J797="심의승인",J797="반려",J797="반려완료",J797="심의완료"),"종결 표시",IF(OR(J797="기후부협의",J797="문서재제출요청",J797="보류",J797="보완요청",J797="보완완료",J797="평가중",J797="반려요청",J797="평가필요",LEFT(J797,5)="보완요청("),"미종결 표시","상태 확인 필요"))</x:f>
        <x:v>미종결 표시</x:v>
      </x:c>
      <x:c r="L797" s="2" t="str">
        <x:v>에코시안_정인혜</x:v>
      </x:c>
      <x:c r="M797" s="2" t="n">
        <x:v>2</x:v>
      </x:c>
      <x:c r="N797" s="8" t="n">
        <x:f>DATE(2026,10,15)-DATE(2021,12,15)</x:f>
        <x:v>1765</x:v>
      </x:c>
      <x:c r="O797" s="2" t="str">
        <x:v>보류</x:v>
      </x:c>
      <x:c r="P797" s="2"/>
      <x:c r="Q797" s="2" t="str">
        <x:v>산업전환_외부사업관리Tool_260707_이너젠 수정_LJY_261013.xlsx</x:v>
      </x:c>
      <x:c r="R797" s="2" t="str">
        <x:v>국내평가</x:v>
      </x:c>
      <x:c r="S797" s="8" t="n">
        <x:v>700</x:v>
      </x:c>
      <x:c r="T797" s="2" t="str">
        <x:v>(1/18),(4/19)</x:v>
      </x:c>
      <x:c r="U797" s="2" t="str">
        <x:v>2022 배정: (1/18),(4/19)</x:v>
      </x:c>
      <x:c r="V797" s="2" t="str">
        <x:v>2022-05-23</x:v>
      </x:c>
      <x:c r="W797" s="2" t="str"/>
      <x:c r="X797" s="2" t="str">
        <x:v>보완 회신 일정 확인</x:v>
      </x:c>
      <x:c r="Y797" s="2" t="str">
        <x:v>ad210cd9ec132cfd447541c8984dc53d30aff0f4fb2dc92d254d49275cc55976</x:v>
      </x:c>
      <x:c r="Z797" s="2" t="n">
        <x:f>SUBTOTAL(103,A797)</x:f>
        <x:v>1</x:v>
      </x:c>
      <x:c r="AA797" s="2" t="str">
        <x:f>IF(K797&lt;&gt;"미종결 표시","대상 아님",IF(N797="","신청일 확인",IF(NOT(ISNUMBER('종합 현황'!$H$5)),"관찰기준 확인",IF('종합 현황'!$H$5&lt;1,"관찰기준 확인",IF(N797&gt;'종합 현황'!$H$5,"내부 관찰 대상","내부 관찰일 이하")))))</x:f>
        <x:v>내부 관찰 대상</x:v>
      </x:c>
      <x:c r="AB797" s="2"/>
    </x:row>
    <x:row r="798" ht="42" customHeight="1">
      <x:c r="A798" s="2" t="str">
        <x:v>6305b50881d260a1dae97315</x:v>
      </x:c>
      <x:c r="B798" s="2" t="str">
        <x:v>사업 평가</x:v>
      </x:c>
      <x:c r="C798" s="2" t="str">
        <x:v>국내</x:v>
      </x:c>
      <x:c r="D798" s="7" t="str">
        <x:v>대성텍스 고효율설비 교체 (스크류 공기압축기 → 인버터형 공기압축기) 사업</x:v>
      </x:c>
      <x:c r="E798" s="2" t="str">
        <x:v>659</x:v>
      </x:c>
      <x:c r="F798" s="2" t="str">
        <x:v>2021-12-15</x:v>
      </x:c>
      <x:c r="G798" s="2" t="str">
        <x:v>2021</x:v>
      </x:c>
      <x:c r="H798" s="2" t="str">
        <x:v>12</x:v>
      </x:c>
      <x:c r="I798" s="2" t="str">
        <x:v>보완2차_보완중</x:v>
      </x:c>
      <x:c r="J798" s="2" t="str">
        <x:v>보완요청</x:v>
      </x:c>
      <x:c r="K798" s="2" t="str">
        <x:f>IF(OR(J798="심의승인",J798="반려",J798="반려완료",J798="심의완료"),"종결 표시",IF(OR(J798="기후부협의",J798="문서재제출요청",J798="보류",J798="보완요청",J798="보완완료",J798="평가중",J798="반려요청",J798="평가필요",LEFT(J798,5)="보완요청("),"미종결 표시","상태 확인 필요"))</x:f>
        <x:v>미종결 표시</x:v>
      </x:c>
      <x:c r="L798" s="2" t="str">
        <x:v>에코시안_정다윤</x:v>
      </x:c>
      <x:c r="M798" s="2" t="n">
        <x:v>2</x:v>
      </x:c>
      <x:c r="N798" s="8" t="n">
        <x:f>DATE(2026,10,15)-DATE(2021,12,15)</x:f>
        <x:v>1765</x:v>
      </x:c>
      <x:c r="O798" s="2" t="str">
        <x:v>보류</x:v>
      </x:c>
      <x:c r="P798" s="2"/>
      <x:c r="Q798" s="2" t="str">
        <x:v>산업전환_외부사업관리Tool_260707_이너젠 수정_LJY_261013.xlsx</x:v>
      </x:c>
      <x:c r="R798" s="2" t="str">
        <x:v>국내평가</x:v>
      </x:c>
      <x:c r="S798" s="8" t="n">
        <x:v>701</x:v>
      </x:c>
      <x:c r="T798" s="2" t="str">
        <x:v>(1/18),(4/19)</x:v>
      </x:c>
      <x:c r="U798" s="2" t="str">
        <x:v>2022 배정: (1/18),(4/19)</x:v>
      </x:c>
      <x:c r="V798" s="2" t="str">
        <x:v>2022-05-23</x:v>
      </x:c>
      <x:c r="W798" s="2" t="str"/>
      <x:c r="X798" s="2" t="str">
        <x:v>보완 회신 일정 확인</x:v>
      </x:c>
      <x:c r="Y798" s="2" t="str">
        <x:v>ad210cd9ec132cfd447541c8984dc53d30aff0f4fb2dc92d254d49275cc55976</x:v>
      </x:c>
      <x:c r="Z798" s="2" t="n">
        <x:f>SUBTOTAL(103,A798)</x:f>
        <x:v>1</x:v>
      </x:c>
      <x:c r="AA798" s="2" t="str">
        <x:f>IF(K798&lt;&gt;"미종결 표시","대상 아님",IF(N798="","신청일 확인",IF(NOT(ISNUMBER('종합 현황'!$H$5)),"관찰기준 확인",IF('종합 현황'!$H$5&lt;1,"관찰기준 확인",IF(N798&gt;'종합 현황'!$H$5,"내부 관찰 대상","내부 관찰일 이하")))))</x:f>
        <x:v>내부 관찰 대상</x:v>
      </x:c>
      <x:c r="AB798" s="2"/>
    </x:row>
    <x:row r="799" ht="42" customHeight="1">
      <x:c r="A799" s="2" t="str">
        <x:v>23c37337e6f9102a560961c5</x:v>
      </x:c>
      <x:c r="B799" s="2" t="str">
        <x:v>사업 평가</x:v>
      </x:c>
      <x:c r="C799" s="2" t="str">
        <x:v>국내</x:v>
      </x:c>
      <x:c r="D799" s="7" t="str">
        <x:v>안전테크 고효율설비 교체(왕복동/스크류 공기압축기 → 인버터형 공기압축기) 사업</x:v>
      </x:c>
      <x:c r="E799" s="2" t="str">
        <x:v>660</x:v>
      </x:c>
      <x:c r="F799" s="2" t="str">
        <x:v>2021-12-15</x:v>
      </x:c>
      <x:c r="G799" s="2" t="str">
        <x:v>2021</x:v>
      </x:c>
      <x:c r="H799" s="2" t="str">
        <x:v>12</x:v>
      </x:c>
      <x:c r="I799" s="2" t="str">
        <x:v>보완2차_보완중</x:v>
      </x:c>
      <x:c r="J799" s="2" t="str">
        <x:v>보완요청</x:v>
      </x:c>
      <x:c r="K799" s="2" t="str">
        <x:f>IF(OR(J799="심의승인",J799="반려",J799="반려완료",J799="심의완료"),"종결 표시",IF(OR(J799="기후부협의",J799="문서재제출요청",J799="보류",J799="보완요청",J799="보완완료",J799="평가중",J799="반려요청",J799="평가필요",LEFT(J799,5)="보완요청("),"미종결 표시","상태 확인 필요"))</x:f>
        <x:v>미종결 표시</x:v>
      </x:c>
      <x:c r="L799" s="2" t="str">
        <x:v>에코시안_정다윤</x:v>
      </x:c>
      <x:c r="M799" s="2" t="n">
        <x:v>2</x:v>
      </x:c>
      <x:c r="N799" s="8" t="n">
        <x:f>DATE(2026,10,15)-DATE(2021,12,15)</x:f>
        <x:v>1765</x:v>
      </x:c>
      <x:c r="O799" s="2" t="str">
        <x:v>보류</x:v>
      </x:c>
      <x:c r="P799" s="2"/>
      <x:c r="Q799" s="2" t="str">
        <x:v>산업전환_외부사업관리Tool_260707_이너젠 수정_LJY_261013.xlsx</x:v>
      </x:c>
      <x:c r="R799" s="2" t="str">
        <x:v>국내평가</x:v>
      </x:c>
      <x:c r="S799" s="8" t="n">
        <x:v>702</x:v>
      </x:c>
      <x:c r="T799" s="2" t="str">
        <x:v>(1/18),(4/19)</x:v>
      </x:c>
      <x:c r="U799" s="2" t="str">
        <x:v>2022 배정: (1/18),(4/19)</x:v>
      </x:c>
      <x:c r="V799" s="2" t="str">
        <x:v>2022-05-23</x:v>
      </x:c>
      <x:c r="W799" s="2" t="str"/>
      <x:c r="X799" s="2" t="str">
        <x:v>보완 회신 일정 확인</x:v>
      </x:c>
      <x:c r="Y799" s="2" t="str">
        <x:v>ad210cd9ec132cfd447541c8984dc53d30aff0f4fb2dc92d254d49275cc55976</x:v>
      </x:c>
      <x:c r="Z799" s="2" t="n">
        <x:f>SUBTOTAL(103,A799)</x:f>
        <x:v>1</x:v>
      </x:c>
      <x:c r="AA799" s="2" t="str">
        <x:f>IF(K799&lt;&gt;"미종결 표시","대상 아님",IF(N799="","신청일 확인",IF(NOT(ISNUMBER('종합 현황'!$H$5)),"관찰기준 확인",IF('종합 현황'!$H$5&lt;1,"관찰기준 확인",IF(N799&gt;'종합 현황'!$H$5,"내부 관찰 대상","내부 관찰일 이하")))))</x:f>
        <x:v>내부 관찰 대상</x:v>
      </x:c>
      <x:c r="AB799" s="2"/>
    </x:row>
    <x:row r="800" ht="42" customHeight="1">
      <x:c r="A800" s="2" t="str">
        <x:v>b9650eb6fd193037c792c6ef</x:v>
      </x:c>
      <x:c r="B800" s="2" t="str">
        <x:v>사업 평가</x:v>
      </x:c>
      <x:c r="C800" s="2" t="str">
        <x:v>국내</x:v>
      </x:c>
      <x:c r="D800" s="7" t="str">
        <x:v>국내 (극)소규모 자가사용 태양광 발전 프로그램 감축사업</x:v>
      </x:c>
      <x:c r="E800" s="2" t="str">
        <x:v>661</x:v>
      </x:c>
      <x:c r="F800" s="2" t="str">
        <x:v>2021-05-04</x:v>
      </x:c>
      <x:c r="G800" s="2" t="str">
        <x:v>2021</x:v>
      </x:c>
      <x:c r="H800" s="2" t="str">
        <x:v>05</x:v>
      </x:c>
      <x:c r="I800" s="2" t="str">
        <x:v>반려</x:v>
      </x:c>
      <x:c r="J800" s="2" t="str">
        <x:v>반려</x:v>
      </x:c>
      <x:c r="K800" s="2" t="str">
        <x:f>IF(OR(J800="심의승인",J800="반려",J800="반려완료",J800="심의완료"),"종결 표시",IF(OR(J800="기후부협의",J800="문서재제출요청",J800="보류",J800="보완요청",J800="보완완료",J800="평가중",J800="반려요청",J800="평가필요",LEFT(J800,5)="보완요청("),"미종결 표시","상태 확인 필요"))</x:f>
        <x:v>종결 표시</x:v>
      </x:c>
      <x:c r="L800" s="2" t="str">
        <x:v>에코시안_권송화,정다윤</x:v>
      </x:c>
      <x:c r="M800" s="2"/>
      <x:c r="N800" s="8" t="n">
        <x:f>DATE(2026,10,15)-DATE(2021,5,4)</x:f>
        <x:v>1990</x:v>
      </x:c>
      <x:c r="O800" s="2"/>
      <x:c r="P800" s="2"/>
      <x:c r="Q800" s="2" t="str">
        <x:v>산업전환_외부사업관리Tool_260707_이너젠 수정_LJY_261013.xlsx</x:v>
      </x:c>
      <x:c r="R800" s="2" t="str">
        <x:v>국내평가</x:v>
      </x:c>
      <x:c r="S800" s="8" t="n">
        <x:v>703</x:v>
      </x:c>
      <x:c r="T800" s="2" t="str">
        <x:v>(5/7),(6/18),(7/12),(11/2),(12/10)</x:v>
      </x:c>
      <x:c r="U800" s="2" t="str">
        <x:v>2021 배정: (5/7),(6/18),(7/12),(11/2),(12/10)</x:v>
      </x:c>
      <x:c r="V800" s="2" t="str">
        <x:v>2022-02-15</x:v>
      </x:c>
      <x:c r="W800" s="2" t="str"/>
      <x:c r="X800" s="2" t="str">
        <x:v>종결 근거 보관</x:v>
      </x:c>
      <x:c r="Y800" s="2" t="str">
        <x:v>ad210cd9ec132cfd447541c8984dc53d30aff0f4fb2dc92d254d49275cc55976</x:v>
      </x:c>
      <x:c r="Z800" s="2" t="n">
        <x:f>SUBTOTAL(103,A800)</x:f>
        <x:v>1</x:v>
      </x:c>
      <x:c r="AA800" s="2" t="str">
        <x:f>IF(K800&lt;&gt;"미종결 표시","대상 아님",IF(N800="","신청일 확인",IF(NOT(ISNUMBER('종합 현황'!$H$5)),"관찰기준 확인",IF('종합 현황'!$H$5&lt;1,"관찰기준 확인",IF(N800&gt;'종합 현황'!$H$5,"내부 관찰 대상","내부 관찰일 이하")))))</x:f>
        <x:v>대상 아님</x:v>
      </x:c>
      <x:c r="AB800" s="2"/>
    </x:row>
    <x:row r="801" ht="42" customHeight="1">
      <x:c r="A801" s="2" t="str">
        <x:v>7c7aa8efbb10e792be5925c4</x:v>
      </x:c>
      <x:c r="B801" s="2" t="str">
        <x:v>사업 평가</x:v>
      </x:c>
      <x:c r="C801" s="2" t="str">
        <x:v>국내</x:v>
      </x:c>
      <x:c r="D801" s="7" t="str">
        <x:v>두광금속 고효율설비 교체 (스크류 공기압축기 → 인버터형 공기압축기) 사업</x:v>
      </x:c>
      <x:c r="E801" s="2" t="str">
        <x:v>662</x:v>
      </x:c>
      <x:c r="F801" s="2" t="str">
        <x:v>2021-12-21</x:v>
      </x:c>
      <x:c r="G801" s="2" t="str">
        <x:v>2021</x:v>
      </x:c>
      <x:c r="H801" s="2" t="str">
        <x:v>12</x:v>
      </x:c>
      <x:c r="I801" s="2" t="str">
        <x:v>보완2차_보완중</x:v>
      </x:c>
      <x:c r="J801" s="2" t="str">
        <x:v>보완요청</x:v>
      </x:c>
      <x:c r="K801" s="2" t="str">
        <x:f>IF(OR(J801="심의승인",J801="반려",J801="반려완료",J801="심의완료"),"종결 표시",IF(OR(J801="기후부협의",J801="문서재제출요청",J801="보류",J801="보완요청",J801="보완완료",J801="평가중",J801="반려요청",J801="평가필요",LEFT(J801,5)="보완요청("),"미종결 표시","상태 확인 필요"))</x:f>
        <x:v>미종결 표시</x:v>
      </x:c>
      <x:c r="L801" s="2" t="str">
        <x:v>에코시안_정다윤</x:v>
      </x:c>
      <x:c r="M801" s="2" t="n">
        <x:v>2</x:v>
      </x:c>
      <x:c r="N801" s="8" t="n">
        <x:f>DATE(2026,10,15)-DATE(2021,12,21)</x:f>
        <x:v>1759</x:v>
      </x:c>
      <x:c r="O801" s="2" t="str">
        <x:v>보류</x:v>
      </x:c>
      <x:c r="P801" s="2"/>
      <x:c r="Q801" s="2" t="str">
        <x:v>산업전환_외부사업관리Tool_260707_이너젠 수정_LJY_261013.xlsx</x:v>
      </x:c>
      <x:c r="R801" s="2" t="str">
        <x:v>국내평가</x:v>
      </x:c>
      <x:c r="S801" s="8" t="n">
        <x:v>704</x:v>
      </x:c>
      <x:c r="T801" s="2" t="str">
        <x:v>(1/18),(4/19)</x:v>
      </x:c>
      <x:c r="U801" s="2" t="str">
        <x:v>2022 배정: (1/18),(4/19)</x:v>
      </x:c>
      <x:c r="V801" s="2" t="str">
        <x:v>2022-05-23</x:v>
      </x:c>
      <x:c r="W801" s="2" t="str"/>
      <x:c r="X801" s="2" t="str">
        <x:v>보완 회신 일정 확인</x:v>
      </x:c>
      <x:c r="Y801" s="2" t="str">
        <x:v>ad210cd9ec132cfd447541c8984dc53d30aff0f4fb2dc92d254d49275cc55976</x:v>
      </x:c>
      <x:c r="Z801" s="2" t="n">
        <x:f>SUBTOTAL(103,A801)</x:f>
        <x:v>1</x:v>
      </x:c>
      <x:c r="AA801" s="2" t="str">
        <x:f>IF(K801&lt;&gt;"미종결 표시","대상 아님",IF(N801="","신청일 확인",IF(NOT(ISNUMBER('종합 현황'!$H$5)),"관찰기준 확인",IF('종합 현황'!$H$5&lt;1,"관찰기준 확인",IF(N801&gt;'종합 현황'!$H$5,"내부 관찰 대상","내부 관찰일 이하")))))</x:f>
        <x:v>내부 관찰 대상</x:v>
      </x:c>
      <x:c r="AB801" s="2"/>
    </x:row>
    <x:row r="802" ht="42" customHeight="1">
      <x:c r="A802" s="2" t="str">
        <x:v>c3d24cf77366722bc508fe4f</x:v>
      </x:c>
      <x:c r="B802" s="2" t="str">
        <x:v>사업 평가</x:v>
      </x:c>
      <x:c r="C802" s="2" t="str">
        <x:v>국내</x:v>
      </x:c>
      <x:c r="D802" s="7" t="str">
        <x:v>주영엔지니어링 고효율설비 교체 (스크류 공기압축기 → 인버터형 공기압축기) 사업</x:v>
      </x:c>
      <x:c r="E802" s="2" t="str">
        <x:v>663</x:v>
      </x:c>
      <x:c r="F802" s="2" t="str">
        <x:v>2021-12-21</x:v>
      </x:c>
      <x:c r="G802" s="2" t="str">
        <x:v>2021</x:v>
      </x:c>
      <x:c r="H802" s="2" t="str">
        <x:v>12</x:v>
      </x:c>
      <x:c r="I802" s="2" t="str">
        <x:v>보완2차_보완중</x:v>
      </x:c>
      <x:c r="J802" s="2" t="str">
        <x:v>보완요청</x:v>
      </x:c>
      <x:c r="K802" s="2" t="str">
        <x:f>IF(OR(J802="심의승인",J802="반려",J802="반려완료",J802="심의완료"),"종결 표시",IF(OR(J802="기후부협의",J802="문서재제출요청",J802="보류",J802="보완요청",J802="보완완료",J802="평가중",J802="반려요청",J802="평가필요",LEFT(J802,5)="보완요청("),"미종결 표시","상태 확인 필요"))</x:f>
        <x:v>미종결 표시</x:v>
      </x:c>
      <x:c r="L802" s="2" t="str">
        <x:v>에코시안_정다윤</x:v>
      </x:c>
      <x:c r="M802" s="2" t="n">
        <x:v>2</x:v>
      </x:c>
      <x:c r="N802" s="8" t="n">
        <x:f>DATE(2026,10,15)-DATE(2021,12,21)</x:f>
        <x:v>1759</x:v>
      </x:c>
      <x:c r="O802" s="2" t="str">
        <x:v>보류</x:v>
      </x:c>
      <x:c r="P802" s="2"/>
      <x:c r="Q802" s="2" t="str">
        <x:v>산업전환_외부사업관리Tool_260707_이너젠 수정_LJY_261013.xlsx</x:v>
      </x:c>
      <x:c r="R802" s="2" t="str">
        <x:v>국내평가</x:v>
      </x:c>
      <x:c r="S802" s="8" t="n">
        <x:v>705</x:v>
      </x:c>
      <x:c r="T802" s="2" t="str">
        <x:v>(1/18),(4/19)</x:v>
      </x:c>
      <x:c r="U802" s="2" t="str">
        <x:v>2022 배정: (1/18),(4/19)</x:v>
      </x:c>
      <x:c r="V802" s="2" t="str">
        <x:v>2022-05-23</x:v>
      </x:c>
      <x:c r="W802" s="2" t="str"/>
      <x:c r="X802" s="2" t="str">
        <x:v>보완 회신 일정 확인</x:v>
      </x:c>
      <x:c r="Y802" s="2" t="str">
        <x:v>ad210cd9ec132cfd447541c8984dc53d30aff0f4fb2dc92d254d49275cc55976</x:v>
      </x:c>
      <x:c r="Z802" s="2" t="n">
        <x:f>SUBTOTAL(103,A802)</x:f>
        <x:v>1</x:v>
      </x:c>
      <x:c r="AA802" s="2" t="str">
        <x:f>IF(K802&lt;&gt;"미종결 표시","대상 아님",IF(N802="","신청일 확인",IF(NOT(ISNUMBER('종합 현황'!$H$5)),"관찰기준 확인",IF('종합 현황'!$H$5&lt;1,"관찰기준 확인",IF(N802&gt;'종합 현황'!$H$5,"내부 관찰 대상","내부 관찰일 이하")))))</x:f>
        <x:v>내부 관찰 대상</x:v>
      </x:c>
      <x:c r="AB802" s="2"/>
    </x:row>
    <x:row r="803" ht="42" customHeight="1">
      <x:c r="A803" s="2" t="str">
        <x:v>c189e70d9f0a5eda95c4de71</x:v>
      </x:c>
      <x:c r="B803" s="2" t="str">
        <x:v>사업 평가</x:v>
      </x:c>
      <x:c r="C803" s="2" t="str">
        <x:v>국내</x:v>
      </x:c>
      <x:c r="D803" s="7" t="str">
        <x:v>성광금속주식회사 인버터 공기압축기 고효율설비 교체사업</x:v>
      </x:c>
      <x:c r="E803" s="2" t="str">
        <x:v>664</x:v>
      </x:c>
      <x:c r="F803" s="2" t="str">
        <x:v>2020-10-08</x:v>
      </x:c>
      <x:c r="G803" s="2" t="str">
        <x:v>2020</x:v>
      </x:c>
      <x:c r="H803" s="2" t="str">
        <x:v>10</x:v>
      </x:c>
      <x:c r="I803" s="2" t="str">
        <x:v>승인</x:v>
      </x:c>
      <x:c r="J803" s="2" t="str">
        <x:v>심의승인</x:v>
      </x:c>
      <x:c r="K803" s="2" t="str">
        <x:f>IF(OR(J803="심의승인",J803="반려",J803="반려완료",J803="심의완료"),"종결 표시",IF(OR(J803="기후부협의",J803="문서재제출요청",J803="보류",J803="보완요청",J803="보완완료",J803="평가중",J803="반려요청",J803="평가필요",LEFT(J803,5)="보완요청("),"미종결 표시","상태 확인 필요"))</x:f>
        <x:v>종결 표시</x:v>
      </x:c>
      <x:c r="L803" s="2"/>
      <x:c r="M803" s="2"/>
      <x:c r="N803" s="8" t="n">
        <x:f>DATE(2026,10,15)-DATE(2020,10,8)</x:f>
        <x:v>2198</x:v>
      </x:c>
      <x:c r="O803" s="2" t="str">
        <x:v>O(5월)</x:v>
      </x:c>
      <x:c r="P803" s="2"/>
      <x:c r="Q803" s="2" t="str">
        <x:v>산업전환_외부사업관리Tool_260707_이너젠 수정_LJY_261013.xlsx</x:v>
      </x:c>
      <x:c r="R803" s="2" t="str">
        <x:v>국내평가</x:v>
      </x:c>
      <x:c r="S803" s="8" t="n">
        <x:v>706</x:v>
      </x:c>
      <x:c r="T803" s="2" t="str">
        <x:v>2021년 처리</x:v>
      </x:c>
      <x:c r="U803" s="2" t="str">
        <x:v>2021 배정: 2021년 처리</x:v>
      </x:c>
      <x:c r="V803" s="2" t="str">
        <x:v>2021-09-29</x:v>
      </x:c>
      <x:c r="W803" s="2" t="str">
        <x:v>담당기관 확인</x:v>
      </x:c>
      <x:c r="X803" s="2" t="str">
        <x:v>원본·배정 기록 확인</x:v>
      </x:c>
      <x:c r="Y803" s="2" t="str">
        <x:v>ad210cd9ec132cfd447541c8984dc53d30aff0f4fb2dc92d254d49275cc55976</x:v>
      </x:c>
      <x:c r="Z803" s="2" t="n">
        <x:f>SUBTOTAL(103,A803)</x:f>
        <x:v>1</x:v>
      </x:c>
      <x:c r="AA803" s="2" t="str">
        <x:f>IF(K803&lt;&gt;"미종결 표시","대상 아님",IF(N803="","신청일 확인",IF(NOT(ISNUMBER('종합 현황'!$H$5)),"관찰기준 확인",IF('종합 현황'!$H$5&lt;1,"관찰기준 확인",IF(N803&gt;'종합 현황'!$H$5,"내부 관찰 대상","내부 관찰일 이하")))))</x:f>
        <x:v>대상 아님</x:v>
      </x:c>
      <x:c r="AB803" s="2"/>
    </x:row>
    <x:row r="804" ht="42" customHeight="1">
      <x:c r="A804" s="2" t="str">
        <x:v>fb985a182ac364d63a847cbe</x:v>
      </x:c>
      <x:c r="B804" s="2" t="str">
        <x:v>사업 평가</x:v>
      </x:c>
      <x:c r="C804" s="2" t="str">
        <x:v>국내</x:v>
      </x:c>
      <x:c r="D804" s="7" t="str">
        <x:v>주식회사대영엠텍 인버터 공기압축기 고효율설비 교체 사업</x:v>
      </x:c>
      <x:c r="E804" s="2" t="str">
        <x:v>665</x:v>
      </x:c>
      <x:c r="F804" s="2" t="str">
        <x:v>2020-10-23</x:v>
      </x:c>
      <x:c r="G804" s="2" t="str">
        <x:v>2020</x:v>
      </x:c>
      <x:c r="H804" s="2" t="str">
        <x:v>10</x:v>
      </x:c>
      <x:c r="I804" s="2" t="str">
        <x:v>승인</x:v>
      </x:c>
      <x:c r="J804" s="2" t="str">
        <x:v>심의승인</x:v>
      </x:c>
      <x:c r="K804" s="2" t="str">
        <x:f>IF(OR(J804="심의승인",J804="반려",J804="반려완료",J804="심의완료"),"종결 표시",IF(OR(J804="기후부협의",J804="문서재제출요청",J804="보류",J804="보완요청",J804="보완완료",J804="평가중",J804="반려요청",J804="평가필요",LEFT(J804,5)="보완요청("),"미종결 표시","상태 확인 필요"))</x:f>
        <x:v>종결 표시</x:v>
      </x:c>
      <x:c r="L804" s="2"/>
      <x:c r="M804" s="2"/>
      <x:c r="N804" s="8" t="n">
        <x:f>DATE(2026,10,15)-DATE(2020,10,23)</x:f>
        <x:v>2183</x:v>
      </x:c>
      <x:c r="O804" s="2" t="str">
        <x:v>O(5월)</x:v>
      </x:c>
      <x:c r="P804" s="2"/>
      <x:c r="Q804" s="2" t="str">
        <x:v>산업전환_외부사업관리Tool_260707_이너젠 수정_LJY_261013.xlsx</x:v>
      </x:c>
      <x:c r="R804" s="2" t="str">
        <x:v>국내평가</x:v>
      </x:c>
      <x:c r="S804" s="8" t="n">
        <x:v>707</x:v>
      </x:c>
      <x:c r="T804" s="2" t="str">
        <x:v>2021년 처리</x:v>
      </x:c>
      <x:c r="U804" s="2" t="str">
        <x:v>2021 배정: 2021년 처리</x:v>
      </x:c>
      <x:c r="V804" s="2" t="str">
        <x:v>2021-09-29</x:v>
      </x:c>
      <x:c r="W804" s="2" t="str">
        <x:v>담당기관 확인</x:v>
      </x:c>
      <x:c r="X804" s="2" t="str">
        <x:v>원본·배정 기록 확인</x:v>
      </x:c>
      <x:c r="Y804" s="2" t="str">
        <x:v>ad210cd9ec132cfd447541c8984dc53d30aff0f4fb2dc92d254d49275cc55976</x:v>
      </x:c>
      <x:c r="Z804" s="2" t="n">
        <x:f>SUBTOTAL(103,A804)</x:f>
        <x:v>1</x:v>
      </x:c>
      <x:c r="AA804" s="2" t="str">
        <x:f>IF(K804&lt;&gt;"미종결 표시","대상 아님",IF(N804="","신청일 확인",IF(NOT(ISNUMBER('종합 현황'!$H$5)),"관찰기준 확인",IF('종합 현황'!$H$5&lt;1,"관찰기준 확인",IF(N804&gt;'종합 현황'!$H$5,"내부 관찰 대상","내부 관찰일 이하")))))</x:f>
        <x:v>대상 아님</x:v>
      </x:c>
      <x:c r="AB804" s="2"/>
    </x:row>
    <x:row r="805" ht="42" customHeight="1">
      <x:c r="A805" s="2" t="str">
        <x:v>3130a8947b20728bdf526dd5</x:v>
      </x:c>
      <x:c r="B805" s="2" t="str">
        <x:v>사업 평가</x:v>
      </x:c>
      <x:c r="C805" s="2" t="str">
        <x:v>국내</x:v>
      </x:c>
      <x:c r="D805" s="7" t="str">
        <x:v>㈜디에이치라이팅 인버터 공기압축기 고효율설비 교체 사업</x:v>
      </x:c>
      <x:c r="E805" s="2" t="str">
        <x:v>666</x:v>
      </x:c>
      <x:c r="F805" s="2" t="str">
        <x:v>2020-10-27</x:v>
      </x:c>
      <x:c r="G805" s="2" t="str">
        <x:v>2020</x:v>
      </x:c>
      <x:c r="H805" s="2" t="str">
        <x:v>10</x:v>
      </x:c>
      <x:c r="I805" s="2" t="str">
        <x:v>승인</x:v>
      </x:c>
      <x:c r="J805" s="2" t="str">
        <x:v>심의승인</x:v>
      </x:c>
      <x:c r="K805" s="2" t="str">
        <x:f>IF(OR(J805="심의승인",J805="반려",J805="반려완료",J805="심의완료"),"종결 표시",IF(OR(J805="기후부협의",J805="문서재제출요청",J805="보류",J805="보완요청",J805="보완완료",J805="평가중",J805="반려요청",J805="평가필요",LEFT(J805,5)="보완요청("),"미종결 표시","상태 확인 필요"))</x:f>
        <x:v>종결 표시</x:v>
      </x:c>
      <x:c r="L805" s="2"/>
      <x:c r="M805" s="2"/>
      <x:c r="N805" s="8" t="n">
        <x:f>DATE(2026,10,15)-DATE(2020,10,27)</x:f>
        <x:v>2179</x:v>
      </x:c>
      <x:c r="O805" s="2" t="str">
        <x:v>O(5월)</x:v>
      </x:c>
      <x:c r="P805" s="2"/>
      <x:c r="Q805" s="2" t="str">
        <x:v>산업전환_외부사업관리Tool_260707_이너젠 수정_LJY_261013.xlsx</x:v>
      </x:c>
      <x:c r="R805" s="2" t="str">
        <x:v>국내평가</x:v>
      </x:c>
      <x:c r="S805" s="8" t="n">
        <x:v>708</x:v>
      </x:c>
      <x:c r="T805" s="2" t="str">
        <x:v>2021년 처리</x:v>
      </x:c>
      <x:c r="U805" s="2" t="str">
        <x:v>2021 배정: 2021년 처리</x:v>
      </x:c>
      <x:c r="V805" s="2" t="str">
        <x:v>2021-09-30</x:v>
      </x:c>
      <x:c r="W805" s="2" t="str">
        <x:v>담당기관 확인</x:v>
      </x:c>
      <x:c r="X805" s="2" t="str">
        <x:v>원본·배정 기록 확인</x:v>
      </x:c>
      <x:c r="Y805" s="2" t="str">
        <x:v>ad210cd9ec132cfd447541c8984dc53d30aff0f4fb2dc92d254d49275cc55976</x:v>
      </x:c>
      <x:c r="Z805" s="2" t="n">
        <x:f>SUBTOTAL(103,A805)</x:f>
        <x:v>1</x:v>
      </x:c>
      <x:c r="AA805" s="2" t="str">
        <x:f>IF(K805&lt;&gt;"미종결 표시","대상 아님",IF(N805="","신청일 확인",IF(NOT(ISNUMBER('종합 현황'!$H$5)),"관찰기준 확인",IF('종합 현황'!$H$5&lt;1,"관찰기준 확인",IF(N805&gt;'종합 현황'!$H$5,"내부 관찰 대상","내부 관찰일 이하")))))</x:f>
        <x:v>대상 아님</x:v>
      </x:c>
      <x:c r="AB805" s="2"/>
    </x:row>
    <x:row r="806" ht="42" customHeight="1">
      <x:c r="A806" s="2" t="str">
        <x:v>56a946bd9b0bc6dc02f9a843</x:v>
      </x:c>
      <x:c r="B806" s="2" t="str">
        <x:v>사업 평가</x:v>
      </x:c>
      <x:c r="C806" s="2" t="str">
        <x:v>국내</x:v>
      </x:c>
      <x:c r="D806" s="7" t="str">
        <x:v>신일피엔에스 고효율설비 교체 (스크류 공기압축기 → 인버터형 공기압축기) 사업</x:v>
      </x:c>
      <x:c r="E806" s="2" t="str">
        <x:v>667</x:v>
      </x:c>
      <x:c r="F806" s="2" t="str">
        <x:v>2021-12-31</x:v>
      </x:c>
      <x:c r="G806" s="2" t="str">
        <x:v>2021</x:v>
      </x:c>
      <x:c r="H806" s="2" t="str">
        <x:v>12</x:v>
      </x:c>
      <x:c r="I806" s="2" t="str">
        <x:v>보완2차_보완중</x:v>
      </x:c>
      <x:c r="J806" s="2" t="str">
        <x:v>보완요청</x:v>
      </x:c>
      <x:c r="K806" s="2" t="str">
        <x:f>IF(OR(J806="심의승인",J806="반려",J806="반려완료",J806="심의완료"),"종결 표시",IF(OR(J806="기후부협의",J806="문서재제출요청",J806="보류",J806="보완요청",J806="보완완료",J806="평가중",J806="반려요청",J806="평가필요",LEFT(J806,5)="보완요청("),"미종결 표시","상태 확인 필요"))</x:f>
        <x:v>미종결 표시</x:v>
      </x:c>
      <x:c r="L806" s="2" t="str">
        <x:v>에코시안_정다윤</x:v>
      </x:c>
      <x:c r="M806" s="2" t="n">
        <x:v>2</x:v>
      </x:c>
      <x:c r="N806" s="8" t="n">
        <x:f>DATE(2026,10,15)-DATE(2021,12,31)</x:f>
        <x:v>1749</x:v>
      </x:c>
      <x:c r="O806" s="2" t="str">
        <x:v>보류</x:v>
      </x:c>
      <x:c r="P806" s="2"/>
      <x:c r="Q806" s="2" t="str">
        <x:v>산업전환_외부사업관리Tool_260707_이너젠 수정_LJY_261013.xlsx</x:v>
      </x:c>
      <x:c r="R806" s="2" t="str">
        <x:v>국내평가</x:v>
      </x:c>
      <x:c r="S806" s="8" t="n">
        <x:v>709</x:v>
      </x:c>
      <x:c r="T806" s="2" t="str">
        <x:v>(1/18),(4/19)</x:v>
      </x:c>
      <x:c r="U806" s="2" t="str">
        <x:v>2022 배정: (1/18),(4/19)</x:v>
      </x:c>
      <x:c r="V806" s="2" t="str">
        <x:v>2022-05-23</x:v>
      </x:c>
      <x:c r="W806" s="2" t="str"/>
      <x:c r="X806" s="2" t="str">
        <x:v>보완 회신 일정 확인</x:v>
      </x:c>
      <x:c r="Y806" s="2" t="str">
        <x:v>ad210cd9ec132cfd447541c8984dc53d30aff0f4fb2dc92d254d49275cc55976</x:v>
      </x:c>
      <x:c r="Z806" s="2" t="n">
        <x:f>SUBTOTAL(103,A806)</x:f>
        <x:v>1</x:v>
      </x:c>
      <x:c r="AA806" s="2" t="str">
        <x:f>IF(K806&lt;&gt;"미종결 표시","대상 아님",IF(N806="","신청일 확인",IF(NOT(ISNUMBER('종합 현황'!$H$5)),"관찰기준 확인",IF('종합 현황'!$H$5&lt;1,"관찰기준 확인",IF(N806&gt;'종합 현황'!$H$5,"내부 관찰 대상","내부 관찰일 이하")))))</x:f>
        <x:v>내부 관찰 대상</x:v>
      </x:c>
      <x:c r="AB806" s="2"/>
    </x:row>
    <x:row r="807" ht="42" customHeight="1">
      <x:c r="A807" s="2" t="str">
        <x:v>096988dfa29e3cd32a5d2b6b</x:v>
      </x:c>
      <x:c r="B807" s="2" t="str">
        <x:v>사업 평가</x:v>
      </x:c>
      <x:c r="C807" s="2" t="str">
        <x:v>국내</x:v>
      </x:c>
      <x:c r="D807" s="7" t="str">
        <x:v>CSM TECH(주) 인버터 공기압축기 교체를 통한 온실가스 감축사업</x:v>
      </x:c>
      <x:c r="E807" s="2" t="str">
        <x:v>668</x:v>
      </x:c>
      <x:c r="F807" s="2" t="str">
        <x:v>2021-01-26</x:v>
      </x:c>
      <x:c r="G807" s="2" t="str">
        <x:v>2021</x:v>
      </x:c>
      <x:c r="H807" s="2" t="str">
        <x:v>01</x:v>
      </x:c>
      <x:c r="I807" s="2" t="str">
        <x:v>반려</x:v>
      </x:c>
      <x:c r="J807" s="2" t="str">
        <x:v>반려</x:v>
      </x:c>
      <x:c r="K807" s="2" t="str">
        <x:f>IF(OR(J807="심의승인",J807="반려",J807="반려완료",J807="심의완료"),"종결 표시",IF(OR(J807="기후부협의",J807="문서재제출요청",J807="보류",J807="보완요청",J807="보완완료",J807="평가중",J807="반려요청",J807="평가필요",LEFT(J807,5)="보완요청("),"미종결 표시","상태 확인 필요"))</x:f>
        <x:v>종결 표시</x:v>
      </x:c>
      <x:c r="L807" s="2"/>
      <x:c r="M807" s="2"/>
      <x:c r="N807" s="8" t="n">
        <x:f>DATE(2026,10,15)-DATE(2021,1,26)</x:f>
        <x:v>2088</x:v>
      </x:c>
      <x:c r="O807" s="2"/>
      <x:c r="P807" s="2" t="str">
        <x:v>반려완료(재신청 예정)</x:v>
      </x:c>
      <x:c r="Q807" s="2" t="str">
        <x:v>산업전환_외부사업관리Tool_260707_이너젠 수정_LJY_261013.xlsx</x:v>
      </x:c>
      <x:c r="R807" s="2" t="str">
        <x:v>국내평가</x:v>
      </x:c>
      <x:c r="S807" s="8" t="n">
        <x:v>710</x:v>
      </x:c>
      <x:c r="T807" s="2" t="str">
        <x:v>2021년 처리</x:v>
      </x:c>
      <x:c r="U807" s="2" t="str">
        <x:v>2021 배정: 2021년 처리</x:v>
      </x:c>
      <x:c r="V807" s="2" t="str">
        <x:v>2021-06-30</x:v>
      </x:c>
      <x:c r="W807" s="2" t="str">
        <x:v>담당기관 확인</x:v>
      </x:c>
      <x:c r="X807" s="2" t="str">
        <x:v>원본·배정 기록 확인</x:v>
      </x:c>
      <x:c r="Y807" s="2" t="str">
        <x:v>ad210cd9ec132cfd447541c8984dc53d30aff0f4fb2dc92d254d49275cc55976</x:v>
      </x:c>
      <x:c r="Z807" s="2" t="n">
        <x:f>SUBTOTAL(103,A807)</x:f>
        <x:v>1</x:v>
      </x:c>
      <x:c r="AA807" s="2" t="str">
        <x:f>IF(K807&lt;&gt;"미종결 표시","대상 아님",IF(N807="","신청일 확인",IF(NOT(ISNUMBER('종합 현황'!$H$5)),"관찰기준 확인",IF('종합 현황'!$H$5&lt;1,"관찰기준 확인",IF(N807&gt;'종합 현황'!$H$5,"내부 관찰 대상","내부 관찰일 이하")))))</x:f>
        <x:v>대상 아님</x:v>
      </x:c>
      <x:c r="AB807" s="2"/>
    </x:row>
    <x:row r="808" ht="42" customHeight="1">
      <x:c r="A808" s="2" t="str">
        <x:v>22fe5e5e722d94fd106896b6</x:v>
      </x:c>
      <x:c r="B808" s="2" t="str">
        <x:v>사업 평가</x:v>
      </x:c>
      <x:c r="C808" s="2" t="str">
        <x:v>국내</x:v>
      </x:c>
      <x:c r="D808" s="7" t="str">
        <x:v>㈜동호테크 고효율설비 교체(스크류 공기압축기 → 인버터형 공기압축기) 사업</x:v>
      </x:c>
      <x:c r="E808" s="2" t="str">
        <x:v>669</x:v>
      </x:c>
      <x:c r="F808" s="2" t="str">
        <x:v>2019-12-30</x:v>
      </x:c>
      <x:c r="G808" s="2" t="str">
        <x:v>2019</x:v>
      </x:c>
      <x:c r="H808" s="2" t="str">
        <x:v>12</x:v>
      </x:c>
      <x:c r="I808" s="2" t="str">
        <x:v>보완4차_문서보완중</x:v>
      </x:c>
      <x:c r="J808" s="2" t="str">
        <x:v>보완요청</x:v>
      </x:c>
      <x:c r="K808" s="2" t="str">
        <x:f>IF(OR(J808="심의승인",J808="반려",J808="반려완료",J808="심의완료"),"종결 표시",IF(OR(J808="기후부협의",J808="문서재제출요청",J808="보류",J808="보완요청",J808="보완완료",J808="평가중",J808="반려요청",J808="평가필요",LEFT(J808,5)="보완요청("),"미종결 표시","상태 확인 필요"))</x:f>
        <x:v>미종결 표시</x:v>
      </x:c>
      <x:c r="L808" s="2" t="str">
        <x:v>KECM_이태준</x:v>
      </x:c>
      <x:c r="M808" s="2" t="n">
        <x:v>4</x:v>
      </x:c>
      <x:c r="N808" s="8" t="n">
        <x:f>DATE(2026,10,15)-DATE(2019,12,30)</x:f>
        <x:v>2481</x:v>
      </x:c>
      <x:c r="O808" s="2" t="str">
        <x:v>보류</x:v>
      </x:c>
      <x:c r="P808" s="2" t="str">
        <x:v>사업자 방법론 개정 진행 중</x:v>
      </x:c>
      <x:c r="Q808" s="2" t="str">
        <x:v>산업전환_외부사업관리Tool_260707_이너젠 수정_LJY_261013.xlsx</x:v>
      </x:c>
      <x:c r="R808" s="2" t="str">
        <x:v>국내평가</x:v>
      </x:c>
      <x:c r="S808" s="8" t="n">
        <x:v>711</x:v>
      </x:c>
      <x:c r="T808" s="2" t="str">
        <x:v>(6/28),(9/1),(12/1)</x:v>
      </x:c>
      <x:c r="U808" s="2" t="str">
        <x:v>2021 배정: (6/28),(9/1),(12/1) / 2022 배정: (4/19)</x:v>
      </x:c>
      <x:c r="V808" s="2" t="str">
        <x:v>2022-05-24</x:v>
      </x:c>
      <x:c r="W808" s="2" t="str"/>
      <x:c r="X808" s="2" t="str">
        <x:v>보완 회신 일정 확인</x:v>
      </x:c>
      <x:c r="Y808" s="2" t="str">
        <x:v>ad210cd9ec132cfd447541c8984dc53d30aff0f4fb2dc92d254d49275cc55976</x:v>
      </x:c>
      <x:c r="Z808" s="2" t="n">
        <x:f>SUBTOTAL(103,A808)</x:f>
        <x:v>1</x:v>
      </x:c>
      <x:c r="AA808" s="2" t="str">
        <x:f>IF(K808&lt;&gt;"미종결 표시","대상 아님",IF(N808="","신청일 확인",IF(NOT(ISNUMBER('종합 현황'!$H$5)),"관찰기준 확인",IF('종합 현황'!$H$5&lt;1,"관찰기준 확인",IF(N808&gt;'종합 현황'!$H$5,"내부 관찰 대상","내부 관찰일 이하")))))</x:f>
        <x:v>내부 관찰 대상</x:v>
      </x:c>
      <x:c r="AB808" s="2"/>
    </x:row>
    <x:row r="809" ht="42" customHeight="1">
      <x:c r="A809" s="2" t="str">
        <x:v>3b24ae8ab25ab672be85cc69</x:v>
      </x:c>
      <x:c r="B809" s="2" t="str">
        <x:v>사업 평가</x:v>
      </x:c>
      <x:c r="C809" s="2" t="str">
        <x:v>국내</x:v>
      </x:c>
      <x:c r="D809" s="7" t="str">
        <x:v>일신화이바 고효율설비 교체(스크류 공기압축기 → 인버터형 공기압축기) 사업</x:v>
      </x:c>
      <x:c r="E809" s="2" t="str">
        <x:v>670</x:v>
      </x:c>
      <x:c r="F809" s="2" t="str">
        <x:v>2019-12-30</x:v>
      </x:c>
      <x:c r="G809" s="2" t="str">
        <x:v>2019</x:v>
      </x:c>
      <x:c r="H809" s="2" t="str">
        <x:v>12</x:v>
      </x:c>
      <x:c r="I809" s="2" t="str">
        <x:v>보완5차_문서보완중</x:v>
      </x:c>
      <x:c r="J809" s="2" t="str">
        <x:v>보완요청</x:v>
      </x:c>
      <x:c r="K809" s="2" t="str">
        <x:f>IF(OR(J809="심의승인",J809="반려",J809="반려완료",J809="심의완료"),"종결 표시",IF(OR(J809="기후부협의",J809="문서재제출요청",J809="보류",J809="보완요청",J809="보완완료",J809="평가중",J809="반려요청",J809="평가필요",LEFT(J809,5)="보완요청("),"미종결 표시","상태 확인 필요"))</x:f>
        <x:v>미종결 표시</x:v>
      </x:c>
      <x:c r="L809" s="2" t="str">
        <x:v>KECM_이태준</x:v>
      </x:c>
      <x:c r="M809" s="2" t="n">
        <x:v>5</x:v>
      </x:c>
      <x:c r="N809" s="8" t="n">
        <x:f>DATE(2026,10,15)-DATE(2019,12,30)</x:f>
        <x:v>2481</x:v>
      </x:c>
      <x:c r="O809" s="2" t="str">
        <x:v>보류</x:v>
      </x:c>
      <x:c r="P809" s="2" t="str">
        <x:v>사업자 방법론 개정 진행 중</x:v>
      </x:c>
      <x:c r="Q809" s="2" t="str">
        <x:v>산업전환_외부사업관리Tool_260707_이너젠 수정_LJY_261013.xlsx</x:v>
      </x:c>
      <x:c r="R809" s="2" t="str">
        <x:v>국내평가</x:v>
      </x:c>
      <x:c r="S809" s="8" t="n">
        <x:v>712</x:v>
      </x:c>
      <x:c r="T809" s="2" t="str">
        <x:v>(6/28),(9/1),(12/1)</x:v>
      </x:c>
      <x:c r="U809" s="2" t="str">
        <x:v>2021 배정: (6/28),(9/1),(12/1) / 2022 배정: (4/19)</x:v>
      </x:c>
      <x:c r="V809" s="2" t="str">
        <x:v>2022-05-24</x:v>
      </x:c>
      <x:c r="W809" s="2" t="str"/>
      <x:c r="X809" s="2" t="str">
        <x:v>보완 회신 일정 확인</x:v>
      </x:c>
      <x:c r="Y809" s="2" t="str">
        <x:v>ad210cd9ec132cfd447541c8984dc53d30aff0f4fb2dc92d254d49275cc55976</x:v>
      </x:c>
      <x:c r="Z809" s="2" t="n">
        <x:f>SUBTOTAL(103,A809)</x:f>
        <x:v>1</x:v>
      </x:c>
      <x:c r="AA809" s="2" t="str">
        <x:f>IF(K809&lt;&gt;"미종결 표시","대상 아님",IF(N809="","신청일 확인",IF(NOT(ISNUMBER('종합 현황'!$H$5)),"관찰기준 확인",IF('종합 현황'!$H$5&lt;1,"관찰기준 확인",IF(N809&gt;'종합 현황'!$H$5,"내부 관찰 대상","내부 관찰일 이하")))))</x:f>
        <x:v>내부 관찰 대상</x:v>
      </x:c>
      <x:c r="AB809" s="2"/>
    </x:row>
    <x:row r="810" ht="42" customHeight="1">
      <x:c r="A810" s="2" t="str">
        <x:v>f49285327c13f6cde52cc1fa</x:v>
      </x:c>
      <x:c r="B810" s="2" t="str">
        <x:v>사업 평가</x:v>
      </x:c>
      <x:c r="C810" s="2" t="str">
        <x:v>국내</x:v>
      </x:c>
      <x:c r="D810" s="7" t="str">
        <x:v>흥국금속 고효율 공기압축기 교체를  통한  온실가스 감축사업</x:v>
      </x:c>
      <x:c r="E810" s="2" t="str">
        <x:v>671</x:v>
      </x:c>
      <x:c r="F810" s="2" t="str">
        <x:v>2020-11-05</x:v>
      </x:c>
      <x:c r="G810" s="2" t="str">
        <x:v>2020</x:v>
      </x:c>
      <x:c r="H810" s="2" t="str">
        <x:v>11</x:v>
      </x:c>
      <x:c r="I810" s="2" t="str">
        <x:v>승인</x:v>
      </x:c>
      <x:c r="J810" s="2" t="str">
        <x:v>심의승인</x:v>
      </x:c>
      <x:c r="K810" s="2" t="str">
        <x:f>IF(OR(J810="심의승인",J810="반려",J810="반려완료",J810="심의완료"),"종결 표시",IF(OR(J810="기후부협의",J810="문서재제출요청",J810="보류",J810="보완요청",J810="보완완료",J810="평가중",J810="반려요청",J810="평가필요",LEFT(J810,5)="보완요청("),"미종결 표시","상태 확인 필요"))</x:f>
        <x:v>종결 표시</x:v>
      </x:c>
      <x:c r="L810" s="2"/>
      <x:c r="M810" s="2"/>
      <x:c r="N810" s="8" t="n">
        <x:f>DATE(2026,10,15)-DATE(2020,11,5)</x:f>
        <x:v>2170</x:v>
      </x:c>
      <x:c r="O810" s="2" t="str">
        <x:v>O(5월)</x:v>
      </x:c>
      <x:c r="P810" s="2"/>
      <x:c r="Q810" s="2" t="str">
        <x:v>산업전환_외부사업관리Tool_260707_이너젠 수정_LJY_261013.xlsx</x:v>
      </x:c>
      <x:c r="R810" s="2" t="str">
        <x:v>국내평가</x:v>
      </x:c>
      <x:c r="S810" s="8" t="n">
        <x:v>713</x:v>
      </x:c>
      <x:c r="T810" s="2"/>
      <x:c r="U810" s="2" t="str"/>
      <x:c r="V810" s="2" t="str">
        <x:v>2022-05-13</x:v>
      </x:c>
      <x:c r="W810" s="2" t="str">
        <x:v>담당기관 확인</x:v>
      </x:c>
      <x:c r="X810" s="2" t="str">
        <x:v>원본·배정 기록 확인</x:v>
      </x:c>
      <x:c r="Y810" s="2" t="str">
        <x:v>ad210cd9ec132cfd447541c8984dc53d30aff0f4fb2dc92d254d49275cc55976</x:v>
      </x:c>
      <x:c r="Z810" s="2" t="n">
        <x:f>SUBTOTAL(103,A810)</x:f>
        <x:v>1</x:v>
      </x:c>
      <x:c r="AA810" s="2" t="str">
        <x:f>IF(K810&lt;&gt;"미종결 표시","대상 아님",IF(N810="","신청일 확인",IF(NOT(ISNUMBER('종합 현황'!$H$5)),"관찰기준 확인",IF('종합 현황'!$H$5&lt;1,"관찰기준 확인",IF(N810&gt;'종합 현황'!$H$5,"내부 관찰 대상","내부 관찰일 이하")))))</x:f>
        <x:v>대상 아님</x:v>
      </x:c>
      <x:c r="AB810" s="2"/>
    </x:row>
    <x:row r="811" ht="42" customHeight="1">
      <x:c r="A811" s="2" t="str">
        <x:v>d6be8cc91b088da8f250ab61</x:v>
      </x:c>
      <x:c r="B811" s="2" t="str">
        <x:v>사업 평가</x:v>
      </x:c>
      <x:c r="C811" s="2" t="str">
        <x:v>국내</x:v>
      </x:c>
      <x:c r="D811" s="7" t="str">
        <x:v>㈜세웅 고효율설비 교체(왕복동 공기압축기 → 인버터형 공기압축기) 사업</x:v>
      </x:c>
      <x:c r="E811" s="2" t="str">
        <x:v>672</x:v>
      </x:c>
      <x:c r="F811" s="2" t="str">
        <x:v>2019-12-30</x:v>
      </x:c>
      <x:c r="G811" s="2" t="str">
        <x:v>2019</x:v>
      </x:c>
      <x:c r="H811" s="2" t="str">
        <x:v>12</x:v>
      </x:c>
      <x:c r="I811" s="2" t="str">
        <x:v>보완4차_문서보완중</x:v>
      </x:c>
      <x:c r="J811" s="2" t="str">
        <x:v>보완요청</x:v>
      </x:c>
      <x:c r="K811" s="2" t="str">
        <x:f>IF(OR(J811="심의승인",J811="반려",J811="반려완료",J811="심의완료"),"종결 표시",IF(OR(J811="기후부협의",J811="문서재제출요청",J811="보류",J811="보완요청",J811="보완완료",J811="평가중",J811="반려요청",J811="평가필요",LEFT(J811,5)="보완요청("),"미종결 표시","상태 확인 필요"))</x:f>
        <x:v>미종결 표시</x:v>
      </x:c>
      <x:c r="L811" s="2" t="str">
        <x:v>KECM_이태준</x:v>
      </x:c>
      <x:c r="M811" s="2" t="n">
        <x:v>4</x:v>
      </x:c>
      <x:c r="N811" s="8" t="n">
        <x:f>DATE(2026,10,15)-DATE(2019,12,30)</x:f>
        <x:v>2481</x:v>
      </x:c>
      <x:c r="O811" s="2" t="str">
        <x:v>보류</x:v>
      </x:c>
      <x:c r="P811" s="2" t="str">
        <x:v>사업자 방법론 개정 진행 중</x:v>
      </x:c>
      <x:c r="Q811" s="2" t="str">
        <x:v>산업전환_외부사업관리Tool_260707_이너젠 수정_LJY_261013.xlsx</x:v>
      </x:c>
      <x:c r="R811" s="2" t="str">
        <x:v>국내평가</x:v>
      </x:c>
      <x:c r="S811" s="8" t="n">
        <x:v>714</x:v>
      </x:c>
      <x:c r="T811" s="2" t="str">
        <x:v>(6/28),(9/1),(12/1)</x:v>
      </x:c>
      <x:c r="U811" s="2" t="str">
        <x:v>2021 배정: (6/28),(9/1),(12/1) / 2022 배정: (4/19)</x:v>
      </x:c>
      <x:c r="V811" s="2" t="str">
        <x:v>2022-05-24</x:v>
      </x:c>
      <x:c r="W811" s="2" t="str"/>
      <x:c r="X811" s="2" t="str">
        <x:v>보완 회신 일정 확인</x:v>
      </x:c>
      <x:c r="Y811" s="2" t="str">
        <x:v>ad210cd9ec132cfd447541c8984dc53d30aff0f4fb2dc92d254d49275cc55976</x:v>
      </x:c>
      <x:c r="Z811" s="2" t="n">
        <x:f>SUBTOTAL(103,A811)</x:f>
        <x:v>1</x:v>
      </x:c>
      <x:c r="AA811" s="2" t="str">
        <x:f>IF(K811&lt;&gt;"미종결 표시","대상 아님",IF(N811="","신청일 확인",IF(NOT(ISNUMBER('종합 현황'!$H$5)),"관찰기준 확인",IF('종합 현황'!$H$5&lt;1,"관찰기준 확인",IF(N811&gt;'종합 현황'!$H$5,"내부 관찰 대상","내부 관찰일 이하")))))</x:f>
        <x:v>내부 관찰 대상</x:v>
      </x:c>
      <x:c r="AB811" s="2"/>
    </x:row>
    <x:row r="812" ht="42" customHeight="1">
      <x:c r="A812" s="2" t="str">
        <x:v>dc0ec8f097faf9ca63e529b1</x:v>
      </x:c>
      <x:c r="B812" s="2" t="str">
        <x:v>사업 평가</x:v>
      </x:c>
      <x:c r="C812" s="2" t="str">
        <x:v>국내</x:v>
      </x:c>
      <x:c r="D812" s="7" t="str">
        <x:v>두알산업㈜ 고효율설비 교체(스크류 공기압축기 → 인버터형 공기압축기) 사업</x:v>
      </x:c>
      <x:c r="E812" s="2" t="str">
        <x:v>673</x:v>
      </x:c>
      <x:c r="F812" s="2" t="str">
        <x:v>2019-12-30</x:v>
      </x:c>
      <x:c r="G812" s="2" t="str">
        <x:v>2019</x:v>
      </x:c>
      <x:c r="H812" s="2" t="str">
        <x:v>12</x:v>
      </x:c>
      <x:c r="I812" s="2" t="str">
        <x:v>보완4차_문서보완중</x:v>
      </x:c>
      <x:c r="J812" s="2" t="str">
        <x:v>보완요청</x:v>
      </x:c>
      <x:c r="K812" s="2" t="str">
        <x:f>IF(OR(J812="심의승인",J812="반려",J812="반려완료",J812="심의완료"),"종결 표시",IF(OR(J812="기후부협의",J812="문서재제출요청",J812="보류",J812="보완요청",J812="보완완료",J812="평가중",J812="반려요청",J812="평가필요",LEFT(J812,5)="보완요청("),"미종결 표시","상태 확인 필요"))</x:f>
        <x:v>미종결 표시</x:v>
      </x:c>
      <x:c r="L812" s="2" t="str">
        <x:v>KECM_이태준</x:v>
      </x:c>
      <x:c r="M812" s="2" t="n">
        <x:v>4</x:v>
      </x:c>
      <x:c r="N812" s="8" t="n">
        <x:f>DATE(2026,10,15)-DATE(2019,12,30)</x:f>
        <x:v>2481</x:v>
      </x:c>
      <x:c r="O812" s="2" t="str">
        <x:v>보류</x:v>
      </x:c>
      <x:c r="P812" s="2" t="str">
        <x:v>사업자 방법론 개정 진행 중</x:v>
      </x:c>
      <x:c r="Q812" s="2" t="str">
        <x:v>산업전환_외부사업관리Tool_260707_이너젠 수정_LJY_261013.xlsx</x:v>
      </x:c>
      <x:c r="R812" s="2" t="str">
        <x:v>국내평가</x:v>
      </x:c>
      <x:c r="S812" s="8" t="n">
        <x:v>715</x:v>
      </x:c>
      <x:c r="T812" s="2" t="str">
        <x:v>(6/28),(9/1),(12/1)</x:v>
      </x:c>
      <x:c r="U812" s="2" t="str">
        <x:v>2021 배정: (6/28),(9/1),(12/1) / 2022 배정: (4/19)</x:v>
      </x:c>
      <x:c r="V812" s="2" t="str">
        <x:v>2022-05-24</x:v>
      </x:c>
      <x:c r="W812" s="2" t="str"/>
      <x:c r="X812" s="2" t="str">
        <x:v>보완 회신 일정 확인</x:v>
      </x:c>
      <x:c r="Y812" s="2" t="str">
        <x:v>ad210cd9ec132cfd447541c8984dc53d30aff0f4fb2dc92d254d49275cc55976</x:v>
      </x:c>
      <x:c r="Z812" s="2" t="n">
        <x:f>SUBTOTAL(103,A812)</x:f>
        <x:v>1</x:v>
      </x:c>
      <x:c r="AA812" s="2" t="str">
        <x:f>IF(K812&lt;&gt;"미종결 표시","대상 아님",IF(N812="","신청일 확인",IF(NOT(ISNUMBER('종합 현황'!$H$5)),"관찰기준 확인",IF('종합 현황'!$H$5&lt;1,"관찰기준 확인",IF(N812&gt;'종합 현황'!$H$5,"내부 관찰 대상","내부 관찰일 이하")))))</x:f>
        <x:v>내부 관찰 대상</x:v>
      </x:c>
      <x:c r="AB812" s="2"/>
    </x:row>
    <x:row r="813" ht="42" customHeight="1">
      <x:c r="A813" s="2" t="str">
        <x:v>ba38bfe61d51ea5ac0437c1b</x:v>
      </x:c>
      <x:c r="B813" s="2" t="str">
        <x:v>사업 평가</x:v>
      </x:c>
      <x:c r="C813" s="2" t="str">
        <x:v>국내</x:v>
      </x:c>
      <x:c r="D813" s="7" t="str">
        <x:v>㈜성광프라 고효율설비 교체(고압 공기압축기 → 고효율 부하 제어형 고압 공기압축기) 사업</x:v>
      </x:c>
      <x:c r="E813" s="2" t="str">
        <x:v>674</x:v>
      </x:c>
      <x:c r="F813" s="2" t="str">
        <x:v>2019-12-30</x:v>
      </x:c>
      <x:c r="G813" s="2" t="str">
        <x:v>2019</x:v>
      </x:c>
      <x:c r="H813" s="2" t="str">
        <x:v>12</x:v>
      </x:c>
      <x:c r="I813" s="2" t="str">
        <x:v>보완4차_문서보완중</x:v>
      </x:c>
      <x:c r="J813" s="2" t="str">
        <x:v>보완요청</x:v>
      </x:c>
      <x:c r="K813" s="2" t="str">
        <x:f>IF(OR(J813="심의승인",J813="반려",J813="반려완료",J813="심의완료"),"종결 표시",IF(OR(J813="기후부협의",J813="문서재제출요청",J813="보류",J813="보완요청",J813="보완완료",J813="평가중",J813="반려요청",J813="평가필요",LEFT(J813,5)="보완요청("),"미종결 표시","상태 확인 필요"))</x:f>
        <x:v>미종결 표시</x:v>
      </x:c>
      <x:c r="L813" s="2" t="str">
        <x:v>KECM_이태준</x:v>
      </x:c>
      <x:c r="M813" s="2" t="n">
        <x:v>4</x:v>
      </x:c>
      <x:c r="N813" s="8" t="n">
        <x:f>DATE(2026,10,15)-DATE(2019,12,30)</x:f>
        <x:v>2481</x:v>
      </x:c>
      <x:c r="O813" s="2" t="str">
        <x:v>보류</x:v>
      </x:c>
      <x:c r="P813" s="2" t="str">
        <x:v>사업자 방법론 개정 진행 중</x:v>
      </x:c>
      <x:c r="Q813" s="2" t="str">
        <x:v>산업전환_외부사업관리Tool_260707_이너젠 수정_LJY_261013.xlsx</x:v>
      </x:c>
      <x:c r="R813" s="2" t="str">
        <x:v>국내평가</x:v>
      </x:c>
      <x:c r="S813" s="8" t="n">
        <x:v>716</x:v>
      </x:c>
      <x:c r="T813" s="2" t="str">
        <x:v>(6/28),(9/1),(12/1)</x:v>
      </x:c>
      <x:c r="U813" s="2" t="str">
        <x:v>2021 배정: (6/28),(9/1),(12/1) / 2022 배정: (4/19)</x:v>
      </x:c>
      <x:c r="V813" s="2" t="str">
        <x:v>2022-05-24</x:v>
      </x:c>
      <x:c r="W813" s="2" t="str"/>
      <x:c r="X813" s="2" t="str">
        <x:v>보완 회신 일정 확인</x:v>
      </x:c>
      <x:c r="Y813" s="2" t="str">
        <x:v>ad210cd9ec132cfd447541c8984dc53d30aff0f4fb2dc92d254d49275cc55976</x:v>
      </x:c>
      <x:c r="Z813" s="2" t="n">
        <x:f>SUBTOTAL(103,A813)</x:f>
        <x:v>1</x:v>
      </x:c>
      <x:c r="AA813" s="2" t="str">
        <x:f>IF(K813&lt;&gt;"미종결 표시","대상 아님",IF(N813="","신청일 확인",IF(NOT(ISNUMBER('종합 현황'!$H$5)),"관찰기준 확인",IF('종합 현황'!$H$5&lt;1,"관찰기준 확인",IF(N813&gt;'종합 현황'!$H$5,"내부 관찰 대상","내부 관찰일 이하")))))</x:f>
        <x:v>내부 관찰 대상</x:v>
      </x:c>
      <x:c r="AB813" s="2"/>
    </x:row>
    <x:row r="814" ht="42" customHeight="1">
      <x:c r="A814" s="2" t="str">
        <x:v>496c88674cf1eb93c5a8b618</x:v>
      </x:c>
      <x:c r="B814" s="2" t="str">
        <x:v>사업 평가</x:v>
      </x:c>
      <x:c r="C814" s="2" t="str">
        <x:v>국내</x:v>
      </x:c>
      <x:c r="D814" s="7" t="str">
        <x:v>제일사료 주식회사 연료교체(B-C유 → LNG) 사업</x:v>
      </x:c>
      <x:c r="E814" s="2" t="str">
        <x:v>675</x:v>
      </x:c>
      <x:c r="F814" s="2" t="str">
        <x:v>2020-09-28</x:v>
      </x:c>
      <x:c r="G814" s="2" t="str">
        <x:v>2020</x:v>
      </x:c>
      <x:c r="H814" s="2" t="str">
        <x:v>09</x:v>
      </x:c>
      <x:c r="I814" s="2" t="str">
        <x:v>승인</x:v>
      </x:c>
      <x:c r="J814" s="2" t="str">
        <x:v>심의승인</x:v>
      </x:c>
      <x:c r="K814" s="2" t="str">
        <x:f>IF(OR(J814="심의승인",J814="반려",J814="반려완료",J814="심의완료"),"종결 표시",IF(OR(J814="기후부협의",J814="문서재제출요청",J814="보류",J814="보완요청",J814="보완완료",J814="평가중",J814="반려요청",J814="평가필요",LEFT(J814,5)="보완요청("),"미종결 표시","상태 확인 필요"))</x:f>
        <x:v>종결 표시</x:v>
      </x:c>
      <x:c r="L814" s="2" t="str">
        <x:v>KECM</x:v>
      </x:c>
      <x:c r="M814" s="2"/>
      <x:c r="N814" s="8" t="n">
        <x:f>DATE(2026,10,15)-DATE(2020,9,28)</x:f>
        <x:v>2208</x:v>
      </x:c>
      <x:c r="O814" s="2" t="str">
        <x:v>O(6월추가)</x:v>
      </x:c>
      <x:c r="P814" s="2"/>
      <x:c r="Q814" s="2" t="str">
        <x:v>산업전환_외부사업관리Tool_260707_이너젠 수정_LJY_261013.xlsx</x:v>
      </x:c>
      <x:c r="R814" s="2" t="str">
        <x:v>국내평가</x:v>
      </x:c>
      <x:c r="S814" s="8" t="n">
        <x:v>717</x:v>
      </x:c>
      <x:c r="T814" s="2" t="str">
        <x:v>(6/28),(11/2),(12/1)</x:v>
      </x:c>
      <x:c r="U814" s="2" t="str">
        <x:v>2021 배정: (6/28),(11/2),(12/1)</x:v>
      </x:c>
      <x:c r="V814" s="2" t="str">
        <x:v>2022-01-07</x:v>
      </x:c>
      <x:c r="W814" s="2" t="str"/>
      <x:c r="X814" s="2" t="str">
        <x:v>종결 근거 보관</x:v>
      </x:c>
      <x:c r="Y814" s="2" t="str">
        <x:v>ad210cd9ec132cfd447541c8984dc53d30aff0f4fb2dc92d254d49275cc55976</x:v>
      </x:c>
      <x:c r="Z814" s="2" t="n">
        <x:f>SUBTOTAL(103,A814)</x:f>
        <x:v>1</x:v>
      </x:c>
      <x:c r="AA814" s="2" t="str">
        <x:f>IF(K814&lt;&gt;"미종결 표시","대상 아님",IF(N814="","신청일 확인",IF(NOT(ISNUMBER('종합 현황'!$H$5)),"관찰기준 확인",IF('종합 현황'!$H$5&lt;1,"관찰기준 확인",IF(N814&gt;'종합 현황'!$H$5,"내부 관찰 대상","내부 관찰일 이하")))))</x:f>
        <x:v>대상 아님</x:v>
      </x:c>
      <x:c r="AB814" s="2"/>
    </x:row>
    <x:row r="815" ht="42" customHeight="1">
      <x:c r="A815" s="2" t="str">
        <x:v>393eeb827b11b9483769a1f6</x:v>
      </x:c>
      <x:c r="B815" s="2" t="str">
        <x:v>사업 평가</x:v>
      </x:c>
      <x:c r="C815" s="2" t="str">
        <x:v>국내</x:v>
      </x:c>
      <x:c r="D815" s="7" t="str">
        <x:v>삼보프라텍 주식회사 보일러 연료교체(B-C유→ LPG) 사업</x:v>
      </x:c>
      <x:c r="E815" s="2" t="str">
        <x:v>676</x:v>
      </x:c>
      <x:c r="F815" s="2" t="str">
        <x:v>2020-11-04</x:v>
      </x:c>
      <x:c r="G815" s="2" t="str">
        <x:v>2020</x:v>
      </x:c>
      <x:c r="H815" s="2" t="str">
        <x:v>11</x:v>
      </x:c>
      <x:c r="I815" s="2" t="str">
        <x:v>승인</x:v>
      </x:c>
      <x:c r="J815" s="2" t="str">
        <x:v>심의승인</x:v>
      </x:c>
      <x:c r="K815" s="2" t="str">
        <x:f>IF(OR(J815="심의승인",J815="반려",J815="반려완료",J815="심의완료"),"종결 표시",IF(OR(J815="기후부협의",J815="문서재제출요청",J815="보류",J815="보완요청",J815="보완완료",J815="평가중",J815="반려요청",J815="평가필요",LEFT(J815,5)="보완요청("),"미종결 표시","상태 확인 필요"))</x:f>
        <x:v>종결 표시</x:v>
      </x:c>
      <x:c r="L815" s="2" t="str">
        <x:v>KECM_임하진</x:v>
      </x:c>
      <x:c r="M815" s="2"/>
      <x:c r="N815" s="8" t="n">
        <x:f>DATE(2026,10,15)-DATE(2020,11,4)</x:f>
        <x:v>2171</x:v>
      </x:c>
      <x:c r="O815" s="2" t="str">
        <x:v>O(4월)</x:v>
      </x:c>
      <x:c r="P815" s="2" t="str">
        <x:v>LPG 계측기 O</x:v>
      </x:c>
      <x:c r="Q815" s="2" t="str">
        <x:v>산업전환_외부사업관리Tool_260707_이너젠 수정_LJY_261013.xlsx</x:v>
      </x:c>
      <x:c r="R815" s="2" t="str">
        <x:v>국내평가</x:v>
      </x:c>
      <x:c r="S815" s="8" t="n">
        <x:v>718</x:v>
      </x:c>
      <x:c r="T815" s="2" t="str">
        <x:v>(8/3)</x:v>
      </x:c>
      <x:c r="U815" s="2" t="str">
        <x:v>2021 배정: (8/3) / 2022 배정: (4/19) / 2022 배정(신규): (5/18)</x:v>
      </x:c>
      <x:c r="V815" s="2" t="str">
        <x:v>2022-07-05</x:v>
      </x:c>
      <x:c r="W815" s="2" t="str"/>
      <x:c r="X815" s="2" t="str">
        <x:v>종결 근거 보관</x:v>
      </x:c>
      <x:c r="Y815" s="2" t="str">
        <x:v>ad210cd9ec132cfd447541c8984dc53d30aff0f4fb2dc92d254d49275cc55976</x:v>
      </x:c>
      <x:c r="Z815" s="2" t="n">
        <x:f>SUBTOTAL(103,A815)</x:f>
        <x:v>1</x:v>
      </x:c>
      <x:c r="AA815" s="2" t="str">
        <x:f>IF(K815&lt;&gt;"미종결 표시","대상 아님",IF(N815="","신청일 확인",IF(NOT(ISNUMBER('종합 현황'!$H$5)),"관찰기준 확인",IF('종합 현황'!$H$5&lt;1,"관찰기준 확인",IF(N815&gt;'종합 현황'!$H$5,"내부 관찰 대상","내부 관찰일 이하")))))</x:f>
        <x:v>대상 아님</x:v>
      </x:c>
      <x:c r="AB815" s="2"/>
    </x:row>
    <x:row r="816" ht="42" customHeight="1">
      <x:c r="A816" s="2" t="str">
        <x:v>17c875370ea3780577152531</x:v>
      </x:c>
      <x:c r="B816" s="2" t="str">
        <x:v>사업 평가</x:v>
      </x:c>
      <x:c r="C816" s="2" t="str">
        <x:v>국내</x:v>
      </x:c>
      <x:c r="D816" s="7" t="str">
        <x:v>(주)성일엔케어 화전공장 고효율 공기압축기 교체를  통한  온실가스 감축사업</x:v>
      </x:c>
      <x:c r="E816" s="2" t="str">
        <x:v>677</x:v>
      </x:c>
      <x:c r="F816" s="2" t="str">
        <x:v>2020-11-12</x:v>
      </x:c>
      <x:c r="G816" s="2" t="str">
        <x:v>2020</x:v>
      </x:c>
      <x:c r="H816" s="2" t="str">
        <x:v>11</x:v>
      </x:c>
      <x:c r="I816" s="2" t="str">
        <x:v>승인</x:v>
      </x:c>
      <x:c r="J816" s="2" t="str">
        <x:v>심의승인</x:v>
      </x:c>
      <x:c r="K816" s="2" t="str">
        <x:f>IF(OR(J816="심의승인",J816="반려",J816="반려완료",J816="심의완료"),"종결 표시",IF(OR(J816="기후부협의",J816="문서재제출요청",J816="보류",J816="보완요청",J816="보완완료",J816="평가중",J816="반려요청",J816="평가필요",LEFT(J816,5)="보완요청("),"미종결 표시","상태 확인 필요"))</x:f>
        <x:v>종결 표시</x:v>
      </x:c>
      <x:c r="L816" s="2"/>
      <x:c r="M816" s="2"/>
      <x:c r="N816" s="8" t="n">
        <x:f>DATE(2026,10,15)-DATE(2020,11,12)</x:f>
        <x:v>2163</x:v>
      </x:c>
      <x:c r="O816" s="2" t="str">
        <x:v>O(5월)</x:v>
      </x:c>
      <x:c r="P816" s="2"/>
      <x:c r="Q816" s="2" t="str">
        <x:v>산업전환_외부사업관리Tool_260707_이너젠 수정_LJY_261013.xlsx</x:v>
      </x:c>
      <x:c r="R816" s="2" t="str">
        <x:v>국내평가</x:v>
      </x:c>
      <x:c r="S816" s="8" t="n">
        <x:v>719</x:v>
      </x:c>
      <x:c r="T816" s="2"/>
      <x:c r="U816" s="2" t="str"/>
      <x:c r="V816" s="2" t="str">
        <x:v>2022-10-14</x:v>
      </x:c>
      <x:c r="W816" s="2" t="str">
        <x:v>담당기관 확인</x:v>
      </x:c>
      <x:c r="X816" s="2" t="str">
        <x:v>원본·배정 기록 확인</x:v>
      </x:c>
      <x:c r="Y816" s="2" t="str">
        <x:v>ad210cd9ec132cfd447541c8984dc53d30aff0f4fb2dc92d254d49275cc55976</x:v>
      </x:c>
      <x:c r="Z816" s="2" t="n">
        <x:f>SUBTOTAL(103,A816)</x:f>
        <x:v>1</x:v>
      </x:c>
      <x:c r="AA816" s="2" t="str">
        <x:f>IF(K816&lt;&gt;"미종결 표시","대상 아님",IF(N816="","신청일 확인",IF(NOT(ISNUMBER('종합 현황'!$H$5)),"관찰기준 확인",IF('종합 현황'!$H$5&lt;1,"관찰기준 확인",IF(N816&gt;'종합 현황'!$H$5,"내부 관찰 대상","내부 관찰일 이하")))))</x:f>
        <x:v>대상 아님</x:v>
      </x:c>
      <x:c r="AB816" s="2"/>
    </x:row>
    <x:row r="817" ht="42" customHeight="1">
      <x:c r="A817" s="2" t="str">
        <x:v>9bb16831ba696501cc326258</x:v>
      </x:c>
      <x:c r="B817" s="2" t="str">
        <x:v>사업 평가</x:v>
      </x:c>
      <x:c r="C817" s="2" t="str">
        <x:v>국내</x:v>
      </x:c>
      <x:c r="D817" s="7" t="str">
        <x:v>풀무원 247.58kW 태양광 발전설비 설치 및 자가 사용 사업</x:v>
      </x:c>
      <x:c r="E817" s="2" t="str">
        <x:v>678</x:v>
      </x:c>
      <x:c r="F817" s="2" t="str">
        <x:v>2020-11-18</x:v>
      </x:c>
      <x:c r="G817" s="2" t="str">
        <x:v>2020</x:v>
      </x:c>
      <x:c r="H817" s="2" t="str">
        <x:v>11</x:v>
      </x:c>
      <x:c r="I817" s="2" t="str">
        <x:v>사업변경 신청</x:v>
      </x:c>
      <x:c r="J817" s="2" t="str">
        <x:v>반려</x:v>
      </x:c>
      <x:c r="K817" s="2" t="str">
        <x:f>IF(OR(J817="심의승인",J817="반려",J817="반려완료",J817="심의완료"),"종결 표시",IF(OR(J817="기후부협의",J817="문서재제출요청",J817="보류",J817="보완요청",J817="보완완료",J817="평가중",J817="반려요청",J817="평가필요",LEFT(J817,5)="보완요청("),"미종결 표시","상태 확인 필요"))</x:f>
        <x:v>종결 표시</x:v>
      </x:c>
      <x:c r="L817" s="2" t="str">
        <x:v>에코시안_정인혜</x:v>
      </x:c>
      <x:c r="M817" s="2"/>
      <x:c r="N817" s="8" t="n">
        <x:f>DATE(2026,10,15)-DATE(2020,11,18)</x:f>
        <x:v>2157</x:v>
      </x:c>
      <x:c r="O817" s="2" t="str">
        <x:v>생략</x:v>
      </x:c>
      <x:c r="P817" s="2"/>
      <x:c r="Q817" s="2" t="str">
        <x:v>산업전환_외부사업관리Tool_260707_이너젠 수정_LJY_261013.xlsx</x:v>
      </x:c>
      <x:c r="R817" s="2" t="str">
        <x:v>국내평가</x:v>
      </x:c>
      <x:c r="S817" s="8" t="n">
        <x:v>720</x:v>
      </x:c>
      <x:c r="T817" s="2" t="str">
        <x:v>(4/23),(6/28),(9/1)</x:v>
      </x:c>
      <x:c r="U817" s="2" t="str">
        <x:v>2021 배정: (4/23),(6/28),(9/1) / 2022 배정(신규): 2022년 처리</x:v>
      </x:c>
      <x:c r="V817" s="2" t="str">
        <x:v>2022-05-04</x:v>
      </x:c>
      <x:c r="W817" s="2" t="str"/>
      <x:c r="X817" s="2" t="str">
        <x:v>종결 근거 보관</x:v>
      </x:c>
      <x:c r="Y817" s="2" t="str">
        <x:v>ad210cd9ec132cfd447541c8984dc53d30aff0f4fb2dc92d254d49275cc55976</x:v>
      </x:c>
      <x:c r="Z817" s="2" t="n">
        <x:f>SUBTOTAL(103,A817)</x:f>
        <x:v>1</x:v>
      </x:c>
      <x:c r="AA817" s="2" t="str">
        <x:f>IF(K817&lt;&gt;"미종결 표시","대상 아님",IF(N817="","신청일 확인",IF(NOT(ISNUMBER('종합 현황'!$H$5)),"관찰기준 확인",IF('종합 현황'!$H$5&lt;1,"관찰기준 확인",IF(N817&gt;'종합 현황'!$H$5,"내부 관찰 대상","내부 관찰일 이하")))))</x:f>
        <x:v>대상 아님</x:v>
      </x:c>
      <x:c r="AB817" s="2"/>
    </x:row>
    <x:row r="818" ht="42" customHeight="1">
      <x:c r="A818" s="2" t="str">
        <x:v>457174f0d71caeef782a5ef3</x:v>
      </x:c>
      <x:c r="B818" s="2" t="str">
        <x:v>사업 평가</x:v>
      </x:c>
      <x:c r="C818" s="2" t="str">
        <x:v>국내</x:v>
      </x:c>
      <x:c r="D818" s="7" t="str">
        <x:v>㈜풀무원녹즙, 풀무원건강생활㈜ 195kW 태양광 발전설비 및 자가 사용 사업</x:v>
      </x:c>
      <x:c r="E818" s="2" t="str">
        <x:v>679</x:v>
      </x:c>
      <x:c r="F818" s="2" t="str">
        <x:v>2020-11-18</x:v>
      </x:c>
      <x:c r="G818" s="2" t="str">
        <x:v>2020</x:v>
      </x:c>
      <x:c r="H818" s="2" t="str">
        <x:v>11</x:v>
      </x:c>
      <x:c r="I818" s="2" t="str">
        <x:v>사업변경 신청</x:v>
      </x:c>
      <x:c r="J818" s="2" t="str">
        <x:v>반려</x:v>
      </x:c>
      <x:c r="K818" s="2" t="str">
        <x:f>IF(OR(J818="심의승인",J818="반려",J818="반려완료",J818="심의완료"),"종결 표시",IF(OR(J818="기후부협의",J818="문서재제출요청",J818="보류",J818="보완요청",J818="보완완료",J818="평가중",J818="반려요청",J818="평가필요",LEFT(J818,5)="보완요청("),"미종결 표시","상태 확인 필요"))</x:f>
        <x:v>종결 표시</x:v>
      </x:c>
      <x:c r="L818" s="2" t="str">
        <x:v>에코시안_정인혜</x:v>
      </x:c>
      <x:c r="M818" s="2"/>
      <x:c r="N818" s="8" t="n">
        <x:f>DATE(2026,10,15)-DATE(2020,11,18)</x:f>
        <x:v>2157</x:v>
      </x:c>
      <x:c r="O818" s="2" t="str">
        <x:v>O(5월)</x:v>
      </x:c>
      <x:c r="P818" s="2"/>
      <x:c r="Q818" s="2" t="str">
        <x:v>산업전환_외부사업관리Tool_260707_이너젠 수정_LJY_261013.xlsx</x:v>
      </x:c>
      <x:c r="R818" s="2" t="str">
        <x:v>국내평가</x:v>
      </x:c>
      <x:c r="S818" s="8" t="n">
        <x:v>721</x:v>
      </x:c>
      <x:c r="T818" s="2" t="str">
        <x:v>(4/23),(6/28),(8/3)</x:v>
      </x:c>
      <x:c r="U818" s="2" t="str">
        <x:v>2021 배정: (4/23),(6/28),(8/3)</x:v>
      </x:c>
      <x:c r="V818" s="2" t="str">
        <x:v>2022-04-11</x:v>
      </x:c>
      <x:c r="W818" s="2" t="str"/>
      <x:c r="X818" s="2" t="str">
        <x:v>종결 근거 보관</x:v>
      </x:c>
      <x:c r="Y818" s="2" t="str">
        <x:v>ad210cd9ec132cfd447541c8984dc53d30aff0f4fb2dc92d254d49275cc55976</x:v>
      </x:c>
      <x:c r="Z818" s="2" t="n">
        <x:f>SUBTOTAL(103,A818)</x:f>
        <x:v>1</x:v>
      </x:c>
      <x:c r="AA818" s="2" t="str">
        <x:f>IF(K818&lt;&gt;"미종결 표시","대상 아님",IF(N818="","신청일 확인",IF(NOT(ISNUMBER('종합 현황'!$H$5)),"관찰기준 확인",IF('종합 현황'!$H$5&lt;1,"관찰기준 확인",IF(N818&gt;'종합 현황'!$H$5,"내부 관찰 대상","내부 관찰일 이하")))))</x:f>
        <x:v>대상 아님</x:v>
      </x:c>
      <x:c r="AB818" s="2"/>
    </x:row>
    <x:row r="819" ht="42" customHeight="1">
      <x:c r="A819" s="2" t="str">
        <x:v>3e35ddf09f026c959126e427</x:v>
      </x:c>
      <x:c r="B819" s="2" t="str">
        <x:v>사업 평가</x:v>
      </x:c>
      <x:c r="C819" s="2" t="str">
        <x:v>국내</x:v>
      </x:c>
      <x:c r="D819" s="7" t="str">
        <x:v>덕산갈바텍㈜ 고효율설비 교체(왕복동 공기압축기 → 인버터형 공기압축기) 사업</x:v>
      </x:c>
      <x:c r="E819" s="2" t="str">
        <x:v>680</x:v>
      </x:c>
      <x:c r="F819" s="2" t="str">
        <x:v>2019-12-30</x:v>
      </x:c>
      <x:c r="G819" s="2" t="str">
        <x:v>2019</x:v>
      </x:c>
      <x:c r="H819" s="2" t="str">
        <x:v>12</x:v>
      </x:c>
      <x:c r="I819" s="2" t="str">
        <x:v>보완4차_문서보완중</x:v>
      </x:c>
      <x:c r="J819" s="2" t="str">
        <x:v>보완요청</x:v>
      </x:c>
      <x:c r="K819" s="2" t="str">
        <x:f>IF(OR(J819="심의승인",J819="반려",J819="반려완료",J819="심의완료"),"종결 표시",IF(OR(J819="기후부협의",J819="문서재제출요청",J819="보류",J819="보완요청",J819="보완완료",J819="평가중",J819="반려요청",J819="평가필요",LEFT(J819,5)="보완요청("),"미종결 표시","상태 확인 필요"))</x:f>
        <x:v>미종결 표시</x:v>
      </x:c>
      <x:c r="L819" s="2" t="str">
        <x:v>KECM_이태준</x:v>
      </x:c>
      <x:c r="M819" s="2" t="n">
        <x:v>4</x:v>
      </x:c>
      <x:c r="N819" s="8" t="n">
        <x:f>DATE(2026,10,15)-DATE(2019,12,30)</x:f>
        <x:v>2481</x:v>
      </x:c>
      <x:c r="O819" s="2" t="str">
        <x:v>보류</x:v>
      </x:c>
      <x:c r="P819" s="2" t="str">
        <x:v>사업자 방법론 개정 진행 중</x:v>
      </x:c>
      <x:c r="Q819" s="2" t="str">
        <x:v>산업전환_외부사업관리Tool_260707_이너젠 수정_LJY_261013.xlsx</x:v>
      </x:c>
      <x:c r="R819" s="2" t="str">
        <x:v>국내평가</x:v>
      </x:c>
      <x:c r="S819" s="8" t="n">
        <x:v>722</x:v>
      </x:c>
      <x:c r="T819" s="2" t="str">
        <x:v>(6/28),(9/1),(12/1)</x:v>
      </x:c>
      <x:c r="U819" s="2" t="str">
        <x:v>2021 배정: (6/28),(9/1),(12/1) / 2022 배정: (4/19)</x:v>
      </x:c>
      <x:c r="V819" s="2" t="str">
        <x:v>2022-05-24</x:v>
      </x:c>
      <x:c r="W819" s="2" t="str"/>
      <x:c r="X819" s="2" t="str">
        <x:v>보완 회신 일정 확인</x:v>
      </x:c>
      <x:c r="Y819" s="2" t="str">
        <x:v>ad210cd9ec132cfd447541c8984dc53d30aff0f4fb2dc92d254d49275cc55976</x:v>
      </x:c>
      <x:c r="Z819" s="2" t="n">
        <x:f>SUBTOTAL(103,A819)</x:f>
        <x:v>1</x:v>
      </x:c>
      <x:c r="AA819" s="2" t="str">
        <x:f>IF(K819&lt;&gt;"미종결 표시","대상 아님",IF(N819="","신청일 확인",IF(NOT(ISNUMBER('종합 현황'!$H$5)),"관찰기준 확인",IF('종합 현황'!$H$5&lt;1,"관찰기준 확인",IF(N819&gt;'종합 현황'!$H$5,"내부 관찰 대상","내부 관찰일 이하")))))</x:f>
        <x:v>내부 관찰 대상</x:v>
      </x:c>
      <x:c r="AB819" s="2"/>
    </x:row>
    <x:row r="820" ht="42" customHeight="1">
      <x:c r="A820" s="2" t="str">
        <x:v>4f271ba4022c8b493a839db9</x:v>
      </x:c>
      <x:c r="B820" s="2" t="str">
        <x:v>사업 평가</x:v>
      </x:c>
      <x:c r="C820" s="2" t="str">
        <x:v>국내</x:v>
      </x:c>
      <x:c r="D820" s="7" t="str">
        <x:v>㈜태정이엔지 인버터형 공기압축기 교체 사업</x:v>
      </x:c>
      <x:c r="E820" s="2" t="str">
        <x:v>681</x:v>
      </x:c>
      <x:c r="F820" s="2" t="str">
        <x:v>2017-10-13</x:v>
      </x:c>
      <x:c r="G820" s="2" t="str">
        <x:v>2017</x:v>
      </x:c>
      <x:c r="H820" s="2" t="str">
        <x:v>10</x:v>
      </x:c>
      <x:c r="I820" s="2" t="str">
        <x:v>보완4차_문서보완중</x:v>
      </x:c>
      <x:c r="J820" s="2" t="str">
        <x:v>보완요청</x:v>
      </x:c>
      <x:c r="K820" s="2" t="str">
        <x:f>IF(OR(J820="심의승인",J820="반려",J820="반려완료",J820="심의완료"),"종결 표시",IF(OR(J820="기후부협의",J820="문서재제출요청",J820="보류",J820="보완요청",J820="보완완료",J820="평가중",J820="반려요청",J820="평가필요",LEFT(J820,5)="보완요청("),"미종결 표시","상태 확인 필요"))</x:f>
        <x:v>미종결 표시</x:v>
      </x:c>
      <x:c r="L820" s="2" t="str">
        <x:v>KECM_이태준</x:v>
      </x:c>
      <x:c r="M820" s="2" t="n">
        <x:v>4</x:v>
      </x:c>
      <x:c r="N820" s="8" t="n">
        <x:f>DATE(2026,10,15)-DATE(2017,10,13)</x:f>
        <x:v>3289</x:v>
      </x:c>
      <x:c r="O820" s="2" t="str">
        <x:v>보류</x:v>
      </x:c>
      <x:c r="P820" s="2"/>
      <x:c r="Q820" s="2" t="str">
        <x:v>산업전환_외부사업관리Tool_260707_이너젠 수정_LJY_261013.xlsx</x:v>
      </x:c>
      <x:c r="R820" s="2" t="str">
        <x:v>국내평가</x:v>
      </x:c>
      <x:c r="S820" s="8" t="n">
        <x:v>723</x:v>
      </x:c>
      <x:c r="T820" s="2" t="str">
        <x:v>(6/28),(9/1),(12/1)</x:v>
      </x:c>
      <x:c r="U820" s="2" t="str">
        <x:v>2021 배정: (6/28),(9/1),(12/1) / 2022 배정: (4/19)</x:v>
      </x:c>
      <x:c r="V820" s="2" t="str">
        <x:v>2022-05-24</x:v>
      </x:c>
      <x:c r="W820" s="2" t="str"/>
      <x:c r="X820" s="2" t="str">
        <x:v>보완 회신 일정 확인</x:v>
      </x:c>
      <x:c r="Y820" s="2" t="str">
        <x:v>ad210cd9ec132cfd447541c8984dc53d30aff0f4fb2dc92d254d49275cc55976</x:v>
      </x:c>
      <x:c r="Z820" s="2" t="n">
        <x:f>SUBTOTAL(103,A820)</x:f>
        <x:v>1</x:v>
      </x:c>
      <x:c r="AA820" s="2" t="str">
        <x:f>IF(K820&lt;&gt;"미종결 표시","대상 아님",IF(N820="","신청일 확인",IF(NOT(ISNUMBER('종합 현황'!$H$5)),"관찰기준 확인",IF('종합 현황'!$H$5&lt;1,"관찰기준 확인",IF(N820&gt;'종합 현황'!$H$5,"내부 관찰 대상","내부 관찰일 이하")))))</x:f>
        <x:v>내부 관찰 대상</x:v>
      </x:c>
      <x:c r="AB820" s="2"/>
    </x:row>
    <x:row r="821" ht="42" customHeight="1">
      <x:c r="A821" s="2" t="str">
        <x:v>b5484ec2f768c7432053d420</x:v>
      </x:c>
      <x:c r="B821" s="2" t="str">
        <x:v>사업 평가</x:v>
      </x:c>
      <x:c r="C821" s="2" t="str">
        <x:v>국내</x:v>
      </x:c>
      <x:c r="D821" s="7" t="str">
        <x:v>주식회사 태성테크윈 인버터 공기압축기 교체를 통한 온실가스 감축사업</x:v>
      </x:c>
      <x:c r="E821" s="2" t="str">
        <x:v>682</x:v>
      </x:c>
      <x:c r="F821" s="2" t="str">
        <x:v>2021-01-26</x:v>
      </x:c>
      <x:c r="G821" s="2" t="str">
        <x:v>2021</x:v>
      </x:c>
      <x:c r="H821" s="2" t="str">
        <x:v>01</x:v>
      </x:c>
      <x:c r="I821" s="2" t="str">
        <x:v>반려</x:v>
      </x:c>
      <x:c r="J821" s="2" t="str">
        <x:v>반려</x:v>
      </x:c>
      <x:c r="K821" s="2" t="str">
        <x:f>IF(OR(J821="심의승인",J821="반려",J821="반려완료",J821="심의완료"),"종결 표시",IF(OR(J821="기후부협의",J821="문서재제출요청",J821="보류",J821="보완요청",J821="보완완료",J821="평가중",J821="반려요청",J821="평가필요",LEFT(J821,5)="보완요청("),"미종결 표시","상태 확인 필요"))</x:f>
        <x:v>종결 표시</x:v>
      </x:c>
      <x:c r="L821" s="2"/>
      <x:c r="M821" s="2"/>
      <x:c r="N821" s="8" t="n">
        <x:f>DATE(2026,10,15)-DATE(2021,1,26)</x:f>
        <x:v>2088</x:v>
      </x:c>
      <x:c r="O821" s="2"/>
      <x:c r="P821" s="2" t="str">
        <x:v>반려완료(재신청 예정)</x:v>
      </x:c>
      <x:c r="Q821" s="2" t="str">
        <x:v>산업전환_외부사업관리Tool_260707_이너젠 수정_LJY_261013.xlsx</x:v>
      </x:c>
      <x:c r="R821" s="2" t="str">
        <x:v>국내평가</x:v>
      </x:c>
      <x:c r="S821" s="8" t="n">
        <x:v>724</x:v>
      </x:c>
      <x:c r="T821" s="2" t="str">
        <x:v>2021년 처리</x:v>
      </x:c>
      <x:c r="U821" s="2" t="str">
        <x:v>2021 배정: 2021년 처리</x:v>
      </x:c>
      <x:c r="V821" s="2" t="str">
        <x:v>2021-06-30</x:v>
      </x:c>
      <x:c r="W821" s="2" t="str">
        <x:v>담당기관 확인</x:v>
      </x:c>
      <x:c r="X821" s="2" t="str">
        <x:v>원본·배정 기록 확인</x:v>
      </x:c>
      <x:c r="Y821" s="2" t="str">
        <x:v>ad210cd9ec132cfd447541c8984dc53d30aff0f4fb2dc92d254d49275cc55976</x:v>
      </x:c>
      <x:c r="Z821" s="2" t="n">
        <x:f>SUBTOTAL(103,A821)</x:f>
        <x:v>1</x:v>
      </x:c>
      <x:c r="AA821" s="2" t="str">
        <x:f>IF(K821&lt;&gt;"미종결 표시","대상 아님",IF(N821="","신청일 확인",IF(NOT(ISNUMBER('종합 현황'!$H$5)),"관찰기준 확인",IF('종합 현황'!$H$5&lt;1,"관찰기준 확인",IF(N821&gt;'종합 현황'!$H$5,"내부 관찰 대상","내부 관찰일 이하")))))</x:f>
        <x:v>대상 아님</x:v>
      </x:c>
      <x:c r="AB821" s="2"/>
    </x:row>
    <x:row r="822" ht="42" customHeight="1">
      <x:c r="A822" s="2" t="str">
        <x:v>cfb658bed65e9096db1f9d8d</x:v>
      </x:c>
      <x:c r="B822" s="2" t="str">
        <x:v>사업 평가</x:v>
      </x:c>
      <x:c r="C822" s="2" t="str">
        <x:v>국내</x:v>
      </x:c>
      <x:c r="D822" s="7" t="str">
        <x:v>(주)지용금속 고효율설비 교체(스크류 공기압축기 → 인버터형 공기압축기) 사업</x:v>
      </x:c>
      <x:c r="E822" s="2" t="str">
        <x:v>683</x:v>
      </x:c>
      <x:c r="F822" s="2" t="str">
        <x:v>2017-11-20</x:v>
      </x:c>
      <x:c r="G822" s="2" t="str">
        <x:v>2017</x:v>
      </x:c>
      <x:c r="H822" s="2" t="str">
        <x:v>11</x:v>
      </x:c>
      <x:c r="I822" s="2" t="str">
        <x:v>보완4차_문서보완중</x:v>
      </x:c>
      <x:c r="J822" s="2" t="str">
        <x:v>보완요청</x:v>
      </x:c>
      <x:c r="K822" s="2" t="str">
        <x:f>IF(OR(J822="심의승인",J822="반려",J822="반려완료",J822="심의완료"),"종결 표시",IF(OR(J822="기후부협의",J822="문서재제출요청",J822="보류",J822="보완요청",J822="보완완료",J822="평가중",J822="반려요청",J822="평가필요",LEFT(J822,5)="보완요청("),"미종결 표시","상태 확인 필요"))</x:f>
        <x:v>미종결 표시</x:v>
      </x:c>
      <x:c r="L822" s="2" t="str">
        <x:v>KECM_이태준</x:v>
      </x:c>
      <x:c r="M822" s="2" t="n">
        <x:v>4</x:v>
      </x:c>
      <x:c r="N822" s="8" t="n">
        <x:f>DATE(2026,10,15)-DATE(2017,11,20)</x:f>
        <x:v>3251</x:v>
      </x:c>
      <x:c r="O822" s="2" t="str">
        <x:v>보류</x:v>
      </x:c>
      <x:c r="P822" s="2"/>
      <x:c r="Q822" s="2" t="str">
        <x:v>산업전환_외부사업관리Tool_260707_이너젠 수정_LJY_261013.xlsx</x:v>
      </x:c>
      <x:c r="R822" s="2" t="str">
        <x:v>국내평가</x:v>
      </x:c>
      <x:c r="S822" s="8" t="n">
        <x:v>725</x:v>
      </x:c>
      <x:c r="T822" s="2" t="str">
        <x:v>(6/28),(9/1),(12/1)</x:v>
      </x:c>
      <x:c r="U822" s="2" t="str">
        <x:v>2021 배정: (6/28),(9/1),(12/1) / 2022 배정: (4/19)</x:v>
      </x:c>
      <x:c r="V822" s="2" t="str">
        <x:v>2022-05-24</x:v>
      </x:c>
      <x:c r="W822" s="2" t="str"/>
      <x:c r="X822" s="2" t="str">
        <x:v>보완 회신 일정 확인</x:v>
      </x:c>
      <x:c r="Y822" s="2" t="str">
        <x:v>ad210cd9ec132cfd447541c8984dc53d30aff0f4fb2dc92d254d49275cc55976</x:v>
      </x:c>
      <x:c r="Z822" s="2" t="n">
        <x:f>SUBTOTAL(103,A822)</x:f>
        <x:v>1</x:v>
      </x:c>
      <x:c r="AA822" s="2" t="str">
        <x:f>IF(K822&lt;&gt;"미종결 표시","대상 아님",IF(N822="","신청일 확인",IF(NOT(ISNUMBER('종합 현황'!$H$5)),"관찰기준 확인",IF('종합 현황'!$H$5&lt;1,"관찰기준 확인",IF(N822&gt;'종합 현황'!$H$5,"내부 관찰 대상","내부 관찰일 이하")))))</x:f>
        <x:v>내부 관찰 대상</x:v>
      </x:c>
      <x:c r="AB822" s="2"/>
    </x:row>
    <x:row r="823" ht="42" customHeight="1">
      <x:c r="A823" s="2" t="str">
        <x:v>0e9d795062f01a3cefbad242</x:v>
      </x:c>
      <x:c r="B823" s="2" t="str">
        <x:v>사업 평가</x:v>
      </x:c>
      <x:c r="C823" s="2" t="str">
        <x:v>국내</x:v>
      </x:c>
      <x:c r="D823" s="7" t="str">
        <x:v>부곡스텐레스㈜ 고효율설비 교체(스크류 공기압축기 →  인버터형 공기압축기) 사업</x:v>
      </x:c>
      <x:c r="E823" s="2" t="str">
        <x:v>684</x:v>
      </x:c>
      <x:c r="F823" s="2" t="str">
        <x:v>2020-11-10</x:v>
      </x:c>
      <x:c r="G823" s="2" t="str">
        <x:v>2020</x:v>
      </x:c>
      <x:c r="H823" s="2" t="str">
        <x:v>11</x:v>
      </x:c>
      <x:c r="I823" s="2" t="str">
        <x:v>보완3차_문서보완중</x:v>
      </x:c>
      <x:c r="J823" s="2" t="str">
        <x:v>보완요청</x:v>
      </x:c>
      <x:c r="K823" s="2" t="str">
        <x:f>IF(OR(J823="심의승인",J823="반려",J823="반려완료",J823="심의완료"),"종결 표시",IF(OR(J823="기후부협의",J823="문서재제출요청",J823="보류",J823="보완요청",J823="보완완료",J823="평가중",J823="반려요청",J823="평가필요",LEFT(J823,5)="보완요청("),"미종결 표시","상태 확인 필요"))</x:f>
        <x:v>미종결 표시</x:v>
      </x:c>
      <x:c r="L823" s="2" t="str">
        <x:v>KECM_이태준</x:v>
      </x:c>
      <x:c r="M823" s="2" t="n">
        <x:v>3</x:v>
      </x:c>
      <x:c r="N823" s="8" t="n">
        <x:f>DATE(2026,10,15)-DATE(2020,11,10)</x:f>
        <x:v>2165</x:v>
      </x:c>
      <x:c r="O823" s="2" t="str">
        <x:v>보류</x:v>
      </x:c>
      <x:c r="P823" s="2"/>
      <x:c r="Q823" s="2" t="str">
        <x:v>산업전환_외부사업관리Tool_260707_이너젠 수정_LJY_261013.xlsx</x:v>
      </x:c>
      <x:c r="R823" s="2" t="str">
        <x:v>국내평가</x:v>
      </x:c>
      <x:c r="S823" s="8" t="n">
        <x:v>726</x:v>
      </x:c>
      <x:c r="T823" s="2" t="str">
        <x:v>(6/28),(9/1),(12/1)</x:v>
      </x:c>
      <x:c r="U823" s="2" t="str">
        <x:v>2021 배정: (6/28),(9/1),(12/1) / 2022 배정: (4/19)</x:v>
      </x:c>
      <x:c r="V823" s="2" t="str">
        <x:v>2022-05-24</x:v>
      </x:c>
      <x:c r="W823" s="2" t="str"/>
      <x:c r="X823" s="2" t="str">
        <x:v>보완 회신 일정 확인</x:v>
      </x:c>
      <x:c r="Y823" s="2" t="str">
        <x:v>ad210cd9ec132cfd447541c8984dc53d30aff0f4fb2dc92d254d49275cc55976</x:v>
      </x:c>
      <x:c r="Z823" s="2" t="n">
        <x:f>SUBTOTAL(103,A823)</x:f>
        <x:v>1</x:v>
      </x:c>
      <x:c r="AA823" s="2" t="str">
        <x:f>IF(K823&lt;&gt;"미종결 표시","대상 아님",IF(N823="","신청일 확인",IF(NOT(ISNUMBER('종합 현황'!$H$5)),"관찰기준 확인",IF('종합 현황'!$H$5&lt;1,"관찰기준 확인",IF(N823&gt;'종합 현황'!$H$5,"내부 관찰 대상","내부 관찰일 이하")))))</x:f>
        <x:v>내부 관찰 대상</x:v>
      </x:c>
      <x:c r="AB823" s="2"/>
    </x:row>
    <x:row r="824" ht="42" customHeight="1">
      <x:c r="A824" s="2" t="str">
        <x:v>5f85e98ee73c4f3a9b94f56d</x:v>
      </x:c>
      <x:c r="B824" s="2" t="str">
        <x:v>사업 평가</x:v>
      </x:c>
      <x:c r="C824" s="2" t="str">
        <x:v>국내</x:v>
      </x:c>
      <x:c r="D824" s="7" t="str">
        <x:v>㈜거산수출포장 고효율설비 교체(스크류 공기압축기 → 인버터형 공기압축기) 사업</x:v>
      </x:c>
      <x:c r="E824" s="2" t="str">
        <x:v>685</x:v>
      </x:c>
      <x:c r="F824" s="2" t="str">
        <x:v>2020-11-19</x:v>
      </x:c>
      <x:c r="G824" s="2" t="str">
        <x:v>2020</x:v>
      </x:c>
      <x:c r="H824" s="2" t="str">
        <x:v>11</x:v>
      </x:c>
      <x:c r="I824" s="2" t="str">
        <x:v>보완3차_문서보완중</x:v>
      </x:c>
      <x:c r="J824" s="2" t="str">
        <x:v>보완요청</x:v>
      </x:c>
      <x:c r="K824" s="2" t="str">
        <x:f>IF(OR(J824="심의승인",J824="반려",J824="반려완료",J824="심의완료"),"종결 표시",IF(OR(J824="기후부협의",J824="문서재제출요청",J824="보류",J824="보완요청",J824="보완완료",J824="평가중",J824="반려요청",J824="평가필요",LEFT(J824,5)="보완요청("),"미종결 표시","상태 확인 필요"))</x:f>
        <x:v>미종결 표시</x:v>
      </x:c>
      <x:c r="L824" s="2" t="str">
        <x:v>KECM_이태준</x:v>
      </x:c>
      <x:c r="M824" s="2" t="n">
        <x:v>3</x:v>
      </x:c>
      <x:c r="N824" s="8" t="n">
        <x:f>DATE(2026,10,15)-DATE(2020,11,19)</x:f>
        <x:v>2156</x:v>
      </x:c>
      <x:c r="O824" s="2" t="str">
        <x:v>보류</x:v>
      </x:c>
      <x:c r="P824" s="2"/>
      <x:c r="Q824" s="2" t="str">
        <x:v>산업전환_외부사업관리Tool_260707_이너젠 수정_LJY_261013.xlsx</x:v>
      </x:c>
      <x:c r="R824" s="2" t="str">
        <x:v>국내평가</x:v>
      </x:c>
      <x:c r="S824" s="8" t="n">
        <x:v>727</x:v>
      </x:c>
      <x:c r="T824" s="2" t="str">
        <x:v>(6/28),(9/1),(12/1)</x:v>
      </x:c>
      <x:c r="U824" s="2" t="str">
        <x:v>2021 배정: (6/28),(9/1),(12/1) / 2022 배정: (4/19)</x:v>
      </x:c>
      <x:c r="V824" s="2" t="str">
        <x:v>2022-05-24</x:v>
      </x:c>
      <x:c r="W824" s="2" t="str"/>
      <x:c r="X824" s="2" t="str">
        <x:v>보완 회신 일정 확인</x:v>
      </x:c>
      <x:c r="Y824" s="2" t="str">
        <x:v>ad210cd9ec132cfd447541c8984dc53d30aff0f4fb2dc92d254d49275cc55976</x:v>
      </x:c>
      <x:c r="Z824" s="2" t="n">
        <x:f>SUBTOTAL(103,A824)</x:f>
        <x:v>1</x:v>
      </x:c>
      <x:c r="AA824" s="2" t="str">
        <x:f>IF(K824&lt;&gt;"미종결 표시","대상 아님",IF(N824="","신청일 확인",IF(NOT(ISNUMBER('종합 현황'!$H$5)),"관찰기준 확인",IF('종합 현황'!$H$5&lt;1,"관찰기준 확인",IF(N824&gt;'종합 현황'!$H$5,"내부 관찰 대상","내부 관찰일 이하")))))</x:f>
        <x:v>내부 관찰 대상</x:v>
      </x:c>
      <x:c r="AB824" s="2"/>
    </x:row>
    <x:row r="825" ht="42" customHeight="1">
      <x:c r="A825" s="2" t="str">
        <x:v>d9b5d2c66ab885e4332ad010</x:v>
      </x:c>
      <x:c r="B825" s="2" t="str">
        <x:v>사업 평가</x:v>
      </x:c>
      <x:c r="C825" s="2" t="str">
        <x:v>국내</x:v>
      </x:c>
      <x:c r="D825" s="7" t="str">
        <x:v>진명정밀 인버터 공기압축기 교체를 통한 온실가스 감축사업</x:v>
      </x:c>
      <x:c r="E825" s="2" t="str">
        <x:v>686</x:v>
      </x:c>
      <x:c r="F825" s="2" t="str">
        <x:v>2021-01-26</x:v>
      </x:c>
      <x:c r="G825" s="2" t="str">
        <x:v>2021</x:v>
      </x:c>
      <x:c r="H825" s="2" t="str">
        <x:v>01</x:v>
      </x:c>
      <x:c r="I825" s="2" t="str">
        <x:v>반려</x:v>
      </x:c>
      <x:c r="J825" s="2" t="str">
        <x:v>반려</x:v>
      </x:c>
      <x:c r="K825" s="2" t="str">
        <x:f>IF(OR(J825="심의승인",J825="반려",J825="반려완료",J825="심의완료"),"종결 표시",IF(OR(J825="기후부협의",J825="문서재제출요청",J825="보류",J825="보완요청",J825="보완완료",J825="평가중",J825="반려요청",J825="평가필요",LEFT(J825,5)="보완요청("),"미종결 표시","상태 확인 필요"))</x:f>
        <x:v>종결 표시</x:v>
      </x:c>
      <x:c r="L825" s="2"/>
      <x:c r="M825" s="2"/>
      <x:c r="N825" s="8" t="n">
        <x:f>DATE(2026,10,15)-DATE(2021,1,26)</x:f>
        <x:v>2088</x:v>
      </x:c>
      <x:c r="O825" s="2"/>
      <x:c r="P825" s="2" t="str">
        <x:v>반려완료(재신청 예정)</x:v>
      </x:c>
      <x:c r="Q825" s="2" t="str">
        <x:v>산업전환_외부사업관리Tool_260707_이너젠 수정_LJY_261013.xlsx</x:v>
      </x:c>
      <x:c r="R825" s="2" t="str">
        <x:v>국내평가</x:v>
      </x:c>
      <x:c r="S825" s="8" t="n">
        <x:v>728</x:v>
      </x:c>
      <x:c r="T825" s="2" t="str">
        <x:v>2021년 처리</x:v>
      </x:c>
      <x:c r="U825" s="2" t="str">
        <x:v>2021 배정: 2021년 처리</x:v>
      </x:c>
      <x:c r="V825" s="2" t="str">
        <x:v>2021-06-30</x:v>
      </x:c>
      <x:c r="W825" s="2" t="str">
        <x:v>담당기관 확인</x:v>
      </x:c>
      <x:c r="X825" s="2" t="str">
        <x:v>원본·배정 기록 확인</x:v>
      </x:c>
      <x:c r="Y825" s="2" t="str">
        <x:v>ad210cd9ec132cfd447541c8984dc53d30aff0f4fb2dc92d254d49275cc55976</x:v>
      </x:c>
      <x:c r="Z825" s="2" t="n">
        <x:f>SUBTOTAL(103,A825)</x:f>
        <x:v>1</x:v>
      </x:c>
      <x:c r="AA825" s="2" t="str">
        <x:f>IF(K825&lt;&gt;"미종결 표시","대상 아님",IF(N825="","신청일 확인",IF(NOT(ISNUMBER('종합 현황'!$H$5)),"관찰기준 확인",IF('종합 현황'!$H$5&lt;1,"관찰기준 확인",IF(N825&gt;'종합 현황'!$H$5,"내부 관찰 대상","내부 관찰일 이하")))))</x:f>
        <x:v>대상 아님</x:v>
      </x:c>
      <x:c r="AB825" s="2"/>
    </x:row>
    <x:row r="826" ht="42" customHeight="1">
      <x:c r="A826" s="2" t="str">
        <x:v>80b1a71e4b32905e15d739e1</x:v>
      </x:c>
      <x:c r="B826" s="2" t="str">
        <x:v>사업 평가</x:v>
      </x:c>
      <x:c r="C826" s="2" t="str">
        <x:v>국내</x:v>
      </x:c>
      <x:c r="D826" s="7" t="str">
        <x:v>자스민 인버터 공기압축기 교체를 통한 온실가스 감축사업</x:v>
      </x:c>
      <x:c r="E826" s="2" t="str">
        <x:v>687</x:v>
      </x:c>
      <x:c r="F826" s="2" t="str">
        <x:v>2021-01-26</x:v>
      </x:c>
      <x:c r="G826" s="2" t="str">
        <x:v>2021</x:v>
      </x:c>
      <x:c r="H826" s="2" t="str">
        <x:v>01</x:v>
      </x:c>
      <x:c r="I826" s="2" t="str">
        <x:v>반려</x:v>
      </x:c>
      <x:c r="J826" s="2" t="str">
        <x:v>반려</x:v>
      </x:c>
      <x:c r="K826" s="2" t="str">
        <x:f>IF(OR(J826="심의승인",J826="반려",J826="반려완료",J826="심의완료"),"종결 표시",IF(OR(J826="기후부협의",J826="문서재제출요청",J826="보류",J826="보완요청",J826="보완완료",J826="평가중",J826="반려요청",J826="평가필요",LEFT(J826,5)="보완요청("),"미종결 표시","상태 확인 필요"))</x:f>
        <x:v>종결 표시</x:v>
      </x:c>
      <x:c r="L826" s="2" t="str">
        <x:v>에코시안_박세은</x:v>
      </x:c>
      <x:c r="M826" s="2"/>
      <x:c r="N826" s="8" t="n">
        <x:f>DATE(2026,10,15)-DATE(2021,1,26)</x:f>
        <x:v>2088</x:v>
      </x:c>
      <x:c r="O826" s="2" t="str">
        <x:v>O(6월추가)</x:v>
      </x:c>
      <x:c r="P826" s="2"/>
      <x:c r="Q826" s="2" t="str">
        <x:v>산업전환_외부사업관리Tool_260707_이너젠 수정_LJY_261013.xlsx</x:v>
      </x:c>
      <x:c r="R826" s="2" t="str">
        <x:v>국내평가</x:v>
      </x:c>
      <x:c r="S826" s="8" t="n">
        <x:v>729</x:v>
      </x:c>
      <x:c r="T826" s="2" t="str">
        <x:v>(6/28)</x:v>
      </x:c>
      <x:c r="U826" s="2" t="str">
        <x:v>2021 배정: (6/28)</x:v>
      </x:c>
      <x:c r="V826" s="2" t="str">
        <x:v>2021-10-25</x:v>
      </x:c>
      <x:c r="W826" s="2" t="str"/>
      <x:c r="X826" s="2" t="str">
        <x:v>종결 근거 보관</x:v>
      </x:c>
      <x:c r="Y826" s="2" t="str">
        <x:v>ad210cd9ec132cfd447541c8984dc53d30aff0f4fb2dc92d254d49275cc55976</x:v>
      </x:c>
      <x:c r="Z826" s="2" t="n">
        <x:f>SUBTOTAL(103,A826)</x:f>
        <x:v>1</x:v>
      </x:c>
      <x:c r="AA826" s="2" t="str">
        <x:f>IF(K826&lt;&gt;"미종결 표시","대상 아님",IF(N826="","신청일 확인",IF(NOT(ISNUMBER('종합 현황'!$H$5)),"관찰기준 확인",IF('종합 현황'!$H$5&lt;1,"관찰기준 확인",IF(N826&gt;'종합 현황'!$H$5,"내부 관찰 대상","내부 관찰일 이하")))))</x:f>
        <x:v>대상 아님</x:v>
      </x:c>
      <x:c r="AB826" s="2"/>
    </x:row>
    <x:row r="827" ht="42" customHeight="1">
      <x:c r="A827" s="2" t="str">
        <x:v>1ff75db83e985ea73f451ecc</x:v>
      </x:c>
      <x:c r="B827" s="2" t="str">
        <x:v>사업 평가</x:v>
      </x:c>
      <x:c r="C827" s="2" t="str">
        <x:v>국내</x:v>
      </x:c>
      <x:c r="D827" s="7" t="str">
        <x:v>㈜대아산업 연료전환(B-C유 → LPG)을 통한 온실가스 배출 감축사업</x:v>
      </x:c>
      <x:c r="E827" s="2" t="str">
        <x:v>688</x:v>
      </x:c>
      <x:c r="F827" s="2" t="str">
        <x:v>2020-05-22</x:v>
      </x:c>
      <x:c r="G827" s="2" t="str">
        <x:v>2020</x:v>
      </x:c>
      <x:c r="H827" s="2" t="str">
        <x:v>05</x:v>
      </x:c>
      <x:c r="I827" s="2" t="str">
        <x:v>승인</x:v>
      </x:c>
      <x:c r="J827" s="2" t="str">
        <x:v>심의승인</x:v>
      </x:c>
      <x:c r="K827" s="2" t="str">
        <x:f>IF(OR(J827="심의승인",J827="반려",J827="반려완료",J827="심의완료"),"종결 표시",IF(OR(J827="기후부협의",J827="문서재제출요청",J827="보류",J827="보완요청",J827="보완완료",J827="평가중",J827="반려요청",J827="평가필요",LEFT(J827,5)="보완요청("),"미종결 표시","상태 확인 필요"))</x:f>
        <x:v>종결 표시</x:v>
      </x:c>
      <x:c r="L827" s="2" t="str">
        <x:v>에코시안_정인혜</x:v>
      </x:c>
      <x:c r="M827" s="2"/>
      <x:c r="N827" s="8" t="n">
        <x:f>DATE(2026,10,15)-DATE(2020,5,22)</x:f>
        <x:v>2337</x:v>
      </x:c>
      <x:c r="O827" s="2" t="str">
        <x:v>생략</x:v>
      </x:c>
      <x:c r="P827" s="2"/>
      <x:c r="Q827" s="2" t="str">
        <x:v>산업전환_외부사업관리Tool_260707_이너젠 수정_LJY_261013.xlsx</x:v>
      </x:c>
      <x:c r="R827" s="2" t="str">
        <x:v>국내평가</x:v>
      </x:c>
      <x:c r="S827" s="8" t="n">
        <x:v>730</x:v>
      </x:c>
      <x:c r="T827" s="2" t="str">
        <x:v>(7/12),(9/1)</x:v>
      </x:c>
      <x:c r="U827" s="2" t="str">
        <x:v>2021 배정: (7/12),(9/1) / 2022 배정: (4/19) / 2025 배정: (4/17),(11/10) / 2026(사전): (1/14),(4/9),(5/26)</x:v>
      </x:c>
      <x:c r="V827" s="2" t="str">
        <x:v>2026-09-08</x:v>
      </x:c>
      <x:c r="W827" s="2" t="str"/>
      <x:c r="X827" s="2" t="str">
        <x:v>종결 근거 보관</x:v>
      </x:c>
      <x:c r="Y827" s="2" t="str">
        <x:v>ad210cd9ec132cfd447541c8984dc53d30aff0f4fb2dc92d254d49275cc55976</x:v>
      </x:c>
      <x:c r="Z827" s="2" t="n">
        <x:f>SUBTOTAL(103,A827)</x:f>
        <x:v>1</x:v>
      </x:c>
      <x:c r="AA827" s="2" t="str">
        <x:f>IF(K827&lt;&gt;"미종결 표시","대상 아님",IF(N827="","신청일 확인",IF(NOT(ISNUMBER('종합 현황'!$H$5)),"관찰기준 확인",IF('종합 현황'!$H$5&lt;1,"관찰기준 확인",IF(N827&gt;'종합 현황'!$H$5,"내부 관찰 대상","내부 관찰일 이하")))))</x:f>
        <x:v>대상 아님</x:v>
      </x:c>
      <x:c r="AB827" s="2"/>
    </x:row>
    <x:row r="828" ht="42" customHeight="1">
      <x:c r="A828" s="2" t="str">
        <x:v>9d922cbaf308fbdbe4fafa1c</x:v>
      </x:c>
      <x:c r="B828" s="2" t="str">
        <x:v>사업 평가</x:v>
      </x:c>
      <x:c r="C828" s="2" t="str">
        <x:v>국내</x:v>
      </x:c>
      <x:c r="D828" s="7" t="str">
        <x:v>칠갑농산주식회사의 보일러 연료전환(B-A유 → LPG)을 통한 온실가스(CO2) 배출 감축사업</x:v>
      </x:c>
      <x:c r="E828" s="2" t="str">
        <x:v>689</x:v>
      </x:c>
      <x:c r="F828" s="2" t="str">
        <x:v>2020-09-25</x:v>
      </x:c>
      <x:c r="G828" s="2" t="str">
        <x:v>2020</x:v>
      </x:c>
      <x:c r="H828" s="2" t="str">
        <x:v>09</x:v>
      </x:c>
      <x:c r="I828" s="2" t="str">
        <x:v>보완3차_문서보완중</x:v>
      </x:c>
      <x:c r="J828" s="2" t="str">
        <x:v>보완요청</x:v>
      </x:c>
      <x:c r="K828" s="2" t="str">
        <x:f>IF(OR(J828="심의승인",J828="반려",J828="반려완료",J828="심의완료"),"종결 표시",IF(OR(J828="기후부협의",J828="문서재제출요청",J828="보류",J828="보완요청",J828="보완완료",J828="평가중",J828="반려요청",J828="평가필요",LEFT(J828,5)="보완요청("),"미종결 표시","상태 확인 필요"))</x:f>
        <x:v>미종결 표시</x:v>
      </x:c>
      <x:c r="L828" s="2" t="str">
        <x:v>에코시안_정인혜&gt;박세은</x:v>
      </x:c>
      <x:c r="M828" s="2" t="n">
        <x:v>3</x:v>
      </x:c>
      <x:c r="N828" s="8" t="n">
        <x:f>DATE(2026,10,15)-DATE(2020,9,25)</x:f>
        <x:v>2211</x:v>
      </x:c>
      <x:c r="O828" s="2" t="str">
        <x:v>O(22.05)</x:v>
      </x:c>
      <x:c r="P828" s="2" t="str">
        <x:v>LPG 계측기 O</x:v>
      </x:c>
      <x:c r="Q828" s="2" t="str">
        <x:v>산업전환_외부사업관리Tool_260707_이너젠 수정_LJY_261013.xlsx</x:v>
      </x:c>
      <x:c r="R828" s="2" t="str">
        <x:v>국내평가</x:v>
      </x:c>
      <x:c r="S828" s="8" t="n">
        <x:v>731</x:v>
      </x:c>
      <x:c r="T828" s="2" t="str">
        <x:v>(8/3)</x:v>
      </x:c>
      <x:c r="U828" s="2" t="str">
        <x:v>2021 배정: (8/3) / 2022 배정: (4/19) / 2022 배정(신규): (5/18),(12/27) / 2024 배정: (1/12),(2/26),(5/20)</x:v>
      </x:c>
      <x:c r="V828" s="2" t="str">
        <x:v>2024-05-24</x:v>
      </x:c>
      <x:c r="W828" s="2" t="str"/>
      <x:c r="X828" s="2" t="str">
        <x:v>보완 회신 일정 확인</x:v>
      </x:c>
      <x:c r="Y828" s="2" t="str">
        <x:v>ad210cd9ec132cfd447541c8984dc53d30aff0f4fb2dc92d254d49275cc55976</x:v>
      </x:c>
      <x:c r="Z828" s="2" t="n">
        <x:f>SUBTOTAL(103,A828)</x:f>
        <x:v>1</x:v>
      </x:c>
      <x:c r="AA828" s="2" t="str">
        <x:f>IF(K828&lt;&gt;"미종결 표시","대상 아님",IF(N828="","신청일 확인",IF(NOT(ISNUMBER('종합 현황'!$H$5)),"관찰기준 확인",IF('종합 현황'!$H$5&lt;1,"관찰기준 확인",IF(N828&gt;'종합 현황'!$H$5,"내부 관찰 대상","내부 관찰일 이하")))))</x:f>
        <x:v>내부 관찰 대상</x:v>
      </x:c>
      <x:c r="AB828" s="2"/>
    </x:row>
    <x:row r="829" ht="42" customHeight="1">
      <x:c r="A829" s="2" t="str">
        <x:v>e5c3d2d6397310ecdbcd09bf</x:v>
      </x:c>
      <x:c r="B829" s="2" t="str">
        <x:v>사업 평가</x:v>
      </x:c>
      <x:c r="C829" s="2" t="str">
        <x:v>국내</x:v>
      </x:c>
      <x:c r="D829" s="7" t="str">
        <x:v>우광아스콘(주) 연료전환(B-C유, 정제유 → LPG)을 통한 온실가스 배출 감축사업</x:v>
      </x:c>
      <x:c r="E829" s="2" t="str">
        <x:v>690</x:v>
      </x:c>
      <x:c r="F829" s="2" t="str">
        <x:v>2020-06-10</x:v>
      </x:c>
      <x:c r="G829" s="2" t="str">
        <x:v>2020</x:v>
      </x:c>
      <x:c r="H829" s="2" t="str">
        <x:v>06</x:v>
      </x:c>
      <x:c r="I829" s="2" t="str">
        <x:v>협의검토중</x:v>
      </x:c>
      <x:c r="J829" s="2" t="str">
        <x:v>평가중</x:v>
      </x:c>
      <x:c r="K829" s="2" t="str">
        <x:f>IF(OR(J829="심의승인",J829="반려",J829="반려완료",J829="심의완료"),"종결 표시",IF(OR(J829="기후부협의",J829="문서재제출요청",J829="보류",J829="보완요청",J829="보완완료",J829="평가중",J829="반려요청",J829="평가필요",LEFT(J829,5)="보완요청("),"미종결 표시","상태 확인 필요"))</x:f>
        <x:v>미종결 표시</x:v>
      </x:c>
      <x:c r="L829" s="2" t="str">
        <x:v>에코시안_박세은</x:v>
      </x:c>
      <x:c r="M829" s="2"/>
      <x:c r="N829" s="8" t="n">
        <x:f>DATE(2026,10,15)-DATE(2020,6,10)</x:f>
        <x:v>2318</x:v>
      </x:c>
      <x:c r="O829" s="2" t="str">
        <x:v>생략</x:v>
      </x:c>
      <x:c r="P829" s="2" t="str">
        <x:v>LPG 계측기 X, 방법론 개정으로 신규 신청</x:v>
      </x:c>
      <x:c r="Q829" s="2" t="str">
        <x:v>산업전환_외부사업관리Tool_260707_이너젠 수정_LJY_261013.xlsx</x:v>
      </x:c>
      <x:c r="R829" s="2" t="str">
        <x:v>국내평가</x:v>
      </x:c>
      <x:c r="S829" s="8" t="n">
        <x:v>732</x:v>
      </x:c>
      <x:c r="T829" s="2" t="str">
        <x:v>(7/12),(9/1)</x:v>
      </x:c>
      <x:c r="U829" s="2" t="str">
        <x:v>2021 배정: (7/12),(9/1) / 2022 배정: (4/19) / 2025 배정: (4/17),(5/30),(10/16),(12/1) / 2026(사전): (4/29),(7/7)</x:v>
      </x:c>
      <x:c r="V829" s="2" t="str">
        <x:v>2026-09-07</x:v>
      </x:c>
      <x:c r="W829" s="2" t="str"/>
      <x:c r="X829" s="2" t="str">
        <x:v>검토 진행 일정 확인</x:v>
      </x:c>
      <x:c r="Y829" s="2" t="str">
        <x:v>ad210cd9ec132cfd447541c8984dc53d30aff0f4fb2dc92d254d49275cc55976</x:v>
      </x:c>
      <x:c r="Z829" s="2" t="n">
        <x:f>SUBTOTAL(103,A829)</x:f>
        <x:v>1</x:v>
      </x:c>
      <x:c r="AA829" s="2" t="str">
        <x:f>IF(K829&lt;&gt;"미종결 표시","대상 아님",IF(N829="","신청일 확인",IF(NOT(ISNUMBER('종합 현황'!$H$5)),"관찰기준 확인",IF('종합 현황'!$H$5&lt;1,"관찰기준 확인",IF(N829&gt;'종합 현황'!$H$5,"내부 관찰 대상","내부 관찰일 이하")))))</x:f>
        <x:v>내부 관찰 대상</x:v>
      </x:c>
      <x:c r="AB829" s="2"/>
    </x:row>
    <x:row r="830" ht="42" customHeight="1">
      <x:c r="A830" s="2" t="str">
        <x:v>4fc8a3ef1d45e1d0bc7a791b</x:v>
      </x:c>
      <x:c r="B830" s="2" t="str">
        <x:v>사업 평가</x:v>
      </x:c>
      <x:c r="C830" s="2" t="str">
        <x:v>국내</x:v>
      </x:c>
      <x:c r="D830" s="7" t="str">
        <x:v>주식회사 대원아스콘 연료전주식회사 대원아스콘 연료전환(정제유→ LPG)을 통한 온실가스 배출 감축사업</x:v>
      </x:c>
      <x:c r="E830" s="2" t="str">
        <x:v>691</x:v>
      </x:c>
      <x:c r="F830" s="2" t="str">
        <x:v>2020-06-11</x:v>
      </x:c>
      <x:c r="G830" s="2" t="str">
        <x:v>2020</x:v>
      </x:c>
      <x:c r="H830" s="2" t="str">
        <x:v>06</x:v>
      </x:c>
      <x:c r="I830" s="2" t="str">
        <x:v>보완3차_문서보완중</x:v>
      </x:c>
      <x:c r="J830" s="2" t="str">
        <x:v>보완요청</x:v>
      </x:c>
      <x:c r="K830" s="2" t="str">
        <x:f>IF(OR(J830="심의승인",J830="반려",J830="반려완료",J830="심의완료"),"종결 표시",IF(OR(J830="기후부협의",J830="문서재제출요청",J830="보류",J830="보완요청",J830="보완완료",J830="평가중",J830="반려요청",J830="평가필요",LEFT(J830,5)="보완요청("),"미종결 표시","상태 확인 필요"))</x:f>
        <x:v>미종결 표시</x:v>
      </x:c>
      <x:c r="L830" s="2" t="str">
        <x:v>에코시안_박세은</x:v>
      </x:c>
      <x:c r="M830" s="2" t="n">
        <x:v>3</x:v>
      </x:c>
      <x:c r="N830" s="8" t="n">
        <x:f>DATE(2026,10,15)-DATE(2020,6,11)</x:f>
        <x:v>2317</x:v>
      </x:c>
      <x:c r="O830" s="2" t="str">
        <x:v>생략</x:v>
      </x:c>
      <x:c r="P830" s="2"/>
      <x:c r="Q830" s="2" t="str">
        <x:v>산업전환_외부사업관리Tool_260707_이너젠 수정_LJY_261013.xlsx</x:v>
      </x:c>
      <x:c r="R830" s="2" t="str">
        <x:v>국내평가</x:v>
      </x:c>
      <x:c r="S830" s="8" t="n">
        <x:v>733</x:v>
      </x:c>
      <x:c r="T830" s="2" t="str">
        <x:v>(7/12),(9/1)</x:v>
      </x:c>
      <x:c r="U830" s="2" t="str">
        <x:v>2021 배정: (7/12),(9/1) / 2022 배정: (4/19) / 2025 배정: (4/17),(6/26)</x:v>
      </x:c>
      <x:c r="V830" s="2" t="str">
        <x:v>2025-07-29</x:v>
      </x:c>
      <x:c r="W830" s="2" t="str"/>
      <x:c r="X830" s="2" t="str">
        <x:v>보완 회신 일정 확인</x:v>
      </x:c>
      <x:c r="Y830" s="2" t="str">
        <x:v>ad210cd9ec132cfd447541c8984dc53d30aff0f4fb2dc92d254d49275cc55976</x:v>
      </x:c>
      <x:c r="Z830" s="2" t="n">
        <x:f>SUBTOTAL(103,A830)</x:f>
        <x:v>1</x:v>
      </x:c>
      <x:c r="AA830" s="2" t="str">
        <x:f>IF(K830&lt;&gt;"미종결 표시","대상 아님",IF(N830="","신청일 확인",IF(NOT(ISNUMBER('종합 현황'!$H$5)),"관찰기준 확인",IF('종합 현황'!$H$5&lt;1,"관찰기준 확인",IF(N830&gt;'종합 현황'!$H$5,"내부 관찰 대상","내부 관찰일 이하")))))</x:f>
        <x:v>내부 관찰 대상</x:v>
      </x:c>
      <x:c r="AB830" s="2"/>
    </x:row>
    <x:row r="831" ht="42" customHeight="1">
      <x:c r="A831" s="2" t="str">
        <x:v>0d5a4a32ee01e1855d541d9b</x:v>
      </x:c>
      <x:c r="B831" s="2" t="str">
        <x:v>사업 평가</x:v>
      </x:c>
      <x:c r="C831" s="2" t="str">
        <x:v>국내</x:v>
      </x:c>
      <x:c r="D831" s="7" t="str">
        <x:v>주식회사 대국아이.엔.티 당진공장 고효율 공기압축기 교체를 통한  온실가스 감축사업</x:v>
      </x:c>
      <x:c r="E831" s="2" t="str">
        <x:v>692</x:v>
      </x:c>
      <x:c r="F831" s="2" t="str">
        <x:v>2021-01-05</x:v>
      </x:c>
      <x:c r="G831" s="2" t="str">
        <x:v>2021</x:v>
      </x:c>
      <x:c r="H831" s="2" t="str">
        <x:v>01</x:v>
      </x:c>
      <x:c r="I831" s="2" t="str">
        <x:v>승인</x:v>
      </x:c>
      <x:c r="J831" s="2" t="str">
        <x:v>심의승인</x:v>
      </x:c>
      <x:c r="K831" s="2" t="str">
        <x:f>IF(OR(J831="심의승인",J831="반려",J831="반려완료",J831="심의완료"),"종결 표시",IF(OR(J831="기후부협의",J831="문서재제출요청",J831="보류",J831="보완요청",J831="보완완료",J831="평가중",J831="반려요청",J831="평가필요",LEFT(J831,5)="보완요청("),"미종결 표시","상태 확인 필요"))</x:f>
        <x:v>종결 표시</x:v>
      </x:c>
      <x:c r="L831" s="2"/>
      <x:c r="M831" s="2"/>
      <x:c r="N831" s="8" t="n">
        <x:f>DATE(2026,10,15)-DATE(2021,1,5)</x:f>
        <x:v>2109</x:v>
      </x:c>
      <x:c r="O831" s="2" t="str">
        <x:v>O(5월)</x:v>
      </x:c>
      <x:c r="P831" s="2"/>
      <x:c r="Q831" s="2" t="str">
        <x:v>산업전환_외부사업관리Tool_260707_이너젠 수정_LJY_261013.xlsx</x:v>
      </x:c>
      <x:c r="R831" s="2" t="str">
        <x:v>국내평가</x:v>
      </x:c>
      <x:c r="S831" s="8" t="n">
        <x:v>734</x:v>
      </x:c>
      <x:c r="T831" s="2"/>
      <x:c r="U831" s="2" t="str"/>
      <x:c r="V831" s="2" t="str">
        <x:v>2022-05-13</x:v>
      </x:c>
      <x:c r="W831" s="2" t="str">
        <x:v>담당기관 확인</x:v>
      </x:c>
      <x:c r="X831" s="2" t="str">
        <x:v>원본·배정 기록 확인</x:v>
      </x:c>
      <x:c r="Y831" s="2" t="str">
        <x:v>ad210cd9ec132cfd447541c8984dc53d30aff0f4fb2dc92d254d49275cc55976</x:v>
      </x:c>
      <x:c r="Z831" s="2" t="n">
        <x:f>SUBTOTAL(103,A831)</x:f>
        <x:v>1</x:v>
      </x:c>
      <x:c r="AA831" s="2" t="str">
        <x:f>IF(K831&lt;&gt;"미종결 표시","대상 아님",IF(N831="","신청일 확인",IF(NOT(ISNUMBER('종합 현황'!$H$5)),"관찰기준 확인",IF('종합 현황'!$H$5&lt;1,"관찰기준 확인",IF(N831&gt;'종합 현황'!$H$5,"내부 관찰 대상","내부 관찰일 이하")))))</x:f>
        <x:v>대상 아님</x:v>
      </x:c>
      <x:c r="AB831" s="2"/>
    </x:row>
    <x:row r="832" ht="42" customHeight="1">
      <x:c r="A832" s="2" t="str">
        <x:v>756a7de81f1aafe2b331a972</x:v>
      </x:c>
      <x:c r="B832" s="2" t="str">
        <x:v>사업 평가</x:v>
      </x:c>
      <x:c r="C832" s="2" t="str">
        <x:v>국내</x:v>
      </x:c>
      <x:c r="D832" s="7" t="str">
        <x:v>㈜삼성콘크리트봉양공장의 연료전환(부생연료2호→LPG)을 통한 온실가스 감축사업</x:v>
      </x:c>
      <x:c r="E832" s="2" t="str">
        <x:v>693</x:v>
      </x:c>
      <x:c r="F832" s="2" t="str">
        <x:v>2021-01-08</x:v>
      </x:c>
      <x:c r="G832" s="2" t="str">
        <x:v>2021</x:v>
      </x:c>
      <x:c r="H832" s="2" t="str">
        <x:v>01</x:v>
      </x:c>
      <x:c r="I832" s="2" t="str">
        <x:v>승인</x:v>
      </x:c>
      <x:c r="J832" s="2" t="str">
        <x:v>심의승인</x:v>
      </x:c>
      <x:c r="K832" s="2" t="str">
        <x:f>IF(OR(J832="심의승인",J832="반려",J832="반려완료",J832="심의완료"),"종결 표시",IF(OR(J832="기후부협의",J832="문서재제출요청",J832="보류",J832="보완요청",J832="보완완료",J832="평가중",J832="반려요청",J832="평가필요",LEFT(J832,5)="보완요청("),"미종결 표시","상태 확인 필요"))</x:f>
        <x:v>종결 표시</x:v>
      </x:c>
      <x:c r="L832" s="2"/>
      <x:c r="M832" s="2"/>
      <x:c r="N832" s="8" t="n">
        <x:f>DATE(2026,10,15)-DATE(2021,1,8)</x:f>
        <x:v>2106</x:v>
      </x:c>
      <x:c r="O832" s="2" t="str">
        <x:v>O(4월)</x:v>
      </x:c>
      <x:c r="P832" s="2"/>
      <x:c r="Q832" s="2" t="str">
        <x:v>산업전환_외부사업관리Tool_260707_이너젠 수정_LJY_261013.xlsx</x:v>
      </x:c>
      <x:c r="R832" s="2" t="str">
        <x:v>국내평가</x:v>
      </x:c>
      <x:c r="S832" s="8" t="n">
        <x:v>735</x:v>
      </x:c>
      <x:c r="T832" s="2" t="str">
        <x:v>2021년 처리</x:v>
      </x:c>
      <x:c r="U832" s="2" t="str">
        <x:v>2021 배정: 2021년 처리</x:v>
      </x:c>
      <x:c r="V832" s="2" t="str">
        <x:v>2021-09-27</x:v>
      </x:c>
      <x:c r="W832" s="2" t="str">
        <x:v>담당기관 확인</x:v>
      </x:c>
      <x:c r="X832" s="2" t="str">
        <x:v>원본·배정 기록 확인</x:v>
      </x:c>
      <x:c r="Y832" s="2" t="str">
        <x:v>ad210cd9ec132cfd447541c8984dc53d30aff0f4fb2dc92d254d49275cc55976</x:v>
      </x:c>
      <x:c r="Z832" s="2" t="n">
        <x:f>SUBTOTAL(103,A832)</x:f>
        <x:v>1</x:v>
      </x:c>
      <x:c r="AA832" s="2" t="str">
        <x:f>IF(K832&lt;&gt;"미종결 표시","대상 아님",IF(N832="","신청일 확인",IF(NOT(ISNUMBER('종합 현황'!$H$5)),"관찰기준 확인",IF('종합 현황'!$H$5&lt;1,"관찰기준 확인",IF(N832&gt;'종합 현황'!$H$5,"내부 관찰 대상","내부 관찰일 이하")))))</x:f>
        <x:v>대상 아님</x:v>
      </x:c>
      <x:c r="AB832" s="2"/>
    </x:row>
    <x:row r="833" ht="42" customHeight="1">
      <x:c r="A833" s="2" t="str">
        <x:v>395be50c04645f611c5e0d76</x:v>
      </x:c>
      <x:c r="B833" s="2" t="str">
        <x:v>사업 평가</x:v>
      </x:c>
      <x:c r="C833" s="2" t="str">
        <x:v>국내</x:v>
      </x:c>
      <x:c r="D833" s="7" t="str">
        <x:v>서전산업(주) 연료전환(B-C유에서 LPG)을 통한 온실가스 배출 감축사업</x:v>
      </x:c>
      <x:c r="E833" s="2" t="str">
        <x:v>694</x:v>
      </x:c>
      <x:c r="F833" s="2" t="str">
        <x:v>2020-08-31</x:v>
      </x:c>
      <x:c r="G833" s="2" t="str">
        <x:v>2020</x:v>
      </x:c>
      <x:c r="H833" s="2" t="str">
        <x:v>08</x:v>
      </x:c>
      <x:c r="I833" s="2" t="str">
        <x:v>반려</x:v>
      </x:c>
      <x:c r="J833" s="2" t="str">
        <x:v>반려</x:v>
      </x:c>
      <x:c r="K833" s="2" t="str">
        <x:f>IF(OR(J833="심의승인",J833="반려",J833="반려완료",J833="심의완료"),"종결 표시",IF(OR(J833="기후부협의",J833="문서재제출요청",J833="보류",J833="보완요청",J833="보완완료",J833="평가중",J833="반려요청",J833="평가필요",LEFT(J833,5)="보완요청("),"미종결 표시","상태 확인 필요"))</x:f>
        <x:v>종결 표시</x:v>
      </x:c>
      <x:c r="L833" s="2" t="str">
        <x:v>에코시안_박세은</x:v>
      </x:c>
      <x:c r="M833" s="2"/>
      <x:c r="N833" s="8" t="n">
        <x:f>DATE(2026,10,15)-DATE(2020,8,31)</x:f>
        <x:v>2236</x:v>
      </x:c>
      <x:c r="O833" s="2"/>
      <x:c r="P833" s="2" t="str">
        <x:v>LPG 계측기 X, 방법론 개정으로 재신청 필요</x:v>
      </x:c>
      <x:c r="Q833" s="2" t="str">
        <x:v>산업전환_외부사업관리Tool_260707_이너젠 수정_LJY_261013.xlsx</x:v>
      </x:c>
      <x:c r="R833" s="2" t="str">
        <x:v>국내평가</x:v>
      </x:c>
      <x:c r="S833" s="8" t="n">
        <x:v>736</x:v>
      </x:c>
      <x:c r="T833" s="2" t="str">
        <x:v>(7/12),(9/14),(12/1)</x:v>
      </x:c>
      <x:c r="U833" s="2" t="str">
        <x:v>2021 배정: (7/12),(9/14),(12/1) / 2022 배정: (4/19)</x:v>
      </x:c>
      <x:c r="V833" s="2" t="str">
        <x:v>2025-04-10</x:v>
      </x:c>
      <x:c r="W833" s="2" t="str"/>
      <x:c r="X833" s="2" t="str">
        <x:v>종결 근거 보관</x:v>
      </x:c>
      <x:c r="Y833" s="2" t="str">
        <x:v>ad210cd9ec132cfd447541c8984dc53d30aff0f4fb2dc92d254d49275cc55976</x:v>
      </x:c>
      <x:c r="Z833" s="2" t="n">
        <x:f>SUBTOTAL(103,A833)</x:f>
        <x:v>1</x:v>
      </x:c>
      <x:c r="AA833" s="2" t="str">
        <x:f>IF(K833&lt;&gt;"미종결 표시","대상 아님",IF(N833="","신청일 확인",IF(NOT(ISNUMBER('종합 현황'!$H$5)),"관찰기준 확인",IF('종합 현황'!$H$5&lt;1,"관찰기준 확인",IF(N833&gt;'종합 현황'!$H$5,"내부 관찰 대상","내부 관찰일 이하")))))</x:f>
        <x:v>대상 아님</x:v>
      </x:c>
      <x:c r="AB833" s="2"/>
    </x:row>
    <x:row r="834" ht="42" customHeight="1">
      <x:c r="A834" s="2" t="str">
        <x:v>24689e4aeddc0742b2b64bb5</x:v>
      </x:c>
      <x:c r="B834" s="2" t="str">
        <x:v>사업 평가</x:v>
      </x:c>
      <x:c r="C834" s="2" t="str">
        <x:v>국내</x:v>
      </x:c>
      <x:c r="D834" s="7" t="str">
        <x:v>주식회사 맑은물에 보일러 연료교체(B-C유 → LPG) 사업</x:v>
      </x:c>
      <x:c r="E834" s="2" t="str">
        <x:v>695</x:v>
      </x:c>
      <x:c r="F834" s="2" t="str">
        <x:v>2021-01-19</x:v>
      </x:c>
      <x:c r="G834" s="2" t="str">
        <x:v>2021</x:v>
      </x:c>
      <x:c r="H834" s="2" t="str">
        <x:v>01</x:v>
      </x:c>
      <x:c r="I834" s="2" t="str">
        <x:v>보완3차_문서보완중</x:v>
      </x:c>
      <x:c r="J834" s="2" t="str">
        <x:v>보완요청</x:v>
      </x:c>
      <x:c r="K834" s="2" t="str">
        <x:f>IF(OR(J834="심의승인",J834="반려",J834="반려완료",J834="심의완료"),"종결 표시",IF(OR(J834="기후부협의",J834="문서재제출요청",J834="보류",J834="보완요청",J834="보완완료",J834="평가중",J834="반려요청",J834="평가필요",LEFT(J834,5)="보완요청("),"미종결 표시","상태 확인 필요"))</x:f>
        <x:v>미종결 표시</x:v>
      </x:c>
      <x:c r="L834" s="2" t="str">
        <x:v>KECM_임하진</x:v>
      </x:c>
      <x:c r="M834" s="2" t="n">
        <x:v>3</x:v>
      </x:c>
      <x:c r="N834" s="8" t="n">
        <x:f>DATE(2026,10,15)-DATE(2021,1,19)</x:f>
        <x:v>2095</x:v>
      </x:c>
      <x:c r="O834" s="2" t="str">
        <x:v>O(22.11)</x:v>
      </x:c>
      <x:c r="P834" s="2" t="str">
        <x:v>LPG 계측기 O, 전열식 보일러</x:v>
      </x:c>
      <x:c r="Q834" s="2" t="str">
        <x:v>산업전환_외부사업관리Tool_260707_이너젠 수정_LJY_261013.xlsx</x:v>
      </x:c>
      <x:c r="R834" s="2" t="str">
        <x:v>국내평가</x:v>
      </x:c>
      <x:c r="S834" s="8" t="n">
        <x:v>737</x:v>
      </x:c>
      <x:c r="T834" s="2" t="str">
        <x:v>(8/3),(9/14)</x:v>
      </x:c>
      <x:c r="U834" s="2" t="str">
        <x:v>2021 배정: (8/3),(9/14) / 2022 배정: (4/19) / 2022 배정(신규): (5/18),(12/27)</x:v>
      </x:c>
      <x:c r="V834" s="2" t="str">
        <x:v>2023-01-30</x:v>
      </x:c>
      <x:c r="W834" s="2" t="str"/>
      <x:c r="X834" s="2" t="str">
        <x:v>보완 회신 일정 확인</x:v>
      </x:c>
      <x:c r="Y834" s="2" t="str">
        <x:v>ad210cd9ec132cfd447541c8984dc53d30aff0f4fb2dc92d254d49275cc55976</x:v>
      </x:c>
      <x:c r="Z834" s="2" t="n">
        <x:f>SUBTOTAL(103,A834)</x:f>
        <x:v>1</x:v>
      </x:c>
      <x:c r="AA834" s="2" t="str">
        <x:f>IF(K834&lt;&gt;"미종결 표시","대상 아님",IF(N834="","신청일 확인",IF(NOT(ISNUMBER('종합 현황'!$H$5)),"관찰기준 확인",IF('종합 현황'!$H$5&lt;1,"관찰기준 확인",IF(N834&gt;'종합 현황'!$H$5,"내부 관찰 대상","내부 관찰일 이하")))))</x:f>
        <x:v>내부 관찰 대상</x:v>
      </x:c>
      <x:c r="AB834" s="2"/>
    </x:row>
    <x:row r="835" ht="42" customHeight="1">
      <x:c r="A835" s="2" t="str">
        <x:v>19b6736b2a18adb61492510c</x:v>
      </x:c>
      <x:c r="B835" s="2" t="str">
        <x:v>사업 평가</x:v>
      </x:c>
      <x:c r="C835" s="2" t="str">
        <x:v>국내</x:v>
      </x:c>
      <x:c r="D835" s="7" t="str">
        <x:v>(주)씨.피코리아 고효율 공기압축기 교체를 통한 온실가스 감축사업</x:v>
      </x:c>
      <x:c r="E835" s="2" t="str">
        <x:v>696</x:v>
      </x:c>
      <x:c r="F835" s="2" t="str">
        <x:v>2018-08-27</x:v>
      </x:c>
      <x:c r="G835" s="2" t="str">
        <x:v>2018</x:v>
      </x:c>
      <x:c r="H835" s="2" t="str">
        <x:v>08</x:v>
      </x:c>
      <x:c r="I835" s="2" t="str">
        <x:v>승인</x:v>
      </x:c>
      <x:c r="J835" s="2" t="str">
        <x:v>심의승인</x:v>
      </x:c>
      <x:c r="K835" s="2" t="str">
        <x:f>IF(OR(J835="심의승인",J835="반려",J835="반려완료",J835="심의완료"),"종결 표시",IF(OR(J835="기후부협의",J835="문서재제출요청",J835="보류",J835="보완요청",J835="보완완료",J835="평가중",J835="반려요청",J835="평가필요",LEFT(J835,5)="보완요청("),"미종결 표시","상태 확인 필요"))</x:f>
        <x:v>종결 표시</x:v>
      </x:c>
      <x:c r="L835" s="2" t="str">
        <x:v>에코시안_기샛별&gt;전윤호</x:v>
      </x:c>
      <x:c r="M835" s="2"/>
      <x:c r="N835" s="8" t="n">
        <x:f>DATE(2026,10,15)-DATE(2018,8,27)</x:f>
        <x:v>2971</x:v>
      </x:c>
      <x:c r="O835" s="2" t="str">
        <x:v>O(21.11)</x:v>
      </x:c>
      <x:c r="P835" s="2" t="str">
        <x:v>제51차 인증위</x:v>
      </x:c>
      <x:c r="Q835" s="2" t="str">
        <x:v>산업전환_외부사업관리Tool_260707_이너젠 수정_LJY_261013.xlsx</x:v>
      </x:c>
      <x:c r="R835" s="2" t="str">
        <x:v>국내평가</x:v>
      </x:c>
      <x:c r="S835" s="8" t="n">
        <x:v>738</x:v>
      </x:c>
      <x:c r="T835" s="2" t="str">
        <x:v>(7/12),(11/2)</x:v>
      </x:c>
      <x:c r="U835" s="2" t="str">
        <x:v>2021 배정: (7/12),(11/2) / 2022 배정(신규): (5/18),(12/27) / 2023 배정: (2/17)</x:v>
      </x:c>
      <x:c r="V835" s="2" t="str">
        <x:v>2023-07-17</x:v>
      </x:c>
      <x:c r="W835" s="2" t="str"/>
      <x:c r="X835" s="2" t="str">
        <x:v>종결 근거 보관</x:v>
      </x:c>
      <x:c r="Y835" s="2" t="str">
        <x:v>ad210cd9ec132cfd447541c8984dc53d30aff0f4fb2dc92d254d49275cc55976</x:v>
      </x:c>
      <x:c r="Z835" s="2" t="n">
        <x:f>SUBTOTAL(103,A835)</x:f>
        <x:v>1</x:v>
      </x:c>
      <x:c r="AA835" s="2" t="str">
        <x:f>IF(K835&lt;&gt;"미종결 표시","대상 아님",IF(N835="","신청일 확인",IF(NOT(ISNUMBER('종합 현황'!$H$5)),"관찰기준 확인",IF('종합 현황'!$H$5&lt;1,"관찰기준 확인",IF(N835&gt;'종합 현황'!$H$5,"내부 관찰 대상","내부 관찰일 이하")))))</x:f>
        <x:v>대상 아님</x:v>
      </x:c>
      <x:c r="AB835" s="2"/>
    </x:row>
    <x:row r="836" ht="42" customHeight="1">
      <x:c r="A836" s="2" t="str">
        <x:v>0e3517be0d24fe9562984f8d</x:v>
      </x:c>
      <x:c r="B836" s="2" t="str">
        <x:v>사업 평가</x:v>
      </x:c>
      <x:c r="C836" s="2" t="str">
        <x:v>국내</x:v>
      </x:c>
      <x:c r="D836" s="7" t="str">
        <x:v>그린아스콘 연료전환(B-C유→LPG) 온실가스 감축사업</x:v>
      </x:c>
      <x:c r="E836" s="2" t="str">
        <x:v>697</x:v>
      </x:c>
      <x:c r="F836" s="2" t="str">
        <x:v>2022-04-26</x:v>
      </x:c>
      <x:c r="G836" s="2" t="str">
        <x:v>2022</x:v>
      </x:c>
      <x:c r="H836" s="2" t="str">
        <x:v>04</x:v>
      </x:c>
      <x:c r="I836" s="2" t="str">
        <x:v>승인</x:v>
      </x:c>
      <x:c r="J836" s="2" t="str">
        <x:v>심의승인</x:v>
      </x:c>
      <x:c r="K836" s="2" t="str">
        <x:f>IF(OR(J836="심의승인",J836="반려",J836="반려완료",J836="심의완료"),"종결 표시",IF(OR(J836="기후부협의",J836="문서재제출요청",J836="보류",J836="보완요청",J836="보완완료",J836="평가중",J836="반려요청",J836="평가필요",LEFT(J836,5)="보완요청("),"미종결 표시","상태 확인 필요"))</x:f>
        <x:v>종결 표시</x:v>
      </x:c>
      <x:c r="L836" s="2" t="str">
        <x:v>에코시안_기샛별&gt;전윤호</x:v>
      </x:c>
      <x:c r="M836" s="2"/>
      <x:c r="N836" s="8" t="n">
        <x:f>DATE(2026,10,15)-DATE(2022,4,26)</x:f>
        <x:v>1633</x:v>
      </x:c>
      <x:c r="O836" s="2" t="str">
        <x:v>생략</x:v>
      </x:c>
      <x:c r="P836" s="2"/>
      <x:c r="Q836" s="2" t="str">
        <x:v>산업전환_외부사업관리Tool_260707_이너젠 수정_LJY_261013.xlsx</x:v>
      </x:c>
      <x:c r="R836" s="2" t="str">
        <x:v>국내평가</x:v>
      </x:c>
      <x:c r="S836" s="8" t="n">
        <x:v>739</x:v>
      </x:c>
      <x:c r="T836" s="2" t="str">
        <x:v>(5/18),(11/18),(12/27)</x:v>
      </x:c>
      <x:c r="U836" s="2" t="str">
        <x:v>2022 배정(신규): (5/18),(11/18),(12/27) / 2024 배정: (4/8),(4/29),(6/10),(7/1),(8/12)</x:v>
      </x:c>
      <x:c r="V836" s="2" t="str">
        <x:v>2024-12-10</x:v>
      </x:c>
      <x:c r="W836" s="2" t="str"/>
      <x:c r="X836" s="2" t="str">
        <x:v>종결 근거 보관</x:v>
      </x:c>
      <x:c r="Y836" s="2" t="str">
        <x:v>ad210cd9ec132cfd447541c8984dc53d30aff0f4fb2dc92d254d49275cc55976</x:v>
      </x:c>
      <x:c r="Z836" s="2" t="n">
        <x:f>SUBTOTAL(103,A836)</x:f>
        <x:v>1</x:v>
      </x:c>
      <x:c r="AA836" s="2" t="str">
        <x:f>IF(K836&lt;&gt;"미종결 표시","대상 아님",IF(N836="","신청일 확인",IF(NOT(ISNUMBER('종합 현황'!$H$5)),"관찰기준 확인",IF('종합 현황'!$H$5&lt;1,"관찰기준 확인",IF(N836&gt;'종합 현황'!$H$5,"내부 관찰 대상","내부 관찰일 이하")))))</x:f>
        <x:v>대상 아님</x:v>
      </x:c>
      <x:c r="AB836" s="2"/>
    </x:row>
    <x:row r="837" ht="42" customHeight="1">
      <x:c r="A837" s="2" t="str">
        <x:v>d081c4cedf4a72b41187f128</x:v>
      </x:c>
      <x:c r="B837" s="2" t="str">
        <x:v>사업 평가</x:v>
      </x:c>
      <x:c r="C837" s="2" t="str">
        <x:v>국내</x:v>
      </x:c>
      <x:c r="D837" s="7" t="str">
        <x:v>청정제조 기반구축사업 내 고효율 설비 교체를 통한 온실가스 배출 감축사업</x:v>
      </x:c>
      <x:c r="E837" s="2" t="str">
        <x:v>698</x:v>
      </x:c>
      <x:c r="F837" s="2" t="str">
        <x:v>2018-11-30</x:v>
      </x:c>
      <x:c r="G837" s="2" t="str">
        <x:v>2018</x:v>
      </x:c>
      <x:c r="H837" s="2" t="str">
        <x:v>11</x:v>
      </x:c>
      <x:c r="I837" s="2" t="str">
        <x:v>보완3차_문서보완중</x:v>
      </x:c>
      <x:c r="J837" s="2" t="str">
        <x:v>보완요청</x:v>
      </x:c>
      <x:c r="K837" s="2" t="str">
        <x:f>IF(OR(J837="심의승인",J837="반려",J837="반려완료",J837="심의완료"),"종결 표시",IF(OR(J837="기후부협의",J837="문서재제출요청",J837="보류",J837="보완요청",J837="보완완료",J837="평가중",J837="반려요청",J837="평가필요",LEFT(J837,5)="보완요청("),"미종결 표시","상태 확인 필요"))</x:f>
        <x:v>미종결 표시</x:v>
      </x:c>
      <x:c r="L837" s="2" t="str">
        <x:v>에코시안_박세은</x:v>
      </x:c>
      <x:c r="M837" s="2" t="n">
        <x:v>3</x:v>
      </x:c>
      <x:c r="N837" s="8" t="n">
        <x:f>DATE(2026,10,15)-DATE(2018,11,30)</x:f>
        <x:v>2876</x:v>
      </x:c>
      <x:c r="O837" s="2" t="str">
        <x:v>보류</x:v>
      </x:c>
      <x:c r="P837" s="2"/>
      <x:c r="Q837" s="2" t="str">
        <x:v>산업전환_외부사업관리Tool_260707_이너젠 수정_LJY_261013.xlsx</x:v>
      </x:c>
      <x:c r="R837" s="2" t="str">
        <x:v>국내평가</x:v>
      </x:c>
      <x:c r="S837" s="8" t="n">
        <x:v>740</x:v>
      </x:c>
      <x:c r="T837" s="2" t="str">
        <x:v>(6/28),(9/1),(12/1)</x:v>
      </x:c>
      <x:c r="U837" s="2" t="str">
        <x:v>2021 배정: (6/28),(9/1),(12/1) / 2022 배정: (3/16) / 2022 배정(신규): (6/10)</x:v>
      </x:c>
      <x:c r="V837" s="2" t="str">
        <x:v>2022-06-13</x:v>
      </x:c>
      <x:c r="W837" s="2" t="str"/>
      <x:c r="X837" s="2" t="str">
        <x:v>보완 회신 일정 확인</x:v>
      </x:c>
      <x:c r="Y837" s="2" t="str">
        <x:v>ad210cd9ec132cfd447541c8984dc53d30aff0f4fb2dc92d254d49275cc55976</x:v>
      </x:c>
      <x:c r="Z837" s="2" t="n">
        <x:f>SUBTOTAL(103,A837)</x:f>
        <x:v>1</x:v>
      </x:c>
      <x:c r="AA837" s="2" t="str">
        <x:f>IF(K837&lt;&gt;"미종결 표시","대상 아님",IF(N837="","신청일 확인",IF(NOT(ISNUMBER('종합 현황'!$H$5)),"관찰기준 확인",IF('종합 현황'!$H$5&lt;1,"관찰기준 확인",IF(N837&gt;'종합 현황'!$H$5,"내부 관찰 대상","내부 관찰일 이하")))))</x:f>
        <x:v>내부 관찰 대상</x:v>
      </x:c>
      <x:c r="AB837" s="2"/>
    </x:row>
    <x:row r="838" ht="42" customHeight="1">
      <x:c r="A838" s="2" t="str">
        <x:v>3f78a228c976f36bd914fd73</x:v>
      </x:c>
      <x:c r="B838" s="2" t="str">
        <x:v>사업 평가</x:v>
      </x:c>
      <x:c r="C838" s="2" t="str">
        <x:v>국내</x:v>
      </x:c>
      <x:c r="D838" s="7" t="str">
        <x:v>㈜비젼세라믹 소성로 연료교체(B-C유→LPG)를 통한 온실가스(CO2) 배출 감축사업</x:v>
      </x:c>
      <x:c r="E838" s="2" t="str">
        <x:v>699</x:v>
      </x:c>
      <x:c r="F838" s="2" t="str">
        <x:v>2020-03-25</x:v>
      </x:c>
      <x:c r="G838" s="2" t="str">
        <x:v>2020</x:v>
      </x:c>
      <x:c r="H838" s="2" t="str">
        <x:v>03</x:v>
      </x:c>
      <x:c r="I838" s="2" t="str">
        <x:v>승인</x:v>
      </x:c>
      <x:c r="J838" s="2" t="str">
        <x:v>심의승인</x:v>
      </x:c>
      <x:c r="K838" s="2" t="str">
        <x:f>IF(OR(J838="심의승인",J838="반려",J838="반려완료",J838="심의완료"),"종결 표시",IF(OR(J838="기후부협의",J838="문서재제출요청",J838="보류",J838="보완요청",J838="보완완료",J838="평가중",J838="반려요청",J838="평가필요",LEFT(J838,5)="보완요청("),"미종결 표시","상태 확인 필요"))</x:f>
        <x:v>종결 표시</x:v>
      </x:c>
      <x:c r="L838" s="2" t="str">
        <x:v>에코시안_조혜민,KSA 조영권&gt;정다윤</x:v>
      </x:c>
      <x:c r="M838" s="2"/>
      <x:c r="N838" s="8" t="n">
        <x:f>DATE(2026,10,15)-DATE(2020,3,25)</x:f>
        <x:v>2395</x:v>
      </x:c>
      <x:c r="O838" s="2" t="str">
        <x:v>O(21.11)</x:v>
      </x:c>
      <x:c r="P838" s="2" t="str">
        <x:v>24년 11월 협의, LPG 계측기 O, 법적 검토 결과 지침 일부 개정간 부칙 삭제에도 해당 내용 유효, 25년 2분기 인증위 상정</x:v>
      </x:c>
      <x:c r="Q838" s="2" t="str">
        <x:v>산업전환_외부사업관리Tool_260707_이너젠 수정_LJY_261013.xlsx</x:v>
      </x:c>
      <x:c r="R838" s="2" t="str">
        <x:v>국내평가</x:v>
      </x:c>
      <x:c r="S838" s="8" t="n">
        <x:v>741</x:v>
      </x:c>
      <x:c r="T838" s="2" t="str">
        <x:v>(8/3),(10/20)</x:v>
      </x:c>
      <x:c r="U838" s="2" t="str">
        <x:v>2021 배정: (8/3),(10/20) / 2022 배정: (4/19) / 2022 배정(신규): (5/18),(12/27) / 2024 배정: (1/12),(2/5),(4/8),(5/20),(9/2) / 2025 배정: 2025년 처리</x:v>
      </x:c>
      <x:c r="V838" s="2" t="str">
        <x:v>2025-06-12</x:v>
      </x:c>
      <x:c r="W838" s="2" t="str"/>
      <x:c r="X838" s="2" t="str">
        <x:v>종결 근거 보관</x:v>
      </x:c>
      <x:c r="Y838" s="2" t="str">
        <x:v>ad210cd9ec132cfd447541c8984dc53d30aff0f4fb2dc92d254d49275cc55976</x:v>
      </x:c>
      <x:c r="Z838" s="2" t="n">
        <x:f>SUBTOTAL(103,A838)</x:f>
        <x:v>1</x:v>
      </x:c>
      <x:c r="AA838" s="2" t="str">
        <x:f>IF(K838&lt;&gt;"미종결 표시","대상 아님",IF(N838="","신청일 확인",IF(NOT(ISNUMBER('종합 현황'!$H$5)),"관찰기준 확인",IF('종합 현황'!$H$5&lt;1,"관찰기준 확인",IF(N838&gt;'종합 현황'!$H$5,"내부 관찰 대상","내부 관찰일 이하")))))</x:f>
        <x:v>대상 아님</x:v>
      </x:c>
      <x:c r="AB838" s="2"/>
    </x:row>
    <x:row r="839" ht="42" customHeight="1">
      <x:c r="A839" s="2" t="str">
        <x:v>830ce39c6d9c4552efa8afdb</x:v>
      </x:c>
      <x:c r="B839" s="2" t="str">
        <x:v>사업 평가</x:v>
      </x:c>
      <x:c r="C839" s="2" t="str">
        <x:v>국내</x:v>
      </x:c>
      <x:c r="D839" s="7" t="str">
        <x:v>새론산업 30.8kW 태양광 발전설비 설치 및 자가 사용 사업</x:v>
      </x:c>
      <x:c r="E839" s="2" t="str">
        <x:v>700</x:v>
      </x:c>
      <x:c r="F839" s="2" t="str">
        <x:v>2021-01-21</x:v>
      </x:c>
      <x:c r="G839" s="2" t="str">
        <x:v>2021</x:v>
      </x:c>
      <x:c r="H839" s="2" t="str">
        <x:v>01</x:v>
      </x:c>
      <x:c r="I839" s="2" t="str">
        <x:v>승인</x:v>
      </x:c>
      <x:c r="J839" s="2" t="str">
        <x:v>심의승인</x:v>
      </x:c>
      <x:c r="K839" s="2" t="str">
        <x:f>IF(OR(J839="심의승인",J839="반려",J839="반려완료",J839="심의완료"),"종결 표시",IF(OR(J839="기후부협의",J839="문서재제출요청",J839="보류",J839="보완요청",J839="보완완료",J839="평가중",J839="반려요청",J839="평가필요",LEFT(J839,5)="보완요청("),"미종결 표시","상태 확인 필요"))</x:f>
        <x:v>종결 표시</x:v>
      </x:c>
      <x:c r="L839" s="2" t="str">
        <x:v>에코시안_정인혜</x:v>
      </x:c>
      <x:c r="M839" s="2"/>
      <x:c r="N839" s="8" t="n">
        <x:f>DATE(2026,10,15)-DATE(2021,1,21)</x:f>
        <x:v>2093</x:v>
      </x:c>
      <x:c r="O839" s="2" t="str">
        <x:v>O(4월)</x:v>
      </x:c>
      <x:c r="P839" s="2"/>
      <x:c r="Q839" s="2" t="str">
        <x:v>산업전환_외부사업관리Tool_260707_이너젠 수정_LJY_261013.xlsx</x:v>
      </x:c>
      <x:c r="R839" s="2" t="str">
        <x:v>국내평가</x:v>
      </x:c>
      <x:c r="S839" s="8" t="n">
        <x:v>742</x:v>
      </x:c>
      <x:c r="T839" s="2" t="str">
        <x:v>2021년 처리</x:v>
      </x:c>
      <x:c r="U839" s="2" t="str">
        <x:v>2021 배정: 2021년 처리</x:v>
      </x:c>
      <x:c r="V839" s="2" t="str">
        <x:v>2021-09-27</x:v>
      </x:c>
      <x:c r="W839" s="2" t="str"/>
      <x:c r="X839" s="2" t="str">
        <x:v>종결 근거 보관</x:v>
      </x:c>
      <x:c r="Y839" s="2" t="str">
        <x:v>ad210cd9ec132cfd447541c8984dc53d30aff0f4fb2dc92d254d49275cc55976</x:v>
      </x:c>
      <x:c r="Z839" s="2" t="n">
        <x:f>SUBTOTAL(103,A839)</x:f>
        <x:v>1</x:v>
      </x:c>
      <x:c r="AA839" s="2" t="str">
        <x:f>IF(K839&lt;&gt;"미종결 표시","대상 아님",IF(N839="","신청일 확인",IF(NOT(ISNUMBER('종합 현황'!$H$5)),"관찰기준 확인",IF('종합 현황'!$H$5&lt;1,"관찰기준 확인",IF(N839&gt;'종합 현황'!$H$5,"내부 관찰 대상","내부 관찰일 이하")))))</x:f>
        <x:v>대상 아님</x:v>
      </x:c>
      <x:c r="AB839" s="2"/>
    </x:row>
    <x:row r="840" ht="42" customHeight="1">
      <x:c r="A840" s="2" t="str">
        <x:v>18795b19146273aa1532ce4e</x:v>
      </x:c>
      <x:c r="B840" s="2" t="str">
        <x:v>사업 평가</x:v>
      </x:c>
      <x:c r="C840" s="2" t="str">
        <x:v>국내</x:v>
      </x:c>
      <x:c r="D840" s="7" t="str">
        <x:v>윤성정밀 인버터 공기압축기 교체를 통한 온실가스 감축사업</x:v>
      </x:c>
      <x:c r="E840" s="2" t="str">
        <x:v>701</x:v>
      </x:c>
      <x:c r="F840" s="2" t="str">
        <x:v>2021-01-26</x:v>
      </x:c>
      <x:c r="G840" s="2" t="str">
        <x:v>2021</x:v>
      </x:c>
      <x:c r="H840" s="2" t="str">
        <x:v>01</x:v>
      </x:c>
      <x:c r="I840" s="2" t="str">
        <x:v>반려</x:v>
      </x:c>
      <x:c r="J840" s="2" t="str">
        <x:v>반려</x:v>
      </x:c>
      <x:c r="K840" s="2" t="str">
        <x:f>IF(OR(J840="심의승인",J840="반려",J840="반려완료",J840="심의완료"),"종결 표시",IF(OR(J840="기후부협의",J840="문서재제출요청",J840="보류",J840="보완요청",J840="보완완료",J840="평가중",J840="반려요청",J840="평가필요",LEFT(J840,5)="보완요청("),"미종결 표시","상태 확인 필요"))</x:f>
        <x:v>종결 표시</x:v>
      </x:c>
      <x:c r="L840" s="2"/>
      <x:c r="M840" s="2"/>
      <x:c r="N840" s="8" t="n">
        <x:f>DATE(2026,10,15)-DATE(2021,1,26)</x:f>
        <x:v>2088</x:v>
      </x:c>
      <x:c r="O840" s="2"/>
      <x:c r="P840" s="2" t="str">
        <x:v>반려완료(재신청 예정)</x:v>
      </x:c>
      <x:c r="Q840" s="2" t="str">
        <x:v>산업전환_외부사업관리Tool_260707_이너젠 수정_LJY_261013.xlsx</x:v>
      </x:c>
      <x:c r="R840" s="2" t="str">
        <x:v>국내평가</x:v>
      </x:c>
      <x:c r="S840" s="8" t="n">
        <x:v>743</x:v>
      </x:c>
      <x:c r="T840" s="2" t="str">
        <x:v>2021년 처리</x:v>
      </x:c>
      <x:c r="U840" s="2" t="str">
        <x:v>2021 배정: 2021년 처리</x:v>
      </x:c>
      <x:c r="V840" s="2" t="str">
        <x:v>2021-06-30</x:v>
      </x:c>
      <x:c r="W840" s="2" t="str">
        <x:v>담당기관 확인</x:v>
      </x:c>
      <x:c r="X840" s="2" t="str">
        <x:v>원본·배정 기록 확인</x:v>
      </x:c>
      <x:c r="Y840" s="2" t="str">
        <x:v>ad210cd9ec132cfd447541c8984dc53d30aff0f4fb2dc92d254d49275cc55976</x:v>
      </x:c>
      <x:c r="Z840" s="2" t="n">
        <x:f>SUBTOTAL(103,A840)</x:f>
        <x:v>1</x:v>
      </x:c>
      <x:c r="AA840" s="2" t="str">
        <x:f>IF(K840&lt;&gt;"미종결 표시","대상 아님",IF(N840="","신청일 확인",IF(NOT(ISNUMBER('종합 현황'!$H$5)),"관찰기준 확인",IF('종합 현황'!$H$5&lt;1,"관찰기준 확인",IF(N840&gt;'종합 현황'!$H$5,"내부 관찰 대상","내부 관찰일 이하")))))</x:f>
        <x:v>대상 아님</x:v>
      </x:c>
      <x:c r="AB840" s="2"/>
    </x:row>
    <x:row r="841" ht="42" customHeight="1">
      <x:c r="A841" s="2" t="str">
        <x:v>07f6cc1abd6acfae3cdeca07</x:v>
      </x:c>
      <x:c r="B841" s="2" t="str">
        <x:v>사업 평가</x:v>
      </x:c>
      <x:c r="C841" s="2" t="str">
        <x:v>국내</x:v>
      </x:c>
      <x:c r="D841" s="7" t="str">
        <x:v>대헌프리텍주식회사 인버터 공기압축기 교체를 통한 온실가스 감축사업</x:v>
      </x:c>
      <x:c r="E841" s="2" t="str">
        <x:v>702</x:v>
      </x:c>
      <x:c r="F841" s="2" t="str">
        <x:v>2021-01-26</x:v>
      </x:c>
      <x:c r="G841" s="2" t="str">
        <x:v>2021</x:v>
      </x:c>
      <x:c r="H841" s="2" t="str">
        <x:v>01</x:v>
      </x:c>
      <x:c r="I841" s="2" t="str">
        <x:v>반려</x:v>
      </x:c>
      <x:c r="J841" s="2" t="str">
        <x:v>반려</x:v>
      </x:c>
      <x:c r="K841" s="2" t="str">
        <x:f>IF(OR(J841="심의승인",J841="반려",J841="반려완료",J841="심의완료"),"종결 표시",IF(OR(J841="기후부협의",J841="문서재제출요청",J841="보류",J841="보완요청",J841="보완완료",J841="평가중",J841="반려요청",J841="평가필요",LEFT(J841,5)="보완요청("),"미종결 표시","상태 확인 필요"))</x:f>
        <x:v>종결 표시</x:v>
      </x:c>
      <x:c r="L841" s="2"/>
      <x:c r="M841" s="2"/>
      <x:c r="N841" s="8" t="n">
        <x:f>DATE(2026,10,15)-DATE(2021,1,26)</x:f>
        <x:v>2088</x:v>
      </x:c>
      <x:c r="O841" s="2"/>
      <x:c r="P841" s="2" t="str">
        <x:v>반려완료(재신청 예정)</x:v>
      </x:c>
      <x:c r="Q841" s="2" t="str">
        <x:v>산업전환_외부사업관리Tool_260707_이너젠 수정_LJY_261013.xlsx</x:v>
      </x:c>
      <x:c r="R841" s="2" t="str">
        <x:v>국내평가</x:v>
      </x:c>
      <x:c r="S841" s="8" t="n">
        <x:v>744</x:v>
      </x:c>
      <x:c r="T841" s="2" t="str">
        <x:v>2021년 처리</x:v>
      </x:c>
      <x:c r="U841" s="2" t="str">
        <x:v>2021 배정: 2021년 처리</x:v>
      </x:c>
      <x:c r="V841" s="2" t="str">
        <x:v>2021-06-30</x:v>
      </x:c>
      <x:c r="W841" s="2" t="str">
        <x:v>담당기관 확인</x:v>
      </x:c>
      <x:c r="X841" s="2" t="str">
        <x:v>원본·배정 기록 확인</x:v>
      </x:c>
      <x:c r="Y841" s="2" t="str">
        <x:v>ad210cd9ec132cfd447541c8984dc53d30aff0f4fb2dc92d254d49275cc55976</x:v>
      </x:c>
      <x:c r="Z841" s="2" t="n">
        <x:f>SUBTOTAL(103,A841)</x:f>
        <x:v>1</x:v>
      </x:c>
      <x:c r="AA841" s="2" t="str">
        <x:f>IF(K841&lt;&gt;"미종결 표시","대상 아님",IF(N841="","신청일 확인",IF(NOT(ISNUMBER('종합 현황'!$H$5)),"관찰기준 확인",IF('종합 현황'!$H$5&lt;1,"관찰기준 확인",IF(N841&gt;'종합 현황'!$H$5,"내부 관찰 대상","내부 관찰일 이하")))))</x:f>
        <x:v>대상 아님</x:v>
      </x:c>
      <x:c r="AB841" s="2"/>
    </x:row>
    <x:row r="842" ht="42" customHeight="1">
      <x:c r="A842" s="2" t="str">
        <x:v>9d7cc543442d64730a5d3948</x:v>
      </x:c>
      <x:c r="B842" s="2" t="str">
        <x:v>사업 평가</x:v>
      </x:c>
      <x:c r="C842" s="2" t="str">
        <x:v>국내</x:v>
      </x:c>
      <x:c r="D842" s="7" t="str">
        <x:v>윤성정밀 인버터 공기압축기 교체를 통한 온실가스 감축사업</x:v>
      </x:c>
      <x:c r="E842" s="2" t="str">
        <x:v>703</x:v>
      </x:c>
      <x:c r="F842" s="2" t="str">
        <x:v>2021-01-26</x:v>
      </x:c>
      <x:c r="G842" s="2" t="str">
        <x:v>2021</x:v>
      </x:c>
      <x:c r="H842" s="2" t="str">
        <x:v>01</x:v>
      </x:c>
      <x:c r="I842" s="2" t="str">
        <x:v>반려</x:v>
      </x:c>
      <x:c r="J842" s="2" t="str">
        <x:v>반려</x:v>
      </x:c>
      <x:c r="K842" s="2" t="str">
        <x:f>IF(OR(J842="심의승인",J842="반려",J842="반려완료",J842="심의완료"),"종결 표시",IF(OR(J842="기후부협의",J842="문서재제출요청",J842="보류",J842="보완요청",J842="보완완료",J842="평가중",J842="반려요청",J842="평가필요",LEFT(J842,5)="보완요청("),"미종결 표시","상태 확인 필요"))</x:f>
        <x:v>종결 표시</x:v>
      </x:c>
      <x:c r="L842" s="2"/>
      <x:c r="M842" s="2"/>
      <x:c r="N842" s="8" t="n">
        <x:f>DATE(2026,10,15)-DATE(2021,1,26)</x:f>
        <x:v>2088</x:v>
      </x:c>
      <x:c r="O842" s="2"/>
      <x:c r="P842" s="2" t="str">
        <x:v>반려완료(재신청 예정)</x:v>
      </x:c>
      <x:c r="Q842" s="2" t="str">
        <x:v>산업전환_외부사업관리Tool_260707_이너젠 수정_LJY_261013.xlsx</x:v>
      </x:c>
      <x:c r="R842" s="2" t="str">
        <x:v>국내평가</x:v>
      </x:c>
      <x:c r="S842" s="8" t="n">
        <x:v>745</x:v>
      </x:c>
      <x:c r="T842" s="2" t="str">
        <x:v>2021년 처리</x:v>
      </x:c>
      <x:c r="U842" s="2" t="str">
        <x:v>2021 배정: 2021년 처리</x:v>
      </x:c>
      <x:c r="V842" s="2" t="str">
        <x:v>2021-06-30</x:v>
      </x:c>
      <x:c r="W842" s="2" t="str">
        <x:v>담당기관 확인</x:v>
      </x:c>
      <x:c r="X842" s="2" t="str">
        <x:v>원본·배정 기록 확인</x:v>
      </x:c>
      <x:c r="Y842" s="2" t="str">
        <x:v>ad210cd9ec132cfd447541c8984dc53d30aff0f4fb2dc92d254d49275cc55976</x:v>
      </x:c>
      <x:c r="Z842" s="2" t="n">
        <x:f>SUBTOTAL(103,A842)</x:f>
        <x:v>1</x:v>
      </x:c>
      <x:c r="AA842" s="2" t="str">
        <x:f>IF(K842&lt;&gt;"미종결 표시","대상 아님",IF(N842="","신청일 확인",IF(NOT(ISNUMBER('종합 현황'!$H$5)),"관찰기준 확인",IF('종합 현황'!$H$5&lt;1,"관찰기준 확인",IF(N842&gt;'종합 현황'!$H$5,"내부 관찰 대상","내부 관찰일 이하")))))</x:f>
        <x:v>대상 아님</x:v>
      </x:c>
      <x:c r="AB842" s="2"/>
    </x:row>
    <x:row r="843" ht="42" customHeight="1">
      <x:c r="A843" s="2" t="str">
        <x:v>fcef4253906a26abb8fdd772</x:v>
      </x:c>
      <x:c r="B843" s="2" t="str">
        <x:v>사업 평가</x:v>
      </x:c>
      <x:c r="C843" s="2" t="str">
        <x:v>국내</x:v>
      </x:c>
      <x:c r="D843" s="7" t="str">
        <x:v>명진테크 인버터 공기압축기 교체를 통한 온실가스 감축사업</x:v>
      </x:c>
      <x:c r="E843" s="2" t="str">
        <x:v>704</x:v>
      </x:c>
      <x:c r="F843" s="2" t="str">
        <x:v>2021-01-27</x:v>
      </x:c>
      <x:c r="G843" s="2" t="str">
        <x:v>2021</x:v>
      </x:c>
      <x:c r="H843" s="2" t="str">
        <x:v>01</x:v>
      </x:c>
      <x:c r="I843" s="2" t="str">
        <x:v>반려</x:v>
      </x:c>
      <x:c r="J843" s="2" t="str">
        <x:v>반려</x:v>
      </x:c>
      <x:c r="K843" s="2" t="str">
        <x:f>IF(OR(J843="심의승인",J843="반려",J843="반려완료",J843="심의완료"),"종결 표시",IF(OR(J843="기후부협의",J843="문서재제출요청",J843="보류",J843="보완요청",J843="보완완료",J843="평가중",J843="반려요청",J843="평가필요",LEFT(J843,5)="보완요청("),"미종결 표시","상태 확인 필요"))</x:f>
        <x:v>종결 표시</x:v>
      </x:c>
      <x:c r="L843" s="2"/>
      <x:c r="M843" s="2"/>
      <x:c r="N843" s="8" t="n">
        <x:f>DATE(2026,10,15)-DATE(2021,1,27)</x:f>
        <x:v>2087</x:v>
      </x:c>
      <x:c r="O843" s="2"/>
      <x:c r="P843" s="2" t="str">
        <x:v>반려완료(재신청 예정)</x:v>
      </x:c>
      <x:c r="Q843" s="2" t="str">
        <x:v>산업전환_외부사업관리Tool_260707_이너젠 수정_LJY_261013.xlsx</x:v>
      </x:c>
      <x:c r="R843" s="2" t="str">
        <x:v>국내평가</x:v>
      </x:c>
      <x:c r="S843" s="8" t="n">
        <x:v>746</x:v>
      </x:c>
      <x:c r="T843" s="2" t="str">
        <x:v>2021년 처리</x:v>
      </x:c>
      <x:c r="U843" s="2" t="str">
        <x:v>2021 배정: 2021년 처리</x:v>
      </x:c>
      <x:c r="V843" s="2" t="str">
        <x:v>2021-06-30</x:v>
      </x:c>
      <x:c r="W843" s="2" t="str">
        <x:v>담당기관 확인</x:v>
      </x:c>
      <x:c r="X843" s="2" t="str">
        <x:v>원본·배정 기록 확인</x:v>
      </x:c>
      <x:c r="Y843" s="2" t="str">
        <x:v>ad210cd9ec132cfd447541c8984dc53d30aff0f4fb2dc92d254d49275cc55976</x:v>
      </x:c>
      <x:c r="Z843" s="2" t="n">
        <x:f>SUBTOTAL(103,A843)</x:f>
        <x:v>1</x:v>
      </x:c>
      <x:c r="AA843" s="2" t="str">
        <x:f>IF(K843&lt;&gt;"미종결 표시","대상 아님",IF(N843="","신청일 확인",IF(NOT(ISNUMBER('종합 현황'!$H$5)),"관찰기준 확인",IF('종합 현황'!$H$5&lt;1,"관찰기준 확인",IF(N843&gt;'종합 현황'!$H$5,"내부 관찰 대상","내부 관찰일 이하")))))</x:f>
        <x:v>대상 아님</x:v>
      </x:c>
      <x:c r="AB843" s="2"/>
    </x:row>
    <x:row r="844" ht="42" customHeight="1">
      <x:c r="A844" s="2" t="str">
        <x:v>cf0c1db888027b861a56a2a3</x:v>
      </x:c>
      <x:c r="B844" s="2" t="str">
        <x:v>사업 평가</x:v>
      </x:c>
      <x:c r="C844" s="2" t="str">
        <x:v>국내</x:v>
      </x:c>
      <x:c r="D844" s="7" t="str">
        <x:v>한국스기야마(주) 인버터 공기압축기 교체를 통한 온실가스 감축사업</x:v>
      </x:c>
      <x:c r="E844" s="2" t="str">
        <x:v>705</x:v>
      </x:c>
      <x:c r="F844" s="2" t="str">
        <x:v>2021-01-28</x:v>
      </x:c>
      <x:c r="G844" s="2" t="str">
        <x:v>2021</x:v>
      </x:c>
      <x:c r="H844" s="2" t="str">
        <x:v>01</x:v>
      </x:c>
      <x:c r="I844" s="2" t="str">
        <x:v>반려</x:v>
      </x:c>
      <x:c r="J844" s="2" t="str">
        <x:v>반려</x:v>
      </x:c>
      <x:c r="K844" s="2" t="str">
        <x:f>IF(OR(J844="심의승인",J844="반려",J844="반려완료",J844="심의완료"),"종결 표시",IF(OR(J844="기후부협의",J844="문서재제출요청",J844="보류",J844="보완요청",J844="보완완료",J844="평가중",J844="반려요청",J844="평가필요",LEFT(J844,5)="보완요청("),"미종결 표시","상태 확인 필요"))</x:f>
        <x:v>종결 표시</x:v>
      </x:c>
      <x:c r="L844" s="2" t="str">
        <x:v>에코시안_배윤빈</x:v>
      </x:c>
      <x:c r="M844" s="2"/>
      <x:c r="N844" s="8" t="n">
        <x:f>DATE(2026,10,15)-DATE(2021,1,28)</x:f>
        <x:v>2086</x:v>
      </x:c>
      <x:c r="O844" s="2" t="str">
        <x:v>O(6월추가)</x:v>
      </x:c>
      <x:c r="P844" s="2"/>
      <x:c r="Q844" s="2" t="str">
        <x:v>산업전환_외부사업관리Tool_260707_이너젠 수정_LJY_261013.xlsx</x:v>
      </x:c>
      <x:c r="R844" s="2" t="str">
        <x:v>국내평가</x:v>
      </x:c>
      <x:c r="S844" s="8" t="n">
        <x:v>747</x:v>
      </x:c>
      <x:c r="T844" s="2" t="str">
        <x:v>(6/28)</x:v>
      </x:c>
      <x:c r="U844" s="2" t="str">
        <x:v>2021 배정: (6/28)</x:v>
      </x:c>
      <x:c r="V844" s="2" t="str">
        <x:v>2021-10-25</x:v>
      </x:c>
      <x:c r="W844" s="2" t="str"/>
      <x:c r="X844" s="2" t="str">
        <x:v>종결 근거 보관</x:v>
      </x:c>
      <x:c r="Y844" s="2" t="str">
        <x:v>ad210cd9ec132cfd447541c8984dc53d30aff0f4fb2dc92d254d49275cc55976</x:v>
      </x:c>
      <x:c r="Z844" s="2" t="n">
        <x:f>SUBTOTAL(103,A844)</x:f>
        <x:v>1</x:v>
      </x:c>
      <x:c r="AA844" s="2" t="str">
        <x:f>IF(K844&lt;&gt;"미종결 표시","대상 아님",IF(N844="","신청일 확인",IF(NOT(ISNUMBER('종합 현황'!$H$5)),"관찰기준 확인",IF('종합 현황'!$H$5&lt;1,"관찰기준 확인",IF(N844&gt;'종합 현황'!$H$5,"내부 관찰 대상","내부 관찰일 이하")))))</x:f>
        <x:v>대상 아님</x:v>
      </x:c>
      <x:c r="AB844" s="2"/>
    </x:row>
    <x:row r="845" ht="42" customHeight="1">
      <x:c r="A845" s="2" t="str">
        <x:v>a4dedfe05e28d9f9c627e559</x:v>
      </x:c>
      <x:c r="B845" s="2" t="str">
        <x:v>사업 평가</x:v>
      </x:c>
      <x:c r="C845" s="2" t="str">
        <x:v>국내</x:v>
      </x:c>
      <x:c r="D845" s="7" t="str">
        <x:v>(주)우성엘앤티 인버터 공기압축기 교체를 통한 온실가스 감축사업</x:v>
      </x:c>
      <x:c r="E845" s="2" t="str">
        <x:v>706</x:v>
      </x:c>
      <x:c r="F845" s="2" t="str">
        <x:v>2021-02-25</x:v>
      </x:c>
      <x:c r="G845" s="2" t="str">
        <x:v>2021</x:v>
      </x:c>
      <x:c r="H845" s="2" t="str">
        <x:v>02</x:v>
      </x:c>
      <x:c r="I845" s="2" t="str">
        <x:v>반려</x:v>
      </x:c>
      <x:c r="J845" s="2" t="str">
        <x:v>반려</x:v>
      </x:c>
      <x:c r="K845" s="2" t="str">
        <x:f>IF(OR(J845="심의승인",J845="반려",J845="반려완료",J845="심의완료"),"종결 표시",IF(OR(J845="기후부협의",J845="문서재제출요청",J845="보류",J845="보완요청",J845="보완완료",J845="평가중",J845="반려요청",J845="평가필요",LEFT(J845,5)="보완요청("),"미종결 표시","상태 확인 필요"))</x:f>
        <x:v>종결 표시</x:v>
      </x:c>
      <x:c r="L845" s="2" t="str">
        <x:v>에코시안_박세은</x:v>
      </x:c>
      <x:c r="M845" s="2"/>
      <x:c r="N845" s="8" t="n">
        <x:f>DATE(2026,10,15)-DATE(2021,2,25)</x:f>
        <x:v>2058</x:v>
      </x:c>
      <x:c r="O845" s="2" t="str">
        <x:v>O(6월추가)</x:v>
      </x:c>
      <x:c r="P845" s="2"/>
      <x:c r="Q845" s="2" t="str">
        <x:v>산업전환_외부사업관리Tool_260707_이너젠 수정_LJY_261013.xlsx</x:v>
      </x:c>
      <x:c r="R845" s="2" t="str">
        <x:v>국내평가</x:v>
      </x:c>
      <x:c r="S845" s="8" t="n">
        <x:v>748</x:v>
      </x:c>
      <x:c r="T845" s="2" t="str">
        <x:v>(6/28)</x:v>
      </x:c>
      <x:c r="U845" s="2" t="str">
        <x:v>2021 배정: (6/28)</x:v>
      </x:c>
      <x:c r="V845" s="2" t="str">
        <x:v>2021-10-25</x:v>
      </x:c>
      <x:c r="W845" s="2" t="str"/>
      <x:c r="X845" s="2" t="str">
        <x:v>종결 근거 보관</x:v>
      </x:c>
      <x:c r="Y845" s="2" t="str">
        <x:v>ad210cd9ec132cfd447541c8984dc53d30aff0f4fb2dc92d254d49275cc55976</x:v>
      </x:c>
      <x:c r="Z845" s="2" t="n">
        <x:f>SUBTOTAL(103,A845)</x:f>
        <x:v>1</x:v>
      </x:c>
      <x:c r="AA845" s="2" t="str">
        <x:f>IF(K845&lt;&gt;"미종결 표시","대상 아님",IF(N845="","신청일 확인",IF(NOT(ISNUMBER('종합 현황'!$H$5)),"관찰기준 확인",IF('종합 현황'!$H$5&lt;1,"관찰기준 확인",IF(N845&gt;'종합 현황'!$H$5,"내부 관찰 대상","내부 관찰일 이하")))))</x:f>
        <x:v>대상 아님</x:v>
      </x:c>
      <x:c r="AB845" s="2"/>
    </x:row>
    <x:row r="846" ht="42" customHeight="1">
      <x:c r="A846" s="2" t="str">
        <x:v>400aecdb2364c0ac5d74bf61</x:v>
      </x:c>
      <x:c r="B846" s="2" t="str">
        <x:v>사업 평가</x:v>
      </x:c>
      <x:c r="C846" s="2" t="str">
        <x:v>국내</x:v>
      </x:c>
      <x:c r="D846" s="7" t="str">
        <x:v>대륙전선㈜ 고효율설비 교체(스크류 공기압축기 → 인버터형 공기압축기) 사업</x:v>
      </x:c>
      <x:c r="E846" s="2" t="str">
        <x:v>707</x:v>
      </x:c>
      <x:c r="F846" s="2" t="str">
        <x:v>2020-09-17</x:v>
      </x:c>
      <x:c r="G846" s="2" t="str">
        <x:v>2020</x:v>
      </x:c>
      <x:c r="H846" s="2" t="str">
        <x:v>09</x:v>
      </x:c>
      <x:c r="I846" s="2" t="str">
        <x:v>보완3차_문서보완중</x:v>
      </x:c>
      <x:c r="J846" s="2" t="str">
        <x:v>보완요청</x:v>
      </x:c>
      <x:c r="K846" s="2" t="str">
        <x:f>IF(OR(J846="심의승인",J846="반려",J846="반려완료",J846="심의완료"),"종결 표시",IF(OR(J846="기후부협의",J846="문서재제출요청",J846="보류",J846="보완요청",J846="보완완료",J846="평가중",J846="반려요청",J846="평가필요",LEFT(J846,5)="보완요청("),"미종결 표시","상태 확인 필요"))</x:f>
        <x:v>미종결 표시</x:v>
      </x:c>
      <x:c r="L846" s="2" t="str">
        <x:v>에코시안_조영우</x:v>
      </x:c>
      <x:c r="M846" s="2" t="n">
        <x:v>3</x:v>
      </x:c>
      <x:c r="N846" s="8" t="n">
        <x:f>DATE(2026,10,15)-DATE(2020,9,17)</x:f>
        <x:v>2219</x:v>
      </x:c>
      <x:c r="O846" s="2" t="str">
        <x:v>보류</x:v>
      </x:c>
      <x:c r="P846" s="2"/>
      <x:c r="Q846" s="2" t="str">
        <x:v>산업전환_외부사업관리Tool_260707_이너젠 수정_LJY_261013.xlsx</x:v>
      </x:c>
      <x:c r="R846" s="2" t="str">
        <x:v>국내평가</x:v>
      </x:c>
      <x:c r="S846" s="8" t="n">
        <x:v>749</x:v>
      </x:c>
      <x:c r="T846" s="2" t="str">
        <x:v>(7/12),(9/1),(12/1)</x:v>
      </x:c>
      <x:c r="U846" s="2" t="str">
        <x:v>2021 배정: (7/12),(9/1),(12/1) / 2022 배정: (3/16) / 2022 배정(신규): (5/18)</x:v>
      </x:c>
      <x:c r="V846" s="2" t="str">
        <x:v>2022-06-17</x:v>
      </x:c>
      <x:c r="W846" s="2" t="str"/>
      <x:c r="X846" s="2" t="str">
        <x:v>보완 회신 일정 확인</x:v>
      </x:c>
      <x:c r="Y846" s="2" t="str">
        <x:v>ad210cd9ec132cfd447541c8984dc53d30aff0f4fb2dc92d254d49275cc55976</x:v>
      </x:c>
      <x:c r="Z846" s="2" t="n">
        <x:f>SUBTOTAL(103,A846)</x:f>
        <x:v>1</x:v>
      </x:c>
      <x:c r="AA846" s="2" t="str">
        <x:f>IF(K846&lt;&gt;"미종결 표시","대상 아님",IF(N846="","신청일 확인",IF(NOT(ISNUMBER('종합 현황'!$H$5)),"관찰기준 확인",IF('종합 현황'!$H$5&lt;1,"관찰기준 확인",IF(N846&gt;'종합 현황'!$H$5,"내부 관찰 대상","내부 관찰일 이하")))))</x:f>
        <x:v>내부 관찰 대상</x:v>
      </x:c>
      <x:c r="AB846" s="2"/>
    </x:row>
    <x:row r="847" ht="42" customHeight="1">
      <x:c r="A847" s="2" t="str">
        <x:v>3b186922a3bb5b16fb2a0656</x:v>
      </x:c>
      <x:c r="B847" s="2" t="str">
        <x:v>사업 평가</x:v>
      </x:c>
      <x:c r="C847" s="2" t="str">
        <x:v>국내</x:v>
      </x:c>
      <x:c r="D847" s="7" t="str">
        <x:v>삼영엠티(주) 인버터 공기압축기 교체를 통한 온실가스 감축사업</x:v>
      </x:c>
      <x:c r="E847" s="2" t="str">
        <x:v>708</x:v>
      </x:c>
      <x:c r="F847" s="2" t="str">
        <x:v>2021-02-25</x:v>
      </x:c>
      <x:c r="G847" s="2" t="str">
        <x:v>2021</x:v>
      </x:c>
      <x:c r="H847" s="2" t="str">
        <x:v>02</x:v>
      </x:c>
      <x:c r="I847" s="2" t="str">
        <x:v>반려</x:v>
      </x:c>
      <x:c r="J847" s="2" t="str">
        <x:v>반려</x:v>
      </x:c>
      <x:c r="K847" s="2" t="str">
        <x:f>IF(OR(J847="심의승인",J847="반려",J847="반려완료",J847="심의완료"),"종결 표시",IF(OR(J847="기후부협의",J847="문서재제출요청",J847="보류",J847="보완요청",J847="보완완료",J847="평가중",J847="반려요청",J847="평가필요",LEFT(J847,5)="보완요청("),"미종결 표시","상태 확인 필요"))</x:f>
        <x:v>종결 표시</x:v>
      </x:c>
      <x:c r="L847" s="2"/>
      <x:c r="M847" s="2"/>
      <x:c r="N847" s="8" t="n">
        <x:f>DATE(2026,10,15)-DATE(2021,2,25)</x:f>
        <x:v>2058</x:v>
      </x:c>
      <x:c r="O847" s="2"/>
      <x:c r="P847" s="2" t="str">
        <x:v>반려완료(재신청 예정)</x:v>
      </x:c>
      <x:c r="Q847" s="2" t="str">
        <x:v>산업전환_외부사업관리Tool_260707_이너젠 수정_LJY_261013.xlsx</x:v>
      </x:c>
      <x:c r="R847" s="2" t="str">
        <x:v>국내평가</x:v>
      </x:c>
      <x:c r="S847" s="8" t="n">
        <x:v>750</x:v>
      </x:c>
      <x:c r="T847" s="2" t="str">
        <x:v>2021년 처리</x:v>
      </x:c>
      <x:c r="U847" s="2" t="str">
        <x:v>2021 배정: 2021년 처리</x:v>
      </x:c>
      <x:c r="V847" s="2" t="str">
        <x:v>2021-06-30</x:v>
      </x:c>
      <x:c r="W847" s="2" t="str">
        <x:v>담당기관 확인</x:v>
      </x:c>
      <x:c r="X847" s="2" t="str">
        <x:v>원본·배정 기록 확인</x:v>
      </x:c>
      <x:c r="Y847" s="2" t="str">
        <x:v>ad210cd9ec132cfd447541c8984dc53d30aff0f4fb2dc92d254d49275cc55976</x:v>
      </x:c>
      <x:c r="Z847" s="2" t="n">
        <x:f>SUBTOTAL(103,A847)</x:f>
        <x:v>1</x:v>
      </x:c>
      <x:c r="AA847" s="2" t="str">
        <x:f>IF(K847&lt;&gt;"미종결 표시","대상 아님",IF(N847="","신청일 확인",IF(NOT(ISNUMBER('종합 현황'!$H$5)),"관찰기준 확인",IF('종합 현황'!$H$5&lt;1,"관찰기준 확인",IF(N847&gt;'종합 현황'!$H$5,"내부 관찰 대상","내부 관찰일 이하")))))</x:f>
        <x:v>대상 아님</x:v>
      </x:c>
      <x:c r="AB847" s="2"/>
    </x:row>
    <x:row r="848" ht="42" customHeight="1">
      <x:c r="A848" s="2" t="str">
        <x:v>759029084c8f4b7a0c65aa47</x:v>
      </x:c>
      <x:c r="B848" s="2" t="str">
        <x:v>사업 평가</x:v>
      </x:c>
      <x:c r="C848" s="2" t="str">
        <x:v>국내</x:v>
      </x:c>
      <x:c r="D848" s="7" t="str">
        <x:v>(주)세명기업 고효율 인버터형 공기압축기 교체를 통한 온실가스 감축사업</x:v>
      </x:c>
      <x:c r="E848" s="2" t="str">
        <x:v>709</x:v>
      </x:c>
      <x:c r="F848" s="2" t="str">
        <x:v>2019-10-30</x:v>
      </x:c>
      <x:c r="G848" s="2" t="str">
        <x:v>2019</x:v>
      </x:c>
      <x:c r="H848" s="2" t="str">
        <x:v>10</x:v>
      </x:c>
      <x:c r="I848" s="2" t="str">
        <x:v>승인</x:v>
      </x:c>
      <x:c r="J848" s="2" t="str">
        <x:v>심의승인</x:v>
      </x:c>
      <x:c r="K848" s="2" t="str">
        <x:f>IF(OR(J848="심의승인",J848="반려",J848="반려완료",J848="심의완료"),"종결 표시",IF(OR(J848="기후부협의",J848="문서재제출요청",J848="보류",J848="보완요청",J848="보완완료",J848="평가중",J848="반려요청",J848="평가필요",LEFT(J848,5)="보완요청("),"미종결 표시","상태 확인 필요"))</x:f>
        <x:v>종결 표시</x:v>
      </x:c>
      <x:c r="L848" s="2" t="str">
        <x:v>KECM_김민정</x:v>
      </x:c>
      <x:c r="M848" s="2"/>
      <x:c r="N848" s="8" t="n">
        <x:f>DATE(2026,10,15)-DATE(2019,10,30)</x:f>
        <x:v>2542</x:v>
      </x:c>
      <x:c r="O848" s="2" t="str">
        <x:v>O(21.08)</x:v>
      </x:c>
      <x:c r="P848" s="2" t="str">
        <x:v>제51차 인증위</x:v>
      </x:c>
      <x:c r="Q848" s="2" t="str">
        <x:v>산업전환_외부사업관리Tool_260707_이너젠 수정_LJY_261013.xlsx</x:v>
      </x:c>
      <x:c r="R848" s="2" t="str">
        <x:v>국내평가</x:v>
      </x:c>
      <x:c r="S848" s="8" t="n">
        <x:v>751</x:v>
      </x:c>
      <x:c r="T848" s="2" t="str">
        <x:v>(7/12),(11/2)</x:v>
      </x:c>
      <x:c r="U848" s="2" t="str">
        <x:v>2021 배정: (7/12),(11/2) / 2022 배정(신규): (5/18),(6/10),(12/27) / 2023 배정: (2/17)</x:v>
      </x:c>
      <x:c r="V848" s="2" t="str">
        <x:v>2023-07-17</x:v>
      </x:c>
      <x:c r="W848" s="2" t="str"/>
      <x:c r="X848" s="2" t="str">
        <x:v>종결 근거 보관</x:v>
      </x:c>
      <x:c r="Y848" s="2" t="str">
        <x:v>ad210cd9ec132cfd447541c8984dc53d30aff0f4fb2dc92d254d49275cc55976</x:v>
      </x:c>
      <x:c r="Z848" s="2" t="n">
        <x:f>SUBTOTAL(103,A848)</x:f>
        <x:v>1</x:v>
      </x:c>
      <x:c r="AA848" s="2" t="str">
        <x:f>IF(K848&lt;&gt;"미종결 표시","대상 아님",IF(N848="","신청일 확인",IF(NOT(ISNUMBER('종합 현황'!$H$5)),"관찰기준 확인",IF('종합 현황'!$H$5&lt;1,"관찰기준 확인",IF(N848&gt;'종합 현황'!$H$5,"내부 관찰 대상","내부 관찰일 이하")))))</x:f>
        <x:v>대상 아님</x:v>
      </x:c>
      <x:c r="AB848" s="2"/>
    </x:row>
    <x:row r="849" ht="42" customHeight="1">
      <x:c r="A849" s="2" t="str">
        <x:v>197e0bb71b011a932d4afc3c</x:v>
      </x:c>
      <x:c r="B849" s="2" t="str">
        <x:v>사업 평가</x:v>
      </x:c>
      <x:c r="C849" s="2" t="str">
        <x:v>국내</x:v>
      </x:c>
      <x:c r="D849" s="7" t="str">
        <x:v>씨에스베어링(주) 인버터 공기압축기 교체를 통한 온실가스 감축사업</x:v>
      </x:c>
      <x:c r="E849" s="2" t="str">
        <x:v>710</x:v>
      </x:c>
      <x:c r="F849" s="2" t="str">
        <x:v>2021-02-25</x:v>
      </x:c>
      <x:c r="G849" s="2" t="str">
        <x:v>2021</x:v>
      </x:c>
      <x:c r="H849" s="2" t="str">
        <x:v>02</x:v>
      </x:c>
      <x:c r="I849" s="2" t="str">
        <x:v>반려</x:v>
      </x:c>
      <x:c r="J849" s="2" t="str">
        <x:v>반려</x:v>
      </x:c>
      <x:c r="K849" s="2" t="str">
        <x:f>IF(OR(J849="심의승인",J849="반려",J849="반려완료",J849="심의완료"),"종결 표시",IF(OR(J849="기후부협의",J849="문서재제출요청",J849="보류",J849="보완요청",J849="보완완료",J849="평가중",J849="반려요청",J849="평가필요",LEFT(J849,5)="보완요청("),"미종결 표시","상태 확인 필요"))</x:f>
        <x:v>종결 표시</x:v>
      </x:c>
      <x:c r="L849" s="2"/>
      <x:c r="M849" s="2"/>
      <x:c r="N849" s="8" t="n">
        <x:f>DATE(2026,10,15)-DATE(2021,2,25)</x:f>
        <x:v>2058</x:v>
      </x:c>
      <x:c r="O849" s="2"/>
      <x:c r="P849" s="2" t="str">
        <x:v>반려완료(재신청 예정)</x:v>
      </x:c>
      <x:c r="Q849" s="2" t="str">
        <x:v>산업전환_외부사업관리Tool_260707_이너젠 수정_LJY_261013.xlsx</x:v>
      </x:c>
      <x:c r="R849" s="2" t="str">
        <x:v>국내평가</x:v>
      </x:c>
      <x:c r="S849" s="8" t="n">
        <x:v>752</x:v>
      </x:c>
      <x:c r="T849" s="2" t="str">
        <x:v>2021년 처리</x:v>
      </x:c>
      <x:c r="U849" s="2" t="str">
        <x:v>2021 배정: 2021년 처리</x:v>
      </x:c>
      <x:c r="V849" s="2" t="str">
        <x:v>2021-06-30</x:v>
      </x:c>
      <x:c r="W849" s="2" t="str">
        <x:v>담당기관 확인</x:v>
      </x:c>
      <x:c r="X849" s="2" t="str">
        <x:v>원본·배정 기록 확인</x:v>
      </x:c>
      <x:c r="Y849" s="2" t="str">
        <x:v>ad210cd9ec132cfd447541c8984dc53d30aff0f4fb2dc92d254d49275cc55976</x:v>
      </x:c>
      <x:c r="Z849" s="2" t="n">
        <x:f>SUBTOTAL(103,A849)</x:f>
        <x:v>1</x:v>
      </x:c>
      <x:c r="AA849" s="2" t="str">
        <x:f>IF(K849&lt;&gt;"미종결 표시","대상 아님",IF(N849="","신청일 확인",IF(NOT(ISNUMBER('종합 현황'!$H$5)),"관찰기준 확인",IF('종합 현황'!$H$5&lt;1,"관찰기준 확인",IF(N849&gt;'종합 현황'!$H$5,"내부 관찰 대상","내부 관찰일 이하")))))</x:f>
        <x:v>대상 아님</x:v>
      </x:c>
      <x:c r="AB849" s="2"/>
    </x:row>
    <x:row r="850" ht="42" customHeight="1">
      <x:c r="A850" s="2" t="str">
        <x:v>c5f2d26c2f20da706d3cfff6</x:v>
      </x:c>
      <x:c r="B850" s="2" t="str">
        <x:v>사업 평가</x:v>
      </x:c>
      <x:c r="C850" s="2" t="str">
        <x:v>국내</x:v>
      </x:c>
      <x:c r="D850" s="7" t="str">
        <x:v>주식회사 미보기아 인버터 공기압축기 교체를 통한 온실가스 감축사업</x:v>
      </x:c>
      <x:c r="E850" s="2" t="str">
        <x:v>711</x:v>
      </x:c>
      <x:c r="F850" s="2" t="str">
        <x:v>2021-02-25</x:v>
      </x:c>
      <x:c r="G850" s="2" t="str">
        <x:v>2021</x:v>
      </x:c>
      <x:c r="H850" s="2" t="str">
        <x:v>02</x:v>
      </x:c>
      <x:c r="I850" s="2" t="str">
        <x:v>반려</x:v>
      </x:c>
      <x:c r="J850" s="2" t="str">
        <x:v>반려</x:v>
      </x:c>
      <x:c r="K850" s="2" t="str">
        <x:f>IF(OR(J850="심의승인",J850="반려",J850="반려완료",J850="심의완료"),"종결 표시",IF(OR(J850="기후부협의",J850="문서재제출요청",J850="보류",J850="보완요청",J850="보완완료",J850="평가중",J850="반려요청",J850="평가필요",LEFT(J850,5)="보완요청("),"미종결 표시","상태 확인 필요"))</x:f>
        <x:v>종결 표시</x:v>
      </x:c>
      <x:c r="L850" s="2"/>
      <x:c r="M850" s="2"/>
      <x:c r="N850" s="8" t="n">
        <x:f>DATE(2026,10,15)-DATE(2021,2,25)</x:f>
        <x:v>2058</x:v>
      </x:c>
      <x:c r="O850" s="2"/>
      <x:c r="P850" s="2" t="str">
        <x:v>반려완료(재신청 예정)</x:v>
      </x:c>
      <x:c r="Q850" s="2" t="str">
        <x:v>산업전환_외부사업관리Tool_260707_이너젠 수정_LJY_261013.xlsx</x:v>
      </x:c>
      <x:c r="R850" s="2" t="str">
        <x:v>국내평가</x:v>
      </x:c>
      <x:c r="S850" s="8" t="n">
        <x:v>753</x:v>
      </x:c>
      <x:c r="T850" s="2" t="str">
        <x:v>2021년 처리</x:v>
      </x:c>
      <x:c r="U850" s="2" t="str">
        <x:v>2021 배정: 2021년 처리</x:v>
      </x:c>
      <x:c r="V850" s="2" t="str">
        <x:v>2021-06-30</x:v>
      </x:c>
      <x:c r="W850" s="2" t="str">
        <x:v>담당기관 확인</x:v>
      </x:c>
      <x:c r="X850" s="2" t="str">
        <x:v>원본·배정 기록 확인</x:v>
      </x:c>
      <x:c r="Y850" s="2" t="str">
        <x:v>ad210cd9ec132cfd447541c8984dc53d30aff0f4fb2dc92d254d49275cc55976</x:v>
      </x:c>
      <x:c r="Z850" s="2" t="n">
        <x:f>SUBTOTAL(103,A850)</x:f>
        <x:v>1</x:v>
      </x:c>
      <x:c r="AA850" s="2" t="str">
        <x:f>IF(K850&lt;&gt;"미종결 표시","대상 아님",IF(N850="","신청일 확인",IF(NOT(ISNUMBER('종합 현황'!$H$5)),"관찰기준 확인",IF('종합 현황'!$H$5&lt;1,"관찰기준 확인",IF(N850&gt;'종합 현황'!$H$5,"내부 관찰 대상","내부 관찰일 이하")))))</x:f>
        <x:v>대상 아님</x:v>
      </x:c>
      <x:c r="AB850" s="2"/>
    </x:row>
    <x:row r="851" ht="42" customHeight="1">
      <x:c r="A851" s="2" t="str">
        <x:v>01a9a9b10d5d0576c9eb61a6</x:v>
      </x:c>
      <x:c r="B851" s="2" t="str">
        <x:v>사업 평가</x:v>
      </x:c>
      <x:c r="C851" s="2" t="str">
        <x:v>국내</x:v>
      </x:c>
      <x:c r="D851" s="7" t="str">
        <x:v>삼영엠티(주) 지사지점 인버터 공기압축기 교체를 통한 온실가스 감축사업</x:v>
      </x:c>
      <x:c r="E851" s="2" t="str">
        <x:v>712</x:v>
      </x:c>
      <x:c r="F851" s="2" t="str">
        <x:v>2021-02-25</x:v>
      </x:c>
      <x:c r="G851" s="2" t="str">
        <x:v>2021</x:v>
      </x:c>
      <x:c r="H851" s="2" t="str">
        <x:v>02</x:v>
      </x:c>
      <x:c r="I851" s="2" t="str">
        <x:v>반려</x:v>
      </x:c>
      <x:c r="J851" s="2" t="str">
        <x:v>반려</x:v>
      </x:c>
      <x:c r="K851" s="2" t="str">
        <x:f>IF(OR(J851="심의승인",J851="반려",J851="반려완료",J851="심의완료"),"종결 표시",IF(OR(J851="기후부협의",J851="문서재제출요청",J851="보류",J851="보완요청",J851="보완완료",J851="평가중",J851="반려요청",J851="평가필요",LEFT(J851,5)="보완요청("),"미종결 표시","상태 확인 필요"))</x:f>
        <x:v>종결 표시</x:v>
      </x:c>
      <x:c r="L851" s="2"/>
      <x:c r="M851" s="2"/>
      <x:c r="N851" s="8" t="n">
        <x:f>DATE(2026,10,15)-DATE(2021,2,25)</x:f>
        <x:v>2058</x:v>
      </x:c>
      <x:c r="O851" s="2"/>
      <x:c r="P851" s="2" t="str">
        <x:v>반려완료(재신청 예정)</x:v>
      </x:c>
      <x:c r="Q851" s="2" t="str">
        <x:v>산업전환_외부사업관리Tool_260707_이너젠 수정_LJY_261013.xlsx</x:v>
      </x:c>
      <x:c r="R851" s="2" t="str">
        <x:v>국내평가</x:v>
      </x:c>
      <x:c r="S851" s="8" t="n">
        <x:v>754</x:v>
      </x:c>
      <x:c r="T851" s="2" t="str">
        <x:v>2021년 처리</x:v>
      </x:c>
      <x:c r="U851" s="2" t="str">
        <x:v>2021 배정: 2021년 처리</x:v>
      </x:c>
      <x:c r="V851" s="2" t="str">
        <x:v>2021-06-30</x:v>
      </x:c>
      <x:c r="W851" s="2" t="str">
        <x:v>담당기관 확인</x:v>
      </x:c>
      <x:c r="X851" s="2" t="str">
        <x:v>원본·배정 기록 확인</x:v>
      </x:c>
      <x:c r="Y851" s="2" t="str">
        <x:v>ad210cd9ec132cfd447541c8984dc53d30aff0f4fb2dc92d254d49275cc55976</x:v>
      </x:c>
      <x:c r="Z851" s="2" t="n">
        <x:f>SUBTOTAL(103,A851)</x:f>
        <x:v>1</x:v>
      </x:c>
      <x:c r="AA851" s="2" t="str">
        <x:f>IF(K851&lt;&gt;"미종결 표시","대상 아님",IF(N851="","신청일 확인",IF(NOT(ISNUMBER('종합 현황'!$H$5)),"관찰기준 확인",IF('종합 현황'!$H$5&lt;1,"관찰기준 확인",IF(N851&gt;'종합 현황'!$H$5,"내부 관찰 대상","내부 관찰일 이하")))))</x:f>
        <x:v>대상 아님</x:v>
      </x:c>
      <x:c r="AB851" s="2"/>
    </x:row>
    <x:row r="852" ht="42" customHeight="1">
      <x:c r="A852" s="2" t="str">
        <x:v>8daa22c4841932ad42056f7f</x:v>
      </x:c>
      <x:c r="B852" s="2" t="str">
        <x:v>사업 평가</x:v>
      </x:c>
      <x:c r="C852" s="2" t="str">
        <x:v>국내</x:v>
      </x:c>
      <x:c r="D852" s="7" t="str">
        <x:v>(주) 환웅기전 인버터 공기압축기 교체를 통한 온실가스 감축사업</x:v>
      </x:c>
      <x:c r="E852" s="2" t="str">
        <x:v>713</x:v>
      </x:c>
      <x:c r="F852" s="2" t="str">
        <x:v>2021-02-25</x:v>
      </x:c>
      <x:c r="G852" s="2" t="str">
        <x:v>2021</x:v>
      </x:c>
      <x:c r="H852" s="2" t="str">
        <x:v>02</x:v>
      </x:c>
      <x:c r="I852" s="2" t="str">
        <x:v>반려</x:v>
      </x:c>
      <x:c r="J852" s="2" t="str">
        <x:v>반려</x:v>
      </x:c>
      <x:c r="K852" s="2" t="str">
        <x:f>IF(OR(J852="심의승인",J852="반려",J852="반려완료",J852="심의완료"),"종결 표시",IF(OR(J852="기후부협의",J852="문서재제출요청",J852="보류",J852="보완요청",J852="보완완료",J852="평가중",J852="반려요청",J852="평가필요",LEFT(J852,5)="보완요청("),"미종결 표시","상태 확인 필요"))</x:f>
        <x:v>종결 표시</x:v>
      </x:c>
      <x:c r="L852" s="2"/>
      <x:c r="M852" s="2"/>
      <x:c r="N852" s="8" t="n">
        <x:f>DATE(2026,10,15)-DATE(2021,2,25)</x:f>
        <x:v>2058</x:v>
      </x:c>
      <x:c r="O852" s="2"/>
      <x:c r="P852" s="2" t="str">
        <x:v>반려완료(재신청 예정)</x:v>
      </x:c>
      <x:c r="Q852" s="2" t="str">
        <x:v>산업전환_외부사업관리Tool_260707_이너젠 수정_LJY_261013.xlsx</x:v>
      </x:c>
      <x:c r="R852" s="2" t="str">
        <x:v>국내평가</x:v>
      </x:c>
      <x:c r="S852" s="8" t="n">
        <x:v>755</x:v>
      </x:c>
      <x:c r="T852" s="2" t="str">
        <x:v>2021년 처리</x:v>
      </x:c>
      <x:c r="U852" s="2" t="str">
        <x:v>2021 배정: 2021년 처리</x:v>
      </x:c>
      <x:c r="V852" s="2" t="str">
        <x:v>2021-06-30</x:v>
      </x:c>
      <x:c r="W852" s="2" t="str">
        <x:v>담당기관 확인</x:v>
      </x:c>
      <x:c r="X852" s="2" t="str">
        <x:v>원본·배정 기록 확인</x:v>
      </x:c>
      <x:c r="Y852" s="2" t="str">
        <x:v>ad210cd9ec132cfd447541c8984dc53d30aff0f4fb2dc92d254d49275cc55976</x:v>
      </x:c>
      <x:c r="Z852" s="2" t="n">
        <x:f>SUBTOTAL(103,A852)</x:f>
        <x:v>1</x:v>
      </x:c>
      <x:c r="AA852" s="2" t="str">
        <x:f>IF(K852&lt;&gt;"미종결 표시","대상 아님",IF(N852="","신청일 확인",IF(NOT(ISNUMBER('종합 현황'!$H$5)),"관찰기준 확인",IF('종합 현황'!$H$5&lt;1,"관찰기준 확인",IF(N852&gt;'종합 현황'!$H$5,"내부 관찰 대상","내부 관찰일 이하")))))</x:f>
        <x:v>대상 아님</x:v>
      </x:c>
      <x:c r="AB852" s="2"/>
    </x:row>
    <x:row r="853" ht="42" customHeight="1">
      <x:c r="A853" s="2" t="str">
        <x:v>5594e5afbc8aa2860825f5ce</x:v>
      </x:c>
      <x:c r="B853" s="2" t="str">
        <x:v>사업 평가</x:v>
      </x:c>
      <x:c r="C853" s="2" t="str">
        <x:v>국내</x:v>
      </x:c>
      <x:c r="D853" s="7" t="str">
        <x:v>주식회사 유창파워텍 인버터 공기압축기 교체를 통한 온실가스 감축사업</x:v>
      </x:c>
      <x:c r="E853" s="2" t="str">
        <x:v>714</x:v>
      </x:c>
      <x:c r="F853" s="2" t="str">
        <x:v>2021-02-25</x:v>
      </x:c>
      <x:c r="G853" s="2" t="str">
        <x:v>2021</x:v>
      </x:c>
      <x:c r="H853" s="2" t="str">
        <x:v>02</x:v>
      </x:c>
      <x:c r="I853" s="2" t="str">
        <x:v>반려</x:v>
      </x:c>
      <x:c r="J853" s="2" t="str">
        <x:v>반려</x:v>
      </x:c>
      <x:c r="K853" s="2" t="str">
        <x:f>IF(OR(J853="심의승인",J853="반려",J853="반려완료",J853="심의완료"),"종결 표시",IF(OR(J853="기후부협의",J853="문서재제출요청",J853="보류",J853="보완요청",J853="보완완료",J853="평가중",J853="반려요청",J853="평가필요",LEFT(J853,5)="보완요청("),"미종결 표시","상태 확인 필요"))</x:f>
        <x:v>종결 표시</x:v>
      </x:c>
      <x:c r="L853" s="2"/>
      <x:c r="M853" s="2"/>
      <x:c r="N853" s="8" t="n">
        <x:f>DATE(2026,10,15)-DATE(2021,2,25)</x:f>
        <x:v>2058</x:v>
      </x:c>
      <x:c r="O853" s="2"/>
      <x:c r="P853" s="2" t="str">
        <x:v>반려완료(재신청 예정)</x:v>
      </x:c>
      <x:c r="Q853" s="2" t="str">
        <x:v>산업전환_외부사업관리Tool_260707_이너젠 수정_LJY_261013.xlsx</x:v>
      </x:c>
      <x:c r="R853" s="2" t="str">
        <x:v>국내평가</x:v>
      </x:c>
      <x:c r="S853" s="8" t="n">
        <x:v>756</x:v>
      </x:c>
      <x:c r="T853" s="2" t="str">
        <x:v>2021년 처리</x:v>
      </x:c>
      <x:c r="U853" s="2" t="str">
        <x:v>2021 배정: 2021년 처리</x:v>
      </x:c>
      <x:c r="V853" s="2" t="str">
        <x:v>2021-06-30</x:v>
      </x:c>
      <x:c r="W853" s="2" t="str">
        <x:v>담당기관 확인</x:v>
      </x:c>
      <x:c r="X853" s="2" t="str">
        <x:v>원본·배정 기록 확인</x:v>
      </x:c>
      <x:c r="Y853" s="2" t="str">
        <x:v>ad210cd9ec132cfd447541c8984dc53d30aff0f4fb2dc92d254d49275cc55976</x:v>
      </x:c>
      <x:c r="Z853" s="2" t="n">
        <x:f>SUBTOTAL(103,A853)</x:f>
        <x:v>1</x:v>
      </x:c>
      <x:c r="AA853" s="2" t="str">
        <x:f>IF(K853&lt;&gt;"미종결 표시","대상 아님",IF(N853="","신청일 확인",IF(NOT(ISNUMBER('종합 현황'!$H$5)),"관찰기준 확인",IF('종합 현황'!$H$5&lt;1,"관찰기준 확인",IF(N853&gt;'종합 현황'!$H$5,"내부 관찰 대상","내부 관찰일 이하")))))</x:f>
        <x:v>대상 아님</x:v>
      </x:c>
      <x:c r="AB853" s="2"/>
    </x:row>
    <x:row r="854" ht="42" customHeight="1">
      <x:c r="A854" s="2" t="str">
        <x:v>218272947f04b920319e26b2</x:v>
      </x:c>
      <x:c r="B854" s="2" t="str">
        <x:v>사업 평가</x:v>
      </x:c>
      <x:c r="C854" s="2" t="str">
        <x:v>국내</x:v>
      </x:c>
      <x:c r="D854" s="7" t="str">
        <x:v>한영금속공업(주) 인버터 공기압축기 교체를 통한 온실가스 감축사업</x:v>
      </x:c>
      <x:c r="E854" s="2" t="str">
        <x:v>715</x:v>
      </x:c>
      <x:c r="F854" s="2" t="str">
        <x:v>2021-02-25</x:v>
      </x:c>
      <x:c r="G854" s="2" t="str">
        <x:v>2021</x:v>
      </x:c>
      <x:c r="H854" s="2" t="str">
        <x:v>02</x:v>
      </x:c>
      <x:c r="I854" s="2" t="str">
        <x:v>반려</x:v>
      </x:c>
      <x:c r="J854" s="2" t="str">
        <x:v>반려</x:v>
      </x:c>
      <x:c r="K854" s="2" t="str">
        <x:f>IF(OR(J854="심의승인",J854="반려",J854="반려완료",J854="심의완료"),"종결 표시",IF(OR(J854="기후부협의",J854="문서재제출요청",J854="보류",J854="보완요청",J854="보완완료",J854="평가중",J854="반려요청",J854="평가필요",LEFT(J854,5)="보완요청("),"미종결 표시","상태 확인 필요"))</x:f>
        <x:v>종결 표시</x:v>
      </x:c>
      <x:c r="L854" s="2"/>
      <x:c r="M854" s="2"/>
      <x:c r="N854" s="8" t="n">
        <x:f>DATE(2026,10,15)-DATE(2021,2,25)</x:f>
        <x:v>2058</x:v>
      </x:c>
      <x:c r="O854" s="2"/>
      <x:c r="P854" s="2" t="str">
        <x:v>반려완료(재신청 예정)</x:v>
      </x:c>
      <x:c r="Q854" s="2" t="str">
        <x:v>산업전환_외부사업관리Tool_260707_이너젠 수정_LJY_261013.xlsx</x:v>
      </x:c>
      <x:c r="R854" s="2" t="str">
        <x:v>국내평가</x:v>
      </x:c>
      <x:c r="S854" s="8" t="n">
        <x:v>757</x:v>
      </x:c>
      <x:c r="T854" s="2" t="str">
        <x:v>2021년 처리</x:v>
      </x:c>
      <x:c r="U854" s="2" t="str">
        <x:v>2021 배정: 2021년 처리</x:v>
      </x:c>
      <x:c r="V854" s="2" t="str">
        <x:v>2021-06-30</x:v>
      </x:c>
      <x:c r="W854" s="2" t="str">
        <x:v>담당기관 확인</x:v>
      </x:c>
      <x:c r="X854" s="2" t="str">
        <x:v>원본·배정 기록 확인</x:v>
      </x:c>
      <x:c r="Y854" s="2" t="str">
        <x:v>ad210cd9ec132cfd447541c8984dc53d30aff0f4fb2dc92d254d49275cc55976</x:v>
      </x:c>
      <x:c r="Z854" s="2" t="n">
        <x:f>SUBTOTAL(103,A854)</x:f>
        <x:v>1</x:v>
      </x:c>
      <x:c r="AA854" s="2" t="str">
        <x:f>IF(K854&lt;&gt;"미종결 표시","대상 아님",IF(N854="","신청일 확인",IF(NOT(ISNUMBER('종합 현황'!$H$5)),"관찰기준 확인",IF('종합 현황'!$H$5&lt;1,"관찰기준 확인",IF(N854&gt;'종합 현황'!$H$5,"내부 관찰 대상","내부 관찰일 이하")))))</x:f>
        <x:v>대상 아님</x:v>
      </x:c>
      <x:c r="AB854" s="2"/>
    </x:row>
    <x:row r="855" ht="42" customHeight="1">
      <x:c r="A855" s="2" t="str">
        <x:v>5d366090fb70da70d351bff9</x:v>
      </x:c>
      <x:c r="B855" s="2" t="str">
        <x:v>사업 평가</x:v>
      </x:c>
      <x:c r="C855" s="2" t="str">
        <x:v>국내</x:v>
      </x:c>
      <x:c r="D855" s="7" t="str">
        <x:v>세화제관(주)_고효율 공기압축기 교체를 통한 온실가스 감축사업</x:v>
      </x:c>
      <x:c r="E855" s="2" t="str">
        <x:v>716</x:v>
      </x:c>
      <x:c r="F855" s="2" t="str">
        <x:v>2019-09-18</x:v>
      </x:c>
      <x:c r="G855" s="2" t="str">
        <x:v>2019</x:v>
      </x:c>
      <x:c r="H855" s="2" t="str">
        <x:v>09</x:v>
      </x:c>
      <x:c r="I855" s="2" t="str">
        <x:v>보완3차_문서보완중</x:v>
      </x:c>
      <x:c r="J855" s="2" t="str">
        <x:v>보완요청</x:v>
      </x:c>
      <x:c r="K855" s="2" t="str">
        <x:f>IF(OR(J855="심의승인",J855="반려",J855="반려완료",J855="심의완료"),"종결 표시",IF(OR(J855="기후부협의",J855="문서재제출요청",J855="보류",J855="보완요청",J855="보완완료",J855="평가중",J855="반려요청",J855="평가필요",LEFT(J855,5)="보완요청("),"미종결 표시","상태 확인 필요"))</x:f>
        <x:v>미종결 표시</x:v>
      </x:c>
      <x:c r="L855" s="2" t="str">
        <x:v>KECM_이태준</x:v>
      </x:c>
      <x:c r="M855" s="2" t="n">
        <x:v>3</x:v>
      </x:c>
      <x:c r="N855" s="8" t="n">
        <x:f>DATE(2026,10,15)-DATE(2019,9,18)</x:f>
        <x:v>2584</x:v>
      </x:c>
      <x:c r="O855" s="2" t="str">
        <x:v>O(21.09)</x:v>
      </x:c>
      <x:c r="P855" s="2"/>
      <x:c r="Q855" s="2" t="str">
        <x:v>산업전환_외부사업관리Tool_260707_이너젠 수정_LJY_261013.xlsx</x:v>
      </x:c>
      <x:c r="R855" s="2" t="str">
        <x:v>국내평가</x:v>
      </x:c>
      <x:c r="S855" s="8" t="n">
        <x:v>758</x:v>
      </x:c>
      <x:c r="T855" s="2" t="str">
        <x:v>(7/12),(9/1),(10/20),(12/1)</x:v>
      </x:c>
      <x:c r="U855" s="2" t="str">
        <x:v>2021 배정: (7/12),(9/1),(10/20),(12/1) / 2022 배정: (4/19) / 2022 배정(신규): (5/18),(11/18) / 2025 배정: (10/16)</x:v>
      </x:c>
      <x:c r="V855" s="2" t="str">
        <x:v>2025-10-30</x:v>
      </x:c>
      <x:c r="W855" s="2" t="str"/>
      <x:c r="X855" s="2" t="str">
        <x:v>보완 회신 일정 확인</x:v>
      </x:c>
      <x:c r="Y855" s="2" t="str">
        <x:v>ad210cd9ec132cfd447541c8984dc53d30aff0f4fb2dc92d254d49275cc55976</x:v>
      </x:c>
      <x:c r="Z855" s="2" t="n">
        <x:f>SUBTOTAL(103,A855)</x:f>
        <x:v>1</x:v>
      </x:c>
      <x:c r="AA855" s="2" t="str">
        <x:f>IF(K855&lt;&gt;"미종결 표시","대상 아님",IF(N855="","신청일 확인",IF(NOT(ISNUMBER('종합 현황'!$H$5)),"관찰기준 확인",IF('종합 현황'!$H$5&lt;1,"관찰기준 확인",IF(N855&gt;'종합 현황'!$H$5,"내부 관찰 대상","내부 관찰일 이하")))))</x:f>
        <x:v>내부 관찰 대상</x:v>
      </x:c>
      <x:c r="AB855" s="2"/>
    </x:row>
    <x:row r="856" ht="42" customHeight="1">
      <x:c r="A856" s="2" t="str">
        <x:v>51defe7dd6e7b6f4cc8c893e</x:v>
      </x:c>
      <x:c r="B856" s="2" t="str">
        <x:v>사업 평가</x:v>
      </x:c>
      <x:c r="C856" s="2" t="str">
        <x:v>국내</x:v>
      </x:c>
      <x:c r="D856" s="7" t="str">
        <x:v>(주)원풍산업 고효율 공기압축기 교체를 통한 온실가스 감축사업</x:v>
      </x:c>
      <x:c r="E856" s="2" t="str">
        <x:v>717</x:v>
      </x:c>
      <x:c r="F856" s="2" t="str">
        <x:v>2021-02-25</x:v>
      </x:c>
      <x:c r="G856" s="2" t="str">
        <x:v>2021</x:v>
      </x:c>
      <x:c r="H856" s="2" t="str">
        <x:v>02</x:v>
      </x:c>
      <x:c r="I856" s="2" t="str">
        <x:v>반려</x:v>
      </x:c>
      <x:c r="J856" s="2" t="str">
        <x:v>반려</x:v>
      </x:c>
      <x:c r="K856" s="2" t="str">
        <x:f>IF(OR(J856="심의승인",J856="반려",J856="반려완료",J856="심의완료"),"종결 표시",IF(OR(J856="기후부협의",J856="문서재제출요청",J856="보류",J856="보완요청",J856="보완완료",J856="평가중",J856="반려요청",J856="평가필요",LEFT(J856,5)="보완요청("),"미종결 표시","상태 확인 필요"))</x:f>
        <x:v>종결 표시</x:v>
      </x:c>
      <x:c r="L856" s="2" t="str">
        <x:v>에코시안_오경환</x:v>
      </x:c>
      <x:c r="M856" s="2"/>
      <x:c r="N856" s="8" t="n">
        <x:f>DATE(2026,10,15)-DATE(2021,2,25)</x:f>
        <x:v>2058</x:v>
      </x:c>
      <x:c r="O856" s="2" t="str">
        <x:v>O(6월추가)</x:v>
      </x:c>
      <x:c r="P856" s="2"/>
      <x:c r="Q856" s="2" t="str">
        <x:v>산업전환_외부사업관리Tool_260707_이너젠 수정_LJY_261013.xlsx</x:v>
      </x:c>
      <x:c r="R856" s="2" t="str">
        <x:v>국내평가</x:v>
      </x:c>
      <x:c r="S856" s="8" t="n">
        <x:v>759</x:v>
      </x:c>
      <x:c r="T856" s="2" t="str">
        <x:v>(6/28)</x:v>
      </x:c>
      <x:c r="U856" s="2" t="str">
        <x:v>2021 배정: (6/28)</x:v>
      </x:c>
      <x:c r="V856" s="2" t="str">
        <x:v>2021-10-25</x:v>
      </x:c>
      <x:c r="W856" s="2" t="str"/>
      <x:c r="X856" s="2" t="str">
        <x:v>종결 근거 보관</x:v>
      </x:c>
      <x:c r="Y856" s="2" t="str">
        <x:v>ad210cd9ec132cfd447541c8984dc53d30aff0f4fb2dc92d254d49275cc55976</x:v>
      </x:c>
      <x:c r="Z856" s="2" t="n">
        <x:f>SUBTOTAL(103,A856)</x:f>
        <x:v>1</x:v>
      </x:c>
      <x:c r="AA856" s="2" t="str">
        <x:f>IF(K856&lt;&gt;"미종결 표시","대상 아님",IF(N856="","신청일 확인",IF(NOT(ISNUMBER('종합 현황'!$H$5)),"관찰기준 확인",IF('종합 현황'!$H$5&lt;1,"관찰기준 확인",IF(N856&gt;'종합 현황'!$H$5,"내부 관찰 대상","내부 관찰일 이하")))))</x:f>
        <x:v>대상 아님</x:v>
      </x:c>
      <x:c r="AB856" s="2"/>
    </x:row>
    <x:row r="857" ht="42" customHeight="1">
      <x:c r="A857" s="2" t="str">
        <x:v>cf50ad8ca6e596de3286057e</x:v>
      </x:c>
      <x:c r="B857" s="2" t="str">
        <x:v>사업 평가</x:v>
      </x:c>
      <x:c r="C857" s="2" t="str">
        <x:v>국내</x:v>
      </x:c>
      <x:c r="D857" s="7" t="str">
        <x:v>(주)대한이엔지 인버터 공기압축기 교체를 통한 온실가스 감축사업</x:v>
      </x:c>
      <x:c r="E857" s="2" t="str">
        <x:v>718</x:v>
      </x:c>
      <x:c r="F857" s="2" t="str">
        <x:v>2021-02-25</x:v>
      </x:c>
      <x:c r="G857" s="2" t="str">
        <x:v>2021</x:v>
      </x:c>
      <x:c r="H857" s="2" t="str">
        <x:v>02</x:v>
      </x:c>
      <x:c r="I857" s="2" t="str">
        <x:v>반려</x:v>
      </x:c>
      <x:c r="J857" s="2" t="str">
        <x:v>반려</x:v>
      </x:c>
      <x:c r="K857" s="2" t="str">
        <x:f>IF(OR(J857="심의승인",J857="반려",J857="반려완료",J857="심의완료"),"종결 표시",IF(OR(J857="기후부협의",J857="문서재제출요청",J857="보류",J857="보완요청",J857="보완완료",J857="평가중",J857="반려요청",J857="평가필요",LEFT(J857,5)="보완요청("),"미종결 표시","상태 확인 필요"))</x:f>
        <x:v>종결 표시</x:v>
      </x:c>
      <x:c r="L857" s="2"/>
      <x:c r="M857" s="2"/>
      <x:c r="N857" s="8" t="n">
        <x:f>DATE(2026,10,15)-DATE(2021,2,25)</x:f>
        <x:v>2058</x:v>
      </x:c>
      <x:c r="O857" s="2"/>
      <x:c r="P857" s="2" t="str">
        <x:v>반려완료(재신청 예정)</x:v>
      </x:c>
      <x:c r="Q857" s="2" t="str">
        <x:v>산업전환_외부사업관리Tool_260707_이너젠 수정_LJY_261013.xlsx</x:v>
      </x:c>
      <x:c r="R857" s="2" t="str">
        <x:v>국내평가</x:v>
      </x:c>
      <x:c r="S857" s="8" t="n">
        <x:v>760</x:v>
      </x:c>
      <x:c r="T857" s="2" t="str">
        <x:v>2021년 처리</x:v>
      </x:c>
      <x:c r="U857" s="2" t="str">
        <x:v>2021 배정: 2021년 처리</x:v>
      </x:c>
      <x:c r="V857" s="2" t="str">
        <x:v>2021-06-30</x:v>
      </x:c>
      <x:c r="W857" s="2" t="str">
        <x:v>담당기관 확인</x:v>
      </x:c>
      <x:c r="X857" s="2" t="str">
        <x:v>원본·배정 기록 확인</x:v>
      </x:c>
      <x:c r="Y857" s="2" t="str">
        <x:v>ad210cd9ec132cfd447541c8984dc53d30aff0f4fb2dc92d254d49275cc55976</x:v>
      </x:c>
      <x:c r="Z857" s="2" t="n">
        <x:f>SUBTOTAL(103,A857)</x:f>
        <x:v>1</x:v>
      </x:c>
      <x:c r="AA857" s="2" t="str">
        <x:f>IF(K857&lt;&gt;"미종결 표시","대상 아님",IF(N857="","신청일 확인",IF(NOT(ISNUMBER('종합 현황'!$H$5)),"관찰기준 확인",IF('종합 현황'!$H$5&lt;1,"관찰기준 확인",IF(N857&gt;'종합 현황'!$H$5,"내부 관찰 대상","내부 관찰일 이하")))))</x:f>
        <x:v>대상 아님</x:v>
      </x:c>
      <x:c r="AB857" s="2"/>
    </x:row>
    <x:row r="858" ht="42" customHeight="1">
      <x:c r="A858" s="2" t="str">
        <x:v>46781d41e2f4a78f2ad526c9</x:v>
      </x:c>
      <x:c r="B858" s="2" t="str">
        <x:v>사업 평가</x:v>
      </x:c>
      <x:c r="C858" s="2" t="str">
        <x:v>국내</x:v>
      </x:c>
      <x:c r="D858" s="7" t="str">
        <x:v>(주)덕성테크윈 인버터 공기압축기 교체를 통한 온실가스 감축사업</x:v>
      </x:c>
      <x:c r="E858" s="2" t="str">
        <x:v>719</x:v>
      </x:c>
      <x:c r="F858" s="2" t="str">
        <x:v>2021-02-25</x:v>
      </x:c>
      <x:c r="G858" s="2" t="str">
        <x:v>2021</x:v>
      </x:c>
      <x:c r="H858" s="2" t="str">
        <x:v>02</x:v>
      </x:c>
      <x:c r="I858" s="2" t="str">
        <x:v>반려</x:v>
      </x:c>
      <x:c r="J858" s="2" t="str">
        <x:v>반려</x:v>
      </x:c>
      <x:c r="K858" s="2" t="str">
        <x:f>IF(OR(J858="심의승인",J858="반려",J858="반려완료",J858="심의완료"),"종결 표시",IF(OR(J858="기후부협의",J858="문서재제출요청",J858="보류",J858="보완요청",J858="보완완료",J858="평가중",J858="반려요청",J858="평가필요",LEFT(J858,5)="보완요청("),"미종결 표시","상태 확인 필요"))</x:f>
        <x:v>종결 표시</x:v>
      </x:c>
      <x:c r="L858" s="2" t="str">
        <x:v>KECM</x:v>
      </x:c>
      <x:c r="M858" s="2"/>
      <x:c r="N858" s="8" t="n">
        <x:f>DATE(2026,10,15)-DATE(2021,2,25)</x:f>
        <x:v>2058</x:v>
      </x:c>
      <x:c r="O858" s="2" t="str">
        <x:v>O(6월추가)</x:v>
      </x:c>
      <x:c r="P858" s="2" t="str">
        <x:v>반려완료(재신청 예정)</x:v>
      </x:c>
      <x:c r="Q858" s="2" t="str">
        <x:v>산업전환_외부사업관리Tool_260707_이너젠 수정_LJY_261013.xlsx</x:v>
      </x:c>
      <x:c r="R858" s="2" t="str">
        <x:v>국내평가</x:v>
      </x:c>
      <x:c r="S858" s="8" t="n">
        <x:v>761</x:v>
      </x:c>
      <x:c r="T858" s="2" t="str">
        <x:v>(6/28)</x:v>
      </x:c>
      <x:c r="U858" s="2" t="str">
        <x:v>2021 배정: (6/28)</x:v>
      </x:c>
      <x:c r="V858" s="2" t="str">
        <x:v>2021-06-30</x:v>
      </x:c>
      <x:c r="W858" s="2" t="str"/>
      <x:c r="X858" s="2" t="str">
        <x:v>종결 근거 보관</x:v>
      </x:c>
      <x:c r="Y858" s="2" t="str">
        <x:v>ad210cd9ec132cfd447541c8984dc53d30aff0f4fb2dc92d254d49275cc55976</x:v>
      </x:c>
      <x:c r="Z858" s="2" t="n">
        <x:f>SUBTOTAL(103,A858)</x:f>
        <x:v>1</x:v>
      </x:c>
      <x:c r="AA858" s="2" t="str">
        <x:f>IF(K858&lt;&gt;"미종결 표시","대상 아님",IF(N858="","신청일 확인",IF(NOT(ISNUMBER('종합 현황'!$H$5)),"관찰기준 확인",IF('종합 현황'!$H$5&lt;1,"관찰기준 확인",IF(N858&gt;'종합 현황'!$H$5,"내부 관찰 대상","내부 관찰일 이하")))))</x:f>
        <x:v>대상 아님</x:v>
      </x:c>
      <x:c r="AB858" s="2"/>
    </x:row>
    <x:row r="859" ht="42" customHeight="1">
      <x:c r="A859" s="2" t="str">
        <x:v>3e6d8f064f727755e5c96630</x:v>
      </x:c>
      <x:c r="B859" s="2" t="str">
        <x:v>사업 평가</x:v>
      </x:c>
      <x:c r="C859" s="2" t="str">
        <x:v>국내</x:v>
      </x:c>
      <x:c r="D859" s="7" t="str">
        <x:v>(주)성원아이앤디 인버터 공기압축기 교체를 통한 온실가스 감축사업</x:v>
      </x:c>
      <x:c r="E859" s="2" t="str">
        <x:v>720</x:v>
      </x:c>
      <x:c r="F859" s="2" t="str">
        <x:v>2021-02-25</x:v>
      </x:c>
      <x:c r="G859" s="2" t="str">
        <x:v>2021</x:v>
      </x:c>
      <x:c r="H859" s="2" t="str">
        <x:v>02</x:v>
      </x:c>
      <x:c r="I859" s="2" t="str">
        <x:v>반려</x:v>
      </x:c>
      <x:c r="J859" s="2" t="str">
        <x:v>반려</x:v>
      </x:c>
      <x:c r="K859" s="2" t="str">
        <x:f>IF(OR(J859="심의승인",J859="반려",J859="반려완료",J859="심의완료"),"종결 표시",IF(OR(J859="기후부협의",J859="문서재제출요청",J859="보류",J859="보완요청",J859="보완완료",J859="평가중",J859="반려요청",J859="평가필요",LEFT(J859,5)="보완요청("),"미종결 표시","상태 확인 필요"))</x:f>
        <x:v>종결 표시</x:v>
      </x:c>
      <x:c r="L859" s="2" t="str">
        <x:v>에코시안_권송화,조혜민</x:v>
      </x:c>
      <x:c r="M859" s="2"/>
      <x:c r="N859" s="8" t="n">
        <x:f>DATE(2026,10,15)-DATE(2021,2,25)</x:f>
        <x:v>2058</x:v>
      </x:c>
      <x:c r="O859" s="2" t="str">
        <x:v>O(6월추가)</x:v>
      </x:c>
      <x:c r="P859" s="2"/>
      <x:c r="Q859" s="2" t="str">
        <x:v>산업전환_외부사업관리Tool_260707_이너젠 수정_LJY_261013.xlsx</x:v>
      </x:c>
      <x:c r="R859" s="2" t="str">
        <x:v>국내평가</x:v>
      </x:c>
      <x:c r="S859" s="8" t="n">
        <x:v>762</x:v>
      </x:c>
      <x:c r="T859" s="2" t="str">
        <x:v>(6/28),(7/12)</x:v>
      </x:c>
      <x:c r="U859" s="2" t="str">
        <x:v>2021 배정: (6/28),(7/12)</x:v>
      </x:c>
      <x:c r="V859" s="2" t="str">
        <x:v>2021-10-25</x:v>
      </x:c>
      <x:c r="W859" s="2" t="str"/>
      <x:c r="X859" s="2" t="str">
        <x:v>종결 근거 보관</x:v>
      </x:c>
      <x:c r="Y859" s="2" t="str">
        <x:v>ad210cd9ec132cfd447541c8984dc53d30aff0f4fb2dc92d254d49275cc55976</x:v>
      </x:c>
      <x:c r="Z859" s="2" t="n">
        <x:f>SUBTOTAL(103,A859)</x:f>
        <x:v>1</x:v>
      </x:c>
      <x:c r="AA859" s="2" t="str">
        <x:f>IF(K859&lt;&gt;"미종결 표시","대상 아님",IF(N859="","신청일 확인",IF(NOT(ISNUMBER('종합 현황'!$H$5)),"관찰기준 확인",IF('종합 현황'!$H$5&lt;1,"관찰기준 확인",IF(N859&gt;'종합 현황'!$H$5,"내부 관찰 대상","내부 관찰일 이하")))))</x:f>
        <x:v>대상 아님</x:v>
      </x:c>
      <x:c r="AB859" s="2"/>
    </x:row>
    <x:row r="860" ht="42" customHeight="1">
      <x:c r="A860" s="2" t="str">
        <x:v>f067d137f0df24654ed2a2e7</x:v>
      </x:c>
      <x:c r="B860" s="2" t="str">
        <x:v>사업 평가</x:v>
      </x:c>
      <x:c r="C860" s="2" t="str">
        <x:v>국내</x:v>
      </x:c>
      <x:c r="D860" s="7" t="str">
        <x:v>(주)동남사  고효율 1단 PM Motor 공기압축기로 교체 사업</x:v>
      </x:c>
      <x:c r="E860" s="2" t="str">
        <x:v>721</x:v>
      </x:c>
      <x:c r="F860" s="2" t="str">
        <x:v>2020-02-24</x:v>
      </x:c>
      <x:c r="G860" s="2" t="str">
        <x:v>2020</x:v>
      </x:c>
      <x:c r="H860" s="2" t="str">
        <x:v>02</x:v>
      </x:c>
      <x:c r="I860" s="2" t="str">
        <x:v>승인</x:v>
      </x:c>
      <x:c r="J860" s="2" t="str">
        <x:v>심의승인</x:v>
      </x:c>
      <x:c r="K860" s="2" t="str">
        <x:f>IF(OR(J860="심의승인",J860="반려",J860="반려완료",J860="심의완료"),"종결 표시",IF(OR(J860="기후부협의",J860="문서재제출요청",J860="보류",J860="보완요청",J860="보완완료",J860="평가중",J860="반려요청",J860="평가필요",LEFT(J860,5)="보완요청("),"미종결 표시","상태 확인 필요"))</x:f>
        <x:v>종결 표시</x:v>
      </x:c>
      <x:c r="L860" s="2" t="str">
        <x:v>에코시안_권송화</x:v>
      </x:c>
      <x:c r="M860" s="2"/>
      <x:c r="N860" s="8" t="n">
        <x:f>DATE(2026,10,15)-DATE(2020,2,24)</x:f>
        <x:v>2425</x:v>
      </x:c>
      <x:c r="O860" s="2" t="str">
        <x:v>생략</x:v>
      </x:c>
      <x:c r="P860" s="2" t="str">
        <x:v>제51차 인증위</x:v>
      </x:c>
      <x:c r="Q860" s="2" t="str">
        <x:v>산업전환_외부사업관리Tool_260707_이너젠 수정_LJY_261013.xlsx</x:v>
      </x:c>
      <x:c r="R860" s="2" t="str">
        <x:v>국내평가</x:v>
      </x:c>
      <x:c r="S860" s="8" t="n">
        <x:v>763</x:v>
      </x:c>
      <x:c r="T860" s="2" t="str">
        <x:v>(6/3),(11/2),(12/10)</x:v>
      </x:c>
      <x:c r="U860" s="2" t="str">
        <x:v>2021 배정: (6/3),(11/2),(12/10) / 2022 배정: (3/16) / 2022 배정(신규): (6/10),(7/13),(12/8) / 2023 배정: 2023년 처리</x:v>
      </x:c>
      <x:c r="V860" s="2" t="str">
        <x:v>2023-06-19</x:v>
      </x:c>
      <x:c r="W860" s="2" t="str"/>
      <x:c r="X860" s="2" t="str">
        <x:v>종결 근거 보관</x:v>
      </x:c>
      <x:c r="Y860" s="2" t="str">
        <x:v>ad210cd9ec132cfd447541c8984dc53d30aff0f4fb2dc92d254d49275cc55976</x:v>
      </x:c>
      <x:c r="Z860" s="2" t="n">
        <x:f>SUBTOTAL(103,A860)</x:f>
        <x:v>1</x:v>
      </x:c>
      <x:c r="AA860" s="2" t="str">
        <x:f>IF(K860&lt;&gt;"미종결 표시","대상 아님",IF(N860="","신청일 확인",IF(NOT(ISNUMBER('종합 현황'!$H$5)),"관찰기준 확인",IF('종합 현황'!$H$5&lt;1,"관찰기준 확인",IF(N860&gt;'종합 현황'!$H$5,"내부 관찰 대상","내부 관찰일 이하")))))</x:f>
        <x:v>대상 아님</x:v>
      </x:c>
      <x:c r="AB860" s="2"/>
    </x:row>
    <x:row r="861" ht="42" customHeight="1">
      <x:c r="A861" s="2" t="str">
        <x:v>7324a9c1c2f3c5b6569a57e4</x:v>
      </x:c>
      <x:c r="B861" s="2" t="str">
        <x:v>사업 평가</x:v>
      </x:c>
      <x:c r="C861" s="2" t="str">
        <x:v>국내</x:v>
      </x:c>
      <x:c r="D861" s="7" t="str">
        <x:v>㈜금성이노텍 고효율 설비 교체 사업</x:v>
      </x:c>
      <x:c r="E861" s="2" t="str">
        <x:v>722</x:v>
      </x:c>
      <x:c r="F861" s="2" t="str">
        <x:v>2021-02-03</x:v>
      </x:c>
      <x:c r="G861" s="2" t="str">
        <x:v>2021</x:v>
      </x:c>
      <x:c r="H861" s="2" t="str">
        <x:v>02</x:v>
      </x:c>
      <x:c r="I861" s="2" t="str">
        <x:v>승인</x:v>
      </x:c>
      <x:c r="J861" s="2" t="str">
        <x:v>심의승인</x:v>
      </x:c>
      <x:c r="K861" s="2" t="str">
        <x:f>IF(OR(J861="심의승인",J861="반려",J861="반려완료",J861="심의완료"),"종결 표시",IF(OR(J861="기후부협의",J861="문서재제출요청",J861="보류",J861="보완요청",J861="보완완료",J861="평가중",J861="반려요청",J861="평가필요",LEFT(J861,5)="보완요청("),"미종결 표시","상태 확인 필요"))</x:f>
        <x:v>종결 표시</x:v>
      </x:c>
      <x:c r="L861" s="2" t="str">
        <x:v>에코시안_권송화</x:v>
      </x:c>
      <x:c r="M861" s="2"/>
      <x:c r="N861" s="8" t="n">
        <x:f>DATE(2026,10,15)-DATE(2021,2,3)</x:f>
        <x:v>2080</x:v>
      </x:c>
      <x:c r="O861" s="2" t="str">
        <x:v>생략</x:v>
      </x:c>
      <x:c r="P861" s="2"/>
      <x:c r="Q861" s="2" t="str">
        <x:v>산업전환_외부사업관리Tool_260707_이너젠 수정_LJY_261013.xlsx</x:v>
      </x:c>
      <x:c r="R861" s="2" t="str">
        <x:v>국내평가</x:v>
      </x:c>
      <x:c r="S861" s="8" t="n">
        <x:v>764</x:v>
      </x:c>
      <x:c r="T861" s="2" t="str">
        <x:v>(7/12),(9/14),(10/20)</x:v>
      </x:c>
      <x:c r="U861" s="2" t="str">
        <x:v>2021 배정: (7/12),(9/14),(10/20) / 2022 배정: (3/16) / 2022 배정(신규): (6/10),(7/13)</x:v>
      </x:c>
      <x:c r="V861" s="2" t="str">
        <x:v>2022-12-26</x:v>
      </x:c>
      <x:c r="W861" s="2" t="str"/>
      <x:c r="X861" s="2" t="str">
        <x:v>종결 근거 보관</x:v>
      </x:c>
      <x:c r="Y861" s="2" t="str">
        <x:v>ad210cd9ec132cfd447541c8984dc53d30aff0f4fb2dc92d254d49275cc55976</x:v>
      </x:c>
      <x:c r="Z861" s="2" t="n">
        <x:f>SUBTOTAL(103,A861)</x:f>
        <x:v>1</x:v>
      </x:c>
      <x:c r="AA861" s="2" t="str">
        <x:f>IF(K861&lt;&gt;"미종결 표시","대상 아님",IF(N861="","신청일 확인",IF(NOT(ISNUMBER('종합 현황'!$H$5)),"관찰기준 확인",IF('종합 현황'!$H$5&lt;1,"관찰기준 확인",IF(N861&gt;'종합 현황'!$H$5,"내부 관찰 대상","내부 관찰일 이하")))))</x:f>
        <x:v>대상 아님</x:v>
      </x:c>
      <x:c r="AB861" s="2"/>
    </x:row>
    <x:row r="862" ht="42" customHeight="1">
      <x:c r="A862" s="2" t="str">
        <x:v>71822110059db1df1ea813f8</x:v>
      </x:c>
      <x:c r="B862" s="2" t="str">
        <x:v>사업 평가</x:v>
      </x:c>
      <x:c r="C862" s="2" t="str">
        <x:v>국내</x:v>
      </x:c>
      <x:c r="D862" s="7" t="str">
        <x:v>동이피엠씨(주) 고효율 설비 교체 사업</x:v>
      </x:c>
      <x:c r="E862" s="2" t="str">
        <x:v>723</x:v>
      </x:c>
      <x:c r="F862" s="2" t="str">
        <x:v>2021-02-03</x:v>
      </x:c>
      <x:c r="G862" s="2" t="str">
        <x:v>2021</x:v>
      </x:c>
      <x:c r="H862" s="2" t="str">
        <x:v>02</x:v>
      </x:c>
      <x:c r="I862" s="2" t="str">
        <x:v>승인</x:v>
      </x:c>
      <x:c r="J862" s="2" t="str">
        <x:v>심의승인</x:v>
      </x:c>
      <x:c r="K862" s="2" t="str">
        <x:f>IF(OR(J862="심의승인",J862="반려",J862="반려완료",J862="심의완료"),"종결 표시",IF(OR(J862="기후부협의",J862="문서재제출요청",J862="보류",J862="보완요청",J862="보완완료",J862="평가중",J862="반려요청",J862="평가필요",LEFT(J862,5)="보완요청("),"미종결 표시","상태 확인 필요"))</x:f>
        <x:v>종결 표시</x:v>
      </x:c>
      <x:c r="L862" s="2" t="str">
        <x:v>에코시안_박세은</x:v>
      </x:c>
      <x:c r="M862" s="2"/>
      <x:c r="N862" s="8" t="n">
        <x:f>DATE(2026,10,15)-DATE(2021,2,3)</x:f>
        <x:v>2080</x:v>
      </x:c>
      <x:c r="O862" s="2" t="str">
        <x:v>생략</x:v>
      </x:c>
      <x:c r="P862" s="2"/>
      <x:c r="Q862" s="2" t="str">
        <x:v>산업전환_외부사업관리Tool_260707_이너젠 수정_LJY_261013.xlsx</x:v>
      </x:c>
      <x:c r="R862" s="2" t="str">
        <x:v>국내평가</x:v>
      </x:c>
      <x:c r="S862" s="8" t="n">
        <x:v>765</x:v>
      </x:c>
      <x:c r="T862" s="2" t="str">
        <x:v>(7/12),(9/14),(10/20)</x:v>
      </x:c>
      <x:c r="U862" s="2" t="str">
        <x:v>2021 배정: (7/12),(9/14),(10/20) / 2022 배정: (3/16) / 2022 배정(신규): (5/18),(7/13)</x:v>
      </x:c>
      <x:c r="V862" s="2" t="str">
        <x:v>2022-12-26</x:v>
      </x:c>
      <x:c r="W862" s="2" t="str"/>
      <x:c r="X862" s="2" t="str">
        <x:v>종결 근거 보관</x:v>
      </x:c>
      <x:c r="Y862" s="2" t="str">
        <x:v>ad210cd9ec132cfd447541c8984dc53d30aff0f4fb2dc92d254d49275cc55976</x:v>
      </x:c>
      <x:c r="Z862" s="2" t="n">
        <x:f>SUBTOTAL(103,A862)</x:f>
        <x:v>1</x:v>
      </x:c>
      <x:c r="AA862" s="2" t="str">
        <x:f>IF(K862&lt;&gt;"미종결 표시","대상 아님",IF(N862="","신청일 확인",IF(NOT(ISNUMBER('종합 현황'!$H$5)),"관찰기준 확인",IF('종합 현황'!$H$5&lt;1,"관찰기준 확인",IF(N862&gt;'종합 현황'!$H$5,"내부 관찰 대상","내부 관찰일 이하")))))</x:f>
        <x:v>대상 아님</x:v>
      </x:c>
      <x:c r="AB862" s="2"/>
    </x:row>
    <x:row r="863" ht="42" customHeight="1">
      <x:c r="A863" s="2" t="str">
        <x:v>6ba2cee10fc2ce5de8485150</x:v>
      </x:c>
      <x:c r="B863" s="2" t="str">
        <x:v>사업 평가</x:v>
      </x:c>
      <x:c r="C863" s="2" t="str">
        <x:v>국내</x:v>
      </x:c>
      <x:c r="D863" s="7" t="str">
        <x:v>(유)범진금속 고효율 설비 교체 사업</x:v>
      </x:c>
      <x:c r="E863" s="2" t="str">
        <x:v>724</x:v>
      </x:c>
      <x:c r="F863" s="2" t="str">
        <x:v>2021-02-03</x:v>
      </x:c>
      <x:c r="G863" s="2" t="str">
        <x:v>2021</x:v>
      </x:c>
      <x:c r="H863" s="2" t="str">
        <x:v>02</x:v>
      </x:c>
      <x:c r="I863" s="2" t="str">
        <x:v>승인</x:v>
      </x:c>
      <x:c r="J863" s="2" t="str">
        <x:v>심의승인</x:v>
      </x:c>
      <x:c r="K863" s="2" t="str">
        <x:f>IF(OR(J863="심의승인",J863="반려",J863="반려완료",J863="심의완료"),"종결 표시",IF(OR(J863="기후부협의",J863="문서재제출요청",J863="보류",J863="보완요청",J863="보완완료",J863="평가중",J863="반려요청",J863="평가필요",LEFT(J863,5)="보완요청("),"미종결 표시","상태 확인 필요"))</x:f>
        <x:v>종결 표시</x:v>
      </x:c>
      <x:c r="L863" s="2" t="str">
        <x:v>에코시안_박세은</x:v>
      </x:c>
      <x:c r="M863" s="2"/>
      <x:c r="N863" s="8" t="n">
        <x:f>DATE(2026,10,15)-DATE(2021,2,3)</x:f>
        <x:v>2080</x:v>
      </x:c>
      <x:c r="O863" s="2" t="str">
        <x:v>생략</x:v>
      </x:c>
      <x:c r="P863" s="2"/>
      <x:c r="Q863" s="2" t="str">
        <x:v>산업전환_외부사업관리Tool_260707_이너젠 수정_LJY_261013.xlsx</x:v>
      </x:c>
      <x:c r="R863" s="2" t="str">
        <x:v>국내평가</x:v>
      </x:c>
      <x:c r="S863" s="8" t="n">
        <x:v>766</x:v>
      </x:c>
      <x:c r="T863" s="2" t="str">
        <x:v>(7/12),(9/14),(10/20)</x:v>
      </x:c>
      <x:c r="U863" s="2" t="str">
        <x:v>2021 배정: (7/12),(9/14),(10/20) / 2022 배정: (3/16) / 2022 배정(신규): (5/18)</x:v>
      </x:c>
      <x:c r="V863" s="2" t="str">
        <x:v>2022-10-11</x:v>
      </x:c>
      <x:c r="W863" s="2" t="str"/>
      <x:c r="X863" s="2" t="str">
        <x:v>종결 근거 보관</x:v>
      </x:c>
      <x:c r="Y863" s="2" t="str">
        <x:v>ad210cd9ec132cfd447541c8984dc53d30aff0f4fb2dc92d254d49275cc55976</x:v>
      </x:c>
      <x:c r="Z863" s="2" t="n">
        <x:f>SUBTOTAL(103,A863)</x:f>
        <x:v>1</x:v>
      </x:c>
      <x:c r="AA863" s="2" t="str">
        <x:f>IF(K863&lt;&gt;"미종결 표시","대상 아님",IF(N863="","신청일 확인",IF(NOT(ISNUMBER('종합 현황'!$H$5)),"관찰기준 확인",IF('종합 현황'!$H$5&lt;1,"관찰기준 확인",IF(N863&gt;'종합 현황'!$H$5,"내부 관찰 대상","내부 관찰일 이하")))))</x:f>
        <x:v>대상 아님</x:v>
      </x:c>
      <x:c r="AB863" s="2"/>
    </x:row>
    <x:row r="864" ht="42" customHeight="1">
      <x:c r="A864" s="2" t="str">
        <x:v>6a5c73155ec69b1720f14581</x:v>
      </x:c>
      <x:c r="B864" s="2" t="str">
        <x:v>사업 평가</x:v>
      </x:c>
      <x:c r="C864" s="2" t="str">
        <x:v>국내</x:v>
      </x:c>
      <x:c r="D864" s="7" t="str">
        <x:v>(주)현진금속  고효율 2단 압축 VSD PM Motor 공기압축기로 교체 사업</x:v>
      </x:c>
      <x:c r="E864" s="2" t="str">
        <x:v>725</x:v>
      </x:c>
      <x:c r="F864" s="2" t="str">
        <x:v>2020-02-21</x:v>
      </x:c>
      <x:c r="G864" s="2" t="str">
        <x:v>2020</x:v>
      </x:c>
      <x:c r="H864" s="2" t="str">
        <x:v>02</x:v>
      </x:c>
      <x:c r="I864" s="2" t="str">
        <x:v>승인</x:v>
      </x:c>
      <x:c r="J864" s="2" t="str">
        <x:v>심의승인</x:v>
      </x:c>
      <x:c r="K864" s="2" t="str">
        <x:f>IF(OR(J864="심의승인",J864="반려",J864="반려완료",J864="심의완료"),"종결 표시",IF(OR(J864="기후부협의",J864="문서재제출요청",J864="보류",J864="보완요청",J864="보완완료",J864="평가중",J864="반려요청",J864="평가필요",LEFT(J864,5)="보완요청("),"미종결 표시","상태 확인 필요"))</x:f>
        <x:v>종결 표시</x:v>
      </x:c>
      <x:c r="L864" s="2" t="str">
        <x:v>에코시안_권송화</x:v>
      </x:c>
      <x:c r="M864" s="2"/>
      <x:c r="N864" s="8" t="n">
        <x:f>DATE(2026,10,15)-DATE(2020,2,21)</x:f>
        <x:v>2428</x:v>
      </x:c>
      <x:c r="O864" s="2" t="str">
        <x:v>생략</x:v>
      </x:c>
      <x:c r="P864" s="2"/>
      <x:c r="Q864" s="2" t="str">
        <x:v>산업전환_외부사업관리Tool_260707_이너젠 수정_LJY_261013.xlsx</x:v>
      </x:c>
      <x:c r="R864" s="2" t="str">
        <x:v>국내평가</x:v>
      </x:c>
      <x:c r="S864" s="8" t="n">
        <x:v>767</x:v>
      </x:c>
      <x:c r="T864" s="2" t="str">
        <x:v>(7/12),(9/1),(10/20)</x:v>
      </x:c>
      <x:c r="U864" s="2" t="str">
        <x:v>2021 배정: (7/12),(9/1),(10/20) / 2022 배정(신규): (6/10),(7/13),(12/8) / 2023 배정: (2/17)</x:v>
      </x:c>
      <x:c r="V864" s="2" t="str">
        <x:v>2023-10-04</x:v>
      </x:c>
      <x:c r="W864" s="2" t="str"/>
      <x:c r="X864" s="2" t="str">
        <x:v>종결 근거 보관</x:v>
      </x:c>
      <x:c r="Y864" s="2" t="str">
        <x:v>ad210cd9ec132cfd447541c8984dc53d30aff0f4fb2dc92d254d49275cc55976</x:v>
      </x:c>
      <x:c r="Z864" s="2" t="n">
        <x:f>SUBTOTAL(103,A864)</x:f>
        <x:v>1</x:v>
      </x:c>
      <x:c r="AA864" s="2" t="str">
        <x:f>IF(K864&lt;&gt;"미종결 표시","대상 아님",IF(N864="","신청일 확인",IF(NOT(ISNUMBER('종합 현황'!$H$5)),"관찰기준 확인",IF('종합 현황'!$H$5&lt;1,"관찰기준 확인",IF(N864&gt;'종합 현황'!$H$5,"내부 관찰 대상","내부 관찰일 이하")))))</x:f>
        <x:v>대상 아님</x:v>
      </x:c>
      <x:c r="AB864" s="2"/>
    </x:row>
    <x:row r="865" ht="42" customHeight="1">
      <x:c r="A865" s="2" t="str">
        <x:v>2ea3548b5aa8b376cc1ba26c</x:v>
      </x:c>
      <x:c r="B865" s="2" t="str">
        <x:v>사업 평가</x:v>
      </x:c>
      <x:c r="C865" s="2" t="str">
        <x:v>국내</x:v>
      </x:c>
      <x:c r="D865" s="7" t="str">
        <x:v>대동중공업㈜ 인버터 공기압축기 고효율 설비 교체 사업</x:v>
      </x:c>
      <x:c r="E865" s="2" t="str">
        <x:v>726</x:v>
      </x:c>
      <x:c r="F865" s="2" t="str">
        <x:v>2021-02-03</x:v>
      </x:c>
      <x:c r="G865" s="2" t="str">
        <x:v>2021</x:v>
      </x:c>
      <x:c r="H865" s="2" t="str">
        <x:v>02</x:v>
      </x:c>
      <x:c r="I865" s="2" t="str">
        <x:v>승인</x:v>
      </x:c>
      <x:c r="J865" s="2" t="str">
        <x:v>심의승인</x:v>
      </x:c>
      <x:c r="K865" s="2" t="str">
        <x:f>IF(OR(J865="심의승인",J865="반려",J865="반려완료",J865="심의완료"),"종결 표시",IF(OR(J865="기후부협의",J865="문서재제출요청",J865="보류",J865="보완요청",J865="보완완료",J865="평가중",J865="반려요청",J865="평가필요",LEFT(J865,5)="보완요청("),"미종결 표시","상태 확인 필요"))</x:f>
        <x:v>종결 표시</x:v>
      </x:c>
      <x:c r="L865" s="2" t="str">
        <x:v>에코시안_정다윤</x:v>
      </x:c>
      <x:c r="M865" s="2"/>
      <x:c r="N865" s="8" t="n">
        <x:f>DATE(2026,10,15)-DATE(2021,2,3)</x:f>
        <x:v>2080</x:v>
      </x:c>
      <x:c r="O865" s="2" t="str">
        <x:v>생략</x:v>
      </x:c>
      <x:c r="P865" s="2"/>
      <x:c r="Q865" s="2" t="str">
        <x:v>산업전환_외부사업관리Tool_260707_이너젠 수정_LJY_261013.xlsx</x:v>
      </x:c>
      <x:c r="R865" s="2" t="str">
        <x:v>국내평가</x:v>
      </x:c>
      <x:c r="S865" s="8" t="n">
        <x:v>768</x:v>
      </x:c>
      <x:c r="T865" s="2" t="str">
        <x:v>(7/12),(9/14),(10/20),(12/1)</x:v>
      </x:c>
      <x:c r="U865" s="2" t="str">
        <x:v>2021 배정: (7/12),(9/14),(10/20),(12/1)</x:v>
      </x:c>
      <x:c r="V865" s="2" t="str">
        <x:v>2022-04-14</x:v>
      </x:c>
      <x:c r="W865" s="2" t="str"/>
      <x:c r="X865" s="2" t="str">
        <x:v>종결 근거 보관</x:v>
      </x:c>
      <x:c r="Y865" s="2" t="str">
        <x:v>ad210cd9ec132cfd447541c8984dc53d30aff0f4fb2dc92d254d49275cc55976</x:v>
      </x:c>
      <x:c r="Z865" s="2" t="n">
        <x:f>SUBTOTAL(103,A865)</x:f>
        <x:v>1</x:v>
      </x:c>
      <x:c r="AA865" s="2" t="str">
        <x:f>IF(K865&lt;&gt;"미종결 표시","대상 아님",IF(N865="","신청일 확인",IF(NOT(ISNUMBER('종합 현황'!$H$5)),"관찰기준 확인",IF('종합 현황'!$H$5&lt;1,"관찰기준 확인",IF(N865&gt;'종합 현황'!$H$5,"내부 관찰 대상","내부 관찰일 이하")))))</x:f>
        <x:v>대상 아님</x:v>
      </x:c>
      <x:c r="AB865" s="2"/>
    </x:row>
    <x:row r="866" ht="42" customHeight="1">
      <x:c r="A866" s="2" t="str">
        <x:v>becad467f55d7c03f3042633</x:v>
      </x:c>
      <x:c r="B866" s="2" t="str">
        <x:v>사업 평가</x:v>
      </x:c>
      <x:c r="C866" s="2" t="str">
        <x:v>국내</x:v>
      </x:c>
      <x:c r="D866" s="7" t="str">
        <x:v>㈜신흥기업 고효율 설비 교체 사업</x:v>
      </x:c>
      <x:c r="E866" s="2" t="str">
        <x:v>727</x:v>
      </x:c>
      <x:c r="F866" s="2" t="str">
        <x:v>2021-02-03</x:v>
      </x:c>
      <x:c r="G866" s="2" t="str">
        <x:v>2021</x:v>
      </x:c>
      <x:c r="H866" s="2" t="str">
        <x:v>02</x:v>
      </x:c>
      <x:c r="I866" s="2" t="str">
        <x:v>승인</x:v>
      </x:c>
      <x:c r="J866" s="2" t="str">
        <x:v>심의승인</x:v>
      </x:c>
      <x:c r="K866" s="2" t="str">
        <x:f>IF(OR(J866="심의승인",J866="반려",J866="반려완료",J866="심의완료"),"종결 표시",IF(OR(J866="기후부협의",J866="문서재제출요청",J866="보류",J866="보완요청",J866="보완완료",J866="평가중",J866="반려요청",J866="평가필요",LEFT(J866,5)="보완요청("),"미종결 표시","상태 확인 필요"))</x:f>
        <x:v>종결 표시</x:v>
      </x:c>
      <x:c r="L866" s="2" t="str">
        <x:v>KECM_이태준</x:v>
      </x:c>
      <x:c r="M866" s="2"/>
      <x:c r="N866" s="8" t="n">
        <x:f>DATE(2026,10,15)-DATE(2021,2,3)</x:f>
        <x:v>2080</x:v>
      </x:c>
      <x:c r="O866" s="2" t="str">
        <x:v>생략</x:v>
      </x:c>
      <x:c r="P866" s="2"/>
      <x:c r="Q866" s="2" t="str">
        <x:v>산업전환_외부사업관리Tool_260707_이너젠 수정_LJY_261013.xlsx</x:v>
      </x:c>
      <x:c r="R866" s="2" t="str">
        <x:v>국내평가</x:v>
      </x:c>
      <x:c r="S866" s="8" t="n">
        <x:v>769</x:v>
      </x:c>
      <x:c r="T866" s="2" t="str">
        <x:v>(7/12),(9/14)</x:v>
      </x:c>
      <x:c r="U866" s="2" t="str">
        <x:v>2021 배정: (7/12),(9/14) / 2022 배정: (3/16),(4/19)</x:v>
      </x:c>
      <x:c r="V866" s="2" t="str">
        <x:v>2022-10-11</x:v>
      </x:c>
      <x:c r="W866" s="2" t="str"/>
      <x:c r="X866" s="2" t="str">
        <x:v>종결 근거 보관</x:v>
      </x:c>
      <x:c r="Y866" s="2" t="str">
        <x:v>ad210cd9ec132cfd447541c8984dc53d30aff0f4fb2dc92d254d49275cc55976</x:v>
      </x:c>
      <x:c r="Z866" s="2" t="n">
        <x:f>SUBTOTAL(103,A866)</x:f>
        <x:v>1</x:v>
      </x:c>
      <x:c r="AA866" s="2" t="str">
        <x:f>IF(K866&lt;&gt;"미종결 표시","대상 아님",IF(N866="","신청일 확인",IF(NOT(ISNUMBER('종합 현황'!$H$5)),"관찰기준 확인",IF('종합 현황'!$H$5&lt;1,"관찰기준 확인",IF(N866&gt;'종합 현황'!$H$5,"내부 관찰 대상","내부 관찰일 이하")))))</x:f>
        <x:v>대상 아님</x:v>
      </x:c>
      <x:c r="AB866" s="2"/>
    </x:row>
    <x:row r="867" ht="42" customHeight="1">
      <x:c r="A867" s="2" t="str">
        <x:v>72278a5ac39e63e85be6a79b</x:v>
      </x:c>
      <x:c r="B867" s="2" t="str">
        <x:v>사업 평가</x:v>
      </x:c>
      <x:c r="C867" s="2" t="str">
        <x:v>국내</x:v>
      </x:c>
      <x:c r="D867" s="7" t="str">
        <x:v>고려기초소재(주) 당진공장 건조로 열 생산 효율개선을 통한 온실가스 감축사업</x:v>
      </x:c>
      <x:c r="E867" s="2" t="str">
        <x:v>728</x:v>
      </x:c>
      <x:c r="F867" s="2" t="str">
        <x:v>2018-11-12</x:v>
      </x:c>
      <x:c r="G867" s="2" t="str">
        <x:v>2018</x:v>
      </x:c>
      <x:c r="H867" s="2" t="str">
        <x:v>11</x:v>
      </x:c>
      <x:c r="I867" s="2" t="str">
        <x:v>반려</x:v>
      </x:c>
      <x:c r="J867" s="2" t="str">
        <x:v>반려</x:v>
      </x:c>
      <x:c r="K867" s="2" t="str">
        <x:f>IF(OR(J867="심의승인",J867="반려",J867="반려완료",J867="심의완료"),"종결 표시",IF(OR(J867="기후부협의",J867="문서재제출요청",J867="보류",J867="보완요청",J867="보완완료",J867="평가중",J867="반려요청",J867="평가필요",LEFT(J867,5)="보완요청("),"미종결 표시","상태 확인 필요"))</x:f>
        <x:v>종결 표시</x:v>
      </x:c>
      <x:c r="L867" s="2" t="str">
        <x:v>(자문)박상연, 에코시안_정인혜,권송화</x:v>
      </x:c>
      <x:c r="M867" s="2"/>
      <x:c r="N867" s="8" t="n">
        <x:f>DATE(2026,10,15)-DATE(2018,11,12)</x:f>
        <x:v>2894</x:v>
      </x:c>
      <x:c r="O867" s="2" t="str">
        <x:v>O</x:v>
      </x:c>
      <x:c r="P867" s="2"/>
      <x:c r="Q867" s="2" t="str">
        <x:v>산업전환_외부사업관리Tool_260707_이너젠 수정_LJY_261013.xlsx</x:v>
      </x:c>
      <x:c r="R867" s="2" t="str">
        <x:v>국내평가</x:v>
      </x:c>
      <x:c r="S867" s="8" t="n">
        <x:v>770</x:v>
      </x:c>
      <x:c r="T867" s="2" t="str">
        <x:v>(4/23),(6/18),(9/1)</x:v>
      </x:c>
      <x:c r="U867" s="2" t="str">
        <x:v>2021 배정: (4/23),(6/18),(9/1) / 2022 배정: (4/19)</x:v>
      </x:c>
      <x:c r="V867" s="2" t="str">
        <x:v>2023-03-30</x:v>
      </x:c>
      <x:c r="W867" s="2" t="str"/>
      <x:c r="X867" s="2" t="str">
        <x:v>종결 근거 보관</x:v>
      </x:c>
      <x:c r="Y867" s="2" t="str">
        <x:v>ad210cd9ec132cfd447541c8984dc53d30aff0f4fb2dc92d254d49275cc55976</x:v>
      </x:c>
      <x:c r="Z867" s="2" t="n">
        <x:f>SUBTOTAL(103,A867)</x:f>
        <x:v>1</x:v>
      </x:c>
      <x:c r="AA867" s="2" t="str">
        <x:f>IF(K867&lt;&gt;"미종결 표시","대상 아님",IF(N867="","신청일 확인",IF(NOT(ISNUMBER('종합 현황'!$H$5)),"관찰기준 확인",IF('종합 현황'!$H$5&lt;1,"관찰기준 확인",IF(N867&gt;'종합 현황'!$H$5,"내부 관찰 대상","내부 관찰일 이하")))))</x:f>
        <x:v>대상 아님</x:v>
      </x:c>
      <x:c r="AB867" s="2"/>
    </x:row>
    <x:row r="868" ht="42" customHeight="1">
      <x:c r="A868" s="2" t="str">
        <x:v>7555cd7bf42e67071f9a3407</x:v>
      </x:c>
      <x:c r="B868" s="2" t="str">
        <x:v>사업 평가</x:v>
      </x:c>
      <x:c r="C868" s="2" t="str">
        <x:v>국내</x:v>
      </x:c>
      <x:c r="D868" s="7" t="str">
        <x:v>우주테크(주) 고효율 설비 교체 사업</x:v>
      </x:c>
      <x:c r="E868" s="2" t="str">
        <x:v>729</x:v>
      </x:c>
      <x:c r="F868" s="2" t="str">
        <x:v>2021-02-04</x:v>
      </x:c>
      <x:c r="G868" s="2" t="str">
        <x:v>2021</x:v>
      </x:c>
      <x:c r="H868" s="2" t="str">
        <x:v>02</x:v>
      </x:c>
      <x:c r="I868" s="2" t="str">
        <x:v>승인</x:v>
      </x:c>
      <x:c r="J868" s="2" t="str">
        <x:v>심의승인</x:v>
      </x:c>
      <x:c r="K868" s="2" t="str">
        <x:f>IF(OR(J868="심의승인",J868="반려",J868="반려완료",J868="심의완료"),"종결 표시",IF(OR(J868="기후부협의",J868="문서재제출요청",J868="보류",J868="보완요청",J868="보완완료",J868="평가중",J868="반려요청",J868="평가필요",LEFT(J868,5)="보완요청("),"미종결 표시","상태 확인 필요"))</x:f>
        <x:v>종결 표시</x:v>
      </x:c>
      <x:c r="L868" s="2" t="str">
        <x:v>에코시안_정다윤</x:v>
      </x:c>
      <x:c r="M868" s="2"/>
      <x:c r="N868" s="8" t="n">
        <x:f>DATE(2026,10,15)-DATE(2021,2,4)</x:f>
        <x:v>2079</x:v>
      </x:c>
      <x:c r="O868" s="2" t="str">
        <x:v>생략</x:v>
      </x:c>
      <x:c r="P868" s="2"/>
      <x:c r="Q868" s="2" t="str">
        <x:v>산업전환_외부사업관리Tool_260707_이너젠 수정_LJY_261013.xlsx</x:v>
      </x:c>
      <x:c r="R868" s="2" t="str">
        <x:v>국내평가</x:v>
      </x:c>
      <x:c r="S868" s="8" t="n">
        <x:v>771</x:v>
      </x:c>
      <x:c r="T868" s="2" t="str">
        <x:v>(7/12),(9/14),(10/20)</x:v>
      </x:c>
      <x:c r="U868" s="2" t="str">
        <x:v>2021 배정: (7/12),(9/14),(10/20) / 2022 배정: (3/16) / 2022 배정(신규): (5/18),(6/10),(7/13)</x:v>
      </x:c>
      <x:c r="V868" s="2" t="str">
        <x:v>2022-12-23</x:v>
      </x:c>
      <x:c r="W868" s="2" t="str"/>
      <x:c r="X868" s="2" t="str">
        <x:v>종결 근거 보관</x:v>
      </x:c>
      <x:c r="Y868" s="2" t="str">
        <x:v>ad210cd9ec132cfd447541c8984dc53d30aff0f4fb2dc92d254d49275cc55976</x:v>
      </x:c>
      <x:c r="Z868" s="2" t="n">
        <x:f>SUBTOTAL(103,A868)</x:f>
        <x:v>1</x:v>
      </x:c>
      <x:c r="AA868" s="2" t="str">
        <x:f>IF(K868&lt;&gt;"미종결 표시","대상 아님",IF(N868="","신청일 확인",IF(NOT(ISNUMBER('종합 현황'!$H$5)),"관찰기준 확인",IF('종합 현황'!$H$5&lt;1,"관찰기준 확인",IF(N868&gt;'종합 현황'!$H$5,"내부 관찰 대상","내부 관찰일 이하")))))</x:f>
        <x:v>대상 아님</x:v>
      </x:c>
      <x:c r="AB868" s="2"/>
    </x:row>
    <x:row r="869" ht="42" customHeight="1">
      <x:c r="A869" s="2" t="str">
        <x:v>eb4b10c752d15e74fa4290d2</x:v>
      </x:c>
      <x:c r="B869" s="2" t="str">
        <x:v>사업 평가</x:v>
      </x:c>
      <x:c r="C869" s="2" t="str">
        <x:v>국내</x:v>
      </x:c>
      <x:c r="D869" s="7" t="str">
        <x:v>지명산업 고효율 설비 교체 사업</x:v>
      </x:c>
      <x:c r="E869" s="2" t="str">
        <x:v>730</x:v>
      </x:c>
      <x:c r="F869" s="2" t="str">
        <x:v>2021-02-04</x:v>
      </x:c>
      <x:c r="G869" s="2" t="str">
        <x:v>2021</x:v>
      </x:c>
      <x:c r="H869" s="2" t="str">
        <x:v>02</x:v>
      </x:c>
      <x:c r="I869" s="2" t="str">
        <x:v>승인</x:v>
      </x:c>
      <x:c r="J869" s="2" t="str">
        <x:v>심의승인</x:v>
      </x:c>
      <x:c r="K869" s="2" t="str">
        <x:f>IF(OR(J869="심의승인",J869="반려",J869="반려완료",J869="심의완료"),"종결 표시",IF(OR(J869="기후부협의",J869="문서재제출요청",J869="보류",J869="보완요청",J869="보완완료",J869="평가중",J869="반려요청",J869="평가필요",LEFT(J869,5)="보완요청("),"미종결 표시","상태 확인 필요"))</x:f>
        <x:v>종결 표시</x:v>
      </x:c>
      <x:c r="L869" s="2" t="str">
        <x:v>KECM_이태준</x:v>
      </x:c>
      <x:c r="M869" s="2"/>
      <x:c r="N869" s="8" t="n">
        <x:f>DATE(2026,10,15)-DATE(2021,2,4)</x:f>
        <x:v>2079</x:v>
      </x:c>
      <x:c r="O869" s="2" t="str">
        <x:v>생략</x:v>
      </x:c>
      <x:c r="P869" s="2"/>
      <x:c r="Q869" s="2" t="str">
        <x:v>산업전환_외부사업관리Tool_260707_이너젠 수정_LJY_261013.xlsx</x:v>
      </x:c>
      <x:c r="R869" s="2" t="str">
        <x:v>국내평가</x:v>
      </x:c>
      <x:c r="S869" s="8" t="n">
        <x:v>772</x:v>
      </x:c>
      <x:c r="T869" s="2" t="str">
        <x:v>(7/12),(9/14)</x:v>
      </x:c>
      <x:c r="U869" s="2" t="str">
        <x:v>2021 배정: (7/12),(9/14) / 2022 배정: (3/16),(4/19)</x:v>
      </x:c>
      <x:c r="V869" s="2" t="str">
        <x:v>2022-10-11</x:v>
      </x:c>
      <x:c r="W869" s="2" t="str"/>
      <x:c r="X869" s="2" t="str">
        <x:v>종결 근거 보관</x:v>
      </x:c>
      <x:c r="Y869" s="2" t="str">
        <x:v>ad210cd9ec132cfd447541c8984dc53d30aff0f4fb2dc92d254d49275cc55976</x:v>
      </x:c>
      <x:c r="Z869" s="2" t="n">
        <x:f>SUBTOTAL(103,A869)</x:f>
        <x:v>1</x:v>
      </x:c>
      <x:c r="AA869" s="2" t="str">
        <x:f>IF(K869&lt;&gt;"미종결 표시","대상 아님",IF(N869="","신청일 확인",IF(NOT(ISNUMBER('종합 현황'!$H$5)),"관찰기준 확인",IF('종합 현황'!$H$5&lt;1,"관찰기준 확인",IF(N869&gt;'종합 현황'!$H$5,"내부 관찰 대상","내부 관찰일 이하")))))</x:f>
        <x:v>대상 아님</x:v>
      </x:c>
      <x:c r="AB869" s="2"/>
    </x:row>
    <x:row r="870" ht="42" customHeight="1">
      <x:c r="A870" s="2" t="str">
        <x:v>fc40478d8111c2f039696009</x:v>
      </x:c>
      <x:c r="B870" s="2" t="str">
        <x:v>사업 평가</x:v>
      </x:c>
      <x:c r="C870" s="2" t="str">
        <x:v>국내</x:v>
      </x:c>
      <x:c r="D870" s="7" t="str">
        <x:v>우성T&amp;C의 보일러 연료전환(B-C유→ LNG)을 통한 온실가스(CO2) 배출 감축사업</x:v>
      </x:c>
      <x:c r="E870" s="2" t="str">
        <x:v>731</x:v>
      </x:c>
      <x:c r="F870" s="2" t="str">
        <x:v>2020-09-25</x:v>
      </x:c>
      <x:c r="G870" s="2" t="str">
        <x:v>2020</x:v>
      </x:c>
      <x:c r="H870" s="2" t="str">
        <x:v>09</x:v>
      </x:c>
      <x:c r="I870" s="2" t="str">
        <x:v>승인</x:v>
      </x:c>
      <x:c r="J870" s="2" t="str">
        <x:v>심의승인</x:v>
      </x:c>
      <x:c r="K870" s="2" t="str">
        <x:f>IF(OR(J870="심의승인",J870="반려",J870="반려완료",J870="심의완료"),"종결 표시",IF(OR(J870="기후부협의",J870="문서재제출요청",J870="보류",J870="보완요청",J870="보완완료",J870="평가중",J870="반려요청",J870="평가필요",LEFT(J870,5)="보완요청("),"미종결 표시","상태 확인 필요"))</x:f>
        <x:v>종결 표시</x:v>
      </x:c>
      <x:c r="L870" s="2" t="str">
        <x:v>에코시안_박세은</x:v>
      </x:c>
      <x:c r="M870" s="2"/>
      <x:c r="N870" s="8" t="n">
        <x:f>DATE(2026,10,15)-DATE(2020,9,25)</x:f>
        <x:v>2211</x:v>
      </x:c>
      <x:c r="O870" s="2" t="str">
        <x:v>O(21.11)</x:v>
      </x:c>
      <x:c r="P870" s="2"/>
      <x:c r="Q870" s="2" t="str">
        <x:v>산업전환_외부사업관리Tool_260707_이너젠 수정_LJY_261013.xlsx</x:v>
      </x:c>
      <x:c r="R870" s="2" t="str">
        <x:v>국내평가</x:v>
      </x:c>
      <x:c r="S870" s="8" t="n">
        <x:v>773</x:v>
      </x:c>
      <x:c r="T870" s="2" t="str">
        <x:v>(8/3),(11/2),(12/1)</x:v>
      </x:c>
      <x:c r="U870" s="2" t="str">
        <x:v>2021 배정: (8/3),(11/2),(12/1) / 2022 배정: (1/18),(4/19)</x:v>
      </x:c>
      <x:c r="V870" s="2" t="str">
        <x:v>2022-07-05</x:v>
      </x:c>
      <x:c r="W870" s="2" t="str"/>
      <x:c r="X870" s="2" t="str">
        <x:v>종결 근거 보관</x:v>
      </x:c>
      <x:c r="Y870" s="2" t="str">
        <x:v>ad210cd9ec132cfd447541c8984dc53d30aff0f4fb2dc92d254d49275cc55976</x:v>
      </x:c>
      <x:c r="Z870" s="2" t="n">
        <x:f>SUBTOTAL(103,A870)</x:f>
        <x:v>1</x:v>
      </x:c>
      <x:c r="AA870" s="2" t="str">
        <x:f>IF(K870&lt;&gt;"미종결 표시","대상 아님",IF(N870="","신청일 확인",IF(NOT(ISNUMBER('종합 현황'!$H$5)),"관찰기준 확인",IF('종합 현황'!$H$5&lt;1,"관찰기준 확인",IF(N870&gt;'종합 현황'!$H$5,"내부 관찰 대상","내부 관찰일 이하")))))</x:f>
        <x:v>대상 아님</x:v>
      </x:c>
      <x:c r="AB870" s="2"/>
    </x:row>
    <x:row r="871" ht="42" customHeight="1">
      <x:c r="A871" s="2" t="str">
        <x:v>794987535259c973988fc0ca</x:v>
      </x:c>
      <x:c r="B871" s="2" t="str">
        <x:v>사업 평가</x:v>
      </x:c>
      <x:c r="C871" s="2" t="str">
        <x:v>국내</x:v>
      </x:c>
      <x:c r="D871" s="7" t="str">
        <x:v>(주)인터몰드  고효율 2단 PM  Motor 공기압축기로 교체 사업</x:v>
      </x:c>
      <x:c r="E871" s="2" t="str">
        <x:v>732</x:v>
      </x:c>
      <x:c r="F871" s="2" t="str">
        <x:v>2021-11-08</x:v>
      </x:c>
      <x:c r="G871" s="2" t="str">
        <x:v>2021</x:v>
      </x:c>
      <x:c r="H871" s="2" t="str">
        <x:v>11</x:v>
      </x:c>
      <x:c r="I871" s="2" t="str">
        <x:v>승인</x:v>
      </x:c>
      <x:c r="J871" s="2" t="str">
        <x:v>심의승인</x:v>
      </x:c>
      <x:c r="K871" s="2" t="str">
        <x:f>IF(OR(J871="심의승인",J871="반려",J871="반려완료",J871="심의완료"),"종결 표시",IF(OR(J871="기후부협의",J871="문서재제출요청",J871="보류",J871="보완요청",J871="보완완료",J871="평가중",J871="반려요청",J871="평가필요",LEFT(J871,5)="보완요청("),"미종결 표시","상태 확인 필요"))</x:f>
        <x:v>종결 표시</x:v>
      </x:c>
      <x:c r="L871" s="2" t="str">
        <x:v>에코시안_권송화</x:v>
      </x:c>
      <x:c r="M871" s="2"/>
      <x:c r="N871" s="8" t="n">
        <x:f>DATE(2026,10,15)-DATE(2021,11,8)</x:f>
        <x:v>1802</x:v>
      </x:c>
      <x:c r="O871" s="2" t="str">
        <x:v>생략</x:v>
      </x:c>
      <x:c r="P871" s="2" t="str">
        <x:v>제51차 인증위</x:v>
      </x:c>
      <x:c r="Q871" s="2" t="str">
        <x:v>산업전환_외부사업관리Tool_260707_이너젠 수정_LJY_261013.xlsx</x:v>
      </x:c>
      <x:c r="R871" s="2" t="str">
        <x:v>국내평가</x:v>
      </x:c>
      <x:c r="S871" s="8" t="n">
        <x:v>774</x:v>
      </x:c>
      <x:c r="T871" s="2" t="str">
        <x:v>(12/1)</x:v>
      </x:c>
      <x:c r="U871" s="2" t="str">
        <x:v>2021 배정: (12/1) / 2022 배정(신규): (6/10),(7/13),(12/8) / 2023 배정: (2/17)</x:v>
      </x:c>
      <x:c r="V871" s="2" t="str">
        <x:v>2023-06-19</x:v>
      </x:c>
      <x:c r="W871" s="2" t="str"/>
      <x:c r="X871" s="2" t="str">
        <x:v>종결 근거 보관</x:v>
      </x:c>
      <x:c r="Y871" s="2" t="str">
        <x:v>ad210cd9ec132cfd447541c8984dc53d30aff0f4fb2dc92d254d49275cc55976</x:v>
      </x:c>
      <x:c r="Z871" s="2" t="n">
        <x:f>SUBTOTAL(103,A871)</x:f>
        <x:v>1</x:v>
      </x:c>
      <x:c r="AA871" s="2" t="str">
        <x:f>IF(K871&lt;&gt;"미종결 표시","대상 아님",IF(N871="","신청일 확인",IF(NOT(ISNUMBER('종합 현황'!$H$5)),"관찰기준 확인",IF('종합 현황'!$H$5&lt;1,"관찰기준 확인",IF(N871&gt;'종합 현황'!$H$5,"내부 관찰 대상","내부 관찰일 이하")))))</x:f>
        <x:v>대상 아님</x:v>
      </x:c>
      <x:c r="AB871" s="2"/>
    </x:row>
    <x:row r="872" ht="42" customHeight="1">
      <x:c r="A872" s="2" t="str">
        <x:v>fcf5dbc18b06ae3f678b70c7</x:v>
      </x:c>
      <x:c r="B872" s="2" t="str">
        <x:v>사업 평가</x:v>
      </x:c>
      <x:c r="C872" s="2" t="str">
        <x:v>국내</x:v>
      </x:c>
      <x:c r="D872" s="7" t="str">
        <x:v>한일화섬(주)의 연료전환(B-C유→LPG)을 통한 온실가스 배출 감축사업</x:v>
      </x:c>
      <x:c r="E872" s="2" t="str">
        <x:v>733</x:v>
      </x:c>
      <x:c r="F872" s="2" t="str">
        <x:v>2021-03-29</x:v>
      </x:c>
      <x:c r="G872" s="2" t="str">
        <x:v>2021</x:v>
      </x:c>
      <x:c r="H872" s="2" t="str">
        <x:v>03</x:v>
      </x:c>
      <x:c r="I872" s="2" t="str">
        <x:v>보완3차_문서보완중</x:v>
      </x:c>
      <x:c r="J872" s="2" t="str">
        <x:v>보완요청</x:v>
      </x:c>
      <x:c r="K872" s="2" t="str">
        <x:f>IF(OR(J872="심의승인",J872="반려",J872="반려완료",J872="심의완료"),"종결 표시",IF(OR(J872="기후부협의",J872="문서재제출요청",J872="보류",J872="보완요청",J872="보완완료",J872="평가중",J872="반려요청",J872="평가필요",LEFT(J872,5)="보완요청("),"미종결 표시","상태 확인 필요"))</x:f>
        <x:v>미종결 표시</x:v>
      </x:c>
      <x:c r="L872" s="2" t="str">
        <x:v>KECM_이태준</x:v>
      </x:c>
      <x:c r="M872" s="2" t="n">
        <x:v>3</x:v>
      </x:c>
      <x:c r="N872" s="8" t="n">
        <x:f>DATE(2026,10,15)-DATE(2021,3,29)</x:f>
        <x:v>2026</x:v>
      </x:c>
      <x:c r="O872" s="2" t="str">
        <x:v>O(21.07)</x:v>
      </x:c>
      <x:c r="P872" s="2" t="str">
        <x:v>LPG 계측기 O</x:v>
      </x:c>
      <x:c r="Q872" s="2" t="str">
        <x:v>산업전환_외부사업관리Tool_260707_이너젠 수정_LJY_261013.xlsx</x:v>
      </x:c>
      <x:c r="R872" s="2" t="str">
        <x:v>국내평가</x:v>
      </x:c>
      <x:c r="S872" s="8" t="n">
        <x:v>775</x:v>
      </x:c>
      <x:c r="T872" s="2" t="str">
        <x:v>(4/23),(6/28),(12/1)</x:v>
      </x:c>
      <x:c r="U872" s="2" t="str">
        <x:v>2021 배정: (4/23),(6/28),(12/1) / 2022 배정: (1/18),(4/19) / 2022 배정(신규): (6/10),(7/13) / 2023 배정: (5/16),(6/7)</x:v>
      </x:c>
      <x:c r="V872" s="2" t="str">
        <x:v>2023-06-29</x:v>
      </x:c>
      <x:c r="W872" s="2" t="str"/>
      <x:c r="X872" s="2" t="str">
        <x:v>보완 회신 일정 확인</x:v>
      </x:c>
      <x:c r="Y872" s="2" t="str">
        <x:v>ad210cd9ec132cfd447541c8984dc53d30aff0f4fb2dc92d254d49275cc55976</x:v>
      </x:c>
      <x:c r="Z872" s="2" t="n">
        <x:f>SUBTOTAL(103,A872)</x:f>
        <x:v>1</x:v>
      </x:c>
      <x:c r="AA872" s="2" t="str">
        <x:f>IF(K872&lt;&gt;"미종결 표시","대상 아님",IF(N872="","신청일 확인",IF(NOT(ISNUMBER('종합 현황'!$H$5)),"관찰기준 확인",IF('종합 현황'!$H$5&lt;1,"관찰기준 확인",IF(N872&gt;'종합 현황'!$H$5,"내부 관찰 대상","내부 관찰일 이하")))))</x:f>
        <x:v>내부 관찰 대상</x:v>
      </x:c>
      <x:c r="AB872" s="2"/>
    </x:row>
    <x:row r="873" ht="42" customHeight="1">
      <x:c r="A873" s="2" t="str">
        <x:v>901abb9f7ebb3e1253dad860</x:v>
      </x:c>
      <x:c r="B873" s="2" t="str">
        <x:v>사업 평가</x:v>
      </x:c>
      <x:c r="C873" s="2" t="str">
        <x:v>국내</x:v>
      </x:c>
      <x:c r="D873" s="7" t="str">
        <x:v>(주)풀잎라인  고효율 2단 PM Motor 공기압축기로 교체 사업</x:v>
      </x:c>
      <x:c r="E873" s="2" t="str">
        <x:v>734</x:v>
      </x:c>
      <x:c r="F873" s="2" t="str">
        <x:v>2021-05-14</x:v>
      </x:c>
      <x:c r="G873" s="2" t="str">
        <x:v>2021</x:v>
      </x:c>
      <x:c r="H873" s="2" t="str">
        <x:v>05</x:v>
      </x:c>
      <x:c r="I873" s="2" t="str">
        <x:v>반려</x:v>
      </x:c>
      <x:c r="J873" s="2" t="str">
        <x:v>반려</x:v>
      </x:c>
      <x:c r="K873" s="2" t="str">
        <x:f>IF(OR(J873="심의승인",J873="반려",J873="반려완료",J873="심의완료"),"종결 표시",IF(OR(J873="기후부협의",J873="문서재제출요청",J873="보류",J873="보완요청",J873="보완완료",J873="평가중",J873="반려요청",J873="평가필요",LEFT(J873,5)="보완요청("),"미종결 표시","상태 확인 필요"))</x:f>
        <x:v>종결 표시</x:v>
      </x:c>
      <x:c r="L873" s="2" t="str">
        <x:v>에코시안_박세은</x:v>
      </x:c>
      <x:c r="M873" s="2"/>
      <x:c r="N873" s="8" t="n">
        <x:f>DATE(2026,10,15)-DATE(2021,5,14)</x:f>
        <x:v>1980</x:v>
      </x:c>
      <x:c r="O873" s="2" t="str">
        <x:v>O(21.06)</x:v>
      </x:c>
      <x:c r="P873" s="2"/>
      <x:c r="Q873" s="2" t="str">
        <x:v>산업전환_외부사업관리Tool_260707_이너젠 수정_LJY_261013.xlsx</x:v>
      </x:c>
      <x:c r="R873" s="2" t="str">
        <x:v>국내평가</x:v>
      </x:c>
      <x:c r="S873" s="8" t="n">
        <x:v>776</x:v>
      </x:c>
      <x:c r="T873" s="2" t="str">
        <x:v>(5/26),(6/28),(12/1)</x:v>
      </x:c>
      <x:c r="U873" s="2" t="str">
        <x:v>2021 배정: (5/26),(6/28),(12/1) / 2022 배정(신규): (6/10),(12/27) / 2023 배정: (6/27) / 2024 배정: (2/5),(10/17)</x:v>
      </x:c>
      <x:c r="V873" s="2" t="str">
        <x:v>2025-02-06</x:v>
      </x:c>
      <x:c r="W873" s="2" t="str"/>
      <x:c r="X873" s="2" t="str">
        <x:v>종결 근거 보관</x:v>
      </x:c>
      <x:c r="Y873" s="2" t="str">
        <x:v>ad210cd9ec132cfd447541c8984dc53d30aff0f4fb2dc92d254d49275cc55976</x:v>
      </x:c>
      <x:c r="Z873" s="2" t="n">
        <x:f>SUBTOTAL(103,A873)</x:f>
        <x:v>1</x:v>
      </x:c>
      <x:c r="AA873" s="2" t="str">
        <x:f>IF(K873&lt;&gt;"미종결 표시","대상 아님",IF(N873="","신청일 확인",IF(NOT(ISNUMBER('종합 현황'!$H$5)),"관찰기준 확인",IF('종합 현황'!$H$5&lt;1,"관찰기준 확인",IF(N873&gt;'종합 현황'!$H$5,"내부 관찰 대상","내부 관찰일 이하")))))</x:f>
        <x:v>대상 아님</x:v>
      </x:c>
      <x:c r="AB873" s="2"/>
    </x:row>
    <x:row r="874" ht="42" customHeight="1">
      <x:c r="A874" s="2" t="str">
        <x:v>a055a4d59ecd53d7767933cc</x:v>
      </x:c>
      <x:c r="B874" s="2" t="str">
        <x:v>사업 평가</x:v>
      </x:c>
      <x:c r="C874" s="2" t="str">
        <x:v>국내</x:v>
      </x:c>
      <x:c r="D874" s="7" t="str">
        <x:v>㈜해솔아스콘 연료전환(경유 → LPG) 사업을 통한 온실가스 감축사업</x:v>
      </x:c>
      <x:c r="E874" s="2" t="str">
        <x:v>735</x:v>
      </x:c>
      <x:c r="F874" s="2" t="str">
        <x:v>2021-02-22</x:v>
      </x:c>
      <x:c r="G874" s="2" t="str">
        <x:v>2021</x:v>
      </x:c>
      <x:c r="H874" s="2" t="str">
        <x:v>02</x:v>
      </x:c>
      <x:c r="I874" s="2" t="str">
        <x:v>보완3차_문서보완중</x:v>
      </x:c>
      <x:c r="J874" s="2" t="str">
        <x:v>보완요청</x:v>
      </x:c>
      <x:c r="K874" s="2" t="str">
        <x:f>IF(OR(J874="심의승인",J874="반려",J874="반려완료",J874="심의완료"),"종결 표시",IF(OR(J874="기후부협의",J874="문서재제출요청",J874="보류",J874="보완요청",J874="보완완료",J874="평가중",J874="반려요청",J874="평가필요",LEFT(J874,5)="보완요청("),"미종결 표시","상태 확인 필요"))</x:f>
        <x:v>미종결 표시</x:v>
      </x:c>
      <x:c r="L874" s="2" t="str">
        <x:v>DNV 장유리,KECM_임하진</x:v>
      </x:c>
      <x:c r="M874" s="2" t="n">
        <x:v>3</x:v>
      </x:c>
      <x:c r="N874" s="8" t="n">
        <x:f>DATE(2026,10,15)-DATE(2021,2,22)</x:f>
        <x:v>2061</x:v>
      </x:c>
      <x:c r="O874" s="2" t="str">
        <x:v>O(21.10)</x:v>
      </x:c>
      <x:c r="P874" s="2" t="str">
        <x:v>LPG 계측기 O</x:v>
      </x:c>
      <x:c r="Q874" s="2" t="str">
        <x:v>산업전환_외부사업관리Tool_260707_이너젠 수정_LJY_261013.xlsx</x:v>
      </x:c>
      <x:c r="R874" s="2" t="str">
        <x:v>국내평가</x:v>
      </x:c>
      <x:c r="S874" s="8" t="n">
        <x:v>777</x:v>
      </x:c>
      <x:c r="T874" s="2" t="str">
        <x:v>(8/3),(9/14),(10/20),(12/1)</x:v>
      </x:c>
      <x:c r="U874" s="2" t="str">
        <x:v>2021 배정: (8/3),(9/14),(10/20),(12/1) / 2022 배정: (1/18),(4/19) / 2022 배정(신규): (6/10),(12/27) / 2024 배정: (1/12),(2/26),(4/8)</x:v>
      </x:c>
      <x:c r="V874" s="2" t="str">
        <x:v>2024-05-14</x:v>
      </x:c>
      <x:c r="W874" s="2" t="str"/>
      <x:c r="X874" s="2" t="str">
        <x:v>보완 회신 일정 확인</x:v>
      </x:c>
      <x:c r="Y874" s="2" t="str">
        <x:v>ad210cd9ec132cfd447541c8984dc53d30aff0f4fb2dc92d254d49275cc55976</x:v>
      </x:c>
      <x:c r="Z874" s="2" t="n">
        <x:f>SUBTOTAL(103,A874)</x:f>
        <x:v>1</x:v>
      </x:c>
      <x:c r="AA874" s="2" t="str">
        <x:f>IF(K874&lt;&gt;"미종결 표시","대상 아님",IF(N874="","신청일 확인",IF(NOT(ISNUMBER('종합 현황'!$H$5)),"관찰기준 확인",IF('종합 현황'!$H$5&lt;1,"관찰기준 확인",IF(N874&gt;'종합 현황'!$H$5,"내부 관찰 대상","내부 관찰일 이하")))))</x:f>
        <x:v>내부 관찰 대상</x:v>
      </x:c>
      <x:c r="AB874" s="2"/>
    </x:row>
    <x:row r="875" ht="42" customHeight="1">
      <x:c r="A875" s="2" t="str">
        <x:v>944e25764fafcbee8361cbb0</x:v>
      </x:c>
      <x:c r="B875" s="2" t="str">
        <x:v>사업 평가</x:v>
      </x:c>
      <x:c r="C875" s="2" t="str">
        <x:v>국내</x:v>
      </x:c>
      <x:c r="D875" s="7" t="str">
        <x:v>청화요업(주) 소성로 연료전환(B-C유에서 LPG)을 통한 온실가스 배출 감축사업</x:v>
      </x:c>
      <x:c r="E875" s="2" t="str">
        <x:v>736</x:v>
      </x:c>
      <x:c r="F875" s="2" t="str">
        <x:v>2021-02-09</x:v>
      </x:c>
      <x:c r="G875" s="2" t="str">
        <x:v>2021</x:v>
      </x:c>
      <x:c r="H875" s="2" t="str">
        <x:v>02</x:v>
      </x:c>
      <x:c r="I875" s="2" t="str">
        <x:v>반려</x:v>
      </x:c>
      <x:c r="J875" s="2" t="str">
        <x:v>반려</x:v>
      </x:c>
      <x:c r="K875" s="2" t="str">
        <x:f>IF(OR(J875="심의승인",J875="반려",J875="반려완료",J875="심의완료"),"종결 표시",IF(OR(J875="기후부협의",J875="문서재제출요청",J875="보류",J875="보완요청",J875="보완완료",J875="평가중",J875="반려요청",J875="평가필요",LEFT(J875,5)="보완요청("),"미종결 표시","상태 확인 필요"))</x:f>
        <x:v>종결 표시</x:v>
      </x:c>
      <x:c r="L875" s="2" t="str">
        <x:v>KECM_임하진</x:v>
      </x:c>
      <x:c r="M875" s="2"/>
      <x:c r="N875" s="8" t="n">
        <x:f>DATE(2026,10,15)-DATE(2021,2,9)</x:f>
        <x:v>2074</x:v>
      </x:c>
      <x:c r="O875" s="2"/>
      <x:c r="P875" s="2" t="str">
        <x:v>LPG 계측기 X, 방법론 개정으로 재신청 필요</x:v>
      </x:c>
      <x:c r="Q875" s="2" t="str">
        <x:v>산업전환_외부사업관리Tool_260707_이너젠 수정_LJY_261013.xlsx</x:v>
      </x:c>
      <x:c r="R875" s="2" t="str">
        <x:v>국내평가</x:v>
      </x:c>
      <x:c r="S875" s="8" t="n">
        <x:v>778</x:v>
      </x:c>
      <x:c r="T875" s="2" t="str">
        <x:v>(7/12),(9/14),(12/1)</x:v>
      </x:c>
      <x:c r="U875" s="2" t="str">
        <x:v>2021 배정: (7/12),(9/14),(12/1) / 2022 배정: (4/19) / 2022 배정(신규): (9/19)</x:v>
      </x:c>
      <x:c r="V875" s="2" t="str">
        <x:v>2023-03-20</x:v>
      </x:c>
      <x:c r="W875" s="2" t="str"/>
      <x:c r="X875" s="2" t="str">
        <x:v>종결 근거 보관</x:v>
      </x:c>
      <x:c r="Y875" s="2" t="str">
        <x:v>ad210cd9ec132cfd447541c8984dc53d30aff0f4fb2dc92d254d49275cc55976</x:v>
      </x:c>
      <x:c r="Z875" s="2" t="n">
        <x:f>SUBTOTAL(103,A875)</x:f>
        <x:v>1</x:v>
      </x:c>
      <x:c r="AA875" s="2" t="str">
        <x:f>IF(K875&lt;&gt;"미종결 표시","대상 아님",IF(N875="","신청일 확인",IF(NOT(ISNUMBER('종합 현황'!$H$5)),"관찰기준 확인",IF('종합 현황'!$H$5&lt;1,"관찰기준 확인",IF(N875&gt;'종합 현황'!$H$5,"내부 관찰 대상","내부 관찰일 이하")))))</x:f>
        <x:v>대상 아님</x:v>
      </x:c>
      <x:c r="AB875" s="2"/>
    </x:row>
    <x:row r="876" ht="42" customHeight="1">
      <x:c r="A876" s="2" t="str">
        <x:v>e57f8d6326db8db41bea8cd6</x:v>
      </x:c>
      <x:c r="B876" s="2" t="str">
        <x:v>사업 평가</x:v>
      </x:c>
      <x:c r="C876" s="2" t="str">
        <x:v>국내</x:v>
      </x:c>
      <x:c r="D876" s="7" t="str">
        <x:v>충경산업(주) 연료전환(B-C유에서 LPG)을 통한 온실가스 배출 감축사업</x:v>
      </x:c>
      <x:c r="E876" s="2" t="str">
        <x:v>737</x:v>
      </x:c>
      <x:c r="F876" s="2" t="str">
        <x:v>2021-02-10</x:v>
      </x:c>
      <x:c r="G876" s="2" t="str">
        <x:v>2021</x:v>
      </x:c>
      <x:c r="H876" s="2" t="str">
        <x:v>02</x:v>
      </x:c>
      <x:c r="I876" s="2" t="str">
        <x:v>반려</x:v>
      </x:c>
      <x:c r="J876" s="2" t="str">
        <x:v>반려</x:v>
      </x:c>
      <x:c r="K876" s="2" t="str">
        <x:f>IF(OR(J876="심의승인",J876="반려",J876="반려완료",J876="심의완료"),"종결 표시",IF(OR(J876="기후부협의",J876="문서재제출요청",J876="보류",J876="보완요청",J876="보완완료",J876="평가중",J876="반려요청",J876="평가필요",LEFT(J876,5)="보완요청("),"미종결 표시","상태 확인 필요"))</x:f>
        <x:v>종결 표시</x:v>
      </x:c>
      <x:c r="L876" s="2" t="str">
        <x:v>KECM_임하진</x:v>
      </x:c>
      <x:c r="M876" s="2"/>
      <x:c r="N876" s="8" t="n">
        <x:f>DATE(2026,10,15)-DATE(2021,2,10)</x:f>
        <x:v>2073</x:v>
      </x:c>
      <x:c r="O876" s="2"/>
      <x:c r="P876" s="2"/>
      <x:c r="Q876" s="2" t="str">
        <x:v>산업전환_외부사업관리Tool_260707_이너젠 수정_LJY_261013.xlsx</x:v>
      </x:c>
      <x:c r="R876" s="2" t="str">
        <x:v>국내평가</x:v>
      </x:c>
      <x:c r="S876" s="8" t="n">
        <x:v>779</x:v>
      </x:c>
      <x:c r="T876" s="2" t="str">
        <x:v>(7/12),(9/14),(12/1)</x:v>
      </x:c>
      <x:c r="U876" s="2" t="str">
        <x:v>2021 배정: (7/12),(9/14),(12/1) / 2022 배정: (4/19) / 2022 배정(신규): (5/18)</x:v>
      </x:c>
      <x:c r="V876" s="2" t="str">
        <x:v>2023-03-20</x:v>
      </x:c>
      <x:c r="W876" s="2" t="str"/>
      <x:c r="X876" s="2" t="str">
        <x:v>종결 근거 보관</x:v>
      </x:c>
      <x:c r="Y876" s="2" t="str">
        <x:v>ad210cd9ec132cfd447541c8984dc53d30aff0f4fb2dc92d254d49275cc55976</x:v>
      </x:c>
      <x:c r="Z876" s="2" t="n">
        <x:f>SUBTOTAL(103,A876)</x:f>
        <x:v>1</x:v>
      </x:c>
      <x:c r="AA876" s="2" t="str">
        <x:f>IF(K876&lt;&gt;"미종결 표시","대상 아님",IF(N876="","신청일 확인",IF(NOT(ISNUMBER('종합 현황'!$H$5)),"관찰기준 확인",IF('종합 현황'!$H$5&lt;1,"관찰기준 확인",IF(N876&gt;'종합 현황'!$H$5,"내부 관찰 대상","내부 관찰일 이하")))))</x:f>
        <x:v>대상 아님</x:v>
      </x:c>
      <x:c r="AB876" s="2"/>
    </x:row>
    <x:row r="877" ht="42" customHeight="1">
      <x:c r="A877" s="2" t="str">
        <x:v>72d24e25029ba3877b8d29a9</x:v>
      </x:c>
      <x:c r="B877" s="2" t="str">
        <x:v>사업 평가</x:v>
      </x:c>
      <x:c r="C877" s="2" t="str">
        <x:v>국내</x:v>
      </x:c>
      <x:c r="D877" s="7" t="str">
        <x:v>에스앤에스밸브(주) 고효율 설비 교체 사업</x:v>
      </x:c>
      <x:c r="E877" s="2" t="str">
        <x:v>738</x:v>
      </x:c>
      <x:c r="F877" s="2" t="str">
        <x:v>2021-02-03</x:v>
      </x:c>
      <x:c r="G877" s="2" t="str">
        <x:v>2021</x:v>
      </x:c>
      <x:c r="H877" s="2" t="str">
        <x:v>02</x:v>
      </x:c>
      <x:c r="I877" s="2" t="str">
        <x:v>승인</x:v>
      </x:c>
      <x:c r="J877" s="2" t="str">
        <x:v>심의승인</x:v>
      </x:c>
      <x:c r="K877" s="2" t="str">
        <x:f>IF(OR(J877="심의승인",J877="반려",J877="반려완료",J877="심의완료"),"종결 표시",IF(OR(J877="기후부협의",J877="문서재제출요청",J877="보류",J877="보완요청",J877="보완완료",J877="평가중",J877="반려요청",J877="평가필요",LEFT(J877,5)="보완요청("),"미종결 표시","상태 확인 필요"))</x:f>
        <x:v>종결 표시</x:v>
      </x:c>
      <x:c r="L877" s="2" t="str">
        <x:v>KECM_이태준</x:v>
      </x:c>
      <x:c r="M877" s="2"/>
      <x:c r="N877" s="8" t="n">
        <x:f>DATE(2026,10,15)-DATE(2021,2,3)</x:f>
        <x:v>2080</x:v>
      </x:c>
      <x:c r="O877" s="2" t="str">
        <x:v>생략</x:v>
      </x:c>
      <x:c r="P877" s="2"/>
      <x:c r="Q877" s="2" t="str">
        <x:v>산업전환_외부사업관리Tool_260707_이너젠 수정_LJY_261013.xlsx</x:v>
      </x:c>
      <x:c r="R877" s="2" t="str">
        <x:v>국내평가</x:v>
      </x:c>
      <x:c r="S877" s="8" t="n">
        <x:v>780</x:v>
      </x:c>
      <x:c r="T877" s="2" t="str">
        <x:v>(7/12),(9/14),(10/20),(12/1)</x:v>
      </x:c>
      <x:c r="U877" s="2" t="str">
        <x:v>2021 배정: (7/12),(9/14),(10/20),(12/1) / 2022 배정: (3/16),(4/19)</x:v>
      </x:c>
      <x:c r="V877" s="2" t="str">
        <x:v>2022-10-11</x:v>
      </x:c>
      <x:c r="W877" s="2" t="str"/>
      <x:c r="X877" s="2" t="str">
        <x:v>종결 근거 보관</x:v>
      </x:c>
      <x:c r="Y877" s="2" t="str">
        <x:v>ad210cd9ec132cfd447541c8984dc53d30aff0f4fb2dc92d254d49275cc55976</x:v>
      </x:c>
      <x:c r="Z877" s="2" t="n">
        <x:f>SUBTOTAL(103,A877)</x:f>
        <x:v>1</x:v>
      </x:c>
      <x:c r="AA877" s="2" t="str">
        <x:f>IF(K877&lt;&gt;"미종결 표시","대상 아님",IF(N877="","신청일 확인",IF(NOT(ISNUMBER('종합 현황'!$H$5)),"관찰기준 확인",IF('종합 현황'!$H$5&lt;1,"관찰기준 확인",IF(N877&gt;'종합 현황'!$H$5,"내부 관찰 대상","내부 관찰일 이하")))))</x:f>
        <x:v>대상 아님</x:v>
      </x:c>
      <x:c r="AB877" s="2"/>
    </x:row>
    <x:row r="878" ht="42" customHeight="1">
      <x:c r="A878" s="2" t="str">
        <x:v>4f8f615590d3db205f2ca921</x:v>
      </x:c>
      <x:c r="B878" s="2" t="str">
        <x:v>사업 평가</x:v>
      </x:c>
      <x:c r="C878" s="2" t="str">
        <x:v>국내</x:v>
      </x:c>
      <x:c r="D878" s="7" t="str">
        <x:v>(주)세명기업 자인2공장 고효율 공기압축기 교체를 통한 온실가스 감축사업</x:v>
      </x:c>
      <x:c r="E878" s="2" t="str">
        <x:v>739</x:v>
      </x:c>
      <x:c r="F878" s="2" t="str">
        <x:v>2019-06-27</x:v>
      </x:c>
      <x:c r="G878" s="2" t="str">
        <x:v>2019</x:v>
      </x:c>
      <x:c r="H878" s="2" t="str">
        <x:v>06</x:v>
      </x:c>
      <x:c r="I878" s="2" t="str">
        <x:v>승인</x:v>
      </x:c>
      <x:c r="J878" s="2" t="str">
        <x:v>심의승인</x:v>
      </x:c>
      <x:c r="K878" s="2" t="str">
        <x:f>IF(OR(J878="심의승인",J878="반려",J878="반려완료",J878="심의완료"),"종결 표시",IF(OR(J878="기후부협의",J878="문서재제출요청",J878="보류",J878="보완요청",J878="보완완료",J878="평가중",J878="반려요청",J878="평가필요",LEFT(J878,5)="보완요청("),"미종결 표시","상태 확인 필요"))</x:f>
        <x:v>종결 표시</x:v>
      </x:c>
      <x:c r="L878" s="2" t="str">
        <x:v>에코시안_박세은</x:v>
      </x:c>
      <x:c r="M878" s="2"/>
      <x:c r="N878" s="8" t="n">
        <x:f>DATE(2026,10,15)-DATE(2019,6,27)</x:f>
        <x:v>2667</x:v>
      </x:c>
      <x:c r="O878" s="2" t="str">
        <x:v>O(21.08)</x:v>
      </x:c>
      <x:c r="P878" s="2"/>
      <x:c r="Q878" s="2" t="str">
        <x:v>산업전환_외부사업관리Tool_260707_이너젠 수정_LJY_261013.xlsx</x:v>
      </x:c>
      <x:c r="R878" s="2" t="str">
        <x:v>국내평가</x:v>
      </x:c>
      <x:c r="S878" s="8" t="n">
        <x:v>781</x:v>
      </x:c>
      <x:c r="T878" s="2" t="str">
        <x:v>(7/12),(9/1),(12/1)</x:v>
      </x:c>
      <x:c r="U878" s="2" t="str">
        <x:v>2021 배정: (7/12),(9/1),(12/1) / 2022 배정: (4/19) / 2022 배정(신규): (6/10),(12/27) / 2023 배정: (2/17)</x:v>
      </x:c>
      <x:c r="V878" s="2" t="str">
        <x:v>2023-07-17</x:v>
      </x:c>
      <x:c r="W878" s="2" t="str"/>
      <x:c r="X878" s="2" t="str">
        <x:v>종결 근거 보관</x:v>
      </x:c>
      <x:c r="Y878" s="2" t="str">
        <x:v>ad210cd9ec132cfd447541c8984dc53d30aff0f4fb2dc92d254d49275cc55976</x:v>
      </x:c>
      <x:c r="Z878" s="2" t="n">
        <x:f>SUBTOTAL(103,A878)</x:f>
        <x:v>1</x:v>
      </x:c>
      <x:c r="AA878" s="2" t="str">
        <x:f>IF(K878&lt;&gt;"미종결 표시","대상 아님",IF(N878="","신청일 확인",IF(NOT(ISNUMBER('종합 현황'!$H$5)),"관찰기준 확인",IF('종합 현황'!$H$5&lt;1,"관찰기준 확인",IF(N878&gt;'종합 현황'!$H$5,"내부 관찰 대상","내부 관찰일 이하")))))</x:f>
        <x:v>대상 아님</x:v>
      </x:c>
      <x:c r="AB878" s="2"/>
    </x:row>
    <x:row r="879" ht="42" customHeight="1">
      <x:c r="A879" s="2" t="str">
        <x:v>d47cda4c27b3f6728daf4357</x:v>
      </x:c>
      <x:c r="B879" s="2" t="str">
        <x:v>사업 평가</x:v>
      </x:c>
      <x:c r="C879" s="2" t="str">
        <x:v>국내</x:v>
      </x:c>
      <x:c r="D879" s="7" t="str">
        <x:v>청용열처리(주) 고효율 설비 교체 사업</x:v>
      </x:c>
      <x:c r="E879" s="2" t="str">
        <x:v>740</x:v>
      </x:c>
      <x:c r="F879" s="2" t="str">
        <x:v>2021-02-04</x:v>
      </x:c>
      <x:c r="G879" s="2" t="str">
        <x:v>2021</x:v>
      </x:c>
      <x:c r="H879" s="2" t="str">
        <x:v>02</x:v>
      </x:c>
      <x:c r="I879" s="2" t="str">
        <x:v>승인</x:v>
      </x:c>
      <x:c r="J879" s="2" t="str">
        <x:v>심의승인</x:v>
      </x:c>
      <x:c r="K879" s="2" t="str">
        <x:f>IF(OR(J879="심의승인",J879="반려",J879="반려완료",J879="심의완료"),"종결 표시",IF(OR(J879="기후부협의",J879="문서재제출요청",J879="보류",J879="보완요청",J879="보완완료",J879="평가중",J879="반려요청",J879="평가필요",LEFT(J879,5)="보완요청("),"미종결 표시","상태 확인 필요"))</x:f>
        <x:v>종결 표시</x:v>
      </x:c>
      <x:c r="L879" s="2" t="str">
        <x:v>에코시안_정인혜</x:v>
      </x:c>
      <x:c r="M879" s="2"/>
      <x:c r="N879" s="8" t="n">
        <x:f>DATE(2026,10,15)-DATE(2021,2,4)</x:f>
        <x:v>2079</x:v>
      </x:c>
      <x:c r="O879" s="2" t="str">
        <x:v>생략</x:v>
      </x:c>
      <x:c r="P879" s="2"/>
      <x:c r="Q879" s="2" t="str">
        <x:v>산업전환_외부사업관리Tool_260707_이너젠 수정_LJY_261013.xlsx</x:v>
      </x:c>
      <x:c r="R879" s="2" t="str">
        <x:v>국내평가</x:v>
      </x:c>
      <x:c r="S879" s="8" t="n">
        <x:v>782</x:v>
      </x:c>
      <x:c r="T879" s="2" t="str">
        <x:v>(7/12),(9/14),(10/20),(12/1)</x:v>
      </x:c>
      <x:c r="U879" s="2" t="str">
        <x:v>2021 배정: (7/12),(9/14),(10/20),(12/1) / 2022 배정: (1/18)</x:v>
      </x:c>
      <x:c r="V879" s="2" t="str">
        <x:v>2022-04-14</x:v>
      </x:c>
      <x:c r="W879" s="2" t="str"/>
      <x:c r="X879" s="2" t="str">
        <x:v>종결 근거 보관</x:v>
      </x:c>
      <x:c r="Y879" s="2" t="str">
        <x:v>ad210cd9ec132cfd447541c8984dc53d30aff0f4fb2dc92d254d49275cc55976</x:v>
      </x:c>
      <x:c r="Z879" s="2" t="n">
        <x:f>SUBTOTAL(103,A879)</x:f>
        <x:v>1</x:v>
      </x:c>
      <x:c r="AA879" s="2" t="str">
        <x:f>IF(K879&lt;&gt;"미종결 표시","대상 아님",IF(N879="","신청일 확인",IF(NOT(ISNUMBER('종합 현황'!$H$5)),"관찰기준 확인",IF('종합 현황'!$H$5&lt;1,"관찰기준 확인",IF(N879&gt;'종합 현황'!$H$5,"내부 관찰 대상","내부 관찰일 이하")))))</x:f>
        <x:v>대상 아님</x:v>
      </x:c>
      <x:c r="AB879" s="2"/>
    </x:row>
    <x:row r="880" ht="42" customHeight="1">
      <x:c r="A880" s="2" t="str">
        <x:v>2ff34c59bca63154ae3772f4</x:v>
      </x:c>
      <x:c r="B880" s="2" t="str">
        <x:v>사업 평가</x:v>
      </x:c>
      <x:c r="C880" s="2" t="str">
        <x:v>국내</x:v>
      </x:c>
      <x:c r="D880" s="7" t="str">
        <x:v>(주)성원아이앤디 인버터 공기압축기 교체를 통한 온실가스 감축사업</x:v>
      </x:c>
      <x:c r="E880" s="2" t="str">
        <x:v>741</x:v>
      </x:c>
      <x:c r="F880" s="2" t="str">
        <x:v>2021-02-25</x:v>
      </x:c>
      <x:c r="G880" s="2" t="str">
        <x:v>2021</x:v>
      </x:c>
      <x:c r="H880" s="2" t="str">
        <x:v>02</x:v>
      </x:c>
      <x:c r="I880" s="2" t="str">
        <x:v>반려</x:v>
      </x:c>
      <x:c r="J880" s="2" t="str">
        <x:v>반려</x:v>
      </x:c>
      <x:c r="K880" s="2" t="str">
        <x:f>IF(OR(J880="심의승인",J880="반려",J880="반려완료",J880="심의완료"),"종결 표시",IF(OR(J880="기후부협의",J880="문서재제출요청",J880="보류",J880="보완요청",J880="보완완료",J880="평가중",J880="반려요청",J880="평가필요",LEFT(J880,5)="보완요청("),"미종결 표시","상태 확인 필요"))</x:f>
        <x:v>종결 표시</x:v>
      </x:c>
      <x:c r="L880" s="2" t="str">
        <x:v>에코시안_권송화</x:v>
      </x:c>
      <x:c r="M880" s="2"/>
      <x:c r="N880" s="8" t="n">
        <x:f>DATE(2026,10,15)-DATE(2021,2,25)</x:f>
        <x:v>2058</x:v>
      </x:c>
      <x:c r="O880" s="2" t="str">
        <x:v>O(6월추가)</x:v>
      </x:c>
      <x:c r="P880" s="2"/>
      <x:c r="Q880" s="2" t="str">
        <x:v>산업전환_외부사업관리Tool_260707_이너젠 수정_LJY_261013.xlsx</x:v>
      </x:c>
      <x:c r="R880" s="2" t="str">
        <x:v>국내평가</x:v>
      </x:c>
      <x:c r="S880" s="8" t="n">
        <x:v>783</x:v>
      </x:c>
      <x:c r="T880" s="2" t="str">
        <x:v>(6/28)</x:v>
      </x:c>
      <x:c r="U880" s="2" t="str">
        <x:v>2021 배정: (6/28)</x:v>
      </x:c>
      <x:c r="V880" s="2" t="str">
        <x:v>2021-10-25</x:v>
      </x:c>
      <x:c r="W880" s="2" t="str"/>
      <x:c r="X880" s="2" t="str">
        <x:v>종결 근거 보관</x:v>
      </x:c>
      <x:c r="Y880" s="2" t="str">
        <x:v>ad210cd9ec132cfd447541c8984dc53d30aff0f4fb2dc92d254d49275cc55976</x:v>
      </x:c>
      <x:c r="Z880" s="2" t="n">
        <x:f>SUBTOTAL(103,A880)</x:f>
        <x:v>1</x:v>
      </x:c>
      <x:c r="AA880" s="2" t="str">
        <x:f>IF(K880&lt;&gt;"미종결 표시","대상 아님",IF(N880="","신청일 확인",IF(NOT(ISNUMBER('종합 현황'!$H$5)),"관찰기준 확인",IF('종합 현황'!$H$5&lt;1,"관찰기준 확인",IF(N880&gt;'종합 현황'!$H$5,"내부 관찰 대상","내부 관찰일 이하")))))</x:f>
        <x:v>대상 아님</x:v>
      </x:c>
      <x:c r="AB880" s="2"/>
    </x:row>
    <x:row r="881" ht="42" customHeight="1">
      <x:c r="A881" s="2" t="str">
        <x:v>6cdceceb1ca9cfa5473332c0</x:v>
      </x:c>
      <x:c r="B881" s="2" t="str">
        <x:v>사업 평가</x:v>
      </x:c>
      <x:c r="C881" s="2" t="str">
        <x:v>국내</x:v>
      </x:c>
      <x:c r="D881" s="7" t="str">
        <x:v>(주)에스디테크 인버터 공기압축기 교체를 통한 온실가스 감축사업</x:v>
      </x:c>
      <x:c r="E881" s="2" t="str">
        <x:v>742</x:v>
      </x:c>
      <x:c r="F881" s="2" t="str">
        <x:v>2021-02-25</x:v>
      </x:c>
      <x:c r="G881" s="2" t="str">
        <x:v>2021</x:v>
      </x:c>
      <x:c r="H881" s="2" t="str">
        <x:v>02</x:v>
      </x:c>
      <x:c r="I881" s="2" t="str">
        <x:v>반려</x:v>
      </x:c>
      <x:c r="J881" s="2" t="str">
        <x:v>반려</x:v>
      </x:c>
      <x:c r="K881" s="2" t="str">
        <x:f>IF(OR(J881="심의승인",J881="반려",J881="반려완료",J881="심의완료"),"종결 표시",IF(OR(J881="기후부협의",J881="문서재제출요청",J881="보류",J881="보완요청",J881="보완완료",J881="평가중",J881="반려요청",J881="평가필요",LEFT(J881,5)="보완요청("),"미종결 표시","상태 확인 필요"))</x:f>
        <x:v>종결 표시</x:v>
      </x:c>
      <x:c r="L881" s="2"/>
      <x:c r="M881" s="2"/>
      <x:c r="N881" s="8" t="n">
        <x:f>DATE(2026,10,15)-DATE(2021,2,25)</x:f>
        <x:v>2058</x:v>
      </x:c>
      <x:c r="O881" s="2"/>
      <x:c r="P881" s="2" t="str">
        <x:v>반려완료(재신청 예정)</x:v>
      </x:c>
      <x:c r="Q881" s="2" t="str">
        <x:v>산업전환_외부사업관리Tool_260707_이너젠 수정_LJY_261013.xlsx</x:v>
      </x:c>
      <x:c r="R881" s="2" t="str">
        <x:v>국내평가</x:v>
      </x:c>
      <x:c r="S881" s="8" t="n">
        <x:v>784</x:v>
      </x:c>
      <x:c r="T881" s="2" t="str">
        <x:v>2021년 처리</x:v>
      </x:c>
      <x:c r="U881" s="2" t="str">
        <x:v>2021 배정: 2021년 처리</x:v>
      </x:c>
      <x:c r="V881" s="2" t="str">
        <x:v>2021-06-30</x:v>
      </x:c>
      <x:c r="W881" s="2" t="str">
        <x:v>담당기관 확인</x:v>
      </x:c>
      <x:c r="X881" s="2" t="str">
        <x:v>원본·배정 기록 확인</x:v>
      </x:c>
      <x:c r="Y881" s="2" t="str">
        <x:v>ad210cd9ec132cfd447541c8984dc53d30aff0f4fb2dc92d254d49275cc55976</x:v>
      </x:c>
      <x:c r="Z881" s="2" t="n">
        <x:f>SUBTOTAL(103,A881)</x:f>
        <x:v>1</x:v>
      </x:c>
      <x:c r="AA881" s="2" t="str">
        <x:f>IF(K881&lt;&gt;"미종결 표시","대상 아님",IF(N881="","신청일 확인",IF(NOT(ISNUMBER('종합 현황'!$H$5)),"관찰기준 확인",IF('종합 현황'!$H$5&lt;1,"관찰기준 확인",IF(N881&gt;'종합 현황'!$H$5,"내부 관찰 대상","내부 관찰일 이하")))))</x:f>
        <x:v>대상 아님</x:v>
      </x:c>
      <x:c r="AB881" s="2"/>
    </x:row>
    <x:row r="882" ht="42" customHeight="1">
      <x:c r="A882" s="2" t="str">
        <x:v>f997aaca4d0f285b2094828c</x:v>
      </x:c>
      <x:c r="B882" s="2" t="str">
        <x:v>사업 평가</x:v>
      </x:c>
      <x:c r="C882" s="2" t="str">
        <x:v>국내</x:v>
      </x:c>
      <x:c r="D882" s="7" t="str">
        <x:v>(주)영진울산공장 인버터 공기압축기 교체를 통한 온실가스 감축사업</x:v>
      </x:c>
      <x:c r="E882" s="2" t="str">
        <x:v>743</x:v>
      </x:c>
      <x:c r="F882" s="2" t="str">
        <x:v>2021-02-25</x:v>
      </x:c>
      <x:c r="G882" s="2" t="str">
        <x:v>2021</x:v>
      </x:c>
      <x:c r="H882" s="2" t="str">
        <x:v>02</x:v>
      </x:c>
      <x:c r="I882" s="2" t="str">
        <x:v>반려</x:v>
      </x:c>
      <x:c r="J882" s="2" t="str">
        <x:v>반려</x:v>
      </x:c>
      <x:c r="K882" s="2" t="str">
        <x:f>IF(OR(J882="심의승인",J882="반려",J882="반려완료",J882="심의완료"),"종결 표시",IF(OR(J882="기후부협의",J882="문서재제출요청",J882="보류",J882="보완요청",J882="보완완료",J882="평가중",J882="반려요청",J882="평가필요",LEFT(J882,5)="보완요청("),"미종결 표시","상태 확인 필요"))</x:f>
        <x:v>종결 표시</x:v>
      </x:c>
      <x:c r="L882" s="2"/>
      <x:c r="M882" s="2"/>
      <x:c r="N882" s="8" t="n">
        <x:f>DATE(2026,10,15)-DATE(2021,2,25)</x:f>
        <x:v>2058</x:v>
      </x:c>
      <x:c r="O882" s="2"/>
      <x:c r="P882" s="2" t="str">
        <x:v>반려완료(재신청 예정)</x:v>
      </x:c>
      <x:c r="Q882" s="2" t="str">
        <x:v>산업전환_외부사업관리Tool_260707_이너젠 수정_LJY_261013.xlsx</x:v>
      </x:c>
      <x:c r="R882" s="2" t="str">
        <x:v>국내평가</x:v>
      </x:c>
      <x:c r="S882" s="8" t="n">
        <x:v>785</x:v>
      </x:c>
      <x:c r="T882" s="2" t="str">
        <x:v>2021년 처리</x:v>
      </x:c>
      <x:c r="U882" s="2" t="str">
        <x:v>2021 배정: 2021년 처리</x:v>
      </x:c>
      <x:c r="V882" s="2" t="str">
        <x:v>2021-06-30</x:v>
      </x:c>
      <x:c r="W882" s="2" t="str">
        <x:v>담당기관 확인</x:v>
      </x:c>
      <x:c r="X882" s="2" t="str">
        <x:v>원본·배정 기록 확인</x:v>
      </x:c>
      <x:c r="Y882" s="2" t="str">
        <x:v>ad210cd9ec132cfd447541c8984dc53d30aff0f4fb2dc92d254d49275cc55976</x:v>
      </x:c>
      <x:c r="Z882" s="2" t="n">
        <x:f>SUBTOTAL(103,A882)</x:f>
        <x:v>1</x:v>
      </x:c>
      <x:c r="AA882" s="2" t="str">
        <x:f>IF(K882&lt;&gt;"미종결 표시","대상 아님",IF(N882="","신청일 확인",IF(NOT(ISNUMBER('종합 현황'!$H$5)),"관찰기준 확인",IF('종합 현황'!$H$5&lt;1,"관찰기준 확인",IF(N882&gt;'종합 현황'!$H$5,"내부 관찰 대상","내부 관찰일 이하")))))</x:f>
        <x:v>대상 아님</x:v>
      </x:c>
      <x:c r="AB882" s="2"/>
    </x:row>
    <x:row r="883" ht="42" customHeight="1">
      <x:c r="A883" s="2" t="str">
        <x:v>af15d3eae501b443b9fcbdd3</x:v>
      </x:c>
      <x:c r="B883" s="2" t="str">
        <x:v>사업 평가</x:v>
      </x:c>
      <x:c r="C883" s="2" t="str">
        <x:v>국내</x:v>
      </x:c>
      <x:c r="D883" s="7" t="str">
        <x:v>(주)영진울산공장 인버터 공기압축기 교체를 통한 온실가스 감축사업</x:v>
      </x:c>
      <x:c r="E883" s="2" t="str">
        <x:v>744</x:v>
      </x:c>
      <x:c r="F883" s="2" t="str">
        <x:v>2021-02-25</x:v>
      </x:c>
      <x:c r="G883" s="2" t="str">
        <x:v>2021</x:v>
      </x:c>
      <x:c r="H883" s="2" t="str">
        <x:v>02</x:v>
      </x:c>
      <x:c r="I883" s="2" t="str">
        <x:v>반려</x:v>
      </x:c>
      <x:c r="J883" s="2" t="str">
        <x:v>반려</x:v>
      </x:c>
      <x:c r="K883" s="2" t="str">
        <x:f>IF(OR(J883="심의승인",J883="반려",J883="반려완료",J883="심의완료"),"종결 표시",IF(OR(J883="기후부협의",J883="문서재제출요청",J883="보류",J883="보완요청",J883="보완완료",J883="평가중",J883="반려요청",J883="평가필요",LEFT(J883,5)="보완요청("),"미종결 표시","상태 확인 필요"))</x:f>
        <x:v>종결 표시</x:v>
      </x:c>
      <x:c r="L883" s="2"/>
      <x:c r="M883" s="2"/>
      <x:c r="N883" s="8" t="n">
        <x:f>DATE(2026,10,15)-DATE(2021,2,25)</x:f>
        <x:v>2058</x:v>
      </x:c>
      <x:c r="O883" s="2"/>
      <x:c r="P883" s="2" t="str">
        <x:v>반려완료(재신청 예정)</x:v>
      </x:c>
      <x:c r="Q883" s="2" t="str">
        <x:v>산업전환_외부사업관리Tool_260707_이너젠 수정_LJY_261013.xlsx</x:v>
      </x:c>
      <x:c r="R883" s="2" t="str">
        <x:v>국내평가</x:v>
      </x:c>
      <x:c r="S883" s="8" t="n">
        <x:v>786</x:v>
      </x:c>
      <x:c r="T883" s="2" t="str">
        <x:v>2021년 처리</x:v>
      </x:c>
      <x:c r="U883" s="2" t="str">
        <x:v>2021 배정: 2021년 처리</x:v>
      </x:c>
      <x:c r="V883" s="2" t="str">
        <x:v>2021-06-30</x:v>
      </x:c>
      <x:c r="W883" s="2" t="str">
        <x:v>담당기관 확인</x:v>
      </x:c>
      <x:c r="X883" s="2" t="str">
        <x:v>원본·배정 기록 확인</x:v>
      </x:c>
      <x:c r="Y883" s="2" t="str">
        <x:v>ad210cd9ec132cfd447541c8984dc53d30aff0f4fb2dc92d254d49275cc55976</x:v>
      </x:c>
      <x:c r="Z883" s="2" t="n">
        <x:f>SUBTOTAL(103,A883)</x:f>
        <x:v>1</x:v>
      </x:c>
      <x:c r="AA883" s="2" t="str">
        <x:f>IF(K883&lt;&gt;"미종결 표시","대상 아님",IF(N883="","신청일 확인",IF(NOT(ISNUMBER('종합 현황'!$H$5)),"관찰기준 확인",IF('종합 현황'!$H$5&lt;1,"관찰기준 확인",IF(N883&gt;'종합 현황'!$H$5,"내부 관찰 대상","내부 관찰일 이하")))))</x:f>
        <x:v>대상 아님</x:v>
      </x:c>
      <x:c r="AB883" s="2"/>
    </x:row>
    <x:row r="884" ht="42" customHeight="1">
      <x:c r="A884" s="2" t="str">
        <x:v>0df0083e01b8e47a6ab89c13</x:v>
      </x:c>
      <x:c r="B884" s="2" t="str">
        <x:v>사업 평가</x:v>
      </x:c>
      <x:c r="C884" s="2" t="str">
        <x:v>국내</x:v>
      </x:c>
      <x:c r="D884" s="7" t="str">
        <x:v>태양정밀 인버터 공기압축기 교체를 통한 온실가스 감축사업</x:v>
      </x:c>
      <x:c r="E884" s="2" t="str">
        <x:v>745</x:v>
      </x:c>
      <x:c r="F884" s="2" t="str">
        <x:v>2021-02-25</x:v>
      </x:c>
      <x:c r="G884" s="2" t="str">
        <x:v>2021</x:v>
      </x:c>
      <x:c r="H884" s="2" t="str">
        <x:v>02</x:v>
      </x:c>
      <x:c r="I884" s="2" t="str">
        <x:v>반려</x:v>
      </x:c>
      <x:c r="J884" s="2" t="str">
        <x:v>반려</x:v>
      </x:c>
      <x:c r="K884" s="2" t="str">
        <x:f>IF(OR(J884="심의승인",J884="반려",J884="반려완료",J884="심의완료"),"종결 표시",IF(OR(J884="기후부협의",J884="문서재제출요청",J884="보류",J884="보완요청",J884="보완완료",J884="평가중",J884="반려요청",J884="평가필요",LEFT(J884,5)="보완요청("),"미종결 표시","상태 확인 필요"))</x:f>
        <x:v>종결 표시</x:v>
      </x:c>
      <x:c r="L884" s="2"/>
      <x:c r="M884" s="2"/>
      <x:c r="N884" s="8" t="n">
        <x:f>DATE(2026,10,15)-DATE(2021,2,25)</x:f>
        <x:v>2058</x:v>
      </x:c>
      <x:c r="O884" s="2"/>
      <x:c r="P884" s="2" t="str">
        <x:v>반려완료(재신청 예정)</x:v>
      </x:c>
      <x:c r="Q884" s="2" t="str">
        <x:v>산업전환_외부사업관리Tool_260707_이너젠 수정_LJY_261013.xlsx</x:v>
      </x:c>
      <x:c r="R884" s="2" t="str">
        <x:v>국내평가</x:v>
      </x:c>
      <x:c r="S884" s="8" t="n">
        <x:v>787</x:v>
      </x:c>
      <x:c r="T884" s="2" t="str">
        <x:v>2021년 처리</x:v>
      </x:c>
      <x:c r="U884" s="2" t="str">
        <x:v>2021 배정: 2021년 처리</x:v>
      </x:c>
      <x:c r="V884" s="2" t="str">
        <x:v>2021-06-30</x:v>
      </x:c>
      <x:c r="W884" s="2" t="str">
        <x:v>담당기관 확인</x:v>
      </x:c>
      <x:c r="X884" s="2" t="str">
        <x:v>원본·배정 기록 확인</x:v>
      </x:c>
      <x:c r="Y884" s="2" t="str">
        <x:v>ad210cd9ec132cfd447541c8984dc53d30aff0f4fb2dc92d254d49275cc55976</x:v>
      </x:c>
      <x:c r="Z884" s="2" t="n">
        <x:f>SUBTOTAL(103,A884)</x:f>
        <x:v>1</x:v>
      </x:c>
      <x:c r="AA884" s="2" t="str">
        <x:f>IF(K884&lt;&gt;"미종결 표시","대상 아님",IF(N884="","신청일 확인",IF(NOT(ISNUMBER('종합 현황'!$H$5)),"관찰기준 확인",IF('종합 현황'!$H$5&lt;1,"관찰기준 확인",IF(N884&gt;'종합 현황'!$H$5,"내부 관찰 대상","내부 관찰일 이하")))))</x:f>
        <x:v>대상 아님</x:v>
      </x:c>
      <x:c r="AB884" s="2"/>
    </x:row>
    <x:row r="885" ht="42" customHeight="1">
      <x:c r="A885" s="2" t="str">
        <x:v>fcc51fd5b699cc844754cbec</x:v>
      </x:c>
      <x:c r="B885" s="2" t="str">
        <x:v>사업 평가</x:v>
      </x:c>
      <x:c r="C885" s="2" t="str">
        <x:v>국내</x:v>
      </x:c>
      <x:c r="D885" s="7" t="str">
        <x:v>(주)대균 인버터 공기압축기 교체를 통한 온실가스 감축사업</x:v>
      </x:c>
      <x:c r="E885" s="2" t="str">
        <x:v>746</x:v>
      </x:c>
      <x:c r="F885" s="2" t="str">
        <x:v>2021-03-03</x:v>
      </x:c>
      <x:c r="G885" s="2" t="str">
        <x:v>2021</x:v>
      </x:c>
      <x:c r="H885" s="2" t="str">
        <x:v>03</x:v>
      </x:c>
      <x:c r="I885" s="2" t="str">
        <x:v>반려</x:v>
      </x:c>
      <x:c r="J885" s="2" t="str">
        <x:v>반려</x:v>
      </x:c>
      <x:c r="K885" s="2" t="str">
        <x:f>IF(OR(J885="심의승인",J885="반려",J885="반려완료",J885="심의완료"),"종결 표시",IF(OR(J885="기후부협의",J885="문서재제출요청",J885="보류",J885="보완요청",J885="보완완료",J885="평가중",J885="반려요청",J885="평가필요",LEFT(J885,5)="보완요청("),"미종결 표시","상태 확인 필요"))</x:f>
        <x:v>종결 표시</x:v>
      </x:c>
      <x:c r="L885" s="2" t="str">
        <x:v>KECM</x:v>
      </x:c>
      <x:c r="M885" s="2"/>
      <x:c r="N885" s="8" t="n">
        <x:f>DATE(2026,10,15)-DATE(2021,3,3)</x:f>
        <x:v>2052</x:v>
      </x:c>
      <x:c r="O885" s="2" t="str">
        <x:v>O(6월추가)</x:v>
      </x:c>
      <x:c r="P885" s="2"/>
      <x:c r="Q885" s="2" t="str">
        <x:v>산업전환_외부사업관리Tool_260707_이너젠 수정_LJY_261013.xlsx</x:v>
      </x:c>
      <x:c r="R885" s="2" t="str">
        <x:v>국내평가</x:v>
      </x:c>
      <x:c r="S885" s="8" t="n">
        <x:v>788</x:v>
      </x:c>
      <x:c r="T885" s="2" t="str">
        <x:v>(6/28)</x:v>
      </x:c>
      <x:c r="U885" s="2" t="str">
        <x:v>2021 배정: (6/28)</x:v>
      </x:c>
      <x:c r="V885" s="2" t="str">
        <x:v>2021-10-25</x:v>
      </x:c>
      <x:c r="W885" s="2" t="str"/>
      <x:c r="X885" s="2" t="str">
        <x:v>종결 근거 보관</x:v>
      </x:c>
      <x:c r="Y885" s="2" t="str">
        <x:v>ad210cd9ec132cfd447541c8984dc53d30aff0f4fb2dc92d254d49275cc55976</x:v>
      </x:c>
      <x:c r="Z885" s="2" t="n">
        <x:f>SUBTOTAL(103,A885)</x:f>
        <x:v>1</x:v>
      </x:c>
      <x:c r="AA885" s="2" t="str">
        <x:f>IF(K885&lt;&gt;"미종결 표시","대상 아님",IF(N885="","신청일 확인",IF(NOT(ISNUMBER('종합 현황'!$H$5)),"관찰기준 확인",IF('종합 현황'!$H$5&lt;1,"관찰기준 확인",IF(N885&gt;'종합 현황'!$H$5,"내부 관찰 대상","내부 관찰일 이하")))))</x:f>
        <x:v>대상 아님</x:v>
      </x:c>
      <x:c r="AB885" s="2"/>
    </x:row>
    <x:row r="886" ht="42" customHeight="1">
      <x:c r="A886" s="2" t="str">
        <x:v>40c20ab951f32340b6fb82c3</x:v>
      </x:c>
      <x:c r="B886" s="2" t="str">
        <x:v>사업 평가</x:v>
      </x:c>
      <x:c r="C886" s="2" t="str">
        <x:v>국내</x:v>
      </x:c>
      <x:c r="D886" s="7" t="str">
        <x:v>대동실업 내 폐수열 회수설비를 설치하여 스팀사용량 절감을 통한 온실가스(CO2)배출 감축사업</x:v>
      </x:c>
      <x:c r="E886" s="2" t="str">
        <x:v>747</x:v>
      </x:c>
      <x:c r="F886" s="2" t="str">
        <x:v>2021-03-16</x:v>
      </x:c>
      <x:c r="G886" s="2" t="str">
        <x:v>2021</x:v>
      </x:c>
      <x:c r="H886" s="2" t="str">
        <x:v>03</x:v>
      </x:c>
      <x:c r="I886" s="2" t="str">
        <x:v>반려</x:v>
      </x:c>
      <x:c r="J886" s="2" t="str">
        <x:v>반려</x:v>
      </x:c>
      <x:c r="K886" s="2" t="str">
        <x:f>IF(OR(J886="심의승인",J886="반려",J886="반려완료",J886="심의완료"),"종결 표시",IF(OR(J886="기후부협의",J886="문서재제출요청",J886="보류",J886="보완요청",J886="보완완료",J886="평가중",J886="반려요청",J886="평가필요",LEFT(J886,5)="보완요청("),"미종결 표시","상태 확인 필요"))</x:f>
        <x:v>종결 표시</x:v>
      </x:c>
      <x:c r="L886" s="2"/>
      <x:c r="M886" s="2"/>
      <x:c r="N886" s="8" t="n">
        <x:f>DATE(2026,10,15)-DATE(2021,3,16)</x:f>
        <x:v>2039</x:v>
      </x:c>
      <x:c r="O886" s="2"/>
      <x:c r="P886" s="2"/>
      <x:c r="Q886" s="2" t="str">
        <x:v>산업전환_외부사업관리Tool_260707_이너젠 수정_LJY_261013.xlsx</x:v>
      </x:c>
      <x:c r="R886" s="2" t="str">
        <x:v>국내평가</x:v>
      </x:c>
      <x:c r="S886" s="8" t="n">
        <x:v>789</x:v>
      </x:c>
      <x:c r="T886" s="2" t="str">
        <x:v>2021년 처리</x:v>
      </x:c>
      <x:c r="U886" s="2" t="str">
        <x:v>2021 배정: 2021년 처리</x:v>
      </x:c>
      <x:c r="V886" s="2" t="str">
        <x:v>2021-07-16</x:v>
      </x:c>
      <x:c r="W886" s="2" t="str">
        <x:v>담당기관 확인</x:v>
      </x:c>
      <x:c r="X886" s="2" t="str">
        <x:v>원본·배정 기록 확인</x:v>
      </x:c>
      <x:c r="Y886" s="2" t="str">
        <x:v>ad210cd9ec132cfd447541c8984dc53d30aff0f4fb2dc92d254d49275cc55976</x:v>
      </x:c>
      <x:c r="Z886" s="2" t="n">
        <x:f>SUBTOTAL(103,A886)</x:f>
        <x:v>1</x:v>
      </x:c>
      <x:c r="AA886" s="2" t="str">
        <x:f>IF(K886&lt;&gt;"미종결 표시","대상 아님",IF(N886="","신청일 확인",IF(NOT(ISNUMBER('종합 현황'!$H$5)),"관찰기준 확인",IF('종합 현황'!$H$5&lt;1,"관찰기준 확인",IF(N886&gt;'종합 현황'!$H$5,"내부 관찰 대상","내부 관찰일 이하")))))</x:f>
        <x:v>대상 아님</x:v>
      </x:c>
      <x:c r="AB886" s="2"/>
    </x:row>
    <x:row r="887" ht="42" customHeight="1">
      <x:c r="A887" s="2" t="str">
        <x:v>3ef3b72727c459f37bbba6d4</x:v>
      </x:c>
      <x:c r="B887" s="2" t="str">
        <x:v>사업 평가</x:v>
      </x:c>
      <x:c r="C887" s="2" t="str">
        <x:v>국내</x:v>
      </x:c>
      <x:c r="D887" s="7" t="str">
        <x:v>티더블유아이(주) 고효율 설비 교체 사업</x:v>
      </x:c>
      <x:c r="E887" s="2" t="str">
        <x:v>748</x:v>
      </x:c>
      <x:c r="F887" s="2" t="str">
        <x:v>2021-02-04</x:v>
      </x:c>
      <x:c r="G887" s="2" t="str">
        <x:v>2021</x:v>
      </x:c>
      <x:c r="H887" s="2" t="str">
        <x:v>02</x:v>
      </x:c>
      <x:c r="I887" s="2" t="str">
        <x:v>승인</x:v>
      </x:c>
      <x:c r="J887" s="2" t="str">
        <x:v>심의승인</x:v>
      </x:c>
      <x:c r="K887" s="2" t="str">
        <x:f>IF(OR(J887="심의승인",J887="반려",J887="반려완료",J887="심의완료"),"종결 표시",IF(OR(J887="기후부협의",J887="문서재제출요청",J887="보류",J887="보완요청",J887="보완완료",J887="평가중",J887="반려요청",J887="평가필요",LEFT(J887,5)="보완요청("),"미종결 표시","상태 확인 필요"))</x:f>
        <x:v>종결 표시</x:v>
      </x:c>
      <x:c r="L887" s="2" t="str">
        <x:v>KECM_이태준</x:v>
      </x:c>
      <x:c r="M887" s="2"/>
      <x:c r="N887" s="8" t="n">
        <x:f>DATE(2026,10,15)-DATE(2021,2,4)</x:f>
        <x:v>2079</x:v>
      </x:c>
      <x:c r="O887" s="2" t="str">
        <x:v>생략</x:v>
      </x:c>
      <x:c r="P887" s="2"/>
      <x:c r="Q887" s="2" t="str">
        <x:v>산업전환_외부사업관리Tool_260707_이너젠 수정_LJY_261013.xlsx</x:v>
      </x:c>
      <x:c r="R887" s="2" t="str">
        <x:v>국내평가</x:v>
      </x:c>
      <x:c r="S887" s="8" t="n">
        <x:v>790</x:v>
      </x:c>
      <x:c r="T887" s="2" t="str">
        <x:v>(7/12),(9/14)</x:v>
      </x:c>
      <x:c r="U887" s="2" t="str">
        <x:v>2021 배정: (7/12),(9/14) / 2022 배정: (3/16),(4/19)</x:v>
      </x:c>
      <x:c r="V887" s="2" t="str">
        <x:v>2022-10-11</x:v>
      </x:c>
      <x:c r="W887" s="2" t="str"/>
      <x:c r="X887" s="2" t="str">
        <x:v>종결 근거 보관</x:v>
      </x:c>
      <x:c r="Y887" s="2" t="str">
        <x:v>ad210cd9ec132cfd447541c8984dc53d30aff0f4fb2dc92d254d49275cc55976</x:v>
      </x:c>
      <x:c r="Z887" s="2" t="n">
        <x:f>SUBTOTAL(103,A887)</x:f>
        <x:v>1</x:v>
      </x:c>
      <x:c r="AA887" s="2" t="str">
        <x:f>IF(K887&lt;&gt;"미종결 표시","대상 아님",IF(N887="","신청일 확인",IF(NOT(ISNUMBER('종합 현황'!$H$5)),"관찰기준 확인",IF('종합 현황'!$H$5&lt;1,"관찰기준 확인",IF(N887&gt;'종합 현황'!$H$5,"내부 관찰 대상","내부 관찰일 이하")))))</x:f>
        <x:v>대상 아님</x:v>
      </x:c>
      <x:c r="AB887" s="2"/>
    </x:row>
    <x:row r="888" ht="42" customHeight="1">
      <x:c r="A888" s="2" t="str">
        <x:v>a6497c5b941e772ec8c989be</x:v>
      </x:c>
      <x:c r="B888" s="2" t="str">
        <x:v>사업 평가</x:v>
      </x:c>
      <x:c r="C888" s="2" t="str">
        <x:v>국내</x:v>
      </x:c>
      <x:c r="D888" s="7" t="str">
        <x:v>유영나염 스팀보일러의 연료교체(B-C유→LNG)를통한 온실가스(CO2) 배출 감축사업</x:v>
      </x:c>
      <x:c r="E888" s="2" t="str">
        <x:v>749</x:v>
      </x:c>
      <x:c r="F888" s="2" t="str">
        <x:v>2021-03-17</x:v>
      </x:c>
      <x:c r="G888" s="2" t="str">
        <x:v>2021</x:v>
      </x:c>
      <x:c r="H888" s="2" t="str">
        <x:v>03</x:v>
      </x:c>
      <x:c r="I888" s="2" t="str">
        <x:v>반려</x:v>
      </x:c>
      <x:c r="J888" s="2" t="str">
        <x:v>반려</x:v>
      </x:c>
      <x:c r="K888" s="2" t="str">
        <x:f>IF(OR(J888="심의승인",J888="반려",J888="반려완료",J888="심의완료"),"종결 표시",IF(OR(J888="기후부협의",J888="문서재제출요청",J888="보류",J888="보완요청",J888="보완완료",J888="평가중",J888="반려요청",J888="평가필요",LEFT(J888,5)="보완요청("),"미종결 표시","상태 확인 필요"))</x:f>
        <x:v>종결 표시</x:v>
      </x:c>
      <x:c r="L888" s="2"/>
      <x:c r="M888" s="2"/>
      <x:c r="N888" s="8" t="n">
        <x:f>DATE(2026,10,15)-DATE(2021,3,17)</x:f>
        <x:v>2038</x:v>
      </x:c>
      <x:c r="O888" s="2"/>
      <x:c r="P888" s="2"/>
      <x:c r="Q888" s="2" t="str">
        <x:v>산업전환_외부사업관리Tool_260707_이너젠 수정_LJY_261013.xlsx</x:v>
      </x:c>
      <x:c r="R888" s="2" t="str">
        <x:v>국내평가</x:v>
      </x:c>
      <x:c r="S888" s="8" t="n">
        <x:v>791</x:v>
      </x:c>
      <x:c r="T888" s="2" t="str">
        <x:v>2021년 처리</x:v>
      </x:c>
      <x:c r="U888" s="2" t="str">
        <x:v>2021 배정: 2021년 처리</x:v>
      </x:c>
      <x:c r="V888" s="2" t="str">
        <x:v>2021-07-16</x:v>
      </x:c>
      <x:c r="W888" s="2" t="str">
        <x:v>담당기관 확인</x:v>
      </x:c>
      <x:c r="X888" s="2" t="str">
        <x:v>원본·배정 기록 확인</x:v>
      </x:c>
      <x:c r="Y888" s="2" t="str">
        <x:v>ad210cd9ec132cfd447541c8984dc53d30aff0f4fb2dc92d254d49275cc55976</x:v>
      </x:c>
      <x:c r="Z888" s="2" t="n">
        <x:f>SUBTOTAL(103,A888)</x:f>
        <x:v>1</x:v>
      </x:c>
      <x:c r="AA888" s="2" t="str">
        <x:f>IF(K888&lt;&gt;"미종결 표시","대상 아님",IF(N888="","신청일 확인",IF(NOT(ISNUMBER('종합 현황'!$H$5)),"관찰기준 확인",IF('종합 현황'!$H$5&lt;1,"관찰기준 확인",IF(N888&gt;'종합 현황'!$H$5,"내부 관찰 대상","내부 관찰일 이하")))))</x:f>
        <x:v>대상 아님</x:v>
      </x:c>
      <x:c r="AB888" s="2"/>
    </x:row>
    <x:row r="889" ht="42" customHeight="1">
      <x:c r="A889" s="2" t="str">
        <x:v>7fb008d01ef3f2ed7abf1745</x:v>
      </x:c>
      <x:c r="B889" s="2" t="str">
        <x:v>사업 평가</x:v>
      </x:c>
      <x:c r="C889" s="2" t="str">
        <x:v>국내</x:v>
      </x:c>
      <x:c r="D889" s="7" t="str">
        <x:v>뉴봉이랜드 목재펠릿 연료전환(LNG-&gt;목재펠릿)을 통한 온실가스 감축사업</x:v>
      </x:c>
      <x:c r="E889" s="2" t="str">
        <x:v>750</x:v>
      </x:c>
      <x:c r="F889" s="2" t="str">
        <x:v>2021-03-19</x:v>
      </x:c>
      <x:c r="G889" s="2" t="str">
        <x:v>2021</x:v>
      </x:c>
      <x:c r="H889" s="2" t="str">
        <x:v>03</x:v>
      </x:c>
      <x:c r="I889" s="2" t="str">
        <x:v>반려</x:v>
      </x:c>
      <x:c r="J889" s="2" t="str">
        <x:v>반려</x:v>
      </x:c>
      <x:c r="K889" s="2" t="str">
        <x:f>IF(OR(J889="심의승인",J889="반려",J889="반려완료",J889="심의완료"),"종결 표시",IF(OR(J889="기후부협의",J889="문서재제출요청",J889="보류",J889="보완요청",J889="보완완료",J889="평가중",J889="반려요청",J889="평가필요",LEFT(J889,5)="보완요청("),"미종결 표시","상태 확인 필요"))</x:f>
        <x:v>종결 표시</x:v>
      </x:c>
      <x:c r="L889" s="2"/>
      <x:c r="M889" s="2"/>
      <x:c r="N889" s="8" t="n">
        <x:f>DATE(2026,10,15)-DATE(2021,3,19)</x:f>
        <x:v>2036</x:v>
      </x:c>
      <x:c r="O889" s="2"/>
      <x:c r="P889" s="2"/>
      <x:c r="Q889" s="2" t="str">
        <x:v>산업전환_외부사업관리Tool_260707_이너젠 수정_LJY_261013.xlsx</x:v>
      </x:c>
      <x:c r="R889" s="2" t="str">
        <x:v>국내평가</x:v>
      </x:c>
      <x:c r="S889" s="8" t="n">
        <x:v>792</x:v>
      </x:c>
      <x:c r="T889" s="2" t="str">
        <x:v>2021년 처리</x:v>
      </x:c>
      <x:c r="U889" s="2" t="str">
        <x:v>2021 배정: 2021년 처리</x:v>
      </x:c>
      <x:c r="V889" s="2" t="str">
        <x:v>2021-07-16</x:v>
      </x:c>
      <x:c r="W889" s="2" t="str">
        <x:v>담당기관 확인</x:v>
      </x:c>
      <x:c r="X889" s="2" t="str">
        <x:v>원본·배정 기록 확인</x:v>
      </x:c>
      <x:c r="Y889" s="2" t="str">
        <x:v>ad210cd9ec132cfd447541c8984dc53d30aff0f4fb2dc92d254d49275cc55976</x:v>
      </x:c>
      <x:c r="Z889" s="2" t="n">
        <x:f>SUBTOTAL(103,A889)</x:f>
        <x:v>1</x:v>
      </x:c>
      <x:c r="AA889" s="2" t="str">
        <x:f>IF(K889&lt;&gt;"미종결 표시","대상 아님",IF(N889="","신청일 확인",IF(NOT(ISNUMBER('종합 현황'!$H$5)),"관찰기준 확인",IF('종합 현황'!$H$5&lt;1,"관찰기준 확인",IF(N889&gt;'종합 현황'!$H$5,"내부 관찰 대상","내부 관찰일 이하")))))</x:f>
        <x:v>대상 아님</x:v>
      </x:c>
      <x:c r="AB889" s="2"/>
    </x:row>
    <x:row r="890" ht="42" customHeight="1">
      <x:c r="A890" s="2" t="str">
        <x:v>5345db4df2317c867ac99696</x:v>
      </x:c>
      <x:c r="B890" s="2" t="str">
        <x:v>사업 평가</x:v>
      </x:c>
      <x:c r="C890" s="2" t="str">
        <x:v>국내</x:v>
      </x:c>
      <x:c r="D890" s="7" t="str">
        <x:v>㈜평화정밀 고효율 설비 교체 사업</x:v>
      </x:c>
      <x:c r="E890" s="2" t="str">
        <x:v>751</x:v>
      </x:c>
      <x:c r="F890" s="2" t="str">
        <x:v>2021-02-04</x:v>
      </x:c>
      <x:c r="G890" s="2" t="str">
        <x:v>2021</x:v>
      </x:c>
      <x:c r="H890" s="2" t="str">
        <x:v>02</x:v>
      </x:c>
      <x:c r="I890" s="2" t="str">
        <x:v>승인</x:v>
      </x:c>
      <x:c r="J890" s="2" t="str">
        <x:v>심의승인</x:v>
      </x:c>
      <x:c r="K890" s="2" t="str">
        <x:f>IF(OR(J890="심의승인",J890="반려",J890="반려완료",J890="심의완료"),"종결 표시",IF(OR(J890="기후부협의",J890="문서재제출요청",J890="보류",J890="보완요청",J890="보완완료",J890="평가중",J890="반려요청",J890="평가필요",LEFT(J890,5)="보완요청("),"미종결 표시","상태 확인 필요"))</x:f>
        <x:v>종결 표시</x:v>
      </x:c>
      <x:c r="L890" s="2" t="str">
        <x:v>KECM_이태준</x:v>
      </x:c>
      <x:c r="M890" s="2"/>
      <x:c r="N890" s="8" t="n">
        <x:f>DATE(2026,10,15)-DATE(2021,2,4)</x:f>
        <x:v>2079</x:v>
      </x:c>
      <x:c r="O890" s="2" t="str">
        <x:v>생략</x:v>
      </x:c>
      <x:c r="P890" s="2"/>
      <x:c r="Q890" s="2" t="str">
        <x:v>산업전환_외부사업관리Tool_260707_이너젠 수정_LJY_261013.xlsx</x:v>
      </x:c>
      <x:c r="R890" s="2" t="str">
        <x:v>국내평가</x:v>
      </x:c>
      <x:c r="S890" s="8" t="n">
        <x:v>793</x:v>
      </x:c>
      <x:c r="T890" s="2" t="str">
        <x:v>(7/12),(11/2),(12/1)</x:v>
      </x:c>
      <x:c r="U890" s="2" t="str">
        <x:v>2021 배정: (7/12),(11/2),(12/1) / 2022 배정: (3/16)</x:v>
      </x:c>
      <x:c r="V890" s="2" t="str">
        <x:v>2022-10-11</x:v>
      </x:c>
      <x:c r="W890" s="2" t="str"/>
      <x:c r="X890" s="2" t="str">
        <x:v>종결 근거 보관</x:v>
      </x:c>
      <x:c r="Y890" s="2" t="str">
        <x:v>ad210cd9ec132cfd447541c8984dc53d30aff0f4fb2dc92d254d49275cc55976</x:v>
      </x:c>
      <x:c r="Z890" s="2" t="n">
        <x:f>SUBTOTAL(103,A890)</x:f>
        <x:v>1</x:v>
      </x:c>
      <x:c r="AA890" s="2" t="str">
        <x:f>IF(K890&lt;&gt;"미종결 표시","대상 아님",IF(N890="","신청일 확인",IF(NOT(ISNUMBER('종합 현황'!$H$5)),"관찰기준 확인",IF('종합 현황'!$H$5&lt;1,"관찰기준 확인",IF(N890&gt;'종합 현황'!$H$5,"내부 관찰 대상","내부 관찰일 이하")))))</x:f>
        <x:v>대상 아님</x:v>
      </x:c>
      <x:c r="AB890" s="2"/>
    </x:row>
    <x:row r="891" ht="42" customHeight="1">
      <x:c r="A891" s="2" t="str">
        <x:v>717eb8cc8af927627dbc6c8e</x:v>
      </x:c>
      <x:c r="B891" s="2" t="str">
        <x:v>사업 평가</x:v>
      </x:c>
      <x:c r="C891" s="2" t="str">
        <x:v>국내</x:v>
      </x:c>
      <x:c r="D891" s="7" t="str">
        <x:v>호성하이텍 고효율 설비 교체 사업</x:v>
      </x:c>
      <x:c r="E891" s="2" t="str">
        <x:v>752</x:v>
      </x:c>
      <x:c r="F891" s="2" t="str">
        <x:v>2021-02-04</x:v>
      </x:c>
      <x:c r="G891" s="2" t="str">
        <x:v>2021</x:v>
      </x:c>
      <x:c r="H891" s="2" t="str">
        <x:v>02</x:v>
      </x:c>
      <x:c r="I891" s="2" t="str">
        <x:v>승인</x:v>
      </x:c>
      <x:c r="J891" s="2" t="str">
        <x:v>심의승인</x:v>
      </x:c>
      <x:c r="K891" s="2" t="str">
        <x:f>IF(OR(J891="심의승인",J891="반려",J891="반려완료",J891="심의완료"),"종결 표시",IF(OR(J891="기후부협의",J891="문서재제출요청",J891="보류",J891="보완요청",J891="보완완료",J891="평가중",J891="반려요청",J891="평가필요",LEFT(J891,5)="보완요청("),"미종결 표시","상태 확인 필요"))</x:f>
        <x:v>종결 표시</x:v>
      </x:c>
      <x:c r="L891" s="2" t="str">
        <x:v>에코시안_정다윤</x:v>
      </x:c>
      <x:c r="M891" s="2"/>
      <x:c r="N891" s="8" t="n">
        <x:f>DATE(2026,10,15)-DATE(2021,2,4)</x:f>
        <x:v>2079</x:v>
      </x:c>
      <x:c r="O891" s="2" t="str">
        <x:v>생략</x:v>
      </x:c>
      <x:c r="P891" s="2"/>
      <x:c r="Q891" s="2" t="str">
        <x:v>산업전환_외부사업관리Tool_260707_이너젠 수정_LJY_261013.xlsx</x:v>
      </x:c>
      <x:c r="R891" s="2" t="str">
        <x:v>국내평가</x:v>
      </x:c>
      <x:c r="S891" s="8" t="n">
        <x:v>794</x:v>
      </x:c>
      <x:c r="T891" s="2" t="str">
        <x:v>(7/12),(10/20)</x:v>
      </x:c>
      <x:c r="U891" s="2" t="str">
        <x:v>2021 배정: (7/12),(10/20) / 2022 배정: (3/16),(4/19) / 2022 배정(신규): (5/18),(6/10),(7/13)</x:v>
      </x:c>
      <x:c r="V891" s="2" t="str">
        <x:v>2022-12-23</x:v>
      </x:c>
      <x:c r="W891" s="2" t="str"/>
      <x:c r="X891" s="2" t="str">
        <x:v>종결 근거 보관</x:v>
      </x:c>
      <x:c r="Y891" s="2" t="str">
        <x:v>ad210cd9ec132cfd447541c8984dc53d30aff0f4fb2dc92d254d49275cc55976</x:v>
      </x:c>
      <x:c r="Z891" s="2" t="n">
        <x:f>SUBTOTAL(103,A891)</x:f>
        <x:v>1</x:v>
      </x:c>
      <x:c r="AA891" s="2" t="str">
        <x:f>IF(K891&lt;&gt;"미종결 표시","대상 아님",IF(N891="","신청일 확인",IF(NOT(ISNUMBER('종합 현황'!$H$5)),"관찰기준 확인",IF('종합 현황'!$H$5&lt;1,"관찰기준 확인",IF(N891&gt;'종합 현황'!$H$5,"내부 관찰 대상","내부 관찰일 이하")))))</x:f>
        <x:v>대상 아님</x:v>
      </x:c>
      <x:c r="AB891" s="2"/>
    </x:row>
    <x:row r="892" ht="42" customHeight="1">
      <x:c r="A892" s="2" t="str">
        <x:v>f38e2f4989b5374e4d7ad36e</x:v>
      </x:c>
      <x:c r="B892" s="2" t="str">
        <x:v>사업 평가</x:v>
      </x:c>
      <x:c r="C892" s="2" t="str">
        <x:v>국내</x:v>
      </x:c>
      <x:c r="D892" s="7" t="str">
        <x:v>목재펠릿 연료전환(LNG-&gt;목재펠릿)을 통한 온실가스 감축사업</x:v>
      </x:c>
      <x:c r="E892" s="2" t="str">
        <x:v>753</x:v>
      </x:c>
      <x:c r="F892" s="2" t="str">
        <x:v>2017-12-14</x:v>
      </x:c>
      <x:c r="G892" s="2" t="str">
        <x:v>2017</x:v>
      </x:c>
      <x:c r="H892" s="2" t="str">
        <x:v>12</x:v>
      </x:c>
      <x:c r="I892" s="2" t="str">
        <x:v>승인</x:v>
      </x:c>
      <x:c r="J892" s="2" t="str">
        <x:v>심의승인</x:v>
      </x:c>
      <x:c r="K892" s="2" t="str">
        <x:f>IF(OR(J892="심의승인",J892="반려",J892="반려완료",J892="심의완료"),"종결 표시",IF(OR(J892="기후부협의",J892="문서재제출요청",J892="보류",J892="보완요청",J892="보완완료",J892="평가중",J892="반려요청",J892="평가필요",LEFT(J892,5)="보완요청("),"미종결 표시","상태 확인 필요"))</x:f>
        <x:v>종결 표시</x:v>
      </x:c>
      <x:c r="L892" s="2"/>
      <x:c r="M892" s="2"/>
      <x:c r="N892" s="8" t="n">
        <x:f>DATE(2026,10,15)-DATE(2017,12,14)</x:f>
        <x:v>3227</x:v>
      </x:c>
      <x:c r="O892" s="2"/>
      <x:c r="P892" s="2" t="str">
        <x:v>KVER 반려</x:v>
      </x:c>
      <x:c r="Q892" s="2" t="str">
        <x:v>산업전환_외부사업관리Tool_260707_이너젠 수정_LJY_261013.xlsx</x:v>
      </x:c>
      <x:c r="R892" s="2" t="str">
        <x:v>국내평가</x:v>
      </x:c>
      <x:c r="S892" s="8" t="n">
        <x:v>795</x:v>
      </x:c>
      <x:c r="T892" s="2" t="str">
        <x:v>2021년 처리</x:v>
      </x:c>
      <x:c r="U892" s="2" t="str">
        <x:v>2021 배정: 2021년 처리</x:v>
      </x:c>
      <x:c r="V892" s="2" t="str">
        <x:v>2022-02-25</x:v>
      </x:c>
      <x:c r="W892" s="2" t="str">
        <x:v>담당기관 확인</x:v>
      </x:c>
      <x:c r="X892" s="2" t="str">
        <x:v>원본·배정 기록 확인</x:v>
      </x:c>
      <x:c r="Y892" s="2" t="str">
        <x:v>ad210cd9ec132cfd447541c8984dc53d30aff0f4fb2dc92d254d49275cc55976</x:v>
      </x:c>
      <x:c r="Z892" s="2" t="n">
        <x:f>SUBTOTAL(103,A892)</x:f>
        <x:v>1</x:v>
      </x:c>
      <x:c r="AA892" s="2" t="str">
        <x:f>IF(K892&lt;&gt;"미종결 표시","대상 아님",IF(N892="","신청일 확인",IF(NOT(ISNUMBER('종합 현황'!$H$5)),"관찰기준 확인",IF('종합 현황'!$H$5&lt;1,"관찰기준 확인",IF(N892&gt;'종합 현황'!$H$5,"내부 관찰 대상","내부 관찰일 이하")))))</x:f>
        <x:v>대상 아님</x:v>
      </x:c>
      <x:c r="AB892" s="2"/>
    </x:row>
    <x:row r="893" ht="42" customHeight="1">
      <x:c r="A893" s="2" t="str">
        <x:v>bf2ff6a146f26d0c241f8685</x:v>
      </x:c>
      <x:c r="B893" s="2" t="str">
        <x:v>사업 평가</x:v>
      </x:c>
      <x:c r="C893" s="2" t="str">
        <x:v>국내</x:v>
      </x:c>
      <x:c r="D893" s="7" t="str">
        <x:v>(주)축림 익산사업장 LPG에서 목재펠릿으로 연료 전환을 통한 온실가스 감축사업</x:v>
      </x:c>
      <x:c r="E893" s="2" t="str">
        <x:v>754</x:v>
      </x:c>
      <x:c r="F893" s="2" t="str">
        <x:v>2021-03-19</x:v>
      </x:c>
      <x:c r="G893" s="2" t="str">
        <x:v>2021</x:v>
      </x:c>
      <x:c r="H893" s="2" t="str">
        <x:v>03</x:v>
      </x:c>
      <x:c r="I893" s="2" t="str">
        <x:v>반려</x:v>
      </x:c>
      <x:c r="J893" s="2" t="str">
        <x:v>반려</x:v>
      </x:c>
      <x:c r="K893" s="2" t="str">
        <x:f>IF(OR(J893="심의승인",J893="반려",J893="반려완료",J893="심의완료"),"종결 표시",IF(OR(J893="기후부협의",J893="문서재제출요청",J893="보류",J893="보완요청",J893="보완완료",J893="평가중",J893="반려요청",J893="평가필요",LEFT(J893,5)="보완요청("),"미종결 표시","상태 확인 필요"))</x:f>
        <x:v>종결 표시</x:v>
      </x:c>
      <x:c r="L893" s="2" t="str">
        <x:v>KECM</x:v>
      </x:c>
      <x:c r="M893" s="2"/>
      <x:c r="N893" s="8" t="n">
        <x:f>DATE(2026,10,15)-DATE(2021,3,19)</x:f>
        <x:v>2036</x:v>
      </x:c>
      <x:c r="O893" s="2"/>
      <x:c r="P893" s="2"/>
      <x:c r="Q893" s="2" t="str">
        <x:v>산업전환_외부사업관리Tool_260707_이너젠 수정_LJY_261013.xlsx</x:v>
      </x:c>
      <x:c r="R893" s="2" t="str">
        <x:v>국내평가</x:v>
      </x:c>
      <x:c r="S893" s="8" t="n">
        <x:v>796</x:v>
      </x:c>
      <x:c r="T893" s="2" t="str">
        <x:v>(4/23)</x:v>
      </x:c>
      <x:c r="U893" s="2" t="str">
        <x:v>2021 배정: (4/23)</x:v>
      </x:c>
      <x:c r="V893" s="2" t="str">
        <x:v>2021-07-16</x:v>
      </x:c>
      <x:c r="W893" s="2" t="str"/>
      <x:c r="X893" s="2" t="str">
        <x:v>종결 근거 보관</x:v>
      </x:c>
      <x:c r="Y893" s="2" t="str">
        <x:v>ad210cd9ec132cfd447541c8984dc53d30aff0f4fb2dc92d254d49275cc55976</x:v>
      </x:c>
      <x:c r="Z893" s="2" t="n">
        <x:f>SUBTOTAL(103,A893)</x:f>
        <x:v>1</x:v>
      </x:c>
      <x:c r="AA893" s="2" t="str">
        <x:f>IF(K893&lt;&gt;"미종결 표시","대상 아님",IF(N893="","신청일 확인",IF(NOT(ISNUMBER('종합 현황'!$H$5)),"관찰기준 확인",IF('종합 현황'!$H$5&lt;1,"관찰기준 확인",IF(N893&gt;'종합 현황'!$H$5,"내부 관찰 대상","내부 관찰일 이하")))))</x:f>
        <x:v>대상 아님</x:v>
      </x:c>
      <x:c r="AB893" s="2"/>
    </x:row>
    <x:row r="894" ht="42" customHeight="1">
      <x:c r="A894" s="2" t="str">
        <x:v>62bdc6c41667b594d207f1fb</x:v>
      </x:c>
      <x:c r="B894" s="2" t="str">
        <x:v>사업 평가</x:v>
      </x:c>
      <x:c r="C894" s="2" t="str">
        <x:v>국내</x:v>
      </x:c>
      <x:c r="D894" s="7" t="str">
        <x:v>공동폐수처리장의 고효율 터보블로워 도입을 통한 온실가스 감축사업</x:v>
      </x:c>
      <x:c r="E894" s="2" t="str">
        <x:v>755</x:v>
      </x:c>
      <x:c r="F894" s="2" t="str">
        <x:v>2021-04-15</x:v>
      </x:c>
      <x:c r="G894" s="2" t="str">
        <x:v>2021</x:v>
      </x:c>
      <x:c r="H894" s="2" t="str">
        <x:v>04</x:v>
      </x:c>
      <x:c r="I894" s="2" t="str">
        <x:v>반려</x:v>
      </x:c>
      <x:c r="J894" s="2" t="str">
        <x:v>반려</x:v>
      </x:c>
      <x:c r="K894" s="2" t="str">
        <x:f>IF(OR(J894="심의승인",J894="반려",J894="반려완료",J894="심의완료"),"종결 표시",IF(OR(J894="기후부협의",J894="문서재제출요청",J894="보류",J894="보완요청",J894="보완완료",J894="평가중",J894="반려요청",J894="평가필요",LEFT(J894,5)="보완요청("),"미종결 표시","상태 확인 필요"))</x:f>
        <x:v>종결 표시</x:v>
      </x:c>
      <x:c r="L894" s="2"/>
      <x:c r="M894" s="2"/>
      <x:c r="N894" s="8" t="n">
        <x:f>DATE(2026,10,15)-DATE(2021,4,15)</x:f>
        <x:v>2009</x:v>
      </x:c>
      <x:c r="O894" s="2"/>
      <x:c r="P894" s="2"/>
      <x:c r="Q894" s="2" t="str">
        <x:v>산업전환_외부사업관리Tool_260707_이너젠 수정_LJY_261013.xlsx</x:v>
      </x:c>
      <x:c r="R894" s="2" t="str">
        <x:v>국내평가</x:v>
      </x:c>
      <x:c r="S894" s="8" t="n">
        <x:v>797</x:v>
      </x:c>
      <x:c r="T894" s="2" t="str">
        <x:v>2021년 처리</x:v>
      </x:c>
      <x:c r="U894" s="2" t="str">
        <x:v>2021 배정: 2021년 처리</x:v>
      </x:c>
      <x:c r="V894" s="2" t="str">
        <x:v>2021-08-12</x:v>
      </x:c>
      <x:c r="W894" s="2" t="str">
        <x:v>담당기관 확인</x:v>
      </x:c>
      <x:c r="X894" s="2" t="str">
        <x:v>원본·배정 기록 확인</x:v>
      </x:c>
      <x:c r="Y894" s="2" t="str">
        <x:v>ad210cd9ec132cfd447541c8984dc53d30aff0f4fb2dc92d254d49275cc55976</x:v>
      </x:c>
      <x:c r="Z894" s="2" t="n">
        <x:f>SUBTOTAL(103,A894)</x:f>
        <x:v>1</x:v>
      </x:c>
      <x:c r="AA894" s="2" t="str">
        <x:f>IF(K894&lt;&gt;"미종결 표시","대상 아님",IF(N894="","신청일 확인",IF(NOT(ISNUMBER('종합 현황'!$H$5)),"관찰기준 확인",IF('종합 현황'!$H$5&lt;1,"관찰기준 확인",IF(N894&gt;'종합 현황'!$H$5,"내부 관찰 대상","내부 관찰일 이하")))))</x:f>
        <x:v>대상 아님</x:v>
      </x:c>
      <x:c r="AB894" s="2"/>
    </x:row>
    <x:row r="895" ht="42" customHeight="1">
      <x:c r="A895" s="2" t="str">
        <x:v>337508a7ed0d685423c692fe</x:v>
      </x:c>
      <x:c r="B895" s="2" t="str">
        <x:v>사업 평가</x:v>
      </x:c>
      <x:c r="C895" s="2" t="str">
        <x:v>국내</x:v>
      </x:c>
      <x:c r="D895" s="7" t="str">
        <x:v>대길산업 인버터 공기압축기 교체를 통한 온실가스 감축사업</x:v>
      </x:c>
      <x:c r="E895" s="2" t="str">
        <x:v>756</x:v>
      </x:c>
      <x:c r="F895" s="2" t="str">
        <x:v>2021-04-30</x:v>
      </x:c>
      <x:c r="G895" s="2" t="str">
        <x:v>2021</x:v>
      </x:c>
      <x:c r="H895" s="2" t="str">
        <x:v>04</x:v>
      </x:c>
      <x:c r="I895" s="2" t="str">
        <x:v>반려</x:v>
      </x:c>
      <x:c r="J895" s="2" t="str">
        <x:v>반려</x:v>
      </x:c>
      <x:c r="K895" s="2" t="str">
        <x:f>IF(OR(J895="심의승인",J895="반려",J895="반려완료",J895="심의완료"),"종결 표시",IF(OR(J895="기후부협의",J895="문서재제출요청",J895="보류",J895="보완요청",J895="보완완료",J895="평가중",J895="반려요청",J895="평가필요",LEFT(J895,5)="보완요청("),"미종결 표시","상태 확인 필요"))</x:f>
        <x:v>종결 표시</x:v>
      </x:c>
      <x:c r="L895" s="2" t="str">
        <x:v>공단_강송희</x:v>
      </x:c>
      <x:c r="M895" s="2"/>
      <x:c r="N895" s="8" t="n">
        <x:f>DATE(2026,10,15)-DATE(2021,4,30)</x:f>
        <x:v>1994</x:v>
      </x:c>
      <x:c r="O895" s="2"/>
      <x:c r="P895" s="2" t="str">
        <x:v>반려완료(재신청 예정)</x:v>
      </x:c>
      <x:c r="Q895" s="2" t="str">
        <x:v>산업전환_외부사업관리Tool_260707_이너젠 수정_LJY_261013.xlsx</x:v>
      </x:c>
      <x:c r="R895" s="2" t="str">
        <x:v>국내평가</x:v>
      </x:c>
      <x:c r="S895" s="8" t="n">
        <x:v>798</x:v>
      </x:c>
      <x:c r="T895" s="2" t="str">
        <x:v>(5/7)</x:v>
      </x:c>
      <x:c r="U895" s="2" t="str">
        <x:v>2021 배정: (5/7)</x:v>
      </x:c>
      <x:c r="V895" s="2" t="str">
        <x:v>2021-06-30</x:v>
      </x:c>
      <x:c r="W895" s="2" t="str"/>
      <x:c r="X895" s="2" t="str">
        <x:v>종결 근거 보관</x:v>
      </x:c>
      <x:c r="Y895" s="2" t="str">
        <x:v>ad210cd9ec132cfd447541c8984dc53d30aff0f4fb2dc92d254d49275cc55976</x:v>
      </x:c>
      <x:c r="Z895" s="2" t="n">
        <x:f>SUBTOTAL(103,A895)</x:f>
        <x:v>1</x:v>
      </x:c>
      <x:c r="AA895" s="2" t="str">
        <x:f>IF(K895&lt;&gt;"미종결 표시","대상 아님",IF(N895="","신청일 확인",IF(NOT(ISNUMBER('종합 현황'!$H$5)),"관찰기준 확인",IF('종합 현황'!$H$5&lt;1,"관찰기준 확인",IF(N895&gt;'종합 현황'!$H$5,"내부 관찰 대상","내부 관찰일 이하")))))</x:f>
        <x:v>대상 아님</x:v>
      </x:c>
      <x:c r="AB895" s="2"/>
    </x:row>
    <x:row r="896" ht="42" customHeight="1">
      <x:c r="A896" s="2" t="str">
        <x:v>1410ed8a8f3ea8d5edbadf1d</x:v>
      </x:c>
      <x:c r="B896" s="2" t="str">
        <x:v>사업 평가</x:v>
      </x:c>
      <x:c r="C896" s="2" t="str">
        <x:v>국내</x:v>
      </x:c>
      <x:c r="D896" s="7" t="str">
        <x:v>㈜화이트전자 고효율 설비 교체 사업</x:v>
      </x:c>
      <x:c r="E896" s="2" t="str">
        <x:v>757</x:v>
      </x:c>
      <x:c r="F896" s="2" t="str">
        <x:v>2021-02-04</x:v>
      </x:c>
      <x:c r="G896" s="2" t="str">
        <x:v>2021</x:v>
      </x:c>
      <x:c r="H896" s="2" t="str">
        <x:v>02</x:v>
      </x:c>
      <x:c r="I896" s="2" t="str">
        <x:v>승인</x:v>
      </x:c>
      <x:c r="J896" s="2" t="str">
        <x:v>심의승인</x:v>
      </x:c>
      <x:c r="K896" s="2" t="str">
        <x:f>IF(OR(J896="심의승인",J896="반려",J896="반려완료",J896="심의완료"),"종결 표시",IF(OR(J896="기후부협의",J896="문서재제출요청",J896="보류",J896="보완요청",J896="보완완료",J896="평가중",J896="반려요청",J896="평가필요",LEFT(J896,5)="보완요청("),"미종결 표시","상태 확인 필요"))</x:f>
        <x:v>종결 표시</x:v>
      </x:c>
      <x:c r="L896" s="2" t="str">
        <x:v>에코시안_조혜민</x:v>
      </x:c>
      <x:c r="M896" s="2"/>
      <x:c r="N896" s="8" t="n">
        <x:f>DATE(2026,10,15)-DATE(2021,2,4)</x:f>
        <x:v>2079</x:v>
      </x:c>
      <x:c r="O896" s="2" t="str">
        <x:v>생략</x:v>
      </x:c>
      <x:c r="P896" s="2"/>
      <x:c r="Q896" s="2" t="str">
        <x:v>산업전환_외부사업관리Tool_260707_이너젠 수정_LJY_261013.xlsx</x:v>
      </x:c>
      <x:c r="R896" s="2" t="str">
        <x:v>국내평가</x:v>
      </x:c>
      <x:c r="S896" s="8" t="n">
        <x:v>799</x:v>
      </x:c>
      <x:c r="T896" s="2" t="str">
        <x:v>(7/12),(10/20),(12/1)</x:v>
      </x:c>
      <x:c r="U896" s="2" t="str">
        <x:v>2021 배정: (7/12),(10/20),(12/1)</x:v>
      </x:c>
      <x:c r="V896" s="2" t="str">
        <x:v>2022-04-14</x:v>
      </x:c>
      <x:c r="W896" s="2" t="str"/>
      <x:c r="X896" s="2" t="str">
        <x:v>종결 근거 보관</x:v>
      </x:c>
      <x:c r="Y896" s="2" t="str">
        <x:v>ad210cd9ec132cfd447541c8984dc53d30aff0f4fb2dc92d254d49275cc55976</x:v>
      </x:c>
      <x:c r="Z896" s="2" t="n">
        <x:f>SUBTOTAL(103,A896)</x:f>
        <x:v>1</x:v>
      </x:c>
      <x:c r="AA896" s="2" t="str">
        <x:f>IF(K896&lt;&gt;"미종결 표시","대상 아님",IF(N896="","신청일 확인",IF(NOT(ISNUMBER('종합 현황'!$H$5)),"관찰기준 확인",IF('종합 현황'!$H$5&lt;1,"관찰기준 확인",IF(N896&gt;'종합 현황'!$H$5,"내부 관찰 대상","내부 관찰일 이하")))))</x:f>
        <x:v>대상 아님</x:v>
      </x:c>
      <x:c r="AB896" s="2"/>
    </x:row>
    <x:row r="897" ht="42" customHeight="1">
      <x:c r="A897" s="2" t="str">
        <x:v>c9038e373dcbd25c8584162d</x:v>
      </x:c>
      <x:c r="B897" s="2" t="str">
        <x:v>사업 평가</x:v>
      </x:c>
      <x:c r="C897" s="2" t="str">
        <x:v>국내</x:v>
      </x:c>
      <x:c r="D897" s="7" t="str">
        <x:v>주식회사 대성메탈 인버터 공기압축기 교체를 통한 온실가스 감축사업</x:v>
      </x:c>
      <x:c r="E897" s="2" t="str">
        <x:v>758</x:v>
      </x:c>
      <x:c r="F897" s="2" t="str">
        <x:v>2021-04-30</x:v>
      </x:c>
      <x:c r="G897" s="2" t="str">
        <x:v>2021</x:v>
      </x:c>
      <x:c r="H897" s="2" t="str">
        <x:v>04</x:v>
      </x:c>
      <x:c r="I897" s="2" t="str">
        <x:v>반려</x:v>
      </x:c>
      <x:c r="J897" s="2" t="str">
        <x:v>반려</x:v>
      </x:c>
      <x:c r="K897" s="2" t="str">
        <x:f>IF(OR(J897="심의승인",J897="반려",J897="반려완료",J897="심의완료"),"종결 표시",IF(OR(J897="기후부협의",J897="문서재제출요청",J897="보류",J897="보완요청",J897="보완완료",J897="평가중",J897="반려요청",J897="평가필요",LEFT(J897,5)="보완요청("),"미종결 표시","상태 확인 필요"))</x:f>
        <x:v>종결 표시</x:v>
      </x:c>
      <x:c r="L897" s="2" t="str">
        <x:v>공단_강송희</x:v>
      </x:c>
      <x:c r="M897" s="2"/>
      <x:c r="N897" s="8" t="n">
        <x:f>DATE(2026,10,15)-DATE(2021,4,30)</x:f>
        <x:v>1994</x:v>
      </x:c>
      <x:c r="O897" s="2"/>
      <x:c r="P897" s="2" t="str">
        <x:v>반려완료(재신청 예정)</x:v>
      </x:c>
      <x:c r="Q897" s="2" t="str">
        <x:v>산업전환_외부사업관리Tool_260707_이너젠 수정_LJY_261013.xlsx</x:v>
      </x:c>
      <x:c r="R897" s="2" t="str">
        <x:v>국내평가</x:v>
      </x:c>
      <x:c r="S897" s="8" t="n">
        <x:v>800</x:v>
      </x:c>
      <x:c r="T897" s="2" t="str">
        <x:v>(5/7)</x:v>
      </x:c>
      <x:c r="U897" s="2" t="str">
        <x:v>2021 배정: (5/7)</x:v>
      </x:c>
      <x:c r="V897" s="2" t="str">
        <x:v>2021-06-30</x:v>
      </x:c>
      <x:c r="W897" s="2" t="str"/>
      <x:c r="X897" s="2" t="str">
        <x:v>종결 근거 보관</x:v>
      </x:c>
      <x:c r="Y897" s="2" t="str">
        <x:v>ad210cd9ec132cfd447541c8984dc53d30aff0f4fb2dc92d254d49275cc55976</x:v>
      </x:c>
      <x:c r="Z897" s="2" t="n">
        <x:f>SUBTOTAL(103,A897)</x:f>
        <x:v>1</x:v>
      </x:c>
      <x:c r="AA897" s="2" t="str">
        <x:f>IF(K897&lt;&gt;"미종결 표시","대상 아님",IF(N897="","신청일 확인",IF(NOT(ISNUMBER('종합 현황'!$H$5)),"관찰기준 확인",IF('종합 현황'!$H$5&lt;1,"관찰기준 확인",IF(N897&gt;'종합 현황'!$H$5,"내부 관찰 대상","내부 관찰일 이하")))))</x:f>
        <x:v>대상 아님</x:v>
      </x:c>
      <x:c r="AB897" s="2"/>
    </x:row>
    <x:row r="898" ht="42" customHeight="1">
      <x:c r="A898" s="2" t="str">
        <x:v>af79d235531a228ca7d9d033</x:v>
      </x:c>
      <x:c r="B898" s="2" t="str">
        <x:v>사업 평가</x:v>
      </x:c>
      <x:c r="C898" s="2" t="str">
        <x:v>국내</x:v>
      </x:c>
      <x:c r="D898" s="7" t="str">
        <x:v>대신항공 인버터 공기압축기 교체를 통한 온실가스 감축사업</x:v>
      </x:c>
      <x:c r="E898" s="2" t="str">
        <x:v>759</x:v>
      </x:c>
      <x:c r="F898" s="2" t="str">
        <x:v>2021-04-30</x:v>
      </x:c>
      <x:c r="G898" s="2" t="str">
        <x:v>2021</x:v>
      </x:c>
      <x:c r="H898" s="2" t="str">
        <x:v>04</x:v>
      </x:c>
      <x:c r="I898" s="2" t="str">
        <x:v>반려</x:v>
      </x:c>
      <x:c r="J898" s="2" t="str">
        <x:v>반려</x:v>
      </x:c>
      <x:c r="K898" s="2" t="str">
        <x:f>IF(OR(J898="심의승인",J898="반려",J898="반려완료",J898="심의완료"),"종결 표시",IF(OR(J898="기후부협의",J898="문서재제출요청",J898="보류",J898="보완요청",J898="보완완료",J898="평가중",J898="반려요청",J898="평가필요",LEFT(J898,5)="보완요청("),"미종결 표시","상태 확인 필요"))</x:f>
        <x:v>종결 표시</x:v>
      </x:c>
      <x:c r="L898" s="2" t="str">
        <x:v>공단_강송희</x:v>
      </x:c>
      <x:c r="M898" s="2"/>
      <x:c r="N898" s="8" t="n">
        <x:f>DATE(2026,10,15)-DATE(2021,4,30)</x:f>
        <x:v>1994</x:v>
      </x:c>
      <x:c r="O898" s="2"/>
      <x:c r="P898" s="2" t="str">
        <x:v>반려완료(재신청 예정)</x:v>
      </x:c>
      <x:c r="Q898" s="2" t="str">
        <x:v>산업전환_외부사업관리Tool_260707_이너젠 수정_LJY_261013.xlsx</x:v>
      </x:c>
      <x:c r="R898" s="2" t="str">
        <x:v>국내평가</x:v>
      </x:c>
      <x:c r="S898" s="8" t="n">
        <x:v>801</x:v>
      </x:c>
      <x:c r="T898" s="2" t="str">
        <x:v>(5/7)</x:v>
      </x:c>
      <x:c r="U898" s="2" t="str">
        <x:v>2021 배정: (5/7)</x:v>
      </x:c>
      <x:c r="V898" s="2" t="str">
        <x:v>2021-06-30</x:v>
      </x:c>
      <x:c r="W898" s="2" t="str"/>
      <x:c r="X898" s="2" t="str">
        <x:v>종결 근거 보관</x:v>
      </x:c>
      <x:c r="Y898" s="2" t="str">
        <x:v>ad210cd9ec132cfd447541c8984dc53d30aff0f4fb2dc92d254d49275cc55976</x:v>
      </x:c>
      <x:c r="Z898" s="2" t="n">
        <x:f>SUBTOTAL(103,A898)</x:f>
        <x:v>1</x:v>
      </x:c>
      <x:c r="AA898" s="2" t="str">
        <x:f>IF(K898&lt;&gt;"미종결 표시","대상 아님",IF(N898="","신청일 확인",IF(NOT(ISNUMBER('종합 현황'!$H$5)),"관찰기준 확인",IF('종합 현황'!$H$5&lt;1,"관찰기준 확인",IF(N898&gt;'종합 현황'!$H$5,"내부 관찰 대상","내부 관찰일 이하")))))</x:f>
        <x:v>대상 아님</x:v>
      </x:c>
      <x:c r="AB898" s="2"/>
    </x:row>
    <x:row r="899" ht="42" customHeight="1">
      <x:c r="A899" s="2" t="str">
        <x:v>998b8ba5eaa5650725728c09</x:v>
      </x:c>
      <x:c r="B899" s="2" t="str">
        <x:v>사업 평가</x:v>
      </x:c>
      <x:c r="C899" s="2" t="str">
        <x:v>국내</x:v>
      </x:c>
      <x:c r="D899" s="7" t="str">
        <x:v>㈜동남아스콘 연료전환(B-C유→LPG)을 통한 온실가스 배출 감축사업</x:v>
      </x:c>
      <x:c r="E899" s="2" t="str">
        <x:v>760</x:v>
      </x:c>
      <x:c r="F899" s="2" t="str">
        <x:v>2021-08-12</x:v>
      </x:c>
      <x:c r="G899" s="2" t="str">
        <x:v>2021</x:v>
      </x:c>
      <x:c r="H899" s="2" t="str">
        <x:v>08</x:v>
      </x:c>
      <x:c r="I899" s="2" t="str">
        <x:v>반려</x:v>
      </x:c>
      <x:c r="J899" s="2" t="str">
        <x:v>반려</x:v>
      </x:c>
      <x:c r="K899" s="2" t="str">
        <x:f>IF(OR(J899="심의승인",J899="반려",J899="반려완료",J899="심의완료"),"종결 표시",IF(OR(J899="기후부협의",J899="문서재제출요청",J899="보류",J899="보완요청",J899="보완완료",J899="평가중",J899="반려요청",J899="평가필요",LEFT(J899,5)="보완요청("),"미종결 표시","상태 확인 필요"))</x:f>
        <x:v>종결 표시</x:v>
      </x:c>
      <x:c r="L899" s="2" t="str">
        <x:v>KECM_임하진</x:v>
      </x:c>
      <x:c r="M899" s="2"/>
      <x:c r="N899" s="8" t="n">
        <x:f>DATE(2026,10,15)-DATE(2021,8,12)</x:f>
        <x:v>1890</x:v>
      </x:c>
      <x:c r="O899" s="2"/>
      <x:c r="P899" s="2" t="str">
        <x:v>LPG 계측기 X(반려 신청 및 사업 재신청)</x:v>
      </x:c>
      <x:c r="Q899" s="2" t="str">
        <x:v>산업전환_외부사업관리Tool_260707_이너젠 수정_LJY_261013.xlsx</x:v>
      </x:c>
      <x:c r="R899" s="2" t="str">
        <x:v>국내평가</x:v>
      </x:c>
      <x:c r="S899" s="8" t="n">
        <x:v>802</x:v>
      </x:c>
      <x:c r="T899" s="2" t="str">
        <x:v>(9/1)</x:v>
      </x:c>
      <x:c r="U899" s="2" t="str">
        <x:v>2021 배정: (9/1) / 2022 배정: (4/19) / 2022 배정(신규): (5/18)</x:v>
      </x:c>
      <x:c r="V899" s="2" t="str">
        <x:v>2023-03-17</x:v>
      </x:c>
      <x:c r="W899" s="2" t="str"/>
      <x:c r="X899" s="2" t="str">
        <x:v>종결 근거 보관</x:v>
      </x:c>
      <x:c r="Y899" s="2" t="str">
        <x:v>ad210cd9ec132cfd447541c8984dc53d30aff0f4fb2dc92d254d49275cc55976</x:v>
      </x:c>
      <x:c r="Z899" s="2" t="n">
        <x:f>SUBTOTAL(103,A899)</x:f>
        <x:v>1</x:v>
      </x:c>
      <x:c r="AA899" s="2" t="str">
        <x:f>IF(K899&lt;&gt;"미종결 표시","대상 아님",IF(N899="","신청일 확인",IF(NOT(ISNUMBER('종합 현황'!$H$5)),"관찰기준 확인",IF('종합 현황'!$H$5&lt;1,"관찰기준 확인",IF(N899&gt;'종합 현황'!$H$5,"내부 관찰 대상","내부 관찰일 이하")))))</x:f>
        <x:v>대상 아님</x:v>
      </x:c>
      <x:c r="AB899" s="2"/>
    </x:row>
    <x:row r="900" ht="42" customHeight="1">
      <x:c r="A900" s="2" t="str">
        <x:v>ef582abb49ec74d6c69d5f2e</x:v>
      </x:c>
      <x:c r="B900" s="2" t="str">
        <x:v>사업 평가</x:v>
      </x:c>
      <x:c r="C900" s="2" t="str">
        <x:v>국내</x:v>
      </x:c>
      <x:c r="D900" s="7" t="str">
        <x:v>대양전기공업(주)</x:v>
      </x:c>
      <x:c r="E900" s="2" t="str">
        <x:v>761</x:v>
      </x:c>
      <x:c r="F900" s="2" t="str">
        <x:v>2021-04-30</x:v>
      </x:c>
      <x:c r="G900" s="2" t="str">
        <x:v>2021</x:v>
      </x:c>
      <x:c r="H900" s="2" t="str">
        <x:v>04</x:v>
      </x:c>
      <x:c r="I900" s="2" t="str">
        <x:v>반려</x:v>
      </x:c>
      <x:c r="J900" s="2" t="str">
        <x:v>반려</x:v>
      </x:c>
      <x:c r="K900" s="2" t="str">
        <x:f>IF(OR(J900="심의승인",J900="반려",J900="반려완료",J900="심의완료"),"종결 표시",IF(OR(J900="기후부협의",J900="문서재제출요청",J900="보류",J900="보완요청",J900="보완완료",J900="평가중",J900="반려요청",J900="평가필요",LEFT(J900,5)="보완요청("),"미종결 표시","상태 확인 필요"))</x:f>
        <x:v>종결 표시</x:v>
      </x:c>
      <x:c r="L900" s="2" t="str">
        <x:v>공단_강송희</x:v>
      </x:c>
      <x:c r="M900" s="2"/>
      <x:c r="N900" s="8" t="n">
        <x:f>DATE(2026,10,15)-DATE(2021,4,30)</x:f>
        <x:v>1994</x:v>
      </x:c>
      <x:c r="O900" s="2"/>
      <x:c r="P900" s="2" t="str">
        <x:v>반려완료(재신청 예정)</x:v>
      </x:c>
      <x:c r="Q900" s="2" t="str">
        <x:v>산업전환_외부사업관리Tool_260707_이너젠 수정_LJY_261013.xlsx</x:v>
      </x:c>
      <x:c r="R900" s="2" t="str">
        <x:v>국내평가</x:v>
      </x:c>
      <x:c r="S900" s="8" t="n">
        <x:v>803</x:v>
      </x:c>
      <x:c r="T900" s="2" t="str">
        <x:v>(5/7)</x:v>
      </x:c>
      <x:c r="U900" s="2" t="str">
        <x:v>2021 배정: (5/7)</x:v>
      </x:c>
      <x:c r="V900" s="2" t="str">
        <x:v>2021-06-30</x:v>
      </x:c>
      <x:c r="W900" s="2" t="str"/>
      <x:c r="X900" s="2" t="str">
        <x:v>종결 근거 보관</x:v>
      </x:c>
      <x:c r="Y900" s="2" t="str">
        <x:v>ad210cd9ec132cfd447541c8984dc53d30aff0f4fb2dc92d254d49275cc55976</x:v>
      </x:c>
      <x:c r="Z900" s="2" t="n">
        <x:f>SUBTOTAL(103,A900)</x:f>
        <x:v>1</x:v>
      </x:c>
      <x:c r="AA900" s="2" t="str">
        <x:f>IF(K900&lt;&gt;"미종결 표시","대상 아님",IF(N900="","신청일 확인",IF(NOT(ISNUMBER('종합 현황'!$H$5)),"관찰기준 확인",IF('종합 현황'!$H$5&lt;1,"관찰기준 확인",IF(N900&gt;'종합 현황'!$H$5,"내부 관찰 대상","내부 관찰일 이하")))))</x:f>
        <x:v>대상 아님</x:v>
      </x:c>
      <x:c r="AB900" s="2"/>
    </x:row>
    <x:row r="901" ht="42" customHeight="1">
      <x:c r="A901" s="2" t="str">
        <x:v>021df8a22a44ae59726daf33</x:v>
      </x:c>
      <x:c r="B901" s="2" t="str">
        <x:v>사업 평가</x:v>
      </x:c>
      <x:c r="C901" s="2" t="str">
        <x:v>국내</x:v>
      </x:c>
      <x:c r="D901" s="7" t="str">
        <x:v>대한중천산업(주) 고효율 공기압축기 교체를 통한 온실가스 감축사업</x:v>
      </x:c>
      <x:c r="E901" s="2" t="str">
        <x:v>762</x:v>
      </x:c>
      <x:c r="F901" s="2" t="str">
        <x:v>2021-04-30</x:v>
      </x:c>
      <x:c r="G901" s="2" t="str">
        <x:v>2021</x:v>
      </x:c>
      <x:c r="H901" s="2" t="str">
        <x:v>04</x:v>
      </x:c>
      <x:c r="I901" s="2" t="str">
        <x:v>반려</x:v>
      </x:c>
      <x:c r="J901" s="2" t="str">
        <x:v>반려</x:v>
      </x:c>
      <x:c r="K901" s="2" t="str">
        <x:f>IF(OR(J901="심의승인",J901="반려",J901="반려완료",J901="심의완료"),"종결 표시",IF(OR(J901="기후부협의",J901="문서재제출요청",J901="보류",J901="보완요청",J901="보완완료",J901="평가중",J901="반려요청",J901="평가필요",LEFT(J901,5)="보완요청("),"미종결 표시","상태 확인 필요"))</x:f>
        <x:v>종결 표시</x:v>
      </x:c>
      <x:c r="L901" s="2" t="str">
        <x:v>공단_신광수</x:v>
      </x:c>
      <x:c r="M901" s="2"/>
      <x:c r="N901" s="8" t="n">
        <x:f>DATE(2026,10,15)-DATE(2021,4,30)</x:f>
        <x:v>1994</x:v>
      </x:c>
      <x:c r="O901" s="2"/>
      <x:c r="P901" s="2" t="str">
        <x:v>반려완료(재신청 예정)</x:v>
      </x:c>
      <x:c r="Q901" s="2" t="str">
        <x:v>산업전환_외부사업관리Tool_260707_이너젠 수정_LJY_261013.xlsx</x:v>
      </x:c>
      <x:c r="R901" s="2" t="str">
        <x:v>국내평가</x:v>
      </x:c>
      <x:c r="S901" s="8" t="n">
        <x:v>804</x:v>
      </x:c>
      <x:c r="T901" s="2" t="str">
        <x:v>(5/7)</x:v>
      </x:c>
      <x:c r="U901" s="2" t="str">
        <x:v>2021 배정: (5/7)</x:v>
      </x:c>
      <x:c r="V901" s="2" t="str">
        <x:v>2021-06-30</x:v>
      </x:c>
      <x:c r="W901" s="2" t="str"/>
      <x:c r="X901" s="2" t="str">
        <x:v>종결 근거 보관</x:v>
      </x:c>
      <x:c r="Y901" s="2" t="str">
        <x:v>ad210cd9ec132cfd447541c8984dc53d30aff0f4fb2dc92d254d49275cc55976</x:v>
      </x:c>
      <x:c r="Z901" s="2" t="n">
        <x:f>SUBTOTAL(103,A901)</x:f>
        <x:v>1</x:v>
      </x:c>
      <x:c r="AA901" s="2" t="str">
        <x:f>IF(K901&lt;&gt;"미종결 표시","대상 아님",IF(N901="","신청일 확인",IF(NOT(ISNUMBER('종합 현황'!$H$5)),"관찰기준 확인",IF('종합 현황'!$H$5&lt;1,"관찰기준 확인",IF(N901&gt;'종합 현황'!$H$5,"내부 관찰 대상","내부 관찰일 이하")))))</x:f>
        <x:v>대상 아님</x:v>
      </x:c>
      <x:c r="AB901" s="2"/>
    </x:row>
    <x:row r="902" ht="42" customHeight="1">
      <x:c r="A902" s="2" t="str">
        <x:v>5c5320ad766172acae42176a</x:v>
      </x:c>
      <x:c r="B902" s="2" t="str">
        <x:v>사업 평가</x:v>
      </x:c>
      <x:c r="C902" s="2" t="str">
        <x:v>국내</x:v>
      </x:c>
      <x:c r="D902" s="7" t="str">
        <x:v>(주)델릭스 고효율 공기압축기 교체를 통한 온실가스 감축사업</x:v>
      </x:c>
      <x:c r="E902" s="2" t="str">
        <x:v>763</x:v>
      </x:c>
      <x:c r="F902" s="2" t="str">
        <x:v>2021-04-30</x:v>
      </x:c>
      <x:c r="G902" s="2" t="str">
        <x:v>2021</x:v>
      </x:c>
      <x:c r="H902" s="2" t="str">
        <x:v>04</x:v>
      </x:c>
      <x:c r="I902" s="2" t="str">
        <x:v>반려</x:v>
      </x:c>
      <x:c r="J902" s="2" t="str">
        <x:v>반려</x:v>
      </x:c>
      <x:c r="K902" s="2" t="str">
        <x:f>IF(OR(J902="심의승인",J902="반려",J902="반려완료",J902="심의완료"),"종결 표시",IF(OR(J902="기후부협의",J902="문서재제출요청",J902="보류",J902="보완요청",J902="보완완료",J902="평가중",J902="반려요청",J902="평가필요",LEFT(J902,5)="보완요청("),"미종결 표시","상태 확인 필요"))</x:f>
        <x:v>종결 표시</x:v>
      </x:c>
      <x:c r="L902" s="2" t="str">
        <x:v>공단_신광수</x:v>
      </x:c>
      <x:c r="M902" s="2"/>
      <x:c r="N902" s="8" t="n">
        <x:f>DATE(2026,10,15)-DATE(2021,4,30)</x:f>
        <x:v>1994</x:v>
      </x:c>
      <x:c r="O902" s="2" t="str">
        <x:v>O(6월추가)</x:v>
      </x:c>
      <x:c r="P902" s="2"/>
      <x:c r="Q902" s="2" t="str">
        <x:v>산업전환_외부사업관리Tool_260707_이너젠 수정_LJY_261013.xlsx</x:v>
      </x:c>
      <x:c r="R902" s="2" t="str">
        <x:v>국내평가</x:v>
      </x:c>
      <x:c r="S902" s="8" t="n">
        <x:v>805</x:v>
      </x:c>
      <x:c r="T902" s="2" t="str">
        <x:v>(5/7),(6/28)</x:v>
      </x:c>
      <x:c r="U902" s="2" t="str">
        <x:v>2021 배정: (5/7),(6/28)</x:v>
      </x:c>
      <x:c r="V902" s="2" t="str">
        <x:v>2021-10-25</x:v>
      </x:c>
      <x:c r="W902" s="2" t="str"/>
      <x:c r="X902" s="2" t="str">
        <x:v>종결 근거 보관</x:v>
      </x:c>
      <x:c r="Y902" s="2" t="str">
        <x:v>ad210cd9ec132cfd447541c8984dc53d30aff0f4fb2dc92d254d49275cc55976</x:v>
      </x:c>
      <x:c r="Z902" s="2" t="n">
        <x:f>SUBTOTAL(103,A902)</x:f>
        <x:v>1</x:v>
      </x:c>
      <x:c r="AA902" s="2" t="str">
        <x:f>IF(K902&lt;&gt;"미종결 표시","대상 아님",IF(N902="","신청일 확인",IF(NOT(ISNUMBER('종합 현황'!$H$5)),"관찰기준 확인",IF('종합 현황'!$H$5&lt;1,"관찰기준 확인",IF(N902&gt;'종합 현황'!$H$5,"내부 관찰 대상","내부 관찰일 이하")))))</x:f>
        <x:v>대상 아님</x:v>
      </x:c>
      <x:c r="AB902" s="2"/>
    </x:row>
    <x:row r="903" ht="42" customHeight="1">
      <x:c r="A903" s="2" t="str">
        <x:v>2610e3c00d1b548436cb950a</x:v>
      </x:c>
      <x:c r="B903" s="2" t="str">
        <x:v>사업 평가</x:v>
      </x:c>
      <x:c r="C903" s="2" t="str">
        <x:v>국내</x:v>
      </x:c>
      <x:c r="D903" s="7" t="str">
        <x:v>(주)세명기업 진량3공장 고효율 공기압축기 교체를 통한 온실가스 감축사업</x:v>
      </x:c>
      <x:c r="E903" s="2" t="str">
        <x:v>764</x:v>
      </x:c>
      <x:c r="F903" s="2" t="str">
        <x:v>2019-06-27</x:v>
      </x:c>
      <x:c r="G903" s="2" t="str">
        <x:v>2019</x:v>
      </x:c>
      <x:c r="H903" s="2" t="str">
        <x:v>06</x:v>
      </x:c>
      <x:c r="I903" s="2" t="str">
        <x:v>승인</x:v>
      </x:c>
      <x:c r="J903" s="2" t="str">
        <x:v>심의승인</x:v>
      </x:c>
      <x:c r="K903" s="2" t="str">
        <x:f>IF(OR(J903="심의승인",J903="반려",J903="반려완료",J903="심의완료"),"종결 표시",IF(OR(J903="기후부협의",J903="문서재제출요청",J903="보류",J903="보완요청",J903="보완완료",J903="평가중",J903="반려요청",J903="평가필요",LEFT(J903,5)="보완요청("),"미종결 표시","상태 확인 필요"))</x:f>
        <x:v>종결 표시</x:v>
      </x:c>
      <x:c r="L903" s="2" t="str">
        <x:v>에코시안_박세은</x:v>
      </x:c>
      <x:c r="M903" s="2"/>
      <x:c r="N903" s="8" t="n">
        <x:f>DATE(2026,10,15)-DATE(2019,6,27)</x:f>
        <x:v>2667</x:v>
      </x:c>
      <x:c r="O903" s="2" t="str">
        <x:v>O(21.08)</x:v>
      </x:c>
      <x:c r="P903" s="2"/>
      <x:c r="Q903" s="2" t="str">
        <x:v>산업전환_외부사업관리Tool_260707_이너젠 수정_LJY_261013.xlsx</x:v>
      </x:c>
      <x:c r="R903" s="2" t="str">
        <x:v>국내평가</x:v>
      </x:c>
      <x:c r="S903" s="8" t="n">
        <x:v>806</x:v>
      </x:c>
      <x:c r="T903" s="2" t="str">
        <x:v>(7/12),(9/1),(12/1)</x:v>
      </x:c>
      <x:c r="U903" s="2" t="str">
        <x:v>2021 배정: (7/12),(9/1),(12/1) / 2022 배정: (4/19) / 2022 배정(신규): (6/10),(12/27) / 2023 배정: (2/17)</x:v>
      </x:c>
      <x:c r="V903" s="2" t="str">
        <x:v>2023-07-17</x:v>
      </x:c>
      <x:c r="W903" s="2" t="str"/>
      <x:c r="X903" s="2" t="str">
        <x:v>종결 근거 보관</x:v>
      </x:c>
      <x:c r="Y903" s="2" t="str">
        <x:v>ad210cd9ec132cfd447541c8984dc53d30aff0f4fb2dc92d254d49275cc55976</x:v>
      </x:c>
      <x:c r="Z903" s="2" t="n">
        <x:f>SUBTOTAL(103,A903)</x:f>
        <x:v>1</x:v>
      </x:c>
      <x:c r="AA903" s="2" t="str">
        <x:f>IF(K903&lt;&gt;"미종결 표시","대상 아님",IF(N903="","신청일 확인",IF(NOT(ISNUMBER('종합 현황'!$H$5)),"관찰기준 확인",IF('종합 현황'!$H$5&lt;1,"관찰기준 확인",IF(N903&gt;'종합 현황'!$H$5,"내부 관찰 대상","내부 관찰일 이하")))))</x:f>
        <x:v>대상 아님</x:v>
      </x:c>
      <x:c r="AB903" s="2"/>
    </x:row>
    <x:row r="904" ht="42" customHeight="1">
      <x:c r="A904" s="2" t="str">
        <x:v>247eee4b3e15e770447e594f</x:v>
      </x:c>
      <x:c r="B904" s="2" t="str">
        <x:v>사업 평가</x:v>
      </x:c>
      <x:c r="C904" s="2" t="str">
        <x:v>국내</x:v>
      </x:c>
      <x:c r="D904" s="7" t="str">
        <x:v>(주)고은산업  고효율 2단 인버터 PM Motor 공기압축기로 교체 사업</x:v>
      </x:c>
      <x:c r="E904" s="2" t="str">
        <x:v>765</x:v>
      </x:c>
      <x:c r="F904" s="2" t="str">
        <x:v>2021-01-19</x:v>
      </x:c>
      <x:c r="G904" s="2" t="str">
        <x:v>2021</x:v>
      </x:c>
      <x:c r="H904" s="2" t="str">
        <x:v>01</x:v>
      </x:c>
      <x:c r="I904" s="2" t="str">
        <x:v>반려</x:v>
      </x:c>
      <x:c r="J904" s="2" t="str">
        <x:v>반려</x:v>
      </x:c>
      <x:c r="K904" s="2" t="str">
        <x:f>IF(OR(J904="심의승인",J904="반려",J904="반려완료",J904="심의완료"),"종결 표시",IF(OR(J904="기후부협의",J904="문서재제출요청",J904="보류",J904="보완요청",J904="보완완료",J904="평가중",J904="반려요청",J904="평가필요",LEFT(J904,5)="보완요청("),"미종결 표시","상태 확인 필요"))</x:f>
        <x:v>종결 표시</x:v>
      </x:c>
      <x:c r="L904" s="2" t="str">
        <x:v>KECM_이태준</x:v>
      </x:c>
      <x:c r="M904" s="2"/>
      <x:c r="N904" s="8" t="n">
        <x:f>DATE(2026,10,15)-DATE(2021,1,19)</x:f>
        <x:v>2095</x:v>
      </x:c>
      <x:c r="O904" s="2" t="str">
        <x:v>O(22.07)</x:v>
      </x:c>
      <x:c r="P904" s="2"/>
      <x:c r="Q904" s="2" t="str">
        <x:v>산업전환_외부사업관리Tool_260707_이너젠 수정_LJY_261013.xlsx</x:v>
      </x:c>
      <x:c r="R904" s="2" t="str">
        <x:v>국내평가</x:v>
      </x:c>
      <x:c r="S904" s="8" t="n">
        <x:v>807</x:v>
      </x:c>
      <x:c r="T904" s="2" t="str">
        <x:v>(6/28),(12/1)</x:v>
      </x:c>
      <x:c r="U904" s="2" t="str">
        <x:v>2021 배정: (6/28),(12/1) / 2022 배정(신규): (6/10),(11/18) / 2023 배정: (2/17),(6/27) / 2024 배정: (2/5),(4/8) / 2025 배정: (3/5)</x:v>
      </x:c>
      <x:c r="V904" s="2" t="str">
        <x:v>2025-04-10</x:v>
      </x:c>
      <x:c r="W904" s="2" t="str"/>
      <x:c r="X904" s="2" t="str">
        <x:v>종결 근거 보관</x:v>
      </x:c>
      <x:c r="Y904" s="2" t="str">
        <x:v>ad210cd9ec132cfd447541c8984dc53d30aff0f4fb2dc92d254d49275cc55976</x:v>
      </x:c>
      <x:c r="Z904" s="2" t="n">
        <x:f>SUBTOTAL(103,A904)</x:f>
        <x:v>1</x:v>
      </x:c>
      <x:c r="AA904" s="2" t="str">
        <x:f>IF(K904&lt;&gt;"미종결 표시","대상 아님",IF(N904="","신청일 확인",IF(NOT(ISNUMBER('종합 현황'!$H$5)),"관찰기준 확인",IF('종합 현황'!$H$5&lt;1,"관찰기준 확인",IF(N904&gt;'종합 현황'!$H$5,"내부 관찰 대상","내부 관찰일 이하")))))</x:f>
        <x:v>대상 아님</x:v>
      </x:c>
      <x:c r="AB904" s="2"/>
    </x:row>
    <x:row r="905" ht="42" customHeight="1">
      <x:c r="A905" s="2" t="str">
        <x:v>db6abb98c6dadf6cbfb5c1ae</x:v>
      </x:c>
      <x:c r="B905" s="2" t="str">
        <x:v>사업 평가</x:v>
      </x:c>
      <x:c r="C905" s="2" t="str">
        <x:v>국내</x:v>
      </x:c>
      <x:c r="D905" s="7" t="str">
        <x:v>(주)그린이에스 연료전환(부생연료 2호 → LNG)을 통한 온실가스 배출 감축사업</x:v>
      </x:c>
      <x:c r="E905" s="2" t="str">
        <x:v>766</x:v>
      </x:c>
      <x:c r="F905" s="2" t="str">
        <x:v>2021-04-02</x:v>
      </x:c>
      <x:c r="G905" s="2" t="str">
        <x:v>2021</x:v>
      </x:c>
      <x:c r="H905" s="2" t="str">
        <x:v>04</x:v>
      </x:c>
      <x:c r="I905" s="2" t="str">
        <x:v>승인</x:v>
      </x:c>
      <x:c r="J905" s="2" t="str">
        <x:v>심의승인</x:v>
      </x:c>
      <x:c r="K905" s="2" t="str">
        <x:f>IF(OR(J905="심의승인",J905="반려",J905="반려완료",J905="심의완료"),"종결 표시",IF(OR(J905="기후부협의",J905="문서재제출요청",J905="보류",J905="보완요청",J905="보완완료",J905="평가중",J905="반려요청",J905="평가필요",LEFT(J905,5)="보완요청("),"미종결 표시","상태 확인 필요"))</x:f>
        <x:v>종결 표시</x:v>
      </x:c>
      <x:c r="L905" s="2"/>
      <x:c r="M905" s="2"/>
      <x:c r="N905" s="8" t="n">
        <x:f>DATE(2026,10,15)-DATE(2021,4,2)</x:f>
        <x:v>2022</x:v>
      </x:c>
      <x:c r="O905" s="2" t="str">
        <x:v>O(5월)</x:v>
      </x:c>
      <x:c r="P905" s="2"/>
      <x:c r="Q905" s="2" t="str">
        <x:v>산업전환_외부사업관리Tool_260707_이너젠 수정_LJY_261013.xlsx</x:v>
      </x:c>
      <x:c r="R905" s="2" t="str">
        <x:v>국내평가</x:v>
      </x:c>
      <x:c r="S905" s="8" t="n">
        <x:v>808</x:v>
      </x:c>
      <x:c r="T905" s="2" t="str">
        <x:v>2021년 처리</x:v>
      </x:c>
      <x:c r="U905" s="2" t="str">
        <x:v>2021 배정: 2021년 처리</x:v>
      </x:c>
      <x:c r="V905" s="2" t="str">
        <x:v>2021-10-19</x:v>
      </x:c>
      <x:c r="W905" s="2" t="str">
        <x:v>담당기관 확인</x:v>
      </x:c>
      <x:c r="X905" s="2" t="str">
        <x:v>원본·배정 기록 확인</x:v>
      </x:c>
      <x:c r="Y905" s="2" t="str">
        <x:v>ad210cd9ec132cfd447541c8984dc53d30aff0f4fb2dc92d254d49275cc55976</x:v>
      </x:c>
      <x:c r="Z905" s="2" t="n">
        <x:f>SUBTOTAL(103,A905)</x:f>
        <x:v>1</x:v>
      </x:c>
      <x:c r="AA905" s="2" t="str">
        <x:f>IF(K905&lt;&gt;"미종결 표시","대상 아님",IF(N905="","신청일 확인",IF(NOT(ISNUMBER('종합 현황'!$H$5)),"관찰기준 확인",IF('종합 현황'!$H$5&lt;1,"관찰기준 확인",IF(N905&gt;'종합 현황'!$H$5,"내부 관찰 대상","내부 관찰일 이하")))))</x:f>
        <x:v>대상 아님</x:v>
      </x:c>
      <x:c r="AB905" s="2"/>
    </x:row>
    <x:row r="906" ht="42" customHeight="1">
      <x:c r="A906" s="2" t="str">
        <x:v>15b4495c5a067df102eb31cc</x:v>
      </x:c>
      <x:c r="B906" s="2" t="str">
        <x:v>사업 평가</x:v>
      </x:c>
      <x:c r="C906" s="2" t="str">
        <x:v>국내</x:v>
      </x:c>
      <x:c r="D906" s="7" t="str">
        <x:v>주식회사 케이원모터스 고효율 공기압축기 교체를   통한 온실가스 감축사업</x:v>
      </x:c>
      <x:c r="E906" s="2" t="str">
        <x:v>767</x:v>
      </x:c>
      <x:c r="F906" s="2" t="str">
        <x:v>2021-04-30</x:v>
      </x:c>
      <x:c r="G906" s="2" t="str">
        <x:v>2021</x:v>
      </x:c>
      <x:c r="H906" s="2" t="str">
        <x:v>04</x:v>
      </x:c>
      <x:c r="I906" s="2" t="str">
        <x:v>반려</x:v>
      </x:c>
      <x:c r="J906" s="2" t="str">
        <x:v>반려</x:v>
      </x:c>
      <x:c r="K906" s="2" t="str">
        <x:f>IF(OR(J906="심의승인",J906="반려",J906="반려완료",J906="심의완료"),"종결 표시",IF(OR(J906="기후부협의",J906="문서재제출요청",J906="보류",J906="보완요청",J906="보완완료",J906="평가중",J906="반려요청",J906="평가필요",LEFT(J906,5)="보완요청("),"미종결 표시","상태 확인 필요"))</x:f>
        <x:v>종결 표시</x:v>
      </x:c>
      <x:c r="L906" s="2"/>
      <x:c r="M906" s="2"/>
      <x:c r="N906" s="8" t="n">
        <x:f>DATE(2026,10,15)-DATE(2021,4,30)</x:f>
        <x:v>1994</x:v>
      </x:c>
      <x:c r="O906" s="2"/>
      <x:c r="P906" s="2" t="str">
        <x:v>반려완료(재신청 예정)</x:v>
      </x:c>
      <x:c r="Q906" s="2" t="str">
        <x:v>산업전환_외부사업관리Tool_260707_이너젠 수정_LJY_261013.xlsx</x:v>
      </x:c>
      <x:c r="R906" s="2" t="str">
        <x:v>국내평가</x:v>
      </x:c>
      <x:c r="S906" s="8" t="n">
        <x:v>809</x:v>
      </x:c>
      <x:c r="T906" s="2" t="str">
        <x:v>2021년 처리</x:v>
      </x:c>
      <x:c r="U906" s="2" t="str">
        <x:v>2021 배정: 2021년 처리</x:v>
      </x:c>
      <x:c r="V906" s="2" t="str">
        <x:v>2021-06-30</x:v>
      </x:c>
      <x:c r="W906" s="2" t="str">
        <x:v>담당기관 확인</x:v>
      </x:c>
      <x:c r="X906" s="2" t="str">
        <x:v>원본·배정 기록 확인</x:v>
      </x:c>
      <x:c r="Y906" s="2" t="str">
        <x:v>ad210cd9ec132cfd447541c8984dc53d30aff0f4fb2dc92d254d49275cc55976</x:v>
      </x:c>
      <x:c r="Z906" s="2" t="n">
        <x:f>SUBTOTAL(103,A906)</x:f>
        <x:v>1</x:v>
      </x:c>
      <x:c r="AA906" s="2" t="str">
        <x:f>IF(K906&lt;&gt;"미종결 표시","대상 아님",IF(N906="","신청일 확인",IF(NOT(ISNUMBER('종합 현황'!$H$5)),"관찰기준 확인",IF('종합 현황'!$H$5&lt;1,"관찰기준 확인",IF(N906&gt;'종합 현황'!$H$5,"내부 관찰 대상","내부 관찰일 이하")))))</x:f>
        <x:v>대상 아님</x:v>
      </x:c>
      <x:c r="AB906" s="2"/>
    </x:row>
    <x:row r="907" ht="42" customHeight="1">
      <x:c r="A907" s="2" t="str">
        <x:v>51c9be465661a4675134dd8a</x:v>
      </x:c>
      <x:c r="B907" s="2" t="str">
        <x:v>사업 평가</x:v>
      </x:c>
      <x:c r="C907" s="2" t="str">
        <x:v>국내</x:v>
      </x:c>
      <x:c r="D907" s="7" t="str">
        <x:v>동성정공(주) 고효율 공기압축기 교체를 통한 온실가스 감축사업</x:v>
      </x:c>
      <x:c r="E907" s="2" t="str">
        <x:v>768</x:v>
      </x:c>
      <x:c r="F907" s="2" t="str">
        <x:v>2021-04-30</x:v>
      </x:c>
      <x:c r="G907" s="2" t="str">
        <x:v>2021</x:v>
      </x:c>
      <x:c r="H907" s="2" t="str">
        <x:v>04</x:v>
      </x:c>
      <x:c r="I907" s="2" t="str">
        <x:v>반려</x:v>
      </x:c>
      <x:c r="J907" s="2" t="str">
        <x:v>반려</x:v>
      </x:c>
      <x:c r="K907" s="2" t="str">
        <x:f>IF(OR(J907="심의승인",J907="반려",J907="반려완료",J907="심의완료"),"종결 표시",IF(OR(J907="기후부협의",J907="문서재제출요청",J907="보류",J907="보완요청",J907="보완완료",J907="평가중",J907="반려요청",J907="평가필요",LEFT(J907,5)="보완요청("),"미종결 표시","상태 확인 필요"))</x:f>
        <x:v>종결 표시</x:v>
      </x:c>
      <x:c r="L907" s="2" t="str">
        <x:v>공단_신광수</x:v>
      </x:c>
      <x:c r="M907" s="2"/>
      <x:c r="N907" s="8" t="n">
        <x:f>DATE(2026,10,15)-DATE(2021,4,30)</x:f>
        <x:v>1994</x:v>
      </x:c>
      <x:c r="O907" s="2"/>
      <x:c r="P907" s="2" t="str">
        <x:v>반려완료(재신청 예정)</x:v>
      </x:c>
      <x:c r="Q907" s="2" t="str">
        <x:v>산업전환_외부사업관리Tool_260707_이너젠 수정_LJY_261013.xlsx</x:v>
      </x:c>
      <x:c r="R907" s="2" t="str">
        <x:v>국내평가</x:v>
      </x:c>
      <x:c r="S907" s="8" t="n">
        <x:v>810</x:v>
      </x:c>
      <x:c r="T907" s="2" t="str">
        <x:v>(5/7)</x:v>
      </x:c>
      <x:c r="U907" s="2" t="str">
        <x:v>2021 배정: (5/7)</x:v>
      </x:c>
      <x:c r="V907" s="2" t="str">
        <x:v>2021-06-30</x:v>
      </x:c>
      <x:c r="W907" s="2" t="str"/>
      <x:c r="X907" s="2" t="str">
        <x:v>종결 근거 보관</x:v>
      </x:c>
      <x:c r="Y907" s="2" t="str">
        <x:v>ad210cd9ec132cfd447541c8984dc53d30aff0f4fb2dc92d254d49275cc55976</x:v>
      </x:c>
      <x:c r="Z907" s="2" t="n">
        <x:f>SUBTOTAL(103,A907)</x:f>
        <x:v>1</x:v>
      </x:c>
      <x:c r="AA907" s="2" t="str">
        <x:f>IF(K907&lt;&gt;"미종결 표시","대상 아님",IF(N907="","신청일 확인",IF(NOT(ISNUMBER('종합 현황'!$H$5)),"관찰기준 확인",IF('종합 현황'!$H$5&lt;1,"관찰기준 확인",IF(N907&gt;'종합 현황'!$H$5,"내부 관찰 대상","내부 관찰일 이하")))))</x:f>
        <x:v>대상 아님</x:v>
      </x:c>
      <x:c r="AB907" s="2"/>
    </x:row>
    <x:row r="908" ht="42" customHeight="1">
      <x:c r="A908" s="2" t="str">
        <x:v>085b447d40cf3f78e1ee88ee</x:v>
      </x:c>
      <x:c r="B908" s="2" t="str">
        <x:v>사업 평가</x:v>
      </x:c>
      <x:c r="C908" s="2" t="str">
        <x:v>국내</x:v>
      </x:c>
      <x:c r="D908" s="7" t="str">
        <x:v>삼원테크노 (주) 고효율 공기압축기 교체를 통한  온실가스 감축사업</x:v>
      </x:c>
      <x:c r="E908" s="2" t="str">
        <x:v>769</x:v>
      </x:c>
      <x:c r="F908" s="2" t="str">
        <x:v>2021-04-30</x:v>
      </x:c>
      <x:c r="G908" s="2" t="str">
        <x:v>2021</x:v>
      </x:c>
      <x:c r="H908" s="2" t="str">
        <x:v>04</x:v>
      </x:c>
      <x:c r="I908" s="2" t="str">
        <x:v>반려</x:v>
      </x:c>
      <x:c r="J908" s="2" t="str">
        <x:v>반려</x:v>
      </x:c>
      <x:c r="K908" s="2" t="str">
        <x:f>IF(OR(J908="심의승인",J908="반려",J908="반려완료",J908="심의완료"),"종결 표시",IF(OR(J908="기후부협의",J908="문서재제출요청",J908="보류",J908="보완요청",J908="보완완료",J908="평가중",J908="반려요청",J908="평가필요",LEFT(J908,5)="보완요청("),"미종결 표시","상태 확인 필요"))</x:f>
        <x:v>종결 표시</x:v>
      </x:c>
      <x:c r="L908" s="2" t="str">
        <x:v>KECM</x:v>
      </x:c>
      <x:c r="M908" s="2"/>
      <x:c r="N908" s="8" t="n">
        <x:f>DATE(2026,10,15)-DATE(2021,4,30)</x:f>
        <x:v>1994</x:v>
      </x:c>
      <x:c r="O908" s="2"/>
      <x:c r="P908" s="2" t="str">
        <x:v>반려완료(재신청 예정)</x:v>
      </x:c>
      <x:c r="Q908" s="2" t="str">
        <x:v>산업전환_외부사업관리Tool_260707_이너젠 수정_LJY_261013.xlsx</x:v>
      </x:c>
      <x:c r="R908" s="2" t="str">
        <x:v>국내평가</x:v>
      </x:c>
      <x:c r="S908" s="8" t="n">
        <x:v>811</x:v>
      </x:c>
      <x:c r="T908" s="2" t="str">
        <x:v>(5/7)</x:v>
      </x:c>
      <x:c r="U908" s="2" t="str">
        <x:v>2021 배정: (5/7)</x:v>
      </x:c>
      <x:c r="V908" s="2" t="str">
        <x:v>2021-06-30</x:v>
      </x:c>
      <x:c r="W908" s="2" t="str"/>
      <x:c r="X908" s="2" t="str">
        <x:v>종결 근거 보관</x:v>
      </x:c>
      <x:c r="Y908" s="2" t="str">
        <x:v>ad210cd9ec132cfd447541c8984dc53d30aff0f4fb2dc92d254d49275cc55976</x:v>
      </x:c>
      <x:c r="Z908" s="2" t="n">
        <x:f>SUBTOTAL(103,A908)</x:f>
        <x:v>1</x:v>
      </x:c>
      <x:c r="AA908" s="2" t="str">
        <x:f>IF(K908&lt;&gt;"미종결 표시","대상 아님",IF(N908="","신청일 확인",IF(NOT(ISNUMBER('종합 현황'!$H$5)),"관찰기준 확인",IF('종합 현황'!$H$5&lt;1,"관찰기준 확인",IF(N908&gt;'종합 현황'!$H$5,"내부 관찰 대상","내부 관찰일 이하")))))</x:f>
        <x:v>대상 아님</x:v>
      </x:c>
      <x:c r="AB908" s="2"/>
    </x:row>
    <x:row r="909" ht="42" customHeight="1">
      <x:c r="A909" s="2" t="str">
        <x:v>ceb3013582d9897c7cc18290</x:v>
      </x:c>
      <x:c r="B909" s="2" t="str">
        <x:v>사업 평가</x:v>
      </x:c>
      <x:c r="C909" s="2" t="str">
        <x:v>국내</x:v>
      </x:c>
      <x:c r="D909" s="7" t="str">
        <x:v>디에이치테크 고효율 공기압축기 교체를 통한 온실가스 감축사업</x:v>
      </x:c>
      <x:c r="E909" s="2" t="str">
        <x:v>770</x:v>
      </x:c>
      <x:c r="F909" s="2" t="str">
        <x:v>2021-04-30</x:v>
      </x:c>
      <x:c r="G909" s="2" t="str">
        <x:v>2021</x:v>
      </x:c>
      <x:c r="H909" s="2" t="str">
        <x:v>04</x:v>
      </x:c>
      <x:c r="I909" s="2" t="str">
        <x:v>반려</x:v>
      </x:c>
      <x:c r="J909" s="2" t="str">
        <x:v>반려</x:v>
      </x:c>
      <x:c r="K909" s="2" t="str">
        <x:f>IF(OR(J909="심의승인",J909="반려",J909="반려완료",J909="심의완료"),"종결 표시",IF(OR(J909="기후부협의",J909="문서재제출요청",J909="보류",J909="보완요청",J909="보완완료",J909="평가중",J909="반려요청",J909="평가필요",LEFT(J909,5)="보완요청("),"미종결 표시","상태 확인 필요"))</x:f>
        <x:v>종결 표시</x:v>
      </x:c>
      <x:c r="L909" s="2" t="str">
        <x:v>KECM</x:v>
      </x:c>
      <x:c r="M909" s="2"/>
      <x:c r="N909" s="8" t="n">
        <x:f>DATE(2026,10,15)-DATE(2021,4,30)</x:f>
        <x:v>1994</x:v>
      </x:c>
      <x:c r="O909" s="2" t="str">
        <x:v>O(6월)</x:v>
      </x:c>
      <x:c r="P909" s="2" t="str">
        <x:v>반려완료(재신청 예정)</x:v>
      </x:c>
      <x:c r="Q909" s="2" t="str">
        <x:v>산업전환_외부사업관리Tool_260707_이너젠 수정_LJY_261013.xlsx</x:v>
      </x:c>
      <x:c r="R909" s="2" t="str">
        <x:v>국내평가</x:v>
      </x:c>
      <x:c r="S909" s="8" t="n">
        <x:v>812</x:v>
      </x:c>
      <x:c r="T909" s="2" t="str">
        <x:v>(5/7)</x:v>
      </x:c>
      <x:c r="U909" s="2" t="str">
        <x:v>2021 배정: (5/7)</x:v>
      </x:c>
      <x:c r="V909" s="2" t="str">
        <x:v>2021-06-30</x:v>
      </x:c>
      <x:c r="W909" s="2" t="str"/>
      <x:c r="X909" s="2" t="str">
        <x:v>종결 근거 보관</x:v>
      </x:c>
      <x:c r="Y909" s="2" t="str">
        <x:v>ad210cd9ec132cfd447541c8984dc53d30aff0f4fb2dc92d254d49275cc55976</x:v>
      </x:c>
      <x:c r="Z909" s="2" t="n">
        <x:f>SUBTOTAL(103,A909)</x:f>
        <x:v>1</x:v>
      </x:c>
      <x:c r="AA909" s="2" t="str">
        <x:f>IF(K909&lt;&gt;"미종결 표시","대상 아님",IF(N909="","신청일 확인",IF(NOT(ISNUMBER('종합 현황'!$H$5)),"관찰기준 확인",IF('종합 현황'!$H$5&lt;1,"관찰기준 확인",IF(N909&gt;'종합 현황'!$H$5,"내부 관찰 대상","내부 관찰일 이하")))))</x:f>
        <x:v>대상 아님</x:v>
      </x:c>
      <x:c r="AB909" s="2"/>
    </x:row>
    <x:row r="910" ht="42" customHeight="1">
      <x:c r="A910" s="2" t="str">
        <x:v>d21bf24dd4819c31a8997070</x:v>
      </x:c>
      <x:c r="B910" s="2" t="str">
        <x:v>사업 평가</x:v>
      </x:c>
      <x:c r="C910" s="2" t="str">
        <x:v>국내</x:v>
      </x:c>
      <x:c r="D910" s="7" t="str">
        <x:v>삼흥정공(주)사천공장 고효율 공기압축기 교체를 통한  온실가스 감축사업</x:v>
      </x:c>
      <x:c r="E910" s="2" t="str">
        <x:v>771</x:v>
      </x:c>
      <x:c r="F910" s="2" t="str">
        <x:v>2021-04-30</x:v>
      </x:c>
      <x:c r="G910" s="2" t="str">
        <x:v>2021</x:v>
      </x:c>
      <x:c r="H910" s="2" t="str">
        <x:v>04</x:v>
      </x:c>
      <x:c r="I910" s="2" t="str">
        <x:v>반려</x:v>
      </x:c>
      <x:c r="J910" s="2" t="str">
        <x:v>반려</x:v>
      </x:c>
      <x:c r="K910" s="2" t="str">
        <x:f>IF(OR(J910="심의승인",J910="반려",J910="반려완료",J910="심의완료"),"종결 표시",IF(OR(J910="기후부협의",J910="문서재제출요청",J910="보류",J910="보완요청",J910="보완완료",J910="평가중",J910="반려요청",J910="평가필요",LEFT(J910,5)="보완요청("),"미종결 표시","상태 확인 필요"))</x:f>
        <x:v>종결 표시</x:v>
      </x:c>
      <x:c r="L910" s="2" t="str">
        <x:v>KECM</x:v>
      </x:c>
      <x:c r="M910" s="2"/>
      <x:c r="N910" s="8" t="n">
        <x:f>DATE(2026,10,15)-DATE(2021,4,30)</x:f>
        <x:v>1994</x:v>
      </x:c>
      <x:c r="O910" s="2"/>
      <x:c r="P910" s="2" t="str">
        <x:v>반려완료(재신청 예정)</x:v>
      </x:c>
      <x:c r="Q910" s="2" t="str">
        <x:v>산업전환_외부사업관리Tool_260707_이너젠 수정_LJY_261013.xlsx</x:v>
      </x:c>
      <x:c r="R910" s="2" t="str">
        <x:v>국내평가</x:v>
      </x:c>
      <x:c r="S910" s="8" t="n">
        <x:v>813</x:v>
      </x:c>
      <x:c r="T910" s="2" t="str">
        <x:v>(5/7),(7/12)</x:v>
      </x:c>
      <x:c r="U910" s="2" t="str">
        <x:v>2021 배정: (5/7),(7/12)</x:v>
      </x:c>
      <x:c r="V910" s="2" t="str">
        <x:v>2021-06-30</x:v>
      </x:c>
      <x:c r="W910" s="2" t="str"/>
      <x:c r="X910" s="2" t="str">
        <x:v>종결 근거 보관</x:v>
      </x:c>
      <x:c r="Y910" s="2" t="str">
        <x:v>ad210cd9ec132cfd447541c8984dc53d30aff0f4fb2dc92d254d49275cc55976</x:v>
      </x:c>
      <x:c r="Z910" s="2" t="n">
        <x:f>SUBTOTAL(103,A910)</x:f>
        <x:v>1</x:v>
      </x:c>
      <x:c r="AA910" s="2" t="str">
        <x:f>IF(K910&lt;&gt;"미종결 표시","대상 아님",IF(N910="","신청일 확인",IF(NOT(ISNUMBER('종합 현황'!$H$5)),"관찰기준 확인",IF('종합 현황'!$H$5&lt;1,"관찰기준 확인",IF(N910&gt;'종합 현황'!$H$5,"내부 관찰 대상","내부 관찰일 이하")))))</x:f>
        <x:v>대상 아님</x:v>
      </x:c>
      <x:c r="AB910" s="2"/>
    </x:row>
    <x:row r="911" ht="42" customHeight="1">
      <x:c r="A911" s="2" t="str">
        <x:v>3ec5cc7c210c9366b46f5511</x:v>
      </x:c>
      <x:c r="B911" s="2" t="str">
        <x:v>사업 평가</x:v>
      </x:c>
      <x:c r="C911" s="2" t="str">
        <x:v>국내</x:v>
      </x:c>
      <x:c r="D911" s="7" t="str">
        <x:v>삼흥정공(주)사천공장 고효율 공기압축기 교체를 통한  온실가스 감축사업</x:v>
      </x:c>
      <x:c r="E911" s="2" t="str">
        <x:v>772</x:v>
      </x:c>
      <x:c r="F911" s="2" t="str">
        <x:v>2021-04-30</x:v>
      </x:c>
      <x:c r="G911" s="2" t="str">
        <x:v>2021</x:v>
      </x:c>
      <x:c r="H911" s="2" t="str">
        <x:v>04</x:v>
      </x:c>
      <x:c r="I911" s="2" t="str">
        <x:v>반려</x:v>
      </x:c>
      <x:c r="J911" s="2" t="str">
        <x:v>반려</x:v>
      </x:c>
      <x:c r="K911" s="2" t="str">
        <x:f>IF(OR(J911="심의승인",J911="반려",J911="반려완료",J911="심의완료"),"종결 표시",IF(OR(J911="기후부협의",J911="문서재제출요청",J911="보류",J911="보완요청",J911="보완완료",J911="평가중",J911="반려요청",J911="평가필요",LEFT(J911,5)="보완요청("),"미종결 표시","상태 확인 필요"))</x:f>
        <x:v>종결 표시</x:v>
      </x:c>
      <x:c r="L911" s="2" t="str">
        <x:v>KECM</x:v>
      </x:c>
      <x:c r="M911" s="2"/>
      <x:c r="N911" s="8" t="n">
        <x:f>DATE(2026,10,15)-DATE(2021,4,30)</x:f>
        <x:v>1994</x:v>
      </x:c>
      <x:c r="O911" s="2"/>
      <x:c r="P911" s="2"/>
      <x:c r="Q911" s="2" t="str">
        <x:v>산업전환_외부사업관리Tool_260707_이너젠 수정_LJY_261013.xlsx</x:v>
      </x:c>
      <x:c r="R911" s="2" t="str">
        <x:v>국내평가</x:v>
      </x:c>
      <x:c r="S911" s="8" t="n">
        <x:v>814</x:v>
      </x:c>
      <x:c r="T911" s="2" t="str">
        <x:v>(5/7),(7/12)</x:v>
      </x:c>
      <x:c r="U911" s="2" t="str">
        <x:v>2021 배정: (5/7),(7/12)</x:v>
      </x:c>
      <x:c r="V911" s="2" t="str">
        <x:v>2021-06-30</x:v>
      </x:c>
      <x:c r="W911" s="2" t="str"/>
      <x:c r="X911" s="2" t="str">
        <x:v>종결 근거 보관</x:v>
      </x:c>
      <x:c r="Y911" s="2" t="str">
        <x:v>ad210cd9ec132cfd447541c8984dc53d30aff0f4fb2dc92d254d49275cc55976</x:v>
      </x:c>
      <x:c r="Z911" s="2" t="n">
        <x:f>SUBTOTAL(103,A911)</x:f>
        <x:v>1</x:v>
      </x:c>
      <x:c r="AA911" s="2" t="str">
        <x:f>IF(K911&lt;&gt;"미종결 표시","대상 아님",IF(N911="","신청일 확인",IF(NOT(ISNUMBER('종합 현황'!$H$5)),"관찰기준 확인",IF('종합 현황'!$H$5&lt;1,"관찰기준 확인",IF(N911&gt;'종합 현황'!$H$5,"내부 관찰 대상","내부 관찰일 이하")))))</x:f>
        <x:v>대상 아님</x:v>
      </x:c>
      <x:c r="AB911" s="2"/>
    </x:row>
    <x:row r="912" ht="42" customHeight="1">
      <x:c r="A912" s="2" t="str">
        <x:v>52786086e4860f2a378318c4</x:v>
      </x:c>
      <x:c r="B912" s="2" t="str">
        <x:v>사업 평가</x:v>
      </x:c>
      <x:c r="C912" s="2" t="str">
        <x:v>국내</x:v>
      </x:c>
      <x:c r="D912" s="7" t="str">
        <x:v>에이스침대 중부공장의 B-C유에서 도시가스(LNG)로 연료전환을 통한 온실가스 배출 감축사업</x:v>
      </x:c>
      <x:c r="E912" s="2" t="str">
        <x:v>773</x:v>
      </x:c>
      <x:c r="F912" s="2" t="str">
        <x:v>2019-04-02</x:v>
      </x:c>
      <x:c r="G912" s="2" t="str">
        <x:v>2019</x:v>
      </x:c>
      <x:c r="H912" s="2" t="str">
        <x:v>04</x:v>
      </x:c>
      <x:c r="I912" s="2" t="str">
        <x:v>승인</x:v>
      </x:c>
      <x:c r="J912" s="2" t="str">
        <x:v>심의승인</x:v>
      </x:c>
      <x:c r="K912" s="2" t="str">
        <x:f>IF(OR(J912="심의승인",J912="반려",J912="반려완료",J912="심의완료"),"종결 표시",IF(OR(J912="기후부협의",J912="문서재제출요청",J912="보류",J912="보완요청",J912="보완완료",J912="평가중",J912="반려요청",J912="평가필요",LEFT(J912,5)="보완요청("),"미종결 표시","상태 확인 필요"))</x:f>
        <x:v>종결 표시</x:v>
      </x:c>
      <x:c r="L912" s="2" t="str">
        <x:v>에코시안_정인혜&gt;박세은</x:v>
      </x:c>
      <x:c r="M912" s="2"/>
      <x:c r="N912" s="8" t="n">
        <x:f>DATE(2026,10,15)-DATE(2019,4,2)</x:f>
        <x:v>2753</x:v>
      </x:c>
      <x:c r="O912" s="2" t="str">
        <x:v>O(21.07)</x:v>
      </x:c>
      <x:c r="P912" s="2" t="str">
        <x:v>9월 인증위 상정 필요, 자료요청 기능 개발 전 협의 완료 건(추후 평가승인 처리 및 협의기능 미사용)</x:v>
      </x:c>
      <x:c r="Q912" s="2" t="str">
        <x:v>산업전환_외부사업관리Tool_260707_이너젠 수정_LJY_261013.xlsx</x:v>
      </x:c>
      <x:c r="R912" s="2" t="str">
        <x:v>국내평가</x:v>
      </x:c>
      <x:c r="S912" s="8" t="n">
        <x:v>815</x:v>
      </x:c>
      <x:c r="T912" s="2" t="str">
        <x:v>(6/28),(9/1)</x:v>
      </x:c>
      <x:c r="U912" s="2" t="str">
        <x:v>2021 배정: (6/28),(9/1) / 2022 배정(신규): (7/13),(8/16),(10/19)</x:v>
      </x:c>
      <x:c r="V912" s="2" t="str">
        <x:v>2024-01-12</x:v>
      </x:c>
      <x:c r="W912" s="2" t="str"/>
      <x:c r="X912" s="2" t="str">
        <x:v>종결 근거 보관</x:v>
      </x:c>
      <x:c r="Y912" s="2" t="str">
        <x:v>ad210cd9ec132cfd447541c8984dc53d30aff0f4fb2dc92d254d49275cc55976</x:v>
      </x:c>
      <x:c r="Z912" s="2" t="n">
        <x:f>SUBTOTAL(103,A912)</x:f>
        <x:v>1</x:v>
      </x:c>
      <x:c r="AA912" s="2" t="str">
        <x:f>IF(K912&lt;&gt;"미종결 표시","대상 아님",IF(N912="","신청일 확인",IF(NOT(ISNUMBER('종합 현황'!$H$5)),"관찰기준 확인",IF('종합 현황'!$H$5&lt;1,"관찰기준 확인",IF(N912&gt;'종합 현황'!$H$5,"내부 관찰 대상","내부 관찰일 이하")))))</x:f>
        <x:v>대상 아님</x:v>
      </x:c>
      <x:c r="AB912" s="2"/>
    </x:row>
    <x:row r="913" ht="42" customHeight="1">
      <x:c r="A913" s="2" t="str">
        <x:v>1441c79c05b9abb0a9bf6140</x:v>
      </x:c>
      <x:c r="B913" s="2" t="str">
        <x:v>사업 평가</x:v>
      </x:c>
      <x:c r="C913" s="2" t="str">
        <x:v>국내</x:v>
      </x:c>
      <x:c r="D913" s="7" t="str">
        <x:v>명진공업(주) 고효율 공기압축기 교체를 통한 온실가스 감축사업</x:v>
      </x:c>
      <x:c r="E913" s="2" t="str">
        <x:v>774</x:v>
      </x:c>
      <x:c r="F913" s="2" t="str">
        <x:v>2021-04-30</x:v>
      </x:c>
      <x:c r="G913" s="2" t="str">
        <x:v>2021</x:v>
      </x:c>
      <x:c r="H913" s="2" t="str">
        <x:v>04</x:v>
      </x:c>
      <x:c r="I913" s="2" t="str">
        <x:v>반려</x:v>
      </x:c>
      <x:c r="J913" s="2" t="str">
        <x:v>반려</x:v>
      </x:c>
      <x:c r="K913" s="2" t="str">
        <x:f>IF(OR(J913="심의승인",J913="반려",J913="반려완료",J913="심의완료"),"종결 표시",IF(OR(J913="기후부협의",J913="문서재제출요청",J913="보류",J913="보완요청",J913="보완완료",J913="평가중",J913="반려요청",J913="평가필요",LEFT(J913,5)="보완요청("),"미종결 표시","상태 확인 필요"))</x:f>
        <x:v>종결 표시</x:v>
      </x:c>
      <x:c r="L913" s="2" t="str">
        <x:v>KECM</x:v>
      </x:c>
      <x:c r="M913" s="2"/>
      <x:c r="N913" s="8" t="n">
        <x:f>DATE(2026,10,15)-DATE(2021,4,30)</x:f>
        <x:v>1994</x:v>
      </x:c>
      <x:c r="O913" s="2"/>
      <x:c r="P913" s="2" t="str">
        <x:v>반려완료(재신청 예정)</x:v>
      </x:c>
      <x:c r="Q913" s="2" t="str">
        <x:v>산업전환_외부사업관리Tool_260707_이너젠 수정_LJY_261013.xlsx</x:v>
      </x:c>
      <x:c r="R913" s="2" t="str">
        <x:v>국내평가</x:v>
      </x:c>
      <x:c r="S913" s="8" t="n">
        <x:v>816</x:v>
      </x:c>
      <x:c r="T913" s="2" t="str">
        <x:v>(5/7),(7/12)</x:v>
      </x:c>
      <x:c r="U913" s="2" t="str">
        <x:v>2021 배정: (5/7),(7/12)</x:v>
      </x:c>
      <x:c r="V913" s="2" t="str">
        <x:v>2021-06-30</x:v>
      </x:c>
      <x:c r="W913" s="2" t="str"/>
      <x:c r="X913" s="2" t="str">
        <x:v>종결 근거 보관</x:v>
      </x:c>
      <x:c r="Y913" s="2" t="str">
        <x:v>ad210cd9ec132cfd447541c8984dc53d30aff0f4fb2dc92d254d49275cc55976</x:v>
      </x:c>
      <x:c r="Z913" s="2" t="n">
        <x:f>SUBTOTAL(103,A913)</x:f>
        <x:v>1</x:v>
      </x:c>
      <x:c r="AA913" s="2" t="str">
        <x:f>IF(K913&lt;&gt;"미종결 표시","대상 아님",IF(N913="","신청일 확인",IF(NOT(ISNUMBER('종합 현황'!$H$5)),"관찰기준 확인",IF('종합 현황'!$H$5&lt;1,"관찰기준 확인",IF(N913&gt;'종합 현황'!$H$5,"내부 관찰 대상","내부 관찰일 이하")))))</x:f>
        <x:v>대상 아님</x:v>
      </x:c>
      <x:c r="AB913" s="2"/>
    </x:row>
    <x:row r="914" ht="42" customHeight="1">
      <x:c r="A914" s="2" t="str">
        <x:v>48d6b6a53e492138098220e3</x:v>
      </x:c>
      <x:c r="B914" s="2" t="str">
        <x:v>사업 평가</x:v>
      </x:c>
      <x:c r="C914" s="2" t="str">
        <x:v>국내</x:v>
      </x:c>
      <x:c r="D914" s="7" t="str">
        <x:v>명진공업(주) 고효율 공기압축기 교체를 통한 온실가스 감축사업</x:v>
      </x:c>
      <x:c r="E914" s="2" t="str">
        <x:v>775</x:v>
      </x:c>
      <x:c r="F914" s="2" t="str">
        <x:v>2021-04-30</x:v>
      </x:c>
      <x:c r="G914" s="2" t="str">
        <x:v>2021</x:v>
      </x:c>
      <x:c r="H914" s="2" t="str">
        <x:v>04</x:v>
      </x:c>
      <x:c r="I914" s="2" t="str">
        <x:v>반려</x:v>
      </x:c>
      <x:c r="J914" s="2" t="str">
        <x:v>반려</x:v>
      </x:c>
      <x:c r="K914" s="2" t="str">
        <x:f>IF(OR(J914="심의승인",J914="반려",J914="반려완료",J914="심의완료"),"종결 표시",IF(OR(J914="기후부협의",J914="문서재제출요청",J914="보류",J914="보완요청",J914="보완완료",J914="평가중",J914="반려요청",J914="평가필요",LEFT(J914,5)="보완요청("),"미종결 표시","상태 확인 필요"))</x:f>
        <x:v>종결 표시</x:v>
      </x:c>
      <x:c r="L914" s="2" t="str">
        <x:v>KECM</x:v>
      </x:c>
      <x:c r="M914" s="2"/>
      <x:c r="N914" s="8" t="n">
        <x:f>DATE(2026,10,15)-DATE(2021,4,30)</x:f>
        <x:v>1994</x:v>
      </x:c>
      <x:c r="O914" s="2"/>
      <x:c r="P914" s="2"/>
      <x:c r="Q914" s="2" t="str">
        <x:v>산업전환_외부사업관리Tool_260707_이너젠 수정_LJY_261013.xlsx</x:v>
      </x:c>
      <x:c r="R914" s="2" t="str">
        <x:v>국내평가</x:v>
      </x:c>
      <x:c r="S914" s="8" t="n">
        <x:v>817</x:v>
      </x:c>
      <x:c r="T914" s="2" t="str">
        <x:v>(5/7),(7/12)</x:v>
      </x:c>
      <x:c r="U914" s="2" t="str">
        <x:v>2021 배정: (5/7),(7/12)</x:v>
      </x:c>
      <x:c r="V914" s="2" t="str">
        <x:v>2021-08-05</x:v>
      </x:c>
      <x:c r="W914" s="2" t="str"/>
      <x:c r="X914" s="2" t="str">
        <x:v>종결 근거 보관</x:v>
      </x:c>
      <x:c r="Y914" s="2" t="str">
        <x:v>ad210cd9ec132cfd447541c8984dc53d30aff0f4fb2dc92d254d49275cc55976</x:v>
      </x:c>
      <x:c r="Z914" s="2" t="n">
        <x:f>SUBTOTAL(103,A914)</x:f>
        <x:v>1</x:v>
      </x:c>
      <x:c r="AA914" s="2" t="str">
        <x:f>IF(K914&lt;&gt;"미종결 표시","대상 아님",IF(N914="","신청일 확인",IF(NOT(ISNUMBER('종합 현황'!$H$5)),"관찰기준 확인",IF('종합 현황'!$H$5&lt;1,"관찰기준 확인",IF(N914&gt;'종합 현황'!$H$5,"내부 관찰 대상","내부 관찰일 이하")))))</x:f>
        <x:v>대상 아님</x:v>
      </x:c>
      <x:c r="AB914" s="2"/>
    </x:row>
    <x:row r="915" ht="42" customHeight="1">
      <x:c r="A915" s="2" t="str">
        <x:v>a947c662131239541d8bb2fd</x:v>
      </x:c>
      <x:c r="B915" s="2" t="str">
        <x:v>사업 평가</x:v>
      </x:c>
      <x:c r="C915" s="2" t="str">
        <x:v>국내</x:v>
      </x:c>
      <x:c r="D915" s="7" t="str">
        <x:v>성광정밀 고효율 공기압축기 교체를 통한 온실가스 감축사업</x:v>
      </x:c>
      <x:c r="E915" s="2" t="str">
        <x:v>776</x:v>
      </x:c>
      <x:c r="F915" s="2" t="str">
        <x:v>2021-04-30</x:v>
      </x:c>
      <x:c r="G915" s="2" t="str">
        <x:v>2021</x:v>
      </x:c>
      <x:c r="H915" s="2" t="str">
        <x:v>04</x:v>
      </x:c>
      <x:c r="I915" s="2" t="str">
        <x:v>반려</x:v>
      </x:c>
      <x:c r="J915" s="2" t="str">
        <x:v>반려</x:v>
      </x:c>
      <x:c r="K915" s="2" t="str">
        <x:f>IF(OR(J915="심의승인",J915="반려",J915="반려완료",J915="심의완료"),"종결 표시",IF(OR(J915="기후부협의",J915="문서재제출요청",J915="보류",J915="보완요청",J915="보완완료",J915="평가중",J915="반려요청",J915="평가필요",LEFT(J915,5)="보완요청("),"미종결 표시","상태 확인 필요"))</x:f>
        <x:v>종결 표시</x:v>
      </x:c>
      <x:c r="L915" s="2" t="str">
        <x:v>KECM</x:v>
      </x:c>
      <x:c r="M915" s="2"/>
      <x:c r="N915" s="8" t="n">
        <x:f>DATE(2026,10,15)-DATE(2021,4,30)</x:f>
        <x:v>1994</x:v>
      </x:c>
      <x:c r="O915" s="2" t="str">
        <x:v>O(6월)</x:v>
      </x:c>
      <x:c r="P915" s="2" t="str">
        <x:v>반려완료(재신청 예정)</x:v>
      </x:c>
      <x:c r="Q915" s="2" t="str">
        <x:v>산업전환_외부사업관리Tool_260707_이너젠 수정_LJY_261013.xlsx</x:v>
      </x:c>
      <x:c r="R915" s="2" t="str">
        <x:v>국내평가</x:v>
      </x:c>
      <x:c r="S915" s="8" t="n">
        <x:v>818</x:v>
      </x:c>
      <x:c r="T915" s="2" t="str">
        <x:v>(5/7)</x:v>
      </x:c>
      <x:c r="U915" s="2" t="str">
        <x:v>2021 배정: (5/7)</x:v>
      </x:c>
      <x:c r="V915" s="2" t="str">
        <x:v>2021-06-30</x:v>
      </x:c>
      <x:c r="W915" s="2" t="str"/>
      <x:c r="X915" s="2" t="str">
        <x:v>종결 근거 보관</x:v>
      </x:c>
      <x:c r="Y915" s="2" t="str">
        <x:v>ad210cd9ec132cfd447541c8984dc53d30aff0f4fb2dc92d254d49275cc55976</x:v>
      </x:c>
      <x:c r="Z915" s="2" t="n">
        <x:f>SUBTOTAL(103,A915)</x:f>
        <x:v>1</x:v>
      </x:c>
      <x:c r="AA915" s="2" t="str">
        <x:f>IF(K915&lt;&gt;"미종결 표시","대상 아님",IF(N915="","신청일 확인",IF(NOT(ISNUMBER('종합 현황'!$H$5)),"관찰기준 확인",IF('종합 현황'!$H$5&lt;1,"관찰기준 확인",IF(N915&gt;'종합 현황'!$H$5,"내부 관찰 대상","내부 관찰일 이하")))))</x:f>
        <x:v>대상 아님</x:v>
      </x:c>
      <x:c r="AB915" s="2"/>
    </x:row>
    <x:row r="916" ht="42" customHeight="1">
      <x:c r="A916" s="2" t="str">
        <x:v>4488e50be5535ac0e980a35b</x:v>
      </x:c>
      <x:c r="B916" s="2" t="str">
        <x:v>사업 평가</x:v>
      </x:c>
      <x:c r="C916" s="2" t="str">
        <x:v>국내</x:v>
      </x:c>
      <x:c r="D916" s="7" t="str">
        <x:v>(주)명진기업 고효율 공기압축기 교체를 통한 온실가스 감축사업</x:v>
      </x:c>
      <x:c r="E916" s="2" t="str">
        <x:v>777</x:v>
      </x:c>
      <x:c r="F916" s="2" t="str">
        <x:v>2021-04-30</x:v>
      </x:c>
      <x:c r="G916" s="2" t="str">
        <x:v>2021</x:v>
      </x:c>
      <x:c r="H916" s="2" t="str">
        <x:v>04</x:v>
      </x:c>
      <x:c r="I916" s="2" t="str">
        <x:v>반려</x:v>
      </x:c>
      <x:c r="J916" s="2" t="str">
        <x:v>반려</x:v>
      </x:c>
      <x:c r="K916" s="2" t="str">
        <x:f>IF(OR(J916="심의승인",J916="반려",J916="반려완료",J916="심의완료"),"종결 표시",IF(OR(J916="기후부협의",J916="문서재제출요청",J916="보류",J916="보완요청",J916="보완완료",J916="평가중",J916="반려요청",J916="평가필요",LEFT(J916,5)="보완요청("),"미종결 표시","상태 확인 필요"))</x:f>
        <x:v>종결 표시</x:v>
      </x:c>
      <x:c r="L916" s="2" t="str">
        <x:v>KECM</x:v>
      </x:c>
      <x:c r="M916" s="2"/>
      <x:c r="N916" s="8" t="n">
        <x:f>DATE(2026,10,15)-DATE(2021,4,30)</x:f>
        <x:v>1994</x:v>
      </x:c>
      <x:c r="O916" s="2"/>
      <x:c r="P916" s="2" t="str">
        <x:v>반려완료(재신청 예정)</x:v>
      </x:c>
      <x:c r="Q916" s="2" t="str">
        <x:v>산업전환_외부사업관리Tool_260707_이너젠 수정_LJY_261013.xlsx</x:v>
      </x:c>
      <x:c r="R916" s="2" t="str">
        <x:v>국내평가</x:v>
      </x:c>
      <x:c r="S916" s="8" t="n">
        <x:v>819</x:v>
      </x:c>
      <x:c r="T916" s="2" t="str">
        <x:v>(5/7)</x:v>
      </x:c>
      <x:c r="U916" s="2" t="str">
        <x:v>2021 배정: (5/7)</x:v>
      </x:c>
      <x:c r="V916" s="2" t="str">
        <x:v>2021-06-30</x:v>
      </x:c>
      <x:c r="W916" s="2" t="str"/>
      <x:c r="X916" s="2" t="str">
        <x:v>종결 근거 보관</x:v>
      </x:c>
      <x:c r="Y916" s="2" t="str">
        <x:v>ad210cd9ec132cfd447541c8984dc53d30aff0f4fb2dc92d254d49275cc55976</x:v>
      </x:c>
      <x:c r="Z916" s="2" t="n">
        <x:f>SUBTOTAL(103,A916)</x:f>
        <x:v>1</x:v>
      </x:c>
      <x:c r="AA916" s="2" t="str">
        <x:f>IF(K916&lt;&gt;"미종결 표시","대상 아님",IF(N916="","신청일 확인",IF(NOT(ISNUMBER('종합 현황'!$H$5)),"관찰기준 확인",IF('종합 현황'!$H$5&lt;1,"관찰기준 확인",IF(N916&gt;'종합 현황'!$H$5,"내부 관찰 대상","내부 관찰일 이하")))))</x:f>
        <x:v>대상 아님</x:v>
      </x:c>
      <x:c r="AB916" s="2"/>
    </x:row>
    <x:row r="917" ht="42" customHeight="1">
      <x:c r="A917" s="2" t="str">
        <x:v>15f9bfbdcc150904869104a6</x:v>
      </x:c>
      <x:c r="B917" s="2" t="str">
        <x:v>사업 평가</x:v>
      </x:c>
      <x:c r="C917" s="2" t="str">
        <x:v>국내</x:v>
      </x:c>
      <x:c r="D917" s="7" t="str">
        <x:v>삼동화이트 고효율 공기압축기 교체를 통한 온실가스 감축사업</x:v>
      </x:c>
      <x:c r="E917" s="2" t="str">
        <x:v>778</x:v>
      </x:c>
      <x:c r="F917" s="2" t="str">
        <x:v>2021-04-30</x:v>
      </x:c>
      <x:c r="G917" s="2" t="str">
        <x:v>2021</x:v>
      </x:c>
      <x:c r="H917" s="2" t="str">
        <x:v>04</x:v>
      </x:c>
      <x:c r="I917" s="2" t="str">
        <x:v>반려</x:v>
      </x:c>
      <x:c r="J917" s="2" t="str">
        <x:v>반려</x:v>
      </x:c>
      <x:c r="K917" s="2" t="str">
        <x:f>IF(OR(J917="심의승인",J917="반려",J917="반려완료",J917="심의완료"),"종결 표시",IF(OR(J917="기후부협의",J917="문서재제출요청",J917="보류",J917="보완요청",J917="보완완료",J917="평가중",J917="반려요청",J917="평가필요",LEFT(J917,5)="보완요청("),"미종결 표시","상태 확인 필요"))</x:f>
        <x:v>종결 표시</x:v>
      </x:c>
      <x:c r="L917" s="2" t="str">
        <x:v>KECM</x:v>
      </x:c>
      <x:c r="M917" s="2"/>
      <x:c r="N917" s="8" t="n">
        <x:f>DATE(2026,10,15)-DATE(2021,4,30)</x:f>
        <x:v>1994</x:v>
      </x:c>
      <x:c r="O917" s="2"/>
      <x:c r="P917" s="2" t="str">
        <x:v>반려완료(재신청 예정)</x:v>
      </x:c>
      <x:c r="Q917" s="2" t="str">
        <x:v>산업전환_외부사업관리Tool_260707_이너젠 수정_LJY_261013.xlsx</x:v>
      </x:c>
      <x:c r="R917" s="2" t="str">
        <x:v>국내평가</x:v>
      </x:c>
      <x:c r="S917" s="8" t="n">
        <x:v>820</x:v>
      </x:c>
      <x:c r="T917" s="2" t="str">
        <x:v>(5/7)</x:v>
      </x:c>
      <x:c r="U917" s="2" t="str">
        <x:v>2021 배정: (5/7)</x:v>
      </x:c>
      <x:c r="V917" s="2" t="str">
        <x:v>2021-06-30</x:v>
      </x:c>
      <x:c r="W917" s="2" t="str"/>
      <x:c r="X917" s="2" t="str">
        <x:v>종결 근거 보관</x:v>
      </x:c>
      <x:c r="Y917" s="2" t="str">
        <x:v>ad210cd9ec132cfd447541c8984dc53d30aff0f4fb2dc92d254d49275cc55976</x:v>
      </x:c>
      <x:c r="Z917" s="2" t="n">
        <x:f>SUBTOTAL(103,A917)</x:f>
        <x:v>1</x:v>
      </x:c>
      <x:c r="AA917" s="2" t="str">
        <x:f>IF(K917&lt;&gt;"미종결 표시","대상 아님",IF(N917="","신청일 확인",IF(NOT(ISNUMBER('종합 현황'!$H$5)),"관찰기준 확인",IF('종합 현황'!$H$5&lt;1,"관찰기준 확인",IF(N917&gt;'종합 현황'!$H$5,"내부 관찰 대상","내부 관찰일 이하")))))</x:f>
        <x:v>대상 아님</x:v>
      </x:c>
      <x:c r="AB917" s="2"/>
    </x:row>
    <x:row r="918" ht="42" customHeight="1">
      <x:c r="A918" s="2" t="str">
        <x:v>d505886c60c25804c50a7b1c</x:v>
      </x:c>
      <x:c r="B918" s="2" t="str">
        <x:v>사업 평가</x:v>
      </x:c>
      <x:c r="C918" s="2" t="str">
        <x:v>국내</x:v>
      </x:c>
      <x:c r="D918" s="7" t="str">
        <x:v>주식회사 성산 고효율 공기압축기 교체를 통한 온실가스 감축사업</x:v>
      </x:c>
      <x:c r="E918" s="2" t="str">
        <x:v>779</x:v>
      </x:c>
      <x:c r="F918" s="2" t="str">
        <x:v>2021-04-30</x:v>
      </x:c>
      <x:c r="G918" s="2" t="str">
        <x:v>2021</x:v>
      </x:c>
      <x:c r="H918" s="2" t="str">
        <x:v>04</x:v>
      </x:c>
      <x:c r="I918" s="2" t="str">
        <x:v>반려</x:v>
      </x:c>
      <x:c r="J918" s="2" t="str">
        <x:v>반려</x:v>
      </x:c>
      <x:c r="K918" s="2" t="str">
        <x:f>IF(OR(J918="심의승인",J918="반려",J918="반려완료",J918="심의완료"),"종결 표시",IF(OR(J918="기후부협의",J918="문서재제출요청",J918="보류",J918="보완요청",J918="보완완료",J918="평가중",J918="반려요청",J918="평가필요",LEFT(J918,5)="보완요청("),"미종결 표시","상태 확인 필요"))</x:f>
        <x:v>종결 표시</x:v>
      </x:c>
      <x:c r="L918" s="2" t="str">
        <x:v>KECM</x:v>
      </x:c>
      <x:c r="M918" s="2"/>
      <x:c r="N918" s="8" t="n">
        <x:f>DATE(2026,10,15)-DATE(2021,4,30)</x:f>
        <x:v>1994</x:v>
      </x:c>
      <x:c r="O918" s="2"/>
      <x:c r="P918" s="2"/>
      <x:c r="Q918" s="2" t="str">
        <x:v>산업전환_외부사업관리Tool_260707_이너젠 수정_LJY_261013.xlsx</x:v>
      </x:c>
      <x:c r="R918" s="2" t="str">
        <x:v>국내평가</x:v>
      </x:c>
      <x:c r="S918" s="8" t="n">
        <x:v>821</x:v>
      </x:c>
      <x:c r="T918" s="2" t="str">
        <x:v>(5/7)</x:v>
      </x:c>
      <x:c r="U918" s="2" t="str">
        <x:v>2021 배정: (5/7)</x:v>
      </x:c>
      <x:c r="V918" s="2" t="str">
        <x:v>2021-10-25</x:v>
      </x:c>
      <x:c r="W918" s="2" t="str"/>
      <x:c r="X918" s="2" t="str">
        <x:v>종결 근거 보관</x:v>
      </x:c>
      <x:c r="Y918" s="2" t="str">
        <x:v>ad210cd9ec132cfd447541c8984dc53d30aff0f4fb2dc92d254d49275cc55976</x:v>
      </x:c>
      <x:c r="Z918" s="2" t="n">
        <x:f>SUBTOTAL(103,A918)</x:f>
        <x:v>1</x:v>
      </x:c>
      <x:c r="AA918" s="2" t="str">
        <x:f>IF(K918&lt;&gt;"미종결 표시","대상 아님",IF(N918="","신청일 확인",IF(NOT(ISNUMBER('종합 현황'!$H$5)),"관찰기준 확인",IF('종합 현황'!$H$5&lt;1,"관찰기준 확인",IF(N918&gt;'종합 현황'!$H$5,"내부 관찰 대상","내부 관찰일 이하")))))</x:f>
        <x:v>대상 아님</x:v>
      </x:c>
      <x:c r="AB918" s="2"/>
    </x:row>
    <x:row r="919" ht="42" customHeight="1">
      <x:c r="A919" s="2" t="str">
        <x:v>c84a344e17f938b8ed3d3c21</x:v>
      </x:c>
      <x:c r="B919" s="2" t="str">
        <x:v>사업 평가</x:v>
      </x:c>
      <x:c r="C919" s="2" t="str">
        <x:v>국내</x:v>
      </x:c>
      <x:c r="D919" s="7" t="str">
        <x:v>주식회사 삼보산업 고효율 공기압축기 교체를 통한 온실가스 감축사업</x:v>
      </x:c>
      <x:c r="E919" s="2" t="str">
        <x:v>780</x:v>
      </x:c>
      <x:c r="F919" s="2" t="str">
        <x:v>2021-04-30</x:v>
      </x:c>
      <x:c r="G919" s="2" t="str">
        <x:v>2021</x:v>
      </x:c>
      <x:c r="H919" s="2" t="str">
        <x:v>04</x:v>
      </x:c>
      <x:c r="I919" s="2" t="str">
        <x:v>반려</x:v>
      </x:c>
      <x:c r="J919" s="2" t="str">
        <x:v>반려</x:v>
      </x:c>
      <x:c r="K919" s="2" t="str">
        <x:f>IF(OR(J919="심의승인",J919="반려",J919="반려완료",J919="심의완료"),"종결 표시",IF(OR(J919="기후부협의",J919="문서재제출요청",J919="보류",J919="보완요청",J919="보완완료",J919="평가중",J919="반려요청",J919="평가필요",LEFT(J919,5)="보완요청("),"미종결 표시","상태 확인 필요"))</x:f>
        <x:v>종결 표시</x:v>
      </x:c>
      <x:c r="L919" s="2" t="str">
        <x:v>KECM</x:v>
      </x:c>
      <x:c r="M919" s="2"/>
      <x:c r="N919" s="8" t="n">
        <x:f>DATE(2026,10,15)-DATE(2021,4,30)</x:f>
        <x:v>1994</x:v>
      </x:c>
      <x:c r="O919" s="2" t="str">
        <x:v>O(6월)</x:v>
      </x:c>
      <x:c r="P919" s="2" t="str">
        <x:v>반려완료(재신청 예정)</x:v>
      </x:c>
      <x:c r="Q919" s="2" t="str">
        <x:v>산업전환_외부사업관리Tool_260707_이너젠 수정_LJY_261013.xlsx</x:v>
      </x:c>
      <x:c r="R919" s="2" t="str">
        <x:v>국내평가</x:v>
      </x:c>
      <x:c r="S919" s="8" t="n">
        <x:v>822</x:v>
      </x:c>
      <x:c r="T919" s="2" t="str">
        <x:v>(5/7)</x:v>
      </x:c>
      <x:c r="U919" s="2" t="str">
        <x:v>2021 배정: (5/7)</x:v>
      </x:c>
      <x:c r="V919" s="2" t="str">
        <x:v>2021-06-30</x:v>
      </x:c>
      <x:c r="W919" s="2" t="str"/>
      <x:c r="X919" s="2" t="str">
        <x:v>종결 근거 보관</x:v>
      </x:c>
      <x:c r="Y919" s="2" t="str">
        <x:v>ad210cd9ec132cfd447541c8984dc53d30aff0f4fb2dc92d254d49275cc55976</x:v>
      </x:c>
      <x:c r="Z919" s="2" t="n">
        <x:f>SUBTOTAL(103,A919)</x:f>
        <x:v>1</x:v>
      </x:c>
      <x:c r="AA919" s="2" t="str">
        <x:f>IF(K919&lt;&gt;"미종결 표시","대상 아님",IF(N919="","신청일 확인",IF(NOT(ISNUMBER('종합 현황'!$H$5)),"관찰기준 확인",IF('종합 현황'!$H$5&lt;1,"관찰기준 확인",IF(N919&gt;'종합 현황'!$H$5,"내부 관찰 대상","내부 관찰일 이하")))))</x:f>
        <x:v>대상 아님</x:v>
      </x:c>
      <x:c r="AB919" s="2"/>
    </x:row>
    <x:row r="920" ht="42" customHeight="1">
      <x:c r="A920" s="2" t="str">
        <x:v>9919eae9a8657995bdbc1f1f</x:v>
      </x:c>
      <x:c r="B920" s="2" t="str">
        <x:v>사업 평가</x:v>
      </x:c>
      <x:c r="C920" s="2" t="str">
        <x:v>국내</x:v>
      </x:c>
      <x:c r="D920" s="7" t="str">
        <x:v>삼우하이테크(주) 고효율 공기압축기 교체를 통한 온실가스 감축사업</x:v>
      </x:c>
      <x:c r="E920" s="2" t="str">
        <x:v>781</x:v>
      </x:c>
      <x:c r="F920" s="2" t="str">
        <x:v>2021-04-30</x:v>
      </x:c>
      <x:c r="G920" s="2" t="str">
        <x:v>2021</x:v>
      </x:c>
      <x:c r="H920" s="2" t="str">
        <x:v>04</x:v>
      </x:c>
      <x:c r="I920" s="2" t="str">
        <x:v>반려</x:v>
      </x:c>
      <x:c r="J920" s="2" t="str">
        <x:v>반려</x:v>
      </x:c>
      <x:c r="K920" s="2" t="str">
        <x:f>IF(OR(J920="심의승인",J920="반려",J920="반려완료",J920="심의완료"),"종결 표시",IF(OR(J920="기후부협의",J920="문서재제출요청",J920="보류",J920="보완요청",J920="보완완료",J920="평가중",J920="반려요청",J920="평가필요",LEFT(J920,5)="보완요청("),"미종결 표시","상태 확인 필요"))</x:f>
        <x:v>종결 표시</x:v>
      </x:c>
      <x:c r="L920" s="2" t="str">
        <x:v>KECM</x:v>
      </x:c>
      <x:c r="M920" s="2"/>
      <x:c r="N920" s="8" t="n">
        <x:f>DATE(2026,10,15)-DATE(2021,4,30)</x:f>
        <x:v>1994</x:v>
      </x:c>
      <x:c r="O920" s="2"/>
      <x:c r="P920" s="2" t="str">
        <x:v>반려완료(재신청 예정)</x:v>
      </x:c>
      <x:c r="Q920" s="2" t="str">
        <x:v>산업전환_외부사업관리Tool_260707_이너젠 수정_LJY_261013.xlsx</x:v>
      </x:c>
      <x:c r="R920" s="2" t="str">
        <x:v>국내평가</x:v>
      </x:c>
      <x:c r="S920" s="8" t="n">
        <x:v>823</x:v>
      </x:c>
      <x:c r="T920" s="2" t="str">
        <x:v>(5/7)</x:v>
      </x:c>
      <x:c r="U920" s="2" t="str">
        <x:v>2021 배정: (5/7)</x:v>
      </x:c>
      <x:c r="V920" s="2" t="str">
        <x:v>2021-06-30</x:v>
      </x:c>
      <x:c r="W920" s="2" t="str"/>
      <x:c r="X920" s="2" t="str">
        <x:v>종결 근거 보관</x:v>
      </x:c>
      <x:c r="Y920" s="2" t="str">
        <x:v>ad210cd9ec132cfd447541c8984dc53d30aff0f4fb2dc92d254d49275cc55976</x:v>
      </x:c>
      <x:c r="Z920" s="2" t="n">
        <x:f>SUBTOTAL(103,A920)</x:f>
        <x:v>1</x:v>
      </x:c>
      <x:c r="AA920" s="2" t="str">
        <x:f>IF(K920&lt;&gt;"미종결 표시","대상 아님",IF(N920="","신청일 확인",IF(NOT(ISNUMBER('종합 현황'!$H$5)),"관찰기준 확인",IF('종합 현황'!$H$5&lt;1,"관찰기준 확인",IF(N920&gt;'종합 현황'!$H$5,"내부 관찰 대상","내부 관찰일 이하")))))</x:f>
        <x:v>대상 아님</x:v>
      </x:c>
      <x:c r="AB920" s="2"/>
    </x:row>
    <x:row r="921" ht="42" customHeight="1">
      <x:c r="A921" s="2" t="str">
        <x:v>78e72003aab91a1e39818de3</x:v>
      </x:c>
      <x:c r="B921" s="2" t="str">
        <x:v>사업 평가</x:v>
      </x:c>
      <x:c r="C921" s="2" t="str">
        <x:v>국내</x:v>
      </x:c>
      <x:c r="D921" s="7" t="str">
        <x:v>코리아메탈 (주) 고효율 공기압축기 교체를  통한  온실가스 감축사업</x:v>
      </x:c>
      <x:c r="E921" s="2" t="str">
        <x:v>782</x:v>
      </x:c>
      <x:c r="F921" s="2" t="str">
        <x:v>2021-04-30</x:v>
      </x:c>
      <x:c r="G921" s="2" t="str">
        <x:v>2021</x:v>
      </x:c>
      <x:c r="H921" s="2" t="str">
        <x:v>04</x:v>
      </x:c>
      <x:c r="I921" s="2" t="str">
        <x:v>반려</x:v>
      </x:c>
      <x:c r="J921" s="2" t="str">
        <x:v>반려</x:v>
      </x:c>
      <x:c r="K921" s="2" t="str">
        <x:f>IF(OR(J921="심의승인",J921="반려",J921="반려완료",J921="심의완료"),"종결 표시",IF(OR(J921="기후부협의",J921="문서재제출요청",J921="보류",J921="보완요청",J921="보완완료",J921="평가중",J921="반려요청",J921="평가필요",LEFT(J921,5)="보완요청("),"미종결 표시","상태 확인 필요"))</x:f>
        <x:v>종결 표시</x:v>
      </x:c>
      <x:c r="L921" s="2" t="str">
        <x:v>KECM</x:v>
      </x:c>
      <x:c r="M921" s="2"/>
      <x:c r="N921" s="8" t="n">
        <x:f>DATE(2026,10,15)-DATE(2021,4,30)</x:f>
        <x:v>1994</x:v>
      </x:c>
      <x:c r="O921" s="2"/>
      <x:c r="P921" s="2" t="str">
        <x:v>반려완료(재신청 예정)</x:v>
      </x:c>
      <x:c r="Q921" s="2" t="str">
        <x:v>산업전환_외부사업관리Tool_260707_이너젠 수정_LJY_261013.xlsx</x:v>
      </x:c>
      <x:c r="R921" s="2" t="str">
        <x:v>국내평가</x:v>
      </x:c>
      <x:c r="S921" s="8" t="n">
        <x:v>824</x:v>
      </x:c>
      <x:c r="T921" s="2" t="str">
        <x:v>(5/7)</x:v>
      </x:c>
      <x:c r="U921" s="2" t="str">
        <x:v>2021 배정: (5/7)</x:v>
      </x:c>
      <x:c r="V921" s="2" t="str">
        <x:v>2021-06-30</x:v>
      </x:c>
      <x:c r="W921" s="2" t="str"/>
      <x:c r="X921" s="2" t="str">
        <x:v>종결 근거 보관</x:v>
      </x:c>
      <x:c r="Y921" s="2" t="str">
        <x:v>ad210cd9ec132cfd447541c8984dc53d30aff0f4fb2dc92d254d49275cc55976</x:v>
      </x:c>
      <x:c r="Z921" s="2" t="n">
        <x:f>SUBTOTAL(103,A921)</x:f>
        <x:v>1</x:v>
      </x:c>
      <x:c r="AA921" s="2" t="str">
        <x:f>IF(K921&lt;&gt;"미종결 표시","대상 아님",IF(N921="","신청일 확인",IF(NOT(ISNUMBER('종합 현황'!$H$5)),"관찰기준 확인",IF('종합 현황'!$H$5&lt;1,"관찰기준 확인",IF(N921&gt;'종합 현황'!$H$5,"내부 관찰 대상","내부 관찰일 이하")))))</x:f>
        <x:v>대상 아님</x:v>
      </x:c>
      <x:c r="AB921" s="2"/>
    </x:row>
    <x:row r="922" ht="42" customHeight="1">
      <x:c r="A922" s="2" t="str">
        <x:v>de3fd1d0fe2d9b03d1b57f00</x:v>
      </x:c>
      <x:c r="B922" s="2" t="str">
        <x:v>사업 평가</x:v>
      </x:c>
      <x:c r="C922" s="2" t="str">
        <x:v>국내</x:v>
      </x:c>
      <x:c r="D922" s="7" t="str">
        <x:v>(주) 태광 고효율 공기압축기 교체를  통한  온실가스 감축사업</x:v>
      </x:c>
      <x:c r="E922" s="2" t="str">
        <x:v>783</x:v>
      </x:c>
      <x:c r="F922" s="2" t="str">
        <x:v>2021-04-30</x:v>
      </x:c>
      <x:c r="G922" s="2" t="str">
        <x:v>2021</x:v>
      </x:c>
      <x:c r="H922" s="2" t="str">
        <x:v>04</x:v>
      </x:c>
      <x:c r="I922" s="2" t="str">
        <x:v>반려</x:v>
      </x:c>
      <x:c r="J922" s="2" t="str">
        <x:v>반려</x:v>
      </x:c>
      <x:c r="K922" s="2" t="str">
        <x:f>IF(OR(J922="심의승인",J922="반려",J922="반려완료",J922="심의완료"),"종결 표시",IF(OR(J922="기후부협의",J922="문서재제출요청",J922="보류",J922="보완요청",J922="보완완료",J922="평가중",J922="반려요청",J922="평가필요",LEFT(J922,5)="보완요청("),"미종결 표시","상태 확인 필요"))</x:f>
        <x:v>종결 표시</x:v>
      </x:c>
      <x:c r="L922" s="2" t="str">
        <x:v>KECM</x:v>
      </x:c>
      <x:c r="M922" s="2"/>
      <x:c r="N922" s="8" t="n">
        <x:f>DATE(2026,10,15)-DATE(2021,4,30)</x:f>
        <x:v>1994</x:v>
      </x:c>
      <x:c r="O922" s="2"/>
      <x:c r="P922" s="2" t="str">
        <x:v>반려완료(재신청 예정)</x:v>
      </x:c>
      <x:c r="Q922" s="2" t="str">
        <x:v>산업전환_외부사업관리Tool_260707_이너젠 수정_LJY_261013.xlsx</x:v>
      </x:c>
      <x:c r="R922" s="2" t="str">
        <x:v>국내평가</x:v>
      </x:c>
      <x:c r="S922" s="8" t="n">
        <x:v>825</x:v>
      </x:c>
      <x:c r="T922" s="2" t="str">
        <x:v>(5/7)</x:v>
      </x:c>
      <x:c r="U922" s="2" t="str">
        <x:v>2021 배정: (5/7)</x:v>
      </x:c>
      <x:c r="V922" s="2" t="str">
        <x:v>2021-06-30</x:v>
      </x:c>
      <x:c r="W922" s="2" t="str"/>
      <x:c r="X922" s="2" t="str">
        <x:v>종결 근거 보관</x:v>
      </x:c>
      <x:c r="Y922" s="2" t="str">
        <x:v>ad210cd9ec132cfd447541c8984dc53d30aff0f4fb2dc92d254d49275cc55976</x:v>
      </x:c>
      <x:c r="Z922" s="2" t="n">
        <x:f>SUBTOTAL(103,A922)</x:f>
        <x:v>1</x:v>
      </x:c>
      <x:c r="AA922" s="2" t="str">
        <x:f>IF(K922&lt;&gt;"미종결 표시","대상 아님",IF(N922="","신청일 확인",IF(NOT(ISNUMBER('종합 현황'!$H$5)),"관찰기준 확인",IF('종합 현황'!$H$5&lt;1,"관찰기준 확인",IF(N922&gt;'종합 현황'!$H$5,"내부 관찰 대상","내부 관찰일 이하")))))</x:f>
        <x:v>대상 아님</x:v>
      </x:c>
      <x:c r="AB922" s="2"/>
    </x:row>
    <x:row r="923" ht="42" customHeight="1">
      <x:c r="A923" s="2" t="str">
        <x:v>c7f02c2b1e04c8417129669f</x:v>
      </x:c>
      <x:c r="B923" s="2" t="str">
        <x:v>사업 평가</x:v>
      </x:c>
      <x:c r="C923" s="2" t="str">
        <x:v>국내</x:v>
      </x:c>
      <x:c r="D923" s="7" t="str">
        <x:v>(주) 한일FORGING 고효율 공기압축기 교체를  통한  온실가스 감축사업</x:v>
      </x:c>
      <x:c r="E923" s="2" t="str">
        <x:v>784</x:v>
      </x:c>
      <x:c r="F923" s="2" t="str">
        <x:v>2021-04-30</x:v>
      </x:c>
      <x:c r="G923" s="2" t="str">
        <x:v>2021</x:v>
      </x:c>
      <x:c r="H923" s="2" t="str">
        <x:v>04</x:v>
      </x:c>
      <x:c r="I923" s="2" t="str">
        <x:v>반려</x:v>
      </x:c>
      <x:c r="J923" s="2" t="str">
        <x:v>반려</x:v>
      </x:c>
      <x:c r="K923" s="2" t="str">
        <x:f>IF(OR(J923="심의승인",J923="반려",J923="반려완료",J923="심의완료"),"종결 표시",IF(OR(J923="기후부협의",J923="문서재제출요청",J923="보류",J923="보완요청",J923="보완완료",J923="평가중",J923="반려요청",J923="평가필요",LEFT(J923,5)="보완요청("),"미종결 표시","상태 확인 필요"))</x:f>
        <x:v>종결 표시</x:v>
      </x:c>
      <x:c r="L923" s="2" t="str">
        <x:v>KECM</x:v>
      </x:c>
      <x:c r="M923" s="2"/>
      <x:c r="N923" s="8" t="n">
        <x:f>DATE(2026,10,15)-DATE(2021,4,30)</x:f>
        <x:v>1994</x:v>
      </x:c>
      <x:c r="O923" s="2"/>
      <x:c r="P923" s="2" t="str">
        <x:v>반려완료(재신청 예정)</x:v>
      </x:c>
      <x:c r="Q923" s="2" t="str">
        <x:v>산업전환_외부사업관리Tool_260707_이너젠 수정_LJY_261013.xlsx</x:v>
      </x:c>
      <x:c r="R923" s="2" t="str">
        <x:v>국내평가</x:v>
      </x:c>
      <x:c r="S923" s="8" t="n">
        <x:v>826</x:v>
      </x:c>
      <x:c r="T923" s="2" t="str">
        <x:v>(5/7)</x:v>
      </x:c>
      <x:c r="U923" s="2" t="str">
        <x:v>2021 배정: (5/7)</x:v>
      </x:c>
      <x:c r="V923" s="2" t="str">
        <x:v>2021-06-30</x:v>
      </x:c>
      <x:c r="W923" s="2" t="str"/>
      <x:c r="X923" s="2" t="str">
        <x:v>종결 근거 보관</x:v>
      </x:c>
      <x:c r="Y923" s="2" t="str">
        <x:v>ad210cd9ec132cfd447541c8984dc53d30aff0f4fb2dc92d254d49275cc55976</x:v>
      </x:c>
      <x:c r="Z923" s="2" t="n">
        <x:f>SUBTOTAL(103,A923)</x:f>
        <x:v>1</x:v>
      </x:c>
      <x:c r="AA923" s="2" t="str">
        <x:f>IF(K923&lt;&gt;"미종결 표시","대상 아님",IF(N923="","신청일 확인",IF(NOT(ISNUMBER('종합 현황'!$H$5)),"관찰기준 확인",IF('종합 현황'!$H$5&lt;1,"관찰기준 확인",IF(N923&gt;'종합 현황'!$H$5,"내부 관찰 대상","내부 관찰일 이하")))))</x:f>
        <x:v>대상 아님</x:v>
      </x:c>
      <x:c r="AB923" s="2"/>
    </x:row>
    <x:row r="924" ht="42" customHeight="1">
      <x:c r="A924" s="2" t="str">
        <x:v>91ab3b327dc78809cb2eee36</x:v>
      </x:c>
      <x:c r="B924" s="2" t="str">
        <x:v>사업 평가</x:v>
      </x:c>
      <x:c r="C924" s="2" t="str">
        <x:v>국내</x:v>
      </x:c>
      <x:c r="D924" s="7" t="str">
        <x:v>대은테크 고효율 공기압축기 교체를 통한 온실가스 감축사업</x:v>
      </x:c>
      <x:c r="E924" s="2" t="str">
        <x:v>785</x:v>
      </x:c>
      <x:c r="F924" s="2" t="str">
        <x:v>2019-06-05</x:v>
      </x:c>
      <x:c r="G924" s="2" t="str">
        <x:v>2019</x:v>
      </x:c>
      <x:c r="H924" s="2" t="str">
        <x:v>06</x:v>
      </x:c>
      <x:c r="I924" s="2" t="str">
        <x:v>승인</x:v>
      </x:c>
      <x:c r="J924" s="2" t="str">
        <x:v>심의승인</x:v>
      </x:c>
      <x:c r="K924" s="2" t="str">
        <x:f>IF(OR(J924="심의승인",J924="반려",J924="반려완료",J924="심의완료"),"종결 표시",IF(OR(J924="기후부협의",J924="문서재제출요청",J924="보류",J924="보완요청",J924="보완완료",J924="평가중",J924="반려요청",J924="평가필요",LEFT(J924,5)="보완요청("),"미종결 표시","상태 확인 필요"))</x:f>
        <x:v>종결 표시</x:v>
      </x:c>
      <x:c r="L924" s="2" t="str">
        <x:v>에코시안_조혜민</x:v>
      </x:c>
      <x:c r="M924" s="2"/>
      <x:c r="N924" s="8" t="n">
        <x:f>DATE(2026,10,15)-DATE(2019,6,5)</x:f>
        <x:v>2689</x:v>
      </x:c>
      <x:c r="O924" s="2" t="str">
        <x:v>O(9월)</x:v>
      </x:c>
      <x:c r="P924" s="2"/>
      <x:c r="Q924" s="2" t="str">
        <x:v>산업전환_외부사업관리Tool_260707_이너젠 수정_LJY_261013.xlsx</x:v>
      </x:c>
      <x:c r="R924" s="2" t="str">
        <x:v>국내평가</x:v>
      </x:c>
      <x:c r="S924" s="8" t="n">
        <x:v>827</x:v>
      </x:c>
      <x:c r="T924" s="2" t="str">
        <x:v>(7/12),(9/1),(12/1)</x:v>
      </x:c>
      <x:c r="U924" s="2" t="str">
        <x:v>2021 배정: (7/12),(9/1),(12/1) / 2022 배정(신규): (5/18),(6/10),(8/16)</x:v>
      </x:c>
      <x:c r="V924" s="2" t="str">
        <x:v>2023-01-02</x:v>
      </x:c>
      <x:c r="W924" s="2" t="str"/>
      <x:c r="X924" s="2" t="str">
        <x:v>종결 근거 보관</x:v>
      </x:c>
      <x:c r="Y924" s="2" t="str">
        <x:v>ad210cd9ec132cfd447541c8984dc53d30aff0f4fb2dc92d254d49275cc55976</x:v>
      </x:c>
      <x:c r="Z924" s="2" t="n">
        <x:f>SUBTOTAL(103,A924)</x:f>
        <x:v>1</x:v>
      </x:c>
      <x:c r="AA924" s="2" t="str">
        <x:f>IF(K924&lt;&gt;"미종결 표시","대상 아님",IF(N924="","신청일 확인",IF(NOT(ISNUMBER('종합 현황'!$H$5)),"관찰기준 확인",IF('종합 현황'!$H$5&lt;1,"관찰기준 확인",IF(N924&gt;'종합 현황'!$H$5,"내부 관찰 대상","내부 관찰일 이하")))))</x:f>
        <x:v>대상 아님</x:v>
      </x:c>
      <x:c r="AB924" s="2"/>
    </x:row>
    <x:row r="925" ht="42" customHeight="1">
      <x:c r="A925" s="2" t="str">
        <x:v>e9fe58181a30c4dfb7d9cdce</x:v>
      </x:c>
      <x:c r="B925" s="2" t="str">
        <x:v>사업 평가</x:v>
      </x:c>
      <x:c r="C925" s="2" t="str">
        <x:v>국내</x:v>
      </x:c>
      <x:c r="D925" s="7" t="str">
        <x:v>형제기계공업 (주) 고효율 공기압축기 교체를 통한 온실가스 감축사업</x:v>
      </x:c>
      <x:c r="E925" s="2" t="str">
        <x:v>786</x:v>
      </x:c>
      <x:c r="F925" s="2" t="str">
        <x:v>2021-04-30</x:v>
      </x:c>
      <x:c r="G925" s="2" t="str">
        <x:v>2021</x:v>
      </x:c>
      <x:c r="H925" s="2" t="str">
        <x:v>04</x:v>
      </x:c>
      <x:c r="I925" s="2" t="str">
        <x:v>반려</x:v>
      </x:c>
      <x:c r="J925" s="2" t="str">
        <x:v>반려</x:v>
      </x:c>
      <x:c r="K925" s="2" t="str">
        <x:f>IF(OR(J925="심의승인",J925="반려",J925="반려완료",J925="심의완료"),"종결 표시",IF(OR(J925="기후부협의",J925="문서재제출요청",J925="보류",J925="보완요청",J925="보완완료",J925="평가중",J925="반려요청",J925="평가필요",LEFT(J925,5)="보완요청("),"미종결 표시","상태 확인 필요"))</x:f>
        <x:v>종결 표시</x:v>
      </x:c>
      <x:c r="L925" s="2" t="str">
        <x:v>KECM</x:v>
      </x:c>
      <x:c r="M925" s="2"/>
      <x:c r="N925" s="8" t="n">
        <x:f>DATE(2026,10,15)-DATE(2021,4,30)</x:f>
        <x:v>1994</x:v>
      </x:c>
      <x:c r="O925" s="2" t="str">
        <x:v>O(6월)</x:v>
      </x:c>
      <x:c r="P925" s="2" t="str">
        <x:v>반려완료(재신청 예정)</x:v>
      </x:c>
      <x:c r="Q925" s="2" t="str">
        <x:v>산업전환_외부사업관리Tool_260707_이너젠 수정_LJY_261013.xlsx</x:v>
      </x:c>
      <x:c r="R925" s="2" t="str">
        <x:v>국내평가</x:v>
      </x:c>
      <x:c r="S925" s="8" t="n">
        <x:v>828</x:v>
      </x:c>
      <x:c r="T925" s="2" t="str">
        <x:v>(5/7)</x:v>
      </x:c>
      <x:c r="U925" s="2" t="str">
        <x:v>2021 배정: (5/7)</x:v>
      </x:c>
      <x:c r="V925" s="2" t="str">
        <x:v>2021-06-30</x:v>
      </x:c>
      <x:c r="W925" s="2" t="str"/>
      <x:c r="X925" s="2" t="str">
        <x:v>종결 근거 보관</x:v>
      </x:c>
      <x:c r="Y925" s="2" t="str">
        <x:v>ad210cd9ec132cfd447541c8984dc53d30aff0f4fb2dc92d254d49275cc55976</x:v>
      </x:c>
      <x:c r="Z925" s="2" t="n">
        <x:f>SUBTOTAL(103,A925)</x:f>
        <x:v>1</x:v>
      </x:c>
      <x:c r="AA925" s="2" t="str">
        <x:f>IF(K925&lt;&gt;"미종결 표시","대상 아님",IF(N925="","신청일 확인",IF(NOT(ISNUMBER('종합 현황'!$H$5)),"관찰기준 확인",IF('종합 현황'!$H$5&lt;1,"관찰기준 확인",IF(N925&gt;'종합 현황'!$H$5,"내부 관찰 대상","내부 관찰일 이하")))))</x:f>
        <x:v>대상 아님</x:v>
      </x:c>
      <x:c r="AB925" s="2"/>
    </x:row>
    <x:row r="926" ht="42" customHeight="1">
      <x:c r="A926" s="2" t="str">
        <x:v>3b994d6fb905c86584470692</x:v>
      </x:c>
      <x:c r="B926" s="2" t="str">
        <x:v>사업 평가</x:v>
      </x:c>
      <x:c r="C926" s="2" t="str">
        <x:v>국내</x:v>
      </x:c>
      <x:c r="D926" s="7" t="str">
        <x:v>주식회사 알스타 고효율 공기압축기 교체를 통한 온실가스 감축사업</x:v>
      </x:c>
      <x:c r="E926" s="2" t="str">
        <x:v>787</x:v>
      </x:c>
      <x:c r="F926" s="2" t="str">
        <x:v>2021-04-30</x:v>
      </x:c>
      <x:c r="G926" s="2" t="str">
        <x:v>2021</x:v>
      </x:c>
      <x:c r="H926" s="2" t="str">
        <x:v>04</x:v>
      </x:c>
      <x:c r="I926" s="2" t="str">
        <x:v>반려</x:v>
      </x:c>
      <x:c r="J926" s="2" t="str">
        <x:v>반려</x:v>
      </x:c>
      <x:c r="K926" s="2" t="str">
        <x:f>IF(OR(J926="심의승인",J926="반려",J926="반려완료",J926="심의완료"),"종결 표시",IF(OR(J926="기후부협의",J926="문서재제출요청",J926="보류",J926="보완요청",J926="보완완료",J926="평가중",J926="반려요청",J926="평가필요",LEFT(J926,5)="보완요청("),"미종결 표시","상태 확인 필요"))</x:f>
        <x:v>종결 표시</x:v>
      </x:c>
      <x:c r="L926" s="2" t="str">
        <x:v>KECM</x:v>
      </x:c>
      <x:c r="M926" s="2"/>
      <x:c r="N926" s="8" t="n">
        <x:f>DATE(2026,10,15)-DATE(2021,4,30)</x:f>
        <x:v>1994</x:v>
      </x:c>
      <x:c r="O926" s="2" t="str">
        <x:v>O(6월)</x:v>
      </x:c>
      <x:c r="P926" s="2" t="str">
        <x:v>반려완료(재신청 예정)</x:v>
      </x:c>
      <x:c r="Q926" s="2" t="str">
        <x:v>산업전환_외부사업관리Tool_260707_이너젠 수정_LJY_261013.xlsx</x:v>
      </x:c>
      <x:c r="R926" s="2" t="str">
        <x:v>국내평가</x:v>
      </x:c>
      <x:c r="S926" s="8" t="n">
        <x:v>829</x:v>
      </x:c>
      <x:c r="T926" s="2" t="str">
        <x:v>(5/7)</x:v>
      </x:c>
      <x:c r="U926" s="2" t="str">
        <x:v>2021 배정: (5/7)</x:v>
      </x:c>
      <x:c r="V926" s="2" t="str">
        <x:v>2021-06-30</x:v>
      </x:c>
      <x:c r="W926" s="2" t="str"/>
      <x:c r="X926" s="2" t="str">
        <x:v>종결 근거 보관</x:v>
      </x:c>
      <x:c r="Y926" s="2" t="str">
        <x:v>ad210cd9ec132cfd447541c8984dc53d30aff0f4fb2dc92d254d49275cc55976</x:v>
      </x:c>
      <x:c r="Z926" s="2" t="n">
        <x:f>SUBTOTAL(103,A926)</x:f>
        <x:v>1</x:v>
      </x:c>
      <x:c r="AA926" s="2" t="str">
        <x:f>IF(K926&lt;&gt;"미종결 표시","대상 아님",IF(N926="","신청일 확인",IF(NOT(ISNUMBER('종합 현황'!$H$5)),"관찰기준 확인",IF('종합 현황'!$H$5&lt;1,"관찰기준 확인",IF(N926&gt;'종합 현황'!$H$5,"내부 관찰 대상","내부 관찰일 이하")))))</x:f>
        <x:v>대상 아님</x:v>
      </x:c>
      <x:c r="AB926" s="2"/>
    </x:row>
    <x:row r="927" ht="42" customHeight="1">
      <x:c r="A927" s="2" t="str">
        <x:v>d097eb79d3e48b1ca637967c</x:v>
      </x:c>
      <x:c r="B927" s="2" t="str">
        <x:v>사업 평가</x:v>
      </x:c>
      <x:c r="C927" s="2" t="str">
        <x:v>국내</x:v>
      </x:c>
      <x:c r="D927" s="7" t="str">
        <x:v>형제기계공업 (주) 고효율 공기압축기 교체를 통한 온실가스 감축사업</x:v>
      </x:c>
      <x:c r="E927" s="2" t="str">
        <x:v>788</x:v>
      </x:c>
      <x:c r="F927" s="2" t="str">
        <x:v>2021-04-30</x:v>
      </x:c>
      <x:c r="G927" s="2" t="str">
        <x:v>2021</x:v>
      </x:c>
      <x:c r="H927" s="2" t="str">
        <x:v>04</x:v>
      </x:c>
      <x:c r="I927" s="2" t="str">
        <x:v>반려</x:v>
      </x:c>
      <x:c r="J927" s="2" t="str">
        <x:v>반려</x:v>
      </x:c>
      <x:c r="K927" s="2" t="str">
        <x:f>IF(OR(J927="심의승인",J927="반려",J927="반려완료",J927="심의완료"),"종결 표시",IF(OR(J927="기후부협의",J927="문서재제출요청",J927="보류",J927="보완요청",J927="보완완료",J927="평가중",J927="반려요청",J927="평가필요",LEFT(J927,5)="보완요청("),"미종결 표시","상태 확인 필요"))</x:f>
        <x:v>종결 표시</x:v>
      </x:c>
      <x:c r="L927" s="2" t="str">
        <x:v>KECM</x:v>
      </x:c>
      <x:c r="M927" s="2"/>
      <x:c r="N927" s="8" t="n">
        <x:f>DATE(2026,10,15)-DATE(2021,4,30)</x:f>
        <x:v>1994</x:v>
      </x:c>
      <x:c r="O927" s="2" t="str">
        <x:v>O(6월)</x:v>
      </x:c>
      <x:c r="P927" s="2" t="str">
        <x:v>반려완료(재신청 예정)</x:v>
      </x:c>
      <x:c r="Q927" s="2" t="str">
        <x:v>산업전환_외부사업관리Tool_260707_이너젠 수정_LJY_261013.xlsx</x:v>
      </x:c>
      <x:c r="R927" s="2" t="str">
        <x:v>국내평가</x:v>
      </x:c>
      <x:c r="S927" s="8" t="n">
        <x:v>830</x:v>
      </x:c>
      <x:c r="T927" s="2" t="str">
        <x:v>(5/7)</x:v>
      </x:c>
      <x:c r="U927" s="2" t="str">
        <x:v>2021 배정: (5/7)</x:v>
      </x:c>
      <x:c r="V927" s="2" t="str">
        <x:v>2021-06-30</x:v>
      </x:c>
      <x:c r="W927" s="2" t="str"/>
      <x:c r="X927" s="2" t="str">
        <x:v>종결 근거 보관</x:v>
      </x:c>
      <x:c r="Y927" s="2" t="str">
        <x:v>ad210cd9ec132cfd447541c8984dc53d30aff0f4fb2dc92d254d49275cc55976</x:v>
      </x:c>
      <x:c r="Z927" s="2" t="n">
        <x:f>SUBTOTAL(103,A927)</x:f>
        <x:v>1</x:v>
      </x:c>
      <x:c r="AA927" s="2" t="str">
        <x:f>IF(K927&lt;&gt;"미종결 표시","대상 아님",IF(N927="","신청일 확인",IF(NOT(ISNUMBER('종합 현황'!$H$5)),"관찰기준 확인",IF('종합 현황'!$H$5&lt;1,"관찰기준 확인",IF(N927&gt;'종합 현황'!$H$5,"내부 관찰 대상","내부 관찰일 이하")))))</x:f>
        <x:v>대상 아님</x:v>
      </x:c>
      <x:c r="AB927" s="2"/>
    </x:row>
    <x:row r="928" ht="42" customHeight="1">
      <x:c r="A928" s="2" t="str">
        <x:v>b8076e777d3444dbf3a77078</x:v>
      </x:c>
      <x:c r="B928" s="2" t="str">
        <x:v>사업 평가</x:v>
      </x:c>
      <x:c r="C928" s="2" t="str">
        <x:v>국내</x:v>
      </x:c>
      <x:c r="D928" s="7" t="str">
        <x:v>(주) 에이치티씨 고효율 공기압축기 교체를 통한 온실가스 감축사업</x:v>
      </x:c>
      <x:c r="E928" s="2" t="str">
        <x:v>789</x:v>
      </x:c>
      <x:c r="F928" s="2" t="str">
        <x:v>2021-04-30</x:v>
      </x:c>
      <x:c r="G928" s="2" t="str">
        <x:v>2021</x:v>
      </x:c>
      <x:c r="H928" s="2" t="str">
        <x:v>04</x:v>
      </x:c>
      <x:c r="I928" s="2" t="str">
        <x:v>반려</x:v>
      </x:c>
      <x:c r="J928" s="2" t="str">
        <x:v>반려</x:v>
      </x:c>
      <x:c r="K928" s="2" t="str">
        <x:f>IF(OR(J928="심의승인",J928="반려",J928="반려완료",J928="심의완료"),"종결 표시",IF(OR(J928="기후부협의",J928="문서재제출요청",J928="보류",J928="보완요청",J928="보완완료",J928="평가중",J928="반려요청",J928="평가필요",LEFT(J928,5)="보완요청("),"미종결 표시","상태 확인 필요"))</x:f>
        <x:v>종결 표시</x:v>
      </x:c>
      <x:c r="L928" s="2" t="str">
        <x:v>KECM</x:v>
      </x:c>
      <x:c r="M928" s="2"/>
      <x:c r="N928" s="8" t="n">
        <x:f>DATE(2026,10,15)-DATE(2021,4,30)</x:f>
        <x:v>1994</x:v>
      </x:c>
      <x:c r="O928" s="2"/>
      <x:c r="P928" s="2" t="str">
        <x:v>반려완료(재신청 예정)</x:v>
      </x:c>
      <x:c r="Q928" s="2" t="str">
        <x:v>산업전환_외부사업관리Tool_260707_이너젠 수정_LJY_261013.xlsx</x:v>
      </x:c>
      <x:c r="R928" s="2" t="str">
        <x:v>국내평가</x:v>
      </x:c>
      <x:c r="S928" s="8" t="n">
        <x:v>831</x:v>
      </x:c>
      <x:c r="T928" s="2" t="str">
        <x:v>(5/7)</x:v>
      </x:c>
      <x:c r="U928" s="2" t="str">
        <x:v>2021 배정: (5/7)</x:v>
      </x:c>
      <x:c r="V928" s="2" t="str">
        <x:v>2021-06-30</x:v>
      </x:c>
      <x:c r="W928" s="2" t="str"/>
      <x:c r="X928" s="2" t="str">
        <x:v>종결 근거 보관</x:v>
      </x:c>
      <x:c r="Y928" s="2" t="str">
        <x:v>ad210cd9ec132cfd447541c8984dc53d30aff0f4fb2dc92d254d49275cc55976</x:v>
      </x:c>
      <x:c r="Z928" s="2" t="n">
        <x:f>SUBTOTAL(103,A928)</x:f>
        <x:v>1</x:v>
      </x:c>
      <x:c r="AA928" s="2" t="str">
        <x:f>IF(K928&lt;&gt;"미종결 표시","대상 아님",IF(N928="","신청일 확인",IF(NOT(ISNUMBER('종합 현황'!$H$5)),"관찰기준 확인",IF('종합 현황'!$H$5&lt;1,"관찰기준 확인",IF(N928&gt;'종합 현황'!$H$5,"내부 관찰 대상","내부 관찰일 이하")))))</x:f>
        <x:v>대상 아님</x:v>
      </x:c>
      <x:c r="AB928" s="2"/>
    </x:row>
    <x:row r="929" ht="42" customHeight="1">
      <x:c r="A929" s="2" t="str">
        <x:v>53e8f4f2838d223d9fc220da</x:v>
      </x:c>
      <x:c r="B929" s="2" t="str">
        <x:v>사업 평가</x:v>
      </x:c>
      <x:c r="C929" s="2" t="str">
        <x:v>국내</x:v>
      </x:c>
      <x:c r="D929" s="7" t="str">
        <x:v>(주) 유림테크 고효율 공기압축기 교체를 통한 온실가스 감축사업</x:v>
      </x:c>
      <x:c r="E929" s="2" t="str">
        <x:v>790</x:v>
      </x:c>
      <x:c r="F929" s="2" t="str">
        <x:v>2021-04-30</x:v>
      </x:c>
      <x:c r="G929" s="2" t="str">
        <x:v>2021</x:v>
      </x:c>
      <x:c r="H929" s="2" t="str">
        <x:v>04</x:v>
      </x:c>
      <x:c r="I929" s="2" t="str">
        <x:v>반려</x:v>
      </x:c>
      <x:c r="J929" s="2" t="str">
        <x:v>반려</x:v>
      </x:c>
      <x:c r="K929" s="2" t="str">
        <x:f>IF(OR(J929="심의승인",J929="반려",J929="반려완료",J929="심의완료"),"종결 표시",IF(OR(J929="기후부협의",J929="문서재제출요청",J929="보류",J929="보완요청",J929="보완완료",J929="평가중",J929="반려요청",J929="평가필요",LEFT(J929,5)="보완요청("),"미종결 표시","상태 확인 필요"))</x:f>
        <x:v>종결 표시</x:v>
      </x:c>
      <x:c r="L929" s="2" t="str">
        <x:v>KECM</x:v>
      </x:c>
      <x:c r="M929" s="2"/>
      <x:c r="N929" s="8" t="n">
        <x:f>DATE(2026,10,15)-DATE(2021,4,30)</x:f>
        <x:v>1994</x:v>
      </x:c>
      <x:c r="O929" s="2" t="str">
        <x:v>O(6월추가)</x:v>
      </x:c>
      <x:c r="P929" s="2"/>
      <x:c r="Q929" s="2" t="str">
        <x:v>산업전환_외부사업관리Tool_260707_이너젠 수정_LJY_261013.xlsx</x:v>
      </x:c>
      <x:c r="R929" s="2" t="str">
        <x:v>국내평가</x:v>
      </x:c>
      <x:c r="S929" s="8" t="n">
        <x:v>832</x:v>
      </x:c>
      <x:c r="T929" s="2" t="str">
        <x:v>(5/7),(6/28)</x:v>
      </x:c>
      <x:c r="U929" s="2" t="str">
        <x:v>2021 배정: (5/7),(6/28)</x:v>
      </x:c>
      <x:c r="V929" s="2" t="str">
        <x:v>2021-10-25</x:v>
      </x:c>
      <x:c r="W929" s="2" t="str"/>
      <x:c r="X929" s="2" t="str">
        <x:v>종결 근거 보관</x:v>
      </x:c>
      <x:c r="Y929" s="2" t="str">
        <x:v>ad210cd9ec132cfd447541c8984dc53d30aff0f4fb2dc92d254d49275cc55976</x:v>
      </x:c>
      <x:c r="Z929" s="2" t="n">
        <x:f>SUBTOTAL(103,A929)</x:f>
        <x:v>1</x:v>
      </x:c>
      <x:c r="AA929" s="2" t="str">
        <x:f>IF(K929&lt;&gt;"미종결 표시","대상 아님",IF(N929="","신청일 확인",IF(NOT(ISNUMBER('종합 현황'!$H$5)),"관찰기준 확인",IF('종합 현황'!$H$5&lt;1,"관찰기준 확인",IF(N929&gt;'종합 현황'!$H$5,"내부 관찰 대상","내부 관찰일 이하")))))</x:f>
        <x:v>대상 아님</x:v>
      </x:c>
      <x:c r="AB929" s="2"/>
    </x:row>
    <x:row r="930" ht="42" customHeight="1">
      <x:c r="A930" s="2" t="str">
        <x:v>639fe00d9c663afb8160d28e</x:v>
      </x:c>
      <x:c r="B930" s="2" t="str">
        <x:v>사업 평가</x:v>
      </x:c>
      <x:c r="C930" s="2" t="str">
        <x:v>국내</x:v>
      </x:c>
      <x:c r="D930" s="7" t="str">
        <x:v>정테크 고효율 공기압축기 교체를 통한 온실가스 감축사업</x:v>
      </x:c>
      <x:c r="E930" s="2" t="str">
        <x:v>791</x:v>
      </x:c>
      <x:c r="F930" s="2" t="str">
        <x:v>2021-04-30</x:v>
      </x:c>
      <x:c r="G930" s="2" t="str">
        <x:v>2021</x:v>
      </x:c>
      <x:c r="H930" s="2" t="str">
        <x:v>04</x:v>
      </x:c>
      <x:c r="I930" s="2" t="str">
        <x:v>반려</x:v>
      </x:c>
      <x:c r="J930" s="2" t="str">
        <x:v>반려</x:v>
      </x:c>
      <x:c r="K930" s="2" t="str">
        <x:f>IF(OR(J930="심의승인",J930="반려",J930="반려완료",J930="심의완료"),"종결 표시",IF(OR(J930="기후부협의",J930="문서재제출요청",J930="보류",J930="보완요청",J930="보완완료",J930="평가중",J930="반려요청",J930="평가필요",LEFT(J930,5)="보완요청("),"미종결 표시","상태 확인 필요"))</x:f>
        <x:v>종결 표시</x:v>
      </x:c>
      <x:c r="L930" s="2" t="str">
        <x:v>에코시안</x:v>
      </x:c>
      <x:c r="M930" s="2"/>
      <x:c r="N930" s="8" t="n">
        <x:f>DATE(2026,10,15)-DATE(2021,4,30)</x:f>
        <x:v>1994</x:v>
      </x:c>
      <x:c r="O930" s="2"/>
      <x:c r="P930" s="2"/>
      <x:c r="Q930" s="2" t="str">
        <x:v>산업전환_외부사업관리Tool_260707_이너젠 수정_LJY_261013.xlsx</x:v>
      </x:c>
      <x:c r="R930" s="2" t="str">
        <x:v>국내평가</x:v>
      </x:c>
      <x:c r="S930" s="8" t="n">
        <x:v>833</x:v>
      </x:c>
      <x:c r="T930" s="2" t="str">
        <x:v>(7/12)</x:v>
      </x:c>
      <x:c r="U930" s="2" t="str">
        <x:v>2021 배정: (7/12)</x:v>
      </x:c>
      <x:c r="V930" s="2" t="str">
        <x:v>2021-10-25</x:v>
      </x:c>
      <x:c r="W930" s="2" t="str"/>
      <x:c r="X930" s="2" t="str">
        <x:v>종결 근거 보관</x:v>
      </x:c>
      <x:c r="Y930" s="2" t="str">
        <x:v>ad210cd9ec132cfd447541c8984dc53d30aff0f4fb2dc92d254d49275cc55976</x:v>
      </x:c>
      <x:c r="Z930" s="2" t="n">
        <x:f>SUBTOTAL(103,A930)</x:f>
        <x:v>1</x:v>
      </x:c>
      <x:c r="AA930" s="2" t="str">
        <x:f>IF(K930&lt;&gt;"미종결 표시","대상 아님",IF(N930="","신청일 확인",IF(NOT(ISNUMBER('종합 현황'!$H$5)),"관찰기준 확인",IF('종합 현황'!$H$5&lt;1,"관찰기준 확인",IF(N930&gt;'종합 현황'!$H$5,"내부 관찰 대상","내부 관찰일 이하")))))</x:f>
        <x:v>대상 아님</x:v>
      </x:c>
      <x:c r="AB930" s="2"/>
    </x:row>
    <x:row r="931" ht="42" customHeight="1">
      <x:c r="A931" s="2" t="str">
        <x:v>1763faf3ac7d00176970a784</x:v>
      </x:c>
      <x:c r="B931" s="2" t="str">
        <x:v>사업 평가</x:v>
      </x:c>
      <x:c r="C931" s="2" t="str">
        <x:v>국내</x:v>
      </x:c>
      <x:c r="D931" s="7" t="str">
        <x:v>동광선재(주) 고효율 공기압축기 교체를  통한  온실가스 감축사업</x:v>
      </x:c>
      <x:c r="E931" s="2" t="str">
        <x:v>792</x:v>
      </x:c>
      <x:c r="F931" s="2" t="str">
        <x:v>2021-04-30</x:v>
      </x:c>
      <x:c r="G931" s="2" t="str">
        <x:v>2021</x:v>
      </x:c>
      <x:c r="H931" s="2" t="str">
        <x:v>04</x:v>
      </x:c>
      <x:c r="I931" s="2" t="str">
        <x:v>반려</x:v>
      </x:c>
      <x:c r="J931" s="2" t="str">
        <x:v>반려</x:v>
      </x:c>
      <x:c r="K931" s="2" t="str">
        <x:f>IF(OR(J931="심의승인",J931="반려",J931="반려완료",J931="심의완료"),"종결 표시",IF(OR(J931="기후부협의",J931="문서재제출요청",J931="보류",J931="보완요청",J931="보완완료",J931="평가중",J931="반려요청",J931="평가필요",LEFT(J931,5)="보완요청("),"미종결 표시","상태 확인 필요"))</x:f>
        <x:v>종결 표시</x:v>
      </x:c>
      <x:c r="L931" s="2" t="str">
        <x:v>에코시안_정인혜</x:v>
      </x:c>
      <x:c r="M931" s="2"/>
      <x:c r="N931" s="8" t="n">
        <x:f>DATE(2026,10,15)-DATE(2021,4,30)</x:f>
        <x:v>1994</x:v>
      </x:c>
      <x:c r="O931" s="2"/>
      <x:c r="P931" s="2" t="str">
        <x:v>반려완료(재신청 예정)</x:v>
      </x:c>
      <x:c r="Q931" s="2" t="str">
        <x:v>산업전환_외부사업관리Tool_260707_이너젠 수정_LJY_261013.xlsx</x:v>
      </x:c>
      <x:c r="R931" s="2" t="str">
        <x:v>국내평가</x:v>
      </x:c>
      <x:c r="S931" s="8" t="n">
        <x:v>834</x:v>
      </x:c>
      <x:c r="T931" s="2" t="str">
        <x:v>(5/7)</x:v>
      </x:c>
      <x:c r="U931" s="2" t="str">
        <x:v>2021 배정: (5/7)</x:v>
      </x:c>
      <x:c r="V931" s="2" t="str">
        <x:v>2021-06-30</x:v>
      </x:c>
      <x:c r="W931" s="2" t="str"/>
      <x:c r="X931" s="2" t="str">
        <x:v>종결 근거 보관</x:v>
      </x:c>
      <x:c r="Y931" s="2" t="str">
        <x:v>ad210cd9ec132cfd447541c8984dc53d30aff0f4fb2dc92d254d49275cc55976</x:v>
      </x:c>
      <x:c r="Z931" s="2" t="n">
        <x:f>SUBTOTAL(103,A931)</x:f>
        <x:v>1</x:v>
      </x:c>
      <x:c r="AA931" s="2" t="str">
        <x:f>IF(K931&lt;&gt;"미종결 표시","대상 아님",IF(N931="","신청일 확인",IF(NOT(ISNUMBER('종합 현황'!$H$5)),"관찰기준 확인",IF('종합 현황'!$H$5&lt;1,"관찰기준 확인",IF(N931&gt;'종합 현황'!$H$5,"내부 관찰 대상","내부 관찰일 이하")))))</x:f>
        <x:v>대상 아님</x:v>
      </x:c>
      <x:c r="AB931" s="2"/>
    </x:row>
    <x:row r="932" ht="42" customHeight="1">
      <x:c r="A932" s="2" t="str">
        <x:v>b7a77c7ae3da855915b3e8c9</x:v>
      </x:c>
      <x:c r="B932" s="2" t="str">
        <x:v>사업 평가</x:v>
      </x:c>
      <x:c r="C932" s="2" t="str">
        <x:v>국내</x:v>
      </x:c>
      <x:c r="D932" s="7" t="str">
        <x:v>조양기계금속 고효율 공기압축기 교체를 통한 온실가스 감축사업</x:v>
      </x:c>
      <x:c r="E932" s="2" t="str">
        <x:v>793</x:v>
      </x:c>
      <x:c r="F932" s="2" t="str">
        <x:v>2021-04-30</x:v>
      </x:c>
      <x:c r="G932" s="2" t="str">
        <x:v>2021</x:v>
      </x:c>
      <x:c r="H932" s="2" t="str">
        <x:v>04</x:v>
      </x:c>
      <x:c r="I932" s="2" t="str">
        <x:v>반려</x:v>
      </x:c>
      <x:c r="J932" s="2" t="str">
        <x:v>반려</x:v>
      </x:c>
      <x:c r="K932" s="2" t="str">
        <x:f>IF(OR(J932="심의승인",J932="반려",J932="반려완료",J932="심의완료"),"종결 표시",IF(OR(J932="기후부협의",J932="문서재제출요청",J932="보류",J932="보완요청",J932="보완완료",J932="평가중",J932="반려요청",J932="평가필요",LEFT(J932,5)="보완요청("),"미종결 표시","상태 확인 필요"))</x:f>
        <x:v>종결 표시</x:v>
      </x:c>
      <x:c r="L932" s="2" t="str">
        <x:v>에코시안_박세은</x:v>
      </x:c>
      <x:c r="M932" s="2"/>
      <x:c r="N932" s="8" t="n">
        <x:f>DATE(2026,10,15)-DATE(2021,4,30)</x:f>
        <x:v>1994</x:v>
      </x:c>
      <x:c r="O932" s="2"/>
      <x:c r="P932" s="2" t="str">
        <x:v>반려완료(재신청 예정)</x:v>
      </x:c>
      <x:c r="Q932" s="2" t="str">
        <x:v>산업전환_외부사업관리Tool_260707_이너젠 수정_LJY_261013.xlsx</x:v>
      </x:c>
      <x:c r="R932" s="2" t="str">
        <x:v>국내평가</x:v>
      </x:c>
      <x:c r="S932" s="8" t="n">
        <x:v>835</x:v>
      </x:c>
      <x:c r="T932" s="2" t="str">
        <x:v>(5/7)</x:v>
      </x:c>
      <x:c r="U932" s="2" t="str">
        <x:v>2021 배정: (5/7)</x:v>
      </x:c>
      <x:c r="V932" s="2" t="str">
        <x:v>2021-06-30</x:v>
      </x:c>
      <x:c r="W932" s="2" t="str"/>
      <x:c r="X932" s="2" t="str">
        <x:v>종결 근거 보관</x:v>
      </x:c>
      <x:c r="Y932" s="2" t="str">
        <x:v>ad210cd9ec132cfd447541c8984dc53d30aff0f4fb2dc92d254d49275cc55976</x:v>
      </x:c>
      <x:c r="Z932" s="2" t="n">
        <x:f>SUBTOTAL(103,A932)</x:f>
        <x:v>1</x:v>
      </x:c>
      <x:c r="AA932" s="2" t="str">
        <x:f>IF(K932&lt;&gt;"미종결 표시","대상 아님",IF(N932="","신청일 확인",IF(NOT(ISNUMBER('종합 현황'!$H$5)),"관찰기준 확인",IF('종합 현황'!$H$5&lt;1,"관찰기준 확인",IF(N932&gt;'종합 현황'!$H$5,"내부 관찰 대상","내부 관찰일 이하")))))</x:f>
        <x:v>대상 아님</x:v>
      </x:c>
      <x:c r="AB932" s="2"/>
    </x:row>
    <x:row r="933" ht="42" customHeight="1">
      <x:c r="A933" s="2" t="str">
        <x:v>e46e3f50d82b3688e64a82d1</x:v>
      </x:c>
      <x:c r="B933" s="2" t="str">
        <x:v>사업 평가</x:v>
      </x:c>
      <x:c r="C933" s="2" t="str">
        <x:v>국내</x:v>
      </x:c>
      <x:c r="D933" s="7" t="str">
        <x:v>주평 주식회사 고효율 공기압축기 교체를 통한 온실가스 감축사업</x:v>
      </x:c>
      <x:c r="E933" s="2" t="str">
        <x:v>794</x:v>
      </x:c>
      <x:c r="F933" s="2" t="str">
        <x:v>2021-04-30</x:v>
      </x:c>
      <x:c r="G933" s="2" t="str">
        <x:v>2021</x:v>
      </x:c>
      <x:c r="H933" s="2" t="str">
        <x:v>04</x:v>
      </x:c>
      <x:c r="I933" s="2" t="str">
        <x:v>반려</x:v>
      </x:c>
      <x:c r="J933" s="2" t="str">
        <x:v>반려</x:v>
      </x:c>
      <x:c r="K933" s="2" t="str">
        <x:f>IF(OR(J933="심의승인",J933="반려",J933="반려완료",J933="심의완료"),"종결 표시",IF(OR(J933="기후부협의",J933="문서재제출요청",J933="보류",J933="보완요청",J933="보완완료",J933="평가중",J933="반려요청",J933="평가필요",LEFT(J933,5)="보완요청("),"미종결 표시","상태 확인 필요"))</x:f>
        <x:v>종결 표시</x:v>
      </x:c>
      <x:c r="L933" s="2" t="str">
        <x:v>에코시안_오경환</x:v>
      </x:c>
      <x:c r="M933" s="2"/>
      <x:c r="N933" s="8" t="n">
        <x:f>DATE(2026,10,15)-DATE(2021,4,30)</x:f>
        <x:v>1994</x:v>
      </x:c>
      <x:c r="O933" s="2" t="str">
        <x:v>O(6월)</x:v>
      </x:c>
      <x:c r="P933" s="2" t="str">
        <x:v>반려완료(재신청 예정)</x:v>
      </x:c>
      <x:c r="Q933" s="2" t="str">
        <x:v>산업전환_외부사업관리Tool_260707_이너젠 수정_LJY_261013.xlsx</x:v>
      </x:c>
      <x:c r="R933" s="2" t="str">
        <x:v>국내평가</x:v>
      </x:c>
      <x:c r="S933" s="8" t="n">
        <x:v>836</x:v>
      </x:c>
      <x:c r="T933" s="2" t="str">
        <x:v>(5/7)</x:v>
      </x:c>
      <x:c r="U933" s="2" t="str">
        <x:v>2021 배정: (5/7)</x:v>
      </x:c>
      <x:c r="V933" s="2" t="str">
        <x:v>2021-06-30</x:v>
      </x:c>
      <x:c r="W933" s="2" t="str"/>
      <x:c r="X933" s="2" t="str">
        <x:v>종결 근거 보관</x:v>
      </x:c>
      <x:c r="Y933" s="2" t="str">
        <x:v>ad210cd9ec132cfd447541c8984dc53d30aff0f4fb2dc92d254d49275cc55976</x:v>
      </x:c>
      <x:c r="Z933" s="2" t="n">
        <x:f>SUBTOTAL(103,A933)</x:f>
        <x:v>1</x:v>
      </x:c>
      <x:c r="AA933" s="2" t="str">
        <x:f>IF(K933&lt;&gt;"미종결 표시","대상 아님",IF(N933="","신청일 확인",IF(NOT(ISNUMBER('종합 현황'!$H$5)),"관찰기준 확인",IF('종합 현황'!$H$5&lt;1,"관찰기준 확인",IF(N933&gt;'종합 현황'!$H$5,"내부 관찰 대상","내부 관찰일 이하")))))</x:f>
        <x:v>대상 아님</x:v>
      </x:c>
      <x:c r="AB933" s="2"/>
    </x:row>
    <x:row r="934" ht="42" customHeight="1">
      <x:c r="A934" s="2" t="str">
        <x:v>a14c668c11b5cc836011e91a</x:v>
      </x:c>
      <x:c r="B934" s="2" t="str">
        <x:v>사업 평가</x:v>
      </x:c>
      <x:c r="C934" s="2" t="str">
        <x:v>국내</x:v>
      </x:c>
      <x:c r="D934" s="7" t="str">
        <x:v>(주)진일공업_고효율  공기압축기 교체를 통한 온실가스 감축사업</x:v>
      </x:c>
      <x:c r="E934" s="2" t="str">
        <x:v>795</x:v>
      </x:c>
      <x:c r="F934" s="2" t="str">
        <x:v>2019-09-24</x:v>
      </x:c>
      <x:c r="G934" s="2" t="str">
        <x:v>2019</x:v>
      </x:c>
      <x:c r="H934" s="2" t="str">
        <x:v>09</x:v>
      </x:c>
      <x:c r="I934" s="2" t="str">
        <x:v>승인</x:v>
      </x:c>
      <x:c r="J934" s="2" t="str">
        <x:v>심의승인</x:v>
      </x:c>
      <x:c r="K934" s="2" t="str">
        <x:f>IF(OR(J934="심의승인",J934="반려",J934="반려완료",J934="심의완료"),"종결 표시",IF(OR(J934="기후부협의",J934="문서재제출요청",J934="보류",J934="보완요청",J934="보완완료",J934="평가중",J934="반려요청",J934="평가필요",LEFT(J934,5)="보완요청("),"미종결 표시","상태 확인 필요"))</x:f>
        <x:v>종결 표시</x:v>
      </x:c>
      <x:c r="L934" s="2" t="str">
        <x:v>KECM_이태준</x:v>
      </x:c>
      <x:c r="M934" s="2"/>
      <x:c r="N934" s="8" t="n">
        <x:f>DATE(2026,10,15)-DATE(2019,9,24)</x:f>
        <x:v>2578</x:v>
      </x:c>
      <x:c r="O934" s="2" t="str">
        <x:v>O(21.10)</x:v>
      </x:c>
      <x:c r="P934" s="2" t="str">
        <x:v>1분기 인증위 승인</x:v>
      </x:c>
      <x:c r="Q934" s="2" t="str">
        <x:v>산업전환_외부사업관리Tool_260707_이너젠 수정_LJY_261013.xlsx</x:v>
      </x:c>
      <x:c r="R934" s="2" t="str">
        <x:v>국내평가</x:v>
      </x:c>
      <x:c r="S934" s="8" t="n">
        <x:v>837</x:v>
      </x:c>
      <x:c r="T934" s="2" t="str">
        <x:v>(7/12),(9/1),(10/20)</x:v>
      </x:c>
      <x:c r="U934" s="2" t="str">
        <x:v>2021 배정: (7/12),(9/1),(10/20) / 2022 배정: (4/19) / 2022 배정(신규): (5/18),(8/16),(9/19),(10/19)</x:v>
      </x:c>
      <x:c r="V934" s="2" t="str">
        <x:v>2023-04-19</x:v>
      </x:c>
      <x:c r="W934" s="2" t="str"/>
      <x:c r="X934" s="2" t="str">
        <x:v>종결 근거 보관</x:v>
      </x:c>
      <x:c r="Y934" s="2" t="str">
        <x:v>ad210cd9ec132cfd447541c8984dc53d30aff0f4fb2dc92d254d49275cc55976</x:v>
      </x:c>
      <x:c r="Z934" s="2" t="n">
        <x:f>SUBTOTAL(103,A934)</x:f>
        <x:v>1</x:v>
      </x:c>
      <x:c r="AA934" s="2" t="str">
        <x:f>IF(K934&lt;&gt;"미종결 표시","대상 아님",IF(N934="","신청일 확인",IF(NOT(ISNUMBER('종합 현황'!$H$5)),"관찰기준 확인",IF('종합 현황'!$H$5&lt;1,"관찰기준 확인",IF(N934&gt;'종합 현황'!$H$5,"내부 관찰 대상","내부 관찰일 이하")))))</x:f>
        <x:v>대상 아님</x:v>
      </x:c>
      <x:c r="AB934" s="2"/>
    </x:row>
    <x:row r="935" ht="42" customHeight="1">
      <x:c r="A935" s="2" t="str">
        <x:v>877b3c7a062e654aa0b30cb1</x:v>
      </x:c>
      <x:c r="B935" s="2" t="str">
        <x:v>사업 평가</x:v>
      </x:c>
      <x:c r="C935" s="2" t="str">
        <x:v>국내</x:v>
      </x:c>
      <x:c r="D935" s="7" t="str">
        <x:v>㈜일진산업_고효율 공기압축기 교체를 통한 온실가스 감축사업</x:v>
      </x:c>
      <x:c r="E935" s="2" t="str">
        <x:v>796</x:v>
      </x:c>
      <x:c r="F935" s="2" t="str">
        <x:v>2019-10-30</x:v>
      </x:c>
      <x:c r="G935" s="2" t="str">
        <x:v>2019</x:v>
      </x:c>
      <x:c r="H935" s="2" t="str">
        <x:v>10</x:v>
      </x:c>
      <x:c r="I935" s="2" t="str">
        <x:v>승인</x:v>
      </x:c>
      <x:c r="J935" s="2" t="str">
        <x:v>심의승인</x:v>
      </x:c>
      <x:c r="K935" s="2" t="str">
        <x:f>IF(OR(J935="심의승인",J935="반려",J935="반려완료",J935="심의완료"),"종결 표시",IF(OR(J935="기후부협의",J935="문서재제출요청",J935="보류",J935="보완요청",J935="보완완료",J935="평가중",J935="반려요청",J935="평가필요",LEFT(J935,5)="보완요청("),"미종결 표시","상태 확인 필요"))</x:f>
        <x:v>종결 표시</x:v>
      </x:c>
      <x:c r="L935" s="2" t="str">
        <x:v>KECM_이태준</x:v>
      </x:c>
      <x:c r="M935" s="2"/>
      <x:c r="N935" s="8" t="n">
        <x:f>DATE(2026,10,15)-DATE(2019,10,30)</x:f>
        <x:v>2542</x:v>
      </x:c>
      <x:c r="O935" s="2" t="str">
        <x:v>O(21.09)</x:v>
      </x:c>
      <x:c r="P935" s="2" t="str">
        <x:v>1분기 인증위 승인</x:v>
      </x:c>
      <x:c r="Q935" s="2" t="str">
        <x:v>산업전환_외부사업관리Tool_260707_이너젠 수정_LJY_261013.xlsx</x:v>
      </x:c>
      <x:c r="R935" s="2" t="str">
        <x:v>국내평가</x:v>
      </x:c>
      <x:c r="S935" s="8" t="n">
        <x:v>838</x:v>
      </x:c>
      <x:c r="T935" s="2" t="str">
        <x:v>(7/12),(9/1),(10/20),(12/1)</x:v>
      </x:c>
      <x:c r="U935" s="2" t="str">
        <x:v>2021 배정: (7/12),(9/1),(10/20),(12/1) / 2022 배정: (4/19) / 2022 배정(신규): (5/18),(8/16),(10/19)</x:v>
      </x:c>
      <x:c r="V935" s="2" t="str">
        <x:v>2023-04-19</x:v>
      </x:c>
      <x:c r="W935" s="2" t="str"/>
      <x:c r="X935" s="2" t="str">
        <x:v>종결 근거 보관</x:v>
      </x:c>
      <x:c r="Y935" s="2" t="str">
        <x:v>ad210cd9ec132cfd447541c8984dc53d30aff0f4fb2dc92d254d49275cc55976</x:v>
      </x:c>
      <x:c r="Z935" s="2" t="n">
        <x:f>SUBTOTAL(103,A935)</x:f>
        <x:v>1</x:v>
      </x:c>
      <x:c r="AA935" s="2" t="str">
        <x:f>IF(K935&lt;&gt;"미종결 표시","대상 아님",IF(N935="","신청일 확인",IF(NOT(ISNUMBER('종합 현황'!$H$5)),"관찰기준 확인",IF('종합 현황'!$H$5&lt;1,"관찰기준 확인",IF(N935&gt;'종합 현황'!$H$5,"내부 관찰 대상","내부 관찰일 이하")))))</x:f>
        <x:v>대상 아님</x:v>
      </x:c>
      <x:c r="AB935" s="2"/>
    </x:row>
    <x:row r="936" ht="42" customHeight="1">
      <x:c r="A936" s="2" t="str">
        <x:v>06c99f5a01e1c04f0ba7f989</x:v>
      </x:c>
      <x:c r="B936" s="2" t="str">
        <x:v>사업 평가</x:v>
      </x:c>
      <x:c r="C936" s="2" t="str">
        <x:v>국내</x:v>
      </x:c>
      <x:c r="D936" s="7" t="str">
        <x:v>주식회사명진기공 고효율 공기압축기 교체를  통한  온실가스 감축사업</x:v>
      </x:c>
      <x:c r="E936" s="2" t="str">
        <x:v>797</x:v>
      </x:c>
      <x:c r="F936" s="2" t="str">
        <x:v>2021-04-30</x:v>
      </x:c>
      <x:c r="G936" s="2" t="str">
        <x:v>2021</x:v>
      </x:c>
      <x:c r="H936" s="2" t="str">
        <x:v>04</x:v>
      </x:c>
      <x:c r="I936" s="2" t="str">
        <x:v>반려</x:v>
      </x:c>
      <x:c r="J936" s="2" t="str">
        <x:v>반려</x:v>
      </x:c>
      <x:c r="K936" s="2" t="str">
        <x:f>IF(OR(J936="심의승인",J936="반려",J936="반려완료",J936="심의완료"),"종결 표시",IF(OR(J936="기후부협의",J936="문서재제출요청",J936="보류",J936="보완요청",J936="보완완료",J936="평가중",J936="반려요청",J936="평가필요",LEFT(J936,5)="보완요청("),"미종결 표시","상태 확인 필요"))</x:f>
        <x:v>종결 표시</x:v>
      </x:c>
      <x:c r="L936" s="2" t="str">
        <x:v>에코시안_박세은</x:v>
      </x:c>
      <x:c r="M936" s="2"/>
      <x:c r="N936" s="8" t="n">
        <x:f>DATE(2026,10,15)-DATE(2021,4,30)</x:f>
        <x:v>1994</x:v>
      </x:c>
      <x:c r="O936" s="2"/>
      <x:c r="P936" s="2" t="str">
        <x:v>반려완료(재신청 예정)</x:v>
      </x:c>
      <x:c r="Q936" s="2" t="str">
        <x:v>산업전환_외부사업관리Tool_260707_이너젠 수정_LJY_261013.xlsx</x:v>
      </x:c>
      <x:c r="R936" s="2" t="str">
        <x:v>국내평가</x:v>
      </x:c>
      <x:c r="S936" s="8" t="n">
        <x:v>839</x:v>
      </x:c>
      <x:c r="T936" s="2" t="str">
        <x:v>(5/7)</x:v>
      </x:c>
      <x:c r="U936" s="2" t="str">
        <x:v>2021 배정: (5/7)</x:v>
      </x:c>
      <x:c r="V936" s="2" t="str">
        <x:v>2021-06-30</x:v>
      </x:c>
      <x:c r="W936" s="2" t="str"/>
      <x:c r="X936" s="2" t="str">
        <x:v>종결 근거 보관</x:v>
      </x:c>
      <x:c r="Y936" s="2" t="str">
        <x:v>ad210cd9ec132cfd447541c8984dc53d30aff0f4fb2dc92d254d49275cc55976</x:v>
      </x:c>
      <x:c r="Z936" s="2" t="n">
        <x:f>SUBTOTAL(103,A936)</x:f>
        <x:v>1</x:v>
      </x:c>
      <x:c r="AA936" s="2" t="str">
        <x:f>IF(K936&lt;&gt;"미종결 표시","대상 아님",IF(N936="","신청일 확인",IF(NOT(ISNUMBER('종합 현황'!$H$5)),"관찰기준 확인",IF('종합 현황'!$H$5&lt;1,"관찰기준 확인",IF(N936&gt;'종합 현황'!$H$5,"내부 관찰 대상","내부 관찰일 이하")))))</x:f>
        <x:v>대상 아님</x:v>
      </x:c>
      <x:c r="AB936" s="2"/>
    </x:row>
    <x:row r="937" ht="42" customHeight="1">
      <x:c r="A937" s="2" t="str">
        <x:v>006e0b0d9af59831063f58e9</x:v>
      </x:c>
      <x:c r="B937" s="2" t="str">
        <x:v>사업 평가</x:v>
      </x:c>
      <x:c r="C937" s="2" t="str">
        <x:v>국내</x:v>
      </x:c>
      <x:c r="D937" s="7" t="str">
        <x:v>주평 주식회사 고효율 공기압축기 교체를 통한 온실가스 감축사업</x:v>
      </x:c>
      <x:c r="E937" s="2" t="str">
        <x:v>798</x:v>
      </x:c>
      <x:c r="F937" s="2" t="str">
        <x:v>2021-04-30</x:v>
      </x:c>
      <x:c r="G937" s="2" t="str">
        <x:v>2021</x:v>
      </x:c>
      <x:c r="H937" s="2" t="str">
        <x:v>04</x:v>
      </x:c>
      <x:c r="I937" s="2" t="str">
        <x:v>반려</x:v>
      </x:c>
      <x:c r="J937" s="2" t="str">
        <x:v>반려</x:v>
      </x:c>
      <x:c r="K937" s="2" t="str">
        <x:f>IF(OR(J937="심의승인",J937="반려",J937="반려완료",J937="심의완료"),"종결 표시",IF(OR(J937="기후부협의",J937="문서재제출요청",J937="보류",J937="보완요청",J937="보완완료",J937="평가중",J937="반려요청",J937="평가필요",LEFT(J937,5)="보완요청("),"미종결 표시","상태 확인 필요"))</x:f>
        <x:v>종결 표시</x:v>
      </x:c>
      <x:c r="L937" s="2" t="str">
        <x:v>에코시안_오경환</x:v>
      </x:c>
      <x:c r="M937" s="2"/>
      <x:c r="N937" s="8" t="n">
        <x:f>DATE(2026,10,15)-DATE(2021,4,30)</x:f>
        <x:v>1994</x:v>
      </x:c>
      <x:c r="O937" s="2" t="str">
        <x:v>O(6월)</x:v>
      </x:c>
      <x:c r="P937" s="2" t="str">
        <x:v>반려완료(재신청 예정)</x:v>
      </x:c>
      <x:c r="Q937" s="2" t="str">
        <x:v>산업전환_외부사업관리Tool_260707_이너젠 수정_LJY_261013.xlsx</x:v>
      </x:c>
      <x:c r="R937" s="2" t="str">
        <x:v>국내평가</x:v>
      </x:c>
      <x:c r="S937" s="8" t="n">
        <x:v>840</x:v>
      </x:c>
      <x:c r="T937" s="2" t="str">
        <x:v>(5/7)</x:v>
      </x:c>
      <x:c r="U937" s="2" t="str">
        <x:v>2021 배정: (5/7)</x:v>
      </x:c>
      <x:c r="V937" s="2" t="str">
        <x:v>2021-06-30</x:v>
      </x:c>
      <x:c r="W937" s="2" t="str"/>
      <x:c r="X937" s="2" t="str">
        <x:v>종결 근거 보관</x:v>
      </x:c>
      <x:c r="Y937" s="2" t="str">
        <x:v>ad210cd9ec132cfd447541c8984dc53d30aff0f4fb2dc92d254d49275cc55976</x:v>
      </x:c>
      <x:c r="Z937" s="2" t="n">
        <x:f>SUBTOTAL(103,A937)</x:f>
        <x:v>1</x:v>
      </x:c>
      <x:c r="AA937" s="2" t="str">
        <x:f>IF(K937&lt;&gt;"미종결 표시","대상 아님",IF(N937="","신청일 확인",IF(NOT(ISNUMBER('종합 현황'!$H$5)),"관찰기준 확인",IF('종합 현황'!$H$5&lt;1,"관찰기준 확인",IF(N937&gt;'종합 현황'!$H$5,"내부 관찰 대상","내부 관찰일 이하")))))</x:f>
        <x:v>대상 아님</x:v>
      </x:c>
      <x:c r="AB937" s="2"/>
    </x:row>
    <x:row r="938" ht="42" customHeight="1">
      <x:c r="A938" s="2" t="str">
        <x:v>13d503833e52ed5135ab6533</x:v>
      </x:c>
      <x:c r="B938" s="2" t="str">
        <x:v>사업 평가</x:v>
      </x:c>
      <x:c r="C938" s="2" t="str">
        <x:v>국내</x:v>
      </x:c>
      <x:c r="D938" s="7" t="str">
        <x:v>GI 하이텍 고효율 공기압축기 교체를 통한 온실가스 감축사업</x:v>
      </x:c>
      <x:c r="E938" s="2" t="str">
        <x:v>799</x:v>
      </x:c>
      <x:c r="F938" s="2" t="str">
        <x:v>2021-04-30</x:v>
      </x:c>
      <x:c r="G938" s="2" t="str">
        <x:v>2021</x:v>
      </x:c>
      <x:c r="H938" s="2" t="str">
        <x:v>04</x:v>
      </x:c>
      <x:c r="I938" s="2" t="str">
        <x:v>반려</x:v>
      </x:c>
      <x:c r="J938" s="2" t="str">
        <x:v>반려</x:v>
      </x:c>
      <x:c r="K938" s="2" t="str">
        <x:f>IF(OR(J938="심의승인",J938="반려",J938="반려완료",J938="심의완료"),"종결 표시",IF(OR(J938="기후부협의",J938="문서재제출요청",J938="보류",J938="보완요청",J938="보완완료",J938="평가중",J938="반려요청",J938="평가필요",LEFT(J938,5)="보완요청("),"미종결 표시","상태 확인 필요"))</x:f>
        <x:v>종결 표시</x:v>
      </x:c>
      <x:c r="L938" s="2" t="str">
        <x:v>에코시안_오경환</x:v>
      </x:c>
      <x:c r="M938" s="2"/>
      <x:c r="N938" s="8" t="n">
        <x:f>DATE(2026,10,15)-DATE(2021,4,30)</x:f>
        <x:v>1994</x:v>
      </x:c>
      <x:c r="O938" s="2"/>
      <x:c r="P938" s="2" t="str">
        <x:v>반려완료(재신청 예정)</x:v>
      </x:c>
      <x:c r="Q938" s="2" t="str">
        <x:v>산업전환_외부사업관리Tool_260707_이너젠 수정_LJY_261013.xlsx</x:v>
      </x:c>
      <x:c r="R938" s="2" t="str">
        <x:v>국내평가</x:v>
      </x:c>
      <x:c r="S938" s="8" t="n">
        <x:v>841</x:v>
      </x:c>
      <x:c r="T938" s="2" t="str">
        <x:v>(5/7)</x:v>
      </x:c>
      <x:c r="U938" s="2" t="str">
        <x:v>2021 배정: (5/7)</x:v>
      </x:c>
      <x:c r="V938" s="2" t="str">
        <x:v>2021-06-30</x:v>
      </x:c>
      <x:c r="W938" s="2" t="str"/>
      <x:c r="X938" s="2" t="str">
        <x:v>종결 근거 보관</x:v>
      </x:c>
      <x:c r="Y938" s="2" t="str">
        <x:v>ad210cd9ec132cfd447541c8984dc53d30aff0f4fb2dc92d254d49275cc55976</x:v>
      </x:c>
      <x:c r="Z938" s="2" t="n">
        <x:f>SUBTOTAL(103,A938)</x:f>
        <x:v>1</x:v>
      </x:c>
      <x:c r="AA938" s="2" t="str">
        <x:f>IF(K938&lt;&gt;"미종결 표시","대상 아님",IF(N938="","신청일 확인",IF(NOT(ISNUMBER('종합 현황'!$H$5)),"관찰기준 확인",IF('종합 현황'!$H$5&lt;1,"관찰기준 확인",IF(N938&gt;'종합 현황'!$H$5,"내부 관찰 대상","내부 관찰일 이하")))))</x:f>
        <x:v>대상 아님</x:v>
      </x:c>
      <x:c r="AB938" s="2"/>
    </x:row>
    <x:row r="939" ht="42" customHeight="1">
      <x:c r="A939" s="2" t="str">
        <x:v>fb48c8ea477baf1743835b67</x:v>
      </x:c>
      <x:c r="B939" s="2" t="str">
        <x:v>사업 평가</x:v>
      </x:c>
      <x:c r="C939" s="2" t="str">
        <x:v>국내</x:v>
      </x:c>
      <x:c r="D939" s="7" t="str">
        <x:v>(주) 진광 고효율 공기압축기 교체를 통한 온실가스 감축사업</x:v>
      </x:c>
      <x:c r="E939" s="2" t="str">
        <x:v>800</x:v>
      </x:c>
      <x:c r="F939" s="2" t="str">
        <x:v>2021-04-30</x:v>
      </x:c>
      <x:c r="G939" s="2" t="str">
        <x:v>2021</x:v>
      </x:c>
      <x:c r="H939" s="2" t="str">
        <x:v>04</x:v>
      </x:c>
      <x:c r="I939" s="2" t="str">
        <x:v>반려</x:v>
      </x:c>
      <x:c r="J939" s="2" t="str">
        <x:v>반려</x:v>
      </x:c>
      <x:c r="K939" s="2" t="str">
        <x:f>IF(OR(J939="심의승인",J939="반려",J939="반려완료",J939="심의완료"),"종결 표시",IF(OR(J939="기후부협의",J939="문서재제출요청",J939="보류",J939="보완요청",J939="보완완료",J939="평가중",J939="반려요청",J939="평가필요",LEFT(J939,5)="보완요청("),"미종결 표시","상태 확인 필요"))</x:f>
        <x:v>종결 표시</x:v>
      </x:c>
      <x:c r="L939" s="2" t="str">
        <x:v>에코시안_오경환</x:v>
      </x:c>
      <x:c r="M939" s="2"/>
      <x:c r="N939" s="8" t="n">
        <x:f>DATE(2026,10,15)-DATE(2021,4,30)</x:f>
        <x:v>1994</x:v>
      </x:c>
      <x:c r="O939" s="2" t="str">
        <x:v>O(6월)</x:v>
      </x:c>
      <x:c r="P939" s="2" t="str">
        <x:v>반려완료(재신청 예정)</x:v>
      </x:c>
      <x:c r="Q939" s="2" t="str">
        <x:v>산업전환_외부사업관리Tool_260707_이너젠 수정_LJY_261013.xlsx</x:v>
      </x:c>
      <x:c r="R939" s="2" t="str">
        <x:v>국내평가</x:v>
      </x:c>
      <x:c r="S939" s="8" t="n">
        <x:v>842</x:v>
      </x:c>
      <x:c r="T939" s="2" t="str">
        <x:v>(5/7)</x:v>
      </x:c>
      <x:c r="U939" s="2" t="str">
        <x:v>2021 배정: (5/7)</x:v>
      </x:c>
      <x:c r="V939" s="2" t="str">
        <x:v>2021-06-30</x:v>
      </x:c>
      <x:c r="W939" s="2" t="str"/>
      <x:c r="X939" s="2" t="str">
        <x:v>종결 근거 보관</x:v>
      </x:c>
      <x:c r="Y939" s="2" t="str">
        <x:v>ad210cd9ec132cfd447541c8984dc53d30aff0f4fb2dc92d254d49275cc55976</x:v>
      </x:c>
      <x:c r="Z939" s="2" t="n">
        <x:f>SUBTOTAL(103,A939)</x:f>
        <x:v>1</x:v>
      </x:c>
      <x:c r="AA939" s="2" t="str">
        <x:f>IF(K939&lt;&gt;"미종결 표시","대상 아님",IF(N939="","신청일 확인",IF(NOT(ISNUMBER('종합 현황'!$H$5)),"관찰기준 확인",IF('종합 현황'!$H$5&lt;1,"관찰기준 확인",IF(N939&gt;'종합 현황'!$H$5,"내부 관찰 대상","내부 관찰일 이하")))))</x:f>
        <x:v>대상 아님</x:v>
      </x:c>
      <x:c r="AB939" s="2"/>
    </x:row>
    <x:row r="940" ht="42" customHeight="1">
      <x:c r="A940" s="2" t="str">
        <x:v>f8680718a41c35835aafdc30</x:v>
      </x:c>
      <x:c r="B940" s="2" t="str">
        <x:v>사업 평가</x:v>
      </x:c>
      <x:c r="C940" s="2" t="str">
        <x:v>국내</x:v>
      </x:c>
      <x:c r="D940" s="7" t="str">
        <x:v>주식회사 에스 앤 더블류 고효율 공기압축기 교체를  통한  온실가스 감축사업</x:v>
      </x:c>
      <x:c r="E940" s="2" t="str">
        <x:v>801</x:v>
      </x:c>
      <x:c r="F940" s="2" t="str">
        <x:v>2021-04-30</x:v>
      </x:c>
      <x:c r="G940" s="2" t="str">
        <x:v>2021</x:v>
      </x:c>
      <x:c r="H940" s="2" t="str">
        <x:v>04</x:v>
      </x:c>
      <x:c r="I940" s="2" t="str">
        <x:v>반려</x:v>
      </x:c>
      <x:c r="J940" s="2" t="str">
        <x:v>반려</x:v>
      </x:c>
      <x:c r="K940" s="2" t="str">
        <x:f>IF(OR(J940="심의승인",J940="반려",J940="반려완료",J940="심의완료"),"종결 표시",IF(OR(J940="기후부협의",J940="문서재제출요청",J940="보류",J940="보완요청",J940="보완완료",J940="평가중",J940="반려요청",J940="평가필요",LEFT(J940,5)="보완요청("),"미종결 표시","상태 확인 필요"))</x:f>
        <x:v>종결 표시</x:v>
      </x:c>
      <x:c r="L940" s="2" t="str">
        <x:v>에코시안_오경환</x:v>
      </x:c>
      <x:c r="M940" s="2"/>
      <x:c r="N940" s="8" t="n">
        <x:f>DATE(2026,10,15)-DATE(2021,4,30)</x:f>
        <x:v>1994</x:v>
      </x:c>
      <x:c r="O940" s="2"/>
      <x:c r="P940" s="2" t="str">
        <x:v>반려완료(재신청 예정)</x:v>
      </x:c>
      <x:c r="Q940" s="2" t="str">
        <x:v>산업전환_외부사업관리Tool_260707_이너젠 수정_LJY_261013.xlsx</x:v>
      </x:c>
      <x:c r="R940" s="2" t="str">
        <x:v>국내평가</x:v>
      </x:c>
      <x:c r="S940" s="8" t="n">
        <x:v>843</x:v>
      </x:c>
      <x:c r="T940" s="2" t="str">
        <x:v>(5/7)</x:v>
      </x:c>
      <x:c r="U940" s="2" t="str">
        <x:v>2021 배정: (5/7)</x:v>
      </x:c>
      <x:c r="V940" s="2" t="str">
        <x:v>2021-06-30</x:v>
      </x:c>
      <x:c r="W940" s="2" t="str"/>
      <x:c r="X940" s="2" t="str">
        <x:v>종결 근거 보관</x:v>
      </x:c>
      <x:c r="Y940" s="2" t="str">
        <x:v>ad210cd9ec132cfd447541c8984dc53d30aff0f4fb2dc92d254d49275cc55976</x:v>
      </x:c>
      <x:c r="Z940" s="2" t="n">
        <x:f>SUBTOTAL(103,A940)</x:f>
        <x:v>1</x:v>
      </x:c>
      <x:c r="AA940" s="2" t="str">
        <x:f>IF(K940&lt;&gt;"미종결 표시","대상 아님",IF(N940="","신청일 확인",IF(NOT(ISNUMBER('종합 현황'!$H$5)),"관찰기준 확인",IF('종합 현황'!$H$5&lt;1,"관찰기준 확인",IF(N940&gt;'종합 현황'!$H$5,"내부 관찰 대상","내부 관찰일 이하")))))</x:f>
        <x:v>대상 아님</x:v>
      </x:c>
      <x:c r="AB940" s="2"/>
    </x:row>
    <x:row r="941" ht="42" customHeight="1">
      <x:c r="A941" s="2" t="str">
        <x:v>8a92a5d830feefc7c7e02f58</x:v>
      </x:c>
      <x:c r="B941" s="2" t="str">
        <x:v>사업 평가</x:v>
      </x:c>
      <x:c r="C941" s="2" t="str">
        <x:v>국내</x:v>
      </x:c>
      <x:c r="D941" s="7" t="str">
        <x:v>진광모비코주식회사 고효율 공기압축기 교체를 통한 온실가스 감축사업</x:v>
      </x:c>
      <x:c r="E941" s="2" t="str">
        <x:v>802</x:v>
      </x:c>
      <x:c r="F941" s="2" t="str">
        <x:v>2021-04-30</x:v>
      </x:c>
      <x:c r="G941" s="2" t="str">
        <x:v>2021</x:v>
      </x:c>
      <x:c r="H941" s="2" t="str">
        <x:v>04</x:v>
      </x:c>
      <x:c r="I941" s="2" t="str">
        <x:v>반려</x:v>
      </x:c>
      <x:c r="J941" s="2" t="str">
        <x:v>반려</x:v>
      </x:c>
      <x:c r="K941" s="2" t="str">
        <x:f>IF(OR(J941="심의승인",J941="반려",J941="반려완료",J941="심의완료"),"종결 표시",IF(OR(J941="기후부협의",J941="문서재제출요청",J941="보류",J941="보완요청",J941="보완완료",J941="평가중",J941="반려요청",J941="평가필요",LEFT(J941,5)="보완요청("),"미종결 표시","상태 확인 필요"))</x:f>
        <x:v>종결 표시</x:v>
      </x:c>
      <x:c r="L941" s="2" t="str">
        <x:v>에코시안_오경환</x:v>
      </x:c>
      <x:c r="M941" s="2"/>
      <x:c r="N941" s="8" t="n">
        <x:f>DATE(2026,10,15)-DATE(2021,4,30)</x:f>
        <x:v>1994</x:v>
      </x:c>
      <x:c r="O941" s="2" t="str">
        <x:v>O(6월)</x:v>
      </x:c>
      <x:c r="P941" s="2"/>
      <x:c r="Q941" s="2" t="str">
        <x:v>산업전환_외부사업관리Tool_260707_이너젠 수정_LJY_261013.xlsx</x:v>
      </x:c>
      <x:c r="R941" s="2" t="str">
        <x:v>국내평가</x:v>
      </x:c>
      <x:c r="S941" s="8" t="n">
        <x:v>844</x:v>
      </x:c>
      <x:c r="T941" s="2" t="str">
        <x:v>(5/7)</x:v>
      </x:c>
      <x:c r="U941" s="2" t="str">
        <x:v>2021 배정: (5/7)</x:v>
      </x:c>
      <x:c r="V941" s="2" t="str">
        <x:v>2021-10-25</x:v>
      </x:c>
      <x:c r="W941" s="2" t="str"/>
      <x:c r="X941" s="2" t="str">
        <x:v>종결 근거 보관</x:v>
      </x:c>
      <x:c r="Y941" s="2" t="str">
        <x:v>ad210cd9ec132cfd447541c8984dc53d30aff0f4fb2dc92d254d49275cc55976</x:v>
      </x:c>
      <x:c r="Z941" s="2" t="n">
        <x:f>SUBTOTAL(103,A941)</x:f>
        <x:v>1</x:v>
      </x:c>
      <x:c r="AA941" s="2" t="str">
        <x:f>IF(K941&lt;&gt;"미종결 표시","대상 아님",IF(N941="","신청일 확인",IF(NOT(ISNUMBER('종합 현황'!$H$5)),"관찰기준 확인",IF('종합 현황'!$H$5&lt;1,"관찰기준 확인",IF(N941&gt;'종합 현황'!$H$5,"내부 관찰 대상","내부 관찰일 이하")))))</x:f>
        <x:v>대상 아님</x:v>
      </x:c>
      <x:c r="AB941" s="2"/>
    </x:row>
    <x:row r="942" ht="42" customHeight="1">
      <x:c r="A942" s="2" t="str">
        <x:v>520c386e60728f1fa768ad87</x:v>
      </x:c>
      <x:c r="B942" s="2" t="str">
        <x:v>사업 평가</x:v>
      </x:c>
      <x:c r="C942" s="2" t="str">
        <x:v>국내</x:v>
      </x:c>
      <x:c r="D942" s="7" t="str">
        <x:v>(주)아이피케이 고효율 공기압축기 교체를 통한 온실가스 감축사업</x:v>
      </x:c>
      <x:c r="E942" s="2" t="str">
        <x:v>803</x:v>
      </x:c>
      <x:c r="F942" s="2" t="str">
        <x:v>2021-04-30</x:v>
      </x:c>
      <x:c r="G942" s="2" t="str">
        <x:v>2021</x:v>
      </x:c>
      <x:c r="H942" s="2" t="str">
        <x:v>04</x:v>
      </x:c>
      <x:c r="I942" s="2" t="str">
        <x:v>반려</x:v>
      </x:c>
      <x:c r="J942" s="2" t="str">
        <x:v>반려</x:v>
      </x:c>
      <x:c r="K942" s="2" t="str">
        <x:f>IF(OR(J942="심의승인",J942="반려",J942="반려완료",J942="심의완료"),"종결 표시",IF(OR(J942="기후부협의",J942="문서재제출요청",J942="보류",J942="보완요청",J942="보완완료",J942="평가중",J942="반려요청",J942="평가필요",LEFT(J942,5)="보완요청("),"미종결 표시","상태 확인 필요"))</x:f>
        <x:v>종결 표시</x:v>
      </x:c>
      <x:c r="L942" s="2" t="str">
        <x:v>에코시안_권송화</x:v>
      </x:c>
      <x:c r="M942" s="2"/>
      <x:c r="N942" s="8" t="n">
        <x:f>DATE(2026,10,15)-DATE(2021,4,30)</x:f>
        <x:v>1994</x:v>
      </x:c>
      <x:c r="O942" s="2" t="str">
        <x:v>O(6월)</x:v>
      </x:c>
      <x:c r="P942" s="2"/>
      <x:c r="Q942" s="2" t="str">
        <x:v>산업전환_외부사업관리Tool_260707_이너젠 수정_LJY_261013.xlsx</x:v>
      </x:c>
      <x:c r="R942" s="2" t="str">
        <x:v>국내평가</x:v>
      </x:c>
      <x:c r="S942" s="8" t="n">
        <x:v>845</x:v>
      </x:c>
      <x:c r="T942" s="2" t="str">
        <x:v>(5/7)</x:v>
      </x:c>
      <x:c r="U942" s="2" t="str">
        <x:v>2021 배정: (5/7)</x:v>
      </x:c>
      <x:c r="V942" s="2" t="str">
        <x:v>2021-10-25</x:v>
      </x:c>
      <x:c r="W942" s="2" t="str"/>
      <x:c r="X942" s="2" t="str">
        <x:v>종결 근거 보관</x:v>
      </x:c>
      <x:c r="Y942" s="2" t="str">
        <x:v>ad210cd9ec132cfd447541c8984dc53d30aff0f4fb2dc92d254d49275cc55976</x:v>
      </x:c>
      <x:c r="Z942" s="2" t="n">
        <x:f>SUBTOTAL(103,A942)</x:f>
        <x:v>1</x:v>
      </x:c>
      <x:c r="AA942" s="2" t="str">
        <x:f>IF(K942&lt;&gt;"미종결 표시","대상 아님",IF(N942="","신청일 확인",IF(NOT(ISNUMBER('종합 현황'!$H$5)),"관찰기준 확인",IF('종합 현황'!$H$5&lt;1,"관찰기준 확인",IF(N942&gt;'종합 현황'!$H$5,"내부 관찰 대상","내부 관찰일 이하")))))</x:f>
        <x:v>대상 아님</x:v>
      </x:c>
      <x:c r="AB942" s="2"/>
    </x:row>
    <x:row r="943" ht="42" customHeight="1">
      <x:c r="A943" s="2" t="str">
        <x:v>59ac80544cee49282d6032b3</x:v>
      </x:c>
      <x:c r="B943" s="2" t="str">
        <x:v>사업 평가</x:v>
      </x:c>
      <x:c r="C943" s="2" t="str">
        <x:v>국내</x:v>
      </x:c>
      <x:c r="D943" s="7" t="str">
        <x:v>(주)아이피케이 고효율 공기압축기 교체를 통한 온실가스 감축사업</x:v>
      </x:c>
      <x:c r="E943" s="2" t="str">
        <x:v>804</x:v>
      </x:c>
      <x:c r="F943" s="2" t="str">
        <x:v>2021-04-30</x:v>
      </x:c>
      <x:c r="G943" s="2" t="str">
        <x:v>2021</x:v>
      </x:c>
      <x:c r="H943" s="2" t="str">
        <x:v>04</x:v>
      </x:c>
      <x:c r="I943" s="2" t="str">
        <x:v>반려</x:v>
      </x:c>
      <x:c r="J943" s="2" t="str">
        <x:v>반려</x:v>
      </x:c>
      <x:c r="K943" s="2" t="str">
        <x:f>IF(OR(J943="심의승인",J943="반려",J943="반려완료",J943="심의완료"),"종결 표시",IF(OR(J943="기후부협의",J943="문서재제출요청",J943="보류",J943="보완요청",J943="보완완료",J943="평가중",J943="반려요청",J943="평가필요",LEFT(J943,5)="보완요청("),"미종결 표시","상태 확인 필요"))</x:f>
        <x:v>종결 표시</x:v>
      </x:c>
      <x:c r="L943" s="2" t="str">
        <x:v>에코시안_권송화</x:v>
      </x:c>
      <x:c r="M943" s="2"/>
      <x:c r="N943" s="8" t="n">
        <x:f>DATE(2026,10,15)-DATE(2021,4,30)</x:f>
        <x:v>1994</x:v>
      </x:c>
      <x:c r="O943" s="2" t="str">
        <x:v>O(6월)</x:v>
      </x:c>
      <x:c r="P943" s="2"/>
      <x:c r="Q943" s="2" t="str">
        <x:v>산업전환_외부사업관리Tool_260707_이너젠 수정_LJY_261013.xlsx</x:v>
      </x:c>
      <x:c r="R943" s="2" t="str">
        <x:v>국내평가</x:v>
      </x:c>
      <x:c r="S943" s="8" t="n">
        <x:v>846</x:v>
      </x:c>
      <x:c r="T943" s="2" t="str">
        <x:v>(5/7),(7/12)</x:v>
      </x:c>
      <x:c r="U943" s="2" t="str">
        <x:v>2021 배정: (5/7),(7/12)</x:v>
      </x:c>
      <x:c r="V943" s="2" t="str">
        <x:v>2021-10-25</x:v>
      </x:c>
      <x:c r="W943" s="2" t="str"/>
      <x:c r="X943" s="2" t="str">
        <x:v>종결 근거 보관</x:v>
      </x:c>
      <x:c r="Y943" s="2" t="str">
        <x:v>ad210cd9ec132cfd447541c8984dc53d30aff0f4fb2dc92d254d49275cc55976</x:v>
      </x:c>
      <x:c r="Z943" s="2" t="n">
        <x:f>SUBTOTAL(103,A943)</x:f>
        <x:v>1</x:v>
      </x:c>
      <x:c r="AA943" s="2" t="str">
        <x:f>IF(K943&lt;&gt;"미종결 표시","대상 아님",IF(N943="","신청일 확인",IF(NOT(ISNUMBER('종합 현황'!$H$5)),"관찰기준 확인",IF('종합 현황'!$H$5&lt;1,"관찰기준 확인",IF(N943&gt;'종합 현황'!$H$5,"내부 관찰 대상","내부 관찰일 이하")))))</x:f>
        <x:v>대상 아님</x:v>
      </x:c>
      <x:c r="AB943" s="2"/>
    </x:row>
    <x:row r="944" ht="42" customHeight="1">
      <x:c r="A944" s="2" t="str">
        <x:v>efa51ff695c5bf1285eec5be</x:v>
      </x:c>
      <x:c r="B944" s="2" t="str">
        <x:v>사업 평가</x:v>
      </x:c>
      <x:c r="C944" s="2" t="str">
        <x:v>국내</x:v>
      </x:c>
      <x:c r="D944" s="7" t="str">
        <x:v>(주)송광프라스틱  고효율 2단 인버터 PM Motor 공기압축기로 교체 사업</x:v>
      </x:c>
      <x:c r="E944" s="2" t="str">
        <x:v>805</x:v>
      </x:c>
      <x:c r="F944" s="2" t="str">
        <x:v>2021-01-20</x:v>
      </x:c>
      <x:c r="G944" s="2" t="str">
        <x:v>2021</x:v>
      </x:c>
      <x:c r="H944" s="2" t="str">
        <x:v>01</x:v>
      </x:c>
      <x:c r="I944" s="2" t="str">
        <x:v>반려</x:v>
      </x:c>
      <x:c r="J944" s="2" t="str">
        <x:v>반려</x:v>
      </x:c>
      <x:c r="K944" s="2" t="str">
        <x:f>IF(OR(J944="심의승인",J944="반려",J944="반려완료",J944="심의완료"),"종결 표시",IF(OR(J944="기후부협의",J944="문서재제출요청",J944="보류",J944="보완요청",J944="보완완료",J944="평가중",J944="반려요청",J944="평가필요",LEFT(J944,5)="보완요청("),"미종결 표시","상태 확인 필요"))</x:f>
        <x:v>종결 표시</x:v>
      </x:c>
      <x:c r="L944" s="2" t="str">
        <x:v>KECM_이태준</x:v>
      </x:c>
      <x:c r="M944" s="2"/>
      <x:c r="N944" s="8" t="n">
        <x:f>DATE(2026,10,15)-DATE(2021,1,20)</x:f>
        <x:v>2094</x:v>
      </x:c>
      <x:c r="O944" s="2" t="str">
        <x:v>O(22.07)</x:v>
      </x:c>
      <x:c r="P944" s="2"/>
      <x:c r="Q944" s="2" t="str">
        <x:v>산업전환_외부사업관리Tool_260707_이너젠 수정_LJY_261013.xlsx</x:v>
      </x:c>
      <x:c r="R944" s="2" t="str">
        <x:v>국내평가</x:v>
      </x:c>
      <x:c r="S944" s="8" t="n">
        <x:v>847</x:v>
      </x:c>
      <x:c r="T944" s="2" t="str">
        <x:v>(6/28),(12/1)</x:v>
      </x:c>
      <x:c r="U944" s="2" t="str">
        <x:v>2021 배정: (6/28),(12/1) / 2022 배정(신규): (6/10),(7/13) / 2023 배정: (10/6) / 2024 배정: (1/12),(4/8)</x:v>
      </x:c>
      <x:c r="V944" s="2" t="str">
        <x:v>2024-05-14</x:v>
      </x:c>
      <x:c r="W944" s="2" t="str"/>
      <x:c r="X944" s="2" t="str">
        <x:v>종결 근거 보관</x:v>
      </x:c>
      <x:c r="Y944" s="2" t="str">
        <x:v>ad210cd9ec132cfd447541c8984dc53d30aff0f4fb2dc92d254d49275cc55976</x:v>
      </x:c>
      <x:c r="Z944" s="2" t="n">
        <x:f>SUBTOTAL(103,A944)</x:f>
        <x:v>1</x:v>
      </x:c>
      <x:c r="AA944" s="2" t="str">
        <x:f>IF(K944&lt;&gt;"미종결 표시","대상 아님",IF(N944="","신청일 확인",IF(NOT(ISNUMBER('종합 현황'!$H$5)),"관찰기준 확인",IF('종합 현황'!$H$5&lt;1,"관찰기준 확인",IF(N944&gt;'종합 현황'!$H$5,"내부 관찰 대상","내부 관찰일 이하")))))</x:f>
        <x:v>대상 아님</x:v>
      </x:c>
      <x:c r="AB944" s="2"/>
    </x:row>
    <x:row r="945" ht="42" customHeight="1">
      <x:c r="A945" s="2" t="str">
        <x:v>5143383263ba58b8bbb620c4</x:v>
      </x:c>
      <x:c r="B945" s="2" t="str">
        <x:v>사업 평가</x:v>
      </x:c>
      <x:c r="C945" s="2" t="str">
        <x:v>국내</x:v>
      </x:c>
      <x:c r="D945" s="7" t="str">
        <x:v>선일산업  고효율 2단 PM Motor 공기압축기로 교체 사업</x:v>
      </x:c>
      <x:c r="E945" s="2" t="str">
        <x:v>806</x:v>
      </x:c>
      <x:c r="F945" s="2" t="str">
        <x:v>2021-11-11</x:v>
      </x:c>
      <x:c r="G945" s="2" t="str">
        <x:v>2021</x:v>
      </x:c>
      <x:c r="H945" s="2" t="str">
        <x:v>11</x:v>
      </x:c>
      <x:c r="I945" s="2" t="str">
        <x:v>승인</x:v>
      </x:c>
      <x:c r="J945" s="2" t="str">
        <x:v>심의승인</x:v>
      </x:c>
      <x:c r="K945" s="2" t="str">
        <x:f>IF(OR(J945="심의승인",J945="반려",J945="반려완료",J945="심의완료"),"종결 표시",IF(OR(J945="기후부협의",J945="문서재제출요청",J945="보류",J945="보완요청",J945="보완완료",J945="평가중",J945="반려요청",J945="평가필요",LEFT(J945,5)="보완요청("),"미종결 표시","상태 확인 필요"))</x:f>
        <x:v>종결 표시</x:v>
      </x:c>
      <x:c r="L945" s="2" t="str">
        <x:v>에코시안_정다윤</x:v>
      </x:c>
      <x:c r="M945" s="2"/>
      <x:c r="N945" s="8" t="n">
        <x:f>DATE(2026,10,15)-DATE(2021,11,11)</x:f>
        <x:v>1799</x:v>
      </x:c>
      <x:c r="O945" s="2" t="str">
        <x:v>생략</x:v>
      </x:c>
      <x:c r="P945" s="2" t="str">
        <x:v>제51차 인증위</x:v>
      </x:c>
      <x:c r="Q945" s="2" t="str">
        <x:v>산업전환_외부사업관리Tool_260707_이너젠 수정_LJY_261013.xlsx</x:v>
      </x:c>
      <x:c r="R945" s="2" t="str">
        <x:v>국내평가</x:v>
      </x:c>
      <x:c r="S945" s="8" t="n">
        <x:v>848</x:v>
      </x:c>
      <x:c r="T945" s="2" t="str">
        <x:v>(12/1)</x:v>
      </x:c>
      <x:c r="U945" s="2" t="str">
        <x:v>2021 배정: (12/1) / 2022 배정(신규): (6/10),(11/18),(12/27) / 2023 배정: 2023년 처리</x:v>
      </x:c>
      <x:c r="V945" s="2" t="str">
        <x:v>2023-06-19</x:v>
      </x:c>
      <x:c r="W945" s="2" t="str"/>
      <x:c r="X945" s="2" t="str">
        <x:v>종결 근거 보관</x:v>
      </x:c>
      <x:c r="Y945" s="2" t="str">
        <x:v>ad210cd9ec132cfd447541c8984dc53d30aff0f4fb2dc92d254d49275cc55976</x:v>
      </x:c>
      <x:c r="Z945" s="2" t="n">
        <x:f>SUBTOTAL(103,A945)</x:f>
        <x:v>1</x:v>
      </x:c>
      <x:c r="AA945" s="2" t="str">
        <x:f>IF(K945&lt;&gt;"미종결 표시","대상 아님",IF(N945="","신청일 확인",IF(NOT(ISNUMBER('종합 현황'!$H$5)),"관찰기준 확인",IF('종합 현황'!$H$5&lt;1,"관찰기준 확인",IF(N945&gt;'종합 현황'!$H$5,"내부 관찰 대상","내부 관찰일 이하")))))</x:f>
        <x:v>대상 아님</x:v>
      </x:c>
      <x:c r="AB945" s="2"/>
    </x:row>
    <x:row r="946" ht="42" customHeight="1">
      <x:c r="A946" s="2" t="str">
        <x:v>0c33d8e4de963cff3a1a586a</x:v>
      </x:c>
      <x:c r="B946" s="2" t="str">
        <x:v>사업 평가</x:v>
      </x:c>
      <x:c r="C946" s="2" t="str">
        <x:v>국내</x:v>
      </x:c>
      <x:c r="D946" s="7" t="str">
        <x:v>대운금속  고효율 1단 PM Motor 공기압축기로 교체 사업</x:v>
      </x:c>
      <x:c r="E946" s="2" t="str">
        <x:v>807</x:v>
      </x:c>
      <x:c r="F946" s="2" t="str">
        <x:v>2020-09-10</x:v>
      </x:c>
      <x:c r="G946" s="2" t="str">
        <x:v>2020</x:v>
      </x:c>
      <x:c r="H946" s="2" t="str">
        <x:v>09</x:v>
      </x:c>
      <x:c r="I946" s="2" t="str">
        <x:v>승인</x:v>
      </x:c>
      <x:c r="J946" s="2" t="str">
        <x:v>심의승인</x:v>
      </x:c>
      <x:c r="K946" s="2" t="str">
        <x:f>IF(OR(J946="심의승인",J946="반려",J946="반려완료",J946="심의완료"),"종결 표시",IF(OR(J946="기후부협의",J946="문서재제출요청",J946="보류",J946="보완요청",J946="보완완료",J946="평가중",J946="반려요청",J946="평가필요",LEFT(J946,5)="보완요청("),"미종결 표시","상태 확인 필요"))</x:f>
        <x:v>종결 표시</x:v>
      </x:c>
      <x:c r="L946" s="2" t="str">
        <x:v>KECM_이태준</x:v>
      </x:c>
      <x:c r="M946" s="2"/>
      <x:c r="N946" s="8" t="n">
        <x:f>DATE(2026,10,15)-DATE(2020,9,10)</x:f>
        <x:v>2226</x:v>
      </x:c>
      <x:c r="O946" s="2" t="str">
        <x:v>O(21.07)</x:v>
      </x:c>
      <x:c r="P946" s="2" t="str">
        <x:v>1분기 인증위 승인</x:v>
      </x:c>
      <x:c r="Q946" s="2" t="str">
        <x:v>산업전환_외부사업관리Tool_260707_이너젠 수정_LJY_261013.xlsx</x:v>
      </x:c>
      <x:c r="R946" s="2" t="str">
        <x:v>국내평가</x:v>
      </x:c>
      <x:c r="S946" s="8" t="n">
        <x:v>849</x:v>
      </x:c>
      <x:c r="T946" s="2" t="str">
        <x:v>(6/28)</x:v>
      </x:c>
      <x:c r="U946" s="2" t="str">
        <x:v>2021 배정: (6/28) / 2022 배정(신규): (6/10),(7/13),(12/27)</x:v>
      </x:c>
      <x:c r="V946" s="2" t="str">
        <x:v>2023-04-13</x:v>
      </x:c>
      <x:c r="W946" s="2" t="str"/>
      <x:c r="X946" s="2" t="str">
        <x:v>종결 근거 보관</x:v>
      </x:c>
      <x:c r="Y946" s="2" t="str">
        <x:v>ad210cd9ec132cfd447541c8984dc53d30aff0f4fb2dc92d254d49275cc55976</x:v>
      </x:c>
      <x:c r="Z946" s="2" t="n">
        <x:f>SUBTOTAL(103,A946)</x:f>
        <x:v>1</x:v>
      </x:c>
      <x:c r="AA946" s="2" t="str">
        <x:f>IF(K946&lt;&gt;"미종결 표시","대상 아님",IF(N946="","신청일 확인",IF(NOT(ISNUMBER('종합 현황'!$H$5)),"관찰기준 확인",IF('종합 현황'!$H$5&lt;1,"관찰기준 확인",IF(N946&gt;'종합 현황'!$H$5,"내부 관찰 대상","내부 관찰일 이하")))))</x:f>
        <x:v>대상 아님</x:v>
      </x:c>
      <x:c r="AB946" s="2"/>
    </x:row>
    <x:row r="947" ht="42" customHeight="1">
      <x:c r="A947" s="2" t="str">
        <x:v>9d24fd84f28166492c3069c3</x:v>
      </x:c>
      <x:c r="B947" s="2" t="str">
        <x:v>사업 평가</x:v>
      </x:c>
      <x:c r="C947" s="2" t="str">
        <x:v>국내</x:v>
      </x:c>
      <x:c r="D947" s="7" t="str">
        <x:v>(주) 엠텍 고효율 공기압축기 교체를 통한 온실가스 감축사업</x:v>
      </x:c>
      <x:c r="E947" s="2" t="str">
        <x:v>808</x:v>
      </x:c>
      <x:c r="F947" s="2" t="str">
        <x:v>2021-04-30</x:v>
      </x:c>
      <x:c r="G947" s="2" t="str">
        <x:v>2021</x:v>
      </x:c>
      <x:c r="H947" s="2" t="str">
        <x:v>04</x:v>
      </x:c>
      <x:c r="I947" s="2" t="str">
        <x:v>반려</x:v>
      </x:c>
      <x:c r="J947" s="2" t="str">
        <x:v>반려</x:v>
      </x:c>
      <x:c r="K947" s="2" t="str">
        <x:f>IF(OR(J947="심의승인",J947="반려",J947="반려완료",J947="심의완료"),"종결 표시",IF(OR(J947="기후부협의",J947="문서재제출요청",J947="보류",J947="보완요청",J947="보완완료",J947="평가중",J947="반려요청",J947="평가필요",LEFT(J947,5)="보완요청("),"미종결 표시","상태 확인 필요"))</x:f>
        <x:v>종결 표시</x:v>
      </x:c>
      <x:c r="L947" s="2" t="str">
        <x:v>에코시안_박세은</x:v>
      </x:c>
      <x:c r="M947" s="2"/>
      <x:c r="N947" s="8" t="n">
        <x:f>DATE(2026,10,15)-DATE(2021,4,30)</x:f>
        <x:v>1994</x:v>
      </x:c>
      <x:c r="O947" s="2"/>
      <x:c r="P947" s="2" t="str">
        <x:v>반려완료(재신청 예정)</x:v>
      </x:c>
      <x:c r="Q947" s="2" t="str">
        <x:v>산업전환_외부사업관리Tool_260707_이너젠 수정_LJY_261013.xlsx</x:v>
      </x:c>
      <x:c r="R947" s="2" t="str">
        <x:v>국내평가</x:v>
      </x:c>
      <x:c r="S947" s="8" t="n">
        <x:v>850</x:v>
      </x:c>
      <x:c r="T947" s="2" t="str">
        <x:v>(5/7)</x:v>
      </x:c>
      <x:c r="U947" s="2" t="str">
        <x:v>2021 배정: (5/7)</x:v>
      </x:c>
      <x:c r="V947" s="2" t="str">
        <x:v>2021-06-30</x:v>
      </x:c>
      <x:c r="W947" s="2" t="str"/>
      <x:c r="X947" s="2" t="str">
        <x:v>종결 근거 보관</x:v>
      </x:c>
      <x:c r="Y947" s="2" t="str">
        <x:v>ad210cd9ec132cfd447541c8984dc53d30aff0f4fb2dc92d254d49275cc55976</x:v>
      </x:c>
      <x:c r="Z947" s="2" t="n">
        <x:f>SUBTOTAL(103,A947)</x:f>
        <x:v>1</x:v>
      </x:c>
      <x:c r="AA947" s="2" t="str">
        <x:f>IF(K947&lt;&gt;"미종결 표시","대상 아님",IF(N947="","신청일 확인",IF(NOT(ISNUMBER('종합 현황'!$H$5)),"관찰기준 확인",IF('종합 현황'!$H$5&lt;1,"관찰기준 확인",IF(N947&gt;'종합 현황'!$H$5,"내부 관찰 대상","내부 관찰일 이하")))))</x:f>
        <x:v>대상 아님</x:v>
      </x:c>
      <x:c r="AB947" s="2"/>
    </x:row>
    <x:row r="948" ht="42" customHeight="1">
      <x:c r="A948" s="2" t="str">
        <x:v>d4493c0d19274384cae1b815</x:v>
      </x:c>
      <x:c r="B948" s="2" t="str">
        <x:v>사업 평가</x:v>
      </x:c>
      <x:c r="C948" s="2" t="str">
        <x:v>국내</x:v>
      </x:c>
      <x:c r="D948" s="7" t="str">
        <x:v>(주)우양사 고효율 공기압축기 교체를 통한 온실가스 감축사업</x:v>
      </x:c>
      <x:c r="E948" s="2" t="str">
        <x:v>809</x:v>
      </x:c>
      <x:c r="F948" s="2" t="str">
        <x:v>2021-04-30</x:v>
      </x:c>
      <x:c r="G948" s="2" t="str">
        <x:v>2021</x:v>
      </x:c>
      <x:c r="H948" s="2" t="str">
        <x:v>04</x:v>
      </x:c>
      <x:c r="I948" s="2" t="str">
        <x:v>반려</x:v>
      </x:c>
      <x:c r="J948" s="2" t="str">
        <x:v>반려</x:v>
      </x:c>
      <x:c r="K948" s="2" t="str">
        <x:f>IF(OR(J948="심의승인",J948="반려",J948="반려완료",J948="심의완료"),"종결 표시",IF(OR(J948="기후부협의",J948="문서재제출요청",J948="보류",J948="보완요청",J948="보완완료",J948="평가중",J948="반려요청",J948="평가필요",LEFT(J948,5)="보완요청("),"미종결 표시","상태 확인 필요"))</x:f>
        <x:v>종결 표시</x:v>
      </x:c>
      <x:c r="L948" s="2" t="str">
        <x:v>에코시안_박세은</x:v>
      </x:c>
      <x:c r="M948" s="2"/>
      <x:c r="N948" s="8" t="n">
        <x:f>DATE(2026,10,15)-DATE(2021,4,30)</x:f>
        <x:v>1994</x:v>
      </x:c>
      <x:c r="O948" s="2" t="str">
        <x:v>O(6월)</x:v>
      </x:c>
      <x:c r="P948" s="2" t="str">
        <x:v>반려완료(재신청 예정)</x:v>
      </x:c>
      <x:c r="Q948" s="2" t="str">
        <x:v>산업전환_외부사업관리Tool_260707_이너젠 수정_LJY_261013.xlsx</x:v>
      </x:c>
      <x:c r="R948" s="2" t="str">
        <x:v>국내평가</x:v>
      </x:c>
      <x:c r="S948" s="8" t="n">
        <x:v>851</x:v>
      </x:c>
      <x:c r="T948" s="2" t="str">
        <x:v>(5/7)</x:v>
      </x:c>
      <x:c r="U948" s="2" t="str">
        <x:v>2021 배정: (5/7)</x:v>
      </x:c>
      <x:c r="V948" s="2" t="str">
        <x:v>2021-06-30</x:v>
      </x:c>
      <x:c r="W948" s="2" t="str"/>
      <x:c r="X948" s="2" t="str">
        <x:v>종결 근거 보관</x:v>
      </x:c>
      <x:c r="Y948" s="2" t="str">
        <x:v>ad210cd9ec132cfd447541c8984dc53d30aff0f4fb2dc92d254d49275cc55976</x:v>
      </x:c>
      <x:c r="Z948" s="2" t="n">
        <x:f>SUBTOTAL(103,A948)</x:f>
        <x:v>1</x:v>
      </x:c>
      <x:c r="AA948" s="2" t="str">
        <x:f>IF(K948&lt;&gt;"미종결 표시","대상 아님",IF(N948="","신청일 확인",IF(NOT(ISNUMBER('종합 현황'!$H$5)),"관찰기준 확인",IF('종합 현황'!$H$5&lt;1,"관찰기준 확인",IF(N948&gt;'종합 현황'!$H$5,"내부 관찰 대상","내부 관찰일 이하")))))</x:f>
        <x:v>대상 아님</x:v>
      </x:c>
      <x:c r="AB948" s="2"/>
    </x:row>
    <x:row r="949" ht="42" customHeight="1">
      <x:c r="A949" s="2" t="str">
        <x:v>f9134a4f5bdeab440bde2c5d</x:v>
      </x:c>
      <x:c r="B949" s="2" t="str">
        <x:v>사업 평가</x:v>
      </x:c>
      <x:c r="C949" s="2" t="str">
        <x:v>국내</x:v>
      </x:c>
      <x:c r="D949" s="7" t="str">
        <x:v>제일단조 고효율 공기압축기 교체를 통한 온실가스 감축사업</x:v>
      </x:c>
      <x:c r="E949" s="2" t="str">
        <x:v>810</x:v>
      </x:c>
      <x:c r="F949" s="2" t="str">
        <x:v>2021-04-30</x:v>
      </x:c>
      <x:c r="G949" s="2" t="str">
        <x:v>2021</x:v>
      </x:c>
      <x:c r="H949" s="2" t="str">
        <x:v>04</x:v>
      </x:c>
      <x:c r="I949" s="2" t="str">
        <x:v>반려</x:v>
      </x:c>
      <x:c r="J949" s="2" t="str">
        <x:v>반려</x:v>
      </x:c>
      <x:c r="K949" s="2" t="str">
        <x:f>IF(OR(J949="심의승인",J949="반려",J949="반려완료",J949="심의완료"),"종결 표시",IF(OR(J949="기후부협의",J949="문서재제출요청",J949="보류",J949="보완요청",J949="보완완료",J949="평가중",J949="반려요청",J949="평가필요",LEFT(J949,5)="보완요청("),"미종결 표시","상태 확인 필요"))</x:f>
        <x:v>종결 표시</x:v>
      </x:c>
      <x:c r="L949" s="2" t="str">
        <x:v>에코시안_오경환</x:v>
      </x:c>
      <x:c r="M949" s="2"/>
      <x:c r="N949" s="8" t="n">
        <x:f>DATE(2026,10,15)-DATE(2021,4,30)</x:f>
        <x:v>1994</x:v>
      </x:c>
      <x:c r="O949" s="2"/>
      <x:c r="P949" s="2" t="str">
        <x:v>반려완료(재신청 예정)</x:v>
      </x:c>
      <x:c r="Q949" s="2" t="str">
        <x:v>산업전환_외부사업관리Tool_260707_이너젠 수정_LJY_261013.xlsx</x:v>
      </x:c>
      <x:c r="R949" s="2" t="str">
        <x:v>국내평가</x:v>
      </x:c>
      <x:c r="S949" s="8" t="n">
        <x:v>852</x:v>
      </x:c>
      <x:c r="T949" s="2" t="str">
        <x:v>(5/7)</x:v>
      </x:c>
      <x:c r="U949" s="2" t="str">
        <x:v>2021 배정: (5/7)</x:v>
      </x:c>
      <x:c r="V949" s="2" t="str">
        <x:v>2021-06-30</x:v>
      </x:c>
      <x:c r="W949" s="2" t="str"/>
      <x:c r="X949" s="2" t="str">
        <x:v>종결 근거 보관</x:v>
      </x:c>
      <x:c r="Y949" s="2" t="str">
        <x:v>ad210cd9ec132cfd447541c8984dc53d30aff0f4fb2dc92d254d49275cc55976</x:v>
      </x:c>
      <x:c r="Z949" s="2" t="n">
        <x:f>SUBTOTAL(103,A949)</x:f>
        <x:v>1</x:v>
      </x:c>
      <x:c r="AA949" s="2" t="str">
        <x:f>IF(K949&lt;&gt;"미종결 표시","대상 아님",IF(N949="","신청일 확인",IF(NOT(ISNUMBER('종합 현황'!$H$5)),"관찰기준 확인",IF('종합 현황'!$H$5&lt;1,"관찰기준 확인",IF(N949&gt;'종합 현황'!$H$5,"내부 관찰 대상","내부 관찰일 이하")))))</x:f>
        <x:v>대상 아님</x:v>
      </x:c>
      <x:c r="AB949" s="2"/>
    </x:row>
    <x:row r="950" ht="42" customHeight="1">
      <x:c r="A950" s="2" t="str">
        <x:v>1de7e124d489eecfe9686972</x:v>
      </x:c>
      <x:c r="B950" s="2" t="str">
        <x:v>사업 평가</x:v>
      </x:c>
      <x:c r="C950" s="2" t="str">
        <x:v>국내</x:v>
      </x:c>
      <x:c r="D950" s="7" t="str">
        <x:v>농산개발(주) 연료전환(B-C유, 감압정제유에서 LPG)을 통한 온실가스 배출 감축사업</x:v>
      </x:c>
      <x:c r="E950" s="2" t="str">
        <x:v>811</x:v>
      </x:c>
      <x:c r="F950" s="2" t="str">
        <x:v>2020-08-20</x:v>
      </x:c>
      <x:c r="G950" s="2" t="str">
        <x:v>2020</x:v>
      </x:c>
      <x:c r="H950" s="2" t="str">
        <x:v>08</x:v>
      </x:c>
      <x:c r="I950" s="2" t="str">
        <x:v>반려</x:v>
      </x:c>
      <x:c r="J950" s="2" t="str">
        <x:v>반려</x:v>
      </x:c>
      <x:c r="K950" s="2" t="str">
        <x:f>IF(OR(J950="심의승인",J950="반려",J950="반려완료",J950="심의완료"),"종결 표시",IF(OR(J950="기후부협의",J950="문서재제출요청",J950="보류",J950="보완요청",J950="보완완료",J950="평가중",J950="반려요청",J950="평가필요",LEFT(J950,5)="보완요청("),"미종결 표시","상태 확인 필요"))</x:f>
        <x:v>종결 표시</x:v>
      </x:c>
      <x:c r="L950" s="2" t="str">
        <x:v>에코시안_조혜민</x:v>
      </x:c>
      <x:c r="M950" s="2"/>
      <x:c r="N950" s="8" t="n">
        <x:f>DATE(2026,10,15)-DATE(2020,8,20)</x:f>
        <x:v>2247</x:v>
      </x:c>
      <x:c r="O950" s="2" t="str">
        <x:v>O(21.04)</x:v>
      </x:c>
      <x:c r="P950" s="2"/>
      <x:c r="Q950" s="2" t="str">
        <x:v>산업전환_외부사업관리Tool_260707_이너젠 수정_LJY_261013.xlsx</x:v>
      </x:c>
      <x:c r="R950" s="2" t="str">
        <x:v>국내평가</x:v>
      </x:c>
      <x:c r="S950" s="8" t="n">
        <x:v>853</x:v>
      </x:c>
      <x:c r="T950" s="2" t="str">
        <x:v>(7/12),(9/1),(12/1)</x:v>
      </x:c>
      <x:c r="U950" s="2" t="str">
        <x:v>2021 배정: (7/12),(9/1),(12/1) / 2022 배정: (4/19) / 2022 배정(신규): (9/19)</x:v>
      </x:c>
      <x:c r="V950" s="2" t="str">
        <x:v>2023-03-20</x:v>
      </x:c>
      <x:c r="W950" s="2" t="str"/>
      <x:c r="X950" s="2" t="str">
        <x:v>종결 근거 보관</x:v>
      </x:c>
      <x:c r="Y950" s="2" t="str">
        <x:v>ad210cd9ec132cfd447541c8984dc53d30aff0f4fb2dc92d254d49275cc55976</x:v>
      </x:c>
      <x:c r="Z950" s="2" t="n">
        <x:f>SUBTOTAL(103,A950)</x:f>
        <x:v>1</x:v>
      </x:c>
      <x:c r="AA950" s="2" t="str">
        <x:f>IF(K950&lt;&gt;"미종결 표시","대상 아님",IF(N950="","신청일 확인",IF(NOT(ISNUMBER('종합 현황'!$H$5)),"관찰기준 확인",IF('종합 현황'!$H$5&lt;1,"관찰기준 확인",IF(N950&gt;'종합 현황'!$H$5,"내부 관찰 대상","내부 관찰일 이하")))))</x:f>
        <x:v>대상 아님</x:v>
      </x:c>
      <x:c r="AB950" s="2"/>
    </x:row>
    <x:row r="951" ht="42" customHeight="1">
      <x:c r="A951" s="2" t="str">
        <x:v>c52fad06ee9571e47d638b0f</x:v>
      </x:c>
      <x:c r="B951" s="2" t="str">
        <x:v>사업 평가</x:v>
      </x:c>
      <x:c r="C951" s="2" t="str">
        <x:v>국내</x:v>
      </x:c>
      <x:c r="D951" s="7" t="str">
        <x:v>동원팜스(주) 논산공장 연료전환(B-C유에서 LNG)을 통한 온실가스 배출 감축사업</x:v>
      </x:c>
      <x:c r="E951" s="2" t="str">
        <x:v>812</x:v>
      </x:c>
      <x:c r="F951" s="2" t="str">
        <x:v>2020-09-01</x:v>
      </x:c>
      <x:c r="G951" s="2" t="str">
        <x:v>2020</x:v>
      </x:c>
      <x:c r="H951" s="2" t="str">
        <x:v>09</x:v>
      </x:c>
      <x:c r="I951" s="2" t="str">
        <x:v>승인</x:v>
      </x:c>
      <x:c r="J951" s="2" t="str">
        <x:v>심의승인</x:v>
      </x:c>
      <x:c r="K951" s="2" t="str">
        <x:f>IF(OR(J951="심의승인",J951="반려",J951="반려완료",J951="심의완료"),"종결 표시",IF(OR(J951="기후부협의",J951="문서재제출요청",J951="보류",J951="보완요청",J951="보완완료",J951="평가중",J951="반려요청",J951="평가필요",LEFT(J951,5)="보완요청("),"미종결 표시","상태 확인 필요"))</x:f>
        <x:v>종결 표시</x:v>
      </x:c>
      <x:c r="L951" s="2" t="str">
        <x:v>에코시안_조혜민</x:v>
      </x:c>
      <x:c r="M951" s="2"/>
      <x:c r="N951" s="8" t="n">
        <x:f>DATE(2026,10,15)-DATE(2020,9,1)</x:f>
        <x:v>2235</x:v>
      </x:c>
      <x:c r="O951" s="2" t="str">
        <x:v>O(8월)</x:v>
      </x:c>
      <x:c r="P951" s="2"/>
      <x:c r="Q951" s="2" t="str">
        <x:v>산업전환_외부사업관리Tool_260707_이너젠 수정_LJY_261013.xlsx</x:v>
      </x:c>
      <x:c r="R951" s="2" t="str">
        <x:v>국내평가</x:v>
      </x:c>
      <x:c r="S951" s="8" t="n">
        <x:v>854</x:v>
      </x:c>
      <x:c r="T951" s="2" t="str">
        <x:v>(7/12),(9/1),(12/1)</x:v>
      </x:c>
      <x:c r="U951" s="2" t="str">
        <x:v>2021 배정: (7/12),(9/1),(12/1) / 2022 배정: (4/19)</x:v>
      </x:c>
      <x:c r="V951" s="2" t="str">
        <x:v>2022-08-29</x:v>
      </x:c>
      <x:c r="W951" s="2" t="str"/>
      <x:c r="X951" s="2" t="str">
        <x:v>종결 근거 보관</x:v>
      </x:c>
      <x:c r="Y951" s="2" t="str">
        <x:v>ad210cd9ec132cfd447541c8984dc53d30aff0f4fb2dc92d254d49275cc55976</x:v>
      </x:c>
      <x:c r="Z951" s="2" t="n">
        <x:f>SUBTOTAL(103,A951)</x:f>
        <x:v>1</x:v>
      </x:c>
      <x:c r="AA951" s="2" t="str">
        <x:f>IF(K951&lt;&gt;"미종결 표시","대상 아님",IF(N951="","신청일 확인",IF(NOT(ISNUMBER('종합 현황'!$H$5)),"관찰기준 확인",IF('종합 현황'!$H$5&lt;1,"관찰기준 확인",IF(N951&gt;'종합 현황'!$H$5,"내부 관찰 대상","내부 관찰일 이하")))))</x:f>
        <x:v>대상 아님</x:v>
      </x:c>
      <x:c r="AB951" s="2"/>
    </x:row>
    <x:row r="952" ht="42" customHeight="1">
      <x:c r="A952" s="2" t="str">
        <x:v>bdd420b0aa164cf0229d8ef1</x:v>
      </x:c>
      <x:c r="B952" s="2" t="str">
        <x:v>사업 평가</x:v>
      </x:c>
      <x:c r="C952" s="2" t="str">
        <x:v>국내</x:v>
      </x:c>
      <x:c r="D952" s="7" t="str">
        <x:v>(주)성원정밀 인버터 공기압축기 교체를 통한 온실가스 감축사업</x:v>
      </x:c>
      <x:c r="E952" s="2" t="str">
        <x:v>813</x:v>
      </x:c>
      <x:c r="F952" s="2" t="str">
        <x:v>2021-05-18</x:v>
      </x:c>
      <x:c r="G952" s="2" t="str">
        <x:v>2021</x:v>
      </x:c>
      <x:c r="H952" s="2" t="str">
        <x:v>05</x:v>
      </x:c>
      <x:c r="I952" s="2" t="str">
        <x:v>반려</x:v>
      </x:c>
      <x:c r="J952" s="2" t="str">
        <x:v>반려</x:v>
      </x:c>
      <x:c r="K952" s="2" t="str">
        <x:f>IF(OR(J952="심의승인",J952="반려",J952="반려완료",J952="심의완료"),"종결 표시",IF(OR(J952="기후부협의",J952="문서재제출요청",J952="보류",J952="보완요청",J952="보완완료",J952="평가중",J952="반려요청",J952="평가필요",LEFT(J952,5)="보완요청("),"미종결 표시","상태 확인 필요"))</x:f>
        <x:v>종결 표시</x:v>
      </x:c>
      <x:c r="L952" s="2" t="str">
        <x:v>에코시안_박세은</x:v>
      </x:c>
      <x:c r="M952" s="2"/>
      <x:c r="N952" s="8" t="n">
        <x:f>DATE(2026,10,15)-DATE(2021,5,18)</x:f>
        <x:v>1976</x:v>
      </x:c>
      <x:c r="O952" s="2"/>
      <x:c r="P952" s="2" t="str">
        <x:v>반려완료(재신청 예정)</x:v>
      </x:c>
      <x:c r="Q952" s="2" t="str">
        <x:v>산업전환_외부사업관리Tool_260707_이너젠 수정_LJY_261013.xlsx</x:v>
      </x:c>
      <x:c r="R952" s="2" t="str">
        <x:v>국내평가</x:v>
      </x:c>
      <x:c r="S952" s="8" t="n">
        <x:v>855</x:v>
      </x:c>
      <x:c r="T952" s="2" t="str">
        <x:v>(5/26)</x:v>
      </x:c>
      <x:c r="U952" s="2" t="str">
        <x:v>2021 배정: (5/26)</x:v>
      </x:c>
      <x:c r="V952" s="2" t="str">
        <x:v>2021-06-30</x:v>
      </x:c>
      <x:c r="W952" s="2" t="str"/>
      <x:c r="X952" s="2" t="str">
        <x:v>종결 근거 보관</x:v>
      </x:c>
      <x:c r="Y952" s="2" t="str">
        <x:v>ad210cd9ec132cfd447541c8984dc53d30aff0f4fb2dc92d254d49275cc55976</x:v>
      </x:c>
      <x:c r="Z952" s="2" t="n">
        <x:f>SUBTOTAL(103,A952)</x:f>
        <x:v>1</x:v>
      </x:c>
      <x:c r="AA952" s="2" t="str">
        <x:f>IF(K952&lt;&gt;"미종결 표시","대상 아님",IF(N952="","신청일 확인",IF(NOT(ISNUMBER('종합 현황'!$H$5)),"관찰기준 확인",IF('종합 현황'!$H$5&lt;1,"관찰기준 확인",IF(N952&gt;'종합 현황'!$H$5,"내부 관찰 대상","내부 관찰일 이하")))))</x:f>
        <x:v>대상 아님</x:v>
      </x:c>
      <x:c r="AB952" s="2"/>
    </x:row>
    <x:row r="953" ht="42" customHeight="1">
      <x:c r="A953" s="2" t="str">
        <x:v>8c37b04266176f8d460763b4</x:v>
      </x:c>
      <x:c r="B953" s="2" t="str">
        <x:v>사업 평가</x:v>
      </x:c>
      <x:c r="C953" s="2" t="str">
        <x:v>국내</x:v>
      </x:c>
      <x:c r="D953" s="7" t="str">
        <x:v>동보섬유  고효율 2단 인버터 PM Motor 공기압축기로 교체 사업</x:v>
      </x:c>
      <x:c r="E953" s="2" t="str">
        <x:v>814</x:v>
      </x:c>
      <x:c r="F953" s="2" t="str">
        <x:v>2020-09-10</x:v>
      </x:c>
      <x:c r="G953" s="2" t="str">
        <x:v>2020</x:v>
      </x:c>
      <x:c r="H953" s="2" t="str">
        <x:v>09</x:v>
      </x:c>
      <x:c r="I953" s="2" t="str">
        <x:v>승인</x:v>
      </x:c>
      <x:c r="J953" s="2" t="str">
        <x:v>심의승인</x:v>
      </x:c>
      <x:c r="K953" s="2" t="str">
        <x:f>IF(OR(J953="심의승인",J953="반려",J953="반려완료",J953="심의완료"),"종결 표시",IF(OR(J953="기후부협의",J953="문서재제출요청",J953="보류",J953="보완요청",J953="보완완료",J953="평가중",J953="반려요청",J953="평가필요",LEFT(J953,5)="보완요청("),"미종결 표시","상태 확인 필요"))</x:f>
        <x:v>종결 표시</x:v>
      </x:c>
      <x:c r="L953" s="2" t="str">
        <x:v>에코시안_조영우</x:v>
      </x:c>
      <x:c r="M953" s="2"/>
      <x:c r="N953" s="8" t="n">
        <x:f>DATE(2026,10,15)-DATE(2020,9,10)</x:f>
        <x:v>2226</x:v>
      </x:c>
      <x:c r="O953" s="2" t="str">
        <x:v>생략</x:v>
      </x:c>
      <x:c r="P953" s="2" t="str">
        <x:v>1분기 인증위 승인</x:v>
      </x:c>
      <x:c r="Q953" s="2" t="str">
        <x:v>산업전환_외부사업관리Tool_260707_이너젠 수정_LJY_261013.xlsx</x:v>
      </x:c>
      <x:c r="R953" s="2" t="str">
        <x:v>국내평가</x:v>
      </x:c>
      <x:c r="S953" s="8" t="n">
        <x:v>856</x:v>
      </x:c>
      <x:c r="T953" s="2" t="str">
        <x:v>(6/28),(10/20)</x:v>
      </x:c>
      <x:c r="U953" s="2" t="str">
        <x:v>2021 배정: (6/28),(10/20) / 2022 배정: (3/16) / 2022 배정(신규): (6/10),(7/13),(11/18)</x:v>
      </x:c>
      <x:c r="V953" s="2" t="str">
        <x:v>2023-04-13</x:v>
      </x:c>
      <x:c r="W953" s="2" t="str"/>
      <x:c r="X953" s="2" t="str">
        <x:v>종결 근거 보관</x:v>
      </x:c>
      <x:c r="Y953" s="2" t="str">
        <x:v>ad210cd9ec132cfd447541c8984dc53d30aff0f4fb2dc92d254d49275cc55976</x:v>
      </x:c>
      <x:c r="Z953" s="2" t="n">
        <x:f>SUBTOTAL(103,A953)</x:f>
        <x:v>1</x:v>
      </x:c>
      <x:c r="AA953" s="2" t="str">
        <x:f>IF(K953&lt;&gt;"미종결 표시","대상 아님",IF(N953="","신청일 확인",IF(NOT(ISNUMBER('종합 현황'!$H$5)),"관찰기준 확인",IF('종합 현황'!$H$5&lt;1,"관찰기준 확인",IF(N953&gt;'종합 현황'!$H$5,"내부 관찰 대상","내부 관찰일 이하")))))</x:f>
        <x:v>대상 아님</x:v>
      </x:c>
      <x:c r="AB953" s="2"/>
    </x:row>
    <x:row r="954" ht="42" customHeight="1">
      <x:c r="A954" s="2" t="str">
        <x:v>9d22e08f9393a0f8d596d520</x:v>
      </x:c>
      <x:c r="B954" s="2" t="str">
        <x:v>사업 평가</x:v>
      </x:c>
      <x:c r="C954" s="2" t="str">
        <x:v>국내</x:v>
      </x:c>
      <x:c r="D954" s="7" t="str">
        <x:v>중일정밀(주)  고효율 2단 인버터 PM Motor 공기압축기로 교체 사업</x:v>
      </x:c>
      <x:c r="E954" s="2" t="str">
        <x:v>815</x:v>
      </x:c>
      <x:c r="F954" s="2" t="str">
        <x:v>2021-05-10</x:v>
      </x:c>
      <x:c r="G954" s="2" t="str">
        <x:v>2021</x:v>
      </x:c>
      <x:c r="H954" s="2" t="str">
        <x:v>05</x:v>
      </x:c>
      <x:c r="I954" s="2" t="str">
        <x:v>승인</x:v>
      </x:c>
      <x:c r="J954" s="2" t="str">
        <x:v>심의승인</x:v>
      </x:c>
      <x:c r="K954" s="2" t="str">
        <x:f>IF(OR(J954="심의승인",J954="반려",J954="반려완료",J954="심의완료"),"종결 표시",IF(OR(J954="기후부협의",J954="문서재제출요청",J954="보류",J954="보완요청",J954="보완완료",J954="평가중",J954="반려요청",J954="평가필요",LEFT(J954,5)="보완요청("),"미종결 표시","상태 확인 필요"))</x:f>
        <x:v>종결 표시</x:v>
      </x:c>
      <x:c r="L954" s="2"/>
      <x:c r="M954" s="2"/>
      <x:c r="N954" s="8" t="n">
        <x:f>DATE(2026,10,15)-DATE(2021,5,10)</x:f>
        <x:v>1984</x:v>
      </x:c>
      <x:c r="O954" s="2" t="str">
        <x:v>O(6월)</x:v>
      </x:c>
      <x:c r="P954" s="2"/>
      <x:c r="Q954" s="2" t="str">
        <x:v>산업전환_외부사업관리Tool_260707_이너젠 수정_LJY_261013.xlsx</x:v>
      </x:c>
      <x:c r="R954" s="2" t="str">
        <x:v>국내평가</x:v>
      </x:c>
      <x:c r="S954" s="8" t="n">
        <x:v>857</x:v>
      </x:c>
      <x:c r="T954" s="2"/>
      <x:c r="U954" s="2" t="str"/>
      <x:c r="V954" s="2" t="str">
        <x:v>2021-12-29</x:v>
      </x:c>
      <x:c r="W954" s="2" t="str">
        <x:v>담당기관 확인</x:v>
      </x:c>
      <x:c r="X954" s="2" t="str">
        <x:v>원본·배정 기록 확인</x:v>
      </x:c>
      <x:c r="Y954" s="2" t="str">
        <x:v>ad210cd9ec132cfd447541c8984dc53d30aff0f4fb2dc92d254d49275cc55976</x:v>
      </x:c>
      <x:c r="Z954" s="2" t="n">
        <x:f>SUBTOTAL(103,A954)</x:f>
        <x:v>1</x:v>
      </x:c>
      <x:c r="AA954" s="2" t="str">
        <x:f>IF(K954&lt;&gt;"미종결 표시","대상 아님",IF(N954="","신청일 확인",IF(NOT(ISNUMBER('종합 현황'!$H$5)),"관찰기준 확인",IF('종합 현황'!$H$5&lt;1,"관찰기준 확인",IF(N954&gt;'종합 현황'!$H$5,"내부 관찰 대상","내부 관찰일 이하")))))</x:f>
        <x:v>대상 아님</x:v>
      </x:c>
      <x:c r="AB954" s="2"/>
    </x:row>
    <x:row r="955" ht="42" customHeight="1">
      <x:c r="A955" s="2" t="str">
        <x:v>132f0b0fca4057e67717323e</x:v>
      </x:c>
      <x:c r="B955" s="2" t="str">
        <x:v>사업 평가</x:v>
      </x:c>
      <x:c r="C955" s="2" t="str">
        <x:v>국내</x:v>
      </x:c>
      <x:c r="D955" s="7" t="str">
        <x:v>에이스침대 여주공장의 B-C유에서 도시가스(LNG)로 연료전환을 통한 온실가스 배출 감축사업</x:v>
      </x:c>
      <x:c r="E955" s="2" t="str">
        <x:v>816</x:v>
      </x:c>
      <x:c r="F955" s="2" t="str">
        <x:v>2019-04-02</x:v>
      </x:c>
      <x:c r="G955" s="2" t="str">
        <x:v>2019</x:v>
      </x:c>
      <x:c r="H955" s="2" t="str">
        <x:v>04</x:v>
      </x:c>
      <x:c r="I955" s="2" t="str">
        <x:v>승인</x:v>
      </x:c>
      <x:c r="J955" s="2" t="str">
        <x:v>심의승인</x:v>
      </x:c>
      <x:c r="K955" s="2" t="str">
        <x:f>IF(OR(J955="심의승인",J955="반려",J955="반려완료",J955="심의완료"),"종결 표시",IF(OR(J955="기후부협의",J955="문서재제출요청",J955="보류",J955="보완요청",J955="보완완료",J955="평가중",J955="반려요청",J955="평가필요",LEFT(J955,5)="보완요청("),"미종결 표시","상태 확인 필요"))</x:f>
        <x:v>종결 표시</x:v>
      </x:c>
      <x:c r="L955" s="2" t="str">
        <x:v>에코시안_권송화</x:v>
      </x:c>
      <x:c r="M955" s="2"/>
      <x:c r="N955" s="8" t="n">
        <x:f>DATE(2026,10,15)-DATE(2019,4,2)</x:f>
        <x:v>2753</x:v>
      </x:c>
      <x:c r="O955" s="2" t="str">
        <x:v>O(8월)</x:v>
      </x:c>
      <x:c r="P955" s="2"/>
      <x:c r="Q955" s="2" t="str">
        <x:v>산업전환_외부사업관리Tool_260707_이너젠 수정_LJY_261013.xlsx</x:v>
      </x:c>
      <x:c r="R955" s="2" t="str">
        <x:v>국내평가</x:v>
      </x:c>
      <x:c r="S955" s="8" t="n">
        <x:v>858</x:v>
      </x:c>
      <x:c r="T955" s="2" t="str">
        <x:v>(6/3),(8/3),(9/14),(12/1)</x:v>
      </x:c>
      <x:c r="U955" s="2" t="str">
        <x:v>2021 배정: (6/3),(8/3),(9/14),(12/1) / 2022 배정: (3/16),(4/19)</x:v>
      </x:c>
      <x:c r="V955" s="2" t="str">
        <x:v>2022-10-17</x:v>
      </x:c>
      <x:c r="W955" s="2" t="str"/>
      <x:c r="X955" s="2" t="str">
        <x:v>종결 근거 보관</x:v>
      </x:c>
      <x:c r="Y955" s="2" t="str">
        <x:v>ad210cd9ec132cfd447541c8984dc53d30aff0f4fb2dc92d254d49275cc55976</x:v>
      </x:c>
      <x:c r="Z955" s="2" t="n">
        <x:f>SUBTOTAL(103,A955)</x:f>
        <x:v>1</x:v>
      </x:c>
      <x:c r="AA955" s="2" t="str">
        <x:f>IF(K955&lt;&gt;"미종결 표시","대상 아님",IF(N955="","신청일 확인",IF(NOT(ISNUMBER('종합 현황'!$H$5)),"관찰기준 확인",IF('종합 현황'!$H$5&lt;1,"관찰기준 확인",IF(N955&gt;'종합 현황'!$H$5,"내부 관찰 대상","내부 관찰일 이하")))))</x:f>
        <x:v>대상 아님</x:v>
      </x:c>
      <x:c r="AB955" s="2"/>
    </x:row>
    <x:row r="956" ht="42" customHeight="1">
      <x:c r="A956" s="2" t="str">
        <x:v>fb8af7b82eb0def2c605751a</x:v>
      </x:c>
      <x:c r="B956" s="2" t="str">
        <x:v>사업 평가</x:v>
      </x:c>
      <x:c r="C956" s="2" t="str">
        <x:v>국내</x:v>
      </x:c>
      <x:c r="D956" s="7" t="str">
        <x:v>(주)명강스틸  고효율 2단 인버터 PM Motor 공기압축기로 교체 사업</x:v>
      </x:c>
      <x:c r="E956" s="2" t="str">
        <x:v>817</x:v>
      </x:c>
      <x:c r="F956" s="2" t="str">
        <x:v>2021-05-14</x:v>
      </x:c>
      <x:c r="G956" s="2" t="str">
        <x:v>2021</x:v>
      </x:c>
      <x:c r="H956" s="2" t="str">
        <x:v>05</x:v>
      </x:c>
      <x:c r="I956" s="2" t="str">
        <x:v>승인</x:v>
      </x:c>
      <x:c r="J956" s="2" t="str">
        <x:v>심의승인</x:v>
      </x:c>
      <x:c r="K956" s="2" t="str">
        <x:f>IF(OR(J956="심의승인",J956="반려",J956="반려완료",J956="심의완료"),"종결 표시",IF(OR(J956="기후부협의",J956="문서재제출요청",J956="보류",J956="보완요청",J956="보완완료",J956="평가중",J956="반려요청",J956="평가필요",LEFT(J956,5)="보완요청("),"미종결 표시","상태 확인 필요"))</x:f>
        <x:v>종결 표시</x:v>
      </x:c>
      <x:c r="L956" s="2"/>
      <x:c r="M956" s="2"/>
      <x:c r="N956" s="8" t="n">
        <x:f>DATE(2026,10,15)-DATE(2021,5,14)</x:f>
        <x:v>1980</x:v>
      </x:c>
      <x:c r="O956" s="2" t="str">
        <x:v>O(6월)</x:v>
      </x:c>
      <x:c r="P956" s="2"/>
      <x:c r="Q956" s="2" t="str">
        <x:v>산업전환_외부사업관리Tool_260707_이너젠 수정_LJY_261013.xlsx</x:v>
      </x:c>
      <x:c r="R956" s="2" t="str">
        <x:v>국내평가</x:v>
      </x:c>
      <x:c r="S956" s="8" t="n">
        <x:v>859</x:v>
      </x:c>
      <x:c r="T956" s="2"/>
      <x:c r="U956" s="2" t="str"/>
      <x:c r="V956" s="2" t="str">
        <x:v>2021-12-29</x:v>
      </x:c>
      <x:c r="W956" s="2" t="str">
        <x:v>담당기관 확인</x:v>
      </x:c>
      <x:c r="X956" s="2" t="str">
        <x:v>원본·배정 기록 확인</x:v>
      </x:c>
      <x:c r="Y956" s="2" t="str">
        <x:v>ad210cd9ec132cfd447541c8984dc53d30aff0f4fb2dc92d254d49275cc55976</x:v>
      </x:c>
      <x:c r="Z956" s="2" t="n">
        <x:f>SUBTOTAL(103,A956)</x:f>
        <x:v>1</x:v>
      </x:c>
      <x:c r="AA956" s="2" t="str">
        <x:f>IF(K956&lt;&gt;"미종결 표시","대상 아님",IF(N956="","신청일 확인",IF(NOT(ISNUMBER('종합 현황'!$H$5)),"관찰기준 확인",IF('종합 현황'!$H$5&lt;1,"관찰기준 확인",IF(N956&gt;'종합 현황'!$H$5,"내부 관찰 대상","내부 관찰일 이하")))))</x:f>
        <x:v>대상 아님</x:v>
      </x:c>
      <x:c r="AB956" s="2"/>
    </x:row>
    <x:row r="957" ht="42" customHeight="1">
      <x:c r="A957" s="2" t="str">
        <x:v>a1566d9d6a6620909fc068bc</x:v>
      </x:c>
      <x:c r="B957" s="2" t="str">
        <x:v>사업 평가</x:v>
      </x:c>
      <x:c r="C957" s="2" t="str">
        <x:v>국내</x:v>
      </x:c>
      <x:c r="D957" s="7" t="str">
        <x:v>(주)카스윈(KASWIN) 고효율 공기압축기 교체를 통한 온실가스 감축사업</x:v>
      </x:c>
      <x:c r="E957" s="2" t="str">
        <x:v>818</x:v>
      </x:c>
      <x:c r="F957" s="2" t="str">
        <x:v>2021-05-18</x:v>
      </x:c>
      <x:c r="G957" s="2" t="str">
        <x:v>2021</x:v>
      </x:c>
      <x:c r="H957" s="2" t="str">
        <x:v>05</x:v>
      </x:c>
      <x:c r="I957" s="2" t="str">
        <x:v>반려</x:v>
      </x:c>
      <x:c r="J957" s="2" t="str">
        <x:v>반려</x:v>
      </x:c>
      <x:c r="K957" s="2" t="str">
        <x:f>IF(OR(J957="심의승인",J957="반려",J957="반려완료",J957="심의완료"),"종결 표시",IF(OR(J957="기후부협의",J957="문서재제출요청",J957="보류",J957="보완요청",J957="보완완료",J957="평가중",J957="반려요청",J957="평가필요",LEFT(J957,5)="보완요청("),"미종결 표시","상태 확인 필요"))</x:f>
        <x:v>종결 표시</x:v>
      </x:c>
      <x:c r="L957" s="2" t="str">
        <x:v>에코시안_박세은</x:v>
      </x:c>
      <x:c r="M957" s="2"/>
      <x:c r="N957" s="8" t="n">
        <x:f>DATE(2026,10,15)-DATE(2021,5,18)</x:f>
        <x:v>1976</x:v>
      </x:c>
      <x:c r="O957" s="2"/>
      <x:c r="P957" s="2" t="str">
        <x:v>반려완료(재신청 예정)</x:v>
      </x:c>
      <x:c r="Q957" s="2" t="str">
        <x:v>산업전환_외부사업관리Tool_260707_이너젠 수정_LJY_261013.xlsx</x:v>
      </x:c>
      <x:c r="R957" s="2" t="str">
        <x:v>국내평가</x:v>
      </x:c>
      <x:c r="S957" s="8" t="n">
        <x:v>860</x:v>
      </x:c>
      <x:c r="T957" s="2" t="str">
        <x:v>(5/26)</x:v>
      </x:c>
      <x:c r="U957" s="2" t="str">
        <x:v>2021 배정: (5/26)</x:v>
      </x:c>
      <x:c r="V957" s="2" t="str">
        <x:v>2021-06-30</x:v>
      </x:c>
      <x:c r="W957" s="2" t="str"/>
      <x:c r="X957" s="2" t="str">
        <x:v>종결 근거 보관</x:v>
      </x:c>
      <x:c r="Y957" s="2" t="str">
        <x:v>ad210cd9ec132cfd447541c8984dc53d30aff0f4fb2dc92d254d49275cc55976</x:v>
      </x:c>
      <x:c r="Z957" s="2" t="n">
        <x:f>SUBTOTAL(103,A957)</x:f>
        <x:v>1</x:v>
      </x:c>
      <x:c r="AA957" s="2" t="str">
        <x:f>IF(K957&lt;&gt;"미종결 표시","대상 아님",IF(N957="","신청일 확인",IF(NOT(ISNUMBER('종합 현황'!$H$5)),"관찰기준 확인",IF('종합 현황'!$H$5&lt;1,"관찰기준 확인",IF(N957&gt;'종합 현황'!$H$5,"내부 관찰 대상","내부 관찰일 이하")))))</x:f>
        <x:v>대상 아님</x:v>
      </x:c>
      <x:c r="AB957" s="2"/>
    </x:row>
    <x:row r="958" ht="42" customHeight="1">
      <x:c r="A958" s="2" t="str">
        <x:v>03e1099b9308ed61c7cffcee</x:v>
      </x:c>
      <x:c r="B958" s="2" t="str">
        <x:v>사업 평가</x:v>
      </x:c>
      <x:c r="C958" s="2" t="str">
        <x:v>국내</x:v>
      </x:c>
      <x:c r="D958" s="7" t="str">
        <x:v>(주)카스윈(KASWIN) 고효율 공기압축기 교체를 통한 온실가스 감축사업</x:v>
      </x:c>
      <x:c r="E958" s="2" t="str">
        <x:v>819</x:v>
      </x:c>
      <x:c r="F958" s="2" t="str">
        <x:v>2021-05-18</x:v>
      </x:c>
      <x:c r="G958" s="2" t="str">
        <x:v>2021</x:v>
      </x:c>
      <x:c r="H958" s="2" t="str">
        <x:v>05</x:v>
      </x:c>
      <x:c r="I958" s="2" t="str">
        <x:v>반려</x:v>
      </x:c>
      <x:c r="J958" s="2" t="str">
        <x:v>반려</x:v>
      </x:c>
      <x:c r="K958" s="2" t="str">
        <x:f>IF(OR(J958="심의승인",J958="반려",J958="반려완료",J958="심의완료"),"종결 표시",IF(OR(J958="기후부협의",J958="문서재제출요청",J958="보류",J958="보완요청",J958="보완완료",J958="평가중",J958="반려요청",J958="평가필요",LEFT(J958,5)="보완요청("),"미종결 표시","상태 확인 필요"))</x:f>
        <x:v>종결 표시</x:v>
      </x:c>
      <x:c r="L958" s="2" t="str">
        <x:v>에코시안_박세은</x:v>
      </x:c>
      <x:c r="M958" s="2"/>
      <x:c r="N958" s="8" t="n">
        <x:f>DATE(2026,10,15)-DATE(2021,5,18)</x:f>
        <x:v>1976</x:v>
      </x:c>
      <x:c r="O958" s="2"/>
      <x:c r="P958" s="2" t="str">
        <x:v>반려완료(재신청 예정)</x:v>
      </x:c>
      <x:c r="Q958" s="2" t="str">
        <x:v>산업전환_외부사업관리Tool_260707_이너젠 수정_LJY_261013.xlsx</x:v>
      </x:c>
      <x:c r="R958" s="2" t="str">
        <x:v>국내평가</x:v>
      </x:c>
      <x:c r="S958" s="8" t="n">
        <x:v>861</x:v>
      </x:c>
      <x:c r="T958" s="2" t="str">
        <x:v>(5/26)</x:v>
      </x:c>
      <x:c r="U958" s="2" t="str">
        <x:v>2021 배정: (5/26)</x:v>
      </x:c>
      <x:c r="V958" s="2" t="str">
        <x:v>2021-06-30</x:v>
      </x:c>
      <x:c r="W958" s="2" t="str"/>
      <x:c r="X958" s="2" t="str">
        <x:v>종결 근거 보관</x:v>
      </x:c>
      <x:c r="Y958" s="2" t="str">
        <x:v>ad210cd9ec132cfd447541c8984dc53d30aff0f4fb2dc92d254d49275cc55976</x:v>
      </x:c>
      <x:c r="Z958" s="2" t="n">
        <x:f>SUBTOTAL(103,A958)</x:f>
        <x:v>1</x:v>
      </x:c>
      <x:c r="AA958" s="2" t="str">
        <x:f>IF(K958&lt;&gt;"미종결 표시","대상 아님",IF(N958="","신청일 확인",IF(NOT(ISNUMBER('종합 현황'!$H$5)),"관찰기준 확인",IF('종합 현황'!$H$5&lt;1,"관찰기준 확인",IF(N958&gt;'종합 현황'!$H$5,"내부 관찰 대상","내부 관찰일 이하")))))</x:f>
        <x:v>대상 아님</x:v>
      </x:c>
      <x:c r="AB958" s="2"/>
    </x:row>
    <x:row r="959" ht="42" customHeight="1">
      <x:c r="A959" s="2" t="str">
        <x:v>2a64115a41ac3a980190d3a7</x:v>
      </x:c>
      <x:c r="B959" s="2" t="str">
        <x:v>사업 평가</x:v>
      </x:c>
      <x:c r="C959" s="2" t="str">
        <x:v>국내</x:v>
      </x:c>
      <x:c r="D959" s="7" t="str">
        <x:v>(주)진광 내삼공장 고효율 공기압축기 교체를 통한 온실가스 감축사업</x:v>
      </x:c>
      <x:c r="E959" s="2" t="str">
        <x:v>820</x:v>
      </x:c>
      <x:c r="F959" s="2" t="str">
        <x:v>2021-05-18</x:v>
      </x:c>
      <x:c r="G959" s="2" t="str">
        <x:v>2021</x:v>
      </x:c>
      <x:c r="H959" s="2" t="str">
        <x:v>05</x:v>
      </x:c>
      <x:c r="I959" s="2" t="str">
        <x:v>반려</x:v>
      </x:c>
      <x:c r="J959" s="2" t="str">
        <x:v>반려</x:v>
      </x:c>
      <x:c r="K959" s="2" t="str">
        <x:f>IF(OR(J959="심의승인",J959="반려",J959="반려완료",J959="심의완료"),"종결 표시",IF(OR(J959="기후부협의",J959="문서재제출요청",J959="보류",J959="보완요청",J959="보완완료",J959="평가중",J959="반려요청",J959="평가필요",LEFT(J959,5)="보완요청("),"미종결 표시","상태 확인 필요"))</x:f>
        <x:v>종결 표시</x:v>
      </x:c>
      <x:c r="L959" s="2" t="str">
        <x:v>에코시안_권송화,조혜민</x:v>
      </x:c>
      <x:c r="M959" s="2"/>
      <x:c r="N959" s="8" t="n">
        <x:f>DATE(2026,10,15)-DATE(2021,5,18)</x:f>
        <x:v>1976</x:v>
      </x:c>
      <x:c r="O959" s="2" t="str">
        <x:v>O(6월추가)</x:v>
      </x:c>
      <x:c r="P959" s="2"/>
      <x:c r="Q959" s="2" t="str">
        <x:v>산업전환_외부사업관리Tool_260707_이너젠 수정_LJY_261013.xlsx</x:v>
      </x:c>
      <x:c r="R959" s="2" t="str">
        <x:v>국내평가</x:v>
      </x:c>
      <x:c r="S959" s="8" t="n">
        <x:v>862</x:v>
      </x:c>
      <x:c r="T959" s="2" t="str">
        <x:v>(5/26),(6/28),(7/12)</x:v>
      </x:c>
      <x:c r="U959" s="2" t="str">
        <x:v>2021 배정: (5/26),(6/28),(7/12)</x:v>
      </x:c>
      <x:c r="V959" s="2" t="str">
        <x:v>2021-10-25</x:v>
      </x:c>
      <x:c r="W959" s="2" t="str"/>
      <x:c r="X959" s="2" t="str">
        <x:v>종결 근거 보관</x:v>
      </x:c>
      <x:c r="Y959" s="2" t="str">
        <x:v>ad210cd9ec132cfd447541c8984dc53d30aff0f4fb2dc92d254d49275cc55976</x:v>
      </x:c>
      <x:c r="Z959" s="2" t="n">
        <x:f>SUBTOTAL(103,A959)</x:f>
        <x:v>1</x:v>
      </x:c>
      <x:c r="AA959" s="2" t="str">
        <x:f>IF(K959&lt;&gt;"미종결 표시","대상 아님",IF(N959="","신청일 확인",IF(NOT(ISNUMBER('종합 현황'!$H$5)),"관찰기준 확인",IF('종합 현황'!$H$5&lt;1,"관찰기준 확인",IF(N959&gt;'종합 현황'!$H$5,"내부 관찰 대상","내부 관찰일 이하")))))</x:f>
        <x:v>대상 아님</x:v>
      </x:c>
      <x:c r="AB959" s="2"/>
    </x:row>
    <x:row r="960" ht="42" customHeight="1">
      <x:c r="A960" s="2" t="str">
        <x:v>ceccd9dd043d90a0c4b24663</x:v>
      </x:c>
      <x:c r="B960" s="2" t="str">
        <x:v>사업 평가</x:v>
      </x:c>
      <x:c r="C960" s="2" t="str">
        <x:v>국내</x:v>
      </x:c>
      <x:c r="D960" s="7" t="str">
        <x:v>에스오엠의 정제유에서 도시가스(LNG)로 연료전환을 통한 온실가스 배출 감축사업</x:v>
      </x:c>
      <x:c r="E960" s="2" t="str">
        <x:v>821</x:v>
      </x:c>
      <x:c r="F960" s="2" t="str">
        <x:v>2020-09-21</x:v>
      </x:c>
      <x:c r="G960" s="2" t="str">
        <x:v>2020</x:v>
      </x:c>
      <x:c r="H960" s="2" t="str">
        <x:v>09</x:v>
      </x:c>
      <x:c r="I960" s="2" t="str">
        <x:v>승인</x:v>
      </x:c>
      <x:c r="J960" s="2" t="str">
        <x:v>심의승인</x:v>
      </x:c>
      <x:c r="K960" s="2" t="str">
        <x:f>IF(OR(J960="심의승인",J960="반려",J960="반려완료",J960="심의완료"),"종결 표시",IF(OR(J960="기후부협의",J960="문서재제출요청",J960="보류",J960="보완요청",J960="보완완료",J960="평가중",J960="반려요청",J960="평가필요",LEFT(J960,5)="보완요청("),"미종결 표시","상태 확인 필요"))</x:f>
        <x:v>종결 표시</x:v>
      </x:c>
      <x:c r="L960" s="2" t="str">
        <x:v>에코시안_정다윤</x:v>
      </x:c>
      <x:c r="M960" s="2"/>
      <x:c r="N960" s="8" t="n">
        <x:f>DATE(2026,10,15)-DATE(2020,9,21)</x:f>
        <x:v>2215</x:v>
      </x:c>
      <x:c r="O960" s="2" t="str">
        <x:v>생략</x:v>
      </x:c>
      <x:c r="P960" s="2"/>
      <x:c r="Q960" s="2" t="str">
        <x:v>산업전환_외부사업관리Tool_260707_이너젠 수정_LJY_261013.xlsx</x:v>
      </x:c>
      <x:c r="R960" s="2" t="str">
        <x:v>국내평가</x:v>
      </x:c>
      <x:c r="S960" s="8" t="n">
        <x:v>863</x:v>
      </x:c>
      <x:c r="T960" s="2" t="str">
        <x:v>(7/12),(9/1)</x:v>
      </x:c>
      <x:c r="U960" s="2" t="str">
        <x:v>2021 배정: (7/12),(9/1)</x:v>
      </x:c>
      <x:c r="V960" s="2" t="str">
        <x:v>2022-10-20</x:v>
      </x:c>
      <x:c r="W960" s="2" t="str"/>
      <x:c r="X960" s="2" t="str">
        <x:v>종결 근거 보관</x:v>
      </x:c>
      <x:c r="Y960" s="2" t="str">
        <x:v>ad210cd9ec132cfd447541c8984dc53d30aff0f4fb2dc92d254d49275cc55976</x:v>
      </x:c>
      <x:c r="Z960" s="2" t="n">
        <x:f>SUBTOTAL(103,A960)</x:f>
        <x:v>1</x:v>
      </x:c>
      <x:c r="AA960" s="2" t="str">
        <x:f>IF(K960&lt;&gt;"미종결 표시","대상 아님",IF(N960="","신청일 확인",IF(NOT(ISNUMBER('종합 현황'!$H$5)),"관찰기준 확인",IF('종합 현황'!$H$5&lt;1,"관찰기준 확인",IF(N960&gt;'종합 현황'!$H$5,"내부 관찰 대상","내부 관찰일 이하")))))</x:f>
        <x:v>대상 아님</x:v>
      </x:c>
      <x:c r="AB960" s="2"/>
    </x:row>
    <x:row r="961" ht="42" customHeight="1">
      <x:c r="A961" s="2" t="str">
        <x:v>2470fad51d6448c58e436355</x:v>
      </x:c>
      <x:c r="B961" s="2" t="str">
        <x:v>사업 평가</x:v>
      </x:c>
      <x:c r="C961" s="2" t="str">
        <x:v>국내</x:v>
      </x:c>
      <x:c r="D961" s="7" t="str">
        <x:v>주식회사테크홀딩스 고효율 공기압축기 교체를 통한 온실가스 감축사업</x:v>
      </x:c>
      <x:c r="E961" s="2" t="str">
        <x:v>822</x:v>
      </x:c>
      <x:c r="F961" s="2" t="str">
        <x:v>2021-05-18</x:v>
      </x:c>
      <x:c r="G961" s="2" t="str">
        <x:v>2021</x:v>
      </x:c>
      <x:c r="H961" s="2" t="str">
        <x:v>05</x:v>
      </x:c>
      <x:c r="I961" s="2" t="str">
        <x:v>반려</x:v>
      </x:c>
      <x:c r="J961" s="2" t="str">
        <x:v>반려</x:v>
      </x:c>
      <x:c r="K961" s="2" t="str">
        <x:f>IF(OR(J961="심의승인",J961="반려",J961="반려완료",J961="심의완료"),"종결 표시",IF(OR(J961="기후부협의",J961="문서재제출요청",J961="보류",J961="보완요청",J961="보완완료",J961="평가중",J961="반려요청",J961="평가필요",LEFT(J961,5)="보완요청("),"미종결 표시","상태 확인 필요"))</x:f>
        <x:v>종결 표시</x:v>
      </x:c>
      <x:c r="L961" s="2" t="str">
        <x:v>에코시안_박세은</x:v>
      </x:c>
      <x:c r="M961" s="2"/>
      <x:c r="N961" s="8" t="n">
        <x:f>DATE(2026,10,15)-DATE(2021,5,18)</x:f>
        <x:v>1976</x:v>
      </x:c>
      <x:c r="O961" s="2"/>
      <x:c r="P961" s="2" t="str">
        <x:v>반려완료(재신청 예정)</x:v>
      </x:c>
      <x:c r="Q961" s="2" t="str">
        <x:v>산업전환_외부사업관리Tool_260707_이너젠 수정_LJY_261013.xlsx</x:v>
      </x:c>
      <x:c r="R961" s="2" t="str">
        <x:v>국내평가</x:v>
      </x:c>
      <x:c r="S961" s="8" t="n">
        <x:v>864</x:v>
      </x:c>
      <x:c r="T961" s="2" t="str">
        <x:v>(5/26)</x:v>
      </x:c>
      <x:c r="U961" s="2" t="str">
        <x:v>2021 배정: (5/26)</x:v>
      </x:c>
      <x:c r="V961" s="2" t="str">
        <x:v>2021-06-30</x:v>
      </x:c>
      <x:c r="W961" s="2" t="str"/>
      <x:c r="X961" s="2" t="str">
        <x:v>종결 근거 보관</x:v>
      </x:c>
      <x:c r="Y961" s="2" t="str">
        <x:v>ad210cd9ec132cfd447541c8984dc53d30aff0f4fb2dc92d254d49275cc55976</x:v>
      </x:c>
      <x:c r="Z961" s="2" t="n">
        <x:f>SUBTOTAL(103,A961)</x:f>
        <x:v>1</x:v>
      </x:c>
      <x:c r="AA961" s="2" t="str">
        <x:f>IF(K961&lt;&gt;"미종결 표시","대상 아님",IF(N961="","신청일 확인",IF(NOT(ISNUMBER('종합 현황'!$H$5)),"관찰기준 확인",IF('종합 현황'!$H$5&lt;1,"관찰기준 확인",IF(N961&gt;'종합 현황'!$H$5,"내부 관찰 대상","내부 관찰일 이하")))))</x:f>
        <x:v>대상 아님</x:v>
      </x:c>
      <x:c r="AB961" s="2"/>
    </x:row>
    <x:row r="962" ht="42" customHeight="1">
      <x:c r="A962" s="2" t="str">
        <x:v>e7cd4fcb5aa3ac1babaae8c0</x:v>
      </x:c>
      <x:c r="B962" s="2" t="str">
        <x:v>사업 평가</x:v>
      </x:c>
      <x:c r="C962" s="2" t="str">
        <x:v>국내</x:v>
      </x:c>
      <x:c r="D962" s="7" t="str">
        <x:v>포스코에너지(주) 태양광 발전설비를 이용한 전력 생산 및 자가사용 사업(사회공헌)</x:v>
      </x:c>
      <x:c r="E962" s="2" t="str">
        <x:v>823</x:v>
      </x:c>
      <x:c r="F962" s="2" t="str">
        <x:v>2021-12-27</x:v>
      </x:c>
      <x:c r="G962" s="2" t="str">
        <x:v>2021</x:v>
      </x:c>
      <x:c r="H962" s="2" t="str">
        <x:v>12</x:v>
      </x:c>
      <x:c r="I962" s="2" t="str">
        <x:v>보완3차_보완중</x:v>
      </x:c>
      <x:c r="J962" s="2" t="str">
        <x:v>보완요청</x:v>
      </x:c>
      <x:c r="K962" s="2" t="str">
        <x:f>IF(OR(J962="심의승인",J962="반려",J962="반려완료",J962="심의완료"),"종결 표시",IF(OR(J962="기후부협의",J962="문서재제출요청",J962="보류",J962="보완요청",J962="보완완료",J962="평가중",J962="반려요청",J962="평가필요",LEFT(J962,5)="보완요청("),"미종결 표시","상태 확인 필요"))</x:f>
        <x:v>미종결 표시</x:v>
      </x:c>
      <x:c r="L962" s="2" t="str">
        <x:v>에코시안_권송화</x:v>
      </x:c>
      <x:c r="M962" s="2" t="n">
        <x:v>3</x:v>
      </x:c>
      <x:c r="N962" s="8" t="n">
        <x:f>DATE(2026,10,15)-DATE(2021,12,27)</x:f>
        <x:v>1753</x:v>
      </x:c>
      <x:c r="O962" s="2" t="str">
        <x:v>생략</x:v>
      </x:c>
      <x:c r="P962" s="2"/>
      <x:c r="Q962" s="2" t="str">
        <x:v>산업전환_외부사업관리Tool_260707_이너젠 수정_LJY_261013.xlsx</x:v>
      </x:c>
      <x:c r="R962" s="2" t="str">
        <x:v>국내평가</x:v>
      </x:c>
      <x:c r="S962" s="8" t="n">
        <x:v>865</x:v>
      </x:c>
      <x:c r="T962" s="2" t="str">
        <x:v>(1/18),(4/19)</x:v>
      </x:c>
      <x:c r="U962" s="2" t="str">
        <x:v>2022 배정: (1/18),(4/19) / 2022 배정(신규): (7/13),(12/27)</x:v>
      </x:c>
      <x:c r="V962" s="2" t="str">
        <x:v>2023-02-02</x:v>
      </x:c>
      <x:c r="W962" s="2" t="str"/>
      <x:c r="X962" s="2" t="str">
        <x:v>보완 회신 일정 확인</x:v>
      </x:c>
      <x:c r="Y962" s="2" t="str">
        <x:v>ad210cd9ec132cfd447541c8984dc53d30aff0f4fb2dc92d254d49275cc55976</x:v>
      </x:c>
      <x:c r="Z962" s="2" t="n">
        <x:f>SUBTOTAL(103,A962)</x:f>
        <x:v>1</x:v>
      </x:c>
      <x:c r="AA962" s="2" t="str">
        <x:f>IF(K962&lt;&gt;"미종결 표시","대상 아님",IF(N962="","신청일 확인",IF(NOT(ISNUMBER('종합 현황'!$H$5)),"관찰기준 확인",IF('종합 현황'!$H$5&lt;1,"관찰기준 확인",IF(N962&gt;'종합 현황'!$H$5,"내부 관찰 대상","내부 관찰일 이하")))))</x:f>
        <x:v>내부 관찰 대상</x:v>
      </x:c>
      <x:c r="AB962" s="2"/>
    </x:row>
    <x:row r="963" ht="42" customHeight="1">
      <x:c r="A963" s="2" t="str">
        <x:v>fda8201bf3b6c9f385ad2e8d</x:v>
      </x:c>
      <x:c r="B963" s="2" t="str">
        <x:v>사업 평가</x:v>
      </x:c>
      <x:c r="C963" s="2" t="str">
        <x:v>국내</x:v>
      </x:c>
      <x:c r="D963" s="7" t="str">
        <x:v>(주)이성산업 고효율 설비 교체 사업</x:v>
      </x:c>
      <x:c r="E963" s="2" t="str">
        <x:v>824</x:v>
      </x:c>
      <x:c r="F963" s="2" t="str">
        <x:v>2021-06-11</x:v>
      </x:c>
      <x:c r="G963" s="2" t="str">
        <x:v>2021</x:v>
      </x:c>
      <x:c r="H963" s="2" t="str">
        <x:v>06</x:v>
      </x:c>
      <x:c r="I963" s="2" t="str">
        <x:v>승인</x:v>
      </x:c>
      <x:c r="J963" s="2" t="str">
        <x:v>심의승인</x:v>
      </x:c>
      <x:c r="K963" s="2" t="str">
        <x:f>IF(OR(J963="심의승인",J963="반려",J963="반려완료",J963="심의완료"),"종결 표시",IF(OR(J963="기후부협의",J963="문서재제출요청",J963="보류",J963="보완요청",J963="보완완료",J963="평가중",J963="반려요청",J963="평가필요",LEFT(J963,5)="보완요청("),"미종결 표시","상태 확인 필요"))</x:f>
        <x:v>종결 표시</x:v>
      </x:c>
      <x:c r="L963" s="2" t="str">
        <x:v>KECM_이태준</x:v>
      </x:c>
      <x:c r="M963" s="2"/>
      <x:c r="N963" s="8" t="n">
        <x:f>DATE(2026,10,15)-DATE(2021,6,11)</x:f>
        <x:v>1952</x:v>
      </x:c>
      <x:c r="O963" s="2" t="str">
        <x:v>O(7월)</x:v>
      </x:c>
      <x:c r="P963" s="2"/>
      <x:c r="Q963" s="2" t="str">
        <x:v>산업전환_외부사업관리Tool_260707_이너젠 수정_LJY_261013.xlsx</x:v>
      </x:c>
      <x:c r="R963" s="2" t="str">
        <x:v>국내평가</x:v>
      </x:c>
      <x:c r="S963" s="8" t="n">
        <x:v>866</x:v>
      </x:c>
      <x:c r="T963" s="2" t="str">
        <x:v>(6/28)</x:v>
      </x:c>
      <x:c r="U963" s="2" t="str">
        <x:v>2021 배정: (6/28) / 2022 배정: (3/16),(4/19)</x:v>
      </x:c>
      <x:c r="V963" s="2" t="str">
        <x:v>2022-10-11</x:v>
      </x:c>
      <x:c r="W963" s="2" t="str"/>
      <x:c r="X963" s="2" t="str">
        <x:v>종결 근거 보관</x:v>
      </x:c>
      <x:c r="Y963" s="2" t="str">
        <x:v>ad210cd9ec132cfd447541c8984dc53d30aff0f4fb2dc92d254d49275cc55976</x:v>
      </x:c>
      <x:c r="Z963" s="2" t="n">
        <x:f>SUBTOTAL(103,A963)</x:f>
        <x:v>1</x:v>
      </x:c>
      <x:c r="AA963" s="2" t="str">
        <x:f>IF(K963&lt;&gt;"미종결 표시","대상 아님",IF(N963="","신청일 확인",IF(NOT(ISNUMBER('종합 현황'!$H$5)),"관찰기준 확인",IF('종합 현황'!$H$5&lt;1,"관찰기준 확인",IF(N963&gt;'종합 현황'!$H$5,"내부 관찰 대상","내부 관찰일 이하")))))</x:f>
        <x:v>대상 아님</x:v>
      </x:c>
      <x:c r="AB963" s="2"/>
    </x:row>
    <x:row r="964" ht="42" customHeight="1">
      <x:c r="A964" s="2" t="str">
        <x:v>4847fda8df47800b01d5cf5a</x:v>
      </x:c>
      <x:c r="B964" s="2" t="str">
        <x:v>사업 평가</x:v>
      </x:c>
      <x:c r="C964" s="2" t="str">
        <x:v>국내</x:v>
      </x:c>
      <x:c r="D964" s="7" t="str">
        <x:v>부산 해운대 클린에너지 학교 태양광발전 묶음 감축사업</x:v>
      </x:c>
      <x:c r="E964" s="2" t="str">
        <x:v>825</x:v>
      </x:c>
      <x:c r="F964" s="2" t="str">
        <x:v>2021-06-21</x:v>
      </x:c>
      <x:c r="G964" s="2" t="str">
        <x:v>2021</x:v>
      </x:c>
      <x:c r="H964" s="2" t="str">
        <x:v>06</x:v>
      </x:c>
      <x:c r="I964" s="2" t="str">
        <x:v>승인</x:v>
      </x:c>
      <x:c r="J964" s="2" t="str">
        <x:v>심의승인</x:v>
      </x:c>
      <x:c r="K964" s="2" t="str">
        <x:f>IF(OR(J964="심의승인",J964="반려",J964="반려완료",J964="심의완료"),"종결 표시",IF(OR(J964="기후부협의",J964="문서재제출요청",J964="보류",J964="보완요청",J964="보완완료",J964="평가중",J964="반려요청",J964="평가필요",LEFT(J964,5)="보완요청("),"미종결 표시","상태 확인 필요"))</x:f>
        <x:v>종결 표시</x:v>
      </x:c>
      <x:c r="L964" s="2" t="str">
        <x:v>에코시안_정다윤</x:v>
      </x:c>
      <x:c r="M964" s="2"/>
      <x:c r="N964" s="8" t="n">
        <x:f>DATE(2026,10,15)-DATE(2021,6,21)</x:f>
        <x:v>1942</x:v>
      </x:c>
      <x:c r="O964" s="2" t="str">
        <x:v>O(7월)</x:v>
      </x:c>
      <x:c r="P964" s="2"/>
      <x:c r="Q964" s="2" t="str">
        <x:v>산업전환_외부사업관리Tool_260707_이너젠 수정_LJY_261013.xlsx</x:v>
      </x:c>
      <x:c r="R964" s="2" t="str">
        <x:v>국내평가</x:v>
      </x:c>
      <x:c r="S964" s="8" t="n">
        <x:v>867</x:v>
      </x:c>
      <x:c r="T964" s="2" t="str">
        <x:v>(6/28),(9/1)</x:v>
      </x:c>
      <x:c r="U964" s="2" t="str">
        <x:v>2021 배정: (6/28),(9/1)</x:v>
      </x:c>
      <x:c r="V964" s="2" t="str">
        <x:v>2022-01-06</x:v>
      </x:c>
      <x:c r="W964" s="2" t="str"/>
      <x:c r="X964" s="2" t="str">
        <x:v>종결 근거 보관</x:v>
      </x:c>
      <x:c r="Y964" s="2" t="str">
        <x:v>ad210cd9ec132cfd447541c8984dc53d30aff0f4fb2dc92d254d49275cc55976</x:v>
      </x:c>
      <x:c r="Z964" s="2" t="n">
        <x:f>SUBTOTAL(103,A964)</x:f>
        <x:v>1</x:v>
      </x:c>
      <x:c r="AA964" s="2" t="str">
        <x:f>IF(K964&lt;&gt;"미종결 표시","대상 아님",IF(N964="","신청일 확인",IF(NOT(ISNUMBER('종합 현황'!$H$5)),"관찰기준 확인",IF('종합 현황'!$H$5&lt;1,"관찰기준 확인",IF(N964&gt;'종합 현황'!$H$5,"내부 관찰 대상","내부 관찰일 이하")))))</x:f>
        <x:v>대상 아님</x:v>
      </x:c>
      <x:c r="AB964" s="2"/>
    </x:row>
    <x:row r="965" ht="42" customHeight="1">
      <x:c r="A965" s="2" t="str">
        <x:v>0c93b4343c17dc2391c71ee1</x:v>
      </x:c>
      <x:c r="B965" s="2" t="str">
        <x:v>사업 평가</x:v>
      </x:c>
      <x:c r="C965" s="2" t="str">
        <x:v>국내</x:v>
      </x:c>
      <x:c r="D965" s="7" t="str">
        <x:v>(주)동주아스콘 연료전환(B-C유→ LNG) 사업</x:v>
      </x:c>
      <x:c r="E965" s="2" t="str">
        <x:v>826</x:v>
      </x:c>
      <x:c r="F965" s="2" t="str">
        <x:v>2021-09-02</x:v>
      </x:c>
      <x:c r="G965" s="2" t="str">
        <x:v>2021</x:v>
      </x:c>
      <x:c r="H965" s="2" t="str">
        <x:v>09</x:v>
      </x:c>
      <x:c r="I965" s="2" t="str">
        <x:v>승인</x:v>
      </x:c>
      <x:c r="J965" s="2" t="str">
        <x:v>심의승인</x:v>
      </x:c>
      <x:c r="K965" s="2" t="str">
        <x:f>IF(OR(J965="심의승인",J965="반려",J965="반려완료",J965="심의완료"),"종결 표시",IF(OR(J965="기후부협의",J965="문서재제출요청",J965="보류",J965="보완요청",J965="보완완료",J965="평가중",J965="반려요청",J965="평가필요",LEFT(J965,5)="보완요청("),"미종결 표시","상태 확인 필요"))</x:f>
        <x:v>종결 표시</x:v>
      </x:c>
      <x:c r="L965" s="2" t="str">
        <x:v>KECM</x:v>
      </x:c>
      <x:c r="M965" s="2"/>
      <x:c r="N965" s="8" t="n">
        <x:f>DATE(2026,10,15)-DATE(2021,9,2)</x:f>
        <x:v>1869</x:v>
      </x:c>
      <x:c r="O965" s="2" t="str">
        <x:v>생략</x:v>
      </x:c>
      <x:c r="P965" s="2"/>
      <x:c r="Q965" s="2" t="str">
        <x:v>산업전환_외부사업관리Tool_260707_이너젠 수정_LJY_261013.xlsx</x:v>
      </x:c>
      <x:c r="R965" s="2" t="str">
        <x:v>국내평가</x:v>
      </x:c>
      <x:c r="S965" s="8" t="n">
        <x:v>868</x:v>
      </x:c>
      <x:c r="T965" s="2" t="str">
        <x:v>(9/14)</x:v>
      </x:c>
      <x:c r="U965" s="2" t="str">
        <x:v>2021 배정: (9/14)</x:v>
      </x:c>
      <x:c r="V965" s="2" t="str">
        <x:v>2022-01-07</x:v>
      </x:c>
      <x:c r="W965" s="2" t="str"/>
      <x:c r="X965" s="2" t="str">
        <x:v>종결 근거 보관</x:v>
      </x:c>
      <x:c r="Y965" s="2" t="str">
        <x:v>ad210cd9ec132cfd447541c8984dc53d30aff0f4fb2dc92d254d49275cc55976</x:v>
      </x:c>
      <x:c r="Z965" s="2" t="n">
        <x:f>SUBTOTAL(103,A965)</x:f>
        <x:v>1</x:v>
      </x:c>
      <x:c r="AA965" s="2" t="str">
        <x:f>IF(K965&lt;&gt;"미종결 표시","대상 아님",IF(N965="","신청일 확인",IF(NOT(ISNUMBER('종합 현황'!$H$5)),"관찰기준 확인",IF('종합 현황'!$H$5&lt;1,"관찰기준 확인",IF(N965&gt;'종합 현황'!$H$5,"내부 관찰 대상","내부 관찰일 이하")))))</x:f>
        <x:v>대상 아님</x:v>
      </x:c>
      <x:c r="AB965" s="2"/>
    </x:row>
    <x:row r="966" ht="42" customHeight="1">
      <x:c r="A966" s="2" t="str">
        <x:v>3e69d612bbbae91b9cf384fa</x:v>
      </x:c>
      <x:c r="B966" s="2" t="str">
        <x:v>사업 평가</x:v>
      </x:c>
      <x:c r="C966" s="2" t="str">
        <x:v>국내</x:v>
      </x:c>
      <x:c r="D966" s="7" t="str">
        <x:v>석문산업㈜의 연료전환을 통한 온실가스 배출 감축사업</x:v>
      </x:c>
      <x:c r="E966" s="2" t="str">
        <x:v>827</x:v>
      </x:c>
      <x:c r="F966" s="2" t="str">
        <x:v>2021-08-27</x:v>
      </x:c>
      <x:c r="G966" s="2" t="str">
        <x:v>2021</x:v>
      </x:c>
      <x:c r="H966" s="2" t="str">
        <x:v>08</x:v>
      </x:c>
      <x:c r="I966" s="2" t="str">
        <x:v>반려</x:v>
      </x:c>
      <x:c r="J966" s="2" t="str">
        <x:v>반려</x:v>
      </x:c>
      <x:c r="K966" s="2" t="str">
        <x:f>IF(OR(J966="심의승인",J966="반려",J966="반려완료",J966="심의완료"),"종결 표시",IF(OR(J966="기후부협의",J966="문서재제출요청",J966="보류",J966="보완요청",J966="보완완료",J966="평가중",J966="반려요청",J966="평가필요",LEFT(J966,5)="보완요청("),"미종결 표시","상태 확인 필요"))</x:f>
        <x:v>종결 표시</x:v>
      </x:c>
      <x:c r="L966" s="2" t="str">
        <x:v>DNV_장유리,KECM_임하진</x:v>
      </x:c>
      <x:c r="M966" s="2"/>
      <x:c r="N966" s="8" t="n">
        <x:f>DATE(2026,10,15)-DATE(2021,8,27)</x:f>
        <x:v>1875</x:v>
      </x:c>
      <x:c r="O966" s="2" t="str">
        <x:v>O(21.10)</x:v>
      </x:c>
      <x:c r="P966" s="2" t="str">
        <x:v>LPG 계측기 X(반려 신청 및 사업 재신청), 23년 3월 협의 예정</x:v>
      </x:c>
      <x:c r="Q966" s="2" t="str">
        <x:v>산업전환_외부사업관리Tool_260707_이너젠 수정_LJY_261013.xlsx</x:v>
      </x:c>
      <x:c r="R966" s="2" t="str">
        <x:v>국내평가</x:v>
      </x:c>
      <x:c r="S966" s="8" t="n">
        <x:v>869</x:v>
      </x:c>
      <x:c r="T966" s="2" t="str">
        <x:v>(9/1)</x:v>
      </x:c>
      <x:c r="U966" s="2" t="str">
        <x:v>2021 배정: (9/1) / 2022 배정: (4/19) / 2022 배정(신규): (6/10)</x:v>
      </x:c>
      <x:c r="V966" s="2" t="str">
        <x:v>2023-03-20</x:v>
      </x:c>
      <x:c r="W966" s="2" t="str"/>
      <x:c r="X966" s="2" t="str">
        <x:v>종결 근거 보관</x:v>
      </x:c>
      <x:c r="Y966" s="2" t="str">
        <x:v>ad210cd9ec132cfd447541c8984dc53d30aff0f4fb2dc92d254d49275cc55976</x:v>
      </x:c>
      <x:c r="Z966" s="2" t="n">
        <x:f>SUBTOTAL(103,A966)</x:f>
        <x:v>1</x:v>
      </x:c>
      <x:c r="AA966" s="2" t="str">
        <x:f>IF(K966&lt;&gt;"미종결 표시","대상 아님",IF(N966="","신청일 확인",IF(NOT(ISNUMBER('종합 현황'!$H$5)),"관찰기준 확인",IF('종합 현황'!$H$5&lt;1,"관찰기준 확인",IF(N966&gt;'종합 현황'!$H$5,"내부 관찰 대상","내부 관찰일 이하")))))</x:f>
        <x:v>대상 아님</x:v>
      </x:c>
      <x:c r="AB966" s="2"/>
    </x:row>
    <x:row r="967" ht="42" customHeight="1">
      <x:c r="A967" s="2" t="str">
        <x:v>feb55051ecc19a8f93247050</x:v>
      </x:c>
      <x:c r="B967" s="2" t="str">
        <x:v>사업 평가</x:v>
      </x:c>
      <x:c r="C967" s="2" t="str">
        <x:v>국내</x:v>
      </x:c>
      <x:c r="D967" s="7" t="str">
        <x:v>㈜대원환경산업의 연료전환(B-C유→LPG)을 통한 온실가스 배출 감축사업</x:v>
      </x:c>
      <x:c r="E967" s="2" t="str">
        <x:v>828</x:v>
      </x:c>
      <x:c r="F967" s="2" t="str">
        <x:v>2021-08-30</x:v>
      </x:c>
      <x:c r="G967" s="2" t="str">
        <x:v>2021</x:v>
      </x:c>
      <x:c r="H967" s="2" t="str">
        <x:v>08</x:v>
      </x:c>
      <x:c r="I967" s="2" t="str">
        <x:v>반려</x:v>
      </x:c>
      <x:c r="J967" s="2" t="str">
        <x:v>반려</x:v>
      </x:c>
      <x:c r="K967" s="2" t="str">
        <x:f>IF(OR(J967="심의승인",J967="반려",J967="반려완료",J967="심의완료"),"종결 표시",IF(OR(J967="기후부협의",J967="문서재제출요청",J967="보류",J967="보완요청",J967="보완완료",J967="평가중",J967="반려요청",J967="평가필요",LEFT(J967,5)="보완요청("),"미종결 표시","상태 확인 필요"))</x:f>
        <x:v>종결 표시</x:v>
      </x:c>
      <x:c r="L967" s="2" t="str">
        <x:v>DNV_박상연,에코시안_조영우</x:v>
      </x:c>
      <x:c r="M967" s="2"/>
      <x:c r="N967" s="8" t="n">
        <x:f>DATE(2026,10,15)-DATE(2021,8,30)</x:f>
        <x:v>1872</x:v>
      </x:c>
      <x:c r="O967" s="2" t="str">
        <x:v>O(21.10)</x:v>
      </x:c>
      <x:c r="P967" s="2"/>
      <x:c r="Q967" s="2" t="str">
        <x:v>산업전환_외부사업관리Tool_260707_이너젠 수정_LJY_261013.xlsx</x:v>
      </x:c>
      <x:c r="R967" s="2" t="str">
        <x:v>국내평가</x:v>
      </x:c>
      <x:c r="S967" s="8" t="n">
        <x:v>870</x:v>
      </x:c>
      <x:c r="T967" s="2" t="str">
        <x:v>(9/1)</x:v>
      </x:c>
      <x:c r="U967" s="2" t="str">
        <x:v>2021 배정: (9/1) / 2022 배정: (4/19) / 2023 배정: 2023년 처리</x:v>
      </x:c>
      <x:c r="V967" s="2" t="str">
        <x:v>2023-04-24</x:v>
      </x:c>
      <x:c r="W967" s="2" t="str"/>
      <x:c r="X967" s="2" t="str">
        <x:v>종결 근거 보관</x:v>
      </x:c>
      <x:c r="Y967" s="2" t="str">
        <x:v>ad210cd9ec132cfd447541c8984dc53d30aff0f4fb2dc92d254d49275cc55976</x:v>
      </x:c>
      <x:c r="Z967" s="2" t="n">
        <x:f>SUBTOTAL(103,A967)</x:f>
        <x:v>1</x:v>
      </x:c>
      <x:c r="AA967" s="2" t="str">
        <x:f>IF(K967&lt;&gt;"미종결 표시","대상 아님",IF(N967="","신청일 확인",IF(NOT(ISNUMBER('종합 현황'!$H$5)),"관찰기준 확인",IF('종합 현황'!$H$5&lt;1,"관찰기준 확인",IF(N967&gt;'종합 현황'!$H$5,"내부 관찰 대상","내부 관찰일 이하")))))</x:f>
        <x:v>대상 아님</x:v>
      </x:c>
      <x:c r="AB967" s="2"/>
    </x:row>
    <x:row r="968" ht="42" customHeight="1">
      <x:c r="A968" s="2" t="str">
        <x:v>b0b46d7af1cc9cb73af66d9e</x:v>
      </x:c>
      <x:c r="B968" s="2" t="str">
        <x:v>사업 평가</x:v>
      </x:c>
      <x:c r="C968" s="2" t="str">
        <x:v>국내</x:v>
      </x:c>
      <x:c r="D968" s="7" t="str">
        <x:v>신성아스콘(주) 연료전환(B-C유, 감압정제유에서 LPG)을 통한 온실가스 배출 감축사업</x:v>
      </x:c>
      <x:c r="E968" s="2" t="str">
        <x:v>829</x:v>
      </x:c>
      <x:c r="F968" s="2" t="str">
        <x:v>2020-01-16</x:v>
      </x:c>
      <x:c r="G968" s="2" t="str">
        <x:v>2020</x:v>
      </x:c>
      <x:c r="H968" s="2" t="str">
        <x:v>01</x:v>
      </x:c>
      <x:c r="I968" s="2" t="str">
        <x:v>반려</x:v>
      </x:c>
      <x:c r="J968" s="2" t="str">
        <x:v>반려</x:v>
      </x:c>
      <x:c r="K968" s="2" t="str">
        <x:f>IF(OR(J968="심의승인",J968="반려",J968="반려완료",J968="심의완료"),"종결 표시",IF(OR(J968="기후부협의",J968="문서재제출요청",J968="보류",J968="보완요청",J968="보완완료",J968="평가중",J968="반려요청",J968="평가필요",LEFT(J968,5)="보완요청("),"미종결 표시","상태 확인 필요"))</x:f>
        <x:v>종결 표시</x:v>
      </x:c>
      <x:c r="L968" s="2" t="str">
        <x:v>에코시안_박세은</x:v>
      </x:c>
      <x:c r="M968" s="2"/>
      <x:c r="N968" s="8" t="n">
        <x:f>DATE(2026,10,15)-DATE(2020,1,16)</x:f>
        <x:v>2464</x:v>
      </x:c>
      <x:c r="O968" s="2" t="str">
        <x:v>O</x:v>
      </x:c>
      <x:c r="P968" s="2"/>
      <x:c r="Q968" s="2" t="str">
        <x:v>산업전환_외부사업관리Tool_260707_이너젠 수정_LJY_261013.xlsx</x:v>
      </x:c>
      <x:c r="R968" s="2" t="str">
        <x:v>국내평가</x:v>
      </x:c>
      <x:c r="S968" s="8" t="n">
        <x:v>871</x:v>
      </x:c>
      <x:c r="T968" s="2" t="str">
        <x:v>(7/12),(9/14),(12/1)</x:v>
      </x:c>
      <x:c r="U968" s="2" t="str">
        <x:v>2021 배정: (7/12),(9/14),(12/1) / 2022 배정: (4/19)</x:v>
      </x:c>
      <x:c r="V968" s="2" t="str">
        <x:v>2023-03-20</x:v>
      </x:c>
      <x:c r="W968" s="2" t="str"/>
      <x:c r="X968" s="2" t="str">
        <x:v>종결 근거 보관</x:v>
      </x:c>
      <x:c r="Y968" s="2" t="str">
        <x:v>ad210cd9ec132cfd447541c8984dc53d30aff0f4fb2dc92d254d49275cc55976</x:v>
      </x:c>
      <x:c r="Z968" s="2" t="n">
        <x:f>SUBTOTAL(103,A968)</x:f>
        <x:v>1</x:v>
      </x:c>
      <x:c r="AA968" s="2" t="str">
        <x:f>IF(K968&lt;&gt;"미종결 표시","대상 아님",IF(N968="","신청일 확인",IF(NOT(ISNUMBER('종합 현황'!$H$5)),"관찰기준 확인",IF('종합 현황'!$H$5&lt;1,"관찰기준 확인",IF(N968&gt;'종합 현황'!$H$5,"내부 관찰 대상","내부 관찰일 이하")))))</x:f>
        <x:v>대상 아님</x:v>
      </x:c>
      <x:c r="AB968" s="2"/>
    </x:row>
    <x:row r="969" ht="42" customHeight="1">
      <x:c r="A969" s="2" t="str">
        <x:v>4137fa815ee16ee2dd4ff7d2</x:v>
      </x:c>
      <x:c r="B969" s="2" t="str">
        <x:v>사업 평가</x:v>
      </x:c>
      <x:c r="C969" s="2" t="str">
        <x:v>국내</x:v>
      </x:c>
      <x:c r="D969" s="7" t="str">
        <x:v>(주)동원파츠 고효율 공기압축기로 교체 사업</x:v>
      </x:c>
      <x:c r="E969" s="2" t="str">
        <x:v>830</x:v>
      </x:c>
      <x:c r="F969" s="2" t="str">
        <x:v>2020-12-29</x:v>
      </x:c>
      <x:c r="G969" s="2" t="str">
        <x:v>2020</x:v>
      </x:c>
      <x:c r="H969" s="2" t="str">
        <x:v>12</x:v>
      </x:c>
      <x:c r="I969" s="2" t="str">
        <x:v>보완3차_문서보완중</x:v>
      </x:c>
      <x:c r="J969" s="2" t="str">
        <x:v>보완요청</x:v>
      </x:c>
      <x:c r="K969" s="2" t="str">
        <x:f>IF(OR(J969="심의승인",J969="반려",J969="반려완료",J969="심의완료"),"종결 표시",IF(OR(J969="기후부협의",J969="문서재제출요청",J969="보류",J969="보완요청",J969="보완완료",J969="평가중",J969="반려요청",J969="평가필요",LEFT(J969,5)="보완요청("),"미종결 표시","상태 확인 필요"))</x:f>
        <x:v>미종결 표시</x:v>
      </x:c>
      <x:c r="L969" s="2" t="str">
        <x:v>KECM_이태준</x:v>
      </x:c>
      <x:c r="M969" s="2" t="n">
        <x:v>3</x:v>
      </x:c>
      <x:c r="N969" s="8" t="n">
        <x:f>DATE(2026,10,15)-DATE(2020,12,29)</x:f>
        <x:v>2116</x:v>
      </x:c>
      <x:c r="O969" s="2" t="str">
        <x:v>O(22.08)</x:v>
      </x:c>
      <x:c r="P969" s="2"/>
      <x:c r="Q969" s="2" t="str">
        <x:v>산업전환_외부사업관리Tool_260707_이너젠 수정_LJY_261013.xlsx</x:v>
      </x:c>
      <x:c r="R969" s="2" t="str">
        <x:v>국내평가</x:v>
      </x:c>
      <x:c r="S969" s="8" t="n">
        <x:v>872</x:v>
      </x:c>
      <x:c r="T969" s="2" t="str">
        <x:v>(6/28),(12/1)</x:v>
      </x:c>
      <x:c r="U969" s="2" t="str">
        <x:v>2021 배정: (6/28),(12/1) / 2022 배정: (3/16) / 2022 배정(신규): (7/13),(12/8) / 2023 배정: (6/27) / 2024 배정: (2/5),(4/29)</x:v>
      </x:c>
      <x:c r="V969" s="2" t="str">
        <x:v>2024-05-14</x:v>
      </x:c>
      <x:c r="W969" s="2" t="str"/>
      <x:c r="X969" s="2" t="str">
        <x:v>보완 회신 일정 확인</x:v>
      </x:c>
      <x:c r="Y969" s="2" t="str">
        <x:v>ad210cd9ec132cfd447541c8984dc53d30aff0f4fb2dc92d254d49275cc55976</x:v>
      </x:c>
      <x:c r="Z969" s="2" t="n">
        <x:f>SUBTOTAL(103,A969)</x:f>
        <x:v>1</x:v>
      </x:c>
      <x:c r="AA969" s="2" t="str">
        <x:f>IF(K969&lt;&gt;"미종결 표시","대상 아님",IF(N969="","신청일 확인",IF(NOT(ISNUMBER('종합 현황'!$H$5)),"관찰기준 확인",IF('종합 현황'!$H$5&lt;1,"관찰기준 확인",IF(N969&gt;'종합 현황'!$H$5,"내부 관찰 대상","내부 관찰일 이하")))))</x:f>
        <x:v>내부 관찰 대상</x:v>
      </x:c>
      <x:c r="AB969" s="2"/>
    </x:row>
    <x:row r="970" ht="42" customHeight="1">
      <x:c r="A970" s="2" t="str">
        <x:v>5d8d9f6e04a0dba536cc66e8</x:v>
      </x:c>
      <x:c r="B970" s="2" t="str">
        <x:v>사업 평가</x:v>
      </x:c>
      <x:c r="C970" s="2" t="str">
        <x:v>국내</x:v>
      </x:c>
      <x:c r="D970" s="7" t="str">
        <x:v>(주)동양 고효율 공기압축기 교체를 통한 온실가스 감축사업</x:v>
      </x:c>
      <x:c r="E970" s="2" t="str">
        <x:v>831</x:v>
      </x:c>
      <x:c r="F970" s="2" t="str">
        <x:v>2021-11-05</x:v>
      </x:c>
      <x:c r="G970" s="2" t="str">
        <x:v>2021</x:v>
      </x:c>
      <x:c r="H970" s="2" t="str">
        <x:v>11</x:v>
      </x:c>
      <x:c r="I970" s="2" t="str">
        <x:v>승인</x:v>
      </x:c>
      <x:c r="J970" s="2" t="str">
        <x:v>심의승인</x:v>
      </x:c>
      <x:c r="K970" s="2" t="str">
        <x:f>IF(OR(J970="심의승인",J970="반려",J970="반려완료",J970="심의완료"),"종결 표시",IF(OR(J970="기후부협의",J970="문서재제출요청",J970="보류",J970="보완요청",J970="보완완료",J970="평가중",J970="반려요청",J970="평가필요",LEFT(J970,5)="보완요청("),"미종결 표시","상태 확인 필요"))</x:f>
        <x:v>종결 표시</x:v>
      </x:c>
      <x:c r="L970" s="2" t="str">
        <x:v>KECM_김민정</x:v>
      </x:c>
      <x:c r="M970" s="2"/>
      <x:c r="N970" s="8" t="n">
        <x:f>DATE(2026,10,15)-DATE(2021,11,5)</x:f>
        <x:v>1805</x:v>
      </x:c>
      <x:c r="O970" s="2" t="str">
        <x:v>생략</x:v>
      </x:c>
      <x:c r="P970" s="2" t="str">
        <x:v>제51차 인증위</x:v>
      </x:c>
      <x:c r="Q970" s="2" t="str">
        <x:v>산업전환_외부사업관리Tool_260707_이너젠 수정_LJY_261013.xlsx</x:v>
      </x:c>
      <x:c r="R970" s="2" t="str">
        <x:v>국내평가</x:v>
      </x:c>
      <x:c r="S970" s="8" t="n">
        <x:v>873</x:v>
      </x:c>
      <x:c r="T970" s="2" t="str">
        <x:v>(3/16)</x:v>
      </x:c>
      <x:c r="U970" s="2" t="str">
        <x:v>2022 배정: (3/16) / 2022 배정(신규): (6/10),(10/19) / 2023 배정: (1/30)</x:v>
      </x:c>
      <x:c r="V970" s="2" t="str">
        <x:v>2023-07-07</x:v>
      </x:c>
      <x:c r="W970" s="2" t="str"/>
      <x:c r="X970" s="2" t="str">
        <x:v>종결 근거 보관</x:v>
      </x:c>
      <x:c r="Y970" s="2" t="str">
        <x:v>ad210cd9ec132cfd447541c8984dc53d30aff0f4fb2dc92d254d49275cc55976</x:v>
      </x:c>
      <x:c r="Z970" s="2" t="n">
        <x:f>SUBTOTAL(103,A970)</x:f>
        <x:v>1</x:v>
      </x:c>
      <x:c r="AA970" s="2" t="str">
        <x:f>IF(K970&lt;&gt;"미종결 표시","대상 아님",IF(N970="","신청일 확인",IF(NOT(ISNUMBER('종합 현황'!$H$5)),"관찰기준 확인",IF('종합 현황'!$H$5&lt;1,"관찰기준 확인",IF(N970&gt;'종합 현황'!$H$5,"내부 관찰 대상","내부 관찰일 이하")))))</x:f>
        <x:v>대상 아님</x:v>
      </x:c>
      <x:c r="AB970" s="2"/>
    </x:row>
    <x:row r="971" ht="42" customHeight="1">
      <x:c r="A971" s="2" t="str">
        <x:v>a7878e54143e5fe2177f98c7</x:v>
      </x:c>
      <x:c r="B971" s="2" t="str">
        <x:v>사업 평가</x:v>
      </x:c>
      <x:c r="C971" s="2" t="str">
        <x:v>국내</x:v>
      </x:c>
      <x:c r="D971" s="7" t="str">
        <x:v>(주)미래 고효율 공기압축기 교체를 통한 온실가스 감축사업</x:v>
      </x:c>
      <x:c r="E971" s="2" t="str">
        <x:v>832</x:v>
      </x:c>
      <x:c r="F971" s="2" t="str">
        <x:v>2021-11-05</x:v>
      </x:c>
      <x:c r="G971" s="2" t="str">
        <x:v>2021</x:v>
      </x:c>
      <x:c r="H971" s="2" t="str">
        <x:v>11</x:v>
      </x:c>
      <x:c r="I971" s="2" t="str">
        <x:v>승인</x:v>
      </x:c>
      <x:c r="J971" s="2" t="str">
        <x:v>심의승인</x:v>
      </x:c>
      <x:c r="K971" s="2" t="str">
        <x:f>IF(OR(J971="심의승인",J971="반려",J971="반려완료",J971="심의완료"),"종결 표시",IF(OR(J971="기후부협의",J971="문서재제출요청",J971="보류",J971="보완요청",J971="보완완료",J971="평가중",J971="반려요청",J971="평가필요",LEFT(J971,5)="보완요청("),"미종결 표시","상태 확인 필요"))</x:f>
        <x:v>종결 표시</x:v>
      </x:c>
      <x:c r="L971" s="2" t="str">
        <x:v>KECM_김민정</x:v>
      </x:c>
      <x:c r="M971" s="2"/>
      <x:c r="N971" s="8" t="n">
        <x:f>DATE(2026,10,15)-DATE(2021,11,5)</x:f>
        <x:v>1805</x:v>
      </x:c>
      <x:c r="O971" s="2" t="str">
        <x:v>생략</x:v>
      </x:c>
      <x:c r="P971" s="2" t="str">
        <x:v>제51차 인증위</x:v>
      </x:c>
      <x:c r="Q971" s="2" t="str">
        <x:v>산업전환_외부사업관리Tool_260707_이너젠 수정_LJY_261013.xlsx</x:v>
      </x:c>
      <x:c r="R971" s="2" t="str">
        <x:v>국내평가</x:v>
      </x:c>
      <x:c r="S971" s="8" t="n">
        <x:v>874</x:v>
      </x:c>
      <x:c r="T971" s="2" t="str">
        <x:v>(1/18)</x:v>
      </x:c>
      <x:c r="U971" s="2" t="str">
        <x:v>2022 배정: (1/18) / 2022 배정(신규): (6/10),(10/19) / 2023 배정: (1/30)</x:v>
      </x:c>
      <x:c r="V971" s="2" t="str">
        <x:v>2023-07-07</x:v>
      </x:c>
      <x:c r="W971" s="2" t="str"/>
      <x:c r="X971" s="2" t="str">
        <x:v>종결 근거 보관</x:v>
      </x:c>
      <x:c r="Y971" s="2" t="str">
        <x:v>ad210cd9ec132cfd447541c8984dc53d30aff0f4fb2dc92d254d49275cc55976</x:v>
      </x:c>
      <x:c r="Z971" s="2" t="n">
        <x:f>SUBTOTAL(103,A971)</x:f>
        <x:v>1</x:v>
      </x:c>
      <x:c r="AA971" s="2" t="str">
        <x:f>IF(K971&lt;&gt;"미종결 표시","대상 아님",IF(N971="","신청일 확인",IF(NOT(ISNUMBER('종합 현황'!$H$5)),"관찰기준 확인",IF('종합 현황'!$H$5&lt;1,"관찰기준 확인",IF(N971&gt;'종합 현황'!$H$5,"내부 관찰 대상","내부 관찰일 이하")))))</x:f>
        <x:v>대상 아님</x:v>
      </x:c>
      <x:c r="AB971" s="2"/>
    </x:row>
    <x:row r="972" ht="42" customHeight="1">
      <x:c r="A972" s="2" t="str">
        <x:v>cd3e4d146a3343c0aa229489</x:v>
      </x:c>
      <x:c r="B972" s="2" t="str">
        <x:v>사업 평가</x:v>
      </x:c>
      <x:c r="C972" s="2" t="str">
        <x:v>국내</x:v>
      </x:c>
      <x:c r="D972" s="7" t="str">
        <x:v>대흥우드산업(주)  고효율 1단 인버터 PM Motor 공기압축기로 교체 사업</x:v>
      </x:c>
      <x:c r="E972" s="2" t="str">
        <x:v>833</x:v>
      </x:c>
      <x:c r="F972" s="2" t="str">
        <x:v>2020-03-19</x:v>
      </x:c>
      <x:c r="G972" s="2" t="str">
        <x:v>2020</x:v>
      </x:c>
      <x:c r="H972" s="2" t="str">
        <x:v>03</x:v>
      </x:c>
      <x:c r="I972" s="2" t="str">
        <x:v>승인</x:v>
      </x:c>
      <x:c r="J972" s="2" t="str">
        <x:v>심의승인</x:v>
      </x:c>
      <x:c r="K972" s="2" t="str">
        <x:f>IF(OR(J972="심의승인",J972="반려",J972="반려완료",J972="심의완료"),"종결 표시",IF(OR(J972="기후부협의",J972="문서재제출요청",J972="보류",J972="보완요청",J972="보완완료",J972="평가중",J972="반려요청",J972="평가필요",LEFT(J972,5)="보완요청("),"미종결 표시","상태 확인 필요"))</x:f>
        <x:v>종결 표시</x:v>
      </x:c>
      <x:c r="L972" s="2" t="str">
        <x:v>KECM_김민정</x:v>
      </x:c>
      <x:c r="M972" s="2"/>
      <x:c r="N972" s="8" t="n">
        <x:f>DATE(2026,10,15)-DATE(2020,3,19)</x:f>
        <x:v>2401</x:v>
      </x:c>
      <x:c r="O972" s="2" t="str">
        <x:v>생략</x:v>
      </x:c>
      <x:c r="P972" s="2"/>
      <x:c r="Q972" s="2" t="str">
        <x:v>산업전환_외부사업관리Tool_260707_이너젠 수정_LJY_261013.xlsx</x:v>
      </x:c>
      <x:c r="R972" s="2" t="str">
        <x:v>국내평가</x:v>
      </x:c>
      <x:c r="S972" s="8" t="n">
        <x:v>875</x:v>
      </x:c>
      <x:c r="T972" s="2" t="str">
        <x:v>(7/12),(9/14),(10/20)</x:v>
      </x:c>
      <x:c r="U972" s="2" t="str">
        <x:v>2021 배정: (7/12),(9/14),(10/20) / 2022 배정: (3/16),(4/19) / 2022 배정(신규): (7/13),(12/27) / 2023 배정: (4/21) / 2024 배정: (1/12),(4/8),(11/29) / 2025 배정: (3/5),(11/10)</x:v>
      </x:c>
      <x:c r="V972" s="2" t="str">
        <x:v>2026-03-11</x:v>
      </x:c>
      <x:c r="W972" s="2" t="str"/>
      <x:c r="X972" s="2" t="str">
        <x:v>종결 근거 보관</x:v>
      </x:c>
      <x:c r="Y972" s="2" t="str">
        <x:v>ad210cd9ec132cfd447541c8984dc53d30aff0f4fb2dc92d254d49275cc55976</x:v>
      </x:c>
      <x:c r="Z972" s="2" t="n">
        <x:f>SUBTOTAL(103,A972)</x:f>
        <x:v>1</x:v>
      </x:c>
      <x:c r="AA972" s="2" t="str">
        <x:f>IF(K972&lt;&gt;"미종결 표시","대상 아님",IF(N972="","신청일 확인",IF(NOT(ISNUMBER('종합 현황'!$H$5)),"관찰기준 확인",IF('종합 현황'!$H$5&lt;1,"관찰기준 확인",IF(N972&gt;'종합 현황'!$H$5,"내부 관찰 대상","내부 관찰일 이하")))))</x:f>
        <x:v>대상 아님</x:v>
      </x:c>
      <x:c r="AB972" s="2"/>
    </x:row>
    <x:row r="973" ht="42" customHeight="1">
      <x:c r="A973" s="2" t="str">
        <x:v>ba98fb90b1f1119902ca8ad7</x:v>
      </x:c>
      <x:c r="B973" s="2" t="str">
        <x:v>사업 평가</x:v>
      </x:c>
      <x:c r="C973" s="2" t="str">
        <x:v>국내</x:v>
      </x:c>
      <x:c r="D973" s="7" t="str">
        <x:v>중산현대 아스콘생산시설 연료전환(B-C유 → LPG) 사업</x:v>
      </x:c>
      <x:c r="E973" s="2" t="str">
        <x:v>834</x:v>
      </x:c>
      <x:c r="F973" s="2" t="str">
        <x:v>2021-03-23</x:v>
      </x:c>
      <x:c r="G973" s="2" t="str">
        <x:v>2021</x:v>
      </x:c>
      <x:c r="H973" s="2" t="str">
        <x:v>03</x:v>
      </x:c>
      <x:c r="I973" s="2" t="str">
        <x:v>승인</x:v>
      </x:c>
      <x:c r="J973" s="2" t="str">
        <x:v>심의승인</x:v>
      </x:c>
      <x:c r="K973" s="2" t="str">
        <x:f>IF(OR(J973="심의승인",J973="반려",J973="반려완료",J973="심의완료"),"종결 표시",IF(OR(J973="기후부협의",J973="문서재제출요청",J973="보류",J973="보완요청",J973="보완완료",J973="평가중",J973="반려요청",J973="평가필요",LEFT(J973,5)="보완요청("),"미종결 표시","상태 확인 필요"))</x:f>
        <x:v>종결 표시</x:v>
      </x:c>
      <x:c r="L973" s="2" t="str">
        <x:v>에코시안_정다윤</x:v>
      </x:c>
      <x:c r="M973" s="2"/>
      <x:c r="N973" s="8" t="n">
        <x:f>DATE(2026,10,15)-DATE(2021,3,23)</x:f>
        <x:v>2032</x:v>
      </x:c>
      <x:c r="O973" s="2" t="str">
        <x:v>O(21.05)</x:v>
      </x:c>
      <x:c r="P973" s="2" t="str">
        <x:v>LPG 계측기 O, 제51차 인증위, 자료요청 기능 개발 전 협의 완료 건(추후 평가승인 처리 및 협의기능 미사용)</x:v>
      </x:c>
      <x:c r="Q973" s="2" t="str">
        <x:v>산업전환_외부사업관리Tool_260707_이너젠 수정_LJY_261013.xlsx</x:v>
      </x:c>
      <x:c r="R973" s="2" t="str">
        <x:v>국내평가</x:v>
      </x:c>
      <x:c r="S973" s="8" t="n">
        <x:v>876</x:v>
      </x:c>
      <x:c r="T973" s="2" t="str">
        <x:v>(4/23),(6/18),(8/3),(11/2),(12/10)</x:v>
      </x:c>
      <x:c r="U973" s="2" t="str">
        <x:v>2021 배정: (4/23),(6/18),(8/3),(11/2),(12/10) / 2022 배정: (1/18),(2/9),(4/19) / 2022 배정(신규): (12/27) / 2023 배정: 2023년 처리</x:v>
      </x:c>
      <x:c r="V973" s="2" t="str">
        <x:v>2023-06-15</x:v>
      </x:c>
      <x:c r="W973" s="2" t="str"/>
      <x:c r="X973" s="2" t="str">
        <x:v>종결 근거 보관</x:v>
      </x:c>
      <x:c r="Y973" s="2" t="str">
        <x:v>ad210cd9ec132cfd447541c8984dc53d30aff0f4fb2dc92d254d49275cc55976</x:v>
      </x:c>
      <x:c r="Z973" s="2" t="n">
        <x:f>SUBTOTAL(103,A973)</x:f>
        <x:v>1</x:v>
      </x:c>
      <x:c r="AA973" s="2" t="str">
        <x:f>IF(K973&lt;&gt;"미종결 표시","대상 아님",IF(N973="","신청일 확인",IF(NOT(ISNUMBER('종합 현황'!$H$5)),"관찰기준 확인",IF('종합 현황'!$H$5&lt;1,"관찰기준 확인",IF(N973&gt;'종합 현황'!$H$5,"내부 관찰 대상","내부 관찰일 이하")))))</x:f>
        <x:v>대상 아님</x:v>
      </x:c>
      <x:c r="AB973" s="2"/>
    </x:row>
    <x:row r="974" ht="42" customHeight="1">
      <x:c r="A974" s="2" t="str">
        <x:v>072841c5d4a685d636e13ae8</x:v>
      </x:c>
      <x:c r="B974" s="2" t="str">
        <x:v>사업 평가</x:v>
      </x:c>
      <x:c r="C974" s="2" t="str">
        <x:v>국내</x:v>
      </x:c>
      <x:c r="D974" s="7" t="str">
        <x:v>세라코(주)  연료전환(B-C유 → LNG)을 통한  온실가스 배출 감축사업</x:v>
      </x:c>
      <x:c r="E974" s="2" t="str">
        <x:v>835</x:v>
      </x:c>
      <x:c r="F974" s="2" t="str">
        <x:v>2021-11-12</x:v>
      </x:c>
      <x:c r="G974" s="2" t="str">
        <x:v>2021</x:v>
      </x:c>
      <x:c r="H974" s="2" t="str">
        <x:v>11</x:v>
      </x:c>
      <x:c r="I974" s="2" t="str">
        <x:v>승인</x:v>
      </x:c>
      <x:c r="J974" s="2" t="str">
        <x:v>심의승인</x:v>
      </x:c>
      <x:c r="K974" s="2" t="str">
        <x:f>IF(OR(J974="심의승인",J974="반려",J974="반려완료",J974="심의완료"),"종결 표시",IF(OR(J974="기후부협의",J974="문서재제출요청",J974="보류",J974="보완요청",J974="보완완료",J974="평가중",J974="반려요청",J974="평가필요",LEFT(J974,5)="보완요청("),"미종결 표시","상태 확인 필요"))</x:f>
        <x:v>종결 표시</x:v>
      </x:c>
      <x:c r="L974" s="2" t="str">
        <x:v>에코시안_권송화</x:v>
      </x:c>
      <x:c r="M974" s="2"/>
      <x:c r="N974" s="8" t="n">
        <x:f>DATE(2026,10,15)-DATE(2021,11,12)</x:f>
        <x:v>1798</x:v>
      </x:c>
      <x:c r="O974" s="2" t="str">
        <x:v>O(22.06)</x:v>
      </x:c>
      <x:c r="P974" s="2"/>
      <x:c r="Q974" s="2" t="str">
        <x:v>산업전환_외부사업관리Tool_260707_이너젠 수정_LJY_261013.xlsx</x:v>
      </x:c>
      <x:c r="R974" s="2" t="str">
        <x:v>국내평가</x:v>
      </x:c>
      <x:c r="S974" s="8" t="n">
        <x:v>877</x:v>
      </x:c>
      <x:c r="T974" s="2" t="str">
        <x:v>(12/1)</x:v>
      </x:c>
      <x:c r="U974" s="2" t="str">
        <x:v>2021 배정: (12/1) / 2022 배정(신규): (5/18),(10/19),(12/8) / 2023 배정: (2/17),(4/21)</x:v>
      </x:c>
      <x:c r="V974" s="2" t="str">
        <x:v>2023-10-05</x:v>
      </x:c>
      <x:c r="W974" s="2" t="str"/>
      <x:c r="X974" s="2" t="str">
        <x:v>종결 근거 보관</x:v>
      </x:c>
      <x:c r="Y974" s="2" t="str">
        <x:v>ad210cd9ec132cfd447541c8984dc53d30aff0f4fb2dc92d254d49275cc55976</x:v>
      </x:c>
      <x:c r="Z974" s="2" t="n">
        <x:f>SUBTOTAL(103,A974)</x:f>
        <x:v>1</x:v>
      </x:c>
      <x:c r="AA974" s="2" t="str">
        <x:f>IF(K974&lt;&gt;"미종결 표시","대상 아님",IF(N974="","신청일 확인",IF(NOT(ISNUMBER('종합 현황'!$H$5)),"관찰기준 확인",IF('종합 현황'!$H$5&lt;1,"관찰기준 확인",IF(N974&gt;'종합 현황'!$H$5,"내부 관찰 대상","내부 관찰일 이하")))))</x:f>
        <x:v>대상 아님</x:v>
      </x:c>
      <x:c r="AB974" s="2"/>
    </x:row>
    <x:row r="975" ht="42" customHeight="1">
      <x:c r="A975" s="2" t="str">
        <x:v>00c09e52712c5260252addcc</x:v>
      </x:c>
      <x:c r="B975" s="2" t="str">
        <x:v>사업 평가</x:v>
      </x:c>
      <x:c r="C975" s="2" t="str">
        <x:v>국내</x:v>
      </x:c>
      <x:c r="D975" s="7" t="str">
        <x:v>(유)도로산업  연료전환(B-C유 → LNG)을 통한  온실가스 배출 감축사업</x:v>
      </x:c>
      <x:c r="E975" s="2" t="str">
        <x:v>836</x:v>
      </x:c>
      <x:c r="F975" s="2" t="str">
        <x:v>2021-11-12</x:v>
      </x:c>
      <x:c r="G975" s="2" t="str">
        <x:v>2021</x:v>
      </x:c>
      <x:c r="H975" s="2" t="str">
        <x:v>11</x:v>
      </x:c>
      <x:c r="I975" s="2" t="str">
        <x:v>승인</x:v>
      </x:c>
      <x:c r="J975" s="2" t="str">
        <x:v>심의승인</x:v>
      </x:c>
      <x:c r="K975" s="2" t="str">
        <x:f>IF(OR(J975="심의승인",J975="반려",J975="반려완료",J975="심의완료"),"종결 표시",IF(OR(J975="기후부협의",J975="문서재제출요청",J975="보류",J975="보완요청",J975="보완완료",J975="평가중",J975="반려요청",J975="평가필요",LEFT(J975,5)="보완요청("),"미종결 표시","상태 확인 필요"))</x:f>
        <x:v>종결 표시</x:v>
      </x:c>
      <x:c r="L975" s="2" t="str">
        <x:v>에코시안_정다윤</x:v>
      </x:c>
      <x:c r="M975" s="2"/>
      <x:c r="N975" s="8" t="n">
        <x:f>DATE(2026,10,15)-DATE(2021,11,12)</x:f>
        <x:v>1798</x:v>
      </x:c>
      <x:c r="O975" s="2" t="str">
        <x:v>O(22.05)</x:v>
      </x:c>
      <x:c r="P975" s="2"/>
      <x:c r="Q975" s="2" t="str">
        <x:v>산업전환_외부사업관리Tool_260707_이너젠 수정_LJY_261013.xlsx</x:v>
      </x:c>
      <x:c r="R975" s="2" t="str">
        <x:v>국내평가</x:v>
      </x:c>
      <x:c r="S975" s="8" t="n">
        <x:v>878</x:v>
      </x:c>
      <x:c r="T975" s="2" t="str">
        <x:v>(12/1)</x:v>
      </x:c>
      <x:c r="U975" s="2" t="str">
        <x:v>2021 배정: (12/1) / 2022 배정: (4/19) / 2022 배정(신규): (5/18),(8/16),(9/19),(10/19),(12/8) / 2023 배정: 2023년 처리</x:v>
      </x:c>
      <x:c r="V975" s="2" t="str">
        <x:v>2023-10-05</x:v>
      </x:c>
      <x:c r="W975" s="2" t="str"/>
      <x:c r="X975" s="2" t="str">
        <x:v>종결 근거 보관</x:v>
      </x:c>
      <x:c r="Y975" s="2" t="str">
        <x:v>ad210cd9ec132cfd447541c8984dc53d30aff0f4fb2dc92d254d49275cc55976</x:v>
      </x:c>
      <x:c r="Z975" s="2" t="n">
        <x:f>SUBTOTAL(103,A975)</x:f>
        <x:v>1</x:v>
      </x:c>
      <x:c r="AA975" s="2" t="str">
        <x:f>IF(K975&lt;&gt;"미종결 표시","대상 아님",IF(N975="","신청일 확인",IF(NOT(ISNUMBER('종합 현황'!$H$5)),"관찰기준 확인",IF('종합 현황'!$H$5&lt;1,"관찰기준 확인",IF(N975&gt;'종합 현황'!$H$5,"내부 관찰 대상","내부 관찰일 이하")))))</x:f>
        <x:v>대상 아님</x:v>
      </x:c>
      <x:c r="AB975" s="2"/>
    </x:row>
    <x:row r="976" ht="42" customHeight="1">
      <x:c r="A976" s="2" t="str">
        <x:v>a1d83d1db854356a5773a2f9</x:v>
      </x:c>
      <x:c r="B976" s="2" t="str">
        <x:v>사업 평가</x:v>
      </x:c>
      <x:c r="C976" s="2" t="str">
        <x:v>국내</x:v>
      </x:c>
      <x:c r="D976" s="7" t="str">
        <x:v>부산 동래 클린에너지 학교 태양광발전 묶음 감축사업</x:v>
      </x:c>
      <x:c r="E976" s="2" t="str">
        <x:v>837</x:v>
      </x:c>
      <x:c r="F976" s="2" t="str">
        <x:v>2021-12-10</x:v>
      </x:c>
      <x:c r="G976" s="2" t="str">
        <x:v>2021</x:v>
      </x:c>
      <x:c r="H976" s="2" t="str">
        <x:v>12</x:v>
      </x:c>
      <x:c r="I976" s="2" t="str">
        <x:v>승인</x:v>
      </x:c>
      <x:c r="J976" s="2" t="str">
        <x:v>심의승인</x:v>
      </x:c>
      <x:c r="K976" s="2" t="str">
        <x:f>IF(OR(J976="심의승인",J976="반려",J976="반려완료",J976="심의완료"),"종결 표시",IF(OR(J976="기후부협의",J976="문서재제출요청",J976="보류",J976="보완요청",J976="보완완료",J976="평가중",J976="반려요청",J976="평가필요",LEFT(J976,5)="보완요청("),"미종결 표시","상태 확인 필요"))</x:f>
        <x:v>종결 표시</x:v>
      </x:c>
      <x:c r="L976" s="2" t="str">
        <x:v>에코시안_권송화</x:v>
      </x:c>
      <x:c r="M976" s="2"/>
      <x:c r="N976" s="8" t="n">
        <x:f>DATE(2026,10,15)-DATE(2021,12,10)</x:f>
        <x:v>1770</x:v>
      </x:c>
      <x:c r="O976" s="2" t="str">
        <x:v>O(7월)</x:v>
      </x:c>
      <x:c r="P976" s="2"/>
      <x:c r="Q976" s="2" t="str">
        <x:v>산업전환_외부사업관리Tool_260707_이너젠 수정_LJY_261013.xlsx</x:v>
      </x:c>
      <x:c r="R976" s="2" t="str">
        <x:v>국내평가</x:v>
      </x:c>
      <x:c r="S976" s="8" t="n">
        <x:v>879</x:v>
      </x:c>
      <x:c r="T976" s="2" t="str">
        <x:v>(12/10)</x:v>
      </x:c>
      <x:c r="U976" s="2" t="str">
        <x:v>2021 배정: (12/10) / 2022 배정: (2/9)</x:v>
      </x:c>
      <x:c r="V976" s="2" t="str">
        <x:v>2022-07-05</x:v>
      </x:c>
      <x:c r="W976" s="2" t="str"/>
      <x:c r="X976" s="2" t="str">
        <x:v>종결 근거 보관</x:v>
      </x:c>
      <x:c r="Y976" s="2" t="str">
        <x:v>ad210cd9ec132cfd447541c8984dc53d30aff0f4fb2dc92d254d49275cc55976</x:v>
      </x:c>
      <x:c r="Z976" s="2" t="n">
        <x:f>SUBTOTAL(103,A976)</x:f>
        <x:v>1</x:v>
      </x:c>
      <x:c r="AA976" s="2" t="str">
        <x:f>IF(K976&lt;&gt;"미종결 표시","대상 아님",IF(N976="","신청일 확인",IF(NOT(ISNUMBER('종합 현황'!$H$5)),"관찰기준 확인",IF('종합 현황'!$H$5&lt;1,"관찰기준 확인",IF(N976&gt;'종합 현황'!$H$5,"내부 관찰 대상","내부 관찰일 이하")))))</x:f>
        <x:v>대상 아님</x:v>
      </x:c>
      <x:c r="AB976" s="2"/>
    </x:row>
    <x:row r="977" ht="42" customHeight="1">
      <x:c r="A977" s="2" t="str">
        <x:v>9bca3c0d43036fb0a8f40c2d</x:v>
      </x:c>
      <x:c r="B977" s="2" t="str">
        <x:v>사업 평가</x:v>
      </x:c>
      <x:c r="C977" s="2" t="str">
        <x:v>국내</x:v>
      </x:c>
      <x:c r="D977" s="7" t="str">
        <x:v>부산 서부 클린에너지 학교 태양광발전 묶음 감축사업</x:v>
      </x:c>
      <x:c r="E977" s="2" t="str">
        <x:v>838</x:v>
      </x:c>
      <x:c r="F977" s="2" t="str">
        <x:v>2021-12-10</x:v>
      </x:c>
      <x:c r="G977" s="2" t="str">
        <x:v>2021</x:v>
      </x:c>
      <x:c r="H977" s="2" t="str">
        <x:v>12</x:v>
      </x:c>
      <x:c r="I977" s="2" t="str">
        <x:v>승인</x:v>
      </x:c>
      <x:c r="J977" s="2" t="str">
        <x:v>심의승인</x:v>
      </x:c>
      <x:c r="K977" s="2" t="str">
        <x:f>IF(OR(J977="심의승인",J977="반려",J977="반려완료",J977="심의완료"),"종결 표시",IF(OR(J977="기후부협의",J977="문서재제출요청",J977="보류",J977="보완요청",J977="보완완료",J977="평가중",J977="반려요청",J977="평가필요",LEFT(J977,5)="보완요청("),"미종결 표시","상태 확인 필요"))</x:f>
        <x:v>종결 표시</x:v>
      </x:c>
      <x:c r="L977" s="2" t="str">
        <x:v>에코시안_권송화</x:v>
      </x:c>
      <x:c r="M977" s="2"/>
      <x:c r="N977" s="8" t="n">
        <x:f>DATE(2026,10,15)-DATE(2021,12,10)</x:f>
        <x:v>1770</x:v>
      </x:c>
      <x:c r="O977" s="2" t="str">
        <x:v>O(7월)</x:v>
      </x:c>
      <x:c r="P977" s="2"/>
      <x:c r="Q977" s="2" t="str">
        <x:v>산업전환_외부사업관리Tool_260707_이너젠 수정_LJY_261013.xlsx</x:v>
      </x:c>
      <x:c r="R977" s="2" t="str">
        <x:v>국내평가</x:v>
      </x:c>
      <x:c r="S977" s="8" t="n">
        <x:v>880</x:v>
      </x:c>
      <x:c r="T977" s="2" t="str">
        <x:v>(12/10)</x:v>
      </x:c>
      <x:c r="U977" s="2" t="str">
        <x:v>2021 배정: (12/10) / 2022 배정: (2/9)</x:v>
      </x:c>
      <x:c r="V977" s="2" t="str">
        <x:v>2022-07-05</x:v>
      </x:c>
      <x:c r="W977" s="2" t="str"/>
      <x:c r="X977" s="2" t="str">
        <x:v>종결 근거 보관</x:v>
      </x:c>
      <x:c r="Y977" s="2" t="str">
        <x:v>ad210cd9ec132cfd447541c8984dc53d30aff0f4fb2dc92d254d49275cc55976</x:v>
      </x:c>
      <x:c r="Z977" s="2" t="n">
        <x:f>SUBTOTAL(103,A977)</x:f>
        <x:v>1</x:v>
      </x:c>
      <x:c r="AA977" s="2" t="str">
        <x:f>IF(K977&lt;&gt;"미종결 표시","대상 아님",IF(N977="","신청일 확인",IF(NOT(ISNUMBER('종합 현황'!$H$5)),"관찰기준 확인",IF('종합 현황'!$H$5&lt;1,"관찰기준 확인",IF(N977&gt;'종합 현황'!$H$5,"내부 관찰 대상","내부 관찰일 이하")))))</x:f>
        <x:v>대상 아님</x:v>
      </x:c>
      <x:c r="AB977" s="2"/>
    </x:row>
    <x:row r="978" ht="42" customHeight="1">
      <x:c r="A978" s="2" t="str">
        <x:v>67270e076a6fe38a8ca011c8</x:v>
      </x:c>
      <x:c r="B978" s="2" t="str">
        <x:v>사업 평가</x:v>
      </x:c>
      <x:c r="C978" s="2" t="str">
        <x:v>국내</x:v>
      </x:c>
      <x:c r="D978" s="7" t="str">
        <x:v>부산 남부 클린에너지 학교 태양광발전 묶음 감축사업</x:v>
      </x:c>
      <x:c r="E978" s="2" t="str">
        <x:v>839</x:v>
      </x:c>
      <x:c r="F978" s="2" t="str">
        <x:v>2021-12-10</x:v>
      </x:c>
      <x:c r="G978" s="2" t="str">
        <x:v>2021</x:v>
      </x:c>
      <x:c r="H978" s="2" t="str">
        <x:v>12</x:v>
      </x:c>
      <x:c r="I978" s="2" t="str">
        <x:v>승인</x:v>
      </x:c>
      <x:c r="J978" s="2" t="str">
        <x:v>심의승인</x:v>
      </x:c>
      <x:c r="K978" s="2" t="str">
        <x:f>IF(OR(J978="심의승인",J978="반려",J978="반려완료",J978="심의완료"),"종결 표시",IF(OR(J978="기후부협의",J978="문서재제출요청",J978="보류",J978="보완요청",J978="보완완료",J978="평가중",J978="반려요청",J978="평가필요",LEFT(J978,5)="보완요청("),"미종결 표시","상태 확인 필요"))</x:f>
        <x:v>종결 표시</x:v>
      </x:c>
      <x:c r="L978" s="2" t="str">
        <x:v>에코시안_정다윤</x:v>
      </x:c>
      <x:c r="M978" s="2"/>
      <x:c r="N978" s="8" t="n">
        <x:f>DATE(2026,10,15)-DATE(2021,12,10)</x:f>
        <x:v>1770</x:v>
      </x:c>
      <x:c r="O978" s="2" t="str">
        <x:v>O(7월)</x:v>
      </x:c>
      <x:c r="P978" s="2"/>
      <x:c r="Q978" s="2" t="str">
        <x:v>산업전환_외부사업관리Tool_260707_이너젠 수정_LJY_261013.xlsx</x:v>
      </x:c>
      <x:c r="R978" s="2" t="str">
        <x:v>국내평가</x:v>
      </x:c>
      <x:c r="S978" s="8" t="n">
        <x:v>881</x:v>
      </x:c>
      <x:c r="T978" s="2" t="str">
        <x:v>(12/10)</x:v>
      </x:c>
      <x:c r="U978" s="2" t="str">
        <x:v>2021 배정: (12/10) / 2022 배정: (2/9)</x:v>
      </x:c>
      <x:c r="V978" s="2" t="str">
        <x:v>2022-07-05</x:v>
      </x:c>
      <x:c r="W978" s="2" t="str"/>
      <x:c r="X978" s="2" t="str">
        <x:v>종결 근거 보관</x:v>
      </x:c>
      <x:c r="Y978" s="2" t="str">
        <x:v>ad210cd9ec132cfd447541c8984dc53d30aff0f4fb2dc92d254d49275cc55976</x:v>
      </x:c>
      <x:c r="Z978" s="2" t="n">
        <x:f>SUBTOTAL(103,A978)</x:f>
        <x:v>1</x:v>
      </x:c>
      <x:c r="AA978" s="2" t="str">
        <x:f>IF(K978&lt;&gt;"미종결 표시","대상 아님",IF(N978="","신청일 확인",IF(NOT(ISNUMBER('종합 현황'!$H$5)),"관찰기준 확인",IF('종합 현황'!$H$5&lt;1,"관찰기준 확인",IF(N978&gt;'종합 현황'!$H$5,"내부 관찰 대상","내부 관찰일 이하")))))</x:f>
        <x:v>대상 아님</x:v>
      </x:c>
      <x:c r="AB978" s="2"/>
    </x:row>
    <x:row r="979" ht="42" customHeight="1">
      <x:c r="A979" s="2" t="str">
        <x:v>6fab7b4395eb26fa7780ee1d</x:v>
      </x:c>
      <x:c r="B979" s="2" t="str">
        <x:v>사업 평가</x:v>
      </x:c>
      <x:c r="C979" s="2" t="str">
        <x:v>국내</x:v>
      </x:c>
      <x:c r="D979" s="7" t="str">
        <x:v>부산 북부 클린에너지 학교 태양광발전 묶음 감축사업</x:v>
      </x:c>
      <x:c r="E979" s="2" t="str">
        <x:v>840</x:v>
      </x:c>
      <x:c r="F979" s="2" t="str">
        <x:v>2021-12-10</x:v>
      </x:c>
      <x:c r="G979" s="2" t="str">
        <x:v>2021</x:v>
      </x:c>
      <x:c r="H979" s="2" t="str">
        <x:v>12</x:v>
      </x:c>
      <x:c r="I979" s="2" t="str">
        <x:v>승인</x:v>
      </x:c>
      <x:c r="J979" s="2" t="str">
        <x:v>심의승인</x:v>
      </x:c>
      <x:c r="K979" s="2" t="str">
        <x:f>IF(OR(J979="심의승인",J979="반려",J979="반려완료",J979="심의완료"),"종결 표시",IF(OR(J979="기후부협의",J979="문서재제출요청",J979="보류",J979="보완요청",J979="보완완료",J979="평가중",J979="반려요청",J979="평가필요",LEFT(J979,5)="보완요청("),"미종결 표시","상태 확인 필요"))</x:f>
        <x:v>종결 표시</x:v>
      </x:c>
      <x:c r="L979" s="2" t="str">
        <x:v>에코시안_정다윤</x:v>
      </x:c>
      <x:c r="M979" s="2"/>
      <x:c r="N979" s="8" t="n">
        <x:f>DATE(2026,10,15)-DATE(2021,12,10)</x:f>
        <x:v>1770</x:v>
      </x:c>
      <x:c r="O979" s="2" t="str">
        <x:v>O(7월)</x:v>
      </x:c>
      <x:c r="P979" s="2"/>
      <x:c r="Q979" s="2" t="str">
        <x:v>산업전환_외부사업관리Tool_260707_이너젠 수정_LJY_261013.xlsx</x:v>
      </x:c>
      <x:c r="R979" s="2" t="str">
        <x:v>국내평가</x:v>
      </x:c>
      <x:c r="S979" s="8" t="n">
        <x:v>882</x:v>
      </x:c>
      <x:c r="T979" s="2" t="str">
        <x:v>(12/10)</x:v>
      </x:c>
      <x:c r="U979" s="2" t="str">
        <x:v>2021 배정: (12/10) / 2022 배정: (2/9)</x:v>
      </x:c>
      <x:c r="V979" s="2" t="str">
        <x:v>2022-07-05</x:v>
      </x:c>
      <x:c r="W979" s="2" t="str"/>
      <x:c r="X979" s="2" t="str">
        <x:v>종결 근거 보관</x:v>
      </x:c>
      <x:c r="Y979" s="2" t="str">
        <x:v>ad210cd9ec132cfd447541c8984dc53d30aff0f4fb2dc92d254d49275cc55976</x:v>
      </x:c>
      <x:c r="Z979" s="2" t="n">
        <x:f>SUBTOTAL(103,A979)</x:f>
        <x:v>1</x:v>
      </x:c>
      <x:c r="AA979" s="2" t="str">
        <x:f>IF(K979&lt;&gt;"미종결 표시","대상 아님",IF(N979="","신청일 확인",IF(NOT(ISNUMBER('종합 현황'!$H$5)),"관찰기준 확인",IF('종합 현황'!$H$5&lt;1,"관찰기준 확인",IF(N979&gt;'종합 현황'!$H$5,"내부 관찰 대상","내부 관찰일 이하")))))</x:f>
        <x:v>대상 아님</x:v>
      </x:c>
      <x:c r="AB979" s="2"/>
    </x:row>
    <x:row r="980" ht="42" customHeight="1">
      <x:c r="A980" s="2" t="str">
        <x:v>c8241371e16c64bf611c4103</x:v>
      </x:c>
      <x:c r="B980" s="2" t="str">
        <x:v>사업 평가</x:v>
      </x:c>
      <x:c r="C980" s="2" t="str">
        <x:v>국내</x:v>
      </x:c>
      <x:c r="D980" s="7" t="str">
        <x:v>삼호콘크리트(주)  연료전환(부생연료유2호 → LNG)을 통한  온실가스 배출 감축사업</x:v>
      </x:c>
      <x:c r="E980" s="2" t="str">
        <x:v>841</x:v>
      </x:c>
      <x:c r="F980" s="2" t="str">
        <x:v>2021-12-14</x:v>
      </x:c>
      <x:c r="G980" s="2" t="str">
        <x:v>2021</x:v>
      </x:c>
      <x:c r="H980" s="2" t="str">
        <x:v>12</x:v>
      </x:c>
      <x:c r="I980" s="2" t="str">
        <x:v>승인</x:v>
      </x:c>
      <x:c r="J980" s="2" t="str">
        <x:v>심의승인</x:v>
      </x:c>
      <x:c r="K980" s="2" t="str">
        <x:f>IF(OR(J980="심의승인",J980="반려",J980="반려완료",J980="심의완료"),"종결 표시",IF(OR(J980="기후부협의",J980="문서재제출요청",J980="보류",J980="보완요청",J980="보완완료",J980="평가중",J980="반려요청",J980="평가필요",LEFT(J980,5)="보완요청("),"미종결 표시","상태 확인 필요"))</x:f>
        <x:v>종결 표시</x:v>
      </x:c>
      <x:c r="L980" s="2" t="str">
        <x:v>에코시안_박세은</x:v>
      </x:c>
      <x:c r="M980" s="2"/>
      <x:c r="N980" s="8" t="n">
        <x:f>DATE(2026,10,15)-DATE(2021,12,14)</x:f>
        <x:v>1766</x:v>
      </x:c>
      <x:c r="O980" s="2" t="str">
        <x:v>O(22.06)</x:v>
      </x:c>
      <x:c r="P980" s="2" t="str">
        <x:v>24년 11월 협의</x:v>
      </x:c>
      <x:c r="Q980" s="2" t="str">
        <x:v>산업전환_외부사업관리Tool_260707_이너젠 수정_LJY_261013.xlsx</x:v>
      </x:c>
      <x:c r="R980" s="2" t="str">
        <x:v>국내평가</x:v>
      </x:c>
      <x:c r="S980" s="8" t="n">
        <x:v>883</x:v>
      </x:c>
      <x:c r="T980" s="2" t="str">
        <x:v>(1/18)</x:v>
      </x:c>
      <x:c r="U980" s="2" t="str">
        <x:v>2022 배정: (1/18) / 2022 배정(신규): (5/18),(9/19),(10/19),(11/18),(12/8) / 2023 배정: (2/17),(4/21) / 2024 배정: (7/1),(9/2),(10/17),(11/8)</x:v>
      </x:c>
      <x:c r="V980" s="2" t="str">
        <x:v>2025-03-11</x:v>
      </x:c>
      <x:c r="W980" s="2" t="str"/>
      <x:c r="X980" s="2" t="str">
        <x:v>종결 근거 보관</x:v>
      </x:c>
      <x:c r="Y980" s="2" t="str">
        <x:v>ad210cd9ec132cfd447541c8984dc53d30aff0f4fb2dc92d254d49275cc55976</x:v>
      </x:c>
      <x:c r="Z980" s="2" t="n">
        <x:f>SUBTOTAL(103,A980)</x:f>
        <x:v>1</x:v>
      </x:c>
      <x:c r="AA980" s="2" t="str">
        <x:f>IF(K980&lt;&gt;"미종결 표시","대상 아님",IF(N980="","신청일 확인",IF(NOT(ISNUMBER('종합 현황'!$H$5)),"관찰기준 확인",IF('종합 현황'!$H$5&lt;1,"관찰기준 확인",IF(N980&gt;'종합 현황'!$H$5,"내부 관찰 대상","내부 관찰일 이하")))))</x:f>
        <x:v>대상 아님</x:v>
      </x:c>
      <x:c r="AB980" s="2"/>
    </x:row>
    <x:row r="981" ht="42" customHeight="1">
      <x:c r="A981" s="2" t="str">
        <x:v>325c6aa2f2ace98304293ae9</x:v>
      </x:c>
      <x:c r="B981" s="2" t="str">
        <x:v>사업 평가</x:v>
      </x:c>
      <x:c r="C981" s="2" t="str">
        <x:v>국내</x:v>
      </x:c>
      <x:c r="D981" s="7" t="str">
        <x:v>(주)기성대정정밀  고효율 2단 인버터 PM Motor 공기압축기로 교체 사업</x:v>
      </x:c>
      <x:c r="E981" s="2" t="str">
        <x:v>842</x:v>
      </x:c>
      <x:c r="F981" s="2" t="str">
        <x:v>2021-01-13</x:v>
      </x:c>
      <x:c r="G981" s="2" t="str">
        <x:v>2021</x:v>
      </x:c>
      <x:c r="H981" s="2" t="str">
        <x:v>01</x:v>
      </x:c>
      <x:c r="I981" s="2" t="str">
        <x:v>승인</x:v>
      </x:c>
      <x:c r="J981" s="2" t="str">
        <x:v>심의승인</x:v>
      </x:c>
      <x:c r="K981" s="2" t="str">
        <x:f>IF(OR(J981="심의승인",J981="반려",J981="반려완료",J981="심의완료"),"종결 표시",IF(OR(J981="기후부협의",J981="문서재제출요청",J981="보류",J981="보완요청",J981="보완완료",J981="평가중",J981="반려요청",J981="평가필요",LEFT(J981,5)="보완요청("),"미종결 표시","상태 확인 필요"))</x:f>
        <x:v>종결 표시</x:v>
      </x:c>
      <x:c r="L981" s="2" t="str">
        <x:v>KECM_김민정&gt;이태준</x:v>
      </x:c>
      <x:c r="M981" s="2"/>
      <x:c r="N981" s="8" t="n">
        <x:f>DATE(2026,10,15)-DATE(2021,1,13)</x:f>
        <x:v>2101</x:v>
      </x:c>
      <x:c r="O981" s="2" t="str">
        <x:v>O(21.10)</x:v>
      </x:c>
      <x:c r="P981" s="2" t="str">
        <x:v>3분기 인증위 승인</x:v>
      </x:c>
      <x:c r="Q981" s="2" t="str">
        <x:v>산업전환_외부사업관리Tool_260707_이너젠 수정_LJY_261013.xlsx</x:v>
      </x:c>
      <x:c r="R981" s="2" t="str">
        <x:v>국내평가</x:v>
      </x:c>
      <x:c r="S981" s="8" t="n">
        <x:v>884</x:v>
      </x:c>
      <x:c r="T981" s="2" t="str">
        <x:v>(10/20)</x:v>
      </x:c>
      <x:c r="U981" s="2" t="str">
        <x:v>2021 배정: (10/20) / 2022 배정: (3/16),(4/19) / 2022 배정(신규): (7/13),(11/18),(12/27) / 2023 배정: (4/21),(11/17) / 2024 배정: (2/5),(4/8)</x:v>
      </x:c>
      <x:c r="V981" s="2" t="str">
        <x:v>2024-10-07</x:v>
      </x:c>
      <x:c r="W981" s="2" t="str"/>
      <x:c r="X981" s="2" t="str">
        <x:v>종결 근거 보관</x:v>
      </x:c>
      <x:c r="Y981" s="2" t="str">
        <x:v>ad210cd9ec132cfd447541c8984dc53d30aff0f4fb2dc92d254d49275cc55976</x:v>
      </x:c>
      <x:c r="Z981" s="2" t="n">
        <x:f>SUBTOTAL(103,A981)</x:f>
        <x:v>1</x:v>
      </x:c>
      <x:c r="AA981" s="2" t="str">
        <x:f>IF(K981&lt;&gt;"미종결 표시","대상 아님",IF(N981="","신청일 확인",IF(NOT(ISNUMBER('종합 현황'!$H$5)),"관찰기준 확인",IF('종합 현황'!$H$5&lt;1,"관찰기준 확인",IF(N981&gt;'종합 현황'!$H$5,"내부 관찰 대상","내부 관찰일 이하")))))</x:f>
        <x:v>대상 아님</x:v>
      </x:c>
      <x:c r="AB981" s="2"/>
    </x:row>
    <x:row r="982" ht="42" customHeight="1">
      <x:c r="A982" s="2" t="str">
        <x:v>1d010b0d623587aa84869e44</x:v>
      </x:c>
      <x:c r="B982" s="2" t="str">
        <x:v>사업 평가</x:v>
      </x:c>
      <x:c r="C982" s="2" t="str">
        <x:v>국내</x:v>
      </x:c>
      <x:c r="D982" s="7" t="str">
        <x:v>덕연셀텍  고효율 2단 PM Motor 공기압축기로 교체 사업</x:v>
      </x:c>
      <x:c r="E982" s="2" t="str">
        <x:v>843</x:v>
      </x:c>
      <x:c r="F982" s="2" t="str">
        <x:v>2021-05-31</x:v>
      </x:c>
      <x:c r="G982" s="2" t="str">
        <x:v>2021</x:v>
      </x:c>
      <x:c r="H982" s="2" t="str">
        <x:v>05</x:v>
      </x:c>
      <x:c r="I982" s="2" t="str">
        <x:v>승인</x:v>
      </x:c>
      <x:c r="J982" s="2" t="str">
        <x:v>심의승인</x:v>
      </x:c>
      <x:c r="K982" s="2" t="str">
        <x:f>IF(OR(J982="심의승인",J982="반려",J982="반려완료",J982="심의완료"),"종결 표시",IF(OR(J982="기후부협의",J982="문서재제출요청",J982="보류",J982="보완요청",J982="보완완료",J982="평가중",J982="반려요청",J982="평가필요",LEFT(J982,5)="보완요청("),"미종결 표시","상태 확인 필요"))</x:f>
        <x:v>종결 표시</x:v>
      </x:c>
      <x:c r="L982" s="2" t="str">
        <x:v>KECM_김민정&gt;이태준</x:v>
      </x:c>
      <x:c r="M982" s="2"/>
      <x:c r="N982" s="8" t="n">
        <x:f>DATE(2026,10,15)-DATE(2021,5,31)</x:f>
        <x:v>1963</x:v>
      </x:c>
      <x:c r="O982" s="2" t="str">
        <x:v>O(21.06)</x:v>
      </x:c>
      <x:c r="P982" s="2" t="str">
        <x:v>57차 인증위 승인</x:v>
      </x:c>
      <x:c r="Q982" s="2" t="str">
        <x:v>산업전환_외부사업관리Tool_260707_이너젠 수정_LJY_261013.xlsx</x:v>
      </x:c>
      <x:c r="R982" s="2" t="str">
        <x:v>국내평가</x:v>
      </x:c>
      <x:c r="S982" s="8" t="n">
        <x:v>885</x:v>
      </x:c>
      <x:c r="T982" s="2" t="str">
        <x:v>(6/3),(6/28),(10/20)</x:v>
      </x:c>
      <x:c r="U982" s="2" t="str">
        <x:v>2021 배정: (6/3),(6/28),(10/20) / 2022 배정: (3/16) / 2022 배정(신규): (7/13) / 2023 배정: (1/30),(4/21),(10/27) / 2024 배정: (2/5)</x:v>
      </x:c>
      <x:c r="V982" s="2" t="str">
        <x:v>2024-06-16</x:v>
      </x:c>
      <x:c r="W982" s="2" t="str"/>
      <x:c r="X982" s="2" t="str">
        <x:v>종결 근거 보관</x:v>
      </x:c>
      <x:c r="Y982" s="2" t="str">
        <x:v>ad210cd9ec132cfd447541c8984dc53d30aff0f4fb2dc92d254d49275cc55976</x:v>
      </x:c>
      <x:c r="Z982" s="2" t="n">
        <x:f>SUBTOTAL(103,A982)</x:f>
        <x:v>1</x:v>
      </x:c>
      <x:c r="AA982" s="2" t="str">
        <x:f>IF(K982&lt;&gt;"미종결 표시","대상 아님",IF(N982="","신청일 확인",IF(NOT(ISNUMBER('종합 현황'!$H$5)),"관찰기준 확인",IF('종합 현황'!$H$5&lt;1,"관찰기준 확인",IF(N982&gt;'종합 현황'!$H$5,"내부 관찰 대상","내부 관찰일 이하")))))</x:f>
        <x:v>대상 아님</x:v>
      </x:c>
      <x:c r="AB982" s="2"/>
    </x:row>
    <x:row r="983" ht="42" customHeight="1">
      <x:c r="A983" s="2" t="str">
        <x:v>6647b76bbe8e0bfdc617188e</x:v>
      </x:c>
      <x:c r="B983" s="2" t="str">
        <x:v>사업 평가</x:v>
      </x:c>
      <x:c r="C983" s="2" t="str">
        <x:v>국내</x:v>
      </x:c>
      <x:c r="D983" s="7" t="str">
        <x:v>(주)성도 고효율 공기압축기로 교체 사업</x:v>
      </x:c>
      <x:c r="E983" s="2" t="str">
        <x:v>844</x:v>
      </x:c>
      <x:c r="F983" s="2" t="str">
        <x:v>2020-12-10</x:v>
      </x:c>
      <x:c r="G983" s="2" t="str">
        <x:v>2020</x:v>
      </x:c>
      <x:c r="H983" s="2" t="str">
        <x:v>12</x:v>
      </x:c>
      <x:c r="I983" s="2" t="str">
        <x:v>반려</x:v>
      </x:c>
      <x:c r="J983" s="2" t="str">
        <x:v>반려</x:v>
      </x:c>
      <x:c r="K983" s="2" t="str">
        <x:f>IF(OR(J983="심의승인",J983="반려",J983="반려완료",J983="심의완료"),"종결 표시",IF(OR(J983="기후부협의",J983="문서재제출요청",J983="보류",J983="보완요청",J983="보완완료",J983="평가중",J983="반려요청",J983="평가필요",LEFT(J983,5)="보완요청("),"미종결 표시","상태 확인 필요"))</x:f>
        <x:v>종결 표시</x:v>
      </x:c>
      <x:c r="L983" s="2" t="str">
        <x:v>KECM_이태준</x:v>
      </x:c>
      <x:c r="M983" s="2"/>
      <x:c r="N983" s="8" t="n">
        <x:f>DATE(2026,10,15)-DATE(2020,12,10)</x:f>
        <x:v>2135</x:v>
      </x:c>
      <x:c r="O983" s="2" t="str">
        <x:v>O(22.08)</x:v>
      </x:c>
      <x:c r="P983" s="2"/>
      <x:c r="Q983" s="2" t="str">
        <x:v>산업전환_외부사업관리Tool_260707_이너젠 수정_LJY_261013.xlsx</x:v>
      </x:c>
      <x:c r="R983" s="2" t="str">
        <x:v>국내평가</x:v>
      </x:c>
      <x:c r="S983" s="8" t="n">
        <x:v>886</x:v>
      </x:c>
      <x:c r="T983" s="2" t="str">
        <x:v>(6/28),(12/1)</x:v>
      </x:c>
      <x:c r="U983" s="2" t="str">
        <x:v>2021 배정: (6/28),(12/1) / 2022 배정: (3/16) / 2022 배정(신규): (7/13),(12/8) / 2023 배정: (3/13) / 2024 배정: (2/5),(4/29) / 2025 배정: (3/5)</x:v>
      </x:c>
      <x:c r="V983" s="2" t="str">
        <x:v>2025-04-10</x:v>
      </x:c>
      <x:c r="W983" s="2" t="str"/>
      <x:c r="X983" s="2" t="str">
        <x:v>종결 근거 보관</x:v>
      </x:c>
      <x:c r="Y983" s="2" t="str">
        <x:v>ad210cd9ec132cfd447541c8984dc53d30aff0f4fb2dc92d254d49275cc55976</x:v>
      </x:c>
      <x:c r="Z983" s="2" t="n">
        <x:f>SUBTOTAL(103,A983)</x:f>
        <x:v>1</x:v>
      </x:c>
      <x:c r="AA983" s="2" t="str">
        <x:f>IF(K983&lt;&gt;"미종결 표시","대상 아님",IF(N983="","신청일 확인",IF(NOT(ISNUMBER('종합 현황'!$H$5)),"관찰기준 확인",IF('종합 현황'!$H$5&lt;1,"관찰기준 확인",IF(N983&gt;'종합 현황'!$H$5,"내부 관찰 대상","내부 관찰일 이하")))))</x:f>
        <x:v>대상 아님</x:v>
      </x:c>
      <x:c r="AB983" s="2"/>
    </x:row>
    <x:row r="984" ht="42" customHeight="1">
      <x:c r="A984" s="2" t="str">
        <x:v>e8d1ab8f71e8e980f3ee326b</x:v>
      </x:c>
      <x:c r="B984" s="2" t="str">
        <x:v>사업 평가</x:v>
      </x:c>
      <x:c r="C984" s="2" t="str">
        <x:v>국내</x:v>
      </x:c>
      <x:c r="D984" s="7" t="str">
        <x:v>에이프로  고효율 2단 PM Motor 공기압축기로 교체 사업</x:v>
      </x:c>
      <x:c r="E984" s="2" t="str">
        <x:v>845</x:v>
      </x:c>
      <x:c r="F984" s="2" t="str">
        <x:v>2020-11-04</x:v>
      </x:c>
      <x:c r="G984" s="2" t="str">
        <x:v>2020</x:v>
      </x:c>
      <x:c r="H984" s="2" t="str">
        <x:v>11</x:v>
      </x:c>
      <x:c r="I984" s="2" t="str">
        <x:v>반려</x:v>
      </x:c>
      <x:c r="J984" s="2" t="str">
        <x:v>반려</x:v>
      </x:c>
      <x:c r="K984" s="2" t="str">
        <x:f>IF(OR(J984="심의승인",J984="반려",J984="반려완료",J984="심의완료"),"종결 표시",IF(OR(J984="기후부협의",J984="문서재제출요청",J984="보류",J984="보완요청",J984="보완완료",J984="평가중",J984="반려요청",J984="평가필요",LEFT(J984,5)="보완요청("),"미종결 표시","상태 확인 필요"))</x:f>
        <x:v>종결 표시</x:v>
      </x:c>
      <x:c r="L984" s="2" t="str">
        <x:v>KECM_김민정</x:v>
      </x:c>
      <x:c r="M984" s="2"/>
      <x:c r="N984" s="8" t="n">
        <x:f>DATE(2026,10,15)-DATE(2020,11,4)</x:f>
        <x:v>2171</x:v>
      </x:c>
      <x:c r="O984" s="2" t="str">
        <x:v>O(21.10)</x:v>
      </x:c>
      <x:c r="P984" s="2" t="str">
        <x:v>폐업 이슈로 사업자 처리 中(사업자 동의미처리)</x:v>
      </x:c>
      <x:c r="Q984" s="2" t="str">
        <x:v>산업전환_외부사업관리Tool_260707_이너젠 수정_LJY_261013.xlsx</x:v>
      </x:c>
      <x:c r="R984" s="2" t="str">
        <x:v>국내평가</x:v>
      </x:c>
      <x:c r="S984" s="8" t="n">
        <x:v>887</x:v>
      </x:c>
      <x:c r="T984" s="2" t="str">
        <x:v>(10/20)</x:v>
      </x:c>
      <x:c r="U984" s="2" t="str">
        <x:v>2021 배정: (10/20) / 2022 배정: (3/16),(4/19) / 2022 배정(신규): (7/13),(12/27) / 2023 배정: (4/21) / 2024 배정: (1/12),(4/8),(11/29) / 2025 배정: (12/1) / 2026(사전): (6/16)</x:v>
      </x:c>
      <x:c r="V984" s="2" t="str">
        <x:v>2026-07-08</x:v>
      </x:c>
      <x:c r="W984" s="2" t="str"/>
      <x:c r="X984" s="2" t="str">
        <x:v>종결 근거 보관</x:v>
      </x:c>
      <x:c r="Y984" s="2" t="str">
        <x:v>ad210cd9ec132cfd447541c8984dc53d30aff0f4fb2dc92d254d49275cc55976</x:v>
      </x:c>
      <x:c r="Z984" s="2" t="n">
        <x:f>SUBTOTAL(103,A984)</x:f>
        <x:v>1</x:v>
      </x:c>
      <x:c r="AA984" s="2" t="str">
        <x:f>IF(K984&lt;&gt;"미종결 표시","대상 아님",IF(N984="","신청일 확인",IF(NOT(ISNUMBER('종합 현황'!$H$5)),"관찰기준 확인",IF('종합 현황'!$H$5&lt;1,"관찰기준 확인",IF(N984&gt;'종합 현황'!$H$5,"내부 관찰 대상","내부 관찰일 이하")))))</x:f>
        <x:v>대상 아님</x:v>
      </x:c>
      <x:c r="AB984" s="2"/>
    </x:row>
    <x:row r="985" ht="42" customHeight="1">
      <x:c r="A985" s="2" t="str">
        <x:v>1a149802e250d17024e5aadc</x:v>
      </x:c>
      <x:c r="B985" s="2" t="str">
        <x:v>사업 평가</x:v>
      </x:c>
      <x:c r="C985" s="2" t="str">
        <x:v>국내</x:v>
      </x:c>
      <x:c r="D985" s="7" t="str">
        <x:v>(주)창조아스콘 연료전환(정제유→LPG) 온실가스 감축사업</x:v>
      </x:c>
      <x:c r="E985" s="2" t="str">
        <x:v>846</x:v>
      </x:c>
      <x:c r="F985" s="2" t="str">
        <x:v>2022-06-29</x:v>
      </x:c>
      <x:c r="G985" s="2" t="str">
        <x:v>2022</x:v>
      </x:c>
      <x:c r="H985" s="2" t="str">
        <x:v>06</x:v>
      </x:c>
      <x:c r="I985" s="2" t="str">
        <x:v>보완3차_문서보완중</x:v>
      </x:c>
      <x:c r="J985" s="2" t="str">
        <x:v>보완요청</x:v>
      </x:c>
      <x:c r="K985" s="2" t="str">
        <x:f>IF(OR(J985="심의승인",J985="반려",J985="반려완료",J985="심의완료"),"종결 표시",IF(OR(J985="기후부협의",J985="문서재제출요청",J985="보류",J985="보완요청",J985="보완완료",J985="평가중",J985="반려요청",J985="평가필요",LEFT(J985,5)="보완요청("),"미종결 표시","상태 확인 필요"))</x:f>
        <x:v>미종결 표시</x:v>
      </x:c>
      <x:c r="L985" s="2" t="str">
        <x:v>KECM_임하진</x:v>
      </x:c>
      <x:c r="M985" s="2" t="n">
        <x:v>3</x:v>
      </x:c>
      <x:c r="N985" s="8" t="n">
        <x:f>DATE(2026,10,15)-DATE(2022,6,29)</x:f>
        <x:v>1569</x:v>
      </x:c>
      <x:c r="O985" s="2" t="str">
        <x:v>생략</x:v>
      </x:c>
      <x:c r="P985" s="2"/>
      <x:c r="Q985" s="2" t="str">
        <x:v>산업전환_외부사업관리Tool_260707_이너젠 수정_LJY_261013.xlsx</x:v>
      </x:c>
      <x:c r="R985" s="2" t="str">
        <x:v>국내평가</x:v>
      </x:c>
      <x:c r="S985" s="8" t="n">
        <x:v>888</x:v>
      </x:c>
      <x:c r="T985" s="2" t="str">
        <x:v>(7/13)</x:v>
      </x:c>
      <x:c r="U985" s="2" t="str">
        <x:v>2022 배정(신규): (7/13) / 2024 배정: (6/10),(7/1) / 2025 배정: (5/9),(5/30),(7/18)</x:v>
      </x:c>
      <x:c r="V985" s="2" t="str">
        <x:v>2025-08-21</x:v>
      </x:c>
      <x:c r="W985" s="2" t="str"/>
      <x:c r="X985" s="2" t="str">
        <x:v>보완 회신 일정 확인</x:v>
      </x:c>
      <x:c r="Y985" s="2" t="str">
        <x:v>ad210cd9ec132cfd447541c8984dc53d30aff0f4fb2dc92d254d49275cc55976</x:v>
      </x:c>
      <x:c r="Z985" s="2" t="n">
        <x:f>SUBTOTAL(103,A985)</x:f>
        <x:v>1</x:v>
      </x:c>
      <x:c r="AA985" s="2" t="str">
        <x:f>IF(K985&lt;&gt;"미종결 표시","대상 아님",IF(N985="","신청일 확인",IF(NOT(ISNUMBER('종합 현황'!$H$5)),"관찰기준 확인",IF('종합 현황'!$H$5&lt;1,"관찰기준 확인",IF(N985&gt;'종합 현황'!$H$5,"내부 관찰 대상","내부 관찰일 이하")))))</x:f>
        <x:v>내부 관찰 대상</x:v>
      </x:c>
      <x:c r="AB985" s="2"/>
    </x:row>
    <x:row r="986" ht="42" customHeight="1">
      <x:c r="A986" s="2" t="str">
        <x:v>9f3f9c1988b0d2b5a9961e2c</x:v>
      </x:c>
      <x:c r="B986" s="2" t="str">
        <x:v>사업 평가</x:v>
      </x:c>
      <x:c r="C986" s="2" t="str">
        <x:v>국내</x:v>
      </x:c>
      <x:c r="D986" s="7" t="str">
        <x:v>비광정밀 고효율 설비 교체 사업</x:v>
      </x:c>
      <x:c r="E986" s="2" t="str">
        <x:v>847</x:v>
      </x:c>
      <x:c r="F986" s="2" t="str">
        <x:v>2021-02-03</x:v>
      </x:c>
      <x:c r="G986" s="2" t="str">
        <x:v>2021</x:v>
      </x:c>
      <x:c r="H986" s="2" t="str">
        <x:v>02</x:v>
      </x:c>
      <x:c r="I986" s="2" t="str">
        <x:v>보완3차_문서보완중</x:v>
      </x:c>
      <x:c r="J986" s="2" t="str">
        <x:v>보완요청</x:v>
      </x:c>
      <x:c r="K986" s="2" t="str">
        <x:f>IF(OR(J986="심의승인",J986="반려",J986="반려완료",J986="심의완료"),"종결 표시",IF(OR(J986="기후부협의",J986="문서재제출요청",J986="보류",J986="보완요청",J986="보완완료",J986="평가중",J986="반려요청",J986="평가필요",LEFT(J986,5)="보완요청("),"미종결 표시","상태 확인 필요"))</x:f>
        <x:v>미종결 표시</x:v>
      </x:c>
      <x:c r="L986" s="2" t="str">
        <x:v>에코시안_정다윤</x:v>
      </x:c>
      <x:c r="M986" s="2" t="n">
        <x:v>3</x:v>
      </x:c>
      <x:c r="N986" s="8" t="n">
        <x:f>DATE(2026,10,15)-DATE(2021,2,3)</x:f>
        <x:v>2080</x:v>
      </x:c>
      <x:c r="O986" s="2" t="str">
        <x:v>생략</x:v>
      </x:c>
      <x:c r="P986" s="2"/>
      <x:c r="Q986" s="2" t="str">
        <x:v>산업전환_외부사업관리Tool_260707_이너젠 수정_LJY_261013.xlsx</x:v>
      </x:c>
      <x:c r="R986" s="2" t="str">
        <x:v>국내평가</x:v>
      </x:c>
      <x:c r="S986" s="8" t="n">
        <x:v>889</x:v>
      </x:c>
      <x:c r="T986" s="2" t="str">
        <x:v>(7/12),(9/14),(10/20)</x:v>
      </x:c>
      <x:c r="U986" s="2" t="str">
        <x:v>2021 배정: (7/12),(9/14),(10/20) / 2022 배정: (3/16) / 2022 배정(신규): (5/18)</x:v>
      </x:c>
      <x:c r="V986" s="2" t="str">
        <x:v>2022-08-23</x:v>
      </x:c>
      <x:c r="W986" s="2" t="str"/>
      <x:c r="X986" s="2" t="str">
        <x:v>보완 회신 일정 확인</x:v>
      </x:c>
      <x:c r="Y986" s="2" t="str">
        <x:v>ad210cd9ec132cfd447541c8984dc53d30aff0f4fb2dc92d254d49275cc55976</x:v>
      </x:c>
      <x:c r="Z986" s="2" t="n">
        <x:f>SUBTOTAL(103,A986)</x:f>
        <x:v>1</x:v>
      </x:c>
      <x:c r="AA986" s="2" t="str">
        <x:f>IF(K986&lt;&gt;"미종결 표시","대상 아님",IF(N986="","신청일 확인",IF(NOT(ISNUMBER('종합 현황'!$H$5)),"관찰기준 확인",IF('종합 현황'!$H$5&lt;1,"관찰기준 확인",IF(N986&gt;'종합 현황'!$H$5,"내부 관찰 대상","내부 관찰일 이하")))))</x:f>
        <x:v>내부 관찰 대상</x:v>
      </x:c>
      <x:c r="AB986" s="2"/>
    </x:row>
    <x:row r="987" ht="42" customHeight="1">
      <x:c r="A987" s="2" t="str">
        <x:v>92b2dc914fa3222d50d51618</x:v>
      </x:c>
      <x:c r="B987" s="2" t="str">
        <x:v>사업 평가</x:v>
      </x:c>
      <x:c r="C987" s="2" t="str">
        <x:v>국내</x:v>
      </x:c>
      <x:c r="D987" s="7" t="str">
        <x:v>SK에너지&amp;장성아스콘의 국내 중온 아스팔트 생산을 통한 연료 및 온실가스 감축사업</x:v>
      </x:c>
      <x:c r="E987" s="2" t="str">
        <x:v>848</x:v>
      </x:c>
      <x:c r="F987" s="2" t="str">
        <x:v>2022-07-12</x:v>
      </x:c>
      <x:c r="G987" s="2" t="str">
        <x:v>2022</x:v>
      </x:c>
      <x:c r="H987" s="2" t="str">
        <x:v>07</x:v>
      </x:c>
      <x:c r="I987" s="2" t="str">
        <x:v>보완1차_보완중</x:v>
      </x:c>
      <x:c r="J987" s="2" t="str">
        <x:v>보완요청</x:v>
      </x:c>
      <x:c r="K987" s="2" t="str">
        <x:f>IF(OR(J987="심의승인",J987="반려",J987="반려완료",J987="심의완료"),"종결 표시",IF(OR(J987="기후부협의",J987="문서재제출요청",J987="보류",J987="보완요청",J987="보완완료",J987="평가중",J987="반려요청",J987="평가필요",LEFT(J987,5)="보완요청("),"미종결 표시","상태 확인 필요"))</x:f>
        <x:v>미종결 표시</x:v>
      </x:c>
      <x:c r="L987" s="2" t="str">
        <x:v>에코시안_박세은,조혜민</x:v>
      </x:c>
      <x:c r="M987" s="2" t="n">
        <x:v>1</x:v>
      </x:c>
      <x:c r="N987" s="8" t="n">
        <x:f>DATE(2026,10,15)-DATE(2022,7,12)</x:f>
        <x:v>1556</x:v>
      </x:c>
      <x:c r="O987" s="2" t="str">
        <x:v>보류</x:v>
      </x:c>
      <x:c r="P987" s="2"/>
      <x:c r="Q987" s="2" t="str">
        <x:v>산업전환_외부사업관리Tool_260707_이너젠 수정_LJY_261013.xlsx</x:v>
      </x:c>
      <x:c r="R987" s="2" t="str">
        <x:v>국내평가</x:v>
      </x:c>
      <x:c r="S987" s="8" t="n">
        <x:v>890</x:v>
      </x:c>
      <x:c r="T987" s="2" t="str">
        <x:v>(8/16)</x:v>
      </x:c>
      <x:c r="U987" s="2" t="str">
        <x:v>2022 배정(신규): (8/16)</x:v>
      </x:c>
      <x:c r="V987" s="2" t="str">
        <x:v>2022-08-23</x:v>
      </x:c>
      <x:c r="W987" s="2" t="str"/>
      <x:c r="X987" s="2" t="str">
        <x:v>보완 회신 일정 확인</x:v>
      </x:c>
      <x:c r="Y987" s="2" t="str">
        <x:v>ad210cd9ec132cfd447541c8984dc53d30aff0f4fb2dc92d254d49275cc55976</x:v>
      </x:c>
      <x:c r="Z987" s="2" t="n">
        <x:f>SUBTOTAL(103,A987)</x:f>
        <x:v>1</x:v>
      </x:c>
      <x:c r="AA987" s="2" t="str">
        <x:f>IF(K987&lt;&gt;"미종결 표시","대상 아님",IF(N987="","신청일 확인",IF(NOT(ISNUMBER('종합 현황'!$H$5)),"관찰기준 확인",IF('종합 현황'!$H$5&lt;1,"관찰기준 확인",IF(N987&gt;'종합 현황'!$H$5,"내부 관찰 대상","내부 관찰일 이하")))))</x:f>
        <x:v>내부 관찰 대상</x:v>
      </x:c>
      <x:c r="AB987" s="2"/>
    </x:row>
    <x:row r="988" ht="42" customHeight="1">
      <x:c r="A988" s="2" t="str">
        <x:v>362ce7ef1a89ff9d87ee925d</x:v>
      </x:c>
      <x:c r="B988" s="2" t="str">
        <x:v>사업 평가</x:v>
      </x:c>
      <x:c r="C988" s="2" t="str">
        <x:v>국내</x:v>
      </x:c>
      <x:c r="D988" s="7" t="str">
        <x:v>도서지역 연평초중고 태양광 설치를 통한 전력 자가사용 및 소규모 계통연계를 위한 극소규모  감축사업</x:v>
      </x:c>
      <x:c r="E988" s="2" t="str">
        <x:v>849</x:v>
      </x:c>
      <x:c r="F988" s="2" t="str">
        <x:v>2020-09-18</x:v>
      </x:c>
      <x:c r="G988" s="2" t="str">
        <x:v>2020</x:v>
      </x:c>
      <x:c r="H988" s="2" t="str">
        <x:v>09</x:v>
      </x:c>
      <x:c r="I988" s="2" t="str">
        <x:v>보완3차_문서보완중</x:v>
      </x:c>
      <x:c r="J988" s="2" t="str">
        <x:v>보완요청</x:v>
      </x:c>
      <x:c r="K988" s="2" t="str">
        <x:f>IF(OR(J988="심의승인",J988="반려",J988="반려완료",J988="심의완료"),"종결 표시",IF(OR(J988="기후부협의",J988="문서재제출요청",J988="보류",J988="보완요청",J988="보완완료",J988="평가중",J988="반려요청",J988="평가필요",LEFT(J988,5)="보완요청("),"미종결 표시","상태 확인 필요"))</x:f>
        <x:v>미종결 표시</x:v>
      </x:c>
      <x:c r="L988" s="2" t="str">
        <x:v>에코시안_최용철&gt;박세은</x:v>
      </x:c>
      <x:c r="M988" s="2" t="n">
        <x:v>3</x:v>
      </x:c>
      <x:c r="N988" s="8" t="n">
        <x:f>DATE(2026,10,15)-DATE(2020,9,18)</x:f>
        <x:v>2218</x:v>
      </x:c>
      <x:c r="O988" s="2" t="str">
        <x:v>생략</x:v>
      </x:c>
      <x:c r="P988" s="2"/>
      <x:c r="Q988" s="2" t="str">
        <x:v>산업전환_외부사업관리Tool_260707_이너젠 수정_LJY_261013.xlsx</x:v>
      </x:c>
      <x:c r="R988" s="2" t="str">
        <x:v>국내평가</x:v>
      </x:c>
      <x:c r="S988" s="8" t="n">
        <x:v>891</x:v>
      </x:c>
      <x:c r="T988" s="2" t="str">
        <x:v>(6/28),(11/2)</x:v>
      </x:c>
      <x:c r="U988" s="2" t="str">
        <x:v>2021 배정: (6/28),(11/2) / 2022 배정: (1/18),(2/9) / 2022 배정(신규): (7/13) / 2023 배정: (7/17)</x:v>
      </x:c>
      <x:c r="V988" s="2" t="str">
        <x:v>2023-08-21</x:v>
      </x:c>
      <x:c r="W988" s="2" t="str"/>
      <x:c r="X988" s="2" t="str">
        <x:v>보완 회신 일정 확인</x:v>
      </x:c>
      <x:c r="Y988" s="2" t="str">
        <x:v>ad210cd9ec132cfd447541c8984dc53d30aff0f4fb2dc92d254d49275cc55976</x:v>
      </x:c>
      <x:c r="Z988" s="2" t="n">
        <x:f>SUBTOTAL(103,A988)</x:f>
        <x:v>1</x:v>
      </x:c>
      <x:c r="AA988" s="2" t="str">
        <x:f>IF(K988&lt;&gt;"미종결 표시","대상 아님",IF(N988="","신청일 확인",IF(NOT(ISNUMBER('종합 현황'!$H$5)),"관찰기준 확인",IF('종합 현황'!$H$5&lt;1,"관찰기준 확인",IF(N988&gt;'종합 현황'!$H$5,"내부 관찰 대상","내부 관찰일 이하")))))</x:f>
        <x:v>내부 관찰 대상</x:v>
      </x:c>
      <x:c r="AB988" s="2"/>
    </x:row>
    <x:row r="989" ht="42" customHeight="1">
      <x:c r="A989" s="2" t="str">
        <x:v>70c432ec28f2d8111944c768</x:v>
      </x:c>
      <x:c r="B989" s="2" t="str">
        <x:v>사업 평가</x:v>
      </x:c>
      <x:c r="C989" s="2" t="str">
        <x:v>국내</x:v>
      </x:c>
      <x:c r="D989" s="7" t="str">
        <x:v>엠함안(주) 목질계 바이오매스 연료 이용 열 공급을 통한 수용가의 화석연료 절감 및 온실가스 감축사업</x:v>
      </x:c>
      <x:c r="E989" s="2" t="str">
        <x:v>850</x:v>
      </x:c>
      <x:c r="F989" s="2" t="str">
        <x:v>2021-12-22</x:v>
      </x:c>
      <x:c r="G989" s="2" t="str">
        <x:v>2021</x:v>
      </x:c>
      <x:c r="H989" s="2" t="str">
        <x:v>12</x:v>
      </x:c>
      <x:c r="I989" s="2" t="str">
        <x:v>승인</x:v>
      </x:c>
      <x:c r="J989" s="2" t="str">
        <x:v>심의승인</x:v>
      </x:c>
      <x:c r="K989" s="2" t="str">
        <x:f>IF(OR(J989="심의승인",J989="반려",J989="반려완료",J989="심의완료"),"종결 표시",IF(OR(J989="기후부협의",J989="문서재제출요청",J989="보류",J989="보완요청",J989="보완완료",J989="평가중",J989="반려요청",J989="평가필요",LEFT(J989,5)="보완요청("),"미종결 표시","상태 확인 필요"))</x:f>
        <x:v>종결 표시</x:v>
      </x:c>
      <x:c r="L989" s="2" t="str">
        <x:v>KFQ_이석원,에코시안_정인혜,조영우</x:v>
      </x:c>
      <x:c r="M989" s="2"/>
      <x:c r="N989" s="8" t="n">
        <x:f>DATE(2026,10,15)-DATE(2021,12,22)</x:f>
        <x:v>1758</x:v>
      </x:c>
      <x:c r="O989" s="2" t="str">
        <x:v>O(22.05)</x:v>
      </x:c>
      <x:c r="P989" s="2"/>
      <x:c r="Q989" s="2" t="str">
        <x:v>산업전환_외부사업관리Tool_260707_이너젠 수정_LJY_261013.xlsx</x:v>
      </x:c>
      <x:c r="R989" s="2" t="str">
        <x:v>국내평가</x:v>
      </x:c>
      <x:c r="S989" s="8" t="n">
        <x:v>892</x:v>
      </x:c>
      <x:c r="T989" s="2" t="str">
        <x:v>(1/18),(4/19)</x:v>
      </x:c>
      <x:c r="U989" s="2" t="str">
        <x:v>2022 배정: (1/18),(4/19) / 2022 배정(신규): (5/18),(7/13)</x:v>
      </x:c>
      <x:c r="V989" s="2" t="str">
        <x:v>2024-04-16</x:v>
      </x:c>
      <x:c r="W989" s="2" t="str"/>
      <x:c r="X989" s="2" t="str">
        <x:v>종결 근거 보관</x:v>
      </x:c>
      <x:c r="Y989" s="2" t="str">
        <x:v>ad210cd9ec132cfd447541c8984dc53d30aff0f4fb2dc92d254d49275cc55976</x:v>
      </x:c>
      <x:c r="Z989" s="2" t="n">
        <x:f>SUBTOTAL(103,A989)</x:f>
        <x:v>1</x:v>
      </x:c>
      <x:c r="AA989" s="2" t="str">
        <x:f>IF(K989&lt;&gt;"미종결 표시","대상 아님",IF(N989="","신청일 확인",IF(NOT(ISNUMBER('종합 현황'!$H$5)),"관찰기준 확인",IF('종합 현황'!$H$5&lt;1,"관찰기준 확인",IF(N989&gt;'종합 현황'!$H$5,"내부 관찰 대상","내부 관찰일 이하")))))</x:f>
        <x:v>대상 아님</x:v>
      </x:c>
      <x:c r="AB989" s="2"/>
    </x:row>
    <x:row r="990" ht="42" customHeight="1">
      <x:c r="A990" s="2" t="str">
        <x:v>3244f1574a94558c33aaffec</x:v>
      </x:c>
      <x:c r="B990" s="2" t="str">
        <x:v>사업 평가</x:v>
      </x:c>
      <x:c r="C990" s="2" t="str">
        <x:v>국내</x:v>
      </x:c>
      <x:c r="D990" s="7" t="str">
        <x:v>서울형 에너지복지 태양광발전 프로그램 감축사업</x:v>
      </x:c>
      <x:c r="E990" s="2" t="str">
        <x:v>851</x:v>
      </x:c>
      <x:c r="F990" s="2" t="str">
        <x:v>2021-12-23</x:v>
      </x:c>
      <x:c r="G990" s="2" t="str">
        <x:v>2021</x:v>
      </x:c>
      <x:c r="H990" s="2" t="str">
        <x:v>12</x:v>
      </x:c>
      <x:c r="I990" s="2" t="str">
        <x:v>승인</x:v>
      </x:c>
      <x:c r="J990" s="2" t="str">
        <x:v>심의승인</x:v>
      </x:c>
      <x:c r="K990" s="2" t="str">
        <x:f>IF(OR(J990="심의승인",J990="반려",J990="반려완료",J990="심의완료"),"종결 표시",IF(OR(J990="기후부협의",J990="문서재제출요청",J990="보류",J990="보완요청",J990="보완완료",J990="평가중",J990="반려요청",J990="평가필요",LEFT(J990,5)="보완요청("),"미종결 표시","상태 확인 필요"))</x:f>
        <x:v>종결 표시</x:v>
      </x:c>
      <x:c r="L990" s="2" t="str">
        <x:v>에코시안_권송화</x:v>
      </x:c>
      <x:c r="M990" s="2"/>
      <x:c r="N990" s="8" t="n">
        <x:f>DATE(2026,10,15)-DATE(2021,12,23)</x:f>
        <x:v>1757</x:v>
      </x:c>
      <x:c r="O990" s="2" t="str">
        <x:v>생략(기승인사업O)</x:v>
      </x:c>
      <x:c r="P990" s="2" t="str">
        <x:v>1분기 인증위 승인</x:v>
      </x:c>
      <x:c r="Q990" s="2" t="str">
        <x:v>산업전환_외부사업관리Tool_260707_이너젠 수정_LJY_261013.xlsx</x:v>
      </x:c>
      <x:c r="R990" s="2" t="str">
        <x:v>국내평가</x:v>
      </x:c>
      <x:c r="S990" s="8" t="n">
        <x:v>893</x:v>
      </x:c>
      <x:c r="T990" s="2" t="str">
        <x:v>(1/18),(3/16)</x:v>
      </x:c>
      <x:c r="U990" s="2" t="str">
        <x:v>2022 배정: (1/18),(3/16) / 2022 배정(신규): (5/18),(7/13),(12/8)</x:v>
      </x:c>
      <x:c r="V990" s="2" t="str">
        <x:v>2023-03-17</x:v>
      </x:c>
      <x:c r="W990" s="2" t="str"/>
      <x:c r="X990" s="2" t="str">
        <x:v>종결 근거 보관</x:v>
      </x:c>
      <x:c r="Y990" s="2" t="str">
        <x:v>ad210cd9ec132cfd447541c8984dc53d30aff0f4fb2dc92d254d49275cc55976</x:v>
      </x:c>
      <x:c r="Z990" s="2" t="n">
        <x:f>SUBTOTAL(103,A990)</x:f>
        <x:v>1</x:v>
      </x:c>
      <x:c r="AA990" s="2" t="str">
        <x:f>IF(K990&lt;&gt;"미종결 표시","대상 아님",IF(N990="","신청일 확인",IF(NOT(ISNUMBER('종합 현황'!$H$5)),"관찰기준 확인",IF('종합 현황'!$H$5&lt;1,"관찰기준 확인",IF(N990&gt;'종합 현황'!$H$5,"내부 관찰 대상","내부 관찰일 이하")))))</x:f>
        <x:v>대상 아님</x:v>
      </x:c>
      <x:c r="AB990" s="2"/>
    </x:row>
    <x:row r="991" ht="42" customHeight="1">
      <x:c r="A991" s="2" t="str">
        <x:v>95e8c3e8fa6db323b8bec0b8</x:v>
      </x:c>
      <x:c r="B991" s="2" t="str">
        <x:v>사업 평가</x:v>
      </x:c>
      <x:c r="C991" s="2" t="str">
        <x:v>국내</x:v>
      </x:c>
      <x:c r="D991" s="7" t="str">
        <x:v>서울형 에너지복지 태양광발전 프로그램 감축사업</x:v>
      </x:c>
      <x:c r="E991" s="2" t="str">
        <x:v>852</x:v>
      </x:c>
      <x:c r="F991" s="2" t="str">
        <x:v>2021-12-23</x:v>
      </x:c>
      <x:c r="G991" s="2" t="str">
        <x:v>2021</x:v>
      </x:c>
      <x:c r="H991" s="2" t="str">
        <x:v>12</x:v>
      </x:c>
      <x:c r="I991" s="2" t="str">
        <x:v>승인</x:v>
      </x:c>
      <x:c r="J991" s="2" t="str">
        <x:v>심의승인</x:v>
      </x:c>
      <x:c r="K991" s="2" t="str">
        <x:f>IF(OR(J991="심의승인",J991="반려",J991="반려완료",J991="심의완료"),"종결 표시",IF(OR(J991="기후부협의",J991="문서재제출요청",J991="보류",J991="보완요청",J991="보완완료",J991="평가중",J991="반려요청",J991="평가필요",LEFT(J991,5)="보완요청("),"미종결 표시","상태 확인 필요"))</x:f>
        <x:v>종결 표시</x:v>
      </x:c>
      <x:c r="L991" s="2" t="str">
        <x:v>에코시안_권송화</x:v>
      </x:c>
      <x:c r="M991" s="2"/>
      <x:c r="N991" s="8" t="n">
        <x:f>DATE(2026,10,15)-DATE(2021,12,23)</x:f>
        <x:v>1757</x:v>
      </x:c>
      <x:c r="O991" s="2" t="str">
        <x:v>생략(기승인사업O)</x:v>
      </x:c>
      <x:c r="P991" s="2"/>
      <x:c r="Q991" s="2" t="str">
        <x:v>산업전환_외부사업관리Tool_260707_이너젠 수정_LJY_261013.xlsx</x:v>
      </x:c>
      <x:c r="R991" s="2" t="str">
        <x:v>국내평가</x:v>
      </x:c>
      <x:c r="S991" s="8" t="n">
        <x:v>894</x:v>
      </x:c>
      <x:c r="T991" s="2" t="str">
        <x:v>(1/18),(3/16)</x:v>
      </x:c>
      <x:c r="U991" s="2" t="str">
        <x:v>2022 배정: (1/18),(3/16) / 2022 배정(신규): (5/18),(7/13)</x:v>
      </x:c>
      <x:c r="V991" s="2" t="str">
        <x:v>2022-12-23</x:v>
      </x:c>
      <x:c r="W991" s="2" t="str"/>
      <x:c r="X991" s="2" t="str">
        <x:v>종결 근거 보관</x:v>
      </x:c>
      <x:c r="Y991" s="2" t="str">
        <x:v>ad210cd9ec132cfd447541c8984dc53d30aff0f4fb2dc92d254d49275cc55976</x:v>
      </x:c>
      <x:c r="Z991" s="2" t="n">
        <x:f>SUBTOTAL(103,A991)</x:f>
        <x:v>1</x:v>
      </x:c>
      <x:c r="AA991" s="2" t="str">
        <x:f>IF(K991&lt;&gt;"미종결 표시","대상 아님",IF(N991="","신청일 확인",IF(NOT(ISNUMBER('종합 현황'!$H$5)),"관찰기준 확인",IF('종합 현황'!$H$5&lt;1,"관찰기준 확인",IF(N991&gt;'종합 현황'!$H$5,"내부 관찰 대상","내부 관찰일 이하")))))</x:f>
        <x:v>대상 아님</x:v>
      </x:c>
      <x:c r="AB991" s="2"/>
    </x:row>
    <x:row r="992" ht="42" customHeight="1">
      <x:c r="A992" s="2" t="str">
        <x:v>dcbbbd07fb1dc452ac5ed375</x:v>
      </x:c>
      <x:c r="B992" s="2" t="str">
        <x:v>사업 평가</x:v>
      </x:c>
      <x:c r="C992" s="2" t="str">
        <x:v>국내</x:v>
      </x:c>
      <x:c r="D992" s="7" t="str">
        <x:v>서울형 에너지복지 태양광발전 프로그램 감축사업</x:v>
      </x:c>
      <x:c r="E992" s="2" t="str">
        <x:v>853</x:v>
      </x:c>
      <x:c r="F992" s="2" t="str">
        <x:v>2021-12-23</x:v>
      </x:c>
      <x:c r="G992" s="2" t="str">
        <x:v>2021</x:v>
      </x:c>
      <x:c r="H992" s="2" t="str">
        <x:v>12</x:v>
      </x:c>
      <x:c r="I992" s="2" t="str">
        <x:v>승인</x:v>
      </x:c>
      <x:c r="J992" s="2" t="str">
        <x:v>심의승인</x:v>
      </x:c>
      <x:c r="K992" s="2" t="str">
        <x:f>IF(OR(J992="심의승인",J992="반려",J992="반려완료",J992="심의완료"),"종결 표시",IF(OR(J992="기후부협의",J992="문서재제출요청",J992="보류",J992="보완요청",J992="보완완료",J992="평가중",J992="반려요청",J992="평가필요",LEFT(J992,5)="보완요청("),"미종결 표시","상태 확인 필요"))</x:f>
        <x:v>종결 표시</x:v>
      </x:c>
      <x:c r="L992" s="2" t="str">
        <x:v>에코시안_정다윤</x:v>
      </x:c>
      <x:c r="M992" s="2"/>
      <x:c r="N992" s="8" t="n">
        <x:f>DATE(2026,10,15)-DATE(2021,12,23)</x:f>
        <x:v>1757</x:v>
      </x:c>
      <x:c r="O992" s="2" t="str">
        <x:v>생략(기승인사업O)</x:v>
      </x:c>
      <x:c r="P992" s="2"/>
      <x:c r="Q992" s="2" t="str">
        <x:v>산업전환_외부사업관리Tool_260707_이너젠 수정_LJY_261013.xlsx</x:v>
      </x:c>
      <x:c r="R992" s="2" t="str">
        <x:v>국내평가</x:v>
      </x:c>
      <x:c r="S992" s="8" t="n">
        <x:v>895</x:v>
      </x:c>
      <x:c r="T992" s="2" t="str">
        <x:v>(1/18),(3/16)</x:v>
      </x:c>
      <x:c r="U992" s="2" t="str">
        <x:v>2022 배정: (1/18),(3/16) / 2022 배정(신규): (5/18),(7/13)</x:v>
      </x:c>
      <x:c r="V992" s="2" t="str">
        <x:v>2022-12-23</x:v>
      </x:c>
      <x:c r="W992" s="2" t="str"/>
      <x:c r="X992" s="2" t="str">
        <x:v>종결 근거 보관</x:v>
      </x:c>
      <x:c r="Y992" s="2" t="str">
        <x:v>ad210cd9ec132cfd447541c8984dc53d30aff0f4fb2dc92d254d49275cc55976</x:v>
      </x:c>
      <x:c r="Z992" s="2" t="n">
        <x:f>SUBTOTAL(103,A992)</x:f>
        <x:v>1</x:v>
      </x:c>
      <x:c r="AA992" s="2" t="str">
        <x:f>IF(K992&lt;&gt;"미종결 표시","대상 아님",IF(N992="","신청일 확인",IF(NOT(ISNUMBER('종합 현황'!$H$5)),"관찰기준 확인",IF('종합 현황'!$H$5&lt;1,"관찰기준 확인",IF(N992&gt;'종합 현황'!$H$5,"내부 관찰 대상","내부 관찰일 이하")))))</x:f>
        <x:v>대상 아님</x:v>
      </x:c>
      <x:c r="AB992" s="2"/>
    </x:row>
    <x:row r="993" ht="42" customHeight="1">
      <x:c r="A993" s="2" t="str">
        <x:v>a99574409a47e0a3edf2c74e</x:v>
      </x:c>
      <x:c r="B993" s="2" t="str">
        <x:v>사업 평가</x:v>
      </x:c>
      <x:c r="C993" s="2" t="str">
        <x:v>국내</x:v>
      </x:c>
      <x:c r="D993" s="7" t="str">
        <x:v>도서지역 북포초등학교 태양광 설치를 통한 전력 자가사용 및 소규모 계통연계를 위한 극소규모 감축사업</x:v>
      </x:c>
      <x:c r="E993" s="2" t="str">
        <x:v>854</x:v>
      </x:c>
      <x:c r="F993" s="2" t="str">
        <x:v>2021-05-05</x:v>
      </x:c>
      <x:c r="G993" s="2" t="str">
        <x:v>2021</x:v>
      </x:c>
      <x:c r="H993" s="2" t="str">
        <x:v>05</x:v>
      </x:c>
      <x:c r="I993" s="2" t="str">
        <x:v>보완3차_문서보완중</x:v>
      </x:c>
      <x:c r="J993" s="2" t="str">
        <x:v>보완요청</x:v>
      </x:c>
      <x:c r="K993" s="2" t="str">
        <x:f>IF(OR(J993="심의승인",J993="반려",J993="반려완료",J993="심의완료"),"종결 표시",IF(OR(J993="기후부협의",J993="문서재제출요청",J993="보류",J993="보완요청",J993="보완완료",J993="평가중",J993="반려요청",J993="평가필요",LEFT(J993,5)="보완요청("),"미종결 표시","상태 확인 필요"))</x:f>
        <x:v>미종결 표시</x:v>
      </x:c>
      <x:c r="L993" s="2" t="str">
        <x:v>에코시안_최용철</x:v>
      </x:c>
      <x:c r="M993" s="2" t="n">
        <x:v>3</x:v>
      </x:c>
      <x:c r="N993" s="8" t="n">
        <x:f>DATE(2026,10,15)-DATE(2021,5,5)</x:f>
        <x:v>1989</x:v>
      </x:c>
      <x:c r="O993" s="2" t="str">
        <x:v>생략</x:v>
      </x:c>
      <x:c r="P993" s="2"/>
      <x:c r="Q993" s="2" t="str">
        <x:v>산업전환_외부사업관리Tool_260707_이너젠 수정_LJY_261013.xlsx</x:v>
      </x:c>
      <x:c r="R993" s="2" t="str">
        <x:v>국내평가</x:v>
      </x:c>
      <x:c r="S993" s="8" t="n">
        <x:v>896</x:v>
      </x:c>
      <x:c r="T993" s="2" t="str">
        <x:v>(5/7),(6/28),(11/2)</x:v>
      </x:c>
      <x:c r="U993" s="2" t="str">
        <x:v>2021 배정: (5/7),(6/28),(11/2) / 2022 배정: (1/18),(2/9) / 2022 배정(신규): (7/13)</x:v>
      </x:c>
      <x:c r="V993" s="2" t="str">
        <x:v>2022-08-24</x:v>
      </x:c>
      <x:c r="W993" s="2" t="str"/>
      <x:c r="X993" s="2" t="str">
        <x:v>보완 회신 일정 확인</x:v>
      </x:c>
      <x:c r="Y993" s="2" t="str">
        <x:v>ad210cd9ec132cfd447541c8984dc53d30aff0f4fb2dc92d254d49275cc55976</x:v>
      </x:c>
      <x:c r="Z993" s="2" t="n">
        <x:f>SUBTOTAL(103,A993)</x:f>
        <x:v>1</x:v>
      </x:c>
      <x:c r="AA993" s="2" t="str">
        <x:f>IF(K993&lt;&gt;"미종결 표시","대상 아님",IF(N993="","신청일 확인",IF(NOT(ISNUMBER('종합 현황'!$H$5)),"관찰기준 확인",IF('종합 현황'!$H$5&lt;1,"관찰기준 확인",IF(N993&gt;'종합 현황'!$H$5,"내부 관찰 대상","내부 관찰일 이하")))))</x:f>
        <x:v>내부 관찰 대상</x:v>
      </x:c>
      <x:c r="AB993" s="2"/>
    </x:row>
    <x:row r="994" ht="42" customHeight="1">
      <x:c r="A994" s="2" t="str">
        <x:v>b18dd39de8c5fd1e1a9c86a1</x:v>
      </x:c>
      <x:c r="B994" s="2" t="str">
        <x:v>사업 평가</x:v>
      </x:c>
      <x:c r="C994" s="2" t="str">
        <x:v>국내</x:v>
      </x:c>
      <x:c r="D994" s="7" t="str">
        <x:v>인천광역시 주택 태양광 발전설비 보급 프로그램 감축사업</x:v>
      </x:c>
      <x:c r="E994" s="2" t="str">
        <x:v>855</x:v>
      </x:c>
      <x:c r="F994" s="2" t="str">
        <x:v>2021-12-27</x:v>
      </x:c>
      <x:c r="G994" s="2" t="str">
        <x:v>2021</x:v>
      </x:c>
      <x:c r="H994" s="2" t="str">
        <x:v>12</x:v>
      </x:c>
      <x:c r="I994" s="2" t="str">
        <x:v>문서재제출</x:v>
      </x:c>
      <x:c r="J994" s="2" t="str">
        <x:v>보류</x:v>
      </x:c>
      <x:c r="K994" s="2" t="str">
        <x:f>IF(OR(J994="심의승인",J994="반려",J994="반려완료",J994="심의완료"),"종결 표시",IF(OR(J994="기후부협의",J994="문서재제출요청",J994="보류",J994="보완요청",J994="보완완료",J994="평가중",J994="반려요청",J994="평가필요",LEFT(J994,5)="보완요청("),"미종결 표시","상태 확인 필요"))</x:f>
        <x:v>미종결 표시</x:v>
      </x:c>
      <x:c r="L994" s="2" t="str">
        <x:v>-</x:v>
      </x:c>
      <x:c r="M994" s="2"/>
      <x:c r="N994" s="8" t="n">
        <x:f>DATE(2026,10,15)-DATE(2021,12,27)</x:f>
        <x:v>1753</x:v>
      </x:c>
      <x:c r="O994" s="2" t="str">
        <x:v>보류</x:v>
      </x:c>
      <x:c r="P994" s="2" t="str">
        <x:v>프로그램 사업 승인 후 검토</x:v>
      </x:c>
      <x:c r="Q994" s="2" t="str">
        <x:v>산업전환_외부사업관리Tool_260707_이너젠 수정_LJY_261013.xlsx</x:v>
      </x:c>
      <x:c r="R994" s="2" t="str">
        <x:v>국내평가</x:v>
      </x:c>
      <x:c r="S994" s="8" t="n">
        <x:v>897</x:v>
      </x:c>
      <x:c r="T994" s="2" t="str">
        <x:v>-</x:v>
      </x:c>
      <x:c r="U994" s="2" t="str">
        <x:v>2022 배정: -</x:v>
      </x:c>
      <x:c r="V994" s="2" t="str">
        <x:v>2022-08-24</x:v>
      </x:c>
      <x:c r="W994" s="2" t="str"/>
      <x:c r="X994" s="2" t="str">
        <x:v>검토 진행 일정 확인</x:v>
      </x:c>
      <x:c r="Y994" s="2" t="str">
        <x:v>ad210cd9ec132cfd447541c8984dc53d30aff0f4fb2dc92d254d49275cc55976</x:v>
      </x:c>
      <x:c r="Z994" s="2" t="n">
        <x:f>SUBTOTAL(103,A994)</x:f>
        <x:v>1</x:v>
      </x:c>
      <x:c r="AA994" s="2" t="str">
        <x:f>IF(K994&lt;&gt;"미종결 표시","대상 아님",IF(N994="","신청일 확인",IF(NOT(ISNUMBER('종합 현황'!$H$5)),"관찰기준 확인",IF('종합 현황'!$H$5&lt;1,"관찰기준 확인",IF(N994&gt;'종합 현황'!$H$5,"내부 관찰 대상","내부 관찰일 이하")))))</x:f>
        <x:v>내부 관찰 대상</x:v>
      </x:c>
      <x:c r="AB994" s="2"/>
    </x:row>
    <x:row r="995" ht="42" customHeight="1">
      <x:c r="A995" s="2" t="str">
        <x:v>02433df0e26b36580f2e32bb</x:v>
      </x:c>
      <x:c r="B995" s="2" t="str">
        <x:v>사업 평가</x:v>
      </x:c>
      <x:c r="C995" s="2" t="str">
        <x:v>국내</x:v>
      </x:c>
      <x:c r="D995" s="7" t="str">
        <x:v>인천광역시 주택 태양광 발전설비 보급 프로그램 감축사업</x:v>
      </x:c>
      <x:c r="E995" s="2" t="str">
        <x:v>856</x:v>
      </x:c>
      <x:c r="F995" s="2" t="str">
        <x:v>2021-12-27</x:v>
      </x:c>
      <x:c r="G995" s="2" t="str">
        <x:v>2021</x:v>
      </x:c>
      <x:c r="H995" s="2" t="str">
        <x:v>12</x:v>
      </x:c>
      <x:c r="I995" s="2" t="str">
        <x:v>문서재제출</x:v>
      </x:c>
      <x:c r="J995" s="2" t="str">
        <x:v>보류</x:v>
      </x:c>
      <x:c r="K995" s="2" t="str">
        <x:f>IF(OR(J995="심의승인",J995="반려",J995="반려완료",J995="심의완료"),"종결 표시",IF(OR(J995="기후부협의",J995="문서재제출요청",J995="보류",J995="보완요청",J995="보완완료",J995="평가중",J995="반려요청",J995="평가필요",LEFT(J995,5)="보완요청("),"미종결 표시","상태 확인 필요"))</x:f>
        <x:v>미종결 표시</x:v>
      </x:c>
      <x:c r="L995" s="2" t="str">
        <x:v>-</x:v>
      </x:c>
      <x:c r="M995" s="2"/>
      <x:c r="N995" s="8" t="n">
        <x:f>DATE(2026,10,15)-DATE(2021,12,27)</x:f>
        <x:v>1753</x:v>
      </x:c>
      <x:c r="O995" s="2" t="str">
        <x:v>보류</x:v>
      </x:c>
      <x:c r="P995" s="2" t="str">
        <x:v>프로그램 사업 승인 후 검토</x:v>
      </x:c>
      <x:c r="Q995" s="2" t="str">
        <x:v>산업전환_외부사업관리Tool_260707_이너젠 수정_LJY_261013.xlsx</x:v>
      </x:c>
      <x:c r="R995" s="2" t="str">
        <x:v>국내평가</x:v>
      </x:c>
      <x:c r="S995" s="8" t="n">
        <x:v>898</x:v>
      </x:c>
      <x:c r="T995" s="2" t="str">
        <x:v>-</x:v>
      </x:c>
      <x:c r="U995" s="2" t="str">
        <x:v>2022 배정: -</x:v>
      </x:c>
      <x:c r="V995" s="2" t="str">
        <x:v>2022-08-24</x:v>
      </x:c>
      <x:c r="W995" s="2" t="str"/>
      <x:c r="X995" s="2" t="str">
        <x:v>검토 진행 일정 확인</x:v>
      </x:c>
      <x:c r="Y995" s="2" t="str">
        <x:v>ad210cd9ec132cfd447541c8984dc53d30aff0f4fb2dc92d254d49275cc55976</x:v>
      </x:c>
      <x:c r="Z995" s="2" t="n">
        <x:f>SUBTOTAL(103,A995)</x:f>
        <x:v>1</x:v>
      </x:c>
      <x:c r="AA995" s="2" t="str">
        <x:f>IF(K995&lt;&gt;"미종결 표시","대상 아님",IF(N995="","신청일 확인",IF(NOT(ISNUMBER('종합 현황'!$H$5)),"관찰기준 확인",IF('종합 현황'!$H$5&lt;1,"관찰기준 확인",IF(N995&gt;'종합 현황'!$H$5,"내부 관찰 대상","내부 관찰일 이하")))))</x:f>
        <x:v>내부 관찰 대상</x:v>
      </x:c>
      <x:c r="AB995" s="2"/>
    </x:row>
    <x:row r="996" ht="42" customHeight="1">
      <x:c r="A996" s="2" t="str">
        <x:v>7786416d068e024518cd3c91</x:v>
      </x:c>
      <x:c r="B996" s="2" t="str">
        <x:v>사업 평가</x:v>
      </x:c>
      <x:c r="C996" s="2" t="str">
        <x:v>국내</x:v>
      </x:c>
      <x:c r="D996" s="7" t="str">
        <x:v>인천광역시 주택 태양광 발전설비 보급 프로그램 감축사업</x:v>
      </x:c>
      <x:c r="E996" s="2" t="str">
        <x:v>857</x:v>
      </x:c>
      <x:c r="F996" s="2" t="str">
        <x:v>2021-12-27</x:v>
      </x:c>
      <x:c r="G996" s="2" t="str">
        <x:v>2021</x:v>
      </x:c>
      <x:c r="H996" s="2" t="str">
        <x:v>12</x:v>
      </x:c>
      <x:c r="I996" s="2" t="str">
        <x:v>문서재제출</x:v>
      </x:c>
      <x:c r="J996" s="2" t="str">
        <x:v>보류</x:v>
      </x:c>
      <x:c r="K996" s="2" t="str">
        <x:f>IF(OR(J996="심의승인",J996="반려",J996="반려완료",J996="심의완료"),"종결 표시",IF(OR(J996="기후부협의",J996="문서재제출요청",J996="보류",J996="보완요청",J996="보완완료",J996="평가중",J996="반려요청",J996="평가필요",LEFT(J996,5)="보완요청("),"미종결 표시","상태 확인 필요"))</x:f>
        <x:v>미종결 표시</x:v>
      </x:c>
      <x:c r="L996" s="2" t="str">
        <x:v>-</x:v>
      </x:c>
      <x:c r="M996" s="2"/>
      <x:c r="N996" s="8" t="n">
        <x:f>DATE(2026,10,15)-DATE(2021,12,27)</x:f>
        <x:v>1753</x:v>
      </x:c>
      <x:c r="O996" s="2" t="str">
        <x:v>보류</x:v>
      </x:c>
      <x:c r="P996" s="2" t="str">
        <x:v>프로그램 사업 승인 후 검토</x:v>
      </x:c>
      <x:c r="Q996" s="2" t="str">
        <x:v>산업전환_외부사업관리Tool_260707_이너젠 수정_LJY_261013.xlsx</x:v>
      </x:c>
      <x:c r="R996" s="2" t="str">
        <x:v>국내평가</x:v>
      </x:c>
      <x:c r="S996" s="8" t="n">
        <x:v>899</x:v>
      </x:c>
      <x:c r="T996" s="2" t="str">
        <x:v>-</x:v>
      </x:c>
      <x:c r="U996" s="2" t="str">
        <x:v>2022 배정: -</x:v>
      </x:c>
      <x:c r="V996" s="2" t="str">
        <x:v>2022-08-24</x:v>
      </x:c>
      <x:c r="W996" s="2" t="str"/>
      <x:c r="X996" s="2" t="str">
        <x:v>검토 진행 일정 확인</x:v>
      </x:c>
      <x:c r="Y996" s="2" t="str">
        <x:v>ad210cd9ec132cfd447541c8984dc53d30aff0f4fb2dc92d254d49275cc55976</x:v>
      </x:c>
      <x:c r="Z996" s="2" t="n">
        <x:f>SUBTOTAL(103,A996)</x:f>
        <x:v>1</x:v>
      </x:c>
      <x:c r="AA996" s="2" t="str">
        <x:f>IF(K996&lt;&gt;"미종결 표시","대상 아님",IF(N996="","신청일 확인",IF(NOT(ISNUMBER('종합 현황'!$H$5)),"관찰기준 확인",IF('종합 현황'!$H$5&lt;1,"관찰기준 확인",IF(N996&gt;'종합 현황'!$H$5,"내부 관찰 대상","내부 관찰일 이하")))))</x:f>
        <x:v>내부 관찰 대상</x:v>
      </x:c>
      <x:c r="AB996" s="2"/>
    </x:row>
    <x:row r="997" ht="42" customHeight="1">
      <x:c r="A997" s="2" t="str">
        <x:v>d08b20a334ee572163cfa388</x:v>
      </x:c>
      <x:c r="B997" s="2" t="str">
        <x:v>사업 평가</x:v>
      </x:c>
      <x:c r="C997" s="2" t="str">
        <x:v>국내</x:v>
      </x:c>
      <x:c r="D997" s="7" t="str">
        <x:v>2020년 인천광역시 태양광 발전 설비 보급을 통한 온실가스 감축사업(1차)</x:v>
      </x:c>
      <x:c r="E997" s="2" t="str">
        <x:v>858</x:v>
      </x:c>
      <x:c r="F997" s="2" t="str">
        <x:v>2021-12-27</x:v>
      </x:c>
      <x:c r="G997" s="2" t="str">
        <x:v>2021</x:v>
      </x:c>
      <x:c r="H997" s="2" t="str">
        <x:v>12</x:v>
      </x:c>
      <x:c r="I997" s="2" t="str">
        <x:v>승인</x:v>
      </x:c>
      <x:c r="J997" s="2" t="str">
        <x:v>심의승인</x:v>
      </x:c>
      <x:c r="K997" s="2" t="str">
        <x:f>IF(OR(J997="심의승인",J997="반려",J997="반려완료",J997="심의완료"),"종결 표시",IF(OR(J997="기후부협의",J997="문서재제출요청",J997="보류",J997="보완요청",J997="보완완료",J997="평가중",J997="반려요청",J997="평가필요",LEFT(J997,5)="보완요청("),"미종결 표시","상태 확인 필요"))</x:f>
        <x:v>종결 표시</x:v>
      </x:c>
      <x:c r="L997" s="2" t="str">
        <x:v>에코시안_권송화</x:v>
      </x:c>
      <x:c r="M997" s="2"/>
      <x:c r="N997" s="8" t="n">
        <x:f>DATE(2026,10,15)-DATE(2021,12,27)</x:f>
        <x:v>1753</x:v>
      </x:c>
      <x:c r="O997" s="2" t="str">
        <x:v>생략</x:v>
      </x:c>
      <x:c r="P997" s="2"/>
      <x:c r="Q997" s="2" t="str">
        <x:v>산업전환_외부사업관리Tool_260707_이너젠 수정_LJY_261013.xlsx</x:v>
      </x:c>
      <x:c r="R997" s="2" t="str">
        <x:v>국내평가</x:v>
      </x:c>
      <x:c r="S997" s="8" t="n">
        <x:v>900</x:v>
      </x:c>
      <x:c r="T997" s="2" t="str">
        <x:v>(1/18)</x:v>
      </x:c>
      <x:c r="U997" s="2" t="str">
        <x:v>2022 배정: (1/18) / 2022 배정(신규): (8/16),(11/18) / 2023 배정: (5/16),(8/30),(10/6) / 2024 배정: (11/29) / 2025 배정: (5/9)</x:v>
      </x:c>
      <x:c r="V997" s="2" t="str">
        <x:v>2025-12-08</x:v>
      </x:c>
      <x:c r="W997" s="2" t="str"/>
      <x:c r="X997" s="2" t="str">
        <x:v>종결 근거 보관</x:v>
      </x:c>
      <x:c r="Y997" s="2" t="str">
        <x:v>ad210cd9ec132cfd447541c8984dc53d30aff0f4fb2dc92d254d49275cc55976</x:v>
      </x:c>
      <x:c r="Z997" s="2" t="n">
        <x:f>SUBTOTAL(103,A997)</x:f>
        <x:v>1</x:v>
      </x:c>
      <x:c r="AA997" s="2" t="str">
        <x:f>IF(K997&lt;&gt;"미종결 표시","대상 아님",IF(N997="","신청일 확인",IF(NOT(ISNUMBER('종합 현황'!$H$5)),"관찰기준 확인",IF('종합 현황'!$H$5&lt;1,"관찰기준 확인",IF(N997&gt;'종합 현황'!$H$5,"내부 관찰 대상","내부 관찰일 이하")))))</x:f>
        <x:v>대상 아님</x:v>
      </x:c>
      <x:c r="AB997" s="2"/>
    </x:row>
    <x:row r="998" ht="42" customHeight="1">
      <x:c r="A998" s="2" t="str">
        <x:v>fa2af11dcd13d92f742a4dbb</x:v>
      </x:c>
      <x:c r="B998" s="2" t="str">
        <x:v>사업 평가</x:v>
      </x:c>
      <x:c r="C998" s="2" t="str">
        <x:v>국내</x:v>
      </x:c>
      <x:c r="D998" s="7" t="str">
        <x:v>(주)윤성산업개발 버너 연료전환 (B-C유-&gt;LPG) 온실가스 감축사업</x:v>
      </x:c>
      <x:c r="E998" s="2" t="str">
        <x:v>859</x:v>
      </x:c>
      <x:c r="F998" s="2" t="str">
        <x:v>2020-06-09</x:v>
      </x:c>
      <x:c r="G998" s="2" t="str">
        <x:v>2020</x:v>
      </x:c>
      <x:c r="H998" s="2" t="str">
        <x:v>06</x:v>
      </x:c>
      <x:c r="I998" s="2" t="str">
        <x:v>승인</x:v>
      </x:c>
      <x:c r="J998" s="2" t="str">
        <x:v>심의승인</x:v>
      </x:c>
      <x:c r="K998" s="2" t="str">
        <x:f>IF(OR(J998="심의승인",J998="반려",J998="반려완료",J998="심의완료"),"종결 표시",IF(OR(J998="기후부협의",J998="문서재제출요청",J998="보류",J998="보완요청",J998="보완완료",J998="평가중",J998="반려요청",J998="평가필요",LEFT(J998,5)="보완요청("),"미종결 표시","상태 확인 필요"))</x:f>
        <x:v>종결 표시</x:v>
      </x:c>
      <x:c r="L998" s="2" t="str">
        <x:v>에코시안_오경환,기샛별</x:v>
      </x:c>
      <x:c r="M998" s="2"/>
      <x:c r="N998" s="8" t="n">
        <x:f>DATE(2026,10,15)-DATE(2020,6,9)</x:f>
        <x:v>2319</x:v>
      </x:c>
      <x:c r="O998" s="2" t="str">
        <x:v>O(21.07)</x:v>
      </x:c>
      <x:c r="P998" s="2" t="str">
        <x:v>LPG 계측기 O, 제51차 인증위</x:v>
      </x:c>
      <x:c r="Q998" s="2" t="str">
        <x:v>산업전환_외부사업관리Tool_260707_이너젠 수정_LJY_261013.xlsx</x:v>
      </x:c>
      <x:c r="R998" s="2" t="str">
        <x:v>국내평가</x:v>
      </x:c>
      <x:c r="S998" s="8" t="n">
        <x:v>901</x:v>
      </x:c>
      <x:c r="T998" s="2" t="str">
        <x:v>(6/28),(12/1)</x:v>
      </x:c>
      <x:c r="U998" s="2" t="str">
        <x:v>2021 배정: (6/28),(12/1) / 2022 배정: (4/19) / 2022 배정(신규): (6/10),(8/16),(12/8) / 2023 배정: (1/30)</x:v>
      </x:c>
      <x:c r="V998" s="2" t="str">
        <x:v>2025-09-18</x:v>
      </x:c>
      <x:c r="W998" s="2" t="str"/>
      <x:c r="X998" s="2" t="str">
        <x:v>종결 근거 보관</x:v>
      </x:c>
      <x:c r="Y998" s="2" t="str">
        <x:v>ad210cd9ec132cfd447541c8984dc53d30aff0f4fb2dc92d254d49275cc55976</x:v>
      </x:c>
      <x:c r="Z998" s="2" t="n">
        <x:f>SUBTOTAL(103,A998)</x:f>
        <x:v>1</x:v>
      </x:c>
      <x:c r="AA998" s="2" t="str">
        <x:f>IF(K998&lt;&gt;"미종결 표시","대상 아님",IF(N998="","신청일 확인",IF(NOT(ISNUMBER('종합 현황'!$H$5)),"관찰기준 확인",IF('종합 현황'!$H$5&lt;1,"관찰기준 확인",IF(N998&gt;'종합 현황'!$H$5,"내부 관찰 대상","내부 관찰일 이하")))))</x:f>
        <x:v>대상 아님</x:v>
      </x:c>
      <x:c r="AB998" s="2"/>
    </x:row>
    <x:row r="999" ht="42" customHeight="1">
      <x:c r="A999" s="2" t="str">
        <x:v>dd6e719ae81408d8b0dc05eb</x:v>
      </x:c>
      <x:c r="B999" s="2" t="str">
        <x:v>사업 평가</x:v>
      </x:c>
      <x:c r="C999" s="2" t="str">
        <x:v>국내</x:v>
      </x:c>
      <x:c r="D999" s="7" t="str">
        <x:v>(주)대광아스콘 연료전환(B-C유→LPG) 온실가스 감축사업</x:v>
      </x:c>
      <x:c r="E999" s="2" t="str">
        <x:v>860</x:v>
      </x:c>
      <x:c r="F999" s="2" t="str">
        <x:v>2022-01-20</x:v>
      </x:c>
      <x:c r="G999" s="2" t="str">
        <x:v>2022</x:v>
      </x:c>
      <x:c r="H999" s="2" t="str">
        <x:v>01</x:v>
      </x:c>
      <x:c r="I999" s="2" t="str">
        <x:v>보완3차_문서보완중</x:v>
      </x:c>
      <x:c r="J999" s="2" t="str">
        <x:v>보완요청</x:v>
      </x:c>
      <x:c r="K999" s="2" t="str">
        <x:f>IF(OR(J999="심의승인",J999="반려",J999="반려완료",J999="심의완료"),"종결 표시",IF(OR(J999="기후부협의",J999="문서재제출요청",J999="보류",J999="보완요청",J999="보완완료",J999="평가중",J999="반려요청",J999="평가필요",LEFT(J999,5)="보완요청("),"미종결 표시","상태 확인 필요"))</x:f>
        <x:v>미종결 표시</x:v>
      </x:c>
      <x:c r="L999" s="2" t="str">
        <x:v>KECM_임하진</x:v>
      </x:c>
      <x:c r="M999" s="2" t="n">
        <x:v>3</x:v>
      </x:c>
      <x:c r="N999" s="8" t="n">
        <x:f>DATE(2026,10,15)-DATE(2022,1,20)</x:f>
        <x:v>1729</x:v>
      </x:c>
      <x:c r="O999" s="2" t="str">
        <x:v>O(22.05)</x:v>
      </x:c>
      <x:c r="P999" s="2" t="str">
        <x:v>LPG 계측기 O</x:v>
      </x:c>
      <x:c r="Q999" s="2" t="str">
        <x:v>산업전환_외부사업관리Tool_260707_이너젠 수정_LJY_261013.xlsx</x:v>
      </x:c>
      <x:c r="R999" s="2" t="str">
        <x:v>국내평가</x:v>
      </x:c>
      <x:c r="S999" s="8" t="n">
        <x:v>902</x:v>
      </x:c>
      <x:c r="T999" s="2" t="str">
        <x:v>(2/9),(3/16)</x:v>
      </x:c>
      <x:c r="U999" s="2" t="str">
        <x:v>2022 배정: (2/9),(3/16) / 2022 배정(신규): (7/13) / 2024 배정: (3/18)</x:v>
      </x:c>
      <x:c r="V999" s="2" t="str">
        <x:v>2024-04-29</x:v>
      </x:c>
      <x:c r="W999" s="2" t="str"/>
      <x:c r="X999" s="2" t="str">
        <x:v>보완 회신 일정 확인</x:v>
      </x:c>
      <x:c r="Y999" s="2" t="str">
        <x:v>ad210cd9ec132cfd447541c8984dc53d30aff0f4fb2dc92d254d49275cc55976</x:v>
      </x:c>
      <x:c r="Z999" s="2" t="n">
        <x:f>SUBTOTAL(103,A999)</x:f>
        <x:v>1</x:v>
      </x:c>
      <x:c r="AA999" s="2" t="str">
        <x:f>IF(K999&lt;&gt;"미종결 표시","대상 아님",IF(N999="","신청일 확인",IF(NOT(ISNUMBER('종합 현황'!$H$5)),"관찰기준 확인",IF('종합 현황'!$H$5&lt;1,"관찰기준 확인",IF(N999&gt;'종합 현황'!$H$5,"내부 관찰 대상","내부 관찰일 이하")))))</x:f>
        <x:v>내부 관찰 대상</x:v>
      </x:c>
      <x:c r="AB999" s="2"/>
    </x:row>
    <x:row r="1000" ht="42" customHeight="1">
      <x:c r="A1000" s="2" t="str">
        <x:v>7d6997b9e1acfa67577d259c</x:v>
      </x:c>
      <x:c r="B1000" s="2" t="str">
        <x:v>사업 평가</x:v>
      </x:c>
      <x:c r="C1000" s="2" t="str">
        <x:v>국내</x:v>
      </x:c>
      <x:c r="D1000" s="7" t="str">
        <x:v>켑코이에스 군산시 고효율 가로등(LED 가로등) 교체를 통한 온실가스 감축사업</x:v>
      </x:c>
      <x:c r="E1000" s="2" t="str">
        <x:v>861</x:v>
      </x:c>
      <x:c r="F1000" s="2" t="str">
        <x:v>2022-08-03</x:v>
      </x:c>
      <x:c r="G1000" s="2" t="str">
        <x:v>2022</x:v>
      </x:c>
      <x:c r="H1000" s="2" t="str">
        <x:v>08</x:v>
      </x:c>
      <x:c r="I1000" s="2" t="str">
        <x:v>협의통보</x:v>
      </x:c>
      <x:c r="J1000" s="2" t="str">
        <x:v>기후부협의</x:v>
      </x:c>
      <x:c r="K1000" s="2" t="str">
        <x:f>IF(OR(J1000="심의승인",J1000="반려",J1000="반려완료",J1000="심의완료"),"종결 표시",IF(OR(J1000="기후부협의",J1000="문서재제출요청",J1000="보류",J1000="보완요청",J1000="보완완료",J1000="평가중",J1000="반려요청",J1000="평가필요",LEFT(J1000,5)="보완요청("),"미종결 표시","상태 확인 필요"))</x:f>
        <x:v>미종결 표시</x:v>
      </x:c>
      <x:c r="L1000" s="2" t="str">
        <x:v>에코시안_조영우</x:v>
      </x:c>
      <x:c r="M1000" s="2"/>
      <x:c r="N1000" s="8" t="n">
        <x:f>DATE(2026,10,15)-DATE(2022,8,3)</x:f>
        <x:v>1534</x:v>
      </x:c>
      <x:c r="O1000" s="2" t="str">
        <x:v>O(23.05)</x:v>
      </x:c>
      <x:c r="P1000" s="2" t="str">
        <x:v>사업자 보완의지 없음</x:v>
      </x:c>
      <x:c r="Q1000" s="2" t="str">
        <x:v>산업전환_외부사업관리Tool_260707_이너젠 수정_LJY_261013.xlsx</x:v>
      </x:c>
      <x:c r="R1000" s="2" t="str">
        <x:v>국내평가</x:v>
      </x:c>
      <x:c r="S1000" s="8" t="n">
        <x:v>903</x:v>
      </x:c>
      <x:c r="T1000" s="2" t="str">
        <x:v>(8/16)</x:v>
      </x:c>
      <x:c r="U1000" s="2" t="str">
        <x:v>2022 배정(신규): (8/16) / 2023 배정: (4/3),(8/7),(10/27),(11/17) / 2024 배정: (2/5)</x:v>
      </x:c>
      <x:c r="V1000" s="2" t="str">
        <x:v>2024-04-17</x:v>
      </x:c>
      <x:c r="W1000" s="2" t="str"/>
      <x:c r="X1000" s="2" t="str">
        <x:v>검토 진행 일정 확인</x:v>
      </x:c>
      <x:c r="Y1000" s="2" t="str">
        <x:v>ad210cd9ec132cfd447541c8984dc53d30aff0f4fb2dc92d254d49275cc55976</x:v>
      </x:c>
      <x:c r="Z1000" s="2" t="n">
        <x:f>SUBTOTAL(103,A1000)</x:f>
        <x:v>1</x:v>
      </x:c>
      <x:c r="AA1000" s="2" t="str">
        <x:f>IF(K1000&lt;&gt;"미종결 표시","대상 아님",IF(N1000="","신청일 확인",IF(NOT(ISNUMBER('종합 현황'!$H$5)),"관찰기준 확인",IF('종합 현황'!$H$5&lt;1,"관찰기준 확인",IF(N1000&gt;'종합 현황'!$H$5,"내부 관찰 대상","내부 관찰일 이하")))))</x:f>
        <x:v>내부 관찰 대상</x:v>
      </x:c>
      <x:c r="AB1000" s="2"/>
    </x:row>
    <x:row r="1001" ht="42" customHeight="1">
      <x:c r="A1001" s="2" t="str">
        <x:v>c8e2844ecfe9c47629103f3f</x:v>
      </x:c>
      <x:c r="B1001" s="2" t="str">
        <x:v>사업 평가</x:v>
      </x:c>
      <x:c r="C1001" s="2" t="str">
        <x:v>국내</x:v>
      </x:c>
      <x:c r="D1001" s="7" t="str">
        <x:v>카프로 N2O 저감 사업</x:v>
      </x:c>
      <x:c r="E1001" s="2" t="str">
        <x:v>862</x:v>
      </x:c>
      <x:c r="F1001" s="2" t="str">
        <x:v>2017-04-20</x:v>
      </x:c>
      <x:c r="G1001" s="2" t="str">
        <x:v>2017</x:v>
      </x:c>
      <x:c r="H1001" s="2" t="str">
        <x:v>04</x:v>
      </x:c>
      <x:c r="I1001" s="2" t="str">
        <x:v>사업변경 신청</x:v>
      </x:c>
      <x:c r="J1001" s="2" t="str">
        <x:v>보류</x:v>
      </x:c>
      <x:c r="K1001" s="2" t="str">
        <x:f>IF(OR(J1001="심의승인",J1001="반려",J1001="반려완료",J1001="심의완료"),"종결 표시",IF(OR(J1001="기후부협의",J1001="문서재제출요청",J1001="보류",J1001="보완요청",J1001="보완완료",J1001="평가중",J1001="반려요청",J1001="평가필요",LEFT(J1001,5)="보완요청("),"미종결 표시","상태 확인 필요"))</x:f>
        <x:v>미종결 표시</x:v>
      </x:c>
      <x:c r="L1001" s="2" t="str">
        <x:v>(자문)윤성한&gt;정다윤</x:v>
      </x:c>
      <x:c r="M1001" s="2"/>
      <x:c r="N1001" s="8" t="n">
        <x:f>DATE(2026,10,15)-DATE(2017,4,20)</x:f>
        <x:v>3465</x:v>
      </x:c>
      <x:c r="O1001" s="2" t="str">
        <x:v>생략, 반려예정</x:v>
      </x:c>
      <x:c r="P1001" s="2" t="str">
        <x:v>지침에 따라 사업변경 없이 인증실적 신청 예정. 인증실적 신청 후 사업 반려 예정</x:v>
      </x:c>
      <x:c r="Q1001" s="2" t="str">
        <x:v>산업전환_외부사업관리Tool_260707_이너젠 수정_LJY_261013.xlsx</x:v>
      </x:c>
      <x:c r="R1001" s="2" t="str">
        <x:v>국내평가</x:v>
      </x:c>
      <x:c r="S1001" s="8" t="n">
        <x:v>904</x:v>
      </x:c>
      <x:c r="T1001" s="2" t="str">
        <x:v>(6/10),(8/16),(11/18)</x:v>
      </x:c>
      <x:c r="U1001" s="2" t="str">
        <x:v>2022 배정(신규): (6/10),(8/16),(11/18) / 2025 배정: 2025년 처리</x:v>
      </x:c>
      <x:c r="V1001" s="2" t="str">
        <x:v>2025-05-30</x:v>
      </x:c>
      <x:c r="W1001" s="2" t="str"/>
      <x:c r="X1001" s="2" t="str">
        <x:v>검토 진행 일정 확인</x:v>
      </x:c>
      <x:c r="Y1001" s="2" t="str">
        <x:v>ad210cd9ec132cfd447541c8984dc53d30aff0f4fb2dc92d254d49275cc55976</x:v>
      </x:c>
      <x:c r="Z1001" s="2" t="n">
        <x:f>SUBTOTAL(103,A1001)</x:f>
        <x:v>1</x:v>
      </x:c>
      <x:c r="AA1001" s="2" t="str">
        <x:f>IF(K1001&lt;&gt;"미종결 표시","대상 아님",IF(N1001="","신청일 확인",IF(NOT(ISNUMBER('종합 현황'!$H$5)),"관찰기준 확인",IF('종합 현황'!$H$5&lt;1,"관찰기준 확인",IF(N1001&gt;'종합 현황'!$H$5,"내부 관찰 대상","내부 관찰일 이하")))))</x:f>
        <x:v>내부 관찰 대상</x:v>
      </x:c>
      <x:c r="AB1001" s="2"/>
    </x:row>
    <x:row r="1002" ht="42" customHeight="1">
      <x:c r="A1002" s="2" t="str">
        <x:v>affe3c5aca7792549f505795</x:v>
      </x:c>
      <x:c r="B1002" s="2" t="str">
        <x:v>사업 평가</x:v>
      </x:c>
      <x:c r="C1002" s="2" t="str">
        <x:v>국내</x:v>
      </x:c>
      <x:c r="D1002" s="7" t="str">
        <x:v>SK에너지&amp;인우아스콘의 국내 중온 아스팔트 생산을 통한 연료 및 온실가스 감축사업</x:v>
      </x:c>
      <x:c r="E1002" s="2" t="str">
        <x:v>863</x:v>
      </x:c>
      <x:c r="F1002" s="2" t="str">
        <x:v>2022-03-31</x:v>
      </x:c>
      <x:c r="G1002" s="2" t="str">
        <x:v>2022</x:v>
      </x:c>
      <x:c r="H1002" s="2" t="str">
        <x:v>03</x:v>
      </x:c>
      <x:c r="I1002" s="2" t="str">
        <x:v>승인</x:v>
      </x:c>
      <x:c r="J1002" s="2" t="str">
        <x:v>심의승인</x:v>
      </x:c>
      <x:c r="K1002" s="2" t="str">
        <x:f>IF(OR(J1002="심의승인",J1002="반려",J1002="반려완료",J1002="심의완료"),"종결 표시",IF(OR(J1002="기후부협의",J1002="문서재제출요청",J1002="보류",J1002="보완요청",J1002="보완완료",J1002="평가중",J1002="반려요청",J1002="평가필요",LEFT(J1002,5)="보완요청("),"미종결 표시","상태 확인 필요"))</x:f>
        <x:v>종결 표시</x:v>
      </x:c>
      <x:c r="L1002" s="2" t="str">
        <x:v>DNV_장유리, 에코시안_정인혜,조영우&gt;박세은,조영우</x:v>
      </x:c>
      <x:c r="M1002" s="2"/>
      <x:c r="N1002" s="8" t="n">
        <x:f>DATE(2026,10,15)-DATE(2022,3,31)</x:f>
        <x:v>1659</x:v>
      </x:c>
      <x:c r="O1002" s="2" t="str">
        <x:v>O(22.07)</x:v>
      </x:c>
      <x:c r="P1002" s="2" t="str">
        <x:v>제51차 인증위</x:v>
      </x:c>
      <x:c r="Q1002" s="2" t="str">
        <x:v>산업전환_외부사업관리Tool_260707_이너젠 수정_LJY_261013.xlsx</x:v>
      </x:c>
      <x:c r="R1002" s="2" t="str">
        <x:v>국내평가</x:v>
      </x:c>
      <x:c r="S1002" s="8" t="n">
        <x:v>905</x:v>
      </x:c>
      <x:c r="T1002" s="2" t="str">
        <x:v>(4/19)</x:v>
      </x:c>
      <x:c r="U1002" s="2" t="str">
        <x:v>2022 배정: (4/19) / 2022 배정(신규): (6/10),(8/16),(11/18),(12/27) / 2023 배정: 2023년 처리</x:v>
      </x:c>
      <x:c r="V1002" s="2" t="str">
        <x:v>2023-07-06</x:v>
      </x:c>
      <x:c r="W1002" s="2" t="str"/>
      <x:c r="X1002" s="2" t="str">
        <x:v>종결 근거 보관</x:v>
      </x:c>
      <x:c r="Y1002" s="2" t="str">
        <x:v>ad210cd9ec132cfd447541c8984dc53d30aff0f4fb2dc92d254d49275cc55976</x:v>
      </x:c>
      <x:c r="Z1002" s="2" t="n">
        <x:f>SUBTOTAL(103,A1002)</x:f>
        <x:v>1</x:v>
      </x:c>
      <x:c r="AA1002" s="2" t="str">
        <x:f>IF(K1002&lt;&gt;"미종결 표시","대상 아님",IF(N1002="","신청일 확인",IF(NOT(ISNUMBER('종합 현황'!$H$5)),"관찰기준 확인",IF('종합 현황'!$H$5&lt;1,"관찰기준 확인",IF(N1002&gt;'종합 현황'!$H$5,"내부 관찰 대상","내부 관찰일 이하")))))</x:f>
        <x:v>대상 아님</x:v>
      </x:c>
      <x:c r="AB1002" s="2"/>
    </x:row>
    <x:row r="1003" ht="42" customHeight="1">
      <x:c r="A1003" s="2" t="str">
        <x:v>7c5e7738b28cc1ae38c730ba</x:v>
      </x:c>
      <x:c r="B1003" s="2" t="str">
        <x:v>사업 평가</x:v>
      </x:c>
      <x:c r="C1003" s="2" t="str">
        <x:v>국내</x:v>
      </x:c>
      <x:c r="D1003" s="7" t="str">
        <x:v>신진엠텍 자가 소비용 태양광 발전설비 설치 사업</x:v>
      </x:c>
      <x:c r="E1003" s="2" t="str">
        <x:v>864</x:v>
      </x:c>
      <x:c r="F1003" s="2" t="str">
        <x:v>2022-06-15</x:v>
      </x:c>
      <x:c r="G1003" s="2" t="str">
        <x:v>2022</x:v>
      </x:c>
      <x:c r="H1003" s="2" t="str">
        <x:v>06</x:v>
      </x:c>
      <x:c r="I1003" s="2" t="str">
        <x:v>승인</x:v>
      </x:c>
      <x:c r="J1003" s="2" t="str">
        <x:v>심의승인</x:v>
      </x:c>
      <x:c r="K1003" s="2" t="str">
        <x:f>IF(OR(J1003="심의승인",J1003="반려",J1003="반려완료",J1003="심의완료"),"종결 표시",IF(OR(J1003="기후부협의",J1003="문서재제출요청",J1003="보류",J1003="보완요청",J1003="보완완료",J1003="평가중",J1003="반려요청",J1003="평가필요",LEFT(J1003,5)="보완요청("),"미종결 표시","상태 확인 필요"))</x:f>
        <x:v>종결 표시</x:v>
      </x:c>
      <x:c r="L1003" s="2" t="str">
        <x:v>에코시안_정다윤</x:v>
      </x:c>
      <x:c r="M1003" s="2"/>
      <x:c r="N1003" s="8" t="n">
        <x:f>DATE(2026,10,15)-DATE(2022,6,15)</x:f>
        <x:v>1583</x:v>
      </x:c>
      <x:c r="O1003" s="2" t="str">
        <x:v>생략</x:v>
      </x:c>
      <x:c r="P1003" s="2" t="str">
        <x:v>제51차 인증위</x:v>
      </x:c>
      <x:c r="Q1003" s="2" t="str">
        <x:v>산업전환_외부사업관리Tool_260707_이너젠 수정_LJY_261013.xlsx</x:v>
      </x:c>
      <x:c r="R1003" s="2" t="str">
        <x:v>국내평가</x:v>
      </x:c>
      <x:c r="S1003" s="8" t="n">
        <x:v>906</x:v>
      </x:c>
      <x:c r="T1003" s="2" t="str">
        <x:v>(7/13),(9/19),(11/18),(12/27)</x:v>
      </x:c>
      <x:c r="U1003" s="2" t="str">
        <x:v>2022 배정(신규): (7/13),(9/19),(11/18),(12/27)</x:v>
      </x:c>
      <x:c r="V1003" s="2" t="str">
        <x:v>2024-04-18</x:v>
      </x:c>
      <x:c r="W1003" s="2" t="str"/>
      <x:c r="X1003" s="2" t="str">
        <x:v>종결 근거 보관</x:v>
      </x:c>
      <x:c r="Y1003" s="2" t="str">
        <x:v>ad210cd9ec132cfd447541c8984dc53d30aff0f4fb2dc92d254d49275cc55976</x:v>
      </x:c>
      <x:c r="Z1003" s="2" t="n">
        <x:f>SUBTOTAL(103,A1003)</x:f>
        <x:v>1</x:v>
      </x:c>
      <x:c r="AA1003" s="2" t="str">
        <x:f>IF(K1003&lt;&gt;"미종결 표시","대상 아님",IF(N1003="","신청일 확인",IF(NOT(ISNUMBER('종합 현황'!$H$5)),"관찰기준 확인",IF('종합 현황'!$H$5&lt;1,"관찰기준 확인",IF(N1003&gt;'종합 현황'!$H$5,"내부 관찰 대상","내부 관찰일 이하")))))</x:f>
        <x:v>대상 아님</x:v>
      </x:c>
      <x:c r="AB1003" s="2"/>
    </x:row>
    <x:row r="1004" ht="42" customHeight="1">
      <x:c r="A1004" s="2" t="str">
        <x:v>def8bc591021ec92199ea599</x:v>
      </x:c>
      <x:c r="B1004" s="2" t="str">
        <x:v>사업 평가</x:v>
      </x:c>
      <x:c r="C1004" s="2" t="str">
        <x:v>국내</x:v>
      </x:c>
      <x:c r="D1004" s="7" t="str">
        <x:v>동진기업㈜ 안성공장 고효율 공기압축기 교체를 통한 온실가스 감축사업</x:v>
      </x:c>
      <x:c r="E1004" s="2" t="str">
        <x:v>865</x:v>
      </x:c>
      <x:c r="F1004" s="2" t="str">
        <x:v>2019-12-24</x:v>
      </x:c>
      <x:c r="G1004" s="2" t="str">
        <x:v>2019</x:v>
      </x:c>
      <x:c r="H1004" s="2" t="str">
        <x:v>12</x:v>
      </x:c>
      <x:c r="I1004" s="2" t="str">
        <x:v>승인</x:v>
      </x:c>
      <x:c r="J1004" s="2" t="str">
        <x:v>심의승인</x:v>
      </x:c>
      <x:c r="K1004" s="2" t="str">
        <x:f>IF(OR(J1004="심의승인",J1004="반려",J1004="반려완료",J1004="심의완료"),"종결 표시",IF(OR(J1004="기후부협의",J1004="문서재제출요청",J1004="보류",J1004="보완요청",J1004="보완완료",J1004="평가중",J1004="반려요청",J1004="평가필요",LEFT(J1004,5)="보완요청("),"미종결 표시","상태 확인 필요"))</x:f>
        <x:v>종결 표시</x:v>
      </x:c>
      <x:c r="L1004" s="2" t="str">
        <x:v>에코시안_권송화</x:v>
      </x:c>
      <x:c r="M1004" s="2"/>
      <x:c r="N1004" s="8" t="n">
        <x:f>DATE(2026,10,15)-DATE(2019,12,24)</x:f>
        <x:v>2487</x:v>
      </x:c>
      <x:c r="O1004" s="2" t="str">
        <x:v>생략</x:v>
      </x:c>
      <x:c r="P1004" s="2"/>
      <x:c r="Q1004" s="2" t="str">
        <x:v>산업전환_외부사업관리Tool_260707_이너젠 수정_LJY_261013.xlsx</x:v>
      </x:c>
      <x:c r="R1004" s="2" t="str">
        <x:v>국내평가</x:v>
      </x:c>
      <x:c r="S1004" s="8" t="n">
        <x:v>907</x:v>
      </x:c>
      <x:c r="T1004" s="2" t="str">
        <x:v>(7/12),(9/1)</x:v>
      </x:c>
      <x:c r="U1004" s="2" t="str">
        <x:v>2021 배정: (7/12),(9/1) / 2022 배정: (4/19) / 2022 배정(신규): (5/18),(6/10),(8/16),(9/19),(12/8) / 2023 배정: (2/17),(4/21)</x:v>
      </x:c>
      <x:c r="V1004" s="2" t="str">
        <x:v>2023-10-05</x:v>
      </x:c>
      <x:c r="W1004" s="2" t="str"/>
      <x:c r="X1004" s="2" t="str">
        <x:v>종결 근거 보관</x:v>
      </x:c>
      <x:c r="Y1004" s="2" t="str">
        <x:v>ad210cd9ec132cfd447541c8984dc53d30aff0f4fb2dc92d254d49275cc55976</x:v>
      </x:c>
      <x:c r="Z1004" s="2" t="n">
        <x:f>SUBTOTAL(103,A1004)</x:f>
        <x:v>1</x:v>
      </x:c>
      <x:c r="AA1004" s="2" t="str">
        <x:f>IF(K1004&lt;&gt;"미종결 표시","대상 아님",IF(N1004="","신청일 확인",IF(NOT(ISNUMBER('종합 현황'!$H$5)),"관찰기준 확인",IF('종합 현황'!$H$5&lt;1,"관찰기준 확인",IF(N1004&gt;'종합 현황'!$H$5,"내부 관찰 대상","내부 관찰일 이하")))))</x:f>
        <x:v>대상 아님</x:v>
      </x:c>
      <x:c r="AB1004" s="2"/>
    </x:row>
    <x:row r="1005" ht="42" customHeight="1">
      <x:c r="A1005" s="2" t="str">
        <x:v>17510a2e063c65cdb0bc0b08</x:v>
      </x:c>
      <x:c r="B1005" s="2" t="str">
        <x:v>사업 평가</x:v>
      </x:c>
      <x:c r="C1005" s="2" t="str">
        <x:v>국내</x:v>
      </x:c>
      <x:c r="D1005" s="7" t="str">
        <x:v>울산광역시 자원회수시설 소각폐열의 ㈜바커케미칼코리아 공정스팀 활용사업</x:v>
      </x:c>
      <x:c r="E1005" s="2" t="str">
        <x:v>866</x:v>
      </x:c>
      <x:c r="F1005" s="2" t="str">
        <x:v>2018-12-27</x:v>
      </x:c>
      <x:c r="G1005" s="2" t="str">
        <x:v>2018</x:v>
      </x:c>
      <x:c r="H1005" s="2" t="str">
        <x:v>12</x:v>
      </x:c>
      <x:c r="I1005" s="2" t="str">
        <x:v>보완2차_문서보완중</x:v>
      </x:c>
      <x:c r="J1005" s="2" t="str">
        <x:v>보완요청</x:v>
      </x:c>
      <x:c r="K1005" s="2" t="str">
        <x:f>IF(OR(J1005="심의승인",J1005="반려",J1005="반려완료",J1005="심의완료"),"종결 표시",IF(OR(J1005="기후부협의",J1005="문서재제출요청",J1005="보류",J1005="보완요청",J1005="보완완료",J1005="평가중",J1005="반려요청",J1005="평가필요",LEFT(J1005,5)="보완요청("),"미종결 표시","상태 확인 필요"))</x:f>
        <x:v>미종결 표시</x:v>
      </x:c>
      <x:c r="L1005" s="2" t="str">
        <x:v>KECM_이태준</x:v>
      </x:c>
      <x:c r="M1005" s="2" t="n">
        <x:v>2</x:v>
      </x:c>
      <x:c r="N1005" s="8" t="n">
        <x:f>DATE(2026,10,15)-DATE(2018,12,27)</x:f>
        <x:v>2849</x:v>
      </x:c>
      <x:c r="O1005" s="2" t="str">
        <x:v>생략</x:v>
      </x:c>
      <x:c r="P1005" s="2" t="str">
        <x:v>21년 이전 실적 22년까지 제출 불가하여 해당 실적은 인정 제외 예정(반려 후 재신청 없이 공문 제출)</x:v>
      </x:c>
      <x:c r="Q1005" s="2" t="str">
        <x:v>산업전환_외부사업관리Tool_260707_이너젠 수정_LJY_261013.xlsx</x:v>
      </x:c>
      <x:c r="R1005" s="2" t="str">
        <x:v>국내평가</x:v>
      </x:c>
      <x:c r="S1005" s="8" t="n">
        <x:v>908</x:v>
      </x:c>
      <x:c r="T1005" s="2" t="str">
        <x:v>(9/19)</x:v>
      </x:c>
      <x:c r="U1005" s="2" t="str">
        <x:v>2022 배정(신규): (9/19)</x:v>
      </x:c>
      <x:c r="V1005" s="2" t="str">
        <x:v>2022-10-11</x:v>
      </x:c>
      <x:c r="W1005" s="2" t="str"/>
      <x:c r="X1005" s="2" t="str">
        <x:v>보완 회신 일정 확인</x:v>
      </x:c>
      <x:c r="Y1005" s="2" t="str">
        <x:v>ad210cd9ec132cfd447541c8984dc53d30aff0f4fb2dc92d254d49275cc55976</x:v>
      </x:c>
      <x:c r="Z1005" s="2" t="n">
        <x:f>SUBTOTAL(103,A1005)</x:f>
        <x:v>1</x:v>
      </x:c>
      <x:c r="AA1005" s="2" t="str">
        <x:f>IF(K1005&lt;&gt;"미종결 표시","대상 아님",IF(N1005="","신청일 확인",IF(NOT(ISNUMBER('종합 현황'!$H$5)),"관찰기준 확인",IF('종합 현황'!$H$5&lt;1,"관찰기준 확인",IF(N1005&gt;'종합 현황'!$H$5,"내부 관찰 대상","내부 관찰일 이하")))))</x:f>
        <x:v>내부 관찰 대상</x:v>
      </x:c>
      <x:c r="AB1005" s="2"/>
    </x:row>
    <x:row r="1006" ht="42" customHeight="1">
      <x:c r="A1006" s="2" t="str">
        <x:v>9374d9998a44756bcf2dd951</x:v>
      </x:c>
      <x:c r="B1006" s="2" t="str">
        <x:v>사업 평가</x:v>
      </x:c>
      <x:c r="C1006" s="2" t="str">
        <x:v>국내</x:v>
      </x:c>
      <x:c r="D1006" s="7" t="str">
        <x:v>충청화학에너지㈜ 연료전환(경유→ LNG)을 통한 온실가스 배출 감축사업</x:v>
      </x:c>
      <x:c r="E1006" s="2" t="str">
        <x:v>867</x:v>
      </x:c>
      <x:c r="F1006" s="2" t="str">
        <x:v>2022-01-05</x:v>
      </x:c>
      <x:c r="G1006" s="2" t="str">
        <x:v>2022</x:v>
      </x:c>
      <x:c r="H1006" s="2" t="str">
        <x:v>01</x:v>
      </x:c>
      <x:c r="I1006" s="2" t="str">
        <x:v>승인</x:v>
      </x:c>
      <x:c r="J1006" s="2" t="str">
        <x:v>심의승인</x:v>
      </x:c>
      <x:c r="K1006" s="2" t="str">
        <x:f>IF(OR(J1006="심의승인",J1006="반려",J1006="반려완료",J1006="심의완료"),"종결 표시",IF(OR(J1006="기후부협의",J1006="문서재제출요청",J1006="보류",J1006="보완요청",J1006="보완완료",J1006="평가중",J1006="반려요청",J1006="평가필요",LEFT(J1006,5)="보완요청("),"미종결 표시","상태 확인 필요"))</x:f>
        <x:v>종결 표시</x:v>
      </x:c>
      <x:c r="L1006" s="2" t="str">
        <x:v>에코시안_권송화</x:v>
      </x:c>
      <x:c r="M1006" s="2"/>
      <x:c r="N1006" s="8" t="n">
        <x:f>DATE(2026,10,15)-DATE(2022,1,5)</x:f>
        <x:v>1744</x:v>
      </x:c>
      <x:c r="O1006" s="2" t="str">
        <x:v>O(22.05)</x:v>
      </x:c>
      <x:c r="P1006" s="2"/>
      <x:c r="Q1006" s="2" t="str">
        <x:v>산업전환_외부사업관리Tool_260707_이너젠 수정_LJY_261013.xlsx</x:v>
      </x:c>
      <x:c r="R1006" s="2" t="str">
        <x:v>국내평가</x:v>
      </x:c>
      <x:c r="S1006" s="8" t="n">
        <x:v>909</x:v>
      </x:c>
      <x:c r="T1006" s="2" t="str">
        <x:v>(1/18),(4/19)</x:v>
      </x:c>
      <x:c r="U1006" s="2" t="str">
        <x:v>2022 배정: (1/18),(4/19) / 2022 배정(신규): (9/19) / 2023 배정: (1/30),(4/21)</x:v>
      </x:c>
      <x:c r="V1006" s="2" t="str">
        <x:v>2023-12-07</x:v>
      </x:c>
      <x:c r="W1006" s="2" t="str"/>
      <x:c r="X1006" s="2" t="str">
        <x:v>종결 근거 보관</x:v>
      </x:c>
      <x:c r="Y1006" s="2" t="str">
        <x:v>ad210cd9ec132cfd447541c8984dc53d30aff0f4fb2dc92d254d49275cc55976</x:v>
      </x:c>
      <x:c r="Z1006" s="2" t="n">
        <x:f>SUBTOTAL(103,A1006)</x:f>
        <x:v>1</x:v>
      </x:c>
      <x:c r="AA1006" s="2" t="str">
        <x:f>IF(K1006&lt;&gt;"미종결 표시","대상 아님",IF(N1006="","신청일 확인",IF(NOT(ISNUMBER('종합 현황'!$H$5)),"관찰기준 확인",IF('종합 현황'!$H$5&lt;1,"관찰기준 확인",IF(N1006&gt;'종합 현황'!$H$5,"내부 관찰 대상","내부 관찰일 이하")))))</x:f>
        <x:v>대상 아님</x:v>
      </x:c>
      <x:c r="AB1006" s="2"/>
    </x:row>
    <x:row r="1007" ht="42" customHeight="1">
      <x:c r="A1007" s="2" t="str">
        <x:v>e54b73b73cd2b45125cdda22</x:v>
      </x:c>
      <x:c r="B1007" s="2" t="str">
        <x:v>사업 평가</x:v>
      </x:c>
      <x:c r="C1007" s="2" t="str">
        <x:v>국내</x:v>
      </x:c>
      <x:c r="D1007" s="7" t="str">
        <x:v>(주)대한이엔지 외 10개사의 고효율 공기압축기 교체를 통한 온실가스 감축사업</x:v>
      </x:c>
      <x:c r="E1007" s="2" t="str">
        <x:v>868</x:v>
      </x:c>
      <x:c r="F1007" s="2" t="str">
        <x:v>2022-01-11</x:v>
      </x:c>
      <x:c r="G1007" s="2" t="str">
        <x:v>2022</x:v>
      </x:c>
      <x:c r="H1007" s="2" t="str">
        <x:v>01</x:v>
      </x:c>
      <x:c r="I1007" s="2" t="str">
        <x:v>승인</x:v>
      </x:c>
      <x:c r="J1007" s="2" t="str">
        <x:v>심의승인</x:v>
      </x:c>
      <x:c r="K1007" s="2" t="str">
        <x:f>IF(OR(J1007="심의승인",J1007="반려",J1007="반려완료",J1007="심의완료"),"종결 표시",IF(OR(J1007="기후부협의",J1007="문서재제출요청",J1007="보류",J1007="보완요청",J1007="보완완료",J1007="평가중",J1007="반려요청",J1007="평가필요",LEFT(J1007,5)="보완요청("),"미종결 표시","상태 확인 필요"))</x:f>
        <x:v>종결 표시</x:v>
      </x:c>
      <x:c r="L1007" s="2" t="str">
        <x:v>KECM_이태준</x:v>
      </x:c>
      <x:c r="M1007" s="2"/>
      <x:c r="N1007" s="8" t="n">
        <x:f>DATE(2026,10,15)-DATE(2022,1,11)</x:f>
        <x:v>1738</x:v>
      </x:c>
      <x:c r="O1007" s="2" t="str">
        <x:v>생략(임의)</x:v>
      </x:c>
      <x:c r="P1007" s="2"/>
      <x:c r="Q1007" s="2" t="str">
        <x:v>산업전환_외부사업관리Tool_260707_이너젠 수정_LJY_261013.xlsx</x:v>
      </x:c>
      <x:c r="R1007" s="2" t="str">
        <x:v>국내평가</x:v>
      </x:c>
      <x:c r="S1007" s="8" t="n">
        <x:v>910</x:v>
      </x:c>
      <x:c r="T1007" s="2" t="str">
        <x:v>(1/18),(4/19)</x:v>
      </x:c>
      <x:c r="U1007" s="2" t="str">
        <x:v>2022 배정: (1/18),(4/19) / 2022 배정(신규): (5/18),(8/16)</x:v>
      </x:c>
      <x:c r="V1007" s="2" t="str">
        <x:v>2023-01-04</x:v>
      </x:c>
      <x:c r="W1007" s="2" t="str"/>
      <x:c r="X1007" s="2" t="str">
        <x:v>종결 근거 보관</x:v>
      </x:c>
      <x:c r="Y1007" s="2" t="str">
        <x:v>ad210cd9ec132cfd447541c8984dc53d30aff0f4fb2dc92d254d49275cc55976</x:v>
      </x:c>
      <x:c r="Z1007" s="2" t="n">
        <x:f>SUBTOTAL(103,A1007)</x:f>
        <x:v>1</x:v>
      </x:c>
      <x:c r="AA1007" s="2" t="str">
        <x:f>IF(K1007&lt;&gt;"미종결 표시","대상 아님",IF(N1007="","신청일 확인",IF(NOT(ISNUMBER('종합 현황'!$H$5)),"관찰기준 확인",IF('종합 현황'!$H$5&lt;1,"관찰기준 확인",IF(N1007&gt;'종합 현황'!$H$5,"내부 관찰 대상","내부 관찰일 이하")))))</x:f>
        <x:v>대상 아님</x:v>
      </x:c>
      <x:c r="AB1007" s="2"/>
    </x:row>
    <x:row r="1008" ht="42" customHeight="1">
      <x:c r="A1008" s="2" t="str">
        <x:v>debd5f56fe98bac0fe65db44</x:v>
      </x:c>
      <x:c r="B1008" s="2" t="str">
        <x:v>사업 평가</x:v>
      </x:c>
      <x:c r="C1008" s="2" t="str">
        <x:v>국내</x:v>
      </x:c>
      <x:c r="D1008" s="7" t="str">
        <x:v>세일단조 주식회사 고효율 공기압축기 교체를 통한 온실가스 감축사업</x:v>
      </x:c>
      <x:c r="E1008" s="2" t="str">
        <x:v>869</x:v>
      </x:c>
      <x:c r="F1008" s="2" t="str">
        <x:v>2022-01-19</x:v>
      </x:c>
      <x:c r="G1008" s="2" t="str">
        <x:v>2022</x:v>
      </x:c>
      <x:c r="H1008" s="2" t="str">
        <x:v>01</x:v>
      </x:c>
      <x:c r="I1008" s="2" t="str">
        <x:v>승인</x:v>
      </x:c>
      <x:c r="J1008" s="2" t="str">
        <x:v>심의승인</x:v>
      </x:c>
      <x:c r="K1008" s="2" t="str">
        <x:f>IF(OR(J1008="심의승인",J1008="반려",J1008="반려완료",J1008="심의완료"),"종결 표시",IF(OR(J1008="기후부협의",J1008="문서재제출요청",J1008="보류",J1008="보완요청",J1008="보완완료",J1008="평가중",J1008="반려요청",J1008="평가필요",LEFT(J1008,5)="보완요청("),"미종결 표시","상태 확인 필요"))</x:f>
        <x:v>종결 표시</x:v>
      </x:c>
      <x:c r="L1008" s="2" t="str">
        <x:v>KECM_김민정</x:v>
      </x:c>
      <x:c r="M1008" s="2"/>
      <x:c r="N1008" s="8" t="n">
        <x:f>DATE(2026,10,15)-DATE(2022,1,19)</x:f>
        <x:v>1730</x:v>
      </x:c>
      <x:c r="O1008" s="2" t="str">
        <x:v>생략</x:v>
      </x:c>
      <x:c r="P1008" s="2"/>
      <x:c r="Q1008" s="2" t="str">
        <x:v>산업전환_외부사업관리Tool_260707_이너젠 수정_LJY_261013.xlsx</x:v>
      </x:c>
      <x:c r="R1008" s="2" t="str">
        <x:v>국내평가</x:v>
      </x:c>
      <x:c r="S1008" s="8" t="n">
        <x:v>911</x:v>
      </x:c>
      <x:c r="T1008" s="2" t="str">
        <x:v>(2/9)</x:v>
      </x:c>
      <x:c r="U1008" s="2" t="str">
        <x:v>2022 배정: (2/9) / 2022 배정(신규): (7/13),(10/19),(12/8) / 2023 배정: (4/21),(5/16)</x:v>
      </x:c>
      <x:c r="V1008" s="2" t="str">
        <x:v>2023-11-16</x:v>
      </x:c>
      <x:c r="W1008" s="2" t="str"/>
      <x:c r="X1008" s="2" t="str">
        <x:v>종결 근거 보관</x:v>
      </x:c>
      <x:c r="Y1008" s="2" t="str">
        <x:v>ad210cd9ec132cfd447541c8984dc53d30aff0f4fb2dc92d254d49275cc55976</x:v>
      </x:c>
      <x:c r="Z1008" s="2" t="n">
        <x:f>SUBTOTAL(103,A1008)</x:f>
        <x:v>1</x:v>
      </x:c>
      <x:c r="AA1008" s="2" t="str">
        <x:f>IF(K1008&lt;&gt;"미종결 표시","대상 아님",IF(N1008="","신청일 확인",IF(NOT(ISNUMBER('종합 현황'!$H$5)),"관찰기준 확인",IF('종합 현황'!$H$5&lt;1,"관찰기준 확인",IF(N1008&gt;'종합 현황'!$H$5,"내부 관찰 대상","내부 관찰일 이하")))))</x:f>
        <x:v>대상 아님</x:v>
      </x:c>
      <x:c r="AB1008" s="2"/>
    </x:row>
    <x:row r="1009" ht="42" customHeight="1">
      <x:c r="A1009" s="2" t="str">
        <x:v>a476e899e47cde704f7f1ce0</x:v>
      </x:c>
      <x:c r="B1009" s="2" t="str">
        <x:v>사업 평가</x:v>
      </x:c>
      <x:c r="C1009" s="2" t="str">
        <x:v>국내</x:v>
      </x:c>
      <x:c r="D1009" s="7" t="str">
        <x:v>㈜범우 소각폐열 회수 및 학남단지 스팀 공급을 통한 화석연료 사용 절감 및 온실가스 감축사업</x:v>
      </x:c>
      <x:c r="E1009" s="2" t="str">
        <x:v>870</x:v>
      </x:c>
      <x:c r="F1009" s="2" t="str">
        <x:v>2020-12-30</x:v>
      </x:c>
      <x:c r="G1009" s="2" t="str">
        <x:v>2020</x:v>
      </x:c>
      <x:c r="H1009" s="2" t="str">
        <x:v>12</x:v>
      </x:c>
      <x:c r="I1009" s="2" t="str">
        <x:v>보완1차_문서보완중</x:v>
      </x:c>
      <x:c r="J1009" s="2" t="str">
        <x:v>보완요청</x:v>
      </x:c>
      <x:c r="K1009" s="2" t="str">
        <x:f>IF(OR(J1009="심의승인",J1009="반려",J1009="반려완료",J1009="심의완료"),"종결 표시",IF(OR(J1009="기후부협의",J1009="문서재제출요청",J1009="보류",J1009="보완요청",J1009="보완완료",J1009="평가중",J1009="반려요청",J1009="평가필요",LEFT(J1009,5)="보완요청("),"미종결 표시","상태 확인 필요"))</x:f>
        <x:v>미종결 표시</x:v>
      </x:c>
      <x:c r="L1009" s="2" t="str">
        <x:v>KECM_임하진</x:v>
      </x:c>
      <x:c r="M1009" s="2" t="n">
        <x:v>1</x:v>
      </x:c>
      <x:c r="N1009" s="8" t="n">
        <x:f>DATE(2026,10,15)-DATE(2020,12,30)</x:f>
        <x:v>2115</x:v>
      </x:c>
      <x:c r="O1009" s="2" t="str">
        <x:v>생략</x:v>
      </x:c>
      <x:c r="P1009" s="2" t="str">
        <x:v>21년 이전 실적 22년까지 제출 불가하여 해당 실적은 인정 제외 예정(반려 후 재신청 없이 공문 제출)</x:v>
      </x:c>
      <x:c r="Q1009" s="2" t="str">
        <x:v>산업전환_외부사업관리Tool_260707_이너젠 수정_LJY_261013.xlsx</x:v>
      </x:c>
      <x:c r="R1009" s="2" t="str">
        <x:v>국내평가</x:v>
      </x:c>
      <x:c r="S1009" s="8" t="n">
        <x:v>912</x:v>
      </x:c>
      <x:c r="T1009" s="2" t="str">
        <x:v>(9/19)</x:v>
      </x:c>
      <x:c r="U1009" s="2" t="str">
        <x:v>2022 배정(신규): (9/19)</x:v>
      </x:c>
      <x:c r="V1009" s="2" t="str">
        <x:v>2022-10-11</x:v>
      </x:c>
      <x:c r="W1009" s="2" t="str"/>
      <x:c r="X1009" s="2" t="str">
        <x:v>보완 회신 일정 확인</x:v>
      </x:c>
      <x:c r="Y1009" s="2" t="str">
        <x:v>ad210cd9ec132cfd447541c8984dc53d30aff0f4fb2dc92d254d49275cc55976</x:v>
      </x:c>
      <x:c r="Z1009" s="2" t="n">
        <x:f>SUBTOTAL(103,A1009)</x:f>
        <x:v>1</x:v>
      </x:c>
      <x:c r="AA1009" s="2" t="str">
        <x:f>IF(K1009&lt;&gt;"미종결 표시","대상 아님",IF(N1009="","신청일 확인",IF(NOT(ISNUMBER('종합 현황'!$H$5)),"관찰기준 확인",IF('종합 현황'!$H$5&lt;1,"관찰기준 확인",IF(N1009&gt;'종합 현황'!$H$5,"내부 관찰 대상","내부 관찰일 이하")))))</x:f>
        <x:v>내부 관찰 대상</x:v>
      </x:c>
      <x:c r="AB1009" s="2"/>
    </x:row>
    <x:row r="1010" ht="42" customHeight="1">
      <x:c r="A1010" s="2" t="str">
        <x:v>e4583ee8e7ffd4698bf90729</x:v>
      </x:c>
      <x:c r="B1010" s="2" t="str">
        <x:v>사업 평가</x:v>
      </x:c>
      <x:c r="C1010" s="2" t="str">
        <x:v>국내</x:v>
      </x:c>
      <x:c r="D1010" s="7" t="str">
        <x:v>경산산업(주) 연료전환(B-C유→LPG) 온실가스 감축사업</x:v>
      </x:c>
      <x:c r="E1010" s="2" t="str">
        <x:v>871</x:v>
      </x:c>
      <x:c r="F1010" s="2" t="str">
        <x:v>2022-01-21</x:v>
      </x:c>
      <x:c r="G1010" s="2" t="str">
        <x:v>2022</x:v>
      </x:c>
      <x:c r="H1010" s="2" t="str">
        <x:v>01</x:v>
      </x:c>
      <x:c r="I1010" s="2" t="str">
        <x:v>승인</x:v>
      </x:c>
      <x:c r="J1010" s="2" t="str">
        <x:v>심의승인</x:v>
      </x:c>
      <x:c r="K1010" s="2" t="str">
        <x:f>IF(OR(J1010="심의승인",J1010="반려",J1010="반려완료",J1010="심의완료"),"종결 표시",IF(OR(J1010="기후부협의",J1010="문서재제출요청",J1010="보류",J1010="보완요청",J1010="보완완료",J1010="평가중",J1010="반려요청",J1010="평가필요",LEFT(J1010,5)="보완요청("),"미종결 표시","상태 확인 필요"))</x:f>
        <x:v>종결 표시</x:v>
      </x:c>
      <x:c r="L1010" s="2" t="str">
        <x:v>KECM_임하진</x:v>
      </x:c>
      <x:c r="M1010" s="2"/>
      <x:c r="N1010" s="8" t="n">
        <x:f>DATE(2026,10,15)-DATE(2022,1,21)</x:f>
        <x:v>1728</x:v>
      </x:c>
      <x:c r="O1010" s="2" t="str">
        <x:v>O(22.05)</x:v>
      </x:c>
      <x:c r="P1010" s="2" t="str">
        <x:v>1분기 인증위 승인</x:v>
      </x:c>
      <x:c r="Q1010" s="2" t="str">
        <x:v>산업전환_외부사업관리Tool_260707_이너젠 수정_LJY_261013.xlsx</x:v>
      </x:c>
      <x:c r="R1010" s="2" t="str">
        <x:v>국내평가</x:v>
      </x:c>
      <x:c r="S1010" s="8" t="n">
        <x:v>913</x:v>
      </x:c>
      <x:c r="T1010" s="2" t="str">
        <x:v>(2/9),(3/16)</x:v>
      </x:c>
      <x:c r="U1010" s="2" t="str">
        <x:v>2022 배정: (2/9),(3/16) / 2022 배정(신규): (6/10),(7/13),(10/19)</x:v>
      </x:c>
      <x:c r="V1010" s="2" t="str">
        <x:v>2023-04-21</x:v>
      </x:c>
      <x:c r="W1010" s="2" t="str"/>
      <x:c r="X1010" s="2" t="str">
        <x:v>종결 근거 보관</x:v>
      </x:c>
      <x:c r="Y1010" s="2" t="str">
        <x:v>ad210cd9ec132cfd447541c8984dc53d30aff0f4fb2dc92d254d49275cc55976</x:v>
      </x:c>
      <x:c r="Z1010" s="2" t="n">
        <x:f>SUBTOTAL(103,A1010)</x:f>
        <x:v>1</x:v>
      </x:c>
      <x:c r="AA1010" s="2" t="str">
        <x:f>IF(K1010&lt;&gt;"미종결 표시","대상 아님",IF(N1010="","신청일 확인",IF(NOT(ISNUMBER('종합 현황'!$H$5)),"관찰기준 확인",IF('종합 현황'!$H$5&lt;1,"관찰기준 확인",IF(N1010&gt;'종합 현황'!$H$5,"내부 관찰 대상","내부 관찰일 이하")))))</x:f>
        <x:v>대상 아님</x:v>
      </x:c>
      <x:c r="AB1010" s="2"/>
    </x:row>
    <x:row r="1011" ht="42" customHeight="1">
      <x:c r="A1011" s="2" t="str">
        <x:v>c96e45383852e0137182d1f4</x:v>
      </x:c>
      <x:c r="B1011" s="2" t="str">
        <x:v>사업 평가</x:v>
      </x:c>
      <x:c r="C1011" s="2" t="str">
        <x:v>국내</x:v>
      </x:c>
      <x:c r="D1011" s="7" t="str">
        <x:v>플루오린코리아 주식회사 육불화황 회수 및 플라즈마 분해를 통한 온실가스 배출 감축사업</x:v>
      </x:c>
      <x:c r="E1011" s="2" t="str">
        <x:v>872</x:v>
      </x:c>
      <x:c r="F1011" s="2" t="str">
        <x:v>2022-01-28</x:v>
      </x:c>
      <x:c r="G1011" s="2" t="str">
        <x:v>2022</x:v>
      </x:c>
      <x:c r="H1011" s="2" t="str">
        <x:v>01</x:v>
      </x:c>
      <x:c r="I1011" s="2" t="str">
        <x:v>사업변경 신청</x:v>
      </x:c>
      <x:c r="J1011" s="2" t="str">
        <x:v>심의승인</x:v>
      </x:c>
      <x:c r="K1011" s="2" t="str">
        <x:f>IF(OR(J1011="심의승인",J1011="반려",J1011="반려완료",J1011="심의완료"),"종결 표시",IF(OR(J1011="기후부협의",J1011="문서재제출요청",J1011="보류",J1011="보완요청",J1011="보완완료",J1011="평가중",J1011="반려요청",J1011="평가필요",LEFT(J1011,5)="보완요청("),"미종결 표시","상태 확인 필요"))</x:f>
        <x:v>종결 표시</x:v>
      </x:c>
      <x:c r="L1011" s="2"/>
      <x:c r="M1011" s="2"/>
      <x:c r="N1011" s="8" t="n">
        <x:f>DATE(2026,10,15)-DATE(2022,1,28)</x:f>
        <x:v>1721</x:v>
      </x:c>
      <x:c r="O1011" s="2" t="str">
        <x:v>생략</x:v>
      </x:c>
      <x:c r="P1011" s="2"/>
      <x:c r="Q1011" s="2" t="str">
        <x:v>산업전환_외부사업관리Tool_260707_이너젠 수정_LJY_261013.xlsx</x:v>
      </x:c>
      <x:c r="R1011" s="2" t="str">
        <x:v>국내평가</x:v>
      </x:c>
      <x:c r="S1011" s="8" t="n">
        <x:v>914</x:v>
      </x:c>
      <x:c r="T1011" s="2" t="str">
        <x:v>(2/9),(4/19)</x:v>
      </x:c>
      <x:c r="U1011" s="2" t="str">
        <x:v>2022 배정: (2/9),(4/19) / 2024 배정: (11/29) / 2025 배정: (2/6),(5/9),(8/8),(10/16),(12/1)</x:v>
      </x:c>
      <x:c r="V1011" s="2" t="str">
        <x:v>2026-06-05</x:v>
      </x:c>
      <x:c r="W1011" s="2" t="str">
        <x:v>담당기관 확인</x:v>
      </x:c>
      <x:c r="X1011" s="2" t="str">
        <x:v>원본·배정 기록 확인</x:v>
      </x:c>
      <x:c r="Y1011" s="2" t="str">
        <x:v>ad210cd9ec132cfd447541c8984dc53d30aff0f4fb2dc92d254d49275cc55976</x:v>
      </x:c>
      <x:c r="Z1011" s="2" t="n">
        <x:f>SUBTOTAL(103,A1011)</x:f>
        <x:v>1</x:v>
      </x:c>
      <x:c r="AA1011" s="2" t="str">
        <x:f>IF(K1011&lt;&gt;"미종결 표시","대상 아님",IF(N1011="","신청일 확인",IF(NOT(ISNUMBER('종합 현황'!$H$5)),"관찰기준 확인",IF('종합 현황'!$H$5&lt;1,"관찰기준 확인",IF(N1011&gt;'종합 현황'!$H$5,"내부 관찰 대상","내부 관찰일 이하")))))</x:f>
        <x:v>대상 아님</x:v>
      </x:c>
      <x:c r="AB1011" s="2"/>
    </x:row>
    <x:row r="1012" ht="42" customHeight="1">
      <x:c r="A1012" s="2" t="str">
        <x:v>4d7527a2edadcbd3114fd446</x:v>
      </x:c>
      <x:c r="B1012" s="2" t="str">
        <x:v>사업 평가</x:v>
      </x:c>
      <x:c r="C1012" s="2" t="str">
        <x:v>국내</x:v>
      </x:c>
      <x:c r="D1012" s="7" t="str">
        <x:v>삼영엠티(주) 외 8개사의 고효율 공기압축기 교체를 통한 온실가스 감축사업</x:v>
      </x:c>
      <x:c r="E1012" s="2" t="str">
        <x:v>873</x:v>
      </x:c>
      <x:c r="F1012" s="2" t="str">
        <x:v>2022-02-04</x:v>
      </x:c>
      <x:c r="G1012" s="2" t="str">
        <x:v>2022</x:v>
      </x:c>
      <x:c r="H1012" s="2" t="str">
        <x:v>02</x:v>
      </x:c>
      <x:c r="I1012" s="2" t="str">
        <x:v>반려</x:v>
      </x:c>
      <x:c r="J1012" s="2" t="str">
        <x:v>반려</x:v>
      </x:c>
      <x:c r="K1012" s="2" t="str">
        <x:f>IF(OR(J1012="심의승인",J1012="반려",J1012="반려완료",J1012="심의완료"),"종결 표시",IF(OR(J1012="기후부협의",J1012="문서재제출요청",J1012="보류",J1012="보완요청",J1012="보완완료",J1012="평가중",J1012="반려요청",J1012="평가필요",LEFT(J1012,5)="보완요청("),"미종결 표시","상태 확인 필요"))</x:f>
        <x:v>종결 표시</x:v>
      </x:c>
      <x:c r="L1012" s="2" t="str">
        <x:v>에코시안_정인혜</x:v>
      </x:c>
      <x:c r="M1012" s="2"/>
      <x:c r="N1012" s="8" t="n">
        <x:f>DATE(2026,10,15)-DATE(2022,2,4)</x:f>
        <x:v>1714</x:v>
      </x:c>
      <x:c r="O1012" s="2"/>
      <x:c r="P1012" s="2" t="str">
        <x:v>반려완료(업체 요청)</x:v>
      </x:c>
      <x:c r="Q1012" s="2" t="str">
        <x:v>산업전환_외부사업관리Tool_260707_이너젠 수정_LJY_261013.xlsx</x:v>
      </x:c>
      <x:c r="R1012" s="2" t="str">
        <x:v>국내평가</x:v>
      </x:c>
      <x:c r="S1012" s="8" t="n">
        <x:v>915</x:v>
      </x:c>
      <x:c r="T1012" s="2" t="str">
        <x:v>(2/9)</x:v>
      </x:c>
      <x:c r="U1012" s="2" t="str">
        <x:v>2022 배정: (2/9)</x:v>
      </x:c>
      <x:c r="V1012" s="2" t="str">
        <x:v>2023-03-20</x:v>
      </x:c>
      <x:c r="W1012" s="2" t="str"/>
      <x:c r="X1012" s="2" t="str">
        <x:v>종결 근거 보관</x:v>
      </x:c>
      <x:c r="Y1012" s="2" t="str">
        <x:v>ad210cd9ec132cfd447541c8984dc53d30aff0f4fb2dc92d254d49275cc55976</x:v>
      </x:c>
      <x:c r="Z1012" s="2" t="n">
        <x:f>SUBTOTAL(103,A1012)</x:f>
        <x:v>1</x:v>
      </x:c>
      <x:c r="AA1012" s="2" t="str">
        <x:f>IF(K1012&lt;&gt;"미종결 표시","대상 아님",IF(N1012="","신청일 확인",IF(NOT(ISNUMBER('종합 현황'!$H$5)),"관찰기준 확인",IF('종합 현황'!$H$5&lt;1,"관찰기준 확인",IF(N1012&gt;'종합 현황'!$H$5,"내부 관찰 대상","내부 관찰일 이하")))))</x:f>
        <x:v>대상 아님</x:v>
      </x:c>
      <x:c r="AB1012" s="2"/>
    </x:row>
    <x:row r="1013" ht="42" customHeight="1">
      <x:c r="A1013" s="2" t="str">
        <x:v>0356f565344fc2deeef1e2fe</x:v>
      </x:c>
      <x:c r="B1013" s="2" t="str">
        <x:v>사업 평가</x:v>
      </x:c>
      <x:c r="C1013" s="2" t="str">
        <x:v>국내</x:v>
      </x:c>
      <x:c r="D1013" s="7" t="str">
        <x:v>(주)대성메탈 외 11개사의 고효율 공기압축기 교체를 통한 온실가스 감축사업</x:v>
      </x:c>
      <x:c r="E1013" s="2" t="str">
        <x:v>874</x:v>
      </x:c>
      <x:c r="F1013" s="2" t="str">
        <x:v>2022-02-04</x:v>
      </x:c>
      <x:c r="G1013" s="2" t="str">
        <x:v>2022</x:v>
      </x:c>
      <x:c r="H1013" s="2" t="str">
        <x:v>02</x:v>
      </x:c>
      <x:c r="I1013" s="2" t="str">
        <x:v>반려</x:v>
      </x:c>
      <x:c r="J1013" s="2" t="str">
        <x:v>반려</x:v>
      </x:c>
      <x:c r="K1013" s="2" t="str">
        <x:f>IF(OR(J1013="심의승인",J1013="반려",J1013="반려완료",J1013="심의완료"),"종결 표시",IF(OR(J1013="기후부협의",J1013="문서재제출요청",J1013="보류",J1013="보완요청",J1013="보완완료",J1013="평가중",J1013="반려요청",J1013="평가필요",LEFT(J1013,5)="보완요청("),"미종결 표시","상태 확인 필요"))</x:f>
        <x:v>종결 표시</x:v>
      </x:c>
      <x:c r="L1013" s="2" t="str">
        <x:v>에코시안_박세은</x:v>
      </x:c>
      <x:c r="M1013" s="2"/>
      <x:c r="N1013" s="8" t="n">
        <x:f>DATE(2026,10,15)-DATE(2022,2,4)</x:f>
        <x:v>1714</x:v>
      </x:c>
      <x:c r="O1013" s="2"/>
      <x:c r="P1013" s="2" t="str">
        <x:v>반려완료(업체 요청)</x:v>
      </x:c>
      <x:c r="Q1013" s="2" t="str">
        <x:v>산업전환_외부사업관리Tool_260707_이너젠 수정_LJY_261013.xlsx</x:v>
      </x:c>
      <x:c r="R1013" s="2" t="str">
        <x:v>국내평가</x:v>
      </x:c>
      <x:c r="S1013" s="8" t="n">
        <x:v>916</x:v>
      </x:c>
      <x:c r="T1013" s="2" t="str">
        <x:v>(2/9)</x:v>
      </x:c>
      <x:c r="U1013" s="2" t="str">
        <x:v>2022 배정: (2/9)</x:v>
      </x:c>
      <x:c r="V1013" s="2" t="str">
        <x:v>2023-03-20</x:v>
      </x:c>
      <x:c r="W1013" s="2" t="str"/>
      <x:c r="X1013" s="2" t="str">
        <x:v>종결 근거 보관</x:v>
      </x:c>
      <x:c r="Y1013" s="2" t="str">
        <x:v>ad210cd9ec132cfd447541c8984dc53d30aff0f4fb2dc92d254d49275cc55976</x:v>
      </x:c>
      <x:c r="Z1013" s="2" t="n">
        <x:f>SUBTOTAL(103,A1013)</x:f>
        <x:v>1</x:v>
      </x:c>
      <x:c r="AA1013" s="2" t="str">
        <x:f>IF(K1013&lt;&gt;"미종결 표시","대상 아님",IF(N1013="","신청일 확인",IF(NOT(ISNUMBER('종합 현황'!$H$5)),"관찰기준 확인",IF('종합 현황'!$H$5&lt;1,"관찰기준 확인",IF(N1013&gt;'종합 현황'!$H$5,"내부 관찰 대상","내부 관찰일 이하")))))</x:f>
        <x:v>대상 아님</x:v>
      </x:c>
      <x:c r="AB1013" s="2"/>
    </x:row>
    <x:row r="1014" ht="42" customHeight="1">
      <x:c r="A1014" s="2" t="str">
        <x:v>4630af22b0b01416d5105079</x:v>
      </x:c>
      <x:c r="B1014" s="2" t="str">
        <x:v>사업 평가</x:v>
      </x:c>
      <x:c r="C1014" s="2" t="str">
        <x:v>국내</x:v>
      </x:c>
      <x:c r="D1014" s="7" t="str">
        <x:v>동성정공(주) 외 8개사의 고효율 공기압축기 교체를 통한 온실가스 감축사업</x:v>
      </x:c>
      <x:c r="E1014" s="2" t="str">
        <x:v>875</x:v>
      </x:c>
      <x:c r="F1014" s="2" t="str">
        <x:v>2022-02-04</x:v>
      </x:c>
      <x:c r="G1014" s="2" t="str">
        <x:v>2022</x:v>
      </x:c>
      <x:c r="H1014" s="2" t="str">
        <x:v>02</x:v>
      </x:c>
      <x:c r="I1014" s="2" t="str">
        <x:v>반려</x:v>
      </x:c>
      <x:c r="J1014" s="2" t="str">
        <x:v>반려</x:v>
      </x:c>
      <x:c r="K1014" s="2" t="str">
        <x:f>IF(OR(J1014="심의승인",J1014="반려",J1014="반려완료",J1014="심의완료"),"종결 표시",IF(OR(J1014="기후부협의",J1014="문서재제출요청",J1014="보류",J1014="보완요청",J1014="보완완료",J1014="평가중",J1014="반려요청",J1014="평가필요",LEFT(J1014,5)="보완요청("),"미종결 표시","상태 확인 필요"))</x:f>
        <x:v>종결 표시</x:v>
      </x:c>
      <x:c r="L1014" s="2" t="str">
        <x:v>에코시안_권송화</x:v>
      </x:c>
      <x:c r="M1014" s="2"/>
      <x:c r="N1014" s="8" t="n">
        <x:f>DATE(2026,10,15)-DATE(2022,2,4)</x:f>
        <x:v>1714</x:v>
      </x:c>
      <x:c r="O1014" s="2"/>
      <x:c r="P1014" s="2" t="str">
        <x:v>반려완료(업체 요청)</x:v>
      </x:c>
      <x:c r="Q1014" s="2" t="str">
        <x:v>산업전환_외부사업관리Tool_260707_이너젠 수정_LJY_261013.xlsx</x:v>
      </x:c>
      <x:c r="R1014" s="2" t="str">
        <x:v>국내평가</x:v>
      </x:c>
      <x:c r="S1014" s="8" t="n">
        <x:v>917</x:v>
      </x:c>
      <x:c r="T1014" s="2" t="str">
        <x:v>(2/9)</x:v>
      </x:c>
      <x:c r="U1014" s="2" t="str">
        <x:v>2022 배정: (2/9)</x:v>
      </x:c>
      <x:c r="V1014" s="2" t="str">
        <x:v>2023-03-20</x:v>
      </x:c>
      <x:c r="W1014" s="2" t="str"/>
      <x:c r="X1014" s="2" t="str">
        <x:v>종결 근거 보관</x:v>
      </x:c>
      <x:c r="Y1014" s="2" t="str">
        <x:v>ad210cd9ec132cfd447541c8984dc53d30aff0f4fb2dc92d254d49275cc55976</x:v>
      </x:c>
      <x:c r="Z1014" s="2" t="n">
        <x:f>SUBTOTAL(103,A1014)</x:f>
        <x:v>1</x:v>
      </x:c>
      <x:c r="AA1014" s="2" t="str">
        <x:f>IF(K1014&lt;&gt;"미종결 표시","대상 아님",IF(N1014="","신청일 확인",IF(NOT(ISNUMBER('종합 현황'!$H$5)),"관찰기준 확인",IF('종합 현황'!$H$5&lt;1,"관찰기준 확인",IF(N1014&gt;'종합 현황'!$H$5,"내부 관찰 대상","내부 관찰일 이하")))))</x:f>
        <x:v>대상 아님</x:v>
      </x:c>
      <x:c r="AB1014" s="2"/>
    </x:row>
    <x:row r="1015" ht="42" customHeight="1">
      <x:c r="A1015" s="2" t="str">
        <x:v>f288092eb3b96d93a7074bf6</x:v>
      </x:c>
      <x:c r="B1015" s="2" t="str">
        <x:v>사업 평가</x:v>
      </x:c>
      <x:c r="C1015" s="2" t="str">
        <x:v>국내</x:v>
      </x:c>
      <x:c r="D1015" s="7" t="str">
        <x:v>대원공업(주) 외 10개사의 고효율 공기압축기 교체를 통한 온실가스 감축사업</x:v>
      </x:c>
      <x:c r="E1015" s="2" t="str">
        <x:v>876</x:v>
      </x:c>
      <x:c r="F1015" s="2" t="str">
        <x:v>2022-02-04</x:v>
      </x:c>
      <x:c r="G1015" s="2" t="str">
        <x:v>2022</x:v>
      </x:c>
      <x:c r="H1015" s="2" t="str">
        <x:v>02</x:v>
      </x:c>
      <x:c r="I1015" s="2" t="str">
        <x:v>반려</x:v>
      </x:c>
      <x:c r="J1015" s="2" t="str">
        <x:v>반려</x:v>
      </x:c>
      <x:c r="K1015" s="2" t="str">
        <x:f>IF(OR(J1015="심의승인",J1015="반려",J1015="반려완료",J1015="심의완료"),"종결 표시",IF(OR(J1015="기후부협의",J1015="문서재제출요청",J1015="보류",J1015="보완요청",J1015="보완완료",J1015="평가중",J1015="반려요청",J1015="평가필요",LEFT(J1015,5)="보완요청("),"미종결 표시","상태 확인 필요"))</x:f>
        <x:v>종결 표시</x:v>
      </x:c>
      <x:c r="L1015" s="2" t="str">
        <x:v>에코시안_정다윤</x:v>
      </x:c>
      <x:c r="M1015" s="2"/>
      <x:c r="N1015" s="8" t="n">
        <x:f>DATE(2026,10,15)-DATE(2022,2,4)</x:f>
        <x:v>1714</x:v>
      </x:c>
      <x:c r="O1015" s="2"/>
      <x:c r="P1015" s="2" t="str">
        <x:v>반려완료(업체 요청)</x:v>
      </x:c>
      <x:c r="Q1015" s="2" t="str">
        <x:v>산업전환_외부사업관리Tool_260707_이너젠 수정_LJY_261013.xlsx</x:v>
      </x:c>
      <x:c r="R1015" s="2" t="str">
        <x:v>국내평가</x:v>
      </x:c>
      <x:c r="S1015" s="8" t="n">
        <x:v>918</x:v>
      </x:c>
      <x:c r="T1015" s="2" t="str">
        <x:v>(2/9)</x:v>
      </x:c>
      <x:c r="U1015" s="2" t="str">
        <x:v>2022 배정: (2/9)</x:v>
      </x:c>
      <x:c r="V1015" s="2" t="str">
        <x:v>2023-03-20</x:v>
      </x:c>
      <x:c r="W1015" s="2" t="str"/>
      <x:c r="X1015" s="2" t="str">
        <x:v>종결 근거 보관</x:v>
      </x:c>
      <x:c r="Y1015" s="2" t="str">
        <x:v>ad210cd9ec132cfd447541c8984dc53d30aff0f4fb2dc92d254d49275cc55976</x:v>
      </x:c>
      <x:c r="Z1015" s="2" t="n">
        <x:f>SUBTOTAL(103,A1015)</x:f>
        <x:v>1</x:v>
      </x:c>
      <x:c r="AA1015" s="2" t="str">
        <x:f>IF(K1015&lt;&gt;"미종결 표시","대상 아님",IF(N1015="","신청일 확인",IF(NOT(ISNUMBER('종합 현황'!$H$5)),"관찰기준 확인",IF('종합 현황'!$H$5&lt;1,"관찰기준 확인",IF(N1015&gt;'종합 현황'!$H$5,"내부 관찰 대상","내부 관찰일 이하")))))</x:f>
        <x:v>대상 아님</x:v>
      </x:c>
      <x:c r="AB1015" s="2"/>
    </x:row>
    <x:row r="1016" ht="42" customHeight="1">
      <x:c r="A1016" s="2" t="str">
        <x:v>b8620bc2285ccdb87b88545f</x:v>
      </x:c>
      <x:c r="B1016" s="2" t="str">
        <x:v>사업 평가</x:v>
      </x:c>
      <x:c r="C1016" s="2" t="str">
        <x:v>국내</x:v>
      </x:c>
      <x:c r="D1016" s="7" t="str">
        <x:v>나라엠앤디(주) 외 12개사의 고효율 공기압축기 교체를 통한 온실가스 감축사업</x:v>
      </x:c>
      <x:c r="E1016" s="2" t="str">
        <x:v>877</x:v>
      </x:c>
      <x:c r="F1016" s="2" t="str">
        <x:v>2022-02-07</x:v>
      </x:c>
      <x:c r="G1016" s="2" t="str">
        <x:v>2022</x:v>
      </x:c>
      <x:c r="H1016" s="2" t="str">
        <x:v>02</x:v>
      </x:c>
      <x:c r="I1016" s="2" t="str">
        <x:v>반려</x:v>
      </x:c>
      <x:c r="J1016" s="2" t="str">
        <x:v>반려</x:v>
      </x:c>
      <x:c r="K1016" s="2" t="str">
        <x:f>IF(OR(J1016="심의승인",J1016="반려",J1016="반려완료",J1016="심의완료"),"종결 표시",IF(OR(J1016="기후부협의",J1016="문서재제출요청",J1016="보류",J1016="보완요청",J1016="보완완료",J1016="평가중",J1016="반려요청",J1016="평가필요",LEFT(J1016,5)="보완요청("),"미종결 표시","상태 확인 필요"))</x:f>
        <x:v>종결 표시</x:v>
      </x:c>
      <x:c r="L1016" s="2" t="str">
        <x:v>에코시안_조혜민</x:v>
      </x:c>
      <x:c r="M1016" s="2"/>
      <x:c r="N1016" s="8" t="n">
        <x:f>DATE(2026,10,15)-DATE(2022,2,7)</x:f>
        <x:v>1711</x:v>
      </x:c>
      <x:c r="O1016" s="2"/>
      <x:c r="P1016" s="2" t="str">
        <x:v>반려완료(업체 요청)</x:v>
      </x:c>
      <x:c r="Q1016" s="2" t="str">
        <x:v>산업전환_외부사업관리Tool_260707_이너젠 수정_LJY_261013.xlsx</x:v>
      </x:c>
      <x:c r="R1016" s="2" t="str">
        <x:v>국내평가</x:v>
      </x:c>
      <x:c r="S1016" s="8" t="n">
        <x:v>919</x:v>
      </x:c>
      <x:c r="T1016" s="2" t="str">
        <x:v>(2/9)</x:v>
      </x:c>
      <x:c r="U1016" s="2" t="str">
        <x:v>2022 배정: (2/9)</x:v>
      </x:c>
      <x:c r="V1016" s="2" t="str">
        <x:v>2023-03-20</x:v>
      </x:c>
      <x:c r="W1016" s="2" t="str"/>
      <x:c r="X1016" s="2" t="str">
        <x:v>종결 근거 보관</x:v>
      </x:c>
      <x:c r="Y1016" s="2" t="str">
        <x:v>ad210cd9ec132cfd447541c8984dc53d30aff0f4fb2dc92d254d49275cc55976</x:v>
      </x:c>
      <x:c r="Z1016" s="2" t="n">
        <x:f>SUBTOTAL(103,A1016)</x:f>
        <x:v>1</x:v>
      </x:c>
      <x:c r="AA1016" s="2" t="str">
        <x:f>IF(K1016&lt;&gt;"미종결 표시","대상 아님",IF(N1016="","신청일 확인",IF(NOT(ISNUMBER('종합 현황'!$H$5)),"관찰기준 확인",IF('종합 현황'!$H$5&lt;1,"관찰기준 확인",IF(N1016&gt;'종합 현황'!$H$5,"내부 관찰 대상","내부 관찰일 이하")))))</x:f>
        <x:v>대상 아님</x:v>
      </x:c>
      <x:c r="AB1016" s="2"/>
    </x:row>
    <x:row r="1017" ht="42" customHeight="1">
      <x:c r="A1017" s="2" t="str">
        <x:v>934b2a9eee7b4f80143387d7</x:v>
      </x:c>
      <x:c r="B1017" s="2" t="str">
        <x:v>사업 평가</x:v>
      </x:c>
      <x:c r="C1017" s="2" t="str">
        <x:v>국내</x:v>
      </x:c>
      <x:c r="D1017" s="7" t="str">
        <x:v>대길산업 외 10개사의 고효율 공기압축기 교체를 통한 온실가스 감축사업</x:v>
      </x:c>
      <x:c r="E1017" s="2" t="str">
        <x:v>878</x:v>
      </x:c>
      <x:c r="F1017" s="2" t="str">
        <x:v>2022-04-11</x:v>
      </x:c>
      <x:c r="G1017" s="2" t="str">
        <x:v>2022</x:v>
      </x:c>
      <x:c r="H1017" s="2" t="str">
        <x:v>04</x:v>
      </x:c>
      <x:c r="I1017" s="2" t="str">
        <x:v>승인</x:v>
      </x:c>
      <x:c r="J1017" s="2" t="str">
        <x:v>심의승인</x:v>
      </x:c>
      <x:c r="K1017" s="2" t="str">
        <x:f>IF(OR(J1017="심의승인",J1017="반려",J1017="반려완료",J1017="심의완료"),"종결 표시",IF(OR(J1017="기후부협의",J1017="문서재제출요청",J1017="보류",J1017="보완요청",J1017="보완완료",J1017="평가중",J1017="반려요청",J1017="평가필요",LEFT(J1017,5)="보완요청("),"미종결 표시","상태 확인 필요"))</x:f>
        <x:v>종결 표시</x:v>
      </x:c>
      <x:c r="L1017" s="2" t="str">
        <x:v>에코시안_조영우</x:v>
      </x:c>
      <x:c r="M1017" s="2"/>
      <x:c r="N1017" s="8" t="n">
        <x:f>DATE(2026,10,15)-DATE(2022,4,11)</x:f>
        <x:v>1648</x:v>
      </x:c>
      <x:c r="O1017" s="2" t="str">
        <x:v>생략</x:v>
      </x:c>
      <x:c r="P1017" s="2" t="str">
        <x:v> </x:v>
      </x:c>
      <x:c r="Q1017" s="2" t="str">
        <x:v>산업전환_외부사업관리Tool_260707_이너젠 수정_LJY_261013.xlsx</x:v>
      </x:c>
      <x:c r="R1017" s="2" t="str">
        <x:v>국내평가</x:v>
      </x:c>
      <x:c r="S1017" s="8" t="n">
        <x:v>920</x:v>
      </x:c>
      <x:c r="T1017" s="2" t="str">
        <x:v>(3/16)</x:v>
      </x:c>
      <x:c r="U1017" s="2" t="str">
        <x:v>2022 배정: (3/16) / 2023 배정: (2/17),(4/21),(5/16)</x:v>
      </x:c>
      <x:c r="V1017" s="2" t="str">
        <x:v>2023-10-07</x:v>
      </x:c>
      <x:c r="W1017" s="2" t="str"/>
      <x:c r="X1017" s="2" t="str">
        <x:v>종결 근거 보관</x:v>
      </x:c>
      <x:c r="Y1017" s="2" t="str">
        <x:v>ad210cd9ec132cfd447541c8984dc53d30aff0f4fb2dc92d254d49275cc55976</x:v>
      </x:c>
      <x:c r="Z1017" s="2" t="n">
        <x:f>SUBTOTAL(103,A1017)</x:f>
        <x:v>1</x:v>
      </x:c>
      <x:c r="AA1017" s="2" t="str">
        <x:f>IF(K1017&lt;&gt;"미종결 표시","대상 아님",IF(N1017="","신청일 확인",IF(NOT(ISNUMBER('종합 현황'!$H$5)),"관찰기준 확인",IF('종합 현황'!$H$5&lt;1,"관찰기준 확인",IF(N1017&gt;'종합 현황'!$H$5,"내부 관찰 대상","내부 관찰일 이하")))))</x:f>
        <x:v>대상 아님</x:v>
      </x:c>
      <x:c r="AB1017" s="2"/>
    </x:row>
    <x:row r="1018" ht="42" customHeight="1">
      <x:c r="A1018" s="2" t="str">
        <x:v>5cfc51abcd061c0bfa3c8565</x:v>
      </x:c>
      <x:c r="B1018" s="2" t="str">
        <x:v>사업 평가</x:v>
      </x:c>
      <x:c r="C1018" s="2" t="str">
        <x:v>국내</x:v>
      </x:c>
      <x:c r="D1018" s="7" t="str">
        <x:v>한성아스콘(주) 경산공장 연료전환(B-C유→LNG) 사업</x:v>
      </x:c>
      <x:c r="E1018" s="2" t="str">
        <x:v>879</x:v>
      </x:c>
      <x:c r="F1018" s="2" t="str">
        <x:v>2022-02-26</x:v>
      </x:c>
      <x:c r="G1018" s="2" t="str">
        <x:v>2022</x:v>
      </x:c>
      <x:c r="H1018" s="2" t="str">
        <x:v>02</x:v>
      </x:c>
      <x:c r="I1018" s="2" t="str">
        <x:v>승인</x:v>
      </x:c>
      <x:c r="J1018" s="2" t="str">
        <x:v>심의승인</x:v>
      </x:c>
      <x:c r="K1018" s="2" t="str">
        <x:f>IF(OR(J1018="심의승인",J1018="반려",J1018="반려완료",J1018="심의완료"),"종결 표시",IF(OR(J1018="기후부협의",J1018="문서재제출요청",J1018="보류",J1018="보완요청",J1018="보완완료",J1018="평가중",J1018="반려요청",J1018="평가필요",LEFT(J1018,5)="보완요청("),"미종결 표시","상태 확인 필요"))</x:f>
        <x:v>종결 표시</x:v>
      </x:c>
      <x:c r="L1018" s="2" t="str">
        <x:v>에코시안_조영우</x:v>
      </x:c>
      <x:c r="M1018" s="2"/>
      <x:c r="N1018" s="8" t="n">
        <x:f>DATE(2026,10,15)-DATE(2022,2,26)</x:f>
        <x:v>1692</x:v>
      </x:c>
      <x:c r="O1018" s="2" t="str">
        <x:v>생략</x:v>
      </x:c>
      <x:c r="P1018" s="2"/>
      <x:c r="Q1018" s="2" t="str">
        <x:v>산업전환_외부사업관리Tool_260707_이너젠 수정_LJY_261013.xlsx</x:v>
      </x:c>
      <x:c r="R1018" s="2" t="str">
        <x:v>국내평가</x:v>
      </x:c>
      <x:c r="S1018" s="8" t="n">
        <x:v>921</x:v>
      </x:c>
      <x:c r="T1018" s="2" t="str">
        <x:v>(3/16)</x:v>
      </x:c>
      <x:c r="U1018" s="2" t="str">
        <x:v>2022 배정: (3/16) / 2022 배정(신규): (6/10),(8/16),(10/19),(12/27) / 2023 배정: (3/13),(5/16)</x:v>
      </x:c>
      <x:c r="V1018" s="2" t="str">
        <x:v>2023-12-14</x:v>
      </x:c>
      <x:c r="W1018" s="2" t="str"/>
      <x:c r="X1018" s="2" t="str">
        <x:v>종결 근거 보관</x:v>
      </x:c>
      <x:c r="Y1018" s="2" t="str">
        <x:v>ad210cd9ec132cfd447541c8984dc53d30aff0f4fb2dc92d254d49275cc55976</x:v>
      </x:c>
      <x:c r="Z1018" s="2" t="n">
        <x:f>SUBTOTAL(103,A1018)</x:f>
        <x:v>1</x:v>
      </x:c>
      <x:c r="AA1018" s="2" t="str">
        <x:f>IF(K1018&lt;&gt;"미종결 표시","대상 아님",IF(N1018="","신청일 확인",IF(NOT(ISNUMBER('종합 현황'!$H$5)),"관찰기준 확인",IF('종합 현황'!$H$5&lt;1,"관찰기준 확인",IF(N1018&gt;'종합 현황'!$H$5,"내부 관찰 대상","내부 관찰일 이하")))))</x:f>
        <x:v>대상 아님</x:v>
      </x:c>
      <x:c r="AB1018" s="2"/>
    </x:row>
    <x:row r="1019" ht="42" customHeight="1">
      <x:c r="A1019" s="2" t="str">
        <x:v>9d8c7c6f40d92a384083cf48</x:v>
      </x:c>
      <x:c r="B1019" s="2" t="str">
        <x:v>사업 평가</x:v>
      </x:c>
      <x:c r="C1019" s="2" t="str">
        <x:v>국내</x:v>
      </x:c>
      <x:c r="D1019" s="7" t="str">
        <x:v>대양전기공업(주) 외 10개사의 고효율 공기압축기 교체를 통한 온실가스 감축사업</x:v>
      </x:c>
      <x:c r="E1019" s="2" t="str">
        <x:v>880</x:v>
      </x:c>
      <x:c r="F1019" s="2" t="str">
        <x:v>2022-04-05</x:v>
      </x:c>
      <x:c r="G1019" s="2" t="str">
        <x:v>2022</x:v>
      </x:c>
      <x:c r="H1019" s="2" t="str">
        <x:v>04</x:v>
      </x:c>
      <x:c r="I1019" s="2" t="str">
        <x:v>사업변경 신청</x:v>
      </x:c>
      <x:c r="J1019" s="2" t="str">
        <x:v>심의승인</x:v>
      </x:c>
      <x:c r="K1019" s="2" t="str">
        <x:f>IF(OR(J1019="심의승인",J1019="반려",J1019="반려완료",J1019="심의완료"),"종결 표시",IF(OR(J1019="기후부협의",J1019="문서재제출요청",J1019="보류",J1019="보완요청",J1019="보완완료",J1019="평가중",J1019="반려요청",J1019="평가필요",LEFT(J1019,5)="보완요청("),"미종결 표시","상태 확인 필요"))</x:f>
        <x:v>종결 표시</x:v>
      </x:c>
      <x:c r="L1019" s="2" t="str">
        <x:v>KECM_김민정</x:v>
      </x:c>
      <x:c r="M1019" s="2"/>
      <x:c r="N1019" s="8" t="n">
        <x:f>DATE(2026,10,15)-DATE(2022,4,5)</x:f>
        <x:v>1654</x:v>
      </x:c>
      <x:c r="O1019" s="2" t="str">
        <x:v>생략</x:v>
      </x:c>
      <x:c r="P1019" s="2"/>
      <x:c r="Q1019" s="2" t="str">
        <x:v>산업전환_외부사업관리Tool_260707_이너젠 수정_LJY_261013.xlsx</x:v>
      </x:c>
      <x:c r="R1019" s="2" t="str">
        <x:v>국내평가</x:v>
      </x:c>
      <x:c r="S1019" s="8" t="n">
        <x:v>922</x:v>
      </x:c>
      <x:c r="T1019" s="2" t="str">
        <x:v>(4/19)</x:v>
      </x:c>
      <x:c r="U1019" s="2" t="str">
        <x:v>2022 배정: (4/19) / 2022 배정(신규): (5/18),(7/13) / 2023 배정: (4/3),(5/16)</x:v>
      </x:c>
      <x:c r="V1019" s="2" t="str">
        <x:v>2023-09-21</x:v>
      </x:c>
      <x:c r="W1019" s="2" t="str"/>
      <x:c r="X1019" s="2" t="str">
        <x:v>종결 근거 보관</x:v>
      </x:c>
      <x:c r="Y1019" s="2" t="str">
        <x:v>ad210cd9ec132cfd447541c8984dc53d30aff0f4fb2dc92d254d49275cc55976</x:v>
      </x:c>
      <x:c r="Z1019" s="2" t="n">
        <x:f>SUBTOTAL(103,A1019)</x:f>
        <x:v>1</x:v>
      </x:c>
      <x:c r="AA1019" s="2" t="str">
        <x:f>IF(K1019&lt;&gt;"미종결 표시","대상 아님",IF(N1019="","신청일 확인",IF(NOT(ISNUMBER('종합 현황'!$H$5)),"관찰기준 확인",IF('종합 현황'!$H$5&lt;1,"관찰기준 확인",IF(N1019&gt;'종합 현황'!$H$5,"내부 관찰 대상","내부 관찰일 이하")))))</x:f>
        <x:v>대상 아님</x:v>
      </x:c>
      <x:c r="AB1019" s="2"/>
    </x:row>
    <x:row r="1020" ht="42" customHeight="1">
      <x:c r="A1020" s="2" t="str">
        <x:v>a570e21aceeca79f2b462b16</x:v>
      </x:c>
      <x:c r="B1020" s="2" t="str">
        <x:v>사업 평가</x:v>
      </x:c>
      <x:c r="C1020" s="2" t="str">
        <x:v>국내</x:v>
      </x:c>
      <x:c r="D1020" s="7" t="str">
        <x:v>(주)델릭스 외 8개사의 고효율 공기압축기 교체를 통한 온실가스 감축사업</x:v>
      </x:c>
      <x:c r="E1020" s="2" t="str">
        <x:v>881</x:v>
      </x:c>
      <x:c r="F1020" s="2" t="str">
        <x:v>2022-04-05</x:v>
      </x:c>
      <x:c r="G1020" s="2" t="str">
        <x:v>2022</x:v>
      </x:c>
      <x:c r="H1020" s="2" t="str">
        <x:v>04</x:v>
      </x:c>
      <x:c r="I1020" s="2" t="str">
        <x:v>승인</x:v>
      </x:c>
      <x:c r="J1020" s="2" t="str">
        <x:v>심의승인</x:v>
      </x:c>
      <x:c r="K1020" s="2" t="str">
        <x:f>IF(OR(J1020="심의승인",J1020="반려",J1020="반려완료",J1020="심의완료"),"종결 표시",IF(OR(J1020="기후부협의",J1020="문서재제출요청",J1020="보류",J1020="보완요청",J1020="보완완료",J1020="평가중",J1020="반려요청",J1020="평가필요",LEFT(J1020,5)="보완요청("),"미종결 표시","상태 확인 필요"))</x:f>
        <x:v>종결 표시</x:v>
      </x:c>
      <x:c r="L1020" s="2" t="str">
        <x:v>KECM_이태준</x:v>
      </x:c>
      <x:c r="M1020" s="2"/>
      <x:c r="N1020" s="8" t="n">
        <x:f>DATE(2026,10,15)-DATE(2022,4,5)</x:f>
        <x:v>1654</x:v>
      </x:c>
      <x:c r="O1020" s="2" t="str">
        <x:v>생략</x:v>
      </x:c>
      <x:c r="P1020" s="2"/>
      <x:c r="Q1020" s="2" t="str">
        <x:v>산업전환_외부사업관리Tool_260707_이너젠 수정_LJY_261013.xlsx</x:v>
      </x:c>
      <x:c r="R1020" s="2" t="str">
        <x:v>국내평가</x:v>
      </x:c>
      <x:c r="S1020" s="8" t="n">
        <x:v>923</x:v>
      </x:c>
      <x:c r="T1020" s="2" t="str">
        <x:v>(4/19)</x:v>
      </x:c>
      <x:c r="U1020" s="2" t="str">
        <x:v>2022 배정: (4/19) / 2022 배정(신규): (6/10),(7/13)</x:v>
      </x:c>
      <x:c r="V1020" s="2" t="str">
        <x:v>2023-01-04</x:v>
      </x:c>
      <x:c r="W1020" s="2" t="str"/>
      <x:c r="X1020" s="2" t="str">
        <x:v>종결 근거 보관</x:v>
      </x:c>
      <x:c r="Y1020" s="2" t="str">
        <x:v>ad210cd9ec132cfd447541c8984dc53d30aff0f4fb2dc92d254d49275cc55976</x:v>
      </x:c>
      <x:c r="Z1020" s="2" t="n">
        <x:f>SUBTOTAL(103,A1020)</x:f>
        <x:v>1</x:v>
      </x:c>
      <x:c r="AA1020" s="2" t="str">
        <x:f>IF(K1020&lt;&gt;"미종결 표시","대상 아님",IF(N1020="","신청일 확인",IF(NOT(ISNUMBER('종합 현황'!$H$5)),"관찰기준 확인",IF('종합 현황'!$H$5&lt;1,"관찰기준 확인",IF(N1020&gt;'종합 현황'!$H$5,"내부 관찰 대상","내부 관찰일 이하")))))</x:f>
        <x:v>대상 아님</x:v>
      </x:c>
      <x:c r="AB1020" s="2"/>
    </x:row>
    <x:row r="1021" ht="42" customHeight="1">
      <x:c r="A1021" s="2" t="str">
        <x:v>a4d4506ba7c7c6a44153a205</x:v>
      </x:c>
      <x:c r="B1021" s="2" t="str">
        <x:v>사업 평가</x:v>
      </x:c>
      <x:c r="C1021" s="2" t="str">
        <x:v>국내</x:v>
      </x:c>
      <x:c r="D1021" s="7" t="str">
        <x:v>주식회사 대성메탈 외 9개사의 고효율 공기압축기 교체를 통한 온실가스 감축사업</x:v>
      </x:c>
      <x:c r="E1021" s="2" t="str">
        <x:v>882</x:v>
      </x:c>
      <x:c r="F1021" s="2" t="str">
        <x:v>2022-04-05</x:v>
      </x:c>
      <x:c r="G1021" s="2" t="str">
        <x:v>2022</x:v>
      </x:c>
      <x:c r="H1021" s="2" t="str">
        <x:v>04</x:v>
      </x:c>
      <x:c r="I1021" s="2" t="str">
        <x:v>사업변경 신청</x:v>
      </x:c>
      <x:c r="J1021" s="2" t="str">
        <x:v>심의승인</x:v>
      </x:c>
      <x:c r="K1021" s="2" t="str">
        <x:f>IF(OR(J1021="심의승인",J1021="반려",J1021="반려완료",J1021="심의완료"),"종결 표시",IF(OR(J1021="기후부협의",J1021="문서재제출요청",J1021="보류",J1021="보완요청",J1021="보완완료",J1021="평가중",J1021="반려요청",J1021="평가필요",LEFT(J1021,5)="보완요청("),"미종결 표시","상태 확인 필요"))</x:f>
        <x:v>종결 표시</x:v>
      </x:c>
      <x:c r="L1021" s="2" t="str">
        <x:v>KECM_김민정</x:v>
      </x:c>
      <x:c r="M1021" s="2"/>
      <x:c r="N1021" s="8" t="n">
        <x:f>DATE(2026,10,15)-DATE(2022,4,5)</x:f>
        <x:v>1654</x:v>
      </x:c>
      <x:c r="O1021" s="2" t="str">
        <x:v>생략</x:v>
      </x:c>
      <x:c r="P1021" s="2"/>
      <x:c r="Q1021" s="2" t="str">
        <x:v>산업전환_외부사업관리Tool_260707_이너젠 수정_LJY_261013.xlsx</x:v>
      </x:c>
      <x:c r="R1021" s="2" t="str">
        <x:v>국내평가</x:v>
      </x:c>
      <x:c r="S1021" s="8" t="n">
        <x:v>924</x:v>
      </x:c>
      <x:c r="T1021" s="2" t="str">
        <x:v>(4/19)</x:v>
      </x:c>
      <x:c r="U1021" s="2" t="str">
        <x:v>2022 배정: (4/19) / 2022 배정(신규): (6/10),(7/13) / 2023 배정: (4/3),(5/16)</x:v>
      </x:c>
      <x:c r="V1021" s="2" t="str">
        <x:v>2023-09-21</x:v>
      </x:c>
      <x:c r="W1021" s="2" t="str"/>
      <x:c r="X1021" s="2" t="str">
        <x:v>종결 근거 보관</x:v>
      </x:c>
      <x:c r="Y1021" s="2" t="str">
        <x:v>ad210cd9ec132cfd447541c8984dc53d30aff0f4fb2dc92d254d49275cc55976</x:v>
      </x:c>
      <x:c r="Z1021" s="2" t="n">
        <x:f>SUBTOTAL(103,A1021)</x:f>
        <x:v>1</x:v>
      </x:c>
      <x:c r="AA1021" s="2" t="str">
        <x:f>IF(K1021&lt;&gt;"미종결 표시","대상 아님",IF(N1021="","신청일 확인",IF(NOT(ISNUMBER('종합 현황'!$H$5)),"관찰기준 확인",IF('종합 현황'!$H$5&lt;1,"관찰기준 확인",IF(N1021&gt;'종합 현황'!$H$5,"내부 관찰 대상","내부 관찰일 이하")))))</x:f>
        <x:v>대상 아님</x:v>
      </x:c>
      <x:c r="AB1021" s="2"/>
    </x:row>
    <x:row r="1022" ht="42" customHeight="1">
      <x:c r="A1022" s="2" t="str">
        <x:v>9d48dd5fb27ec365898ddb41</x:v>
      </x:c>
      <x:c r="B1022" s="2" t="str">
        <x:v>사업 평가</x:v>
      </x:c>
      <x:c r="C1022" s="2" t="str">
        <x:v>국내</x:v>
      </x:c>
      <x:c r="D1022" s="7" t="str">
        <x:v>(주)유성에프티 고효율 공기압축기 교체를 통한 온실가스 감축사업</x:v>
      </x:c>
      <x:c r="E1022" s="2" t="str">
        <x:v>883</x:v>
      </x:c>
      <x:c r="F1022" s="2" t="str">
        <x:v>2019-05-30</x:v>
      </x:c>
      <x:c r="G1022" s="2" t="str">
        <x:v>2019</x:v>
      </x:c>
      <x:c r="H1022" s="2" t="str">
        <x:v>05</x:v>
      </x:c>
      <x:c r="I1022" s="2" t="str">
        <x:v>승인</x:v>
      </x:c>
      <x:c r="J1022" s="2" t="str">
        <x:v>심의승인</x:v>
      </x:c>
      <x:c r="K1022" s="2" t="str">
        <x:f>IF(OR(J1022="심의승인",J1022="반려",J1022="반려완료",J1022="심의완료"),"종결 표시",IF(OR(J1022="기후부협의",J1022="문서재제출요청",J1022="보류",J1022="보완요청",J1022="보완완료",J1022="평가중",J1022="반려요청",J1022="평가필요",LEFT(J1022,5)="보완요청("),"미종결 표시","상태 확인 필요"))</x:f>
        <x:v>종결 표시</x:v>
      </x:c>
      <x:c r="L1022" s="2" t="str">
        <x:v>에코시안_정다윤</x:v>
      </x:c>
      <x:c r="M1022" s="2"/>
      <x:c r="N1022" s="8" t="n">
        <x:f>DATE(2026,10,15)-DATE(2019,5,30)</x:f>
        <x:v>2695</x:v>
      </x:c>
      <x:c r="O1022" s="2" t="str">
        <x:v>O(21.09)</x:v>
      </x:c>
      <x:c r="P1022" s="2"/>
      <x:c r="Q1022" s="2" t="str">
        <x:v>산업전환_외부사업관리Tool_260707_이너젠 수정_LJY_261013.xlsx</x:v>
      </x:c>
      <x:c r="R1022" s="2" t="str">
        <x:v>국내평가</x:v>
      </x:c>
      <x:c r="S1022" s="8" t="n">
        <x:v>925</x:v>
      </x:c>
      <x:c r="T1022" s="2" t="str">
        <x:v>(7/12),(9/1),(12/1)</x:v>
      </x:c>
      <x:c r="U1022" s="2" t="str">
        <x:v>2021 배정: (7/12),(9/1),(12/1) / 2022 배정(신규): (5/18),(9/19) / 2025 배정: (1/8),(10/16)</x:v>
      </x:c>
      <x:c r="V1022" s="2" t="str">
        <x:v>2026-06-05</x:v>
      </x:c>
      <x:c r="W1022" s="2" t="str"/>
      <x:c r="X1022" s="2" t="str">
        <x:v>종결 근거 보관</x:v>
      </x:c>
      <x:c r="Y1022" s="2" t="str">
        <x:v>ad210cd9ec132cfd447541c8984dc53d30aff0f4fb2dc92d254d49275cc55976</x:v>
      </x:c>
      <x:c r="Z1022" s="2" t="n">
        <x:f>SUBTOTAL(103,A1022)</x:f>
        <x:v>1</x:v>
      </x:c>
      <x:c r="AA1022" s="2" t="str">
        <x:f>IF(K1022&lt;&gt;"미종결 표시","대상 아님",IF(N1022="","신청일 확인",IF(NOT(ISNUMBER('종합 현황'!$H$5)),"관찰기준 확인",IF('종합 현황'!$H$5&lt;1,"관찰기준 확인",IF(N1022&gt;'종합 현황'!$H$5,"내부 관찰 대상","내부 관찰일 이하")))))</x:f>
        <x:v>대상 아님</x:v>
      </x:c>
      <x:c r="AB1022" s="2"/>
    </x:row>
    <x:row r="1023" ht="42" customHeight="1">
      <x:c r="A1023" s="2" t="str">
        <x:v>ed39d87b601df418df94dcce</x:v>
      </x:c>
      <x:c r="B1023" s="2" t="str">
        <x:v>사업 평가</x:v>
      </x:c>
      <x:c r="C1023" s="2" t="str">
        <x:v>국내</x:v>
      </x:c>
      <x:c r="D1023" s="7" t="str">
        <x:v>제일사료(주) 함안공장 연료전환(B-C유→LNG) 사업</x:v>
      </x:c>
      <x:c r="E1023" s="2" t="str">
        <x:v>884</x:v>
      </x:c>
      <x:c r="F1023" s="2" t="str">
        <x:v>2021-09-02</x:v>
      </x:c>
      <x:c r="G1023" s="2" t="str">
        <x:v>2021</x:v>
      </x:c>
      <x:c r="H1023" s="2" t="str">
        <x:v>09</x:v>
      </x:c>
      <x:c r="I1023" s="2" t="str">
        <x:v>승인</x:v>
      </x:c>
      <x:c r="J1023" s="2" t="str">
        <x:v>심의승인</x:v>
      </x:c>
      <x:c r="K1023" s="2" t="str">
        <x:f>IF(OR(J1023="심의승인",J1023="반려",J1023="반려완료",J1023="심의완료"),"종결 표시",IF(OR(J1023="기후부협의",J1023="문서재제출요청",J1023="보류",J1023="보완요청",J1023="보완완료",J1023="평가중",J1023="반려요청",J1023="평가필요",LEFT(J1023,5)="보완요청("),"미종결 표시","상태 확인 필요"))</x:f>
        <x:v>종결 표시</x:v>
      </x:c>
      <x:c r="L1023" s="2" t="str">
        <x:v>KECM_임하진</x:v>
      </x:c>
      <x:c r="M1023" s="2"/>
      <x:c r="N1023" s="8" t="n">
        <x:f>DATE(2026,10,15)-DATE(2021,9,2)</x:f>
        <x:v>1869</x:v>
      </x:c>
      <x:c r="O1023" s="2" t="str">
        <x:v>O(21.10)</x:v>
      </x:c>
      <x:c r="P1023" s="2" t="str">
        <x:v>1분기 인증위 승인</x:v>
      </x:c>
      <x:c r="Q1023" s="2" t="str">
        <x:v>산업전환_외부사업관리Tool_260707_이너젠 수정_LJY_261013.xlsx</x:v>
      </x:c>
      <x:c r="R1023" s="2" t="str">
        <x:v>국내평가</x:v>
      </x:c>
      <x:c r="S1023" s="8" t="n">
        <x:v>926</x:v>
      </x:c>
      <x:c r="T1023" s="2" t="str">
        <x:v>(9/14),(12/1)</x:v>
      </x:c>
      <x:c r="U1023" s="2" t="str">
        <x:v>2021 배정: (9/14),(12/1) / 2022 배정: (1/18),(3/16) / 2022 배정(신규): (6/10)</x:v>
      </x:c>
      <x:c r="V1023" s="2" t="str">
        <x:v>2023-03-17</x:v>
      </x:c>
      <x:c r="W1023" s="2" t="str"/>
      <x:c r="X1023" s="2" t="str">
        <x:v>종결 근거 보관</x:v>
      </x:c>
      <x:c r="Y1023" s="2" t="str">
        <x:v>ad210cd9ec132cfd447541c8984dc53d30aff0f4fb2dc92d254d49275cc55976</x:v>
      </x:c>
      <x:c r="Z1023" s="2" t="n">
        <x:f>SUBTOTAL(103,A1023)</x:f>
        <x:v>1</x:v>
      </x:c>
      <x:c r="AA1023" s="2" t="str">
        <x:f>IF(K1023&lt;&gt;"미종결 표시","대상 아님",IF(N1023="","신청일 확인",IF(NOT(ISNUMBER('종합 현황'!$H$5)),"관찰기준 확인",IF('종합 현황'!$H$5&lt;1,"관찰기준 확인",IF(N1023&gt;'종합 현황'!$H$5,"내부 관찰 대상","내부 관찰일 이하")))))</x:f>
        <x:v>대상 아님</x:v>
      </x:c>
      <x:c r="AB1023" s="2"/>
    </x:row>
    <x:row r="1024" ht="42" customHeight="1">
      <x:c r="A1024" s="2" t="str">
        <x:v>5e1ce64965fe3a58da1fefca</x:v>
      </x:c>
      <x:c r="B1024" s="2" t="str">
        <x:v>사업 평가</x:v>
      </x:c>
      <x:c r="C1024" s="2" t="str">
        <x:v>국내</x:v>
      </x:c>
      <x:c r="D1024" s="7" t="str">
        <x:v>공동주택 태양광 발전사업 2011-LH-001-01457</x:v>
      </x:c>
      <x:c r="E1024" s="2" t="str">
        <x:v>885</x:v>
      </x:c>
      <x:c r="F1024" s="2" t="str">
        <x:v>2024-06-24</x:v>
      </x:c>
      <x:c r="G1024" s="2" t="str">
        <x:v>2024</x:v>
      </x:c>
      <x:c r="H1024" s="2" t="str">
        <x:v>06</x:v>
      </x:c>
      <x:c r="I1024" s="2" t="str">
        <x:v>인증유효기간 갱신</x:v>
      </x:c>
      <x:c r="J1024" s="2" t="str">
        <x:v>평가중</x:v>
      </x:c>
      <x:c r="K1024" s="2" t="str">
        <x:f>IF(OR(J1024="심의승인",J1024="반려",J1024="반려완료",J1024="심의완료"),"종결 표시",IF(OR(J1024="기후부협의",J1024="문서재제출요청",J1024="보류",J1024="보완요청",J1024="보완완료",J1024="평가중",J1024="반려요청",J1024="평가필요",LEFT(J1024,5)="보완요청("),"미종결 표시","상태 확인 필요"))</x:f>
        <x:v>미종결 표시</x:v>
      </x:c>
      <x:c r="L1024" s="2" t="str">
        <x:v>에코시안_정인혜&gt;박세은</x:v>
      </x:c>
      <x:c r="M1024" s="2"/>
      <x:c r="N1024" s="8" t="n">
        <x:f>DATE(2026,10,15)-DATE(2024,6,24)</x:f>
        <x:v>843</x:v>
      </x:c>
      <x:c r="O1024" s="2" t="str">
        <x:v>생략</x:v>
      </x:c>
      <x:c r="P1024" s="2" t="str">
        <x:v>CDM 감축실적 확보 후 갱신 가능(인증유효기간 5년 변경 건 사업자 안내 완료)</x:v>
      </x:c>
      <x:c r="Q1024" s="2" t="str">
        <x:v>산업전환_외부사업관리Tool_260707_이너젠 수정_LJY_261013.xlsx</x:v>
      </x:c>
      <x:c r="R1024" s="2" t="str">
        <x:v>국내평가</x:v>
      </x:c>
      <x:c r="S1024" s="8" t="n">
        <x:v>927</x:v>
      </x:c>
      <x:c r="T1024" s="2" t="str">
        <x:v>(3/16)</x:v>
      </x:c>
      <x:c r="U1024" s="2" t="str">
        <x:v>2022 배정: (3/16) / 2022 배정(신규): (5/18),(7/13) / 2023 배정: (8/30) / 2024 배정: (7/1) / 2026(사전): (6/16)</x:v>
      </x:c>
      <x:c r="V1024" s="2" t="str">
        <x:v>2026-06-09</x:v>
      </x:c>
      <x:c r="W1024" s="2" t="str"/>
      <x:c r="X1024" s="2" t="str">
        <x:v>검토 진행 일정 확인</x:v>
      </x:c>
      <x:c r="Y1024" s="2" t="str">
        <x:v>ad210cd9ec132cfd447541c8984dc53d30aff0f4fb2dc92d254d49275cc55976</x:v>
      </x:c>
      <x:c r="Z1024" s="2" t="n">
        <x:f>SUBTOTAL(103,A1024)</x:f>
        <x:v>1</x:v>
      </x:c>
      <x:c r="AA1024" s="2" t="str">
        <x:f>IF(K1024&lt;&gt;"미종결 표시","대상 아님",IF(N1024="","신청일 확인",IF(NOT(ISNUMBER('종합 현황'!$H$5)),"관찰기준 확인",IF('종합 현황'!$H$5&lt;1,"관찰기준 확인",IF(N1024&gt;'종합 현황'!$H$5,"내부 관찰 대상","내부 관찰일 이하")))))</x:f>
        <x:v>내부 관찰 대상</x:v>
      </x:c>
      <x:c r="AB1024" s="2"/>
    </x:row>
    <x:row r="1025" ht="42" customHeight="1">
      <x:c r="A1025" s="2" t="str">
        <x:v>00f4cb6f2bc5f905d8639c90</x:v>
      </x:c>
      <x:c r="B1025" s="2" t="str">
        <x:v>사업 평가</x:v>
      </x:c>
      <x:c r="C1025" s="2" t="str">
        <x:v>국내</x:v>
      </x:c>
      <x:c r="D1025" s="7" t="str">
        <x:v>서울형 에너지복지 태양광발전 프로그램 감축사업</x:v>
      </x:c>
      <x:c r="E1025" s="2" t="str">
        <x:v>886</x:v>
      </x:c>
      <x:c r="F1025" s="2" t="str">
        <x:v>2022-04-04</x:v>
      </x:c>
      <x:c r="G1025" s="2" t="str">
        <x:v>2022</x:v>
      </x:c>
      <x:c r="H1025" s="2" t="str">
        <x:v>04</x:v>
      </x:c>
      <x:c r="I1025" s="2" t="str">
        <x:v>승인</x:v>
      </x:c>
      <x:c r="J1025" s="2" t="str">
        <x:v>심의승인</x:v>
      </x:c>
      <x:c r="K1025" s="2" t="str">
        <x:f>IF(OR(J1025="심의승인",J1025="반려",J1025="반려완료",J1025="심의완료"),"종결 표시",IF(OR(J1025="기후부협의",J1025="문서재제출요청",J1025="보류",J1025="보완요청",J1025="보완완료",J1025="평가중",J1025="반려요청",J1025="평가필요",LEFT(J1025,5)="보완요청("),"미종결 표시","상태 확인 필요"))</x:f>
        <x:v>종결 표시</x:v>
      </x:c>
      <x:c r="L1025" s="2" t="str">
        <x:v>에코시안_정다윤</x:v>
      </x:c>
      <x:c r="M1025" s="2"/>
      <x:c r="N1025" s="8" t="n">
        <x:f>DATE(2026,10,15)-DATE(2022,4,4)</x:f>
        <x:v>1655</x:v>
      </x:c>
      <x:c r="O1025" s="2" t="str">
        <x:v>생략(기승인사업O)</x:v>
      </x:c>
      <x:c r="P1025" s="2"/>
      <x:c r="Q1025" s="2" t="str">
        <x:v>산업전환_외부사업관리Tool_260707_이너젠 수정_LJY_261013.xlsx</x:v>
      </x:c>
      <x:c r="R1025" s="2" t="str">
        <x:v>국내평가</x:v>
      </x:c>
      <x:c r="S1025" s="8" t="n">
        <x:v>928</x:v>
      </x:c>
      <x:c r="T1025" s="2" t="str">
        <x:v>(4/19)</x:v>
      </x:c>
      <x:c r="U1025" s="2" t="str">
        <x:v>2022 배정: (4/19) / 2022 배정(신규): (6/10),(8/16)</x:v>
      </x:c>
      <x:c r="V1025" s="2" t="str">
        <x:v>2022-12-23</x:v>
      </x:c>
      <x:c r="W1025" s="2" t="str"/>
      <x:c r="X1025" s="2" t="str">
        <x:v>종결 근거 보관</x:v>
      </x:c>
      <x:c r="Y1025" s="2" t="str">
        <x:v>ad210cd9ec132cfd447541c8984dc53d30aff0f4fb2dc92d254d49275cc55976</x:v>
      </x:c>
      <x:c r="Z1025" s="2" t="n">
        <x:f>SUBTOTAL(103,A1025)</x:f>
        <x:v>1</x:v>
      </x:c>
      <x:c r="AA1025" s="2" t="str">
        <x:f>IF(K1025&lt;&gt;"미종결 표시","대상 아님",IF(N1025="","신청일 확인",IF(NOT(ISNUMBER('종합 현황'!$H$5)),"관찰기준 확인",IF('종합 현황'!$H$5&lt;1,"관찰기준 확인",IF(N1025&gt;'종합 현황'!$H$5,"내부 관찰 대상","내부 관찰일 이하")))))</x:f>
        <x:v>대상 아님</x:v>
      </x:c>
      <x:c r="AB1025" s="2"/>
    </x:row>
    <x:row r="1026" ht="42" customHeight="1">
      <x:c r="A1026" s="2" t="str">
        <x:v>7ffdf42a436c7a7959f6817b</x:v>
      </x:c>
      <x:c r="B1026" s="2" t="str">
        <x:v>사업 평가</x:v>
      </x:c>
      <x:c r="C1026" s="2" t="str">
        <x:v>국내</x:v>
      </x:c>
      <x:c r="D1026" s="7" t="str">
        <x:v>삼성분말야금(주) 고효율 공기압축기 교체를 통한 온실가스 감축사업</x:v>
      </x:c>
      <x:c r="E1026" s="2" t="str">
        <x:v>887</x:v>
      </x:c>
      <x:c r="F1026" s="2" t="str">
        <x:v>2019-08-28</x:v>
      </x:c>
      <x:c r="G1026" s="2" t="str">
        <x:v>2019</x:v>
      </x:c>
      <x:c r="H1026" s="2" t="str">
        <x:v>08</x:v>
      </x:c>
      <x:c r="I1026" s="2" t="str">
        <x:v>승인</x:v>
      </x:c>
      <x:c r="J1026" s="2" t="str">
        <x:v>심의승인</x:v>
      </x:c>
      <x:c r="K1026" s="2" t="str">
        <x:f>IF(OR(J1026="심의승인",J1026="반려",J1026="반려완료",J1026="심의완료"),"종결 표시",IF(OR(J1026="기후부협의",J1026="문서재제출요청",J1026="보류",J1026="보완요청",J1026="보완완료",J1026="평가중",J1026="반려요청",J1026="평가필요",LEFT(J1026,5)="보완요청("),"미종결 표시","상태 확인 필요"))</x:f>
        <x:v>종결 표시</x:v>
      </x:c>
      <x:c r="L1026" s="2" t="str">
        <x:v>KECM_이태준</x:v>
      </x:c>
      <x:c r="M1026" s="2"/>
      <x:c r="N1026" s="8" t="n">
        <x:f>DATE(2026,10,15)-DATE(2019,8,28)</x:f>
        <x:v>2605</x:v>
      </x:c>
      <x:c r="O1026" s="2" t="str">
        <x:v>O(9월)</x:v>
      </x:c>
      <x:c r="P1026" s="2"/>
      <x:c r="Q1026" s="2" t="str">
        <x:v>산업전환_외부사업관리Tool_260707_이너젠 수정_LJY_261013.xlsx</x:v>
      </x:c>
      <x:c r="R1026" s="2" t="str">
        <x:v>국내평가</x:v>
      </x:c>
      <x:c r="S1026" s="8" t="n">
        <x:v>929</x:v>
      </x:c>
      <x:c r="T1026" s="2" t="str">
        <x:v>(7/12),(9/1),(12/1)</x:v>
      </x:c>
      <x:c r="U1026" s="2" t="str">
        <x:v>2021 배정: (7/12),(9/1),(12/1) / 2022 배정: (4/19) / 2022 배정(신규): (5/18),(6/10)</x:v>
      </x:c>
      <x:c r="V1026" s="2" t="str">
        <x:v>2023-01-02</x:v>
      </x:c>
      <x:c r="W1026" s="2" t="str"/>
      <x:c r="X1026" s="2" t="str">
        <x:v>종결 근거 보관</x:v>
      </x:c>
      <x:c r="Y1026" s="2" t="str">
        <x:v>ad210cd9ec132cfd447541c8984dc53d30aff0f4fb2dc92d254d49275cc55976</x:v>
      </x:c>
      <x:c r="Z1026" s="2" t="n">
        <x:f>SUBTOTAL(103,A1026)</x:f>
        <x:v>1</x:v>
      </x:c>
      <x:c r="AA1026" s="2" t="str">
        <x:f>IF(K1026&lt;&gt;"미종결 표시","대상 아님",IF(N1026="","신청일 확인",IF(NOT(ISNUMBER('종합 현황'!$H$5)),"관찰기준 확인",IF('종합 현황'!$H$5&lt;1,"관찰기준 확인",IF(N1026&gt;'종합 현황'!$H$5,"내부 관찰 대상","내부 관찰일 이하")))))</x:f>
        <x:v>대상 아님</x:v>
      </x:c>
      <x:c r="AB1026" s="2"/>
    </x:row>
    <x:row r="1027" ht="42" customHeight="1">
      <x:c r="A1027" s="2" t="str">
        <x:v>0d41e80a1b3a432e31cd0359</x:v>
      </x:c>
      <x:c r="B1027" s="2" t="str">
        <x:v>사업 평가</x:v>
      </x:c>
      <x:c r="C1027" s="2" t="str">
        <x:v>국내</x:v>
      </x:c>
      <x:c r="D1027" s="7" t="str">
        <x:v>Santa Rosa 태양광 CDM 프로젝트</x:v>
      </x:c>
      <x:c r="E1027" s="2" t="str">
        <x:v>888</x:v>
      </x:c>
      <x:c r="F1027" s="2" t="str">
        <x:v>2022-03-21</x:v>
      </x:c>
      <x:c r="G1027" s="2" t="str">
        <x:v>2022</x:v>
      </x:c>
      <x:c r="H1027" s="2" t="str">
        <x:v>03</x:v>
      </x:c>
      <x:c r="I1027" s="2" t="str">
        <x:v>반려</x:v>
      </x:c>
      <x:c r="J1027" s="2" t="str">
        <x:v>반려</x:v>
      </x:c>
      <x:c r="K1027" s="2" t="str">
        <x:f>IF(OR(J1027="심의승인",J1027="반려",J1027="반려완료",J1027="심의완료"),"종결 표시",IF(OR(J1027="기후부협의",J1027="문서재제출요청",J1027="보류",J1027="보완요청",J1027="보완완료",J1027="평가중",J1027="반려요청",J1027="평가필요",LEFT(J1027,5)="보완요청("),"미종결 표시","상태 확인 필요"))</x:f>
        <x:v>종결 표시</x:v>
      </x:c>
      <x:c r="L1027" s="2" t="str">
        <x:v>KECM_이태준</x:v>
      </x:c>
      <x:c r="M1027" s="2"/>
      <x:c r="N1027" s="8" t="n">
        <x:f>DATE(2026,10,15)-DATE(2022,3,21)</x:f>
        <x:v>1669</x:v>
      </x:c>
      <x:c r="O1027" s="2"/>
      <x:c r="P1027" s="2" t="str">
        <x:v>국외평가 중복 신청으로 인한 반려</x:v>
      </x:c>
      <x:c r="Q1027" s="2" t="str">
        <x:v>산업전환_외부사업관리Tool_260707_이너젠 수정_LJY_261013.xlsx</x:v>
      </x:c>
      <x:c r="R1027" s="2" t="str">
        <x:v>국내평가</x:v>
      </x:c>
      <x:c r="S1027" s="8" t="n">
        <x:v>930</x:v>
      </x:c>
      <x:c r="T1027" s="2" t="str">
        <x:v>(4/19)</x:v>
      </x:c>
      <x:c r="U1027" s="2" t="str">
        <x:v>2022 배정: (4/19)</x:v>
      </x:c>
      <x:c r="V1027" s="2" t="str">
        <x:v>2022-08-24</x:v>
      </x:c>
      <x:c r="W1027" s="2" t="str"/>
      <x:c r="X1027" s="2" t="str">
        <x:v>종결 근거 보관</x:v>
      </x:c>
      <x:c r="Y1027" s="2" t="str">
        <x:v>ad210cd9ec132cfd447541c8984dc53d30aff0f4fb2dc92d254d49275cc55976</x:v>
      </x:c>
      <x:c r="Z1027" s="2" t="n">
        <x:f>SUBTOTAL(103,A1027)</x:f>
        <x:v>1</x:v>
      </x:c>
      <x:c r="AA1027" s="2" t="str">
        <x:f>IF(K1027&lt;&gt;"미종결 표시","대상 아님",IF(N1027="","신청일 확인",IF(NOT(ISNUMBER('종합 현황'!$H$5)),"관찰기준 확인",IF('종합 현황'!$H$5&lt;1,"관찰기준 확인",IF(N1027&gt;'종합 현황'!$H$5,"내부 관찰 대상","내부 관찰일 이하")))))</x:f>
        <x:v>대상 아님</x:v>
      </x:c>
      <x:c r="AB1027" s="2"/>
    </x:row>
    <x:row r="1028" ht="42" customHeight="1">
      <x:c r="A1028" s="2" t="str">
        <x:v>3fd20fc8624314f6efc13f2a</x:v>
      </x:c>
      <x:c r="B1028" s="2" t="str">
        <x:v>사업 평가</x:v>
      </x:c>
      <x:c r="C1028" s="2" t="str">
        <x:v>국내</x:v>
      </x:c>
      <x:c r="D1028" s="7" t="str">
        <x:v>Rinconada PV CDM Project</x:v>
      </x:c>
      <x:c r="E1028" s="2" t="str">
        <x:v>889</x:v>
      </x:c>
      <x:c r="F1028" s="2" t="str">
        <x:v>2022-03-21</x:v>
      </x:c>
      <x:c r="G1028" s="2" t="str">
        <x:v>2022</x:v>
      </x:c>
      <x:c r="H1028" s="2" t="str">
        <x:v>03</x:v>
      </x:c>
      <x:c r="I1028" s="2" t="str">
        <x:v>반려</x:v>
      </x:c>
      <x:c r="J1028" s="2" t="str">
        <x:v>반려</x:v>
      </x:c>
      <x:c r="K1028" s="2" t="str">
        <x:f>IF(OR(J1028="심의승인",J1028="반려",J1028="반려완료",J1028="심의완료"),"종결 표시",IF(OR(J1028="기후부협의",J1028="문서재제출요청",J1028="보류",J1028="보완요청",J1028="보완완료",J1028="평가중",J1028="반려요청",J1028="평가필요",LEFT(J1028,5)="보완요청("),"미종결 표시","상태 확인 필요"))</x:f>
        <x:v>종결 표시</x:v>
      </x:c>
      <x:c r="L1028" s="2" t="str">
        <x:v>KECM_이태준</x:v>
      </x:c>
      <x:c r="M1028" s="2"/>
      <x:c r="N1028" s="8" t="n">
        <x:f>DATE(2026,10,15)-DATE(2022,3,21)</x:f>
        <x:v>1669</x:v>
      </x:c>
      <x:c r="O1028" s="2"/>
      <x:c r="P1028" s="2" t="str">
        <x:v>국외평가 중복 신청으로 인한 반려</x:v>
      </x:c>
      <x:c r="Q1028" s="2" t="str">
        <x:v>산업전환_외부사업관리Tool_260707_이너젠 수정_LJY_261013.xlsx</x:v>
      </x:c>
      <x:c r="R1028" s="2" t="str">
        <x:v>국내평가</x:v>
      </x:c>
      <x:c r="S1028" s="8" t="n">
        <x:v>931</x:v>
      </x:c>
      <x:c r="T1028" s="2" t="str">
        <x:v>(4/19)</x:v>
      </x:c>
      <x:c r="U1028" s="2" t="str">
        <x:v>2022 배정: (4/19)</x:v>
      </x:c>
      <x:c r="V1028" s="2" t="str">
        <x:v>2022-08-24</x:v>
      </x:c>
      <x:c r="W1028" s="2" t="str"/>
      <x:c r="X1028" s="2" t="str">
        <x:v>종결 근거 보관</x:v>
      </x:c>
      <x:c r="Y1028" s="2" t="str">
        <x:v>ad210cd9ec132cfd447541c8984dc53d30aff0f4fb2dc92d254d49275cc55976</x:v>
      </x:c>
      <x:c r="Z1028" s="2" t="n">
        <x:f>SUBTOTAL(103,A1028)</x:f>
        <x:v>1</x:v>
      </x:c>
      <x:c r="AA1028" s="2" t="str">
        <x:f>IF(K1028&lt;&gt;"미종결 표시","대상 아님",IF(N1028="","신청일 확인",IF(NOT(ISNUMBER('종합 현황'!$H$5)),"관찰기준 확인",IF('종합 현황'!$H$5&lt;1,"관찰기준 확인",IF(N1028&gt;'종합 현황'!$H$5,"내부 관찰 대상","내부 관찰일 이하")))))</x:f>
        <x:v>대상 아님</x:v>
      </x:c>
      <x:c r="AB1028" s="2"/>
    </x:row>
    <x:row r="1029" ht="42" customHeight="1">
      <x:c r="A1029" s="2" t="str">
        <x:v>ab442dec6ff3651f8af4cf5f</x:v>
      </x:c>
      <x:c r="B1029" s="2" t="str">
        <x:v>사업 평가</x:v>
      </x:c>
      <x:c r="C1029" s="2" t="str">
        <x:v>국내</x:v>
      </x:c>
      <x:c r="D1029" s="7" t="str">
        <x:v>지리산종균 폐열회수를 통한 온실가스 배출 감축사업</x:v>
      </x:c>
      <x:c r="E1029" s="2" t="str">
        <x:v>890</x:v>
      </x:c>
      <x:c r="F1029" s="2" t="str">
        <x:v>2022-03-16</x:v>
      </x:c>
      <x:c r="G1029" s="2" t="str">
        <x:v>2022</x:v>
      </x:c>
      <x:c r="H1029" s="2" t="str">
        <x:v>03</x:v>
      </x:c>
      <x:c r="I1029" s="2" t="str">
        <x:v>반려</x:v>
      </x:c>
      <x:c r="J1029" s="2" t="str">
        <x:v>반려</x:v>
      </x:c>
      <x:c r="K1029" s="2" t="str">
        <x:f>IF(OR(J1029="심의승인",J1029="반려",J1029="반려완료",J1029="심의완료"),"종결 표시",IF(OR(J1029="기후부협의",J1029="문서재제출요청",J1029="보류",J1029="보완요청",J1029="보완완료",J1029="평가중",J1029="반려요청",J1029="평가필요",LEFT(J1029,5)="보완요청("),"미종결 표시","상태 확인 필요"))</x:f>
        <x:v>종결 표시</x:v>
      </x:c>
      <x:c r="L1029" s="2" t="str">
        <x:v>KSA_조영권, 에코시안_정인혜,박세은</x:v>
      </x:c>
      <x:c r="M1029" s="2"/>
      <x:c r="N1029" s="8" t="n">
        <x:f>DATE(2026,10,15)-DATE(2022,3,16)</x:f>
        <x:v>1674</x:v>
      </x:c>
      <x:c r="O1029" s="2" t="str">
        <x:v>-</x:v>
      </x:c>
      <x:c r="P1029" s="2"/>
      <x:c r="Q1029" s="2" t="str">
        <x:v>산업전환_외부사업관리Tool_260707_이너젠 수정_LJY_261013.xlsx</x:v>
      </x:c>
      <x:c r="R1029" s="2" t="str">
        <x:v>국내평가</x:v>
      </x:c>
      <x:c r="S1029" s="8" t="n">
        <x:v>932</x:v>
      </x:c>
      <x:c r="T1029" s="2" t="str">
        <x:v>(4/19)</x:v>
      </x:c>
      <x:c r="U1029" s="2" t="str">
        <x:v>2022 배정: (4/19) / 2022 배정(신규): (6/10),(8/16),(10/19)</x:v>
      </x:c>
      <x:c r="V1029" s="2" t="str">
        <x:v>2023-03-30</x:v>
      </x:c>
      <x:c r="W1029" s="2" t="str"/>
      <x:c r="X1029" s="2" t="str">
        <x:v>종결 근거 보관</x:v>
      </x:c>
      <x:c r="Y1029" s="2" t="str">
        <x:v>ad210cd9ec132cfd447541c8984dc53d30aff0f4fb2dc92d254d49275cc55976</x:v>
      </x:c>
      <x:c r="Z1029" s="2" t="n">
        <x:f>SUBTOTAL(103,A1029)</x:f>
        <x:v>1</x:v>
      </x:c>
      <x:c r="AA1029" s="2" t="str">
        <x:f>IF(K1029&lt;&gt;"미종결 표시","대상 아님",IF(N1029="","신청일 확인",IF(NOT(ISNUMBER('종합 현황'!$H$5)),"관찰기준 확인",IF('종합 현황'!$H$5&lt;1,"관찰기준 확인",IF(N1029&gt;'종합 현황'!$H$5,"내부 관찰 대상","내부 관찰일 이하")))))</x:f>
        <x:v>대상 아님</x:v>
      </x:c>
      <x:c r="AB1029" s="2"/>
    </x:row>
    <x:row r="1030" ht="42" customHeight="1">
      <x:c r="A1030" s="2" t="str">
        <x:v>79e37788f103e2e230b1dc31</x:v>
      </x:c>
      <x:c r="B1030" s="2" t="str">
        <x:v>사업 평가</x:v>
      </x:c>
      <x:c r="C1030" s="2" t="str">
        <x:v>국내</x:v>
      </x:c>
      <x:c r="D1030" s="7" t="str">
        <x:v>덕소주공1단지 온수보일러 연료전환(B-C유→LNG)을 통한 온실가스 배출 감축사업</x:v>
      </x:c>
      <x:c r="E1030" s="2" t="str">
        <x:v>891</x:v>
      </x:c>
      <x:c r="F1030" s="2" t="str">
        <x:v>2022-03-16</x:v>
      </x:c>
      <x:c r="G1030" s="2" t="str">
        <x:v>2022</x:v>
      </x:c>
      <x:c r="H1030" s="2" t="str">
        <x:v>03</x:v>
      </x:c>
      <x:c r="I1030" s="2" t="str">
        <x:v>승인</x:v>
      </x:c>
      <x:c r="J1030" s="2" t="str">
        <x:v>심의승인</x:v>
      </x:c>
      <x:c r="K1030" s="2" t="str">
        <x:f>IF(OR(J1030="심의승인",J1030="반려",J1030="반려완료",J1030="심의완료"),"종결 표시",IF(OR(J1030="기후부협의",J1030="문서재제출요청",J1030="보류",J1030="보완요청",J1030="보완완료",J1030="평가중",J1030="반려요청",J1030="평가필요",LEFT(J1030,5)="보완요청("),"미종결 표시","상태 확인 필요"))</x:f>
        <x:v>종결 표시</x:v>
      </x:c>
      <x:c r="L1030" s="2" t="str">
        <x:v>에코시안_조영우</x:v>
      </x:c>
      <x:c r="M1030" s="2"/>
      <x:c r="N1030" s="8" t="n">
        <x:f>DATE(2026,10,15)-DATE(2022,3,16)</x:f>
        <x:v>1674</x:v>
      </x:c>
      <x:c r="O1030" s="2" t="str">
        <x:v>O(22.06)</x:v>
      </x:c>
      <x:c r="P1030" s="2"/>
      <x:c r="Q1030" s="2" t="str">
        <x:v>산업전환_외부사업관리Tool_260707_이너젠 수정_LJY_261013.xlsx</x:v>
      </x:c>
      <x:c r="R1030" s="2" t="str">
        <x:v>국내평가</x:v>
      </x:c>
      <x:c r="S1030" s="8" t="n">
        <x:v>933</x:v>
      </x:c>
      <x:c r="T1030" s="2" t="str">
        <x:v>(4/19)</x:v>
      </x:c>
      <x:c r="U1030" s="2" t="str">
        <x:v>2022 배정: (4/19) / 2022 배정(신규): (5/18),(7/13),(8/16)</x:v>
      </x:c>
      <x:c r="V1030" s="2" t="str">
        <x:v>2022-12-26</x:v>
      </x:c>
      <x:c r="W1030" s="2" t="str"/>
      <x:c r="X1030" s="2" t="str">
        <x:v>종결 근거 보관</x:v>
      </x:c>
      <x:c r="Y1030" s="2" t="str">
        <x:v>ad210cd9ec132cfd447541c8984dc53d30aff0f4fb2dc92d254d49275cc55976</x:v>
      </x:c>
      <x:c r="Z1030" s="2" t="n">
        <x:f>SUBTOTAL(103,A1030)</x:f>
        <x:v>1</x:v>
      </x:c>
      <x:c r="AA1030" s="2" t="str">
        <x:f>IF(K1030&lt;&gt;"미종결 표시","대상 아님",IF(N1030="","신청일 확인",IF(NOT(ISNUMBER('종합 현황'!$H$5)),"관찰기준 확인",IF('종합 현황'!$H$5&lt;1,"관찰기준 확인",IF(N1030&gt;'종합 현황'!$H$5,"내부 관찰 대상","내부 관찰일 이하")))))</x:f>
        <x:v>대상 아님</x:v>
      </x:c>
      <x:c r="AB1030" s="2"/>
    </x:row>
    <x:row r="1031" ht="42" customHeight="1">
      <x:c r="A1031" s="2" t="str">
        <x:v>cee391e3239e8cdb13b4fa49</x:v>
      </x:c>
      <x:c r="B1031" s="2" t="str">
        <x:v>사업 평가</x:v>
      </x:c>
      <x:c r="C1031" s="2" t="str">
        <x:v>국내</x:v>
      </x:c>
      <x:c r="D1031" s="7" t="str">
        <x:v>대길산업 외 11개사의 고효율 공기압축기 교체를 통한 온실가스 감축사업</x:v>
      </x:c>
      <x:c r="E1031" s="2" t="str">
        <x:v>892</x:v>
      </x:c>
      <x:c r="F1031" s="2" t="str">
        <x:v>2022-02-11</x:v>
      </x:c>
      <x:c r="G1031" s="2" t="str">
        <x:v>2022</x:v>
      </x:c>
      <x:c r="H1031" s="2" t="str">
        <x:v>02</x:v>
      </x:c>
      <x:c r="I1031" s="2" t="str">
        <x:v>반려</x:v>
      </x:c>
      <x:c r="J1031" s="2" t="str">
        <x:v>반려</x:v>
      </x:c>
      <x:c r="K1031" s="2" t="str">
        <x:f>IF(OR(J1031="심의승인",J1031="반려",J1031="반려완료",J1031="심의완료"),"종결 표시",IF(OR(J1031="기후부협의",J1031="문서재제출요청",J1031="보류",J1031="보완요청",J1031="보완완료",J1031="평가중",J1031="반려요청",J1031="평가필요",LEFT(J1031,5)="보완요청("),"미종결 표시","상태 확인 필요"))</x:f>
        <x:v>종결 표시</x:v>
      </x:c>
      <x:c r="L1031" s="2" t="str">
        <x:v>에코시안_조영우</x:v>
      </x:c>
      <x:c r="M1031" s="2"/>
      <x:c r="N1031" s="8" t="n">
        <x:f>DATE(2026,10,15)-DATE(2022,2,11)</x:f>
        <x:v>1707</x:v>
      </x:c>
      <x:c r="O1031" s="2"/>
      <x:c r="P1031" s="2" t="str">
        <x:v>반려완료(업체 요청)</x:v>
      </x:c>
      <x:c r="Q1031" s="2" t="str">
        <x:v>산업전환_외부사업관리Tool_260707_이너젠 수정_LJY_261013.xlsx</x:v>
      </x:c>
      <x:c r="R1031" s="2" t="str">
        <x:v>국내평가</x:v>
      </x:c>
      <x:c r="S1031" s="8" t="n">
        <x:v>934</x:v>
      </x:c>
      <x:c r="T1031" s="2" t="str">
        <x:v>(4/19)</x:v>
      </x:c>
      <x:c r="U1031" s="2" t="str">
        <x:v>2022 배정: (4/19) / 2022 배정(신규): (7/13),(9/19),(10/19)</x:v>
      </x:c>
      <x:c r="V1031" s="2" t="str">
        <x:v>2023-03-20</x:v>
      </x:c>
      <x:c r="W1031" s="2" t="str"/>
      <x:c r="X1031" s="2" t="str">
        <x:v>종결 근거 보관</x:v>
      </x:c>
      <x:c r="Y1031" s="2" t="str">
        <x:v>ad210cd9ec132cfd447541c8984dc53d30aff0f4fb2dc92d254d49275cc55976</x:v>
      </x:c>
      <x:c r="Z1031" s="2" t="n">
        <x:f>SUBTOTAL(103,A1031)</x:f>
        <x:v>1</x:v>
      </x:c>
      <x:c r="AA1031" s="2" t="str">
        <x:f>IF(K1031&lt;&gt;"미종결 표시","대상 아님",IF(N1031="","신청일 확인",IF(NOT(ISNUMBER('종합 현황'!$H$5)),"관찰기준 확인",IF('종합 현황'!$H$5&lt;1,"관찰기준 확인",IF(N1031&gt;'종합 현황'!$H$5,"내부 관찰 대상","내부 관찰일 이하")))))</x:f>
        <x:v>대상 아님</x:v>
      </x:c>
      <x:c r="AB1031" s="2"/>
    </x:row>
    <x:row r="1032" ht="42" customHeight="1">
      <x:c r="A1032" s="2" t="str">
        <x:v>93c47c371682d90cbacb78b7</x:v>
      </x:c>
      <x:c r="B1032" s="2" t="str">
        <x:v>사업 평가</x:v>
      </x:c>
      <x:c r="C1032" s="2" t="str">
        <x:v>국내</x:v>
      </x:c>
      <x:c r="D1032" s="7" t="str">
        <x:v>대광소결금속㈜ 고효율 공기압축기 교체를 통한 온실가스 감축사업</x:v>
      </x:c>
      <x:c r="E1032" s="2" t="str">
        <x:v>893</x:v>
      </x:c>
      <x:c r="F1032" s="2" t="str">
        <x:v>2019-12-24</x:v>
      </x:c>
      <x:c r="G1032" s="2" t="str">
        <x:v>2019</x:v>
      </x:c>
      <x:c r="H1032" s="2" t="str">
        <x:v>12</x:v>
      </x:c>
      <x:c r="I1032" s="2" t="str">
        <x:v>승인</x:v>
      </x:c>
      <x:c r="J1032" s="2" t="str">
        <x:v>심의승인</x:v>
      </x:c>
      <x:c r="K1032" s="2" t="str">
        <x:f>IF(OR(J1032="심의승인",J1032="반려",J1032="반려완료",J1032="심의완료"),"종결 표시",IF(OR(J1032="기후부협의",J1032="문서재제출요청",J1032="보류",J1032="보완요청",J1032="보완완료",J1032="평가중",J1032="반려요청",J1032="평가필요",LEFT(J1032,5)="보완요청("),"미종결 표시","상태 확인 필요"))</x:f>
        <x:v>종결 표시</x:v>
      </x:c>
      <x:c r="L1032" s="2" t="str">
        <x:v>KECM_이태준</x:v>
      </x:c>
      <x:c r="M1032" s="2"/>
      <x:c r="N1032" s="8" t="n">
        <x:f>DATE(2026,10,15)-DATE(2019,12,24)</x:f>
        <x:v>2487</x:v>
      </x:c>
      <x:c r="O1032" s="2" t="str">
        <x:v>O(9월)</x:v>
      </x:c>
      <x:c r="P1032" s="2"/>
      <x:c r="Q1032" s="2" t="str">
        <x:v>산업전환_외부사업관리Tool_260707_이너젠 수정_LJY_261013.xlsx</x:v>
      </x:c>
      <x:c r="R1032" s="2" t="str">
        <x:v>국내평가</x:v>
      </x:c>
      <x:c r="S1032" s="8" t="n">
        <x:v>935</x:v>
      </x:c>
      <x:c r="T1032" s="2" t="str">
        <x:v>(7/12),(9/1),(10/20)</x:v>
      </x:c>
      <x:c r="U1032" s="2" t="str">
        <x:v>2021 배정: (7/12),(9/1),(10/20) / 2022 배정: (4/19) / 2022 배정(신규): (5/18),(6/10)</x:v>
      </x:c>
      <x:c r="V1032" s="2" t="str">
        <x:v>2023-01-02</x:v>
      </x:c>
      <x:c r="W1032" s="2" t="str"/>
      <x:c r="X1032" s="2" t="str">
        <x:v>종결 근거 보관</x:v>
      </x:c>
      <x:c r="Y1032" s="2" t="str">
        <x:v>ad210cd9ec132cfd447541c8984dc53d30aff0f4fb2dc92d254d49275cc55976</x:v>
      </x:c>
      <x:c r="Z1032" s="2" t="n">
        <x:f>SUBTOTAL(103,A1032)</x:f>
        <x:v>1</x:v>
      </x:c>
      <x:c r="AA1032" s="2" t="str">
        <x:f>IF(K1032&lt;&gt;"미종결 표시","대상 아님",IF(N1032="","신청일 확인",IF(NOT(ISNUMBER('종합 현황'!$H$5)),"관찰기준 확인",IF('종합 현황'!$H$5&lt;1,"관찰기준 확인",IF(N1032&gt;'종합 현황'!$H$5,"내부 관찰 대상","내부 관찰일 이하")))))</x:f>
        <x:v>대상 아님</x:v>
      </x:c>
      <x:c r="AB1032" s="2"/>
    </x:row>
    <x:row r="1033" ht="42" customHeight="1">
      <x:c r="A1033" s="2" t="str">
        <x:v>693b39e9e756252599911dae</x:v>
      </x:c>
      <x:c r="B1033" s="2" t="str">
        <x:v>사업 평가</x:v>
      </x:c>
      <x:c r="C1033" s="2" t="str">
        <x:v>국내</x:v>
      </x:c>
      <x:c r="D1033" s="7" t="str">
        <x:v>대림아스콘의 B-C유에서 도시가스(LNG)로 연료전환을 통한 온실가스 배출 감축사업</x:v>
      </x:c>
      <x:c r="E1033" s="2" t="str">
        <x:v>894</x:v>
      </x:c>
      <x:c r="F1033" s="2" t="str">
        <x:v>2022-06-07</x:v>
      </x:c>
      <x:c r="G1033" s="2" t="str">
        <x:v>2022</x:v>
      </x:c>
      <x:c r="H1033" s="2" t="str">
        <x:v>06</x:v>
      </x:c>
      <x:c r="I1033" s="2" t="str">
        <x:v>승인</x:v>
      </x:c>
      <x:c r="J1033" s="2" t="str">
        <x:v>심의승인</x:v>
      </x:c>
      <x:c r="K1033" s="2" t="str">
        <x:f>IF(OR(J1033="심의승인",J1033="반려",J1033="반려완료",J1033="심의완료"),"종결 표시",IF(OR(J1033="기후부협의",J1033="문서재제출요청",J1033="보류",J1033="보완요청",J1033="보완완료",J1033="평가중",J1033="반려요청",J1033="평가필요",LEFT(J1033,5)="보완요청("),"미종결 표시","상태 확인 필요"))</x:f>
        <x:v>종결 표시</x:v>
      </x:c>
      <x:c r="L1033" s="2" t="str">
        <x:v>KECM_임하진</x:v>
      </x:c>
      <x:c r="M1033" s="2"/>
      <x:c r="N1033" s="8" t="n">
        <x:f>DATE(2026,10,15)-DATE(2022,6,7)</x:f>
        <x:v>1591</x:v>
      </x:c>
      <x:c r="O1033" s="2" t="str">
        <x:v>O(22.09)</x:v>
      </x:c>
      <x:c r="P1033" s="2" t="str">
        <x:v>1분기 인증위 승인</x:v>
      </x:c>
      <x:c r="Q1033" s="2" t="str">
        <x:v>산업전환_외부사업관리Tool_260707_이너젠 수정_LJY_261013.xlsx</x:v>
      </x:c>
      <x:c r="R1033" s="2" t="str">
        <x:v>국내평가</x:v>
      </x:c>
      <x:c r="S1033" s="8" t="n">
        <x:v>936</x:v>
      </x:c>
      <x:c r="T1033" s="2" t="str">
        <x:v>(6/10),(8/16),(9/19),(10/19)</x:v>
      </x:c>
      <x:c r="U1033" s="2" t="str">
        <x:v>2022 배정(신규): (6/10),(8/16),(9/19),(10/19)</x:v>
      </x:c>
      <x:c r="V1033" s="2" t="str">
        <x:v>2023-03-17</x:v>
      </x:c>
      <x:c r="W1033" s="2" t="str"/>
      <x:c r="X1033" s="2" t="str">
        <x:v>종결 근거 보관</x:v>
      </x:c>
      <x:c r="Y1033" s="2" t="str">
        <x:v>ad210cd9ec132cfd447541c8984dc53d30aff0f4fb2dc92d254d49275cc55976</x:v>
      </x:c>
      <x:c r="Z1033" s="2" t="n">
        <x:f>SUBTOTAL(103,A1033)</x:f>
        <x:v>1</x:v>
      </x:c>
      <x:c r="AA1033" s="2" t="str">
        <x:f>IF(K1033&lt;&gt;"미종결 표시","대상 아님",IF(N1033="","신청일 확인",IF(NOT(ISNUMBER('종합 현황'!$H$5)),"관찰기준 확인",IF('종합 현황'!$H$5&lt;1,"관찰기준 확인",IF(N1033&gt;'종합 현황'!$H$5,"내부 관찰 대상","내부 관찰일 이하")))))</x:f>
        <x:v>대상 아님</x:v>
      </x:c>
      <x:c r="AB1033" s="2"/>
    </x:row>
    <x:row r="1034" ht="42" customHeight="1">
      <x:c r="A1034" s="2" t="str">
        <x:v>2e00f5208e495974ccca8041</x:v>
      </x:c>
      <x:c r="B1034" s="2" t="str">
        <x:v>사업 평가</x:v>
      </x:c>
      <x:c r="C1034" s="2" t="str">
        <x:v>국내</x:v>
      </x:c>
      <x:c r="D1034" s="7" t="str">
        <x:v>인천도시공사(청학, 연수, 선학) 태양광발전설비 설치를 통한 공용전기 사용사업</x:v>
      </x:c>
      <x:c r="E1034" s="2" t="str">
        <x:v>895</x:v>
      </x:c>
      <x:c r="F1034" s="2" t="str">
        <x:v>2022-06-15</x:v>
      </x:c>
      <x:c r="G1034" s="2" t="str">
        <x:v>2022</x:v>
      </x:c>
      <x:c r="H1034" s="2" t="str">
        <x:v>06</x:v>
      </x:c>
      <x:c r="I1034" s="2" t="str">
        <x:v>반려</x:v>
      </x:c>
      <x:c r="J1034" s="2" t="str">
        <x:v>반려</x:v>
      </x:c>
      <x:c r="K1034" s="2" t="str">
        <x:f>IF(OR(J1034="심의승인",J1034="반려",J1034="반려완료",J1034="심의완료"),"종결 표시",IF(OR(J1034="기후부협의",J1034="문서재제출요청",J1034="보류",J1034="보완요청",J1034="보완완료",J1034="평가중",J1034="반려요청",J1034="평가필요",LEFT(J1034,5)="보완요청("),"미종결 표시","상태 확인 필요"))</x:f>
        <x:v>종결 표시</x:v>
      </x:c>
      <x:c r="L1034" s="2" t="str">
        <x:v>에코시안_조영우</x:v>
      </x:c>
      <x:c r="M1034" s="2"/>
      <x:c r="N1034" s="8" t="n">
        <x:f>DATE(2026,10,15)-DATE(2022,6,15)</x:f>
        <x:v>1583</x:v>
      </x:c>
      <x:c r="O1034" s="2"/>
      <x:c r="P1034" s="2" t="str">
        <x:v>묶음사업으로 재신청 위한 반려</x:v>
      </x:c>
      <x:c r="Q1034" s="2" t="str">
        <x:v>산업전환_외부사업관리Tool_260707_이너젠 수정_LJY_261013.xlsx</x:v>
      </x:c>
      <x:c r="R1034" s="2" t="str">
        <x:v>국내평가</x:v>
      </x:c>
      <x:c r="S1034" s="8" t="n">
        <x:v>937</x:v>
      </x:c>
      <x:c r="T1034" s="2" t="str">
        <x:v>(7/13)</x:v>
      </x:c>
      <x:c r="U1034" s="2" t="str">
        <x:v>2022 배정(신규): (7/13)</x:v>
      </x:c>
      <x:c r="V1034" s="2" t="str">
        <x:v>2022-10-17</x:v>
      </x:c>
      <x:c r="W1034" s="2" t="str"/>
      <x:c r="X1034" s="2" t="str">
        <x:v>종결 근거 보관</x:v>
      </x:c>
      <x:c r="Y1034" s="2" t="str">
        <x:v>ad210cd9ec132cfd447541c8984dc53d30aff0f4fb2dc92d254d49275cc55976</x:v>
      </x:c>
      <x:c r="Z1034" s="2" t="n">
        <x:f>SUBTOTAL(103,A1034)</x:f>
        <x:v>1</x:v>
      </x:c>
      <x:c r="AA1034" s="2" t="str">
        <x:f>IF(K1034&lt;&gt;"미종결 표시","대상 아님",IF(N1034="","신청일 확인",IF(NOT(ISNUMBER('종합 현황'!$H$5)),"관찰기준 확인",IF('종합 현황'!$H$5&lt;1,"관찰기준 확인",IF(N1034&gt;'종합 현황'!$H$5,"내부 관찰 대상","내부 관찰일 이하")))))</x:f>
        <x:v>대상 아님</x:v>
      </x:c>
      <x:c r="AB1034" s="2"/>
    </x:row>
    <x:row r="1035" ht="42" customHeight="1">
      <x:c r="A1035" s="2" t="str">
        <x:v>a606f49e058cbd8d910ad34f</x:v>
      </x:c>
      <x:c r="B1035" s="2" t="str">
        <x:v>사업 평가</x:v>
      </x:c>
      <x:c r="C1035" s="2" t="str">
        <x:v>국내</x:v>
      </x:c>
      <x:c r="D1035" s="7" t="str">
        <x:v>서울형 에너지복지 태양광발전 프로그램 감축사업</x:v>
      </x:c>
      <x:c r="E1035" s="2" t="str">
        <x:v>896</x:v>
      </x:c>
      <x:c r="F1035" s="2" t="str">
        <x:v>2022-04-04</x:v>
      </x:c>
      <x:c r="G1035" s="2" t="str">
        <x:v>2022</x:v>
      </x:c>
      <x:c r="H1035" s="2" t="str">
        <x:v>04</x:v>
      </x:c>
      <x:c r="I1035" s="2" t="str">
        <x:v>승인</x:v>
      </x:c>
      <x:c r="J1035" s="2" t="str">
        <x:v>심의승인</x:v>
      </x:c>
      <x:c r="K1035" s="2" t="str">
        <x:f>IF(OR(J1035="심의승인",J1035="반려",J1035="반려완료",J1035="심의완료"),"종결 표시",IF(OR(J1035="기후부협의",J1035="문서재제출요청",J1035="보류",J1035="보완요청",J1035="보완완료",J1035="평가중",J1035="반려요청",J1035="평가필요",LEFT(J1035,5)="보완요청("),"미종결 표시","상태 확인 필요"))</x:f>
        <x:v>종결 표시</x:v>
      </x:c>
      <x:c r="L1035" s="2" t="str">
        <x:v>에코시안_정다윤</x:v>
      </x:c>
      <x:c r="M1035" s="2"/>
      <x:c r="N1035" s="8" t="n">
        <x:f>DATE(2026,10,15)-DATE(2022,4,4)</x:f>
        <x:v>1655</x:v>
      </x:c>
      <x:c r="O1035" s="2" t="str">
        <x:v>생략(기승인사업O)</x:v>
      </x:c>
      <x:c r="P1035" s="2"/>
      <x:c r="Q1035" s="2" t="str">
        <x:v>산업전환_외부사업관리Tool_260707_이너젠 수정_LJY_261013.xlsx</x:v>
      </x:c>
      <x:c r="R1035" s="2" t="str">
        <x:v>국내평가</x:v>
      </x:c>
      <x:c r="S1035" s="8" t="n">
        <x:v>938</x:v>
      </x:c>
      <x:c r="T1035" s="2" t="str">
        <x:v>(1/18),(3/16)</x:v>
      </x:c>
      <x:c r="U1035" s="2" t="str">
        <x:v>2022 배정: (1/18),(3/16) / 2022 배정(신규): (5/18),(7/13)</x:v>
      </x:c>
      <x:c r="V1035" s="2" t="str">
        <x:v>2022-12-23</x:v>
      </x:c>
      <x:c r="W1035" s="2" t="str"/>
      <x:c r="X1035" s="2" t="str">
        <x:v>종결 근거 보관</x:v>
      </x:c>
      <x:c r="Y1035" s="2" t="str">
        <x:v>ad210cd9ec132cfd447541c8984dc53d30aff0f4fb2dc92d254d49275cc55976</x:v>
      </x:c>
      <x:c r="Z1035" s="2" t="n">
        <x:f>SUBTOTAL(103,A1035)</x:f>
        <x:v>1</x:v>
      </x:c>
      <x:c r="AA1035" s="2" t="str">
        <x:f>IF(K1035&lt;&gt;"미종결 표시","대상 아님",IF(N1035="","신청일 확인",IF(NOT(ISNUMBER('종합 현황'!$H$5)),"관찰기준 확인",IF('종합 현황'!$H$5&lt;1,"관찰기준 확인",IF(N1035&gt;'종합 현황'!$H$5,"내부 관찰 대상","내부 관찰일 이하")))))</x:f>
        <x:v>대상 아님</x:v>
      </x:c>
      <x:c r="AB1035" s="2"/>
    </x:row>
    <x:row r="1036" ht="42" customHeight="1">
      <x:c r="A1036" s="2" t="str">
        <x:v>0e683762d52e9fd70090fcd4</x:v>
      </x:c>
      <x:c r="B1036" s="2" t="str">
        <x:v>사업 평가</x:v>
      </x:c>
      <x:c r="C1036" s="2" t="str">
        <x:v>국내</x:v>
      </x:c>
      <x:c r="D1036" s="7" t="str">
        <x:v>14MW 미래에셋 태양광발전 CDM 사업</x:v>
      </x:c>
      <x:c r="E1036" s="2" t="str">
        <x:v>897</x:v>
      </x:c>
      <x:c r="F1036" s="2" t="str">
        <x:v>2015-07-08</x:v>
      </x:c>
      <x:c r="G1036" s="2" t="str">
        <x:v>2015</x:v>
      </x:c>
      <x:c r="H1036" s="2" t="str">
        <x:v>07</x:v>
      </x:c>
      <x:c r="I1036" s="2" t="str">
        <x:v>승인</x:v>
      </x:c>
      <x:c r="J1036" s="2" t="str">
        <x:v>심의승인</x:v>
      </x:c>
      <x:c r="K1036" s="2" t="str">
        <x:f>IF(OR(J1036="심의승인",J1036="반려",J1036="반려완료",J1036="심의완료"),"종결 표시",IF(OR(J1036="기후부협의",J1036="문서재제출요청",J1036="보류",J1036="보완요청",J1036="보완완료",J1036="평가중",J1036="반려요청",J1036="평가필요",LEFT(J1036,5)="보완요청("),"미종결 표시","상태 확인 필요"))</x:f>
        <x:v>종결 표시</x:v>
      </x:c>
      <x:c r="L1036" s="2"/>
      <x:c r="M1036" s="2"/>
      <x:c r="N1036" s="8" t="n">
        <x:f>DATE(2026,10,15)-DATE(2015,7,8)</x:f>
        <x:v>4117</x:v>
      </x:c>
      <x:c r="O1036" s="2"/>
      <x:c r="P1036" s="2" t="str">
        <x:v>22년 7월 1일 관장기관 변경으로 신규 추가</x:v>
      </x:c>
      <x:c r="Q1036" s="2" t="str">
        <x:v>산업전환_외부사업관리Tool_260707_이너젠 수정_LJY_261013.xlsx</x:v>
      </x:c>
      <x:c r="R1036" s="2" t="str">
        <x:v>국내평가</x:v>
      </x:c>
      <x:c r="S1036" s="8" t="n">
        <x:v>939</x:v>
      </x:c>
      <x:c r="T1036" s="2"/>
      <x:c r="U1036" s="2" t="str"/>
      <x:c r="V1036" s="2" t="str">
        <x:v>2015-09-21</x:v>
      </x:c>
      <x:c r="W1036" s="2" t="str">
        <x:v>담당기관 확인</x:v>
      </x:c>
      <x:c r="X1036" s="2" t="str">
        <x:v>원본·배정 기록 확인</x:v>
      </x:c>
      <x:c r="Y1036" s="2" t="str">
        <x:v>ad210cd9ec132cfd447541c8984dc53d30aff0f4fb2dc92d254d49275cc55976</x:v>
      </x:c>
      <x:c r="Z1036" s="2" t="n">
        <x:f>SUBTOTAL(103,A1036)</x:f>
        <x:v>1</x:v>
      </x:c>
      <x:c r="AA1036" s="2" t="str">
        <x:f>IF(K1036&lt;&gt;"미종결 표시","대상 아님",IF(N1036="","신청일 확인",IF(NOT(ISNUMBER('종합 현황'!$H$5)),"관찰기준 확인",IF('종합 현황'!$H$5&lt;1,"관찰기준 확인",IF(N1036&gt;'종합 현황'!$H$5,"내부 관찰 대상","내부 관찰일 이하")))))</x:f>
        <x:v>대상 아님</x:v>
      </x:c>
      <x:c r="AB1036" s="2"/>
    </x:row>
    <x:row r="1037" ht="42" customHeight="1">
      <x:c r="A1037" s="2" t="str">
        <x:v>8cf62c0e39e56324eb61d928</x:v>
      </x:c>
      <x:c r="B1037" s="2" t="str">
        <x:v>사업 평가</x:v>
      </x:c>
      <x:c r="C1037" s="2" t="str">
        <x:v>국내</x:v>
      </x:c>
      <x:c r="D1037" s="7" t="str">
        <x:v>서울형 에너지복지 태양광발전 프로그램 감축사업</x:v>
      </x:c>
      <x:c r="E1037" s="2" t="str">
        <x:v>898</x:v>
      </x:c>
      <x:c r="F1037" s="2" t="str">
        <x:v>2022-04-04</x:v>
      </x:c>
      <x:c r="G1037" s="2" t="str">
        <x:v>2022</x:v>
      </x:c>
      <x:c r="H1037" s="2" t="str">
        <x:v>04</x:v>
      </x:c>
      <x:c r="I1037" s="2" t="str">
        <x:v>승인</x:v>
      </x:c>
      <x:c r="J1037" s="2" t="str">
        <x:v>심의승인</x:v>
      </x:c>
      <x:c r="K1037" s="2" t="str">
        <x:f>IF(OR(J1037="심의승인",J1037="반려",J1037="반려완료",J1037="심의완료"),"종결 표시",IF(OR(J1037="기후부협의",J1037="문서재제출요청",J1037="보류",J1037="보완요청",J1037="보완완료",J1037="평가중",J1037="반려요청",J1037="평가필요",LEFT(J1037,5)="보완요청("),"미종결 표시","상태 확인 필요"))</x:f>
        <x:v>종결 표시</x:v>
      </x:c>
      <x:c r="L1037" s="2" t="str">
        <x:v>에코시안_권송화</x:v>
      </x:c>
      <x:c r="M1037" s="2"/>
      <x:c r="N1037" s="8" t="n">
        <x:f>DATE(2026,10,15)-DATE(2022,4,4)</x:f>
        <x:v>1655</x:v>
      </x:c>
      <x:c r="O1037" s="2" t="str">
        <x:v>생략(기승인사업O)</x:v>
      </x:c>
      <x:c r="P1037" s="2"/>
      <x:c r="Q1037" s="2" t="str">
        <x:v>산업전환_외부사업관리Tool_260707_이너젠 수정_LJY_261013.xlsx</x:v>
      </x:c>
      <x:c r="R1037" s="2" t="str">
        <x:v>국내평가</x:v>
      </x:c>
      <x:c r="S1037" s="8" t="n">
        <x:v>940</x:v>
      </x:c>
      <x:c r="T1037" s="2" t="str">
        <x:v>(4/19)</x:v>
      </x:c>
      <x:c r="U1037" s="2" t="str">
        <x:v>2022 배정: (4/19) / 2022 배정(신규): (6/10)</x:v>
      </x:c>
      <x:c r="V1037" s="2" t="str">
        <x:v>2022-12-23</x:v>
      </x:c>
      <x:c r="W1037" s="2" t="str"/>
      <x:c r="X1037" s="2" t="str">
        <x:v>종결 근거 보관</x:v>
      </x:c>
      <x:c r="Y1037" s="2" t="str">
        <x:v>ad210cd9ec132cfd447541c8984dc53d30aff0f4fb2dc92d254d49275cc55976</x:v>
      </x:c>
      <x:c r="Z1037" s="2" t="n">
        <x:f>SUBTOTAL(103,A1037)</x:f>
        <x:v>1</x:v>
      </x:c>
      <x:c r="AA1037" s="2" t="str">
        <x:f>IF(K1037&lt;&gt;"미종결 표시","대상 아님",IF(N1037="","신청일 확인",IF(NOT(ISNUMBER('종합 현황'!$H$5)),"관찰기준 확인",IF('종합 현황'!$H$5&lt;1,"관찰기준 확인",IF(N1037&gt;'종합 현황'!$H$5,"내부 관찰 대상","내부 관찰일 이하")))))</x:f>
        <x:v>대상 아님</x:v>
      </x:c>
      <x:c r="AB1037" s="2"/>
    </x:row>
    <x:row r="1038" ht="42" customHeight="1">
      <x:c r="A1038" s="2" t="str">
        <x:v>a158c7d6bb3ef4eb71916225</x:v>
      </x:c>
      <x:c r="B1038" s="2" t="str">
        <x:v>사업 평가</x:v>
      </x:c>
      <x:c r="C1038" s="2" t="str">
        <x:v>국내</x:v>
      </x:c>
      <x:c r="D1038" s="7" t="str">
        <x:v>다온농원 폐열회수를 통한 온실가스 배출 감축사업</x:v>
      </x:c>
      <x:c r="E1038" s="2" t="str">
        <x:v>899</x:v>
      </x:c>
      <x:c r="F1038" s="2" t="str">
        <x:v>2022-07-08</x:v>
      </x:c>
      <x:c r="G1038" s="2" t="str">
        <x:v>2022</x:v>
      </x:c>
      <x:c r="H1038" s="2" t="str">
        <x:v>07</x:v>
      </x:c>
      <x:c r="I1038" s="2" t="str">
        <x:v>반려</x:v>
      </x:c>
      <x:c r="J1038" s="2" t="str">
        <x:v>반려</x:v>
      </x:c>
      <x:c r="K1038" s="2" t="str">
        <x:f>IF(OR(J1038="심의승인",J1038="반려",J1038="반려완료",J1038="심의완료"),"종결 표시",IF(OR(J1038="기후부협의",J1038="문서재제출요청",J1038="보류",J1038="보완요청",J1038="보완완료",J1038="평가중",J1038="반려요청",J1038="평가필요",LEFT(J1038,5)="보완요청("),"미종결 표시","상태 확인 필요"))</x:f>
        <x:v>종결 표시</x:v>
      </x:c>
      <x:c r="L1038" s="2" t="str">
        <x:v>에코시안_정인혜,박세은&gt;박세은,권송화</x:v>
      </x:c>
      <x:c r="M1038" s="2"/>
      <x:c r="N1038" s="8" t="n">
        <x:f>DATE(2026,10,15)-DATE(2022,7,8)</x:f>
        <x:v>1560</x:v>
      </x:c>
      <x:c r="O1038" s="2" t="str">
        <x:v>O(22.10)</x:v>
      </x:c>
      <x:c r="P1038" s="2"/>
      <x:c r="Q1038" s="2" t="str">
        <x:v>산업전환_외부사업관리Tool_260707_이너젠 수정_LJY_261013.xlsx</x:v>
      </x:c>
      <x:c r="R1038" s="2" t="str">
        <x:v>국내평가</x:v>
      </x:c>
      <x:c r="S1038" s="8" t="n">
        <x:v>941</x:v>
      </x:c>
      <x:c r="T1038" s="2" t="str">
        <x:v>(7/13),(9/19),(12/8)</x:v>
      </x:c>
      <x:c r="U1038" s="2" t="str">
        <x:v>2022 배정(신규): (7/13),(9/19),(12/8)</x:v>
      </x:c>
      <x:c r="V1038" s="2" t="str">
        <x:v>2023-03-30</x:v>
      </x:c>
      <x:c r="W1038" s="2" t="str"/>
      <x:c r="X1038" s="2" t="str">
        <x:v>종결 근거 보관</x:v>
      </x:c>
      <x:c r="Y1038" s="2" t="str">
        <x:v>ad210cd9ec132cfd447541c8984dc53d30aff0f4fb2dc92d254d49275cc55976</x:v>
      </x:c>
      <x:c r="Z1038" s="2" t="n">
        <x:f>SUBTOTAL(103,A1038)</x:f>
        <x:v>1</x:v>
      </x:c>
      <x:c r="AA1038" s="2" t="str">
        <x:f>IF(K1038&lt;&gt;"미종결 표시","대상 아님",IF(N1038="","신청일 확인",IF(NOT(ISNUMBER('종합 현황'!$H$5)),"관찰기준 확인",IF('종합 현황'!$H$5&lt;1,"관찰기준 확인",IF(N1038&gt;'종합 현황'!$H$5,"내부 관찰 대상","내부 관찰일 이하")))))</x:f>
        <x:v>대상 아님</x:v>
      </x:c>
      <x:c r="AB1038" s="2"/>
    </x:row>
    <x:row r="1039" ht="42" customHeight="1">
      <x:c r="A1039" s="2" t="str">
        <x:v>816544974614d82a22430883</x:v>
      </x:c>
      <x:c r="B1039" s="2" t="str">
        <x:v>사업 평가</x:v>
      </x:c>
      <x:c r="C1039" s="2" t="str">
        <x:v>국내</x:v>
      </x:c>
      <x:c r="D1039" s="7" t="str">
        <x:v>한마음 폐열회수를 통한 온실가스 배출 감축사업</x:v>
      </x:c>
      <x:c r="E1039" s="2" t="str">
        <x:v>900</x:v>
      </x:c>
      <x:c r="F1039" s="2" t="str">
        <x:v>2022-07-08</x:v>
      </x:c>
      <x:c r="G1039" s="2" t="str">
        <x:v>2022</x:v>
      </x:c>
      <x:c r="H1039" s="2" t="str">
        <x:v>07</x:v>
      </x:c>
      <x:c r="I1039" s="2" t="str">
        <x:v>반려</x:v>
      </x:c>
      <x:c r="J1039" s="2" t="str">
        <x:v>반려</x:v>
      </x:c>
      <x:c r="K1039" s="2" t="str">
        <x:f>IF(OR(J1039="심의승인",J1039="반려",J1039="반려완료",J1039="심의완료"),"종결 표시",IF(OR(J1039="기후부협의",J1039="문서재제출요청",J1039="보류",J1039="보완요청",J1039="보완완료",J1039="평가중",J1039="반려요청",J1039="평가필요",LEFT(J1039,5)="보완요청("),"미종결 표시","상태 확인 필요"))</x:f>
        <x:v>종결 표시</x:v>
      </x:c>
      <x:c r="L1039" s="2" t="str">
        <x:v>에코시안_조혜민,기샛별</x:v>
      </x:c>
      <x:c r="M1039" s="2"/>
      <x:c r="N1039" s="8" t="n">
        <x:f>DATE(2026,10,15)-DATE(2022,7,8)</x:f>
        <x:v>1560</x:v>
      </x:c>
      <x:c r="O1039" s="2" t="str">
        <x:v>-</x:v>
      </x:c>
      <x:c r="P1039" s="2"/>
      <x:c r="Q1039" s="2" t="str">
        <x:v>산업전환_외부사업관리Tool_260707_이너젠 수정_LJY_261013.xlsx</x:v>
      </x:c>
      <x:c r="R1039" s="2" t="str">
        <x:v>국내평가</x:v>
      </x:c>
      <x:c r="S1039" s="8" t="n">
        <x:v>942</x:v>
      </x:c>
      <x:c r="T1039" s="2" t="str">
        <x:v>(7/13),(9/19)</x:v>
      </x:c>
      <x:c r="U1039" s="2" t="str">
        <x:v>2022 배정(신규): (7/13),(9/19)</x:v>
      </x:c>
      <x:c r="V1039" s="2" t="str">
        <x:v>2023-03-30</x:v>
      </x:c>
      <x:c r="W1039" s="2" t="str"/>
      <x:c r="X1039" s="2" t="str">
        <x:v>종결 근거 보관</x:v>
      </x:c>
      <x:c r="Y1039" s="2" t="str">
        <x:v>ad210cd9ec132cfd447541c8984dc53d30aff0f4fb2dc92d254d49275cc55976</x:v>
      </x:c>
      <x:c r="Z1039" s="2" t="n">
        <x:f>SUBTOTAL(103,A1039)</x:f>
        <x:v>1</x:v>
      </x:c>
      <x:c r="AA1039" s="2" t="str">
        <x:f>IF(K1039&lt;&gt;"미종결 표시","대상 아님",IF(N1039="","신청일 확인",IF(NOT(ISNUMBER('종합 현황'!$H$5)),"관찰기준 확인",IF('종합 현황'!$H$5&lt;1,"관찰기준 확인",IF(N1039&gt;'종합 현황'!$H$5,"내부 관찰 대상","내부 관찰일 이하")))))</x:f>
        <x:v>대상 아님</x:v>
      </x:c>
      <x:c r="AB1039" s="2"/>
    </x:row>
    <x:row r="1040" ht="42" customHeight="1">
      <x:c r="A1040" s="2" t="str">
        <x:v>89ab3f6cca6417e95ba0df7b</x:v>
      </x:c>
      <x:c r="B1040" s="2" t="str">
        <x:v>사업 평가</x:v>
      </x:c>
      <x:c r="C1040" s="2" t="str">
        <x:v>국내</x:v>
      </x:c>
      <x:c r="D1040" s="7" t="str">
        <x:v>한아름 폐열회수를 통한 온실가스 배출 감축사업</x:v>
      </x:c>
      <x:c r="E1040" s="2" t="str">
        <x:v>901</x:v>
      </x:c>
      <x:c r="F1040" s="2" t="str">
        <x:v>2022-07-08</x:v>
      </x:c>
      <x:c r="G1040" s="2" t="str">
        <x:v>2022</x:v>
      </x:c>
      <x:c r="H1040" s="2" t="str">
        <x:v>07</x:v>
      </x:c>
      <x:c r="I1040" s="2" t="str">
        <x:v>반려</x:v>
      </x:c>
      <x:c r="J1040" s="2" t="str">
        <x:v>반려</x:v>
      </x:c>
      <x:c r="K1040" s="2" t="str">
        <x:f>IF(OR(J1040="심의승인",J1040="반려",J1040="반려완료",J1040="심의완료"),"종결 표시",IF(OR(J1040="기후부협의",J1040="문서재제출요청",J1040="보류",J1040="보완요청",J1040="보완완료",J1040="평가중",J1040="반려요청",J1040="평가필요",LEFT(J1040,5)="보완요청("),"미종결 표시","상태 확인 필요"))</x:f>
        <x:v>종결 표시</x:v>
      </x:c>
      <x:c r="L1040" s="2" t="str">
        <x:v>에코시안_조혜민,기샛별</x:v>
      </x:c>
      <x:c r="M1040" s="2"/>
      <x:c r="N1040" s="8" t="n">
        <x:f>DATE(2026,10,15)-DATE(2022,7,8)</x:f>
        <x:v>1560</x:v>
      </x:c>
      <x:c r="O1040" s="2" t="str">
        <x:v>-</x:v>
      </x:c>
      <x:c r="P1040" s="2"/>
      <x:c r="Q1040" s="2" t="str">
        <x:v>산업전환_외부사업관리Tool_260707_이너젠 수정_LJY_261013.xlsx</x:v>
      </x:c>
      <x:c r="R1040" s="2" t="str">
        <x:v>국내평가</x:v>
      </x:c>
      <x:c r="S1040" s="8" t="n">
        <x:v>943</x:v>
      </x:c>
      <x:c r="T1040" s="2" t="str">
        <x:v>(7/13),(9/19)</x:v>
      </x:c>
      <x:c r="U1040" s="2" t="str">
        <x:v>2022 배정(신규): (7/13),(9/19)</x:v>
      </x:c>
      <x:c r="V1040" s="2" t="str">
        <x:v>2023-03-30</x:v>
      </x:c>
      <x:c r="W1040" s="2" t="str"/>
      <x:c r="X1040" s="2" t="str">
        <x:v>종결 근거 보관</x:v>
      </x:c>
      <x:c r="Y1040" s="2" t="str">
        <x:v>ad210cd9ec132cfd447541c8984dc53d30aff0f4fb2dc92d254d49275cc55976</x:v>
      </x:c>
      <x:c r="Z1040" s="2" t="n">
        <x:f>SUBTOTAL(103,A1040)</x:f>
        <x:v>1</x:v>
      </x:c>
      <x:c r="AA1040" s="2" t="str">
        <x:f>IF(K1040&lt;&gt;"미종결 표시","대상 아님",IF(N1040="","신청일 확인",IF(NOT(ISNUMBER('종합 현황'!$H$5)),"관찰기준 확인",IF('종합 현황'!$H$5&lt;1,"관찰기준 확인",IF(N1040&gt;'종합 현황'!$H$5,"내부 관찰 대상","내부 관찰일 이하")))))</x:f>
        <x:v>대상 아님</x:v>
      </x:c>
      <x:c r="AB1040" s="2"/>
    </x:row>
    <x:row r="1041" ht="42" customHeight="1">
      <x:c r="A1041" s="2" t="str">
        <x:v>35c3dba13027d9fd935c6365</x:v>
      </x:c>
      <x:c r="B1041" s="2" t="str">
        <x:v>사업 평가</x:v>
      </x:c>
      <x:c r="C1041" s="2" t="str">
        <x:v>국내</x:v>
      </x:c>
      <x:c r="D1041" s="7" t="str">
        <x:v>서울형 에너지복지 태양광발전 프로그램 감축사업</x:v>
      </x:c>
      <x:c r="E1041" s="2" t="str">
        <x:v>902</x:v>
      </x:c>
      <x:c r="F1041" s="2" t="str">
        <x:v>2022-04-04</x:v>
      </x:c>
      <x:c r="G1041" s="2" t="str">
        <x:v>2022</x:v>
      </x:c>
      <x:c r="H1041" s="2" t="str">
        <x:v>04</x:v>
      </x:c>
      <x:c r="I1041" s="2" t="str">
        <x:v>승인</x:v>
      </x:c>
      <x:c r="J1041" s="2" t="str">
        <x:v>심의승인</x:v>
      </x:c>
      <x:c r="K1041" s="2" t="str">
        <x:f>IF(OR(J1041="심의승인",J1041="반려",J1041="반려완료",J1041="심의완료"),"종결 표시",IF(OR(J1041="기후부협의",J1041="문서재제출요청",J1041="보류",J1041="보완요청",J1041="보완완료",J1041="평가중",J1041="반려요청",J1041="평가필요",LEFT(J1041,5)="보완요청("),"미종결 표시","상태 확인 필요"))</x:f>
        <x:v>종결 표시</x:v>
      </x:c>
      <x:c r="L1041" s="2" t="str">
        <x:v>에코시안_권송화</x:v>
      </x:c>
      <x:c r="M1041" s="2"/>
      <x:c r="N1041" s="8" t="n">
        <x:f>DATE(2026,10,15)-DATE(2022,4,4)</x:f>
        <x:v>1655</x:v>
      </x:c>
      <x:c r="O1041" s="2" t="str">
        <x:v>생략(기승인사업O)</x:v>
      </x:c>
      <x:c r="P1041" s="2"/>
      <x:c r="Q1041" s="2" t="str">
        <x:v>산업전환_외부사업관리Tool_260707_이너젠 수정_LJY_261013.xlsx</x:v>
      </x:c>
      <x:c r="R1041" s="2" t="str">
        <x:v>국내평가</x:v>
      </x:c>
      <x:c r="S1041" s="8" t="n">
        <x:v>944</x:v>
      </x:c>
      <x:c r="T1041" s="2" t="str">
        <x:v>(4/19)</x:v>
      </x:c>
      <x:c r="U1041" s="2" t="str">
        <x:v>2022 배정: (4/19) / 2022 배정(신규): (6/10)</x:v>
      </x:c>
      <x:c r="V1041" s="2" t="str">
        <x:v>2022-12-23</x:v>
      </x:c>
      <x:c r="W1041" s="2" t="str"/>
      <x:c r="X1041" s="2" t="str">
        <x:v>종결 근거 보관</x:v>
      </x:c>
      <x:c r="Y1041" s="2" t="str">
        <x:v>ad210cd9ec132cfd447541c8984dc53d30aff0f4fb2dc92d254d49275cc55976</x:v>
      </x:c>
      <x:c r="Z1041" s="2" t="n">
        <x:f>SUBTOTAL(103,A1041)</x:f>
        <x:v>1</x:v>
      </x:c>
      <x:c r="AA1041" s="2" t="str">
        <x:f>IF(K1041&lt;&gt;"미종결 표시","대상 아님",IF(N1041="","신청일 확인",IF(NOT(ISNUMBER('종합 현황'!$H$5)),"관찰기준 확인",IF('종합 현황'!$H$5&lt;1,"관찰기준 확인",IF(N1041&gt;'종합 현황'!$H$5,"내부 관찰 대상","내부 관찰일 이하")))))</x:f>
        <x:v>대상 아님</x:v>
      </x:c>
      <x:c r="AB1041" s="2"/>
    </x:row>
    <x:row r="1042" ht="42" customHeight="1">
      <x:c r="A1042" s="2" t="str">
        <x:v>ae66a046c97ad04707b39f8b</x:v>
      </x:c>
      <x:c r="B1042" s="2" t="str">
        <x:v>사업 평가</x:v>
      </x:c>
      <x:c r="C1042" s="2" t="str">
        <x:v>국내</x:v>
      </x:c>
      <x:c r="D1042" s="7" t="str">
        <x:v>서울형 에너지복지 태양광발전 프로그램 감축사업</x:v>
      </x:c>
      <x:c r="E1042" s="2" t="str">
        <x:v>903</x:v>
      </x:c>
      <x:c r="F1042" s="2" t="str">
        <x:v>2021-12-23</x:v>
      </x:c>
      <x:c r="G1042" s="2" t="str">
        <x:v>2021</x:v>
      </x:c>
      <x:c r="H1042" s="2" t="str">
        <x:v>12</x:v>
      </x:c>
      <x:c r="I1042" s="2" t="str">
        <x:v>승인</x:v>
      </x:c>
      <x:c r="J1042" s="2" t="str">
        <x:v>심의승인</x:v>
      </x:c>
      <x:c r="K1042" s="2" t="str">
        <x:f>IF(OR(J1042="심의승인",J1042="반려",J1042="반려완료",J1042="심의완료"),"종결 표시",IF(OR(J1042="기후부협의",J1042="문서재제출요청",J1042="보류",J1042="보완요청",J1042="보완완료",J1042="평가중",J1042="반려요청",J1042="평가필요",LEFT(J1042,5)="보완요청("),"미종결 표시","상태 확인 필요"))</x:f>
        <x:v>종결 표시</x:v>
      </x:c>
      <x:c r="L1042" s="2" t="str">
        <x:v>에코시안_정다윤</x:v>
      </x:c>
      <x:c r="M1042" s="2"/>
      <x:c r="N1042" s="8" t="n">
        <x:f>DATE(2026,10,15)-DATE(2021,12,23)</x:f>
        <x:v>1757</x:v>
      </x:c>
      <x:c r="O1042" s="2" t="str">
        <x:v>생략(기승인사업O)</x:v>
      </x:c>
      <x:c r="P1042" s="2"/>
      <x:c r="Q1042" s="2" t="str">
        <x:v>산업전환_외부사업관리Tool_260707_이너젠 수정_LJY_261013.xlsx</x:v>
      </x:c>
      <x:c r="R1042" s="2" t="str">
        <x:v>국내평가</x:v>
      </x:c>
      <x:c r="S1042" s="8" t="n">
        <x:v>945</x:v>
      </x:c>
      <x:c r="T1042" s="2" t="str">
        <x:v>(4/19)</x:v>
      </x:c>
      <x:c r="U1042" s="2" t="str">
        <x:v>2022 배정: (4/19) / 2022 배정(신규): (6/10)</x:v>
      </x:c>
      <x:c r="V1042" s="2" t="str">
        <x:v>2022-12-23</x:v>
      </x:c>
      <x:c r="W1042" s="2" t="str"/>
      <x:c r="X1042" s="2" t="str">
        <x:v>종결 근거 보관</x:v>
      </x:c>
      <x:c r="Y1042" s="2" t="str">
        <x:v>ad210cd9ec132cfd447541c8984dc53d30aff0f4fb2dc92d254d49275cc55976</x:v>
      </x:c>
      <x:c r="Z1042" s="2" t="n">
        <x:f>SUBTOTAL(103,A1042)</x:f>
        <x:v>1</x:v>
      </x:c>
      <x:c r="AA1042" s="2" t="str">
        <x:f>IF(K1042&lt;&gt;"미종결 표시","대상 아님",IF(N1042="","신청일 확인",IF(NOT(ISNUMBER('종합 현황'!$H$5)),"관찰기준 확인",IF('종합 현황'!$H$5&lt;1,"관찰기준 확인",IF(N1042&gt;'종합 현황'!$H$5,"내부 관찰 대상","내부 관찰일 이하")))))</x:f>
        <x:v>대상 아님</x:v>
      </x:c>
      <x:c r="AB1042" s="2"/>
    </x:row>
    <x:row r="1043" ht="42" customHeight="1">
      <x:c r="A1043" s="2" t="str">
        <x:v>def8903510e75f1ed882c408</x:v>
      </x:c>
      <x:c r="B1043" s="2" t="str">
        <x:v>사업 평가</x:v>
      </x:c>
      <x:c r="C1043" s="2" t="str">
        <x:v>국내</x:v>
      </x:c>
      <x:c r="D1043" s="7" t="str">
        <x:v>경남하이웨이(주) 도로조명 LED 조명기기 교체를 통한 온실가스 감축 사업</x:v>
      </x:c>
      <x:c r="E1043" s="2" t="str">
        <x:v>904</x:v>
      </x:c>
      <x:c r="F1043" s="2" t="str">
        <x:v>2022-08-10</x:v>
      </x:c>
      <x:c r="G1043" s="2" t="str">
        <x:v>2022</x:v>
      </x:c>
      <x:c r="H1043" s="2" t="str">
        <x:v>08</x:v>
      </x:c>
      <x:c r="I1043" s="2" t="str">
        <x:v>승인</x:v>
      </x:c>
      <x:c r="J1043" s="2" t="str">
        <x:v>심의승인</x:v>
      </x:c>
      <x:c r="K1043" s="2" t="str">
        <x:f>IF(OR(J1043="심의승인",J1043="반려",J1043="반려완료",J1043="심의완료"),"종결 표시",IF(OR(J1043="기후부협의",J1043="문서재제출요청",J1043="보류",J1043="보완요청",J1043="보완완료",J1043="평가중",J1043="반려요청",J1043="평가필요",LEFT(J1043,5)="보완요청("),"미종결 표시","상태 확인 필요"))</x:f>
        <x:v>종결 표시</x:v>
      </x:c>
      <x:c r="L1043" s="2" t="str">
        <x:v>KECM_임하진</x:v>
      </x:c>
      <x:c r="M1043" s="2"/>
      <x:c r="N1043" s="8" t="n">
        <x:f>DATE(2026,10,15)-DATE(2022,8,10)</x:f>
        <x:v>1527</x:v>
      </x:c>
      <x:c r="O1043" s="2" t="str">
        <x:v>생략</x:v>
      </x:c>
      <x:c r="P1043" s="2"/>
      <x:c r="Q1043" s="2" t="str">
        <x:v>산업전환_외부사업관리Tool_260707_이너젠 수정_LJY_261013.xlsx</x:v>
      </x:c>
      <x:c r="R1043" s="2" t="str">
        <x:v>국내평가</x:v>
      </x:c>
      <x:c r="S1043" s="8" t="n">
        <x:v>946</x:v>
      </x:c>
      <x:c r="T1043" s="2" t="str">
        <x:v>(8/16)</x:v>
      </x:c>
      <x:c r="U1043" s="2" t="str">
        <x:v>2022 배정(신규): (8/16)</x:v>
      </x:c>
      <x:c r="V1043" s="2" t="str">
        <x:v>2023-02-09</x:v>
      </x:c>
      <x:c r="W1043" s="2" t="str"/>
      <x:c r="X1043" s="2" t="str">
        <x:v>종결 근거 보관</x:v>
      </x:c>
      <x:c r="Y1043" s="2" t="str">
        <x:v>ad210cd9ec132cfd447541c8984dc53d30aff0f4fb2dc92d254d49275cc55976</x:v>
      </x:c>
      <x:c r="Z1043" s="2" t="n">
        <x:f>SUBTOTAL(103,A1043)</x:f>
        <x:v>1</x:v>
      </x:c>
      <x:c r="AA1043" s="2" t="str">
        <x:f>IF(K1043&lt;&gt;"미종결 표시","대상 아님",IF(N1043="","신청일 확인",IF(NOT(ISNUMBER('종합 현황'!$H$5)),"관찰기준 확인",IF('종합 현황'!$H$5&lt;1,"관찰기준 확인",IF(N1043&gt;'종합 현황'!$H$5,"내부 관찰 대상","내부 관찰일 이하")))))</x:f>
        <x:v>대상 아님</x:v>
      </x:c>
      <x:c r="AB1043" s="2"/>
    </x:row>
    <x:row r="1044" ht="42" customHeight="1">
      <x:c r="A1044" s="2" t="str">
        <x:v>c6fa8fcbd315a3c0b4dbfa72</x:v>
      </x:c>
      <x:c r="B1044" s="2" t="str">
        <x:v>사업 평가</x:v>
      </x:c>
      <x:c r="C1044" s="2" t="str">
        <x:v>국내</x:v>
      </x:c>
      <x:c r="D1044" s="7" t="str">
        <x:v>석문산업㈜의 연료전환(B-C유, 정제유→LPG)을 통한 온실가스 배출 감축사업</x:v>
      </x:c>
      <x:c r="E1044" s="2" t="str">
        <x:v>905</x:v>
      </x:c>
      <x:c r="F1044" s="2" t="str">
        <x:v>2022-07-13</x:v>
      </x:c>
      <x:c r="G1044" s="2" t="str">
        <x:v>2022</x:v>
      </x:c>
      <x:c r="H1044" s="2" t="str">
        <x:v>07</x:v>
      </x:c>
      <x:c r="I1044" s="2" t="str">
        <x:v>승인</x:v>
      </x:c>
      <x:c r="J1044" s="2" t="str">
        <x:v>심의승인</x:v>
      </x:c>
      <x:c r="K1044" s="2" t="str">
        <x:f>IF(OR(J1044="심의승인",J1044="반려",J1044="반려완료",J1044="심의완료"),"종결 표시",IF(OR(J1044="기후부협의",J1044="문서재제출요청",J1044="보류",J1044="보완요청",J1044="보완완료",J1044="평가중",J1044="반려요청",J1044="평가필요",LEFT(J1044,5)="보완요청("),"미종결 표시","상태 확인 필요"))</x:f>
        <x:v>종결 표시</x:v>
      </x:c>
      <x:c r="L1044" s="2" t="str">
        <x:v>KECM_이태준</x:v>
      </x:c>
      <x:c r="M1044" s="2"/>
      <x:c r="N1044" s="8" t="n">
        <x:f>DATE(2026,10,15)-DATE(2022,7,13)</x:f>
        <x:v>1555</x:v>
      </x:c>
      <x:c r="O1044" s="2" t="str">
        <x:v>생략(반려 전 기 방문)</x:v>
      </x:c>
      <x:c r="P1044" s="2" t="str">
        <x:v>LPG 재신청, 제51차 인증위</x:v>
      </x:c>
      <x:c r="Q1044" s="2" t="str">
        <x:v>산업전환_외부사업관리Tool_260707_이너젠 수정_LJY_261013.xlsx</x:v>
      </x:c>
      <x:c r="R1044" s="2" t="str">
        <x:v>국내평가</x:v>
      </x:c>
      <x:c r="S1044" s="8" t="n">
        <x:v>947</x:v>
      </x:c>
      <x:c r="T1044" s="2" t="str">
        <x:v>(8/16),(10/19),(12/27)</x:v>
      </x:c>
      <x:c r="U1044" s="2" t="str">
        <x:v>2022 배정(신규): (8/16),(10/19),(12/27) / 2023 배정: (4/21)</x:v>
      </x:c>
      <x:c r="V1044" s="2" t="str">
        <x:v>2023-06-15</x:v>
      </x:c>
      <x:c r="W1044" s="2" t="str"/>
      <x:c r="X1044" s="2" t="str">
        <x:v>종결 근거 보관</x:v>
      </x:c>
      <x:c r="Y1044" s="2" t="str">
        <x:v>ad210cd9ec132cfd447541c8984dc53d30aff0f4fb2dc92d254d49275cc55976</x:v>
      </x:c>
      <x:c r="Z1044" s="2" t="n">
        <x:f>SUBTOTAL(103,A1044)</x:f>
        <x:v>1</x:v>
      </x:c>
      <x:c r="AA1044" s="2" t="str">
        <x:f>IF(K1044&lt;&gt;"미종결 표시","대상 아님",IF(N1044="","신청일 확인",IF(NOT(ISNUMBER('종합 현황'!$H$5)),"관찰기준 확인",IF('종합 현황'!$H$5&lt;1,"관찰기준 확인",IF(N1044&gt;'종합 현황'!$H$5,"내부 관찰 대상","내부 관찰일 이하")))))</x:f>
        <x:v>대상 아님</x:v>
      </x:c>
      <x:c r="AB1044" s="2"/>
    </x:row>
    <x:row r="1045" ht="42" customHeight="1">
      <x:c r="A1045" s="2" t="str">
        <x:v>26d748a5b7e2f6a5b997ece3</x:v>
      </x:c>
      <x:c r="B1045" s="2" t="str">
        <x:v>사업 평가</x:v>
      </x:c>
      <x:c r="C1045" s="2" t="str">
        <x:v>국내</x:v>
      </x:c>
      <x:c r="D1045" s="7" t="str">
        <x:v>㈜대원환경산업의 연료전환(B-C유→LPG)을 통한 온실가스 배출 감축사업</x:v>
      </x:c>
      <x:c r="E1045" s="2" t="str">
        <x:v>906</x:v>
      </x:c>
      <x:c r="F1045" s="2" t="str">
        <x:v>2022-07-13</x:v>
      </x:c>
      <x:c r="G1045" s="2" t="str">
        <x:v>2022</x:v>
      </x:c>
      <x:c r="H1045" s="2" t="str">
        <x:v>07</x:v>
      </x:c>
      <x:c r="I1045" s="2" t="str">
        <x:v>승인</x:v>
      </x:c>
      <x:c r="J1045" s="2" t="str">
        <x:v>심의승인</x:v>
      </x:c>
      <x:c r="K1045" s="2" t="str">
        <x:f>IF(OR(J1045="심의승인",J1045="반려",J1045="반려완료",J1045="심의완료"),"종결 표시",IF(OR(J1045="기후부협의",J1045="문서재제출요청",J1045="보류",J1045="보완요청",J1045="보완완료",J1045="평가중",J1045="반려요청",J1045="평가필요",LEFT(J1045,5)="보완요청("),"미종결 표시","상태 확인 필요"))</x:f>
        <x:v>종결 표시</x:v>
      </x:c>
      <x:c r="L1045" s="2" t="str">
        <x:v>에코시안_조영우</x:v>
      </x:c>
      <x:c r="M1045" s="2"/>
      <x:c r="N1045" s="8" t="n">
        <x:f>DATE(2026,10,15)-DATE(2022,7,13)</x:f>
        <x:v>1555</x:v>
      </x:c>
      <x:c r="O1045" s="2" t="str">
        <x:v>생략(반려 전 기 방문)</x:v>
      </x:c>
      <x:c r="P1045" s="2" t="str">
        <x:v>LPG 재신청</x:v>
      </x:c>
      <x:c r="Q1045" s="2" t="str">
        <x:v>산업전환_외부사업관리Tool_260707_이너젠 수정_LJY_261013.xlsx</x:v>
      </x:c>
      <x:c r="R1045" s="2" t="str">
        <x:v>국내평가</x:v>
      </x:c>
      <x:c r="S1045" s="8" t="n">
        <x:v>948</x:v>
      </x:c>
      <x:c r="T1045" s="2" t="str">
        <x:v>(8/16),(10/19),(12/27)</x:v>
      </x:c>
      <x:c r="U1045" s="2" t="str">
        <x:v>2022 배정(신규): (8/16),(10/19),(12/27) / 2023 배정: (3/13),(4/3),(4/21)</x:v>
      </x:c>
      <x:c r="V1045" s="2" t="str">
        <x:v>2023-09-21</x:v>
      </x:c>
      <x:c r="W1045" s="2" t="str"/>
      <x:c r="X1045" s="2" t="str">
        <x:v>종결 근거 보관</x:v>
      </x:c>
      <x:c r="Y1045" s="2" t="str">
        <x:v>ad210cd9ec132cfd447541c8984dc53d30aff0f4fb2dc92d254d49275cc55976</x:v>
      </x:c>
      <x:c r="Z1045" s="2" t="n">
        <x:f>SUBTOTAL(103,A1045)</x:f>
        <x:v>1</x:v>
      </x:c>
      <x:c r="AA1045" s="2" t="str">
        <x:f>IF(K1045&lt;&gt;"미종결 표시","대상 아님",IF(N1045="","신청일 확인",IF(NOT(ISNUMBER('종합 현황'!$H$5)),"관찰기준 확인",IF('종합 현황'!$H$5&lt;1,"관찰기준 확인",IF(N1045&gt;'종합 현황'!$H$5,"내부 관찰 대상","내부 관찰일 이하")))))</x:f>
        <x:v>대상 아님</x:v>
      </x:c>
      <x:c r="AB1045" s="2"/>
    </x:row>
    <x:row r="1046" ht="42" customHeight="1">
      <x:c r="A1046" s="2" t="str">
        <x:v>250f2dffd7e39918288a5884</x:v>
      </x:c>
      <x:c r="B1046" s="2" t="str">
        <x:v>사업 평가</x:v>
      </x:c>
      <x:c r="C1046" s="2" t="str">
        <x:v>국내</x:v>
      </x:c>
      <x:c r="D1046" s="7" t="str">
        <x:v>제석아스콘㈜의 연료전환(B-C유→LPG)을 통한 온실가스 배출 감축사업</x:v>
      </x:c>
      <x:c r="E1046" s="2" t="str">
        <x:v>907</x:v>
      </x:c>
      <x:c r="F1046" s="2" t="str">
        <x:v>2022-07-13</x:v>
      </x:c>
      <x:c r="G1046" s="2" t="str">
        <x:v>2022</x:v>
      </x:c>
      <x:c r="H1046" s="2" t="str">
        <x:v>07</x:v>
      </x:c>
      <x:c r="I1046" s="2" t="str">
        <x:v>승인</x:v>
      </x:c>
      <x:c r="J1046" s="2" t="str">
        <x:v>심의승인</x:v>
      </x:c>
      <x:c r="K1046" s="2" t="str">
        <x:f>IF(OR(J1046="심의승인",J1046="반려",J1046="반려완료",J1046="심의완료"),"종결 표시",IF(OR(J1046="기후부협의",J1046="문서재제출요청",J1046="보류",J1046="보완요청",J1046="보완완료",J1046="평가중",J1046="반려요청",J1046="평가필요",LEFT(J1046,5)="보완요청("),"미종결 표시","상태 확인 필요"))</x:f>
        <x:v>종결 표시</x:v>
      </x:c>
      <x:c r="L1046" s="2" t="str">
        <x:v>에코시안_기샛별&gt;전윤호</x:v>
      </x:c>
      <x:c r="M1046" s="2"/>
      <x:c r="N1046" s="8" t="n">
        <x:f>DATE(2026,10,15)-DATE(2022,7,13)</x:f>
        <x:v>1555</x:v>
      </x:c>
      <x:c r="O1046" s="2" t="str">
        <x:v>O(22.11)</x:v>
      </x:c>
      <x:c r="P1046" s="2" t="str">
        <x:v>LPG 재신청</x:v>
      </x:c>
      <x:c r="Q1046" s="2" t="str">
        <x:v>산업전환_외부사업관리Tool_260707_이너젠 수정_LJY_261013.xlsx</x:v>
      </x:c>
      <x:c r="R1046" s="2" t="str">
        <x:v>국내평가</x:v>
      </x:c>
      <x:c r="S1046" s="8" t="n">
        <x:v>949</x:v>
      </x:c>
      <x:c r="T1046" s="2" t="str">
        <x:v>(8/16),(10/19),(12/27)</x:v>
      </x:c>
      <x:c r="U1046" s="2" t="str">
        <x:v>2022 배정(신규): (8/16),(10/19),(12/27) / 2023 배정: (3/13),(4/21)</x:v>
      </x:c>
      <x:c r="V1046" s="2" t="str">
        <x:v>2023-09-21</x:v>
      </x:c>
      <x:c r="W1046" s="2" t="str"/>
      <x:c r="X1046" s="2" t="str">
        <x:v>종결 근거 보관</x:v>
      </x:c>
      <x:c r="Y1046" s="2" t="str">
        <x:v>ad210cd9ec132cfd447541c8984dc53d30aff0f4fb2dc92d254d49275cc55976</x:v>
      </x:c>
      <x:c r="Z1046" s="2" t="n">
        <x:f>SUBTOTAL(103,A1046)</x:f>
        <x:v>1</x:v>
      </x:c>
      <x:c r="AA1046" s="2" t="str">
        <x:f>IF(K1046&lt;&gt;"미종결 표시","대상 아님",IF(N1046="","신청일 확인",IF(NOT(ISNUMBER('종합 현황'!$H$5)),"관찰기준 확인",IF('종합 현황'!$H$5&lt;1,"관찰기준 확인",IF(N1046&gt;'종합 현황'!$H$5,"내부 관찰 대상","내부 관찰일 이하")))))</x:f>
        <x:v>대상 아님</x:v>
      </x:c>
      <x:c r="AB1046" s="2"/>
    </x:row>
    <x:row r="1047" ht="42" customHeight="1">
      <x:c r="A1047" s="2" t="str">
        <x:v>141043a23583f477ca37aeb5</x:v>
      </x:c>
      <x:c r="B1047" s="2" t="str">
        <x:v>사업 평가</x:v>
      </x:c>
      <x:c r="C1047" s="2" t="str">
        <x:v>국내</x:v>
      </x:c>
      <x:c r="D1047" s="7" t="str">
        <x:v>서남아스콘㈜의 연료전환(B-C유→LPG)을 통한 온실가스 배출 감축사업</x:v>
      </x:c>
      <x:c r="E1047" s="2" t="str">
        <x:v>908</x:v>
      </x:c>
      <x:c r="F1047" s="2" t="str">
        <x:v>2022-07-13</x:v>
      </x:c>
      <x:c r="G1047" s="2" t="str">
        <x:v>2022</x:v>
      </x:c>
      <x:c r="H1047" s="2" t="str">
        <x:v>07</x:v>
      </x:c>
      <x:c r="I1047" s="2" t="str">
        <x:v>승인</x:v>
      </x:c>
      <x:c r="J1047" s="2" t="str">
        <x:v>심의승인</x:v>
      </x:c>
      <x:c r="K1047" s="2" t="str">
        <x:f>IF(OR(J1047="심의승인",J1047="반려",J1047="반려완료",J1047="심의완료"),"종결 표시",IF(OR(J1047="기후부협의",J1047="문서재제출요청",J1047="보류",J1047="보완요청",J1047="보완완료",J1047="평가중",J1047="반려요청",J1047="평가필요",LEFT(J1047,5)="보완요청("),"미종결 표시","상태 확인 필요"))</x:f>
        <x:v>종결 표시</x:v>
      </x:c>
      <x:c r="L1047" s="2" t="str">
        <x:v>KECM_이태준</x:v>
      </x:c>
      <x:c r="M1047" s="2"/>
      <x:c r="N1047" s="8" t="n">
        <x:f>DATE(2026,10,15)-DATE(2022,7,13)</x:f>
        <x:v>1555</x:v>
      </x:c>
      <x:c r="O1047" s="2" t="str">
        <x:v>O(22.11)</x:v>
      </x:c>
      <x:c r="P1047" s="2" t="str">
        <x:v>LPG 재신청, 제51차 인증위</x:v>
      </x:c>
      <x:c r="Q1047" s="2" t="str">
        <x:v>산업전환_외부사업관리Tool_260707_이너젠 수정_LJY_261013.xlsx</x:v>
      </x:c>
      <x:c r="R1047" s="2" t="str">
        <x:v>국내평가</x:v>
      </x:c>
      <x:c r="S1047" s="8" t="n">
        <x:v>950</x:v>
      </x:c>
      <x:c r="T1047" s="2" t="str">
        <x:v>(8/16),(10/19),(12/27)</x:v>
      </x:c>
      <x:c r="U1047" s="2" t="str">
        <x:v>2022 배정(신규): (8/16),(10/19),(12/27) / 2023 배정: (4/21)</x:v>
      </x:c>
      <x:c r="V1047" s="2" t="str">
        <x:v>2023-06-15</x:v>
      </x:c>
      <x:c r="W1047" s="2" t="str"/>
      <x:c r="X1047" s="2" t="str">
        <x:v>종결 근거 보관</x:v>
      </x:c>
      <x:c r="Y1047" s="2" t="str">
        <x:v>ad210cd9ec132cfd447541c8984dc53d30aff0f4fb2dc92d254d49275cc55976</x:v>
      </x:c>
      <x:c r="Z1047" s="2" t="n">
        <x:f>SUBTOTAL(103,A1047)</x:f>
        <x:v>1</x:v>
      </x:c>
      <x:c r="AA1047" s="2" t="str">
        <x:f>IF(K1047&lt;&gt;"미종결 표시","대상 아님",IF(N1047="","신청일 확인",IF(NOT(ISNUMBER('종합 현황'!$H$5)),"관찰기준 확인",IF('종합 현황'!$H$5&lt;1,"관찰기준 확인",IF(N1047&gt;'종합 현황'!$H$5,"내부 관찰 대상","내부 관찰일 이하")))))</x:f>
        <x:v>대상 아님</x:v>
      </x:c>
      <x:c r="AB1047" s="2"/>
    </x:row>
    <x:row r="1048" ht="42" customHeight="1">
      <x:c r="A1048" s="2" t="str">
        <x:v>2e86368bcd418e7a613d380e</x:v>
      </x:c>
      <x:c r="B1048" s="2" t="str">
        <x:v>사업 평가</x:v>
      </x:c>
      <x:c r="C1048" s="2" t="str">
        <x:v>국내</x:v>
      </x:c>
      <x:c r="D1048" s="7" t="str">
        <x:v>㈜동남아스콘의 연료전환(B-C유→LPG)을 통한 온실가스 배출 감축사업</x:v>
      </x:c>
      <x:c r="E1048" s="2" t="str">
        <x:v>909</x:v>
      </x:c>
      <x:c r="F1048" s="2" t="str">
        <x:v>2022-07-13</x:v>
      </x:c>
      <x:c r="G1048" s="2" t="str">
        <x:v>2022</x:v>
      </x:c>
      <x:c r="H1048" s="2" t="str">
        <x:v>07</x:v>
      </x:c>
      <x:c r="I1048" s="2" t="str">
        <x:v>승인</x:v>
      </x:c>
      <x:c r="J1048" s="2" t="str">
        <x:v>심의승인</x:v>
      </x:c>
      <x:c r="K1048" s="2" t="str">
        <x:f>IF(OR(J1048="심의승인",J1048="반려",J1048="반려완료",J1048="심의완료"),"종결 표시",IF(OR(J1048="기후부협의",J1048="문서재제출요청",J1048="보류",J1048="보완요청",J1048="보완완료",J1048="평가중",J1048="반려요청",J1048="평가필요",LEFT(J1048,5)="보완요청("),"미종결 표시","상태 확인 필요"))</x:f>
        <x:v>종결 표시</x:v>
      </x:c>
      <x:c r="L1048" s="2" t="str">
        <x:v>KECM_이태준</x:v>
      </x:c>
      <x:c r="M1048" s="2"/>
      <x:c r="N1048" s="8" t="n">
        <x:f>DATE(2026,10,15)-DATE(2022,7,13)</x:f>
        <x:v>1555</x:v>
      </x:c>
      <x:c r="O1048" s="2" t="str">
        <x:v>O(22.11)</x:v>
      </x:c>
      <x:c r="P1048" s="2" t="str">
        <x:v>LPG 재신청, 제51차 인증위</x:v>
      </x:c>
      <x:c r="Q1048" s="2" t="str">
        <x:v>산업전환_외부사업관리Tool_260707_이너젠 수정_LJY_261013.xlsx</x:v>
      </x:c>
      <x:c r="R1048" s="2" t="str">
        <x:v>국내평가</x:v>
      </x:c>
      <x:c r="S1048" s="8" t="n">
        <x:v>951</x:v>
      </x:c>
      <x:c r="T1048" s="2" t="str">
        <x:v>(8/16),(10/19),(12/27)</x:v>
      </x:c>
      <x:c r="U1048" s="2" t="str">
        <x:v>2022 배정(신규): (8/16),(10/19),(12/27) / 2023 배정: (4/21)</x:v>
      </x:c>
      <x:c r="V1048" s="2" t="str">
        <x:v>2023-06-15</x:v>
      </x:c>
      <x:c r="W1048" s="2" t="str"/>
      <x:c r="X1048" s="2" t="str">
        <x:v>종결 근거 보관</x:v>
      </x:c>
      <x:c r="Y1048" s="2" t="str">
        <x:v>ad210cd9ec132cfd447541c8984dc53d30aff0f4fb2dc92d254d49275cc55976</x:v>
      </x:c>
      <x:c r="Z1048" s="2" t="n">
        <x:f>SUBTOTAL(103,A1048)</x:f>
        <x:v>1</x:v>
      </x:c>
      <x:c r="AA1048" s="2" t="str">
        <x:f>IF(K1048&lt;&gt;"미종결 표시","대상 아님",IF(N1048="","신청일 확인",IF(NOT(ISNUMBER('종합 현황'!$H$5)),"관찰기준 확인",IF('종합 현황'!$H$5&lt;1,"관찰기준 확인",IF(N1048&gt;'종합 현황'!$H$5,"내부 관찰 대상","내부 관찰일 이하")))))</x:f>
        <x:v>대상 아님</x:v>
      </x:c>
      <x:c r="AB1048" s="2"/>
    </x:row>
    <x:row r="1049" ht="42" customHeight="1">
      <x:c r="A1049" s="2" t="str">
        <x:v>7382c7ddc9152b6d504ecb2c</x:v>
      </x:c>
      <x:c r="B1049" s="2" t="str">
        <x:v>사업 평가</x:v>
      </x:c>
      <x:c r="C1049" s="2" t="str">
        <x:v>국내</x:v>
      </x:c>
      <x:c r="D1049" s="7" t="str">
        <x:v>(유)대연산업 버너 연료전환(B-C유 -&gt; LNG) 온실가스 감축사업</x:v>
      </x:c>
      <x:c r="E1049" s="2" t="str">
        <x:v>910</x:v>
      </x:c>
      <x:c r="F1049" s="2" t="str">
        <x:v>2022-08-16</x:v>
      </x:c>
      <x:c r="G1049" s="2" t="str">
        <x:v>2022</x:v>
      </x:c>
      <x:c r="H1049" s="2" t="str">
        <x:v>08</x:v>
      </x:c>
      <x:c r="I1049" s="2" t="str">
        <x:v>승인</x:v>
      </x:c>
      <x:c r="J1049" s="2" t="str">
        <x:v>심의승인</x:v>
      </x:c>
      <x:c r="K1049" s="2" t="str">
        <x:f>IF(OR(J1049="심의승인",J1049="반려",J1049="반려완료",J1049="심의완료"),"종결 표시",IF(OR(J1049="기후부협의",J1049="문서재제출요청",J1049="보류",J1049="보완요청",J1049="보완완료",J1049="평가중",J1049="반려요청",J1049="평가필요",LEFT(J1049,5)="보완요청("),"미종결 표시","상태 확인 필요"))</x:f>
        <x:v>종결 표시</x:v>
      </x:c>
      <x:c r="L1049" s="2" t="str">
        <x:v>KECM_이태준</x:v>
      </x:c>
      <x:c r="M1049" s="2"/>
      <x:c r="N1049" s="8" t="n">
        <x:f>DATE(2026,10,15)-DATE(2022,8,16)</x:f>
        <x:v>1521</x:v>
      </x:c>
      <x:c r="O1049" s="2" t="str">
        <x:v>O(22.11)</x:v>
      </x:c>
      <x:c r="P1049" s="2"/>
      <x:c r="Q1049" s="2" t="str">
        <x:v>산업전환_외부사업관리Tool_260707_이너젠 수정_LJY_261013.xlsx</x:v>
      </x:c>
      <x:c r="R1049" s="2" t="str">
        <x:v>국내평가</x:v>
      </x:c>
      <x:c r="S1049" s="8" t="n">
        <x:v>952</x:v>
      </x:c>
      <x:c r="T1049" s="2" t="str">
        <x:v>(9/19),(10/19)</x:v>
      </x:c>
      <x:c r="U1049" s="2" t="str">
        <x:v>2022 배정(신규): (9/19),(10/19) / 2023 배정: (6/27),(8/7),(10/27)</x:v>
      </x:c>
      <x:c r="V1049" s="2" t="str">
        <x:v>2024-03-12</x:v>
      </x:c>
      <x:c r="W1049" s="2" t="str"/>
      <x:c r="X1049" s="2" t="str">
        <x:v>종결 근거 보관</x:v>
      </x:c>
      <x:c r="Y1049" s="2" t="str">
        <x:v>ad210cd9ec132cfd447541c8984dc53d30aff0f4fb2dc92d254d49275cc55976</x:v>
      </x:c>
      <x:c r="Z1049" s="2" t="n">
        <x:f>SUBTOTAL(103,A1049)</x:f>
        <x:v>1</x:v>
      </x:c>
      <x:c r="AA1049" s="2" t="str">
        <x:f>IF(K1049&lt;&gt;"미종결 표시","대상 아님",IF(N1049="","신청일 확인",IF(NOT(ISNUMBER('종합 현황'!$H$5)),"관찰기준 확인",IF('종합 현황'!$H$5&lt;1,"관찰기준 확인",IF(N1049&gt;'종합 현황'!$H$5,"내부 관찰 대상","내부 관찰일 이하")))))</x:f>
        <x:v>대상 아님</x:v>
      </x:c>
      <x:c r="AB1049" s="2"/>
    </x:row>
    <x:row r="1050" ht="42" customHeight="1">
      <x:c r="A1050" s="2" t="str">
        <x:v>6ad9fa953a723b473a4e2b2e</x:v>
      </x:c>
      <x:c r="B1050" s="2" t="str">
        <x:v>사업 평가</x:v>
      </x:c>
      <x:c r="C1050" s="2" t="str">
        <x:v>국내</x:v>
      </x:c>
      <x:c r="D1050" s="7" t="str">
        <x:v>디에이치테크 외 5개사의 고효율 공기압축기 교체를 통한 온실가스 감축사업</x:v>
      </x:c>
      <x:c r="E1050" s="2" t="str">
        <x:v>911</x:v>
      </x:c>
      <x:c r="F1050" s="2" t="str">
        <x:v>2022-09-02</x:v>
      </x:c>
      <x:c r="G1050" s="2" t="str">
        <x:v>2022</x:v>
      </x:c>
      <x:c r="H1050" s="2" t="str">
        <x:v>09</x:v>
      </x:c>
      <x:c r="I1050" s="2" t="str">
        <x:v>반려</x:v>
      </x:c>
      <x:c r="J1050" s="2" t="str">
        <x:v>반려</x:v>
      </x:c>
      <x:c r="K1050" s="2" t="str">
        <x:f>IF(OR(J1050="심의승인",J1050="반려",J1050="반려완료",J1050="심의완료"),"종결 표시",IF(OR(J1050="기후부협의",J1050="문서재제출요청",J1050="보류",J1050="보완요청",J1050="보완완료",J1050="평가중",J1050="반려요청",J1050="평가필요",LEFT(J1050,5)="보완요청("),"미종결 표시","상태 확인 필요"))</x:f>
        <x:v>종결 표시</x:v>
      </x:c>
      <x:c r="L1050" s="2" t="str">
        <x:v>KECM_이태준</x:v>
      </x:c>
      <x:c r="M1050" s="2"/>
      <x:c r="N1050" s="8" t="n">
        <x:f>DATE(2026,10,15)-DATE(2022,9,2)</x:f>
        <x:v>1504</x:v>
      </x:c>
      <x:c r="O1050" s="2"/>
      <x:c r="P1050" s="2" t="str">
        <x:v>반려완료(업체 요청)</x:v>
      </x:c>
      <x:c r="Q1050" s="2" t="str">
        <x:v>산업전환_외부사업관리Tool_260707_이너젠 수정_LJY_261013.xlsx</x:v>
      </x:c>
      <x:c r="R1050" s="2" t="str">
        <x:v>국내평가</x:v>
      </x:c>
      <x:c r="S1050" s="8" t="n">
        <x:v>953</x:v>
      </x:c>
      <x:c r="T1050" s="2" t="str">
        <x:v>(9/19)</x:v>
      </x:c>
      <x:c r="U1050" s="2" t="str">
        <x:v>2022 배정(신규): (9/19) / 2023 배정: 2023년 처리</x:v>
      </x:c>
      <x:c r="V1050" s="2" t="str">
        <x:v>2023-07-04</x:v>
      </x:c>
      <x:c r="W1050" s="2" t="str"/>
      <x:c r="X1050" s="2" t="str">
        <x:v>종결 근거 보관</x:v>
      </x:c>
      <x:c r="Y1050" s="2" t="str">
        <x:v>ad210cd9ec132cfd447541c8984dc53d30aff0f4fb2dc92d254d49275cc55976</x:v>
      </x:c>
      <x:c r="Z1050" s="2" t="n">
        <x:f>SUBTOTAL(103,A1050)</x:f>
        <x:v>1</x:v>
      </x:c>
      <x:c r="AA1050" s="2" t="str">
        <x:f>IF(K1050&lt;&gt;"미종결 표시","대상 아님",IF(N1050="","신청일 확인",IF(NOT(ISNUMBER('종합 현황'!$H$5)),"관찰기준 확인",IF('종합 현황'!$H$5&lt;1,"관찰기준 확인",IF(N1050&gt;'종합 현황'!$H$5,"내부 관찰 대상","내부 관찰일 이하")))))</x:f>
        <x:v>대상 아님</x:v>
      </x:c>
      <x:c r="AB1050" s="2"/>
    </x:row>
    <x:row r="1051" ht="42" customHeight="1">
      <x:c r="A1051" s="2" t="str">
        <x:v>ec92c82642286f3fb5b46e1f</x:v>
      </x:c>
      <x:c r="B1051" s="2" t="str">
        <x:v>사업 평가</x:v>
      </x:c>
      <x:c r="C1051" s="2" t="str">
        <x:v>국내</x:v>
      </x:c>
      <x:c r="D1051" s="7" t="str">
        <x:v>주식회사 해줌 277.075kW 태양광 발전설비 설치 및 자가사용 사업</x:v>
      </x:c>
      <x:c r="E1051" s="2" t="str">
        <x:v>912</x:v>
      </x:c>
      <x:c r="F1051" s="2" t="str">
        <x:v>2022-09-08</x:v>
      </x:c>
      <x:c r="G1051" s="2" t="str">
        <x:v>2022</x:v>
      </x:c>
      <x:c r="H1051" s="2" t="str">
        <x:v>09</x:v>
      </x:c>
      <x:c r="I1051" s="2" t="str">
        <x:v>승인</x:v>
      </x:c>
      <x:c r="J1051" s="2" t="str">
        <x:v>심의승인</x:v>
      </x:c>
      <x:c r="K1051" s="2" t="str">
        <x:f>IF(OR(J1051="심의승인",J1051="반려",J1051="반려완료",J1051="심의완료"),"종결 표시",IF(OR(J1051="기후부협의",J1051="문서재제출요청",J1051="보류",J1051="보완요청",J1051="보완완료",J1051="평가중",J1051="반려요청",J1051="평가필요",LEFT(J1051,5)="보완요청("),"미종결 표시","상태 확인 필요"))</x:f>
        <x:v>종결 표시</x:v>
      </x:c>
      <x:c r="L1051" s="2" t="str">
        <x:v>에코시안_권송화</x:v>
      </x:c>
      <x:c r="M1051" s="2"/>
      <x:c r="N1051" s="8" t="n">
        <x:f>DATE(2026,10,15)-DATE(2022,9,8)</x:f>
        <x:v>1498</x:v>
      </x:c>
      <x:c r="O1051" s="2" t="str">
        <x:v>생략</x:v>
      </x:c>
      <x:c r="P1051" s="2" t="str">
        <x:v>57차 인증위 승인</x:v>
      </x:c>
      <x:c r="Q1051" s="2" t="str">
        <x:v>산업전환_외부사업관리Tool_260707_이너젠 수정_LJY_261013.xlsx</x:v>
      </x:c>
      <x:c r="R1051" s="2" t="str">
        <x:v>국내평가</x:v>
      </x:c>
      <x:c r="S1051" s="8" t="n">
        <x:v>954</x:v>
      </x:c>
      <x:c r="T1051" s="2" t="str">
        <x:v>(9/19),(12/8)</x:v>
      </x:c>
      <x:c r="U1051" s="2" t="str">
        <x:v>2022 배정(신규): (9/19),(12/8) / 2023 배정: (5/16),(7/17),(8/30),(10/27),(11/17) / 2024 배정: (1/12)</x:v>
      </x:c>
      <x:c r="V1051" s="2" t="str">
        <x:v>2024-06-10</x:v>
      </x:c>
      <x:c r="W1051" s="2" t="str"/>
      <x:c r="X1051" s="2" t="str">
        <x:v>종결 근거 보관</x:v>
      </x:c>
      <x:c r="Y1051" s="2" t="str">
        <x:v>ad210cd9ec132cfd447541c8984dc53d30aff0f4fb2dc92d254d49275cc55976</x:v>
      </x:c>
      <x:c r="Z1051" s="2" t="n">
        <x:f>SUBTOTAL(103,A1051)</x:f>
        <x:v>1</x:v>
      </x:c>
      <x:c r="AA1051" s="2" t="str">
        <x:f>IF(K1051&lt;&gt;"미종결 표시","대상 아님",IF(N1051="","신청일 확인",IF(NOT(ISNUMBER('종합 현황'!$H$5)),"관찰기준 확인",IF('종합 현황'!$H$5&lt;1,"관찰기준 확인",IF(N1051&gt;'종합 현황'!$H$5,"내부 관찰 대상","내부 관찰일 이하")))))</x:f>
        <x:v>대상 아님</x:v>
      </x:c>
      <x:c r="AB1051" s="2"/>
    </x:row>
    <x:row r="1052" ht="42" customHeight="1">
      <x:c r="A1052" s="2" t="str">
        <x:v>8b4520df15db0aa3d9a060b5</x:v>
      </x:c>
      <x:c r="B1052" s="2" t="str">
        <x:v>사업 평가</x:v>
      </x:c>
      <x:c r="C1052" s="2" t="str">
        <x:v>국내</x:v>
      </x:c>
      <x:c r="D1052" s="7" t="str">
        <x:v>주식회사 해줌 433.16kW 태양광 발전설비 설치 및 자가사용 사업</x:v>
      </x:c>
      <x:c r="E1052" s="2" t="str">
        <x:v>913</x:v>
      </x:c>
      <x:c r="F1052" s="2" t="str">
        <x:v>2022-09-08</x:v>
      </x:c>
      <x:c r="G1052" s="2" t="str">
        <x:v>2022</x:v>
      </x:c>
      <x:c r="H1052" s="2" t="str">
        <x:v>09</x:v>
      </x:c>
      <x:c r="I1052" s="2" t="str">
        <x:v>반려</x:v>
      </x:c>
      <x:c r="J1052" s="2" t="str">
        <x:v>반려</x:v>
      </x:c>
      <x:c r="K1052" s="2" t="str">
        <x:f>IF(OR(J1052="심의승인",J1052="반려",J1052="반려완료",J1052="심의완료"),"종결 표시",IF(OR(J1052="기후부협의",J1052="문서재제출요청",J1052="보류",J1052="보완요청",J1052="보완완료",J1052="평가중",J1052="반려요청",J1052="평가필요",LEFT(J1052,5)="보완요청("),"미종결 표시","상태 확인 필요"))</x:f>
        <x:v>종결 표시</x:v>
      </x:c>
      <x:c r="L1052" s="2" t="str">
        <x:v>에코시안_정다윤</x:v>
      </x:c>
      <x:c r="M1052" s="2"/>
      <x:c r="N1052" s="8" t="n">
        <x:f>DATE(2026,10,15)-DATE(2022,9,8)</x:f>
        <x:v>1498</x:v>
      </x:c>
      <x:c r="O1052" s="2"/>
      <x:c r="P1052" s="2"/>
      <x:c r="Q1052" s="2" t="str">
        <x:v>산업전환_외부사업관리Tool_260707_이너젠 수정_LJY_261013.xlsx</x:v>
      </x:c>
      <x:c r="R1052" s="2" t="str">
        <x:v>국내평가</x:v>
      </x:c>
      <x:c r="S1052" s="8" t="n">
        <x:v>955</x:v>
      </x:c>
      <x:c r="T1052" s="2" t="str">
        <x:v>(9/19),(12/8)</x:v>
      </x:c>
      <x:c r="U1052" s="2" t="str">
        <x:v>2022 배정(신규): (9/19),(12/8) / 2023 배정: 2023년 처리</x:v>
      </x:c>
      <x:c r="V1052" s="2" t="str">
        <x:v>2023-07-03</x:v>
      </x:c>
      <x:c r="W1052" s="2" t="str"/>
      <x:c r="X1052" s="2" t="str">
        <x:v>종결 근거 보관</x:v>
      </x:c>
      <x:c r="Y1052" s="2" t="str">
        <x:v>ad210cd9ec132cfd447541c8984dc53d30aff0f4fb2dc92d254d49275cc55976</x:v>
      </x:c>
      <x:c r="Z1052" s="2" t="n">
        <x:f>SUBTOTAL(103,A1052)</x:f>
        <x:v>1</x:v>
      </x:c>
      <x:c r="AA1052" s="2" t="str">
        <x:f>IF(K1052&lt;&gt;"미종결 표시","대상 아님",IF(N1052="","신청일 확인",IF(NOT(ISNUMBER('종합 현황'!$H$5)),"관찰기준 확인",IF('종합 현황'!$H$5&lt;1,"관찰기준 확인",IF(N1052&gt;'종합 현황'!$H$5,"내부 관찰 대상","내부 관찰일 이하")))))</x:f>
        <x:v>대상 아님</x:v>
      </x:c>
      <x:c r="AB1052" s="2"/>
    </x:row>
    <x:row r="1053" ht="42" customHeight="1">
      <x:c r="A1053" s="2" t="str">
        <x:v>526505321102a0c3d113d883</x:v>
      </x:c>
      <x:c r="B1053" s="2" t="str">
        <x:v>사업 평가</x:v>
      </x:c>
      <x:c r="C1053" s="2" t="str">
        <x:v>국내</x:v>
      </x:c>
      <x:c r="D1053" s="7" t="str">
        <x:v>충경산업(주) 연료전환(B-C유→LPG)을 통한 온실가스 배출 감축사업</x:v>
      </x:c>
      <x:c r="E1053" s="2" t="str">
        <x:v>914</x:v>
      </x:c>
      <x:c r="F1053" s="2" t="str">
        <x:v>2022-09-13</x:v>
      </x:c>
      <x:c r="G1053" s="2" t="str">
        <x:v>2022</x:v>
      </x:c>
      <x:c r="H1053" s="2" t="str">
        <x:v>09</x:v>
      </x:c>
      <x:c r="I1053" s="2" t="str">
        <x:v>승인</x:v>
      </x:c>
      <x:c r="J1053" s="2" t="str">
        <x:v>심의승인</x:v>
      </x:c>
      <x:c r="K1053" s="2" t="str">
        <x:f>IF(OR(J1053="심의승인",J1053="반려",J1053="반려완료",J1053="심의완료"),"종결 표시",IF(OR(J1053="기후부협의",J1053="문서재제출요청",J1053="보류",J1053="보완요청",J1053="보완완료",J1053="평가중",J1053="반려요청",J1053="평가필요",LEFT(J1053,5)="보완요청("),"미종결 표시","상태 확인 필요"))</x:f>
        <x:v>종결 표시</x:v>
      </x:c>
      <x:c r="L1053" s="2" t="str">
        <x:v>KECM_이태준</x:v>
      </x:c>
      <x:c r="M1053" s="2"/>
      <x:c r="N1053" s="8" t="n">
        <x:f>DATE(2026,10,15)-DATE(2022,9,13)</x:f>
        <x:v>1493</x:v>
      </x:c>
      <x:c r="O1053" s="2" t="str">
        <x:v>생략</x:v>
      </x:c>
      <x:c r="P1053" s="2" t="str">
        <x:v>24년 11월 협의, LPG 계측기 X, 방법론 개정 완료</x:v>
      </x:c>
      <x:c r="Q1053" s="2" t="str">
        <x:v>산업전환_외부사업관리Tool_260707_이너젠 수정_LJY_261013.xlsx</x:v>
      </x:c>
      <x:c r="R1053" s="2" t="str">
        <x:v>국내평가</x:v>
      </x:c>
      <x:c r="S1053" s="8" t="n">
        <x:v>956</x:v>
      </x:c>
      <x:c r="T1053" s="2" t="str">
        <x:v>(9/19)</x:v>
      </x:c>
      <x:c r="U1053" s="2" t="str">
        <x:v>2022 배정(신규): (9/19) / 2023 배정: (1/30),(5/16),(6/27) / 2024 배정: (7/23),(9/2),(10/17)</x:v>
      </x:c>
      <x:c r="V1053" s="2" t="str">
        <x:v>2025-03-11</x:v>
      </x:c>
      <x:c r="W1053" s="2" t="str"/>
      <x:c r="X1053" s="2" t="str">
        <x:v>종결 근거 보관</x:v>
      </x:c>
      <x:c r="Y1053" s="2" t="str">
        <x:v>ad210cd9ec132cfd447541c8984dc53d30aff0f4fb2dc92d254d49275cc55976</x:v>
      </x:c>
      <x:c r="Z1053" s="2" t="n">
        <x:f>SUBTOTAL(103,A1053)</x:f>
        <x:v>1</x:v>
      </x:c>
      <x:c r="AA1053" s="2" t="str">
        <x:f>IF(K1053&lt;&gt;"미종결 표시","대상 아님",IF(N1053="","신청일 확인",IF(NOT(ISNUMBER('종합 현황'!$H$5)),"관찰기준 확인",IF('종합 현황'!$H$5&lt;1,"관찰기준 확인",IF(N1053&gt;'종합 현황'!$H$5,"내부 관찰 대상","내부 관찰일 이하")))))</x:f>
        <x:v>대상 아님</x:v>
      </x:c>
      <x:c r="AB1053" s="2"/>
    </x:row>
    <x:row r="1054" ht="42" customHeight="1">
      <x:c r="A1054" s="2" t="str">
        <x:v>ff853b42397216db38042074</x:v>
      </x:c>
      <x:c r="B1054" s="2" t="str">
        <x:v>사업 평가</x:v>
      </x:c>
      <x:c r="C1054" s="2" t="str">
        <x:v>국내</x:v>
      </x:c>
      <x:c r="D1054" s="7" t="str">
        <x:v>(주)엘지화학 자가 소비용 태양광 발전설비의 설치 지원을 통한 프로그램 감축사업</x:v>
      </x:c>
      <x:c r="E1054" s="2" t="str">
        <x:v>915</x:v>
      </x:c>
      <x:c r="F1054" s="2" t="str">
        <x:v>2022-09-05</x:v>
      </x:c>
      <x:c r="G1054" s="2" t="str">
        <x:v>2022</x:v>
      </x:c>
      <x:c r="H1054" s="2" t="str">
        <x:v>09</x:v>
      </x:c>
      <x:c r="I1054" s="2" t="str">
        <x:v>승인</x:v>
      </x:c>
      <x:c r="J1054" s="2" t="str">
        <x:v>심의승인</x:v>
      </x:c>
      <x:c r="K1054" s="2" t="str">
        <x:f>IF(OR(J1054="심의승인",J1054="반려",J1054="반려완료",J1054="심의완료"),"종결 표시",IF(OR(J1054="기후부협의",J1054="문서재제출요청",J1054="보류",J1054="보완요청",J1054="보완완료",J1054="평가중",J1054="반려요청",J1054="평가필요",LEFT(J1054,5)="보완요청("),"미종결 표시","상태 확인 필요"))</x:f>
        <x:v>종결 표시</x:v>
      </x:c>
      <x:c r="L1054" s="2" t="str">
        <x:v>에코시안_정다윤</x:v>
      </x:c>
      <x:c r="M1054" s="2"/>
      <x:c r="N1054" s="8" t="n">
        <x:f>DATE(2026,10,15)-DATE(2022,9,5)</x:f>
        <x:v>1501</x:v>
      </x:c>
      <x:c r="O1054" s="2" t="str">
        <x:v>생략</x:v>
      </x:c>
      <x:c r="P1054" s="2" t="str">
        <x:v>57차 인증위 승인</x:v>
      </x:c>
      <x:c r="Q1054" s="2" t="str">
        <x:v>산업전환_외부사업관리Tool_260707_이너젠 수정_LJY_261013.xlsx</x:v>
      </x:c>
      <x:c r="R1054" s="2" t="str">
        <x:v>국내평가</x:v>
      </x:c>
      <x:c r="S1054" s="8" t="n">
        <x:v>957</x:v>
      </x:c>
      <x:c r="T1054" s="2" t="str">
        <x:v>(9/19),(11/18),(12/27)</x:v>
      </x:c>
      <x:c r="U1054" s="2" t="str">
        <x:v>2022 배정(신규): (9/19),(11/18),(12/27) / 2023 배정: (2/17),(6/27),(8/30),(10/6) / 2024 배정: (2/5)</x:v>
      </x:c>
      <x:c r="V1054" s="2" t="str">
        <x:v>2025-01-03</x:v>
      </x:c>
      <x:c r="W1054" s="2" t="str"/>
      <x:c r="X1054" s="2" t="str">
        <x:v>종결 근거 보관</x:v>
      </x:c>
      <x:c r="Y1054" s="2" t="str">
        <x:v>ad210cd9ec132cfd447541c8984dc53d30aff0f4fb2dc92d254d49275cc55976</x:v>
      </x:c>
      <x:c r="Z1054" s="2" t="n">
        <x:f>SUBTOTAL(103,A1054)</x:f>
        <x:v>1</x:v>
      </x:c>
      <x:c r="AA1054" s="2" t="str">
        <x:f>IF(K1054&lt;&gt;"미종결 표시","대상 아님",IF(N1054="","신청일 확인",IF(NOT(ISNUMBER('종합 현황'!$H$5)),"관찰기준 확인",IF('종합 현황'!$H$5&lt;1,"관찰기준 확인",IF(N1054&gt;'종합 현황'!$H$5,"내부 관찰 대상","내부 관찰일 이하")))))</x:f>
        <x:v>대상 아님</x:v>
      </x:c>
      <x:c r="AB1054" s="2"/>
    </x:row>
    <x:row r="1055" ht="42" customHeight="1">
      <x:c r="A1055" s="2" t="str">
        <x:v>7f4872646e55b3491015379d</x:v>
      </x:c>
      <x:c r="B1055" s="2" t="str">
        <x:v>사업 평가</x:v>
      </x:c>
      <x:c r="C1055" s="2" t="str">
        <x:v>국내</x:v>
      </x:c>
      <x:c r="D1055" s="7" t="str">
        <x:v>하안주공5단지 보일러의 연료전환(B-C유 → LNG)을 통한 온실가스 배출 감축 사업</x:v>
      </x:c>
      <x:c r="E1055" s="2" t="str">
        <x:v>916</x:v>
      </x:c>
      <x:c r="F1055" s="2" t="str">
        <x:v>2022-09-27</x:v>
      </x:c>
      <x:c r="G1055" s="2" t="str">
        <x:v>2022</x:v>
      </x:c>
      <x:c r="H1055" s="2" t="str">
        <x:v>09</x:v>
      </x:c>
      <x:c r="I1055" s="2" t="str">
        <x:v>승인</x:v>
      </x:c>
      <x:c r="J1055" s="2" t="str">
        <x:v>심의승인</x:v>
      </x:c>
      <x:c r="K1055" s="2" t="str">
        <x:f>IF(OR(J1055="심의승인",J1055="반려",J1055="반려완료",J1055="심의완료"),"종결 표시",IF(OR(J1055="기후부협의",J1055="문서재제출요청",J1055="보류",J1055="보완요청",J1055="보완완료",J1055="평가중",J1055="반려요청",J1055="평가필요",LEFT(J1055,5)="보완요청("),"미종결 표시","상태 확인 필요"))</x:f>
        <x:v>종결 표시</x:v>
      </x:c>
      <x:c r="L1055" s="2" t="str">
        <x:v>KECM_이태준</x:v>
      </x:c>
      <x:c r="M1055" s="2"/>
      <x:c r="N1055" s="8" t="n">
        <x:f>DATE(2026,10,15)-DATE(2022,9,27)</x:f>
        <x:v>1479</x:v>
      </x:c>
      <x:c r="O1055" s="2" t="str">
        <x:v>생략</x:v>
      </x:c>
      <x:c r="P1055" s="2" t="str">
        <x:v>3분기 인증위 승인</x:v>
      </x:c>
      <x:c r="Q1055" s="2" t="str">
        <x:v>산업전환_외부사업관리Tool_260707_이너젠 수정_LJY_261013.xlsx</x:v>
      </x:c>
      <x:c r="R1055" s="2" t="str">
        <x:v>국내평가</x:v>
      </x:c>
      <x:c r="S1055" s="8" t="n">
        <x:v>958</x:v>
      </x:c>
      <x:c r="T1055" s="2" t="str">
        <x:v>(10/19)</x:v>
      </x:c>
      <x:c r="U1055" s="2" t="str">
        <x:v>2022 배정(신규): (10/19) / 2023 배정: (11/17) / 2024 배정: (2/5),(3/18)</x:v>
      </x:c>
      <x:c r="V1055" s="2" t="str">
        <x:v>2024-09-19</x:v>
      </x:c>
      <x:c r="W1055" s="2" t="str"/>
      <x:c r="X1055" s="2" t="str">
        <x:v>종결 근거 보관</x:v>
      </x:c>
      <x:c r="Y1055" s="2" t="str">
        <x:v>ad210cd9ec132cfd447541c8984dc53d30aff0f4fb2dc92d254d49275cc55976</x:v>
      </x:c>
      <x:c r="Z1055" s="2" t="n">
        <x:f>SUBTOTAL(103,A1055)</x:f>
        <x:v>1</x:v>
      </x:c>
      <x:c r="AA1055" s="2" t="str">
        <x:f>IF(K1055&lt;&gt;"미종결 표시","대상 아님",IF(N1055="","신청일 확인",IF(NOT(ISNUMBER('종합 현황'!$H$5)),"관찰기준 확인",IF('종합 현황'!$H$5&lt;1,"관찰기준 확인",IF(N1055&gt;'종합 현황'!$H$5,"내부 관찰 대상","내부 관찰일 이하")))))</x:f>
        <x:v>대상 아님</x:v>
      </x:c>
      <x:c r="AB1055" s="2"/>
    </x:row>
    <x:row r="1056" ht="42" customHeight="1">
      <x:c r="A1056" s="2" t="str">
        <x:v>26aba9a22147273676e0b6af</x:v>
      </x:c>
      <x:c r="B1056" s="2" t="str">
        <x:v>사업 평가</x:v>
      </x:c>
      <x:c r="C1056" s="2" t="str">
        <x:v>국내</x:v>
      </x:c>
      <x:c r="D1056" s="7" t="str">
        <x:v>(주)한솔산업 연료전환(B-C유→LPG) 온실가스 감축사업</x:v>
      </x:c>
      <x:c r="E1056" s="2" t="str">
        <x:v>917</x:v>
      </x:c>
      <x:c r="F1056" s="2" t="str">
        <x:v>2022-09-28</x:v>
      </x:c>
      <x:c r="G1056" s="2" t="str">
        <x:v>2022</x:v>
      </x:c>
      <x:c r="H1056" s="2" t="str">
        <x:v>09</x:v>
      </x:c>
      <x:c r="I1056" s="2" t="str">
        <x:v>승인</x:v>
      </x:c>
      <x:c r="J1056" s="2" t="str">
        <x:v>심의승인</x:v>
      </x:c>
      <x:c r="K1056" s="2" t="str">
        <x:f>IF(OR(J1056="심의승인",J1056="반려",J1056="반려완료",J1056="심의완료"),"종결 표시",IF(OR(J1056="기후부협의",J1056="문서재제출요청",J1056="보류",J1056="보완요청",J1056="보완완료",J1056="평가중",J1056="반려요청",J1056="평가필요",LEFT(J1056,5)="보완요청("),"미종결 표시","상태 확인 필요"))</x:f>
        <x:v>종결 표시</x:v>
      </x:c>
      <x:c r="L1056" s="2" t="str">
        <x:v>KECM_이태준</x:v>
      </x:c>
      <x:c r="M1056" s="2"/>
      <x:c r="N1056" s="8" t="n">
        <x:f>DATE(2026,10,15)-DATE(2022,9,28)</x:f>
        <x:v>1478</x:v>
      </x:c>
      <x:c r="O1056" s="2" t="str">
        <x:v>생략</x:v>
      </x:c>
      <x:c r="P1056" s="2"/>
      <x:c r="Q1056" s="2" t="str">
        <x:v>산업전환_외부사업관리Tool_260707_이너젠 수정_LJY_261013.xlsx</x:v>
      </x:c>
      <x:c r="R1056" s="2" t="str">
        <x:v>국내평가</x:v>
      </x:c>
      <x:c r="S1056" s="8" t="n">
        <x:v>959</x:v>
      </x:c>
      <x:c r="T1056" s="2" t="str">
        <x:v>(10/19)</x:v>
      </x:c>
      <x:c r="U1056" s="2" t="str">
        <x:v>2022 배정(신규): (10/19) / 2023 배정: (2/17),(6/7),(10/6) / 2024 배정: (8/12)</x:v>
      </x:c>
      <x:c r="V1056" s="2" t="str">
        <x:v>2025-01-20</x:v>
      </x:c>
      <x:c r="W1056" s="2" t="str"/>
      <x:c r="X1056" s="2" t="str">
        <x:v>종결 근거 보관</x:v>
      </x:c>
      <x:c r="Y1056" s="2" t="str">
        <x:v>ad210cd9ec132cfd447541c8984dc53d30aff0f4fb2dc92d254d49275cc55976</x:v>
      </x:c>
      <x:c r="Z1056" s="2" t="n">
        <x:f>SUBTOTAL(103,A1056)</x:f>
        <x:v>1</x:v>
      </x:c>
      <x:c r="AA1056" s="2" t="str">
        <x:f>IF(K1056&lt;&gt;"미종결 표시","대상 아님",IF(N1056="","신청일 확인",IF(NOT(ISNUMBER('종합 현황'!$H$5)),"관찰기준 확인",IF('종합 현황'!$H$5&lt;1,"관찰기준 확인",IF(N1056&gt;'종합 현황'!$H$5,"내부 관찰 대상","내부 관찰일 이하")))))</x:f>
        <x:v>대상 아님</x:v>
      </x:c>
      <x:c r="AB1056" s="2"/>
    </x:row>
    <x:row r="1057" ht="42" customHeight="1">
      <x:c r="A1057" s="2" t="str">
        <x:v>4fd0aaf9330b73e6de4e5c9c</x:v>
      </x:c>
      <x:c r="B1057" s="2" t="str">
        <x:v>사업 평가</x:v>
      </x:c>
      <x:c r="C1057" s="2" t="str">
        <x:v>국내</x:v>
      </x:c>
      <x:c r="D1057" s="7" t="str">
        <x:v>(주)전유산업 외 2개사의 고효율 공기압축기 교체를 통한 온실가스 감축사업</x:v>
      </x:c>
      <x:c r="E1057" s="2" t="str">
        <x:v>918</x:v>
      </x:c>
      <x:c r="F1057" s="2" t="str">
        <x:v>2022-10-07</x:v>
      </x:c>
      <x:c r="G1057" s="2" t="str">
        <x:v>2022</x:v>
      </x:c>
      <x:c r="H1057" s="2" t="str">
        <x:v>10</x:v>
      </x:c>
      <x:c r="I1057" s="2" t="str">
        <x:v>승인</x:v>
      </x:c>
      <x:c r="J1057" s="2" t="str">
        <x:v>심의승인</x:v>
      </x:c>
      <x:c r="K1057" s="2" t="str">
        <x:f>IF(OR(J1057="심의승인",J1057="반려",J1057="반려완료",J1057="심의완료"),"종결 표시",IF(OR(J1057="기후부협의",J1057="문서재제출요청",J1057="보류",J1057="보완요청",J1057="보완완료",J1057="평가중",J1057="반려요청",J1057="평가필요",LEFT(J1057,5)="보완요청("),"미종결 표시","상태 확인 필요"))</x:f>
        <x:v>종결 표시</x:v>
      </x:c>
      <x:c r="L1057" s="2" t="str">
        <x:v>KECM_이태준</x:v>
      </x:c>
      <x:c r="M1057" s="2"/>
      <x:c r="N1057" s="8" t="n">
        <x:f>DATE(2026,10,15)-DATE(2022,10,7)</x:f>
        <x:v>1469</x:v>
      </x:c>
      <x:c r="O1057" s="2" t="str">
        <x:v>생략</x:v>
      </x:c>
      <x:c r="P1057" s="2" t="str">
        <x:v>25년 2분기 인증위</x:v>
      </x:c>
      <x:c r="Q1057" s="2" t="str">
        <x:v>산업전환_외부사업관리Tool_260707_이너젠 수정_LJY_261013.xlsx</x:v>
      </x:c>
      <x:c r="R1057" s="2" t="str">
        <x:v>국내평가</x:v>
      </x:c>
      <x:c r="S1057" s="8" t="n">
        <x:v>960</x:v>
      </x:c>
      <x:c r="T1057" s="2" t="str">
        <x:v>(10/19)</x:v>
      </x:c>
      <x:c r="U1057" s="2" t="str">
        <x:v>2022 배정(신규): (10/19) / 2023 배정: (8/7),(10/27) / 2024 배정: (7/1),(7/23),(8/12),(9/2),(11/8) / 2025 배정: (1/8)</x:v>
      </x:c>
      <x:c r="V1057" s="2" t="str">
        <x:v>2026-09-09</x:v>
      </x:c>
      <x:c r="W1057" s="2" t="str"/>
      <x:c r="X1057" s="2" t="str">
        <x:v>종결 근거 보관</x:v>
      </x:c>
      <x:c r="Y1057" s="2" t="str">
        <x:v>ad210cd9ec132cfd447541c8984dc53d30aff0f4fb2dc92d254d49275cc55976</x:v>
      </x:c>
      <x:c r="Z1057" s="2" t="n">
        <x:f>SUBTOTAL(103,A1057)</x:f>
        <x:v>1</x:v>
      </x:c>
      <x:c r="AA1057" s="2" t="str">
        <x:f>IF(K1057&lt;&gt;"미종결 표시","대상 아님",IF(N1057="","신청일 확인",IF(NOT(ISNUMBER('종합 현황'!$H$5)),"관찰기준 확인",IF('종합 현황'!$H$5&lt;1,"관찰기준 확인",IF(N1057&gt;'종합 현황'!$H$5,"내부 관찰 대상","내부 관찰일 이하")))))</x:f>
        <x:v>대상 아님</x:v>
      </x:c>
      <x:c r="AB1057" s="2"/>
    </x:row>
    <x:row r="1058" ht="42" customHeight="1">
      <x:c r="A1058" s="2" t="str">
        <x:v>9147767bdc34f65df40369c2</x:v>
      </x:c>
      <x:c r="B1058" s="2" t="str">
        <x:v>사업 평가</x:v>
      </x:c>
      <x:c r="C1058" s="2" t="str">
        <x:v>국내</x:v>
      </x:c>
      <x:c r="D1058" s="7" t="str">
        <x:v>한국동서발전(주) 태양광발전 설치 및 자가 사용 프로그램 감축사업</x:v>
      </x:c>
      <x:c r="E1058" s="2" t="str">
        <x:v>919</x:v>
      </x:c>
      <x:c r="F1058" s="2" t="str">
        <x:v>2022-10-06</x:v>
      </x:c>
      <x:c r="G1058" s="2" t="str">
        <x:v>2022</x:v>
      </x:c>
      <x:c r="H1058" s="2" t="str">
        <x:v>10</x:v>
      </x:c>
      <x:c r="I1058" s="2" t="str">
        <x:v>협의통보</x:v>
      </x:c>
      <x:c r="J1058" s="2" t="str">
        <x:v>기후부협의</x:v>
      </x:c>
      <x:c r="K1058" s="2" t="str">
        <x:f>IF(OR(J1058="심의승인",J1058="반려",J1058="반려완료",J1058="심의완료"),"종결 표시",IF(OR(J1058="기후부협의",J1058="문서재제출요청",J1058="보류",J1058="보완요청",J1058="보완완료",J1058="평가중",J1058="반려요청",J1058="평가필요",LEFT(J1058,5)="보완요청("),"미종결 표시","상태 확인 필요"))</x:f>
        <x:v>미종결 표시</x:v>
      </x:c>
      <x:c r="L1058" s="2" t="str">
        <x:v>에코시안_정다윤</x:v>
      </x:c>
      <x:c r="M1058" s="2"/>
      <x:c r="N1058" s="8" t="n">
        <x:f>DATE(2026,10,15)-DATE(2022,10,6)</x:f>
        <x:v>1470</x:v>
      </x:c>
      <x:c r="O1058" s="2" t="str">
        <x:v>O(23.06)</x:v>
      </x:c>
      <x:c r="P1058" s="2" t="str">
        <x:v>총 52건 중 최초신청(겨자씨) 검토 후 차후 진행</x:v>
      </x:c>
      <x:c r="Q1058" s="2" t="str">
        <x:v>산업전환_외부사업관리Tool_260707_이너젠 수정_LJY_261013.xlsx</x:v>
      </x:c>
      <x:c r="R1058" s="2" t="str">
        <x:v>국내평가</x:v>
      </x:c>
      <x:c r="S1058" s="8" t="n">
        <x:v>961</x:v>
      </x:c>
      <x:c r="T1058" s="2" t="str">
        <x:v>(10/19)</x:v>
      </x:c>
      <x:c r="U1058" s="2" t="str">
        <x:v>2022 배정(신규): (10/19) / 2023 배정: (5/16),(8/7),(10/27) / 2024 배정: (1/12),(6/10),(7/23)</x:v>
      </x:c>
      <x:c r="V1058" s="2" t="str">
        <x:v>2024-10-23</x:v>
      </x:c>
      <x:c r="W1058" s="2" t="str"/>
      <x:c r="X1058" s="2" t="str">
        <x:v>검토 진행 일정 확인</x:v>
      </x:c>
      <x:c r="Y1058" s="2" t="str">
        <x:v>ad210cd9ec132cfd447541c8984dc53d30aff0f4fb2dc92d254d49275cc55976</x:v>
      </x:c>
      <x:c r="Z1058" s="2" t="n">
        <x:f>SUBTOTAL(103,A1058)</x:f>
        <x:v>1</x:v>
      </x:c>
      <x:c r="AA1058" s="2" t="str">
        <x:f>IF(K1058&lt;&gt;"미종결 표시","대상 아님",IF(N1058="","신청일 확인",IF(NOT(ISNUMBER('종합 현황'!$H$5)),"관찰기준 확인",IF('종합 현황'!$H$5&lt;1,"관찰기준 확인",IF(N1058&gt;'종합 현황'!$H$5,"내부 관찰 대상","내부 관찰일 이하")))))</x:f>
        <x:v>내부 관찰 대상</x:v>
      </x:c>
      <x:c r="AB1058" s="2"/>
    </x:row>
    <x:row r="1059" ht="42" customHeight="1">
      <x:c r="A1059" s="2" t="str">
        <x:v>765bd524db1e14a287718b32</x:v>
      </x:c>
      <x:c r="B1059" s="2" t="str">
        <x:v>사업 평가</x:v>
      </x:c>
      <x:c r="C1059" s="2" t="str">
        <x:v>국내</x:v>
      </x:c>
      <x:c r="D1059" s="7" t="str">
        <x:v>한국동서발전(주) 태양광발전 설치 및 자가 사용 프로그램 감축사업</x:v>
      </x:c>
      <x:c r="E1059" s="2" t="str">
        <x:v>920</x:v>
      </x:c>
      <x:c r="F1059" s="2" t="str">
        <x:v>2022-10-07</x:v>
      </x:c>
      <x:c r="G1059" s="2" t="str">
        <x:v>2022</x:v>
      </x:c>
      <x:c r="H1059" s="2" t="str">
        <x:v>10</x:v>
      </x:c>
      <x:c r="I1059" s="2" t="str">
        <x:v>검토필요</x:v>
      </x:c>
      <x:c r="J1059" s="2" t="str">
        <x:v>보류</x:v>
      </x:c>
      <x:c r="K1059" s="2" t="str">
        <x:f>IF(OR(J1059="심의승인",J1059="반려",J1059="반려완료",J1059="심의완료"),"종결 표시",IF(OR(J1059="기후부협의",J1059="문서재제출요청",J1059="보류",J1059="보완요청",J1059="보완완료",J1059="평가중",J1059="반려요청",J1059="평가필요",LEFT(J1059,5)="보완요청("),"미종결 표시","상태 확인 필요"))</x:f>
        <x:v>미종결 표시</x:v>
      </x:c>
      <x:c r="L1059" s="2"/>
      <x:c r="M1059" s="2"/>
      <x:c r="N1059" s="8" t="n">
        <x:f>DATE(2026,10,15)-DATE(2022,10,7)</x:f>
        <x:v>1469</x:v>
      </x:c>
      <x:c r="O1059" s="2" t="str">
        <x:v>보류</x:v>
      </x:c>
      <x:c r="P1059" s="2" t="str">
        <x:v>프로그램 사업 승인 후 검토, 최초 승인 후 추가되는 단위사업 인증위 상정 없이 협의만으로 승인 가능(제16조제2항)</x:v>
      </x:c>
      <x:c r="Q1059" s="2" t="str">
        <x:v>산업전환_외부사업관리Tool_260707_이너젠 수정_LJY_261013.xlsx</x:v>
      </x:c>
      <x:c r="R1059" s="2" t="str">
        <x:v>국내평가</x:v>
      </x:c>
      <x:c r="S1059" s="8" t="n">
        <x:v>962</x:v>
      </x:c>
      <x:c r="T1059" s="2" t="str">
        <x:v>2023년 처리</x:v>
      </x:c>
      <x:c r="U1059" s="2" t="str">
        <x:v>2023 배정: 2023년 처리</x:v>
      </x:c>
      <x:c r="V1059" s="2" t="str">
        <x:v>2023-05-03</x:v>
      </x:c>
      <x:c r="W1059" s="2" t="str">
        <x:v>담당기관 확인</x:v>
      </x:c>
      <x:c r="X1059" s="2" t="str">
        <x:v>원본·배정 기록 확인</x:v>
      </x:c>
      <x:c r="Y1059" s="2" t="str">
        <x:v>ad210cd9ec132cfd447541c8984dc53d30aff0f4fb2dc92d254d49275cc55976</x:v>
      </x:c>
      <x:c r="Z1059" s="2" t="n">
        <x:f>SUBTOTAL(103,A1059)</x:f>
        <x:v>1</x:v>
      </x:c>
      <x:c r="AA1059" s="2" t="str">
        <x:f>IF(K1059&lt;&gt;"미종결 표시","대상 아님",IF(N1059="","신청일 확인",IF(NOT(ISNUMBER('종합 현황'!$H$5)),"관찰기준 확인",IF('종합 현황'!$H$5&lt;1,"관찰기준 확인",IF(N1059&gt;'종합 현황'!$H$5,"내부 관찰 대상","내부 관찰일 이하")))))</x:f>
        <x:v>내부 관찰 대상</x:v>
      </x:c>
      <x:c r="AB1059" s="2"/>
    </x:row>
    <x:row r="1060" ht="42" customHeight="1">
      <x:c r="A1060" s="2" t="str">
        <x:v>6e159b61962600c1dc3e9187</x:v>
      </x:c>
      <x:c r="B1060" s="2" t="str">
        <x:v>사업 평가</x:v>
      </x:c>
      <x:c r="C1060" s="2" t="str">
        <x:v>국내</x:v>
      </x:c>
      <x:c r="D1060" s="7" t="str">
        <x:v>한국동서발전(주) 태양광발전 설치 및 자가 사용 프로그램 감축사업</x:v>
      </x:c>
      <x:c r="E1060" s="2" t="str">
        <x:v>921</x:v>
      </x:c>
      <x:c r="F1060" s="2" t="str">
        <x:v>2022-10-11</x:v>
      </x:c>
      <x:c r="G1060" s="2" t="str">
        <x:v>2022</x:v>
      </x:c>
      <x:c r="H1060" s="2" t="str">
        <x:v>10</x:v>
      </x:c>
      <x:c r="I1060" s="2" t="str">
        <x:v>반려</x:v>
      </x:c>
      <x:c r="J1060" s="2" t="str">
        <x:v>반려</x:v>
      </x:c>
      <x:c r="K1060" s="2" t="str">
        <x:f>IF(OR(J1060="심의승인",J1060="반려",J1060="반려완료",J1060="심의완료"),"종결 표시",IF(OR(J1060="기후부협의",J1060="문서재제출요청",J1060="보류",J1060="보완요청",J1060="보완완료",J1060="평가중",J1060="반려요청",J1060="평가필요",LEFT(J1060,5)="보완요청("),"미종결 표시","상태 확인 필요"))</x:f>
        <x:v>종결 표시</x:v>
      </x:c>
      <x:c r="L1060" s="2"/>
      <x:c r="M1060" s="2"/>
      <x:c r="N1060" s="8" t="n">
        <x:f>DATE(2026,10,15)-DATE(2022,10,11)</x:f>
        <x:v>1465</x:v>
      </x:c>
      <x:c r="O1060" s="2" t="str">
        <x:v>보류</x:v>
      </x:c>
      <x:c r="P1060" s="2" t="str">
        <x:v>반려완료(업체 요청)</x:v>
      </x:c>
      <x:c r="Q1060" s="2" t="str">
        <x:v>산업전환_외부사업관리Tool_260707_이너젠 수정_LJY_261013.xlsx</x:v>
      </x:c>
      <x:c r="R1060" s="2" t="str">
        <x:v>국내평가</x:v>
      </x:c>
      <x:c r="S1060" s="8" t="n">
        <x:v>963</x:v>
      </x:c>
      <x:c r="T1060" s="2" t="str">
        <x:v>2024년 처리</x:v>
      </x:c>
      <x:c r="U1060" s="2" t="str">
        <x:v>2024 배정: 2024년 처리</x:v>
      </x:c>
      <x:c r="V1060" s="2" t="str">
        <x:v>2024-08-19</x:v>
      </x:c>
      <x:c r="W1060" s="2" t="str">
        <x:v>담당기관 확인</x:v>
      </x:c>
      <x:c r="X1060" s="2" t="str">
        <x:v>원본·배정 기록 확인</x:v>
      </x:c>
      <x:c r="Y1060" s="2" t="str">
        <x:v>ad210cd9ec132cfd447541c8984dc53d30aff0f4fb2dc92d254d49275cc55976</x:v>
      </x:c>
      <x:c r="Z1060" s="2" t="n">
        <x:f>SUBTOTAL(103,A1060)</x:f>
        <x:v>1</x:v>
      </x:c>
      <x:c r="AA1060" s="2" t="str">
        <x:f>IF(K1060&lt;&gt;"미종결 표시","대상 아님",IF(N1060="","신청일 확인",IF(NOT(ISNUMBER('종합 현황'!$H$5)),"관찰기준 확인",IF('종합 현황'!$H$5&lt;1,"관찰기준 확인",IF(N1060&gt;'종합 현황'!$H$5,"내부 관찰 대상","내부 관찰일 이하")))))</x:f>
        <x:v>대상 아님</x:v>
      </x:c>
      <x:c r="AB1060" s="2"/>
    </x:row>
    <x:row r="1061" ht="42" customHeight="1">
      <x:c r="A1061" s="2" t="str">
        <x:v>1ca783c4bd38abe713986533</x:v>
      </x:c>
      <x:c r="B1061" s="2" t="str">
        <x:v>사업 평가</x:v>
      </x:c>
      <x:c r="C1061" s="2" t="str">
        <x:v>국내</x:v>
      </x:c>
      <x:c r="D1061" s="7" t="str">
        <x:v>한국동서발전(주) 태양광발전 설치 및 자가 사용 프로그램 감축사업</x:v>
      </x:c>
      <x:c r="E1061" s="2" t="str">
        <x:v>922</x:v>
      </x:c>
      <x:c r="F1061" s="2" t="str">
        <x:v>2022-10-11</x:v>
      </x:c>
      <x:c r="G1061" s="2" t="str">
        <x:v>2022</x:v>
      </x:c>
      <x:c r="H1061" s="2" t="str">
        <x:v>10</x:v>
      </x:c>
      <x:c r="I1061" s="2" t="str">
        <x:v>검토필요</x:v>
      </x:c>
      <x:c r="J1061" s="2" t="str">
        <x:v>보류</x:v>
      </x:c>
      <x:c r="K1061" s="2" t="str">
        <x:f>IF(OR(J1061="심의승인",J1061="반려",J1061="반려완료",J1061="심의완료"),"종결 표시",IF(OR(J1061="기후부협의",J1061="문서재제출요청",J1061="보류",J1061="보완요청",J1061="보완완료",J1061="평가중",J1061="반려요청",J1061="평가필요",LEFT(J1061,5)="보완요청("),"미종결 표시","상태 확인 필요"))</x:f>
        <x:v>미종결 표시</x:v>
      </x:c>
      <x:c r="L1061" s="2"/>
      <x:c r="M1061" s="2"/>
      <x:c r="N1061" s="8" t="n">
        <x:f>DATE(2026,10,15)-DATE(2022,10,11)</x:f>
        <x:v>1465</x:v>
      </x:c>
      <x:c r="O1061" s="2" t="str">
        <x:v>보류</x:v>
      </x:c>
      <x:c r="P1061" s="2" t="str">
        <x:v>프로그램 사업 승인 후 검토, 최초 승인 후 추가되는 단위사업 인증위 상정 없이 협의만으로 승인 가능(제16조제2항)</x:v>
      </x:c>
      <x:c r="Q1061" s="2" t="str">
        <x:v>산업전환_외부사업관리Tool_260707_이너젠 수정_LJY_261013.xlsx</x:v>
      </x:c>
      <x:c r="R1061" s="2" t="str">
        <x:v>국내평가</x:v>
      </x:c>
      <x:c r="S1061" s="8" t="n">
        <x:v>964</x:v>
      </x:c>
      <x:c r="T1061" s="2" t="str">
        <x:v>2023년 처리</x:v>
      </x:c>
      <x:c r="U1061" s="2" t="str">
        <x:v>2023 배정: 2023년 처리</x:v>
      </x:c>
      <x:c r="V1061" s="2" t="str">
        <x:v>2023-05-03</x:v>
      </x:c>
      <x:c r="W1061" s="2" t="str">
        <x:v>담당기관 확인</x:v>
      </x:c>
      <x:c r="X1061" s="2" t="str">
        <x:v>원본·배정 기록 확인</x:v>
      </x:c>
      <x:c r="Y1061" s="2" t="str">
        <x:v>ad210cd9ec132cfd447541c8984dc53d30aff0f4fb2dc92d254d49275cc55976</x:v>
      </x:c>
      <x:c r="Z1061" s="2" t="n">
        <x:f>SUBTOTAL(103,A1061)</x:f>
        <x:v>1</x:v>
      </x:c>
      <x:c r="AA1061" s="2" t="str">
        <x:f>IF(K1061&lt;&gt;"미종결 표시","대상 아님",IF(N1061="","신청일 확인",IF(NOT(ISNUMBER('종합 현황'!$H$5)),"관찰기준 확인",IF('종합 현황'!$H$5&lt;1,"관찰기준 확인",IF(N1061&gt;'종합 현황'!$H$5,"내부 관찰 대상","내부 관찰일 이하")))))</x:f>
        <x:v>내부 관찰 대상</x:v>
      </x:c>
      <x:c r="AB1061" s="2"/>
    </x:row>
    <x:row r="1062" ht="42" customHeight="1">
      <x:c r="A1062" s="2" t="str">
        <x:v>9b7b808ce88d03a792ad6371</x:v>
      </x:c>
      <x:c r="B1062" s="2" t="str">
        <x:v>사업 평가</x:v>
      </x:c>
      <x:c r="C1062" s="2" t="str">
        <x:v>국내</x:v>
      </x:c>
      <x:c r="D1062" s="7" t="str">
        <x:v>한국동서발전(주) 태양광발전 설치 및 자가 사용 프로그램 감축사업</x:v>
      </x:c>
      <x:c r="E1062" s="2" t="str">
        <x:v>923</x:v>
      </x:c>
      <x:c r="F1062" s="2" t="str">
        <x:v>2022-10-11</x:v>
      </x:c>
      <x:c r="G1062" s="2" t="str">
        <x:v>2022</x:v>
      </x:c>
      <x:c r="H1062" s="2" t="str">
        <x:v>10</x:v>
      </x:c>
      <x:c r="I1062" s="2" t="str">
        <x:v>검토필요</x:v>
      </x:c>
      <x:c r="J1062" s="2" t="str">
        <x:v>보류</x:v>
      </x:c>
      <x:c r="K1062" s="2" t="str">
        <x:f>IF(OR(J1062="심의승인",J1062="반려",J1062="반려완료",J1062="심의완료"),"종결 표시",IF(OR(J1062="기후부협의",J1062="문서재제출요청",J1062="보류",J1062="보완요청",J1062="보완완료",J1062="평가중",J1062="반려요청",J1062="평가필요",LEFT(J1062,5)="보완요청("),"미종결 표시","상태 확인 필요"))</x:f>
        <x:v>미종결 표시</x:v>
      </x:c>
      <x:c r="L1062" s="2"/>
      <x:c r="M1062" s="2"/>
      <x:c r="N1062" s="8" t="n">
        <x:f>DATE(2026,10,15)-DATE(2022,10,11)</x:f>
        <x:v>1465</x:v>
      </x:c>
      <x:c r="O1062" s="2" t="str">
        <x:v>보류</x:v>
      </x:c>
      <x:c r="P1062" s="2" t="str">
        <x:v>프로그램 사업 승인 후 검토, 최초 승인 후 추가되는 단위사업 인증위 상정 없이 협의만으로 승인 가능(제16조제2항)</x:v>
      </x:c>
      <x:c r="Q1062" s="2" t="str">
        <x:v>산업전환_외부사업관리Tool_260707_이너젠 수정_LJY_261013.xlsx</x:v>
      </x:c>
      <x:c r="R1062" s="2" t="str">
        <x:v>국내평가</x:v>
      </x:c>
      <x:c r="S1062" s="8" t="n">
        <x:v>965</x:v>
      </x:c>
      <x:c r="T1062" s="2" t="str">
        <x:v>2023년 처리</x:v>
      </x:c>
      <x:c r="U1062" s="2" t="str">
        <x:v>2023 배정: 2023년 처리</x:v>
      </x:c>
      <x:c r="V1062" s="2" t="str">
        <x:v>2023-05-03</x:v>
      </x:c>
      <x:c r="W1062" s="2" t="str">
        <x:v>담당기관 확인</x:v>
      </x:c>
      <x:c r="X1062" s="2" t="str">
        <x:v>원본·배정 기록 확인</x:v>
      </x:c>
      <x:c r="Y1062" s="2" t="str">
        <x:v>ad210cd9ec132cfd447541c8984dc53d30aff0f4fb2dc92d254d49275cc55976</x:v>
      </x:c>
      <x:c r="Z1062" s="2" t="n">
        <x:f>SUBTOTAL(103,A1062)</x:f>
        <x:v>1</x:v>
      </x:c>
      <x:c r="AA1062" s="2" t="str">
        <x:f>IF(K1062&lt;&gt;"미종결 표시","대상 아님",IF(N1062="","신청일 확인",IF(NOT(ISNUMBER('종합 현황'!$H$5)),"관찰기준 확인",IF('종합 현황'!$H$5&lt;1,"관찰기준 확인",IF(N1062&gt;'종합 현황'!$H$5,"내부 관찰 대상","내부 관찰일 이하")))))</x:f>
        <x:v>내부 관찰 대상</x:v>
      </x:c>
      <x:c r="AB1062" s="2"/>
    </x:row>
    <x:row r="1063" ht="42" customHeight="1">
      <x:c r="A1063" s="2" t="str">
        <x:v>efe657fade90a24a741e51da</x:v>
      </x:c>
      <x:c r="B1063" s="2" t="str">
        <x:v>사업 평가</x:v>
      </x:c>
      <x:c r="C1063" s="2" t="str">
        <x:v>국내</x:v>
      </x:c>
      <x:c r="D1063" s="7" t="str">
        <x:v>한국동서발전(주) 태양광발전 설치 및 자가 사용 프로그램 감축사업</x:v>
      </x:c>
      <x:c r="E1063" s="2" t="str">
        <x:v>924</x:v>
      </x:c>
      <x:c r="F1063" s="2" t="str">
        <x:v>2022-10-11</x:v>
      </x:c>
      <x:c r="G1063" s="2" t="str">
        <x:v>2022</x:v>
      </x:c>
      <x:c r="H1063" s="2" t="str">
        <x:v>10</x:v>
      </x:c>
      <x:c r="I1063" s="2" t="str">
        <x:v>검토필요</x:v>
      </x:c>
      <x:c r="J1063" s="2" t="str">
        <x:v>보류</x:v>
      </x:c>
      <x:c r="K1063" s="2" t="str">
        <x:f>IF(OR(J1063="심의승인",J1063="반려",J1063="반려완료",J1063="심의완료"),"종결 표시",IF(OR(J1063="기후부협의",J1063="문서재제출요청",J1063="보류",J1063="보완요청",J1063="보완완료",J1063="평가중",J1063="반려요청",J1063="평가필요",LEFT(J1063,5)="보완요청("),"미종결 표시","상태 확인 필요"))</x:f>
        <x:v>미종결 표시</x:v>
      </x:c>
      <x:c r="L1063" s="2"/>
      <x:c r="M1063" s="2"/>
      <x:c r="N1063" s="8" t="n">
        <x:f>DATE(2026,10,15)-DATE(2022,10,11)</x:f>
        <x:v>1465</x:v>
      </x:c>
      <x:c r="O1063" s="2" t="str">
        <x:v>보류</x:v>
      </x:c>
      <x:c r="P1063" s="2" t="str">
        <x:v>프로그램 사업 승인 후 검토, 최초 승인 후 추가되는 단위사업 인증위 상정 없이 협의만으로 승인 가능(제16조제2항)</x:v>
      </x:c>
      <x:c r="Q1063" s="2" t="str">
        <x:v>산업전환_외부사업관리Tool_260707_이너젠 수정_LJY_261013.xlsx</x:v>
      </x:c>
      <x:c r="R1063" s="2" t="str">
        <x:v>국내평가</x:v>
      </x:c>
      <x:c r="S1063" s="8" t="n">
        <x:v>966</x:v>
      </x:c>
      <x:c r="T1063" s="2" t="str">
        <x:v>2023년 처리</x:v>
      </x:c>
      <x:c r="U1063" s="2" t="str">
        <x:v>2023 배정: 2023년 처리</x:v>
      </x:c>
      <x:c r="V1063" s="2" t="str">
        <x:v>2023-05-03</x:v>
      </x:c>
      <x:c r="W1063" s="2" t="str">
        <x:v>담당기관 확인</x:v>
      </x:c>
      <x:c r="X1063" s="2" t="str">
        <x:v>원본·배정 기록 확인</x:v>
      </x:c>
      <x:c r="Y1063" s="2" t="str">
        <x:v>ad210cd9ec132cfd447541c8984dc53d30aff0f4fb2dc92d254d49275cc55976</x:v>
      </x:c>
      <x:c r="Z1063" s="2" t="n">
        <x:f>SUBTOTAL(103,A1063)</x:f>
        <x:v>1</x:v>
      </x:c>
      <x:c r="AA1063" s="2" t="str">
        <x:f>IF(K1063&lt;&gt;"미종결 표시","대상 아님",IF(N1063="","신청일 확인",IF(NOT(ISNUMBER('종합 현황'!$H$5)),"관찰기준 확인",IF('종합 현황'!$H$5&lt;1,"관찰기준 확인",IF(N1063&gt;'종합 현황'!$H$5,"내부 관찰 대상","내부 관찰일 이하")))))</x:f>
        <x:v>내부 관찰 대상</x:v>
      </x:c>
      <x:c r="AB1063" s="2"/>
    </x:row>
    <x:row r="1064" ht="42" customHeight="1">
      <x:c r="A1064" s="2" t="str">
        <x:v>6818d05e5be3c3a6cb35352c</x:v>
      </x:c>
      <x:c r="B1064" s="2" t="str">
        <x:v>사업 평가</x:v>
      </x:c>
      <x:c r="C1064" s="2" t="str">
        <x:v>국내</x:v>
      </x:c>
      <x:c r="D1064" s="7" t="str">
        <x:v>한국동서발전(주) 태양광발전 설치 및 자가 사용 프로그램 감축사업</x:v>
      </x:c>
      <x:c r="E1064" s="2" t="str">
        <x:v>925</x:v>
      </x:c>
      <x:c r="F1064" s="2" t="str">
        <x:v>2022-10-11</x:v>
      </x:c>
      <x:c r="G1064" s="2" t="str">
        <x:v>2022</x:v>
      </x:c>
      <x:c r="H1064" s="2" t="str">
        <x:v>10</x:v>
      </x:c>
      <x:c r="I1064" s="2" t="str">
        <x:v>검토필요</x:v>
      </x:c>
      <x:c r="J1064" s="2" t="str">
        <x:v>보류</x:v>
      </x:c>
      <x:c r="K1064" s="2" t="str">
        <x:f>IF(OR(J1064="심의승인",J1064="반려",J1064="반려완료",J1064="심의완료"),"종결 표시",IF(OR(J1064="기후부협의",J1064="문서재제출요청",J1064="보류",J1064="보완요청",J1064="보완완료",J1064="평가중",J1064="반려요청",J1064="평가필요",LEFT(J1064,5)="보완요청("),"미종결 표시","상태 확인 필요"))</x:f>
        <x:v>미종결 표시</x:v>
      </x:c>
      <x:c r="L1064" s="2"/>
      <x:c r="M1064" s="2"/>
      <x:c r="N1064" s="8" t="n">
        <x:f>DATE(2026,10,15)-DATE(2022,10,11)</x:f>
        <x:v>1465</x:v>
      </x:c>
      <x:c r="O1064" s="2" t="str">
        <x:v>보류</x:v>
      </x:c>
      <x:c r="P1064" s="2" t="str">
        <x:v>프로그램 사업 승인 후 검토, 최초 승인 후 추가되는 단위사업 인증위 상정 없이 협의만으로 승인 가능(제16조제2항)</x:v>
      </x:c>
      <x:c r="Q1064" s="2" t="str">
        <x:v>산업전환_외부사업관리Tool_260707_이너젠 수정_LJY_261013.xlsx</x:v>
      </x:c>
      <x:c r="R1064" s="2" t="str">
        <x:v>국내평가</x:v>
      </x:c>
      <x:c r="S1064" s="8" t="n">
        <x:v>967</x:v>
      </x:c>
      <x:c r="T1064" s="2" t="str">
        <x:v>2023년 처리</x:v>
      </x:c>
      <x:c r="U1064" s="2" t="str">
        <x:v>2023 배정: 2023년 처리</x:v>
      </x:c>
      <x:c r="V1064" s="2" t="str">
        <x:v>2023-05-03</x:v>
      </x:c>
      <x:c r="W1064" s="2" t="str">
        <x:v>담당기관 확인</x:v>
      </x:c>
      <x:c r="X1064" s="2" t="str">
        <x:v>원본·배정 기록 확인</x:v>
      </x:c>
      <x:c r="Y1064" s="2" t="str">
        <x:v>ad210cd9ec132cfd447541c8984dc53d30aff0f4fb2dc92d254d49275cc55976</x:v>
      </x:c>
      <x:c r="Z1064" s="2" t="n">
        <x:f>SUBTOTAL(103,A1064)</x:f>
        <x:v>1</x:v>
      </x:c>
      <x:c r="AA1064" s="2" t="str">
        <x:f>IF(K1064&lt;&gt;"미종결 표시","대상 아님",IF(N1064="","신청일 확인",IF(NOT(ISNUMBER('종합 현황'!$H$5)),"관찰기준 확인",IF('종합 현황'!$H$5&lt;1,"관찰기준 확인",IF(N1064&gt;'종합 현황'!$H$5,"내부 관찰 대상","내부 관찰일 이하")))))</x:f>
        <x:v>내부 관찰 대상</x:v>
      </x:c>
      <x:c r="AB1064" s="2"/>
    </x:row>
    <x:row r="1065" ht="42" customHeight="1">
      <x:c r="A1065" s="2" t="str">
        <x:v>67bffc47ab749c8aaefa1a4a</x:v>
      </x:c>
      <x:c r="B1065" s="2" t="str">
        <x:v>사업 평가</x:v>
      </x:c>
      <x:c r="C1065" s="2" t="str">
        <x:v>국내</x:v>
      </x:c>
      <x:c r="D1065" s="7" t="str">
        <x:v>한국동서발전(주) 태양광발전 설치 및 자가 사용 프로그램 감축사업</x:v>
      </x:c>
      <x:c r="E1065" s="2" t="str">
        <x:v>926</x:v>
      </x:c>
      <x:c r="F1065" s="2" t="str">
        <x:v>2022-10-11</x:v>
      </x:c>
      <x:c r="G1065" s="2" t="str">
        <x:v>2022</x:v>
      </x:c>
      <x:c r="H1065" s="2" t="str">
        <x:v>10</x:v>
      </x:c>
      <x:c r="I1065" s="2" t="str">
        <x:v>검토필요</x:v>
      </x:c>
      <x:c r="J1065" s="2" t="str">
        <x:v>보류</x:v>
      </x:c>
      <x:c r="K1065" s="2" t="str">
        <x:f>IF(OR(J1065="심의승인",J1065="반려",J1065="반려완료",J1065="심의완료"),"종결 표시",IF(OR(J1065="기후부협의",J1065="문서재제출요청",J1065="보류",J1065="보완요청",J1065="보완완료",J1065="평가중",J1065="반려요청",J1065="평가필요",LEFT(J1065,5)="보완요청("),"미종결 표시","상태 확인 필요"))</x:f>
        <x:v>미종결 표시</x:v>
      </x:c>
      <x:c r="L1065" s="2"/>
      <x:c r="M1065" s="2"/>
      <x:c r="N1065" s="8" t="n">
        <x:f>DATE(2026,10,15)-DATE(2022,10,11)</x:f>
        <x:v>1465</x:v>
      </x:c>
      <x:c r="O1065" s="2" t="str">
        <x:v>보류</x:v>
      </x:c>
      <x:c r="P1065" s="2" t="str">
        <x:v>프로그램 사업 승인 후 검토, 최초 승인 후 추가되는 단위사업 인증위 상정 없이 협의만으로 승인 가능(제16조제2항)</x:v>
      </x:c>
      <x:c r="Q1065" s="2" t="str">
        <x:v>산업전환_외부사업관리Tool_260707_이너젠 수정_LJY_261013.xlsx</x:v>
      </x:c>
      <x:c r="R1065" s="2" t="str">
        <x:v>국내평가</x:v>
      </x:c>
      <x:c r="S1065" s="8" t="n">
        <x:v>968</x:v>
      </x:c>
      <x:c r="T1065" s="2" t="str">
        <x:v>2023년 처리</x:v>
      </x:c>
      <x:c r="U1065" s="2" t="str">
        <x:v>2023 배정: 2023년 처리</x:v>
      </x:c>
      <x:c r="V1065" s="2" t="str">
        <x:v>2023-05-03</x:v>
      </x:c>
      <x:c r="W1065" s="2" t="str">
        <x:v>담당기관 확인</x:v>
      </x:c>
      <x:c r="X1065" s="2" t="str">
        <x:v>원본·배정 기록 확인</x:v>
      </x:c>
      <x:c r="Y1065" s="2" t="str">
        <x:v>ad210cd9ec132cfd447541c8984dc53d30aff0f4fb2dc92d254d49275cc55976</x:v>
      </x:c>
      <x:c r="Z1065" s="2" t="n">
        <x:f>SUBTOTAL(103,A1065)</x:f>
        <x:v>1</x:v>
      </x:c>
      <x:c r="AA1065" s="2" t="str">
        <x:f>IF(K1065&lt;&gt;"미종결 표시","대상 아님",IF(N1065="","신청일 확인",IF(NOT(ISNUMBER('종합 현황'!$H$5)),"관찰기준 확인",IF('종합 현황'!$H$5&lt;1,"관찰기준 확인",IF(N1065&gt;'종합 현황'!$H$5,"내부 관찰 대상","내부 관찰일 이하")))))</x:f>
        <x:v>내부 관찰 대상</x:v>
      </x:c>
      <x:c r="AB1065" s="2"/>
    </x:row>
    <x:row r="1066" ht="42" customHeight="1">
      <x:c r="A1066" s="2" t="str">
        <x:v>b4e6b3e060cfa17291203a33</x:v>
      </x:c>
      <x:c r="B1066" s="2" t="str">
        <x:v>사업 평가</x:v>
      </x:c>
      <x:c r="C1066" s="2" t="str">
        <x:v>국내</x:v>
      </x:c>
      <x:c r="D1066" s="7" t="str">
        <x:v>한국동서발전(주) 태양광발전 설치 및 자가 사용 프로그램 감축사업</x:v>
      </x:c>
      <x:c r="E1066" s="2" t="str">
        <x:v>927</x:v>
      </x:c>
      <x:c r="F1066" s="2" t="str">
        <x:v>2022-10-11</x:v>
      </x:c>
      <x:c r="G1066" s="2" t="str">
        <x:v>2022</x:v>
      </x:c>
      <x:c r="H1066" s="2" t="str">
        <x:v>10</x:v>
      </x:c>
      <x:c r="I1066" s="2" t="str">
        <x:v>검토필요</x:v>
      </x:c>
      <x:c r="J1066" s="2" t="str">
        <x:v>보류</x:v>
      </x:c>
      <x:c r="K1066" s="2" t="str">
        <x:f>IF(OR(J1066="심의승인",J1066="반려",J1066="반려완료",J1066="심의완료"),"종결 표시",IF(OR(J1066="기후부협의",J1066="문서재제출요청",J1066="보류",J1066="보완요청",J1066="보완완료",J1066="평가중",J1066="반려요청",J1066="평가필요",LEFT(J1066,5)="보완요청("),"미종결 표시","상태 확인 필요"))</x:f>
        <x:v>미종결 표시</x:v>
      </x:c>
      <x:c r="L1066" s="2"/>
      <x:c r="M1066" s="2"/>
      <x:c r="N1066" s="8" t="n">
        <x:f>DATE(2026,10,15)-DATE(2022,10,11)</x:f>
        <x:v>1465</x:v>
      </x:c>
      <x:c r="O1066" s="2" t="str">
        <x:v>보류</x:v>
      </x:c>
      <x:c r="P1066" s="2" t="str">
        <x:v>프로그램 사업 승인 후 검토, 최초 승인 후 추가되는 단위사업 인증위 상정 없이 협의만으로 승인 가능(제16조제2항)</x:v>
      </x:c>
      <x:c r="Q1066" s="2" t="str">
        <x:v>산업전환_외부사업관리Tool_260707_이너젠 수정_LJY_261013.xlsx</x:v>
      </x:c>
      <x:c r="R1066" s="2" t="str">
        <x:v>국내평가</x:v>
      </x:c>
      <x:c r="S1066" s="8" t="n">
        <x:v>969</x:v>
      </x:c>
      <x:c r="T1066" s="2" t="str">
        <x:v>2023년 처리</x:v>
      </x:c>
      <x:c r="U1066" s="2" t="str">
        <x:v>2023 배정: 2023년 처리</x:v>
      </x:c>
      <x:c r="V1066" s="2" t="str">
        <x:v>2023-05-03</x:v>
      </x:c>
      <x:c r="W1066" s="2" t="str">
        <x:v>담당기관 확인</x:v>
      </x:c>
      <x:c r="X1066" s="2" t="str">
        <x:v>원본·배정 기록 확인</x:v>
      </x:c>
      <x:c r="Y1066" s="2" t="str">
        <x:v>ad210cd9ec132cfd447541c8984dc53d30aff0f4fb2dc92d254d49275cc55976</x:v>
      </x:c>
      <x:c r="Z1066" s="2" t="n">
        <x:f>SUBTOTAL(103,A1066)</x:f>
        <x:v>1</x:v>
      </x:c>
      <x:c r="AA1066" s="2" t="str">
        <x:f>IF(K1066&lt;&gt;"미종결 표시","대상 아님",IF(N1066="","신청일 확인",IF(NOT(ISNUMBER('종합 현황'!$H$5)),"관찰기준 확인",IF('종합 현황'!$H$5&lt;1,"관찰기준 확인",IF(N1066&gt;'종합 현황'!$H$5,"내부 관찰 대상","내부 관찰일 이하")))))</x:f>
        <x:v>내부 관찰 대상</x:v>
      </x:c>
      <x:c r="AB1066" s="2"/>
    </x:row>
    <x:row r="1067" ht="42" customHeight="1">
      <x:c r="A1067" s="2" t="str">
        <x:v>71b7e8c165f4c728d88107d8</x:v>
      </x:c>
      <x:c r="B1067" s="2" t="str">
        <x:v>사업 평가</x:v>
      </x:c>
      <x:c r="C1067" s="2" t="str">
        <x:v>국내</x:v>
      </x:c>
      <x:c r="D1067" s="7" t="str">
        <x:v>한국동서발전(주) 태양광발전 설치 및 자가 사용 프로그램 감축사업</x:v>
      </x:c>
      <x:c r="E1067" s="2" t="str">
        <x:v>928</x:v>
      </x:c>
      <x:c r="F1067" s="2" t="str">
        <x:v>2022-10-11</x:v>
      </x:c>
      <x:c r="G1067" s="2" t="str">
        <x:v>2022</x:v>
      </x:c>
      <x:c r="H1067" s="2" t="str">
        <x:v>10</x:v>
      </x:c>
      <x:c r="I1067" s="2" t="str">
        <x:v>검토필요</x:v>
      </x:c>
      <x:c r="J1067" s="2" t="str">
        <x:v>보류</x:v>
      </x:c>
      <x:c r="K1067" s="2" t="str">
        <x:f>IF(OR(J1067="심의승인",J1067="반려",J1067="반려완료",J1067="심의완료"),"종결 표시",IF(OR(J1067="기후부협의",J1067="문서재제출요청",J1067="보류",J1067="보완요청",J1067="보완완료",J1067="평가중",J1067="반려요청",J1067="평가필요",LEFT(J1067,5)="보완요청("),"미종결 표시","상태 확인 필요"))</x:f>
        <x:v>미종결 표시</x:v>
      </x:c>
      <x:c r="L1067" s="2"/>
      <x:c r="M1067" s="2"/>
      <x:c r="N1067" s="8" t="n">
        <x:f>DATE(2026,10,15)-DATE(2022,10,11)</x:f>
        <x:v>1465</x:v>
      </x:c>
      <x:c r="O1067" s="2" t="str">
        <x:v>보류</x:v>
      </x:c>
      <x:c r="P1067" s="2" t="str">
        <x:v>프로그램 사업 승인 후 검토, 최초 승인 후 추가되는 단위사업 인증위 상정 없이 협의만으로 승인 가능(제16조제2항)</x:v>
      </x:c>
      <x:c r="Q1067" s="2" t="str">
        <x:v>산업전환_외부사업관리Tool_260707_이너젠 수정_LJY_261013.xlsx</x:v>
      </x:c>
      <x:c r="R1067" s="2" t="str">
        <x:v>국내평가</x:v>
      </x:c>
      <x:c r="S1067" s="8" t="n">
        <x:v>970</x:v>
      </x:c>
      <x:c r="T1067" s="2" t="str">
        <x:v>2023년 처리</x:v>
      </x:c>
      <x:c r="U1067" s="2" t="str">
        <x:v>2023 배정: 2023년 처리</x:v>
      </x:c>
      <x:c r="V1067" s="2" t="str">
        <x:v>2023-05-03</x:v>
      </x:c>
      <x:c r="W1067" s="2" t="str">
        <x:v>담당기관 확인</x:v>
      </x:c>
      <x:c r="X1067" s="2" t="str">
        <x:v>원본·배정 기록 확인</x:v>
      </x:c>
      <x:c r="Y1067" s="2" t="str">
        <x:v>ad210cd9ec132cfd447541c8984dc53d30aff0f4fb2dc92d254d49275cc55976</x:v>
      </x:c>
      <x:c r="Z1067" s="2" t="n">
        <x:f>SUBTOTAL(103,A1067)</x:f>
        <x:v>1</x:v>
      </x:c>
      <x:c r="AA1067" s="2" t="str">
        <x:f>IF(K1067&lt;&gt;"미종결 표시","대상 아님",IF(N1067="","신청일 확인",IF(NOT(ISNUMBER('종합 현황'!$H$5)),"관찰기준 확인",IF('종합 현황'!$H$5&lt;1,"관찰기준 확인",IF(N1067&gt;'종합 현황'!$H$5,"내부 관찰 대상","내부 관찰일 이하")))))</x:f>
        <x:v>내부 관찰 대상</x:v>
      </x:c>
      <x:c r="AB1067" s="2"/>
    </x:row>
    <x:row r="1068" ht="42" customHeight="1">
      <x:c r="A1068" s="2" t="str">
        <x:v>167ba12c2b7689bb7546d65e</x:v>
      </x:c>
      <x:c r="B1068" s="2" t="str">
        <x:v>사업 평가</x:v>
      </x:c>
      <x:c r="C1068" s="2" t="str">
        <x:v>국내</x:v>
      </x:c>
      <x:c r="D1068" s="7" t="str">
        <x:v>한국동서발전(주) 태양광발전 설치 및 자가 사용 프로그램 감축사업</x:v>
      </x:c>
      <x:c r="E1068" s="2" t="str">
        <x:v>929</x:v>
      </x:c>
      <x:c r="F1068" s="2" t="str">
        <x:v>2022-10-11</x:v>
      </x:c>
      <x:c r="G1068" s="2" t="str">
        <x:v>2022</x:v>
      </x:c>
      <x:c r="H1068" s="2" t="str">
        <x:v>10</x:v>
      </x:c>
      <x:c r="I1068" s="2" t="str">
        <x:v>반려</x:v>
      </x:c>
      <x:c r="J1068" s="2" t="str">
        <x:v>반려</x:v>
      </x:c>
      <x:c r="K1068" s="2" t="str">
        <x:f>IF(OR(J1068="심의승인",J1068="반려",J1068="반려완료",J1068="심의완료"),"종결 표시",IF(OR(J1068="기후부협의",J1068="문서재제출요청",J1068="보류",J1068="보완요청",J1068="보완완료",J1068="평가중",J1068="반려요청",J1068="평가필요",LEFT(J1068,5)="보완요청("),"미종결 표시","상태 확인 필요"))</x:f>
        <x:v>종결 표시</x:v>
      </x:c>
      <x:c r="L1068" s="2"/>
      <x:c r="M1068" s="2"/>
      <x:c r="N1068" s="8" t="n">
        <x:f>DATE(2026,10,15)-DATE(2022,10,11)</x:f>
        <x:v>1465</x:v>
      </x:c>
      <x:c r="O1068" s="2" t="str">
        <x:v>보류</x:v>
      </x:c>
      <x:c r="P1068" s="2" t="str">
        <x:v>반려완료(업체 요청)</x:v>
      </x:c>
      <x:c r="Q1068" s="2" t="str">
        <x:v>산업전환_외부사업관리Tool_260707_이너젠 수정_LJY_261013.xlsx</x:v>
      </x:c>
      <x:c r="R1068" s="2" t="str">
        <x:v>국내평가</x:v>
      </x:c>
      <x:c r="S1068" s="8" t="n">
        <x:v>971</x:v>
      </x:c>
      <x:c r="T1068" s="2" t="str">
        <x:v>2024년 처리</x:v>
      </x:c>
      <x:c r="U1068" s="2" t="str">
        <x:v>2024 배정: 2024년 처리</x:v>
      </x:c>
      <x:c r="V1068" s="2" t="str">
        <x:v>2024-08-19</x:v>
      </x:c>
      <x:c r="W1068" s="2" t="str">
        <x:v>담당기관 확인</x:v>
      </x:c>
      <x:c r="X1068" s="2" t="str">
        <x:v>원본·배정 기록 확인</x:v>
      </x:c>
      <x:c r="Y1068" s="2" t="str">
        <x:v>ad210cd9ec132cfd447541c8984dc53d30aff0f4fb2dc92d254d49275cc55976</x:v>
      </x:c>
      <x:c r="Z1068" s="2" t="n">
        <x:f>SUBTOTAL(103,A1068)</x:f>
        <x:v>1</x:v>
      </x:c>
      <x:c r="AA1068" s="2" t="str">
        <x:f>IF(K1068&lt;&gt;"미종결 표시","대상 아님",IF(N1068="","신청일 확인",IF(NOT(ISNUMBER('종합 현황'!$H$5)),"관찰기준 확인",IF('종합 현황'!$H$5&lt;1,"관찰기준 확인",IF(N1068&gt;'종합 현황'!$H$5,"내부 관찰 대상","내부 관찰일 이하")))))</x:f>
        <x:v>대상 아님</x:v>
      </x:c>
      <x:c r="AB1068" s="2"/>
    </x:row>
    <x:row r="1069" ht="42" customHeight="1">
      <x:c r="A1069" s="2" t="str">
        <x:v>51ad07bb82fb903424a762b7</x:v>
      </x:c>
      <x:c r="B1069" s="2" t="str">
        <x:v>사업 평가</x:v>
      </x:c>
      <x:c r="C1069" s="2" t="str">
        <x:v>국내</x:v>
      </x:c>
      <x:c r="D1069" s="7" t="str">
        <x:v>한국동서발전(주) 태양광발전 설치 및 자가 사용 프로그램 감축사업</x:v>
      </x:c>
      <x:c r="E1069" s="2" t="str">
        <x:v>930</x:v>
      </x:c>
      <x:c r="F1069" s="2" t="str">
        <x:v>2022-10-11</x:v>
      </x:c>
      <x:c r="G1069" s="2" t="str">
        <x:v>2022</x:v>
      </x:c>
      <x:c r="H1069" s="2" t="str">
        <x:v>10</x:v>
      </x:c>
      <x:c r="I1069" s="2" t="str">
        <x:v>검토필요</x:v>
      </x:c>
      <x:c r="J1069" s="2" t="str">
        <x:v>보류</x:v>
      </x:c>
      <x:c r="K1069" s="2" t="str">
        <x:f>IF(OR(J1069="심의승인",J1069="반려",J1069="반려완료",J1069="심의완료"),"종결 표시",IF(OR(J1069="기후부협의",J1069="문서재제출요청",J1069="보류",J1069="보완요청",J1069="보완완료",J1069="평가중",J1069="반려요청",J1069="평가필요",LEFT(J1069,5)="보완요청("),"미종결 표시","상태 확인 필요"))</x:f>
        <x:v>미종결 표시</x:v>
      </x:c>
      <x:c r="L1069" s="2"/>
      <x:c r="M1069" s="2"/>
      <x:c r="N1069" s="8" t="n">
        <x:f>DATE(2026,10,15)-DATE(2022,10,11)</x:f>
        <x:v>1465</x:v>
      </x:c>
      <x:c r="O1069" s="2" t="str">
        <x:v>보류</x:v>
      </x:c>
      <x:c r="P1069" s="2" t="str">
        <x:v>프로그램 사업 승인 후 검토, 최초 승인 후 추가되는 단위사업 인증위 상정 없이 협의만으로 승인 가능(제16조제2항)</x:v>
      </x:c>
      <x:c r="Q1069" s="2" t="str">
        <x:v>산업전환_외부사업관리Tool_260707_이너젠 수정_LJY_261013.xlsx</x:v>
      </x:c>
      <x:c r="R1069" s="2" t="str">
        <x:v>국내평가</x:v>
      </x:c>
      <x:c r="S1069" s="8" t="n">
        <x:v>972</x:v>
      </x:c>
      <x:c r="T1069" s="2" t="str">
        <x:v>2023년 처리</x:v>
      </x:c>
      <x:c r="U1069" s="2" t="str">
        <x:v>2023 배정: 2023년 처리</x:v>
      </x:c>
      <x:c r="V1069" s="2" t="str">
        <x:v>2023-05-03</x:v>
      </x:c>
      <x:c r="W1069" s="2" t="str">
        <x:v>담당기관 확인</x:v>
      </x:c>
      <x:c r="X1069" s="2" t="str">
        <x:v>원본·배정 기록 확인</x:v>
      </x:c>
      <x:c r="Y1069" s="2" t="str">
        <x:v>ad210cd9ec132cfd447541c8984dc53d30aff0f4fb2dc92d254d49275cc55976</x:v>
      </x:c>
      <x:c r="Z1069" s="2" t="n">
        <x:f>SUBTOTAL(103,A1069)</x:f>
        <x:v>1</x:v>
      </x:c>
      <x:c r="AA1069" s="2" t="str">
        <x:f>IF(K1069&lt;&gt;"미종결 표시","대상 아님",IF(N1069="","신청일 확인",IF(NOT(ISNUMBER('종합 현황'!$H$5)),"관찰기준 확인",IF('종합 현황'!$H$5&lt;1,"관찰기준 확인",IF(N1069&gt;'종합 현황'!$H$5,"내부 관찰 대상","내부 관찰일 이하")))))</x:f>
        <x:v>내부 관찰 대상</x:v>
      </x:c>
      <x:c r="AB1069" s="2"/>
    </x:row>
    <x:row r="1070" ht="42" customHeight="1">
      <x:c r="A1070" s="2" t="str">
        <x:v>df90be0a6f876602510eb943</x:v>
      </x:c>
      <x:c r="B1070" s="2" t="str">
        <x:v>사업 평가</x:v>
      </x:c>
      <x:c r="C1070" s="2" t="str">
        <x:v>국내</x:v>
      </x:c>
      <x:c r="D1070" s="7" t="str">
        <x:v>한국동서발전(주) 태양광발전 설치 및 자가 사용 프로그램 감축사업</x:v>
      </x:c>
      <x:c r="E1070" s="2" t="str">
        <x:v>931</x:v>
      </x:c>
      <x:c r="F1070" s="2" t="str">
        <x:v>2022-10-11</x:v>
      </x:c>
      <x:c r="G1070" s="2" t="str">
        <x:v>2022</x:v>
      </x:c>
      <x:c r="H1070" s="2" t="str">
        <x:v>10</x:v>
      </x:c>
      <x:c r="I1070" s="2" t="str">
        <x:v>반려</x:v>
      </x:c>
      <x:c r="J1070" s="2" t="str">
        <x:v>반려</x:v>
      </x:c>
      <x:c r="K1070" s="2" t="str">
        <x:f>IF(OR(J1070="심의승인",J1070="반려",J1070="반려완료",J1070="심의완료"),"종결 표시",IF(OR(J1070="기후부협의",J1070="문서재제출요청",J1070="보류",J1070="보완요청",J1070="보완완료",J1070="평가중",J1070="반려요청",J1070="평가필요",LEFT(J1070,5)="보완요청("),"미종결 표시","상태 확인 필요"))</x:f>
        <x:v>종결 표시</x:v>
      </x:c>
      <x:c r="L1070" s="2"/>
      <x:c r="M1070" s="2"/>
      <x:c r="N1070" s="8" t="n">
        <x:f>DATE(2026,10,15)-DATE(2022,10,11)</x:f>
        <x:v>1465</x:v>
      </x:c>
      <x:c r="O1070" s="2" t="str">
        <x:v>보류</x:v>
      </x:c>
      <x:c r="P1070" s="2" t="str">
        <x:v>반려완료(업체 요청)</x:v>
      </x:c>
      <x:c r="Q1070" s="2" t="str">
        <x:v>산업전환_외부사업관리Tool_260707_이너젠 수정_LJY_261013.xlsx</x:v>
      </x:c>
      <x:c r="R1070" s="2" t="str">
        <x:v>국내평가</x:v>
      </x:c>
      <x:c r="S1070" s="8" t="n">
        <x:v>973</x:v>
      </x:c>
      <x:c r="T1070" s="2" t="str">
        <x:v>2024년 처리</x:v>
      </x:c>
      <x:c r="U1070" s="2" t="str">
        <x:v>2024 배정: 2024년 처리</x:v>
      </x:c>
      <x:c r="V1070" s="2" t="str">
        <x:v>2024-08-19</x:v>
      </x:c>
      <x:c r="W1070" s="2" t="str">
        <x:v>담당기관 확인</x:v>
      </x:c>
      <x:c r="X1070" s="2" t="str">
        <x:v>원본·배정 기록 확인</x:v>
      </x:c>
      <x:c r="Y1070" s="2" t="str">
        <x:v>ad210cd9ec132cfd447541c8984dc53d30aff0f4fb2dc92d254d49275cc55976</x:v>
      </x:c>
      <x:c r="Z1070" s="2" t="n">
        <x:f>SUBTOTAL(103,A1070)</x:f>
        <x:v>1</x:v>
      </x:c>
      <x:c r="AA1070" s="2" t="str">
        <x:f>IF(K1070&lt;&gt;"미종결 표시","대상 아님",IF(N1070="","신청일 확인",IF(NOT(ISNUMBER('종합 현황'!$H$5)),"관찰기준 확인",IF('종합 현황'!$H$5&lt;1,"관찰기준 확인",IF(N1070&gt;'종합 현황'!$H$5,"내부 관찰 대상","내부 관찰일 이하")))))</x:f>
        <x:v>대상 아님</x:v>
      </x:c>
      <x:c r="AB1070" s="2"/>
    </x:row>
    <x:row r="1071" ht="42" customHeight="1">
      <x:c r="A1071" s="2" t="str">
        <x:v>4a8624643d76bbc259158245</x:v>
      </x:c>
      <x:c r="B1071" s="2" t="str">
        <x:v>사업 평가</x:v>
      </x:c>
      <x:c r="C1071" s="2" t="str">
        <x:v>국내</x:v>
      </x:c>
      <x:c r="D1071" s="7" t="str">
        <x:v>한국동서발전(주) 태양광발전 설치 및 자가 사용 프로그램 감축사업</x:v>
      </x:c>
      <x:c r="E1071" s="2" t="str">
        <x:v>932</x:v>
      </x:c>
      <x:c r="F1071" s="2" t="str">
        <x:v>2022-10-11</x:v>
      </x:c>
      <x:c r="G1071" s="2" t="str">
        <x:v>2022</x:v>
      </x:c>
      <x:c r="H1071" s="2" t="str">
        <x:v>10</x:v>
      </x:c>
      <x:c r="I1071" s="2" t="str">
        <x:v>검토필요</x:v>
      </x:c>
      <x:c r="J1071" s="2" t="str">
        <x:v>보류</x:v>
      </x:c>
      <x:c r="K1071" s="2" t="str">
        <x:f>IF(OR(J1071="심의승인",J1071="반려",J1071="반려완료",J1071="심의완료"),"종결 표시",IF(OR(J1071="기후부협의",J1071="문서재제출요청",J1071="보류",J1071="보완요청",J1071="보완완료",J1071="평가중",J1071="반려요청",J1071="평가필요",LEFT(J1071,5)="보완요청("),"미종결 표시","상태 확인 필요"))</x:f>
        <x:v>미종결 표시</x:v>
      </x:c>
      <x:c r="L1071" s="2"/>
      <x:c r="M1071" s="2"/>
      <x:c r="N1071" s="8" t="n">
        <x:f>DATE(2026,10,15)-DATE(2022,10,11)</x:f>
        <x:v>1465</x:v>
      </x:c>
      <x:c r="O1071" s="2" t="str">
        <x:v>보류</x:v>
      </x:c>
      <x:c r="P1071" s="2" t="str">
        <x:v>프로그램 사업 승인 후 검토, 최초 승인 후 추가되는 단위사업 인증위 상정 없이 협의만으로 승인 가능(제16조제2항)</x:v>
      </x:c>
      <x:c r="Q1071" s="2" t="str">
        <x:v>산업전환_외부사업관리Tool_260707_이너젠 수정_LJY_261013.xlsx</x:v>
      </x:c>
      <x:c r="R1071" s="2" t="str">
        <x:v>국내평가</x:v>
      </x:c>
      <x:c r="S1071" s="8" t="n">
        <x:v>974</x:v>
      </x:c>
      <x:c r="T1071" s="2" t="str">
        <x:v>2023년 처리</x:v>
      </x:c>
      <x:c r="U1071" s="2" t="str">
        <x:v>2023 배정: 2023년 처리</x:v>
      </x:c>
      <x:c r="V1071" s="2" t="str">
        <x:v>2023-05-03</x:v>
      </x:c>
      <x:c r="W1071" s="2" t="str">
        <x:v>담당기관 확인</x:v>
      </x:c>
      <x:c r="X1071" s="2" t="str">
        <x:v>원본·배정 기록 확인</x:v>
      </x:c>
      <x:c r="Y1071" s="2" t="str">
        <x:v>ad210cd9ec132cfd447541c8984dc53d30aff0f4fb2dc92d254d49275cc55976</x:v>
      </x:c>
      <x:c r="Z1071" s="2" t="n">
        <x:f>SUBTOTAL(103,A1071)</x:f>
        <x:v>1</x:v>
      </x:c>
      <x:c r="AA1071" s="2" t="str">
        <x:f>IF(K1071&lt;&gt;"미종결 표시","대상 아님",IF(N1071="","신청일 확인",IF(NOT(ISNUMBER('종합 현황'!$H$5)),"관찰기준 확인",IF('종합 현황'!$H$5&lt;1,"관찰기준 확인",IF(N1071&gt;'종합 현황'!$H$5,"내부 관찰 대상","내부 관찰일 이하")))))</x:f>
        <x:v>내부 관찰 대상</x:v>
      </x:c>
      <x:c r="AB1071" s="2"/>
    </x:row>
    <x:row r="1072" ht="42" customHeight="1">
      <x:c r="A1072" s="2" t="str">
        <x:v>23a2347fc7c3deb6aa3505d2</x:v>
      </x:c>
      <x:c r="B1072" s="2" t="str">
        <x:v>사업 평가</x:v>
      </x:c>
      <x:c r="C1072" s="2" t="str">
        <x:v>국내</x:v>
      </x:c>
      <x:c r="D1072" s="7" t="str">
        <x:v>한국동서발전(주) 태양광발전 설치 및 자가 사용 프로그램 감축사업</x:v>
      </x:c>
      <x:c r="E1072" s="2" t="str">
        <x:v>933</x:v>
      </x:c>
      <x:c r="F1072" s="2" t="str">
        <x:v>2022-10-11</x:v>
      </x:c>
      <x:c r="G1072" s="2" t="str">
        <x:v>2022</x:v>
      </x:c>
      <x:c r="H1072" s="2" t="str">
        <x:v>10</x:v>
      </x:c>
      <x:c r="I1072" s="2" t="str">
        <x:v>반려</x:v>
      </x:c>
      <x:c r="J1072" s="2" t="str">
        <x:v>반려</x:v>
      </x:c>
      <x:c r="K1072" s="2" t="str">
        <x:f>IF(OR(J1072="심의승인",J1072="반려",J1072="반려완료",J1072="심의완료"),"종결 표시",IF(OR(J1072="기후부협의",J1072="문서재제출요청",J1072="보류",J1072="보완요청",J1072="보완완료",J1072="평가중",J1072="반려요청",J1072="평가필요",LEFT(J1072,5)="보완요청("),"미종결 표시","상태 확인 필요"))</x:f>
        <x:v>종결 표시</x:v>
      </x:c>
      <x:c r="L1072" s="2"/>
      <x:c r="M1072" s="2"/>
      <x:c r="N1072" s="8" t="n">
        <x:f>DATE(2026,10,15)-DATE(2022,10,11)</x:f>
        <x:v>1465</x:v>
      </x:c>
      <x:c r="O1072" s="2" t="str">
        <x:v>보류</x:v>
      </x:c>
      <x:c r="P1072" s="2" t="str">
        <x:v>반려완료(업체 요청)</x:v>
      </x:c>
      <x:c r="Q1072" s="2" t="str">
        <x:v>산업전환_외부사업관리Tool_260707_이너젠 수정_LJY_261013.xlsx</x:v>
      </x:c>
      <x:c r="R1072" s="2" t="str">
        <x:v>국내평가</x:v>
      </x:c>
      <x:c r="S1072" s="8" t="n">
        <x:v>975</x:v>
      </x:c>
      <x:c r="T1072" s="2" t="str">
        <x:v>2024년 처리</x:v>
      </x:c>
      <x:c r="U1072" s="2" t="str">
        <x:v>2024 배정: 2024년 처리</x:v>
      </x:c>
      <x:c r="V1072" s="2" t="str">
        <x:v>2024-08-19</x:v>
      </x:c>
      <x:c r="W1072" s="2" t="str">
        <x:v>담당기관 확인</x:v>
      </x:c>
      <x:c r="X1072" s="2" t="str">
        <x:v>원본·배정 기록 확인</x:v>
      </x:c>
      <x:c r="Y1072" s="2" t="str">
        <x:v>ad210cd9ec132cfd447541c8984dc53d30aff0f4fb2dc92d254d49275cc55976</x:v>
      </x:c>
      <x:c r="Z1072" s="2" t="n">
        <x:f>SUBTOTAL(103,A1072)</x:f>
        <x:v>1</x:v>
      </x:c>
      <x:c r="AA1072" s="2" t="str">
        <x:f>IF(K1072&lt;&gt;"미종결 표시","대상 아님",IF(N1072="","신청일 확인",IF(NOT(ISNUMBER('종합 현황'!$H$5)),"관찰기준 확인",IF('종합 현황'!$H$5&lt;1,"관찰기준 확인",IF(N1072&gt;'종합 현황'!$H$5,"내부 관찰 대상","내부 관찰일 이하")))))</x:f>
        <x:v>대상 아님</x:v>
      </x:c>
      <x:c r="AB1072" s="2"/>
    </x:row>
    <x:row r="1073" ht="42" customHeight="1">
      <x:c r="A1073" s="2" t="str">
        <x:v>c8a126bf9f40efc27777bdf4</x:v>
      </x:c>
      <x:c r="B1073" s="2" t="str">
        <x:v>사업 평가</x:v>
      </x:c>
      <x:c r="C1073" s="2" t="str">
        <x:v>국내</x:v>
      </x:c>
      <x:c r="D1073" s="7" t="str">
        <x:v>한국동서발전(주) 태양광발전 설치 및 자가 사용 프로그램 감축사업</x:v>
      </x:c>
      <x:c r="E1073" s="2" t="str">
        <x:v>934</x:v>
      </x:c>
      <x:c r="F1073" s="2" t="str">
        <x:v>2022-10-11</x:v>
      </x:c>
      <x:c r="G1073" s="2" t="str">
        <x:v>2022</x:v>
      </x:c>
      <x:c r="H1073" s="2" t="str">
        <x:v>10</x:v>
      </x:c>
      <x:c r="I1073" s="2" t="str">
        <x:v>검토필요</x:v>
      </x:c>
      <x:c r="J1073" s="2" t="str">
        <x:v>보류</x:v>
      </x:c>
      <x:c r="K1073" s="2" t="str">
        <x:f>IF(OR(J1073="심의승인",J1073="반려",J1073="반려완료",J1073="심의완료"),"종결 표시",IF(OR(J1073="기후부협의",J1073="문서재제출요청",J1073="보류",J1073="보완요청",J1073="보완완료",J1073="평가중",J1073="반려요청",J1073="평가필요",LEFT(J1073,5)="보완요청("),"미종결 표시","상태 확인 필요"))</x:f>
        <x:v>미종결 표시</x:v>
      </x:c>
      <x:c r="L1073" s="2"/>
      <x:c r="M1073" s="2"/>
      <x:c r="N1073" s="8" t="n">
        <x:f>DATE(2026,10,15)-DATE(2022,10,11)</x:f>
        <x:v>1465</x:v>
      </x:c>
      <x:c r="O1073" s="2" t="str">
        <x:v>보류</x:v>
      </x:c>
      <x:c r="P1073" s="2" t="str">
        <x:v>프로그램 사업 승인 후 검토, 최초 승인 후 추가되는 단위사업 인증위 상정 없이 협의만으로 승인 가능(제16조제2항)</x:v>
      </x:c>
      <x:c r="Q1073" s="2" t="str">
        <x:v>산업전환_외부사업관리Tool_260707_이너젠 수정_LJY_261013.xlsx</x:v>
      </x:c>
      <x:c r="R1073" s="2" t="str">
        <x:v>국내평가</x:v>
      </x:c>
      <x:c r="S1073" s="8" t="n">
        <x:v>976</x:v>
      </x:c>
      <x:c r="T1073" s="2" t="str">
        <x:v>2023년 처리</x:v>
      </x:c>
      <x:c r="U1073" s="2" t="str">
        <x:v>2023 배정: 2023년 처리</x:v>
      </x:c>
      <x:c r="V1073" s="2" t="str">
        <x:v>2023-05-03</x:v>
      </x:c>
      <x:c r="W1073" s="2" t="str">
        <x:v>담당기관 확인</x:v>
      </x:c>
      <x:c r="X1073" s="2" t="str">
        <x:v>원본·배정 기록 확인</x:v>
      </x:c>
      <x:c r="Y1073" s="2" t="str">
        <x:v>ad210cd9ec132cfd447541c8984dc53d30aff0f4fb2dc92d254d49275cc55976</x:v>
      </x:c>
      <x:c r="Z1073" s="2" t="n">
        <x:f>SUBTOTAL(103,A1073)</x:f>
        <x:v>1</x:v>
      </x:c>
      <x:c r="AA1073" s="2" t="str">
        <x:f>IF(K1073&lt;&gt;"미종결 표시","대상 아님",IF(N1073="","신청일 확인",IF(NOT(ISNUMBER('종합 현황'!$H$5)),"관찰기준 확인",IF('종합 현황'!$H$5&lt;1,"관찰기준 확인",IF(N1073&gt;'종합 현황'!$H$5,"내부 관찰 대상","내부 관찰일 이하")))))</x:f>
        <x:v>내부 관찰 대상</x:v>
      </x:c>
      <x:c r="AB1073" s="2"/>
    </x:row>
    <x:row r="1074" ht="42" customHeight="1">
      <x:c r="A1074" s="2" t="str">
        <x:v>a2fecdafd9026e0843acb5ca</x:v>
      </x:c>
      <x:c r="B1074" s="2" t="str">
        <x:v>사업 평가</x:v>
      </x:c>
      <x:c r="C1074" s="2" t="str">
        <x:v>국내</x:v>
      </x:c>
      <x:c r="D1074" s="7" t="str">
        <x:v>한국동서발전(주) 태양광발전 설치 및 자가 사용 프로그램 감축사업</x:v>
      </x:c>
      <x:c r="E1074" s="2" t="str">
        <x:v>935</x:v>
      </x:c>
      <x:c r="F1074" s="2" t="str">
        <x:v>2022-10-11</x:v>
      </x:c>
      <x:c r="G1074" s="2" t="str">
        <x:v>2022</x:v>
      </x:c>
      <x:c r="H1074" s="2" t="str">
        <x:v>10</x:v>
      </x:c>
      <x:c r="I1074" s="2" t="str">
        <x:v>검토필요</x:v>
      </x:c>
      <x:c r="J1074" s="2" t="str">
        <x:v>보류</x:v>
      </x:c>
      <x:c r="K1074" s="2" t="str">
        <x:f>IF(OR(J1074="심의승인",J1074="반려",J1074="반려완료",J1074="심의완료"),"종결 표시",IF(OR(J1074="기후부협의",J1074="문서재제출요청",J1074="보류",J1074="보완요청",J1074="보완완료",J1074="평가중",J1074="반려요청",J1074="평가필요",LEFT(J1074,5)="보완요청("),"미종결 표시","상태 확인 필요"))</x:f>
        <x:v>미종결 표시</x:v>
      </x:c>
      <x:c r="L1074" s="2"/>
      <x:c r="M1074" s="2"/>
      <x:c r="N1074" s="8" t="n">
        <x:f>DATE(2026,10,15)-DATE(2022,10,11)</x:f>
        <x:v>1465</x:v>
      </x:c>
      <x:c r="O1074" s="2" t="str">
        <x:v>보류</x:v>
      </x:c>
      <x:c r="P1074" s="2" t="str">
        <x:v>프로그램 사업 승인 후 검토, 최초 승인 후 추가되는 단위사업 인증위 상정 없이 협의만으로 승인 가능(제16조제2항)</x:v>
      </x:c>
      <x:c r="Q1074" s="2" t="str">
        <x:v>산업전환_외부사업관리Tool_260707_이너젠 수정_LJY_261013.xlsx</x:v>
      </x:c>
      <x:c r="R1074" s="2" t="str">
        <x:v>국내평가</x:v>
      </x:c>
      <x:c r="S1074" s="8" t="n">
        <x:v>977</x:v>
      </x:c>
      <x:c r="T1074" s="2" t="str">
        <x:v>2023년 처리</x:v>
      </x:c>
      <x:c r="U1074" s="2" t="str">
        <x:v>2023 배정: 2023년 처리</x:v>
      </x:c>
      <x:c r="V1074" s="2" t="str">
        <x:v>2023-05-03</x:v>
      </x:c>
      <x:c r="W1074" s="2" t="str">
        <x:v>담당기관 확인</x:v>
      </x:c>
      <x:c r="X1074" s="2" t="str">
        <x:v>원본·배정 기록 확인</x:v>
      </x:c>
      <x:c r="Y1074" s="2" t="str">
        <x:v>ad210cd9ec132cfd447541c8984dc53d30aff0f4fb2dc92d254d49275cc55976</x:v>
      </x:c>
      <x:c r="Z1074" s="2" t="n">
        <x:f>SUBTOTAL(103,A1074)</x:f>
        <x:v>1</x:v>
      </x:c>
      <x:c r="AA1074" s="2" t="str">
        <x:f>IF(K1074&lt;&gt;"미종결 표시","대상 아님",IF(N1074="","신청일 확인",IF(NOT(ISNUMBER('종합 현황'!$H$5)),"관찰기준 확인",IF('종합 현황'!$H$5&lt;1,"관찰기준 확인",IF(N1074&gt;'종합 현황'!$H$5,"내부 관찰 대상","내부 관찰일 이하")))))</x:f>
        <x:v>내부 관찰 대상</x:v>
      </x:c>
      <x:c r="AB1074" s="2"/>
    </x:row>
    <x:row r="1075" ht="42" customHeight="1">
      <x:c r="A1075" s="2" t="str">
        <x:v>54bab28c28f2c2d7981ef8f0</x:v>
      </x:c>
      <x:c r="B1075" s="2" t="str">
        <x:v>사업 평가</x:v>
      </x:c>
      <x:c r="C1075" s="2" t="str">
        <x:v>국내</x:v>
      </x:c>
      <x:c r="D1075" s="7" t="str">
        <x:v>한국동서발전(주) 태양광발전 설치 및 자가 사용 프로그램 감축사업</x:v>
      </x:c>
      <x:c r="E1075" s="2" t="str">
        <x:v>936</x:v>
      </x:c>
      <x:c r="F1075" s="2" t="str">
        <x:v>2022-10-11</x:v>
      </x:c>
      <x:c r="G1075" s="2" t="str">
        <x:v>2022</x:v>
      </x:c>
      <x:c r="H1075" s="2" t="str">
        <x:v>10</x:v>
      </x:c>
      <x:c r="I1075" s="2" t="str">
        <x:v>검토필요</x:v>
      </x:c>
      <x:c r="J1075" s="2" t="str">
        <x:v>보류</x:v>
      </x:c>
      <x:c r="K1075" s="2" t="str">
        <x:f>IF(OR(J1075="심의승인",J1075="반려",J1075="반려완료",J1075="심의완료"),"종결 표시",IF(OR(J1075="기후부협의",J1075="문서재제출요청",J1075="보류",J1075="보완요청",J1075="보완완료",J1075="평가중",J1075="반려요청",J1075="평가필요",LEFT(J1075,5)="보완요청("),"미종결 표시","상태 확인 필요"))</x:f>
        <x:v>미종결 표시</x:v>
      </x:c>
      <x:c r="L1075" s="2"/>
      <x:c r="M1075" s="2"/>
      <x:c r="N1075" s="8" t="n">
        <x:f>DATE(2026,10,15)-DATE(2022,10,11)</x:f>
        <x:v>1465</x:v>
      </x:c>
      <x:c r="O1075" s="2" t="str">
        <x:v>보류</x:v>
      </x:c>
      <x:c r="P1075" s="2" t="str">
        <x:v>프로그램 사업 승인 후 검토, 최초 승인 후 추가되는 단위사업 인증위 상정 없이 협의만으로 승인 가능(제16조제2항)</x:v>
      </x:c>
      <x:c r="Q1075" s="2" t="str">
        <x:v>산업전환_외부사업관리Tool_260707_이너젠 수정_LJY_261013.xlsx</x:v>
      </x:c>
      <x:c r="R1075" s="2" t="str">
        <x:v>국내평가</x:v>
      </x:c>
      <x:c r="S1075" s="8" t="n">
        <x:v>978</x:v>
      </x:c>
      <x:c r="T1075" s="2" t="str">
        <x:v>2023년 처리</x:v>
      </x:c>
      <x:c r="U1075" s="2" t="str">
        <x:v>2023 배정: 2023년 처리</x:v>
      </x:c>
      <x:c r="V1075" s="2" t="str">
        <x:v>2023-05-03</x:v>
      </x:c>
      <x:c r="W1075" s="2" t="str">
        <x:v>담당기관 확인</x:v>
      </x:c>
      <x:c r="X1075" s="2" t="str">
        <x:v>원본·배정 기록 확인</x:v>
      </x:c>
      <x:c r="Y1075" s="2" t="str">
        <x:v>ad210cd9ec132cfd447541c8984dc53d30aff0f4fb2dc92d254d49275cc55976</x:v>
      </x:c>
      <x:c r="Z1075" s="2" t="n">
        <x:f>SUBTOTAL(103,A1075)</x:f>
        <x:v>1</x:v>
      </x:c>
      <x:c r="AA1075" s="2" t="str">
        <x:f>IF(K1075&lt;&gt;"미종결 표시","대상 아님",IF(N1075="","신청일 확인",IF(NOT(ISNUMBER('종합 현황'!$H$5)),"관찰기준 확인",IF('종합 현황'!$H$5&lt;1,"관찰기준 확인",IF(N1075&gt;'종합 현황'!$H$5,"내부 관찰 대상","내부 관찰일 이하")))))</x:f>
        <x:v>내부 관찰 대상</x:v>
      </x:c>
      <x:c r="AB1075" s="2"/>
    </x:row>
    <x:row r="1076" ht="42" customHeight="1">
      <x:c r="A1076" s="2" t="str">
        <x:v>0608c427d4130e0f3a74af7b</x:v>
      </x:c>
      <x:c r="B1076" s="2" t="str">
        <x:v>사업 평가</x:v>
      </x:c>
      <x:c r="C1076" s="2" t="str">
        <x:v>국내</x:v>
      </x:c>
      <x:c r="D1076" s="7" t="str">
        <x:v>한국동서발전(주) 태양광발전 설치 및 자가 사용 프로그램 감축사업</x:v>
      </x:c>
      <x:c r="E1076" s="2" t="str">
        <x:v>937</x:v>
      </x:c>
      <x:c r="F1076" s="2" t="str">
        <x:v>2022-10-11</x:v>
      </x:c>
      <x:c r="G1076" s="2" t="str">
        <x:v>2022</x:v>
      </x:c>
      <x:c r="H1076" s="2" t="str">
        <x:v>10</x:v>
      </x:c>
      <x:c r="I1076" s="2" t="str">
        <x:v>반려</x:v>
      </x:c>
      <x:c r="J1076" s="2" t="str">
        <x:v>반려</x:v>
      </x:c>
      <x:c r="K1076" s="2" t="str">
        <x:f>IF(OR(J1076="심의승인",J1076="반려",J1076="반려완료",J1076="심의완료"),"종결 표시",IF(OR(J1076="기후부협의",J1076="문서재제출요청",J1076="보류",J1076="보완요청",J1076="보완완료",J1076="평가중",J1076="반려요청",J1076="평가필요",LEFT(J1076,5)="보완요청("),"미종결 표시","상태 확인 필요"))</x:f>
        <x:v>종결 표시</x:v>
      </x:c>
      <x:c r="L1076" s="2"/>
      <x:c r="M1076" s="2"/>
      <x:c r="N1076" s="8" t="n">
        <x:f>DATE(2026,10,15)-DATE(2022,10,11)</x:f>
        <x:v>1465</x:v>
      </x:c>
      <x:c r="O1076" s="2" t="str">
        <x:v>보류</x:v>
      </x:c>
      <x:c r="P1076" s="2" t="str">
        <x:v>반려완료(업체 요청)</x:v>
      </x:c>
      <x:c r="Q1076" s="2" t="str">
        <x:v>산업전환_외부사업관리Tool_260707_이너젠 수정_LJY_261013.xlsx</x:v>
      </x:c>
      <x:c r="R1076" s="2" t="str">
        <x:v>국내평가</x:v>
      </x:c>
      <x:c r="S1076" s="8" t="n">
        <x:v>979</x:v>
      </x:c>
      <x:c r="T1076" s="2" t="str">
        <x:v>2024년 처리</x:v>
      </x:c>
      <x:c r="U1076" s="2" t="str">
        <x:v>2024 배정: 2024년 처리</x:v>
      </x:c>
      <x:c r="V1076" s="2" t="str">
        <x:v>2024-08-19</x:v>
      </x:c>
      <x:c r="W1076" s="2" t="str">
        <x:v>담당기관 확인</x:v>
      </x:c>
      <x:c r="X1076" s="2" t="str">
        <x:v>원본·배정 기록 확인</x:v>
      </x:c>
      <x:c r="Y1076" s="2" t="str">
        <x:v>ad210cd9ec132cfd447541c8984dc53d30aff0f4fb2dc92d254d49275cc55976</x:v>
      </x:c>
      <x:c r="Z1076" s="2" t="n">
        <x:f>SUBTOTAL(103,A1076)</x:f>
        <x:v>1</x:v>
      </x:c>
      <x:c r="AA1076" s="2" t="str">
        <x:f>IF(K1076&lt;&gt;"미종결 표시","대상 아님",IF(N1076="","신청일 확인",IF(NOT(ISNUMBER('종합 현황'!$H$5)),"관찰기준 확인",IF('종합 현황'!$H$5&lt;1,"관찰기준 확인",IF(N1076&gt;'종합 현황'!$H$5,"내부 관찰 대상","내부 관찰일 이하")))))</x:f>
        <x:v>대상 아님</x:v>
      </x:c>
      <x:c r="AB1076" s="2"/>
    </x:row>
    <x:row r="1077" ht="42" customHeight="1">
      <x:c r="A1077" s="2" t="str">
        <x:v>dabf1814c7d028265048e38a</x:v>
      </x:c>
      <x:c r="B1077" s="2" t="str">
        <x:v>사업 평가</x:v>
      </x:c>
      <x:c r="C1077" s="2" t="str">
        <x:v>국내</x:v>
      </x:c>
      <x:c r="D1077" s="7" t="str">
        <x:v>한국동서발전(주) 태양광발전 설치 및 자가 사용 프로그램 감축사업</x:v>
      </x:c>
      <x:c r="E1077" s="2" t="str">
        <x:v>938</x:v>
      </x:c>
      <x:c r="F1077" s="2" t="str">
        <x:v>2022-10-06</x:v>
      </x:c>
      <x:c r="G1077" s="2" t="str">
        <x:v>2022</x:v>
      </x:c>
      <x:c r="H1077" s="2" t="str">
        <x:v>10</x:v>
      </x:c>
      <x:c r="I1077" s="2" t="str">
        <x:v>검토필요</x:v>
      </x:c>
      <x:c r="J1077" s="2" t="str">
        <x:v>보류</x:v>
      </x:c>
      <x:c r="K1077" s="2" t="str">
        <x:f>IF(OR(J1077="심의승인",J1077="반려",J1077="반려완료",J1077="심의완료"),"종결 표시",IF(OR(J1077="기후부협의",J1077="문서재제출요청",J1077="보류",J1077="보완요청",J1077="보완완료",J1077="평가중",J1077="반려요청",J1077="평가필요",LEFT(J1077,5)="보완요청("),"미종결 표시","상태 확인 필요"))</x:f>
        <x:v>미종결 표시</x:v>
      </x:c>
      <x:c r="L1077" s="2"/>
      <x:c r="M1077" s="2"/>
      <x:c r="N1077" s="8" t="n">
        <x:f>DATE(2026,10,15)-DATE(2022,10,6)</x:f>
        <x:v>1470</x:v>
      </x:c>
      <x:c r="O1077" s="2" t="str">
        <x:v>보류</x:v>
      </x:c>
      <x:c r="P1077" s="2" t="str">
        <x:v>프로그램 사업 승인 후 검토, 최초 승인 후 추가되는 단위사업 인증위 상정 없이 협의만으로 승인 가능(제16조제2항)</x:v>
      </x:c>
      <x:c r="Q1077" s="2" t="str">
        <x:v>산업전환_외부사업관리Tool_260707_이너젠 수정_LJY_261013.xlsx</x:v>
      </x:c>
      <x:c r="R1077" s="2" t="str">
        <x:v>국내평가</x:v>
      </x:c>
      <x:c r="S1077" s="8" t="n">
        <x:v>980</x:v>
      </x:c>
      <x:c r="T1077" s="2" t="str">
        <x:v>2023년 처리</x:v>
      </x:c>
      <x:c r="U1077" s="2" t="str">
        <x:v>2023 배정: 2023년 처리</x:v>
      </x:c>
      <x:c r="V1077" s="2" t="str">
        <x:v>2023-05-03</x:v>
      </x:c>
      <x:c r="W1077" s="2" t="str">
        <x:v>담당기관 확인</x:v>
      </x:c>
      <x:c r="X1077" s="2" t="str">
        <x:v>원본·배정 기록 확인</x:v>
      </x:c>
      <x:c r="Y1077" s="2" t="str">
        <x:v>ad210cd9ec132cfd447541c8984dc53d30aff0f4fb2dc92d254d49275cc55976</x:v>
      </x:c>
      <x:c r="Z1077" s="2" t="n">
        <x:f>SUBTOTAL(103,A1077)</x:f>
        <x:v>1</x:v>
      </x:c>
      <x:c r="AA1077" s="2" t="str">
        <x:f>IF(K1077&lt;&gt;"미종결 표시","대상 아님",IF(N1077="","신청일 확인",IF(NOT(ISNUMBER('종합 현황'!$H$5)),"관찰기준 확인",IF('종합 현황'!$H$5&lt;1,"관찰기준 확인",IF(N1077&gt;'종합 현황'!$H$5,"내부 관찰 대상","내부 관찰일 이하")))))</x:f>
        <x:v>내부 관찰 대상</x:v>
      </x:c>
      <x:c r="AB1077" s="2"/>
    </x:row>
    <x:row r="1078" ht="42" customHeight="1">
      <x:c r="A1078" s="2" t="str">
        <x:v>ef9655d3cf654e3499efc9f9</x:v>
      </x:c>
      <x:c r="B1078" s="2" t="str">
        <x:v>사업 평가</x:v>
      </x:c>
      <x:c r="C1078" s="2" t="str">
        <x:v>국내</x:v>
      </x:c>
      <x:c r="D1078" s="7" t="str">
        <x:v>한국동서발전(주) 태양광발전 설치 및 자가 사용 프로그램 감축사업</x:v>
      </x:c>
      <x:c r="E1078" s="2" t="str">
        <x:v>939</x:v>
      </x:c>
      <x:c r="F1078" s="2" t="str">
        <x:v>2022-10-07</x:v>
      </x:c>
      <x:c r="G1078" s="2" t="str">
        <x:v>2022</x:v>
      </x:c>
      <x:c r="H1078" s="2" t="str">
        <x:v>10</x:v>
      </x:c>
      <x:c r="I1078" s="2" t="str">
        <x:v>반려</x:v>
      </x:c>
      <x:c r="J1078" s="2" t="str">
        <x:v>반려</x:v>
      </x:c>
      <x:c r="K1078" s="2" t="str">
        <x:f>IF(OR(J1078="심의승인",J1078="반려",J1078="반려완료",J1078="심의완료"),"종결 표시",IF(OR(J1078="기후부협의",J1078="문서재제출요청",J1078="보류",J1078="보완요청",J1078="보완완료",J1078="평가중",J1078="반려요청",J1078="평가필요",LEFT(J1078,5)="보완요청("),"미종결 표시","상태 확인 필요"))</x:f>
        <x:v>종결 표시</x:v>
      </x:c>
      <x:c r="L1078" s="2"/>
      <x:c r="M1078" s="2"/>
      <x:c r="N1078" s="8" t="n">
        <x:f>DATE(2026,10,15)-DATE(2022,10,7)</x:f>
        <x:v>1469</x:v>
      </x:c>
      <x:c r="O1078" s="2" t="str">
        <x:v>보류</x:v>
      </x:c>
      <x:c r="P1078" s="2" t="str">
        <x:v>반려완료(업체 요청)</x:v>
      </x:c>
      <x:c r="Q1078" s="2" t="str">
        <x:v>산업전환_외부사업관리Tool_260707_이너젠 수정_LJY_261013.xlsx</x:v>
      </x:c>
      <x:c r="R1078" s="2" t="str">
        <x:v>국내평가</x:v>
      </x:c>
      <x:c r="S1078" s="8" t="n">
        <x:v>981</x:v>
      </x:c>
      <x:c r="T1078" s="2" t="str">
        <x:v>2024년 처리</x:v>
      </x:c>
      <x:c r="U1078" s="2" t="str">
        <x:v>2024 배정: 2024년 처리</x:v>
      </x:c>
      <x:c r="V1078" s="2" t="str">
        <x:v>2024-08-19</x:v>
      </x:c>
      <x:c r="W1078" s="2" t="str">
        <x:v>담당기관 확인</x:v>
      </x:c>
      <x:c r="X1078" s="2" t="str">
        <x:v>원본·배정 기록 확인</x:v>
      </x:c>
      <x:c r="Y1078" s="2" t="str">
        <x:v>ad210cd9ec132cfd447541c8984dc53d30aff0f4fb2dc92d254d49275cc55976</x:v>
      </x:c>
      <x:c r="Z1078" s="2" t="n">
        <x:f>SUBTOTAL(103,A1078)</x:f>
        <x:v>1</x:v>
      </x:c>
      <x:c r="AA1078" s="2" t="str">
        <x:f>IF(K1078&lt;&gt;"미종결 표시","대상 아님",IF(N1078="","신청일 확인",IF(NOT(ISNUMBER('종합 현황'!$H$5)),"관찰기준 확인",IF('종합 현황'!$H$5&lt;1,"관찰기준 확인",IF(N1078&gt;'종합 현황'!$H$5,"내부 관찰 대상","내부 관찰일 이하")))))</x:f>
        <x:v>대상 아님</x:v>
      </x:c>
      <x:c r="AB1078" s="2"/>
    </x:row>
    <x:row r="1079" ht="42" customHeight="1">
      <x:c r="A1079" s="2" t="str">
        <x:v>e927dd4fcff12c9b379f4acc</x:v>
      </x:c>
      <x:c r="B1079" s="2" t="str">
        <x:v>사업 평가</x:v>
      </x:c>
      <x:c r="C1079" s="2" t="str">
        <x:v>국내</x:v>
      </x:c>
      <x:c r="D1079" s="7" t="str">
        <x:v>한국동서발전(주) 태양광발전 설치 및 자가 사용 프로그램 감축사업</x:v>
      </x:c>
      <x:c r="E1079" s="2" t="str">
        <x:v>940</x:v>
      </x:c>
      <x:c r="F1079" s="2" t="str">
        <x:v>2022-10-07</x:v>
      </x:c>
      <x:c r="G1079" s="2" t="str">
        <x:v>2022</x:v>
      </x:c>
      <x:c r="H1079" s="2" t="str">
        <x:v>10</x:v>
      </x:c>
      <x:c r="I1079" s="2" t="str">
        <x:v>반려</x:v>
      </x:c>
      <x:c r="J1079" s="2" t="str">
        <x:v>반려</x:v>
      </x:c>
      <x:c r="K1079" s="2" t="str">
        <x:f>IF(OR(J1079="심의승인",J1079="반려",J1079="반려완료",J1079="심의완료"),"종결 표시",IF(OR(J1079="기후부협의",J1079="문서재제출요청",J1079="보류",J1079="보완요청",J1079="보완완료",J1079="평가중",J1079="반려요청",J1079="평가필요",LEFT(J1079,5)="보완요청("),"미종결 표시","상태 확인 필요"))</x:f>
        <x:v>종결 표시</x:v>
      </x:c>
      <x:c r="L1079" s="2"/>
      <x:c r="M1079" s="2"/>
      <x:c r="N1079" s="8" t="n">
        <x:f>DATE(2026,10,15)-DATE(2022,10,7)</x:f>
        <x:v>1469</x:v>
      </x:c>
      <x:c r="O1079" s="2" t="str">
        <x:v>보류</x:v>
      </x:c>
      <x:c r="P1079" s="2" t="str">
        <x:v>반려완료(업체 요청)</x:v>
      </x:c>
      <x:c r="Q1079" s="2" t="str">
        <x:v>산업전환_외부사업관리Tool_260707_이너젠 수정_LJY_261013.xlsx</x:v>
      </x:c>
      <x:c r="R1079" s="2" t="str">
        <x:v>국내평가</x:v>
      </x:c>
      <x:c r="S1079" s="8" t="n">
        <x:v>982</x:v>
      </x:c>
      <x:c r="T1079" s="2" t="str">
        <x:v>2024년 처리</x:v>
      </x:c>
      <x:c r="U1079" s="2" t="str">
        <x:v>2024 배정: 2024년 처리</x:v>
      </x:c>
      <x:c r="V1079" s="2" t="str">
        <x:v>2024-08-19</x:v>
      </x:c>
      <x:c r="W1079" s="2" t="str">
        <x:v>담당기관 확인</x:v>
      </x:c>
      <x:c r="X1079" s="2" t="str">
        <x:v>원본·배정 기록 확인</x:v>
      </x:c>
      <x:c r="Y1079" s="2" t="str">
        <x:v>ad210cd9ec132cfd447541c8984dc53d30aff0f4fb2dc92d254d49275cc55976</x:v>
      </x:c>
      <x:c r="Z1079" s="2" t="n">
        <x:f>SUBTOTAL(103,A1079)</x:f>
        <x:v>1</x:v>
      </x:c>
      <x:c r="AA1079" s="2" t="str">
        <x:f>IF(K1079&lt;&gt;"미종결 표시","대상 아님",IF(N1079="","신청일 확인",IF(NOT(ISNUMBER('종합 현황'!$H$5)),"관찰기준 확인",IF('종합 현황'!$H$5&lt;1,"관찰기준 확인",IF(N1079&gt;'종합 현황'!$H$5,"내부 관찰 대상","내부 관찰일 이하")))))</x:f>
        <x:v>대상 아님</x:v>
      </x:c>
      <x:c r="AB1079" s="2"/>
    </x:row>
    <x:row r="1080" ht="42" customHeight="1">
      <x:c r="A1080" s="2" t="str">
        <x:v>3e32eae96f7a8b11ed1239b1</x:v>
      </x:c>
      <x:c r="B1080" s="2" t="str">
        <x:v>사업 평가</x:v>
      </x:c>
      <x:c r="C1080" s="2" t="str">
        <x:v>국내</x:v>
      </x:c>
      <x:c r="D1080" s="7" t="str">
        <x:v>한국동서발전(주) 태양광발전 설치 및 자가 사용 프로그램 감축사업</x:v>
      </x:c>
      <x:c r="E1080" s="2" t="str">
        <x:v>941</x:v>
      </x:c>
      <x:c r="F1080" s="2" t="str">
        <x:v>2022-10-07</x:v>
      </x:c>
      <x:c r="G1080" s="2" t="str">
        <x:v>2022</x:v>
      </x:c>
      <x:c r="H1080" s="2" t="str">
        <x:v>10</x:v>
      </x:c>
      <x:c r="I1080" s="2" t="str">
        <x:v>검토필요</x:v>
      </x:c>
      <x:c r="J1080" s="2" t="str">
        <x:v>보류</x:v>
      </x:c>
      <x:c r="K1080" s="2" t="str">
        <x:f>IF(OR(J1080="심의승인",J1080="반려",J1080="반려완료",J1080="심의완료"),"종결 표시",IF(OR(J1080="기후부협의",J1080="문서재제출요청",J1080="보류",J1080="보완요청",J1080="보완완료",J1080="평가중",J1080="반려요청",J1080="평가필요",LEFT(J1080,5)="보완요청("),"미종결 표시","상태 확인 필요"))</x:f>
        <x:v>미종결 표시</x:v>
      </x:c>
      <x:c r="L1080" s="2"/>
      <x:c r="M1080" s="2"/>
      <x:c r="N1080" s="8" t="n">
        <x:f>DATE(2026,10,15)-DATE(2022,10,7)</x:f>
        <x:v>1469</x:v>
      </x:c>
      <x:c r="O1080" s="2" t="str">
        <x:v>보류</x:v>
      </x:c>
      <x:c r="P1080" s="2" t="str">
        <x:v>프로그램 사업 승인 후 검토, 최초 승인 후 추가되는 단위사업 인증위 상정 없이 협의만으로 승인 가능(제16조제2항)</x:v>
      </x:c>
      <x:c r="Q1080" s="2" t="str">
        <x:v>산업전환_외부사업관리Tool_260707_이너젠 수정_LJY_261013.xlsx</x:v>
      </x:c>
      <x:c r="R1080" s="2" t="str">
        <x:v>국내평가</x:v>
      </x:c>
      <x:c r="S1080" s="8" t="n">
        <x:v>983</x:v>
      </x:c>
      <x:c r="T1080" s="2" t="str">
        <x:v>2023년 처리</x:v>
      </x:c>
      <x:c r="U1080" s="2" t="str">
        <x:v>2023 배정: 2023년 처리</x:v>
      </x:c>
      <x:c r="V1080" s="2" t="str">
        <x:v>2023-05-03</x:v>
      </x:c>
      <x:c r="W1080" s="2" t="str">
        <x:v>담당기관 확인</x:v>
      </x:c>
      <x:c r="X1080" s="2" t="str">
        <x:v>원본·배정 기록 확인</x:v>
      </x:c>
      <x:c r="Y1080" s="2" t="str">
        <x:v>ad210cd9ec132cfd447541c8984dc53d30aff0f4fb2dc92d254d49275cc55976</x:v>
      </x:c>
      <x:c r="Z1080" s="2" t="n">
        <x:f>SUBTOTAL(103,A1080)</x:f>
        <x:v>1</x:v>
      </x:c>
      <x:c r="AA1080" s="2" t="str">
        <x:f>IF(K1080&lt;&gt;"미종결 표시","대상 아님",IF(N1080="","신청일 확인",IF(NOT(ISNUMBER('종합 현황'!$H$5)),"관찰기준 확인",IF('종합 현황'!$H$5&lt;1,"관찰기준 확인",IF(N1080&gt;'종합 현황'!$H$5,"내부 관찰 대상","내부 관찰일 이하")))))</x:f>
        <x:v>내부 관찰 대상</x:v>
      </x:c>
      <x:c r="AB1080" s="2"/>
    </x:row>
    <x:row r="1081" ht="42" customHeight="1">
      <x:c r="A1081" s="2" t="str">
        <x:v>02d274bdf05e4e0579e0feaf</x:v>
      </x:c>
      <x:c r="B1081" s="2" t="str">
        <x:v>사업 평가</x:v>
      </x:c>
      <x:c r="C1081" s="2" t="str">
        <x:v>국내</x:v>
      </x:c>
      <x:c r="D1081" s="7" t="str">
        <x:v>한국동서발전(주) 태양광발전 설치 및 자가 사용 프로그램 감축사업</x:v>
      </x:c>
      <x:c r="E1081" s="2" t="str">
        <x:v>942</x:v>
      </x:c>
      <x:c r="F1081" s="2" t="str">
        <x:v>2022-10-07</x:v>
      </x:c>
      <x:c r="G1081" s="2" t="str">
        <x:v>2022</x:v>
      </x:c>
      <x:c r="H1081" s="2" t="str">
        <x:v>10</x:v>
      </x:c>
      <x:c r="I1081" s="2" t="str">
        <x:v>검토필요</x:v>
      </x:c>
      <x:c r="J1081" s="2" t="str">
        <x:v>보류</x:v>
      </x:c>
      <x:c r="K1081" s="2" t="str">
        <x:f>IF(OR(J1081="심의승인",J1081="반려",J1081="반려완료",J1081="심의완료"),"종결 표시",IF(OR(J1081="기후부협의",J1081="문서재제출요청",J1081="보류",J1081="보완요청",J1081="보완완료",J1081="평가중",J1081="반려요청",J1081="평가필요",LEFT(J1081,5)="보완요청("),"미종결 표시","상태 확인 필요"))</x:f>
        <x:v>미종결 표시</x:v>
      </x:c>
      <x:c r="L1081" s="2"/>
      <x:c r="M1081" s="2"/>
      <x:c r="N1081" s="8" t="n">
        <x:f>DATE(2026,10,15)-DATE(2022,10,7)</x:f>
        <x:v>1469</x:v>
      </x:c>
      <x:c r="O1081" s="2" t="str">
        <x:v>보류</x:v>
      </x:c>
      <x:c r="P1081" s="2" t="str">
        <x:v>프로그램 사업 승인 후 검토, 최초 승인 후 추가되는 단위사업 인증위 상정 없이 협의만으로 승인 가능(제16조제2항)</x:v>
      </x:c>
      <x:c r="Q1081" s="2" t="str">
        <x:v>산업전환_외부사업관리Tool_260707_이너젠 수정_LJY_261013.xlsx</x:v>
      </x:c>
      <x:c r="R1081" s="2" t="str">
        <x:v>국내평가</x:v>
      </x:c>
      <x:c r="S1081" s="8" t="n">
        <x:v>984</x:v>
      </x:c>
      <x:c r="T1081" s="2" t="str">
        <x:v>2023년 처리</x:v>
      </x:c>
      <x:c r="U1081" s="2" t="str">
        <x:v>2023 배정: 2023년 처리</x:v>
      </x:c>
      <x:c r="V1081" s="2" t="str">
        <x:v>2023-05-03</x:v>
      </x:c>
      <x:c r="W1081" s="2" t="str">
        <x:v>담당기관 확인</x:v>
      </x:c>
      <x:c r="X1081" s="2" t="str">
        <x:v>원본·배정 기록 확인</x:v>
      </x:c>
      <x:c r="Y1081" s="2" t="str">
        <x:v>ad210cd9ec132cfd447541c8984dc53d30aff0f4fb2dc92d254d49275cc55976</x:v>
      </x:c>
      <x:c r="Z1081" s="2" t="n">
        <x:f>SUBTOTAL(103,A1081)</x:f>
        <x:v>1</x:v>
      </x:c>
      <x:c r="AA1081" s="2" t="str">
        <x:f>IF(K1081&lt;&gt;"미종결 표시","대상 아님",IF(N1081="","신청일 확인",IF(NOT(ISNUMBER('종합 현황'!$H$5)),"관찰기준 확인",IF('종합 현황'!$H$5&lt;1,"관찰기준 확인",IF(N1081&gt;'종합 현황'!$H$5,"내부 관찰 대상","내부 관찰일 이하")))))</x:f>
        <x:v>내부 관찰 대상</x:v>
      </x:c>
      <x:c r="AB1081" s="2"/>
    </x:row>
    <x:row r="1082" ht="42" customHeight="1">
      <x:c r="A1082" s="2" t="str">
        <x:v>13271ea631fdaece4747bbe3</x:v>
      </x:c>
      <x:c r="B1082" s="2" t="str">
        <x:v>사업 평가</x:v>
      </x:c>
      <x:c r="C1082" s="2" t="str">
        <x:v>국내</x:v>
      </x:c>
      <x:c r="D1082" s="7" t="str">
        <x:v>한국동서발전(주) 태양광발전 설치 및 자가 사용 프로그램 감축사업</x:v>
      </x:c>
      <x:c r="E1082" s="2" t="str">
        <x:v>943</x:v>
      </x:c>
      <x:c r="F1082" s="2" t="str">
        <x:v>2022-10-07</x:v>
      </x:c>
      <x:c r="G1082" s="2" t="str">
        <x:v>2022</x:v>
      </x:c>
      <x:c r="H1082" s="2" t="str">
        <x:v>10</x:v>
      </x:c>
      <x:c r="I1082" s="2" t="str">
        <x:v>검토필요</x:v>
      </x:c>
      <x:c r="J1082" s="2" t="str">
        <x:v>보류</x:v>
      </x:c>
      <x:c r="K1082" s="2" t="str">
        <x:f>IF(OR(J1082="심의승인",J1082="반려",J1082="반려완료",J1082="심의완료"),"종결 표시",IF(OR(J1082="기후부협의",J1082="문서재제출요청",J1082="보류",J1082="보완요청",J1082="보완완료",J1082="평가중",J1082="반려요청",J1082="평가필요",LEFT(J1082,5)="보완요청("),"미종결 표시","상태 확인 필요"))</x:f>
        <x:v>미종결 표시</x:v>
      </x:c>
      <x:c r="L1082" s="2"/>
      <x:c r="M1082" s="2"/>
      <x:c r="N1082" s="8" t="n">
        <x:f>DATE(2026,10,15)-DATE(2022,10,7)</x:f>
        <x:v>1469</x:v>
      </x:c>
      <x:c r="O1082" s="2" t="str">
        <x:v>보류</x:v>
      </x:c>
      <x:c r="P1082" s="2" t="str">
        <x:v>프로그램 사업 승인 후 검토, 최초 승인 후 추가되는 단위사업 인증위 상정 없이 협의만으로 승인 가능(제16조제2항)</x:v>
      </x:c>
      <x:c r="Q1082" s="2" t="str">
        <x:v>산업전환_외부사업관리Tool_260707_이너젠 수정_LJY_261013.xlsx</x:v>
      </x:c>
      <x:c r="R1082" s="2" t="str">
        <x:v>국내평가</x:v>
      </x:c>
      <x:c r="S1082" s="8" t="n">
        <x:v>985</x:v>
      </x:c>
      <x:c r="T1082" s="2" t="str">
        <x:v>2023년 처리</x:v>
      </x:c>
      <x:c r="U1082" s="2" t="str">
        <x:v>2023 배정: 2023년 처리</x:v>
      </x:c>
      <x:c r="V1082" s="2" t="str">
        <x:v>2023-05-03</x:v>
      </x:c>
      <x:c r="W1082" s="2" t="str">
        <x:v>담당기관 확인</x:v>
      </x:c>
      <x:c r="X1082" s="2" t="str">
        <x:v>원본·배정 기록 확인</x:v>
      </x:c>
      <x:c r="Y1082" s="2" t="str">
        <x:v>ad210cd9ec132cfd447541c8984dc53d30aff0f4fb2dc92d254d49275cc55976</x:v>
      </x:c>
      <x:c r="Z1082" s="2" t="n">
        <x:f>SUBTOTAL(103,A1082)</x:f>
        <x:v>1</x:v>
      </x:c>
      <x:c r="AA1082" s="2" t="str">
        <x:f>IF(K1082&lt;&gt;"미종결 표시","대상 아님",IF(N1082="","신청일 확인",IF(NOT(ISNUMBER('종합 현황'!$H$5)),"관찰기준 확인",IF('종합 현황'!$H$5&lt;1,"관찰기준 확인",IF(N1082&gt;'종합 현황'!$H$5,"내부 관찰 대상","내부 관찰일 이하")))))</x:f>
        <x:v>내부 관찰 대상</x:v>
      </x:c>
      <x:c r="AB1082" s="2"/>
    </x:row>
    <x:row r="1083" ht="42" customHeight="1">
      <x:c r="A1083" s="2" t="str">
        <x:v>0b7ac3373e243c8e25bdb727</x:v>
      </x:c>
      <x:c r="B1083" s="2" t="str">
        <x:v>사업 평가</x:v>
      </x:c>
      <x:c r="C1083" s="2" t="str">
        <x:v>국내</x:v>
      </x:c>
      <x:c r="D1083" s="7" t="str">
        <x:v>한국동서발전(주) 태양광발전 설치 및 자가 사용 프로그램 감축사업</x:v>
      </x:c>
      <x:c r="E1083" s="2" t="str">
        <x:v>944</x:v>
      </x:c>
      <x:c r="F1083" s="2" t="str">
        <x:v>2022-10-07</x:v>
      </x:c>
      <x:c r="G1083" s="2" t="str">
        <x:v>2022</x:v>
      </x:c>
      <x:c r="H1083" s="2" t="str">
        <x:v>10</x:v>
      </x:c>
      <x:c r="I1083" s="2" t="str">
        <x:v>검토필요</x:v>
      </x:c>
      <x:c r="J1083" s="2" t="str">
        <x:v>보류</x:v>
      </x:c>
      <x:c r="K1083" s="2" t="str">
        <x:f>IF(OR(J1083="심의승인",J1083="반려",J1083="반려완료",J1083="심의완료"),"종결 표시",IF(OR(J1083="기후부협의",J1083="문서재제출요청",J1083="보류",J1083="보완요청",J1083="보완완료",J1083="평가중",J1083="반려요청",J1083="평가필요",LEFT(J1083,5)="보완요청("),"미종결 표시","상태 확인 필요"))</x:f>
        <x:v>미종결 표시</x:v>
      </x:c>
      <x:c r="L1083" s="2"/>
      <x:c r="M1083" s="2"/>
      <x:c r="N1083" s="8" t="n">
        <x:f>DATE(2026,10,15)-DATE(2022,10,7)</x:f>
        <x:v>1469</x:v>
      </x:c>
      <x:c r="O1083" s="2" t="str">
        <x:v>보류</x:v>
      </x:c>
      <x:c r="P1083" s="2" t="str">
        <x:v>프로그램 사업 승인 후 검토, 최초 승인 후 추가되는 단위사업 인증위 상정 없이 협의만으로 승인 가능(제16조제2항)</x:v>
      </x:c>
      <x:c r="Q1083" s="2" t="str">
        <x:v>산업전환_외부사업관리Tool_260707_이너젠 수정_LJY_261013.xlsx</x:v>
      </x:c>
      <x:c r="R1083" s="2" t="str">
        <x:v>국내평가</x:v>
      </x:c>
      <x:c r="S1083" s="8" t="n">
        <x:v>986</x:v>
      </x:c>
      <x:c r="T1083" s="2" t="str">
        <x:v>2023년 처리</x:v>
      </x:c>
      <x:c r="U1083" s="2" t="str">
        <x:v>2023 배정: 2023년 처리</x:v>
      </x:c>
      <x:c r="V1083" s="2" t="str">
        <x:v>2023-05-03</x:v>
      </x:c>
      <x:c r="W1083" s="2" t="str">
        <x:v>담당기관 확인</x:v>
      </x:c>
      <x:c r="X1083" s="2" t="str">
        <x:v>원본·배정 기록 확인</x:v>
      </x:c>
      <x:c r="Y1083" s="2" t="str">
        <x:v>ad210cd9ec132cfd447541c8984dc53d30aff0f4fb2dc92d254d49275cc55976</x:v>
      </x:c>
      <x:c r="Z1083" s="2" t="n">
        <x:f>SUBTOTAL(103,A1083)</x:f>
        <x:v>1</x:v>
      </x:c>
      <x:c r="AA1083" s="2" t="str">
        <x:f>IF(K1083&lt;&gt;"미종결 표시","대상 아님",IF(N1083="","신청일 확인",IF(NOT(ISNUMBER('종합 현황'!$H$5)),"관찰기준 확인",IF('종합 현황'!$H$5&lt;1,"관찰기준 확인",IF(N1083&gt;'종합 현황'!$H$5,"내부 관찰 대상","내부 관찰일 이하")))))</x:f>
        <x:v>내부 관찰 대상</x:v>
      </x:c>
      <x:c r="AB1083" s="2"/>
    </x:row>
    <x:row r="1084" ht="42" customHeight="1">
      <x:c r="A1084" s="2" t="str">
        <x:v>8eca5d1c5ee76acd6644bc3d</x:v>
      </x:c>
      <x:c r="B1084" s="2" t="str">
        <x:v>사업 평가</x:v>
      </x:c>
      <x:c r="C1084" s="2" t="str">
        <x:v>국내</x:v>
      </x:c>
      <x:c r="D1084" s="7" t="str">
        <x:v>한국동서발전(주) 태양광발전 설치 및 자가 사용 프로그램 감축사업</x:v>
      </x:c>
      <x:c r="E1084" s="2" t="str">
        <x:v>945</x:v>
      </x:c>
      <x:c r="F1084" s="2" t="str">
        <x:v>2022-10-11</x:v>
      </x:c>
      <x:c r="G1084" s="2" t="str">
        <x:v>2022</x:v>
      </x:c>
      <x:c r="H1084" s="2" t="str">
        <x:v>10</x:v>
      </x:c>
      <x:c r="I1084" s="2" t="str">
        <x:v>반려</x:v>
      </x:c>
      <x:c r="J1084" s="2" t="str">
        <x:v>반려</x:v>
      </x:c>
      <x:c r="K1084" s="2" t="str">
        <x:f>IF(OR(J1084="심의승인",J1084="반려",J1084="반려완료",J1084="심의완료"),"종결 표시",IF(OR(J1084="기후부협의",J1084="문서재제출요청",J1084="보류",J1084="보완요청",J1084="보완완료",J1084="평가중",J1084="반려요청",J1084="평가필요",LEFT(J1084,5)="보완요청("),"미종결 표시","상태 확인 필요"))</x:f>
        <x:v>종결 표시</x:v>
      </x:c>
      <x:c r="L1084" s="2"/>
      <x:c r="M1084" s="2"/>
      <x:c r="N1084" s="8" t="n">
        <x:f>DATE(2026,10,15)-DATE(2022,10,11)</x:f>
        <x:v>1465</x:v>
      </x:c>
      <x:c r="O1084" s="2" t="str">
        <x:v>보류</x:v>
      </x:c>
      <x:c r="P1084" s="2" t="str">
        <x:v>반려완료(업체 요청)</x:v>
      </x:c>
      <x:c r="Q1084" s="2" t="str">
        <x:v>산업전환_외부사업관리Tool_260707_이너젠 수정_LJY_261013.xlsx</x:v>
      </x:c>
      <x:c r="R1084" s="2" t="str">
        <x:v>국내평가</x:v>
      </x:c>
      <x:c r="S1084" s="8" t="n">
        <x:v>987</x:v>
      </x:c>
      <x:c r="T1084" s="2" t="str">
        <x:v>2024년 처리</x:v>
      </x:c>
      <x:c r="U1084" s="2" t="str">
        <x:v>2024 배정: 2024년 처리</x:v>
      </x:c>
      <x:c r="V1084" s="2" t="str">
        <x:v>2024-08-19</x:v>
      </x:c>
      <x:c r="W1084" s="2" t="str">
        <x:v>담당기관 확인</x:v>
      </x:c>
      <x:c r="X1084" s="2" t="str">
        <x:v>원본·배정 기록 확인</x:v>
      </x:c>
      <x:c r="Y1084" s="2" t="str">
        <x:v>ad210cd9ec132cfd447541c8984dc53d30aff0f4fb2dc92d254d49275cc55976</x:v>
      </x:c>
      <x:c r="Z1084" s="2" t="n">
        <x:f>SUBTOTAL(103,A1084)</x:f>
        <x:v>1</x:v>
      </x:c>
      <x:c r="AA1084" s="2" t="str">
        <x:f>IF(K1084&lt;&gt;"미종결 표시","대상 아님",IF(N1084="","신청일 확인",IF(NOT(ISNUMBER('종합 현황'!$H$5)),"관찰기준 확인",IF('종합 현황'!$H$5&lt;1,"관찰기준 확인",IF(N1084&gt;'종합 현황'!$H$5,"내부 관찰 대상","내부 관찰일 이하")))))</x:f>
        <x:v>대상 아님</x:v>
      </x:c>
      <x:c r="AB1084" s="2"/>
    </x:row>
    <x:row r="1085" ht="42" customHeight="1">
      <x:c r="A1085" s="2" t="str">
        <x:v>4648cdf4afd2e6e452650d1f</x:v>
      </x:c>
      <x:c r="B1085" s="2" t="str">
        <x:v>사업 평가</x:v>
      </x:c>
      <x:c r="C1085" s="2" t="str">
        <x:v>국내</x:v>
      </x:c>
      <x:c r="D1085" s="7" t="str">
        <x:v>한국동서발전(주) 태양광발전 설치 및 자가 사용 프로그램 감축사업</x:v>
      </x:c>
      <x:c r="E1085" s="2" t="str">
        <x:v>946</x:v>
      </x:c>
      <x:c r="F1085" s="2" t="str">
        <x:v>2022-10-11</x:v>
      </x:c>
      <x:c r="G1085" s="2" t="str">
        <x:v>2022</x:v>
      </x:c>
      <x:c r="H1085" s="2" t="str">
        <x:v>10</x:v>
      </x:c>
      <x:c r="I1085" s="2" t="str">
        <x:v>검토필요</x:v>
      </x:c>
      <x:c r="J1085" s="2" t="str">
        <x:v>보류</x:v>
      </x:c>
      <x:c r="K1085" s="2" t="str">
        <x:f>IF(OR(J1085="심의승인",J1085="반려",J1085="반려완료",J1085="심의완료"),"종결 표시",IF(OR(J1085="기후부협의",J1085="문서재제출요청",J1085="보류",J1085="보완요청",J1085="보완완료",J1085="평가중",J1085="반려요청",J1085="평가필요",LEFT(J1085,5)="보완요청("),"미종결 표시","상태 확인 필요"))</x:f>
        <x:v>미종결 표시</x:v>
      </x:c>
      <x:c r="L1085" s="2"/>
      <x:c r="M1085" s="2"/>
      <x:c r="N1085" s="8" t="n">
        <x:f>DATE(2026,10,15)-DATE(2022,10,11)</x:f>
        <x:v>1465</x:v>
      </x:c>
      <x:c r="O1085" s="2" t="str">
        <x:v>보류</x:v>
      </x:c>
      <x:c r="P1085" s="2" t="str">
        <x:v>프로그램 사업 승인 후 검토, 최초 승인 후 추가되는 단위사업 인증위 상정 없이 협의만으로 승인 가능(제16조제2항)</x:v>
      </x:c>
      <x:c r="Q1085" s="2" t="str">
        <x:v>산업전환_외부사업관리Tool_260707_이너젠 수정_LJY_261013.xlsx</x:v>
      </x:c>
      <x:c r="R1085" s="2" t="str">
        <x:v>국내평가</x:v>
      </x:c>
      <x:c r="S1085" s="8" t="n">
        <x:v>988</x:v>
      </x:c>
      <x:c r="T1085" s="2" t="str">
        <x:v>2023년 처리</x:v>
      </x:c>
      <x:c r="U1085" s="2" t="str">
        <x:v>2023 배정: 2023년 처리</x:v>
      </x:c>
      <x:c r="V1085" s="2" t="str">
        <x:v>2023-05-03</x:v>
      </x:c>
      <x:c r="W1085" s="2" t="str">
        <x:v>담당기관 확인</x:v>
      </x:c>
      <x:c r="X1085" s="2" t="str">
        <x:v>원본·배정 기록 확인</x:v>
      </x:c>
      <x:c r="Y1085" s="2" t="str">
        <x:v>ad210cd9ec132cfd447541c8984dc53d30aff0f4fb2dc92d254d49275cc55976</x:v>
      </x:c>
      <x:c r="Z1085" s="2" t="n">
        <x:f>SUBTOTAL(103,A1085)</x:f>
        <x:v>1</x:v>
      </x:c>
      <x:c r="AA1085" s="2" t="str">
        <x:f>IF(K1085&lt;&gt;"미종결 표시","대상 아님",IF(N1085="","신청일 확인",IF(NOT(ISNUMBER('종합 현황'!$H$5)),"관찰기준 확인",IF('종합 현황'!$H$5&lt;1,"관찰기준 확인",IF(N1085&gt;'종합 현황'!$H$5,"내부 관찰 대상","내부 관찰일 이하")))))</x:f>
        <x:v>내부 관찰 대상</x:v>
      </x:c>
      <x:c r="AB1085" s="2"/>
    </x:row>
    <x:row r="1086" ht="42" customHeight="1">
      <x:c r="A1086" s="2" t="str">
        <x:v>e1afa3f454d473d12dcd2bd6</x:v>
      </x:c>
      <x:c r="B1086" s="2" t="str">
        <x:v>사업 평가</x:v>
      </x:c>
      <x:c r="C1086" s="2" t="str">
        <x:v>국내</x:v>
      </x:c>
      <x:c r="D1086" s="7" t="str">
        <x:v>한국동서발전(주) 태양광발전 설치 및 자가 사용 프로그램 감축사업</x:v>
      </x:c>
      <x:c r="E1086" s="2" t="str">
        <x:v>947</x:v>
      </x:c>
      <x:c r="F1086" s="2" t="str">
        <x:v>2022-10-11</x:v>
      </x:c>
      <x:c r="G1086" s="2" t="str">
        <x:v>2022</x:v>
      </x:c>
      <x:c r="H1086" s="2" t="str">
        <x:v>10</x:v>
      </x:c>
      <x:c r="I1086" s="2" t="str">
        <x:v>검토필요</x:v>
      </x:c>
      <x:c r="J1086" s="2" t="str">
        <x:v>보류</x:v>
      </x:c>
      <x:c r="K1086" s="2" t="str">
        <x:f>IF(OR(J1086="심의승인",J1086="반려",J1086="반려완료",J1086="심의완료"),"종결 표시",IF(OR(J1086="기후부협의",J1086="문서재제출요청",J1086="보류",J1086="보완요청",J1086="보완완료",J1086="평가중",J1086="반려요청",J1086="평가필요",LEFT(J1086,5)="보완요청("),"미종결 표시","상태 확인 필요"))</x:f>
        <x:v>미종결 표시</x:v>
      </x:c>
      <x:c r="L1086" s="2"/>
      <x:c r="M1086" s="2"/>
      <x:c r="N1086" s="8" t="n">
        <x:f>DATE(2026,10,15)-DATE(2022,10,11)</x:f>
        <x:v>1465</x:v>
      </x:c>
      <x:c r="O1086" s="2" t="str">
        <x:v>보류</x:v>
      </x:c>
      <x:c r="P1086" s="2" t="str">
        <x:v>프로그램 사업 승인 후 검토, 최초 승인 후 추가되는 단위사업 인증위 상정 없이 협의만으로 승인 가능(제16조제2항)</x:v>
      </x:c>
      <x:c r="Q1086" s="2" t="str">
        <x:v>산업전환_외부사업관리Tool_260707_이너젠 수정_LJY_261013.xlsx</x:v>
      </x:c>
      <x:c r="R1086" s="2" t="str">
        <x:v>국내평가</x:v>
      </x:c>
      <x:c r="S1086" s="8" t="n">
        <x:v>989</x:v>
      </x:c>
      <x:c r="T1086" s="2" t="str">
        <x:v>2023년 처리</x:v>
      </x:c>
      <x:c r="U1086" s="2" t="str">
        <x:v>2023 배정: 2023년 처리</x:v>
      </x:c>
      <x:c r="V1086" s="2" t="str">
        <x:v>2023-05-03</x:v>
      </x:c>
      <x:c r="W1086" s="2" t="str">
        <x:v>담당기관 확인</x:v>
      </x:c>
      <x:c r="X1086" s="2" t="str">
        <x:v>원본·배정 기록 확인</x:v>
      </x:c>
      <x:c r="Y1086" s="2" t="str">
        <x:v>ad210cd9ec132cfd447541c8984dc53d30aff0f4fb2dc92d254d49275cc55976</x:v>
      </x:c>
      <x:c r="Z1086" s="2" t="n">
        <x:f>SUBTOTAL(103,A1086)</x:f>
        <x:v>1</x:v>
      </x:c>
      <x:c r="AA1086" s="2" t="str">
        <x:f>IF(K1086&lt;&gt;"미종결 표시","대상 아님",IF(N1086="","신청일 확인",IF(NOT(ISNUMBER('종합 현황'!$H$5)),"관찰기준 확인",IF('종합 현황'!$H$5&lt;1,"관찰기준 확인",IF(N1086&gt;'종합 현황'!$H$5,"내부 관찰 대상","내부 관찰일 이하")))))</x:f>
        <x:v>내부 관찰 대상</x:v>
      </x:c>
      <x:c r="AB1086" s="2"/>
    </x:row>
    <x:row r="1087" ht="42" customHeight="1">
      <x:c r="A1087" s="2" t="str">
        <x:v>b02841ff7914d296daf7ceee</x:v>
      </x:c>
      <x:c r="B1087" s="2" t="str">
        <x:v>사업 평가</x:v>
      </x:c>
      <x:c r="C1087" s="2" t="str">
        <x:v>국내</x:v>
      </x:c>
      <x:c r="D1087" s="7" t="str">
        <x:v>울산항만공사 97.2kW 태양광 발전설비를 이용한 전력 생산 및 자가사용 극소규모 감축 사업</x:v>
      </x:c>
      <x:c r="E1087" s="2" t="str">
        <x:v>948</x:v>
      </x:c>
      <x:c r="F1087" s="2" t="str">
        <x:v>2022-10-11</x:v>
      </x:c>
      <x:c r="G1087" s="2" t="str">
        <x:v>2022</x:v>
      </x:c>
      <x:c r="H1087" s="2" t="str">
        <x:v>10</x:v>
      </x:c>
      <x:c r="I1087" s="2" t="str">
        <x:v>승인</x:v>
      </x:c>
      <x:c r="J1087" s="2" t="str">
        <x:v>심의승인</x:v>
      </x:c>
      <x:c r="K1087" s="2" t="str">
        <x:f>IF(OR(J1087="심의승인",J1087="반려",J1087="반려완료",J1087="심의완료"),"종결 표시",IF(OR(J1087="기후부협의",J1087="문서재제출요청",J1087="보류",J1087="보완요청",J1087="보완완료",J1087="평가중",J1087="반려요청",J1087="평가필요",LEFT(J1087,5)="보완요청("),"미종결 표시","상태 확인 필요"))</x:f>
        <x:v>종결 표시</x:v>
      </x:c>
      <x:c r="L1087" s="2" t="str">
        <x:v>에코시안_기샛별&gt;조영우</x:v>
      </x:c>
      <x:c r="M1087" s="2"/>
      <x:c r="N1087" s="8" t="n">
        <x:f>DATE(2026,10,15)-DATE(2022,10,11)</x:f>
        <x:v>1465</x:v>
      </x:c>
      <x:c r="O1087" s="2" t="str">
        <x:v>O(23.04)</x:v>
      </x:c>
      <x:c r="P1087" s="2"/>
      <x:c r="Q1087" s="2" t="str">
        <x:v>산업전환_외부사업관리Tool_260707_이너젠 수정_LJY_261013.xlsx</x:v>
      </x:c>
      <x:c r="R1087" s="2" t="str">
        <x:v>국내평가</x:v>
      </x:c>
      <x:c r="S1087" s="8" t="n">
        <x:v>990</x:v>
      </x:c>
      <x:c r="T1087" s="2" t="str">
        <x:v>(10/19),(12/27)</x:v>
      </x:c>
      <x:c r="U1087" s="2" t="str">
        <x:v>2022 배정(신규): (10/19),(12/27) / 2023 배정: (2/17),(4/21),(6/27)</x:v>
      </x:c>
      <x:c r="V1087" s="2" t="str">
        <x:v>2025-11-25</x:v>
      </x:c>
      <x:c r="W1087" s="2" t="str"/>
      <x:c r="X1087" s="2" t="str">
        <x:v>종결 근거 보관</x:v>
      </x:c>
      <x:c r="Y1087" s="2" t="str">
        <x:v>ad210cd9ec132cfd447541c8984dc53d30aff0f4fb2dc92d254d49275cc55976</x:v>
      </x:c>
      <x:c r="Z1087" s="2" t="n">
        <x:f>SUBTOTAL(103,A1087)</x:f>
        <x:v>1</x:v>
      </x:c>
      <x:c r="AA1087" s="2" t="str">
        <x:f>IF(K1087&lt;&gt;"미종결 표시","대상 아님",IF(N1087="","신청일 확인",IF(NOT(ISNUMBER('종합 현황'!$H$5)),"관찰기준 확인",IF('종합 현황'!$H$5&lt;1,"관찰기준 확인",IF(N1087&gt;'종합 현황'!$H$5,"내부 관찰 대상","내부 관찰일 이하")))))</x:f>
        <x:v>대상 아님</x:v>
      </x:c>
      <x:c r="AB1087" s="2"/>
    </x:row>
    <x:row r="1088" ht="42" customHeight="1">
      <x:c r="A1088" s="2" t="str">
        <x:v>08c5d073ce38715b00742765</x:v>
      </x:c>
      <x:c r="B1088" s="2" t="str">
        <x:v>사업 평가</x:v>
      </x:c>
      <x:c r="C1088" s="2" t="str">
        <x:v>국내</x:v>
      </x:c>
      <x:c r="D1088" s="7" t="str">
        <x:v>울산항만공사 97.2kW 태양광 발전설비를 이용한 전력 생산 및 계통연계 극소규모 감축 사업</x:v>
      </x:c>
      <x:c r="E1088" s="2" t="str">
        <x:v>949</x:v>
      </x:c>
      <x:c r="F1088" s="2" t="str">
        <x:v>2022-10-11</x:v>
      </x:c>
      <x:c r="G1088" s="2" t="str">
        <x:v>2022</x:v>
      </x:c>
      <x:c r="H1088" s="2" t="str">
        <x:v>10</x:v>
      </x:c>
      <x:c r="I1088" s="2" t="str">
        <x:v>반려</x:v>
      </x:c>
      <x:c r="J1088" s="2" t="str">
        <x:v>반려</x:v>
      </x:c>
      <x:c r="K1088" s="2" t="str">
        <x:f>IF(OR(J1088="심의승인",J1088="반려",J1088="반려완료",J1088="심의완료"),"종결 표시",IF(OR(J1088="기후부협의",J1088="문서재제출요청",J1088="보류",J1088="보완요청",J1088="보완완료",J1088="평가중",J1088="반려요청",J1088="평가필요",LEFT(J1088,5)="보완요청("),"미종결 표시","상태 확인 필요"))</x:f>
        <x:v>종결 표시</x:v>
      </x:c>
      <x:c r="L1088" s="2" t="str">
        <x:v>에코시안_기샛별&gt;조영우</x:v>
      </x:c>
      <x:c r="M1088" s="2"/>
      <x:c r="N1088" s="8" t="n">
        <x:f>DATE(2026,10,15)-DATE(2022,10,11)</x:f>
        <x:v>1465</x:v>
      </x:c>
      <x:c r="O1088" s="2" t="str">
        <x:v>O(23.04)</x:v>
      </x:c>
      <x:c r="P1088" s="2"/>
      <x:c r="Q1088" s="2" t="str">
        <x:v>산업전환_외부사업관리Tool_260707_이너젠 수정_LJY_261013.xlsx</x:v>
      </x:c>
      <x:c r="R1088" s="2" t="str">
        <x:v>국내평가</x:v>
      </x:c>
      <x:c r="S1088" s="8" t="n">
        <x:v>991</x:v>
      </x:c>
      <x:c r="T1088" s="2" t="str">
        <x:v>(10/19)</x:v>
      </x:c>
      <x:c r="U1088" s="2" t="str">
        <x:v>2022 배정(신규): (10/19) / 2023 배정: (1/30),(6/27)</x:v>
      </x:c>
      <x:c r="V1088" s="2" t="str">
        <x:v>2023-08-01</x:v>
      </x:c>
      <x:c r="W1088" s="2" t="str"/>
      <x:c r="X1088" s="2" t="str">
        <x:v>종결 근거 보관</x:v>
      </x:c>
      <x:c r="Y1088" s="2" t="str">
        <x:v>ad210cd9ec132cfd447541c8984dc53d30aff0f4fb2dc92d254d49275cc55976</x:v>
      </x:c>
      <x:c r="Z1088" s="2" t="n">
        <x:f>SUBTOTAL(103,A1088)</x:f>
        <x:v>1</x:v>
      </x:c>
      <x:c r="AA1088" s="2" t="str">
        <x:f>IF(K1088&lt;&gt;"미종결 표시","대상 아님",IF(N1088="","신청일 확인",IF(NOT(ISNUMBER('종합 현황'!$H$5)),"관찰기준 확인",IF('종합 현황'!$H$5&lt;1,"관찰기준 확인",IF(N1088&gt;'종합 현황'!$H$5,"내부 관찰 대상","내부 관찰일 이하")))))</x:f>
        <x:v>대상 아님</x:v>
      </x:c>
      <x:c r="AB1088" s="2"/>
    </x:row>
    <x:row r="1089" ht="42" customHeight="1">
      <x:c r="A1089" s="2" t="str">
        <x:v>1a7d2500e4cf653e8277e21d</x:v>
      </x:c>
      <x:c r="B1089" s="2" t="str">
        <x:v>사업 평가</x:v>
      </x:c>
      <x:c r="C1089" s="2" t="str">
        <x:v>국내</x:v>
      </x:c>
      <x:c r="D1089" s="7" t="str">
        <x:v>한국동서발전(주) 태양광발전 설치 및 자가 사용 프로그램 감축사업</x:v>
      </x:c>
      <x:c r="E1089" s="2" t="str">
        <x:v>950</x:v>
      </x:c>
      <x:c r="F1089" s="2" t="str">
        <x:v>2022-10-11</x:v>
      </x:c>
      <x:c r="G1089" s="2" t="str">
        <x:v>2022</x:v>
      </x:c>
      <x:c r="H1089" s="2" t="str">
        <x:v>10</x:v>
      </x:c>
      <x:c r="I1089" s="2" t="str">
        <x:v>반려</x:v>
      </x:c>
      <x:c r="J1089" s="2" t="str">
        <x:v>반려</x:v>
      </x:c>
      <x:c r="K1089" s="2" t="str">
        <x:f>IF(OR(J1089="심의승인",J1089="반려",J1089="반려완료",J1089="심의완료"),"종결 표시",IF(OR(J1089="기후부협의",J1089="문서재제출요청",J1089="보류",J1089="보완요청",J1089="보완완료",J1089="평가중",J1089="반려요청",J1089="평가필요",LEFT(J1089,5)="보완요청("),"미종결 표시","상태 확인 필요"))</x:f>
        <x:v>종결 표시</x:v>
      </x:c>
      <x:c r="L1089" s="2"/>
      <x:c r="M1089" s="2"/>
      <x:c r="N1089" s="8" t="n">
        <x:f>DATE(2026,10,15)-DATE(2022,10,11)</x:f>
        <x:v>1465</x:v>
      </x:c>
      <x:c r="O1089" s="2" t="str">
        <x:v>보류</x:v>
      </x:c>
      <x:c r="P1089" s="2" t="str">
        <x:v>반려완료(업체 요청)</x:v>
      </x:c>
      <x:c r="Q1089" s="2" t="str">
        <x:v>산업전환_외부사업관리Tool_260707_이너젠 수정_LJY_261013.xlsx</x:v>
      </x:c>
      <x:c r="R1089" s="2" t="str">
        <x:v>국내평가</x:v>
      </x:c>
      <x:c r="S1089" s="8" t="n">
        <x:v>992</x:v>
      </x:c>
      <x:c r="T1089" s="2" t="str">
        <x:v>2024년 처리</x:v>
      </x:c>
      <x:c r="U1089" s="2" t="str">
        <x:v>2024 배정: 2024년 처리</x:v>
      </x:c>
      <x:c r="V1089" s="2" t="str">
        <x:v>2024-08-19</x:v>
      </x:c>
      <x:c r="W1089" s="2" t="str">
        <x:v>담당기관 확인</x:v>
      </x:c>
      <x:c r="X1089" s="2" t="str">
        <x:v>원본·배정 기록 확인</x:v>
      </x:c>
      <x:c r="Y1089" s="2" t="str">
        <x:v>ad210cd9ec132cfd447541c8984dc53d30aff0f4fb2dc92d254d49275cc55976</x:v>
      </x:c>
      <x:c r="Z1089" s="2" t="n">
        <x:f>SUBTOTAL(103,A1089)</x:f>
        <x:v>1</x:v>
      </x:c>
      <x:c r="AA1089" s="2" t="str">
        <x:f>IF(K1089&lt;&gt;"미종결 표시","대상 아님",IF(N1089="","신청일 확인",IF(NOT(ISNUMBER('종합 현황'!$H$5)),"관찰기준 확인",IF('종합 현황'!$H$5&lt;1,"관찰기준 확인",IF(N1089&gt;'종합 현황'!$H$5,"내부 관찰 대상","내부 관찰일 이하")))))</x:f>
        <x:v>대상 아님</x:v>
      </x:c>
      <x:c r="AB1089" s="2"/>
    </x:row>
    <x:row r="1090" ht="42" customHeight="1">
      <x:c r="A1090" s="2" t="str">
        <x:v>b6a4e46372b205ad932635c1</x:v>
      </x:c>
      <x:c r="B1090" s="2" t="str">
        <x:v>사업 평가</x:v>
      </x:c>
      <x:c r="C1090" s="2" t="str">
        <x:v>국내</x:v>
      </x:c>
      <x:c r="D1090" s="7" t="str">
        <x:v>한국동서발전(주) 태양광발전 설치 및 자가 사용 프로그램 감축사업</x:v>
      </x:c>
      <x:c r="E1090" s="2" t="str">
        <x:v>951</x:v>
      </x:c>
      <x:c r="F1090" s="2" t="str">
        <x:v>2022-10-11</x:v>
      </x:c>
      <x:c r="G1090" s="2" t="str">
        <x:v>2022</x:v>
      </x:c>
      <x:c r="H1090" s="2" t="str">
        <x:v>10</x:v>
      </x:c>
      <x:c r="I1090" s="2" t="str">
        <x:v>반려</x:v>
      </x:c>
      <x:c r="J1090" s="2" t="str">
        <x:v>반려</x:v>
      </x:c>
      <x:c r="K1090" s="2" t="str">
        <x:f>IF(OR(J1090="심의승인",J1090="반려",J1090="반려완료",J1090="심의완료"),"종결 표시",IF(OR(J1090="기후부협의",J1090="문서재제출요청",J1090="보류",J1090="보완요청",J1090="보완완료",J1090="평가중",J1090="반려요청",J1090="평가필요",LEFT(J1090,5)="보완요청("),"미종결 표시","상태 확인 필요"))</x:f>
        <x:v>종결 표시</x:v>
      </x:c>
      <x:c r="L1090" s="2"/>
      <x:c r="M1090" s="2"/>
      <x:c r="N1090" s="8" t="n">
        <x:f>DATE(2026,10,15)-DATE(2022,10,11)</x:f>
        <x:v>1465</x:v>
      </x:c>
      <x:c r="O1090" s="2" t="str">
        <x:v>보류</x:v>
      </x:c>
      <x:c r="P1090" s="2" t="str">
        <x:v>반려완료(업체 요청)</x:v>
      </x:c>
      <x:c r="Q1090" s="2" t="str">
        <x:v>산업전환_외부사업관리Tool_260707_이너젠 수정_LJY_261013.xlsx</x:v>
      </x:c>
      <x:c r="R1090" s="2" t="str">
        <x:v>국내평가</x:v>
      </x:c>
      <x:c r="S1090" s="8" t="n">
        <x:v>993</x:v>
      </x:c>
      <x:c r="T1090" s="2" t="str">
        <x:v>2024년 처리</x:v>
      </x:c>
      <x:c r="U1090" s="2" t="str">
        <x:v>2024 배정: 2024년 처리</x:v>
      </x:c>
      <x:c r="V1090" s="2" t="str">
        <x:v>2024-08-19</x:v>
      </x:c>
      <x:c r="W1090" s="2" t="str">
        <x:v>담당기관 확인</x:v>
      </x:c>
      <x:c r="X1090" s="2" t="str">
        <x:v>원본·배정 기록 확인</x:v>
      </x:c>
      <x:c r="Y1090" s="2" t="str">
        <x:v>ad210cd9ec132cfd447541c8984dc53d30aff0f4fb2dc92d254d49275cc55976</x:v>
      </x:c>
      <x:c r="Z1090" s="2" t="n">
        <x:f>SUBTOTAL(103,A1090)</x:f>
        <x:v>1</x:v>
      </x:c>
      <x:c r="AA1090" s="2" t="str">
        <x:f>IF(K1090&lt;&gt;"미종결 표시","대상 아님",IF(N1090="","신청일 확인",IF(NOT(ISNUMBER('종합 현황'!$H$5)),"관찰기준 확인",IF('종합 현황'!$H$5&lt;1,"관찰기준 확인",IF(N1090&gt;'종합 현황'!$H$5,"내부 관찰 대상","내부 관찰일 이하")))))</x:f>
        <x:v>대상 아님</x:v>
      </x:c>
      <x:c r="AB1090" s="2"/>
    </x:row>
    <x:row r="1091" ht="42" customHeight="1">
      <x:c r="A1091" s="2" t="str">
        <x:v>8250248e8f405bf78a0c7b40</x:v>
      </x:c>
      <x:c r="B1091" s="2" t="str">
        <x:v>사업 평가</x:v>
      </x:c>
      <x:c r="C1091" s="2" t="str">
        <x:v>국내</x:v>
      </x:c>
      <x:c r="D1091" s="7" t="str">
        <x:v>한국동서발전(주) 태양광발전 설치 및 자가 사용 프로그램 감축사업</x:v>
      </x:c>
      <x:c r="E1091" s="2" t="str">
        <x:v>952</x:v>
      </x:c>
      <x:c r="F1091" s="2" t="str">
        <x:v>2022-10-11</x:v>
      </x:c>
      <x:c r="G1091" s="2" t="str">
        <x:v>2022</x:v>
      </x:c>
      <x:c r="H1091" s="2" t="str">
        <x:v>10</x:v>
      </x:c>
      <x:c r="I1091" s="2" t="str">
        <x:v>검토필요</x:v>
      </x:c>
      <x:c r="J1091" s="2" t="str">
        <x:v>보류</x:v>
      </x:c>
      <x:c r="K1091" s="2" t="str">
        <x:f>IF(OR(J1091="심의승인",J1091="반려",J1091="반려완료",J1091="심의완료"),"종결 표시",IF(OR(J1091="기후부협의",J1091="문서재제출요청",J1091="보류",J1091="보완요청",J1091="보완완료",J1091="평가중",J1091="반려요청",J1091="평가필요",LEFT(J1091,5)="보완요청("),"미종결 표시","상태 확인 필요"))</x:f>
        <x:v>미종결 표시</x:v>
      </x:c>
      <x:c r="L1091" s="2"/>
      <x:c r="M1091" s="2"/>
      <x:c r="N1091" s="8" t="n">
        <x:f>DATE(2026,10,15)-DATE(2022,10,11)</x:f>
        <x:v>1465</x:v>
      </x:c>
      <x:c r="O1091" s="2" t="str">
        <x:v>보류</x:v>
      </x:c>
      <x:c r="P1091" s="2" t="str">
        <x:v>프로그램 사업 승인 후 검토, 최초 승인 후 추가되는 단위사업 인증위 상정 없이 협의만으로 승인 가능(제16조제2항)</x:v>
      </x:c>
      <x:c r="Q1091" s="2" t="str">
        <x:v>산업전환_외부사업관리Tool_260707_이너젠 수정_LJY_261013.xlsx</x:v>
      </x:c>
      <x:c r="R1091" s="2" t="str">
        <x:v>국내평가</x:v>
      </x:c>
      <x:c r="S1091" s="8" t="n">
        <x:v>994</x:v>
      </x:c>
      <x:c r="T1091" s="2" t="str">
        <x:v>2023년 처리</x:v>
      </x:c>
      <x:c r="U1091" s="2" t="str">
        <x:v>2023 배정: 2023년 처리</x:v>
      </x:c>
      <x:c r="V1091" s="2" t="str">
        <x:v>2023-05-03</x:v>
      </x:c>
      <x:c r="W1091" s="2" t="str">
        <x:v>담당기관 확인</x:v>
      </x:c>
      <x:c r="X1091" s="2" t="str">
        <x:v>원본·배정 기록 확인</x:v>
      </x:c>
      <x:c r="Y1091" s="2" t="str">
        <x:v>ad210cd9ec132cfd447541c8984dc53d30aff0f4fb2dc92d254d49275cc55976</x:v>
      </x:c>
      <x:c r="Z1091" s="2" t="n">
        <x:f>SUBTOTAL(103,A1091)</x:f>
        <x:v>1</x:v>
      </x:c>
      <x:c r="AA1091" s="2" t="str">
        <x:f>IF(K1091&lt;&gt;"미종결 표시","대상 아님",IF(N1091="","신청일 확인",IF(NOT(ISNUMBER('종합 현황'!$H$5)),"관찰기준 확인",IF('종합 현황'!$H$5&lt;1,"관찰기준 확인",IF(N1091&gt;'종합 현황'!$H$5,"내부 관찰 대상","내부 관찰일 이하")))))</x:f>
        <x:v>내부 관찰 대상</x:v>
      </x:c>
      <x:c r="AB1091" s="2"/>
    </x:row>
    <x:row r="1092" ht="42" customHeight="1">
      <x:c r="A1092" s="2" t="str">
        <x:v>564c5ff5b8a5f3fd951527e9</x:v>
      </x:c>
      <x:c r="B1092" s="2" t="str">
        <x:v>사업 평가</x:v>
      </x:c>
      <x:c r="C1092" s="2" t="str">
        <x:v>국내</x:v>
      </x:c>
      <x:c r="D1092" s="7" t="str">
        <x:v>한국동서발전(주) 태양광발전 설치 및 자가 사용 프로그램 감축사업</x:v>
      </x:c>
      <x:c r="E1092" s="2" t="str">
        <x:v>953</x:v>
      </x:c>
      <x:c r="F1092" s="2" t="str">
        <x:v>2022-10-06</x:v>
      </x:c>
      <x:c r="G1092" s="2" t="str">
        <x:v>2022</x:v>
      </x:c>
      <x:c r="H1092" s="2" t="str">
        <x:v>10</x:v>
      </x:c>
      <x:c r="I1092" s="2" t="str">
        <x:v>반려</x:v>
      </x:c>
      <x:c r="J1092" s="2" t="str">
        <x:v>반려</x:v>
      </x:c>
      <x:c r="K1092" s="2" t="str">
        <x:f>IF(OR(J1092="심의승인",J1092="반려",J1092="반려완료",J1092="심의완료"),"종결 표시",IF(OR(J1092="기후부협의",J1092="문서재제출요청",J1092="보류",J1092="보완요청",J1092="보완완료",J1092="평가중",J1092="반려요청",J1092="평가필요",LEFT(J1092,5)="보완요청("),"미종결 표시","상태 확인 필요"))</x:f>
        <x:v>종결 표시</x:v>
      </x:c>
      <x:c r="L1092" s="2"/>
      <x:c r="M1092" s="2"/>
      <x:c r="N1092" s="8" t="n">
        <x:f>DATE(2026,10,15)-DATE(2022,10,6)</x:f>
        <x:v>1470</x:v>
      </x:c>
      <x:c r="O1092" s="2" t="str">
        <x:v>보류</x:v>
      </x:c>
      <x:c r="P1092" s="2" t="str">
        <x:v>반려완료(업체 요청)</x:v>
      </x:c>
      <x:c r="Q1092" s="2" t="str">
        <x:v>산업전환_외부사업관리Tool_260707_이너젠 수정_LJY_261013.xlsx</x:v>
      </x:c>
      <x:c r="R1092" s="2" t="str">
        <x:v>국내평가</x:v>
      </x:c>
      <x:c r="S1092" s="8" t="n">
        <x:v>995</x:v>
      </x:c>
      <x:c r="T1092" s="2" t="str">
        <x:v>2024년 처리</x:v>
      </x:c>
      <x:c r="U1092" s="2" t="str">
        <x:v>2024 배정: 2024년 처리</x:v>
      </x:c>
      <x:c r="V1092" s="2" t="str">
        <x:v>2024-08-19</x:v>
      </x:c>
      <x:c r="W1092" s="2" t="str">
        <x:v>담당기관 확인</x:v>
      </x:c>
      <x:c r="X1092" s="2" t="str">
        <x:v>원본·배정 기록 확인</x:v>
      </x:c>
      <x:c r="Y1092" s="2" t="str">
        <x:v>ad210cd9ec132cfd447541c8984dc53d30aff0f4fb2dc92d254d49275cc55976</x:v>
      </x:c>
      <x:c r="Z1092" s="2" t="n">
        <x:f>SUBTOTAL(103,A1092)</x:f>
        <x:v>1</x:v>
      </x:c>
      <x:c r="AA1092" s="2" t="str">
        <x:f>IF(K1092&lt;&gt;"미종결 표시","대상 아님",IF(N1092="","신청일 확인",IF(NOT(ISNUMBER('종합 현황'!$H$5)),"관찰기준 확인",IF('종합 현황'!$H$5&lt;1,"관찰기준 확인",IF(N1092&gt;'종합 현황'!$H$5,"내부 관찰 대상","내부 관찰일 이하")))))</x:f>
        <x:v>대상 아님</x:v>
      </x:c>
      <x:c r="AB1092" s="2"/>
    </x:row>
    <x:row r="1093" ht="42" customHeight="1">
      <x:c r="A1093" s="2" t="str">
        <x:v>ae5e89657822a611adbed4d8</x:v>
      </x:c>
      <x:c r="B1093" s="2" t="str">
        <x:v>사업 평가</x:v>
      </x:c>
      <x:c r="C1093" s="2" t="str">
        <x:v>국내</x:v>
      </x:c>
      <x:c r="D1093" s="7" t="str">
        <x:v>한국동서발전(주) 태양광발전 설치 및 자가 사용 프로그램 감축사업</x:v>
      </x:c>
      <x:c r="E1093" s="2" t="str">
        <x:v>954</x:v>
      </x:c>
      <x:c r="F1093" s="2" t="str">
        <x:v>2022-10-06</x:v>
      </x:c>
      <x:c r="G1093" s="2" t="str">
        <x:v>2022</x:v>
      </x:c>
      <x:c r="H1093" s="2" t="str">
        <x:v>10</x:v>
      </x:c>
      <x:c r="I1093" s="2" t="str">
        <x:v>반려</x:v>
      </x:c>
      <x:c r="J1093" s="2" t="str">
        <x:v>반려</x:v>
      </x:c>
      <x:c r="K1093" s="2" t="str">
        <x:f>IF(OR(J1093="심의승인",J1093="반려",J1093="반려완료",J1093="심의완료"),"종결 표시",IF(OR(J1093="기후부협의",J1093="문서재제출요청",J1093="보류",J1093="보완요청",J1093="보완완료",J1093="평가중",J1093="반려요청",J1093="평가필요",LEFT(J1093,5)="보완요청("),"미종결 표시","상태 확인 필요"))</x:f>
        <x:v>종결 표시</x:v>
      </x:c>
      <x:c r="L1093" s="2"/>
      <x:c r="M1093" s="2"/>
      <x:c r="N1093" s="8" t="n">
        <x:f>DATE(2026,10,15)-DATE(2022,10,6)</x:f>
        <x:v>1470</x:v>
      </x:c>
      <x:c r="O1093" s="2" t="str">
        <x:v>보류</x:v>
      </x:c>
      <x:c r="P1093" s="2" t="str">
        <x:v>반려완료(업체 요청)</x:v>
      </x:c>
      <x:c r="Q1093" s="2" t="str">
        <x:v>산업전환_외부사업관리Tool_260707_이너젠 수정_LJY_261013.xlsx</x:v>
      </x:c>
      <x:c r="R1093" s="2" t="str">
        <x:v>국내평가</x:v>
      </x:c>
      <x:c r="S1093" s="8" t="n">
        <x:v>996</x:v>
      </x:c>
      <x:c r="T1093" s="2" t="str">
        <x:v>2024년 처리</x:v>
      </x:c>
      <x:c r="U1093" s="2" t="str">
        <x:v>2024 배정: 2024년 처리</x:v>
      </x:c>
      <x:c r="V1093" s="2" t="str">
        <x:v>2024-08-19</x:v>
      </x:c>
      <x:c r="W1093" s="2" t="str">
        <x:v>담당기관 확인</x:v>
      </x:c>
      <x:c r="X1093" s="2" t="str">
        <x:v>원본·배정 기록 확인</x:v>
      </x:c>
      <x:c r="Y1093" s="2" t="str">
        <x:v>ad210cd9ec132cfd447541c8984dc53d30aff0f4fb2dc92d254d49275cc55976</x:v>
      </x:c>
      <x:c r="Z1093" s="2" t="n">
        <x:f>SUBTOTAL(103,A1093)</x:f>
        <x:v>1</x:v>
      </x:c>
      <x:c r="AA1093" s="2" t="str">
        <x:f>IF(K1093&lt;&gt;"미종결 표시","대상 아님",IF(N1093="","신청일 확인",IF(NOT(ISNUMBER('종합 현황'!$H$5)),"관찰기준 확인",IF('종합 현황'!$H$5&lt;1,"관찰기준 확인",IF(N1093&gt;'종합 현황'!$H$5,"내부 관찰 대상","내부 관찰일 이하")))))</x:f>
        <x:v>대상 아님</x:v>
      </x:c>
      <x:c r="AB1093" s="2"/>
    </x:row>
    <x:row r="1094" ht="42" customHeight="1">
      <x:c r="A1094" s="2" t="str">
        <x:v>943e816666a00b76d343a766</x:v>
      </x:c>
      <x:c r="B1094" s="2" t="str">
        <x:v>사업 평가</x:v>
      </x:c>
      <x:c r="C1094" s="2" t="str">
        <x:v>국내</x:v>
      </x:c>
      <x:c r="D1094" s="7" t="str">
        <x:v>한국동서발전(주) 태양광발전 설치 및 자가 사용 프로그램 감축사업</x:v>
      </x:c>
      <x:c r="E1094" s="2" t="str">
        <x:v>955</x:v>
      </x:c>
      <x:c r="F1094" s="2" t="str">
        <x:v>2022-10-07</x:v>
      </x:c>
      <x:c r="G1094" s="2" t="str">
        <x:v>2022</x:v>
      </x:c>
      <x:c r="H1094" s="2" t="str">
        <x:v>10</x:v>
      </x:c>
      <x:c r="I1094" s="2" t="str">
        <x:v>반려</x:v>
      </x:c>
      <x:c r="J1094" s="2" t="str">
        <x:v>반려</x:v>
      </x:c>
      <x:c r="K1094" s="2" t="str">
        <x:f>IF(OR(J1094="심의승인",J1094="반려",J1094="반려완료",J1094="심의완료"),"종결 표시",IF(OR(J1094="기후부협의",J1094="문서재제출요청",J1094="보류",J1094="보완요청",J1094="보완완료",J1094="평가중",J1094="반려요청",J1094="평가필요",LEFT(J1094,5)="보완요청("),"미종결 표시","상태 확인 필요"))</x:f>
        <x:v>종결 표시</x:v>
      </x:c>
      <x:c r="L1094" s="2"/>
      <x:c r="M1094" s="2"/>
      <x:c r="N1094" s="8" t="n">
        <x:f>DATE(2026,10,15)-DATE(2022,10,7)</x:f>
        <x:v>1469</x:v>
      </x:c>
      <x:c r="O1094" s="2" t="str">
        <x:v>보류</x:v>
      </x:c>
      <x:c r="P1094" s="2" t="str">
        <x:v>반려완료(업체 요청)</x:v>
      </x:c>
      <x:c r="Q1094" s="2" t="str">
        <x:v>산업전환_외부사업관리Tool_260707_이너젠 수정_LJY_261013.xlsx</x:v>
      </x:c>
      <x:c r="R1094" s="2" t="str">
        <x:v>국내평가</x:v>
      </x:c>
      <x:c r="S1094" s="8" t="n">
        <x:v>997</x:v>
      </x:c>
      <x:c r="T1094" s="2" t="str">
        <x:v>2024년 처리</x:v>
      </x:c>
      <x:c r="U1094" s="2" t="str">
        <x:v>2024 배정: 2024년 처리</x:v>
      </x:c>
      <x:c r="V1094" s="2" t="str">
        <x:v>2024-08-19</x:v>
      </x:c>
      <x:c r="W1094" s="2" t="str">
        <x:v>담당기관 확인</x:v>
      </x:c>
      <x:c r="X1094" s="2" t="str">
        <x:v>원본·배정 기록 확인</x:v>
      </x:c>
      <x:c r="Y1094" s="2" t="str">
        <x:v>ad210cd9ec132cfd447541c8984dc53d30aff0f4fb2dc92d254d49275cc55976</x:v>
      </x:c>
      <x:c r="Z1094" s="2" t="n">
        <x:f>SUBTOTAL(103,A1094)</x:f>
        <x:v>1</x:v>
      </x:c>
      <x:c r="AA1094" s="2" t="str">
        <x:f>IF(K1094&lt;&gt;"미종결 표시","대상 아님",IF(N1094="","신청일 확인",IF(NOT(ISNUMBER('종합 현황'!$H$5)),"관찰기준 확인",IF('종합 현황'!$H$5&lt;1,"관찰기준 확인",IF(N1094&gt;'종합 현황'!$H$5,"내부 관찰 대상","내부 관찰일 이하")))))</x:f>
        <x:v>대상 아님</x:v>
      </x:c>
      <x:c r="AB1094" s="2"/>
    </x:row>
    <x:row r="1095" ht="42" customHeight="1">
      <x:c r="A1095" s="2" t="str">
        <x:v>1e376be9c71a2c8e8bdf799e</x:v>
      </x:c>
      <x:c r="B1095" s="2" t="str">
        <x:v>사업 평가</x:v>
      </x:c>
      <x:c r="C1095" s="2" t="str">
        <x:v>국내</x:v>
      </x:c>
      <x:c r="D1095" s="7" t="str">
        <x:v>한국동서발전(주) 태양광발전 설치 및 자가 사용 프로그램 감축사업</x:v>
      </x:c>
      <x:c r="E1095" s="2" t="str">
        <x:v>956</x:v>
      </x:c>
      <x:c r="F1095" s="2" t="str">
        <x:v>2022-10-07</x:v>
      </x:c>
      <x:c r="G1095" s="2" t="str">
        <x:v>2022</x:v>
      </x:c>
      <x:c r="H1095" s="2" t="str">
        <x:v>10</x:v>
      </x:c>
      <x:c r="I1095" s="2" t="str">
        <x:v>검토필요</x:v>
      </x:c>
      <x:c r="J1095" s="2" t="str">
        <x:v>보류</x:v>
      </x:c>
      <x:c r="K1095" s="2" t="str">
        <x:f>IF(OR(J1095="심의승인",J1095="반려",J1095="반려완료",J1095="심의완료"),"종결 표시",IF(OR(J1095="기후부협의",J1095="문서재제출요청",J1095="보류",J1095="보완요청",J1095="보완완료",J1095="평가중",J1095="반려요청",J1095="평가필요",LEFT(J1095,5)="보완요청("),"미종결 표시","상태 확인 필요"))</x:f>
        <x:v>미종결 표시</x:v>
      </x:c>
      <x:c r="L1095" s="2"/>
      <x:c r="M1095" s="2"/>
      <x:c r="N1095" s="8" t="n">
        <x:f>DATE(2026,10,15)-DATE(2022,10,7)</x:f>
        <x:v>1469</x:v>
      </x:c>
      <x:c r="O1095" s="2" t="str">
        <x:v>보류</x:v>
      </x:c>
      <x:c r="P1095" s="2" t="str">
        <x:v>프로그램 사업 승인 후 검토, 최초 승인 후 추가되는 단위사업 인증위 상정 없이 협의만으로 승인 가능(제16조제2항)</x:v>
      </x:c>
      <x:c r="Q1095" s="2" t="str">
        <x:v>산업전환_외부사업관리Tool_260707_이너젠 수정_LJY_261013.xlsx</x:v>
      </x:c>
      <x:c r="R1095" s="2" t="str">
        <x:v>국내평가</x:v>
      </x:c>
      <x:c r="S1095" s="8" t="n">
        <x:v>998</x:v>
      </x:c>
      <x:c r="T1095" s="2" t="str">
        <x:v>2023년 처리</x:v>
      </x:c>
      <x:c r="U1095" s="2" t="str">
        <x:v>2023 배정: 2023년 처리</x:v>
      </x:c>
      <x:c r="V1095" s="2" t="str">
        <x:v>2023-05-03</x:v>
      </x:c>
      <x:c r="W1095" s="2" t="str">
        <x:v>담당기관 확인</x:v>
      </x:c>
      <x:c r="X1095" s="2" t="str">
        <x:v>원본·배정 기록 확인</x:v>
      </x:c>
      <x:c r="Y1095" s="2" t="str">
        <x:v>ad210cd9ec132cfd447541c8984dc53d30aff0f4fb2dc92d254d49275cc55976</x:v>
      </x:c>
      <x:c r="Z1095" s="2" t="n">
        <x:f>SUBTOTAL(103,A1095)</x:f>
        <x:v>1</x:v>
      </x:c>
      <x:c r="AA1095" s="2" t="str">
        <x:f>IF(K1095&lt;&gt;"미종결 표시","대상 아님",IF(N1095="","신청일 확인",IF(NOT(ISNUMBER('종합 현황'!$H$5)),"관찰기준 확인",IF('종합 현황'!$H$5&lt;1,"관찰기준 확인",IF(N1095&gt;'종합 현황'!$H$5,"내부 관찰 대상","내부 관찰일 이하")))))</x:f>
        <x:v>내부 관찰 대상</x:v>
      </x:c>
      <x:c r="AB1095" s="2"/>
    </x:row>
    <x:row r="1096" ht="42" customHeight="1">
      <x:c r="A1096" s="2" t="str">
        <x:v>e7b6f84d0ec5e24c974e3356</x:v>
      </x:c>
      <x:c r="B1096" s="2" t="str">
        <x:v>사업 평가</x:v>
      </x:c>
      <x:c r="C1096" s="2" t="str">
        <x:v>국내</x:v>
      </x:c>
      <x:c r="D1096" s="7" t="str">
        <x:v>한국동서발전(주) 태양광발전 설치 및 자가 사용 프로그램 감축사업</x:v>
      </x:c>
      <x:c r="E1096" s="2" t="str">
        <x:v>957</x:v>
      </x:c>
      <x:c r="F1096" s="2" t="str">
        <x:v>2022-10-07</x:v>
      </x:c>
      <x:c r="G1096" s="2" t="str">
        <x:v>2022</x:v>
      </x:c>
      <x:c r="H1096" s="2" t="str">
        <x:v>10</x:v>
      </x:c>
      <x:c r="I1096" s="2" t="str">
        <x:v>반려</x:v>
      </x:c>
      <x:c r="J1096" s="2" t="str">
        <x:v>반려</x:v>
      </x:c>
      <x:c r="K1096" s="2" t="str">
        <x:f>IF(OR(J1096="심의승인",J1096="반려",J1096="반려완료",J1096="심의완료"),"종결 표시",IF(OR(J1096="기후부협의",J1096="문서재제출요청",J1096="보류",J1096="보완요청",J1096="보완완료",J1096="평가중",J1096="반려요청",J1096="평가필요",LEFT(J1096,5)="보완요청("),"미종결 표시","상태 확인 필요"))</x:f>
        <x:v>종결 표시</x:v>
      </x:c>
      <x:c r="L1096" s="2"/>
      <x:c r="M1096" s="2"/>
      <x:c r="N1096" s="8" t="n">
        <x:f>DATE(2026,10,15)-DATE(2022,10,7)</x:f>
        <x:v>1469</x:v>
      </x:c>
      <x:c r="O1096" s="2" t="str">
        <x:v>보류</x:v>
      </x:c>
      <x:c r="P1096" s="2" t="str">
        <x:v>반려완료(업체 요청)</x:v>
      </x:c>
      <x:c r="Q1096" s="2" t="str">
        <x:v>산업전환_외부사업관리Tool_260707_이너젠 수정_LJY_261013.xlsx</x:v>
      </x:c>
      <x:c r="R1096" s="2" t="str">
        <x:v>국내평가</x:v>
      </x:c>
      <x:c r="S1096" s="8" t="n">
        <x:v>999</x:v>
      </x:c>
      <x:c r="T1096" s="2" t="str">
        <x:v>2024년 처리</x:v>
      </x:c>
      <x:c r="U1096" s="2" t="str">
        <x:v>2024 배정: 2024년 처리</x:v>
      </x:c>
      <x:c r="V1096" s="2" t="str">
        <x:v>2024-08-19</x:v>
      </x:c>
      <x:c r="W1096" s="2" t="str">
        <x:v>담당기관 확인</x:v>
      </x:c>
      <x:c r="X1096" s="2" t="str">
        <x:v>원본·배정 기록 확인</x:v>
      </x:c>
      <x:c r="Y1096" s="2" t="str">
        <x:v>ad210cd9ec132cfd447541c8984dc53d30aff0f4fb2dc92d254d49275cc55976</x:v>
      </x:c>
      <x:c r="Z1096" s="2" t="n">
        <x:f>SUBTOTAL(103,A1096)</x:f>
        <x:v>1</x:v>
      </x:c>
      <x:c r="AA1096" s="2" t="str">
        <x:f>IF(K1096&lt;&gt;"미종결 표시","대상 아님",IF(N1096="","신청일 확인",IF(NOT(ISNUMBER('종합 현황'!$H$5)),"관찰기준 확인",IF('종합 현황'!$H$5&lt;1,"관찰기준 확인",IF(N1096&gt;'종합 현황'!$H$5,"내부 관찰 대상","내부 관찰일 이하")))))</x:f>
        <x:v>대상 아님</x:v>
      </x:c>
      <x:c r="AB1096" s="2"/>
    </x:row>
    <x:row r="1097" ht="42" customHeight="1">
      <x:c r="A1097" s="2" t="str">
        <x:v>e88c4381e1b1b6d4633a5b15</x:v>
      </x:c>
      <x:c r="B1097" s="2" t="str">
        <x:v>사업 평가</x:v>
      </x:c>
      <x:c r="C1097" s="2" t="str">
        <x:v>국내</x:v>
      </x:c>
      <x:c r="D1097" s="7" t="str">
        <x:v>한국동서발전(주) 태양광발전 설치 및 자가 사용 프로그램 감축사업</x:v>
      </x:c>
      <x:c r="E1097" s="2" t="str">
        <x:v>958</x:v>
      </x:c>
      <x:c r="F1097" s="2" t="str">
        <x:v>2022-10-07</x:v>
      </x:c>
      <x:c r="G1097" s="2" t="str">
        <x:v>2022</x:v>
      </x:c>
      <x:c r="H1097" s="2" t="str">
        <x:v>10</x:v>
      </x:c>
      <x:c r="I1097" s="2" t="str">
        <x:v>반려</x:v>
      </x:c>
      <x:c r="J1097" s="2" t="str">
        <x:v>반려</x:v>
      </x:c>
      <x:c r="K1097" s="2" t="str">
        <x:f>IF(OR(J1097="심의승인",J1097="반려",J1097="반려완료",J1097="심의완료"),"종결 표시",IF(OR(J1097="기후부협의",J1097="문서재제출요청",J1097="보류",J1097="보완요청",J1097="보완완료",J1097="평가중",J1097="반려요청",J1097="평가필요",LEFT(J1097,5)="보완요청("),"미종결 표시","상태 확인 필요"))</x:f>
        <x:v>종결 표시</x:v>
      </x:c>
      <x:c r="L1097" s="2"/>
      <x:c r="M1097" s="2"/>
      <x:c r="N1097" s="8" t="n">
        <x:f>DATE(2026,10,15)-DATE(2022,10,7)</x:f>
        <x:v>1469</x:v>
      </x:c>
      <x:c r="O1097" s="2" t="str">
        <x:v>보류</x:v>
      </x:c>
      <x:c r="P1097" s="2" t="str">
        <x:v>반려완료(업체 요청)</x:v>
      </x:c>
      <x:c r="Q1097" s="2" t="str">
        <x:v>산업전환_외부사업관리Tool_260707_이너젠 수정_LJY_261013.xlsx</x:v>
      </x:c>
      <x:c r="R1097" s="2" t="str">
        <x:v>국내평가</x:v>
      </x:c>
      <x:c r="S1097" s="8" t="n">
        <x:v>1000</x:v>
      </x:c>
      <x:c r="T1097" s="2" t="str">
        <x:v>2024년 처리</x:v>
      </x:c>
      <x:c r="U1097" s="2" t="str">
        <x:v>2024 배정: 2024년 처리</x:v>
      </x:c>
      <x:c r="V1097" s="2" t="str">
        <x:v>2024-08-19</x:v>
      </x:c>
      <x:c r="W1097" s="2" t="str">
        <x:v>담당기관 확인</x:v>
      </x:c>
      <x:c r="X1097" s="2" t="str">
        <x:v>원본·배정 기록 확인</x:v>
      </x:c>
      <x:c r="Y1097" s="2" t="str">
        <x:v>ad210cd9ec132cfd447541c8984dc53d30aff0f4fb2dc92d254d49275cc55976</x:v>
      </x:c>
      <x:c r="Z1097" s="2" t="n">
        <x:f>SUBTOTAL(103,A1097)</x:f>
        <x:v>1</x:v>
      </x:c>
      <x:c r="AA1097" s="2" t="str">
        <x:f>IF(K1097&lt;&gt;"미종결 표시","대상 아님",IF(N1097="","신청일 확인",IF(NOT(ISNUMBER('종합 현황'!$H$5)),"관찰기준 확인",IF('종합 현황'!$H$5&lt;1,"관찰기준 확인",IF(N1097&gt;'종합 현황'!$H$5,"내부 관찰 대상","내부 관찰일 이하")))))</x:f>
        <x:v>대상 아님</x:v>
      </x:c>
      <x:c r="AB1097" s="2"/>
    </x:row>
    <x:row r="1098" ht="42" customHeight="1">
      <x:c r="A1098" s="2" t="str">
        <x:v>708a638dc38cbbb0bcaeee98</x:v>
      </x:c>
      <x:c r="B1098" s="2" t="str">
        <x:v>사업 평가</x:v>
      </x:c>
      <x:c r="C1098" s="2" t="str">
        <x:v>국내</x:v>
      </x:c>
      <x:c r="D1098" s="7" t="str">
        <x:v>한국동서발전(주) 태양광발전 설치 및 자가 사용 프로그램 감축사업</x:v>
      </x:c>
      <x:c r="E1098" s="2" t="str">
        <x:v>959</x:v>
      </x:c>
      <x:c r="F1098" s="2" t="str">
        <x:v>2022-10-07</x:v>
      </x:c>
      <x:c r="G1098" s="2" t="str">
        <x:v>2022</x:v>
      </x:c>
      <x:c r="H1098" s="2" t="str">
        <x:v>10</x:v>
      </x:c>
      <x:c r="I1098" s="2" t="str">
        <x:v>검토필요</x:v>
      </x:c>
      <x:c r="J1098" s="2" t="str">
        <x:v>보류</x:v>
      </x:c>
      <x:c r="K1098" s="2" t="str">
        <x:f>IF(OR(J1098="심의승인",J1098="반려",J1098="반려완료",J1098="심의완료"),"종결 표시",IF(OR(J1098="기후부협의",J1098="문서재제출요청",J1098="보류",J1098="보완요청",J1098="보완완료",J1098="평가중",J1098="반려요청",J1098="평가필요",LEFT(J1098,5)="보완요청("),"미종결 표시","상태 확인 필요"))</x:f>
        <x:v>미종결 표시</x:v>
      </x:c>
      <x:c r="L1098" s="2"/>
      <x:c r="M1098" s="2"/>
      <x:c r="N1098" s="8" t="n">
        <x:f>DATE(2026,10,15)-DATE(2022,10,7)</x:f>
        <x:v>1469</x:v>
      </x:c>
      <x:c r="O1098" s="2" t="str">
        <x:v>보류</x:v>
      </x:c>
      <x:c r="P1098" s="2" t="str">
        <x:v>프로그램 사업 승인 후 검토, 최초 승인 후 추가되는 단위사업 인증위 상정 없이 협의만으로 승인 가능(제16조제2항)</x:v>
      </x:c>
      <x:c r="Q1098" s="2" t="str">
        <x:v>산업전환_외부사업관리Tool_260707_이너젠 수정_LJY_261013.xlsx</x:v>
      </x:c>
      <x:c r="R1098" s="2" t="str">
        <x:v>국내평가</x:v>
      </x:c>
      <x:c r="S1098" s="8" t="n">
        <x:v>1001</x:v>
      </x:c>
      <x:c r="T1098" s="2" t="str">
        <x:v>2023년 처리</x:v>
      </x:c>
      <x:c r="U1098" s="2" t="str">
        <x:v>2023 배정: 2023년 처리</x:v>
      </x:c>
      <x:c r="V1098" s="2" t="str">
        <x:v>2023-05-03</x:v>
      </x:c>
      <x:c r="W1098" s="2" t="str">
        <x:v>담당기관 확인</x:v>
      </x:c>
      <x:c r="X1098" s="2" t="str">
        <x:v>원본·배정 기록 확인</x:v>
      </x:c>
      <x:c r="Y1098" s="2" t="str">
        <x:v>ad210cd9ec132cfd447541c8984dc53d30aff0f4fb2dc92d254d49275cc55976</x:v>
      </x:c>
      <x:c r="Z1098" s="2" t="n">
        <x:f>SUBTOTAL(103,A1098)</x:f>
        <x:v>1</x:v>
      </x:c>
      <x:c r="AA1098" s="2" t="str">
        <x:f>IF(K1098&lt;&gt;"미종결 표시","대상 아님",IF(N1098="","신청일 확인",IF(NOT(ISNUMBER('종합 현황'!$H$5)),"관찰기준 확인",IF('종합 현황'!$H$5&lt;1,"관찰기준 확인",IF(N1098&gt;'종합 현황'!$H$5,"내부 관찰 대상","내부 관찰일 이하")))))</x:f>
        <x:v>내부 관찰 대상</x:v>
      </x:c>
      <x:c r="AB1098" s="2"/>
    </x:row>
    <x:row r="1099" ht="42" customHeight="1">
      <x:c r="A1099" s="2" t="str">
        <x:v>6b17dc84ff733df1e3a658ea</x:v>
      </x:c>
      <x:c r="B1099" s="2" t="str">
        <x:v>사업 평가</x:v>
      </x:c>
      <x:c r="C1099" s="2" t="str">
        <x:v>국내</x:v>
      </x:c>
      <x:c r="D1099" s="7" t="str">
        <x:v>한국동서발전(주) 태양광발전 설치 및 자가 사용 프로그램 감축사업</x:v>
      </x:c>
      <x:c r="E1099" s="2" t="str">
        <x:v>960</x:v>
      </x:c>
      <x:c r="F1099" s="2" t="str">
        <x:v>2022-10-07</x:v>
      </x:c>
      <x:c r="G1099" s="2" t="str">
        <x:v>2022</x:v>
      </x:c>
      <x:c r="H1099" s="2" t="str">
        <x:v>10</x:v>
      </x:c>
      <x:c r="I1099" s="2" t="str">
        <x:v>검토필요</x:v>
      </x:c>
      <x:c r="J1099" s="2" t="str">
        <x:v>보류</x:v>
      </x:c>
      <x:c r="K1099" s="2" t="str">
        <x:f>IF(OR(J1099="심의승인",J1099="반려",J1099="반려완료",J1099="심의완료"),"종결 표시",IF(OR(J1099="기후부협의",J1099="문서재제출요청",J1099="보류",J1099="보완요청",J1099="보완완료",J1099="평가중",J1099="반려요청",J1099="평가필요",LEFT(J1099,5)="보완요청("),"미종결 표시","상태 확인 필요"))</x:f>
        <x:v>미종결 표시</x:v>
      </x:c>
      <x:c r="L1099" s="2"/>
      <x:c r="M1099" s="2"/>
      <x:c r="N1099" s="8" t="n">
        <x:f>DATE(2026,10,15)-DATE(2022,10,7)</x:f>
        <x:v>1469</x:v>
      </x:c>
      <x:c r="O1099" s="2" t="str">
        <x:v>보류</x:v>
      </x:c>
      <x:c r="P1099" s="2" t="str">
        <x:v>프로그램 사업 승인 후 검토, 최초 승인 후 추가되는 단위사업 인증위 상정 없이 협의만으로 승인 가능(제16조제2항)</x:v>
      </x:c>
      <x:c r="Q1099" s="2" t="str">
        <x:v>산업전환_외부사업관리Tool_260707_이너젠 수정_LJY_261013.xlsx</x:v>
      </x:c>
      <x:c r="R1099" s="2" t="str">
        <x:v>국내평가</x:v>
      </x:c>
      <x:c r="S1099" s="8" t="n">
        <x:v>1002</x:v>
      </x:c>
      <x:c r="T1099" s="2" t="str">
        <x:v>2023년 처리</x:v>
      </x:c>
      <x:c r="U1099" s="2" t="str">
        <x:v>2023 배정: 2023년 처리</x:v>
      </x:c>
      <x:c r="V1099" s="2" t="str">
        <x:v>2023-05-03</x:v>
      </x:c>
      <x:c r="W1099" s="2" t="str">
        <x:v>담당기관 확인</x:v>
      </x:c>
      <x:c r="X1099" s="2" t="str">
        <x:v>원본·배정 기록 확인</x:v>
      </x:c>
      <x:c r="Y1099" s="2" t="str">
        <x:v>ad210cd9ec132cfd447541c8984dc53d30aff0f4fb2dc92d254d49275cc55976</x:v>
      </x:c>
      <x:c r="Z1099" s="2" t="n">
        <x:f>SUBTOTAL(103,A1099)</x:f>
        <x:v>1</x:v>
      </x:c>
      <x:c r="AA1099" s="2" t="str">
        <x:f>IF(K1099&lt;&gt;"미종결 표시","대상 아님",IF(N1099="","신청일 확인",IF(NOT(ISNUMBER('종합 현황'!$H$5)),"관찰기준 확인",IF('종합 현황'!$H$5&lt;1,"관찰기준 확인",IF(N1099&gt;'종합 현황'!$H$5,"내부 관찰 대상","내부 관찰일 이하")))))</x:f>
        <x:v>내부 관찰 대상</x:v>
      </x:c>
      <x:c r="AB1099" s="2"/>
    </x:row>
    <x:row r="1100" ht="42" customHeight="1">
      <x:c r="A1100" s="2" t="str">
        <x:v>7f80c0ae42638a56cb87a10e</x:v>
      </x:c>
      <x:c r="B1100" s="2" t="str">
        <x:v>사업 평가</x:v>
      </x:c>
      <x:c r="C1100" s="2" t="str">
        <x:v>국내</x:v>
      </x:c>
      <x:c r="D1100" s="7" t="str">
        <x:v>한국동서발전(주) 태양광발전 설치 및 자가 사용 프로그램 감축사업</x:v>
      </x:c>
      <x:c r="E1100" s="2" t="str">
        <x:v>961</x:v>
      </x:c>
      <x:c r="F1100" s="2" t="str">
        <x:v>2022-10-07</x:v>
      </x:c>
      <x:c r="G1100" s="2" t="str">
        <x:v>2022</x:v>
      </x:c>
      <x:c r="H1100" s="2" t="str">
        <x:v>10</x:v>
      </x:c>
      <x:c r="I1100" s="2" t="str">
        <x:v>검토필요</x:v>
      </x:c>
      <x:c r="J1100" s="2" t="str">
        <x:v>보류</x:v>
      </x:c>
      <x:c r="K1100" s="2" t="str">
        <x:f>IF(OR(J1100="심의승인",J1100="반려",J1100="반려완료",J1100="심의완료"),"종결 표시",IF(OR(J1100="기후부협의",J1100="문서재제출요청",J1100="보류",J1100="보완요청",J1100="보완완료",J1100="평가중",J1100="반려요청",J1100="평가필요",LEFT(J1100,5)="보완요청("),"미종결 표시","상태 확인 필요"))</x:f>
        <x:v>미종결 표시</x:v>
      </x:c>
      <x:c r="L1100" s="2"/>
      <x:c r="M1100" s="2"/>
      <x:c r="N1100" s="8" t="n">
        <x:f>DATE(2026,10,15)-DATE(2022,10,7)</x:f>
        <x:v>1469</x:v>
      </x:c>
      <x:c r="O1100" s="2" t="str">
        <x:v>보류</x:v>
      </x:c>
      <x:c r="P1100" s="2" t="str">
        <x:v>프로그램 사업 승인 후 검토, 최초 승인 후 추가되는 단위사업 인증위 상정 없이 협의만으로 승인 가능(제16조제2항)</x:v>
      </x:c>
      <x:c r="Q1100" s="2" t="str">
        <x:v>산업전환_외부사업관리Tool_260707_이너젠 수정_LJY_261013.xlsx</x:v>
      </x:c>
      <x:c r="R1100" s="2" t="str">
        <x:v>국내평가</x:v>
      </x:c>
      <x:c r="S1100" s="8" t="n">
        <x:v>1003</x:v>
      </x:c>
      <x:c r="T1100" s="2" t="str">
        <x:v>2023년 처리</x:v>
      </x:c>
      <x:c r="U1100" s="2" t="str">
        <x:v>2023 배정: 2023년 처리</x:v>
      </x:c>
      <x:c r="V1100" s="2" t="str">
        <x:v>2023-05-03</x:v>
      </x:c>
      <x:c r="W1100" s="2" t="str">
        <x:v>담당기관 확인</x:v>
      </x:c>
      <x:c r="X1100" s="2" t="str">
        <x:v>원본·배정 기록 확인</x:v>
      </x:c>
      <x:c r="Y1100" s="2" t="str">
        <x:v>ad210cd9ec132cfd447541c8984dc53d30aff0f4fb2dc92d254d49275cc55976</x:v>
      </x:c>
      <x:c r="Z1100" s="2" t="n">
        <x:f>SUBTOTAL(103,A1100)</x:f>
        <x:v>1</x:v>
      </x:c>
      <x:c r="AA1100" s="2" t="str">
        <x:f>IF(K1100&lt;&gt;"미종결 표시","대상 아님",IF(N1100="","신청일 확인",IF(NOT(ISNUMBER('종합 현황'!$H$5)),"관찰기준 확인",IF('종합 현황'!$H$5&lt;1,"관찰기준 확인",IF(N1100&gt;'종합 현황'!$H$5,"내부 관찰 대상","내부 관찰일 이하")))))</x:f>
        <x:v>내부 관찰 대상</x:v>
      </x:c>
      <x:c r="AB1100" s="2"/>
    </x:row>
    <x:row r="1101" ht="42" customHeight="1">
      <x:c r="A1101" s="2" t="str">
        <x:v>dd33d70df6730f0af88ad0e6</x:v>
      </x:c>
      <x:c r="B1101" s="2" t="str">
        <x:v>사업 평가</x:v>
      </x:c>
      <x:c r="C1101" s="2" t="str">
        <x:v>국내</x:v>
      </x:c>
      <x:c r="D1101" s="7" t="str">
        <x:v>한국동서발전(주) 태양광발전 설치 및 자가 사용 프로그램 감축사업</x:v>
      </x:c>
      <x:c r="E1101" s="2" t="str">
        <x:v>962</x:v>
      </x:c>
      <x:c r="F1101" s="2" t="str">
        <x:v>2022-10-07</x:v>
      </x:c>
      <x:c r="G1101" s="2" t="str">
        <x:v>2022</x:v>
      </x:c>
      <x:c r="H1101" s="2" t="str">
        <x:v>10</x:v>
      </x:c>
      <x:c r="I1101" s="2" t="str">
        <x:v>검토필요</x:v>
      </x:c>
      <x:c r="J1101" s="2" t="str">
        <x:v>보류</x:v>
      </x:c>
      <x:c r="K1101" s="2" t="str">
        <x:f>IF(OR(J1101="심의승인",J1101="반려",J1101="반려완료",J1101="심의완료"),"종결 표시",IF(OR(J1101="기후부협의",J1101="문서재제출요청",J1101="보류",J1101="보완요청",J1101="보완완료",J1101="평가중",J1101="반려요청",J1101="평가필요",LEFT(J1101,5)="보완요청("),"미종결 표시","상태 확인 필요"))</x:f>
        <x:v>미종결 표시</x:v>
      </x:c>
      <x:c r="L1101" s="2"/>
      <x:c r="M1101" s="2"/>
      <x:c r="N1101" s="8" t="n">
        <x:f>DATE(2026,10,15)-DATE(2022,10,7)</x:f>
        <x:v>1469</x:v>
      </x:c>
      <x:c r="O1101" s="2" t="str">
        <x:v>보류</x:v>
      </x:c>
      <x:c r="P1101" s="2" t="str">
        <x:v>프로그램 사업 승인 후 검토, 최초 승인 후 추가되는 단위사업 인증위 상정 없이 협의만으로 승인 가능(제16조제2항)</x:v>
      </x:c>
      <x:c r="Q1101" s="2" t="str">
        <x:v>산업전환_외부사업관리Tool_260707_이너젠 수정_LJY_261013.xlsx</x:v>
      </x:c>
      <x:c r="R1101" s="2" t="str">
        <x:v>국내평가</x:v>
      </x:c>
      <x:c r="S1101" s="8" t="n">
        <x:v>1004</x:v>
      </x:c>
      <x:c r="T1101" s="2" t="str">
        <x:v>2023년 처리</x:v>
      </x:c>
      <x:c r="U1101" s="2" t="str">
        <x:v>2023 배정: 2023년 처리</x:v>
      </x:c>
      <x:c r="V1101" s="2" t="str">
        <x:v>2023-05-03</x:v>
      </x:c>
      <x:c r="W1101" s="2" t="str">
        <x:v>담당기관 확인</x:v>
      </x:c>
      <x:c r="X1101" s="2" t="str">
        <x:v>원본·배정 기록 확인</x:v>
      </x:c>
      <x:c r="Y1101" s="2" t="str">
        <x:v>ad210cd9ec132cfd447541c8984dc53d30aff0f4fb2dc92d254d49275cc55976</x:v>
      </x:c>
      <x:c r="Z1101" s="2" t="n">
        <x:f>SUBTOTAL(103,A1101)</x:f>
        <x:v>1</x:v>
      </x:c>
      <x:c r="AA1101" s="2" t="str">
        <x:f>IF(K1101&lt;&gt;"미종결 표시","대상 아님",IF(N1101="","신청일 확인",IF(NOT(ISNUMBER('종합 현황'!$H$5)),"관찰기준 확인",IF('종합 현황'!$H$5&lt;1,"관찰기준 확인",IF(N1101&gt;'종합 현황'!$H$5,"내부 관찰 대상","내부 관찰일 이하")))))</x:f>
        <x:v>내부 관찰 대상</x:v>
      </x:c>
      <x:c r="AB1101" s="2"/>
    </x:row>
    <x:row r="1102" ht="42" customHeight="1">
      <x:c r="A1102" s="2" t="str">
        <x:v>3ea787306522ad97f687c5f3</x:v>
      </x:c>
      <x:c r="B1102" s="2" t="str">
        <x:v>사업 평가</x:v>
      </x:c>
      <x:c r="C1102" s="2" t="str">
        <x:v>국내</x:v>
      </x:c>
      <x:c r="D1102" s="7" t="str">
        <x:v>한국동서발전(주) 태양광발전 설치 및 자가 사용 프로그램 감축사업</x:v>
      </x:c>
      <x:c r="E1102" s="2" t="str">
        <x:v>963</x:v>
      </x:c>
      <x:c r="F1102" s="2" t="str">
        <x:v>2022-10-07</x:v>
      </x:c>
      <x:c r="G1102" s="2" t="str">
        <x:v>2022</x:v>
      </x:c>
      <x:c r="H1102" s="2" t="str">
        <x:v>10</x:v>
      </x:c>
      <x:c r="I1102" s="2" t="str">
        <x:v>검토필요</x:v>
      </x:c>
      <x:c r="J1102" s="2" t="str">
        <x:v>보류</x:v>
      </x:c>
      <x:c r="K1102" s="2" t="str">
        <x:f>IF(OR(J1102="심의승인",J1102="반려",J1102="반려완료",J1102="심의완료"),"종결 표시",IF(OR(J1102="기후부협의",J1102="문서재제출요청",J1102="보류",J1102="보완요청",J1102="보완완료",J1102="평가중",J1102="반려요청",J1102="평가필요",LEFT(J1102,5)="보완요청("),"미종결 표시","상태 확인 필요"))</x:f>
        <x:v>미종결 표시</x:v>
      </x:c>
      <x:c r="L1102" s="2"/>
      <x:c r="M1102" s="2"/>
      <x:c r="N1102" s="8" t="n">
        <x:f>DATE(2026,10,15)-DATE(2022,10,7)</x:f>
        <x:v>1469</x:v>
      </x:c>
      <x:c r="O1102" s="2" t="str">
        <x:v>보류</x:v>
      </x:c>
      <x:c r="P1102" s="2" t="str">
        <x:v>프로그램 사업 승인 후 검토, 최초 승인 후 추가되는 단위사업 인증위 상정 없이 협의만으로 승인 가능(제16조제2항)</x:v>
      </x:c>
      <x:c r="Q1102" s="2" t="str">
        <x:v>산업전환_외부사업관리Tool_260707_이너젠 수정_LJY_261013.xlsx</x:v>
      </x:c>
      <x:c r="R1102" s="2" t="str">
        <x:v>국내평가</x:v>
      </x:c>
      <x:c r="S1102" s="8" t="n">
        <x:v>1005</x:v>
      </x:c>
      <x:c r="T1102" s="2" t="str">
        <x:v>2023년 처리</x:v>
      </x:c>
      <x:c r="U1102" s="2" t="str">
        <x:v>2023 배정: 2023년 처리</x:v>
      </x:c>
      <x:c r="V1102" s="2" t="str">
        <x:v>2023-05-03</x:v>
      </x:c>
      <x:c r="W1102" s="2" t="str">
        <x:v>담당기관 확인</x:v>
      </x:c>
      <x:c r="X1102" s="2" t="str">
        <x:v>원본·배정 기록 확인</x:v>
      </x:c>
      <x:c r="Y1102" s="2" t="str">
        <x:v>ad210cd9ec132cfd447541c8984dc53d30aff0f4fb2dc92d254d49275cc55976</x:v>
      </x:c>
      <x:c r="Z1102" s="2" t="n">
        <x:f>SUBTOTAL(103,A1102)</x:f>
        <x:v>1</x:v>
      </x:c>
      <x:c r="AA1102" s="2" t="str">
        <x:f>IF(K1102&lt;&gt;"미종결 표시","대상 아님",IF(N1102="","신청일 확인",IF(NOT(ISNUMBER('종합 현황'!$H$5)),"관찰기준 확인",IF('종합 현황'!$H$5&lt;1,"관찰기준 확인",IF(N1102&gt;'종합 현황'!$H$5,"내부 관찰 대상","내부 관찰일 이하")))))</x:f>
        <x:v>내부 관찰 대상</x:v>
      </x:c>
      <x:c r="AB1102" s="2"/>
    </x:row>
    <x:row r="1103" ht="42" customHeight="1">
      <x:c r="A1103" s="2" t="str">
        <x:v>fdddb5bd0fc795e0c7859702</x:v>
      </x:c>
      <x:c r="B1103" s="2" t="str">
        <x:v>사업 평가</x:v>
      </x:c>
      <x:c r="C1103" s="2" t="str">
        <x:v>국내</x:v>
      </x:c>
      <x:c r="D1103" s="7" t="str">
        <x:v>한국동서발전(주) 태양광발전 설치 및 자가 사용 프로그램 감축사업</x:v>
      </x:c>
      <x:c r="E1103" s="2" t="str">
        <x:v>964</x:v>
      </x:c>
      <x:c r="F1103" s="2" t="str">
        <x:v>2022-10-07</x:v>
      </x:c>
      <x:c r="G1103" s="2" t="str">
        <x:v>2022</x:v>
      </x:c>
      <x:c r="H1103" s="2" t="str">
        <x:v>10</x:v>
      </x:c>
      <x:c r="I1103" s="2" t="str">
        <x:v>검토필요</x:v>
      </x:c>
      <x:c r="J1103" s="2" t="str">
        <x:v>보류</x:v>
      </x:c>
      <x:c r="K1103" s="2" t="str">
        <x:f>IF(OR(J1103="심의승인",J1103="반려",J1103="반려완료",J1103="심의완료"),"종결 표시",IF(OR(J1103="기후부협의",J1103="문서재제출요청",J1103="보류",J1103="보완요청",J1103="보완완료",J1103="평가중",J1103="반려요청",J1103="평가필요",LEFT(J1103,5)="보완요청("),"미종결 표시","상태 확인 필요"))</x:f>
        <x:v>미종결 표시</x:v>
      </x:c>
      <x:c r="L1103" s="2"/>
      <x:c r="M1103" s="2"/>
      <x:c r="N1103" s="8" t="n">
        <x:f>DATE(2026,10,15)-DATE(2022,10,7)</x:f>
        <x:v>1469</x:v>
      </x:c>
      <x:c r="O1103" s="2" t="str">
        <x:v>보류</x:v>
      </x:c>
      <x:c r="P1103" s="2" t="str">
        <x:v>프로그램 사업 승인 후 검토, 최초 승인 후 추가되는 단위사업 인증위 상정 없이 협의만으로 승인 가능(제16조제2항)</x:v>
      </x:c>
      <x:c r="Q1103" s="2" t="str">
        <x:v>산업전환_외부사업관리Tool_260707_이너젠 수정_LJY_261013.xlsx</x:v>
      </x:c>
      <x:c r="R1103" s="2" t="str">
        <x:v>국내평가</x:v>
      </x:c>
      <x:c r="S1103" s="8" t="n">
        <x:v>1006</x:v>
      </x:c>
      <x:c r="T1103" s="2" t="str">
        <x:v>2023년 처리</x:v>
      </x:c>
      <x:c r="U1103" s="2" t="str">
        <x:v>2023 배정: 2023년 처리</x:v>
      </x:c>
      <x:c r="V1103" s="2" t="str">
        <x:v>2023-05-03</x:v>
      </x:c>
      <x:c r="W1103" s="2" t="str">
        <x:v>담당기관 확인</x:v>
      </x:c>
      <x:c r="X1103" s="2" t="str">
        <x:v>원본·배정 기록 확인</x:v>
      </x:c>
      <x:c r="Y1103" s="2" t="str">
        <x:v>ad210cd9ec132cfd447541c8984dc53d30aff0f4fb2dc92d254d49275cc55976</x:v>
      </x:c>
      <x:c r="Z1103" s="2" t="n">
        <x:f>SUBTOTAL(103,A1103)</x:f>
        <x:v>1</x:v>
      </x:c>
      <x:c r="AA1103" s="2" t="str">
        <x:f>IF(K1103&lt;&gt;"미종결 표시","대상 아님",IF(N1103="","신청일 확인",IF(NOT(ISNUMBER('종합 현황'!$H$5)),"관찰기준 확인",IF('종합 현황'!$H$5&lt;1,"관찰기준 확인",IF(N1103&gt;'종합 현황'!$H$5,"내부 관찰 대상","내부 관찰일 이하")))))</x:f>
        <x:v>내부 관찰 대상</x:v>
      </x:c>
      <x:c r="AB1103" s="2"/>
    </x:row>
    <x:row r="1104" ht="42" customHeight="1">
      <x:c r="A1104" s="2" t="str">
        <x:v>7a1313b6d508a4c4bdc21e94</x:v>
      </x:c>
      <x:c r="B1104" s="2" t="str">
        <x:v>사업 평가</x:v>
      </x:c>
      <x:c r="C1104" s="2" t="str">
        <x:v>국내</x:v>
      </x:c>
      <x:c r="D1104" s="7" t="str">
        <x:v>한국동서발전(주) 태양광발전 설치 및 자가 사용 프로그램 감축사업</x:v>
      </x:c>
      <x:c r="E1104" s="2" t="str">
        <x:v>965</x:v>
      </x:c>
      <x:c r="F1104" s="2" t="str">
        <x:v>2022-10-07</x:v>
      </x:c>
      <x:c r="G1104" s="2" t="str">
        <x:v>2022</x:v>
      </x:c>
      <x:c r="H1104" s="2" t="str">
        <x:v>10</x:v>
      </x:c>
      <x:c r="I1104" s="2" t="str">
        <x:v>검토필요</x:v>
      </x:c>
      <x:c r="J1104" s="2" t="str">
        <x:v>보류</x:v>
      </x:c>
      <x:c r="K1104" s="2" t="str">
        <x:f>IF(OR(J1104="심의승인",J1104="반려",J1104="반려완료",J1104="심의완료"),"종결 표시",IF(OR(J1104="기후부협의",J1104="문서재제출요청",J1104="보류",J1104="보완요청",J1104="보완완료",J1104="평가중",J1104="반려요청",J1104="평가필요",LEFT(J1104,5)="보완요청("),"미종결 표시","상태 확인 필요"))</x:f>
        <x:v>미종결 표시</x:v>
      </x:c>
      <x:c r="L1104" s="2"/>
      <x:c r="M1104" s="2"/>
      <x:c r="N1104" s="8" t="n">
        <x:f>DATE(2026,10,15)-DATE(2022,10,7)</x:f>
        <x:v>1469</x:v>
      </x:c>
      <x:c r="O1104" s="2" t="str">
        <x:v>보류</x:v>
      </x:c>
      <x:c r="P1104" s="2" t="str">
        <x:v>프로그램 사업 승인 후 검토, 최초 승인 후 추가되는 단위사업 인증위 상정 없이 협의만으로 승인 가능(제16조제2항)</x:v>
      </x:c>
      <x:c r="Q1104" s="2" t="str">
        <x:v>산업전환_외부사업관리Tool_260707_이너젠 수정_LJY_261013.xlsx</x:v>
      </x:c>
      <x:c r="R1104" s="2" t="str">
        <x:v>국내평가</x:v>
      </x:c>
      <x:c r="S1104" s="8" t="n">
        <x:v>1007</x:v>
      </x:c>
      <x:c r="T1104" s="2" t="str">
        <x:v>2023년 처리</x:v>
      </x:c>
      <x:c r="U1104" s="2" t="str">
        <x:v>2023 배정: 2023년 처리</x:v>
      </x:c>
      <x:c r="V1104" s="2" t="str">
        <x:v>2023-05-03</x:v>
      </x:c>
      <x:c r="W1104" s="2" t="str">
        <x:v>담당기관 확인</x:v>
      </x:c>
      <x:c r="X1104" s="2" t="str">
        <x:v>원본·배정 기록 확인</x:v>
      </x:c>
      <x:c r="Y1104" s="2" t="str">
        <x:v>ad210cd9ec132cfd447541c8984dc53d30aff0f4fb2dc92d254d49275cc55976</x:v>
      </x:c>
      <x:c r="Z1104" s="2" t="n">
        <x:f>SUBTOTAL(103,A1104)</x:f>
        <x:v>1</x:v>
      </x:c>
      <x:c r="AA1104" s="2" t="str">
        <x:f>IF(K1104&lt;&gt;"미종결 표시","대상 아님",IF(N1104="","신청일 확인",IF(NOT(ISNUMBER('종합 현황'!$H$5)),"관찰기준 확인",IF('종합 현황'!$H$5&lt;1,"관찰기준 확인",IF(N1104&gt;'종합 현황'!$H$5,"내부 관찰 대상","내부 관찰일 이하")))))</x:f>
        <x:v>내부 관찰 대상</x:v>
      </x:c>
      <x:c r="AB1104" s="2"/>
    </x:row>
    <x:row r="1105" ht="42" customHeight="1">
      <x:c r="A1105" s="2" t="str">
        <x:v>0f6f8876a435cb3ce75bfa1a</x:v>
      </x:c>
      <x:c r="B1105" s="2" t="str">
        <x:v>사업 평가</x:v>
      </x:c>
      <x:c r="C1105" s="2" t="str">
        <x:v>국내</x:v>
      </x:c>
      <x:c r="D1105" s="7" t="str">
        <x:v>한국동서발전(주) 태양광발전 설치 및 자가 사용 프로그램 감축사업</x:v>
      </x:c>
      <x:c r="E1105" s="2" t="str">
        <x:v>966</x:v>
      </x:c>
      <x:c r="F1105" s="2" t="str">
        <x:v>2022-10-07</x:v>
      </x:c>
      <x:c r="G1105" s="2" t="str">
        <x:v>2022</x:v>
      </x:c>
      <x:c r="H1105" s="2" t="str">
        <x:v>10</x:v>
      </x:c>
      <x:c r="I1105" s="2" t="str">
        <x:v>검토필요</x:v>
      </x:c>
      <x:c r="J1105" s="2" t="str">
        <x:v>보류</x:v>
      </x:c>
      <x:c r="K1105" s="2" t="str">
        <x:f>IF(OR(J1105="심의승인",J1105="반려",J1105="반려완료",J1105="심의완료"),"종결 표시",IF(OR(J1105="기후부협의",J1105="문서재제출요청",J1105="보류",J1105="보완요청",J1105="보완완료",J1105="평가중",J1105="반려요청",J1105="평가필요",LEFT(J1105,5)="보완요청("),"미종결 표시","상태 확인 필요"))</x:f>
        <x:v>미종결 표시</x:v>
      </x:c>
      <x:c r="L1105" s="2"/>
      <x:c r="M1105" s="2"/>
      <x:c r="N1105" s="8" t="n">
        <x:f>DATE(2026,10,15)-DATE(2022,10,7)</x:f>
        <x:v>1469</x:v>
      </x:c>
      <x:c r="O1105" s="2" t="str">
        <x:v>보류</x:v>
      </x:c>
      <x:c r="P1105" s="2" t="str">
        <x:v>프로그램 사업 승인 후 검토, 최초 승인 후 추가되는 단위사업 인증위 상정 없이 협의만으로 승인 가능(제16조제2항)</x:v>
      </x:c>
      <x:c r="Q1105" s="2" t="str">
        <x:v>산업전환_외부사업관리Tool_260707_이너젠 수정_LJY_261013.xlsx</x:v>
      </x:c>
      <x:c r="R1105" s="2" t="str">
        <x:v>국내평가</x:v>
      </x:c>
      <x:c r="S1105" s="8" t="n">
        <x:v>1008</x:v>
      </x:c>
      <x:c r="T1105" s="2" t="str">
        <x:v>2023년 처리</x:v>
      </x:c>
      <x:c r="U1105" s="2" t="str">
        <x:v>2023 배정: 2023년 처리</x:v>
      </x:c>
      <x:c r="V1105" s="2" t="str">
        <x:v>2023-05-03</x:v>
      </x:c>
      <x:c r="W1105" s="2" t="str">
        <x:v>담당기관 확인</x:v>
      </x:c>
      <x:c r="X1105" s="2" t="str">
        <x:v>원본·배정 기록 확인</x:v>
      </x:c>
      <x:c r="Y1105" s="2" t="str">
        <x:v>ad210cd9ec132cfd447541c8984dc53d30aff0f4fb2dc92d254d49275cc55976</x:v>
      </x:c>
      <x:c r="Z1105" s="2" t="n">
        <x:f>SUBTOTAL(103,A1105)</x:f>
        <x:v>1</x:v>
      </x:c>
      <x:c r="AA1105" s="2" t="str">
        <x:f>IF(K1105&lt;&gt;"미종결 표시","대상 아님",IF(N1105="","신청일 확인",IF(NOT(ISNUMBER('종합 현황'!$H$5)),"관찰기준 확인",IF('종합 현황'!$H$5&lt;1,"관찰기준 확인",IF(N1105&gt;'종합 현황'!$H$5,"내부 관찰 대상","내부 관찰일 이하")))))</x:f>
        <x:v>내부 관찰 대상</x:v>
      </x:c>
      <x:c r="AB1105" s="2"/>
    </x:row>
    <x:row r="1106" ht="42" customHeight="1">
      <x:c r="A1106" s="2" t="str">
        <x:v>e06a363691b16a5604683608</x:v>
      </x:c>
      <x:c r="B1106" s="2" t="str">
        <x:v>사업 평가</x:v>
      </x:c>
      <x:c r="C1106" s="2" t="str">
        <x:v>국내</x:v>
      </x:c>
      <x:c r="D1106" s="7" t="str">
        <x:v>한국동서발전(주) 태양광발전 설치 및 자가 사용 프로그램 감축사업</x:v>
      </x:c>
      <x:c r="E1106" s="2" t="str">
        <x:v>967</x:v>
      </x:c>
      <x:c r="F1106" s="2" t="str">
        <x:v>2022-10-07</x:v>
      </x:c>
      <x:c r="G1106" s="2" t="str">
        <x:v>2022</x:v>
      </x:c>
      <x:c r="H1106" s="2" t="str">
        <x:v>10</x:v>
      </x:c>
      <x:c r="I1106" s="2" t="str">
        <x:v>검토필요</x:v>
      </x:c>
      <x:c r="J1106" s="2" t="str">
        <x:v>보류</x:v>
      </x:c>
      <x:c r="K1106" s="2" t="str">
        <x:f>IF(OR(J1106="심의승인",J1106="반려",J1106="반려완료",J1106="심의완료"),"종결 표시",IF(OR(J1106="기후부협의",J1106="문서재제출요청",J1106="보류",J1106="보완요청",J1106="보완완료",J1106="평가중",J1106="반려요청",J1106="평가필요",LEFT(J1106,5)="보완요청("),"미종결 표시","상태 확인 필요"))</x:f>
        <x:v>미종결 표시</x:v>
      </x:c>
      <x:c r="L1106" s="2"/>
      <x:c r="M1106" s="2"/>
      <x:c r="N1106" s="8" t="n">
        <x:f>DATE(2026,10,15)-DATE(2022,10,7)</x:f>
        <x:v>1469</x:v>
      </x:c>
      <x:c r="O1106" s="2" t="str">
        <x:v>보류</x:v>
      </x:c>
      <x:c r="P1106" s="2" t="str">
        <x:v>프로그램 사업 승인 후 검토, 최초 승인 후 추가되는 단위사업 인증위 상정 없이 협의만으로 승인 가능(제16조제2항)</x:v>
      </x:c>
      <x:c r="Q1106" s="2" t="str">
        <x:v>산업전환_외부사업관리Tool_260707_이너젠 수정_LJY_261013.xlsx</x:v>
      </x:c>
      <x:c r="R1106" s="2" t="str">
        <x:v>국내평가</x:v>
      </x:c>
      <x:c r="S1106" s="8" t="n">
        <x:v>1009</x:v>
      </x:c>
      <x:c r="T1106" s="2" t="str">
        <x:v>2023년 처리</x:v>
      </x:c>
      <x:c r="U1106" s="2" t="str">
        <x:v>2023 배정: 2023년 처리</x:v>
      </x:c>
      <x:c r="V1106" s="2" t="str">
        <x:v>2023-05-03</x:v>
      </x:c>
      <x:c r="W1106" s="2" t="str">
        <x:v>담당기관 확인</x:v>
      </x:c>
      <x:c r="X1106" s="2" t="str">
        <x:v>원본·배정 기록 확인</x:v>
      </x:c>
      <x:c r="Y1106" s="2" t="str">
        <x:v>ad210cd9ec132cfd447541c8984dc53d30aff0f4fb2dc92d254d49275cc55976</x:v>
      </x:c>
      <x:c r="Z1106" s="2" t="n">
        <x:f>SUBTOTAL(103,A1106)</x:f>
        <x:v>1</x:v>
      </x:c>
      <x:c r="AA1106" s="2" t="str">
        <x:f>IF(K1106&lt;&gt;"미종결 표시","대상 아님",IF(N1106="","신청일 확인",IF(NOT(ISNUMBER('종합 현황'!$H$5)),"관찰기준 확인",IF('종합 현황'!$H$5&lt;1,"관찰기준 확인",IF(N1106&gt;'종합 현황'!$H$5,"내부 관찰 대상","내부 관찰일 이하")))))</x:f>
        <x:v>내부 관찰 대상</x:v>
      </x:c>
      <x:c r="AB1106" s="2"/>
    </x:row>
    <x:row r="1107" ht="42" customHeight="1">
      <x:c r="A1107" s="2" t="str">
        <x:v>595cb68533e1d81475aefece</x:v>
      </x:c>
      <x:c r="B1107" s="2" t="str">
        <x:v>사업 평가</x:v>
      </x:c>
      <x:c r="C1107" s="2" t="str">
        <x:v>국내</x:v>
      </x:c>
      <x:c r="D1107" s="7" t="str">
        <x:v>한국동서발전(주) 태양광발전 설치 및 자가 사용 프로그램 감축사업</x:v>
      </x:c>
      <x:c r="E1107" s="2" t="str">
        <x:v>968</x:v>
      </x:c>
      <x:c r="F1107" s="2" t="str">
        <x:v>2022-10-07</x:v>
      </x:c>
      <x:c r="G1107" s="2" t="str">
        <x:v>2022</x:v>
      </x:c>
      <x:c r="H1107" s="2" t="str">
        <x:v>10</x:v>
      </x:c>
      <x:c r="I1107" s="2" t="str">
        <x:v>검토필요</x:v>
      </x:c>
      <x:c r="J1107" s="2" t="str">
        <x:v>보류</x:v>
      </x:c>
      <x:c r="K1107" s="2" t="str">
        <x:f>IF(OR(J1107="심의승인",J1107="반려",J1107="반려완료",J1107="심의완료"),"종결 표시",IF(OR(J1107="기후부협의",J1107="문서재제출요청",J1107="보류",J1107="보완요청",J1107="보완완료",J1107="평가중",J1107="반려요청",J1107="평가필요",LEFT(J1107,5)="보완요청("),"미종결 표시","상태 확인 필요"))</x:f>
        <x:v>미종결 표시</x:v>
      </x:c>
      <x:c r="L1107" s="2"/>
      <x:c r="M1107" s="2"/>
      <x:c r="N1107" s="8" t="n">
        <x:f>DATE(2026,10,15)-DATE(2022,10,7)</x:f>
        <x:v>1469</x:v>
      </x:c>
      <x:c r="O1107" s="2" t="str">
        <x:v>보류</x:v>
      </x:c>
      <x:c r="P1107" s="2" t="str">
        <x:v>프로그램 사업 승인 후 검토, 최초 승인 후 추가되는 단위사업 인증위 상정 없이 협의만으로 승인 가능(제16조제2항)</x:v>
      </x:c>
      <x:c r="Q1107" s="2" t="str">
        <x:v>산업전환_외부사업관리Tool_260707_이너젠 수정_LJY_261013.xlsx</x:v>
      </x:c>
      <x:c r="R1107" s="2" t="str">
        <x:v>국내평가</x:v>
      </x:c>
      <x:c r="S1107" s="8" t="n">
        <x:v>1010</x:v>
      </x:c>
      <x:c r="T1107" s="2" t="str">
        <x:v>2023년 처리</x:v>
      </x:c>
      <x:c r="U1107" s="2" t="str">
        <x:v>2023 배정: 2023년 처리</x:v>
      </x:c>
      <x:c r="V1107" s="2" t="str">
        <x:v>2023-05-03</x:v>
      </x:c>
      <x:c r="W1107" s="2" t="str">
        <x:v>담당기관 확인</x:v>
      </x:c>
      <x:c r="X1107" s="2" t="str">
        <x:v>원본·배정 기록 확인</x:v>
      </x:c>
      <x:c r="Y1107" s="2" t="str">
        <x:v>ad210cd9ec132cfd447541c8984dc53d30aff0f4fb2dc92d254d49275cc55976</x:v>
      </x:c>
      <x:c r="Z1107" s="2" t="n">
        <x:f>SUBTOTAL(103,A1107)</x:f>
        <x:v>1</x:v>
      </x:c>
      <x:c r="AA1107" s="2" t="str">
        <x:f>IF(K1107&lt;&gt;"미종결 표시","대상 아님",IF(N1107="","신청일 확인",IF(NOT(ISNUMBER('종합 현황'!$H$5)),"관찰기준 확인",IF('종합 현황'!$H$5&lt;1,"관찰기준 확인",IF(N1107&gt;'종합 현황'!$H$5,"내부 관찰 대상","내부 관찰일 이하")))))</x:f>
        <x:v>내부 관찰 대상</x:v>
      </x:c>
      <x:c r="AB1107" s="2"/>
    </x:row>
    <x:row r="1108" ht="42" customHeight="1">
      <x:c r="A1108" s="2" t="str">
        <x:v>44acc89e7f7158b517918075</x:v>
      </x:c>
      <x:c r="B1108" s="2" t="str">
        <x:v>사업 평가</x:v>
      </x:c>
      <x:c r="C1108" s="2" t="str">
        <x:v>국내</x:v>
      </x:c>
      <x:c r="D1108" s="7" t="str">
        <x:v>한국동서발전(주) 태양광발전 설치 및 자가 사용 프로그램 감축사업</x:v>
      </x:c>
      <x:c r="E1108" s="2" t="str">
        <x:v>969</x:v>
      </x:c>
      <x:c r="F1108" s="2" t="str">
        <x:v>2022-10-07</x:v>
      </x:c>
      <x:c r="G1108" s="2" t="str">
        <x:v>2022</x:v>
      </x:c>
      <x:c r="H1108" s="2" t="str">
        <x:v>10</x:v>
      </x:c>
      <x:c r="I1108" s="2" t="str">
        <x:v>검토필요</x:v>
      </x:c>
      <x:c r="J1108" s="2" t="str">
        <x:v>보류</x:v>
      </x:c>
      <x:c r="K1108" s="2" t="str">
        <x:f>IF(OR(J1108="심의승인",J1108="반려",J1108="반려완료",J1108="심의완료"),"종결 표시",IF(OR(J1108="기후부협의",J1108="문서재제출요청",J1108="보류",J1108="보완요청",J1108="보완완료",J1108="평가중",J1108="반려요청",J1108="평가필요",LEFT(J1108,5)="보완요청("),"미종결 표시","상태 확인 필요"))</x:f>
        <x:v>미종결 표시</x:v>
      </x:c>
      <x:c r="L1108" s="2"/>
      <x:c r="M1108" s="2"/>
      <x:c r="N1108" s="8" t="n">
        <x:f>DATE(2026,10,15)-DATE(2022,10,7)</x:f>
        <x:v>1469</x:v>
      </x:c>
      <x:c r="O1108" s="2" t="str">
        <x:v>보류</x:v>
      </x:c>
      <x:c r="P1108" s="2" t="str">
        <x:v>프로그램 사업 승인 후 검토, 최초 승인 후 추가되는 단위사업 인증위 상정 없이 협의만으로 승인 가능(제16조제2항)</x:v>
      </x:c>
      <x:c r="Q1108" s="2" t="str">
        <x:v>산업전환_외부사업관리Tool_260707_이너젠 수정_LJY_261013.xlsx</x:v>
      </x:c>
      <x:c r="R1108" s="2" t="str">
        <x:v>국내평가</x:v>
      </x:c>
      <x:c r="S1108" s="8" t="n">
        <x:v>1011</x:v>
      </x:c>
      <x:c r="T1108" s="2" t="str">
        <x:v>2023년 처리</x:v>
      </x:c>
      <x:c r="U1108" s="2" t="str">
        <x:v>2023 배정: 2023년 처리</x:v>
      </x:c>
      <x:c r="V1108" s="2" t="str">
        <x:v>2023-05-03</x:v>
      </x:c>
      <x:c r="W1108" s="2" t="str">
        <x:v>담당기관 확인</x:v>
      </x:c>
      <x:c r="X1108" s="2" t="str">
        <x:v>원본·배정 기록 확인</x:v>
      </x:c>
      <x:c r="Y1108" s="2" t="str">
        <x:v>ad210cd9ec132cfd447541c8984dc53d30aff0f4fb2dc92d254d49275cc55976</x:v>
      </x:c>
      <x:c r="Z1108" s="2" t="n">
        <x:f>SUBTOTAL(103,A1108)</x:f>
        <x:v>1</x:v>
      </x:c>
      <x:c r="AA1108" s="2" t="str">
        <x:f>IF(K1108&lt;&gt;"미종결 표시","대상 아님",IF(N1108="","신청일 확인",IF(NOT(ISNUMBER('종합 현황'!$H$5)),"관찰기준 확인",IF('종합 현황'!$H$5&lt;1,"관찰기준 확인",IF(N1108&gt;'종합 현황'!$H$5,"내부 관찰 대상","내부 관찰일 이하")))))</x:f>
        <x:v>내부 관찰 대상</x:v>
      </x:c>
      <x:c r="AB1108" s="2"/>
    </x:row>
    <x:row r="1109" ht="42" customHeight="1">
      <x:c r="A1109" s="2" t="str">
        <x:v>e8a584510b8314e8c19af72a</x:v>
      </x:c>
      <x:c r="B1109" s="2" t="str">
        <x:v>사업 평가</x:v>
      </x:c>
      <x:c r="C1109" s="2" t="str">
        <x:v>국내</x:v>
      </x:c>
      <x:c r="D1109" s="7" t="str">
        <x:v>한국동서발전(주) 태양광발전 설치 및 자가 사용 프로그램 감축사업</x:v>
      </x:c>
      <x:c r="E1109" s="2" t="str">
        <x:v>970</x:v>
      </x:c>
      <x:c r="F1109" s="2" t="str">
        <x:v>2022-10-07</x:v>
      </x:c>
      <x:c r="G1109" s="2" t="str">
        <x:v>2022</x:v>
      </x:c>
      <x:c r="H1109" s="2" t="str">
        <x:v>10</x:v>
      </x:c>
      <x:c r="I1109" s="2" t="str">
        <x:v>검토필요</x:v>
      </x:c>
      <x:c r="J1109" s="2" t="str">
        <x:v>보류</x:v>
      </x:c>
      <x:c r="K1109" s="2" t="str">
        <x:f>IF(OR(J1109="심의승인",J1109="반려",J1109="반려완료",J1109="심의완료"),"종결 표시",IF(OR(J1109="기후부협의",J1109="문서재제출요청",J1109="보류",J1109="보완요청",J1109="보완완료",J1109="평가중",J1109="반려요청",J1109="평가필요",LEFT(J1109,5)="보완요청("),"미종결 표시","상태 확인 필요"))</x:f>
        <x:v>미종결 표시</x:v>
      </x:c>
      <x:c r="L1109" s="2"/>
      <x:c r="M1109" s="2"/>
      <x:c r="N1109" s="8" t="n">
        <x:f>DATE(2026,10,15)-DATE(2022,10,7)</x:f>
        <x:v>1469</x:v>
      </x:c>
      <x:c r="O1109" s="2" t="str">
        <x:v>보류</x:v>
      </x:c>
      <x:c r="P1109" s="2" t="str">
        <x:v>프로그램 사업 승인 후 검토, 최초 승인 후 추가되는 단위사업 인증위 상정 없이 협의만으로 승인 가능(제16조제2항)</x:v>
      </x:c>
      <x:c r="Q1109" s="2" t="str">
        <x:v>산업전환_외부사업관리Tool_260707_이너젠 수정_LJY_261013.xlsx</x:v>
      </x:c>
      <x:c r="R1109" s="2" t="str">
        <x:v>국내평가</x:v>
      </x:c>
      <x:c r="S1109" s="8" t="n">
        <x:v>1012</x:v>
      </x:c>
      <x:c r="T1109" s="2" t="str">
        <x:v>2023년 처리</x:v>
      </x:c>
      <x:c r="U1109" s="2" t="str">
        <x:v>2023 배정: 2023년 처리</x:v>
      </x:c>
      <x:c r="V1109" s="2" t="str">
        <x:v>2023-05-03</x:v>
      </x:c>
      <x:c r="W1109" s="2" t="str">
        <x:v>담당기관 확인</x:v>
      </x:c>
      <x:c r="X1109" s="2" t="str">
        <x:v>원본·배정 기록 확인</x:v>
      </x:c>
      <x:c r="Y1109" s="2" t="str">
        <x:v>ad210cd9ec132cfd447541c8984dc53d30aff0f4fb2dc92d254d49275cc55976</x:v>
      </x:c>
      <x:c r="Z1109" s="2" t="n">
        <x:f>SUBTOTAL(103,A1109)</x:f>
        <x:v>1</x:v>
      </x:c>
      <x:c r="AA1109" s="2" t="str">
        <x:f>IF(K1109&lt;&gt;"미종결 표시","대상 아님",IF(N1109="","신청일 확인",IF(NOT(ISNUMBER('종합 현황'!$H$5)),"관찰기준 확인",IF('종합 현황'!$H$5&lt;1,"관찰기준 확인",IF(N1109&gt;'종합 현황'!$H$5,"내부 관찰 대상","내부 관찰일 이하")))))</x:f>
        <x:v>내부 관찰 대상</x:v>
      </x:c>
      <x:c r="AB1109" s="2"/>
    </x:row>
    <x:row r="1110" ht="42" customHeight="1">
      <x:c r="A1110" s="2" t="str">
        <x:v>79f727d9c049f6f5f0bda1b5</x:v>
      </x:c>
      <x:c r="B1110" s="2" t="str">
        <x:v>사업 평가</x:v>
      </x:c>
      <x:c r="C1110" s="2" t="str">
        <x:v>국내</x:v>
      </x:c>
      <x:c r="D1110" s="7" t="str">
        <x:v>한국동서발전(주) 태양광발전 설치 및 자가 사용 프로그램 감축사업</x:v>
      </x:c>
      <x:c r="E1110" s="2" t="str">
        <x:v>971</x:v>
      </x:c>
      <x:c r="F1110" s="2" t="str">
        <x:v>2022-10-07</x:v>
      </x:c>
      <x:c r="G1110" s="2" t="str">
        <x:v>2022</x:v>
      </x:c>
      <x:c r="H1110" s="2" t="str">
        <x:v>10</x:v>
      </x:c>
      <x:c r="I1110" s="2" t="str">
        <x:v>검토필요</x:v>
      </x:c>
      <x:c r="J1110" s="2" t="str">
        <x:v>보류</x:v>
      </x:c>
      <x:c r="K1110" s="2" t="str">
        <x:f>IF(OR(J1110="심의승인",J1110="반려",J1110="반려완료",J1110="심의완료"),"종결 표시",IF(OR(J1110="기후부협의",J1110="문서재제출요청",J1110="보류",J1110="보완요청",J1110="보완완료",J1110="평가중",J1110="반려요청",J1110="평가필요",LEFT(J1110,5)="보완요청("),"미종결 표시","상태 확인 필요"))</x:f>
        <x:v>미종결 표시</x:v>
      </x:c>
      <x:c r="L1110" s="2"/>
      <x:c r="M1110" s="2"/>
      <x:c r="N1110" s="8" t="n">
        <x:f>DATE(2026,10,15)-DATE(2022,10,7)</x:f>
        <x:v>1469</x:v>
      </x:c>
      <x:c r="O1110" s="2" t="str">
        <x:v>보류</x:v>
      </x:c>
      <x:c r="P1110" s="2" t="str">
        <x:v>프로그램 사업 승인 후 검토, 최초 승인 후 추가되는 단위사업 인증위 상정 없이 협의만으로 승인 가능(제16조제2항)</x:v>
      </x:c>
      <x:c r="Q1110" s="2" t="str">
        <x:v>산업전환_외부사업관리Tool_260707_이너젠 수정_LJY_261013.xlsx</x:v>
      </x:c>
      <x:c r="R1110" s="2" t="str">
        <x:v>국내평가</x:v>
      </x:c>
      <x:c r="S1110" s="8" t="n">
        <x:v>1013</x:v>
      </x:c>
      <x:c r="T1110" s="2" t="str">
        <x:v>2023년 처리</x:v>
      </x:c>
      <x:c r="U1110" s="2" t="str">
        <x:v>2023 배정: 2023년 처리</x:v>
      </x:c>
      <x:c r="V1110" s="2" t="str">
        <x:v>2023-05-03</x:v>
      </x:c>
      <x:c r="W1110" s="2" t="str">
        <x:v>담당기관 확인</x:v>
      </x:c>
      <x:c r="X1110" s="2" t="str">
        <x:v>원본·배정 기록 확인</x:v>
      </x:c>
      <x:c r="Y1110" s="2" t="str">
        <x:v>ad210cd9ec132cfd447541c8984dc53d30aff0f4fb2dc92d254d49275cc55976</x:v>
      </x:c>
      <x:c r="Z1110" s="2" t="n">
        <x:f>SUBTOTAL(103,A1110)</x:f>
        <x:v>1</x:v>
      </x:c>
      <x:c r="AA1110" s="2" t="str">
        <x:f>IF(K1110&lt;&gt;"미종결 표시","대상 아님",IF(N1110="","신청일 확인",IF(NOT(ISNUMBER('종합 현황'!$H$5)),"관찰기준 확인",IF('종합 현황'!$H$5&lt;1,"관찰기준 확인",IF(N1110&gt;'종합 현황'!$H$5,"내부 관찰 대상","내부 관찰일 이하")))))</x:f>
        <x:v>내부 관찰 대상</x:v>
      </x:c>
      <x:c r="AB1110" s="2"/>
    </x:row>
    <x:row r="1111" ht="42" customHeight="1">
      <x:c r="A1111" s="2" t="str">
        <x:v>9c425b5c5b0c96ed5513ac29</x:v>
      </x:c>
      <x:c r="B1111" s="2" t="str">
        <x:v>사업 평가</x:v>
      </x:c>
      <x:c r="C1111" s="2" t="str">
        <x:v>국내</x:v>
      </x:c>
      <x:c r="D1111" s="7" t="str">
        <x:v>한국동서발전(주) 태양광발전 설치 및 자가 사용 프로그램 감축사업</x:v>
      </x:c>
      <x:c r="E1111" s="2" t="str">
        <x:v>972</x:v>
      </x:c>
      <x:c r="F1111" s="2" t="str">
        <x:v>2022-10-07</x:v>
      </x:c>
      <x:c r="G1111" s="2" t="str">
        <x:v>2022</x:v>
      </x:c>
      <x:c r="H1111" s="2" t="str">
        <x:v>10</x:v>
      </x:c>
      <x:c r="I1111" s="2" t="str">
        <x:v>검토필요</x:v>
      </x:c>
      <x:c r="J1111" s="2" t="str">
        <x:v>보류</x:v>
      </x:c>
      <x:c r="K1111" s="2" t="str">
        <x:f>IF(OR(J1111="심의승인",J1111="반려",J1111="반려완료",J1111="심의완료"),"종결 표시",IF(OR(J1111="기후부협의",J1111="문서재제출요청",J1111="보류",J1111="보완요청",J1111="보완완료",J1111="평가중",J1111="반려요청",J1111="평가필요",LEFT(J1111,5)="보완요청("),"미종결 표시","상태 확인 필요"))</x:f>
        <x:v>미종결 표시</x:v>
      </x:c>
      <x:c r="L1111" s="2"/>
      <x:c r="M1111" s="2"/>
      <x:c r="N1111" s="8" t="n">
        <x:f>DATE(2026,10,15)-DATE(2022,10,7)</x:f>
        <x:v>1469</x:v>
      </x:c>
      <x:c r="O1111" s="2" t="str">
        <x:v>보류</x:v>
      </x:c>
      <x:c r="P1111" s="2" t="str">
        <x:v>프로그램 사업 승인 후 검토, 최초 승인 후 추가되는 단위사업 인증위 상정 없이 협의만으로 승인 가능(제16조제2항)</x:v>
      </x:c>
      <x:c r="Q1111" s="2" t="str">
        <x:v>산업전환_외부사업관리Tool_260707_이너젠 수정_LJY_261013.xlsx</x:v>
      </x:c>
      <x:c r="R1111" s="2" t="str">
        <x:v>국내평가</x:v>
      </x:c>
      <x:c r="S1111" s="8" t="n">
        <x:v>1014</x:v>
      </x:c>
      <x:c r="T1111" s="2" t="str">
        <x:v>2023년 처리</x:v>
      </x:c>
      <x:c r="U1111" s="2" t="str">
        <x:v>2023 배정: 2023년 처리</x:v>
      </x:c>
      <x:c r="V1111" s="2" t="str">
        <x:v>2023-05-03</x:v>
      </x:c>
      <x:c r="W1111" s="2" t="str">
        <x:v>담당기관 확인</x:v>
      </x:c>
      <x:c r="X1111" s="2" t="str">
        <x:v>원본·배정 기록 확인</x:v>
      </x:c>
      <x:c r="Y1111" s="2" t="str">
        <x:v>ad210cd9ec132cfd447541c8984dc53d30aff0f4fb2dc92d254d49275cc55976</x:v>
      </x:c>
      <x:c r="Z1111" s="2" t="n">
        <x:f>SUBTOTAL(103,A1111)</x:f>
        <x:v>1</x:v>
      </x:c>
      <x:c r="AA1111" s="2" t="str">
        <x:f>IF(K1111&lt;&gt;"미종결 표시","대상 아님",IF(N1111="","신청일 확인",IF(NOT(ISNUMBER('종합 현황'!$H$5)),"관찰기준 확인",IF('종합 현황'!$H$5&lt;1,"관찰기준 확인",IF(N1111&gt;'종합 현황'!$H$5,"내부 관찰 대상","내부 관찰일 이하")))))</x:f>
        <x:v>내부 관찰 대상</x:v>
      </x:c>
      <x:c r="AB1111" s="2"/>
    </x:row>
    <x:row r="1112" ht="42" customHeight="1">
      <x:c r="A1112" s="2" t="str">
        <x:v>7efe1fc5ea317b098603fb10</x:v>
      </x:c>
      <x:c r="B1112" s="2" t="str">
        <x:v>사업 평가</x:v>
      </x:c>
      <x:c r="C1112" s="2" t="str">
        <x:v>국내</x:v>
      </x:c>
      <x:c r="D1112" s="7" t="str">
        <x:v>에이치케이이노엔(주) 522.90kWP 태양광 발전설비 설치 및 자가 사용 사업</x:v>
      </x:c>
      <x:c r="E1112" s="2" t="str">
        <x:v>973</x:v>
      </x:c>
      <x:c r="F1112" s="2" t="str">
        <x:v>2022-10-14</x:v>
      </x:c>
      <x:c r="G1112" s="2" t="str">
        <x:v>2022</x:v>
      </x:c>
      <x:c r="H1112" s="2" t="str">
        <x:v>10</x:v>
      </x:c>
      <x:c r="I1112" s="2" t="str">
        <x:v>보완1차_보완중</x:v>
      </x:c>
      <x:c r="J1112" s="2" t="str">
        <x:v>보완요청</x:v>
      </x:c>
      <x:c r="K1112" s="2" t="str">
        <x:f>IF(OR(J1112="심의승인",J1112="반려",J1112="반려완료",J1112="심의완료"),"종결 표시",IF(OR(J1112="기후부협의",J1112="문서재제출요청",J1112="보류",J1112="보완요청",J1112="보완완료",J1112="평가중",J1112="반려요청",J1112="평가필요",LEFT(J1112,5)="보완요청("),"미종결 표시","상태 확인 필요"))</x:f>
        <x:v>미종결 표시</x:v>
      </x:c>
      <x:c r="L1112" s="2" t="str">
        <x:v>에코시안_정다윤</x:v>
      </x:c>
      <x:c r="M1112" s="2" t="n">
        <x:v>1</x:v>
      </x:c>
      <x:c r="N1112" s="8" t="n">
        <x:f>DATE(2026,10,15)-DATE(2022,10,14)</x:f>
        <x:v>1462</x:v>
      </x:c>
      <x:c r="O1112" s="2" t="str">
        <x:v>생략</x:v>
      </x:c>
      <x:c r="P1112" s="2"/>
      <x:c r="Q1112" s="2" t="str">
        <x:v>산업전환_외부사업관리Tool_260707_이너젠 수정_LJY_261013.xlsx</x:v>
      </x:c>
      <x:c r="R1112" s="2" t="str">
        <x:v>국내평가</x:v>
      </x:c>
      <x:c r="S1112" s="8" t="n">
        <x:v>1015</x:v>
      </x:c>
      <x:c r="T1112" s="2" t="str">
        <x:v>(10/19)</x:v>
      </x:c>
      <x:c r="U1112" s="2" t="str">
        <x:v>2022 배정(신규): (10/19)</x:v>
      </x:c>
      <x:c r="V1112" s="2" t="str">
        <x:v>2022-11-25</x:v>
      </x:c>
      <x:c r="W1112" s="2" t="str"/>
      <x:c r="X1112" s="2" t="str">
        <x:v>보완 회신 일정 확인</x:v>
      </x:c>
      <x:c r="Y1112" s="2" t="str">
        <x:v>ad210cd9ec132cfd447541c8984dc53d30aff0f4fb2dc92d254d49275cc55976</x:v>
      </x:c>
      <x:c r="Z1112" s="2" t="n">
        <x:f>SUBTOTAL(103,A1112)</x:f>
        <x:v>1</x:v>
      </x:c>
      <x:c r="AA1112" s="2" t="str">
        <x:f>IF(K1112&lt;&gt;"미종결 표시","대상 아님",IF(N1112="","신청일 확인",IF(NOT(ISNUMBER('종합 현황'!$H$5)),"관찰기준 확인",IF('종합 현황'!$H$5&lt;1,"관찰기준 확인",IF(N1112&gt;'종합 현황'!$H$5,"내부 관찰 대상","내부 관찰일 이하")))))</x:f>
        <x:v>내부 관찰 대상</x:v>
      </x:c>
      <x:c r="AB1112" s="2"/>
    </x:row>
    <x:row r="1113" ht="42" customHeight="1">
      <x:c r="A1113" s="2" t="str">
        <x:v>926528994a24526836088782</x:v>
      </x:c>
      <x:c r="B1113" s="2" t="str">
        <x:v>사업 평가</x:v>
      </x:c>
      <x:c r="C1113" s="2" t="str">
        <x:v>국내</x:v>
      </x:c>
      <x:c r="D1113" s="7" t="str">
        <x:v>(주)동화정밀공업 미음지점 외 1개사의 고효율 공기압축기 교체를 통한 온실가스 감축사업</x:v>
      </x:c>
      <x:c r="E1113" s="2" t="str">
        <x:v>974</x:v>
      </x:c>
      <x:c r="F1113" s="2" t="str">
        <x:v>2022-10-22</x:v>
      </x:c>
      <x:c r="G1113" s="2" t="str">
        <x:v>2022</x:v>
      </x:c>
      <x:c r="H1113" s="2" t="str">
        <x:v>10</x:v>
      </x:c>
      <x:c r="I1113" s="2" t="str">
        <x:v>승인</x:v>
      </x:c>
      <x:c r="J1113" s="2" t="str">
        <x:v>심의승인</x:v>
      </x:c>
      <x:c r="K1113" s="2" t="str">
        <x:f>IF(OR(J1113="심의승인",J1113="반려",J1113="반려완료",J1113="심의완료"),"종결 표시",IF(OR(J1113="기후부협의",J1113="문서재제출요청",J1113="보류",J1113="보완요청",J1113="보완완료",J1113="평가중",J1113="반려요청",J1113="평가필요",LEFT(J1113,5)="보완요청("),"미종결 표시","상태 확인 필요"))</x:f>
        <x:v>종결 표시</x:v>
      </x:c>
      <x:c r="L1113" s="2" t="str">
        <x:v>KECM_이태준</x:v>
      </x:c>
      <x:c r="M1113" s="2"/>
      <x:c r="N1113" s="8" t="n">
        <x:f>DATE(2026,10,15)-DATE(2022,10,22)</x:f>
        <x:v>1454</x:v>
      </x:c>
      <x:c r="O1113" s="2" t="str">
        <x:v>생략</x:v>
      </x:c>
      <x:c r="P1113" s="2" t="str">
        <x:v>24년 11월 협의</x:v>
      </x:c>
      <x:c r="Q1113" s="2" t="str">
        <x:v>산업전환_외부사업관리Tool_260707_이너젠 수정_LJY_261013.xlsx</x:v>
      </x:c>
      <x:c r="R1113" s="2" t="str">
        <x:v>국내평가</x:v>
      </x:c>
      <x:c r="S1113" s="8" t="n">
        <x:v>1016</x:v>
      </x:c>
      <x:c r="T1113" s="2" t="str">
        <x:v>(11/18)</x:v>
      </x:c>
      <x:c r="U1113" s="2" t="str">
        <x:v>2022 배정(신규): (11/18) / 2023 배정: (10/27) / 2024 배정: (8/12),(10/17)</x:v>
      </x:c>
      <x:c r="V1113" s="2" t="str">
        <x:v>2025-03-12</x:v>
      </x:c>
      <x:c r="W1113" s="2" t="str"/>
      <x:c r="X1113" s="2" t="str">
        <x:v>종결 근거 보관</x:v>
      </x:c>
      <x:c r="Y1113" s="2" t="str">
        <x:v>ad210cd9ec132cfd447541c8984dc53d30aff0f4fb2dc92d254d49275cc55976</x:v>
      </x:c>
      <x:c r="Z1113" s="2" t="n">
        <x:f>SUBTOTAL(103,A1113)</x:f>
        <x:v>1</x:v>
      </x:c>
      <x:c r="AA1113" s="2" t="str">
        <x:f>IF(K1113&lt;&gt;"미종결 표시","대상 아님",IF(N1113="","신청일 확인",IF(NOT(ISNUMBER('종합 현황'!$H$5)),"관찰기준 확인",IF('종합 현황'!$H$5&lt;1,"관찰기준 확인",IF(N1113&gt;'종합 현황'!$H$5,"내부 관찰 대상","내부 관찰일 이하")))))</x:f>
        <x:v>대상 아님</x:v>
      </x:c>
      <x:c r="AB1113" s="2"/>
    </x:row>
    <x:row r="1114" ht="42" customHeight="1">
      <x:c r="A1114" s="2" t="str">
        <x:v>77895e5e0b5a629916527790</x:v>
      </x:c>
      <x:c r="B1114" s="2" t="str">
        <x:v>사업 평가</x:v>
      </x:c>
      <x:c r="C1114" s="2" t="str">
        <x:v>국내</x:v>
      </x:c>
      <x:c r="D1114" s="7" t="str">
        <x:v>㈜규원이엔지 바이오매스 연료기반 열에너지 공급으로 수용가 화석연료 사용량 절감 사업</x:v>
      </x:c>
      <x:c r="E1114" s="2" t="str">
        <x:v>975</x:v>
      </x:c>
      <x:c r="F1114" s="2" t="str">
        <x:v>2022-11-04</x:v>
      </x:c>
      <x:c r="G1114" s="2" t="str">
        <x:v>2022</x:v>
      </x:c>
      <x:c r="H1114" s="2" t="str">
        <x:v>11</x:v>
      </x:c>
      <x:c r="I1114" s="2" t="str">
        <x:v>사업변경 신청</x:v>
      </x:c>
      <x:c r="J1114" s="2" t="str">
        <x:v>심의승인</x:v>
      </x:c>
      <x:c r="K1114" s="2" t="str">
        <x:f>IF(OR(J1114="심의승인",J1114="반려",J1114="반려완료",J1114="심의완료"),"종결 표시",IF(OR(J1114="기후부협의",J1114="문서재제출요청",J1114="보류",J1114="보완요청",J1114="보완완료",J1114="평가중",J1114="반려요청",J1114="평가필요",LEFT(J1114,5)="보완요청("),"미종결 표시","상태 확인 필요"))</x:f>
        <x:v>종결 표시</x:v>
      </x:c>
      <x:c r="L1114" s="2" t="str">
        <x:v>에코시안_기샛별,조영우</x:v>
      </x:c>
      <x:c r="M1114" s="2"/>
      <x:c r="N1114" s="8" t="n">
        <x:f>DATE(2026,10,15)-DATE(2022,11,4)</x:f>
        <x:v>1441</x:v>
      </x:c>
      <x:c r="O1114" s="2" t="str">
        <x:v>O(23.04)</x:v>
      </x:c>
      <x:c r="P1114" s="2"/>
      <x:c r="Q1114" s="2" t="str">
        <x:v>산업전환_외부사업관리Tool_260707_이너젠 수정_LJY_261013.xlsx</x:v>
      </x:c>
      <x:c r="R1114" s="2" t="str">
        <x:v>국내평가</x:v>
      </x:c>
      <x:c r="S1114" s="8" t="n">
        <x:v>1017</x:v>
      </x:c>
      <x:c r="T1114" s="2" t="str">
        <x:v>(11/18)</x:v>
      </x:c>
      <x:c r="U1114" s="2" t="str">
        <x:v>2022 배정(신규): (11/18) / 2023 배정: (1/30),(4/21),(5/16) / 2025 배정: (6/26),(9/1),(12/1)</x:v>
      </x:c>
      <x:c r="V1114" s="2" t="str">
        <x:v>2026-06-05</x:v>
      </x:c>
      <x:c r="W1114" s="2" t="str"/>
      <x:c r="X1114" s="2" t="str">
        <x:v>종결 근거 보관</x:v>
      </x:c>
      <x:c r="Y1114" s="2" t="str">
        <x:v>ad210cd9ec132cfd447541c8984dc53d30aff0f4fb2dc92d254d49275cc55976</x:v>
      </x:c>
      <x:c r="Z1114" s="2" t="n">
        <x:f>SUBTOTAL(103,A1114)</x:f>
        <x:v>1</x:v>
      </x:c>
      <x:c r="AA1114" s="2" t="str">
        <x:f>IF(K1114&lt;&gt;"미종결 표시","대상 아님",IF(N1114="","신청일 확인",IF(NOT(ISNUMBER('종합 현황'!$H$5)),"관찰기준 확인",IF('종합 현황'!$H$5&lt;1,"관찰기준 확인",IF(N1114&gt;'종합 현황'!$H$5,"내부 관찰 대상","내부 관찰일 이하")))))</x:f>
        <x:v>대상 아님</x:v>
      </x:c>
      <x:c r="AB1114" s="2"/>
    </x:row>
    <x:row r="1115" ht="42" customHeight="1">
      <x:c r="A1115" s="2" t="str">
        <x:v>06c7511a814b56981b0d0628</x:v>
      </x:c>
      <x:c r="B1115" s="2" t="str">
        <x:v>사업 평가</x:v>
      </x:c>
      <x:c r="C1115" s="2" t="str">
        <x:v>국내</x:v>
      </x:c>
      <x:c r="D1115" s="7" t="str">
        <x:v>(주)영엽 외 2개사의 고효율 공기압축기 교체를 통한 온실가스 감축사업</x:v>
      </x:c>
      <x:c r="E1115" s="2" t="str">
        <x:v>976</x:v>
      </x:c>
      <x:c r="F1115" s="2" t="str">
        <x:v>2022-11-04</x:v>
      </x:c>
      <x:c r="G1115" s="2" t="str">
        <x:v>2022</x:v>
      </x:c>
      <x:c r="H1115" s="2" t="str">
        <x:v>11</x:v>
      </x:c>
      <x:c r="I1115" s="2" t="str">
        <x:v>승인</x:v>
      </x:c>
      <x:c r="J1115" s="2" t="str">
        <x:v>심의승인</x:v>
      </x:c>
      <x:c r="K1115" s="2" t="str">
        <x:f>IF(OR(J1115="심의승인",J1115="반려",J1115="반려완료",J1115="심의완료"),"종결 표시",IF(OR(J1115="기후부협의",J1115="문서재제출요청",J1115="보류",J1115="보완요청",J1115="보완완료",J1115="평가중",J1115="반려요청",J1115="평가필요",LEFT(J1115,5)="보완요청("),"미종결 표시","상태 확인 필요"))</x:f>
        <x:v>종결 표시</x:v>
      </x:c>
      <x:c r="L1115" s="2" t="str">
        <x:v>KECM_이태준</x:v>
      </x:c>
      <x:c r="M1115" s="2"/>
      <x:c r="N1115" s="8" t="n">
        <x:f>DATE(2026,10,15)-DATE(2022,11,4)</x:f>
        <x:v>1441</x:v>
      </x:c>
      <x:c r="O1115" s="2" t="str">
        <x:v>생략</x:v>
      </x:c>
      <x:c r="P1115" s="2" t="str">
        <x:v>25년 2분기 인증위</x:v>
      </x:c>
      <x:c r="Q1115" s="2" t="str">
        <x:v>산업전환_외부사업관리Tool_260707_이너젠 수정_LJY_261013.xlsx</x:v>
      </x:c>
      <x:c r="R1115" s="2" t="str">
        <x:v>국내평가</x:v>
      </x:c>
      <x:c r="S1115" s="8" t="n">
        <x:v>1018</x:v>
      </x:c>
      <x:c r="T1115" s="2" t="str">
        <x:v>(11/18)</x:v>
      </x:c>
      <x:c r="U1115" s="2" t="str">
        <x:v>2022 배정(신규): (11/18) / 2023 배정: (10/27) / 2024 배정: (7/23),(10/17),(11/29) / 2025 배정: (3/5)</x:v>
      </x:c>
      <x:c r="V1115" s="2" t="str">
        <x:v>2025-08-28</x:v>
      </x:c>
      <x:c r="W1115" s="2" t="str"/>
      <x:c r="X1115" s="2" t="str">
        <x:v>종결 근거 보관</x:v>
      </x:c>
      <x:c r="Y1115" s="2" t="str">
        <x:v>ad210cd9ec132cfd447541c8984dc53d30aff0f4fb2dc92d254d49275cc55976</x:v>
      </x:c>
      <x:c r="Z1115" s="2" t="n">
        <x:f>SUBTOTAL(103,A1115)</x:f>
        <x:v>1</x:v>
      </x:c>
      <x:c r="AA1115" s="2" t="str">
        <x:f>IF(K1115&lt;&gt;"미종결 표시","대상 아님",IF(N1115="","신청일 확인",IF(NOT(ISNUMBER('종합 현황'!$H$5)),"관찰기준 확인",IF('종합 현황'!$H$5&lt;1,"관찰기준 확인",IF(N1115&gt;'종합 현황'!$H$5,"내부 관찰 대상","내부 관찰일 이하")))))</x:f>
        <x:v>대상 아님</x:v>
      </x:c>
      <x:c r="AB1115" s="2"/>
    </x:row>
    <x:row r="1116" ht="42" customHeight="1">
      <x:c r="A1116" s="2" t="str">
        <x:v>5022db0d9be35d263f3d6b07</x:v>
      </x:c>
      <x:c r="B1116" s="2" t="str">
        <x:v>사업 평가</x:v>
      </x:c>
      <x:c r="C1116" s="2" t="str">
        <x:v>국내</x:v>
      </x:c>
      <x:c r="D1116" s="7" t="str">
        <x:v>(유)로드아스텍의 연료전환(B-C유 → LPG)을 통한 온실가스 배출 감축사업</x:v>
      </x:c>
      <x:c r="E1116" s="2" t="str">
        <x:v>977</x:v>
      </x:c>
      <x:c r="F1116" s="2" t="str">
        <x:v>2022-11-30</x:v>
      </x:c>
      <x:c r="G1116" s="2" t="str">
        <x:v>2022</x:v>
      </x:c>
      <x:c r="H1116" s="2" t="str">
        <x:v>11</x:v>
      </x:c>
      <x:c r="I1116" s="2" t="str">
        <x:v>승인</x:v>
      </x:c>
      <x:c r="J1116" s="2" t="str">
        <x:v>심의승인</x:v>
      </x:c>
      <x:c r="K1116" s="2" t="str">
        <x:f>IF(OR(J1116="심의승인",J1116="반려",J1116="반려완료",J1116="심의완료"),"종결 표시",IF(OR(J1116="기후부협의",J1116="문서재제출요청",J1116="보류",J1116="보완요청",J1116="보완완료",J1116="평가중",J1116="반려요청",J1116="평가필요",LEFT(J1116,5)="보완요청("),"미종결 표시","상태 확인 필요"))</x:f>
        <x:v>종결 표시</x:v>
      </x:c>
      <x:c r="L1116" s="2" t="str">
        <x:v>KECM_이태준</x:v>
      </x:c>
      <x:c r="M1116" s="2"/>
      <x:c r="N1116" s="8" t="n">
        <x:f>DATE(2026,10,15)-DATE(2022,11,30)</x:f>
        <x:v>1415</x:v>
      </x:c>
      <x:c r="O1116" s="2" t="str">
        <x:v>생략</x:v>
      </x:c>
      <x:c r="P1116" s="2" t="str">
        <x:v>57차 인증위 승인</x:v>
      </x:c>
      <x:c r="Q1116" s="2" t="str">
        <x:v>산업전환_외부사업관리Tool_260707_이너젠 수정_LJY_261013.xlsx</x:v>
      </x:c>
      <x:c r="R1116" s="2" t="str">
        <x:v>국내평가</x:v>
      </x:c>
      <x:c r="S1116" s="8" t="n">
        <x:v>1019</x:v>
      </x:c>
      <x:c r="T1116" s="2" t="str">
        <x:v>(12/8)</x:v>
      </x:c>
      <x:c r="U1116" s="2" t="str">
        <x:v>2022 배정(신규): (12/8) / 2023 배정: (3/13),(4/3),(8/7) / 2024 배정: (1/12)</x:v>
      </x:c>
      <x:c r="V1116" s="2" t="str">
        <x:v>2024-06-10</x:v>
      </x:c>
      <x:c r="W1116" s="2" t="str"/>
      <x:c r="X1116" s="2" t="str">
        <x:v>종결 근거 보관</x:v>
      </x:c>
      <x:c r="Y1116" s="2" t="str">
        <x:v>ad210cd9ec132cfd447541c8984dc53d30aff0f4fb2dc92d254d49275cc55976</x:v>
      </x:c>
      <x:c r="Z1116" s="2" t="n">
        <x:f>SUBTOTAL(103,A1116)</x:f>
        <x:v>1</x:v>
      </x:c>
      <x:c r="AA1116" s="2" t="str">
        <x:f>IF(K1116&lt;&gt;"미종결 표시","대상 아님",IF(N1116="","신청일 확인",IF(NOT(ISNUMBER('종합 현황'!$H$5)),"관찰기준 확인",IF('종합 현황'!$H$5&lt;1,"관찰기준 확인",IF(N1116&gt;'종합 현황'!$H$5,"내부 관찰 대상","내부 관찰일 이하")))))</x:f>
        <x:v>대상 아님</x:v>
      </x:c>
      <x:c r="AB1116" s="2"/>
    </x:row>
    <x:row r="1117" ht="42" customHeight="1">
      <x:c r="A1117" s="2" t="str">
        <x:v>6cd9187e7c02621025eb71e6</x:v>
      </x:c>
      <x:c r="B1117" s="2" t="str">
        <x:v>사업 평가</x:v>
      </x:c>
      <x:c r="C1117" s="2" t="str">
        <x:v>국내</x:v>
      </x:c>
      <x:c r="D1117" s="7" t="str">
        <x:v>인천도시공사(연수, 선학) 태양광발전 설비 설치를 통한 공용전기 사용사업</x:v>
      </x:c>
      <x:c r="E1117" s="2" t="str">
        <x:v>978</x:v>
      </x:c>
      <x:c r="F1117" s="2" t="str">
        <x:v>2022-12-02</x:v>
      </x:c>
      <x:c r="G1117" s="2" t="str">
        <x:v>2022</x:v>
      </x:c>
      <x:c r="H1117" s="2" t="str">
        <x:v>12</x:v>
      </x:c>
      <x:c r="I1117" s="2" t="str">
        <x:v>반려</x:v>
      </x:c>
      <x:c r="J1117" s="2" t="str">
        <x:v>반려</x:v>
      </x:c>
      <x:c r="K1117" s="2" t="str">
        <x:f>IF(OR(J1117="심의승인",J1117="반려",J1117="반려완료",J1117="심의완료"),"종결 표시",IF(OR(J1117="기후부협의",J1117="문서재제출요청",J1117="보류",J1117="보완요청",J1117="보완완료",J1117="평가중",J1117="반려요청",J1117="평가필요",LEFT(J1117,5)="보완요청("),"미종결 표시","상태 확인 필요"))</x:f>
        <x:v>종결 표시</x:v>
      </x:c>
      <x:c r="L1117" s="2" t="str">
        <x:v>에코시안_조영우</x:v>
      </x:c>
      <x:c r="M1117" s="2"/>
      <x:c r="N1117" s="8" t="n">
        <x:f>DATE(2026,10,15)-DATE(2022,12,2)</x:f>
        <x:v>1413</x:v>
      </x:c>
      <x:c r="O1117" s="2"/>
      <x:c r="P1117" s="2" t="str">
        <x:v>공공부문 비규제 사업으로 확인되어 사업 철회 예정</x:v>
      </x:c>
      <x:c r="Q1117" s="2" t="str">
        <x:v>산업전환_외부사업관리Tool_260707_이너젠 수정_LJY_261013.xlsx</x:v>
      </x:c>
      <x:c r="R1117" s="2" t="str">
        <x:v>국내평가</x:v>
      </x:c>
      <x:c r="S1117" s="8" t="n">
        <x:v>1020</x:v>
      </x:c>
      <x:c r="T1117" s="2" t="str">
        <x:v>(12/8)</x:v>
      </x:c>
      <x:c r="U1117" s="2" t="str">
        <x:v>2022 배정(신규): (12/8) / 2023 배정: (2/17),(4/3),(4/21),(8/30) / 2025 배정: 2025년 처리</x:v>
      </x:c>
      <x:c r="V1117" s="2" t="str">
        <x:v>2025-06-20</x:v>
      </x:c>
      <x:c r="W1117" s="2" t="str"/>
      <x:c r="X1117" s="2" t="str">
        <x:v>종결 근거 보관</x:v>
      </x:c>
      <x:c r="Y1117" s="2" t="str">
        <x:v>ad210cd9ec132cfd447541c8984dc53d30aff0f4fb2dc92d254d49275cc55976</x:v>
      </x:c>
      <x:c r="Z1117" s="2" t="n">
        <x:f>SUBTOTAL(103,A1117)</x:f>
        <x:v>1</x:v>
      </x:c>
      <x:c r="AA1117" s="2" t="str">
        <x:f>IF(K1117&lt;&gt;"미종결 표시","대상 아님",IF(N1117="","신청일 확인",IF(NOT(ISNUMBER('종합 현황'!$H$5)),"관찰기준 확인",IF('종합 현황'!$H$5&lt;1,"관찰기준 확인",IF(N1117&gt;'종합 현황'!$H$5,"내부 관찰 대상","내부 관찰일 이하")))))</x:f>
        <x:v>대상 아님</x:v>
      </x:c>
      <x:c r="AB1117" s="2"/>
    </x:row>
    <x:row r="1118" ht="42" customHeight="1">
      <x:c r="A1118" s="2" t="str">
        <x:v>633925be884605c986837aa0</x:v>
      </x:c>
      <x:c r="B1118" s="2" t="str">
        <x:v>사업 평가</x:v>
      </x:c>
      <x:c r="C1118" s="2" t="str">
        <x:v>국내</x:v>
      </x:c>
      <x:c r="D1118" s="7" t="str">
        <x:v>인천도시공사(청학) 태양광발전 설비 설치를 통한 공용전기 사용사업</x:v>
      </x:c>
      <x:c r="E1118" s="2" t="str">
        <x:v>979</x:v>
      </x:c>
      <x:c r="F1118" s="2" t="str">
        <x:v>2022-12-05</x:v>
      </x:c>
      <x:c r="G1118" s="2" t="str">
        <x:v>2022</x:v>
      </x:c>
      <x:c r="H1118" s="2" t="str">
        <x:v>12</x:v>
      </x:c>
      <x:c r="I1118" s="2" t="str">
        <x:v>승인</x:v>
      </x:c>
      <x:c r="J1118" s="2" t="str">
        <x:v>심의승인</x:v>
      </x:c>
      <x:c r="K1118" s="2" t="str">
        <x:f>IF(OR(J1118="심의승인",J1118="반려",J1118="반려완료",J1118="심의완료"),"종결 표시",IF(OR(J1118="기후부협의",J1118="문서재제출요청",J1118="보류",J1118="보완요청",J1118="보완완료",J1118="평가중",J1118="반려요청",J1118="평가필요",LEFT(J1118,5)="보완요청("),"미종결 표시","상태 확인 필요"))</x:f>
        <x:v>종결 표시</x:v>
      </x:c>
      <x:c r="L1118" s="2" t="str">
        <x:v>에코시안_기샛별&gt;전윤호</x:v>
      </x:c>
      <x:c r="M1118" s="2"/>
      <x:c r="N1118" s="8" t="n">
        <x:f>DATE(2026,10,15)-DATE(2022,12,5)</x:f>
        <x:v>1410</x:v>
      </x:c>
      <x:c r="O1118" s="2" t="str">
        <x:v>O(23.04)</x:v>
      </x:c>
      <x:c r="P1118" s="2"/>
      <x:c r="Q1118" s="2" t="str">
        <x:v>산업전환_외부사업관리Tool_260707_이너젠 수정_LJY_261013.xlsx</x:v>
      </x:c>
      <x:c r="R1118" s="2" t="str">
        <x:v>국내평가</x:v>
      </x:c>
      <x:c r="S1118" s="8" t="n">
        <x:v>1021</x:v>
      </x:c>
      <x:c r="T1118" s="2" t="str">
        <x:v>(12/27)</x:v>
      </x:c>
      <x:c r="U1118" s="2" t="str">
        <x:v>2022 배정(신규): (12/27) / 2023 배정: (1/30),(4/3),5/16)</x:v>
      </x:c>
      <x:c r="V1118" s="2" t="str">
        <x:v>2023-12-15</x:v>
      </x:c>
      <x:c r="W1118" s="2" t="str"/>
      <x:c r="X1118" s="2" t="str">
        <x:v>종결 근거 보관</x:v>
      </x:c>
      <x:c r="Y1118" s="2" t="str">
        <x:v>ad210cd9ec132cfd447541c8984dc53d30aff0f4fb2dc92d254d49275cc55976</x:v>
      </x:c>
      <x:c r="Z1118" s="2" t="n">
        <x:f>SUBTOTAL(103,A1118)</x:f>
        <x:v>1</x:v>
      </x:c>
      <x:c r="AA1118" s="2" t="str">
        <x:f>IF(K1118&lt;&gt;"미종결 표시","대상 아님",IF(N1118="","신청일 확인",IF(NOT(ISNUMBER('종합 현황'!$H$5)),"관찰기준 확인",IF('종합 현황'!$H$5&lt;1,"관찰기준 확인",IF(N1118&gt;'종합 현황'!$H$5,"내부 관찰 대상","내부 관찰일 이하")))))</x:f>
        <x:v>대상 아님</x:v>
      </x:c>
      <x:c r="AB1118" s="2"/>
    </x:row>
    <x:row r="1119" ht="42" customHeight="1">
      <x:c r="A1119" s="2" t="str">
        <x:v>0296c9214e59c0b2977669ed</x:v>
      </x:c>
      <x:c r="B1119" s="2" t="str">
        <x:v>사업 평가</x:v>
      </x:c>
      <x:c r="C1119" s="2" t="str">
        <x:v>국내</x:v>
      </x:c>
      <x:c r="D1119" s="7" t="str">
        <x:v>(주)동희정공 외 4개사의 고효율 공기압축기 교체를 통한 온실가스 감축사업</x:v>
      </x:c>
      <x:c r="E1119" s="2" t="str">
        <x:v>980</x:v>
      </x:c>
      <x:c r="F1119" s="2" t="str">
        <x:v>2024-08-13</x:v>
      </x:c>
      <x:c r="G1119" s="2" t="str">
        <x:v>2024</x:v>
      </x:c>
      <x:c r="H1119" s="2" t="str">
        <x:v>08</x:v>
      </x:c>
      <x:c r="I1119" s="2" t="str">
        <x:v>보완1차_보완중</x:v>
      </x:c>
      <x:c r="J1119" s="2" t="str">
        <x:v>보완요청</x:v>
      </x:c>
      <x:c r="K1119" s="2" t="str">
        <x:f>IF(OR(J1119="심의승인",J1119="반려",J1119="반려완료",J1119="심의완료"),"종결 표시",IF(OR(J1119="기후부협의",J1119="문서재제출요청",J1119="보류",J1119="보완요청",J1119="보완완료",J1119="평가중",J1119="반려요청",J1119="평가필요",LEFT(J1119,5)="보완요청("),"미종결 표시","상태 확인 필요"))</x:f>
        <x:v>미종결 표시</x:v>
      </x:c>
      <x:c r="L1119" s="2" t="str">
        <x:v>KECM_김민정&gt;이태준</x:v>
      </x:c>
      <x:c r="M1119" s="2" t="n">
        <x:v>1</x:v>
      </x:c>
      <x:c r="N1119" s="8" t="n">
        <x:f>DATE(2026,10,15)-DATE(2024,8,13)</x:f>
        <x:v>793</x:v>
      </x:c>
      <x:c r="O1119" s="2" t="str">
        <x:v>생략</x:v>
      </x:c>
      <x:c r="P1119" s="2" t="str">
        <x:v>사업자 요청에 따라 문서재제출 통보(단위사업자 중복)</x:v>
      </x:c>
      <x:c r="Q1119" s="2" t="str">
        <x:v>산업전환_외부사업관리Tool_260707_이너젠 수정_LJY_261013.xlsx</x:v>
      </x:c>
      <x:c r="R1119" s="2" t="str">
        <x:v>국내평가</x:v>
      </x:c>
      <x:c r="S1119" s="8" t="n">
        <x:v>1022</x:v>
      </x:c>
      <x:c r="T1119" s="2" t="str">
        <x:v>(1/30),(10/27)</x:v>
      </x:c>
      <x:c r="U1119" s="2" t="str">
        <x:v>2023 배정: (1/30),(10/27) / 2024 배정: (9/2)</x:v>
      </x:c>
      <x:c r="V1119" s="2" t="str">
        <x:v>2024-09-27</x:v>
      </x:c>
      <x:c r="W1119" s="2" t="str"/>
      <x:c r="X1119" s="2" t="str">
        <x:v>보완 회신 일정 확인</x:v>
      </x:c>
      <x:c r="Y1119" s="2" t="str">
        <x:v>ad210cd9ec132cfd447541c8984dc53d30aff0f4fb2dc92d254d49275cc55976</x:v>
      </x:c>
      <x:c r="Z1119" s="2" t="n">
        <x:f>SUBTOTAL(103,A1119)</x:f>
        <x:v>1</x:v>
      </x:c>
      <x:c r="AA1119" s="2" t="str">
        <x:f>IF(K1119&lt;&gt;"미종결 표시","대상 아님",IF(N1119="","신청일 확인",IF(NOT(ISNUMBER('종합 현황'!$H$5)),"관찰기준 확인",IF('종합 현황'!$H$5&lt;1,"관찰기준 확인",IF(N1119&gt;'종합 현황'!$H$5,"내부 관찰 대상","내부 관찰일 이하")))))</x:f>
        <x:v>내부 관찰 대상</x:v>
      </x:c>
      <x:c r="AB1119" s="2"/>
    </x:row>
    <x:row r="1120" ht="42" customHeight="1">
      <x:c r="A1120" s="2" t="str">
        <x:v>25d550aefc78307151b8e193</x:v>
      </x:c>
      <x:c r="B1120" s="2" t="str">
        <x:v>사업 평가</x:v>
      </x:c>
      <x:c r="C1120" s="2" t="str">
        <x:v>국내</x:v>
      </x:c>
      <x:c r="D1120" s="7" t="str">
        <x:v>반월표면처리사업협동조합 고효율 설비 교체를 통한 온실가스 감축사업</x:v>
      </x:c>
      <x:c r="E1120" s="2" t="str">
        <x:v>981</x:v>
      </x:c>
      <x:c r="F1120" s="2" t="str">
        <x:v>2022-12-30</x:v>
      </x:c>
      <x:c r="G1120" s="2" t="str">
        <x:v>2022</x:v>
      </x:c>
      <x:c r="H1120" s="2" t="str">
        <x:v>12</x:v>
      </x:c>
      <x:c r="I1120" s="2" t="str">
        <x:v>보완1차_문서보완중</x:v>
      </x:c>
      <x:c r="J1120" s="2" t="str">
        <x:v>보완요청</x:v>
      </x:c>
      <x:c r="K1120" s="2" t="str">
        <x:f>IF(OR(J1120="심의승인",J1120="반려",J1120="반려완료",J1120="심의완료"),"종결 표시",IF(OR(J1120="기후부협의",J1120="문서재제출요청",J1120="보류",J1120="보완요청",J1120="보완완료",J1120="평가중",J1120="반려요청",J1120="평가필요",LEFT(J1120,5)="보완요청("),"미종결 표시","상태 확인 필요"))</x:f>
        <x:v>미종결 표시</x:v>
      </x:c>
      <x:c r="L1120" s="2" t="str">
        <x:v>에코시안_조영우</x:v>
      </x:c>
      <x:c r="M1120" s="2" t="n">
        <x:v>1</x:v>
      </x:c>
      <x:c r="N1120" s="8" t="n">
        <x:f>DATE(2026,10,15)-DATE(2022,12,30)</x:f>
        <x:v>1385</x:v>
      </x:c>
      <x:c r="O1120" s="2" t="str">
        <x:v>보류(적용조건 확인 불가)</x:v>
      </x:c>
      <x:c r="P1120" s="2" t="str">
        <x:v>사업 전반적으로 오류가 많아 사업자 보완 후 재검토 필요</x:v>
      </x:c>
      <x:c r="Q1120" s="2" t="str">
        <x:v>산업전환_외부사업관리Tool_260707_이너젠 수정_LJY_261013.xlsx</x:v>
      </x:c>
      <x:c r="R1120" s="2" t="str">
        <x:v>국내평가</x:v>
      </x:c>
      <x:c r="S1120" s="8" t="n">
        <x:v>1023</x:v>
      </x:c>
      <x:c r="T1120" s="2" t="str">
        <x:v>(1/30),(5/16)</x:v>
      </x:c>
      <x:c r="U1120" s="2" t="str">
        <x:v>2023 배정: (1/30),(5/16)</x:v>
      </x:c>
      <x:c r="V1120" s="2" t="str">
        <x:v>2023-06-09</x:v>
      </x:c>
      <x:c r="W1120" s="2" t="str"/>
      <x:c r="X1120" s="2" t="str">
        <x:v>보완 회신 일정 확인</x:v>
      </x:c>
      <x:c r="Y1120" s="2" t="str">
        <x:v>ad210cd9ec132cfd447541c8984dc53d30aff0f4fb2dc92d254d49275cc55976</x:v>
      </x:c>
      <x:c r="Z1120" s="2" t="n">
        <x:f>SUBTOTAL(103,A1120)</x:f>
        <x:v>1</x:v>
      </x:c>
      <x:c r="AA1120" s="2" t="str">
        <x:f>IF(K1120&lt;&gt;"미종결 표시","대상 아님",IF(N1120="","신청일 확인",IF(NOT(ISNUMBER('종합 현황'!$H$5)),"관찰기준 확인",IF('종합 현황'!$H$5&lt;1,"관찰기준 확인",IF(N1120&gt;'종합 현황'!$H$5,"내부 관찰 대상","내부 관찰일 이하")))))</x:f>
        <x:v>내부 관찰 대상</x:v>
      </x:c>
      <x:c r="AB1120" s="2"/>
    </x:row>
    <x:row r="1121" ht="42" customHeight="1">
      <x:c r="A1121" s="2" t="str">
        <x:v>948dcb41495e597235dfabfd</x:v>
      </x:c>
      <x:c r="B1121" s="2" t="str">
        <x:v>사업 평가</x:v>
      </x:c>
      <x:c r="C1121" s="2" t="str">
        <x:v>국내</x:v>
      </x:c>
      <x:c r="D1121" s="7" t="str">
        <x:v>(주)동산테크 외 3개사의 고효율 공기압축기 교체를 통한 온실가스 감축사업</x:v>
      </x:c>
      <x:c r="E1121" s="2" t="str">
        <x:v>982</x:v>
      </x:c>
      <x:c r="F1121" s="2" t="str">
        <x:v>2022-12-30</x:v>
      </x:c>
      <x:c r="G1121" s="2" t="str">
        <x:v>2022</x:v>
      </x:c>
      <x:c r="H1121" s="2" t="str">
        <x:v>12</x:v>
      </x:c>
      <x:c r="I1121" s="2" t="str">
        <x:v>승인</x:v>
      </x:c>
      <x:c r="J1121" s="2" t="str">
        <x:v>심의승인</x:v>
      </x:c>
      <x:c r="K1121" s="2" t="str">
        <x:f>IF(OR(J1121="심의승인",J1121="반려",J1121="반려완료",J1121="심의완료"),"종결 표시",IF(OR(J1121="기후부협의",J1121="문서재제출요청",J1121="보류",J1121="보완요청",J1121="보완완료",J1121="평가중",J1121="반려요청",J1121="평가필요",LEFT(J1121,5)="보완요청("),"미종결 표시","상태 확인 필요"))</x:f>
        <x:v>종결 표시</x:v>
      </x:c>
      <x:c r="L1121" s="2" t="str">
        <x:v>KECM_김민정&gt;이태준</x:v>
      </x:c>
      <x:c r="M1121" s="2"/>
      <x:c r="N1121" s="8" t="n">
        <x:f>DATE(2026,10,15)-DATE(2022,12,30)</x:f>
        <x:v>1385</x:v>
      </x:c>
      <x:c r="O1121" s="2" t="str">
        <x:v>생략</x:v>
      </x:c>
      <x:c r="P1121" s="2" t="str">
        <x:v>25년 2분기 인증위</x:v>
      </x:c>
      <x:c r="Q1121" s="2" t="str">
        <x:v>산업전환_외부사업관리Tool_260707_이너젠 수정_LJY_261013.xlsx</x:v>
      </x:c>
      <x:c r="R1121" s="2" t="str">
        <x:v>국내평가</x:v>
      </x:c>
      <x:c r="S1121" s="8" t="n">
        <x:v>1024</x:v>
      </x:c>
      <x:c r="T1121" s="2" t="str">
        <x:v>(1/30),(10/27)</x:v>
      </x:c>
      <x:c r="U1121" s="2" t="str">
        <x:v>2023 배정: (1/30),(10/27) / 2024 배정: (7/23),(10/17),(11/29) / 2025 배정: 2025년 처리</x:v>
      </x:c>
      <x:c r="V1121" s="2" t="str">
        <x:v>2025-08-28</x:v>
      </x:c>
      <x:c r="W1121" s="2" t="str"/>
      <x:c r="X1121" s="2" t="str">
        <x:v>종결 근거 보관</x:v>
      </x:c>
      <x:c r="Y1121" s="2" t="str">
        <x:v>ad210cd9ec132cfd447541c8984dc53d30aff0f4fb2dc92d254d49275cc55976</x:v>
      </x:c>
      <x:c r="Z1121" s="2" t="n">
        <x:f>SUBTOTAL(103,A1121)</x:f>
        <x:v>1</x:v>
      </x:c>
      <x:c r="AA1121" s="2" t="str">
        <x:f>IF(K1121&lt;&gt;"미종결 표시","대상 아님",IF(N1121="","신청일 확인",IF(NOT(ISNUMBER('종합 현황'!$H$5)),"관찰기준 확인",IF('종합 현황'!$H$5&lt;1,"관찰기준 확인",IF(N1121&gt;'종합 현황'!$H$5,"내부 관찰 대상","내부 관찰일 이하")))))</x:f>
        <x:v>대상 아님</x:v>
      </x:c>
      <x:c r="AB1121" s="2"/>
    </x:row>
    <x:row r="1122" ht="42" customHeight="1">
      <x:c r="A1122" s="2" t="str">
        <x:v>dde0ba62c97dd3b5eeda44dc</x:v>
      </x:c>
      <x:c r="B1122" s="2" t="str">
        <x:v>사업 평가</x:v>
      </x:c>
      <x:c r="C1122" s="2" t="str">
        <x:v>국내</x:v>
      </x:c>
      <x:c r="D1122" s="7" t="str">
        <x:v>㈜에너지파크 소각폐열 회수 및 ㈜삼광 스팀 공급을 통한 화석연료 사용 절감 및 온실가스 감축사업</x:v>
      </x:c>
      <x:c r="E1122" s="2" t="str">
        <x:v>983</x:v>
      </x:c>
      <x:c r="F1122" s="2" t="str">
        <x:v>2022-12-31</x:v>
      </x:c>
      <x:c r="G1122" s="2" t="str">
        <x:v>2022</x:v>
      </x:c>
      <x:c r="H1122" s="2" t="str">
        <x:v>12</x:v>
      </x:c>
      <x:c r="I1122" s="2" t="str">
        <x:v>보완1차_보완중</x:v>
      </x:c>
      <x:c r="J1122" s="2" t="str">
        <x:v>보완요청</x:v>
      </x:c>
      <x:c r="K1122" s="2" t="str">
        <x:f>IF(OR(J1122="심의승인",J1122="반려",J1122="반려완료",J1122="심의완료"),"종결 표시",IF(OR(J1122="기후부협의",J1122="문서재제출요청",J1122="보류",J1122="보완요청",J1122="보완완료",J1122="평가중",J1122="반려요청",J1122="평가필요",LEFT(J1122,5)="보완요청("),"미종결 표시","상태 확인 필요"))</x:f>
        <x:v>미종결 표시</x:v>
      </x:c>
      <x:c r="L1122" s="2" t="str">
        <x:v>KECM_이태준</x:v>
      </x:c>
      <x:c r="M1122" s="2" t="n">
        <x:v>1</x:v>
      </x:c>
      <x:c r="N1122" s="8" t="n">
        <x:f>DATE(2026,10,15)-DATE(2022,12,31)</x:f>
        <x:v>1384</x:v>
      </x:c>
      <x:c r="O1122" s="2" t="str">
        <x:v>생략</x:v>
      </x:c>
      <x:c r="P1122" s="2"/>
      <x:c r="Q1122" s="2" t="str">
        <x:v>산업전환_외부사업관리Tool_260707_이너젠 수정_LJY_261013.xlsx</x:v>
      </x:c>
      <x:c r="R1122" s="2" t="str">
        <x:v>국내평가</x:v>
      </x:c>
      <x:c r="S1122" s="8" t="n">
        <x:v>1025</x:v>
      </x:c>
      <x:c r="T1122" s="2" t="str">
        <x:v>(1/30)</x:v>
      </x:c>
      <x:c r="U1122" s="2" t="str">
        <x:v>2023 배정: (1/30)</x:v>
      </x:c>
      <x:c r="V1122" s="2" t="str">
        <x:v>2023-02-14</x:v>
      </x:c>
      <x:c r="W1122" s="2" t="str"/>
      <x:c r="X1122" s="2" t="str">
        <x:v>보완 회신 일정 확인</x:v>
      </x:c>
      <x:c r="Y1122" s="2" t="str">
        <x:v>ad210cd9ec132cfd447541c8984dc53d30aff0f4fb2dc92d254d49275cc55976</x:v>
      </x:c>
      <x:c r="Z1122" s="2" t="n">
        <x:f>SUBTOTAL(103,A1122)</x:f>
        <x:v>1</x:v>
      </x:c>
      <x:c r="AA1122" s="2" t="str">
        <x:f>IF(K1122&lt;&gt;"미종결 표시","대상 아님",IF(N1122="","신청일 확인",IF(NOT(ISNUMBER('종합 현황'!$H$5)),"관찰기준 확인",IF('종합 현황'!$H$5&lt;1,"관찰기준 확인",IF(N1122&gt;'종합 현황'!$H$5,"내부 관찰 대상","내부 관찰일 이하")))))</x:f>
        <x:v>내부 관찰 대상</x:v>
      </x:c>
      <x:c r="AB1122" s="2"/>
    </x:row>
    <x:row r="1123" ht="42" customHeight="1">
      <x:c r="A1123" s="2" t="str">
        <x:v>efa281ca98edbed1d8e7c2e0</x:v>
      </x:c>
      <x:c r="B1123" s="2" t="str">
        <x:v>사업 평가</x:v>
      </x:c>
      <x:c r="C1123" s="2" t="str">
        <x:v>국내</x:v>
      </x:c>
      <x:c r="D1123" s="7" t="str">
        <x:v>(주)다스코 외 3개사의 고효율 공기압축기 교체를 통한 온실가스 감축사업</x:v>
      </x:c>
      <x:c r="E1123" s="2" t="str">
        <x:v>984</x:v>
      </x:c>
      <x:c r="F1123" s="2" t="str">
        <x:v>2022-12-31</x:v>
      </x:c>
      <x:c r="G1123" s="2" t="str">
        <x:v>2022</x:v>
      </x:c>
      <x:c r="H1123" s="2" t="str">
        <x:v>12</x:v>
      </x:c>
      <x:c r="I1123" s="2" t="str">
        <x:v>승인</x:v>
      </x:c>
      <x:c r="J1123" s="2" t="str">
        <x:v>심의승인</x:v>
      </x:c>
      <x:c r="K1123" s="2" t="str">
        <x:f>IF(OR(J1123="심의승인",J1123="반려",J1123="반려완료",J1123="심의완료"),"종결 표시",IF(OR(J1123="기후부협의",J1123="문서재제출요청",J1123="보류",J1123="보완요청",J1123="보완완료",J1123="평가중",J1123="반려요청",J1123="평가필요",LEFT(J1123,5)="보완요청("),"미종결 표시","상태 확인 필요"))</x:f>
        <x:v>종결 표시</x:v>
      </x:c>
      <x:c r="L1123" s="2" t="str">
        <x:v>에코시안_박세은</x:v>
      </x:c>
      <x:c r="M1123" s="2"/>
      <x:c r="N1123" s="8" t="n">
        <x:f>DATE(2026,10,15)-DATE(2022,12,31)</x:f>
        <x:v>1384</x:v>
      </x:c>
      <x:c r="O1123" s="2" t="str">
        <x:v>생략</x:v>
      </x:c>
      <x:c r="P1123" s="2"/>
      <x:c r="Q1123" s="2" t="str">
        <x:v>산업전환_외부사업관리Tool_260707_이너젠 수정_LJY_261013.xlsx</x:v>
      </x:c>
      <x:c r="R1123" s="2" t="str">
        <x:v>국내평가</x:v>
      </x:c>
      <x:c r="S1123" s="8" t="n">
        <x:v>1026</x:v>
      </x:c>
      <x:c r="T1123" s="2" t="str">
        <x:v>(1/30),(11/17)</x:v>
      </x:c>
      <x:c r="U1123" s="2" t="str">
        <x:v>2023 배정: (1/30),(11/17) / 2024 배정: (1/12),(9/2),(10/17) / 2025 배정: (1/8),(4/9),(5/30),(7/18),(9/16)</x:v>
      </x:c>
      <x:c r="V1123" s="2" t="str">
        <x:v>2026-09-09</x:v>
      </x:c>
      <x:c r="W1123" s="2" t="str"/>
      <x:c r="X1123" s="2" t="str">
        <x:v>종결 근거 보관</x:v>
      </x:c>
      <x:c r="Y1123" s="2" t="str">
        <x:v>ad210cd9ec132cfd447541c8984dc53d30aff0f4fb2dc92d254d49275cc55976</x:v>
      </x:c>
      <x:c r="Z1123" s="2" t="n">
        <x:f>SUBTOTAL(103,A1123)</x:f>
        <x:v>1</x:v>
      </x:c>
      <x:c r="AA1123" s="2" t="str">
        <x:f>IF(K1123&lt;&gt;"미종결 표시","대상 아님",IF(N1123="","신청일 확인",IF(NOT(ISNUMBER('종합 현황'!$H$5)),"관찰기준 확인",IF('종합 현황'!$H$5&lt;1,"관찰기준 확인",IF(N1123&gt;'종합 현황'!$H$5,"내부 관찰 대상","내부 관찰일 이하")))))</x:f>
        <x:v>대상 아님</x:v>
      </x:c>
      <x:c r="AB1123" s="2"/>
    </x:row>
    <x:row r="1124" ht="42" customHeight="1">
      <x:c r="A1124" s="2" t="str">
        <x:v>97f2223b651edfd18146c204</x:v>
      </x:c>
      <x:c r="B1124" s="2" t="str">
        <x:v>사업 평가</x:v>
      </x:c>
      <x:c r="C1124" s="2" t="str">
        <x:v>국내</x:v>
      </x:c>
      <x:c r="D1124" s="7" t="str">
        <x:v>하이즈항공주식회사 진주공장 외 2개사의 고효율 공기압축기 교체를 통한 온실가스 감축사업</x:v>
      </x:c>
      <x:c r="E1124" s="2" t="str">
        <x:v>985</x:v>
      </x:c>
      <x:c r="F1124" s="2" t="str">
        <x:v>2022-12-30</x:v>
      </x:c>
      <x:c r="G1124" s="2" t="str">
        <x:v>2022</x:v>
      </x:c>
      <x:c r="H1124" s="2" t="str">
        <x:v>12</x:v>
      </x:c>
      <x:c r="I1124" s="2" t="str">
        <x:v>승인</x:v>
      </x:c>
      <x:c r="J1124" s="2" t="str">
        <x:v>심의승인</x:v>
      </x:c>
      <x:c r="K1124" s="2" t="str">
        <x:f>IF(OR(J1124="심의승인",J1124="반려",J1124="반려완료",J1124="심의완료"),"종결 표시",IF(OR(J1124="기후부협의",J1124="문서재제출요청",J1124="보류",J1124="보완요청",J1124="보완완료",J1124="평가중",J1124="반려요청",J1124="평가필요",LEFT(J1124,5)="보완요청("),"미종결 표시","상태 확인 필요"))</x:f>
        <x:v>종결 표시</x:v>
      </x:c>
      <x:c r="L1124" s="2" t="str">
        <x:v>KECM_이태준</x:v>
      </x:c>
      <x:c r="M1124" s="2"/>
      <x:c r="N1124" s="8" t="n">
        <x:f>DATE(2026,10,15)-DATE(2022,12,30)</x:f>
        <x:v>1385</x:v>
      </x:c>
      <x:c r="O1124" s="2" t="str">
        <x:v>생략</x:v>
      </x:c>
      <x:c r="P1124" s="2"/>
      <x:c r="Q1124" s="2" t="str">
        <x:v>산업전환_외부사업관리Tool_260707_이너젠 수정_LJY_261013.xlsx</x:v>
      </x:c>
      <x:c r="R1124" s="2" t="str">
        <x:v>국내평가</x:v>
      </x:c>
      <x:c r="S1124" s="8" t="n">
        <x:v>1027</x:v>
      </x:c>
      <x:c r="T1124" s="2" t="str">
        <x:v>(1/30),(11/17)</x:v>
      </x:c>
      <x:c r="U1124" s="2" t="str">
        <x:v>2023 배정: (1/30),(11/17) / 2024 배정: (9/2),(10/17),(11/29) / 2025 배정: (4/17),(5/30),(8/8),(9/16)</x:v>
      </x:c>
      <x:c r="V1124" s="2" t="str">
        <x:v>2026-08-19</x:v>
      </x:c>
      <x:c r="W1124" s="2" t="str"/>
      <x:c r="X1124" s="2" t="str">
        <x:v>종결 근거 보관</x:v>
      </x:c>
      <x:c r="Y1124" s="2" t="str">
        <x:v>ad210cd9ec132cfd447541c8984dc53d30aff0f4fb2dc92d254d49275cc55976</x:v>
      </x:c>
      <x:c r="Z1124" s="2" t="n">
        <x:f>SUBTOTAL(103,A1124)</x:f>
        <x:v>1</x:v>
      </x:c>
      <x:c r="AA1124" s="2" t="str">
        <x:f>IF(K1124&lt;&gt;"미종결 표시","대상 아님",IF(N1124="","신청일 확인",IF(NOT(ISNUMBER('종합 현황'!$H$5)),"관찰기준 확인",IF('종합 현황'!$H$5&lt;1,"관찰기준 확인",IF(N1124&gt;'종합 현황'!$H$5,"내부 관찰 대상","내부 관찰일 이하")))))</x:f>
        <x:v>대상 아님</x:v>
      </x:c>
      <x:c r="AB1124" s="2"/>
    </x:row>
    <x:row r="1125" ht="42" customHeight="1">
      <x:c r="A1125" s="2" t="str">
        <x:v>767564a23843f8e327e8b72a</x:v>
      </x:c>
      <x:c r="B1125" s="2" t="str">
        <x:v>사업 평가</x:v>
      </x:c>
      <x:c r="C1125" s="2" t="str">
        <x:v>국내</x:v>
      </x:c>
      <x:c r="D1125" s="7" t="str">
        <x:v>주식회사 넥스턴바이오사이언스 외 3개사의 고효율 공기압축기 교체를 통한 온실가스 감축사업</x:v>
      </x:c>
      <x:c r="E1125" s="2" t="str">
        <x:v>986</x:v>
      </x:c>
      <x:c r="F1125" s="2" t="str">
        <x:v>2022-12-30</x:v>
      </x:c>
      <x:c r="G1125" s="2" t="str">
        <x:v>2022</x:v>
      </x:c>
      <x:c r="H1125" s="2" t="str">
        <x:v>12</x:v>
      </x:c>
      <x:c r="I1125" s="2" t="str">
        <x:v>승인</x:v>
      </x:c>
      <x:c r="J1125" s="2" t="str">
        <x:v>심의승인</x:v>
      </x:c>
      <x:c r="K1125" s="2" t="str">
        <x:f>IF(OR(J1125="심의승인",J1125="반려",J1125="반려완료",J1125="심의완료"),"종결 표시",IF(OR(J1125="기후부협의",J1125="문서재제출요청",J1125="보류",J1125="보완요청",J1125="보완완료",J1125="평가중",J1125="반려요청",J1125="평가필요",LEFT(J1125,5)="보완요청("),"미종결 표시","상태 확인 필요"))</x:f>
        <x:v>종결 표시</x:v>
      </x:c>
      <x:c r="L1125" s="2" t="str">
        <x:v>에코시안_정다윤</x:v>
      </x:c>
      <x:c r="M1125" s="2"/>
      <x:c r="N1125" s="8" t="n">
        <x:f>DATE(2026,10,15)-DATE(2022,12,30)</x:f>
        <x:v>1385</x:v>
      </x:c>
      <x:c r="O1125" s="2" t="str">
        <x:v>생략</x:v>
      </x:c>
      <x:c r="P1125" s="2" t="str">
        <x:v>25년 2분기 인증위</x:v>
      </x:c>
      <x:c r="Q1125" s="2" t="str">
        <x:v>산업전환_외부사업관리Tool_260707_이너젠 수정_LJY_261013.xlsx</x:v>
      </x:c>
      <x:c r="R1125" s="2" t="str">
        <x:v>국내평가</x:v>
      </x:c>
      <x:c r="S1125" s="8" t="n">
        <x:v>1028</x:v>
      </x:c>
      <x:c r="T1125" s="2" t="str">
        <x:v>(1/30),(10/27)</x:v>
      </x:c>
      <x:c r="U1125" s="2" t="str">
        <x:v>2023 배정: (1/30),(10/27) / 2024 배정: (9/2),(10/17) / 2025 배정: (1/8)</x:v>
      </x:c>
      <x:c r="V1125" s="2" t="str">
        <x:v>2026-09-09</x:v>
      </x:c>
      <x:c r="W1125" s="2" t="str"/>
      <x:c r="X1125" s="2" t="str">
        <x:v>종결 근거 보관</x:v>
      </x:c>
      <x:c r="Y1125" s="2" t="str">
        <x:v>ad210cd9ec132cfd447541c8984dc53d30aff0f4fb2dc92d254d49275cc55976</x:v>
      </x:c>
      <x:c r="Z1125" s="2" t="n">
        <x:f>SUBTOTAL(103,A1125)</x:f>
        <x:v>1</x:v>
      </x:c>
      <x:c r="AA1125" s="2" t="str">
        <x:f>IF(K1125&lt;&gt;"미종결 표시","대상 아님",IF(N1125="","신청일 확인",IF(NOT(ISNUMBER('종합 현황'!$H$5)),"관찰기준 확인",IF('종합 현황'!$H$5&lt;1,"관찰기준 확인",IF(N1125&gt;'종합 현황'!$H$5,"내부 관찰 대상","내부 관찰일 이하")))))</x:f>
        <x:v>대상 아님</x:v>
      </x:c>
      <x:c r="AB1125" s="2"/>
    </x:row>
    <x:row r="1126" ht="42" customHeight="1">
      <x:c r="A1126" s="2" t="str">
        <x:v>2e6367f3343ed55dd77d9c92</x:v>
      </x:c>
      <x:c r="B1126" s="2" t="str">
        <x:v>사업 평가</x:v>
      </x:c>
      <x:c r="C1126" s="2" t="str">
        <x:v>국내</x:v>
      </x:c>
      <x:c r="D1126" s="7" t="str">
        <x:v>신성에스앤티(주) 외 4개사의 고효율 공기압축기 교체를 통한 온실가스 감축사업</x:v>
      </x:c>
      <x:c r="E1126" s="2" t="str">
        <x:v>987</x:v>
      </x:c>
      <x:c r="F1126" s="2" t="str">
        <x:v>2022-12-30</x:v>
      </x:c>
      <x:c r="G1126" s="2" t="str">
        <x:v>2022</x:v>
      </x:c>
      <x:c r="H1126" s="2" t="str">
        <x:v>12</x:v>
      </x:c>
      <x:c r="I1126" s="2" t="str">
        <x:v>승인</x:v>
      </x:c>
      <x:c r="J1126" s="2" t="str">
        <x:v>심의승인</x:v>
      </x:c>
      <x:c r="K1126" s="2" t="str">
        <x:f>IF(OR(J1126="심의승인",J1126="반려",J1126="반려완료",J1126="심의완료"),"종결 표시",IF(OR(J1126="기후부협의",J1126="문서재제출요청",J1126="보류",J1126="보완요청",J1126="보완완료",J1126="평가중",J1126="반려요청",J1126="평가필요",LEFT(J1126,5)="보완요청("),"미종결 표시","상태 확인 필요"))</x:f>
        <x:v>종결 표시</x:v>
      </x:c>
      <x:c r="L1126" s="2" t="str">
        <x:v>KECM_이태준</x:v>
      </x:c>
      <x:c r="M1126" s="2"/>
      <x:c r="N1126" s="8" t="n">
        <x:f>DATE(2026,10,15)-DATE(2022,12,30)</x:f>
        <x:v>1385</x:v>
      </x:c>
      <x:c r="O1126" s="2" t="str">
        <x:v>생략</x:v>
      </x:c>
      <x:c r="P1126" s="2" t="str">
        <x:v>25년 2분기 인증위</x:v>
      </x:c>
      <x:c r="Q1126" s="2" t="str">
        <x:v>산업전환_외부사업관리Tool_260707_이너젠 수정_LJY_261013.xlsx</x:v>
      </x:c>
      <x:c r="R1126" s="2" t="str">
        <x:v>국내평가</x:v>
      </x:c>
      <x:c r="S1126" s="8" t="n">
        <x:v>1029</x:v>
      </x:c>
      <x:c r="T1126" s="2" t="str">
        <x:v>(1/30),(10/27)</x:v>
      </x:c>
      <x:c r="U1126" s="2" t="str">
        <x:v>2023 배정: (1/30),(10/27) / 2024 배정: (7/23),(10/17),(11/29) / 2025 배정: (3/5)</x:v>
      </x:c>
      <x:c r="V1126" s="2" t="str">
        <x:v>2026-09-09</x:v>
      </x:c>
      <x:c r="W1126" s="2" t="str"/>
      <x:c r="X1126" s="2" t="str">
        <x:v>종결 근거 보관</x:v>
      </x:c>
      <x:c r="Y1126" s="2" t="str">
        <x:v>ad210cd9ec132cfd447541c8984dc53d30aff0f4fb2dc92d254d49275cc55976</x:v>
      </x:c>
      <x:c r="Z1126" s="2" t="n">
        <x:f>SUBTOTAL(103,A1126)</x:f>
        <x:v>1</x:v>
      </x:c>
      <x:c r="AA1126" s="2" t="str">
        <x:f>IF(K1126&lt;&gt;"미종결 표시","대상 아님",IF(N1126="","신청일 확인",IF(NOT(ISNUMBER('종합 현황'!$H$5)),"관찰기준 확인",IF('종합 현황'!$H$5&lt;1,"관찰기준 확인",IF(N1126&gt;'종합 현황'!$H$5,"내부 관찰 대상","내부 관찰일 이하")))))</x:f>
        <x:v>대상 아님</x:v>
      </x:c>
      <x:c r="AB1126" s="2"/>
    </x:row>
    <x:row r="1127" ht="42" customHeight="1">
      <x:c r="A1127" s="2" t="str">
        <x:v>56d698a669b9a8665e84021d</x:v>
      </x:c>
      <x:c r="B1127" s="2" t="str">
        <x:v>사업 평가</x:v>
      </x:c>
      <x:c r="C1127" s="2" t="str">
        <x:v>국내</x:v>
      </x:c>
      <x:c r="D1127" s="7" t="str">
        <x:v>(대원공업 외 5개사) 고효율 공기압축기 교체를 통한 온실가스 감축사업</x:v>
      </x:c>
      <x:c r="E1127" s="2" t="str">
        <x:v>988</x:v>
      </x:c>
      <x:c r="F1127" s="2" t="str">
        <x:v>2022-12-30</x:v>
      </x:c>
      <x:c r="G1127" s="2" t="str">
        <x:v>2022</x:v>
      </x:c>
      <x:c r="H1127" s="2" t="str">
        <x:v>12</x:v>
      </x:c>
      <x:c r="I1127" s="2" t="str">
        <x:v>반려</x:v>
      </x:c>
      <x:c r="J1127" s="2" t="str">
        <x:v>반려</x:v>
      </x:c>
      <x:c r="K1127" s="2" t="str">
        <x:f>IF(OR(J1127="심의승인",J1127="반려",J1127="반려완료",J1127="심의완료"),"종결 표시",IF(OR(J1127="기후부협의",J1127="문서재제출요청",J1127="보류",J1127="보완요청",J1127="보완완료",J1127="평가중",J1127="반려요청",J1127="평가필요",LEFT(J1127,5)="보완요청("),"미종결 표시","상태 확인 필요"))</x:f>
        <x:v>종결 표시</x:v>
      </x:c>
      <x:c r="L1127" s="2" t="str">
        <x:v>에코시안_정다윤</x:v>
      </x:c>
      <x:c r="M1127" s="2"/>
      <x:c r="N1127" s="8" t="n">
        <x:f>DATE(2026,10,15)-DATE(2022,12,30)</x:f>
        <x:v>1385</x:v>
      </x:c>
      <x:c r="O1127" s="2"/>
      <x:c r="P1127" s="2" t="str">
        <x:v>반려완료(업체 요청)</x:v>
      </x:c>
      <x:c r="Q1127" s="2" t="str">
        <x:v>산업전환_외부사업관리Tool_260707_이너젠 수정_LJY_261013.xlsx</x:v>
      </x:c>
      <x:c r="R1127" s="2" t="str">
        <x:v>국내평가</x:v>
      </x:c>
      <x:c r="S1127" s="8" t="n">
        <x:v>1030</x:v>
      </x:c>
      <x:c r="T1127" s="2" t="str">
        <x:v>(1/30),(6/7)</x:v>
      </x:c>
      <x:c r="U1127" s="2" t="str">
        <x:v>2023 배정: (1/30),(6/7)</x:v>
      </x:c>
      <x:c r="V1127" s="2" t="str">
        <x:v>2023-07-04</x:v>
      </x:c>
      <x:c r="W1127" s="2" t="str"/>
      <x:c r="X1127" s="2" t="str">
        <x:v>종결 근거 보관</x:v>
      </x:c>
      <x:c r="Y1127" s="2" t="str">
        <x:v>ad210cd9ec132cfd447541c8984dc53d30aff0f4fb2dc92d254d49275cc55976</x:v>
      </x:c>
      <x:c r="Z1127" s="2" t="n">
        <x:f>SUBTOTAL(103,A1127)</x:f>
        <x:v>1</x:v>
      </x:c>
      <x:c r="AA1127" s="2" t="str">
        <x:f>IF(K1127&lt;&gt;"미종결 표시","대상 아님",IF(N1127="","신청일 확인",IF(NOT(ISNUMBER('종합 현황'!$H$5)),"관찰기준 확인",IF('종합 현황'!$H$5&lt;1,"관찰기준 확인",IF(N1127&gt;'종합 현황'!$H$5,"내부 관찰 대상","내부 관찰일 이하")))))</x:f>
        <x:v>대상 아님</x:v>
      </x:c>
      <x:c r="AB1127" s="2"/>
    </x:row>
    <x:row r="1128" ht="42" customHeight="1">
      <x:c r="A1128" s="2" t="str">
        <x:v>c99507679455a30b8b6e1b63</x:v>
      </x:c>
      <x:c r="B1128" s="2" t="str">
        <x:v>사업 평가</x:v>
      </x:c>
      <x:c r="C1128" s="2" t="str">
        <x:v>국내</x:v>
      </x:c>
      <x:c r="D1128" s="7" t="str">
        <x:v>(명진테크 외 4개사) 고효율 공기압축기 교체를 통한 온실가스 감축사업</x:v>
      </x:c>
      <x:c r="E1128" s="2" t="str">
        <x:v>989</x:v>
      </x:c>
      <x:c r="F1128" s="2" t="str">
        <x:v>2022-12-30</x:v>
      </x:c>
      <x:c r="G1128" s="2" t="str">
        <x:v>2022</x:v>
      </x:c>
      <x:c r="H1128" s="2" t="str">
        <x:v>12</x:v>
      </x:c>
      <x:c r="I1128" s="2" t="str">
        <x:v>반려</x:v>
      </x:c>
      <x:c r="J1128" s="2" t="str">
        <x:v>반려</x:v>
      </x:c>
      <x:c r="K1128" s="2" t="str">
        <x:f>IF(OR(J1128="심의승인",J1128="반려",J1128="반려완료",J1128="심의완료"),"종결 표시",IF(OR(J1128="기후부협의",J1128="문서재제출요청",J1128="보류",J1128="보완요청",J1128="보완완료",J1128="평가중",J1128="반려요청",J1128="평가필요",LEFT(J1128,5)="보완요청("),"미종결 표시","상태 확인 필요"))</x:f>
        <x:v>종결 표시</x:v>
      </x:c>
      <x:c r="L1128" s="2" t="str">
        <x:v>에코시안_조영우</x:v>
      </x:c>
      <x:c r="M1128" s="2"/>
      <x:c r="N1128" s="8" t="n">
        <x:f>DATE(2026,10,15)-DATE(2022,12,30)</x:f>
        <x:v>1385</x:v>
      </x:c>
      <x:c r="O1128" s="2"/>
      <x:c r="P1128" s="2" t="str">
        <x:v>반려완료(업체 요청)</x:v>
      </x:c>
      <x:c r="Q1128" s="2" t="str">
        <x:v>산업전환_외부사업관리Tool_260707_이너젠 수정_LJY_261013.xlsx</x:v>
      </x:c>
      <x:c r="R1128" s="2" t="str">
        <x:v>국내평가</x:v>
      </x:c>
      <x:c r="S1128" s="8" t="n">
        <x:v>1031</x:v>
      </x:c>
      <x:c r="T1128" s="2" t="str">
        <x:v>(1/30),(6/7)</x:v>
      </x:c>
      <x:c r="U1128" s="2" t="str">
        <x:v>2023 배정: (1/30),(6/7)</x:v>
      </x:c>
      <x:c r="V1128" s="2" t="str">
        <x:v>2023-07-04</x:v>
      </x:c>
      <x:c r="W1128" s="2" t="str"/>
      <x:c r="X1128" s="2" t="str">
        <x:v>종결 근거 보관</x:v>
      </x:c>
      <x:c r="Y1128" s="2" t="str">
        <x:v>ad210cd9ec132cfd447541c8984dc53d30aff0f4fb2dc92d254d49275cc55976</x:v>
      </x:c>
      <x:c r="Z1128" s="2" t="n">
        <x:f>SUBTOTAL(103,A1128)</x:f>
        <x:v>1</x:v>
      </x:c>
      <x:c r="AA1128" s="2" t="str">
        <x:f>IF(K1128&lt;&gt;"미종결 표시","대상 아님",IF(N1128="","신청일 확인",IF(NOT(ISNUMBER('종합 현황'!$H$5)),"관찰기준 확인",IF('종합 현황'!$H$5&lt;1,"관찰기준 확인",IF(N1128&gt;'종합 현황'!$H$5,"내부 관찰 대상","내부 관찰일 이하")))))</x:f>
        <x:v>대상 아님</x:v>
      </x:c>
      <x:c r="AB1128" s="2"/>
    </x:row>
    <x:row r="1129" ht="42" customHeight="1">
      <x:c r="A1129" s="2" t="str">
        <x:v>dba8bdde2b2f1d88479df39a</x:v>
      </x:c>
      <x:c r="B1129" s="2" t="str">
        <x:v>사업 평가</x:v>
      </x:c>
      <x:c r="C1129" s="2" t="str">
        <x:v>국내</x:v>
      </x:c>
      <x:c r="D1129" s="7" t="str">
        <x:v>(삼보산업 외 8개사) 고효율 공기압축기 교체를 통한 온실가스 감축사업</x:v>
      </x:c>
      <x:c r="E1129" s="2" t="str">
        <x:v>990</x:v>
      </x:c>
      <x:c r="F1129" s="2" t="str">
        <x:v>2022-12-30</x:v>
      </x:c>
      <x:c r="G1129" s="2" t="str">
        <x:v>2022</x:v>
      </x:c>
      <x:c r="H1129" s="2" t="str">
        <x:v>12</x:v>
      </x:c>
      <x:c r="I1129" s="2" t="str">
        <x:v>반려</x:v>
      </x:c>
      <x:c r="J1129" s="2" t="str">
        <x:v>반려</x:v>
      </x:c>
      <x:c r="K1129" s="2" t="str">
        <x:f>IF(OR(J1129="심의승인",J1129="반려",J1129="반려완료",J1129="심의완료"),"종결 표시",IF(OR(J1129="기후부협의",J1129="문서재제출요청",J1129="보류",J1129="보완요청",J1129="보완완료",J1129="평가중",J1129="반려요청",J1129="평가필요",LEFT(J1129,5)="보완요청("),"미종결 표시","상태 확인 필요"))</x:f>
        <x:v>종결 표시</x:v>
      </x:c>
      <x:c r="L1129" s="2" t="str">
        <x:v>에코시안_기샛별&gt;전윤호</x:v>
      </x:c>
      <x:c r="M1129" s="2"/>
      <x:c r="N1129" s="8" t="n">
        <x:f>DATE(2026,10,15)-DATE(2022,12,30)</x:f>
        <x:v>1385</x:v>
      </x:c>
      <x:c r="O1129" s="2"/>
      <x:c r="P1129" s="2" t="str">
        <x:v>반려완료(업체 요청)</x:v>
      </x:c>
      <x:c r="Q1129" s="2" t="str">
        <x:v>산업전환_외부사업관리Tool_260707_이너젠 수정_LJY_261013.xlsx</x:v>
      </x:c>
      <x:c r="R1129" s="2" t="str">
        <x:v>국내평가</x:v>
      </x:c>
      <x:c r="S1129" s="8" t="n">
        <x:v>1032</x:v>
      </x:c>
      <x:c r="T1129" s="2" t="str">
        <x:v>(1/30),(6/7)</x:v>
      </x:c>
      <x:c r="U1129" s="2" t="str">
        <x:v>2023 배정: (1/30),(6/7)</x:v>
      </x:c>
      <x:c r="V1129" s="2" t="str">
        <x:v>2023-07-04</x:v>
      </x:c>
      <x:c r="W1129" s="2" t="str"/>
      <x:c r="X1129" s="2" t="str">
        <x:v>종결 근거 보관</x:v>
      </x:c>
      <x:c r="Y1129" s="2" t="str">
        <x:v>ad210cd9ec132cfd447541c8984dc53d30aff0f4fb2dc92d254d49275cc55976</x:v>
      </x:c>
      <x:c r="Z1129" s="2" t="n">
        <x:f>SUBTOTAL(103,A1129)</x:f>
        <x:v>1</x:v>
      </x:c>
      <x:c r="AA1129" s="2" t="str">
        <x:f>IF(K1129&lt;&gt;"미종결 표시","대상 아님",IF(N1129="","신청일 확인",IF(NOT(ISNUMBER('종합 현황'!$H$5)),"관찰기준 확인",IF('종합 현황'!$H$5&lt;1,"관찰기준 확인",IF(N1129&gt;'종합 현황'!$H$5,"내부 관찰 대상","내부 관찰일 이하")))))</x:f>
        <x:v>대상 아님</x:v>
      </x:c>
      <x:c r="AB1129" s="2"/>
    </x:row>
    <x:row r="1130" ht="42" customHeight="1">
      <x:c r="A1130" s="2" t="str">
        <x:v>5254bef64849eea5febda674</x:v>
      </x:c>
      <x:c r="B1130" s="2" t="str">
        <x:v>사업 평가</x:v>
      </x:c>
      <x:c r="C1130" s="2" t="str">
        <x:v>국내</x:v>
      </x:c>
      <x:c r="D1130" s="7" t="str">
        <x:v>(씨에스엠테크 외 9개사) 고효율 공기압축기 교체를 통한 온실가스 감축사업</x:v>
      </x:c>
      <x:c r="E1130" s="2" t="str">
        <x:v>991</x:v>
      </x:c>
      <x:c r="F1130" s="2" t="str">
        <x:v>2022-12-30</x:v>
      </x:c>
      <x:c r="G1130" s="2" t="str">
        <x:v>2022</x:v>
      </x:c>
      <x:c r="H1130" s="2" t="str">
        <x:v>12</x:v>
      </x:c>
      <x:c r="I1130" s="2" t="str">
        <x:v>반려</x:v>
      </x:c>
      <x:c r="J1130" s="2" t="str">
        <x:v>반려</x:v>
      </x:c>
      <x:c r="K1130" s="2" t="str">
        <x:f>IF(OR(J1130="심의승인",J1130="반려",J1130="반려완료",J1130="심의완료"),"종결 표시",IF(OR(J1130="기후부협의",J1130="문서재제출요청",J1130="보류",J1130="보완요청",J1130="보완완료",J1130="평가중",J1130="반려요청",J1130="평가필요",LEFT(J1130,5)="보완요청("),"미종결 표시","상태 확인 필요"))</x:f>
        <x:v>종결 표시</x:v>
      </x:c>
      <x:c r="L1130" s="2" t="str">
        <x:v>KECM_이태준</x:v>
      </x:c>
      <x:c r="M1130" s="2"/>
      <x:c r="N1130" s="8" t="n">
        <x:f>DATE(2026,10,15)-DATE(2022,12,30)</x:f>
        <x:v>1385</x:v>
      </x:c>
      <x:c r="O1130" s="2"/>
      <x:c r="P1130" s="2" t="str">
        <x:v>반려완료(업체 요청)</x:v>
      </x:c>
      <x:c r="Q1130" s="2" t="str">
        <x:v>산업전환_외부사업관리Tool_260707_이너젠 수정_LJY_261013.xlsx</x:v>
      </x:c>
      <x:c r="R1130" s="2" t="str">
        <x:v>국내평가</x:v>
      </x:c>
      <x:c r="S1130" s="8" t="n">
        <x:v>1033</x:v>
      </x:c>
      <x:c r="T1130" s="2" t="str">
        <x:v>(1/30),(6/7)</x:v>
      </x:c>
      <x:c r="U1130" s="2" t="str">
        <x:v>2023 배정: (1/30),(6/7)</x:v>
      </x:c>
      <x:c r="V1130" s="2" t="str">
        <x:v>2023-07-04</x:v>
      </x:c>
      <x:c r="W1130" s="2" t="str"/>
      <x:c r="X1130" s="2" t="str">
        <x:v>종결 근거 보관</x:v>
      </x:c>
      <x:c r="Y1130" s="2" t="str">
        <x:v>ad210cd9ec132cfd447541c8984dc53d30aff0f4fb2dc92d254d49275cc55976</x:v>
      </x:c>
      <x:c r="Z1130" s="2" t="n">
        <x:f>SUBTOTAL(103,A1130)</x:f>
        <x:v>1</x:v>
      </x:c>
      <x:c r="AA1130" s="2" t="str">
        <x:f>IF(K1130&lt;&gt;"미종결 표시","대상 아님",IF(N1130="","신청일 확인",IF(NOT(ISNUMBER('종합 현황'!$H$5)),"관찰기준 확인",IF('종합 현황'!$H$5&lt;1,"관찰기준 확인",IF(N1130&gt;'종합 현황'!$H$5,"내부 관찰 대상","내부 관찰일 이하")))))</x:f>
        <x:v>대상 아님</x:v>
      </x:c>
      <x:c r="AB1130" s="2"/>
    </x:row>
    <x:row r="1131" ht="42" customHeight="1">
      <x:c r="A1131" s="2" t="str">
        <x:v>aecc9cb453a461b223e33986</x:v>
      </x:c>
      <x:c r="B1131" s="2" t="str">
        <x:v>사업 평가</x:v>
      </x:c>
      <x:c r="C1131" s="2" t="str">
        <x:v>국내</x:v>
      </x:c>
      <x:c r="D1131" s="7" t="str">
        <x:v>(코리아메탈 외 2개사) 고효율 공기압축기 교체를 통한 온실가스 감축사업</x:v>
      </x:c>
      <x:c r="E1131" s="2" t="str">
        <x:v>992</x:v>
      </x:c>
      <x:c r="F1131" s="2" t="str">
        <x:v>2022-12-30</x:v>
      </x:c>
      <x:c r="G1131" s="2" t="str">
        <x:v>2022</x:v>
      </x:c>
      <x:c r="H1131" s="2" t="str">
        <x:v>12</x:v>
      </x:c>
      <x:c r="I1131" s="2" t="str">
        <x:v>반려</x:v>
      </x:c>
      <x:c r="J1131" s="2" t="str">
        <x:v>반려</x:v>
      </x:c>
      <x:c r="K1131" s="2" t="str">
        <x:f>IF(OR(J1131="심의승인",J1131="반려",J1131="반려완료",J1131="심의완료"),"종결 표시",IF(OR(J1131="기후부협의",J1131="문서재제출요청",J1131="보류",J1131="보완요청",J1131="보완완료",J1131="평가중",J1131="반려요청",J1131="평가필요",LEFT(J1131,5)="보완요청("),"미종결 표시","상태 확인 필요"))</x:f>
        <x:v>종결 표시</x:v>
      </x:c>
      <x:c r="L1131" s="2" t="str">
        <x:v>KECM_김민정</x:v>
      </x:c>
      <x:c r="M1131" s="2"/>
      <x:c r="N1131" s="8" t="n">
        <x:f>DATE(2026,10,15)-DATE(2022,12,30)</x:f>
        <x:v>1385</x:v>
      </x:c>
      <x:c r="O1131" s="2"/>
      <x:c r="P1131" s="2" t="str">
        <x:v>반려완료(업체 요청)</x:v>
      </x:c>
      <x:c r="Q1131" s="2" t="str">
        <x:v>산업전환_외부사업관리Tool_260707_이너젠 수정_LJY_261013.xlsx</x:v>
      </x:c>
      <x:c r="R1131" s="2" t="str">
        <x:v>국내평가</x:v>
      </x:c>
      <x:c r="S1131" s="8" t="n">
        <x:v>1034</x:v>
      </x:c>
      <x:c r="T1131" s="2" t="str">
        <x:v>(1/30),(6/7)</x:v>
      </x:c>
      <x:c r="U1131" s="2" t="str">
        <x:v>2023 배정: (1/30),(6/7)</x:v>
      </x:c>
      <x:c r="V1131" s="2" t="str">
        <x:v>2023-07-04</x:v>
      </x:c>
      <x:c r="W1131" s="2" t="str"/>
      <x:c r="X1131" s="2" t="str">
        <x:v>종결 근거 보관</x:v>
      </x:c>
      <x:c r="Y1131" s="2" t="str">
        <x:v>ad210cd9ec132cfd447541c8984dc53d30aff0f4fb2dc92d254d49275cc55976</x:v>
      </x:c>
      <x:c r="Z1131" s="2" t="n">
        <x:f>SUBTOTAL(103,A1131)</x:f>
        <x:v>1</x:v>
      </x:c>
      <x:c r="AA1131" s="2" t="str">
        <x:f>IF(K1131&lt;&gt;"미종결 표시","대상 아님",IF(N1131="","신청일 확인",IF(NOT(ISNUMBER('종합 현황'!$H$5)),"관찰기준 확인",IF('종합 현황'!$H$5&lt;1,"관찰기준 확인",IF(N1131&gt;'종합 현황'!$H$5,"내부 관찰 대상","내부 관찰일 이하")))))</x:f>
        <x:v>대상 아님</x:v>
      </x:c>
      <x:c r="AB1131" s="2"/>
    </x:row>
    <x:row r="1132" ht="42" customHeight="1">
      <x:c r="A1132" s="2" t="str">
        <x:v>91c08d7d2a4be64025f516f7</x:v>
      </x:c>
      <x:c r="B1132" s="2" t="str">
        <x:v>사업 평가</x:v>
      </x:c>
      <x:c r="C1132" s="2" t="str">
        <x:v>국내</x:v>
      </x:c>
      <x:c r="D1132" s="7" t="str">
        <x:v>(유림테크 외 5개사) 고효율 공기압축기 교체를 통한 온실가스 감축사업</x:v>
      </x:c>
      <x:c r="E1132" s="2" t="str">
        <x:v>993</x:v>
      </x:c>
      <x:c r="F1132" s="2" t="str">
        <x:v>2022-12-30</x:v>
      </x:c>
      <x:c r="G1132" s="2" t="str">
        <x:v>2022</x:v>
      </x:c>
      <x:c r="H1132" s="2" t="str">
        <x:v>12</x:v>
      </x:c>
      <x:c r="I1132" s="2" t="str">
        <x:v>반려</x:v>
      </x:c>
      <x:c r="J1132" s="2" t="str">
        <x:v>반려</x:v>
      </x:c>
      <x:c r="K1132" s="2" t="str">
        <x:f>IF(OR(J1132="심의승인",J1132="반려",J1132="반려완료",J1132="심의완료"),"종결 표시",IF(OR(J1132="기후부협의",J1132="문서재제출요청",J1132="보류",J1132="보완요청",J1132="보완완료",J1132="평가중",J1132="반려요청",J1132="평가필요",LEFT(J1132,5)="보완요청("),"미종결 표시","상태 확인 필요"))</x:f>
        <x:v>종결 표시</x:v>
      </x:c>
      <x:c r="L1132" s="2" t="str">
        <x:v>KECM_김민정</x:v>
      </x:c>
      <x:c r="M1132" s="2"/>
      <x:c r="N1132" s="8" t="n">
        <x:f>DATE(2026,10,15)-DATE(2022,12,30)</x:f>
        <x:v>1385</x:v>
      </x:c>
      <x:c r="O1132" s="2"/>
      <x:c r="P1132" s="2" t="str">
        <x:v>반려완료(업체 요청)</x:v>
      </x:c>
      <x:c r="Q1132" s="2" t="str">
        <x:v>산업전환_외부사업관리Tool_260707_이너젠 수정_LJY_261013.xlsx</x:v>
      </x:c>
      <x:c r="R1132" s="2" t="str">
        <x:v>국내평가</x:v>
      </x:c>
      <x:c r="S1132" s="8" t="n">
        <x:v>1035</x:v>
      </x:c>
      <x:c r="T1132" s="2" t="str">
        <x:v>(1/30),(6/7)</x:v>
      </x:c>
      <x:c r="U1132" s="2" t="str">
        <x:v>2023 배정: (1/30),(6/7)</x:v>
      </x:c>
      <x:c r="V1132" s="2" t="str">
        <x:v>2023-07-04</x:v>
      </x:c>
      <x:c r="W1132" s="2" t="str"/>
      <x:c r="X1132" s="2" t="str">
        <x:v>종결 근거 보관</x:v>
      </x:c>
      <x:c r="Y1132" s="2" t="str">
        <x:v>ad210cd9ec132cfd447541c8984dc53d30aff0f4fb2dc92d254d49275cc55976</x:v>
      </x:c>
      <x:c r="Z1132" s="2" t="n">
        <x:f>SUBTOTAL(103,A1132)</x:f>
        <x:v>1</x:v>
      </x:c>
      <x:c r="AA1132" s="2" t="str">
        <x:f>IF(K1132&lt;&gt;"미종결 표시","대상 아님",IF(N1132="","신청일 확인",IF(NOT(ISNUMBER('종합 현황'!$H$5)),"관찰기준 확인",IF('종합 현황'!$H$5&lt;1,"관찰기준 확인",IF(N1132&gt;'종합 현황'!$H$5,"내부 관찰 대상","내부 관찰일 이하")))))</x:f>
        <x:v>대상 아님</x:v>
      </x:c>
      <x:c r="AB1132" s="2"/>
    </x:row>
    <x:row r="1133" ht="42" customHeight="1">
      <x:c r="A1133" s="2" t="str">
        <x:v>15a130e3f94418c57dc59c56</x:v>
      </x:c>
      <x:c r="B1133" s="2" t="str">
        <x:v>사업 평가</x:v>
      </x:c>
      <x:c r="C1133" s="2" t="str">
        <x:v>국내</x:v>
      </x:c>
      <x:c r="D1133" s="7" t="str">
        <x:v>(유창파워텍 외 5개사) 고효율 공기압축기 교체를 통한 온실가스 감축사업</x:v>
      </x:c>
      <x:c r="E1133" s="2" t="str">
        <x:v>994</x:v>
      </x:c>
      <x:c r="F1133" s="2" t="str">
        <x:v>2022-12-30</x:v>
      </x:c>
      <x:c r="G1133" s="2" t="str">
        <x:v>2022</x:v>
      </x:c>
      <x:c r="H1133" s="2" t="str">
        <x:v>12</x:v>
      </x:c>
      <x:c r="I1133" s="2" t="str">
        <x:v>반려</x:v>
      </x:c>
      <x:c r="J1133" s="2" t="str">
        <x:v>반려</x:v>
      </x:c>
      <x:c r="K1133" s="2" t="str">
        <x:f>IF(OR(J1133="심의승인",J1133="반려",J1133="반려완료",J1133="심의완료"),"종결 표시",IF(OR(J1133="기후부협의",J1133="문서재제출요청",J1133="보류",J1133="보완요청",J1133="보완완료",J1133="평가중",J1133="반려요청",J1133="평가필요",LEFT(J1133,5)="보완요청("),"미종결 표시","상태 확인 필요"))</x:f>
        <x:v>종결 표시</x:v>
      </x:c>
      <x:c r="L1133" s="2" t="str">
        <x:v>에코시안_정다윤</x:v>
      </x:c>
      <x:c r="M1133" s="2"/>
      <x:c r="N1133" s="8" t="n">
        <x:f>DATE(2026,10,15)-DATE(2022,12,30)</x:f>
        <x:v>1385</x:v>
      </x:c>
      <x:c r="O1133" s="2"/>
      <x:c r="P1133" s="2" t="str">
        <x:v>반려완료(업체 요청)</x:v>
      </x:c>
      <x:c r="Q1133" s="2" t="str">
        <x:v>산업전환_외부사업관리Tool_260707_이너젠 수정_LJY_261013.xlsx</x:v>
      </x:c>
      <x:c r="R1133" s="2" t="str">
        <x:v>국내평가</x:v>
      </x:c>
      <x:c r="S1133" s="8" t="n">
        <x:v>1036</x:v>
      </x:c>
      <x:c r="T1133" s="2" t="str">
        <x:v>(1/30),(6/7)</x:v>
      </x:c>
      <x:c r="U1133" s="2" t="str">
        <x:v>2023 배정: (1/30),(6/7)</x:v>
      </x:c>
      <x:c r="V1133" s="2" t="str">
        <x:v>2023-07-04</x:v>
      </x:c>
      <x:c r="W1133" s="2" t="str"/>
      <x:c r="X1133" s="2" t="str">
        <x:v>종결 근거 보관</x:v>
      </x:c>
      <x:c r="Y1133" s="2" t="str">
        <x:v>ad210cd9ec132cfd447541c8984dc53d30aff0f4fb2dc92d254d49275cc55976</x:v>
      </x:c>
      <x:c r="Z1133" s="2" t="n">
        <x:f>SUBTOTAL(103,A1133)</x:f>
        <x:v>1</x:v>
      </x:c>
      <x:c r="AA1133" s="2" t="str">
        <x:f>IF(K1133&lt;&gt;"미종결 표시","대상 아님",IF(N1133="","신청일 확인",IF(NOT(ISNUMBER('종합 현황'!$H$5)),"관찰기준 확인",IF('종합 현황'!$H$5&lt;1,"관찰기준 확인",IF(N1133&gt;'종합 현황'!$H$5,"내부 관찰 대상","내부 관찰일 이하")))))</x:f>
        <x:v>대상 아님</x:v>
      </x:c>
      <x:c r="AB1133" s="2"/>
    </x:row>
    <x:row r="1134" ht="42" customHeight="1">
      <x:c r="A1134" s="2" t="str">
        <x:v>de4b6affaa07a7182f8f13b9</x:v>
      </x:c>
      <x:c r="B1134" s="2" t="str">
        <x:v>사업 평가</x:v>
      </x:c>
      <x:c r="C1134" s="2" t="str">
        <x:v>국내</x:v>
      </x:c>
      <x:c r="D1134" s="7" t="str">
        <x:v>(지아이하이텍 외 5개사) 고효율 공기압축기 교체를 통한 온실가스 감축사업</x:v>
      </x:c>
      <x:c r="E1134" s="2" t="str">
        <x:v>995</x:v>
      </x:c>
      <x:c r="F1134" s="2" t="str">
        <x:v>2022-12-30</x:v>
      </x:c>
      <x:c r="G1134" s="2" t="str">
        <x:v>2022</x:v>
      </x:c>
      <x:c r="H1134" s="2" t="str">
        <x:v>12</x:v>
      </x:c>
      <x:c r="I1134" s="2" t="str">
        <x:v>반려</x:v>
      </x:c>
      <x:c r="J1134" s="2" t="str">
        <x:v>반려</x:v>
      </x:c>
      <x:c r="K1134" s="2" t="str">
        <x:f>IF(OR(J1134="심의승인",J1134="반려",J1134="반려완료",J1134="심의완료"),"종결 표시",IF(OR(J1134="기후부협의",J1134="문서재제출요청",J1134="보류",J1134="보완요청",J1134="보완완료",J1134="평가중",J1134="반려요청",J1134="평가필요",LEFT(J1134,5)="보완요청("),"미종결 표시","상태 확인 필요"))</x:f>
        <x:v>종결 표시</x:v>
      </x:c>
      <x:c r="L1134" s="2" t="str">
        <x:v>KECM_김민정</x:v>
      </x:c>
      <x:c r="M1134" s="2"/>
      <x:c r="N1134" s="8" t="n">
        <x:f>DATE(2026,10,15)-DATE(2022,12,30)</x:f>
        <x:v>1385</x:v>
      </x:c>
      <x:c r="O1134" s="2"/>
      <x:c r="P1134" s="2" t="str">
        <x:v>반려완료(업체 요청)</x:v>
      </x:c>
      <x:c r="Q1134" s="2" t="str">
        <x:v>산업전환_외부사업관리Tool_260707_이너젠 수정_LJY_261013.xlsx</x:v>
      </x:c>
      <x:c r="R1134" s="2" t="str">
        <x:v>국내평가</x:v>
      </x:c>
      <x:c r="S1134" s="8" t="n">
        <x:v>1037</x:v>
      </x:c>
      <x:c r="T1134" s="2" t="str">
        <x:v>(1/30),(6/7)</x:v>
      </x:c>
      <x:c r="U1134" s="2" t="str">
        <x:v>2023 배정: (1/30),(6/7)</x:v>
      </x:c>
      <x:c r="V1134" s="2" t="str">
        <x:v>2023-07-04</x:v>
      </x:c>
      <x:c r="W1134" s="2" t="str"/>
      <x:c r="X1134" s="2" t="str">
        <x:v>종결 근거 보관</x:v>
      </x:c>
      <x:c r="Y1134" s="2" t="str">
        <x:v>ad210cd9ec132cfd447541c8984dc53d30aff0f4fb2dc92d254d49275cc55976</x:v>
      </x:c>
      <x:c r="Z1134" s="2" t="n">
        <x:f>SUBTOTAL(103,A1134)</x:f>
        <x:v>1</x:v>
      </x:c>
      <x:c r="AA1134" s="2" t="str">
        <x:f>IF(K1134&lt;&gt;"미종결 표시","대상 아님",IF(N1134="","신청일 확인",IF(NOT(ISNUMBER('종합 현황'!$H$5)),"관찰기준 확인",IF('종합 현황'!$H$5&lt;1,"관찰기준 확인",IF(N1134&gt;'종합 현황'!$H$5,"내부 관찰 대상","내부 관찰일 이하")))))</x:f>
        <x:v>대상 아님</x:v>
      </x:c>
      <x:c r="AB1134" s="2"/>
    </x:row>
    <x:row r="1135" ht="42" customHeight="1">
      <x:c r="A1135" s="2" t="str">
        <x:v>2f667c6083b95d5dd4af8fdf</x:v>
      </x:c>
      <x:c r="B1135" s="2" t="str">
        <x:v>사업 평가</x:v>
      </x:c>
      <x:c r="C1135" s="2" t="str">
        <x:v>국내</x:v>
      </x:c>
      <x:c r="D1135" s="7" t="str">
        <x:v>(태성테크윈 외 3개사) 고효율 공기압축기 교체를 통한 온실가스 감축사업</x:v>
      </x:c>
      <x:c r="E1135" s="2" t="str">
        <x:v>996</x:v>
      </x:c>
      <x:c r="F1135" s="2" t="str">
        <x:v>2022-12-30</x:v>
      </x:c>
      <x:c r="G1135" s="2" t="str">
        <x:v>2022</x:v>
      </x:c>
      <x:c r="H1135" s="2" t="str">
        <x:v>12</x:v>
      </x:c>
      <x:c r="I1135" s="2" t="str">
        <x:v>반려</x:v>
      </x:c>
      <x:c r="J1135" s="2" t="str">
        <x:v>반려</x:v>
      </x:c>
      <x:c r="K1135" s="2" t="str">
        <x:f>IF(OR(J1135="심의승인",J1135="반려",J1135="반려완료",J1135="심의완료"),"종결 표시",IF(OR(J1135="기후부협의",J1135="문서재제출요청",J1135="보류",J1135="보완요청",J1135="보완완료",J1135="평가중",J1135="반려요청",J1135="평가필요",LEFT(J1135,5)="보완요청("),"미종결 표시","상태 확인 필요"))</x:f>
        <x:v>종결 표시</x:v>
      </x:c>
      <x:c r="L1135" s="2" t="str">
        <x:v>에코시안_조영우</x:v>
      </x:c>
      <x:c r="M1135" s="2"/>
      <x:c r="N1135" s="8" t="n">
        <x:f>DATE(2026,10,15)-DATE(2022,12,30)</x:f>
        <x:v>1385</x:v>
      </x:c>
      <x:c r="O1135" s="2"/>
      <x:c r="P1135" s="2" t="str">
        <x:v>반려완료(업체 요청)</x:v>
      </x:c>
      <x:c r="Q1135" s="2" t="str">
        <x:v>산업전환_외부사업관리Tool_260707_이너젠 수정_LJY_261013.xlsx</x:v>
      </x:c>
      <x:c r="R1135" s="2" t="str">
        <x:v>국내평가</x:v>
      </x:c>
      <x:c r="S1135" s="8" t="n">
        <x:v>1038</x:v>
      </x:c>
      <x:c r="T1135" s="2" t="str">
        <x:v>(1/30),(6/7)</x:v>
      </x:c>
      <x:c r="U1135" s="2" t="str">
        <x:v>2023 배정: (1/30),(6/7)</x:v>
      </x:c>
      <x:c r="V1135" s="2" t="str">
        <x:v>2023-07-04</x:v>
      </x:c>
      <x:c r="W1135" s="2" t="str"/>
      <x:c r="X1135" s="2" t="str">
        <x:v>종결 근거 보관</x:v>
      </x:c>
      <x:c r="Y1135" s="2" t="str">
        <x:v>ad210cd9ec132cfd447541c8984dc53d30aff0f4fb2dc92d254d49275cc55976</x:v>
      </x:c>
      <x:c r="Z1135" s="2" t="n">
        <x:f>SUBTOTAL(103,A1135)</x:f>
        <x:v>1</x:v>
      </x:c>
      <x:c r="AA1135" s="2" t="str">
        <x:f>IF(K1135&lt;&gt;"미종결 표시","대상 아님",IF(N1135="","신청일 확인",IF(NOT(ISNUMBER('종합 현황'!$H$5)),"관찰기준 확인",IF('종합 현황'!$H$5&lt;1,"관찰기준 확인",IF(N1135&gt;'종합 현황'!$H$5,"내부 관찰 대상","내부 관찰일 이하")))))</x:f>
        <x:v>대상 아님</x:v>
      </x:c>
      <x:c r="AB1135" s="2"/>
    </x:row>
    <x:row r="1136" ht="42" customHeight="1">
      <x:c r="A1136" s="2" t="str">
        <x:v>7b2dc29bab4bc859384cf3e3</x:v>
      </x:c>
      <x:c r="B1136" s="2" t="str">
        <x:v>사업 평가</x:v>
      </x:c>
      <x:c r="C1136" s="2" t="str">
        <x:v>국내</x:v>
      </x:c>
      <x:c r="D1136" s="7" t="str">
        <x:v>(환웅기전 외 5개사) 고효율 공기압축기 교체를 통한 온실가스 감축사업</x:v>
      </x:c>
      <x:c r="E1136" s="2" t="str">
        <x:v>997</x:v>
      </x:c>
      <x:c r="F1136" s="2" t="str">
        <x:v>2022-12-30</x:v>
      </x:c>
      <x:c r="G1136" s="2" t="str">
        <x:v>2022</x:v>
      </x:c>
      <x:c r="H1136" s="2" t="str">
        <x:v>12</x:v>
      </x:c>
      <x:c r="I1136" s="2" t="str">
        <x:v>반려</x:v>
      </x:c>
      <x:c r="J1136" s="2" t="str">
        <x:v>반려</x:v>
      </x:c>
      <x:c r="K1136" s="2" t="str">
        <x:f>IF(OR(J1136="심의승인",J1136="반려",J1136="반려완료",J1136="심의완료"),"종결 표시",IF(OR(J1136="기후부협의",J1136="문서재제출요청",J1136="보류",J1136="보완요청",J1136="보완완료",J1136="평가중",J1136="반려요청",J1136="평가필요",LEFT(J1136,5)="보완요청("),"미종결 표시","상태 확인 필요"))</x:f>
        <x:v>종결 표시</x:v>
      </x:c>
      <x:c r="L1136" s="2" t="str">
        <x:v>KECM_이태준</x:v>
      </x:c>
      <x:c r="M1136" s="2"/>
      <x:c r="N1136" s="8" t="n">
        <x:f>DATE(2026,10,15)-DATE(2022,12,30)</x:f>
        <x:v>1385</x:v>
      </x:c>
      <x:c r="O1136" s="2"/>
      <x:c r="P1136" s="2" t="str">
        <x:v>반려완료(업체 요청)</x:v>
      </x:c>
      <x:c r="Q1136" s="2" t="str">
        <x:v>산업전환_외부사업관리Tool_260707_이너젠 수정_LJY_261013.xlsx</x:v>
      </x:c>
      <x:c r="R1136" s="2" t="str">
        <x:v>국내평가</x:v>
      </x:c>
      <x:c r="S1136" s="8" t="n">
        <x:v>1039</x:v>
      </x:c>
      <x:c r="T1136" s="2" t="str">
        <x:v>(1/30),(6/7)</x:v>
      </x:c>
      <x:c r="U1136" s="2" t="str">
        <x:v>2023 배정: (1/30),(6/7)</x:v>
      </x:c>
      <x:c r="V1136" s="2" t="str">
        <x:v>2023-07-04</x:v>
      </x:c>
      <x:c r="W1136" s="2" t="str"/>
      <x:c r="X1136" s="2" t="str">
        <x:v>종결 근거 보관</x:v>
      </x:c>
      <x:c r="Y1136" s="2" t="str">
        <x:v>ad210cd9ec132cfd447541c8984dc53d30aff0f4fb2dc92d254d49275cc55976</x:v>
      </x:c>
      <x:c r="Z1136" s="2" t="n">
        <x:f>SUBTOTAL(103,A1136)</x:f>
        <x:v>1</x:v>
      </x:c>
      <x:c r="AA1136" s="2" t="str">
        <x:f>IF(K1136&lt;&gt;"미종결 표시","대상 아님",IF(N1136="","신청일 확인",IF(NOT(ISNUMBER('종합 현황'!$H$5)),"관찰기준 확인",IF('종합 현황'!$H$5&lt;1,"관찰기준 확인",IF(N1136&gt;'종합 현황'!$H$5,"내부 관찰 대상","내부 관찰일 이하")))))</x:f>
        <x:v>대상 아님</x:v>
      </x:c>
      <x:c r="AB1136" s="2"/>
    </x:row>
    <x:row r="1137" ht="42" customHeight="1">
      <x:c r="A1137" s="2" t="str">
        <x:v>087c76086f57c9935aa7ac1b</x:v>
      </x:c>
      <x:c r="B1137" s="2" t="str">
        <x:v>사업 평가</x:v>
      </x:c>
      <x:c r="C1137" s="2" t="str">
        <x:v>국내</x:v>
      </x:c>
      <x:c r="D1137" s="7" t="str">
        <x:v>(주)대연정공 1공장 외 1개사의 고효율 공기압축기 교체를 통한 온실가스 감축사업</x:v>
      </x:c>
      <x:c r="E1137" s="2" t="str">
        <x:v>998</x:v>
      </x:c>
      <x:c r="F1137" s="2" t="str">
        <x:v>2022-12-30</x:v>
      </x:c>
      <x:c r="G1137" s="2" t="str">
        <x:v>2022</x:v>
      </x:c>
      <x:c r="H1137" s="2" t="str">
        <x:v>12</x:v>
      </x:c>
      <x:c r="I1137" s="2" t="str">
        <x:v>사업변경 신청</x:v>
      </x:c>
      <x:c r="J1137" s="2" t="str">
        <x:v>반려</x:v>
      </x:c>
      <x:c r="K1137" s="2" t="str">
        <x:f>IF(OR(J1137="심의승인",J1137="반려",J1137="반려완료",J1137="심의완료"),"종결 표시",IF(OR(J1137="기후부협의",J1137="문서재제출요청",J1137="보류",J1137="보완요청",J1137="보완완료",J1137="평가중",J1137="반려요청",J1137="평가필요",LEFT(J1137,5)="보완요청("),"미종결 표시","상태 확인 필요"))</x:f>
        <x:v>종결 표시</x:v>
      </x:c>
      <x:c r="L1137" s="2" t="str">
        <x:v>에코시안_권송화</x:v>
      </x:c>
      <x:c r="M1137" s="2"/>
      <x:c r="N1137" s="8" t="n">
        <x:f>DATE(2026,10,15)-DATE(2022,12,30)</x:f>
        <x:v>1385</x:v>
      </x:c>
      <x:c r="O1137" s="2" t="str">
        <x:v>생략</x:v>
      </x:c>
      <x:c r="P1137" s="2" t="str">
        <x:v>사업계획 변경 불가한 사항으로, 공문 수령 후 반려 필요</x:v>
      </x:c>
      <x:c r="Q1137" s="2" t="str">
        <x:v>산업전환_외부사업관리Tool_260707_이너젠 수정_LJY_261013.xlsx</x:v>
      </x:c>
      <x:c r="R1137" s="2" t="str">
        <x:v>국내평가</x:v>
      </x:c>
      <x:c r="S1137" s="8" t="n">
        <x:v>1040</x:v>
      </x:c>
      <x:c r="T1137" s="2" t="str">
        <x:v>(1/30),(10/27)</x:v>
      </x:c>
      <x:c r="U1137" s="2" t="str">
        <x:v>2023 배정: (1/30),(10/27) / 2024 배정: (7/23),(10/17) / 2025 배정: (1/8),(10/16) / 2026(사전): (7/7)</x:v>
      </x:c>
      <x:c r="V1137" s="2" t="str">
        <x:v>2026-07-31</x:v>
      </x:c>
      <x:c r="W1137" s="2" t="str"/>
      <x:c r="X1137" s="2" t="str">
        <x:v>종결 근거 보관</x:v>
      </x:c>
      <x:c r="Y1137" s="2" t="str">
        <x:v>ad210cd9ec132cfd447541c8984dc53d30aff0f4fb2dc92d254d49275cc55976</x:v>
      </x:c>
      <x:c r="Z1137" s="2" t="n">
        <x:f>SUBTOTAL(103,A1137)</x:f>
        <x:v>1</x:v>
      </x:c>
      <x:c r="AA1137" s="2" t="str">
        <x:f>IF(K1137&lt;&gt;"미종결 표시","대상 아님",IF(N1137="","신청일 확인",IF(NOT(ISNUMBER('종합 현황'!$H$5)),"관찰기준 확인",IF('종합 현황'!$H$5&lt;1,"관찰기준 확인",IF(N1137&gt;'종합 현황'!$H$5,"내부 관찰 대상","내부 관찰일 이하")))))</x:f>
        <x:v>대상 아님</x:v>
      </x:c>
      <x:c r="AB1137" s="2"/>
    </x:row>
    <x:row r="1138" ht="42" customHeight="1">
      <x:c r="A1138" s="2" t="str">
        <x:v>2b4ac66ea9e7b5c7494f134f</x:v>
      </x:c>
      <x:c r="B1138" s="2" t="str">
        <x:v>사업 평가</x:v>
      </x:c>
      <x:c r="C1138" s="2" t="str">
        <x:v>국내</x:v>
      </x:c>
      <x:c r="D1138" s="7" t="str">
        <x:v>(주)신한단조 외 4개사의 고효율 공기압축기 교체를 통한 온실가스 감축사업</x:v>
      </x:c>
      <x:c r="E1138" s="2" t="str">
        <x:v>999</x:v>
      </x:c>
      <x:c r="F1138" s="2" t="str">
        <x:v>2022-12-30</x:v>
      </x:c>
      <x:c r="G1138" s="2" t="str">
        <x:v>2022</x:v>
      </x:c>
      <x:c r="H1138" s="2" t="str">
        <x:v>12</x:v>
      </x:c>
      <x:c r="I1138" s="2" t="str">
        <x:v>승인</x:v>
      </x:c>
      <x:c r="J1138" s="2" t="str">
        <x:v>심의승인</x:v>
      </x:c>
      <x:c r="K1138" s="2" t="str">
        <x:f>IF(OR(J1138="심의승인",J1138="반려",J1138="반려완료",J1138="심의완료"),"종결 표시",IF(OR(J1138="기후부협의",J1138="문서재제출요청",J1138="보류",J1138="보완요청",J1138="보완완료",J1138="평가중",J1138="반려요청",J1138="평가필요",LEFT(J1138,5)="보완요청("),"미종결 표시","상태 확인 필요"))</x:f>
        <x:v>종결 표시</x:v>
      </x:c>
      <x:c r="L1138" s="2" t="str">
        <x:v>KECM_김민정&gt;이태준</x:v>
      </x:c>
      <x:c r="M1138" s="2"/>
      <x:c r="N1138" s="8" t="n">
        <x:f>DATE(2026,10,15)-DATE(2022,12,30)</x:f>
        <x:v>1385</x:v>
      </x:c>
      <x:c r="O1138" s="2" t="str">
        <x:v>생략</x:v>
      </x:c>
      <x:c r="P1138" s="2"/>
      <x:c r="Q1138" s="2" t="str">
        <x:v>산업전환_외부사업관리Tool_260707_이너젠 수정_LJY_261013.xlsx</x:v>
      </x:c>
      <x:c r="R1138" s="2" t="str">
        <x:v>국내평가</x:v>
      </x:c>
      <x:c r="S1138" s="8" t="n">
        <x:v>1041</x:v>
      </x:c>
      <x:c r="T1138" s="2" t="str">
        <x:v>(1/30),(10/27)</x:v>
      </x:c>
      <x:c r="U1138" s="2" t="str">
        <x:v>2023 배정: (1/30),(10/27) / 2024 배정: (7/23),(10/17) / 2025 배정: (1/8),)(4/17),(5/30)</x:v>
      </x:c>
      <x:c r="V1138" s="2" t="str">
        <x:v>2026-01-02</x:v>
      </x:c>
      <x:c r="W1138" s="2" t="str"/>
      <x:c r="X1138" s="2" t="str">
        <x:v>종결 근거 보관</x:v>
      </x:c>
      <x:c r="Y1138" s="2" t="str">
        <x:v>ad210cd9ec132cfd447541c8984dc53d30aff0f4fb2dc92d254d49275cc55976</x:v>
      </x:c>
      <x:c r="Z1138" s="2" t="n">
        <x:f>SUBTOTAL(103,A1138)</x:f>
        <x:v>1</x:v>
      </x:c>
      <x:c r="AA1138" s="2" t="str">
        <x:f>IF(K1138&lt;&gt;"미종결 표시","대상 아님",IF(N1138="","신청일 확인",IF(NOT(ISNUMBER('종합 현황'!$H$5)),"관찰기준 확인",IF('종합 현황'!$H$5&lt;1,"관찰기준 확인",IF(N1138&gt;'종합 현황'!$H$5,"내부 관찰 대상","내부 관찰일 이하")))))</x:f>
        <x:v>대상 아님</x:v>
      </x:c>
      <x:c r="AB1138" s="2"/>
    </x:row>
    <x:row r="1139" ht="42" customHeight="1">
      <x:c r="A1139" s="2" t="str">
        <x:v>51286526bd47067ba23de33a</x:v>
      </x:c>
      <x:c r="B1139" s="2" t="str">
        <x:v>사업 평가</x:v>
      </x:c>
      <x:c r="C1139" s="2" t="str">
        <x:v>국내</x:v>
      </x:c>
      <x:c r="D1139" s="7" t="str">
        <x:v>(주)미래 한빛지점 고효율 공기압축기 교체를 통한 온실가스 감축사업</x:v>
      </x:c>
      <x:c r="E1139" s="2" t="str">
        <x:v>1000</x:v>
      </x:c>
      <x:c r="F1139" s="2" t="str">
        <x:v>2022-12-28</x:v>
      </x:c>
      <x:c r="G1139" s="2" t="str">
        <x:v>2022</x:v>
      </x:c>
      <x:c r="H1139" s="2" t="str">
        <x:v>12</x:v>
      </x:c>
      <x:c r="I1139" s="2" t="str">
        <x:v>승인</x:v>
      </x:c>
      <x:c r="J1139" s="2" t="str">
        <x:v>심의승인</x:v>
      </x:c>
      <x:c r="K1139" s="2" t="str">
        <x:f>IF(OR(J1139="심의승인",J1139="반려",J1139="반려완료",J1139="심의완료"),"종결 표시",IF(OR(J1139="기후부협의",J1139="문서재제출요청",J1139="보류",J1139="보완요청",J1139="보완완료",J1139="평가중",J1139="반려요청",J1139="평가필요",LEFT(J1139,5)="보완요청("),"미종결 표시","상태 확인 필요"))</x:f>
        <x:v>종결 표시</x:v>
      </x:c>
      <x:c r="L1139" s="2" t="str">
        <x:v>KECM_김민정</x:v>
      </x:c>
      <x:c r="M1139" s="2"/>
      <x:c r="N1139" s="8" t="n">
        <x:f>DATE(2026,10,15)-DATE(2022,12,28)</x:f>
        <x:v>1387</x:v>
      </x:c>
      <x:c r="O1139" s="2" t="str">
        <x:v>생략</x:v>
      </x:c>
      <x:c r="P1139" s="2" t="str">
        <x:v>57차 인증위 승인</x:v>
      </x:c>
      <x:c r="Q1139" s="2" t="str">
        <x:v>산업전환_외부사업관리Tool_260707_이너젠 수정_LJY_261013.xlsx</x:v>
      </x:c>
      <x:c r="R1139" s="2" t="str">
        <x:v>국내평가</x:v>
      </x:c>
      <x:c r="S1139" s="8" t="n">
        <x:v>1042</x:v>
      </x:c>
      <x:c r="T1139" s="2" t="str">
        <x:v>(1/30),(8/7)</x:v>
      </x:c>
      <x:c r="U1139" s="2" t="str">
        <x:v>2023 배정: (1/30),(8/7) / 2024 배정: (1/12),(2/5)</x:v>
      </x:c>
      <x:c r="V1139" s="2" t="str">
        <x:v>2025-01-02</x:v>
      </x:c>
      <x:c r="W1139" s="2" t="str"/>
      <x:c r="X1139" s="2" t="str">
        <x:v>종결 근거 보관</x:v>
      </x:c>
      <x:c r="Y1139" s="2" t="str">
        <x:v>ad210cd9ec132cfd447541c8984dc53d30aff0f4fb2dc92d254d49275cc55976</x:v>
      </x:c>
      <x:c r="Z1139" s="2" t="n">
        <x:f>SUBTOTAL(103,A1139)</x:f>
        <x:v>1</x:v>
      </x:c>
      <x:c r="AA1139" s="2" t="str">
        <x:f>IF(K1139&lt;&gt;"미종결 표시","대상 아님",IF(N1139="","신청일 확인",IF(NOT(ISNUMBER('종합 현황'!$H$5)),"관찰기준 확인",IF('종합 현황'!$H$5&lt;1,"관찰기준 확인",IF(N1139&gt;'종합 현황'!$H$5,"내부 관찰 대상","내부 관찰일 이하")))))</x:f>
        <x:v>대상 아님</x:v>
      </x:c>
      <x:c r="AB1139" s="2"/>
    </x:row>
    <x:row r="1140" ht="42" customHeight="1">
      <x:c r="A1140" s="2" t="str">
        <x:v>ec80a752ce295e94c772ba58</x:v>
      </x:c>
      <x:c r="B1140" s="2" t="str">
        <x:v>사업 평가</x:v>
      </x:c>
      <x:c r="C1140" s="2" t="str">
        <x:v>국내</x:v>
      </x:c>
      <x:c r="D1140" s="7" t="str">
        <x:v>주식회사 대륜 고효율 공기압축기 교체를 통한 온실가스 감축사업</x:v>
      </x:c>
      <x:c r="E1140" s="2" t="str">
        <x:v>1001</x:v>
      </x:c>
      <x:c r="F1140" s="2" t="str">
        <x:v>2022-12-28</x:v>
      </x:c>
      <x:c r="G1140" s="2" t="str">
        <x:v>2022</x:v>
      </x:c>
      <x:c r="H1140" s="2" t="str">
        <x:v>12</x:v>
      </x:c>
      <x:c r="I1140" s="2" t="str">
        <x:v>승인</x:v>
      </x:c>
      <x:c r="J1140" s="2" t="str">
        <x:v>심의승인</x:v>
      </x:c>
      <x:c r="K1140" s="2" t="str">
        <x:f>IF(OR(J1140="심의승인",J1140="반려",J1140="반려완료",J1140="심의완료"),"종결 표시",IF(OR(J1140="기후부협의",J1140="문서재제출요청",J1140="보류",J1140="보완요청",J1140="보완완료",J1140="평가중",J1140="반려요청",J1140="평가필요",LEFT(J1140,5)="보완요청("),"미종결 표시","상태 확인 필요"))</x:f>
        <x:v>종결 표시</x:v>
      </x:c>
      <x:c r="L1140" s="2" t="str">
        <x:v>KECM_김민정</x:v>
      </x:c>
      <x:c r="M1140" s="2"/>
      <x:c r="N1140" s="8" t="n">
        <x:f>DATE(2026,10,15)-DATE(2022,12,28)</x:f>
        <x:v>1387</x:v>
      </x:c>
      <x:c r="O1140" s="2" t="str">
        <x:v>생략</x:v>
      </x:c>
      <x:c r="P1140" s="2" t="str">
        <x:v>57차 인증위 승인</x:v>
      </x:c>
      <x:c r="Q1140" s="2" t="str">
        <x:v>산업전환_외부사업관리Tool_260707_이너젠 수정_LJY_261013.xlsx</x:v>
      </x:c>
      <x:c r="R1140" s="2" t="str">
        <x:v>국내평가</x:v>
      </x:c>
      <x:c r="S1140" s="8" t="n">
        <x:v>1043</x:v>
      </x:c>
      <x:c r="T1140" s="2" t="str">
        <x:v>(1/30)</x:v>
      </x:c>
      <x:c r="U1140" s="2" t="str">
        <x:v>2023 배정: (1/30) / 2024 배정: (1/12),(2/5)</x:v>
      </x:c>
      <x:c r="V1140" s="2" t="str">
        <x:v>2024-08-28</x:v>
      </x:c>
      <x:c r="W1140" s="2" t="str"/>
      <x:c r="X1140" s="2" t="str">
        <x:v>종결 근거 보관</x:v>
      </x:c>
      <x:c r="Y1140" s="2" t="str">
        <x:v>ad210cd9ec132cfd447541c8984dc53d30aff0f4fb2dc92d254d49275cc55976</x:v>
      </x:c>
      <x:c r="Z1140" s="2" t="n">
        <x:f>SUBTOTAL(103,A1140)</x:f>
        <x:v>1</x:v>
      </x:c>
      <x:c r="AA1140" s="2" t="str">
        <x:f>IF(K1140&lt;&gt;"미종결 표시","대상 아님",IF(N1140="","신청일 확인",IF(NOT(ISNUMBER('종합 현황'!$H$5)),"관찰기준 확인",IF('종합 현황'!$H$5&lt;1,"관찰기준 확인",IF(N1140&gt;'종합 현황'!$H$5,"내부 관찰 대상","내부 관찰일 이하")))))</x:f>
        <x:v>대상 아님</x:v>
      </x:c>
      <x:c r="AB1140" s="2"/>
    </x:row>
    <x:row r="1141" ht="42" customHeight="1">
      <x:c r="A1141" s="2" t="str">
        <x:v>de0d9229c748060ddda67073</x:v>
      </x:c>
      <x:c r="B1141" s="2" t="str">
        <x:v>사업 평가</x:v>
      </x:c>
      <x:c r="C1141" s="2" t="str">
        <x:v>국내</x:v>
      </x:c>
      <x:c r="D1141" s="7" t="str">
        <x:v>2022년 춘천시 도로조명 LED 교체를 통한 감축사업</x:v>
      </x:c>
      <x:c r="E1141" s="2" t="str">
        <x:v>1002</x:v>
      </x:c>
      <x:c r="F1141" s="2" t="str">
        <x:v>2023-01-11</x:v>
      </x:c>
      <x:c r="G1141" s="2" t="str">
        <x:v>2023</x:v>
      </x:c>
      <x:c r="H1141" s="2" t="str">
        <x:v>01</x:v>
      </x:c>
      <x:c r="I1141" s="2" t="str">
        <x:v>보완3차_문서보완중</x:v>
      </x:c>
      <x:c r="J1141" s="2" t="str">
        <x:v>보완요청</x:v>
      </x:c>
      <x:c r="K1141" s="2" t="str">
        <x:f>IF(OR(J1141="심의승인",J1141="반려",J1141="반려완료",J1141="심의완료"),"종결 표시",IF(OR(J1141="기후부협의",J1141="문서재제출요청",J1141="보류",J1141="보완요청",J1141="보완완료",J1141="평가중",J1141="반려요청",J1141="평가필요",LEFT(J1141,5)="보완요청("),"미종결 표시","상태 확인 필요"))</x:f>
        <x:v>미종결 표시</x:v>
      </x:c>
      <x:c r="L1141" s="2" t="str">
        <x:v>에코시안_기샛별,정다윤</x:v>
      </x:c>
      <x:c r="M1141" s="2" t="n">
        <x:v>3</x:v>
      </x:c>
      <x:c r="N1141" s="8" t="n">
        <x:f>DATE(2026,10,15)-DATE(2023,1,11)</x:f>
        <x:v>1373</x:v>
      </x:c>
      <x:c r="O1141" s="2" t="str">
        <x:v>생략</x:v>
      </x:c>
      <x:c r="P1141" s="2"/>
      <x:c r="Q1141" s="2" t="str">
        <x:v>산업전환_외부사업관리Tool_260707_이너젠 수정_LJY_261013.xlsx</x:v>
      </x:c>
      <x:c r="R1141" s="2" t="str">
        <x:v>국내평가</x:v>
      </x:c>
      <x:c r="S1141" s="8" t="n">
        <x:v>1044</x:v>
      </x:c>
      <x:c r="T1141" s="2" t="str">
        <x:v>(1/30)</x:v>
      </x:c>
      <x:c r="U1141" s="2" t="str">
        <x:v>2023 배정: (1/30) / 2024 배정: (4/29),(7/1),(9/2),(11/29) / 2025 배정: (3/5) / 2026(사전): (1/14)</x:v>
      </x:c>
      <x:c r="V1141" s="2" t="str">
        <x:v>2026-02-02</x:v>
      </x:c>
      <x:c r="W1141" s="2" t="str"/>
      <x:c r="X1141" s="2" t="str">
        <x:v>보완 회신 일정 확인</x:v>
      </x:c>
      <x:c r="Y1141" s="2" t="str">
        <x:v>ad210cd9ec132cfd447541c8984dc53d30aff0f4fb2dc92d254d49275cc55976</x:v>
      </x:c>
      <x:c r="Z1141" s="2" t="n">
        <x:f>SUBTOTAL(103,A1141)</x:f>
        <x:v>1</x:v>
      </x:c>
      <x:c r="AA1141" s="2" t="str">
        <x:f>IF(K1141&lt;&gt;"미종결 표시","대상 아님",IF(N1141="","신청일 확인",IF(NOT(ISNUMBER('종합 현황'!$H$5)),"관찰기준 확인",IF('종합 현황'!$H$5&lt;1,"관찰기준 확인",IF(N1141&gt;'종합 현황'!$H$5,"내부 관찰 대상","내부 관찰일 이하")))))</x:f>
        <x:v>내부 관찰 대상</x:v>
      </x:c>
      <x:c r="AB1141" s="2"/>
    </x:row>
    <x:row r="1142" ht="42" customHeight="1">
      <x:c r="A1142" s="2" t="str">
        <x:v>8d096078381d643c116dbae5</x:v>
      </x:c>
      <x:c r="B1142" s="2" t="str">
        <x:v>사업 평가</x:v>
      </x:c>
      <x:c r="C1142" s="2" t="str">
        <x:v>국내</x:v>
      </x:c>
      <x:c r="D1142" s="7" t="str">
        <x:v>(주)케이에스피 인버터 공기압축기 교체를 통한 온실가스 감축사업</x:v>
      </x:c>
      <x:c r="E1142" s="2" t="str">
        <x:v>1003</x:v>
      </x:c>
      <x:c r="F1142" s="2" t="str">
        <x:v>2023-01-17</x:v>
      </x:c>
      <x:c r="G1142" s="2" t="str">
        <x:v>2023</x:v>
      </x:c>
      <x:c r="H1142" s="2" t="str">
        <x:v>01</x:v>
      </x:c>
      <x:c r="I1142" s="2" t="str">
        <x:v>승인</x:v>
      </x:c>
      <x:c r="J1142" s="2" t="str">
        <x:v>심의승인</x:v>
      </x:c>
      <x:c r="K1142" s="2" t="str">
        <x:f>IF(OR(J1142="심의승인",J1142="반려",J1142="반려완료",J1142="심의완료"),"종결 표시",IF(OR(J1142="기후부협의",J1142="문서재제출요청",J1142="보류",J1142="보완요청",J1142="보완완료",J1142="평가중",J1142="반려요청",J1142="평가필요",LEFT(J1142,5)="보완요청("),"미종결 표시","상태 확인 필요"))</x:f>
        <x:v>종결 표시</x:v>
      </x:c>
      <x:c r="L1142" s="2" t="str">
        <x:v>KECM_김민정</x:v>
      </x:c>
      <x:c r="M1142" s="2"/>
      <x:c r="N1142" s="8" t="n">
        <x:f>DATE(2026,10,15)-DATE(2023,1,17)</x:f>
        <x:v>1367</x:v>
      </x:c>
      <x:c r="O1142" s="2" t="str">
        <x:v>생략</x:v>
      </x:c>
      <x:c r="P1142" s="2"/>
      <x:c r="Q1142" s="2" t="str">
        <x:v>산업전환_외부사업관리Tool_260707_이너젠 수정_LJY_261013.xlsx</x:v>
      </x:c>
      <x:c r="R1142" s="2" t="str">
        <x:v>국내평가</x:v>
      </x:c>
      <x:c r="S1142" s="8" t="n">
        <x:v>1045</x:v>
      </x:c>
      <x:c r="T1142" s="2" t="str">
        <x:v>(1/30)</x:v>
      </x:c>
      <x:c r="U1142" s="2" t="str">
        <x:v>2023 배정: (1/30) / 2024 배정: (11/8) / 2025 배정: (1/8),(5/30),(10/16)</x:v>
      </x:c>
      <x:c r="V1142" s="2" t="str">
        <x:v>2026-04-06</x:v>
      </x:c>
      <x:c r="W1142" s="2" t="str"/>
      <x:c r="X1142" s="2" t="str">
        <x:v>종결 근거 보관</x:v>
      </x:c>
      <x:c r="Y1142" s="2" t="str">
        <x:v>ad210cd9ec132cfd447541c8984dc53d30aff0f4fb2dc92d254d49275cc55976</x:v>
      </x:c>
      <x:c r="Z1142" s="2" t="n">
        <x:f>SUBTOTAL(103,A1142)</x:f>
        <x:v>1</x:v>
      </x:c>
      <x:c r="AA1142" s="2" t="str">
        <x:f>IF(K1142&lt;&gt;"미종결 표시","대상 아님",IF(N1142="","신청일 확인",IF(NOT(ISNUMBER('종합 현황'!$H$5)),"관찰기준 확인",IF('종합 현황'!$H$5&lt;1,"관찰기준 확인",IF(N1142&gt;'종합 현황'!$H$5,"내부 관찰 대상","내부 관찰일 이하")))))</x:f>
        <x:v>대상 아님</x:v>
      </x:c>
      <x:c r="AB1142" s="2"/>
    </x:row>
    <x:row r="1143" ht="42" customHeight="1">
      <x:c r="A1143" s="2" t="str">
        <x:v>0471f34e3e1ff6838816eb1e</x:v>
      </x:c>
      <x:c r="B1143" s="2" t="str">
        <x:v>사업 평가</x:v>
      </x:c>
      <x:c r="C1143" s="2" t="str">
        <x:v>국내</x:v>
      </x:c>
      <x:c r="D1143" s="7" t="str">
        <x:v>에스엠텍스타일 외 6개사의 고효율 공기압축기 교체를 통한 온실가스 감축사업</x:v>
      </x:c>
      <x:c r="E1143" s="2" t="str">
        <x:v>1004</x:v>
      </x:c>
      <x:c r="F1143" s="2" t="str">
        <x:v>2023-02-01</x:v>
      </x:c>
      <x:c r="G1143" s="2" t="str">
        <x:v>2023</x:v>
      </x:c>
      <x:c r="H1143" s="2" t="str">
        <x:v>02</x:v>
      </x:c>
      <x:c r="I1143" s="2" t="str">
        <x:v>협의검토중</x:v>
      </x:c>
      <x:c r="J1143" s="2" t="str">
        <x:v>보완요청</x:v>
      </x:c>
      <x:c r="K1143" s="2" t="str">
        <x:f>IF(OR(J1143="심의승인",J1143="반려",J1143="반려완료",J1143="심의완료"),"종결 표시",IF(OR(J1143="기후부협의",J1143="문서재제출요청",J1143="보류",J1143="보완요청",J1143="보완완료",J1143="평가중",J1143="반려요청",J1143="평가필요",LEFT(J1143,5)="보완요청("),"미종결 표시","상태 확인 필요"))</x:f>
        <x:v>미종결 표시</x:v>
      </x:c>
      <x:c r="L1143" s="2" t="str">
        <x:v>KECM_김민정</x:v>
      </x:c>
      <x:c r="M1143" s="2"/>
      <x:c r="N1143" s="8" t="n">
        <x:f>DATE(2026,10,15)-DATE(2023,2,1)</x:f>
        <x:v>1352</x:v>
      </x:c>
      <x:c r="O1143" s="2" t="str">
        <x:v>생략</x:v>
      </x:c>
      <x:c r="P1143" s="2"/>
      <x:c r="Q1143" s="2" t="str">
        <x:v>산업전환_외부사업관리Tool_260707_이너젠 수정_LJY_261013.xlsx</x:v>
      </x:c>
      <x:c r="R1143" s="2" t="str">
        <x:v>국내평가</x:v>
      </x:c>
      <x:c r="S1143" s="8" t="n">
        <x:v>1046</x:v>
      </x:c>
      <x:c r="T1143" s="2" t="str">
        <x:v>(2/17),(7/17)</x:v>
      </x:c>
      <x:c r="U1143" s="2" t="str">
        <x:v>2023 배정: (2/17),(7/17) / 2024 배정: (10/17) / 2025 배정: (4/9),(5/30),(7/18) / 2026(사전): (3/19),(5/26)</x:v>
      </x:c>
      <x:c r="V1143" s="2" t="str">
        <x:v>2026-09-07</x:v>
      </x:c>
      <x:c r="W1143" s="2" t="str"/>
      <x:c r="X1143" s="2" t="str">
        <x:v>보완 회신 일정 확인</x:v>
      </x:c>
      <x:c r="Y1143" s="2" t="str">
        <x:v>ad210cd9ec132cfd447541c8984dc53d30aff0f4fb2dc92d254d49275cc55976</x:v>
      </x:c>
      <x:c r="Z1143" s="2" t="n">
        <x:f>SUBTOTAL(103,A1143)</x:f>
        <x:v>1</x:v>
      </x:c>
      <x:c r="AA1143" s="2" t="str">
        <x:f>IF(K1143&lt;&gt;"미종결 표시","대상 아님",IF(N1143="","신청일 확인",IF(NOT(ISNUMBER('종합 현황'!$H$5)),"관찰기준 확인",IF('종합 현황'!$H$5&lt;1,"관찰기준 확인",IF(N1143&gt;'종합 현황'!$H$5,"내부 관찰 대상","내부 관찰일 이하")))))</x:f>
        <x:v>내부 관찰 대상</x:v>
      </x:c>
      <x:c r="AB1143" s="2"/>
    </x:row>
    <x:row r="1144" ht="42" customHeight="1">
      <x:c r="A1144" s="2" t="str">
        <x:v>e886cfa934f697e11fe7eb19</x:v>
      </x:c>
      <x:c r="B1144" s="2" t="str">
        <x:v>사업 평가</x:v>
      </x:c>
      <x:c r="C1144" s="2" t="str">
        <x:v>국내</x:v>
      </x:c>
      <x:c r="D1144" s="7" t="str">
        <x:v>그린월드 도금단지 열사용시설 개선을 통한 온실가스 감축사업</x:v>
      </x:c>
      <x:c r="E1144" s="2" t="str">
        <x:v>1005</x:v>
      </x:c>
      <x:c r="F1144" s="2" t="str">
        <x:v>2023-04-11</x:v>
      </x:c>
      <x:c r="G1144" s="2" t="str">
        <x:v>2023</x:v>
      </x:c>
      <x:c r="H1144" s="2" t="str">
        <x:v>04</x:v>
      </x:c>
      <x:c r="I1144" s="2" t="str">
        <x:v>보완1차_보완중</x:v>
      </x:c>
      <x:c r="J1144" s="2" t="str">
        <x:v>보완요청</x:v>
      </x:c>
      <x:c r="K1144" s="2" t="str">
        <x:f>IF(OR(J1144="심의승인",J1144="반려",J1144="반려완료",J1144="심의완료"),"종결 표시",IF(OR(J1144="기후부협의",J1144="문서재제출요청",J1144="보류",J1144="보완요청",J1144="보완완료",J1144="평가중",J1144="반려요청",J1144="평가필요",LEFT(J1144,5)="보완요청("),"미종결 표시","상태 확인 필요"))</x:f>
        <x:v>미종결 표시</x:v>
      </x:c>
      <x:c r="L1144" s="2" t="str">
        <x:v>KECM_김민정</x:v>
      </x:c>
      <x:c r="M1144" s="2" t="n">
        <x:v>1</x:v>
      </x:c>
      <x:c r="N1144" s="8" t="n">
        <x:f>DATE(2026,10,15)-DATE(2023,4,11)</x:f>
        <x:v>1283</x:v>
      </x:c>
      <x:c r="O1144" s="2" t="str">
        <x:v>생략</x:v>
      </x:c>
      <x:c r="P1144" s="2"/>
      <x:c r="Q1144" s="2" t="str">
        <x:v>산업전환_외부사업관리Tool_260707_이너젠 수정_LJY_261013.xlsx</x:v>
      </x:c>
      <x:c r="R1144" s="2" t="str">
        <x:v>국내평가</x:v>
      </x:c>
      <x:c r="S1144" s="8" t="n">
        <x:v>1047</x:v>
      </x:c>
      <x:c r="T1144" s="2" t="str">
        <x:v>(4/21)</x:v>
      </x:c>
      <x:c r="U1144" s="2" t="str">
        <x:v>2023 배정: (4/21)</x:v>
      </x:c>
      <x:c r="V1144" s="2" t="str">
        <x:v>2023-05-23</x:v>
      </x:c>
      <x:c r="W1144" s="2" t="str"/>
      <x:c r="X1144" s="2" t="str">
        <x:v>보완 회신 일정 확인</x:v>
      </x:c>
      <x:c r="Y1144" s="2" t="str">
        <x:v>ad210cd9ec132cfd447541c8984dc53d30aff0f4fb2dc92d254d49275cc55976</x:v>
      </x:c>
      <x:c r="Z1144" s="2" t="n">
        <x:f>SUBTOTAL(103,A1144)</x:f>
        <x:v>1</x:v>
      </x:c>
      <x:c r="AA1144" s="2" t="str">
        <x:f>IF(K1144&lt;&gt;"미종결 표시","대상 아님",IF(N1144="","신청일 확인",IF(NOT(ISNUMBER('종합 현황'!$H$5)),"관찰기준 확인",IF('종합 현황'!$H$5&lt;1,"관찰기준 확인",IF(N1144&gt;'종합 현황'!$H$5,"내부 관찰 대상","내부 관찰일 이하")))))</x:f>
        <x:v>내부 관찰 대상</x:v>
      </x:c>
      <x:c r="AB1144" s="2"/>
    </x:row>
    <x:row r="1145" ht="42" customHeight="1">
      <x:c r="A1145" s="2" t="str">
        <x:v>78355cd84eeaba4db32f7129</x:v>
      </x:c>
      <x:c r="B1145" s="2" t="str">
        <x:v>사업 평가</x:v>
      </x:c>
      <x:c r="C1145" s="2" t="str">
        <x:v>국내</x:v>
      </x:c>
      <x:c r="D1145" s="7" t="str">
        <x:v>공동주택 태양광 발전사업 2019-LH-001-02396</x:v>
      </x:c>
      <x:c r="E1145" s="2" t="str">
        <x:v>1006</x:v>
      </x:c>
      <x:c r="F1145" s="2" t="str">
        <x:v>2024-06-24</x:v>
      </x:c>
      <x:c r="G1145" s="2" t="str">
        <x:v>2024</x:v>
      </x:c>
      <x:c r="H1145" s="2" t="str">
        <x:v>06</x:v>
      </x:c>
      <x:c r="I1145" s="2" t="str">
        <x:v>인증유효기간 갱신</x:v>
      </x:c>
      <x:c r="J1145" s="2" t="str">
        <x:v>평가중</x:v>
      </x:c>
      <x:c r="K1145" s="2" t="str">
        <x:f>IF(OR(J1145="심의승인",J1145="반려",J1145="반려완료",J1145="심의완료"),"종결 표시",IF(OR(J1145="기후부협의",J1145="문서재제출요청",J1145="보류",J1145="보완요청",J1145="보완완료",J1145="평가중",J1145="반려요청",J1145="평가필요",LEFT(J1145,5)="보완요청("),"미종결 표시","상태 확인 필요"))</x:f>
        <x:v>미종결 표시</x:v>
      </x:c>
      <x:c r="L1145" s="2" t="str">
        <x:v>KECM_이태준</x:v>
      </x:c>
      <x:c r="M1145" s="2"/>
      <x:c r="N1145" s="8" t="n">
        <x:f>DATE(2026,10,15)-DATE(2024,6,24)</x:f>
        <x:v>843</x:v>
      </x:c>
      <x:c r="O1145" s="2" t="str">
        <x:v>생략</x:v>
      </x:c>
      <x:c r="P1145" s="2"/>
      <x:c r="Q1145" s="2" t="str">
        <x:v>산업전환_외부사업관리Tool_260707_이너젠 수정_LJY_261013.xlsx</x:v>
      </x:c>
      <x:c r="R1145" s="2" t="str">
        <x:v>국내평가</x:v>
      </x:c>
      <x:c r="S1145" s="8" t="n">
        <x:v>1048</x:v>
      </x:c>
      <x:c r="T1145" s="2" t="str">
        <x:v>(4/21),(8/7),(10/27)</x:v>
      </x:c>
      <x:c r="U1145" s="2" t="str">
        <x:v>2023 배정: (4/21),(8/7),(10/27) / 2024 배정: (7/1),(9/26) / 2025 배정: (1/8) / 2026(사전): (2/3),(7/7)</x:v>
      </x:c>
      <x:c r="V1145" s="2" t="str">
        <x:v>2026-06-29</x:v>
      </x:c>
      <x:c r="W1145" s="2" t="str"/>
      <x:c r="X1145" s="2" t="str">
        <x:v>검토 진행 일정 확인</x:v>
      </x:c>
      <x:c r="Y1145" s="2" t="str">
        <x:v>ad210cd9ec132cfd447541c8984dc53d30aff0f4fb2dc92d254d49275cc55976</x:v>
      </x:c>
      <x:c r="Z1145" s="2" t="n">
        <x:f>SUBTOTAL(103,A1145)</x:f>
        <x:v>1</x:v>
      </x:c>
      <x:c r="AA1145" s="2" t="str">
        <x:f>IF(K1145&lt;&gt;"미종결 표시","대상 아님",IF(N1145="","신청일 확인",IF(NOT(ISNUMBER('종합 현황'!$H$5)),"관찰기준 확인",IF('종합 현황'!$H$5&lt;1,"관찰기준 확인",IF(N1145&gt;'종합 현황'!$H$5,"내부 관찰 대상","내부 관찰일 이하")))))</x:f>
        <x:v>내부 관찰 대상</x:v>
      </x:c>
      <x:c r="AB1145" s="2"/>
    </x:row>
    <x:row r="1146" ht="42" customHeight="1">
      <x:c r="A1146" s="2" t="str">
        <x:v>91fec0a98d56d4a3489540c6</x:v>
      </x:c>
      <x:c r="B1146" s="2" t="str">
        <x:v>사업 평가</x:v>
      </x:c>
      <x:c r="C1146" s="2" t="str">
        <x:v>국내</x:v>
      </x:c>
      <x:c r="D1146" s="7" t="str">
        <x:v>태화기업 외 2개사의 고효율 공기압축기 교체를 통한 온실가스 감축사업</x:v>
      </x:c>
      <x:c r="E1146" s="2" t="str">
        <x:v>1007</x:v>
      </x:c>
      <x:c r="F1146" s="2" t="str">
        <x:v>2023-04-25</x:v>
      </x:c>
      <x:c r="G1146" s="2" t="str">
        <x:v>2023</x:v>
      </x:c>
      <x:c r="H1146" s="2" t="str">
        <x:v>04</x:v>
      </x:c>
      <x:c r="I1146" s="2" t="str">
        <x:v>보완1차_보완중</x:v>
      </x:c>
      <x:c r="J1146" s="2" t="str">
        <x:v>보완요청</x:v>
      </x:c>
      <x:c r="K1146" s="2" t="str">
        <x:f>IF(OR(J1146="심의승인",J1146="반려",J1146="반려완료",J1146="심의완료"),"종결 표시",IF(OR(J1146="기후부협의",J1146="문서재제출요청",J1146="보류",J1146="보완요청",J1146="보완완료",J1146="평가중",J1146="반려요청",J1146="평가필요",LEFT(J1146,5)="보완요청("),"미종결 표시","상태 확인 필요"))</x:f>
        <x:v>미종결 표시</x:v>
      </x:c>
      <x:c r="L1146" s="2" t="str">
        <x:v>KECM_김민정</x:v>
      </x:c>
      <x:c r="M1146" s="2" t="n">
        <x:v>1</x:v>
      </x:c>
      <x:c r="N1146" s="8" t="n">
        <x:f>DATE(2026,10,15)-DATE(2023,4,25)</x:f>
        <x:v>1269</x:v>
      </x:c>
      <x:c r="O1146" s="2" t="str">
        <x:v>생략</x:v>
      </x:c>
      <x:c r="P1146" s="2"/>
      <x:c r="Q1146" s="2" t="str">
        <x:v>산업전환_외부사업관리Tool_260707_이너젠 수정_LJY_261013.xlsx</x:v>
      </x:c>
      <x:c r="R1146" s="2" t="str">
        <x:v>국내평가</x:v>
      </x:c>
      <x:c r="S1146" s="8" t="n">
        <x:v>1049</x:v>
      </x:c>
      <x:c r="T1146" s="2" t="str">
        <x:v>(5/16)</x:v>
      </x:c>
      <x:c r="U1146" s="2" t="str">
        <x:v>2023 배정: (5/16)</x:v>
      </x:c>
      <x:c r="V1146" s="2" t="str">
        <x:v>2023-06-07</x:v>
      </x:c>
      <x:c r="W1146" s="2" t="str"/>
      <x:c r="X1146" s="2" t="str">
        <x:v>보완 회신 일정 확인</x:v>
      </x:c>
      <x:c r="Y1146" s="2" t="str">
        <x:v>ad210cd9ec132cfd447541c8984dc53d30aff0f4fb2dc92d254d49275cc55976</x:v>
      </x:c>
      <x:c r="Z1146" s="2" t="n">
        <x:f>SUBTOTAL(103,A1146)</x:f>
        <x:v>1</x:v>
      </x:c>
      <x:c r="AA1146" s="2" t="str">
        <x:f>IF(K1146&lt;&gt;"미종결 표시","대상 아님",IF(N1146="","신청일 확인",IF(NOT(ISNUMBER('종합 현황'!$H$5)),"관찰기준 확인",IF('종합 현황'!$H$5&lt;1,"관찰기준 확인",IF(N1146&gt;'종합 현황'!$H$5,"내부 관찰 대상","내부 관찰일 이하")))))</x:f>
        <x:v>내부 관찰 대상</x:v>
      </x:c>
      <x:c r="AB1146" s="2"/>
    </x:row>
    <x:row r="1147" ht="42" customHeight="1">
      <x:c r="A1147" s="2" t="str">
        <x:v>9c76cf184453b1ddb98853b7</x:v>
      </x:c>
      <x:c r="B1147" s="2" t="str">
        <x:v>사업 평가</x:v>
      </x:c>
      <x:c r="C1147" s="2" t="str">
        <x:v>국내</x:v>
      </x:c>
      <x:c r="D1147" s="7" t="str">
        <x:v>㈜일진단지  고효율 터보 블로워 교체 사업</x:v>
      </x:c>
      <x:c r="E1147" s="2" t="str">
        <x:v>1008</x:v>
      </x:c>
      <x:c r="F1147" s="2" t="str">
        <x:v>2023-04-25</x:v>
      </x:c>
      <x:c r="G1147" s="2" t="str">
        <x:v>2023</x:v>
      </x:c>
      <x:c r="H1147" s="2" t="str">
        <x:v>04</x:v>
      </x:c>
      <x:c r="I1147" s="2" t="str">
        <x:v>반려</x:v>
      </x:c>
      <x:c r="J1147" s="2" t="str">
        <x:v>반려</x:v>
      </x:c>
      <x:c r="K1147" s="2" t="str">
        <x:f>IF(OR(J1147="심의승인",J1147="반려",J1147="반려완료",J1147="심의완료"),"종결 표시",IF(OR(J1147="기후부협의",J1147="문서재제출요청",J1147="보류",J1147="보완요청",J1147="보완완료",J1147="평가중",J1147="반려요청",J1147="평가필요",LEFT(J1147,5)="보완요청("),"미종결 표시","상태 확인 필요"))</x:f>
        <x:v>종결 표시</x:v>
      </x:c>
      <x:c r="L1147" s="2" t="str">
        <x:v>KECM_김민정</x:v>
      </x:c>
      <x:c r="M1147" s="2"/>
      <x:c r="N1147" s="8" t="n">
        <x:f>DATE(2026,10,15)-DATE(2023,4,25)</x:f>
        <x:v>1269</x:v>
      </x:c>
      <x:c r="O1147" s="2"/>
      <x:c r="P1147" s="2"/>
      <x:c r="Q1147" s="2" t="str">
        <x:v>산업전환_외부사업관리Tool_260707_이너젠 수정_LJY_261013.xlsx</x:v>
      </x:c>
      <x:c r="R1147" s="2" t="str">
        <x:v>국내평가</x:v>
      </x:c>
      <x:c r="S1147" s="8" t="n">
        <x:v>1050</x:v>
      </x:c>
      <x:c r="T1147" s="2" t="str">
        <x:v>(5/16),(10/6)</x:v>
      </x:c>
      <x:c r="U1147" s="2" t="str">
        <x:v>2023 배정: (5/16),(10/6) / 2024 배정: 2024년 처리</x:v>
      </x:c>
      <x:c r="V1147" s="2" t="str">
        <x:v>2024-05-14</x:v>
      </x:c>
      <x:c r="W1147" s="2" t="str"/>
      <x:c r="X1147" s="2" t="str">
        <x:v>종결 근거 보관</x:v>
      </x:c>
      <x:c r="Y1147" s="2" t="str">
        <x:v>ad210cd9ec132cfd447541c8984dc53d30aff0f4fb2dc92d254d49275cc55976</x:v>
      </x:c>
      <x:c r="Z1147" s="2" t="n">
        <x:f>SUBTOTAL(103,A1147)</x:f>
        <x:v>1</x:v>
      </x:c>
      <x:c r="AA1147" s="2" t="str">
        <x:f>IF(K1147&lt;&gt;"미종결 표시","대상 아님",IF(N1147="","신청일 확인",IF(NOT(ISNUMBER('종합 현황'!$H$5)),"관찰기준 확인",IF('종합 현황'!$H$5&lt;1,"관찰기준 확인",IF(N1147&gt;'종합 현황'!$H$5,"내부 관찰 대상","내부 관찰일 이하")))))</x:f>
        <x:v>대상 아님</x:v>
      </x:c>
      <x:c r="AB1147" s="2"/>
    </x:row>
    <x:row r="1148" ht="42" customHeight="1">
      <x:c r="A1148" s="2" t="str">
        <x:v>26f23388dc9dc20efab1b4f3</x:v>
      </x:c>
      <x:c r="B1148" s="2" t="str">
        <x:v>사업 평가</x:v>
      </x:c>
      <x:c r="C1148" s="2" t="str">
        <x:v>국내</x:v>
      </x:c>
      <x:c r="D1148" s="7" t="str">
        <x:v>(주)코리아엔지니어링 고효율 2단 인버터 PM Motor 공기압축기 교체사업</x:v>
      </x:c>
      <x:c r="E1148" s="2" t="str">
        <x:v>1009</x:v>
      </x:c>
      <x:c r="F1148" s="2" t="str">
        <x:v>2023-04-25</x:v>
      </x:c>
      <x:c r="G1148" s="2" t="str">
        <x:v>2023</x:v>
      </x:c>
      <x:c r="H1148" s="2" t="str">
        <x:v>04</x:v>
      </x:c>
      <x:c r="I1148" s="2" t="str">
        <x:v>반려</x:v>
      </x:c>
      <x:c r="J1148" s="2" t="str">
        <x:v>반려</x:v>
      </x:c>
      <x:c r="K1148" s="2" t="str">
        <x:f>IF(OR(J1148="심의승인",J1148="반려",J1148="반려완료",J1148="심의완료"),"종결 표시",IF(OR(J1148="기후부협의",J1148="문서재제출요청",J1148="보류",J1148="보완요청",J1148="보완완료",J1148="평가중",J1148="반려요청",J1148="평가필요",LEFT(J1148,5)="보완요청("),"미종결 표시","상태 확인 필요"))</x:f>
        <x:v>종결 표시</x:v>
      </x:c>
      <x:c r="L1148" s="2" t="str">
        <x:v>KECM_김민정</x:v>
      </x:c>
      <x:c r="M1148" s="2"/>
      <x:c r="N1148" s="8" t="n">
        <x:f>DATE(2026,10,15)-DATE(2023,4,25)</x:f>
        <x:v>1269</x:v>
      </x:c>
      <x:c r="O1148" s="2"/>
      <x:c r="P1148" s="2"/>
      <x:c r="Q1148" s="2" t="str">
        <x:v>산업전환_외부사업관리Tool_260707_이너젠 수정_LJY_261013.xlsx</x:v>
      </x:c>
      <x:c r="R1148" s="2" t="str">
        <x:v>국내평가</x:v>
      </x:c>
      <x:c r="S1148" s="8" t="n">
        <x:v>1051</x:v>
      </x:c>
      <x:c r="T1148" s="2" t="str">
        <x:v>(5/16),(10/6)</x:v>
      </x:c>
      <x:c r="U1148" s="2" t="str">
        <x:v>2023 배정: (5/16),(10/6) / 2024 배정: 2024년 처리</x:v>
      </x:c>
      <x:c r="V1148" s="2" t="str">
        <x:v>2024-05-14</x:v>
      </x:c>
      <x:c r="W1148" s="2" t="str"/>
      <x:c r="X1148" s="2" t="str">
        <x:v>종결 근거 보관</x:v>
      </x:c>
      <x:c r="Y1148" s="2" t="str">
        <x:v>ad210cd9ec132cfd447541c8984dc53d30aff0f4fb2dc92d254d49275cc55976</x:v>
      </x:c>
      <x:c r="Z1148" s="2" t="n">
        <x:f>SUBTOTAL(103,A1148)</x:f>
        <x:v>1</x:v>
      </x:c>
      <x:c r="AA1148" s="2" t="str">
        <x:f>IF(K1148&lt;&gt;"미종결 표시","대상 아님",IF(N1148="","신청일 확인",IF(NOT(ISNUMBER('종합 현황'!$H$5)),"관찰기준 확인",IF('종합 현황'!$H$5&lt;1,"관찰기준 확인",IF(N1148&gt;'종합 현황'!$H$5,"내부 관찰 대상","내부 관찰일 이하")))))</x:f>
        <x:v>대상 아님</x:v>
      </x:c>
      <x:c r="AB1148" s="2"/>
    </x:row>
    <x:row r="1149" ht="42" customHeight="1">
      <x:c r="A1149" s="2" t="str">
        <x:v>82c20feb01d7695593959d4e</x:v>
      </x:c>
      <x:c r="B1149" s="2" t="str">
        <x:v>사업 평가</x:v>
      </x:c>
      <x:c r="C1149" s="2" t="str">
        <x:v>국내</x:v>
      </x:c>
      <x:c r="D1149" s="7" t="str">
        <x:v>대구염색산업단지 내 인버터 공기압축기 고효율설비 교체사업</x:v>
      </x:c>
      <x:c r="E1149" s="2" t="str">
        <x:v>1010</x:v>
      </x:c>
      <x:c r="F1149" s="2" t="str">
        <x:v>2023-04-26</x:v>
      </x:c>
      <x:c r="G1149" s="2" t="str">
        <x:v>2023</x:v>
      </x:c>
      <x:c r="H1149" s="2" t="str">
        <x:v>04</x:v>
      </x:c>
      <x:c r="I1149" s="2" t="str">
        <x:v>보완1차_보완중</x:v>
      </x:c>
      <x:c r="J1149" s="2" t="str">
        <x:v>보완요청</x:v>
      </x:c>
      <x:c r="K1149" s="2" t="str">
        <x:f>IF(OR(J1149="심의승인",J1149="반려",J1149="반려완료",J1149="심의완료"),"종결 표시",IF(OR(J1149="기후부협의",J1149="문서재제출요청",J1149="보류",J1149="보완요청",J1149="보완완료",J1149="평가중",J1149="반려요청",J1149="평가필요",LEFT(J1149,5)="보완요청("),"미종결 표시","상태 확인 필요"))</x:f>
        <x:v>미종결 표시</x:v>
      </x:c>
      <x:c r="L1149" s="2" t="str">
        <x:v>KECM_김민정</x:v>
      </x:c>
      <x:c r="M1149" s="2" t="n">
        <x:v>1</x:v>
      </x:c>
      <x:c r="N1149" s="8" t="n">
        <x:f>DATE(2026,10,15)-DATE(2023,4,26)</x:f>
        <x:v>1268</x:v>
      </x:c>
      <x:c r="O1149" s="2" t="str">
        <x:v>생략</x:v>
      </x:c>
      <x:c r="P1149" s="2"/>
      <x:c r="Q1149" s="2" t="str">
        <x:v>산업전환_외부사업관리Tool_260707_이너젠 수정_LJY_261013.xlsx</x:v>
      </x:c>
      <x:c r="R1149" s="2" t="str">
        <x:v>국내평가</x:v>
      </x:c>
      <x:c r="S1149" s="8" t="n">
        <x:v>1052</x:v>
      </x:c>
      <x:c r="T1149" s="2" t="str">
        <x:v>(5/16)</x:v>
      </x:c>
      <x:c r="U1149" s="2" t="str">
        <x:v>2023 배정: (5/16)</x:v>
      </x:c>
      <x:c r="V1149" s="2" t="str">
        <x:v>2023-06-09</x:v>
      </x:c>
      <x:c r="W1149" s="2" t="str"/>
      <x:c r="X1149" s="2" t="str">
        <x:v>보완 회신 일정 확인</x:v>
      </x:c>
      <x:c r="Y1149" s="2" t="str">
        <x:v>ad210cd9ec132cfd447541c8984dc53d30aff0f4fb2dc92d254d49275cc55976</x:v>
      </x:c>
      <x:c r="Z1149" s="2" t="n">
        <x:f>SUBTOTAL(103,A1149)</x:f>
        <x:v>1</x:v>
      </x:c>
      <x:c r="AA1149" s="2" t="str">
        <x:f>IF(K1149&lt;&gt;"미종결 표시","대상 아님",IF(N1149="","신청일 확인",IF(NOT(ISNUMBER('종합 현황'!$H$5)),"관찰기준 확인",IF('종합 현황'!$H$5&lt;1,"관찰기준 확인",IF(N1149&gt;'종합 현황'!$H$5,"내부 관찰 대상","내부 관찰일 이하")))))</x:f>
        <x:v>내부 관찰 대상</x:v>
      </x:c>
      <x:c r="AB1149" s="2"/>
    </x:row>
    <x:row r="1150" ht="42" customHeight="1">
      <x:c r="A1150" s="2" t="str">
        <x:v>22a34711588c3f68f45a6af6</x:v>
      </x:c>
      <x:c r="B1150" s="2" t="str">
        <x:v>사업 평가</x:v>
      </x:c>
      <x:c r="C1150" s="2" t="str">
        <x:v>국내</x:v>
      </x:c>
      <x:c r="D1150" s="7" t="str">
        <x:v>대구염색일반산업단지 내 인버터 공기압축기 고효율설비 교체사업</x:v>
      </x:c>
      <x:c r="E1150" s="2" t="str">
        <x:v>1011</x:v>
      </x:c>
      <x:c r="F1150" s="2" t="str">
        <x:v>2023-04-26</x:v>
      </x:c>
      <x:c r="G1150" s="2" t="str">
        <x:v>2023</x:v>
      </x:c>
      <x:c r="H1150" s="2" t="str">
        <x:v>04</x:v>
      </x:c>
      <x:c r="I1150" s="2" t="str">
        <x:v>보완1차_보완중</x:v>
      </x:c>
      <x:c r="J1150" s="2" t="str">
        <x:v>보완요청</x:v>
      </x:c>
      <x:c r="K1150" s="2" t="str">
        <x:f>IF(OR(J1150="심의승인",J1150="반려",J1150="반려완료",J1150="심의완료"),"종결 표시",IF(OR(J1150="기후부협의",J1150="문서재제출요청",J1150="보류",J1150="보완요청",J1150="보완완료",J1150="평가중",J1150="반려요청",J1150="평가필요",LEFT(J1150,5)="보완요청("),"미종결 표시","상태 확인 필요"))</x:f>
        <x:v>미종결 표시</x:v>
      </x:c>
      <x:c r="L1150" s="2" t="str">
        <x:v>KECM_김민정</x:v>
      </x:c>
      <x:c r="M1150" s="2" t="n">
        <x:v>1</x:v>
      </x:c>
      <x:c r="N1150" s="8" t="n">
        <x:f>DATE(2026,10,15)-DATE(2023,4,26)</x:f>
        <x:v>1268</x:v>
      </x:c>
      <x:c r="O1150" s="2" t="str">
        <x:v>생략</x:v>
      </x:c>
      <x:c r="P1150" s="2"/>
      <x:c r="Q1150" s="2" t="str">
        <x:v>산업전환_외부사업관리Tool_260707_이너젠 수정_LJY_261013.xlsx</x:v>
      </x:c>
      <x:c r="R1150" s="2" t="str">
        <x:v>국내평가</x:v>
      </x:c>
      <x:c r="S1150" s="8" t="n">
        <x:v>1053</x:v>
      </x:c>
      <x:c r="T1150" s="2" t="str">
        <x:v>(5/16)</x:v>
      </x:c>
      <x:c r="U1150" s="2" t="str">
        <x:v>2023 배정: (5/16)</x:v>
      </x:c>
      <x:c r="V1150" s="2" t="str">
        <x:v>2023-06-09</x:v>
      </x:c>
      <x:c r="W1150" s="2" t="str"/>
      <x:c r="X1150" s="2" t="str">
        <x:v>보완 회신 일정 확인</x:v>
      </x:c>
      <x:c r="Y1150" s="2" t="str">
        <x:v>ad210cd9ec132cfd447541c8984dc53d30aff0f4fb2dc92d254d49275cc55976</x:v>
      </x:c>
      <x:c r="Z1150" s="2" t="n">
        <x:f>SUBTOTAL(103,A1150)</x:f>
        <x:v>1</x:v>
      </x:c>
      <x:c r="AA1150" s="2" t="str">
        <x:f>IF(K1150&lt;&gt;"미종결 표시","대상 아님",IF(N1150="","신청일 확인",IF(NOT(ISNUMBER('종합 현황'!$H$5)),"관찰기준 확인",IF('종합 현황'!$H$5&lt;1,"관찰기준 확인",IF(N1150&gt;'종합 현황'!$H$5,"내부 관찰 대상","내부 관찰일 이하")))))</x:f>
        <x:v>내부 관찰 대상</x:v>
      </x:c>
      <x:c r="AB1150" s="2"/>
    </x:row>
    <x:row r="1151" ht="42" customHeight="1">
      <x:c r="A1151" s="2" t="str">
        <x:v>231909e0114e88346d81ea01</x:v>
      </x:c>
      <x:c r="B1151" s="2" t="str">
        <x:v>사업 평가</x:v>
      </x:c>
      <x:c r="C1151" s="2" t="str">
        <x:v>국내</x:v>
      </x:c>
      <x:c r="D1151" s="7" t="str">
        <x:v>안산 시우로 단지 내 인버터 공기압축기 고효율설비 교체사업</x:v>
      </x:c>
      <x:c r="E1151" s="2" t="str">
        <x:v>1012</x:v>
      </x:c>
      <x:c r="F1151" s="2" t="str">
        <x:v>2023-04-26</x:v>
      </x:c>
      <x:c r="G1151" s="2" t="str">
        <x:v>2023</x:v>
      </x:c>
      <x:c r="H1151" s="2" t="str">
        <x:v>04</x:v>
      </x:c>
      <x:c r="I1151" s="2" t="str">
        <x:v>보완1차_보완중</x:v>
      </x:c>
      <x:c r="J1151" s="2" t="str">
        <x:v>보완요청</x:v>
      </x:c>
      <x:c r="K1151" s="2" t="str">
        <x:f>IF(OR(J1151="심의승인",J1151="반려",J1151="반려완료",J1151="심의완료"),"종결 표시",IF(OR(J1151="기후부협의",J1151="문서재제출요청",J1151="보류",J1151="보완요청",J1151="보완완료",J1151="평가중",J1151="반려요청",J1151="평가필요",LEFT(J1151,5)="보완요청("),"미종결 표시","상태 확인 필요"))</x:f>
        <x:v>미종결 표시</x:v>
      </x:c>
      <x:c r="L1151" s="2" t="str">
        <x:v>KECM_김민정</x:v>
      </x:c>
      <x:c r="M1151" s="2" t="n">
        <x:v>1</x:v>
      </x:c>
      <x:c r="N1151" s="8" t="n">
        <x:f>DATE(2026,10,15)-DATE(2023,4,26)</x:f>
        <x:v>1268</x:v>
      </x:c>
      <x:c r="O1151" s="2" t="str">
        <x:v>생략</x:v>
      </x:c>
      <x:c r="P1151" s="2"/>
      <x:c r="Q1151" s="2" t="str">
        <x:v>산업전환_외부사업관리Tool_260707_이너젠 수정_LJY_261013.xlsx</x:v>
      </x:c>
      <x:c r="R1151" s="2" t="str">
        <x:v>국내평가</x:v>
      </x:c>
      <x:c r="S1151" s="8" t="n">
        <x:v>1054</x:v>
      </x:c>
      <x:c r="T1151" s="2" t="str">
        <x:v>(5/16)</x:v>
      </x:c>
      <x:c r="U1151" s="2" t="str">
        <x:v>2023 배정: (5/16)</x:v>
      </x:c>
      <x:c r="V1151" s="2" t="str">
        <x:v>2023-06-09</x:v>
      </x:c>
      <x:c r="W1151" s="2" t="str"/>
      <x:c r="X1151" s="2" t="str">
        <x:v>보완 회신 일정 확인</x:v>
      </x:c>
      <x:c r="Y1151" s="2" t="str">
        <x:v>ad210cd9ec132cfd447541c8984dc53d30aff0f4fb2dc92d254d49275cc55976</x:v>
      </x:c>
      <x:c r="Z1151" s="2" t="n">
        <x:f>SUBTOTAL(103,A1151)</x:f>
        <x:v>1</x:v>
      </x:c>
      <x:c r="AA1151" s="2" t="str">
        <x:f>IF(K1151&lt;&gt;"미종결 표시","대상 아님",IF(N1151="","신청일 확인",IF(NOT(ISNUMBER('종합 현황'!$H$5)),"관찰기준 확인",IF('종합 현황'!$H$5&lt;1,"관찰기준 확인",IF(N1151&gt;'종합 현황'!$H$5,"내부 관찰 대상","내부 관찰일 이하")))))</x:f>
        <x:v>내부 관찰 대상</x:v>
      </x:c>
      <x:c r="AB1151" s="2"/>
    </x:row>
    <x:row r="1152" ht="42" customHeight="1">
      <x:c r="A1152" s="2" t="str">
        <x:v>c5132a06cb1f2b5994833e96</x:v>
      </x:c>
      <x:c r="B1152" s="2" t="str">
        <x:v>사업 평가</x:v>
      </x:c>
      <x:c r="C1152" s="2" t="str">
        <x:v>국내</x:v>
      </x:c>
      <x:c r="D1152" s="7" t="str">
        <x:v>충주 산업단지 내 인버터 공기압축기 고효율설비 교체사업</x:v>
      </x:c>
      <x:c r="E1152" s="2" t="str">
        <x:v>1013</x:v>
      </x:c>
      <x:c r="F1152" s="2" t="str">
        <x:v>2023-04-26</x:v>
      </x:c>
      <x:c r="G1152" s="2" t="str">
        <x:v>2023</x:v>
      </x:c>
      <x:c r="H1152" s="2" t="str">
        <x:v>04</x:v>
      </x:c>
      <x:c r="I1152" s="2" t="str">
        <x:v>보완1차_보완중</x:v>
      </x:c>
      <x:c r="J1152" s="2" t="str">
        <x:v>보완요청</x:v>
      </x:c>
      <x:c r="K1152" s="2" t="str">
        <x:f>IF(OR(J1152="심의승인",J1152="반려",J1152="반려완료",J1152="심의완료"),"종결 표시",IF(OR(J1152="기후부협의",J1152="문서재제출요청",J1152="보류",J1152="보완요청",J1152="보완완료",J1152="평가중",J1152="반려요청",J1152="평가필요",LEFT(J1152,5)="보완요청("),"미종결 표시","상태 확인 필요"))</x:f>
        <x:v>미종결 표시</x:v>
      </x:c>
      <x:c r="L1152" s="2" t="str">
        <x:v>에코시안_권송화, 박세은</x:v>
      </x:c>
      <x:c r="M1152" s="2" t="n">
        <x:v>1</x:v>
      </x:c>
      <x:c r="N1152" s="8" t="n">
        <x:f>DATE(2026,10,15)-DATE(2023,4,26)</x:f>
        <x:v>1268</x:v>
      </x:c>
      <x:c r="O1152" s="2" t="str">
        <x:v>생략</x:v>
      </x:c>
      <x:c r="P1152" s="2"/>
      <x:c r="Q1152" s="2" t="str">
        <x:v>산업전환_외부사업관리Tool_260707_이너젠 수정_LJY_261013.xlsx</x:v>
      </x:c>
      <x:c r="R1152" s="2" t="str">
        <x:v>국내평가</x:v>
      </x:c>
      <x:c r="S1152" s="8" t="n">
        <x:v>1055</x:v>
      </x:c>
      <x:c r="T1152" s="2" t="str">
        <x:v>(5/16)</x:v>
      </x:c>
      <x:c r="U1152" s="2" t="str">
        <x:v>2023 배정: (5/16)</x:v>
      </x:c>
      <x:c r="V1152" s="2" t="str">
        <x:v>2023-06-08</x:v>
      </x:c>
      <x:c r="W1152" s="2" t="str"/>
      <x:c r="X1152" s="2" t="str">
        <x:v>보완 회신 일정 확인</x:v>
      </x:c>
      <x:c r="Y1152" s="2" t="str">
        <x:v>ad210cd9ec132cfd447541c8984dc53d30aff0f4fb2dc92d254d49275cc55976</x:v>
      </x:c>
      <x:c r="Z1152" s="2" t="n">
        <x:f>SUBTOTAL(103,A1152)</x:f>
        <x:v>1</x:v>
      </x:c>
      <x:c r="AA1152" s="2" t="str">
        <x:f>IF(K1152&lt;&gt;"미종결 표시","대상 아님",IF(N1152="","신청일 확인",IF(NOT(ISNUMBER('종합 현황'!$H$5)),"관찰기준 확인",IF('종합 현황'!$H$5&lt;1,"관찰기준 확인",IF(N1152&gt;'종합 현황'!$H$5,"내부 관찰 대상","내부 관찰일 이하")))))</x:f>
        <x:v>내부 관찰 대상</x:v>
      </x:c>
      <x:c r="AB1152" s="2"/>
    </x:row>
    <x:row r="1153" ht="42" customHeight="1">
      <x:c r="A1153" s="2" t="str">
        <x:v>0cdf9d25e303101d176473b3</x:v>
      </x:c>
      <x:c r="B1153" s="2" t="str">
        <x:v>사업 평가</x:v>
      </x:c>
      <x:c r="C1153" s="2" t="str">
        <x:v>국내</x:v>
      </x:c>
      <x:c r="D1153" s="7" t="str">
        <x:v>그린월드 도금단지 열사용시설 개선을 통한 온실가스 감축사업</x:v>
      </x:c>
      <x:c r="E1153" s="2" t="str">
        <x:v>1014</x:v>
      </x:c>
      <x:c r="F1153" s="2" t="str">
        <x:v>2023-04-26</x:v>
      </x:c>
      <x:c r="G1153" s="2" t="str">
        <x:v>2023</x:v>
      </x:c>
      <x:c r="H1153" s="2" t="str">
        <x:v>04</x:v>
      </x:c>
      <x:c r="I1153" s="2" t="str">
        <x:v>문서재제출</x:v>
      </x:c>
      <x:c r="J1153" s="2" t="str">
        <x:v>보완요청</x:v>
      </x:c>
      <x:c r="K1153" s="2" t="str">
        <x:f>IF(OR(J1153="심의승인",J1153="반려",J1153="반려완료",J1153="심의완료"),"종결 표시",IF(OR(J1153="기후부협의",J1153="문서재제출요청",J1153="보류",J1153="보완요청",J1153="보완완료",J1153="평가중",J1153="반려요청",J1153="평가필요",LEFT(J1153,5)="보완요청("),"미종결 표시","상태 확인 필요"))</x:f>
        <x:v>미종결 표시</x:v>
      </x:c>
      <x:c r="L1153" s="2" t="str">
        <x:v>KECM_김민정</x:v>
      </x:c>
      <x:c r="M1153" s="2"/>
      <x:c r="N1153" s="8" t="n">
        <x:f>DATE(2026,10,15)-DATE(2023,4,26)</x:f>
        <x:v>1268</x:v>
      </x:c>
      <x:c r="O1153" s="2" t="str">
        <x:v>생략</x:v>
      </x:c>
      <x:c r="P1153" s="2"/>
      <x:c r="Q1153" s="2" t="str">
        <x:v>산업전환_외부사업관리Tool_260707_이너젠 수정_LJY_261013.xlsx</x:v>
      </x:c>
      <x:c r="R1153" s="2" t="str">
        <x:v>국내평가</x:v>
      </x:c>
      <x:c r="S1153" s="8" t="n">
        <x:v>1056</x:v>
      </x:c>
      <x:c r="T1153" s="2" t="str">
        <x:v>(5/16)</x:v>
      </x:c>
      <x:c r="U1153" s="2" t="str">
        <x:v>2023 배정: (5/16)</x:v>
      </x:c>
      <x:c r="V1153" s="2" t="str">
        <x:v>2023-05-24</x:v>
      </x:c>
      <x:c r="W1153" s="2" t="str"/>
      <x:c r="X1153" s="2" t="str">
        <x:v>보완 회신 일정 확인</x:v>
      </x:c>
      <x:c r="Y1153" s="2" t="str">
        <x:v>ad210cd9ec132cfd447541c8984dc53d30aff0f4fb2dc92d254d49275cc55976</x:v>
      </x:c>
      <x:c r="Z1153" s="2" t="n">
        <x:f>SUBTOTAL(103,A1153)</x:f>
        <x:v>1</x:v>
      </x:c>
      <x:c r="AA1153" s="2" t="str">
        <x:f>IF(K1153&lt;&gt;"미종결 표시","대상 아님",IF(N1153="","신청일 확인",IF(NOT(ISNUMBER('종합 현황'!$H$5)),"관찰기준 확인",IF('종합 현황'!$H$5&lt;1,"관찰기준 확인",IF(N1153&gt;'종합 현황'!$H$5,"내부 관찰 대상","내부 관찰일 이하")))))</x:f>
        <x:v>내부 관찰 대상</x:v>
      </x:c>
      <x:c r="AB1153" s="2"/>
    </x:row>
    <x:row r="1154" ht="42" customHeight="1">
      <x:c r="A1154" s="2" t="str">
        <x:v>03a4c419523f214e396ec130</x:v>
      </x:c>
      <x:c r="B1154" s="2" t="str">
        <x:v>사업 평가</x:v>
      </x:c>
      <x:c r="C1154" s="2" t="str">
        <x:v>국내</x:v>
      </x:c>
      <x:c r="D1154" s="7" t="str">
        <x:v>은천노인복지회 서울형 에너지복지 태양광 발전사업</x:v>
      </x:c>
      <x:c r="E1154" s="2" t="str">
        <x:v>1015</x:v>
      </x:c>
      <x:c r="F1154" s="2" t="str">
        <x:v>2023-04-28</x:v>
      </x:c>
      <x:c r="G1154" s="2" t="str">
        <x:v>2023</x:v>
      </x:c>
      <x:c r="H1154" s="2" t="str">
        <x:v>04</x:v>
      </x:c>
      <x:c r="I1154" s="2" t="str">
        <x:v>승인</x:v>
      </x:c>
      <x:c r="J1154" s="2" t="str">
        <x:v>심의승인</x:v>
      </x:c>
      <x:c r="K1154" s="2" t="str">
        <x:f>IF(OR(J1154="심의승인",J1154="반려",J1154="반려완료",J1154="심의완료"),"종결 표시",IF(OR(J1154="기후부협의",J1154="문서재제출요청",J1154="보류",J1154="보완요청",J1154="보완완료",J1154="평가중",J1154="반려요청",J1154="평가필요",LEFT(J1154,5)="보완요청("),"미종결 표시","상태 확인 필요"))</x:f>
        <x:v>종결 표시</x:v>
      </x:c>
      <x:c r="L1154" s="2" t="str">
        <x:v>에코시안_전윤호</x:v>
      </x:c>
      <x:c r="M1154" s="2"/>
      <x:c r="N1154" s="8" t="n">
        <x:f>DATE(2026,10,15)-DATE(2023,4,28)</x:f>
        <x:v>1266</x:v>
      </x:c>
      <x:c r="O1154" s="2" t="str">
        <x:v>생략</x:v>
      </x:c>
      <x:c r="P1154" s="2"/>
      <x:c r="Q1154" s="2" t="str">
        <x:v>산업전환_외부사업관리Tool_260707_이너젠 수정_LJY_261013.xlsx</x:v>
      </x:c>
      <x:c r="R1154" s="2" t="str">
        <x:v>국내평가</x:v>
      </x:c>
      <x:c r="S1154" s="8" t="n">
        <x:v>1057</x:v>
      </x:c>
      <x:c r="T1154" s="2" t="str">
        <x:v>(5/16),(6/27)</x:v>
      </x:c>
      <x:c r="U1154" s="2" t="str">
        <x:v>2023 배정: (5/16),(6/27)</x:v>
      </x:c>
      <x:c r="V1154" s="2" t="str">
        <x:v>2023-12-14</x:v>
      </x:c>
      <x:c r="W1154" s="2" t="str"/>
      <x:c r="X1154" s="2" t="str">
        <x:v>종결 근거 보관</x:v>
      </x:c>
      <x:c r="Y1154" s="2" t="str">
        <x:v>ad210cd9ec132cfd447541c8984dc53d30aff0f4fb2dc92d254d49275cc55976</x:v>
      </x:c>
      <x:c r="Z1154" s="2" t="n">
        <x:f>SUBTOTAL(103,A1154)</x:f>
        <x:v>1</x:v>
      </x:c>
      <x:c r="AA1154" s="2" t="str">
        <x:f>IF(K1154&lt;&gt;"미종결 표시","대상 아님",IF(N1154="","신청일 확인",IF(NOT(ISNUMBER('종합 현황'!$H$5)),"관찰기준 확인",IF('종합 현황'!$H$5&lt;1,"관찰기준 확인",IF(N1154&gt;'종합 현황'!$H$5,"내부 관찰 대상","내부 관찰일 이하")))))</x:f>
        <x:v>대상 아님</x:v>
      </x:c>
      <x:c r="AB1154" s="2"/>
    </x:row>
    <x:row r="1155" ht="42" customHeight="1">
      <x:c r="A1155" s="2" t="str">
        <x:v>aa27a00beb40c1b647080ff2</x:v>
      </x:c>
      <x:c r="B1155" s="2" t="str">
        <x:v>사업 평가</x:v>
      </x:c>
      <x:c r="C1155" s="2" t="str">
        <x:v>국내</x:v>
      </x:c>
      <x:c r="D1155" s="7" t="str">
        <x:v>다일복지재단 서울형 에너지복지 태양광 발전사업</x:v>
      </x:c>
      <x:c r="E1155" s="2" t="str">
        <x:v>1016</x:v>
      </x:c>
      <x:c r="F1155" s="2" t="str">
        <x:v>2023-04-28</x:v>
      </x:c>
      <x:c r="G1155" s="2" t="str">
        <x:v>2023</x:v>
      </x:c>
      <x:c r="H1155" s="2" t="str">
        <x:v>04</x:v>
      </x:c>
      <x:c r="I1155" s="2" t="str">
        <x:v>승인</x:v>
      </x:c>
      <x:c r="J1155" s="2" t="str">
        <x:v>심의승인</x:v>
      </x:c>
      <x:c r="K1155" s="2" t="str">
        <x:f>IF(OR(J1155="심의승인",J1155="반려",J1155="반려완료",J1155="심의완료"),"종결 표시",IF(OR(J1155="기후부협의",J1155="문서재제출요청",J1155="보류",J1155="보완요청",J1155="보완완료",J1155="평가중",J1155="반려요청",J1155="평가필요",LEFT(J1155,5)="보완요청("),"미종결 표시","상태 확인 필요"))</x:f>
        <x:v>종결 표시</x:v>
      </x:c>
      <x:c r="L1155" s="2" t="str">
        <x:v>에코시안_전윤호</x:v>
      </x:c>
      <x:c r="M1155" s="2"/>
      <x:c r="N1155" s="8" t="n">
        <x:f>DATE(2026,10,15)-DATE(2023,4,28)</x:f>
        <x:v>1266</x:v>
      </x:c>
      <x:c r="O1155" s="2" t="str">
        <x:v>생략</x:v>
      </x:c>
      <x:c r="P1155" s="2"/>
      <x:c r="Q1155" s="2" t="str">
        <x:v>산업전환_외부사업관리Tool_260707_이너젠 수정_LJY_261013.xlsx</x:v>
      </x:c>
      <x:c r="R1155" s="2" t="str">
        <x:v>국내평가</x:v>
      </x:c>
      <x:c r="S1155" s="8" t="n">
        <x:v>1058</x:v>
      </x:c>
      <x:c r="T1155" s="2" t="str">
        <x:v>(5/16),(6/27),(8/7)</x:v>
      </x:c>
      <x:c r="U1155" s="2" t="str">
        <x:v>2023 배정: (5/16),(6/27),(8/7)</x:v>
      </x:c>
      <x:c r="V1155" s="2" t="str">
        <x:v>2023-12-14</x:v>
      </x:c>
      <x:c r="W1155" s="2" t="str"/>
      <x:c r="X1155" s="2" t="str">
        <x:v>종결 근거 보관</x:v>
      </x:c>
      <x:c r="Y1155" s="2" t="str">
        <x:v>ad210cd9ec132cfd447541c8984dc53d30aff0f4fb2dc92d254d49275cc55976</x:v>
      </x:c>
      <x:c r="Z1155" s="2" t="n">
        <x:f>SUBTOTAL(103,A1155)</x:f>
        <x:v>1</x:v>
      </x:c>
      <x:c r="AA1155" s="2" t="str">
        <x:f>IF(K1155&lt;&gt;"미종결 표시","대상 아님",IF(N1155="","신청일 확인",IF(NOT(ISNUMBER('종합 현황'!$H$5)),"관찰기준 확인",IF('종합 현황'!$H$5&lt;1,"관찰기준 확인",IF(N1155&gt;'종합 현황'!$H$5,"내부 관찰 대상","내부 관찰일 이하")))))</x:f>
        <x:v>대상 아님</x:v>
      </x:c>
      <x:c r="AB1155" s="2"/>
    </x:row>
    <x:row r="1156" ht="42" customHeight="1">
      <x:c r="A1156" s="2" t="str">
        <x:v>0f854724f5c62ab9e14e2bd8</x:v>
      </x:c>
      <x:c r="B1156" s="2" t="str">
        <x:v>사업 평가</x:v>
      </x:c>
      <x:c r="C1156" s="2" t="str">
        <x:v>국내</x:v>
      </x:c>
      <x:c r="D1156" s="7" t="str">
        <x:v>살레시오청소년센터 서울형 에너지복지 태양광 발전사업</x:v>
      </x:c>
      <x:c r="E1156" s="2" t="str">
        <x:v>1017</x:v>
      </x:c>
      <x:c r="F1156" s="2" t="str">
        <x:v>2023-04-28</x:v>
      </x:c>
      <x:c r="G1156" s="2" t="str">
        <x:v>2023</x:v>
      </x:c>
      <x:c r="H1156" s="2" t="str">
        <x:v>04</x:v>
      </x:c>
      <x:c r="I1156" s="2" t="str">
        <x:v>승인</x:v>
      </x:c>
      <x:c r="J1156" s="2" t="str">
        <x:v>심의승인</x:v>
      </x:c>
      <x:c r="K1156" s="2" t="str">
        <x:f>IF(OR(J1156="심의승인",J1156="반려",J1156="반려완료",J1156="심의완료"),"종결 표시",IF(OR(J1156="기후부협의",J1156="문서재제출요청",J1156="보류",J1156="보완요청",J1156="보완완료",J1156="평가중",J1156="반려요청",J1156="평가필요",LEFT(J1156,5)="보완요청("),"미종결 표시","상태 확인 필요"))</x:f>
        <x:v>종결 표시</x:v>
      </x:c>
      <x:c r="L1156" s="2" t="str">
        <x:v>에코시안_정다윤</x:v>
      </x:c>
      <x:c r="M1156" s="2"/>
      <x:c r="N1156" s="8" t="n">
        <x:f>DATE(2026,10,15)-DATE(2023,4,28)</x:f>
        <x:v>1266</x:v>
      </x:c>
      <x:c r="O1156" s="2" t="str">
        <x:v>생략</x:v>
      </x:c>
      <x:c r="P1156" s="2"/>
      <x:c r="Q1156" s="2" t="str">
        <x:v>산업전환_외부사업관리Tool_260707_이너젠 수정_LJY_261013.xlsx</x:v>
      </x:c>
      <x:c r="R1156" s="2" t="str">
        <x:v>국내평가</x:v>
      </x:c>
      <x:c r="S1156" s="8" t="n">
        <x:v>1059</x:v>
      </x:c>
      <x:c r="T1156" s="2" t="str">
        <x:v>(5/16),(7/17)</x:v>
      </x:c>
      <x:c r="U1156" s="2" t="str">
        <x:v>2023 배정: (5/16),(7/17)</x:v>
      </x:c>
      <x:c r="V1156" s="2" t="str">
        <x:v>2023-12-14</x:v>
      </x:c>
      <x:c r="W1156" s="2" t="str"/>
      <x:c r="X1156" s="2" t="str">
        <x:v>종결 근거 보관</x:v>
      </x:c>
      <x:c r="Y1156" s="2" t="str">
        <x:v>ad210cd9ec132cfd447541c8984dc53d30aff0f4fb2dc92d254d49275cc55976</x:v>
      </x:c>
      <x:c r="Z1156" s="2" t="n">
        <x:f>SUBTOTAL(103,A1156)</x:f>
        <x:v>1</x:v>
      </x:c>
      <x:c r="AA1156" s="2" t="str">
        <x:f>IF(K1156&lt;&gt;"미종결 표시","대상 아님",IF(N1156="","신청일 확인",IF(NOT(ISNUMBER('종합 현황'!$H$5)),"관찰기준 확인",IF('종합 현황'!$H$5&lt;1,"관찰기준 확인",IF(N1156&gt;'종합 현황'!$H$5,"내부 관찰 대상","내부 관찰일 이하")))))</x:f>
        <x:v>대상 아님</x:v>
      </x:c>
      <x:c r="AB1156" s="2"/>
    </x:row>
    <x:row r="1157" ht="42" customHeight="1">
      <x:c r="A1157" s="2" t="str">
        <x:v>a3c79272ed7b0b51a145bb42</x:v>
      </x:c>
      <x:c r="B1157" s="2" t="str">
        <x:v>사업 평가</x:v>
      </x:c>
      <x:c r="C1157" s="2" t="str">
        <x:v>국내</x:v>
      </x:c>
      <x:c r="D1157" s="7" t="str">
        <x:v>삼성소리샘복지관 서울형 에너지복지 태양광 발전사업</x:v>
      </x:c>
      <x:c r="E1157" s="2" t="str">
        <x:v>1018</x:v>
      </x:c>
      <x:c r="F1157" s="2" t="str">
        <x:v>2023-04-28</x:v>
      </x:c>
      <x:c r="G1157" s="2" t="str">
        <x:v>2023</x:v>
      </x:c>
      <x:c r="H1157" s="2" t="str">
        <x:v>04</x:v>
      </x:c>
      <x:c r="I1157" s="2" t="str">
        <x:v>승인</x:v>
      </x:c>
      <x:c r="J1157" s="2" t="str">
        <x:v>심의승인</x:v>
      </x:c>
      <x:c r="K1157" s="2" t="str">
        <x:f>IF(OR(J1157="심의승인",J1157="반려",J1157="반려완료",J1157="심의완료"),"종결 표시",IF(OR(J1157="기후부협의",J1157="문서재제출요청",J1157="보류",J1157="보완요청",J1157="보완완료",J1157="평가중",J1157="반려요청",J1157="평가필요",LEFT(J1157,5)="보완요청("),"미종결 표시","상태 확인 필요"))</x:f>
        <x:v>종결 표시</x:v>
      </x:c>
      <x:c r="L1157" s="2" t="str">
        <x:v>에코시안_정다윤</x:v>
      </x:c>
      <x:c r="M1157" s="2"/>
      <x:c r="N1157" s="8" t="n">
        <x:f>DATE(2026,10,15)-DATE(2023,4,28)</x:f>
        <x:v>1266</x:v>
      </x:c>
      <x:c r="O1157" s="2" t="str">
        <x:v>생략</x:v>
      </x:c>
      <x:c r="P1157" s="2"/>
      <x:c r="Q1157" s="2" t="str">
        <x:v>산업전환_외부사업관리Tool_260707_이너젠 수정_LJY_261013.xlsx</x:v>
      </x:c>
      <x:c r="R1157" s="2" t="str">
        <x:v>국내평가</x:v>
      </x:c>
      <x:c r="S1157" s="8" t="n">
        <x:v>1060</x:v>
      </x:c>
      <x:c r="T1157" s="2" t="str">
        <x:v>(5/16),(6/27)</x:v>
      </x:c>
      <x:c r="U1157" s="2" t="str">
        <x:v>2023 배정: (5/16),(6/27)</x:v>
      </x:c>
      <x:c r="V1157" s="2" t="str">
        <x:v>2023-12-14</x:v>
      </x:c>
      <x:c r="W1157" s="2" t="str"/>
      <x:c r="X1157" s="2" t="str">
        <x:v>종결 근거 보관</x:v>
      </x:c>
      <x:c r="Y1157" s="2" t="str">
        <x:v>ad210cd9ec132cfd447541c8984dc53d30aff0f4fb2dc92d254d49275cc55976</x:v>
      </x:c>
      <x:c r="Z1157" s="2" t="n">
        <x:f>SUBTOTAL(103,A1157)</x:f>
        <x:v>1</x:v>
      </x:c>
      <x:c r="AA1157" s="2" t="str">
        <x:f>IF(K1157&lt;&gt;"미종결 표시","대상 아님",IF(N1157="","신청일 확인",IF(NOT(ISNUMBER('종합 현황'!$H$5)),"관찰기준 확인",IF('종합 현황'!$H$5&lt;1,"관찰기준 확인",IF(N1157&gt;'종합 현황'!$H$5,"내부 관찰 대상","내부 관찰일 이하")))))</x:f>
        <x:v>대상 아님</x:v>
      </x:c>
      <x:c r="AB1157" s="2"/>
    </x:row>
    <x:row r="1158" ht="42" customHeight="1">
      <x:c r="A1158" s="2" t="str">
        <x:v>0a9d753be5f9a5aeeca18123</x:v>
      </x:c>
      <x:c r="B1158" s="2" t="str">
        <x:v>사업 평가</x:v>
      </x:c>
      <x:c r="C1158" s="2" t="str">
        <x:v>국내</x:v>
      </x:c>
      <x:c r="D1158" s="7" t="str">
        <x:v>돈보스코오라토리오 서울형 에너지복지 태양광 발전사업</x:v>
      </x:c>
      <x:c r="E1158" s="2" t="str">
        <x:v>1019</x:v>
      </x:c>
      <x:c r="F1158" s="2" t="str">
        <x:v>2023-04-28</x:v>
      </x:c>
      <x:c r="G1158" s="2" t="str">
        <x:v>2023</x:v>
      </x:c>
      <x:c r="H1158" s="2" t="str">
        <x:v>04</x:v>
      </x:c>
      <x:c r="I1158" s="2" t="str">
        <x:v>반려</x:v>
      </x:c>
      <x:c r="J1158" s="2" t="str">
        <x:v>반려</x:v>
      </x:c>
      <x:c r="K1158" s="2" t="str">
        <x:f>IF(OR(J1158="심의승인",J1158="반려",J1158="반려완료",J1158="심의완료"),"종결 표시",IF(OR(J1158="기후부협의",J1158="문서재제출요청",J1158="보류",J1158="보완요청",J1158="보완완료",J1158="평가중",J1158="반려요청",J1158="평가필요",LEFT(J1158,5)="보완요청("),"미종결 표시","상태 확인 필요"))</x:f>
        <x:v>종결 표시</x:v>
      </x:c>
      <x:c r="L1158" s="2" t="str">
        <x:v>에코시안_전윤호</x:v>
      </x:c>
      <x:c r="M1158" s="2"/>
      <x:c r="N1158" s="8" t="n">
        <x:f>DATE(2026,10,15)-DATE(2023,4,28)</x:f>
        <x:v>1266</x:v>
      </x:c>
      <x:c r="O1158" s="2" t="str">
        <x:v>O(23.08)</x:v>
      </x:c>
      <x:c r="P1158" s="2" t="str">
        <x:v>인증위 없이 승인 예정(지침 제16조제2항)/사업자 보완의지 없음/요청에 따라 반려</x:v>
      </x:c>
      <x:c r="Q1158" s="2" t="str">
        <x:v>산업전환_외부사업관리Tool_260707_이너젠 수정_LJY_261013.xlsx</x:v>
      </x:c>
      <x:c r="R1158" s="2" t="str">
        <x:v>국내평가</x:v>
      </x:c>
      <x:c r="S1158" s="8" t="n">
        <x:v>1061</x:v>
      </x:c>
      <x:c r="T1158" s="2" t="str">
        <x:v>(5/16),(7/17)</x:v>
      </x:c>
      <x:c r="U1158" s="2" t="str">
        <x:v>2023 배정: (5/16),(7/17) / 2024 배정: (1/12)</x:v>
      </x:c>
      <x:c r="V1158" s="2" t="str">
        <x:v>2026-06-29</x:v>
      </x:c>
      <x:c r="W1158" s="2" t="str"/>
      <x:c r="X1158" s="2" t="str">
        <x:v>종결 근거 보관</x:v>
      </x:c>
      <x:c r="Y1158" s="2" t="str">
        <x:v>ad210cd9ec132cfd447541c8984dc53d30aff0f4fb2dc92d254d49275cc55976</x:v>
      </x:c>
      <x:c r="Z1158" s="2" t="n">
        <x:f>SUBTOTAL(103,A1158)</x:f>
        <x:v>1</x:v>
      </x:c>
      <x:c r="AA1158" s="2" t="str">
        <x:f>IF(K1158&lt;&gt;"미종결 표시","대상 아님",IF(N1158="","신청일 확인",IF(NOT(ISNUMBER('종합 현황'!$H$5)),"관찰기준 확인",IF('종합 현황'!$H$5&lt;1,"관찰기준 확인",IF(N1158&gt;'종합 현황'!$H$5,"내부 관찰 대상","내부 관찰일 이하")))))</x:f>
        <x:v>대상 아님</x:v>
      </x:c>
      <x:c r="AB1158" s="2"/>
    </x:row>
    <x:row r="1159" ht="42" customHeight="1">
      <x:c r="A1159" s="2" t="str">
        <x:v>3b6d26d9122c26de3330f189</x:v>
      </x:c>
      <x:c r="B1159" s="2" t="str">
        <x:v>사업 평가</x:v>
      </x:c>
      <x:c r="C1159" s="2" t="str">
        <x:v>국내</x:v>
      </x:c>
      <x:c r="D1159" s="7" t="str">
        <x:v>인덕원삼천사복지재단 서울형 에너지복지 태양광 발전사업</x:v>
      </x:c>
      <x:c r="E1159" s="2" t="str">
        <x:v>1020</x:v>
      </x:c>
      <x:c r="F1159" s="2" t="str">
        <x:v>2023-04-28</x:v>
      </x:c>
      <x:c r="G1159" s="2" t="str">
        <x:v>2023</x:v>
      </x:c>
      <x:c r="H1159" s="2" t="str">
        <x:v>04</x:v>
      </x:c>
      <x:c r="I1159" s="2" t="str">
        <x:v>승인</x:v>
      </x:c>
      <x:c r="J1159" s="2" t="str">
        <x:v>심의승인</x:v>
      </x:c>
      <x:c r="K1159" s="2" t="str">
        <x:f>IF(OR(J1159="심의승인",J1159="반려",J1159="반려완료",J1159="심의완료"),"종결 표시",IF(OR(J1159="기후부협의",J1159="문서재제출요청",J1159="보류",J1159="보완요청",J1159="보완완료",J1159="평가중",J1159="반려요청",J1159="평가필요",LEFT(J1159,5)="보완요청("),"미종결 표시","상태 확인 필요"))</x:f>
        <x:v>종결 표시</x:v>
      </x:c>
      <x:c r="L1159" s="2" t="str">
        <x:v>에코시안_전윤호</x:v>
      </x:c>
      <x:c r="M1159" s="2"/>
      <x:c r="N1159" s="8" t="n">
        <x:f>DATE(2026,10,15)-DATE(2023,4,28)</x:f>
        <x:v>1266</x:v>
      </x:c>
      <x:c r="O1159" s="2" t="str">
        <x:v>생략</x:v>
      </x:c>
      <x:c r="P1159" s="2"/>
      <x:c r="Q1159" s="2" t="str">
        <x:v>산업전환_외부사업관리Tool_260707_이너젠 수정_LJY_261013.xlsx</x:v>
      </x:c>
      <x:c r="R1159" s="2" t="str">
        <x:v>국내평가</x:v>
      </x:c>
      <x:c r="S1159" s="8" t="n">
        <x:v>1062</x:v>
      </x:c>
      <x:c r="T1159" s="2" t="str">
        <x:v>(5/16),(7/17)</x:v>
      </x:c>
      <x:c r="U1159" s="2" t="str">
        <x:v>2023 배정: (5/16),(7/17)</x:v>
      </x:c>
      <x:c r="V1159" s="2" t="str">
        <x:v>2023-12-14</x:v>
      </x:c>
      <x:c r="W1159" s="2" t="str"/>
      <x:c r="X1159" s="2" t="str">
        <x:v>종결 근거 보관</x:v>
      </x:c>
      <x:c r="Y1159" s="2" t="str">
        <x:v>ad210cd9ec132cfd447541c8984dc53d30aff0f4fb2dc92d254d49275cc55976</x:v>
      </x:c>
      <x:c r="Z1159" s="2" t="n">
        <x:f>SUBTOTAL(103,A1159)</x:f>
        <x:v>1</x:v>
      </x:c>
      <x:c r="AA1159" s="2" t="str">
        <x:f>IF(K1159&lt;&gt;"미종결 표시","대상 아님",IF(N1159="","신청일 확인",IF(NOT(ISNUMBER('종합 현황'!$H$5)),"관찰기준 확인",IF('종합 현황'!$H$5&lt;1,"관찰기준 확인",IF(N1159&gt;'종합 현황'!$H$5,"내부 관찰 대상","내부 관찰일 이하")))))</x:f>
        <x:v>대상 아님</x:v>
      </x:c>
      <x:c r="AB1159" s="2"/>
    </x:row>
    <x:row r="1160" ht="42" customHeight="1">
      <x:c r="A1160" s="2" t="str">
        <x:v>5161187d0d095bfd7d4cff0f</x:v>
      </x:c>
      <x:c r="B1160" s="2" t="str">
        <x:v>사업 평가</x:v>
      </x:c>
      <x:c r="C1160" s="2" t="str">
        <x:v>국내</x:v>
      </x:c>
      <x:c r="D1160" s="7" t="str">
        <x:v>한국동서발전(주)-EWP에너지1004 태양광 지원사업</x:v>
      </x:c>
      <x:c r="E1160" s="2" t="str">
        <x:v>1021</x:v>
      </x:c>
      <x:c r="F1160" s="2" t="str">
        <x:v>2023-05-10</x:v>
      </x:c>
      <x:c r="G1160" s="2" t="str">
        <x:v>2023</x:v>
      </x:c>
      <x:c r="H1160" s="2" t="str">
        <x:v>05</x:v>
      </x:c>
      <x:c r="I1160" s="2" t="str">
        <x:v>반려</x:v>
      </x:c>
      <x:c r="J1160" s="2" t="str">
        <x:v>반려</x:v>
      </x:c>
      <x:c r="K1160" s="2" t="str">
        <x:f>IF(OR(J1160="심의승인",J1160="반려",J1160="반려완료",J1160="심의완료"),"종결 표시",IF(OR(J1160="기후부협의",J1160="문서재제출요청",J1160="보류",J1160="보완요청",J1160="보완완료",J1160="평가중",J1160="반려요청",J1160="평가필요",LEFT(J1160,5)="보완요청("),"미종결 표시","상태 확인 필요"))</x:f>
        <x:v>종결 표시</x:v>
      </x:c>
      <x:c r="L1160" s="2" t="str">
        <x:v>KECM_이태준</x:v>
      </x:c>
      <x:c r="M1160" s="2"/>
      <x:c r="N1160" s="8" t="n">
        <x:f>DATE(2026,10,15)-DATE(2023,5,10)</x:f>
        <x:v>1254</x:v>
      </x:c>
      <x:c r="O1160" s="2"/>
      <x:c r="P1160" s="2" t="str">
        <x:v>기존 신청한 프로그램과 같은 사업으로 확인되어 반려</x:v>
      </x:c>
      <x:c r="Q1160" s="2" t="str">
        <x:v>산업전환_외부사업관리Tool_260707_이너젠 수정_LJY_261013.xlsx</x:v>
      </x:c>
      <x:c r="R1160" s="2" t="str">
        <x:v>국내평가</x:v>
      </x:c>
      <x:c r="S1160" s="8" t="n">
        <x:v>1063</x:v>
      </x:c>
      <x:c r="T1160" s="2" t="str">
        <x:v>(6/7)</x:v>
      </x:c>
      <x:c r="U1160" s="2" t="str">
        <x:v>2023 배정: (6/7)</x:v>
      </x:c>
      <x:c r="V1160" s="2" t="str">
        <x:v>2023-08-01</x:v>
      </x:c>
      <x:c r="W1160" s="2" t="str"/>
      <x:c r="X1160" s="2" t="str">
        <x:v>종결 근거 보관</x:v>
      </x:c>
      <x:c r="Y1160" s="2" t="str">
        <x:v>ad210cd9ec132cfd447541c8984dc53d30aff0f4fb2dc92d254d49275cc55976</x:v>
      </x:c>
      <x:c r="Z1160" s="2" t="n">
        <x:f>SUBTOTAL(103,A1160)</x:f>
        <x:v>1</x:v>
      </x:c>
      <x:c r="AA1160" s="2" t="str">
        <x:f>IF(K1160&lt;&gt;"미종결 표시","대상 아님",IF(N1160="","신청일 확인",IF(NOT(ISNUMBER('종합 현황'!$H$5)),"관찰기준 확인",IF('종합 현황'!$H$5&lt;1,"관찰기준 확인",IF(N1160&gt;'종합 현황'!$H$5,"내부 관찰 대상","내부 관찰일 이하")))))</x:f>
        <x:v>대상 아님</x:v>
      </x:c>
      <x:c r="AB1160" s="2"/>
    </x:row>
    <x:row r="1161" ht="42" customHeight="1">
      <x:c r="A1161" s="2" t="str">
        <x:v>4565ab542ee14a338ef87886</x:v>
      </x:c>
      <x:c r="B1161" s="2" t="str">
        <x:v>사업 평가</x:v>
      </x:c>
      <x:c r="C1161" s="2" t="str">
        <x:v>국내</x:v>
      </x:c>
      <x:c r="D1161" s="7" t="str">
        <x:v>주식회사 띵스파이어의 인버터 공기압축기 도입을 통한 프로그램 감축사업</x:v>
      </x:c>
      <x:c r="E1161" s="2" t="str">
        <x:v>1022</x:v>
      </x:c>
      <x:c r="F1161" s="2" t="str">
        <x:v>2023-05-11</x:v>
      </x:c>
      <x:c r="G1161" s="2" t="str">
        <x:v>2023</x:v>
      </x:c>
      <x:c r="H1161" s="2" t="str">
        <x:v>05</x:v>
      </x:c>
      <x:c r="I1161" s="2" t="str">
        <x:v>승인</x:v>
      </x:c>
      <x:c r="J1161" s="2" t="str">
        <x:v>심의승인</x:v>
      </x:c>
      <x:c r="K1161" s="2" t="str">
        <x:f>IF(OR(J1161="심의승인",J1161="반려",J1161="반려완료",J1161="심의완료"),"종결 표시",IF(OR(J1161="기후부협의",J1161="문서재제출요청",J1161="보류",J1161="보완요청",J1161="보완완료",J1161="평가중",J1161="반려요청",J1161="평가필요",LEFT(J1161,5)="보완요청("),"미종결 표시","상태 확인 필요"))</x:f>
        <x:v>종결 표시</x:v>
      </x:c>
      <x:c r="L1161" s="2" t="str">
        <x:v>에코시안_조영우</x:v>
      </x:c>
      <x:c r="M1161" s="2"/>
      <x:c r="N1161" s="8" t="n">
        <x:f>DATE(2026,10,15)-DATE(2023,5,11)</x:f>
        <x:v>1253</x:v>
      </x:c>
      <x:c r="O1161" s="2" t="str">
        <x:v>생략</x:v>
      </x:c>
      <x:c r="P1161" s="2" t="str">
        <x:v>3분기 인증위 승인</x:v>
      </x:c>
      <x:c r="Q1161" s="2" t="str">
        <x:v>산업전환_외부사업관리Tool_260707_이너젠 수정_LJY_261013.xlsx</x:v>
      </x:c>
      <x:c r="R1161" s="2" t="str">
        <x:v>국내평가</x:v>
      </x:c>
      <x:c r="S1161" s="8" t="n">
        <x:v>1064</x:v>
      </x:c>
      <x:c r="T1161" s="2" t="str">
        <x:v>(7/17),(10/6)</x:v>
      </x:c>
      <x:c r="U1161" s="2" t="str">
        <x:v>2023 배정: (7/17),(10/6) / 2024 배정: (2/5),(4/8),(5/20)</x:v>
      </x:c>
      <x:c r="V1161" s="2" t="str">
        <x:v>2024-09-19</x:v>
      </x:c>
      <x:c r="W1161" s="2" t="str"/>
      <x:c r="X1161" s="2" t="str">
        <x:v>종결 근거 보관</x:v>
      </x:c>
      <x:c r="Y1161" s="2" t="str">
        <x:v>ad210cd9ec132cfd447541c8984dc53d30aff0f4fb2dc92d254d49275cc55976</x:v>
      </x:c>
      <x:c r="Z1161" s="2" t="n">
        <x:f>SUBTOTAL(103,A1161)</x:f>
        <x:v>1</x:v>
      </x:c>
      <x:c r="AA1161" s="2" t="str">
        <x:f>IF(K1161&lt;&gt;"미종결 표시","대상 아님",IF(N1161="","신청일 확인",IF(NOT(ISNUMBER('종합 현황'!$H$5)),"관찰기준 확인",IF('종합 현황'!$H$5&lt;1,"관찰기준 확인",IF(N1161&gt;'종합 현황'!$H$5,"내부 관찰 대상","내부 관찰일 이하")))))</x:f>
        <x:v>대상 아님</x:v>
      </x:c>
      <x:c r="AB1161" s="2"/>
    </x:row>
    <x:row r="1162" ht="42" customHeight="1">
      <x:c r="A1162" s="2" t="str">
        <x:v>0ac4b0306a305e5d0e1e1ba6</x:v>
      </x:c>
      <x:c r="B1162" s="2" t="str">
        <x:v>사업 평가</x:v>
      </x:c>
      <x:c r="C1162" s="2" t="str">
        <x:v>국내</x:v>
      </x:c>
      <x:c r="D1162" s="7" t="str">
        <x:v>㈜하영  고효율 2단 인버터 PM  Motor 공기압축기로 교체 사업</x:v>
      </x:c>
      <x:c r="E1162" s="2" t="str">
        <x:v>1023</x:v>
      </x:c>
      <x:c r="F1162" s="2" t="str">
        <x:v>2023-06-09</x:v>
      </x:c>
      <x:c r="G1162" s="2" t="str">
        <x:v>2023</x:v>
      </x:c>
      <x:c r="H1162" s="2" t="str">
        <x:v>06</x:v>
      </x:c>
      <x:c r="I1162" s="2" t="str">
        <x:v>보완1차_보완중</x:v>
      </x:c>
      <x:c r="J1162" s="2" t="str">
        <x:v>보완요청</x:v>
      </x:c>
      <x:c r="K1162" s="2" t="str">
        <x:f>IF(OR(J1162="심의승인",J1162="반려",J1162="반려완료",J1162="심의완료"),"종결 표시",IF(OR(J1162="기후부협의",J1162="문서재제출요청",J1162="보류",J1162="보완요청",J1162="보완완료",J1162="평가중",J1162="반려요청",J1162="평가필요",LEFT(J1162,5)="보완요청("),"미종결 표시","상태 확인 필요"))</x:f>
        <x:v>미종결 표시</x:v>
      </x:c>
      <x:c r="L1162" s="2" t="str">
        <x:v>KECM</x:v>
      </x:c>
      <x:c r="M1162" s="2" t="n">
        <x:v>1</x:v>
      </x:c>
      <x:c r="N1162" s="8" t="n">
        <x:f>DATE(2026,10,15)-DATE(2023,6,9)</x:f>
        <x:v>1224</x:v>
      </x:c>
      <x:c r="O1162" s="2" t="str">
        <x:v>생략</x:v>
      </x:c>
      <x:c r="P1162" s="2"/>
      <x:c r="Q1162" s="2" t="str">
        <x:v>산업전환_외부사업관리Tool_260707_이너젠 수정_LJY_261013.xlsx</x:v>
      </x:c>
      <x:c r="R1162" s="2" t="str">
        <x:v>국내평가</x:v>
      </x:c>
      <x:c r="S1162" s="8" t="n">
        <x:v>1065</x:v>
      </x:c>
      <x:c r="T1162" s="2" t="str">
        <x:v>(6/27)</x:v>
      </x:c>
      <x:c r="U1162" s="2" t="str">
        <x:v>2023 배정: (6/27)</x:v>
      </x:c>
      <x:c r="V1162" s="2" t="str">
        <x:v>2023-07-17</x:v>
      </x:c>
      <x:c r="W1162" s="2" t="str"/>
      <x:c r="X1162" s="2" t="str">
        <x:v>보완 회신 일정 확인</x:v>
      </x:c>
      <x:c r="Y1162" s="2" t="str">
        <x:v>ad210cd9ec132cfd447541c8984dc53d30aff0f4fb2dc92d254d49275cc55976</x:v>
      </x:c>
      <x:c r="Z1162" s="2" t="n">
        <x:f>SUBTOTAL(103,A1162)</x:f>
        <x:v>1</x:v>
      </x:c>
      <x:c r="AA1162" s="2" t="str">
        <x:f>IF(K1162&lt;&gt;"미종결 표시","대상 아님",IF(N1162="","신청일 확인",IF(NOT(ISNUMBER('종합 현황'!$H$5)),"관찰기준 확인",IF('종합 현황'!$H$5&lt;1,"관찰기준 확인",IF(N1162&gt;'종합 현황'!$H$5,"내부 관찰 대상","내부 관찰일 이하")))))</x:f>
        <x:v>내부 관찰 대상</x:v>
      </x:c>
      <x:c r="AB1162" s="2"/>
    </x:row>
    <x:row r="1163" ht="42" customHeight="1">
      <x:c r="A1163" s="2" t="str">
        <x:v>589a42187dee8ab32e631123</x:v>
      </x:c>
      <x:c r="B1163" s="2" t="str">
        <x:v>사업 평가</x:v>
      </x:c>
      <x:c r="C1163" s="2" t="str">
        <x:v>국내</x:v>
      </x:c>
      <x:c r="D1163" s="7" t="str">
        <x:v>삼성쇼트 고효율 2단 인버터 PM  Motor 공기압축기로 교체 사업</x:v>
      </x:c>
      <x:c r="E1163" s="2" t="str">
        <x:v>1024</x:v>
      </x:c>
      <x:c r="F1163" s="2" t="str">
        <x:v>2023-06-13</x:v>
      </x:c>
      <x:c r="G1163" s="2" t="str">
        <x:v>2023</x:v>
      </x:c>
      <x:c r="H1163" s="2" t="str">
        <x:v>06</x:v>
      </x:c>
      <x:c r="I1163" s="2" t="str">
        <x:v>승인</x:v>
      </x:c>
      <x:c r="J1163" s="2" t="str">
        <x:v>심의승인</x:v>
      </x:c>
      <x:c r="K1163" s="2" t="str">
        <x:f>IF(OR(J1163="심의승인",J1163="반려",J1163="반려완료",J1163="심의완료"),"종결 표시",IF(OR(J1163="기후부협의",J1163="문서재제출요청",J1163="보류",J1163="보완요청",J1163="보완완료",J1163="평가중",J1163="반려요청",J1163="평가필요",LEFT(J1163,5)="보완요청("),"미종결 표시","상태 확인 필요"))</x:f>
        <x:v>종결 표시</x:v>
      </x:c>
      <x:c r="L1163" s="2" t="str">
        <x:v>KECM</x:v>
      </x:c>
      <x:c r="M1163" s="2"/>
      <x:c r="N1163" s="8" t="n">
        <x:f>DATE(2026,10,15)-DATE(2023,6,13)</x:f>
        <x:v>1220</x:v>
      </x:c>
      <x:c r="O1163" s="2" t="str">
        <x:v>생략</x:v>
      </x:c>
      <x:c r="P1163" s="2" t="str">
        <x:v>3분기 인증위 승인</x:v>
      </x:c>
      <x:c r="Q1163" s="2" t="str">
        <x:v>산업전환_외부사업관리Tool_260707_이너젠 수정_LJY_261013.xlsx</x:v>
      </x:c>
      <x:c r="R1163" s="2" t="str">
        <x:v>국내평가</x:v>
      </x:c>
      <x:c r="S1163" s="8" t="n">
        <x:v>1066</x:v>
      </x:c>
      <x:c r="T1163" s="2" t="str">
        <x:v>(6/27),(11/17)</x:v>
      </x:c>
      <x:c r="U1163" s="2" t="str">
        <x:v>2023 배정: (6/27),(11/17) / 2024 배정: (2/5),(3/18),(4/29)</x:v>
      </x:c>
      <x:c r="V1163" s="2" t="str">
        <x:v>2024-10-07</x:v>
      </x:c>
      <x:c r="W1163" s="2" t="str"/>
      <x:c r="X1163" s="2" t="str">
        <x:v>종결 근거 보관</x:v>
      </x:c>
      <x:c r="Y1163" s="2" t="str">
        <x:v>ad210cd9ec132cfd447541c8984dc53d30aff0f4fb2dc92d254d49275cc55976</x:v>
      </x:c>
      <x:c r="Z1163" s="2" t="n">
        <x:f>SUBTOTAL(103,A1163)</x:f>
        <x:v>1</x:v>
      </x:c>
      <x:c r="AA1163" s="2" t="str">
        <x:f>IF(K1163&lt;&gt;"미종결 표시","대상 아님",IF(N1163="","신청일 확인",IF(NOT(ISNUMBER('종합 현황'!$H$5)),"관찰기준 확인",IF('종합 현황'!$H$5&lt;1,"관찰기준 확인",IF(N1163&gt;'종합 현황'!$H$5,"내부 관찰 대상","내부 관찰일 이하")))))</x:f>
        <x:v>대상 아님</x:v>
      </x:c>
      <x:c r="AB1163" s="2"/>
    </x:row>
    <x:row r="1164" ht="42" customHeight="1">
      <x:c r="A1164" s="2" t="str">
        <x:v>446e681519fc9e046e74807d</x:v>
      </x:c>
      <x:c r="B1164" s="2" t="str">
        <x:v>사업 평가</x:v>
      </x:c>
      <x:c r="C1164" s="2" t="str">
        <x:v>국내</x:v>
      </x:c>
      <x:c r="D1164" s="7" t="str">
        <x:v>㈜정석이엔지 고효율 2단 인버터 PM  Motor 공기압축기로 교체 사업</x:v>
      </x:c>
      <x:c r="E1164" s="2" t="str">
        <x:v>1025</x:v>
      </x:c>
      <x:c r="F1164" s="2" t="str">
        <x:v>2023-06-12</x:v>
      </x:c>
      <x:c r="G1164" s="2" t="str">
        <x:v>2023</x:v>
      </x:c>
      <x:c r="H1164" s="2" t="str">
        <x:v>06</x:v>
      </x:c>
      <x:c r="I1164" s="2" t="str">
        <x:v>승인</x:v>
      </x:c>
      <x:c r="J1164" s="2" t="str">
        <x:v>심의승인</x:v>
      </x:c>
      <x:c r="K1164" s="2" t="str">
        <x:f>IF(OR(J1164="심의승인",J1164="반려",J1164="반려완료",J1164="심의완료"),"종결 표시",IF(OR(J1164="기후부협의",J1164="문서재제출요청",J1164="보류",J1164="보완요청",J1164="보완완료",J1164="평가중",J1164="반려요청",J1164="평가필요",LEFT(J1164,5)="보완요청("),"미종결 표시","상태 확인 필요"))</x:f>
        <x:v>종결 표시</x:v>
      </x:c>
      <x:c r="L1164" s="2" t="str">
        <x:v>KECM</x:v>
      </x:c>
      <x:c r="M1164" s="2"/>
      <x:c r="N1164" s="8" t="n">
        <x:f>DATE(2026,10,15)-DATE(2023,6,12)</x:f>
        <x:v>1221</x:v>
      </x:c>
      <x:c r="O1164" s="2" t="str">
        <x:v>생략</x:v>
      </x:c>
      <x:c r="P1164" s="2"/>
      <x:c r="Q1164" s="2" t="str">
        <x:v>산업전환_외부사업관리Tool_260707_이너젠 수정_LJY_261013.xlsx</x:v>
      </x:c>
      <x:c r="R1164" s="2" t="str">
        <x:v>국내평가</x:v>
      </x:c>
      <x:c r="S1164" s="8" t="n">
        <x:v>1067</x:v>
      </x:c>
      <x:c r="T1164" s="2" t="str">
        <x:v>(6/27),(11/17)</x:v>
      </x:c>
      <x:c r="U1164" s="2" t="str">
        <x:v>2023 배정: (6/27),(11/17) / 2024 배정: (2/5),(3/18),(4/29),(6/10),(11/8) / 2025 배정: (2/6)</x:v>
      </x:c>
      <x:c r="V1164" s="2" t="str">
        <x:v>2025-12-11</x:v>
      </x:c>
      <x:c r="W1164" s="2" t="str"/>
      <x:c r="X1164" s="2" t="str">
        <x:v>종결 근거 보관</x:v>
      </x:c>
      <x:c r="Y1164" s="2" t="str">
        <x:v>ad210cd9ec132cfd447541c8984dc53d30aff0f4fb2dc92d254d49275cc55976</x:v>
      </x:c>
      <x:c r="Z1164" s="2" t="n">
        <x:f>SUBTOTAL(103,A1164)</x:f>
        <x:v>1</x:v>
      </x:c>
      <x:c r="AA1164" s="2" t="str">
        <x:f>IF(K1164&lt;&gt;"미종결 표시","대상 아님",IF(N1164="","신청일 확인",IF(NOT(ISNUMBER('종합 현황'!$H$5)),"관찰기준 확인",IF('종합 현황'!$H$5&lt;1,"관찰기준 확인",IF(N1164&gt;'종합 현황'!$H$5,"내부 관찰 대상","내부 관찰일 이하")))))</x:f>
        <x:v>대상 아님</x:v>
      </x:c>
      <x:c r="AB1164" s="2"/>
    </x:row>
    <x:row r="1165" ht="42" customHeight="1">
      <x:c r="A1165" s="2" t="str">
        <x:v>03ed8d2a962172b6a7df3e79</x:v>
      </x:c>
      <x:c r="B1165" s="2" t="str">
        <x:v>사업 평가</x:v>
      </x:c>
      <x:c r="C1165" s="2" t="str">
        <x:v>국내</x:v>
      </x:c>
      <x:c r="D1165" s="7" t="str">
        <x:v>성광아스콘㈜  고효율 2단 인버터 PM  Motor 공기압축기로 교체 사업</x:v>
      </x:c>
      <x:c r="E1165" s="2" t="str">
        <x:v>1026</x:v>
      </x:c>
      <x:c r="F1165" s="2" t="str">
        <x:v>2023-06-16</x:v>
      </x:c>
      <x:c r="G1165" s="2" t="str">
        <x:v>2023</x:v>
      </x:c>
      <x:c r="H1165" s="2" t="str">
        <x:v>06</x:v>
      </x:c>
      <x:c r="I1165" s="2" t="str">
        <x:v>보완1차_보완중</x:v>
      </x:c>
      <x:c r="J1165" s="2" t="str">
        <x:v>보완요청</x:v>
      </x:c>
      <x:c r="K1165" s="2" t="str">
        <x:f>IF(OR(J1165="심의승인",J1165="반려",J1165="반려완료",J1165="심의완료"),"종결 표시",IF(OR(J1165="기후부협의",J1165="문서재제출요청",J1165="보류",J1165="보완요청",J1165="보완완료",J1165="평가중",J1165="반려요청",J1165="평가필요",LEFT(J1165,5)="보완요청("),"미종결 표시","상태 확인 필요"))</x:f>
        <x:v>미종결 표시</x:v>
      </x:c>
      <x:c r="L1165" s="2" t="str">
        <x:v>KECM</x:v>
      </x:c>
      <x:c r="M1165" s="2" t="n">
        <x:v>1</x:v>
      </x:c>
      <x:c r="N1165" s="8" t="n">
        <x:f>DATE(2026,10,15)-DATE(2023,6,16)</x:f>
        <x:v>1217</x:v>
      </x:c>
      <x:c r="O1165" s="2" t="str">
        <x:v>생략</x:v>
      </x:c>
      <x:c r="P1165" s="2"/>
      <x:c r="Q1165" s="2" t="str">
        <x:v>산업전환_외부사업관리Tool_260707_이너젠 수정_LJY_261013.xlsx</x:v>
      </x:c>
      <x:c r="R1165" s="2" t="str">
        <x:v>국내평가</x:v>
      </x:c>
      <x:c r="S1165" s="8" t="n">
        <x:v>1068</x:v>
      </x:c>
      <x:c r="T1165" s="2" t="str">
        <x:v>(6/27)</x:v>
      </x:c>
      <x:c r="U1165" s="2" t="str">
        <x:v>2023 배정: (6/27)</x:v>
      </x:c>
      <x:c r="V1165" s="2" t="str">
        <x:v>2023-07-27</x:v>
      </x:c>
      <x:c r="W1165" s="2" t="str"/>
      <x:c r="X1165" s="2" t="str">
        <x:v>보완 회신 일정 확인</x:v>
      </x:c>
      <x:c r="Y1165" s="2" t="str">
        <x:v>ad210cd9ec132cfd447541c8984dc53d30aff0f4fb2dc92d254d49275cc55976</x:v>
      </x:c>
      <x:c r="Z1165" s="2" t="n">
        <x:f>SUBTOTAL(103,A1165)</x:f>
        <x:v>1</x:v>
      </x:c>
      <x:c r="AA1165" s="2" t="str">
        <x:f>IF(K1165&lt;&gt;"미종결 표시","대상 아님",IF(N1165="","신청일 확인",IF(NOT(ISNUMBER('종합 현황'!$H$5)),"관찰기준 확인",IF('종합 현황'!$H$5&lt;1,"관찰기준 확인",IF(N1165&gt;'종합 현황'!$H$5,"내부 관찰 대상","내부 관찰일 이하")))))</x:f>
        <x:v>내부 관찰 대상</x:v>
      </x:c>
      <x:c r="AB1165" s="2"/>
    </x:row>
    <x:row r="1166" ht="42" customHeight="1">
      <x:c r="A1166" s="2" t="str">
        <x:v>944642e7f48a36dc18f8e25c</x:v>
      </x:c>
      <x:c r="B1166" s="2" t="str">
        <x:v>사업 평가</x:v>
      </x:c>
      <x:c r="C1166" s="2" t="str">
        <x:v>국내</x:v>
      </x:c>
      <x:c r="D1166" s="7" t="str">
        <x:v>더존앤테크(주) 고효율 2단 인버터 PM  Motor 공기압축기로 교체 사업</x:v>
      </x:c>
      <x:c r="E1166" s="2" t="str">
        <x:v>1027</x:v>
      </x:c>
      <x:c r="F1166" s="2" t="str">
        <x:v>2023-06-12</x:v>
      </x:c>
      <x:c r="G1166" s="2" t="str">
        <x:v>2023</x:v>
      </x:c>
      <x:c r="H1166" s="2" t="str">
        <x:v>06</x:v>
      </x:c>
      <x:c r="I1166" s="2" t="str">
        <x:v>보완3차_보완중</x:v>
      </x:c>
      <x:c r="J1166" s="2" t="str">
        <x:v>보완요청</x:v>
      </x:c>
      <x:c r="K1166" s="2" t="str">
        <x:f>IF(OR(J1166="심의승인",J1166="반려",J1166="반려완료",J1166="심의완료"),"종결 표시",IF(OR(J1166="기후부협의",J1166="문서재제출요청",J1166="보류",J1166="보완요청",J1166="보완완료",J1166="평가중",J1166="반려요청",J1166="평가필요",LEFT(J1166,5)="보완요청("),"미종결 표시","상태 확인 필요"))</x:f>
        <x:v>미종결 표시</x:v>
      </x:c>
      <x:c r="L1166" s="2" t="str">
        <x:v>KECM</x:v>
      </x:c>
      <x:c r="M1166" s="2" t="n">
        <x:v>3</x:v>
      </x:c>
      <x:c r="N1166" s="8" t="n">
        <x:f>DATE(2026,10,15)-DATE(2023,6,12)</x:f>
        <x:v>1221</x:v>
      </x:c>
      <x:c r="O1166" s="2" t="str">
        <x:v>생략</x:v>
      </x:c>
      <x:c r="P1166" s="2"/>
      <x:c r="Q1166" s="2" t="str">
        <x:v>산업전환_외부사업관리Tool_260707_이너젠 수정_LJY_261013.xlsx</x:v>
      </x:c>
      <x:c r="R1166" s="2" t="str">
        <x:v>국내평가</x:v>
      </x:c>
      <x:c r="S1166" s="8" t="n">
        <x:v>1069</x:v>
      </x:c>
      <x:c r="T1166" s="2" t="str">
        <x:v>(6/27),(11/17)</x:v>
      </x:c>
      <x:c r="U1166" s="2" t="str">
        <x:v>2023 배정: (6/27),(11/17) / 2024 배정: (2/26)</x:v>
      </x:c>
      <x:c r="V1166" s="2" t="str">
        <x:v>2024-03-27</x:v>
      </x:c>
      <x:c r="W1166" s="2" t="str"/>
      <x:c r="X1166" s="2" t="str">
        <x:v>보완 회신 일정 확인</x:v>
      </x:c>
      <x:c r="Y1166" s="2" t="str">
        <x:v>ad210cd9ec132cfd447541c8984dc53d30aff0f4fb2dc92d254d49275cc55976</x:v>
      </x:c>
      <x:c r="Z1166" s="2" t="n">
        <x:f>SUBTOTAL(103,A1166)</x:f>
        <x:v>1</x:v>
      </x:c>
      <x:c r="AA1166" s="2" t="str">
        <x:f>IF(K1166&lt;&gt;"미종결 표시","대상 아님",IF(N1166="","신청일 확인",IF(NOT(ISNUMBER('종합 현황'!$H$5)),"관찰기준 확인",IF('종합 현황'!$H$5&lt;1,"관찰기준 확인",IF(N1166&gt;'종합 현황'!$H$5,"내부 관찰 대상","내부 관찰일 이하")))))</x:f>
        <x:v>내부 관찰 대상</x:v>
      </x:c>
      <x:c r="AB1166" s="2"/>
    </x:row>
    <x:row r="1167" ht="42" customHeight="1">
      <x:c r="A1167" s="2" t="str">
        <x:v>5e6e292824d638295ef78f2d</x:v>
      </x:c>
      <x:c r="B1167" s="2" t="str">
        <x:v>사업 평가</x:v>
      </x:c>
      <x:c r="C1167" s="2" t="str">
        <x:v>국내</x:v>
      </x:c>
      <x:c r="D1167" s="7" t="str">
        <x:v>청원타올(주)  고효율 2단 인버터 PM  Motor 공기압축기로 교체 사업</x:v>
      </x:c>
      <x:c r="E1167" s="2" t="str">
        <x:v>1028</x:v>
      </x:c>
      <x:c r="F1167" s="2" t="str">
        <x:v>2023-06-16</x:v>
      </x:c>
      <x:c r="G1167" s="2" t="str">
        <x:v>2023</x:v>
      </x:c>
      <x:c r="H1167" s="2" t="str">
        <x:v>06</x:v>
      </x:c>
      <x:c r="I1167" s="2" t="str">
        <x:v>승인</x:v>
      </x:c>
      <x:c r="J1167" s="2" t="str">
        <x:v>심의승인</x:v>
      </x:c>
      <x:c r="K1167" s="2" t="str">
        <x:f>IF(OR(J1167="심의승인",J1167="반려",J1167="반려완료",J1167="심의완료"),"종결 표시",IF(OR(J1167="기후부협의",J1167="문서재제출요청",J1167="보류",J1167="보완요청",J1167="보완완료",J1167="평가중",J1167="반려요청",J1167="평가필요",LEFT(J1167,5)="보완요청("),"미종결 표시","상태 확인 필요"))</x:f>
        <x:v>종결 표시</x:v>
      </x:c>
      <x:c r="L1167" s="2" t="str">
        <x:v>KECM</x:v>
      </x:c>
      <x:c r="M1167" s="2"/>
      <x:c r="N1167" s="8" t="n">
        <x:f>DATE(2026,10,15)-DATE(2023,6,16)</x:f>
        <x:v>1217</x:v>
      </x:c>
      <x:c r="O1167" s="2" t="str">
        <x:v>생략</x:v>
      </x:c>
      <x:c r="P1167" s="2"/>
      <x:c r="Q1167" s="2" t="str">
        <x:v>산업전환_외부사업관리Tool_260707_이너젠 수정_LJY_261013.xlsx</x:v>
      </x:c>
      <x:c r="R1167" s="2" t="str">
        <x:v>국내평가</x:v>
      </x:c>
      <x:c r="S1167" s="8" t="n">
        <x:v>1070</x:v>
      </x:c>
      <x:c r="T1167" s="2" t="str">
        <x:v>(6/27),(11/17)</x:v>
      </x:c>
      <x:c r="U1167" s="2" t="str">
        <x:v>2023 배정: (6/27),(11/17) / 2024 배정: (2/5),(3/18),(5/20),(7/1)</x:v>
      </x:c>
      <x:c r="V1167" s="2" t="str">
        <x:v>2025-01-08</x:v>
      </x:c>
      <x:c r="W1167" s="2" t="str"/>
      <x:c r="X1167" s="2" t="str">
        <x:v>종결 근거 보관</x:v>
      </x:c>
      <x:c r="Y1167" s="2" t="str">
        <x:v>ad210cd9ec132cfd447541c8984dc53d30aff0f4fb2dc92d254d49275cc55976</x:v>
      </x:c>
      <x:c r="Z1167" s="2" t="n">
        <x:f>SUBTOTAL(103,A1167)</x:f>
        <x:v>1</x:v>
      </x:c>
      <x:c r="AA1167" s="2" t="str">
        <x:f>IF(K1167&lt;&gt;"미종결 표시","대상 아님",IF(N1167="","신청일 확인",IF(NOT(ISNUMBER('종합 현황'!$H$5)),"관찰기준 확인",IF('종합 현황'!$H$5&lt;1,"관찰기준 확인",IF(N1167&gt;'종합 현황'!$H$5,"내부 관찰 대상","내부 관찰일 이하")))))</x:f>
        <x:v>대상 아님</x:v>
      </x:c>
      <x:c r="AB1167" s="2"/>
    </x:row>
    <x:row r="1168" ht="42" customHeight="1">
      <x:c r="A1168" s="2" t="str">
        <x:v>dbba6120791a2ec7f73daf67</x:v>
      </x:c>
      <x:c r="B1168" s="2" t="str">
        <x:v>사업 평가</x:v>
      </x:c>
      <x:c r="C1168" s="2" t="str">
        <x:v>국내</x:v>
      </x:c>
      <x:c r="D1168" s="7" t="str">
        <x:v>(주)코리아그린  고효율 2단 인버터 PM  Motor 공기압축기로 교체 사업</x:v>
      </x:c>
      <x:c r="E1168" s="2" t="str">
        <x:v>1029</x:v>
      </x:c>
      <x:c r="F1168" s="2" t="str">
        <x:v>2023-06-16</x:v>
      </x:c>
      <x:c r="G1168" s="2" t="str">
        <x:v>2023</x:v>
      </x:c>
      <x:c r="H1168" s="2" t="str">
        <x:v>06</x:v>
      </x:c>
      <x:c r="I1168" s="2" t="str">
        <x:v>보완3차_보완중</x:v>
      </x:c>
      <x:c r="J1168" s="2" t="str">
        <x:v>보완요청</x:v>
      </x:c>
      <x:c r="K1168" s="2" t="str">
        <x:f>IF(OR(J1168="심의승인",J1168="반려",J1168="반려완료",J1168="심의완료"),"종결 표시",IF(OR(J1168="기후부협의",J1168="문서재제출요청",J1168="보류",J1168="보완요청",J1168="보완완료",J1168="평가중",J1168="반려요청",J1168="평가필요",LEFT(J1168,5)="보완요청("),"미종결 표시","상태 확인 필요"))</x:f>
        <x:v>미종결 표시</x:v>
      </x:c>
      <x:c r="L1168" s="2" t="str">
        <x:v>KECM</x:v>
      </x:c>
      <x:c r="M1168" s="2" t="n">
        <x:v>3</x:v>
      </x:c>
      <x:c r="N1168" s="8" t="n">
        <x:f>DATE(2026,10,15)-DATE(2023,6,16)</x:f>
        <x:v>1217</x:v>
      </x:c>
      <x:c r="O1168" s="2" t="str">
        <x:v>생략</x:v>
      </x:c>
      <x:c r="P1168" s="2"/>
      <x:c r="Q1168" s="2" t="str">
        <x:v>산업전환_외부사업관리Tool_260707_이너젠 수정_LJY_261013.xlsx</x:v>
      </x:c>
      <x:c r="R1168" s="2" t="str">
        <x:v>국내평가</x:v>
      </x:c>
      <x:c r="S1168" s="8" t="n">
        <x:v>1071</x:v>
      </x:c>
      <x:c r="T1168" s="2" t="str">
        <x:v>(6/27),(11/17)</x:v>
      </x:c>
      <x:c r="U1168" s="2" t="str">
        <x:v>2023 배정: (6/27),(11/17) / 2024 배정: (2/26)</x:v>
      </x:c>
      <x:c r="V1168" s="2" t="str">
        <x:v>2024-03-26</x:v>
      </x:c>
      <x:c r="W1168" s="2" t="str"/>
      <x:c r="X1168" s="2" t="str">
        <x:v>보완 회신 일정 확인</x:v>
      </x:c>
      <x:c r="Y1168" s="2" t="str">
        <x:v>ad210cd9ec132cfd447541c8984dc53d30aff0f4fb2dc92d254d49275cc55976</x:v>
      </x:c>
      <x:c r="Z1168" s="2" t="n">
        <x:f>SUBTOTAL(103,A1168)</x:f>
        <x:v>1</x:v>
      </x:c>
      <x:c r="AA1168" s="2" t="str">
        <x:f>IF(K1168&lt;&gt;"미종결 표시","대상 아님",IF(N1168="","신청일 확인",IF(NOT(ISNUMBER('종합 현황'!$H$5)),"관찰기준 확인",IF('종합 현황'!$H$5&lt;1,"관찰기준 확인",IF(N1168&gt;'종합 현황'!$H$5,"내부 관찰 대상","내부 관찰일 이하")))))</x:f>
        <x:v>내부 관찰 대상</x:v>
      </x:c>
      <x:c r="AB1168" s="2"/>
    </x:row>
    <x:row r="1169" ht="42" customHeight="1">
      <x:c r="A1169" s="2" t="str">
        <x:v>13d40eac957a831601a6799a</x:v>
      </x:c>
      <x:c r="B1169" s="2" t="str">
        <x:v>사업 평가</x:v>
      </x:c>
      <x:c r="C1169" s="2" t="str">
        <x:v>국내</x:v>
      </x:c>
      <x:c r="D1169" s="7" t="str">
        <x:v>디씨티준오 태양광발전 설비 설치를 통한 전력 생산 및 자가 사용 사업</x:v>
      </x:c>
      <x:c r="E1169" s="2" t="str">
        <x:v>1030</x:v>
      </x:c>
      <x:c r="F1169" s="2" t="str">
        <x:v>2023-06-19</x:v>
      </x:c>
      <x:c r="G1169" s="2" t="str">
        <x:v>2023</x:v>
      </x:c>
      <x:c r="H1169" s="2" t="str">
        <x:v>06</x:v>
      </x:c>
      <x:c r="I1169" s="2" t="str">
        <x:v>보완1차_보완중</x:v>
      </x:c>
      <x:c r="J1169" s="2" t="str">
        <x:v>보완요청</x:v>
      </x:c>
      <x:c r="K1169" s="2" t="str">
        <x:f>IF(OR(J1169="심의승인",J1169="반려",J1169="반려완료",J1169="심의완료"),"종결 표시",IF(OR(J1169="기후부협의",J1169="문서재제출요청",J1169="보류",J1169="보완요청",J1169="보완완료",J1169="평가중",J1169="반려요청",J1169="평가필요",LEFT(J1169,5)="보완요청("),"미종결 표시","상태 확인 필요"))</x:f>
        <x:v>미종결 표시</x:v>
      </x:c>
      <x:c r="L1169" s="2" t="str">
        <x:v>에코시안_권송화</x:v>
      </x:c>
      <x:c r="M1169" s="2" t="n">
        <x:v>1</x:v>
      </x:c>
      <x:c r="N1169" s="8" t="n">
        <x:f>DATE(2026,10,15)-DATE(2023,6,19)</x:f>
        <x:v>1214</x:v>
      </x:c>
      <x:c r="O1169" s="2" t="str">
        <x:v>생략</x:v>
      </x:c>
      <x:c r="P1169" s="2"/>
      <x:c r="Q1169" s="2" t="str">
        <x:v>산업전환_외부사업관리Tool_260707_이너젠 수정_LJY_261013.xlsx</x:v>
      </x:c>
      <x:c r="R1169" s="2" t="str">
        <x:v>국내평가</x:v>
      </x:c>
      <x:c r="S1169" s="8" t="n">
        <x:v>1072</x:v>
      </x:c>
      <x:c r="T1169" s="2" t="str">
        <x:v>(6/27)</x:v>
      </x:c>
      <x:c r="U1169" s="2" t="str">
        <x:v>2023 배정: (6/27)</x:v>
      </x:c>
      <x:c r="V1169" s="2" t="str">
        <x:v>2023-07-28</x:v>
      </x:c>
      <x:c r="W1169" s="2" t="str"/>
      <x:c r="X1169" s="2" t="str">
        <x:v>보완 회신 일정 확인</x:v>
      </x:c>
      <x:c r="Y1169" s="2" t="str">
        <x:v>ad210cd9ec132cfd447541c8984dc53d30aff0f4fb2dc92d254d49275cc55976</x:v>
      </x:c>
      <x:c r="Z1169" s="2" t="n">
        <x:f>SUBTOTAL(103,A1169)</x:f>
        <x:v>1</x:v>
      </x:c>
      <x:c r="AA1169" s="2" t="str">
        <x:f>IF(K1169&lt;&gt;"미종결 표시","대상 아님",IF(N1169="","신청일 확인",IF(NOT(ISNUMBER('종합 현황'!$H$5)),"관찰기준 확인",IF('종합 현황'!$H$5&lt;1,"관찰기준 확인",IF(N1169&gt;'종합 현황'!$H$5,"내부 관찰 대상","내부 관찰일 이하")))))</x:f>
        <x:v>내부 관찰 대상</x:v>
      </x:c>
      <x:c r="AB1169" s="2"/>
    </x:row>
    <x:row r="1170" ht="42" customHeight="1">
      <x:c r="A1170" s="2" t="str">
        <x:v>29de7213dfb004009ed32eed</x:v>
      </x:c>
      <x:c r="B1170" s="2" t="str">
        <x:v>사업 평가</x:v>
      </x:c>
      <x:c r="C1170" s="2" t="str">
        <x:v>국내</x:v>
      </x:c>
      <x:c r="D1170" s="7" t="str">
        <x:v>새론산업 태양광발전 설비 설치를 통한 전력 생산 및 자가 사용 사업</x:v>
      </x:c>
      <x:c r="E1170" s="2" t="str">
        <x:v>1031</x:v>
      </x:c>
      <x:c r="F1170" s="2" t="str">
        <x:v>2023-06-19</x:v>
      </x:c>
      <x:c r="G1170" s="2" t="str">
        <x:v>2023</x:v>
      </x:c>
      <x:c r="H1170" s="2" t="str">
        <x:v>06</x:v>
      </x:c>
      <x:c r="I1170" s="2" t="str">
        <x:v>보완1차_보완중</x:v>
      </x:c>
      <x:c r="J1170" s="2" t="str">
        <x:v>보완요청</x:v>
      </x:c>
      <x:c r="K1170" s="2" t="str">
        <x:f>IF(OR(J1170="심의승인",J1170="반려",J1170="반려완료",J1170="심의완료"),"종결 표시",IF(OR(J1170="기후부협의",J1170="문서재제출요청",J1170="보류",J1170="보완요청",J1170="보완완료",J1170="평가중",J1170="반려요청",J1170="평가필요",LEFT(J1170,5)="보완요청("),"미종결 표시","상태 확인 필요"))</x:f>
        <x:v>미종결 표시</x:v>
      </x:c>
      <x:c r="L1170" s="2" t="str">
        <x:v>에코시안_전윤호</x:v>
      </x:c>
      <x:c r="M1170" s="2" t="n">
        <x:v>1</x:v>
      </x:c>
      <x:c r="N1170" s="8" t="n">
        <x:f>DATE(2026,10,15)-DATE(2023,6,19)</x:f>
        <x:v>1214</x:v>
      </x:c>
      <x:c r="O1170" s="2" t="str">
        <x:v>생략</x:v>
      </x:c>
      <x:c r="P1170" s="2"/>
      <x:c r="Q1170" s="2" t="str">
        <x:v>산업전환_외부사업관리Tool_260707_이너젠 수정_LJY_261013.xlsx</x:v>
      </x:c>
      <x:c r="R1170" s="2" t="str">
        <x:v>국내평가</x:v>
      </x:c>
      <x:c r="S1170" s="8" t="n">
        <x:v>1073</x:v>
      </x:c>
      <x:c r="T1170" s="2" t="str">
        <x:v>(6/27)</x:v>
      </x:c>
      <x:c r="U1170" s="2" t="str">
        <x:v>2023 배정: (6/27)</x:v>
      </x:c>
      <x:c r="V1170" s="2" t="str">
        <x:v>2023-07-28</x:v>
      </x:c>
      <x:c r="W1170" s="2" t="str"/>
      <x:c r="X1170" s="2" t="str">
        <x:v>보완 회신 일정 확인</x:v>
      </x:c>
      <x:c r="Y1170" s="2" t="str">
        <x:v>ad210cd9ec132cfd447541c8984dc53d30aff0f4fb2dc92d254d49275cc55976</x:v>
      </x:c>
      <x:c r="Z1170" s="2" t="n">
        <x:f>SUBTOTAL(103,A1170)</x:f>
        <x:v>1</x:v>
      </x:c>
      <x:c r="AA1170" s="2" t="str">
        <x:f>IF(K1170&lt;&gt;"미종결 표시","대상 아님",IF(N1170="","신청일 확인",IF(NOT(ISNUMBER('종합 현황'!$H$5)),"관찰기준 확인",IF('종합 현황'!$H$5&lt;1,"관찰기준 확인",IF(N1170&gt;'종합 현황'!$H$5,"내부 관찰 대상","내부 관찰일 이하")))))</x:f>
        <x:v>내부 관찰 대상</x:v>
      </x:c>
      <x:c r="AB1170" s="2"/>
    </x:row>
    <x:row r="1171" ht="42" customHeight="1">
      <x:c r="A1171" s="2" t="str">
        <x:v>a7ce8810a4e07736aaf8eaa0</x:v>
      </x:c>
      <x:c r="B1171" s="2" t="str">
        <x:v>사업 평가</x:v>
      </x:c>
      <x:c r="C1171" s="2" t="str">
        <x:v>국내</x:v>
      </x:c>
      <x:c r="D1171" s="7" t="str">
        <x:v>태흥전기 태양광 발전설비 설치 및 자가 사용 사업</x:v>
      </x:c>
      <x:c r="E1171" s="2" t="str">
        <x:v>1032</x:v>
      </x:c>
      <x:c r="F1171" s="2" t="str">
        <x:v>2023-06-19</x:v>
      </x:c>
      <x:c r="G1171" s="2" t="str">
        <x:v>2023</x:v>
      </x:c>
      <x:c r="H1171" s="2" t="str">
        <x:v>06</x:v>
      </x:c>
      <x:c r="I1171" s="2" t="str">
        <x:v>보완1차_보완중</x:v>
      </x:c>
      <x:c r="J1171" s="2" t="str">
        <x:v>보완요청</x:v>
      </x:c>
      <x:c r="K1171" s="2" t="str">
        <x:f>IF(OR(J1171="심의승인",J1171="반려",J1171="반려완료",J1171="심의완료"),"종결 표시",IF(OR(J1171="기후부협의",J1171="문서재제출요청",J1171="보류",J1171="보완요청",J1171="보완완료",J1171="평가중",J1171="반려요청",J1171="평가필요",LEFT(J1171,5)="보완요청("),"미종결 표시","상태 확인 필요"))</x:f>
        <x:v>미종결 표시</x:v>
      </x:c>
      <x:c r="L1171" s="2" t="str">
        <x:v>에코시안_조영우</x:v>
      </x:c>
      <x:c r="M1171" s="2" t="n">
        <x:v>1</x:v>
      </x:c>
      <x:c r="N1171" s="8" t="n">
        <x:f>DATE(2026,10,15)-DATE(2023,6,19)</x:f>
        <x:v>1214</x:v>
      </x:c>
      <x:c r="O1171" s="2" t="str">
        <x:v>생략</x:v>
      </x:c>
      <x:c r="P1171" s="2"/>
      <x:c r="Q1171" s="2" t="str">
        <x:v>산업전환_외부사업관리Tool_260707_이너젠 수정_LJY_261013.xlsx</x:v>
      </x:c>
      <x:c r="R1171" s="2" t="str">
        <x:v>국내평가</x:v>
      </x:c>
      <x:c r="S1171" s="8" t="n">
        <x:v>1074</x:v>
      </x:c>
      <x:c r="T1171" s="2" t="str">
        <x:v>(6/27)</x:v>
      </x:c>
      <x:c r="U1171" s="2" t="str">
        <x:v>2023 배정: (6/27)</x:v>
      </x:c>
      <x:c r="V1171" s="2" t="str">
        <x:v>2023-07-28</x:v>
      </x:c>
      <x:c r="W1171" s="2" t="str"/>
      <x:c r="X1171" s="2" t="str">
        <x:v>보완 회신 일정 확인</x:v>
      </x:c>
      <x:c r="Y1171" s="2" t="str">
        <x:v>ad210cd9ec132cfd447541c8984dc53d30aff0f4fb2dc92d254d49275cc55976</x:v>
      </x:c>
      <x:c r="Z1171" s="2" t="n">
        <x:f>SUBTOTAL(103,A1171)</x:f>
        <x:v>1</x:v>
      </x:c>
      <x:c r="AA1171" s="2" t="str">
        <x:f>IF(K1171&lt;&gt;"미종결 표시","대상 아님",IF(N1171="","신청일 확인",IF(NOT(ISNUMBER('종합 현황'!$H$5)),"관찰기준 확인",IF('종합 현황'!$H$5&lt;1,"관찰기준 확인",IF(N1171&gt;'종합 현황'!$H$5,"내부 관찰 대상","내부 관찰일 이하")))))</x:f>
        <x:v>내부 관찰 대상</x:v>
      </x:c>
      <x:c r="AB1171" s="2"/>
    </x:row>
    <x:row r="1172" ht="42" customHeight="1">
      <x:c r="A1172" s="2" t="str">
        <x:v>453ef49ac32ebcc27732058b</x:v>
      </x:c>
      <x:c r="B1172" s="2" t="str">
        <x:v>사업 평가</x:v>
      </x:c>
      <x:c r="C1172" s="2" t="str">
        <x:v>국내</x:v>
      </x:c>
      <x:c r="D1172" s="7" t="str">
        <x:v>태광유엔티 태양광 발전설비 설치 및 자가 사용 사업</x:v>
      </x:c>
      <x:c r="E1172" s="2" t="str">
        <x:v>1033</x:v>
      </x:c>
      <x:c r="F1172" s="2" t="str">
        <x:v>2023-06-19</x:v>
      </x:c>
      <x:c r="G1172" s="2" t="str">
        <x:v>2023</x:v>
      </x:c>
      <x:c r="H1172" s="2" t="str">
        <x:v>06</x:v>
      </x:c>
      <x:c r="I1172" s="2" t="str">
        <x:v>보완1차_보완중</x:v>
      </x:c>
      <x:c r="J1172" s="2" t="str">
        <x:v>보완요청</x:v>
      </x:c>
      <x:c r="K1172" s="2" t="str">
        <x:f>IF(OR(J1172="심의승인",J1172="반려",J1172="반려완료",J1172="심의완료"),"종결 표시",IF(OR(J1172="기후부협의",J1172="문서재제출요청",J1172="보류",J1172="보완요청",J1172="보완완료",J1172="평가중",J1172="반려요청",J1172="평가필요",LEFT(J1172,5)="보완요청("),"미종결 표시","상태 확인 필요"))</x:f>
        <x:v>미종결 표시</x:v>
      </x:c>
      <x:c r="L1172" s="2" t="str">
        <x:v>에코시안_조영우</x:v>
      </x:c>
      <x:c r="M1172" s="2" t="n">
        <x:v>1</x:v>
      </x:c>
      <x:c r="N1172" s="8" t="n">
        <x:f>DATE(2026,10,15)-DATE(2023,6,19)</x:f>
        <x:v>1214</x:v>
      </x:c>
      <x:c r="O1172" s="2" t="str">
        <x:v>생략</x:v>
      </x:c>
      <x:c r="P1172" s="2"/>
      <x:c r="Q1172" s="2" t="str">
        <x:v>산업전환_외부사업관리Tool_260707_이너젠 수정_LJY_261013.xlsx</x:v>
      </x:c>
      <x:c r="R1172" s="2" t="str">
        <x:v>국내평가</x:v>
      </x:c>
      <x:c r="S1172" s="8" t="n">
        <x:v>1075</x:v>
      </x:c>
      <x:c r="T1172" s="2" t="str">
        <x:v>(6/27)</x:v>
      </x:c>
      <x:c r="U1172" s="2" t="str">
        <x:v>2023 배정: (6/27)</x:v>
      </x:c>
      <x:c r="V1172" s="2" t="str">
        <x:v>2023-07-28</x:v>
      </x:c>
      <x:c r="W1172" s="2" t="str"/>
      <x:c r="X1172" s="2" t="str">
        <x:v>보완 회신 일정 확인</x:v>
      </x:c>
      <x:c r="Y1172" s="2" t="str">
        <x:v>ad210cd9ec132cfd447541c8984dc53d30aff0f4fb2dc92d254d49275cc55976</x:v>
      </x:c>
      <x:c r="Z1172" s="2" t="n">
        <x:f>SUBTOTAL(103,A1172)</x:f>
        <x:v>1</x:v>
      </x:c>
      <x:c r="AA1172" s="2" t="str">
        <x:f>IF(K1172&lt;&gt;"미종결 표시","대상 아님",IF(N1172="","신청일 확인",IF(NOT(ISNUMBER('종합 현황'!$H$5)),"관찰기준 확인",IF('종합 현황'!$H$5&lt;1,"관찰기준 확인",IF(N1172&gt;'종합 현황'!$H$5,"내부 관찰 대상","내부 관찰일 이하")))))</x:f>
        <x:v>내부 관찰 대상</x:v>
      </x:c>
      <x:c r="AB1172" s="2"/>
    </x:row>
    <x:row r="1173" ht="42" customHeight="1">
      <x:c r="A1173" s="2" t="str">
        <x:v>6ed3dfa51b922f61c881f9c1</x:v>
      </x:c>
      <x:c r="B1173" s="2" t="str">
        <x:v>사업 평가</x:v>
      </x:c>
      <x:c r="C1173" s="2" t="str">
        <x:v>국내</x:v>
      </x:c>
      <x:c r="D1173" s="7" t="str">
        <x:v>㈜대성테크  고효율 2단 인버터 PM  Motor 공기압축기로 교체 사업</x:v>
      </x:c>
      <x:c r="E1173" s="2" t="str">
        <x:v>1034</x:v>
      </x:c>
      <x:c r="F1173" s="2" t="str">
        <x:v>2023-06-16</x:v>
      </x:c>
      <x:c r="G1173" s="2" t="str">
        <x:v>2023</x:v>
      </x:c>
      <x:c r="H1173" s="2" t="str">
        <x:v>06</x:v>
      </x:c>
      <x:c r="I1173" s="2" t="str">
        <x:v>보완3차_보완중</x:v>
      </x:c>
      <x:c r="J1173" s="2" t="str">
        <x:v>보완요청</x:v>
      </x:c>
      <x:c r="K1173" s="2" t="str">
        <x:f>IF(OR(J1173="심의승인",J1173="반려",J1173="반려완료",J1173="심의완료"),"종결 표시",IF(OR(J1173="기후부협의",J1173="문서재제출요청",J1173="보류",J1173="보완요청",J1173="보완완료",J1173="평가중",J1173="반려요청",J1173="평가필요",LEFT(J1173,5)="보완요청("),"미종결 표시","상태 확인 필요"))</x:f>
        <x:v>미종결 표시</x:v>
      </x:c>
      <x:c r="L1173" s="2" t="str">
        <x:v>에코시안_정다윤</x:v>
      </x:c>
      <x:c r="M1173" s="2" t="n">
        <x:v>3</x:v>
      </x:c>
      <x:c r="N1173" s="8" t="n">
        <x:f>DATE(2026,10,15)-DATE(2023,6,16)</x:f>
        <x:v>1217</x:v>
      </x:c>
      <x:c r="O1173" s="2" t="str">
        <x:v>생략</x:v>
      </x:c>
      <x:c r="P1173" s="2"/>
      <x:c r="Q1173" s="2" t="str">
        <x:v>산업전환_외부사업관리Tool_260707_이너젠 수정_LJY_261013.xlsx</x:v>
      </x:c>
      <x:c r="R1173" s="2" t="str">
        <x:v>국내평가</x:v>
      </x:c>
      <x:c r="S1173" s="8" t="n">
        <x:v>1076</x:v>
      </x:c>
      <x:c r="T1173" s="2" t="str">
        <x:v>(6/27),(10/6)</x:v>
      </x:c>
      <x:c r="U1173" s="2" t="str">
        <x:v>2023 배정: (6/27),(10/6)</x:v>
      </x:c>
      <x:c r="V1173" s="2" t="str">
        <x:v>2024-01-11</x:v>
      </x:c>
      <x:c r="W1173" s="2" t="str"/>
      <x:c r="X1173" s="2" t="str">
        <x:v>보완 회신 일정 확인</x:v>
      </x:c>
      <x:c r="Y1173" s="2" t="str">
        <x:v>ad210cd9ec132cfd447541c8984dc53d30aff0f4fb2dc92d254d49275cc55976</x:v>
      </x:c>
      <x:c r="Z1173" s="2" t="n">
        <x:f>SUBTOTAL(103,A1173)</x:f>
        <x:v>1</x:v>
      </x:c>
      <x:c r="AA1173" s="2" t="str">
        <x:f>IF(K1173&lt;&gt;"미종결 표시","대상 아님",IF(N1173="","신청일 확인",IF(NOT(ISNUMBER('종합 현황'!$H$5)),"관찰기준 확인",IF('종합 현황'!$H$5&lt;1,"관찰기준 확인",IF(N1173&gt;'종합 현황'!$H$5,"내부 관찰 대상","내부 관찰일 이하")))))</x:f>
        <x:v>내부 관찰 대상</x:v>
      </x:c>
      <x:c r="AB1173" s="2"/>
    </x:row>
    <x:row r="1174" ht="42" customHeight="1">
      <x:c r="A1174" s="2" t="str">
        <x:v>f14823389137b3ec9f7a9b0d</x:v>
      </x:c>
      <x:c r="B1174" s="2" t="str">
        <x:v>사업 평가</x:v>
      </x:c>
      <x:c r="C1174" s="2" t="str">
        <x:v>국내</x:v>
      </x:c>
      <x:c r="D1174" s="7" t="str">
        <x:v>한국동서발전(주)-EWP에너지1004 태양광 지원사업</x:v>
      </x:c>
      <x:c r="E1174" s="2" t="str">
        <x:v>1035</x:v>
      </x:c>
      <x:c r="F1174" s="2" t="str">
        <x:v>2023-06-19</x:v>
      </x:c>
      <x:c r="G1174" s="2" t="str">
        <x:v>2023</x:v>
      </x:c>
      <x:c r="H1174" s="2" t="str">
        <x:v>06</x:v>
      </x:c>
      <x:c r="I1174" s="2" t="str">
        <x:v>반려</x:v>
      </x:c>
      <x:c r="J1174" s="2" t="str">
        <x:v>반려</x:v>
      </x:c>
      <x:c r="K1174" s="2" t="str">
        <x:f>IF(OR(J1174="심의승인",J1174="반려",J1174="반려완료",J1174="심의완료"),"종결 표시",IF(OR(J1174="기후부협의",J1174="문서재제출요청",J1174="보류",J1174="보완요청",J1174="보완완료",J1174="평가중",J1174="반려요청",J1174="평가필요",LEFT(J1174,5)="보완요청("),"미종결 표시","상태 확인 필요"))</x:f>
        <x:v>종결 표시</x:v>
      </x:c>
      <x:c r="L1174" s="2"/>
      <x:c r="M1174" s="2"/>
      <x:c r="N1174" s="8" t="n">
        <x:f>DATE(2026,10,15)-DATE(2023,6,19)</x:f>
        <x:v>1214</x:v>
      </x:c>
      <x:c r="O1174" s="2"/>
      <x:c r="P1174" s="2" t="str">
        <x:v>기존 신청한 프로그램과 같은 사업으로 확인되어 반려</x:v>
      </x:c>
      <x:c r="Q1174" s="2" t="str">
        <x:v>산업전환_외부사업관리Tool_260707_이너젠 수정_LJY_261013.xlsx</x:v>
      </x:c>
      <x:c r="R1174" s="2" t="str">
        <x:v>국내평가</x:v>
      </x:c>
      <x:c r="S1174" s="8" t="n">
        <x:v>1077</x:v>
      </x:c>
      <x:c r="T1174" s="2" t="str">
        <x:v>2023년 처리</x:v>
      </x:c>
      <x:c r="U1174" s="2" t="str">
        <x:v>2023 배정: 2023년 처리</x:v>
      </x:c>
      <x:c r="V1174" s="2" t="str">
        <x:v>2023-08-01</x:v>
      </x:c>
      <x:c r="W1174" s="2" t="str">
        <x:v>담당기관 확인</x:v>
      </x:c>
      <x:c r="X1174" s="2" t="str">
        <x:v>원본·배정 기록 확인</x:v>
      </x:c>
      <x:c r="Y1174" s="2" t="str">
        <x:v>ad210cd9ec132cfd447541c8984dc53d30aff0f4fb2dc92d254d49275cc55976</x:v>
      </x:c>
      <x:c r="Z1174" s="2" t="n">
        <x:f>SUBTOTAL(103,A1174)</x:f>
        <x:v>1</x:v>
      </x:c>
      <x:c r="AA1174" s="2" t="str">
        <x:f>IF(K1174&lt;&gt;"미종결 표시","대상 아님",IF(N1174="","신청일 확인",IF(NOT(ISNUMBER('종합 현황'!$H$5)),"관찰기준 확인",IF('종합 현황'!$H$5&lt;1,"관찰기준 확인",IF(N1174&gt;'종합 현황'!$H$5,"내부 관찰 대상","내부 관찰일 이하")))))</x:f>
        <x:v>대상 아님</x:v>
      </x:c>
      <x:c r="AB1174" s="2"/>
    </x:row>
    <x:row r="1175" ht="42" customHeight="1">
      <x:c r="A1175" s="2" t="str">
        <x:v>1b414b2ece09b096eed615ba</x:v>
      </x:c>
      <x:c r="B1175" s="2" t="str">
        <x:v>사업 평가</x:v>
      </x:c>
      <x:c r="C1175" s="2" t="str">
        <x:v>국내</x:v>
      </x:c>
      <x:c r="D1175" s="7" t="str">
        <x:v>혜주산업(주)  고효율 2단 인버터 PM  Motor 공기압축기로 교체 사업</x:v>
      </x:c>
      <x:c r="E1175" s="2" t="str">
        <x:v>1036</x:v>
      </x:c>
      <x:c r="F1175" s="2" t="str">
        <x:v>2023-06-26</x:v>
      </x:c>
      <x:c r="G1175" s="2" t="str">
        <x:v>2023</x:v>
      </x:c>
      <x:c r="H1175" s="2" t="str">
        <x:v>06</x:v>
      </x:c>
      <x:c r="I1175" s="2" t="str">
        <x:v>승인</x:v>
      </x:c>
      <x:c r="J1175" s="2" t="str">
        <x:v>심의승인</x:v>
      </x:c>
      <x:c r="K1175" s="2" t="str">
        <x:f>IF(OR(J1175="심의승인",J1175="반려",J1175="반려완료",J1175="심의완료"),"종결 표시",IF(OR(J1175="기후부협의",J1175="문서재제출요청",J1175="보류",J1175="보완요청",J1175="보완완료",J1175="평가중",J1175="반려요청",J1175="평가필요",LEFT(J1175,5)="보완요청("),"미종결 표시","상태 확인 필요"))</x:f>
        <x:v>종결 표시</x:v>
      </x:c>
      <x:c r="L1175" s="2" t="str">
        <x:v>에코시안_정다윤</x:v>
      </x:c>
      <x:c r="M1175" s="2"/>
      <x:c r="N1175" s="8" t="n">
        <x:f>DATE(2026,10,15)-DATE(2023,6,26)</x:f>
        <x:v>1207</x:v>
      </x:c>
      <x:c r="O1175" s="2" t="str">
        <x:v>생략</x:v>
      </x:c>
      <x:c r="P1175" s="2"/>
      <x:c r="Q1175" s="2" t="str">
        <x:v>산업전환_외부사업관리Tool_260707_이너젠 수정_LJY_261013.xlsx</x:v>
      </x:c>
      <x:c r="R1175" s="2" t="str">
        <x:v>국내평가</x:v>
      </x:c>
      <x:c r="S1175" s="8" t="n">
        <x:v>1078</x:v>
      </x:c>
      <x:c r="T1175" s="2" t="str">
        <x:v>(7/17),(11/17)</x:v>
      </x:c>
      <x:c r="U1175" s="2" t="str">
        <x:v>2023 배정: (7/17),(11/17) / 2024 배정: (2/26),(5/20),(7/1),(7/23)</x:v>
      </x:c>
      <x:c r="V1175" s="2" t="str">
        <x:v>2025-01-08</x:v>
      </x:c>
      <x:c r="W1175" s="2" t="str"/>
      <x:c r="X1175" s="2" t="str">
        <x:v>종결 근거 보관</x:v>
      </x:c>
      <x:c r="Y1175" s="2" t="str">
        <x:v>ad210cd9ec132cfd447541c8984dc53d30aff0f4fb2dc92d254d49275cc55976</x:v>
      </x:c>
      <x:c r="Z1175" s="2" t="n">
        <x:f>SUBTOTAL(103,A1175)</x:f>
        <x:v>1</x:v>
      </x:c>
      <x:c r="AA1175" s="2" t="str">
        <x:f>IF(K1175&lt;&gt;"미종결 표시","대상 아님",IF(N1175="","신청일 확인",IF(NOT(ISNUMBER('종합 현황'!$H$5)),"관찰기준 확인",IF('종합 현황'!$H$5&lt;1,"관찰기준 확인",IF(N1175&gt;'종합 현황'!$H$5,"내부 관찰 대상","내부 관찰일 이하")))))</x:f>
        <x:v>대상 아님</x:v>
      </x:c>
      <x:c r="AB1175" s="2"/>
    </x:row>
    <x:row r="1176" ht="42" customHeight="1">
      <x:c r="A1176" s="2" t="str">
        <x:v>f8ebe394b5ffc7e6d4475b56</x:v>
      </x:c>
      <x:c r="B1176" s="2" t="str">
        <x:v>사업 평가</x:v>
      </x:c>
      <x:c r="C1176" s="2" t="str">
        <x:v>국내</x:v>
      </x:c>
      <x:c r="D1176" s="7" t="str">
        <x:v>㈜고려텍스 외 5개사의 고효율 공기압축기 교체를 통한 온실가스 감축사업</x:v>
      </x:c>
      <x:c r="E1176" s="2" t="str">
        <x:v>1037</x:v>
      </x:c>
      <x:c r="F1176" s="2" t="str">
        <x:v>2023-06-30</x:v>
      </x:c>
      <x:c r="G1176" s="2" t="str">
        <x:v>2023</x:v>
      </x:c>
      <x:c r="H1176" s="2" t="str">
        <x:v>06</x:v>
      </x:c>
      <x:c r="I1176" s="2" t="str">
        <x:v>협의통보</x:v>
      </x:c>
      <x:c r="J1176" s="2" t="str">
        <x:v>기후부협의</x:v>
      </x:c>
      <x:c r="K1176" s="2" t="str">
        <x:f>IF(OR(J1176="심의승인",J1176="반려",J1176="반려완료",J1176="심의완료"),"종결 표시",IF(OR(J1176="기후부협의",J1176="문서재제출요청",J1176="보류",J1176="보완요청",J1176="보완완료",J1176="평가중",J1176="반려요청",J1176="평가필요",LEFT(J1176,5)="보완요청("),"미종결 표시","상태 확인 필요"))</x:f>
        <x:v>미종결 표시</x:v>
      </x:c>
      <x:c r="L1176" s="2" t="str">
        <x:v>에코시안_조영우</x:v>
      </x:c>
      <x:c r="M1176" s="2"/>
      <x:c r="N1176" s="8" t="n">
        <x:f>DATE(2026,10,15)-DATE(2023,6,30)</x:f>
        <x:v>1203</x:v>
      </x:c>
      <x:c r="O1176" s="2" t="str">
        <x:v>생략</x:v>
      </x:c>
      <x:c r="P1176" s="2" t="str">
        <x:v>협의의견 보완 검토 필요</x:v>
      </x:c>
      <x:c r="Q1176" s="2" t="str">
        <x:v>산업전환_외부사업관리Tool_260707_이너젠 수정_LJY_261013.xlsx</x:v>
      </x:c>
      <x:c r="R1176" s="2" t="str">
        <x:v>국내평가</x:v>
      </x:c>
      <x:c r="S1176" s="8" t="n">
        <x:v>1079</x:v>
      </x:c>
      <x:c r="T1176" s="2" t="str">
        <x:v>(7/17)</x:v>
      </x:c>
      <x:c r="U1176" s="2" t="str">
        <x:v>2023 배정: (7/17) / 2024 배정: (10/17) / 2025 배정: (3/5),(5/9),(7/18),(8/8)</x:v>
      </x:c>
      <x:c r="V1176" s="2" t="str">
        <x:v>2025-10-29</x:v>
      </x:c>
      <x:c r="W1176" s="2" t="str"/>
      <x:c r="X1176" s="2" t="str">
        <x:v>검토 진행 일정 확인</x:v>
      </x:c>
      <x:c r="Y1176" s="2" t="str">
        <x:v>ad210cd9ec132cfd447541c8984dc53d30aff0f4fb2dc92d254d49275cc55976</x:v>
      </x:c>
      <x:c r="Z1176" s="2" t="n">
        <x:f>SUBTOTAL(103,A1176)</x:f>
        <x:v>1</x:v>
      </x:c>
      <x:c r="AA1176" s="2" t="str">
        <x:f>IF(K1176&lt;&gt;"미종결 표시","대상 아님",IF(N1176="","신청일 확인",IF(NOT(ISNUMBER('종합 현황'!$H$5)),"관찰기준 확인",IF('종합 현황'!$H$5&lt;1,"관찰기준 확인",IF(N1176&gt;'종합 현황'!$H$5,"내부 관찰 대상","내부 관찰일 이하")))))</x:f>
        <x:v>내부 관찰 대상</x:v>
      </x:c>
      <x:c r="AB1176" s="2"/>
    </x:row>
    <x:row r="1177" ht="42" customHeight="1">
      <x:c r="A1177" s="2" t="str">
        <x:v>3c3a9cefc65ca980c4ca7f74</x:v>
      </x:c>
      <x:c r="B1177" s="2" t="str">
        <x:v>사업 평가</x:v>
      </x:c>
      <x:c r="C1177" s="2" t="str">
        <x:v>국내</x:v>
      </x:c>
      <x:c r="D1177" s="7" t="str">
        <x:v>㈜유창염직 외 5개사의 고효율 공기압축기 교체를 통한 온실가스 감축사업</x:v>
      </x:c>
      <x:c r="E1177" s="2" t="str">
        <x:v>1038</x:v>
      </x:c>
      <x:c r="F1177" s="2" t="str">
        <x:v>2023-06-30</x:v>
      </x:c>
      <x:c r="G1177" s="2" t="str">
        <x:v>2023</x:v>
      </x:c>
      <x:c r="H1177" s="2" t="str">
        <x:v>06</x:v>
      </x:c>
      <x:c r="I1177" s="2" t="str">
        <x:v>협의검토중</x:v>
      </x:c>
      <x:c r="J1177" s="2" t="str">
        <x:v>보완요청</x:v>
      </x:c>
      <x:c r="K1177" s="2" t="str">
        <x:f>IF(OR(J1177="심의승인",J1177="반려",J1177="반려완료",J1177="심의완료"),"종결 표시",IF(OR(J1177="기후부협의",J1177="문서재제출요청",J1177="보류",J1177="보완요청",J1177="보완완료",J1177="평가중",J1177="반려요청",J1177="평가필요",LEFT(J1177,5)="보완요청("),"미종결 표시","상태 확인 필요"))</x:f>
        <x:v>미종결 표시</x:v>
      </x:c>
      <x:c r="L1177" s="2" t="str">
        <x:v>에코시안_전윤호</x:v>
      </x:c>
      <x:c r="M1177" s="2"/>
      <x:c r="N1177" s="8" t="n">
        <x:f>DATE(2026,10,15)-DATE(2023,6,30)</x:f>
        <x:v>1203</x:v>
      </x:c>
      <x:c r="O1177" s="2" t="str">
        <x:v>생략</x:v>
      </x:c>
      <x:c r="P1177" s="2"/>
      <x:c r="Q1177" s="2" t="str">
        <x:v>산업전환_외부사업관리Tool_260707_이너젠 수정_LJY_261013.xlsx</x:v>
      </x:c>
      <x:c r="R1177" s="2" t="str">
        <x:v>국내평가</x:v>
      </x:c>
      <x:c r="S1177" s="8" t="n">
        <x:v>1080</x:v>
      </x:c>
      <x:c r="T1177" s="2" t="str">
        <x:v>(7/17)</x:v>
      </x:c>
      <x:c r="U1177" s="2" t="str">
        <x:v>2023 배정: (7/17) / 2024 배정: (10/17) / 2025 배정: (4/9),(5/30),(8/8) / 2026(사전): (3/19),(5/26)</x:v>
      </x:c>
      <x:c r="V1177" s="2" t="str">
        <x:v>2026-09-07</x:v>
      </x:c>
      <x:c r="W1177" s="2" t="str"/>
      <x:c r="X1177" s="2" t="str">
        <x:v>보완 회신 일정 확인</x:v>
      </x:c>
      <x:c r="Y1177" s="2" t="str">
        <x:v>ad210cd9ec132cfd447541c8984dc53d30aff0f4fb2dc92d254d49275cc55976</x:v>
      </x:c>
      <x:c r="Z1177" s="2" t="n">
        <x:f>SUBTOTAL(103,A1177)</x:f>
        <x:v>1</x:v>
      </x:c>
      <x:c r="AA1177" s="2" t="str">
        <x:f>IF(K1177&lt;&gt;"미종결 표시","대상 아님",IF(N1177="","신청일 확인",IF(NOT(ISNUMBER('종합 현황'!$H$5)),"관찰기준 확인",IF('종합 현황'!$H$5&lt;1,"관찰기준 확인",IF(N1177&gt;'종합 현황'!$H$5,"내부 관찰 대상","내부 관찰일 이하")))))</x:f>
        <x:v>내부 관찰 대상</x:v>
      </x:c>
      <x:c r="AB1177" s="2"/>
    </x:row>
    <x:row r="1178" ht="42" customHeight="1">
      <x:c r="A1178" s="2" t="str">
        <x:v>ea8bff8e596953d9b67e63cb</x:v>
      </x:c>
      <x:c r="B1178" s="2" t="str">
        <x:v>사업 평가</x:v>
      </x:c>
      <x:c r="C1178" s="2" t="str">
        <x:v>국내</x:v>
      </x:c>
      <x:c r="D1178" s="7" t="str">
        <x:v>㈜케이티에스테크 고효율 2단 인버터 PM  Motor 공기압축기로 교체 사업</x:v>
      </x:c>
      <x:c r="E1178" s="2" t="str">
        <x:v>1039</x:v>
      </x:c>
      <x:c r="F1178" s="2" t="str">
        <x:v>2023-06-30</x:v>
      </x:c>
      <x:c r="G1178" s="2" t="str">
        <x:v>2023</x:v>
      </x:c>
      <x:c r="H1178" s="2" t="str">
        <x:v>06</x:v>
      </x:c>
      <x:c r="I1178" s="2" t="str">
        <x:v>승인</x:v>
      </x:c>
      <x:c r="J1178" s="2" t="str">
        <x:v>심의승인</x:v>
      </x:c>
      <x:c r="K1178" s="2" t="str">
        <x:f>IF(OR(J1178="심의승인",J1178="반려",J1178="반려완료",J1178="심의완료"),"종결 표시",IF(OR(J1178="기후부협의",J1178="문서재제출요청",J1178="보류",J1178="보완요청",J1178="보완완료",J1178="평가중",J1178="반려요청",J1178="평가필요",LEFT(J1178,5)="보완요청("),"미종결 표시","상태 확인 필요"))</x:f>
        <x:v>종결 표시</x:v>
      </x:c>
      <x:c r="L1178" s="2" t="str">
        <x:v>에코시안_조영우</x:v>
      </x:c>
      <x:c r="M1178" s="2"/>
      <x:c r="N1178" s="8" t="n">
        <x:f>DATE(2026,10,15)-DATE(2023,6,30)</x:f>
        <x:v>1203</x:v>
      </x:c>
      <x:c r="O1178" s="2" t="str">
        <x:v>생략</x:v>
      </x:c>
      <x:c r="P1178" s="2" t="str">
        <x:v>3분기 인증위 승인</x:v>
      </x:c>
      <x:c r="Q1178" s="2" t="str">
        <x:v>산업전환_외부사업관리Tool_260707_이너젠 수정_LJY_261013.xlsx</x:v>
      </x:c>
      <x:c r="R1178" s="2" t="str">
        <x:v>국내평가</x:v>
      </x:c>
      <x:c r="S1178" s="8" t="n">
        <x:v>1081</x:v>
      </x:c>
      <x:c r="T1178" s="2" t="str">
        <x:v>(7/17),(11/17)</x:v>
      </x:c>
      <x:c r="U1178" s="2" t="str">
        <x:v>2023 배정: (7/17),(11/17) / 2024 배정: (2/26)</x:v>
      </x:c>
      <x:c r="V1178" s="2" t="str">
        <x:v>2024-10-07</x:v>
      </x:c>
      <x:c r="W1178" s="2" t="str"/>
      <x:c r="X1178" s="2" t="str">
        <x:v>종결 근거 보관</x:v>
      </x:c>
      <x:c r="Y1178" s="2" t="str">
        <x:v>ad210cd9ec132cfd447541c8984dc53d30aff0f4fb2dc92d254d49275cc55976</x:v>
      </x:c>
      <x:c r="Z1178" s="2" t="n">
        <x:f>SUBTOTAL(103,A1178)</x:f>
        <x:v>1</x:v>
      </x:c>
      <x:c r="AA1178" s="2" t="str">
        <x:f>IF(K1178&lt;&gt;"미종결 표시","대상 아님",IF(N1178="","신청일 확인",IF(NOT(ISNUMBER('종합 현황'!$H$5)),"관찰기준 확인",IF('종합 현황'!$H$5&lt;1,"관찰기준 확인",IF(N1178&gt;'종합 현황'!$H$5,"내부 관찰 대상","내부 관찰일 이하")))))</x:f>
        <x:v>대상 아님</x:v>
      </x:c>
      <x:c r="AB1178" s="2"/>
    </x:row>
    <x:row r="1179" ht="42" customHeight="1">
      <x:c r="A1179" s="2" t="str">
        <x:v>98d2c62a290e73b059fe305f</x:v>
      </x:c>
      <x:c r="B1179" s="2" t="str">
        <x:v>사업 평가</x:v>
      </x:c>
      <x:c r="C1179" s="2" t="str">
        <x:v>국내</x:v>
      </x:c>
      <x:c r="D1179" s="7" t="str">
        <x:v>(주)수원금속 고효율 2단 인버터 PM  Motor 공기압축기로 교체 사업</x:v>
      </x:c>
      <x:c r="E1179" s="2" t="str">
        <x:v>1040</x:v>
      </x:c>
      <x:c r="F1179" s="2" t="str">
        <x:v>2023-06-30</x:v>
      </x:c>
      <x:c r="G1179" s="2" t="str">
        <x:v>2023</x:v>
      </x:c>
      <x:c r="H1179" s="2" t="str">
        <x:v>06</x:v>
      </x:c>
      <x:c r="I1179" s="2" t="str">
        <x:v>보완2차_보완중</x:v>
      </x:c>
      <x:c r="J1179" s="2" t="str">
        <x:v>보완요청</x:v>
      </x:c>
      <x:c r="K1179" s="2" t="str">
        <x:f>IF(OR(J1179="심의승인",J1179="반려",J1179="반려완료",J1179="심의완료"),"종결 표시",IF(OR(J1179="기후부협의",J1179="문서재제출요청",J1179="보류",J1179="보완요청",J1179="보완완료",J1179="평가중",J1179="반려요청",J1179="평가필요",LEFT(J1179,5)="보완요청("),"미종결 표시","상태 확인 필요"))</x:f>
        <x:v>미종결 표시</x:v>
      </x:c>
      <x:c r="L1179" s="2" t="str">
        <x:v>에코시안_권송화</x:v>
      </x:c>
      <x:c r="M1179" s="2" t="n">
        <x:v>2</x:v>
      </x:c>
      <x:c r="N1179" s="8" t="n">
        <x:f>DATE(2026,10,15)-DATE(2023,6,30)</x:f>
        <x:v>1203</x:v>
      </x:c>
      <x:c r="O1179" s="2" t="str">
        <x:v>생략</x:v>
      </x:c>
      <x:c r="P1179" s="2"/>
      <x:c r="Q1179" s="2" t="str">
        <x:v>산업전환_외부사업관리Tool_260707_이너젠 수정_LJY_261013.xlsx</x:v>
      </x:c>
      <x:c r="R1179" s="2" t="str">
        <x:v>국내평가</x:v>
      </x:c>
      <x:c r="S1179" s="8" t="n">
        <x:v>1082</x:v>
      </x:c>
      <x:c r="T1179" s="2" t="str">
        <x:v>(7/17)</x:v>
      </x:c>
      <x:c r="U1179" s="2" t="str">
        <x:v>2023 배정: (7/17)</x:v>
      </x:c>
      <x:c r="V1179" s="2" t="str">
        <x:v>2024-01-08</x:v>
      </x:c>
      <x:c r="W1179" s="2" t="str"/>
      <x:c r="X1179" s="2" t="str">
        <x:v>보완 회신 일정 확인</x:v>
      </x:c>
      <x:c r="Y1179" s="2" t="str">
        <x:v>ad210cd9ec132cfd447541c8984dc53d30aff0f4fb2dc92d254d49275cc55976</x:v>
      </x:c>
      <x:c r="Z1179" s="2" t="n">
        <x:f>SUBTOTAL(103,A1179)</x:f>
        <x:v>1</x:v>
      </x:c>
      <x:c r="AA1179" s="2" t="str">
        <x:f>IF(K1179&lt;&gt;"미종결 표시","대상 아님",IF(N1179="","신청일 확인",IF(NOT(ISNUMBER('종합 현황'!$H$5)),"관찰기준 확인",IF('종합 현황'!$H$5&lt;1,"관찰기준 확인",IF(N1179&gt;'종합 현황'!$H$5,"내부 관찰 대상","내부 관찰일 이하")))))</x:f>
        <x:v>내부 관찰 대상</x:v>
      </x:c>
      <x:c r="AB1179" s="2"/>
    </x:row>
    <x:row r="1180" ht="42" customHeight="1">
      <x:c r="A1180" s="2" t="str">
        <x:v>cbb019acd31ab61428f181a2</x:v>
      </x:c>
      <x:c r="B1180" s="2" t="str">
        <x:v>사업 평가</x:v>
      </x:c>
      <x:c r="C1180" s="2" t="str">
        <x:v>국내</x:v>
      </x:c>
      <x:c r="D1180" s="7" t="str">
        <x:v>대한미디어(주) 외 4개사의 고효율 공기압축기 교체를 통한 온실가스 감축사업</x:v>
      </x:c>
      <x:c r="E1180" s="2" t="str">
        <x:v>1041</x:v>
      </x:c>
      <x:c r="F1180" s="2" t="str">
        <x:v>2023-07-05</x:v>
      </x:c>
      <x:c r="G1180" s="2" t="str">
        <x:v>2023</x:v>
      </x:c>
      <x:c r="H1180" s="2" t="str">
        <x:v>07</x:v>
      </x:c>
      <x:c r="I1180" s="2" t="str">
        <x:v>협의검토중</x:v>
      </x:c>
      <x:c r="J1180" s="2" t="str">
        <x:v>보완요청</x:v>
      </x:c>
      <x:c r="K1180" s="2" t="str">
        <x:f>IF(OR(J1180="심의승인",J1180="반려",J1180="반려완료",J1180="심의완료"),"종결 표시",IF(OR(J1180="기후부협의",J1180="문서재제출요청",J1180="보류",J1180="보완요청",J1180="보완완료",J1180="평가중",J1180="반려요청",J1180="평가필요",LEFT(J1180,5)="보완요청("),"미종결 표시","상태 확인 필요"))</x:f>
        <x:v>미종결 표시</x:v>
      </x:c>
      <x:c r="L1180" s="2" t="str">
        <x:v>에코시안_정다윤</x:v>
      </x:c>
      <x:c r="M1180" s="2"/>
      <x:c r="N1180" s="8" t="n">
        <x:f>DATE(2026,10,15)-DATE(2023,7,5)</x:f>
        <x:v>1198</x:v>
      </x:c>
      <x:c r="O1180" s="2" t="str">
        <x:v>생략</x:v>
      </x:c>
      <x:c r="P1180" s="2"/>
      <x:c r="Q1180" s="2" t="str">
        <x:v>산업전환_외부사업관리Tool_260707_이너젠 수정_LJY_261013.xlsx</x:v>
      </x:c>
      <x:c r="R1180" s="2" t="str">
        <x:v>국내평가</x:v>
      </x:c>
      <x:c r="S1180" s="8" t="n">
        <x:v>1083</x:v>
      </x:c>
      <x:c r="T1180" s="2" t="str">
        <x:v>(7/17)</x:v>
      </x:c>
      <x:c r="U1180" s="2" t="str">
        <x:v>2023 배정: (7/17) / 2024 배정: (10/17) / 2025 배정: (4/9),(5/30),(8/8) / 2026(사전): (3/19),(5/26)</x:v>
      </x:c>
      <x:c r="V1180" s="2" t="str">
        <x:v>2026-09-07</x:v>
      </x:c>
      <x:c r="W1180" s="2" t="str"/>
      <x:c r="X1180" s="2" t="str">
        <x:v>보완 회신 일정 확인</x:v>
      </x:c>
      <x:c r="Y1180" s="2" t="str">
        <x:v>ad210cd9ec132cfd447541c8984dc53d30aff0f4fb2dc92d254d49275cc55976</x:v>
      </x:c>
      <x:c r="Z1180" s="2" t="n">
        <x:f>SUBTOTAL(103,A1180)</x:f>
        <x:v>1</x:v>
      </x:c>
      <x:c r="AA1180" s="2" t="str">
        <x:f>IF(K1180&lt;&gt;"미종결 표시","대상 아님",IF(N1180="","신청일 확인",IF(NOT(ISNUMBER('종합 현황'!$H$5)),"관찰기준 확인",IF('종합 현황'!$H$5&lt;1,"관찰기준 확인",IF(N1180&gt;'종합 현황'!$H$5,"내부 관찰 대상","내부 관찰일 이하")))))</x:f>
        <x:v>내부 관찰 대상</x:v>
      </x:c>
      <x:c r="AB1180" s="2"/>
    </x:row>
    <x:row r="1181" ht="42" customHeight="1">
      <x:c r="A1181" s="2" t="str">
        <x:v>894c01efe176995dd8c6bcc8</x:v>
      </x:c>
      <x:c r="B1181" s="2" t="str">
        <x:v>사업 평가</x:v>
      </x:c>
      <x:c r="C1181" s="2" t="str">
        <x:v>국내</x:v>
      </x:c>
      <x:c r="D1181" s="7" t="str">
        <x:v>(주)기홍메가텍 외 5개사의 고효율 공기압축기 교체를 통한 온실가스 감축사업</x:v>
      </x:c>
      <x:c r="E1181" s="2" t="str">
        <x:v>1042</x:v>
      </x:c>
      <x:c r="F1181" s="2" t="str">
        <x:v>2023-07-05</x:v>
      </x:c>
      <x:c r="G1181" s="2" t="str">
        <x:v>2023</x:v>
      </x:c>
      <x:c r="H1181" s="2" t="str">
        <x:v>07</x:v>
      </x:c>
      <x:c r="I1181" s="2" t="str">
        <x:v>협의검토중</x:v>
      </x:c>
      <x:c r="J1181" s="2" t="str">
        <x:v>보완요청</x:v>
      </x:c>
      <x:c r="K1181" s="2" t="str">
        <x:f>IF(OR(J1181="심의승인",J1181="반려",J1181="반려완료",J1181="심의완료"),"종결 표시",IF(OR(J1181="기후부협의",J1181="문서재제출요청",J1181="보류",J1181="보완요청",J1181="보완완료",J1181="평가중",J1181="반려요청",J1181="평가필요",LEFT(J1181,5)="보완요청("),"미종결 표시","상태 확인 필요"))</x:f>
        <x:v>미종결 표시</x:v>
      </x:c>
      <x:c r="L1181" s="2" t="str">
        <x:v>KECM_이태준</x:v>
      </x:c>
      <x:c r="M1181" s="2"/>
      <x:c r="N1181" s="8" t="n">
        <x:f>DATE(2026,10,15)-DATE(2023,7,5)</x:f>
        <x:v>1198</x:v>
      </x:c>
      <x:c r="O1181" s="2" t="str">
        <x:v>생략</x:v>
      </x:c>
      <x:c r="P1181" s="2"/>
      <x:c r="Q1181" s="2" t="str">
        <x:v>산업전환_외부사업관리Tool_260707_이너젠 수정_LJY_261013.xlsx</x:v>
      </x:c>
      <x:c r="R1181" s="2" t="str">
        <x:v>국내평가</x:v>
      </x:c>
      <x:c r="S1181" s="8" t="n">
        <x:v>1084</x:v>
      </x:c>
      <x:c r="T1181" s="2" t="str">
        <x:v>(7/17)</x:v>
      </x:c>
      <x:c r="U1181" s="2" t="str">
        <x:v>2023 배정: (7/17) / 2024 배정: (10/17) / 2025 배정: (4/9),(5/30),(7/18) / 2026(사전): (3/19),(5/26)</x:v>
      </x:c>
      <x:c r="V1181" s="2" t="str">
        <x:v>2026-09-07</x:v>
      </x:c>
      <x:c r="W1181" s="2" t="str"/>
      <x:c r="X1181" s="2" t="str">
        <x:v>보완 회신 일정 확인</x:v>
      </x:c>
      <x:c r="Y1181" s="2" t="str">
        <x:v>ad210cd9ec132cfd447541c8984dc53d30aff0f4fb2dc92d254d49275cc55976</x:v>
      </x:c>
      <x:c r="Z1181" s="2" t="n">
        <x:f>SUBTOTAL(103,A1181)</x:f>
        <x:v>1</x:v>
      </x:c>
      <x:c r="AA1181" s="2" t="str">
        <x:f>IF(K1181&lt;&gt;"미종결 표시","대상 아님",IF(N1181="","신청일 확인",IF(NOT(ISNUMBER('종합 현황'!$H$5)),"관찰기준 확인",IF('종합 현황'!$H$5&lt;1,"관찰기준 확인",IF(N1181&gt;'종합 현황'!$H$5,"내부 관찰 대상","내부 관찰일 이하")))))</x:f>
        <x:v>내부 관찰 대상</x:v>
      </x:c>
      <x:c r="AB1181" s="2"/>
    </x:row>
    <x:row r="1182" ht="42" customHeight="1">
      <x:c r="A1182" s="2" t="str">
        <x:v>f9f6c2690b52c90d269a59fd</x:v>
      </x:c>
      <x:c r="B1182" s="2" t="str">
        <x:v>사업 평가</x:v>
      </x:c>
      <x:c r="C1182" s="2" t="str">
        <x:v>국내</x:v>
      </x:c>
      <x:c r="D1182" s="7" t="str">
        <x:v>구름테크 외 6개사의 고효율 공기압축기 교체를 통한 온실가스 감축사업</x:v>
      </x:c>
      <x:c r="E1182" s="2" t="str">
        <x:v>1043</x:v>
      </x:c>
      <x:c r="F1182" s="2" t="str">
        <x:v>2023-07-05</x:v>
      </x:c>
      <x:c r="G1182" s="2" t="str">
        <x:v>2023</x:v>
      </x:c>
      <x:c r="H1182" s="2" t="str">
        <x:v>07</x:v>
      </x:c>
      <x:c r="I1182" s="2" t="str">
        <x:v>협의검토중</x:v>
      </x:c>
      <x:c r="J1182" s="2" t="str">
        <x:v>보완요청</x:v>
      </x:c>
      <x:c r="K1182" s="2" t="str">
        <x:f>IF(OR(J1182="심의승인",J1182="반려",J1182="반려완료",J1182="심의완료"),"종결 표시",IF(OR(J1182="기후부협의",J1182="문서재제출요청",J1182="보류",J1182="보완요청",J1182="보완완료",J1182="평가중",J1182="반려요청",J1182="평가필요",LEFT(J1182,5)="보완요청("),"미종결 표시","상태 확인 필요"))</x:f>
        <x:v>미종결 표시</x:v>
      </x:c>
      <x:c r="L1182" s="2" t="str">
        <x:v>KECM_이태준</x:v>
      </x:c>
      <x:c r="M1182" s="2"/>
      <x:c r="N1182" s="8" t="n">
        <x:f>DATE(2026,10,15)-DATE(2023,7,5)</x:f>
        <x:v>1198</x:v>
      </x:c>
      <x:c r="O1182" s="2" t="str">
        <x:v>생략</x:v>
      </x:c>
      <x:c r="P1182" s="2"/>
      <x:c r="Q1182" s="2" t="str">
        <x:v>산업전환_외부사업관리Tool_260707_이너젠 수정_LJY_261013.xlsx</x:v>
      </x:c>
      <x:c r="R1182" s="2" t="str">
        <x:v>국내평가</x:v>
      </x:c>
      <x:c r="S1182" s="8" t="n">
        <x:v>1085</x:v>
      </x:c>
      <x:c r="T1182" s="2" t="str">
        <x:v>(7/17)</x:v>
      </x:c>
      <x:c r="U1182" s="2" t="str">
        <x:v>2023 배정: (7/17) / 2024 배정: (10/17) / 2025 배정: (4/9),(5/30),(7/18) / 2026(사전): (3/19),(5/26)</x:v>
      </x:c>
      <x:c r="V1182" s="2" t="str">
        <x:v>2026-09-07</x:v>
      </x:c>
      <x:c r="W1182" s="2" t="str"/>
      <x:c r="X1182" s="2" t="str">
        <x:v>보완 회신 일정 확인</x:v>
      </x:c>
      <x:c r="Y1182" s="2" t="str">
        <x:v>ad210cd9ec132cfd447541c8984dc53d30aff0f4fb2dc92d254d49275cc55976</x:v>
      </x:c>
      <x:c r="Z1182" s="2" t="n">
        <x:f>SUBTOTAL(103,A1182)</x:f>
        <x:v>1</x:v>
      </x:c>
      <x:c r="AA1182" s="2" t="str">
        <x:f>IF(K1182&lt;&gt;"미종결 표시","대상 아님",IF(N1182="","신청일 확인",IF(NOT(ISNUMBER('종합 현황'!$H$5)),"관찰기준 확인",IF('종합 현황'!$H$5&lt;1,"관찰기준 확인",IF(N1182&gt;'종합 현황'!$H$5,"내부 관찰 대상","내부 관찰일 이하")))))</x:f>
        <x:v>내부 관찰 대상</x:v>
      </x:c>
      <x:c r="AB1182" s="2"/>
    </x:row>
    <x:row r="1183" ht="42" customHeight="1">
      <x:c r="A1183" s="2" t="str">
        <x:v>e5d0b9bbb013c124b70122b5</x:v>
      </x:c>
      <x:c r="B1183" s="2" t="str">
        <x:v>사업 평가</x:v>
      </x:c>
      <x:c r="C1183" s="2" t="str">
        <x:v>국내</x:v>
      </x:c>
      <x:c r="D1183" s="7" t="str">
        <x:v>보광 외 7개사의 고효율 공기압축기 교체를 통한 온실가스 감축사업</x:v>
      </x:c>
      <x:c r="E1183" s="2" t="str">
        <x:v>1044</x:v>
      </x:c>
      <x:c r="F1183" s="2" t="str">
        <x:v>2023-07-05</x:v>
      </x:c>
      <x:c r="G1183" s="2" t="str">
        <x:v>2023</x:v>
      </x:c>
      <x:c r="H1183" s="2" t="str">
        <x:v>07</x:v>
      </x:c>
      <x:c r="I1183" s="2" t="str">
        <x:v>협의검토중</x:v>
      </x:c>
      <x:c r="J1183" s="2" t="str">
        <x:v>보완요청</x:v>
      </x:c>
      <x:c r="K1183" s="2" t="str">
        <x:f>IF(OR(J1183="심의승인",J1183="반려",J1183="반려완료",J1183="심의완료"),"종결 표시",IF(OR(J1183="기후부협의",J1183="문서재제출요청",J1183="보류",J1183="보완요청",J1183="보완완료",J1183="평가중",J1183="반려요청",J1183="평가필요",LEFT(J1183,5)="보완요청("),"미종결 표시","상태 확인 필요"))</x:f>
        <x:v>미종결 표시</x:v>
      </x:c>
      <x:c r="L1183" s="2" t="str">
        <x:v>KECM_이태준</x:v>
      </x:c>
      <x:c r="M1183" s="2"/>
      <x:c r="N1183" s="8" t="n">
        <x:f>DATE(2026,10,15)-DATE(2023,7,5)</x:f>
        <x:v>1198</x:v>
      </x:c>
      <x:c r="O1183" s="2" t="str">
        <x:v>생략</x:v>
      </x:c>
      <x:c r="P1183" s="2"/>
      <x:c r="Q1183" s="2" t="str">
        <x:v>산업전환_외부사업관리Tool_260707_이너젠 수정_LJY_261013.xlsx</x:v>
      </x:c>
      <x:c r="R1183" s="2" t="str">
        <x:v>국내평가</x:v>
      </x:c>
      <x:c r="S1183" s="8" t="n">
        <x:v>1086</x:v>
      </x:c>
      <x:c r="T1183" s="2" t="str">
        <x:v>(7/17)</x:v>
      </x:c>
      <x:c r="U1183" s="2" t="str">
        <x:v>2023 배정: (7/17) / 2024 배정: (10/17) / 2025 배정: (4/9),(5/30),(8/8) / 2026(사전): (3/19),(5/26)</x:v>
      </x:c>
      <x:c r="V1183" s="2" t="str">
        <x:v>2026-09-07</x:v>
      </x:c>
      <x:c r="W1183" s="2" t="str"/>
      <x:c r="X1183" s="2" t="str">
        <x:v>보완 회신 일정 확인</x:v>
      </x:c>
      <x:c r="Y1183" s="2" t="str">
        <x:v>ad210cd9ec132cfd447541c8984dc53d30aff0f4fb2dc92d254d49275cc55976</x:v>
      </x:c>
      <x:c r="Z1183" s="2" t="n">
        <x:f>SUBTOTAL(103,A1183)</x:f>
        <x:v>1</x:v>
      </x:c>
      <x:c r="AA1183" s="2" t="str">
        <x:f>IF(K1183&lt;&gt;"미종결 표시","대상 아님",IF(N1183="","신청일 확인",IF(NOT(ISNUMBER('종합 현황'!$H$5)),"관찰기준 확인",IF('종합 현황'!$H$5&lt;1,"관찰기준 확인",IF(N1183&gt;'종합 현황'!$H$5,"내부 관찰 대상","내부 관찰일 이하")))))</x:f>
        <x:v>내부 관찰 대상</x:v>
      </x:c>
      <x:c r="AB1183" s="2"/>
    </x:row>
    <x:row r="1184" ht="42" customHeight="1">
      <x:c r="A1184" s="2" t="str">
        <x:v>e3bd369633f73dee6bd5e617</x:v>
      </x:c>
      <x:c r="B1184" s="2" t="str">
        <x:v>사업 평가</x:v>
      </x:c>
      <x:c r="C1184" s="2" t="str">
        <x:v>국내</x:v>
      </x:c>
      <x:c r="D1184" s="7" t="str">
        <x:v>수텍스(주) 외 3개사의 고효율 공기압축기 교체를 통한 온실가스 감축사업</x:v>
      </x:c>
      <x:c r="E1184" s="2" t="str">
        <x:v>1045</x:v>
      </x:c>
      <x:c r="F1184" s="2" t="str">
        <x:v>2023-07-05</x:v>
      </x:c>
      <x:c r="G1184" s="2" t="str">
        <x:v>2023</x:v>
      </x:c>
      <x:c r="H1184" s="2" t="str">
        <x:v>07</x:v>
      </x:c>
      <x:c r="I1184" s="2" t="str">
        <x:v>보완1차_보완중</x:v>
      </x:c>
      <x:c r="J1184" s="2" t="str">
        <x:v>보완요청</x:v>
      </x:c>
      <x:c r="K1184" s="2" t="str">
        <x:f>IF(OR(J1184="심의승인",J1184="반려",J1184="반려완료",J1184="심의완료"),"종결 표시",IF(OR(J1184="기후부협의",J1184="문서재제출요청",J1184="보류",J1184="보완요청",J1184="보완완료",J1184="평가중",J1184="반려요청",J1184="평가필요",LEFT(J1184,5)="보완요청("),"미종결 표시","상태 확인 필요"))</x:f>
        <x:v>미종결 표시</x:v>
      </x:c>
      <x:c r="L1184" s="2" t="str">
        <x:v>KECM_김민정</x:v>
      </x:c>
      <x:c r="M1184" s="2" t="n">
        <x:v>1</x:v>
      </x:c>
      <x:c r="N1184" s="8" t="n">
        <x:f>DATE(2026,10,15)-DATE(2023,7,5)</x:f>
        <x:v>1198</x:v>
      </x:c>
      <x:c r="O1184" s="2" t="str">
        <x:v>생략</x:v>
      </x:c>
      <x:c r="P1184" s="2"/>
      <x:c r="Q1184" s="2" t="str">
        <x:v>산업전환_외부사업관리Tool_260707_이너젠 수정_LJY_261013.xlsx</x:v>
      </x:c>
      <x:c r="R1184" s="2" t="str">
        <x:v>국내평가</x:v>
      </x:c>
      <x:c r="S1184" s="8" t="n">
        <x:v>1087</x:v>
      </x:c>
      <x:c r="T1184" s="2" t="str">
        <x:v>(7/17)</x:v>
      </x:c>
      <x:c r="U1184" s="2" t="str">
        <x:v>2023 배정: (7/17)</x:v>
      </x:c>
      <x:c r="V1184" s="2" t="str">
        <x:v>2023-08-17</x:v>
      </x:c>
      <x:c r="W1184" s="2" t="str"/>
      <x:c r="X1184" s="2" t="str">
        <x:v>보완 회신 일정 확인</x:v>
      </x:c>
      <x:c r="Y1184" s="2" t="str">
        <x:v>ad210cd9ec132cfd447541c8984dc53d30aff0f4fb2dc92d254d49275cc55976</x:v>
      </x:c>
      <x:c r="Z1184" s="2" t="n">
        <x:f>SUBTOTAL(103,A1184)</x:f>
        <x:v>1</x:v>
      </x:c>
      <x:c r="AA1184" s="2" t="str">
        <x:f>IF(K1184&lt;&gt;"미종결 표시","대상 아님",IF(N1184="","신청일 확인",IF(NOT(ISNUMBER('종합 현황'!$H$5)),"관찰기준 확인",IF('종합 현황'!$H$5&lt;1,"관찰기준 확인",IF(N1184&gt;'종합 현황'!$H$5,"내부 관찰 대상","내부 관찰일 이하")))))</x:f>
        <x:v>내부 관찰 대상</x:v>
      </x:c>
      <x:c r="AB1184" s="2"/>
    </x:row>
    <x:row r="1185" ht="42" customHeight="1">
      <x:c r="A1185" s="2" t="str">
        <x:v>f83ac9239aa64dbabf9ed1fe</x:v>
      </x:c>
      <x:c r="B1185" s="2" t="str">
        <x:v>사업 평가</x:v>
      </x:c>
      <x:c r="C1185" s="2" t="str">
        <x:v>국내</x:v>
      </x:c>
      <x:c r="D1185" s="7" t="str">
        <x:v>주식회사 달성정공 외 5개사의 고효율 공기압축기 교체를 통한 온실가스 감축사업</x:v>
      </x:c>
      <x:c r="E1185" s="2" t="str">
        <x:v>1046</x:v>
      </x:c>
      <x:c r="F1185" s="2" t="str">
        <x:v>2023-07-05</x:v>
      </x:c>
      <x:c r="G1185" s="2" t="str">
        <x:v>2023</x:v>
      </x:c>
      <x:c r="H1185" s="2" t="str">
        <x:v>07</x:v>
      </x:c>
      <x:c r="I1185" s="2" t="str">
        <x:v>협의검토중</x:v>
      </x:c>
      <x:c r="J1185" s="2" t="str">
        <x:v>보완요청</x:v>
      </x:c>
      <x:c r="K1185" s="2" t="str">
        <x:f>IF(OR(J1185="심의승인",J1185="반려",J1185="반려완료",J1185="심의완료"),"종결 표시",IF(OR(J1185="기후부협의",J1185="문서재제출요청",J1185="보류",J1185="보완요청",J1185="보완완료",J1185="평가중",J1185="반려요청",J1185="평가필요",LEFT(J1185,5)="보완요청("),"미종결 표시","상태 확인 필요"))</x:f>
        <x:v>미종결 표시</x:v>
      </x:c>
      <x:c r="L1185" s="2" t="str">
        <x:v>KECM_김민정</x:v>
      </x:c>
      <x:c r="M1185" s="2"/>
      <x:c r="N1185" s="8" t="n">
        <x:f>DATE(2026,10,15)-DATE(2023,7,5)</x:f>
        <x:v>1198</x:v>
      </x:c>
      <x:c r="O1185" s="2" t="str">
        <x:v>생략</x:v>
      </x:c>
      <x:c r="P1185" s="2"/>
      <x:c r="Q1185" s="2" t="str">
        <x:v>산업전환_외부사업관리Tool_260707_이너젠 수정_LJY_261013.xlsx</x:v>
      </x:c>
      <x:c r="R1185" s="2" t="str">
        <x:v>국내평가</x:v>
      </x:c>
      <x:c r="S1185" s="8" t="n">
        <x:v>1088</x:v>
      </x:c>
      <x:c r="T1185" s="2" t="str">
        <x:v>(7/17)</x:v>
      </x:c>
      <x:c r="U1185" s="2" t="str">
        <x:v>2023 배정: (7/17) / 2024 배정: (10/17) / 2025 배정: (4/9),(5/30),(8/8) / 2026(사전): (3/19),(4/29)</x:v>
      </x:c>
      <x:c r="V1185" s="2" t="str">
        <x:v>2026-09-07</x:v>
      </x:c>
      <x:c r="W1185" s="2" t="str"/>
      <x:c r="X1185" s="2" t="str">
        <x:v>보완 회신 일정 확인</x:v>
      </x:c>
      <x:c r="Y1185" s="2" t="str">
        <x:v>ad210cd9ec132cfd447541c8984dc53d30aff0f4fb2dc92d254d49275cc55976</x:v>
      </x:c>
      <x:c r="Z1185" s="2" t="n">
        <x:f>SUBTOTAL(103,A1185)</x:f>
        <x:v>1</x:v>
      </x:c>
      <x:c r="AA1185" s="2" t="str">
        <x:f>IF(K1185&lt;&gt;"미종결 표시","대상 아님",IF(N1185="","신청일 확인",IF(NOT(ISNUMBER('종합 현황'!$H$5)),"관찰기준 확인",IF('종합 현황'!$H$5&lt;1,"관찰기준 확인",IF(N1185&gt;'종합 현황'!$H$5,"내부 관찰 대상","내부 관찰일 이하")))))</x:f>
        <x:v>내부 관찰 대상</x:v>
      </x:c>
      <x:c r="AB1185" s="2"/>
    </x:row>
    <x:row r="1186" ht="42" customHeight="1">
      <x:c r="A1186" s="2" t="str">
        <x:v>13c48ae73cbb40665347316e</x:v>
      </x:c>
      <x:c r="B1186" s="2" t="str">
        <x:v>사업 평가</x:v>
      </x:c>
      <x:c r="C1186" s="2" t="str">
        <x:v>국내</x:v>
      </x:c>
      <x:c r="D1186" s="7" t="str">
        <x:v>(주)대일정공사 외 6개사의 고효율 공기압축기 교체를 통한 온실가스 감축사업</x:v>
      </x:c>
      <x:c r="E1186" s="2" t="str">
        <x:v>1047</x:v>
      </x:c>
      <x:c r="F1186" s="2" t="str">
        <x:v>2023-07-05</x:v>
      </x:c>
      <x:c r="G1186" s="2" t="str">
        <x:v>2023</x:v>
      </x:c>
      <x:c r="H1186" s="2" t="str">
        <x:v>07</x:v>
      </x:c>
      <x:c r="I1186" s="2" t="str">
        <x:v>협의검토중</x:v>
      </x:c>
      <x:c r="J1186" s="2" t="str">
        <x:v>평가중</x:v>
      </x:c>
      <x:c r="K1186" s="2" t="str">
        <x:f>IF(OR(J1186="심의승인",J1186="반려",J1186="반려완료",J1186="심의완료"),"종결 표시",IF(OR(J1186="기후부협의",J1186="문서재제출요청",J1186="보류",J1186="보완요청",J1186="보완완료",J1186="평가중",J1186="반려요청",J1186="평가필요",LEFT(J1186,5)="보완요청("),"미종결 표시","상태 확인 필요"))</x:f>
        <x:v>미종결 표시</x:v>
      </x:c>
      <x:c r="L1186" s="2" t="str">
        <x:v>KECM_김민정</x:v>
      </x:c>
      <x:c r="M1186" s="2"/>
      <x:c r="N1186" s="8" t="n">
        <x:f>DATE(2026,10,15)-DATE(2023,7,5)</x:f>
        <x:v>1198</x:v>
      </x:c>
      <x:c r="O1186" s="2" t="str">
        <x:v>생략</x:v>
      </x:c>
      <x:c r="P1186" s="2"/>
      <x:c r="Q1186" s="2" t="str">
        <x:v>산업전환_외부사업관리Tool_260707_이너젠 수정_LJY_261013.xlsx</x:v>
      </x:c>
      <x:c r="R1186" s="2" t="str">
        <x:v>국내평가</x:v>
      </x:c>
      <x:c r="S1186" s="8" t="n">
        <x:v>1089</x:v>
      </x:c>
      <x:c r="T1186" s="2" t="str">
        <x:v>(7/17)</x:v>
      </x:c>
      <x:c r="U1186" s="2" t="str">
        <x:v>2023 배정: (7/17) / 2024 배정: (10/17) / 2025 배정: (4/9),(5/30),(8/8) / 2026(사전): (3/19),(5/26)</x:v>
      </x:c>
      <x:c r="V1186" s="2" t="str">
        <x:v>2026-09-07</x:v>
      </x:c>
      <x:c r="W1186" s="2" t="str"/>
      <x:c r="X1186" s="2" t="str">
        <x:v>검토 진행 일정 확인</x:v>
      </x:c>
      <x:c r="Y1186" s="2" t="str">
        <x:v>ad210cd9ec132cfd447541c8984dc53d30aff0f4fb2dc92d254d49275cc55976</x:v>
      </x:c>
      <x:c r="Z1186" s="2" t="n">
        <x:f>SUBTOTAL(103,A1186)</x:f>
        <x:v>1</x:v>
      </x:c>
      <x:c r="AA1186" s="2" t="str">
        <x:f>IF(K1186&lt;&gt;"미종결 표시","대상 아님",IF(N1186="","신청일 확인",IF(NOT(ISNUMBER('종합 현황'!$H$5)),"관찰기준 확인",IF('종합 현황'!$H$5&lt;1,"관찰기준 확인",IF(N1186&gt;'종합 현황'!$H$5,"내부 관찰 대상","내부 관찰일 이하")))))</x:f>
        <x:v>내부 관찰 대상</x:v>
      </x:c>
      <x:c r="AB1186" s="2"/>
    </x:row>
    <x:row r="1187" ht="42" customHeight="1">
      <x:c r="A1187" s="2" t="str">
        <x:v>3e45fd09282987a8ba0aafdc</x:v>
      </x:c>
      <x:c r="B1187" s="2" t="str">
        <x:v>사업 평가</x:v>
      </x:c>
      <x:c r="C1187" s="2" t="str">
        <x:v>국내</x:v>
      </x:c>
      <x:c r="D1187" s="7" t="str">
        <x:v>동우에이치에스티 주식회사 고효율 공기압축기 교체를 통한 온실가스 감축사업</x:v>
      </x:c>
      <x:c r="E1187" s="2" t="str">
        <x:v>1048</x:v>
      </x:c>
      <x:c r="F1187" s="2" t="str">
        <x:v>2023-07-07</x:v>
      </x:c>
      <x:c r="G1187" s="2" t="str">
        <x:v>2023</x:v>
      </x:c>
      <x:c r="H1187" s="2" t="str">
        <x:v>07</x:v>
      </x:c>
      <x:c r="I1187" s="2" t="str">
        <x:v>승인</x:v>
      </x:c>
      <x:c r="J1187" s="2" t="str">
        <x:v>심의승인</x:v>
      </x:c>
      <x:c r="K1187" s="2" t="str">
        <x:f>IF(OR(J1187="심의승인",J1187="반려",J1187="반려완료",J1187="심의완료"),"종결 표시",IF(OR(J1187="기후부협의",J1187="문서재제출요청",J1187="보류",J1187="보완요청",J1187="보완완료",J1187="평가중",J1187="반려요청",J1187="평가필요",LEFT(J1187,5)="보완요청("),"미종결 표시","상태 확인 필요"))</x:f>
        <x:v>종결 표시</x:v>
      </x:c>
      <x:c r="L1187" s="2" t="str">
        <x:v>에코시안_조영우</x:v>
      </x:c>
      <x:c r="M1187" s="2"/>
      <x:c r="N1187" s="8" t="n">
        <x:f>DATE(2026,10,15)-DATE(2023,7,7)</x:f>
        <x:v>1196</x:v>
      </x:c>
      <x:c r="O1187" s="2" t="str">
        <x:v>생략</x:v>
      </x:c>
      <x:c r="P1187" s="2"/>
      <x:c r="Q1187" s="2" t="str">
        <x:v>산업전환_외부사업관리Tool_260707_이너젠 수정_LJY_261013.xlsx</x:v>
      </x:c>
      <x:c r="R1187" s="2" t="str">
        <x:v>국내평가</x:v>
      </x:c>
      <x:c r="S1187" s="8" t="n">
        <x:v>1090</x:v>
      </x:c>
      <x:c r="T1187" s="2" t="str">
        <x:v>(7/17),(8/30)</x:v>
      </x:c>
      <x:c r="U1187" s="2" t="str">
        <x:v>2023 배정: (7/17),(8/30)</x:v>
      </x:c>
      <x:c r="V1187" s="2" t="str">
        <x:v>2024-05-20</x:v>
      </x:c>
      <x:c r="W1187" s="2" t="str"/>
      <x:c r="X1187" s="2" t="str">
        <x:v>종결 근거 보관</x:v>
      </x:c>
      <x:c r="Y1187" s="2" t="str">
        <x:v>ad210cd9ec132cfd447541c8984dc53d30aff0f4fb2dc92d254d49275cc55976</x:v>
      </x:c>
      <x:c r="Z1187" s="2" t="n">
        <x:f>SUBTOTAL(103,A1187)</x:f>
        <x:v>1</x:v>
      </x:c>
      <x:c r="AA1187" s="2" t="str">
        <x:f>IF(K1187&lt;&gt;"미종결 표시","대상 아님",IF(N1187="","신청일 확인",IF(NOT(ISNUMBER('종합 현황'!$H$5)),"관찰기준 확인",IF('종합 현황'!$H$5&lt;1,"관찰기준 확인",IF(N1187&gt;'종합 현황'!$H$5,"내부 관찰 대상","내부 관찰일 이하")))))</x:f>
        <x:v>대상 아님</x:v>
      </x:c>
      <x:c r="AB1187" s="2"/>
    </x:row>
    <x:row r="1188" ht="42" customHeight="1">
      <x:c r="A1188" s="2" t="str">
        <x:v>01d9f6df05b724f52b677da9</x:v>
      </x:c>
      <x:c r="B1188" s="2" t="str">
        <x:v>사업 평가</x:v>
      </x:c>
      <x:c r="C1188" s="2" t="str">
        <x:v>국내</x:v>
      </x:c>
      <x:c r="D1188" s="7" t="str">
        <x:v>양지정공  고효율 2단 인버터 PM  Motor 공기압축기로 교체 사업</x:v>
      </x:c>
      <x:c r="E1188" s="2" t="str">
        <x:v>1049</x:v>
      </x:c>
      <x:c r="F1188" s="2" t="str">
        <x:v>2023-07-10</x:v>
      </x:c>
      <x:c r="G1188" s="2" t="str">
        <x:v>2023</x:v>
      </x:c>
      <x:c r="H1188" s="2" t="str">
        <x:v>07</x:v>
      </x:c>
      <x:c r="I1188" s="2" t="str">
        <x:v>보완1차_보완중</x:v>
      </x:c>
      <x:c r="J1188" s="2" t="str">
        <x:v>보완요청</x:v>
      </x:c>
      <x:c r="K1188" s="2" t="str">
        <x:f>IF(OR(J1188="심의승인",J1188="반려",J1188="반려완료",J1188="심의완료"),"종결 표시",IF(OR(J1188="기후부협의",J1188="문서재제출요청",J1188="보류",J1188="보완요청",J1188="보완완료",J1188="평가중",J1188="반려요청",J1188="평가필요",LEFT(J1188,5)="보완요청("),"미종결 표시","상태 확인 필요"))</x:f>
        <x:v>미종결 표시</x:v>
      </x:c>
      <x:c r="L1188" s="2" t="str">
        <x:v>KECM_김민정</x:v>
      </x:c>
      <x:c r="M1188" s="2" t="n">
        <x:v>1</x:v>
      </x:c>
      <x:c r="N1188" s="8" t="n">
        <x:f>DATE(2026,10,15)-DATE(2023,7,10)</x:f>
        <x:v>1193</x:v>
      </x:c>
      <x:c r="O1188" s="2" t="str">
        <x:v>생략</x:v>
      </x:c>
      <x:c r="P1188" s="2"/>
      <x:c r="Q1188" s="2" t="str">
        <x:v>산업전환_외부사업관리Tool_260707_이너젠 수정_LJY_261013.xlsx</x:v>
      </x:c>
      <x:c r="R1188" s="2" t="str">
        <x:v>국내평가</x:v>
      </x:c>
      <x:c r="S1188" s="8" t="n">
        <x:v>1091</x:v>
      </x:c>
      <x:c r="T1188" s="2" t="str">
        <x:v>(7/17)</x:v>
      </x:c>
      <x:c r="U1188" s="2" t="str">
        <x:v>2023 배정: (7/17)</x:v>
      </x:c>
      <x:c r="V1188" s="2" t="str">
        <x:v>2023-08-21</x:v>
      </x:c>
      <x:c r="W1188" s="2" t="str"/>
      <x:c r="X1188" s="2" t="str">
        <x:v>보완 회신 일정 확인</x:v>
      </x:c>
      <x:c r="Y1188" s="2" t="str">
        <x:v>ad210cd9ec132cfd447541c8984dc53d30aff0f4fb2dc92d254d49275cc55976</x:v>
      </x:c>
      <x:c r="Z1188" s="2" t="n">
        <x:f>SUBTOTAL(103,A1188)</x:f>
        <x:v>1</x:v>
      </x:c>
      <x:c r="AA1188" s="2" t="str">
        <x:f>IF(K1188&lt;&gt;"미종결 표시","대상 아님",IF(N1188="","신청일 확인",IF(NOT(ISNUMBER('종합 현황'!$H$5)),"관찰기준 확인",IF('종합 현황'!$H$5&lt;1,"관찰기준 확인",IF(N1188&gt;'종합 현황'!$H$5,"내부 관찰 대상","내부 관찰일 이하")))))</x:f>
        <x:v>내부 관찰 대상</x:v>
      </x:c>
      <x:c r="AB1188" s="2"/>
    </x:row>
    <x:row r="1189" ht="42" customHeight="1">
      <x:c r="A1189" s="2" t="str">
        <x:v>3097e1ca4392fac3c7496be2</x:v>
      </x:c>
      <x:c r="B1189" s="2" t="str">
        <x:v>사업 평가</x:v>
      </x:c>
      <x:c r="C1189" s="2" t="str">
        <x:v>국내</x:v>
      </x:c>
      <x:c r="D1189" s="7" t="str">
        <x:v>(주)동양코어 외 5개사의 고효율 공기압축기 교체를 통한 온실가스 감축사업</x:v>
      </x:c>
      <x:c r="E1189" s="2" t="str">
        <x:v>1050</x:v>
      </x:c>
      <x:c r="F1189" s="2" t="str">
        <x:v>2023-07-07</x:v>
      </x:c>
      <x:c r="G1189" s="2" t="str">
        <x:v>2023</x:v>
      </x:c>
      <x:c r="H1189" s="2" t="str">
        <x:v>07</x:v>
      </x:c>
      <x:c r="I1189" s="2" t="str">
        <x:v>협의검토중</x:v>
      </x:c>
      <x:c r="J1189" s="2" t="str">
        <x:v>보완요청</x:v>
      </x:c>
      <x:c r="K1189" s="2" t="str">
        <x:f>IF(OR(J1189="심의승인",J1189="반려",J1189="반려완료",J1189="심의완료"),"종결 표시",IF(OR(J1189="기후부협의",J1189="문서재제출요청",J1189="보류",J1189="보완요청",J1189="보완완료",J1189="평가중",J1189="반려요청",J1189="평가필요",LEFT(J1189,5)="보완요청("),"미종결 표시","상태 확인 필요"))</x:f>
        <x:v>미종결 표시</x:v>
      </x:c>
      <x:c r="L1189" s="2" t="str">
        <x:v>KECM_김민정</x:v>
      </x:c>
      <x:c r="M1189" s="2"/>
      <x:c r="N1189" s="8" t="n">
        <x:f>DATE(2026,10,15)-DATE(2023,7,7)</x:f>
        <x:v>1196</x:v>
      </x:c>
      <x:c r="O1189" s="2" t="str">
        <x:v>생략</x:v>
      </x:c>
      <x:c r="P1189" s="2"/>
      <x:c r="Q1189" s="2" t="str">
        <x:v>산업전환_외부사업관리Tool_260707_이너젠 수정_LJY_261013.xlsx</x:v>
      </x:c>
      <x:c r="R1189" s="2" t="str">
        <x:v>국내평가</x:v>
      </x:c>
      <x:c r="S1189" s="8" t="n">
        <x:v>1092</x:v>
      </x:c>
      <x:c r="T1189" s="2" t="str">
        <x:v>(7/17)</x:v>
      </x:c>
      <x:c r="U1189" s="2" t="str">
        <x:v>2023 배정: (7/17) / 2024 배정: (10/17) / 2025 배정: (4/9),(5/30),(8/8) / 2026(사전): (3/19),(5/26)</x:v>
      </x:c>
      <x:c r="V1189" s="2" t="str">
        <x:v>2026-09-07</x:v>
      </x:c>
      <x:c r="W1189" s="2" t="str"/>
      <x:c r="X1189" s="2" t="str">
        <x:v>보완 회신 일정 확인</x:v>
      </x:c>
      <x:c r="Y1189" s="2" t="str">
        <x:v>ad210cd9ec132cfd447541c8984dc53d30aff0f4fb2dc92d254d49275cc55976</x:v>
      </x:c>
      <x:c r="Z1189" s="2" t="n">
        <x:f>SUBTOTAL(103,A1189)</x:f>
        <x:v>1</x:v>
      </x:c>
      <x:c r="AA1189" s="2" t="str">
        <x:f>IF(K1189&lt;&gt;"미종결 표시","대상 아님",IF(N1189="","신청일 확인",IF(NOT(ISNUMBER('종합 현황'!$H$5)),"관찰기준 확인",IF('종합 현황'!$H$5&lt;1,"관찰기준 확인",IF(N1189&gt;'종합 현황'!$H$5,"내부 관찰 대상","내부 관찰일 이하")))))</x:f>
        <x:v>내부 관찰 대상</x:v>
      </x:c>
      <x:c r="AB1189" s="2"/>
    </x:row>
    <x:row r="1190" ht="42" customHeight="1">
      <x:c r="A1190" s="2" t="str">
        <x:v>16b06873b5b6a2312b5f8b03</x:v>
      </x:c>
      <x:c r="B1190" s="2" t="str">
        <x:v>사업 평가</x:v>
      </x:c>
      <x:c r="C1190" s="2" t="str">
        <x:v>국내</x:v>
      </x:c>
      <x:c r="D1190" s="7" t="str">
        <x:v>A.N.TEX 외 6개사의 고효율 공기압축기 교체를 통한 온실가스 감축사업</x:v>
      </x:c>
      <x:c r="E1190" s="2" t="str">
        <x:v>1051</x:v>
      </x:c>
      <x:c r="F1190" s="2" t="str">
        <x:v>2023-07-07</x:v>
      </x:c>
      <x:c r="G1190" s="2" t="str">
        <x:v>2023</x:v>
      </x:c>
      <x:c r="H1190" s="2" t="str">
        <x:v>07</x:v>
      </x:c>
      <x:c r="I1190" s="2" t="str">
        <x:v>협의검토중</x:v>
      </x:c>
      <x:c r="J1190" s="2" t="str">
        <x:v>보완요청</x:v>
      </x:c>
      <x:c r="K1190" s="2" t="str">
        <x:f>IF(OR(J1190="심의승인",J1190="반려",J1190="반려완료",J1190="심의완료"),"종결 표시",IF(OR(J1190="기후부협의",J1190="문서재제출요청",J1190="보류",J1190="보완요청",J1190="보완완료",J1190="평가중",J1190="반려요청",J1190="평가필요",LEFT(J1190,5)="보완요청("),"미종결 표시","상태 확인 필요"))</x:f>
        <x:v>미종결 표시</x:v>
      </x:c>
      <x:c r="L1190" s="2" t="str">
        <x:v>KECM_김민정</x:v>
      </x:c>
      <x:c r="M1190" s="2"/>
      <x:c r="N1190" s="8" t="n">
        <x:f>DATE(2026,10,15)-DATE(2023,7,7)</x:f>
        <x:v>1196</x:v>
      </x:c>
      <x:c r="O1190" s="2" t="str">
        <x:v>생략</x:v>
      </x:c>
      <x:c r="P1190" s="2"/>
      <x:c r="Q1190" s="2" t="str">
        <x:v>산업전환_외부사업관리Tool_260707_이너젠 수정_LJY_261013.xlsx</x:v>
      </x:c>
      <x:c r="R1190" s="2" t="str">
        <x:v>국내평가</x:v>
      </x:c>
      <x:c r="S1190" s="8" t="n">
        <x:v>1093</x:v>
      </x:c>
      <x:c r="T1190" s="2" t="str">
        <x:v>(7/17)</x:v>
      </x:c>
      <x:c r="U1190" s="2" t="str">
        <x:v>2023 배정: (7/17) / 2024 배정: (10/17) / 2025 배정: (4/9),(6/26),(8/8) / 2026(사전): (3/19),(4/29)</x:v>
      </x:c>
      <x:c r="V1190" s="2" t="str">
        <x:v>2026-09-07</x:v>
      </x:c>
      <x:c r="W1190" s="2" t="str"/>
      <x:c r="X1190" s="2" t="str">
        <x:v>보완 회신 일정 확인</x:v>
      </x:c>
      <x:c r="Y1190" s="2" t="str">
        <x:v>ad210cd9ec132cfd447541c8984dc53d30aff0f4fb2dc92d254d49275cc55976</x:v>
      </x:c>
      <x:c r="Z1190" s="2" t="n">
        <x:f>SUBTOTAL(103,A1190)</x:f>
        <x:v>1</x:v>
      </x:c>
      <x:c r="AA1190" s="2" t="str">
        <x:f>IF(K1190&lt;&gt;"미종결 표시","대상 아님",IF(N1190="","신청일 확인",IF(NOT(ISNUMBER('종합 현황'!$H$5)),"관찰기준 확인",IF('종합 현황'!$H$5&lt;1,"관찰기준 확인",IF(N1190&gt;'종합 현황'!$H$5,"내부 관찰 대상","내부 관찰일 이하")))))</x:f>
        <x:v>내부 관찰 대상</x:v>
      </x:c>
      <x:c r="AB1190" s="2"/>
    </x:row>
    <x:row r="1191" ht="42" customHeight="1">
      <x:c r="A1191" s="2" t="str">
        <x:v>08a315e8e2870317f7de6bee</x:v>
      </x:c>
      <x:c r="B1191" s="2" t="str">
        <x:v>사업 평가</x:v>
      </x:c>
      <x:c r="C1191" s="2" t="str">
        <x:v>국내</x:v>
      </x:c>
      <x:c r="D1191" s="7" t="str">
        <x:v>주식회사디와이씨 외 8개사의 고효율 공기압축기 교체를 통한 온실가스 감축사업</x:v>
      </x:c>
      <x:c r="E1191" s="2" t="str">
        <x:v>1052</x:v>
      </x:c>
      <x:c r="F1191" s="2" t="str">
        <x:v>2023-07-07</x:v>
      </x:c>
      <x:c r="G1191" s="2" t="str">
        <x:v>2023</x:v>
      </x:c>
      <x:c r="H1191" s="2" t="str">
        <x:v>07</x:v>
      </x:c>
      <x:c r="I1191" s="2" t="str">
        <x:v>협의검토중</x:v>
      </x:c>
      <x:c r="J1191" s="2" t="str">
        <x:v>보완요청</x:v>
      </x:c>
      <x:c r="K1191" s="2" t="str">
        <x:f>IF(OR(J1191="심의승인",J1191="반려",J1191="반려완료",J1191="심의완료"),"종결 표시",IF(OR(J1191="기후부협의",J1191="문서재제출요청",J1191="보류",J1191="보완요청",J1191="보완완료",J1191="평가중",J1191="반려요청",J1191="평가필요",LEFT(J1191,5)="보완요청("),"미종결 표시","상태 확인 필요"))</x:f>
        <x:v>미종결 표시</x:v>
      </x:c>
      <x:c r="L1191" s="2" t="str">
        <x:v>KECM_이태준</x:v>
      </x:c>
      <x:c r="M1191" s="2"/>
      <x:c r="N1191" s="8" t="n">
        <x:f>DATE(2026,10,15)-DATE(2023,7,7)</x:f>
        <x:v>1196</x:v>
      </x:c>
      <x:c r="O1191" s="2" t="str">
        <x:v>생략</x:v>
      </x:c>
      <x:c r="P1191" s="2"/>
      <x:c r="Q1191" s="2" t="str">
        <x:v>산업전환_외부사업관리Tool_260707_이너젠 수정_LJY_261013.xlsx</x:v>
      </x:c>
      <x:c r="R1191" s="2" t="str">
        <x:v>국내평가</x:v>
      </x:c>
      <x:c r="S1191" s="8" t="n">
        <x:v>1094</x:v>
      </x:c>
      <x:c r="T1191" s="2" t="str">
        <x:v>(7/17)</x:v>
      </x:c>
      <x:c r="U1191" s="2" t="str">
        <x:v>2023 배정: (7/17) / 2024 배정: (10/17) / 2025 배정: (4/9),(7/18),(8/8) / 2026(사전): (3/19),(4/29)</x:v>
      </x:c>
      <x:c r="V1191" s="2" t="str">
        <x:v>2026-09-07</x:v>
      </x:c>
      <x:c r="W1191" s="2" t="str"/>
      <x:c r="X1191" s="2" t="str">
        <x:v>보완 회신 일정 확인</x:v>
      </x:c>
      <x:c r="Y1191" s="2" t="str">
        <x:v>ad210cd9ec132cfd447541c8984dc53d30aff0f4fb2dc92d254d49275cc55976</x:v>
      </x:c>
      <x:c r="Z1191" s="2" t="n">
        <x:f>SUBTOTAL(103,A1191)</x:f>
        <x:v>1</x:v>
      </x:c>
      <x:c r="AA1191" s="2" t="str">
        <x:f>IF(K1191&lt;&gt;"미종결 표시","대상 아님",IF(N1191="","신청일 확인",IF(NOT(ISNUMBER('종합 현황'!$H$5)),"관찰기준 확인",IF('종합 현황'!$H$5&lt;1,"관찰기준 확인",IF(N1191&gt;'종합 현황'!$H$5,"내부 관찰 대상","내부 관찰일 이하")))))</x:f>
        <x:v>내부 관찰 대상</x:v>
      </x:c>
      <x:c r="AB1191" s="2"/>
    </x:row>
    <x:row r="1192" ht="42" customHeight="1">
      <x:c r="A1192" s="2" t="str">
        <x:v>7021975a442bf676a347027f</x:v>
      </x:c>
      <x:c r="B1192" s="2" t="str">
        <x:v>사업 평가</x:v>
      </x:c>
      <x:c r="C1192" s="2" t="str">
        <x:v>국내</x:v>
      </x:c>
      <x:c r="D1192" s="7" t="str">
        <x:v>㈜엠에스시  고효율 2단 인버터 PM  Motor 공기압축기로 교체 사업</x:v>
      </x:c>
      <x:c r="E1192" s="2" t="str">
        <x:v>1053</x:v>
      </x:c>
      <x:c r="F1192" s="2" t="str">
        <x:v>2023-07-10</x:v>
      </x:c>
      <x:c r="G1192" s="2" t="str">
        <x:v>2023</x:v>
      </x:c>
      <x:c r="H1192" s="2" t="str">
        <x:v>07</x:v>
      </x:c>
      <x:c r="I1192" s="2" t="str">
        <x:v>보완2차_보완중</x:v>
      </x:c>
      <x:c r="J1192" s="2" t="str">
        <x:v>보완요청</x:v>
      </x:c>
      <x:c r="K1192" s="2" t="str">
        <x:f>IF(OR(J1192="심의승인",J1192="반려",J1192="반려완료",J1192="심의완료"),"종결 표시",IF(OR(J1192="기후부협의",J1192="문서재제출요청",J1192="보류",J1192="보완요청",J1192="보완완료",J1192="평가중",J1192="반려요청",J1192="평가필요",LEFT(J1192,5)="보완요청("),"미종결 표시","상태 확인 필요"))</x:f>
        <x:v>미종결 표시</x:v>
      </x:c>
      <x:c r="L1192" s="2" t="str">
        <x:v>KECM_이태준</x:v>
      </x:c>
      <x:c r="M1192" s="2" t="n">
        <x:v>2</x:v>
      </x:c>
      <x:c r="N1192" s="8" t="n">
        <x:f>DATE(2026,10,15)-DATE(2023,7,10)</x:f>
        <x:v>1193</x:v>
      </x:c>
      <x:c r="O1192" s="2" t="str">
        <x:v>생략</x:v>
      </x:c>
      <x:c r="P1192" s="2"/>
      <x:c r="Q1192" s="2" t="str">
        <x:v>산업전환_외부사업관리Tool_260707_이너젠 수정_LJY_261013.xlsx</x:v>
      </x:c>
      <x:c r="R1192" s="2" t="str">
        <x:v>국내평가</x:v>
      </x:c>
      <x:c r="S1192" s="8" t="n">
        <x:v>1095</x:v>
      </x:c>
      <x:c r="T1192" s="2" t="str">
        <x:v>(7/17),(11/17)</x:v>
      </x:c>
      <x:c r="U1192" s="2" t="str">
        <x:v>2023 배정: (7/17),(11/17)</x:v>
      </x:c>
      <x:c r="V1192" s="2" t="str">
        <x:v>2023-12-20</x:v>
      </x:c>
      <x:c r="W1192" s="2" t="str"/>
      <x:c r="X1192" s="2" t="str">
        <x:v>보완 회신 일정 확인</x:v>
      </x:c>
      <x:c r="Y1192" s="2" t="str">
        <x:v>ad210cd9ec132cfd447541c8984dc53d30aff0f4fb2dc92d254d49275cc55976</x:v>
      </x:c>
      <x:c r="Z1192" s="2" t="n">
        <x:f>SUBTOTAL(103,A1192)</x:f>
        <x:v>1</x:v>
      </x:c>
      <x:c r="AA1192" s="2" t="str">
        <x:f>IF(K1192&lt;&gt;"미종결 표시","대상 아님",IF(N1192="","신청일 확인",IF(NOT(ISNUMBER('종합 현황'!$H$5)),"관찰기준 확인",IF('종합 현황'!$H$5&lt;1,"관찰기준 확인",IF(N1192&gt;'종합 현황'!$H$5,"내부 관찰 대상","내부 관찰일 이하")))))</x:f>
        <x:v>내부 관찰 대상</x:v>
      </x:c>
      <x:c r="AB1192" s="2"/>
    </x:row>
    <x:row r="1193" ht="42" customHeight="1">
      <x:c r="A1193" s="2" t="str">
        <x:v>fc6b045d91c7e48538a7c13d</x:v>
      </x:c>
      <x:c r="B1193" s="2" t="str">
        <x:v>사업 평가</x:v>
      </x:c>
      <x:c r="C1193" s="2" t="str">
        <x:v>국내</x:v>
      </x:c>
      <x:c r="D1193" s="7" t="str">
        <x:v>에스엠텍스타일 외 6개사의 고효율 공기압축기 교체를 통한 온실가스 감축사업</x:v>
      </x:c>
      <x:c r="E1193" s="2" t="str">
        <x:v>1054</x:v>
      </x:c>
      <x:c r="F1193" s="2" t="str">
        <x:v>2023-06-30</x:v>
      </x:c>
      <x:c r="G1193" s="2" t="str">
        <x:v>2023</x:v>
      </x:c>
      <x:c r="H1193" s="2" t="str">
        <x:v>06</x:v>
      </x:c>
      <x:c r="I1193" s="2" t="str">
        <x:v>반려</x:v>
      </x:c>
      <x:c r="J1193" s="2" t="str">
        <x:v>반려</x:v>
      </x:c>
      <x:c r="K1193" s="2" t="str">
        <x:f>IF(OR(J1193="심의승인",J1193="반려",J1193="반려완료",J1193="심의완료"),"종결 표시",IF(OR(J1193="기후부협의",J1193="문서재제출요청",J1193="보류",J1193="보완요청",J1193="보완완료",J1193="평가중",J1193="반려요청",J1193="평가필요",LEFT(J1193,5)="보완요청("),"미종결 표시","상태 확인 필요"))</x:f>
        <x:v>종결 표시</x:v>
      </x:c>
      <x:c r="L1193" s="2" t="str">
        <x:v>KECM_김민정</x:v>
      </x:c>
      <x:c r="M1193" s="2"/>
      <x:c r="N1193" s="8" t="n">
        <x:f>DATE(2026,10,15)-DATE(2023,6,30)</x:f>
        <x:v>1203</x:v>
      </x:c>
      <x:c r="O1193" s="2"/>
      <x:c r="P1193" s="2" t="str">
        <x:v>동일한 사업으로 2건이 신청되어 반려</x:v>
      </x:c>
      <x:c r="Q1193" s="2" t="str">
        <x:v>산업전환_외부사업관리Tool_260707_이너젠 수정_LJY_261013.xlsx</x:v>
      </x:c>
      <x:c r="R1193" s="2" t="str">
        <x:v>국내평가</x:v>
      </x:c>
      <x:c r="S1193" s="8" t="n">
        <x:v>1096</x:v>
      </x:c>
      <x:c r="T1193" s="2"/>
      <x:c r="U1193" s="2" t="str"/>
      <x:c r="V1193" s="2" t="str">
        <x:v>2025-04-29</x:v>
      </x:c>
      <x:c r="W1193" s="2" t="str"/>
      <x:c r="X1193" s="2" t="str">
        <x:v>종결 근거 보관</x:v>
      </x:c>
      <x:c r="Y1193" s="2" t="str">
        <x:v>ad210cd9ec132cfd447541c8984dc53d30aff0f4fb2dc92d254d49275cc55976</x:v>
      </x:c>
      <x:c r="Z1193" s="2" t="n">
        <x:f>SUBTOTAL(103,A1193)</x:f>
        <x:v>1</x:v>
      </x:c>
      <x:c r="AA1193" s="2" t="str">
        <x:f>IF(K1193&lt;&gt;"미종결 표시","대상 아님",IF(N1193="","신청일 확인",IF(NOT(ISNUMBER('종합 현황'!$H$5)),"관찰기준 확인",IF('종합 현황'!$H$5&lt;1,"관찰기준 확인",IF(N1193&gt;'종합 현황'!$H$5,"내부 관찰 대상","내부 관찰일 이하")))))</x:f>
        <x:v>대상 아님</x:v>
      </x:c>
      <x:c r="AB1193" s="2"/>
    </x:row>
    <x:row r="1194" ht="42" customHeight="1">
      <x:c r="A1194" s="2" t="str">
        <x:v>c28e0e2ed0ef08f50b8a944e</x:v>
      </x:c>
      <x:c r="B1194" s="2" t="str">
        <x:v>사업 평가</x:v>
      </x:c>
      <x:c r="C1194" s="2" t="str">
        <x:v>국내</x:v>
      </x:c>
      <x:c r="D1194" s="7" t="str">
        <x:v>㈜프로스코  고효율 2단 인버터 PM  Motor 공기압축기로 교체 사업</x:v>
      </x:c>
      <x:c r="E1194" s="2" t="str">
        <x:v>1055</x:v>
      </x:c>
      <x:c r="F1194" s="2" t="str">
        <x:v>2023-07-17</x:v>
      </x:c>
      <x:c r="G1194" s="2" t="str">
        <x:v>2023</x:v>
      </x:c>
      <x:c r="H1194" s="2" t="str">
        <x:v>07</x:v>
      </x:c>
      <x:c r="I1194" s="2" t="str">
        <x:v>보완1차_보완중</x:v>
      </x:c>
      <x:c r="J1194" s="2" t="str">
        <x:v>보완요청</x:v>
      </x:c>
      <x:c r="K1194" s="2" t="str">
        <x:f>IF(OR(J1194="심의승인",J1194="반려",J1194="반려완료",J1194="심의완료"),"종결 표시",IF(OR(J1194="기후부협의",J1194="문서재제출요청",J1194="보류",J1194="보완요청",J1194="보완완료",J1194="평가중",J1194="반려요청",J1194="평가필요",LEFT(J1194,5)="보완요청("),"미종결 표시","상태 확인 필요"))</x:f>
        <x:v>미종결 표시</x:v>
      </x:c>
      <x:c r="L1194" s="2" t="str">
        <x:v>KECM_김민정</x:v>
      </x:c>
      <x:c r="M1194" s="2" t="n">
        <x:v>1</x:v>
      </x:c>
      <x:c r="N1194" s="8" t="n">
        <x:f>DATE(2026,10,15)-DATE(2023,7,17)</x:f>
        <x:v>1186</x:v>
      </x:c>
      <x:c r="O1194" s="2" t="str">
        <x:v>생략</x:v>
      </x:c>
      <x:c r="P1194" s="2"/>
      <x:c r="Q1194" s="2" t="str">
        <x:v>산업전환_외부사업관리Tool_260707_이너젠 수정_LJY_261013.xlsx</x:v>
      </x:c>
      <x:c r="R1194" s="2" t="str">
        <x:v>국내평가</x:v>
      </x:c>
      <x:c r="S1194" s="8" t="n">
        <x:v>1097</x:v>
      </x:c>
      <x:c r="T1194" s="2" t="str">
        <x:v>(8/7)</x:v>
      </x:c>
      <x:c r="U1194" s="2" t="str">
        <x:v>2023 배정: (8/7)</x:v>
      </x:c>
      <x:c r="V1194" s="2" t="str">
        <x:v>2023-08-24</x:v>
      </x:c>
      <x:c r="W1194" s="2" t="str"/>
      <x:c r="X1194" s="2" t="str">
        <x:v>보완 회신 일정 확인</x:v>
      </x:c>
      <x:c r="Y1194" s="2" t="str">
        <x:v>ad210cd9ec132cfd447541c8984dc53d30aff0f4fb2dc92d254d49275cc55976</x:v>
      </x:c>
      <x:c r="Z1194" s="2" t="n">
        <x:f>SUBTOTAL(103,A1194)</x:f>
        <x:v>1</x:v>
      </x:c>
      <x:c r="AA1194" s="2" t="str">
        <x:f>IF(K1194&lt;&gt;"미종결 표시","대상 아님",IF(N1194="","신청일 확인",IF(NOT(ISNUMBER('종합 현황'!$H$5)),"관찰기준 확인",IF('종합 현황'!$H$5&lt;1,"관찰기준 확인",IF(N1194&gt;'종합 현황'!$H$5,"내부 관찰 대상","내부 관찰일 이하")))))</x:f>
        <x:v>내부 관찰 대상</x:v>
      </x:c>
      <x:c r="AB1194" s="2"/>
    </x:row>
    <x:row r="1195" ht="42" customHeight="1">
      <x:c r="A1195" s="2" t="str">
        <x:v>2698fb5a1719722725bcad9d</x:v>
      </x:c>
      <x:c r="B1195" s="2" t="str">
        <x:v>사업 평가</x:v>
      </x:c>
      <x:c r="C1195" s="2" t="str">
        <x:v>국내</x:v>
      </x:c>
      <x:c r="D1195" s="7" t="str">
        <x:v>㈜세광테크 고효율 2단 인버터 PM  Motor 공기압축기로 교체 사업</x:v>
      </x:c>
      <x:c r="E1195" s="2" t="str">
        <x:v>1056</x:v>
      </x:c>
      <x:c r="F1195" s="2" t="str">
        <x:v>2023-07-19</x:v>
      </x:c>
      <x:c r="G1195" s="2" t="str">
        <x:v>2023</x:v>
      </x:c>
      <x:c r="H1195" s="2" t="str">
        <x:v>07</x:v>
      </x:c>
      <x:c r="I1195" s="2" t="str">
        <x:v>승인</x:v>
      </x:c>
      <x:c r="J1195" s="2" t="str">
        <x:v>심의승인</x:v>
      </x:c>
      <x:c r="K1195" s="2" t="str">
        <x:f>IF(OR(J1195="심의승인",J1195="반려",J1195="반려완료",J1195="심의완료"),"종결 표시",IF(OR(J1195="기후부협의",J1195="문서재제출요청",J1195="보류",J1195="보완요청",J1195="보완완료",J1195="평가중",J1195="반려요청",J1195="평가필요",LEFT(J1195,5)="보완요청("),"미종결 표시","상태 확인 필요"))</x:f>
        <x:v>종결 표시</x:v>
      </x:c>
      <x:c r="L1195" s="2" t="str">
        <x:v>에코시안_정다윤</x:v>
      </x:c>
      <x:c r="M1195" s="2"/>
      <x:c r="N1195" s="8" t="n">
        <x:f>DATE(2026,10,15)-DATE(2023,7,19)</x:f>
        <x:v>1184</x:v>
      </x:c>
      <x:c r="O1195" s="2" t="str">
        <x:v>생략</x:v>
      </x:c>
      <x:c r="P1195" s="2" t="str">
        <x:v>57차 인증위 승인</x:v>
      </x:c>
      <x:c r="Q1195" s="2" t="str">
        <x:v>산업전환_외부사업관리Tool_260707_이너젠 수정_LJY_261013.xlsx</x:v>
      </x:c>
      <x:c r="R1195" s="2" t="str">
        <x:v>국내평가</x:v>
      </x:c>
      <x:c r="S1195" s="8" t="n">
        <x:v>1098</x:v>
      </x:c>
      <x:c r="T1195" s="2" t="str">
        <x:v>(8/7),(10/6)</x:v>
      </x:c>
      <x:c r="U1195" s="2" t="str">
        <x:v>2023 배정: (8/7),(10/6) / 2024 배정: (1/12),(2/5)</x:v>
      </x:c>
      <x:c r="V1195" s="2" t="str">
        <x:v>2024-06-17</x:v>
      </x:c>
      <x:c r="W1195" s="2" t="str"/>
      <x:c r="X1195" s="2" t="str">
        <x:v>종결 근거 보관</x:v>
      </x:c>
      <x:c r="Y1195" s="2" t="str">
        <x:v>ad210cd9ec132cfd447541c8984dc53d30aff0f4fb2dc92d254d49275cc55976</x:v>
      </x:c>
      <x:c r="Z1195" s="2" t="n">
        <x:f>SUBTOTAL(103,A1195)</x:f>
        <x:v>1</x:v>
      </x:c>
      <x:c r="AA1195" s="2" t="str">
        <x:f>IF(K1195&lt;&gt;"미종결 표시","대상 아님",IF(N1195="","신청일 확인",IF(NOT(ISNUMBER('종합 현황'!$H$5)),"관찰기준 확인",IF('종합 현황'!$H$5&lt;1,"관찰기준 확인",IF(N1195&gt;'종합 현황'!$H$5,"내부 관찰 대상","내부 관찰일 이하")))))</x:f>
        <x:v>대상 아님</x:v>
      </x:c>
      <x:c r="AB1195" s="2"/>
    </x:row>
    <x:row r="1196" ht="42" customHeight="1">
      <x:c r="A1196" s="2" t="str">
        <x:v>418c267d97d25c9bc9a0a23a</x:v>
      </x:c>
      <x:c r="B1196" s="2" t="str">
        <x:v>사업 평가</x:v>
      </x:c>
      <x:c r="C1196" s="2" t="str">
        <x:v>국내</x:v>
      </x:c>
      <x:c r="D1196" s="7" t="str">
        <x:v>㈜동양테크윈의 고효율 보일러 교체를 통한 온실가스(CO2) 배출 감축 사업</x:v>
      </x:c>
      <x:c r="E1196" s="2" t="str">
        <x:v>1057</x:v>
      </x:c>
      <x:c r="F1196" s="2" t="str">
        <x:v>2023-07-28</x:v>
      </x:c>
      <x:c r="G1196" s="2" t="str">
        <x:v>2023</x:v>
      </x:c>
      <x:c r="H1196" s="2" t="str">
        <x:v>07</x:v>
      </x:c>
      <x:c r="I1196" s="2" t="str">
        <x:v>보완1차_문서보완중</x:v>
      </x:c>
      <x:c r="J1196" s="2" t="str">
        <x:v>보류</x:v>
      </x:c>
      <x:c r="K1196" s="2" t="str">
        <x:f>IF(OR(J1196="심의승인",J1196="반려",J1196="반려완료",J1196="심의완료"),"종결 표시",IF(OR(J1196="기후부협의",J1196="문서재제출요청",J1196="보류",J1196="보완요청",J1196="보완완료",J1196="평가중",J1196="반려요청",J1196="평가필요",LEFT(J1196,5)="보완요청("),"미종결 표시","상태 확인 필요"))</x:f>
        <x:v>미종결 표시</x:v>
      </x:c>
      <x:c r="L1196" s="2" t="str">
        <x:v>에코시안_전윤호</x:v>
      </x:c>
      <x:c r="M1196" s="2" t="n">
        <x:v>1</x:v>
      </x:c>
      <x:c r="N1196" s="8" t="n">
        <x:f>DATE(2026,10,15)-DATE(2023,7,28)</x:f>
        <x:v>1175</x:v>
      </x:c>
      <x:c r="O1196" s="2" t="str">
        <x:v>반려예정</x:v>
      </x:c>
      <x:c r="P1196" s="2" t="str">
        <x:v>탄소감축설비 지원사업으로 반려 제출 공문 필요</x:v>
      </x:c>
      <x:c r="Q1196" s="2" t="str">
        <x:v>산업전환_외부사업관리Tool_260707_이너젠 수정_LJY_261013.xlsx</x:v>
      </x:c>
      <x:c r="R1196" s="2" t="str">
        <x:v>국내평가</x:v>
      </x:c>
      <x:c r="S1196" s="8" t="n">
        <x:v>1099</x:v>
      </x:c>
      <x:c r="T1196" s="2" t="str">
        <x:v>(8/7),(11/17)</x:v>
      </x:c>
      <x:c r="U1196" s="2" t="str">
        <x:v>2023 배정: (8/7),(11/17)</x:v>
      </x:c>
      <x:c r="V1196" s="2" t="str">
        <x:v>2023-12-01</x:v>
      </x:c>
      <x:c r="W1196" s="2" t="str"/>
      <x:c r="X1196" s="2" t="str">
        <x:v>검토 진행 일정 확인</x:v>
      </x:c>
      <x:c r="Y1196" s="2" t="str">
        <x:v>ad210cd9ec132cfd447541c8984dc53d30aff0f4fb2dc92d254d49275cc55976</x:v>
      </x:c>
      <x:c r="Z1196" s="2" t="n">
        <x:f>SUBTOTAL(103,A1196)</x:f>
        <x:v>1</x:v>
      </x:c>
      <x:c r="AA1196" s="2" t="str">
        <x:f>IF(K1196&lt;&gt;"미종결 표시","대상 아님",IF(N1196="","신청일 확인",IF(NOT(ISNUMBER('종합 현황'!$H$5)),"관찰기준 확인",IF('종합 현황'!$H$5&lt;1,"관찰기준 확인",IF(N1196&gt;'종합 현황'!$H$5,"내부 관찰 대상","내부 관찰일 이하")))))</x:f>
        <x:v>내부 관찰 대상</x:v>
      </x:c>
      <x:c r="AB1196" s="2"/>
    </x:row>
    <x:row r="1197" ht="42" customHeight="1">
      <x:c r="A1197" s="2" t="str">
        <x:v>d18eba138abb8b2960c8faf7</x:v>
      </x:c>
      <x:c r="B1197" s="2" t="str">
        <x:v>사업 평가</x:v>
      </x:c>
      <x:c r="C1197" s="2" t="str">
        <x:v>국내</x:v>
      </x:c>
      <x:c r="D1197" s="7" t="str">
        <x:v>경림산업㈜의 고효율 보일러 교체를 통한 온실가스(CO2) 배출 감축 사업</x:v>
      </x:c>
      <x:c r="E1197" s="2" t="str">
        <x:v>1058</x:v>
      </x:c>
      <x:c r="F1197" s="2" t="str">
        <x:v>2023-07-28</x:v>
      </x:c>
      <x:c r="G1197" s="2" t="str">
        <x:v>2023</x:v>
      </x:c>
      <x:c r="H1197" s="2" t="str">
        <x:v>07</x:v>
      </x:c>
      <x:c r="I1197" s="2" t="str">
        <x:v>보완1차_문서보완중</x:v>
      </x:c>
      <x:c r="J1197" s="2" t="str">
        <x:v>보류</x:v>
      </x:c>
      <x:c r="K1197" s="2" t="str">
        <x:f>IF(OR(J1197="심의승인",J1197="반려",J1197="반려완료",J1197="심의완료"),"종결 표시",IF(OR(J1197="기후부협의",J1197="문서재제출요청",J1197="보류",J1197="보완요청",J1197="보완완료",J1197="평가중",J1197="반려요청",J1197="평가필요",LEFT(J1197,5)="보완요청("),"미종결 표시","상태 확인 필요"))</x:f>
        <x:v>미종결 표시</x:v>
      </x:c>
      <x:c r="L1197" s="2" t="str">
        <x:v>에코시안_전윤호</x:v>
      </x:c>
      <x:c r="M1197" s="2" t="n">
        <x:v>1</x:v>
      </x:c>
      <x:c r="N1197" s="8" t="n">
        <x:f>DATE(2026,10,15)-DATE(2023,7,28)</x:f>
        <x:v>1175</x:v>
      </x:c>
      <x:c r="O1197" s="2" t="str">
        <x:v>반려예정</x:v>
      </x:c>
      <x:c r="P1197" s="2" t="str">
        <x:v>탄소감축설비 지원사업으로 반려 제출 공문 필요</x:v>
      </x:c>
      <x:c r="Q1197" s="2" t="str">
        <x:v>산업전환_외부사업관리Tool_260707_이너젠 수정_LJY_261013.xlsx</x:v>
      </x:c>
      <x:c r="R1197" s="2" t="str">
        <x:v>국내평가</x:v>
      </x:c>
      <x:c r="S1197" s="8" t="n">
        <x:v>1100</x:v>
      </x:c>
      <x:c r="T1197" s="2" t="str">
        <x:v>(8/7),(11/17)</x:v>
      </x:c>
      <x:c r="U1197" s="2" t="str">
        <x:v>2023 배정: (8/7),(11/17)</x:v>
      </x:c>
      <x:c r="V1197" s="2" t="str">
        <x:v>2023-12-01</x:v>
      </x:c>
      <x:c r="W1197" s="2" t="str"/>
      <x:c r="X1197" s="2" t="str">
        <x:v>검토 진행 일정 확인</x:v>
      </x:c>
      <x:c r="Y1197" s="2" t="str">
        <x:v>ad210cd9ec132cfd447541c8984dc53d30aff0f4fb2dc92d254d49275cc55976</x:v>
      </x:c>
      <x:c r="Z1197" s="2" t="n">
        <x:f>SUBTOTAL(103,A1197)</x:f>
        <x:v>1</x:v>
      </x:c>
      <x:c r="AA1197" s="2" t="str">
        <x:f>IF(K1197&lt;&gt;"미종결 표시","대상 아님",IF(N1197="","신청일 확인",IF(NOT(ISNUMBER('종합 현황'!$H$5)),"관찰기준 확인",IF('종합 현황'!$H$5&lt;1,"관찰기준 확인",IF(N1197&gt;'종합 현황'!$H$5,"내부 관찰 대상","내부 관찰일 이하")))))</x:f>
        <x:v>내부 관찰 대상</x:v>
      </x:c>
      <x:c r="AB1197" s="2"/>
    </x:row>
    <x:row r="1198" ht="42" customHeight="1">
      <x:c r="A1198" s="2" t="str">
        <x:v>01fb61654847890a6981018f</x:v>
      </x:c>
      <x:c r="B1198" s="2" t="str">
        <x:v>사업 평가</x:v>
      </x:c>
      <x:c r="C1198" s="2" t="str">
        <x:v>국내</x:v>
      </x:c>
      <x:c r="D1198" s="7" t="str">
        <x:v>㈜경기색소의 고효율 보일러 교체를 통한 온실가스(CO2) 배출 감축 사업</x:v>
      </x:c>
      <x:c r="E1198" s="2" t="str">
        <x:v>1059</x:v>
      </x:c>
      <x:c r="F1198" s="2" t="str">
        <x:v>2023-07-28</x:v>
      </x:c>
      <x:c r="G1198" s="2" t="str">
        <x:v>2023</x:v>
      </x:c>
      <x:c r="H1198" s="2" t="str">
        <x:v>07</x:v>
      </x:c>
      <x:c r="I1198" s="2" t="str">
        <x:v>보완1차_문서보완중</x:v>
      </x:c>
      <x:c r="J1198" s="2" t="str">
        <x:v>보류</x:v>
      </x:c>
      <x:c r="K1198" s="2" t="str">
        <x:f>IF(OR(J1198="심의승인",J1198="반려",J1198="반려완료",J1198="심의완료"),"종결 표시",IF(OR(J1198="기후부협의",J1198="문서재제출요청",J1198="보류",J1198="보완요청",J1198="보완완료",J1198="평가중",J1198="반려요청",J1198="평가필요",LEFT(J1198,5)="보완요청("),"미종결 표시","상태 확인 필요"))</x:f>
        <x:v>미종결 표시</x:v>
      </x:c>
      <x:c r="L1198" s="2" t="str">
        <x:v>에코시안_전윤호</x:v>
      </x:c>
      <x:c r="M1198" s="2" t="n">
        <x:v>1</x:v>
      </x:c>
      <x:c r="N1198" s="8" t="n">
        <x:f>DATE(2026,10,15)-DATE(2023,7,28)</x:f>
        <x:v>1175</x:v>
      </x:c>
      <x:c r="O1198" s="2" t="str">
        <x:v>반려예정</x:v>
      </x:c>
      <x:c r="P1198" s="2" t="str">
        <x:v>탄소감축설비 지원사업으로 반려 제출 공문 필요</x:v>
      </x:c>
      <x:c r="Q1198" s="2" t="str">
        <x:v>산업전환_외부사업관리Tool_260707_이너젠 수정_LJY_261013.xlsx</x:v>
      </x:c>
      <x:c r="R1198" s="2" t="str">
        <x:v>국내평가</x:v>
      </x:c>
      <x:c r="S1198" s="8" t="n">
        <x:v>1101</x:v>
      </x:c>
      <x:c r="T1198" s="2" t="str">
        <x:v>(8/7),(11/17)</x:v>
      </x:c>
      <x:c r="U1198" s="2" t="str">
        <x:v>2023 배정: (8/7),(11/17)</x:v>
      </x:c>
      <x:c r="V1198" s="2" t="str">
        <x:v>2023-12-01</x:v>
      </x:c>
      <x:c r="W1198" s="2" t="str"/>
      <x:c r="X1198" s="2" t="str">
        <x:v>검토 진행 일정 확인</x:v>
      </x:c>
      <x:c r="Y1198" s="2" t="str">
        <x:v>ad210cd9ec132cfd447541c8984dc53d30aff0f4fb2dc92d254d49275cc55976</x:v>
      </x:c>
      <x:c r="Z1198" s="2" t="n">
        <x:f>SUBTOTAL(103,A1198)</x:f>
        <x:v>1</x:v>
      </x:c>
      <x:c r="AA1198" s="2" t="str">
        <x:f>IF(K1198&lt;&gt;"미종결 표시","대상 아님",IF(N1198="","신청일 확인",IF(NOT(ISNUMBER('종합 현황'!$H$5)),"관찰기준 확인",IF('종합 현황'!$H$5&lt;1,"관찰기준 확인",IF(N1198&gt;'종합 현황'!$H$5,"내부 관찰 대상","내부 관찰일 이하")))))</x:f>
        <x:v>내부 관찰 대상</x:v>
      </x:c>
      <x:c r="AB1198" s="2"/>
    </x:row>
    <x:row r="1199" ht="42" customHeight="1">
      <x:c r="A1199" s="2" t="str">
        <x:v>f2301ea39be2b20c5e1d9255</x:v>
      </x:c>
      <x:c r="B1199" s="2" t="str">
        <x:v>사업 평가</x:v>
      </x:c>
      <x:c r="C1199" s="2" t="str">
        <x:v>국내</x:v>
      </x:c>
      <x:c r="D1199" s="7" t="str">
        <x:v>㈜가이아환경의 고효율 보일러 교체를 통한 온실가스(CO2) 배출 감축 사업</x:v>
      </x:c>
      <x:c r="E1199" s="2" t="str">
        <x:v>1060</x:v>
      </x:c>
      <x:c r="F1199" s="2" t="str">
        <x:v>2023-07-28</x:v>
      </x:c>
      <x:c r="G1199" s="2" t="str">
        <x:v>2023</x:v>
      </x:c>
      <x:c r="H1199" s="2" t="str">
        <x:v>07</x:v>
      </x:c>
      <x:c r="I1199" s="2" t="str">
        <x:v>보완1차_문서보완중</x:v>
      </x:c>
      <x:c r="J1199" s="2" t="str">
        <x:v>보류</x:v>
      </x:c>
      <x:c r="K1199" s="2" t="str">
        <x:f>IF(OR(J1199="심의승인",J1199="반려",J1199="반려완료",J1199="심의완료"),"종결 표시",IF(OR(J1199="기후부협의",J1199="문서재제출요청",J1199="보류",J1199="보완요청",J1199="보완완료",J1199="평가중",J1199="반려요청",J1199="평가필요",LEFT(J1199,5)="보완요청("),"미종결 표시","상태 확인 필요"))</x:f>
        <x:v>미종결 표시</x:v>
      </x:c>
      <x:c r="L1199" s="2" t="str">
        <x:v>에코시안_전윤호</x:v>
      </x:c>
      <x:c r="M1199" s="2" t="n">
        <x:v>1</x:v>
      </x:c>
      <x:c r="N1199" s="8" t="n">
        <x:f>DATE(2026,10,15)-DATE(2023,7,28)</x:f>
        <x:v>1175</x:v>
      </x:c>
      <x:c r="O1199" s="2" t="str">
        <x:v>반려예정</x:v>
      </x:c>
      <x:c r="P1199" s="2" t="str">
        <x:v>탄소감축설비 지원사업으로 반려 제출 공문 필요</x:v>
      </x:c>
      <x:c r="Q1199" s="2" t="str">
        <x:v>산업전환_외부사업관리Tool_260707_이너젠 수정_LJY_261013.xlsx</x:v>
      </x:c>
      <x:c r="R1199" s="2" t="str">
        <x:v>국내평가</x:v>
      </x:c>
      <x:c r="S1199" s="8" t="n">
        <x:v>1102</x:v>
      </x:c>
      <x:c r="T1199" s="2" t="str">
        <x:v>(8/7),(11/17)</x:v>
      </x:c>
      <x:c r="U1199" s="2" t="str">
        <x:v>2023 배정: (8/7),(11/17)</x:v>
      </x:c>
      <x:c r="V1199" s="2" t="str">
        <x:v>2023-12-01</x:v>
      </x:c>
      <x:c r="W1199" s="2" t="str"/>
      <x:c r="X1199" s="2" t="str">
        <x:v>검토 진행 일정 확인</x:v>
      </x:c>
      <x:c r="Y1199" s="2" t="str">
        <x:v>ad210cd9ec132cfd447541c8984dc53d30aff0f4fb2dc92d254d49275cc55976</x:v>
      </x:c>
      <x:c r="Z1199" s="2" t="n">
        <x:f>SUBTOTAL(103,A1199)</x:f>
        <x:v>1</x:v>
      </x:c>
      <x:c r="AA1199" s="2" t="str">
        <x:f>IF(K1199&lt;&gt;"미종결 표시","대상 아님",IF(N1199="","신청일 확인",IF(NOT(ISNUMBER('종합 현황'!$H$5)),"관찰기준 확인",IF('종합 현황'!$H$5&lt;1,"관찰기준 확인",IF(N1199&gt;'종합 현황'!$H$5,"내부 관찰 대상","내부 관찰일 이하")))))</x:f>
        <x:v>내부 관찰 대상</x:v>
      </x:c>
      <x:c r="AB1199" s="2"/>
    </x:row>
    <x:row r="1200" ht="42" customHeight="1">
      <x:c r="A1200" s="2" t="str">
        <x:v>a066c940e77eaf69abd0b02e</x:v>
      </x:c>
      <x:c r="B1200" s="2" t="str">
        <x:v>사업 평가</x:v>
      </x:c>
      <x:c r="C1200" s="2" t="str">
        <x:v>국내</x:v>
      </x:c>
      <x:c r="D1200" s="7" t="str">
        <x:v>㈜세우항공의 고효율 보일러 교체를 통한  온실가스(CO2) 배출 감축 사업</x:v>
      </x:c>
      <x:c r="E1200" s="2" t="str">
        <x:v>1061</x:v>
      </x:c>
      <x:c r="F1200" s="2" t="str">
        <x:v>2023-07-28</x:v>
      </x:c>
      <x:c r="G1200" s="2" t="str">
        <x:v>2023</x:v>
      </x:c>
      <x:c r="H1200" s="2" t="str">
        <x:v>07</x:v>
      </x:c>
      <x:c r="I1200" s="2" t="str">
        <x:v>문서재제출</x:v>
      </x:c>
      <x:c r="J1200" s="2" t="str">
        <x:v>보류</x:v>
      </x:c>
      <x:c r="K1200" s="2" t="str">
        <x:f>IF(OR(J1200="심의승인",J1200="반려",J1200="반려완료",J1200="심의완료"),"종결 표시",IF(OR(J1200="기후부협의",J1200="문서재제출요청",J1200="보류",J1200="보완요청",J1200="보완완료",J1200="평가중",J1200="반려요청",J1200="평가필요",LEFT(J1200,5)="보완요청("),"미종결 표시","상태 확인 필요"))</x:f>
        <x:v>미종결 표시</x:v>
      </x:c>
      <x:c r="L1200" s="2" t="str">
        <x:v>에코시안_전윤호</x:v>
      </x:c>
      <x:c r="M1200" s="2"/>
      <x:c r="N1200" s="8" t="n">
        <x:f>DATE(2026,10,15)-DATE(2023,7,28)</x:f>
        <x:v>1175</x:v>
      </x:c>
      <x:c r="O1200" s="2" t="str">
        <x:v>반려예정</x:v>
      </x:c>
      <x:c r="P1200" s="2" t="str">
        <x:v>탄소감축설비 지원사업으로 반려 제출 공문 필요</x:v>
      </x:c>
      <x:c r="Q1200" s="2" t="str">
        <x:v>산업전환_외부사업관리Tool_260707_이너젠 수정_LJY_261013.xlsx</x:v>
      </x:c>
      <x:c r="R1200" s="2" t="str">
        <x:v>국내평가</x:v>
      </x:c>
      <x:c r="S1200" s="8" t="n">
        <x:v>1103</x:v>
      </x:c>
      <x:c r="T1200" s="2" t="str">
        <x:v>(8/7),(11/17)</x:v>
      </x:c>
      <x:c r="U1200" s="2" t="str">
        <x:v>2023 배정: (8/7),(11/17)</x:v>
      </x:c>
      <x:c r="V1200" s="2" t="str">
        <x:v>2023-12-01</x:v>
      </x:c>
      <x:c r="W1200" s="2" t="str"/>
      <x:c r="X1200" s="2" t="str">
        <x:v>검토 진행 일정 확인</x:v>
      </x:c>
      <x:c r="Y1200" s="2" t="str">
        <x:v>ad210cd9ec132cfd447541c8984dc53d30aff0f4fb2dc92d254d49275cc55976</x:v>
      </x:c>
      <x:c r="Z1200" s="2" t="n">
        <x:f>SUBTOTAL(103,A1200)</x:f>
        <x:v>1</x:v>
      </x:c>
      <x:c r="AA1200" s="2" t="str">
        <x:f>IF(K1200&lt;&gt;"미종결 표시","대상 아님",IF(N1200="","신청일 확인",IF(NOT(ISNUMBER('종합 현황'!$H$5)),"관찰기준 확인",IF('종합 현황'!$H$5&lt;1,"관찰기준 확인",IF(N1200&gt;'종합 현황'!$H$5,"내부 관찰 대상","내부 관찰일 이하")))))</x:f>
        <x:v>내부 관찰 대상</x:v>
      </x:c>
      <x:c r="AB1200" s="2"/>
    </x:row>
    <x:row r="1201" ht="42" customHeight="1">
      <x:c r="A1201" s="2" t="str">
        <x:v>5b7554d369eda06f08dd3c39</x:v>
      </x:c>
      <x:c r="B1201" s="2" t="str">
        <x:v>사업 평가</x:v>
      </x:c>
      <x:c r="C1201" s="2" t="str">
        <x:v>국내</x:v>
      </x:c>
      <x:c r="D1201" s="7" t="str">
        <x:v>IMI크리티컬엔지니어링코리아(주) 799.68 kW 태양광 발전설비 설치 및 자가 사용 사업</x:v>
      </x:c>
      <x:c r="E1201" s="2" t="str">
        <x:v>1062</x:v>
      </x:c>
      <x:c r="F1201" s="2" t="str">
        <x:v>2023-07-27</x:v>
      </x:c>
      <x:c r="G1201" s="2" t="str">
        <x:v>2023</x:v>
      </x:c>
      <x:c r="H1201" s="2" t="str">
        <x:v>07</x:v>
      </x:c>
      <x:c r="I1201" s="2" t="str">
        <x:v>보완3차_보완중</x:v>
      </x:c>
      <x:c r="J1201" s="2" t="str">
        <x:v>보류</x:v>
      </x:c>
      <x:c r="K1201" s="2" t="str">
        <x:f>IF(OR(J1201="심의승인",J1201="반려",J1201="반려완료",J1201="심의완료"),"종결 표시",IF(OR(J1201="기후부협의",J1201="문서재제출요청",J1201="보류",J1201="보완요청",J1201="보완완료",J1201="평가중",J1201="반려요청",J1201="평가필요",LEFT(J1201,5)="보완요청("),"미종결 표시","상태 확인 필요"))</x:f>
        <x:v>미종결 표시</x:v>
      </x:c>
      <x:c r="L1201" s="2" t="str">
        <x:v>KECM_김민정&gt;이태준</x:v>
      </x:c>
      <x:c r="M1201" s="2" t="n">
        <x:v>3</x:v>
      </x:c>
      <x:c r="N1201" s="8" t="n">
        <x:f>DATE(2026,10,15)-DATE(2023,7,27)</x:f>
        <x:v>1176</x:v>
      </x:c>
      <x:c r="O1201" s="2" t="str">
        <x:v>반려예정</x:v>
      </x:c>
      <x:c r="P1201" s="2" t="str">
        <x:v>탄소감축설비 지원사업으로 반려 제출 공문 필요</x:v>
      </x:c>
      <x:c r="Q1201" s="2" t="str">
        <x:v>산업전환_외부사업관리Tool_260707_이너젠 수정_LJY_261013.xlsx</x:v>
      </x:c>
      <x:c r="R1201" s="2" t="str">
        <x:v>국내평가</x:v>
      </x:c>
      <x:c r="S1201" s="8" t="n">
        <x:v>1104</x:v>
      </x:c>
      <x:c r="T1201" s="2" t="str">
        <x:v>(8/7),(10/27)</x:v>
      </x:c>
      <x:c r="U1201" s="2" t="str">
        <x:v>2023 배정: (8/7),(10/27) / 2024 배정: (2/5)</x:v>
      </x:c>
      <x:c r="V1201" s="2" t="str">
        <x:v>2024-02-26</x:v>
      </x:c>
      <x:c r="W1201" s="2" t="str"/>
      <x:c r="X1201" s="2" t="str">
        <x:v>검토 진행 일정 확인</x:v>
      </x:c>
      <x:c r="Y1201" s="2" t="str">
        <x:v>ad210cd9ec132cfd447541c8984dc53d30aff0f4fb2dc92d254d49275cc55976</x:v>
      </x:c>
      <x:c r="Z1201" s="2" t="n">
        <x:f>SUBTOTAL(103,A1201)</x:f>
        <x:v>1</x:v>
      </x:c>
      <x:c r="AA1201" s="2" t="str">
        <x:f>IF(K1201&lt;&gt;"미종결 표시","대상 아님",IF(N1201="","신청일 확인",IF(NOT(ISNUMBER('종합 현황'!$H$5)),"관찰기준 확인",IF('종합 현황'!$H$5&lt;1,"관찰기준 확인",IF(N1201&gt;'종합 현황'!$H$5,"내부 관찰 대상","내부 관찰일 이하")))))</x:f>
        <x:v>내부 관찰 대상</x:v>
      </x:c>
      <x:c r="AB1201" s="2"/>
    </x:row>
    <x:row r="1202" ht="42" customHeight="1">
      <x:c r="A1202" s="2" t="str">
        <x:v>0e81547a6a27522e2c58f3bf</x:v>
      </x:c>
      <x:c r="B1202" s="2" t="str">
        <x:v>사업 평가</x:v>
      </x:c>
      <x:c r="C1202" s="2" t="str">
        <x:v>국내</x:v>
      </x:c>
      <x:c r="D1202" s="7" t="str">
        <x:v>㈜세우의 고효율 보일러 교체를 통한 온실가스(CO2) 배출 감축 사업</x:v>
      </x:c>
      <x:c r="E1202" s="2" t="str">
        <x:v>1063</x:v>
      </x:c>
      <x:c r="F1202" s="2" t="str">
        <x:v>2023-07-27</x:v>
      </x:c>
      <x:c r="G1202" s="2" t="str">
        <x:v>2023</x:v>
      </x:c>
      <x:c r="H1202" s="2" t="str">
        <x:v>07</x:v>
      </x:c>
      <x:c r="I1202" s="2" t="str">
        <x:v>보완3차_보완중</x:v>
      </x:c>
      <x:c r="J1202" s="2" t="str">
        <x:v>보류</x:v>
      </x:c>
      <x:c r="K1202" s="2" t="str">
        <x:f>IF(OR(J1202="심의승인",J1202="반려",J1202="반려완료",J1202="심의완료"),"종결 표시",IF(OR(J1202="기후부협의",J1202="문서재제출요청",J1202="보류",J1202="보완요청",J1202="보완완료",J1202="평가중",J1202="반려요청",J1202="평가필요",LEFT(J1202,5)="보완요청("),"미종결 표시","상태 확인 필요"))</x:f>
        <x:v>미종결 표시</x:v>
      </x:c>
      <x:c r="L1202" s="2" t="str">
        <x:v>KECM_이태준</x:v>
      </x:c>
      <x:c r="M1202" s="2" t="n">
        <x:v>3</x:v>
      </x:c>
      <x:c r="N1202" s="8" t="n">
        <x:f>DATE(2026,10,15)-DATE(2023,7,27)</x:f>
        <x:v>1176</x:v>
      </x:c>
      <x:c r="O1202" s="2" t="str">
        <x:v>반려예정</x:v>
      </x:c>
      <x:c r="P1202" s="2" t="str">
        <x:v>탄소감축설비 지원사업으로 반려 제출 공문 필요</x:v>
      </x:c>
      <x:c r="Q1202" s="2" t="str">
        <x:v>산업전환_외부사업관리Tool_260707_이너젠 수정_LJY_261013.xlsx</x:v>
      </x:c>
      <x:c r="R1202" s="2" t="str">
        <x:v>국내평가</x:v>
      </x:c>
      <x:c r="S1202" s="8" t="n">
        <x:v>1105</x:v>
      </x:c>
      <x:c r="T1202" s="2" t="str">
        <x:v>(8/7),(10/27)</x:v>
      </x:c>
      <x:c r="U1202" s="2" t="str">
        <x:v>2023 배정: (8/7),(10/27) / 2024 배정: (2/5)</x:v>
      </x:c>
      <x:c r="V1202" s="2" t="str">
        <x:v>2024-02-27</x:v>
      </x:c>
      <x:c r="W1202" s="2" t="str"/>
      <x:c r="X1202" s="2" t="str">
        <x:v>검토 진행 일정 확인</x:v>
      </x:c>
      <x:c r="Y1202" s="2" t="str">
        <x:v>ad210cd9ec132cfd447541c8984dc53d30aff0f4fb2dc92d254d49275cc55976</x:v>
      </x:c>
      <x:c r="Z1202" s="2" t="n">
        <x:f>SUBTOTAL(103,A1202)</x:f>
        <x:v>1</x:v>
      </x:c>
      <x:c r="AA1202" s="2" t="str">
        <x:f>IF(K1202&lt;&gt;"미종결 표시","대상 아님",IF(N1202="","신청일 확인",IF(NOT(ISNUMBER('종합 현황'!$H$5)),"관찰기준 확인",IF('종합 현황'!$H$5&lt;1,"관찰기준 확인",IF(N1202&gt;'종합 현황'!$H$5,"내부 관찰 대상","내부 관찰일 이하")))))</x:f>
        <x:v>내부 관찰 대상</x:v>
      </x:c>
      <x:c r="AB1202" s="2"/>
    </x:row>
    <x:row r="1203" ht="42" customHeight="1">
      <x:c r="A1203" s="2" t="str">
        <x:v>5fef58a5b3254ac40f0fa712</x:v>
      </x:c>
      <x:c r="B1203" s="2" t="str">
        <x:v>사업 평가</x:v>
      </x:c>
      <x:c r="C1203" s="2" t="str">
        <x:v>국내</x:v>
      </x:c>
      <x:c r="D1203" s="7" t="str">
        <x:v>씨큐브의 LPG에서 도시가스(LNG)로 연료전환을 통한 온실가스 배출 외부사업</x:v>
      </x:c>
      <x:c r="E1203" s="2" t="str">
        <x:v>1064</x:v>
      </x:c>
      <x:c r="F1203" s="2" t="str">
        <x:v>2023-08-18</x:v>
      </x:c>
      <x:c r="G1203" s="2" t="str">
        <x:v>2023</x:v>
      </x:c>
      <x:c r="H1203" s="2" t="str">
        <x:v>08</x:v>
      </x:c>
      <x:c r="I1203" s="2" t="str">
        <x:v>승인</x:v>
      </x:c>
      <x:c r="J1203" s="2" t="str">
        <x:v>심의승인</x:v>
      </x:c>
      <x:c r="K1203" s="2" t="str">
        <x:f>IF(OR(J1203="심의승인",J1203="반려",J1203="반려완료",J1203="심의완료"),"종결 표시",IF(OR(J1203="기후부협의",J1203="문서재제출요청",J1203="보류",J1203="보완요청",J1203="보완완료",J1203="평가중",J1203="반려요청",J1203="평가필요",LEFT(J1203,5)="보완요청("),"미종결 표시","상태 확인 필요"))</x:f>
        <x:v>종결 표시</x:v>
      </x:c>
      <x:c r="L1203" s="2" t="str">
        <x:v>KECM_이태준</x:v>
      </x:c>
      <x:c r="M1203" s="2"/>
      <x:c r="N1203" s="8" t="n">
        <x:f>DATE(2026,10,15)-DATE(2023,8,18)</x:f>
        <x:v>1154</x:v>
      </x:c>
      <x:c r="O1203" s="2" t="str">
        <x:v>생략</x:v>
      </x:c>
      <x:c r="P1203" s="2" t="str">
        <x:v>정보비공개 신청 심의 승인</x:v>
      </x:c>
      <x:c r="Q1203" s="2" t="str">
        <x:v>산업전환_외부사업관리Tool_260707_이너젠 수정_LJY_261013.xlsx</x:v>
      </x:c>
      <x:c r="R1203" s="2" t="str">
        <x:v>국내평가</x:v>
      </x:c>
      <x:c r="S1203" s="8" t="n">
        <x:v>1106</x:v>
      </x:c>
      <x:c r="T1203" s="2" t="str">
        <x:v>(8/30),(11/17)</x:v>
      </x:c>
      <x:c r="U1203" s="2" t="str">
        <x:v>2023 배정: (8/30),(11/17) / 2024 배정: (2/5),(4/8),(6/10),(7/23),(8/12)</x:v>
      </x:c>
      <x:c r="V1203" s="2" t="str">
        <x:v>2024-12-10</x:v>
      </x:c>
      <x:c r="W1203" s="2" t="str"/>
      <x:c r="X1203" s="2" t="str">
        <x:v>종결 근거 보관</x:v>
      </x:c>
      <x:c r="Y1203" s="2" t="str">
        <x:v>ad210cd9ec132cfd447541c8984dc53d30aff0f4fb2dc92d254d49275cc55976</x:v>
      </x:c>
      <x:c r="Z1203" s="2" t="n">
        <x:f>SUBTOTAL(103,A1203)</x:f>
        <x:v>1</x:v>
      </x:c>
      <x:c r="AA1203" s="2" t="str">
        <x:f>IF(K1203&lt;&gt;"미종결 표시","대상 아님",IF(N1203="","신청일 확인",IF(NOT(ISNUMBER('종합 현황'!$H$5)),"관찰기준 확인",IF('종합 현황'!$H$5&lt;1,"관찰기준 확인",IF(N1203&gt;'종합 현황'!$H$5,"내부 관찰 대상","내부 관찰일 이하")))))</x:f>
        <x:v>대상 아님</x:v>
      </x:c>
      <x:c r="AB1203" s="2"/>
    </x:row>
    <x:row r="1204" ht="42" customHeight="1">
      <x:c r="A1204" s="2" t="str">
        <x:v>3ccd4a1c390fb3a1053a1dee</x:v>
      </x:c>
      <x:c r="B1204" s="2" t="str">
        <x:v>사업 평가</x:v>
      </x:c>
      <x:c r="C1204" s="2" t="str">
        <x:v>국내</x:v>
      </x:c>
      <x:c r="D1204" s="7" t="str">
        <x:v>한국동서발전(주) 태양광발전 설치 및 자가 사용 프로그램 감축사업</x:v>
      </x:c>
      <x:c r="E1204" s="2" t="str">
        <x:v>1065</x:v>
      </x:c>
      <x:c r="F1204" s="2" t="str">
        <x:v>2023-09-04</x:v>
      </x:c>
      <x:c r="G1204" s="2" t="str">
        <x:v>2023</x:v>
      </x:c>
      <x:c r="H1204" s="2" t="str">
        <x:v>09</x:v>
      </x:c>
      <x:c r="I1204" s="2" t="str">
        <x:v>검토필요</x:v>
      </x:c>
      <x:c r="J1204" s="2" t="str">
        <x:v>보류</x:v>
      </x:c>
      <x:c r="K1204" s="2" t="str">
        <x:f>IF(OR(J1204="심의승인",J1204="반려",J1204="반려완료",J1204="심의완료"),"종결 표시",IF(OR(J1204="기후부협의",J1204="문서재제출요청",J1204="보류",J1204="보완요청",J1204="보완완료",J1204="평가중",J1204="반려요청",J1204="평가필요",LEFT(J1204,5)="보완요청("),"미종결 표시","상태 확인 필요"))</x:f>
        <x:v>미종결 표시</x:v>
      </x:c>
      <x:c r="L1204" s="2"/>
      <x:c r="M1204" s="2"/>
      <x:c r="N1204" s="8" t="n">
        <x:f>DATE(2026,10,15)-DATE(2023,9,4)</x:f>
        <x:v>1137</x:v>
      </x:c>
      <x:c r="O1204" s="2" t="str">
        <x:v>보류</x:v>
      </x:c>
      <x:c r="P1204" s="2" t="str">
        <x:v>프로그램 사업 승인 후 검토</x:v>
      </x:c>
      <x:c r="Q1204" s="2" t="str">
        <x:v>산업전환_외부사업관리Tool_260707_이너젠 수정_LJY_261013.xlsx</x:v>
      </x:c>
      <x:c r="R1204" s="2" t="str">
        <x:v>국내평가</x:v>
      </x:c>
      <x:c r="S1204" s="8" t="n">
        <x:v>1107</x:v>
      </x:c>
      <x:c r="T1204" s="2" t="str">
        <x:v>2023년 처리</x:v>
      </x:c>
      <x:c r="U1204" s="2" t="str">
        <x:v>2023 배정: 2023년 처리</x:v>
      </x:c>
      <x:c r="V1204" s="2" t="str">
        <x:v>2023-09-05</x:v>
      </x:c>
      <x:c r="W1204" s="2" t="str">
        <x:v>담당기관 확인</x:v>
      </x:c>
      <x:c r="X1204" s="2" t="str">
        <x:v>원본·배정 기록 확인</x:v>
      </x:c>
      <x:c r="Y1204" s="2" t="str">
        <x:v>ad210cd9ec132cfd447541c8984dc53d30aff0f4fb2dc92d254d49275cc55976</x:v>
      </x:c>
      <x:c r="Z1204" s="2" t="n">
        <x:f>SUBTOTAL(103,A1204)</x:f>
        <x:v>1</x:v>
      </x:c>
      <x:c r="AA1204" s="2" t="str">
        <x:f>IF(K1204&lt;&gt;"미종결 표시","대상 아님",IF(N1204="","신청일 확인",IF(NOT(ISNUMBER('종합 현황'!$H$5)),"관찰기준 확인",IF('종합 현황'!$H$5&lt;1,"관찰기준 확인",IF(N1204&gt;'종합 현황'!$H$5,"내부 관찰 대상","내부 관찰일 이하")))))</x:f>
        <x:v>내부 관찰 대상</x:v>
      </x:c>
      <x:c r="AB1204" s="2"/>
    </x:row>
    <x:row r="1205" ht="42" customHeight="1">
      <x:c r="A1205" s="2" t="str">
        <x:v>c14452f940da9ef9fb1c6812</x:v>
      </x:c>
      <x:c r="B1205" s="2" t="str">
        <x:v>사업 평가</x:v>
      </x:c>
      <x:c r="C1205" s="2" t="str">
        <x:v>국내</x:v>
      </x:c>
      <x:c r="D1205" s="7" t="str">
        <x:v>한국동서발전(주) 태양광발전 설치 및 자가 사용 프로그램 감축사업</x:v>
      </x:c>
      <x:c r="E1205" s="2" t="str">
        <x:v>1066</x:v>
      </x:c>
      <x:c r="F1205" s="2" t="str">
        <x:v>2023-09-04</x:v>
      </x:c>
      <x:c r="G1205" s="2" t="str">
        <x:v>2023</x:v>
      </x:c>
      <x:c r="H1205" s="2" t="str">
        <x:v>09</x:v>
      </x:c>
      <x:c r="I1205" s="2" t="str">
        <x:v>검토필요</x:v>
      </x:c>
      <x:c r="J1205" s="2" t="str">
        <x:v>보류</x:v>
      </x:c>
      <x:c r="K1205" s="2" t="str">
        <x:f>IF(OR(J1205="심의승인",J1205="반려",J1205="반려완료",J1205="심의완료"),"종결 표시",IF(OR(J1205="기후부협의",J1205="문서재제출요청",J1205="보류",J1205="보완요청",J1205="보완완료",J1205="평가중",J1205="반려요청",J1205="평가필요",LEFT(J1205,5)="보완요청("),"미종결 표시","상태 확인 필요"))</x:f>
        <x:v>미종결 표시</x:v>
      </x:c>
      <x:c r="L1205" s="2"/>
      <x:c r="M1205" s="2"/>
      <x:c r="N1205" s="8" t="n">
        <x:f>DATE(2026,10,15)-DATE(2023,9,4)</x:f>
        <x:v>1137</x:v>
      </x:c>
      <x:c r="O1205" s="2" t="str">
        <x:v>보류</x:v>
      </x:c>
      <x:c r="P1205" s="2" t="str">
        <x:v>프로그램 사업 승인 후 검토</x:v>
      </x:c>
      <x:c r="Q1205" s="2" t="str">
        <x:v>산업전환_외부사업관리Tool_260707_이너젠 수정_LJY_261013.xlsx</x:v>
      </x:c>
      <x:c r="R1205" s="2" t="str">
        <x:v>국내평가</x:v>
      </x:c>
      <x:c r="S1205" s="8" t="n">
        <x:v>1108</x:v>
      </x:c>
      <x:c r="T1205" s="2" t="str">
        <x:v>2023년 처리</x:v>
      </x:c>
      <x:c r="U1205" s="2" t="str">
        <x:v>2023 배정: 2023년 처리</x:v>
      </x:c>
      <x:c r="V1205" s="2" t="str">
        <x:v>2023-09-05</x:v>
      </x:c>
      <x:c r="W1205" s="2" t="str">
        <x:v>담당기관 확인</x:v>
      </x:c>
      <x:c r="X1205" s="2" t="str">
        <x:v>원본·배정 기록 확인</x:v>
      </x:c>
      <x:c r="Y1205" s="2" t="str">
        <x:v>ad210cd9ec132cfd447541c8984dc53d30aff0f4fb2dc92d254d49275cc55976</x:v>
      </x:c>
      <x:c r="Z1205" s="2" t="n">
        <x:f>SUBTOTAL(103,A1205)</x:f>
        <x:v>1</x:v>
      </x:c>
      <x:c r="AA1205" s="2" t="str">
        <x:f>IF(K1205&lt;&gt;"미종결 표시","대상 아님",IF(N1205="","신청일 확인",IF(NOT(ISNUMBER('종합 현황'!$H$5)),"관찰기준 확인",IF('종합 현황'!$H$5&lt;1,"관찰기준 확인",IF(N1205&gt;'종합 현황'!$H$5,"내부 관찰 대상","내부 관찰일 이하")))))</x:f>
        <x:v>내부 관찰 대상</x:v>
      </x:c>
      <x:c r="AB1205" s="2"/>
    </x:row>
    <x:row r="1206" ht="42" customHeight="1">
      <x:c r="A1206" s="2" t="str">
        <x:v>a44e17d987c56c9ea883762e</x:v>
      </x:c>
      <x:c r="B1206" s="2" t="str">
        <x:v>사업 평가</x:v>
      </x:c>
      <x:c r="C1206" s="2" t="str">
        <x:v>국내</x:v>
      </x:c>
      <x:c r="D1206" s="7" t="str">
        <x:v>한국동서발전(주) 태양광발전 설치 및 자가 사용 프로그램 감축사업</x:v>
      </x:c>
      <x:c r="E1206" s="2" t="str">
        <x:v>1067</x:v>
      </x:c>
      <x:c r="F1206" s="2" t="str">
        <x:v>2023-09-04</x:v>
      </x:c>
      <x:c r="G1206" s="2" t="str">
        <x:v>2023</x:v>
      </x:c>
      <x:c r="H1206" s="2" t="str">
        <x:v>09</x:v>
      </x:c>
      <x:c r="I1206" s="2" t="str">
        <x:v>검토필요</x:v>
      </x:c>
      <x:c r="J1206" s="2" t="str">
        <x:v>보류</x:v>
      </x:c>
      <x:c r="K1206" s="2" t="str">
        <x:f>IF(OR(J1206="심의승인",J1206="반려",J1206="반려완료",J1206="심의완료"),"종결 표시",IF(OR(J1206="기후부협의",J1206="문서재제출요청",J1206="보류",J1206="보완요청",J1206="보완완료",J1206="평가중",J1206="반려요청",J1206="평가필요",LEFT(J1206,5)="보완요청("),"미종결 표시","상태 확인 필요"))</x:f>
        <x:v>미종결 표시</x:v>
      </x:c>
      <x:c r="L1206" s="2"/>
      <x:c r="M1206" s="2"/>
      <x:c r="N1206" s="8" t="n">
        <x:f>DATE(2026,10,15)-DATE(2023,9,4)</x:f>
        <x:v>1137</x:v>
      </x:c>
      <x:c r="O1206" s="2" t="str">
        <x:v>보류</x:v>
      </x:c>
      <x:c r="P1206" s="2" t="str">
        <x:v>프로그램 사업 승인 후 검토</x:v>
      </x:c>
      <x:c r="Q1206" s="2" t="str">
        <x:v>산업전환_외부사업관리Tool_260707_이너젠 수정_LJY_261013.xlsx</x:v>
      </x:c>
      <x:c r="R1206" s="2" t="str">
        <x:v>국내평가</x:v>
      </x:c>
      <x:c r="S1206" s="8" t="n">
        <x:v>1109</x:v>
      </x:c>
      <x:c r="T1206" s="2" t="str">
        <x:v>2023년 처리</x:v>
      </x:c>
      <x:c r="U1206" s="2" t="str">
        <x:v>2023 배정: 2023년 처리</x:v>
      </x:c>
      <x:c r="V1206" s="2" t="str">
        <x:v>2023-09-05</x:v>
      </x:c>
      <x:c r="W1206" s="2" t="str">
        <x:v>담당기관 확인</x:v>
      </x:c>
      <x:c r="X1206" s="2" t="str">
        <x:v>원본·배정 기록 확인</x:v>
      </x:c>
      <x:c r="Y1206" s="2" t="str">
        <x:v>ad210cd9ec132cfd447541c8984dc53d30aff0f4fb2dc92d254d49275cc55976</x:v>
      </x:c>
      <x:c r="Z1206" s="2" t="n">
        <x:f>SUBTOTAL(103,A1206)</x:f>
        <x:v>1</x:v>
      </x:c>
      <x:c r="AA1206" s="2" t="str">
        <x:f>IF(K1206&lt;&gt;"미종결 표시","대상 아님",IF(N1206="","신청일 확인",IF(NOT(ISNUMBER('종합 현황'!$H$5)),"관찰기준 확인",IF('종합 현황'!$H$5&lt;1,"관찰기준 확인",IF(N1206&gt;'종합 현황'!$H$5,"내부 관찰 대상","내부 관찰일 이하")))))</x:f>
        <x:v>내부 관찰 대상</x:v>
      </x:c>
      <x:c r="AB1206" s="2"/>
    </x:row>
    <x:row r="1207" ht="42" customHeight="1">
      <x:c r="A1207" s="2" t="str">
        <x:v>8f60f2d4b96c202c4a40519f</x:v>
      </x:c>
      <x:c r="B1207" s="2" t="str">
        <x:v>사업 평가</x:v>
      </x:c>
      <x:c r="C1207" s="2" t="str">
        <x:v>국내</x:v>
      </x:c>
      <x:c r="D1207" s="7" t="str">
        <x:v>화성시 LED 도로조명 교체를 통한 온실가스 감축사업</x:v>
      </x:c>
      <x:c r="E1207" s="2" t="str">
        <x:v>1068</x:v>
      </x:c>
      <x:c r="F1207" s="2" t="str">
        <x:v>2023-09-01</x:v>
      </x:c>
      <x:c r="G1207" s="2" t="str">
        <x:v>2023</x:v>
      </x:c>
      <x:c r="H1207" s="2" t="str">
        <x:v>09</x:v>
      </x:c>
      <x:c r="I1207" s="2" t="str">
        <x:v>승인</x:v>
      </x:c>
      <x:c r="J1207" s="2" t="str">
        <x:v>심의승인</x:v>
      </x:c>
      <x:c r="K1207" s="2" t="str">
        <x:f>IF(OR(J1207="심의승인",J1207="반려",J1207="반려완료",J1207="심의완료"),"종결 표시",IF(OR(J1207="기후부협의",J1207="문서재제출요청",J1207="보류",J1207="보완요청",J1207="보완완료",J1207="평가중",J1207="반려요청",J1207="평가필요",LEFT(J1207,5)="보완요청("),"미종결 표시","상태 확인 필요"))</x:f>
        <x:v>종결 표시</x:v>
      </x:c>
      <x:c r="L1207" s="2" t="str">
        <x:v>에코시안_전윤호</x:v>
      </x:c>
      <x:c r="M1207" s="2"/>
      <x:c r="N1207" s="8" t="n">
        <x:f>DATE(2026,10,15)-DATE(2023,9,1)</x:f>
        <x:v>1140</x:v>
      </x:c>
      <x:c r="O1207" s="2" t="str">
        <x:v>생략</x:v>
      </x:c>
      <x:c r="P1207" s="2" t="str">
        <x:v>공공부문 비규제 사업으로 확인되어 평가 보류, 2025낸 해결</x:v>
      </x:c>
      <x:c r="Q1207" s="2" t="str">
        <x:v>산업전환_외부사업관리Tool_260707_이너젠 수정_LJY_261013.xlsx</x:v>
      </x:c>
      <x:c r="R1207" s="2" t="str">
        <x:v>국내평가</x:v>
      </x:c>
      <x:c r="S1207" s="8" t="n">
        <x:v>1110</x:v>
      </x:c>
      <x:c r="T1207" s="2" t="str">
        <x:v>(9/12)</x:v>
      </x:c>
      <x:c r="U1207" s="2" t="str">
        <x:v>2023 배정: (9/12) / 2024 배정: (2/5)</x:v>
      </x:c>
      <x:c r="V1207" s="2" t="str">
        <x:v>2025-12-08</x:v>
      </x:c>
      <x:c r="W1207" s="2" t="str"/>
      <x:c r="X1207" s="2" t="str">
        <x:v>종결 근거 보관</x:v>
      </x:c>
      <x:c r="Y1207" s="2" t="str">
        <x:v>ad210cd9ec132cfd447541c8984dc53d30aff0f4fb2dc92d254d49275cc55976</x:v>
      </x:c>
      <x:c r="Z1207" s="2" t="n">
        <x:f>SUBTOTAL(103,A1207)</x:f>
        <x:v>1</x:v>
      </x:c>
      <x:c r="AA1207" s="2" t="str">
        <x:f>IF(K1207&lt;&gt;"미종결 표시","대상 아님",IF(N1207="","신청일 확인",IF(NOT(ISNUMBER('종합 현황'!$H$5)),"관찰기준 확인",IF('종합 현황'!$H$5&lt;1,"관찰기준 확인",IF(N1207&gt;'종합 현황'!$H$5,"내부 관찰 대상","내부 관찰일 이하")))))</x:f>
        <x:v>대상 아님</x:v>
      </x:c>
      <x:c r="AB1207" s="2"/>
    </x:row>
    <x:row r="1208" ht="42" customHeight="1">
      <x:c r="A1208" s="2" t="str">
        <x:v>712d84681eaa9fc5380fed8e</x:v>
      </x:c>
      <x:c r="B1208" s="2" t="str">
        <x:v>사업 평가</x:v>
      </x:c>
      <x:c r="C1208" s="2" t="str">
        <x:v>국내</x:v>
      </x:c>
      <x:c r="D1208" s="7" t="str">
        <x:v>순천시 LED 도로조명 교체를 통한 온실가스 감축사업</x:v>
      </x:c>
      <x:c r="E1208" s="2" t="str">
        <x:v>1069</x:v>
      </x:c>
      <x:c r="F1208" s="2" t="str">
        <x:v>2023-09-04</x:v>
      </x:c>
      <x:c r="G1208" s="2" t="str">
        <x:v>2023</x:v>
      </x:c>
      <x:c r="H1208" s="2" t="str">
        <x:v>09</x:v>
      </x:c>
      <x:c r="I1208" s="2" t="str">
        <x:v>승인</x:v>
      </x:c>
      <x:c r="J1208" s="2" t="str">
        <x:v>심의승인</x:v>
      </x:c>
      <x:c r="K1208" s="2" t="str">
        <x:f>IF(OR(J1208="심의승인",J1208="반려",J1208="반려완료",J1208="심의완료"),"종결 표시",IF(OR(J1208="기후부협의",J1208="문서재제출요청",J1208="보류",J1208="보완요청",J1208="보완완료",J1208="평가중",J1208="반려요청",J1208="평가필요",LEFT(J1208,5)="보완요청("),"미종결 표시","상태 확인 필요"))</x:f>
        <x:v>종결 표시</x:v>
      </x:c>
      <x:c r="L1208" s="2" t="str">
        <x:v>에코시안_전윤호</x:v>
      </x:c>
      <x:c r="M1208" s="2"/>
      <x:c r="N1208" s="8" t="n">
        <x:f>DATE(2026,10,15)-DATE(2023,9,4)</x:f>
        <x:v>1137</x:v>
      </x:c>
      <x:c r="O1208" s="2" t="str">
        <x:v>O(24.06)</x:v>
      </x:c>
      <x:c r="P1208" s="2" t="str">
        <x:v>3분기 인증위 승인</x:v>
      </x:c>
      <x:c r="Q1208" s="2" t="str">
        <x:v>산업전환_외부사업관리Tool_260707_이너젠 수정_LJY_261013.xlsx</x:v>
      </x:c>
      <x:c r="R1208" s="2" t="str">
        <x:v>국내평가</x:v>
      </x:c>
      <x:c r="S1208" s="8" t="n">
        <x:v>1111</x:v>
      </x:c>
      <x:c r="T1208" s="2" t="str">
        <x:v>(9/12)</x:v>
      </x:c>
      <x:c r="U1208" s="2" t="str">
        <x:v>2023 배정: (9/12) / 2024 배정: (2/5)</x:v>
      </x:c>
      <x:c r="V1208" s="2" t="str">
        <x:v>2025-12-08</x:v>
      </x:c>
      <x:c r="W1208" s="2" t="str"/>
      <x:c r="X1208" s="2" t="str">
        <x:v>종결 근거 보관</x:v>
      </x:c>
      <x:c r="Y1208" s="2" t="str">
        <x:v>ad210cd9ec132cfd447541c8984dc53d30aff0f4fb2dc92d254d49275cc55976</x:v>
      </x:c>
      <x:c r="Z1208" s="2" t="n">
        <x:f>SUBTOTAL(103,A1208)</x:f>
        <x:v>1</x:v>
      </x:c>
      <x:c r="AA1208" s="2" t="str">
        <x:f>IF(K1208&lt;&gt;"미종결 표시","대상 아님",IF(N1208="","신청일 확인",IF(NOT(ISNUMBER('종합 현황'!$H$5)),"관찰기준 확인",IF('종합 현황'!$H$5&lt;1,"관찰기준 확인",IF(N1208&gt;'종합 현황'!$H$5,"내부 관찰 대상","내부 관찰일 이하")))))</x:f>
        <x:v>대상 아님</x:v>
      </x:c>
      <x:c r="AB1208" s="2"/>
    </x:row>
    <x:row r="1209" ht="42" customHeight="1">
      <x:c r="A1209" s="2" t="str">
        <x:v>ca4d315849b585a95c573410</x:v>
      </x:c>
      <x:c r="B1209" s="2" t="str">
        <x:v>사업 평가</x:v>
      </x:c>
      <x:c r="C1209" s="2" t="str">
        <x:v>국내</x:v>
      </x:c>
      <x:c r="D1209" s="7" t="str">
        <x:v>㈜금강피씨의 버너 교체를 통한 연료전환(부생연료 → LPG)  온실가스(CO2) 배출 감축 사업</x:v>
      </x:c>
      <x:c r="E1209" s="2" t="str">
        <x:v>1070</x:v>
      </x:c>
      <x:c r="F1209" s="2" t="str">
        <x:v>2023-11-01</x:v>
      </x:c>
      <x:c r="G1209" s="2" t="str">
        <x:v>2023</x:v>
      </x:c>
      <x:c r="H1209" s="2" t="str">
        <x:v>11</x:v>
      </x:c>
      <x:c r="I1209" s="2" t="str">
        <x:v>보완1차_보완중</x:v>
      </x:c>
      <x:c r="J1209" s="2" t="str">
        <x:v>보완요청</x:v>
      </x:c>
      <x:c r="K1209" s="2" t="str">
        <x:f>IF(OR(J1209="심의승인",J1209="반려",J1209="반려완료",J1209="심의완료"),"종결 표시",IF(OR(J1209="기후부협의",J1209="문서재제출요청",J1209="보류",J1209="보완요청",J1209="보완완료",J1209="평가중",J1209="반려요청",J1209="평가필요",LEFT(J1209,5)="보완요청("),"미종결 표시","상태 확인 필요"))</x:f>
        <x:v>미종결 표시</x:v>
      </x:c>
      <x:c r="L1209" s="2" t="str">
        <x:v>KECM_이태준</x:v>
      </x:c>
      <x:c r="M1209" s="2" t="n">
        <x:v>1</x:v>
      </x:c>
      <x:c r="N1209" s="8" t="n">
        <x:f>DATE(2026,10,15)-DATE(2023,11,1)</x:f>
        <x:v>1079</x:v>
      </x:c>
      <x:c r="O1209" s="2" t="str">
        <x:v>생략</x:v>
      </x:c>
      <x:c r="P1209" s="2"/>
      <x:c r="Q1209" s="2" t="str">
        <x:v>산업전환_외부사업관리Tool_260707_이너젠 수정_LJY_261013.xlsx</x:v>
      </x:c>
      <x:c r="R1209" s="2" t="str">
        <x:v>국내평가</x:v>
      </x:c>
      <x:c r="S1209" s="8" t="n">
        <x:v>1112</x:v>
      </x:c>
      <x:c r="T1209" s="2" t="str">
        <x:v>(11/17)</x:v>
      </x:c>
      <x:c r="U1209" s="2" t="str">
        <x:v>2023 배정: (11/17)</x:v>
      </x:c>
      <x:c r="V1209" s="2" t="str">
        <x:v>2023-12-12</x:v>
      </x:c>
      <x:c r="W1209" s="2" t="str"/>
      <x:c r="X1209" s="2" t="str">
        <x:v>보완 회신 일정 확인</x:v>
      </x:c>
      <x:c r="Y1209" s="2" t="str">
        <x:v>ad210cd9ec132cfd447541c8984dc53d30aff0f4fb2dc92d254d49275cc55976</x:v>
      </x:c>
      <x:c r="Z1209" s="2" t="n">
        <x:f>SUBTOTAL(103,A1209)</x:f>
        <x:v>1</x:v>
      </x:c>
      <x:c r="AA1209" s="2" t="str">
        <x:f>IF(K1209&lt;&gt;"미종결 표시","대상 아님",IF(N1209="","신청일 확인",IF(NOT(ISNUMBER('종합 현황'!$H$5)),"관찰기준 확인",IF('종합 현황'!$H$5&lt;1,"관찰기준 확인",IF(N1209&gt;'종합 현황'!$H$5,"내부 관찰 대상","내부 관찰일 이하")))))</x:f>
        <x:v>내부 관찰 대상</x:v>
      </x:c>
      <x:c r="AB1209" s="2"/>
    </x:row>
    <x:row r="1210" ht="42" customHeight="1">
      <x:c r="A1210" s="2" t="str">
        <x:v>385f1db182c5313595990d2b</x:v>
      </x:c>
      <x:c r="B1210" s="2" t="str">
        <x:v>사업 평가</x:v>
      </x:c>
      <x:c r="C1210" s="2" t="str">
        <x:v>국내</x:v>
      </x:c>
      <x:c r="D1210" s="7" t="str">
        <x:v>대일테크 외 3개사의 인버터 공기압축기 교체를 통한 온실가스 감축사업</x:v>
      </x:c>
      <x:c r="E1210" s="2" t="str">
        <x:v>1071</x:v>
      </x:c>
      <x:c r="F1210" s="2" t="str">
        <x:v>2023-11-08</x:v>
      </x:c>
      <x:c r="G1210" s="2" t="str">
        <x:v>2023</x:v>
      </x:c>
      <x:c r="H1210" s="2" t="str">
        <x:v>11</x:v>
      </x:c>
      <x:c r="I1210" s="2" t="str">
        <x:v>승인</x:v>
      </x:c>
      <x:c r="J1210" s="2" t="str">
        <x:v>심의승인</x:v>
      </x:c>
      <x:c r="K1210" s="2" t="str">
        <x:f>IF(OR(J1210="심의승인",J1210="반려",J1210="반려완료",J1210="심의완료"),"종결 표시",IF(OR(J1210="기후부협의",J1210="문서재제출요청",J1210="보류",J1210="보완요청",J1210="보완완료",J1210="평가중",J1210="반려요청",J1210="평가필요",LEFT(J1210,5)="보완요청("),"미종결 표시","상태 확인 필요"))</x:f>
        <x:v>종결 표시</x:v>
      </x:c>
      <x:c r="L1210" s="2" t="str">
        <x:v>에코시안_조영우</x:v>
      </x:c>
      <x:c r="M1210" s="2"/>
      <x:c r="N1210" s="8" t="n">
        <x:f>DATE(2026,10,15)-DATE(2023,11,8)</x:f>
        <x:v>1072</x:v>
      </x:c>
      <x:c r="O1210" s="2" t="str">
        <x:v>생략</x:v>
      </x:c>
      <x:c r="P1210" s="2"/>
      <x:c r="Q1210" s="2" t="str">
        <x:v>산업전환_외부사업관리Tool_260707_이너젠 수정_LJY_261013.xlsx</x:v>
      </x:c>
      <x:c r="R1210" s="2" t="str">
        <x:v>국내평가</x:v>
      </x:c>
      <x:c r="S1210" s="8" t="n">
        <x:v>1113</x:v>
      </x:c>
      <x:c r="T1210" s="2" t="str">
        <x:v>(11/17)</x:v>
      </x:c>
      <x:c r="U1210" s="2" t="str">
        <x:v>2023 배정: (11/17) / 2024 배정: (9/2),(9/26) / 2025 배정: (2/6),(4/9),(5/9)</x:v>
      </x:c>
      <x:c r="V1210" s="2" t="str">
        <x:v>2025-10-13</x:v>
      </x:c>
      <x:c r="W1210" s="2" t="str"/>
      <x:c r="X1210" s="2" t="str">
        <x:v>종결 근거 보관</x:v>
      </x:c>
      <x:c r="Y1210" s="2" t="str">
        <x:v>ad210cd9ec132cfd447541c8984dc53d30aff0f4fb2dc92d254d49275cc55976</x:v>
      </x:c>
      <x:c r="Z1210" s="2" t="n">
        <x:f>SUBTOTAL(103,A1210)</x:f>
        <x:v>1</x:v>
      </x:c>
      <x:c r="AA1210" s="2" t="str">
        <x:f>IF(K1210&lt;&gt;"미종결 표시","대상 아님",IF(N1210="","신청일 확인",IF(NOT(ISNUMBER('종합 현황'!$H$5)),"관찰기준 확인",IF('종합 현황'!$H$5&lt;1,"관찰기준 확인",IF(N1210&gt;'종합 현황'!$H$5,"내부 관찰 대상","내부 관찰일 이하")))))</x:f>
        <x:v>대상 아님</x:v>
      </x:c>
      <x:c r="AB1210" s="2"/>
    </x:row>
    <x:row r="1211" ht="42" customHeight="1">
      <x:c r="A1211" s="2" t="str">
        <x:v>62bd116609815d6e58bb8797</x:v>
      </x:c>
      <x:c r="B1211" s="2" t="str">
        <x:v>사업 평가</x:v>
      </x:c>
      <x:c r="C1211" s="2" t="str">
        <x:v>국내</x:v>
      </x:c>
      <x:c r="D1211" s="7" t="str">
        <x:v>(주)경성하이테크 외 5개사의 인버터 공기압축기 교체를 통한 온실가스 감축사업</x:v>
      </x:c>
      <x:c r="E1211" s="2" t="str">
        <x:v>1072</x:v>
      </x:c>
      <x:c r="F1211" s="2" t="str">
        <x:v>2023-11-08</x:v>
      </x:c>
      <x:c r="G1211" s="2" t="str">
        <x:v>2023</x:v>
      </x:c>
      <x:c r="H1211" s="2" t="str">
        <x:v>11</x:v>
      </x:c>
      <x:c r="I1211" s="2" t="str">
        <x:v>승인</x:v>
      </x:c>
      <x:c r="J1211" s="2" t="str">
        <x:v>심의승인</x:v>
      </x:c>
      <x:c r="K1211" s="2" t="str">
        <x:f>IF(OR(J1211="심의승인",J1211="반려",J1211="반려완료",J1211="심의완료"),"종결 표시",IF(OR(J1211="기후부협의",J1211="문서재제출요청",J1211="보류",J1211="보완요청",J1211="보완완료",J1211="평가중",J1211="반려요청",J1211="평가필요",LEFT(J1211,5)="보완요청("),"미종결 표시","상태 확인 필요"))</x:f>
        <x:v>종결 표시</x:v>
      </x:c>
      <x:c r="L1211" s="2" t="str">
        <x:v>에코시안_조영우</x:v>
      </x:c>
      <x:c r="M1211" s="2"/>
      <x:c r="N1211" s="8" t="n">
        <x:f>DATE(2026,10,15)-DATE(2023,11,8)</x:f>
        <x:v>1072</x:v>
      </x:c>
      <x:c r="O1211" s="2" t="str">
        <x:v>생략</x:v>
      </x:c>
      <x:c r="P1211" s="2"/>
      <x:c r="Q1211" s="2" t="str">
        <x:v>산업전환_외부사업관리Tool_260707_이너젠 수정_LJY_261013.xlsx</x:v>
      </x:c>
      <x:c r="R1211" s="2" t="str">
        <x:v>국내평가</x:v>
      </x:c>
      <x:c r="S1211" s="8" t="n">
        <x:v>1114</x:v>
      </x:c>
      <x:c r="T1211" s="2" t="str">
        <x:v>(11/17)</x:v>
      </x:c>
      <x:c r="U1211" s="2" t="str">
        <x:v>2023 배정: (11/17) / 2024 배정: (8/12) / 2025 배정: (2/6),(8/8)</x:v>
      </x:c>
      <x:c r="V1211" s="2" t="str">
        <x:v>2026-01-07</x:v>
      </x:c>
      <x:c r="W1211" s="2" t="str"/>
      <x:c r="X1211" s="2" t="str">
        <x:v>종결 근거 보관</x:v>
      </x:c>
      <x:c r="Y1211" s="2" t="str">
        <x:v>ad210cd9ec132cfd447541c8984dc53d30aff0f4fb2dc92d254d49275cc55976</x:v>
      </x:c>
      <x:c r="Z1211" s="2" t="n">
        <x:f>SUBTOTAL(103,A1211)</x:f>
        <x:v>1</x:v>
      </x:c>
      <x:c r="AA1211" s="2" t="str">
        <x:f>IF(K1211&lt;&gt;"미종결 표시","대상 아님",IF(N1211="","신청일 확인",IF(NOT(ISNUMBER('종합 현황'!$H$5)),"관찰기준 확인",IF('종합 현황'!$H$5&lt;1,"관찰기준 확인",IF(N1211&gt;'종합 현황'!$H$5,"내부 관찰 대상","내부 관찰일 이하")))))</x:f>
        <x:v>대상 아님</x:v>
      </x:c>
      <x:c r="AB1211" s="2"/>
    </x:row>
    <x:row r="1212" ht="42" customHeight="1">
      <x:c r="A1212" s="2" t="str">
        <x:v>6e4d9ae47b46cd07335f90e5</x:v>
      </x:c>
      <x:c r="B1212" s="2" t="str">
        <x:v>사업 평가</x:v>
      </x:c>
      <x:c r="C1212" s="2" t="str">
        <x:v>국내</x:v>
      </x:c>
      <x:c r="D1212" s="7" t="str">
        <x:v>(주)금강부러쉬 외 5개사의 인버터 공기압축기 교체를 통한 온실가스 감축사업</x:v>
      </x:c>
      <x:c r="E1212" s="2" t="str">
        <x:v>1073</x:v>
      </x:c>
      <x:c r="F1212" s="2" t="str">
        <x:v>2023-11-08</x:v>
      </x:c>
      <x:c r="G1212" s="2" t="str">
        <x:v>2023</x:v>
      </x:c>
      <x:c r="H1212" s="2" t="str">
        <x:v>11</x:v>
      </x:c>
      <x:c r="I1212" s="2" t="str">
        <x:v>사업변경 신청</x:v>
      </x:c>
      <x:c r="J1212" s="2" t="str">
        <x:v>보완요청</x:v>
      </x:c>
      <x:c r="K1212" s="2" t="str">
        <x:f>IF(OR(J1212="심의승인",J1212="반려",J1212="반려완료",J1212="심의완료"),"종결 표시",IF(OR(J1212="기후부협의",J1212="문서재제출요청",J1212="보류",J1212="보완요청",J1212="보완완료",J1212="평가중",J1212="반려요청",J1212="평가필요",LEFT(J1212,5)="보완요청("),"미종결 표시","상태 확인 필요"))</x:f>
        <x:v>미종결 표시</x:v>
      </x:c>
      <x:c r="L1212" s="2" t="str">
        <x:v>에코시안_정다윤</x:v>
      </x:c>
      <x:c r="M1212" s="2"/>
      <x:c r="N1212" s="8" t="n">
        <x:f>DATE(2026,10,15)-DATE(2023,11,8)</x:f>
        <x:v>1072</x:v>
      </x:c>
      <x:c r="O1212" s="2" t="str">
        <x:v>생략</x:v>
      </x:c>
      <x:c r="P1212" s="2" t="str">
        <x:v>사업계획 변경 불가한 사항으로, 공문 수령 후 반려 필요</x:v>
      </x:c>
      <x:c r="Q1212" s="2" t="str">
        <x:v>산업전환_외부사업관리Tool_260707_이너젠 수정_LJY_261013.xlsx</x:v>
      </x:c>
      <x:c r="R1212" s="2" t="str">
        <x:v>국내평가</x:v>
      </x:c>
      <x:c r="S1212" s="8" t="n">
        <x:v>1115</x:v>
      </x:c>
      <x:c r="T1212" s="2" t="str">
        <x:v>(11/17)</x:v>
      </x:c>
      <x:c r="U1212" s="2" t="str">
        <x:v>2023 배정: (11/17) / 2024 배정: (8/12) / 2025 배정: (2/6),(5/9)</x:v>
      </x:c>
      <x:c r="V1212" s="2" t="str">
        <x:v>2026-03-06</x:v>
      </x:c>
      <x:c r="W1212" s="2" t="str"/>
      <x:c r="X1212" s="2" t="str">
        <x:v>보완 회신 일정 확인</x:v>
      </x:c>
      <x:c r="Y1212" s="2" t="str">
        <x:v>ad210cd9ec132cfd447541c8984dc53d30aff0f4fb2dc92d254d49275cc55976</x:v>
      </x:c>
      <x:c r="Z1212" s="2" t="n">
        <x:f>SUBTOTAL(103,A1212)</x:f>
        <x:v>1</x:v>
      </x:c>
      <x:c r="AA1212" s="2" t="str">
        <x:f>IF(K1212&lt;&gt;"미종결 표시","대상 아님",IF(N1212="","신청일 확인",IF(NOT(ISNUMBER('종합 현황'!$H$5)),"관찰기준 확인",IF('종합 현황'!$H$5&lt;1,"관찰기준 확인",IF(N1212&gt;'종합 현황'!$H$5,"내부 관찰 대상","내부 관찰일 이하")))))</x:f>
        <x:v>내부 관찰 대상</x:v>
      </x:c>
      <x:c r="AB1212" s="2"/>
    </x:row>
    <x:row r="1213" ht="42" customHeight="1">
      <x:c r="A1213" s="2" t="str">
        <x:v>9f9009826e8e105836ac5641</x:v>
      </x:c>
      <x:c r="B1213" s="2" t="str">
        <x:v>사업 평가</x:v>
      </x:c>
      <x:c r="C1213" s="2" t="str">
        <x:v>국내</x:v>
      </x:c>
      <x:c r="D1213" s="7" t="str">
        <x:v>(주)대산금속 사봉공장 외 4개사의 인버터 공기압축기 교체를 통한 온실가스 감축사업</x:v>
      </x:c>
      <x:c r="E1213" s="2" t="str">
        <x:v>1074</x:v>
      </x:c>
      <x:c r="F1213" s="2" t="str">
        <x:v>2023-11-08</x:v>
      </x:c>
      <x:c r="G1213" s="2" t="str">
        <x:v>2023</x:v>
      </x:c>
      <x:c r="H1213" s="2" t="str">
        <x:v>11</x:v>
      </x:c>
      <x:c r="I1213" s="2" t="str">
        <x:v>승인</x:v>
      </x:c>
      <x:c r="J1213" s="2" t="str">
        <x:v>심의승인</x:v>
      </x:c>
      <x:c r="K1213" s="2" t="str">
        <x:f>IF(OR(J1213="심의승인",J1213="반려",J1213="반려완료",J1213="심의완료"),"종결 표시",IF(OR(J1213="기후부협의",J1213="문서재제출요청",J1213="보류",J1213="보완요청",J1213="보완완료",J1213="평가중",J1213="반려요청",J1213="평가필요",LEFT(J1213,5)="보완요청("),"미종결 표시","상태 확인 필요"))</x:f>
        <x:v>종결 표시</x:v>
      </x:c>
      <x:c r="L1213" s="2" t="str">
        <x:v>에코시안_정다윤</x:v>
      </x:c>
      <x:c r="M1213" s="2"/>
      <x:c r="N1213" s="8" t="n">
        <x:f>DATE(2026,10,15)-DATE(2023,11,8)</x:f>
        <x:v>1072</x:v>
      </x:c>
      <x:c r="O1213" s="2" t="str">
        <x:v>생략</x:v>
      </x:c>
      <x:c r="P1213" s="2"/>
      <x:c r="Q1213" s="2" t="str">
        <x:v>산업전환_외부사업관리Tool_260707_이너젠 수정_LJY_261013.xlsx</x:v>
      </x:c>
      <x:c r="R1213" s="2" t="str">
        <x:v>국내평가</x:v>
      </x:c>
      <x:c r="S1213" s="8" t="n">
        <x:v>1116</x:v>
      </x:c>
      <x:c r="T1213" s="2" t="str">
        <x:v>(11/17)</x:v>
      </x:c>
      <x:c r="U1213" s="2" t="str">
        <x:v>2023 배정: (11/17) / 2024 배정: (8/12) / 2025 배정: (2/6),(5/30),(8/8),(9/16)</x:v>
      </x:c>
      <x:c r="V1213" s="2" t="str">
        <x:v>2026-09-09</x:v>
      </x:c>
      <x:c r="W1213" s="2" t="str"/>
      <x:c r="X1213" s="2" t="str">
        <x:v>종결 근거 보관</x:v>
      </x:c>
      <x:c r="Y1213" s="2" t="str">
        <x:v>ad210cd9ec132cfd447541c8984dc53d30aff0f4fb2dc92d254d49275cc55976</x:v>
      </x:c>
      <x:c r="Z1213" s="2" t="n">
        <x:f>SUBTOTAL(103,A1213)</x:f>
        <x:v>1</x:v>
      </x:c>
      <x:c r="AA1213" s="2" t="str">
        <x:f>IF(K1213&lt;&gt;"미종결 표시","대상 아님",IF(N1213="","신청일 확인",IF(NOT(ISNUMBER('종합 현황'!$H$5)),"관찰기준 확인",IF('종합 현황'!$H$5&lt;1,"관찰기준 확인",IF(N1213&gt;'종합 현황'!$H$5,"내부 관찰 대상","내부 관찰일 이하")))))</x:f>
        <x:v>대상 아님</x:v>
      </x:c>
      <x:c r="AB1213" s="2"/>
    </x:row>
    <x:row r="1214" ht="42" customHeight="1">
      <x:c r="A1214" s="2" t="str">
        <x:v>dda2ec042401500a6f804b23</x:v>
      </x:c>
      <x:c r="B1214" s="2" t="str">
        <x:v>사업 평가</x:v>
      </x:c>
      <x:c r="C1214" s="2" t="str">
        <x:v>국내</x:v>
      </x:c>
      <x:c r="D1214" s="7" t="str">
        <x:v>(주)대립 외 4개사의 인버터 공기압축기 교체를 통한 온실가스 감축사업</x:v>
      </x:c>
      <x:c r="E1214" s="2" t="str">
        <x:v>1075</x:v>
      </x:c>
      <x:c r="F1214" s="2" t="str">
        <x:v>2023-11-08</x:v>
      </x:c>
      <x:c r="G1214" s="2" t="str">
        <x:v>2023</x:v>
      </x:c>
      <x:c r="H1214" s="2" t="str">
        <x:v>11</x:v>
      </x:c>
      <x:c r="I1214" s="2" t="str">
        <x:v>승인</x:v>
      </x:c>
      <x:c r="J1214" s="2" t="str">
        <x:v>심의승인</x:v>
      </x:c>
      <x:c r="K1214" s="2" t="str">
        <x:f>IF(OR(J1214="심의승인",J1214="반려",J1214="반려완료",J1214="심의완료"),"종결 표시",IF(OR(J1214="기후부협의",J1214="문서재제출요청",J1214="보류",J1214="보완요청",J1214="보완완료",J1214="평가중",J1214="반려요청",J1214="평가필요",LEFT(J1214,5)="보완요청("),"미종결 표시","상태 확인 필요"))</x:f>
        <x:v>종결 표시</x:v>
      </x:c>
      <x:c r="L1214" s="2" t="str">
        <x:v>에코시안_전윤호</x:v>
      </x:c>
      <x:c r="M1214" s="2"/>
      <x:c r="N1214" s="8" t="n">
        <x:f>DATE(2026,10,15)-DATE(2023,11,8)</x:f>
        <x:v>1072</x:v>
      </x:c>
      <x:c r="O1214" s="2" t="str">
        <x:v>생략</x:v>
      </x:c>
      <x:c r="P1214" s="2"/>
      <x:c r="Q1214" s="2" t="str">
        <x:v>산업전환_외부사업관리Tool_260707_이너젠 수정_LJY_261013.xlsx</x:v>
      </x:c>
      <x:c r="R1214" s="2" t="str">
        <x:v>국내평가</x:v>
      </x:c>
      <x:c r="S1214" s="8" t="n">
        <x:v>1117</x:v>
      </x:c>
      <x:c r="T1214" s="2" t="str">
        <x:v>(11/17)</x:v>
      </x:c>
      <x:c r="U1214" s="2" t="str">
        <x:v>2023 배정: (11/17) / 2024 배정: (8/12) / 2025 배정: (2/6),(5/9)</x:v>
      </x:c>
      <x:c r="V1214" s="2" t="str">
        <x:v>2025-10-31</x:v>
      </x:c>
      <x:c r="W1214" s="2" t="str"/>
      <x:c r="X1214" s="2" t="str">
        <x:v>종결 근거 보관</x:v>
      </x:c>
      <x:c r="Y1214" s="2" t="str">
        <x:v>ad210cd9ec132cfd447541c8984dc53d30aff0f4fb2dc92d254d49275cc55976</x:v>
      </x:c>
      <x:c r="Z1214" s="2" t="n">
        <x:f>SUBTOTAL(103,A1214)</x:f>
        <x:v>1</x:v>
      </x:c>
      <x:c r="AA1214" s="2" t="str">
        <x:f>IF(K1214&lt;&gt;"미종결 표시","대상 아님",IF(N1214="","신청일 확인",IF(NOT(ISNUMBER('종합 현황'!$H$5)),"관찰기준 확인",IF('종합 현황'!$H$5&lt;1,"관찰기준 확인",IF(N1214&gt;'종합 현황'!$H$5,"내부 관찰 대상","내부 관찰일 이하")))))</x:f>
        <x:v>대상 아님</x:v>
      </x:c>
      <x:c r="AB1214" s="2"/>
    </x:row>
    <x:row r="1215" ht="42" customHeight="1">
      <x:c r="A1215" s="2" t="str">
        <x:v>453da510fc5cbd66d2fa5fda</x:v>
      </x:c>
      <x:c r="B1215" s="2" t="str">
        <x:v>사업 평가</x:v>
      </x:c>
      <x:c r="C1215" s="2" t="str">
        <x:v>국내</x:v>
      </x:c>
      <x:c r="D1215" s="7" t="str">
        <x:v>대영에스앤씨(주) 외 4개사의 인버터 공기압축기 교체를 통한 온실가스 감축사업</x:v>
      </x:c>
      <x:c r="E1215" s="2" t="str">
        <x:v>1076</x:v>
      </x:c>
      <x:c r="F1215" s="2" t="str">
        <x:v>2023-11-08</x:v>
      </x:c>
      <x:c r="G1215" s="2" t="str">
        <x:v>2023</x:v>
      </x:c>
      <x:c r="H1215" s="2" t="str">
        <x:v>11</x:v>
      </x:c>
      <x:c r="I1215" s="2" t="str">
        <x:v>승인</x:v>
      </x:c>
      <x:c r="J1215" s="2" t="str">
        <x:v>심의승인</x:v>
      </x:c>
      <x:c r="K1215" s="2" t="str">
        <x:f>IF(OR(J1215="심의승인",J1215="반려",J1215="반려완료",J1215="심의완료"),"종결 표시",IF(OR(J1215="기후부협의",J1215="문서재제출요청",J1215="보류",J1215="보완요청",J1215="보완완료",J1215="평가중",J1215="반려요청",J1215="평가필요",LEFT(J1215,5)="보완요청("),"미종결 표시","상태 확인 필요"))</x:f>
        <x:v>종결 표시</x:v>
      </x:c>
      <x:c r="L1215" s="2" t="str">
        <x:v>KECM_이태준</x:v>
      </x:c>
      <x:c r="M1215" s="2"/>
      <x:c r="N1215" s="8" t="n">
        <x:f>DATE(2026,10,15)-DATE(2023,11,8)</x:f>
        <x:v>1072</x:v>
      </x:c>
      <x:c r="O1215" s="2" t="str">
        <x:v>생략</x:v>
      </x:c>
      <x:c r="P1215" s="2"/>
      <x:c r="Q1215" s="2" t="str">
        <x:v>산업전환_외부사업관리Tool_260707_이너젠 수정_LJY_261013.xlsx</x:v>
      </x:c>
      <x:c r="R1215" s="2" t="str">
        <x:v>국내평가</x:v>
      </x:c>
      <x:c r="S1215" s="8" t="n">
        <x:v>1118</x:v>
      </x:c>
      <x:c r="T1215" s="2" t="str">
        <x:v>(11/17)</x:v>
      </x:c>
      <x:c r="U1215" s="2" t="str">
        <x:v>2023 배정: (11/17) / 2024 배정: (9/2),(9/26) / 2025 배정: (2/6),(5/9),(6/26),(8/8),(10/16),(11/10) / 2026(사전): (1/14),(2/3),(2/26)</x:v>
      </x:c>
      <x:c r="V1215" s="2" t="str">
        <x:v>2026-09-09</x:v>
      </x:c>
      <x:c r="W1215" s="2" t="str"/>
      <x:c r="X1215" s="2" t="str">
        <x:v>종결 근거 보관</x:v>
      </x:c>
      <x:c r="Y1215" s="2" t="str">
        <x:v>ad210cd9ec132cfd447541c8984dc53d30aff0f4fb2dc92d254d49275cc55976</x:v>
      </x:c>
      <x:c r="Z1215" s="2" t="n">
        <x:f>SUBTOTAL(103,A1215)</x:f>
        <x:v>1</x:v>
      </x:c>
      <x:c r="AA1215" s="2" t="str">
        <x:f>IF(K1215&lt;&gt;"미종결 표시","대상 아님",IF(N1215="","신청일 확인",IF(NOT(ISNUMBER('종합 현황'!$H$5)),"관찰기준 확인",IF('종합 현황'!$H$5&lt;1,"관찰기준 확인",IF(N1215&gt;'종합 현황'!$H$5,"내부 관찰 대상","내부 관찰일 이하")))))</x:f>
        <x:v>대상 아님</x:v>
      </x:c>
      <x:c r="AB1215" s="2"/>
    </x:row>
    <x:row r="1216" ht="42" customHeight="1">
      <x:c r="A1216" s="2" t="str">
        <x:v>8473f6cfe46d5d5f0fd5b9e6</x:v>
      </x:c>
      <x:c r="B1216" s="2" t="str">
        <x:v>사업 평가</x:v>
      </x:c>
      <x:c r="C1216" s="2" t="str">
        <x:v>국내</x:v>
      </x:c>
      <x:c r="D1216" s="7" t="str">
        <x:v>주)경한코리아 외 3개사의 인버터 공기압축기 교체를 통한 온실가스 감축사업</x:v>
      </x:c>
      <x:c r="E1216" s="2" t="str">
        <x:v>1077</x:v>
      </x:c>
      <x:c r="F1216" s="2" t="str">
        <x:v>2023-11-08</x:v>
      </x:c>
      <x:c r="G1216" s="2" t="str">
        <x:v>2023</x:v>
      </x:c>
      <x:c r="H1216" s="2" t="str">
        <x:v>11</x:v>
      </x:c>
      <x:c r="I1216" s="2" t="str">
        <x:v>승인</x:v>
      </x:c>
      <x:c r="J1216" s="2" t="str">
        <x:v>심의승인</x:v>
      </x:c>
      <x:c r="K1216" s="2" t="str">
        <x:f>IF(OR(J1216="심의승인",J1216="반려",J1216="반려완료",J1216="심의완료"),"종결 표시",IF(OR(J1216="기후부협의",J1216="문서재제출요청",J1216="보류",J1216="보완요청",J1216="보완완료",J1216="평가중",J1216="반려요청",J1216="평가필요",LEFT(J1216,5)="보완요청("),"미종결 표시","상태 확인 필요"))</x:f>
        <x:v>종결 표시</x:v>
      </x:c>
      <x:c r="L1216" s="2" t="str">
        <x:v>KECM_이태준</x:v>
      </x:c>
      <x:c r="M1216" s="2"/>
      <x:c r="N1216" s="8" t="n">
        <x:f>DATE(2026,10,15)-DATE(2023,11,8)</x:f>
        <x:v>1072</x:v>
      </x:c>
      <x:c r="O1216" s="2" t="str">
        <x:v>생략</x:v>
      </x:c>
      <x:c r="P1216" s="2"/>
      <x:c r="Q1216" s="2" t="str">
        <x:v>산업전환_외부사업관리Tool_260707_이너젠 수정_LJY_261013.xlsx</x:v>
      </x:c>
      <x:c r="R1216" s="2" t="str">
        <x:v>국내평가</x:v>
      </x:c>
      <x:c r="S1216" s="8" t="n">
        <x:v>1119</x:v>
      </x:c>
      <x:c r="T1216" s="2" t="str">
        <x:v>(11/17)</x:v>
      </x:c>
      <x:c r="U1216" s="2" t="str">
        <x:v>2023 배정: (11/17) / 2024 배정: (9/2),(9/26) / 2025 배정: (3/5),(5/30),(7/18)</x:v>
      </x:c>
      <x:c r="V1216" s="2" t="str">
        <x:v>2026-01-08</x:v>
      </x:c>
      <x:c r="W1216" s="2" t="str"/>
      <x:c r="X1216" s="2" t="str">
        <x:v>종결 근거 보관</x:v>
      </x:c>
      <x:c r="Y1216" s="2" t="str">
        <x:v>ad210cd9ec132cfd447541c8984dc53d30aff0f4fb2dc92d254d49275cc55976</x:v>
      </x:c>
      <x:c r="Z1216" s="2" t="n">
        <x:f>SUBTOTAL(103,A1216)</x:f>
        <x:v>1</x:v>
      </x:c>
      <x:c r="AA1216" s="2" t="str">
        <x:f>IF(K1216&lt;&gt;"미종결 표시","대상 아님",IF(N1216="","신청일 확인",IF(NOT(ISNUMBER('종합 현황'!$H$5)),"관찰기준 확인",IF('종합 현황'!$H$5&lt;1,"관찰기준 확인",IF(N1216&gt;'종합 현황'!$H$5,"내부 관찰 대상","내부 관찰일 이하")))))</x:f>
        <x:v>대상 아님</x:v>
      </x:c>
      <x:c r="AB1216" s="2"/>
    </x:row>
    <x:row r="1217" ht="42" customHeight="1">
      <x:c r="A1217" s="2" t="str">
        <x:v>4aa83f38a300cb7a6290bfc8</x:v>
      </x:c>
      <x:c r="B1217" s="2" t="str">
        <x:v>사업 평가</x:v>
      </x:c>
      <x:c r="C1217" s="2" t="str">
        <x:v>국내</x:v>
      </x:c>
      <x:c r="D1217" s="7" t="str">
        <x:v>(주)동호 외 3개사의 인버터 공기압축기 교체를 통한 온실가스 감축사업</x:v>
      </x:c>
      <x:c r="E1217" s="2" t="str">
        <x:v>1078</x:v>
      </x:c>
      <x:c r="F1217" s="2" t="str">
        <x:v>2023-11-08</x:v>
      </x:c>
      <x:c r="G1217" s="2" t="str">
        <x:v>2023</x:v>
      </x:c>
      <x:c r="H1217" s="2" t="str">
        <x:v>11</x:v>
      </x:c>
      <x:c r="I1217" s="2" t="str">
        <x:v>승인</x:v>
      </x:c>
      <x:c r="J1217" s="2" t="str">
        <x:v>심의승인</x:v>
      </x:c>
      <x:c r="K1217" s="2" t="str">
        <x:f>IF(OR(J1217="심의승인",J1217="반려",J1217="반려완료",J1217="심의완료"),"종결 표시",IF(OR(J1217="기후부협의",J1217="문서재제출요청",J1217="보류",J1217="보완요청",J1217="보완완료",J1217="평가중",J1217="반려요청",J1217="평가필요",LEFT(J1217,5)="보완요청("),"미종결 표시","상태 확인 필요"))</x:f>
        <x:v>종결 표시</x:v>
      </x:c>
      <x:c r="L1217" s="2" t="str">
        <x:v>KECM_이태준</x:v>
      </x:c>
      <x:c r="M1217" s="2"/>
      <x:c r="N1217" s="8" t="n">
        <x:f>DATE(2026,10,15)-DATE(2023,11,8)</x:f>
        <x:v>1072</x:v>
      </x:c>
      <x:c r="O1217" s="2" t="str">
        <x:v>생략</x:v>
      </x:c>
      <x:c r="P1217" s="2"/>
      <x:c r="Q1217" s="2" t="str">
        <x:v>산업전환_외부사업관리Tool_260707_이너젠 수정_LJY_261013.xlsx</x:v>
      </x:c>
      <x:c r="R1217" s="2" t="str">
        <x:v>국내평가</x:v>
      </x:c>
      <x:c r="S1217" s="8" t="n">
        <x:v>1120</x:v>
      </x:c>
      <x:c r="T1217" s="2" t="str">
        <x:v>(11/17)</x:v>
      </x:c>
      <x:c r="U1217" s="2" t="str">
        <x:v>2023 배정: (11/17) / 2024 배정: (8/12) / 2025 배정: (2/6),(5/30),(7/18)</x:v>
      </x:c>
      <x:c r="V1217" s="2" t="str">
        <x:v>2026-01-08</x:v>
      </x:c>
      <x:c r="W1217" s="2" t="str"/>
      <x:c r="X1217" s="2" t="str">
        <x:v>종결 근거 보관</x:v>
      </x:c>
      <x:c r="Y1217" s="2" t="str">
        <x:v>ad210cd9ec132cfd447541c8984dc53d30aff0f4fb2dc92d254d49275cc55976</x:v>
      </x:c>
      <x:c r="Z1217" s="2" t="n">
        <x:f>SUBTOTAL(103,A1217)</x:f>
        <x:v>1</x:v>
      </x:c>
      <x:c r="AA1217" s="2" t="str">
        <x:f>IF(K1217&lt;&gt;"미종결 표시","대상 아님",IF(N1217="","신청일 확인",IF(NOT(ISNUMBER('종합 현황'!$H$5)),"관찰기준 확인",IF('종합 현황'!$H$5&lt;1,"관찰기준 확인",IF(N1217&gt;'종합 현황'!$H$5,"내부 관찰 대상","내부 관찰일 이하")))))</x:f>
        <x:v>대상 아님</x:v>
      </x:c>
      <x:c r="AB1217" s="2"/>
    </x:row>
    <x:row r="1218" ht="42" customHeight="1">
      <x:c r="A1218" s="2" t="str">
        <x:v>732129037a2913abaaad4d28</x:v>
      </x:c>
      <x:c r="B1218" s="2" t="str">
        <x:v>사업 평가</x:v>
      </x:c>
      <x:c r="C1218" s="2" t="str">
        <x:v>국내</x:v>
      </x:c>
      <x:c r="D1218" s="7" t="str">
        <x:v>덕성인더스트리(주) 외 3개사의 인버터 공기압축기 교체를 통한 온실가스 감축사업</x:v>
      </x:c>
      <x:c r="E1218" s="2" t="str">
        <x:v>1079</x:v>
      </x:c>
      <x:c r="F1218" s="2" t="str">
        <x:v>2023-11-08</x:v>
      </x:c>
      <x:c r="G1218" s="2" t="str">
        <x:v>2023</x:v>
      </x:c>
      <x:c r="H1218" s="2" t="str">
        <x:v>11</x:v>
      </x:c>
      <x:c r="I1218" s="2" t="str">
        <x:v>승인</x:v>
      </x:c>
      <x:c r="J1218" s="2" t="str">
        <x:v>심의승인</x:v>
      </x:c>
      <x:c r="K1218" s="2" t="str">
        <x:f>IF(OR(J1218="심의승인",J1218="반려",J1218="반려완료",J1218="심의완료"),"종결 표시",IF(OR(J1218="기후부협의",J1218="문서재제출요청",J1218="보류",J1218="보완요청",J1218="보완완료",J1218="평가중",J1218="반려요청",J1218="평가필요",LEFT(J1218,5)="보완요청("),"미종결 표시","상태 확인 필요"))</x:f>
        <x:v>종결 표시</x:v>
      </x:c>
      <x:c r="L1218" s="2" t="str">
        <x:v>KECM_이태준</x:v>
      </x:c>
      <x:c r="M1218" s="2"/>
      <x:c r="N1218" s="8" t="n">
        <x:f>DATE(2026,10,15)-DATE(2023,11,8)</x:f>
        <x:v>1072</x:v>
      </x:c>
      <x:c r="O1218" s="2" t="str">
        <x:v>생략</x:v>
      </x:c>
      <x:c r="P1218" s="2"/>
      <x:c r="Q1218" s="2" t="str">
        <x:v>산업전환_외부사업관리Tool_260707_이너젠 수정_LJY_261013.xlsx</x:v>
      </x:c>
      <x:c r="R1218" s="2" t="str">
        <x:v>국내평가</x:v>
      </x:c>
      <x:c r="S1218" s="8" t="n">
        <x:v>1121</x:v>
      </x:c>
      <x:c r="T1218" s="2" t="str">
        <x:v>(11/17)</x:v>
      </x:c>
      <x:c r="U1218" s="2" t="str">
        <x:v>2023 배정: (11/17) / 2024 배정: (9/2),(9/26) / 2025 배정: (2/6),(5/30),(7/18)</x:v>
      </x:c>
      <x:c r="V1218" s="2" t="str">
        <x:v>2026-01-08</x:v>
      </x:c>
      <x:c r="W1218" s="2" t="str"/>
      <x:c r="X1218" s="2" t="str">
        <x:v>종결 근거 보관</x:v>
      </x:c>
      <x:c r="Y1218" s="2" t="str">
        <x:v>ad210cd9ec132cfd447541c8984dc53d30aff0f4fb2dc92d254d49275cc55976</x:v>
      </x:c>
      <x:c r="Z1218" s="2" t="n">
        <x:f>SUBTOTAL(103,A1218)</x:f>
        <x:v>1</x:v>
      </x:c>
      <x:c r="AA1218" s="2" t="str">
        <x:f>IF(K1218&lt;&gt;"미종결 표시","대상 아님",IF(N1218="","신청일 확인",IF(NOT(ISNUMBER('종합 현황'!$H$5)),"관찰기준 확인",IF('종합 현황'!$H$5&lt;1,"관찰기준 확인",IF(N1218&gt;'종합 현황'!$H$5,"내부 관찰 대상","내부 관찰일 이하")))))</x:f>
        <x:v>대상 아님</x:v>
      </x:c>
      <x:c r="AB1218" s="2"/>
    </x:row>
    <x:row r="1219" ht="42" customHeight="1">
      <x:c r="A1219" s="2" t="str">
        <x:v>ce43f412132229561f78e50b</x:v>
      </x:c>
      <x:c r="B1219" s="2" t="str">
        <x:v>사업 평가</x:v>
      </x:c>
      <x:c r="C1219" s="2" t="str">
        <x:v>국내</x:v>
      </x:c>
      <x:c r="D1219" s="7" t="str">
        <x:v>주식회사 대한테크 외 2개사의 인버터 공기압축기 교체를 통한 온실가스 감축사업</x:v>
      </x:c>
      <x:c r="E1219" s="2" t="str">
        <x:v>1080</x:v>
      </x:c>
      <x:c r="F1219" s="2" t="str">
        <x:v>2023-11-08</x:v>
      </x:c>
      <x:c r="G1219" s="2" t="str">
        <x:v>2023</x:v>
      </x:c>
      <x:c r="H1219" s="2" t="str">
        <x:v>11</x:v>
      </x:c>
      <x:c r="I1219" s="2" t="str">
        <x:v>승인</x:v>
      </x:c>
      <x:c r="J1219" s="2" t="str">
        <x:v>심의승인</x:v>
      </x:c>
      <x:c r="K1219" s="2" t="str">
        <x:f>IF(OR(J1219="심의승인",J1219="반려",J1219="반려완료",J1219="심의완료"),"종결 표시",IF(OR(J1219="기후부협의",J1219="문서재제출요청",J1219="보류",J1219="보완요청",J1219="보완완료",J1219="평가중",J1219="반려요청",J1219="평가필요",LEFT(J1219,5)="보완요청("),"미종결 표시","상태 확인 필요"))</x:f>
        <x:v>종결 표시</x:v>
      </x:c>
      <x:c r="L1219" s="2" t="str">
        <x:v>KECM_이태준</x:v>
      </x:c>
      <x:c r="M1219" s="2"/>
      <x:c r="N1219" s="8" t="n">
        <x:f>DATE(2026,10,15)-DATE(2023,11,8)</x:f>
        <x:v>1072</x:v>
      </x:c>
      <x:c r="O1219" s="2" t="str">
        <x:v>생략</x:v>
      </x:c>
      <x:c r="P1219" s="2"/>
      <x:c r="Q1219" s="2" t="str">
        <x:v>산업전환_외부사업관리Tool_260707_이너젠 수정_LJY_261013.xlsx</x:v>
      </x:c>
      <x:c r="R1219" s="2" t="str">
        <x:v>국내평가</x:v>
      </x:c>
      <x:c r="S1219" s="8" t="n">
        <x:v>1122</x:v>
      </x:c>
      <x:c r="T1219" s="2" t="str">
        <x:v>(11/17)</x:v>
      </x:c>
      <x:c r="U1219" s="2" t="str">
        <x:v>2023 배정: (11/17) / 2024 배정: (9/2),(9/26) / 2025 배정: (2/6),(4/9)</x:v>
      </x:c>
      <x:c r="V1219" s="2" t="str">
        <x:v>2026-09-09</x:v>
      </x:c>
      <x:c r="W1219" s="2" t="str"/>
      <x:c r="X1219" s="2" t="str">
        <x:v>종결 근거 보관</x:v>
      </x:c>
      <x:c r="Y1219" s="2" t="str">
        <x:v>ad210cd9ec132cfd447541c8984dc53d30aff0f4fb2dc92d254d49275cc55976</x:v>
      </x:c>
      <x:c r="Z1219" s="2" t="n">
        <x:f>SUBTOTAL(103,A1219)</x:f>
        <x:v>1</x:v>
      </x:c>
      <x:c r="AA1219" s="2" t="str">
        <x:f>IF(K1219&lt;&gt;"미종결 표시","대상 아님",IF(N1219="","신청일 확인",IF(NOT(ISNUMBER('종합 현황'!$H$5)),"관찰기준 확인",IF('종합 현황'!$H$5&lt;1,"관찰기준 확인",IF(N1219&gt;'종합 현황'!$H$5,"내부 관찰 대상","내부 관찰일 이하")))))</x:f>
        <x:v>대상 아님</x:v>
      </x:c>
      <x:c r="AB1219" s="2"/>
    </x:row>
    <x:row r="1220" ht="42" customHeight="1">
      <x:c r="A1220" s="2" t="str">
        <x:v>6bc3b22694f14354b2927045</x:v>
      </x:c>
      <x:c r="B1220" s="2" t="str">
        <x:v>사업 평가</x:v>
      </x:c>
      <x:c r="C1220" s="2" t="str">
        <x:v>국내</x:v>
      </x:c>
      <x:c r="D1220" s="7" t="str">
        <x:v>주식회사 대경열처리 외 6개사의 고효율 공기압축기 교체를 통한 온실가스 감축사업</x:v>
      </x:c>
      <x:c r="E1220" s="2" t="str">
        <x:v>1081</x:v>
      </x:c>
      <x:c r="F1220" s="2" t="str">
        <x:v>2023-11-15</x:v>
      </x:c>
      <x:c r="G1220" s="2" t="str">
        <x:v>2023</x:v>
      </x:c>
      <x:c r="H1220" s="2" t="str">
        <x:v>11</x:v>
      </x:c>
      <x:c r="I1220" s="2" t="str">
        <x:v>보완1차_보완중</x:v>
      </x:c>
      <x:c r="J1220" s="2" t="str">
        <x:v>보완요청</x:v>
      </x:c>
      <x:c r="K1220" s="2" t="str">
        <x:f>IF(OR(J1220="심의승인",J1220="반려",J1220="반려완료",J1220="심의완료"),"종결 표시",IF(OR(J1220="기후부협의",J1220="문서재제출요청",J1220="보류",J1220="보완요청",J1220="보완완료",J1220="평가중",J1220="반려요청",J1220="평가필요",LEFT(J1220,5)="보완요청("),"미종결 표시","상태 확인 필요"))</x:f>
        <x:v>미종결 표시</x:v>
      </x:c>
      <x:c r="L1220" s="2" t="str">
        <x:v>에코시안_전윤호</x:v>
      </x:c>
      <x:c r="M1220" s="2" t="n">
        <x:v>1</x:v>
      </x:c>
      <x:c r="N1220" s="8" t="n">
        <x:f>DATE(2026,10,15)-DATE(2023,11,15)</x:f>
        <x:v>1065</x:v>
      </x:c>
      <x:c r="O1220" s="2" t="str">
        <x:v>생략</x:v>
      </x:c>
      <x:c r="P1220" s="2"/>
      <x:c r="Q1220" s="2" t="str">
        <x:v>산업전환_외부사업관리Tool_260707_이너젠 수정_LJY_261013.xlsx</x:v>
      </x:c>
      <x:c r="R1220" s="2" t="str">
        <x:v>국내평가</x:v>
      </x:c>
      <x:c r="S1220" s="8" t="n">
        <x:v>1123</x:v>
      </x:c>
      <x:c r="T1220" s="2" t="str">
        <x:v>(11/17)</x:v>
      </x:c>
      <x:c r="U1220" s="2" t="str">
        <x:v>2023 배정: (11/17)</x:v>
      </x:c>
      <x:c r="V1220" s="2" t="str">
        <x:v>2023-12-27</x:v>
      </x:c>
      <x:c r="W1220" s="2" t="str"/>
      <x:c r="X1220" s="2" t="str">
        <x:v>보완 회신 일정 확인</x:v>
      </x:c>
      <x:c r="Y1220" s="2" t="str">
        <x:v>ad210cd9ec132cfd447541c8984dc53d30aff0f4fb2dc92d254d49275cc55976</x:v>
      </x:c>
      <x:c r="Z1220" s="2" t="n">
        <x:f>SUBTOTAL(103,A1220)</x:f>
        <x:v>1</x:v>
      </x:c>
      <x:c r="AA1220" s="2" t="str">
        <x:f>IF(K1220&lt;&gt;"미종결 표시","대상 아님",IF(N1220="","신청일 확인",IF(NOT(ISNUMBER('종합 현황'!$H$5)),"관찰기준 확인",IF('종합 현황'!$H$5&lt;1,"관찰기준 확인",IF(N1220&gt;'종합 현황'!$H$5,"내부 관찰 대상","내부 관찰일 이하")))))</x:f>
        <x:v>내부 관찰 대상</x:v>
      </x:c>
      <x:c r="AB1220" s="2"/>
    </x:row>
    <x:row r="1221" ht="42" customHeight="1">
      <x:c r="A1221" s="2" t="str">
        <x:v>002c0ffde77c9c5167f6e5bb</x:v>
      </x:c>
      <x:c r="B1221" s="2" t="str">
        <x:v>사업 평가</x:v>
      </x:c>
      <x:c r="C1221" s="2" t="str">
        <x:v>국내</x:v>
      </x:c>
      <x:c r="D1221" s="7" t="str">
        <x:v>부산경남우유협동조합의 B-C유에서 도시가스(LNG)로 연료전환을 통한 온실가스 배출 외부사업</x:v>
      </x:c>
      <x:c r="E1221" s="2" t="str">
        <x:v>1082</x:v>
      </x:c>
      <x:c r="F1221" s="2" t="str">
        <x:v>2023-11-16</x:v>
      </x:c>
      <x:c r="G1221" s="2" t="str">
        <x:v>2023</x:v>
      </x:c>
      <x:c r="H1221" s="2" t="str">
        <x:v>11</x:v>
      </x:c>
      <x:c r="I1221" s="2" t="str">
        <x:v>승인</x:v>
      </x:c>
      <x:c r="J1221" s="2" t="str">
        <x:v>심의승인</x:v>
      </x:c>
      <x:c r="K1221" s="2" t="str">
        <x:f>IF(OR(J1221="심의승인",J1221="반려",J1221="반려완료",J1221="심의완료"),"종결 표시",IF(OR(J1221="기후부협의",J1221="문서재제출요청",J1221="보류",J1221="보완요청",J1221="보완완료",J1221="평가중",J1221="반려요청",J1221="평가필요",LEFT(J1221,5)="보완요청("),"미종결 표시","상태 확인 필요"))</x:f>
        <x:v>종결 표시</x:v>
      </x:c>
      <x:c r="L1221" s="2"/>
      <x:c r="M1221" s="2"/>
      <x:c r="N1221" s="8" t="n">
        <x:f>DATE(2026,10,15)-DATE(2023,11,16)</x:f>
        <x:v>1064</x:v>
      </x:c>
      <x:c r="O1221" s="2" t="str">
        <x:v>생략</x:v>
      </x:c>
      <x:c r="P1221" s="2" t="str">
        <x:v>3분기 인증위 승인 (정보비공개 신청 포함)</x:v>
      </x:c>
      <x:c r="Q1221" s="2" t="str">
        <x:v>산업전환_외부사업관리Tool_260707_이너젠 수정_LJY_261013.xlsx</x:v>
      </x:c>
      <x:c r="R1221" s="2" t="str">
        <x:v>국내평가</x:v>
      </x:c>
      <x:c r="S1221" s="8" t="n">
        <x:v>1124</x:v>
      </x:c>
      <x:c r="T1221" s="2" t="str">
        <x:v>(1/12),(2/26),(5/20)</x:v>
      </x:c>
      <x:c r="U1221" s="2" t="str">
        <x:v>2024 배정: (1/12),(2/26),(5/20)</x:v>
      </x:c>
      <x:c r="V1221" s="2" t="str">
        <x:v>2024-09-19</x:v>
      </x:c>
      <x:c r="W1221" s="2" t="str">
        <x:v>담당기관 확인</x:v>
      </x:c>
      <x:c r="X1221" s="2" t="str">
        <x:v>원본·배정 기록 확인</x:v>
      </x:c>
      <x:c r="Y1221" s="2" t="str">
        <x:v>ad210cd9ec132cfd447541c8984dc53d30aff0f4fb2dc92d254d49275cc55976</x:v>
      </x:c>
      <x:c r="Z1221" s="2" t="n">
        <x:f>SUBTOTAL(103,A1221)</x:f>
        <x:v>1</x:v>
      </x:c>
      <x:c r="AA1221" s="2" t="str">
        <x:f>IF(K1221&lt;&gt;"미종결 표시","대상 아님",IF(N1221="","신청일 확인",IF(NOT(ISNUMBER('종합 현황'!$H$5)),"관찰기준 확인",IF('종합 현황'!$H$5&lt;1,"관찰기준 확인",IF(N1221&gt;'종합 현황'!$H$5,"내부 관찰 대상","내부 관찰일 이하")))))</x:f>
        <x:v>대상 아님</x:v>
      </x:c>
      <x:c r="AB1221" s="2"/>
    </x:row>
    <x:row r="1222" ht="42" customHeight="1">
      <x:c r="A1222" s="2" t="str">
        <x:v>2941851920c9fa59469ae7bf</x:v>
      </x:c>
      <x:c r="B1222" s="2" t="str">
        <x:v>사업 평가</x:v>
      </x:c>
      <x:c r="C1222" s="2" t="str">
        <x:v>국내</x:v>
      </x:c>
      <x:c r="D1222" s="7" t="str">
        <x:v>명진테크 외 5개사의 고효율 공기압축기 교체를 통한 온실가스 감축사업</x:v>
      </x:c>
      <x:c r="E1222" s="2" t="str">
        <x:v>1083</x:v>
      </x:c>
      <x:c r="F1222" s="2" t="str">
        <x:v>2023-11-17</x:v>
      </x:c>
      <x:c r="G1222" s="2" t="str">
        <x:v>2023</x:v>
      </x:c>
      <x:c r="H1222" s="2" t="str">
        <x:v>11</x:v>
      </x:c>
      <x:c r="I1222" s="2" t="str">
        <x:v>보완1차_보완중</x:v>
      </x:c>
      <x:c r="J1222" s="2" t="str">
        <x:v>보완요청</x:v>
      </x:c>
      <x:c r="K1222" s="2" t="str">
        <x:f>IF(OR(J1222="심의승인",J1222="반려",J1222="반려완료",J1222="심의완료"),"종결 표시",IF(OR(J1222="기후부협의",J1222="문서재제출요청",J1222="보류",J1222="보완요청",J1222="보완완료",J1222="평가중",J1222="반려요청",J1222="평가필요",LEFT(J1222,5)="보완요청("),"미종결 표시","상태 확인 필요"))</x:f>
        <x:v>미종결 표시</x:v>
      </x:c>
      <x:c r="L1222" s="2" t="str">
        <x:v>디번들링 평가 선 필요</x:v>
      </x:c>
      <x:c r="M1222" s="2" t="n">
        <x:v>1</x:v>
      </x:c>
      <x:c r="N1222" s="8" t="n">
        <x:f>DATE(2026,10,15)-DATE(2023,11,17)</x:f>
        <x:v>1063</x:v>
      </x:c>
      <x:c r="O1222" s="2" t="str">
        <x:v>생략</x:v>
      </x:c>
      <x:c r="P1222" s="2"/>
      <x:c r="Q1222" s="2" t="str">
        <x:v>산업전환_외부사업관리Tool_260707_이너젠 수정_LJY_261013.xlsx</x:v>
      </x:c>
      <x:c r="R1222" s="2" t="str">
        <x:v>국내평가</x:v>
      </x:c>
      <x:c r="S1222" s="8" t="n">
        <x:v>1125</x:v>
      </x:c>
      <x:c r="T1222" s="2" t="str">
        <x:v>(1/12)</x:v>
      </x:c>
      <x:c r="U1222" s="2" t="str">
        <x:v>2024 배정: (1/12)</x:v>
      </x:c>
      <x:c r="V1222" s="2" t="str">
        <x:v>2024-01-30</x:v>
      </x:c>
      <x:c r="W1222" s="2" t="str"/>
      <x:c r="X1222" s="2" t="str">
        <x:v>보완 회신 일정 확인</x:v>
      </x:c>
      <x:c r="Y1222" s="2" t="str">
        <x:v>ad210cd9ec132cfd447541c8984dc53d30aff0f4fb2dc92d254d49275cc55976</x:v>
      </x:c>
      <x:c r="Z1222" s="2" t="n">
        <x:f>SUBTOTAL(103,A1222)</x:f>
        <x:v>1</x:v>
      </x:c>
      <x:c r="AA1222" s="2" t="str">
        <x:f>IF(K1222&lt;&gt;"미종결 표시","대상 아님",IF(N1222="","신청일 확인",IF(NOT(ISNUMBER('종합 현황'!$H$5)),"관찰기준 확인",IF('종합 현황'!$H$5&lt;1,"관찰기준 확인",IF(N1222&gt;'종합 현황'!$H$5,"내부 관찰 대상","내부 관찰일 이하")))))</x:f>
        <x:v>내부 관찰 대상</x:v>
      </x:c>
      <x:c r="AB1222" s="2"/>
    </x:row>
    <x:row r="1223" ht="42" customHeight="1">
      <x:c r="A1223" s="2" t="str">
        <x:v>01dc2c88c92fc23839a805c0</x:v>
      </x:c>
      <x:c r="B1223" s="2" t="str">
        <x:v>사업 평가</x:v>
      </x:c>
      <x:c r="C1223" s="2" t="str">
        <x:v>국내</x:v>
      </x:c>
      <x:c r="D1223" s="7" t="str">
        <x:v>(주)세영 외 4개사의 고효율 공기압축기 교체를 통한 온실가스 감축사업</x:v>
      </x:c>
      <x:c r="E1223" s="2" t="str">
        <x:v>1084</x:v>
      </x:c>
      <x:c r="F1223" s="2" t="str">
        <x:v>2023-11-17</x:v>
      </x:c>
      <x:c r="G1223" s="2" t="str">
        <x:v>2023</x:v>
      </x:c>
      <x:c r="H1223" s="2" t="str">
        <x:v>11</x:v>
      </x:c>
      <x:c r="I1223" s="2" t="str">
        <x:v>보완1차_보완중</x:v>
      </x:c>
      <x:c r="J1223" s="2" t="str">
        <x:v>보완요청</x:v>
      </x:c>
      <x:c r="K1223" s="2" t="str">
        <x:f>IF(OR(J1223="심의승인",J1223="반려",J1223="반려완료",J1223="심의완료"),"종결 표시",IF(OR(J1223="기후부협의",J1223="문서재제출요청",J1223="보류",J1223="보완요청",J1223="보완완료",J1223="평가중",J1223="반려요청",J1223="평가필요",LEFT(J1223,5)="보완요청("),"미종결 표시","상태 확인 필요"))</x:f>
        <x:v>미종결 표시</x:v>
      </x:c>
      <x:c r="L1223" s="2" t="str">
        <x:v>디번들링 평가 선 필요</x:v>
      </x:c>
      <x:c r="M1223" s="2" t="n">
        <x:v>1</x:v>
      </x:c>
      <x:c r="N1223" s="8" t="n">
        <x:f>DATE(2026,10,15)-DATE(2023,11,17)</x:f>
        <x:v>1063</x:v>
      </x:c>
      <x:c r="O1223" s="2" t="str">
        <x:v>생략</x:v>
      </x:c>
      <x:c r="P1223" s="2"/>
      <x:c r="Q1223" s="2" t="str">
        <x:v>산업전환_외부사업관리Tool_260707_이너젠 수정_LJY_261013.xlsx</x:v>
      </x:c>
      <x:c r="R1223" s="2" t="str">
        <x:v>국내평가</x:v>
      </x:c>
      <x:c r="S1223" s="8" t="n">
        <x:v>1126</x:v>
      </x:c>
      <x:c r="T1223" s="2" t="str">
        <x:v>(1/12)</x:v>
      </x:c>
      <x:c r="U1223" s="2" t="str">
        <x:v>2024 배정: (1/12)</x:v>
      </x:c>
      <x:c r="V1223" s="2" t="str">
        <x:v>2024-01-30</x:v>
      </x:c>
      <x:c r="W1223" s="2" t="str"/>
      <x:c r="X1223" s="2" t="str">
        <x:v>보완 회신 일정 확인</x:v>
      </x:c>
      <x:c r="Y1223" s="2" t="str">
        <x:v>ad210cd9ec132cfd447541c8984dc53d30aff0f4fb2dc92d254d49275cc55976</x:v>
      </x:c>
      <x:c r="Z1223" s="2" t="n">
        <x:f>SUBTOTAL(103,A1223)</x:f>
        <x:v>1</x:v>
      </x:c>
      <x:c r="AA1223" s="2" t="str">
        <x:f>IF(K1223&lt;&gt;"미종결 표시","대상 아님",IF(N1223="","신청일 확인",IF(NOT(ISNUMBER('종합 현황'!$H$5)),"관찰기준 확인",IF('종합 현황'!$H$5&lt;1,"관찰기준 확인",IF(N1223&gt;'종합 현황'!$H$5,"내부 관찰 대상","내부 관찰일 이하")))))</x:f>
        <x:v>내부 관찰 대상</x:v>
      </x:c>
      <x:c r="AB1223" s="2"/>
    </x:row>
    <x:row r="1224" ht="42" customHeight="1">
      <x:c r="A1224" s="2" t="str">
        <x:v>d666a67f68eb10d9b5449edb</x:v>
      </x:c>
      <x:c r="B1224" s="2" t="str">
        <x:v>사업 평가</x:v>
      </x:c>
      <x:c r="C1224" s="2" t="str">
        <x:v>국내</x:v>
      </x:c>
      <x:c r="D1224" s="7" t="str">
        <x:v>주식회사 디엠티 외 4개사의 고효율 공기압축기 교체를 통한 온실가스 감축사업</x:v>
      </x:c>
      <x:c r="E1224" s="2" t="str">
        <x:v>1085</x:v>
      </x:c>
      <x:c r="F1224" s="2" t="str">
        <x:v>2023-11-17</x:v>
      </x:c>
      <x:c r="G1224" s="2" t="str">
        <x:v>2023</x:v>
      </x:c>
      <x:c r="H1224" s="2" t="str">
        <x:v>11</x:v>
      </x:c>
      <x:c r="I1224" s="2" t="str">
        <x:v>보완1차_보완중</x:v>
      </x:c>
      <x:c r="J1224" s="2" t="str">
        <x:v>보완요청</x:v>
      </x:c>
      <x:c r="K1224" s="2" t="str">
        <x:f>IF(OR(J1224="심의승인",J1224="반려",J1224="반려완료",J1224="심의완료"),"종결 표시",IF(OR(J1224="기후부협의",J1224="문서재제출요청",J1224="보류",J1224="보완요청",J1224="보완완료",J1224="평가중",J1224="반려요청",J1224="평가필요",LEFT(J1224,5)="보완요청("),"미종결 표시","상태 확인 필요"))</x:f>
        <x:v>미종결 표시</x:v>
      </x:c>
      <x:c r="L1224" s="2" t="str">
        <x:v>디번들링 평가 선 필요</x:v>
      </x:c>
      <x:c r="M1224" s="2" t="n">
        <x:v>1</x:v>
      </x:c>
      <x:c r="N1224" s="8" t="n">
        <x:f>DATE(2026,10,15)-DATE(2023,11,17)</x:f>
        <x:v>1063</x:v>
      </x:c>
      <x:c r="O1224" s="2" t="str">
        <x:v>생략</x:v>
      </x:c>
      <x:c r="P1224" s="2"/>
      <x:c r="Q1224" s="2" t="str">
        <x:v>산업전환_외부사업관리Tool_260707_이너젠 수정_LJY_261013.xlsx</x:v>
      </x:c>
      <x:c r="R1224" s="2" t="str">
        <x:v>국내평가</x:v>
      </x:c>
      <x:c r="S1224" s="8" t="n">
        <x:v>1127</x:v>
      </x:c>
      <x:c r="T1224" s="2" t="str">
        <x:v>(1/12)</x:v>
      </x:c>
      <x:c r="U1224" s="2" t="str">
        <x:v>2024 배정: (1/12)</x:v>
      </x:c>
      <x:c r="V1224" s="2" t="str">
        <x:v>2024-01-30</x:v>
      </x:c>
      <x:c r="W1224" s="2" t="str"/>
      <x:c r="X1224" s="2" t="str">
        <x:v>보완 회신 일정 확인</x:v>
      </x:c>
      <x:c r="Y1224" s="2" t="str">
        <x:v>ad210cd9ec132cfd447541c8984dc53d30aff0f4fb2dc92d254d49275cc55976</x:v>
      </x:c>
      <x:c r="Z1224" s="2" t="n">
        <x:f>SUBTOTAL(103,A1224)</x:f>
        <x:v>1</x:v>
      </x:c>
      <x:c r="AA1224" s="2" t="str">
        <x:f>IF(K1224&lt;&gt;"미종결 표시","대상 아님",IF(N1224="","신청일 확인",IF(NOT(ISNUMBER('종합 현황'!$H$5)),"관찰기준 확인",IF('종합 현황'!$H$5&lt;1,"관찰기준 확인",IF(N1224&gt;'종합 현황'!$H$5,"내부 관찰 대상","내부 관찰일 이하")))))</x:f>
        <x:v>내부 관찰 대상</x:v>
      </x:c>
      <x:c r="AB1224" s="2"/>
    </x:row>
    <x:row r="1225" ht="42" customHeight="1">
      <x:c r="A1225" s="2" t="str">
        <x:v>018bc0783a902d9e31076969</x:v>
      </x:c>
      <x:c r="B1225" s="2" t="str">
        <x:v>사업 평가</x:v>
      </x:c>
      <x:c r="C1225" s="2" t="str">
        <x:v>국내</x:v>
      </x:c>
      <x:c r="D1225" s="7" t="str">
        <x:v>주식회사 동서기연 외 5개사의 고효율 공기압축기 교체를 통한 온실가스 감축사업</x:v>
      </x:c>
      <x:c r="E1225" s="2" t="str">
        <x:v>1086</x:v>
      </x:c>
      <x:c r="F1225" s="2" t="str">
        <x:v>2023-11-17</x:v>
      </x:c>
      <x:c r="G1225" s="2" t="str">
        <x:v>2023</x:v>
      </x:c>
      <x:c r="H1225" s="2" t="str">
        <x:v>11</x:v>
      </x:c>
      <x:c r="I1225" s="2" t="str">
        <x:v>보완1차_보완중</x:v>
      </x:c>
      <x:c r="J1225" s="2" t="str">
        <x:v>보완요청</x:v>
      </x:c>
      <x:c r="K1225" s="2" t="str">
        <x:f>IF(OR(J1225="심의승인",J1225="반려",J1225="반려완료",J1225="심의완료"),"종결 표시",IF(OR(J1225="기후부협의",J1225="문서재제출요청",J1225="보류",J1225="보완요청",J1225="보완완료",J1225="평가중",J1225="반려요청",J1225="평가필요",LEFT(J1225,5)="보완요청("),"미종결 표시","상태 확인 필요"))</x:f>
        <x:v>미종결 표시</x:v>
      </x:c>
      <x:c r="L1225" s="2" t="str">
        <x:v>디번들링 평가 선 필요</x:v>
      </x:c>
      <x:c r="M1225" s="2" t="n">
        <x:v>1</x:v>
      </x:c>
      <x:c r="N1225" s="8" t="n">
        <x:f>DATE(2026,10,15)-DATE(2023,11,17)</x:f>
        <x:v>1063</x:v>
      </x:c>
      <x:c r="O1225" s="2" t="str">
        <x:v>생략</x:v>
      </x:c>
      <x:c r="P1225" s="2"/>
      <x:c r="Q1225" s="2" t="str">
        <x:v>산업전환_외부사업관리Tool_260707_이너젠 수정_LJY_261013.xlsx</x:v>
      </x:c>
      <x:c r="R1225" s="2" t="str">
        <x:v>국내평가</x:v>
      </x:c>
      <x:c r="S1225" s="8" t="n">
        <x:v>1128</x:v>
      </x:c>
      <x:c r="T1225" s="2" t="str">
        <x:v>(1/12)</x:v>
      </x:c>
      <x:c r="U1225" s="2" t="str">
        <x:v>2024 배정: (1/12)</x:v>
      </x:c>
      <x:c r="V1225" s="2" t="str">
        <x:v>2024-01-30</x:v>
      </x:c>
      <x:c r="W1225" s="2" t="str"/>
      <x:c r="X1225" s="2" t="str">
        <x:v>보완 회신 일정 확인</x:v>
      </x:c>
      <x:c r="Y1225" s="2" t="str">
        <x:v>ad210cd9ec132cfd447541c8984dc53d30aff0f4fb2dc92d254d49275cc55976</x:v>
      </x:c>
      <x:c r="Z1225" s="2" t="n">
        <x:f>SUBTOTAL(103,A1225)</x:f>
        <x:v>1</x:v>
      </x:c>
      <x:c r="AA1225" s="2" t="str">
        <x:f>IF(K1225&lt;&gt;"미종결 표시","대상 아님",IF(N1225="","신청일 확인",IF(NOT(ISNUMBER('종합 현황'!$H$5)),"관찰기준 확인",IF('종합 현황'!$H$5&lt;1,"관찰기준 확인",IF(N1225&gt;'종합 현황'!$H$5,"내부 관찰 대상","내부 관찰일 이하")))))</x:f>
        <x:v>내부 관찰 대상</x:v>
      </x:c>
      <x:c r="AB1225" s="2"/>
    </x:row>
    <x:row r="1226" ht="42" customHeight="1">
      <x:c r="A1226" s="2" t="str">
        <x:v>371f475a4da064b04a650e9d</x:v>
      </x:c>
      <x:c r="B1226" s="2" t="str">
        <x:v>사업 평가</x:v>
      </x:c>
      <x:c r="C1226" s="2" t="str">
        <x:v>국내</x:v>
      </x:c>
      <x:c r="D1226" s="7" t="str">
        <x:v>주식회사성우하이텍 외 4개사의 고효율 공기압축기 교체를 통한 온실가스 감축사업</x:v>
      </x:c>
      <x:c r="E1226" s="2" t="str">
        <x:v>1087</x:v>
      </x:c>
      <x:c r="F1226" s="2" t="str">
        <x:v>2023-11-17</x:v>
      </x:c>
      <x:c r="G1226" s="2" t="str">
        <x:v>2023</x:v>
      </x:c>
      <x:c r="H1226" s="2" t="str">
        <x:v>11</x:v>
      </x:c>
      <x:c r="I1226" s="2" t="str">
        <x:v>보완1차_보완중</x:v>
      </x:c>
      <x:c r="J1226" s="2" t="str">
        <x:v>보완요청</x:v>
      </x:c>
      <x:c r="K1226" s="2" t="str">
        <x:f>IF(OR(J1226="심의승인",J1226="반려",J1226="반려완료",J1226="심의완료"),"종결 표시",IF(OR(J1226="기후부협의",J1226="문서재제출요청",J1226="보류",J1226="보완요청",J1226="보완완료",J1226="평가중",J1226="반려요청",J1226="평가필요",LEFT(J1226,5)="보완요청("),"미종결 표시","상태 확인 필요"))</x:f>
        <x:v>미종결 표시</x:v>
      </x:c>
      <x:c r="L1226" s="2" t="str">
        <x:v>디번들링 평가 선 필요</x:v>
      </x:c>
      <x:c r="M1226" s="2" t="n">
        <x:v>1</x:v>
      </x:c>
      <x:c r="N1226" s="8" t="n">
        <x:f>DATE(2026,10,15)-DATE(2023,11,17)</x:f>
        <x:v>1063</x:v>
      </x:c>
      <x:c r="O1226" s="2" t="str">
        <x:v>생략</x:v>
      </x:c>
      <x:c r="P1226" s="2"/>
      <x:c r="Q1226" s="2" t="str">
        <x:v>산업전환_외부사업관리Tool_260707_이너젠 수정_LJY_261013.xlsx</x:v>
      </x:c>
      <x:c r="R1226" s="2" t="str">
        <x:v>국내평가</x:v>
      </x:c>
      <x:c r="S1226" s="8" t="n">
        <x:v>1129</x:v>
      </x:c>
      <x:c r="T1226" s="2" t="str">
        <x:v>(1/12)</x:v>
      </x:c>
      <x:c r="U1226" s="2" t="str">
        <x:v>2024 배정: (1/12)</x:v>
      </x:c>
      <x:c r="V1226" s="2" t="str">
        <x:v>2024-01-30</x:v>
      </x:c>
      <x:c r="W1226" s="2" t="str"/>
      <x:c r="X1226" s="2" t="str">
        <x:v>보완 회신 일정 확인</x:v>
      </x:c>
      <x:c r="Y1226" s="2" t="str">
        <x:v>ad210cd9ec132cfd447541c8984dc53d30aff0f4fb2dc92d254d49275cc55976</x:v>
      </x:c>
      <x:c r="Z1226" s="2" t="n">
        <x:f>SUBTOTAL(103,A1226)</x:f>
        <x:v>1</x:v>
      </x:c>
      <x:c r="AA1226" s="2" t="str">
        <x:f>IF(K1226&lt;&gt;"미종결 표시","대상 아님",IF(N1226="","신청일 확인",IF(NOT(ISNUMBER('종합 현황'!$H$5)),"관찰기준 확인",IF('종합 현황'!$H$5&lt;1,"관찰기준 확인",IF(N1226&gt;'종합 현황'!$H$5,"내부 관찰 대상","내부 관찰일 이하")))))</x:f>
        <x:v>내부 관찰 대상</x:v>
      </x:c>
      <x:c r="AB1226" s="2"/>
    </x:row>
    <x:row r="1227" ht="42" customHeight="1">
      <x:c r="A1227" s="2" t="str">
        <x:v>e85719bd93922561013a9dfb</x:v>
      </x:c>
      <x:c r="B1227" s="2" t="str">
        <x:v>사업 평가</x:v>
      </x:c>
      <x:c r="C1227" s="2" t="str">
        <x:v>국내</x:v>
      </x:c>
      <x:c r="D1227" s="7" t="str">
        <x:v>모전 외 4개 사의 고효율 공기압축기 교체를 통한 온실가스 감축사업</x:v>
      </x:c>
      <x:c r="E1227" s="2" t="str">
        <x:v>1088</x:v>
      </x:c>
      <x:c r="F1227" s="2" t="str">
        <x:v>2023-11-17</x:v>
      </x:c>
      <x:c r="G1227" s="2" t="str">
        <x:v>2023</x:v>
      </x:c>
      <x:c r="H1227" s="2" t="str">
        <x:v>11</x:v>
      </x:c>
      <x:c r="I1227" s="2" t="str">
        <x:v>보완1차_보완중</x:v>
      </x:c>
      <x:c r="J1227" s="2" t="str">
        <x:v>보완요청</x:v>
      </x:c>
      <x:c r="K1227" s="2" t="str">
        <x:f>IF(OR(J1227="심의승인",J1227="반려",J1227="반려완료",J1227="심의완료"),"종결 표시",IF(OR(J1227="기후부협의",J1227="문서재제출요청",J1227="보류",J1227="보완요청",J1227="보완완료",J1227="평가중",J1227="반려요청",J1227="평가필요",LEFT(J1227,5)="보완요청("),"미종결 표시","상태 확인 필요"))</x:f>
        <x:v>미종결 표시</x:v>
      </x:c>
      <x:c r="L1227" s="2" t="str">
        <x:v>디번들링 평가 선 필요</x:v>
      </x:c>
      <x:c r="M1227" s="2" t="n">
        <x:v>1</x:v>
      </x:c>
      <x:c r="N1227" s="8" t="n">
        <x:f>DATE(2026,10,15)-DATE(2023,11,17)</x:f>
        <x:v>1063</x:v>
      </x:c>
      <x:c r="O1227" s="2" t="str">
        <x:v>생략</x:v>
      </x:c>
      <x:c r="P1227" s="2"/>
      <x:c r="Q1227" s="2" t="str">
        <x:v>산업전환_외부사업관리Tool_260707_이너젠 수정_LJY_261013.xlsx</x:v>
      </x:c>
      <x:c r="R1227" s="2" t="str">
        <x:v>국내평가</x:v>
      </x:c>
      <x:c r="S1227" s="8" t="n">
        <x:v>1130</x:v>
      </x:c>
      <x:c r="T1227" s="2" t="str">
        <x:v>(1/12)</x:v>
      </x:c>
      <x:c r="U1227" s="2" t="str">
        <x:v>2024 배정: (1/12)</x:v>
      </x:c>
      <x:c r="V1227" s="2" t="str">
        <x:v>2024-01-29</x:v>
      </x:c>
      <x:c r="W1227" s="2" t="str"/>
      <x:c r="X1227" s="2" t="str">
        <x:v>보완 회신 일정 확인</x:v>
      </x:c>
      <x:c r="Y1227" s="2" t="str">
        <x:v>ad210cd9ec132cfd447541c8984dc53d30aff0f4fb2dc92d254d49275cc55976</x:v>
      </x:c>
      <x:c r="Z1227" s="2" t="n">
        <x:f>SUBTOTAL(103,A1227)</x:f>
        <x:v>1</x:v>
      </x:c>
      <x:c r="AA1227" s="2" t="str">
        <x:f>IF(K1227&lt;&gt;"미종결 표시","대상 아님",IF(N1227="","신청일 확인",IF(NOT(ISNUMBER('종합 현황'!$H$5)),"관찰기준 확인",IF('종합 현황'!$H$5&lt;1,"관찰기준 확인",IF(N1227&gt;'종합 현황'!$H$5,"내부 관찰 대상","내부 관찰일 이하")))))</x:f>
        <x:v>내부 관찰 대상</x:v>
      </x:c>
      <x:c r="AB1227" s="2"/>
    </x:row>
    <x:row r="1228" ht="42" customHeight="1">
      <x:c r="A1228" s="2" t="str">
        <x:v>52118a6cccc975a1f7602f80</x:v>
      </x:c>
      <x:c r="B1228" s="2" t="str">
        <x:v>사업 평가</x:v>
      </x:c>
      <x:c r="C1228" s="2" t="str">
        <x:v>국내</x:v>
      </x:c>
      <x:c r="D1228" s="7" t="str">
        <x:v>(주)부국 외 3개사의 인버터 공기압축기 교체를 통한 온실가스 감축사업</x:v>
      </x:c>
      <x:c r="E1228" s="2" t="str">
        <x:v>1089</x:v>
      </x:c>
      <x:c r="F1228" s="2" t="str">
        <x:v>2023-11-17</x:v>
      </x:c>
      <x:c r="G1228" s="2" t="str">
        <x:v>2023</x:v>
      </x:c>
      <x:c r="H1228" s="2" t="str">
        <x:v>11</x:v>
      </x:c>
      <x:c r="I1228" s="2" t="str">
        <x:v>승인</x:v>
      </x:c>
      <x:c r="J1228" s="2" t="str">
        <x:v>심의승인</x:v>
      </x:c>
      <x:c r="K1228" s="2" t="str">
        <x:f>IF(OR(J1228="심의승인",J1228="반려",J1228="반려완료",J1228="심의완료"),"종결 표시",IF(OR(J1228="기후부협의",J1228="문서재제출요청",J1228="보류",J1228="보완요청",J1228="보완완료",J1228="평가중",J1228="반려요청",J1228="평가필요",LEFT(J1228,5)="보완요청("),"미종결 표시","상태 확인 필요"))</x:f>
        <x:v>종결 표시</x:v>
      </x:c>
      <x:c r="L1228" s="2" t="str">
        <x:v>디번들링 평가 선 필요</x:v>
      </x:c>
      <x:c r="M1228" s="2"/>
      <x:c r="N1228" s="8" t="n">
        <x:f>DATE(2026,10,15)-DATE(2023,11,17)</x:f>
        <x:v>1063</x:v>
      </x:c>
      <x:c r="O1228" s="2" t="str">
        <x:v>생략</x:v>
      </x:c>
      <x:c r="P1228" s="2"/>
      <x:c r="Q1228" s="2" t="str">
        <x:v>산업전환_외부사업관리Tool_260707_이너젠 수정_LJY_261013.xlsx</x:v>
      </x:c>
      <x:c r="R1228" s="2" t="str">
        <x:v>국내평가</x:v>
      </x:c>
      <x:c r="S1228" s="8" t="n">
        <x:v>1131</x:v>
      </x:c>
      <x:c r="T1228" s="2" t="str">
        <x:v>(1/12),(9/2)</x:v>
      </x:c>
      <x:c r="U1228" s="2" t="str">
        <x:v>2024 배정: (1/12),(9/2) / 2025 배정: (4/9),(5/9),(7/18)</x:v>
      </x:c>
      <x:c r="V1228" s="2" t="str">
        <x:v>2026-01-08</x:v>
      </x:c>
      <x:c r="W1228" s="2" t="str"/>
      <x:c r="X1228" s="2" t="str">
        <x:v>종결 근거 보관</x:v>
      </x:c>
      <x:c r="Y1228" s="2" t="str">
        <x:v>ad210cd9ec132cfd447541c8984dc53d30aff0f4fb2dc92d254d49275cc55976</x:v>
      </x:c>
      <x:c r="Z1228" s="2" t="n">
        <x:f>SUBTOTAL(103,A1228)</x:f>
        <x:v>1</x:v>
      </x:c>
      <x:c r="AA1228" s="2" t="str">
        <x:f>IF(K1228&lt;&gt;"미종결 표시","대상 아님",IF(N1228="","신청일 확인",IF(NOT(ISNUMBER('종합 현황'!$H$5)),"관찰기준 확인",IF('종합 현황'!$H$5&lt;1,"관찰기준 확인",IF(N1228&gt;'종합 현황'!$H$5,"내부 관찰 대상","내부 관찰일 이하")))))</x:f>
        <x:v>대상 아님</x:v>
      </x:c>
      <x:c r="AB1228" s="2"/>
    </x:row>
    <x:row r="1229" ht="42" customHeight="1">
      <x:c r="A1229" s="2" t="str">
        <x:v>cd74537c0f20a63371c9df85</x:v>
      </x:c>
      <x:c r="B1229" s="2" t="str">
        <x:v>사업 평가</x:v>
      </x:c>
      <x:c r="C1229" s="2" t="str">
        <x:v>국내</x:v>
      </x:c>
      <x:c r="D1229" s="7" t="str">
        <x:v>삼풍하이텍 외 3개사의 고효율 공기압축기 교체를 통한 온실가스 감축사업</x:v>
      </x:c>
      <x:c r="E1229" s="2" t="str">
        <x:v>1090</x:v>
      </x:c>
      <x:c r="F1229" s="2" t="str">
        <x:v>2023-11-17</x:v>
      </x:c>
      <x:c r="G1229" s="2" t="str">
        <x:v>2023</x:v>
      </x:c>
      <x:c r="H1229" s="2" t="str">
        <x:v>11</x:v>
      </x:c>
      <x:c r="I1229" s="2" t="str">
        <x:v>보완1차_보완중</x:v>
      </x:c>
      <x:c r="J1229" s="2" t="str">
        <x:v>보완요청</x:v>
      </x:c>
      <x:c r="K1229" s="2" t="str">
        <x:f>IF(OR(J1229="심의승인",J1229="반려",J1229="반려완료",J1229="심의완료"),"종결 표시",IF(OR(J1229="기후부협의",J1229="문서재제출요청",J1229="보류",J1229="보완요청",J1229="보완완료",J1229="평가중",J1229="반려요청",J1229="평가필요",LEFT(J1229,5)="보완요청("),"미종결 표시","상태 확인 필요"))</x:f>
        <x:v>미종결 표시</x:v>
      </x:c>
      <x:c r="L1229" s="2" t="str">
        <x:v>디번들링 평가 선 필요</x:v>
      </x:c>
      <x:c r="M1229" s="2" t="n">
        <x:v>1</x:v>
      </x:c>
      <x:c r="N1229" s="8" t="n">
        <x:f>DATE(2026,10,15)-DATE(2023,11,17)</x:f>
        <x:v>1063</x:v>
      </x:c>
      <x:c r="O1229" s="2" t="str">
        <x:v>생략</x:v>
      </x:c>
      <x:c r="P1229" s="2"/>
      <x:c r="Q1229" s="2" t="str">
        <x:v>산업전환_외부사업관리Tool_260707_이너젠 수정_LJY_261013.xlsx</x:v>
      </x:c>
      <x:c r="R1229" s="2" t="str">
        <x:v>국내평가</x:v>
      </x:c>
      <x:c r="S1229" s="8" t="n">
        <x:v>1132</x:v>
      </x:c>
      <x:c r="T1229" s="2" t="str">
        <x:v>(1/12)</x:v>
      </x:c>
      <x:c r="U1229" s="2" t="str">
        <x:v>2024 배정: (1/12)</x:v>
      </x:c>
      <x:c r="V1229" s="2" t="str">
        <x:v>2024-01-23</x:v>
      </x:c>
      <x:c r="W1229" s="2" t="str"/>
      <x:c r="X1229" s="2" t="str">
        <x:v>보완 회신 일정 확인</x:v>
      </x:c>
      <x:c r="Y1229" s="2" t="str">
        <x:v>ad210cd9ec132cfd447541c8984dc53d30aff0f4fb2dc92d254d49275cc55976</x:v>
      </x:c>
      <x:c r="Z1229" s="2" t="n">
        <x:f>SUBTOTAL(103,A1229)</x:f>
        <x:v>1</x:v>
      </x:c>
      <x:c r="AA1229" s="2" t="str">
        <x:f>IF(K1229&lt;&gt;"미종결 표시","대상 아님",IF(N1229="","신청일 확인",IF(NOT(ISNUMBER('종합 현황'!$H$5)),"관찰기준 확인",IF('종합 현황'!$H$5&lt;1,"관찰기준 확인",IF(N1229&gt;'종합 현황'!$H$5,"내부 관찰 대상","내부 관찰일 이하")))))</x:f>
        <x:v>내부 관찰 대상</x:v>
      </x:c>
      <x:c r="AB1229" s="2"/>
    </x:row>
    <x:row r="1230" ht="42" customHeight="1">
      <x:c r="A1230" s="2" t="str">
        <x:v>3ca2e917184f4b7f3a4f308b</x:v>
      </x:c>
      <x:c r="B1230" s="2" t="str">
        <x:v>사업 평가</x:v>
      </x:c>
      <x:c r="C1230" s="2" t="str">
        <x:v>국내</x:v>
      </x:c>
      <x:c r="D1230" s="7" t="str">
        <x:v>다온테크 고효율 2단 인버터  PM Motor 공기압축기로 교체 사업</x:v>
      </x:c>
      <x:c r="E1230" s="2" t="str">
        <x:v>1091</x:v>
      </x:c>
      <x:c r="F1230" s="2" t="str">
        <x:v>2023-11-29</x:v>
      </x:c>
      <x:c r="G1230" s="2" t="str">
        <x:v>2023</x:v>
      </x:c>
      <x:c r="H1230" s="2" t="str">
        <x:v>11</x:v>
      </x:c>
      <x:c r="I1230" s="2" t="str">
        <x:v>승인</x:v>
      </x:c>
      <x:c r="J1230" s="2" t="str">
        <x:v>심의승인</x:v>
      </x:c>
      <x:c r="K1230" s="2" t="str">
        <x:f>IF(OR(J1230="심의승인",J1230="반려",J1230="반려완료",J1230="심의완료"),"종결 표시",IF(OR(J1230="기후부협의",J1230="문서재제출요청",J1230="보류",J1230="보완요청",J1230="보완완료",J1230="평가중",J1230="반려요청",J1230="평가필요",LEFT(J1230,5)="보완요청("),"미종결 표시","상태 확인 필요"))</x:f>
        <x:v>종결 표시</x:v>
      </x:c>
      <x:c r="L1230" s="2" t="str">
        <x:v>-</x:v>
      </x:c>
      <x:c r="M1230" s="2"/>
      <x:c r="N1230" s="8" t="n">
        <x:f>DATE(2026,10,15)-DATE(2023,11,29)</x:f>
        <x:v>1051</x:v>
      </x:c>
      <x:c r="O1230" s="2" t="str">
        <x:v>생략</x:v>
      </x:c>
      <x:c r="P1230" s="2" t="str">
        <x:v>3분기 인증위 승인</x:v>
      </x:c>
      <x:c r="Q1230" s="2" t="str">
        <x:v>산업전환_외부사업관리Tool_260707_이너젠 수정_LJY_261013.xlsx</x:v>
      </x:c>
      <x:c r="R1230" s="2" t="str">
        <x:v>국내평가</x:v>
      </x:c>
      <x:c r="S1230" s="8" t="n">
        <x:v>1133</x:v>
      </x:c>
      <x:c r="T1230" s="2" t="str">
        <x:v>(1/12),(3/18)</x:v>
      </x:c>
      <x:c r="U1230" s="2" t="str">
        <x:v>2024 배정: (1/12),(3/18)</x:v>
      </x:c>
      <x:c r="V1230" s="2" t="str">
        <x:v>2024-10-07</x:v>
      </x:c>
      <x:c r="W1230" s="2" t="str"/>
      <x:c r="X1230" s="2" t="str">
        <x:v>종결 근거 보관</x:v>
      </x:c>
      <x:c r="Y1230" s="2" t="str">
        <x:v>ad210cd9ec132cfd447541c8984dc53d30aff0f4fb2dc92d254d49275cc55976</x:v>
      </x:c>
      <x:c r="Z1230" s="2" t="n">
        <x:f>SUBTOTAL(103,A1230)</x:f>
        <x:v>1</x:v>
      </x:c>
      <x:c r="AA1230" s="2" t="str">
        <x:f>IF(K1230&lt;&gt;"미종결 표시","대상 아님",IF(N1230="","신청일 확인",IF(NOT(ISNUMBER('종합 현황'!$H$5)),"관찰기준 확인",IF('종합 현황'!$H$5&lt;1,"관찰기준 확인",IF(N1230&gt;'종합 현황'!$H$5,"내부 관찰 대상","내부 관찰일 이하")))))</x:f>
        <x:v>대상 아님</x:v>
      </x:c>
      <x:c r="AB1230" s="2"/>
    </x:row>
    <x:row r="1231" ht="42" customHeight="1">
      <x:c r="A1231" s="2" t="str">
        <x:v>f4ad302c1b33de75651d328a</x:v>
      </x:c>
      <x:c r="B1231" s="2" t="str">
        <x:v>사업 평가</x:v>
      </x:c>
      <x:c r="C1231" s="2" t="str">
        <x:v>국내</x:v>
      </x:c>
      <x:c r="D1231" s="7" t="str">
        <x:v>산단 친환경설비 인프라지원을 통한 고효율설비 교체 사업</x:v>
      </x:c>
      <x:c r="E1231" s="2" t="str">
        <x:v>1092</x:v>
      </x:c>
      <x:c r="F1231" s="2" t="str">
        <x:v>2024-01-19</x:v>
      </x:c>
      <x:c r="G1231" s="2" t="str">
        <x:v>2024</x:v>
      </x:c>
      <x:c r="H1231" s="2" t="str">
        <x:v>01</x:v>
      </x:c>
      <x:c r="I1231" s="2" t="str">
        <x:v>보완1차_보완중</x:v>
      </x:c>
      <x:c r="J1231" s="2" t="str">
        <x:v>보완요청</x:v>
      </x:c>
      <x:c r="K1231" s="2" t="str">
        <x:f>IF(OR(J1231="심의승인",J1231="반려",J1231="반려완료",J1231="심의완료"),"종결 표시",IF(OR(J1231="기후부협의",J1231="문서재제출요청",J1231="보류",J1231="보완요청",J1231="보완완료",J1231="평가중",J1231="반려요청",J1231="평가필요",LEFT(J1231,5)="보완요청("),"미종결 표시","상태 확인 필요"))</x:f>
        <x:v>미종결 표시</x:v>
      </x:c>
      <x:c r="L1231" s="2"/>
      <x:c r="M1231" s="2" t="n">
        <x:v>1</x:v>
      </x:c>
      <x:c r="N1231" s="8" t="n">
        <x:f>DATE(2026,10,15)-DATE(2024,1,19)</x:f>
        <x:v>1000</x:v>
      </x:c>
      <x:c r="O1231" s="2" t="str">
        <x:v>생략</x:v>
      </x:c>
      <x:c r="P1231" s="2"/>
      <x:c r="Q1231" s="2" t="str">
        <x:v>산업전환_외부사업관리Tool_260707_이너젠 수정_LJY_261013.xlsx</x:v>
      </x:c>
      <x:c r="R1231" s="2" t="str">
        <x:v>국내평가</x:v>
      </x:c>
      <x:c r="S1231" s="8" t="n">
        <x:v>1134</x:v>
      </x:c>
      <x:c r="T1231" s="2" t="str">
        <x:v>(2/5)</x:v>
      </x:c>
      <x:c r="U1231" s="2" t="str">
        <x:v>2024 배정: (2/5)</x:v>
      </x:c>
      <x:c r="V1231" s="2" t="str">
        <x:v>2024-04-23</x:v>
      </x:c>
      <x:c r="W1231" s="2" t="str">
        <x:v>담당기관 확인</x:v>
      </x:c>
      <x:c r="X1231" s="2" t="str">
        <x:v>원본·배정 기록 확인</x:v>
      </x:c>
      <x:c r="Y1231" s="2" t="str">
        <x:v>ad210cd9ec132cfd447541c8984dc53d30aff0f4fb2dc92d254d49275cc55976</x:v>
      </x:c>
      <x:c r="Z1231" s="2" t="n">
        <x:f>SUBTOTAL(103,A1231)</x:f>
        <x:v>1</x:v>
      </x:c>
      <x:c r="AA1231" s="2" t="str">
        <x:f>IF(K1231&lt;&gt;"미종결 표시","대상 아님",IF(N1231="","신청일 확인",IF(NOT(ISNUMBER('종합 현황'!$H$5)),"관찰기준 확인",IF('종합 현황'!$H$5&lt;1,"관찰기준 확인",IF(N1231&gt;'종합 현황'!$H$5,"내부 관찰 대상","내부 관찰일 이하")))))</x:f>
        <x:v>내부 관찰 대상</x:v>
      </x:c>
      <x:c r="AB1231" s="2"/>
    </x:row>
    <x:row r="1232" ht="42" customHeight="1">
      <x:c r="A1232" s="2" t="str">
        <x:v>824445672074a55dd1cb09c8</x:v>
      </x:c>
      <x:c r="B1232" s="2" t="str">
        <x:v>사업 평가</x:v>
      </x:c>
      <x:c r="C1232" s="2" t="str">
        <x:v>국내</x:v>
      </x:c>
      <x:c r="D1232" s="7" t="str">
        <x:v>산단 친환경설비 인프라지원을 통한 고효율설비 교체 사업</x:v>
      </x:c>
      <x:c r="E1232" s="2" t="str">
        <x:v>1093</x:v>
      </x:c>
      <x:c r="F1232" s="2" t="str">
        <x:v>2024-01-23</x:v>
      </x:c>
      <x:c r="G1232" s="2" t="str">
        <x:v>2024</x:v>
      </x:c>
      <x:c r="H1232" s="2" t="str">
        <x:v>01</x:v>
      </x:c>
      <x:c r="I1232" s="2" t="str">
        <x:v>보완1차_보완중</x:v>
      </x:c>
      <x:c r="J1232" s="2" t="str">
        <x:v>보완요청</x:v>
      </x:c>
      <x:c r="K1232" s="2" t="str">
        <x:f>IF(OR(J1232="심의승인",J1232="반려",J1232="반려완료",J1232="심의완료"),"종결 표시",IF(OR(J1232="기후부협의",J1232="문서재제출요청",J1232="보류",J1232="보완요청",J1232="보완완료",J1232="평가중",J1232="반려요청",J1232="평가필요",LEFT(J1232,5)="보완요청("),"미종결 표시","상태 확인 필요"))</x:f>
        <x:v>미종결 표시</x:v>
      </x:c>
      <x:c r="L1232" s="2"/>
      <x:c r="M1232" s="2" t="n">
        <x:v>1</x:v>
      </x:c>
      <x:c r="N1232" s="8" t="n">
        <x:f>DATE(2026,10,15)-DATE(2024,1,23)</x:f>
        <x:v>996</x:v>
      </x:c>
      <x:c r="O1232" s="2" t="str">
        <x:v>생략</x:v>
      </x:c>
      <x:c r="P1232" s="2"/>
      <x:c r="Q1232" s="2" t="str">
        <x:v>산업전환_외부사업관리Tool_260707_이너젠 수정_LJY_261013.xlsx</x:v>
      </x:c>
      <x:c r="R1232" s="2" t="str">
        <x:v>국내평가</x:v>
      </x:c>
      <x:c r="S1232" s="8" t="n">
        <x:v>1135</x:v>
      </x:c>
      <x:c r="T1232" s="2" t="str">
        <x:v>(2/5)</x:v>
      </x:c>
      <x:c r="U1232" s="2" t="str">
        <x:v>2024 배정: (2/5)</x:v>
      </x:c>
      <x:c r="V1232" s="2" t="str">
        <x:v>2024-04-24</x:v>
      </x:c>
      <x:c r="W1232" s="2" t="str">
        <x:v>담당기관 확인</x:v>
      </x:c>
      <x:c r="X1232" s="2" t="str">
        <x:v>원본·배정 기록 확인</x:v>
      </x:c>
      <x:c r="Y1232" s="2" t="str">
        <x:v>ad210cd9ec132cfd447541c8984dc53d30aff0f4fb2dc92d254d49275cc55976</x:v>
      </x:c>
      <x:c r="Z1232" s="2" t="n">
        <x:f>SUBTOTAL(103,A1232)</x:f>
        <x:v>1</x:v>
      </x:c>
      <x:c r="AA1232" s="2" t="str">
        <x:f>IF(K1232&lt;&gt;"미종결 표시","대상 아님",IF(N1232="","신청일 확인",IF(NOT(ISNUMBER('종합 현황'!$H$5)),"관찰기준 확인",IF('종합 현황'!$H$5&lt;1,"관찰기준 확인",IF(N1232&gt;'종합 현황'!$H$5,"내부 관찰 대상","내부 관찰일 이하")))))</x:f>
        <x:v>내부 관찰 대상</x:v>
      </x:c>
      <x:c r="AB1232" s="2"/>
    </x:row>
    <x:row r="1233" ht="42" customHeight="1">
      <x:c r="A1233" s="2" t="str">
        <x:v>32a29a2bdbf8b6e6b443fd38</x:v>
      </x:c>
      <x:c r="B1233" s="2" t="str">
        <x:v>사업 평가</x:v>
      </x:c>
      <x:c r="C1233" s="2" t="str">
        <x:v>국내</x:v>
      </x:c>
      <x:c r="D1233" s="7" t="str">
        <x:v>산단 친환경설비 인프라지원을 통한 고효율설비 교체 사업</x:v>
      </x:c>
      <x:c r="E1233" s="2" t="str">
        <x:v>1094</x:v>
      </x:c>
      <x:c r="F1233" s="2" t="str">
        <x:v>2024-01-23</x:v>
      </x:c>
      <x:c r="G1233" s="2" t="str">
        <x:v>2024</x:v>
      </x:c>
      <x:c r="H1233" s="2" t="str">
        <x:v>01</x:v>
      </x:c>
      <x:c r="I1233" s="2" t="str">
        <x:v>보완1차_보완중</x:v>
      </x:c>
      <x:c r="J1233" s="2" t="str">
        <x:v>보완요청</x:v>
      </x:c>
      <x:c r="K1233" s="2" t="str">
        <x:f>IF(OR(J1233="심의승인",J1233="반려",J1233="반려완료",J1233="심의완료"),"종결 표시",IF(OR(J1233="기후부협의",J1233="문서재제출요청",J1233="보류",J1233="보완요청",J1233="보완완료",J1233="평가중",J1233="반려요청",J1233="평가필요",LEFT(J1233,5)="보완요청("),"미종결 표시","상태 확인 필요"))</x:f>
        <x:v>미종결 표시</x:v>
      </x:c>
      <x:c r="L1233" s="2"/>
      <x:c r="M1233" s="2" t="n">
        <x:v>1</x:v>
      </x:c>
      <x:c r="N1233" s="8" t="n">
        <x:f>DATE(2026,10,15)-DATE(2024,1,23)</x:f>
        <x:v>996</x:v>
      </x:c>
      <x:c r="O1233" s="2" t="str">
        <x:v>생략</x:v>
      </x:c>
      <x:c r="P1233" s="2"/>
      <x:c r="Q1233" s="2" t="str">
        <x:v>산업전환_외부사업관리Tool_260707_이너젠 수정_LJY_261013.xlsx</x:v>
      </x:c>
      <x:c r="R1233" s="2" t="str">
        <x:v>국내평가</x:v>
      </x:c>
      <x:c r="S1233" s="8" t="n">
        <x:v>1136</x:v>
      </x:c>
      <x:c r="T1233" s="2" t="str">
        <x:v>(2/5)</x:v>
      </x:c>
      <x:c r="U1233" s="2" t="str">
        <x:v>2024 배정: (2/5)</x:v>
      </x:c>
      <x:c r="V1233" s="2" t="str">
        <x:v>2024-02-06</x:v>
      </x:c>
      <x:c r="W1233" s="2" t="str">
        <x:v>담당기관 확인</x:v>
      </x:c>
      <x:c r="X1233" s="2" t="str">
        <x:v>원본·배정 기록 확인</x:v>
      </x:c>
      <x:c r="Y1233" s="2" t="str">
        <x:v>ad210cd9ec132cfd447541c8984dc53d30aff0f4fb2dc92d254d49275cc55976</x:v>
      </x:c>
      <x:c r="Z1233" s="2" t="n">
        <x:f>SUBTOTAL(103,A1233)</x:f>
        <x:v>1</x:v>
      </x:c>
      <x:c r="AA1233" s="2" t="str">
        <x:f>IF(K1233&lt;&gt;"미종결 표시","대상 아님",IF(N1233="","신청일 확인",IF(NOT(ISNUMBER('종합 현황'!$H$5)),"관찰기준 확인",IF('종합 현황'!$H$5&lt;1,"관찰기준 확인",IF(N1233&gt;'종합 현황'!$H$5,"내부 관찰 대상","내부 관찰일 이하")))))</x:f>
        <x:v>내부 관찰 대상</x:v>
      </x:c>
      <x:c r="AB1233" s="2"/>
    </x:row>
    <x:row r="1234" ht="42" customHeight="1">
      <x:c r="A1234" s="2" t="str">
        <x:v>95a254a831cd7555374bfdbd</x:v>
      </x:c>
      <x:c r="B1234" s="2" t="str">
        <x:v>사업 평가</x:v>
      </x:c>
      <x:c r="C1234" s="2" t="str">
        <x:v>국내</x:v>
      </x:c>
      <x:c r="D1234" s="7" t="str">
        <x:v>산단 친환경설비 인프라지원을 통한 고효율설비 교체 사업</x:v>
      </x:c>
      <x:c r="E1234" s="2" t="str">
        <x:v>1095</x:v>
      </x:c>
      <x:c r="F1234" s="2" t="str">
        <x:v>2024-01-23</x:v>
      </x:c>
      <x:c r="G1234" s="2" t="str">
        <x:v>2024</x:v>
      </x:c>
      <x:c r="H1234" s="2" t="str">
        <x:v>01</x:v>
      </x:c>
      <x:c r="I1234" s="2" t="str">
        <x:v>보완1차_보완중</x:v>
      </x:c>
      <x:c r="J1234" s="2" t="str">
        <x:v>보완요청</x:v>
      </x:c>
      <x:c r="K1234" s="2" t="str">
        <x:f>IF(OR(J1234="심의승인",J1234="반려",J1234="반려완료",J1234="심의완료"),"종결 표시",IF(OR(J1234="기후부협의",J1234="문서재제출요청",J1234="보류",J1234="보완요청",J1234="보완완료",J1234="평가중",J1234="반려요청",J1234="평가필요",LEFT(J1234,5)="보완요청("),"미종결 표시","상태 확인 필요"))</x:f>
        <x:v>미종결 표시</x:v>
      </x:c>
      <x:c r="L1234" s="2"/>
      <x:c r="M1234" s="2" t="n">
        <x:v>1</x:v>
      </x:c>
      <x:c r="N1234" s="8" t="n">
        <x:f>DATE(2026,10,15)-DATE(2024,1,23)</x:f>
        <x:v>996</x:v>
      </x:c>
      <x:c r="O1234" s="2" t="str">
        <x:v>생략</x:v>
      </x:c>
      <x:c r="P1234" s="2"/>
      <x:c r="Q1234" s="2" t="str">
        <x:v>산업전환_외부사업관리Tool_260707_이너젠 수정_LJY_261013.xlsx</x:v>
      </x:c>
      <x:c r="R1234" s="2" t="str">
        <x:v>국내평가</x:v>
      </x:c>
      <x:c r="S1234" s="8" t="n">
        <x:v>1137</x:v>
      </x:c>
      <x:c r="T1234" s="2" t="str">
        <x:v>(2/5)</x:v>
      </x:c>
      <x:c r="U1234" s="2" t="str">
        <x:v>2024 배정: (2/5)</x:v>
      </x:c>
      <x:c r="V1234" s="2" t="str">
        <x:v>2024-02-06</x:v>
      </x:c>
      <x:c r="W1234" s="2" t="str">
        <x:v>담당기관 확인</x:v>
      </x:c>
      <x:c r="X1234" s="2" t="str">
        <x:v>원본·배정 기록 확인</x:v>
      </x:c>
      <x:c r="Y1234" s="2" t="str">
        <x:v>ad210cd9ec132cfd447541c8984dc53d30aff0f4fb2dc92d254d49275cc55976</x:v>
      </x:c>
      <x:c r="Z1234" s="2" t="n">
        <x:f>SUBTOTAL(103,A1234)</x:f>
        <x:v>1</x:v>
      </x:c>
      <x:c r="AA1234" s="2" t="str">
        <x:f>IF(K1234&lt;&gt;"미종결 표시","대상 아님",IF(N1234="","신청일 확인",IF(NOT(ISNUMBER('종합 현황'!$H$5)),"관찰기준 확인",IF('종합 현황'!$H$5&lt;1,"관찰기준 확인",IF(N1234&gt;'종합 현황'!$H$5,"내부 관찰 대상","내부 관찰일 이하")))))</x:f>
        <x:v>내부 관찰 대상</x:v>
      </x:c>
      <x:c r="AB1234" s="2"/>
    </x:row>
    <x:row r="1235" ht="42" customHeight="1">
      <x:c r="A1235" s="2" t="str">
        <x:v>0faae0fea54f2f6e35f2c303</x:v>
      </x:c>
      <x:c r="B1235" s="2" t="str">
        <x:v>사업 평가</x:v>
      </x:c>
      <x:c r="C1235" s="2" t="str">
        <x:v>국내</x:v>
      </x:c>
      <x:c r="D1235" s="7" t="str">
        <x:v>산단 친환경설비 인프라지원을 통한 고효율설비 교체 사업</x:v>
      </x:c>
      <x:c r="E1235" s="2" t="str">
        <x:v>1096</x:v>
      </x:c>
      <x:c r="F1235" s="2" t="str">
        <x:v>2024-01-24</x:v>
      </x:c>
      <x:c r="G1235" s="2" t="str">
        <x:v>2024</x:v>
      </x:c>
      <x:c r="H1235" s="2" t="str">
        <x:v>01</x:v>
      </x:c>
      <x:c r="I1235" s="2" t="str">
        <x:v>보완1차_보완중</x:v>
      </x:c>
      <x:c r="J1235" s="2" t="str">
        <x:v>보완요청</x:v>
      </x:c>
      <x:c r="K1235" s="2" t="str">
        <x:f>IF(OR(J1235="심의승인",J1235="반려",J1235="반려완료",J1235="심의완료"),"종결 표시",IF(OR(J1235="기후부협의",J1235="문서재제출요청",J1235="보류",J1235="보완요청",J1235="보완완료",J1235="평가중",J1235="반려요청",J1235="평가필요",LEFT(J1235,5)="보완요청("),"미종결 표시","상태 확인 필요"))</x:f>
        <x:v>미종결 표시</x:v>
      </x:c>
      <x:c r="L1235" s="2"/>
      <x:c r="M1235" s="2" t="n">
        <x:v>1</x:v>
      </x:c>
      <x:c r="N1235" s="8" t="n">
        <x:f>DATE(2026,10,15)-DATE(2024,1,24)</x:f>
        <x:v>995</x:v>
      </x:c>
      <x:c r="O1235" s="2" t="str">
        <x:v>생략</x:v>
      </x:c>
      <x:c r="P1235" s="2"/>
      <x:c r="Q1235" s="2" t="str">
        <x:v>산업전환_외부사업관리Tool_260707_이너젠 수정_LJY_261013.xlsx</x:v>
      </x:c>
      <x:c r="R1235" s="2" t="str">
        <x:v>국내평가</x:v>
      </x:c>
      <x:c r="S1235" s="8" t="n">
        <x:v>1138</x:v>
      </x:c>
      <x:c r="T1235" s="2" t="str">
        <x:v>(2/5)</x:v>
      </x:c>
      <x:c r="U1235" s="2" t="str">
        <x:v>2024 배정: (2/5)</x:v>
      </x:c>
      <x:c r="V1235" s="2" t="str">
        <x:v>2024-03-27</x:v>
      </x:c>
      <x:c r="W1235" s="2" t="str">
        <x:v>담당기관 확인</x:v>
      </x:c>
      <x:c r="X1235" s="2" t="str">
        <x:v>원본·배정 기록 확인</x:v>
      </x:c>
      <x:c r="Y1235" s="2" t="str">
        <x:v>ad210cd9ec132cfd447541c8984dc53d30aff0f4fb2dc92d254d49275cc55976</x:v>
      </x:c>
      <x:c r="Z1235" s="2" t="n">
        <x:f>SUBTOTAL(103,A1235)</x:f>
        <x:v>1</x:v>
      </x:c>
      <x:c r="AA1235" s="2" t="str">
        <x:f>IF(K1235&lt;&gt;"미종결 표시","대상 아님",IF(N1235="","신청일 확인",IF(NOT(ISNUMBER('종합 현황'!$H$5)),"관찰기준 확인",IF('종합 현황'!$H$5&lt;1,"관찰기준 확인",IF(N1235&gt;'종합 현황'!$H$5,"내부 관찰 대상","내부 관찰일 이하")))))</x:f>
        <x:v>내부 관찰 대상</x:v>
      </x:c>
      <x:c r="AB1235" s="2"/>
    </x:row>
    <x:row r="1236" ht="42" customHeight="1">
      <x:c r="A1236" s="2" t="str">
        <x:v>4b1f7ea5520cee76b171cfba</x:v>
      </x:c>
      <x:c r="B1236" s="2" t="str">
        <x:v>사업 평가</x:v>
      </x:c>
      <x:c r="C1236" s="2" t="str">
        <x:v>국내</x:v>
      </x:c>
      <x:c r="D1236" s="7" t="str">
        <x:v>공용이동식 수분감량화시설을 활용한 온실가스 감축사업(연료전환)</x:v>
      </x:c>
      <x:c r="E1236" s="2" t="str">
        <x:v>1097</x:v>
      </x:c>
      <x:c r="F1236" s="2" t="str">
        <x:v>2024-01-26</x:v>
      </x:c>
      <x:c r="G1236" s="2" t="str">
        <x:v>2024</x:v>
      </x:c>
      <x:c r="H1236" s="2" t="str">
        <x:v>01</x:v>
      </x:c>
      <x:c r="I1236" s="2" t="str">
        <x:v>보완1차_보완중</x:v>
      </x:c>
      <x:c r="J1236" s="2" t="str">
        <x:v>보완요청</x:v>
      </x:c>
      <x:c r="K1236" s="2" t="str">
        <x:f>IF(OR(J1236="심의승인",J1236="반려",J1236="반려완료",J1236="심의완료"),"종결 표시",IF(OR(J1236="기후부협의",J1236="문서재제출요청",J1236="보류",J1236="보완요청",J1236="보완완료",J1236="평가중",J1236="반려요청",J1236="평가필요",LEFT(J1236,5)="보완요청("),"미종결 표시","상태 확인 필요"))</x:f>
        <x:v>미종결 표시</x:v>
      </x:c>
      <x:c r="L1236" s="2"/>
      <x:c r="M1236" s="2" t="n">
        <x:v>1</x:v>
      </x:c>
      <x:c r="N1236" s="8" t="n">
        <x:f>DATE(2026,10,15)-DATE(2024,1,26)</x:f>
        <x:v>993</x:v>
      </x:c>
      <x:c r="O1236" s="2" t="str">
        <x:v>생략</x:v>
      </x:c>
      <x:c r="P1236" s="2"/>
      <x:c r="Q1236" s="2" t="str">
        <x:v>산업전환_외부사업관리Tool_260707_이너젠 수정_LJY_261013.xlsx</x:v>
      </x:c>
      <x:c r="R1236" s="2" t="str">
        <x:v>국내평가</x:v>
      </x:c>
      <x:c r="S1236" s="8" t="n">
        <x:v>1139</x:v>
      </x:c>
      <x:c r="T1236" s="2" t="str">
        <x:v>(2/5)</x:v>
      </x:c>
      <x:c r="U1236" s="2" t="str">
        <x:v>2024 배정: (2/5)</x:v>
      </x:c>
      <x:c r="V1236" s="2" t="str">
        <x:v>2024-03-27</x:v>
      </x:c>
      <x:c r="W1236" s="2" t="str">
        <x:v>담당기관 확인</x:v>
      </x:c>
      <x:c r="X1236" s="2" t="str">
        <x:v>원본·배정 기록 확인</x:v>
      </x:c>
      <x:c r="Y1236" s="2" t="str">
        <x:v>ad210cd9ec132cfd447541c8984dc53d30aff0f4fb2dc92d254d49275cc55976</x:v>
      </x:c>
      <x:c r="Z1236" s="2" t="n">
        <x:f>SUBTOTAL(103,A1236)</x:f>
        <x:v>1</x:v>
      </x:c>
      <x:c r="AA1236" s="2" t="str">
        <x:f>IF(K1236&lt;&gt;"미종결 표시","대상 아님",IF(N1236="","신청일 확인",IF(NOT(ISNUMBER('종합 현황'!$H$5)),"관찰기준 확인",IF('종합 현황'!$H$5&lt;1,"관찰기준 확인",IF(N1236&gt;'종합 현황'!$H$5,"내부 관찰 대상","내부 관찰일 이하")))))</x:f>
        <x:v>내부 관찰 대상</x:v>
      </x:c>
      <x:c r="AB1236" s="2"/>
    </x:row>
    <x:row r="1237" ht="42" customHeight="1">
      <x:c r="A1237" s="2" t="str">
        <x:v>5e5c481d751eb759c20a0913</x:v>
      </x:c>
      <x:c r="B1237" s="2" t="str">
        <x:v>사업 평가</x:v>
      </x:c>
      <x:c r="C1237" s="2" t="str">
        <x:v>국내</x:v>
      </x:c>
      <x:c r="D1237" s="7" t="str">
        <x:v>산단 친환경설비 인프라지원을 통한 고효율설비 교체사업</x:v>
      </x:c>
      <x:c r="E1237" s="2" t="str">
        <x:v>1098</x:v>
      </x:c>
      <x:c r="F1237" s="2" t="str">
        <x:v>2024-01-26</x:v>
      </x:c>
      <x:c r="G1237" s="2" t="str">
        <x:v>2024</x:v>
      </x:c>
      <x:c r="H1237" s="2" t="str">
        <x:v>01</x:v>
      </x:c>
      <x:c r="I1237" s="2" t="str">
        <x:v>보완1차_보완중</x:v>
      </x:c>
      <x:c r="J1237" s="2" t="str">
        <x:v>보완요청</x:v>
      </x:c>
      <x:c r="K1237" s="2" t="str">
        <x:f>IF(OR(J1237="심의승인",J1237="반려",J1237="반려완료",J1237="심의완료"),"종결 표시",IF(OR(J1237="기후부협의",J1237="문서재제출요청",J1237="보류",J1237="보완요청",J1237="보완완료",J1237="평가중",J1237="반려요청",J1237="평가필요",LEFT(J1237,5)="보완요청("),"미종결 표시","상태 확인 필요"))</x:f>
        <x:v>미종결 표시</x:v>
      </x:c>
      <x:c r="L1237" s="2"/>
      <x:c r="M1237" s="2" t="n">
        <x:v>1</x:v>
      </x:c>
      <x:c r="N1237" s="8" t="n">
        <x:f>DATE(2026,10,15)-DATE(2024,1,26)</x:f>
        <x:v>993</x:v>
      </x:c>
      <x:c r="O1237" s="2" t="str">
        <x:v>생략</x:v>
      </x:c>
      <x:c r="P1237" s="2"/>
      <x:c r="Q1237" s="2" t="str">
        <x:v>산업전환_외부사업관리Tool_260707_이너젠 수정_LJY_261013.xlsx</x:v>
      </x:c>
      <x:c r="R1237" s="2" t="str">
        <x:v>국내평가</x:v>
      </x:c>
      <x:c r="S1237" s="8" t="n">
        <x:v>1140</x:v>
      </x:c>
      <x:c r="T1237" s="2" t="str">
        <x:v>(2/5)</x:v>
      </x:c>
      <x:c r="U1237" s="2" t="str">
        <x:v>2024 배정: (2/5)</x:v>
      </x:c>
      <x:c r="V1237" s="2" t="str">
        <x:v>2024-03-11</x:v>
      </x:c>
      <x:c r="W1237" s="2" t="str">
        <x:v>담당기관 확인</x:v>
      </x:c>
      <x:c r="X1237" s="2" t="str">
        <x:v>원본·배정 기록 확인</x:v>
      </x:c>
      <x:c r="Y1237" s="2" t="str">
        <x:v>ad210cd9ec132cfd447541c8984dc53d30aff0f4fb2dc92d254d49275cc55976</x:v>
      </x:c>
      <x:c r="Z1237" s="2" t="n">
        <x:f>SUBTOTAL(103,A1237)</x:f>
        <x:v>1</x:v>
      </x:c>
      <x:c r="AA1237" s="2" t="str">
        <x:f>IF(K1237&lt;&gt;"미종결 표시","대상 아님",IF(N1237="","신청일 확인",IF(NOT(ISNUMBER('종합 현황'!$H$5)),"관찰기준 확인",IF('종합 현황'!$H$5&lt;1,"관찰기준 확인",IF(N1237&gt;'종합 현황'!$H$5,"내부 관찰 대상","내부 관찰일 이하")))))</x:f>
        <x:v>내부 관찰 대상</x:v>
      </x:c>
      <x:c r="AB1237" s="2"/>
    </x:row>
    <x:row r="1238" ht="42" customHeight="1">
      <x:c r="A1238" s="2" t="str">
        <x:v>b208163c3d84e065219c4d39</x:v>
      </x:c>
      <x:c r="B1238" s="2" t="str">
        <x:v>사업 평가</x:v>
      </x:c>
      <x:c r="C1238" s="2" t="str">
        <x:v>국내</x:v>
      </x:c>
      <x:c r="D1238" s="7" t="str">
        <x:v>신성이앤에스 영동군 태양광 발전시설의 리파워링 사업</x:v>
      </x:c>
      <x:c r="E1238" s="2" t="str">
        <x:v>1099</x:v>
      </x:c>
      <x:c r="F1238" s="2" t="str">
        <x:v>2024-01-29</x:v>
      </x:c>
      <x:c r="G1238" s="2" t="str">
        <x:v>2024</x:v>
      </x:c>
      <x:c r="H1238" s="2" t="str">
        <x:v>01</x:v>
      </x:c>
      <x:c r="I1238" s="2" t="str">
        <x:v>보완2차_보완중</x:v>
      </x:c>
      <x:c r="J1238" s="2" t="str">
        <x:v>보완요청</x:v>
      </x:c>
      <x:c r="K1238" s="2" t="str">
        <x:f>IF(OR(J1238="심의승인",J1238="반려",J1238="반려완료",J1238="심의완료"),"종결 표시",IF(OR(J1238="기후부협의",J1238="문서재제출요청",J1238="보류",J1238="보완요청",J1238="보완완료",J1238="평가중",J1238="반려요청",J1238="평가필요",LEFT(J1238,5)="보완요청("),"미종결 표시","상태 확인 필요"))</x:f>
        <x:v>미종결 표시</x:v>
      </x:c>
      <x:c r="L1238" s="2"/>
      <x:c r="M1238" s="2" t="n">
        <x:v>2</x:v>
      </x:c>
      <x:c r="N1238" s="8" t="n">
        <x:f>DATE(2026,10,15)-DATE(2024,1,29)</x:f>
        <x:v>990</x:v>
      </x:c>
      <x:c r="O1238" s="2" t="str">
        <x:v>생략</x:v>
      </x:c>
      <x:c r="P1238" s="2"/>
      <x:c r="Q1238" s="2" t="str">
        <x:v>산업전환_외부사업관리Tool_260707_이너젠 수정_LJY_261013.xlsx</x:v>
      </x:c>
      <x:c r="R1238" s="2" t="str">
        <x:v>국내평가</x:v>
      </x:c>
      <x:c r="S1238" s="8" t="n">
        <x:v>1141</x:v>
      </x:c>
      <x:c r="T1238" s="2" t="str">
        <x:v>(2/5),(7/23)</x:v>
      </x:c>
      <x:c r="U1238" s="2" t="str">
        <x:v>2024 배정: (2/5),(7/23)</x:v>
      </x:c>
      <x:c r="V1238" s="2" t="str">
        <x:v>2024-08-19</x:v>
      </x:c>
      <x:c r="W1238" s="2" t="str">
        <x:v>담당기관 확인</x:v>
      </x:c>
      <x:c r="X1238" s="2" t="str">
        <x:v>원본·배정 기록 확인</x:v>
      </x:c>
      <x:c r="Y1238" s="2" t="str">
        <x:v>ad210cd9ec132cfd447541c8984dc53d30aff0f4fb2dc92d254d49275cc55976</x:v>
      </x:c>
      <x:c r="Z1238" s="2" t="n">
        <x:f>SUBTOTAL(103,A1238)</x:f>
        <x:v>1</x:v>
      </x:c>
      <x:c r="AA1238" s="2" t="str">
        <x:f>IF(K1238&lt;&gt;"미종결 표시","대상 아님",IF(N1238="","신청일 확인",IF(NOT(ISNUMBER('종합 현황'!$H$5)),"관찰기준 확인",IF('종합 현황'!$H$5&lt;1,"관찰기준 확인",IF(N1238&gt;'종합 현황'!$H$5,"내부 관찰 대상","내부 관찰일 이하")))))</x:f>
        <x:v>내부 관찰 대상</x:v>
      </x:c>
      <x:c r="AB1238" s="2"/>
    </x:row>
    <x:row r="1239" ht="42" customHeight="1">
      <x:c r="A1239" s="2" t="str">
        <x:v>fe97465c0b1c03542afaaf4d</x:v>
      </x:c>
      <x:c r="B1239" s="2" t="str">
        <x:v>사업 평가</x:v>
      </x:c>
      <x:c r="C1239" s="2" t="str">
        <x:v>국내</x:v>
      </x:c>
      <x:c r="D1239" s="7" t="str">
        <x:v>신성이앤에스 영덕군 태양광 발전시설의 리파워링 사업</x:v>
      </x:c>
      <x:c r="E1239" s="2" t="str">
        <x:v>1100</x:v>
      </x:c>
      <x:c r="F1239" s="2" t="str">
        <x:v>2024-01-29</x:v>
      </x:c>
      <x:c r="G1239" s="2" t="str">
        <x:v>2024</x:v>
      </x:c>
      <x:c r="H1239" s="2" t="str">
        <x:v>01</x:v>
      </x:c>
      <x:c r="I1239" s="2" t="str">
        <x:v>보완1차_보완중</x:v>
      </x:c>
      <x:c r="J1239" s="2" t="str">
        <x:v>보완요청</x:v>
      </x:c>
      <x:c r="K1239" s="2" t="str">
        <x:f>IF(OR(J1239="심의승인",J1239="반려",J1239="반려완료",J1239="심의완료"),"종결 표시",IF(OR(J1239="기후부협의",J1239="문서재제출요청",J1239="보류",J1239="보완요청",J1239="보완완료",J1239="평가중",J1239="반려요청",J1239="평가필요",LEFT(J1239,5)="보완요청("),"미종결 표시","상태 확인 필요"))</x:f>
        <x:v>미종결 표시</x:v>
      </x:c>
      <x:c r="L1239" s="2"/>
      <x:c r="M1239" s="2" t="n">
        <x:v>1</x:v>
      </x:c>
      <x:c r="N1239" s="8" t="n">
        <x:f>DATE(2026,10,15)-DATE(2024,1,29)</x:f>
        <x:v>990</x:v>
      </x:c>
      <x:c r="O1239" s="2" t="str">
        <x:v>생략</x:v>
      </x:c>
      <x:c r="P1239" s="2"/>
      <x:c r="Q1239" s="2" t="str">
        <x:v>산업전환_외부사업관리Tool_260707_이너젠 수정_LJY_261013.xlsx</x:v>
      </x:c>
      <x:c r="R1239" s="2" t="str">
        <x:v>국내평가</x:v>
      </x:c>
      <x:c r="S1239" s="8" t="n">
        <x:v>1142</x:v>
      </x:c>
      <x:c r="T1239" s="2" t="str">
        <x:v>(2/5)</x:v>
      </x:c>
      <x:c r="U1239" s="2" t="str">
        <x:v>2024 배정: (2/5)</x:v>
      </x:c>
      <x:c r="V1239" s="2" t="str">
        <x:v>2024-03-11</x:v>
      </x:c>
      <x:c r="W1239" s="2" t="str">
        <x:v>담당기관 확인</x:v>
      </x:c>
      <x:c r="X1239" s="2" t="str">
        <x:v>원본·배정 기록 확인</x:v>
      </x:c>
      <x:c r="Y1239" s="2" t="str">
        <x:v>ad210cd9ec132cfd447541c8984dc53d30aff0f4fb2dc92d254d49275cc55976</x:v>
      </x:c>
      <x:c r="Z1239" s="2" t="n">
        <x:f>SUBTOTAL(103,A1239)</x:f>
        <x:v>1</x:v>
      </x:c>
      <x:c r="AA1239" s="2" t="str">
        <x:f>IF(K1239&lt;&gt;"미종결 표시","대상 아님",IF(N1239="","신청일 확인",IF(NOT(ISNUMBER('종합 현황'!$H$5)),"관찰기준 확인",IF('종합 현황'!$H$5&lt;1,"관찰기준 확인",IF(N1239&gt;'종합 현황'!$H$5,"내부 관찰 대상","내부 관찰일 이하")))))</x:f>
        <x:v>내부 관찰 대상</x:v>
      </x:c>
      <x:c r="AB1239" s="2"/>
    </x:row>
    <x:row r="1240" ht="42" customHeight="1">
      <x:c r="A1240" s="2" t="str">
        <x:v>eaaa515359040e76588e6e7e</x:v>
      </x:c>
      <x:c r="B1240" s="2" t="str">
        <x:v>사업 평가</x:v>
      </x:c>
      <x:c r="C1240" s="2" t="str">
        <x:v>국내</x:v>
      </x:c>
      <x:c r="D1240" s="7" t="str">
        <x:v>H-그린세이빙(2차년도) - 사회복지시설 태양광설비 설치를 통한 온실가스 묶음감축사업</x:v>
      </x:c>
      <x:c r="E1240" s="2" t="str">
        <x:v>1101</x:v>
      </x:c>
      <x:c r="F1240" s="2" t="str">
        <x:v>2024-02-20</x:v>
      </x:c>
      <x:c r="G1240" s="2" t="str">
        <x:v>2024</x:v>
      </x:c>
      <x:c r="H1240" s="2" t="str">
        <x:v>02</x:v>
      </x:c>
      <x:c r="I1240" s="2" t="str">
        <x:v>보완3차_검토중</x:v>
      </x:c>
      <x:c r="J1240" s="2" t="str">
        <x:v>보완요청</x:v>
      </x:c>
      <x:c r="K1240" s="2" t="str">
        <x:f>IF(OR(J1240="심의승인",J1240="반려",J1240="반려완료",J1240="심의완료"),"종결 표시",IF(OR(J1240="기후부협의",J1240="문서재제출요청",J1240="보류",J1240="보완요청",J1240="보완완료",J1240="평가중",J1240="반려요청",J1240="평가필요",LEFT(J1240,5)="보완요청("),"미종결 표시","상태 확인 필요"))</x:f>
        <x:v>미종결 표시</x:v>
      </x:c>
      <x:c r="L1240" s="2"/>
      <x:c r="M1240" s="2" t="n">
        <x:v>3</x:v>
      </x:c>
      <x:c r="N1240" s="8" t="n">
        <x:f>DATE(2026,10,15)-DATE(2024,2,20)</x:f>
        <x:v>968</x:v>
      </x:c>
      <x:c r="O1240" s="2" t="str">
        <x:v>생략</x:v>
      </x:c>
      <x:c r="P1240" s="2"/>
      <x:c r="Q1240" s="2" t="str">
        <x:v>산업전환_외부사업관리Tool_260707_이너젠 수정_LJY_261013.xlsx</x:v>
      </x:c>
      <x:c r="R1240" s="2" t="str">
        <x:v>국내평가</x:v>
      </x:c>
      <x:c r="S1240" s="8" t="n">
        <x:v>1143</x:v>
      </x:c>
      <x:c r="T1240" s="2" t="str">
        <x:v>(2/26),(11/29)</x:v>
      </x:c>
      <x:c r="U1240" s="2" t="str">
        <x:v>2024 배정: (2/26),(11/29) / 2025 배정: (4/9),(6/26),(9/1),(11/10) / 2026(사전): (1/14),(4/9),(5/26)</x:v>
      </x:c>
      <x:c r="V1240" s="2" t="str">
        <x:v>2026-08-27</x:v>
      </x:c>
      <x:c r="W1240" s="2" t="str">
        <x:v>담당기관 확인</x:v>
      </x:c>
      <x:c r="X1240" s="2" t="str">
        <x:v>원본·배정 기록 확인</x:v>
      </x:c>
      <x:c r="Y1240" s="2" t="str">
        <x:v>ad210cd9ec132cfd447541c8984dc53d30aff0f4fb2dc92d254d49275cc55976</x:v>
      </x:c>
      <x:c r="Z1240" s="2" t="n">
        <x:f>SUBTOTAL(103,A1240)</x:f>
        <x:v>1</x:v>
      </x:c>
      <x:c r="AA1240" s="2" t="str">
        <x:f>IF(K1240&lt;&gt;"미종결 표시","대상 아님",IF(N1240="","신청일 확인",IF(NOT(ISNUMBER('종합 현황'!$H$5)),"관찰기준 확인",IF('종합 현황'!$H$5&lt;1,"관찰기준 확인",IF(N1240&gt;'종합 현황'!$H$5,"내부 관찰 대상","내부 관찰일 이하")))))</x:f>
        <x:v>내부 관찰 대상</x:v>
      </x:c>
      <x:c r="AB1240" s="2"/>
    </x:row>
    <x:row r="1241" ht="42" customHeight="1">
      <x:c r="A1241" s="2" t="str">
        <x:v>031282a1c7447f71919c4067</x:v>
      </x:c>
      <x:c r="B1241" s="2" t="str">
        <x:v>사업 평가</x:v>
      </x:c>
      <x:c r="C1241" s="2" t="str">
        <x:v>국내</x:v>
      </x:c>
      <x:c r="D1241" s="7" t="str">
        <x:v>삼진프라스틱공업(주)  고효율 2단 인버터  PM Motor 공기압축기로 교체 사업</x:v>
      </x:c>
      <x:c r="E1241" s="2" t="str">
        <x:v>1102</x:v>
      </x:c>
      <x:c r="F1241" s="2" t="str">
        <x:v>2024-03-12</x:v>
      </x:c>
      <x:c r="G1241" s="2" t="str">
        <x:v>2024</x:v>
      </x:c>
      <x:c r="H1241" s="2" t="str">
        <x:v>03</x:v>
      </x:c>
      <x:c r="I1241" s="2" t="str">
        <x:v>보완3차_문서보완중</x:v>
      </x:c>
      <x:c r="J1241" s="2" t="str">
        <x:v>평가중</x:v>
      </x:c>
      <x:c r="K1241" s="2" t="str">
        <x:f>IF(OR(J1241="심의승인",J1241="반려",J1241="반려완료",J1241="심의완료"),"종결 표시",IF(OR(J1241="기후부협의",J1241="문서재제출요청",J1241="보류",J1241="보완요청",J1241="보완완료",J1241="평가중",J1241="반려요청",J1241="평가필요",LEFT(J1241,5)="보완요청("),"미종결 표시","상태 확인 필요"))</x:f>
        <x:v>미종결 표시</x:v>
      </x:c>
      <x:c r="L1241" s="2"/>
      <x:c r="M1241" s="2" t="n">
        <x:v>3</x:v>
      </x:c>
      <x:c r="N1241" s="8" t="n">
        <x:f>DATE(2026,10,15)-DATE(2024,3,12)</x:f>
        <x:v>947</x:v>
      </x:c>
      <x:c r="O1241" s="2" t="str">
        <x:v>생략</x:v>
      </x:c>
      <x:c r="P1241" s="2"/>
      <x:c r="Q1241" s="2" t="str">
        <x:v>산업전환_외부사업관리Tool_260707_이너젠 수정_LJY_261013.xlsx</x:v>
      </x:c>
      <x:c r="R1241" s="2" t="str">
        <x:v>국내평가</x:v>
      </x:c>
      <x:c r="S1241" s="8" t="n">
        <x:v>1144</x:v>
      </x:c>
      <x:c r="T1241" s="2" t="str">
        <x:v>(3/18)</x:v>
      </x:c>
      <x:c r="U1241" s="2" t="str">
        <x:v>2024 배정: (3/18) / 2025 배정: (1/8) / 2026(사전): (1/14),(2/26),(6/16)</x:v>
      </x:c>
      <x:c r="V1241" s="2" t="str">
        <x:v>2026-07-08</x:v>
      </x:c>
      <x:c r="W1241" s="2" t="str">
        <x:v>담당기관 확인</x:v>
      </x:c>
      <x:c r="X1241" s="2" t="str">
        <x:v>원본·배정 기록 확인</x:v>
      </x:c>
      <x:c r="Y1241" s="2" t="str">
        <x:v>ad210cd9ec132cfd447541c8984dc53d30aff0f4fb2dc92d254d49275cc55976</x:v>
      </x:c>
      <x:c r="Z1241" s="2" t="n">
        <x:f>SUBTOTAL(103,A1241)</x:f>
        <x:v>1</x:v>
      </x:c>
      <x:c r="AA1241" s="2" t="str">
        <x:f>IF(K1241&lt;&gt;"미종결 표시","대상 아님",IF(N1241="","신청일 확인",IF(NOT(ISNUMBER('종합 현황'!$H$5)),"관찰기준 확인",IF('종합 현황'!$H$5&lt;1,"관찰기준 확인",IF(N1241&gt;'종합 현황'!$H$5,"내부 관찰 대상","내부 관찰일 이하")))))</x:f>
        <x:v>내부 관찰 대상</x:v>
      </x:c>
      <x:c r="AB1241" s="2"/>
    </x:row>
    <x:row r="1242" ht="42" customHeight="1">
      <x:c r="A1242" s="2" t="str">
        <x:v>a81d9e174034330001f99928</x:v>
      </x:c>
      <x:c r="B1242" s="2" t="str">
        <x:v>사업 평가</x:v>
      </x:c>
      <x:c r="C1242" s="2" t="str">
        <x:v>국내</x:v>
      </x:c>
      <x:c r="D1242" s="7" t="str">
        <x:v>㈜젠텍 고효율 2단 인버터 PM  Motor 공기압축기로 교체 사업</x:v>
      </x:c>
      <x:c r="E1242" s="2" t="str">
        <x:v>1103</x:v>
      </x:c>
      <x:c r="F1242" s="2" t="str">
        <x:v>2024-05-20</x:v>
      </x:c>
      <x:c r="G1242" s="2" t="str">
        <x:v>2024</x:v>
      </x:c>
      <x:c r="H1242" s="2" t="str">
        <x:v>05</x:v>
      </x:c>
      <x:c r="I1242" s="2" t="str">
        <x:v>승인</x:v>
      </x:c>
      <x:c r="J1242" s="2" t="str">
        <x:v>심의승인</x:v>
      </x:c>
      <x:c r="K1242" s="2" t="str">
        <x:f>IF(OR(J1242="심의승인",J1242="반려",J1242="반려완료",J1242="심의완료"),"종결 표시",IF(OR(J1242="기후부협의",J1242="문서재제출요청",J1242="보류",J1242="보완요청",J1242="보완완료",J1242="평가중",J1242="반려요청",J1242="평가필요",LEFT(J1242,5)="보완요청("),"미종결 표시","상태 확인 필요"))</x:f>
        <x:v>종결 표시</x:v>
      </x:c>
      <x:c r="L1242" s="2"/>
      <x:c r="M1242" s="2"/>
      <x:c r="N1242" s="8" t="n">
        <x:f>DATE(2026,10,15)-DATE(2024,5,20)</x:f>
        <x:v>878</x:v>
      </x:c>
      <x:c r="O1242" s="2" t="str">
        <x:v>생략</x:v>
      </x:c>
      <x:c r="P1242" s="2"/>
      <x:c r="Q1242" s="2" t="str">
        <x:v>산업전환_외부사업관리Tool_260707_이너젠 수정_LJY_261013.xlsx</x:v>
      </x:c>
      <x:c r="R1242" s="2" t="str">
        <x:v>국내평가</x:v>
      </x:c>
      <x:c r="S1242" s="8" t="n">
        <x:v>1145</x:v>
      </x:c>
      <x:c r="T1242" s="2" t="str">
        <x:v>(6/10),(7/1),(7/23)</x:v>
      </x:c>
      <x:c r="U1242" s="2" t="str">
        <x:v>2024 배정: (6/10),(7/1),(7/23)</x:v>
      </x:c>
      <x:c r="V1242" s="2" t="str">
        <x:v>2025-01-08</x:v>
      </x:c>
      <x:c r="W1242" s="2" t="str">
        <x:v>담당기관 확인</x:v>
      </x:c>
      <x:c r="X1242" s="2" t="str">
        <x:v>원본·배정 기록 확인</x:v>
      </x:c>
      <x:c r="Y1242" s="2" t="str">
        <x:v>ad210cd9ec132cfd447541c8984dc53d30aff0f4fb2dc92d254d49275cc55976</x:v>
      </x:c>
      <x:c r="Z1242" s="2" t="n">
        <x:f>SUBTOTAL(103,A1242)</x:f>
        <x:v>1</x:v>
      </x:c>
      <x:c r="AA1242" s="2" t="str">
        <x:f>IF(K1242&lt;&gt;"미종결 표시","대상 아님",IF(N1242="","신청일 확인",IF(NOT(ISNUMBER('종합 현황'!$H$5)),"관찰기준 확인",IF('종합 현황'!$H$5&lt;1,"관찰기준 확인",IF(N1242&gt;'종합 현황'!$H$5,"내부 관찰 대상","내부 관찰일 이하")))))</x:f>
        <x:v>대상 아님</x:v>
      </x:c>
      <x:c r="AB1242" s="2"/>
    </x:row>
    <x:row r="1243" ht="42" customHeight="1">
      <x:c r="A1243" s="2" t="str">
        <x:v>e84fb61651c7139397d23d84</x:v>
      </x:c>
      <x:c r="B1243" s="2" t="str">
        <x:v>사업 평가</x:v>
      </x:c>
      <x:c r="C1243" s="2" t="str">
        <x:v>국내</x:v>
      </x:c>
      <x:c r="D1243" s="7" t="str">
        <x:v>(주)시스템산업 고효율 2단 인버터 PM  Motor 공기압축기로 교체 사업</x:v>
      </x:c>
      <x:c r="E1243" s="2" t="str">
        <x:v>1104</x:v>
      </x:c>
      <x:c r="F1243" s="2" t="str">
        <x:v>2024-05-29</x:v>
      </x:c>
      <x:c r="G1243" s="2" t="str">
        <x:v>2024</x:v>
      </x:c>
      <x:c r="H1243" s="2" t="str">
        <x:v>05</x:v>
      </x:c>
      <x:c r="I1243" s="2" t="str">
        <x:v>승인</x:v>
      </x:c>
      <x:c r="J1243" s="2" t="str">
        <x:v>심의승인</x:v>
      </x:c>
      <x:c r="K1243" s="2" t="str">
        <x:f>IF(OR(J1243="심의승인",J1243="반려",J1243="반려완료",J1243="심의완료"),"종결 표시",IF(OR(J1243="기후부협의",J1243="문서재제출요청",J1243="보류",J1243="보완요청",J1243="보완완료",J1243="평가중",J1243="반려요청",J1243="평가필요",LEFT(J1243,5)="보완요청("),"미종결 표시","상태 확인 필요"))</x:f>
        <x:v>종결 표시</x:v>
      </x:c>
      <x:c r="L1243" s="2"/>
      <x:c r="M1243" s="2"/>
      <x:c r="N1243" s="8" t="n">
        <x:f>DATE(2026,10,15)-DATE(2024,5,29)</x:f>
        <x:v>869</x:v>
      </x:c>
      <x:c r="O1243" s="2" t="str">
        <x:v>생략</x:v>
      </x:c>
      <x:c r="P1243" s="2"/>
      <x:c r="Q1243" s="2" t="str">
        <x:v>산업전환_외부사업관리Tool_260707_이너젠 수정_LJY_261013.xlsx</x:v>
      </x:c>
      <x:c r="R1243" s="2" t="str">
        <x:v>국내평가</x:v>
      </x:c>
      <x:c r="S1243" s="8" t="n">
        <x:v>1146</x:v>
      </x:c>
      <x:c r="T1243" s="2" t="str">
        <x:v>(6/10),(7/23)</x:v>
      </x:c>
      <x:c r="U1243" s="2" t="str">
        <x:v>2024 배정: (6/10),(7/23)</x:v>
      </x:c>
      <x:c r="V1243" s="2" t="str">
        <x:v>2025-01-08</x:v>
      </x:c>
      <x:c r="W1243" s="2" t="str">
        <x:v>담당기관 확인</x:v>
      </x:c>
      <x:c r="X1243" s="2" t="str">
        <x:v>원본·배정 기록 확인</x:v>
      </x:c>
      <x:c r="Y1243" s="2" t="str">
        <x:v>ad210cd9ec132cfd447541c8984dc53d30aff0f4fb2dc92d254d49275cc55976</x:v>
      </x:c>
      <x:c r="Z1243" s="2" t="n">
        <x:f>SUBTOTAL(103,A1243)</x:f>
        <x:v>1</x:v>
      </x:c>
      <x:c r="AA1243" s="2" t="str">
        <x:f>IF(K1243&lt;&gt;"미종결 표시","대상 아님",IF(N1243="","신청일 확인",IF(NOT(ISNUMBER('종합 현황'!$H$5)),"관찰기준 확인",IF('종합 현황'!$H$5&lt;1,"관찰기준 확인",IF(N1243&gt;'종합 현황'!$H$5,"내부 관찰 대상","내부 관찰일 이하")))))</x:f>
        <x:v>대상 아님</x:v>
      </x:c>
      <x:c r="AB1243" s="2"/>
    </x:row>
    <x:row r="1244" ht="42" customHeight="1">
      <x:c r="A1244" s="2" t="str">
        <x:v>3a2cd75509ee819a3029269b</x:v>
      </x:c>
      <x:c r="B1244" s="2" t="str">
        <x:v>사업 평가</x:v>
      </x:c>
      <x:c r="C1244" s="2" t="str">
        <x:v>국내</x:v>
      </x:c>
      <x:c r="D1244" s="7" t="str">
        <x:v>(주)동산글로벌의 고효율 공기압축기 교체를 통한 온실가스 배출 감축사업</x:v>
      </x:c>
      <x:c r="E1244" s="2" t="str">
        <x:v>1105</x:v>
      </x:c>
      <x:c r="F1244" s="2" t="str">
        <x:v>2024-06-03</x:v>
      </x:c>
      <x:c r="G1244" s="2" t="str">
        <x:v>2024</x:v>
      </x:c>
      <x:c r="H1244" s="2" t="str">
        <x:v>06</x:v>
      </x:c>
      <x:c r="I1244" s="2" t="str">
        <x:v>보완3차_문서보완중</x:v>
      </x:c>
      <x:c r="J1244" s="2" t="str">
        <x:v>보완요청</x:v>
      </x:c>
      <x:c r="K1244" s="2" t="str">
        <x:f>IF(OR(J1244="심의승인",J1244="반려",J1244="반려완료",J1244="심의완료"),"종결 표시",IF(OR(J1244="기후부협의",J1244="문서재제출요청",J1244="보류",J1244="보완요청",J1244="보완완료",J1244="평가중",J1244="반려요청",J1244="평가필요",LEFT(J1244,5)="보완요청("),"미종결 표시","상태 확인 필요"))</x:f>
        <x:v>미종결 표시</x:v>
      </x:c>
      <x:c r="L1244" s="2"/>
      <x:c r="M1244" s="2" t="n">
        <x:v>3</x:v>
      </x:c>
      <x:c r="N1244" s="8" t="n">
        <x:f>DATE(2026,10,15)-DATE(2024,6,3)</x:f>
        <x:v>864</x:v>
      </x:c>
      <x:c r="O1244" s="2" t="str">
        <x:v>생략</x:v>
      </x:c>
      <x:c r="P1244" s="2"/>
      <x:c r="Q1244" s="2" t="str">
        <x:v>산업전환_외부사업관리Tool_260707_이너젠 수정_LJY_261013.xlsx</x:v>
      </x:c>
      <x:c r="R1244" s="2" t="str">
        <x:v>국내평가</x:v>
      </x:c>
      <x:c r="S1244" s="8" t="n">
        <x:v>1147</x:v>
      </x:c>
      <x:c r="T1244" s="2" t="str">
        <x:v>(6/10),(9/2)</x:v>
      </x:c>
      <x:c r="U1244" s="2" t="str">
        <x:v>2024 배정: (6/10),(9/2) / 2025 배정: (7/18),(11/10)</x:v>
      </x:c>
      <x:c r="V1244" s="2" t="str">
        <x:v>2025-11-25</x:v>
      </x:c>
      <x:c r="W1244" s="2" t="str">
        <x:v>담당기관 확인</x:v>
      </x:c>
      <x:c r="X1244" s="2" t="str">
        <x:v>원본·배정 기록 확인</x:v>
      </x:c>
      <x:c r="Y1244" s="2" t="str">
        <x:v>ad210cd9ec132cfd447541c8984dc53d30aff0f4fb2dc92d254d49275cc55976</x:v>
      </x:c>
      <x:c r="Z1244" s="2" t="n">
        <x:f>SUBTOTAL(103,A1244)</x:f>
        <x:v>1</x:v>
      </x:c>
      <x:c r="AA1244" s="2" t="str">
        <x:f>IF(K1244&lt;&gt;"미종결 표시","대상 아님",IF(N1244="","신청일 확인",IF(NOT(ISNUMBER('종합 현황'!$H$5)),"관찰기준 확인",IF('종합 현황'!$H$5&lt;1,"관찰기준 확인",IF(N1244&gt;'종합 현황'!$H$5,"내부 관찰 대상","내부 관찰일 이하")))))</x:f>
        <x:v>내부 관찰 대상</x:v>
      </x:c>
      <x:c r="AB1244" s="2"/>
    </x:row>
    <x:row r="1245" ht="42" customHeight="1">
      <x:c r="A1245" s="2" t="str">
        <x:v>46dc4b562d87ab9c14db4cd9</x:v>
      </x:c>
      <x:c r="B1245" s="2" t="str">
        <x:v>사업 평가</x:v>
      </x:c>
      <x:c r="C1245" s="2" t="str">
        <x:v>국내</x:v>
      </x:c>
      <x:c r="D1245" s="7" t="str">
        <x:v>동해산업(주) 고효율 2단 인버터 PM  Motor 공기압축기로 교체 사업</x:v>
      </x:c>
      <x:c r="E1245" s="2" t="str">
        <x:v>1106</x:v>
      </x:c>
      <x:c r="F1245" s="2" t="str">
        <x:v>2024-06-17</x:v>
      </x:c>
      <x:c r="G1245" s="2" t="str">
        <x:v>2024</x:v>
      </x:c>
      <x:c r="H1245" s="2" t="str">
        <x:v>06</x:v>
      </x:c>
      <x:c r="I1245" s="2" t="str">
        <x:v>승인</x:v>
      </x:c>
      <x:c r="J1245" s="2" t="str">
        <x:v>심의승인</x:v>
      </x:c>
      <x:c r="K1245" s="2" t="str">
        <x:f>IF(OR(J1245="심의승인",J1245="반려",J1245="반려완료",J1245="심의완료"),"종결 표시",IF(OR(J1245="기후부협의",J1245="문서재제출요청",J1245="보류",J1245="보완요청",J1245="보완완료",J1245="평가중",J1245="반려요청",J1245="평가필요",LEFT(J1245,5)="보완요청("),"미종결 표시","상태 확인 필요"))</x:f>
        <x:v>종결 표시</x:v>
      </x:c>
      <x:c r="L1245" s="2"/>
      <x:c r="M1245" s="2"/>
      <x:c r="N1245" s="8" t="n">
        <x:f>DATE(2026,10,15)-DATE(2024,6,17)</x:f>
        <x:v>850</x:v>
      </x:c>
      <x:c r="O1245" s="2" t="str">
        <x:v>생략</x:v>
      </x:c>
      <x:c r="P1245" s="2"/>
      <x:c r="Q1245" s="2" t="str">
        <x:v>산업전환_외부사업관리Tool_260707_이너젠 수정_LJY_261013.xlsx</x:v>
      </x:c>
      <x:c r="R1245" s="2" t="str">
        <x:v>국내평가</x:v>
      </x:c>
      <x:c r="S1245" s="8" t="n">
        <x:v>1148</x:v>
      </x:c>
      <x:c r="T1245" s="2" t="str">
        <x:v>(7/1),(9/2)</x:v>
      </x:c>
      <x:c r="U1245" s="2" t="str">
        <x:v>2024 배정: (7/1),(9/2) / 2025 배정: (6/26),(7/18),(9/1)</x:v>
      </x:c>
      <x:c r="V1245" s="2" t="str">
        <x:v>2026-03-11</x:v>
      </x:c>
      <x:c r="W1245" s="2" t="str">
        <x:v>담당기관 확인</x:v>
      </x:c>
      <x:c r="X1245" s="2" t="str">
        <x:v>원본·배정 기록 확인</x:v>
      </x:c>
      <x:c r="Y1245" s="2" t="str">
        <x:v>ad210cd9ec132cfd447541c8984dc53d30aff0f4fb2dc92d254d49275cc55976</x:v>
      </x:c>
      <x:c r="Z1245" s="2" t="n">
        <x:f>SUBTOTAL(103,A1245)</x:f>
        <x:v>1</x:v>
      </x:c>
      <x:c r="AA1245" s="2" t="str">
        <x:f>IF(K1245&lt;&gt;"미종결 표시","대상 아님",IF(N1245="","신청일 확인",IF(NOT(ISNUMBER('종합 현황'!$H$5)),"관찰기준 확인",IF('종합 현황'!$H$5&lt;1,"관찰기준 확인",IF(N1245&gt;'종합 현황'!$H$5,"내부 관찰 대상","내부 관찰일 이하")))))</x:f>
        <x:v>대상 아님</x:v>
      </x:c>
      <x:c r="AB1245" s="2"/>
    </x:row>
    <x:row r="1246" ht="42" customHeight="1">
      <x:c r="A1246" s="2" t="str">
        <x:v>bc5609b3c1d43ac47e10ae4d</x:v>
      </x:c>
      <x:c r="B1246" s="2" t="str">
        <x:v>사업 평가</x:v>
      </x:c>
      <x:c r="C1246" s="2" t="str">
        <x:v>국내</x:v>
      </x:c>
      <x:c r="D1246" s="7" t="str">
        <x:v>(주)대창아스콘 아스콘생산시설 연료전환(B-C유 → LPG) 사업</x:v>
      </x:c>
      <x:c r="E1246" s="2" t="str">
        <x:v>1107</x:v>
      </x:c>
      <x:c r="F1246" s="2" t="str">
        <x:v>2024-07-01</x:v>
      </x:c>
      <x:c r="G1246" s="2" t="str">
        <x:v>2024</x:v>
      </x:c>
      <x:c r="H1246" s="2" t="str">
        <x:v>07</x:v>
      </x:c>
      <x:c r="I1246" s="2" t="str">
        <x:v>보완2차_보완중</x:v>
      </x:c>
      <x:c r="J1246" s="2" t="str">
        <x:v>보완요청</x:v>
      </x:c>
      <x:c r="K1246" s="2" t="str">
        <x:f>IF(OR(J1246="심의승인",J1246="반려",J1246="반려완료",J1246="심의완료"),"종결 표시",IF(OR(J1246="기후부협의",J1246="문서재제출요청",J1246="보류",J1246="보완요청",J1246="보완완료",J1246="평가중",J1246="반려요청",J1246="평가필요",LEFT(J1246,5)="보완요청("),"미종결 표시","상태 확인 필요"))</x:f>
        <x:v>미종결 표시</x:v>
      </x:c>
      <x:c r="L1246" s="2"/>
      <x:c r="M1246" s="2" t="n">
        <x:v>2</x:v>
      </x:c>
      <x:c r="N1246" s="8" t="n">
        <x:f>DATE(2026,10,15)-DATE(2024,7,1)</x:f>
        <x:v>836</x:v>
      </x:c>
      <x:c r="O1246" s="2" t="str">
        <x:v>생략</x:v>
      </x:c>
      <x:c r="P1246" s="2"/>
      <x:c r="Q1246" s="2" t="str">
        <x:v>산업전환_외부사업관리Tool_260707_이너젠 수정_LJY_261013.xlsx</x:v>
      </x:c>
      <x:c r="R1246" s="2" t="str">
        <x:v>국내평가</x:v>
      </x:c>
      <x:c r="S1246" s="8" t="n">
        <x:v>1149</x:v>
      </x:c>
      <x:c r="T1246" s="2" t="str">
        <x:v>(7/23)</x:v>
      </x:c>
      <x:c r="U1246" s="2" t="str">
        <x:v>2024 배정: (7/23)</x:v>
      </x:c>
      <x:c r="V1246" s="2" t="str">
        <x:v>2026-08-13</x:v>
      </x:c>
      <x:c r="W1246" s="2" t="str">
        <x:v>담당기관 확인</x:v>
      </x:c>
      <x:c r="X1246" s="2" t="str">
        <x:v>원본·배정 기록 확인</x:v>
      </x:c>
      <x:c r="Y1246" s="2" t="str">
        <x:v>ad210cd9ec132cfd447541c8984dc53d30aff0f4fb2dc92d254d49275cc55976</x:v>
      </x:c>
      <x:c r="Z1246" s="2" t="n">
        <x:f>SUBTOTAL(103,A1246)</x:f>
        <x:v>1</x:v>
      </x:c>
      <x:c r="AA1246" s="2" t="str">
        <x:f>IF(K1246&lt;&gt;"미종결 표시","대상 아님",IF(N1246="","신청일 확인",IF(NOT(ISNUMBER('종합 현황'!$H$5)),"관찰기준 확인",IF('종합 현황'!$H$5&lt;1,"관찰기준 확인",IF(N1246&gt;'종합 현황'!$H$5,"내부 관찰 대상","내부 관찰일 이하")))))</x:f>
        <x:v>내부 관찰 대상</x:v>
      </x:c>
      <x:c r="AB1246" s="2"/>
    </x:row>
    <x:row r="1247" ht="42" customHeight="1">
      <x:c r="A1247" s="2" t="str">
        <x:v>d421c737df1007ee8b93e3e3</x:v>
      </x:c>
      <x:c r="B1247" s="2" t="str">
        <x:v>사업 평가</x:v>
      </x:c>
      <x:c r="C1247" s="2" t="str">
        <x:v>국내</x:v>
      </x:c>
      <x:c r="D1247" s="7" t="str">
        <x:v>(주)송광프라스틱 고효율 2단 인버터 PM Motor 공기압축기로 교체 사업</x:v>
      </x:c>
      <x:c r="E1247" s="2" t="str">
        <x:v>1108</x:v>
      </x:c>
      <x:c r="F1247" s="2" t="str">
        <x:v>2024-07-11</x:v>
      </x:c>
      <x:c r="G1247" s="2" t="str">
        <x:v>2024</x:v>
      </x:c>
      <x:c r="H1247" s="2" t="str">
        <x:v>07</x:v>
      </x:c>
      <x:c r="I1247" s="2" t="str">
        <x:v>승인</x:v>
      </x:c>
      <x:c r="J1247" s="2" t="str">
        <x:v>심의승인</x:v>
      </x:c>
      <x:c r="K1247" s="2" t="str">
        <x:f>IF(OR(J1247="심의승인",J1247="반려",J1247="반려완료",J1247="심의완료"),"종결 표시",IF(OR(J1247="기후부협의",J1247="문서재제출요청",J1247="보류",J1247="보완요청",J1247="보완완료",J1247="평가중",J1247="반려요청",J1247="평가필요",LEFT(J1247,5)="보완요청("),"미종결 표시","상태 확인 필요"))</x:f>
        <x:v>종결 표시</x:v>
      </x:c>
      <x:c r="L1247" s="2"/>
      <x:c r="M1247" s="2"/>
      <x:c r="N1247" s="8" t="n">
        <x:f>DATE(2026,10,15)-DATE(2024,7,11)</x:f>
        <x:v>826</x:v>
      </x:c>
      <x:c r="O1247" s="2" t="str">
        <x:v>생략</x:v>
      </x:c>
      <x:c r="P1247" s="2"/>
      <x:c r="Q1247" s="2" t="str">
        <x:v>산업전환_외부사업관리Tool_260707_이너젠 수정_LJY_261013.xlsx</x:v>
      </x:c>
      <x:c r="R1247" s="2" t="str">
        <x:v>국내평가</x:v>
      </x:c>
      <x:c r="S1247" s="8" t="n">
        <x:v>1150</x:v>
      </x:c>
      <x:c r="T1247" s="2" t="str">
        <x:v>(7/23),(11/29)</x:v>
      </x:c>
      <x:c r="U1247" s="2" t="str">
        <x:v>2024 배정: (7/23),(11/29) / 2025 배정: (4/9),(11/10),(12/1) / 2026(사전): (1/14)</x:v>
      </x:c>
      <x:c r="V1247" s="2" t="str">
        <x:v>2026-09-08</x:v>
      </x:c>
      <x:c r="W1247" s="2" t="str">
        <x:v>담당기관 확인</x:v>
      </x:c>
      <x:c r="X1247" s="2" t="str">
        <x:v>원본·배정 기록 확인</x:v>
      </x:c>
      <x:c r="Y1247" s="2" t="str">
        <x:v>ad210cd9ec132cfd447541c8984dc53d30aff0f4fb2dc92d254d49275cc55976</x:v>
      </x:c>
      <x:c r="Z1247" s="2" t="n">
        <x:f>SUBTOTAL(103,A1247)</x:f>
        <x:v>1</x:v>
      </x:c>
      <x:c r="AA1247" s="2" t="str">
        <x:f>IF(K1247&lt;&gt;"미종결 표시","대상 아님",IF(N1247="","신청일 확인",IF(NOT(ISNUMBER('종합 현황'!$H$5)),"관찰기준 확인",IF('종합 현황'!$H$5&lt;1,"관찰기준 확인",IF(N1247&gt;'종합 현황'!$H$5,"내부 관찰 대상","내부 관찰일 이하")))))</x:f>
        <x:v>대상 아님</x:v>
      </x:c>
      <x:c r="AB1247" s="2"/>
    </x:row>
    <x:row r="1248" ht="42" customHeight="1">
      <x:c r="A1248" s="2" t="str">
        <x:v>31295869a98b3ce34e527014</x:v>
      </x:c>
      <x:c r="B1248" s="2" t="str">
        <x:v>사업 평가</x:v>
      </x:c>
      <x:c r="C1248" s="2" t="str">
        <x:v>국내</x:v>
      </x:c>
      <x:c r="D1248" s="7" t="str">
        <x:v>주식회사 대동인더스트리 외 5개사의 고효율 공기압축기 교체를 통한 온실가스 감축사업</x:v>
      </x:c>
      <x:c r="E1248" s="2" t="str">
        <x:v>1109</x:v>
      </x:c>
      <x:c r="F1248" s="2" t="str">
        <x:v>2024-08-13</x:v>
      </x:c>
      <x:c r="G1248" s="2" t="str">
        <x:v>2024</x:v>
      </x:c>
      <x:c r="H1248" s="2" t="str">
        <x:v>08</x:v>
      </x:c>
      <x:c r="I1248" s="2" t="str">
        <x:v>보완1차_보완중</x:v>
      </x:c>
      <x:c r="J1248" s="2" t="str">
        <x:v>보완요청</x:v>
      </x:c>
      <x:c r="K1248" s="2" t="str">
        <x:f>IF(OR(J1248="심의승인",J1248="반려",J1248="반려완료",J1248="심의완료"),"종결 표시",IF(OR(J1248="기후부협의",J1248="문서재제출요청",J1248="보류",J1248="보완요청",J1248="보완완료",J1248="평가중",J1248="반려요청",J1248="평가필요",LEFT(J1248,5)="보완요청("),"미종결 표시","상태 확인 필요"))</x:f>
        <x:v>미종결 표시</x:v>
      </x:c>
      <x:c r="L1248" s="2"/>
      <x:c r="M1248" s="2" t="n">
        <x:v>1</x:v>
      </x:c>
      <x:c r="N1248" s="8" t="n">
        <x:f>DATE(2026,10,15)-DATE(2024,8,13)</x:f>
        <x:v>793</x:v>
      </x:c>
      <x:c r="O1248" s="2" t="str">
        <x:v>생략</x:v>
      </x:c>
      <x:c r="P1248" s="2"/>
      <x:c r="Q1248" s="2" t="str">
        <x:v>산업전환_외부사업관리Tool_260707_이너젠 수정_LJY_261013.xlsx</x:v>
      </x:c>
      <x:c r="R1248" s="2" t="str">
        <x:v>국내평가</x:v>
      </x:c>
      <x:c r="S1248" s="8" t="n">
        <x:v>1151</x:v>
      </x:c>
      <x:c r="T1248" s="2" t="str">
        <x:v>(9/2)</x:v>
      </x:c>
      <x:c r="U1248" s="2" t="str">
        <x:v>2024 배정: (9/2)</x:v>
      </x:c>
      <x:c r="V1248" s="2" t="str">
        <x:v>2024-09-27</x:v>
      </x:c>
      <x:c r="W1248" s="2" t="str">
        <x:v>담당기관 확인</x:v>
      </x:c>
      <x:c r="X1248" s="2" t="str">
        <x:v>원본·배정 기록 확인</x:v>
      </x:c>
      <x:c r="Y1248" s="2" t="str">
        <x:v>ad210cd9ec132cfd447541c8984dc53d30aff0f4fb2dc92d254d49275cc55976</x:v>
      </x:c>
      <x:c r="Z1248" s="2" t="n">
        <x:f>SUBTOTAL(103,A1248)</x:f>
        <x:v>1</x:v>
      </x:c>
      <x:c r="AA1248" s="2" t="str">
        <x:f>IF(K1248&lt;&gt;"미종결 표시","대상 아님",IF(N1248="","신청일 확인",IF(NOT(ISNUMBER('종합 현황'!$H$5)),"관찰기준 확인",IF('종합 현황'!$H$5&lt;1,"관찰기준 확인",IF(N1248&gt;'종합 현황'!$H$5,"내부 관찰 대상","내부 관찰일 이하")))))</x:f>
        <x:v>내부 관찰 대상</x:v>
      </x:c>
      <x:c r="AB1248" s="2"/>
    </x:row>
    <x:row r="1249" ht="42" customHeight="1">
      <x:c r="A1249" s="2" t="str">
        <x:v>46c67aeee7ad24a842fd9064</x:v>
      </x:c>
      <x:c r="B1249" s="2" t="str">
        <x:v>사업 평가</x:v>
      </x:c>
      <x:c r="C1249" s="2" t="str">
        <x:v>국내</x:v>
      </x:c>
      <x:c r="D1249" s="7" t="str">
        <x:v>수성기체산업(주) 외 3개사의 고효율 공기압축기 교체를 통한 온실가스 감축사업</x:v>
      </x:c>
      <x:c r="E1249" s="2" t="str">
        <x:v>1110</x:v>
      </x:c>
      <x:c r="F1249" s="2" t="str">
        <x:v>2022-12-30</x:v>
      </x:c>
      <x:c r="G1249" s="2" t="str">
        <x:v>2022</x:v>
      </x:c>
      <x:c r="H1249" s="2" t="str">
        <x:v>12</x:v>
      </x:c>
      <x:c r="I1249" s="2" t="str">
        <x:v>승인</x:v>
      </x:c>
      <x:c r="J1249" s="2" t="str">
        <x:v>심의승인</x:v>
      </x:c>
      <x:c r="K1249" s="2" t="str">
        <x:f>IF(OR(J1249="심의승인",J1249="반려",J1249="반려완료",J1249="심의완료"),"종결 표시",IF(OR(J1249="기후부협의",J1249="문서재제출요청",J1249="보류",J1249="보완요청",J1249="보완완료",J1249="평가중",J1249="반려요청",J1249="평가필요",LEFT(J1249,5)="보완요청("),"미종결 표시","상태 확인 필요"))</x:f>
        <x:v>종결 표시</x:v>
      </x:c>
      <x:c r="L1249" s="2"/>
      <x:c r="M1249" s="2"/>
      <x:c r="N1249" s="8" t="n">
        <x:f>DATE(2026,10,15)-DATE(2022,12,30)</x:f>
        <x:v>1385</x:v>
      </x:c>
      <x:c r="O1249" s="2" t="str">
        <x:v>생략</x:v>
      </x:c>
      <x:c r="P1249" s="2"/>
      <x:c r="Q1249" s="2" t="str">
        <x:v>산업전환_외부사업관리Tool_260707_이너젠 수정_LJY_261013.xlsx</x:v>
      </x:c>
      <x:c r="R1249" s="2" t="str">
        <x:v>국내평가</x:v>
      </x:c>
      <x:c r="S1249" s="8" t="n">
        <x:v>1152</x:v>
      </x:c>
      <x:c r="T1249" s="2" t="str">
        <x:v>(9/2),(10/17)</x:v>
      </x:c>
      <x:c r="U1249" s="2" t="str">
        <x:v>2024 배정: (9/2),(10/17) / 2025 배정: (1/8)</x:v>
      </x:c>
      <x:c r="V1249" s="2" t="str">
        <x:v>2025-11-17</x:v>
      </x:c>
      <x:c r="W1249" s="2" t="str">
        <x:v>담당기관 확인</x:v>
      </x:c>
      <x:c r="X1249" s="2" t="str">
        <x:v>원본·배정 기록 확인</x:v>
      </x:c>
      <x:c r="Y1249" s="2" t="str">
        <x:v>ad210cd9ec132cfd447541c8984dc53d30aff0f4fb2dc92d254d49275cc55976</x:v>
      </x:c>
      <x:c r="Z1249" s="2" t="n">
        <x:f>SUBTOTAL(103,A1249)</x:f>
        <x:v>1</x:v>
      </x:c>
      <x:c r="AA1249" s="2" t="str">
        <x:f>IF(K1249&lt;&gt;"미종결 표시","대상 아님",IF(N1249="","신청일 확인",IF(NOT(ISNUMBER('종합 현황'!$H$5)),"관찰기준 확인",IF('종합 현황'!$H$5&lt;1,"관찰기준 확인",IF(N1249&gt;'종합 현황'!$H$5,"내부 관찰 대상","내부 관찰일 이하")))))</x:f>
        <x:v>대상 아님</x:v>
      </x:c>
      <x:c r="AB1249" s="2"/>
    </x:row>
    <x:row r="1250" ht="42" customHeight="1">
      <x:c r="A1250" s="2" t="str">
        <x:v>1f4319097318c401c609561a</x:v>
      </x:c>
      <x:c r="B1250" s="2" t="str">
        <x:v>사업 평가</x:v>
      </x:c>
      <x:c r="C1250" s="2" t="str">
        <x:v>국내</x:v>
      </x:c>
      <x:c r="D1250" s="7" t="str">
        <x:v>(주)금장 고효율 2단 인버터 PM  Motor 공기압축기로 교체 사업</x:v>
      </x:c>
      <x:c r="E1250" s="2" t="str">
        <x:v>1111</x:v>
      </x:c>
      <x:c r="F1250" s="2" t="str">
        <x:v>2024-08-21</x:v>
      </x:c>
      <x:c r="G1250" s="2" t="str">
        <x:v>2024</x:v>
      </x:c>
      <x:c r="H1250" s="2" t="str">
        <x:v>08</x:v>
      </x:c>
      <x:c r="I1250" s="2" t="str">
        <x:v>승인</x:v>
      </x:c>
      <x:c r="J1250" s="2" t="str">
        <x:v>심의승인</x:v>
      </x:c>
      <x:c r="K1250" s="2" t="str">
        <x:f>IF(OR(J1250="심의승인",J1250="반려",J1250="반려완료",J1250="심의완료"),"종결 표시",IF(OR(J1250="기후부협의",J1250="문서재제출요청",J1250="보류",J1250="보완요청",J1250="보완완료",J1250="평가중",J1250="반려요청",J1250="평가필요",LEFT(J1250,5)="보완요청("),"미종결 표시","상태 확인 필요"))</x:f>
        <x:v>종결 표시</x:v>
      </x:c>
      <x:c r="L1250" s="2"/>
      <x:c r="M1250" s="2"/>
      <x:c r="N1250" s="8" t="n">
        <x:f>DATE(2026,10,15)-DATE(2024,8,21)</x:f>
        <x:v>785</x:v>
      </x:c>
      <x:c r="O1250" s="2" t="str">
        <x:v>O(25.09)</x:v>
      </x:c>
      <x:c r="P1250" s="2"/>
      <x:c r="Q1250" s="2" t="str">
        <x:v>산업전환_외부사업관리Tool_260707_이너젠 수정_LJY_261013.xlsx</x:v>
      </x:c>
      <x:c r="R1250" s="2" t="str">
        <x:v>국내평가</x:v>
      </x:c>
      <x:c r="S1250" s="8" t="n">
        <x:v>1153</x:v>
      </x:c>
      <x:c r="T1250" s="2" t="str">
        <x:v>(9/2)</x:v>
      </x:c>
      <x:c r="U1250" s="2" t="str">
        <x:v>2024 배정: (9/2) / 2025 배정: (7/18),(9/16),(11/10)</x:v>
      </x:c>
      <x:c r="V1250" s="2" t="str">
        <x:v>2026-03-11</x:v>
      </x:c>
      <x:c r="W1250" s="2" t="str">
        <x:v>담당기관 확인</x:v>
      </x:c>
      <x:c r="X1250" s="2" t="str">
        <x:v>원본·배정 기록 확인</x:v>
      </x:c>
      <x:c r="Y1250" s="2" t="str">
        <x:v>ad210cd9ec132cfd447541c8984dc53d30aff0f4fb2dc92d254d49275cc55976</x:v>
      </x:c>
      <x:c r="Z1250" s="2" t="n">
        <x:f>SUBTOTAL(103,A1250)</x:f>
        <x:v>1</x:v>
      </x:c>
      <x:c r="AA1250" s="2" t="str">
        <x:f>IF(K1250&lt;&gt;"미종결 표시","대상 아님",IF(N1250="","신청일 확인",IF(NOT(ISNUMBER('종합 현황'!$H$5)),"관찰기준 확인",IF('종합 현황'!$H$5&lt;1,"관찰기준 확인",IF(N1250&gt;'종합 현황'!$H$5,"내부 관찰 대상","내부 관찰일 이하")))))</x:f>
        <x:v>대상 아님</x:v>
      </x:c>
      <x:c r="AB1250" s="2"/>
    </x:row>
    <x:row r="1251" ht="42" customHeight="1">
      <x:c r="A1251" s="2" t="str">
        <x:v>6c5efa17c9d0d6d70dc2615a</x:v>
      </x:c>
      <x:c r="B1251" s="2" t="str">
        <x:v>사업 평가</x:v>
      </x:c>
      <x:c r="C1251" s="2" t="str">
        <x:v>국내</x:v>
      </x:c>
      <x:c r="D1251" s="7" t="str">
        <x:v>한국초저온평택 &amp; 한국가스공사의 미활용 LNG 기화 냉열 활용을 통한 전력 및 또는 화석연료 사용 절감 사업</x:v>
      </x:c>
      <x:c r="E1251" s="2" t="str">
        <x:v>1112</x:v>
      </x:c>
      <x:c r="F1251" s="2" t="str">
        <x:v>2024-08-29</x:v>
      </x:c>
      <x:c r="G1251" s="2" t="str">
        <x:v>2024</x:v>
      </x:c>
      <x:c r="H1251" s="2" t="str">
        <x:v>08</x:v>
      </x:c>
      <x:c r="I1251" s="2" t="str">
        <x:v>승인</x:v>
      </x:c>
      <x:c r="J1251" s="2" t="str">
        <x:v>심의승인</x:v>
      </x:c>
      <x:c r="K1251" s="2" t="str">
        <x:f>IF(OR(J1251="심의승인",J1251="반려",J1251="반려완료",J1251="심의완료"),"종결 표시",IF(OR(J1251="기후부협의",J1251="문서재제출요청",J1251="보류",J1251="보완요청",J1251="보완완료",J1251="평가중",J1251="반려요청",J1251="평가필요",LEFT(J1251,5)="보완요청("),"미종결 표시","상태 확인 필요"))</x:f>
        <x:v>종결 표시</x:v>
      </x:c>
      <x:c r="L1251" s="2"/>
      <x:c r="M1251" s="2"/>
      <x:c r="N1251" s="8" t="n">
        <x:f>DATE(2026,10,15)-DATE(2024,8,29)</x:f>
        <x:v>777</x:v>
      </x:c>
      <x:c r="O1251" s="2" t="str">
        <x:v>O(25.07)</x:v>
      </x:c>
      <x:c r="P1251" s="2" t="str">
        <x:v>환경공단과 논의 필요하여 '26.2분기 인증위 상정 불가</x:v>
      </x:c>
      <x:c r="Q1251" s="2" t="str">
        <x:v>산업전환_외부사업관리Tool_260707_이너젠 수정_LJY_261013.xlsx</x:v>
      </x:c>
      <x:c r="R1251" s="2" t="str">
        <x:v>국내평가</x:v>
      </x:c>
      <x:c r="S1251" s="8" t="n">
        <x:v>1154</x:v>
      </x:c>
      <x:c r="T1251" s="2" t="str">
        <x:v>(9/2)</x:v>
      </x:c>
      <x:c r="U1251" s="2" t="str">
        <x:v>2024 배정: (9/2) / 2025 배정: (3/5),(6/26),(11/10) / 2026(사전): (1/14)</x:v>
      </x:c>
      <x:c r="V1251" s="2" t="str">
        <x:v>2026-09-14</x:v>
      </x:c>
      <x:c r="W1251" s="2" t="str">
        <x:v>담당기관 확인</x:v>
      </x:c>
      <x:c r="X1251" s="2" t="str">
        <x:v>원본·배정 기록 확인</x:v>
      </x:c>
      <x:c r="Y1251" s="2" t="str">
        <x:v>ad210cd9ec132cfd447541c8984dc53d30aff0f4fb2dc92d254d49275cc55976</x:v>
      </x:c>
      <x:c r="Z1251" s="2" t="n">
        <x:f>SUBTOTAL(103,A1251)</x:f>
        <x:v>1</x:v>
      </x:c>
      <x:c r="AA1251" s="2" t="str">
        <x:f>IF(K1251&lt;&gt;"미종결 표시","대상 아님",IF(N1251="","신청일 확인",IF(NOT(ISNUMBER('종합 현황'!$H$5)),"관찰기준 확인",IF('종합 현황'!$H$5&lt;1,"관찰기준 확인",IF(N1251&gt;'종합 현황'!$H$5,"내부 관찰 대상","내부 관찰일 이하")))))</x:f>
        <x:v>대상 아님</x:v>
      </x:c>
      <x:c r="AB1251" s="2"/>
    </x:row>
    <x:row r="1252" ht="42" customHeight="1">
      <x:c r="A1252" s="2" t="str">
        <x:v>5396cfc06e180565acfa2298</x:v>
      </x:c>
      <x:c r="B1252" s="2" t="str">
        <x:v>사업 평가</x:v>
      </x:c>
      <x:c r="C1252" s="2" t="str">
        <x:v>국내</x:v>
      </x:c>
      <x:c r="D1252" s="7" t="str">
        <x:v>2023년 지역에너지신산업 활성화 지원 사업에 따른 성남시 공공시설 및 단독주택 태양광발전 프로그램 감축사업</x:v>
      </x:c>
      <x:c r="E1252" s="2" t="str">
        <x:v>1113</x:v>
      </x:c>
      <x:c r="F1252" s="2" t="str">
        <x:v>2024-08-30</x:v>
      </x:c>
      <x:c r="G1252" s="2" t="str">
        <x:v>2024</x:v>
      </x:c>
      <x:c r="H1252" s="2" t="str">
        <x:v>08</x:v>
      </x:c>
      <x:c r="I1252" s="2" t="str">
        <x:v>보완1차_보완중</x:v>
      </x:c>
      <x:c r="J1252" s="2" t="str">
        <x:v>보완요청</x:v>
      </x:c>
      <x:c r="K1252" s="2" t="str">
        <x:f>IF(OR(J1252="심의승인",J1252="반려",J1252="반려완료",J1252="심의완료"),"종결 표시",IF(OR(J1252="기후부협의",J1252="문서재제출요청",J1252="보류",J1252="보완요청",J1252="보완완료",J1252="평가중",J1252="반려요청",J1252="평가필요",LEFT(J1252,5)="보완요청("),"미종결 표시","상태 확인 필요"))</x:f>
        <x:v>미종결 표시</x:v>
      </x:c>
      <x:c r="L1252" s="2"/>
      <x:c r="M1252" s="2" t="n">
        <x:v>1</x:v>
      </x:c>
      <x:c r="N1252" s="8" t="n">
        <x:f>DATE(2026,10,15)-DATE(2024,8,30)</x:f>
        <x:v>776</x:v>
      </x:c>
      <x:c r="O1252" s="2" t="str">
        <x:v>생략</x:v>
      </x:c>
      <x:c r="P1252" s="2" t="str">
        <x:v>2026-03-18T00:00:00</x:v>
      </x:c>
      <x:c r="Q1252" s="2" t="str">
        <x:v>산업전환_외부사업관리Tool_260707_이너젠 수정_LJY_261013.xlsx</x:v>
      </x:c>
      <x:c r="R1252" s="2" t="str">
        <x:v>국내평가</x:v>
      </x:c>
      <x:c r="S1252" s="8" t="n">
        <x:v>1155</x:v>
      </x:c>
      <x:c r="T1252" s="2" t="str">
        <x:v>(9/26)</x:v>
      </x:c>
      <x:c r="U1252" s="2" t="str">
        <x:v>2024 배정: (9/26)</x:v>
      </x:c>
      <x:c r="V1252" s="2" t="str">
        <x:v>2024-10-17</x:v>
      </x:c>
      <x:c r="W1252" s="2" t="str">
        <x:v>담당기관 확인</x:v>
      </x:c>
      <x:c r="X1252" s="2" t="str">
        <x:v>원본·배정 기록 확인</x:v>
      </x:c>
      <x:c r="Y1252" s="2" t="str">
        <x:v>ad210cd9ec132cfd447541c8984dc53d30aff0f4fb2dc92d254d49275cc55976</x:v>
      </x:c>
      <x:c r="Z1252" s="2" t="n">
        <x:f>SUBTOTAL(103,A1252)</x:f>
        <x:v>1</x:v>
      </x:c>
      <x:c r="AA1252" s="2" t="str">
        <x:f>IF(K1252&lt;&gt;"미종결 표시","대상 아님",IF(N1252="","신청일 확인",IF(NOT(ISNUMBER('종합 현황'!$H$5)),"관찰기준 확인",IF('종합 현황'!$H$5&lt;1,"관찰기준 확인",IF(N1252&gt;'종합 현황'!$H$5,"내부 관찰 대상","내부 관찰일 이하")))))</x:f>
        <x:v>내부 관찰 대상</x:v>
      </x:c>
      <x:c r="AB1252" s="2"/>
    </x:row>
    <x:row r="1253" ht="42" customHeight="1">
      <x:c r="A1253" s="2" t="str">
        <x:v>f79513d1710868c34dc0f853</x:v>
      </x:c>
      <x:c r="B1253" s="2" t="str">
        <x:v>사업 평가</x:v>
      </x:c>
      <x:c r="C1253" s="2" t="str">
        <x:v>국내</x:v>
      </x:c>
      <x:c r="D1253" s="7" t="str">
        <x:v>(주)성진엔프라 고효율 인버터 PM  Motor 공기압축기로 교체 사업</x:v>
      </x:c>
      <x:c r="E1253" s="2" t="str">
        <x:v>1114</x:v>
      </x:c>
      <x:c r="F1253" s="2" t="str">
        <x:v>2024-09-10</x:v>
      </x:c>
      <x:c r="G1253" s="2" t="str">
        <x:v>2024</x:v>
      </x:c>
      <x:c r="H1253" s="2" t="str">
        <x:v>09</x:v>
      </x:c>
      <x:c r="I1253" s="2" t="str">
        <x:v>승인</x:v>
      </x:c>
      <x:c r="J1253" s="2" t="str">
        <x:v>심의승인</x:v>
      </x:c>
      <x:c r="K1253" s="2" t="str">
        <x:f>IF(OR(J1253="심의승인",J1253="반려",J1253="반려완료",J1253="심의완료"),"종결 표시",IF(OR(J1253="기후부협의",J1253="문서재제출요청",J1253="보류",J1253="보완요청",J1253="보완완료",J1253="평가중",J1253="반려요청",J1253="평가필요",LEFT(J1253,5)="보완요청("),"미종결 표시","상태 확인 필요"))</x:f>
        <x:v>종결 표시</x:v>
      </x:c>
      <x:c r="L1253" s="2"/>
      <x:c r="M1253" s="2"/>
      <x:c r="N1253" s="8" t="n">
        <x:f>DATE(2026,10,15)-DATE(2024,9,10)</x:f>
        <x:v>765</x:v>
      </x:c>
      <x:c r="O1253" s="2" t="str">
        <x:v>생략</x:v>
      </x:c>
      <x:c r="P1253" s="2" t="str">
        <x:v>2026-03-18T00:00:00</x:v>
      </x:c>
      <x:c r="Q1253" s="2" t="str">
        <x:v>산업전환_외부사업관리Tool_260707_이너젠 수정_LJY_261013.xlsx</x:v>
      </x:c>
      <x:c r="R1253" s="2" t="str">
        <x:v>국내평가</x:v>
      </x:c>
      <x:c r="S1253" s="8" t="n">
        <x:v>1156</x:v>
      </x:c>
      <x:c r="T1253" s="2" t="str">
        <x:v>(9/26),(11/29)</x:v>
      </x:c>
      <x:c r="U1253" s="2" t="str">
        <x:v>2024 배정: (9/26),(11/29) / 2025 배정: (3/5)</x:v>
      </x:c>
      <x:c r="V1253" s="2" t="str">
        <x:v>2025-06-16</x:v>
      </x:c>
      <x:c r="W1253" s="2" t="str">
        <x:v>담당기관 확인</x:v>
      </x:c>
      <x:c r="X1253" s="2" t="str">
        <x:v>원본·배정 기록 확인</x:v>
      </x:c>
      <x:c r="Y1253" s="2" t="str">
        <x:v>ad210cd9ec132cfd447541c8984dc53d30aff0f4fb2dc92d254d49275cc55976</x:v>
      </x:c>
      <x:c r="Z1253" s="2" t="n">
        <x:f>SUBTOTAL(103,A1253)</x:f>
        <x:v>1</x:v>
      </x:c>
      <x:c r="AA1253" s="2" t="str">
        <x:f>IF(K1253&lt;&gt;"미종결 표시","대상 아님",IF(N1253="","신청일 확인",IF(NOT(ISNUMBER('종합 현황'!$H$5)),"관찰기준 확인",IF('종합 현황'!$H$5&lt;1,"관찰기준 확인",IF(N1253&gt;'종합 현황'!$H$5,"내부 관찰 대상","내부 관찰일 이하")))))</x:f>
        <x:v>대상 아님</x:v>
      </x:c>
      <x:c r="AB1253" s="2"/>
    </x:row>
    <x:row r="1254" ht="42" customHeight="1">
      <x:c r="A1254" s="2" t="str">
        <x:v>3994f68fef88d735f1693acc</x:v>
      </x:c>
      <x:c r="B1254" s="2" t="str">
        <x:v>사업 평가</x:v>
      </x:c>
      <x:c r="C1254" s="2" t="str">
        <x:v>국내</x:v>
      </x:c>
      <x:c r="D1254" s="7" t="str">
        <x:v>청암노인요양원 서울형 에너지복지 태양광 발전사업</x:v>
      </x:c>
      <x:c r="E1254" s="2" t="str">
        <x:v>1115</x:v>
      </x:c>
      <x:c r="F1254" s="2" t="str">
        <x:v>2024-09-30</x:v>
      </x:c>
      <x:c r="G1254" s="2" t="str">
        <x:v>2024</x:v>
      </x:c>
      <x:c r="H1254" s="2" t="str">
        <x:v>09</x:v>
      </x:c>
      <x:c r="I1254" s="2" t="str">
        <x:v>반려</x:v>
      </x:c>
      <x:c r="J1254" s="2" t="str">
        <x:v>반려</x:v>
      </x:c>
      <x:c r="K1254" s="2" t="str">
        <x:f>IF(OR(J1254="심의승인",J1254="반려",J1254="반려완료",J1254="심의완료"),"종결 표시",IF(OR(J1254="기후부협의",J1254="문서재제출요청",J1254="보류",J1254="보완요청",J1254="보완완료",J1254="평가중",J1254="반려요청",J1254="평가필요",LEFT(J1254,5)="보완요청("),"미종결 표시","상태 확인 필요"))</x:f>
        <x:v>종결 표시</x:v>
      </x:c>
      <x:c r="L1254" s="2"/>
      <x:c r="M1254" s="2"/>
      <x:c r="N1254" s="8" t="n">
        <x:f>DATE(2026,10,15)-DATE(2024,9,30)</x:f>
        <x:v>745</x:v>
      </x:c>
      <x:c r="O1254" s="2" t="str">
        <x:v>생략</x:v>
      </x:c>
      <x:c r="P1254" s="2" t="str">
        <x:v>업체 요청에 따라 반려</x:v>
      </x:c>
      <x:c r="Q1254" s="2" t="str">
        <x:v>산업전환_외부사업관리Tool_260707_이너젠 수정_LJY_261013.xlsx</x:v>
      </x:c>
      <x:c r="R1254" s="2" t="str">
        <x:v>국내평가</x:v>
      </x:c>
      <x:c r="S1254" s="8" t="n">
        <x:v>1157</x:v>
      </x:c>
      <x:c r="T1254" s="2" t="str">
        <x:v>(10/17)</x:v>
      </x:c>
      <x:c r="U1254" s="2" t="str">
        <x:v>2024 배정: (10/17)</x:v>
      </x:c>
      <x:c r="V1254" s="2" t="str">
        <x:v>2026-06-29</x:v>
      </x:c>
      <x:c r="W1254" s="2" t="str">
        <x:v>담당기관 확인</x:v>
      </x:c>
      <x:c r="X1254" s="2" t="str">
        <x:v>원본·배정 기록 확인</x:v>
      </x:c>
      <x:c r="Y1254" s="2" t="str">
        <x:v>ad210cd9ec132cfd447541c8984dc53d30aff0f4fb2dc92d254d49275cc55976</x:v>
      </x:c>
      <x:c r="Z1254" s="2" t="n">
        <x:f>SUBTOTAL(103,A1254)</x:f>
        <x:v>1</x:v>
      </x:c>
      <x:c r="AA1254" s="2" t="str">
        <x:f>IF(K1254&lt;&gt;"미종결 표시","대상 아님",IF(N1254="","신청일 확인",IF(NOT(ISNUMBER('종합 현황'!$H$5)),"관찰기준 확인",IF('종합 현황'!$H$5&lt;1,"관찰기준 확인",IF(N1254&gt;'종합 현황'!$H$5,"내부 관찰 대상","내부 관찰일 이하")))))</x:f>
        <x:v>대상 아님</x:v>
      </x:c>
      <x:c r="AB1254" s="2"/>
    </x:row>
    <x:row r="1255" ht="42" customHeight="1">
      <x:c r="A1255" s="2" t="str">
        <x:v>071cc935ee778c004e2744e7</x:v>
      </x:c>
      <x:c r="B1255" s="2" t="str">
        <x:v>사업 평가</x:v>
      </x:c>
      <x:c r="C1255" s="2" t="str">
        <x:v>국내</x:v>
      </x:c>
      <x:c r="D1255" s="7" t="str">
        <x:v>주택용 태양광 발전 시스템을 이용한 자가사용 묶음 감축사업</x:v>
      </x:c>
      <x:c r="E1255" s="2" t="str">
        <x:v>1116</x:v>
      </x:c>
      <x:c r="F1255" s="2" t="str">
        <x:v>2024-10-16</x:v>
      </x:c>
      <x:c r="G1255" s="2" t="str">
        <x:v>2024</x:v>
      </x:c>
      <x:c r="H1255" s="2" t="str">
        <x:v>10</x:v>
      </x:c>
      <x:c r="I1255" s="2" t="str">
        <x:v>반려</x:v>
      </x:c>
      <x:c r="J1255" s="2" t="str">
        <x:v>반려</x:v>
      </x:c>
      <x:c r="K1255" s="2" t="str">
        <x:f>IF(OR(J1255="심의승인",J1255="반려",J1255="반려완료",J1255="심의완료"),"종결 표시",IF(OR(J1255="기후부협의",J1255="문서재제출요청",J1255="보류",J1255="보완요청",J1255="보완완료",J1255="평가중",J1255="반려요청",J1255="평가필요",LEFT(J1255,5)="보완요청("),"미종결 표시","상태 확인 필요"))</x:f>
        <x:v>종결 표시</x:v>
      </x:c>
      <x:c r="L1255" s="2"/>
      <x:c r="M1255" s="2"/>
      <x:c r="N1255" s="8" t="n">
        <x:f>DATE(2026,10,15)-DATE(2024,10,16)</x:f>
        <x:v>729</x:v>
      </x:c>
      <x:c r="O1255" s="2" t="str">
        <x:v>생략</x:v>
      </x:c>
      <x:c r="P1255" s="2"/>
      <x:c r="Q1255" s="2" t="str">
        <x:v>산업전환_외부사업관리Tool_260707_이너젠 수정_LJY_261013.xlsx</x:v>
      </x:c>
      <x:c r="R1255" s="2" t="str">
        <x:v>국내평가</x:v>
      </x:c>
      <x:c r="S1255" s="8" t="n">
        <x:v>1158</x:v>
      </x:c>
      <x:c r="T1255" s="2" t="str">
        <x:v>(11/8)</x:v>
      </x:c>
      <x:c r="U1255" s="2" t="str">
        <x:v>2024 배정: (11/8)</x:v>
      </x:c>
      <x:c r="V1255" s="2" t="str">
        <x:v>2026-07-27</x:v>
      </x:c>
      <x:c r="W1255" s="2" t="str">
        <x:v>담당기관 확인</x:v>
      </x:c>
      <x:c r="X1255" s="2" t="str">
        <x:v>원본·배정 기록 확인</x:v>
      </x:c>
      <x:c r="Y1255" s="2" t="str">
        <x:v>ad210cd9ec132cfd447541c8984dc53d30aff0f4fb2dc92d254d49275cc55976</x:v>
      </x:c>
      <x:c r="Z1255" s="2" t="n">
        <x:f>SUBTOTAL(103,A1255)</x:f>
        <x:v>1</x:v>
      </x:c>
      <x:c r="AA1255" s="2" t="str">
        <x:f>IF(K1255&lt;&gt;"미종결 표시","대상 아님",IF(N1255="","신청일 확인",IF(NOT(ISNUMBER('종합 현황'!$H$5)),"관찰기준 확인",IF('종합 현황'!$H$5&lt;1,"관찰기준 확인",IF(N1255&gt;'종합 현황'!$H$5,"내부 관찰 대상","내부 관찰일 이하")))))</x:f>
        <x:v>대상 아님</x:v>
      </x:c>
      <x:c r="AB1255" s="2"/>
    </x:row>
    <x:row r="1256" ht="42" customHeight="1">
      <x:c r="A1256" s="2" t="str">
        <x:v>b735ff4df1d47ab22e6733d6</x:v>
      </x:c>
      <x:c r="B1256" s="2" t="str">
        <x:v>사업 평가</x:v>
      </x:c>
      <x:c r="C1256" s="2" t="str">
        <x:v>국내</x:v>
      </x:c>
      <x:c r="D1256" s="7" t="str">
        <x:v>(주)대한캐스팅 외 2개사의 고효율 공기압축기 교체를 통한 온실가스 감축사업</x:v>
      </x:c>
      <x:c r="E1256" s="2" t="str">
        <x:v>1117</x:v>
      </x:c>
      <x:c r="F1256" s="2" t="str">
        <x:v>2024-10-22</x:v>
      </x:c>
      <x:c r="G1256" s="2" t="str">
        <x:v>2024</x:v>
      </x:c>
      <x:c r="H1256" s="2" t="str">
        <x:v>10</x:v>
      </x:c>
      <x:c r="I1256" s="2" t="str">
        <x:v>승인</x:v>
      </x:c>
      <x:c r="J1256" s="2" t="str">
        <x:v>심의승인</x:v>
      </x:c>
      <x:c r="K1256" s="2" t="str">
        <x:f>IF(OR(J1256="심의승인",J1256="반려",J1256="반려완료",J1256="심의완료"),"종결 표시",IF(OR(J1256="기후부협의",J1256="문서재제출요청",J1256="보류",J1256="보완요청",J1256="보완완료",J1256="평가중",J1256="반려요청",J1256="평가필요",LEFT(J1256,5)="보완요청("),"미종결 표시","상태 확인 필요"))</x:f>
        <x:v>종결 표시</x:v>
      </x:c>
      <x:c r="L1256" s="2"/>
      <x:c r="M1256" s="2"/>
      <x:c r="N1256" s="8" t="n">
        <x:f>DATE(2026,10,15)-DATE(2024,10,22)</x:f>
        <x:v>723</x:v>
      </x:c>
      <x:c r="O1256" s="2" t="str">
        <x:v>생략</x:v>
      </x:c>
      <x:c r="P1256" s="2"/>
      <x:c r="Q1256" s="2" t="str">
        <x:v>산업전환_외부사업관리Tool_260707_이너젠 수정_LJY_261013.xlsx</x:v>
      </x:c>
      <x:c r="R1256" s="2" t="str">
        <x:v>국내평가</x:v>
      </x:c>
      <x:c r="S1256" s="8" t="n">
        <x:v>1159</x:v>
      </x:c>
      <x:c r="T1256" s="2" t="str">
        <x:v>(11/8)</x:v>
      </x:c>
      <x:c r="U1256" s="2" t="str">
        <x:v>2024 배정: (11/8) / 2025 배정: (1/8),(4/9),(5/30),(7/18),(9/16)</x:v>
      </x:c>
      <x:c r="V1256" s="2" t="str">
        <x:v>2026-03-11</x:v>
      </x:c>
      <x:c r="W1256" s="2" t="str">
        <x:v>담당기관 확인</x:v>
      </x:c>
      <x:c r="X1256" s="2" t="str">
        <x:v>원본·배정 기록 확인</x:v>
      </x:c>
      <x:c r="Y1256" s="2" t="str">
        <x:v>ad210cd9ec132cfd447541c8984dc53d30aff0f4fb2dc92d254d49275cc55976</x:v>
      </x:c>
      <x:c r="Z1256" s="2" t="n">
        <x:f>SUBTOTAL(103,A1256)</x:f>
        <x:v>1</x:v>
      </x:c>
      <x:c r="AA1256" s="2" t="str">
        <x:f>IF(K1256&lt;&gt;"미종결 표시","대상 아님",IF(N1256="","신청일 확인",IF(NOT(ISNUMBER('종합 현황'!$H$5)),"관찰기준 확인",IF('종합 현황'!$H$5&lt;1,"관찰기준 확인",IF(N1256&gt;'종합 현황'!$H$5,"내부 관찰 대상","내부 관찰일 이하")))))</x:f>
        <x:v>대상 아님</x:v>
      </x:c>
      <x:c r="AB1256" s="2"/>
    </x:row>
    <x:row r="1257" ht="42" customHeight="1">
      <x:c r="A1257" s="2" t="str">
        <x:v>3513a57387560e6a5c3e9a58</x:v>
      </x:c>
      <x:c r="B1257" s="2" t="str">
        <x:v>사업 평가</x:v>
      </x:c>
      <x:c r="C1257" s="2" t="str">
        <x:v>국내</x:v>
      </x:c>
      <x:c r="D1257" s="7" t="str">
        <x:v>엑시콘 태양광 발전설비 설치 및 자가사용을 통한 온실가스 감축사업</x:v>
      </x:c>
      <x:c r="E1257" s="2" t="str">
        <x:v>1118</x:v>
      </x:c>
      <x:c r="F1257" s="2" t="str">
        <x:v>2024-11-18</x:v>
      </x:c>
      <x:c r="G1257" s="2" t="str">
        <x:v>2024</x:v>
      </x:c>
      <x:c r="H1257" s="2" t="str">
        <x:v>11</x:v>
      </x:c>
      <x:c r="I1257" s="2" t="str">
        <x:v>승인</x:v>
      </x:c>
      <x:c r="J1257" s="2" t="str">
        <x:v>심의승인</x:v>
      </x:c>
      <x:c r="K1257" s="2" t="str">
        <x:f>IF(OR(J1257="심의승인",J1257="반려",J1257="반려완료",J1257="심의완료"),"종결 표시",IF(OR(J1257="기후부협의",J1257="문서재제출요청",J1257="보류",J1257="보완요청",J1257="보완완료",J1257="평가중",J1257="반려요청",J1257="평가필요",LEFT(J1257,5)="보완요청("),"미종결 표시","상태 확인 필요"))</x:f>
        <x:v>종결 표시</x:v>
      </x:c>
      <x:c r="L1257" s="2"/>
      <x:c r="M1257" s="2"/>
      <x:c r="N1257" s="8" t="n">
        <x:f>DATE(2026,10,15)-DATE(2024,11,18)</x:f>
        <x:v>696</x:v>
      </x:c>
      <x:c r="O1257" s="2" t="str">
        <x:v>O(25.11)</x:v>
      </x:c>
      <x:c r="P1257" s="2"/>
      <x:c r="Q1257" s="2" t="str">
        <x:v>산업전환_외부사업관리Tool_260707_이너젠 수정_LJY_261013.xlsx</x:v>
      </x:c>
      <x:c r="R1257" s="2" t="str">
        <x:v>국내평가</x:v>
      </x:c>
      <x:c r="S1257" s="8" t="n">
        <x:v>1160</x:v>
      </x:c>
      <x:c r="T1257" s="2" t="str">
        <x:v>(11/29),(11/29)</x:v>
      </x:c>
      <x:c r="U1257" s="2" t="str">
        <x:v>2024 배정: (11/29),(11/29) / 2025 배정: (3/5),(5/9),(6/26),(9/1) / 2026(사전): (2/3),(3/19),(4/29)</x:v>
      </x:c>
      <x:c r="V1257" s="2" t="str">
        <x:v>2026-09-08</x:v>
      </x:c>
      <x:c r="W1257" s="2" t="str">
        <x:v>담당기관 확인</x:v>
      </x:c>
      <x:c r="X1257" s="2" t="str">
        <x:v>원본·배정 기록 확인</x:v>
      </x:c>
      <x:c r="Y1257" s="2" t="str">
        <x:v>ad210cd9ec132cfd447541c8984dc53d30aff0f4fb2dc92d254d49275cc55976</x:v>
      </x:c>
      <x:c r="Z1257" s="2" t="n">
        <x:f>SUBTOTAL(103,A1257)</x:f>
        <x:v>1</x:v>
      </x:c>
      <x:c r="AA1257" s="2" t="str">
        <x:f>IF(K1257&lt;&gt;"미종결 표시","대상 아님",IF(N1257="","신청일 확인",IF(NOT(ISNUMBER('종합 현황'!$H$5)),"관찰기준 확인",IF('종합 현황'!$H$5&lt;1,"관찰기준 확인",IF(N1257&gt;'종합 현황'!$H$5,"내부 관찰 대상","내부 관찰일 이하")))))</x:f>
        <x:v>대상 아님</x:v>
      </x:c>
      <x:c r="AB1257" s="2"/>
    </x:row>
    <x:row r="1258" ht="42" customHeight="1">
      <x:c r="A1258" s="2" t="str">
        <x:v>d62a5885caa949fd9010b086</x:v>
      </x:c>
      <x:c r="B1258" s="2" t="str">
        <x:v>사업 평가</x:v>
      </x:c>
      <x:c r="C1258" s="2" t="str">
        <x:v>국내</x:v>
      </x:c>
      <x:c r="D1258" s="7" t="str">
        <x:v>부경아스콘(주) 고효율 2단 인버터 PM  Motor 공기압축기로 교체 사업</x:v>
      </x:c>
      <x:c r="E1258" s="2" t="str">
        <x:v>1119</x:v>
      </x:c>
      <x:c r="F1258" s="2" t="str">
        <x:v>2024-11-21</x:v>
      </x:c>
      <x:c r="G1258" s="2" t="str">
        <x:v>2024</x:v>
      </x:c>
      <x:c r="H1258" s="2" t="str">
        <x:v>11</x:v>
      </x:c>
      <x:c r="I1258" s="2" t="str">
        <x:v>승인</x:v>
      </x:c>
      <x:c r="J1258" s="2" t="str">
        <x:v>심의승인</x:v>
      </x:c>
      <x:c r="K1258" s="2" t="str">
        <x:f>IF(OR(J1258="심의승인",J1258="반려",J1258="반려완료",J1258="심의완료"),"종결 표시",IF(OR(J1258="기후부협의",J1258="문서재제출요청",J1258="보류",J1258="보완요청",J1258="보완완료",J1258="평가중",J1258="반려요청",J1258="평가필요",LEFT(J1258,5)="보완요청("),"미종결 표시","상태 확인 필요"))</x:f>
        <x:v>종결 표시</x:v>
      </x:c>
      <x:c r="L1258" s="2"/>
      <x:c r="M1258" s="2"/>
      <x:c r="N1258" s="8" t="n">
        <x:f>DATE(2026,10,15)-DATE(2024,11,21)</x:f>
        <x:v>693</x:v>
      </x:c>
      <x:c r="O1258" s="2" t="str">
        <x:v>생략</x:v>
      </x:c>
      <x:c r="P1258" s="2"/>
      <x:c r="Q1258" s="2" t="str">
        <x:v>산업전환_외부사업관리Tool_260707_이너젠 수정_LJY_261013.xlsx</x:v>
      </x:c>
      <x:c r="R1258" s="2" t="str">
        <x:v>국내평가</x:v>
      </x:c>
      <x:c r="S1258" s="8" t="n">
        <x:v>1161</x:v>
      </x:c>
      <x:c r="T1258" s="2" t="str">
        <x:v>(11/29)</x:v>
      </x:c>
      <x:c r="U1258" s="2" t="str">
        <x:v>2024 배정: (11/29) / 2025 배정: (4/9),(5/9),(6/26)</x:v>
      </x:c>
      <x:c r="V1258" s="2" t="str">
        <x:v>2025-12-11</x:v>
      </x:c>
      <x:c r="W1258" s="2" t="str">
        <x:v>담당기관 확인</x:v>
      </x:c>
      <x:c r="X1258" s="2" t="str">
        <x:v>원본·배정 기록 확인</x:v>
      </x:c>
      <x:c r="Y1258" s="2" t="str">
        <x:v>ad210cd9ec132cfd447541c8984dc53d30aff0f4fb2dc92d254d49275cc55976</x:v>
      </x:c>
      <x:c r="Z1258" s="2" t="n">
        <x:f>SUBTOTAL(103,A1258)</x:f>
        <x:v>1</x:v>
      </x:c>
      <x:c r="AA1258" s="2" t="str">
        <x:f>IF(K1258&lt;&gt;"미종결 표시","대상 아님",IF(N1258="","신청일 확인",IF(NOT(ISNUMBER('종합 현황'!$H$5)),"관찰기준 확인",IF('종합 현황'!$H$5&lt;1,"관찰기준 확인",IF(N1258&gt;'종합 현황'!$H$5,"내부 관찰 대상","내부 관찰일 이하")))))</x:f>
        <x:v>대상 아님</x:v>
      </x:c>
      <x:c r="AB1258" s="2"/>
    </x:row>
    <x:row r="1259" ht="42" customHeight="1">
      <x:c r="A1259" s="2" t="str">
        <x:v>1f2d0b9046659965aaa23226</x:v>
      </x:c>
      <x:c r="B1259" s="2" t="str">
        <x:v>사업 평가</x:v>
      </x:c>
      <x:c r="C1259" s="2" t="str">
        <x:v>국내</x:v>
      </x:c>
      <x:c r="D1259" s="7" t="str">
        <x:v>산단 친환경설비 인프라지원을 통한 고효율설비 교체 사업</x:v>
      </x:c>
      <x:c r="E1259" s="2" t="str">
        <x:v>1120</x:v>
      </x:c>
      <x:c r="F1259" s="2" t="str">
        <x:v>2024-11-25</x:v>
      </x:c>
      <x:c r="G1259" s="2" t="str">
        <x:v>2024</x:v>
      </x:c>
      <x:c r="H1259" s="2" t="str">
        <x:v>11</x:v>
      </x:c>
      <x:c r="I1259" s="2" t="str">
        <x:v>보완1차_보완중</x:v>
      </x:c>
      <x:c r="J1259" s="2" t="str">
        <x:v>보완요청</x:v>
      </x:c>
      <x:c r="K1259" s="2" t="str">
        <x:f>IF(OR(J1259="심의승인",J1259="반려",J1259="반려완료",J1259="심의완료"),"종결 표시",IF(OR(J1259="기후부협의",J1259="문서재제출요청",J1259="보류",J1259="보완요청",J1259="보완완료",J1259="평가중",J1259="반려요청",J1259="평가필요",LEFT(J1259,5)="보완요청("),"미종결 표시","상태 확인 필요"))</x:f>
        <x:v>미종결 표시</x:v>
      </x:c>
      <x:c r="L1259" s="2"/>
      <x:c r="M1259" s="2" t="n">
        <x:v>1</x:v>
      </x:c>
      <x:c r="N1259" s="8" t="n">
        <x:f>DATE(2026,10,15)-DATE(2024,11,25)</x:f>
        <x:v>689</x:v>
      </x:c>
      <x:c r="O1259" s="2" t="str">
        <x:v>생략</x:v>
      </x:c>
      <x:c r="P1259" s="2"/>
      <x:c r="Q1259" s="2" t="str">
        <x:v>산업전환_외부사업관리Tool_260707_이너젠 수정_LJY_261013.xlsx</x:v>
      </x:c>
      <x:c r="R1259" s="2" t="str">
        <x:v>국내평가</x:v>
      </x:c>
      <x:c r="S1259" s="8" t="n">
        <x:v>1162</x:v>
      </x:c>
      <x:c r="T1259" s="2" t="str">
        <x:v>(11/29)</x:v>
      </x:c>
      <x:c r="U1259" s="2" t="str">
        <x:v>2024 배정: (11/29)</x:v>
      </x:c>
      <x:c r="V1259" s="2" t="str">
        <x:v>2025-02-18</x:v>
      </x:c>
      <x:c r="W1259" s="2" t="str">
        <x:v>담당기관 확인</x:v>
      </x:c>
      <x:c r="X1259" s="2" t="str">
        <x:v>원본·배정 기록 확인</x:v>
      </x:c>
      <x:c r="Y1259" s="2" t="str">
        <x:v>ad210cd9ec132cfd447541c8984dc53d30aff0f4fb2dc92d254d49275cc55976</x:v>
      </x:c>
      <x:c r="Z1259" s="2" t="n">
        <x:f>SUBTOTAL(103,A1259)</x:f>
        <x:v>1</x:v>
      </x:c>
      <x:c r="AA1259" s="2" t="str">
        <x:f>IF(K1259&lt;&gt;"미종결 표시","대상 아님",IF(N1259="","신청일 확인",IF(NOT(ISNUMBER('종합 현황'!$H$5)),"관찰기준 확인",IF('종합 현황'!$H$5&lt;1,"관찰기준 확인",IF(N1259&gt;'종합 현황'!$H$5,"내부 관찰 대상","내부 관찰일 이하")))))</x:f>
        <x:v>내부 관찰 대상</x:v>
      </x:c>
      <x:c r="AB1259" s="2"/>
    </x:row>
    <x:row r="1260" ht="42" customHeight="1">
      <x:c r="A1260" s="2" t="str">
        <x:v>f40b6dfea52a3d40fedf537e</x:v>
      </x:c>
      <x:c r="B1260" s="2" t="str">
        <x:v>사업 평가</x:v>
      </x:c>
      <x:c r="C1260" s="2" t="str">
        <x:v>국내</x:v>
      </x:c>
      <x:c r="D1260" s="7" t="str">
        <x:v>원영산업(주) 고효율 2단 인버터 PM  Motor 공기압축기로 교체 사업</x:v>
      </x:c>
      <x:c r="E1260" s="2" t="str">
        <x:v>1121</x:v>
      </x:c>
      <x:c r="F1260" s="2" t="str">
        <x:v>2024-11-26</x:v>
      </x:c>
      <x:c r="G1260" s="2" t="str">
        <x:v>2024</x:v>
      </x:c>
      <x:c r="H1260" s="2" t="str">
        <x:v>11</x:v>
      </x:c>
      <x:c r="I1260" s="2" t="str">
        <x:v>보완1차_보완중</x:v>
      </x:c>
      <x:c r="J1260" s="2" t="str">
        <x:v>보완요청</x:v>
      </x:c>
      <x:c r="K1260" s="2" t="str">
        <x:f>IF(OR(J1260="심의승인",J1260="반려",J1260="반려완료",J1260="심의완료"),"종결 표시",IF(OR(J1260="기후부협의",J1260="문서재제출요청",J1260="보류",J1260="보완요청",J1260="보완완료",J1260="평가중",J1260="반려요청",J1260="평가필요",LEFT(J1260,5)="보완요청("),"미종결 표시","상태 확인 필요"))</x:f>
        <x:v>미종결 표시</x:v>
      </x:c>
      <x:c r="L1260" s="2"/>
      <x:c r="M1260" s="2" t="n">
        <x:v>1</x:v>
      </x:c>
      <x:c r="N1260" s="8" t="n">
        <x:f>DATE(2026,10,15)-DATE(2024,11,26)</x:f>
        <x:v>688</x:v>
      </x:c>
      <x:c r="O1260" s="2" t="str">
        <x:v>생략</x:v>
      </x:c>
      <x:c r="P1260" s="2"/>
      <x:c r="Q1260" s="2" t="str">
        <x:v>산업전환_외부사업관리Tool_260707_이너젠 수정_LJY_261013.xlsx</x:v>
      </x:c>
      <x:c r="R1260" s="2" t="str">
        <x:v>국내평가</x:v>
      </x:c>
      <x:c r="S1260" s="8" t="n">
        <x:v>1163</x:v>
      </x:c>
      <x:c r="T1260" s="2" t="str">
        <x:v>(11/29)</x:v>
      </x:c>
      <x:c r="U1260" s="2" t="str">
        <x:v>2024 배정: (11/29) / 2025 배정: (4/17)</x:v>
      </x:c>
      <x:c r="V1260" s="2" t="str">
        <x:v>2025-04-18</x:v>
      </x:c>
      <x:c r="W1260" s="2" t="str">
        <x:v>담당기관 확인</x:v>
      </x:c>
      <x:c r="X1260" s="2" t="str">
        <x:v>원본·배정 기록 확인</x:v>
      </x:c>
      <x:c r="Y1260" s="2" t="str">
        <x:v>ad210cd9ec132cfd447541c8984dc53d30aff0f4fb2dc92d254d49275cc55976</x:v>
      </x:c>
      <x:c r="Z1260" s="2" t="n">
        <x:f>SUBTOTAL(103,A1260)</x:f>
        <x:v>1</x:v>
      </x:c>
      <x:c r="AA1260" s="2" t="str">
        <x:f>IF(K1260&lt;&gt;"미종결 표시","대상 아님",IF(N1260="","신청일 확인",IF(NOT(ISNUMBER('종합 현황'!$H$5)),"관찰기준 확인",IF('종합 현황'!$H$5&lt;1,"관찰기준 확인",IF(N1260&gt;'종합 현황'!$H$5,"내부 관찰 대상","내부 관찰일 이하")))))</x:f>
        <x:v>내부 관찰 대상</x:v>
      </x:c>
      <x:c r="AB1260" s="2"/>
    </x:row>
    <x:row r="1261" ht="42" customHeight="1">
      <x:c r="A1261" s="2" t="str">
        <x:v>aea50843baf6bf1936b99d00</x:v>
      </x:c>
      <x:c r="B1261" s="2" t="str">
        <x:v>사업 평가</x:v>
      </x:c>
      <x:c r="C1261" s="2" t="str">
        <x:v>국내</x:v>
      </x:c>
      <x:c r="D1261" s="7" t="str">
        <x:v>하이스트㈜의 고효율 레이저 절단기 교체를 통한 온실가스 감축 사업</x:v>
      </x:c>
      <x:c r="E1261" s="2" t="str">
        <x:v>1122</x:v>
      </x:c>
      <x:c r="F1261" s="2" t="str">
        <x:v>2024-11-28</x:v>
      </x:c>
      <x:c r="G1261" s="2" t="str">
        <x:v>2024</x:v>
      </x:c>
      <x:c r="H1261" s="2" t="str">
        <x:v>11</x:v>
      </x:c>
      <x:c r="I1261" s="2" t="str">
        <x:v>보완1차_보완중</x:v>
      </x:c>
      <x:c r="J1261" s="2" t="str">
        <x:v>보완요청</x:v>
      </x:c>
      <x:c r="K1261" s="2" t="str">
        <x:f>IF(OR(J1261="심의승인",J1261="반려",J1261="반려완료",J1261="심의완료"),"종결 표시",IF(OR(J1261="기후부협의",J1261="문서재제출요청",J1261="보류",J1261="보완요청",J1261="보완완료",J1261="평가중",J1261="반려요청",J1261="평가필요",LEFT(J1261,5)="보완요청("),"미종결 표시","상태 확인 필요"))</x:f>
        <x:v>미종결 표시</x:v>
      </x:c>
      <x:c r="L1261" s="2"/>
      <x:c r="M1261" s="2" t="n">
        <x:v>1</x:v>
      </x:c>
      <x:c r="N1261" s="8" t="n">
        <x:f>DATE(2026,10,15)-DATE(2024,11,28)</x:f>
        <x:v>686</x:v>
      </x:c>
      <x:c r="O1261" s="2" t="str">
        <x:v>생략</x:v>
      </x:c>
      <x:c r="P1261" s="2"/>
      <x:c r="Q1261" s="2" t="str">
        <x:v>산업전환_외부사업관리Tool_260707_이너젠 수정_LJY_261013.xlsx</x:v>
      </x:c>
      <x:c r="R1261" s="2" t="str">
        <x:v>국내평가</x:v>
      </x:c>
      <x:c r="S1261" s="8" t="n">
        <x:v>1164</x:v>
      </x:c>
      <x:c r="T1261" s="2" t="str">
        <x:v>(1/8)</x:v>
      </x:c>
      <x:c r="U1261" s="2" t="str">
        <x:v>2025 배정: (1/8)</x:v>
      </x:c>
      <x:c r="V1261" s="2" t="str">
        <x:v>2025-02-27</x:v>
      </x:c>
      <x:c r="W1261" s="2" t="str">
        <x:v>담당기관 확인</x:v>
      </x:c>
      <x:c r="X1261" s="2" t="str">
        <x:v>원본·배정 기록 확인</x:v>
      </x:c>
      <x:c r="Y1261" s="2" t="str">
        <x:v>ad210cd9ec132cfd447541c8984dc53d30aff0f4fb2dc92d254d49275cc55976</x:v>
      </x:c>
      <x:c r="Z1261" s="2" t="n">
        <x:f>SUBTOTAL(103,A1261)</x:f>
        <x:v>1</x:v>
      </x:c>
      <x:c r="AA1261" s="2" t="str">
        <x:f>IF(K1261&lt;&gt;"미종결 표시","대상 아님",IF(N1261="","신청일 확인",IF(NOT(ISNUMBER('종합 현황'!$H$5)),"관찰기준 확인",IF('종합 현황'!$H$5&lt;1,"관찰기준 확인",IF(N1261&gt;'종합 현황'!$H$5,"내부 관찰 대상","내부 관찰일 이하")))))</x:f>
        <x:v>내부 관찰 대상</x:v>
      </x:c>
      <x:c r="AB1261" s="2"/>
    </x:row>
    <x:row r="1262" ht="42" customHeight="1">
      <x:c r="A1262" s="2" t="str">
        <x:v>29345996e24644802506087b</x:v>
      </x:c>
      <x:c r="B1262" s="2" t="str">
        <x:v>사업 평가</x:v>
      </x:c>
      <x:c r="C1262" s="2" t="str">
        <x:v>국내</x:v>
      </x:c>
      <x:c r="D1262" s="7" t="str">
        <x:v>생태산업개발을 통한 미세먼지 및 온실가스 감축 사업</x:v>
      </x:c>
      <x:c r="E1262" s="2" t="str">
        <x:v>1123</x:v>
      </x:c>
      <x:c r="F1262" s="2" t="str">
        <x:v>2024-11-29</x:v>
      </x:c>
      <x:c r="G1262" s="2" t="str">
        <x:v>2024</x:v>
      </x:c>
      <x:c r="H1262" s="2" t="str">
        <x:v>11</x:v>
      </x:c>
      <x:c r="I1262" s="2" t="str">
        <x:v>보완1차_보완중</x:v>
      </x:c>
      <x:c r="J1262" s="2" t="str">
        <x:v>보완요청</x:v>
      </x:c>
      <x:c r="K1262" s="2" t="str">
        <x:f>IF(OR(J1262="심의승인",J1262="반려",J1262="반려완료",J1262="심의완료"),"종결 표시",IF(OR(J1262="기후부협의",J1262="문서재제출요청",J1262="보류",J1262="보완요청",J1262="보완완료",J1262="평가중",J1262="반려요청",J1262="평가필요",LEFT(J1262,5)="보완요청("),"미종결 표시","상태 확인 필요"))</x:f>
        <x:v>미종결 표시</x:v>
      </x:c>
      <x:c r="L1262" s="2"/>
      <x:c r="M1262" s="2" t="n">
        <x:v>1</x:v>
      </x:c>
      <x:c r="N1262" s="8" t="n">
        <x:f>DATE(2026,10,15)-DATE(2024,11,29)</x:f>
        <x:v>685</x:v>
      </x:c>
      <x:c r="O1262" s="2" t="str">
        <x:v>생략</x:v>
      </x:c>
      <x:c r="P1262" s="2"/>
      <x:c r="Q1262" s="2" t="str">
        <x:v>산업전환_외부사업관리Tool_260707_이너젠 수정_LJY_261013.xlsx</x:v>
      </x:c>
      <x:c r="R1262" s="2" t="str">
        <x:v>국내평가</x:v>
      </x:c>
      <x:c r="S1262" s="8" t="n">
        <x:v>1165</x:v>
      </x:c>
      <x:c r="T1262" s="2" t="str">
        <x:v>(1/8)</x:v>
      </x:c>
      <x:c r="U1262" s="2" t="str">
        <x:v>2025 배정: (1/8)</x:v>
      </x:c>
      <x:c r="V1262" s="2" t="str">
        <x:v>2025-02-26</x:v>
      </x:c>
      <x:c r="W1262" s="2" t="str">
        <x:v>담당기관 확인</x:v>
      </x:c>
      <x:c r="X1262" s="2" t="str">
        <x:v>원본·배정 기록 확인</x:v>
      </x:c>
      <x:c r="Y1262" s="2" t="str">
        <x:v>ad210cd9ec132cfd447541c8984dc53d30aff0f4fb2dc92d254d49275cc55976</x:v>
      </x:c>
      <x:c r="Z1262" s="2" t="n">
        <x:f>SUBTOTAL(103,A1262)</x:f>
        <x:v>1</x:v>
      </x:c>
      <x:c r="AA1262" s="2" t="str">
        <x:f>IF(K1262&lt;&gt;"미종결 표시","대상 아님",IF(N1262="","신청일 확인",IF(NOT(ISNUMBER('종합 현황'!$H$5)),"관찰기준 확인",IF('종합 현황'!$H$5&lt;1,"관찰기준 확인",IF(N1262&gt;'종합 현황'!$H$5,"내부 관찰 대상","내부 관찰일 이하")))))</x:f>
        <x:v>내부 관찰 대상</x:v>
      </x:c>
      <x:c r="AB1262" s="2"/>
    </x:row>
    <x:row r="1263" ht="42" customHeight="1">
      <x:c r="A1263" s="2" t="str">
        <x:v>bf45085ee52e1a4965f57bff</x:v>
      </x:c>
      <x:c r="B1263" s="2" t="str">
        <x:v>사업 평가</x:v>
      </x:c>
      <x:c r="C1263" s="2" t="str">
        <x:v>국내</x:v>
      </x:c>
      <x:c r="D1263" s="7" t="str">
        <x:v>인천표면처리센터 고효율 인버터 공기압축기 교체 사업</x:v>
      </x:c>
      <x:c r="E1263" s="2" t="str">
        <x:v>1124</x:v>
      </x:c>
      <x:c r="F1263" s="2" t="str">
        <x:v>2024-11-29</x:v>
      </x:c>
      <x:c r="G1263" s="2" t="str">
        <x:v>2024</x:v>
      </x:c>
      <x:c r="H1263" s="2" t="str">
        <x:v>11</x:v>
      </x:c>
      <x:c r="I1263" s="2" t="str">
        <x:v>보완1차_보완중</x:v>
      </x:c>
      <x:c r="J1263" s="2" t="str">
        <x:v>보완요청</x:v>
      </x:c>
      <x:c r="K1263" s="2" t="str">
        <x:f>IF(OR(J1263="심의승인",J1263="반려",J1263="반려완료",J1263="심의완료"),"종결 표시",IF(OR(J1263="기후부협의",J1263="문서재제출요청",J1263="보류",J1263="보완요청",J1263="보완완료",J1263="평가중",J1263="반려요청",J1263="평가필요",LEFT(J1263,5)="보완요청("),"미종결 표시","상태 확인 필요"))</x:f>
        <x:v>미종결 표시</x:v>
      </x:c>
      <x:c r="L1263" s="2"/>
      <x:c r="M1263" s="2" t="n">
        <x:v>1</x:v>
      </x:c>
      <x:c r="N1263" s="8" t="n">
        <x:f>DATE(2026,10,15)-DATE(2024,11,29)</x:f>
        <x:v>685</x:v>
      </x:c>
      <x:c r="O1263" s="2" t="str">
        <x:v>생략</x:v>
      </x:c>
      <x:c r="P1263" s="2"/>
      <x:c r="Q1263" s="2" t="str">
        <x:v>산업전환_외부사업관리Tool_260707_이너젠 수정_LJY_261013.xlsx</x:v>
      </x:c>
      <x:c r="R1263" s="2" t="str">
        <x:v>국내평가</x:v>
      </x:c>
      <x:c r="S1263" s="8" t="n">
        <x:v>1166</x:v>
      </x:c>
      <x:c r="T1263" s="2" t="str">
        <x:v>(1/8)</x:v>
      </x:c>
      <x:c r="U1263" s="2" t="str">
        <x:v>2025 배정: (1/8)</x:v>
      </x:c>
      <x:c r="V1263" s="2" t="str">
        <x:v>2025-02-27</x:v>
      </x:c>
      <x:c r="W1263" s="2" t="str">
        <x:v>담당기관 확인</x:v>
      </x:c>
      <x:c r="X1263" s="2" t="str">
        <x:v>원본·배정 기록 확인</x:v>
      </x:c>
      <x:c r="Y1263" s="2" t="str">
        <x:v>ad210cd9ec132cfd447541c8984dc53d30aff0f4fb2dc92d254d49275cc55976</x:v>
      </x:c>
      <x:c r="Z1263" s="2" t="n">
        <x:f>SUBTOTAL(103,A1263)</x:f>
        <x:v>1</x:v>
      </x:c>
      <x:c r="AA1263" s="2" t="str">
        <x:f>IF(K1263&lt;&gt;"미종결 표시","대상 아님",IF(N1263="","신청일 확인",IF(NOT(ISNUMBER('종합 현황'!$H$5)),"관찰기준 확인",IF('종합 현황'!$H$5&lt;1,"관찰기준 확인",IF(N1263&gt;'종합 현황'!$H$5,"내부 관찰 대상","내부 관찰일 이하")))))</x:f>
        <x:v>내부 관찰 대상</x:v>
      </x:c>
      <x:c r="AB1263" s="2"/>
    </x:row>
    <x:row r="1264" ht="42" customHeight="1">
      <x:c r="A1264" s="2" t="str">
        <x:v>64dbb00ffa4988ff6df17913</x:v>
      </x:c>
      <x:c r="B1264" s="2" t="str">
        <x:v>사업 평가</x:v>
      </x:c>
      <x:c r="C1264" s="2" t="str">
        <x:v>국내</x:v>
      </x:c>
      <x:c r="D1264" s="7" t="str">
        <x:v>생태산업개발을 통한 미세먼지 및 온실가스 감축 사업</x:v>
      </x:c>
      <x:c r="E1264" s="2" t="str">
        <x:v>1125</x:v>
      </x:c>
      <x:c r="F1264" s="2" t="str">
        <x:v>2024-11-29</x:v>
      </x:c>
      <x:c r="G1264" s="2" t="str">
        <x:v>2024</x:v>
      </x:c>
      <x:c r="H1264" s="2" t="str">
        <x:v>11</x:v>
      </x:c>
      <x:c r="I1264" s="2" t="str">
        <x:v>보완1차_보완중</x:v>
      </x:c>
      <x:c r="J1264" s="2" t="str">
        <x:v>보완요청</x:v>
      </x:c>
      <x:c r="K1264" s="2" t="str">
        <x:f>IF(OR(J1264="심의승인",J1264="반려",J1264="반려완료",J1264="심의완료"),"종결 표시",IF(OR(J1264="기후부협의",J1264="문서재제출요청",J1264="보류",J1264="보완요청",J1264="보완완료",J1264="평가중",J1264="반려요청",J1264="평가필요",LEFT(J1264,5)="보완요청("),"미종결 표시","상태 확인 필요"))</x:f>
        <x:v>미종결 표시</x:v>
      </x:c>
      <x:c r="L1264" s="2"/>
      <x:c r="M1264" s="2" t="n">
        <x:v>1</x:v>
      </x:c>
      <x:c r="N1264" s="8" t="n">
        <x:f>DATE(2026,10,15)-DATE(2024,11,29)</x:f>
        <x:v>685</x:v>
      </x:c>
      <x:c r="O1264" s="2" t="str">
        <x:v>생략</x:v>
      </x:c>
      <x:c r="P1264" s="2"/>
      <x:c r="Q1264" s="2" t="str">
        <x:v>산업전환_외부사업관리Tool_260707_이너젠 수정_LJY_261013.xlsx</x:v>
      </x:c>
      <x:c r="R1264" s="2" t="str">
        <x:v>국내평가</x:v>
      </x:c>
      <x:c r="S1264" s="8" t="n">
        <x:v>1167</x:v>
      </x:c>
      <x:c r="T1264" s="2" t="str">
        <x:v>(1/8)</x:v>
      </x:c>
      <x:c r="U1264" s="2" t="str">
        <x:v>2025 배정: (1/8)</x:v>
      </x:c>
      <x:c r="V1264" s="2" t="str">
        <x:v>2025-02-28</x:v>
      </x:c>
      <x:c r="W1264" s="2" t="str">
        <x:v>담당기관 확인</x:v>
      </x:c>
      <x:c r="X1264" s="2" t="str">
        <x:v>원본·배정 기록 확인</x:v>
      </x:c>
      <x:c r="Y1264" s="2" t="str">
        <x:v>ad210cd9ec132cfd447541c8984dc53d30aff0f4fb2dc92d254d49275cc55976</x:v>
      </x:c>
      <x:c r="Z1264" s="2" t="n">
        <x:f>SUBTOTAL(103,A1264)</x:f>
        <x:v>1</x:v>
      </x:c>
      <x:c r="AA1264" s="2" t="str">
        <x:f>IF(K1264&lt;&gt;"미종결 표시","대상 아님",IF(N1264="","신청일 확인",IF(NOT(ISNUMBER('종합 현황'!$H$5)),"관찰기준 확인",IF('종합 현황'!$H$5&lt;1,"관찰기준 확인",IF(N1264&gt;'종합 현황'!$H$5,"내부 관찰 대상","내부 관찰일 이하")))))</x:f>
        <x:v>내부 관찰 대상</x:v>
      </x:c>
      <x:c r="AB1264" s="2"/>
    </x:row>
    <x:row r="1265" ht="42" customHeight="1">
      <x:c r="A1265" s="2" t="str">
        <x:v>b1fffe3bb3635d47cb65f40f</x:v>
      </x:c>
      <x:c r="B1265" s="2" t="str">
        <x:v>사업 평가</x:v>
      </x:c>
      <x:c r="C1265" s="2" t="str">
        <x:v>국내</x:v>
      </x:c>
      <x:c r="D1265" s="7" t="str">
        <x:v>(주)필옵틱스의 고효율 인버터 공기압축기 교체를 통한 온실가스 감축 사업</x:v>
      </x:c>
      <x:c r="E1265" s="2" t="str">
        <x:v>1126</x:v>
      </x:c>
      <x:c r="F1265" s="2" t="str">
        <x:v>2024-12-02</x:v>
      </x:c>
      <x:c r="G1265" s="2" t="str">
        <x:v>2024</x:v>
      </x:c>
      <x:c r="H1265" s="2" t="str">
        <x:v>12</x:v>
      </x:c>
      <x:c r="I1265" s="2" t="str">
        <x:v>보완1차_보완중</x:v>
      </x:c>
      <x:c r="J1265" s="2" t="str">
        <x:v>보완요청</x:v>
      </x:c>
      <x:c r="K1265" s="2" t="str">
        <x:f>IF(OR(J1265="심의승인",J1265="반려",J1265="반려완료",J1265="심의완료"),"종결 표시",IF(OR(J1265="기후부협의",J1265="문서재제출요청",J1265="보류",J1265="보완요청",J1265="보완완료",J1265="평가중",J1265="반려요청",J1265="평가필요",LEFT(J1265,5)="보완요청("),"미종결 표시","상태 확인 필요"))</x:f>
        <x:v>미종결 표시</x:v>
      </x:c>
      <x:c r="L1265" s="2"/>
      <x:c r="M1265" s="2" t="n">
        <x:v>1</x:v>
      </x:c>
      <x:c r="N1265" s="8" t="n">
        <x:f>DATE(2026,10,15)-DATE(2024,12,2)</x:f>
        <x:v>682</x:v>
      </x:c>
      <x:c r="O1265" s="2" t="str">
        <x:v>생략</x:v>
      </x:c>
      <x:c r="P1265" s="2"/>
      <x:c r="Q1265" s="2" t="str">
        <x:v>산업전환_외부사업관리Tool_260707_이너젠 수정_LJY_261013.xlsx</x:v>
      </x:c>
      <x:c r="R1265" s="2" t="str">
        <x:v>국내평가</x:v>
      </x:c>
      <x:c r="S1265" s="8" t="n">
        <x:v>1168</x:v>
      </x:c>
      <x:c r="T1265" s="2" t="str">
        <x:v>(1/8),(3/5),(4/9)</x:v>
      </x:c>
      <x:c r="U1265" s="2" t="str">
        <x:v>2025 배정: (1/8),(3/5),(4/9)</x:v>
      </x:c>
      <x:c r="V1265" s="2" t="str">
        <x:v>2025-04-01</x:v>
      </x:c>
      <x:c r="W1265" s="2" t="str">
        <x:v>담당기관 확인</x:v>
      </x:c>
      <x:c r="X1265" s="2" t="str">
        <x:v>원본·배정 기록 확인</x:v>
      </x:c>
      <x:c r="Y1265" s="2" t="str">
        <x:v>ad210cd9ec132cfd447541c8984dc53d30aff0f4fb2dc92d254d49275cc55976</x:v>
      </x:c>
      <x:c r="Z1265" s="2" t="n">
        <x:f>SUBTOTAL(103,A1265)</x:f>
        <x:v>1</x:v>
      </x:c>
      <x:c r="AA1265" s="2" t="str">
        <x:f>IF(K1265&lt;&gt;"미종결 표시","대상 아님",IF(N1265="","신청일 확인",IF(NOT(ISNUMBER('종합 현황'!$H$5)),"관찰기준 확인",IF('종합 현황'!$H$5&lt;1,"관찰기준 확인",IF(N1265&gt;'종합 현황'!$H$5,"내부 관찰 대상","내부 관찰일 이하")))))</x:f>
        <x:v>내부 관찰 대상</x:v>
      </x:c>
      <x:c r="AB1265" s="2"/>
    </x:row>
    <x:row r="1266" ht="42" customHeight="1">
      <x:c r="A1266" s="2" t="str">
        <x:v>89141a05547069979a6c50d1</x:v>
      </x:c>
      <x:c r="B1266" s="2" t="str">
        <x:v>사업 평가</x:v>
      </x:c>
      <x:c r="C1266" s="2" t="str">
        <x:v>국내</x:v>
      </x:c>
      <x:c r="D1266" s="7" t="str">
        <x:v>동진볼트 고효율 전동기 교체사업</x:v>
      </x:c>
      <x:c r="E1266" s="2" t="str">
        <x:v>1127</x:v>
      </x:c>
      <x:c r="F1266" s="2" t="str">
        <x:v>2024-12-03</x:v>
      </x:c>
      <x:c r="G1266" s="2" t="str">
        <x:v>2024</x:v>
      </x:c>
      <x:c r="H1266" s="2" t="str">
        <x:v>12</x:v>
      </x:c>
      <x:c r="I1266" s="2" t="str">
        <x:v>보완1차_보완중</x:v>
      </x:c>
      <x:c r="J1266" s="2" t="str">
        <x:v>보완요청</x:v>
      </x:c>
      <x:c r="K1266" s="2" t="str">
        <x:f>IF(OR(J1266="심의승인",J1266="반려",J1266="반려완료",J1266="심의완료"),"종결 표시",IF(OR(J1266="기후부협의",J1266="문서재제출요청",J1266="보류",J1266="보완요청",J1266="보완완료",J1266="평가중",J1266="반려요청",J1266="평가필요",LEFT(J1266,5)="보완요청("),"미종결 표시","상태 확인 필요"))</x:f>
        <x:v>미종결 표시</x:v>
      </x:c>
      <x:c r="L1266" s="2"/>
      <x:c r="M1266" s="2" t="n">
        <x:v>1</x:v>
      </x:c>
      <x:c r="N1266" s="8" t="n">
        <x:f>DATE(2026,10,15)-DATE(2024,12,3)</x:f>
        <x:v>681</x:v>
      </x:c>
      <x:c r="O1266" s="2" t="str">
        <x:v>생략</x:v>
      </x:c>
      <x:c r="P1266" s="2"/>
      <x:c r="Q1266" s="2" t="str">
        <x:v>산업전환_외부사업관리Tool_260707_이너젠 수정_LJY_261013.xlsx</x:v>
      </x:c>
      <x:c r="R1266" s="2" t="str">
        <x:v>국내평가</x:v>
      </x:c>
      <x:c r="S1266" s="8" t="n">
        <x:v>1169</x:v>
      </x:c>
      <x:c r="T1266" s="2" t="str">
        <x:v>(1/8)</x:v>
      </x:c>
      <x:c r="U1266" s="2" t="str">
        <x:v>2025 배정: (1/8)</x:v>
      </x:c>
      <x:c r="V1266" s="2" t="str">
        <x:v>2025-02-03</x:v>
      </x:c>
      <x:c r="W1266" s="2" t="str">
        <x:v>담당기관 확인</x:v>
      </x:c>
      <x:c r="X1266" s="2" t="str">
        <x:v>원본·배정 기록 확인</x:v>
      </x:c>
      <x:c r="Y1266" s="2" t="str">
        <x:v>ad210cd9ec132cfd447541c8984dc53d30aff0f4fb2dc92d254d49275cc55976</x:v>
      </x:c>
      <x:c r="Z1266" s="2" t="n">
        <x:f>SUBTOTAL(103,A1266)</x:f>
        <x:v>1</x:v>
      </x:c>
      <x:c r="AA1266" s="2" t="str">
        <x:f>IF(K1266&lt;&gt;"미종결 표시","대상 아님",IF(N1266="","신청일 확인",IF(NOT(ISNUMBER('종합 현황'!$H$5)),"관찰기준 확인",IF('종합 현황'!$H$5&lt;1,"관찰기준 확인",IF(N1266&gt;'종합 현황'!$H$5,"내부 관찰 대상","내부 관찰일 이하")))))</x:f>
        <x:v>내부 관찰 대상</x:v>
      </x:c>
      <x:c r="AB1266" s="2"/>
    </x:row>
    <x:row r="1267" ht="42" customHeight="1">
      <x:c r="A1267" s="2" t="str">
        <x:v>f56bf8ff34abc64cc7168e49</x:v>
      </x:c>
      <x:c r="B1267" s="2" t="str">
        <x:v>사업 평가</x:v>
      </x:c>
      <x:c r="C1267" s="2" t="str">
        <x:v>국내</x:v>
      </x:c>
      <x:c r="D1267" s="7" t="str">
        <x:v>생태산업개발을 통한 미세먼지 및 온실가스 감축사업(산단 친환경설비 인프라지원)</x:v>
      </x:c>
      <x:c r="E1267" s="2" t="str">
        <x:v>1128</x:v>
      </x:c>
      <x:c r="F1267" s="2" t="str">
        <x:v>2024-12-09</x:v>
      </x:c>
      <x:c r="G1267" s="2" t="str">
        <x:v>2024</x:v>
      </x:c>
      <x:c r="H1267" s="2" t="str">
        <x:v>12</x:v>
      </x:c>
      <x:c r="I1267" s="2" t="str">
        <x:v>보완1차_보완중</x:v>
      </x:c>
      <x:c r="J1267" s="2" t="str">
        <x:v>보완요청</x:v>
      </x:c>
      <x:c r="K1267" s="2" t="str">
        <x:f>IF(OR(J1267="심의승인",J1267="반려",J1267="반려완료",J1267="심의완료"),"종결 표시",IF(OR(J1267="기후부협의",J1267="문서재제출요청",J1267="보류",J1267="보완요청",J1267="보완완료",J1267="평가중",J1267="반려요청",J1267="평가필요",LEFT(J1267,5)="보완요청("),"미종결 표시","상태 확인 필요"))</x:f>
        <x:v>미종결 표시</x:v>
      </x:c>
      <x:c r="L1267" s="2"/>
      <x:c r="M1267" s="2" t="n">
        <x:v>1</x:v>
      </x:c>
      <x:c r="N1267" s="8" t="n">
        <x:f>DATE(2026,10,15)-DATE(2024,12,9)</x:f>
        <x:v>675</x:v>
      </x:c>
      <x:c r="O1267" s="2" t="str">
        <x:v>생략</x:v>
      </x:c>
      <x:c r="P1267" s="2"/>
      <x:c r="Q1267" s="2" t="str">
        <x:v>산업전환_외부사업관리Tool_260707_이너젠 수정_LJY_261013.xlsx</x:v>
      </x:c>
      <x:c r="R1267" s="2" t="str">
        <x:v>국내평가</x:v>
      </x:c>
      <x:c r="S1267" s="8" t="n">
        <x:v>1170</x:v>
      </x:c>
      <x:c r="T1267" s="2" t="str">
        <x:v>(1/8)</x:v>
      </x:c>
      <x:c r="U1267" s="2" t="str">
        <x:v>2025 배정: (1/8)</x:v>
      </x:c>
      <x:c r="V1267" s="2" t="str">
        <x:v>2025-02-03</x:v>
      </x:c>
      <x:c r="W1267" s="2" t="str">
        <x:v>담당기관 확인</x:v>
      </x:c>
      <x:c r="X1267" s="2" t="str">
        <x:v>원본·배정 기록 확인</x:v>
      </x:c>
      <x:c r="Y1267" s="2" t="str">
        <x:v>ad210cd9ec132cfd447541c8984dc53d30aff0f4fb2dc92d254d49275cc55976</x:v>
      </x:c>
      <x:c r="Z1267" s="2" t="n">
        <x:f>SUBTOTAL(103,A1267)</x:f>
        <x:v>1</x:v>
      </x:c>
      <x:c r="AA1267" s="2" t="str">
        <x:f>IF(K1267&lt;&gt;"미종결 표시","대상 아님",IF(N1267="","신청일 확인",IF(NOT(ISNUMBER('종합 현황'!$H$5)),"관찰기준 확인",IF('종합 현황'!$H$5&lt;1,"관찰기준 확인",IF(N1267&gt;'종합 현황'!$H$5,"내부 관찰 대상","내부 관찰일 이하")))))</x:f>
        <x:v>내부 관찰 대상</x:v>
      </x:c>
      <x:c r="AB1267" s="2"/>
    </x:row>
    <x:row r="1268" ht="42" customHeight="1">
      <x:c r="A1268" s="2" t="str">
        <x:v>f2b16dc25ee32857a5621a85</x:v>
      </x:c>
      <x:c r="B1268" s="2" t="str">
        <x:v>사업 평가</x:v>
      </x:c>
      <x:c r="C1268" s="2" t="str">
        <x:v>국내</x:v>
      </x:c>
      <x:c r="D1268" s="7" t="str">
        <x:v>㈜원진 425.58KW 소전형 지붕태양광 발전 사업</x:v>
      </x:c>
      <x:c r="E1268" s="2" t="str">
        <x:v>1129</x:v>
      </x:c>
      <x:c r="F1268" s="2" t="str">
        <x:v>2024-12-13</x:v>
      </x:c>
      <x:c r="G1268" s="2" t="str">
        <x:v>2024</x:v>
      </x:c>
      <x:c r="H1268" s="2" t="str">
        <x:v>12</x:v>
      </x:c>
      <x:c r="I1268" s="2" t="str">
        <x:v>승인</x:v>
      </x:c>
      <x:c r="J1268" s="2" t="str">
        <x:v>심의승인</x:v>
      </x:c>
      <x:c r="K1268" s="2" t="str">
        <x:f>IF(OR(J1268="심의승인",J1268="반려",J1268="반려완료",J1268="심의완료"),"종결 표시",IF(OR(J1268="기후부협의",J1268="문서재제출요청",J1268="보류",J1268="보완요청",J1268="보완완료",J1268="평가중",J1268="반려요청",J1268="평가필요",LEFT(J1268,5)="보완요청("),"미종결 표시","상태 확인 필요"))</x:f>
        <x:v>종결 표시</x:v>
      </x:c>
      <x:c r="L1268" s="2"/>
      <x:c r="M1268" s="2"/>
      <x:c r="N1268" s="8" t="n">
        <x:f>DATE(2026,10,15)-DATE(2024,12,13)</x:f>
        <x:v>671</x:v>
      </x:c>
      <x:c r="O1268" s="2" t="str">
        <x:v>생략</x:v>
      </x:c>
      <x:c r="P1268" s="2"/>
      <x:c r="Q1268" s="2" t="str">
        <x:v>산업전환_외부사업관리Tool_260707_이너젠 수정_LJY_261013.xlsx</x:v>
      </x:c>
      <x:c r="R1268" s="2" t="str">
        <x:v>국내평가</x:v>
      </x:c>
      <x:c r="S1268" s="8" t="n">
        <x:v>1171</x:v>
      </x:c>
      <x:c r="T1268" s="2" t="str">
        <x:v>(1/8),(3/5),(5/30),(9/1),(11/10),(12/1)</x:v>
      </x:c>
      <x:c r="U1268" s="2" t="str">
        <x:v>2025 배정: (1/8),(3/5),(5/30),(9/1),(11/10),(12/1) / 2026(사전): (1/14)</x:v>
      </x:c>
      <x:c r="V1268" s="2" t="str">
        <x:v>2026-06-09</x:v>
      </x:c>
      <x:c r="W1268" s="2" t="str">
        <x:v>담당기관 확인</x:v>
      </x:c>
      <x:c r="X1268" s="2" t="str">
        <x:v>원본·배정 기록 확인</x:v>
      </x:c>
      <x:c r="Y1268" s="2" t="str">
        <x:v>ad210cd9ec132cfd447541c8984dc53d30aff0f4fb2dc92d254d49275cc55976</x:v>
      </x:c>
      <x:c r="Z1268" s="2" t="n">
        <x:f>SUBTOTAL(103,A1268)</x:f>
        <x:v>1</x:v>
      </x:c>
      <x:c r="AA1268" s="2" t="str">
        <x:f>IF(K1268&lt;&gt;"미종결 표시","대상 아님",IF(N1268="","신청일 확인",IF(NOT(ISNUMBER('종합 현황'!$H$5)),"관찰기준 확인",IF('종합 현황'!$H$5&lt;1,"관찰기준 확인",IF(N1268&gt;'종합 현황'!$H$5,"내부 관찰 대상","내부 관찰일 이하")))))</x:f>
        <x:v>대상 아님</x:v>
      </x:c>
      <x:c r="AB1268" s="2"/>
    </x:row>
    <x:row r="1269" ht="42" customHeight="1">
      <x:c r="A1269" s="2" t="str">
        <x:v>49021726e15b82c8c984894f</x:v>
      </x:c>
      <x:c r="B1269" s="2" t="str">
        <x:v>사업 평가</x:v>
      </x:c>
      <x:c r="C1269" s="2" t="str">
        <x:v>국내</x:v>
      </x:c>
      <x:c r="D1269" s="7" t="str">
        <x:v>LH 공동주택 태양광 발전사업 2025-LH-004</x:v>
      </x:c>
      <x:c r="E1269" s="2" t="str">
        <x:v>1130</x:v>
      </x:c>
      <x:c r="F1269" s="2" t="str">
        <x:v>2025-01-03</x:v>
      </x:c>
      <x:c r="G1269" s="2" t="str">
        <x:v>2025</x:v>
      </x:c>
      <x:c r="H1269" s="2" t="str">
        <x:v>01</x:v>
      </x:c>
      <x:c r="I1269" s="2" t="str">
        <x:v>보완3차_보완중</x:v>
      </x:c>
      <x:c r="J1269" s="2" t="str">
        <x:v>보완요청</x:v>
      </x:c>
      <x:c r="K1269" s="2" t="str">
        <x:f>IF(OR(J1269="심의승인",J1269="반려",J1269="반려완료",J1269="심의완료"),"종결 표시",IF(OR(J1269="기후부협의",J1269="문서재제출요청",J1269="보류",J1269="보완요청",J1269="보완완료",J1269="평가중",J1269="반려요청",J1269="평가필요",LEFT(J1269,5)="보완요청("),"미종결 표시","상태 확인 필요"))</x:f>
        <x:v>미종결 표시</x:v>
      </x:c>
      <x:c r="L1269" s="2"/>
      <x:c r="M1269" s="2" t="n">
        <x:v>3</x:v>
      </x:c>
      <x:c r="N1269" s="8" t="n">
        <x:f>DATE(2026,10,15)-DATE(2025,1,3)</x:f>
        <x:v>650</x:v>
      </x:c>
      <x:c r="O1269" s="2" t="str">
        <x:v>생략</x:v>
      </x:c>
      <x:c r="P1269" s="2"/>
      <x:c r="Q1269" s="2" t="str">
        <x:v>산업전환_외부사업관리Tool_260707_이너젠 수정_LJY_261013.xlsx</x:v>
      </x:c>
      <x:c r="R1269" s="2" t="str">
        <x:v>국내평가</x:v>
      </x:c>
      <x:c r="S1269" s="8" t="n">
        <x:v>1172</x:v>
      </x:c>
      <x:c r="T1269" s="2" t="str">
        <x:v>(1/8),(7/18),(12/1)</x:v>
      </x:c>
      <x:c r="U1269" s="2" t="str">
        <x:v>2025 배정: (1/8),(7/18),(12/1)</x:v>
      </x:c>
      <x:c r="V1269" s="2" t="str">
        <x:v>2026-01-05</x:v>
      </x:c>
      <x:c r="W1269" s="2" t="str">
        <x:v>담당기관 확인</x:v>
      </x:c>
      <x:c r="X1269" s="2" t="str">
        <x:v>원본·배정 기록 확인</x:v>
      </x:c>
      <x:c r="Y1269" s="2" t="str">
        <x:v>ad210cd9ec132cfd447541c8984dc53d30aff0f4fb2dc92d254d49275cc55976</x:v>
      </x:c>
      <x:c r="Z1269" s="2" t="n">
        <x:f>SUBTOTAL(103,A1269)</x:f>
        <x:v>1</x:v>
      </x:c>
      <x:c r="AA1269" s="2" t="str">
        <x:f>IF(K1269&lt;&gt;"미종결 표시","대상 아님",IF(N1269="","신청일 확인",IF(NOT(ISNUMBER('종합 현황'!$H$5)),"관찰기준 확인",IF('종합 현황'!$H$5&lt;1,"관찰기준 확인",IF(N1269&gt;'종합 현황'!$H$5,"내부 관찰 대상","내부 관찰일 이하")))))</x:f>
        <x:v>내부 관찰 대상</x:v>
      </x:c>
      <x:c r="AB1269" s="2"/>
    </x:row>
    <x:row r="1270" ht="42" customHeight="1">
      <x:c r="A1270" s="2" t="str">
        <x:v>c1603b66af31efe25a0eaa30</x:v>
      </x:c>
      <x:c r="B1270" s="2" t="str">
        <x:v>사업 평가</x:v>
      </x:c>
      <x:c r="C1270" s="2" t="str">
        <x:v>국내</x:v>
      </x:c>
      <x:c r="D1270" s="7" t="str">
        <x:v>LH 전북 공동주택 태양광 발전사업 2025-LH-002</x:v>
      </x:c>
      <x:c r="E1270" s="2" t="str">
        <x:v>1131</x:v>
      </x:c>
      <x:c r="F1270" s="2" t="str">
        <x:v>2025-01-03</x:v>
      </x:c>
      <x:c r="G1270" s="2" t="str">
        <x:v>2025</x:v>
      </x:c>
      <x:c r="H1270" s="2" t="str">
        <x:v>01</x:v>
      </x:c>
      <x:c r="I1270" s="2" t="str">
        <x:v>보완1차_보완중</x:v>
      </x:c>
      <x:c r="J1270" s="2" t="str">
        <x:v>보완요청</x:v>
      </x:c>
      <x:c r="K1270" s="2" t="str">
        <x:f>IF(OR(J1270="심의승인",J1270="반려",J1270="반려완료",J1270="심의완료"),"종결 표시",IF(OR(J1270="기후부협의",J1270="문서재제출요청",J1270="보류",J1270="보완요청",J1270="보완완료",J1270="평가중",J1270="반려요청",J1270="평가필요",LEFT(J1270,5)="보완요청("),"미종결 표시","상태 확인 필요"))</x:f>
        <x:v>미종결 표시</x:v>
      </x:c>
      <x:c r="L1270" s="2"/>
      <x:c r="M1270" s="2" t="n">
        <x:v>1</x:v>
      </x:c>
      <x:c r="N1270" s="8" t="n">
        <x:f>DATE(2026,10,15)-DATE(2025,1,3)</x:f>
        <x:v>650</x:v>
      </x:c>
      <x:c r="O1270" s="2" t="str">
        <x:v>생략</x:v>
      </x:c>
      <x:c r="P1270" s="2"/>
      <x:c r="Q1270" s="2" t="str">
        <x:v>산업전환_외부사업관리Tool_260707_이너젠 수정_LJY_261013.xlsx</x:v>
      </x:c>
      <x:c r="R1270" s="2" t="str">
        <x:v>국내평가</x:v>
      </x:c>
      <x:c r="S1270" s="8" t="n">
        <x:v>1173</x:v>
      </x:c>
      <x:c r="T1270" s="2" t="str">
        <x:v>(1/8)</x:v>
      </x:c>
      <x:c r="U1270" s="2" t="str">
        <x:v>2025 배정: (1/8)</x:v>
      </x:c>
      <x:c r="V1270" s="2" t="str">
        <x:v>2025-04-02</x:v>
      </x:c>
      <x:c r="W1270" s="2" t="str">
        <x:v>담당기관 확인</x:v>
      </x:c>
      <x:c r="X1270" s="2" t="str">
        <x:v>원본·배정 기록 확인</x:v>
      </x:c>
      <x:c r="Y1270" s="2" t="str">
        <x:v>ad210cd9ec132cfd447541c8984dc53d30aff0f4fb2dc92d254d49275cc55976</x:v>
      </x:c>
      <x:c r="Z1270" s="2" t="n">
        <x:f>SUBTOTAL(103,A1270)</x:f>
        <x:v>1</x:v>
      </x:c>
      <x:c r="AA1270" s="2" t="str">
        <x:f>IF(K1270&lt;&gt;"미종결 표시","대상 아님",IF(N1270="","신청일 확인",IF(NOT(ISNUMBER('종합 현황'!$H$5)),"관찰기준 확인",IF('종합 현황'!$H$5&lt;1,"관찰기준 확인",IF(N1270&gt;'종합 현황'!$H$5,"내부 관찰 대상","내부 관찰일 이하")))))</x:f>
        <x:v>내부 관찰 대상</x:v>
      </x:c>
      <x:c r="AB1270" s="2"/>
    </x:row>
    <x:row r="1271" ht="42" customHeight="1">
      <x:c r="A1271" s="2" t="str">
        <x:v>ff1aff7ee39464fe358e482e</x:v>
      </x:c>
      <x:c r="B1271" s="2" t="str">
        <x:v>사업 평가</x:v>
      </x:c>
      <x:c r="C1271" s="2" t="str">
        <x:v>국내</x:v>
      </x:c>
      <x:c r="D1271" s="7" t="str">
        <x:v>LH 공동주택 태양광 발전사업 2025-LH-003</x:v>
      </x:c>
      <x:c r="E1271" s="2" t="str">
        <x:v>1132</x:v>
      </x:c>
      <x:c r="F1271" s="2" t="str">
        <x:v>2025-01-03</x:v>
      </x:c>
      <x:c r="G1271" s="2" t="str">
        <x:v>2025</x:v>
      </x:c>
      <x:c r="H1271" s="2" t="str">
        <x:v>01</x:v>
      </x:c>
      <x:c r="I1271" s="2" t="str">
        <x:v>보완3차_검토중</x:v>
      </x:c>
      <x:c r="J1271" s="2" t="str">
        <x:v>보완요청</x:v>
      </x:c>
      <x:c r="K1271" s="2" t="str">
        <x:f>IF(OR(J1271="심의승인",J1271="반려",J1271="반려완료",J1271="심의완료"),"종결 표시",IF(OR(J1271="기후부협의",J1271="문서재제출요청",J1271="보류",J1271="보완요청",J1271="보완완료",J1271="평가중",J1271="반려요청",J1271="평가필요",LEFT(J1271,5)="보완요청("),"미종결 표시","상태 확인 필요"))</x:f>
        <x:v>미종결 표시</x:v>
      </x:c>
      <x:c r="L1271" s="2"/>
      <x:c r="M1271" s="2" t="n">
        <x:v>3</x:v>
      </x:c>
      <x:c r="N1271" s="8" t="n">
        <x:f>DATE(2026,10,15)-DATE(2025,1,3)</x:f>
        <x:v>650</x:v>
      </x:c>
      <x:c r="O1271" s="2" t="str">
        <x:v>생략</x:v>
      </x:c>
      <x:c r="P1271" s="2"/>
      <x:c r="Q1271" s="2" t="str">
        <x:v>산업전환_외부사업관리Tool_260707_이너젠 수정_LJY_261013.xlsx</x:v>
      </x:c>
      <x:c r="R1271" s="2" t="str">
        <x:v>국내평가</x:v>
      </x:c>
      <x:c r="S1271" s="8" t="n">
        <x:v>1174</x:v>
      </x:c>
      <x:c r="T1271" s="2" t="str">
        <x:v>(1/8),(7/18),(12/1)</x:v>
      </x:c>
      <x:c r="U1271" s="2" t="str">
        <x:v>2025 배정: (1/8),(7/18),(12/1) / 2026(사전): (2/26),(4/29)</x:v>
      </x:c>
      <x:c r="V1271" s="2" t="str">
        <x:v>2026-08-19</x:v>
      </x:c>
      <x:c r="W1271" s="2" t="str">
        <x:v>담당기관 확인</x:v>
      </x:c>
      <x:c r="X1271" s="2" t="str">
        <x:v>원본·배정 기록 확인</x:v>
      </x:c>
      <x:c r="Y1271" s="2" t="str">
        <x:v>ad210cd9ec132cfd447541c8984dc53d30aff0f4fb2dc92d254d49275cc55976</x:v>
      </x:c>
      <x:c r="Z1271" s="2" t="n">
        <x:f>SUBTOTAL(103,A1271)</x:f>
        <x:v>1</x:v>
      </x:c>
      <x:c r="AA1271" s="2" t="str">
        <x:f>IF(K1271&lt;&gt;"미종결 표시","대상 아님",IF(N1271="","신청일 확인",IF(NOT(ISNUMBER('종합 현황'!$H$5)),"관찰기준 확인",IF('종합 현황'!$H$5&lt;1,"관찰기준 확인",IF(N1271&gt;'종합 현황'!$H$5,"내부 관찰 대상","내부 관찰일 이하")))))</x:f>
        <x:v>내부 관찰 대상</x:v>
      </x:c>
      <x:c r="AB1271" s="2"/>
    </x:row>
    <x:row r="1272" ht="42" customHeight="1">
      <x:c r="A1272" s="2" t="str">
        <x:v>f3331c7250cefe6f20a541e8</x:v>
      </x:c>
      <x:c r="B1272" s="2" t="str">
        <x:v>사업 평가</x:v>
      </x:c>
      <x:c r="C1272" s="2" t="str">
        <x:v>국내</x:v>
      </x:c>
      <x:c r="D1272" s="7" t="str">
        <x:v>LH 공동주택 태양광 발전사업 2025-LH-002</x:v>
      </x:c>
      <x:c r="E1272" s="2" t="str">
        <x:v>1133</x:v>
      </x:c>
      <x:c r="F1272" s="2" t="str">
        <x:v>2025-01-03</x:v>
      </x:c>
      <x:c r="G1272" s="2" t="str">
        <x:v>2025</x:v>
      </x:c>
      <x:c r="H1272" s="2" t="str">
        <x:v>01</x:v>
      </x:c>
      <x:c r="I1272" s="2" t="str">
        <x:v>보완3차_검토중</x:v>
      </x:c>
      <x:c r="J1272" s="2" t="str">
        <x:v>보완요청</x:v>
      </x:c>
      <x:c r="K1272" s="2" t="str">
        <x:f>IF(OR(J1272="심의승인",J1272="반려",J1272="반려완료",J1272="심의완료"),"종결 표시",IF(OR(J1272="기후부협의",J1272="문서재제출요청",J1272="보류",J1272="보완요청",J1272="보완완료",J1272="평가중",J1272="반려요청",J1272="평가필요",LEFT(J1272,5)="보완요청("),"미종결 표시","상태 확인 필요"))</x:f>
        <x:v>미종결 표시</x:v>
      </x:c>
      <x:c r="L1272" s="2"/>
      <x:c r="M1272" s="2" t="n">
        <x:v>3</x:v>
      </x:c>
      <x:c r="N1272" s="8" t="n">
        <x:f>DATE(2026,10,15)-DATE(2025,1,3)</x:f>
        <x:v>650</x:v>
      </x:c>
      <x:c r="O1272" s="2" t="str">
        <x:v>생략</x:v>
      </x:c>
      <x:c r="P1272" s="2"/>
      <x:c r="Q1272" s="2" t="str">
        <x:v>산업전환_외부사업관리Tool_260707_이너젠 수정_LJY_261013.xlsx</x:v>
      </x:c>
      <x:c r="R1272" s="2" t="str">
        <x:v>국내평가</x:v>
      </x:c>
      <x:c r="S1272" s="8" t="n">
        <x:v>1175</x:v>
      </x:c>
      <x:c r="T1272" s="2" t="str">
        <x:v>(1/8),(7/18),(12/1)</x:v>
      </x:c>
      <x:c r="U1272" s="2" t="str">
        <x:v>2025 배정: (1/8),(7/18),(12/1) / 2026(사전): (2/26),(4/29)</x:v>
      </x:c>
      <x:c r="V1272" s="2" t="str">
        <x:v>2026-08-19</x:v>
      </x:c>
      <x:c r="W1272" s="2" t="str">
        <x:v>담당기관 확인</x:v>
      </x:c>
      <x:c r="X1272" s="2" t="str">
        <x:v>원본·배정 기록 확인</x:v>
      </x:c>
      <x:c r="Y1272" s="2" t="str">
        <x:v>ad210cd9ec132cfd447541c8984dc53d30aff0f4fb2dc92d254d49275cc55976</x:v>
      </x:c>
      <x:c r="Z1272" s="2" t="n">
        <x:f>SUBTOTAL(103,A1272)</x:f>
        <x:v>1</x:v>
      </x:c>
      <x:c r="AA1272" s="2" t="str">
        <x:f>IF(K1272&lt;&gt;"미종결 표시","대상 아님",IF(N1272="","신청일 확인",IF(NOT(ISNUMBER('종합 현황'!$H$5)),"관찰기준 확인",IF('종합 현황'!$H$5&lt;1,"관찰기준 확인",IF(N1272&gt;'종합 현황'!$H$5,"내부 관찰 대상","내부 관찰일 이하")))))</x:f>
        <x:v>내부 관찰 대상</x:v>
      </x:c>
      <x:c r="AB1272" s="2"/>
    </x:row>
    <x:row r="1273" ht="42" customHeight="1">
      <x:c r="A1273" s="2" t="str">
        <x:v>c4f1a85fd5bb206b3784c4b6</x:v>
      </x:c>
      <x:c r="B1273" s="2" t="str">
        <x:v>사업 평가</x:v>
      </x:c>
      <x:c r="C1273" s="2" t="str">
        <x:v>국내</x:v>
      </x:c>
      <x:c r="D1273" s="7" t="str">
        <x:v>LH 인천 공동주택 태양광 발전사업 2025-LH-005</x:v>
      </x:c>
      <x:c r="E1273" s="2" t="str">
        <x:v>1134</x:v>
      </x:c>
      <x:c r="F1273" s="2" t="str">
        <x:v>2025-01-03</x:v>
      </x:c>
      <x:c r="G1273" s="2" t="str">
        <x:v>2025</x:v>
      </x:c>
      <x:c r="H1273" s="2" t="str">
        <x:v>01</x:v>
      </x:c>
      <x:c r="I1273" s="2" t="str">
        <x:v>보완1차_보완중</x:v>
      </x:c>
      <x:c r="J1273" s="2" t="str">
        <x:v>보완요청</x:v>
      </x:c>
      <x:c r="K1273" s="2" t="str">
        <x:f>IF(OR(J1273="심의승인",J1273="반려",J1273="반려완료",J1273="심의완료"),"종결 표시",IF(OR(J1273="기후부협의",J1273="문서재제출요청",J1273="보류",J1273="보완요청",J1273="보완완료",J1273="평가중",J1273="반려요청",J1273="평가필요",LEFT(J1273,5)="보완요청("),"미종결 표시","상태 확인 필요"))</x:f>
        <x:v>미종결 표시</x:v>
      </x:c>
      <x:c r="L1273" s="2"/>
      <x:c r="M1273" s="2" t="n">
        <x:v>1</x:v>
      </x:c>
      <x:c r="N1273" s="8" t="n">
        <x:f>DATE(2026,10,15)-DATE(2025,1,3)</x:f>
        <x:v>650</x:v>
      </x:c>
      <x:c r="O1273" s="2" t="str">
        <x:v>생략</x:v>
      </x:c>
      <x:c r="P1273" s="2"/>
      <x:c r="Q1273" s="2" t="str">
        <x:v>산업전환_외부사업관리Tool_260707_이너젠 수정_LJY_261013.xlsx</x:v>
      </x:c>
      <x:c r="R1273" s="2" t="str">
        <x:v>국내평가</x:v>
      </x:c>
      <x:c r="S1273" s="8" t="n">
        <x:v>1176</x:v>
      </x:c>
      <x:c r="T1273" s="2" t="str">
        <x:v>(1/8)</x:v>
      </x:c>
      <x:c r="U1273" s="2" t="str">
        <x:v>2025 배정: (1/8)</x:v>
      </x:c>
      <x:c r="V1273" s="2" t="str">
        <x:v>2025-04-03</x:v>
      </x:c>
      <x:c r="W1273" s="2" t="str">
        <x:v>담당기관 확인</x:v>
      </x:c>
      <x:c r="X1273" s="2" t="str">
        <x:v>원본·배정 기록 확인</x:v>
      </x:c>
      <x:c r="Y1273" s="2" t="str">
        <x:v>ad210cd9ec132cfd447541c8984dc53d30aff0f4fb2dc92d254d49275cc55976</x:v>
      </x:c>
      <x:c r="Z1273" s="2" t="n">
        <x:f>SUBTOTAL(103,A1273)</x:f>
        <x:v>1</x:v>
      </x:c>
      <x:c r="AA1273" s="2" t="str">
        <x:f>IF(K1273&lt;&gt;"미종결 표시","대상 아님",IF(N1273="","신청일 확인",IF(NOT(ISNUMBER('종합 현황'!$H$5)),"관찰기준 확인",IF('종합 현황'!$H$5&lt;1,"관찰기준 확인",IF(N1273&gt;'종합 현황'!$H$5,"내부 관찰 대상","내부 관찰일 이하")))))</x:f>
        <x:v>내부 관찰 대상</x:v>
      </x:c>
      <x:c r="AB1273" s="2"/>
    </x:row>
    <x:row r="1274" ht="42" customHeight="1">
      <x:c r="A1274" s="2" t="str">
        <x:v>b8ec5a917ea05ac2f0f6611b</x:v>
      </x:c>
      <x:c r="B1274" s="2" t="str">
        <x:v>사업 평가</x:v>
      </x:c>
      <x:c r="C1274" s="2" t="str">
        <x:v>국내</x:v>
      </x:c>
      <x:c r="D1274" s="7" t="str">
        <x:v>LH 공동주택 태양광 발전사업 2025-LH-001</x:v>
      </x:c>
      <x:c r="E1274" s="2" t="str">
        <x:v>1135</x:v>
      </x:c>
      <x:c r="F1274" s="2" t="str">
        <x:v>2025-01-03</x:v>
      </x:c>
      <x:c r="G1274" s="2" t="str">
        <x:v>2025</x:v>
      </x:c>
      <x:c r="H1274" s="2" t="str">
        <x:v>01</x:v>
      </x:c>
      <x:c r="I1274" s="2" t="str">
        <x:v>보완3차_검토중</x:v>
      </x:c>
      <x:c r="J1274" s="2" t="str">
        <x:v>보완요청</x:v>
      </x:c>
      <x:c r="K1274" s="2" t="str">
        <x:f>IF(OR(J1274="심의승인",J1274="반려",J1274="반려완료",J1274="심의완료"),"종결 표시",IF(OR(J1274="기후부협의",J1274="문서재제출요청",J1274="보류",J1274="보완요청",J1274="보완완료",J1274="평가중",J1274="반려요청",J1274="평가필요",LEFT(J1274,5)="보완요청("),"미종결 표시","상태 확인 필요"))</x:f>
        <x:v>미종결 표시</x:v>
      </x:c>
      <x:c r="L1274" s="2"/>
      <x:c r="M1274" s="2" t="n">
        <x:v>3</x:v>
      </x:c>
      <x:c r="N1274" s="8" t="n">
        <x:f>DATE(2026,10,15)-DATE(2025,1,3)</x:f>
        <x:v>650</x:v>
      </x:c>
      <x:c r="O1274" s="2" t="str">
        <x:v>생략</x:v>
      </x:c>
      <x:c r="P1274" s="2"/>
      <x:c r="Q1274" s="2" t="str">
        <x:v>산업전환_외부사업관리Tool_260707_이너젠 수정_LJY_261013.xlsx</x:v>
      </x:c>
      <x:c r="R1274" s="2" t="str">
        <x:v>국내평가</x:v>
      </x:c>
      <x:c r="S1274" s="8" t="n">
        <x:v>1177</x:v>
      </x:c>
      <x:c r="T1274" s="2" t="str">
        <x:v>(1/8),(7/18),(12/1)</x:v>
      </x:c>
      <x:c r="U1274" s="2" t="str">
        <x:v>2025 배정: (1/8),(7/18),(12/1) / 2026(사전): (2/26),(4/29)</x:v>
      </x:c>
      <x:c r="V1274" s="2" t="str">
        <x:v>2026-08-19</x:v>
      </x:c>
      <x:c r="W1274" s="2" t="str">
        <x:v>담당기관 확인</x:v>
      </x:c>
      <x:c r="X1274" s="2" t="str">
        <x:v>원본·배정 기록 확인</x:v>
      </x:c>
      <x:c r="Y1274" s="2" t="str">
        <x:v>ad210cd9ec132cfd447541c8984dc53d30aff0f4fb2dc92d254d49275cc55976</x:v>
      </x:c>
      <x:c r="Z1274" s="2" t="n">
        <x:f>SUBTOTAL(103,A1274)</x:f>
        <x:v>1</x:v>
      </x:c>
      <x:c r="AA1274" s="2" t="str">
        <x:f>IF(K1274&lt;&gt;"미종결 표시","대상 아님",IF(N1274="","신청일 확인",IF(NOT(ISNUMBER('종합 현황'!$H$5)),"관찰기준 확인",IF('종합 현황'!$H$5&lt;1,"관찰기준 확인",IF(N1274&gt;'종합 현황'!$H$5,"내부 관찰 대상","내부 관찰일 이하")))))</x:f>
        <x:v>내부 관찰 대상</x:v>
      </x:c>
      <x:c r="AB1274" s="2"/>
    </x:row>
    <x:row r="1275" ht="42" customHeight="1">
      <x:c r="A1275" s="2" t="str">
        <x:v>2d15345b28c034b067a39c1f</x:v>
      </x:c>
      <x:c r="B1275" s="2" t="str">
        <x:v>사업 평가</x:v>
      </x:c>
      <x:c r="C1275" s="2" t="str">
        <x:v>국내</x:v>
      </x:c>
      <x:c r="D1275" s="7" t="str">
        <x:v>인천광역시 지역지원사업 태양광 발전설비 설치 및 자가 사용 사업</x:v>
      </x:c>
      <x:c r="E1275" s="2" t="str">
        <x:v>1136</x:v>
      </x:c>
      <x:c r="F1275" s="2" t="str">
        <x:v>2024-12-23</x:v>
      </x:c>
      <x:c r="G1275" s="2" t="str">
        <x:v>2024</x:v>
      </x:c>
      <x:c r="H1275" s="2" t="str">
        <x:v>12</x:v>
      </x:c>
      <x:c r="I1275" s="2" t="str">
        <x:v>승인</x:v>
      </x:c>
      <x:c r="J1275" s="2" t="str">
        <x:v>심의승인</x:v>
      </x:c>
      <x:c r="K1275" s="2" t="str">
        <x:f>IF(OR(J1275="심의승인",J1275="반려",J1275="반려완료",J1275="심의완료"),"종결 표시",IF(OR(J1275="기후부협의",J1275="문서재제출요청",J1275="보류",J1275="보완요청",J1275="보완완료",J1275="평가중",J1275="반려요청",J1275="평가필요",LEFT(J1275,5)="보완요청("),"미종결 표시","상태 확인 필요"))</x:f>
        <x:v>종결 표시</x:v>
      </x:c>
      <x:c r="L1275" s="2"/>
      <x:c r="M1275" s="2"/>
      <x:c r="N1275" s="8" t="n">
        <x:f>DATE(2026,10,15)-DATE(2024,12,23)</x:f>
        <x:v>661</x:v>
      </x:c>
      <x:c r="O1275" s="2" t="str">
        <x:v>생략</x:v>
      </x:c>
      <x:c r="P1275" s="2"/>
      <x:c r="Q1275" s="2" t="str">
        <x:v>산업전환_외부사업관리Tool_260707_이너젠 수정_LJY_261013.xlsx</x:v>
      </x:c>
      <x:c r="R1275" s="2" t="str">
        <x:v>국내평가</x:v>
      </x:c>
      <x:c r="S1275" s="8" t="n">
        <x:v>1178</x:v>
      </x:c>
      <x:c r="T1275" s="2" t="str">
        <x:v>(1/8),(4/9),(6/26)</x:v>
      </x:c>
      <x:c r="U1275" s="2" t="str">
        <x:v>2025 배정: (1/8),(4/9),(6/26)</x:v>
      </x:c>
      <x:c r="V1275" s="2" t="str">
        <x:v>2025-12-23</x:v>
      </x:c>
      <x:c r="W1275" s="2" t="str">
        <x:v>담당기관 확인</x:v>
      </x:c>
      <x:c r="X1275" s="2" t="str">
        <x:v>원본·배정 기록 확인</x:v>
      </x:c>
      <x:c r="Y1275" s="2" t="str">
        <x:v>ad210cd9ec132cfd447541c8984dc53d30aff0f4fb2dc92d254d49275cc55976</x:v>
      </x:c>
      <x:c r="Z1275" s="2" t="n">
        <x:f>SUBTOTAL(103,A1275)</x:f>
        <x:v>1</x:v>
      </x:c>
      <x:c r="AA1275" s="2" t="str">
        <x:f>IF(K1275&lt;&gt;"미종결 표시","대상 아님",IF(N1275="","신청일 확인",IF(NOT(ISNUMBER('종합 현황'!$H$5)),"관찰기준 확인",IF('종합 현황'!$H$5&lt;1,"관찰기준 확인",IF(N1275&gt;'종합 현황'!$H$5,"내부 관찰 대상","내부 관찰일 이하")))))</x:f>
        <x:v>대상 아님</x:v>
      </x:c>
      <x:c r="AB1275" s="2"/>
    </x:row>
    <x:row r="1276" ht="42" customHeight="1">
      <x:c r="A1276" s="2" t="str">
        <x:v>d76939d68ce6be8e5b90344a</x:v>
      </x:c>
      <x:c r="B1276" s="2" t="str">
        <x:v>사업 평가</x:v>
      </x:c>
      <x:c r="C1276" s="2" t="str">
        <x:v>국내</x:v>
      </x:c>
      <x:c r="D1276" s="7" t="str">
        <x:v>인천광역시 지역지원사업 121.8kW 태양광 발전설비 설치 및 자가 사용 사업</x:v>
      </x:c>
      <x:c r="E1276" s="2" t="str">
        <x:v>1137</x:v>
      </x:c>
      <x:c r="F1276" s="2" t="str">
        <x:v>2024-12-23</x:v>
      </x:c>
      <x:c r="G1276" s="2" t="str">
        <x:v>2024</x:v>
      </x:c>
      <x:c r="H1276" s="2" t="str">
        <x:v>12</x:v>
      </x:c>
      <x:c r="I1276" s="2" t="str">
        <x:v>승인</x:v>
      </x:c>
      <x:c r="J1276" s="2" t="str">
        <x:v>심의승인</x:v>
      </x:c>
      <x:c r="K1276" s="2" t="str">
        <x:f>IF(OR(J1276="심의승인",J1276="반려",J1276="반려완료",J1276="심의완료"),"종결 표시",IF(OR(J1276="기후부협의",J1276="문서재제출요청",J1276="보류",J1276="보완요청",J1276="보완완료",J1276="평가중",J1276="반려요청",J1276="평가필요",LEFT(J1276,5)="보완요청("),"미종결 표시","상태 확인 필요"))</x:f>
        <x:v>종결 표시</x:v>
      </x:c>
      <x:c r="L1276" s="2"/>
      <x:c r="M1276" s="2"/>
      <x:c r="N1276" s="8" t="n">
        <x:f>DATE(2026,10,15)-DATE(2024,12,23)</x:f>
        <x:v>661</x:v>
      </x:c>
      <x:c r="O1276" s="2" t="str">
        <x:v>생략</x:v>
      </x:c>
      <x:c r="P1276" s="2"/>
      <x:c r="Q1276" s="2" t="str">
        <x:v>산업전환_외부사업관리Tool_260707_이너젠 수정_LJY_261013.xlsx</x:v>
      </x:c>
      <x:c r="R1276" s="2" t="str">
        <x:v>국내평가</x:v>
      </x:c>
      <x:c r="S1276" s="8" t="n">
        <x:v>1179</x:v>
      </x:c>
      <x:c r="T1276" s="2" t="str">
        <x:v>(1/8),(3/5),(6/26)</x:v>
      </x:c>
      <x:c r="U1276" s="2" t="str">
        <x:v>2025 배정: (1/8),(3/5),(6/26)</x:v>
      </x:c>
      <x:c r="V1276" s="2" t="str">
        <x:v>2025-12-23</x:v>
      </x:c>
      <x:c r="W1276" s="2" t="str">
        <x:v>담당기관 확인</x:v>
      </x:c>
      <x:c r="X1276" s="2" t="str">
        <x:v>원본·배정 기록 확인</x:v>
      </x:c>
      <x:c r="Y1276" s="2" t="str">
        <x:v>ad210cd9ec132cfd447541c8984dc53d30aff0f4fb2dc92d254d49275cc55976</x:v>
      </x:c>
      <x:c r="Z1276" s="2" t="n">
        <x:f>SUBTOTAL(103,A1276)</x:f>
        <x:v>1</x:v>
      </x:c>
      <x:c r="AA1276" s="2" t="str">
        <x:f>IF(K1276&lt;&gt;"미종결 표시","대상 아님",IF(N1276="","신청일 확인",IF(NOT(ISNUMBER('종합 현황'!$H$5)),"관찰기준 확인",IF('종합 현황'!$H$5&lt;1,"관찰기준 확인",IF(N1276&gt;'종합 현황'!$H$5,"내부 관찰 대상","내부 관찰일 이하")))))</x:f>
        <x:v>대상 아님</x:v>
      </x:c>
      <x:c r="AB1276" s="2"/>
    </x:row>
    <x:row r="1277" ht="42" customHeight="1">
      <x:c r="A1277" s="2" t="str">
        <x:v>7db83c2d0eb47b49ba683840</x:v>
      </x:c>
      <x:c r="B1277" s="2" t="str">
        <x:v>사업 평가</x:v>
      </x:c>
      <x:c r="C1277" s="2" t="str">
        <x:v>국내</x:v>
      </x:c>
      <x:c r="D1277" s="7" t="str">
        <x:v>부산경남우유협동조합 울산공장의 B-C유에서 LPG로 연료전환을 통한 온실가스 감축 외부사업</x:v>
      </x:c>
      <x:c r="E1277" s="2" t="str">
        <x:v>1138</x:v>
      </x:c>
      <x:c r="F1277" s="2" t="str">
        <x:v>2025-01-07</x:v>
      </x:c>
      <x:c r="G1277" s="2" t="str">
        <x:v>2025</x:v>
      </x:c>
      <x:c r="H1277" s="2" t="str">
        <x:v>01</x:v>
      </x:c>
      <x:c r="I1277" s="2" t="str">
        <x:v>승인</x:v>
      </x:c>
      <x:c r="J1277" s="2" t="str">
        <x:v>심의승인</x:v>
      </x:c>
      <x:c r="K1277" s="2" t="str">
        <x:f>IF(OR(J1277="심의승인",J1277="반려",J1277="반려완료",J1277="심의완료"),"종결 표시",IF(OR(J1277="기후부협의",J1277="문서재제출요청",J1277="보류",J1277="보완요청",J1277="보완완료",J1277="평가중",J1277="반려요청",J1277="평가필요",LEFT(J1277,5)="보완요청("),"미종결 표시","상태 확인 필요"))</x:f>
        <x:v>종결 표시</x:v>
      </x:c>
      <x:c r="L1277" s="2"/>
      <x:c r="M1277" s="2"/>
      <x:c r="N1277" s="8" t="n">
        <x:f>DATE(2026,10,15)-DATE(2025,1,7)</x:f>
        <x:v>646</x:v>
      </x:c>
      <x:c r="O1277" s="2" t="str">
        <x:v>생략</x:v>
      </x:c>
      <x:c r="P1277" s="2" t="str">
        <x:v>정보비공개 신청 포함</x:v>
      </x:c>
      <x:c r="Q1277" s="2" t="str">
        <x:v>산업전환_외부사업관리Tool_260707_이너젠 수정_LJY_261013.xlsx</x:v>
      </x:c>
      <x:c r="R1277" s="2" t="str">
        <x:v>국내평가</x:v>
      </x:c>
      <x:c r="S1277" s="8" t="n">
        <x:v>1180</x:v>
      </x:c>
      <x:c r="T1277" s="2" t="str">
        <x:v>(1/8),(5/9)</x:v>
      </x:c>
      <x:c r="U1277" s="2" t="str">
        <x:v>2025 배정: (1/8),(5/9)</x:v>
      </x:c>
      <x:c r="V1277" s="2" t="str">
        <x:v>2026-01-29</x:v>
      </x:c>
      <x:c r="W1277" s="2" t="str">
        <x:v>담당기관 확인</x:v>
      </x:c>
      <x:c r="X1277" s="2" t="str">
        <x:v>원본·배정 기록 확인</x:v>
      </x:c>
      <x:c r="Y1277" s="2" t="str">
        <x:v>ad210cd9ec132cfd447541c8984dc53d30aff0f4fb2dc92d254d49275cc55976</x:v>
      </x:c>
      <x:c r="Z1277" s="2" t="n">
        <x:f>SUBTOTAL(103,A1277)</x:f>
        <x:v>1</x:v>
      </x:c>
      <x:c r="AA1277" s="2" t="str">
        <x:f>IF(K1277&lt;&gt;"미종결 표시","대상 아님",IF(N1277="","신청일 확인",IF(NOT(ISNUMBER('종합 현황'!$H$5)),"관찰기준 확인",IF('종합 현황'!$H$5&lt;1,"관찰기준 확인",IF(N1277&gt;'종합 현황'!$H$5,"내부 관찰 대상","내부 관찰일 이하")))))</x:f>
        <x:v>대상 아님</x:v>
      </x:c>
      <x:c r="AB1277" s="2"/>
    </x:row>
    <x:row r="1278" ht="42" customHeight="1">
      <x:c r="A1278" s="2" t="str">
        <x:v>19e3b73a2bf0fe4aed8d5d40</x:v>
      </x:c>
      <x:c r="B1278" s="2" t="str">
        <x:v>사업 평가</x:v>
      </x:c>
      <x:c r="C1278" s="2" t="str">
        <x:v>국내</x:v>
      </x:c>
      <x:c r="D1278" s="7" t="str">
        <x:v>주식회사일아아스콘 연료전환(B-C유, 등유 → LPG)을 통한 온실가스 배출 감축사업</x:v>
      </x:c>
      <x:c r="E1278" s="2" t="str">
        <x:v>1139</x:v>
      </x:c>
      <x:c r="F1278" s="2" t="str">
        <x:v>2025-01-10</x:v>
      </x:c>
      <x:c r="G1278" s="2" t="str">
        <x:v>2025</x:v>
      </x:c>
      <x:c r="H1278" s="2" t="str">
        <x:v>01</x:v>
      </x:c>
      <x:c r="I1278" s="2" t="str">
        <x:v>협의통보</x:v>
      </x:c>
      <x:c r="J1278" s="2" t="str">
        <x:v>기후부협의</x:v>
      </x:c>
      <x:c r="K1278" s="2" t="str">
        <x:f>IF(OR(J1278="심의승인",J1278="반려",J1278="반려완료",J1278="심의완료"),"종결 표시",IF(OR(J1278="기후부협의",J1278="문서재제출요청",J1278="보류",J1278="보완요청",J1278="보완완료",J1278="평가중",J1278="반려요청",J1278="평가필요",LEFT(J1278,5)="보완요청("),"미종결 표시","상태 확인 필요"))</x:f>
        <x:v>미종결 표시</x:v>
      </x:c>
      <x:c r="L1278" s="2"/>
      <x:c r="M1278" s="2"/>
      <x:c r="N1278" s="8" t="n">
        <x:f>DATE(2026,10,15)-DATE(2025,1,10)</x:f>
        <x:v>643</x:v>
      </x:c>
      <x:c r="O1278" s="2" t="str">
        <x:v>생략</x:v>
      </x:c>
      <x:c r="P1278" s="2"/>
      <x:c r="Q1278" s="2" t="str">
        <x:v>산업전환_외부사업관리Tool_260707_이너젠 수정_LJY_261013.xlsx</x:v>
      </x:c>
      <x:c r="R1278" s="2" t="str">
        <x:v>국내평가</x:v>
      </x:c>
      <x:c r="S1278" s="8" t="n">
        <x:v>1181</x:v>
      </x:c>
      <x:c r="T1278" s="2" t="str">
        <x:v>(2/6),(4/17),(6/26),(10/16),(11/10)</x:v>
      </x:c>
      <x:c r="U1278" s="2" t="str">
        <x:v>2025 배정: (2/6),(4/17),(6/26),(10/16),(11/10) / 2026(사전): (1/14),(3/19),(5/26)</x:v>
      </x:c>
      <x:c r="V1278" s="2" t="str">
        <x:v>2026-07-21</x:v>
      </x:c>
      <x:c r="W1278" s="2" t="str">
        <x:v>담당기관 확인</x:v>
      </x:c>
      <x:c r="X1278" s="2" t="str">
        <x:v>원본·배정 기록 확인</x:v>
      </x:c>
      <x:c r="Y1278" s="2" t="str">
        <x:v>ad210cd9ec132cfd447541c8984dc53d30aff0f4fb2dc92d254d49275cc55976</x:v>
      </x:c>
      <x:c r="Z1278" s="2" t="n">
        <x:f>SUBTOTAL(103,A1278)</x:f>
        <x:v>1</x:v>
      </x:c>
      <x:c r="AA1278" s="2" t="str">
        <x:f>IF(K1278&lt;&gt;"미종결 표시","대상 아님",IF(N1278="","신청일 확인",IF(NOT(ISNUMBER('종합 현황'!$H$5)),"관찰기준 확인",IF('종합 현황'!$H$5&lt;1,"관찰기준 확인",IF(N1278&gt;'종합 현황'!$H$5,"내부 관찰 대상","내부 관찰일 이하")))))</x:f>
        <x:v>내부 관찰 대상</x:v>
      </x:c>
      <x:c r="AB1278" s="2"/>
    </x:row>
    <x:row r="1279" ht="42" customHeight="1">
      <x:c r="A1279" s="2" t="str">
        <x:v>0edca4016f3d9c1f8444729e</x:v>
      </x:c>
      <x:c r="B1279" s="2" t="str">
        <x:v>사업 평가</x:v>
      </x:c>
      <x:c r="C1279" s="2" t="str">
        <x:v>국내</x:v>
      </x:c>
      <x:c r="D1279" s="7" t="str">
        <x:v>명광아스콘의 B-C유에서 LPG로 연료전환을 통한 온실가스 감축 외부사업</x:v>
      </x:c>
      <x:c r="E1279" s="2" t="str">
        <x:v>1140</x:v>
      </x:c>
      <x:c r="F1279" s="2" t="str">
        <x:v>2025-01-21</x:v>
      </x:c>
      <x:c r="G1279" s="2" t="str">
        <x:v>2025</x:v>
      </x:c>
      <x:c r="H1279" s="2" t="str">
        <x:v>01</x:v>
      </x:c>
      <x:c r="I1279" s="2" t="str">
        <x:v>승인</x:v>
      </x:c>
      <x:c r="J1279" s="2" t="str">
        <x:v>심의승인</x:v>
      </x:c>
      <x:c r="K1279" s="2" t="str">
        <x:f>IF(OR(J1279="심의승인",J1279="반려",J1279="반려완료",J1279="심의완료"),"종결 표시",IF(OR(J1279="기후부협의",J1279="문서재제출요청",J1279="보류",J1279="보완요청",J1279="보완완료",J1279="평가중",J1279="반려요청",J1279="평가필요",LEFT(J1279,5)="보완요청("),"미종결 표시","상태 확인 필요"))</x:f>
        <x:v>종결 표시</x:v>
      </x:c>
      <x:c r="L1279" s="2"/>
      <x:c r="M1279" s="2"/>
      <x:c r="N1279" s="8" t="n">
        <x:f>DATE(2026,10,15)-DATE(2025,1,21)</x:f>
        <x:v>632</x:v>
      </x:c>
      <x:c r="O1279" s="2" t="str">
        <x:v>생략</x:v>
      </x:c>
      <x:c r="P1279" s="2" t="str">
        <x:v>정보비공개 신청 포함</x:v>
      </x:c>
      <x:c r="Q1279" s="2" t="str">
        <x:v>산업전환_외부사업관리Tool_260707_이너젠 수정_LJY_261013.xlsx</x:v>
      </x:c>
      <x:c r="R1279" s="2" t="str">
        <x:v>국내평가</x:v>
      </x:c>
      <x:c r="S1279" s="8" t="n">
        <x:v>1182</x:v>
      </x:c>
      <x:c r="T1279" s="2" t="str">
        <x:v>(2/6),(4/9),(5/9)</x:v>
      </x:c>
      <x:c r="U1279" s="2" t="str">
        <x:v>2025 배정: (2/6),(4/9),(5/9)</x:v>
      </x:c>
      <x:c r="V1279" s="2" t="str">
        <x:v>2026-01-29</x:v>
      </x:c>
      <x:c r="W1279" s="2" t="str">
        <x:v>담당기관 확인</x:v>
      </x:c>
      <x:c r="X1279" s="2" t="str">
        <x:v>원본·배정 기록 확인</x:v>
      </x:c>
      <x:c r="Y1279" s="2" t="str">
        <x:v>ad210cd9ec132cfd447541c8984dc53d30aff0f4fb2dc92d254d49275cc55976</x:v>
      </x:c>
      <x:c r="Z1279" s="2" t="n">
        <x:f>SUBTOTAL(103,A1279)</x:f>
        <x:v>1</x:v>
      </x:c>
      <x:c r="AA1279" s="2" t="str">
        <x:f>IF(K1279&lt;&gt;"미종결 표시","대상 아님",IF(N1279="","신청일 확인",IF(NOT(ISNUMBER('종합 현황'!$H$5)),"관찰기준 확인",IF('종합 현황'!$H$5&lt;1,"관찰기준 확인",IF(N1279&gt;'종합 현황'!$H$5,"내부 관찰 대상","내부 관찰일 이하")))))</x:f>
        <x:v>대상 아님</x:v>
      </x:c>
      <x:c r="AB1279" s="2"/>
    </x:row>
    <x:row r="1280" ht="42" customHeight="1">
      <x:c r="A1280" s="2" t="str">
        <x:v>f139c8b35193fb43cda90082</x:v>
      </x:c>
      <x:c r="B1280" s="2" t="str">
        <x:v>사업 평가</x:v>
      </x:c>
      <x:c r="C1280" s="2" t="str">
        <x:v>국내</x:v>
      </x:c>
      <x:c r="D1280" s="7" t="str">
        <x:v>삼성금속(주) 외 4개사의 에이치디한국조선해양 및 조선자회사 협력사 대상 온실가스 감축사업</x:v>
      </x:c>
      <x:c r="E1280" s="2" t="str">
        <x:v>1141</x:v>
      </x:c>
      <x:c r="F1280" s="2" t="str">
        <x:v>2025-01-21</x:v>
      </x:c>
      <x:c r="G1280" s="2" t="str">
        <x:v>2025</x:v>
      </x:c>
      <x:c r="H1280" s="2" t="str">
        <x:v>01</x:v>
      </x:c>
      <x:c r="I1280" s="2" t="str">
        <x:v>승인</x:v>
      </x:c>
      <x:c r="J1280" s="2" t="str">
        <x:v>심의승인</x:v>
      </x:c>
      <x:c r="K1280" s="2" t="str">
        <x:f>IF(OR(J1280="심의승인",J1280="반려",J1280="반려완료",J1280="심의완료"),"종결 표시",IF(OR(J1280="기후부협의",J1280="문서재제출요청",J1280="보류",J1280="보완요청",J1280="보완완료",J1280="평가중",J1280="반려요청",J1280="평가필요",LEFT(J1280,5)="보완요청("),"미종결 표시","상태 확인 필요"))</x:f>
        <x:v>종결 표시</x:v>
      </x:c>
      <x:c r="L1280" s="2"/>
      <x:c r="M1280" s="2"/>
      <x:c r="N1280" s="8" t="n">
        <x:f>DATE(2026,10,15)-DATE(2025,1,21)</x:f>
        <x:v>632</x:v>
      </x:c>
      <x:c r="O1280" s="2" t="str">
        <x:v>생략</x:v>
      </x:c>
      <x:c r="P1280" s="2"/>
      <x:c r="Q1280" s="2" t="str">
        <x:v>산업전환_외부사업관리Tool_260707_이너젠 수정_LJY_261013.xlsx</x:v>
      </x:c>
      <x:c r="R1280" s="2" t="str">
        <x:v>국내평가</x:v>
      </x:c>
      <x:c r="S1280" s="8" t="n">
        <x:v>1183</x:v>
      </x:c>
      <x:c r="T1280" s="2" t="str">
        <x:v>(2/6),(4/9),(5/30),(9/1)</x:v>
      </x:c>
      <x:c r="U1280" s="2" t="str">
        <x:v>2025 배정: (2/6),(4/9),(5/30),(9/1)</x:v>
      </x:c>
      <x:c r="V1280" s="2" t="str">
        <x:v>2026-04-07</x:v>
      </x:c>
      <x:c r="W1280" s="2" t="str">
        <x:v>담당기관 확인</x:v>
      </x:c>
      <x:c r="X1280" s="2" t="str">
        <x:v>원본·배정 기록 확인</x:v>
      </x:c>
      <x:c r="Y1280" s="2" t="str">
        <x:v>ad210cd9ec132cfd447541c8984dc53d30aff0f4fb2dc92d254d49275cc55976</x:v>
      </x:c>
      <x:c r="Z1280" s="2" t="n">
        <x:f>SUBTOTAL(103,A1280)</x:f>
        <x:v>1</x:v>
      </x:c>
      <x:c r="AA1280" s="2" t="str">
        <x:f>IF(K1280&lt;&gt;"미종결 표시","대상 아님",IF(N1280="","신청일 확인",IF(NOT(ISNUMBER('종합 현황'!$H$5)),"관찰기준 확인",IF('종합 현황'!$H$5&lt;1,"관찰기준 확인",IF(N1280&gt;'종합 현황'!$H$5,"내부 관찰 대상","내부 관찰일 이하")))))</x:f>
        <x:v>대상 아님</x:v>
      </x:c>
      <x:c r="AB1280" s="2"/>
    </x:row>
    <x:row r="1281" ht="42" customHeight="1">
      <x:c r="A1281" s="2" t="str">
        <x:v>7e32f9cf25e8e88c7a395667</x:v>
      </x:c>
      <x:c r="B1281" s="2" t="str">
        <x:v>사업 평가</x:v>
      </x:c>
      <x:c r="C1281" s="2" t="str">
        <x:v>국내</x:v>
      </x:c>
      <x:c r="D1281" s="7" t="str">
        <x:v>전주시 도로 조명시설 조도 및 에너지효율 개선사업</x:v>
      </x:c>
      <x:c r="E1281" s="2" t="str">
        <x:v>1142</x:v>
      </x:c>
      <x:c r="F1281" s="2" t="str">
        <x:v>2025-02-04</x:v>
      </x:c>
      <x:c r="G1281" s="2" t="str">
        <x:v>2025</x:v>
      </x:c>
      <x:c r="H1281" s="2" t="str">
        <x:v>02</x:v>
      </x:c>
      <x:c r="I1281" s="2" t="str">
        <x:v>보완1차_보완중</x:v>
      </x:c>
      <x:c r="J1281" s="2" t="str">
        <x:v>보완요청</x:v>
      </x:c>
      <x:c r="K1281" s="2" t="str">
        <x:f>IF(OR(J1281="심의승인",J1281="반려",J1281="반려완료",J1281="심의완료"),"종결 표시",IF(OR(J1281="기후부협의",J1281="문서재제출요청",J1281="보류",J1281="보완요청",J1281="보완완료",J1281="평가중",J1281="반려요청",J1281="평가필요",LEFT(J1281,5)="보완요청("),"미종결 표시","상태 확인 필요"))</x:f>
        <x:v>미종결 표시</x:v>
      </x:c>
      <x:c r="L1281" s="2"/>
      <x:c r="M1281" s="2" t="n">
        <x:v>1</x:v>
      </x:c>
      <x:c r="N1281" s="8" t="n">
        <x:f>DATE(2026,10,15)-DATE(2025,2,4)</x:f>
        <x:v>618</x:v>
      </x:c>
      <x:c r="O1281" s="2" t="str">
        <x:v>생략</x:v>
      </x:c>
      <x:c r="P1281" s="2"/>
      <x:c r="Q1281" s="2" t="str">
        <x:v>산업전환_외부사업관리Tool_260707_이너젠 수정_LJY_261013.xlsx</x:v>
      </x:c>
      <x:c r="R1281" s="2" t="str">
        <x:v>국내평가</x:v>
      </x:c>
      <x:c r="S1281" s="8" t="n">
        <x:v>1184</x:v>
      </x:c>
      <x:c r="T1281" s="2" t="str">
        <x:v>(2/6)</x:v>
      </x:c>
      <x:c r="U1281" s="2" t="str">
        <x:v>2025 배정: (2/6)</x:v>
      </x:c>
      <x:c r="V1281" s="2" t="str">
        <x:v>2025-03-12</x:v>
      </x:c>
      <x:c r="W1281" s="2" t="str">
        <x:v>담당기관 확인</x:v>
      </x:c>
      <x:c r="X1281" s="2" t="str">
        <x:v>원본·배정 기록 확인</x:v>
      </x:c>
      <x:c r="Y1281" s="2" t="str">
        <x:v>ad210cd9ec132cfd447541c8984dc53d30aff0f4fb2dc92d254d49275cc55976</x:v>
      </x:c>
      <x:c r="Z1281" s="2" t="n">
        <x:f>SUBTOTAL(103,A1281)</x:f>
        <x:v>1</x:v>
      </x:c>
      <x:c r="AA1281" s="2" t="str">
        <x:f>IF(K1281&lt;&gt;"미종결 표시","대상 아님",IF(N1281="","신청일 확인",IF(NOT(ISNUMBER('종합 현황'!$H$5)),"관찰기준 확인",IF('종합 현황'!$H$5&lt;1,"관찰기준 확인",IF(N1281&gt;'종합 현황'!$H$5,"내부 관찰 대상","내부 관찰일 이하")))))</x:f>
        <x:v>내부 관찰 대상</x:v>
      </x:c>
      <x:c r="AB1281" s="2"/>
    </x:row>
    <x:row r="1282" ht="42" customHeight="1">
      <x:c r="A1282" s="2" t="str">
        <x:v>e41c5b45a23b03800d598c43</x:v>
      </x:c>
      <x:c r="B1282" s="2" t="str">
        <x:v>사업 평가</x:v>
      </x:c>
      <x:c r="C1282" s="2" t="str">
        <x:v>국내</x:v>
      </x:c>
      <x:c r="D1282" s="7" t="str">
        <x:v>비엠티 태양광 발전설비 설치 및  자가사용을 통한 온실가스 감축사업</x:v>
      </x:c>
      <x:c r="E1282" s="2" t="str">
        <x:v>1143</x:v>
      </x:c>
      <x:c r="F1282" s="2" t="str">
        <x:v>2025-02-21</x:v>
      </x:c>
      <x:c r="G1282" s="2" t="str">
        <x:v>2025</x:v>
      </x:c>
      <x:c r="H1282" s="2" t="str">
        <x:v>02</x:v>
      </x:c>
      <x:c r="I1282" s="2" t="str">
        <x:v>승인</x:v>
      </x:c>
      <x:c r="J1282" s="2" t="str">
        <x:v>심의승인</x:v>
      </x:c>
      <x:c r="K1282" s="2" t="str">
        <x:f>IF(OR(J1282="심의승인",J1282="반려",J1282="반려완료",J1282="심의완료"),"종결 표시",IF(OR(J1282="기후부협의",J1282="문서재제출요청",J1282="보류",J1282="보완요청",J1282="보완완료",J1282="평가중",J1282="반려요청",J1282="평가필요",LEFT(J1282,5)="보완요청("),"미종결 표시","상태 확인 필요"))</x:f>
        <x:v>종결 표시</x:v>
      </x:c>
      <x:c r="L1282" s="2"/>
      <x:c r="M1282" s="2"/>
      <x:c r="N1282" s="8" t="n">
        <x:f>DATE(2026,10,15)-DATE(2025,2,21)</x:f>
        <x:v>601</x:v>
      </x:c>
      <x:c r="O1282" s="2" t="str">
        <x:v>생략</x:v>
      </x:c>
      <x:c r="P1282" s="2"/>
      <x:c r="Q1282" s="2" t="str">
        <x:v>산업전환_외부사업관리Tool_260707_이너젠 수정_LJY_261013.xlsx</x:v>
      </x:c>
      <x:c r="R1282" s="2" t="str">
        <x:v>국내평가</x:v>
      </x:c>
      <x:c r="S1282" s="8" t="n">
        <x:v>1185</x:v>
      </x:c>
      <x:c r="T1282" s="2" t="str">
        <x:v>(3/5),(6/26),(12/1)</x:v>
      </x:c>
      <x:c r="U1282" s="2" t="str">
        <x:v>2025 배정: (3/5),(6/26),(12/1) / 2026(사전): (1/14)</x:v>
      </x:c>
      <x:c r="V1282" s="2" t="str">
        <x:v>2026-06-05</x:v>
      </x:c>
      <x:c r="W1282" s="2" t="str">
        <x:v>담당기관 확인</x:v>
      </x:c>
      <x:c r="X1282" s="2" t="str">
        <x:v>원본·배정 기록 확인</x:v>
      </x:c>
      <x:c r="Y1282" s="2" t="str">
        <x:v>ad210cd9ec132cfd447541c8984dc53d30aff0f4fb2dc92d254d49275cc55976</x:v>
      </x:c>
      <x:c r="Z1282" s="2" t="n">
        <x:f>SUBTOTAL(103,A1282)</x:f>
        <x:v>1</x:v>
      </x:c>
      <x:c r="AA1282" s="2" t="str">
        <x:f>IF(K1282&lt;&gt;"미종결 표시","대상 아님",IF(N1282="","신청일 확인",IF(NOT(ISNUMBER('종합 현황'!$H$5)),"관찰기준 확인",IF('종합 현황'!$H$5&lt;1,"관찰기준 확인",IF(N1282&gt;'종합 현황'!$H$5,"내부 관찰 대상","내부 관찰일 이하")))))</x:f>
        <x:v>대상 아님</x:v>
      </x:c>
      <x:c r="AB1282" s="2"/>
    </x:row>
    <x:row r="1283" ht="42" customHeight="1">
      <x:c r="A1283" s="2" t="str">
        <x:v>11818d677c2a7da478556ddb</x:v>
      </x:c>
      <x:c r="B1283" s="2" t="str">
        <x:v>사업 평가</x:v>
      </x:c>
      <x:c r="C1283" s="2" t="str">
        <x:v>국내</x:v>
      </x:c>
      <x:c r="D1283" s="7" t="str">
        <x:v>서전산업㈜ 연료전환(B-C유→ LPG)을 통한 온실가스 배출 감축사업</x:v>
      </x:c>
      <x:c r="E1283" s="2" t="str">
        <x:v>1144</x:v>
      </x:c>
      <x:c r="F1283" s="2" t="str">
        <x:v>2025-02-25</x:v>
      </x:c>
      <x:c r="G1283" s="2" t="str">
        <x:v>2025</x:v>
      </x:c>
      <x:c r="H1283" s="2" t="str">
        <x:v>02</x:v>
      </x:c>
      <x:c r="I1283" s="2" t="str">
        <x:v>승인</x:v>
      </x:c>
      <x:c r="J1283" s="2" t="str">
        <x:v>심의승인</x:v>
      </x:c>
      <x:c r="K1283" s="2" t="str">
        <x:f>IF(OR(J1283="심의승인",J1283="반려",J1283="반려완료",J1283="심의완료"),"종결 표시",IF(OR(J1283="기후부협의",J1283="문서재제출요청",J1283="보류",J1283="보완요청",J1283="보완완료",J1283="평가중",J1283="반려요청",J1283="평가필요",LEFT(J1283,5)="보완요청("),"미종결 표시","상태 확인 필요"))</x:f>
        <x:v>종결 표시</x:v>
      </x:c>
      <x:c r="L1283" s="2"/>
      <x:c r="M1283" s="2"/>
      <x:c r="N1283" s="8" t="n">
        <x:f>DATE(2026,10,15)-DATE(2025,2,25)</x:f>
        <x:v>597</x:v>
      </x:c>
      <x:c r="O1283" s="2" t="str">
        <x:v>생략</x:v>
      </x:c>
      <x:c r="P1283" s="2" t="str">
        <x:v>협의의견 보완 완료</x:v>
      </x:c>
      <x:c r="Q1283" s="2" t="str">
        <x:v>산업전환_외부사업관리Tool_260707_이너젠 수정_LJY_261013.xlsx</x:v>
      </x:c>
      <x:c r="R1283" s="2" t="str">
        <x:v>국내평가</x:v>
      </x:c>
      <x:c r="S1283" s="8" t="n">
        <x:v>1186</x:v>
      </x:c>
      <x:c r="T1283" s="2" t="str">
        <x:v>(3/5),(5/30),(10/16),(12/1)</x:v>
      </x:c>
      <x:c r="U1283" s="2" t="str">
        <x:v>2025 배정: (3/5),(5/30),(10/16),(12/1) / 2026(사전): (1/14)</x:v>
      </x:c>
      <x:c r="V1283" s="2" t="str">
        <x:v>2026-09-08</x:v>
      </x:c>
      <x:c r="W1283" s="2" t="str">
        <x:v>담당기관 확인</x:v>
      </x:c>
      <x:c r="X1283" s="2" t="str">
        <x:v>원본·배정 기록 확인</x:v>
      </x:c>
      <x:c r="Y1283" s="2" t="str">
        <x:v>ad210cd9ec132cfd447541c8984dc53d30aff0f4fb2dc92d254d49275cc55976</x:v>
      </x:c>
      <x:c r="Z1283" s="2" t="n">
        <x:f>SUBTOTAL(103,A1283)</x:f>
        <x:v>1</x:v>
      </x:c>
      <x:c r="AA1283" s="2" t="str">
        <x:f>IF(K1283&lt;&gt;"미종결 표시","대상 아님",IF(N1283="","신청일 확인",IF(NOT(ISNUMBER('종합 현황'!$H$5)),"관찰기준 확인",IF('종합 현황'!$H$5&lt;1,"관찰기준 확인",IF(N1283&gt;'종합 현황'!$H$5,"내부 관찰 대상","내부 관찰일 이하")))))</x:f>
        <x:v>대상 아님</x:v>
      </x:c>
      <x:c r="AB1283" s="2"/>
    </x:row>
    <x:row r="1284" ht="42" customHeight="1">
      <x:c r="A1284" s="2" t="str">
        <x:v>0eba9d7e691a121da0a01a84</x:v>
      </x:c>
      <x:c r="B1284" s="2" t="str">
        <x:v>사업 평가</x:v>
      </x:c>
      <x:c r="C1284" s="2" t="str">
        <x:v>국내</x:v>
      </x:c>
      <x:c r="D1284" s="7" t="str">
        <x:v>신성아스콘주식회사 연료전환(B-C유 → LPG)을 통한 온실가스 배출 감축사업</x:v>
      </x:c>
      <x:c r="E1284" s="2" t="str">
        <x:v>1145</x:v>
      </x:c>
      <x:c r="F1284" s="2" t="str">
        <x:v>2025-02-25</x:v>
      </x:c>
      <x:c r="G1284" s="2" t="str">
        <x:v>2025</x:v>
      </x:c>
      <x:c r="H1284" s="2" t="str">
        <x:v>02</x:v>
      </x:c>
      <x:c r="I1284" s="2" t="str">
        <x:v>승인</x:v>
      </x:c>
      <x:c r="J1284" s="2" t="str">
        <x:v>심의승인</x:v>
      </x:c>
      <x:c r="K1284" s="2" t="str">
        <x:f>IF(OR(J1284="심의승인",J1284="반려",J1284="반려완료",J1284="심의완료"),"종결 표시",IF(OR(J1284="기후부협의",J1284="문서재제출요청",J1284="보류",J1284="보완요청",J1284="보완완료",J1284="평가중",J1284="반려요청",J1284="평가필요",LEFT(J1284,5)="보완요청("),"미종결 표시","상태 확인 필요"))</x:f>
        <x:v>종결 표시</x:v>
      </x:c>
      <x:c r="L1284" s="2"/>
      <x:c r="M1284" s="2"/>
      <x:c r="N1284" s="8" t="n">
        <x:f>DATE(2026,10,15)-DATE(2025,2,25)</x:f>
        <x:v>597</x:v>
      </x:c>
      <x:c r="O1284" s="2" t="str">
        <x:v>생략</x:v>
      </x:c>
      <x:c r="P1284" s="2"/>
      <x:c r="Q1284" s="2" t="str">
        <x:v>산업전환_외부사업관리Tool_260707_이너젠 수정_LJY_261013.xlsx</x:v>
      </x:c>
      <x:c r="R1284" s="2" t="str">
        <x:v>국내평가</x:v>
      </x:c>
      <x:c r="S1284" s="8" t="n">
        <x:v>1187</x:v>
      </x:c>
      <x:c r="T1284" s="2" t="str">
        <x:v>(3/5),(6/26),(10/16),(12/1)</x:v>
      </x:c>
      <x:c r="U1284" s="2" t="str">
        <x:v>2025 배정: (3/5),(6/26),(10/16),(12/1) / 2026(사전): (3/19),(4/9),(5/26)</x:v>
      </x:c>
      <x:c r="V1284" s="2" t="str">
        <x:v>2026-09-08</x:v>
      </x:c>
      <x:c r="W1284" s="2" t="str">
        <x:v>담당기관 확인</x:v>
      </x:c>
      <x:c r="X1284" s="2" t="str">
        <x:v>원본·배정 기록 확인</x:v>
      </x:c>
      <x:c r="Y1284" s="2" t="str">
        <x:v>ad210cd9ec132cfd447541c8984dc53d30aff0f4fb2dc92d254d49275cc55976</x:v>
      </x:c>
      <x:c r="Z1284" s="2" t="n">
        <x:f>SUBTOTAL(103,A1284)</x:f>
        <x:v>1</x:v>
      </x:c>
      <x:c r="AA1284" s="2" t="str">
        <x:f>IF(K1284&lt;&gt;"미종결 표시","대상 아님",IF(N1284="","신청일 확인",IF(NOT(ISNUMBER('종합 현황'!$H$5)),"관찰기준 확인",IF('종합 현황'!$H$5&lt;1,"관찰기준 확인",IF(N1284&gt;'종합 현황'!$H$5,"내부 관찰 대상","내부 관찰일 이하")))))</x:f>
        <x:v>대상 아님</x:v>
      </x:c>
      <x:c r="AB1284" s="2"/>
    </x:row>
    <x:row r="1285" ht="42" customHeight="1">
      <x:c r="A1285" s="2" t="str">
        <x:v>c97edc0d648b875357a66f05</x:v>
      </x:c>
      <x:c r="B1285" s="2" t="str">
        <x:v>사업 평가</x:v>
      </x:c>
      <x:c r="C1285" s="2" t="str">
        <x:v>국내</x:v>
      </x:c>
      <x:c r="D1285" s="7" t="str">
        <x:v>일동정밀(주) 고효율 인버터 PM  Motor 공기압축기로 교체 사업</x:v>
      </x:c>
      <x:c r="E1285" s="2" t="str">
        <x:v>1146</x:v>
      </x:c>
      <x:c r="F1285" s="2" t="str">
        <x:v>2025-02-25</x:v>
      </x:c>
      <x:c r="G1285" s="2" t="str">
        <x:v>2025</x:v>
      </x:c>
      <x:c r="H1285" s="2" t="str">
        <x:v>02</x:v>
      </x:c>
      <x:c r="I1285" s="2" t="str">
        <x:v>승인</x:v>
      </x:c>
      <x:c r="J1285" s="2" t="str">
        <x:v>심의승인</x:v>
      </x:c>
      <x:c r="K1285" s="2" t="str">
        <x:f>IF(OR(J1285="심의승인",J1285="반려",J1285="반려완료",J1285="심의완료"),"종결 표시",IF(OR(J1285="기후부협의",J1285="문서재제출요청",J1285="보류",J1285="보완요청",J1285="보완완료",J1285="평가중",J1285="반려요청",J1285="평가필요",LEFT(J1285,5)="보완요청("),"미종결 표시","상태 확인 필요"))</x:f>
        <x:v>종결 표시</x:v>
      </x:c>
      <x:c r="L1285" s="2"/>
      <x:c r="M1285" s="2"/>
      <x:c r="N1285" s="8" t="n">
        <x:f>DATE(2026,10,15)-DATE(2025,2,25)</x:f>
        <x:v>597</x:v>
      </x:c>
      <x:c r="O1285" s="2"/>
      <x:c r="P1285" s="2"/>
      <x:c r="Q1285" s="2" t="str">
        <x:v>산업전환_외부사업관리Tool_260707_이너젠 수정_LJY_261013.xlsx</x:v>
      </x:c>
      <x:c r="R1285" s="2" t="str">
        <x:v>국내평가</x:v>
      </x:c>
      <x:c r="S1285" s="8" t="n">
        <x:v>1188</x:v>
      </x:c>
      <x:c r="T1285" s="2" t="str">
        <x:v>(3/5),(5/9)</x:v>
      </x:c>
      <x:c r="U1285" s="2" t="str">
        <x:v>2025 배정: (3/5),(5/9)</x:v>
      </x:c>
      <x:c r="V1285" s="2" t="str">
        <x:v>2025-09-08</x:v>
      </x:c>
      <x:c r="W1285" s="2" t="str">
        <x:v>담당기관 확인</x:v>
      </x:c>
      <x:c r="X1285" s="2" t="str">
        <x:v>원본·배정 기록 확인</x:v>
      </x:c>
      <x:c r="Y1285" s="2" t="str">
        <x:v>ad210cd9ec132cfd447541c8984dc53d30aff0f4fb2dc92d254d49275cc55976</x:v>
      </x:c>
      <x:c r="Z1285" s="2" t="n">
        <x:f>SUBTOTAL(103,A1285)</x:f>
        <x:v>1</x:v>
      </x:c>
      <x:c r="AA1285" s="2" t="str">
        <x:f>IF(K1285&lt;&gt;"미종결 표시","대상 아님",IF(N1285="","신청일 확인",IF(NOT(ISNUMBER('종합 현황'!$H$5)),"관찰기준 확인",IF('종합 현황'!$H$5&lt;1,"관찰기준 확인",IF(N1285&gt;'종합 현황'!$H$5,"내부 관찰 대상","내부 관찰일 이하")))))</x:f>
        <x:v>대상 아님</x:v>
      </x:c>
      <x:c r="AB1285" s="2"/>
    </x:row>
    <x:row r="1286" ht="42" customHeight="1">
      <x:c r="A1286" s="2" t="str">
        <x:v>4e8c15a63e9c0c1b36e17eae</x:v>
      </x:c>
      <x:c r="B1286" s="2" t="str">
        <x:v>사업 평가</x:v>
      </x:c>
      <x:c r="C1286" s="2" t="str">
        <x:v>국내</x:v>
      </x:c>
      <x:c r="D1286" s="7" t="str">
        <x:v>성창기업 고효율 인버터 PM  Motor 공기압축기로 교체 사업</x:v>
      </x:c>
      <x:c r="E1286" s="2" t="str">
        <x:v>1147</x:v>
      </x:c>
      <x:c r="F1286" s="2" t="str">
        <x:v>2025-02-25</x:v>
      </x:c>
      <x:c r="G1286" s="2" t="str">
        <x:v>2025</x:v>
      </x:c>
      <x:c r="H1286" s="2" t="str">
        <x:v>02</x:v>
      </x:c>
      <x:c r="I1286" s="2" t="str">
        <x:v>승인</x:v>
      </x:c>
      <x:c r="J1286" s="2" t="str">
        <x:v>심의승인</x:v>
      </x:c>
      <x:c r="K1286" s="2" t="str">
        <x:f>IF(OR(J1286="심의승인",J1286="반려",J1286="반려완료",J1286="심의완료"),"종결 표시",IF(OR(J1286="기후부협의",J1286="문서재제출요청",J1286="보류",J1286="보완요청",J1286="보완완료",J1286="평가중",J1286="반려요청",J1286="평가필요",LEFT(J1286,5)="보완요청("),"미종결 표시","상태 확인 필요"))</x:f>
        <x:v>종결 표시</x:v>
      </x:c>
      <x:c r="L1286" s="2"/>
      <x:c r="M1286" s="2"/>
      <x:c r="N1286" s="8" t="n">
        <x:f>DATE(2026,10,15)-DATE(2025,2,25)</x:f>
        <x:v>597</x:v>
      </x:c>
      <x:c r="O1286" s="2"/>
      <x:c r="P1286" s="2"/>
      <x:c r="Q1286" s="2" t="str">
        <x:v>산업전환_외부사업관리Tool_260707_이너젠 수정_LJY_261013.xlsx</x:v>
      </x:c>
      <x:c r="R1286" s="2" t="str">
        <x:v>국내평가</x:v>
      </x:c>
      <x:c r="S1286" s="8" t="n">
        <x:v>1189</x:v>
      </x:c>
      <x:c r="T1286" s="2" t="str">
        <x:v>(3/5),(5/9)</x:v>
      </x:c>
      <x:c r="U1286" s="2" t="str">
        <x:v>2025 배정: (3/5),(5/9)</x:v>
      </x:c>
      <x:c r="V1286" s="2" t="str">
        <x:v>2025-09-08</x:v>
      </x:c>
      <x:c r="W1286" s="2" t="str">
        <x:v>담당기관 확인</x:v>
      </x:c>
      <x:c r="X1286" s="2" t="str">
        <x:v>원본·배정 기록 확인</x:v>
      </x:c>
      <x:c r="Y1286" s="2" t="str">
        <x:v>ad210cd9ec132cfd447541c8984dc53d30aff0f4fb2dc92d254d49275cc55976</x:v>
      </x:c>
      <x:c r="Z1286" s="2" t="n">
        <x:f>SUBTOTAL(103,A1286)</x:f>
        <x:v>1</x:v>
      </x:c>
      <x:c r="AA1286" s="2" t="str">
        <x:f>IF(K1286&lt;&gt;"미종결 표시","대상 아님",IF(N1286="","신청일 확인",IF(NOT(ISNUMBER('종합 현황'!$H$5)),"관찰기준 확인",IF('종합 현황'!$H$5&lt;1,"관찰기준 확인",IF(N1286&gt;'종합 현황'!$H$5,"내부 관찰 대상","내부 관찰일 이하")))))</x:f>
        <x:v>대상 아님</x:v>
      </x:c>
      <x:c r="AB1286" s="2"/>
    </x:row>
    <x:row r="1287" ht="42" customHeight="1">
      <x:c r="A1287" s="2" t="str">
        <x:v>4b66882c00edf91f04111242</x:v>
      </x:c>
      <x:c r="B1287" s="2" t="str">
        <x:v>사업 평가</x:v>
      </x:c>
      <x:c r="C1287" s="2" t="str">
        <x:v>국내</x:v>
      </x:c>
      <x:c r="D1287" s="7" t="str">
        <x:v>청화요업(주) 소성로 연료전환(B-C유에서 LPG)을 통한 온실가스 배출 감축사업</x:v>
      </x:c>
      <x:c r="E1287" s="2" t="str">
        <x:v>1148</x:v>
      </x:c>
      <x:c r="F1287" s="2" t="str">
        <x:v>2025-02-26</x:v>
      </x:c>
      <x:c r="G1287" s="2" t="str">
        <x:v>2025</x:v>
      </x:c>
      <x:c r="H1287" s="2" t="str">
        <x:v>02</x:v>
      </x:c>
      <x:c r="I1287" s="2" t="str">
        <x:v>보완3차_보완중</x:v>
      </x:c>
      <x:c r="J1287" s="2" t="str">
        <x:v>보완요청</x:v>
      </x:c>
      <x:c r="K1287" s="2" t="str">
        <x:f>IF(OR(J1287="심의승인",J1287="반려",J1287="반려완료",J1287="심의완료"),"종결 표시",IF(OR(J1287="기후부협의",J1287="문서재제출요청",J1287="보류",J1287="보완요청",J1287="보완완료",J1287="평가중",J1287="반려요청",J1287="평가필요",LEFT(J1287,5)="보완요청("),"미종결 표시","상태 확인 필요"))</x:f>
        <x:v>미종결 표시</x:v>
      </x:c>
      <x:c r="L1287" s="2"/>
      <x:c r="M1287" s="2" t="n">
        <x:v>3</x:v>
      </x:c>
      <x:c r="N1287" s="8" t="n">
        <x:f>DATE(2026,10,15)-DATE(2025,2,26)</x:f>
        <x:v>596</x:v>
      </x:c>
      <x:c r="O1287" s="2" t="str">
        <x:v>생략</x:v>
      </x:c>
      <x:c r="P1287" s="2"/>
      <x:c r="Q1287" s="2" t="str">
        <x:v>산업전환_외부사업관리Tool_260707_이너젠 수정_LJY_261013.xlsx</x:v>
      </x:c>
      <x:c r="R1287" s="2" t="str">
        <x:v>국내평가</x:v>
      </x:c>
      <x:c r="S1287" s="8" t="n">
        <x:v>1190</x:v>
      </x:c>
      <x:c r="T1287" s="2" t="str">
        <x:v>(3/5),(6/26),(10/16)</x:v>
      </x:c>
      <x:c r="U1287" s="2" t="str">
        <x:v>2025 배정: (3/5),(6/26),(10/16)</x:v>
      </x:c>
      <x:c r="V1287" s="2" t="str">
        <x:v>2025-11-07</x:v>
      </x:c>
      <x:c r="W1287" s="2" t="str">
        <x:v>담당기관 확인</x:v>
      </x:c>
      <x:c r="X1287" s="2" t="str">
        <x:v>원본·배정 기록 확인</x:v>
      </x:c>
      <x:c r="Y1287" s="2" t="str">
        <x:v>ad210cd9ec132cfd447541c8984dc53d30aff0f4fb2dc92d254d49275cc55976</x:v>
      </x:c>
      <x:c r="Z1287" s="2" t="n">
        <x:f>SUBTOTAL(103,A1287)</x:f>
        <x:v>1</x:v>
      </x:c>
      <x:c r="AA1287" s="2" t="str">
        <x:f>IF(K1287&lt;&gt;"미종결 표시","대상 아님",IF(N1287="","신청일 확인",IF(NOT(ISNUMBER('종합 현황'!$H$5)),"관찰기준 확인",IF('종합 현황'!$H$5&lt;1,"관찰기준 확인",IF(N1287&gt;'종합 현황'!$H$5,"내부 관찰 대상","내부 관찰일 이하")))))</x:f>
        <x:v>내부 관찰 대상</x:v>
      </x:c>
      <x:c r="AB1287" s="2"/>
    </x:row>
    <x:row r="1288" ht="42" customHeight="1">
      <x:c r="A1288" s="2" t="str">
        <x:v>5798ce3fa4513ce774a5a425</x:v>
      </x:c>
      <x:c r="B1288" s="2" t="str">
        <x:v>사업 평가</x:v>
      </x:c>
      <x:c r="C1288" s="2" t="str">
        <x:v>국내</x:v>
      </x:c>
      <x:c r="D1288" s="7" t="str">
        <x:v>대주아스콘 주식회사 연료전환(B-C유→ LPG)을 통한 온실가스 배출 감축사업</x:v>
      </x:c>
      <x:c r="E1288" s="2" t="str">
        <x:v>1149</x:v>
      </x:c>
      <x:c r="F1288" s="2" t="str">
        <x:v>2025-02-26</x:v>
      </x:c>
      <x:c r="G1288" s="2" t="str">
        <x:v>2025</x:v>
      </x:c>
      <x:c r="H1288" s="2" t="str">
        <x:v>02</x:v>
      </x:c>
      <x:c r="I1288" s="2" t="str">
        <x:v>승인</x:v>
      </x:c>
      <x:c r="J1288" s="2" t="str">
        <x:v>심의승인</x:v>
      </x:c>
      <x:c r="K1288" s="2" t="str">
        <x:f>IF(OR(J1288="심의승인",J1288="반려",J1288="반려완료",J1288="심의완료"),"종결 표시",IF(OR(J1288="기후부협의",J1288="문서재제출요청",J1288="보류",J1288="보완요청",J1288="보완완료",J1288="평가중",J1288="반려요청",J1288="평가필요",LEFT(J1288,5)="보완요청("),"미종결 표시","상태 확인 필요"))</x:f>
        <x:v>종결 표시</x:v>
      </x:c>
      <x:c r="L1288" s="2"/>
      <x:c r="M1288" s="2"/>
      <x:c r="N1288" s="8" t="n">
        <x:f>DATE(2026,10,15)-DATE(2025,2,26)</x:f>
        <x:v>596</x:v>
      </x:c>
      <x:c r="O1288" s="2" t="str">
        <x:v>생략</x:v>
      </x:c>
      <x:c r="P1288" s="2"/>
      <x:c r="Q1288" s="2" t="str">
        <x:v>산업전환_외부사업관리Tool_260707_이너젠 수정_LJY_261013.xlsx</x:v>
      </x:c>
      <x:c r="R1288" s="2" t="str">
        <x:v>국내평가</x:v>
      </x:c>
      <x:c r="S1288" s="8" t="n">
        <x:v>1191</x:v>
      </x:c>
      <x:c r="T1288" s="2" t="str">
        <x:v>(3/5),(5/30),(10/16),(12/1)</x:v>
      </x:c>
      <x:c r="U1288" s="2" t="str">
        <x:v>2025 배정: (3/5),(5/30),(10/16),(12/1) / 2026(사전): (1/14),(3/19)</x:v>
      </x:c>
      <x:c r="V1288" s="2" t="str">
        <x:v>2026-09-08</x:v>
      </x:c>
      <x:c r="W1288" s="2" t="str">
        <x:v>담당기관 확인</x:v>
      </x:c>
      <x:c r="X1288" s="2" t="str">
        <x:v>원본·배정 기록 확인</x:v>
      </x:c>
      <x:c r="Y1288" s="2" t="str">
        <x:v>ad210cd9ec132cfd447541c8984dc53d30aff0f4fb2dc92d254d49275cc55976</x:v>
      </x:c>
      <x:c r="Z1288" s="2" t="n">
        <x:f>SUBTOTAL(103,A1288)</x:f>
        <x:v>1</x:v>
      </x:c>
      <x:c r="AA1288" s="2" t="str">
        <x:f>IF(K1288&lt;&gt;"미종결 표시","대상 아님",IF(N1288="","신청일 확인",IF(NOT(ISNUMBER('종합 현황'!$H$5)),"관찰기준 확인",IF('종합 현황'!$H$5&lt;1,"관찰기준 확인",IF(N1288&gt;'종합 현황'!$H$5,"내부 관찰 대상","내부 관찰일 이하")))))</x:f>
        <x:v>대상 아님</x:v>
      </x:c>
      <x:c r="AB1288" s="2"/>
    </x:row>
    <x:row r="1289" ht="42" customHeight="1">
      <x:c r="A1289" s="2" t="str">
        <x:v>ccd7b6b3278c91c87135904d</x:v>
      </x:c>
      <x:c r="B1289" s="2" t="str">
        <x:v>사업 평가</x:v>
      </x:c>
      <x:c r="C1289" s="2" t="str">
        <x:v>국내</x:v>
      </x:c>
      <x:c r="D1289" s="7" t="str">
        <x:v>반월중앙도금공단 폐열회수시설 적용을 통한 온실가스  감축 사업</x:v>
      </x:c>
      <x:c r="E1289" s="2" t="str">
        <x:v>1150</x:v>
      </x:c>
      <x:c r="F1289" s="2" t="str">
        <x:v>2025-02-27</x:v>
      </x:c>
      <x:c r="G1289" s="2" t="str">
        <x:v>2025</x:v>
      </x:c>
      <x:c r="H1289" s="2" t="str">
        <x:v>02</x:v>
      </x:c>
      <x:c r="I1289" s="2" t="str">
        <x:v>보완1차_보완중</x:v>
      </x:c>
      <x:c r="J1289" s="2" t="str">
        <x:v>보완요청</x:v>
      </x:c>
      <x:c r="K1289" s="2" t="str">
        <x:f>IF(OR(J1289="심의승인",J1289="반려",J1289="반려완료",J1289="심의완료"),"종결 표시",IF(OR(J1289="기후부협의",J1289="문서재제출요청",J1289="보류",J1289="보완요청",J1289="보완완료",J1289="평가중",J1289="반려요청",J1289="평가필요",LEFT(J1289,5)="보완요청("),"미종결 표시","상태 확인 필요"))</x:f>
        <x:v>미종결 표시</x:v>
      </x:c>
      <x:c r="L1289" s="2"/>
      <x:c r="M1289" s="2" t="n">
        <x:v>1</x:v>
      </x:c>
      <x:c r="N1289" s="8" t="n">
        <x:f>DATE(2026,10,15)-DATE(2025,2,27)</x:f>
        <x:v>595</x:v>
      </x:c>
      <x:c r="O1289" s="2" t="str">
        <x:v>평가 후 결정</x:v>
      </x:c>
      <x:c r="P1289" s="2"/>
      <x:c r="Q1289" s="2" t="str">
        <x:v>산업전환_외부사업관리Tool_260707_이너젠 수정_LJY_261013.xlsx</x:v>
      </x:c>
      <x:c r="R1289" s="2" t="str">
        <x:v>국내평가</x:v>
      </x:c>
      <x:c r="S1289" s="8" t="n">
        <x:v>1192</x:v>
      </x:c>
      <x:c r="T1289" s="2" t="str">
        <x:v>(3/5)</x:v>
      </x:c>
      <x:c r="U1289" s="2" t="str">
        <x:v>2025 배정: (3/5)</x:v>
      </x:c>
      <x:c r="V1289" s="2" t="str">
        <x:v>2025-04-17</x:v>
      </x:c>
      <x:c r="W1289" s="2" t="str">
        <x:v>담당기관 확인</x:v>
      </x:c>
      <x:c r="X1289" s="2" t="str">
        <x:v>원본·배정 기록 확인</x:v>
      </x:c>
      <x:c r="Y1289" s="2" t="str">
        <x:v>ad210cd9ec132cfd447541c8984dc53d30aff0f4fb2dc92d254d49275cc55976</x:v>
      </x:c>
      <x:c r="Z1289" s="2" t="n">
        <x:f>SUBTOTAL(103,A1289)</x:f>
        <x:v>1</x:v>
      </x:c>
      <x:c r="AA1289" s="2" t="str">
        <x:f>IF(K1289&lt;&gt;"미종결 표시","대상 아님",IF(N1289="","신청일 확인",IF(NOT(ISNUMBER('종합 현황'!$H$5)),"관찰기준 확인",IF('종합 현황'!$H$5&lt;1,"관찰기준 확인",IF(N1289&gt;'종합 현황'!$H$5,"내부 관찰 대상","내부 관찰일 이하")))))</x:f>
        <x:v>내부 관찰 대상</x:v>
      </x:c>
      <x:c r="AB1289" s="2"/>
    </x:row>
    <x:row r="1290" ht="42" customHeight="1">
      <x:c r="A1290" s="2" t="str">
        <x:v>296059e8461494f6b8bb33df</x:v>
      </x:c>
      <x:c r="B1290" s="2" t="str">
        <x:v>사업 평가</x:v>
      </x:c>
      <x:c r="C1290" s="2" t="str">
        <x:v>국내</x:v>
      </x:c>
      <x:c r="D1290" s="7" t="str">
        <x:v>(주)풀잎라인 고효율 2단 인버터  PM Motor 공기압축기로 교체 사업</x:v>
      </x:c>
      <x:c r="E1290" s="2" t="str">
        <x:v>1151</x:v>
      </x:c>
      <x:c r="F1290" s="2" t="str">
        <x:v>2025-03-10</x:v>
      </x:c>
      <x:c r="G1290" s="2" t="str">
        <x:v>2025</x:v>
      </x:c>
      <x:c r="H1290" s="2" t="str">
        <x:v>03</x:v>
      </x:c>
      <x:c r="I1290" s="2" t="str">
        <x:v>승인</x:v>
      </x:c>
      <x:c r="J1290" s="2" t="str">
        <x:v>심의승인</x:v>
      </x:c>
      <x:c r="K1290" s="2" t="str">
        <x:f>IF(OR(J1290="심의승인",J1290="반려",J1290="반려완료",J1290="심의완료"),"종결 표시",IF(OR(J1290="기후부협의",J1290="문서재제출요청",J1290="보류",J1290="보완요청",J1290="보완완료",J1290="평가중",J1290="반려요청",J1290="평가필요",LEFT(J1290,5)="보완요청("),"미종결 표시","상태 확인 필요"))</x:f>
        <x:v>종결 표시</x:v>
      </x:c>
      <x:c r="L1290" s="2"/>
      <x:c r="M1290" s="2"/>
      <x:c r="N1290" s="8" t="n">
        <x:f>DATE(2026,10,15)-DATE(2025,3,10)</x:f>
        <x:v>584</x:v>
      </x:c>
      <x:c r="O1290" s="2" t="str">
        <x:v>생략</x:v>
      </x:c>
      <x:c r="P1290" s="2"/>
      <x:c r="Q1290" s="2" t="str">
        <x:v>산업전환_외부사업관리Tool_260707_이너젠 수정_LJY_261013.xlsx</x:v>
      </x:c>
      <x:c r="R1290" s="2" t="str">
        <x:v>국내평가</x:v>
      </x:c>
      <x:c r="S1290" s="8" t="n">
        <x:v>1193</x:v>
      </x:c>
      <x:c r="T1290" s="2" t="str">
        <x:v>(4/9),(9/1),(11/10)</x:v>
      </x:c>
      <x:c r="U1290" s="2" t="str">
        <x:v>2025 배정: (4/9),(9/1),(11/10)</x:v>
      </x:c>
      <x:c r="V1290" s="2" t="str">
        <x:v>2026-03-11</x:v>
      </x:c>
      <x:c r="W1290" s="2" t="str">
        <x:v>담당기관 확인</x:v>
      </x:c>
      <x:c r="X1290" s="2" t="str">
        <x:v>원본·배정 기록 확인</x:v>
      </x:c>
      <x:c r="Y1290" s="2" t="str">
        <x:v>ad210cd9ec132cfd447541c8984dc53d30aff0f4fb2dc92d254d49275cc55976</x:v>
      </x:c>
      <x:c r="Z1290" s="2" t="n">
        <x:f>SUBTOTAL(103,A1290)</x:f>
        <x:v>1</x:v>
      </x:c>
      <x:c r="AA1290" s="2" t="str">
        <x:f>IF(K1290&lt;&gt;"미종결 표시","대상 아님",IF(N1290="","신청일 확인",IF(NOT(ISNUMBER('종합 현황'!$H$5)),"관찰기준 확인",IF('종합 현황'!$H$5&lt;1,"관찰기준 확인",IF(N1290&gt;'종합 현황'!$H$5,"내부 관찰 대상","내부 관찰일 이하")))))</x:f>
        <x:v>대상 아님</x:v>
      </x:c>
      <x:c r="AB1290" s="2"/>
    </x:row>
    <x:row r="1291" ht="42" customHeight="1">
      <x:c r="A1291" s="2" t="str">
        <x:v>3b790e456fa248e181b74c2e</x:v>
      </x:c>
      <x:c r="B1291" s="2" t="str">
        <x:v>사업 평가</x:v>
      </x:c>
      <x:c r="C1291" s="2" t="str">
        <x:v>국내</x:v>
      </x:c>
      <x:c r="D1291" s="7" t="str">
        <x:v>인평산업주식회사 연료전환(B-C유 및 감압정제유 → LPG)을 통한 온실가스 배출 감축사업</x:v>
      </x:c>
      <x:c r="E1291" s="2" t="str">
        <x:v>1152</x:v>
      </x:c>
      <x:c r="F1291" s="2" t="str">
        <x:v>2025-03-10</x:v>
      </x:c>
      <x:c r="G1291" s="2" t="str">
        <x:v>2025</x:v>
      </x:c>
      <x:c r="H1291" s="2" t="str">
        <x:v>03</x:v>
      </x:c>
      <x:c r="I1291" s="2" t="str">
        <x:v>승인</x:v>
      </x:c>
      <x:c r="J1291" s="2" t="str">
        <x:v>심의승인</x:v>
      </x:c>
      <x:c r="K1291" s="2" t="str">
        <x:f>IF(OR(J1291="심의승인",J1291="반려",J1291="반려완료",J1291="심의완료"),"종결 표시",IF(OR(J1291="기후부협의",J1291="문서재제출요청",J1291="보류",J1291="보완요청",J1291="보완완료",J1291="평가중",J1291="반려요청",J1291="평가필요",LEFT(J1291,5)="보완요청("),"미종결 표시","상태 확인 필요"))</x:f>
        <x:v>종결 표시</x:v>
      </x:c>
      <x:c r="L1291" s="2"/>
      <x:c r="M1291" s="2"/>
      <x:c r="N1291" s="8" t="n">
        <x:f>DATE(2026,10,15)-DATE(2025,3,10)</x:f>
        <x:v>584</x:v>
      </x:c>
      <x:c r="O1291" s="2" t="str">
        <x:v>생략</x:v>
      </x:c>
      <x:c r="P1291" s="2"/>
      <x:c r="Q1291" s="2" t="str">
        <x:v>산업전환_외부사업관리Tool_260707_이너젠 수정_LJY_261013.xlsx</x:v>
      </x:c>
      <x:c r="R1291" s="2" t="str">
        <x:v>국내평가</x:v>
      </x:c>
      <x:c r="S1291" s="8" t="n">
        <x:v>1194</x:v>
      </x:c>
      <x:c r="T1291" s="2" t="str">
        <x:v>(4/9),(6/26),(10/16),(11/10)</x:v>
      </x:c>
      <x:c r="U1291" s="2" t="str">
        <x:v>2025 배정: (4/9),(6/26),(10/16),(11/10)</x:v>
      </x:c>
      <x:c r="V1291" s="2" t="str">
        <x:v>2026-07-28</x:v>
      </x:c>
      <x:c r="W1291" s="2" t="str">
        <x:v>담당기관 확인</x:v>
      </x:c>
      <x:c r="X1291" s="2" t="str">
        <x:v>원본·배정 기록 확인</x:v>
      </x:c>
      <x:c r="Y1291" s="2" t="str">
        <x:v>ad210cd9ec132cfd447541c8984dc53d30aff0f4fb2dc92d254d49275cc55976</x:v>
      </x:c>
      <x:c r="Z1291" s="2" t="n">
        <x:f>SUBTOTAL(103,A1291)</x:f>
        <x:v>1</x:v>
      </x:c>
      <x:c r="AA1291" s="2" t="str">
        <x:f>IF(K1291&lt;&gt;"미종결 표시","대상 아님",IF(N1291="","신청일 확인",IF(NOT(ISNUMBER('종합 현황'!$H$5)),"관찰기준 확인",IF('종합 현황'!$H$5&lt;1,"관찰기준 확인",IF(N1291&gt;'종합 현황'!$H$5,"내부 관찰 대상","내부 관찰일 이하")))))</x:f>
        <x:v>대상 아님</x:v>
      </x:c>
      <x:c r="AB1291" s="2"/>
    </x:row>
    <x:row r="1292" ht="42" customHeight="1">
      <x:c r="A1292" s="2" t="str">
        <x:v>f450b396b1d65af2d77f0df8</x:v>
      </x:c>
      <x:c r="B1292" s="2" t="str">
        <x:v>사업 평가</x:v>
      </x:c>
      <x:c r="C1292" s="2" t="str">
        <x:v>국내</x:v>
      </x:c>
      <x:c r="D1292" s="7" t="str">
        <x:v>농산아스콘㈜ 연료전환(B-C유, 감압정제유→LPG)을 통한 온실가스 배출 감축사업</x:v>
      </x:c>
      <x:c r="E1292" s="2" t="str">
        <x:v>1153</x:v>
      </x:c>
      <x:c r="F1292" s="2" t="str">
        <x:v>2025-03-10</x:v>
      </x:c>
      <x:c r="G1292" s="2" t="str">
        <x:v>2025</x:v>
      </x:c>
      <x:c r="H1292" s="2" t="str">
        <x:v>03</x:v>
      </x:c>
      <x:c r="I1292" s="2" t="str">
        <x:v>협의검토중</x:v>
      </x:c>
      <x:c r="J1292" s="2" t="str">
        <x:v>평가중</x:v>
      </x:c>
      <x:c r="K1292" s="2" t="str">
        <x:f>IF(OR(J1292="심의승인",J1292="반려",J1292="반려완료",J1292="심의완료"),"종결 표시",IF(OR(J1292="기후부협의",J1292="문서재제출요청",J1292="보류",J1292="보완요청",J1292="보완완료",J1292="평가중",J1292="반려요청",J1292="평가필요",LEFT(J1292,5)="보완요청("),"미종결 표시","상태 확인 필요"))</x:f>
        <x:v>미종결 표시</x:v>
      </x:c>
      <x:c r="L1292" s="2"/>
      <x:c r="M1292" s="2"/>
      <x:c r="N1292" s="8" t="n">
        <x:f>DATE(2026,10,15)-DATE(2025,3,10)</x:f>
        <x:v>584</x:v>
      </x:c>
      <x:c r="O1292" s="2" t="str">
        <x:v>생략</x:v>
      </x:c>
      <x:c r="P1292" s="2"/>
      <x:c r="Q1292" s="2" t="str">
        <x:v>산업전환_외부사업관리Tool_260707_이너젠 수정_LJY_261013.xlsx</x:v>
      </x:c>
      <x:c r="R1292" s="2" t="str">
        <x:v>국내평가</x:v>
      </x:c>
      <x:c r="S1292" s="8" t="n">
        <x:v>1195</x:v>
      </x:c>
      <x:c r="T1292" s="2" t="str">
        <x:v>(4/9),(6/26),(10/16),(12/1)</x:v>
      </x:c>
      <x:c r="U1292" s="2" t="str">
        <x:v>2025 배정: (4/9),(6/26),(10/16),(12/1) / 2026(사전): (2/26),(3/19),(5/26),(7/7)</x:v>
      </x:c>
      <x:c r="V1292" s="2" t="str">
        <x:v>2026-09-07</x:v>
      </x:c>
      <x:c r="W1292" s="2" t="str">
        <x:v>담당기관 확인</x:v>
      </x:c>
      <x:c r="X1292" s="2" t="str">
        <x:v>원본·배정 기록 확인</x:v>
      </x:c>
      <x:c r="Y1292" s="2" t="str">
        <x:v>ad210cd9ec132cfd447541c8984dc53d30aff0f4fb2dc92d254d49275cc55976</x:v>
      </x:c>
      <x:c r="Z1292" s="2" t="n">
        <x:f>SUBTOTAL(103,A1292)</x:f>
        <x:v>1</x:v>
      </x:c>
      <x:c r="AA1292" s="2" t="str">
        <x:f>IF(K1292&lt;&gt;"미종결 표시","대상 아님",IF(N1292="","신청일 확인",IF(NOT(ISNUMBER('종합 현황'!$H$5)),"관찰기준 확인",IF('종합 현황'!$H$5&lt;1,"관찰기준 확인",IF(N1292&gt;'종합 현황'!$H$5,"내부 관찰 대상","내부 관찰일 이하")))))</x:f>
        <x:v>내부 관찰 대상</x:v>
      </x:c>
      <x:c r="AB1292" s="2"/>
    </x:row>
    <x:row r="1293" ht="42" customHeight="1">
      <x:c r="A1293" s="2" t="str">
        <x:v>923121933e742da7cc47f283</x:v>
      </x:c>
      <x:c r="B1293" s="2" t="str">
        <x:v>사업 평가</x:v>
      </x:c>
      <x:c r="C1293" s="2" t="str">
        <x:v>국내</x:v>
      </x:c>
      <x:c r="D1293" s="7" t="str">
        <x:v>인제산업주식회사 고효율 인버터 PM  Motor 공기압축기로 교체 사업</x:v>
      </x:c>
      <x:c r="E1293" s="2" t="str">
        <x:v>1154</x:v>
      </x:c>
      <x:c r="F1293" s="2" t="str">
        <x:v>2025-03-10</x:v>
      </x:c>
      <x:c r="G1293" s="2" t="str">
        <x:v>2025</x:v>
      </x:c>
      <x:c r="H1293" s="2" t="str">
        <x:v>03</x:v>
      </x:c>
      <x:c r="I1293" s="2" t="str">
        <x:v>승인</x:v>
      </x:c>
      <x:c r="J1293" s="2" t="str">
        <x:v>심의승인</x:v>
      </x:c>
      <x:c r="K1293" s="2" t="str">
        <x:f>IF(OR(J1293="심의승인",J1293="반려",J1293="반려완료",J1293="심의완료"),"종결 표시",IF(OR(J1293="기후부협의",J1293="문서재제출요청",J1293="보류",J1293="보완요청",J1293="보완완료",J1293="평가중",J1293="반려요청",J1293="평가필요",LEFT(J1293,5)="보완요청("),"미종결 표시","상태 확인 필요"))</x:f>
        <x:v>종결 표시</x:v>
      </x:c>
      <x:c r="L1293" s="2"/>
      <x:c r="M1293" s="2"/>
      <x:c r="N1293" s="8" t="n">
        <x:f>DATE(2026,10,15)-DATE(2025,3,10)</x:f>
        <x:v>584</x:v>
      </x:c>
      <x:c r="O1293" s="2" t="str">
        <x:v>생략</x:v>
      </x:c>
      <x:c r="P1293" s="2"/>
      <x:c r="Q1293" s="2" t="str">
        <x:v>산업전환_외부사업관리Tool_260707_이너젠 수정_LJY_261013.xlsx</x:v>
      </x:c>
      <x:c r="R1293" s="2" t="str">
        <x:v>국내평가</x:v>
      </x:c>
      <x:c r="S1293" s="8" t="n">
        <x:v>1196</x:v>
      </x:c>
      <x:c r="T1293" s="2" t="str">
        <x:v>(4/9),(6/26),(7/18),(9/1),(10/16)</x:v>
      </x:c>
      <x:c r="U1293" s="2" t="str">
        <x:v>2025 배정: (4/9),(6/26),(7/18),(9/1),(10/16)</x:v>
      </x:c>
      <x:c r="V1293" s="2" t="str">
        <x:v>2026-03-11</x:v>
      </x:c>
      <x:c r="W1293" s="2" t="str">
        <x:v>담당기관 확인</x:v>
      </x:c>
      <x:c r="X1293" s="2" t="str">
        <x:v>원본·배정 기록 확인</x:v>
      </x:c>
      <x:c r="Y1293" s="2" t="str">
        <x:v>ad210cd9ec132cfd447541c8984dc53d30aff0f4fb2dc92d254d49275cc55976</x:v>
      </x:c>
      <x:c r="Z1293" s="2" t="n">
        <x:f>SUBTOTAL(103,A1293)</x:f>
        <x:v>1</x:v>
      </x:c>
      <x:c r="AA1293" s="2" t="str">
        <x:f>IF(K1293&lt;&gt;"미종결 표시","대상 아님",IF(N1293="","신청일 확인",IF(NOT(ISNUMBER('종합 현황'!$H$5)),"관찰기준 확인",IF('종합 현황'!$H$5&lt;1,"관찰기준 확인",IF(N1293&gt;'종합 현황'!$H$5,"내부 관찰 대상","내부 관찰일 이하")))))</x:f>
        <x:v>대상 아님</x:v>
      </x:c>
      <x:c r="AB1293" s="2"/>
    </x:row>
    <x:row r="1294" ht="42" customHeight="1">
      <x:c r="A1294" s="2" t="str">
        <x:v>00b7709bf4ae66eece5821da</x:v>
      </x:c>
      <x:c r="B1294" s="2" t="str">
        <x:v>사업 평가</x:v>
      </x:c>
      <x:c r="C1294" s="2" t="str">
        <x:v>국내</x:v>
      </x:c>
      <x:c r="D1294" s="7" t="str">
        <x:v>㈜경북환경 연료전환(B-C유 → LPG)을 통한 온실가스 배출 감축사업</x:v>
      </x:c>
      <x:c r="E1294" s="2" t="str">
        <x:v>1155</x:v>
      </x:c>
      <x:c r="F1294" s="2" t="str">
        <x:v>2025-03-12</x:v>
      </x:c>
      <x:c r="G1294" s="2" t="str">
        <x:v>2025</x:v>
      </x:c>
      <x:c r="H1294" s="2" t="str">
        <x:v>03</x:v>
      </x:c>
      <x:c r="I1294" s="2" t="str">
        <x:v>협의검토중</x:v>
      </x:c>
      <x:c r="J1294" s="2" t="str">
        <x:v>평가중</x:v>
      </x:c>
      <x:c r="K1294" s="2" t="str">
        <x:f>IF(OR(J1294="심의승인",J1294="반려",J1294="반려완료",J1294="심의완료"),"종결 표시",IF(OR(J1294="기후부협의",J1294="문서재제출요청",J1294="보류",J1294="보완요청",J1294="보완완료",J1294="평가중",J1294="반려요청",J1294="평가필요",LEFT(J1294,5)="보완요청("),"미종결 표시","상태 확인 필요"))</x:f>
        <x:v>미종결 표시</x:v>
      </x:c>
      <x:c r="L1294" s="2"/>
      <x:c r="M1294" s="2"/>
      <x:c r="N1294" s="8" t="n">
        <x:f>DATE(2026,10,15)-DATE(2025,3,12)</x:f>
        <x:v>582</x:v>
      </x:c>
      <x:c r="O1294" s="2" t="str">
        <x:v>생략</x:v>
      </x:c>
      <x:c r="P1294" s="2"/>
      <x:c r="Q1294" s="2" t="str">
        <x:v>산업전환_외부사업관리Tool_260707_이너젠 수정_LJY_261013.xlsx</x:v>
      </x:c>
      <x:c r="R1294" s="2" t="str">
        <x:v>국내평가</x:v>
      </x:c>
      <x:c r="S1294" s="8" t="n">
        <x:v>1197</x:v>
      </x:c>
      <x:c r="T1294" s="2" t="str">
        <x:v>(4/9),(12/1)</x:v>
      </x:c>
      <x:c r="U1294" s="2" t="str">
        <x:v>2025 배정: (4/9),(12/1) / 2026(사전): (4/9),(6/16)</x:v>
      </x:c>
      <x:c r="V1294" s="2" t="str">
        <x:v>2026-09-07</x:v>
      </x:c>
      <x:c r="W1294" s="2" t="str">
        <x:v>담당기관 확인</x:v>
      </x:c>
      <x:c r="X1294" s="2" t="str">
        <x:v>원본·배정 기록 확인</x:v>
      </x:c>
      <x:c r="Y1294" s="2" t="str">
        <x:v>ad210cd9ec132cfd447541c8984dc53d30aff0f4fb2dc92d254d49275cc55976</x:v>
      </x:c>
      <x:c r="Z1294" s="2" t="n">
        <x:f>SUBTOTAL(103,A1294)</x:f>
        <x:v>1</x:v>
      </x:c>
      <x:c r="AA1294" s="2" t="str">
        <x:f>IF(K1294&lt;&gt;"미종결 표시","대상 아님",IF(N1294="","신청일 확인",IF(NOT(ISNUMBER('종합 현황'!$H$5)),"관찰기준 확인",IF('종합 현황'!$H$5&lt;1,"관찰기준 확인",IF(N1294&gt;'종합 현황'!$H$5,"내부 관찰 대상","내부 관찰일 이하")))))</x:f>
        <x:v>내부 관찰 대상</x:v>
      </x:c>
      <x:c r="AB1294" s="2"/>
    </x:row>
    <x:row r="1295" ht="42" customHeight="1">
      <x:c r="A1295" s="2" t="str">
        <x:v>39e8a17fe8dab18b7a80462b</x:v>
      </x:c>
      <x:c r="B1295" s="2" t="str">
        <x:v>사업 평가</x:v>
      </x:c>
      <x:c r="C1295" s="2" t="str">
        <x:v>국내</x:v>
      </x:c>
      <x:c r="D1295" s="7" t="str">
        <x:v>(주)신영에스앤씨 고효율 인버터 PM  Motor 공기압축기로 교체 사업</x:v>
      </x:c>
      <x:c r="E1295" s="2" t="str">
        <x:v>1156</x:v>
      </x:c>
      <x:c r="F1295" s="2" t="str">
        <x:v>2025-03-26</x:v>
      </x:c>
      <x:c r="G1295" s="2" t="str">
        <x:v>2025</x:v>
      </x:c>
      <x:c r="H1295" s="2" t="str">
        <x:v>03</x:v>
      </x:c>
      <x:c r="I1295" s="2" t="str">
        <x:v>승인</x:v>
      </x:c>
      <x:c r="J1295" s="2" t="str">
        <x:v>심의승인</x:v>
      </x:c>
      <x:c r="K1295" s="2" t="str">
        <x:f>IF(OR(J1295="심의승인",J1295="반려",J1295="반려완료",J1295="심의완료"),"종결 표시",IF(OR(J1295="기후부협의",J1295="문서재제출요청",J1295="보류",J1295="보완요청",J1295="보완완료",J1295="평가중",J1295="반려요청",J1295="평가필요",LEFT(J1295,5)="보완요청("),"미종결 표시","상태 확인 필요"))</x:f>
        <x:v>종결 표시</x:v>
      </x:c>
      <x:c r="L1295" s="2"/>
      <x:c r="M1295" s="2"/>
      <x:c r="N1295" s="8" t="n">
        <x:f>DATE(2026,10,15)-DATE(2025,3,26)</x:f>
        <x:v>568</x:v>
      </x:c>
      <x:c r="O1295" s="2" t="str">
        <x:v>생략</x:v>
      </x:c>
      <x:c r="P1295" s="2"/>
      <x:c r="Q1295" s="2" t="str">
        <x:v>산업전환_외부사업관리Tool_260707_이너젠 수정_LJY_261013.xlsx</x:v>
      </x:c>
      <x:c r="R1295" s="2" t="str">
        <x:v>국내평가</x:v>
      </x:c>
      <x:c r="S1295" s="8" t="n">
        <x:v>1198</x:v>
      </x:c>
      <x:c r="T1295" s="2" t="str">
        <x:v>(4/9),(5/30),(7/18)</x:v>
      </x:c>
      <x:c r="U1295" s="2" t="str">
        <x:v>2025 배정: (4/9),(5/30),(7/18)</x:v>
      </x:c>
      <x:c r="V1295" s="2" t="str">
        <x:v>2025-12-11</x:v>
      </x:c>
      <x:c r="W1295" s="2" t="str">
        <x:v>담당기관 확인</x:v>
      </x:c>
      <x:c r="X1295" s="2" t="str">
        <x:v>원본·배정 기록 확인</x:v>
      </x:c>
      <x:c r="Y1295" s="2" t="str">
        <x:v>ad210cd9ec132cfd447541c8984dc53d30aff0f4fb2dc92d254d49275cc55976</x:v>
      </x:c>
      <x:c r="Z1295" s="2" t="n">
        <x:f>SUBTOTAL(103,A1295)</x:f>
        <x:v>1</x:v>
      </x:c>
      <x:c r="AA1295" s="2" t="str">
        <x:f>IF(K1295&lt;&gt;"미종결 표시","대상 아님",IF(N1295="","신청일 확인",IF(NOT(ISNUMBER('종합 현황'!$H$5)),"관찰기준 확인",IF('종합 현황'!$H$5&lt;1,"관찰기준 확인",IF(N1295&gt;'종합 현황'!$H$5,"내부 관찰 대상","내부 관찰일 이하")))))</x:f>
        <x:v>대상 아님</x:v>
      </x:c>
      <x:c r="AB1295" s="2"/>
    </x:row>
    <x:row r="1296" ht="42" customHeight="1">
      <x:c r="A1296" s="2" t="str">
        <x:v>fa99186464c98a4cbbb71505</x:v>
      </x:c>
      <x:c r="B1296" s="2" t="str">
        <x:v>사업 평가</x:v>
      </x:c>
      <x:c r="C1296" s="2" t="str">
        <x:v>국내</x:v>
      </x:c>
      <x:c r="D1296" s="7" t="str">
        <x:v>(주)신명유압 고효율 인버터 PM  Motor 공기압축기로 교체 사업</x:v>
      </x:c>
      <x:c r="E1296" s="2" t="str">
        <x:v>1157</x:v>
      </x:c>
      <x:c r="F1296" s="2" t="str">
        <x:v>2025-04-08</x:v>
      </x:c>
      <x:c r="G1296" s="2" t="str">
        <x:v>2025</x:v>
      </x:c>
      <x:c r="H1296" s="2" t="str">
        <x:v>04</x:v>
      </x:c>
      <x:c r="I1296" s="2" t="str">
        <x:v>승인</x:v>
      </x:c>
      <x:c r="J1296" s="2" t="str">
        <x:v>심의승인</x:v>
      </x:c>
      <x:c r="K1296" s="2" t="str">
        <x:f>IF(OR(J1296="심의승인",J1296="반려",J1296="반려완료",J1296="심의완료"),"종결 표시",IF(OR(J1296="기후부협의",J1296="문서재제출요청",J1296="보류",J1296="보완요청",J1296="보완완료",J1296="평가중",J1296="반려요청",J1296="평가필요",LEFT(J1296,5)="보완요청("),"미종결 표시","상태 확인 필요"))</x:f>
        <x:v>종결 표시</x:v>
      </x:c>
      <x:c r="L1296" s="2"/>
      <x:c r="M1296" s="2"/>
      <x:c r="N1296" s="8" t="n">
        <x:f>DATE(2026,10,15)-DATE(2025,4,8)</x:f>
        <x:v>555</x:v>
      </x:c>
      <x:c r="O1296" s="2" t="str">
        <x:v>생략</x:v>
      </x:c>
      <x:c r="P1296" s="2"/>
      <x:c r="Q1296" s="2" t="str">
        <x:v>산업전환_외부사업관리Tool_260707_이너젠 수정_LJY_261013.xlsx</x:v>
      </x:c>
      <x:c r="R1296" s="2" t="str">
        <x:v>국내평가</x:v>
      </x:c>
      <x:c r="S1296" s="8" t="n">
        <x:v>1199</x:v>
      </x:c>
      <x:c r="T1296" s="2" t="str">
        <x:v>(4/17),(10/16)</x:v>
      </x:c>
      <x:c r="U1296" s="2" t="str">
        <x:v>2025 배정: (4/17),(10/16)</x:v>
      </x:c>
      <x:c r="V1296" s="2" t="str">
        <x:v>2026-03-11</x:v>
      </x:c>
      <x:c r="W1296" s="2" t="str">
        <x:v>담당기관 확인</x:v>
      </x:c>
      <x:c r="X1296" s="2" t="str">
        <x:v>원본·배정 기록 확인</x:v>
      </x:c>
      <x:c r="Y1296" s="2" t="str">
        <x:v>ad210cd9ec132cfd447541c8984dc53d30aff0f4fb2dc92d254d49275cc55976</x:v>
      </x:c>
      <x:c r="Z1296" s="2" t="n">
        <x:f>SUBTOTAL(103,A1296)</x:f>
        <x:v>1</x:v>
      </x:c>
      <x:c r="AA1296" s="2" t="str">
        <x:f>IF(K1296&lt;&gt;"미종결 표시","대상 아님",IF(N1296="","신청일 확인",IF(NOT(ISNUMBER('종합 현황'!$H$5)),"관찰기준 확인",IF('종합 현황'!$H$5&lt;1,"관찰기준 확인",IF(N1296&gt;'종합 현황'!$H$5,"내부 관찰 대상","내부 관찰일 이하")))))</x:f>
        <x:v>대상 아님</x:v>
      </x:c>
      <x:c r="AB1296" s="2"/>
    </x:row>
    <x:row r="1297" ht="42" customHeight="1">
      <x:c r="A1297" s="2" t="str">
        <x:v>9f59d55bd30a685d6d41a43e</x:v>
      </x:c>
      <x:c r="B1297" s="2" t="str">
        <x:v>사업 평가</x:v>
      </x:c>
      <x:c r="C1297" s="2" t="str">
        <x:v>국내</x:v>
      </x:c>
      <x:c r="D1297" s="7" t="str">
        <x:v>일광금속 태양광 발전설비 설치 및 자가사용 사업</x:v>
      </x:c>
      <x:c r="E1297" s="2" t="str">
        <x:v>1158</x:v>
      </x:c>
      <x:c r="F1297" s="2" t="str">
        <x:v>2025-04-17</x:v>
      </x:c>
      <x:c r="G1297" s="2" t="str">
        <x:v>2025</x:v>
      </x:c>
      <x:c r="H1297" s="2" t="str">
        <x:v>04</x:v>
      </x:c>
      <x:c r="I1297" s="2" t="str">
        <x:v>승인</x:v>
      </x:c>
      <x:c r="J1297" s="2" t="str">
        <x:v>심의승인</x:v>
      </x:c>
      <x:c r="K1297" s="2" t="str">
        <x:f>IF(OR(J1297="심의승인",J1297="반려",J1297="반려완료",J1297="심의완료"),"종결 표시",IF(OR(J1297="기후부협의",J1297="문서재제출요청",J1297="보류",J1297="보완요청",J1297="보완완료",J1297="평가중",J1297="반려요청",J1297="평가필요",LEFT(J1297,5)="보완요청("),"미종결 표시","상태 확인 필요"))</x:f>
        <x:v>종결 표시</x:v>
      </x:c>
      <x:c r="L1297" s="2"/>
      <x:c r="M1297" s="2"/>
      <x:c r="N1297" s="8" t="n">
        <x:f>DATE(2026,10,15)-DATE(2025,4,17)</x:f>
        <x:v>546</x:v>
      </x:c>
      <x:c r="O1297" s="2" t="str">
        <x:v>생략</x:v>
      </x:c>
      <x:c r="P1297" s="2"/>
      <x:c r="Q1297" s="2" t="str">
        <x:v>산업전환_외부사업관리Tool_260707_이너젠 수정_LJY_261013.xlsx</x:v>
      </x:c>
      <x:c r="R1297" s="2" t="str">
        <x:v>국내평가</x:v>
      </x:c>
      <x:c r="S1297" s="8" t="n">
        <x:v>1200</x:v>
      </x:c>
      <x:c r="T1297" s="2" t="str">
        <x:v>(5/9),(6/26),(8/8)</x:v>
      </x:c>
      <x:c r="U1297" s="2" t="str">
        <x:v>2025 배정: (5/9),(6/26),(8/8)</x:v>
      </x:c>
      <x:c r="V1297" s="2" t="str">
        <x:v>2025-12-04</x:v>
      </x:c>
      <x:c r="W1297" s="2" t="str">
        <x:v>담당기관 확인</x:v>
      </x:c>
      <x:c r="X1297" s="2" t="str">
        <x:v>원본·배정 기록 확인</x:v>
      </x:c>
      <x:c r="Y1297" s="2" t="str">
        <x:v>ad210cd9ec132cfd447541c8984dc53d30aff0f4fb2dc92d254d49275cc55976</x:v>
      </x:c>
      <x:c r="Z1297" s="2" t="n">
        <x:f>SUBTOTAL(103,A1297)</x:f>
        <x:v>1</x:v>
      </x:c>
      <x:c r="AA1297" s="2" t="str">
        <x:f>IF(K1297&lt;&gt;"미종결 표시","대상 아님",IF(N1297="","신청일 확인",IF(NOT(ISNUMBER('종합 현황'!$H$5)),"관찰기준 확인",IF('종합 현황'!$H$5&lt;1,"관찰기준 확인",IF(N1297&gt;'종합 현황'!$H$5,"내부 관찰 대상","내부 관찰일 이하")))))</x:f>
        <x:v>대상 아님</x:v>
      </x:c>
      <x:c r="AB1297" s="2"/>
    </x:row>
    <x:row r="1298" ht="42" customHeight="1">
      <x:c r="A1298" s="2" t="str">
        <x:v>fb17a37a6bf47697c2482356</x:v>
      </x:c>
      <x:c r="B1298" s="2" t="str">
        <x:v>사업 평가</x:v>
      </x:c>
      <x:c r="C1298" s="2" t="str">
        <x:v>국내</x:v>
      </x:c>
      <x:c r="D1298" s="7" t="str">
        <x:v>(주)태곡유지 스팀보일러 연료전환(부생유(C-9)→LNG)을 통한 온실가스 배출 감축사업</x:v>
      </x:c>
      <x:c r="E1298" s="2" t="str">
        <x:v>1159</x:v>
      </x:c>
      <x:c r="F1298" s="2" t="str">
        <x:v>2025-04-21</x:v>
      </x:c>
      <x:c r="G1298" s="2" t="str">
        <x:v>2025</x:v>
      </x:c>
      <x:c r="H1298" s="2" t="str">
        <x:v>04</x:v>
      </x:c>
      <x:c r="I1298" s="2" t="str">
        <x:v>승인</x:v>
      </x:c>
      <x:c r="J1298" s="2" t="str">
        <x:v>심의승인</x:v>
      </x:c>
      <x:c r="K1298" s="2" t="str">
        <x:f>IF(OR(J1298="심의승인",J1298="반려",J1298="반려완료",J1298="심의완료"),"종결 표시",IF(OR(J1298="기후부협의",J1298="문서재제출요청",J1298="보류",J1298="보완요청",J1298="보완완료",J1298="평가중",J1298="반려요청",J1298="평가필요",LEFT(J1298,5)="보완요청("),"미종결 표시","상태 확인 필요"))</x:f>
        <x:v>종결 표시</x:v>
      </x:c>
      <x:c r="L1298" s="2"/>
      <x:c r="M1298" s="2"/>
      <x:c r="N1298" s="8" t="n">
        <x:f>DATE(2026,10,15)-DATE(2025,4,21)</x:f>
        <x:v>542</x:v>
      </x:c>
      <x:c r="O1298" s="2" t="str">
        <x:v>생략</x:v>
      </x:c>
      <x:c r="P1298" s="2"/>
      <x:c r="Q1298" s="2" t="str">
        <x:v>산업전환_외부사업관리Tool_260707_이너젠 수정_LJY_261013.xlsx</x:v>
      </x:c>
      <x:c r="R1298" s="2" t="str">
        <x:v>국내평가</x:v>
      </x:c>
      <x:c r="S1298" s="8" t="n">
        <x:v>1201</x:v>
      </x:c>
      <x:c r="T1298" s="2" t="str">
        <x:v>(5/9),(5/30),(8/8)</x:v>
      </x:c>
      <x:c r="U1298" s="2" t="str">
        <x:v>2025 배정: (5/9),(5/30),(8/8)</x:v>
      </x:c>
      <x:c r="V1298" s="2" t="str">
        <x:v>2025-12-04</x:v>
      </x:c>
      <x:c r="W1298" s="2" t="str">
        <x:v>담당기관 확인</x:v>
      </x:c>
      <x:c r="X1298" s="2" t="str">
        <x:v>원본·배정 기록 확인</x:v>
      </x:c>
      <x:c r="Y1298" s="2" t="str">
        <x:v>ad210cd9ec132cfd447541c8984dc53d30aff0f4fb2dc92d254d49275cc55976</x:v>
      </x:c>
      <x:c r="Z1298" s="2" t="n">
        <x:f>SUBTOTAL(103,A1298)</x:f>
        <x:v>1</x:v>
      </x:c>
      <x:c r="AA1298" s="2" t="str">
        <x:f>IF(K1298&lt;&gt;"미종결 표시","대상 아님",IF(N1298="","신청일 확인",IF(NOT(ISNUMBER('종합 현황'!$H$5)),"관찰기준 확인",IF('종합 현황'!$H$5&lt;1,"관찰기준 확인",IF(N1298&gt;'종합 현황'!$H$5,"내부 관찰 대상","내부 관찰일 이하")))))</x:f>
        <x:v>대상 아님</x:v>
      </x:c>
      <x:c r="AB1298" s="2"/>
    </x:row>
    <x:row r="1299" ht="42" customHeight="1">
      <x:c r="A1299" s="2" t="str">
        <x:v>02df7bd6950d36a9632bc4f9</x:v>
      </x:c>
      <x:c r="B1299" s="2" t="str">
        <x:v>사업 평가</x:v>
      </x:c>
      <x:c r="C1299" s="2" t="str">
        <x:v>국내</x:v>
      </x:c>
      <x:c r="D1299" s="7" t="str">
        <x:v>(주)고은산업  고효율 2단 인버터 PM Motor 공기압축기로 교체 사업</x:v>
      </x:c>
      <x:c r="E1299" s="2" t="str">
        <x:v>1160</x:v>
      </x:c>
      <x:c r="F1299" s="2" t="str">
        <x:v>2025-04-24</x:v>
      </x:c>
      <x:c r="G1299" s="2" t="str">
        <x:v>2025</x:v>
      </x:c>
      <x:c r="H1299" s="2" t="str">
        <x:v>04</x:v>
      </x:c>
      <x:c r="I1299" s="2" t="str">
        <x:v>승인</x:v>
      </x:c>
      <x:c r="J1299" s="2" t="str">
        <x:v>심의승인</x:v>
      </x:c>
      <x:c r="K1299" s="2" t="str">
        <x:f>IF(OR(J1299="심의승인",J1299="반려",J1299="반려완료",J1299="심의완료"),"종결 표시",IF(OR(J1299="기후부협의",J1299="문서재제출요청",J1299="보류",J1299="보완요청",J1299="보완완료",J1299="평가중",J1299="반려요청",J1299="평가필요",LEFT(J1299,5)="보완요청("),"미종결 표시","상태 확인 필요"))</x:f>
        <x:v>종결 표시</x:v>
      </x:c>
      <x:c r="L1299" s="2"/>
      <x:c r="M1299" s="2"/>
      <x:c r="N1299" s="8" t="n">
        <x:f>DATE(2026,10,15)-DATE(2025,4,24)</x:f>
        <x:v>539</x:v>
      </x:c>
      <x:c r="O1299" s="2" t="str">
        <x:v>O(25.09)</x:v>
      </x:c>
      <x:c r="P1299" s="2"/>
      <x:c r="Q1299" s="2" t="str">
        <x:v>산업전환_외부사업관리Tool_260707_이너젠 수정_LJY_261013.xlsx</x:v>
      </x:c>
      <x:c r="R1299" s="2" t="str">
        <x:v>국내평가</x:v>
      </x:c>
      <x:c r="S1299" s="8" t="n">
        <x:v>1202</x:v>
      </x:c>
      <x:c r="T1299" s="2" t="str">
        <x:v>(5/9),(9/1),(10/16)</x:v>
      </x:c>
      <x:c r="U1299" s="2" t="str">
        <x:v>2025 배정: (5/9),(9/1),(10/16)</x:v>
      </x:c>
      <x:c r="V1299" s="2" t="str">
        <x:v>2026-03-11</x:v>
      </x:c>
      <x:c r="W1299" s="2" t="str">
        <x:v>담당기관 확인</x:v>
      </x:c>
      <x:c r="X1299" s="2" t="str">
        <x:v>원본·배정 기록 확인</x:v>
      </x:c>
      <x:c r="Y1299" s="2" t="str">
        <x:v>ad210cd9ec132cfd447541c8984dc53d30aff0f4fb2dc92d254d49275cc55976</x:v>
      </x:c>
      <x:c r="Z1299" s="2" t="n">
        <x:f>SUBTOTAL(103,A1299)</x:f>
        <x:v>1</x:v>
      </x:c>
      <x:c r="AA1299" s="2" t="str">
        <x:f>IF(K1299&lt;&gt;"미종결 표시","대상 아님",IF(N1299="","신청일 확인",IF(NOT(ISNUMBER('종합 현황'!$H$5)),"관찰기준 확인",IF('종합 현황'!$H$5&lt;1,"관찰기준 확인",IF(N1299&gt;'종합 현황'!$H$5,"내부 관찰 대상","내부 관찰일 이하")))))</x:f>
        <x:v>대상 아님</x:v>
      </x:c>
      <x:c r="AB1299" s="2"/>
    </x:row>
    <x:row r="1300" ht="42" customHeight="1">
      <x:c r="A1300" s="2" t="str">
        <x:v>42ca4253d11e3af05b952160</x:v>
      </x:c>
      <x:c r="B1300" s="2" t="str">
        <x:v>사업 평가</x:v>
      </x:c>
      <x:c r="C1300" s="2" t="str">
        <x:v>국내</x:v>
      </x:c>
      <x:c r="D1300" s="7" t="str">
        <x:v>(주)성도 고효율 2단 인버터  PM Motor 공기압축기로 교체 사업</x:v>
      </x:c>
      <x:c r="E1300" s="2" t="str">
        <x:v>1161</x:v>
      </x:c>
      <x:c r="F1300" s="2" t="str">
        <x:v>2025-04-24</x:v>
      </x:c>
      <x:c r="G1300" s="2" t="str">
        <x:v>2025</x:v>
      </x:c>
      <x:c r="H1300" s="2" t="str">
        <x:v>04</x:v>
      </x:c>
      <x:c r="I1300" s="2" t="str">
        <x:v>승인</x:v>
      </x:c>
      <x:c r="J1300" s="2" t="str">
        <x:v>심의승인</x:v>
      </x:c>
      <x:c r="K1300" s="2" t="str">
        <x:f>IF(OR(J1300="심의승인",J1300="반려",J1300="반려완료",J1300="심의완료"),"종결 표시",IF(OR(J1300="기후부협의",J1300="문서재제출요청",J1300="보류",J1300="보완요청",J1300="보완완료",J1300="평가중",J1300="반려요청",J1300="평가필요",LEFT(J1300,5)="보완요청("),"미종결 표시","상태 확인 필요"))</x:f>
        <x:v>종결 표시</x:v>
      </x:c>
      <x:c r="L1300" s="2"/>
      <x:c r="M1300" s="2"/>
      <x:c r="N1300" s="8" t="n">
        <x:f>DATE(2026,10,15)-DATE(2025,4,24)</x:f>
        <x:v>539</x:v>
      </x:c>
      <x:c r="O1300" s="2" t="str">
        <x:v>생략</x:v>
      </x:c>
      <x:c r="P1300" s="2"/>
      <x:c r="Q1300" s="2" t="str">
        <x:v>산업전환_외부사업관리Tool_260707_이너젠 수정_LJY_261013.xlsx</x:v>
      </x:c>
      <x:c r="R1300" s="2" t="str">
        <x:v>국내평가</x:v>
      </x:c>
      <x:c r="S1300" s="8" t="n">
        <x:v>1203</x:v>
      </x:c>
      <x:c r="T1300" s="2" t="str">
        <x:v>(5/9),(9/1),(10/16)</x:v>
      </x:c>
      <x:c r="U1300" s="2" t="str">
        <x:v>2025 배정: (5/9),(9/1),(10/16)</x:v>
      </x:c>
      <x:c r="V1300" s="2" t="str">
        <x:v>2026-03-11</x:v>
      </x:c>
      <x:c r="W1300" s="2" t="str">
        <x:v>담당기관 확인</x:v>
      </x:c>
      <x:c r="X1300" s="2" t="str">
        <x:v>원본·배정 기록 확인</x:v>
      </x:c>
      <x:c r="Y1300" s="2" t="str">
        <x:v>ad210cd9ec132cfd447541c8984dc53d30aff0f4fb2dc92d254d49275cc55976</x:v>
      </x:c>
      <x:c r="Z1300" s="2" t="n">
        <x:f>SUBTOTAL(103,A1300)</x:f>
        <x:v>1</x:v>
      </x:c>
      <x:c r="AA1300" s="2" t="str">
        <x:f>IF(K1300&lt;&gt;"미종결 표시","대상 아님",IF(N1300="","신청일 확인",IF(NOT(ISNUMBER('종합 현황'!$H$5)),"관찰기준 확인",IF('종합 현황'!$H$5&lt;1,"관찰기준 확인",IF(N1300&gt;'종합 현황'!$H$5,"내부 관찰 대상","내부 관찰일 이하")))))</x:f>
        <x:v>대상 아님</x:v>
      </x:c>
      <x:c r="AB1300" s="2"/>
    </x:row>
    <x:row r="1301" ht="42" customHeight="1">
      <x:c r="A1301" s="2" t="str">
        <x:v>a8ab5f2292bae4379df7acc3</x:v>
      </x:c>
      <x:c r="B1301" s="2" t="str">
        <x:v>사업 평가</x:v>
      </x:c>
      <x:c r="C1301" s="2" t="str">
        <x:v>국내</x:v>
      </x:c>
      <x:c r="D1301" s="7" t="str">
        <x:v>(주)유진하이텍 고효율 2단 인버터 PM  Motor 공기압축기로 교체 사업</x:v>
      </x:c>
      <x:c r="E1301" s="2" t="str">
        <x:v>1162</x:v>
      </x:c>
      <x:c r="F1301" s="2" t="str">
        <x:v>2025-04-24</x:v>
      </x:c>
      <x:c r="G1301" s="2" t="str">
        <x:v>2025</x:v>
      </x:c>
      <x:c r="H1301" s="2" t="str">
        <x:v>04</x:v>
      </x:c>
      <x:c r="I1301" s="2" t="str">
        <x:v>승인</x:v>
      </x:c>
      <x:c r="J1301" s="2" t="str">
        <x:v>심의승인</x:v>
      </x:c>
      <x:c r="K1301" s="2" t="str">
        <x:f>IF(OR(J1301="심의승인",J1301="반려",J1301="반려완료",J1301="심의완료"),"종결 표시",IF(OR(J1301="기후부협의",J1301="문서재제출요청",J1301="보류",J1301="보완요청",J1301="보완완료",J1301="평가중",J1301="반려요청",J1301="평가필요",LEFT(J1301,5)="보완요청("),"미종결 표시","상태 확인 필요"))</x:f>
        <x:v>종결 표시</x:v>
      </x:c>
      <x:c r="L1301" s="2"/>
      <x:c r="M1301" s="2"/>
      <x:c r="N1301" s="8" t="n">
        <x:f>DATE(2026,10,15)-DATE(2025,4,24)</x:f>
        <x:v>539</x:v>
      </x:c>
      <x:c r="O1301" s="2" t="str">
        <x:v>생략</x:v>
      </x:c>
      <x:c r="P1301" s="2"/>
      <x:c r="Q1301" s="2" t="str">
        <x:v>산업전환_외부사업관리Tool_260707_이너젠 수정_LJY_261013.xlsx</x:v>
      </x:c>
      <x:c r="R1301" s="2" t="str">
        <x:v>국내평가</x:v>
      </x:c>
      <x:c r="S1301" s="8" t="n">
        <x:v>1204</x:v>
      </x:c>
      <x:c r="T1301" s="2" t="str">
        <x:v>(5/9),(8/8),(9/1)</x:v>
      </x:c>
      <x:c r="U1301" s="2" t="str">
        <x:v>2025 배정: (5/9),(8/8),(9/1)</x:v>
      </x:c>
      <x:c r="V1301" s="2" t="str">
        <x:v>2026-03-11</x:v>
      </x:c>
      <x:c r="W1301" s="2" t="str">
        <x:v>담당기관 확인</x:v>
      </x:c>
      <x:c r="X1301" s="2" t="str">
        <x:v>원본·배정 기록 확인</x:v>
      </x:c>
      <x:c r="Y1301" s="2" t="str">
        <x:v>ad210cd9ec132cfd447541c8984dc53d30aff0f4fb2dc92d254d49275cc55976</x:v>
      </x:c>
      <x:c r="Z1301" s="2" t="n">
        <x:f>SUBTOTAL(103,A1301)</x:f>
        <x:v>1</x:v>
      </x:c>
      <x:c r="AA1301" s="2" t="str">
        <x:f>IF(K1301&lt;&gt;"미종결 표시","대상 아님",IF(N1301="","신청일 확인",IF(NOT(ISNUMBER('종합 현황'!$H$5)),"관찰기준 확인",IF('종합 현황'!$H$5&lt;1,"관찰기준 확인",IF(N1301&gt;'종합 현황'!$H$5,"내부 관찰 대상","내부 관찰일 이하")))))</x:f>
        <x:v>대상 아님</x:v>
      </x:c>
      <x:c r="AB1301" s="2"/>
    </x:row>
    <x:row r="1302" ht="42" customHeight="1">
      <x:c r="A1302" s="2" t="str">
        <x:v>009e9d777d44aeb0c2d82cdd</x:v>
      </x:c>
      <x:c r="B1302" s="2" t="str">
        <x:v>사업 평가</x:v>
      </x:c>
      <x:c r="C1302" s="2" t="str">
        <x:v>국내</x:v>
      </x:c>
      <x:c r="D1302" s="7" t="str">
        <x:v>제이앤항공 태양광 발전설비 설치 및 자가사용 감축사업</x:v>
      </x:c>
      <x:c r="E1302" s="2" t="str">
        <x:v>1163</x:v>
      </x:c>
      <x:c r="F1302" s="2" t="str">
        <x:v>2025-05-15</x:v>
      </x:c>
      <x:c r="G1302" s="2" t="str">
        <x:v>2025</x:v>
      </x:c>
      <x:c r="H1302" s="2" t="str">
        <x:v>05</x:v>
      </x:c>
      <x:c r="I1302" s="2" t="str">
        <x:v>승인</x:v>
      </x:c>
      <x:c r="J1302" s="2" t="str">
        <x:v>심의승인</x:v>
      </x:c>
      <x:c r="K1302" s="2" t="str">
        <x:f>IF(OR(J1302="심의승인",J1302="반려",J1302="반려완료",J1302="심의완료"),"종결 표시",IF(OR(J1302="기후부협의",J1302="문서재제출요청",J1302="보류",J1302="보완요청",J1302="보완완료",J1302="평가중",J1302="반려요청",J1302="평가필요",LEFT(J1302,5)="보완요청("),"미종결 표시","상태 확인 필요"))</x:f>
        <x:v>종결 표시</x:v>
      </x:c>
      <x:c r="L1302" s="2"/>
      <x:c r="M1302" s="2"/>
      <x:c r="N1302" s="8" t="n">
        <x:f>DATE(2026,10,15)-DATE(2025,5,15)</x:f>
        <x:v>518</x:v>
      </x:c>
      <x:c r="O1302" s="2"/>
      <x:c r="P1302" s="2"/>
      <x:c r="Q1302" s="2" t="str">
        <x:v>산업전환_외부사업관리Tool_260707_이너젠 수정_LJY_261013.xlsx</x:v>
      </x:c>
      <x:c r="R1302" s="2" t="str">
        <x:v>국내평가</x:v>
      </x:c>
      <x:c r="S1302" s="8" t="n">
        <x:v>1205</x:v>
      </x:c>
      <x:c r="T1302" s="2" t="str">
        <x:v>(5/30),(8/8),(9/16),(11/10),(12/1)</x:v>
      </x:c>
      <x:c r="U1302" s="2" t="str">
        <x:v>2025 배정: (5/30),(8/8),(9/16),(11/10),(12/1)</x:v>
      </x:c>
      <x:c r="V1302" s="2" t="str">
        <x:v>2026-03-16</x:v>
      </x:c>
      <x:c r="W1302" s="2" t="str">
        <x:v>담당기관 확인</x:v>
      </x:c>
      <x:c r="X1302" s="2" t="str">
        <x:v>원본·배정 기록 확인</x:v>
      </x:c>
      <x:c r="Y1302" s="2" t="str">
        <x:v>ad210cd9ec132cfd447541c8984dc53d30aff0f4fb2dc92d254d49275cc55976</x:v>
      </x:c>
      <x:c r="Z1302" s="2" t="n">
        <x:f>SUBTOTAL(103,A1302)</x:f>
        <x:v>1</x:v>
      </x:c>
      <x:c r="AA1302" s="2" t="str">
        <x:f>IF(K1302&lt;&gt;"미종결 표시","대상 아님",IF(N1302="","신청일 확인",IF(NOT(ISNUMBER('종합 현황'!$H$5)),"관찰기준 확인",IF('종합 현황'!$H$5&lt;1,"관찰기준 확인",IF(N1302&gt;'종합 현황'!$H$5,"내부 관찰 대상","내부 관찰일 이하")))))</x:f>
        <x:v>대상 아님</x:v>
      </x:c>
      <x:c r="AB1302" s="2"/>
    </x:row>
    <x:row r="1303" ht="42" customHeight="1">
      <x:c r="A1303" s="2" t="str">
        <x:v>cd3e88724f0b1aa9efd43323</x:v>
      </x:c>
      <x:c r="B1303" s="2" t="str">
        <x:v>사업 평가</x:v>
      </x:c>
      <x:c r="C1303" s="2" t="str">
        <x:v>국내</x:v>
      </x:c>
      <x:c r="D1303" s="7" t="str">
        <x:v>인천광역시 지역지원사업 476.8kW 태양광발전설비 설치 및 자가 사용 사업</x:v>
      </x:c>
      <x:c r="E1303" s="2" t="str">
        <x:v>1164</x:v>
      </x:c>
      <x:c r="F1303" s="2" t="str">
        <x:v>2025-05-07</x:v>
      </x:c>
      <x:c r="G1303" s="2" t="str">
        <x:v>2025</x:v>
      </x:c>
      <x:c r="H1303" s="2" t="str">
        <x:v>05</x:v>
      </x:c>
      <x:c r="I1303" s="2" t="str">
        <x:v>반려</x:v>
      </x:c>
      <x:c r="J1303" s="2" t="str">
        <x:v>반려</x:v>
      </x:c>
      <x:c r="K1303" s="2" t="str">
        <x:f>IF(OR(J1303="심의승인",J1303="반려",J1303="반려완료",J1303="심의완료"),"종결 표시",IF(OR(J1303="기후부협의",J1303="문서재제출요청",J1303="보류",J1303="보완요청",J1303="보완완료",J1303="평가중",J1303="반려요청",J1303="평가필요",LEFT(J1303,5)="보완요청("),"미종결 표시","상태 확인 필요"))</x:f>
        <x:v>종결 표시</x:v>
      </x:c>
      <x:c r="L1303" s="2"/>
      <x:c r="M1303" s="2"/>
      <x:c r="N1303" s="8" t="n">
        <x:f>DATE(2026,10,15)-DATE(2025,5,7)</x:f>
        <x:v>526</x:v>
      </x:c>
      <x:c r="O1303" s="2"/>
      <x:c r="P1303" s="2" t="str">
        <x:v>반려완료(업체 요청)</x:v>
      </x:c>
      <x:c r="Q1303" s="2" t="str">
        <x:v>산업전환_외부사업관리Tool_260707_이너젠 수정_LJY_261013.xlsx</x:v>
      </x:c>
      <x:c r="R1303" s="2" t="str">
        <x:v>국내평가</x:v>
      </x:c>
      <x:c r="S1303" s="8" t="n">
        <x:v>1206</x:v>
      </x:c>
      <x:c r="T1303" s="2" t="str">
        <x:v>2025년 처리</x:v>
      </x:c>
      <x:c r="U1303" s="2" t="str">
        <x:v>2025 배정: 2025년 처리</x:v>
      </x:c>
      <x:c r="V1303" s="2" t="str">
        <x:v>2025-06-20</x:v>
      </x:c>
      <x:c r="W1303" s="2" t="str">
        <x:v>담당기관 확인</x:v>
      </x:c>
      <x:c r="X1303" s="2" t="str">
        <x:v>원본·배정 기록 확인</x:v>
      </x:c>
      <x:c r="Y1303" s="2" t="str">
        <x:v>ad210cd9ec132cfd447541c8984dc53d30aff0f4fb2dc92d254d49275cc55976</x:v>
      </x:c>
      <x:c r="Z1303" s="2" t="n">
        <x:f>SUBTOTAL(103,A1303)</x:f>
        <x:v>1</x:v>
      </x:c>
      <x:c r="AA1303" s="2" t="str">
        <x:f>IF(K1303&lt;&gt;"미종결 표시","대상 아님",IF(N1303="","신청일 확인",IF(NOT(ISNUMBER('종합 현황'!$H$5)),"관찰기준 확인",IF('종합 현황'!$H$5&lt;1,"관찰기준 확인",IF(N1303&gt;'종합 현황'!$H$5,"내부 관찰 대상","내부 관찰일 이하")))))</x:f>
        <x:v>대상 아님</x:v>
      </x:c>
      <x:c r="AB1303" s="2"/>
    </x:row>
    <x:row r="1304" ht="42" customHeight="1">
      <x:c r="A1304" s="2" t="str">
        <x:v>6283a569d0e193b1bcbe1409</x:v>
      </x:c>
      <x:c r="B1304" s="2" t="str">
        <x:v>사업 평가</x:v>
      </x:c>
      <x:c r="C1304" s="2" t="str">
        <x:v>국내</x:v>
      </x:c>
      <x:c r="D1304" s="7" t="str">
        <x:v>인제산업(주) 고효율 인버터 PM  Motor 공기압축기로 교체 사업</x:v>
      </x:c>
      <x:c r="E1304" s="2" t="str">
        <x:v>1165</x:v>
      </x:c>
      <x:c r="F1304" s="2" t="str">
        <x:v>2025-05-12</x:v>
      </x:c>
      <x:c r="G1304" s="2" t="str">
        <x:v>2025</x:v>
      </x:c>
      <x:c r="H1304" s="2" t="str">
        <x:v>05</x:v>
      </x:c>
      <x:c r="I1304" s="2" t="str">
        <x:v>반려</x:v>
      </x:c>
      <x:c r="J1304" s="2" t="str">
        <x:v>반려</x:v>
      </x:c>
      <x:c r="K1304" s="2" t="str">
        <x:f>IF(OR(J1304="심의승인",J1304="반려",J1304="반려완료",J1304="심의완료"),"종결 표시",IF(OR(J1304="기후부협의",J1304="문서재제출요청",J1304="보류",J1304="보완요청",J1304="보완완료",J1304="평가중",J1304="반려요청",J1304="평가필요",LEFT(J1304,5)="보완요청("),"미종결 표시","상태 확인 필요"))</x:f>
        <x:v>종결 표시</x:v>
      </x:c>
      <x:c r="L1304" s="2"/>
      <x:c r="M1304" s="2"/>
      <x:c r="N1304" s="8" t="n">
        <x:f>DATE(2026,10,15)-DATE(2025,5,12)</x:f>
        <x:v>521</x:v>
      </x:c>
      <x:c r="O1304" s="2"/>
      <x:c r="P1304" s="2"/>
      <x:c r="Q1304" s="2" t="str">
        <x:v>산업전환_외부사업관리Tool_260707_이너젠 수정_LJY_261013.xlsx</x:v>
      </x:c>
      <x:c r="R1304" s="2" t="str">
        <x:v>국내평가</x:v>
      </x:c>
      <x:c r="S1304" s="8" t="n">
        <x:v>1207</x:v>
      </x:c>
      <x:c r="T1304" s="2" t="str">
        <x:v>2025년 처리</x:v>
      </x:c>
      <x:c r="U1304" s="2" t="str">
        <x:v>2025 배정: 2025년 처리</x:v>
      </x:c>
      <x:c r="V1304" s="2" t="str">
        <x:v>2025-12-29</x:v>
      </x:c>
      <x:c r="W1304" s="2" t="str">
        <x:v>담당기관 확인</x:v>
      </x:c>
      <x:c r="X1304" s="2" t="str">
        <x:v>원본·배정 기록 확인</x:v>
      </x:c>
      <x:c r="Y1304" s="2" t="str">
        <x:v>ad210cd9ec132cfd447541c8984dc53d30aff0f4fb2dc92d254d49275cc55976</x:v>
      </x:c>
      <x:c r="Z1304" s="2" t="n">
        <x:f>SUBTOTAL(103,A1304)</x:f>
        <x:v>1</x:v>
      </x:c>
      <x:c r="AA1304" s="2" t="str">
        <x:f>IF(K1304&lt;&gt;"미종결 표시","대상 아님",IF(N1304="","신청일 확인",IF(NOT(ISNUMBER('종합 현황'!$H$5)),"관찰기준 확인",IF('종합 현황'!$H$5&lt;1,"관찰기준 확인",IF(N1304&gt;'종합 현황'!$H$5,"내부 관찰 대상","내부 관찰일 이하")))))</x:f>
        <x:v>대상 아님</x:v>
      </x:c>
      <x:c r="AB1304" s="2"/>
    </x:row>
    <x:row r="1305" ht="42" customHeight="1">
      <x:c r="A1305" s="2" t="str">
        <x:v>6b104ae4f9b35dca68ea8e07</x:v>
      </x:c>
      <x:c r="B1305" s="2" t="str">
        <x:v>사업 평가</x:v>
      </x:c>
      <x:c r="C1305" s="2" t="str">
        <x:v>국내</x:v>
      </x:c>
      <x:c r="D1305" s="7" t="str">
        <x:v>금산환경재생산업(주) 연료전환(B-C유 → LPG)을 통한 온실가스 배출 감축사업</x:v>
      </x:c>
      <x:c r="E1305" s="2" t="str">
        <x:v>1166</x:v>
      </x:c>
      <x:c r="F1305" s="2" t="str">
        <x:v>2025-06-05</x:v>
      </x:c>
      <x:c r="G1305" s="2" t="str">
        <x:v>2025</x:v>
      </x:c>
      <x:c r="H1305" s="2" t="str">
        <x:v>06</x:v>
      </x:c>
      <x:c r="I1305" s="2" t="str">
        <x:v>보완2차_보완중</x:v>
      </x:c>
      <x:c r="J1305" s="2" t="str">
        <x:v>보완요청</x:v>
      </x:c>
      <x:c r="K1305" s="2" t="str">
        <x:f>IF(OR(J1305="심의승인",J1305="반려",J1305="반려완료",J1305="심의완료"),"종결 표시",IF(OR(J1305="기후부협의",J1305="문서재제출요청",J1305="보류",J1305="보완요청",J1305="보완완료",J1305="평가중",J1305="반려요청",J1305="평가필요",LEFT(J1305,5)="보완요청("),"미종결 표시","상태 확인 필요"))</x:f>
        <x:v>미종결 표시</x:v>
      </x:c>
      <x:c r="L1305" s="2"/>
      <x:c r="M1305" s="2" t="n">
        <x:v>2</x:v>
      </x:c>
      <x:c r="N1305" s="8" t="n">
        <x:f>DATE(2026,10,15)-DATE(2025,6,5)</x:f>
        <x:v>497</x:v>
      </x:c>
      <x:c r="O1305" s="2" t="str">
        <x:v>생략</x:v>
      </x:c>
      <x:c r="P1305" s="2" t="str">
        <x:v>방법론 개정으로 재신청 완료</x:v>
      </x:c>
      <x:c r="Q1305" s="2" t="str">
        <x:v>산업전환_외부사업관리Tool_260707_이너젠 수정_LJY_261013.xlsx</x:v>
      </x:c>
      <x:c r="R1305" s="2" t="str">
        <x:v>국내평가</x:v>
      </x:c>
      <x:c r="S1305" s="8" t="n">
        <x:v>1208</x:v>
      </x:c>
      <x:c r="T1305" s="2" t="str">
        <x:v>(6/26),(9/1)</x:v>
      </x:c>
      <x:c r="U1305" s="2" t="str">
        <x:v>2025 배정: (6/26),(9/1)</x:v>
      </x:c>
      <x:c r="V1305" s="2" t="str">
        <x:v>2025-10-14</x:v>
      </x:c>
      <x:c r="W1305" s="2" t="str">
        <x:v>담당기관 확인</x:v>
      </x:c>
      <x:c r="X1305" s="2" t="str">
        <x:v>원본·배정 기록 확인</x:v>
      </x:c>
      <x:c r="Y1305" s="2" t="str">
        <x:v>ad210cd9ec132cfd447541c8984dc53d30aff0f4fb2dc92d254d49275cc55976</x:v>
      </x:c>
      <x:c r="Z1305" s="2" t="n">
        <x:f>SUBTOTAL(103,A1305)</x:f>
        <x:v>1</x:v>
      </x:c>
      <x:c r="AA1305" s="2" t="str">
        <x:f>IF(K1305&lt;&gt;"미종결 표시","대상 아님",IF(N1305="","신청일 확인",IF(NOT(ISNUMBER('종합 현황'!$H$5)),"관찰기준 확인",IF('종합 현황'!$H$5&lt;1,"관찰기준 확인",IF(N1305&gt;'종합 현황'!$H$5,"내부 관찰 대상","내부 관찰일 이하")))))</x:f>
        <x:v>내부 관찰 대상</x:v>
      </x:c>
      <x:c r="AB1305" s="2"/>
    </x:row>
    <x:row r="1306" ht="42" customHeight="1">
      <x:c r="A1306" s="2" t="str">
        <x:v>625798de30c6c3a93e357c49</x:v>
      </x:c>
      <x:c r="B1306" s="2" t="str">
        <x:v>사업 평가</x:v>
      </x:c>
      <x:c r="C1306" s="2" t="str">
        <x:v>국내</x:v>
      </x:c>
      <x:c r="D1306" s="7" t="str">
        <x:v>신재생에너지 보급 융복합지원사업 태양광발전 묶음 감축사업</x:v>
      </x:c>
      <x:c r="E1306" s="2" t="str">
        <x:v>1167</x:v>
      </x:c>
      <x:c r="F1306" s="2" t="str">
        <x:v>2025-06-23</x:v>
      </x:c>
      <x:c r="G1306" s="2" t="str">
        <x:v>2025</x:v>
      </x:c>
      <x:c r="H1306" s="2" t="str">
        <x:v>06</x:v>
      </x:c>
      <x:c r="I1306" s="2" t="str">
        <x:v>보완1차_보완중</x:v>
      </x:c>
      <x:c r="J1306" s="2" t="str">
        <x:v>보완요청</x:v>
      </x:c>
      <x:c r="K1306" s="2" t="str">
        <x:f>IF(OR(J1306="심의승인",J1306="반려",J1306="반려완료",J1306="심의완료"),"종결 표시",IF(OR(J1306="기후부협의",J1306="문서재제출요청",J1306="보류",J1306="보완요청",J1306="보완완료",J1306="평가중",J1306="반려요청",J1306="평가필요",LEFT(J1306,5)="보완요청("),"미종결 표시","상태 확인 필요"))</x:f>
        <x:v>미종결 표시</x:v>
      </x:c>
      <x:c r="L1306" s="2"/>
      <x:c r="M1306" s="2" t="n">
        <x:v>1</x:v>
      </x:c>
      <x:c r="N1306" s="8" t="n">
        <x:f>DATE(2026,10,15)-DATE(2025,6,23)</x:f>
        <x:v>479</x:v>
      </x:c>
      <x:c r="O1306" s="2" t="str">
        <x:v>평가 후 결정</x:v>
      </x:c>
      <x:c r="P1306" s="2"/>
      <x:c r="Q1306" s="2" t="str">
        <x:v>산업전환_외부사업관리Tool_260707_이너젠 수정_LJY_261013.xlsx</x:v>
      </x:c>
      <x:c r="R1306" s="2" t="str">
        <x:v>국내평가</x:v>
      </x:c>
      <x:c r="S1306" s="8" t="n">
        <x:v>1209</x:v>
      </x:c>
      <x:c r="T1306" s="2" t="str">
        <x:v>(6/26)</x:v>
      </x:c>
      <x:c r="U1306" s="2" t="str">
        <x:v>2025 배정: (6/26)</x:v>
      </x:c>
      <x:c r="V1306" s="2" t="str">
        <x:v>2025-08-06</x:v>
      </x:c>
      <x:c r="W1306" s="2" t="str">
        <x:v>담당기관 확인</x:v>
      </x:c>
      <x:c r="X1306" s="2" t="str">
        <x:v>원본·배정 기록 확인</x:v>
      </x:c>
      <x:c r="Y1306" s="2" t="str">
        <x:v>ad210cd9ec132cfd447541c8984dc53d30aff0f4fb2dc92d254d49275cc55976</x:v>
      </x:c>
      <x:c r="Z1306" s="2" t="n">
        <x:f>SUBTOTAL(103,A1306)</x:f>
        <x:v>1</x:v>
      </x:c>
      <x:c r="AA1306" s="2" t="str">
        <x:f>IF(K1306&lt;&gt;"미종결 표시","대상 아님",IF(N1306="","신청일 확인",IF(NOT(ISNUMBER('종합 현황'!$H$5)),"관찰기준 확인",IF('종합 현황'!$H$5&lt;1,"관찰기준 확인",IF(N1306&gt;'종합 현황'!$H$5,"내부 관찰 대상","내부 관찰일 이하")))))</x:f>
        <x:v>내부 관찰 대상</x:v>
      </x:c>
      <x:c r="AB1306" s="2"/>
    </x:row>
    <x:row r="1307" ht="42" customHeight="1">
      <x:c r="A1307" s="2" t="str">
        <x:v>c5c6d8aa5239e203edeee606</x:v>
      </x:c>
      <x:c r="B1307" s="2" t="str">
        <x:v>사업 평가</x:v>
      </x:c>
      <x:c r="C1307" s="2" t="str">
        <x:v>국내</x:v>
      </x:c>
      <x:c r="D1307" s="7" t="str">
        <x:v>디엠테크 건물지원 태양광발전 감축사업</x:v>
      </x:c>
      <x:c r="E1307" s="2" t="str">
        <x:v>1168</x:v>
      </x:c>
      <x:c r="F1307" s="2" t="str">
        <x:v>2025-06-23</x:v>
      </x:c>
      <x:c r="G1307" s="2" t="str">
        <x:v>2025</x:v>
      </x:c>
      <x:c r="H1307" s="2" t="str">
        <x:v>06</x:v>
      </x:c>
      <x:c r="I1307" s="2" t="str">
        <x:v>보완1차_보완중</x:v>
      </x:c>
      <x:c r="J1307" s="2" t="str">
        <x:v>보완요청</x:v>
      </x:c>
      <x:c r="K1307" s="2" t="str">
        <x:f>IF(OR(J1307="심의승인",J1307="반려",J1307="반려완료",J1307="심의완료"),"종결 표시",IF(OR(J1307="기후부협의",J1307="문서재제출요청",J1307="보류",J1307="보완요청",J1307="보완완료",J1307="평가중",J1307="반려요청",J1307="평가필요",LEFT(J1307,5)="보완요청("),"미종결 표시","상태 확인 필요"))</x:f>
        <x:v>미종결 표시</x:v>
      </x:c>
      <x:c r="L1307" s="2"/>
      <x:c r="M1307" s="2" t="n">
        <x:v>1</x:v>
      </x:c>
      <x:c r="N1307" s="8" t="n">
        <x:f>DATE(2026,10,15)-DATE(2025,6,23)</x:f>
        <x:v>479</x:v>
      </x:c>
      <x:c r="O1307" s="2" t="str">
        <x:v>평가 후 결정</x:v>
      </x:c>
      <x:c r="P1307" s="2"/>
      <x:c r="Q1307" s="2" t="str">
        <x:v>산업전환_외부사업관리Tool_260707_이너젠 수정_LJY_261013.xlsx</x:v>
      </x:c>
      <x:c r="R1307" s="2" t="str">
        <x:v>국내평가</x:v>
      </x:c>
      <x:c r="S1307" s="8" t="n">
        <x:v>1210</x:v>
      </x:c>
      <x:c r="T1307" s="2" t="str">
        <x:v>(6/26)</x:v>
      </x:c>
      <x:c r="U1307" s="2" t="str">
        <x:v>2025 배정: (6/26)</x:v>
      </x:c>
      <x:c r="V1307" s="2" t="str">
        <x:v>2025-08-04</x:v>
      </x:c>
      <x:c r="W1307" s="2" t="str">
        <x:v>담당기관 확인</x:v>
      </x:c>
      <x:c r="X1307" s="2" t="str">
        <x:v>원본·배정 기록 확인</x:v>
      </x:c>
      <x:c r="Y1307" s="2" t="str">
        <x:v>ad210cd9ec132cfd447541c8984dc53d30aff0f4fb2dc92d254d49275cc55976</x:v>
      </x:c>
      <x:c r="Z1307" s="2" t="n">
        <x:f>SUBTOTAL(103,A1307)</x:f>
        <x:v>1</x:v>
      </x:c>
      <x:c r="AA1307" s="2" t="str">
        <x:f>IF(K1307&lt;&gt;"미종결 표시","대상 아님",IF(N1307="","신청일 확인",IF(NOT(ISNUMBER('종합 현황'!$H$5)),"관찰기준 확인",IF('종합 현황'!$H$5&lt;1,"관찰기준 확인",IF(N1307&gt;'종합 현황'!$H$5,"내부 관찰 대상","내부 관찰일 이하")))))</x:f>
        <x:v>내부 관찰 대상</x:v>
      </x:c>
      <x:c r="AB1307" s="2"/>
    </x:row>
    <x:row r="1308" ht="42" customHeight="1">
      <x:c r="A1308" s="2" t="str">
        <x:v>63f662658660a16db2e88458</x:v>
      </x:c>
      <x:c r="B1308" s="2" t="str">
        <x:v>사업 평가</x:v>
      </x:c>
      <x:c r="C1308" s="2" t="str">
        <x:v>국내</x:v>
      </x:c>
      <x:c r="D1308" s="7" t="str">
        <x:v>(주)태경식품의 고효율 인버터 공기압축기 교체를 통한 온실가스 감축사업</x:v>
      </x:c>
      <x:c r="E1308" s="2" t="str">
        <x:v>1169</x:v>
      </x:c>
      <x:c r="F1308" s="2" t="str">
        <x:v>2025-06-23</x:v>
      </x:c>
      <x:c r="G1308" s="2" t="str">
        <x:v>2025</x:v>
      </x:c>
      <x:c r="H1308" s="2" t="str">
        <x:v>06</x:v>
      </x:c>
      <x:c r="I1308" s="2" t="str">
        <x:v>승인</x:v>
      </x:c>
      <x:c r="J1308" s="2" t="str">
        <x:v>심의승인</x:v>
      </x:c>
      <x:c r="K1308" s="2" t="str">
        <x:f>IF(OR(J1308="심의승인",J1308="반려",J1308="반려완료",J1308="심의완료"),"종결 표시",IF(OR(J1308="기후부협의",J1308="문서재제출요청",J1308="보류",J1308="보완요청",J1308="보완완료",J1308="평가중",J1308="반려요청",J1308="평가필요",LEFT(J1308,5)="보완요청("),"미종결 표시","상태 확인 필요"))</x:f>
        <x:v>종결 표시</x:v>
      </x:c>
      <x:c r="L1308" s="2"/>
      <x:c r="M1308" s="2"/>
      <x:c r="N1308" s="8" t="n">
        <x:f>DATE(2026,10,15)-DATE(2025,6,23)</x:f>
        <x:v>479</x:v>
      </x:c>
      <x:c r="O1308" s="2" t="str">
        <x:v>생략</x:v>
      </x:c>
      <x:c r="P1308" s="2"/>
      <x:c r="Q1308" s="2" t="str">
        <x:v>산업전환_외부사업관리Tool_260707_이너젠 수정_LJY_261013.xlsx</x:v>
      </x:c>
      <x:c r="R1308" s="2" t="str">
        <x:v>국내평가</x:v>
      </x:c>
      <x:c r="S1308" s="8" t="n">
        <x:v>1211</x:v>
      </x:c>
      <x:c r="T1308" s="2" t="str">
        <x:v>(6/26),(9/16),(11/10)</x:v>
      </x:c>
      <x:c r="U1308" s="2" t="str">
        <x:v>2025 배정: (6/26),(9/16),(11/10)</x:v>
      </x:c>
      <x:c r="V1308" s="2" t="str">
        <x:v>2026-05-06</x:v>
      </x:c>
      <x:c r="W1308" s="2" t="str">
        <x:v>담당기관 확인</x:v>
      </x:c>
      <x:c r="X1308" s="2" t="str">
        <x:v>원본·배정 기록 확인</x:v>
      </x:c>
      <x:c r="Y1308" s="2" t="str">
        <x:v>ad210cd9ec132cfd447541c8984dc53d30aff0f4fb2dc92d254d49275cc55976</x:v>
      </x:c>
      <x:c r="Z1308" s="2" t="n">
        <x:f>SUBTOTAL(103,A1308)</x:f>
        <x:v>1</x:v>
      </x:c>
      <x:c r="AA1308" s="2" t="str">
        <x:f>IF(K1308&lt;&gt;"미종결 표시","대상 아님",IF(N1308="","신청일 확인",IF(NOT(ISNUMBER('종합 현황'!$H$5)),"관찰기준 확인",IF('종합 현황'!$H$5&lt;1,"관찰기준 확인",IF(N1308&gt;'종합 현황'!$H$5,"내부 관찰 대상","내부 관찰일 이하")))))</x:f>
        <x:v>대상 아님</x:v>
      </x:c>
      <x:c r="AB1308" s="2"/>
    </x:row>
    <x:row r="1309" ht="42" customHeight="1">
      <x:c r="A1309" s="2" t="str">
        <x:v>dbafcdb22f53f2736dfe5dfa</x:v>
      </x:c>
      <x:c r="B1309" s="2" t="str">
        <x:v>사업 평가</x:v>
      </x:c>
      <x:c r="C1309" s="2" t="str">
        <x:v>국내</x:v>
      </x:c>
      <x:c r="D1309" s="7" t="str">
        <x:v>우정건설(주) 연료전환(B-C유 → LPG)을 통한 온실가스 배출 감축사업</x:v>
      </x:c>
      <x:c r="E1309" s="2" t="str">
        <x:v>1170</x:v>
      </x:c>
      <x:c r="F1309" s="2" t="str">
        <x:v>2025-06-18</x:v>
      </x:c>
      <x:c r="G1309" s="2" t="str">
        <x:v>2025</x:v>
      </x:c>
      <x:c r="H1309" s="2" t="str">
        <x:v>06</x:v>
      </x:c>
      <x:c r="I1309" s="2" t="str">
        <x:v>보완2차_보완중</x:v>
      </x:c>
      <x:c r="J1309" s="2" t="str">
        <x:v>보완요청</x:v>
      </x:c>
      <x:c r="K1309" s="2" t="str">
        <x:f>IF(OR(J1309="심의승인",J1309="반려",J1309="반려완료",J1309="심의완료"),"종결 표시",IF(OR(J1309="기후부협의",J1309="문서재제출요청",J1309="보류",J1309="보완요청",J1309="보완완료",J1309="평가중",J1309="반려요청",J1309="평가필요",LEFT(J1309,5)="보완요청("),"미종결 표시","상태 확인 필요"))</x:f>
        <x:v>미종결 표시</x:v>
      </x:c>
      <x:c r="L1309" s="2"/>
      <x:c r="M1309" s="2" t="n">
        <x:v>2</x:v>
      </x:c>
      <x:c r="N1309" s="8" t="n">
        <x:f>DATE(2026,10,15)-DATE(2025,6,18)</x:f>
        <x:v>484</x:v>
      </x:c>
      <x:c r="O1309" s="2" t="str">
        <x:v>생략</x:v>
      </x:c>
      <x:c r="P1309" s="2" t="str">
        <x:v>기존 반려 예정 사업 존재</x:v>
      </x:c>
      <x:c r="Q1309" s="2" t="str">
        <x:v>산업전환_외부사업관리Tool_260707_이너젠 수정_LJY_261013.xlsx</x:v>
      </x:c>
      <x:c r="R1309" s="2" t="str">
        <x:v>국내평가</x:v>
      </x:c>
      <x:c r="S1309" s="8" t="n">
        <x:v>1212</x:v>
      </x:c>
      <x:c r="T1309" s="2" t="str">
        <x:v>(6/26),(9/16)</x:v>
      </x:c>
      <x:c r="U1309" s="2" t="str">
        <x:v>2025 배정: (6/26),(9/16)</x:v>
      </x:c>
      <x:c r="V1309" s="2" t="str">
        <x:v>2025-10-23</x:v>
      </x:c>
      <x:c r="W1309" s="2" t="str">
        <x:v>담당기관 확인</x:v>
      </x:c>
      <x:c r="X1309" s="2" t="str">
        <x:v>원본·배정 기록 확인</x:v>
      </x:c>
      <x:c r="Y1309" s="2" t="str">
        <x:v>ad210cd9ec132cfd447541c8984dc53d30aff0f4fb2dc92d254d49275cc55976</x:v>
      </x:c>
      <x:c r="Z1309" s="2" t="n">
        <x:f>SUBTOTAL(103,A1309)</x:f>
        <x:v>1</x:v>
      </x:c>
      <x:c r="AA1309" s="2" t="str">
        <x:f>IF(K1309&lt;&gt;"미종결 표시","대상 아님",IF(N1309="","신청일 확인",IF(NOT(ISNUMBER('종합 현황'!$H$5)),"관찰기준 확인",IF('종합 현황'!$H$5&lt;1,"관찰기준 확인",IF(N1309&gt;'종합 현황'!$H$5,"내부 관찰 대상","내부 관찰일 이하")))))</x:f>
        <x:v>내부 관찰 대상</x:v>
      </x:c>
      <x:c r="AB1309" s="2"/>
    </x:row>
    <x:row r="1310" ht="42" customHeight="1">
      <x:c r="A1310" s="2" t="str">
        <x:v>f6b993e366bd429cd71e228c</x:v>
      </x:c>
      <x:c r="B1310" s="2" t="str">
        <x:v>사업 평가</x:v>
      </x:c>
      <x:c r="C1310" s="2" t="str">
        <x:v>국내</x:v>
      </x:c>
      <x:c r="D1310" s="7" t="str">
        <x:v>우광산업(주) 연료전환(B-C유 → LPG)을 통한 온실가스 배출 감축사업</x:v>
      </x:c>
      <x:c r="E1310" s="2" t="str">
        <x:v>1171</x:v>
      </x:c>
      <x:c r="F1310" s="2" t="str">
        <x:v>2025-06-18</x:v>
      </x:c>
      <x:c r="G1310" s="2" t="str">
        <x:v>2025</x:v>
      </x:c>
      <x:c r="H1310" s="2" t="str">
        <x:v>06</x:v>
      </x:c>
      <x:c r="I1310" s="2" t="str">
        <x:v>보완2차_보완중</x:v>
      </x:c>
      <x:c r="J1310" s="2" t="str">
        <x:v>보완요청</x:v>
      </x:c>
      <x:c r="K1310" s="2" t="str">
        <x:f>IF(OR(J1310="심의승인",J1310="반려",J1310="반려완료",J1310="심의완료"),"종결 표시",IF(OR(J1310="기후부협의",J1310="문서재제출요청",J1310="보류",J1310="보완요청",J1310="보완완료",J1310="평가중",J1310="반려요청",J1310="평가필요",LEFT(J1310,5)="보완요청("),"미종결 표시","상태 확인 필요"))</x:f>
        <x:v>미종결 표시</x:v>
      </x:c>
      <x:c r="L1310" s="2"/>
      <x:c r="M1310" s="2" t="n">
        <x:v>2</x:v>
      </x:c>
      <x:c r="N1310" s="8" t="n">
        <x:f>DATE(2026,10,15)-DATE(2025,6,18)</x:f>
        <x:v>484</x:v>
      </x:c>
      <x:c r="O1310" s="2" t="str">
        <x:v>생략</x:v>
      </x:c>
      <x:c r="P1310" s="2" t="str">
        <x:v>기존 반려 예정 사업 존재</x:v>
      </x:c>
      <x:c r="Q1310" s="2" t="str">
        <x:v>산업전환_외부사업관리Tool_260707_이너젠 수정_LJY_261013.xlsx</x:v>
      </x:c>
      <x:c r="R1310" s="2" t="str">
        <x:v>국내평가</x:v>
      </x:c>
      <x:c r="S1310" s="8" t="n">
        <x:v>1213</x:v>
      </x:c>
      <x:c r="T1310" s="2" t="str">
        <x:v>(6/26),(9/16)</x:v>
      </x:c>
      <x:c r="U1310" s="2" t="str">
        <x:v>2025 배정: (6/26),(9/16)</x:v>
      </x:c>
      <x:c r="V1310" s="2" t="str">
        <x:v>2025-10-16</x:v>
      </x:c>
      <x:c r="W1310" s="2" t="str">
        <x:v>담당기관 확인</x:v>
      </x:c>
      <x:c r="X1310" s="2" t="str">
        <x:v>원본·배정 기록 확인</x:v>
      </x:c>
      <x:c r="Y1310" s="2" t="str">
        <x:v>ad210cd9ec132cfd447541c8984dc53d30aff0f4fb2dc92d254d49275cc55976</x:v>
      </x:c>
      <x:c r="Z1310" s="2" t="n">
        <x:f>SUBTOTAL(103,A1310)</x:f>
        <x:v>1</x:v>
      </x:c>
      <x:c r="AA1310" s="2" t="str">
        <x:f>IF(K1310&lt;&gt;"미종결 표시","대상 아님",IF(N1310="","신청일 확인",IF(NOT(ISNUMBER('종합 현황'!$H$5)),"관찰기준 확인",IF('종합 현황'!$H$5&lt;1,"관찰기준 확인",IF(N1310&gt;'종합 현황'!$H$5,"내부 관찰 대상","내부 관찰일 이하")))))</x:f>
        <x:v>내부 관찰 대상</x:v>
      </x:c>
      <x:c r="AB1310" s="2"/>
    </x:row>
    <x:row r="1311" ht="42" customHeight="1">
      <x:c r="A1311" s="2" t="str">
        <x:v>d7011c6cdb8820d64f5ba190</x:v>
      </x:c>
      <x:c r="B1311" s="2" t="str">
        <x:v>사업 평가</x:v>
      </x:c>
      <x:c r="C1311" s="2" t="str">
        <x:v>국내</x:v>
      </x:c>
      <x:c r="D1311" s="7" t="str">
        <x:v>(주)후시파트너스 재생에너지 설비 도입을 통한 프로그램 감축사업</x:v>
      </x:c>
      <x:c r="E1311" s="2" t="str">
        <x:v>1172</x:v>
      </x:c>
      <x:c r="F1311" s="2" t="str">
        <x:v>2025-06-25</x:v>
      </x:c>
      <x:c r="G1311" s="2" t="str">
        <x:v>2025</x:v>
      </x:c>
      <x:c r="H1311" s="2" t="str">
        <x:v>06</x:v>
      </x:c>
      <x:c r="I1311" s="2" t="str">
        <x:v>검토필요</x:v>
      </x:c>
      <x:c r="J1311" s="2" t="str">
        <x:v>보완요청</x:v>
      </x:c>
      <x:c r="K1311" s="2" t="str">
        <x:f>IF(OR(J1311="심의승인",J1311="반려",J1311="반려완료",J1311="심의완료"),"종결 표시",IF(OR(J1311="기후부협의",J1311="문서재제출요청",J1311="보류",J1311="보완요청",J1311="보완완료",J1311="평가중",J1311="반려요청",J1311="평가필요",LEFT(J1311,5)="보완요청("),"미종결 표시","상태 확인 필요"))</x:f>
        <x:v>미종결 표시</x:v>
      </x:c>
      <x:c r="L1311" s="2"/>
      <x:c r="M1311" s="2"/>
      <x:c r="N1311" s="8" t="n">
        <x:f>DATE(2026,10,15)-DATE(2025,6,25)</x:f>
        <x:v>477</x:v>
      </x:c>
      <x:c r="O1311" s="2" t="str">
        <x:v>생략</x:v>
      </x:c>
      <x:c r="P1311" s="2"/>
      <x:c r="Q1311" s="2" t="str">
        <x:v>산업전환_외부사업관리Tool_260707_이너젠 수정_LJY_261013.xlsx</x:v>
      </x:c>
      <x:c r="R1311" s="2" t="str">
        <x:v>국내평가</x:v>
      </x:c>
      <x:c r="S1311" s="8" t="n">
        <x:v>1214</x:v>
      </x:c>
      <x:c r="T1311" s="2" t="str">
        <x:v>(7/18),(10/16)</x:v>
      </x:c>
      <x:c r="U1311" s="2" t="str">
        <x:v>2025 배정: (7/18),(10/16) / 2026(사전): (1/14),(3/19),(4/29),(6/16)</x:v>
      </x:c>
      <x:c r="V1311" s="2" t="str">
        <x:v>2026-09-17</x:v>
      </x:c>
      <x:c r="W1311" s="2" t="str">
        <x:v>담당기관 확인</x:v>
      </x:c>
      <x:c r="X1311" s="2" t="str">
        <x:v>원본·배정 기록 확인</x:v>
      </x:c>
      <x:c r="Y1311" s="2" t="str">
        <x:v>ad210cd9ec132cfd447541c8984dc53d30aff0f4fb2dc92d254d49275cc55976</x:v>
      </x:c>
      <x:c r="Z1311" s="2" t="n">
        <x:f>SUBTOTAL(103,A1311)</x:f>
        <x:v>1</x:v>
      </x:c>
      <x:c r="AA1311" s="2" t="str">
        <x:f>IF(K1311&lt;&gt;"미종결 표시","대상 아님",IF(N1311="","신청일 확인",IF(NOT(ISNUMBER('종합 현황'!$H$5)),"관찰기준 확인",IF('종합 현황'!$H$5&lt;1,"관찰기준 확인",IF(N1311&gt;'종합 현황'!$H$5,"내부 관찰 대상","내부 관찰일 이하")))))</x:f>
        <x:v>내부 관찰 대상</x:v>
      </x:c>
      <x:c r="AB1311" s="2"/>
    </x:row>
    <x:row r="1312" ht="42" customHeight="1">
      <x:c r="A1312" s="2" t="str">
        <x:v>17e6b3f56185a5f6d2351cab</x:v>
      </x:c>
      <x:c r="B1312" s="2" t="str">
        <x:v>사업 평가</x:v>
      </x:c>
      <x:c r="C1312" s="2" t="str">
        <x:v>국내</x:v>
      </x:c>
      <x:c r="D1312" s="7" t="str">
        <x:v>(주)큐텔 고효율 2단 인버터 PM  Motor 공기압축기로 교체 사업</x:v>
      </x:c>
      <x:c r="E1312" s="2" t="str">
        <x:v>1173</x:v>
      </x:c>
      <x:c r="F1312" s="2" t="str">
        <x:v>2025-06-26</x:v>
      </x:c>
      <x:c r="G1312" s="2" t="str">
        <x:v>2025</x:v>
      </x:c>
      <x:c r="H1312" s="2" t="str">
        <x:v>06</x:v>
      </x:c>
      <x:c r="I1312" s="2" t="str">
        <x:v>보완1차_보완중</x:v>
      </x:c>
      <x:c r="J1312" s="2" t="str">
        <x:v>보완요청</x:v>
      </x:c>
      <x:c r="K1312" s="2" t="str">
        <x:f>IF(OR(J1312="심의승인",J1312="반려",J1312="반려완료",J1312="심의완료"),"종결 표시",IF(OR(J1312="기후부협의",J1312="문서재제출요청",J1312="보류",J1312="보완요청",J1312="보완완료",J1312="평가중",J1312="반려요청",J1312="평가필요",LEFT(J1312,5)="보완요청("),"미종결 표시","상태 확인 필요"))</x:f>
        <x:v>미종결 표시</x:v>
      </x:c>
      <x:c r="L1312" s="2"/>
      <x:c r="M1312" s="2" t="n">
        <x:v>1</x:v>
      </x:c>
      <x:c r="N1312" s="8" t="n">
        <x:f>DATE(2026,10,15)-DATE(2025,6,26)</x:f>
        <x:v>476</x:v>
      </x:c>
      <x:c r="O1312" s="2" t="str">
        <x:v>평가 후 결정</x:v>
      </x:c>
      <x:c r="P1312" s="2"/>
      <x:c r="Q1312" s="2" t="str">
        <x:v>산업전환_외부사업관리Tool_260707_이너젠 수정_LJY_261013.xlsx</x:v>
      </x:c>
      <x:c r="R1312" s="2" t="str">
        <x:v>국내평가</x:v>
      </x:c>
      <x:c r="S1312" s="8" t="n">
        <x:v>1215</x:v>
      </x:c>
      <x:c r="T1312" s="2" t="str">
        <x:v>(7/18)</x:v>
      </x:c>
      <x:c r="U1312" s="2" t="str">
        <x:v>2025 배정: (7/18)</x:v>
      </x:c>
      <x:c r="V1312" s="2" t="str">
        <x:v>2025-08-06</x:v>
      </x:c>
      <x:c r="W1312" s="2" t="str">
        <x:v>담당기관 확인</x:v>
      </x:c>
      <x:c r="X1312" s="2" t="str">
        <x:v>원본·배정 기록 확인</x:v>
      </x:c>
      <x:c r="Y1312" s="2" t="str">
        <x:v>ad210cd9ec132cfd447541c8984dc53d30aff0f4fb2dc92d254d49275cc55976</x:v>
      </x:c>
      <x:c r="Z1312" s="2" t="n">
        <x:f>SUBTOTAL(103,A1312)</x:f>
        <x:v>1</x:v>
      </x:c>
      <x:c r="AA1312" s="2" t="str">
        <x:f>IF(K1312&lt;&gt;"미종결 표시","대상 아님",IF(N1312="","신청일 확인",IF(NOT(ISNUMBER('종합 현황'!$H$5)),"관찰기준 확인",IF('종합 현황'!$H$5&lt;1,"관찰기준 확인",IF(N1312&gt;'종합 현황'!$H$5,"내부 관찰 대상","내부 관찰일 이하")))))</x:f>
        <x:v>내부 관찰 대상</x:v>
      </x:c>
      <x:c r="AB1312" s="2"/>
    </x:row>
    <x:row r="1313" ht="42" customHeight="1">
      <x:c r="A1313" s="2" t="str">
        <x:v>00743d7bf2326e1946d6b4a7</x:v>
      </x:c>
      <x:c r="B1313" s="2" t="str">
        <x:v>사업 평가</x:v>
      </x:c>
      <x:c r="C1313" s="2" t="str">
        <x:v>국내</x:v>
      </x:c>
      <x:c r="D1313" s="7" t="str">
        <x:v>대진기공(주) 고효율 인버터 PM Motor 공기압축기로 교체 사업</x:v>
      </x:c>
      <x:c r="E1313" s="2" t="str">
        <x:v>1174</x:v>
      </x:c>
      <x:c r="F1313" s="2" t="str">
        <x:v>2025-07-03</x:v>
      </x:c>
      <x:c r="G1313" s="2" t="str">
        <x:v>2025</x:v>
      </x:c>
      <x:c r="H1313" s="2" t="str">
        <x:v>07</x:v>
      </x:c>
      <x:c r="I1313" s="2" t="str">
        <x:v>승인</x:v>
      </x:c>
      <x:c r="J1313" s="2" t="str">
        <x:v>심의승인</x:v>
      </x:c>
      <x:c r="K1313" s="2" t="str">
        <x:f>IF(OR(J1313="심의승인",J1313="반려",J1313="반려완료",J1313="심의완료"),"종결 표시",IF(OR(J1313="기후부협의",J1313="문서재제출요청",J1313="보류",J1313="보완요청",J1313="보완완료",J1313="평가중",J1313="반려요청",J1313="평가필요",LEFT(J1313,5)="보완요청("),"미종결 표시","상태 확인 필요"))</x:f>
        <x:v>종결 표시</x:v>
      </x:c>
      <x:c r="L1313" s="2"/>
      <x:c r="M1313" s="2"/>
      <x:c r="N1313" s="8" t="n">
        <x:f>DATE(2026,10,15)-DATE(2025,7,3)</x:f>
        <x:v>469</x:v>
      </x:c>
      <x:c r="O1313" s="2"/>
      <x:c r="P1313" s="2"/>
      <x:c r="Q1313" s="2" t="str">
        <x:v>산업전환_외부사업관리Tool_260707_이너젠 수정_LJY_261013.xlsx</x:v>
      </x:c>
      <x:c r="R1313" s="2" t="str">
        <x:v>국내평가</x:v>
      </x:c>
      <x:c r="S1313" s="8" t="n">
        <x:v>1216</x:v>
      </x:c>
      <x:c r="T1313" s="2" t="str">
        <x:v>(7/18),(10/16)</x:v>
      </x:c>
      <x:c r="U1313" s="2" t="str">
        <x:v>2025 배정: (7/18),(10/16)</x:v>
      </x:c>
      <x:c r="V1313" s="2" t="str">
        <x:v>2026-03-11</x:v>
      </x:c>
      <x:c r="W1313" s="2" t="str">
        <x:v>담당기관 확인</x:v>
      </x:c>
      <x:c r="X1313" s="2" t="str">
        <x:v>원본·배정 기록 확인</x:v>
      </x:c>
      <x:c r="Y1313" s="2" t="str">
        <x:v>ad210cd9ec132cfd447541c8984dc53d30aff0f4fb2dc92d254d49275cc55976</x:v>
      </x:c>
      <x:c r="Z1313" s="2" t="n">
        <x:f>SUBTOTAL(103,A1313)</x:f>
        <x:v>1</x:v>
      </x:c>
      <x:c r="AA1313" s="2" t="str">
        <x:f>IF(K1313&lt;&gt;"미종결 표시","대상 아님",IF(N1313="","신청일 확인",IF(NOT(ISNUMBER('종합 현황'!$H$5)),"관찰기준 확인",IF('종합 현황'!$H$5&lt;1,"관찰기준 확인",IF(N1313&gt;'종합 현황'!$H$5,"내부 관찰 대상","내부 관찰일 이하")))))</x:f>
        <x:v>대상 아님</x:v>
      </x:c>
      <x:c r="AB1313" s="2"/>
    </x:row>
    <x:row r="1314" ht="42" customHeight="1">
      <x:c r="A1314" s="2" t="str">
        <x:v>edba17a6085cb04046acee9b</x:v>
      </x:c>
      <x:c r="B1314" s="2" t="str">
        <x:v>사업 평가</x:v>
      </x:c>
      <x:c r="C1314" s="2" t="str">
        <x:v>국내</x:v>
      </x:c>
      <x:c r="D1314" s="7" t="str">
        <x:v>㈜보광아스콘 연료전환(B-C유 → LPG)을 통한 온실가스 배출 감축사업</x:v>
      </x:c>
      <x:c r="E1314" s="2" t="str">
        <x:v>1175</x:v>
      </x:c>
      <x:c r="F1314" s="2" t="str">
        <x:v>2025-07-07</x:v>
      </x:c>
      <x:c r="G1314" s="2" t="str">
        <x:v>2025</x:v>
      </x:c>
      <x:c r="H1314" s="2" t="str">
        <x:v>07</x:v>
      </x:c>
      <x:c r="I1314" s="2" t="str">
        <x:v>반려</x:v>
      </x:c>
      <x:c r="J1314" s="2" t="str">
        <x:v>반려</x:v>
      </x:c>
      <x:c r="K1314" s="2" t="str">
        <x:f>IF(OR(J1314="심의승인",J1314="반려",J1314="반려완료",J1314="심의완료"),"종결 표시",IF(OR(J1314="기후부협의",J1314="문서재제출요청",J1314="보류",J1314="보완요청",J1314="보완완료",J1314="평가중",J1314="반려요청",J1314="평가필요",LEFT(J1314,5)="보완요청("),"미종결 표시","상태 확인 필요"))</x:f>
        <x:v>종결 표시</x:v>
      </x:c>
      <x:c r="L1314" s="2"/>
      <x:c r="M1314" s="2"/>
      <x:c r="N1314" s="8" t="n">
        <x:f>DATE(2026,10,15)-DATE(2025,7,7)</x:f>
        <x:v>465</x:v>
      </x:c>
      <x:c r="O1314" s="2" t="str">
        <x:v>생략</x:v>
      </x:c>
      <x:c r="P1314" s="2"/>
      <x:c r="Q1314" s="2" t="str">
        <x:v>산업전환_외부사업관리Tool_260707_이너젠 수정_LJY_261013.xlsx</x:v>
      </x:c>
      <x:c r="R1314" s="2" t="str">
        <x:v>국내평가</x:v>
      </x:c>
      <x:c r="S1314" s="8" t="n">
        <x:v>1217</x:v>
      </x:c>
      <x:c r="T1314" s="2" t="str">
        <x:v>(7/18),(11/10)</x:v>
      </x:c>
      <x:c r="U1314" s="2" t="str">
        <x:v>2025 배정: (7/18),(11/10) / 2026(사전): (1/14)</x:v>
      </x:c>
      <x:c r="V1314" s="2" t="str">
        <x:v>2026-01-16</x:v>
      </x:c>
      <x:c r="W1314" s="2" t="str">
        <x:v>담당기관 확인</x:v>
      </x:c>
      <x:c r="X1314" s="2" t="str">
        <x:v>원본·배정 기록 확인</x:v>
      </x:c>
      <x:c r="Y1314" s="2" t="str">
        <x:v>ad210cd9ec132cfd447541c8984dc53d30aff0f4fb2dc92d254d49275cc55976</x:v>
      </x:c>
      <x:c r="Z1314" s="2" t="n">
        <x:f>SUBTOTAL(103,A1314)</x:f>
        <x:v>1</x:v>
      </x:c>
      <x:c r="AA1314" s="2" t="str">
        <x:f>IF(K1314&lt;&gt;"미종결 표시","대상 아님",IF(N1314="","신청일 확인",IF(NOT(ISNUMBER('종합 현황'!$H$5)),"관찰기준 확인",IF('종합 현황'!$H$5&lt;1,"관찰기준 확인",IF(N1314&gt;'종합 현황'!$H$5,"내부 관찰 대상","내부 관찰일 이하")))))</x:f>
        <x:v>대상 아님</x:v>
      </x:c>
      <x:c r="AB1314" s="2"/>
    </x:row>
    <x:row r="1315" ht="42" customHeight="1">
      <x:c r="A1315" s="2" t="str">
        <x:v>9086c5979a6b49fc64726f17</x:v>
      </x:c>
      <x:c r="B1315" s="2" t="str">
        <x:v>사업 평가</x:v>
      </x:c>
      <x:c r="C1315" s="2" t="str">
        <x:v>국내</x:v>
      </x:c>
      <x:c r="D1315" s="7" t="str">
        <x:v>㈜성보아스콘 연료전환(B-C유 → LPG)을 통한 온실가스 배출 감축사업</x:v>
      </x:c>
      <x:c r="E1315" s="2" t="str">
        <x:v>1176</x:v>
      </x:c>
      <x:c r="F1315" s="2" t="str">
        <x:v>2025-07-07</x:v>
      </x:c>
      <x:c r="G1315" s="2" t="str">
        <x:v>2025</x:v>
      </x:c>
      <x:c r="H1315" s="2" t="str">
        <x:v>07</x:v>
      </x:c>
      <x:c r="I1315" s="2" t="str">
        <x:v>반려</x:v>
      </x:c>
      <x:c r="J1315" s="2" t="str">
        <x:v>반려</x:v>
      </x:c>
      <x:c r="K1315" s="2" t="str">
        <x:f>IF(OR(J1315="심의승인",J1315="반려",J1315="반려완료",J1315="심의완료"),"종결 표시",IF(OR(J1315="기후부협의",J1315="문서재제출요청",J1315="보류",J1315="보완요청",J1315="보완완료",J1315="평가중",J1315="반려요청",J1315="평가필요",LEFT(J1315,5)="보완요청("),"미종결 표시","상태 확인 필요"))</x:f>
        <x:v>종결 표시</x:v>
      </x:c>
      <x:c r="L1315" s="2"/>
      <x:c r="M1315" s="2"/>
      <x:c r="N1315" s="8" t="n">
        <x:f>DATE(2026,10,15)-DATE(2025,7,7)</x:f>
        <x:v>465</x:v>
      </x:c>
      <x:c r="O1315" s="2" t="str">
        <x:v>생략</x:v>
      </x:c>
      <x:c r="P1315" s="2"/>
      <x:c r="Q1315" s="2" t="str">
        <x:v>산업전환_외부사업관리Tool_260707_이너젠 수정_LJY_261013.xlsx</x:v>
      </x:c>
      <x:c r="R1315" s="2" t="str">
        <x:v>국내평가</x:v>
      </x:c>
      <x:c r="S1315" s="8" t="n">
        <x:v>1218</x:v>
      </x:c>
      <x:c r="T1315" s="2" t="str">
        <x:v>(7/18),(10/16),(12/1)</x:v>
      </x:c>
      <x:c r="U1315" s="2" t="str">
        <x:v>2025 배정: (7/18),(10/16),(12/1) / 2026(사전): (1/14)</x:v>
      </x:c>
      <x:c r="V1315" s="2" t="str">
        <x:v>2026-03-31</x:v>
      </x:c>
      <x:c r="W1315" s="2" t="str">
        <x:v>담당기관 확인</x:v>
      </x:c>
      <x:c r="X1315" s="2" t="str">
        <x:v>원본·배정 기록 확인</x:v>
      </x:c>
      <x:c r="Y1315" s="2" t="str">
        <x:v>ad210cd9ec132cfd447541c8984dc53d30aff0f4fb2dc92d254d49275cc55976</x:v>
      </x:c>
      <x:c r="Z1315" s="2" t="n">
        <x:f>SUBTOTAL(103,A1315)</x:f>
        <x:v>1</x:v>
      </x:c>
      <x:c r="AA1315" s="2" t="str">
        <x:f>IF(K1315&lt;&gt;"미종결 표시","대상 아님",IF(N1315="","신청일 확인",IF(NOT(ISNUMBER('종합 현황'!$H$5)),"관찰기준 확인",IF('종합 현황'!$H$5&lt;1,"관찰기준 확인",IF(N1315&gt;'종합 현황'!$H$5,"내부 관찰 대상","내부 관찰일 이하")))))</x:f>
        <x:v>대상 아님</x:v>
      </x:c>
      <x:c r="AB1315" s="2"/>
    </x:row>
    <x:row r="1316" ht="42" customHeight="1">
      <x:c r="A1316" s="2" t="str">
        <x:v>f334239940c36d1bc3cb1a4e</x:v>
      </x:c>
      <x:c r="B1316" s="2" t="str">
        <x:v>사업 평가</x:v>
      </x:c>
      <x:c r="C1316" s="2" t="str">
        <x:v>국내</x:v>
      </x:c>
      <x:c r="D1316" s="7" t="str">
        <x:v>주식회사 창성 연료전환(B-C유 → LPG)을 통한 온실가스 배출 감축사업</x:v>
      </x:c>
      <x:c r="E1316" s="2" t="str">
        <x:v>1177</x:v>
      </x:c>
      <x:c r="F1316" s="2" t="str">
        <x:v>2025-07-07</x:v>
      </x:c>
      <x:c r="G1316" s="2" t="str">
        <x:v>2025</x:v>
      </x:c>
      <x:c r="H1316" s="2" t="str">
        <x:v>07</x:v>
      </x:c>
      <x:c r="I1316" s="2" t="str">
        <x:v>협의검토중</x:v>
      </x:c>
      <x:c r="J1316" s="2" t="str">
        <x:v>보완요청</x:v>
      </x:c>
      <x:c r="K1316" s="2" t="str">
        <x:f>IF(OR(J1316="심의승인",J1316="반려",J1316="반려완료",J1316="심의완료"),"종결 표시",IF(OR(J1316="기후부협의",J1316="문서재제출요청",J1316="보류",J1316="보완요청",J1316="보완완료",J1316="평가중",J1316="반려요청",J1316="평가필요",LEFT(J1316,5)="보완요청("),"미종결 표시","상태 확인 필요"))</x:f>
        <x:v>미종결 표시</x:v>
      </x:c>
      <x:c r="L1316" s="2"/>
      <x:c r="M1316" s="2"/>
      <x:c r="N1316" s="8" t="n">
        <x:f>DATE(2026,10,15)-DATE(2025,7,7)</x:f>
        <x:v>465</x:v>
      </x:c>
      <x:c r="O1316" s="2" t="str">
        <x:v>생략</x:v>
      </x:c>
      <x:c r="P1316" s="2"/>
      <x:c r="Q1316" s="2" t="str">
        <x:v>산업전환_외부사업관리Tool_260707_이너젠 수정_LJY_261013.xlsx</x:v>
      </x:c>
      <x:c r="R1316" s="2" t="str">
        <x:v>국내평가</x:v>
      </x:c>
      <x:c r="S1316" s="8" t="n">
        <x:v>1219</x:v>
      </x:c>
      <x:c r="T1316" s="2" t="str">
        <x:v>(7/18),(10/16),(12/1)</x:v>
      </x:c>
      <x:c r="U1316" s="2" t="str">
        <x:v>2025 배정: (7/18),(10/16),(12/1) / 2026(사전): (1/14),(2/26),(4/9),(5/26)</x:v>
      </x:c>
      <x:c r="V1316" s="2" t="str">
        <x:v>2026-09-07</x:v>
      </x:c>
      <x:c r="W1316" s="2" t="str">
        <x:v>담당기관 확인</x:v>
      </x:c>
      <x:c r="X1316" s="2" t="str">
        <x:v>원본·배정 기록 확인</x:v>
      </x:c>
      <x:c r="Y1316" s="2" t="str">
        <x:v>ad210cd9ec132cfd447541c8984dc53d30aff0f4fb2dc92d254d49275cc55976</x:v>
      </x:c>
      <x:c r="Z1316" s="2" t="n">
        <x:f>SUBTOTAL(103,A1316)</x:f>
        <x:v>1</x:v>
      </x:c>
      <x:c r="AA1316" s="2" t="str">
        <x:f>IF(K1316&lt;&gt;"미종결 표시","대상 아님",IF(N1316="","신청일 확인",IF(NOT(ISNUMBER('종합 현황'!$H$5)),"관찰기준 확인",IF('종합 현황'!$H$5&lt;1,"관찰기준 확인",IF(N1316&gt;'종합 현황'!$H$5,"내부 관찰 대상","내부 관찰일 이하")))))</x:f>
        <x:v>내부 관찰 대상</x:v>
      </x:c>
      <x:c r="AB1316" s="2"/>
    </x:row>
    <x:row r="1317" ht="42" customHeight="1">
      <x:c r="A1317" s="2" t="str">
        <x:v>1936da1d15f9e584c9abaefd</x:v>
      </x:c>
      <x:c r="B1317" s="2" t="str">
        <x:v>사업 평가</x:v>
      </x:c>
      <x:c r="C1317" s="2" t="str">
        <x:v>국내</x:v>
      </x:c>
      <x:c r="D1317" s="7" t="str">
        <x:v>(주)대경오앤티 서농공장 미활용 소각폐열 회수를 통한 화석연료 사용 절감 및 온실가스 배출 감축사업</x:v>
      </x:c>
      <x:c r="E1317" s="2" t="str">
        <x:v>1178</x:v>
      </x:c>
      <x:c r="F1317" s="2" t="str">
        <x:v>2025-07-10</x:v>
      </x:c>
      <x:c r="G1317" s="2" t="str">
        <x:v>2025</x:v>
      </x:c>
      <x:c r="H1317" s="2" t="str">
        <x:v>07</x:v>
      </x:c>
      <x:c r="I1317" s="2" t="str">
        <x:v>보완3차_문서보완중</x:v>
      </x:c>
      <x:c r="J1317" s="2" t="str">
        <x:v>평가중</x:v>
      </x:c>
      <x:c r="K1317" s="2" t="str">
        <x:f>IF(OR(J1317="심의승인",J1317="반려",J1317="반려완료",J1317="심의완료"),"종결 표시",IF(OR(J1317="기후부협의",J1317="문서재제출요청",J1317="보류",J1317="보완요청",J1317="보완완료",J1317="평가중",J1317="반려요청",J1317="평가필요",LEFT(J1317,5)="보완요청("),"미종결 표시","상태 확인 필요"))</x:f>
        <x:v>미종결 표시</x:v>
      </x:c>
      <x:c r="L1317" s="2"/>
      <x:c r="M1317" s="2" t="n">
        <x:v>3</x:v>
      </x:c>
      <x:c r="N1317" s="8" t="n">
        <x:f>DATE(2026,10,15)-DATE(2025,7,10)</x:f>
        <x:v>462</x:v>
      </x:c>
      <x:c r="O1317" s="2" t="str">
        <x:v>평가 후 결정</x:v>
      </x:c>
      <x:c r="P1317" s="2"/>
      <x:c r="Q1317" s="2" t="str">
        <x:v>산업전환_외부사업관리Tool_260707_이너젠 수정_LJY_261013.xlsx</x:v>
      </x:c>
      <x:c r="R1317" s="2" t="str">
        <x:v>국내평가</x:v>
      </x:c>
      <x:c r="S1317" s="8" t="n">
        <x:v>1220</x:v>
      </x:c>
      <x:c r="T1317" s="2" t="str">
        <x:v>(7/18)</x:v>
      </x:c>
      <x:c r="U1317" s="2" t="str">
        <x:v>2025 배정: (7/18) / 2026(사전): (2/26),(5/26),(7/7)</x:v>
      </x:c>
      <x:c r="V1317" s="2" t="str">
        <x:v>2026-08-13</x:v>
      </x:c>
      <x:c r="W1317" s="2" t="str">
        <x:v>담당기관 확인</x:v>
      </x:c>
      <x:c r="X1317" s="2" t="str">
        <x:v>원본·배정 기록 확인</x:v>
      </x:c>
      <x:c r="Y1317" s="2" t="str">
        <x:v>ad210cd9ec132cfd447541c8984dc53d30aff0f4fb2dc92d254d49275cc55976</x:v>
      </x:c>
      <x:c r="Z1317" s="2" t="n">
        <x:f>SUBTOTAL(103,A1317)</x:f>
        <x:v>1</x:v>
      </x:c>
      <x:c r="AA1317" s="2" t="str">
        <x:f>IF(K1317&lt;&gt;"미종결 표시","대상 아님",IF(N1317="","신청일 확인",IF(NOT(ISNUMBER('종합 현황'!$H$5)),"관찰기준 확인",IF('종합 현황'!$H$5&lt;1,"관찰기준 확인",IF(N1317&gt;'종합 현황'!$H$5,"내부 관찰 대상","내부 관찰일 이하")))))</x:f>
        <x:v>내부 관찰 대상</x:v>
      </x:c>
      <x:c r="AB1317" s="2"/>
    </x:row>
    <x:row r="1318" ht="42" customHeight="1">
      <x:c r="A1318" s="2" t="str">
        <x:v>94d131c5436379693f02b9c1</x:v>
      </x:c>
      <x:c r="B1318" s="2" t="str">
        <x:v>사업 평가</x:v>
      </x:c>
      <x:c r="C1318" s="2" t="str">
        <x:v>국내</x:v>
      </x:c>
      <x:c r="D1318" s="7" t="str">
        <x:v>삼우스텐레스(주) 고효율 인버터 PM Motor 공기압축기로 교체 사업</x:v>
      </x:c>
      <x:c r="E1318" s="2" t="str">
        <x:v>1179</x:v>
      </x:c>
      <x:c r="F1318" s="2" t="str">
        <x:v>2025-07-16</x:v>
      </x:c>
      <x:c r="G1318" s="2" t="str">
        <x:v>2025</x:v>
      </x:c>
      <x:c r="H1318" s="2" t="str">
        <x:v>07</x:v>
      </x:c>
      <x:c r="I1318" s="2" t="str">
        <x:v>보완1차_보완중</x:v>
      </x:c>
      <x:c r="J1318" s="2" t="str">
        <x:v>보완요청</x:v>
      </x:c>
      <x:c r="K1318" s="2" t="str">
        <x:f>IF(OR(J1318="심의승인",J1318="반려",J1318="반려완료",J1318="심의완료"),"종결 표시",IF(OR(J1318="기후부협의",J1318="문서재제출요청",J1318="보류",J1318="보완요청",J1318="보완완료",J1318="평가중",J1318="반려요청",J1318="평가필요",LEFT(J1318,5)="보완요청("),"미종결 표시","상태 확인 필요"))</x:f>
        <x:v>미종결 표시</x:v>
      </x:c>
      <x:c r="L1318" s="2"/>
      <x:c r="M1318" s="2" t="n">
        <x:v>1</x:v>
      </x:c>
      <x:c r="N1318" s="8" t="n">
        <x:f>DATE(2026,10,15)-DATE(2025,7,16)</x:f>
        <x:v>456</x:v>
      </x:c>
      <x:c r="O1318" s="2" t="str">
        <x:v>평가 후 결정</x:v>
      </x:c>
      <x:c r="P1318" s="2"/>
      <x:c r="Q1318" s="2" t="str">
        <x:v>산업전환_외부사업관리Tool_260707_이너젠 수정_LJY_261013.xlsx</x:v>
      </x:c>
      <x:c r="R1318" s="2" t="str">
        <x:v>국내평가</x:v>
      </x:c>
      <x:c r="S1318" s="8" t="n">
        <x:v>1221</x:v>
      </x:c>
      <x:c r="T1318" s="2" t="str">
        <x:v>(7/18)</x:v>
      </x:c>
      <x:c r="U1318" s="2" t="str">
        <x:v>2025 배정: (7/18)</x:v>
      </x:c>
      <x:c r="V1318" s="2" t="str">
        <x:v>2025-09-29</x:v>
      </x:c>
      <x:c r="W1318" s="2" t="str">
        <x:v>담당기관 확인</x:v>
      </x:c>
      <x:c r="X1318" s="2" t="str">
        <x:v>원본·배정 기록 확인</x:v>
      </x:c>
      <x:c r="Y1318" s="2" t="str">
        <x:v>ad210cd9ec132cfd447541c8984dc53d30aff0f4fb2dc92d254d49275cc55976</x:v>
      </x:c>
      <x:c r="Z1318" s="2" t="n">
        <x:f>SUBTOTAL(103,A1318)</x:f>
        <x:v>1</x:v>
      </x:c>
      <x:c r="AA1318" s="2" t="str">
        <x:f>IF(K1318&lt;&gt;"미종결 표시","대상 아님",IF(N1318="","신청일 확인",IF(NOT(ISNUMBER('종합 현황'!$H$5)),"관찰기준 확인",IF('종합 현황'!$H$5&lt;1,"관찰기준 확인",IF(N1318&gt;'종합 현황'!$H$5,"내부 관찰 대상","내부 관찰일 이하")))))</x:f>
        <x:v>내부 관찰 대상</x:v>
      </x:c>
      <x:c r="AB1318" s="2"/>
    </x:row>
    <x:row r="1319" ht="42" customHeight="1">
      <x:c r="A1319" s="2" t="str">
        <x:v>c2b624411de8cc9678a24778</x:v>
      </x:c>
      <x:c r="B1319" s="2" t="str">
        <x:v>사업 평가</x:v>
      </x:c>
      <x:c r="C1319" s="2" t="str">
        <x:v>국내</x:v>
      </x:c>
      <x:c r="D1319" s="7" t="str">
        <x:v>(주)에어론 고효율 인버터 PM  Motor 공기압축기로 교체 사업</x:v>
      </x:c>
      <x:c r="E1319" s="2" t="str">
        <x:v>1180</x:v>
      </x:c>
      <x:c r="F1319" s="2" t="str">
        <x:v>2025-07-18</x:v>
      </x:c>
      <x:c r="G1319" s="2" t="str">
        <x:v>2025</x:v>
      </x:c>
      <x:c r="H1319" s="2" t="str">
        <x:v>07</x:v>
      </x:c>
      <x:c r="I1319" s="2" t="str">
        <x:v>승인</x:v>
      </x:c>
      <x:c r="J1319" s="2" t="str">
        <x:v>심의승인</x:v>
      </x:c>
      <x:c r="K1319" s="2" t="str">
        <x:f>IF(OR(J1319="심의승인",J1319="반려",J1319="반려완료",J1319="심의완료"),"종결 표시",IF(OR(J1319="기후부협의",J1319="문서재제출요청",J1319="보류",J1319="보완요청",J1319="보완완료",J1319="평가중",J1319="반려요청",J1319="평가필요",LEFT(J1319,5)="보완요청("),"미종결 표시","상태 확인 필요"))</x:f>
        <x:v>종결 표시</x:v>
      </x:c>
      <x:c r="L1319" s="2"/>
      <x:c r="M1319" s="2"/>
      <x:c r="N1319" s="8" t="n">
        <x:f>DATE(2026,10,15)-DATE(2025,7,18)</x:f>
        <x:v>454</x:v>
      </x:c>
      <x:c r="O1319" s="2" t="str">
        <x:v>생략</x:v>
      </x:c>
      <x:c r="P1319" s="2"/>
      <x:c r="Q1319" s="2" t="str">
        <x:v>산업전환_외부사업관리Tool_260707_이너젠 수정_LJY_261013.xlsx</x:v>
      </x:c>
      <x:c r="R1319" s="2" t="str">
        <x:v>국내평가</x:v>
      </x:c>
      <x:c r="S1319" s="8" t="n">
        <x:v>1222</x:v>
      </x:c>
      <x:c r="T1319" s="2" t="str">
        <x:v>(8/8)</x:v>
      </x:c>
      <x:c r="U1319" s="2" t="str">
        <x:v>2025 배정: (8/8) / 2026(사전): (3/19),(5/26)</x:v>
      </x:c>
      <x:c r="V1319" s="2" t="str">
        <x:v>2026-09-08</x:v>
      </x:c>
      <x:c r="W1319" s="2" t="str">
        <x:v>담당기관 확인</x:v>
      </x:c>
      <x:c r="X1319" s="2" t="str">
        <x:v>원본·배정 기록 확인</x:v>
      </x:c>
      <x:c r="Y1319" s="2" t="str">
        <x:v>ad210cd9ec132cfd447541c8984dc53d30aff0f4fb2dc92d254d49275cc55976</x:v>
      </x:c>
      <x:c r="Z1319" s="2" t="n">
        <x:f>SUBTOTAL(103,A1319)</x:f>
        <x:v>1</x:v>
      </x:c>
      <x:c r="AA1319" s="2" t="str">
        <x:f>IF(K1319&lt;&gt;"미종결 표시","대상 아님",IF(N1319="","신청일 확인",IF(NOT(ISNUMBER('종합 현황'!$H$5)),"관찰기준 확인",IF('종합 현황'!$H$5&lt;1,"관찰기준 확인",IF(N1319&gt;'종합 현황'!$H$5,"내부 관찰 대상","내부 관찰일 이하")))))</x:f>
        <x:v>대상 아님</x:v>
      </x:c>
      <x:c r="AB1319" s="2"/>
    </x:row>
    <x:row r="1320" ht="42" customHeight="1">
      <x:c r="A1320" s="2" t="str">
        <x:v>65971c9a2320739fce40fefe</x:v>
      </x:c>
      <x:c r="B1320" s="2" t="str">
        <x:v>사업 평가</x:v>
      </x:c>
      <x:c r="C1320" s="2" t="str">
        <x:v>국내</x:v>
      </x:c>
      <x:c r="D1320" s="7" t="str">
        <x:v>대한정밀풀리산업(주) 고효율 인버터 PM Motor 공기압축기로 교체 사업</x:v>
      </x:c>
      <x:c r="E1320" s="2" t="str">
        <x:v>1181</x:v>
      </x:c>
      <x:c r="F1320" s="2" t="str">
        <x:v>2025-07-18</x:v>
      </x:c>
      <x:c r="G1320" s="2" t="str">
        <x:v>2025</x:v>
      </x:c>
      <x:c r="H1320" s="2" t="str">
        <x:v>07</x:v>
      </x:c>
      <x:c r="I1320" s="2" t="str">
        <x:v>승인</x:v>
      </x:c>
      <x:c r="J1320" s="2" t="str">
        <x:v>심의승인</x:v>
      </x:c>
      <x:c r="K1320" s="2" t="str">
        <x:f>IF(OR(J1320="심의승인",J1320="반려",J1320="반려완료",J1320="심의완료"),"종결 표시",IF(OR(J1320="기후부협의",J1320="문서재제출요청",J1320="보류",J1320="보완요청",J1320="보완완료",J1320="평가중",J1320="반려요청",J1320="평가필요",LEFT(J1320,5)="보완요청("),"미종결 표시","상태 확인 필요"))</x:f>
        <x:v>종결 표시</x:v>
      </x:c>
      <x:c r="L1320" s="2"/>
      <x:c r="M1320" s="2"/>
      <x:c r="N1320" s="8" t="n">
        <x:f>DATE(2026,10,15)-DATE(2025,7,18)</x:f>
        <x:v>454</x:v>
      </x:c>
      <x:c r="O1320" s="2" t="str">
        <x:v>생략</x:v>
      </x:c>
      <x:c r="P1320" s="2"/>
      <x:c r="Q1320" s="2" t="str">
        <x:v>산업전환_외부사업관리Tool_260707_이너젠 수정_LJY_261013.xlsx</x:v>
      </x:c>
      <x:c r="R1320" s="2" t="str">
        <x:v>국내평가</x:v>
      </x:c>
      <x:c r="S1320" s="8" t="n">
        <x:v>1223</x:v>
      </x:c>
      <x:c r="T1320" s="2" t="str">
        <x:v>(8/8)</x:v>
      </x:c>
      <x:c r="U1320" s="2" t="str">
        <x:v>2025 배정: (8/8)</x:v>
      </x:c>
      <x:c r="V1320" s="2" t="str">
        <x:v>2025-12-11</x:v>
      </x:c>
      <x:c r="W1320" s="2" t="str">
        <x:v>담당기관 확인</x:v>
      </x:c>
      <x:c r="X1320" s="2" t="str">
        <x:v>원본·배정 기록 확인</x:v>
      </x:c>
      <x:c r="Y1320" s="2" t="str">
        <x:v>ad210cd9ec132cfd447541c8984dc53d30aff0f4fb2dc92d254d49275cc55976</x:v>
      </x:c>
      <x:c r="Z1320" s="2" t="n">
        <x:f>SUBTOTAL(103,A1320)</x:f>
        <x:v>1</x:v>
      </x:c>
      <x:c r="AA1320" s="2" t="str">
        <x:f>IF(K1320&lt;&gt;"미종결 표시","대상 아님",IF(N1320="","신청일 확인",IF(NOT(ISNUMBER('종합 현황'!$H$5)),"관찰기준 확인",IF('종합 현황'!$H$5&lt;1,"관찰기준 확인",IF(N1320&gt;'종합 현황'!$H$5,"내부 관찰 대상","내부 관찰일 이하")))))</x:f>
        <x:v>대상 아님</x:v>
      </x:c>
      <x:c r="AB1320" s="2"/>
    </x:row>
    <x:row r="1321" ht="42" customHeight="1">
      <x:c r="A1321" s="2" t="str">
        <x:v>e4bf04a5e51dc2c4d6070d21</x:v>
      </x:c>
      <x:c r="B1321" s="2" t="str">
        <x:v>사업 평가</x:v>
      </x:c>
      <x:c r="C1321" s="2" t="str">
        <x:v>국내</x:v>
      </x:c>
      <x:c r="D1321" s="7" t="str">
        <x:v>(주)신영금형 고효율 인버터 PM  Motor 공기압축기로 교체 사업</x:v>
      </x:c>
      <x:c r="E1321" s="2" t="str">
        <x:v>1182</x:v>
      </x:c>
      <x:c r="F1321" s="2" t="str">
        <x:v>2025-07-18</x:v>
      </x:c>
      <x:c r="G1321" s="2" t="str">
        <x:v>2025</x:v>
      </x:c>
      <x:c r="H1321" s="2" t="str">
        <x:v>07</x:v>
      </x:c>
      <x:c r="I1321" s="2" t="str">
        <x:v>보완1차_보완중</x:v>
      </x:c>
      <x:c r="J1321" s="2" t="str">
        <x:v>보완요청</x:v>
      </x:c>
      <x:c r="K1321" s="2" t="str">
        <x:f>IF(OR(J1321="심의승인",J1321="반려",J1321="반려완료",J1321="심의완료"),"종결 표시",IF(OR(J1321="기후부협의",J1321="문서재제출요청",J1321="보류",J1321="보완요청",J1321="보완완료",J1321="평가중",J1321="반려요청",J1321="평가필요",LEFT(J1321,5)="보완요청("),"미종결 표시","상태 확인 필요"))</x:f>
        <x:v>미종결 표시</x:v>
      </x:c>
      <x:c r="L1321" s="2"/>
      <x:c r="M1321" s="2" t="n">
        <x:v>1</x:v>
      </x:c>
      <x:c r="N1321" s="8" t="n">
        <x:f>DATE(2026,10,15)-DATE(2025,7,18)</x:f>
        <x:v>454</x:v>
      </x:c>
      <x:c r="O1321" s="2" t="str">
        <x:v>평가 후 결정</x:v>
      </x:c>
      <x:c r="P1321" s="2"/>
      <x:c r="Q1321" s="2" t="str">
        <x:v>산업전환_외부사업관리Tool_260707_이너젠 수정_LJY_261013.xlsx</x:v>
      </x:c>
      <x:c r="R1321" s="2" t="str">
        <x:v>국내평가</x:v>
      </x:c>
      <x:c r="S1321" s="8" t="n">
        <x:v>1224</x:v>
      </x:c>
      <x:c r="T1321" s="2" t="str">
        <x:v>(8/8)</x:v>
      </x:c>
      <x:c r="U1321" s="2" t="str">
        <x:v>2025 배정: (8/8)</x:v>
      </x:c>
      <x:c r="V1321" s="2" t="str">
        <x:v>2025-08-28</x:v>
      </x:c>
      <x:c r="W1321" s="2" t="str">
        <x:v>담당기관 확인</x:v>
      </x:c>
      <x:c r="X1321" s="2" t="str">
        <x:v>원본·배정 기록 확인</x:v>
      </x:c>
      <x:c r="Y1321" s="2" t="str">
        <x:v>ad210cd9ec132cfd447541c8984dc53d30aff0f4fb2dc92d254d49275cc55976</x:v>
      </x:c>
      <x:c r="Z1321" s="2" t="n">
        <x:f>SUBTOTAL(103,A1321)</x:f>
        <x:v>1</x:v>
      </x:c>
      <x:c r="AA1321" s="2" t="str">
        <x:f>IF(K1321&lt;&gt;"미종결 표시","대상 아님",IF(N1321="","신청일 확인",IF(NOT(ISNUMBER('종합 현황'!$H$5)),"관찰기준 확인",IF('종합 현황'!$H$5&lt;1,"관찰기준 확인",IF(N1321&gt;'종합 현황'!$H$5,"내부 관찰 대상","내부 관찰일 이하")))))</x:f>
        <x:v>내부 관찰 대상</x:v>
      </x:c>
      <x:c r="AB1321" s="2"/>
    </x:row>
    <x:row r="1322" ht="42" customHeight="1">
      <x:c r="A1322" s="2" t="str">
        <x:v>7c3fc9753ed106e171101cf0</x:v>
      </x:c>
      <x:c r="B1322" s="2" t="str">
        <x:v>사업 평가</x:v>
      </x:c>
      <x:c r="C1322" s="2" t="str">
        <x:v>국내</x:v>
      </x:c>
      <x:c r="D1322" s="7" t="str">
        <x:v>대전광역시 한빛아파트 보일러의 난방방식 전환(중앙난방→지역난방)을 통한 온실가스 배출 감축사업</x:v>
      </x:c>
      <x:c r="E1322" s="2" t="str">
        <x:v>1183</x:v>
      </x:c>
      <x:c r="F1322" s="2" t="str">
        <x:v>2025-08-01</x:v>
      </x:c>
      <x:c r="G1322" s="2" t="str">
        <x:v>2025</x:v>
      </x:c>
      <x:c r="H1322" s="2" t="str">
        <x:v>08</x:v>
      </x:c>
      <x:c r="I1322" s="2" t="str">
        <x:v>검토필요</x:v>
      </x:c>
      <x:c r="J1322" s="2" t="str">
        <x:v>반려</x:v>
      </x:c>
      <x:c r="K1322" s="2" t="str">
        <x:f>IF(OR(J1322="심의승인",J1322="반려",J1322="반려완료",J1322="심의완료"),"종결 표시",IF(OR(J1322="기후부협의",J1322="문서재제출요청",J1322="보류",J1322="보완요청",J1322="보완완료",J1322="평가중",J1322="반려요청",J1322="평가필요",LEFT(J1322,5)="보완요청("),"미종결 표시","상태 확인 필요"))</x:f>
        <x:v>종결 표시</x:v>
      </x:c>
      <x:c r="L1322" s="2"/>
      <x:c r="M1322" s="2"/>
      <x:c r="N1322" s="8" t="n">
        <x:f>DATE(2026,10,15)-DATE(2025,8,1)</x:f>
        <x:v>440</x:v>
      </x:c>
      <x:c r="O1322" s="2" t="str">
        <x:v>-</x:v>
      </x:c>
      <x:c r="P1322" s="2" t="str">
        <x:v>건물부문 방법론으로 관장기관 재지정(이후 산업부 DB에서 아예 없어졌으나 이력관리를 위해 유지)</x:v>
      </x:c>
      <x:c r="Q1322" s="2" t="str">
        <x:v>산업전환_외부사업관리Tool_260707_이너젠 수정_LJY_261013.xlsx</x:v>
      </x:c>
      <x:c r="R1322" s="2" t="str">
        <x:v>국내평가</x:v>
      </x:c>
      <x:c r="S1322" s="8" t="n">
        <x:v>1225</x:v>
      </x:c>
      <x:c r="T1322" s="2"/>
      <x:c r="U1322" s="2" t="str"/>
      <x:c r="V1322" s="2" t="str">
        <x:v>2025-08-01</x:v>
      </x:c>
      <x:c r="W1322" s="2" t="str">
        <x:v>담당기관 확인</x:v>
      </x:c>
      <x:c r="X1322" s="2" t="str">
        <x:v>원본·배정 기록 확인</x:v>
      </x:c>
      <x:c r="Y1322" s="2" t="str">
        <x:v>ad210cd9ec132cfd447541c8984dc53d30aff0f4fb2dc92d254d49275cc55976</x:v>
      </x:c>
      <x:c r="Z1322" s="2" t="n">
        <x:f>SUBTOTAL(103,A1322)</x:f>
        <x:v>1</x:v>
      </x:c>
      <x:c r="AA1322" s="2" t="str">
        <x:f>IF(K1322&lt;&gt;"미종결 표시","대상 아님",IF(N1322="","신청일 확인",IF(NOT(ISNUMBER('종합 현황'!$H$5)),"관찰기준 확인",IF('종합 현황'!$H$5&lt;1,"관찰기준 확인",IF(N1322&gt;'종합 현황'!$H$5,"내부 관찰 대상","내부 관찰일 이하")))))</x:f>
        <x:v>대상 아님</x:v>
      </x:c>
      <x:c r="AB1322" s="2"/>
    </x:row>
    <x:row r="1323" ht="42" customHeight="1">
      <x:c r="A1323" s="2" t="str">
        <x:v>baaec9b08d6b5ac4e6f33fa2</x:v>
      </x:c>
      <x:c r="B1323" s="2" t="str">
        <x:v>사업 평가</x:v>
      </x:c>
      <x:c r="C1323" s="2" t="str">
        <x:v>국내</x:v>
      </x:c>
      <x:c r="D1323" s="7" t="str">
        <x:v>새만금포항선 완주나들목 생활숲 조성 식생복구 사업</x:v>
      </x:c>
      <x:c r="E1323" s="2" t="str">
        <x:v>1184</x:v>
      </x:c>
      <x:c r="F1323" s="2" t="str">
        <x:v>2025-08-20</x:v>
      </x:c>
      <x:c r="G1323" s="2" t="str">
        <x:v>2025</x:v>
      </x:c>
      <x:c r="H1323" s="2" t="str">
        <x:v>08</x:v>
      </x:c>
      <x:c r="I1323" s="2" t="str">
        <x:v>검토필요</x:v>
      </x:c>
      <x:c r="J1323" s="2" t="str">
        <x:v>반려</x:v>
      </x:c>
      <x:c r="K1323" s="2" t="str">
        <x:f>IF(OR(J1323="심의승인",J1323="반려",J1323="반려완료",J1323="심의완료"),"종결 표시",IF(OR(J1323="기후부협의",J1323="문서재제출요청",J1323="보류",J1323="보완요청",J1323="보완완료",J1323="평가중",J1323="반려요청",J1323="평가필요",LEFT(J1323,5)="보완요청("),"미종결 표시","상태 확인 필요"))</x:f>
        <x:v>종결 표시</x:v>
      </x:c>
      <x:c r="L1323" s="2"/>
      <x:c r="M1323" s="2"/>
      <x:c r="N1323" s="8" t="n">
        <x:f>DATE(2026,10,15)-DATE(2025,8,20)</x:f>
        <x:v>421</x:v>
      </x:c>
      <x:c r="O1323" s="2" t="str">
        <x:v>-</x:v>
      </x:c>
      <x:c r="P1323" s="2" t="str">
        <x:v>건물부문 방법론으로 관장기관 재지정(이후 산업부 DB에서 아예 없어졌으나 이력관리를 위해 유지)</x:v>
      </x:c>
      <x:c r="Q1323" s="2" t="str">
        <x:v>산업전환_외부사업관리Tool_260707_이너젠 수정_LJY_261013.xlsx</x:v>
      </x:c>
      <x:c r="R1323" s="2" t="str">
        <x:v>국내평가</x:v>
      </x:c>
      <x:c r="S1323" s="8" t="n">
        <x:v>1226</x:v>
      </x:c>
      <x:c r="T1323" s="2"/>
      <x:c r="U1323" s="2" t="str"/>
      <x:c r="V1323" s="2" t="str">
        <x:v>2025-08-20</x:v>
      </x:c>
      <x:c r="W1323" s="2" t="str">
        <x:v>담당기관 확인</x:v>
      </x:c>
      <x:c r="X1323" s="2" t="str">
        <x:v>원본·배정 기록 확인</x:v>
      </x:c>
      <x:c r="Y1323" s="2" t="str">
        <x:v>ad210cd9ec132cfd447541c8984dc53d30aff0f4fb2dc92d254d49275cc55976</x:v>
      </x:c>
      <x:c r="Z1323" s="2" t="n">
        <x:f>SUBTOTAL(103,A1323)</x:f>
        <x:v>1</x:v>
      </x:c>
      <x:c r="AA1323" s="2" t="str">
        <x:f>IF(K1323&lt;&gt;"미종결 표시","대상 아님",IF(N1323="","신청일 확인",IF(NOT(ISNUMBER('종합 현황'!$H$5)),"관찰기준 확인",IF('종합 현황'!$H$5&lt;1,"관찰기준 확인",IF(N1323&gt;'종합 현황'!$H$5,"내부 관찰 대상","내부 관찰일 이하")))))</x:f>
        <x:v>대상 아님</x:v>
      </x:c>
      <x:c r="AB1323" s="2"/>
    </x:row>
    <x:row r="1324" ht="42" customHeight="1">
      <x:c r="A1324" s="2" t="str">
        <x:v>5be3315f1c6bc43219843a17</x:v>
      </x:c>
      <x:c r="B1324" s="2" t="str">
        <x:v>사업 평가</x:v>
      </x:c>
      <x:c r="C1324" s="2" t="str">
        <x:v>국내</x:v>
      </x:c>
      <x:c r="D1324" s="7" t="str">
        <x:v>호남선 익산분기점 생활숲 조성 식생복구 사업</x:v>
      </x:c>
      <x:c r="E1324" s="2" t="str">
        <x:v>1185</x:v>
      </x:c>
      <x:c r="F1324" s="2" t="str">
        <x:v>2025-08-20</x:v>
      </x:c>
      <x:c r="G1324" s="2" t="str">
        <x:v>2025</x:v>
      </x:c>
      <x:c r="H1324" s="2" t="str">
        <x:v>08</x:v>
      </x:c>
      <x:c r="I1324" s="2" t="str">
        <x:v>검토필요</x:v>
      </x:c>
      <x:c r="J1324" s="2" t="str">
        <x:v>반려</x:v>
      </x:c>
      <x:c r="K1324" s="2" t="str">
        <x:f>IF(OR(J1324="심의승인",J1324="반려",J1324="반려완료",J1324="심의완료"),"종결 표시",IF(OR(J1324="기후부협의",J1324="문서재제출요청",J1324="보류",J1324="보완요청",J1324="보완완료",J1324="평가중",J1324="반려요청",J1324="평가필요",LEFT(J1324,5)="보완요청("),"미종결 표시","상태 확인 필요"))</x:f>
        <x:v>종결 표시</x:v>
      </x:c>
      <x:c r="L1324" s="2"/>
      <x:c r="M1324" s="2"/>
      <x:c r="N1324" s="8" t="n">
        <x:f>DATE(2026,10,15)-DATE(2025,8,20)</x:f>
        <x:v>421</x:v>
      </x:c>
      <x:c r="O1324" s="2" t="str">
        <x:v>-</x:v>
      </x:c>
      <x:c r="P1324" s="2" t="str">
        <x:v>건물부문 방법론으로 관장기관 재지정(이후 산업부 DB에서 아예 없어졌으나 이력관리를 위해 유지)</x:v>
      </x:c>
      <x:c r="Q1324" s="2" t="str">
        <x:v>산업전환_외부사업관리Tool_260707_이너젠 수정_LJY_261013.xlsx</x:v>
      </x:c>
      <x:c r="R1324" s="2" t="str">
        <x:v>국내평가</x:v>
      </x:c>
      <x:c r="S1324" s="8" t="n">
        <x:v>1227</x:v>
      </x:c>
      <x:c r="T1324" s="2"/>
      <x:c r="U1324" s="2" t="str"/>
      <x:c r="V1324" s="2" t="str">
        <x:v>2025-08-20</x:v>
      </x:c>
      <x:c r="W1324" s="2" t="str">
        <x:v>담당기관 확인</x:v>
      </x:c>
      <x:c r="X1324" s="2" t="str">
        <x:v>원본·배정 기록 확인</x:v>
      </x:c>
      <x:c r="Y1324" s="2" t="str">
        <x:v>ad210cd9ec132cfd447541c8984dc53d30aff0f4fb2dc92d254d49275cc55976</x:v>
      </x:c>
      <x:c r="Z1324" s="2" t="n">
        <x:f>SUBTOTAL(103,A1324)</x:f>
        <x:v>1</x:v>
      </x:c>
      <x:c r="AA1324" s="2" t="str">
        <x:f>IF(K1324&lt;&gt;"미종결 표시","대상 아님",IF(N1324="","신청일 확인",IF(NOT(ISNUMBER('종합 현황'!$H$5)),"관찰기준 확인",IF('종합 현황'!$H$5&lt;1,"관찰기준 확인",IF(N1324&gt;'종합 현황'!$H$5,"내부 관찰 대상","내부 관찰일 이하")))))</x:f>
        <x:v>대상 아님</x:v>
      </x:c>
      <x:c r="AB1324" s="2"/>
    </x:row>
    <x:row r="1325" ht="42" customHeight="1">
      <x:c r="A1325" s="2" t="str">
        <x:v>f07f5eae76665b9e1d6baebf</x:v>
      </x:c>
      <x:c r="B1325" s="2" t="str">
        <x:v>사업 평가</x:v>
      </x:c>
      <x:c r="C1325" s="2" t="str">
        <x:v>국내</x:v>
      </x:c>
      <x:c r="D1325" s="7" t="str">
        <x:v>㈜경북환경 연료전환(B-C유→ LPG)을 통한 온실가스 배출 감축사업</x:v>
      </x:c>
      <x:c r="E1325" s="2" t="str">
        <x:v>1186</x:v>
      </x:c>
      <x:c r="F1325" s="2" t="str">
        <x:v>2025-08-11</x:v>
      </x:c>
      <x:c r="G1325" s="2" t="str">
        <x:v>2025</x:v>
      </x:c>
      <x:c r="H1325" s="2" t="str">
        <x:v>08</x:v>
      </x:c>
      <x:c r="I1325" s="2" t="str">
        <x:v>반려</x:v>
      </x:c>
      <x:c r="J1325" s="2" t="str">
        <x:v>반려</x:v>
      </x:c>
      <x:c r="K1325" s="2" t="str">
        <x:f>IF(OR(J1325="심의승인",J1325="반려",J1325="반려완료",J1325="심의완료"),"종결 표시",IF(OR(J1325="기후부협의",J1325="문서재제출요청",J1325="보류",J1325="보완요청",J1325="보완완료",J1325="평가중",J1325="반려요청",J1325="평가필요",LEFT(J1325,5)="보완요청("),"미종결 표시","상태 확인 필요"))</x:f>
        <x:v>종결 표시</x:v>
      </x:c>
      <x:c r="L1325" s="2"/>
      <x:c r="M1325" s="2"/>
      <x:c r="N1325" s="8" t="n">
        <x:f>DATE(2026,10,15)-DATE(2025,8,11)</x:f>
        <x:v>430</x:v>
      </x:c>
      <x:c r="O1325" s="2"/>
      <x:c r="P1325" s="2"/>
      <x:c r="Q1325" s="2" t="str">
        <x:v>산업전환_외부사업관리Tool_260707_이너젠 수정_LJY_261013.xlsx</x:v>
      </x:c>
      <x:c r="R1325" s="2" t="str">
        <x:v>국내평가</x:v>
      </x:c>
      <x:c r="S1325" s="8" t="n">
        <x:v>1228</x:v>
      </x:c>
      <x:c r="T1325" s="2"/>
      <x:c r="U1325" s="2" t="str"/>
      <x:c r="V1325" s="2" t="str">
        <x:v>2026-02-06</x:v>
      </x:c>
      <x:c r="W1325" s="2" t="str">
        <x:v>담당기관 확인</x:v>
      </x:c>
      <x:c r="X1325" s="2" t="str">
        <x:v>원본·배정 기록 확인</x:v>
      </x:c>
      <x:c r="Y1325" s="2" t="str">
        <x:v>ad210cd9ec132cfd447541c8984dc53d30aff0f4fb2dc92d254d49275cc55976</x:v>
      </x:c>
      <x:c r="Z1325" s="2" t="n">
        <x:f>SUBTOTAL(103,A1325)</x:f>
        <x:v>1</x:v>
      </x:c>
      <x:c r="AA1325" s="2" t="str">
        <x:f>IF(K1325&lt;&gt;"미종결 표시","대상 아님",IF(N1325="","신청일 확인",IF(NOT(ISNUMBER('종합 현황'!$H$5)),"관찰기준 확인",IF('종합 현황'!$H$5&lt;1,"관찰기준 확인",IF(N1325&gt;'종합 현황'!$H$5,"내부 관찰 대상","내부 관찰일 이하")))))</x:f>
        <x:v>대상 아님</x:v>
      </x:c>
      <x:c r="AB1325" s="2"/>
    </x:row>
    <x:row r="1326" ht="42" customHeight="1">
      <x:c r="A1326" s="2" t="str">
        <x:v>bace29f3f967371cf5ffe385</x:v>
      </x:c>
      <x:c r="B1326" s="2" t="str">
        <x:v>사업 평가</x:v>
      </x:c>
      <x:c r="C1326" s="2" t="str">
        <x:v>국내</x:v>
      </x:c>
      <x:c r="D1326" s="7" t="str">
        <x:v>(주)래치원 인버터 공기압축기 교체를 통한 온실가스 감축사업</x:v>
      </x:c>
      <x:c r="E1326" s="2" t="str">
        <x:v>1187</x:v>
      </x:c>
      <x:c r="F1326" s="2" t="str">
        <x:v>2025-11-11</x:v>
      </x:c>
      <x:c r="G1326" s="2" t="str">
        <x:v>2025</x:v>
      </x:c>
      <x:c r="H1326" s="2" t="str">
        <x:v>11</x:v>
      </x:c>
      <x:c r="I1326" s="2" t="str">
        <x:v>보완1차_보완중</x:v>
      </x:c>
      <x:c r="J1326" s="2" t="str">
        <x:v>보완요청</x:v>
      </x:c>
      <x:c r="K1326" s="2" t="str">
        <x:f>IF(OR(J1326="심의승인",J1326="반려",J1326="반려완료",J1326="심의완료"),"종결 표시",IF(OR(J1326="기후부협의",J1326="문서재제출요청",J1326="보류",J1326="보완요청",J1326="보완완료",J1326="평가중",J1326="반려요청",J1326="평가필요",LEFT(J1326,5)="보완요청("),"미종결 표시","상태 확인 필요"))</x:f>
        <x:v>미종결 표시</x:v>
      </x:c>
      <x:c r="L1326" s="2"/>
      <x:c r="M1326" s="2" t="n">
        <x:v>1</x:v>
      </x:c>
      <x:c r="N1326" s="8" t="n">
        <x:f>DATE(2026,10,15)-DATE(2025,11,11)</x:f>
        <x:v>338</x:v>
      </x:c>
      <x:c r="O1326" s="2" t="str">
        <x:v>평가 후 결정</x:v>
      </x:c>
      <x:c r="P1326" s="2"/>
      <x:c r="Q1326" s="2" t="str">
        <x:v>산업전환_외부사업관리Tool_260707_이너젠 수정_LJY_261013.xlsx</x:v>
      </x:c>
      <x:c r="R1326" s="2" t="str">
        <x:v>국내평가</x:v>
      </x:c>
      <x:c r="S1326" s="8" t="n">
        <x:v>1229</x:v>
      </x:c>
      <x:c r="T1326" s="2" t="str">
        <x:v>(12/1)</x:v>
      </x:c>
      <x:c r="U1326" s="2" t="str">
        <x:v>2025 배정: (12/1)</x:v>
      </x:c>
      <x:c r="V1326" s="2" t="str">
        <x:v>2025-12-09</x:v>
      </x:c>
      <x:c r="W1326" s="2" t="str">
        <x:v>담당기관 확인</x:v>
      </x:c>
      <x:c r="X1326" s="2" t="str">
        <x:v>원본·배정 기록 확인</x:v>
      </x:c>
      <x:c r="Y1326" s="2" t="str">
        <x:v>ad210cd9ec132cfd447541c8984dc53d30aff0f4fb2dc92d254d49275cc55976</x:v>
      </x:c>
      <x:c r="Z1326" s="2" t="n">
        <x:f>SUBTOTAL(103,A1326)</x:f>
        <x:v>1</x:v>
      </x:c>
      <x:c r="AA1326" s="2" t="str">
        <x:f>IF(K1326&lt;&gt;"미종결 표시","대상 아님",IF(N1326="","신청일 확인",IF(NOT(ISNUMBER('종합 현황'!$H$5)),"관찰기준 확인",IF('종합 현황'!$H$5&lt;1,"관찰기준 확인",IF(N1326&gt;'종합 현황'!$H$5,"내부 관찰 대상","내부 관찰일 이하")))))</x:f>
        <x:v>내부 관찰 대상</x:v>
      </x:c>
      <x:c r="AB1326" s="2"/>
    </x:row>
    <x:row r="1327" ht="42" customHeight="1">
      <x:c r="A1327" s="2" t="str">
        <x:v>9f37e989d356e018b15924b7</x:v>
      </x:c>
      <x:c r="B1327" s="2" t="str">
        <x:v>사업 평가</x:v>
      </x:c>
      <x:c r="C1327" s="2" t="str">
        <x:v>국내</x:v>
      </x:c>
      <x:c r="D1327" s="7" t="str">
        <x:v>(주)동해로씨푸드 인버터 공기압축기 교체를 통한 온실가스 감축사업</x:v>
      </x:c>
      <x:c r="E1327" s="2" t="str">
        <x:v>1188</x:v>
      </x:c>
      <x:c r="F1327" s="2" t="str">
        <x:v>2025-11-11</x:v>
      </x:c>
      <x:c r="G1327" s="2" t="str">
        <x:v>2025</x:v>
      </x:c>
      <x:c r="H1327" s="2" t="str">
        <x:v>11</x:v>
      </x:c>
      <x:c r="I1327" s="2" t="str">
        <x:v>보완2차_보완중</x:v>
      </x:c>
      <x:c r="J1327" s="2" t="str">
        <x:v>보완요청</x:v>
      </x:c>
      <x:c r="K1327" s="2" t="str">
        <x:f>IF(OR(J1327="심의승인",J1327="반려",J1327="반려완료",J1327="심의완료"),"종결 표시",IF(OR(J1327="기후부협의",J1327="문서재제출요청",J1327="보류",J1327="보완요청",J1327="보완완료",J1327="평가중",J1327="반려요청",J1327="평가필요",LEFT(J1327,5)="보완요청("),"미종결 표시","상태 확인 필요"))</x:f>
        <x:v>미종결 표시</x:v>
      </x:c>
      <x:c r="L1327" s="2"/>
      <x:c r="M1327" s="2" t="n">
        <x:v>2</x:v>
      </x:c>
      <x:c r="N1327" s="8" t="n">
        <x:f>DATE(2026,10,15)-DATE(2025,11,11)</x:f>
        <x:v>338</x:v>
      </x:c>
      <x:c r="O1327" s="2" t="str">
        <x:v>평가 후 결정</x:v>
      </x:c>
      <x:c r="P1327" s="2"/>
      <x:c r="Q1327" s="2" t="str">
        <x:v>산업전환_외부사업관리Tool_260707_이너젠 수정_LJY_261013.xlsx</x:v>
      </x:c>
      <x:c r="R1327" s="2" t="str">
        <x:v>국내평가</x:v>
      </x:c>
      <x:c r="S1327" s="8" t="n">
        <x:v>1230</x:v>
      </x:c>
      <x:c r="T1327" s="2" t="str">
        <x:v>(12/1)</x:v>
      </x:c>
      <x:c r="U1327" s="2" t="str">
        <x:v>2025 배정: (12/1) / 2026(사전): (5/26)</x:v>
      </x:c>
      <x:c r="V1327" s="2" t="str">
        <x:v>2026-06-02</x:v>
      </x:c>
      <x:c r="W1327" s="2" t="str">
        <x:v>담당기관 확인</x:v>
      </x:c>
      <x:c r="X1327" s="2" t="str">
        <x:v>원본·배정 기록 확인</x:v>
      </x:c>
      <x:c r="Y1327" s="2" t="str">
        <x:v>ad210cd9ec132cfd447541c8984dc53d30aff0f4fb2dc92d254d49275cc55976</x:v>
      </x:c>
      <x:c r="Z1327" s="2" t="n">
        <x:f>SUBTOTAL(103,A1327)</x:f>
        <x:v>1</x:v>
      </x:c>
      <x:c r="AA1327" s="2" t="str">
        <x:f>IF(K1327&lt;&gt;"미종결 표시","대상 아님",IF(N1327="","신청일 확인",IF(NOT(ISNUMBER('종합 현황'!$H$5)),"관찰기준 확인",IF('종합 현황'!$H$5&lt;1,"관찰기준 확인",IF(N1327&gt;'종합 현황'!$H$5,"내부 관찰 대상","내부 관찰일 이하")))))</x:f>
        <x:v>내부 관찰 대상</x:v>
      </x:c>
      <x:c r="AB1327" s="2"/>
    </x:row>
    <x:row r="1328" ht="42" customHeight="1">
      <x:c r="A1328" s="2" t="str">
        <x:v>54a36f6522b9050abb60458f</x:v>
      </x:c>
      <x:c r="B1328" s="2" t="str">
        <x:v>사업 평가</x:v>
      </x:c>
      <x:c r="C1328" s="2" t="str">
        <x:v>국내</x:v>
      </x:c>
      <x:c r="D1328" s="7" t="str">
        <x:v>선후정밀 인버터 공기압축기 교체를 통한 온실가스 감축사업</x:v>
      </x:c>
      <x:c r="E1328" s="2" t="str">
        <x:v>1189</x:v>
      </x:c>
      <x:c r="F1328" s="2" t="str">
        <x:v>2025-11-11</x:v>
      </x:c>
      <x:c r="G1328" s="2" t="str">
        <x:v>2025</x:v>
      </x:c>
      <x:c r="H1328" s="2" t="str">
        <x:v>11</x:v>
      </x:c>
      <x:c r="I1328" s="2" t="str">
        <x:v>보완1차_보완중</x:v>
      </x:c>
      <x:c r="J1328" s="2" t="str">
        <x:v>보완요청</x:v>
      </x:c>
      <x:c r="K1328" s="2" t="str">
        <x:f>IF(OR(J1328="심의승인",J1328="반려",J1328="반려완료",J1328="심의완료"),"종결 표시",IF(OR(J1328="기후부협의",J1328="문서재제출요청",J1328="보류",J1328="보완요청",J1328="보완완료",J1328="평가중",J1328="반려요청",J1328="평가필요",LEFT(J1328,5)="보완요청("),"미종결 표시","상태 확인 필요"))</x:f>
        <x:v>미종결 표시</x:v>
      </x:c>
      <x:c r="L1328" s="2"/>
      <x:c r="M1328" s="2" t="n">
        <x:v>1</x:v>
      </x:c>
      <x:c r="N1328" s="8" t="n">
        <x:f>DATE(2026,10,15)-DATE(2025,11,11)</x:f>
        <x:v>338</x:v>
      </x:c>
      <x:c r="O1328" s="2" t="str">
        <x:v>평가 후 결정</x:v>
      </x:c>
      <x:c r="P1328" s="2"/>
      <x:c r="Q1328" s="2" t="str">
        <x:v>산업전환_외부사업관리Tool_260707_이너젠 수정_LJY_261013.xlsx</x:v>
      </x:c>
      <x:c r="R1328" s="2" t="str">
        <x:v>국내평가</x:v>
      </x:c>
      <x:c r="S1328" s="8" t="n">
        <x:v>1231</x:v>
      </x:c>
      <x:c r="T1328" s="2" t="str">
        <x:v>(12/1)</x:v>
      </x:c>
      <x:c r="U1328" s="2" t="str">
        <x:v>2025 배정: (12/1)</x:v>
      </x:c>
      <x:c r="V1328" s="2" t="str">
        <x:v>2025-12-09</x:v>
      </x:c>
      <x:c r="W1328" s="2" t="str">
        <x:v>담당기관 확인</x:v>
      </x:c>
      <x:c r="X1328" s="2" t="str">
        <x:v>원본·배정 기록 확인</x:v>
      </x:c>
      <x:c r="Y1328" s="2" t="str">
        <x:v>ad210cd9ec132cfd447541c8984dc53d30aff0f4fb2dc92d254d49275cc55976</x:v>
      </x:c>
      <x:c r="Z1328" s="2" t="n">
        <x:f>SUBTOTAL(103,A1328)</x:f>
        <x:v>1</x:v>
      </x:c>
      <x:c r="AA1328" s="2" t="str">
        <x:f>IF(K1328&lt;&gt;"미종결 표시","대상 아님",IF(N1328="","신청일 확인",IF(NOT(ISNUMBER('종합 현황'!$H$5)),"관찰기준 확인",IF('종합 현황'!$H$5&lt;1,"관찰기준 확인",IF(N1328&gt;'종합 현황'!$H$5,"내부 관찰 대상","내부 관찰일 이하")))))</x:f>
        <x:v>내부 관찰 대상</x:v>
      </x:c>
      <x:c r="AB1328" s="2"/>
    </x:row>
    <x:row r="1329" ht="42" customHeight="1">
      <x:c r="A1329" s="2" t="str">
        <x:v>fb4e45fa5ff2afc5986e8e38</x:v>
      </x:c>
      <x:c r="B1329" s="2" t="str">
        <x:v>사업 평가</x:v>
      </x:c>
      <x:c r="C1329" s="2" t="str">
        <x:v>국내</x:v>
      </x:c>
      <x:c r="D1329" s="7" t="str">
        <x:v>성창사 고효율 보일러 교체를 통한 온실가스 감축사업</x:v>
      </x:c>
      <x:c r="E1329" s="2" t="str">
        <x:v>1190</x:v>
      </x:c>
      <x:c r="F1329" s="2" t="str">
        <x:v>2025-11-13</x:v>
      </x:c>
      <x:c r="G1329" s="2" t="str">
        <x:v>2025</x:v>
      </x:c>
      <x:c r="H1329" s="2" t="str">
        <x:v>11</x:v>
      </x:c>
      <x:c r="I1329" s="2" t="str">
        <x:v>보완1차_보완중</x:v>
      </x:c>
      <x:c r="J1329" s="2" t="str">
        <x:v>보완요청</x:v>
      </x:c>
      <x:c r="K1329" s="2" t="str">
        <x:f>IF(OR(J1329="심의승인",J1329="반려",J1329="반려완료",J1329="심의완료"),"종결 표시",IF(OR(J1329="기후부협의",J1329="문서재제출요청",J1329="보류",J1329="보완요청",J1329="보완완료",J1329="평가중",J1329="반려요청",J1329="평가필요",LEFT(J1329,5)="보완요청("),"미종결 표시","상태 확인 필요"))</x:f>
        <x:v>미종결 표시</x:v>
      </x:c>
      <x:c r="L1329" s="2"/>
      <x:c r="M1329" s="2" t="n">
        <x:v>1</x:v>
      </x:c>
      <x:c r="N1329" s="8" t="n">
        <x:f>DATE(2026,10,15)-DATE(2025,11,13)</x:f>
        <x:v>336</x:v>
      </x:c>
      <x:c r="O1329" s="2" t="str">
        <x:v>평가 후 결정</x:v>
      </x:c>
      <x:c r="P1329" s="2"/>
      <x:c r="Q1329" s="2" t="str">
        <x:v>산업전환_외부사업관리Tool_260707_이너젠 수정_LJY_261013.xlsx</x:v>
      </x:c>
      <x:c r="R1329" s="2" t="str">
        <x:v>국내평가</x:v>
      </x:c>
      <x:c r="S1329" s="8" t="n">
        <x:v>1232</x:v>
      </x:c>
      <x:c r="T1329" s="2" t="str">
        <x:v>(12/1)</x:v>
      </x:c>
      <x:c r="U1329" s="2" t="str">
        <x:v>2025 배정: (12/1)</x:v>
      </x:c>
      <x:c r="V1329" s="2" t="str">
        <x:v>2025-12-11</x:v>
      </x:c>
      <x:c r="W1329" s="2" t="str">
        <x:v>담당기관 확인</x:v>
      </x:c>
      <x:c r="X1329" s="2" t="str">
        <x:v>원본·배정 기록 확인</x:v>
      </x:c>
      <x:c r="Y1329" s="2" t="str">
        <x:v>ad210cd9ec132cfd447541c8984dc53d30aff0f4fb2dc92d254d49275cc55976</x:v>
      </x:c>
      <x:c r="Z1329" s="2" t="n">
        <x:f>SUBTOTAL(103,A1329)</x:f>
        <x:v>1</x:v>
      </x:c>
      <x:c r="AA1329" s="2" t="str">
        <x:f>IF(K1329&lt;&gt;"미종결 표시","대상 아님",IF(N1329="","신청일 확인",IF(NOT(ISNUMBER('종합 현황'!$H$5)),"관찰기준 확인",IF('종합 현황'!$H$5&lt;1,"관찰기준 확인",IF(N1329&gt;'종합 현황'!$H$5,"내부 관찰 대상","내부 관찰일 이하")))))</x:f>
        <x:v>내부 관찰 대상</x:v>
      </x:c>
      <x:c r="AB1329" s="2"/>
    </x:row>
    <x:row r="1330" ht="42" customHeight="1">
      <x:c r="A1330" s="2" t="str">
        <x:v>bed7f59a36e01da74b2fc51b</x:v>
      </x:c>
      <x:c r="B1330" s="2" t="str">
        <x:v>사업 평가</x:v>
      </x:c>
      <x:c r="C1330" s="2" t="str">
        <x:v>국내</x:v>
      </x:c>
      <x:c r="D1330" s="7" t="str">
        <x:v>주식회사 태원정공 인버터 공기압축기 교체를 통한 온실가스 감축사업</x:v>
      </x:c>
      <x:c r="E1330" s="2" t="str">
        <x:v>1191</x:v>
      </x:c>
      <x:c r="F1330" s="2" t="str">
        <x:v>2025-11-14</x:v>
      </x:c>
      <x:c r="G1330" s="2" t="str">
        <x:v>2025</x:v>
      </x:c>
      <x:c r="H1330" s="2" t="str">
        <x:v>11</x:v>
      </x:c>
      <x:c r="I1330" s="2" t="str">
        <x:v>보완1차_보완중</x:v>
      </x:c>
      <x:c r="J1330" s="2" t="str">
        <x:v>보완요청</x:v>
      </x:c>
      <x:c r="K1330" s="2" t="str">
        <x:f>IF(OR(J1330="심의승인",J1330="반려",J1330="반려완료",J1330="심의완료"),"종결 표시",IF(OR(J1330="기후부협의",J1330="문서재제출요청",J1330="보류",J1330="보완요청",J1330="보완완료",J1330="평가중",J1330="반려요청",J1330="평가필요",LEFT(J1330,5)="보완요청("),"미종결 표시","상태 확인 필요"))</x:f>
        <x:v>미종결 표시</x:v>
      </x:c>
      <x:c r="L1330" s="2"/>
      <x:c r="M1330" s="2" t="n">
        <x:v>1</x:v>
      </x:c>
      <x:c r="N1330" s="8" t="n">
        <x:f>DATE(2026,10,15)-DATE(2025,11,14)</x:f>
        <x:v>335</x:v>
      </x:c>
      <x:c r="O1330" s="2" t="str">
        <x:v>평가 후 결정</x:v>
      </x:c>
      <x:c r="P1330" s="2"/>
      <x:c r="Q1330" s="2" t="str">
        <x:v>산업전환_외부사업관리Tool_260707_이너젠 수정_LJY_261013.xlsx</x:v>
      </x:c>
      <x:c r="R1330" s="2" t="str">
        <x:v>국내평가</x:v>
      </x:c>
      <x:c r="S1330" s="8" t="n">
        <x:v>1233</x:v>
      </x:c>
      <x:c r="T1330" s="2" t="str">
        <x:v>(12/1)</x:v>
      </x:c>
      <x:c r="U1330" s="2" t="str">
        <x:v>2025 배정: (12/1)</x:v>
      </x:c>
      <x:c r="V1330" s="2" t="str">
        <x:v>2025-12-11</x:v>
      </x:c>
      <x:c r="W1330" s="2" t="str">
        <x:v>담당기관 확인</x:v>
      </x:c>
      <x:c r="X1330" s="2" t="str">
        <x:v>원본·배정 기록 확인</x:v>
      </x:c>
      <x:c r="Y1330" s="2" t="str">
        <x:v>ad210cd9ec132cfd447541c8984dc53d30aff0f4fb2dc92d254d49275cc55976</x:v>
      </x:c>
      <x:c r="Z1330" s="2" t="n">
        <x:f>SUBTOTAL(103,A1330)</x:f>
        <x:v>1</x:v>
      </x:c>
      <x:c r="AA1330" s="2" t="str">
        <x:f>IF(K1330&lt;&gt;"미종결 표시","대상 아님",IF(N1330="","신청일 확인",IF(NOT(ISNUMBER('종합 현황'!$H$5)),"관찰기준 확인",IF('종합 현황'!$H$5&lt;1,"관찰기준 확인",IF(N1330&gt;'종합 현황'!$H$5,"내부 관찰 대상","내부 관찰일 이하")))))</x:f>
        <x:v>내부 관찰 대상</x:v>
      </x:c>
      <x:c r="AB1330" s="2"/>
    </x:row>
    <x:row r="1331" ht="42" customHeight="1">
      <x:c r="A1331" s="2" t="str">
        <x:v>e45338e6d669258e853e722a</x:v>
      </x:c>
      <x:c r="B1331" s="2" t="str">
        <x:v>사업 평가</x:v>
      </x:c>
      <x:c r="C1331" s="2" t="str">
        <x:v>국내</x:v>
      </x:c>
      <x:c r="D1331" s="7" t="str">
        <x:v>(주)아즈텍더블유비이 인버터 공기압축기 교체를 통한 온실가스 감축사업</x:v>
      </x:c>
      <x:c r="E1331" s="2" t="str">
        <x:v>1192</x:v>
      </x:c>
      <x:c r="F1331" s="2" t="str">
        <x:v>2025-11-14</x:v>
      </x:c>
      <x:c r="G1331" s="2" t="str">
        <x:v>2025</x:v>
      </x:c>
      <x:c r="H1331" s="2" t="str">
        <x:v>11</x:v>
      </x:c>
      <x:c r="I1331" s="2" t="str">
        <x:v>보완1차_보완중</x:v>
      </x:c>
      <x:c r="J1331" s="2" t="str">
        <x:v>보완요청</x:v>
      </x:c>
      <x:c r="K1331" s="2" t="str">
        <x:f>IF(OR(J1331="심의승인",J1331="반려",J1331="반려완료",J1331="심의완료"),"종결 표시",IF(OR(J1331="기후부협의",J1331="문서재제출요청",J1331="보류",J1331="보완요청",J1331="보완완료",J1331="평가중",J1331="반려요청",J1331="평가필요",LEFT(J1331,5)="보완요청("),"미종결 표시","상태 확인 필요"))</x:f>
        <x:v>미종결 표시</x:v>
      </x:c>
      <x:c r="L1331" s="2"/>
      <x:c r="M1331" s="2" t="n">
        <x:v>1</x:v>
      </x:c>
      <x:c r="N1331" s="8" t="n">
        <x:f>DATE(2026,10,15)-DATE(2025,11,14)</x:f>
        <x:v>335</x:v>
      </x:c>
      <x:c r="O1331" s="2" t="str">
        <x:v>평가 후 결정</x:v>
      </x:c>
      <x:c r="P1331" s="2"/>
      <x:c r="Q1331" s="2" t="str">
        <x:v>산업전환_외부사업관리Tool_260707_이너젠 수정_LJY_261013.xlsx</x:v>
      </x:c>
      <x:c r="R1331" s="2" t="str">
        <x:v>국내평가</x:v>
      </x:c>
      <x:c r="S1331" s="8" t="n">
        <x:v>1234</x:v>
      </x:c>
      <x:c r="T1331" s="2" t="str">
        <x:v>(12/1)</x:v>
      </x:c>
      <x:c r="U1331" s="2" t="str">
        <x:v>2025 배정: (12/1)</x:v>
      </x:c>
      <x:c r="V1331" s="2" t="str">
        <x:v>2025-12-04</x:v>
      </x:c>
      <x:c r="W1331" s="2" t="str">
        <x:v>담당기관 확인</x:v>
      </x:c>
      <x:c r="X1331" s="2" t="str">
        <x:v>원본·배정 기록 확인</x:v>
      </x:c>
      <x:c r="Y1331" s="2" t="str">
        <x:v>ad210cd9ec132cfd447541c8984dc53d30aff0f4fb2dc92d254d49275cc55976</x:v>
      </x:c>
      <x:c r="Z1331" s="2" t="n">
        <x:f>SUBTOTAL(103,A1331)</x:f>
        <x:v>1</x:v>
      </x:c>
      <x:c r="AA1331" s="2" t="str">
        <x:f>IF(K1331&lt;&gt;"미종결 표시","대상 아님",IF(N1331="","신청일 확인",IF(NOT(ISNUMBER('종합 현황'!$H$5)),"관찰기준 확인",IF('종합 현황'!$H$5&lt;1,"관찰기준 확인",IF(N1331&gt;'종합 현황'!$H$5,"내부 관찰 대상","내부 관찰일 이하")))))</x:f>
        <x:v>내부 관찰 대상</x:v>
      </x:c>
      <x:c r="AB1331" s="2"/>
    </x:row>
    <x:row r="1332" ht="42" customHeight="1">
      <x:c r="A1332" s="2" t="str">
        <x:v>82487f5419a1e7f5103bf8ae</x:v>
      </x:c>
      <x:c r="B1332" s="2" t="str">
        <x:v>사업 평가</x:v>
      </x:c>
      <x:c r="C1332" s="2" t="str">
        <x:v>국내</x:v>
      </x:c>
      <x:c r="D1332" s="7" t="str">
        <x:v>부곡스텐레스(주) 인버터 공기압축기 교체를 통한 온실가스 감축사업</x:v>
      </x:c>
      <x:c r="E1332" s="2" t="str">
        <x:v>1193</x:v>
      </x:c>
      <x:c r="F1332" s="2" t="str">
        <x:v>2025-11-17</x:v>
      </x:c>
      <x:c r="G1332" s="2" t="str">
        <x:v>2025</x:v>
      </x:c>
      <x:c r="H1332" s="2" t="str">
        <x:v>11</x:v>
      </x:c>
      <x:c r="I1332" s="2" t="str">
        <x:v>보완1차_보완중</x:v>
      </x:c>
      <x:c r="J1332" s="2" t="str">
        <x:v>보완요청</x:v>
      </x:c>
      <x:c r="K1332" s="2" t="str">
        <x:f>IF(OR(J1332="심의승인",J1332="반려",J1332="반려완료",J1332="심의완료"),"종결 표시",IF(OR(J1332="기후부협의",J1332="문서재제출요청",J1332="보류",J1332="보완요청",J1332="보완완료",J1332="평가중",J1332="반려요청",J1332="평가필요",LEFT(J1332,5)="보완요청("),"미종결 표시","상태 확인 필요"))</x:f>
        <x:v>미종결 표시</x:v>
      </x:c>
      <x:c r="L1332" s="2"/>
      <x:c r="M1332" s="2" t="n">
        <x:v>1</x:v>
      </x:c>
      <x:c r="N1332" s="8" t="n">
        <x:f>DATE(2026,10,15)-DATE(2025,11,17)</x:f>
        <x:v>332</x:v>
      </x:c>
      <x:c r="O1332" s="2" t="str">
        <x:v>평가 후 결정</x:v>
      </x:c>
      <x:c r="P1332" s="2"/>
      <x:c r="Q1332" s="2" t="str">
        <x:v>산업전환_외부사업관리Tool_260707_이너젠 수정_LJY_261013.xlsx</x:v>
      </x:c>
      <x:c r="R1332" s="2" t="str">
        <x:v>국내평가</x:v>
      </x:c>
      <x:c r="S1332" s="8" t="n">
        <x:v>1235</x:v>
      </x:c>
      <x:c r="T1332" s="2" t="str">
        <x:v>(12/1)</x:v>
      </x:c>
      <x:c r="U1332" s="2" t="str">
        <x:v>2025 배정: (12/1)</x:v>
      </x:c>
      <x:c r="V1332" s="2" t="str">
        <x:v>2025-12-04</x:v>
      </x:c>
      <x:c r="W1332" s="2" t="str">
        <x:v>담당기관 확인</x:v>
      </x:c>
      <x:c r="X1332" s="2" t="str">
        <x:v>원본·배정 기록 확인</x:v>
      </x:c>
      <x:c r="Y1332" s="2" t="str">
        <x:v>ad210cd9ec132cfd447541c8984dc53d30aff0f4fb2dc92d254d49275cc55976</x:v>
      </x:c>
      <x:c r="Z1332" s="2" t="n">
        <x:f>SUBTOTAL(103,A1332)</x:f>
        <x:v>1</x:v>
      </x:c>
      <x:c r="AA1332" s="2" t="str">
        <x:f>IF(K1332&lt;&gt;"미종결 표시","대상 아님",IF(N1332="","신청일 확인",IF(NOT(ISNUMBER('종합 현황'!$H$5)),"관찰기준 확인",IF('종합 현황'!$H$5&lt;1,"관찰기준 확인",IF(N1332&gt;'종합 현황'!$H$5,"내부 관찰 대상","내부 관찰일 이하")))))</x:f>
        <x:v>내부 관찰 대상</x:v>
      </x:c>
      <x:c r="AB1332" s="2"/>
    </x:row>
    <x:row r="1333" ht="42" customHeight="1">
      <x:c r="A1333" s="2" t="str">
        <x:v>63af414c5f506253f3ff5593</x:v>
      </x:c>
      <x:c r="B1333" s="2" t="str">
        <x:v>사업 평가</x:v>
      </x:c>
      <x:c r="C1333" s="2" t="str">
        <x:v>국내</x:v>
      </x:c>
      <x:c r="D1333" s="7" t="str">
        <x:v>주식회사 하트만 인버터 공기압축기 교체를 통한 온실가스 감축사업</x:v>
      </x:c>
      <x:c r="E1333" s="2" t="str">
        <x:v>1194</x:v>
      </x:c>
      <x:c r="F1333" s="2" t="str">
        <x:v>2025-11-17</x:v>
      </x:c>
      <x:c r="G1333" s="2" t="str">
        <x:v>2025</x:v>
      </x:c>
      <x:c r="H1333" s="2" t="str">
        <x:v>11</x:v>
      </x:c>
      <x:c r="I1333" s="2" t="str">
        <x:v>보완1차_보완중</x:v>
      </x:c>
      <x:c r="J1333" s="2" t="str">
        <x:v>보완요청</x:v>
      </x:c>
      <x:c r="K1333" s="2" t="str">
        <x:f>IF(OR(J1333="심의승인",J1333="반려",J1333="반려완료",J1333="심의완료"),"종결 표시",IF(OR(J1333="기후부협의",J1333="문서재제출요청",J1333="보류",J1333="보완요청",J1333="보완완료",J1333="평가중",J1333="반려요청",J1333="평가필요",LEFT(J1333,5)="보완요청("),"미종결 표시","상태 확인 필요"))</x:f>
        <x:v>미종결 표시</x:v>
      </x:c>
      <x:c r="L1333" s="2"/>
      <x:c r="M1333" s="2" t="n">
        <x:v>1</x:v>
      </x:c>
      <x:c r="N1333" s="8" t="n">
        <x:f>DATE(2026,10,15)-DATE(2025,11,17)</x:f>
        <x:v>332</x:v>
      </x:c>
      <x:c r="O1333" s="2" t="str">
        <x:v>평가 후 결정</x:v>
      </x:c>
      <x:c r="P1333" s="2"/>
      <x:c r="Q1333" s="2" t="str">
        <x:v>산업전환_외부사업관리Tool_260707_이너젠 수정_LJY_261013.xlsx</x:v>
      </x:c>
      <x:c r="R1333" s="2" t="str">
        <x:v>국내평가</x:v>
      </x:c>
      <x:c r="S1333" s="8" t="n">
        <x:v>1236</x:v>
      </x:c>
      <x:c r="T1333" s="2" t="str">
        <x:v>(12/1)</x:v>
      </x:c>
      <x:c r="U1333" s="2" t="str">
        <x:v>2025 배정: (12/1)</x:v>
      </x:c>
      <x:c r="V1333" s="2" t="str">
        <x:v>2025-12-04</x:v>
      </x:c>
      <x:c r="W1333" s="2" t="str">
        <x:v>담당기관 확인</x:v>
      </x:c>
      <x:c r="X1333" s="2" t="str">
        <x:v>원본·배정 기록 확인</x:v>
      </x:c>
      <x:c r="Y1333" s="2" t="str">
        <x:v>ad210cd9ec132cfd447541c8984dc53d30aff0f4fb2dc92d254d49275cc55976</x:v>
      </x:c>
      <x:c r="Z1333" s="2" t="n">
        <x:f>SUBTOTAL(103,A1333)</x:f>
        <x:v>1</x:v>
      </x:c>
      <x:c r="AA1333" s="2" t="str">
        <x:f>IF(K1333&lt;&gt;"미종결 표시","대상 아님",IF(N1333="","신청일 확인",IF(NOT(ISNUMBER('종합 현황'!$H$5)),"관찰기준 확인",IF('종합 현황'!$H$5&lt;1,"관찰기준 확인",IF(N1333&gt;'종합 현황'!$H$5,"내부 관찰 대상","내부 관찰일 이하")))))</x:f>
        <x:v>내부 관찰 대상</x:v>
      </x:c>
      <x:c r="AB1333" s="2"/>
    </x:row>
    <x:row r="1334" ht="42" customHeight="1">
      <x:c r="A1334" s="2" t="str">
        <x:v>f233e1e2e4b627496e184e14</x:v>
      </x:c>
      <x:c r="B1334" s="2" t="str">
        <x:v>사업 평가</x:v>
      </x:c>
      <x:c r="C1334" s="2" t="str">
        <x:v>국내</x:v>
      </x:c>
      <x:c r="D1334" s="7" t="str">
        <x:v>(주)일흥 고효율 보일러 교체를 통한 온실가스 감축사업</x:v>
      </x:c>
      <x:c r="E1334" s="2" t="str">
        <x:v>1195</x:v>
      </x:c>
      <x:c r="F1334" s="2" t="str">
        <x:v>2025-11-17</x:v>
      </x:c>
      <x:c r="G1334" s="2" t="str">
        <x:v>2025</x:v>
      </x:c>
      <x:c r="H1334" s="2" t="str">
        <x:v>11</x:v>
      </x:c>
      <x:c r="I1334" s="2" t="str">
        <x:v>보완1차_보완중</x:v>
      </x:c>
      <x:c r="J1334" s="2" t="str">
        <x:v>보완요청</x:v>
      </x:c>
      <x:c r="K1334" s="2" t="str">
        <x:f>IF(OR(J1334="심의승인",J1334="반려",J1334="반려완료",J1334="심의완료"),"종결 표시",IF(OR(J1334="기후부협의",J1334="문서재제출요청",J1334="보류",J1334="보완요청",J1334="보완완료",J1334="평가중",J1334="반려요청",J1334="평가필요",LEFT(J1334,5)="보완요청("),"미종결 표시","상태 확인 필요"))</x:f>
        <x:v>미종결 표시</x:v>
      </x:c>
      <x:c r="L1334" s="2"/>
      <x:c r="M1334" s="2" t="n">
        <x:v>1</x:v>
      </x:c>
      <x:c r="N1334" s="8" t="n">
        <x:f>DATE(2026,10,15)-DATE(2025,11,17)</x:f>
        <x:v>332</x:v>
      </x:c>
      <x:c r="O1334" s="2" t="str">
        <x:v>평가 후 결정</x:v>
      </x:c>
      <x:c r="P1334" s="2"/>
      <x:c r="Q1334" s="2" t="str">
        <x:v>산업전환_외부사업관리Tool_260707_이너젠 수정_LJY_261013.xlsx</x:v>
      </x:c>
      <x:c r="R1334" s="2" t="str">
        <x:v>국내평가</x:v>
      </x:c>
      <x:c r="S1334" s="8" t="n">
        <x:v>1237</x:v>
      </x:c>
      <x:c r="T1334" s="2" t="str">
        <x:v>(12/1)</x:v>
      </x:c>
      <x:c r="U1334" s="2" t="str">
        <x:v>2025 배정: (12/1)</x:v>
      </x:c>
      <x:c r="V1334" s="2" t="str">
        <x:v>2025-12-10</x:v>
      </x:c>
      <x:c r="W1334" s="2" t="str">
        <x:v>담당기관 확인</x:v>
      </x:c>
      <x:c r="X1334" s="2" t="str">
        <x:v>원본·배정 기록 확인</x:v>
      </x:c>
      <x:c r="Y1334" s="2" t="str">
        <x:v>ad210cd9ec132cfd447541c8984dc53d30aff0f4fb2dc92d254d49275cc55976</x:v>
      </x:c>
      <x:c r="Z1334" s="2" t="n">
        <x:f>SUBTOTAL(103,A1334)</x:f>
        <x:v>1</x:v>
      </x:c>
      <x:c r="AA1334" s="2" t="str">
        <x:f>IF(K1334&lt;&gt;"미종결 표시","대상 아님",IF(N1334="","신청일 확인",IF(NOT(ISNUMBER('종합 현황'!$H$5)),"관찰기준 확인",IF('종합 현황'!$H$5&lt;1,"관찰기준 확인",IF(N1334&gt;'종합 현황'!$H$5,"내부 관찰 대상","내부 관찰일 이하")))))</x:f>
        <x:v>내부 관찰 대상</x:v>
      </x:c>
      <x:c r="AB1334" s="2"/>
    </x:row>
    <x:row r="1335" ht="42" customHeight="1">
      <x:c r="A1335" s="2" t="str">
        <x:v>47fc730f6043efa5952ce88c</x:v>
      </x:c>
      <x:c r="B1335" s="2" t="str">
        <x:v>사업 평가</x:v>
      </x:c>
      <x:c r="C1335" s="2" t="str">
        <x:v>국내</x:v>
      </x:c>
      <x:c r="D1335" s="7" t="str">
        <x:v>(주)신신기계 인버터 공기압축기 교체를 통한 온실가스 감축사업</x:v>
      </x:c>
      <x:c r="E1335" s="2" t="str">
        <x:v>1196</x:v>
      </x:c>
      <x:c r="F1335" s="2" t="str">
        <x:v>2025-11-25</x:v>
      </x:c>
      <x:c r="G1335" s="2" t="str">
        <x:v>2025</x:v>
      </x:c>
      <x:c r="H1335" s="2" t="str">
        <x:v>11</x:v>
      </x:c>
      <x:c r="I1335" s="2" t="str">
        <x:v>보완1차_보완중</x:v>
      </x:c>
      <x:c r="J1335" s="2" t="str">
        <x:v>보완요청</x:v>
      </x:c>
      <x:c r="K1335" s="2" t="str">
        <x:f>IF(OR(J1335="심의승인",J1335="반려",J1335="반려완료",J1335="심의완료"),"종결 표시",IF(OR(J1335="기후부협의",J1335="문서재제출요청",J1335="보류",J1335="보완요청",J1335="보완완료",J1335="평가중",J1335="반려요청",J1335="평가필요",LEFT(J1335,5)="보완요청("),"미종결 표시","상태 확인 필요"))</x:f>
        <x:v>미종결 표시</x:v>
      </x:c>
      <x:c r="L1335" s="2"/>
      <x:c r="M1335" s="2" t="n">
        <x:v>1</x:v>
      </x:c>
      <x:c r="N1335" s="8" t="n">
        <x:f>DATE(2026,10,15)-DATE(2025,11,25)</x:f>
        <x:v>324</x:v>
      </x:c>
      <x:c r="O1335" s="2" t="str">
        <x:v>평가 후 결정</x:v>
      </x:c>
      <x:c r="P1335" s="2"/>
      <x:c r="Q1335" s="2" t="str">
        <x:v>산업전환_외부사업관리Tool_260707_이너젠 수정_LJY_261013.xlsx</x:v>
      </x:c>
      <x:c r="R1335" s="2" t="str">
        <x:v>국내평가</x:v>
      </x:c>
      <x:c r="S1335" s="8" t="n">
        <x:v>1238</x:v>
      </x:c>
      <x:c r="T1335" s="2" t="str">
        <x:v>(12/1)</x:v>
      </x:c>
      <x:c r="U1335" s="2" t="str">
        <x:v>2025 배정: (12/1)</x:v>
      </x:c>
      <x:c r="V1335" s="2" t="str">
        <x:v>2025-12-30</x:v>
      </x:c>
      <x:c r="W1335" s="2" t="str">
        <x:v>담당기관 확인</x:v>
      </x:c>
      <x:c r="X1335" s="2" t="str">
        <x:v>원본·배정 기록 확인</x:v>
      </x:c>
      <x:c r="Y1335" s="2" t="str">
        <x:v>ad210cd9ec132cfd447541c8984dc53d30aff0f4fb2dc92d254d49275cc55976</x:v>
      </x:c>
      <x:c r="Z1335" s="2" t="n">
        <x:f>SUBTOTAL(103,A1335)</x:f>
        <x:v>1</x:v>
      </x:c>
      <x:c r="AA1335" s="2" t="str">
        <x:f>IF(K1335&lt;&gt;"미종결 표시","대상 아님",IF(N1335="","신청일 확인",IF(NOT(ISNUMBER('종합 현황'!$H$5)),"관찰기준 확인",IF('종합 현황'!$H$5&lt;1,"관찰기준 확인",IF(N1335&gt;'종합 현황'!$H$5,"내부 관찰 대상","내부 관찰일 이하")))))</x:f>
        <x:v>내부 관찰 대상</x:v>
      </x:c>
      <x:c r="AB1335" s="2"/>
    </x:row>
    <x:row r="1336" ht="42" customHeight="1">
      <x:c r="A1336" s="2" t="str">
        <x:v>979a5f3b0f8f0946a45a6fd5</x:v>
      </x:c>
      <x:c r="B1336" s="2" t="str">
        <x:v>사업 평가</x:v>
      </x:c>
      <x:c r="C1336" s="2" t="str">
        <x:v>국내</x:v>
      </x:c>
      <x:c r="D1336" s="7" t="str">
        <x:v>엑사옵토닉스(주)의 고효율 인버터 공기압축기 교체를 통한 온실가스 감축사업</x:v>
      </x:c>
      <x:c r="E1336" s="2" t="str">
        <x:v>1197</x:v>
      </x:c>
      <x:c r="F1336" s="2" t="str">
        <x:v>2025-12-12</x:v>
      </x:c>
      <x:c r="G1336" s="2" t="str">
        <x:v>2025</x:v>
      </x:c>
      <x:c r="H1336" s="2" t="str">
        <x:v>12</x:v>
      </x:c>
      <x:c r="I1336" s="2" t="str">
        <x:v>보완1차_보완중</x:v>
      </x:c>
      <x:c r="J1336" s="2" t="str">
        <x:v>보완요청</x:v>
      </x:c>
      <x:c r="K1336" s="2" t="str">
        <x:f>IF(OR(J1336="심의승인",J1336="반려",J1336="반려완료",J1336="심의완료"),"종결 표시",IF(OR(J1336="기후부협의",J1336="문서재제출요청",J1336="보류",J1336="보완요청",J1336="보완완료",J1336="평가중",J1336="반려요청",J1336="평가필요",LEFT(J1336,5)="보완요청("),"미종결 표시","상태 확인 필요"))</x:f>
        <x:v>미종결 표시</x:v>
      </x:c>
      <x:c r="L1336" s="2"/>
      <x:c r="M1336" s="2" t="n">
        <x:v>1</x:v>
      </x:c>
      <x:c r="N1336" s="8" t="n">
        <x:f>DATE(2026,10,15)-DATE(2025,12,12)</x:f>
        <x:v>307</x:v>
      </x:c>
      <x:c r="O1336" s="2" t="str">
        <x:v>평가 후 결정</x:v>
      </x:c>
      <x:c r="P1336" s="2"/>
      <x:c r="Q1336" s="2" t="str">
        <x:v>산업전환_외부사업관리Tool_260707_이너젠 수정_LJY_261013.xlsx</x:v>
      </x:c>
      <x:c r="R1336" s="2" t="str">
        <x:v>국내평가</x:v>
      </x:c>
      <x:c r="S1336" s="8" t="n">
        <x:v>1239</x:v>
      </x:c>
      <x:c r="T1336" s="2" t="str">
        <x:v>(1/14)</x:v>
      </x:c>
      <x:c r="U1336" s="2" t="str">
        <x:v>2026(사전): (1/14)</x:v>
      </x:c>
      <x:c r="V1336" s="2" t="str">
        <x:v>2026-01-21</x:v>
      </x:c>
      <x:c r="W1336" s="2" t="str">
        <x:v>담당기관 확인</x:v>
      </x:c>
      <x:c r="X1336" s="2" t="str">
        <x:v>원본·배정 기록 확인</x:v>
      </x:c>
      <x:c r="Y1336" s="2" t="str">
        <x:v>ad210cd9ec132cfd447541c8984dc53d30aff0f4fb2dc92d254d49275cc55976</x:v>
      </x:c>
      <x:c r="Z1336" s="2" t="n">
        <x:f>SUBTOTAL(103,A1336)</x:f>
        <x:v>1</x:v>
      </x:c>
      <x:c r="AA1336" s="2" t="str">
        <x:f>IF(K1336&lt;&gt;"미종결 표시","대상 아님",IF(N1336="","신청일 확인",IF(NOT(ISNUMBER('종합 현황'!$H$5)),"관찰기준 확인",IF('종합 현황'!$H$5&lt;1,"관찰기준 확인",IF(N1336&gt;'종합 현황'!$H$5,"내부 관찰 대상","내부 관찰일 이하")))))</x:f>
        <x:v>내부 관찰 대상</x:v>
      </x:c>
      <x:c r="AB1336" s="2"/>
    </x:row>
    <x:row r="1337" ht="42" customHeight="1">
      <x:c r="A1337" s="2" t="str">
        <x:v>8fbfa86ca0799d9c873a65c4</x:v>
      </x:c>
      <x:c r="B1337" s="2" t="str">
        <x:v>사업 평가</x:v>
      </x:c>
      <x:c r="C1337" s="2" t="str">
        <x:v>국내</x:v>
      </x:c>
      <x:c r="D1337" s="7" t="str">
        <x:v>생태산업개발을 통한 미세먼지 및 온실가스 감축 사업-산단 친환경설비 인프라지원</x:v>
      </x:c>
      <x:c r="E1337" s="2" t="str">
        <x:v>1198</x:v>
      </x:c>
      <x:c r="F1337" s="2" t="str">
        <x:v>2025-12-15</x:v>
      </x:c>
      <x:c r="G1337" s="2" t="str">
        <x:v>2025</x:v>
      </x:c>
      <x:c r="H1337" s="2" t="str">
        <x:v>12</x:v>
      </x:c>
      <x:c r="I1337" s="2" t="str">
        <x:v>반려</x:v>
      </x:c>
      <x:c r="J1337" s="2" t="str">
        <x:v>반려</x:v>
      </x:c>
      <x:c r="K1337" s="2" t="str">
        <x:f>IF(OR(J1337="심의승인",J1337="반려",J1337="반려완료",J1337="심의완료"),"종결 표시",IF(OR(J1337="기후부협의",J1337="문서재제출요청",J1337="보류",J1337="보완요청",J1337="보완완료",J1337="평가중",J1337="반려요청",J1337="평가필요",LEFT(J1337,5)="보완요청("),"미종결 표시","상태 확인 필요"))</x:f>
        <x:v>종결 표시</x:v>
      </x:c>
      <x:c r="L1337" s="2"/>
      <x:c r="M1337" s="2"/>
      <x:c r="N1337" s="8" t="n">
        <x:f>DATE(2026,10,15)-DATE(2025,12,15)</x:f>
        <x:v>304</x:v>
      </x:c>
      <x:c r="O1337" s="2" t="str">
        <x:v>-</x:v>
      </x:c>
      <x:c r="P1337" s="2"/>
      <x:c r="Q1337" s="2" t="str">
        <x:v>산업전환_외부사업관리Tool_260707_이너젠 수정_LJY_261013.xlsx</x:v>
      </x:c>
      <x:c r="R1337" s="2" t="str">
        <x:v>국내평가</x:v>
      </x:c>
      <x:c r="S1337" s="8" t="n">
        <x:v>1240</x:v>
      </x:c>
      <x:c r="T1337" s="2"/>
      <x:c r="U1337" s="2" t="str"/>
      <x:c r="V1337" s="2" t="str">
        <x:v>2025-12-16</x:v>
      </x:c>
      <x:c r="W1337" s="2" t="str">
        <x:v>담당기관 확인</x:v>
      </x:c>
      <x:c r="X1337" s="2" t="str">
        <x:v>원본·배정 기록 확인</x:v>
      </x:c>
      <x:c r="Y1337" s="2" t="str">
        <x:v>ad210cd9ec132cfd447541c8984dc53d30aff0f4fb2dc92d254d49275cc55976</x:v>
      </x:c>
      <x:c r="Z1337" s="2" t="n">
        <x:f>SUBTOTAL(103,A1337)</x:f>
        <x:v>1</x:v>
      </x:c>
      <x:c r="AA1337" s="2" t="str">
        <x:f>IF(K1337&lt;&gt;"미종결 표시","대상 아님",IF(N1337="","신청일 확인",IF(NOT(ISNUMBER('종합 현황'!$H$5)),"관찰기준 확인",IF('종합 현황'!$H$5&lt;1,"관찰기준 확인",IF(N1337&gt;'종합 현황'!$H$5,"내부 관찰 대상","내부 관찰일 이하")))))</x:f>
        <x:v>대상 아님</x:v>
      </x:c>
      <x:c r="AB1337" s="2"/>
    </x:row>
    <x:row r="1338" ht="42" customHeight="1">
      <x:c r="A1338" s="2" t="str">
        <x:v>5d887d308a85420fa7e94805</x:v>
      </x:c>
      <x:c r="B1338" s="2" t="str">
        <x:v>사업 평가</x:v>
      </x:c>
      <x:c r="C1338" s="2" t="str">
        <x:v>국내</x:v>
      </x:c>
      <x:c r="D1338" s="7" t="str">
        <x:v>부산항만공사의 LED 도로조명 교체를 통한 온실가스 묶음 감축 사업</x:v>
      </x:c>
      <x:c r="E1338" s="2" t="str">
        <x:v>1199</x:v>
      </x:c>
      <x:c r="F1338" s="2" t="str">
        <x:v>2025-12-17</x:v>
      </x:c>
      <x:c r="G1338" s="2" t="str">
        <x:v>2025</x:v>
      </x:c>
      <x:c r="H1338" s="2" t="str">
        <x:v>12</x:v>
      </x:c>
      <x:c r="I1338" s="2" t="str">
        <x:v>협의검토중</x:v>
      </x:c>
      <x:c r="J1338" s="2" t="str">
        <x:v>평가중</x:v>
      </x:c>
      <x:c r="K1338" s="2" t="str">
        <x:f>IF(OR(J1338="심의승인",J1338="반려",J1338="반려완료",J1338="심의완료"),"종결 표시",IF(OR(J1338="기후부협의",J1338="문서재제출요청",J1338="보류",J1338="보완요청",J1338="보완완료",J1338="평가중",J1338="반려요청",J1338="평가필요",LEFT(J1338,5)="보완요청("),"미종결 표시","상태 확인 필요"))</x:f>
        <x:v>미종결 표시</x:v>
      </x:c>
      <x:c r="L1338" s="2"/>
      <x:c r="M1338" s="2"/>
      <x:c r="N1338" s="8" t="n">
        <x:f>DATE(2026,10,15)-DATE(2025,12,17)</x:f>
        <x:v>302</x:v>
      </x:c>
      <x:c r="O1338" s="2" t="str">
        <x:v>생략</x:v>
      </x:c>
      <x:c r="P1338" s="2"/>
      <x:c r="Q1338" s="2" t="str">
        <x:v>산업전환_외부사업관리Tool_260707_이너젠 수정_LJY_261013.xlsx</x:v>
      </x:c>
      <x:c r="R1338" s="2" t="str">
        <x:v>국내평가</x:v>
      </x:c>
      <x:c r="S1338" s="8" t="n">
        <x:v>1241</x:v>
      </x:c>
      <x:c r="T1338" s="2" t="str">
        <x:v>(1/14),(3/19),(5/26),(7/7)</x:v>
      </x:c>
      <x:c r="U1338" s="2" t="str">
        <x:v>2026(사전): (1/14),(3/19),(5/26),(7/7)</x:v>
      </x:c>
      <x:c r="V1338" s="2" t="str">
        <x:v>2026-09-07</x:v>
      </x:c>
      <x:c r="W1338" s="2" t="str">
        <x:v>담당기관 확인</x:v>
      </x:c>
      <x:c r="X1338" s="2" t="str">
        <x:v>원본·배정 기록 확인</x:v>
      </x:c>
      <x:c r="Y1338" s="2" t="str">
        <x:v>ad210cd9ec132cfd447541c8984dc53d30aff0f4fb2dc92d254d49275cc55976</x:v>
      </x:c>
      <x:c r="Z1338" s="2" t="n">
        <x:f>SUBTOTAL(103,A1338)</x:f>
        <x:v>1</x:v>
      </x:c>
      <x:c r="AA1338" s="2" t="str">
        <x:f>IF(K1338&lt;&gt;"미종결 표시","대상 아님",IF(N1338="","신청일 확인",IF(NOT(ISNUMBER('종합 현황'!$H$5)),"관찰기준 확인",IF('종합 현황'!$H$5&lt;1,"관찰기준 확인",IF(N1338&gt;'종합 현황'!$H$5,"내부 관찰 대상","내부 관찰일 이하")))))</x:f>
        <x:v>내부 관찰 대상</x:v>
      </x:c>
      <x:c r="AB1338" s="2"/>
    </x:row>
    <x:row r="1339" ht="42" customHeight="1">
      <x:c r="A1339" s="2" t="str">
        <x:v>1f08a58bbe30a662f402012d</x:v>
      </x:c>
      <x:c r="B1339" s="2" t="str">
        <x:v>사업 평가</x:v>
      </x:c>
      <x:c r="C1339" s="2" t="str">
        <x:v>국내</x:v>
      </x:c>
      <x:c r="D1339" s="7" t="str">
        <x:v>미활용 열에너지를 활용한 온실가스 감축 사업</x:v>
      </x:c>
      <x:c r="E1339" s="2" t="str">
        <x:v>1200</x:v>
      </x:c>
      <x:c r="F1339" s="2" t="str">
        <x:v>2025-12-19</x:v>
      </x:c>
      <x:c r="G1339" s="2" t="str">
        <x:v>2025</x:v>
      </x:c>
      <x:c r="H1339" s="2" t="str">
        <x:v>12</x:v>
      </x:c>
      <x:c r="I1339" s="2" t="str">
        <x:v>보완1차_보완중</x:v>
      </x:c>
      <x:c r="J1339" s="2" t="str">
        <x:v>보완요청</x:v>
      </x:c>
      <x:c r="K1339" s="2" t="str">
        <x:f>IF(OR(J1339="심의승인",J1339="반려",J1339="반려완료",J1339="심의완료"),"종결 표시",IF(OR(J1339="기후부협의",J1339="문서재제출요청",J1339="보류",J1339="보완요청",J1339="보완완료",J1339="평가중",J1339="반려요청",J1339="평가필요",LEFT(J1339,5)="보완요청("),"미종결 표시","상태 확인 필요"))</x:f>
        <x:v>미종결 표시</x:v>
      </x:c>
      <x:c r="L1339" s="2"/>
      <x:c r="M1339" s="2" t="n">
        <x:v>1</x:v>
      </x:c>
      <x:c r="N1339" s="8" t="n">
        <x:f>DATE(2026,10,15)-DATE(2025,12,19)</x:f>
        <x:v>300</x:v>
      </x:c>
      <x:c r="O1339" s="2" t="str">
        <x:v>평가 후 결정</x:v>
      </x:c>
      <x:c r="P1339" s="2"/>
      <x:c r="Q1339" s="2" t="str">
        <x:v>산업전환_외부사업관리Tool_260707_이너젠 수정_LJY_261013.xlsx</x:v>
      </x:c>
      <x:c r="R1339" s="2" t="str">
        <x:v>국내평가</x:v>
      </x:c>
      <x:c r="S1339" s="8" t="n">
        <x:v>1242</x:v>
      </x:c>
      <x:c r="T1339" s="2" t="str">
        <x:v>(1/14)</x:v>
      </x:c>
      <x:c r="U1339" s="2" t="str">
        <x:v>2026(사전): (1/14)</x:v>
      </x:c>
      <x:c r="V1339" s="2" t="str">
        <x:v>2026-02-02</x:v>
      </x:c>
      <x:c r="W1339" s="2" t="str">
        <x:v>담당기관 확인</x:v>
      </x:c>
      <x:c r="X1339" s="2" t="str">
        <x:v>원본·배정 기록 확인</x:v>
      </x:c>
      <x:c r="Y1339" s="2" t="str">
        <x:v>ad210cd9ec132cfd447541c8984dc53d30aff0f4fb2dc92d254d49275cc55976</x:v>
      </x:c>
      <x:c r="Z1339" s="2" t="n">
        <x:f>SUBTOTAL(103,A1339)</x:f>
        <x:v>1</x:v>
      </x:c>
      <x:c r="AA1339" s="2" t="str">
        <x:f>IF(K1339&lt;&gt;"미종결 표시","대상 아님",IF(N1339="","신청일 확인",IF(NOT(ISNUMBER('종합 현황'!$H$5)),"관찰기준 확인",IF('종합 현황'!$H$5&lt;1,"관찰기준 확인",IF(N1339&gt;'종합 현황'!$H$5,"내부 관찰 대상","내부 관찰일 이하")))))</x:f>
        <x:v>내부 관찰 대상</x:v>
      </x:c>
      <x:c r="AB1339" s="2"/>
    </x:row>
    <x:row r="1340" ht="42" customHeight="1">
      <x:c r="A1340" s="2" t="str">
        <x:v>dada7c3d00639a393051f83b</x:v>
      </x:c>
      <x:c r="B1340" s="2" t="str">
        <x:v>사업 평가</x:v>
      </x:c>
      <x:c r="C1340" s="2" t="str">
        <x:v>국내</x:v>
      </x:c>
      <x:c r="D1340" s="7" t="str">
        <x:v>㈜한신특수가공 외 4개사의 인버터 공기압축기 교체를 통한 온실가스 감축사업</x:v>
      </x:c>
      <x:c r="E1340" s="2" t="str">
        <x:v>1201</x:v>
      </x:c>
      <x:c r="F1340" s="2" t="str">
        <x:v>2025-12-31</x:v>
      </x:c>
      <x:c r="G1340" s="2" t="str">
        <x:v>2025</x:v>
      </x:c>
      <x:c r="H1340" s="2" t="str">
        <x:v>12</x:v>
      </x:c>
      <x:c r="I1340" s="2" t="str">
        <x:v>협의검토중</x:v>
      </x:c>
      <x:c r="J1340" s="2" t="str">
        <x:v>보완요청</x:v>
      </x:c>
      <x:c r="K1340" s="2" t="str">
        <x:f>IF(OR(J1340="심의승인",J1340="반려",J1340="반려완료",J1340="심의완료"),"종결 표시",IF(OR(J1340="기후부협의",J1340="문서재제출요청",J1340="보류",J1340="보완요청",J1340="보완완료",J1340="평가중",J1340="반려요청",J1340="평가필요",LEFT(J1340,5)="보완요청("),"미종결 표시","상태 확인 필요"))</x:f>
        <x:v>미종결 표시</x:v>
      </x:c>
      <x:c r="L1340" s="2"/>
      <x:c r="M1340" s="2"/>
      <x:c r="N1340" s="8" t="n">
        <x:f>DATE(2026,10,15)-DATE(2025,12,31)</x:f>
        <x:v>288</x:v>
      </x:c>
      <x:c r="O1340" s="2" t="str">
        <x:v>평가 후 결정</x:v>
      </x:c>
      <x:c r="P1340" s="2"/>
      <x:c r="Q1340" s="2" t="str">
        <x:v>산업전환_외부사업관리Tool_260707_이너젠 수정_LJY_261013.xlsx</x:v>
      </x:c>
      <x:c r="R1340" s="2" t="str">
        <x:v>국내평가</x:v>
      </x:c>
      <x:c r="S1340" s="8" t="n">
        <x:v>1243</x:v>
      </x:c>
      <x:c r="T1340" s="2" t="str">
        <x:v>(1/14),(4/9)</x:v>
      </x:c>
      <x:c r="U1340" s="2" t="str">
        <x:v>2026(사전): (1/14),(4/9)</x:v>
      </x:c>
      <x:c r="V1340" s="2" t="str">
        <x:v>2026-09-07</x:v>
      </x:c>
      <x:c r="W1340" s="2" t="str">
        <x:v>담당기관 확인</x:v>
      </x:c>
      <x:c r="X1340" s="2" t="str">
        <x:v>원본·배정 기록 확인</x:v>
      </x:c>
      <x:c r="Y1340" s="2" t="str">
        <x:v>ad210cd9ec132cfd447541c8984dc53d30aff0f4fb2dc92d254d49275cc55976</x:v>
      </x:c>
      <x:c r="Z1340" s="2" t="n">
        <x:f>SUBTOTAL(103,A1340)</x:f>
        <x:v>1</x:v>
      </x:c>
      <x:c r="AA1340" s="2" t="str">
        <x:f>IF(K1340&lt;&gt;"미종결 표시","대상 아님",IF(N1340="","신청일 확인",IF(NOT(ISNUMBER('종합 현황'!$H$5)),"관찰기준 확인",IF('종합 현황'!$H$5&lt;1,"관찰기준 확인",IF(N1340&gt;'종합 현황'!$H$5,"내부 관찰 대상","내부 관찰일 이하")))))</x:f>
        <x:v>내부 관찰 대상</x:v>
      </x:c>
      <x:c r="AB1340" s="2"/>
    </x:row>
    <x:row r="1341" ht="42" customHeight="1">
      <x:c r="A1341" s="2" t="str">
        <x:v>2aeadf437b1e74d640c02eea</x:v>
      </x:c>
      <x:c r="B1341" s="2" t="str">
        <x:v>사업 평가</x:v>
      </x:c>
      <x:c r="C1341" s="2" t="str">
        <x:v>국내</x:v>
      </x:c>
      <x:c r="D1341" s="7" t="str">
        <x:v>태화오토텍주식회사 외 4개사의 인버터 공기압축기 교체를 통한 온실가스 감축사업</x:v>
      </x:c>
      <x:c r="E1341" s="2" t="str">
        <x:v>1202</x:v>
      </x:c>
      <x:c r="F1341" s="2" t="str">
        <x:v>2025-12-31</x:v>
      </x:c>
      <x:c r="G1341" s="2" t="str">
        <x:v>2025</x:v>
      </x:c>
      <x:c r="H1341" s="2" t="str">
        <x:v>12</x:v>
      </x:c>
      <x:c r="I1341" s="2" t="str">
        <x:v>협의검토중</x:v>
      </x:c>
      <x:c r="J1341" s="2" t="str">
        <x:v>보완요청</x:v>
      </x:c>
      <x:c r="K1341" s="2" t="str">
        <x:f>IF(OR(J1341="심의승인",J1341="반려",J1341="반려완료",J1341="심의완료"),"종결 표시",IF(OR(J1341="기후부협의",J1341="문서재제출요청",J1341="보류",J1341="보완요청",J1341="보완완료",J1341="평가중",J1341="반려요청",J1341="평가필요",LEFT(J1341,5)="보완요청("),"미종결 표시","상태 확인 필요"))</x:f>
        <x:v>미종결 표시</x:v>
      </x:c>
      <x:c r="L1341" s="2"/>
      <x:c r="M1341" s="2"/>
      <x:c r="N1341" s="8" t="n">
        <x:f>DATE(2026,10,15)-DATE(2025,12,31)</x:f>
        <x:v>288</x:v>
      </x:c>
      <x:c r="O1341" s="2" t="str">
        <x:v>평가 후 결정</x:v>
      </x:c>
      <x:c r="P1341" s="2"/>
      <x:c r="Q1341" s="2" t="str">
        <x:v>산업전환_외부사업관리Tool_260707_이너젠 수정_LJY_261013.xlsx</x:v>
      </x:c>
      <x:c r="R1341" s="2" t="str">
        <x:v>국내평가</x:v>
      </x:c>
      <x:c r="S1341" s="8" t="n">
        <x:v>1244</x:v>
      </x:c>
      <x:c r="T1341" s="2" t="str">
        <x:v>(1/14),(4/9)</x:v>
      </x:c>
      <x:c r="U1341" s="2" t="str">
        <x:v>2026(사전): (1/14),(4/9)</x:v>
      </x:c>
      <x:c r="V1341" s="2" t="str">
        <x:v>2026-09-07</x:v>
      </x:c>
      <x:c r="W1341" s="2" t="str">
        <x:v>담당기관 확인</x:v>
      </x:c>
      <x:c r="X1341" s="2" t="str">
        <x:v>원본·배정 기록 확인</x:v>
      </x:c>
      <x:c r="Y1341" s="2" t="str">
        <x:v>ad210cd9ec132cfd447541c8984dc53d30aff0f4fb2dc92d254d49275cc55976</x:v>
      </x:c>
      <x:c r="Z1341" s="2" t="n">
        <x:f>SUBTOTAL(103,A1341)</x:f>
        <x:v>1</x:v>
      </x:c>
      <x:c r="AA1341" s="2" t="str">
        <x:f>IF(K1341&lt;&gt;"미종결 표시","대상 아님",IF(N1341="","신청일 확인",IF(NOT(ISNUMBER('종합 현황'!$H$5)),"관찰기준 확인",IF('종합 현황'!$H$5&lt;1,"관찰기준 확인",IF(N1341&gt;'종합 현황'!$H$5,"내부 관찰 대상","내부 관찰일 이하")))))</x:f>
        <x:v>내부 관찰 대상</x:v>
      </x:c>
      <x:c r="AB1341" s="2"/>
    </x:row>
    <x:row r="1342" ht="42" customHeight="1">
      <x:c r="A1342" s="2" t="str">
        <x:v>1f9ab7662dedae8f302b7a2b</x:v>
      </x:c>
      <x:c r="B1342" s="2" t="str">
        <x:v>사업 평가</x:v>
      </x:c>
      <x:c r="C1342" s="2" t="str">
        <x:v>국내</x:v>
      </x:c>
      <x:c r="D1342" s="7" t="str">
        <x:v>㈜디비전 외 4개사의 인버터 공기압축기 교체를 통한 온실가스 감축사업</x:v>
      </x:c>
      <x:c r="E1342" s="2" t="str">
        <x:v>1203</x:v>
      </x:c>
      <x:c r="F1342" s="2" t="str">
        <x:v>2025-12-31</x:v>
      </x:c>
      <x:c r="G1342" s="2" t="str">
        <x:v>2025</x:v>
      </x:c>
      <x:c r="H1342" s="2" t="str">
        <x:v>12</x:v>
      </x:c>
      <x:c r="I1342" s="2" t="str">
        <x:v>협의검토중</x:v>
      </x:c>
      <x:c r="J1342" s="2" t="str">
        <x:v>보완요청</x:v>
      </x:c>
      <x:c r="K1342" s="2" t="str">
        <x:f>IF(OR(J1342="심의승인",J1342="반려",J1342="반려완료",J1342="심의완료"),"종결 표시",IF(OR(J1342="기후부협의",J1342="문서재제출요청",J1342="보류",J1342="보완요청",J1342="보완완료",J1342="평가중",J1342="반려요청",J1342="평가필요",LEFT(J1342,5)="보완요청("),"미종결 표시","상태 확인 필요"))</x:f>
        <x:v>미종결 표시</x:v>
      </x:c>
      <x:c r="L1342" s="2"/>
      <x:c r="M1342" s="2"/>
      <x:c r="N1342" s="8" t="n">
        <x:f>DATE(2026,10,15)-DATE(2025,12,31)</x:f>
        <x:v>288</x:v>
      </x:c>
      <x:c r="O1342" s="2" t="str">
        <x:v>평가 후 결정</x:v>
      </x:c>
      <x:c r="P1342" s="2"/>
      <x:c r="Q1342" s="2" t="str">
        <x:v>산업전환_외부사업관리Tool_260707_이너젠 수정_LJY_261013.xlsx</x:v>
      </x:c>
      <x:c r="R1342" s="2" t="str">
        <x:v>국내평가</x:v>
      </x:c>
      <x:c r="S1342" s="8" t="n">
        <x:v>1245</x:v>
      </x:c>
      <x:c r="T1342" s="2" t="str">
        <x:v>(1/14),(4/9)</x:v>
      </x:c>
      <x:c r="U1342" s="2" t="str">
        <x:v>2026(사전): (1/14),(4/9)</x:v>
      </x:c>
      <x:c r="V1342" s="2" t="str">
        <x:v>2026-09-07</x:v>
      </x:c>
      <x:c r="W1342" s="2" t="str">
        <x:v>담당기관 확인</x:v>
      </x:c>
      <x:c r="X1342" s="2" t="str">
        <x:v>원본·배정 기록 확인</x:v>
      </x:c>
      <x:c r="Y1342" s="2" t="str">
        <x:v>ad210cd9ec132cfd447541c8984dc53d30aff0f4fb2dc92d254d49275cc55976</x:v>
      </x:c>
      <x:c r="Z1342" s="2" t="n">
        <x:f>SUBTOTAL(103,A1342)</x:f>
        <x:v>1</x:v>
      </x:c>
      <x:c r="AA1342" s="2" t="str">
        <x:f>IF(K1342&lt;&gt;"미종결 표시","대상 아님",IF(N1342="","신청일 확인",IF(NOT(ISNUMBER('종합 현황'!$H$5)),"관찰기준 확인",IF('종합 현황'!$H$5&lt;1,"관찰기준 확인",IF(N1342&gt;'종합 현황'!$H$5,"내부 관찰 대상","내부 관찰일 이하")))))</x:f>
        <x:v>내부 관찰 대상</x:v>
      </x:c>
      <x:c r="AB1342" s="2"/>
    </x:row>
    <x:row r="1343" ht="42" customHeight="1">
      <x:c r="A1343" s="2" t="str">
        <x:v>136cc3e5e61ce06bd667eec5</x:v>
      </x:c>
      <x:c r="B1343" s="2" t="str">
        <x:v>사업 평가</x:v>
      </x:c>
      <x:c r="C1343" s="2" t="str">
        <x:v>국내</x:v>
      </x:c>
      <x:c r="D1343" s="7" t="str">
        <x:v>성창실업 외 4개사의 인버터 공기압축기 교체를 통한 온실가스 감축사업</x:v>
      </x:c>
      <x:c r="E1343" s="2" t="str">
        <x:v>1204</x:v>
      </x:c>
      <x:c r="F1343" s="2" t="str">
        <x:v>2025-12-31</x:v>
      </x:c>
      <x:c r="G1343" s="2" t="str">
        <x:v>2025</x:v>
      </x:c>
      <x:c r="H1343" s="2" t="str">
        <x:v>12</x:v>
      </x:c>
      <x:c r="I1343" s="2" t="str">
        <x:v>협의검토중</x:v>
      </x:c>
      <x:c r="J1343" s="2" t="str">
        <x:v>보완요청</x:v>
      </x:c>
      <x:c r="K1343" s="2" t="str">
        <x:f>IF(OR(J1343="심의승인",J1343="반려",J1343="반려완료",J1343="심의완료"),"종결 표시",IF(OR(J1343="기후부협의",J1343="문서재제출요청",J1343="보류",J1343="보완요청",J1343="보완완료",J1343="평가중",J1343="반려요청",J1343="평가필요",LEFT(J1343,5)="보완요청("),"미종결 표시","상태 확인 필요"))</x:f>
        <x:v>미종결 표시</x:v>
      </x:c>
      <x:c r="L1343" s="2"/>
      <x:c r="M1343" s="2"/>
      <x:c r="N1343" s="8" t="n">
        <x:f>DATE(2026,10,15)-DATE(2025,12,31)</x:f>
        <x:v>288</x:v>
      </x:c>
      <x:c r="O1343" s="2" t="str">
        <x:v>평가 후 결정</x:v>
      </x:c>
      <x:c r="P1343" s="2"/>
      <x:c r="Q1343" s="2" t="str">
        <x:v>산업전환_외부사업관리Tool_260707_이너젠 수정_LJY_261013.xlsx</x:v>
      </x:c>
      <x:c r="R1343" s="2" t="str">
        <x:v>국내평가</x:v>
      </x:c>
      <x:c r="S1343" s="8" t="n">
        <x:v>1246</x:v>
      </x:c>
      <x:c r="T1343" s="2" t="str">
        <x:v>(1/14),(4/9)</x:v>
      </x:c>
      <x:c r="U1343" s="2" t="str">
        <x:v>2026(사전): (1/14),(4/9)</x:v>
      </x:c>
      <x:c r="V1343" s="2" t="str">
        <x:v>2026-09-07</x:v>
      </x:c>
      <x:c r="W1343" s="2" t="str">
        <x:v>담당기관 확인</x:v>
      </x:c>
      <x:c r="X1343" s="2" t="str">
        <x:v>원본·배정 기록 확인</x:v>
      </x:c>
      <x:c r="Y1343" s="2" t="str">
        <x:v>ad210cd9ec132cfd447541c8984dc53d30aff0f4fb2dc92d254d49275cc55976</x:v>
      </x:c>
      <x:c r="Z1343" s="2" t="n">
        <x:f>SUBTOTAL(103,A1343)</x:f>
        <x:v>1</x:v>
      </x:c>
      <x:c r="AA1343" s="2" t="str">
        <x:f>IF(K1343&lt;&gt;"미종결 표시","대상 아님",IF(N1343="","신청일 확인",IF(NOT(ISNUMBER('종합 현황'!$H$5)),"관찰기준 확인",IF('종합 현황'!$H$5&lt;1,"관찰기준 확인",IF(N1343&gt;'종합 현황'!$H$5,"내부 관찰 대상","내부 관찰일 이하")))))</x:f>
        <x:v>내부 관찰 대상</x:v>
      </x:c>
      <x:c r="AB1343" s="2"/>
    </x:row>
    <x:row r="1344" ht="42" customHeight="1">
      <x:c r="A1344" s="2" t="str">
        <x:v>759de5962953c60a6abe9364</x:v>
      </x:c>
      <x:c r="B1344" s="2" t="str">
        <x:v>사업 평가</x:v>
      </x:c>
      <x:c r="C1344" s="2" t="str">
        <x:v>국내</x:v>
      </x:c>
      <x:c r="D1344" s="7" t="str">
        <x:v>주식회사 동진염색 외 5개사의 인버터 공기압축기 교체를 통한 온실가스 감축사업</x:v>
      </x:c>
      <x:c r="E1344" s="2" t="str">
        <x:v>1205</x:v>
      </x:c>
      <x:c r="F1344" s="2" t="str">
        <x:v>2025-12-31</x:v>
      </x:c>
      <x:c r="G1344" s="2" t="str">
        <x:v>2025</x:v>
      </x:c>
      <x:c r="H1344" s="2" t="str">
        <x:v>12</x:v>
      </x:c>
      <x:c r="I1344" s="2" t="str">
        <x:v>협의검토중</x:v>
      </x:c>
      <x:c r="J1344" s="2" t="str">
        <x:v>보완요청</x:v>
      </x:c>
      <x:c r="K1344" s="2" t="str">
        <x:f>IF(OR(J1344="심의승인",J1344="반려",J1344="반려완료",J1344="심의완료"),"종결 표시",IF(OR(J1344="기후부협의",J1344="문서재제출요청",J1344="보류",J1344="보완요청",J1344="보완완료",J1344="평가중",J1344="반려요청",J1344="평가필요",LEFT(J1344,5)="보완요청("),"미종결 표시","상태 확인 필요"))</x:f>
        <x:v>미종결 표시</x:v>
      </x:c>
      <x:c r="L1344" s="2"/>
      <x:c r="M1344" s="2"/>
      <x:c r="N1344" s="8" t="n">
        <x:f>DATE(2026,10,15)-DATE(2025,12,31)</x:f>
        <x:v>288</x:v>
      </x:c>
      <x:c r="O1344" s="2" t="str">
        <x:v>평가 후 결정</x:v>
      </x:c>
      <x:c r="P1344" s="2"/>
      <x:c r="Q1344" s="2" t="str">
        <x:v>산업전환_외부사업관리Tool_260707_이너젠 수정_LJY_261013.xlsx</x:v>
      </x:c>
      <x:c r="R1344" s="2" t="str">
        <x:v>국내평가</x:v>
      </x:c>
      <x:c r="S1344" s="8" t="n">
        <x:v>1247</x:v>
      </x:c>
      <x:c r="T1344" s="2" t="str">
        <x:v>(1/14),(4/9)</x:v>
      </x:c>
      <x:c r="U1344" s="2" t="str">
        <x:v>2026(사전): (1/14),(4/9)</x:v>
      </x:c>
      <x:c r="V1344" s="2" t="str">
        <x:v>2026-09-07</x:v>
      </x:c>
      <x:c r="W1344" s="2" t="str">
        <x:v>담당기관 확인</x:v>
      </x:c>
      <x:c r="X1344" s="2" t="str">
        <x:v>원본·배정 기록 확인</x:v>
      </x:c>
      <x:c r="Y1344" s="2" t="str">
        <x:v>ad210cd9ec132cfd447541c8984dc53d30aff0f4fb2dc92d254d49275cc55976</x:v>
      </x:c>
      <x:c r="Z1344" s="2" t="n">
        <x:f>SUBTOTAL(103,A1344)</x:f>
        <x:v>1</x:v>
      </x:c>
      <x:c r="AA1344" s="2" t="str">
        <x:f>IF(K1344&lt;&gt;"미종결 표시","대상 아님",IF(N1344="","신청일 확인",IF(NOT(ISNUMBER('종합 현황'!$H$5)),"관찰기준 확인",IF('종합 현황'!$H$5&lt;1,"관찰기준 확인",IF(N1344&gt;'종합 현황'!$H$5,"내부 관찰 대상","내부 관찰일 이하")))))</x:f>
        <x:v>내부 관찰 대상</x:v>
      </x:c>
      <x:c r="AB1344" s="2"/>
    </x:row>
    <x:row r="1345" ht="42" customHeight="1">
      <x:c r="A1345" s="2" t="str">
        <x:v>fab625a5e4daed71422421f8</x:v>
      </x:c>
      <x:c r="B1345" s="2" t="str">
        <x:v>사업 평가</x:v>
      </x:c>
      <x:c r="C1345" s="2" t="str">
        <x:v>국내</x:v>
      </x:c>
      <x:c r="D1345" s="7" t="str">
        <x:v>삼환염공(주) 외 5개사의 인버터 공기압축기 교체를 통한 온실가스 감축사업</x:v>
      </x:c>
      <x:c r="E1345" s="2" t="str">
        <x:v>1206</x:v>
      </x:c>
      <x:c r="F1345" s="2" t="str">
        <x:v>2025-12-31</x:v>
      </x:c>
      <x:c r="G1345" s="2" t="str">
        <x:v>2025</x:v>
      </x:c>
      <x:c r="H1345" s="2" t="str">
        <x:v>12</x:v>
      </x:c>
      <x:c r="I1345" s="2" t="str">
        <x:v>협의검토중</x:v>
      </x:c>
      <x:c r="J1345" s="2" t="str">
        <x:v>보완요청</x:v>
      </x:c>
      <x:c r="K1345" s="2" t="str">
        <x:f>IF(OR(J1345="심의승인",J1345="반려",J1345="반려완료",J1345="심의완료"),"종결 표시",IF(OR(J1345="기후부협의",J1345="문서재제출요청",J1345="보류",J1345="보완요청",J1345="보완완료",J1345="평가중",J1345="반려요청",J1345="평가필요",LEFT(J1345,5)="보완요청("),"미종결 표시","상태 확인 필요"))</x:f>
        <x:v>미종결 표시</x:v>
      </x:c>
      <x:c r="L1345" s="2"/>
      <x:c r="M1345" s="2"/>
      <x:c r="N1345" s="8" t="n">
        <x:f>DATE(2026,10,15)-DATE(2025,12,31)</x:f>
        <x:v>288</x:v>
      </x:c>
      <x:c r="O1345" s="2" t="str">
        <x:v>평가 후 결정</x:v>
      </x:c>
      <x:c r="P1345" s="2"/>
      <x:c r="Q1345" s="2" t="str">
        <x:v>산업전환_외부사업관리Tool_260707_이너젠 수정_LJY_261013.xlsx</x:v>
      </x:c>
      <x:c r="R1345" s="2" t="str">
        <x:v>국내평가</x:v>
      </x:c>
      <x:c r="S1345" s="8" t="n">
        <x:v>1248</x:v>
      </x:c>
      <x:c r="T1345" s="2" t="str">
        <x:v>(1/14),(4/9)</x:v>
      </x:c>
      <x:c r="U1345" s="2" t="str">
        <x:v>2026(사전): (1/14),(4/9)</x:v>
      </x:c>
      <x:c r="V1345" s="2" t="str">
        <x:v>2026-09-07</x:v>
      </x:c>
      <x:c r="W1345" s="2" t="str">
        <x:v>담당기관 확인</x:v>
      </x:c>
      <x:c r="X1345" s="2" t="str">
        <x:v>원본·배정 기록 확인</x:v>
      </x:c>
      <x:c r="Y1345" s="2" t="str">
        <x:v>ad210cd9ec132cfd447541c8984dc53d30aff0f4fb2dc92d254d49275cc55976</x:v>
      </x:c>
      <x:c r="Z1345" s="2" t="n">
        <x:f>SUBTOTAL(103,A1345)</x:f>
        <x:v>1</x:v>
      </x:c>
      <x:c r="AA1345" s="2" t="str">
        <x:f>IF(K1345&lt;&gt;"미종결 표시","대상 아님",IF(N1345="","신청일 확인",IF(NOT(ISNUMBER('종합 현황'!$H$5)),"관찰기준 확인",IF('종합 현황'!$H$5&lt;1,"관찰기준 확인",IF(N1345&gt;'종합 현황'!$H$5,"내부 관찰 대상","내부 관찰일 이하")))))</x:f>
        <x:v>내부 관찰 대상</x:v>
      </x:c>
      <x:c r="AB1345" s="2"/>
    </x:row>
    <x:row r="1346" ht="42" customHeight="1">
      <x:c r="A1346" s="2" t="str">
        <x:v>14defdb6a01c1bfbe93289d6</x:v>
      </x:c>
      <x:c r="B1346" s="2" t="str">
        <x:v>사업 평가</x:v>
      </x:c>
      <x:c r="C1346" s="2" t="str">
        <x:v>국내</x:v>
      </x:c>
      <x:c r="D1346" s="7" t="str">
        <x:v>씨엘테크 외 5개사의 인버터 공기압축기 교체를 통한 온실가스 감축사업</x:v>
      </x:c>
      <x:c r="E1346" s="2" t="str">
        <x:v>1207</x:v>
      </x:c>
      <x:c r="F1346" s="2" t="str">
        <x:v>2025-12-31</x:v>
      </x:c>
      <x:c r="G1346" s="2" t="str">
        <x:v>2025</x:v>
      </x:c>
      <x:c r="H1346" s="2" t="str">
        <x:v>12</x:v>
      </x:c>
      <x:c r="I1346" s="2" t="str">
        <x:v>협의검토중</x:v>
      </x:c>
      <x:c r="J1346" s="2" t="str">
        <x:v>보완요청</x:v>
      </x:c>
      <x:c r="K1346" s="2" t="str">
        <x:f>IF(OR(J1346="심의승인",J1346="반려",J1346="반려완료",J1346="심의완료"),"종결 표시",IF(OR(J1346="기후부협의",J1346="문서재제출요청",J1346="보류",J1346="보완요청",J1346="보완완료",J1346="평가중",J1346="반려요청",J1346="평가필요",LEFT(J1346,5)="보완요청("),"미종결 표시","상태 확인 필요"))</x:f>
        <x:v>미종결 표시</x:v>
      </x:c>
      <x:c r="L1346" s="2"/>
      <x:c r="M1346" s="2"/>
      <x:c r="N1346" s="8" t="n">
        <x:f>DATE(2026,10,15)-DATE(2025,12,31)</x:f>
        <x:v>288</x:v>
      </x:c>
      <x:c r="O1346" s="2" t="str">
        <x:v>평가 후 결정</x:v>
      </x:c>
      <x:c r="P1346" s="2"/>
      <x:c r="Q1346" s="2" t="str">
        <x:v>산업전환_외부사업관리Tool_260707_이너젠 수정_LJY_261013.xlsx</x:v>
      </x:c>
      <x:c r="R1346" s="2" t="str">
        <x:v>국내평가</x:v>
      </x:c>
      <x:c r="S1346" s="8" t="n">
        <x:v>1249</x:v>
      </x:c>
      <x:c r="T1346" s="2" t="str">
        <x:v>(1/14),(4/9)</x:v>
      </x:c>
      <x:c r="U1346" s="2" t="str">
        <x:v>2026(사전): (1/14),(4/9)</x:v>
      </x:c>
      <x:c r="V1346" s="2" t="str">
        <x:v>2026-09-07</x:v>
      </x:c>
      <x:c r="W1346" s="2" t="str">
        <x:v>담당기관 확인</x:v>
      </x:c>
      <x:c r="X1346" s="2" t="str">
        <x:v>원본·배정 기록 확인</x:v>
      </x:c>
      <x:c r="Y1346" s="2" t="str">
        <x:v>ad210cd9ec132cfd447541c8984dc53d30aff0f4fb2dc92d254d49275cc55976</x:v>
      </x:c>
      <x:c r="Z1346" s="2" t="n">
        <x:f>SUBTOTAL(103,A1346)</x:f>
        <x:v>1</x:v>
      </x:c>
      <x:c r="AA1346" s="2" t="str">
        <x:f>IF(K1346&lt;&gt;"미종결 표시","대상 아님",IF(N1346="","신청일 확인",IF(NOT(ISNUMBER('종합 현황'!$H$5)),"관찰기준 확인",IF('종합 현황'!$H$5&lt;1,"관찰기준 확인",IF(N1346&gt;'종합 현황'!$H$5,"내부 관찰 대상","내부 관찰일 이하")))))</x:f>
        <x:v>내부 관찰 대상</x:v>
      </x:c>
      <x:c r="AB1346" s="2"/>
    </x:row>
    <x:row r="1347" ht="42" customHeight="1">
      <x:c r="A1347" s="2" t="str">
        <x:v>3f7910e7cf709562fd322f45</x:v>
      </x:c>
      <x:c r="B1347" s="2" t="str">
        <x:v>사업 평가</x:v>
      </x:c>
      <x:c r="C1347" s="2" t="str">
        <x:v>국내</x:v>
      </x:c>
      <x:c r="D1347" s="7" t="str">
        <x:v>서울시 2021~2023년 LED 도로조명 교체를 통한 온실가스 감축사업</x:v>
      </x:c>
      <x:c r="E1347" s="2" t="str">
        <x:v>1208</x:v>
      </x:c>
      <x:c r="F1347" s="2" t="str">
        <x:v>2025-11-04</x:v>
      </x:c>
      <x:c r="G1347" s="2" t="str">
        <x:v>2025</x:v>
      </x:c>
      <x:c r="H1347" s="2" t="str">
        <x:v>11</x:v>
      </x:c>
      <x:c r="I1347" s="2" t="str">
        <x:v>보완3차_검토중</x:v>
      </x:c>
      <x:c r="J1347" s="2" t="str">
        <x:v>보완요청</x:v>
      </x:c>
      <x:c r="K1347" s="2" t="str">
        <x:f>IF(OR(J1347="심의승인",J1347="반려",J1347="반려완료",J1347="심의완료"),"종결 표시",IF(OR(J1347="기후부협의",J1347="문서재제출요청",J1347="보류",J1347="보완요청",J1347="보완완료",J1347="평가중",J1347="반려요청",J1347="평가필요",LEFT(J1347,5)="보완요청("),"미종결 표시","상태 확인 필요"))</x:f>
        <x:v>미종결 표시</x:v>
      </x:c>
      <x:c r="L1347" s="2"/>
      <x:c r="M1347" s="2" t="n">
        <x:v>3</x:v>
      </x:c>
      <x:c r="N1347" s="8" t="n">
        <x:f>DATE(2026,10,15)-DATE(2025,11,4)</x:f>
        <x:v>345</x:v>
      </x:c>
      <x:c r="O1347" s="2" t="str">
        <x:v>평가 후 결정</x:v>
      </x:c>
      <x:c r="P1347" s="2"/>
      <x:c r="Q1347" s="2" t="str">
        <x:v>산업전환_외부사업관리Tool_260707_이너젠 수정_LJY_261013.xlsx</x:v>
      </x:c>
      <x:c r="R1347" s="2" t="str">
        <x:v>국내평가</x:v>
      </x:c>
      <x:c r="S1347" s="8" t="n">
        <x:v>1250</x:v>
      </x:c>
      <x:c r="T1347" s="2" t="str">
        <x:v>(1/14),(4/9),(6/16)</x:v>
      </x:c>
      <x:c r="U1347" s="2" t="str">
        <x:v>2026(사전): (1/14),(4/9),(6/16)</x:v>
      </x:c>
      <x:c r="V1347" s="2" t="str">
        <x:v>2026-09-08</x:v>
      </x:c>
      <x:c r="W1347" s="2" t="str">
        <x:v>담당기관 확인</x:v>
      </x:c>
      <x:c r="X1347" s="2" t="str">
        <x:v>원본·배정 기록 확인</x:v>
      </x:c>
      <x:c r="Y1347" s="2" t="str">
        <x:v>ad210cd9ec132cfd447541c8984dc53d30aff0f4fb2dc92d254d49275cc55976</x:v>
      </x:c>
      <x:c r="Z1347" s="2" t="n">
        <x:f>SUBTOTAL(103,A1347)</x:f>
        <x:v>1</x:v>
      </x:c>
      <x:c r="AA1347" s="2" t="str">
        <x:f>IF(K1347&lt;&gt;"미종결 표시","대상 아님",IF(N1347="","신청일 확인",IF(NOT(ISNUMBER('종합 현황'!$H$5)),"관찰기준 확인",IF('종합 현황'!$H$5&lt;1,"관찰기준 확인",IF(N1347&gt;'종합 현황'!$H$5,"내부 관찰 대상","내부 관찰일 이하")))))</x:f>
        <x:v>내부 관찰 대상</x:v>
      </x:c>
      <x:c r="AB1347" s="2"/>
    </x:row>
    <x:row r="1348" ht="42" customHeight="1">
      <x:c r="A1348" s="2" t="str">
        <x:v>be1f97e8f4049f6850dd3fc6</x:v>
      </x:c>
      <x:c r="B1348" s="2" t="str">
        <x:v>사업 평가</x:v>
      </x:c>
      <x:c r="C1348" s="2" t="str">
        <x:v>국내</x:v>
      </x:c>
      <x:c r="D1348" s="7" t="str">
        <x:v>제조분야 에너지관리 개선을 위한 인버터 도입 프로그램 감축사업</x:v>
      </x:c>
      <x:c r="E1348" s="2" t="str">
        <x:v>1209</x:v>
      </x:c>
      <x:c r="F1348" s="2" t="str">
        <x:v>2026-01-16</x:v>
      </x:c>
      <x:c r="G1348" s="2" t="str">
        <x:v>2026</x:v>
      </x:c>
      <x:c r="H1348" s="2" t="str">
        <x:v>01</x:v>
      </x:c>
      <x:c r="I1348" s="2" t="str">
        <x:v>보완1차_보완중</x:v>
      </x:c>
      <x:c r="J1348" s="2" t="str">
        <x:v>보완요청</x:v>
      </x:c>
      <x:c r="K1348" s="2" t="str">
        <x:f>IF(OR(J1348="심의승인",J1348="반려",J1348="반려완료",J1348="심의완료"),"종결 표시",IF(OR(J1348="기후부협의",J1348="문서재제출요청",J1348="보류",J1348="보완요청",J1348="보완완료",J1348="평가중",J1348="반려요청",J1348="평가필요",LEFT(J1348,5)="보완요청("),"미종결 표시","상태 확인 필요"))</x:f>
        <x:v>미종결 표시</x:v>
      </x:c>
      <x:c r="L1348" s="2"/>
      <x:c r="M1348" s="2" t="n">
        <x:v>1</x:v>
      </x:c>
      <x:c r="N1348" s="8" t="n">
        <x:f>DATE(2026,10,15)-DATE(2026,1,16)</x:f>
        <x:v>272</x:v>
      </x:c>
      <x:c r="O1348" s="2" t="str">
        <x:v>평가 후 결정</x:v>
      </x:c>
      <x:c r="P1348" s="2"/>
      <x:c r="Q1348" s="2" t="str">
        <x:v>산업전환_외부사업관리Tool_260707_이너젠 수정_LJY_261013.xlsx</x:v>
      </x:c>
      <x:c r="R1348" s="2" t="str">
        <x:v>국내평가</x:v>
      </x:c>
      <x:c r="S1348" s="8" t="n">
        <x:v>1251</x:v>
      </x:c>
      <x:c r="T1348" s="2" t="str">
        <x:v>(2/3)</x:v>
      </x:c>
      <x:c r="U1348" s="2" t="str">
        <x:v>2026(사전): (2/3)</x:v>
      </x:c>
      <x:c r="V1348" s="2" t="str">
        <x:v>2026-03-04</x:v>
      </x:c>
      <x:c r="W1348" s="2" t="str">
        <x:v>담당기관 확인</x:v>
      </x:c>
      <x:c r="X1348" s="2" t="str">
        <x:v>원본·배정 기록 확인</x:v>
      </x:c>
      <x:c r="Y1348" s="2" t="str">
        <x:v>ad210cd9ec132cfd447541c8984dc53d30aff0f4fb2dc92d254d49275cc55976</x:v>
      </x:c>
      <x:c r="Z1348" s="2" t="n">
        <x:f>SUBTOTAL(103,A1348)</x:f>
        <x:v>1</x:v>
      </x:c>
      <x:c r="AA1348" s="2" t="str">
        <x:f>IF(K1348&lt;&gt;"미종결 표시","대상 아님",IF(N1348="","신청일 확인",IF(NOT(ISNUMBER('종합 현황'!$H$5)),"관찰기준 확인",IF('종합 현황'!$H$5&lt;1,"관찰기준 확인",IF(N1348&gt;'종합 현황'!$H$5,"내부 관찰 대상","내부 관찰일 이하")))))</x:f>
        <x:v>내부 관찰 대상</x:v>
      </x:c>
      <x:c r="AB1348" s="2"/>
    </x:row>
    <x:row r="1349" ht="42" customHeight="1">
      <x:c r="A1349" s="2" t="str">
        <x:v>366bf2e1bfbc42e0c724405c</x:v>
      </x:c>
      <x:c r="B1349" s="2" t="str">
        <x:v>사업 평가</x:v>
      </x:c>
      <x:c r="C1349" s="2" t="str">
        <x:v>국내</x:v>
      </x:c>
      <x:c r="D1349" s="7" t="str">
        <x:v>주식회사 세복 고효율 사출성형기 교체 사업</x:v>
      </x:c>
      <x:c r="E1349" s="2" t="str">
        <x:v>1210</x:v>
      </x:c>
      <x:c r="F1349" s="2" t="str">
        <x:v>2026-03-10</x:v>
      </x:c>
      <x:c r="G1349" s="2" t="str">
        <x:v>2026</x:v>
      </x:c>
      <x:c r="H1349" s="2" t="str">
        <x:v>03</x:v>
      </x:c>
      <x:c r="I1349" s="2" t="str">
        <x:v>보완1차_보완중</x:v>
      </x:c>
      <x:c r="J1349" s="2" t="str">
        <x:v>보완요청</x:v>
      </x:c>
      <x:c r="K1349" s="2" t="str">
        <x:f>IF(OR(J1349="심의승인",J1349="반려",J1349="반려완료",J1349="심의완료"),"종결 표시",IF(OR(J1349="기후부협의",J1349="문서재제출요청",J1349="보류",J1349="보완요청",J1349="보완완료",J1349="평가중",J1349="반려요청",J1349="평가필요",LEFT(J1349,5)="보완요청("),"미종결 표시","상태 확인 필요"))</x:f>
        <x:v>미종결 표시</x:v>
      </x:c>
      <x:c r="L1349" s="2"/>
      <x:c r="M1349" s="2" t="n">
        <x:v>1</x:v>
      </x:c>
      <x:c r="N1349" s="8" t="n">
        <x:f>DATE(2026,10,15)-DATE(2026,3,10)</x:f>
        <x:v>219</x:v>
      </x:c>
      <x:c r="O1349" s="2" t="str">
        <x:v>평가 후 결정</x:v>
      </x:c>
      <x:c r="P1349" s="2"/>
      <x:c r="Q1349" s="2" t="str">
        <x:v>산업전환_외부사업관리Tool_260707_이너젠 수정_LJY_261013.xlsx</x:v>
      </x:c>
      <x:c r="R1349" s="2" t="str">
        <x:v>국내평가</x:v>
      </x:c>
      <x:c r="S1349" s="8" t="n">
        <x:v>1252</x:v>
      </x:c>
      <x:c r="T1349" s="2" t="str">
        <x:v>(3/19)</x:v>
      </x:c>
      <x:c r="U1349" s="2" t="str">
        <x:v>2026(사전): (3/19)</x:v>
      </x:c>
      <x:c r="V1349" s="2" t="str">
        <x:v>2026-04-15</x:v>
      </x:c>
      <x:c r="W1349" s="2" t="str">
        <x:v>담당기관 확인</x:v>
      </x:c>
      <x:c r="X1349" s="2" t="str">
        <x:v>원본·배정 기록 확인</x:v>
      </x:c>
      <x:c r="Y1349" s="2" t="str">
        <x:v>ad210cd9ec132cfd447541c8984dc53d30aff0f4fb2dc92d254d49275cc55976</x:v>
      </x:c>
      <x:c r="Z1349" s="2" t="n">
        <x:f>SUBTOTAL(103,A1349)</x:f>
        <x:v>1</x:v>
      </x:c>
      <x:c r="AA1349" s="2" t="str">
        <x:f>IF(K1349&lt;&gt;"미종결 표시","대상 아님",IF(N1349="","신청일 확인",IF(NOT(ISNUMBER('종합 현황'!$H$5)),"관찰기준 확인",IF('종합 현황'!$H$5&lt;1,"관찰기준 확인",IF(N1349&gt;'종합 현황'!$H$5,"내부 관찰 대상","내부 관찰일 이하")))))</x:f>
        <x:v>내부 관찰 대상</x:v>
      </x:c>
      <x:c r="AB1349" s="2"/>
    </x:row>
    <x:row r="1350" ht="42" customHeight="1">
      <x:c r="A1350" s="2" t="str">
        <x:v>adb26b409d3d1e25559dcb52</x:v>
      </x:c>
      <x:c r="B1350" s="2" t="str">
        <x:v>사업 평가</x:v>
      </x:c>
      <x:c r="C1350" s="2" t="str">
        <x:v>국내</x:v>
      </x:c>
      <x:c r="D1350" s="7" t="str">
        <x:v>주식회사 신우테크의 고효율 레이저 절단기 교체를 통한 온실가스 감축사업</x:v>
      </x:c>
      <x:c r="E1350" s="2" t="str">
        <x:v>1211</x:v>
      </x:c>
      <x:c r="F1350" s="2" t="str">
        <x:v>2026-03-10</x:v>
      </x:c>
      <x:c r="G1350" s="2" t="str">
        <x:v>2026</x:v>
      </x:c>
      <x:c r="H1350" s="2" t="str">
        <x:v>03</x:v>
      </x:c>
      <x:c r="I1350" s="2" t="str">
        <x:v>보완1차_보완중</x:v>
      </x:c>
      <x:c r="J1350" s="2" t="str">
        <x:v>보완요청</x:v>
      </x:c>
      <x:c r="K1350" s="2" t="str">
        <x:f>IF(OR(J1350="심의승인",J1350="반려",J1350="반려완료",J1350="심의완료"),"종결 표시",IF(OR(J1350="기후부협의",J1350="문서재제출요청",J1350="보류",J1350="보완요청",J1350="보완완료",J1350="평가중",J1350="반려요청",J1350="평가필요",LEFT(J1350,5)="보완요청("),"미종결 표시","상태 확인 필요"))</x:f>
        <x:v>미종결 표시</x:v>
      </x:c>
      <x:c r="L1350" s="2"/>
      <x:c r="M1350" s="2" t="n">
        <x:v>1</x:v>
      </x:c>
      <x:c r="N1350" s="8" t="n">
        <x:f>DATE(2026,10,15)-DATE(2026,3,10)</x:f>
        <x:v>219</x:v>
      </x:c>
      <x:c r="O1350" s="2" t="str">
        <x:v>평가 후 결정</x:v>
      </x:c>
      <x:c r="P1350" s="2"/>
      <x:c r="Q1350" s="2" t="str">
        <x:v>산업전환_외부사업관리Tool_260707_이너젠 수정_LJY_261013.xlsx</x:v>
      </x:c>
      <x:c r="R1350" s="2" t="str">
        <x:v>국내평가</x:v>
      </x:c>
      <x:c r="S1350" s="8" t="n">
        <x:v>1253</x:v>
      </x:c>
      <x:c r="T1350" s="2" t="str">
        <x:v>(3/19)</x:v>
      </x:c>
      <x:c r="U1350" s="2" t="str">
        <x:v>2026(사전): (3/19)</x:v>
      </x:c>
      <x:c r="V1350" s="2" t="str">
        <x:v>2026-04-20</x:v>
      </x:c>
      <x:c r="W1350" s="2" t="str">
        <x:v>담당기관 확인</x:v>
      </x:c>
      <x:c r="X1350" s="2" t="str">
        <x:v>원본·배정 기록 확인</x:v>
      </x:c>
      <x:c r="Y1350" s="2" t="str">
        <x:v>ad210cd9ec132cfd447541c8984dc53d30aff0f4fb2dc92d254d49275cc55976</x:v>
      </x:c>
      <x:c r="Z1350" s="2" t="n">
        <x:f>SUBTOTAL(103,A1350)</x:f>
        <x:v>1</x:v>
      </x:c>
      <x:c r="AA1350" s="2" t="str">
        <x:f>IF(K1350&lt;&gt;"미종결 표시","대상 아님",IF(N1350="","신청일 확인",IF(NOT(ISNUMBER('종합 현황'!$H$5)),"관찰기준 확인",IF('종합 현황'!$H$5&lt;1,"관찰기준 확인",IF(N1350&gt;'종합 현황'!$H$5,"내부 관찰 대상","내부 관찰일 이하")))))</x:f>
        <x:v>내부 관찰 대상</x:v>
      </x:c>
      <x:c r="AB1350" s="2"/>
    </x:row>
    <x:row r="1351" ht="42" customHeight="1">
      <x:c r="A1351" s="2" t="str">
        <x:v>4846775e2074336f25fa8dcb</x:v>
      </x:c>
      <x:c r="B1351" s="2" t="str">
        <x:v>사업 평가</x:v>
      </x:c>
      <x:c r="C1351" s="2" t="str">
        <x:v>국내</x:v>
      </x:c>
      <x:c r="D1351" s="7" t="str">
        <x:v>주식회사 태성정밀 고효율 사출성형기 교체사업</x:v>
      </x:c>
      <x:c r="E1351" s="2" t="str">
        <x:v>1212</x:v>
      </x:c>
      <x:c r="F1351" s="2" t="str">
        <x:v>2026-03-10</x:v>
      </x:c>
      <x:c r="G1351" s="2" t="str">
        <x:v>2026</x:v>
      </x:c>
      <x:c r="H1351" s="2" t="str">
        <x:v>03</x:v>
      </x:c>
      <x:c r="I1351" s="2" t="str">
        <x:v>보완1차_보완중</x:v>
      </x:c>
      <x:c r="J1351" s="2" t="str">
        <x:v>보완요청</x:v>
      </x:c>
      <x:c r="K1351" s="2" t="str">
        <x:f>IF(OR(J1351="심의승인",J1351="반려",J1351="반려완료",J1351="심의완료"),"종결 표시",IF(OR(J1351="기후부협의",J1351="문서재제출요청",J1351="보류",J1351="보완요청",J1351="보완완료",J1351="평가중",J1351="반려요청",J1351="평가필요",LEFT(J1351,5)="보완요청("),"미종결 표시","상태 확인 필요"))</x:f>
        <x:v>미종결 표시</x:v>
      </x:c>
      <x:c r="L1351" s="2"/>
      <x:c r="M1351" s="2" t="n">
        <x:v>1</x:v>
      </x:c>
      <x:c r="N1351" s="8" t="n">
        <x:f>DATE(2026,10,15)-DATE(2026,3,10)</x:f>
        <x:v>219</x:v>
      </x:c>
      <x:c r="O1351" s="2" t="str">
        <x:v>평가 후 결정</x:v>
      </x:c>
      <x:c r="P1351" s="2"/>
      <x:c r="Q1351" s="2" t="str">
        <x:v>산업전환_외부사업관리Tool_260707_이너젠 수정_LJY_261013.xlsx</x:v>
      </x:c>
      <x:c r="R1351" s="2" t="str">
        <x:v>국내평가</x:v>
      </x:c>
      <x:c r="S1351" s="8" t="n">
        <x:v>1254</x:v>
      </x:c>
      <x:c r="T1351" s="2" t="str">
        <x:v>(3/19)</x:v>
      </x:c>
      <x:c r="U1351" s="2" t="str">
        <x:v>2026(사전): (3/19)</x:v>
      </x:c>
      <x:c r="V1351" s="2" t="str">
        <x:v>2026-04-20</x:v>
      </x:c>
      <x:c r="W1351" s="2" t="str">
        <x:v>담당기관 확인</x:v>
      </x:c>
      <x:c r="X1351" s="2" t="str">
        <x:v>원본·배정 기록 확인</x:v>
      </x:c>
      <x:c r="Y1351" s="2" t="str">
        <x:v>ad210cd9ec132cfd447541c8984dc53d30aff0f4fb2dc92d254d49275cc55976</x:v>
      </x:c>
      <x:c r="Z1351" s="2" t="n">
        <x:f>SUBTOTAL(103,A1351)</x:f>
        <x:v>1</x:v>
      </x:c>
      <x:c r="AA1351" s="2" t="str">
        <x:f>IF(K1351&lt;&gt;"미종결 표시","대상 아님",IF(N1351="","신청일 확인",IF(NOT(ISNUMBER('종합 현황'!$H$5)),"관찰기준 확인",IF('종합 현황'!$H$5&lt;1,"관찰기준 확인",IF(N1351&gt;'종합 현황'!$H$5,"내부 관찰 대상","내부 관찰일 이하")))))</x:f>
        <x:v>내부 관찰 대상</x:v>
      </x:c>
      <x:c r="AB1351" s="2"/>
    </x:row>
    <x:row r="1352" ht="42" customHeight="1">
      <x:c r="A1352" s="2" t="str">
        <x:v>f091265eda19e1718f4b8061</x:v>
      </x:c>
      <x:c r="B1352" s="2" t="str">
        <x:v>사업 평가</x:v>
      </x:c>
      <x:c r="C1352" s="2" t="str">
        <x:v>국내</x:v>
      </x:c>
      <x:c r="D1352" s="7" t="str">
        <x:v>이코리아산업(주) 고효율 사출성형기 교체 사업</x:v>
      </x:c>
      <x:c r="E1352" s="2" t="str">
        <x:v>1213</x:v>
      </x:c>
      <x:c r="F1352" s="2" t="str">
        <x:v>2026-03-10</x:v>
      </x:c>
      <x:c r="G1352" s="2" t="str">
        <x:v>2026</x:v>
      </x:c>
      <x:c r="H1352" s="2" t="str">
        <x:v>03</x:v>
      </x:c>
      <x:c r="I1352" s="2" t="str">
        <x:v>보완1차_보완중</x:v>
      </x:c>
      <x:c r="J1352" s="2" t="str">
        <x:v>보완요청</x:v>
      </x:c>
      <x:c r="K1352" s="2" t="str">
        <x:f>IF(OR(J1352="심의승인",J1352="반려",J1352="반려완료",J1352="심의완료"),"종결 표시",IF(OR(J1352="기후부협의",J1352="문서재제출요청",J1352="보류",J1352="보완요청",J1352="보완완료",J1352="평가중",J1352="반려요청",J1352="평가필요",LEFT(J1352,5)="보완요청("),"미종결 표시","상태 확인 필요"))</x:f>
        <x:v>미종결 표시</x:v>
      </x:c>
      <x:c r="L1352" s="2"/>
      <x:c r="M1352" s="2" t="n">
        <x:v>1</x:v>
      </x:c>
      <x:c r="N1352" s="8" t="n">
        <x:f>DATE(2026,10,15)-DATE(2026,3,10)</x:f>
        <x:v>219</x:v>
      </x:c>
      <x:c r="O1352" s="2" t="str">
        <x:v>평가 후 결정</x:v>
      </x:c>
      <x:c r="P1352" s="2"/>
      <x:c r="Q1352" s="2" t="str">
        <x:v>산업전환_외부사업관리Tool_260707_이너젠 수정_LJY_261013.xlsx</x:v>
      </x:c>
      <x:c r="R1352" s="2" t="str">
        <x:v>국내평가</x:v>
      </x:c>
      <x:c r="S1352" s="8" t="n">
        <x:v>1255</x:v>
      </x:c>
      <x:c r="T1352" s="2" t="str">
        <x:v>(3/19)</x:v>
      </x:c>
      <x:c r="U1352" s="2" t="str">
        <x:v>2026(사전): (3/19)</x:v>
      </x:c>
      <x:c r="V1352" s="2" t="str">
        <x:v>2026-04-15</x:v>
      </x:c>
      <x:c r="W1352" s="2" t="str">
        <x:v>담당기관 확인</x:v>
      </x:c>
      <x:c r="X1352" s="2" t="str">
        <x:v>원본·배정 기록 확인</x:v>
      </x:c>
      <x:c r="Y1352" s="2" t="str">
        <x:v>ad210cd9ec132cfd447541c8984dc53d30aff0f4fb2dc92d254d49275cc55976</x:v>
      </x:c>
      <x:c r="Z1352" s="2" t="n">
        <x:f>SUBTOTAL(103,A1352)</x:f>
        <x:v>1</x:v>
      </x:c>
      <x:c r="AA1352" s="2" t="str">
        <x:f>IF(K1352&lt;&gt;"미종결 표시","대상 아님",IF(N1352="","신청일 확인",IF(NOT(ISNUMBER('종합 현황'!$H$5)),"관찰기준 확인",IF('종합 현황'!$H$5&lt;1,"관찰기준 확인",IF(N1352&gt;'종합 현황'!$H$5,"내부 관찰 대상","내부 관찰일 이하")))))</x:f>
        <x:v>내부 관찰 대상</x:v>
      </x:c>
      <x:c r="AB1352" s="2"/>
    </x:row>
    <x:row r="1353" ht="42" customHeight="1">
      <x:c r="A1353" s="2" t="str">
        <x:v>a6204eff636e0a95cdc7047e</x:v>
      </x:c>
      <x:c r="B1353" s="2" t="str">
        <x:v>사업 평가</x:v>
      </x:c>
      <x:c r="C1353" s="2" t="str">
        <x:v>국내</x:v>
      </x:c>
      <x:c r="D1353" s="7" t="str">
        <x:v>주식회사 태양산업사 고효율 공기압축기 교체 사업</x:v>
      </x:c>
      <x:c r="E1353" s="2" t="str">
        <x:v>1214</x:v>
      </x:c>
      <x:c r="F1353" s="2" t="str">
        <x:v>2026-03-11</x:v>
      </x:c>
      <x:c r="G1353" s="2" t="str">
        <x:v>2026</x:v>
      </x:c>
      <x:c r="H1353" s="2" t="str">
        <x:v>03</x:v>
      </x:c>
      <x:c r="I1353" s="2" t="str">
        <x:v>보완1차_보완중</x:v>
      </x:c>
      <x:c r="J1353" s="2" t="str">
        <x:v>보완요청</x:v>
      </x:c>
      <x:c r="K1353" s="2" t="str">
        <x:f>IF(OR(J1353="심의승인",J1353="반려",J1353="반려완료",J1353="심의완료"),"종결 표시",IF(OR(J1353="기후부협의",J1353="문서재제출요청",J1353="보류",J1353="보완요청",J1353="보완완료",J1353="평가중",J1353="반려요청",J1353="평가필요",LEFT(J1353,5)="보완요청("),"미종결 표시","상태 확인 필요"))</x:f>
        <x:v>미종결 표시</x:v>
      </x:c>
      <x:c r="L1353" s="2"/>
      <x:c r="M1353" s="2" t="n">
        <x:v>1</x:v>
      </x:c>
      <x:c r="N1353" s="8" t="n">
        <x:f>DATE(2026,10,15)-DATE(2026,3,11)</x:f>
        <x:v>218</x:v>
      </x:c>
      <x:c r="O1353" s="2" t="str">
        <x:v>평가 후 결정</x:v>
      </x:c>
      <x:c r="P1353" s="2"/>
      <x:c r="Q1353" s="2" t="str">
        <x:v>산업전환_외부사업관리Tool_260707_이너젠 수정_LJY_261013.xlsx</x:v>
      </x:c>
      <x:c r="R1353" s="2" t="str">
        <x:v>국내평가</x:v>
      </x:c>
      <x:c r="S1353" s="8" t="n">
        <x:v>1256</x:v>
      </x:c>
      <x:c r="T1353" s="2" t="str">
        <x:v>(3/19)</x:v>
      </x:c>
      <x:c r="U1353" s="2" t="str">
        <x:v>2026(사전): (3/19)</x:v>
      </x:c>
      <x:c r="V1353" s="2" t="str">
        <x:v>2026-04-17</x:v>
      </x:c>
      <x:c r="W1353" s="2" t="str">
        <x:v>담당기관 확인</x:v>
      </x:c>
      <x:c r="X1353" s="2" t="str">
        <x:v>원본·배정 기록 확인</x:v>
      </x:c>
      <x:c r="Y1353" s="2" t="str">
        <x:v>ad210cd9ec132cfd447541c8984dc53d30aff0f4fb2dc92d254d49275cc55976</x:v>
      </x:c>
      <x:c r="Z1353" s="2" t="n">
        <x:f>SUBTOTAL(103,A1353)</x:f>
        <x:v>1</x:v>
      </x:c>
      <x:c r="AA1353" s="2" t="str">
        <x:f>IF(K1353&lt;&gt;"미종결 표시","대상 아님",IF(N1353="","신청일 확인",IF(NOT(ISNUMBER('종합 현황'!$H$5)),"관찰기준 확인",IF('종합 현황'!$H$5&lt;1,"관찰기준 확인",IF(N1353&gt;'종합 현황'!$H$5,"내부 관찰 대상","내부 관찰일 이하")))))</x:f>
        <x:v>내부 관찰 대상</x:v>
      </x:c>
      <x:c r="AB1353" s="2"/>
    </x:row>
    <x:row r="1354" ht="42" customHeight="1">
      <x:c r="A1354" s="2" t="str">
        <x:v>4f9a965f73f36bc0b052905e</x:v>
      </x:c>
      <x:c r="B1354" s="2" t="str">
        <x:v>사업 평가</x:v>
      </x:c>
      <x:c r="C1354" s="2" t="str">
        <x:v>국내</x:v>
      </x:c>
      <x:c r="D1354" s="7" t="str">
        <x:v>주식회사 디에이치지 고효율 공기압축기 교체 사업</x:v>
      </x:c>
      <x:c r="E1354" s="2" t="str">
        <x:v>1215</x:v>
      </x:c>
      <x:c r="F1354" s="2" t="str">
        <x:v>2026-03-11</x:v>
      </x:c>
      <x:c r="G1354" s="2" t="str">
        <x:v>2026</x:v>
      </x:c>
      <x:c r="H1354" s="2" t="str">
        <x:v>03</x:v>
      </x:c>
      <x:c r="I1354" s="2" t="str">
        <x:v>보완1차_보완중</x:v>
      </x:c>
      <x:c r="J1354" s="2" t="str">
        <x:v>보완요청</x:v>
      </x:c>
      <x:c r="K1354" s="2" t="str">
        <x:f>IF(OR(J1354="심의승인",J1354="반려",J1354="반려완료",J1354="심의완료"),"종결 표시",IF(OR(J1354="기후부협의",J1354="문서재제출요청",J1354="보류",J1354="보완요청",J1354="보완완료",J1354="평가중",J1354="반려요청",J1354="평가필요",LEFT(J1354,5)="보완요청("),"미종결 표시","상태 확인 필요"))</x:f>
        <x:v>미종결 표시</x:v>
      </x:c>
      <x:c r="L1354" s="2"/>
      <x:c r="M1354" s="2" t="n">
        <x:v>1</x:v>
      </x:c>
      <x:c r="N1354" s="8" t="n">
        <x:f>DATE(2026,10,15)-DATE(2026,3,11)</x:f>
        <x:v>218</x:v>
      </x:c>
      <x:c r="O1354" s="2" t="str">
        <x:v>평가 후 결정</x:v>
      </x:c>
      <x:c r="P1354" s="2"/>
      <x:c r="Q1354" s="2" t="str">
        <x:v>산업전환_외부사업관리Tool_260707_이너젠 수정_LJY_261013.xlsx</x:v>
      </x:c>
      <x:c r="R1354" s="2" t="str">
        <x:v>국내평가</x:v>
      </x:c>
      <x:c r="S1354" s="8" t="n">
        <x:v>1257</x:v>
      </x:c>
      <x:c r="T1354" s="2" t="str">
        <x:v>(3/19)</x:v>
      </x:c>
      <x:c r="U1354" s="2" t="str">
        <x:v>2026(사전): (3/19)</x:v>
      </x:c>
      <x:c r="V1354" s="2" t="str">
        <x:v>2026-04-17</x:v>
      </x:c>
      <x:c r="W1354" s="2" t="str">
        <x:v>담당기관 확인</x:v>
      </x:c>
      <x:c r="X1354" s="2" t="str">
        <x:v>원본·배정 기록 확인</x:v>
      </x:c>
      <x:c r="Y1354" s="2" t="str">
        <x:v>ad210cd9ec132cfd447541c8984dc53d30aff0f4fb2dc92d254d49275cc55976</x:v>
      </x:c>
      <x:c r="Z1354" s="2" t="n">
        <x:f>SUBTOTAL(103,A1354)</x:f>
        <x:v>1</x:v>
      </x:c>
      <x:c r="AA1354" s="2" t="str">
        <x:f>IF(K1354&lt;&gt;"미종결 표시","대상 아님",IF(N1354="","신청일 확인",IF(NOT(ISNUMBER('종합 현황'!$H$5)),"관찰기준 확인",IF('종합 현황'!$H$5&lt;1,"관찰기준 확인",IF(N1354&gt;'종합 현황'!$H$5,"내부 관찰 대상","내부 관찰일 이하")))))</x:f>
        <x:v>내부 관찰 대상</x:v>
      </x:c>
      <x:c r="AB1354" s="2"/>
    </x:row>
    <x:row r="1355" ht="42" customHeight="1">
      <x:c r="A1355" s="2" t="str">
        <x:v>6825d164d50f04e14678f1b0</x:v>
      </x:c>
      <x:c r="B1355" s="2" t="str">
        <x:v>사업 평가</x:v>
      </x:c>
      <x:c r="C1355" s="2" t="str">
        <x:v>국내</x:v>
      </x:c>
      <x:c r="D1355" s="7" t="str">
        <x:v>티알에너지 산업용 보일러 내 목재펠릿 연료를 통한 화석연료 대체사업</x:v>
      </x:c>
      <x:c r="E1355" s="2" t="str">
        <x:v>1216</x:v>
      </x:c>
      <x:c r="F1355" s="2" t="str">
        <x:v>2026-03-16</x:v>
      </x:c>
      <x:c r="G1355" s="2" t="str">
        <x:v>2026</x:v>
      </x:c>
      <x:c r="H1355" s="2" t="str">
        <x:v>03</x:v>
      </x:c>
      <x:c r="I1355" s="2" t="str">
        <x:v>보완1차_보완중</x:v>
      </x:c>
      <x:c r="J1355" s="2" t="str">
        <x:v>보완요청</x:v>
      </x:c>
      <x:c r="K1355" s="2" t="str">
        <x:f>IF(OR(J1355="심의승인",J1355="반려",J1355="반려완료",J1355="심의완료"),"종결 표시",IF(OR(J1355="기후부협의",J1355="문서재제출요청",J1355="보류",J1355="보완요청",J1355="보완완료",J1355="평가중",J1355="반려요청",J1355="평가필요",LEFT(J1355,5)="보완요청("),"미종결 표시","상태 확인 필요"))</x:f>
        <x:v>미종결 표시</x:v>
      </x:c>
      <x:c r="L1355" s="2"/>
      <x:c r="M1355" s="2" t="n">
        <x:v>1</x:v>
      </x:c>
      <x:c r="N1355" s="8" t="n">
        <x:f>DATE(2026,10,15)-DATE(2026,3,16)</x:f>
        <x:v>213</x:v>
      </x:c>
      <x:c r="O1355" s="2" t="str">
        <x:v>평가 후 결정</x:v>
      </x:c>
      <x:c r="P1355" s="2"/>
      <x:c r="Q1355" s="2" t="str">
        <x:v>산업전환_외부사업관리Tool_260707_이너젠 수정_LJY_261013.xlsx</x:v>
      </x:c>
      <x:c r="R1355" s="2" t="str">
        <x:v>국내평가</x:v>
      </x:c>
      <x:c r="S1355" s="8" t="n">
        <x:v>1258</x:v>
      </x:c>
      <x:c r="T1355" s="2" t="str">
        <x:v>(3/19)</x:v>
      </x:c>
      <x:c r="U1355" s="2" t="str">
        <x:v>2026(사전): (3/19)</x:v>
      </x:c>
      <x:c r="V1355" s="2" t="str">
        <x:v>2026-04-22</x:v>
      </x:c>
      <x:c r="W1355" s="2" t="str">
        <x:v>담당기관 확인</x:v>
      </x:c>
      <x:c r="X1355" s="2" t="str">
        <x:v>원본·배정 기록 확인</x:v>
      </x:c>
      <x:c r="Y1355" s="2" t="str">
        <x:v>ad210cd9ec132cfd447541c8984dc53d30aff0f4fb2dc92d254d49275cc55976</x:v>
      </x:c>
      <x:c r="Z1355" s="2" t="n">
        <x:f>SUBTOTAL(103,A1355)</x:f>
        <x:v>1</x:v>
      </x:c>
      <x:c r="AA1355" s="2" t="str">
        <x:f>IF(K1355&lt;&gt;"미종결 표시","대상 아님",IF(N1355="","신청일 확인",IF(NOT(ISNUMBER('종합 현황'!$H$5)),"관찰기준 확인",IF('종합 현황'!$H$5&lt;1,"관찰기준 확인",IF(N1355&gt;'종합 현황'!$H$5,"내부 관찰 대상","내부 관찰일 이하")))))</x:f>
        <x:v>내부 관찰 대상</x:v>
      </x:c>
      <x:c r="AB1355" s="2"/>
    </x:row>
    <x:row r="1356" ht="42" customHeight="1">
      <x:c r="A1356" s="2" t="str">
        <x:v>3c5de2639b1e52cb0b01e6d1</x:v>
      </x:c>
      <x:c r="B1356" s="2" t="str">
        <x:v>사업 평가</x:v>
      </x:c>
      <x:c r="C1356" s="2" t="str">
        <x:v>국내</x:v>
      </x:c>
      <x:c r="D1356" s="7" t="str">
        <x:v>주식회사 띵스파이어의 인버터 공기압축기 도입을 통한 프로그램 감축사업</x:v>
      </x:c>
      <x:c r="E1356" s="2" t="str">
        <x:v>1217</x:v>
      </x:c>
      <x:c r="F1356" s="2" t="str">
        <x:v>2026-06-24</x:v>
      </x:c>
      <x:c r="G1356" s="2" t="str">
        <x:v>2026</x:v>
      </x:c>
      <x:c r="H1356" s="2" t="str">
        <x:v>06</x:v>
      </x:c>
      <x:c r="I1356" s="2" t="str">
        <x:v>보완1차_보완중</x:v>
      </x:c>
      <x:c r="J1356" s="2" t="str">
        <x:v>평가중</x:v>
      </x:c>
      <x:c r="K1356" s="2" t="str">
        <x:f>IF(OR(J1356="심의승인",J1356="반려",J1356="반려완료",J1356="심의완료"),"종결 표시",IF(OR(J1356="기후부협의",J1356="문서재제출요청",J1356="보류",J1356="보완요청",J1356="보완완료",J1356="평가중",J1356="반려요청",J1356="평가필요",LEFT(J1356,5)="보완요청("),"미종결 표시","상태 확인 필요"))</x:f>
        <x:v>미종결 표시</x:v>
      </x:c>
      <x:c r="L1356" s="2"/>
      <x:c r="M1356" s="2" t="n">
        <x:v>1</x:v>
      </x:c>
      <x:c r="N1356" s="8" t="n">
        <x:f>DATE(2026,10,15)-DATE(2026,6,24)</x:f>
        <x:v>113</x:v>
      </x:c>
      <x:c r="O1356" s="2" t="str">
        <x:v>평가 후 결정</x:v>
      </x:c>
      <x:c r="P1356" s="2"/>
      <x:c r="Q1356" s="2" t="str">
        <x:v>산업전환_외부사업관리Tool_260707_이너젠 수정_LJY_261013.xlsx</x:v>
      </x:c>
      <x:c r="R1356" s="2" t="str">
        <x:v>국내평가</x:v>
      </x:c>
      <x:c r="S1356" s="8" t="n">
        <x:v>1259</x:v>
      </x:c>
      <x:c r="T1356" s="2" t="str">
        <x:v>(7/7)</x:v>
      </x:c>
      <x:c r="U1356" s="2" t="str">
        <x:v>2026(사전): (7/7)</x:v>
      </x:c>
      <x:c r="V1356" s="2" t="str">
        <x:v>2026-08-13</x:v>
      </x:c>
      <x:c r="W1356" s="2" t="str">
        <x:v>담당기관 확인</x:v>
      </x:c>
      <x:c r="X1356" s="2" t="str">
        <x:v>원본·배정 기록 확인</x:v>
      </x:c>
      <x:c r="Y1356" s="2" t="str">
        <x:v>ad210cd9ec132cfd447541c8984dc53d30aff0f4fb2dc92d254d49275cc55976</x:v>
      </x:c>
      <x:c r="Z1356" s="2" t="n">
        <x:f>SUBTOTAL(103,A1356)</x:f>
        <x:v>1</x:v>
      </x:c>
      <x:c r="AA1356" s="2" t="str">
        <x:f>IF(K1356&lt;&gt;"미종결 표시","대상 아님",IF(N1356="","신청일 확인",IF(NOT(ISNUMBER('종합 현황'!$H$5)),"관찰기준 확인",IF('종합 현황'!$H$5&lt;1,"관찰기준 확인",IF(N1356&gt;'종합 현황'!$H$5,"내부 관찰 대상","내부 관찰일 이하")))))</x:f>
        <x:v>내부 관찰 대상</x:v>
      </x:c>
      <x:c r="AB1356" s="2"/>
    </x:row>
    <x:row r="1357" ht="42" customHeight="1">
      <x:c r="A1357" s="2" t="str">
        <x:v>fe71be695174675e00ebb2aa</x:v>
      </x:c>
      <x:c r="B1357" s="2" t="str">
        <x:v>사업 평가</x:v>
      </x:c>
      <x:c r="C1357" s="2" t="str">
        <x:v>국내</x:v>
      </x:c>
      <x:c r="D1357" s="7" t="str">
        <x:v>주식회사 띵스파이어의 인버터 공기압축기 도입을 통한 프로그램 감축사업</x:v>
      </x:c>
      <x:c r="E1357" s="2" t="str">
        <x:v>1218</x:v>
      </x:c>
      <x:c r="F1357" s="2" t="str">
        <x:v>2026-06-24</x:v>
      </x:c>
      <x:c r="G1357" s="2" t="str">
        <x:v>2026</x:v>
      </x:c>
      <x:c r="H1357" s="2" t="str">
        <x:v>06</x:v>
      </x:c>
      <x:c r="I1357" s="2" t="str">
        <x:v>보완1차_보완중</x:v>
      </x:c>
      <x:c r="J1357" s="2" t="str">
        <x:v>평가중</x:v>
      </x:c>
      <x:c r="K1357" s="2" t="str">
        <x:f>IF(OR(J1357="심의승인",J1357="반려",J1357="반려완료",J1357="심의완료"),"종결 표시",IF(OR(J1357="기후부협의",J1357="문서재제출요청",J1357="보류",J1357="보완요청",J1357="보완완료",J1357="평가중",J1357="반려요청",J1357="평가필요",LEFT(J1357,5)="보완요청("),"미종결 표시","상태 확인 필요"))</x:f>
        <x:v>미종결 표시</x:v>
      </x:c>
      <x:c r="L1357" s="2"/>
      <x:c r="M1357" s="2" t="n">
        <x:v>1</x:v>
      </x:c>
      <x:c r="N1357" s="8" t="n">
        <x:f>DATE(2026,10,15)-DATE(2026,6,24)</x:f>
        <x:v>113</x:v>
      </x:c>
      <x:c r="O1357" s="2" t="str">
        <x:v>평가 후 결정</x:v>
      </x:c>
      <x:c r="P1357" s="2"/>
      <x:c r="Q1357" s="2" t="str">
        <x:v>산업전환_외부사업관리Tool_260707_이너젠 수정_LJY_261013.xlsx</x:v>
      </x:c>
      <x:c r="R1357" s="2" t="str">
        <x:v>국내평가</x:v>
      </x:c>
      <x:c r="S1357" s="8" t="n">
        <x:v>1260</x:v>
      </x:c>
      <x:c r="T1357" s="2" t="str">
        <x:v>(7/7)</x:v>
      </x:c>
      <x:c r="U1357" s="2" t="str">
        <x:v>2026(사전): (7/7)</x:v>
      </x:c>
      <x:c r="V1357" s="2" t="str">
        <x:v>2026-08-13</x:v>
      </x:c>
      <x:c r="W1357" s="2" t="str">
        <x:v>담당기관 확인</x:v>
      </x:c>
      <x:c r="X1357" s="2" t="str">
        <x:v>원본·배정 기록 확인</x:v>
      </x:c>
      <x:c r="Y1357" s="2" t="str">
        <x:v>ad210cd9ec132cfd447541c8984dc53d30aff0f4fb2dc92d254d49275cc55976</x:v>
      </x:c>
      <x:c r="Z1357" s="2" t="n">
        <x:f>SUBTOTAL(103,A1357)</x:f>
        <x:v>1</x:v>
      </x:c>
      <x:c r="AA1357" s="2" t="str">
        <x:f>IF(K1357&lt;&gt;"미종결 표시","대상 아님",IF(N1357="","신청일 확인",IF(NOT(ISNUMBER('종합 현황'!$H$5)),"관찰기준 확인",IF('종합 현황'!$H$5&lt;1,"관찰기준 확인",IF(N1357&gt;'종합 현황'!$H$5,"내부 관찰 대상","내부 관찰일 이하")))))</x:f>
        <x:v>내부 관찰 대상</x:v>
      </x:c>
      <x:c r="AB1357" s="2"/>
    </x:row>
    <x:row r="1358" ht="42" customHeight="1">
      <x:c r="A1358" s="2" t="str">
        <x:v>23dba79306c00bf2679d3538</x:v>
      </x:c>
      <x:c r="B1358" s="2" t="str">
        <x:v>사업 평가</x:v>
      </x:c>
      <x:c r="C1358" s="2" t="str">
        <x:v>국내</x:v>
      </x:c>
      <x:c r="D1358" s="7" t="str">
        <x:v>케이.엘.이.에스(주) 주차장 태양광 발전설비 설치사업</x:v>
      </x:c>
      <x:c r="E1358" s="2" t="str">
        <x:v>1219</x:v>
      </x:c>
      <x:c r="F1358" s="2" t="str">
        <x:v>2026-06-16</x:v>
      </x:c>
      <x:c r="G1358" s="2" t="str">
        <x:v>2026</x:v>
      </x:c>
      <x:c r="H1358" s="2" t="str">
        <x:v>06</x:v>
      </x:c>
      <x:c r="I1358" s="2" t="str">
        <x:v>보완1차_보완중</x:v>
      </x:c>
      <x:c r="J1358" s="2" t="str">
        <x:v>평가중</x:v>
      </x:c>
      <x:c r="K1358" s="2" t="str">
        <x:f>IF(OR(J1358="심의승인",J1358="반려",J1358="반려완료",J1358="심의완료"),"종결 표시",IF(OR(J1358="기후부협의",J1358="문서재제출요청",J1358="보류",J1358="보완요청",J1358="보완완료",J1358="평가중",J1358="반려요청",J1358="평가필요",LEFT(J1358,5)="보완요청("),"미종결 표시","상태 확인 필요"))</x:f>
        <x:v>미종결 표시</x:v>
      </x:c>
      <x:c r="L1358" s="2"/>
      <x:c r="M1358" s="2" t="n">
        <x:v>1</x:v>
      </x:c>
      <x:c r="N1358" s="8" t="n">
        <x:f>DATE(2026,10,15)-DATE(2026,6,16)</x:f>
        <x:v>121</x:v>
      </x:c>
      <x:c r="O1358" s="2" t="str">
        <x:v>평가 후 결정</x:v>
      </x:c>
      <x:c r="P1358" s="2"/>
      <x:c r="Q1358" s="2" t="str">
        <x:v>산업전환_외부사업관리Tool_260707_이너젠 수정_LJY_261013.xlsx</x:v>
      </x:c>
      <x:c r="R1358" s="2" t="str">
        <x:v>국내평가</x:v>
      </x:c>
      <x:c r="S1358" s="8" t="n">
        <x:v>1261</x:v>
      </x:c>
      <x:c r="T1358" s="2" t="str">
        <x:v>(7/7)</x:v>
      </x:c>
      <x:c r="U1358" s="2" t="str">
        <x:v>2026(사전): (7/7)</x:v>
      </x:c>
      <x:c r="V1358" s="2" t="str">
        <x:v>2026-07-28</x:v>
      </x:c>
      <x:c r="W1358" s="2" t="str">
        <x:v>담당기관 확인</x:v>
      </x:c>
      <x:c r="X1358" s="2" t="str">
        <x:v>원본·배정 기록 확인</x:v>
      </x:c>
      <x:c r="Y1358" s="2" t="str">
        <x:v>ad210cd9ec132cfd447541c8984dc53d30aff0f4fb2dc92d254d49275cc55976</x:v>
      </x:c>
      <x:c r="Z1358" s="2" t="n">
        <x:f>SUBTOTAL(103,A1358)</x:f>
        <x:v>1</x:v>
      </x:c>
      <x:c r="AA1358" s="2" t="str">
        <x:f>IF(K1358&lt;&gt;"미종결 표시","대상 아님",IF(N1358="","신청일 확인",IF(NOT(ISNUMBER('종합 현황'!$H$5)),"관찰기준 확인",IF('종합 현황'!$H$5&lt;1,"관찰기준 확인",IF(N1358&gt;'종합 현황'!$H$5,"내부 관찰 대상","내부 관찰일 이하")))))</x:f>
        <x:v>내부 관찰 대상</x:v>
      </x:c>
      <x:c r="AB1358" s="2"/>
    </x:row>
    <x:row r="1359" ht="42" customHeight="1">
      <x:c r="A1359" s="2" t="str">
        <x:v>f93ee3304b825702e037affd</x:v>
      </x:c>
      <x:c r="B1359" s="2" t="str">
        <x:v>사업 평가</x:v>
      </x:c>
      <x:c r="C1359" s="2" t="str">
        <x:v>국내</x:v>
      </x:c>
      <x:c r="D1359" s="7" t="str">
        <x:v>고효율 공기압축기 설치로 온실가스 배출 감축사업</x:v>
      </x:c>
      <x:c r="E1359" s="2" t="str">
        <x:v>1220</x:v>
      </x:c>
      <x:c r="F1359" s="2" t="str">
        <x:v>2026-07-13</x:v>
      </x:c>
      <x:c r="G1359" s="2" t="str">
        <x:v>2026</x:v>
      </x:c>
      <x:c r="H1359" s="2" t="str">
        <x:v>07</x:v>
      </x:c>
      <x:c r="I1359" s="2" t="str">
        <x:v>보완1차_보완중</x:v>
      </x:c>
      <x:c r="J1359" s="2" t="str">
        <x:v>보류</x:v>
      </x:c>
      <x:c r="K1359" s="2" t="str">
        <x:f>IF(OR(J1359="심의승인",J1359="반려",J1359="반려완료",J1359="심의완료"),"종결 표시",IF(OR(J1359="기후부협의",J1359="문서재제출요청",J1359="보류",J1359="보완요청",J1359="보완완료",J1359="평가중",J1359="반려요청",J1359="평가필요",LEFT(J1359,5)="보완요청("),"미종결 표시","상태 확인 필요"))</x:f>
        <x:v>미종결 표시</x:v>
      </x:c>
      <x:c r="L1359" s="2"/>
      <x:c r="M1359" s="2" t="n">
        <x:v>1</x:v>
      </x:c>
      <x:c r="N1359" s="8" t="n">
        <x:f>DATE(2026,10,15)-DATE(2026,7,13)</x:f>
        <x:v>94</x:v>
      </x:c>
      <x:c r="O1359" s="2"/>
      <x:c r="P1359" s="2"/>
      <x:c r="Q1359" s="2" t="str">
        <x:v>산업전환_외부사업관리Tool_260707_이너젠 수정_LJY_261013.xlsx</x:v>
      </x:c>
      <x:c r="R1359" s="2" t="str">
        <x:v>국내평가</x:v>
      </x:c>
      <x:c r="S1359" s="8" t="n">
        <x:v>1262</x:v>
      </x:c>
      <x:c r="T1359" s="2"/>
      <x:c r="U1359" s="2" t="str"/>
      <x:c r="V1359" s="2" t="str">
        <x:v>2026-08-24</x:v>
      </x:c>
      <x:c r="W1359" s="2" t="str">
        <x:v>담당기관 확인</x:v>
      </x:c>
      <x:c r="X1359" s="2" t="str">
        <x:v>원본·배정 기록 확인</x:v>
      </x:c>
      <x:c r="Y1359" s="2" t="str">
        <x:v>ad210cd9ec132cfd447541c8984dc53d30aff0f4fb2dc92d254d49275cc55976</x:v>
      </x:c>
      <x:c r="Z1359" s="2" t="n">
        <x:f>SUBTOTAL(103,A1359)</x:f>
        <x:v>1</x:v>
      </x:c>
      <x:c r="AA1359" s="2" t="str">
        <x:f>IF(K1359&lt;&gt;"미종결 표시","대상 아님",IF(N1359="","신청일 확인",IF(NOT(ISNUMBER('종합 현황'!$H$5)),"관찰기준 확인",IF('종합 현황'!$H$5&lt;1,"관찰기준 확인",IF(N1359&gt;'종합 현황'!$H$5,"내부 관찰 대상","내부 관찰일 이하")))))</x:f>
        <x:v>내부 관찰 대상</x:v>
      </x:c>
      <x:c r="AB1359" s="2"/>
    </x:row>
    <x:row r="1360" ht="42" customHeight="1">
      <x:c r="A1360" s="2" t="str">
        <x:v>bad2781b953614e16722da37</x:v>
      </x:c>
      <x:c r="B1360" s="2" t="str">
        <x:v>사업 평가</x:v>
      </x:c>
      <x:c r="C1360" s="2" t="str">
        <x:v>국내</x:v>
      </x:c>
      <x:c r="D1360" s="7" t="str">
        <x:v>㈜하이테크 ENV의 육불화황 회수 및 플라즈마 분해를 통한 온실가스 감축사업</x:v>
      </x:c>
      <x:c r="E1360" s="2" t="str">
        <x:v>1221</x:v>
      </x:c>
      <x:c r="F1360" s="2" t="str">
        <x:v>2026-06-15</x:v>
      </x:c>
      <x:c r="G1360" s="2" t="str">
        <x:v>2026</x:v>
      </x:c>
      <x:c r="H1360" s="2" t="str">
        <x:v>06</x:v>
      </x:c>
      <x:c r="I1360" s="2" t="str">
        <x:v>협의검토중</x:v>
      </x:c>
      <x:c r="J1360" s="2" t="str">
        <x:v>보류</x:v>
      </x:c>
      <x:c r="K1360" s="2" t="str">
        <x:f>IF(OR(J1360="심의승인",J1360="반려",J1360="반려완료",J1360="심의완료"),"종결 표시",IF(OR(J1360="기후부협의",J1360="문서재제출요청",J1360="보류",J1360="보완요청",J1360="보완완료",J1360="평가중",J1360="반려요청",J1360="평가필요",LEFT(J1360,5)="보완요청("),"미종결 표시","상태 확인 필요"))</x:f>
        <x:v>미종결 표시</x:v>
      </x:c>
      <x:c r="L1360" s="2"/>
      <x:c r="M1360" s="2"/>
      <x:c r="N1360" s="8" t="n">
        <x:f>DATE(2026,10,15)-DATE(2026,6,15)</x:f>
        <x:v>122</x:v>
      </x:c>
      <x:c r="O1360" s="2"/>
      <x:c r="P1360" s="2"/>
      <x:c r="Q1360" s="2" t="str">
        <x:v>산업전환_외부사업관리Tool_260707_이너젠 수정_LJY_261013.xlsx</x:v>
      </x:c>
      <x:c r="R1360" s="2" t="str">
        <x:v>국내평가</x:v>
      </x:c>
      <x:c r="S1360" s="8" t="n">
        <x:v>1263</x:v>
      </x:c>
      <x:c r="T1360" s="2"/>
      <x:c r="U1360" s="2" t="str"/>
      <x:c r="V1360" s="2" t="str">
        <x:v>2026-09-07</x:v>
      </x:c>
      <x:c r="W1360" s="2" t="str">
        <x:v>담당기관 확인</x:v>
      </x:c>
      <x:c r="X1360" s="2" t="str">
        <x:v>원본·배정 기록 확인</x:v>
      </x:c>
      <x:c r="Y1360" s="2" t="str">
        <x:v>ad210cd9ec132cfd447541c8984dc53d30aff0f4fb2dc92d254d49275cc55976</x:v>
      </x:c>
      <x:c r="Z1360" s="2" t="n">
        <x:f>SUBTOTAL(103,A1360)</x:f>
        <x:v>1</x:v>
      </x:c>
      <x:c r="AA1360" s="2" t="str">
        <x:f>IF(K1360&lt;&gt;"미종결 표시","대상 아님",IF(N1360="","신청일 확인",IF(NOT(ISNUMBER('종합 현황'!$H$5)),"관찰기준 확인",IF('종합 현황'!$H$5&lt;1,"관찰기준 확인",IF(N1360&gt;'종합 현황'!$H$5,"내부 관찰 대상","내부 관찰일 이하")))))</x:f>
        <x:v>내부 관찰 대상</x:v>
      </x:c>
      <x:c r="AB1360" s="2"/>
    </x:row>
    <x:row r="1361" ht="42" customHeight="1">
      <x:c r="A1361" s="2" t="str">
        <x:v>18d0293476325cbc2d1dbf0b</x:v>
      </x:c>
      <x:c r="B1361" s="2" t="str">
        <x:v>사업 평가</x:v>
      </x:c>
      <x:c r="C1361" s="2" t="str">
        <x:v>국내</x:v>
      </x:c>
      <x:c r="D1361" s="7" t="str">
        <x:v>친환경대현그린의 바이오가스에서 추출된 메탄을 사용한 수소생산을 통한 온실가스 감축사업</x:v>
      </x:c>
      <x:c r="E1361" s="2" t="str">
        <x:v>1259</x:v>
      </x:c>
      <x:c r="F1361" s="2" t="str">
        <x:v>2019-10-31</x:v>
      </x:c>
      <x:c r="G1361" s="2" t="str">
        <x:v>2019</x:v>
      </x:c>
      <x:c r="H1361" s="2" t="str">
        <x:v>10</x:v>
      </x:c>
      <x:c r="I1361" s="2" t="str">
        <x:v>보완2차_보완중</x:v>
      </x:c>
      <x:c r="J1361" s="2" t="str">
        <x:v>보완요청</x:v>
      </x:c>
      <x:c r="K1361" s="2" t="str">
        <x:f>IF(OR(J1361="심의승인",J1361="반려",J1361="반려완료",J1361="심의완료"),"종결 표시",IF(OR(J1361="기후부협의",J1361="문서재제출요청",J1361="보류",J1361="보완요청",J1361="보완완료",J1361="평가중",J1361="반려요청",J1361="평가필요",LEFT(J1361,5)="보완요청("),"미종결 표시","상태 확인 필요"))</x:f>
        <x:v>미종결 표시</x:v>
      </x:c>
      <x:c r="L1361" s="2"/>
      <x:c r="M1361" s="2" t="n">
        <x:v>2</x:v>
      </x:c>
      <x:c r="N1361" s="8" t="n">
        <x:f>DATE(2026,10,15)-DATE(2019,10,31)</x:f>
        <x:v>2541</x:v>
      </x:c>
      <x:c r="O1361" s="2"/>
      <x:c r="P1361" s="2"/>
      <x:c r="Q1361" s="2" t="str">
        <x:v>산업전환_외부사업관리Tool_260707_이너젠 수정_LJY_261013.xlsx</x:v>
      </x:c>
      <x:c r="R1361" s="2" t="str">
        <x:v>국내평가</x:v>
      </x:c>
      <x:c r="S1361" s="8" t="n">
        <x:v>1264</x:v>
      </x:c>
      <x:c r="T1361" s="2"/>
      <x:c r="U1361" s="2" t="str"/>
      <x:c r="V1361" s="2" t="str">
        <x:v>2020-10-19</x:v>
      </x:c>
      <x:c r="W1361" s="2" t="str">
        <x:v>담당기관 확인</x:v>
      </x:c>
      <x:c r="X1361" s="2" t="str">
        <x:v>원본·배정 기록 확인</x:v>
      </x:c>
      <x:c r="Y1361" s="2" t="str">
        <x:v>ad210cd9ec132cfd447541c8984dc53d30aff0f4fb2dc92d254d49275cc55976</x:v>
      </x:c>
      <x:c r="Z1361" s="2" t="n">
        <x:f>SUBTOTAL(103,A1361)</x:f>
        <x:v>1</x:v>
      </x:c>
      <x:c r="AA1361" s="2" t="str">
        <x:f>IF(K1361&lt;&gt;"미종결 표시","대상 아님",IF(N1361="","신청일 확인",IF(NOT(ISNUMBER('종합 현황'!$H$5)),"관찰기준 확인",IF('종합 현황'!$H$5&lt;1,"관찰기준 확인",IF(N1361&gt;'종합 현황'!$H$5,"내부 관찰 대상","내부 관찰일 이하")))))</x:f>
        <x:v>내부 관찰 대상</x:v>
      </x:c>
      <x:c r="AB1361" s="2"/>
    </x:row>
    <x:row r="1362" ht="42" customHeight="1">
      <x:c r="A1362" s="2" t="str">
        <x:v>8939eac6f41aeeaa3e051fed</x:v>
      </x:c>
      <x:c r="B1362" s="2" t="str">
        <x:v>사업 평가</x:v>
      </x:c>
      <x:c r="C1362" s="2" t="str">
        <x:v>국내</x:v>
      </x:c>
      <x:c r="D1362" s="7" t="str">
        <x:v>목재펠릿을 통한 연료 전환사업,우성</x:v>
      </x:c>
      <x:c r="E1362" s="2" t="str">
        <x:v>1273</x:v>
      </x:c>
      <x:c r="F1362" s="2" t="str">
        <x:v>2015-07-21</x:v>
      </x:c>
      <x:c r="G1362" s="2" t="str">
        <x:v>2015</x:v>
      </x:c>
      <x:c r="H1362" s="2" t="str">
        <x:v>07</x:v>
      </x:c>
      <x:c r="I1362" s="2" t="str">
        <x:v>반려</x:v>
      </x:c>
      <x:c r="J1362" s="2" t="str">
        <x:v>반려</x:v>
      </x:c>
      <x:c r="K1362" s="2" t="str">
        <x:f>IF(OR(J1362="심의승인",J1362="반려",J1362="반려완료",J1362="심의완료"),"종결 표시",IF(OR(J1362="기후부협의",J1362="문서재제출요청",J1362="보류",J1362="보완요청",J1362="보완완료",J1362="평가중",J1362="반려요청",J1362="평가필요",LEFT(J1362,5)="보완요청("),"미종결 표시","상태 확인 필요"))</x:f>
        <x:v>종결 표시</x:v>
      </x:c>
      <x:c r="L1362" s="2"/>
      <x:c r="M1362" s="2"/>
      <x:c r="N1362" s="8" t="n">
        <x:f>DATE(2026,10,15)-DATE(2015,7,21)</x:f>
        <x:v>4104</x:v>
      </x:c>
      <x:c r="O1362" s="2"/>
      <x:c r="P1362" s="2"/>
      <x:c r="Q1362" s="2" t="str">
        <x:v>산업전환_외부사업관리Tool_260707_이너젠 수정_LJY_261013.xlsx</x:v>
      </x:c>
      <x:c r="R1362" s="2" t="str">
        <x:v>국내평가</x:v>
      </x:c>
      <x:c r="S1362" s="8" t="n">
        <x:v>1265</x:v>
      </x:c>
      <x:c r="T1362" s="2"/>
      <x:c r="U1362" s="2" t="str"/>
      <x:c r="V1362" s="2" t="str">
        <x:v>2016-05-17</x:v>
      </x:c>
      <x:c r="W1362" s="2" t="str">
        <x:v>담당기관 확인</x:v>
      </x:c>
      <x:c r="X1362" s="2" t="str">
        <x:v>원본·배정 기록 확인</x:v>
      </x:c>
      <x:c r="Y1362" s="2" t="str">
        <x:v>ad210cd9ec132cfd447541c8984dc53d30aff0f4fb2dc92d254d49275cc55976</x:v>
      </x:c>
      <x:c r="Z1362" s="2" t="n">
        <x:f>SUBTOTAL(103,A1362)</x:f>
        <x:v>1</x:v>
      </x:c>
      <x:c r="AA1362" s="2" t="str">
        <x:f>IF(K1362&lt;&gt;"미종결 표시","대상 아님",IF(N1362="","신청일 확인",IF(NOT(ISNUMBER('종합 현황'!$H$5)),"관찰기준 확인",IF('종합 현황'!$H$5&lt;1,"관찰기준 확인",IF(N1362&gt;'종합 현황'!$H$5,"내부 관찰 대상","내부 관찰일 이하")))))</x:f>
        <x:v>대상 아님</x:v>
      </x:c>
      <x:c r="AB1362" s="2"/>
    </x:row>
    <x:row r="1363" ht="42" customHeight="1">
      <x:c r="A1363" s="2" t="str">
        <x:v>b683918444436704f1c5f828</x:v>
      </x:c>
      <x:c r="B1363" s="2" t="str">
        <x:v>사업 평가</x:v>
      </x:c>
      <x:c r="C1363" s="2" t="str">
        <x:v>국내</x:v>
      </x:c>
      <x:c r="D1363" s="7" t="str">
        <x:v>영덕풍력발전단지청정개발체제사업</x:v>
      </x:c>
      <x:c r="E1363" s="2" t="str">
        <x:v>1274</x:v>
      </x:c>
      <x:c r="F1363" s="2" t="str">
        <x:v>2015-01-15</x:v>
      </x:c>
      <x:c r="G1363" s="2" t="str">
        <x:v>2015</x:v>
      </x:c>
      <x:c r="H1363" s="2" t="str">
        <x:v>01</x:v>
      </x:c>
      <x:c r="I1363" s="2" t="str">
        <x:v>반려</x:v>
      </x:c>
      <x:c r="J1363" s="2" t="str">
        <x:v>반려</x:v>
      </x:c>
      <x:c r="K1363" s="2" t="str">
        <x:f>IF(OR(J1363="심의승인",J1363="반려",J1363="반려완료",J1363="심의완료"),"종결 표시",IF(OR(J1363="기후부협의",J1363="문서재제출요청",J1363="보류",J1363="보완요청",J1363="보완완료",J1363="평가중",J1363="반려요청",J1363="평가필요",LEFT(J1363,5)="보완요청("),"미종결 표시","상태 확인 필요"))</x:f>
        <x:v>종결 표시</x:v>
      </x:c>
      <x:c r="L1363" s="2"/>
      <x:c r="M1363" s="2"/>
      <x:c r="N1363" s="8" t="n">
        <x:f>DATE(2026,10,15)-DATE(2015,1,15)</x:f>
        <x:v>4291</x:v>
      </x:c>
      <x:c r="O1363" s="2"/>
      <x:c r="P1363" s="2"/>
      <x:c r="Q1363" s="2" t="str">
        <x:v>산업전환_외부사업관리Tool_260707_이너젠 수정_LJY_261013.xlsx</x:v>
      </x:c>
      <x:c r="R1363" s="2" t="str">
        <x:v>국내평가</x:v>
      </x:c>
      <x:c r="S1363" s="8" t="n">
        <x:v>1266</x:v>
      </x:c>
      <x:c r="T1363" s="2"/>
      <x:c r="U1363" s="2" t="str"/>
      <x:c r="V1363" s="2" t="str">
        <x:v>2016-05-16</x:v>
      </x:c>
      <x:c r="W1363" s="2" t="str">
        <x:v>담당기관 확인</x:v>
      </x:c>
      <x:c r="X1363" s="2" t="str">
        <x:v>원본·배정 기록 확인</x:v>
      </x:c>
      <x:c r="Y1363" s="2" t="str">
        <x:v>ad210cd9ec132cfd447541c8984dc53d30aff0f4fb2dc92d254d49275cc55976</x:v>
      </x:c>
      <x:c r="Z1363" s="2" t="n">
        <x:f>SUBTOTAL(103,A1363)</x:f>
        <x:v>1</x:v>
      </x:c>
      <x:c r="AA1363" s="2" t="str">
        <x:f>IF(K1363&lt;&gt;"미종결 표시","대상 아님",IF(N1363="","신청일 확인",IF(NOT(ISNUMBER('종합 현황'!$H$5)),"관찰기준 확인",IF('종합 현황'!$H$5&lt;1,"관찰기준 확인",IF(N1363&gt;'종합 현황'!$H$5,"내부 관찰 대상","내부 관찰일 이하")))))</x:f>
        <x:v>대상 아님</x:v>
      </x:c>
      <x:c r="AB1363" s="2"/>
    </x:row>
    <x:row r="1364" ht="42" customHeight="1">
      <x:c r="A1364" s="2" t="str">
        <x:v>3443989d94c557a1364d7402</x:v>
      </x:c>
      <x:c r="B1364" s="2" t="str">
        <x:v>사업 평가</x:v>
      </x:c>
      <x:c r="C1364" s="2" t="str">
        <x:v>국내</x:v>
      </x:c>
      <x:c r="D1364" s="7" t="str">
        <x:v>태양광</x:v>
      </x:c>
      <x:c r="E1364" s="2" t="str">
        <x:v>1275</x:v>
      </x:c>
      <x:c r="F1364" s="2" t="str">
        <x:v>2016-03-07</x:v>
      </x:c>
      <x:c r="G1364" s="2" t="str">
        <x:v>2016</x:v>
      </x:c>
      <x:c r="H1364" s="2" t="str">
        <x:v>03</x:v>
      </x:c>
      <x:c r="I1364" s="2" t="str">
        <x:v>반려</x:v>
      </x:c>
      <x:c r="J1364" s="2" t="str">
        <x:v>반려</x:v>
      </x:c>
      <x:c r="K1364" s="2" t="str">
        <x:f>IF(OR(J1364="심의승인",J1364="반려",J1364="반려완료",J1364="심의완료"),"종결 표시",IF(OR(J1364="기후부협의",J1364="문서재제출요청",J1364="보류",J1364="보완요청",J1364="보완완료",J1364="평가중",J1364="반려요청",J1364="평가필요",LEFT(J1364,5)="보완요청("),"미종결 표시","상태 확인 필요"))</x:f>
        <x:v>종결 표시</x:v>
      </x:c>
      <x:c r="L1364" s="2"/>
      <x:c r="M1364" s="2"/>
      <x:c r="N1364" s="8" t="n">
        <x:f>DATE(2026,10,15)-DATE(2016,3,7)</x:f>
        <x:v>3874</x:v>
      </x:c>
      <x:c r="O1364" s="2"/>
      <x:c r="P1364" s="2"/>
      <x:c r="Q1364" s="2" t="str">
        <x:v>산업전환_외부사업관리Tool_260707_이너젠 수정_LJY_261013.xlsx</x:v>
      </x:c>
      <x:c r="R1364" s="2" t="str">
        <x:v>국내평가</x:v>
      </x:c>
      <x:c r="S1364" s="8" t="n">
        <x:v>1267</x:v>
      </x:c>
      <x:c r="T1364" s="2"/>
      <x:c r="U1364" s="2" t="str"/>
      <x:c r="V1364" s="2" t="str">
        <x:v>2016-04-04</x:v>
      </x:c>
      <x:c r="W1364" s="2" t="str">
        <x:v>담당기관 확인</x:v>
      </x:c>
      <x:c r="X1364" s="2" t="str">
        <x:v>원본·배정 기록 확인</x:v>
      </x:c>
      <x:c r="Y1364" s="2" t="str">
        <x:v>ad210cd9ec132cfd447541c8984dc53d30aff0f4fb2dc92d254d49275cc55976</x:v>
      </x:c>
      <x:c r="Z1364" s="2" t="n">
        <x:f>SUBTOTAL(103,A1364)</x:f>
        <x:v>1</x:v>
      </x:c>
      <x:c r="AA1364" s="2" t="str">
        <x:f>IF(K1364&lt;&gt;"미종결 표시","대상 아님",IF(N1364="","신청일 확인",IF(NOT(ISNUMBER('종합 현황'!$H$5)),"관찰기준 확인",IF('종합 현황'!$H$5&lt;1,"관찰기준 확인",IF(N1364&gt;'종합 현황'!$H$5,"내부 관찰 대상","내부 관찰일 이하")))))</x:f>
        <x:v>대상 아님</x:v>
      </x:c>
      <x:c r="AB1364" s="2"/>
    </x:row>
    <x:row r="1365" ht="42" customHeight="1">
      <x:c r="A1365" s="2" t="str">
        <x:v>aa7c7b53a3339da31fba076e</x:v>
      </x:c>
      <x:c r="B1365" s="2" t="str">
        <x:v>사업 평가</x:v>
      </x:c>
      <x:c r="C1365" s="2" t="str">
        <x:v>국내</x:v>
      </x:c>
      <x:c r="D1365" s="7" t="str">
        <x:v>열에너지생산을 위한 보일러연료전환사업(대경서농)</x:v>
      </x:c>
      <x:c r="E1365" s="2" t="str">
        <x:v>1276</x:v>
      </x:c>
      <x:c r="F1365" s="2" t="str">
        <x:v>2015-07-09</x:v>
      </x:c>
      <x:c r="G1365" s="2" t="str">
        <x:v>2015</x:v>
      </x:c>
      <x:c r="H1365" s="2" t="str">
        <x:v>07</x:v>
      </x:c>
      <x:c r="I1365" s="2" t="str">
        <x:v>반려</x:v>
      </x:c>
      <x:c r="J1365" s="2" t="str">
        <x:v>반려</x:v>
      </x:c>
      <x:c r="K1365" s="2" t="str">
        <x:f>IF(OR(J1365="심의승인",J1365="반려",J1365="반려완료",J1365="심의완료"),"종결 표시",IF(OR(J1365="기후부협의",J1365="문서재제출요청",J1365="보류",J1365="보완요청",J1365="보완완료",J1365="평가중",J1365="반려요청",J1365="평가필요",LEFT(J1365,5)="보완요청("),"미종결 표시","상태 확인 필요"))</x:f>
        <x:v>종결 표시</x:v>
      </x:c>
      <x:c r="L1365" s="2"/>
      <x:c r="M1365" s="2"/>
      <x:c r="N1365" s="8" t="n">
        <x:f>DATE(2026,10,15)-DATE(2015,7,9)</x:f>
        <x:v>4116</x:v>
      </x:c>
      <x:c r="O1365" s="2"/>
      <x:c r="P1365" s="2"/>
      <x:c r="Q1365" s="2" t="str">
        <x:v>산업전환_외부사업관리Tool_260707_이너젠 수정_LJY_261013.xlsx</x:v>
      </x:c>
      <x:c r="R1365" s="2" t="str">
        <x:v>국내평가</x:v>
      </x:c>
      <x:c r="S1365" s="8" t="n">
        <x:v>1268</x:v>
      </x:c>
      <x:c r="T1365" s="2"/>
      <x:c r="U1365" s="2" t="str"/>
      <x:c r="V1365" s="2" t="str">
        <x:v>2016-02-22</x:v>
      </x:c>
      <x:c r="W1365" s="2" t="str">
        <x:v>담당기관 확인</x:v>
      </x:c>
      <x:c r="X1365" s="2" t="str">
        <x:v>원본·배정 기록 확인</x:v>
      </x:c>
      <x:c r="Y1365" s="2" t="str">
        <x:v>ad210cd9ec132cfd447541c8984dc53d30aff0f4fb2dc92d254d49275cc55976</x:v>
      </x:c>
      <x:c r="Z1365" s="2" t="n">
        <x:f>SUBTOTAL(103,A1365)</x:f>
        <x:v>1</x:v>
      </x:c>
      <x:c r="AA1365" s="2" t="str">
        <x:f>IF(K1365&lt;&gt;"미종결 표시","대상 아님",IF(N1365="","신청일 확인",IF(NOT(ISNUMBER('종합 현황'!$H$5)),"관찰기준 확인",IF('종합 현황'!$H$5&lt;1,"관찰기준 확인",IF(N1365&gt;'종합 현황'!$H$5,"내부 관찰 대상","내부 관찰일 이하")))))</x:f>
        <x:v>대상 아님</x:v>
      </x:c>
      <x:c r="AB1365" s="2"/>
    </x:row>
    <x:row r="1366" ht="42" customHeight="1">
      <x:c r="A1366" s="2" t="str">
        <x:v>2c36b7f99c9043368878f2a0</x:v>
      </x:c>
      <x:c r="B1366" s="2" t="str">
        <x:v>사업 평가</x:v>
      </x:c>
      <x:c r="C1366" s="2" t="str">
        <x:v>국내</x:v>
      </x:c>
      <x:c r="D1366" s="7" t="str">
        <x:v>아산화질소 배출 감축사업</x:v>
      </x:c>
      <x:c r="E1366" s="2" t="str">
        <x:v>1278</x:v>
      </x:c>
      <x:c r="F1366" s="2" t="str">
        <x:v>2015-12-17</x:v>
      </x:c>
      <x:c r="G1366" s="2" t="str">
        <x:v>2015</x:v>
      </x:c>
      <x:c r="H1366" s="2" t="str">
        <x:v>12</x:v>
      </x:c>
      <x:c r="I1366" s="2" t="str">
        <x:v>검토필요</x:v>
      </x:c>
      <x:c r="J1366" s="2"/>
      <x:c r="K1366" s="2" t="str">
        <x:f>IF(OR(J1366="심의승인",J1366="반려",J1366="반려완료",J1366="심의완료"),"종결 표시",IF(OR(J1366="기후부협의",J1366="문서재제출요청",J1366="보류",J1366="보완요청",J1366="보완완료",J1366="평가중",J1366="반려요청",J1366="평가필요",LEFT(J1366,5)="보완요청("),"미종결 표시","상태 확인 필요"))</x:f>
        <x:v>상태 확인 필요</x:v>
      </x:c>
      <x:c r="L1366" s="2"/>
      <x:c r="M1366" s="2"/>
      <x:c r="N1366" s="8" t="n">
        <x:f>DATE(2026,10,15)-DATE(2015,12,17)</x:f>
        <x:v>3955</x:v>
      </x:c>
      <x:c r="O1366" s="2"/>
      <x:c r="P1366" s="2"/>
      <x:c r="Q1366" s="2" t="str">
        <x:v>산업전환_외부사업관리Tool_260707_이너젠 수정_LJY_261013.xlsx</x:v>
      </x:c>
      <x:c r="R1366" s="2" t="str">
        <x:v>국내평가</x:v>
      </x:c>
      <x:c r="S1366" s="8" t="n">
        <x:v>1269</x:v>
      </x:c>
      <x:c r="T1366" s="2"/>
      <x:c r="U1366" s="2" t="str"/>
      <x:c r="V1366" s="2" t="str">
        <x:v>2016-02-01</x:v>
      </x:c>
      <x:c r="W1366" s="2" t="str">
        <x:v>담당기관 확인 / 종결 여부 확인</x:v>
      </x:c>
      <x:c r="X1366" s="2" t="str">
        <x:v>원본·배정 기록 확인</x:v>
      </x:c>
      <x:c r="Y1366" s="2" t="str">
        <x:v>ad210cd9ec132cfd447541c8984dc53d30aff0f4fb2dc92d254d49275cc55976</x:v>
      </x:c>
      <x:c r="Z1366" s="2" t="n">
        <x:f>SUBTOTAL(103,A1366)</x:f>
        <x:v>1</x:v>
      </x:c>
      <x:c r="AA1366" s="2" t="str">
        <x:f>IF(K1366&lt;&gt;"미종결 표시","대상 아님",IF(N1366="","신청일 확인",IF(NOT(ISNUMBER('종합 현황'!$H$5)),"관찰기준 확인",IF('종합 현황'!$H$5&lt;1,"관찰기준 확인",IF(N1366&gt;'종합 현황'!$H$5,"내부 관찰 대상","내부 관찰일 이하")))))</x:f>
        <x:v>대상 아님</x:v>
      </x:c>
      <x:c r="AB1366" s="2"/>
    </x:row>
    <x:row r="1367" ht="42" customHeight="1">
      <x:c r="A1367" s="2" t="str">
        <x:v>57eb17397c10eba8a90a928a</x:v>
      </x:c>
      <x:c r="B1367" s="2" t="str">
        <x:v>사업 평가</x:v>
      </x:c>
      <x:c r="C1367" s="2" t="str">
        <x:v>국내</x:v>
      </x:c>
      <x:c r="D1367" s="7" t="str">
        <x:v>열에너지생산을위한 보일러 연료전환사업(대경음성)</x:v>
      </x:c>
      <x:c r="E1367" s="2" t="str">
        <x:v>1279</x:v>
      </x:c>
      <x:c r="F1367" s="2" t="str">
        <x:v>2015-07-09</x:v>
      </x:c>
      <x:c r="G1367" s="2" t="str">
        <x:v>2015</x:v>
      </x:c>
      <x:c r="H1367" s="2" t="str">
        <x:v>07</x:v>
      </x:c>
      <x:c r="I1367" s="2" t="str">
        <x:v>반려</x:v>
      </x:c>
      <x:c r="J1367" s="2" t="str">
        <x:v>반려</x:v>
      </x:c>
      <x:c r="K1367" s="2" t="str">
        <x:f>IF(OR(J1367="심의승인",J1367="반려",J1367="반려완료",J1367="심의완료"),"종결 표시",IF(OR(J1367="기후부협의",J1367="문서재제출요청",J1367="보류",J1367="보완요청",J1367="보완완료",J1367="평가중",J1367="반려요청",J1367="평가필요",LEFT(J1367,5)="보완요청("),"미종결 표시","상태 확인 필요"))</x:f>
        <x:v>종결 표시</x:v>
      </x:c>
      <x:c r="L1367" s="2"/>
      <x:c r="M1367" s="2"/>
      <x:c r="N1367" s="8" t="n">
        <x:f>DATE(2026,10,15)-DATE(2015,7,9)</x:f>
        <x:v>4116</x:v>
      </x:c>
      <x:c r="O1367" s="2"/>
      <x:c r="P1367" s="2"/>
      <x:c r="Q1367" s="2" t="str">
        <x:v>산업전환_외부사업관리Tool_260707_이너젠 수정_LJY_261013.xlsx</x:v>
      </x:c>
      <x:c r="R1367" s="2" t="str">
        <x:v>국내평가</x:v>
      </x:c>
      <x:c r="S1367" s="8" t="n">
        <x:v>1270</x:v>
      </x:c>
      <x:c r="T1367" s="2"/>
      <x:c r="U1367" s="2" t="str"/>
      <x:c r="V1367" s="2" t="str">
        <x:v>2015-12-16</x:v>
      </x:c>
      <x:c r="W1367" s="2" t="str">
        <x:v>담당기관 확인</x:v>
      </x:c>
      <x:c r="X1367" s="2" t="str">
        <x:v>원본·배정 기록 확인</x:v>
      </x:c>
      <x:c r="Y1367" s="2" t="str">
        <x:v>ad210cd9ec132cfd447541c8984dc53d30aff0f4fb2dc92d254d49275cc55976</x:v>
      </x:c>
      <x:c r="Z1367" s="2" t="n">
        <x:f>SUBTOTAL(103,A1367)</x:f>
        <x:v>1</x:v>
      </x:c>
      <x:c r="AA1367" s="2" t="str">
        <x:f>IF(K1367&lt;&gt;"미종결 표시","대상 아님",IF(N1367="","신청일 확인",IF(NOT(ISNUMBER('종합 현황'!$H$5)),"관찰기준 확인",IF('종합 현황'!$H$5&lt;1,"관찰기준 확인",IF(N1367&gt;'종합 현황'!$H$5,"내부 관찰 대상","내부 관찰일 이하")))))</x:f>
        <x:v>대상 아님</x:v>
      </x:c>
      <x:c r="AB1367" s="2"/>
    </x:row>
    <x:row r="1368" ht="42" customHeight="1">
      <x:c r="A1368" s="2" t="str">
        <x:v>0c4fad9a8d01276aaa58b415</x:v>
      </x:c>
      <x:c r="B1368" s="2" t="str">
        <x:v>사업 평가</x:v>
      </x:c>
      <x:c r="C1368" s="2" t="str">
        <x:v>국내</x:v>
      </x:c>
      <x:c r="D1368" s="7" t="str">
        <x:v>북한 예성강 4호기 수력발전 프로젝트</x:v>
      </x:c>
      <x:c r="E1368" s="2" t="str">
        <x:v>1281</x:v>
      </x:c>
      <x:c r="F1368" s="2" t="str">
        <x:v>2015-05-13</x:v>
      </x:c>
      <x:c r="G1368" s="2" t="str">
        <x:v>2015</x:v>
      </x:c>
      <x:c r="H1368" s="2" t="str">
        <x:v>05</x:v>
      </x:c>
      <x:c r="I1368" s="2" t="str">
        <x:v>반려</x:v>
      </x:c>
      <x:c r="J1368" s="2" t="str">
        <x:v>반려</x:v>
      </x:c>
      <x:c r="K1368" s="2" t="str">
        <x:f>IF(OR(J1368="심의승인",J1368="반려",J1368="반려완료",J1368="심의완료"),"종결 표시",IF(OR(J1368="기후부협의",J1368="문서재제출요청",J1368="보류",J1368="보완요청",J1368="보완완료",J1368="평가중",J1368="반려요청",J1368="평가필요",LEFT(J1368,5)="보완요청("),"미종결 표시","상태 확인 필요"))</x:f>
        <x:v>종결 표시</x:v>
      </x:c>
      <x:c r="L1368" s="2"/>
      <x:c r="M1368" s="2"/>
      <x:c r="N1368" s="8" t="n">
        <x:f>DATE(2026,10,15)-DATE(2015,5,13)</x:f>
        <x:v>4173</x:v>
      </x:c>
      <x:c r="O1368" s="2"/>
      <x:c r="P1368" s="2"/>
      <x:c r="Q1368" s="2" t="str">
        <x:v>산업전환_외부사업관리Tool_260707_이너젠 수정_LJY_261013.xlsx</x:v>
      </x:c>
      <x:c r="R1368" s="2" t="str">
        <x:v>국내평가</x:v>
      </x:c>
      <x:c r="S1368" s="8" t="n">
        <x:v>1271</x:v>
      </x:c>
      <x:c r="T1368" s="2"/>
      <x:c r="U1368" s="2" t="str"/>
      <x:c r="V1368" s="2" t="str">
        <x:v>2015-09-21</x:v>
      </x:c>
      <x:c r="W1368" s="2" t="str">
        <x:v>담당기관 확인</x:v>
      </x:c>
      <x:c r="X1368" s="2" t="str">
        <x:v>원본·배정 기록 확인</x:v>
      </x:c>
      <x:c r="Y1368" s="2" t="str">
        <x:v>ad210cd9ec132cfd447541c8984dc53d30aff0f4fb2dc92d254d49275cc55976</x:v>
      </x:c>
      <x:c r="Z1368" s="2" t="n">
        <x:f>SUBTOTAL(103,A1368)</x:f>
        <x:v>1</x:v>
      </x:c>
      <x:c r="AA1368" s="2" t="str">
        <x:f>IF(K1368&lt;&gt;"미종결 표시","대상 아님",IF(N1368="","신청일 확인",IF(NOT(ISNUMBER('종합 현황'!$H$5)),"관찰기준 확인",IF('종합 현황'!$H$5&lt;1,"관찰기준 확인",IF(N1368&gt;'종합 현황'!$H$5,"내부 관찰 대상","내부 관찰일 이하")))))</x:f>
        <x:v>대상 아님</x:v>
      </x:c>
      <x:c r="AB1368" s="2"/>
    </x:row>
    <x:row r="1369" ht="42" customHeight="1">
      <x:c r="A1369" s="2" t="str">
        <x:v>c5ee211573b640899cad0cef</x:v>
      </x:c>
      <x:c r="B1369" s="2" t="str">
        <x:v>사업 평가</x:v>
      </x:c>
      <x:c r="C1369" s="2" t="str">
        <x:v>국내</x:v>
      </x:c>
      <x:c r="D1369" s="7" t="str">
        <x:v>삼달 풍력 발전사업</x:v>
      </x:c>
      <x:c r="E1369" s="2" t="str">
        <x:v>1282</x:v>
      </x:c>
      <x:c r="F1369" s="2" t="str">
        <x:v>2014-12-15</x:v>
      </x:c>
      <x:c r="G1369" s="2" t="str">
        <x:v>2014</x:v>
      </x:c>
      <x:c r="H1369" s="2" t="str">
        <x:v>12</x:v>
      </x:c>
      <x:c r="I1369" s="2" t="str">
        <x:v>반려</x:v>
      </x:c>
      <x:c r="J1369" s="2" t="str">
        <x:v>반려</x:v>
      </x:c>
      <x:c r="K1369" s="2" t="str">
        <x:f>IF(OR(J1369="심의승인",J1369="반려",J1369="반려완료",J1369="심의완료"),"종결 표시",IF(OR(J1369="기후부협의",J1369="문서재제출요청",J1369="보류",J1369="보완요청",J1369="보완완료",J1369="평가중",J1369="반려요청",J1369="평가필요",LEFT(J1369,5)="보완요청("),"미종결 표시","상태 확인 필요"))</x:f>
        <x:v>종결 표시</x:v>
      </x:c>
      <x:c r="L1369" s="2"/>
      <x:c r="M1369" s="2"/>
      <x:c r="N1369" s="8" t="n">
        <x:f>DATE(2026,10,15)-DATE(2014,12,15)</x:f>
        <x:v>4322</x:v>
      </x:c>
      <x:c r="O1369" s="2"/>
      <x:c r="P1369" s="2"/>
      <x:c r="Q1369" s="2" t="str">
        <x:v>산업전환_외부사업관리Tool_260707_이너젠 수정_LJY_261013.xlsx</x:v>
      </x:c>
      <x:c r="R1369" s="2" t="str">
        <x:v>국내평가</x:v>
      </x:c>
      <x:c r="S1369" s="8" t="n">
        <x:v>1272</x:v>
      </x:c>
      <x:c r="T1369" s="2"/>
      <x:c r="U1369" s="2" t="str"/>
      <x:c r="V1369" s="2" t="str">
        <x:v>2015-09-21</x:v>
      </x:c>
      <x:c r="W1369" s="2" t="str">
        <x:v>담당기관 확인</x:v>
      </x:c>
      <x:c r="X1369" s="2" t="str">
        <x:v>원본·배정 기록 확인</x:v>
      </x:c>
      <x:c r="Y1369" s="2" t="str">
        <x:v>ad210cd9ec132cfd447541c8984dc53d30aff0f4fb2dc92d254d49275cc55976</x:v>
      </x:c>
      <x:c r="Z1369" s="2" t="n">
        <x:f>SUBTOTAL(103,A1369)</x:f>
        <x:v>1</x:v>
      </x:c>
      <x:c r="AA1369" s="2" t="str">
        <x:f>IF(K1369&lt;&gt;"미종결 표시","대상 아님",IF(N1369="","신청일 확인",IF(NOT(ISNUMBER('종합 현황'!$H$5)),"관찰기준 확인",IF('종합 현황'!$H$5&lt;1,"관찰기준 확인",IF(N1369&gt;'종합 현황'!$H$5,"내부 관찰 대상","내부 관찰일 이하")))))</x:f>
        <x:v>대상 아님</x:v>
      </x:c>
      <x:c r="AB1369" s="2"/>
    </x:row>
    <x:row r="1370" ht="42" customHeight="1">
      <x:c r="A1370" s="2" t="str">
        <x:v>d75dd6387fb5fa29a86427f3</x:v>
      </x:c>
      <x:c r="B1370" s="2" t="str">
        <x:v>사업 평가</x:v>
      </x:c>
      <x:c r="C1370" s="2" t="str">
        <x:v>국내</x:v>
      </x:c>
      <x:c r="D1370" s="7" t="str">
        <x:v>태양광발전 5호</x:v>
      </x:c>
      <x:c r="E1370" s="2" t="str">
        <x:v>1283</x:v>
      </x:c>
      <x:c r="F1370" s="2" t="str">
        <x:v>2015-06-25</x:v>
      </x:c>
      <x:c r="G1370" s="2" t="str">
        <x:v>2015</x:v>
      </x:c>
      <x:c r="H1370" s="2" t="str">
        <x:v>06</x:v>
      </x:c>
      <x:c r="I1370" s="2" t="str">
        <x:v>반려</x:v>
      </x:c>
      <x:c r="J1370" s="2" t="str">
        <x:v>반려</x:v>
      </x:c>
      <x:c r="K1370" s="2" t="str">
        <x:f>IF(OR(J1370="심의승인",J1370="반려",J1370="반려완료",J1370="심의완료"),"종결 표시",IF(OR(J1370="기후부협의",J1370="문서재제출요청",J1370="보류",J1370="보완요청",J1370="보완완료",J1370="평가중",J1370="반려요청",J1370="평가필요",LEFT(J1370,5)="보완요청("),"미종결 표시","상태 확인 필요"))</x:f>
        <x:v>종결 표시</x:v>
      </x:c>
      <x:c r="L1370" s="2"/>
      <x:c r="M1370" s="2"/>
      <x:c r="N1370" s="8" t="n">
        <x:f>DATE(2026,10,15)-DATE(2015,6,25)</x:f>
        <x:v>4130</x:v>
      </x:c>
      <x:c r="O1370" s="2"/>
      <x:c r="P1370" s="2"/>
      <x:c r="Q1370" s="2" t="str">
        <x:v>산업전환_외부사업관리Tool_260707_이너젠 수정_LJY_261013.xlsx</x:v>
      </x:c>
      <x:c r="R1370" s="2" t="str">
        <x:v>국내평가</x:v>
      </x:c>
      <x:c r="S1370" s="8" t="n">
        <x:v>1273</x:v>
      </x:c>
      <x:c r="T1370" s="2"/>
      <x:c r="U1370" s="2" t="str"/>
      <x:c r="V1370" s="2" t="str">
        <x:v>2015-09-07</x:v>
      </x:c>
      <x:c r="W1370" s="2" t="str">
        <x:v>담당기관 확인</x:v>
      </x:c>
      <x:c r="X1370" s="2" t="str">
        <x:v>원본·배정 기록 확인</x:v>
      </x:c>
      <x:c r="Y1370" s="2" t="str">
        <x:v>ad210cd9ec132cfd447541c8984dc53d30aff0f4fb2dc92d254d49275cc55976</x:v>
      </x:c>
      <x:c r="Z1370" s="2" t="n">
        <x:f>SUBTOTAL(103,A1370)</x:f>
        <x:v>1</x:v>
      </x:c>
      <x:c r="AA1370" s="2" t="str">
        <x:f>IF(K1370&lt;&gt;"미종결 표시","대상 아님",IF(N1370="","신청일 확인",IF(NOT(ISNUMBER('종합 현황'!$H$5)),"관찰기준 확인",IF('종합 현황'!$H$5&lt;1,"관찰기준 확인",IF(N1370&gt;'종합 현황'!$H$5,"내부 관찰 대상","내부 관찰일 이하")))))</x:f>
        <x:v>대상 아님</x:v>
      </x:c>
      <x:c r="AB1370" s="2"/>
    </x:row>
    <x:row r="1371" ht="42" customHeight="1">
      <x:c r="A1371" s="2" t="str">
        <x:v>578968b30d240dfe5511a231</x:v>
      </x:c>
      <x:c r="B1371" s="2" t="str">
        <x:v>사업 평가</x:v>
      </x:c>
      <x:c r="C1371" s="2" t="str">
        <x:v>국내</x:v>
      </x:c>
      <x:c r="D1371" s="7" t="str">
        <x:v>태양광발전 5호</x:v>
      </x:c>
      <x:c r="E1371" s="2" t="str">
        <x:v>1284</x:v>
      </x:c>
      <x:c r="F1371" s="2" t="str">
        <x:v>2015-06-25</x:v>
      </x:c>
      <x:c r="G1371" s="2" t="str">
        <x:v>2015</x:v>
      </x:c>
      <x:c r="H1371" s="2" t="str">
        <x:v>06</x:v>
      </x:c>
      <x:c r="I1371" s="2" t="str">
        <x:v>반려</x:v>
      </x:c>
      <x:c r="J1371" s="2" t="str">
        <x:v>반려</x:v>
      </x:c>
      <x:c r="K1371" s="2" t="str">
        <x:f>IF(OR(J1371="심의승인",J1371="반려",J1371="반려완료",J1371="심의완료"),"종결 표시",IF(OR(J1371="기후부협의",J1371="문서재제출요청",J1371="보류",J1371="보완요청",J1371="보완완료",J1371="평가중",J1371="반려요청",J1371="평가필요",LEFT(J1371,5)="보완요청("),"미종결 표시","상태 확인 필요"))</x:f>
        <x:v>종결 표시</x:v>
      </x:c>
      <x:c r="L1371" s="2"/>
      <x:c r="M1371" s="2"/>
      <x:c r="N1371" s="8" t="n">
        <x:f>DATE(2026,10,15)-DATE(2015,6,25)</x:f>
        <x:v>4130</x:v>
      </x:c>
      <x:c r="O1371" s="2"/>
      <x:c r="P1371" s="2"/>
      <x:c r="Q1371" s="2" t="str">
        <x:v>산업전환_외부사업관리Tool_260707_이너젠 수정_LJY_261013.xlsx</x:v>
      </x:c>
      <x:c r="R1371" s="2" t="str">
        <x:v>국내평가</x:v>
      </x:c>
      <x:c r="S1371" s="8" t="n">
        <x:v>1274</x:v>
      </x:c>
      <x:c r="T1371" s="2"/>
      <x:c r="U1371" s="2" t="str"/>
      <x:c r="V1371" s="2" t="str">
        <x:v>2015-09-07</x:v>
      </x:c>
      <x:c r="W1371" s="2" t="str">
        <x:v>담당기관 확인</x:v>
      </x:c>
      <x:c r="X1371" s="2" t="str">
        <x:v>원본·배정 기록 확인</x:v>
      </x:c>
      <x:c r="Y1371" s="2" t="str">
        <x:v>ad210cd9ec132cfd447541c8984dc53d30aff0f4fb2dc92d254d49275cc55976</x:v>
      </x:c>
      <x:c r="Z1371" s="2" t="n">
        <x:f>SUBTOTAL(103,A1371)</x:f>
        <x:v>1</x:v>
      </x:c>
      <x:c r="AA1371" s="2" t="str">
        <x:f>IF(K1371&lt;&gt;"미종결 표시","대상 아님",IF(N1371="","신청일 확인",IF(NOT(ISNUMBER('종합 현황'!$H$5)),"관찰기준 확인",IF('종합 현황'!$H$5&lt;1,"관찰기준 확인",IF(N1371&gt;'종합 현황'!$H$5,"내부 관찰 대상","내부 관찰일 이하")))))</x:f>
        <x:v>대상 아님</x:v>
      </x:c>
      <x:c r="AB1371" s="2"/>
    </x:row>
    <x:row r="1372" ht="42" customHeight="1">
      <x:c r="A1372" s="2" t="str">
        <x:v>9fd1941924dbfbf85168fdf4</x:v>
      </x:c>
      <x:c r="B1372" s="2" t="str">
        <x:v>사업 평가</x:v>
      </x:c>
      <x:c r="C1372" s="2" t="str">
        <x:v>국내</x:v>
      </x:c>
      <x:c r="D1372" s="7" t="str">
        <x:v>태양광발전 5호</x:v>
      </x:c>
      <x:c r="E1372" s="2" t="str">
        <x:v>1286</x:v>
      </x:c>
      <x:c r="F1372" s="2" t="str">
        <x:v>2015-06-25</x:v>
      </x:c>
      <x:c r="G1372" s="2" t="str">
        <x:v>2015</x:v>
      </x:c>
      <x:c r="H1372" s="2" t="str">
        <x:v>06</x:v>
      </x:c>
      <x:c r="I1372" s="2" t="str">
        <x:v>반려</x:v>
      </x:c>
      <x:c r="J1372" s="2" t="str">
        <x:v>반려</x:v>
      </x:c>
      <x:c r="K1372" s="2" t="str">
        <x:f>IF(OR(J1372="심의승인",J1372="반려",J1372="반려완료",J1372="심의완료"),"종결 표시",IF(OR(J1372="기후부협의",J1372="문서재제출요청",J1372="보류",J1372="보완요청",J1372="보완완료",J1372="평가중",J1372="반려요청",J1372="평가필요",LEFT(J1372,5)="보완요청("),"미종결 표시","상태 확인 필요"))</x:f>
        <x:v>종결 표시</x:v>
      </x:c>
      <x:c r="L1372" s="2"/>
      <x:c r="M1372" s="2"/>
      <x:c r="N1372" s="8" t="n">
        <x:f>DATE(2026,10,15)-DATE(2015,6,25)</x:f>
        <x:v>4130</x:v>
      </x:c>
      <x:c r="O1372" s="2"/>
      <x:c r="P1372" s="2"/>
      <x:c r="Q1372" s="2" t="str">
        <x:v>산업전환_외부사업관리Tool_260707_이너젠 수정_LJY_261013.xlsx</x:v>
      </x:c>
      <x:c r="R1372" s="2" t="str">
        <x:v>국내평가</x:v>
      </x:c>
      <x:c r="S1372" s="8" t="n">
        <x:v>1275</x:v>
      </x:c>
      <x:c r="T1372" s="2"/>
      <x:c r="U1372" s="2" t="str"/>
      <x:c r="V1372" s="2" t="str">
        <x:v>2015-07-01</x:v>
      </x:c>
      <x:c r="W1372" s="2" t="str">
        <x:v>담당기관 확인</x:v>
      </x:c>
      <x:c r="X1372" s="2" t="str">
        <x:v>원본·배정 기록 확인</x:v>
      </x:c>
      <x:c r="Y1372" s="2" t="str">
        <x:v>ad210cd9ec132cfd447541c8984dc53d30aff0f4fb2dc92d254d49275cc55976</x:v>
      </x:c>
      <x:c r="Z1372" s="2" t="n">
        <x:f>SUBTOTAL(103,A1372)</x:f>
        <x:v>1</x:v>
      </x:c>
      <x:c r="AA1372" s="2" t="str">
        <x:f>IF(K1372&lt;&gt;"미종결 표시","대상 아님",IF(N1372="","신청일 확인",IF(NOT(ISNUMBER('종합 현황'!$H$5)),"관찰기준 확인",IF('종합 현황'!$H$5&lt;1,"관찰기준 확인",IF(N1372&gt;'종합 현황'!$H$5,"내부 관찰 대상","내부 관찰일 이하")))))</x:f>
        <x:v>대상 아님</x:v>
      </x:c>
      <x:c r="AB1372" s="2"/>
    </x:row>
    <x:row r="1373" ht="42" customHeight="1">
      <x:c r="A1373" s="2" t="str">
        <x:v>c8721b892a8348c39e3b31ea</x:v>
      </x:c>
      <x:c r="B1373" s="2" t="str">
        <x:v>사업 평가</x:v>
      </x:c>
      <x:c r="C1373" s="2" t="str">
        <x:v>국내</x:v>
      </x:c>
      <x:c r="D1373" s="7" t="str">
        <x:v>휴켐스 질산공장 N2O 감축사업</x:v>
      </x:c>
      <x:c r="E1373" s="2" t="str">
        <x:v>1289</x:v>
      </x:c>
      <x:c r="F1373" s="2" t="str">
        <x:v>2015-03-05</x:v>
      </x:c>
      <x:c r="G1373" s="2" t="str">
        <x:v>2015</x:v>
      </x:c>
      <x:c r="H1373" s="2" t="str">
        <x:v>03</x:v>
      </x:c>
      <x:c r="I1373" s="2" t="str">
        <x:v>반려</x:v>
      </x:c>
      <x:c r="J1373" s="2" t="str">
        <x:v>반려</x:v>
      </x:c>
      <x:c r="K1373" s="2" t="str">
        <x:f>IF(OR(J1373="심의승인",J1373="반려",J1373="반려완료",J1373="심의완료"),"종결 표시",IF(OR(J1373="기후부협의",J1373="문서재제출요청",J1373="보류",J1373="보완요청",J1373="보완완료",J1373="평가중",J1373="반려요청",J1373="평가필요",LEFT(J1373,5)="보완요청("),"미종결 표시","상태 확인 필요"))</x:f>
        <x:v>종결 표시</x:v>
      </x:c>
      <x:c r="L1373" s="2"/>
      <x:c r="M1373" s="2"/>
      <x:c r="N1373" s="8" t="n">
        <x:f>DATE(2026,10,15)-DATE(2015,3,5)</x:f>
        <x:v>4242</x:v>
      </x:c>
      <x:c r="O1373" s="2"/>
      <x:c r="P1373" s="2"/>
      <x:c r="Q1373" s="2" t="str">
        <x:v>산업전환_외부사업관리Tool_260707_이너젠 수정_LJY_261013.xlsx</x:v>
      </x:c>
      <x:c r="R1373" s="2" t="str">
        <x:v>국내평가</x:v>
      </x:c>
      <x:c r="S1373" s="8" t="n">
        <x:v>1276</x:v>
      </x:c>
      <x:c r="T1373" s="2"/>
      <x:c r="U1373" s="2" t="str"/>
      <x:c r="V1373" s="2" t="str">
        <x:v>2015-05-22</x:v>
      </x:c>
      <x:c r="W1373" s="2" t="str">
        <x:v>담당기관 확인</x:v>
      </x:c>
      <x:c r="X1373" s="2" t="str">
        <x:v>원본·배정 기록 확인</x:v>
      </x:c>
      <x:c r="Y1373" s="2" t="str">
        <x:v>ad210cd9ec132cfd447541c8984dc53d30aff0f4fb2dc92d254d49275cc55976</x:v>
      </x:c>
      <x:c r="Z1373" s="2" t="n">
        <x:f>SUBTOTAL(103,A1373)</x:f>
        <x:v>1</x:v>
      </x:c>
      <x:c r="AA1373" s="2" t="str">
        <x:f>IF(K1373&lt;&gt;"미종결 표시","대상 아님",IF(N1373="","신청일 확인",IF(NOT(ISNUMBER('종합 현황'!$H$5)),"관찰기준 확인",IF('종합 현황'!$H$5&lt;1,"관찰기준 확인",IF(N1373&gt;'종합 현황'!$H$5,"내부 관찰 대상","내부 관찰일 이하")))))</x:f>
        <x:v>대상 아님</x:v>
      </x:c>
      <x:c r="AB1373" s="2"/>
    </x:row>
    <x:row r="1374" ht="42" customHeight="1">
      <x:c r="A1374" s="2" t="str">
        <x:v>4a7514a6891bf5c62468721f</x:v>
      </x:c>
      <x:c r="B1374" s="2" t="str">
        <x:v>사업 평가</x:v>
      </x:c>
      <x:c r="C1374" s="2" t="str">
        <x:v>국내</x:v>
      </x:c>
      <x:c r="D1374" s="7" t="str">
        <x:v>주식회사 정석케미칼 외 4개사의 인버터 공기압축기 교체를 통한 온실가스 감축사업</x:v>
      </x:c>
      <x:c r="E1374" s="2" t="str">
        <x:v>1290</x:v>
      </x:c>
      <x:c r="F1374" s="2" t="str">
        <x:v>2026-08-27</x:v>
      </x:c>
      <x:c r="G1374" s="2" t="str">
        <x:v>2026</x:v>
      </x:c>
      <x:c r="H1374" s="2" t="str">
        <x:v>08</x:v>
      </x:c>
      <x:c r="I1374" s="2" t="str">
        <x:v>검토필요</x:v>
      </x:c>
      <x:c r="J1374" s="2" t="str">
        <x:v>평가중</x:v>
      </x:c>
      <x:c r="K1374" s="2" t="str">
        <x:f>IF(OR(J1374="심의승인",J1374="반려",J1374="반려완료",J1374="심의완료"),"종결 표시",IF(OR(J1374="기후부협의",J1374="문서재제출요청",J1374="보류",J1374="보완요청",J1374="보완완료",J1374="평가중",J1374="반려요청",J1374="평가필요",LEFT(J1374,5)="보완요청("),"미종결 표시","상태 확인 필요"))</x:f>
        <x:v>미종결 표시</x:v>
      </x:c>
      <x:c r="L1374" s="2"/>
      <x:c r="M1374" s="2"/>
      <x:c r="N1374" s="8" t="n">
        <x:f>DATE(2026,10,15)-DATE(2026,8,27)</x:f>
        <x:v>49</x:v>
      </x:c>
      <x:c r="O1374" s="2"/>
      <x:c r="P1374" s="2"/>
      <x:c r="Q1374" s="2" t="str">
        <x:v>산업전환_외부사업관리Tool_260707_이너젠 수정_LJY_261013.xlsx</x:v>
      </x:c>
      <x:c r="R1374" s="2" t="str">
        <x:v>국내평가</x:v>
      </x:c>
      <x:c r="S1374" s="8" t="n">
        <x:v>1277</x:v>
      </x:c>
      <x:c r="T1374" s="2"/>
      <x:c r="U1374" s="2" t="str"/>
      <x:c r="V1374" s="2" t="str">
        <x:v>2026-08-27</x:v>
      </x:c>
      <x:c r="W1374" s="2" t="str">
        <x:v>담당기관 확인</x:v>
      </x:c>
      <x:c r="X1374" s="2" t="str">
        <x:v>원본·배정 기록 확인</x:v>
      </x:c>
      <x:c r="Y1374" s="2" t="str">
        <x:v>ad210cd9ec132cfd447541c8984dc53d30aff0f4fb2dc92d254d49275cc55976</x:v>
      </x:c>
      <x:c r="Z1374" s="2" t="n">
        <x:f>SUBTOTAL(103,A1374)</x:f>
        <x:v>1</x:v>
      </x:c>
      <x:c r="AA1374" s="2" t="str">
        <x:f>IF(K1374&lt;&gt;"미종결 표시","대상 아님",IF(N1374="","신청일 확인",IF(NOT(ISNUMBER('종합 현황'!$H$5)),"관찰기준 확인",IF('종합 현황'!$H$5&lt;1,"관찰기준 확인",IF(N1374&gt;'종합 현황'!$H$5,"내부 관찰 대상","내부 관찰일 이하")))))</x:f>
        <x:v>내부 관찰 대상</x:v>
      </x:c>
      <x:c r="AB1374" s="2"/>
    </x:row>
    <x:row r="1375" ht="42" customHeight="1">
      <x:c r="A1375" s="2" t="str">
        <x:v>72a62d4a9876ec0996f25167</x:v>
      </x:c>
      <x:c r="B1375" s="2" t="str">
        <x:v>사업 평가</x:v>
      </x:c>
      <x:c r="C1375" s="2" t="str">
        <x:v>국내</x:v>
      </x:c>
      <x:c r="D1375" s="7" t="str">
        <x:v>(주)금창4공장 외 4개사의 인버터 공기압축기 교체를 통한 온실가스 감축사업</x:v>
      </x:c>
      <x:c r="E1375" s="2" t="str">
        <x:v>1291</x:v>
      </x:c>
      <x:c r="F1375" s="2" t="str">
        <x:v>2026-08-27</x:v>
      </x:c>
      <x:c r="G1375" s="2" t="str">
        <x:v>2026</x:v>
      </x:c>
      <x:c r="H1375" s="2" t="str">
        <x:v>08</x:v>
      </x:c>
      <x:c r="I1375" s="2" t="str">
        <x:v>검토필요</x:v>
      </x:c>
      <x:c r="J1375" s="2" t="str">
        <x:v>평가중</x:v>
      </x:c>
      <x:c r="K1375" s="2" t="str">
        <x:f>IF(OR(J1375="심의승인",J1375="반려",J1375="반려완료",J1375="심의완료"),"종결 표시",IF(OR(J1375="기후부협의",J1375="문서재제출요청",J1375="보류",J1375="보완요청",J1375="보완완료",J1375="평가중",J1375="반려요청",J1375="평가필요",LEFT(J1375,5)="보완요청("),"미종결 표시","상태 확인 필요"))</x:f>
        <x:v>미종결 표시</x:v>
      </x:c>
      <x:c r="L1375" s="2"/>
      <x:c r="M1375" s="2"/>
      <x:c r="N1375" s="8" t="n">
        <x:f>DATE(2026,10,15)-DATE(2026,8,27)</x:f>
        <x:v>49</x:v>
      </x:c>
      <x:c r="O1375" s="2"/>
      <x:c r="P1375" s="2"/>
      <x:c r="Q1375" s="2" t="str">
        <x:v>산업전환_외부사업관리Tool_260707_이너젠 수정_LJY_261013.xlsx</x:v>
      </x:c>
      <x:c r="R1375" s="2" t="str">
        <x:v>국내평가</x:v>
      </x:c>
      <x:c r="S1375" s="8" t="n">
        <x:v>1278</x:v>
      </x:c>
      <x:c r="T1375" s="2"/>
      <x:c r="U1375" s="2" t="str"/>
      <x:c r="V1375" s="2" t="str">
        <x:v>2026-08-27</x:v>
      </x:c>
      <x:c r="W1375" s="2" t="str">
        <x:v>담당기관 확인</x:v>
      </x:c>
      <x:c r="X1375" s="2" t="str">
        <x:v>원본·배정 기록 확인</x:v>
      </x:c>
      <x:c r="Y1375" s="2" t="str">
        <x:v>ad210cd9ec132cfd447541c8984dc53d30aff0f4fb2dc92d254d49275cc55976</x:v>
      </x:c>
      <x:c r="Z1375" s="2" t="n">
        <x:f>SUBTOTAL(103,A1375)</x:f>
        <x:v>1</x:v>
      </x:c>
      <x:c r="AA1375" s="2" t="str">
        <x:f>IF(K1375&lt;&gt;"미종결 표시","대상 아님",IF(N1375="","신청일 확인",IF(NOT(ISNUMBER('종합 현황'!$H$5)),"관찰기준 확인",IF('종합 현황'!$H$5&lt;1,"관찰기준 확인",IF(N1375&gt;'종합 현황'!$H$5,"내부 관찰 대상","내부 관찰일 이하")))))</x:f>
        <x:v>내부 관찰 대상</x:v>
      </x:c>
      <x:c r="AB1375" s="2"/>
    </x:row>
    <x:row r="1376" ht="42" customHeight="1">
      <x:c r="A1376" s="2" t="str">
        <x:v>caf3ba3449a356647b395fc0</x:v>
      </x:c>
      <x:c r="B1376" s="2" t="str">
        <x:v>사업 평가</x:v>
      </x:c>
      <x:c r="C1376" s="2" t="str">
        <x:v>국내</x:v>
      </x:c>
      <x:c r="D1376" s="7" t="str">
        <x:v>(주)케이제이 외 5개사의 인버터 공기압축기 교체를 통한 온실가스 감축사업</x:v>
      </x:c>
      <x:c r="E1376" s="2" t="str">
        <x:v>1292</x:v>
      </x:c>
      <x:c r="F1376" s="2" t="str">
        <x:v>2026-08-27</x:v>
      </x:c>
      <x:c r="G1376" s="2" t="str">
        <x:v>2026</x:v>
      </x:c>
      <x:c r="H1376" s="2" t="str">
        <x:v>08</x:v>
      </x:c>
      <x:c r="I1376" s="2" t="str">
        <x:v>검토필요</x:v>
      </x:c>
      <x:c r="J1376" s="2" t="str">
        <x:v>평가중</x:v>
      </x:c>
      <x:c r="K1376" s="2" t="str">
        <x:f>IF(OR(J1376="심의승인",J1376="반려",J1376="반려완료",J1376="심의완료"),"종결 표시",IF(OR(J1376="기후부협의",J1376="문서재제출요청",J1376="보류",J1376="보완요청",J1376="보완완료",J1376="평가중",J1376="반려요청",J1376="평가필요",LEFT(J1376,5)="보완요청("),"미종결 표시","상태 확인 필요"))</x:f>
        <x:v>미종결 표시</x:v>
      </x:c>
      <x:c r="L1376" s="2"/>
      <x:c r="M1376" s="2"/>
      <x:c r="N1376" s="8" t="n">
        <x:f>DATE(2026,10,15)-DATE(2026,8,27)</x:f>
        <x:v>49</x:v>
      </x:c>
      <x:c r="O1376" s="2"/>
      <x:c r="P1376" s="2"/>
      <x:c r="Q1376" s="2" t="str">
        <x:v>산업전환_외부사업관리Tool_260707_이너젠 수정_LJY_261013.xlsx</x:v>
      </x:c>
      <x:c r="R1376" s="2" t="str">
        <x:v>국내평가</x:v>
      </x:c>
      <x:c r="S1376" s="8" t="n">
        <x:v>1279</x:v>
      </x:c>
      <x:c r="T1376" s="2"/>
      <x:c r="U1376" s="2" t="str"/>
      <x:c r="V1376" s="2" t="str">
        <x:v>2026-08-27</x:v>
      </x:c>
      <x:c r="W1376" s="2" t="str">
        <x:v>담당기관 확인</x:v>
      </x:c>
      <x:c r="X1376" s="2" t="str">
        <x:v>원본·배정 기록 확인</x:v>
      </x:c>
      <x:c r="Y1376" s="2" t="str">
        <x:v>ad210cd9ec132cfd447541c8984dc53d30aff0f4fb2dc92d254d49275cc55976</x:v>
      </x:c>
      <x:c r="Z1376" s="2" t="n">
        <x:f>SUBTOTAL(103,A1376)</x:f>
        <x:v>1</x:v>
      </x:c>
      <x:c r="AA1376" s="2" t="str">
        <x:f>IF(K1376&lt;&gt;"미종결 표시","대상 아님",IF(N1376="","신청일 확인",IF(NOT(ISNUMBER('종합 현황'!$H$5)),"관찰기준 확인",IF('종합 현황'!$H$5&lt;1,"관찰기준 확인",IF(N1376&gt;'종합 현황'!$H$5,"내부 관찰 대상","내부 관찰일 이하")))))</x:f>
        <x:v>내부 관찰 대상</x:v>
      </x:c>
      <x:c r="AB1376" s="2"/>
    </x:row>
    <x:row r="1377" ht="42" customHeight="1">
      <x:c r="A1377" s="2" t="str">
        <x:v>546efa8ba00afc878e92015a</x:v>
      </x:c>
      <x:c r="B1377" s="2" t="str">
        <x:v>사업 평가</x:v>
      </x:c>
      <x:c r="C1377" s="2" t="str">
        <x:v>국내</x:v>
      </x:c>
      <x:c r="D1377" s="7" t="str">
        <x:v>거산테크 고효율 공기압축기 교체사업</x:v>
      </x:c>
      <x:c r="E1377" s="2" t="str">
        <x:v>1293</x:v>
      </x:c>
      <x:c r="F1377" s="2" t="str">
        <x:v>2026-08-21</x:v>
      </x:c>
      <x:c r="G1377" s="2" t="str">
        <x:v>2026</x:v>
      </x:c>
      <x:c r="H1377" s="2" t="str">
        <x:v>08</x:v>
      </x:c>
      <x:c r="I1377" s="2" t="str">
        <x:v>검토필요</x:v>
      </x:c>
      <x:c r="J1377" s="2" t="str">
        <x:v>평가중</x:v>
      </x:c>
      <x:c r="K1377" s="2" t="str">
        <x:f>IF(OR(J1377="심의승인",J1377="반려",J1377="반려완료",J1377="심의완료"),"종결 표시",IF(OR(J1377="기후부협의",J1377="문서재제출요청",J1377="보류",J1377="보완요청",J1377="보완완료",J1377="평가중",J1377="반려요청",J1377="평가필요",LEFT(J1377,5)="보완요청("),"미종결 표시","상태 확인 필요"))</x:f>
        <x:v>미종결 표시</x:v>
      </x:c>
      <x:c r="L1377" s="2"/>
      <x:c r="M1377" s="2"/>
      <x:c r="N1377" s="8" t="n">
        <x:f>DATE(2026,10,15)-DATE(2026,8,21)</x:f>
        <x:v>55</x:v>
      </x:c>
      <x:c r="O1377" s="2"/>
      <x:c r="P1377" s="2"/>
      <x:c r="Q1377" s="2" t="str">
        <x:v>산업전환_외부사업관리Tool_260707_이너젠 수정_LJY_261013.xlsx</x:v>
      </x:c>
      <x:c r="R1377" s="2" t="str">
        <x:v>국내평가</x:v>
      </x:c>
      <x:c r="S1377" s="8" t="n">
        <x:v>1280</x:v>
      </x:c>
      <x:c r="T1377" s="2"/>
      <x:c r="U1377" s="2" t="str"/>
      <x:c r="V1377" s="2" t="str">
        <x:v>2026-08-21</x:v>
      </x:c>
      <x:c r="W1377" s="2" t="str">
        <x:v>담당기관 확인</x:v>
      </x:c>
      <x:c r="X1377" s="2" t="str">
        <x:v>원본·배정 기록 확인</x:v>
      </x:c>
      <x:c r="Y1377" s="2" t="str">
        <x:v>ad210cd9ec132cfd447541c8984dc53d30aff0f4fb2dc92d254d49275cc55976</x:v>
      </x:c>
      <x:c r="Z1377" s="2" t="n">
        <x:f>SUBTOTAL(103,A1377)</x:f>
        <x:v>1</x:v>
      </x:c>
      <x:c r="AA1377" s="2" t="str">
        <x:f>IF(K1377&lt;&gt;"미종결 표시","대상 아님",IF(N1377="","신청일 확인",IF(NOT(ISNUMBER('종합 현황'!$H$5)),"관찰기준 확인",IF('종합 현황'!$H$5&lt;1,"관찰기준 확인",IF(N1377&gt;'종합 현황'!$H$5,"내부 관찰 대상","내부 관찰일 이하")))))</x:f>
        <x:v>내부 관찰 대상</x:v>
      </x:c>
      <x:c r="AB1377" s="2"/>
    </x:row>
    <x:row r="1378" ht="42" customHeight="1">
      <x:c r="A1378" s="2" t="str">
        <x:v>88e2aa5081524eaf6265fd9d</x:v>
      </x:c>
      <x:c r="B1378" s="2" t="str">
        <x:v>사업 평가</x:v>
      </x:c>
      <x:c r="C1378" s="2" t="str">
        <x:v>국내</x:v>
      </x:c>
      <x:c r="D1378" s="7" t="str">
        <x:v>(주)인목 고효율공기압축기 교체 사업</x:v>
      </x:c>
      <x:c r="E1378" s="2" t="str">
        <x:v>1294</x:v>
      </x:c>
      <x:c r="F1378" s="2" t="str">
        <x:v>2026-08-21</x:v>
      </x:c>
      <x:c r="G1378" s="2" t="str">
        <x:v>2026</x:v>
      </x:c>
      <x:c r="H1378" s="2" t="str">
        <x:v>08</x:v>
      </x:c>
      <x:c r="I1378" s="2" t="str">
        <x:v>검토필요</x:v>
      </x:c>
      <x:c r="J1378" s="2" t="str">
        <x:v>평가중</x:v>
      </x:c>
      <x:c r="K1378" s="2" t="str">
        <x:f>IF(OR(J1378="심의승인",J1378="반려",J1378="반려완료",J1378="심의완료"),"종결 표시",IF(OR(J1378="기후부협의",J1378="문서재제출요청",J1378="보류",J1378="보완요청",J1378="보완완료",J1378="평가중",J1378="반려요청",J1378="평가필요",LEFT(J1378,5)="보완요청("),"미종결 표시","상태 확인 필요"))</x:f>
        <x:v>미종결 표시</x:v>
      </x:c>
      <x:c r="L1378" s="2"/>
      <x:c r="M1378" s="2"/>
      <x:c r="N1378" s="8" t="n">
        <x:f>DATE(2026,10,15)-DATE(2026,8,21)</x:f>
        <x:v>55</x:v>
      </x:c>
      <x:c r="O1378" s="2"/>
      <x:c r="P1378" s="2"/>
      <x:c r="Q1378" s="2" t="str">
        <x:v>산업전환_외부사업관리Tool_260707_이너젠 수정_LJY_261013.xlsx</x:v>
      </x:c>
      <x:c r="R1378" s="2" t="str">
        <x:v>국내평가</x:v>
      </x:c>
      <x:c r="S1378" s="8" t="n">
        <x:v>1281</x:v>
      </x:c>
      <x:c r="T1378" s="2"/>
      <x:c r="U1378" s="2" t="str"/>
      <x:c r="V1378" s="2" t="str">
        <x:v>2026-08-21</x:v>
      </x:c>
      <x:c r="W1378" s="2" t="str">
        <x:v>담당기관 확인</x:v>
      </x:c>
      <x:c r="X1378" s="2" t="str">
        <x:v>원본·배정 기록 확인</x:v>
      </x:c>
      <x:c r="Y1378" s="2" t="str">
        <x:v>ad210cd9ec132cfd447541c8984dc53d30aff0f4fb2dc92d254d49275cc55976</x:v>
      </x:c>
      <x:c r="Z1378" s="2" t="n">
        <x:f>SUBTOTAL(103,A1378)</x:f>
        <x:v>1</x:v>
      </x:c>
      <x:c r="AA1378" s="2" t="str">
        <x:f>IF(K1378&lt;&gt;"미종결 표시","대상 아님",IF(N1378="","신청일 확인",IF(NOT(ISNUMBER('종합 현황'!$H$5)),"관찰기준 확인",IF('종합 현황'!$H$5&lt;1,"관찰기준 확인",IF(N1378&gt;'종합 현황'!$H$5,"내부 관찰 대상","내부 관찰일 이하")))))</x:f>
        <x:v>내부 관찰 대상</x:v>
      </x:c>
      <x:c r="AB1378" s="2"/>
    </x:row>
    <x:row r="1379" ht="42" customHeight="1">
      <x:c r="A1379" s="2" t="str">
        <x:v>61fd5e931338a834e37da936</x:v>
      </x:c>
      <x:c r="B1379" s="2" t="str">
        <x:v>사업 평가</x:v>
      </x:c>
      <x:c r="C1379" s="2" t="str">
        <x:v>국외</x:v>
      </x:c>
      <x:c r="D1379" s="7" t="str">
        <x:v>마다가스카르의 개선된 쿡스토브 프로젝트 by KCM - Wood#CPA-W-001</x:v>
      </x:c>
      <x:c r="E1379" s="2" t="str">
        <x:v>1</x:v>
      </x:c>
      <x:c r="F1379" s="2" t="str">
        <x:v>2019-01</x:v>
      </x:c>
      <x:c r="G1379" s="2" t="str">
        <x:v>2019</x:v>
      </x:c>
      <x:c r="H1379" s="2" t="str">
        <x:v>01</x:v>
      </x:c>
      <x:c r="I1379" s="2" t="str">
        <x:v>승인</x:v>
      </x:c>
      <x:c r="J1379" s="2" t="str">
        <x:v>심의승인</x:v>
      </x:c>
      <x:c r="K1379" s="2" t="str">
        <x:f>IF(OR(J1379="심의승인",J1379="반려",J1379="반려완료",J1379="심의완료"),"종결 표시",IF(OR(J1379="기후부협의",J1379="문서재제출요청",J1379="보류",J1379="보완요청",J1379="보완완료",J1379="평가중",J1379="반려요청",J1379="평가필요",LEFT(J1379,5)="보완요청("),"미종결 표시","상태 확인 필요"))</x:f>
        <x:v>종결 표시</x:v>
      </x:c>
      <x:c r="L1379" s="2" t="str">
        <x:v>에코시안_배윤빈</x:v>
      </x:c>
      <x:c r="M1379" s="2"/>
      <x:c r="N1379" s="8"/>
      <x:c r="O1379" s="2"/>
      <x:c r="P1379" s="2"/>
      <x:c r="Q1379" s="2" t="str">
        <x:v>산업전환_외부사업관리Tool_260707_이너젠 수정_LJY_261013.xlsx</x:v>
      </x:c>
      <x:c r="R1379" s="2" t="str">
        <x:v>국외평가</x:v>
      </x:c>
      <x:c r="S1379" s="8" t="n">
        <x:v>3</x:v>
      </x:c>
      <x:c r="T1379" s="2" t="str">
        <x:v>2021-07-16T00:00:00</x:v>
      </x:c>
      <x:c r="U1379" s="2" t="str">
        <x:v>2021 지정: 2021-07-16T00:00:00 / 2021 지정(2): (5.17 / 6.9 / 07.16)</x:v>
      </x:c>
      <x:c r="V1379" s="2" t="str">
        <x:v>2022-01-07</x:v>
      </x:c>
      <x:c r="W1379" s="2" t="str"/>
      <x:c r="X1379" s="2" t="str">
        <x:v>종결 근거 보관</x:v>
      </x:c>
      <x:c r="Y1379" s="2" t="str">
        <x:v>ad210cd9ec132cfd447541c8984dc53d30aff0f4fb2dc92d254d49275cc55976</x:v>
      </x:c>
      <x:c r="Z1379" s="2" t="n">
        <x:f>SUBTOTAL(103,A1379)</x:f>
        <x:v>1</x:v>
      </x:c>
      <x:c r="AA1379" s="2" t="str">
        <x:f>IF(K1379&lt;&gt;"미종결 표시","대상 아님",IF(N1379="","신청일 확인",IF(NOT(ISNUMBER('종합 현황'!$H$5)),"관찰기준 확인",IF('종합 현황'!$H$5&lt;1,"관찰기준 확인",IF(N1379&gt;'종합 현황'!$H$5,"내부 관찰 대상","내부 관찰일 이하")))))</x:f>
        <x:v>대상 아님</x:v>
      </x:c>
      <x:c r="AB1379" s="2" t="str">
        <x:v>2019-01-07 13:02:21 - 신규신청 - 신청 
2019-01-07 13:02:21 - 관장기관 지정 - 환경부
2019-01-30 16:52:38 - 관장기관 지정 - 산업통상자원부
2019-10-11 15:22:31 - 신규신청 - 보완요청 
2020-08-21 17:14:01 - 보완신청 - 신청 
2020-09-23 09:55:05 - 보완신청 - 보완요청 
2021-01-04 13:55:48 - 보완신청 - 신청 
2021-04-02 11:19:57 - 보완신청 - 문서재제출요청 
2021-04-30 14:41:05 - 재제출신청 - 신청 
2021-05-31 15:36:22 - 재제출신청 - 문서재제출요청 
2021-06-01 16:20:19 - 재제출신청 - 신청 
2021-06-01 17:24:54 - 재제출신청 - 문서재제출요청 
2021-06-01 17:33:46 - 재제출신청 - 신청 
2021-06-22 15:02:19 - 재제출신청 - 문서재제출요청 
2021-07-21 14:57:26 - 재제출신청 - 신청 
2021-08-31 13:09:09 - 재제출신청 - 문서재제출요청 
2021-08-31 15:32:46 - 재제출신청 - 신청 
2021-10-22 15:12:32 - 재제출신청 - 문서재제출요청 
2021-10-29 17:21:54 - 재제출신청 - 신청 
2021-11-29 10:54:40 - 재제출신청 - 문서재제출요청 
2021-11-29 11:44:22 - 재제출신청 - 신청 
2021-11-30 13:32:54 - 재제출신청 - 문서재제출요청 
2021-11-30 13:35:22 - 재제출신청 - 신청 
2022-01-07 15:24:25 - 재제출신청 - 평가승인 
2022-01-07 15:24:50 - 재제출신청 - 심의승인 
</x:v>
      </x:c>
    </x:row>
    <x:row r="1380" ht="42" customHeight="1">
      <x:c r="A1380" s="2" t="str">
        <x:v>6ebe821a0f3208fa6c5a234c</x:v>
      </x:c>
      <x:c r="B1380" s="2" t="str">
        <x:v>사업 평가</x:v>
      </x:c>
      <x:c r="C1380" s="2" t="str">
        <x:v>국외</x:v>
      </x:c>
      <x:c r="D1380" s="7" t="str">
        <x:v>Domestic production sales of enhanced energy-efficient refrigerators in india by LG Electonics India Pvt Ltd</x:v>
      </x:c>
      <x:c r="E1380" s="2" t="str">
        <x:v>2</x:v>
      </x:c>
      <x:c r="F1380" s="2" t="str">
        <x:v>2019-04</x:v>
      </x:c>
      <x:c r="G1380" s="2" t="str">
        <x:v>2019</x:v>
      </x:c>
      <x:c r="H1380" s="2" t="str">
        <x:v>04</x:v>
      </x:c>
      <x:c r="I1380" s="2" t="str">
        <x:v>반려</x:v>
      </x:c>
      <x:c r="J1380" s="2" t="str">
        <x:v>반려</x:v>
      </x:c>
      <x:c r="K1380" s="2" t="str">
        <x:f>IF(OR(J1380="심의승인",J1380="반려",J1380="반려완료",J1380="심의완료"),"종결 표시",IF(OR(J1380="기후부협의",J1380="문서재제출요청",J1380="보류",J1380="보완요청",J1380="보완완료",J1380="평가중",J1380="반려요청",J1380="평가필요",LEFT(J1380,5)="보완요청("),"미종결 표시","상태 확인 필요"))</x:f>
        <x:v>종결 표시</x:v>
      </x:c>
      <x:c r="L1380" s="2"/>
      <x:c r="M1380" s="2"/>
      <x:c r="N1380" s="8"/>
      <x:c r="O1380" s="2"/>
      <x:c r="P1380" s="2"/>
      <x:c r="Q1380" s="2" t="str">
        <x:v>산업전환_외부사업관리Tool_260707_이너젠 수정_LJY_261013.xlsx</x:v>
      </x:c>
      <x:c r="R1380" s="2" t="str">
        <x:v>국외평가</x:v>
      </x:c>
      <x:c r="S1380" s="8" t="n">
        <x:v>4</x:v>
      </x:c>
      <x:c r="T1380" s="2"/>
      <x:c r="U1380" s="2" t="str"/>
      <x:c r="V1380" s="2" t="str">
        <x:v>2019-11-06</x:v>
      </x:c>
      <x:c r="W1380" s="2" t="str">
        <x:v>담당기관 확인</x:v>
      </x:c>
      <x:c r="X1380" s="2" t="str">
        <x:v>원본·배정 기록 확인</x:v>
      </x:c>
      <x:c r="Y1380" s="2" t="str">
        <x:v>ad210cd9ec132cfd447541c8984dc53d30aff0f4fb2dc92d254d49275cc55976</x:v>
      </x:c>
      <x:c r="Z1380" s="2" t="n">
        <x:f>SUBTOTAL(103,A1380)</x:f>
        <x:v>1</x:v>
      </x:c>
      <x:c r="AA1380" s="2" t="str">
        <x:f>IF(K1380&lt;&gt;"미종결 표시","대상 아님",IF(N1380="","신청일 확인",IF(NOT(ISNUMBER('종합 현황'!$H$5)),"관찰기준 확인",IF('종합 현황'!$H$5&lt;1,"관찰기준 확인",IF(N1380&gt;'종합 현황'!$H$5,"내부 관찰 대상","내부 관찰일 이하")))))</x:f>
        <x:v>대상 아님</x:v>
      </x:c>
      <x:c r="AB1380" s="2" t="str">
        <x:v>2019-04-26 07:20:55 - 신규신청 - 신청 
2019-04-26 07:20:55 - 관장기관 지정 - 환경부
2019-05-15 16:11:59 - 관장기관 지정 - 산업통상자원부
2019-11-06 09:19:56 - 신규신청 - 평가반려 
</x:v>
      </x:c>
    </x:row>
    <x:row r="1381" ht="42" customHeight="1">
      <x:c r="A1381" s="2" t="str">
        <x:v>43100087784ed538c025b033</x:v>
      </x:c>
      <x:c r="B1381" s="2" t="str">
        <x:v>사업 평가</x:v>
      </x:c>
      <x:c r="C1381" s="2" t="str">
        <x:v>국외</x:v>
      </x:c>
      <x:c r="D1381" s="7" t="str">
        <x:v>사하라 이남 아프리카 고효율 쿡스토브 보급 사업-말라위-CPA002</x:v>
      </x:c>
      <x:c r="E1381" s="2" t="str">
        <x:v>3</x:v>
      </x:c>
      <x:c r="F1381" s="2" t="str">
        <x:v>2019-04</x:v>
      </x:c>
      <x:c r="G1381" s="2" t="str">
        <x:v>2019</x:v>
      </x:c>
      <x:c r="H1381" s="2" t="str">
        <x:v>04</x:v>
      </x:c>
      <x:c r="I1381" s="2" t="str">
        <x:v>승인</x:v>
      </x:c>
      <x:c r="J1381" s="2" t="str">
        <x:v>심의승인</x:v>
      </x:c>
      <x:c r="K1381" s="2" t="str">
        <x:f>IF(OR(J1381="심의승인",J1381="반려",J1381="반려완료",J1381="심의완료"),"종결 표시",IF(OR(J1381="기후부협의",J1381="문서재제출요청",J1381="보류",J1381="보완요청",J1381="보완완료",J1381="평가중",J1381="반려요청",J1381="평가필요",LEFT(J1381,5)="보완요청("),"미종결 표시","상태 확인 필요"))</x:f>
        <x:v>종결 표시</x:v>
      </x:c>
      <x:c r="L1381" s="2"/>
      <x:c r="M1381" s="2"/>
      <x:c r="N1381" s="8"/>
      <x:c r="O1381" s="2"/>
      <x:c r="P1381" s="2"/>
      <x:c r="Q1381" s="2" t="str">
        <x:v>산업전환_외부사업관리Tool_260707_이너젠 수정_LJY_261013.xlsx</x:v>
      </x:c>
      <x:c r="R1381" s="2" t="str">
        <x:v>국외평가</x:v>
      </x:c>
      <x:c r="S1381" s="8" t="n">
        <x:v>5</x:v>
      </x:c>
      <x:c r="T1381" s="2"/>
      <x:c r="U1381" s="2" t="str"/>
      <x:c r="V1381" s="2" t="str">
        <x:v>2020-02-26</x:v>
      </x:c>
      <x:c r="W1381" s="2" t="str">
        <x:v>담당기관 확인</x:v>
      </x:c>
      <x:c r="X1381" s="2" t="str">
        <x:v>원본·배정 기록 확인</x:v>
      </x:c>
      <x:c r="Y1381" s="2" t="str">
        <x:v>ad210cd9ec132cfd447541c8984dc53d30aff0f4fb2dc92d254d49275cc55976</x:v>
      </x:c>
      <x:c r="Z1381" s="2" t="n">
        <x:f>SUBTOTAL(103,A1381)</x:f>
        <x:v>1</x:v>
      </x:c>
      <x:c r="AA1381" s="2" t="str">
        <x:f>IF(K1381&lt;&gt;"미종결 표시","대상 아님",IF(N1381="","신청일 확인",IF(NOT(ISNUMBER('종합 현황'!$H$5)),"관찰기준 확인",IF('종합 현황'!$H$5&lt;1,"관찰기준 확인",IF(N1381&gt;'종합 현황'!$H$5,"내부 관찰 대상","내부 관찰일 이하")))))</x:f>
        <x:v>대상 아님</x:v>
      </x:c>
      <x:c r="AB1381" s="2" t="str">
        <x:v>2019-04-29 18:29:17 - 신규신청 - 신청 
2019-04-29 18:29:17 - 관장기관 지정 - 환경부
2019-05-15 16:12:08 - 관장기관 지정 - 산업통상자원부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</x:v>
      </x:c>
    </x:row>
    <x:row r="1382" ht="42" customHeight="1">
      <x:c r="A1382" s="2" t="str">
        <x:v>ecf138624c16087eab1fe28d</x:v>
      </x:c>
      <x:c r="B1382" s="2" t="str">
        <x:v>사업 평가</x:v>
      </x:c>
      <x:c r="C1382" s="2" t="str">
        <x:v>국외</x:v>
      </x:c>
      <x:c r="D1382" s="7" t="str">
        <x:v>사하라 이남 아프리카 고효율 쿡스토브 보급 사업-나이지리아-CPA003</x:v>
      </x:c>
      <x:c r="E1382" s="2" t="str">
        <x:v>4</x:v>
      </x:c>
      <x:c r="F1382" s="2" t="str">
        <x:v>2019-04</x:v>
      </x:c>
      <x:c r="G1382" s="2" t="str">
        <x:v>2019</x:v>
      </x:c>
      <x:c r="H1382" s="2" t="str">
        <x:v>04</x:v>
      </x:c>
      <x:c r="I1382" s="2" t="str">
        <x:v>승인</x:v>
      </x:c>
      <x:c r="J1382" s="2" t="str">
        <x:v>심의승인</x:v>
      </x:c>
      <x:c r="K1382" s="2" t="str">
        <x:f>IF(OR(J1382="심의승인",J1382="반려",J1382="반려완료",J1382="심의완료"),"종결 표시",IF(OR(J1382="기후부협의",J1382="문서재제출요청",J1382="보류",J1382="보완요청",J1382="보완완료",J1382="평가중",J1382="반려요청",J1382="평가필요",LEFT(J1382,5)="보완요청("),"미종결 표시","상태 확인 필요"))</x:f>
        <x:v>종결 표시</x:v>
      </x:c>
      <x:c r="L1382" s="2"/>
      <x:c r="M1382" s="2"/>
      <x:c r="N1382" s="8"/>
      <x:c r="O1382" s="2"/>
      <x:c r="P1382" s="2"/>
      <x:c r="Q1382" s="2" t="str">
        <x:v>산업전환_외부사업관리Tool_260707_이너젠 수정_LJY_261013.xlsx</x:v>
      </x:c>
      <x:c r="R1382" s="2" t="str">
        <x:v>국외평가</x:v>
      </x:c>
      <x:c r="S1382" s="8" t="n">
        <x:v>6</x:v>
      </x:c>
      <x:c r="T1382" s="2"/>
      <x:c r="U1382" s="2" t="str"/>
      <x:c r="V1382" s="2" t="str">
        <x:v>2020-02-26</x:v>
      </x:c>
      <x:c r="W1382" s="2" t="str">
        <x:v>담당기관 확인</x:v>
      </x:c>
      <x:c r="X1382" s="2" t="str">
        <x:v>원본·배정 기록 확인</x:v>
      </x:c>
      <x:c r="Y1382" s="2" t="str">
        <x:v>ad210cd9ec132cfd447541c8984dc53d30aff0f4fb2dc92d254d49275cc55976</x:v>
      </x:c>
      <x:c r="Z1382" s="2" t="n">
        <x:f>SUBTOTAL(103,A1382)</x:f>
        <x:v>1</x:v>
      </x:c>
      <x:c r="AA1382" s="2" t="str">
        <x:f>IF(K1382&lt;&gt;"미종결 표시","대상 아님",IF(N1382="","신청일 확인",IF(NOT(ISNUMBER('종합 현황'!$H$5)),"관찰기준 확인",IF('종합 현황'!$H$5&lt;1,"관찰기준 확인",IF(N1382&gt;'종합 현황'!$H$5,"내부 관찰 대상","내부 관찰일 이하")))))</x:f>
        <x:v>대상 아님</x:v>
      </x:c>
      <x:c r="AB1382" s="2" t="str">
        <x:v>2019-04-29 18:30:29 - 신규신청 - 신청 
2019-04-29 18:30:29 - 관장기관 지정 - 환경부
2019-05-15 16:12:14 - 관장기관 지정 - 산업통상자원부
2019-10-16 13:43:41 - 신규신청 - 문서재제출요청 
2019-10-17 16:15:05 - 재제출신청 - 신청 
2019-10-25 17:47:29 - 재제출신청 - 문서재제출요청 
2019-10-30 17:34:09 - 재제출신청 - 신청 
2020-01-31 19:10:11 - 재제출신청 - 문서재제출요청 
2020-02-04 10:25:28 - 재제출신청 - 신청 
2020-02-26 09:38:01 - 재제출신청 - 평가승인 
2020-02-26 10:46:37 - 재제출신청 - 심의승인 
2020-02-26 10:58:41 - 재제출신청 - 착수신고 
</x:v>
      </x:c>
    </x:row>
    <x:row r="1383" ht="42" customHeight="1">
      <x:c r="A1383" s="2" t="str">
        <x:v>ddb215b08aee4fdcd3b29deb</x:v>
      </x:c>
      <x:c r="B1383" s="2" t="str">
        <x:v>사업 평가</x:v>
      </x:c>
      <x:c r="C1383" s="2" t="str">
        <x:v>국외</x:v>
      </x:c>
      <x:c r="D1383" s="7" t="str">
        <x:v>대한민국이 지원하는 방글라데시 고효율 쿡스토브 프로그램 - CPA01</x:v>
      </x:c>
      <x:c r="E1383" s="2" t="str">
        <x:v>5</x:v>
      </x:c>
      <x:c r="F1383" s="2" t="str">
        <x:v>2019-06</x:v>
      </x:c>
      <x:c r="G1383" s="2" t="str">
        <x:v>2019</x:v>
      </x:c>
      <x:c r="H1383" s="2" t="str">
        <x:v>06</x:v>
      </x:c>
      <x:c r="I1383" s="2" t="str">
        <x:v>승인</x:v>
      </x:c>
      <x:c r="J1383" s="2" t="str">
        <x:v>심의승인</x:v>
      </x:c>
      <x:c r="K1383" s="2" t="str">
        <x:f>IF(OR(J1383="심의승인",J1383="반려",J1383="반려완료",J1383="심의완료"),"종결 표시",IF(OR(J1383="기후부협의",J1383="문서재제출요청",J1383="보류",J1383="보완요청",J1383="보완완료",J1383="평가중",J1383="반려요청",J1383="평가필요",LEFT(J1383,5)="보완요청("),"미종결 표시","상태 확인 필요"))</x:f>
        <x:v>종결 표시</x:v>
      </x:c>
      <x:c r="L1383" s="2"/>
      <x:c r="M1383" s="2"/>
      <x:c r="N1383" s="8"/>
      <x:c r="O1383" s="2"/>
      <x:c r="P1383" s="2"/>
      <x:c r="Q1383" s="2" t="str">
        <x:v>산업전환_외부사업관리Tool_260707_이너젠 수정_LJY_261013.xlsx</x:v>
      </x:c>
      <x:c r="R1383" s="2" t="str">
        <x:v>국외평가</x:v>
      </x:c>
      <x:c r="S1383" s="8" t="n">
        <x:v>7</x:v>
      </x:c>
      <x:c r="T1383" s="2"/>
      <x:c r="U1383" s="2" t="str"/>
      <x:c r="V1383" s="2" t="str">
        <x:v>2020-02-26</x:v>
      </x:c>
      <x:c r="W1383" s="2" t="str">
        <x:v>담당기관 확인</x:v>
      </x:c>
      <x:c r="X1383" s="2" t="str">
        <x:v>원본·배정 기록 확인</x:v>
      </x:c>
      <x:c r="Y1383" s="2" t="str">
        <x:v>ad210cd9ec132cfd447541c8984dc53d30aff0f4fb2dc92d254d49275cc55976</x:v>
      </x:c>
      <x:c r="Z1383" s="2" t="n">
        <x:f>SUBTOTAL(103,A1383)</x:f>
        <x:v>1</x:v>
      </x:c>
      <x:c r="AA1383" s="2" t="str">
        <x:f>IF(K1383&lt;&gt;"미종결 표시","대상 아님",IF(N1383="","신청일 확인",IF(NOT(ISNUMBER('종합 현황'!$H$5)),"관찰기준 확인",IF('종합 현황'!$H$5&lt;1,"관찰기준 확인",IF(N1383&gt;'종합 현황'!$H$5,"내부 관찰 대상","내부 관찰일 이하")))))</x:f>
        <x:v>대상 아님</x:v>
      </x:c>
      <x:c r="AB1383" s="2" t="str">
        <x:v>2019-06-04 15:00:28 - 신규신청 - 신청 
2019-06-04 15:00:28 - 관장기관 지정 - 환경부
2019-06-07 13:06:28 - 관장기관 지정 - 산업통상자원부
2019-10-15 18:29:58 - 신규신청 - 보완요청 
2019-10-18 18:40:39 - 보완신청 - 접수 
2019-10-21 10:41:40 - 보완신청 - 신청 
2020-01-31 19:51:30 - 보완신청 - 문서재제출요청 
2020-02-03 16:16:36 - 재제출신청 - 접수 
2020-02-03 16:25:53 - 재제출신청 - 신청 
2020-02-26 09:39:32 - 재제출신청 - 평가승인 
2020-02-26 10:48:43 - 재제출신청 - 심의승인 
2020-02-26 10:58:57 - 재제출신청 - 착수신고 
</x:v>
      </x:c>
    </x:row>
    <x:row r="1384" ht="42" customHeight="1">
      <x:c r="A1384" s="2" t="str">
        <x:v>d0069078d0b7c61743238e66</x:v>
      </x:c>
      <x:c r="B1384" s="2" t="str">
        <x:v>사업 평가</x:v>
      </x:c>
      <x:c r="C1384" s="2" t="str">
        <x:v>국외</x:v>
      </x:c>
      <x:c r="D1384" s="7" t="str">
        <x:v>과테말라 오닐 스토브 보급 사업 - CPA 003</x:v>
      </x:c>
      <x:c r="E1384" s="2" t="str">
        <x:v>6</x:v>
      </x:c>
      <x:c r="F1384" s="2" t="str">
        <x:v>2019-06</x:v>
      </x:c>
      <x:c r="G1384" s="2" t="str">
        <x:v>2019</x:v>
      </x:c>
      <x:c r="H1384" s="2" t="str">
        <x:v>06</x:v>
      </x:c>
      <x:c r="I1384" s="2" t="str">
        <x:v>승인</x:v>
      </x:c>
      <x:c r="J1384" s="2" t="str">
        <x:v>심의승인</x:v>
      </x:c>
      <x:c r="K1384" s="2" t="str">
        <x:f>IF(OR(J1384="심의승인",J1384="반려",J1384="반려완료",J1384="심의완료"),"종결 표시",IF(OR(J1384="기후부협의",J1384="문서재제출요청",J1384="보류",J1384="보완요청",J1384="보완완료",J1384="평가중",J1384="반려요청",J1384="평가필요",LEFT(J1384,5)="보완요청("),"미종결 표시","상태 확인 필요"))</x:f>
        <x:v>종결 표시</x:v>
      </x:c>
      <x:c r="L1384" s="2"/>
      <x:c r="M1384" s="2"/>
      <x:c r="N1384" s="8"/>
      <x:c r="O1384" s="2"/>
      <x:c r="P1384" s="2"/>
      <x:c r="Q1384" s="2" t="str">
        <x:v>산업전환_외부사업관리Tool_260707_이너젠 수정_LJY_261013.xlsx</x:v>
      </x:c>
      <x:c r="R1384" s="2" t="str">
        <x:v>국외평가</x:v>
      </x:c>
      <x:c r="S1384" s="8" t="n">
        <x:v>8</x:v>
      </x:c>
      <x:c r="T1384" s="2"/>
      <x:c r="U1384" s="2" t="str"/>
      <x:c r="V1384" s="2" t="str">
        <x:v>2020-02-26</x:v>
      </x:c>
      <x:c r="W1384" s="2" t="str">
        <x:v>담당기관 확인</x:v>
      </x:c>
      <x:c r="X1384" s="2" t="str">
        <x:v>원본·배정 기록 확인</x:v>
      </x:c>
      <x:c r="Y1384" s="2" t="str">
        <x:v>ad210cd9ec132cfd447541c8984dc53d30aff0f4fb2dc92d254d49275cc55976</x:v>
      </x:c>
      <x:c r="Z1384" s="2" t="n">
        <x:f>SUBTOTAL(103,A1384)</x:f>
        <x:v>1</x:v>
      </x:c>
      <x:c r="AA1384" s="2" t="str">
        <x:f>IF(K1384&lt;&gt;"미종결 표시","대상 아님",IF(N1384="","신청일 확인",IF(NOT(ISNUMBER('종합 현황'!$H$5)),"관찰기준 확인",IF('종합 현황'!$H$5&lt;1,"관찰기준 확인",IF(N1384&gt;'종합 현황'!$H$5,"내부 관찰 대상","내부 관찰일 이하")))))</x:f>
        <x:v>대상 아님</x:v>
      </x:c>
      <x:c r="AB1384" s="2" t="str">
        <x:v>2019-06-23 15:01:50 - 신규신청 - 신청 
2019-06-23 15:01:50 - 관장기관 지정 - 환경부
2019-07-04 18:05:19 - 관장기관 지정 - 산업통상자원부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</x:v>
      </x:c>
    </x:row>
    <x:row r="1385" ht="42" customHeight="1">
      <x:c r="A1385" s="2" t="str">
        <x:v>0314153f90096932c79c9db3</x:v>
      </x:c>
      <x:c r="B1385" s="2" t="str">
        <x:v>사업 평가</x:v>
      </x:c>
      <x:c r="C1385" s="2" t="str">
        <x:v>국외</x:v>
      </x:c>
      <x:c r="D1385" s="7" t="str">
        <x:v>인도 마하라쉬트라에서의 계통연계 천연가스 발전사업</x:v>
      </x:c>
      <x:c r="E1385" s="2" t="str">
        <x:v>7</x:v>
      </x:c>
      <x:c r="F1385" s="2" t="str">
        <x:v>2019-08</x:v>
      </x:c>
      <x:c r="G1385" s="2" t="str">
        <x:v>2019</x:v>
      </x:c>
      <x:c r="H1385" s="2" t="str">
        <x:v>08</x:v>
      </x:c>
      <x:c r="I1385" s="2" t="str">
        <x:v>승인</x:v>
      </x:c>
      <x:c r="J1385" s="2" t="str">
        <x:v>심의승인</x:v>
      </x:c>
      <x:c r="K1385" s="2" t="str">
        <x:f>IF(OR(J1385="심의승인",J1385="반려",J1385="반려완료",J1385="심의완료"),"종결 표시",IF(OR(J1385="기후부협의",J1385="문서재제출요청",J1385="보류",J1385="보완요청",J1385="보완완료",J1385="평가중",J1385="반려요청",J1385="평가필요",LEFT(J1385,5)="보완요청("),"미종결 표시","상태 확인 필요"))</x:f>
        <x:v>종결 표시</x:v>
      </x:c>
      <x:c r="L1385" s="2"/>
      <x:c r="M1385" s="2"/>
      <x:c r="N1385" s="8"/>
      <x:c r="O1385" s="2"/>
      <x:c r="P1385" s="2"/>
      <x:c r="Q1385" s="2" t="str">
        <x:v>산업전환_외부사업관리Tool_260707_이너젠 수정_LJY_261013.xlsx</x:v>
      </x:c>
      <x:c r="R1385" s="2" t="str">
        <x:v>국외평가</x:v>
      </x:c>
      <x:c r="S1385" s="8" t="n">
        <x:v>9</x:v>
      </x:c>
      <x:c r="T1385" s="2"/>
      <x:c r="U1385" s="2" t="str"/>
      <x:c r="V1385" s="2" t="str">
        <x:v>2020-12-15</x:v>
      </x:c>
      <x:c r="W1385" s="2" t="str">
        <x:v>담당기관 확인</x:v>
      </x:c>
      <x:c r="X1385" s="2" t="str">
        <x:v>원본·배정 기록 확인</x:v>
      </x:c>
      <x:c r="Y1385" s="2" t="str">
        <x:v>ad210cd9ec132cfd447541c8984dc53d30aff0f4fb2dc92d254d49275cc55976</x:v>
      </x:c>
      <x:c r="Z1385" s="2" t="n">
        <x:f>SUBTOTAL(103,A1385)</x:f>
        <x:v>1</x:v>
      </x:c>
      <x:c r="AA1385" s="2" t="str">
        <x:f>IF(K1385&lt;&gt;"미종결 표시","대상 아님",IF(N1385="","신청일 확인",IF(NOT(ISNUMBER('종합 현황'!$H$5)),"관찰기준 확인",IF('종합 현황'!$H$5&lt;1,"관찰기준 확인",IF(N1385&gt;'종합 현황'!$H$5,"내부 관찰 대상","내부 관찰일 이하")))))</x:f>
        <x:v>대상 아님</x:v>
      </x:c>
      <x:c r="AB1385" s="2" t="str">
        <x:v>2019-08-14 11:37:58 - 신규신청 - 신청 
2019-08-14 11:37:58 - 관장기관 지정 - 환경부
2019-08-26 09:41:09 - 관장기관 지정 - 산업통상자원부
2019-10-11 17:39:28 - 신규신청 - 보완요청 
2019-10-29 09:43:19 - 보완신청 - 신청 
2019-11-04 19:17:43 - 보완신청 - 문서재제출요청 
2019-11-07 11:30:39 - 재제출신청 - 신청 
2019-11-07 16:45:14 - 재제출신청 - 문서재제출요청 
2019-11-07 17:54:46 - 재제출신청 - 신청 
2020-01-31 19:26:33 - 재제출신청 - 문서재제출요청 
2020-02-03 14:23:37 - 재제출신청 - 신청 
2020-02-03 14:28:19 - 재제출신청 - 문서재제출요청 
2020-02-03 15:11:12 - 재제출신청 - 신청 
2020-02-26 09:45:49 - 재제출신청 - 평가승인 
2020-02-26 10:55:49 - 재제출신청 - 심의승인 
2020-12-15 09:48:56 - 재제출신청 - 착수신고 
</x:v>
      </x:c>
    </x:row>
    <x:row r="1386" ht="42" customHeight="1">
      <x:c r="A1386" s="2" t="str">
        <x:v>00f5278abff299ecdf571494</x:v>
      </x:c>
      <x:c r="B1386" s="2" t="str">
        <x:v>사업 평가</x:v>
      </x:c>
      <x:c r="C1386" s="2" t="str">
        <x:v>국외</x:v>
      </x:c>
      <x:c r="D1386" s="7" t="str">
        <x:v>가정 조리용 비재생연료의 온실가스 배출 저감 정책 감축사업</x:v>
      </x:c>
      <x:c r="E1386" s="2" t="str">
        <x:v>8</x:v>
      </x:c>
      <x:c r="F1386" s="2" t="str">
        <x:v>2019-09</x:v>
      </x:c>
      <x:c r="G1386" s="2" t="str">
        <x:v>2019</x:v>
      </x:c>
      <x:c r="H1386" s="2" t="str">
        <x:v>09</x:v>
      </x:c>
      <x:c r="I1386" s="2" t="str">
        <x:v>승인</x:v>
      </x:c>
      <x:c r="J1386" s="2" t="str">
        <x:v>심의승인</x:v>
      </x:c>
      <x:c r="K1386" s="2" t="str">
        <x:f>IF(OR(J1386="심의승인",J1386="반려",J1386="반려완료",J1386="심의완료"),"종결 표시",IF(OR(J1386="기후부협의",J1386="문서재제출요청",J1386="보류",J1386="보완요청",J1386="보완완료",J1386="평가중",J1386="반려요청",J1386="평가필요",LEFT(J1386,5)="보완요청("),"미종결 표시","상태 확인 필요"))</x:f>
        <x:v>종결 표시</x:v>
      </x:c>
      <x:c r="L1386" s="2"/>
      <x:c r="M1386" s="2"/>
      <x:c r="N1386" s="8"/>
      <x:c r="O1386" s="2"/>
      <x:c r="P1386" s="2"/>
      <x:c r="Q1386" s="2" t="str">
        <x:v>산업전환_외부사업관리Tool_260707_이너젠 수정_LJY_261013.xlsx</x:v>
      </x:c>
      <x:c r="R1386" s="2" t="str">
        <x:v>국외평가</x:v>
      </x:c>
      <x:c r="S1386" s="8" t="n">
        <x:v>10</x:v>
      </x:c>
      <x:c r="T1386" s="2"/>
      <x:c r="U1386" s="2" t="str"/>
      <x:c r="V1386" s="2" t="str">
        <x:v>2020-02-26</x:v>
      </x:c>
      <x:c r="W1386" s="2" t="str">
        <x:v>담당기관 확인</x:v>
      </x:c>
      <x:c r="X1386" s="2" t="str">
        <x:v>원본·배정 기록 확인</x:v>
      </x:c>
      <x:c r="Y1386" s="2" t="str">
        <x:v>ad210cd9ec132cfd447541c8984dc53d30aff0f4fb2dc92d254d49275cc55976</x:v>
      </x:c>
      <x:c r="Z1386" s="2" t="n">
        <x:f>SUBTOTAL(103,A1386)</x:f>
        <x:v>1</x:v>
      </x:c>
      <x:c r="AA1386" s="2" t="str">
        <x:f>IF(K1386&lt;&gt;"미종결 표시","대상 아님",IF(N1386="","신청일 확인",IF(NOT(ISNUMBER('종합 현황'!$H$5)),"관찰기준 확인",IF('종합 현황'!$H$5&lt;1,"관찰기준 확인",IF(N1386&gt;'종합 현황'!$H$5,"내부 관찰 대상","내부 관찰일 이하")))))</x:f>
        <x:v>대상 아님</x:v>
      </x:c>
      <x:c r="AB1386" s="2" t="str">
        <x:v>2019-09-05 19:18:36 - 신규신청 - 신청 
2019-09-05 19:18:36 - 관장기관 지정 - 환경부
2019-09-19 15:09:37 - 관장기관 지정 - 산업통상자원부
2020-01-31 19:21:51 - 신규신청 - 문서재제출요청 
2020-02-03 17:32:07 - 재제출신청 - 신청 
2020-02-26 09:44:12 - 재제출신청 - 평가승인 
2020-02-26 10:54:20 - 재제출신청 - 심의승인 
2020-02-26 10:59:49 - 재제출신청 - 착수신고 
</x:v>
      </x:c>
    </x:row>
    <x:row r="1387" ht="42" customHeight="1">
      <x:c r="A1387" s="2" t="str">
        <x:v>36051afb4d689b640c52215a</x:v>
      </x:c>
      <x:c r="B1387" s="2" t="str">
        <x:v>사업 평가</x:v>
      </x:c>
      <x:c r="C1387" s="2" t="str">
        <x:v>국외</x:v>
      </x:c>
      <x:c r="D1387" s="7" t="str">
        <x:v>CPA-KE-012 케냐 삼성 사업</x:v>
      </x:c>
      <x:c r="E1387" s="2" t="str">
        <x:v>9</x:v>
      </x:c>
      <x:c r="F1387" s="2" t="str">
        <x:v>2019-09</x:v>
      </x:c>
      <x:c r="G1387" s="2" t="str">
        <x:v>2019</x:v>
      </x:c>
      <x:c r="H1387" s="2" t="str">
        <x:v>09</x:v>
      </x:c>
      <x:c r="I1387" s="2" t="str">
        <x:v>승인</x:v>
      </x:c>
      <x:c r="J1387" s="2" t="str">
        <x:v>심의승인</x:v>
      </x:c>
      <x:c r="K1387" s="2" t="str">
        <x:f>IF(OR(J1387="심의승인",J1387="반려",J1387="반려완료",J1387="심의완료"),"종결 표시",IF(OR(J1387="기후부협의",J1387="문서재제출요청",J1387="보류",J1387="보완요청",J1387="보완완료",J1387="평가중",J1387="반려요청",J1387="평가필요",LEFT(J1387,5)="보완요청("),"미종결 표시","상태 확인 필요"))</x:f>
        <x:v>종결 표시</x:v>
      </x:c>
      <x:c r="L1387" s="2"/>
      <x:c r="M1387" s="2"/>
      <x:c r="N1387" s="8"/>
      <x:c r="O1387" s="2"/>
      <x:c r="P1387" s="2"/>
      <x:c r="Q1387" s="2" t="str">
        <x:v>산업전환_외부사업관리Tool_260707_이너젠 수정_LJY_261013.xlsx</x:v>
      </x:c>
      <x:c r="R1387" s="2" t="str">
        <x:v>국외평가</x:v>
      </x:c>
      <x:c r="S1387" s="8" t="n">
        <x:v>11</x:v>
      </x:c>
      <x:c r="T1387" s="2"/>
      <x:c r="U1387" s="2" t="str"/>
      <x:c r="V1387" s="2" t="str">
        <x:v>2021-06-30</x:v>
      </x:c>
      <x:c r="W1387" s="2" t="str">
        <x:v>담당기관 확인</x:v>
      </x:c>
      <x:c r="X1387" s="2" t="str">
        <x:v>원본·배정 기록 확인</x:v>
      </x:c>
      <x:c r="Y1387" s="2" t="str">
        <x:v>ad210cd9ec132cfd447541c8984dc53d30aff0f4fb2dc92d254d49275cc55976</x:v>
      </x:c>
      <x:c r="Z1387" s="2" t="n">
        <x:f>SUBTOTAL(103,A1387)</x:f>
        <x:v>1</x:v>
      </x:c>
      <x:c r="AA1387" s="2" t="str">
        <x:f>IF(K1387&lt;&gt;"미종결 표시","대상 아님",IF(N1387="","신청일 확인",IF(NOT(ISNUMBER('종합 현황'!$H$5)),"관찰기준 확인",IF('종합 현황'!$H$5&lt;1,"관찰기준 확인",IF(N1387&gt;'종합 현황'!$H$5,"내부 관찰 대상","내부 관찰일 이하")))))</x:f>
        <x:v>대상 아님</x:v>
      </x:c>
      <x:c r="AB1387" s="2" t="str">
        <x:v>2019-09-17 09:20:42 - 신규신청 - 신청 
2019-09-17 09:20:42 - 관장기관 지정 - 환경부
2019-09-19 15:10:11 - 관장기관 지정 - 산업통상자원부
2019-12-12 16:46:24 - 신규신청 - 문서재제출요청 
2019-12-16 08:44:26 - 재제출신청 - 신청 
2019-12-26 14:35:13 - 재제출신청 - 문서재제출요청 
2019-12-26 15:26:21 - 재제출신청 - 신청 
2020-02-05 18:04:46 - 재제출신청 - 문서재제출요청 
2020-02-06 08:02:49 - 재제출신청 - 신청 
2020-06-18 10:34:34 - 재제출신청 - 문서재제출요청 
2020-06-24 09:18:44 - 재제출신청 - 신청 
2020-07-31 15:51:13 - 재제출신청 - 평가승인 
2020-07-31 15:51:33 - 재제출신청 - 심의승인 
2021-06-30 11:04:39 - 재제출신청 - 착수신고 
</x:v>
      </x:c>
    </x:row>
    <x:row r="1388" ht="42" customHeight="1">
      <x:c r="A1388" s="2" t="str">
        <x:v>a70f06b224de0d94e35516b0</x:v>
      </x:c>
      <x:c r="B1388" s="2" t="str">
        <x:v>사업 평가</x:v>
      </x:c>
      <x:c r="C1388" s="2" t="str">
        <x:v>국외</x:v>
      </x:c>
      <x:c r="D1388" s="7" t="str">
        <x:v>CPA-KE-010 케냐 삼성 몸바사 사업</x:v>
      </x:c>
      <x:c r="E1388" s="2" t="str">
        <x:v>10</x:v>
      </x:c>
      <x:c r="F1388" s="2" t="str">
        <x:v>2019-09</x:v>
      </x:c>
      <x:c r="G1388" s="2" t="str">
        <x:v>2019</x:v>
      </x:c>
      <x:c r="H1388" s="2" t="str">
        <x:v>09</x:v>
      </x:c>
      <x:c r="I1388" s="2" t="str">
        <x:v>승인</x:v>
      </x:c>
      <x:c r="J1388" s="2" t="str">
        <x:v>심의승인</x:v>
      </x:c>
      <x:c r="K1388" s="2" t="str">
        <x:f>IF(OR(J1388="심의승인",J1388="반려",J1388="반려완료",J1388="심의완료"),"종결 표시",IF(OR(J1388="기후부협의",J1388="문서재제출요청",J1388="보류",J1388="보완요청",J1388="보완완료",J1388="평가중",J1388="반려요청",J1388="평가필요",LEFT(J1388,5)="보완요청("),"미종결 표시","상태 확인 필요"))</x:f>
        <x:v>종결 표시</x:v>
      </x:c>
      <x:c r="L1388" s="2"/>
      <x:c r="M1388" s="2"/>
      <x:c r="N1388" s="8"/>
      <x:c r="O1388" s="2"/>
      <x:c r="P1388" s="2"/>
      <x:c r="Q1388" s="2" t="str">
        <x:v>산업전환_외부사업관리Tool_260707_이너젠 수정_LJY_261013.xlsx</x:v>
      </x:c>
      <x:c r="R1388" s="2" t="str">
        <x:v>국외평가</x:v>
      </x:c>
      <x:c r="S1388" s="8" t="n">
        <x:v>12</x:v>
      </x:c>
      <x:c r="T1388" s="2"/>
      <x:c r="U1388" s="2" t="str"/>
      <x:c r="V1388" s="2" t="str">
        <x:v>2021-06-30</x:v>
      </x:c>
      <x:c r="W1388" s="2" t="str">
        <x:v>담당기관 확인</x:v>
      </x:c>
      <x:c r="X1388" s="2" t="str">
        <x:v>원본·배정 기록 확인</x:v>
      </x:c>
      <x:c r="Y1388" s="2" t="str">
        <x:v>ad210cd9ec132cfd447541c8984dc53d30aff0f4fb2dc92d254d49275cc55976</x:v>
      </x:c>
      <x:c r="Z1388" s="2" t="n">
        <x:f>SUBTOTAL(103,A1388)</x:f>
        <x:v>1</x:v>
      </x:c>
      <x:c r="AA1388" s="2" t="str">
        <x:f>IF(K1388&lt;&gt;"미종결 표시","대상 아님",IF(N1388="","신청일 확인",IF(NOT(ISNUMBER('종합 현황'!$H$5)),"관찰기준 확인",IF('종합 현황'!$H$5&lt;1,"관찰기준 확인",IF(N1388&gt;'종합 현황'!$H$5,"내부 관찰 대상","내부 관찰일 이하")))))</x:f>
        <x:v>대상 아님</x:v>
      </x:c>
      <x:c r="AB1388" s="2" t="str">
        <x:v>2019-09-17 09:21:09 - 신규신청 - 신청 
2019-09-17 09:21:09 - 관장기관 지정 - 환경부
2019-09-19 15:10:03 - 관장기관 지정 - 산업통상자원부
2019-12-12 14:53:59 - 신규신청 - 문서재제출요청 
2019-12-16 08:28:10 - 재제출신청 - 신청 
2019-12-26 14:28:27 - 재제출신청 - 문서재제출요청 
2019-12-26 15:45:46 - 재제출신청 - 신청 
2020-02-05 18:05:45 - 재제출신청 - 문서재제출요청 
2020-02-06 08:02:02 - 재제출신청 - 신청 
2020-06-18 10:35:13 - 재제출신청 - 문서재제출요청 
2020-06-24 09:17:38 - 재제출신청 - 신청 
2020-07-31 15:49:29 - 재제출신청 - 평가승인 
2020-07-31 15:50:38 - 재제출신청 - 심의승인 
2021-06-30 11:03:02 - 재제출신청 - 착수신고 
</x:v>
      </x:c>
    </x:row>
    <x:row r="1389" ht="42" customHeight="1">
      <x:c r="A1389" s="2" t="str">
        <x:v>ff0d162edbb6069b5b87c01d</x:v>
      </x:c>
      <x:c r="B1389" s="2" t="str">
        <x:v>사업 평가</x:v>
      </x:c>
      <x:c r="C1389" s="2" t="str">
        <x:v>국외</x:v>
      </x:c>
      <x:c r="D1389" s="7" t="str">
        <x:v>청정 에너지 프로그램 CPA MM 02</x:v>
      </x:c>
      <x:c r="E1389" s="2" t="str">
        <x:v>11</x:v>
      </x:c>
      <x:c r="F1389" s="2" t="str">
        <x:v>2019-10</x:v>
      </x:c>
      <x:c r="G1389" s="2" t="str">
        <x:v>2019</x:v>
      </x:c>
      <x:c r="H1389" s="2" t="str">
        <x:v>10</x:v>
      </x:c>
      <x:c r="I1389" s="2" t="str">
        <x:v>승인</x:v>
      </x:c>
      <x:c r="J1389" s="2" t="str">
        <x:v>심의승인</x:v>
      </x:c>
      <x:c r="K1389" s="2" t="str">
        <x:f>IF(OR(J1389="심의승인",J1389="반려",J1389="반려완료",J1389="심의완료"),"종결 표시",IF(OR(J1389="기후부협의",J1389="문서재제출요청",J1389="보류",J1389="보완요청",J1389="보완완료",J1389="평가중",J1389="반려요청",J1389="평가필요",LEFT(J1389,5)="보완요청("),"미종결 표시","상태 확인 필요"))</x:f>
        <x:v>종결 표시</x:v>
      </x:c>
      <x:c r="L1389" s="2"/>
      <x:c r="M1389" s="2"/>
      <x:c r="N1389" s="8"/>
      <x:c r="O1389" s="2"/>
      <x:c r="P1389" s="2"/>
      <x:c r="Q1389" s="2" t="str">
        <x:v>산업전환_외부사업관리Tool_260707_이너젠 수정_LJY_261013.xlsx</x:v>
      </x:c>
      <x:c r="R1389" s="2" t="str">
        <x:v>국외평가</x:v>
      </x:c>
      <x:c r="S1389" s="8" t="n">
        <x:v>13</x:v>
      </x:c>
      <x:c r="T1389" s="2"/>
      <x:c r="U1389" s="2" t="str"/>
      <x:c r="V1389" s="2" t="str">
        <x:v>2020-02-26</x:v>
      </x:c>
      <x:c r="W1389" s="2" t="str">
        <x:v>담당기관 확인</x:v>
      </x:c>
      <x:c r="X1389" s="2" t="str">
        <x:v>원본·배정 기록 확인</x:v>
      </x:c>
      <x:c r="Y1389" s="2" t="str">
        <x:v>ad210cd9ec132cfd447541c8984dc53d30aff0f4fb2dc92d254d49275cc55976</x:v>
      </x:c>
      <x:c r="Z1389" s="2" t="n">
        <x:f>SUBTOTAL(103,A1389)</x:f>
        <x:v>1</x:v>
      </x:c>
      <x:c r="AA1389" s="2" t="str">
        <x:f>IF(K1389&lt;&gt;"미종결 표시","대상 아님",IF(N1389="","신청일 확인",IF(NOT(ISNUMBER('종합 현황'!$H$5)),"관찰기준 확인",IF('종합 현황'!$H$5&lt;1,"관찰기준 확인",IF(N1389&gt;'종합 현황'!$H$5,"내부 관찰 대상","내부 관찰일 이하")))))</x:f>
        <x:v>대상 아님</x:v>
      </x:c>
      <x:c r="AB1389" s="2" t="str">
        <x:v>2019-10-09 17:06:24 - 신규신청 - 신청 
2019-10-09 17:06:24 - 관장기관 지정 - 환경부
2019-10-10 09:19:20 - 관장기관 지정 - 산업통상자원부
2019-11-04 19:14:24 - 신규신청 - 문서재제출요청 
2019-11-04 19:50:12 - 재제출신청 - 신청 
2020-02-26 09:42:30 - 재제출신청 - 평가승인 
2020-02-26 10:51:38 - 재제출신청 - 심의승인 
2020-02-26 10:59:37 - 재제출신청 - 착수신고 
</x:v>
      </x:c>
    </x:row>
    <x:row r="1390" ht="42" customHeight="1">
      <x:c r="A1390" s="2" t="str">
        <x:v>1233151c0db1eaab19e94a11</x:v>
      </x:c>
      <x:c r="B1390" s="2" t="str">
        <x:v>사업 평가</x:v>
      </x:c>
      <x:c r="C1390" s="2" t="str">
        <x:v>국외</x:v>
      </x:c>
      <x:c r="D1390" s="7" t="str">
        <x:v>중국 객좌쌍묘 풍력발전 프로젝트 감축사업</x:v>
      </x:c>
      <x:c r="E1390" s="2" t="str">
        <x:v>12</x:v>
      </x:c>
      <x:c r="F1390" s="2" t="str">
        <x:v>2019-10</x:v>
      </x:c>
      <x:c r="G1390" s="2" t="str">
        <x:v>2019</x:v>
      </x:c>
      <x:c r="H1390" s="2" t="str">
        <x:v>10</x:v>
      </x:c>
      <x:c r="I1390" s="2" t="str">
        <x:v>승인</x:v>
      </x:c>
      <x:c r="J1390" s="2" t="str">
        <x:v>심의승인</x:v>
      </x:c>
      <x:c r="K1390" s="2" t="str">
        <x:f>IF(OR(J1390="심의승인",J1390="반려",J1390="반려완료",J1390="심의완료"),"종결 표시",IF(OR(J1390="기후부협의",J1390="문서재제출요청",J1390="보류",J1390="보완요청",J1390="보완완료",J1390="평가중",J1390="반려요청",J1390="평가필요",LEFT(J1390,5)="보완요청("),"미종결 표시","상태 확인 필요"))</x:f>
        <x:v>종결 표시</x:v>
      </x:c>
      <x:c r="L1390" s="2"/>
      <x:c r="M1390" s="2"/>
      <x:c r="N1390" s="8"/>
      <x:c r="O1390" s="2"/>
      <x:c r="P1390" s="2"/>
      <x:c r="Q1390" s="2" t="str">
        <x:v>산업전환_외부사업관리Tool_260707_이너젠 수정_LJY_261013.xlsx</x:v>
      </x:c>
      <x:c r="R1390" s="2" t="str">
        <x:v>국외평가</x:v>
      </x:c>
      <x:c r="S1390" s="8" t="n">
        <x:v>14</x:v>
      </x:c>
      <x:c r="T1390" s="2"/>
      <x:c r="U1390" s="2" t="str"/>
      <x:c r="V1390" s="2" t="str">
        <x:v>2020-02-26</x:v>
      </x:c>
      <x:c r="W1390" s="2" t="str">
        <x:v>담당기관 확인</x:v>
      </x:c>
      <x:c r="X1390" s="2" t="str">
        <x:v>원본·배정 기록 확인</x:v>
      </x:c>
      <x:c r="Y1390" s="2" t="str">
        <x:v>ad210cd9ec132cfd447541c8984dc53d30aff0f4fb2dc92d254d49275cc55976</x:v>
      </x:c>
      <x:c r="Z1390" s="2" t="n">
        <x:f>SUBTOTAL(103,A1390)</x:f>
        <x:v>1</x:v>
      </x:c>
      <x:c r="AA1390" s="2" t="str">
        <x:f>IF(K1390&lt;&gt;"미종결 표시","대상 아님",IF(N1390="","신청일 확인",IF(NOT(ISNUMBER('종합 현황'!$H$5)),"관찰기준 확인",IF('종합 현황'!$H$5&lt;1,"관찰기준 확인",IF(N1390&gt;'종합 현황'!$H$5,"내부 관찰 대상","내부 관찰일 이하")))))</x:f>
        <x:v>대상 아님</x:v>
      </x:c>
      <x:c r="AB1390" s="2" t="str">
        <x:v>2019-10-15 13:13:50 - 신규신청 - 신청 
2019-10-15 13:13:50 - 관장기관 지정 - 환경부
2019-10-22 17:25:56 - 관장기관 지정 - 산업통상자원부
2019-11-07 10:31:15 - 신규신청 - 보완요청 
2019-11-07 14:05:40 - 보완신청 - 신청 
2020-01-31 19:59:57 - 보완신청 - 문서재제출요청 
2020-02-03 18:38:55 - 재제출신청 - 신청 
2020-02-26 09:46:52 - 재제출신청 - 평가승인 
2020-02-26 10:57:19 - 재제출신청 - 심의승인 
2020-02-26 18:59:47 - 재제출신청 - 착수신고 
</x:v>
      </x:c>
    </x:row>
    <x:row r="1391" ht="42" customHeight="1">
      <x:c r="A1391" s="2" t="str">
        <x:v>6c8fc1c7436939d296a68657</x:v>
      </x:c>
      <x:c r="B1391" s="2" t="str">
        <x:v>사업 평가</x:v>
      </x:c>
      <x:c r="C1391" s="2" t="str">
        <x:v>국외</x:v>
      </x:c>
      <x:c r="D1391" s="7" t="str">
        <x:v>중국 북표소탑자 풍력발전 프로젝트 감축사업</x:v>
      </x:c>
      <x:c r="E1391" s="2" t="str">
        <x:v>13</x:v>
      </x:c>
      <x:c r="F1391" s="2" t="str">
        <x:v>2019-10</x:v>
      </x:c>
      <x:c r="G1391" s="2" t="str">
        <x:v>2019</x:v>
      </x:c>
      <x:c r="H1391" s="2" t="str">
        <x:v>10</x:v>
      </x:c>
      <x:c r="I1391" s="2" t="str">
        <x:v>승인</x:v>
      </x:c>
      <x:c r="J1391" s="2" t="str">
        <x:v>심의승인</x:v>
      </x:c>
      <x:c r="K1391" s="2" t="str">
        <x:f>IF(OR(J1391="심의승인",J1391="반려",J1391="반려완료",J1391="심의완료"),"종결 표시",IF(OR(J1391="기후부협의",J1391="문서재제출요청",J1391="보류",J1391="보완요청",J1391="보완완료",J1391="평가중",J1391="반려요청",J1391="평가필요",LEFT(J1391,5)="보완요청("),"미종결 표시","상태 확인 필요"))</x:f>
        <x:v>종결 표시</x:v>
      </x:c>
      <x:c r="L1391" s="2"/>
      <x:c r="M1391" s="2"/>
      <x:c r="N1391" s="8"/>
      <x:c r="O1391" s="2"/>
      <x:c r="P1391" s="2"/>
      <x:c r="Q1391" s="2" t="str">
        <x:v>산업전환_외부사업관리Tool_260707_이너젠 수정_LJY_261013.xlsx</x:v>
      </x:c>
      <x:c r="R1391" s="2" t="str">
        <x:v>국외평가</x:v>
      </x:c>
      <x:c r="S1391" s="8" t="n">
        <x:v>15</x:v>
      </x:c>
      <x:c r="T1391" s="2"/>
      <x:c r="U1391" s="2" t="str"/>
      <x:c r="V1391" s="2" t="str">
        <x:v>2020-02-26</x:v>
      </x:c>
      <x:c r="W1391" s="2" t="str">
        <x:v>담당기관 확인</x:v>
      </x:c>
      <x:c r="X1391" s="2" t="str">
        <x:v>원본·배정 기록 확인</x:v>
      </x:c>
      <x:c r="Y1391" s="2" t="str">
        <x:v>ad210cd9ec132cfd447541c8984dc53d30aff0f4fb2dc92d254d49275cc55976</x:v>
      </x:c>
      <x:c r="Z1391" s="2" t="n">
        <x:f>SUBTOTAL(103,A1391)</x:f>
        <x:v>1</x:v>
      </x:c>
      <x:c r="AA1391" s="2" t="str">
        <x:f>IF(K1391&lt;&gt;"미종결 표시","대상 아님",IF(N1391="","신청일 확인",IF(NOT(ISNUMBER('종합 현황'!$H$5)),"관찰기준 확인",IF('종합 현황'!$H$5&lt;1,"관찰기준 확인",IF(N1391&gt;'종합 현황'!$H$5,"내부 관찰 대상","내부 관찰일 이하")))))</x:f>
        <x:v>대상 아님</x:v>
      </x:c>
      <x:c r="AB1391" s="2" t="str">
        <x:v>2019-10-15 13:15:54 - 신규신청 - 신청 
2019-10-15 13:15:54 - 관장기관 지정 - 환경부
2019-10-22 17:25:51 - 관장기관 지정 - 산업통상자원부
2019-11-07 13:19:42 - 신규신청 - 보완요청 
2019-11-07 14:09:34 - 보완신청 - 신청 
2020-01-31 20:00:39 - 보완신청 - 문서재제출요청 
2020-02-03 18:42:08 - 재제출신청 - 신청 
2020-02-26 09:51:31 - 재제출신청 - 평가승인 
2020-02-26 10:57:59 - 재제출신청 - 심의승인 
2020-02-26 18:59:17 - 재제출신청 - 착수신고 
</x:v>
      </x:c>
    </x:row>
    <x:row r="1392" ht="42" customHeight="1">
      <x:c r="A1392" s="2" t="str">
        <x:v>102a92744d66a5e3a8bf31ec</x:v>
      </x:c>
      <x:c r="B1392" s="2" t="str">
        <x:v>사업 평가</x:v>
      </x:c>
      <x:c r="C1392" s="2" t="str">
        <x:v>국외</x:v>
      </x:c>
      <x:c r="D1392" s="7" t="str">
        <x:v>중국 파랍기여덕 풍력발전 프로젝트 감축사업</x:v>
      </x:c>
      <x:c r="E1392" s="2" t="str">
        <x:v>14</x:v>
      </x:c>
      <x:c r="F1392" s="2" t="str">
        <x:v>2019-10</x:v>
      </x:c>
      <x:c r="G1392" s="2" t="str">
        <x:v>2019</x:v>
      </x:c>
      <x:c r="H1392" s="2" t="str">
        <x:v>10</x:v>
      </x:c>
      <x:c r="I1392" s="2" t="str">
        <x:v>승인</x:v>
      </x:c>
      <x:c r="J1392" s="2" t="str">
        <x:v>심의승인</x:v>
      </x:c>
      <x:c r="K1392" s="2" t="str">
        <x:f>IF(OR(J1392="심의승인",J1392="반려",J1392="반려완료",J1392="심의완료"),"종결 표시",IF(OR(J1392="기후부협의",J1392="문서재제출요청",J1392="보류",J1392="보완요청",J1392="보완완료",J1392="평가중",J1392="반려요청",J1392="평가필요",LEFT(J1392,5)="보완요청("),"미종결 표시","상태 확인 필요"))</x:f>
        <x:v>종결 표시</x:v>
      </x:c>
      <x:c r="L1392" s="2"/>
      <x:c r="M1392" s="2"/>
      <x:c r="N1392" s="8"/>
      <x:c r="O1392" s="2"/>
      <x:c r="P1392" s="2"/>
      <x:c r="Q1392" s="2" t="str">
        <x:v>산업전환_외부사업관리Tool_260707_이너젠 수정_LJY_261013.xlsx</x:v>
      </x:c>
      <x:c r="R1392" s="2" t="str">
        <x:v>국외평가</x:v>
      </x:c>
      <x:c r="S1392" s="8" t="n">
        <x:v>16</x:v>
      </x:c>
      <x:c r="T1392" s="2"/>
      <x:c r="U1392" s="2" t="str"/>
      <x:c r="V1392" s="2" t="str">
        <x:v>2020-02-26</x:v>
      </x:c>
      <x:c r="W1392" s="2" t="str">
        <x:v>담당기관 확인</x:v>
      </x:c>
      <x:c r="X1392" s="2" t="str">
        <x:v>원본·배정 기록 확인</x:v>
      </x:c>
      <x:c r="Y1392" s="2" t="str">
        <x:v>ad210cd9ec132cfd447541c8984dc53d30aff0f4fb2dc92d254d49275cc55976</x:v>
      </x:c>
      <x:c r="Z1392" s="2" t="n">
        <x:f>SUBTOTAL(103,A1392)</x:f>
        <x:v>1</x:v>
      </x:c>
      <x:c r="AA1392" s="2" t="str">
        <x:f>IF(K1392&lt;&gt;"미종결 표시","대상 아님",IF(N1392="","신청일 확인",IF(NOT(ISNUMBER('종합 현황'!$H$5)),"관찰기준 확인",IF('종합 현황'!$H$5&lt;1,"관찰기준 확인",IF(N1392&gt;'종합 현황'!$H$5,"내부 관찰 대상","내부 관찰일 이하")))))</x:f>
        <x:v>대상 아님</x:v>
      </x:c>
      <x:c r="AB1392" s="2" t="str">
        <x:v>2019-10-15 13:17:05 - 신규신청 - 신청 
2019-10-15 13:17:05 - 관장기관 지정 - 환경부
2019-10-22 17:25:45 - 관장기관 지정 - 산업통상자원부
2019-11-07 09:28:29 - 신규신청 - 보완요청 
2019-11-07 14:14:22 - 보완신청 - 신청 
2019-11-07 14:18:54 - 보완신청 - 문서재제출요청 
2019-11-07 14:48:07 - 재제출신청 - 신청 
2020-01-31 19:55:57 - 재제출신청 - 문서재제출요청 
2020-02-03 18:44:19 - 재제출신청 - 신청 
2020-02-26 09:52:33 - 재제출신청 - 평가승인 
2020-02-26 10:58:39 - 재제출신청 - 심의승인 
2020-02-26 18:58:56 - 재제출신청 - 착수신고 
</x:v>
      </x:c>
    </x:row>
    <x:row r="1393" ht="42" customHeight="1">
      <x:c r="A1393" s="2" t="str">
        <x:v>7b241d149a3c2d3b0fa51f86</x:v>
      </x:c>
      <x:c r="B1393" s="2" t="str">
        <x:v>사업 평가</x:v>
      </x:c>
      <x:c r="C1393" s="2" t="str">
        <x:v>국외</x:v>
      </x:c>
      <x:c r="D1393" s="7" t="str">
        <x:v>파트린드수력CDM</x:v>
      </x:c>
      <x:c r="E1393" s="2" t="str">
        <x:v>15</x:v>
      </x:c>
      <x:c r="F1393" s="2" t="str">
        <x:v>2019-11</x:v>
      </x:c>
      <x:c r="G1393" s="2" t="str">
        <x:v>2019</x:v>
      </x:c>
      <x:c r="H1393" s="2" t="str">
        <x:v>11</x:v>
      </x:c>
      <x:c r="I1393" s="2" t="str">
        <x:v>승인</x:v>
      </x:c>
      <x:c r="J1393" s="2" t="str">
        <x:v>심의승인</x:v>
      </x:c>
      <x:c r="K1393" s="2" t="str">
        <x:f>IF(OR(J1393="심의승인",J1393="반려",J1393="반려완료",J1393="심의완료"),"종결 표시",IF(OR(J1393="기후부협의",J1393="문서재제출요청",J1393="보류",J1393="보완요청",J1393="보완완료",J1393="평가중",J1393="반려요청",J1393="평가필요",LEFT(J1393,5)="보완요청("),"미종결 표시","상태 확인 필요"))</x:f>
        <x:v>종결 표시</x:v>
      </x:c>
      <x:c r="L1393" s="2"/>
      <x:c r="M1393" s="2"/>
      <x:c r="N1393" s="8"/>
      <x:c r="O1393" s="2"/>
      <x:c r="P1393" s="2"/>
      <x:c r="Q1393" s="2" t="str">
        <x:v>산업전환_외부사업관리Tool_260707_이너젠 수정_LJY_261013.xlsx</x:v>
      </x:c>
      <x:c r="R1393" s="2" t="str">
        <x:v>국외평가</x:v>
      </x:c>
      <x:c r="S1393" s="8" t="n">
        <x:v>17</x:v>
      </x:c>
      <x:c r="T1393" s="2"/>
      <x:c r="U1393" s="2" t="str"/>
      <x:c r="V1393" s="2" t="str">
        <x:v>2020-07-31</x:v>
      </x:c>
      <x:c r="W1393" s="2" t="str">
        <x:v>담당기관 확인</x:v>
      </x:c>
      <x:c r="X1393" s="2" t="str">
        <x:v>원본·배정 기록 확인</x:v>
      </x:c>
      <x:c r="Y1393" s="2" t="str">
        <x:v>ad210cd9ec132cfd447541c8984dc53d30aff0f4fb2dc92d254d49275cc55976</x:v>
      </x:c>
      <x:c r="Z1393" s="2" t="n">
        <x:f>SUBTOTAL(103,A1393)</x:f>
        <x:v>1</x:v>
      </x:c>
      <x:c r="AA1393" s="2" t="str">
        <x:f>IF(K1393&lt;&gt;"미종결 표시","대상 아님",IF(N1393="","신청일 확인",IF(NOT(ISNUMBER('종합 현황'!$H$5)),"관찰기준 확인",IF('종합 현황'!$H$5&lt;1,"관찰기준 확인",IF(N1393&gt;'종합 현황'!$H$5,"내부 관찰 대상","내부 관찰일 이하")))))</x:f>
        <x:v>대상 아님</x:v>
      </x:c>
      <x:c r="AB1393" s="2" t="str">
        <x:v>2019-11-26 14:14:36 - 신규신청 - 신청 
2019-11-26 14:14:36 - 관장기관 지정 - 환경부
2019-11-26 14:45:52 - 관장기관 지정 - 산업통상자원부
2020-02-07 15:31:21 - 신규신청 - 문서재제출요청 
2020-02-19 11:05:22 - 재제출신청 - 신청 
2020-05-20 18:08:02 - 재제출신청 - 문서재제출요청 
2020-05-20 18:14:16 - 재제출신청 - 신청 
2020-05-29 16:42:56 - 재제출신청 - 문서재제출요청 
2020-06-08 15:01:55 - 재제출신청 - 신청 
2020-07-31 10:04:53 - 재제출신청 - 평가승인 
2020-07-31 10:11:29 - 재제출신청 - 심의승인 
2020-07-31 10:45:43 - 재제출신청 - 착수신고 
</x:v>
      </x:c>
    </x:row>
    <x:row r="1394" ht="42" customHeight="1">
      <x:c r="A1394" s="2" t="str">
        <x:v>bece9e4e091ba4861c0fc3a9</x:v>
      </x:c>
      <x:c r="B1394" s="2" t="str">
        <x:v>사업 평가</x:v>
      </x:c>
      <x:c r="C1394" s="2" t="str">
        <x:v>국외</x:v>
      </x:c>
      <x:c r="D1394" s="7" t="str">
        <x:v>안전한 식수 공급을 위한 정수기 보급 사업 : CPA 38(한국 지원)</x:v>
      </x:c>
      <x:c r="E1394" s="2" t="str">
        <x:v>16</x:v>
      </x:c>
      <x:c r="F1394" s="2" t="str">
        <x:v>2019-11</x:v>
      </x:c>
      <x:c r="G1394" s="2" t="str">
        <x:v>2019</x:v>
      </x:c>
      <x:c r="H1394" s="2" t="str">
        <x:v>11</x:v>
      </x:c>
      <x:c r="I1394" s="2" t="str">
        <x:v>승인</x:v>
      </x:c>
      <x:c r="J1394" s="2" t="str">
        <x:v>심의승인</x:v>
      </x:c>
      <x:c r="K1394" s="2" t="str">
        <x:f>IF(OR(J1394="심의승인",J1394="반려",J1394="반려완료",J1394="심의완료"),"종결 표시",IF(OR(J1394="기후부협의",J1394="문서재제출요청",J1394="보류",J1394="보완요청",J1394="보완완료",J1394="평가중",J1394="반려요청",J1394="평가필요",LEFT(J1394,5)="보완요청("),"미종결 표시","상태 확인 필요"))</x:f>
        <x:v>종결 표시</x:v>
      </x:c>
      <x:c r="L1394" s="2"/>
      <x:c r="M1394" s="2"/>
      <x:c r="N1394" s="8"/>
      <x:c r="O1394" s="2"/>
      <x:c r="P1394" s="2"/>
      <x:c r="Q1394" s="2" t="str">
        <x:v>산업전환_외부사업관리Tool_260707_이너젠 수정_LJY_261013.xlsx</x:v>
      </x:c>
      <x:c r="R1394" s="2" t="str">
        <x:v>국외평가</x:v>
      </x:c>
      <x:c r="S1394" s="8" t="n">
        <x:v>18</x:v>
      </x:c>
      <x:c r="T1394" s="2"/>
      <x:c r="U1394" s="2" t="str"/>
      <x:c r="V1394" s="2" t="str">
        <x:v>2020-08-03</x:v>
      </x:c>
      <x:c r="W1394" s="2" t="str">
        <x:v>담당기관 확인</x:v>
      </x:c>
      <x:c r="X1394" s="2" t="str">
        <x:v>원본·배정 기록 확인</x:v>
      </x:c>
      <x:c r="Y1394" s="2" t="str">
        <x:v>ad210cd9ec132cfd447541c8984dc53d30aff0f4fb2dc92d254d49275cc55976</x:v>
      </x:c>
      <x:c r="Z1394" s="2" t="n">
        <x:f>SUBTOTAL(103,A1394)</x:f>
        <x:v>1</x:v>
      </x:c>
      <x:c r="AA1394" s="2" t="str">
        <x:f>IF(K1394&lt;&gt;"미종결 표시","대상 아님",IF(N1394="","신청일 확인",IF(NOT(ISNUMBER('종합 현황'!$H$5)),"관찰기준 확인",IF('종합 현황'!$H$5&lt;1,"관찰기준 확인",IF(N1394&gt;'종합 현황'!$H$5,"내부 관찰 대상","내부 관찰일 이하")))))</x:f>
        <x:v>대상 아님</x:v>
      </x:c>
      <x:c r="AB1394" s="2" t="str">
        <x:v>2019-11-29 11:04:14 - 신규신청 - 신청 
2019-11-29 11:04:14 - 관장기관 지정 - 환경부
2019-12-02 21:12:11 - 관장기관 지정 - 산업통상자원부
2020-02-10 16:59:49 - 신규신청 - 문서재제출요청 
2020-03-01 22:47:52 - 재제출신청 - 신청 
2020-06-15 15:25:46 - 재제출신청 - 문서재제출요청 
2020-06-19 10:10:59 - 재제출신청 - 신청 
2020-06-19 10:19:26 - 재제출신청 - 문서재제출요청 
2020-06-19 13:57:56 - 재제출신청 - 신청 
2020-07-31 10:20:07 - 재제출신청 - 평가승인 
2020-07-31 13:16:17 - 재제출신청 - 심의승인 
2020-08-03 11:32:43 - 재제출신청 - 착수신고 
</x:v>
      </x:c>
    </x:row>
    <x:row r="1395" ht="42" customHeight="1">
      <x:c r="A1395" s="2" t="str">
        <x:v>c712cfc6fcdab2f70d9c2be6</x:v>
      </x:c>
      <x:c r="B1395" s="2" t="str">
        <x:v>사업 평가</x:v>
      </x:c>
      <x:c r="C1395" s="2" t="str">
        <x:v>국외</x:v>
      </x:c>
      <x:c r="D1395" s="7" t="str">
        <x:v>안전한 식수 공급을 위한 정수기 보급 사업 : CPA 43(한국 지원)</x:v>
      </x:c>
      <x:c r="E1395" s="2" t="str">
        <x:v>17</x:v>
      </x:c>
      <x:c r="F1395" s="2" t="str">
        <x:v>2019-11</x:v>
      </x:c>
      <x:c r="G1395" s="2" t="str">
        <x:v>2019</x:v>
      </x:c>
      <x:c r="H1395" s="2" t="str">
        <x:v>11</x:v>
      </x:c>
      <x:c r="I1395" s="2" t="str">
        <x:v>반려</x:v>
      </x:c>
      <x:c r="J1395" s="2" t="str">
        <x:v>반려</x:v>
      </x:c>
      <x:c r="K1395" s="2" t="str">
        <x:f>IF(OR(J1395="심의승인",J1395="반려",J1395="반려완료",J1395="심의완료"),"종결 표시",IF(OR(J1395="기후부협의",J1395="문서재제출요청",J1395="보류",J1395="보완요청",J1395="보완완료",J1395="평가중",J1395="반려요청",J1395="평가필요",LEFT(J1395,5)="보완요청("),"미종결 표시","상태 확인 필요"))</x:f>
        <x:v>종결 표시</x:v>
      </x:c>
      <x:c r="L1395" s="2"/>
      <x:c r="M1395" s="2"/>
      <x:c r="N1395" s="8"/>
      <x:c r="O1395" s="2"/>
      <x:c r="P1395" s="2" t="str">
        <x:v>사업변경신청 반려</x:v>
      </x:c>
      <x:c r="Q1395" s="2" t="str">
        <x:v>산업전환_외부사업관리Tool_260707_이너젠 수정_LJY_261013.xlsx</x:v>
      </x:c>
      <x:c r="R1395" s="2" t="str">
        <x:v>국외평가</x:v>
      </x:c>
      <x:c r="S1395" s="8" t="n">
        <x:v>19</x:v>
      </x:c>
      <x:c r="T1395" s="2"/>
      <x:c r="U1395" s="2" t="str"/>
      <x:c r="V1395" s="2" t="str">
        <x:v>2021-12-15</x:v>
      </x:c>
      <x:c r="W1395" s="2" t="str">
        <x:v>담당기관 확인</x:v>
      </x:c>
      <x:c r="X1395" s="2" t="str">
        <x:v>원본·배정 기록 확인</x:v>
      </x:c>
      <x:c r="Y1395" s="2" t="str">
        <x:v>ad210cd9ec132cfd447541c8984dc53d30aff0f4fb2dc92d254d49275cc55976</x:v>
      </x:c>
      <x:c r="Z1395" s="2" t="n">
        <x:f>SUBTOTAL(103,A1395)</x:f>
        <x:v>1</x:v>
      </x:c>
      <x:c r="AA1395" s="2" t="str">
        <x:f>IF(K1395&lt;&gt;"미종결 표시","대상 아님",IF(N1395="","신청일 확인",IF(NOT(ISNUMBER('종합 현황'!$H$5)),"관찰기준 확인",IF('종합 현황'!$H$5&lt;1,"관찰기준 확인",IF(N1395&gt;'종합 현황'!$H$5,"내부 관찰 대상","내부 관찰일 이하")))))</x:f>
        <x:v>대상 아님</x:v>
      </x:c>
      <x:c r="AB1395" s="2" t="str">
        <x:v>2019-11-29 11:05:58 - 신규신청 - 신청 
2019-11-29 11:05:58 - 관장기관 지정 - 환경부
2019-12-02 21:12:05 - 관장기관 지정 - 산업통상자원부
2020-02-10 17:01:32 - 신규신청 - 문서재제출요청 
2020-03-01 22:48:24 - 재제출신청 - 신청 
2020-03-18 16:41:53 - 재제출신청 - 문서재제출요청 
2020-03-20 00:53:04 - 재제출신청 - 신청 
2020-06-15 15:26:03 - 재제출신청 - 문서재제출요청 
2020-06-19 13:58:33 - 재제출신청 - 신청 
2020-07-31 13:21:37 - 재제출신청 - 평가승인 
2020-07-31 13:21:58 - 재제출신청 - 심의승인 
2020-08-03 12:34:27 - 재제출신청 - 착수신고 
2021-11-26 12:14:54 - 사업변경 신청 - 신청 
2021-12-15 16:36:35 - 사업변경 신청 - 평가반려 
</x:v>
      </x:c>
    </x:row>
    <x:row r="1396" ht="42" customHeight="1">
      <x:c r="A1396" s="2" t="str">
        <x:v>327840dfbfeaab9752467c50</x:v>
      </x:c>
      <x:c r="B1396" s="2" t="str">
        <x:v>사업 평가</x:v>
      </x:c>
      <x:c r="C1396" s="2" t="str">
        <x:v>국외</x:v>
      </x:c>
      <x:c r="D1396" s="7" t="str">
        <x:v>안전한 식수 공급을 위한 정수기 보급 사업 : CPA 78(한국 지원)</x:v>
      </x:c>
      <x:c r="E1396" s="2" t="str">
        <x:v>18</x:v>
      </x:c>
      <x:c r="F1396" s="2" t="str">
        <x:v>2019-11</x:v>
      </x:c>
      <x:c r="G1396" s="2" t="str">
        <x:v>2019</x:v>
      </x:c>
      <x:c r="H1396" s="2" t="str">
        <x:v>11</x:v>
      </x:c>
      <x:c r="I1396" s="2" t="str">
        <x:v>반려</x:v>
      </x:c>
      <x:c r="J1396" s="2" t="str">
        <x:v>반려</x:v>
      </x:c>
      <x:c r="K1396" s="2" t="str">
        <x:f>IF(OR(J1396="심의승인",J1396="반려",J1396="반려완료",J1396="심의완료"),"종결 표시",IF(OR(J1396="기후부협의",J1396="문서재제출요청",J1396="보류",J1396="보완요청",J1396="보완완료",J1396="평가중",J1396="반려요청",J1396="평가필요",LEFT(J1396,5)="보완요청("),"미종결 표시","상태 확인 필요"))</x:f>
        <x:v>종결 표시</x:v>
      </x:c>
      <x:c r="L1396" s="2"/>
      <x:c r="M1396" s="2"/>
      <x:c r="N1396" s="8"/>
      <x:c r="O1396" s="2"/>
      <x:c r="P1396" s="2" t="str">
        <x:v>사업변경신청 반려</x:v>
      </x:c>
      <x:c r="Q1396" s="2" t="str">
        <x:v>산업전환_외부사업관리Tool_260707_이너젠 수정_LJY_261013.xlsx</x:v>
      </x:c>
      <x:c r="R1396" s="2" t="str">
        <x:v>국외평가</x:v>
      </x:c>
      <x:c r="S1396" s="8" t="n">
        <x:v>20</x:v>
      </x:c>
      <x:c r="T1396" s="2"/>
      <x:c r="U1396" s="2" t="str"/>
      <x:c r="V1396" s="2" t="str">
        <x:v>2021-12-15</x:v>
      </x:c>
      <x:c r="W1396" s="2" t="str">
        <x:v>담당기관 확인</x:v>
      </x:c>
      <x:c r="X1396" s="2" t="str">
        <x:v>원본·배정 기록 확인</x:v>
      </x:c>
      <x:c r="Y1396" s="2" t="str">
        <x:v>ad210cd9ec132cfd447541c8984dc53d30aff0f4fb2dc92d254d49275cc55976</x:v>
      </x:c>
      <x:c r="Z1396" s="2" t="n">
        <x:f>SUBTOTAL(103,A1396)</x:f>
        <x:v>1</x:v>
      </x:c>
      <x:c r="AA1396" s="2" t="str">
        <x:f>IF(K1396&lt;&gt;"미종결 표시","대상 아님",IF(N1396="","신청일 확인",IF(NOT(ISNUMBER('종합 현황'!$H$5)),"관찰기준 확인",IF('종합 현황'!$H$5&lt;1,"관찰기준 확인",IF(N1396&gt;'종합 현황'!$H$5,"내부 관찰 대상","내부 관찰일 이하")))))</x:f>
        <x:v>대상 아님</x:v>
      </x:c>
      <x:c r="AB1396" s="2" t="str">
        <x:v>2019-11-29 11:06:36 - 신규신청 - 신청 
2019-11-29 11:06:36 - 관장기관 지정 - 환경부
2019-12-02 21:11:58 - 관장기관 지정 - 산업통상자원부
2020-02-10 17:03:00 - 신규신청 - 문서재제출요청 
2020-03-01 22:48:51 - 재제출신청 - 신청 
2020-03-18 17:08:19 - 재제출신청 - 문서재제출요청 
2020-03-20 01:08:22 - 재제출신청 - 신청 
2020-06-15 15:25:31 - 재제출신청 - 문서재제출요청 
2020-06-19 13:59:25 - 재제출신청 - 신청 
2020-07-31 15:09:13 - 재제출신청 - 평가승인 
2020-07-31 15:09:49 - 재제출신청 - 심의승인 
2020-08-03 13:32:50 - 재제출신청 - 착수신고 
2021-11-26 12:20:26 - 사업변경 신청 - 신청 
2021-12-15 16:27:32 - 사업변경 신청 - 평가반려 
</x:v>
      </x:c>
    </x:row>
    <x:row r="1397" ht="42" customHeight="1">
      <x:c r="A1397" s="2" t="str">
        <x:v>1280bf9b9df1e13bd42882f3</x:v>
      </x:c>
      <x:c r="B1397" s="2" t="str">
        <x:v>사업 평가</x:v>
      </x:c>
      <x:c r="C1397" s="2" t="str">
        <x:v>국외</x:v>
      </x:c>
      <x:c r="D1397" s="7" t="str">
        <x:v>베스탈 유한회사</x:v>
      </x:c>
      <x:c r="E1397" s="2" t="str">
        <x:v>19</x:v>
      </x:c>
      <x:c r="F1397" s="2" t="str">
        <x:v>2020-01</x:v>
      </x:c>
      <x:c r="G1397" s="2" t="str">
        <x:v>2020</x:v>
      </x:c>
      <x:c r="H1397" s="2" t="str">
        <x:v>01</x:v>
      </x:c>
      <x:c r="I1397" s="2" t="str">
        <x:v>문서재제출</x:v>
      </x:c>
      <x:c r="J1397" s="2" t="str">
        <x:v>보류</x:v>
      </x:c>
      <x:c r="K1397" s="2" t="str">
        <x:f>IF(OR(J1397="심의승인",J1397="반려",J1397="반려완료",J1397="심의완료"),"종결 표시",IF(OR(J1397="기후부협의",J1397="문서재제출요청",J1397="보류",J1397="보완요청",J1397="보완완료",J1397="평가중",J1397="반려요청",J1397="평가필요",LEFT(J1397,5)="보완요청("),"미종결 표시","상태 확인 필요"))</x:f>
        <x:v>미종결 표시</x:v>
      </x:c>
      <x:c r="L1397" s="2" t="str">
        <x:v>KECM</x:v>
      </x:c>
      <x:c r="M1397" s="2"/>
      <x:c r="N1397" s="8"/>
      <x:c r="O1397" s="2"/>
      <x:c r="P1397" s="2" t="str">
        <x:v>사업자 반려의사, 공단 반려 보류</x:v>
      </x:c>
      <x:c r="Q1397" s="2" t="str">
        <x:v>산업전환_외부사업관리Tool_260707_이너젠 수정_LJY_261013.xlsx</x:v>
      </x:c>
      <x:c r="R1397" s="2" t="str">
        <x:v>국외평가</x:v>
      </x:c>
      <x:c r="S1397" s="8" t="n">
        <x:v>21</x:v>
      </x:c>
      <x:c r="T1397" s="2" t="str">
        <x:v>2021-10-20T00:00:00</x:v>
      </x:c>
      <x:c r="U1397" s="2" t="str">
        <x:v>2021 지정: 2021-10-20T00:00:00 / 2021 지정(2): (10/20)</x:v>
      </x:c>
      <x:c r="V1397" s="2" t="str">
        <x:v>2021-11-26</x:v>
      </x:c>
      <x:c r="W1397" s="2" t="str"/>
      <x:c r="X1397" s="2" t="str">
        <x:v>검토 진행 일정 확인</x:v>
      </x:c>
      <x:c r="Y1397" s="2" t="str">
        <x:v>ad210cd9ec132cfd447541c8984dc53d30aff0f4fb2dc92d254d49275cc55976</x:v>
      </x:c>
      <x:c r="Z1397" s="2" t="n">
        <x:f>SUBTOTAL(103,A1397)</x:f>
        <x:v>1</x:v>
      </x:c>
      <x:c r="AA1397" s="2" t="str">
        <x:f>IF(K1397&lt;&gt;"미종결 표시","대상 아님",IF(N1397="","신청일 확인",IF(NOT(ISNUMBER('종합 현황'!$H$5)),"관찰기준 확인",IF('종합 현황'!$H$5&lt;1,"관찰기준 확인",IF(N1397&gt;'종합 현황'!$H$5,"내부 관찰 대상","내부 관찰일 이하")))))</x:f>
        <x:v>신청일 확인</x:v>
      </x:c>
      <x:c r="AB1397" s="2" t="str">
        <x:v>2020-01-09 13:25:47 - 신규신청 - 신청 
2020-01-09 13:25:47 - 관장기관 지정 - 환경부
2020-01-13 09:30:36 - 관장기관 지정 - 산업통상자원부
2020-01-31 11:40:29 - 신규신청 - 문서재제출요청 
2020-04-20 17:42:20 - 재제출신청 - 신청 
2020-04-22 13:34:52 - 재제출신청 - 문서재제출요청 
2021-10-22 13:58:49 - 재제출신청 - 신청 
2021-11-26 13:49:31 - 재제출신청 - 문서재제출요청 
</x:v>
      </x:c>
    </x:row>
    <x:row r="1398" ht="42" customHeight="1">
      <x:c r="A1398" s="2" t="str">
        <x:v>6802aa1d6f5f5f731e8b666b</x:v>
      </x:c>
      <x:c r="B1398" s="2" t="str">
        <x:v>사업 평가</x:v>
      </x:c>
      <x:c r="C1398" s="2" t="str">
        <x:v>국외</x:v>
      </x:c>
      <x:c r="D1398" s="7" t="str">
        <x:v>안전한 식수 공급을 위한 정수기 보급 사업 : CPA 39(한국 지원)</x:v>
      </x:c>
      <x:c r="E1398" s="2" t="str">
        <x:v>20</x:v>
      </x:c>
      <x:c r="F1398" s="2" t="str">
        <x:v>2020-03</x:v>
      </x:c>
      <x:c r="G1398" s="2" t="str">
        <x:v>2020</x:v>
      </x:c>
      <x:c r="H1398" s="2" t="str">
        <x:v>03</x:v>
      </x:c>
      <x:c r="I1398" s="2" t="str">
        <x:v>승인</x:v>
      </x:c>
      <x:c r="J1398" s="2" t="str">
        <x:v>심의승인</x:v>
      </x:c>
      <x:c r="K1398" s="2" t="str">
        <x:f>IF(OR(J1398="심의승인",J1398="반려",J1398="반려완료",J1398="심의완료"),"종결 표시",IF(OR(J1398="기후부협의",J1398="문서재제출요청",J1398="보류",J1398="보완요청",J1398="보완완료",J1398="평가중",J1398="반려요청",J1398="평가필요",LEFT(J1398,5)="보완요청("),"미종결 표시","상태 확인 필요"))</x:f>
        <x:v>종결 표시</x:v>
      </x:c>
      <x:c r="L1398" s="2"/>
      <x:c r="M1398" s="2"/>
      <x:c r="N1398" s="8"/>
      <x:c r="O1398" s="2"/>
      <x:c r="P1398" s="2"/>
      <x:c r="Q1398" s="2" t="str">
        <x:v>산업전환_외부사업관리Tool_260707_이너젠 수정_LJY_261013.xlsx</x:v>
      </x:c>
      <x:c r="R1398" s="2" t="str">
        <x:v>국외평가</x:v>
      </x:c>
      <x:c r="S1398" s="8" t="n">
        <x:v>22</x:v>
      </x:c>
      <x:c r="T1398" s="2"/>
      <x:c r="U1398" s="2" t="str"/>
      <x:c r="V1398" s="2" t="str">
        <x:v>2020-08-03</x:v>
      </x:c>
      <x:c r="W1398" s="2" t="str">
        <x:v>담당기관 확인</x:v>
      </x:c>
      <x:c r="X1398" s="2" t="str">
        <x:v>원본·배정 기록 확인</x:v>
      </x:c>
      <x:c r="Y1398" s="2" t="str">
        <x:v>ad210cd9ec132cfd447541c8984dc53d30aff0f4fb2dc92d254d49275cc55976</x:v>
      </x:c>
      <x:c r="Z1398" s="2" t="n">
        <x:f>SUBTOTAL(103,A1398)</x:f>
        <x:v>1</x:v>
      </x:c>
      <x:c r="AA1398" s="2" t="str">
        <x:f>IF(K1398&lt;&gt;"미종결 표시","대상 아님",IF(N1398="","신청일 확인",IF(NOT(ISNUMBER('종합 현황'!$H$5)),"관찰기준 확인",IF('종합 현황'!$H$5&lt;1,"관찰기준 확인",IF(N1398&gt;'종합 현황'!$H$5,"내부 관찰 대상","내부 관찰일 이하")))))</x:f>
        <x:v>대상 아님</x:v>
      </x:c>
      <x:c r="AB1398" s="2" t="str">
        <x:v>2020-03-01 22:49:31 - 신규신청 - 신청 
2020-03-01 22:49:31 - 관장기관 지정 - 환경부
2020-03-09 15:10:03 - 관장기관 지정 - 산업통상자원부
2020-03-17 17:05:48 - 신규신청 - 문서재제출요청 
2020-03-19 22:06:14 - 재제출신청 - 신청 
2020-07-31 13:16:46 - 재제출신청 - 평가승인 
2020-07-31 13:17:30 - 재제출신청 - 심의승인 
2020-08-03 11:35:00 - 재제출신청 - 착수신고 
</x:v>
      </x:c>
    </x:row>
    <x:row r="1399" ht="42" customHeight="1">
      <x:c r="A1399" s="2" t="str">
        <x:v>82b6d04c2b40e04f0ef766e9</x:v>
      </x:c>
      <x:c r="B1399" s="2" t="str">
        <x:v>사업 평가</x:v>
      </x:c>
      <x:c r="C1399" s="2" t="str">
        <x:v>국외</x:v>
      </x:c>
      <x:c r="D1399" s="7" t="str">
        <x:v>안전한 식수 공급을 위한 정수기 보급 사업 : CPA 40(한국 지원)</x:v>
      </x:c>
      <x:c r="E1399" s="2" t="str">
        <x:v>21</x:v>
      </x:c>
      <x:c r="F1399" s="2" t="str">
        <x:v>2020-03</x:v>
      </x:c>
      <x:c r="G1399" s="2" t="str">
        <x:v>2020</x:v>
      </x:c>
      <x:c r="H1399" s="2" t="str">
        <x:v>03</x:v>
      </x:c>
      <x:c r="I1399" s="2" t="str">
        <x:v>승인</x:v>
      </x:c>
      <x:c r="J1399" s="2" t="str">
        <x:v>심의승인</x:v>
      </x:c>
      <x:c r="K1399" s="2" t="str">
        <x:f>IF(OR(J1399="심의승인",J1399="반려",J1399="반려완료",J1399="심의완료"),"종결 표시",IF(OR(J1399="기후부협의",J1399="문서재제출요청",J1399="보류",J1399="보완요청",J1399="보완완료",J1399="평가중",J1399="반려요청",J1399="평가필요",LEFT(J1399,5)="보완요청("),"미종결 표시","상태 확인 필요"))</x:f>
        <x:v>종결 표시</x:v>
      </x:c>
      <x:c r="L1399" s="2"/>
      <x:c r="M1399" s="2"/>
      <x:c r="N1399" s="8"/>
      <x:c r="O1399" s="2"/>
      <x:c r="P1399" s="2"/>
      <x:c r="Q1399" s="2" t="str">
        <x:v>산업전환_외부사업관리Tool_260707_이너젠 수정_LJY_261013.xlsx</x:v>
      </x:c>
      <x:c r="R1399" s="2" t="str">
        <x:v>국외평가</x:v>
      </x:c>
      <x:c r="S1399" s="8" t="n">
        <x:v>23</x:v>
      </x:c>
      <x:c r="T1399" s="2"/>
      <x:c r="U1399" s="2" t="str"/>
      <x:c r="V1399" s="2" t="str">
        <x:v>2020-08-03</x:v>
      </x:c>
      <x:c r="W1399" s="2" t="str">
        <x:v>담당기관 확인</x:v>
      </x:c>
      <x:c r="X1399" s="2" t="str">
        <x:v>원본·배정 기록 확인</x:v>
      </x:c>
      <x:c r="Y1399" s="2" t="str">
        <x:v>ad210cd9ec132cfd447541c8984dc53d30aff0f4fb2dc92d254d49275cc55976</x:v>
      </x:c>
      <x:c r="Z1399" s="2" t="n">
        <x:f>SUBTOTAL(103,A1399)</x:f>
        <x:v>1</x:v>
      </x:c>
      <x:c r="AA1399" s="2" t="str">
        <x:f>IF(K1399&lt;&gt;"미종결 표시","대상 아님",IF(N1399="","신청일 확인",IF(NOT(ISNUMBER('종합 현황'!$H$5)),"관찰기준 확인",IF('종합 현황'!$H$5&lt;1,"관찰기준 확인",IF(N1399&gt;'종합 현황'!$H$5,"내부 관찰 대상","내부 관찰일 이하")))))</x:f>
        <x:v>대상 아님</x:v>
      </x:c>
      <x:c r="AB1399" s="2" t="str">
        <x:v>2020-03-01 22:51:09 - 신규신청 - 신청 
2020-03-01 22:51:09 - 관장기관 지정 - 환경부
2020-03-09 15:09:57 - 관장기관 지정 - 산업통상자원부
2020-07-31 13:18:10 - 신규신청 - 평가승인 
2020-07-31 13:18:36 - 신규신청 - 심의승인 
2020-08-03 11:36:19 - 신규신청 - 착수신고 
</x:v>
      </x:c>
    </x:row>
    <x:row r="1400" ht="42" customHeight="1">
      <x:c r="A1400" s="2" t="str">
        <x:v>f5eb2fbc4f83a50187e9506c</x:v>
      </x:c>
      <x:c r="B1400" s="2" t="str">
        <x:v>사업 평가</x:v>
      </x:c>
      <x:c r="C1400" s="2" t="str">
        <x:v>국외</x:v>
      </x:c>
      <x:c r="D1400" s="7" t="str">
        <x:v>안전한 식수 공급을 위한 정수기 보급 사업 : CPA 41(한국 지원)</x:v>
      </x:c>
      <x:c r="E1400" s="2" t="str">
        <x:v>22</x:v>
      </x:c>
      <x:c r="F1400" s="2" t="str">
        <x:v>2020-03</x:v>
      </x:c>
      <x:c r="G1400" s="2" t="str">
        <x:v>2020</x:v>
      </x:c>
      <x:c r="H1400" s="2" t="str">
        <x:v>03</x:v>
      </x:c>
      <x:c r="I1400" s="2" t="str">
        <x:v>승인</x:v>
      </x:c>
      <x:c r="J1400" s="2" t="str">
        <x:v>심의승인</x:v>
      </x:c>
      <x:c r="K1400" s="2" t="str">
        <x:f>IF(OR(J1400="심의승인",J1400="반려",J1400="반려완료",J1400="심의완료"),"종결 표시",IF(OR(J1400="기후부협의",J1400="문서재제출요청",J1400="보류",J1400="보완요청",J1400="보완완료",J1400="평가중",J1400="반려요청",J1400="평가필요",LEFT(J1400,5)="보완요청("),"미종결 표시","상태 확인 필요"))</x:f>
        <x:v>종결 표시</x:v>
      </x:c>
      <x:c r="L1400" s="2"/>
      <x:c r="M1400" s="2"/>
      <x:c r="N1400" s="8"/>
      <x:c r="O1400" s="2"/>
      <x:c r="P1400" s="2"/>
      <x:c r="Q1400" s="2" t="str">
        <x:v>산업전환_외부사업관리Tool_260707_이너젠 수정_LJY_261013.xlsx</x:v>
      </x:c>
      <x:c r="R1400" s="2" t="str">
        <x:v>국외평가</x:v>
      </x:c>
      <x:c r="S1400" s="8" t="n">
        <x:v>24</x:v>
      </x:c>
      <x:c r="T1400" s="2"/>
      <x:c r="U1400" s="2" t="str"/>
      <x:c r="V1400" s="2" t="str">
        <x:v>2020-08-03</x:v>
      </x:c>
      <x:c r="W1400" s="2" t="str">
        <x:v>담당기관 확인</x:v>
      </x:c>
      <x:c r="X1400" s="2" t="str">
        <x:v>원본·배정 기록 확인</x:v>
      </x:c>
      <x:c r="Y1400" s="2" t="str">
        <x:v>ad210cd9ec132cfd447541c8984dc53d30aff0f4fb2dc92d254d49275cc55976</x:v>
      </x:c>
      <x:c r="Z1400" s="2" t="n">
        <x:f>SUBTOTAL(103,A1400)</x:f>
        <x:v>1</x:v>
      </x:c>
      <x:c r="AA1400" s="2" t="str">
        <x:f>IF(K1400&lt;&gt;"미종결 표시","대상 아님",IF(N1400="","신청일 확인",IF(NOT(ISNUMBER('종합 현황'!$H$5)),"관찰기준 확인",IF('종합 현황'!$H$5&lt;1,"관찰기준 확인",IF(N1400&gt;'종합 현황'!$H$5,"내부 관찰 대상","내부 관찰일 이하")))))</x:f>
        <x:v>대상 아님</x:v>
      </x:c>
      <x:c r="AB1400" s="2" t="str">
        <x:v>2020-03-01 22:51:54 - 신규신청 - 신청 
2020-03-01 22:51:54 - 관장기관 지정 - 환경부
2020-03-09 15:09:48 - 관장기관 지정 - 산업통상자원부
2020-06-15 15:25:01 - 신규신청 - 문서재제출요청 
2020-06-19 13:58:11 - 재제출신청 - 신청 
2020-07-31 13:19:28 - 재제출신청 - 평가승인 
2020-07-31 13:19:53 - 재제출신청 - 심의승인 
2020-08-03 11:37:24 - 재제출신청 - 착수신고 
</x:v>
      </x:c>
    </x:row>
    <x:row r="1401" ht="42" customHeight="1">
      <x:c r="A1401" s="2" t="str">
        <x:v>64e6ccf39527ea8d012d9d9e</x:v>
      </x:c>
      <x:c r="B1401" s="2" t="str">
        <x:v>사업 평가</x:v>
      </x:c>
      <x:c r="C1401" s="2" t="str">
        <x:v>국외</x:v>
      </x:c>
      <x:c r="D1401" s="7" t="str">
        <x:v>안전한 식수 공급을 위한 정수기 보급 사업 : CPA 42(한국 지원)</x:v>
      </x:c>
      <x:c r="E1401" s="2" t="str">
        <x:v>23</x:v>
      </x:c>
      <x:c r="F1401" s="2" t="str">
        <x:v>2020-03</x:v>
      </x:c>
      <x:c r="G1401" s="2" t="str">
        <x:v>2020</x:v>
      </x:c>
      <x:c r="H1401" s="2" t="str">
        <x:v>03</x:v>
      </x:c>
      <x:c r="I1401" s="2" t="str">
        <x:v>승인</x:v>
      </x:c>
      <x:c r="J1401" s="2" t="str">
        <x:v>심의승인</x:v>
      </x:c>
      <x:c r="K1401" s="2" t="str">
        <x:f>IF(OR(J1401="심의승인",J1401="반려",J1401="반려완료",J1401="심의완료"),"종결 표시",IF(OR(J1401="기후부협의",J1401="문서재제출요청",J1401="보류",J1401="보완요청",J1401="보완완료",J1401="평가중",J1401="반려요청",J1401="평가필요",LEFT(J1401,5)="보완요청("),"미종결 표시","상태 확인 필요"))</x:f>
        <x:v>종결 표시</x:v>
      </x:c>
      <x:c r="L1401" s="2"/>
      <x:c r="M1401" s="2"/>
      <x:c r="N1401" s="8"/>
      <x:c r="O1401" s="2"/>
      <x:c r="P1401" s="2"/>
      <x:c r="Q1401" s="2" t="str">
        <x:v>산업전환_외부사업관리Tool_260707_이너젠 수정_LJY_261013.xlsx</x:v>
      </x:c>
      <x:c r="R1401" s="2" t="str">
        <x:v>국외평가</x:v>
      </x:c>
      <x:c r="S1401" s="8" t="n">
        <x:v>25</x:v>
      </x:c>
      <x:c r="T1401" s="2"/>
      <x:c r="U1401" s="2" t="str"/>
      <x:c r="V1401" s="2" t="str">
        <x:v>2020-08-03</x:v>
      </x:c>
      <x:c r="W1401" s="2" t="str">
        <x:v>담당기관 확인</x:v>
      </x:c>
      <x:c r="X1401" s="2" t="str">
        <x:v>원본·배정 기록 확인</x:v>
      </x:c>
      <x:c r="Y1401" s="2" t="str">
        <x:v>ad210cd9ec132cfd447541c8984dc53d30aff0f4fb2dc92d254d49275cc55976</x:v>
      </x:c>
      <x:c r="Z1401" s="2" t="n">
        <x:f>SUBTOTAL(103,A1401)</x:f>
        <x:v>1</x:v>
      </x:c>
      <x:c r="AA1401" s="2" t="str">
        <x:f>IF(K1401&lt;&gt;"미종결 표시","대상 아님",IF(N1401="","신청일 확인",IF(NOT(ISNUMBER('종합 현황'!$H$5)),"관찰기준 확인",IF('종합 현황'!$H$5&lt;1,"관찰기준 확인",IF(N1401&gt;'종합 현황'!$H$5,"내부 관찰 대상","내부 관찰일 이하")))))</x:f>
        <x:v>대상 아님</x:v>
      </x:c>
      <x:c r="AB1401" s="2" t="str">
        <x:v>2020-03-01 22:52:26 - 신규신청 - 신청 
2020-03-01 22:52:26 - 관장기관 지정 - 환경부
2020-03-09 15:09:42 - 관장기관 지정 - 산업통상자원부
2020-07-31 13:20:39 - 신규신청 - 평가승인 
2020-07-31 13:21:08 - 신규신청 - 심의승인 
2020-08-03 11:38:40 - 신규신청 - 착수신고 
</x:v>
      </x:c>
    </x:row>
    <x:row r="1402" ht="42" customHeight="1">
      <x:c r="A1402" s="2" t="str">
        <x:v>943acbde0b951db02c24cc34</x:v>
      </x:c>
      <x:c r="B1402" s="2" t="str">
        <x:v>사업 평가</x:v>
      </x:c>
      <x:c r="C1402" s="2" t="str">
        <x:v>국외</x:v>
      </x:c>
      <x:c r="D1402" s="7" t="str">
        <x:v>안전한 식수 공급을 위한 정수기 보급 사업 : CPA 44(한국 지원)</x:v>
      </x:c>
      <x:c r="E1402" s="2" t="str">
        <x:v>24</x:v>
      </x:c>
      <x:c r="F1402" s="2" t="str">
        <x:v>2020-03</x:v>
      </x:c>
      <x:c r="G1402" s="2" t="str">
        <x:v>2020</x:v>
      </x:c>
      <x:c r="H1402" s="2" t="str">
        <x:v>03</x:v>
      </x:c>
      <x:c r="I1402" s="2" t="str">
        <x:v>반려</x:v>
      </x:c>
      <x:c r="J1402" s="2" t="str">
        <x:v>반려</x:v>
      </x:c>
      <x:c r="K1402" s="2" t="str">
        <x:f>IF(OR(J1402="심의승인",J1402="반려",J1402="반려완료",J1402="심의완료"),"종결 표시",IF(OR(J1402="기후부협의",J1402="문서재제출요청",J1402="보류",J1402="보완요청",J1402="보완완료",J1402="평가중",J1402="반려요청",J1402="평가필요",LEFT(J1402,5)="보완요청("),"미종결 표시","상태 확인 필요"))</x:f>
        <x:v>종결 표시</x:v>
      </x:c>
      <x:c r="L1402" s="2"/>
      <x:c r="M1402" s="2"/>
      <x:c r="N1402" s="8"/>
      <x:c r="O1402" s="2"/>
      <x:c r="P1402" s="2" t="str">
        <x:v>사업변경신청 반려</x:v>
      </x:c>
      <x:c r="Q1402" s="2" t="str">
        <x:v>산업전환_외부사업관리Tool_260707_이너젠 수정_LJY_261013.xlsx</x:v>
      </x:c>
      <x:c r="R1402" s="2" t="str">
        <x:v>국외평가</x:v>
      </x:c>
      <x:c r="S1402" s="8" t="n">
        <x:v>26</x:v>
      </x:c>
      <x:c r="T1402" s="2"/>
      <x:c r="U1402" s="2" t="str"/>
      <x:c r="V1402" s="2" t="str">
        <x:v>2021-12-15</x:v>
      </x:c>
      <x:c r="W1402" s="2" t="str">
        <x:v>담당기관 확인</x:v>
      </x:c>
      <x:c r="X1402" s="2" t="str">
        <x:v>원본·배정 기록 확인</x:v>
      </x:c>
      <x:c r="Y1402" s="2" t="str">
        <x:v>ad210cd9ec132cfd447541c8984dc53d30aff0f4fb2dc92d254d49275cc55976</x:v>
      </x:c>
      <x:c r="Z1402" s="2" t="n">
        <x:f>SUBTOTAL(103,A1402)</x:f>
        <x:v>1</x:v>
      </x:c>
      <x:c r="AA1402" s="2" t="str">
        <x:f>IF(K1402&lt;&gt;"미종결 표시","대상 아님",IF(N1402="","신청일 확인",IF(NOT(ISNUMBER('종합 현황'!$H$5)),"관찰기준 확인",IF('종합 현황'!$H$5&lt;1,"관찰기준 확인",IF(N1402&gt;'종합 현황'!$H$5,"내부 관찰 대상","내부 관찰일 이하")))))</x:f>
        <x:v>대상 아님</x:v>
      </x:c>
      <x:c r="AB1402" s="2" t="str">
        <x:v>2020-03-01 22:53:05 - 신규신청 - 신청 
2020-03-01 22:53:05 - 관장기관 지정 - 환경부
2020-03-09 15:09:35 - 관장기관 지정 - 산업통상자원부
2020-03-18 16:42:40 - 신규신청 - 문서재제출요청 
2020-03-20 00:53:31 - 재제출신청 - 신청 
2020-07-31 13:22:56 - 재제출신청 - 평가승인 
2020-07-31 13:23:20 - 재제출신청 - 심의승인 
2020-08-03 12:36:07 - 재제출신청 - 착수신고 
2021-11-26 12:15:36 - 사업변경 신청 - 신청 
2021-12-15 16:36:24 - 사업변경 신청 - 평가반려 
</x:v>
      </x:c>
    </x:row>
    <x:row r="1403" ht="42" customHeight="1">
      <x:c r="A1403" s="2" t="str">
        <x:v>5d82f65425240428be5487b6</x:v>
      </x:c>
      <x:c r="B1403" s="2" t="str">
        <x:v>사업 평가</x:v>
      </x:c>
      <x:c r="C1403" s="2" t="str">
        <x:v>국외</x:v>
      </x:c>
      <x:c r="D1403" s="7" t="str">
        <x:v>안전한 식수 공급을 위한 정수기 보급 사업 : CPA 45(한국 지원)</x:v>
      </x:c>
      <x:c r="E1403" s="2" t="str">
        <x:v>25</x:v>
      </x:c>
      <x:c r="F1403" s="2" t="str">
        <x:v>2020-03</x:v>
      </x:c>
      <x:c r="G1403" s="2" t="str">
        <x:v>2020</x:v>
      </x:c>
      <x:c r="H1403" s="2" t="str">
        <x:v>03</x:v>
      </x:c>
      <x:c r="I1403" s="2" t="str">
        <x:v>반려</x:v>
      </x:c>
      <x:c r="J1403" s="2" t="str">
        <x:v>반려</x:v>
      </x:c>
      <x:c r="K1403" s="2" t="str">
        <x:f>IF(OR(J1403="심의승인",J1403="반려",J1403="반려완료",J1403="심의완료"),"종결 표시",IF(OR(J1403="기후부협의",J1403="문서재제출요청",J1403="보류",J1403="보완요청",J1403="보완완료",J1403="평가중",J1403="반려요청",J1403="평가필요",LEFT(J1403,5)="보완요청("),"미종결 표시","상태 확인 필요"))</x:f>
        <x:v>종결 표시</x:v>
      </x:c>
      <x:c r="L1403" s="2"/>
      <x:c r="M1403" s="2"/>
      <x:c r="N1403" s="8"/>
      <x:c r="O1403" s="2"/>
      <x:c r="P1403" s="2" t="str">
        <x:v>사업변경신청 반려</x:v>
      </x:c>
      <x:c r="Q1403" s="2" t="str">
        <x:v>산업전환_외부사업관리Tool_260707_이너젠 수정_LJY_261013.xlsx</x:v>
      </x:c>
      <x:c r="R1403" s="2" t="str">
        <x:v>국외평가</x:v>
      </x:c>
      <x:c r="S1403" s="8" t="n">
        <x:v>27</x:v>
      </x:c>
      <x:c r="T1403" s="2"/>
      <x:c r="U1403" s="2" t="str"/>
      <x:c r="V1403" s="2" t="str">
        <x:v>2021-12-15</x:v>
      </x:c>
      <x:c r="W1403" s="2" t="str">
        <x:v>담당기관 확인</x:v>
      </x:c>
      <x:c r="X1403" s="2" t="str">
        <x:v>원본·배정 기록 확인</x:v>
      </x:c>
      <x:c r="Y1403" s="2" t="str">
        <x:v>ad210cd9ec132cfd447541c8984dc53d30aff0f4fb2dc92d254d49275cc55976</x:v>
      </x:c>
      <x:c r="Z1403" s="2" t="n">
        <x:f>SUBTOTAL(103,A1403)</x:f>
        <x:v>1</x:v>
      </x:c>
      <x:c r="AA1403" s="2" t="str">
        <x:f>IF(K1403&lt;&gt;"미종결 표시","대상 아님",IF(N1403="","신청일 확인",IF(NOT(ISNUMBER('종합 현황'!$H$5)),"관찰기준 확인",IF('종합 현황'!$H$5&lt;1,"관찰기준 확인",IF(N1403&gt;'종합 현황'!$H$5,"내부 관찰 대상","내부 관찰일 이하")))))</x:f>
        <x:v>대상 아님</x:v>
      </x:c>
      <x:c r="AB1403" s="2" t="str">
        <x:v>2020-03-01 22:54:01 - 신규신청 - 신청 
2020-03-01 22:54:01 - 관장기관 지정 - 환경부
2020-03-09 15:09:29 - 관장기관 지정 - 산업통상자원부
2020-03-18 16:43:10 - 신규신청 - 문서재제출요청 
2020-03-20 00:53:55 - 재제출신청 - 신청 
2020-07-31 13:23:48 - 재제출신청 - 평가승인 
2020-07-31 13:24:15 - 재제출신청 - 심의승인 
2020-08-03 12:37:18 - 재제출신청 - 착수신고 
2021-11-26 12:15:59 - 사업변경 신청 - 신청 
2021-12-15 16:36:10 - 사업변경 신청 - 평가반려 
</x:v>
      </x:c>
    </x:row>
    <x:row r="1404" ht="42" customHeight="1">
      <x:c r="A1404" s="2" t="str">
        <x:v>ba0ad6a30f34c80fca9e6033</x:v>
      </x:c>
      <x:c r="B1404" s="2" t="str">
        <x:v>사업 평가</x:v>
      </x:c>
      <x:c r="C1404" s="2" t="str">
        <x:v>국외</x:v>
      </x:c>
      <x:c r="D1404" s="7" t="str">
        <x:v>안전한 식수 공급을 위한 정수기 보급 사업 : CPA 46(한국 지원)</x:v>
      </x:c>
      <x:c r="E1404" s="2" t="str">
        <x:v>26</x:v>
      </x:c>
      <x:c r="F1404" s="2" t="str">
        <x:v>2020-03</x:v>
      </x:c>
      <x:c r="G1404" s="2" t="str">
        <x:v>2020</x:v>
      </x:c>
      <x:c r="H1404" s="2" t="str">
        <x:v>03</x:v>
      </x:c>
      <x:c r="I1404" s="2" t="str">
        <x:v>반려</x:v>
      </x:c>
      <x:c r="J1404" s="2" t="str">
        <x:v>반려</x:v>
      </x:c>
      <x:c r="K1404" s="2" t="str">
        <x:f>IF(OR(J1404="심의승인",J1404="반려",J1404="반려완료",J1404="심의완료"),"종결 표시",IF(OR(J1404="기후부협의",J1404="문서재제출요청",J1404="보류",J1404="보완요청",J1404="보완완료",J1404="평가중",J1404="반려요청",J1404="평가필요",LEFT(J1404,5)="보완요청("),"미종결 표시","상태 확인 필요"))</x:f>
        <x:v>종결 표시</x:v>
      </x:c>
      <x:c r="L1404" s="2"/>
      <x:c r="M1404" s="2"/>
      <x:c r="N1404" s="8"/>
      <x:c r="O1404" s="2"/>
      <x:c r="P1404" s="2" t="str">
        <x:v>사업변경신청 반려</x:v>
      </x:c>
      <x:c r="Q1404" s="2" t="str">
        <x:v>산업전환_외부사업관리Tool_260707_이너젠 수정_LJY_261013.xlsx</x:v>
      </x:c>
      <x:c r="R1404" s="2" t="str">
        <x:v>국외평가</x:v>
      </x:c>
      <x:c r="S1404" s="8" t="n">
        <x:v>28</x:v>
      </x:c>
      <x:c r="T1404" s="2"/>
      <x:c r="U1404" s="2" t="str"/>
      <x:c r="V1404" s="2" t="str">
        <x:v>2021-12-15</x:v>
      </x:c>
      <x:c r="W1404" s="2" t="str">
        <x:v>담당기관 확인</x:v>
      </x:c>
      <x:c r="X1404" s="2" t="str">
        <x:v>원본·배정 기록 확인</x:v>
      </x:c>
      <x:c r="Y1404" s="2" t="str">
        <x:v>ad210cd9ec132cfd447541c8984dc53d30aff0f4fb2dc92d254d49275cc55976</x:v>
      </x:c>
      <x:c r="Z1404" s="2" t="n">
        <x:f>SUBTOTAL(103,A1404)</x:f>
        <x:v>1</x:v>
      </x:c>
      <x:c r="AA1404" s="2" t="str">
        <x:f>IF(K1404&lt;&gt;"미종결 표시","대상 아님",IF(N1404="","신청일 확인",IF(NOT(ISNUMBER('종합 현황'!$H$5)),"관찰기준 확인",IF('종합 현황'!$H$5&lt;1,"관찰기준 확인",IF(N1404&gt;'종합 현황'!$H$5,"내부 관찰 대상","내부 관찰일 이하")))))</x:f>
        <x:v>대상 아님</x:v>
      </x:c>
      <x:c r="AB1404" s="2" t="str">
        <x:v>2020-03-01 22:54:39 - 신규신청 - 신청 
2020-03-01 22:54:39 - 관장기관 지정 - 환경부
2020-03-09 15:09:23 - 관장기관 지정 - 산업통상자원부
2020-03-18 16:43:34 - 신규신청 - 문서재제출요청 
2020-03-20 00:54:18 - 재제출신청 - 신청 
2020-07-31 13:24:44 - 재제출신청 - 평가승인 
2020-07-31 13:25:03 - 재제출신청 - 심의승인 
2020-08-03 12:38:28 - 재제출신청 - 착수신고 
2021-11-26 12:16:07 - 사업변경 신청 - 신청 
2021-12-15 16:35:59 - 사업변경 신청 - 평가반려 
</x:v>
      </x:c>
    </x:row>
    <x:row r="1405" ht="42" customHeight="1">
      <x:c r="A1405" s="2" t="str">
        <x:v>d0a90d055e5413fb19b46c45</x:v>
      </x:c>
      <x:c r="B1405" s="2" t="str">
        <x:v>사업 평가</x:v>
      </x:c>
      <x:c r="C1405" s="2" t="str">
        <x:v>국외</x:v>
      </x:c>
      <x:c r="D1405" s="7" t="str">
        <x:v>안전한 식수 공급을 위한 정수기 보급 사업 : CPA 47(한국 지원)</x:v>
      </x:c>
      <x:c r="E1405" s="2" t="str">
        <x:v>27</x:v>
      </x:c>
      <x:c r="F1405" s="2" t="str">
        <x:v>2020-03</x:v>
      </x:c>
      <x:c r="G1405" s="2" t="str">
        <x:v>2020</x:v>
      </x:c>
      <x:c r="H1405" s="2" t="str">
        <x:v>03</x:v>
      </x:c>
      <x:c r="I1405" s="2" t="str">
        <x:v>반려</x:v>
      </x:c>
      <x:c r="J1405" s="2" t="str">
        <x:v>반려</x:v>
      </x:c>
      <x:c r="K1405" s="2" t="str">
        <x:f>IF(OR(J1405="심의승인",J1405="반려",J1405="반려완료",J1405="심의완료"),"종결 표시",IF(OR(J1405="기후부협의",J1405="문서재제출요청",J1405="보류",J1405="보완요청",J1405="보완완료",J1405="평가중",J1405="반려요청",J1405="평가필요",LEFT(J1405,5)="보완요청("),"미종결 표시","상태 확인 필요"))</x:f>
        <x:v>종결 표시</x:v>
      </x:c>
      <x:c r="L1405" s="2"/>
      <x:c r="M1405" s="2"/>
      <x:c r="N1405" s="8"/>
      <x:c r="O1405" s="2"/>
      <x:c r="P1405" s="2" t="str">
        <x:v>사업변경신청 반려</x:v>
      </x:c>
      <x:c r="Q1405" s="2" t="str">
        <x:v>산업전환_외부사업관리Tool_260707_이너젠 수정_LJY_261013.xlsx</x:v>
      </x:c>
      <x:c r="R1405" s="2" t="str">
        <x:v>국외평가</x:v>
      </x:c>
      <x:c r="S1405" s="8" t="n">
        <x:v>29</x:v>
      </x:c>
      <x:c r="T1405" s="2"/>
      <x:c r="U1405" s="2" t="str"/>
      <x:c r="V1405" s="2" t="str">
        <x:v>2021-12-15</x:v>
      </x:c>
      <x:c r="W1405" s="2" t="str">
        <x:v>담당기관 확인</x:v>
      </x:c>
      <x:c r="X1405" s="2" t="str">
        <x:v>원본·배정 기록 확인</x:v>
      </x:c>
      <x:c r="Y1405" s="2" t="str">
        <x:v>ad210cd9ec132cfd447541c8984dc53d30aff0f4fb2dc92d254d49275cc55976</x:v>
      </x:c>
      <x:c r="Z1405" s="2" t="n">
        <x:f>SUBTOTAL(103,A1405)</x:f>
        <x:v>1</x:v>
      </x:c>
      <x:c r="AA1405" s="2" t="str">
        <x:f>IF(K1405&lt;&gt;"미종결 표시","대상 아님",IF(N1405="","신청일 확인",IF(NOT(ISNUMBER('종합 현황'!$H$5)),"관찰기준 확인",IF('종합 현황'!$H$5&lt;1,"관찰기준 확인",IF(N1405&gt;'종합 현황'!$H$5,"내부 관찰 대상","내부 관찰일 이하")))))</x:f>
        <x:v>대상 아님</x:v>
      </x:c>
      <x:c r="AB1405" s="2" t="str">
        <x:v>2020-03-01 22:55:10 - 신규신청 - 신청 
2020-03-01 22:55:10 - 관장기관 지정 - 환경부
2020-03-09 15:09:16 - 관장기관 지정 - 산업통상자원부
2020-03-18 16:44:39 - 신규신청 - 문서재제출요청 
2020-03-20 00:54:44 - 재제출신청 - 신청 
2020-07-31 13:25:36 - 재제출신청 - 평가승인 
2020-07-31 13:25:57 - 재제출신청 - 심의승인 
2020-08-03 12:39:23 - 재제출신청 - 착수신고 
2021-11-26 12:16:14 - 사업변경 신청 - 신청 
2021-12-15 16:35:49 - 사업변경 신청 - 평가반려 
</x:v>
      </x:c>
    </x:row>
    <x:row r="1406" ht="42" customHeight="1">
      <x:c r="A1406" s="2" t="str">
        <x:v>d382d6f97105b67b2a221c5c</x:v>
      </x:c>
      <x:c r="B1406" s="2" t="str">
        <x:v>사업 평가</x:v>
      </x:c>
      <x:c r="C1406" s="2" t="str">
        <x:v>국외</x:v>
      </x:c>
      <x:c r="D1406" s="7" t="str">
        <x:v>안전한 식수 공급을 위한 정수기 보급 사업 : CPA 48(한국 지원)</x:v>
      </x:c>
      <x:c r="E1406" s="2" t="str">
        <x:v>28</x:v>
      </x:c>
      <x:c r="F1406" s="2" t="str">
        <x:v>2020-03</x:v>
      </x:c>
      <x:c r="G1406" s="2" t="str">
        <x:v>2020</x:v>
      </x:c>
      <x:c r="H1406" s="2" t="str">
        <x:v>03</x:v>
      </x:c>
      <x:c r="I1406" s="2" t="str">
        <x:v>반려</x:v>
      </x:c>
      <x:c r="J1406" s="2" t="str">
        <x:v>반려</x:v>
      </x:c>
      <x:c r="K1406" s="2" t="str">
        <x:f>IF(OR(J1406="심의승인",J1406="반려",J1406="반려완료",J1406="심의완료"),"종결 표시",IF(OR(J1406="기후부협의",J1406="문서재제출요청",J1406="보류",J1406="보완요청",J1406="보완완료",J1406="평가중",J1406="반려요청",J1406="평가필요",LEFT(J1406,5)="보완요청("),"미종결 표시","상태 확인 필요"))</x:f>
        <x:v>종결 표시</x:v>
      </x:c>
      <x:c r="L1406" s="2"/>
      <x:c r="M1406" s="2"/>
      <x:c r="N1406" s="8"/>
      <x:c r="O1406" s="2"/>
      <x:c r="P1406" s="2" t="str">
        <x:v>사업변경신청 반려</x:v>
      </x:c>
      <x:c r="Q1406" s="2" t="str">
        <x:v>산업전환_외부사업관리Tool_260707_이너젠 수정_LJY_261013.xlsx</x:v>
      </x:c>
      <x:c r="R1406" s="2" t="str">
        <x:v>국외평가</x:v>
      </x:c>
      <x:c r="S1406" s="8" t="n">
        <x:v>30</x:v>
      </x:c>
      <x:c r="T1406" s="2"/>
      <x:c r="U1406" s="2" t="str"/>
      <x:c r="V1406" s="2" t="str">
        <x:v>2021-12-15</x:v>
      </x:c>
      <x:c r="W1406" s="2" t="str">
        <x:v>담당기관 확인</x:v>
      </x:c>
      <x:c r="X1406" s="2" t="str">
        <x:v>원본·배정 기록 확인</x:v>
      </x:c>
      <x:c r="Y1406" s="2" t="str">
        <x:v>ad210cd9ec132cfd447541c8984dc53d30aff0f4fb2dc92d254d49275cc55976</x:v>
      </x:c>
      <x:c r="Z1406" s="2" t="n">
        <x:f>SUBTOTAL(103,A1406)</x:f>
        <x:v>1</x:v>
      </x:c>
      <x:c r="AA1406" s="2" t="str">
        <x:f>IF(K1406&lt;&gt;"미종결 표시","대상 아님",IF(N1406="","신청일 확인",IF(NOT(ISNUMBER('종합 현황'!$H$5)),"관찰기준 확인",IF('종합 현황'!$H$5&lt;1,"관찰기준 확인",IF(N1406&gt;'종합 현황'!$H$5,"내부 관찰 대상","내부 관찰일 이하")))))</x:f>
        <x:v>대상 아님</x:v>
      </x:c>
      <x:c r="AB1406" s="2" t="str">
        <x:v>2020-03-01 22:56:14 - 신규신청 - 신청 
2020-03-01 22:56:14 - 관장기관 지정 - 환경부
2020-03-09 15:09:02 - 관장기관 지정 - 산업통상자원부
2020-03-18 17:06:54 - 신규신청 - 문서재제출요청 
2020-03-20 00:56:11 - 재제출신청 - 신청 
2020-07-31 13:26:24 - 재제출신청 - 평가승인 
2020-07-31 13:26:49 - 재제출신청 - 심의승인 
2020-08-03 12:41:23 - 재제출신청 - 착수신고 
2021-11-26 12:16:22 - 사업변경 신청 - 신청 
2021-12-15 16:35:30 - 사업변경 신청 - 평가반려 
</x:v>
      </x:c>
    </x:row>
    <x:row r="1407" ht="42" customHeight="1">
      <x:c r="A1407" s="2" t="str">
        <x:v>873ab9b31f9a7fbf5662d005</x:v>
      </x:c>
      <x:c r="B1407" s="2" t="str">
        <x:v>사업 평가</x:v>
      </x:c>
      <x:c r="C1407" s="2" t="str">
        <x:v>국외</x:v>
      </x:c>
      <x:c r="D1407" s="7" t="str">
        <x:v>안전한 식수 공급을 위한 정수기 보급 사업 : CPA 49(한국 지원)</x:v>
      </x:c>
      <x:c r="E1407" s="2" t="str">
        <x:v>29</x:v>
      </x:c>
      <x:c r="F1407" s="2" t="str">
        <x:v>2020-03</x:v>
      </x:c>
      <x:c r="G1407" s="2" t="str">
        <x:v>2020</x:v>
      </x:c>
      <x:c r="H1407" s="2" t="str">
        <x:v>03</x:v>
      </x:c>
      <x:c r="I1407" s="2" t="str">
        <x:v>반려</x:v>
      </x:c>
      <x:c r="J1407" s="2" t="str">
        <x:v>반려</x:v>
      </x:c>
      <x:c r="K1407" s="2" t="str">
        <x:f>IF(OR(J1407="심의승인",J1407="반려",J1407="반려완료",J1407="심의완료"),"종결 표시",IF(OR(J1407="기후부협의",J1407="문서재제출요청",J1407="보류",J1407="보완요청",J1407="보완완료",J1407="평가중",J1407="반려요청",J1407="평가필요",LEFT(J1407,5)="보완요청("),"미종결 표시","상태 확인 필요"))</x:f>
        <x:v>종결 표시</x:v>
      </x:c>
      <x:c r="L1407" s="2"/>
      <x:c r="M1407" s="2"/>
      <x:c r="N1407" s="8"/>
      <x:c r="O1407" s="2"/>
      <x:c r="P1407" s="2" t="str">
        <x:v>사업변경신청 반려</x:v>
      </x:c>
      <x:c r="Q1407" s="2" t="str">
        <x:v>산업전환_외부사업관리Tool_260707_이너젠 수정_LJY_261013.xlsx</x:v>
      </x:c>
      <x:c r="R1407" s="2" t="str">
        <x:v>국외평가</x:v>
      </x:c>
      <x:c r="S1407" s="8" t="n">
        <x:v>31</x:v>
      </x:c>
      <x:c r="T1407" s="2"/>
      <x:c r="U1407" s="2" t="str"/>
      <x:c r="V1407" s="2" t="str">
        <x:v>2021-12-15</x:v>
      </x:c>
      <x:c r="W1407" s="2" t="str">
        <x:v>담당기관 확인</x:v>
      </x:c>
      <x:c r="X1407" s="2" t="str">
        <x:v>원본·배정 기록 확인</x:v>
      </x:c>
      <x:c r="Y1407" s="2" t="str">
        <x:v>ad210cd9ec132cfd447541c8984dc53d30aff0f4fb2dc92d254d49275cc55976</x:v>
      </x:c>
      <x:c r="Z1407" s="2" t="n">
        <x:f>SUBTOTAL(103,A1407)</x:f>
        <x:v>1</x:v>
      </x:c>
      <x:c r="AA1407" s="2" t="str">
        <x:f>IF(K1407&lt;&gt;"미종결 표시","대상 아님",IF(N1407="","신청일 확인",IF(NOT(ISNUMBER('종합 현황'!$H$5)),"관찰기준 확인",IF('종합 현황'!$H$5&lt;1,"관찰기준 확인",IF(N1407&gt;'종합 현황'!$H$5,"내부 관찰 대상","내부 관찰일 이하")))))</x:f>
        <x:v>대상 아님</x:v>
      </x:c>
      <x:c r="AB1407" s="2" t="str">
        <x:v>2020-03-01 22:56:44 - 신규신청 - 신청 
2020-03-01 22:56:44 - 관장기관 지정 - 환경부
2020-03-09 15:08:56 - 관장기관 지정 - 산업통상자원부
2020-03-17 18:22:12 - 신규신청 - 문서재제출요청 
2020-03-20 00:56:44 - 재제출신청 - 신청 
2020-07-31 13:27:15 - 재제출신청 - 평가승인 
2020-07-31 14:37:15 - 재제출신청 - 심의승인 
2020-08-03 12:42:27 - 재제출신청 - 착수신고 
2021-11-26 12:16:30 - 사업변경 신청 - 신청 
2021-12-15 16:35:09 - 사업변경 신청 - 평가반려 
</x:v>
      </x:c>
    </x:row>
    <x:row r="1408" ht="42" customHeight="1">
      <x:c r="A1408" s="2" t="str">
        <x:v>cacaacc3a3749d3bc5ed8275</x:v>
      </x:c>
      <x:c r="B1408" s="2" t="str">
        <x:v>사업 평가</x:v>
      </x:c>
      <x:c r="C1408" s="2" t="str">
        <x:v>국외</x:v>
      </x:c>
      <x:c r="D1408" s="7" t="str">
        <x:v>안전한 식수 공급을 위한 정수기 보급 사업 : CPA 50(한국 지원)</x:v>
      </x:c>
      <x:c r="E1408" s="2" t="str">
        <x:v>30</x:v>
      </x:c>
      <x:c r="F1408" s="2" t="str">
        <x:v>2020-03</x:v>
      </x:c>
      <x:c r="G1408" s="2" t="str">
        <x:v>2020</x:v>
      </x:c>
      <x:c r="H1408" s="2" t="str">
        <x:v>03</x:v>
      </x:c>
      <x:c r="I1408" s="2" t="str">
        <x:v>반려</x:v>
      </x:c>
      <x:c r="J1408" s="2" t="str">
        <x:v>반려</x:v>
      </x:c>
      <x:c r="K1408" s="2" t="str">
        <x:f>IF(OR(J1408="심의승인",J1408="반려",J1408="반려완료",J1408="심의완료"),"종결 표시",IF(OR(J1408="기후부협의",J1408="문서재제출요청",J1408="보류",J1408="보완요청",J1408="보완완료",J1408="평가중",J1408="반려요청",J1408="평가필요",LEFT(J1408,5)="보완요청("),"미종결 표시","상태 확인 필요"))</x:f>
        <x:v>종결 표시</x:v>
      </x:c>
      <x:c r="L1408" s="2"/>
      <x:c r="M1408" s="2"/>
      <x:c r="N1408" s="8"/>
      <x:c r="O1408" s="2"/>
      <x:c r="P1408" s="2" t="str">
        <x:v>사업변경신청 반려</x:v>
      </x:c>
      <x:c r="Q1408" s="2" t="str">
        <x:v>산업전환_외부사업관리Tool_260707_이너젠 수정_LJY_261013.xlsx</x:v>
      </x:c>
      <x:c r="R1408" s="2" t="str">
        <x:v>국외평가</x:v>
      </x:c>
      <x:c r="S1408" s="8" t="n">
        <x:v>32</x:v>
      </x:c>
      <x:c r="T1408" s="2"/>
      <x:c r="U1408" s="2" t="str"/>
      <x:c r="V1408" s="2" t="str">
        <x:v>2021-12-15</x:v>
      </x:c>
      <x:c r="W1408" s="2" t="str">
        <x:v>담당기관 확인</x:v>
      </x:c>
      <x:c r="X1408" s="2" t="str">
        <x:v>원본·배정 기록 확인</x:v>
      </x:c>
      <x:c r="Y1408" s="2" t="str">
        <x:v>ad210cd9ec132cfd447541c8984dc53d30aff0f4fb2dc92d254d49275cc55976</x:v>
      </x:c>
      <x:c r="Z1408" s="2" t="n">
        <x:f>SUBTOTAL(103,A1408)</x:f>
        <x:v>1</x:v>
      </x:c>
      <x:c r="AA1408" s="2" t="str">
        <x:f>IF(K1408&lt;&gt;"미종결 표시","대상 아님",IF(N1408="","신청일 확인",IF(NOT(ISNUMBER('종합 현황'!$H$5)),"관찰기준 확인",IF('종합 현황'!$H$5&lt;1,"관찰기준 확인",IF(N1408&gt;'종합 현황'!$H$5,"내부 관찰 대상","내부 관찰일 이하")))))</x:f>
        <x:v>대상 아님</x:v>
      </x:c>
      <x:c r="AB1408" s="2" t="str">
        <x:v>2020-03-01 22:57:17 - 신규신청 - 신청 
2020-03-01 22:57:17 - 관장기관 지정 - 환경부
2020-03-09 15:08:49 - 관장기관 지정 - 산업통상자원부
2020-03-18 17:06:32 - 신규신청 - 문서재제출요청 
2020-03-20 00:57:09 - 재제출신청 - 신청 
2020-07-31 14:37:59 - 재제출신청 - 평가승인 
2020-07-31 14:38:16 - 재제출신청 - 심의승인 
2020-08-03 12:43:28 - 재제출신청 - 착수신고 
2021-11-26 12:16:38 - 사업변경 신청 - 신청 
2021-12-15 16:34:57 - 사업변경 신청 - 평가반려 
</x:v>
      </x:c>
    </x:row>
    <x:row r="1409" ht="42" customHeight="1">
      <x:c r="A1409" s="2" t="str">
        <x:v>1b4d110f7a7d86f4286583fa</x:v>
      </x:c>
      <x:c r="B1409" s="2" t="str">
        <x:v>사업 평가</x:v>
      </x:c>
      <x:c r="C1409" s="2" t="str">
        <x:v>국외</x:v>
      </x:c>
      <x:c r="D1409" s="7" t="str">
        <x:v>안전한 식수 공급을 위한 정수기 보급 사업 : CPA 51(한국 지원)</x:v>
      </x:c>
      <x:c r="E1409" s="2" t="str">
        <x:v>31</x:v>
      </x:c>
      <x:c r="F1409" s="2" t="str">
        <x:v>2020-03</x:v>
      </x:c>
      <x:c r="G1409" s="2" t="str">
        <x:v>2020</x:v>
      </x:c>
      <x:c r="H1409" s="2" t="str">
        <x:v>03</x:v>
      </x:c>
      <x:c r="I1409" s="2" t="str">
        <x:v>반려</x:v>
      </x:c>
      <x:c r="J1409" s="2" t="str">
        <x:v>반려</x:v>
      </x:c>
      <x:c r="K1409" s="2" t="str">
        <x:f>IF(OR(J1409="심의승인",J1409="반려",J1409="반려완료",J1409="심의완료"),"종결 표시",IF(OR(J1409="기후부협의",J1409="문서재제출요청",J1409="보류",J1409="보완요청",J1409="보완완료",J1409="평가중",J1409="반려요청",J1409="평가필요",LEFT(J1409,5)="보완요청("),"미종결 표시","상태 확인 필요"))</x:f>
        <x:v>종결 표시</x:v>
      </x:c>
      <x:c r="L1409" s="2"/>
      <x:c r="M1409" s="2"/>
      <x:c r="N1409" s="8"/>
      <x:c r="O1409" s="2"/>
      <x:c r="P1409" s="2" t="str">
        <x:v>사업변경신청 반려</x:v>
      </x:c>
      <x:c r="Q1409" s="2" t="str">
        <x:v>산업전환_외부사업관리Tool_260707_이너젠 수정_LJY_261013.xlsx</x:v>
      </x:c>
      <x:c r="R1409" s="2" t="str">
        <x:v>국외평가</x:v>
      </x:c>
      <x:c r="S1409" s="8" t="n">
        <x:v>33</x:v>
      </x:c>
      <x:c r="T1409" s="2"/>
      <x:c r="U1409" s="2" t="str"/>
      <x:c r="V1409" s="2" t="str">
        <x:v>2021-12-15</x:v>
      </x:c>
      <x:c r="W1409" s="2" t="str">
        <x:v>담당기관 확인</x:v>
      </x:c>
      <x:c r="X1409" s="2" t="str">
        <x:v>원본·배정 기록 확인</x:v>
      </x:c>
      <x:c r="Y1409" s="2" t="str">
        <x:v>ad210cd9ec132cfd447541c8984dc53d30aff0f4fb2dc92d254d49275cc55976</x:v>
      </x:c>
      <x:c r="Z1409" s="2" t="n">
        <x:f>SUBTOTAL(103,A1409)</x:f>
        <x:v>1</x:v>
      </x:c>
      <x:c r="AA1409" s="2" t="str">
        <x:f>IF(K1409&lt;&gt;"미종결 표시","대상 아님",IF(N1409="","신청일 확인",IF(NOT(ISNUMBER('종합 현황'!$H$5)),"관찰기준 확인",IF('종합 현황'!$H$5&lt;1,"관찰기준 확인",IF(N1409&gt;'종합 현황'!$H$5,"내부 관찰 대상","내부 관찰일 이하")))))</x:f>
        <x:v>대상 아님</x:v>
      </x:c>
      <x:c r="AB1409" s="2" t="str">
        <x:v>2020-03-01 22:57:46 - 신규신청 - 신청 
2020-03-01 22:57:46 - 관장기관 지정 - 환경부
2020-03-09 15:08:44 - 관장기관 지정 - 산업통상자원부
2020-03-18 17:06:08 - 신규신청 - 문서재제출요청 
2020-03-20 00:57:33 - 재제출신청 - 신청 
2020-07-31 14:38:48 - 재제출신청 - 평가승인 
2020-07-31 14:39:14 - 재제출신청 - 심의승인 
2020-08-03 12:44:48 - 재제출신청 - 착수신고 
2021-11-26 12:16:46 - 사업변경 신청 - 신청 
2021-12-15 16:34:45 - 사업변경 신청 - 평가반려 
</x:v>
      </x:c>
    </x:row>
    <x:row r="1410" ht="42" customHeight="1">
      <x:c r="A1410" s="2" t="str">
        <x:v>4afbb55c27a0057a90922da6</x:v>
      </x:c>
      <x:c r="B1410" s="2" t="str">
        <x:v>사업 평가</x:v>
      </x:c>
      <x:c r="C1410" s="2" t="str">
        <x:v>국외</x:v>
      </x:c>
      <x:c r="D1410" s="7" t="str">
        <x:v>안전한 식수 공급을 위한 정수기 보급 사업 : CPA 52(한국 지원)</x:v>
      </x:c>
      <x:c r="E1410" s="2" t="str">
        <x:v>32</x:v>
      </x:c>
      <x:c r="F1410" s="2" t="str">
        <x:v>2020-03</x:v>
      </x:c>
      <x:c r="G1410" s="2" t="str">
        <x:v>2020</x:v>
      </x:c>
      <x:c r="H1410" s="2" t="str">
        <x:v>03</x:v>
      </x:c>
      <x:c r="I1410" s="2" t="str">
        <x:v>반려</x:v>
      </x:c>
      <x:c r="J1410" s="2" t="str">
        <x:v>반려</x:v>
      </x:c>
      <x:c r="K1410" s="2" t="str">
        <x:f>IF(OR(J1410="심의승인",J1410="반려",J1410="반려완료",J1410="심의완료"),"종결 표시",IF(OR(J1410="기후부협의",J1410="문서재제출요청",J1410="보류",J1410="보완요청",J1410="보완완료",J1410="평가중",J1410="반려요청",J1410="평가필요",LEFT(J1410,5)="보완요청("),"미종결 표시","상태 확인 필요"))</x:f>
        <x:v>종결 표시</x:v>
      </x:c>
      <x:c r="L1410" s="2"/>
      <x:c r="M1410" s="2"/>
      <x:c r="N1410" s="8"/>
      <x:c r="O1410" s="2"/>
      <x:c r="P1410" s="2" t="str">
        <x:v>사업변경신청 반려</x:v>
      </x:c>
      <x:c r="Q1410" s="2" t="str">
        <x:v>산업전환_외부사업관리Tool_260707_이너젠 수정_LJY_261013.xlsx</x:v>
      </x:c>
      <x:c r="R1410" s="2" t="str">
        <x:v>국외평가</x:v>
      </x:c>
      <x:c r="S1410" s="8" t="n">
        <x:v>34</x:v>
      </x:c>
      <x:c r="T1410" s="2"/>
      <x:c r="U1410" s="2" t="str"/>
      <x:c r="V1410" s="2" t="str">
        <x:v>2021-12-15</x:v>
      </x:c>
      <x:c r="W1410" s="2" t="str">
        <x:v>담당기관 확인</x:v>
      </x:c>
      <x:c r="X1410" s="2" t="str">
        <x:v>원본·배정 기록 확인</x:v>
      </x:c>
      <x:c r="Y1410" s="2" t="str">
        <x:v>ad210cd9ec132cfd447541c8984dc53d30aff0f4fb2dc92d254d49275cc55976</x:v>
      </x:c>
      <x:c r="Z1410" s="2" t="n">
        <x:f>SUBTOTAL(103,A1410)</x:f>
        <x:v>1</x:v>
      </x:c>
      <x:c r="AA1410" s="2" t="str">
        <x:f>IF(K1410&lt;&gt;"미종결 표시","대상 아님",IF(N1410="","신청일 확인",IF(NOT(ISNUMBER('종합 현황'!$H$5)),"관찰기준 확인",IF('종합 현황'!$H$5&lt;1,"관찰기준 확인",IF(N1410&gt;'종합 현황'!$H$5,"내부 관찰 대상","내부 관찰일 이하")))))</x:f>
        <x:v>대상 아님</x:v>
      </x:c>
      <x:c r="AB1410" s="2" t="str">
        <x:v>2020-03-01 22:58:22 - 신규신청 - 신청 
2020-03-01 22:58:22 - 관장기관 지정 - 환경부
2020-03-09 15:08:34 - 관장기관 지정 - 산업통상자원부
2020-03-18 17:05:47 - 신규신청 - 문서재제출요청 
2020-03-20 00:57:57 - 재제출신청 - 신청 
2020-07-31 14:39:44 - 재제출신청 - 평가승인 
2020-07-31 14:40:19 - 재제출신청 - 심의승인 
2020-08-03 12:45:52 - 재제출신청 - 착수신고 
2021-11-26 12:16:53 - 사업변경 신청 - 신청 
2021-12-15 16:34:34 - 사업변경 신청 - 평가반려 
</x:v>
      </x:c>
    </x:row>
    <x:row r="1411" ht="42" customHeight="1">
      <x:c r="A1411" s="2" t="str">
        <x:v>f9378082e2a6283ea6ac06fa</x:v>
      </x:c>
      <x:c r="B1411" s="2" t="str">
        <x:v>사업 평가</x:v>
      </x:c>
      <x:c r="C1411" s="2" t="str">
        <x:v>국외</x:v>
      </x:c>
      <x:c r="D1411" s="7" t="str">
        <x:v>안전한 식수 공급을 위한 정수기 보급 사업 : CPA 53(한국 지원)</x:v>
      </x:c>
      <x:c r="E1411" s="2" t="str">
        <x:v>33</x:v>
      </x:c>
      <x:c r="F1411" s="2" t="str">
        <x:v>2020-03</x:v>
      </x:c>
      <x:c r="G1411" s="2" t="str">
        <x:v>2020</x:v>
      </x:c>
      <x:c r="H1411" s="2" t="str">
        <x:v>03</x:v>
      </x:c>
      <x:c r="I1411" s="2" t="str">
        <x:v>반려</x:v>
      </x:c>
      <x:c r="J1411" s="2" t="str">
        <x:v>반려</x:v>
      </x:c>
      <x:c r="K1411" s="2" t="str">
        <x:f>IF(OR(J1411="심의승인",J1411="반려",J1411="반려완료",J1411="심의완료"),"종결 표시",IF(OR(J1411="기후부협의",J1411="문서재제출요청",J1411="보류",J1411="보완요청",J1411="보완완료",J1411="평가중",J1411="반려요청",J1411="평가필요",LEFT(J1411,5)="보완요청("),"미종결 표시","상태 확인 필요"))</x:f>
        <x:v>종결 표시</x:v>
      </x:c>
      <x:c r="L1411" s="2"/>
      <x:c r="M1411" s="2"/>
      <x:c r="N1411" s="8"/>
      <x:c r="O1411" s="2"/>
      <x:c r="P1411" s="2" t="str">
        <x:v>사업변경신청 반려</x:v>
      </x:c>
      <x:c r="Q1411" s="2" t="str">
        <x:v>산업전환_외부사업관리Tool_260707_이너젠 수정_LJY_261013.xlsx</x:v>
      </x:c>
      <x:c r="R1411" s="2" t="str">
        <x:v>국외평가</x:v>
      </x:c>
      <x:c r="S1411" s="8" t="n">
        <x:v>35</x:v>
      </x:c>
      <x:c r="T1411" s="2"/>
      <x:c r="U1411" s="2" t="str"/>
      <x:c r="V1411" s="2" t="str">
        <x:v>2021-12-15</x:v>
      </x:c>
      <x:c r="W1411" s="2" t="str">
        <x:v>담당기관 확인</x:v>
      </x:c>
      <x:c r="X1411" s="2" t="str">
        <x:v>원본·배정 기록 확인</x:v>
      </x:c>
      <x:c r="Y1411" s="2" t="str">
        <x:v>ad210cd9ec132cfd447541c8984dc53d30aff0f4fb2dc92d254d49275cc55976</x:v>
      </x:c>
      <x:c r="Z1411" s="2" t="n">
        <x:f>SUBTOTAL(103,A1411)</x:f>
        <x:v>1</x:v>
      </x:c>
      <x:c r="AA1411" s="2" t="str">
        <x:f>IF(K1411&lt;&gt;"미종결 표시","대상 아님",IF(N1411="","신청일 확인",IF(NOT(ISNUMBER('종합 현황'!$H$5)),"관찰기준 확인",IF('종합 현황'!$H$5&lt;1,"관찰기준 확인",IF(N1411&gt;'종합 현황'!$H$5,"내부 관찰 대상","내부 관찰일 이하")))))</x:f>
        <x:v>대상 아님</x:v>
      </x:c>
      <x:c r="AB1411" s="2" t="str">
        <x:v>2020-03-01 22:59:13 - 신규신청 - 신청 
2020-03-01 22:59:13 - 관장기관 지정 - 환경부
2020-03-09 15:08:28 - 관장기관 지정 - 산업통상자원부
2020-03-18 17:04:26 - 신규신청 - 문서재제출요청 
2020-03-20 00:58:16 - 재제출신청 - 신청 
2020-07-31 14:40:47 - 재제출신청 - 평가승인 
2020-07-31 14:41:51 - 재제출신청 - 심의승인 
2020-08-03 12:48:12 - 재제출신청 - 착수신고 
2021-11-26 12:17:01 - 사업변경 신청 - 신청 
2021-12-15 16:34:17 - 사업변경 신청 - 평가반려 
</x:v>
      </x:c>
    </x:row>
    <x:row r="1412" ht="42" customHeight="1">
      <x:c r="A1412" s="2" t="str">
        <x:v>bc48e3cbf2b86d7dc053f3af</x:v>
      </x:c>
      <x:c r="B1412" s="2" t="str">
        <x:v>사업 평가</x:v>
      </x:c>
      <x:c r="C1412" s="2" t="str">
        <x:v>국외</x:v>
      </x:c>
      <x:c r="D1412" s="7" t="str">
        <x:v>안전한 식수 공급을 위한 정수기 보급 사업 : CPA 54(한국 지원)</x:v>
      </x:c>
      <x:c r="E1412" s="2" t="str">
        <x:v>34</x:v>
      </x:c>
      <x:c r="F1412" s="2" t="str">
        <x:v>2020-03</x:v>
      </x:c>
      <x:c r="G1412" s="2" t="str">
        <x:v>2020</x:v>
      </x:c>
      <x:c r="H1412" s="2" t="str">
        <x:v>03</x:v>
      </x:c>
      <x:c r="I1412" s="2" t="str">
        <x:v>반려</x:v>
      </x:c>
      <x:c r="J1412" s="2" t="str">
        <x:v>반려</x:v>
      </x:c>
      <x:c r="K1412" s="2" t="str">
        <x:f>IF(OR(J1412="심의승인",J1412="반려",J1412="반려완료",J1412="심의완료"),"종결 표시",IF(OR(J1412="기후부협의",J1412="문서재제출요청",J1412="보류",J1412="보완요청",J1412="보완완료",J1412="평가중",J1412="반려요청",J1412="평가필요",LEFT(J1412,5)="보완요청("),"미종결 표시","상태 확인 필요"))</x:f>
        <x:v>종결 표시</x:v>
      </x:c>
      <x:c r="L1412" s="2"/>
      <x:c r="M1412" s="2"/>
      <x:c r="N1412" s="8"/>
      <x:c r="O1412" s="2"/>
      <x:c r="P1412" s="2" t="str">
        <x:v>사업변경신청 반려</x:v>
      </x:c>
      <x:c r="Q1412" s="2" t="str">
        <x:v>산업전환_외부사업관리Tool_260707_이너젠 수정_LJY_261013.xlsx</x:v>
      </x:c>
      <x:c r="R1412" s="2" t="str">
        <x:v>국외평가</x:v>
      </x:c>
      <x:c r="S1412" s="8" t="n">
        <x:v>36</x:v>
      </x:c>
      <x:c r="T1412" s="2"/>
      <x:c r="U1412" s="2" t="str"/>
      <x:c r="V1412" s="2" t="str">
        <x:v>2021-12-15</x:v>
      </x:c>
      <x:c r="W1412" s="2" t="str">
        <x:v>담당기관 확인</x:v>
      </x:c>
      <x:c r="X1412" s="2" t="str">
        <x:v>원본·배정 기록 확인</x:v>
      </x:c>
      <x:c r="Y1412" s="2" t="str">
        <x:v>ad210cd9ec132cfd447541c8984dc53d30aff0f4fb2dc92d254d49275cc55976</x:v>
      </x:c>
      <x:c r="Z1412" s="2" t="n">
        <x:f>SUBTOTAL(103,A1412)</x:f>
        <x:v>1</x:v>
      </x:c>
      <x:c r="AA1412" s="2" t="str">
        <x:f>IF(K1412&lt;&gt;"미종결 표시","대상 아님",IF(N1412="","신청일 확인",IF(NOT(ISNUMBER('종합 현황'!$H$5)),"관찰기준 확인",IF('종합 현황'!$H$5&lt;1,"관찰기준 확인",IF(N1412&gt;'종합 현황'!$H$5,"내부 관찰 대상","내부 관찰일 이하")))))</x:f>
        <x:v>대상 아님</x:v>
      </x:c>
      <x:c r="AB1412" s="2" t="str">
        <x:v>2020-03-01 22:59:38 - 신규신청 - 신청 
2020-03-01 22:59:38 - 관장기관 지정 - 환경부
2020-03-09 15:08:21 - 관장기관 지정 - 산업통상자원부
2020-03-18 17:04:06 - 신규신청 - 문서재제출요청 
2020-03-20 00:58:41 - 재제출신청 - 신청 
2020-07-31 14:42:22 - 재제출신청 - 평가승인 
2020-07-31 14:43:00 - 재제출신청 - 심의승인 
2020-08-03 12:49:14 - 재제출신청 - 착수신고 
2021-11-26 12:17:08 - 사업변경 신청 - 신청 
2021-12-15 16:34:03 - 사업변경 신청 - 평가반려 
</x:v>
      </x:c>
    </x:row>
    <x:row r="1413" ht="42" customHeight="1">
      <x:c r="A1413" s="2" t="str">
        <x:v>09f0e0d603b39c3191ee68ce</x:v>
      </x:c>
      <x:c r="B1413" s="2" t="str">
        <x:v>사업 평가</x:v>
      </x:c>
      <x:c r="C1413" s="2" t="str">
        <x:v>국외</x:v>
      </x:c>
      <x:c r="D1413" s="7" t="str">
        <x:v>안전한 식수 공급을 위한 정수기 보급 사업 : CPA 55(한국 지원)</x:v>
      </x:c>
      <x:c r="E1413" s="2" t="str">
        <x:v>35</x:v>
      </x:c>
      <x:c r="F1413" s="2" t="str">
        <x:v>2020-03</x:v>
      </x:c>
      <x:c r="G1413" s="2" t="str">
        <x:v>2020</x:v>
      </x:c>
      <x:c r="H1413" s="2" t="str">
        <x:v>03</x:v>
      </x:c>
      <x:c r="I1413" s="2" t="str">
        <x:v>반려</x:v>
      </x:c>
      <x:c r="J1413" s="2" t="str">
        <x:v>반려</x:v>
      </x:c>
      <x:c r="K1413" s="2" t="str">
        <x:f>IF(OR(J1413="심의승인",J1413="반려",J1413="반려완료",J1413="심의완료"),"종결 표시",IF(OR(J1413="기후부협의",J1413="문서재제출요청",J1413="보류",J1413="보완요청",J1413="보완완료",J1413="평가중",J1413="반려요청",J1413="평가필요",LEFT(J1413,5)="보완요청("),"미종결 표시","상태 확인 필요"))</x:f>
        <x:v>종결 표시</x:v>
      </x:c>
      <x:c r="L1413" s="2"/>
      <x:c r="M1413" s="2"/>
      <x:c r="N1413" s="8"/>
      <x:c r="O1413" s="2"/>
      <x:c r="P1413" s="2" t="str">
        <x:v>사업변경신청 반려</x:v>
      </x:c>
      <x:c r="Q1413" s="2" t="str">
        <x:v>산업전환_외부사업관리Tool_260707_이너젠 수정_LJY_261013.xlsx</x:v>
      </x:c>
      <x:c r="R1413" s="2" t="str">
        <x:v>국외평가</x:v>
      </x:c>
      <x:c r="S1413" s="8" t="n">
        <x:v>37</x:v>
      </x:c>
      <x:c r="T1413" s="2"/>
      <x:c r="U1413" s="2" t="str"/>
      <x:c r="V1413" s="2" t="str">
        <x:v>2021-12-15</x:v>
      </x:c>
      <x:c r="W1413" s="2" t="str">
        <x:v>담당기관 확인</x:v>
      </x:c>
      <x:c r="X1413" s="2" t="str">
        <x:v>원본·배정 기록 확인</x:v>
      </x:c>
      <x:c r="Y1413" s="2" t="str">
        <x:v>ad210cd9ec132cfd447541c8984dc53d30aff0f4fb2dc92d254d49275cc55976</x:v>
      </x:c>
      <x:c r="Z1413" s="2" t="n">
        <x:f>SUBTOTAL(103,A1413)</x:f>
        <x:v>1</x:v>
      </x:c>
      <x:c r="AA1413" s="2" t="str">
        <x:f>IF(K1413&lt;&gt;"미종결 표시","대상 아님",IF(N1413="","신청일 확인",IF(NOT(ISNUMBER('종합 현황'!$H$5)),"관찰기준 확인",IF('종합 현황'!$H$5&lt;1,"관찰기준 확인",IF(N1413&gt;'종합 현황'!$H$5,"내부 관찰 대상","내부 관찰일 이하")))))</x:f>
        <x:v>대상 아님</x:v>
      </x:c>
      <x:c r="AB1413" s="2" t="str">
        <x:v>2020-03-01 23:00:11 - 신규신청 - 신청 
2020-03-01 23:00:11 - 관장기관 지정 - 환경부
2020-03-09 15:08:14 - 관장기관 지정 - 산업통상자원부
2020-03-18 17:03:40 - 신규신청 - 문서재제출요청 
2020-03-20 00:59:07 - 재제출신청 - 신청 
2020-07-31 14:44:02 - 재제출신청 - 평가승인 
2020-07-31 14:44:38 - 재제출신청 - 심의승인 
2020-08-03 12:50:11 - 재제출신청 - 착수신고 
2021-11-26 12:17:15 - 사업변경 신청 - 신청 
2021-12-15 16:33:51 - 사업변경 신청 - 평가반려 
</x:v>
      </x:c>
    </x:row>
    <x:row r="1414" ht="42" customHeight="1">
      <x:c r="A1414" s="2" t="str">
        <x:v>346d24325266b240a30e66c0</x:v>
      </x:c>
      <x:c r="B1414" s="2" t="str">
        <x:v>사업 평가</x:v>
      </x:c>
      <x:c r="C1414" s="2" t="str">
        <x:v>국외</x:v>
      </x:c>
      <x:c r="D1414" s="7" t="str">
        <x:v>안전한 식수 공급을 위한 정수기 보급 사업 : CPA 56(한국 지원)</x:v>
      </x:c>
      <x:c r="E1414" s="2" t="str">
        <x:v>36</x:v>
      </x:c>
      <x:c r="F1414" s="2" t="str">
        <x:v>2020-03</x:v>
      </x:c>
      <x:c r="G1414" s="2" t="str">
        <x:v>2020</x:v>
      </x:c>
      <x:c r="H1414" s="2" t="str">
        <x:v>03</x:v>
      </x:c>
      <x:c r="I1414" s="2" t="str">
        <x:v>반려</x:v>
      </x:c>
      <x:c r="J1414" s="2" t="str">
        <x:v>반려</x:v>
      </x:c>
      <x:c r="K1414" s="2" t="str">
        <x:f>IF(OR(J1414="심의승인",J1414="반려",J1414="반려완료",J1414="심의완료"),"종결 표시",IF(OR(J1414="기후부협의",J1414="문서재제출요청",J1414="보류",J1414="보완요청",J1414="보완완료",J1414="평가중",J1414="반려요청",J1414="평가필요",LEFT(J1414,5)="보완요청("),"미종결 표시","상태 확인 필요"))</x:f>
        <x:v>종결 표시</x:v>
      </x:c>
      <x:c r="L1414" s="2"/>
      <x:c r="M1414" s="2"/>
      <x:c r="N1414" s="8"/>
      <x:c r="O1414" s="2"/>
      <x:c r="P1414" s="2" t="str">
        <x:v>사업변경신청 반려</x:v>
      </x:c>
      <x:c r="Q1414" s="2" t="str">
        <x:v>산업전환_외부사업관리Tool_260707_이너젠 수정_LJY_261013.xlsx</x:v>
      </x:c>
      <x:c r="R1414" s="2" t="str">
        <x:v>국외평가</x:v>
      </x:c>
      <x:c r="S1414" s="8" t="n">
        <x:v>38</x:v>
      </x:c>
      <x:c r="T1414" s="2"/>
      <x:c r="U1414" s="2" t="str"/>
      <x:c r="V1414" s="2" t="str">
        <x:v>2021-12-15</x:v>
      </x:c>
      <x:c r="W1414" s="2" t="str">
        <x:v>담당기관 확인</x:v>
      </x:c>
      <x:c r="X1414" s="2" t="str">
        <x:v>원본·배정 기록 확인</x:v>
      </x:c>
      <x:c r="Y1414" s="2" t="str">
        <x:v>ad210cd9ec132cfd447541c8984dc53d30aff0f4fb2dc92d254d49275cc55976</x:v>
      </x:c>
      <x:c r="Z1414" s="2" t="n">
        <x:f>SUBTOTAL(103,A1414)</x:f>
        <x:v>1</x:v>
      </x:c>
      <x:c r="AA1414" s="2" t="str">
        <x:f>IF(K1414&lt;&gt;"미종결 표시","대상 아님",IF(N1414="","신청일 확인",IF(NOT(ISNUMBER('종합 현황'!$H$5)),"관찰기준 확인",IF('종합 현황'!$H$5&lt;1,"관찰기준 확인",IF(N1414&gt;'종합 현황'!$H$5,"내부 관찰 대상","내부 관찰일 이하")))))</x:f>
        <x:v>대상 아님</x:v>
      </x:c>
      <x:c r="AB1414" s="2" t="str">
        <x:v>2020-03-01 23:00:38 - 신규신청 - 신청 
2020-03-01 23:00:38 - 관장기관 지정 - 환경부
2020-03-09 15:08:08 - 관장기관 지정 - 산업통상자원부
2020-03-18 09:42:28 - 신규신청 - 문서재제출요청 
2020-03-20 00:59:36 - 재제출신청 - 신청 
2020-07-31 14:51:37 - 재제출신청 - 평가승인 
2020-07-31 14:51:59 - 재제출신청 - 심의승인 
2020-08-03 12:55:35 - 재제출신청 - 착수신고 
2021-11-26 12:17:22 - 사업변경 신청 - 신청 
2021-12-15 16:33:40 - 사업변경 신청 - 평가반려 
</x:v>
      </x:c>
    </x:row>
    <x:row r="1415" ht="42" customHeight="1">
      <x:c r="A1415" s="2" t="str">
        <x:v>d95dc83e2eefca2c275c08ee</x:v>
      </x:c>
      <x:c r="B1415" s="2" t="str">
        <x:v>사업 평가</x:v>
      </x:c>
      <x:c r="C1415" s="2" t="str">
        <x:v>국외</x:v>
      </x:c>
      <x:c r="D1415" s="7" t="str">
        <x:v>안전한 식수 공급을 위한 정수기 보급 사업 : CPA 57(한국 지원)</x:v>
      </x:c>
      <x:c r="E1415" s="2" t="str">
        <x:v>37</x:v>
      </x:c>
      <x:c r="F1415" s="2" t="str">
        <x:v>2020-03</x:v>
      </x:c>
      <x:c r="G1415" s="2" t="str">
        <x:v>2020</x:v>
      </x:c>
      <x:c r="H1415" s="2" t="str">
        <x:v>03</x:v>
      </x:c>
      <x:c r="I1415" s="2" t="str">
        <x:v>반려</x:v>
      </x:c>
      <x:c r="J1415" s="2" t="str">
        <x:v>반려</x:v>
      </x:c>
      <x:c r="K1415" s="2" t="str">
        <x:f>IF(OR(J1415="심의승인",J1415="반려",J1415="반려완료",J1415="심의완료"),"종결 표시",IF(OR(J1415="기후부협의",J1415="문서재제출요청",J1415="보류",J1415="보완요청",J1415="보완완료",J1415="평가중",J1415="반려요청",J1415="평가필요",LEFT(J1415,5)="보완요청("),"미종결 표시","상태 확인 필요"))</x:f>
        <x:v>종결 표시</x:v>
      </x:c>
      <x:c r="L1415" s="2"/>
      <x:c r="M1415" s="2"/>
      <x:c r="N1415" s="8"/>
      <x:c r="O1415" s="2"/>
      <x:c r="P1415" s="2" t="str">
        <x:v>사업변경신청 반려</x:v>
      </x:c>
      <x:c r="Q1415" s="2" t="str">
        <x:v>산업전환_외부사업관리Tool_260707_이너젠 수정_LJY_261013.xlsx</x:v>
      </x:c>
      <x:c r="R1415" s="2" t="str">
        <x:v>국외평가</x:v>
      </x:c>
      <x:c r="S1415" s="8" t="n">
        <x:v>39</x:v>
      </x:c>
      <x:c r="T1415" s="2"/>
      <x:c r="U1415" s="2" t="str"/>
      <x:c r="V1415" s="2" t="str">
        <x:v>2021-12-15</x:v>
      </x:c>
      <x:c r="W1415" s="2" t="str">
        <x:v>담당기관 확인</x:v>
      </x:c>
      <x:c r="X1415" s="2" t="str">
        <x:v>원본·배정 기록 확인</x:v>
      </x:c>
      <x:c r="Y1415" s="2" t="str">
        <x:v>ad210cd9ec132cfd447541c8984dc53d30aff0f4fb2dc92d254d49275cc55976</x:v>
      </x:c>
      <x:c r="Z1415" s="2" t="n">
        <x:f>SUBTOTAL(103,A1415)</x:f>
        <x:v>1</x:v>
      </x:c>
      <x:c r="AA1415" s="2" t="str">
        <x:f>IF(K1415&lt;&gt;"미종결 표시","대상 아님",IF(N1415="","신청일 확인",IF(NOT(ISNUMBER('종합 현황'!$H$5)),"관찰기준 확인",IF('종합 현황'!$H$5&lt;1,"관찰기준 확인",IF(N1415&gt;'종합 현황'!$H$5,"내부 관찰 대상","내부 관찰일 이하")))))</x:f>
        <x:v>대상 아님</x:v>
      </x:c>
      <x:c r="AB1415" s="2" t="str">
        <x:v>2020-03-01 23:01:19 - 신규신청 - 신청 
2020-03-01 23:01:19 - 관장기관 지정 - 환경부
2020-03-09 15:08:01 - 관장기관 지정 - 산업통상자원부
2020-03-18 17:03:21 - 신규신청 - 문서재제출요청 
2020-03-20 00:59:59 - 재제출신청 - 신청 
2020-07-31 14:52:29 - 재제출신청 - 평가승인 
2020-07-31 14:52:48 - 재제출신청 - 심의승인 
2020-08-03 12:56:39 - 재제출신청 - 착수신고 
2021-11-26 12:17:30 - 사업변경 신청 - 신청 
2021-12-15 16:33:28 - 사업변경 신청 - 평가반려 
</x:v>
      </x:c>
    </x:row>
    <x:row r="1416" ht="42" customHeight="1">
      <x:c r="A1416" s="2" t="str">
        <x:v>883656a88ad96be7dac18df2</x:v>
      </x:c>
      <x:c r="B1416" s="2" t="str">
        <x:v>사업 평가</x:v>
      </x:c>
      <x:c r="C1416" s="2" t="str">
        <x:v>국외</x:v>
      </x:c>
      <x:c r="D1416" s="7" t="str">
        <x:v>안전한 식수 공급을 위한 정수기 보급 사업 : CPA 58(한국 지원)</x:v>
      </x:c>
      <x:c r="E1416" s="2" t="str">
        <x:v>38</x:v>
      </x:c>
      <x:c r="F1416" s="2" t="str">
        <x:v>2020-03</x:v>
      </x:c>
      <x:c r="G1416" s="2" t="str">
        <x:v>2020</x:v>
      </x:c>
      <x:c r="H1416" s="2" t="str">
        <x:v>03</x:v>
      </x:c>
      <x:c r="I1416" s="2" t="str">
        <x:v>반려</x:v>
      </x:c>
      <x:c r="J1416" s="2" t="str">
        <x:v>반려</x:v>
      </x:c>
      <x:c r="K1416" s="2" t="str">
        <x:f>IF(OR(J1416="심의승인",J1416="반려",J1416="반려완료",J1416="심의완료"),"종결 표시",IF(OR(J1416="기후부협의",J1416="문서재제출요청",J1416="보류",J1416="보완요청",J1416="보완완료",J1416="평가중",J1416="반려요청",J1416="평가필요",LEFT(J1416,5)="보완요청("),"미종결 표시","상태 확인 필요"))</x:f>
        <x:v>종결 표시</x:v>
      </x:c>
      <x:c r="L1416" s="2"/>
      <x:c r="M1416" s="2"/>
      <x:c r="N1416" s="8"/>
      <x:c r="O1416" s="2"/>
      <x:c r="P1416" s="2" t="str">
        <x:v>사업변경신청 반려</x:v>
      </x:c>
      <x:c r="Q1416" s="2" t="str">
        <x:v>산업전환_외부사업관리Tool_260707_이너젠 수정_LJY_261013.xlsx</x:v>
      </x:c>
      <x:c r="R1416" s="2" t="str">
        <x:v>국외평가</x:v>
      </x:c>
      <x:c r="S1416" s="8" t="n">
        <x:v>40</x:v>
      </x:c>
      <x:c r="T1416" s="2"/>
      <x:c r="U1416" s="2" t="str"/>
      <x:c r="V1416" s="2" t="str">
        <x:v>2021-12-15</x:v>
      </x:c>
      <x:c r="W1416" s="2" t="str">
        <x:v>담당기관 확인</x:v>
      </x:c>
      <x:c r="X1416" s="2" t="str">
        <x:v>원본·배정 기록 확인</x:v>
      </x:c>
      <x:c r="Y1416" s="2" t="str">
        <x:v>ad210cd9ec132cfd447541c8984dc53d30aff0f4fb2dc92d254d49275cc55976</x:v>
      </x:c>
      <x:c r="Z1416" s="2" t="n">
        <x:f>SUBTOTAL(103,A1416)</x:f>
        <x:v>1</x:v>
      </x:c>
      <x:c r="AA1416" s="2" t="str">
        <x:f>IF(K1416&lt;&gt;"미종결 표시","대상 아님",IF(N1416="","신청일 확인",IF(NOT(ISNUMBER('종합 현황'!$H$5)),"관찰기준 확인",IF('종합 현황'!$H$5&lt;1,"관찰기준 확인",IF(N1416&gt;'종합 현황'!$H$5,"내부 관찰 대상","내부 관찰일 이하")))))</x:f>
        <x:v>대상 아님</x:v>
      </x:c>
      <x:c r="AB1416" s="2" t="str">
        <x:v>2020-03-01 23:01:43 - 신규신청 - 신청 
2020-03-01 23:01:43 - 관장기관 지정 - 환경부
2020-03-09 15:07:54 - 관장기관 지정 - 산업통상자원부
2020-03-18 17:02:57 - 신규신청 - 문서재제출요청 
2020-03-20 01:00:23 - 재제출신청 - 신청 
2020-07-31 14:53:16 - 재제출신청 - 평가승인 
2020-07-31 14:53:33 - 재제출신청 - 심의승인 
2020-08-03 12:58:23 - 재제출신청 - 착수신고 
2021-11-26 12:17:38 - 사업변경 신청 - 신청 
2021-12-15 16:33:12 - 사업변경 신청 - 평가반려 
</x:v>
      </x:c>
    </x:row>
    <x:row r="1417" ht="42" customHeight="1">
      <x:c r="A1417" s="2" t="str">
        <x:v>bec852b0fd8985f2687735c6</x:v>
      </x:c>
      <x:c r="B1417" s="2" t="str">
        <x:v>사업 평가</x:v>
      </x:c>
      <x:c r="C1417" s="2" t="str">
        <x:v>국외</x:v>
      </x:c>
      <x:c r="D1417" s="7" t="str">
        <x:v>안전한 식수 공급을 위한 정수기 보급 사업 : CPA 59(한국 지원)</x:v>
      </x:c>
      <x:c r="E1417" s="2" t="str">
        <x:v>39</x:v>
      </x:c>
      <x:c r="F1417" s="2" t="str">
        <x:v>2020-03</x:v>
      </x:c>
      <x:c r="G1417" s="2" t="str">
        <x:v>2020</x:v>
      </x:c>
      <x:c r="H1417" s="2" t="str">
        <x:v>03</x:v>
      </x:c>
      <x:c r="I1417" s="2" t="str">
        <x:v>반려</x:v>
      </x:c>
      <x:c r="J1417" s="2" t="str">
        <x:v>반려</x:v>
      </x:c>
      <x:c r="K1417" s="2" t="str">
        <x:f>IF(OR(J1417="심의승인",J1417="반려",J1417="반려완료",J1417="심의완료"),"종결 표시",IF(OR(J1417="기후부협의",J1417="문서재제출요청",J1417="보류",J1417="보완요청",J1417="보완완료",J1417="평가중",J1417="반려요청",J1417="평가필요",LEFT(J1417,5)="보완요청("),"미종결 표시","상태 확인 필요"))</x:f>
        <x:v>종결 표시</x:v>
      </x:c>
      <x:c r="L1417" s="2"/>
      <x:c r="M1417" s="2"/>
      <x:c r="N1417" s="8"/>
      <x:c r="O1417" s="2"/>
      <x:c r="P1417" s="2" t="str">
        <x:v>사업변경신청 반려</x:v>
      </x:c>
      <x:c r="Q1417" s="2" t="str">
        <x:v>산업전환_외부사업관리Tool_260707_이너젠 수정_LJY_261013.xlsx</x:v>
      </x:c>
      <x:c r="R1417" s="2" t="str">
        <x:v>국외평가</x:v>
      </x:c>
      <x:c r="S1417" s="8" t="n">
        <x:v>41</x:v>
      </x:c>
      <x:c r="T1417" s="2"/>
      <x:c r="U1417" s="2" t="str"/>
      <x:c r="V1417" s="2" t="str">
        <x:v>2021-12-15</x:v>
      </x:c>
      <x:c r="W1417" s="2" t="str">
        <x:v>담당기관 확인</x:v>
      </x:c>
      <x:c r="X1417" s="2" t="str">
        <x:v>원본·배정 기록 확인</x:v>
      </x:c>
      <x:c r="Y1417" s="2" t="str">
        <x:v>ad210cd9ec132cfd447541c8984dc53d30aff0f4fb2dc92d254d49275cc55976</x:v>
      </x:c>
      <x:c r="Z1417" s="2" t="n">
        <x:f>SUBTOTAL(103,A1417)</x:f>
        <x:v>1</x:v>
      </x:c>
      <x:c r="AA1417" s="2" t="str">
        <x:f>IF(K1417&lt;&gt;"미종결 표시","대상 아님",IF(N1417="","신청일 확인",IF(NOT(ISNUMBER('종합 현황'!$H$5)),"관찰기준 확인",IF('종합 현황'!$H$5&lt;1,"관찰기준 확인",IF(N1417&gt;'종합 현황'!$H$5,"내부 관찰 대상","내부 관찰일 이하")))))</x:f>
        <x:v>대상 아님</x:v>
      </x:c>
      <x:c r="AB1417" s="2" t="str">
        <x:v>2020-03-01 23:02:10 - 신규신청 - 신청 
2020-03-01 23:02:10 - 관장기관 지정 - 환경부
2020-03-09 15:07:47 - 관장기관 지정 - 산업통상자원부
2020-03-18 17:02:37 - 신규신청 - 문서재제출요청 
2020-03-20 01:00:50 - 재제출신청 - 신청 
2020-07-31 14:54:02 - 재제출신청 - 평가승인 
2020-07-31 14:54:17 - 재제출신청 - 심의승인 
2020-08-03 12:59:55 - 재제출신청 - 착수신고 
2021-11-26 12:17:46 - 사업변경 신청 - 신청 
2021-12-15 16:33:01 - 사업변경 신청 - 평가반려 
</x:v>
      </x:c>
    </x:row>
    <x:row r="1418" ht="42" customHeight="1">
      <x:c r="A1418" s="2" t="str">
        <x:v>905e617eb7702fdded8c30c1</x:v>
      </x:c>
      <x:c r="B1418" s="2" t="str">
        <x:v>사업 평가</x:v>
      </x:c>
      <x:c r="C1418" s="2" t="str">
        <x:v>국외</x:v>
      </x:c>
      <x:c r="D1418" s="7" t="str">
        <x:v>안전한 식수 공급을 위한 정수기 보급 사업 : CPA 60(한국 지원)</x:v>
      </x:c>
      <x:c r="E1418" s="2" t="str">
        <x:v>40</x:v>
      </x:c>
      <x:c r="F1418" s="2" t="str">
        <x:v>2020-03</x:v>
      </x:c>
      <x:c r="G1418" s="2" t="str">
        <x:v>2020</x:v>
      </x:c>
      <x:c r="H1418" s="2" t="str">
        <x:v>03</x:v>
      </x:c>
      <x:c r="I1418" s="2" t="str">
        <x:v>반려</x:v>
      </x:c>
      <x:c r="J1418" s="2" t="str">
        <x:v>반려</x:v>
      </x:c>
      <x:c r="K1418" s="2" t="str">
        <x:f>IF(OR(J1418="심의승인",J1418="반려",J1418="반려완료",J1418="심의완료"),"종결 표시",IF(OR(J1418="기후부협의",J1418="문서재제출요청",J1418="보류",J1418="보완요청",J1418="보완완료",J1418="평가중",J1418="반려요청",J1418="평가필요",LEFT(J1418,5)="보완요청("),"미종결 표시","상태 확인 필요"))</x:f>
        <x:v>종결 표시</x:v>
      </x:c>
      <x:c r="L1418" s="2"/>
      <x:c r="M1418" s="2"/>
      <x:c r="N1418" s="8"/>
      <x:c r="O1418" s="2"/>
      <x:c r="P1418" s="2" t="str">
        <x:v>사업변경신청 반려</x:v>
      </x:c>
      <x:c r="Q1418" s="2" t="str">
        <x:v>산업전환_외부사업관리Tool_260707_이너젠 수정_LJY_261013.xlsx</x:v>
      </x:c>
      <x:c r="R1418" s="2" t="str">
        <x:v>국외평가</x:v>
      </x:c>
      <x:c r="S1418" s="8" t="n">
        <x:v>42</x:v>
      </x:c>
      <x:c r="T1418" s="2"/>
      <x:c r="U1418" s="2" t="str"/>
      <x:c r="V1418" s="2" t="str">
        <x:v>2021-12-15</x:v>
      </x:c>
      <x:c r="W1418" s="2" t="str">
        <x:v>담당기관 확인</x:v>
      </x:c>
      <x:c r="X1418" s="2" t="str">
        <x:v>원본·배정 기록 확인</x:v>
      </x:c>
      <x:c r="Y1418" s="2" t="str">
        <x:v>ad210cd9ec132cfd447541c8984dc53d30aff0f4fb2dc92d254d49275cc55976</x:v>
      </x:c>
      <x:c r="Z1418" s="2" t="n">
        <x:f>SUBTOTAL(103,A1418)</x:f>
        <x:v>1</x:v>
      </x:c>
      <x:c r="AA1418" s="2" t="str">
        <x:f>IF(K1418&lt;&gt;"미종결 표시","대상 아님",IF(N1418="","신청일 확인",IF(NOT(ISNUMBER('종합 현황'!$H$5)),"관찰기준 확인",IF('종합 현황'!$H$5&lt;1,"관찰기준 확인",IF(N1418&gt;'종합 현황'!$H$5,"내부 관찰 대상","내부 관찰일 이하")))))</x:f>
        <x:v>대상 아님</x:v>
      </x:c>
      <x:c r="AB1418" s="2" t="str">
        <x:v>2020-03-01 23:02:45 - 신규신청 - 신청 
2020-03-01 23:02:45 - 관장기관 지정 - 환경부
2020-03-09 15:07:41 - 관장기관 지정 - 산업통상자원부
2020-03-18 17:02:20 - 신규신청 - 문서재제출요청 
2020-03-20 01:01:21 - 재제출신청 - 신청 
2020-07-31 14:54:45 - 재제출신청 - 평가승인 
2020-07-31 14:55:08 - 재제출신청 - 심의승인 
2020-08-03 13:00:50 - 재제출신청 - 착수신고 
2021-11-26 12:17:54 - 사업변경 신청 - 신청 
2021-12-15 16:32:45 - 사업변경 신청 - 평가반려 
</x:v>
      </x:c>
    </x:row>
    <x:row r="1419" ht="42" customHeight="1">
      <x:c r="A1419" s="2" t="str">
        <x:v>7b0278fda13b361e938675f7</x:v>
      </x:c>
      <x:c r="B1419" s="2" t="str">
        <x:v>사업 평가</x:v>
      </x:c>
      <x:c r="C1419" s="2" t="str">
        <x:v>국외</x:v>
      </x:c>
      <x:c r="D1419" s="7" t="str">
        <x:v>안전한 식수 공급을 위한 정수기 보급 사업 : CPA 61(한국 지원)</x:v>
      </x:c>
      <x:c r="E1419" s="2" t="str">
        <x:v>41</x:v>
      </x:c>
      <x:c r="F1419" s="2" t="str">
        <x:v>2020-03</x:v>
      </x:c>
      <x:c r="G1419" s="2" t="str">
        <x:v>2020</x:v>
      </x:c>
      <x:c r="H1419" s="2" t="str">
        <x:v>03</x:v>
      </x:c>
      <x:c r="I1419" s="2" t="str">
        <x:v>반려</x:v>
      </x:c>
      <x:c r="J1419" s="2" t="str">
        <x:v>반려</x:v>
      </x:c>
      <x:c r="K1419" s="2" t="str">
        <x:f>IF(OR(J1419="심의승인",J1419="반려",J1419="반려완료",J1419="심의완료"),"종결 표시",IF(OR(J1419="기후부협의",J1419="문서재제출요청",J1419="보류",J1419="보완요청",J1419="보완완료",J1419="평가중",J1419="반려요청",J1419="평가필요",LEFT(J1419,5)="보완요청("),"미종결 표시","상태 확인 필요"))</x:f>
        <x:v>종결 표시</x:v>
      </x:c>
      <x:c r="L1419" s="2"/>
      <x:c r="M1419" s="2"/>
      <x:c r="N1419" s="8"/>
      <x:c r="O1419" s="2"/>
      <x:c r="P1419" s="2" t="str">
        <x:v>사업변경신청 반려</x:v>
      </x:c>
      <x:c r="Q1419" s="2" t="str">
        <x:v>산업전환_외부사업관리Tool_260707_이너젠 수정_LJY_261013.xlsx</x:v>
      </x:c>
      <x:c r="R1419" s="2" t="str">
        <x:v>국외평가</x:v>
      </x:c>
      <x:c r="S1419" s="8" t="n">
        <x:v>43</x:v>
      </x:c>
      <x:c r="T1419" s="2"/>
      <x:c r="U1419" s="2" t="str"/>
      <x:c r="V1419" s="2" t="str">
        <x:v>2021-12-15</x:v>
      </x:c>
      <x:c r="W1419" s="2" t="str">
        <x:v>담당기관 확인</x:v>
      </x:c>
      <x:c r="X1419" s="2" t="str">
        <x:v>원본·배정 기록 확인</x:v>
      </x:c>
      <x:c r="Y1419" s="2" t="str">
        <x:v>ad210cd9ec132cfd447541c8984dc53d30aff0f4fb2dc92d254d49275cc55976</x:v>
      </x:c>
      <x:c r="Z1419" s="2" t="n">
        <x:f>SUBTOTAL(103,A1419)</x:f>
        <x:v>1</x:v>
      </x:c>
      <x:c r="AA1419" s="2" t="str">
        <x:f>IF(K1419&lt;&gt;"미종결 표시","대상 아님",IF(N1419="","신청일 확인",IF(NOT(ISNUMBER('종합 현황'!$H$5)),"관찰기준 확인",IF('종합 현황'!$H$5&lt;1,"관찰기준 확인",IF(N1419&gt;'종합 현황'!$H$5,"내부 관찰 대상","내부 관찰일 이하")))))</x:f>
        <x:v>대상 아님</x:v>
      </x:c>
      <x:c r="AB1419" s="2" t="str">
        <x:v>2020-03-01 23:03:14 - 신규신청 - 신청 
2020-03-01 23:03:14 - 관장기관 지정 - 환경부
2020-03-09 15:07:32 - 관장기관 지정 - 산업통상자원부
2020-03-18 17:01:55 - 신규신청 - 문서재제출요청 
2020-03-20 01:01:47 - 재제출신청 - 신청 
2020-07-31 14:55:34 - 재제출신청 - 평가승인 
2020-07-31 14:55:54 - 재제출신청 - 심의승인 
2020-08-03 13:02:05 - 재제출신청 - 착수신고 
2021-11-26 12:18:02 - 사업변경 신청 - 신청 
2021-12-15 16:32:33 - 사업변경 신청 - 평가반려 
</x:v>
      </x:c>
    </x:row>
    <x:row r="1420" ht="42" customHeight="1">
      <x:c r="A1420" s="2" t="str">
        <x:v>7bbd6ff03a6962d96c9c2ebf</x:v>
      </x:c>
      <x:c r="B1420" s="2" t="str">
        <x:v>사업 평가</x:v>
      </x:c>
      <x:c r="C1420" s="2" t="str">
        <x:v>국외</x:v>
      </x:c>
      <x:c r="D1420" s="7" t="str">
        <x:v>안전한 식수 공급을 위한 정수기 보급 사업 : CPA 62(한국 지원)</x:v>
      </x:c>
      <x:c r="E1420" s="2" t="str">
        <x:v>42</x:v>
      </x:c>
      <x:c r="F1420" s="2" t="str">
        <x:v>2020-03</x:v>
      </x:c>
      <x:c r="G1420" s="2" t="str">
        <x:v>2020</x:v>
      </x:c>
      <x:c r="H1420" s="2" t="str">
        <x:v>03</x:v>
      </x:c>
      <x:c r="I1420" s="2" t="str">
        <x:v>반려</x:v>
      </x:c>
      <x:c r="J1420" s="2" t="str">
        <x:v>반려</x:v>
      </x:c>
      <x:c r="K1420" s="2" t="str">
        <x:f>IF(OR(J1420="심의승인",J1420="반려",J1420="반려완료",J1420="심의완료"),"종결 표시",IF(OR(J1420="기후부협의",J1420="문서재제출요청",J1420="보류",J1420="보완요청",J1420="보완완료",J1420="평가중",J1420="반려요청",J1420="평가필요",LEFT(J1420,5)="보완요청("),"미종결 표시","상태 확인 필요"))</x:f>
        <x:v>종결 표시</x:v>
      </x:c>
      <x:c r="L1420" s="2"/>
      <x:c r="M1420" s="2"/>
      <x:c r="N1420" s="8"/>
      <x:c r="O1420" s="2"/>
      <x:c r="P1420" s="2" t="str">
        <x:v>사업변경신청 반려</x:v>
      </x:c>
      <x:c r="Q1420" s="2" t="str">
        <x:v>산업전환_외부사업관리Tool_260707_이너젠 수정_LJY_261013.xlsx</x:v>
      </x:c>
      <x:c r="R1420" s="2" t="str">
        <x:v>국외평가</x:v>
      </x:c>
      <x:c r="S1420" s="8" t="n">
        <x:v>44</x:v>
      </x:c>
      <x:c r="T1420" s="2"/>
      <x:c r="U1420" s="2" t="str"/>
      <x:c r="V1420" s="2" t="str">
        <x:v>2021-12-15</x:v>
      </x:c>
      <x:c r="W1420" s="2" t="str">
        <x:v>담당기관 확인</x:v>
      </x:c>
      <x:c r="X1420" s="2" t="str">
        <x:v>원본·배정 기록 확인</x:v>
      </x:c>
      <x:c r="Y1420" s="2" t="str">
        <x:v>ad210cd9ec132cfd447541c8984dc53d30aff0f4fb2dc92d254d49275cc55976</x:v>
      </x:c>
      <x:c r="Z1420" s="2" t="n">
        <x:f>SUBTOTAL(103,A1420)</x:f>
        <x:v>1</x:v>
      </x:c>
      <x:c r="AA1420" s="2" t="str">
        <x:f>IF(K1420&lt;&gt;"미종결 표시","대상 아님",IF(N1420="","신청일 확인",IF(NOT(ISNUMBER('종합 현황'!$H$5)),"관찰기준 확인",IF('종합 현황'!$H$5&lt;1,"관찰기준 확인",IF(N1420&gt;'종합 현황'!$H$5,"내부 관찰 대상","내부 관찰일 이하")))))</x:f>
        <x:v>대상 아님</x:v>
      </x:c>
      <x:c r="AB1420" s="2" t="str">
        <x:v>2020-03-01 23:03:44 - 신규신청 - 신청 
2020-03-01 23:03:44 - 관장기관 지정 - 환경부
2020-03-09 15:07:23 - 관장기관 지정 - 산업통상자원부
2020-03-18 17:01:38 - 신규신청 - 문서재제출요청 
2020-03-20 01:21:31 - 재제출신청 - 신청 
2020-07-31 14:56:19 - 재제출신청 - 평가승인 
2020-07-31 14:56:37 - 재제출신청 - 심의승인 
2020-08-03 13:03:05 - 재제출신청 - 착수신고 
2021-11-26 12:18:10 - 사업변경 신청 - 신청 
2021-12-15 16:32:12 - 사업변경 신청 - 평가반려 
</x:v>
      </x:c>
    </x:row>
    <x:row r="1421" ht="42" customHeight="1">
      <x:c r="A1421" s="2" t="str">
        <x:v>b4ee7f1e41d4abcc9fa90908</x:v>
      </x:c>
      <x:c r="B1421" s="2" t="str">
        <x:v>사업 평가</x:v>
      </x:c>
      <x:c r="C1421" s="2" t="str">
        <x:v>국외</x:v>
      </x:c>
      <x:c r="D1421" s="7" t="str">
        <x:v>안전한 식수 공급을 위한 정수기 보급 사업 : CPA 63(한국 지원)</x:v>
      </x:c>
      <x:c r="E1421" s="2" t="str">
        <x:v>43</x:v>
      </x:c>
      <x:c r="F1421" s="2" t="str">
        <x:v>2020-03</x:v>
      </x:c>
      <x:c r="G1421" s="2" t="str">
        <x:v>2020</x:v>
      </x:c>
      <x:c r="H1421" s="2" t="str">
        <x:v>03</x:v>
      </x:c>
      <x:c r="I1421" s="2" t="str">
        <x:v>반려</x:v>
      </x:c>
      <x:c r="J1421" s="2" t="str">
        <x:v>반려</x:v>
      </x:c>
      <x:c r="K1421" s="2" t="str">
        <x:f>IF(OR(J1421="심의승인",J1421="반려",J1421="반려완료",J1421="심의완료"),"종결 표시",IF(OR(J1421="기후부협의",J1421="문서재제출요청",J1421="보류",J1421="보완요청",J1421="보완완료",J1421="평가중",J1421="반려요청",J1421="평가필요",LEFT(J1421,5)="보완요청("),"미종결 표시","상태 확인 필요"))</x:f>
        <x:v>종결 표시</x:v>
      </x:c>
      <x:c r="L1421" s="2"/>
      <x:c r="M1421" s="2"/>
      <x:c r="N1421" s="8"/>
      <x:c r="O1421" s="2"/>
      <x:c r="P1421" s="2" t="str">
        <x:v>사업변경신청 반려</x:v>
      </x:c>
      <x:c r="Q1421" s="2" t="str">
        <x:v>산업전환_외부사업관리Tool_260707_이너젠 수정_LJY_261013.xlsx</x:v>
      </x:c>
      <x:c r="R1421" s="2" t="str">
        <x:v>국외평가</x:v>
      </x:c>
      <x:c r="S1421" s="8" t="n">
        <x:v>45</x:v>
      </x:c>
      <x:c r="T1421" s="2"/>
      <x:c r="U1421" s="2" t="str"/>
      <x:c r="V1421" s="2" t="str">
        <x:v>2021-12-15</x:v>
      </x:c>
      <x:c r="W1421" s="2" t="str">
        <x:v>담당기관 확인</x:v>
      </x:c>
      <x:c r="X1421" s="2" t="str">
        <x:v>원본·배정 기록 확인</x:v>
      </x:c>
      <x:c r="Y1421" s="2" t="str">
        <x:v>ad210cd9ec132cfd447541c8984dc53d30aff0f4fb2dc92d254d49275cc55976</x:v>
      </x:c>
      <x:c r="Z1421" s="2" t="n">
        <x:f>SUBTOTAL(103,A1421)</x:f>
        <x:v>1</x:v>
      </x:c>
      <x:c r="AA1421" s="2" t="str">
        <x:f>IF(K1421&lt;&gt;"미종결 표시","대상 아님",IF(N1421="","신청일 확인",IF(NOT(ISNUMBER('종합 현황'!$H$5)),"관찰기준 확인",IF('종합 현황'!$H$5&lt;1,"관찰기준 확인",IF(N1421&gt;'종합 현황'!$H$5,"내부 관찰 대상","내부 관찰일 이하")))))</x:f>
        <x:v>대상 아님</x:v>
      </x:c>
      <x:c r="AB1421" s="2" t="str">
        <x:v>2020-03-01 23:04:29 - 신규신청 - 신청 
2020-03-01 23:04:29 - 관장기관 지정 - 환경부
2020-03-09 15:07:17 - 관장기관 지정 - 산업통상자원부
2020-03-18 17:01:22 - 신규신청 - 문서재제출요청 
2020-03-20 01:23:36 - 재제출신청 - 신청 
2020-07-31 14:57:38 - 재제출신청 - 평가승인 
2020-07-31 14:57:55 - 재제출신청 - 심의승인 
2020-08-03 13:04:11 - 재제출신청 - 착수신고 
2021-11-26 12:18:18 - 사업변경 신청 - 신청 
2021-12-15 16:31:18 - 사업변경 신청 - 평가반려 
</x:v>
      </x:c>
    </x:row>
    <x:row r="1422" ht="42" customHeight="1">
      <x:c r="A1422" s="2" t="str">
        <x:v>490844980894c59e4ed54e9a</x:v>
      </x:c>
      <x:c r="B1422" s="2" t="str">
        <x:v>사업 평가</x:v>
      </x:c>
      <x:c r="C1422" s="2" t="str">
        <x:v>국외</x:v>
      </x:c>
      <x:c r="D1422" s="7" t="str">
        <x:v>안전한 식수 공급을 위한 정수기 보급 사업 : CPA 64(한국 지원)</x:v>
      </x:c>
      <x:c r="E1422" s="2" t="str">
        <x:v>44</x:v>
      </x:c>
      <x:c r="F1422" s="2" t="str">
        <x:v>2020-03</x:v>
      </x:c>
      <x:c r="G1422" s="2" t="str">
        <x:v>2020</x:v>
      </x:c>
      <x:c r="H1422" s="2" t="str">
        <x:v>03</x:v>
      </x:c>
      <x:c r="I1422" s="2" t="str">
        <x:v>반려</x:v>
      </x:c>
      <x:c r="J1422" s="2" t="str">
        <x:v>반려</x:v>
      </x:c>
      <x:c r="K1422" s="2" t="str">
        <x:f>IF(OR(J1422="심의승인",J1422="반려",J1422="반려완료",J1422="심의완료"),"종결 표시",IF(OR(J1422="기후부협의",J1422="문서재제출요청",J1422="보류",J1422="보완요청",J1422="보완완료",J1422="평가중",J1422="반려요청",J1422="평가필요",LEFT(J1422,5)="보완요청("),"미종결 표시","상태 확인 필요"))</x:f>
        <x:v>종결 표시</x:v>
      </x:c>
      <x:c r="L1422" s="2"/>
      <x:c r="M1422" s="2"/>
      <x:c r="N1422" s="8"/>
      <x:c r="O1422" s="2"/>
      <x:c r="P1422" s="2" t="str">
        <x:v>사업변경신청 반려</x:v>
      </x:c>
      <x:c r="Q1422" s="2" t="str">
        <x:v>산업전환_외부사업관리Tool_260707_이너젠 수정_LJY_261013.xlsx</x:v>
      </x:c>
      <x:c r="R1422" s="2" t="str">
        <x:v>국외평가</x:v>
      </x:c>
      <x:c r="S1422" s="8" t="n">
        <x:v>46</x:v>
      </x:c>
      <x:c r="T1422" s="2"/>
      <x:c r="U1422" s="2" t="str"/>
      <x:c r="V1422" s="2" t="str">
        <x:v>2021-12-15</x:v>
      </x:c>
      <x:c r="W1422" s="2" t="str">
        <x:v>담당기관 확인</x:v>
      </x:c>
      <x:c r="X1422" s="2" t="str">
        <x:v>원본·배정 기록 확인</x:v>
      </x:c>
      <x:c r="Y1422" s="2" t="str">
        <x:v>ad210cd9ec132cfd447541c8984dc53d30aff0f4fb2dc92d254d49275cc55976</x:v>
      </x:c>
      <x:c r="Z1422" s="2" t="n">
        <x:f>SUBTOTAL(103,A1422)</x:f>
        <x:v>1</x:v>
      </x:c>
      <x:c r="AA1422" s="2" t="str">
        <x:f>IF(K1422&lt;&gt;"미종결 표시","대상 아님",IF(N1422="","신청일 확인",IF(NOT(ISNUMBER('종합 현황'!$H$5)),"관찰기준 확인",IF('종합 현황'!$H$5&lt;1,"관찰기준 확인",IF(N1422&gt;'종합 현황'!$H$5,"내부 관찰 대상","내부 관찰일 이하")))))</x:f>
        <x:v>대상 아님</x:v>
      </x:c>
      <x:c r="AB1422" s="2" t="str">
        <x:v>2020-03-01 23:04:59 - 신규신청 - 신청 
2020-03-01 23:04:59 - 관장기관 지정 - 환경부
2020-03-09 15:07:11 - 관장기관 지정 - 산업통상자원부
2020-03-18 17:01:05 - 신규신청 - 문서재제출요청 
2020-03-20 01:02:10 - 재제출신청 - 신청 
2020-07-31 14:58:22 - 재제출신청 - 평가승인 
2020-07-31 14:58:47 - 재제출신청 - 심의승인 
2020-08-03 13:05:12 - 재제출신청 - 착수신고 
2021-11-26 12:18:33 - 사업변경 신청 - 신청 
2021-12-15 16:31:02 - 사업변경 신청 - 평가반려 
</x:v>
      </x:c>
    </x:row>
    <x:row r="1423" ht="42" customHeight="1">
      <x:c r="A1423" s="2" t="str">
        <x:v>43b8ab84bda67a7ff6e107d9</x:v>
      </x:c>
      <x:c r="B1423" s="2" t="str">
        <x:v>사업 평가</x:v>
      </x:c>
      <x:c r="C1423" s="2" t="str">
        <x:v>국외</x:v>
      </x:c>
      <x:c r="D1423" s="7" t="str">
        <x:v>안전한 식수 공급을 위한 정수기 보급 사업 : CPA 65(한국 지원)</x:v>
      </x:c>
      <x:c r="E1423" s="2" t="str">
        <x:v>45</x:v>
      </x:c>
      <x:c r="F1423" s="2" t="str">
        <x:v>2020-03</x:v>
      </x:c>
      <x:c r="G1423" s="2" t="str">
        <x:v>2020</x:v>
      </x:c>
      <x:c r="H1423" s="2" t="str">
        <x:v>03</x:v>
      </x:c>
      <x:c r="I1423" s="2" t="str">
        <x:v>반려</x:v>
      </x:c>
      <x:c r="J1423" s="2" t="str">
        <x:v>반려</x:v>
      </x:c>
      <x:c r="K1423" s="2" t="str">
        <x:f>IF(OR(J1423="심의승인",J1423="반려",J1423="반려완료",J1423="심의완료"),"종결 표시",IF(OR(J1423="기후부협의",J1423="문서재제출요청",J1423="보류",J1423="보완요청",J1423="보완완료",J1423="평가중",J1423="반려요청",J1423="평가필요",LEFT(J1423,5)="보완요청("),"미종결 표시","상태 확인 필요"))</x:f>
        <x:v>종결 표시</x:v>
      </x:c>
      <x:c r="L1423" s="2"/>
      <x:c r="M1423" s="2"/>
      <x:c r="N1423" s="8"/>
      <x:c r="O1423" s="2"/>
      <x:c r="P1423" s="2" t="str">
        <x:v>사업변경신청 반려</x:v>
      </x:c>
      <x:c r="Q1423" s="2" t="str">
        <x:v>산업전환_외부사업관리Tool_260707_이너젠 수정_LJY_261013.xlsx</x:v>
      </x:c>
      <x:c r="R1423" s="2" t="str">
        <x:v>국외평가</x:v>
      </x:c>
      <x:c r="S1423" s="8" t="n">
        <x:v>47</x:v>
      </x:c>
      <x:c r="T1423" s="2"/>
      <x:c r="U1423" s="2" t="str"/>
      <x:c r="V1423" s="2" t="str">
        <x:v>2021-12-15</x:v>
      </x:c>
      <x:c r="W1423" s="2" t="str">
        <x:v>담당기관 확인</x:v>
      </x:c>
      <x:c r="X1423" s="2" t="str">
        <x:v>원본·배정 기록 확인</x:v>
      </x:c>
      <x:c r="Y1423" s="2" t="str">
        <x:v>ad210cd9ec132cfd447541c8984dc53d30aff0f4fb2dc92d254d49275cc55976</x:v>
      </x:c>
      <x:c r="Z1423" s="2" t="n">
        <x:f>SUBTOTAL(103,A1423)</x:f>
        <x:v>1</x:v>
      </x:c>
      <x:c r="AA1423" s="2" t="str">
        <x:f>IF(K1423&lt;&gt;"미종결 표시","대상 아님",IF(N1423="","신청일 확인",IF(NOT(ISNUMBER('종합 현황'!$H$5)),"관찰기준 확인",IF('종합 현황'!$H$5&lt;1,"관찰기준 확인",IF(N1423&gt;'종합 현황'!$H$5,"내부 관찰 대상","내부 관찰일 이하")))))</x:f>
        <x:v>대상 아님</x:v>
      </x:c>
      <x:c r="AB1423" s="2" t="str">
        <x:v>2020-03-01 23:05:26 - 관장기관 지정 - 환경부
2020-03-01 23:05:27 - 신규신청 - 신청 
2020-03-09 15:07:05 - 관장기관 지정 - 산업통상자원부
2020-03-18 17:00:49 - 신규신청 - 문서재제출요청 
2020-03-20 01:02:27 - 재제출신청 - 신청 
2020-07-31 14:59:15 - 재제출신청 - 평가승인 
2020-07-31 14:59:31 - 재제출신청 - 심의승인 
2020-08-03 13:08:45 - 재제출신청 - 착수신고 
2021-11-26 12:18:40 - 사업변경 신청 - 신청 
2021-12-15 16:30:51 - 사업변경 신청 - 평가반려 
</x:v>
      </x:c>
    </x:row>
    <x:row r="1424" ht="42" customHeight="1">
      <x:c r="A1424" s="2" t="str">
        <x:v>1760c5c8ac4a8dea66f571af</x:v>
      </x:c>
      <x:c r="B1424" s="2" t="str">
        <x:v>사업 평가</x:v>
      </x:c>
      <x:c r="C1424" s="2" t="str">
        <x:v>국외</x:v>
      </x:c>
      <x:c r="D1424" s="7" t="str">
        <x:v>안전한 식수 공급을 위한 정수기 보급 사업 : CPA 66(한국 지원)</x:v>
      </x:c>
      <x:c r="E1424" s="2" t="str">
        <x:v>46</x:v>
      </x:c>
      <x:c r="F1424" s="2" t="str">
        <x:v>2020-03</x:v>
      </x:c>
      <x:c r="G1424" s="2" t="str">
        <x:v>2020</x:v>
      </x:c>
      <x:c r="H1424" s="2" t="str">
        <x:v>03</x:v>
      </x:c>
      <x:c r="I1424" s="2" t="str">
        <x:v>반려</x:v>
      </x:c>
      <x:c r="J1424" s="2" t="str">
        <x:v>반려</x:v>
      </x:c>
      <x:c r="K1424" s="2" t="str">
        <x:f>IF(OR(J1424="심의승인",J1424="반려",J1424="반려완료",J1424="심의완료"),"종결 표시",IF(OR(J1424="기후부협의",J1424="문서재제출요청",J1424="보류",J1424="보완요청",J1424="보완완료",J1424="평가중",J1424="반려요청",J1424="평가필요",LEFT(J1424,5)="보완요청("),"미종결 표시","상태 확인 필요"))</x:f>
        <x:v>종결 표시</x:v>
      </x:c>
      <x:c r="L1424" s="2"/>
      <x:c r="M1424" s="2"/>
      <x:c r="N1424" s="8"/>
      <x:c r="O1424" s="2"/>
      <x:c r="P1424" s="2" t="str">
        <x:v>사업변경신청 반려</x:v>
      </x:c>
      <x:c r="Q1424" s="2" t="str">
        <x:v>산업전환_외부사업관리Tool_260707_이너젠 수정_LJY_261013.xlsx</x:v>
      </x:c>
      <x:c r="R1424" s="2" t="str">
        <x:v>국외평가</x:v>
      </x:c>
      <x:c r="S1424" s="8" t="n">
        <x:v>48</x:v>
      </x:c>
      <x:c r="T1424" s="2"/>
      <x:c r="U1424" s="2" t="str"/>
      <x:c r="V1424" s="2" t="str">
        <x:v>2021-12-15</x:v>
      </x:c>
      <x:c r="W1424" s="2" t="str">
        <x:v>담당기관 확인</x:v>
      </x:c>
      <x:c r="X1424" s="2" t="str">
        <x:v>원본·배정 기록 확인</x:v>
      </x:c>
      <x:c r="Y1424" s="2" t="str">
        <x:v>ad210cd9ec132cfd447541c8984dc53d30aff0f4fb2dc92d254d49275cc55976</x:v>
      </x:c>
      <x:c r="Z1424" s="2" t="n">
        <x:f>SUBTOTAL(103,A1424)</x:f>
        <x:v>1</x:v>
      </x:c>
      <x:c r="AA1424" s="2" t="str">
        <x:f>IF(K1424&lt;&gt;"미종결 표시","대상 아님",IF(N1424="","신청일 확인",IF(NOT(ISNUMBER('종합 현황'!$H$5)),"관찰기준 확인",IF('종합 현황'!$H$5&lt;1,"관찰기준 확인",IF(N1424&gt;'종합 현황'!$H$5,"내부 관찰 대상","내부 관찰일 이하")))))</x:f>
        <x:v>대상 아님</x:v>
      </x:c>
      <x:c r="AB1424" s="2" t="str">
        <x:v>2020-03-01 23:05:54 - 신규신청 - 신청 
2020-03-01 23:05:54 - 관장기관 지정 - 환경부
2020-03-09 15:06:57 - 관장기관 지정 - 산업통상자원부
2020-03-18 17:00:29 - 신규신청 - 문서재제출요청 
2020-03-20 01:02:48 - 재제출신청 - 신청 
2020-07-31 14:59:53 - 재제출신청 - 평가승인 
2020-07-31 15:00:39 - 재제출신청 - 심의승인 
2020-08-03 13:10:13 - 재제출신청 - 착수신고 
2021-11-26 12:18:48 - 사업변경 신청 - 신청 
2021-12-15 16:30:40 - 사업변경 신청 - 평가반려 
</x:v>
      </x:c>
    </x:row>
    <x:row r="1425" ht="42" customHeight="1">
      <x:c r="A1425" s="2" t="str">
        <x:v>a45fc5c95cc570ab82ad1aa0</x:v>
      </x:c>
      <x:c r="B1425" s="2" t="str">
        <x:v>사업 평가</x:v>
      </x:c>
      <x:c r="C1425" s="2" t="str">
        <x:v>국외</x:v>
      </x:c>
      <x:c r="D1425" s="7" t="str">
        <x:v>안전한 식수 공급을 위한 정수기 보급 사업 : CPA 67(한국 지원)</x:v>
      </x:c>
      <x:c r="E1425" s="2" t="str">
        <x:v>47</x:v>
      </x:c>
      <x:c r="F1425" s="2" t="str">
        <x:v>2020-03</x:v>
      </x:c>
      <x:c r="G1425" s="2" t="str">
        <x:v>2020</x:v>
      </x:c>
      <x:c r="H1425" s="2" t="str">
        <x:v>03</x:v>
      </x:c>
      <x:c r="I1425" s="2" t="str">
        <x:v>반려</x:v>
      </x:c>
      <x:c r="J1425" s="2" t="str">
        <x:v>반려</x:v>
      </x:c>
      <x:c r="K1425" s="2" t="str">
        <x:f>IF(OR(J1425="심의승인",J1425="반려",J1425="반려완료",J1425="심의완료"),"종결 표시",IF(OR(J1425="기후부협의",J1425="문서재제출요청",J1425="보류",J1425="보완요청",J1425="보완완료",J1425="평가중",J1425="반려요청",J1425="평가필요",LEFT(J1425,5)="보완요청("),"미종결 표시","상태 확인 필요"))</x:f>
        <x:v>종결 표시</x:v>
      </x:c>
      <x:c r="L1425" s="2"/>
      <x:c r="M1425" s="2"/>
      <x:c r="N1425" s="8"/>
      <x:c r="O1425" s="2"/>
      <x:c r="P1425" s="2" t="str">
        <x:v>사업변경신청 반려</x:v>
      </x:c>
      <x:c r="Q1425" s="2" t="str">
        <x:v>산업전환_외부사업관리Tool_260707_이너젠 수정_LJY_261013.xlsx</x:v>
      </x:c>
      <x:c r="R1425" s="2" t="str">
        <x:v>국외평가</x:v>
      </x:c>
      <x:c r="S1425" s="8" t="n">
        <x:v>49</x:v>
      </x:c>
      <x:c r="T1425" s="2"/>
      <x:c r="U1425" s="2" t="str"/>
      <x:c r="V1425" s="2" t="str">
        <x:v>2021-12-15</x:v>
      </x:c>
      <x:c r="W1425" s="2" t="str">
        <x:v>담당기관 확인</x:v>
      </x:c>
      <x:c r="X1425" s="2" t="str">
        <x:v>원본·배정 기록 확인</x:v>
      </x:c>
      <x:c r="Y1425" s="2" t="str">
        <x:v>ad210cd9ec132cfd447541c8984dc53d30aff0f4fb2dc92d254d49275cc55976</x:v>
      </x:c>
      <x:c r="Z1425" s="2" t="n">
        <x:f>SUBTOTAL(103,A1425)</x:f>
        <x:v>1</x:v>
      </x:c>
      <x:c r="AA1425" s="2" t="str">
        <x:f>IF(K1425&lt;&gt;"미종결 표시","대상 아님",IF(N1425="","신청일 확인",IF(NOT(ISNUMBER('종합 현황'!$H$5)),"관찰기준 확인",IF('종합 현황'!$H$5&lt;1,"관찰기준 확인",IF(N1425&gt;'종합 현황'!$H$5,"내부 관찰 대상","내부 관찰일 이하")))))</x:f>
        <x:v>대상 아님</x:v>
      </x:c>
      <x:c r="AB1425" s="2" t="str">
        <x:v>2020-03-01 23:06:24 - 신규신청 - 신청 
2020-03-01 23:06:24 - 관장기관 지정 - 환경부
2020-03-09 15:06:51 - 관장기관 지정 - 산업통상자원부
2020-03-18 10:57:04 - 신규신청 - 문서재제출요청 
2020-03-20 01:03:11 - 재제출신청 - 신청 
2020-07-31 15:01:05 - 재제출신청 - 평가승인 
2020-07-31 15:01:23 - 재제출신청 - 심의승인 
2020-08-03 13:28:57 - 재제출신청 - 착수신고 
2021-11-26 12:18:56 - 사업변경 신청 - 신청 
2021-12-15 16:30:24 - 사업변경 신청 - 평가반려 
</x:v>
      </x:c>
    </x:row>
    <x:row r="1426" ht="42" customHeight="1">
      <x:c r="A1426" s="2" t="str">
        <x:v>972209f4d3e850f1dca4f671</x:v>
      </x:c>
      <x:c r="B1426" s="2" t="str">
        <x:v>사업 평가</x:v>
      </x:c>
      <x:c r="C1426" s="2" t="str">
        <x:v>국외</x:v>
      </x:c>
      <x:c r="D1426" s="7" t="str">
        <x:v>안전한 식수 공급을 위한 정수기 보급 사업 : CPA 68(한국 지원)</x:v>
      </x:c>
      <x:c r="E1426" s="2" t="str">
        <x:v>48</x:v>
      </x:c>
      <x:c r="F1426" s="2" t="str">
        <x:v>2020-03</x:v>
      </x:c>
      <x:c r="G1426" s="2" t="str">
        <x:v>2020</x:v>
      </x:c>
      <x:c r="H1426" s="2" t="str">
        <x:v>03</x:v>
      </x:c>
      <x:c r="I1426" s="2" t="str">
        <x:v>반려</x:v>
      </x:c>
      <x:c r="J1426" s="2" t="str">
        <x:v>반려</x:v>
      </x:c>
      <x:c r="K1426" s="2" t="str">
        <x:f>IF(OR(J1426="심의승인",J1426="반려",J1426="반려완료",J1426="심의완료"),"종결 표시",IF(OR(J1426="기후부협의",J1426="문서재제출요청",J1426="보류",J1426="보완요청",J1426="보완완료",J1426="평가중",J1426="반려요청",J1426="평가필요",LEFT(J1426,5)="보완요청("),"미종결 표시","상태 확인 필요"))</x:f>
        <x:v>종결 표시</x:v>
      </x:c>
      <x:c r="L1426" s="2"/>
      <x:c r="M1426" s="2"/>
      <x:c r="N1426" s="8"/>
      <x:c r="O1426" s="2"/>
      <x:c r="P1426" s="2" t="str">
        <x:v>사업변경신청 반려</x:v>
      </x:c>
      <x:c r="Q1426" s="2" t="str">
        <x:v>산업전환_외부사업관리Tool_260707_이너젠 수정_LJY_261013.xlsx</x:v>
      </x:c>
      <x:c r="R1426" s="2" t="str">
        <x:v>국외평가</x:v>
      </x:c>
      <x:c r="S1426" s="8" t="n">
        <x:v>50</x:v>
      </x:c>
      <x:c r="T1426" s="2"/>
      <x:c r="U1426" s="2" t="str"/>
      <x:c r="V1426" s="2" t="str">
        <x:v>2021-12-15</x:v>
      </x:c>
      <x:c r="W1426" s="2" t="str">
        <x:v>담당기관 확인</x:v>
      </x:c>
      <x:c r="X1426" s="2" t="str">
        <x:v>원본·배정 기록 확인</x:v>
      </x:c>
      <x:c r="Y1426" s="2" t="str">
        <x:v>ad210cd9ec132cfd447541c8984dc53d30aff0f4fb2dc92d254d49275cc55976</x:v>
      </x:c>
      <x:c r="Z1426" s="2" t="n">
        <x:f>SUBTOTAL(103,A1426)</x:f>
        <x:v>1</x:v>
      </x:c>
      <x:c r="AA1426" s="2" t="str">
        <x:f>IF(K1426&lt;&gt;"미종결 표시","대상 아님",IF(N1426="","신청일 확인",IF(NOT(ISNUMBER('종합 현황'!$H$5)),"관찰기준 확인",IF('종합 현황'!$H$5&lt;1,"관찰기준 확인",IF(N1426&gt;'종합 현황'!$H$5,"내부 관찰 대상","내부 관찰일 이하")))))</x:f>
        <x:v>대상 아님</x:v>
      </x:c>
      <x:c r="AB1426" s="2" t="str">
        <x:v>2020-03-01 23:06:51 - 신규신청 - 신청 
2020-03-01 23:06:51 - 관장기관 지정 - 환경부
2020-03-09 15:06:44 - 관장기관 지정 - 산업통상자원부
2020-03-18 17:00:11 - 신규신청 - 문서재제출요청 
2020-03-20 01:03:31 - 재제출신청 - 신청 
2020-07-31 15:01:46 - 재제출신청 - 평가승인 
2020-07-31 15:02:09 - 재제출신청 - 심의승인 
2020-08-03 13:29:17 - 재제출신청 - 착수신고 
2021-11-26 12:19:04 - 사업변경 신청 - 신청 
2021-12-15 16:30:11 - 사업변경 신청 - 평가반려 
</x:v>
      </x:c>
    </x:row>
    <x:row r="1427" ht="42" customHeight="1">
      <x:c r="A1427" s="2" t="str">
        <x:v>136f6e23979f1c0cef364898</x:v>
      </x:c>
      <x:c r="B1427" s="2" t="str">
        <x:v>사업 평가</x:v>
      </x:c>
      <x:c r="C1427" s="2" t="str">
        <x:v>국외</x:v>
      </x:c>
      <x:c r="D1427" s="7" t="str">
        <x:v>안전한 식수 공급을 위한 정수기 보급 사업 : CPA 69(한국 지원)</x:v>
      </x:c>
      <x:c r="E1427" s="2" t="str">
        <x:v>49</x:v>
      </x:c>
      <x:c r="F1427" s="2" t="str">
        <x:v>2020-03</x:v>
      </x:c>
      <x:c r="G1427" s="2" t="str">
        <x:v>2020</x:v>
      </x:c>
      <x:c r="H1427" s="2" t="str">
        <x:v>03</x:v>
      </x:c>
      <x:c r="I1427" s="2" t="str">
        <x:v>반려</x:v>
      </x:c>
      <x:c r="J1427" s="2" t="str">
        <x:v>반려</x:v>
      </x:c>
      <x:c r="K1427" s="2" t="str">
        <x:f>IF(OR(J1427="심의승인",J1427="반려",J1427="반려완료",J1427="심의완료"),"종결 표시",IF(OR(J1427="기후부협의",J1427="문서재제출요청",J1427="보류",J1427="보완요청",J1427="보완완료",J1427="평가중",J1427="반려요청",J1427="평가필요",LEFT(J1427,5)="보완요청("),"미종결 표시","상태 확인 필요"))</x:f>
        <x:v>종결 표시</x:v>
      </x:c>
      <x:c r="L1427" s="2"/>
      <x:c r="M1427" s="2"/>
      <x:c r="N1427" s="8"/>
      <x:c r="O1427" s="2"/>
      <x:c r="P1427" s="2" t="str">
        <x:v>사업변경신청 반려</x:v>
      </x:c>
      <x:c r="Q1427" s="2" t="str">
        <x:v>산업전환_외부사업관리Tool_260707_이너젠 수정_LJY_261013.xlsx</x:v>
      </x:c>
      <x:c r="R1427" s="2" t="str">
        <x:v>국외평가</x:v>
      </x:c>
      <x:c r="S1427" s="8" t="n">
        <x:v>51</x:v>
      </x:c>
      <x:c r="T1427" s="2"/>
      <x:c r="U1427" s="2" t="str"/>
      <x:c r="V1427" s="2" t="str">
        <x:v>2021-12-15</x:v>
      </x:c>
      <x:c r="W1427" s="2" t="str">
        <x:v>담당기관 확인</x:v>
      </x:c>
      <x:c r="X1427" s="2" t="str">
        <x:v>원본·배정 기록 확인</x:v>
      </x:c>
      <x:c r="Y1427" s="2" t="str">
        <x:v>ad210cd9ec132cfd447541c8984dc53d30aff0f4fb2dc92d254d49275cc55976</x:v>
      </x:c>
      <x:c r="Z1427" s="2" t="n">
        <x:f>SUBTOTAL(103,A1427)</x:f>
        <x:v>1</x:v>
      </x:c>
      <x:c r="AA1427" s="2" t="str">
        <x:f>IF(K1427&lt;&gt;"미종결 표시","대상 아님",IF(N1427="","신청일 확인",IF(NOT(ISNUMBER('종합 현황'!$H$5)),"관찰기준 확인",IF('종합 현황'!$H$5&lt;1,"관찰기준 확인",IF(N1427&gt;'종합 현황'!$H$5,"내부 관찰 대상","내부 관찰일 이하")))))</x:f>
        <x:v>대상 아님</x:v>
      </x:c>
      <x:c r="AB1427" s="2" t="str">
        <x:v>2020-03-01 23:07:15 - 신규신청 - 신청 
2020-03-01 23:07:15 - 관장기관 지정 - 환경부
2020-03-09 15:06:37 - 관장기관 지정 - 산업통상자원부
2020-03-18 16:59:53 - 신규신청 - 문서재제출요청 
2020-03-20 01:03:56 - 재제출신청 - 신청 
2020-07-31 15:02:34 - 재제출신청 - 평가승인 
2020-07-31 15:02:48 - 재제출신청 - 심의승인 
2020-08-03 13:29:37 - 재제출신청 - 착수신고 
2021-11-26 12:19:12 - 사업변경 신청 - 신청 
2021-12-15 16:29:50 - 사업변경 신청 - 평가반려 
</x:v>
      </x:c>
    </x:row>
    <x:row r="1428" ht="42" customHeight="1">
      <x:c r="A1428" s="2" t="str">
        <x:v>45008febb4fa3652c947fffb</x:v>
      </x:c>
      <x:c r="B1428" s="2" t="str">
        <x:v>사업 평가</x:v>
      </x:c>
      <x:c r="C1428" s="2" t="str">
        <x:v>국외</x:v>
      </x:c>
      <x:c r="D1428" s="7" t="str">
        <x:v>안전한 식수 공급을 위한 정수기 보급 사업 : CPA 70(한국 지원)</x:v>
      </x:c>
      <x:c r="E1428" s="2" t="str">
        <x:v>50</x:v>
      </x:c>
      <x:c r="F1428" s="2" t="str">
        <x:v>2020-03</x:v>
      </x:c>
      <x:c r="G1428" s="2" t="str">
        <x:v>2020</x:v>
      </x:c>
      <x:c r="H1428" s="2" t="str">
        <x:v>03</x:v>
      </x:c>
      <x:c r="I1428" s="2" t="str">
        <x:v>반려</x:v>
      </x:c>
      <x:c r="J1428" s="2" t="str">
        <x:v>반려</x:v>
      </x:c>
      <x:c r="K1428" s="2" t="str">
        <x:f>IF(OR(J1428="심의승인",J1428="반려",J1428="반려완료",J1428="심의완료"),"종결 표시",IF(OR(J1428="기후부협의",J1428="문서재제출요청",J1428="보류",J1428="보완요청",J1428="보완완료",J1428="평가중",J1428="반려요청",J1428="평가필요",LEFT(J1428,5)="보완요청("),"미종결 표시","상태 확인 필요"))</x:f>
        <x:v>종결 표시</x:v>
      </x:c>
      <x:c r="L1428" s="2"/>
      <x:c r="M1428" s="2"/>
      <x:c r="N1428" s="8"/>
      <x:c r="O1428" s="2"/>
      <x:c r="P1428" s="2" t="str">
        <x:v>사업변경신청 반려</x:v>
      </x:c>
      <x:c r="Q1428" s="2" t="str">
        <x:v>산업전환_외부사업관리Tool_260707_이너젠 수정_LJY_261013.xlsx</x:v>
      </x:c>
      <x:c r="R1428" s="2" t="str">
        <x:v>국외평가</x:v>
      </x:c>
      <x:c r="S1428" s="8" t="n">
        <x:v>52</x:v>
      </x:c>
      <x:c r="T1428" s="2"/>
      <x:c r="U1428" s="2" t="str"/>
      <x:c r="V1428" s="2" t="str">
        <x:v>2021-12-15</x:v>
      </x:c>
      <x:c r="W1428" s="2" t="str">
        <x:v>담당기관 확인</x:v>
      </x:c>
      <x:c r="X1428" s="2" t="str">
        <x:v>원본·배정 기록 확인</x:v>
      </x:c>
      <x:c r="Y1428" s="2" t="str">
        <x:v>ad210cd9ec132cfd447541c8984dc53d30aff0f4fb2dc92d254d49275cc55976</x:v>
      </x:c>
      <x:c r="Z1428" s="2" t="n">
        <x:f>SUBTOTAL(103,A1428)</x:f>
        <x:v>1</x:v>
      </x:c>
      <x:c r="AA1428" s="2" t="str">
        <x:f>IF(K1428&lt;&gt;"미종결 표시","대상 아님",IF(N1428="","신청일 확인",IF(NOT(ISNUMBER('종합 현황'!$H$5)),"관찰기준 확인",IF('종합 현황'!$H$5&lt;1,"관찰기준 확인",IF(N1428&gt;'종합 현황'!$H$5,"내부 관찰 대상","내부 관찰일 이하")))))</x:f>
        <x:v>대상 아님</x:v>
      </x:c>
      <x:c r="AB1428" s="2" t="str">
        <x:v>2020-03-01 23:07:41 - 신규신청 - 신청 
2020-03-01 23:07:41 - 관장기관 지정 - 환경부
2020-03-09 15:06:31 - 관장기관 지정 - 산업통상자원부
2020-03-18 16:59:26 - 신규신청 - 문서재제출요청 
2020-03-20 01:04:17 - 재제출신청 - 신청 
2020-07-31 15:03:10 - 재제출신청 - 평가승인 
2020-07-31 15:03:28 - 재제출신청 - 심의승인 
2020-08-03 13:29:57 - 재제출신청 - 착수신고 
2021-11-26 12:19:21 - 사업변경 신청 - 신청 
2021-12-15 16:29:38 - 사업변경 신청 - 평가반려 
</x:v>
      </x:c>
    </x:row>
    <x:row r="1429" ht="42" customHeight="1">
      <x:c r="A1429" s="2" t="str">
        <x:v>01eb527495a929ad253e34a7</x:v>
      </x:c>
      <x:c r="B1429" s="2" t="str">
        <x:v>사업 평가</x:v>
      </x:c>
      <x:c r="C1429" s="2" t="str">
        <x:v>국외</x:v>
      </x:c>
      <x:c r="D1429" s="7" t="str">
        <x:v>안전한 식수 공급을 위한 정수기 보급 사업 : CPA 71(한국 지원)</x:v>
      </x:c>
      <x:c r="E1429" s="2" t="str">
        <x:v>51</x:v>
      </x:c>
      <x:c r="F1429" s="2" t="str">
        <x:v>2020-03</x:v>
      </x:c>
      <x:c r="G1429" s="2" t="str">
        <x:v>2020</x:v>
      </x:c>
      <x:c r="H1429" s="2" t="str">
        <x:v>03</x:v>
      </x:c>
      <x:c r="I1429" s="2" t="str">
        <x:v>반려</x:v>
      </x:c>
      <x:c r="J1429" s="2" t="str">
        <x:v>반려</x:v>
      </x:c>
      <x:c r="K1429" s="2" t="str">
        <x:f>IF(OR(J1429="심의승인",J1429="반려",J1429="반려완료",J1429="심의완료"),"종결 표시",IF(OR(J1429="기후부협의",J1429="문서재제출요청",J1429="보류",J1429="보완요청",J1429="보완완료",J1429="평가중",J1429="반려요청",J1429="평가필요",LEFT(J1429,5)="보완요청("),"미종결 표시","상태 확인 필요"))</x:f>
        <x:v>종결 표시</x:v>
      </x:c>
      <x:c r="L1429" s="2"/>
      <x:c r="M1429" s="2"/>
      <x:c r="N1429" s="8"/>
      <x:c r="O1429" s="2"/>
      <x:c r="P1429" s="2" t="str">
        <x:v>사업변경신청 반려</x:v>
      </x:c>
      <x:c r="Q1429" s="2" t="str">
        <x:v>산업전환_외부사업관리Tool_260707_이너젠 수정_LJY_261013.xlsx</x:v>
      </x:c>
      <x:c r="R1429" s="2" t="str">
        <x:v>국외평가</x:v>
      </x:c>
      <x:c r="S1429" s="8" t="n">
        <x:v>53</x:v>
      </x:c>
      <x:c r="T1429" s="2"/>
      <x:c r="U1429" s="2" t="str"/>
      <x:c r="V1429" s="2" t="str">
        <x:v>2021-12-15</x:v>
      </x:c>
      <x:c r="W1429" s="2" t="str">
        <x:v>담당기관 확인</x:v>
      </x:c>
      <x:c r="X1429" s="2" t="str">
        <x:v>원본·배정 기록 확인</x:v>
      </x:c>
      <x:c r="Y1429" s="2" t="str">
        <x:v>ad210cd9ec132cfd447541c8984dc53d30aff0f4fb2dc92d254d49275cc55976</x:v>
      </x:c>
      <x:c r="Z1429" s="2" t="n">
        <x:f>SUBTOTAL(103,A1429)</x:f>
        <x:v>1</x:v>
      </x:c>
      <x:c r="AA1429" s="2" t="str">
        <x:f>IF(K1429&lt;&gt;"미종결 표시","대상 아님",IF(N1429="","신청일 확인",IF(NOT(ISNUMBER('종합 현황'!$H$5)),"관찰기준 확인",IF('종합 현황'!$H$5&lt;1,"관찰기준 확인",IF(N1429&gt;'종합 현황'!$H$5,"내부 관찰 대상","내부 관찰일 이하")))))</x:f>
        <x:v>대상 아님</x:v>
      </x:c>
      <x:c r="AB1429" s="2" t="str">
        <x:v>2020-03-01 23:08:11 - 신규신청 - 신청 
2020-03-01 23:08:11 - 관장기관 지정 - 환경부
2020-03-09 15:05:58 - 관장기관 지정 - 산업통상자원부
2020-03-18 16:59:06 - 신규신청 - 문서재제출요청 
2020-03-20 01:04:56 - 재제출신청 - 신청 
2020-07-31 15:03:55 - 재제출신청 - 평가승인 
2020-07-31 15:04:18 - 재제출신청 - 심의승인 
2020-08-03 13:30:20 - 재제출신청 - 착수신고 
2021-11-26 12:19:29 - 사업변경 신청 - 신청 
2021-12-15 16:29:26 - 사업변경 신청 - 평가반려 
</x:v>
      </x:c>
    </x:row>
    <x:row r="1430" ht="42" customHeight="1">
      <x:c r="A1430" s="2" t="str">
        <x:v>30d54dd0745fb6f0329ec254</x:v>
      </x:c>
      <x:c r="B1430" s="2" t="str">
        <x:v>사업 평가</x:v>
      </x:c>
      <x:c r="C1430" s="2" t="str">
        <x:v>국외</x:v>
      </x:c>
      <x:c r="D1430" s="7" t="str">
        <x:v>안전한 식수 공급을 위한 정수기 보급 사업 : CPA 72(한국 지원)</x:v>
      </x:c>
      <x:c r="E1430" s="2" t="str">
        <x:v>52</x:v>
      </x:c>
      <x:c r="F1430" s="2" t="str">
        <x:v>2020-03</x:v>
      </x:c>
      <x:c r="G1430" s="2" t="str">
        <x:v>2020</x:v>
      </x:c>
      <x:c r="H1430" s="2" t="str">
        <x:v>03</x:v>
      </x:c>
      <x:c r="I1430" s="2" t="str">
        <x:v>반려</x:v>
      </x:c>
      <x:c r="J1430" s="2" t="str">
        <x:v>반려</x:v>
      </x:c>
      <x:c r="K1430" s="2" t="str">
        <x:f>IF(OR(J1430="심의승인",J1430="반려",J1430="반려완료",J1430="심의완료"),"종결 표시",IF(OR(J1430="기후부협의",J1430="문서재제출요청",J1430="보류",J1430="보완요청",J1430="보완완료",J1430="평가중",J1430="반려요청",J1430="평가필요",LEFT(J1430,5)="보완요청("),"미종결 표시","상태 확인 필요"))</x:f>
        <x:v>종결 표시</x:v>
      </x:c>
      <x:c r="L1430" s="2"/>
      <x:c r="M1430" s="2"/>
      <x:c r="N1430" s="8"/>
      <x:c r="O1430" s="2"/>
      <x:c r="P1430" s="2" t="str">
        <x:v>사업변경신청 반려</x:v>
      </x:c>
      <x:c r="Q1430" s="2" t="str">
        <x:v>산업전환_외부사업관리Tool_260707_이너젠 수정_LJY_261013.xlsx</x:v>
      </x:c>
      <x:c r="R1430" s="2" t="str">
        <x:v>국외평가</x:v>
      </x:c>
      <x:c r="S1430" s="8" t="n">
        <x:v>54</x:v>
      </x:c>
      <x:c r="T1430" s="2"/>
      <x:c r="U1430" s="2" t="str"/>
      <x:c r="V1430" s="2" t="str">
        <x:v>2021-12-15</x:v>
      </x:c>
      <x:c r="W1430" s="2" t="str">
        <x:v>담당기관 확인</x:v>
      </x:c>
      <x:c r="X1430" s="2" t="str">
        <x:v>원본·배정 기록 확인</x:v>
      </x:c>
      <x:c r="Y1430" s="2" t="str">
        <x:v>ad210cd9ec132cfd447541c8984dc53d30aff0f4fb2dc92d254d49275cc55976</x:v>
      </x:c>
      <x:c r="Z1430" s="2" t="n">
        <x:f>SUBTOTAL(103,A1430)</x:f>
        <x:v>1</x:v>
      </x:c>
      <x:c r="AA1430" s="2" t="str">
        <x:f>IF(K1430&lt;&gt;"미종결 표시","대상 아님",IF(N1430="","신청일 확인",IF(NOT(ISNUMBER('종합 현황'!$H$5)),"관찰기준 확인",IF('종합 현황'!$H$5&lt;1,"관찰기준 확인",IF(N1430&gt;'종합 현황'!$H$5,"내부 관찰 대상","내부 관찰일 이하")))))</x:f>
        <x:v>대상 아님</x:v>
      </x:c>
      <x:c r="AB1430" s="2" t="str">
        <x:v>2020-03-01 23:08:48 - 신규신청 - 신청 
2020-03-01 23:08:48 - 관장기관 지정 - 환경부
2020-03-09 15:05:48 - 관장기관 지정 - 산업통상자원부
2020-03-18 16:58:45 - 신규신청 - 문서재제출요청 
2020-03-20 01:05:34 - 재제출신청 - 신청 
2020-07-31 15:04:39 - 재제출신청 - 평가승인 
2020-07-31 15:04:57 - 재제출신청 - 심의승인 
2020-08-03 13:30:39 - 재제출신청 - 착수신고 
2021-11-26 12:19:37 - 사업변경 신청 - 신청 
2021-12-15 16:29:07 - 사업변경 신청 - 평가반려 
</x:v>
      </x:c>
    </x:row>
    <x:row r="1431" ht="42" customHeight="1">
      <x:c r="A1431" s="2" t="str">
        <x:v>74786102135a97c6aef3a1d0</x:v>
      </x:c>
      <x:c r="B1431" s="2" t="str">
        <x:v>사업 평가</x:v>
      </x:c>
      <x:c r="C1431" s="2" t="str">
        <x:v>국외</x:v>
      </x:c>
      <x:c r="D1431" s="7" t="str">
        <x:v>안전한 식수 공급을 위한 정수기 보급 사업 : CPA 73(한국 지원)</x:v>
      </x:c>
      <x:c r="E1431" s="2" t="str">
        <x:v>53</x:v>
      </x:c>
      <x:c r="F1431" s="2" t="str">
        <x:v>2020-03</x:v>
      </x:c>
      <x:c r="G1431" s="2" t="str">
        <x:v>2020</x:v>
      </x:c>
      <x:c r="H1431" s="2" t="str">
        <x:v>03</x:v>
      </x:c>
      <x:c r="I1431" s="2" t="str">
        <x:v>반려</x:v>
      </x:c>
      <x:c r="J1431" s="2" t="str">
        <x:v>반려</x:v>
      </x:c>
      <x:c r="K1431" s="2" t="str">
        <x:f>IF(OR(J1431="심의승인",J1431="반려",J1431="반려완료",J1431="심의완료"),"종결 표시",IF(OR(J1431="기후부협의",J1431="문서재제출요청",J1431="보류",J1431="보완요청",J1431="보완완료",J1431="평가중",J1431="반려요청",J1431="평가필요",LEFT(J1431,5)="보완요청("),"미종결 표시","상태 확인 필요"))</x:f>
        <x:v>종결 표시</x:v>
      </x:c>
      <x:c r="L1431" s="2"/>
      <x:c r="M1431" s="2"/>
      <x:c r="N1431" s="8"/>
      <x:c r="O1431" s="2"/>
      <x:c r="P1431" s="2" t="str">
        <x:v>사업변경신청 반려</x:v>
      </x:c>
      <x:c r="Q1431" s="2" t="str">
        <x:v>산업전환_외부사업관리Tool_260707_이너젠 수정_LJY_261013.xlsx</x:v>
      </x:c>
      <x:c r="R1431" s="2" t="str">
        <x:v>국외평가</x:v>
      </x:c>
      <x:c r="S1431" s="8" t="n">
        <x:v>55</x:v>
      </x:c>
      <x:c r="T1431" s="2"/>
      <x:c r="U1431" s="2" t="str"/>
      <x:c r="V1431" s="2" t="str">
        <x:v>2021-12-15</x:v>
      </x:c>
      <x:c r="W1431" s="2" t="str">
        <x:v>담당기관 확인</x:v>
      </x:c>
      <x:c r="X1431" s="2" t="str">
        <x:v>원본·배정 기록 확인</x:v>
      </x:c>
      <x:c r="Y1431" s="2" t="str">
        <x:v>ad210cd9ec132cfd447541c8984dc53d30aff0f4fb2dc92d254d49275cc55976</x:v>
      </x:c>
      <x:c r="Z1431" s="2" t="n">
        <x:f>SUBTOTAL(103,A1431)</x:f>
        <x:v>1</x:v>
      </x:c>
      <x:c r="AA1431" s="2" t="str">
        <x:f>IF(K1431&lt;&gt;"미종결 표시","대상 아님",IF(N1431="","신청일 확인",IF(NOT(ISNUMBER('종합 현황'!$H$5)),"관찰기준 확인",IF('종합 현황'!$H$5&lt;1,"관찰기준 확인",IF(N1431&gt;'종합 현황'!$H$5,"내부 관찰 대상","내부 관찰일 이하")))))</x:f>
        <x:v>대상 아님</x:v>
      </x:c>
      <x:c r="AB1431" s="2" t="str">
        <x:v>2020-03-01 23:09:15 - 신규신청 - 신청 
2020-03-01 23:09:15 - 관장기관 지정 - 환경부
2020-03-09 15:05:42 - 관장기관 지정 - 산업통상자원부
2020-03-18 16:58:27 - 신규신청 - 문서재제출요청 
2020-03-20 01:06:01 - 재제출신청 - 신청 
2020-07-31 15:05:19 - 재제출신청 - 평가승인 
2020-07-31 15:05:37 - 재제출신청 - 심의승인 
2020-08-03 13:31:02 - 재제출신청 - 착수신고 
2021-11-26 12:19:45 - 사업변경 신청 - 신청 
2021-12-15 16:28:56 - 사업변경 신청 - 평가반려 
</x:v>
      </x:c>
    </x:row>
    <x:row r="1432" ht="42" customHeight="1">
      <x:c r="A1432" s="2" t="str">
        <x:v>9cdcdba4c653bbf8badda4af</x:v>
      </x:c>
      <x:c r="B1432" s="2" t="str">
        <x:v>사업 평가</x:v>
      </x:c>
      <x:c r="C1432" s="2" t="str">
        <x:v>국외</x:v>
      </x:c>
      <x:c r="D1432" s="7" t="str">
        <x:v>안전한 식수 공급을 위한 정수기 보급 사업 : CPA 74(한국 지원)</x:v>
      </x:c>
      <x:c r="E1432" s="2" t="str">
        <x:v>54</x:v>
      </x:c>
      <x:c r="F1432" s="2" t="str">
        <x:v>2020-03</x:v>
      </x:c>
      <x:c r="G1432" s="2" t="str">
        <x:v>2020</x:v>
      </x:c>
      <x:c r="H1432" s="2" t="str">
        <x:v>03</x:v>
      </x:c>
      <x:c r="I1432" s="2" t="str">
        <x:v>반려</x:v>
      </x:c>
      <x:c r="J1432" s="2" t="str">
        <x:v>반려</x:v>
      </x:c>
      <x:c r="K1432" s="2" t="str">
        <x:f>IF(OR(J1432="심의승인",J1432="반려",J1432="반려완료",J1432="심의완료"),"종결 표시",IF(OR(J1432="기후부협의",J1432="문서재제출요청",J1432="보류",J1432="보완요청",J1432="보완완료",J1432="평가중",J1432="반려요청",J1432="평가필요",LEFT(J1432,5)="보완요청("),"미종결 표시","상태 확인 필요"))</x:f>
        <x:v>종결 표시</x:v>
      </x:c>
      <x:c r="L1432" s="2"/>
      <x:c r="M1432" s="2"/>
      <x:c r="N1432" s="8"/>
      <x:c r="O1432" s="2"/>
      <x:c r="P1432" s="2" t="str">
        <x:v>사업변경신청 반려</x:v>
      </x:c>
      <x:c r="Q1432" s="2" t="str">
        <x:v>산업전환_외부사업관리Tool_260707_이너젠 수정_LJY_261013.xlsx</x:v>
      </x:c>
      <x:c r="R1432" s="2" t="str">
        <x:v>국외평가</x:v>
      </x:c>
      <x:c r="S1432" s="8" t="n">
        <x:v>56</x:v>
      </x:c>
      <x:c r="T1432" s="2"/>
      <x:c r="U1432" s="2" t="str"/>
      <x:c r="V1432" s="2" t="str">
        <x:v>2021-12-15</x:v>
      </x:c>
      <x:c r="W1432" s="2" t="str">
        <x:v>담당기관 확인</x:v>
      </x:c>
      <x:c r="X1432" s="2" t="str">
        <x:v>원본·배정 기록 확인</x:v>
      </x:c>
      <x:c r="Y1432" s="2" t="str">
        <x:v>ad210cd9ec132cfd447541c8984dc53d30aff0f4fb2dc92d254d49275cc55976</x:v>
      </x:c>
      <x:c r="Z1432" s="2" t="n">
        <x:f>SUBTOTAL(103,A1432)</x:f>
        <x:v>1</x:v>
      </x:c>
      <x:c r="AA1432" s="2" t="str">
        <x:f>IF(K1432&lt;&gt;"미종결 표시","대상 아님",IF(N1432="","신청일 확인",IF(NOT(ISNUMBER('종합 현황'!$H$5)),"관찰기준 확인",IF('종합 현황'!$H$5&lt;1,"관찰기준 확인",IF(N1432&gt;'종합 현황'!$H$5,"내부 관찰 대상","내부 관찰일 이하")))))</x:f>
        <x:v>대상 아님</x:v>
      </x:c>
      <x:c r="AB1432" s="2" t="str">
        <x:v>2020-03-01 23:09:55 - 신규신청 - 신청 
2020-03-01 23:09:55 - 관장기관 지정 - 환경부
2020-03-09 15:05:34 - 관장기관 지정 - 산업통상자원부
2020-03-18 16:58:06 - 신규신청 - 문서재제출요청 
2020-03-20 01:06:23 - 재제출신청 - 신청 
2020-07-31 15:06:03 - 재제출신청 - 평가승인 
2020-07-31 15:06:22 - 재제출신청 - 심의승인 
2020-08-03 13:31:22 - 재제출신청 - 착수신고 
2021-11-26 12:19:53 - 사업변경 신청 - 신청 
2021-12-15 16:28:44 - 사업변경 신청 - 평가반려 
</x:v>
      </x:c>
    </x:row>
    <x:row r="1433" ht="42" customHeight="1">
      <x:c r="A1433" s="2" t="str">
        <x:v>36b383b3af6206df29363427</x:v>
      </x:c>
      <x:c r="B1433" s="2" t="str">
        <x:v>사업 평가</x:v>
      </x:c>
      <x:c r="C1433" s="2" t="str">
        <x:v>국외</x:v>
      </x:c>
      <x:c r="D1433" s="7" t="str">
        <x:v>안전한 식수 공급을 위한 정수기 보급 사업 : CPA 75(한국 지원)</x:v>
      </x:c>
      <x:c r="E1433" s="2" t="str">
        <x:v>55</x:v>
      </x:c>
      <x:c r="F1433" s="2" t="str">
        <x:v>2020-03</x:v>
      </x:c>
      <x:c r="G1433" s="2" t="str">
        <x:v>2020</x:v>
      </x:c>
      <x:c r="H1433" s="2" t="str">
        <x:v>03</x:v>
      </x:c>
      <x:c r="I1433" s="2" t="str">
        <x:v>반려</x:v>
      </x:c>
      <x:c r="J1433" s="2" t="str">
        <x:v>반려</x:v>
      </x:c>
      <x:c r="K1433" s="2" t="str">
        <x:f>IF(OR(J1433="심의승인",J1433="반려",J1433="반려완료",J1433="심의완료"),"종결 표시",IF(OR(J1433="기후부협의",J1433="문서재제출요청",J1433="보류",J1433="보완요청",J1433="보완완료",J1433="평가중",J1433="반려요청",J1433="평가필요",LEFT(J1433,5)="보완요청("),"미종결 표시","상태 확인 필요"))</x:f>
        <x:v>종결 표시</x:v>
      </x:c>
      <x:c r="L1433" s="2"/>
      <x:c r="M1433" s="2"/>
      <x:c r="N1433" s="8"/>
      <x:c r="O1433" s="2"/>
      <x:c r="P1433" s="2" t="str">
        <x:v>사업변경신청 반려</x:v>
      </x:c>
      <x:c r="Q1433" s="2" t="str">
        <x:v>산업전환_외부사업관리Tool_260707_이너젠 수정_LJY_261013.xlsx</x:v>
      </x:c>
      <x:c r="R1433" s="2" t="str">
        <x:v>국외평가</x:v>
      </x:c>
      <x:c r="S1433" s="8" t="n">
        <x:v>57</x:v>
      </x:c>
      <x:c r="T1433" s="2"/>
      <x:c r="U1433" s="2" t="str"/>
      <x:c r="V1433" s="2" t="str">
        <x:v>2021-12-15</x:v>
      </x:c>
      <x:c r="W1433" s="2" t="str">
        <x:v>담당기관 확인</x:v>
      </x:c>
      <x:c r="X1433" s="2" t="str">
        <x:v>원본·배정 기록 확인</x:v>
      </x:c>
      <x:c r="Y1433" s="2" t="str">
        <x:v>ad210cd9ec132cfd447541c8984dc53d30aff0f4fb2dc92d254d49275cc55976</x:v>
      </x:c>
      <x:c r="Z1433" s="2" t="n">
        <x:f>SUBTOTAL(103,A1433)</x:f>
        <x:v>1</x:v>
      </x:c>
      <x:c r="AA1433" s="2" t="str">
        <x:f>IF(K1433&lt;&gt;"미종결 표시","대상 아님",IF(N1433="","신청일 확인",IF(NOT(ISNUMBER('종합 현황'!$H$5)),"관찰기준 확인",IF('종합 현황'!$H$5&lt;1,"관찰기준 확인",IF(N1433&gt;'종합 현황'!$H$5,"내부 관찰 대상","내부 관찰일 이하")))))</x:f>
        <x:v>대상 아님</x:v>
      </x:c>
      <x:c r="AB1433" s="2" t="str">
        <x:v>2020-03-01 23:10:26 - 신규신청 - 신청 
2020-03-01 23:10:26 - 관장기관 지정 - 환경부
2020-03-09 15:05:28 - 관장기관 지정 - 산업통상자원부
2020-03-18 16:57:47 - 신규신청 - 문서재제출요청 
2020-03-20 01:06:49 - 재제출신청 - 신청 
2020-07-31 15:06:46 - 재제출신청 - 평가승인 
2020-07-31 15:07:02 - 재제출신청 - 심의승인 
2020-08-03 13:31:42 - 재제출신청 - 착수신고 
2021-11-26 12:20:02 - 사업변경 신청 - 신청 
2021-12-15 16:28:28 - 사업변경 신청 - 평가반려 
</x:v>
      </x:c>
    </x:row>
    <x:row r="1434" ht="42" customHeight="1">
      <x:c r="A1434" s="2" t="str">
        <x:v>b972891e195333b0cf9a14ce</x:v>
      </x:c>
      <x:c r="B1434" s="2" t="str">
        <x:v>사업 평가</x:v>
      </x:c>
      <x:c r="C1434" s="2" t="str">
        <x:v>국외</x:v>
      </x:c>
      <x:c r="D1434" s="7" t="str">
        <x:v>안전한 식수 공급을 위한 정수기 보급 사업 : CPA 76(한국 지원)</x:v>
      </x:c>
      <x:c r="E1434" s="2" t="str">
        <x:v>56</x:v>
      </x:c>
      <x:c r="F1434" s="2" t="str">
        <x:v>2020-03</x:v>
      </x:c>
      <x:c r="G1434" s="2" t="str">
        <x:v>2020</x:v>
      </x:c>
      <x:c r="H1434" s="2" t="str">
        <x:v>03</x:v>
      </x:c>
      <x:c r="I1434" s="2" t="str">
        <x:v>반려</x:v>
      </x:c>
      <x:c r="J1434" s="2" t="str">
        <x:v>반려</x:v>
      </x:c>
      <x:c r="K1434" s="2" t="str">
        <x:f>IF(OR(J1434="심의승인",J1434="반려",J1434="반려완료",J1434="심의완료"),"종결 표시",IF(OR(J1434="기후부협의",J1434="문서재제출요청",J1434="보류",J1434="보완요청",J1434="보완완료",J1434="평가중",J1434="반려요청",J1434="평가필요",LEFT(J1434,5)="보완요청("),"미종결 표시","상태 확인 필요"))</x:f>
        <x:v>종결 표시</x:v>
      </x:c>
      <x:c r="L1434" s="2"/>
      <x:c r="M1434" s="2"/>
      <x:c r="N1434" s="8"/>
      <x:c r="O1434" s="2"/>
      <x:c r="P1434" s="2" t="str">
        <x:v>사업변경신청 반려</x:v>
      </x:c>
      <x:c r="Q1434" s="2" t="str">
        <x:v>산업전환_외부사업관리Tool_260707_이너젠 수정_LJY_261013.xlsx</x:v>
      </x:c>
      <x:c r="R1434" s="2" t="str">
        <x:v>국외평가</x:v>
      </x:c>
      <x:c r="S1434" s="8" t="n">
        <x:v>58</x:v>
      </x:c>
      <x:c r="T1434" s="2"/>
      <x:c r="U1434" s="2" t="str"/>
      <x:c r="V1434" s="2" t="str">
        <x:v>2021-12-15</x:v>
      </x:c>
      <x:c r="W1434" s="2" t="str">
        <x:v>담당기관 확인</x:v>
      </x:c>
      <x:c r="X1434" s="2" t="str">
        <x:v>원본·배정 기록 확인</x:v>
      </x:c>
      <x:c r="Y1434" s="2" t="str">
        <x:v>ad210cd9ec132cfd447541c8984dc53d30aff0f4fb2dc92d254d49275cc55976</x:v>
      </x:c>
      <x:c r="Z1434" s="2" t="n">
        <x:f>SUBTOTAL(103,A1434)</x:f>
        <x:v>1</x:v>
      </x:c>
      <x:c r="AA1434" s="2" t="str">
        <x:f>IF(K1434&lt;&gt;"미종결 표시","대상 아님",IF(N1434="","신청일 확인",IF(NOT(ISNUMBER('종합 현황'!$H$5)),"관찰기준 확인",IF('종합 현황'!$H$5&lt;1,"관찰기준 확인",IF(N1434&gt;'종합 현황'!$H$5,"내부 관찰 대상","내부 관찰일 이하")))))</x:f>
        <x:v>대상 아님</x:v>
      </x:c>
      <x:c r="AB1434" s="2" t="str">
        <x:v>2020-03-01 23:10:57 - 신규신청 - 신청 
2020-03-01 23:10:57 - 관장기관 지정 - 환경부
2020-03-09 15:05:21 - 관장기관 지정 - 산업통상자원부
2020-03-18 16:57:29 - 신규신청 - 문서재제출요청 
2020-03-20 01:07:15 - 재제출신청 - 신청 
2020-06-15 15:25:17 - 재제출신청 - 문서재제출요청 
2020-06-19 13:58:56 - 재제출신청 - 신청 
2020-07-31 15:07:40 - 재제출신청 - 평가승인 
2020-07-31 15:08:01 - 재제출신청 - 심의승인 
2020-08-03 13:32:03 - 재제출신청 - 착수신고 
2021-11-26 12:20:09 - 사업변경 신청 - 신청 
2021-12-15 16:28:17 - 사업변경 신청 - 평가반려 
</x:v>
      </x:c>
    </x:row>
    <x:row r="1435" ht="42" customHeight="1">
      <x:c r="A1435" s="2" t="str">
        <x:v>53bf7810bb7e647f6541c0be</x:v>
      </x:c>
      <x:c r="B1435" s="2" t="str">
        <x:v>사업 평가</x:v>
      </x:c>
      <x:c r="C1435" s="2" t="str">
        <x:v>국외</x:v>
      </x:c>
      <x:c r="D1435" s="7" t="str">
        <x:v>안전한 식수 공급을 위한 정수기 보급 사업 : CPA 77(한국 지원)</x:v>
      </x:c>
      <x:c r="E1435" s="2" t="str">
        <x:v>57</x:v>
      </x:c>
      <x:c r="F1435" s="2" t="str">
        <x:v>2020-03</x:v>
      </x:c>
      <x:c r="G1435" s="2" t="str">
        <x:v>2020</x:v>
      </x:c>
      <x:c r="H1435" s="2" t="str">
        <x:v>03</x:v>
      </x:c>
      <x:c r="I1435" s="2" t="str">
        <x:v>반려</x:v>
      </x:c>
      <x:c r="J1435" s="2" t="str">
        <x:v>반려</x:v>
      </x:c>
      <x:c r="K1435" s="2" t="str">
        <x:f>IF(OR(J1435="심의승인",J1435="반려",J1435="반려완료",J1435="심의완료"),"종결 표시",IF(OR(J1435="기후부협의",J1435="문서재제출요청",J1435="보류",J1435="보완요청",J1435="보완완료",J1435="평가중",J1435="반려요청",J1435="평가필요",LEFT(J1435,5)="보완요청("),"미종결 표시","상태 확인 필요"))</x:f>
        <x:v>종결 표시</x:v>
      </x:c>
      <x:c r="L1435" s="2"/>
      <x:c r="M1435" s="2"/>
      <x:c r="N1435" s="8"/>
      <x:c r="O1435" s="2"/>
      <x:c r="P1435" s="2" t="str">
        <x:v>사업변경신청 반려</x:v>
      </x:c>
      <x:c r="Q1435" s="2" t="str">
        <x:v>산업전환_외부사업관리Tool_260707_이너젠 수정_LJY_261013.xlsx</x:v>
      </x:c>
      <x:c r="R1435" s="2" t="str">
        <x:v>국외평가</x:v>
      </x:c>
      <x:c r="S1435" s="8" t="n">
        <x:v>59</x:v>
      </x:c>
      <x:c r="T1435" s="2"/>
      <x:c r="U1435" s="2" t="str"/>
      <x:c r="V1435" s="2" t="str">
        <x:v>2021-12-15</x:v>
      </x:c>
      <x:c r="W1435" s="2" t="str">
        <x:v>담당기관 확인</x:v>
      </x:c>
      <x:c r="X1435" s="2" t="str">
        <x:v>원본·배정 기록 확인</x:v>
      </x:c>
      <x:c r="Y1435" s="2" t="str">
        <x:v>ad210cd9ec132cfd447541c8984dc53d30aff0f4fb2dc92d254d49275cc55976</x:v>
      </x:c>
      <x:c r="Z1435" s="2" t="n">
        <x:f>SUBTOTAL(103,A1435)</x:f>
        <x:v>1</x:v>
      </x:c>
      <x:c r="AA1435" s="2" t="str">
        <x:f>IF(K1435&lt;&gt;"미종결 표시","대상 아님",IF(N1435="","신청일 확인",IF(NOT(ISNUMBER('종합 현황'!$H$5)),"관찰기준 확인",IF('종합 현황'!$H$5&lt;1,"관찰기준 확인",IF(N1435&gt;'종합 현황'!$H$5,"내부 관찰 대상","내부 관찰일 이하")))))</x:f>
        <x:v>대상 아님</x:v>
      </x:c>
      <x:c r="AB1435" s="2" t="str">
        <x:v>2020-03-01 23:11:36 - 관장기관 지정 - 환경부
2020-03-01 23:11:37 - 신규신청 - 신청 
2020-03-09 15:05:14 - 관장기관 지정 - 산업통상자원부
2020-03-18 11:21:49 - 신규신청 - 문서재제출요청 
2020-03-20 01:07:50 - 재제출신청 - 신청 
2020-06-15 15:24:42 - 재제출신청 - 문서재제출요청 
2020-06-19 13:59:11 - 재제출신청 - 신청 
2020-07-31 15:08:33 - 재제출신청 - 평가승인 
2020-07-31 15:08:50 - 재제출신청 - 심의승인 
2020-08-03 13:32:30 - 재제출신청 - 착수신고 
2021-11-26 12:20:18 - 사업변경 신청 - 신청 
2021-12-15 16:27:58 - 사업변경 신청 - 평가반려 
</x:v>
      </x:c>
    </x:row>
    <x:row r="1436" ht="42" customHeight="1">
      <x:c r="A1436" s="2" t="str">
        <x:v>a4ae441dff1267ccefec7d16</x:v>
      </x:c>
      <x:c r="B1436" s="2" t="str">
        <x:v>사업 평가</x:v>
      </x:c>
      <x:c r="C1436" s="2" t="str">
        <x:v>국외</x:v>
      </x:c>
      <x:c r="D1436" s="7" t="str">
        <x:v>안전한 식수 공급을 위한 정수기 보급 사업 : CPA 79(한국 지원)</x:v>
      </x:c>
      <x:c r="E1436" s="2" t="str">
        <x:v>58</x:v>
      </x:c>
      <x:c r="F1436" s="2" t="str">
        <x:v>2020-03</x:v>
      </x:c>
      <x:c r="G1436" s="2" t="str">
        <x:v>2020</x:v>
      </x:c>
      <x:c r="H1436" s="2" t="str">
        <x:v>03</x:v>
      </x:c>
      <x:c r="I1436" s="2" t="str">
        <x:v>반려</x:v>
      </x:c>
      <x:c r="J1436" s="2" t="str">
        <x:v>반려</x:v>
      </x:c>
      <x:c r="K1436" s="2" t="str">
        <x:f>IF(OR(J1436="심의승인",J1436="반려",J1436="반려완료",J1436="심의완료"),"종결 표시",IF(OR(J1436="기후부협의",J1436="문서재제출요청",J1436="보류",J1436="보완요청",J1436="보완완료",J1436="평가중",J1436="반려요청",J1436="평가필요",LEFT(J1436,5)="보완요청("),"미종결 표시","상태 확인 필요"))</x:f>
        <x:v>종결 표시</x:v>
      </x:c>
      <x:c r="L1436" s="2"/>
      <x:c r="M1436" s="2"/>
      <x:c r="N1436" s="8"/>
      <x:c r="O1436" s="2"/>
      <x:c r="P1436" s="2" t="str">
        <x:v>사업변경신청 반려</x:v>
      </x:c>
      <x:c r="Q1436" s="2" t="str">
        <x:v>산업전환_외부사업관리Tool_260707_이너젠 수정_LJY_261013.xlsx</x:v>
      </x:c>
      <x:c r="R1436" s="2" t="str">
        <x:v>국외평가</x:v>
      </x:c>
      <x:c r="S1436" s="8" t="n">
        <x:v>60</x:v>
      </x:c>
      <x:c r="T1436" s="2"/>
      <x:c r="U1436" s="2" t="str"/>
      <x:c r="V1436" s="2" t="str">
        <x:v>2021-12-15</x:v>
      </x:c>
      <x:c r="W1436" s="2" t="str">
        <x:v>담당기관 확인</x:v>
      </x:c>
      <x:c r="X1436" s="2" t="str">
        <x:v>원본·배정 기록 확인</x:v>
      </x:c>
      <x:c r="Y1436" s="2" t="str">
        <x:v>ad210cd9ec132cfd447541c8984dc53d30aff0f4fb2dc92d254d49275cc55976</x:v>
      </x:c>
      <x:c r="Z1436" s="2" t="n">
        <x:f>SUBTOTAL(103,A1436)</x:f>
        <x:v>1</x:v>
      </x:c>
      <x:c r="AA1436" s="2" t="str">
        <x:f>IF(K1436&lt;&gt;"미종결 표시","대상 아님",IF(N1436="","신청일 확인",IF(NOT(ISNUMBER('종합 현황'!$H$5)),"관찰기준 확인",IF('종합 현황'!$H$5&lt;1,"관찰기준 확인",IF(N1436&gt;'종합 현황'!$H$5,"내부 관찰 대상","내부 관찰일 이하")))))</x:f>
        <x:v>대상 아님</x:v>
      </x:c>
      <x:c r="AB1436" s="2" t="str">
        <x:v>2020-03-01 23:12:22 - 신규신청 - 신청 
2020-03-01 23:12:22 - 관장기관 지정 - 환경부
2020-03-09 15:04:58 - 관장기관 지정 - 산업통상자원부
2020-03-18 16:57:12 - 신규신청 - 문서재제출요청 
2020-03-20 01:08:48 - 재제출신청 - 신청 
2020-07-31 15:10:10 - 재제출신청 - 평가승인 
2020-07-31 15:10:31 - 재제출신청 - 심의승인 
2020-08-03 13:33:12 - 재제출신청 - 착수신고 
2021-11-26 12:20:34 - 사업변경 신청 - 신청 
2021-12-15 16:27:20 - 사업변경 신청 - 평가반려 
</x:v>
      </x:c>
    </x:row>
    <x:row r="1437" ht="42" customHeight="1">
      <x:c r="A1437" s="2" t="str">
        <x:v>802ad9a1f8819236b8dbf2ba</x:v>
      </x:c>
      <x:c r="B1437" s="2" t="str">
        <x:v>사업 평가</x:v>
      </x:c>
      <x:c r="C1437" s="2" t="str">
        <x:v>국외</x:v>
      </x:c>
      <x:c r="D1437" s="7" t="str">
        <x:v>안전한 식수 공급을 위한 정수기 보급 사업 : CPA 80(한국 지원)</x:v>
      </x:c>
      <x:c r="E1437" s="2" t="str">
        <x:v>59</x:v>
      </x:c>
      <x:c r="F1437" s="2" t="str">
        <x:v>2020-03</x:v>
      </x:c>
      <x:c r="G1437" s="2" t="str">
        <x:v>2020</x:v>
      </x:c>
      <x:c r="H1437" s="2" t="str">
        <x:v>03</x:v>
      </x:c>
      <x:c r="I1437" s="2" t="str">
        <x:v>반려</x:v>
      </x:c>
      <x:c r="J1437" s="2" t="str">
        <x:v>반려</x:v>
      </x:c>
      <x:c r="K1437" s="2" t="str">
        <x:f>IF(OR(J1437="심의승인",J1437="반려",J1437="반려완료",J1437="심의완료"),"종결 표시",IF(OR(J1437="기후부협의",J1437="문서재제출요청",J1437="보류",J1437="보완요청",J1437="보완완료",J1437="평가중",J1437="반려요청",J1437="평가필요",LEFT(J1437,5)="보완요청("),"미종결 표시","상태 확인 필요"))</x:f>
        <x:v>종결 표시</x:v>
      </x:c>
      <x:c r="L1437" s="2"/>
      <x:c r="M1437" s="2"/>
      <x:c r="N1437" s="8"/>
      <x:c r="O1437" s="2"/>
      <x:c r="P1437" s="2" t="str">
        <x:v>사업변경신청 반려</x:v>
      </x:c>
      <x:c r="Q1437" s="2" t="str">
        <x:v>산업전환_외부사업관리Tool_260707_이너젠 수정_LJY_261013.xlsx</x:v>
      </x:c>
      <x:c r="R1437" s="2" t="str">
        <x:v>국외평가</x:v>
      </x:c>
      <x:c r="S1437" s="8" t="n">
        <x:v>61</x:v>
      </x:c>
      <x:c r="T1437" s="2"/>
      <x:c r="U1437" s="2" t="str"/>
      <x:c r="V1437" s="2" t="str">
        <x:v>2021-12-15</x:v>
      </x:c>
      <x:c r="W1437" s="2" t="str">
        <x:v>담당기관 확인</x:v>
      </x:c>
      <x:c r="X1437" s="2" t="str">
        <x:v>원본·배정 기록 확인</x:v>
      </x:c>
      <x:c r="Y1437" s="2" t="str">
        <x:v>ad210cd9ec132cfd447541c8984dc53d30aff0f4fb2dc92d254d49275cc55976</x:v>
      </x:c>
      <x:c r="Z1437" s="2" t="n">
        <x:f>SUBTOTAL(103,A1437)</x:f>
        <x:v>1</x:v>
      </x:c>
      <x:c r="AA1437" s="2" t="str">
        <x:f>IF(K1437&lt;&gt;"미종결 표시","대상 아님",IF(N1437="","신청일 확인",IF(NOT(ISNUMBER('종합 현황'!$H$5)),"관찰기준 확인",IF('종합 현황'!$H$5&lt;1,"관찰기준 확인",IF(N1437&gt;'종합 현황'!$H$5,"내부 관찰 대상","내부 관찰일 이하")))))</x:f>
        <x:v>대상 아님</x:v>
      </x:c>
      <x:c r="AB1437" s="2" t="str">
        <x:v>2020-03-01 23:12:50 - 신규신청 - 신청 
2020-03-01 23:12:50 - 관장기관 지정 - 환경부
2020-03-09 15:04:51 - 관장기관 지정 - 산업통상자원부
2020-03-18 16:56:50 - 신규신청 - 문서재제출요청 
2020-03-20 01:09:10 - 재제출신청 - 신청 
2020-07-31 15:10:51 - 재제출신청 - 평가승인 
2020-07-31 15:11:18 - 재제출신청 - 심의승인 
2020-08-03 13:33:36 - 재제출신청 - 착수신고 
2021-11-26 12:20:41 - 사업변경 신청 - 신청 
2021-12-15 16:27:08 - 사업변경 신청 - 평가반려 
</x:v>
      </x:c>
    </x:row>
    <x:row r="1438" ht="42" customHeight="1">
      <x:c r="A1438" s="2" t="str">
        <x:v>f59aad47cb8b307be08d6b8b</x:v>
      </x:c>
      <x:c r="B1438" s="2" t="str">
        <x:v>사업 평가</x:v>
      </x:c>
      <x:c r="C1438" s="2" t="str">
        <x:v>국외</x:v>
      </x:c>
      <x:c r="D1438" s="7" t="str">
        <x:v>안전한 식수 공급을 위한 정수기 보급 사업 : CPA 81(한국 지원)</x:v>
      </x:c>
      <x:c r="E1438" s="2" t="str">
        <x:v>60</x:v>
      </x:c>
      <x:c r="F1438" s="2" t="str">
        <x:v>2020-03</x:v>
      </x:c>
      <x:c r="G1438" s="2" t="str">
        <x:v>2020</x:v>
      </x:c>
      <x:c r="H1438" s="2" t="str">
        <x:v>03</x:v>
      </x:c>
      <x:c r="I1438" s="2" t="str">
        <x:v>반려</x:v>
      </x:c>
      <x:c r="J1438" s="2" t="str">
        <x:v>반려</x:v>
      </x:c>
      <x:c r="K1438" s="2" t="str">
        <x:f>IF(OR(J1438="심의승인",J1438="반려",J1438="반려완료",J1438="심의완료"),"종결 표시",IF(OR(J1438="기후부협의",J1438="문서재제출요청",J1438="보류",J1438="보완요청",J1438="보완완료",J1438="평가중",J1438="반려요청",J1438="평가필요",LEFT(J1438,5)="보완요청("),"미종결 표시","상태 확인 필요"))</x:f>
        <x:v>종결 표시</x:v>
      </x:c>
      <x:c r="L1438" s="2"/>
      <x:c r="M1438" s="2"/>
      <x:c r="N1438" s="8"/>
      <x:c r="O1438" s="2"/>
      <x:c r="P1438" s="2" t="str">
        <x:v>사업변경신청 반려</x:v>
      </x:c>
      <x:c r="Q1438" s="2" t="str">
        <x:v>산업전환_외부사업관리Tool_260707_이너젠 수정_LJY_261013.xlsx</x:v>
      </x:c>
      <x:c r="R1438" s="2" t="str">
        <x:v>국외평가</x:v>
      </x:c>
      <x:c r="S1438" s="8" t="n">
        <x:v>62</x:v>
      </x:c>
      <x:c r="T1438" s="2"/>
      <x:c r="U1438" s="2" t="str"/>
      <x:c r="V1438" s="2" t="str">
        <x:v>2021-12-15</x:v>
      </x:c>
      <x:c r="W1438" s="2" t="str">
        <x:v>담당기관 확인</x:v>
      </x:c>
      <x:c r="X1438" s="2" t="str">
        <x:v>원본·배정 기록 확인</x:v>
      </x:c>
      <x:c r="Y1438" s="2" t="str">
        <x:v>ad210cd9ec132cfd447541c8984dc53d30aff0f4fb2dc92d254d49275cc55976</x:v>
      </x:c>
      <x:c r="Z1438" s="2" t="n">
        <x:f>SUBTOTAL(103,A1438)</x:f>
        <x:v>1</x:v>
      </x:c>
      <x:c r="AA1438" s="2" t="str">
        <x:f>IF(K1438&lt;&gt;"미종결 표시","대상 아님",IF(N1438="","신청일 확인",IF(NOT(ISNUMBER('종합 현황'!$H$5)),"관찰기준 확인",IF('종합 현황'!$H$5&lt;1,"관찰기준 확인",IF(N1438&gt;'종합 현황'!$H$5,"내부 관찰 대상","내부 관찰일 이하")))))</x:f>
        <x:v>대상 아님</x:v>
      </x:c>
      <x:c r="AB1438" s="2" t="str">
        <x:v>2020-03-01 23:13:21 - 신규신청 - 신청 
2020-03-01 23:13:21 - 관장기관 지정 - 환경부
2020-03-09 15:04:44 - 관장기관 지정 - 산업통상자원부
2020-03-18 16:56:33 - 신규신청 - 문서재제출요청 
2020-03-20 01:09:37 - 재제출신청 - 신청 
2020-07-31 15:11:45 - 재제출신청 - 평가승인 
2020-07-31 15:12:05 - 재제출신청 - 심의승인 
2020-08-03 13:33:57 - 재제출신청 - 착수신고 
2021-11-26 12:20:50 - 사업변경 신청 - 신청 
2021-12-15 16:26:52 - 사업변경 신청 - 평가반려 
</x:v>
      </x:c>
    </x:row>
    <x:row r="1439" ht="42" customHeight="1">
      <x:c r="A1439" s="2" t="str">
        <x:v>723422346bea26989cbd18ac</x:v>
      </x:c>
      <x:c r="B1439" s="2" t="str">
        <x:v>사업 평가</x:v>
      </x:c>
      <x:c r="C1439" s="2" t="str">
        <x:v>국외</x:v>
      </x:c>
      <x:c r="D1439" s="7" t="str">
        <x:v>안전한 식수 공급을 위한 정수기 보급 사업 : CPA 82(한국 지원)</x:v>
      </x:c>
      <x:c r="E1439" s="2" t="str">
        <x:v>61</x:v>
      </x:c>
      <x:c r="F1439" s="2" t="str">
        <x:v>2020-03</x:v>
      </x:c>
      <x:c r="G1439" s="2" t="str">
        <x:v>2020</x:v>
      </x:c>
      <x:c r="H1439" s="2" t="str">
        <x:v>03</x:v>
      </x:c>
      <x:c r="I1439" s="2" t="str">
        <x:v>반려</x:v>
      </x:c>
      <x:c r="J1439" s="2" t="str">
        <x:v>반려</x:v>
      </x:c>
      <x:c r="K1439" s="2" t="str">
        <x:f>IF(OR(J1439="심의승인",J1439="반려",J1439="반려완료",J1439="심의완료"),"종결 표시",IF(OR(J1439="기후부협의",J1439="문서재제출요청",J1439="보류",J1439="보완요청",J1439="보완완료",J1439="평가중",J1439="반려요청",J1439="평가필요",LEFT(J1439,5)="보완요청("),"미종결 표시","상태 확인 필요"))</x:f>
        <x:v>종결 표시</x:v>
      </x:c>
      <x:c r="L1439" s="2"/>
      <x:c r="M1439" s="2"/>
      <x:c r="N1439" s="8"/>
      <x:c r="O1439" s="2"/>
      <x:c r="P1439" s="2" t="str">
        <x:v>사업변경신청 반려</x:v>
      </x:c>
      <x:c r="Q1439" s="2" t="str">
        <x:v>산업전환_외부사업관리Tool_260707_이너젠 수정_LJY_261013.xlsx</x:v>
      </x:c>
      <x:c r="R1439" s="2" t="str">
        <x:v>국외평가</x:v>
      </x:c>
      <x:c r="S1439" s="8" t="n">
        <x:v>63</x:v>
      </x:c>
      <x:c r="T1439" s="2"/>
      <x:c r="U1439" s="2" t="str"/>
      <x:c r="V1439" s="2" t="str">
        <x:v>2021-12-15</x:v>
      </x:c>
      <x:c r="W1439" s="2" t="str">
        <x:v>담당기관 확인</x:v>
      </x:c>
      <x:c r="X1439" s="2" t="str">
        <x:v>원본·배정 기록 확인</x:v>
      </x:c>
      <x:c r="Y1439" s="2" t="str">
        <x:v>ad210cd9ec132cfd447541c8984dc53d30aff0f4fb2dc92d254d49275cc55976</x:v>
      </x:c>
      <x:c r="Z1439" s="2" t="n">
        <x:f>SUBTOTAL(103,A1439)</x:f>
        <x:v>1</x:v>
      </x:c>
      <x:c r="AA1439" s="2" t="str">
        <x:f>IF(K1439&lt;&gt;"미종결 표시","대상 아님",IF(N1439="","신청일 확인",IF(NOT(ISNUMBER('종합 현황'!$H$5)),"관찰기준 확인",IF('종합 현황'!$H$5&lt;1,"관찰기준 확인",IF(N1439&gt;'종합 현황'!$H$5,"내부 관찰 대상","내부 관찰일 이하")))))</x:f>
        <x:v>대상 아님</x:v>
      </x:c>
      <x:c r="AB1439" s="2" t="str">
        <x:v>2020-03-01 23:13:47 - 신규신청 - 신청 
2020-03-01 23:13:47 - 관장기관 지정 - 환경부
2020-03-09 15:04:38 - 관장기관 지정 - 산업통상자원부
2020-03-18 16:56:17 - 신규신청 - 문서재제출요청 
2020-03-20 01:10:00 - 재제출신청 - 신청 
2020-07-31 15:12:25 - 재제출신청 - 평가승인 
2020-07-31 15:12:49 - 재제출신청 - 심의승인 
2020-08-03 13:34:45 - 재제출신청 - 착수신고 
2021-11-26 12:20:58 - 사업변경 신청 - 신청 
2021-12-15 16:26:32 - 사업변경 신청 - 평가반려 
</x:v>
      </x:c>
    </x:row>
    <x:row r="1440" ht="42" customHeight="1">
      <x:c r="A1440" s="2" t="str">
        <x:v>63f711c71804eb9a953f14ce</x:v>
      </x:c>
      <x:c r="B1440" s="2" t="str">
        <x:v>사업 평가</x:v>
      </x:c>
      <x:c r="C1440" s="2" t="str">
        <x:v>국외</x:v>
      </x:c>
      <x:c r="D1440" s="7" t="str">
        <x:v>안전한 식수 공급을 위한 정수기 보급 사업 : CPA 83(한국 지원)</x:v>
      </x:c>
      <x:c r="E1440" s="2" t="str">
        <x:v>62</x:v>
      </x:c>
      <x:c r="F1440" s="2" t="str">
        <x:v>2020-03</x:v>
      </x:c>
      <x:c r="G1440" s="2" t="str">
        <x:v>2020</x:v>
      </x:c>
      <x:c r="H1440" s="2" t="str">
        <x:v>03</x:v>
      </x:c>
      <x:c r="I1440" s="2" t="str">
        <x:v>반려</x:v>
      </x:c>
      <x:c r="J1440" s="2" t="str">
        <x:v>반려</x:v>
      </x:c>
      <x:c r="K1440" s="2" t="str">
        <x:f>IF(OR(J1440="심의승인",J1440="반려",J1440="반려완료",J1440="심의완료"),"종결 표시",IF(OR(J1440="기후부협의",J1440="문서재제출요청",J1440="보류",J1440="보완요청",J1440="보완완료",J1440="평가중",J1440="반려요청",J1440="평가필요",LEFT(J1440,5)="보완요청("),"미종결 표시","상태 확인 필요"))</x:f>
        <x:v>종결 표시</x:v>
      </x:c>
      <x:c r="L1440" s="2"/>
      <x:c r="M1440" s="2"/>
      <x:c r="N1440" s="8"/>
      <x:c r="O1440" s="2"/>
      <x:c r="P1440" s="2" t="str">
        <x:v>사업변경신청 반려</x:v>
      </x:c>
      <x:c r="Q1440" s="2" t="str">
        <x:v>산업전환_외부사업관리Tool_260707_이너젠 수정_LJY_261013.xlsx</x:v>
      </x:c>
      <x:c r="R1440" s="2" t="str">
        <x:v>국외평가</x:v>
      </x:c>
      <x:c r="S1440" s="8" t="n">
        <x:v>64</x:v>
      </x:c>
      <x:c r="T1440" s="2"/>
      <x:c r="U1440" s="2" t="str"/>
      <x:c r="V1440" s="2" t="str">
        <x:v>2021-12-15</x:v>
      </x:c>
      <x:c r="W1440" s="2" t="str">
        <x:v>담당기관 확인</x:v>
      </x:c>
      <x:c r="X1440" s="2" t="str">
        <x:v>원본·배정 기록 확인</x:v>
      </x:c>
      <x:c r="Y1440" s="2" t="str">
        <x:v>ad210cd9ec132cfd447541c8984dc53d30aff0f4fb2dc92d254d49275cc55976</x:v>
      </x:c>
      <x:c r="Z1440" s="2" t="n">
        <x:f>SUBTOTAL(103,A1440)</x:f>
        <x:v>1</x:v>
      </x:c>
      <x:c r="AA1440" s="2" t="str">
        <x:f>IF(K1440&lt;&gt;"미종결 표시","대상 아님",IF(N1440="","신청일 확인",IF(NOT(ISNUMBER('종합 현황'!$H$5)),"관찰기준 확인",IF('종합 현황'!$H$5&lt;1,"관찰기준 확인",IF(N1440&gt;'종합 현황'!$H$5,"내부 관찰 대상","내부 관찰일 이하")))))</x:f>
        <x:v>대상 아님</x:v>
      </x:c>
      <x:c r="AB1440" s="2" t="str">
        <x:v>2020-03-01 23:14:11 - 신규신청 - 신청 
2020-03-01 23:14:11 - 관장기관 지정 - 환경부
2020-03-09 15:04:28 - 관장기관 지정 - 산업통상자원부
2020-03-18 16:55:59 - 신규신청 - 문서재제출요청 
2020-03-20 01:10:21 - 재제출신청 - 신청 
2020-07-31 15:13:10 - 재제출신청 - 평가승인 
2020-07-31 15:13:30 - 재제출신청 - 심의승인 
2020-08-03 13:35:05 - 재제출신청 - 착수신고 
2021-11-26 12:21:07 - 사업변경 신청 - 신청 
2021-12-15 16:26:18 - 사업변경 신청 - 평가반려 
</x:v>
      </x:c>
    </x:row>
    <x:row r="1441" ht="42" customHeight="1">
      <x:c r="A1441" s="2" t="str">
        <x:v>b939b4428c4c9260fb0dabf1</x:v>
      </x:c>
      <x:c r="B1441" s="2" t="str">
        <x:v>사업 평가</x:v>
      </x:c>
      <x:c r="C1441" s="2" t="str">
        <x:v>국외</x:v>
      </x:c>
      <x:c r="D1441" s="7" t="str">
        <x:v>안전한 식수 공급을 위한 정수기 보급 사업 : CPA 84(한국 지원)</x:v>
      </x:c>
      <x:c r="E1441" s="2" t="str">
        <x:v>63</x:v>
      </x:c>
      <x:c r="F1441" s="2" t="str">
        <x:v>2020-03</x:v>
      </x:c>
      <x:c r="G1441" s="2" t="str">
        <x:v>2020</x:v>
      </x:c>
      <x:c r="H1441" s="2" t="str">
        <x:v>03</x:v>
      </x:c>
      <x:c r="I1441" s="2" t="str">
        <x:v>반려</x:v>
      </x:c>
      <x:c r="J1441" s="2" t="str">
        <x:v>반려</x:v>
      </x:c>
      <x:c r="K1441" s="2" t="str">
        <x:f>IF(OR(J1441="심의승인",J1441="반려",J1441="반려완료",J1441="심의완료"),"종결 표시",IF(OR(J1441="기후부협의",J1441="문서재제출요청",J1441="보류",J1441="보완요청",J1441="보완완료",J1441="평가중",J1441="반려요청",J1441="평가필요",LEFT(J1441,5)="보완요청("),"미종결 표시","상태 확인 필요"))</x:f>
        <x:v>종결 표시</x:v>
      </x:c>
      <x:c r="L1441" s="2"/>
      <x:c r="M1441" s="2"/>
      <x:c r="N1441" s="8"/>
      <x:c r="O1441" s="2"/>
      <x:c r="P1441" s="2" t="str">
        <x:v>사업변경신청 반려</x:v>
      </x:c>
      <x:c r="Q1441" s="2" t="str">
        <x:v>산업전환_외부사업관리Tool_260707_이너젠 수정_LJY_261013.xlsx</x:v>
      </x:c>
      <x:c r="R1441" s="2" t="str">
        <x:v>국외평가</x:v>
      </x:c>
      <x:c r="S1441" s="8" t="n">
        <x:v>65</x:v>
      </x:c>
      <x:c r="T1441" s="2"/>
      <x:c r="U1441" s="2" t="str"/>
      <x:c r="V1441" s="2" t="str">
        <x:v>2021-12-15</x:v>
      </x:c>
      <x:c r="W1441" s="2" t="str">
        <x:v>담당기관 확인</x:v>
      </x:c>
      <x:c r="X1441" s="2" t="str">
        <x:v>원본·배정 기록 확인</x:v>
      </x:c>
      <x:c r="Y1441" s="2" t="str">
        <x:v>ad210cd9ec132cfd447541c8984dc53d30aff0f4fb2dc92d254d49275cc55976</x:v>
      </x:c>
      <x:c r="Z1441" s="2" t="n">
        <x:f>SUBTOTAL(103,A1441)</x:f>
        <x:v>1</x:v>
      </x:c>
      <x:c r="AA1441" s="2" t="str">
        <x:f>IF(K1441&lt;&gt;"미종결 표시","대상 아님",IF(N1441="","신청일 확인",IF(NOT(ISNUMBER('종합 현황'!$H$5)),"관찰기준 확인",IF('종합 현황'!$H$5&lt;1,"관찰기준 확인",IF(N1441&gt;'종합 현황'!$H$5,"내부 관찰 대상","내부 관찰일 이하")))))</x:f>
        <x:v>대상 아님</x:v>
      </x:c>
      <x:c r="AB1441" s="2" t="str">
        <x:v>2020-03-01 23:14:40 - 신규신청 - 신청 
2020-03-01 23:14:40 - 관장기관 지정 - 환경부
2020-03-09 15:04:21 - 관장기관 지정 - 산업통상자원부
2020-03-18 16:55:42 - 신규신청 - 문서재제출요청 
2020-03-20 01:10:49 - 재제출신청 - 신청 
2020-07-31 15:13:51 - 재제출신청 - 평가승인 
2020-07-31 15:14:24 - 재제출신청 - 심의승인 
2020-08-03 13:35:25 - 재제출신청 - 착수신고 
2021-11-26 12:21:15 - 사업변경 신청 - 신청 
2021-12-15 16:26:03 - 사업변경 신청 - 평가반려 
</x:v>
      </x:c>
    </x:row>
    <x:row r="1442" ht="42" customHeight="1">
      <x:c r="A1442" s="2" t="str">
        <x:v>931288b4dcb8a99f97a0dc00</x:v>
      </x:c>
      <x:c r="B1442" s="2" t="str">
        <x:v>사업 평가</x:v>
      </x:c>
      <x:c r="C1442" s="2" t="str">
        <x:v>국외</x:v>
      </x:c>
      <x:c r="D1442" s="7" t="str">
        <x:v>안전한 식수 공급을 위한 정수기 보급 사업 : CPA 85(한국 지원)</x:v>
      </x:c>
      <x:c r="E1442" s="2" t="str">
        <x:v>64</x:v>
      </x:c>
      <x:c r="F1442" s="2" t="str">
        <x:v>2020-03</x:v>
      </x:c>
      <x:c r="G1442" s="2" t="str">
        <x:v>2020</x:v>
      </x:c>
      <x:c r="H1442" s="2" t="str">
        <x:v>03</x:v>
      </x:c>
      <x:c r="I1442" s="2" t="str">
        <x:v>반려</x:v>
      </x:c>
      <x:c r="J1442" s="2" t="str">
        <x:v>반려</x:v>
      </x:c>
      <x:c r="K1442" s="2" t="str">
        <x:f>IF(OR(J1442="심의승인",J1442="반려",J1442="반려완료",J1442="심의완료"),"종결 표시",IF(OR(J1442="기후부협의",J1442="문서재제출요청",J1442="보류",J1442="보완요청",J1442="보완완료",J1442="평가중",J1442="반려요청",J1442="평가필요",LEFT(J1442,5)="보완요청("),"미종결 표시","상태 확인 필요"))</x:f>
        <x:v>종결 표시</x:v>
      </x:c>
      <x:c r="L1442" s="2"/>
      <x:c r="M1442" s="2"/>
      <x:c r="N1442" s="8"/>
      <x:c r="O1442" s="2"/>
      <x:c r="P1442" s="2" t="str">
        <x:v>사업변경신청 반려</x:v>
      </x:c>
      <x:c r="Q1442" s="2" t="str">
        <x:v>산업전환_외부사업관리Tool_260707_이너젠 수정_LJY_261013.xlsx</x:v>
      </x:c>
      <x:c r="R1442" s="2" t="str">
        <x:v>국외평가</x:v>
      </x:c>
      <x:c r="S1442" s="8" t="n">
        <x:v>66</x:v>
      </x:c>
      <x:c r="T1442" s="2"/>
      <x:c r="U1442" s="2" t="str"/>
      <x:c r="V1442" s="2" t="str">
        <x:v>2021-12-15</x:v>
      </x:c>
      <x:c r="W1442" s="2" t="str">
        <x:v>담당기관 확인</x:v>
      </x:c>
      <x:c r="X1442" s="2" t="str">
        <x:v>원본·배정 기록 확인</x:v>
      </x:c>
      <x:c r="Y1442" s="2" t="str">
        <x:v>ad210cd9ec132cfd447541c8984dc53d30aff0f4fb2dc92d254d49275cc55976</x:v>
      </x:c>
      <x:c r="Z1442" s="2" t="n">
        <x:f>SUBTOTAL(103,A1442)</x:f>
        <x:v>1</x:v>
      </x:c>
      <x:c r="AA1442" s="2" t="str">
        <x:f>IF(K1442&lt;&gt;"미종결 표시","대상 아님",IF(N1442="","신청일 확인",IF(NOT(ISNUMBER('종합 현황'!$H$5)),"관찰기준 확인",IF('종합 현황'!$H$5&lt;1,"관찰기준 확인",IF(N1442&gt;'종합 현황'!$H$5,"내부 관찰 대상","내부 관찰일 이하")))))</x:f>
        <x:v>대상 아님</x:v>
      </x:c>
      <x:c r="AB1442" s="2" t="str">
        <x:v>2020-03-01 23:15:05 - 신규신청 - 신청 
2020-03-01 23:15:05 - 관장기관 지정 - 환경부
2020-03-09 15:04:15 - 관장기관 지정 - 산업통상자원부
2020-03-18 16:55:24 - 신규신청 - 문서재제출요청 
2020-03-20 01:11:15 - 재제출신청 - 신청 
2020-07-31 15:14:45 - 재제출신청 - 평가승인 
2020-07-31 15:15:08 - 재제출신청 - 심의승인 
2020-08-03 13:35:45 - 재제출신청 - 착수신고 
2021-11-26 12:21:23 - 사업변경 신청 - 신청 
2021-12-15 16:25:48 - 사업변경 신청 - 평가반려 
</x:v>
      </x:c>
    </x:row>
    <x:row r="1443" ht="42" customHeight="1">
      <x:c r="A1443" s="2" t="str">
        <x:v>4b3018754b79383cf0897521</x:v>
      </x:c>
      <x:c r="B1443" s="2" t="str">
        <x:v>사업 평가</x:v>
      </x:c>
      <x:c r="C1443" s="2" t="str">
        <x:v>국외</x:v>
      </x:c>
      <x:c r="D1443" s="7" t="str">
        <x:v>안전한 식수 공급을 위한 정수기 보급 사업 : CPA 86(한국 지원)</x:v>
      </x:c>
      <x:c r="E1443" s="2" t="str">
        <x:v>65</x:v>
      </x:c>
      <x:c r="F1443" s="2" t="str">
        <x:v>2020-03</x:v>
      </x:c>
      <x:c r="G1443" s="2" t="str">
        <x:v>2020</x:v>
      </x:c>
      <x:c r="H1443" s="2" t="str">
        <x:v>03</x:v>
      </x:c>
      <x:c r="I1443" s="2" t="str">
        <x:v>반려</x:v>
      </x:c>
      <x:c r="J1443" s="2" t="str">
        <x:v>반려</x:v>
      </x:c>
      <x:c r="K1443" s="2" t="str">
        <x:f>IF(OR(J1443="심의승인",J1443="반려",J1443="반려완료",J1443="심의완료"),"종결 표시",IF(OR(J1443="기후부협의",J1443="문서재제출요청",J1443="보류",J1443="보완요청",J1443="보완완료",J1443="평가중",J1443="반려요청",J1443="평가필요",LEFT(J1443,5)="보완요청("),"미종결 표시","상태 확인 필요"))</x:f>
        <x:v>종결 표시</x:v>
      </x:c>
      <x:c r="L1443" s="2"/>
      <x:c r="M1443" s="2"/>
      <x:c r="N1443" s="8"/>
      <x:c r="O1443" s="2"/>
      <x:c r="P1443" s="2" t="str">
        <x:v>사업변경신청 반려</x:v>
      </x:c>
      <x:c r="Q1443" s="2" t="str">
        <x:v>산업전환_외부사업관리Tool_260707_이너젠 수정_LJY_261013.xlsx</x:v>
      </x:c>
      <x:c r="R1443" s="2" t="str">
        <x:v>국외평가</x:v>
      </x:c>
      <x:c r="S1443" s="8" t="n">
        <x:v>67</x:v>
      </x:c>
      <x:c r="T1443" s="2"/>
      <x:c r="U1443" s="2" t="str"/>
      <x:c r="V1443" s="2" t="str">
        <x:v>2021-12-15</x:v>
      </x:c>
      <x:c r="W1443" s="2" t="str">
        <x:v>담당기관 확인</x:v>
      </x:c>
      <x:c r="X1443" s="2" t="str">
        <x:v>원본·배정 기록 확인</x:v>
      </x:c>
      <x:c r="Y1443" s="2" t="str">
        <x:v>ad210cd9ec132cfd447541c8984dc53d30aff0f4fb2dc92d254d49275cc55976</x:v>
      </x:c>
      <x:c r="Z1443" s="2" t="n">
        <x:f>SUBTOTAL(103,A1443)</x:f>
        <x:v>1</x:v>
      </x:c>
      <x:c r="AA1443" s="2" t="str">
        <x:f>IF(K1443&lt;&gt;"미종결 표시","대상 아님",IF(N1443="","신청일 확인",IF(NOT(ISNUMBER('종합 현황'!$H$5)),"관찰기준 확인",IF('종합 현황'!$H$5&lt;1,"관찰기준 확인",IF(N1443&gt;'종합 현황'!$H$5,"내부 관찰 대상","내부 관찰일 이하")))))</x:f>
        <x:v>대상 아님</x:v>
      </x:c>
      <x:c r="AB1443" s="2" t="str">
        <x:v>2020-03-01 23:15:30 - 신규신청 - 신청 
2020-03-01 23:15:30 - 관장기관 지정 - 환경부
2020-03-09 15:04:07 - 관장기관 지정 - 산업통상자원부
2020-03-18 16:55:06 - 신규신청 - 문서재제출요청 
2020-03-20 01:11:36 - 재제출신청 - 신청 
2020-07-31 15:15:28 - 재제출신청 - 평가승인 
2020-07-31 15:15:48 - 재제출신청 - 심의승인 
2020-08-03 13:36:05 - 재제출신청 - 착수신고 
2021-11-26 12:21:31 - 사업변경 신청 - 신청 
2021-12-15 16:25:27 - 사업변경 신청 - 평가반려 
</x:v>
      </x:c>
    </x:row>
    <x:row r="1444" ht="42" customHeight="1">
      <x:c r="A1444" s="2" t="str">
        <x:v>f8f0eca09bdc6e053a911924</x:v>
      </x:c>
      <x:c r="B1444" s="2" t="str">
        <x:v>사업 평가</x:v>
      </x:c>
      <x:c r="C1444" s="2" t="str">
        <x:v>국외</x:v>
      </x:c>
      <x:c r="D1444" s="7" t="str">
        <x:v>안전한 식수 공급을 위한 정수기 보급 사업 : CPA 87(한국 지원)</x:v>
      </x:c>
      <x:c r="E1444" s="2" t="str">
        <x:v>66</x:v>
      </x:c>
      <x:c r="F1444" s="2" t="str">
        <x:v>2020-03</x:v>
      </x:c>
      <x:c r="G1444" s="2" t="str">
        <x:v>2020</x:v>
      </x:c>
      <x:c r="H1444" s="2" t="str">
        <x:v>03</x:v>
      </x:c>
      <x:c r="I1444" s="2" t="str">
        <x:v>반려</x:v>
      </x:c>
      <x:c r="J1444" s="2" t="str">
        <x:v>반려</x:v>
      </x:c>
      <x:c r="K1444" s="2" t="str">
        <x:f>IF(OR(J1444="심의승인",J1444="반려",J1444="반려완료",J1444="심의완료"),"종결 표시",IF(OR(J1444="기후부협의",J1444="문서재제출요청",J1444="보류",J1444="보완요청",J1444="보완완료",J1444="평가중",J1444="반려요청",J1444="평가필요",LEFT(J1444,5)="보완요청("),"미종결 표시","상태 확인 필요"))</x:f>
        <x:v>종결 표시</x:v>
      </x:c>
      <x:c r="L1444" s="2"/>
      <x:c r="M1444" s="2"/>
      <x:c r="N1444" s="8"/>
      <x:c r="O1444" s="2"/>
      <x:c r="P1444" s="2" t="str">
        <x:v>사업변경신청 반려</x:v>
      </x:c>
      <x:c r="Q1444" s="2" t="str">
        <x:v>산업전환_외부사업관리Tool_260707_이너젠 수정_LJY_261013.xlsx</x:v>
      </x:c>
      <x:c r="R1444" s="2" t="str">
        <x:v>국외평가</x:v>
      </x:c>
      <x:c r="S1444" s="8" t="n">
        <x:v>68</x:v>
      </x:c>
      <x:c r="T1444" s="2"/>
      <x:c r="U1444" s="2" t="str"/>
      <x:c r="V1444" s="2" t="str">
        <x:v>2021-12-15</x:v>
      </x:c>
      <x:c r="W1444" s="2" t="str">
        <x:v>담당기관 확인</x:v>
      </x:c>
      <x:c r="X1444" s="2" t="str">
        <x:v>원본·배정 기록 확인</x:v>
      </x:c>
      <x:c r="Y1444" s="2" t="str">
        <x:v>ad210cd9ec132cfd447541c8984dc53d30aff0f4fb2dc92d254d49275cc55976</x:v>
      </x:c>
      <x:c r="Z1444" s="2" t="n">
        <x:f>SUBTOTAL(103,A1444)</x:f>
        <x:v>1</x:v>
      </x:c>
      <x:c r="AA1444" s="2" t="str">
        <x:f>IF(K1444&lt;&gt;"미종결 표시","대상 아님",IF(N1444="","신청일 확인",IF(NOT(ISNUMBER('종합 현황'!$H$5)),"관찰기준 확인",IF('종합 현황'!$H$5&lt;1,"관찰기준 확인",IF(N1444&gt;'종합 현황'!$H$5,"내부 관찰 대상","내부 관찰일 이하")))))</x:f>
        <x:v>대상 아님</x:v>
      </x:c>
      <x:c r="AB1444" s="2" t="str">
        <x:v>2020-03-01 23:15:55 - 신규신청 - 신청 
2020-03-01 23:15:55 - 관장기관 지정 - 환경부
2020-03-09 15:04:00 - 관장기관 지정 - 산업통상자원부
2020-03-18 16:48:23 - 신규신청 - 문서재제출요청 
2020-03-20 01:12:04 - 재제출신청 - 신청 
2020-07-31 15:16:15 - 재제출신청 - 평가승인 
2020-07-31 15:16:37 - 재제출신청 - 심의승인 
2020-08-03 13:36:25 - 재제출신청 - 착수신고 
2021-11-26 12:21:38 - 사업변경 신청 - 신청 
2021-12-15 16:24:58 - 사업변경 신청 - 평가반려 
</x:v>
      </x:c>
    </x:row>
    <x:row r="1445" ht="42" customHeight="1">
      <x:c r="A1445" s="2" t="str">
        <x:v>e7d71c4ce8f7efb2fc1ccff9</x:v>
      </x:c>
      <x:c r="B1445" s="2" t="str">
        <x:v>사업 평가</x:v>
      </x:c>
      <x:c r="C1445" s="2" t="str">
        <x:v>국외</x:v>
      </x:c>
      <x:c r="D1445" s="7" t="str">
        <x:v>안전한 식수 공급을 위한 정수기 보급 사업 : CPA 88(한국 지원)</x:v>
      </x:c>
      <x:c r="E1445" s="2" t="str">
        <x:v>67</x:v>
      </x:c>
      <x:c r="F1445" s="2" t="str">
        <x:v>2020-03</x:v>
      </x:c>
      <x:c r="G1445" s="2" t="str">
        <x:v>2020</x:v>
      </x:c>
      <x:c r="H1445" s="2" t="str">
        <x:v>03</x:v>
      </x:c>
      <x:c r="I1445" s="2" t="str">
        <x:v>반려</x:v>
      </x:c>
      <x:c r="J1445" s="2" t="str">
        <x:v>반려</x:v>
      </x:c>
      <x:c r="K1445" s="2" t="str">
        <x:f>IF(OR(J1445="심의승인",J1445="반려",J1445="반려완료",J1445="심의완료"),"종결 표시",IF(OR(J1445="기후부협의",J1445="문서재제출요청",J1445="보류",J1445="보완요청",J1445="보완완료",J1445="평가중",J1445="반려요청",J1445="평가필요",LEFT(J1445,5)="보완요청("),"미종결 표시","상태 확인 필요"))</x:f>
        <x:v>종결 표시</x:v>
      </x:c>
      <x:c r="L1445" s="2"/>
      <x:c r="M1445" s="2"/>
      <x:c r="N1445" s="8"/>
      <x:c r="O1445" s="2"/>
      <x:c r="P1445" s="2" t="str">
        <x:v>사업변경신청 반려</x:v>
      </x:c>
      <x:c r="Q1445" s="2" t="str">
        <x:v>산업전환_외부사업관리Tool_260707_이너젠 수정_LJY_261013.xlsx</x:v>
      </x:c>
      <x:c r="R1445" s="2" t="str">
        <x:v>국외평가</x:v>
      </x:c>
      <x:c r="S1445" s="8" t="n">
        <x:v>69</x:v>
      </x:c>
      <x:c r="T1445" s="2"/>
      <x:c r="U1445" s="2" t="str"/>
      <x:c r="V1445" s="2" t="str">
        <x:v>2021-12-01</x:v>
      </x:c>
      <x:c r="W1445" s="2" t="str">
        <x:v>담당기관 확인</x:v>
      </x:c>
      <x:c r="X1445" s="2" t="str">
        <x:v>원본·배정 기록 확인</x:v>
      </x:c>
      <x:c r="Y1445" s="2" t="str">
        <x:v>ad210cd9ec132cfd447541c8984dc53d30aff0f4fb2dc92d254d49275cc55976</x:v>
      </x:c>
      <x:c r="Z1445" s="2" t="n">
        <x:f>SUBTOTAL(103,A1445)</x:f>
        <x:v>1</x:v>
      </x:c>
      <x:c r="AA1445" s="2" t="str">
        <x:f>IF(K1445&lt;&gt;"미종결 표시","대상 아님",IF(N1445="","신청일 확인",IF(NOT(ISNUMBER('종합 현황'!$H$5)),"관찰기준 확인",IF('종합 현황'!$H$5&lt;1,"관찰기준 확인",IF(N1445&gt;'종합 현황'!$H$5,"내부 관찰 대상","내부 관찰일 이하")))))</x:f>
        <x:v>대상 아님</x:v>
      </x:c>
      <x:c r="AB1445" s="2" t="str">
        <x:v>2020-03-01 23:16:20 - 신규신청 - 신청 
2020-03-01 23:16:20 - 관장기관 지정 - 환경부
2020-03-09 15:03:52 - 관장기관 지정 - 산업통상자원부
2020-03-18 16:54:48 - 신규신청 - 문서재제출요청 
2020-03-20 01:12:27 - 재제출신청 - 신청 
2020-07-31 15:16:58 - 재제출신청 - 평가승인 
2020-07-31 15:17:21 - 재제출신청 - 심의승인 
2020-08-03 13:36:47 - 재제출신청 - 착수신고 
2021-11-26 12:21:46 - 사업변경 신청 - 신청 
2021-12-01 15:23:11 - 사업변경 신청 - 평가반려 
</x:v>
      </x:c>
    </x:row>
    <x:row r="1446" ht="42" customHeight="1">
      <x:c r="A1446" s="2" t="str">
        <x:v>0b17344d46fc659cd5ebdb3b</x:v>
      </x:c>
      <x:c r="B1446" s="2" t="str">
        <x:v>사업 평가</x:v>
      </x:c>
      <x:c r="C1446" s="2" t="str">
        <x:v>국외</x:v>
      </x:c>
      <x:c r="D1446" s="7" t="str">
        <x:v>안전한 식수 공급을 위한 정수기 보급 사업 : CPA 89(한국 지원)</x:v>
      </x:c>
      <x:c r="E1446" s="2" t="str">
        <x:v>68</x:v>
      </x:c>
      <x:c r="F1446" s="2" t="str">
        <x:v>2020-03</x:v>
      </x:c>
      <x:c r="G1446" s="2" t="str">
        <x:v>2020</x:v>
      </x:c>
      <x:c r="H1446" s="2" t="str">
        <x:v>03</x:v>
      </x:c>
      <x:c r="I1446" s="2" t="str">
        <x:v>반려</x:v>
      </x:c>
      <x:c r="J1446" s="2" t="str">
        <x:v>반려</x:v>
      </x:c>
      <x:c r="K1446" s="2" t="str">
        <x:f>IF(OR(J1446="심의승인",J1446="반려",J1446="반려완료",J1446="심의완료"),"종결 표시",IF(OR(J1446="기후부협의",J1446="문서재제출요청",J1446="보류",J1446="보완요청",J1446="보완완료",J1446="평가중",J1446="반려요청",J1446="평가필요",LEFT(J1446,5)="보완요청("),"미종결 표시","상태 확인 필요"))</x:f>
        <x:v>종결 표시</x:v>
      </x:c>
      <x:c r="L1446" s="2"/>
      <x:c r="M1446" s="2"/>
      <x:c r="N1446" s="8"/>
      <x:c r="O1446" s="2"/>
      <x:c r="P1446" s="2" t="str">
        <x:v>사업변경신청 반려</x:v>
      </x:c>
      <x:c r="Q1446" s="2" t="str">
        <x:v>산업전환_외부사업관리Tool_260707_이너젠 수정_LJY_261013.xlsx</x:v>
      </x:c>
      <x:c r="R1446" s="2" t="str">
        <x:v>국외평가</x:v>
      </x:c>
      <x:c r="S1446" s="8" t="n">
        <x:v>70</x:v>
      </x:c>
      <x:c r="T1446" s="2"/>
      <x:c r="U1446" s="2" t="str"/>
      <x:c r="V1446" s="2" t="str">
        <x:v>2021-12-01</x:v>
      </x:c>
      <x:c r="W1446" s="2" t="str">
        <x:v>담당기관 확인</x:v>
      </x:c>
      <x:c r="X1446" s="2" t="str">
        <x:v>원본·배정 기록 확인</x:v>
      </x:c>
      <x:c r="Y1446" s="2" t="str">
        <x:v>ad210cd9ec132cfd447541c8984dc53d30aff0f4fb2dc92d254d49275cc55976</x:v>
      </x:c>
      <x:c r="Z1446" s="2" t="n">
        <x:f>SUBTOTAL(103,A1446)</x:f>
        <x:v>1</x:v>
      </x:c>
      <x:c r="AA1446" s="2" t="str">
        <x:f>IF(K1446&lt;&gt;"미종결 표시","대상 아님",IF(N1446="","신청일 확인",IF(NOT(ISNUMBER('종합 현황'!$H$5)),"관찰기준 확인",IF('종합 현황'!$H$5&lt;1,"관찰기준 확인",IF(N1446&gt;'종합 현황'!$H$5,"내부 관찰 대상","내부 관찰일 이하")))))</x:f>
        <x:v>대상 아님</x:v>
      </x:c>
      <x:c r="AB1446" s="2" t="str">
        <x:v>2020-03-01 23:16:55 - 신규신청 - 신청 
2020-03-01 23:16:55 - 관장기관 지정 - 환경부
2020-03-09 15:03:45 - 관장기관 지정 - 산업통상자원부
2020-03-18 16:54:33 - 신규신청 - 문서재제출요청 
2020-03-20 01:12:49 - 재제출신청 - 신청 
2020-07-31 15:17:40 - 재제출신청 - 평가승인 
2020-07-31 15:17:57 - 재제출신청 - 심의승인 
2020-08-03 13:37:09 - 재제출신청 - 착수신고 
2021-11-26 12:21:53 - 사업변경 신청 - 신청 
2021-12-01 15:23:00 - 사업변경 신청 - 평가반려 
</x:v>
      </x:c>
    </x:row>
    <x:row r="1447" ht="42" customHeight="1">
      <x:c r="A1447" s="2" t="str">
        <x:v>2a0ee64206a6740cdf354357</x:v>
      </x:c>
      <x:c r="B1447" s="2" t="str">
        <x:v>사업 평가</x:v>
      </x:c>
      <x:c r="C1447" s="2" t="str">
        <x:v>국외</x:v>
      </x:c>
      <x:c r="D1447" s="7" t="str">
        <x:v>안전한 식수 공급을 위한 정수기 보급 사업 : CPA 90(한국 지원)</x:v>
      </x:c>
      <x:c r="E1447" s="2" t="str">
        <x:v>69</x:v>
      </x:c>
      <x:c r="F1447" s="2" t="str">
        <x:v>2020-03</x:v>
      </x:c>
      <x:c r="G1447" s="2" t="str">
        <x:v>2020</x:v>
      </x:c>
      <x:c r="H1447" s="2" t="str">
        <x:v>03</x:v>
      </x:c>
      <x:c r="I1447" s="2" t="str">
        <x:v>반려</x:v>
      </x:c>
      <x:c r="J1447" s="2" t="str">
        <x:v>반려</x:v>
      </x:c>
      <x:c r="K1447" s="2" t="str">
        <x:f>IF(OR(J1447="심의승인",J1447="반려",J1447="반려완료",J1447="심의완료"),"종결 표시",IF(OR(J1447="기후부협의",J1447="문서재제출요청",J1447="보류",J1447="보완요청",J1447="보완완료",J1447="평가중",J1447="반려요청",J1447="평가필요",LEFT(J1447,5)="보완요청("),"미종결 표시","상태 확인 필요"))</x:f>
        <x:v>종결 표시</x:v>
      </x:c>
      <x:c r="L1447" s="2"/>
      <x:c r="M1447" s="2"/>
      <x:c r="N1447" s="8"/>
      <x:c r="O1447" s="2"/>
      <x:c r="P1447" s="2" t="str">
        <x:v>사업변경신청 반려</x:v>
      </x:c>
      <x:c r="Q1447" s="2" t="str">
        <x:v>산업전환_외부사업관리Tool_260707_이너젠 수정_LJY_261013.xlsx</x:v>
      </x:c>
      <x:c r="R1447" s="2" t="str">
        <x:v>국외평가</x:v>
      </x:c>
      <x:c r="S1447" s="8" t="n">
        <x:v>71</x:v>
      </x:c>
      <x:c r="T1447" s="2"/>
      <x:c r="U1447" s="2" t="str"/>
      <x:c r="V1447" s="2" t="str">
        <x:v>2021-12-01</x:v>
      </x:c>
      <x:c r="W1447" s="2" t="str">
        <x:v>담당기관 확인</x:v>
      </x:c>
      <x:c r="X1447" s="2" t="str">
        <x:v>원본·배정 기록 확인</x:v>
      </x:c>
      <x:c r="Y1447" s="2" t="str">
        <x:v>ad210cd9ec132cfd447541c8984dc53d30aff0f4fb2dc92d254d49275cc55976</x:v>
      </x:c>
      <x:c r="Z1447" s="2" t="n">
        <x:f>SUBTOTAL(103,A1447)</x:f>
        <x:v>1</x:v>
      </x:c>
      <x:c r="AA1447" s="2" t="str">
        <x:f>IF(K1447&lt;&gt;"미종결 표시","대상 아님",IF(N1447="","신청일 확인",IF(NOT(ISNUMBER('종합 현황'!$H$5)),"관찰기준 확인",IF('종합 현황'!$H$5&lt;1,"관찰기준 확인",IF(N1447&gt;'종합 현황'!$H$5,"내부 관찰 대상","내부 관찰일 이하")))))</x:f>
        <x:v>대상 아님</x:v>
      </x:c>
      <x:c r="AB1447" s="2" t="str">
        <x:v>2020-03-01 23:17:19 - 신규신청 - 신청 
2020-03-01 23:17:19 - 관장기관 지정 - 환경부
2020-03-09 15:03:39 - 관장기관 지정 - 산업통상자원부
2020-03-18 16:54:14 - 신규신청 - 문서재제출요청 
2020-03-20 01:13:14 - 재제출신청 - 신청 
2020-07-31 15:18:18 - 재제출신청 - 평가승인 
2020-07-31 15:18:42 - 재제출신청 - 심의승인 
2020-08-03 13:37:34 - 재제출신청 - 착수신고 
2021-11-26 12:22:01 - 사업변경 신청 - 신청 
2021-12-01 15:22:48 - 사업변경 신청 - 평가반려 
</x:v>
      </x:c>
    </x:row>
    <x:row r="1448" ht="42" customHeight="1">
      <x:c r="A1448" s="2" t="str">
        <x:v>48f7d035256bb8f81d46f51f</x:v>
      </x:c>
      <x:c r="B1448" s="2" t="str">
        <x:v>사업 평가</x:v>
      </x:c>
      <x:c r="C1448" s="2" t="str">
        <x:v>국외</x:v>
      </x:c>
      <x:c r="D1448" s="7" t="str">
        <x:v>안전한 식수 공급을 위한 정수기 보급 사업 : CPA 91(한국 지원)</x:v>
      </x:c>
      <x:c r="E1448" s="2" t="str">
        <x:v>70</x:v>
      </x:c>
      <x:c r="F1448" s="2" t="str">
        <x:v>2020-03</x:v>
      </x:c>
      <x:c r="G1448" s="2" t="str">
        <x:v>2020</x:v>
      </x:c>
      <x:c r="H1448" s="2" t="str">
        <x:v>03</x:v>
      </x:c>
      <x:c r="I1448" s="2" t="str">
        <x:v>반려</x:v>
      </x:c>
      <x:c r="J1448" s="2" t="str">
        <x:v>반려</x:v>
      </x:c>
      <x:c r="K1448" s="2" t="str">
        <x:f>IF(OR(J1448="심의승인",J1448="반려",J1448="반려완료",J1448="심의완료"),"종결 표시",IF(OR(J1448="기후부협의",J1448="문서재제출요청",J1448="보류",J1448="보완요청",J1448="보완완료",J1448="평가중",J1448="반려요청",J1448="평가필요",LEFT(J1448,5)="보완요청("),"미종결 표시","상태 확인 필요"))</x:f>
        <x:v>종결 표시</x:v>
      </x:c>
      <x:c r="L1448" s="2"/>
      <x:c r="M1448" s="2"/>
      <x:c r="N1448" s="8"/>
      <x:c r="O1448" s="2"/>
      <x:c r="P1448" s="2" t="str">
        <x:v>사업변경신청 반려</x:v>
      </x:c>
      <x:c r="Q1448" s="2" t="str">
        <x:v>산업전환_외부사업관리Tool_260707_이너젠 수정_LJY_261013.xlsx</x:v>
      </x:c>
      <x:c r="R1448" s="2" t="str">
        <x:v>국외평가</x:v>
      </x:c>
      <x:c r="S1448" s="8" t="n">
        <x:v>72</x:v>
      </x:c>
      <x:c r="T1448" s="2"/>
      <x:c r="U1448" s="2" t="str"/>
      <x:c r="V1448" s="2" t="str">
        <x:v>2021-12-01</x:v>
      </x:c>
      <x:c r="W1448" s="2" t="str">
        <x:v>담당기관 확인</x:v>
      </x:c>
      <x:c r="X1448" s="2" t="str">
        <x:v>원본·배정 기록 확인</x:v>
      </x:c>
      <x:c r="Y1448" s="2" t="str">
        <x:v>ad210cd9ec132cfd447541c8984dc53d30aff0f4fb2dc92d254d49275cc55976</x:v>
      </x:c>
      <x:c r="Z1448" s="2" t="n">
        <x:f>SUBTOTAL(103,A1448)</x:f>
        <x:v>1</x:v>
      </x:c>
      <x:c r="AA1448" s="2" t="str">
        <x:f>IF(K1448&lt;&gt;"미종결 표시","대상 아님",IF(N1448="","신청일 확인",IF(NOT(ISNUMBER('종합 현황'!$H$5)),"관찰기준 확인",IF('종합 현황'!$H$5&lt;1,"관찰기준 확인",IF(N1448&gt;'종합 현황'!$H$5,"내부 관찰 대상","내부 관찰일 이하")))))</x:f>
        <x:v>대상 아님</x:v>
      </x:c>
      <x:c r="AB1448" s="2" t="str">
        <x:v>2020-03-01 23:17:47 - 신규신청 - 신청 
2020-03-01 23:17:47 - 관장기관 지정 - 환경부
2020-03-09 15:03:33 - 관장기관 지정 - 산업통상자원부
2020-03-18 16:53:56 - 신규신청 - 문서재제출요청 
2020-03-20 01:13:40 - 재제출신청 - 신청 
2020-07-31 15:37:31 - 재제출신청 - 평가승인 
2020-07-31 15:38:01 - 재제출신청 - 심의승인 
2020-08-03 13:37:54 - 재제출신청 - 착수신고 
2021-11-26 12:22:08 - 사업변경 신청 - 신청 
2021-12-01 15:22:28 - 사업변경 신청 - 평가반려 
</x:v>
      </x:c>
    </x:row>
    <x:row r="1449" ht="42" customHeight="1">
      <x:c r="A1449" s="2" t="str">
        <x:v>74ba897f383e724cfe9f020d</x:v>
      </x:c>
      <x:c r="B1449" s="2" t="str">
        <x:v>사업 평가</x:v>
      </x:c>
      <x:c r="C1449" s="2" t="str">
        <x:v>국외</x:v>
      </x:c>
      <x:c r="D1449" s="7" t="str">
        <x:v>안전한 식수 공급을 위한 정수기 보급 사업 : CPA 92(한국 지원)</x:v>
      </x:c>
      <x:c r="E1449" s="2" t="str">
        <x:v>71</x:v>
      </x:c>
      <x:c r="F1449" s="2" t="str">
        <x:v>2020-03</x:v>
      </x:c>
      <x:c r="G1449" s="2" t="str">
        <x:v>2020</x:v>
      </x:c>
      <x:c r="H1449" s="2" t="str">
        <x:v>03</x:v>
      </x:c>
      <x:c r="I1449" s="2" t="str">
        <x:v>반려</x:v>
      </x:c>
      <x:c r="J1449" s="2" t="str">
        <x:v>반려</x:v>
      </x:c>
      <x:c r="K1449" s="2" t="str">
        <x:f>IF(OR(J1449="심의승인",J1449="반려",J1449="반려완료",J1449="심의완료"),"종결 표시",IF(OR(J1449="기후부협의",J1449="문서재제출요청",J1449="보류",J1449="보완요청",J1449="보완완료",J1449="평가중",J1449="반려요청",J1449="평가필요",LEFT(J1449,5)="보완요청("),"미종결 표시","상태 확인 필요"))</x:f>
        <x:v>종결 표시</x:v>
      </x:c>
      <x:c r="L1449" s="2"/>
      <x:c r="M1449" s="2"/>
      <x:c r="N1449" s="8"/>
      <x:c r="O1449" s="2"/>
      <x:c r="P1449" s="2" t="str">
        <x:v>사업변경신청 반려</x:v>
      </x:c>
      <x:c r="Q1449" s="2" t="str">
        <x:v>산업전환_외부사업관리Tool_260707_이너젠 수정_LJY_261013.xlsx</x:v>
      </x:c>
      <x:c r="R1449" s="2" t="str">
        <x:v>국외평가</x:v>
      </x:c>
      <x:c r="S1449" s="8" t="n">
        <x:v>73</x:v>
      </x:c>
      <x:c r="T1449" s="2"/>
      <x:c r="U1449" s="2" t="str"/>
      <x:c r="V1449" s="2" t="str">
        <x:v>2021-12-01</x:v>
      </x:c>
      <x:c r="W1449" s="2" t="str">
        <x:v>담당기관 확인</x:v>
      </x:c>
      <x:c r="X1449" s="2" t="str">
        <x:v>원본·배정 기록 확인</x:v>
      </x:c>
      <x:c r="Y1449" s="2" t="str">
        <x:v>ad210cd9ec132cfd447541c8984dc53d30aff0f4fb2dc92d254d49275cc55976</x:v>
      </x:c>
      <x:c r="Z1449" s="2" t="n">
        <x:f>SUBTOTAL(103,A1449)</x:f>
        <x:v>1</x:v>
      </x:c>
      <x:c r="AA1449" s="2" t="str">
        <x:f>IF(K1449&lt;&gt;"미종결 표시","대상 아님",IF(N1449="","신청일 확인",IF(NOT(ISNUMBER('종합 현황'!$H$5)),"관찰기준 확인",IF('종합 현황'!$H$5&lt;1,"관찰기준 확인",IF(N1449&gt;'종합 현황'!$H$5,"내부 관찰 대상","내부 관찰일 이하")))))</x:f>
        <x:v>대상 아님</x:v>
      </x:c>
      <x:c r="AB1449" s="2" t="str">
        <x:v>2020-03-01 23:18:16 - 신규신청 - 신청 
2020-03-01 23:18:16 - 관장기관 지정 - 환경부
2020-03-09 15:03:27 - 관장기관 지정 - 산업통상자원부
2020-03-18 16:53:39 - 신규신청 - 문서재제출요청 
2020-03-20 01:14:24 - 재제출신청 - 신청 
2020-07-31 15:38:34 - 재제출신청 - 평가승인 
2020-07-31 15:39:39 - 재제출신청 - 심의승인 
2020-08-03 13:38:17 - 재제출신청 - 착수신고 
2021-11-26 12:22:17 - 사업변경 신청 - 신청 
2021-12-01 15:22:16 - 사업변경 신청 - 평가반려 
</x:v>
      </x:c>
    </x:row>
    <x:row r="1450" ht="42" customHeight="1">
      <x:c r="A1450" s="2" t="str">
        <x:v>b913c0d183f3191dda083d7f</x:v>
      </x:c>
      <x:c r="B1450" s="2" t="str">
        <x:v>사업 평가</x:v>
      </x:c>
      <x:c r="C1450" s="2" t="str">
        <x:v>국외</x:v>
      </x:c>
      <x:c r="D1450" s="7" t="str">
        <x:v>안전한 식수 공급을 위한 정수기 보급 사업 : CPA 93(한국 지원)</x:v>
      </x:c>
      <x:c r="E1450" s="2" t="str">
        <x:v>72</x:v>
      </x:c>
      <x:c r="F1450" s="2" t="str">
        <x:v>2020-03</x:v>
      </x:c>
      <x:c r="G1450" s="2" t="str">
        <x:v>2020</x:v>
      </x:c>
      <x:c r="H1450" s="2" t="str">
        <x:v>03</x:v>
      </x:c>
      <x:c r="I1450" s="2" t="str">
        <x:v>반려</x:v>
      </x:c>
      <x:c r="J1450" s="2" t="str">
        <x:v>반려</x:v>
      </x:c>
      <x:c r="K1450" s="2" t="str">
        <x:f>IF(OR(J1450="심의승인",J1450="반려",J1450="반려완료",J1450="심의완료"),"종결 표시",IF(OR(J1450="기후부협의",J1450="문서재제출요청",J1450="보류",J1450="보완요청",J1450="보완완료",J1450="평가중",J1450="반려요청",J1450="평가필요",LEFT(J1450,5)="보완요청("),"미종결 표시","상태 확인 필요"))</x:f>
        <x:v>종결 표시</x:v>
      </x:c>
      <x:c r="L1450" s="2"/>
      <x:c r="M1450" s="2"/>
      <x:c r="N1450" s="8"/>
      <x:c r="O1450" s="2"/>
      <x:c r="P1450" s="2" t="str">
        <x:v>사업변경신청 반려</x:v>
      </x:c>
      <x:c r="Q1450" s="2" t="str">
        <x:v>산업전환_외부사업관리Tool_260707_이너젠 수정_LJY_261013.xlsx</x:v>
      </x:c>
      <x:c r="R1450" s="2" t="str">
        <x:v>국외평가</x:v>
      </x:c>
      <x:c r="S1450" s="8" t="n">
        <x:v>74</x:v>
      </x:c>
      <x:c r="T1450" s="2"/>
      <x:c r="U1450" s="2" t="str"/>
      <x:c r="V1450" s="2" t="str">
        <x:v>2021-12-01</x:v>
      </x:c>
      <x:c r="W1450" s="2" t="str">
        <x:v>담당기관 확인</x:v>
      </x:c>
      <x:c r="X1450" s="2" t="str">
        <x:v>원본·배정 기록 확인</x:v>
      </x:c>
      <x:c r="Y1450" s="2" t="str">
        <x:v>ad210cd9ec132cfd447541c8984dc53d30aff0f4fb2dc92d254d49275cc55976</x:v>
      </x:c>
      <x:c r="Z1450" s="2" t="n">
        <x:f>SUBTOTAL(103,A1450)</x:f>
        <x:v>1</x:v>
      </x:c>
      <x:c r="AA1450" s="2" t="str">
        <x:f>IF(K1450&lt;&gt;"미종결 표시","대상 아님",IF(N1450="","신청일 확인",IF(NOT(ISNUMBER('종합 현황'!$H$5)),"관찰기준 확인",IF('종합 현황'!$H$5&lt;1,"관찰기준 확인",IF(N1450&gt;'종합 현황'!$H$5,"내부 관찰 대상","내부 관찰일 이하")))))</x:f>
        <x:v>대상 아님</x:v>
      </x:c>
      <x:c r="AB1450" s="2" t="str">
        <x:v>2020-03-01 23:18:55 - 신규신청 - 신청 
2020-03-01 23:18:55 - 관장기관 지정 - 환경부
2020-03-09 15:03:17 - 관장기관 지정 - 산업통상자원부
2020-03-18 16:53:18 - 신규신청 - 문서재제출요청 
2020-03-20 01:14:45 - 재제출신청 - 신청 
2020-07-31 15:40:00 - 재제출신청 - 평가승인 
2020-07-31 15:40:26 - 재제출신청 - 심의승인 
2020-08-03 13:38:42 - 재제출신청 - 착수신고 
2021-11-26 12:22:25 - 사업변경 신청 - 신청 
2021-12-01 15:22:03 - 사업변경 신청 - 평가반려 
</x:v>
      </x:c>
    </x:row>
    <x:row r="1451" ht="42" customHeight="1">
      <x:c r="A1451" s="2" t="str">
        <x:v>afb73ede4f72457b642615fe</x:v>
      </x:c>
      <x:c r="B1451" s="2" t="str">
        <x:v>사업 평가</x:v>
      </x:c>
      <x:c r="C1451" s="2" t="str">
        <x:v>국외</x:v>
      </x:c>
      <x:c r="D1451" s="7" t="str">
        <x:v>안전한 식수 공급을 위한 정수기 보급 사업 : CPA 94(한국 지원)</x:v>
      </x:c>
      <x:c r="E1451" s="2" t="str">
        <x:v>73</x:v>
      </x:c>
      <x:c r="F1451" s="2" t="str">
        <x:v>2020-03</x:v>
      </x:c>
      <x:c r="G1451" s="2" t="str">
        <x:v>2020</x:v>
      </x:c>
      <x:c r="H1451" s="2" t="str">
        <x:v>03</x:v>
      </x:c>
      <x:c r="I1451" s="2" t="str">
        <x:v>반려</x:v>
      </x:c>
      <x:c r="J1451" s="2" t="str">
        <x:v>반려</x:v>
      </x:c>
      <x:c r="K1451" s="2" t="str">
        <x:f>IF(OR(J1451="심의승인",J1451="반려",J1451="반려완료",J1451="심의완료"),"종결 표시",IF(OR(J1451="기후부협의",J1451="문서재제출요청",J1451="보류",J1451="보완요청",J1451="보완완료",J1451="평가중",J1451="반려요청",J1451="평가필요",LEFT(J1451,5)="보완요청("),"미종결 표시","상태 확인 필요"))</x:f>
        <x:v>종결 표시</x:v>
      </x:c>
      <x:c r="L1451" s="2"/>
      <x:c r="M1451" s="2"/>
      <x:c r="N1451" s="8"/>
      <x:c r="O1451" s="2"/>
      <x:c r="P1451" s="2" t="str">
        <x:v>사업변경신청 반려</x:v>
      </x:c>
      <x:c r="Q1451" s="2" t="str">
        <x:v>산업전환_외부사업관리Tool_260707_이너젠 수정_LJY_261013.xlsx</x:v>
      </x:c>
      <x:c r="R1451" s="2" t="str">
        <x:v>국외평가</x:v>
      </x:c>
      <x:c r="S1451" s="8" t="n">
        <x:v>75</x:v>
      </x:c>
      <x:c r="T1451" s="2"/>
      <x:c r="U1451" s="2" t="str"/>
      <x:c r="V1451" s="2" t="str">
        <x:v>2021-12-01</x:v>
      </x:c>
      <x:c r="W1451" s="2" t="str">
        <x:v>담당기관 확인</x:v>
      </x:c>
      <x:c r="X1451" s="2" t="str">
        <x:v>원본·배정 기록 확인</x:v>
      </x:c>
      <x:c r="Y1451" s="2" t="str">
        <x:v>ad210cd9ec132cfd447541c8984dc53d30aff0f4fb2dc92d254d49275cc55976</x:v>
      </x:c>
      <x:c r="Z1451" s="2" t="n">
        <x:f>SUBTOTAL(103,A1451)</x:f>
        <x:v>1</x:v>
      </x:c>
      <x:c r="AA1451" s="2" t="str">
        <x:f>IF(K1451&lt;&gt;"미종결 표시","대상 아님",IF(N1451="","신청일 확인",IF(NOT(ISNUMBER('종합 현황'!$H$5)),"관찰기준 확인",IF('종합 현황'!$H$5&lt;1,"관찰기준 확인",IF(N1451&gt;'종합 현황'!$H$5,"내부 관찰 대상","내부 관찰일 이하")))))</x:f>
        <x:v>대상 아님</x:v>
      </x:c>
      <x:c r="AB1451" s="2" t="str">
        <x:v>2020-03-01 23:19:28 - 신규신청 - 신청 
2020-03-01 23:19:28 - 관장기관 지정 - 환경부
2020-03-09 15:03:10 - 관장기관 지정 - 산업통상자원부
2020-03-18 16:53:01 - 신규신청 - 문서재제출요청 
2020-03-20 01:15:06 - 재제출신청 - 신청 
2020-07-31 15:40:49 - 재제출신청 - 평가승인 
2020-07-31 15:41:06 - 재제출신청 - 심의승인 
2020-08-03 13:39:02 - 재제출신청 - 착수신고 
2021-11-26 12:22:32 - 사업변경 신청 - 신청 
2021-12-01 15:21:51 - 사업변경 신청 - 평가반려 
</x:v>
      </x:c>
    </x:row>
    <x:row r="1452" ht="42" customHeight="1">
      <x:c r="A1452" s="2" t="str">
        <x:v>b37af9914d2dcb8d7e0062d0</x:v>
      </x:c>
      <x:c r="B1452" s="2" t="str">
        <x:v>사업 평가</x:v>
      </x:c>
      <x:c r="C1452" s="2" t="str">
        <x:v>국외</x:v>
      </x:c>
      <x:c r="D1452" s="7" t="str">
        <x:v>안전한 식수 공급을 위한 정수기 보급 사업 : CPA 95(한국 지원)</x:v>
      </x:c>
      <x:c r="E1452" s="2" t="str">
        <x:v>74</x:v>
      </x:c>
      <x:c r="F1452" s="2" t="str">
        <x:v>2020-03</x:v>
      </x:c>
      <x:c r="G1452" s="2" t="str">
        <x:v>2020</x:v>
      </x:c>
      <x:c r="H1452" s="2" t="str">
        <x:v>03</x:v>
      </x:c>
      <x:c r="I1452" s="2" t="str">
        <x:v>반려</x:v>
      </x:c>
      <x:c r="J1452" s="2" t="str">
        <x:v>반려</x:v>
      </x:c>
      <x:c r="K1452" s="2" t="str">
        <x:f>IF(OR(J1452="심의승인",J1452="반려",J1452="반려완료",J1452="심의완료"),"종결 표시",IF(OR(J1452="기후부협의",J1452="문서재제출요청",J1452="보류",J1452="보완요청",J1452="보완완료",J1452="평가중",J1452="반려요청",J1452="평가필요",LEFT(J1452,5)="보완요청("),"미종결 표시","상태 확인 필요"))</x:f>
        <x:v>종결 표시</x:v>
      </x:c>
      <x:c r="L1452" s="2"/>
      <x:c r="M1452" s="2"/>
      <x:c r="N1452" s="8"/>
      <x:c r="O1452" s="2"/>
      <x:c r="P1452" s="2" t="str">
        <x:v>사업변경신청 반려</x:v>
      </x:c>
      <x:c r="Q1452" s="2" t="str">
        <x:v>산업전환_외부사업관리Tool_260707_이너젠 수정_LJY_261013.xlsx</x:v>
      </x:c>
      <x:c r="R1452" s="2" t="str">
        <x:v>국외평가</x:v>
      </x:c>
      <x:c r="S1452" s="8" t="n">
        <x:v>76</x:v>
      </x:c>
      <x:c r="T1452" s="2"/>
      <x:c r="U1452" s="2" t="str"/>
      <x:c r="V1452" s="2" t="str">
        <x:v>2021-12-01</x:v>
      </x:c>
      <x:c r="W1452" s="2" t="str">
        <x:v>담당기관 확인</x:v>
      </x:c>
      <x:c r="X1452" s="2" t="str">
        <x:v>원본·배정 기록 확인</x:v>
      </x:c>
      <x:c r="Y1452" s="2" t="str">
        <x:v>ad210cd9ec132cfd447541c8984dc53d30aff0f4fb2dc92d254d49275cc55976</x:v>
      </x:c>
      <x:c r="Z1452" s="2" t="n">
        <x:f>SUBTOTAL(103,A1452)</x:f>
        <x:v>1</x:v>
      </x:c>
      <x:c r="AA1452" s="2" t="str">
        <x:f>IF(K1452&lt;&gt;"미종결 표시","대상 아님",IF(N1452="","신청일 확인",IF(NOT(ISNUMBER('종합 현황'!$H$5)),"관찰기준 확인",IF('종합 현황'!$H$5&lt;1,"관찰기준 확인",IF(N1452&gt;'종합 현황'!$H$5,"내부 관찰 대상","내부 관찰일 이하")))))</x:f>
        <x:v>대상 아님</x:v>
      </x:c>
      <x:c r="AB1452" s="2" t="str">
        <x:v>2020-03-01 23:19:52 - 신규신청 - 신청 
2020-03-01 23:19:52 - 관장기관 지정 - 환경부
2020-03-09 15:03:03 - 관장기관 지정 - 산업통상자원부
2020-03-18 16:52:36 - 신규신청 - 문서재제출요청 
2020-03-20 01:15:27 - 재제출신청 - 신청 
2020-07-31 15:41:24 - 재제출신청 - 평가승인 
2020-07-31 15:41:49 - 재제출신청 - 심의승인 
2020-08-03 13:39:22 - 재제출신청 - 착수신고 
2021-11-26 12:22:40 - 사업변경 신청 - 신청 
2021-12-01 15:21:26 - 사업변경 신청 - 평가반려 
</x:v>
      </x:c>
    </x:row>
    <x:row r="1453" ht="42" customHeight="1">
      <x:c r="A1453" s="2" t="str">
        <x:v>faeaadfba9a54525b4fa256e</x:v>
      </x:c>
      <x:c r="B1453" s="2" t="str">
        <x:v>사업 평가</x:v>
      </x:c>
      <x:c r="C1453" s="2" t="str">
        <x:v>국외</x:v>
      </x:c>
      <x:c r="D1453" s="7" t="str">
        <x:v>안전한 식수 공급을 위한 정수기 보급 사업 : CPA 96(한국 지원)</x:v>
      </x:c>
      <x:c r="E1453" s="2" t="str">
        <x:v>75</x:v>
      </x:c>
      <x:c r="F1453" s="2" t="str">
        <x:v>2020-03</x:v>
      </x:c>
      <x:c r="G1453" s="2" t="str">
        <x:v>2020</x:v>
      </x:c>
      <x:c r="H1453" s="2" t="str">
        <x:v>03</x:v>
      </x:c>
      <x:c r="I1453" s="2" t="str">
        <x:v>반려</x:v>
      </x:c>
      <x:c r="J1453" s="2" t="str">
        <x:v>반려</x:v>
      </x:c>
      <x:c r="K1453" s="2" t="str">
        <x:f>IF(OR(J1453="심의승인",J1453="반려",J1453="반려완료",J1453="심의완료"),"종결 표시",IF(OR(J1453="기후부협의",J1453="문서재제출요청",J1453="보류",J1453="보완요청",J1453="보완완료",J1453="평가중",J1453="반려요청",J1453="평가필요",LEFT(J1453,5)="보완요청("),"미종결 표시","상태 확인 필요"))</x:f>
        <x:v>종결 표시</x:v>
      </x:c>
      <x:c r="L1453" s="2"/>
      <x:c r="M1453" s="2"/>
      <x:c r="N1453" s="8"/>
      <x:c r="O1453" s="2"/>
      <x:c r="P1453" s="2" t="str">
        <x:v>사업변경신청 반려</x:v>
      </x:c>
      <x:c r="Q1453" s="2" t="str">
        <x:v>산업전환_외부사업관리Tool_260707_이너젠 수정_LJY_261013.xlsx</x:v>
      </x:c>
      <x:c r="R1453" s="2" t="str">
        <x:v>국외평가</x:v>
      </x:c>
      <x:c r="S1453" s="8" t="n">
        <x:v>77</x:v>
      </x:c>
      <x:c r="T1453" s="2"/>
      <x:c r="U1453" s="2" t="str"/>
      <x:c r="V1453" s="2" t="str">
        <x:v>2021-12-01</x:v>
      </x:c>
      <x:c r="W1453" s="2" t="str">
        <x:v>담당기관 확인</x:v>
      </x:c>
      <x:c r="X1453" s="2" t="str">
        <x:v>원본·배정 기록 확인</x:v>
      </x:c>
      <x:c r="Y1453" s="2" t="str">
        <x:v>ad210cd9ec132cfd447541c8984dc53d30aff0f4fb2dc92d254d49275cc55976</x:v>
      </x:c>
      <x:c r="Z1453" s="2" t="n">
        <x:f>SUBTOTAL(103,A1453)</x:f>
        <x:v>1</x:v>
      </x:c>
      <x:c r="AA1453" s="2" t="str">
        <x:f>IF(K1453&lt;&gt;"미종결 표시","대상 아님",IF(N1453="","신청일 확인",IF(NOT(ISNUMBER('종합 현황'!$H$5)),"관찰기준 확인",IF('종합 현황'!$H$5&lt;1,"관찰기준 확인",IF(N1453&gt;'종합 현황'!$H$5,"내부 관찰 대상","내부 관찰일 이하")))))</x:f>
        <x:v>대상 아님</x:v>
      </x:c>
      <x:c r="AB1453" s="2" t="str">
        <x:v>2020-03-01 23:20:17 - 신규신청 - 신청 
2020-03-01 23:20:17 - 관장기관 지정 - 환경부
2020-03-09 15:02:55 - 관장기관 지정 - 산업통상자원부
2020-03-18 16:49:08 - 신규신청 - 문서재제출요청 
2020-03-20 01:15:48 - 재제출신청 - 신청 
2020-07-31 15:42:07 - 재제출신청 - 평가승인 
2020-07-31 15:42:39 - 재제출신청 - 심의승인 
2020-08-03 13:39:43 - 재제출신청 - 착수신고 
2021-11-26 12:22:48 - 사업변경 신청 - 신청 
2021-12-01 15:21:12 - 사업변경 신청 - 평가반려 
</x:v>
      </x:c>
    </x:row>
    <x:row r="1454" ht="42" customHeight="1">
      <x:c r="A1454" s="2" t="str">
        <x:v>4a3ae3dcc7aca6bd209136ba</x:v>
      </x:c>
      <x:c r="B1454" s="2" t="str">
        <x:v>사업 평가</x:v>
      </x:c>
      <x:c r="C1454" s="2" t="str">
        <x:v>국외</x:v>
      </x:c>
      <x:c r="D1454" s="7" t="str">
        <x:v>안전한 식수 공급을 위한 정수기 보급 사업 : CPA 97(한국 지원)</x:v>
      </x:c>
      <x:c r="E1454" s="2" t="str">
        <x:v>76</x:v>
      </x:c>
      <x:c r="F1454" s="2" t="str">
        <x:v>2020-03</x:v>
      </x:c>
      <x:c r="G1454" s="2" t="str">
        <x:v>2020</x:v>
      </x:c>
      <x:c r="H1454" s="2" t="str">
        <x:v>03</x:v>
      </x:c>
      <x:c r="I1454" s="2" t="str">
        <x:v>반려</x:v>
      </x:c>
      <x:c r="J1454" s="2" t="str">
        <x:v>반려</x:v>
      </x:c>
      <x:c r="K1454" s="2" t="str">
        <x:f>IF(OR(J1454="심의승인",J1454="반려",J1454="반려완료",J1454="심의완료"),"종결 표시",IF(OR(J1454="기후부협의",J1454="문서재제출요청",J1454="보류",J1454="보완요청",J1454="보완완료",J1454="평가중",J1454="반려요청",J1454="평가필요",LEFT(J1454,5)="보완요청("),"미종결 표시","상태 확인 필요"))</x:f>
        <x:v>종결 표시</x:v>
      </x:c>
      <x:c r="L1454" s="2"/>
      <x:c r="M1454" s="2"/>
      <x:c r="N1454" s="8"/>
      <x:c r="O1454" s="2"/>
      <x:c r="P1454" s="2" t="str">
        <x:v>사업변경신청 반려</x:v>
      </x:c>
      <x:c r="Q1454" s="2" t="str">
        <x:v>산업전환_외부사업관리Tool_260707_이너젠 수정_LJY_261013.xlsx</x:v>
      </x:c>
      <x:c r="R1454" s="2" t="str">
        <x:v>국외평가</x:v>
      </x:c>
      <x:c r="S1454" s="8" t="n">
        <x:v>78</x:v>
      </x:c>
      <x:c r="T1454" s="2"/>
      <x:c r="U1454" s="2" t="str"/>
      <x:c r="V1454" s="2" t="str">
        <x:v>2021-12-01</x:v>
      </x:c>
      <x:c r="W1454" s="2" t="str">
        <x:v>담당기관 확인</x:v>
      </x:c>
      <x:c r="X1454" s="2" t="str">
        <x:v>원본·배정 기록 확인</x:v>
      </x:c>
      <x:c r="Y1454" s="2" t="str">
        <x:v>ad210cd9ec132cfd447541c8984dc53d30aff0f4fb2dc92d254d49275cc55976</x:v>
      </x:c>
      <x:c r="Z1454" s="2" t="n">
        <x:f>SUBTOTAL(103,A1454)</x:f>
        <x:v>1</x:v>
      </x:c>
      <x:c r="AA1454" s="2" t="str">
        <x:f>IF(K1454&lt;&gt;"미종결 표시","대상 아님",IF(N1454="","신청일 확인",IF(NOT(ISNUMBER('종합 현황'!$H$5)),"관찰기준 확인",IF('종합 현황'!$H$5&lt;1,"관찰기준 확인",IF(N1454&gt;'종합 현황'!$H$5,"내부 관찰 대상","내부 관찰일 이하")))))</x:f>
        <x:v>대상 아님</x:v>
      </x:c>
      <x:c r="AB1454" s="2" t="str">
        <x:v>2020-03-01 23:20:46 - 신규신청 - 신청 
2020-03-01 23:20:46 - 관장기관 지정 - 환경부
2020-03-09 15:02:47 - 관장기관 지정 - 산업통상자원부
2020-03-18 16:49:57 - 신규신청 - 문서재제출요청 
2020-03-20 01:16:12 - 재제출신청 - 신청 
2020-07-31 15:43:01 - 재제출신청 - 평가승인 
2020-07-31 15:43:28 - 재제출신청 - 심의승인 
2020-08-03 13:40:03 - 재제출신청 - 착수신고 
2021-11-26 12:22:55 - 사업변경 신청 - 신청 
2021-12-01 15:20:59 - 사업변경 신청 - 평가반려 
</x:v>
      </x:c>
    </x:row>
    <x:row r="1455" ht="42" customHeight="1">
      <x:c r="A1455" s="2" t="str">
        <x:v>e3f851d8dbdecc3efc723d3d</x:v>
      </x:c>
      <x:c r="B1455" s="2" t="str">
        <x:v>사업 평가</x:v>
      </x:c>
      <x:c r="C1455" s="2" t="str">
        <x:v>국외</x:v>
      </x:c>
      <x:c r="D1455" s="7" t="str">
        <x:v>안전한 식수 공급을 위한 정수기 보급 사업 : CPA 98(한국 지원)</x:v>
      </x:c>
      <x:c r="E1455" s="2" t="str">
        <x:v>77</x:v>
      </x:c>
      <x:c r="F1455" s="2" t="str">
        <x:v>2020-03</x:v>
      </x:c>
      <x:c r="G1455" s="2" t="str">
        <x:v>2020</x:v>
      </x:c>
      <x:c r="H1455" s="2" t="str">
        <x:v>03</x:v>
      </x:c>
      <x:c r="I1455" s="2" t="str">
        <x:v>반려</x:v>
      </x:c>
      <x:c r="J1455" s="2" t="str">
        <x:v>반려</x:v>
      </x:c>
      <x:c r="K1455" s="2" t="str">
        <x:f>IF(OR(J1455="심의승인",J1455="반려",J1455="반려완료",J1455="심의완료"),"종결 표시",IF(OR(J1455="기후부협의",J1455="문서재제출요청",J1455="보류",J1455="보완요청",J1455="보완완료",J1455="평가중",J1455="반려요청",J1455="평가필요",LEFT(J1455,5)="보완요청("),"미종결 표시","상태 확인 필요"))</x:f>
        <x:v>종결 표시</x:v>
      </x:c>
      <x:c r="L1455" s="2"/>
      <x:c r="M1455" s="2"/>
      <x:c r="N1455" s="8"/>
      <x:c r="O1455" s="2"/>
      <x:c r="P1455" s="2" t="str">
        <x:v>사업변경신청 반려</x:v>
      </x:c>
      <x:c r="Q1455" s="2" t="str">
        <x:v>산업전환_외부사업관리Tool_260707_이너젠 수정_LJY_261013.xlsx</x:v>
      </x:c>
      <x:c r="R1455" s="2" t="str">
        <x:v>국외평가</x:v>
      </x:c>
      <x:c r="S1455" s="8" t="n">
        <x:v>79</x:v>
      </x:c>
      <x:c r="T1455" s="2"/>
      <x:c r="U1455" s="2" t="str"/>
      <x:c r="V1455" s="2" t="str">
        <x:v>2021-12-01</x:v>
      </x:c>
      <x:c r="W1455" s="2" t="str">
        <x:v>담당기관 확인</x:v>
      </x:c>
      <x:c r="X1455" s="2" t="str">
        <x:v>원본·배정 기록 확인</x:v>
      </x:c>
      <x:c r="Y1455" s="2" t="str">
        <x:v>ad210cd9ec132cfd447541c8984dc53d30aff0f4fb2dc92d254d49275cc55976</x:v>
      </x:c>
      <x:c r="Z1455" s="2" t="n">
        <x:f>SUBTOTAL(103,A1455)</x:f>
        <x:v>1</x:v>
      </x:c>
      <x:c r="AA1455" s="2" t="str">
        <x:f>IF(K1455&lt;&gt;"미종결 표시","대상 아님",IF(N1455="","신청일 확인",IF(NOT(ISNUMBER('종합 현황'!$H$5)),"관찰기준 확인",IF('종합 현황'!$H$5&lt;1,"관찰기준 확인",IF(N1455&gt;'종합 현황'!$H$5,"내부 관찰 대상","내부 관찰일 이하")))))</x:f>
        <x:v>대상 아님</x:v>
      </x:c>
      <x:c r="AB1455" s="2" t="str">
        <x:v>2020-03-01 23:21:21 - 신규신청 - 신청 
2020-03-01 23:21:21 - 관장기관 지정 - 환경부
2020-03-09 15:02:39 - 관장기관 지정 - 산업통상자원부
2020-03-18 16:50:32 - 신규신청 - 문서재제출요청 
2020-03-20 01:16:31 - 재제출신청 - 신청 
2020-07-31 15:43:46 - 재제출신청 - 평가승인 
2020-07-31 15:44:36 - 재제출신청 - 심의승인 
2020-08-03 13:40:25 - 재제출신청 - 착수신고 
2021-11-26 12:23:03 - 사업변경 신청 - 신청 
2021-12-01 15:20:48 - 사업변경 신청 - 평가반려 
</x:v>
      </x:c>
    </x:row>
    <x:row r="1456" ht="42" customHeight="1">
      <x:c r="A1456" s="2" t="str">
        <x:v>6100ab9f28db39206e41b776</x:v>
      </x:c>
      <x:c r="B1456" s="2" t="str">
        <x:v>사업 평가</x:v>
      </x:c>
      <x:c r="C1456" s="2" t="str">
        <x:v>국외</x:v>
      </x:c>
      <x:c r="D1456" s="7" t="str">
        <x:v>안전한 식수 공급을 위한 정수기 보급 사업 : CPA 99(한국 지원)</x:v>
      </x:c>
      <x:c r="E1456" s="2" t="str">
        <x:v>78</x:v>
      </x:c>
      <x:c r="F1456" s="2" t="str">
        <x:v>2020-03</x:v>
      </x:c>
      <x:c r="G1456" s="2" t="str">
        <x:v>2020</x:v>
      </x:c>
      <x:c r="H1456" s="2" t="str">
        <x:v>03</x:v>
      </x:c>
      <x:c r="I1456" s="2" t="str">
        <x:v>반려</x:v>
      </x:c>
      <x:c r="J1456" s="2" t="str">
        <x:v>반려</x:v>
      </x:c>
      <x:c r="K1456" s="2" t="str">
        <x:f>IF(OR(J1456="심의승인",J1456="반려",J1456="반려완료",J1456="심의완료"),"종결 표시",IF(OR(J1456="기후부협의",J1456="문서재제출요청",J1456="보류",J1456="보완요청",J1456="보완완료",J1456="평가중",J1456="반려요청",J1456="평가필요",LEFT(J1456,5)="보완요청("),"미종결 표시","상태 확인 필요"))</x:f>
        <x:v>종결 표시</x:v>
      </x:c>
      <x:c r="L1456" s="2"/>
      <x:c r="M1456" s="2"/>
      <x:c r="N1456" s="8"/>
      <x:c r="O1456" s="2"/>
      <x:c r="P1456" s="2" t="str">
        <x:v>사업변경신청 반려</x:v>
      </x:c>
      <x:c r="Q1456" s="2" t="str">
        <x:v>산업전환_외부사업관리Tool_260707_이너젠 수정_LJY_261013.xlsx</x:v>
      </x:c>
      <x:c r="R1456" s="2" t="str">
        <x:v>국외평가</x:v>
      </x:c>
      <x:c r="S1456" s="8" t="n">
        <x:v>80</x:v>
      </x:c>
      <x:c r="T1456" s="2"/>
      <x:c r="U1456" s="2" t="str"/>
      <x:c r="V1456" s="2" t="str">
        <x:v>2021-12-01</x:v>
      </x:c>
      <x:c r="W1456" s="2" t="str">
        <x:v>담당기관 확인</x:v>
      </x:c>
      <x:c r="X1456" s="2" t="str">
        <x:v>원본·배정 기록 확인</x:v>
      </x:c>
      <x:c r="Y1456" s="2" t="str">
        <x:v>ad210cd9ec132cfd447541c8984dc53d30aff0f4fb2dc92d254d49275cc55976</x:v>
      </x:c>
      <x:c r="Z1456" s="2" t="n">
        <x:f>SUBTOTAL(103,A1456)</x:f>
        <x:v>1</x:v>
      </x:c>
      <x:c r="AA1456" s="2" t="str">
        <x:f>IF(K1456&lt;&gt;"미종결 표시","대상 아님",IF(N1456="","신청일 확인",IF(NOT(ISNUMBER('종합 현황'!$H$5)),"관찰기준 확인",IF('종합 현황'!$H$5&lt;1,"관찰기준 확인",IF(N1456&gt;'종합 현황'!$H$5,"내부 관찰 대상","내부 관찰일 이하")))))</x:f>
        <x:v>대상 아님</x:v>
      </x:c>
      <x:c r="AB1456" s="2" t="str">
        <x:v>2020-03-01 23:21:46 - 신규신청 - 신청 
2020-03-01 23:21:46 - 관장기관 지정 - 환경부
2020-03-09 15:02:31 - 관장기관 지정 - 산업통상자원부
2020-03-18 16:50:56 - 신규신청 - 문서재제출요청 
2020-03-20 01:16:57 - 재제출신청 - 신청 
2020-07-31 15:44:55 - 재제출신청 - 평가승인 
2020-07-31 15:45:18 - 재제출신청 - 심의승인 
2020-08-03 13:40:47 - 재제출신청 - 착수신고 
2021-11-26 12:23:11 - 사업변경 신청 - 신청 
2021-12-01 15:20:10 - 사업변경 신청 - 평가반려 
</x:v>
      </x:c>
    </x:row>
    <x:row r="1457" ht="42" customHeight="1">
      <x:c r="A1457" s="2" t="str">
        <x:v>1d067c23513a464337957582</x:v>
      </x:c>
      <x:c r="B1457" s="2" t="str">
        <x:v>사업 평가</x:v>
      </x:c>
      <x:c r="C1457" s="2" t="str">
        <x:v>국외</x:v>
      </x:c>
      <x:c r="D1457" s="7" t="str">
        <x:v>안전한 식수 공급을 위한 정수기 보급 사업 : CPA 100(한국 지원)</x:v>
      </x:c>
      <x:c r="E1457" s="2" t="str">
        <x:v>79</x:v>
      </x:c>
      <x:c r="F1457" s="2" t="str">
        <x:v>2020-03</x:v>
      </x:c>
      <x:c r="G1457" s="2" t="str">
        <x:v>2020</x:v>
      </x:c>
      <x:c r="H1457" s="2" t="str">
        <x:v>03</x:v>
      </x:c>
      <x:c r="I1457" s="2" t="str">
        <x:v>반려</x:v>
      </x:c>
      <x:c r="J1457" s="2" t="str">
        <x:v>반려</x:v>
      </x:c>
      <x:c r="K1457" s="2" t="str">
        <x:f>IF(OR(J1457="심의승인",J1457="반려",J1457="반려완료",J1457="심의완료"),"종결 표시",IF(OR(J1457="기후부협의",J1457="문서재제출요청",J1457="보류",J1457="보완요청",J1457="보완완료",J1457="평가중",J1457="반려요청",J1457="평가필요",LEFT(J1457,5)="보완요청("),"미종결 표시","상태 확인 필요"))</x:f>
        <x:v>종결 표시</x:v>
      </x:c>
      <x:c r="L1457" s="2"/>
      <x:c r="M1457" s="2"/>
      <x:c r="N1457" s="8"/>
      <x:c r="O1457" s="2"/>
      <x:c r="P1457" s="2" t="str">
        <x:v>사업변경신청 반려</x:v>
      </x:c>
      <x:c r="Q1457" s="2" t="str">
        <x:v>산업전환_외부사업관리Tool_260707_이너젠 수정_LJY_261013.xlsx</x:v>
      </x:c>
      <x:c r="R1457" s="2" t="str">
        <x:v>국외평가</x:v>
      </x:c>
      <x:c r="S1457" s="8" t="n">
        <x:v>81</x:v>
      </x:c>
      <x:c r="T1457" s="2"/>
      <x:c r="U1457" s="2" t="str"/>
      <x:c r="V1457" s="2" t="str">
        <x:v>2021-12-01</x:v>
      </x:c>
      <x:c r="W1457" s="2" t="str">
        <x:v>담당기관 확인</x:v>
      </x:c>
      <x:c r="X1457" s="2" t="str">
        <x:v>원본·배정 기록 확인</x:v>
      </x:c>
      <x:c r="Y1457" s="2" t="str">
        <x:v>ad210cd9ec132cfd447541c8984dc53d30aff0f4fb2dc92d254d49275cc55976</x:v>
      </x:c>
      <x:c r="Z1457" s="2" t="n">
        <x:f>SUBTOTAL(103,A1457)</x:f>
        <x:v>1</x:v>
      </x:c>
      <x:c r="AA1457" s="2" t="str">
        <x:f>IF(K1457&lt;&gt;"미종결 표시","대상 아님",IF(N1457="","신청일 확인",IF(NOT(ISNUMBER('종합 현황'!$H$5)),"관찰기준 확인",IF('종합 현황'!$H$5&lt;1,"관찰기준 확인",IF(N1457&gt;'종합 현황'!$H$5,"내부 관찰 대상","내부 관찰일 이하")))))</x:f>
        <x:v>대상 아님</x:v>
      </x:c>
      <x:c r="AB1457" s="2" t="str">
        <x:v>2020-03-01 23:22:15 - 신규신청 - 신청 
2020-03-01 23:22:15 - 관장기관 지정 - 환경부
2020-03-09 15:02:24 - 관장기관 지정 - 산업통상자원부
2020-03-18 16:47:57 - 신규신청 - 문서재제출요청 
2020-03-20 01:17:20 - 재제출신청 - 신청 
2020-07-31 15:45:39 - 재제출신청 - 평가승인 
2020-07-31 15:46:10 - 재제출신청 - 심의승인 
2020-08-03 13:41:12 - 재제출신청 - 착수신고 
2021-11-26 12:23:18 - 사업변경 신청 - 신청 
2021-12-01 15:19:14 - 사업변경 신청 - 평가반려 
</x:v>
      </x:c>
    </x:row>
    <x:row r="1458" ht="42" customHeight="1">
      <x:c r="A1458" s="2" t="str">
        <x:v>98a27ff3399d4b998883bf98</x:v>
      </x:c>
      <x:c r="B1458" s="2" t="str">
        <x:v>사업 평가</x:v>
      </x:c>
      <x:c r="C1458" s="2" t="str">
        <x:v>국외</x:v>
      </x:c>
      <x:c r="D1458" s="7" t="str">
        <x:v>안전한 식수 공급을 위한 정수기 보급 사업 : CPA 101(한국 지원)</x:v>
      </x:c>
      <x:c r="E1458" s="2" t="str">
        <x:v>80</x:v>
      </x:c>
      <x:c r="F1458" s="2" t="str">
        <x:v>2020-03</x:v>
      </x:c>
      <x:c r="G1458" s="2" t="str">
        <x:v>2020</x:v>
      </x:c>
      <x:c r="H1458" s="2" t="str">
        <x:v>03</x:v>
      </x:c>
      <x:c r="I1458" s="2" t="str">
        <x:v>반려</x:v>
      </x:c>
      <x:c r="J1458" s="2" t="str">
        <x:v>반려</x:v>
      </x:c>
      <x:c r="K1458" s="2" t="str">
        <x:f>IF(OR(J1458="심의승인",J1458="반려",J1458="반려완료",J1458="심의완료"),"종결 표시",IF(OR(J1458="기후부협의",J1458="문서재제출요청",J1458="보류",J1458="보완요청",J1458="보완완료",J1458="평가중",J1458="반려요청",J1458="평가필요",LEFT(J1458,5)="보완요청("),"미종결 표시","상태 확인 필요"))</x:f>
        <x:v>종결 표시</x:v>
      </x:c>
      <x:c r="L1458" s="2"/>
      <x:c r="M1458" s="2"/>
      <x:c r="N1458" s="8"/>
      <x:c r="O1458" s="2"/>
      <x:c r="P1458" s="2" t="str">
        <x:v>사업변경신청 반려</x:v>
      </x:c>
      <x:c r="Q1458" s="2" t="str">
        <x:v>산업전환_외부사업관리Tool_260707_이너젠 수정_LJY_261013.xlsx</x:v>
      </x:c>
      <x:c r="R1458" s="2" t="str">
        <x:v>국외평가</x:v>
      </x:c>
      <x:c r="S1458" s="8" t="n">
        <x:v>82</x:v>
      </x:c>
      <x:c r="T1458" s="2"/>
      <x:c r="U1458" s="2" t="str"/>
      <x:c r="V1458" s="2" t="str">
        <x:v>2021-12-01</x:v>
      </x:c>
      <x:c r="W1458" s="2" t="str">
        <x:v>담당기관 확인</x:v>
      </x:c>
      <x:c r="X1458" s="2" t="str">
        <x:v>원본·배정 기록 확인</x:v>
      </x:c>
      <x:c r="Y1458" s="2" t="str">
        <x:v>ad210cd9ec132cfd447541c8984dc53d30aff0f4fb2dc92d254d49275cc55976</x:v>
      </x:c>
      <x:c r="Z1458" s="2" t="n">
        <x:f>SUBTOTAL(103,A1458)</x:f>
        <x:v>1</x:v>
      </x:c>
      <x:c r="AA1458" s="2" t="str">
        <x:f>IF(K1458&lt;&gt;"미종결 표시","대상 아님",IF(N1458="","신청일 확인",IF(NOT(ISNUMBER('종합 현황'!$H$5)),"관찰기준 확인",IF('종합 현황'!$H$5&lt;1,"관찰기준 확인",IF(N1458&gt;'종합 현황'!$H$5,"내부 관찰 대상","내부 관찰일 이하")))))</x:f>
        <x:v>대상 아님</x:v>
      </x:c>
      <x:c r="AB1458" s="2" t="str">
        <x:v>2020-03-01 23:22:42 - 신규신청 - 신청 
2020-03-01 23:22:42 - 관장기관 지정 - 환경부
2020-03-09 15:02:16 - 관장기관 지정 - 산업통상자원부
2020-03-18 16:47:10 - 신규신청 - 문서재제출요청 
2020-03-20 01:17:41 - 재제출신청 - 신청 
2020-07-31 15:46:31 - 재제출신청 - 평가승인 
2020-07-31 15:46:52 - 재제출신청 - 심의승인 
2020-08-03 13:41:35 - 재제출신청 - 착수신고 
2021-11-26 12:23:27 - 사업변경 신청 - 신청 
2021-12-01 15:18:51 - 사업변경 신청 - 평가반려 
</x:v>
      </x:c>
    </x:row>
    <x:row r="1459" ht="42" customHeight="1">
      <x:c r="A1459" s="2" t="str">
        <x:v>558228d97459efcfe1e8a0b5</x:v>
      </x:c>
      <x:c r="B1459" s="2" t="str">
        <x:v>사업 평가</x:v>
      </x:c>
      <x:c r="C1459" s="2" t="str">
        <x:v>국외</x:v>
      </x:c>
      <x:c r="D1459" s="7" t="str">
        <x:v>안전한 식수 공급을 위한 정수기 보급 사업 : CPA 102(한국 지원)</x:v>
      </x:c>
      <x:c r="E1459" s="2" t="str">
        <x:v>81</x:v>
      </x:c>
      <x:c r="F1459" s="2" t="str">
        <x:v>2020-03</x:v>
      </x:c>
      <x:c r="G1459" s="2" t="str">
        <x:v>2020</x:v>
      </x:c>
      <x:c r="H1459" s="2" t="str">
        <x:v>03</x:v>
      </x:c>
      <x:c r="I1459" s="2" t="str">
        <x:v>반려</x:v>
      </x:c>
      <x:c r="J1459" s="2" t="str">
        <x:v>반려</x:v>
      </x:c>
      <x:c r="K1459" s="2" t="str">
        <x:f>IF(OR(J1459="심의승인",J1459="반려",J1459="반려완료",J1459="심의완료"),"종결 표시",IF(OR(J1459="기후부협의",J1459="문서재제출요청",J1459="보류",J1459="보완요청",J1459="보완완료",J1459="평가중",J1459="반려요청",J1459="평가필요",LEFT(J1459,5)="보완요청("),"미종결 표시","상태 확인 필요"))</x:f>
        <x:v>종결 표시</x:v>
      </x:c>
      <x:c r="L1459" s="2"/>
      <x:c r="M1459" s="2"/>
      <x:c r="N1459" s="8"/>
      <x:c r="O1459" s="2"/>
      <x:c r="P1459" s="2" t="str">
        <x:v>사업변경신청 반려</x:v>
      </x:c>
      <x:c r="Q1459" s="2" t="str">
        <x:v>산업전환_외부사업관리Tool_260707_이너젠 수정_LJY_261013.xlsx</x:v>
      </x:c>
      <x:c r="R1459" s="2" t="str">
        <x:v>국외평가</x:v>
      </x:c>
      <x:c r="S1459" s="8" t="n">
        <x:v>83</x:v>
      </x:c>
      <x:c r="T1459" s="2"/>
      <x:c r="U1459" s="2" t="str"/>
      <x:c r="V1459" s="2" t="str">
        <x:v>2021-12-01</x:v>
      </x:c>
      <x:c r="W1459" s="2" t="str">
        <x:v>담당기관 확인</x:v>
      </x:c>
      <x:c r="X1459" s="2" t="str">
        <x:v>원본·배정 기록 확인</x:v>
      </x:c>
      <x:c r="Y1459" s="2" t="str">
        <x:v>ad210cd9ec132cfd447541c8984dc53d30aff0f4fb2dc92d254d49275cc55976</x:v>
      </x:c>
      <x:c r="Z1459" s="2" t="n">
        <x:f>SUBTOTAL(103,A1459)</x:f>
        <x:v>1</x:v>
      </x:c>
      <x:c r="AA1459" s="2" t="str">
        <x:f>IF(K1459&lt;&gt;"미종결 표시","대상 아님",IF(N1459="","신청일 확인",IF(NOT(ISNUMBER('종합 현황'!$H$5)),"관찰기준 확인",IF('종합 현황'!$H$5&lt;1,"관찰기준 확인",IF(N1459&gt;'종합 현황'!$H$5,"내부 관찰 대상","내부 관찰일 이하")))))</x:f>
        <x:v>대상 아님</x:v>
      </x:c>
      <x:c r="AB1459" s="2" t="str">
        <x:v>2020-03-01 23:23:09 - 신규신청 - 신청 
2020-03-01 23:23:09 - 관장기관 지정 - 환경부
2020-03-09 15:02:10 - 관장기관 지정 - 산업통상자원부
2020-03-18 16:46:17 - 신규신청 - 문서재제출요청 
2020-03-20 01:18:05 - 재제출신청 - 신청 
2020-07-31 15:47:09 - 재제출신청 - 평가승인 
2020-07-31 15:47:25 - 재제출신청 - 심의승인 
2020-08-03 13:41:59 - 재제출신청 - 착수신고 
2021-11-26 12:23:36 - 사업변경 신청 - 신청 
2021-12-01 15:18:29 - 사업변경 신청 - 평가반려 
</x:v>
      </x:c>
    </x:row>
    <x:row r="1460" ht="42" customHeight="1">
      <x:c r="A1460" s="2" t="str">
        <x:v>cdf8f496ee06458871294c7b</x:v>
      </x:c>
      <x:c r="B1460" s="2" t="str">
        <x:v>사업 평가</x:v>
      </x:c>
      <x:c r="C1460" s="2" t="str">
        <x:v>국외</x:v>
      </x:c>
      <x:c r="D1460" s="7" t="str">
        <x:v>아프리카 고효율 쿡스토브 보급 PoA 사업 : CPA 00007(가나)(한국 지원)</x:v>
      </x:c>
      <x:c r="E1460" s="2" t="str">
        <x:v>82</x:v>
      </x:c>
      <x:c r="F1460" s="2" t="str">
        <x:v>2020-03</x:v>
      </x:c>
      <x:c r="G1460" s="2" t="str">
        <x:v>2020</x:v>
      </x:c>
      <x:c r="H1460" s="2" t="str">
        <x:v>03</x:v>
      </x:c>
      <x:c r="I1460" s="2" t="str">
        <x:v>승인</x:v>
      </x:c>
      <x:c r="J1460" s="2" t="str">
        <x:v>심의승인</x:v>
      </x:c>
      <x:c r="K1460" s="2" t="str">
        <x:f>IF(OR(J1460="심의승인",J1460="반려",J1460="반려완료",J1460="심의완료"),"종결 표시",IF(OR(J1460="기후부협의",J1460="문서재제출요청",J1460="보류",J1460="보완요청",J1460="보완완료",J1460="평가중",J1460="반려요청",J1460="평가필요",LEFT(J1460,5)="보완요청("),"미종결 표시","상태 확인 필요"))</x:f>
        <x:v>종결 표시</x:v>
      </x:c>
      <x:c r="L1460" s="2" t="str">
        <x:v>에코시안_배윤빈</x:v>
      </x:c>
      <x:c r="M1460" s="2"/>
      <x:c r="N1460" s="8"/>
      <x:c r="O1460" s="2"/>
      <x:c r="P1460" s="2"/>
      <x:c r="Q1460" s="2" t="str">
        <x:v>산업전환_외부사업관리Tool_260707_이너젠 수정_LJY_261013.xlsx</x:v>
      </x:c>
      <x:c r="R1460" s="2" t="str">
        <x:v>국외평가</x:v>
      </x:c>
      <x:c r="S1460" s="8" t="n">
        <x:v>84</x:v>
      </x:c>
      <x:c r="T1460" s="2" t="str">
        <x:v>2021-07-16T00:00:00</x:v>
      </x:c>
      <x:c r="U1460" s="2" t="str">
        <x:v>2021 지정: 2021-07-16T00:00:00</x:v>
      </x:c>
      <x:c r="V1460" s="2" t="str">
        <x:v>2021-10-20</x:v>
      </x:c>
      <x:c r="W1460" s="2" t="str"/>
      <x:c r="X1460" s="2" t="str">
        <x:v>종결 근거 보관</x:v>
      </x:c>
      <x:c r="Y1460" s="2" t="str">
        <x:v>ad210cd9ec132cfd447541c8984dc53d30aff0f4fb2dc92d254d49275cc55976</x:v>
      </x:c>
      <x:c r="Z1460" s="2" t="n">
        <x:f>SUBTOTAL(103,A1460)</x:f>
        <x:v>1</x:v>
      </x:c>
      <x:c r="AA1460" s="2" t="str">
        <x:f>IF(K1460&lt;&gt;"미종결 표시","대상 아님",IF(N1460="","신청일 확인",IF(NOT(ISNUMBER('종합 현황'!$H$5)),"관찰기준 확인",IF('종합 현황'!$H$5&lt;1,"관찰기준 확인",IF(N1460&gt;'종합 현황'!$H$5,"내부 관찰 대상","내부 관찰일 이하")))))</x:f>
        <x:v>대상 아님</x:v>
      </x:c>
      <x:c r="AB1460" s="2" t="str">
        <x:v>2020-03-09 00:14:32 - 신규신청 - 신청 
2020-03-09 00:14:32 - 관장기관 지정 - 환경부
2020-03-09 15:01:49 - 관장기관 지정 - 산업통상자원부
2020-04-10 10:22:45 - 신규신청 - 문서재제출요청 
2020-04-28 13:24:50 - 재제출신청 - 신청 
2020-04-29 13:36:40 - 재제출신청 - 문서재제출요청 
2020-04-29 13:52:49 - 재제출신청 - 신청 
2020-07-27 11:10:57 - 재제출신청 - 문서재제출요청 
2020-08-27 13:54:24 - 재제출신청 - 신청 
2020-09-23 09:54:25 - 재제출신청 - 보완요청 
2020-12-04 09:57:31 - 보완신청 - 신청 
2021-03-02 14:29:41 - 보완신청 - 문서재제출요청 
2021-04-16 17:17:11 - 재제출신청 - 신청 
2021-06-09 09:34:44 - 재제출신청 - 문서재제출요청 
2021-07-14 14:43:17 - 재제출신청 - 신청 
2021-08-05 14:01:24 - 재제출신청 - 문서재제출요청 
2021-08-19 10:01:11 - 재제출신청 - 신청 
2021-09-27 11:33:13 - 재제출신청 - 평가승인 
2021-09-27 11:40:10 - 재제출신청 - 심의승인 
2021-10-20 14:49:34 - 재제출신청 - 착수신고 
</x:v>
      </x:c>
    </x:row>
    <x:row r="1461" ht="42" customHeight="1">
      <x:c r="A1461" s="2" t="str">
        <x:v>873eaf42a6c1293b888dc93e</x:v>
      </x:c>
      <x:c r="B1461" s="2" t="str">
        <x:v>사업 평가</x:v>
      </x:c>
      <x:c r="C1461" s="2" t="str">
        <x:v>국외</x:v>
      </x:c>
      <x:c r="D1461" s="7" t="str">
        <x:v>아프리카 고효율 쿡스토브 보급 PoA 사업 : CPA 00008(가나)(한국 지원)</x:v>
      </x:c>
      <x:c r="E1461" s="2" t="str">
        <x:v>83</x:v>
      </x:c>
      <x:c r="F1461" s="2" t="str">
        <x:v>2020-03</x:v>
      </x:c>
      <x:c r="G1461" s="2" t="str">
        <x:v>2020</x:v>
      </x:c>
      <x:c r="H1461" s="2" t="str">
        <x:v>03</x:v>
      </x:c>
      <x:c r="I1461" s="2" t="str">
        <x:v>승인</x:v>
      </x:c>
      <x:c r="J1461" s="2" t="str">
        <x:v>심의승인</x:v>
      </x:c>
      <x:c r="K1461" s="2" t="str">
        <x:f>IF(OR(J1461="심의승인",J1461="반려",J1461="반려완료",J1461="심의완료"),"종결 표시",IF(OR(J1461="기후부협의",J1461="문서재제출요청",J1461="보류",J1461="보완요청",J1461="보완완료",J1461="평가중",J1461="반려요청",J1461="평가필요",LEFT(J1461,5)="보완요청("),"미종결 표시","상태 확인 필요"))</x:f>
        <x:v>종결 표시</x:v>
      </x:c>
      <x:c r="L1461" s="2" t="str">
        <x:v>에코시안_배윤빈</x:v>
      </x:c>
      <x:c r="M1461" s="2"/>
      <x:c r="N1461" s="8"/>
      <x:c r="O1461" s="2"/>
      <x:c r="P1461" s="2"/>
      <x:c r="Q1461" s="2" t="str">
        <x:v>산업전환_외부사업관리Tool_260707_이너젠 수정_LJY_261013.xlsx</x:v>
      </x:c>
      <x:c r="R1461" s="2" t="str">
        <x:v>국외평가</x:v>
      </x:c>
      <x:c r="S1461" s="8" t="n">
        <x:v>85</x:v>
      </x:c>
      <x:c r="T1461" s="2" t="str">
        <x:v>2021-07-16T00:00:00</x:v>
      </x:c>
      <x:c r="U1461" s="2" t="str">
        <x:v>2021 지정: 2021-07-16T00:00:00</x:v>
      </x:c>
      <x:c r="V1461" s="2" t="str">
        <x:v>2021-10-20</x:v>
      </x:c>
      <x:c r="W1461" s="2" t="str"/>
      <x:c r="X1461" s="2" t="str">
        <x:v>종결 근거 보관</x:v>
      </x:c>
      <x:c r="Y1461" s="2" t="str">
        <x:v>ad210cd9ec132cfd447541c8984dc53d30aff0f4fb2dc92d254d49275cc55976</x:v>
      </x:c>
      <x:c r="Z1461" s="2" t="n">
        <x:f>SUBTOTAL(103,A1461)</x:f>
        <x:v>1</x:v>
      </x:c>
      <x:c r="AA1461" s="2" t="str">
        <x:f>IF(K1461&lt;&gt;"미종결 표시","대상 아님",IF(N1461="","신청일 확인",IF(NOT(ISNUMBER('종합 현황'!$H$5)),"관찰기준 확인",IF('종합 현황'!$H$5&lt;1,"관찰기준 확인",IF(N1461&gt;'종합 현황'!$H$5,"내부 관찰 대상","내부 관찰일 이하")))))</x:f>
        <x:v>대상 아님</x:v>
      </x:c>
      <x:c r="AB1461" s="2" t="str">
        <x:v>2020-03-09 00:15:21 - 신규신청 - 신청 
2020-03-09 00:15:21 - 관장기관 지정 - 환경부
2020-03-09 15:01:42 - 관장기관 지정 - 산업통상자원부
2020-04-10 10:22:27 - 신규신청 - 문서재제출요청 
2020-04-28 13:25:07 - 재제출신청 - 신청 
2020-04-29 13:36:54 - 재제출신청 - 문서재제출요청 
2020-04-29 13:53:06 - 재제출신청 - 신청 
2020-07-27 11:11:37 - 재제출신청 - 문서재제출요청 
2020-08-27 13:56:02 - 재제출신청 - 신청 
2020-09-23 09:53:46 - 재제출신청 - 보완요청 
2020-12-04 09:57:53 - 보완신청 - 신청 
2021-03-02 14:29:22 - 보완신청 - 문서재제출요청 
2021-04-16 17:16:50 - 재제출신청 - 신청 
2021-06-09 09:35:12 - 재제출신청 - 문서재제출요청 
2021-07-14 14:43:58 - 재제출신청 - 신청 
2021-08-05 14:02:07 - 재제출신청 - 문서재제출요청 
2021-08-19 10:01:25 - 재제출신청 - 신청 
2021-09-27 11:38:36 - 재제출신청 - 평가승인 
2021-09-27 11:39:02 - 재제출신청 - 심의승인 
2021-10-20 14:51:25 - 재제출신청 - 착수신고 
</x:v>
      </x:c>
    </x:row>
    <x:row r="1462" ht="42" customHeight="1">
      <x:c r="A1462" s="2" t="str">
        <x:v>e3c6ef939a0e8b9d9986219e</x:v>
      </x:c>
      <x:c r="B1462" s="2" t="str">
        <x:v>사업 평가</x:v>
      </x:c>
      <x:c r="C1462" s="2" t="str">
        <x:v>국외</x:v>
      </x:c>
      <x:c r="D1462" s="7" t="str">
        <x:v>아프리카 고효율 쿡스토브 보급 PoA 사업 : CPA 00009(가나)(한국 지원)</x:v>
      </x:c>
      <x:c r="E1462" s="2" t="str">
        <x:v>84</x:v>
      </x:c>
      <x:c r="F1462" s="2" t="str">
        <x:v>2020-03</x:v>
      </x:c>
      <x:c r="G1462" s="2" t="str">
        <x:v>2020</x:v>
      </x:c>
      <x:c r="H1462" s="2" t="str">
        <x:v>03</x:v>
      </x:c>
      <x:c r="I1462" s="2" t="str">
        <x:v>승인</x:v>
      </x:c>
      <x:c r="J1462" s="2" t="str">
        <x:v>심의승인</x:v>
      </x:c>
      <x:c r="K1462" s="2" t="str">
        <x:f>IF(OR(J1462="심의승인",J1462="반려",J1462="반려완료",J1462="심의완료"),"종결 표시",IF(OR(J1462="기후부협의",J1462="문서재제출요청",J1462="보류",J1462="보완요청",J1462="보완완료",J1462="평가중",J1462="반려요청",J1462="평가필요",LEFT(J1462,5)="보완요청("),"미종결 표시","상태 확인 필요"))</x:f>
        <x:v>종결 표시</x:v>
      </x:c>
      <x:c r="L1462" s="2" t="str">
        <x:v>에코시안_배윤빈</x:v>
      </x:c>
      <x:c r="M1462" s="2"/>
      <x:c r="N1462" s="8"/>
      <x:c r="O1462" s="2"/>
      <x:c r="P1462" s="2"/>
      <x:c r="Q1462" s="2" t="str">
        <x:v>산업전환_외부사업관리Tool_260707_이너젠 수정_LJY_261013.xlsx</x:v>
      </x:c>
      <x:c r="R1462" s="2" t="str">
        <x:v>국외평가</x:v>
      </x:c>
      <x:c r="S1462" s="8" t="n">
        <x:v>86</x:v>
      </x:c>
      <x:c r="T1462" s="2" t="str">
        <x:v>2021-07-16T00:00:00</x:v>
      </x:c>
      <x:c r="U1462" s="2" t="str">
        <x:v>2021 지정: 2021-07-16T00:00:00</x:v>
      </x:c>
      <x:c r="V1462" s="2" t="str">
        <x:v>2021-10-20</x:v>
      </x:c>
      <x:c r="W1462" s="2" t="str"/>
      <x:c r="X1462" s="2" t="str">
        <x:v>종결 근거 보관</x:v>
      </x:c>
      <x:c r="Y1462" s="2" t="str">
        <x:v>ad210cd9ec132cfd447541c8984dc53d30aff0f4fb2dc92d254d49275cc55976</x:v>
      </x:c>
      <x:c r="Z1462" s="2" t="n">
        <x:f>SUBTOTAL(103,A1462)</x:f>
        <x:v>1</x:v>
      </x:c>
      <x:c r="AA1462" s="2" t="str">
        <x:f>IF(K1462&lt;&gt;"미종결 표시","대상 아님",IF(N1462="","신청일 확인",IF(NOT(ISNUMBER('종합 현황'!$H$5)),"관찰기준 확인",IF('종합 현황'!$H$5&lt;1,"관찰기준 확인",IF(N1462&gt;'종합 현황'!$H$5,"내부 관찰 대상","내부 관찰일 이하")))))</x:f>
        <x:v>대상 아님</x:v>
      </x:c>
      <x:c r="AB1462" s="2" t="str">
        <x:v>2020-03-09 00:15:48 - 신규신청 - 신청 
2020-03-09 00:15:48 - 관장기관 지정 - 환경부
2020-03-09 15:01:34 - 관장기관 지정 - 산업통상자원부
2020-04-10 10:22:08 - 신규신청 - 문서재제출요청 
2020-04-28 13:25:20 - 재제출신청 - 신청 
2020-04-29 13:37:07 - 재제출신청 - 문서재제출요청 
2020-04-29 13:53:26 - 재제출신청 - 신청 
2020-07-27 11:12:14 - 재제출신청 - 문서재제출요청 
2020-08-27 13:56:28 - 재제출신청 - 신청 
2020-09-23 09:53:30 - 재제출신청 - 보완요청 
2020-12-04 09:58:10 - 보완신청 - 신청 
2021-03-02 14:28:52 - 보완신청 - 문서재제출요청 
2021-04-16 17:16:17 - 재제출신청 - 신청 
2021-06-09 09:35:35 - 재제출신청 - 문서재제출요청 
2021-07-14 14:44:28 - 재제출신청 - 신청 
2021-08-05 14:02:44 - 재제출신청 - 문서재제출요청 
2021-08-19 10:01:35 - 재제출신청 - 신청 
2021-09-27 11:37:53 - 재제출신청 - 평가승인 
2021-09-27 11:39:41 - 재제출신청 - 심의승인 
2021-10-20 14:52:03 - 재제출신청 - 착수신고 
</x:v>
      </x:c>
    </x:row>
    <x:row r="1463" ht="42" customHeight="1">
      <x:c r="A1463" s="2" t="str">
        <x:v>323a5e26653384839ead93ea</x:v>
      </x:c>
      <x:c r="B1463" s="2" t="str">
        <x:v>사업 평가</x:v>
      </x:c>
      <x:c r="C1463" s="2" t="str">
        <x:v>국외</x:v>
      </x:c>
      <x:c r="D1463" s="7" t="str">
        <x:v>BioLite의 발전된 쿡스토브 프로그램  - 한국에서 지원하는 CPA 011</x:v>
      </x:c>
      <x:c r="E1463" s="2" t="str">
        <x:v>116</x:v>
      </x:c>
      <x:c r="F1463" s="2" t="str">
        <x:v>2020-09</x:v>
      </x:c>
      <x:c r="G1463" s="2" t="str">
        <x:v>2020</x:v>
      </x:c>
      <x:c r="H1463" s="2" t="str">
        <x:v>09</x:v>
      </x:c>
      <x:c r="I1463" s="2" t="str">
        <x:v>검토필요</x:v>
      </x:c>
      <x:c r="J1463" s="2" t="str">
        <x:v>보류</x:v>
      </x:c>
      <x:c r="K1463" s="2" t="str">
        <x:f>IF(OR(J1463="심의승인",J1463="반려",J1463="반려완료",J1463="심의완료"),"종결 표시",IF(OR(J1463="기후부협의",J1463="문서재제출요청",J1463="보류",J1463="보완요청",J1463="보완완료",J1463="평가중",J1463="반려요청",J1463="평가필요",LEFT(J1463,5)="보완요청("),"미종결 표시","상태 확인 필요"))</x:f>
        <x:v>미종결 표시</x:v>
      </x:c>
      <x:c r="L1463" s="2" t="str">
        <x:v>KRIC</x:v>
      </x:c>
      <x:c r="M1463" s="2"/>
      <x:c r="N1463" s="8"/>
      <x:c r="O1463" s="2"/>
      <x:c r="P1463" s="2" t="str">
        <x:v>반려보류</x:v>
      </x:c>
      <x:c r="Q1463" s="2" t="str">
        <x:v>산업전환_외부사업관리Tool_260707_이너젠 수정_LJY_261013.xlsx</x:v>
      </x:c>
      <x:c r="R1463" s="2" t="str">
        <x:v>국외평가</x:v>
      </x:c>
      <x:c r="S1463" s="8" t="n">
        <x:v>87</x:v>
      </x:c>
      <x:c r="T1463" s="2" t="str">
        <x:v>(5/18)</x:v>
      </x:c>
      <x:c r="U1463" s="2" t="str">
        <x:v>2022 지정: (5/18)</x:v>
      </x:c>
      <x:c r="V1463" s="2" t="str">
        <x:v>2022-04-28</x:v>
      </x:c>
      <x:c r="W1463" s="2" t="str"/>
      <x:c r="X1463" s="2" t="str">
        <x:v>검토 진행 일정 확인</x:v>
      </x:c>
      <x:c r="Y1463" s="2" t="str">
        <x:v>ad210cd9ec132cfd447541c8984dc53d30aff0f4fb2dc92d254d49275cc55976</x:v>
      </x:c>
      <x:c r="Z1463" s="2" t="n">
        <x:f>SUBTOTAL(103,A1463)</x:f>
        <x:v>1</x:v>
      </x:c>
      <x:c r="AA1463" s="2" t="str">
        <x:f>IF(K1463&lt;&gt;"미종결 표시","대상 아님",IF(N1463="","신청일 확인",IF(NOT(ISNUMBER('종합 현황'!$H$5)),"관찰기준 확인",IF('종합 현황'!$H$5&lt;1,"관찰기준 확인",IF(N1463&gt;'종합 현황'!$H$5,"내부 관찰 대상","내부 관찰일 이하")))))</x:f>
        <x:v>신청일 확인</x:v>
      </x:c>
      <x:c r="AB1463" s="2" t="str">
        <x:v>2020-09-01 10:05:18 - 신규신청 - 신청 
2020-09-01 10:05:18 - 관장기관 지정 - 환경부
2020-09-11 17:35:51 - 관장기관 지정 - 산업통상자원부
2020-09-18 17:36:26 - 신규신청 - 문서재제출요청 
2022-04-28 14:33:55 - 재제출신청 - 신청 
</x:v>
      </x:c>
    </x:row>
    <x:row r="1464" ht="42" customHeight="1">
      <x:c r="A1464" s="2" t="str">
        <x:v>3c2289a6753dbe87a1249433</x:v>
      </x:c>
      <x:c r="B1464" s="2" t="str">
        <x:v>사업 평가</x:v>
      </x:c>
      <x:c r="C1464" s="2" t="str">
        <x:v>국외</x:v>
      </x:c>
      <x:c r="D1464" s="7" t="str">
        <x:v>BioLite의 발전된 쿡스토브 프로그램 - 한국에서 지원하는 CPA 012</x:v>
      </x:c>
      <x:c r="E1464" s="2" t="str">
        <x:v>117</x:v>
      </x:c>
      <x:c r="F1464" s="2" t="str">
        <x:v>2020-09</x:v>
      </x:c>
      <x:c r="G1464" s="2" t="str">
        <x:v>2020</x:v>
      </x:c>
      <x:c r="H1464" s="2" t="str">
        <x:v>09</x:v>
      </x:c>
      <x:c r="I1464" s="2" t="str">
        <x:v>검토필요</x:v>
      </x:c>
      <x:c r="J1464" s="2" t="str">
        <x:v>보류</x:v>
      </x:c>
      <x:c r="K1464" s="2" t="str">
        <x:f>IF(OR(J1464="심의승인",J1464="반려",J1464="반려완료",J1464="심의완료"),"종결 표시",IF(OR(J1464="기후부협의",J1464="문서재제출요청",J1464="보류",J1464="보완요청",J1464="보완완료",J1464="평가중",J1464="반려요청",J1464="평가필요",LEFT(J1464,5)="보완요청("),"미종결 표시","상태 확인 필요"))</x:f>
        <x:v>미종결 표시</x:v>
      </x:c>
      <x:c r="L1464" s="2" t="str">
        <x:v>KRIC</x:v>
      </x:c>
      <x:c r="M1464" s="2"/>
      <x:c r="N1464" s="8"/>
      <x:c r="O1464" s="2"/>
      <x:c r="P1464" s="2" t="str">
        <x:v>반려보류</x:v>
      </x:c>
      <x:c r="Q1464" s="2" t="str">
        <x:v>산업전환_외부사업관리Tool_260707_이너젠 수정_LJY_261013.xlsx</x:v>
      </x:c>
      <x:c r="R1464" s="2" t="str">
        <x:v>국외평가</x:v>
      </x:c>
      <x:c r="S1464" s="8" t="n">
        <x:v>88</x:v>
      </x:c>
      <x:c r="T1464" s="2" t="str">
        <x:v>(5/18)</x:v>
      </x:c>
      <x:c r="U1464" s="2" t="str">
        <x:v>2022 지정: (5/18)</x:v>
      </x:c>
      <x:c r="V1464" s="2" t="str">
        <x:v>2022-04-28</x:v>
      </x:c>
      <x:c r="W1464" s="2" t="str"/>
      <x:c r="X1464" s="2" t="str">
        <x:v>검토 진행 일정 확인</x:v>
      </x:c>
      <x:c r="Y1464" s="2" t="str">
        <x:v>ad210cd9ec132cfd447541c8984dc53d30aff0f4fb2dc92d254d49275cc55976</x:v>
      </x:c>
      <x:c r="Z1464" s="2" t="n">
        <x:f>SUBTOTAL(103,A1464)</x:f>
        <x:v>1</x:v>
      </x:c>
      <x:c r="AA1464" s="2" t="str">
        <x:f>IF(K1464&lt;&gt;"미종결 표시","대상 아님",IF(N1464="","신청일 확인",IF(NOT(ISNUMBER('종합 현황'!$H$5)),"관찰기준 확인",IF('종합 현황'!$H$5&lt;1,"관찰기준 확인",IF(N1464&gt;'종합 현황'!$H$5,"내부 관찰 대상","내부 관찰일 이하")))))</x:f>
        <x:v>신청일 확인</x:v>
      </x:c>
      <x:c r="AB1464" s="2" t="str">
        <x:v>2020-09-01 10:06:04 - 신규신청 - 신청 
2020-09-01 10:06:04 - 관장기관 지정 - 환경부
2020-09-11 17:36:02 - 관장기관 지정 - 산업통상자원부
2020-09-18 17:33:59 - 신규신청 - 문서재제출요청 
2022-04-28 14:34:25 - 재제출신청 - 신청 
</x:v>
      </x:c>
    </x:row>
    <x:row r="1465" ht="42" customHeight="1">
      <x:c r="A1465" s="2" t="str">
        <x:v>a012d0493905af543d4c2dc8</x:v>
      </x:c>
      <x:c r="B1465" s="2" t="str">
        <x:v>사업 평가</x:v>
      </x:c>
      <x:c r="C1465" s="2" t="str">
        <x:v>국외</x:v>
      </x:c>
      <x:c r="D1465" s="7" t="str">
        <x:v>BioLite의 발전된 쿡스토브 프로그램 - 한국에서 지원하는 CPA 013</x:v>
      </x:c>
      <x:c r="E1465" s="2" t="str">
        <x:v>118</x:v>
      </x:c>
      <x:c r="F1465" s="2" t="str">
        <x:v>2020-09</x:v>
      </x:c>
      <x:c r="G1465" s="2" t="str">
        <x:v>2020</x:v>
      </x:c>
      <x:c r="H1465" s="2" t="str">
        <x:v>09</x:v>
      </x:c>
      <x:c r="I1465" s="2" t="str">
        <x:v>검토필요</x:v>
      </x:c>
      <x:c r="J1465" s="2" t="str">
        <x:v>보류</x:v>
      </x:c>
      <x:c r="K1465" s="2" t="str">
        <x:f>IF(OR(J1465="심의승인",J1465="반려",J1465="반려완료",J1465="심의완료"),"종결 표시",IF(OR(J1465="기후부협의",J1465="문서재제출요청",J1465="보류",J1465="보완요청",J1465="보완완료",J1465="평가중",J1465="반려요청",J1465="평가필요",LEFT(J1465,5)="보완요청("),"미종결 표시","상태 확인 필요"))</x:f>
        <x:v>미종결 표시</x:v>
      </x:c>
      <x:c r="L1465" s="2" t="str">
        <x:v>KRIC</x:v>
      </x:c>
      <x:c r="M1465" s="2"/>
      <x:c r="N1465" s="8"/>
      <x:c r="O1465" s="2"/>
      <x:c r="P1465" s="2" t="str">
        <x:v>반려보류</x:v>
      </x:c>
      <x:c r="Q1465" s="2" t="str">
        <x:v>산업전환_외부사업관리Tool_260707_이너젠 수정_LJY_261013.xlsx</x:v>
      </x:c>
      <x:c r="R1465" s="2" t="str">
        <x:v>국외평가</x:v>
      </x:c>
      <x:c r="S1465" s="8" t="n">
        <x:v>89</x:v>
      </x:c>
      <x:c r="T1465" s="2" t="str">
        <x:v>(5/18)</x:v>
      </x:c>
      <x:c r="U1465" s="2" t="str">
        <x:v>2022 지정: (5/18)</x:v>
      </x:c>
      <x:c r="V1465" s="2" t="str">
        <x:v>2022-04-28</x:v>
      </x:c>
      <x:c r="W1465" s="2" t="str"/>
      <x:c r="X1465" s="2" t="str">
        <x:v>검토 진행 일정 확인</x:v>
      </x:c>
      <x:c r="Y1465" s="2" t="str">
        <x:v>ad210cd9ec132cfd447541c8984dc53d30aff0f4fb2dc92d254d49275cc55976</x:v>
      </x:c>
      <x:c r="Z1465" s="2" t="n">
        <x:f>SUBTOTAL(103,A1465)</x:f>
        <x:v>1</x:v>
      </x:c>
      <x:c r="AA1465" s="2" t="str">
        <x:f>IF(K1465&lt;&gt;"미종결 표시","대상 아님",IF(N1465="","신청일 확인",IF(NOT(ISNUMBER('종합 현황'!$H$5)),"관찰기준 확인",IF('종합 현황'!$H$5&lt;1,"관찰기준 확인",IF(N1465&gt;'종합 현황'!$H$5,"내부 관찰 대상","내부 관찰일 이하")))))</x:f>
        <x:v>신청일 확인</x:v>
      </x:c>
      <x:c r="AB1465" s="2" t="str">
        <x:v>2020-09-01 10:07:15 - 신규신청 - 신청 
2020-09-01 10:07:15 - 관장기관 지정 - 환경부
2020-09-11 17:36:17 - 관장기관 지정 - 산업통상자원부
2020-09-18 17:33:48 - 신규신청 - 문서재제출요청 
2022-04-28 14:34:48 - 재제출신청 - 신청 
</x:v>
      </x:c>
    </x:row>
    <x:row r="1466" ht="42" customHeight="1">
      <x:c r="A1466" s="2" t="str">
        <x:v>9f8a4ea5541eb8a9b58cc1f4</x:v>
      </x:c>
      <x:c r="B1466" s="2" t="str">
        <x:v>사업 평가</x:v>
      </x:c>
      <x:c r="C1466" s="2" t="str">
        <x:v>국외</x:v>
      </x:c>
      <x:c r="D1466" s="7" t="str">
        <x:v>BioLite의 발전된 쿡스토브 프로그램 - 한국에서 지원하는 CPA 023</x:v>
      </x:c>
      <x:c r="E1466" s="2" t="str">
        <x:v>128</x:v>
      </x:c>
      <x:c r="F1466" s="2" t="str">
        <x:v>2020-09</x:v>
      </x:c>
      <x:c r="G1466" s="2" t="str">
        <x:v>2020</x:v>
      </x:c>
      <x:c r="H1466" s="2" t="str">
        <x:v>09</x:v>
      </x:c>
      <x:c r="I1466" s="2" t="str">
        <x:v>검토필요</x:v>
      </x:c>
      <x:c r="J1466" s="2" t="str">
        <x:v>보류</x:v>
      </x:c>
      <x:c r="K1466" s="2" t="str">
        <x:f>IF(OR(J1466="심의승인",J1466="반려",J1466="반려완료",J1466="심의완료"),"종결 표시",IF(OR(J1466="기후부협의",J1466="문서재제출요청",J1466="보류",J1466="보완요청",J1466="보완완료",J1466="평가중",J1466="반려요청",J1466="평가필요",LEFT(J1466,5)="보완요청("),"미종결 표시","상태 확인 필요"))</x:f>
        <x:v>미종결 표시</x:v>
      </x:c>
      <x:c r="L1466" s="2" t="str">
        <x:v>KRIC</x:v>
      </x:c>
      <x:c r="M1466" s="2"/>
      <x:c r="N1466" s="8"/>
      <x:c r="O1466" s="2"/>
      <x:c r="P1466" s="2" t="str">
        <x:v>반려보류</x:v>
      </x:c>
      <x:c r="Q1466" s="2" t="str">
        <x:v>산업전환_외부사업관리Tool_260707_이너젠 수정_LJY_261013.xlsx</x:v>
      </x:c>
      <x:c r="R1466" s="2" t="str">
        <x:v>국외평가</x:v>
      </x:c>
      <x:c r="S1466" s="8" t="n">
        <x:v>90</x:v>
      </x:c>
      <x:c r="T1466" s="2" t="str">
        <x:v>(5/18)</x:v>
      </x:c>
      <x:c r="U1466" s="2" t="str">
        <x:v>2022 지정: (5/18)</x:v>
      </x:c>
      <x:c r="V1466" s="2" t="str">
        <x:v>2022-04-28</x:v>
      </x:c>
      <x:c r="W1466" s="2" t="str"/>
      <x:c r="X1466" s="2" t="str">
        <x:v>검토 진행 일정 확인</x:v>
      </x:c>
      <x:c r="Y1466" s="2" t="str">
        <x:v>ad210cd9ec132cfd447541c8984dc53d30aff0f4fb2dc92d254d49275cc55976</x:v>
      </x:c>
      <x:c r="Z1466" s="2" t="n">
        <x:f>SUBTOTAL(103,A1466)</x:f>
        <x:v>1</x:v>
      </x:c>
      <x:c r="AA1466" s="2" t="str">
        <x:f>IF(K1466&lt;&gt;"미종결 표시","대상 아님",IF(N1466="","신청일 확인",IF(NOT(ISNUMBER('종합 현황'!$H$5)),"관찰기준 확인",IF('종합 현황'!$H$5&lt;1,"관찰기준 확인",IF(N1466&gt;'종합 현황'!$H$5,"내부 관찰 대상","내부 관찰일 이하")))))</x:f>
        <x:v>신청일 확인</x:v>
      </x:c>
      <x:c r="AB1466" s="2" t="str">
        <x:v>2020-09-01 10:13:58 - 신규신청 - 신청 
2020-09-01 10:13:58 - 관장기관 지정 - 환경부
2020-09-11 17:39:12 - 관장기관 지정 - 산업통상자원부
2020-09-18 17:35:53 - 신규신청 - 문서재제출요청 
2022-04-28 14:37:15 - 재제출신청 - 신청 
</x:v>
      </x:c>
    </x:row>
    <x:row r="1467" ht="42" customHeight="1">
      <x:c r="A1467" s="2" t="str">
        <x:v>7beb7553e26b55b4861a69c4</x:v>
      </x:c>
      <x:c r="B1467" s="2" t="str">
        <x:v>사업 평가</x:v>
      </x:c>
      <x:c r="C1467" s="2" t="str">
        <x:v>국외</x:v>
      </x:c>
      <x:c r="D1467" s="7" t="str">
        <x:v>BioLite의 발전된 쿡스토브 프로그램 - 한국에서 지원하는 CPA 024</x:v>
      </x:c>
      <x:c r="E1467" s="2" t="str">
        <x:v>129</x:v>
      </x:c>
      <x:c r="F1467" s="2" t="str">
        <x:v>2020-09</x:v>
      </x:c>
      <x:c r="G1467" s="2" t="str">
        <x:v>2020</x:v>
      </x:c>
      <x:c r="H1467" s="2" t="str">
        <x:v>09</x:v>
      </x:c>
      <x:c r="I1467" s="2" t="str">
        <x:v>검토필요</x:v>
      </x:c>
      <x:c r="J1467" s="2" t="str">
        <x:v>보류</x:v>
      </x:c>
      <x:c r="K1467" s="2" t="str">
        <x:f>IF(OR(J1467="심의승인",J1467="반려",J1467="반려완료",J1467="심의완료"),"종결 표시",IF(OR(J1467="기후부협의",J1467="문서재제출요청",J1467="보류",J1467="보완요청",J1467="보완완료",J1467="평가중",J1467="반려요청",J1467="평가필요",LEFT(J1467,5)="보완요청("),"미종결 표시","상태 확인 필요"))</x:f>
        <x:v>미종결 표시</x:v>
      </x:c>
      <x:c r="L1467" s="2" t="str">
        <x:v>KRIC</x:v>
      </x:c>
      <x:c r="M1467" s="2"/>
      <x:c r="N1467" s="8"/>
      <x:c r="O1467" s="2"/>
      <x:c r="P1467" s="2" t="str">
        <x:v>반려보류</x:v>
      </x:c>
      <x:c r="Q1467" s="2" t="str">
        <x:v>산업전환_외부사업관리Tool_260707_이너젠 수정_LJY_261013.xlsx</x:v>
      </x:c>
      <x:c r="R1467" s="2" t="str">
        <x:v>국외평가</x:v>
      </x:c>
      <x:c r="S1467" s="8" t="n">
        <x:v>91</x:v>
      </x:c>
      <x:c r="T1467" s="2" t="str">
        <x:v>(5/18)</x:v>
      </x:c>
      <x:c r="U1467" s="2" t="str">
        <x:v>2022 지정: (5/18)</x:v>
      </x:c>
      <x:c r="V1467" s="2" t="str">
        <x:v>2022-04-28</x:v>
      </x:c>
      <x:c r="W1467" s="2" t="str"/>
      <x:c r="X1467" s="2" t="str">
        <x:v>검토 진행 일정 확인</x:v>
      </x:c>
      <x:c r="Y1467" s="2" t="str">
        <x:v>ad210cd9ec132cfd447541c8984dc53d30aff0f4fb2dc92d254d49275cc55976</x:v>
      </x:c>
      <x:c r="Z1467" s="2" t="n">
        <x:f>SUBTOTAL(103,A1467)</x:f>
        <x:v>1</x:v>
      </x:c>
      <x:c r="AA1467" s="2" t="str">
        <x:f>IF(K1467&lt;&gt;"미종결 표시","대상 아님",IF(N1467="","신청일 확인",IF(NOT(ISNUMBER('종합 현황'!$H$5)),"관찰기준 확인",IF('종합 현황'!$H$5&lt;1,"관찰기준 확인",IF(N1467&gt;'종합 현황'!$H$5,"내부 관찰 대상","내부 관찰일 이하")))))</x:f>
        <x:v>신청일 확인</x:v>
      </x:c>
      <x:c r="AB1467" s="2" t="str">
        <x:v>2020-09-01 10:14:28 - 관장기관 지정 - 환경부
2020-09-01 10:14:29 - 신규신청 - 신청 
2020-09-11 17:39:26 - 관장기관 지정 - 산업통상자원부
2020-09-18 17:35:42 - 신규신청 - 문서재제출요청 
2022-04-28 14:37:44 - 재제출신청 - 신청 
</x:v>
      </x:c>
    </x:row>
    <x:row r="1468" ht="42" customHeight="1">
      <x:c r="A1468" s="2" t="str">
        <x:v>4792b20da0e74776ae934c1c</x:v>
      </x:c>
      <x:c r="B1468" s="2" t="str">
        <x:v>사업 평가</x:v>
      </x:c>
      <x:c r="C1468" s="2" t="str">
        <x:v>국외</x:v>
      </x:c>
      <x:c r="D1468" s="7" t="str">
        <x:v>아프리카 고효율 쿡스토브 보급 PoA 사업 : CPA 00010(나이지리아)(한국 지원)</x:v>
      </x:c>
      <x:c r="E1468" s="2" t="str">
        <x:v>90</x:v>
      </x:c>
      <x:c r="F1468" s="2" t="str">
        <x:v>2020-04</x:v>
      </x:c>
      <x:c r="G1468" s="2" t="str">
        <x:v>2020</x:v>
      </x:c>
      <x:c r="H1468" s="2" t="str">
        <x:v>04</x:v>
      </x:c>
      <x:c r="I1468" s="2" t="str">
        <x:v>승인</x:v>
      </x:c>
      <x:c r="J1468" s="2" t="str">
        <x:v>심의승인</x:v>
      </x:c>
      <x:c r="K1468" s="2" t="str">
        <x:f>IF(OR(J1468="심의승인",J1468="반려",J1468="반려완료",J1468="심의완료"),"종결 표시",IF(OR(J1468="기후부협의",J1468="문서재제출요청",J1468="보류",J1468="보완요청",J1468="보완완료",J1468="평가중",J1468="반려요청",J1468="평가필요",LEFT(J1468,5)="보완요청("),"미종결 표시","상태 확인 필요"))</x:f>
        <x:v>종결 표시</x:v>
      </x:c>
      <x:c r="L1468" s="2" t="str">
        <x:v>KECM</x:v>
      </x:c>
      <x:c r="M1468" s="2"/>
      <x:c r="N1468" s="8"/>
      <x:c r="O1468" s="2"/>
      <x:c r="P1468" s="2"/>
      <x:c r="Q1468" s="2" t="str">
        <x:v>산업전환_외부사업관리Tool_260707_이너젠 수정_LJY_261013.xlsx</x:v>
      </x:c>
      <x:c r="R1468" s="2" t="str">
        <x:v>국외평가</x:v>
      </x:c>
      <x:c r="S1468" s="8" t="n">
        <x:v>92</x:v>
      </x:c>
      <x:c r="T1468" s="2" t="str">
        <x:v>2021-07-16T00:00:00</x:v>
      </x:c>
      <x:c r="U1468" s="2" t="str">
        <x:v>2021 지정: 2021-07-16T00:00:00 / 2021 지정(2): (04.19 / 07.16)</x:v>
      </x:c>
      <x:c r="V1468" s="2" t="str">
        <x:v>2021-10-20</x:v>
      </x:c>
      <x:c r="W1468" s="2" t="str"/>
      <x:c r="X1468" s="2" t="str">
        <x:v>종결 근거 보관</x:v>
      </x:c>
      <x:c r="Y1468" s="2" t="str">
        <x:v>ad210cd9ec132cfd447541c8984dc53d30aff0f4fb2dc92d254d49275cc55976</x:v>
      </x:c>
      <x:c r="Z1468" s="2" t="n">
        <x:f>SUBTOTAL(103,A1468)</x:f>
        <x:v>1</x:v>
      </x:c>
      <x:c r="AA1468" s="2" t="str">
        <x:f>IF(K1468&lt;&gt;"미종결 표시","대상 아님",IF(N1468="","신청일 확인",IF(NOT(ISNUMBER('종합 현황'!$H$5)),"관찰기준 확인",IF('종합 현황'!$H$5&lt;1,"관찰기준 확인",IF(N1468&gt;'종합 현황'!$H$5,"내부 관찰 대상","내부 관찰일 이하")))))</x:f>
        <x:v>대상 아님</x:v>
      </x:c>
      <x:c r="AB1468" s="2" t="str">
        <x:v>2020-04-28 13:25:35 - 관장기관 지정 - 환경부
2020-04-28 13:25:36 - 신규신청 - 신청 
2020-04-29 13:37:21 - 신규신청 - 문서재제출요청 
2020-04-29 13:53:46 - 재제출신청 - 신청 
2020-07-27 11:12:43 - 재제출신청 - 문서재제출요청 
2020-08-27 13:57:30 - 재제출신청 - 신청 
2020-09-23 09:53:14 - 재제출신청 - 보완요청 
2020-12-01 10:59:47 - 보완신청 - 신청 
2021-03-02 14:30:36 - 보완신청 - 문서재제출요청 
2021-03-05 13:46:31 - 재제출신청 - 신청 
2021-03-30 15:11:25 - 재제출신청 - 문서재제출요청 
2021-04-19 11:28:47 - 재제출신청 - 신청 
2021-06-09 09:33:23 - 재제출신청 - 문서재제출요청 
2021-07-14 14:46:41 - 재제출신청 - 신청 
2021-08-05 14:08:37 - 재제출신청 - 문서재제출요청 
2021-08-19 10:01:44 - 재제출신청 - 신청 
2021-09-27 11:40:49 - 재제출신청 - 평가승인 
2021-09-27 11:43:32 - 재제출신청 - 심의승인 
2021-10-20 14:53:53 - 재제출신청 - 착수신고 
</x:v>
      </x:c>
    </x:row>
    <x:row r="1469" ht="42" customHeight="1">
      <x:c r="A1469" s="2" t="str">
        <x:v>54776fc6e29b9ddf73e325b9</x:v>
      </x:c>
      <x:c r="B1469" s="2" t="str">
        <x:v>사업 평가</x:v>
      </x:c>
      <x:c r="C1469" s="2" t="str">
        <x:v>국외</x:v>
      </x:c>
      <x:c r="D1469" s="7" t="str">
        <x:v>아프리카 고효율 쿡스토브 보급 PoA 사업 : CPA 00011(나이지리아)(한국 지원)</x:v>
      </x:c>
      <x:c r="E1469" s="2" t="str">
        <x:v>91</x:v>
      </x:c>
      <x:c r="F1469" s="2" t="str">
        <x:v>2020-04</x:v>
      </x:c>
      <x:c r="G1469" s="2" t="str">
        <x:v>2020</x:v>
      </x:c>
      <x:c r="H1469" s="2" t="str">
        <x:v>04</x:v>
      </x:c>
      <x:c r="I1469" s="2" t="str">
        <x:v>승인</x:v>
      </x:c>
      <x:c r="J1469" s="2" t="str">
        <x:v>심의승인</x:v>
      </x:c>
      <x:c r="K1469" s="2" t="str">
        <x:f>IF(OR(J1469="심의승인",J1469="반려",J1469="반려완료",J1469="심의완료"),"종결 표시",IF(OR(J1469="기후부협의",J1469="문서재제출요청",J1469="보류",J1469="보완요청",J1469="보완완료",J1469="평가중",J1469="반려요청",J1469="평가필요",LEFT(J1469,5)="보완요청("),"미종결 표시","상태 확인 필요"))</x:f>
        <x:v>종결 표시</x:v>
      </x:c>
      <x:c r="L1469" s="2" t="str">
        <x:v>KECM</x:v>
      </x:c>
      <x:c r="M1469" s="2"/>
      <x:c r="N1469" s="8"/>
      <x:c r="O1469" s="2"/>
      <x:c r="P1469" s="2"/>
      <x:c r="Q1469" s="2" t="str">
        <x:v>산업전환_외부사업관리Tool_260707_이너젠 수정_LJY_261013.xlsx</x:v>
      </x:c>
      <x:c r="R1469" s="2" t="str">
        <x:v>국외평가</x:v>
      </x:c>
      <x:c r="S1469" s="8" t="n">
        <x:v>93</x:v>
      </x:c>
      <x:c r="T1469" s="2" t="str">
        <x:v>2021-07-16T00:00:00</x:v>
      </x:c>
      <x:c r="U1469" s="2" t="str">
        <x:v>2021 지정: 2021-07-16T00:00:00 / 2021 지정(2): (04.19 / 07.16)</x:v>
      </x:c>
      <x:c r="V1469" s="2" t="str">
        <x:v>2021-10-20</x:v>
      </x:c>
      <x:c r="W1469" s="2" t="str"/>
      <x:c r="X1469" s="2" t="str">
        <x:v>종결 근거 보관</x:v>
      </x:c>
      <x:c r="Y1469" s="2" t="str">
        <x:v>ad210cd9ec132cfd447541c8984dc53d30aff0f4fb2dc92d254d49275cc55976</x:v>
      </x:c>
      <x:c r="Z1469" s="2" t="n">
        <x:f>SUBTOTAL(103,A1469)</x:f>
        <x:v>1</x:v>
      </x:c>
      <x:c r="AA1469" s="2" t="str">
        <x:f>IF(K1469&lt;&gt;"미종결 표시","대상 아님",IF(N1469="","신청일 확인",IF(NOT(ISNUMBER('종합 현황'!$H$5)),"관찰기준 확인",IF('종합 현황'!$H$5&lt;1,"관찰기준 확인",IF(N1469&gt;'종합 현황'!$H$5,"내부 관찰 대상","내부 관찰일 이하")))))</x:f>
        <x:v>대상 아님</x:v>
      </x:c>
      <x:c r="AB1469" s="2" t="str">
        <x:v>2020-04-28 13:25:57 - 신규신청 - 신청 
2020-04-28 13:25:57 - 관장기관 지정 - 환경부
2020-04-29 13:37:47 - 신규신청 - 문서재제출요청 
2020-04-29 13:54:04 - 재제출신청 - 신청 
2020-07-27 11:13:27 - 재제출신청 - 문서재제출요청 
2020-08-27 13:58:21 - 재제출신청 - 신청 
2020-09-23 09:52:43 - 재제출신청 - 보완요청 
2020-12-01 11:00:06 - 보완신청 - 신청 
2021-03-02 14:30:18 - 보완신청 - 문서재제출요청 
2021-03-05 13:46:05 - 재제출신청 - 신청 
2021-03-30 15:11:41 - 재제출신청 - 문서재제출요청 
2021-04-19 11:28:34 - 재제출신청 - 신청 
2021-06-09 09:33:49 - 재제출신청 - 문서재제출요청 
2021-07-14 14:47:10 - 재제출신청 - 신청 
2021-08-05 14:08:08 - 재제출신청 - 문서재제출요청 
2021-08-19 10:01:52 - 재제출신청 - 신청 
2021-09-27 11:41:28 - 재제출신청 - 평가승인 
2021-09-27 11:43:04 - 재제출신청 - 심의승인 
2021-10-20 14:54:41 - 재제출신청 - 착수신고 
</x:v>
      </x:c>
    </x:row>
    <x:row r="1470" ht="42" customHeight="1">
      <x:c r="A1470" s="2" t="str">
        <x:v>05c4e03b83e49fe6de20c05a</x:v>
      </x:c>
      <x:c r="B1470" s="2" t="str">
        <x:v>사업 평가</x:v>
      </x:c>
      <x:c r="C1470" s="2" t="str">
        <x:v>국외</x:v>
      </x:c>
      <x:c r="D1470" s="7" t="str">
        <x:v>아프리카 고효율 쿡스토브 보급 PoA 사업 : CPA 00012(나이지리아)(한국 지원)</x:v>
      </x:c>
      <x:c r="E1470" s="2" t="str">
        <x:v>92</x:v>
      </x:c>
      <x:c r="F1470" s="2" t="str">
        <x:v>2020-04</x:v>
      </x:c>
      <x:c r="G1470" s="2" t="str">
        <x:v>2020</x:v>
      </x:c>
      <x:c r="H1470" s="2" t="str">
        <x:v>04</x:v>
      </x:c>
      <x:c r="I1470" s="2" t="str">
        <x:v>승인</x:v>
      </x:c>
      <x:c r="J1470" s="2" t="str">
        <x:v>심의승인</x:v>
      </x:c>
      <x:c r="K1470" s="2" t="str">
        <x:f>IF(OR(J1470="심의승인",J1470="반려",J1470="반려완료",J1470="심의완료"),"종결 표시",IF(OR(J1470="기후부협의",J1470="문서재제출요청",J1470="보류",J1470="보완요청",J1470="보완완료",J1470="평가중",J1470="반려요청",J1470="평가필요",LEFT(J1470,5)="보완요청("),"미종결 표시","상태 확인 필요"))</x:f>
        <x:v>종결 표시</x:v>
      </x:c>
      <x:c r="L1470" s="2" t="str">
        <x:v>KECM</x:v>
      </x:c>
      <x:c r="M1470" s="2"/>
      <x:c r="N1470" s="8"/>
      <x:c r="O1470" s="2"/>
      <x:c r="P1470" s="2"/>
      <x:c r="Q1470" s="2" t="str">
        <x:v>산업전환_외부사업관리Tool_260707_이너젠 수정_LJY_261013.xlsx</x:v>
      </x:c>
      <x:c r="R1470" s="2" t="str">
        <x:v>국외평가</x:v>
      </x:c>
      <x:c r="S1470" s="8" t="n">
        <x:v>94</x:v>
      </x:c>
      <x:c r="T1470" s="2" t="str">
        <x:v>2021-07-16T00:00:00</x:v>
      </x:c>
      <x:c r="U1470" s="2" t="str">
        <x:v>2021 지정: 2021-07-16T00:00:00 / 2021 지정(2): (04.19 / 07.16)</x:v>
      </x:c>
      <x:c r="V1470" s="2" t="str">
        <x:v>2021-10-20</x:v>
      </x:c>
      <x:c r="W1470" s="2" t="str"/>
      <x:c r="X1470" s="2" t="str">
        <x:v>종결 근거 보관</x:v>
      </x:c>
      <x:c r="Y1470" s="2" t="str">
        <x:v>ad210cd9ec132cfd447541c8984dc53d30aff0f4fb2dc92d254d49275cc55976</x:v>
      </x:c>
      <x:c r="Z1470" s="2" t="n">
        <x:f>SUBTOTAL(103,A1470)</x:f>
        <x:v>1</x:v>
      </x:c>
      <x:c r="AA1470" s="2" t="str">
        <x:f>IF(K1470&lt;&gt;"미종결 표시","대상 아님",IF(N1470="","신청일 확인",IF(NOT(ISNUMBER('종합 현황'!$H$5)),"관찰기준 확인",IF('종합 현황'!$H$5&lt;1,"관찰기준 확인",IF(N1470&gt;'종합 현황'!$H$5,"내부 관찰 대상","내부 관찰일 이하")))))</x:f>
        <x:v>대상 아님</x:v>
      </x:c>
      <x:c r="AB1470" s="2" t="str">
        <x:v>2020-04-28 13:26:11 - 신규신청 - 신청 
2020-04-28 13:26:11 - 관장기관 지정 - 환경부
2020-04-29 13:37:34 - 신규신청 - 문서재제출요청 
2020-04-29 13:54:24 - 재제출신청 - 신청 
2020-07-27 11:13:05 - 재제출신청 - 문서재제출요청 
2020-08-27 13:57:51 - 재제출신청 - 신청 
2020-09-23 09:52:58 - 재제출신청 - 보완요청 
2020-12-01 11:00:23 - 보완신청 - 신청 
2021-03-02 14:30:00 - 보완신청 - 문서재제출요청 
2021-03-05 13:45:35 - 재제출신청 - 신청 
2021-03-30 15:12:13 - 재제출신청 - 문서재제출요청 
2021-04-19 11:28:22 - 재제출신청 - 신청 
2021-06-09 09:34:16 - 재제출신청 - 문서재제출요청 
2021-07-14 14:47:32 - 재제출신청 - 신청 
2021-08-05 14:07:30 - 재제출신청 - 문서재제출요청 
2021-08-19 10:02:05 - 재제출신청 - 신청 
2021-09-27 11:41:56 - 재제출신청 - 평가승인 
2021-09-27 11:42:30 - 재제출신청 - 심의승인 
2021-10-20 14:55:04 - 재제출신청 - 착수신고 
</x:v>
      </x:c>
    </x:row>
    <x:row r="1471" ht="42" customHeight="1">
      <x:c r="A1471" s="2" t="str">
        <x:v>23a1b0206feba767851f4327</x:v>
      </x:c>
      <x:c r="B1471" s="2" t="str">
        <x:v>사업 평가</x:v>
      </x:c>
      <x:c r="C1471" s="2" t="str">
        <x:v>국외</x:v>
      </x:c>
      <x:c r="D1471" s="7" t="str">
        <x:v>베트남 호아빈의 개선된 쿡스토브 사업 - CPA001</x:v>
      </x:c>
      <x:c r="E1471" s="2" t="str">
        <x:v>93</x:v>
      </x:c>
      <x:c r="F1471" s="2" t="str">
        <x:v>2020-05</x:v>
      </x:c>
      <x:c r="G1471" s="2" t="str">
        <x:v>2020</x:v>
      </x:c>
      <x:c r="H1471" s="2" t="str">
        <x:v>05</x:v>
      </x:c>
      <x:c r="I1471" s="2" t="str">
        <x:v>반려</x:v>
      </x:c>
      <x:c r="J1471" s="2" t="str">
        <x:v>반려</x:v>
      </x:c>
      <x:c r="K1471" s="2" t="str">
        <x:f>IF(OR(J1471="심의승인",J1471="반려",J1471="반려완료",J1471="심의완료"),"종결 표시",IF(OR(J1471="기후부협의",J1471="문서재제출요청",J1471="보류",J1471="보완요청",J1471="보완완료",J1471="평가중",J1471="반려요청",J1471="평가필요",LEFT(J1471,5)="보완요청("),"미종결 표시","상태 확인 필요"))</x:f>
        <x:v>종결 표시</x:v>
      </x:c>
      <x:c r="L1471" s="2" t="str">
        <x:v>에코시안_배윤빈</x:v>
      </x:c>
      <x:c r="M1471" s="2"/>
      <x:c r="N1471" s="8"/>
      <x:c r="O1471" s="2"/>
      <x:c r="P1471" s="2" t="str">
        <x:v>중복신청</x:v>
      </x:c>
      <x:c r="Q1471" s="2" t="str">
        <x:v>산업전환_외부사업관리Tool_260707_이너젠 수정_LJY_261013.xlsx</x:v>
      </x:c>
      <x:c r="R1471" s="2" t="str">
        <x:v>국외평가</x:v>
      </x:c>
      <x:c r="S1471" s="8" t="n">
        <x:v>95</x:v>
      </x:c>
      <x:c r="T1471" s="2" t="str">
        <x:v>2021-07-16T00:00:00</x:v>
      </x:c>
      <x:c r="U1471" s="2" t="str">
        <x:v>2021 지정: 2021-07-16T00:00:00</x:v>
      </x:c>
      <x:c r="V1471" s="2" t="str">
        <x:v>2021-10-13</x:v>
      </x:c>
      <x:c r="W1471" s="2" t="str"/>
      <x:c r="X1471" s="2" t="str">
        <x:v>종결 근거 보관</x:v>
      </x:c>
      <x:c r="Y1471" s="2" t="str">
        <x:v>ad210cd9ec132cfd447541c8984dc53d30aff0f4fb2dc92d254d49275cc55976</x:v>
      </x:c>
      <x:c r="Z1471" s="2" t="n">
        <x:f>SUBTOTAL(103,A1471)</x:f>
        <x:v>1</x:v>
      </x:c>
      <x:c r="AA1471" s="2" t="str">
        <x:f>IF(K1471&lt;&gt;"미종결 표시","대상 아님",IF(N1471="","신청일 확인",IF(NOT(ISNUMBER('종합 현황'!$H$5)),"관찰기준 확인",IF('종합 현황'!$H$5&lt;1,"관찰기준 확인",IF(N1471&gt;'종합 현황'!$H$5,"내부 관찰 대상","내부 관찰일 이하")))))</x:f>
        <x:v>대상 아님</x:v>
      </x:c>
      <x:c r="AB1471" s="2" t="str">
        <x:v>2020-05-21 17:29:08 - 신규신청 - 신청 
2020-05-21 17:29:08 - 관장기관 지정 - 환경부
2020-05-25 09:59:26 - 관장기관 지정 - 산업통상자원부
2020-05-27 13:36:39 - 신규신청 - 문서재제출요청 
2021-07-14 14:02:25 - 재제출신청 - 신청 
2021-10-13 16:58:08 - 재제출신청 - 평가반려 
</x:v>
      </x:c>
    </x:row>
    <x:row r="1472" ht="42" customHeight="1">
      <x:c r="A1472" s="2" t="str">
        <x:v>ca5dbad623654ccc50b8a2f7</x:v>
      </x:c>
      <x:c r="B1472" s="2" t="str">
        <x:v>사업 평가</x:v>
      </x:c>
      <x:c r="C1472" s="2" t="str">
        <x:v>국외</x:v>
      </x:c>
      <x:c r="D1472" s="7" t="str">
        <x:v>BioLite의 발전된 쿡스토브 프로그램 - 한국에서 지원하는 CPA 025</x:v>
      </x:c>
      <x:c r="E1472" s="2" t="str">
        <x:v>130</x:v>
      </x:c>
      <x:c r="F1472" s="2" t="str">
        <x:v>2020-09</x:v>
      </x:c>
      <x:c r="G1472" s="2" t="str">
        <x:v>2020</x:v>
      </x:c>
      <x:c r="H1472" s="2" t="str">
        <x:v>09</x:v>
      </x:c>
      <x:c r="I1472" s="2" t="str">
        <x:v>검토필요</x:v>
      </x:c>
      <x:c r="J1472" s="2" t="str">
        <x:v>보류</x:v>
      </x:c>
      <x:c r="K1472" s="2" t="str">
        <x:f>IF(OR(J1472="심의승인",J1472="반려",J1472="반려완료",J1472="심의완료"),"종결 표시",IF(OR(J1472="기후부협의",J1472="문서재제출요청",J1472="보류",J1472="보완요청",J1472="보완완료",J1472="평가중",J1472="반려요청",J1472="평가필요",LEFT(J1472,5)="보완요청("),"미종결 표시","상태 확인 필요"))</x:f>
        <x:v>미종결 표시</x:v>
      </x:c>
      <x:c r="L1472" s="2" t="str">
        <x:v>KRIC</x:v>
      </x:c>
      <x:c r="M1472" s="2"/>
      <x:c r="N1472" s="8"/>
      <x:c r="O1472" s="2"/>
      <x:c r="P1472" s="2" t="str">
        <x:v>반려보류</x:v>
      </x:c>
      <x:c r="Q1472" s="2" t="str">
        <x:v>산업전환_외부사업관리Tool_260707_이너젠 수정_LJY_261013.xlsx</x:v>
      </x:c>
      <x:c r="R1472" s="2" t="str">
        <x:v>국외평가</x:v>
      </x:c>
      <x:c r="S1472" s="8" t="n">
        <x:v>96</x:v>
      </x:c>
      <x:c r="T1472" s="2" t="str">
        <x:v>(5/18)</x:v>
      </x:c>
      <x:c r="U1472" s="2" t="str">
        <x:v>2022 지정: (5/18)</x:v>
      </x:c>
      <x:c r="V1472" s="2" t="str">
        <x:v>2022-04-28</x:v>
      </x:c>
      <x:c r="W1472" s="2" t="str"/>
      <x:c r="X1472" s="2" t="str">
        <x:v>검토 진행 일정 확인</x:v>
      </x:c>
      <x:c r="Y1472" s="2" t="str">
        <x:v>ad210cd9ec132cfd447541c8984dc53d30aff0f4fb2dc92d254d49275cc55976</x:v>
      </x:c>
      <x:c r="Z1472" s="2" t="n">
        <x:f>SUBTOTAL(103,A1472)</x:f>
        <x:v>1</x:v>
      </x:c>
      <x:c r="AA1472" s="2" t="str">
        <x:f>IF(K1472&lt;&gt;"미종결 표시","대상 아님",IF(N1472="","신청일 확인",IF(NOT(ISNUMBER('종합 현황'!$H$5)),"관찰기준 확인",IF('종합 현황'!$H$5&lt;1,"관찰기준 확인",IF(N1472&gt;'종합 현황'!$H$5,"내부 관찰 대상","내부 관찰일 이하")))))</x:f>
        <x:v>신청일 확인</x:v>
      </x:c>
      <x:c r="AB1472" s="2" t="str">
        <x:v>2020-09-01 10:14:59 - 신규신청 - 신청 
2020-09-01 10:14:59 - 관장기관 지정 - 환경부
2020-09-11 17:40:19 - 관장기관 지정 - 산업통상자원부
2020-09-18 17:35:31 - 신규신청 - 문서재제출요청 
2022-04-28 14:38:06 - 재제출신청 - 신청 
</x:v>
      </x:c>
    </x:row>
    <x:row r="1473" ht="42" customHeight="1">
      <x:c r="A1473" s="2" t="str">
        <x:v>bdc6e724dd3a8011147dfccb</x:v>
      </x:c>
      <x:c r="B1473" s="2" t="str">
        <x:v>사업 평가</x:v>
      </x:c>
      <x:c r="C1473" s="2" t="str">
        <x:v>국외</x:v>
      </x:c>
      <x:c r="D1473" s="7" t="str">
        <x:v>BioLite의 발전된 쿡스토브 프로그램 - 한국에서 지원하는 CPA 026</x:v>
      </x:c>
      <x:c r="E1473" s="2" t="str">
        <x:v>131</x:v>
      </x:c>
      <x:c r="F1473" s="2" t="str">
        <x:v>2020-09</x:v>
      </x:c>
      <x:c r="G1473" s="2" t="str">
        <x:v>2020</x:v>
      </x:c>
      <x:c r="H1473" s="2" t="str">
        <x:v>09</x:v>
      </x:c>
      <x:c r="I1473" s="2" t="str">
        <x:v>검토필요</x:v>
      </x:c>
      <x:c r="J1473" s="2" t="str">
        <x:v>보류</x:v>
      </x:c>
      <x:c r="K1473" s="2" t="str">
        <x:f>IF(OR(J1473="심의승인",J1473="반려",J1473="반려완료",J1473="심의완료"),"종결 표시",IF(OR(J1473="기후부협의",J1473="문서재제출요청",J1473="보류",J1473="보완요청",J1473="보완완료",J1473="평가중",J1473="반려요청",J1473="평가필요",LEFT(J1473,5)="보완요청("),"미종결 표시","상태 확인 필요"))</x:f>
        <x:v>미종결 표시</x:v>
      </x:c>
      <x:c r="L1473" s="2" t="str">
        <x:v>KRIC</x:v>
      </x:c>
      <x:c r="M1473" s="2"/>
      <x:c r="N1473" s="8"/>
      <x:c r="O1473" s="2"/>
      <x:c r="P1473" s="2" t="str">
        <x:v>반려보류</x:v>
      </x:c>
      <x:c r="Q1473" s="2" t="str">
        <x:v>산업전환_외부사업관리Tool_260707_이너젠 수정_LJY_261013.xlsx</x:v>
      </x:c>
      <x:c r="R1473" s="2" t="str">
        <x:v>국외평가</x:v>
      </x:c>
      <x:c r="S1473" s="8" t="n">
        <x:v>97</x:v>
      </x:c>
      <x:c r="T1473" s="2" t="str">
        <x:v>(5/18)</x:v>
      </x:c>
      <x:c r="U1473" s="2" t="str">
        <x:v>2022 지정: (5/18)</x:v>
      </x:c>
      <x:c r="V1473" s="2" t="str">
        <x:v>2022-04-28</x:v>
      </x:c>
      <x:c r="W1473" s="2" t="str"/>
      <x:c r="X1473" s="2" t="str">
        <x:v>검토 진행 일정 확인</x:v>
      </x:c>
      <x:c r="Y1473" s="2" t="str">
        <x:v>ad210cd9ec132cfd447541c8984dc53d30aff0f4fb2dc92d254d49275cc55976</x:v>
      </x:c>
      <x:c r="Z1473" s="2" t="n">
        <x:f>SUBTOTAL(103,A1473)</x:f>
        <x:v>1</x:v>
      </x:c>
      <x:c r="AA1473" s="2" t="str">
        <x:f>IF(K1473&lt;&gt;"미종결 표시","대상 아님",IF(N1473="","신청일 확인",IF(NOT(ISNUMBER('종합 현황'!$H$5)),"관찰기준 확인",IF('종합 현황'!$H$5&lt;1,"관찰기준 확인",IF(N1473&gt;'종합 현황'!$H$5,"내부 관찰 대상","내부 관찰일 이하")))))</x:f>
        <x:v>신청일 확인</x:v>
      </x:c>
      <x:c r="AB1473" s="2" t="str">
        <x:v>2020-09-01 10:15:44 - 신규신청 - 신청 
2020-09-01 10:15:44 - 관장기관 지정 - 환경부
2020-09-11 17:40:28 - 관장기관 지정 - 산업통상자원부
2020-09-18 17:35:17 - 신규신청 - 문서재제출요청 
2022-04-28 14:38:26 - 재제출신청 - 신청 
</x:v>
      </x:c>
    </x:row>
    <x:row r="1474" ht="42" customHeight="1">
      <x:c r="A1474" s="2" t="str">
        <x:v>62b543ed0430e9a0fb98f6a2</x:v>
      </x:c>
      <x:c r="B1474" s="2" t="str">
        <x:v>사업 평가</x:v>
      </x:c>
      <x:c r="C1474" s="2" t="str">
        <x:v>국외</x:v>
      </x:c>
      <x:c r="D1474" s="7" t="str">
        <x:v>BioLite의 발전된 쿡스토브 프로그램 - 한국에서 지원하는 CPA 027</x:v>
      </x:c>
      <x:c r="E1474" s="2" t="str">
        <x:v>132</x:v>
      </x:c>
      <x:c r="F1474" s="2" t="str">
        <x:v>2020-09</x:v>
      </x:c>
      <x:c r="G1474" s="2" t="str">
        <x:v>2020</x:v>
      </x:c>
      <x:c r="H1474" s="2" t="str">
        <x:v>09</x:v>
      </x:c>
      <x:c r="I1474" s="2" t="str">
        <x:v>검토필요</x:v>
      </x:c>
      <x:c r="J1474" s="2" t="str">
        <x:v>보류</x:v>
      </x:c>
      <x:c r="K1474" s="2" t="str">
        <x:f>IF(OR(J1474="심의승인",J1474="반려",J1474="반려완료",J1474="심의완료"),"종결 표시",IF(OR(J1474="기후부협의",J1474="문서재제출요청",J1474="보류",J1474="보완요청",J1474="보완완료",J1474="평가중",J1474="반려요청",J1474="평가필요",LEFT(J1474,5)="보완요청("),"미종결 표시","상태 확인 필요"))</x:f>
        <x:v>미종결 표시</x:v>
      </x:c>
      <x:c r="L1474" s="2" t="str">
        <x:v>KRIC</x:v>
      </x:c>
      <x:c r="M1474" s="2"/>
      <x:c r="N1474" s="8"/>
      <x:c r="O1474" s="2"/>
      <x:c r="P1474" s="2" t="str">
        <x:v>반려보류</x:v>
      </x:c>
      <x:c r="Q1474" s="2" t="str">
        <x:v>산업전환_외부사업관리Tool_260707_이너젠 수정_LJY_261013.xlsx</x:v>
      </x:c>
      <x:c r="R1474" s="2" t="str">
        <x:v>국외평가</x:v>
      </x:c>
      <x:c r="S1474" s="8" t="n">
        <x:v>98</x:v>
      </x:c>
      <x:c r="T1474" s="2" t="str">
        <x:v>(5/18)</x:v>
      </x:c>
      <x:c r="U1474" s="2" t="str">
        <x:v>2022 지정: (5/18)</x:v>
      </x:c>
      <x:c r="V1474" s="2" t="str">
        <x:v>2022-04-28</x:v>
      </x:c>
      <x:c r="W1474" s="2" t="str"/>
      <x:c r="X1474" s="2" t="str">
        <x:v>검토 진행 일정 확인</x:v>
      </x:c>
      <x:c r="Y1474" s="2" t="str">
        <x:v>ad210cd9ec132cfd447541c8984dc53d30aff0f4fb2dc92d254d49275cc55976</x:v>
      </x:c>
      <x:c r="Z1474" s="2" t="n">
        <x:f>SUBTOTAL(103,A1474)</x:f>
        <x:v>1</x:v>
      </x:c>
      <x:c r="AA1474" s="2" t="str">
        <x:f>IF(K1474&lt;&gt;"미종결 표시","대상 아님",IF(N1474="","신청일 확인",IF(NOT(ISNUMBER('종합 현황'!$H$5)),"관찰기준 확인",IF('종합 현황'!$H$5&lt;1,"관찰기준 확인",IF(N1474&gt;'종합 현황'!$H$5,"내부 관찰 대상","내부 관찰일 이하")))))</x:f>
        <x:v>신청일 확인</x:v>
      </x:c>
      <x:c r="AB1474" s="2" t="str">
        <x:v>2020-09-01 10:16:21 - 신규신청 - 신청 
2020-09-01 10:16:21 - 관장기관 지정 - 환경부
2020-09-11 17:40:51 - 관장기관 지정 - 산업통상자원부
2020-09-18 17:35:06 - 신규신청 - 문서재제출요청 
2022-04-28 14:38:51 - 재제출신청 - 신청 
</x:v>
      </x:c>
    </x:row>
    <x:row r="1475" ht="42" customHeight="1">
      <x:c r="A1475" s="2" t="str">
        <x:v>da1cc3b38e0c3d37f6886037</x:v>
      </x:c>
      <x:c r="B1475" s="2" t="str">
        <x:v>사업 평가</x:v>
      </x:c>
      <x:c r="C1475" s="2" t="str">
        <x:v>국외</x:v>
      </x:c>
      <x:c r="D1475" s="7" t="str">
        <x:v>BioLite의 발전된 쿡스토브 프로그램 - 한국에서 지원하는 CPA 029</x:v>
      </x:c>
      <x:c r="E1475" s="2" t="str">
        <x:v>134</x:v>
      </x:c>
      <x:c r="F1475" s="2" t="str">
        <x:v>2020-09</x:v>
      </x:c>
      <x:c r="G1475" s="2" t="str">
        <x:v>2020</x:v>
      </x:c>
      <x:c r="H1475" s="2" t="str">
        <x:v>09</x:v>
      </x:c>
      <x:c r="I1475" s="2" t="str">
        <x:v>검토필요</x:v>
      </x:c>
      <x:c r="J1475" s="2" t="str">
        <x:v>보류</x:v>
      </x:c>
      <x:c r="K1475" s="2" t="str">
        <x:f>IF(OR(J1475="심의승인",J1475="반려",J1475="반려완료",J1475="심의완료"),"종결 표시",IF(OR(J1475="기후부협의",J1475="문서재제출요청",J1475="보류",J1475="보완요청",J1475="보완완료",J1475="평가중",J1475="반려요청",J1475="평가필요",LEFT(J1475,5)="보완요청("),"미종결 표시","상태 확인 필요"))</x:f>
        <x:v>미종결 표시</x:v>
      </x:c>
      <x:c r="L1475" s="2" t="str">
        <x:v>KRIC</x:v>
      </x:c>
      <x:c r="M1475" s="2"/>
      <x:c r="N1475" s="8"/>
      <x:c r="O1475" s="2"/>
      <x:c r="P1475" s="2" t="str">
        <x:v>반려보류</x:v>
      </x:c>
      <x:c r="Q1475" s="2" t="str">
        <x:v>산업전환_외부사업관리Tool_260707_이너젠 수정_LJY_261013.xlsx</x:v>
      </x:c>
      <x:c r="R1475" s="2" t="str">
        <x:v>국외평가</x:v>
      </x:c>
      <x:c r="S1475" s="8" t="n">
        <x:v>99</x:v>
      </x:c>
      <x:c r="T1475" s="2" t="str">
        <x:v>(5/18)</x:v>
      </x:c>
      <x:c r="U1475" s="2" t="str">
        <x:v>2022 지정: (5/18)</x:v>
      </x:c>
      <x:c r="V1475" s="2" t="str">
        <x:v>2022-04-28</x:v>
      </x:c>
      <x:c r="W1475" s="2" t="str"/>
      <x:c r="X1475" s="2" t="str">
        <x:v>검토 진행 일정 확인</x:v>
      </x:c>
      <x:c r="Y1475" s="2" t="str">
        <x:v>ad210cd9ec132cfd447541c8984dc53d30aff0f4fb2dc92d254d49275cc55976</x:v>
      </x:c>
      <x:c r="Z1475" s="2" t="n">
        <x:f>SUBTOTAL(103,A1475)</x:f>
        <x:v>1</x:v>
      </x:c>
      <x:c r="AA1475" s="2" t="str">
        <x:f>IF(K1475&lt;&gt;"미종결 표시","대상 아님",IF(N1475="","신청일 확인",IF(NOT(ISNUMBER('종합 현황'!$H$5)),"관찰기준 확인",IF('종합 현황'!$H$5&lt;1,"관찰기준 확인",IF(N1475&gt;'종합 현황'!$H$5,"내부 관찰 대상","내부 관찰일 이하")))))</x:f>
        <x:v>신청일 확인</x:v>
      </x:c>
      <x:c r="AB1475" s="2" t="str">
        <x:v>2020-09-01 10:17:25 - 관장기관 지정 - 환경부
2020-09-01 10:17:26 - 신규신청 - 신청 
2020-09-11 17:41:08 - 관장기관 지정 - 산업통상자원부
2020-09-18 17:34:41 - 신규신청 - 문서재제출요청 
2022-04-28 14:39:16 - 재제출신청 - 신청 
</x:v>
      </x:c>
    </x:row>
    <x:row r="1476" ht="42" customHeight="1">
      <x:c r="A1476" s="2" t="str">
        <x:v>08ce35e7e28f396cf757717e</x:v>
      </x:c>
      <x:c r="B1476" s="2" t="str">
        <x:v>사업 평가</x:v>
      </x:c>
      <x:c r="C1476" s="2" t="str">
        <x:v>국외</x:v>
      </x:c>
      <x:c r="D1476" s="7" t="str">
        <x:v>BioLite의 발전된 쿡스토브 프로그램 - 한국에서 지원하는 CPA 030</x:v>
      </x:c>
      <x:c r="E1476" s="2" t="str">
        <x:v>135</x:v>
      </x:c>
      <x:c r="F1476" s="2" t="str">
        <x:v>2020-09</x:v>
      </x:c>
      <x:c r="G1476" s="2" t="str">
        <x:v>2020</x:v>
      </x:c>
      <x:c r="H1476" s="2" t="str">
        <x:v>09</x:v>
      </x:c>
      <x:c r="I1476" s="2" t="str">
        <x:v>검토필요</x:v>
      </x:c>
      <x:c r="J1476" s="2" t="str">
        <x:v>보류</x:v>
      </x:c>
      <x:c r="K1476" s="2" t="str">
        <x:f>IF(OR(J1476="심의승인",J1476="반려",J1476="반려완료",J1476="심의완료"),"종결 표시",IF(OR(J1476="기후부협의",J1476="문서재제출요청",J1476="보류",J1476="보완요청",J1476="보완완료",J1476="평가중",J1476="반려요청",J1476="평가필요",LEFT(J1476,5)="보완요청("),"미종결 표시","상태 확인 필요"))</x:f>
        <x:v>미종결 표시</x:v>
      </x:c>
      <x:c r="L1476" s="2" t="str">
        <x:v>KRIC</x:v>
      </x:c>
      <x:c r="M1476" s="2"/>
      <x:c r="N1476" s="8"/>
      <x:c r="O1476" s="2"/>
      <x:c r="P1476" s="2" t="str">
        <x:v>반려보류</x:v>
      </x:c>
      <x:c r="Q1476" s="2" t="str">
        <x:v>산업전환_외부사업관리Tool_260707_이너젠 수정_LJY_261013.xlsx</x:v>
      </x:c>
      <x:c r="R1476" s="2" t="str">
        <x:v>국외평가</x:v>
      </x:c>
      <x:c r="S1476" s="8" t="n">
        <x:v>100</x:v>
      </x:c>
      <x:c r="T1476" s="2" t="str">
        <x:v>(5/18)</x:v>
      </x:c>
      <x:c r="U1476" s="2" t="str">
        <x:v>2022 지정: (5/18)</x:v>
      </x:c>
      <x:c r="V1476" s="2" t="str">
        <x:v>2022-04-28</x:v>
      </x:c>
      <x:c r="W1476" s="2" t="str"/>
      <x:c r="X1476" s="2" t="str">
        <x:v>검토 진행 일정 확인</x:v>
      </x:c>
      <x:c r="Y1476" s="2" t="str">
        <x:v>ad210cd9ec132cfd447541c8984dc53d30aff0f4fb2dc92d254d49275cc55976</x:v>
      </x:c>
      <x:c r="Z1476" s="2" t="n">
        <x:f>SUBTOTAL(103,A1476)</x:f>
        <x:v>1</x:v>
      </x:c>
      <x:c r="AA1476" s="2" t="str">
        <x:f>IF(K1476&lt;&gt;"미종결 표시","대상 아님",IF(N1476="","신청일 확인",IF(NOT(ISNUMBER('종합 현황'!$H$5)),"관찰기준 확인",IF('종합 현황'!$H$5&lt;1,"관찰기준 확인",IF(N1476&gt;'종합 현황'!$H$5,"내부 관찰 대상","내부 관찰일 이하")))))</x:f>
        <x:v>신청일 확인</x:v>
      </x:c>
      <x:c r="AB1476" s="2" t="str">
        <x:v>2020-09-01 10:17:46 - 신규신청 - 신청 
2020-09-01 10:17:46 - 관장기관 지정 - 환경부
2020-09-11 17:41:16 - 관장기관 지정 - 산업통상자원부
2020-09-18 17:34:30 - 신규신청 - 문서재제출요청 
2022-04-28 14:39:49 - 재제출신청 - 신청 
</x:v>
      </x:c>
    </x:row>
    <x:row r="1477" ht="42" customHeight="1">
      <x:c r="A1477" s="2" t="str">
        <x:v>180c4aac2fb04b6cac8ffbec</x:v>
      </x:c>
      <x:c r="B1477" s="2" t="str">
        <x:v>사업 평가</x:v>
      </x:c>
      <x:c r="C1477" s="2" t="str">
        <x:v>국외</x:v>
      </x:c>
      <x:c r="D1477" s="7" t="str">
        <x:v>Improved Cookstove Project in Hoa Binh Province ─ CPA 001</x:v>
      </x:c>
      <x:c r="E1477" s="2" t="str">
        <x:v>99</x:v>
      </x:c>
      <x:c r="F1477" s="2" t="str">
        <x:v>2020-06</x:v>
      </x:c>
      <x:c r="G1477" s="2" t="str">
        <x:v>2020</x:v>
      </x:c>
      <x:c r="H1477" s="2" t="str">
        <x:v>06</x:v>
      </x:c>
      <x:c r="I1477" s="2" t="str">
        <x:v>반려</x:v>
      </x:c>
      <x:c r="J1477" s="2" t="str">
        <x:v>반려</x:v>
      </x:c>
      <x:c r="K1477" s="2" t="str">
        <x:f>IF(OR(J1477="심의승인",J1477="반려",J1477="반려완료",J1477="심의완료"),"종결 표시",IF(OR(J1477="기후부협의",J1477="문서재제출요청",J1477="보류",J1477="보완요청",J1477="보완완료",J1477="평가중",J1477="반려요청",J1477="평가필요",LEFT(J1477,5)="보완요청("),"미종결 표시","상태 확인 필요"))</x:f>
        <x:v>종결 표시</x:v>
      </x:c>
      <x:c r="L1477" s="2"/>
      <x:c r="M1477" s="2"/>
      <x:c r="N1477" s="8"/>
      <x:c r="O1477" s="2"/>
      <x:c r="P1477" s="2"/>
      <x:c r="Q1477" s="2" t="str">
        <x:v>산업전환_외부사업관리Tool_260707_이너젠 수정_LJY_261013.xlsx</x:v>
      </x:c>
      <x:c r="R1477" s="2" t="str">
        <x:v>국외평가</x:v>
      </x:c>
      <x:c r="S1477" s="8" t="n">
        <x:v>101</x:v>
      </x:c>
      <x:c r="T1477" s="2"/>
      <x:c r="U1477" s="2" t="str"/>
      <x:c r="V1477" s="2" t="str">
        <x:v>2020-07-08</x:v>
      </x:c>
      <x:c r="W1477" s="2" t="str">
        <x:v>담당기관 확인</x:v>
      </x:c>
      <x:c r="X1477" s="2" t="str">
        <x:v>원본·배정 기록 확인</x:v>
      </x:c>
      <x:c r="Y1477" s="2" t="str">
        <x:v>ad210cd9ec132cfd447541c8984dc53d30aff0f4fb2dc92d254d49275cc55976</x:v>
      </x:c>
      <x:c r="Z1477" s="2" t="n">
        <x:f>SUBTOTAL(103,A1477)</x:f>
        <x:v>1</x:v>
      </x:c>
      <x:c r="AA1477" s="2" t="str">
        <x:f>IF(K1477&lt;&gt;"미종결 표시","대상 아님",IF(N1477="","신청일 확인",IF(NOT(ISNUMBER('종합 현황'!$H$5)),"관찰기준 확인",IF('종합 현황'!$H$5&lt;1,"관찰기준 확인",IF(N1477&gt;'종합 현황'!$H$5,"내부 관찰 대상","내부 관찰일 이하")))))</x:f>
        <x:v>대상 아님</x:v>
      </x:c>
      <x:c r="AB1477" s="2" t="str">
        <x:v>2020-06-02 10:38:58 - 신규신청 - 신청 
2020-06-02 10:38:58 - 관장기관 지정 - 환경부
2020-06-02 13:18:40 - 관장기관 지정 - 산업통상자원부
2020-07-08 10:11:27 - 신규신청 - 평가반려 
</x:v>
      </x:c>
    </x:row>
    <x:row r="1478" ht="42" customHeight="1">
      <x:c r="A1478" s="2" t="str">
        <x:v>b6168fce11bc6fc340218a14</x:v>
      </x:c>
      <x:c r="B1478" s="2" t="str">
        <x:v>사업 평가</x:v>
      </x:c>
      <x:c r="C1478" s="2" t="str">
        <x:v>국외</x:v>
      </x:c>
      <x:c r="D1478" s="7" t="str">
        <x:v>베트남 호아빈의 개선된 쿡스토브 사업 - CPA 001</x:v>
      </x:c>
      <x:c r="E1478" s="2" t="str">
        <x:v>100</x:v>
      </x:c>
      <x:c r="F1478" s="2" t="str">
        <x:v>2020-06</x:v>
      </x:c>
      <x:c r="G1478" s="2" t="str">
        <x:v>2020</x:v>
      </x:c>
      <x:c r="H1478" s="2" t="str">
        <x:v>06</x:v>
      </x:c>
      <x:c r="I1478" s="2" t="str">
        <x:v>승인</x:v>
      </x:c>
      <x:c r="J1478" s="2" t="str">
        <x:v>심의승인</x:v>
      </x:c>
      <x:c r="K1478" s="2" t="str">
        <x:f>IF(OR(J1478="심의승인",J1478="반려",J1478="반려완료",J1478="심의완료"),"종결 표시",IF(OR(J1478="기후부협의",J1478="문서재제출요청",J1478="보류",J1478="보완요청",J1478="보완완료",J1478="평가중",J1478="반려요청",J1478="평가필요",LEFT(J1478,5)="보완요청("),"미종결 표시","상태 확인 필요"))</x:f>
        <x:v>종결 표시</x:v>
      </x:c>
      <x:c r="L1478" s="2" t="str">
        <x:v>에코시안_배윤빈</x:v>
      </x:c>
      <x:c r="M1478" s="2"/>
      <x:c r="N1478" s="8"/>
      <x:c r="O1478" s="2"/>
      <x:c r="P1478" s="2"/>
      <x:c r="Q1478" s="2" t="str">
        <x:v>산업전환_외부사업관리Tool_260707_이너젠 수정_LJY_261013.xlsx</x:v>
      </x:c>
      <x:c r="R1478" s="2" t="str">
        <x:v>국외평가</x:v>
      </x:c>
      <x:c r="S1478" s="8" t="n">
        <x:v>102</x:v>
      </x:c>
      <x:c r="T1478" s="2" t="str">
        <x:v>2021-07-16T00:00:00</x:v>
      </x:c>
      <x:c r="U1478" s="2" t="str">
        <x:v>2021 지정: 2021-07-16T00:00:00 / 2021 지정(2): (04.23 / 07.16)</x:v>
      </x:c>
      <x:c r="V1478" s="2" t="str">
        <x:v>2022-01-07</x:v>
      </x:c>
      <x:c r="W1478" s="2" t="str"/>
      <x:c r="X1478" s="2" t="str">
        <x:v>종결 근거 보관</x:v>
      </x:c>
      <x:c r="Y1478" s="2" t="str">
        <x:v>ad210cd9ec132cfd447541c8984dc53d30aff0f4fb2dc92d254d49275cc55976</x:v>
      </x:c>
      <x:c r="Z1478" s="2" t="n">
        <x:f>SUBTOTAL(103,A1478)</x:f>
        <x:v>1</x:v>
      </x:c>
      <x:c r="AA1478" s="2" t="str">
        <x:f>IF(K1478&lt;&gt;"미종결 표시","대상 아님",IF(N1478="","신청일 확인",IF(NOT(ISNUMBER('종합 현황'!$H$5)),"관찰기준 확인",IF('종합 현황'!$H$5&lt;1,"관찰기준 확인",IF(N1478&gt;'종합 현황'!$H$5,"내부 관찰 대상","내부 관찰일 이하")))))</x:f>
        <x:v>대상 아님</x:v>
      </x:c>
      <x:c r="AB1478" s="2" t="str">
        <x:v>2020-06-02 10:53:59 - 신규신청 - 신청 
2020-06-02 10:53:59 - 관장기관 지정 - 환경부
2020-06-02 13:18:32 - 관장기관 지정 - 산업통상자원부
2020-07-08 11:07:36 - 신규신청 - 문서재제출요청 
2020-07-17 17:35:58 - 재제출신청 - 신청 
2020-07-28 13:46:18 - 재제출신청 - 문서재제출요청 
2020-08-20 15:05:39 - 재제출신청 - 신청 
2020-09-23 09:56:02 - 재제출신청 - 보완요청 
2020-12-09 17:40:18 - 보완신청 - 신청 
2021-03-31 15:12:48 - 보완신청 - 문서재제출요청 
2021-04-22 14:15:03 - 재제출신청 - 신청 
2021-05-25 15:36:32 - 재제출신청 - 보완요청 
2021-07-16 10:36:59 - 보완신청 - 신청 
2021-08-31 13:11:16 - 보완신청 - 문서재제출요청 
2021-09-06 11:50:00 - 재제출신청 - 신청 
2021-09-10 17:05:47 - 재제출신청 - 문서재제출요청 
2021-09-10 17:10:05 - 재제출신청 - 신청 
2021-09-16 14:40:18 - 재제출신청 - 문서재제출요청 
2021-09-27 17:12:27 - 재제출신청 - 신청 
2021-11-29 15:32:23 - 재제출신청 - 문서재제출요청 
2021-11-30 17:34:20 - 재제출신청 - 신청 
2022-01-07 15:26:00 - 재제출신청 - 평가승인 
2022-01-07 15:26:22 - 재제출신청 - 심의승인 
</x:v>
      </x:c>
    </x:row>
    <x:row r="1479" ht="42" customHeight="1">
      <x:c r="A1479" s="2" t="str">
        <x:v>e32b11e2db72d5dd1ec16495</x:v>
      </x:c>
      <x:c r="B1479" s="2" t="str">
        <x:v>사업 평가</x:v>
      </x:c>
      <x:c r="C1479" s="2" t="str">
        <x:v>국외</x:v>
      </x:c>
      <x:c r="D1479" s="7" t="str">
        <x:v>대한민국이 지원하는  가나 맨 앤 맨 고효율 쿡스토브 프로그램-CPA01</x:v>
      </x:c>
      <x:c r="E1479" s="2" t="str">
        <x:v>101</x:v>
      </x:c>
      <x:c r="F1479" s="2" t="str">
        <x:v>2020-06</x:v>
      </x:c>
      <x:c r="G1479" s="2" t="str">
        <x:v>2020</x:v>
      </x:c>
      <x:c r="H1479" s="2" t="str">
        <x:v>06</x:v>
      </x:c>
      <x:c r="I1479" s="2" t="str">
        <x:v>승인</x:v>
      </x:c>
      <x:c r="J1479" s="2" t="str">
        <x:v>심의승인</x:v>
      </x:c>
      <x:c r="K1479" s="2" t="str">
        <x:f>IF(OR(J1479="심의승인",J1479="반려",J1479="반려완료",J1479="심의완료"),"종결 표시",IF(OR(J1479="기후부협의",J1479="문서재제출요청",J1479="보류",J1479="보완요청",J1479="보완완료",J1479="평가중",J1479="반려요청",J1479="평가필요",LEFT(J1479,5)="보완요청("),"미종결 표시","상태 확인 필요"))</x:f>
        <x:v>종결 표시</x:v>
      </x:c>
      <x:c r="L1479" s="2"/>
      <x:c r="M1479" s="2"/>
      <x:c r="N1479" s="8"/>
      <x:c r="O1479" s="2"/>
      <x:c r="P1479" s="2"/>
      <x:c r="Q1479" s="2" t="str">
        <x:v>산업전환_외부사업관리Tool_260707_이너젠 수정_LJY_261013.xlsx</x:v>
      </x:c>
      <x:c r="R1479" s="2" t="str">
        <x:v>국외평가</x:v>
      </x:c>
      <x:c r="S1479" s="8" t="n">
        <x:v>103</x:v>
      </x:c>
      <x:c r="T1479" s="2"/>
      <x:c r="U1479" s="2" t="str"/>
      <x:c r="V1479" s="2" t="str">
        <x:v>2021-03-03</x:v>
      </x:c>
      <x:c r="W1479" s="2" t="str">
        <x:v>담당기관 확인</x:v>
      </x:c>
      <x:c r="X1479" s="2" t="str">
        <x:v>원본·배정 기록 확인</x:v>
      </x:c>
      <x:c r="Y1479" s="2" t="str">
        <x:v>ad210cd9ec132cfd447541c8984dc53d30aff0f4fb2dc92d254d49275cc55976</x:v>
      </x:c>
      <x:c r="Z1479" s="2" t="n">
        <x:f>SUBTOTAL(103,A1479)</x:f>
        <x:v>1</x:v>
      </x:c>
      <x:c r="AA1479" s="2" t="str">
        <x:f>IF(K1479&lt;&gt;"미종결 표시","대상 아님",IF(N1479="","신청일 확인",IF(NOT(ISNUMBER('종합 현황'!$H$5)),"관찰기준 확인",IF('종합 현황'!$H$5&lt;1,"관찰기준 확인",IF(N1479&gt;'종합 현황'!$H$5,"내부 관찰 대상","내부 관찰일 이하")))))</x:f>
        <x:v>대상 아님</x:v>
      </x:c>
      <x:c r="AB1479" s="2" t="str">
        <x:v>2020-06-11 14:47:51 - 신규신청 - 접수 
2020-06-11 14:47:51 - 관장기관 지정 - 환경부
2020-06-11 14:51:16 - 신규신청 - 신청 
2020-06-11 17:46:55 - 관장기관 지정 - 산업통상자원부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</x:v>
      </x:c>
    </x:row>
    <x:row r="1480" ht="42" customHeight="1">
      <x:c r="A1480" s="2" t="str">
        <x:v>5a8549f59d653b268eec725c</x:v>
      </x:c>
      <x:c r="B1480" s="2" t="str">
        <x:v>사업 평가</x:v>
      </x:c>
      <x:c r="C1480" s="2" t="str">
        <x:v>국외</x:v>
      </x:c>
      <x:c r="D1480" s="7" t="str">
        <x:v>BioLite의 발전된 쿡스토브 프로그램 - 한국에서 지원하는 CPA 031</x:v>
      </x:c>
      <x:c r="E1480" s="2" t="str">
        <x:v>136</x:v>
      </x:c>
      <x:c r="F1480" s="2" t="str">
        <x:v>2020-09</x:v>
      </x:c>
      <x:c r="G1480" s="2" t="str">
        <x:v>2020</x:v>
      </x:c>
      <x:c r="H1480" s="2" t="str">
        <x:v>09</x:v>
      </x:c>
      <x:c r="I1480" s="2" t="str">
        <x:v>검토필요</x:v>
      </x:c>
      <x:c r="J1480" s="2" t="str">
        <x:v>보류</x:v>
      </x:c>
      <x:c r="K1480" s="2" t="str">
        <x:f>IF(OR(J1480="심의승인",J1480="반려",J1480="반려완료",J1480="심의완료"),"종결 표시",IF(OR(J1480="기후부협의",J1480="문서재제출요청",J1480="보류",J1480="보완요청",J1480="보완완료",J1480="평가중",J1480="반려요청",J1480="평가필요",LEFT(J1480,5)="보완요청("),"미종결 표시","상태 확인 필요"))</x:f>
        <x:v>미종결 표시</x:v>
      </x:c>
      <x:c r="L1480" s="2" t="str">
        <x:v>KRIC</x:v>
      </x:c>
      <x:c r="M1480" s="2"/>
      <x:c r="N1480" s="8"/>
      <x:c r="O1480" s="2"/>
      <x:c r="P1480" s="2" t="str">
        <x:v>반려보류</x:v>
      </x:c>
      <x:c r="Q1480" s="2" t="str">
        <x:v>산업전환_외부사업관리Tool_260707_이너젠 수정_LJY_261013.xlsx</x:v>
      </x:c>
      <x:c r="R1480" s="2" t="str">
        <x:v>국외평가</x:v>
      </x:c>
      <x:c r="S1480" s="8" t="n">
        <x:v>104</x:v>
      </x:c>
      <x:c r="T1480" s="2" t="str">
        <x:v>(5/18)</x:v>
      </x:c>
      <x:c r="U1480" s="2" t="str">
        <x:v>2022 지정: (5/18)</x:v>
      </x:c>
      <x:c r="V1480" s="2" t="str">
        <x:v>2022-04-28</x:v>
      </x:c>
      <x:c r="W1480" s="2" t="str"/>
      <x:c r="X1480" s="2" t="str">
        <x:v>검토 진행 일정 확인</x:v>
      </x:c>
      <x:c r="Y1480" s="2" t="str">
        <x:v>ad210cd9ec132cfd447541c8984dc53d30aff0f4fb2dc92d254d49275cc55976</x:v>
      </x:c>
      <x:c r="Z1480" s="2" t="n">
        <x:f>SUBTOTAL(103,A1480)</x:f>
        <x:v>1</x:v>
      </x:c>
      <x:c r="AA1480" s="2" t="str">
        <x:f>IF(K1480&lt;&gt;"미종결 표시","대상 아님",IF(N1480="","신청일 확인",IF(NOT(ISNUMBER('종합 현황'!$H$5)),"관찰기준 확인",IF('종합 현황'!$H$5&lt;1,"관찰기준 확인",IF(N1480&gt;'종합 현황'!$H$5,"내부 관찰 대상","내부 관찰일 이하")))))</x:f>
        <x:v>신청일 확인</x:v>
      </x:c>
      <x:c r="AB1480" s="2" t="str">
        <x:v>2020-09-01 10:18:10 - 신규신청 - 신청 
2020-09-01 10:18:10 - 관장기관 지정 - 환경부
2020-09-11 17:41:30 - 관장기관 지정 - 산업통상자원부
2020-09-18 17:31:55 - 신규신청 - 문서재제출요청 
2022-04-28 14:40:12 - 재제출신청 - 신청 
</x:v>
      </x:c>
    </x:row>
    <x:row r="1481" ht="42" customHeight="1">
      <x:c r="A1481" s="2" t="str">
        <x:v>64e3757ac7fb8a82d1080efc</x:v>
      </x:c>
      <x:c r="B1481" s="2" t="str">
        <x:v>사업 평가</x:v>
      </x:c>
      <x:c r="C1481" s="2" t="str">
        <x:v>국외</x:v>
      </x:c>
      <x:c r="D1481" s="7" t="str">
        <x:v>왐푸 수력 CDM 사업</x:v>
      </x:c>
      <x:c r="E1481" s="2" t="str">
        <x:v>103</x:v>
      </x:c>
      <x:c r="F1481" s="2" t="str">
        <x:v>2020-07</x:v>
      </x:c>
      <x:c r="G1481" s="2" t="str">
        <x:v>2020</x:v>
      </x:c>
      <x:c r="H1481" s="2" t="str">
        <x:v>07</x:v>
      </x:c>
      <x:c r="I1481" s="2" t="str">
        <x:v>승인</x:v>
      </x:c>
      <x:c r="J1481" s="2" t="str">
        <x:v>심의승인</x:v>
      </x:c>
      <x:c r="K1481" s="2" t="str">
        <x:f>IF(OR(J1481="심의승인",J1481="반려",J1481="반려완료",J1481="심의완료"),"종결 표시",IF(OR(J1481="기후부협의",J1481="문서재제출요청",J1481="보류",J1481="보완요청",J1481="보완완료",J1481="평가중",J1481="반려요청",J1481="평가필요",LEFT(J1481,5)="보완요청("),"미종결 표시","상태 확인 필요"))</x:f>
        <x:v>종결 표시</x:v>
      </x:c>
      <x:c r="L1481" s="2" t="str">
        <x:v>KECM</x:v>
      </x:c>
      <x:c r="M1481" s="2"/>
      <x:c r="N1481" s="8"/>
      <x:c r="O1481" s="2"/>
      <x:c r="P1481" s="2"/>
      <x:c r="Q1481" s="2" t="str">
        <x:v>산업전환_외부사업관리Tool_260707_이너젠 수정_LJY_261013.xlsx</x:v>
      </x:c>
      <x:c r="R1481" s="2" t="str">
        <x:v>국외평가</x:v>
      </x:c>
      <x:c r="S1481" s="8" t="n">
        <x:v>105</x:v>
      </x:c>
      <x:c r="T1481" s="2" t="str">
        <x:v>2021-07-16T00:00:00</x:v>
      </x:c>
      <x:c r="U1481" s="2" t="str">
        <x:v>2021 지정: 2021-07-16T00:00:00 / 2021 지정(2): (4.23 / 06.09/07.16)</x:v>
      </x:c>
      <x:c r="V1481" s="2" t="str">
        <x:v>2021-09-28</x:v>
      </x:c>
      <x:c r="W1481" s="2" t="str"/>
      <x:c r="X1481" s="2" t="str">
        <x:v>종결 근거 보관</x:v>
      </x:c>
      <x:c r="Y1481" s="2" t="str">
        <x:v>ad210cd9ec132cfd447541c8984dc53d30aff0f4fb2dc92d254d49275cc55976</x:v>
      </x:c>
      <x:c r="Z1481" s="2" t="n">
        <x:f>SUBTOTAL(103,A1481)</x:f>
        <x:v>1</x:v>
      </x:c>
      <x:c r="AA1481" s="2" t="str">
        <x:f>IF(K1481&lt;&gt;"미종결 표시","대상 아님",IF(N1481="","신청일 확인",IF(NOT(ISNUMBER('종합 현황'!$H$5)),"관찰기준 확인",IF('종합 현황'!$H$5&lt;1,"관찰기준 확인",IF(N1481&gt;'종합 현황'!$H$5,"내부 관찰 대상","내부 관찰일 이하")))))</x:f>
        <x:v>대상 아님</x:v>
      </x:c>
      <x:c r="AB1481" s="2" t="str">
        <x:v>2020-07-15 17:44:24 - 신규신청 - 접수 
2020-07-15 17:44:24 - 관장기관 지정 - 환경부
2020-07-16 09:14:23 - 관장기관 지정 - 산업통상자원부
2020-07-17 09:24:15 - 신규신청 - 신청 
2020-07-28 14:10:35 - 신규신청 - 문서재제출요청 
2020-07-29 10:22:49 - 재제출신청 - 접수 
2020-07-29 10:51:06 - 재제출신청 - 신청 
2020-08-03 13:28:57 - 재제출신청 - 문서재제출요청 
2020-08-04 10:38:41 - 재제출신청 - 접수 
2020-08-04 10:40:12 - 재제출신청 - 신청 
2020-08-06 17:07:59 - 재제출신청 - 문서재제출요청 
2020-08-06 17:17:49 - 재제출신청 - 접수 
2020-08-06 17:26:02 - 재제출신청 - 신청 
2020-09-28 17:22:30 - 재제출신청 - 문서재제출요청 
2020-12-09 18:19:13 - 재제출신청 - 접수 
2020-12-15 14:49:47 - 재제출신청 - 신청 
2021-02-04 10:40:32 - 재제출신청 - 문서재제출요청 
2021-04-12 15:58:15 - 재제출신청 - 접수 
2021-04-12 16:21:07 - 재제출신청 - 신청 
2021-05-24 18:02:24 - 재제출신청 - 문서재제출요청 
2021-05-24 18:21:28 - 재제출신청 - 접수 
2021-05-25 08:26:02 - 재제출신청 - 신청 
2021-06-07 17:26:51 - 재제출신청 - 문서재제출요청 
2021-06-07 17:42:32 - 재제출신청 - 접수 
2021-06-08 08:58:11 - 재제출신청 - 신청 
2021-06-29 18:14:14 - 재제출신청 - 문서재제출요청 
2021-06-29 18:28:02 - 재제출신청 - 접수 
2021-06-30 12:16:33 - 재제출신청 - 신청 
2021-09-27 11:47:35 - 재제출신청 - 평가승인 
2021-09-27 11:47:59 - 재제출신청 - 심의승인 
2021-09-28 08:53:51 - 재제출신청 - 착수신고 
</x:v>
      </x:c>
    </x:row>
    <x:row r="1482" ht="42" customHeight="1">
      <x:c r="A1482" s="2" t="str">
        <x:v>90da90b55540b0b6c28d2c18</x:v>
      </x:c>
      <x:c r="B1482" s="2" t="str">
        <x:v>사업 평가</x:v>
      </x:c>
      <x:c r="C1482" s="2" t="str">
        <x:v>국외</x:v>
      </x:c>
      <x:c r="D1482" s="7" t="str">
        <x:v>Top Third Ventures사의 스토브 프로그램 CPA KE0002 -한국에서 케냐에 지원하는 BURN사의 효율적인 쿡스토브</x:v>
      </x:c>
      <x:c r="E1482" s="2" t="str">
        <x:v>104</x:v>
      </x:c>
      <x:c r="F1482" s="2" t="str">
        <x:v>2020-07</x:v>
      </x:c>
      <x:c r="G1482" s="2" t="str">
        <x:v>2020</x:v>
      </x:c>
      <x:c r="H1482" s="2" t="str">
        <x:v>07</x:v>
      </x:c>
      <x:c r="I1482" s="2" t="str">
        <x:v>승인</x:v>
      </x:c>
      <x:c r="J1482" s="2" t="str">
        <x:v>심의승인</x:v>
      </x:c>
      <x:c r="K1482" s="2" t="str">
        <x:f>IF(OR(J1482="심의승인",J1482="반려",J1482="반려완료",J1482="심의완료"),"종결 표시",IF(OR(J1482="기후부협의",J1482="문서재제출요청",J1482="보류",J1482="보완요청",J1482="보완완료",J1482="평가중",J1482="반려요청",J1482="평가필요",LEFT(J1482,5)="보완요청("),"미종결 표시","상태 확인 필요"))</x:f>
        <x:v>종결 표시</x:v>
      </x:c>
      <x:c r="L1482" s="2" t="str">
        <x:v>KECM</x:v>
      </x:c>
      <x:c r="M1482" s="2"/>
      <x:c r="N1482" s="8"/>
      <x:c r="O1482" s="2"/>
      <x:c r="P1482" s="2"/>
      <x:c r="Q1482" s="2" t="str">
        <x:v>산업전환_외부사업관리Tool_260707_이너젠 수정_LJY_261013.xlsx</x:v>
      </x:c>
      <x:c r="R1482" s="2" t="str">
        <x:v>국외평가</x:v>
      </x:c>
      <x:c r="S1482" s="8" t="n">
        <x:v>106</x:v>
      </x:c>
      <x:c r="T1482" s="2" t="str">
        <x:v>2021-06-14T00:00:00</x:v>
      </x:c>
      <x:c r="U1482" s="2" t="str">
        <x:v>2021 지정: 2021-06-14T00:00:00 / 2022 지정: (2/9)</x:v>
      </x:c>
      <x:c r="V1482" s="2" t="str">
        <x:v>2022-04-15</x:v>
      </x:c>
      <x:c r="W1482" s="2" t="str"/>
      <x:c r="X1482" s="2" t="str">
        <x:v>종결 근거 보관</x:v>
      </x:c>
      <x:c r="Y1482" s="2" t="str">
        <x:v>ad210cd9ec132cfd447541c8984dc53d30aff0f4fb2dc92d254d49275cc55976</x:v>
      </x:c>
      <x:c r="Z1482" s="2" t="n">
        <x:f>SUBTOTAL(103,A1482)</x:f>
        <x:v>1</x:v>
      </x:c>
      <x:c r="AA1482" s="2" t="str">
        <x:f>IF(K1482&lt;&gt;"미종결 표시","대상 아님",IF(N1482="","신청일 확인",IF(NOT(ISNUMBER('종합 현황'!$H$5)),"관찰기준 확인",IF('종합 현황'!$H$5&lt;1,"관찰기준 확인",IF(N1482&gt;'종합 현황'!$H$5,"내부 관찰 대상","내부 관찰일 이하")))))</x:f>
        <x:v>대상 아님</x:v>
      </x:c>
      <x:c r="AB1482" s="2" t="str">
        <x:v>2020-07-22 12:00:08 - 신규신청 - 신청 
2020-07-22 12:00:08 - 관장기관 지정 - 환경부
2020-07-28 15:49:49 - 관장기관 지정 - 산업통상자원부
2020-08-20 14:42:41 - 신규신청 - 문서재제출요청 
2020-09-02 14:31:32 - 재제출신청 - 신청 
2020-09-23 09:54:09 - 재제출신청 - 보완요청 
2020-12-10 14:08:31 - 보완신청 - 신청 
2021-03-31 14:20:18 - 보완신청 - 문서재제출요청 
2021-05-26 17:03:05 - 재제출신청 - 신청 
2021-07-07 10:01:26 - 재제출신청 - 문서재제출요청 
2021-07-23 11:56:59 - 재제출신청 - 신청 
2021-08-31 12:06:15 - 재제출신청 - 보완요청 
2021-09-06 12:03:10 - 보완신청 - 신청 
2021-09-30 09:47:28 - 보완신청 - 문서재제출요청 
2021-10-06 17:35:08 - 재제출신청 - 신청 
2021-10-08 10:04:32 - 재제출신청 - 문서재제출요청 
2021-10-08 13:39:41 - 재제출신청 - 신청 
2021-10-08 15:53:13 - 재제출신청 - 문서재제출요청 
2021-10-08 16:30:44 - 재제출신청 - 신청 
2021-11-29 15:22:10 - 재제출신청 - 문서재제출요청 
2021-11-30 17:22:14 - 재제출신청 - 신청 
2021-12-02 10:55:03 - 재제출신청 - 문서재제출요청 
2021-12-15 18:00:58 - 재제출신청 - 신청 
2022-01-07 09:59:24 - 재제출신청 - 문서재제출요청 
2022-02-04 17:45:42 - 재제출신청 - 신청 
2022-04-13 17:03:30 - 재제출신청 - 평가승인 
2022-04-15 14:20:21 - 재제출신청 - 심의승인 
</x:v>
      </x:c>
    </x:row>
    <x:row r="1483" ht="42" customHeight="1">
      <x:c r="A1483" s="2" t="str">
        <x:v>f655275549debf35a910c81a</x:v>
      </x:c>
      <x:c r="B1483" s="2" t="str">
        <x:v>사업 평가</x:v>
      </x:c>
      <x:c r="C1483" s="2" t="str">
        <x:v>국외</x:v>
      </x:c>
      <x:c r="D1483" s="7" t="str">
        <x:v>Top Third Ventures사의 스토브 프로그램 CPA KE0003 -한국에서 케냐에 지원하는 BURN사의 효율적인 쿡스토브</x:v>
      </x:c>
      <x:c r="E1483" s="2" t="str">
        <x:v>105</x:v>
      </x:c>
      <x:c r="F1483" s="2" t="str">
        <x:v>2020-07</x:v>
      </x:c>
      <x:c r="G1483" s="2" t="str">
        <x:v>2020</x:v>
      </x:c>
      <x:c r="H1483" s="2" t="str">
        <x:v>07</x:v>
      </x:c>
      <x:c r="I1483" s="2" t="str">
        <x:v>승인</x:v>
      </x:c>
      <x:c r="J1483" s="2" t="str">
        <x:v>심의승인</x:v>
      </x:c>
      <x:c r="K1483" s="2" t="str">
        <x:f>IF(OR(J1483="심의승인",J1483="반려",J1483="반려완료",J1483="심의완료"),"종결 표시",IF(OR(J1483="기후부협의",J1483="문서재제출요청",J1483="보류",J1483="보완요청",J1483="보완완료",J1483="평가중",J1483="반려요청",J1483="평가필요",LEFT(J1483,5)="보완요청("),"미종결 표시","상태 확인 필요"))</x:f>
        <x:v>종결 표시</x:v>
      </x:c>
      <x:c r="L1483" s="2" t="str">
        <x:v>KECM</x:v>
      </x:c>
      <x:c r="M1483" s="2"/>
      <x:c r="N1483" s="8"/>
      <x:c r="O1483" s="2"/>
      <x:c r="P1483" s="2"/>
      <x:c r="Q1483" s="2" t="str">
        <x:v>산업전환_외부사업관리Tool_260707_이너젠 수정_LJY_261013.xlsx</x:v>
      </x:c>
      <x:c r="R1483" s="2" t="str">
        <x:v>국외평가</x:v>
      </x:c>
      <x:c r="S1483" s="8" t="n">
        <x:v>107</x:v>
      </x:c>
      <x:c r="T1483" s="2" t="str">
        <x:v>2021-06-14T00:00:00</x:v>
      </x:c>
      <x:c r="U1483" s="2" t="str">
        <x:v>2021 지정: 2021-06-14T00:00:00 / 2022 지정: (2/9)</x:v>
      </x:c>
      <x:c r="V1483" s="2" t="str">
        <x:v>2022-04-15</x:v>
      </x:c>
      <x:c r="W1483" s="2" t="str"/>
      <x:c r="X1483" s="2" t="str">
        <x:v>종결 근거 보관</x:v>
      </x:c>
      <x:c r="Y1483" s="2" t="str">
        <x:v>ad210cd9ec132cfd447541c8984dc53d30aff0f4fb2dc92d254d49275cc55976</x:v>
      </x:c>
      <x:c r="Z1483" s="2" t="n">
        <x:f>SUBTOTAL(103,A1483)</x:f>
        <x:v>1</x:v>
      </x:c>
      <x:c r="AA1483" s="2" t="str">
        <x:f>IF(K1483&lt;&gt;"미종결 표시","대상 아님",IF(N1483="","신청일 확인",IF(NOT(ISNUMBER('종합 현황'!$H$5)),"관찰기준 확인",IF('종합 현황'!$H$5&lt;1,"관찰기준 확인",IF(N1483&gt;'종합 현황'!$H$5,"내부 관찰 대상","내부 관찰일 이하")))))</x:f>
        <x:v>대상 아님</x:v>
      </x:c>
      <x:c r="AB1483" s="2" t="str">
        <x:v>2020-07-22 12:00:26 - 신규신청 - 신청 
2020-07-22 12:00:26 - 관장기관 지정 - 환경부
2020-07-28 15:49:42 - 관장기관 지정 - 산업통상자원부
2020-08-20 14:43:01 - 신규신청 - 문서재제출요청 
2020-09-02 14:32:55 - 재제출신청 - 신청 
2020-09-04 14:18:35 - 재제출신청 - 문서재제출요청 
2020-12-10 14:08:21 - 재제출신청 - 신청 
2021-03-31 14:21:11 - 재제출신청 - 문서재제출요청 
2021-05-26 17:03:24 - 재제출신청 - 신청 
2021-07-07 10:02:47 - 재제출신청 - 문서재제출요청 
2021-07-23 11:57:17 - 재제출신청 - 신청 
2021-08-31 12:06:59 - 재제출신청 - 보완요청 
2021-09-06 12:04:42 - 보완신청 - 신청 
2021-09-30 09:47:49 - 보완신청 - 문서재제출요청 
2021-10-06 17:36:01 - 재제출신청 - 신청 
2021-10-08 10:05:14 - 재제출신청 - 문서재제출요청 
2021-10-08 13:40:21 - 재제출신청 - 신청 
2021-10-08 15:53:39 - 재제출신청 - 문서재제출요청 
2021-10-08 16:31:25 - 재제출신청 - 신청 
2021-11-29 15:22:29 - 재제출신청 - 문서재제출요청 
2021-11-30 17:23:11 - 재제출신청 - 신청 
2021-12-02 10:55:19 - 재제출신청 - 문서재제출요청 
2021-12-15 18:01:06 - 재제출신청 - 신청 
2022-01-07 09:59:13 - 재제출신청 - 문서재제출요청 
2022-02-04 17:45:51 - 재제출신청 - 신청 
2022-04-14 15:45:41 - 재제출신청 - 평가승인 
2022-04-15 14:19:37 - 재제출신청 - 심의승인 
</x:v>
      </x:c>
    </x:row>
    <x:row r="1484" ht="42" customHeight="1">
      <x:c r="A1484" s="2" t="str">
        <x:v>39c3b7491d3484afc54331fd</x:v>
      </x:c>
      <x:c r="B1484" s="2" t="str">
        <x:v>사업 평가</x:v>
      </x:c>
      <x:c r="C1484" s="2" t="str">
        <x:v>국외</x:v>
      </x:c>
      <x:c r="D1484" s="7" t="str">
        <x:v>Top Third Ventures사의 스토브 프로그램 CPA KE0004 -한국에서 케냐에 지원하는 BURN사의 효율적인 쿡스토브</x:v>
      </x:c>
      <x:c r="E1484" s="2" t="str">
        <x:v>106</x:v>
      </x:c>
      <x:c r="F1484" s="2" t="str">
        <x:v>2020-07</x:v>
      </x:c>
      <x:c r="G1484" s="2" t="str">
        <x:v>2020</x:v>
      </x:c>
      <x:c r="H1484" s="2" t="str">
        <x:v>07</x:v>
      </x:c>
      <x:c r="I1484" s="2" t="str">
        <x:v>승인</x:v>
      </x:c>
      <x:c r="J1484" s="2" t="str">
        <x:v>심의승인</x:v>
      </x:c>
      <x:c r="K1484" s="2" t="str">
        <x:f>IF(OR(J1484="심의승인",J1484="반려",J1484="반려완료",J1484="심의완료"),"종결 표시",IF(OR(J1484="기후부협의",J1484="문서재제출요청",J1484="보류",J1484="보완요청",J1484="보완완료",J1484="평가중",J1484="반려요청",J1484="평가필요",LEFT(J1484,5)="보완요청("),"미종결 표시","상태 확인 필요"))</x:f>
        <x:v>종결 표시</x:v>
      </x:c>
      <x:c r="L1484" s="2" t="str">
        <x:v>KECM</x:v>
      </x:c>
      <x:c r="M1484" s="2"/>
      <x:c r="N1484" s="8"/>
      <x:c r="O1484" s="2"/>
      <x:c r="P1484" s="2"/>
      <x:c r="Q1484" s="2" t="str">
        <x:v>산업전환_외부사업관리Tool_260707_이너젠 수정_LJY_261013.xlsx</x:v>
      </x:c>
      <x:c r="R1484" s="2" t="str">
        <x:v>국외평가</x:v>
      </x:c>
      <x:c r="S1484" s="8" t="n">
        <x:v>108</x:v>
      </x:c>
      <x:c r="T1484" s="2" t="str">
        <x:v>2021-06-14T00:00:00</x:v>
      </x:c>
      <x:c r="U1484" s="2" t="str">
        <x:v>2021 지정: 2021-06-14T00:00:00 / 2022 지정: (2/9)</x:v>
      </x:c>
      <x:c r="V1484" s="2" t="str">
        <x:v>2022-04-15</x:v>
      </x:c>
      <x:c r="W1484" s="2" t="str"/>
      <x:c r="X1484" s="2" t="str">
        <x:v>종결 근거 보관</x:v>
      </x:c>
      <x:c r="Y1484" s="2" t="str">
        <x:v>ad210cd9ec132cfd447541c8984dc53d30aff0f4fb2dc92d254d49275cc55976</x:v>
      </x:c>
      <x:c r="Z1484" s="2" t="n">
        <x:f>SUBTOTAL(103,A1484)</x:f>
        <x:v>1</x:v>
      </x:c>
      <x:c r="AA1484" s="2" t="str">
        <x:f>IF(K1484&lt;&gt;"미종결 표시","대상 아님",IF(N1484="","신청일 확인",IF(NOT(ISNUMBER('종합 현황'!$H$5)),"관찰기준 확인",IF('종합 현황'!$H$5&lt;1,"관찰기준 확인",IF(N1484&gt;'종합 현황'!$H$5,"내부 관찰 대상","내부 관찰일 이하")))))</x:f>
        <x:v>대상 아님</x:v>
      </x:c>
      <x:c r="AB1484" s="2" t="str">
        <x:v>2020-07-22 12:00:39 - 신규신청 - 신청 
2020-07-22 12:00:39 - 관장기관 지정 - 환경부
2020-07-28 15:49:36 - 관장기관 지정 - 산업통상자원부
2020-08-20 14:44:39 - 신규신청 - 문서재제출요청 
2020-09-02 14:34:32 - 재제출신청 - 신청 
2020-09-04 14:19:05 - 재제출신청 - 문서재제출요청 
2020-12-10 14:08:12 - 재제출신청 - 신청 
2021-03-31 14:21:32 - 재제출신청 - 문서재제출요청 
2021-05-26 17:03:48 - 재제출신청 - 신청 
2021-07-07 10:03:10 - 재제출신청 - 문서재제출요청 
2021-07-23 11:57:38 - 재제출신청 - 신청 
2021-08-31 12:07:32 - 재제출신청 - 보완요청 
2021-09-06 12:06:00 - 보완신청 - 신청 
2021-09-30 09:48:16 - 보완신청 - 문서재제출요청 
2021-10-06 17:36:21 - 재제출신청 - 신청 
2021-10-08 10:05:42 - 재제출신청 - 문서재제출요청 
2021-10-08 13:41:20 - 재제출신청 - 신청 
2021-10-08 15:54:02 - 재제출신청 - 문서재제출요청 
2021-10-08 16:32:04 - 재제출신청 - 신청 
2021-11-29 15:22:44 - 재제출신청 - 문서재제출요청 
2021-11-30 17:24:21 - 재제출신청 - 신청 
2021-12-02 10:55:34 - 재제출신청 - 문서재제출요청 
2021-12-15 18:01:13 - 재제출신청 - 신청 
2022-01-07 09:58:49 - 재제출신청 - 문서재제출요청 
2022-02-04 17:46:01 - 재제출신청 - 신청 
2022-04-14 16:45:30 - 재제출신청 - 평가승인 
2022-04-15 14:19:10 - 재제출신청 - 심의승인 
</x:v>
      </x:c>
    </x:row>
    <x:row r="1485" ht="42" customHeight="1">
      <x:c r="A1485" s="2" t="str">
        <x:v>e1b24751869d3dc2551d9025</x:v>
      </x:c>
      <x:c r="B1485" s="2" t="str">
        <x:v>사업 평가</x:v>
      </x:c>
      <x:c r="C1485" s="2" t="str">
        <x:v>국외</x:v>
      </x:c>
      <x:c r="D1485" s="7" t="str">
        <x:v>Top Third Ventures사의 스토브 프로그램 CPA KE0005 -한국에서 케냐에 지원하는 BURN사의 효율적인 쿡스토브</x:v>
      </x:c>
      <x:c r="E1485" s="2" t="str">
        <x:v>107</x:v>
      </x:c>
      <x:c r="F1485" s="2" t="str">
        <x:v>2020-07</x:v>
      </x:c>
      <x:c r="G1485" s="2" t="str">
        <x:v>2020</x:v>
      </x:c>
      <x:c r="H1485" s="2" t="str">
        <x:v>07</x:v>
      </x:c>
      <x:c r="I1485" s="2" t="str">
        <x:v>승인</x:v>
      </x:c>
      <x:c r="J1485" s="2" t="str">
        <x:v>심의승인</x:v>
      </x:c>
      <x:c r="K1485" s="2" t="str">
        <x:f>IF(OR(J1485="심의승인",J1485="반려",J1485="반려완료",J1485="심의완료"),"종결 표시",IF(OR(J1485="기후부협의",J1485="문서재제출요청",J1485="보류",J1485="보완요청",J1485="보완완료",J1485="평가중",J1485="반려요청",J1485="평가필요",LEFT(J1485,5)="보완요청("),"미종결 표시","상태 확인 필요"))</x:f>
        <x:v>종결 표시</x:v>
      </x:c>
      <x:c r="L1485" s="2" t="str">
        <x:v>KECM</x:v>
      </x:c>
      <x:c r="M1485" s="2"/>
      <x:c r="N1485" s="8"/>
      <x:c r="O1485" s="2"/>
      <x:c r="P1485" s="2"/>
      <x:c r="Q1485" s="2" t="str">
        <x:v>산업전환_외부사업관리Tool_260707_이너젠 수정_LJY_261013.xlsx</x:v>
      </x:c>
      <x:c r="R1485" s="2" t="str">
        <x:v>국외평가</x:v>
      </x:c>
      <x:c r="S1485" s="8" t="n">
        <x:v>109</x:v>
      </x:c>
      <x:c r="T1485" s="2" t="str">
        <x:v>2021-06-14T00:00:00</x:v>
      </x:c>
      <x:c r="U1485" s="2" t="str">
        <x:v>2021 지정: 2021-06-14T00:00:00 / 2022 지정: (2/9)</x:v>
      </x:c>
      <x:c r="V1485" s="2" t="str">
        <x:v>2022-04-15</x:v>
      </x:c>
      <x:c r="W1485" s="2" t="str"/>
      <x:c r="X1485" s="2" t="str">
        <x:v>종결 근거 보관</x:v>
      </x:c>
      <x:c r="Y1485" s="2" t="str">
        <x:v>ad210cd9ec132cfd447541c8984dc53d30aff0f4fb2dc92d254d49275cc55976</x:v>
      </x:c>
      <x:c r="Z1485" s="2" t="n">
        <x:f>SUBTOTAL(103,A1485)</x:f>
        <x:v>1</x:v>
      </x:c>
      <x:c r="AA1485" s="2" t="str">
        <x:f>IF(K1485&lt;&gt;"미종결 표시","대상 아님",IF(N1485="","신청일 확인",IF(NOT(ISNUMBER('종합 현황'!$H$5)),"관찰기준 확인",IF('종합 현황'!$H$5&lt;1,"관찰기준 확인",IF(N1485&gt;'종합 현황'!$H$5,"내부 관찰 대상","내부 관찰일 이하")))))</x:f>
        <x:v>대상 아님</x:v>
      </x:c>
      <x:c r="AB1485" s="2" t="str">
        <x:v>2020-07-22 12:00:53 - 신규신청 - 신청 
2020-07-22 12:00:53 - 관장기관 지정 - 환경부
2020-07-28 15:49:29 - 관장기관 지정 - 산업통상자원부
2020-08-20 14:45:16 - 신규신청 - 문서재제출요청 
2020-09-02 14:50:26 - 재제출신청 - 신청 
2020-09-23 09:52:26 - 재제출신청 - 보완요청 
2020-12-10 14:08:00 - 보완신청 - 신청 
2021-03-31 14:22:04 - 보완신청 - 문서재제출요청 
2021-05-26 17:04:16 - 재제출신청 - 신청 
2021-07-07 10:03:42 - 재제출신청 - 문서재제출요청 
2021-07-23 11:58:23 - 재제출신청 - 신청 
2021-08-31 12:08:03 - 재제출신청 - 보완요청 
2021-09-06 12:06:40 - 보완신청 - 신청 
2021-09-30 09:48:41 - 보완신청 - 문서재제출요청 
2021-10-06 17:36:38 - 재제출신청 - 신청 
2021-10-08 10:06:18 - 재제출신청 - 문서재제출요청 
2021-10-08 13:42:11 - 재제출신청 - 신청 
2021-10-08 15:54:26 - 재제출신청 - 문서재제출요청 
2021-10-08 16:32:49 - 재제출신청 - 신청 
2021-11-29 15:23:04 - 재제출신청 - 문서재제출요청 
2021-11-30 17:25:11 - 재제출신청 - 신청 
2021-12-02 10:56:00 - 재제출신청 - 문서재제출요청 
2021-12-15 18:01:21 - 재제출신청 - 신청 
2022-01-07 09:58:36 - 재제출신청 - 문서재제출요청 
2022-02-04 17:46:16 - 재제출신청 - 신청 
2022-04-14 16:47:43 - 재제출신청 - 평가승인 
2022-04-15 14:18:34 - 재제출신청 - 심의승인 
</x:v>
      </x:c>
    </x:row>
    <x:row r="1486" ht="42" customHeight="1">
      <x:c r="A1486" s="2" t="str">
        <x:v>1b99db98e8e66e26c3b7def6</x:v>
      </x:c>
      <x:c r="B1486" s="2" t="str">
        <x:v>사업 평가</x:v>
      </x:c>
      <x:c r="C1486" s="2" t="str">
        <x:v>국외</x:v>
      </x:c>
      <x:c r="D1486" s="7" t="str">
        <x:v>Top Third Ventures사의 스토브 프로그램 CPA KE0006 -한국에서 케냐에 지원하는 BURN사의 효율적인 쿡스토브</x:v>
      </x:c>
      <x:c r="E1486" s="2" t="str">
        <x:v>108</x:v>
      </x:c>
      <x:c r="F1486" s="2" t="str">
        <x:v>2020-07</x:v>
      </x:c>
      <x:c r="G1486" s="2" t="str">
        <x:v>2020</x:v>
      </x:c>
      <x:c r="H1486" s="2" t="str">
        <x:v>07</x:v>
      </x:c>
      <x:c r="I1486" s="2" t="str">
        <x:v>승인</x:v>
      </x:c>
      <x:c r="J1486" s="2" t="str">
        <x:v>심의승인</x:v>
      </x:c>
      <x:c r="K1486" s="2" t="str">
        <x:f>IF(OR(J1486="심의승인",J1486="반려",J1486="반려완료",J1486="심의완료"),"종결 표시",IF(OR(J1486="기후부협의",J1486="문서재제출요청",J1486="보류",J1486="보완요청",J1486="보완완료",J1486="평가중",J1486="반려요청",J1486="평가필요",LEFT(J1486,5)="보완요청("),"미종결 표시","상태 확인 필요"))</x:f>
        <x:v>종결 표시</x:v>
      </x:c>
      <x:c r="L1486" s="2" t="str">
        <x:v>KECM</x:v>
      </x:c>
      <x:c r="M1486" s="2"/>
      <x:c r="N1486" s="8"/>
      <x:c r="O1486" s="2"/>
      <x:c r="P1486" s="2"/>
      <x:c r="Q1486" s="2" t="str">
        <x:v>산업전환_외부사업관리Tool_260707_이너젠 수정_LJY_261013.xlsx</x:v>
      </x:c>
      <x:c r="R1486" s="2" t="str">
        <x:v>국외평가</x:v>
      </x:c>
      <x:c r="S1486" s="8" t="n">
        <x:v>110</x:v>
      </x:c>
      <x:c r="T1486" s="2" t="str">
        <x:v>2021-06-14T00:00:00</x:v>
      </x:c>
      <x:c r="U1486" s="2" t="str">
        <x:v>2021 지정: 2021-06-14T00:00:00 / 2022 지정: (2/9)</x:v>
      </x:c>
      <x:c r="V1486" s="2" t="str">
        <x:v>2022-04-15</x:v>
      </x:c>
      <x:c r="W1486" s="2" t="str"/>
      <x:c r="X1486" s="2" t="str">
        <x:v>종결 근거 보관</x:v>
      </x:c>
      <x:c r="Y1486" s="2" t="str">
        <x:v>ad210cd9ec132cfd447541c8984dc53d30aff0f4fb2dc92d254d49275cc55976</x:v>
      </x:c>
      <x:c r="Z1486" s="2" t="n">
        <x:f>SUBTOTAL(103,A1486)</x:f>
        <x:v>1</x:v>
      </x:c>
      <x:c r="AA1486" s="2" t="str">
        <x:f>IF(K1486&lt;&gt;"미종결 표시","대상 아님",IF(N1486="","신청일 확인",IF(NOT(ISNUMBER('종합 현황'!$H$5)),"관찰기준 확인",IF('종합 현황'!$H$5&lt;1,"관찰기준 확인",IF(N1486&gt;'종합 현황'!$H$5,"내부 관찰 대상","내부 관찰일 이하")))))</x:f>
        <x:v>대상 아님</x:v>
      </x:c>
      <x:c r="AB1486" s="2" t="str">
        <x:v>2020-07-22 12:01:05 - 신규신청 - 신청 
2020-07-22 12:01:05 - 관장기관 지정 - 환경부
2020-07-28 15:49:21 - 관장기관 지정 - 산업통상자원부
2020-08-20 14:44:18 - 신규신청 - 문서재제출요청 
2020-09-02 14:51:54 - 재제출신청 - 신청 
2020-09-23 09:52:06 - 재제출신청 - 보완요청 
2020-12-10 14:07:44 - 보완신청 - 신청 
2021-03-31 14:22:25 - 보완신청 - 문서재제출요청 
2021-05-26 17:04:27 - 재제출신청 - 신청 
2021-07-07 10:04:04 - 재제출신청 - 문서재제출요청 
2021-07-23 11:58:59 - 재제출신청 - 신청 
2021-08-31 12:08:45 - 재제출신청 - 보완요청 
2021-09-06 12:07:41 - 보완신청 - 신청 
2021-09-30 09:49:06 - 보완신청 - 문서재제출요청 
2021-10-06 17:36:53 - 재제출신청 - 신청 
2021-10-08 10:06:50 - 재제출신청 - 문서재제출요청 
2021-10-08 13:42:58 - 재제출신청 - 신청 
2021-10-08 15:54:50 - 재제출신청 - 문서재제출요청 
2021-10-08 16:33:26 - 재제출신청 - 신청 
2021-11-29 15:23:46 - 재제출신청 - 문서재제출요청 
2021-11-30 17:26:22 - 재제출신청 - 신청 
2021-12-02 10:56:23 - 재제출신청 - 문서재제출요청 
2021-12-15 18:01:29 - 재제출신청 - 신청 
2022-01-07 09:58:22 - 재제출신청 - 문서재제출요청 
2022-02-04 17:46:26 - 재제출신청 - 신청 
2022-04-14 16:48:54 - 재제출신청 - 평가승인 
2022-04-15 14:17:54 - 재제출신청 - 심의승인 
</x:v>
      </x:c>
    </x:row>
    <x:row r="1487" ht="42" customHeight="1">
      <x:c r="A1487" s="2" t="str">
        <x:v>9c60fe2a112169dc508df0e0</x:v>
      </x:c>
      <x:c r="B1487" s="2" t="str">
        <x:v>사업 평가</x:v>
      </x:c>
      <x:c r="C1487" s="2" t="str">
        <x:v>국외</x:v>
      </x:c>
      <x:c r="D1487" s="7" t="str">
        <x:v>Top Third Ventures사의 스토브 프로그램 CPA KE0007 -한국에서 케냐에 지원하는 BURN사의 효율적인 쿡스토브</x:v>
      </x:c>
      <x:c r="E1487" s="2" t="str">
        <x:v>109</x:v>
      </x:c>
      <x:c r="F1487" s="2" t="str">
        <x:v>2020-07</x:v>
      </x:c>
      <x:c r="G1487" s="2" t="str">
        <x:v>2020</x:v>
      </x:c>
      <x:c r="H1487" s="2" t="str">
        <x:v>07</x:v>
      </x:c>
      <x:c r="I1487" s="2" t="str">
        <x:v>승인</x:v>
      </x:c>
      <x:c r="J1487" s="2" t="str">
        <x:v>심의승인</x:v>
      </x:c>
      <x:c r="K1487" s="2" t="str">
        <x:f>IF(OR(J1487="심의승인",J1487="반려",J1487="반려완료",J1487="심의완료"),"종결 표시",IF(OR(J1487="기후부협의",J1487="문서재제출요청",J1487="보류",J1487="보완요청",J1487="보완완료",J1487="평가중",J1487="반려요청",J1487="평가필요",LEFT(J1487,5)="보완요청("),"미종결 표시","상태 확인 필요"))</x:f>
        <x:v>종결 표시</x:v>
      </x:c>
      <x:c r="L1487" s="2" t="str">
        <x:v>KECM</x:v>
      </x:c>
      <x:c r="M1487" s="2"/>
      <x:c r="N1487" s="8"/>
      <x:c r="O1487" s="2"/>
      <x:c r="P1487" s="2"/>
      <x:c r="Q1487" s="2" t="str">
        <x:v>산업전환_외부사업관리Tool_260707_이너젠 수정_LJY_261013.xlsx</x:v>
      </x:c>
      <x:c r="R1487" s="2" t="str">
        <x:v>국외평가</x:v>
      </x:c>
      <x:c r="S1487" s="8" t="n">
        <x:v>111</x:v>
      </x:c>
      <x:c r="T1487" s="2" t="str">
        <x:v>2021-06-14T00:00:00</x:v>
      </x:c>
      <x:c r="U1487" s="2" t="str">
        <x:v>2021 지정: 2021-06-14T00:00:00 / 2022 지정: (2/9)</x:v>
      </x:c>
      <x:c r="V1487" s="2" t="str">
        <x:v>2022-04-15</x:v>
      </x:c>
      <x:c r="W1487" s="2" t="str"/>
      <x:c r="X1487" s="2" t="str">
        <x:v>종결 근거 보관</x:v>
      </x:c>
      <x:c r="Y1487" s="2" t="str">
        <x:v>ad210cd9ec132cfd447541c8984dc53d30aff0f4fb2dc92d254d49275cc55976</x:v>
      </x:c>
      <x:c r="Z1487" s="2" t="n">
        <x:f>SUBTOTAL(103,A1487)</x:f>
        <x:v>1</x:v>
      </x:c>
      <x:c r="AA1487" s="2" t="str">
        <x:f>IF(K1487&lt;&gt;"미종결 표시","대상 아님",IF(N1487="","신청일 확인",IF(NOT(ISNUMBER('종합 현황'!$H$5)),"관찰기준 확인",IF('종합 현황'!$H$5&lt;1,"관찰기준 확인",IF(N1487&gt;'종합 현황'!$H$5,"내부 관찰 대상","내부 관찰일 이하")))))</x:f>
        <x:v>대상 아님</x:v>
      </x:c>
      <x:c r="AB1487" s="2" t="str">
        <x:v>2020-07-22 12:01:20 - 신규신청 - 신청 
2020-07-22 12:01:20 - 관장기관 지정 - 환경부
2020-07-28 15:49:15 - 관장기관 지정 - 산업통상자원부
2020-08-20 14:43:40 - 신규신청 - 문서재제출요청 
2020-09-02 14:53:08 - 재제출신청 - 신청 
2020-09-23 09:51:47 - 재제출신청 - 보완요청 
2020-12-10 14:07:29 - 보완신청 - 신청 
2021-03-31 14:22:53 - 보완신청 - 문서재제출요청 
2021-05-28 11:34:36 - 재제출신청 - 신청 
2021-07-07 10:04:31 - 재제출신청 - 문서재제출요청 
2021-07-23 11:59:24 - 재제출신청 - 신청 
2021-08-31 12:09:29 - 재제출신청 - 보완요청 
2021-09-03 16:49:00 - 보완신청 - 신청 
2021-09-03 16:52:37 - 보완신청 - 문서재제출요청 
2021-09-03 16:55:42 - 재제출신청 - 신청 
2021-09-30 09:49:33 - 재제출신청 - 문서재제출요청 
2021-10-06 17:44:12 - 재제출신청 - 신청 
2021-10-08 10:07:22 - 재제출신청 - 문서재제출요청 
2021-10-08 13:45:38 - 재제출신청 - 신청 
2021-10-08 15:55:11 - 재제출신청 - 문서재제출요청 
2021-10-08 16:34:02 - 재제출신청 - 신청 
2021-11-29 15:25:08 - 재제출신청 - 문서재제출요청 
2021-11-30 17:28:26 - 재제출신청 - 신청 
2021-12-02 10:56:40 - 재제출신청 - 문서재제출요청 
2021-12-15 18:01:36 - 재제출신청 - 신청 
2022-01-07 09:58:08 - 재제출신청 - 문서재제출요청 
2022-02-04 17:46:38 - 재제출신청 - 신청 
2022-04-14 16:51:00 - 재제출신청 - 평가승인 
2022-04-15 14:16:51 - 재제출신청 - 심의승인 
</x:v>
      </x:c>
    </x:row>
    <x:row r="1488" ht="42" customHeight="1">
      <x:c r="A1488" s="2" t="str">
        <x:v>800ed1e757ddddcaeef9de12</x:v>
      </x:c>
      <x:c r="B1488" s="2" t="str">
        <x:v>사업 평가</x:v>
      </x:c>
      <x:c r="C1488" s="2" t="str">
        <x:v>국외</x:v>
      </x:c>
      <x:c r="D1488" s="7" t="str">
        <x:v>Top Third Ventures사의 스토브 프로그램 CPA KE0008 -한국에서 케냐에 지원하는 BURN사의 효율적인 쿡스토브</x:v>
      </x:c>
      <x:c r="E1488" s="2" t="str">
        <x:v>110</x:v>
      </x:c>
      <x:c r="F1488" s="2" t="str">
        <x:v>2020-07</x:v>
      </x:c>
      <x:c r="G1488" s="2" t="str">
        <x:v>2020</x:v>
      </x:c>
      <x:c r="H1488" s="2" t="str">
        <x:v>07</x:v>
      </x:c>
      <x:c r="I1488" s="2" t="str">
        <x:v>승인</x:v>
      </x:c>
      <x:c r="J1488" s="2" t="str">
        <x:v>심의승인</x:v>
      </x:c>
      <x:c r="K1488" s="2" t="str">
        <x:f>IF(OR(J1488="심의승인",J1488="반려",J1488="반려완료",J1488="심의완료"),"종결 표시",IF(OR(J1488="기후부협의",J1488="문서재제출요청",J1488="보류",J1488="보완요청",J1488="보완완료",J1488="평가중",J1488="반려요청",J1488="평가필요",LEFT(J1488,5)="보완요청("),"미종결 표시","상태 확인 필요"))</x:f>
        <x:v>종결 표시</x:v>
      </x:c>
      <x:c r="L1488" s="2" t="str">
        <x:v>KECM</x:v>
      </x:c>
      <x:c r="M1488" s="2"/>
      <x:c r="N1488" s="8"/>
      <x:c r="O1488" s="2"/>
      <x:c r="P1488" s="2"/>
      <x:c r="Q1488" s="2" t="str">
        <x:v>산업전환_외부사업관리Tool_260707_이너젠 수정_LJY_261013.xlsx</x:v>
      </x:c>
      <x:c r="R1488" s="2" t="str">
        <x:v>국외평가</x:v>
      </x:c>
      <x:c r="S1488" s="8" t="n">
        <x:v>112</x:v>
      </x:c>
      <x:c r="T1488" s="2" t="str">
        <x:v>2021-06-14T00:00:00</x:v>
      </x:c>
      <x:c r="U1488" s="2" t="str">
        <x:v>2021 지정: 2021-06-14T00:00:00 / 2022 지정: (2/9)</x:v>
      </x:c>
      <x:c r="V1488" s="2" t="str">
        <x:v>2022-04-15</x:v>
      </x:c>
      <x:c r="W1488" s="2" t="str"/>
      <x:c r="X1488" s="2" t="str">
        <x:v>종결 근거 보관</x:v>
      </x:c>
      <x:c r="Y1488" s="2" t="str">
        <x:v>ad210cd9ec132cfd447541c8984dc53d30aff0f4fb2dc92d254d49275cc55976</x:v>
      </x:c>
      <x:c r="Z1488" s="2" t="n">
        <x:f>SUBTOTAL(103,A1488)</x:f>
        <x:v>1</x:v>
      </x:c>
      <x:c r="AA1488" s="2" t="str">
        <x:f>IF(K1488&lt;&gt;"미종결 표시","대상 아님",IF(N1488="","신청일 확인",IF(NOT(ISNUMBER('종합 현황'!$H$5)),"관찰기준 확인",IF('종합 현황'!$H$5&lt;1,"관찰기준 확인",IF(N1488&gt;'종합 현황'!$H$5,"내부 관찰 대상","내부 관찰일 이하")))))</x:f>
        <x:v>대상 아님</x:v>
      </x:c>
      <x:c r="AB1488" s="2" t="str">
        <x:v>2020-07-22 12:01:34 - 신규신청 - 신청 
2020-07-22 12:01:34 - 관장기관 지정 - 환경부
2020-07-28 15:49:08 - 관장기관 지정 - 산업통상자원부
2020-08-20 14:43:22 - 신규신청 - 문서재제출요청 
2020-09-02 14:54:33 - 재제출신청 - 신청 
2020-09-23 09:51:15 - 재제출신청 - 보완요청 
2020-12-10 14:07:15 - 보완신청 - 신청 
2021-03-31 14:23:20 - 보완신청 - 문서재제출요청 
2021-05-28 11:34:45 - 재제출신청 - 신청 
2021-07-07 10:04:53 - 재제출신청 - 문서재제출요청 
2021-07-23 11:59:45 - 재제출신청 - 신청 
2021-08-31 12:10:07 - 재제출신청 - 보완요청 
2021-09-03 16:55:52 - 보완신청 - 신청 
2021-09-30 09:49:58 - 보완신청 - 문서재제출요청 
2021-10-06 17:44:23 - 재제출신청 - 신청 
2021-10-08 10:08:11 - 재제출신청 - 문서재제출요청 
2021-10-08 13:43:36 - 재제출신청 - 신청 
2021-10-08 15:55:33 - 재제출신청 - 문서재제출요청 
2021-10-08 16:34:13 - 재제출신청 - 신청 
2021-11-29 15:26:45 - 재제출신청 - 문서재제출요청 
2021-11-30 17:30:20 - 재제출신청 - 신청 
2021-12-02 10:56:56 - 재제출신청 - 문서재제출요청 
2021-12-15 18:01:44 - 재제출신청 - 신청 
2022-01-07 09:57:51 - 재제출신청 - 문서재제출요청 
2022-02-04 17:46:51 - 재제출신청 - 신청 
2022-04-14 16:52:24 - 재제출신청 - 평가승인 
2022-04-15 14:15:41 - 재제출신청 - 심의승인 
</x:v>
      </x:c>
    </x:row>
    <x:row r="1489" ht="42" customHeight="1">
      <x:c r="A1489" s="2" t="str">
        <x:v>d703838763db2702797510d1</x:v>
      </x:c>
      <x:c r="B1489" s="2" t="str">
        <x:v>사업 평가</x:v>
      </x:c>
      <x:c r="C1489" s="2" t="str">
        <x:v>국외</x:v>
      </x:c>
      <x:c r="D1489" s="7" t="str">
        <x:v>아프리카 고효율 쿡스토브 보급 PoA 사업 : CPA0008(케냐)</x:v>
      </x:c>
      <x:c r="E1489" s="2" t="str">
        <x:v>111</x:v>
      </x:c>
      <x:c r="F1489" s="2" t="str">
        <x:v>2020-08</x:v>
      </x:c>
      <x:c r="G1489" s="2" t="str">
        <x:v>2020</x:v>
      </x:c>
      <x:c r="H1489" s="2" t="str">
        <x:v>08</x:v>
      </x:c>
      <x:c r="I1489" s="2" t="str">
        <x:v>승인</x:v>
      </x:c>
      <x:c r="J1489" s="2" t="str">
        <x:v>심의승인</x:v>
      </x:c>
      <x:c r="K1489" s="2" t="str">
        <x:f>IF(OR(J1489="심의승인",J1489="반려",J1489="반려완료",J1489="심의완료"),"종결 표시",IF(OR(J1489="기후부협의",J1489="문서재제출요청",J1489="보류",J1489="보완요청",J1489="보완완료",J1489="평가중",J1489="반려요청",J1489="평가필요",LEFT(J1489,5)="보완요청("),"미종결 표시","상태 확인 필요"))</x:f>
        <x:v>종결 표시</x:v>
      </x:c>
      <x:c r="L1489" s="2" t="str">
        <x:v>KECM</x:v>
      </x:c>
      <x:c r="M1489" s="2"/>
      <x:c r="N1489" s="8"/>
      <x:c r="O1489" s="2"/>
      <x:c r="P1489" s="2"/>
      <x:c r="Q1489" s="2" t="str">
        <x:v>산업전환_외부사업관리Tool_260707_이너젠 수정_LJY_261013.xlsx</x:v>
      </x:c>
      <x:c r="R1489" s="2" t="str">
        <x:v>국외평가</x:v>
      </x:c>
      <x:c r="S1489" s="8" t="n">
        <x:v>113</x:v>
      </x:c>
      <x:c r="T1489" s="2" t="str">
        <x:v>2021-07-16T00:00:00</x:v>
      </x:c>
      <x:c r="U1489" s="2" t="str">
        <x:v>2021 지정: 2021-07-16T00:00:00 / 2021 지정(2): (04.19 / 07.16)</x:v>
      </x:c>
      <x:c r="V1489" s="2" t="str">
        <x:v>2021-10-20</x:v>
      </x:c>
      <x:c r="W1489" s="2" t="str"/>
      <x:c r="X1489" s="2" t="str">
        <x:v>종결 근거 보관</x:v>
      </x:c>
      <x:c r="Y1489" s="2" t="str">
        <x:v>ad210cd9ec132cfd447541c8984dc53d30aff0f4fb2dc92d254d49275cc55976</x:v>
      </x:c>
      <x:c r="Z1489" s="2" t="n">
        <x:f>SUBTOTAL(103,A1489)</x:f>
        <x:v>1</x:v>
      </x:c>
      <x:c r="AA1489" s="2" t="str">
        <x:f>IF(K1489&lt;&gt;"미종결 표시","대상 아님",IF(N1489="","신청일 확인",IF(NOT(ISNUMBER('종합 현황'!$H$5)),"관찰기준 확인",IF('종합 현황'!$H$5&lt;1,"관찰기준 확인",IF(N1489&gt;'종합 현황'!$H$5,"내부 관찰 대상","내부 관찰일 이하")))))</x:f>
        <x:v>대상 아님</x:v>
      </x:c>
      <x:c r="AB1489" s="2" t="str">
        <x:v>2020-08-07 16:50:49 - 신규신청 - 신청 
2020-08-07 16:50:49 - 관장기관 지정 - 환경부
2020-08-07 17:54:56 - 관장기관 지정 - 산업통상자원부
2020-09-23 09:55:22 - 신규신청 - 보완요청 
2020-11-24 17:18:03 - 보완신청 - 신청 
2021-03-02 14:30:58 - 보완신청 - 문서재제출요청 
2021-03-05 14:43:34 - 재제출신청 - 신청 
2021-03-30 15:08:18 - 재제출신청 - 문서재제출요청 
2021-04-16 16:58:04 - 재제출신청 - 신청 
2021-06-09 09:37:01 - 재제출신청 - 문서재제출요청 
2021-07-14 14:48:20 - 재제출신청 - 신청 
2021-08-05 14:10:11 - 재제출신청 - 문서재제출요청 
2021-08-19 10:03:30 - 재제출신청 - 신청 
2021-09-27 11:44:51 - 재제출신청 - 평가승인 
2021-09-27 11:45:25 - 재제출신청 - 심의승인 
2021-10-20 14:55:28 - 재제출신청 - 착수신고 
</x:v>
      </x:c>
    </x:row>
    <x:row r="1490" ht="42" customHeight="1">
      <x:c r="A1490" s="2" t="str">
        <x:v>bc8c7535b2ddfb10b14743f2</x:v>
      </x:c>
      <x:c r="B1490" s="2" t="str">
        <x:v>사업 평가</x:v>
      </x:c>
      <x:c r="C1490" s="2" t="str">
        <x:v>국외</x:v>
      </x:c>
      <x:c r="D1490" s="7" t="str">
        <x:v>아프리카 고효율 쿡스토브 보급 PoA 사업 : CPA0009(케냐)</x:v>
      </x:c>
      <x:c r="E1490" s="2" t="str">
        <x:v>112</x:v>
      </x:c>
      <x:c r="F1490" s="2" t="str">
        <x:v>2020-08</x:v>
      </x:c>
      <x:c r="G1490" s="2" t="str">
        <x:v>2020</x:v>
      </x:c>
      <x:c r="H1490" s="2" t="str">
        <x:v>08</x:v>
      </x:c>
      <x:c r="I1490" s="2" t="str">
        <x:v>승인</x:v>
      </x:c>
      <x:c r="J1490" s="2" t="str">
        <x:v>심의승인</x:v>
      </x:c>
      <x:c r="K1490" s="2" t="str">
        <x:f>IF(OR(J1490="심의승인",J1490="반려",J1490="반려완료",J1490="심의완료"),"종결 표시",IF(OR(J1490="기후부협의",J1490="문서재제출요청",J1490="보류",J1490="보완요청",J1490="보완완료",J1490="평가중",J1490="반려요청",J1490="평가필요",LEFT(J1490,5)="보완요청("),"미종결 표시","상태 확인 필요"))</x:f>
        <x:v>종결 표시</x:v>
      </x:c>
      <x:c r="L1490" s="2" t="str">
        <x:v>KECM</x:v>
      </x:c>
      <x:c r="M1490" s="2"/>
      <x:c r="N1490" s="8"/>
      <x:c r="O1490" s="2"/>
      <x:c r="P1490" s="2"/>
      <x:c r="Q1490" s="2" t="str">
        <x:v>산업전환_외부사업관리Tool_260707_이너젠 수정_LJY_261013.xlsx</x:v>
      </x:c>
      <x:c r="R1490" s="2" t="str">
        <x:v>국외평가</x:v>
      </x:c>
      <x:c r="S1490" s="8" t="n">
        <x:v>114</x:v>
      </x:c>
      <x:c r="T1490" s="2" t="str">
        <x:v>2021-07-16T00:00:00</x:v>
      </x:c>
      <x:c r="U1490" s="2" t="str">
        <x:v>2021 지정: 2021-07-16T00:00:00 / 2021 지정(2): (04.19 / 07.16)</x:v>
      </x:c>
      <x:c r="V1490" s="2" t="str">
        <x:v>2021-10-20</x:v>
      </x:c>
      <x:c r="W1490" s="2" t="str"/>
      <x:c r="X1490" s="2" t="str">
        <x:v>종결 근거 보관</x:v>
      </x:c>
      <x:c r="Y1490" s="2" t="str">
        <x:v>ad210cd9ec132cfd447541c8984dc53d30aff0f4fb2dc92d254d49275cc55976</x:v>
      </x:c>
      <x:c r="Z1490" s="2" t="n">
        <x:f>SUBTOTAL(103,A1490)</x:f>
        <x:v>1</x:v>
      </x:c>
      <x:c r="AA1490" s="2" t="str">
        <x:f>IF(K1490&lt;&gt;"미종결 표시","대상 아님",IF(N1490="","신청일 확인",IF(NOT(ISNUMBER('종합 현황'!$H$5)),"관찰기준 확인",IF('종합 현황'!$H$5&lt;1,"관찰기준 확인",IF(N1490&gt;'종합 현황'!$H$5,"내부 관찰 대상","내부 관찰일 이하")))))</x:f>
        <x:v>대상 아님</x:v>
      </x:c>
      <x:c r="AB1490" s="2" t="str">
        <x:v>2020-08-07 16:51:10 - 신규신청 - 신청 
2020-08-07 16:51:10 - 관장기관 지정 - 환경부
2020-08-07 17:54:50 - 관장기관 지정 - 산업통상자원부
2020-09-23 09:56:48 - 신규신청 - 보완요청 
2020-11-24 17:17:27 - 보완신청 - 신청 
2021-03-02 14:31:25 - 보완신청 - 문서재제출요청 
2021-03-05 14:43:11 - 재제출신청 - 신청 
2021-03-30 15:08:43 - 재제출신청 - 문서재제출요청 
2021-04-16 16:58:16 - 재제출신청 - 신청 
2021-06-09 09:36:31 - 재제출신청 - 문서재제출요청 
2021-07-14 14:48:48 - 재제출신청 - 신청 
2021-08-05 14:00:04 - 재제출신청 - 문서재제출요청 
2021-08-19 10:03:40 - 재제출신청 - 신청 
2021-09-27 11:44:27 - 재제출신청 - 평가승인 
2021-09-27 11:45:53 - 재제출신청 - 심의승인 
2021-10-20 14:55:50 - 재제출신청 - 착수신고 
</x:v>
      </x:c>
    </x:row>
    <x:row r="1491" ht="42" customHeight="1">
      <x:c r="A1491" s="2" t="str">
        <x:v>31cab286f464d4b5b5ad0eaf</x:v>
      </x:c>
      <x:c r="B1491" s="2" t="str">
        <x:v>사업 평가</x:v>
      </x:c>
      <x:c r="C1491" s="2" t="str">
        <x:v>국외</x:v>
      </x:c>
      <x:c r="D1491" s="7" t="str">
        <x:v>아프리카 고효율 쿡스토브 보급 PoA 사업 : CPA0010(케냐)</x:v>
      </x:c>
      <x:c r="E1491" s="2" t="str">
        <x:v>113</x:v>
      </x:c>
      <x:c r="F1491" s="2" t="str">
        <x:v>2020-08</x:v>
      </x:c>
      <x:c r="G1491" s="2" t="str">
        <x:v>2020</x:v>
      </x:c>
      <x:c r="H1491" s="2" t="str">
        <x:v>08</x:v>
      </x:c>
      <x:c r="I1491" s="2" t="str">
        <x:v>승인</x:v>
      </x:c>
      <x:c r="J1491" s="2" t="str">
        <x:v>심의승인</x:v>
      </x:c>
      <x:c r="K1491" s="2" t="str">
        <x:f>IF(OR(J1491="심의승인",J1491="반려",J1491="반려완료",J1491="심의완료"),"종결 표시",IF(OR(J1491="기후부협의",J1491="문서재제출요청",J1491="보류",J1491="보완요청",J1491="보완완료",J1491="평가중",J1491="반려요청",J1491="평가필요",LEFT(J1491,5)="보완요청("),"미종결 표시","상태 확인 필요"))</x:f>
        <x:v>종결 표시</x:v>
      </x:c>
      <x:c r="L1491" s="2" t="str">
        <x:v>KECM</x:v>
      </x:c>
      <x:c r="M1491" s="2"/>
      <x:c r="N1491" s="8"/>
      <x:c r="O1491" s="2"/>
      <x:c r="P1491" s="2"/>
      <x:c r="Q1491" s="2" t="str">
        <x:v>산업전환_외부사업관리Tool_260707_이너젠 수정_LJY_261013.xlsx</x:v>
      </x:c>
      <x:c r="R1491" s="2" t="str">
        <x:v>국외평가</x:v>
      </x:c>
      <x:c r="S1491" s="8" t="n">
        <x:v>115</x:v>
      </x:c>
      <x:c r="T1491" s="2" t="str">
        <x:v>2021-07-16T00:00:00</x:v>
      </x:c>
      <x:c r="U1491" s="2" t="str">
        <x:v>2021 지정: 2021-07-16T00:00:00 / 2021 지정(2): (04.19 / 07.16)</x:v>
      </x:c>
      <x:c r="V1491" s="2" t="str">
        <x:v>2021-10-20</x:v>
      </x:c>
      <x:c r="W1491" s="2" t="str"/>
      <x:c r="X1491" s="2" t="str">
        <x:v>종결 근거 보관</x:v>
      </x:c>
      <x:c r="Y1491" s="2" t="str">
        <x:v>ad210cd9ec132cfd447541c8984dc53d30aff0f4fb2dc92d254d49275cc55976</x:v>
      </x:c>
      <x:c r="Z1491" s="2" t="n">
        <x:f>SUBTOTAL(103,A1491)</x:f>
        <x:v>1</x:v>
      </x:c>
      <x:c r="AA1491" s="2" t="str">
        <x:f>IF(K1491&lt;&gt;"미종결 표시","대상 아님",IF(N1491="","신청일 확인",IF(NOT(ISNUMBER('종합 현황'!$H$5)),"관찰기준 확인",IF('종합 현황'!$H$5&lt;1,"관찰기준 확인",IF(N1491&gt;'종합 현황'!$H$5,"내부 관찰 대상","내부 관찰일 이하")))))</x:f>
        <x:v>대상 아님</x:v>
      </x:c>
      <x:c r="AB1491" s="2" t="str">
        <x:v>2020-08-07 16:51:28 - 신규신청 - 신청 
2020-08-07 16:51:28 - 관장기관 지정 - 환경부
2020-08-07 17:54:43 - 관장기관 지정 - 산업통상자원부
2020-09-23 09:56:22 - 신규신청 - 보완요청 
2020-11-24 17:17:00 - 보완신청 - 신청 
2021-03-02 14:28:24 - 보완신청 - 문서재제출요청 
2021-03-05 14:40:55 - 재제출신청 - 신청 
2021-03-30 15:09:12 - 재제출신청 - 문서재제출요청 
2021-04-16 16:58:29 - 재제출신청 - 신청 
2021-06-09 09:36:02 - 재제출신청 - 문서재제출요청 
2021-07-14 14:49:14 - 재제출신청 - 신청 
2021-08-05 14:09:32 - 재제출신청 - 문서재제출요청 
2021-08-19 10:04:29 - 재제출신청 - 신청 
2021-09-27 11:44:06 - 재제출신청 - 평가승인 
2021-09-27 11:46:20 - 재제출신청 - 심의승인 
2021-10-20 14:56:08 - 재제출신청 - 착수신고 
</x:v>
      </x:c>
    </x:row>
    <x:row r="1492" ht="42" customHeight="1">
      <x:c r="A1492" s="2" t="str">
        <x:v>3a0c26a41f82ed70ffddf350</x:v>
      </x:c>
      <x:c r="B1492" s="2" t="str">
        <x:v>사업 평가</x:v>
      </x:c>
      <x:c r="C1492" s="2" t="str">
        <x:v>국외</x:v>
      </x:c>
      <x:c r="D1492" s="7" t="str">
        <x:v>마다가스카르의 개선된 쿡스토브 프로젝트 by KCM - Wood#CPA-W-002</x:v>
      </x:c>
      <x:c r="E1492" s="2" t="str">
        <x:v>114</x:v>
      </x:c>
      <x:c r="F1492" s="2" t="str">
        <x:v>2020-08</x:v>
      </x:c>
      <x:c r="G1492" s="2" t="str">
        <x:v>2020</x:v>
      </x:c>
      <x:c r="H1492" s="2" t="str">
        <x:v>08</x:v>
      </x:c>
      <x:c r="I1492" s="2" t="str">
        <x:v>승인</x:v>
      </x:c>
      <x:c r="J1492" s="2" t="str">
        <x:v>심의승인</x:v>
      </x:c>
      <x:c r="K1492" s="2" t="str">
        <x:f>IF(OR(J1492="심의승인",J1492="반려",J1492="반려완료",J1492="심의완료"),"종결 표시",IF(OR(J1492="기후부협의",J1492="문서재제출요청",J1492="보류",J1492="보완요청",J1492="보완완료",J1492="평가중",J1492="반려요청",J1492="평가필요",LEFT(J1492,5)="보완요청("),"미종결 표시","상태 확인 필요"))</x:f>
        <x:v>종결 표시</x:v>
      </x:c>
      <x:c r="L1492" s="2" t="str">
        <x:v>에코시안_배윤빈</x:v>
      </x:c>
      <x:c r="M1492" s="2"/>
      <x:c r="N1492" s="8"/>
      <x:c r="O1492" s="2"/>
      <x:c r="P1492" s="2"/>
      <x:c r="Q1492" s="2" t="str">
        <x:v>산업전환_외부사업관리Tool_260707_이너젠 수정_LJY_261013.xlsx</x:v>
      </x:c>
      <x:c r="R1492" s="2" t="str">
        <x:v>국외평가</x:v>
      </x:c>
      <x:c r="S1492" s="8" t="n">
        <x:v>116</x:v>
      </x:c>
      <x:c r="T1492" s="2" t="str">
        <x:v>2021-07-16T00:00:00</x:v>
      </x:c>
      <x:c r="U1492" s="2" t="str">
        <x:v>2021 지정: 2021-07-16T00:00:00 / 2021 지정(2): (5.17 / 6.9 / 07.16)</x:v>
      </x:c>
      <x:c r="V1492" s="2" t="str">
        <x:v>2022-01-07</x:v>
      </x:c>
      <x:c r="W1492" s="2" t="str"/>
      <x:c r="X1492" s="2" t="str">
        <x:v>종결 근거 보관</x:v>
      </x:c>
      <x:c r="Y1492" s="2" t="str">
        <x:v>ad210cd9ec132cfd447541c8984dc53d30aff0f4fb2dc92d254d49275cc55976</x:v>
      </x:c>
      <x:c r="Z1492" s="2" t="n">
        <x:f>SUBTOTAL(103,A1492)</x:f>
        <x:v>1</x:v>
      </x:c>
      <x:c r="AA1492" s="2" t="str">
        <x:f>IF(K1492&lt;&gt;"미종결 표시","대상 아님",IF(N1492="","신청일 확인",IF(NOT(ISNUMBER('종합 현황'!$H$5)),"관찰기준 확인",IF('종합 현황'!$H$5&lt;1,"관찰기준 확인",IF(N1492&gt;'종합 현황'!$H$5,"내부 관찰 대상","내부 관찰일 이하")))))</x:f>
        <x:v>대상 아님</x:v>
      </x:c>
      <x:c r="AB1492" s="2" t="str">
        <x:v>2020-08-21 17:37:40 - 신규신청 - 신청 
2020-08-21 17:37:40 - 관장기관 지정 - 환경부
2020-08-24 18:09:22 - 관장기관 지정 - 산업통상자원부
2020-09-23 09:54:47 - 신규신청 - 보완요청 
2021-01-04 13:55:58 - 보완신청 - 신청 
2021-04-02 11:27:03 - 보완신청 - 문서재제출요청 
2021-04-30 14:41:18 - 재제출신청 - 신청 
2021-05-31 15:40:27 - 재제출신청 - 문서재제출요청 
2021-06-01 16:21:28 - 재제출신청 - 신청 
2021-06-01 17:27:57 - 재제출신청 - 문서재제출요청 
2021-06-01 17:35:38 - 재제출신청 - 신청 
2021-06-22 15:02:53 - 재제출신청 - 문서재제출요청 
2021-07-21 14:58:05 - 재제출신청 - 신청 
2021-08-31 13:09:23 - 재제출신청 - 문서재제출요청 
2021-08-31 15:37:09 - 재제출신청 - 신청 
2021-10-22 15:12:58 - 재제출신청 - 문서재제출요청 
2021-10-29 17:22:45 - 재제출신청 - 신청 
2021-11-29 13:39:11 - 재제출신청 - 문서재제출요청 
2021-11-29 17:40:38 - 재제출신청 - 신청 
2022-01-07 14:39:33 - 재제출신청 - 평가승인 
2022-01-07 14:40:11 - 재제출신청 - 심의승인 
</x:v>
      </x:c>
    </x:row>
    <x:row r="1493" ht="42" customHeight="1">
      <x:c r="A1493" s="2" t="str">
        <x:v>316468360a7808832220a6f1</x:v>
      </x:c>
      <x:c r="B1493" s="2" t="str">
        <x:v>사업 평가</x:v>
      </x:c>
      <x:c r="C1493" s="2" t="str">
        <x:v>국외</x:v>
      </x:c>
      <x:c r="D1493" s="7" t="str">
        <x:v>마다가스카르의 개선된 쿡스토브 프로젝트 by KCM - Wood#CPA-W-003</x:v>
      </x:c>
      <x:c r="E1493" s="2" t="str">
        <x:v>115</x:v>
      </x:c>
      <x:c r="F1493" s="2" t="str">
        <x:v>2020-08</x:v>
      </x:c>
      <x:c r="G1493" s="2" t="str">
        <x:v>2020</x:v>
      </x:c>
      <x:c r="H1493" s="2" t="str">
        <x:v>08</x:v>
      </x:c>
      <x:c r="I1493" s="2" t="str">
        <x:v>승인</x:v>
      </x:c>
      <x:c r="J1493" s="2" t="str">
        <x:v>심의승인</x:v>
      </x:c>
      <x:c r="K1493" s="2" t="str">
        <x:f>IF(OR(J1493="심의승인",J1493="반려",J1493="반려완료",J1493="심의완료"),"종결 표시",IF(OR(J1493="기후부협의",J1493="문서재제출요청",J1493="보류",J1493="보완요청",J1493="보완완료",J1493="평가중",J1493="반려요청",J1493="평가필요",LEFT(J1493,5)="보완요청("),"미종결 표시","상태 확인 필요"))</x:f>
        <x:v>종결 표시</x:v>
      </x:c>
      <x:c r="L1493" s="2" t="str">
        <x:v>에코시안_배윤빈</x:v>
      </x:c>
      <x:c r="M1493" s="2"/>
      <x:c r="N1493" s="8"/>
      <x:c r="O1493" s="2"/>
      <x:c r="P1493" s="2"/>
      <x:c r="Q1493" s="2" t="str">
        <x:v>산업전환_외부사업관리Tool_260707_이너젠 수정_LJY_261013.xlsx</x:v>
      </x:c>
      <x:c r="R1493" s="2" t="str">
        <x:v>국외평가</x:v>
      </x:c>
      <x:c r="S1493" s="8" t="n">
        <x:v>117</x:v>
      </x:c>
      <x:c r="T1493" s="2" t="str">
        <x:v>2021-07-16T00:00:00</x:v>
      </x:c>
      <x:c r="U1493" s="2" t="str">
        <x:v>2021 지정: 2021-07-16T00:00:00 / 2021 지정(2): (5.17 / 6.9 / 07.16)</x:v>
      </x:c>
      <x:c r="V1493" s="2" t="str">
        <x:v>2022-01-07</x:v>
      </x:c>
      <x:c r="W1493" s="2" t="str"/>
      <x:c r="X1493" s="2" t="str">
        <x:v>종결 근거 보관</x:v>
      </x:c>
      <x:c r="Y1493" s="2" t="str">
        <x:v>ad210cd9ec132cfd447541c8984dc53d30aff0f4fb2dc92d254d49275cc55976</x:v>
      </x:c>
      <x:c r="Z1493" s="2" t="n">
        <x:f>SUBTOTAL(103,A1493)</x:f>
        <x:v>1</x:v>
      </x:c>
      <x:c r="AA1493" s="2" t="str">
        <x:f>IF(K1493&lt;&gt;"미종결 표시","대상 아님",IF(N1493="","신청일 확인",IF(NOT(ISNUMBER('종합 현황'!$H$5)),"관찰기준 확인",IF('종합 현황'!$H$5&lt;1,"관찰기준 확인",IF(N1493&gt;'종합 현황'!$H$5,"내부 관찰 대상","내부 관찰일 이하")))))</x:f>
        <x:v>대상 아님</x:v>
      </x:c>
      <x:c r="AB1493" s="2" t="str">
        <x:v>2020-08-21 17:51:41 - 신규신청 - 신청 
2020-08-21 17:51:41 - 관장기관 지정 - 환경부
2020-08-24 18:09:15 - 관장기관 지정 - 산업통상자원부
2020-09-23 09:55:47 - 신규신청 - 보완요청 
2021-01-04 13:56:07 - 보완신청 - 신청 
2021-04-02 11:27:30 - 보완신청 - 문서재제출요청 
2021-04-30 14:41:29 - 재제출신청 - 신청 
2021-05-31 15:37:15 - 재제출신청 - 문서재제출요청 
2021-06-01 16:26:42 - 재제출신청 - 신청 
2021-06-01 17:27:13 - 재제출신청 - 문서재제출요청 
2021-06-01 17:37:55 - 재제출신청 - 신청 
2021-06-22 15:03:19 - 재제출신청 - 문서재제출요청 
2021-07-21 14:58:47 - 재제출신청 - 신청 
2021-08-31 13:09:39 - 재제출신청 - 문서재제출요청 
2021-08-31 15:41:03 - 재제출신청 - 신청 
2021-10-22 15:13:20 - 재제출신청 - 문서재제출요청 
2021-10-29 17:23:03 - 재제출신청 - 신청 
2021-11-29 13:41:31 - 재제출신청 - 문서재제출요청 
2021-11-29 17:40:51 - 재제출신청 - 신청 
2022-01-07 14:40:59 - 재제출신청 - 평가승인 
2022-01-07 14:41:52 - 재제출신청 - 심의승인 
</x:v>
      </x:c>
    </x:row>
    <x:row r="1494" ht="42" customHeight="1">
      <x:c r="A1494" s="2" t="str">
        <x:v>e9639b7b61747a408a17dba9</x:v>
      </x:c>
      <x:c r="B1494" s="2" t="str">
        <x:v>사업 평가</x:v>
      </x:c>
      <x:c r="C1494" s="2" t="str">
        <x:v>국외</x:v>
      </x:c>
      <x:c r="D1494" s="7" t="str">
        <x:v>BioLite의 발전된 쿡스토브 프로그램 - 한국에서 지원하는 CPA 032</x:v>
      </x:c>
      <x:c r="E1494" s="2" t="str">
        <x:v>137</x:v>
      </x:c>
      <x:c r="F1494" s="2" t="str">
        <x:v>2020-09</x:v>
      </x:c>
      <x:c r="G1494" s="2" t="str">
        <x:v>2020</x:v>
      </x:c>
      <x:c r="H1494" s="2" t="str">
        <x:v>09</x:v>
      </x:c>
      <x:c r="I1494" s="2" t="str">
        <x:v>검토필요</x:v>
      </x:c>
      <x:c r="J1494" s="2" t="str">
        <x:v>보류</x:v>
      </x:c>
      <x:c r="K1494" s="2" t="str">
        <x:f>IF(OR(J1494="심의승인",J1494="반려",J1494="반려완료",J1494="심의완료"),"종결 표시",IF(OR(J1494="기후부협의",J1494="문서재제출요청",J1494="보류",J1494="보완요청",J1494="보완완료",J1494="평가중",J1494="반려요청",J1494="평가필요",LEFT(J1494,5)="보완요청("),"미종결 표시","상태 확인 필요"))</x:f>
        <x:v>미종결 표시</x:v>
      </x:c>
      <x:c r="L1494" s="2" t="str">
        <x:v>KRIC</x:v>
      </x:c>
      <x:c r="M1494" s="2"/>
      <x:c r="N1494" s="8"/>
      <x:c r="O1494" s="2"/>
      <x:c r="P1494" s="2" t="str">
        <x:v>반려보류</x:v>
      </x:c>
      <x:c r="Q1494" s="2" t="str">
        <x:v>산업전환_외부사업관리Tool_260707_이너젠 수정_LJY_261013.xlsx</x:v>
      </x:c>
      <x:c r="R1494" s="2" t="str">
        <x:v>국외평가</x:v>
      </x:c>
      <x:c r="S1494" s="8" t="n">
        <x:v>118</x:v>
      </x:c>
      <x:c r="T1494" s="2" t="str">
        <x:v>(5/18)</x:v>
      </x:c>
      <x:c r="U1494" s="2" t="str">
        <x:v>2022 지정: (5/18)</x:v>
      </x:c>
      <x:c r="V1494" s="2" t="str">
        <x:v>2022-04-28</x:v>
      </x:c>
      <x:c r="W1494" s="2" t="str"/>
      <x:c r="X1494" s="2" t="str">
        <x:v>검토 진행 일정 확인</x:v>
      </x:c>
      <x:c r="Y1494" s="2" t="str">
        <x:v>ad210cd9ec132cfd447541c8984dc53d30aff0f4fb2dc92d254d49275cc55976</x:v>
      </x:c>
      <x:c r="Z1494" s="2" t="n">
        <x:f>SUBTOTAL(103,A1494)</x:f>
        <x:v>1</x:v>
      </x:c>
      <x:c r="AA1494" s="2" t="str">
        <x:f>IF(K1494&lt;&gt;"미종결 표시","대상 아님",IF(N1494="","신청일 확인",IF(NOT(ISNUMBER('종합 현황'!$H$5)),"관찰기준 확인",IF('종합 현황'!$H$5&lt;1,"관찰기준 확인",IF(N1494&gt;'종합 현황'!$H$5,"내부 관찰 대상","내부 관찰일 이하")))))</x:f>
        <x:v>신청일 확인</x:v>
      </x:c>
      <x:c r="AB1494" s="2" t="str">
        <x:v>2020-09-01 10:18:32 - 신규신청 - 신청 
2020-09-01 10:18:32 - 관장기관 지정 - 환경부
2020-09-11 17:41:48 - 관장기관 지정 - 산업통상자원부
2020-09-18 17:31:35 - 신규신청 - 문서재제출요청 
2022-04-28 14:40:35 - 재제출신청 - 신청 
</x:v>
      </x:c>
    </x:row>
    <x:row r="1495" ht="42" customHeight="1">
      <x:c r="A1495" s="2" t="str">
        <x:v>f41577735735f36c43874a49</x:v>
      </x:c>
      <x:c r="B1495" s="2" t="str">
        <x:v>사업 평가</x:v>
      </x:c>
      <x:c r="C1495" s="2" t="str">
        <x:v>국외</x:v>
      </x:c>
      <x:c r="D1495" s="7" t="str">
        <x:v>BioLite의 발전된 쿡스토브 프로그램 - 한국에서 지원하는 CPA 033</x:v>
      </x:c>
      <x:c r="E1495" s="2" t="str">
        <x:v>138</x:v>
      </x:c>
      <x:c r="F1495" s="2" t="str">
        <x:v>2020-09</x:v>
      </x:c>
      <x:c r="G1495" s="2" t="str">
        <x:v>2020</x:v>
      </x:c>
      <x:c r="H1495" s="2" t="str">
        <x:v>09</x:v>
      </x:c>
      <x:c r="I1495" s="2" t="str">
        <x:v>검토필요</x:v>
      </x:c>
      <x:c r="J1495" s="2" t="str">
        <x:v>보류</x:v>
      </x:c>
      <x:c r="K1495" s="2" t="str">
        <x:f>IF(OR(J1495="심의승인",J1495="반려",J1495="반려완료",J1495="심의완료"),"종결 표시",IF(OR(J1495="기후부협의",J1495="문서재제출요청",J1495="보류",J1495="보완요청",J1495="보완완료",J1495="평가중",J1495="반려요청",J1495="평가필요",LEFT(J1495,5)="보완요청("),"미종결 표시","상태 확인 필요"))</x:f>
        <x:v>미종결 표시</x:v>
      </x:c>
      <x:c r="L1495" s="2" t="str">
        <x:v>KRIC</x:v>
      </x:c>
      <x:c r="M1495" s="2"/>
      <x:c r="N1495" s="8"/>
      <x:c r="O1495" s="2"/>
      <x:c r="P1495" s="2" t="str">
        <x:v>반려보류</x:v>
      </x:c>
      <x:c r="Q1495" s="2" t="str">
        <x:v>산업전환_외부사업관리Tool_260707_이너젠 수정_LJY_261013.xlsx</x:v>
      </x:c>
      <x:c r="R1495" s="2" t="str">
        <x:v>국외평가</x:v>
      </x:c>
      <x:c r="S1495" s="8" t="n">
        <x:v>119</x:v>
      </x:c>
      <x:c r="T1495" s="2" t="str">
        <x:v>(5/18)</x:v>
      </x:c>
      <x:c r="U1495" s="2" t="str">
        <x:v>2022 지정: (5/18)</x:v>
      </x:c>
      <x:c r="V1495" s="2" t="str">
        <x:v>2022-04-28</x:v>
      </x:c>
      <x:c r="W1495" s="2" t="str"/>
      <x:c r="X1495" s="2" t="str">
        <x:v>검토 진행 일정 확인</x:v>
      </x:c>
      <x:c r="Y1495" s="2" t="str">
        <x:v>ad210cd9ec132cfd447541c8984dc53d30aff0f4fb2dc92d254d49275cc55976</x:v>
      </x:c>
      <x:c r="Z1495" s="2" t="n">
        <x:f>SUBTOTAL(103,A1495)</x:f>
        <x:v>1</x:v>
      </x:c>
      <x:c r="AA1495" s="2" t="str">
        <x:f>IF(K1495&lt;&gt;"미종결 표시","대상 아님",IF(N1495="","신청일 확인",IF(NOT(ISNUMBER('종합 현황'!$H$5)),"관찰기준 확인",IF('종합 현황'!$H$5&lt;1,"관찰기준 확인",IF(N1495&gt;'종합 현황'!$H$5,"내부 관찰 대상","내부 관찰일 이하")))))</x:f>
        <x:v>신청일 확인</x:v>
      </x:c>
      <x:c r="AB1495" s="2" t="str">
        <x:v>2020-09-01 10:19:10 - 신규신청 - 신청 
2020-09-01 10:19:10 - 관장기관 지정 - 환경부
2020-09-11 17:41:56 - 관장기관 지정 - 산업통상자원부
2020-09-18 17:31:20 - 신규신청 - 문서재제출요청 
2022-04-28 14:40:55 - 재제출신청 - 신청 
</x:v>
      </x:c>
    </x:row>
    <x:row r="1496" ht="42" customHeight="1">
      <x:c r="A1496" s="2" t="str">
        <x:v>cdaddb2d3d2c3a5e6ea249e2</x:v>
      </x:c>
      <x:c r="B1496" s="2" t="str">
        <x:v>사업 평가</x:v>
      </x:c>
      <x:c r="C1496" s="2" t="str">
        <x:v>국외</x:v>
      </x:c>
      <x:c r="D1496" s="7" t="str">
        <x:v>BioLite의 발전된 쿡스토브 프로그램 - 한국에서 지원하는 CPA 034</x:v>
      </x:c>
      <x:c r="E1496" s="2" t="str">
        <x:v>139</x:v>
      </x:c>
      <x:c r="F1496" s="2" t="str">
        <x:v>2020-09</x:v>
      </x:c>
      <x:c r="G1496" s="2" t="str">
        <x:v>2020</x:v>
      </x:c>
      <x:c r="H1496" s="2" t="str">
        <x:v>09</x:v>
      </x:c>
      <x:c r="I1496" s="2" t="str">
        <x:v>검토필요</x:v>
      </x:c>
      <x:c r="J1496" s="2" t="str">
        <x:v>보류</x:v>
      </x:c>
      <x:c r="K1496" s="2" t="str">
        <x:f>IF(OR(J1496="심의승인",J1496="반려",J1496="반려완료",J1496="심의완료"),"종결 표시",IF(OR(J1496="기후부협의",J1496="문서재제출요청",J1496="보류",J1496="보완요청",J1496="보완완료",J1496="평가중",J1496="반려요청",J1496="평가필요",LEFT(J1496,5)="보완요청("),"미종결 표시","상태 확인 필요"))</x:f>
        <x:v>미종결 표시</x:v>
      </x:c>
      <x:c r="L1496" s="2" t="str">
        <x:v>KRIC</x:v>
      </x:c>
      <x:c r="M1496" s="2"/>
      <x:c r="N1496" s="8"/>
      <x:c r="O1496" s="2"/>
      <x:c r="P1496" s="2" t="str">
        <x:v>반려보류</x:v>
      </x:c>
      <x:c r="Q1496" s="2" t="str">
        <x:v>산업전환_외부사업관리Tool_260707_이너젠 수정_LJY_261013.xlsx</x:v>
      </x:c>
      <x:c r="R1496" s="2" t="str">
        <x:v>국외평가</x:v>
      </x:c>
      <x:c r="S1496" s="8" t="n">
        <x:v>120</x:v>
      </x:c>
      <x:c r="T1496" s="2" t="str">
        <x:v>(5/18)</x:v>
      </x:c>
      <x:c r="U1496" s="2" t="str">
        <x:v>2022 지정: (5/18)</x:v>
      </x:c>
      <x:c r="V1496" s="2" t="str">
        <x:v>2022-04-28</x:v>
      </x:c>
      <x:c r="W1496" s="2" t="str"/>
      <x:c r="X1496" s="2" t="str">
        <x:v>검토 진행 일정 확인</x:v>
      </x:c>
      <x:c r="Y1496" s="2" t="str">
        <x:v>ad210cd9ec132cfd447541c8984dc53d30aff0f4fb2dc92d254d49275cc55976</x:v>
      </x:c>
      <x:c r="Z1496" s="2" t="n">
        <x:f>SUBTOTAL(103,A1496)</x:f>
        <x:v>1</x:v>
      </x:c>
      <x:c r="AA1496" s="2" t="str">
        <x:f>IF(K1496&lt;&gt;"미종결 표시","대상 아님",IF(N1496="","신청일 확인",IF(NOT(ISNUMBER('종합 현황'!$H$5)),"관찰기준 확인",IF('종합 현황'!$H$5&lt;1,"관찰기준 확인",IF(N1496&gt;'종합 현황'!$H$5,"내부 관찰 대상","내부 관찰일 이하")))))</x:f>
        <x:v>신청일 확인</x:v>
      </x:c>
      <x:c r="AB1496" s="2" t="str">
        <x:v>2020-09-01 10:19:35 - 신규신청 - 신청 
2020-09-01 10:19:35 - 관장기관 지정 - 환경부
2020-09-11 17:42:03 - 관장기관 지정 - 산업통상자원부
2020-09-18 17:34:18 - 신규신청 - 문서재제출요청 
2022-04-28 14:41:16 - 재제출신청 - 신청 
</x:v>
      </x:c>
    </x:row>
    <x:row r="1497" ht="42" customHeight="1">
      <x:c r="A1497" s="2" t="str">
        <x:v>17cfe795f9a7a162679ef364</x:v>
      </x:c>
      <x:c r="B1497" s="2" t="str">
        <x:v>사업 평가</x:v>
      </x:c>
      <x:c r="C1497" s="2" t="str">
        <x:v>국외</x:v>
      </x:c>
      <x:c r="D1497" s="7" t="str">
        <x:v>BioLite의 발전된 쿡스토브 프로그램 - 한국에서 지원하는 CPA 014</x:v>
      </x:c>
      <x:c r="E1497" s="2" t="str">
        <x:v>119</x:v>
      </x:c>
      <x:c r="F1497" s="2" t="str">
        <x:v>2020-09</x:v>
      </x:c>
      <x:c r="G1497" s="2" t="str">
        <x:v>2020</x:v>
      </x:c>
      <x:c r="H1497" s="2" t="str">
        <x:v>09</x:v>
      </x:c>
      <x:c r="I1497" s="2" t="str">
        <x:v>승인</x:v>
      </x:c>
      <x:c r="J1497" s="2" t="str">
        <x:v>심의승인</x:v>
      </x:c>
      <x:c r="K1497" s="2" t="str">
        <x:f>IF(OR(J1497="심의승인",J1497="반려",J1497="반려완료",J1497="심의완료"),"종결 표시",IF(OR(J1497="기후부협의",J1497="문서재제출요청",J1497="보류",J1497="보완요청",J1497="보완완료",J1497="평가중",J1497="반려요청",J1497="평가필요",LEFT(J1497,5)="보완요청("),"미종결 표시","상태 확인 필요"))</x:f>
        <x:v>종결 표시</x:v>
      </x:c>
      <x:c r="L1497" s="2" t="str">
        <x:v>KECM &gt; KRIC</x:v>
      </x:c>
      <x:c r="M1497" s="2"/>
      <x:c r="N1497" s="8"/>
      <x:c r="O1497" s="2"/>
      <x:c r="P1497" s="2" t="str">
        <x:v>7월 협의 요청, 9월 인증위 가능(5월 말 수정)</x:v>
      </x:c>
      <x:c r="Q1497" s="2" t="str">
        <x:v>산업전환_외부사업관리Tool_260707_이너젠 수정_LJY_261013.xlsx</x:v>
      </x:c>
      <x:c r="R1497" s="2" t="str">
        <x:v>국외평가</x:v>
      </x:c>
      <x:c r="S1497" s="8" t="n">
        <x:v>121</x:v>
      </x:c>
      <x:c r="T1497" s="2" t="str">
        <x:v>2021-10-20T00:00:00</x:v>
      </x:c>
      <x:c r="U1497" s="2" t="str">
        <x:v>2021 지정: 2021-10-20T00:00:00 / 2021 지정(2): (5/17, 10/20) / 2022 지정: (3/16),(4/19),(6/10)</x:v>
      </x:c>
      <x:c r="V1497" s="2" t="str">
        <x:v>2022-10-11</x:v>
      </x:c>
      <x:c r="W1497" s="2" t="str"/>
      <x:c r="X1497" s="2" t="str">
        <x:v>종결 근거 보관</x:v>
      </x:c>
      <x:c r="Y1497" s="2" t="str">
        <x:v>ad210cd9ec132cfd447541c8984dc53d30aff0f4fb2dc92d254d49275cc55976</x:v>
      </x:c>
      <x:c r="Z1497" s="2" t="n">
        <x:f>SUBTOTAL(103,A1497)</x:f>
        <x:v>1</x:v>
      </x:c>
      <x:c r="AA1497" s="2" t="str">
        <x:f>IF(K1497&lt;&gt;"미종결 표시","대상 아님",IF(N1497="","신청일 확인",IF(NOT(ISNUMBER('종합 현황'!$H$5)),"관찰기준 확인",IF('종합 현황'!$H$5&lt;1,"관찰기준 확인",IF(N1497&gt;'종합 현황'!$H$5,"내부 관찰 대상","내부 관찰일 이하")))))</x:f>
        <x:v>대상 아님</x:v>
      </x:c>
      <x:c r="AB1497" s="2" t="str">
        <x:v>2020-09-01 10:07:54 - 신규신청 - 신청 
2020-09-01 10:07:54 - 관장기관 지정 - 환경부
2020-09-11 17:36:51 - 관장기관 지정 - 산업통상자원부
2020-09-18 17:33:37 - 신규신청 - 문서재제출요청 
2021-01-25 15:34:16 - 재제출신청 - 신청 
2021-03-08 14:07:25 - 재제출신청 - 문서재제출요청 
2021-05-12 17:24:07 - 재제출신청 - 신청 
2021-06-15 11:38:42 - 재제출신청 - 문서재제출요청 
2021-07-21 14:42:03 - 재제출신청 - 신청 
2021-08-31 12:06:30 - 재제출신청 - 보완요청 
2021-09-03 17:04:51 - 보완신청 - 신청 
2021-09-30 09:41:32 - 보완신청 - 문서재제출요청 
2021-10-06 17:23:49 - 재제출신청 - 신청 
2021-12-23 15:09:41 - 재제출신청 - 문서재제출요청 
2022-02-11 17:00:56 - 재제출신청 - 신청 
2022-03-25 16:51:09 - 재제출신청 - 보완요청 
2022-03-30 19:11:14 - 보완신청 - 신청 
2022-05-30 15:52:28 - 보완신청 - 문서재제출요청 
2022-05-30 17:47:23 - 재제출신청 - 신청 
2022-08-23 08:59:19 - 재제출신청 - 문서재제출요청 
2022-08-23 17:31:46 - 재제출신청 - 신청 
2022-10-07 17:57:25 - 재제출신청 - 평가승인 
2022-10-11 14:31:34 - 재제출신청 - 심의승인 
</x:v>
      </x:c>
    </x:row>
    <x:row r="1498" ht="42" customHeight="1">
      <x:c r="A1498" s="2" t="str">
        <x:v>7971dc245d9bfaf11c602993</x:v>
      </x:c>
      <x:c r="B1498" s="2" t="str">
        <x:v>사업 평가</x:v>
      </x:c>
      <x:c r="C1498" s="2" t="str">
        <x:v>국외</x:v>
      </x:c>
      <x:c r="D1498" s="7" t="str">
        <x:v>BioLite의 발전된 쿡스토브 프로그램 - 한국에서 지원하는 CPA 015</x:v>
      </x:c>
      <x:c r="E1498" s="2" t="str">
        <x:v>120</x:v>
      </x:c>
      <x:c r="F1498" s="2" t="str">
        <x:v>2020-09</x:v>
      </x:c>
      <x:c r="G1498" s="2" t="str">
        <x:v>2020</x:v>
      </x:c>
      <x:c r="H1498" s="2" t="str">
        <x:v>09</x:v>
      </x:c>
      <x:c r="I1498" s="2" t="str">
        <x:v>승인</x:v>
      </x:c>
      <x:c r="J1498" s="2" t="str">
        <x:v>심의승인</x:v>
      </x:c>
      <x:c r="K1498" s="2" t="str">
        <x:f>IF(OR(J1498="심의승인",J1498="반려",J1498="반려완료",J1498="심의완료"),"종결 표시",IF(OR(J1498="기후부협의",J1498="문서재제출요청",J1498="보류",J1498="보완요청",J1498="보완완료",J1498="평가중",J1498="반려요청",J1498="평가필요",LEFT(J1498,5)="보완요청("),"미종결 표시","상태 확인 필요"))</x:f>
        <x:v>종결 표시</x:v>
      </x:c>
      <x:c r="L1498" s="2" t="str">
        <x:v>KECM &gt; KRIC</x:v>
      </x:c>
      <x:c r="M1498" s="2"/>
      <x:c r="N1498" s="8"/>
      <x:c r="O1498" s="2"/>
      <x:c r="P1498" s="2" t="str">
        <x:v>7월 협의 요청, 9월 인증위 가능(5월 말 수정)</x:v>
      </x:c>
      <x:c r="Q1498" s="2" t="str">
        <x:v>산업전환_외부사업관리Tool_260707_이너젠 수정_LJY_261013.xlsx</x:v>
      </x:c>
      <x:c r="R1498" s="2" t="str">
        <x:v>국외평가</x:v>
      </x:c>
      <x:c r="S1498" s="8" t="n">
        <x:v>122</x:v>
      </x:c>
      <x:c r="T1498" s="2" t="str">
        <x:v>2021-10-20T00:00:00</x:v>
      </x:c>
      <x:c r="U1498" s="2" t="str">
        <x:v>2021 지정: 2021-10-20T00:00:00 / 2021 지정(2): (5/17, 10/20) / 2022 지정: (3/16),(4/19),(6/10)</x:v>
      </x:c>
      <x:c r="V1498" s="2" t="str">
        <x:v>2022-10-11</x:v>
      </x:c>
      <x:c r="W1498" s="2" t="str"/>
      <x:c r="X1498" s="2" t="str">
        <x:v>종결 근거 보관</x:v>
      </x:c>
      <x:c r="Y1498" s="2" t="str">
        <x:v>ad210cd9ec132cfd447541c8984dc53d30aff0f4fb2dc92d254d49275cc55976</x:v>
      </x:c>
      <x:c r="Z1498" s="2" t="n">
        <x:f>SUBTOTAL(103,A1498)</x:f>
        <x:v>1</x:v>
      </x:c>
      <x:c r="AA1498" s="2" t="str">
        <x:f>IF(K1498&lt;&gt;"미종결 표시","대상 아님",IF(N1498="","신청일 확인",IF(NOT(ISNUMBER('종합 현황'!$H$5)),"관찰기준 확인",IF('종합 현황'!$H$5&lt;1,"관찰기준 확인",IF(N1498&gt;'종합 현황'!$H$5,"내부 관찰 대상","내부 관찰일 이하")))))</x:f>
        <x:v>대상 아님</x:v>
      </x:c>
      <x:c r="AB1498" s="2" t="str">
        <x:v>2020-09-01 10:08:48 - 신규신청 - 신청 
2020-09-01 10:08:48 - 관장기관 지정 - 환경부
2020-09-11 17:37:02 - 관장기관 지정 - 산업통상자원부
2020-09-18 17:33:24 - 신규신청 - 문서재제출요청 
2021-01-25 15:34:33 - 재제출신청 - 신청 
2021-03-15 16:14:25 - 재제출신청 - 문서재제출요청 
2021-05-12 17:24:46 - 재제출신청 - 신청 
2021-06-15 11:39:22 - 재제출신청 - 문서재제출요청 
2021-07-21 14:42:33 - 재제출신청 - 신청 
2021-08-31 12:07:23 - 재제출신청 - 보완요청 
2021-09-03 17:05:04 - 보완신청 - 신청 
2021-09-30 09:42:00 - 보완신청 - 문서재제출요청 
2021-10-06 17:24:07 - 재제출신청 - 신청 
2021-12-23 15:10:02 - 재제출신청 - 문서재제출요청 
2022-02-11 17:01:04 - 재제출신청 - 신청 
2022-03-25 16:51:40 - 재제출신청 - 보완요청 
2022-03-30 19:11:30 - 보완신청 - 신청 
2022-05-30 15:54:22 - 보완신청 - 문서재제출요청 
2022-05-30 17:48:32 - 재제출신청 - 신청 
2022-08-23 08:59:41 - 재제출신청 - 문서재제출요청 
2022-08-23 17:31:55 - 재제출신청 - 신청 
2022-10-07 17:58:24 - 재제출신청 - 평가승인 
2022-10-11 14:32:15 - 재제출신청 - 심의승인 
</x:v>
      </x:c>
    </x:row>
    <x:row r="1499" ht="42" customHeight="1">
      <x:c r="A1499" s="2" t="str">
        <x:v>7c1e36b96cb3656fbb6332cd</x:v>
      </x:c>
      <x:c r="B1499" s="2" t="str">
        <x:v>사업 평가</x:v>
      </x:c>
      <x:c r="C1499" s="2" t="str">
        <x:v>국외</x:v>
      </x:c>
      <x:c r="D1499" s="7" t="str">
        <x:v>BioLite의 발전된 쿡스토브 프로그램 - 한국에서 지원하는 CPA 016</x:v>
      </x:c>
      <x:c r="E1499" s="2" t="str">
        <x:v>121</x:v>
      </x:c>
      <x:c r="F1499" s="2" t="str">
        <x:v>2020-09</x:v>
      </x:c>
      <x:c r="G1499" s="2" t="str">
        <x:v>2020</x:v>
      </x:c>
      <x:c r="H1499" s="2" t="str">
        <x:v>09</x:v>
      </x:c>
      <x:c r="I1499" s="2" t="str">
        <x:v>승인</x:v>
      </x:c>
      <x:c r="J1499" s="2" t="str">
        <x:v>심의승인</x:v>
      </x:c>
      <x:c r="K1499" s="2" t="str">
        <x:f>IF(OR(J1499="심의승인",J1499="반려",J1499="반려완료",J1499="심의완료"),"종결 표시",IF(OR(J1499="기후부협의",J1499="문서재제출요청",J1499="보류",J1499="보완요청",J1499="보완완료",J1499="평가중",J1499="반려요청",J1499="평가필요",LEFT(J1499,5)="보완요청("),"미종결 표시","상태 확인 필요"))</x:f>
        <x:v>종결 표시</x:v>
      </x:c>
      <x:c r="L1499" s="2" t="str">
        <x:v>KECM &gt; KRIC</x:v>
      </x:c>
      <x:c r="M1499" s="2"/>
      <x:c r="N1499" s="8"/>
      <x:c r="O1499" s="2"/>
      <x:c r="P1499" s="2" t="str">
        <x:v>7월 협의 요청, 9월 인증위 가능(5월 말 수정)</x:v>
      </x:c>
      <x:c r="Q1499" s="2" t="str">
        <x:v>산업전환_외부사업관리Tool_260707_이너젠 수정_LJY_261013.xlsx</x:v>
      </x:c>
      <x:c r="R1499" s="2" t="str">
        <x:v>국외평가</x:v>
      </x:c>
      <x:c r="S1499" s="8" t="n">
        <x:v>123</x:v>
      </x:c>
      <x:c r="T1499" s="2" t="str">
        <x:v>2021-10-20T00:00:00</x:v>
      </x:c>
      <x:c r="U1499" s="2" t="str">
        <x:v>2021 지정: 2021-10-20T00:00:00 / 2021 지정(2): (5/17, 10/20) / 2022 지정: (3/16),(4/19),(6/10)</x:v>
      </x:c>
      <x:c r="V1499" s="2" t="str">
        <x:v>2022-10-11</x:v>
      </x:c>
      <x:c r="W1499" s="2" t="str"/>
      <x:c r="X1499" s="2" t="str">
        <x:v>종결 근거 보관</x:v>
      </x:c>
      <x:c r="Y1499" s="2" t="str">
        <x:v>ad210cd9ec132cfd447541c8984dc53d30aff0f4fb2dc92d254d49275cc55976</x:v>
      </x:c>
      <x:c r="Z1499" s="2" t="n">
        <x:f>SUBTOTAL(103,A1499)</x:f>
        <x:v>1</x:v>
      </x:c>
      <x:c r="AA1499" s="2" t="str">
        <x:f>IF(K1499&lt;&gt;"미종결 표시","대상 아님",IF(N1499="","신청일 확인",IF(NOT(ISNUMBER('종합 현황'!$H$5)),"관찰기준 확인",IF('종합 현황'!$H$5&lt;1,"관찰기준 확인",IF(N1499&gt;'종합 현황'!$H$5,"내부 관찰 대상","내부 관찰일 이하")))))</x:f>
        <x:v>대상 아님</x:v>
      </x:c>
      <x:c r="AB1499" s="2" t="str">
        <x:v>2020-09-01 10:09:38 - 신규신청 - 신청 
2020-09-01 10:09:38 - 관장기관 지정 - 환경부
2020-09-11 17:37:23 - 관장기관 지정 - 산업통상자원부
2020-09-18 17:33:13 - 신규신청 - 문서재제출요청 
2021-01-25 15:34:43 - 재제출신청 - 신청 
2021-03-15 16:15:31 - 재제출신청 - 문서재제출요청 
2021-05-12 17:25:13 - 재제출신청 - 신청 
2021-06-15 13:02:22 - 재제출신청 - 문서재제출요청 
2021-07-21 14:42:55 - 재제출신청 - 신청 
2021-08-31 12:08:11 - 재제출신청 - 보완요청 
2021-09-03 17:05:18 - 보완신청 - 신청 
2021-09-30 09:42:32 - 보완신청 - 문서재제출요청 
2021-10-06 17:24:43 - 재제출신청 - 신청 
2021-12-23 15:10:29 - 재제출신청 - 문서재제출요청 
2022-02-11 17:01:11 - 재제출신청 - 신청 
2022-03-25 16:54:01 - 재제출신청 - 보완요청 
2022-03-30 19:11:48 - 보완신청 - 신청 
2022-05-30 15:56:40 - 보완신청 - 문서재제출요청 
2022-05-30 17:49:47 - 재제출신청 - 신청 
2022-08-23 09:00:12 - 재제출신청 - 문서재제출요청 
2022-08-23 17:32:03 - 재제출신청 - 신청 
2022-10-07 17:59:10 - 재제출신청 - 평가승인 
2022-10-11 14:32:59 - 재제출신청 - 심의승인 
</x:v>
      </x:c>
    </x:row>
    <x:row r="1500" ht="42" customHeight="1">
      <x:c r="A1500" s="2" t="str">
        <x:v>ae5454a08fc42d2eb93cfa10</x:v>
      </x:c>
      <x:c r="B1500" s="2" t="str">
        <x:v>사업 평가</x:v>
      </x:c>
      <x:c r="C1500" s="2" t="str">
        <x:v>국외</x:v>
      </x:c>
      <x:c r="D1500" s="7" t="str">
        <x:v>BioLite의 발전된 쿡스토브 프로그램 - 한국에서 지원하는 CPA 017</x:v>
      </x:c>
      <x:c r="E1500" s="2" t="str">
        <x:v>122</x:v>
      </x:c>
      <x:c r="F1500" s="2" t="str">
        <x:v>2020-09</x:v>
      </x:c>
      <x:c r="G1500" s="2" t="str">
        <x:v>2020</x:v>
      </x:c>
      <x:c r="H1500" s="2" t="str">
        <x:v>09</x:v>
      </x:c>
      <x:c r="I1500" s="2" t="str">
        <x:v>승인</x:v>
      </x:c>
      <x:c r="J1500" s="2" t="str">
        <x:v>심의승인</x:v>
      </x:c>
      <x:c r="K1500" s="2" t="str">
        <x:f>IF(OR(J1500="심의승인",J1500="반려",J1500="반려완료",J1500="심의완료"),"종결 표시",IF(OR(J1500="기후부협의",J1500="문서재제출요청",J1500="보류",J1500="보완요청",J1500="보완완료",J1500="평가중",J1500="반려요청",J1500="평가필요",LEFT(J1500,5)="보완요청("),"미종결 표시","상태 확인 필요"))</x:f>
        <x:v>종결 표시</x:v>
      </x:c>
      <x:c r="L1500" s="2" t="str">
        <x:v>KECM &gt; KRIC</x:v>
      </x:c>
      <x:c r="M1500" s="2"/>
      <x:c r="N1500" s="8"/>
      <x:c r="O1500" s="2"/>
      <x:c r="P1500" s="2" t="str">
        <x:v>7월 협의 요청, 9월 인증위 가능(5월 말 수정)</x:v>
      </x:c>
      <x:c r="Q1500" s="2" t="str">
        <x:v>산업전환_외부사업관리Tool_260707_이너젠 수정_LJY_261013.xlsx</x:v>
      </x:c>
      <x:c r="R1500" s="2" t="str">
        <x:v>국외평가</x:v>
      </x:c>
      <x:c r="S1500" s="8" t="n">
        <x:v>124</x:v>
      </x:c>
      <x:c r="T1500" s="2" t="str">
        <x:v>2021-10-20T00:00:00</x:v>
      </x:c>
      <x:c r="U1500" s="2" t="str">
        <x:v>2021 지정: 2021-10-20T00:00:00 / 2021 지정(2): (5/17, 10/20) / 2022 지정: (3/16),(4/19),(6/10)</x:v>
      </x:c>
      <x:c r="V1500" s="2" t="str">
        <x:v>2022-10-11</x:v>
      </x:c>
      <x:c r="W1500" s="2" t="str"/>
      <x:c r="X1500" s="2" t="str">
        <x:v>종결 근거 보관</x:v>
      </x:c>
      <x:c r="Y1500" s="2" t="str">
        <x:v>ad210cd9ec132cfd447541c8984dc53d30aff0f4fb2dc92d254d49275cc55976</x:v>
      </x:c>
      <x:c r="Z1500" s="2" t="n">
        <x:f>SUBTOTAL(103,A1500)</x:f>
        <x:v>1</x:v>
      </x:c>
      <x:c r="AA1500" s="2" t="str">
        <x:f>IF(K1500&lt;&gt;"미종결 표시","대상 아님",IF(N1500="","신청일 확인",IF(NOT(ISNUMBER('종합 현황'!$H$5)),"관찰기준 확인",IF('종합 현황'!$H$5&lt;1,"관찰기준 확인",IF(N1500&gt;'종합 현황'!$H$5,"내부 관찰 대상","내부 관찰일 이하")))))</x:f>
        <x:v>대상 아님</x:v>
      </x:c>
      <x:c r="AB1500" s="2" t="str">
        <x:v>2020-09-01 10:10:20 - 신규신청 - 신청 
2020-09-01 10:10:20 - 관장기관 지정 - 환경부
2020-09-11 17:37:32 - 관장기관 지정 - 산업통상자원부
2020-09-18 17:33:02 - 신규신청 - 문서재제출요청 
2021-01-25 15:34:58 - 재제출신청 - 신청 
2021-03-15 16:15:48 - 재제출신청 - 문서재제출요청 
2021-05-12 17:25:24 - 재제출신청 - 신청 
2021-06-15 13:02:56 - 재제출신청 - 문서재제출요청 
2021-07-21 14:44:44 - 재제출신청 - 신청 
2021-08-31 12:08:49 - 재제출신청 - 보완요청 
2021-09-03 17:05:29 - 보완신청 - 신청 
2021-09-30 09:43:02 - 보완신청 - 문서재제출요청 
2021-10-06 17:25:06 - 재제출신청 - 신청 
2021-12-23 15:10:44 - 재제출신청 - 문서재제출요청 
2022-02-11 17:01:20 - 재제출신청 - 신청 
2022-03-25 16:54:16 - 재제출신청 - 보완요청 
2022-03-30 19:12:00 - 보완신청 - 신청 
2022-05-30 15:58:26 - 보완신청 - 문서재제출요청 
2022-05-30 17:50:55 - 재제출신청 - 신청 
2022-06-22 14:21:23 - 재제출신청 - 문서재제출요청 
2022-06-22 14:53:25 - 재제출신청 - 신청 
2022-08-23 09:01:35 - 재제출신청 - 문서재제출요청 
2022-08-23 17:32:11 - 재제출신청 - 신청 
2022-10-07 17:59:42 - 재제출신청 - 평가승인 
2022-10-11 14:33:46 - 재제출신청 - 심의승인 
</x:v>
      </x:c>
    </x:row>
    <x:row r="1501" ht="42" customHeight="1">
      <x:c r="A1501" s="2" t="str">
        <x:v>3694a5d30716878deb335862</x:v>
      </x:c>
      <x:c r="B1501" s="2" t="str">
        <x:v>사업 평가</x:v>
      </x:c>
      <x:c r="C1501" s="2" t="str">
        <x:v>국외</x:v>
      </x:c>
      <x:c r="D1501" s="7" t="str">
        <x:v>BioLite의 발전된 쿡스토브 프로그램 - 한국에서 지원하는 CPA 018</x:v>
      </x:c>
      <x:c r="E1501" s="2" t="str">
        <x:v>123</x:v>
      </x:c>
      <x:c r="F1501" s="2" t="str">
        <x:v>2020-09</x:v>
      </x:c>
      <x:c r="G1501" s="2" t="str">
        <x:v>2020</x:v>
      </x:c>
      <x:c r="H1501" s="2" t="str">
        <x:v>09</x:v>
      </x:c>
      <x:c r="I1501" s="2" t="str">
        <x:v>승인</x:v>
      </x:c>
      <x:c r="J1501" s="2" t="str">
        <x:v>심의승인</x:v>
      </x:c>
      <x:c r="K1501" s="2" t="str">
        <x:f>IF(OR(J1501="심의승인",J1501="반려",J1501="반려완료",J1501="심의완료"),"종결 표시",IF(OR(J1501="기후부협의",J1501="문서재제출요청",J1501="보류",J1501="보완요청",J1501="보완완료",J1501="평가중",J1501="반려요청",J1501="평가필요",LEFT(J1501,5)="보완요청("),"미종결 표시","상태 확인 필요"))</x:f>
        <x:v>종결 표시</x:v>
      </x:c>
      <x:c r="L1501" s="2" t="str">
        <x:v>KECM &gt; KRIC</x:v>
      </x:c>
      <x:c r="M1501" s="2"/>
      <x:c r="N1501" s="8"/>
      <x:c r="O1501" s="2"/>
      <x:c r="P1501" s="2" t="str">
        <x:v>7월 협의 요청, 9월 인증위 가능(5월 말 수정)</x:v>
      </x:c>
      <x:c r="Q1501" s="2" t="str">
        <x:v>산업전환_외부사업관리Tool_260707_이너젠 수정_LJY_261013.xlsx</x:v>
      </x:c>
      <x:c r="R1501" s="2" t="str">
        <x:v>국외평가</x:v>
      </x:c>
      <x:c r="S1501" s="8" t="n">
        <x:v>125</x:v>
      </x:c>
      <x:c r="T1501" s="2" t="str">
        <x:v>2021-10-20T00:00:00</x:v>
      </x:c>
      <x:c r="U1501" s="2" t="str">
        <x:v>2021 지정: 2021-10-20T00:00:00 / 2021 지정(2): (5/17, 10/20) / 2022 지정: (3/16),(4/19),(6/10)</x:v>
      </x:c>
      <x:c r="V1501" s="2" t="str">
        <x:v>2022-10-11</x:v>
      </x:c>
      <x:c r="W1501" s="2" t="str"/>
      <x:c r="X1501" s="2" t="str">
        <x:v>종결 근거 보관</x:v>
      </x:c>
      <x:c r="Y1501" s="2" t="str">
        <x:v>ad210cd9ec132cfd447541c8984dc53d30aff0f4fb2dc92d254d49275cc55976</x:v>
      </x:c>
      <x:c r="Z1501" s="2" t="n">
        <x:f>SUBTOTAL(103,A1501)</x:f>
        <x:v>1</x:v>
      </x:c>
      <x:c r="AA1501" s="2" t="str">
        <x:f>IF(K1501&lt;&gt;"미종결 표시","대상 아님",IF(N1501="","신청일 확인",IF(NOT(ISNUMBER('종합 현황'!$H$5)),"관찰기준 확인",IF('종합 현황'!$H$5&lt;1,"관찰기준 확인",IF(N1501&gt;'종합 현황'!$H$5,"내부 관찰 대상","내부 관찰일 이하")))))</x:f>
        <x:v>대상 아님</x:v>
      </x:c>
      <x:c r="AB1501" s="2" t="str">
        <x:v>2020-09-01 10:11:14 - 신규신청 - 신청 
2020-09-01 10:11:14 - 관장기관 지정 - 환경부
2020-09-11 17:38:01 - 관장기관 지정 - 산업통상자원부
2020-09-18 17:32:51 - 신규신청 - 문서재제출요청 
2021-01-25 15:35:25 - 재제출신청 - 신청 
2021-03-15 16:16:07 - 재제출신청 - 문서재제출요청 
2021-05-12 17:25:41 - 재제출신청 - 신청 
2021-06-15 13:03:45 - 재제출신청 - 문서재제출요청 
2021-07-21 14:45:07 - 재제출신청 - 신청 
2021-08-31 12:09:28 - 재제출신청 - 보완요청 
2021-09-03 17:07:05 - 보완신청 - 신청 
2021-09-30 09:43:40 - 보완신청 - 문서재제출요청 
2021-10-06 17:25:24 - 재제출신청 - 신청 
2021-12-23 15:11:10 - 재제출신청 - 문서재제출요청 
2022-02-11 17:01:26 - 재제출신청 - 신청 
2022-03-25 16:54:36 - 재제출신청 - 보완요청 
2022-03-30 19:13:04 - 보완신청 - 신청 
2022-05-30 16:00:02 - 보완신청 - 문서재제출요청 
2022-05-30 17:57:32 - 재제출신청 - 신청 
2022-08-23 09:02:19 - 재제출신청 - 문서재제출요청 
2022-08-23 17:32:22 - 재제출신청 - 신청 
2022-10-07 18:00:38 - 재제출신청 - 평가승인 
2022-10-11 14:34:27 - 재제출신청 - 심의승인 
</x:v>
      </x:c>
    </x:row>
    <x:row r="1502" ht="42" customHeight="1">
      <x:c r="A1502" s="2" t="str">
        <x:v>83c62b68d4d8a51b6357d960</x:v>
      </x:c>
      <x:c r="B1502" s="2" t="str">
        <x:v>사업 평가</x:v>
      </x:c>
      <x:c r="C1502" s="2" t="str">
        <x:v>국외</x:v>
      </x:c>
      <x:c r="D1502" s="7" t="str">
        <x:v>BioLite의 발전된 쿡스토브 프로그램 - 한국에서 지원하는 CPA 019</x:v>
      </x:c>
      <x:c r="E1502" s="2" t="str">
        <x:v>124</x:v>
      </x:c>
      <x:c r="F1502" s="2" t="str">
        <x:v>2020-09</x:v>
      </x:c>
      <x:c r="G1502" s="2" t="str">
        <x:v>2020</x:v>
      </x:c>
      <x:c r="H1502" s="2" t="str">
        <x:v>09</x:v>
      </x:c>
      <x:c r="I1502" s="2" t="str">
        <x:v>승인</x:v>
      </x:c>
      <x:c r="J1502" s="2" t="str">
        <x:v>심의승인</x:v>
      </x:c>
      <x:c r="K1502" s="2" t="str">
        <x:f>IF(OR(J1502="심의승인",J1502="반려",J1502="반려완료",J1502="심의완료"),"종결 표시",IF(OR(J1502="기후부협의",J1502="문서재제출요청",J1502="보류",J1502="보완요청",J1502="보완완료",J1502="평가중",J1502="반려요청",J1502="평가필요",LEFT(J1502,5)="보완요청("),"미종결 표시","상태 확인 필요"))</x:f>
        <x:v>종결 표시</x:v>
      </x:c>
      <x:c r="L1502" s="2" t="str">
        <x:v>KECM &gt; KRIC</x:v>
      </x:c>
      <x:c r="M1502" s="2"/>
      <x:c r="N1502" s="8"/>
      <x:c r="O1502" s="2"/>
      <x:c r="P1502" s="2" t="str">
        <x:v>7월 협의 요청, 9월 인증위 가능(5월 말 수정)</x:v>
      </x:c>
      <x:c r="Q1502" s="2" t="str">
        <x:v>산업전환_외부사업관리Tool_260707_이너젠 수정_LJY_261013.xlsx</x:v>
      </x:c>
      <x:c r="R1502" s="2" t="str">
        <x:v>국외평가</x:v>
      </x:c>
      <x:c r="S1502" s="8" t="n">
        <x:v>126</x:v>
      </x:c>
      <x:c r="T1502" s="2" t="str">
        <x:v>2021-10-20T00:00:00</x:v>
      </x:c>
      <x:c r="U1502" s="2" t="str">
        <x:v>2021 지정: 2021-10-20T00:00:00 / 2021 지정(2): (5/17, 10/20) / 2022 지정: (3/16),(4/19),(6/10)</x:v>
      </x:c>
      <x:c r="V1502" s="2" t="str">
        <x:v>2022-10-11</x:v>
      </x:c>
      <x:c r="W1502" s="2" t="str"/>
      <x:c r="X1502" s="2" t="str">
        <x:v>종결 근거 보관</x:v>
      </x:c>
      <x:c r="Y1502" s="2" t="str">
        <x:v>ad210cd9ec132cfd447541c8984dc53d30aff0f4fb2dc92d254d49275cc55976</x:v>
      </x:c>
      <x:c r="Z1502" s="2" t="n">
        <x:f>SUBTOTAL(103,A1502)</x:f>
        <x:v>1</x:v>
      </x:c>
      <x:c r="AA1502" s="2" t="str">
        <x:f>IF(K1502&lt;&gt;"미종결 표시","대상 아님",IF(N1502="","신청일 확인",IF(NOT(ISNUMBER('종합 현황'!$H$5)),"관찰기준 확인",IF('종합 현황'!$H$5&lt;1,"관찰기준 확인",IF(N1502&gt;'종합 현황'!$H$5,"내부 관찰 대상","내부 관찰일 이하")))))</x:f>
        <x:v>대상 아님</x:v>
      </x:c>
      <x:c r="AB1502" s="2" t="str">
        <x:v>2020-09-01 10:11:54 - 신규신청 - 신청 
2020-09-01 10:11:54 - 관장기관 지정 - 환경부
2020-09-11 17:38:13 - 관장기관 지정 - 산업통상자원부
2020-09-18 17:32:39 - 신규신청 - 문서재제출요청 
2021-01-25 15:35:48 - 재제출신청 - 신청 
2021-03-15 16:15:09 - 재제출신청 - 문서재제출요청 
2021-05-12 17:25:55 - 재제출신청 - 신청 
2021-06-15 13:04:13 - 재제출신청 - 문서재제출요청 
2021-07-21 14:45:29 - 재제출신청 - 신청 
2021-08-31 12:10:00 - 재제출신청 - 보완요청 
2021-09-03 17:07:18 - 보완신청 - 신청 
2021-09-30 09:44:11 - 보완신청 - 문서재제출요청 
2021-10-06 17:25:49 - 재제출신청 - 신청 
2021-12-23 15:12:44 - 재제출신청 - 문서재제출요청 
2022-02-11 17:01:34 - 재제출신청 - 신청 
2022-03-25 16:55:10 - 재제출신청 - 보완요청 
2022-03-30 19:13:18 - 보완신청 - 신청 
2022-06-07 09:38:24 - 보완신청 - 문서재제출요청 
2022-06-07 17:06:10 - 재제출신청 - 신청 
2022-08-23 09:02:03 - 재제출신청 - 문서재제출요청 
2022-08-23 17:32:30 - 재제출신청 - 신청 
2022-10-07 18:01:19 - 재제출신청 - 평가승인 
2022-10-11 14:35:02 - 재제출신청 - 심의승인 
</x:v>
      </x:c>
    </x:row>
    <x:row r="1503" ht="42" customHeight="1">
      <x:c r="A1503" s="2" t="str">
        <x:v>621c88025bf1e4e002b10ee2</x:v>
      </x:c>
      <x:c r="B1503" s="2" t="str">
        <x:v>사업 평가</x:v>
      </x:c>
      <x:c r="C1503" s="2" t="str">
        <x:v>국외</x:v>
      </x:c>
      <x:c r="D1503" s="7" t="str">
        <x:v>BioLite의 발전된 쿡스토브 프로그램 - 한국에서 지원하는 CPA 020</x:v>
      </x:c>
      <x:c r="E1503" s="2" t="str">
        <x:v>125</x:v>
      </x:c>
      <x:c r="F1503" s="2" t="str">
        <x:v>2020-09</x:v>
      </x:c>
      <x:c r="G1503" s="2" t="str">
        <x:v>2020</x:v>
      </x:c>
      <x:c r="H1503" s="2" t="str">
        <x:v>09</x:v>
      </x:c>
      <x:c r="I1503" s="2" t="str">
        <x:v>보완1차_검토중</x:v>
      </x:c>
      <x:c r="J1503" s="2" t="str">
        <x:v>보류</x:v>
      </x:c>
      <x:c r="K1503" s="2" t="str">
        <x:f>IF(OR(J1503="심의승인",J1503="반려",J1503="반려완료",J1503="심의완료"),"종결 표시",IF(OR(J1503="기후부협의",J1503="문서재제출요청",J1503="보류",J1503="보완요청",J1503="보완완료",J1503="평가중",J1503="반려요청",J1503="평가필요",LEFT(J1503,5)="보완요청("),"미종결 표시","상태 확인 필요"))</x:f>
        <x:v>미종결 표시</x:v>
      </x:c>
      <x:c r="L1503" s="2" t="str">
        <x:v>KECM&gt;KRIC</x:v>
      </x:c>
      <x:c r="M1503" s="2" t="n">
        <x:v>1</x:v>
      </x:c>
      <x:c r="N1503" s="8"/>
      <x:c r="O1503" s="2"/>
      <x:c r="P1503" s="2" t="str">
        <x:v>반려보류</x:v>
      </x:c>
      <x:c r="Q1503" s="2" t="str">
        <x:v>산업전환_외부사업관리Tool_260707_이너젠 수정_LJY_261013.xlsx</x:v>
      </x:c>
      <x:c r="R1503" s="2" t="str">
        <x:v>국외평가</x:v>
      </x:c>
      <x:c r="S1503" s="8" t="n">
        <x:v>127</x:v>
      </x:c>
      <x:c r="T1503" s="2" t="str">
        <x:v>2021-10-20T00:00:00</x:v>
      </x:c>
      <x:c r="U1503" s="2" t="str">
        <x:v>2021 지정: 2021-10-20T00:00:00 / 2021 지정(2): (5/17, 10/20) / 2022 지정: (5/18)</x:v>
      </x:c>
      <x:c r="V1503" s="2" t="str">
        <x:v>2022-04-28</x:v>
      </x:c>
      <x:c r="W1503" s="2" t="str"/>
      <x:c r="X1503" s="2" t="str">
        <x:v>검토 진행 일정 확인</x:v>
      </x:c>
      <x:c r="Y1503" s="2" t="str">
        <x:v>ad210cd9ec132cfd447541c8984dc53d30aff0f4fb2dc92d254d49275cc55976</x:v>
      </x:c>
      <x:c r="Z1503" s="2" t="n">
        <x:f>SUBTOTAL(103,A1503)</x:f>
        <x:v>1</x:v>
      </x:c>
      <x:c r="AA1503" s="2" t="str">
        <x:f>IF(K1503&lt;&gt;"미종결 표시","대상 아님",IF(N1503="","신청일 확인",IF(NOT(ISNUMBER('종합 현황'!$H$5)),"관찰기준 확인",IF('종합 현황'!$H$5&lt;1,"관찰기준 확인",IF(N1503&gt;'종합 현황'!$H$5,"내부 관찰 대상","내부 관찰일 이하")))))</x:f>
        <x:v>신청일 확인</x:v>
      </x:c>
      <x:c r="AB1503" s="2" t="str">
        <x:v>2020-09-01 10:12:23 - 신규신청 - 신청 
2020-09-01 10:12:23 - 관장기관 지정 - 환경부
2020-09-11 17:38:36 - 관장기관 지정 - 산업통상자원부
2020-09-18 17:32:28 - 신규신청 - 문서재제출요청 
2021-01-25 15:35:57 - 재제출신청 - 신청 
2021-03-15 16:14:05 - 재제출신청 - 문서재제출요청 
2021-05-12 17:26:09 - 재제출신청 - 신청 
2021-06-15 13:04:50 - 재제출신청 - 문서재제출요청 
2021-07-21 14:45:58 - 재제출신청 - 신청 
2021-08-31 12:10:32 - 재제출신청 - 보완요청 
2021-09-03 17:07:35 - 보완신청 - 신청 
2021-09-30 09:44:37 - 보완신청 - 문서재제출요청 
2021-10-06 17:26:02 - 재제출신청 - 신청 
2021-12-23 15:13:01 - 재제출신청 - 문서재제출요청 
2022-04-28 14:35:09 - 재제출신청 - 신청 
</x:v>
      </x:c>
    </x:row>
    <x:row r="1504" ht="42" customHeight="1">
      <x:c r="A1504" s="2" t="str">
        <x:v>e303f95c65af08fd8e7a2e7c</x:v>
      </x:c>
      <x:c r="B1504" s="2" t="str">
        <x:v>사업 평가</x:v>
      </x:c>
      <x:c r="C1504" s="2" t="str">
        <x:v>국외</x:v>
      </x:c>
      <x:c r="D1504" s="7" t="str">
        <x:v>BioLite의 발전된 쿡스토브 프로그램 - 한국에서 지원하는 CPA 021</x:v>
      </x:c>
      <x:c r="E1504" s="2" t="str">
        <x:v>126</x:v>
      </x:c>
      <x:c r="F1504" s="2" t="str">
        <x:v>2020-09</x:v>
      </x:c>
      <x:c r="G1504" s="2" t="str">
        <x:v>2020</x:v>
      </x:c>
      <x:c r="H1504" s="2" t="str">
        <x:v>09</x:v>
      </x:c>
      <x:c r="I1504" s="2" t="str">
        <x:v>보완1차_검토중</x:v>
      </x:c>
      <x:c r="J1504" s="2" t="str">
        <x:v>보류</x:v>
      </x:c>
      <x:c r="K1504" s="2" t="str">
        <x:f>IF(OR(J1504="심의승인",J1504="반려",J1504="반려완료",J1504="심의완료"),"종결 표시",IF(OR(J1504="기후부협의",J1504="문서재제출요청",J1504="보류",J1504="보완요청",J1504="보완완료",J1504="평가중",J1504="반려요청",J1504="평가필요",LEFT(J1504,5)="보완요청("),"미종결 표시","상태 확인 필요"))</x:f>
        <x:v>미종결 표시</x:v>
      </x:c>
      <x:c r="L1504" s="2" t="str">
        <x:v>KECM&gt;KRIC</x:v>
      </x:c>
      <x:c r="M1504" s="2" t="n">
        <x:v>1</x:v>
      </x:c>
      <x:c r="N1504" s="8"/>
      <x:c r="O1504" s="2"/>
      <x:c r="P1504" s="2" t="str">
        <x:v>반려보류</x:v>
      </x:c>
      <x:c r="Q1504" s="2" t="str">
        <x:v>산업전환_외부사업관리Tool_260707_이너젠 수정_LJY_261013.xlsx</x:v>
      </x:c>
      <x:c r="R1504" s="2" t="str">
        <x:v>국외평가</x:v>
      </x:c>
      <x:c r="S1504" s="8" t="n">
        <x:v>128</x:v>
      </x:c>
      <x:c r="T1504" s="2" t="str">
        <x:v>2021-10-20T00:00:00</x:v>
      </x:c>
      <x:c r="U1504" s="2" t="str">
        <x:v>2021 지정: 2021-10-20T00:00:00 / 2021 지정(2): (5/17, 10/20) / 2022 지정: (5/18)</x:v>
      </x:c>
      <x:c r="V1504" s="2" t="str">
        <x:v>2022-04-28</x:v>
      </x:c>
      <x:c r="W1504" s="2" t="str"/>
      <x:c r="X1504" s="2" t="str">
        <x:v>검토 진행 일정 확인</x:v>
      </x:c>
      <x:c r="Y1504" s="2" t="str">
        <x:v>ad210cd9ec132cfd447541c8984dc53d30aff0f4fb2dc92d254d49275cc55976</x:v>
      </x:c>
      <x:c r="Z1504" s="2" t="n">
        <x:f>SUBTOTAL(103,A1504)</x:f>
        <x:v>1</x:v>
      </x:c>
      <x:c r="AA1504" s="2" t="str">
        <x:f>IF(K1504&lt;&gt;"미종결 표시","대상 아님",IF(N1504="","신청일 확인",IF(NOT(ISNUMBER('종합 현황'!$H$5)),"관찰기준 확인",IF('종합 현황'!$H$5&lt;1,"관찰기준 확인",IF(N1504&gt;'종합 현황'!$H$5,"내부 관찰 대상","내부 관찰일 이하")))))</x:f>
        <x:v>신청일 확인</x:v>
      </x:c>
      <x:c r="AB1504" s="2" t="str">
        <x:v>2020-09-01 10:12:53 - 신규신청 - 신청 
2020-09-01 10:12:53 - 관장기관 지정 - 환경부
2020-09-11 17:38:48 - 관장기관 지정 - 산업통상자원부
2020-09-18 17:32:14 - 신규신청 - 문서재제출요청 
2021-01-25 15:36:07 - 재제출신청 - 신청 
2021-03-15 16:12:35 - 재제출신청 - 문서재제출요청 
2021-05-12 17:26:24 - 재제출신청 - 신청 
2021-06-15 13:05:15 - 재제출신청 - 문서재제출요청 
2021-07-21 14:46:47 - 재제출신청 - 신청 
2021-08-31 12:11:09 - 재제출신청 - 보완요청 
2021-09-03 17:07:53 - 보완신청 - 신청 
2021-09-30 09:45:07 - 보완신청 - 문서재제출요청 
2021-10-06 17:26:17 - 재제출신청 - 신청 
2021-12-23 15:13:16 - 재제출신청 - 문서재제출요청 
2022-04-28 14:50:15 - 재제출신청 - 신청 
</x:v>
      </x:c>
    </x:row>
    <x:row r="1505" ht="42" customHeight="1">
      <x:c r="A1505" s="2" t="str">
        <x:v>fd36fcfbe675b52f068610f2</x:v>
      </x:c>
      <x:c r="B1505" s="2" t="str">
        <x:v>사업 평가</x:v>
      </x:c>
      <x:c r="C1505" s="2" t="str">
        <x:v>국외</x:v>
      </x:c>
      <x:c r="D1505" s="7" t="str">
        <x:v>BioLite의 발전된 쿡스토브 프로그램 - 한국에서 지원하는 CPA 022</x:v>
      </x:c>
      <x:c r="E1505" s="2" t="str">
        <x:v>127</x:v>
      </x:c>
      <x:c r="F1505" s="2" t="str">
        <x:v>2020-09</x:v>
      </x:c>
      <x:c r="G1505" s="2" t="str">
        <x:v>2020</x:v>
      </x:c>
      <x:c r="H1505" s="2" t="str">
        <x:v>09</x:v>
      </x:c>
      <x:c r="I1505" s="2" t="str">
        <x:v>보완1차_검토중</x:v>
      </x:c>
      <x:c r="J1505" s="2" t="str">
        <x:v>보류</x:v>
      </x:c>
      <x:c r="K1505" s="2" t="str">
        <x:f>IF(OR(J1505="심의승인",J1505="반려",J1505="반려완료",J1505="심의완료"),"종결 표시",IF(OR(J1505="기후부협의",J1505="문서재제출요청",J1505="보류",J1505="보완요청",J1505="보완완료",J1505="평가중",J1505="반려요청",J1505="평가필요",LEFT(J1505,5)="보완요청("),"미종결 표시","상태 확인 필요"))</x:f>
        <x:v>미종결 표시</x:v>
      </x:c>
      <x:c r="L1505" s="2" t="str">
        <x:v>KECM&gt;KRIC</x:v>
      </x:c>
      <x:c r="M1505" s="2" t="n">
        <x:v>1</x:v>
      </x:c>
      <x:c r="N1505" s="8"/>
      <x:c r="O1505" s="2"/>
      <x:c r="P1505" s="2" t="str">
        <x:v>반려보류</x:v>
      </x:c>
      <x:c r="Q1505" s="2" t="str">
        <x:v>산업전환_외부사업관리Tool_260707_이너젠 수정_LJY_261013.xlsx</x:v>
      </x:c>
      <x:c r="R1505" s="2" t="str">
        <x:v>국외평가</x:v>
      </x:c>
      <x:c r="S1505" s="8" t="n">
        <x:v>129</x:v>
      </x:c>
      <x:c r="T1505" s="2" t="str">
        <x:v>2021-10-20T00:00:00</x:v>
      </x:c>
      <x:c r="U1505" s="2" t="str">
        <x:v>2021 지정: 2021-10-20T00:00:00 / 2021 지정(2): (5/17, 10/20) / 2022 지정: (5/18)</x:v>
      </x:c>
      <x:c r="V1505" s="2" t="str">
        <x:v>2022-04-28</x:v>
      </x:c>
      <x:c r="W1505" s="2" t="str"/>
      <x:c r="X1505" s="2" t="str">
        <x:v>검토 진행 일정 확인</x:v>
      </x:c>
      <x:c r="Y1505" s="2" t="str">
        <x:v>ad210cd9ec132cfd447541c8984dc53d30aff0f4fb2dc92d254d49275cc55976</x:v>
      </x:c>
      <x:c r="Z1505" s="2" t="n">
        <x:f>SUBTOTAL(103,A1505)</x:f>
        <x:v>1</x:v>
      </x:c>
      <x:c r="AA1505" s="2" t="str">
        <x:f>IF(K1505&lt;&gt;"미종결 표시","대상 아님",IF(N1505="","신청일 확인",IF(NOT(ISNUMBER('종합 현황'!$H$5)),"관찰기준 확인",IF('종합 현황'!$H$5&lt;1,"관찰기준 확인",IF(N1505&gt;'종합 현황'!$H$5,"내부 관찰 대상","내부 관찰일 이하")))))</x:f>
        <x:v>신청일 확인</x:v>
      </x:c>
      <x:c r="AB1505" s="2" t="str">
        <x:v>2020-09-01 10:13:24 - 신규신청 - 신청 
2020-09-01 10:13:24 - 관장기관 지정 - 환경부
2020-09-11 17:38:57 - 관장기관 지정 - 산업통상자원부
2020-09-18 17:36:04 - 신규신청 - 문서재제출요청 
2021-01-25 15:36:25 - 재제출신청 - 신청 
2021-03-15 16:12:14 - 재제출신청 - 문서재제출요청 
2021-05-12 17:26:34 - 재제출신청 - 신청 
2021-06-15 13:05:38 - 재제출신청 - 문서재제출요청 
2021-07-21 14:47:21 - 재제출신청 - 신청 
2021-08-31 12:11:42 - 재제출신청 - 보완요청 
2021-09-03 17:08:09 - 보완신청 - 신청 
2021-09-30 09:45:35 - 보완신청 - 문서재제출요청 
2021-10-06 17:26:33 - 재제출신청 - 신청 
2021-12-23 15:13:36 - 재제출신청 - 문서재제출요청 
2022-04-28 14:36:41 - 재제출신청 - 신청 
</x:v>
      </x:c>
    </x:row>
    <x:row r="1506" ht="42" customHeight="1">
      <x:c r="A1506" s="2" t="str">
        <x:v>edeca0d271bbdedfc3a9c25d</x:v>
      </x:c>
      <x:c r="B1506" s="2" t="str">
        <x:v>사업 평가</x:v>
      </x:c>
      <x:c r="C1506" s="2" t="str">
        <x:v>국외</x:v>
      </x:c>
      <x:c r="D1506" s="7" t="str">
        <x:v>BioLite의 발전된 쿡스토브 프로그램 - 한국에서 지원하는 CPA 035</x:v>
      </x:c>
      <x:c r="E1506" s="2" t="str">
        <x:v>140</x:v>
      </x:c>
      <x:c r="F1506" s="2" t="str">
        <x:v>2020-09</x:v>
      </x:c>
      <x:c r="G1506" s="2" t="str">
        <x:v>2020</x:v>
      </x:c>
      <x:c r="H1506" s="2" t="str">
        <x:v>09</x:v>
      </x:c>
      <x:c r="I1506" s="2" t="str">
        <x:v>검토필요</x:v>
      </x:c>
      <x:c r="J1506" s="2" t="str">
        <x:v>보류</x:v>
      </x:c>
      <x:c r="K1506" s="2" t="str">
        <x:f>IF(OR(J1506="심의승인",J1506="반려",J1506="반려완료",J1506="심의완료"),"종결 표시",IF(OR(J1506="기후부협의",J1506="문서재제출요청",J1506="보류",J1506="보완요청",J1506="보완완료",J1506="평가중",J1506="반려요청",J1506="평가필요",LEFT(J1506,5)="보완요청("),"미종결 표시","상태 확인 필요"))</x:f>
        <x:v>미종결 표시</x:v>
      </x:c>
      <x:c r="L1506" s="2" t="str">
        <x:v>KRIC</x:v>
      </x:c>
      <x:c r="M1506" s="2"/>
      <x:c r="N1506" s="8"/>
      <x:c r="O1506" s="2"/>
      <x:c r="P1506" s="2" t="str">
        <x:v>반려보류</x:v>
      </x:c>
      <x:c r="Q1506" s="2" t="str">
        <x:v>산업전환_외부사업관리Tool_260707_이너젠 수정_LJY_261013.xlsx</x:v>
      </x:c>
      <x:c r="R1506" s="2" t="str">
        <x:v>국외평가</x:v>
      </x:c>
      <x:c r="S1506" s="8" t="n">
        <x:v>130</x:v>
      </x:c>
      <x:c r="T1506" s="2" t="str">
        <x:v>(5/18)</x:v>
      </x:c>
      <x:c r="U1506" s="2" t="str">
        <x:v>2022 지정: (5/18)</x:v>
      </x:c>
      <x:c r="V1506" s="2" t="str">
        <x:v>2022-04-28</x:v>
      </x:c>
      <x:c r="W1506" s="2" t="str"/>
      <x:c r="X1506" s="2" t="str">
        <x:v>검토 진행 일정 확인</x:v>
      </x:c>
      <x:c r="Y1506" s="2" t="str">
        <x:v>ad210cd9ec132cfd447541c8984dc53d30aff0f4fb2dc92d254d49275cc55976</x:v>
      </x:c>
      <x:c r="Z1506" s="2" t="n">
        <x:f>SUBTOTAL(103,A1506)</x:f>
        <x:v>1</x:v>
      </x:c>
      <x:c r="AA1506" s="2" t="str">
        <x:f>IF(K1506&lt;&gt;"미종결 표시","대상 아님",IF(N1506="","신청일 확인",IF(NOT(ISNUMBER('종합 현황'!$H$5)),"관찰기준 확인",IF('종합 현황'!$H$5&lt;1,"관찰기준 확인",IF(N1506&gt;'종합 현황'!$H$5,"내부 관찰 대상","내부 관찰일 이하")))))</x:f>
        <x:v>신청일 확인</x:v>
      </x:c>
      <x:c r="AB1506" s="2" t="str">
        <x:v>2020-09-01 10:19:53 - 신규신청 - 신청 
2020-09-01 10:19:53 - 관장기관 지정 - 환경부
2020-09-11 17:42:11 - 관장기관 지정 - 산업통상자원부
2020-09-18 17:31:05 - 신규신청 - 문서재제출요청 
2022-04-28 14:41:39 - 재제출신청 - 신청 
</x:v>
      </x:c>
    </x:row>
    <x:row r="1507" ht="42" customHeight="1">
      <x:c r="A1507" s="2" t="str">
        <x:v>c16cefdb7ce1e36fecede939</x:v>
      </x:c>
      <x:c r="B1507" s="2" t="str">
        <x:v>사업 평가</x:v>
      </x:c>
      <x:c r="C1507" s="2" t="str">
        <x:v>국외</x:v>
      </x:c>
      <x:c r="D1507" s="7" t="str">
        <x:v>BioLite의 발전된 쿡스토브 프로그램 - 한국에서 지원하는 CPA 036</x:v>
      </x:c>
      <x:c r="E1507" s="2" t="str">
        <x:v>141</x:v>
      </x:c>
      <x:c r="F1507" s="2" t="str">
        <x:v>2020-09</x:v>
      </x:c>
      <x:c r="G1507" s="2" t="str">
        <x:v>2020</x:v>
      </x:c>
      <x:c r="H1507" s="2" t="str">
        <x:v>09</x:v>
      </x:c>
      <x:c r="I1507" s="2" t="str">
        <x:v>검토필요</x:v>
      </x:c>
      <x:c r="J1507" s="2" t="str">
        <x:v>보류</x:v>
      </x:c>
      <x:c r="K1507" s="2" t="str">
        <x:f>IF(OR(J1507="심의승인",J1507="반려",J1507="반려완료",J1507="심의완료"),"종결 표시",IF(OR(J1507="기후부협의",J1507="문서재제출요청",J1507="보류",J1507="보완요청",J1507="보완완료",J1507="평가중",J1507="반려요청",J1507="평가필요",LEFT(J1507,5)="보완요청("),"미종결 표시","상태 확인 필요"))</x:f>
        <x:v>미종결 표시</x:v>
      </x:c>
      <x:c r="L1507" s="2" t="str">
        <x:v>KRIC</x:v>
      </x:c>
      <x:c r="M1507" s="2"/>
      <x:c r="N1507" s="8"/>
      <x:c r="O1507" s="2"/>
      <x:c r="P1507" s="2" t="str">
        <x:v>반려보류</x:v>
      </x:c>
      <x:c r="Q1507" s="2" t="str">
        <x:v>산업전환_외부사업관리Tool_260707_이너젠 수정_LJY_261013.xlsx</x:v>
      </x:c>
      <x:c r="R1507" s="2" t="str">
        <x:v>국외평가</x:v>
      </x:c>
      <x:c r="S1507" s="8" t="n">
        <x:v>131</x:v>
      </x:c>
      <x:c r="T1507" s="2" t="str">
        <x:v>(5/18)</x:v>
      </x:c>
      <x:c r="U1507" s="2" t="str">
        <x:v>2022 지정: (5/18)</x:v>
      </x:c>
      <x:c r="V1507" s="2" t="str">
        <x:v>2022-04-28</x:v>
      </x:c>
      <x:c r="W1507" s="2" t="str"/>
      <x:c r="X1507" s="2" t="str">
        <x:v>검토 진행 일정 확인</x:v>
      </x:c>
      <x:c r="Y1507" s="2" t="str">
        <x:v>ad210cd9ec132cfd447541c8984dc53d30aff0f4fb2dc92d254d49275cc55976</x:v>
      </x:c>
      <x:c r="Z1507" s="2" t="n">
        <x:f>SUBTOTAL(103,A1507)</x:f>
        <x:v>1</x:v>
      </x:c>
      <x:c r="AA1507" s="2" t="str">
        <x:f>IF(K1507&lt;&gt;"미종결 표시","대상 아님",IF(N1507="","신청일 확인",IF(NOT(ISNUMBER('종합 현황'!$H$5)),"관찰기준 확인",IF('종합 현황'!$H$5&lt;1,"관찰기준 확인",IF(N1507&gt;'종합 현황'!$H$5,"내부 관찰 대상","내부 관찰일 이하")))))</x:f>
        <x:v>신청일 확인</x:v>
      </x:c>
      <x:c r="AB1507" s="2" t="str">
        <x:v>2020-09-01 10:20:11 - 관장기관 지정 - 환경부
2020-09-01 10:20:12 - 신규신청 - 신청 
2020-09-11 17:42:19 - 관장기관 지정 - 산업통상자원부
2020-09-18 17:30:52 - 신규신청 - 문서재제출요청 
2022-04-28 14:42:03 - 재제출신청 - 신청 
</x:v>
      </x:c>
    </x:row>
    <x:row r="1508" ht="42" customHeight="1">
      <x:c r="A1508" s="2" t="str">
        <x:v>f75a82087b87db74e5456e41</x:v>
      </x:c>
      <x:c r="B1508" s="2" t="str">
        <x:v>사업 평가</x:v>
      </x:c>
      <x:c r="C1508" s="2" t="str">
        <x:v>국외</x:v>
      </x:c>
      <x:c r="D1508" s="7" t="str">
        <x:v>BioLite의 발전된 쿡스토브 프로그램 - 한국에서 지원하는 CPA 037</x:v>
      </x:c>
      <x:c r="E1508" s="2" t="str">
        <x:v>142</x:v>
      </x:c>
      <x:c r="F1508" s="2" t="str">
        <x:v>2020-09</x:v>
      </x:c>
      <x:c r="G1508" s="2" t="str">
        <x:v>2020</x:v>
      </x:c>
      <x:c r="H1508" s="2" t="str">
        <x:v>09</x:v>
      </x:c>
      <x:c r="I1508" s="2" t="str">
        <x:v>검토필요</x:v>
      </x:c>
      <x:c r="J1508" s="2" t="str">
        <x:v>보류</x:v>
      </x:c>
      <x:c r="K1508" s="2" t="str">
        <x:f>IF(OR(J1508="심의승인",J1508="반려",J1508="반려완료",J1508="심의완료"),"종결 표시",IF(OR(J1508="기후부협의",J1508="문서재제출요청",J1508="보류",J1508="보완요청",J1508="보완완료",J1508="평가중",J1508="반려요청",J1508="평가필요",LEFT(J1508,5)="보완요청("),"미종결 표시","상태 확인 필요"))</x:f>
        <x:v>미종결 표시</x:v>
      </x:c>
      <x:c r="L1508" s="2" t="str">
        <x:v>KRIC</x:v>
      </x:c>
      <x:c r="M1508" s="2"/>
      <x:c r="N1508" s="8"/>
      <x:c r="O1508" s="2"/>
      <x:c r="P1508" s="2" t="str">
        <x:v>반려보류</x:v>
      </x:c>
      <x:c r="Q1508" s="2" t="str">
        <x:v>산업전환_외부사업관리Tool_260707_이너젠 수정_LJY_261013.xlsx</x:v>
      </x:c>
      <x:c r="R1508" s="2" t="str">
        <x:v>국외평가</x:v>
      </x:c>
      <x:c r="S1508" s="8" t="n">
        <x:v>132</x:v>
      </x:c>
      <x:c r="T1508" s="2" t="str">
        <x:v>(5/18)</x:v>
      </x:c>
      <x:c r="U1508" s="2" t="str">
        <x:v>2022 지정: (5/18)</x:v>
      </x:c>
      <x:c r="V1508" s="2" t="str">
        <x:v>2022-04-28</x:v>
      </x:c>
      <x:c r="W1508" s="2" t="str"/>
      <x:c r="X1508" s="2" t="str">
        <x:v>검토 진행 일정 확인</x:v>
      </x:c>
      <x:c r="Y1508" s="2" t="str">
        <x:v>ad210cd9ec132cfd447541c8984dc53d30aff0f4fb2dc92d254d49275cc55976</x:v>
      </x:c>
      <x:c r="Z1508" s="2" t="n">
        <x:f>SUBTOTAL(103,A1508)</x:f>
        <x:v>1</x:v>
      </x:c>
      <x:c r="AA1508" s="2" t="str">
        <x:f>IF(K1508&lt;&gt;"미종결 표시","대상 아님",IF(N1508="","신청일 확인",IF(NOT(ISNUMBER('종합 현황'!$H$5)),"관찰기준 확인",IF('종합 현황'!$H$5&lt;1,"관찰기준 확인",IF(N1508&gt;'종합 현황'!$H$5,"내부 관찰 대상","내부 관찰일 이하")))))</x:f>
        <x:v>신청일 확인</x:v>
      </x:c>
      <x:c r="AB1508" s="2" t="str">
        <x:v>2020-09-01 10:20:31 - 신규신청 - 신청 
2020-09-01 10:20:31 - 관장기관 지정 - 환경부
2020-09-11 17:42:29 - 관장기관 지정 - 산업통상자원부
2020-09-18 17:30:36 - 신규신청 - 문서재제출요청 
2022-04-28 14:42:33 - 재제출신청 - 신청 
</x:v>
      </x:c>
    </x:row>
    <x:row r="1509" ht="42" customHeight="1">
      <x:c r="A1509" s="2" t="str">
        <x:v>b5596f64cd8ce2cbfcad9572</x:v>
      </x:c>
      <x:c r="B1509" s="2" t="str">
        <x:v>사업 평가</x:v>
      </x:c>
      <x:c r="C1509" s="2" t="str">
        <x:v>국외</x:v>
      </x:c>
      <x:c r="D1509" s="7" t="str">
        <x:v>BioLite의 발전된 쿡스토브 프로그램 - 한국에서 지원하는 CPA 038</x:v>
      </x:c>
      <x:c r="E1509" s="2" t="str">
        <x:v>143</x:v>
      </x:c>
      <x:c r="F1509" s="2" t="str">
        <x:v>2020-09</x:v>
      </x:c>
      <x:c r="G1509" s="2" t="str">
        <x:v>2020</x:v>
      </x:c>
      <x:c r="H1509" s="2" t="str">
        <x:v>09</x:v>
      </x:c>
      <x:c r="I1509" s="2" t="str">
        <x:v>검토필요</x:v>
      </x:c>
      <x:c r="J1509" s="2" t="str">
        <x:v>보류</x:v>
      </x:c>
      <x:c r="K1509" s="2" t="str">
        <x:f>IF(OR(J1509="심의승인",J1509="반려",J1509="반려완료",J1509="심의완료"),"종결 표시",IF(OR(J1509="기후부협의",J1509="문서재제출요청",J1509="보류",J1509="보완요청",J1509="보완완료",J1509="평가중",J1509="반려요청",J1509="평가필요",LEFT(J1509,5)="보완요청("),"미종결 표시","상태 확인 필요"))</x:f>
        <x:v>미종결 표시</x:v>
      </x:c>
      <x:c r="L1509" s="2" t="str">
        <x:v>KRIC</x:v>
      </x:c>
      <x:c r="M1509" s="2"/>
      <x:c r="N1509" s="8"/>
      <x:c r="O1509" s="2"/>
      <x:c r="P1509" s="2" t="str">
        <x:v>반려보류</x:v>
      </x:c>
      <x:c r="Q1509" s="2" t="str">
        <x:v>산업전환_외부사업관리Tool_260707_이너젠 수정_LJY_261013.xlsx</x:v>
      </x:c>
      <x:c r="R1509" s="2" t="str">
        <x:v>국외평가</x:v>
      </x:c>
      <x:c r="S1509" s="8" t="n">
        <x:v>133</x:v>
      </x:c>
      <x:c r="T1509" s="2" t="str">
        <x:v>(5/18)</x:v>
      </x:c>
      <x:c r="U1509" s="2" t="str">
        <x:v>2022 지정: (5/18)</x:v>
      </x:c>
      <x:c r="V1509" s="2" t="str">
        <x:v>2022-04-28</x:v>
      </x:c>
      <x:c r="W1509" s="2" t="str"/>
      <x:c r="X1509" s="2" t="str">
        <x:v>검토 진행 일정 확인</x:v>
      </x:c>
      <x:c r="Y1509" s="2" t="str">
        <x:v>ad210cd9ec132cfd447541c8984dc53d30aff0f4fb2dc92d254d49275cc55976</x:v>
      </x:c>
      <x:c r="Z1509" s="2" t="n">
        <x:f>SUBTOTAL(103,A1509)</x:f>
        <x:v>1</x:v>
      </x:c>
      <x:c r="AA1509" s="2" t="str">
        <x:f>IF(K1509&lt;&gt;"미종결 표시","대상 아님",IF(N1509="","신청일 확인",IF(NOT(ISNUMBER('종합 현황'!$H$5)),"관찰기준 확인",IF('종합 현황'!$H$5&lt;1,"관찰기준 확인",IF(N1509&gt;'종합 현황'!$H$5,"내부 관찰 대상","내부 관찰일 이하")))))</x:f>
        <x:v>신청일 확인</x:v>
      </x:c>
      <x:c r="AB1509" s="2" t="str">
        <x:v>2020-09-01 10:20:49 - 신규신청 - 신청 
2020-09-01 10:20:49 - 관장기관 지정 - 환경부
2020-09-11 17:42:37 - 관장기관 지정 - 산업통상자원부
2020-09-18 17:30:17 - 신규신청 - 문서재제출요청 
2022-04-28 14:42:56 - 재제출신청 - 신청 
</x:v>
      </x:c>
    </x:row>
    <x:row r="1510" ht="42" customHeight="1">
      <x:c r="A1510" s="2" t="str">
        <x:v>183209a7980b35dc81c6afbb</x:v>
      </x:c>
      <x:c r="B1510" s="2" t="str">
        <x:v>사업 평가</x:v>
      </x:c>
      <x:c r="C1510" s="2" t="str">
        <x:v>국외</x:v>
      </x:c>
      <x:c r="D1510" s="7" t="str">
        <x:v>BioLite의 발전된 쿡스토브 프로그램 - 한국에서 지원하는 CPA 039</x:v>
      </x:c>
      <x:c r="E1510" s="2" t="str">
        <x:v>144</x:v>
      </x:c>
      <x:c r="F1510" s="2" t="str">
        <x:v>2020-09</x:v>
      </x:c>
      <x:c r="G1510" s="2" t="str">
        <x:v>2020</x:v>
      </x:c>
      <x:c r="H1510" s="2" t="str">
        <x:v>09</x:v>
      </x:c>
      <x:c r="I1510" s="2" t="str">
        <x:v>검토필요</x:v>
      </x:c>
      <x:c r="J1510" s="2" t="str">
        <x:v>보류</x:v>
      </x:c>
      <x:c r="K1510" s="2" t="str">
        <x:f>IF(OR(J1510="심의승인",J1510="반려",J1510="반려완료",J1510="심의완료"),"종결 표시",IF(OR(J1510="기후부협의",J1510="문서재제출요청",J1510="보류",J1510="보완요청",J1510="보완완료",J1510="평가중",J1510="반려요청",J1510="평가필요",LEFT(J1510,5)="보완요청("),"미종결 표시","상태 확인 필요"))</x:f>
        <x:v>미종결 표시</x:v>
      </x:c>
      <x:c r="L1510" s="2" t="str">
        <x:v>KRIC</x:v>
      </x:c>
      <x:c r="M1510" s="2"/>
      <x:c r="N1510" s="8"/>
      <x:c r="O1510" s="2"/>
      <x:c r="P1510" s="2" t="str">
        <x:v>반려보류</x:v>
      </x:c>
      <x:c r="Q1510" s="2" t="str">
        <x:v>산업전환_외부사업관리Tool_260707_이너젠 수정_LJY_261013.xlsx</x:v>
      </x:c>
      <x:c r="R1510" s="2" t="str">
        <x:v>국외평가</x:v>
      </x:c>
      <x:c r="S1510" s="8" t="n">
        <x:v>134</x:v>
      </x:c>
      <x:c r="T1510" s="2" t="str">
        <x:v>(5/18)</x:v>
      </x:c>
      <x:c r="U1510" s="2" t="str">
        <x:v>2022 지정: (5/18)</x:v>
      </x:c>
      <x:c r="V1510" s="2" t="str">
        <x:v>2022-04-28</x:v>
      </x:c>
      <x:c r="W1510" s="2" t="str"/>
      <x:c r="X1510" s="2" t="str">
        <x:v>검토 진행 일정 확인</x:v>
      </x:c>
      <x:c r="Y1510" s="2" t="str">
        <x:v>ad210cd9ec132cfd447541c8984dc53d30aff0f4fb2dc92d254d49275cc55976</x:v>
      </x:c>
      <x:c r="Z1510" s="2" t="n">
        <x:f>SUBTOTAL(103,A1510)</x:f>
        <x:v>1</x:v>
      </x:c>
      <x:c r="AA1510" s="2" t="str">
        <x:f>IF(K1510&lt;&gt;"미종결 표시","대상 아님",IF(N1510="","신청일 확인",IF(NOT(ISNUMBER('종합 현황'!$H$5)),"관찰기준 확인",IF('종합 현황'!$H$5&lt;1,"관찰기준 확인",IF(N1510&gt;'종합 현황'!$H$5,"내부 관찰 대상","내부 관찰일 이하")))))</x:f>
        <x:v>신청일 확인</x:v>
      </x:c>
      <x:c r="AB1510" s="2" t="str">
        <x:v>2020-09-01 10:21:06 - 관장기관 지정 - 환경부
2020-09-01 10:21:07 - 신규신청 - 신청 
2020-09-11 17:42:44 - 관장기관 지정 - 산업통상자원부
2020-09-18 17:30:00 - 신규신청 - 문서재제출요청 
2022-04-28 14:43:18 - 재제출신청 - 신청 
</x:v>
      </x:c>
    </x:row>
    <x:row r="1511" ht="42" customHeight="1">
      <x:c r="A1511" s="2" t="str">
        <x:v>3d27289ef60971c9de7e3e21</x:v>
      </x:c>
      <x:c r="B1511" s="2" t="str">
        <x:v>사업 평가</x:v>
      </x:c>
      <x:c r="C1511" s="2" t="str">
        <x:v>국외</x:v>
      </x:c>
      <x:c r="D1511" s="7" t="str">
        <x:v>BioLite의 발전된 쿡스토브 프로그램 - 한국에서 지원하는 CPA 028</x:v>
      </x:c>
      <x:c r="E1511" s="2" t="str">
        <x:v>133</x:v>
      </x:c>
      <x:c r="F1511" s="2" t="str">
        <x:v>2020-09</x:v>
      </x:c>
      <x:c r="G1511" s="2" t="str">
        <x:v>2020</x:v>
      </x:c>
      <x:c r="H1511" s="2" t="str">
        <x:v>09</x:v>
      </x:c>
      <x:c r="I1511" s="2" t="str">
        <x:v>승인</x:v>
      </x:c>
      <x:c r="J1511" s="2" t="str">
        <x:v>심의승인</x:v>
      </x:c>
      <x:c r="K1511" s="2" t="str">
        <x:f>IF(OR(J1511="심의승인",J1511="반려",J1511="반려완료",J1511="심의완료"),"종결 표시",IF(OR(J1511="기후부협의",J1511="문서재제출요청",J1511="보류",J1511="보완요청",J1511="보완완료",J1511="평가중",J1511="반려요청",J1511="평가필요",LEFT(J1511,5)="보완요청("),"미종결 표시","상태 확인 필요"))</x:f>
        <x:v>종결 표시</x:v>
      </x:c>
      <x:c r="L1511" s="2" t="str">
        <x:v>KECM &gt; KRIC</x:v>
      </x:c>
      <x:c r="M1511" s="2"/>
      <x:c r="N1511" s="8"/>
      <x:c r="O1511" s="2"/>
      <x:c r="P1511" s="2" t="str">
        <x:v>7월 협의 요청, 9월 인증위 가능(5월 말 수정)</x:v>
      </x:c>
      <x:c r="Q1511" s="2" t="str">
        <x:v>산업전환_외부사업관리Tool_260707_이너젠 수정_LJY_261013.xlsx</x:v>
      </x:c>
      <x:c r="R1511" s="2" t="str">
        <x:v>국외평가</x:v>
      </x:c>
      <x:c r="S1511" s="8" t="n">
        <x:v>135</x:v>
      </x:c>
      <x:c r="T1511" s="2" t="str">
        <x:v>2021-10-20T00:00:00</x:v>
      </x:c>
      <x:c r="U1511" s="2" t="str">
        <x:v>2021 지정: 2021-10-20T00:00:00 / 2021 지정(2): (5/17, 10/20) / 2022 지정: (3/16),(4/19),(6/10)</x:v>
      </x:c>
      <x:c r="V1511" s="2" t="str">
        <x:v>2022-10-11</x:v>
      </x:c>
      <x:c r="W1511" s="2" t="str"/>
      <x:c r="X1511" s="2" t="str">
        <x:v>종결 근거 보관</x:v>
      </x:c>
      <x:c r="Y1511" s="2" t="str">
        <x:v>ad210cd9ec132cfd447541c8984dc53d30aff0f4fb2dc92d254d49275cc55976</x:v>
      </x:c>
      <x:c r="Z1511" s="2" t="n">
        <x:f>SUBTOTAL(103,A1511)</x:f>
        <x:v>1</x:v>
      </x:c>
      <x:c r="AA1511" s="2" t="str">
        <x:f>IF(K1511&lt;&gt;"미종결 표시","대상 아님",IF(N1511="","신청일 확인",IF(NOT(ISNUMBER('종합 현황'!$H$5)),"관찰기준 확인",IF('종합 현황'!$H$5&lt;1,"관찰기준 확인",IF(N1511&gt;'종합 현황'!$H$5,"내부 관찰 대상","내부 관찰일 이하")))))</x:f>
        <x:v>대상 아님</x:v>
      </x:c>
      <x:c r="AB1511" s="2" t="str">
        <x:v>2020-09-01 10:16:54 - 신규신청 - 신청 
2020-09-01 10:16:54 - 관장기관 지정 - 환경부
2020-09-11 17:41:00 - 관장기관 지정 - 산업통상자원부
2020-09-18 17:34:55 - 신규신청 - 문서재제출요청 
2021-01-25 15:36:34 - 재제출신청 - 신청 
2021-03-15 16:11:00 - 재제출신청 - 문서재제출요청 
2021-05-12 17:26:48 - 재제출신청 - 신청 
2021-06-15 13:06:16 - 재제출신청 - 문서재제출요청 
2021-07-21 14:48:38 - 재제출신청 - 신청 
2021-08-31 12:12:22 - 재제출신청 - 보완요청 
2021-09-03 17:08:22 - 보완신청 - 신청 
2021-09-30 09:45:59 - 보완신청 - 문서재제출요청 
2021-10-06 17:26:48 - 재제출신청 - 신청 
2021-12-23 15:14:01 - 재제출신청 - 문서재제출요청 
2022-02-11 17:01:41 - 재제출신청 - 신청 
2022-03-25 16:55:33 - 재제출신청 - 보완요청 
2022-03-30 19:13:34 - 보완신청 - 신청 
2022-06-07 09:39:24 - 보완신청 - 문서재제출요청 
2022-06-07 17:06:18 - 재제출신청 - 신청 
2022-08-23 09:03:17 - 재제출신청 - 문서재제출요청 
2022-08-23 17:32:38 - 재제출신청 - 신청 
2022-10-07 18:01:52 - 재제출신청 - 평가승인 
2022-10-11 14:35:43 - 재제출신청 - 심의승인 
</x:v>
      </x:c>
    </x:row>
    <x:row r="1512" ht="42" customHeight="1">
      <x:c r="A1512" s="2" t="str">
        <x:v>c605a9a1775f3b827f4e55a2</x:v>
      </x:c>
      <x:c r="B1512" s="2" t="str">
        <x:v>사업 평가</x:v>
      </x:c>
      <x:c r="C1512" s="2" t="str">
        <x:v>국외</x:v>
      </x:c>
      <x:c r="D1512" s="7" t="str">
        <x:v>BioLite의 발전된 쿡스토브 프로그램 - 한국에서 지원하는 CPA 040</x:v>
      </x:c>
      <x:c r="E1512" s="2" t="str">
        <x:v>145</x:v>
      </x:c>
      <x:c r="F1512" s="2" t="str">
        <x:v>2020-09</x:v>
      </x:c>
      <x:c r="G1512" s="2" t="str">
        <x:v>2020</x:v>
      </x:c>
      <x:c r="H1512" s="2" t="str">
        <x:v>09</x:v>
      </x:c>
      <x:c r="I1512" s="2" t="str">
        <x:v>검토필요</x:v>
      </x:c>
      <x:c r="J1512" s="2" t="str">
        <x:v>보류</x:v>
      </x:c>
      <x:c r="K1512" s="2" t="str">
        <x:f>IF(OR(J1512="심의승인",J1512="반려",J1512="반려완료",J1512="심의완료"),"종결 표시",IF(OR(J1512="기후부협의",J1512="문서재제출요청",J1512="보류",J1512="보완요청",J1512="보완완료",J1512="평가중",J1512="반려요청",J1512="평가필요",LEFT(J1512,5)="보완요청("),"미종결 표시","상태 확인 필요"))</x:f>
        <x:v>미종결 표시</x:v>
      </x:c>
      <x:c r="L1512" s="2" t="str">
        <x:v>KRIC</x:v>
      </x:c>
      <x:c r="M1512" s="2"/>
      <x:c r="N1512" s="8"/>
      <x:c r="O1512" s="2"/>
      <x:c r="P1512" s="2" t="str">
        <x:v>반려보류</x:v>
      </x:c>
      <x:c r="Q1512" s="2" t="str">
        <x:v>산업전환_외부사업관리Tool_260707_이너젠 수정_LJY_261013.xlsx</x:v>
      </x:c>
      <x:c r="R1512" s="2" t="str">
        <x:v>국외평가</x:v>
      </x:c>
      <x:c r="S1512" s="8" t="n">
        <x:v>136</x:v>
      </x:c>
      <x:c r="T1512" s="2" t="str">
        <x:v>(5/18)</x:v>
      </x:c>
      <x:c r="U1512" s="2" t="str">
        <x:v>2022 지정: (5/18) / 2023 지정: (6/7)</x:v>
      </x:c>
      <x:c r="V1512" s="2" t="str">
        <x:v>2022-04-28</x:v>
      </x:c>
      <x:c r="W1512" s="2" t="str"/>
      <x:c r="X1512" s="2" t="str">
        <x:v>검토 진행 일정 확인</x:v>
      </x:c>
      <x:c r="Y1512" s="2" t="str">
        <x:v>ad210cd9ec132cfd447541c8984dc53d30aff0f4fb2dc92d254d49275cc55976</x:v>
      </x:c>
      <x:c r="Z1512" s="2" t="n">
        <x:f>SUBTOTAL(103,A1512)</x:f>
        <x:v>1</x:v>
      </x:c>
      <x:c r="AA1512" s="2" t="str">
        <x:f>IF(K1512&lt;&gt;"미종결 표시","대상 아님",IF(N1512="","신청일 확인",IF(NOT(ISNUMBER('종합 현황'!$H$5)),"관찰기준 확인",IF('종합 현황'!$H$5&lt;1,"관찰기준 확인",IF(N1512&gt;'종합 현황'!$H$5,"내부 관찰 대상","내부 관찰일 이하")))))</x:f>
        <x:v>신청일 확인</x:v>
      </x:c>
      <x:c r="AB1512" s="2" t="str">
        <x:v>2020-09-01 10:21:26 - 관장기관 지정 - 환경부
2020-09-01 10:21:27 - 신규신청 - 신청 
2020-09-11 17:42:50 - 관장기관 지정 - 산업통상자원부
2020-09-18 17:29:33 - 신규신청 - 문서재제출요청 
2022-04-28 14:43:39 - 재제출신청 - 신청 
</x:v>
      </x:c>
    </x:row>
    <x:row r="1513" ht="42" customHeight="1">
      <x:c r="A1513" s="2" t="str">
        <x:v>f7bfface45dcf6ea886f78f1</x:v>
      </x:c>
      <x:c r="B1513" s="2" t="str">
        <x:v>사업 평가</x:v>
      </x:c>
      <x:c r="C1513" s="2" t="str">
        <x:v>국외</x:v>
      </x:c>
      <x:c r="D1513" s="7" t="str">
        <x:v>미얀마 트완테, 양곤 지역의 에너지 효율을 높인 쿡스토브 설치 : CPA 002</x:v>
      </x:c>
      <x:c r="E1513" s="2" t="str">
        <x:v>102</x:v>
      </x:c>
      <x:c r="F1513" s="2" t="str">
        <x:v>2020-06</x:v>
      </x:c>
      <x:c r="G1513" s="2" t="str">
        <x:v>2020</x:v>
      </x:c>
      <x:c r="H1513" s="2" t="str">
        <x:v>06</x:v>
      </x:c>
      <x:c r="I1513" s="2" t="str">
        <x:v>승인</x:v>
      </x:c>
      <x:c r="J1513" s="2" t="str">
        <x:v>심의승인</x:v>
      </x:c>
      <x:c r="K1513" s="2" t="str">
        <x:f>IF(OR(J1513="심의승인",J1513="반려",J1513="반려완료",J1513="심의완료"),"종결 표시",IF(OR(J1513="기후부협의",J1513="문서재제출요청",J1513="보류",J1513="보완요청",J1513="보완완료",J1513="평가중",J1513="반려요청",J1513="평가필요",LEFT(J1513,5)="보완요청("),"미종결 표시","상태 확인 필요"))</x:f>
        <x:v>종결 표시</x:v>
      </x:c>
      <x:c r="L1513" s="2" t="str">
        <x:v>에코시안_조혜민</x:v>
      </x:c>
      <x:c r="M1513" s="2"/>
      <x:c r="N1513" s="8"/>
      <x:c r="O1513" s="2"/>
      <x:c r="P1513" s="2"/>
      <x:c r="Q1513" s="2" t="str">
        <x:v>산업전환_외부사업관리Tool_260707_이너젠 수정_LJY_261013.xlsx</x:v>
      </x:c>
      <x:c r="R1513" s="2" t="str">
        <x:v>국외평가</x:v>
      </x:c>
      <x:c r="S1513" s="8" t="n">
        <x:v>137</x:v>
      </x:c>
      <x:c r="T1513" s="2" t="str">
        <x:v>(1/18)</x:v>
      </x:c>
      <x:c r="U1513" s="2" t="str">
        <x:v>2022 지정: (1/18)</x:v>
      </x:c>
      <x:c r="V1513" s="2" t="str">
        <x:v>2022-07-05</x:v>
      </x:c>
      <x:c r="W1513" s="2" t="str"/>
      <x:c r="X1513" s="2" t="str">
        <x:v>종결 근거 보관</x:v>
      </x:c>
      <x:c r="Y1513" s="2" t="str">
        <x:v>ad210cd9ec132cfd447541c8984dc53d30aff0f4fb2dc92d254d49275cc55976</x:v>
      </x:c>
      <x:c r="Z1513" s="2" t="n">
        <x:f>SUBTOTAL(103,A1513)</x:f>
        <x:v>1</x:v>
      </x:c>
      <x:c r="AA1513" s="2" t="str">
        <x:f>IF(K1513&lt;&gt;"미종결 표시","대상 아님",IF(N1513="","신청일 확인",IF(NOT(ISNUMBER('종합 현황'!$H$5)),"관찰기준 확인",IF('종합 현황'!$H$5&lt;1,"관찰기준 확인",IF(N1513&gt;'종합 현황'!$H$5,"내부 관찰 대상","내부 관찰일 이하")))))</x:f>
        <x:v>대상 아님</x:v>
      </x:c>
      <x:c r="AB1513" s="2" t="str">
        <x:v>2020-06-22 16:18:52 - 신규신청 - 신청 
2020-06-22 16:18:52 - 관장기관 지정 - 환경부
2020-06-24 10:03:51 - 관장기관 지정 - 산업통상자원부
2020-07-08 17:25:49 - 신규신청 - 문서재제출요청 
2021-01-26 13:25:44 - 재제출신청 - 신청 
2021-03-15 16:19:37 - 재제출신청 - 문서재제출요청 
2022-01-07 18:26:52 - 재제출신청 - 신청 
2022-03-15 09:43:32 - 재제출신청 - 문서재제출요청 
2022-03-17 12:49:20 - 재제출신청 - 신청 
2022-07-05 17:13:52 - 재제출신청 - 평가승인 
2022-07-05 17:14:15 - 재제출신청 - 심의승인 
</x:v>
      </x:c>
    </x:row>
    <x:row r="1514" ht="42" customHeight="1">
      <x:c r="A1514" s="2" t="str">
        <x:v>9e7ce0aac201df3291e20679</x:v>
      </x:c>
      <x:c r="B1514" s="2" t="str">
        <x:v>사업 평가</x:v>
      </x:c>
      <x:c r="C1514" s="2" t="str">
        <x:v>국외</x:v>
      </x:c>
      <x:c r="D1514" s="7" t="str">
        <x:v>인도 청정에너지 기기 보급 사업 (PoA 9181-CPA 19)</x:v>
      </x:c>
      <x:c r="E1514" s="2" t="str">
        <x:v>85</x:v>
      </x:c>
      <x:c r="F1514" s="2" t="str">
        <x:v>2020-04</x:v>
      </x:c>
      <x:c r="G1514" s="2" t="str">
        <x:v>2020</x:v>
      </x:c>
      <x:c r="H1514" s="2" t="str">
        <x:v>04</x:v>
      </x:c>
      <x:c r="I1514" s="2" t="str">
        <x:v>승인</x:v>
      </x:c>
      <x:c r="J1514" s="2" t="str">
        <x:v>심의승인</x:v>
      </x:c>
      <x:c r="K1514" s="2" t="str">
        <x:f>IF(OR(J1514="심의승인",J1514="반려",J1514="반려완료",J1514="심의완료"),"종결 표시",IF(OR(J1514="기후부협의",J1514="문서재제출요청",J1514="보류",J1514="보완요청",J1514="보완완료",J1514="평가중",J1514="반려요청",J1514="평가필요",LEFT(J1514,5)="보완요청("),"미종결 표시","상태 확인 필요"))</x:f>
        <x:v>종결 표시</x:v>
      </x:c>
      <x:c r="L1514" s="2" t="str">
        <x:v>에코시안_배윤빈</x:v>
      </x:c>
      <x:c r="M1514" s="2"/>
      <x:c r="N1514" s="8"/>
      <x:c r="O1514" s="2"/>
      <x:c r="P1514" s="2" t="str">
        <x:v>9월 인증위 가능(5월 말 수정)</x:v>
      </x:c>
      <x:c r="Q1514" s="2" t="str">
        <x:v>산업전환_외부사업관리Tool_260707_이너젠 수정_LJY_261013.xlsx</x:v>
      </x:c>
      <x:c r="R1514" s="2" t="str">
        <x:v>국외평가</x:v>
      </x:c>
      <x:c r="S1514" s="8" t="n">
        <x:v>138</x:v>
      </x:c>
      <x:c r="T1514" s="2" t="str">
        <x:v>2021-08-03T00:00:00</x:v>
      </x:c>
      <x:c r="U1514" s="2" t="str">
        <x:v>2021 지정: 2021-08-03T00:00:00</x:v>
      </x:c>
      <x:c r="V1514" s="2" t="str">
        <x:v>2022-10-16</x:v>
      </x:c>
      <x:c r="W1514" s="2" t="str"/>
      <x:c r="X1514" s="2" t="str">
        <x:v>종결 근거 보관</x:v>
      </x:c>
      <x:c r="Y1514" s="2" t="str">
        <x:v>ad210cd9ec132cfd447541c8984dc53d30aff0f4fb2dc92d254d49275cc55976</x:v>
      </x:c>
      <x:c r="Z1514" s="2" t="n">
        <x:f>SUBTOTAL(103,A1514)</x:f>
        <x:v>1</x:v>
      </x:c>
      <x:c r="AA1514" s="2" t="str">
        <x:f>IF(K1514&lt;&gt;"미종결 표시","대상 아님",IF(N1514="","신청일 확인",IF(NOT(ISNUMBER('종합 현황'!$H$5)),"관찰기준 확인",IF('종합 현황'!$H$5&lt;1,"관찰기준 확인",IF(N1514&gt;'종합 현황'!$H$5,"내부 관찰 대상","내부 관찰일 이하")))))</x:f>
        <x:v>대상 아님</x:v>
      </x:c>
      <x:c r="AB1514" s="2" t="str">
        <x:v>2020-04-07 17:05:29 - 신규신청 - 신청 
2020-04-07 17:05:29 - 관장기관 지정 - 환경부
2020-04-08 09:10:37 - 관장기관 지정 - 산업통상자원부
2020-04-27 10:06:03 - 신규신청 - 문서재제출요청 
2020-05-28 13:45:39 - 재제출신청 - 신청 
2020-07-14 11:11:00 - 재제출신청 - 문서재제출요청 
2020-07-17 15:47:41 - 재제출신청 - 신청 
2020-09-23 09:57:13 - 재제출신청 - 보완요청 
2020-11-06 09:57:43 - 보완신청 - 신청 
2020-11-26 17:50:28 - 보완신청 - 문서재제출요청 
2020-12-10 22:42:03 - 재제출신청 - 신청 
2021-01-12 09:41:02 - 재제출신청 - 문서재제출요청 
2021-01-31 15:47:31 - 재제출신청 - 신청 
2021-02-25 14:08:16 - 재제출신청 - 문서재제출요청 
2021-03-19 01:28:19 - 재제출신청 - 신청 
2021-03-19 09:54:32 - 재제출신청 - 문서재제출요청 
2021-03-19 10:35:44 - 재제출신청 - 신청 
2021-03-23 17:51:25 - 재제출신청 - 문서재제출요청 
2021-03-23 23:52:22 - 재제출신청 - 신청 
2021-06-09 15:19:59 - 재제출신청 - 문서재제출요청 
2021-07-29 17:22:34 - 재제출신청 - 신청 
2021-07-29 17:34:20 - 재제출신청 - 문서재제출요청 
2022-08-09 21:04:00 - 재제출신청 - 신청 
2022-08-10 09:53:54 - 재제출신청 - 문서재제출요청 
2022-08-10 10:02:58 - 재제출신청 - 신청 
2022-08-22 13:15:32 - 재제출신청 - 문서재제출요청 
2022-08-24 14:03:42 - 재제출신청 - 신청 
2022-08-25 10:19:43 - 재제출신청 - 문서재제출요청 
2022-08-25 16:46:52 - 재제출신청 - 신청 
2022-08-26 10:02:21 - 재제출신청 - 문서재제출요청 
2022-08-26 15:25:28 - 재제출신청 - 신청 
2022-08-26 15:50:47 - 재제출신청 - 문서재제출요청 
2022-08-26 16:02:23 - 재제출신청 - 신청 
2022-08-26 16:50:50 - 재제출신청 - 문서재제출요청 
2022-08-26 17:32:29 - 재제출신청 - 신청 
2022-08-30 08:05:05 - 재제출신청 - 문서재제출요청 
2022-08-30 09:11:57 - 재제출신청 - 신청 
2022-09-01 14:07:42 - 재제출신청 - 문서재제출요청 
2022-09-01 16:01:55 - 재제출신청 - 신청 
2022-10-07 17:43:21 - 재제출신청 - 평가승인 
2022-10-11 14:37:10 - 재제출신청 - 심의승인 
2022-10-16 15:38:03 - 재제출신청 - 착수신고 
</x:v>
      </x:c>
    </x:row>
    <x:row r="1515" ht="42" customHeight="1">
      <x:c r="A1515" s="2" t="str">
        <x:v>1af1a0f84856c97d016d2983</x:v>
      </x:c>
      <x:c r="B1515" s="2" t="str">
        <x:v>사업 평가</x:v>
      </x:c>
      <x:c r="C1515" s="2" t="str">
        <x:v>국외</x:v>
      </x:c>
      <x:c r="D1515" s="7" t="str">
        <x:v>인도 청정에너지 기기 보급 사업 (PoA 9181-CPA 20)</x:v>
      </x:c>
      <x:c r="E1515" s="2" t="str">
        <x:v>86</x:v>
      </x:c>
      <x:c r="F1515" s="2" t="str">
        <x:v>2020-04</x:v>
      </x:c>
      <x:c r="G1515" s="2" t="str">
        <x:v>2020</x:v>
      </x:c>
      <x:c r="H1515" s="2" t="str">
        <x:v>04</x:v>
      </x:c>
      <x:c r="I1515" s="2" t="str">
        <x:v>승인</x:v>
      </x:c>
      <x:c r="J1515" s="2" t="str">
        <x:v>심의승인</x:v>
      </x:c>
      <x:c r="K1515" s="2" t="str">
        <x:f>IF(OR(J1515="심의승인",J1515="반려",J1515="반려완료",J1515="심의완료"),"종결 표시",IF(OR(J1515="기후부협의",J1515="문서재제출요청",J1515="보류",J1515="보완요청",J1515="보완완료",J1515="평가중",J1515="반려요청",J1515="평가필요",LEFT(J1515,5)="보완요청("),"미종결 표시","상태 확인 필요"))</x:f>
        <x:v>종결 표시</x:v>
      </x:c>
      <x:c r="L1515" s="2" t="str">
        <x:v>에코시안_배윤빈</x:v>
      </x:c>
      <x:c r="M1515" s="2"/>
      <x:c r="N1515" s="8"/>
      <x:c r="O1515" s="2"/>
      <x:c r="P1515" s="2" t="str">
        <x:v>9월 인증위 가능(5월 말 수정)</x:v>
      </x:c>
      <x:c r="Q1515" s="2" t="str">
        <x:v>산업전환_외부사업관리Tool_260707_이너젠 수정_LJY_261013.xlsx</x:v>
      </x:c>
      <x:c r="R1515" s="2" t="str">
        <x:v>국외평가</x:v>
      </x:c>
      <x:c r="S1515" s="8" t="n">
        <x:v>139</x:v>
      </x:c>
      <x:c r="T1515" s="2" t="str">
        <x:v>2021-08-03T00:00:00</x:v>
      </x:c>
      <x:c r="U1515" s="2" t="str">
        <x:v>2021 지정: 2021-08-03T00:00:00</x:v>
      </x:c>
      <x:c r="V1515" s="2" t="str">
        <x:v>2022-10-16</x:v>
      </x:c>
      <x:c r="W1515" s="2" t="str"/>
      <x:c r="X1515" s="2" t="str">
        <x:v>종결 근거 보관</x:v>
      </x:c>
      <x:c r="Y1515" s="2" t="str">
        <x:v>ad210cd9ec132cfd447541c8984dc53d30aff0f4fb2dc92d254d49275cc55976</x:v>
      </x:c>
      <x:c r="Z1515" s="2" t="n">
        <x:f>SUBTOTAL(103,A1515)</x:f>
        <x:v>1</x:v>
      </x:c>
      <x:c r="AA1515" s="2" t="str">
        <x:f>IF(K1515&lt;&gt;"미종결 표시","대상 아님",IF(N1515="","신청일 확인",IF(NOT(ISNUMBER('종합 현황'!$H$5)),"관찰기준 확인",IF('종합 현황'!$H$5&lt;1,"관찰기준 확인",IF(N1515&gt;'종합 현황'!$H$5,"내부 관찰 대상","내부 관찰일 이하")))))</x:f>
        <x:v>대상 아님</x:v>
      </x:c>
      <x:c r="AB1515" s="2" t="str">
        <x:v>2020-04-07 17:06:57 - 신규신청 - 신청 
2020-04-07 17:06:57 - 관장기관 지정 - 환경부
2020-04-08 09:10:32 - 관장기관 지정 - 산업통상자원부
2020-04-27 10:08:29 - 신규신청 - 문서재제출요청 
2020-05-28 13:46:42 - 재제출신청 - 신청 
2020-07-14 11:11:25 - 재제출신청 - 문서재제출요청 
2020-07-17 15:47:33 - 재제출신청 - 신청 
2020-09-23 09:58:24 - 재제출신청 - 보완요청 
2020-11-06 09:58:03 - 보완신청 - 신청 
2020-11-26 17:49:54 - 보완신청 - 문서재제출요청 
2020-12-10 22:41:55 - 재제출신청 - 신청 
2021-01-12 09:48:43 - 재제출신청 - 문서재제출요청 
2021-01-31 15:47:25 - 재제출신청 - 신청 
2021-02-25 14:11:25 - 재제출신청 - 문서재제출요청 
2021-03-19 01:53:05 - 재제출신청 - 신청 
2021-03-23 17:49:46 - 재제출신청 - 문서재제출요청 
2021-03-23 23:58:36 - 재제출신청 - 신청 
2021-06-09 15:23:14 - 재제출신청 - 문서재제출요청 
2021-07-29 17:22:59 - 재제출신청 - 신청 
2021-07-29 17:33:00 - 재제출신청 - 문서재제출요청 
2022-08-11 10:43:48 - 재제출신청 - 신청 
2022-08-22 13:15:48 - 재제출신청 - 문서재제출요청 
2022-08-24 14:03:50 - 재제출신청 - 신청 
2022-08-25 10:19:59 - 재제출신청 - 문서재제출요청 
2022-08-25 16:48:23 - 재제출신청 - 신청 
2022-08-26 10:02:33 - 재제출신청 - 문서재제출요청 
2022-08-26 16:03:46 - 재제출신청 - 신청 
2022-08-26 16:51:21 - 재제출신청 - 문서재제출요청 
2022-08-26 17:31:37 - 재제출신청 - 신청 
2022-09-01 14:08:07 - 재제출신청 - 문서재제출요청 
2022-09-01 16:24:07 - 재제출신청 - 신청 
2022-09-01 17:37:01 - 재제출신청 - 문서재제출요청 
2022-09-02 07:08:24 - 재제출신청 - 신청 
2022-10-07 17:43:54 - 재제출신청 - 평가승인 
2022-10-11 14:38:01 - 재제출신청 - 심의승인 
2022-10-16 15:39:40 - 재제출신청 - 착수신고 
</x:v>
      </x:c>
    </x:row>
    <x:row r="1516" ht="42" customHeight="1">
      <x:c r="A1516" s="2" t="str">
        <x:v>60738d433c8c215c752a4c2b</x:v>
      </x:c>
      <x:c r="B1516" s="2" t="str">
        <x:v>사업 평가</x:v>
      </x:c>
      <x:c r="C1516" s="2" t="str">
        <x:v>국외</x:v>
      </x:c>
      <x:c r="D1516" s="7" t="str">
        <x:v>인도 청정에너지 기기 보급 사업 (PoA 9181-CPA 21)</x:v>
      </x:c>
      <x:c r="E1516" s="2" t="str">
        <x:v>87</x:v>
      </x:c>
      <x:c r="F1516" s="2" t="str">
        <x:v>2020-04</x:v>
      </x:c>
      <x:c r="G1516" s="2" t="str">
        <x:v>2020</x:v>
      </x:c>
      <x:c r="H1516" s="2" t="str">
        <x:v>04</x:v>
      </x:c>
      <x:c r="I1516" s="2" t="str">
        <x:v>승인</x:v>
      </x:c>
      <x:c r="J1516" s="2" t="str">
        <x:v>심의승인</x:v>
      </x:c>
      <x:c r="K1516" s="2" t="str">
        <x:f>IF(OR(J1516="심의승인",J1516="반려",J1516="반려완료",J1516="심의완료"),"종결 표시",IF(OR(J1516="기후부협의",J1516="문서재제출요청",J1516="보류",J1516="보완요청",J1516="보완완료",J1516="평가중",J1516="반려요청",J1516="평가필요",LEFT(J1516,5)="보완요청("),"미종결 표시","상태 확인 필요"))</x:f>
        <x:v>종결 표시</x:v>
      </x:c>
      <x:c r="L1516" s="2" t="str">
        <x:v>에코시안_배윤빈</x:v>
      </x:c>
      <x:c r="M1516" s="2"/>
      <x:c r="N1516" s="8"/>
      <x:c r="O1516" s="2"/>
      <x:c r="P1516" s="2" t="str">
        <x:v>9월 인증위 가능(5월 말 수정)</x:v>
      </x:c>
      <x:c r="Q1516" s="2" t="str">
        <x:v>산업전환_외부사업관리Tool_260707_이너젠 수정_LJY_261013.xlsx</x:v>
      </x:c>
      <x:c r="R1516" s="2" t="str">
        <x:v>국외평가</x:v>
      </x:c>
      <x:c r="S1516" s="8" t="n">
        <x:v>140</x:v>
      </x:c>
      <x:c r="T1516" s="2" t="str">
        <x:v>2021-08-03T00:00:00</x:v>
      </x:c>
      <x:c r="U1516" s="2" t="str">
        <x:v>2021 지정: 2021-08-03T00:00:00</x:v>
      </x:c>
      <x:c r="V1516" s="2" t="str">
        <x:v>2022-10-16</x:v>
      </x:c>
      <x:c r="W1516" s="2" t="str"/>
      <x:c r="X1516" s="2" t="str">
        <x:v>종결 근거 보관</x:v>
      </x:c>
      <x:c r="Y1516" s="2" t="str">
        <x:v>ad210cd9ec132cfd447541c8984dc53d30aff0f4fb2dc92d254d49275cc55976</x:v>
      </x:c>
      <x:c r="Z1516" s="2" t="n">
        <x:f>SUBTOTAL(103,A1516)</x:f>
        <x:v>1</x:v>
      </x:c>
      <x:c r="AA1516" s="2" t="str">
        <x:f>IF(K1516&lt;&gt;"미종결 표시","대상 아님",IF(N1516="","신청일 확인",IF(NOT(ISNUMBER('종합 현황'!$H$5)),"관찰기준 확인",IF('종합 현황'!$H$5&lt;1,"관찰기준 확인",IF(N1516&gt;'종합 현황'!$H$5,"내부 관찰 대상","내부 관찰일 이하")))))</x:f>
        <x:v>대상 아님</x:v>
      </x:c>
      <x:c r="AB1516" s="2" t="str">
        <x:v>2020-04-07 17:09:07 - 신규신청 - 신청 
2020-04-07 17:09:07 - 관장기관 지정 - 환경부
2020-04-08 09:10:26 - 관장기관 지정 - 산업통상자원부
2020-04-27 10:09:45 - 신규신청 - 문서재제출요청 
2020-05-28 13:47:29 - 재제출신청 - 신청 
2020-07-14 11:12:29 - 재제출신청 - 문서재제출요청 
2020-07-17 15:47:20 - 재제출신청 - 신청 
2020-09-23 09:58:06 - 재제출신청 - 보완요청 
2020-11-06 09:58:17 - 보완신청 - 신청 
2020-11-26 17:49:38 - 보완신청 - 문서재제출요청 
2020-12-10 22:42:16 - 재제출신청 - 신청 
2021-01-12 09:48:11 - 재제출신청 - 문서재제출요청 
2021-01-31 15:47:19 - 재제출신청 - 신청 
2021-02-25 14:11:56 - 재제출신청 - 문서재제출요청 
2021-03-19 01:38:50 - 재제출신청 - 신청 
2021-03-23 17:52:56 - 재제출신청 - 문서재제출요청 
2021-03-24 00:13:56 - 재제출신청 - 신청 
2021-06-09 15:20:32 - 재제출신청 - 문서재제출요청 
2021-07-29 17:22:46 - 재제출신청 - 신청 
2021-07-29 17:33:59 - 재제출신청 - 문서재제출요청 
2022-08-09 21:14:12 - 재제출신청 - 신청 
2022-08-10 09:55:53 - 재제출신청 - 문서재제출요청 
2022-08-10 10:08:20 - 재제출신청 - 신청 
2022-08-22 13:16:05 - 재제출신청 - 문서재제출요청 
2022-08-24 14:03:58 - 재제출신청 - 신청 
2022-08-25 10:20:15 - 재제출신청 - 문서재제출요청 
2022-08-25 16:49:50 - 재제출신청 - 신청 
2022-08-26 10:02:48 - 재제출신청 - 문서재제출요청 
2022-08-26 16:04:39 - 재제출신청 - 신청 
2022-08-26 16:51:33 - 재제출신청 - 문서재제출요청 
2022-08-26 17:30:50 - 재제출신청 - 신청 
2022-08-30 08:05:47 - 재제출신청 - 문서재제출요청 
2022-08-30 09:12:49 - 재제출신청 - 신청 
2022-09-01 14:08:20 - 재제출신청 - 문서재제출요청 
2022-09-01 16:23:54 - 재제출신청 - 신청 
2022-10-07 17:44:37 - 재제출신청 - 평가승인 
2022-10-11 14:38:53 - 재제출신청 - 심의승인 
2022-10-16 15:39:20 - 재제출신청 - 착수신고 
</x:v>
      </x:c>
    </x:row>
    <x:row r="1517" ht="42" customHeight="1">
      <x:c r="A1517" s="2" t="str">
        <x:v>371cba40dae0f601fbf30f91</x:v>
      </x:c>
      <x:c r="B1517" s="2" t="str">
        <x:v>사업 평가</x:v>
      </x:c>
      <x:c r="C1517" s="2" t="str">
        <x:v>국외</x:v>
      </x:c>
      <x:c r="D1517" s="7" t="str">
        <x:v>인도 청정에너지 기기 보급 사업 (PoA 9181-CPA 22)</x:v>
      </x:c>
      <x:c r="E1517" s="2" t="str">
        <x:v>88</x:v>
      </x:c>
      <x:c r="F1517" s="2" t="str">
        <x:v>2020-04</x:v>
      </x:c>
      <x:c r="G1517" s="2" t="str">
        <x:v>2020</x:v>
      </x:c>
      <x:c r="H1517" s="2" t="str">
        <x:v>04</x:v>
      </x:c>
      <x:c r="I1517" s="2" t="str">
        <x:v>승인</x:v>
      </x:c>
      <x:c r="J1517" s="2" t="str">
        <x:v>심의승인</x:v>
      </x:c>
      <x:c r="K1517" s="2" t="str">
        <x:f>IF(OR(J1517="심의승인",J1517="반려",J1517="반려완료",J1517="심의완료"),"종결 표시",IF(OR(J1517="기후부협의",J1517="문서재제출요청",J1517="보류",J1517="보완요청",J1517="보완완료",J1517="평가중",J1517="반려요청",J1517="평가필요",LEFT(J1517,5)="보완요청("),"미종결 표시","상태 확인 필요"))</x:f>
        <x:v>종결 표시</x:v>
      </x:c>
      <x:c r="L1517" s="2" t="str">
        <x:v>에코시안_배윤빈</x:v>
      </x:c>
      <x:c r="M1517" s="2"/>
      <x:c r="N1517" s="8"/>
      <x:c r="O1517" s="2"/>
      <x:c r="P1517" s="2" t="str">
        <x:v>9월 인증위 가능(5월 말 수정)</x:v>
      </x:c>
      <x:c r="Q1517" s="2" t="str">
        <x:v>산업전환_외부사업관리Tool_260707_이너젠 수정_LJY_261013.xlsx</x:v>
      </x:c>
      <x:c r="R1517" s="2" t="str">
        <x:v>국외평가</x:v>
      </x:c>
      <x:c r="S1517" s="8" t="n">
        <x:v>141</x:v>
      </x:c>
      <x:c r="T1517" s="2" t="str">
        <x:v>2021-08-03T00:00:00</x:v>
      </x:c>
      <x:c r="U1517" s="2" t="str">
        <x:v>2021 지정: 2021-08-03T00:00:00</x:v>
      </x:c>
      <x:c r="V1517" s="2" t="str">
        <x:v>2022-10-16</x:v>
      </x:c>
      <x:c r="W1517" s="2" t="str"/>
      <x:c r="X1517" s="2" t="str">
        <x:v>종결 근거 보관</x:v>
      </x:c>
      <x:c r="Y1517" s="2" t="str">
        <x:v>ad210cd9ec132cfd447541c8984dc53d30aff0f4fb2dc92d254d49275cc55976</x:v>
      </x:c>
      <x:c r="Z1517" s="2" t="n">
        <x:f>SUBTOTAL(103,A1517)</x:f>
        <x:v>1</x:v>
      </x:c>
      <x:c r="AA1517" s="2" t="str">
        <x:f>IF(K1517&lt;&gt;"미종결 표시","대상 아님",IF(N1517="","신청일 확인",IF(NOT(ISNUMBER('종합 현황'!$H$5)),"관찰기준 확인",IF('종합 현황'!$H$5&lt;1,"관찰기준 확인",IF(N1517&gt;'종합 현황'!$H$5,"내부 관찰 대상","내부 관찰일 이하")))))</x:f>
        <x:v>대상 아님</x:v>
      </x:c>
      <x:c r="AB1517" s="2" t="str">
        <x:v>2020-04-07 17:11:18 - 신규신청 - 신청 
2020-04-07 17:11:18 - 관장기관 지정 - 환경부
2020-04-08 09:10:21 - 관장기관 지정 - 산업통상자원부
2020-04-27 10:10:26 - 신규신청 - 문서재제출요청 
2020-05-28 13:48:03 - 재제출신청 - 신청 
2020-07-14 11:12:06 - 재제출신청 - 문서재제출요청 
2020-07-17 15:47:13 - 재제출신청 - 신청 
2020-09-23 09:58:50 - 재제출신청 - 보완요청 
2020-11-06 09:58:25 - 보완신청 - 신청 
2020-11-26 17:49:18 - 보완신청 - 문서재제출요청 
2020-12-10 22:41:43 - 재제출신청 - 신청 
2021-01-12 09:46:21 - 재제출신청 - 문서재제출요청 
2021-01-31 15:47:12 - 재제출신청 - 신청 
2021-02-25 14:18:51 - 재제출신청 - 문서재제출요청 
2021-03-19 01:45:48 - 재제출신청 - 신청 
2021-03-23 17:43:46 - 재제출신청 - 문서재제출요청 
2021-03-24 00:21:54 - 재제출신청 - 신청 
2021-06-09 15:37:48 - 재제출신청 - 보완요청 
2021-07-29 17:24:00 - 보완신청 - 신청 
2021-07-29 17:25:09 - 보완신청 - 문서재제출요청 
2022-08-09 21:24:06 - 재제출신청 - 신청 
2022-08-10 09:56:18 - 재제출신청 - 문서재제출요청 
2022-08-10 10:13:22 - 재제출신청 - 신청 
2022-08-22 13:16:22 - 재제출신청 - 문서재제출요청 
2022-08-24 14:04:06 - 재제출신청 - 신청 
2022-08-25 10:20:32 - 재제출신청 - 문서재제출요청 
2022-08-25 16:51:04 - 재제출신청 - 신청 
2022-08-26 10:02:59 - 재제출신청 - 문서재제출요청 
2022-08-26 16:05:24 - 재제출신청 - 신청 
2022-08-26 16:51:46 - 재제출신청 - 문서재제출요청 
2022-08-26 17:30:05 - 재제출신청 - 신청 
2022-09-01 14:08:34 - 재제출신청 - 문서재제출요청 
2022-09-01 16:23:13 - 재제출신청 - 신청 
2022-09-01 17:37:15 - 재제출신청 - 문서재제출요청 
2022-09-02 07:09:28 - 재제출신청 - 신청 
2022-09-02 10:53:23 - 재제출신청 - 문서재제출요청 
2022-09-02 13:02:42 - 재제출신청 - 신청 
2022-10-07 17:45:06 - 재제출신청 - 평가승인 
2022-10-11 14:39:46 - 재제출신청 - 심의승인 
2022-10-16 15:38:54 - 재제출신청 - 착수신고 
</x:v>
      </x:c>
    </x:row>
    <x:row r="1518" ht="42" customHeight="1">
      <x:c r="A1518" s="2" t="str">
        <x:v>b268167658c32cf3bedf47ae</x:v>
      </x:c>
      <x:c r="B1518" s="2" t="str">
        <x:v>사업 평가</x:v>
      </x:c>
      <x:c r="C1518" s="2" t="str">
        <x:v>국외</x:v>
      </x:c>
      <x:c r="D1518" s="7" t="str">
        <x:v>인도 청정에너지 기기 보급 사업 (PoA 9181-CPA 23)</x:v>
      </x:c>
      <x:c r="E1518" s="2" t="str">
        <x:v>89</x:v>
      </x:c>
      <x:c r="F1518" s="2" t="str">
        <x:v>2020-04</x:v>
      </x:c>
      <x:c r="G1518" s="2" t="str">
        <x:v>2020</x:v>
      </x:c>
      <x:c r="H1518" s="2" t="str">
        <x:v>04</x:v>
      </x:c>
      <x:c r="I1518" s="2" t="str">
        <x:v>승인</x:v>
      </x:c>
      <x:c r="J1518" s="2" t="str">
        <x:v>심의승인</x:v>
      </x:c>
      <x:c r="K1518" s="2" t="str">
        <x:f>IF(OR(J1518="심의승인",J1518="반려",J1518="반려완료",J1518="심의완료"),"종결 표시",IF(OR(J1518="기후부협의",J1518="문서재제출요청",J1518="보류",J1518="보완요청",J1518="보완완료",J1518="평가중",J1518="반려요청",J1518="평가필요",LEFT(J1518,5)="보완요청("),"미종결 표시","상태 확인 필요"))</x:f>
        <x:v>종결 표시</x:v>
      </x:c>
      <x:c r="L1518" s="2" t="str">
        <x:v>에코시안_배윤빈</x:v>
      </x:c>
      <x:c r="M1518" s="2"/>
      <x:c r="N1518" s="8"/>
      <x:c r="O1518" s="2"/>
      <x:c r="P1518" s="2" t="str">
        <x:v>9월 인증위 가능(5월 말 수정)</x:v>
      </x:c>
      <x:c r="Q1518" s="2" t="str">
        <x:v>산업전환_외부사업관리Tool_260707_이너젠 수정_LJY_261013.xlsx</x:v>
      </x:c>
      <x:c r="R1518" s="2" t="str">
        <x:v>국외평가</x:v>
      </x:c>
      <x:c r="S1518" s="8" t="n">
        <x:v>142</x:v>
      </x:c>
      <x:c r="T1518" s="2" t="str">
        <x:v>2021-08-03T00:00:00</x:v>
      </x:c>
      <x:c r="U1518" s="2" t="str">
        <x:v>2021 지정: 2021-08-03T00:00:00</x:v>
      </x:c>
      <x:c r="V1518" s="2" t="str">
        <x:v>2022-10-16</x:v>
      </x:c>
      <x:c r="W1518" s="2" t="str"/>
      <x:c r="X1518" s="2" t="str">
        <x:v>종결 근거 보관</x:v>
      </x:c>
      <x:c r="Y1518" s="2" t="str">
        <x:v>ad210cd9ec132cfd447541c8984dc53d30aff0f4fb2dc92d254d49275cc55976</x:v>
      </x:c>
      <x:c r="Z1518" s="2" t="n">
        <x:f>SUBTOTAL(103,A1518)</x:f>
        <x:v>1</x:v>
      </x:c>
      <x:c r="AA1518" s="2" t="str">
        <x:f>IF(K1518&lt;&gt;"미종결 표시","대상 아님",IF(N1518="","신청일 확인",IF(NOT(ISNUMBER('종합 현황'!$H$5)),"관찰기준 확인",IF('종합 현황'!$H$5&lt;1,"관찰기준 확인",IF(N1518&gt;'종합 현황'!$H$5,"내부 관찰 대상","내부 관찰일 이하")))))</x:f>
        <x:v>대상 아님</x:v>
      </x:c>
      <x:c r="AB1518" s="2" t="str">
        <x:v>2020-04-07 17:12:26 - 신규신청 - 신청 
2020-04-07 17:12:26 - 관장기관 지정 - 환경부
2020-04-08 09:10:15 - 관장기관 지정 - 산업통상자원부
2020-04-27 10:10:57 - 신규신청 - 문서재제출요청 
2020-05-28 13:48:15 - 재제출신청 - 신청 
2020-07-14 11:11:45 - 재제출신청 - 문서재제출요청 
2020-07-17 15:47:04 - 재제출신청 - 신청 
2020-09-23 09:57:51 - 재제출신청 - 보완요청 
2020-11-06 09:57:56 - 보완신청 - 신청 
2020-11-26 17:50:12 - 보완신청 - 문서재제출요청 
2020-12-10 22:42:10 - 재제출신청 - 신청 
2021-01-12 09:45:27 - 재제출신청 - 문서재제출요청 
2021-01-31 15:47:07 - 재제출신청 - 신청 
2021-02-25 14:15:07 - 재제출신청 - 문서재제출요청 
2021-03-19 01:41:30 - 재제출신청 - 신청 
2021-03-23 17:52:29 - 재제출신청 - 문서재제출요청 
2021-03-24 00:28:31 - 재제출신청 - 신청 
2021-06-09 15:21:10 - 재제출신청 - 문서재제출요청 
2021-07-29 17:22:53 - 재제출신청 - 신청 
2021-07-29 17:33:29 - 재제출신청 - 문서재제출요청 
2022-08-09 21:45:31 - 재제출신청 - 신청 
2022-08-10 09:57:13 - 재제출신청 - 문서재제출요청 
2022-08-10 10:17:46 - 재제출신청 - 신청 
2022-08-22 13:16:43 - 재제출신청 - 문서재제출요청 
2022-08-24 14:04:14 - 재제출신청 - 신청 
2022-08-25 10:20:59 - 재제출신청 - 문서재제출요청 
2022-08-25 16:52:26 - 재제출신청 - 신청 
2022-08-26 10:03:10 - 재제출신청 - 문서재제출요청 
2022-08-26 16:06:12 - 재제출신청 - 신청 
2022-08-26 16:51:58 - 재제출신청 - 문서재제출요청 
2022-08-26 17:29:16 - 재제출신청 - 신청 
2022-09-01 14:08:48 - 재제출신청 - 문서재제출요청 
2022-09-01 16:22:35 - 재제출신청 - 신청 
2022-10-07 17:45:38 - 재제출신청 - 평가승인 
2022-10-11 14:40:28 - 재제출신청 - 심의승인 
2022-10-16 15:38:25 - 재제출신청 - 착수신고 
</x:v>
      </x:c>
    </x:row>
    <x:row r="1519" ht="42" customHeight="1">
      <x:c r="A1519" s="2" t="str">
        <x:v>628d3598e98313e30b7a1e29</x:v>
      </x:c>
      <x:c r="B1519" s="2" t="str">
        <x:v>사업 평가</x:v>
      </x:c>
      <x:c r="C1519" s="2" t="str">
        <x:v>국외</x:v>
      </x:c>
      <x:c r="D1519" s="7" t="str">
        <x:v>인도 청정에너지 기기 보급 사업 (PoA 9181-CPA 24)</x:v>
      </x:c>
      <x:c r="E1519" s="2" t="str">
        <x:v>150</x:v>
      </x:c>
      <x:c r="F1519" s="2" t="str">
        <x:v>2020-12</x:v>
      </x:c>
      <x:c r="G1519" s="2" t="str">
        <x:v>2020</x:v>
      </x:c>
      <x:c r="H1519" s="2" t="str">
        <x:v>12</x:v>
      </x:c>
      <x:c r="I1519" s="2" t="str">
        <x:v>승인</x:v>
      </x:c>
      <x:c r="J1519" s="2" t="str">
        <x:v>심의승인</x:v>
      </x:c>
      <x:c r="K1519" s="2" t="str">
        <x:f>IF(OR(J1519="심의승인",J1519="반려",J1519="반려완료",J1519="심의완료"),"종결 표시",IF(OR(J1519="기후부협의",J1519="문서재제출요청",J1519="보류",J1519="보완요청",J1519="보완완료",J1519="평가중",J1519="반려요청",J1519="평가필요",LEFT(J1519,5)="보완요청("),"미종결 표시","상태 확인 필요"))</x:f>
        <x:v>종결 표시</x:v>
      </x:c>
      <x:c r="L1519" s="2" t="str">
        <x:v>에코시안_배윤빈, 조혜민</x:v>
      </x:c>
      <x:c r="M1519" s="2"/>
      <x:c r="N1519" s="8"/>
      <x:c r="O1519" s="2"/>
      <x:c r="P1519" s="2"/>
      <x:c r="Q1519" s="2" t="str">
        <x:v>산업전환_외부사업관리Tool_260707_이너젠 수정_LJY_261013.xlsx</x:v>
      </x:c>
      <x:c r="R1519" s="2" t="str">
        <x:v>국외평가</x:v>
      </x:c>
      <x:c r="S1519" s="8" t="n">
        <x:v>143</x:v>
      </x:c>
      <x:c r="T1519" s="2" t="str">
        <x:v>2021-08-03T00:00:00</x:v>
      </x:c>
      <x:c r="U1519" s="2" t="str">
        <x:v>2021 지정: 2021-08-03T00:00:00 / 2022 지정: (4/19)</x:v>
      </x:c>
      <x:c r="V1519" s="2" t="str">
        <x:v>2022-08-03</x:v>
      </x:c>
      <x:c r="W1519" s="2" t="str"/>
      <x:c r="X1519" s="2" t="str">
        <x:v>종결 근거 보관</x:v>
      </x:c>
      <x:c r="Y1519" s="2" t="str">
        <x:v>ad210cd9ec132cfd447541c8984dc53d30aff0f4fb2dc92d254d49275cc55976</x:v>
      </x:c>
      <x:c r="Z1519" s="2" t="n">
        <x:f>SUBTOTAL(103,A1519)</x:f>
        <x:v>1</x:v>
      </x:c>
      <x:c r="AA1519" s="2" t="str">
        <x:f>IF(K1519&lt;&gt;"미종결 표시","대상 아님",IF(N1519="","신청일 확인",IF(NOT(ISNUMBER('종합 현황'!$H$5)),"관찰기준 확인",IF('종합 현황'!$H$5&lt;1,"관찰기준 확인",IF(N1519&gt;'종합 현황'!$H$5,"내부 관찰 대상","내부 관찰일 이하")))))</x:f>
        <x:v>대상 아님</x:v>
      </x:c>
      <x:c r="AB1519" s="2" t="str">
        <x:v>2020-12-10 22:42:25 - 신규신청 - 신청 
2020-12-10 22:42:25 - 관장기관 지정 - 환경부
2020-12-14 09:24:10 - 관장기관 지정 - 산업통상자원부
2021-01-12 09:47:26 - 신규신청 - 문서재제출요청 
2021-01-31 15:47:01 - 재제출신청 - 신청 
2021-02-25 14:23:53 - 재제출신청 - 문서재제출요청 
2021-03-19 11:21:48 - 재제출신청 - 신청 
2021-03-23 17:49:18 - 재제출신청 - 문서재제출요청 
2021-03-24 00:39:23 - 재제출신청 - 신청 
2021-03-25 13:09:58 - 재제출신청 - 문서재제출요청 
2021-03-25 14:34:14 - 재제출신청 - 신청 
2021-03-25 16:37:46 - 재제출신청 - 문서재제출요청 
2021-03-25 16:56:41 - 재제출신청 - 신청 
2021-06-09 15:36:39 - 재제출신청 - 문서재제출요청 
2021-07-29 17:23:53 - 재제출신청 - 신청 
2021-07-29 17:25:25 - 재제출신청 - 문서재제출요청 
2022-04-17 23:53:13 - 재제출신청 - 신청 
2022-05-19 14:20:38 - 재제출신청 - 문서재제출요청 
2022-05-22 22:45:42 - 재제출신청 - 신청 
2022-05-25 09:43:27 - 재제출신청 - 문서재제출요청 
2022-05-25 10:29:54 - 재제출신청 - 신청 
2022-06-03 10:20:36 - 재제출신청 - 문서재제출요청 
2022-06-03 10:50:57 - 재제출신청 - 신청 
2022-06-03 13:19:40 - 재제출신청 - 문서재제출요청 
2022-06-03 15:40:51 - 재제출신청 - 신청 
2022-06-03 15:49:41 - 재제출신청 - 문서재제출요청 
2022-06-03 16:12:17 - 재제출신청 - 신청 
2022-07-05 17:38:48 - 재제출신청 - 평가승인 
2022-07-05 17:39:18 - 재제출신청 - 심의승인 
2022-08-03 22:37:28 - 재제출신청 - 착수신고 
</x:v>
      </x:c>
    </x:row>
    <x:row r="1520" ht="42" customHeight="1">
      <x:c r="A1520" s="2" t="str">
        <x:v>24ec4be5f2cac121db992d2b</x:v>
      </x:c>
      <x:c r="B1520" s="2" t="str">
        <x:v>사업 평가</x:v>
      </x:c>
      <x:c r="C1520" s="2" t="str">
        <x:v>국외</x:v>
      </x:c>
      <x:c r="D1520" s="7" t="str">
        <x:v>인도 청정에너지 기기 보급 사업 (PoA 9181-CPA 25)</x:v>
      </x:c>
      <x:c r="E1520" s="2" t="str">
        <x:v>151</x:v>
      </x:c>
      <x:c r="F1520" s="2" t="str">
        <x:v>2020-12</x:v>
      </x:c>
      <x:c r="G1520" s="2" t="str">
        <x:v>2020</x:v>
      </x:c>
      <x:c r="H1520" s="2" t="str">
        <x:v>12</x:v>
      </x:c>
      <x:c r="I1520" s="2" t="str">
        <x:v>승인</x:v>
      </x:c>
      <x:c r="J1520" s="2" t="str">
        <x:v>심의승인</x:v>
      </x:c>
      <x:c r="K1520" s="2" t="str">
        <x:f>IF(OR(J1520="심의승인",J1520="반려",J1520="반려완료",J1520="심의완료"),"종결 표시",IF(OR(J1520="기후부협의",J1520="문서재제출요청",J1520="보류",J1520="보완요청",J1520="보완완료",J1520="평가중",J1520="반려요청",J1520="평가필요",LEFT(J1520,5)="보완요청("),"미종결 표시","상태 확인 필요"))</x:f>
        <x:v>종결 표시</x:v>
      </x:c>
      <x:c r="L1520" s="2" t="str">
        <x:v>에코시안_배윤빈, 조혜민</x:v>
      </x:c>
      <x:c r="M1520" s="2"/>
      <x:c r="N1520" s="8"/>
      <x:c r="O1520" s="2"/>
      <x:c r="P1520" s="2"/>
      <x:c r="Q1520" s="2" t="str">
        <x:v>산업전환_외부사업관리Tool_260707_이너젠 수정_LJY_261013.xlsx</x:v>
      </x:c>
      <x:c r="R1520" s="2" t="str">
        <x:v>국외평가</x:v>
      </x:c>
      <x:c r="S1520" s="8" t="n">
        <x:v>144</x:v>
      </x:c>
      <x:c r="T1520" s="2" t="str">
        <x:v>2021-08-03T00:00:00</x:v>
      </x:c>
      <x:c r="U1520" s="2" t="str">
        <x:v>2021 지정: 2021-08-03T00:00:00 / 2022 지정: (4/19)</x:v>
      </x:c>
      <x:c r="V1520" s="2" t="str">
        <x:v>2022-08-03</x:v>
      </x:c>
      <x:c r="W1520" s="2" t="str"/>
      <x:c r="X1520" s="2" t="str">
        <x:v>종결 근거 보관</x:v>
      </x:c>
      <x:c r="Y1520" s="2" t="str">
        <x:v>ad210cd9ec132cfd447541c8984dc53d30aff0f4fb2dc92d254d49275cc55976</x:v>
      </x:c>
      <x:c r="Z1520" s="2" t="n">
        <x:f>SUBTOTAL(103,A1520)</x:f>
        <x:v>1</x:v>
      </x:c>
      <x:c r="AA1520" s="2" t="str">
        <x:f>IF(K1520&lt;&gt;"미종결 표시","대상 아님",IF(N1520="","신청일 확인",IF(NOT(ISNUMBER('종합 현황'!$H$5)),"관찰기준 확인",IF('종합 현황'!$H$5&lt;1,"관찰기준 확인",IF(N1520&gt;'종합 현황'!$H$5,"내부 관찰 대상","내부 관찰일 이하")))))</x:f>
        <x:v>대상 아님</x:v>
      </x:c>
      <x:c r="AB1520" s="2" t="str">
        <x:v>2020-12-10 22:43:13 - 신규신청 - 신청 
2020-12-10 22:43:13 - 관장기관 지정 - 환경부
2020-12-14 09:24:02 - 관장기관 지정 - 산업통상자원부
2021-01-12 09:40:45 - 신규신청 - 문서재제출요청 
2021-01-31 15:46:55 - 재제출신청 - 신청 
2021-02-25 15:35:35 - 재제출신청 - 문서재제출요청 
2021-03-19 11:00:02 - 재제출신청 - 신청 
2021-03-23 17:51:00 - 재제출신청 - 문서재제출요청 
2021-03-24 00:50:23 - 재제출신청 - 신청 
2021-03-25 13:09:32 - 재제출신청 - 문서재제출요청 
2021-03-25 14:34:22 - 재제출신청 - 신청 
2021-03-25 16:39:40 - 재제출신청 - 문서재제출요청 
2021-03-25 17:04:04 - 재제출신청 - 신청 
2021-06-09 15:28:47 - 재제출신청 - 문서재제출요청 
2021-07-29 17:23:06 - 재제출신청 - 신청 
2021-07-29 17:32:41 - 재제출신청 - 문서재제출요청 
2022-04-17 23:55:45 - 재제출신청 - 신청 
2022-05-19 14:20:55 - 재제출신청 - 문서재제출요청 
2022-05-22 23:01:57 - 재제출신청 - 신청 
2022-06-03 10:20:54 - 재제출신청 - 문서재제출요청 
2022-06-03 10:55:48 - 재제출신청 - 신청 
2022-07-05 17:43:55 - 재제출신청 - 평가승인 
2022-07-05 17:44:17 - 재제출신청 - 심의승인 
2022-08-03 22:38:11 - 재제출신청 - 착수신고 
</x:v>
      </x:c>
    </x:row>
    <x:row r="1521" ht="42" customHeight="1">
      <x:c r="A1521" s="2" t="str">
        <x:v>c110d28867f798351651ebb6</x:v>
      </x:c>
      <x:c r="B1521" s="2" t="str">
        <x:v>사업 평가</x:v>
      </x:c>
      <x:c r="C1521" s="2" t="str">
        <x:v>국외</x:v>
      </x:c>
      <x:c r="D1521" s="7" t="str">
        <x:v>인도 청정에너지 기기 보급 사업 (PoA 9181-CPA 26)</x:v>
      </x:c>
      <x:c r="E1521" s="2" t="str">
        <x:v>152</x:v>
      </x:c>
      <x:c r="F1521" s="2" t="str">
        <x:v>2020-12</x:v>
      </x:c>
      <x:c r="G1521" s="2" t="str">
        <x:v>2020</x:v>
      </x:c>
      <x:c r="H1521" s="2" t="str">
        <x:v>12</x:v>
      </x:c>
      <x:c r="I1521" s="2" t="str">
        <x:v>승인</x:v>
      </x:c>
      <x:c r="J1521" s="2" t="str">
        <x:v>심의승인</x:v>
      </x:c>
      <x:c r="K1521" s="2" t="str">
        <x:f>IF(OR(J1521="심의승인",J1521="반려",J1521="반려완료",J1521="심의완료"),"종결 표시",IF(OR(J1521="기후부협의",J1521="문서재제출요청",J1521="보류",J1521="보완요청",J1521="보완완료",J1521="평가중",J1521="반려요청",J1521="평가필요",LEFT(J1521,5)="보완요청("),"미종결 표시","상태 확인 필요"))</x:f>
        <x:v>종결 표시</x:v>
      </x:c>
      <x:c r="L1521" s="2" t="str">
        <x:v>에코시안_배윤빈, 조혜민</x:v>
      </x:c>
      <x:c r="M1521" s="2"/>
      <x:c r="N1521" s="8"/>
      <x:c r="O1521" s="2"/>
      <x:c r="P1521" s="2"/>
      <x:c r="Q1521" s="2" t="str">
        <x:v>산업전환_외부사업관리Tool_260707_이너젠 수정_LJY_261013.xlsx</x:v>
      </x:c>
      <x:c r="R1521" s="2" t="str">
        <x:v>국외평가</x:v>
      </x:c>
      <x:c r="S1521" s="8" t="n">
        <x:v>145</x:v>
      </x:c>
      <x:c r="T1521" s="2" t="str">
        <x:v>2021-08-03T00:00:00</x:v>
      </x:c>
      <x:c r="U1521" s="2" t="str">
        <x:v>2021 지정: 2021-08-03T00:00:00 / 2022 지정: (4/19)</x:v>
      </x:c>
      <x:c r="V1521" s="2" t="str">
        <x:v>2022-08-03</x:v>
      </x:c>
      <x:c r="W1521" s="2" t="str"/>
      <x:c r="X1521" s="2" t="str">
        <x:v>종결 근거 보관</x:v>
      </x:c>
      <x:c r="Y1521" s="2" t="str">
        <x:v>ad210cd9ec132cfd447541c8984dc53d30aff0f4fb2dc92d254d49275cc55976</x:v>
      </x:c>
      <x:c r="Z1521" s="2" t="n">
        <x:f>SUBTOTAL(103,A1521)</x:f>
        <x:v>1</x:v>
      </x:c>
      <x:c r="AA1521" s="2" t="str">
        <x:f>IF(K1521&lt;&gt;"미종결 표시","대상 아님",IF(N1521="","신청일 확인",IF(NOT(ISNUMBER('종합 현황'!$H$5)),"관찰기준 확인",IF('종합 현황'!$H$5&lt;1,"관찰기준 확인",IF(N1521&gt;'종합 현황'!$H$5,"내부 관찰 대상","내부 관찰일 이하")))))</x:f>
        <x:v>대상 아님</x:v>
      </x:c>
      <x:c r="AB1521" s="2" t="str">
        <x:v>2020-12-10 22:43:25 - 신규신청 - 신청 
2020-12-10 22:43:25 - 관장기관 지정 - 환경부
2020-12-14 09:23:55 - 관장기관 지정 - 산업통상자원부
2021-01-12 09:47:42 - 신규신청 - 문서재제출요청 
2021-01-31 15:46:50 - 재제출신청 - 신청 
2021-02-25 14:29:00 - 재제출신청 - 문서재제출요청 
2021-03-19 11:08:52 - 재제출신청 - 신청 
2021-03-23 17:50:12 - 재제출신청 - 문서재제출요청 
2021-03-24 00:54:24 - 재제출신청 - 신청 
2021-03-25 13:09:09 - 재제출신청 - 문서재제출요청 
2021-03-25 14:34:31 - 재제출신청 - 신청 
2021-03-25 16:39:24 - 재제출신청 - 문서재제출요청 
2021-03-25 17:17:36 - 재제출신청 - 신청 
2021-06-09 15:36:18 - 재제출신청 - 문서재제출요청 
2021-07-29 17:23:45 - 재제출신청 - 신청 
2021-07-29 17:25:40 - 재제출신청 - 문서재제출요청 
2022-04-17 23:50:47 - 재제출신청 - 신청 
2022-05-19 14:21:14 - 재제출신청 - 문서재제출요청 
2022-05-22 23:10:12 - 재제출신청 - 신청 
2022-06-03 10:21:07 - 재제출신청 - 문서재제출요청 
2022-06-03 10:56:15 - 재제출신청 - 신청 
2022-07-05 17:43:04 - 재제출신청 - 평가승인 
2022-07-05 17:43:23 - 재제출신청 - 심의승인 
2022-08-03 22:38:30 - 재제출신청 - 착수신고 
</x:v>
      </x:c>
    </x:row>
    <x:row r="1522" ht="42" customHeight="1">
      <x:c r="A1522" s="2" t="str">
        <x:v>6ca47097ebc5c1aca80e302b</x:v>
      </x:c>
      <x:c r="B1522" s="2" t="str">
        <x:v>사업 평가</x:v>
      </x:c>
      <x:c r="C1522" s="2" t="str">
        <x:v>국외</x:v>
      </x:c>
      <x:c r="D1522" s="7" t="str">
        <x:v>인도 청정에너지 기기 보급 사업 (PoA 9181-CPA 27)</x:v>
      </x:c>
      <x:c r="E1522" s="2" t="str">
        <x:v>153</x:v>
      </x:c>
      <x:c r="F1522" s="2" t="str">
        <x:v>2020-12</x:v>
      </x:c>
      <x:c r="G1522" s="2" t="str">
        <x:v>2020</x:v>
      </x:c>
      <x:c r="H1522" s="2" t="str">
        <x:v>12</x:v>
      </x:c>
      <x:c r="I1522" s="2" t="str">
        <x:v>승인</x:v>
      </x:c>
      <x:c r="J1522" s="2" t="str">
        <x:v>심의승인</x:v>
      </x:c>
      <x:c r="K1522" s="2" t="str">
        <x:f>IF(OR(J1522="심의승인",J1522="반려",J1522="반려완료",J1522="심의완료"),"종결 표시",IF(OR(J1522="기후부협의",J1522="문서재제출요청",J1522="보류",J1522="보완요청",J1522="보완완료",J1522="평가중",J1522="반려요청",J1522="평가필요",LEFT(J1522,5)="보완요청("),"미종결 표시","상태 확인 필요"))</x:f>
        <x:v>종결 표시</x:v>
      </x:c>
      <x:c r="L1522" s="2" t="str">
        <x:v>에코시안_배윤빈, 조혜민</x:v>
      </x:c>
      <x:c r="M1522" s="2"/>
      <x:c r="N1522" s="8"/>
      <x:c r="O1522" s="2"/>
      <x:c r="P1522" s="2"/>
      <x:c r="Q1522" s="2" t="str">
        <x:v>산업전환_외부사업관리Tool_260707_이너젠 수정_LJY_261013.xlsx</x:v>
      </x:c>
      <x:c r="R1522" s="2" t="str">
        <x:v>국외평가</x:v>
      </x:c>
      <x:c r="S1522" s="8" t="n">
        <x:v>146</x:v>
      </x:c>
      <x:c r="T1522" s="2" t="str">
        <x:v>2021-08-03T00:00:00</x:v>
      </x:c>
      <x:c r="U1522" s="2" t="str">
        <x:v>2021 지정: 2021-08-03T00:00:00 / 2022 지정: (4/19)</x:v>
      </x:c>
      <x:c r="V1522" s="2" t="str">
        <x:v>2022-08-03</x:v>
      </x:c>
      <x:c r="W1522" s="2" t="str"/>
      <x:c r="X1522" s="2" t="str">
        <x:v>종결 근거 보관</x:v>
      </x:c>
      <x:c r="Y1522" s="2" t="str">
        <x:v>ad210cd9ec132cfd447541c8984dc53d30aff0f4fb2dc92d254d49275cc55976</x:v>
      </x:c>
      <x:c r="Z1522" s="2" t="n">
        <x:f>SUBTOTAL(103,A1522)</x:f>
        <x:v>1</x:v>
      </x:c>
      <x:c r="AA1522" s="2" t="str">
        <x:f>IF(K1522&lt;&gt;"미종결 표시","대상 아님",IF(N1522="","신청일 확인",IF(NOT(ISNUMBER('종합 현황'!$H$5)),"관찰기준 확인",IF('종합 현황'!$H$5&lt;1,"관찰기준 확인",IF(N1522&gt;'종합 현황'!$H$5,"내부 관찰 대상","내부 관찰일 이하")))))</x:f>
        <x:v>대상 아님</x:v>
      </x:c>
      <x:c r="AB1522" s="2" t="str">
        <x:v>2020-12-10 22:43:35 - 신규신청 - 신청 
2020-12-10 22:43:35 - 관장기관 지정 - 환경부
2020-12-14 09:23:49 - 관장기관 지정 - 산업통상자원부
2021-01-12 09:47:07 - 신규신청 - 문서재제출요청 
2021-01-31 15:46:44 - 재제출신청 - 신청 
2021-02-25 15:37:06 - 재제출신청 - 문서재제출요청 
2021-03-19 11:00:16 - 재제출신청 - 신청 
2021-03-23 17:50:32 - 재제출신청 - 문서재제출요청 
2021-03-24 01:01:18 - 재제출신청 - 신청 
2021-03-24 01:07:36 - 재제출신청 - 신청 
2021-03-25 13:08:47 - 재제출신청 - 문서재제출요청 
2021-03-25 14:34:51 - 재제출신청 - 신청 
2021-03-25 16:39:07 - 재제출신청 - 문서재제출요청 
2021-03-25 17:23:58 - 재제출신청 - 신청 
2021-06-09 15:30:16 - 재제출신청 - 문서재제출요청 
2021-07-29 17:23:30 - 재제출신청 - 신청 
2021-07-29 17:26:28 - 재제출신청 - 문서재제출요청 
2022-04-17 23:50:33 - 재제출신청 - 신청 
2022-05-19 14:21:40 - 재제출신청 - 문서재제출요청 
2022-05-22 23:11:22 - 재제출신청 - 신청 
2022-05-25 09:44:03 - 재제출신청 - 문서재제출요청 
2022-05-25 10:32:27 - 재제출신청 - 신청 
2022-06-03 10:21:29 - 재제출신청 - 문서재제출요청 
2022-06-03 10:57:01 - 재제출신청 - 신청 
2022-07-05 17:42:16 - 재제출신청 - 평가승인 
2022-07-05 17:42:39 - 재제출신청 - 심의승인 
2022-08-03 22:38:48 - 재제출신청 - 착수신고 
</x:v>
      </x:c>
    </x:row>
    <x:row r="1523" ht="42" customHeight="1">
      <x:c r="A1523" s="2" t="str">
        <x:v>1b068c54efae75158163b172</x:v>
      </x:c>
      <x:c r="B1523" s="2" t="str">
        <x:v>사업 평가</x:v>
      </x:c>
      <x:c r="C1523" s="2" t="str">
        <x:v>국외</x:v>
      </x:c>
      <x:c r="D1523" s="7" t="str">
        <x:v>인도 청정에너지 기기 보급 사업 (PoA 9181-CPA 28)</x:v>
      </x:c>
      <x:c r="E1523" s="2" t="str">
        <x:v>154</x:v>
      </x:c>
      <x:c r="F1523" s="2" t="str">
        <x:v>2020-12</x:v>
      </x:c>
      <x:c r="G1523" s="2" t="str">
        <x:v>2020</x:v>
      </x:c>
      <x:c r="H1523" s="2" t="str">
        <x:v>12</x:v>
      </x:c>
      <x:c r="I1523" s="2" t="str">
        <x:v>승인</x:v>
      </x:c>
      <x:c r="J1523" s="2" t="str">
        <x:v>심의승인</x:v>
      </x:c>
      <x:c r="K1523" s="2" t="str">
        <x:f>IF(OR(J1523="심의승인",J1523="반려",J1523="반려완료",J1523="심의완료"),"종결 표시",IF(OR(J1523="기후부협의",J1523="문서재제출요청",J1523="보류",J1523="보완요청",J1523="보완완료",J1523="평가중",J1523="반려요청",J1523="평가필요",LEFT(J1523,5)="보완요청("),"미종결 표시","상태 확인 필요"))</x:f>
        <x:v>종결 표시</x:v>
      </x:c>
      <x:c r="L1523" s="2" t="str">
        <x:v>에코시안_배윤빈, 조혜민</x:v>
      </x:c>
      <x:c r="M1523" s="2"/>
      <x:c r="N1523" s="8"/>
      <x:c r="O1523" s="2"/>
      <x:c r="P1523" s="2"/>
      <x:c r="Q1523" s="2" t="str">
        <x:v>산업전환_외부사업관리Tool_260707_이너젠 수정_LJY_261013.xlsx</x:v>
      </x:c>
      <x:c r="R1523" s="2" t="str">
        <x:v>국외평가</x:v>
      </x:c>
      <x:c r="S1523" s="8" t="n">
        <x:v>147</x:v>
      </x:c>
      <x:c r="T1523" s="2" t="str">
        <x:v>2021-08-03T00:00:00</x:v>
      </x:c>
      <x:c r="U1523" s="2" t="str">
        <x:v>2021 지정: 2021-08-03T00:00:00 / 2022 지정: (3/16),(4/19)</x:v>
      </x:c>
      <x:c r="V1523" s="2" t="str">
        <x:v>2022-08-03</x:v>
      </x:c>
      <x:c r="W1523" s="2" t="str"/>
      <x:c r="X1523" s="2" t="str">
        <x:v>종결 근거 보관</x:v>
      </x:c>
      <x:c r="Y1523" s="2" t="str">
        <x:v>ad210cd9ec132cfd447541c8984dc53d30aff0f4fb2dc92d254d49275cc55976</x:v>
      </x:c>
      <x:c r="Z1523" s="2" t="n">
        <x:f>SUBTOTAL(103,A1523)</x:f>
        <x:v>1</x:v>
      </x:c>
      <x:c r="AA1523" s="2" t="str">
        <x:f>IF(K1523&lt;&gt;"미종결 표시","대상 아님",IF(N1523="","신청일 확인",IF(NOT(ISNUMBER('종합 현황'!$H$5)),"관찰기준 확인",IF('종합 현황'!$H$5&lt;1,"관찰기준 확인",IF(N1523&gt;'종합 현황'!$H$5,"내부 관찰 대상","내부 관찰일 이하")))))</x:f>
        <x:v>대상 아님</x:v>
      </x:c>
      <x:c r="AB1523" s="2" t="str">
        <x:v>2020-12-10 22:43:51 - 신규신청 - 신청 
2020-12-10 22:43:51 - 관장기관 지정 - 환경부
2020-12-14 09:23:42 - 관장기관 지정 - 산업통상자원부
2021-01-12 09:40:25 - 신규신청 - 문서재제출요청 
2021-01-31 15:46:38 - 재제출신청 - 신청 
2021-02-25 15:38:15 - 재제출신청 - 문서재제출요청 
2021-03-19 10:44:19 - 재제출신청 - 신청 
2021-03-23 17:51:59 - 재제출신청 - 문서재제출요청 
2021-03-24 01:13:32 - 재제출신청 - 신청 
2021-03-25 13:08:16 - 재제출신청 - 문서재제출요청 
2021-03-25 14:35:06 - 재제출신청 - 신청 
2021-03-25 16:38:49 - 재제출신청 - 문서재제출요청 
2021-03-25 17:24:29 - 재제출신청 - 신청 
2021-06-09 15:33:35 - 재제출신청 - 문서재제출요청 
2021-07-29 17:23:38 - 재제출신청 - 신청 
2021-07-29 17:25:57 - 재제출신청 - 문서재제출요청 
2022-02-21 23:38:24 - 재제출신청 - 신청 
2022-04-17 23:50:26 - 재제출신청 - 신청 
2022-05-19 14:22:06 - 재제출신청 - 문서재제출요청 
2022-05-22 23:18:43 - 재제출신청 - 신청 
2022-06-03 10:21:42 - 재제출신청 - 문서재제출요청 
2022-06-03 10:57:32 - 재제출신청 - 신청 
2022-07-05 17:41:19 - 재제출신청 - 평가승인 
2022-07-05 17:41:41 - 재제출신청 - 심의승인 
2022-08-03 22:39:08 - 재제출신청 - 착수신고 
</x:v>
      </x:c>
    </x:row>
    <x:row r="1524" ht="42" customHeight="1">
      <x:c r="A1524" s="2" t="str">
        <x:v>0a0a61a29d43d141885e583c</x:v>
      </x:c>
      <x:c r="B1524" s="2" t="str">
        <x:v>사업 평가</x:v>
      </x:c>
      <x:c r="C1524" s="2" t="str">
        <x:v>국외</x:v>
      </x:c>
      <x:c r="D1524" s="7" t="str">
        <x:v>왐푸 수력발전사업</x:v>
      </x:c>
      <x:c r="E1524" s="2" t="str">
        <x:v>146</x:v>
      </x:c>
      <x:c r="F1524" s="2" t="str">
        <x:v>2020-09</x:v>
      </x:c>
      <x:c r="G1524" s="2" t="str">
        <x:v>2020</x:v>
      </x:c>
      <x:c r="H1524" s="2" t="str">
        <x:v>09</x:v>
      </x:c>
      <x:c r="I1524" s="2" t="str">
        <x:v>승인</x:v>
      </x:c>
      <x:c r="J1524" s="2" t="str">
        <x:v>심의승인</x:v>
      </x:c>
      <x:c r="K1524" s="2" t="str">
        <x:f>IF(OR(J1524="심의승인",J1524="반려",J1524="반려완료",J1524="심의완료"),"종결 표시",IF(OR(J1524="기후부협의",J1524="문서재제출요청",J1524="보류",J1524="보완요청",J1524="보완완료",J1524="평가중",J1524="반려요청",J1524="평가필요",LEFT(J1524,5)="보완요청("),"미종결 표시","상태 확인 필요"))</x:f>
        <x:v>종결 표시</x:v>
      </x:c>
      <x:c r="L1524" s="2" t="str">
        <x:v>KECM&gt;KRIC</x:v>
      </x:c>
      <x:c r="M1524" s="2"/>
      <x:c r="N1524" s="8"/>
      <x:c r="O1524" s="2"/>
      <x:c r="P1524" s="2" t="str">
        <x:v>사명변경 관장기관 처리</x:v>
      </x:c>
      <x:c r="Q1524" s="2" t="str">
        <x:v>산업전환_외부사업관리Tool_260707_이너젠 수정_LJY_261013.xlsx</x:v>
      </x:c>
      <x:c r="R1524" s="2" t="str">
        <x:v>국외평가</x:v>
      </x:c>
      <x:c r="S1524" s="8" t="n">
        <x:v>148</x:v>
      </x:c>
      <x:c r="T1524" s="2" t="str">
        <x:v>2021-07-16T00:00:00</x:v>
      </x:c>
      <x:c r="U1524" s="2" t="str">
        <x:v>2021 지정: 2021-07-16T00:00:00 / 2021 지정(2): (04.23 / 07.16) / 2023 지정: (4/21)</x:v>
      </x:c>
      <x:c r="V1524" s="2" t="str">
        <x:v>2023-06-05</x:v>
      </x:c>
      <x:c r="W1524" s="2" t="str"/>
      <x:c r="X1524" s="2" t="str">
        <x:v>종결 근거 보관</x:v>
      </x:c>
      <x:c r="Y1524" s="2" t="str">
        <x:v>ad210cd9ec132cfd447541c8984dc53d30aff0f4fb2dc92d254d49275cc55976</x:v>
      </x:c>
      <x:c r="Z1524" s="2" t="n">
        <x:f>SUBTOTAL(103,A1524)</x:f>
        <x:v>1</x:v>
      </x:c>
      <x:c r="AA1524" s="2" t="str">
        <x:f>IF(K1524&lt;&gt;"미종결 표시","대상 아님",IF(N1524="","신청일 확인",IF(NOT(ISNUMBER('종합 현황'!$H$5)),"관찰기준 확인",IF('종합 현황'!$H$5&lt;1,"관찰기준 확인",IF(N1524&gt;'종합 현황'!$H$5,"내부 관찰 대상","내부 관찰일 이하")))))</x:f>
        <x:v>대상 아님</x:v>
      </x:c>
      <x:c r="AB1524" s="2" t="str">
        <x:v>2020-09-18 16:21:34 - 신규신청 - 신청 
2020-09-18 16:21:34 - 관장기관 지정 - 환경부
2020-09-22 13:12:50 - 관장기관 지정 - 산업통상자원부
2020-10-14 11:29:36 - 신규신청 - 문서재제출요청 
2020-12-17 11:22:26 - 재제출신청 - 접수 
2020-12-18 13:07:59 - 재제출신청 - 신청 
2021-03-30 15:57:22 - 재제출신청 - 문서재제출요청 
2021-04-13 11:38:52 - 재제출신청 - 접수 
2021-04-13 13:04:52 - 재제출신청 - 신청 
2021-05-14 15:12:04 - 재제출신청 - 문서재제출요청 
2021-05-24 16:31:43 - 재제출신청 - 접수 
2021-05-24 16:35:15 - 재제출신청 - 신청 
2021-06-29 18:13:19 - 재제출신청 - 문서재제출요청 
2021-06-30 12:01:54 - 재제출신청 - 접수 
2021-06-30 13:10:37 - 재제출신청 - 신청 
2021-09-27 11:48:49 - 재제출신청 - 평가승인 
2021-09-27 11:49:19 - 재제출신청 - 심의승인 
2021-09-28 13:47:37 - 재제출신청 - 착수신고 
2023-04-06 14:11:56 - 사업변경 신청 - 접수 
2023-04-07 08:22:36 - 사업변경 신청 - 신청 
2023-06-02 15:06:21 - 사업변경 신청 - 문서재제출요청 
2023-06-02 16:30:02 - 사업변경 재제출신청 - 접수 
2023-06-02 23:15:24 - 사업변경 재제출신청 - 신청 
2023-06-05 15:06:48 - 사업변경 재제출신청 - 평가승인 
2023-06-05 15:25:13 - 사업변경 재제출신청 - 심의승인 
</x:v>
      </x:c>
    </x:row>
    <x:row r="1525" ht="42" customHeight="1">
      <x:c r="A1525" s="2" t="str">
        <x:v>5253a0282e1024ad60a9e553</x:v>
      </x:c>
      <x:c r="B1525" s="2" t="str">
        <x:v>사업 평가</x:v>
      </x:c>
      <x:c r="C1525" s="2" t="str">
        <x:v>국외</x:v>
      </x:c>
      <x:c r="D1525" s="7" t="str">
        <x:v>70MW 태양광 발전 프로젝트(Ba Ria - Vung Tau, Vietnam)</x:v>
      </x:c>
      <x:c r="E1525" s="2" t="str">
        <x:v>147</x:v>
      </x:c>
      <x:c r="F1525" s="2" t="str">
        <x:v>2020-09</x:v>
      </x:c>
      <x:c r="G1525" s="2" t="str">
        <x:v>2020</x:v>
      </x:c>
      <x:c r="H1525" s="2" t="str">
        <x:v>09</x:v>
      </x:c>
      <x:c r="I1525" s="2" t="str">
        <x:v>승인</x:v>
      </x:c>
      <x:c r="J1525" s="2" t="str">
        <x:v>심의승인</x:v>
      </x:c>
      <x:c r="K1525" s="2" t="str">
        <x:f>IF(OR(J1525="심의승인",J1525="반려",J1525="반려완료",J1525="심의완료"),"종결 표시",IF(OR(J1525="기후부협의",J1525="문서재제출요청",J1525="보류",J1525="보완요청",J1525="보완완료",J1525="평가중",J1525="반려요청",J1525="평가필요",LEFT(J1525,5)="보완요청("),"미종결 표시","상태 확인 필요"))</x:f>
        <x:v>종결 표시</x:v>
      </x:c>
      <x:c r="L1525" s="2"/>
      <x:c r="M1525" s="2"/>
      <x:c r="N1525" s="8"/>
      <x:c r="O1525" s="2"/>
      <x:c r="P1525" s="2"/>
      <x:c r="Q1525" s="2" t="str">
        <x:v>산업전환_외부사업관리Tool_260707_이너젠 수정_LJY_261013.xlsx</x:v>
      </x:c>
      <x:c r="R1525" s="2" t="str">
        <x:v>국외평가</x:v>
      </x:c>
      <x:c r="S1525" s="8" t="n">
        <x:v>149</x:v>
      </x:c>
      <x:c r="T1525" s="2"/>
      <x:c r="U1525" s="2" t="str"/>
      <x:c r="V1525" s="2" t="str">
        <x:v>2021-06-30</x:v>
      </x:c>
      <x:c r="W1525" s="2" t="str">
        <x:v>담당기관 확인</x:v>
      </x:c>
      <x:c r="X1525" s="2" t="str">
        <x:v>원본·배정 기록 확인</x:v>
      </x:c>
      <x:c r="Y1525" s="2" t="str">
        <x:v>ad210cd9ec132cfd447541c8984dc53d30aff0f4fb2dc92d254d49275cc55976</x:v>
      </x:c>
      <x:c r="Z1525" s="2" t="n">
        <x:f>SUBTOTAL(103,A1525)</x:f>
        <x:v>1</x:v>
      </x:c>
      <x:c r="AA1525" s="2" t="str">
        <x:f>IF(K1525&lt;&gt;"미종결 표시","대상 아님",IF(N1525="","신청일 확인",IF(NOT(ISNUMBER('종합 현황'!$H$5)),"관찰기준 확인",IF('종합 현황'!$H$5&lt;1,"관찰기준 확인",IF(N1525&gt;'종합 현황'!$H$5,"내부 관찰 대상","내부 관찰일 이하")))))</x:f>
        <x:v>대상 아님</x:v>
      </x:c>
      <x:c r="AB1525" s="2" t="str">
        <x:v>2020-09-24 15:01:40 - 신규신청 - 신청 
2020-09-24 15:01:40 - 관장기관 지정 - 환경부
2020-09-25 17:00:04 - 관장기관 지정 - 산업통상자원부
2020-10-15 09:28:45 - 신규신청 - 문서재제출요청 
2020-11-04 17:18:56 - 재제출신청 - 신청 
2020-12-16 09:52:40 - 재제출신청 - 문서재제출요청 
2020-12-21 13:31:32 - 재제출신청 - 신청 
2021-03-25 10:25:37 - 재제출신청 - 문서재제출요청 
2021-03-25 10:57:42 - 재제출신청 - 신청 
2021-06-30 16:01:20 - 재제출신청 - 평가승인 
2021-06-30 16:02:05 - 재제출신청 - 심의승인 
2021-06-30 17:32:28 - 재제출신청 - 착수신고 
</x:v>
      </x:c>
    </x:row>
    <x:row r="1526" ht="42" customHeight="1">
      <x:c r="A1526" s="2" t="str">
        <x:v>b6c2348db04ad1bd1d1755ac</x:v>
      </x:c>
      <x:c r="B1526" s="2" t="str">
        <x:v>사업 평가</x:v>
      </x:c>
      <x:c r="C1526" s="2" t="str">
        <x:v>국외</x:v>
      </x:c>
      <x:c r="D1526" s="7" t="str">
        <x:v>스망까 수력 CDM 사업</x:v>
      </x:c>
      <x:c r="E1526" s="2" t="str">
        <x:v>148</x:v>
      </x:c>
      <x:c r="F1526" s="2" t="str">
        <x:v>2020-11</x:v>
      </x:c>
      <x:c r="G1526" s="2" t="str">
        <x:v>2020</x:v>
      </x:c>
      <x:c r="H1526" s="2" t="str">
        <x:v>11</x:v>
      </x:c>
      <x:c r="I1526" s="2" t="str">
        <x:v>승인</x:v>
      </x:c>
      <x:c r="J1526" s="2" t="str">
        <x:v>심의승인</x:v>
      </x:c>
      <x:c r="K1526" s="2" t="str">
        <x:f>IF(OR(J1526="심의승인",J1526="반려",J1526="반려완료",J1526="심의완료"),"종결 표시",IF(OR(J1526="기후부협의",J1526="문서재제출요청",J1526="보류",J1526="보완요청",J1526="보완완료",J1526="평가중",J1526="반려요청",J1526="평가필요",LEFT(J1526,5)="보완요청("),"미종결 표시","상태 확인 필요"))</x:f>
        <x:v>종결 표시</x:v>
      </x:c>
      <x:c r="L1526" s="2" t="str">
        <x:v>KECM</x:v>
      </x:c>
      <x:c r="M1526" s="2"/>
      <x:c r="N1526" s="8"/>
      <x:c r="O1526" s="2"/>
      <x:c r="P1526" s="2"/>
      <x:c r="Q1526" s="2" t="str">
        <x:v>산업전환_외부사업관리Tool_260707_이너젠 수정_LJY_261013.xlsx</x:v>
      </x:c>
      <x:c r="R1526" s="2" t="str">
        <x:v>국외평가</x:v>
      </x:c>
      <x:c r="S1526" s="8" t="n">
        <x:v>150</x:v>
      </x:c>
      <x:c r="T1526" s="2" t="str">
        <x:v>2021-07-16T00:00:00</x:v>
      </x:c>
      <x:c r="U1526" s="2" t="str">
        <x:v>2021 지정: 2021-07-16T00:00:00 / 2021 지정(2): (04.23 / 07.16)</x:v>
      </x:c>
      <x:c r="V1526" s="2" t="str">
        <x:v>2021-09-28</x:v>
      </x:c>
      <x:c r="W1526" s="2" t="str"/>
      <x:c r="X1526" s="2" t="str">
        <x:v>종결 근거 보관</x:v>
      </x:c>
      <x:c r="Y1526" s="2" t="str">
        <x:v>ad210cd9ec132cfd447541c8984dc53d30aff0f4fb2dc92d254d49275cc55976</x:v>
      </x:c>
      <x:c r="Z1526" s="2" t="n">
        <x:f>SUBTOTAL(103,A1526)</x:f>
        <x:v>1</x:v>
      </x:c>
      <x:c r="AA1526" s="2" t="str">
        <x:f>IF(K1526&lt;&gt;"미종결 표시","대상 아님",IF(N1526="","신청일 확인",IF(NOT(ISNUMBER('종합 현황'!$H$5)),"관찰기준 확인",IF('종합 현황'!$H$5&lt;1,"관찰기준 확인",IF(N1526&gt;'종합 현황'!$H$5,"내부 관찰 대상","내부 관찰일 이하")))))</x:f>
        <x:v>대상 아님</x:v>
      </x:c>
      <x:c r="AB1526" s="2" t="str">
        <x:v>2020-11-24 13:24:35 - 신규신청 - 접수 
2020-11-24 13:24:35 - 관장기관 지정 - 환경부
2020-11-24 13:27:27 - 신규신청 - 신청 
2020-11-24 18:04:15 - 관장기관 지정 - 산업통상자원부
2020-12-18 10:53:31 - 신규신청 - 문서재제출요청 
2021-01-14 09:03:29 - 재제출신청 - 접수 
2021-01-14 09:15:33 - 재제출신청 - 신청 
2021-03-08 14:05:05 - 재제출신청 - 문서재제출요청 
2021-04-05 13:11:27 - 재제출신청 - 접수 
2021-04-05 13:27:38 - 재제출신청 - 신청 
2021-05-24 18:01:47 - 재제출신청 - 문서재제출요청 
2021-05-24 18:20:20 - 재제출신청 - 접수 
2021-05-25 08:26:48 - 재제출신청 - 신청 
2021-07-13 10:20:24 - 재제출신청 - 보완요청 
2021-07-22 15:51:19 - 보완신청 - 접수 
2021-07-22 16:59:34 - 보완신청 - 신청 
2021-09-27 11:31:27 - 보완신청 - 평가승인 
2021-09-27 11:32:02 - 보완신청 - 심의승인 
2021-09-28 08:54:33 - 보완신청 - 착수신고 
</x:v>
      </x:c>
    </x:row>
    <x:row r="1527" ht="42" customHeight="1">
      <x:c r="A1527" s="2" t="str">
        <x:v>d77e3440801019c43079705f</x:v>
      </x:c>
      <x:c r="B1527" s="2" t="str">
        <x:v>사업 평가</x:v>
      </x:c>
      <x:c r="C1527" s="2" t="str">
        <x:v>국외</x:v>
      </x:c>
      <x:c r="D1527" s="7" t="str">
        <x:v>CPA-0001: KOKO 케냐 에탄올 쿡스토브 프로그램</x:v>
      </x:c>
      <x:c r="E1527" s="2" t="str">
        <x:v>149</x:v>
      </x:c>
      <x:c r="F1527" s="2" t="str">
        <x:v>2020-12</x:v>
      </x:c>
      <x:c r="G1527" s="2" t="str">
        <x:v>2020</x:v>
      </x:c>
      <x:c r="H1527" s="2" t="str">
        <x:v>12</x:v>
      </x:c>
      <x:c r="I1527" s="2" t="str">
        <x:v>승인</x:v>
      </x:c>
      <x:c r="J1527" s="2" t="str">
        <x:v>심의승인</x:v>
      </x:c>
      <x:c r="K1527" s="2" t="str">
        <x:f>IF(OR(J1527="심의승인",J1527="반려",J1527="반려완료",J1527="심의완료"),"종결 표시",IF(OR(J1527="기후부협의",J1527="문서재제출요청",J1527="보류",J1527="보완요청",J1527="보완완료",J1527="평가중",J1527="반려요청",J1527="평가필요",LEFT(J1527,5)="보완요청("),"미종결 표시","상태 확인 필요"))</x:f>
        <x:v>종결 표시</x:v>
      </x:c>
      <x:c r="L1527" s="2"/>
      <x:c r="M1527" s="2"/>
      <x:c r="N1527" s="8"/>
      <x:c r="O1527" s="2"/>
      <x:c r="P1527" s="2"/>
      <x:c r="Q1527" s="2" t="str">
        <x:v>산업전환_외부사업관리Tool_260707_이너젠 수정_LJY_261013.xlsx</x:v>
      </x:c>
      <x:c r="R1527" s="2" t="str">
        <x:v>국외평가</x:v>
      </x:c>
      <x:c r="S1527" s="8" t="n">
        <x:v>151</x:v>
      </x:c>
      <x:c r="T1527" s="2"/>
      <x:c r="U1527" s="2" t="str"/>
      <x:c r="V1527" s="2" t="str">
        <x:v>2021-06-30</x:v>
      </x:c>
      <x:c r="W1527" s="2" t="str">
        <x:v>담당기관 확인</x:v>
      </x:c>
      <x:c r="X1527" s="2" t="str">
        <x:v>원본·배정 기록 확인</x:v>
      </x:c>
      <x:c r="Y1527" s="2" t="str">
        <x:v>ad210cd9ec132cfd447541c8984dc53d30aff0f4fb2dc92d254d49275cc55976</x:v>
      </x:c>
      <x:c r="Z1527" s="2" t="n">
        <x:f>SUBTOTAL(103,A1527)</x:f>
        <x:v>1</x:v>
      </x:c>
      <x:c r="AA1527" s="2" t="str">
        <x:f>IF(K1527&lt;&gt;"미종결 표시","대상 아님",IF(N1527="","신청일 확인",IF(NOT(ISNUMBER('종합 현황'!$H$5)),"관찰기준 확인",IF('종합 현황'!$H$5&lt;1,"관찰기준 확인",IF(N1527&gt;'종합 현황'!$H$5,"내부 관찰 대상","내부 관찰일 이하")))))</x:f>
        <x:v>대상 아님</x:v>
      </x:c>
      <x:c r="AB1527" s="2" t="str">
        <x:v>2020-12-10 15:41:17 - 신규신청 - 신청 
2020-12-10 15:41:17 - 관장기관 지정 - 환경부
2020-12-10 17:52:01 - 관장기관 지정 - 산업통상자원부
2020-12-18 13:57:39 - 신규신청 - 문서재제출요청 
2020-12-18 14:16:43 - 재제출신청 - 신청 
2021-01-25 09:41:22 - 재제출신청 - 문서재제출요청 
2021-03-10 18:07:49 - 재제출신청 - 신청 
2021-06-30 15:59:43 - 재제출신청 - 평가승인 
2021-06-30 16:00:14 - 재제출신청 - 심의승인 
2021-06-30 16:30:41 - 재제출신청 - 착수신고 
</x:v>
      </x:c>
    </x:row>
    <x:row r="1528" ht="42" customHeight="1">
      <x:c r="A1528" s="2" t="str">
        <x:v>fb2dfc44f9e1bb6a300196ad</x:v>
      </x:c>
      <x:c r="B1528" s="2" t="str">
        <x:v>사업 평가</x:v>
      </x:c>
      <x:c r="C1528" s="2" t="str">
        <x:v>국외</x:v>
      </x:c>
      <x:c r="D1528" s="7" t="str">
        <x:v>인도 청정에너지 기기 보급 사업 (PoA 9181-CPA 29)</x:v>
      </x:c>
      <x:c r="E1528" s="2" t="str">
        <x:v>155</x:v>
      </x:c>
      <x:c r="F1528" s="2" t="str">
        <x:v>2020-12</x:v>
      </x:c>
      <x:c r="G1528" s="2" t="str">
        <x:v>2020</x:v>
      </x:c>
      <x:c r="H1528" s="2" t="str">
        <x:v>12</x:v>
      </x:c>
      <x:c r="I1528" s="2" t="str">
        <x:v>승인</x:v>
      </x:c>
      <x:c r="J1528" s="2" t="str">
        <x:v>심의승인</x:v>
      </x:c>
      <x:c r="K1528" s="2" t="str">
        <x:f>IF(OR(J1528="심의승인",J1528="반려",J1528="반려완료",J1528="심의완료"),"종결 표시",IF(OR(J1528="기후부협의",J1528="문서재제출요청",J1528="보류",J1528="보완요청",J1528="보완완료",J1528="평가중",J1528="반려요청",J1528="평가필요",LEFT(J1528,5)="보완요청("),"미종결 표시","상태 확인 필요"))</x:f>
        <x:v>종결 표시</x:v>
      </x:c>
      <x:c r="L1528" s="2" t="str">
        <x:v>에코시안_배윤빈, 조혜민</x:v>
      </x:c>
      <x:c r="M1528" s="2"/>
      <x:c r="N1528" s="8"/>
      <x:c r="O1528" s="2"/>
      <x:c r="P1528" s="2"/>
      <x:c r="Q1528" s="2" t="str">
        <x:v>산업전환_외부사업관리Tool_260707_이너젠 수정_LJY_261013.xlsx</x:v>
      </x:c>
      <x:c r="R1528" s="2" t="str">
        <x:v>국외평가</x:v>
      </x:c>
      <x:c r="S1528" s="8" t="n">
        <x:v>152</x:v>
      </x:c>
      <x:c r="T1528" s="2" t="str">
        <x:v>2021-08-03T00:00:00</x:v>
      </x:c>
      <x:c r="U1528" s="2" t="str">
        <x:v>2021 지정: 2021-08-03T00:00:00 / 2022 지정: (4/19)</x:v>
      </x:c>
      <x:c r="V1528" s="2" t="str">
        <x:v>2022-08-03</x:v>
      </x:c>
      <x:c r="W1528" s="2" t="str"/>
      <x:c r="X1528" s="2" t="str">
        <x:v>종결 근거 보관</x:v>
      </x:c>
      <x:c r="Y1528" s="2" t="str">
        <x:v>ad210cd9ec132cfd447541c8984dc53d30aff0f4fb2dc92d254d49275cc55976</x:v>
      </x:c>
      <x:c r="Z1528" s="2" t="n">
        <x:f>SUBTOTAL(103,A1528)</x:f>
        <x:v>1</x:v>
      </x:c>
      <x:c r="AA1528" s="2" t="str">
        <x:f>IF(K1528&lt;&gt;"미종결 표시","대상 아님",IF(N1528="","신청일 확인",IF(NOT(ISNUMBER('종합 현황'!$H$5)),"관찰기준 확인",IF('종합 현황'!$H$5&lt;1,"관찰기준 확인",IF(N1528&gt;'종합 현황'!$H$5,"내부 관찰 대상","내부 관찰일 이하")))))</x:f>
        <x:v>대상 아님</x:v>
      </x:c>
      <x:c r="AB1528" s="2" t="str">
        <x:v>2020-12-10 22:44:03 - 신규신청 - 신청 
2020-12-10 22:44:03 - 관장기관 지정 - 환경부
2020-12-14 09:23:35 - 관장기관 지정 - 산업통상자원부
2021-01-12 09:40:01 - 신규신청 - 문서재제출요청 
2021-01-31 15:46:32 - 재제출신청 - 신청 
2021-02-25 11:28:02 - 재제출신청 - 문서재제출요청 
2021-03-19 11:22:01 - 재제출신청 - 신청 
2021-03-23 17:48:53 - 재제출신청 - 문서재제출요청 
2021-03-24 01:25:23 - 재제출신청 - 신청 
2021-03-24 01:27:41 - 재제출신청 - 신청 
2021-03-25 13:07:52 - 재제출신청 - 문서재제출요청 
2021-03-25 14:35:19 - 재제출신청 - 신청 
2021-03-25 16:38:28 - 재제출신청 - 문서재제출요청 
2021-03-25 17:28:27 - 재제출신청 - 신청 
2021-06-09 15:29:52 - 재제출신청 - 문서재제출요청 
2021-07-29 17:23:22 - 재제출신청 - 신청 
2021-07-29 17:31:51 - 재제출신청 - 문서재제출요청 
2022-02-21 23:42:29 - 재제출신청 - 신청 
2022-02-22 09:30:18 - 재제출신청 - 문서재제출요청 
2022-04-17 23:50:16 - 재제출신청 - 신청 
2022-05-19 14:22:24 - 재제출신청 - 문서재제출요청 
2022-05-22 23:28:32 - 재제출신청 - 신청 
2022-06-03 10:21:55 - 재제출신청 - 문서재제출요청 
2022-06-03 10:57:53 - 재제출신청 - 신청 
2022-07-05 17:40:13 - 재제출신청 - 평가승인 
2022-07-05 17:40:32 - 재제출신청 - 심의승인 
2022-08-03 22:37:48 - 재제출신청 - 착수신고 
</x:v>
      </x:c>
    </x:row>
    <x:row r="1529" ht="42" customHeight="1">
      <x:c r="A1529" s="2" t="str">
        <x:v>1fadf85978de780f6ef6951d</x:v>
      </x:c>
      <x:c r="B1529" s="2" t="str">
        <x:v>사업 평가</x:v>
      </x:c>
      <x:c r="C1529" s="2" t="str">
        <x:v>국외</x:v>
      </x:c>
      <x:c r="D1529" s="7" t="str">
        <x:v>인도 청정에너지 기기 보급 사업 (PoA 9181-CPA 30)</x:v>
      </x:c>
      <x:c r="E1529" s="2" t="str">
        <x:v>156</x:v>
      </x:c>
      <x:c r="F1529" s="2" t="str">
        <x:v>2020-12</x:v>
      </x:c>
      <x:c r="G1529" s="2" t="str">
        <x:v>2020</x:v>
      </x:c>
      <x:c r="H1529" s="2" t="str">
        <x:v>12</x:v>
      </x:c>
      <x:c r="I1529" s="2" t="str">
        <x:v>승인</x:v>
      </x:c>
      <x:c r="J1529" s="2" t="str">
        <x:v>심의승인</x:v>
      </x:c>
      <x:c r="K1529" s="2" t="str">
        <x:f>IF(OR(J1529="심의승인",J1529="반려",J1529="반려완료",J1529="심의완료"),"종결 표시",IF(OR(J1529="기후부협의",J1529="문서재제출요청",J1529="보류",J1529="보완요청",J1529="보완완료",J1529="평가중",J1529="반려요청",J1529="평가필요",LEFT(J1529,5)="보완요청("),"미종결 표시","상태 확인 필요"))</x:f>
        <x:v>종결 표시</x:v>
      </x:c>
      <x:c r="L1529" s="2" t="str">
        <x:v>에코시안_조혜민</x:v>
      </x:c>
      <x:c r="M1529" s="2"/>
      <x:c r="N1529" s="8"/>
      <x:c r="O1529" s="2"/>
      <x:c r="P1529" s="2"/>
      <x:c r="Q1529" s="2" t="str">
        <x:v>산업전환_외부사업관리Tool_260707_이너젠 수정_LJY_261013.xlsx</x:v>
      </x:c>
      <x:c r="R1529" s="2" t="str">
        <x:v>국외평가</x:v>
      </x:c>
      <x:c r="S1529" s="8" t="n">
        <x:v>153</x:v>
      </x:c>
      <x:c r="T1529" s="2" t="str">
        <x:v>2021-08-03T00:00:00</x:v>
      </x:c>
      <x:c r="U1529" s="2" t="str">
        <x:v>2021 지정: 2021-08-03T00:00:00 / 2021 지정(2): (12/10) / 2022 지정: (1/18),(2/9)</x:v>
      </x:c>
      <x:c r="V1529" s="2" t="str">
        <x:v>2022-05-22</x:v>
      </x:c>
      <x:c r="W1529" s="2" t="str"/>
      <x:c r="X1529" s="2" t="str">
        <x:v>종결 근거 보관</x:v>
      </x:c>
      <x:c r="Y1529" s="2" t="str">
        <x:v>ad210cd9ec132cfd447541c8984dc53d30aff0f4fb2dc92d254d49275cc55976</x:v>
      </x:c>
      <x:c r="Z1529" s="2" t="n">
        <x:f>SUBTOTAL(103,A1529)</x:f>
        <x:v>1</x:v>
      </x:c>
      <x:c r="AA1529" s="2" t="str">
        <x:f>IF(K1529&lt;&gt;"미종결 표시","대상 아님",IF(N1529="","신청일 확인",IF(NOT(ISNUMBER('종합 현황'!$H$5)),"관찰기준 확인",IF('종합 현황'!$H$5&lt;1,"관찰기준 확인",IF(N1529&gt;'종합 현황'!$H$5,"내부 관찰 대상","내부 관찰일 이하")))))</x:f>
        <x:v>대상 아님</x:v>
      </x:c>
      <x:c r="AB1529" s="2" t="str">
        <x:v>2020-12-10 22:45:10 - 신규신청 - 신청 
2020-12-10 22:45:10 - 관장기관 지정 - 환경부
2020-12-14 09:23:28 - 관장기관 지정 - 산업통상자원부
2021-01-12 09:39:32 - 신규신청 - 문서재제출요청 
2021-01-31 15:46:24 - 재제출신청 - 신청 
2021-02-25 11:08:04 - 재제출신청 - 문서재제출요청 
2021-03-19 11:33:10 - 재제출신청 - 신청 
2021-03-23 17:48:20 - 재제출신청 - 문서재제출요청 
2021-03-24 01:34:28 - 재제출신청 - 신청 
2021-03-25 13:07:28 - 재제출신청 - 문서재제출요청 
2021-03-25 14:35:30 - 재제출신청 - 신청 
2021-03-25 16:38:08 - 재제출신청 - 문서재제출요청 
2021-03-25 17:31:35 - 재제출신청 - 신청 
2021-06-09 15:29:21 - 재제출신청 - 문서재제출요청 
2021-07-29 17:23:13 - 재제출신청 - 신청 
2021-07-29 17:32:21 - 재제출신청 - 문서재제출요청 
2021-12-06 22:32:04 - 재제출신청 - 신청 
2021-12-17 17:35:23 - 재제출신청 - 문서재제출요청 
2022-01-10 22:22:26 - 재제출신청 - 신청 
2022-01-26 17:04:31 - 재제출신청 - 문서재제출요청 
2022-02-04 16:49:15 - 재제출신청 - 신청 
2022-04-13 16:48:26 - 재제출신청 - 평가승인 
2022-04-15 14:14:33 - 재제출신청 - 심의승인 
2022-05-22 23:29:20 - 재제출신청 - 착수신고 
</x:v>
      </x:c>
    </x:row>
    <x:row r="1530" ht="42" customHeight="1">
      <x:c r="A1530" s="2" t="str">
        <x:v>b1426f55c9992294f1d63234</x:v>
      </x:c>
      <x:c r="B1530" s="2" t="str">
        <x:v>사업 평가</x:v>
      </x:c>
      <x:c r="C1530" s="2" t="str">
        <x:v>국외</x:v>
      </x:c>
      <x:c r="D1530" s="7" t="str">
        <x:v>베트남 호아빈의 개선된 쿡스토브 사업 - CPA 002</x:v>
      </x:c>
      <x:c r="E1530" s="2" t="str">
        <x:v>94</x:v>
      </x:c>
      <x:c r="F1530" s="2" t="str">
        <x:v>2020-05</x:v>
      </x:c>
      <x:c r="G1530" s="2" t="str">
        <x:v>2020</x:v>
      </x:c>
      <x:c r="H1530" s="2" t="str">
        <x:v>05</x:v>
      </x:c>
      <x:c r="I1530" s="2" t="str">
        <x:v>승인</x:v>
      </x:c>
      <x:c r="J1530" s="2" t="str">
        <x:v>심의승인</x:v>
      </x:c>
      <x:c r="K1530" s="2" t="str">
        <x:f>IF(OR(J1530="심의승인",J1530="반려",J1530="반려완료",J1530="심의완료"),"종결 표시",IF(OR(J1530="기후부협의",J1530="문서재제출요청",J1530="보류",J1530="보완요청",J1530="보완완료",J1530="평가중",J1530="반려요청",J1530="평가필요",LEFT(J1530,5)="보완요청("),"미종결 표시","상태 확인 필요"))</x:f>
        <x:v>종결 표시</x:v>
      </x:c>
      <x:c r="L1530" s="2" t="str">
        <x:v>에코시안_조혜민 &gt; KRIC</x:v>
      </x:c>
      <x:c r="M1530" s="2"/>
      <x:c r="N1530" s="8"/>
      <x:c r="O1530" s="2"/>
      <x:c r="P1530" s="2" t="str">
        <x:v>7월 협의 요청, 9월 인증위 가능(5월 말 수정)</x:v>
      </x:c>
      <x:c r="Q1530" s="2" t="str">
        <x:v>산업전환_외부사업관리Tool_260707_이너젠 수정_LJY_261013.xlsx</x:v>
      </x:c>
      <x:c r="R1530" s="2" t="str">
        <x:v>국외평가</x:v>
      </x:c>
      <x:c r="S1530" s="8" t="n">
        <x:v>154</x:v>
      </x:c>
      <x:c r="T1530" s="2" t="str">
        <x:v>2021-10-20T00:00:00</x:v>
      </x:c>
      <x:c r="U1530" s="2" t="str">
        <x:v>2021 지정: 2021-10-20T00:00:00 / 2021 지정(2): (04/23, 07/16, 10/20) / 2022 지정: (1/18),(4/19),(6/10)</x:v>
      </x:c>
      <x:c r="V1530" s="2" t="str">
        <x:v>2022-10-11</x:v>
      </x:c>
      <x:c r="W1530" s="2" t="str"/>
      <x:c r="X1530" s="2" t="str">
        <x:v>종결 근거 보관</x:v>
      </x:c>
      <x:c r="Y1530" s="2" t="str">
        <x:v>ad210cd9ec132cfd447541c8984dc53d30aff0f4fb2dc92d254d49275cc55976</x:v>
      </x:c>
      <x:c r="Z1530" s="2" t="n">
        <x:f>SUBTOTAL(103,A1530)</x:f>
        <x:v>1</x:v>
      </x:c>
      <x:c r="AA1530" s="2" t="str">
        <x:f>IF(K1530&lt;&gt;"미종결 표시","대상 아님",IF(N1530="","신청일 확인",IF(NOT(ISNUMBER('종합 현황'!$H$5)),"관찰기준 확인",IF('종합 현황'!$H$5&lt;1,"관찰기준 확인",IF(N1530&gt;'종합 현황'!$H$5,"내부 관찰 대상","내부 관찰일 이하")))))</x:f>
        <x:v>대상 아님</x:v>
      </x:c>
      <x:c r="AB1530" s="2" t="str">
        <x:v>2020-05-21 17:34:23 - 신규신청 - 신청 
2020-05-21 17:34:23 - 관장기관 지정 - 환경부
2020-05-25 09:59:38 - 관장기관 지정 - 산업통상자원부
2020-05-27 13:37:04 - 신규신청 - 문서재제출요청 
2020-06-02 10:56:14 - 재제출신청 - 신청 
2020-07-08 11:09:19 - 재제출신청 - 문서재제출요청 
2020-12-09 17:40:49 - 재제출신청 - 신청 
2021-03-31 15:13:12 - 재제출신청 - 문서재제출요청 
2021-04-22 14:15:16 - 재제출신청 - 신청 
2021-05-25 15:37:08 - 재제출신청 - 보완요청 
2021-07-16 10:37:20 - 보완신청 - 신청 
2021-08-31 13:11:30 - 보완신청 - 문서재제출요청 
2021-10-15 15:33:55 - 재제출신청 - 신청 
2021-12-01 16:44:12 - 재제출신청 - 문서재제출요청 
2022-02-25 17:03:43 - 재제출신청 - 신청 
2022-03-02 14:49:00 - 재제출신청 - 문서재제출요청 
2022-03-29 18:10:08 - 재제출신청 - 신청 
2022-05-30 16:03:09 - 재제출신청 - 문서재제출요청 
2022-05-30 16:57:48 - 재제출신청 - 신청 
2022-05-30 17:44:15 - 재제출신청 - 문서재제출요청 
2022-05-30 17:45:15 - 재제출신청 - 신청 
2022-06-21 16:49:59 - 재제출신청 - 문서재제출요청 
2022-06-22 15:30:39 - 재제출신청 - 신청 
2022-10-07 17:41:40 - 재제출신청 - 평가승인 
2022-10-11 14:21:20 - 재제출신청 - 심의승인 
</x:v>
      </x:c>
    </x:row>
    <x:row r="1531" ht="42" customHeight="1">
      <x:c r="A1531" s="2" t="str">
        <x:v>fdcb38e86dfab72c925672f9</x:v>
      </x:c>
      <x:c r="B1531" s="2" t="str">
        <x:v>사업 평가</x:v>
      </x:c>
      <x:c r="C1531" s="2" t="str">
        <x:v>국외</x:v>
      </x:c>
      <x:c r="D1531" s="7" t="str">
        <x:v>베트남 푸토의 개선된 쿡스토브 사업 - CPA 003</x:v>
      </x:c>
      <x:c r="E1531" s="2" t="str">
        <x:v>95</x:v>
      </x:c>
      <x:c r="F1531" s="2" t="str">
        <x:v>2020-05</x:v>
      </x:c>
      <x:c r="G1531" s="2" t="str">
        <x:v>2020</x:v>
      </x:c>
      <x:c r="H1531" s="2" t="str">
        <x:v>05</x:v>
      </x:c>
      <x:c r="I1531" s="2" t="str">
        <x:v>승인</x:v>
      </x:c>
      <x:c r="J1531" s="2" t="str">
        <x:v>심의승인</x:v>
      </x:c>
      <x:c r="K1531" s="2" t="str">
        <x:f>IF(OR(J1531="심의승인",J1531="반려",J1531="반려완료",J1531="심의완료"),"종결 표시",IF(OR(J1531="기후부협의",J1531="문서재제출요청",J1531="보류",J1531="보완요청",J1531="보완완료",J1531="평가중",J1531="반려요청",J1531="평가필요",LEFT(J1531,5)="보완요청("),"미종결 표시","상태 확인 필요"))</x:f>
        <x:v>종결 표시</x:v>
      </x:c>
      <x:c r="L1531" s="2" t="str">
        <x:v>에코시안_기샛별,조혜민 &gt; KRIC</x:v>
      </x:c>
      <x:c r="M1531" s="2"/>
      <x:c r="N1531" s="8"/>
      <x:c r="O1531" s="2"/>
      <x:c r="P1531" s="2" t="str">
        <x:v>7월 협의 요청, SOP 인보이스 제출 필요</x:v>
      </x:c>
      <x:c r="Q1531" s="2" t="str">
        <x:v>산업전환_외부사업관리Tool_260707_이너젠 수정_LJY_261013.xlsx</x:v>
      </x:c>
      <x:c r="R1531" s="2" t="str">
        <x:v>국외평가</x:v>
      </x:c>
      <x:c r="S1531" s="8" t="n">
        <x:v>155</x:v>
      </x:c>
      <x:c r="T1531" s="2" t="str">
        <x:v>2021-11-02T00:00:00</x:v>
      </x:c>
      <x:c r="U1531" s="2" t="str">
        <x:v>2021 지정: 2021-11-02T00:00:00 / 2021 지정(2): (04.23 / 07.16, 11/2) / 2022 지정: (1/18),(4/19),(6/10)</x:v>
      </x:c>
      <x:c r="V1531" s="2" t="str">
        <x:v>2022-10-11</x:v>
      </x:c>
      <x:c r="W1531" s="2" t="str"/>
      <x:c r="X1531" s="2" t="str">
        <x:v>종결 근거 보관</x:v>
      </x:c>
      <x:c r="Y1531" s="2" t="str">
        <x:v>ad210cd9ec132cfd447541c8984dc53d30aff0f4fb2dc92d254d49275cc55976</x:v>
      </x:c>
      <x:c r="Z1531" s="2" t="n">
        <x:f>SUBTOTAL(103,A1531)</x:f>
        <x:v>1</x:v>
      </x:c>
      <x:c r="AA1531" s="2" t="str">
        <x:f>IF(K1531&lt;&gt;"미종결 표시","대상 아님",IF(N1531="","신청일 확인",IF(NOT(ISNUMBER('종합 현황'!$H$5)),"관찰기준 확인",IF('종합 현황'!$H$5&lt;1,"관찰기준 확인",IF(N1531&gt;'종합 현황'!$H$5,"내부 관찰 대상","내부 관찰일 이하")))))</x:f>
        <x:v>대상 아님</x:v>
      </x:c>
      <x:c r="AB1531" s="2" t="str">
        <x:v>2020-05-21 17:36:28 - 신규신청 - 신청 
2020-05-21 17:36:28 - 관장기관 지정 - 환경부
2020-05-25 09:59:47 - 관장기관 지정 - 산업통상자원부
2020-05-27 13:37:19 - 신규신청 - 문서재제출요청 
2020-06-02 10:57:29 - 재제출신청 - 신청 
2020-07-08 11:10:51 - 재제출신청 - 문서재제출요청 
2020-12-09 17:41:08 - 재제출신청 - 신청 
2021-03-31 15:13:33 - 재제출신청 - 문서재제출요청 
2021-04-22 14:15:26 - 재제출신청 - 신청 
2021-05-25 15:37:56 - 재제출신청 - 보완요청 
2021-07-16 10:37:40 - 보완신청 - 신청 
2021-08-31 13:11:44 - 보완신청 - 문서재제출요청 
2021-10-26 17:25:51 - 재제출신청 - 신청 
2021-12-03 10:50:44 - 재제출신청 - 문서재제출요청 
2022-02-25 17:03:54 - 재제출신청 - 신청 
2022-03-02 14:48:42 - 재제출신청 - 문서재제출요청 
2022-03-29 18:10:15 - 재제출신청 - 신청 
2022-06-07 09:42:26 - 재제출신청 - 문서재제출요청 
2022-06-08 17:42:52 - 재제출신청 - 신청 
2022-06-21 16:51:15 - 재제출신청 - 문서재제출요청 
2022-06-22 15:35:21 - 재제출신청 - 신청 
2022-08-23 08:55:22 - 재제출신청 - 문서재제출요청 
2022-08-23 10:19:19 - 재제출신청 - 신청 
2022-08-23 10:31:29 - 재제출신청 - 문서재제출요청 
2022-08-23 14:57:32 - 재제출신청 - 신청 
2022-10-07 17:40:05 - 재제출신청 - 평가승인 
2022-10-11 14:19:06 - 재제출신청 - 심의승인 
</x:v>
      </x:c>
    </x:row>
    <x:row r="1532" ht="42" customHeight="1">
      <x:c r="A1532" s="2" t="str">
        <x:v>6c81e06288957dc12ae4576f</x:v>
      </x:c>
      <x:c r="B1532" s="2" t="str">
        <x:v>사업 평가</x:v>
      </x:c>
      <x:c r="C1532" s="2" t="str">
        <x:v>국외</x:v>
      </x:c>
      <x:c r="D1532" s="7" t="str">
        <x:v>베트남 푸토의 개선된 쿡스토브 사업 - CPA 004</x:v>
      </x:c>
      <x:c r="E1532" s="2" t="str">
        <x:v>96</x:v>
      </x:c>
      <x:c r="F1532" s="2" t="str">
        <x:v>2020-05</x:v>
      </x:c>
      <x:c r="G1532" s="2" t="str">
        <x:v>2020</x:v>
      </x:c>
      <x:c r="H1532" s="2" t="str">
        <x:v>05</x:v>
      </x:c>
      <x:c r="I1532" s="2" t="str">
        <x:v>승인</x:v>
      </x:c>
      <x:c r="J1532" s="2" t="str">
        <x:v>심의승인</x:v>
      </x:c>
      <x:c r="K1532" s="2" t="str">
        <x:f>IF(OR(J1532="심의승인",J1532="반려",J1532="반려완료",J1532="심의완료"),"종결 표시",IF(OR(J1532="기후부협의",J1532="문서재제출요청",J1532="보류",J1532="보완요청",J1532="보완완료",J1532="평가중",J1532="반려요청",J1532="평가필요",LEFT(J1532,5)="보완요청("),"미종결 표시","상태 확인 필요"))</x:f>
        <x:v>종결 표시</x:v>
      </x:c>
      <x:c r="L1532" s="2" t="str">
        <x:v>에코시안_조혜민 &gt; KRIC</x:v>
      </x:c>
      <x:c r="M1532" s="2"/>
      <x:c r="N1532" s="8"/>
      <x:c r="O1532" s="2"/>
      <x:c r="P1532" s="2" t="str">
        <x:v>7월 협의 요청, SOP 인보이스 제출 필요</x:v>
      </x:c>
      <x:c r="Q1532" s="2" t="str">
        <x:v>산업전환_외부사업관리Tool_260707_이너젠 수정_LJY_261013.xlsx</x:v>
      </x:c>
      <x:c r="R1532" s="2" t="str">
        <x:v>국외평가</x:v>
      </x:c>
      <x:c r="S1532" s="8" t="n">
        <x:v>156</x:v>
      </x:c>
      <x:c r="T1532" s="2" t="str">
        <x:v>2021-07-16T00:00:00</x:v>
      </x:c>
      <x:c r="U1532" s="2" t="str">
        <x:v>2021 지정: 2021-07-16T00:00:00 / 2021 지정(2): 04/23, 07/16, 12/10) / 2022 지정: (1/18),(4/19),(6/10)</x:v>
      </x:c>
      <x:c r="V1532" s="2" t="str">
        <x:v>2022-10-11</x:v>
      </x:c>
      <x:c r="W1532" s="2" t="str"/>
      <x:c r="X1532" s="2" t="str">
        <x:v>종결 근거 보관</x:v>
      </x:c>
      <x:c r="Y1532" s="2" t="str">
        <x:v>ad210cd9ec132cfd447541c8984dc53d30aff0f4fb2dc92d254d49275cc55976</x:v>
      </x:c>
      <x:c r="Z1532" s="2" t="n">
        <x:f>SUBTOTAL(103,A1532)</x:f>
        <x:v>1</x:v>
      </x:c>
      <x:c r="AA1532" s="2" t="str">
        <x:f>IF(K1532&lt;&gt;"미종결 표시","대상 아님",IF(N1532="","신청일 확인",IF(NOT(ISNUMBER('종합 현황'!$H$5)),"관찰기준 확인",IF('종합 현황'!$H$5&lt;1,"관찰기준 확인",IF(N1532&gt;'종합 현황'!$H$5,"내부 관찰 대상","내부 관찰일 이하")))))</x:f>
        <x:v>대상 아님</x:v>
      </x:c>
      <x:c r="AB1532" s="2" t="str">
        <x:v>2020-05-21 17:38:00 - 신규신청 - 신청 
2020-05-21 17:38:00 - 관장기관 지정 - 환경부
2020-05-25 09:59:55 - 관장기관 지정 - 산업통상자원부
2020-05-27 13:37:41 - 신규신청 - 문서재제출요청 
2020-06-02 10:58:35 - 재제출신청 - 신청 
2020-07-08 11:23:31 - 재제출신청 - 문서재제출요청 
2020-12-09 17:41:18 - 재제출신청 - 신청 
2021-03-31 15:13:54 - 재제출신청 - 문서재제출요청 
2021-04-22 14:15:36 - 재제출신청 - 신청 
2021-05-25 15:38:18 - 재제출신청 - 보완요청 
2021-07-16 10:38:29 - 보완신청 - 신청 
2021-07-16 11:05:53 - 보완신청 - 문서재제출요청 
2021-07-16 11:07:43 - 재제출신청 - 신청 
2021-08-31 13:12:06 - 재제출신청 - 문서재제출요청 
2021-11-16 17:38:13 - 재제출신청 - 신청 
2021-12-28 13:21:49 - 재제출신청 - 문서재제출요청 
2022-03-29 18:10:23 - 재제출신청 - 신청 
2022-06-07 09:43:57 - 재제출신청 - 문서재제출요청 
2022-06-08 17:43:00 - 재제출신청 - 신청 
2022-06-21 16:52:46 - 재제출신청 - 문서재제출요청 
2022-06-22 15:42:04 - 재제출신청 - 신청 
2022-08-23 08:55:43 - 재제출신청 - 문서재제출요청 
2022-08-23 15:12:11 - 재제출신청 - 신청 
2022-10-07 17:40:43 - 재제출신청 - 평가승인 
2022-10-11 14:19:38 - 재제출신청 - 심의승인 
</x:v>
      </x:c>
    </x:row>
    <x:row r="1533" ht="42" customHeight="1">
      <x:c r="A1533" s="2" t="str">
        <x:v>68f6358df2f9d973b47abaf1</x:v>
      </x:c>
      <x:c r="B1533" s="2" t="str">
        <x:v>사업 평가</x:v>
      </x:c>
      <x:c r="C1533" s="2" t="str">
        <x:v>국외</x:v>
      </x:c>
      <x:c r="D1533" s="7" t="str">
        <x:v>베트남 타이응우옌의 개선된 쿡스토브 사업 - CPA 005</x:v>
      </x:c>
      <x:c r="E1533" s="2" t="str">
        <x:v>97</x:v>
      </x:c>
      <x:c r="F1533" s="2" t="str">
        <x:v>2020-05</x:v>
      </x:c>
      <x:c r="G1533" s="2" t="str">
        <x:v>2020</x:v>
      </x:c>
      <x:c r="H1533" s="2" t="str">
        <x:v>05</x:v>
      </x:c>
      <x:c r="I1533" s="2" t="str">
        <x:v>승인</x:v>
      </x:c>
      <x:c r="J1533" s="2" t="str">
        <x:v>심의승인</x:v>
      </x:c>
      <x:c r="K1533" s="2" t="str">
        <x:f>IF(OR(J1533="심의승인",J1533="반려",J1533="반려완료",J1533="심의완료"),"종결 표시",IF(OR(J1533="기후부협의",J1533="문서재제출요청",J1533="보류",J1533="보완요청",J1533="보완완료",J1533="평가중",J1533="반려요청",J1533="평가필요",LEFT(J1533,5)="보완요청("),"미종결 표시","상태 확인 필요"))</x:f>
        <x:v>종결 표시</x:v>
      </x:c>
      <x:c r="L1533" s="2" t="str">
        <x:v>에코시안_배윤빈 &gt; KRIC</x:v>
      </x:c>
      <x:c r="M1533" s="2"/>
      <x:c r="N1533" s="8"/>
      <x:c r="O1533" s="2"/>
      <x:c r="P1533" s="2" t="str">
        <x:v>7월 협의 요청</x:v>
      </x:c>
      <x:c r="Q1533" s="2" t="str">
        <x:v>산업전환_외부사업관리Tool_260707_이너젠 수정_LJY_261013.xlsx</x:v>
      </x:c>
      <x:c r="R1533" s="2" t="str">
        <x:v>국외평가</x:v>
      </x:c>
      <x:c r="S1533" s="8" t="n">
        <x:v>157</x:v>
      </x:c>
      <x:c r="T1533" s="2" t="str">
        <x:v>2021-07-16T00:00:00</x:v>
      </x:c>
      <x:c r="U1533" s="2" t="str">
        <x:v>2021 지정: 2021-07-16T00:00:00 / 2021 지정(2): (04.23 / 07.16) / 2022 지정: (1/18),(4/19)</x:v>
      </x:c>
      <x:c r="V1533" s="2" t="str">
        <x:v>2022-10-11</x:v>
      </x:c>
      <x:c r="W1533" s="2" t="str"/>
      <x:c r="X1533" s="2" t="str">
        <x:v>종결 근거 보관</x:v>
      </x:c>
      <x:c r="Y1533" s="2" t="str">
        <x:v>ad210cd9ec132cfd447541c8984dc53d30aff0f4fb2dc92d254d49275cc55976</x:v>
      </x:c>
      <x:c r="Z1533" s="2" t="n">
        <x:f>SUBTOTAL(103,A1533)</x:f>
        <x:v>1</x:v>
      </x:c>
      <x:c r="AA1533" s="2" t="str">
        <x:f>IF(K1533&lt;&gt;"미종결 표시","대상 아님",IF(N1533="","신청일 확인",IF(NOT(ISNUMBER('종합 현황'!$H$5)),"관찰기준 확인",IF('종합 현황'!$H$5&lt;1,"관찰기준 확인",IF(N1533&gt;'종합 현황'!$H$5,"내부 관찰 대상","내부 관찰일 이하")))))</x:f>
        <x:v>대상 아님</x:v>
      </x:c>
      <x:c r="AB1533" s="2" t="str">
        <x:v>2020-05-21 17:39:54 - 신규신청 - 신청 
2020-05-21 17:39:54 - 관장기관 지정 - 환경부
2020-05-25 10:00:05 - 관장기관 지정 - 산업통상자원부
2020-05-27 13:37:59 - 신규신청 - 문서재제출요청 
2020-06-02 10:59:26 - 재제출신청 - 신청 
2020-07-08 11:24:28 - 재제출신청 - 문서재제출요청 
2020-12-09 17:41:31 - 재제출신청 - 신청 
2021-04-02 11:11:13 - 재제출신청 - 문서재제출요청 
2021-04-22 14:15:45 - 재제출신청 - 신청 
2021-05-25 15:39:31 - 재제출신청 - 보완요청 
2021-07-16 10:39:22 - 보완신청 - 신청 
2021-08-31 13:11:55 - 보완신청 - 문서재제출요청 
2022-02-25 17:04:02 - 재제출신청 - 신청 
2022-03-02 14:48:19 - 재제출신청 - 문서재제출요청 
2022-03-29 18:10:30 - 재제출신청 - 신청 
2022-06-13 17:30:31 - 재제출신청 - 문서재제출요청 
2022-06-16 13:28:13 - 재제출신청 - 신청 
2022-06-21 16:52:11 - 재제출신청 - 문서재제출요청 
2022-06-22 15:52:07 - 재제출신청 - 신청 
2022-10-07 17:38:11 - 재제출신청 - 평가승인 
2022-10-11 14:17:23 - 재제출신청 - 심의승인 
</x:v>
      </x:c>
    </x:row>
    <x:row r="1534" ht="42" customHeight="1">
      <x:c r="A1534" s="2" t="str">
        <x:v>6773c37beab8a932f1b4b567</x:v>
      </x:c>
      <x:c r="B1534" s="2" t="str">
        <x:v>사업 평가</x:v>
      </x:c>
      <x:c r="C1534" s="2" t="str">
        <x:v>국외</x:v>
      </x:c>
      <x:c r="D1534" s="7" t="str">
        <x:v>베트남 타이응우옌의 개선된 쿡스토브 사업 - CPA 006</x:v>
      </x:c>
      <x:c r="E1534" s="2" t="str">
        <x:v>98</x:v>
      </x:c>
      <x:c r="F1534" s="2" t="str">
        <x:v>2020-05</x:v>
      </x:c>
      <x:c r="G1534" s="2" t="str">
        <x:v>2020</x:v>
      </x:c>
      <x:c r="H1534" s="2" t="str">
        <x:v>05</x:v>
      </x:c>
      <x:c r="I1534" s="2" t="str">
        <x:v>승인</x:v>
      </x:c>
      <x:c r="J1534" s="2" t="str">
        <x:v>심의승인</x:v>
      </x:c>
      <x:c r="K1534" s="2" t="str">
        <x:f>IF(OR(J1534="심의승인",J1534="반려",J1534="반려완료",J1534="심의완료"),"종결 표시",IF(OR(J1534="기후부협의",J1534="문서재제출요청",J1534="보류",J1534="보완요청",J1534="보완완료",J1534="평가중",J1534="반려요청",J1534="평가필요",LEFT(J1534,5)="보완요청("),"미종결 표시","상태 확인 필요"))</x:f>
        <x:v>종결 표시</x:v>
      </x:c>
      <x:c r="L1534" s="2" t="str">
        <x:v>에코시안_배윤빈 &gt; KRIC</x:v>
      </x:c>
      <x:c r="M1534" s="2"/>
      <x:c r="N1534" s="8"/>
      <x:c r="O1534" s="2"/>
      <x:c r="P1534" s="2" t="str">
        <x:v>7월 협의 요청</x:v>
      </x:c>
      <x:c r="Q1534" s="2" t="str">
        <x:v>산업전환_외부사업관리Tool_260707_이너젠 수정_LJY_261013.xlsx</x:v>
      </x:c>
      <x:c r="R1534" s="2" t="str">
        <x:v>국외평가</x:v>
      </x:c>
      <x:c r="S1534" s="8" t="n">
        <x:v>158</x:v>
      </x:c>
      <x:c r="T1534" s="2" t="str">
        <x:v>2021-07-16T00:00:00</x:v>
      </x:c>
      <x:c r="U1534" s="2" t="str">
        <x:v>2021 지정: 2021-07-16T00:00:00 / 2021 지정(2): (04.23 / 07.16) / 2022 지정: (1/18),(4/19)</x:v>
      </x:c>
      <x:c r="V1534" s="2" t="str">
        <x:v>2022-10-11</x:v>
      </x:c>
      <x:c r="W1534" s="2" t="str"/>
      <x:c r="X1534" s="2" t="str">
        <x:v>종결 근거 보관</x:v>
      </x:c>
      <x:c r="Y1534" s="2" t="str">
        <x:v>ad210cd9ec132cfd447541c8984dc53d30aff0f4fb2dc92d254d49275cc55976</x:v>
      </x:c>
      <x:c r="Z1534" s="2" t="n">
        <x:f>SUBTOTAL(103,A1534)</x:f>
        <x:v>1</x:v>
      </x:c>
      <x:c r="AA1534" s="2" t="str">
        <x:f>IF(K1534&lt;&gt;"미종결 표시","대상 아님",IF(N1534="","신청일 확인",IF(NOT(ISNUMBER('종합 현황'!$H$5)),"관찰기준 확인",IF('종합 현황'!$H$5&lt;1,"관찰기준 확인",IF(N1534&gt;'종합 현황'!$H$5,"내부 관찰 대상","내부 관찰일 이하")))))</x:f>
        <x:v>대상 아님</x:v>
      </x:c>
      <x:c r="AB1534" s="2" t="str">
        <x:v>2020-05-21 17:41:47 - 신규신청 - 신청 
2020-05-21 17:41:47 - 관장기관 지정 - 환경부
2020-05-25 10:00:12 - 관장기관 지정 - 산업통상자원부
2020-05-27 13:38:16 - 신규신청 - 문서재제출요청 
2020-06-02 11:00:39 - 재제출신청 - 신청 
2020-07-08 11:25:25 - 재제출신청 - 문서재제출요청 
2020-12-09 17:41:44 - 재제출신청 - 신청 
2021-04-02 11:11:45 - 재제출신청 - 문서재제출요청 
2021-04-22 14:15:54 - 재제출신청 - 신청 
2021-05-25 15:38:57 - 재제출신청 - 보완요청 
2021-07-16 10:39:56 - 보완신청 - 신청 
2021-07-16 11:20:43 - 보완신청 - 문서재제출요청 
2021-07-16 11:25:14 - 재제출신청 - 신청 
2021-08-31 13:12:25 - 재제출신청 - 문서재제출요청 
2022-03-29 18:10:38 - 재제출신청 - 신청 
2022-06-13 17:29:41 - 재제출신청 - 문서재제출요청 
2022-06-16 13:29:25 - 재제출신청 - 신청 
2022-06-21 16:51:45 - 재제출신청 - 문서재제출요청 
2022-06-23 16:56:54 - 재제출신청 - 신청 
2022-10-07 17:38:41 - 재제출신청 - 평가승인 
2022-10-11 14:17:54 - 재제출신청 - 심의승인 
</x:v>
      </x:c>
    </x:row>
    <x:row r="1535" ht="42" customHeight="1">
      <x:c r="A1535" s="2" t="str">
        <x:v>79343c67d24ebaa8a3de948a</x:v>
      </x:c>
      <x:c r="B1535" s="2" t="str">
        <x:v>사업 평가</x:v>
      </x:c>
      <x:c r="C1535" s="2" t="str">
        <x:v>국외</x:v>
      </x:c>
      <x:c r="D1535" s="7" t="str">
        <x:v>대한민국이 지원하는 부룬디 고효율 쿡스토브 프로그램 - CPA1</x:v>
      </x:c>
      <x:c r="E1535" s="2" t="str">
        <x:v>157</x:v>
      </x:c>
      <x:c r="F1535" s="2" t="str">
        <x:v>2020-12</x:v>
      </x:c>
      <x:c r="G1535" s="2" t="str">
        <x:v>2020</x:v>
      </x:c>
      <x:c r="H1535" s="2" t="str">
        <x:v>12</x:v>
      </x:c>
      <x:c r="I1535" s="2" t="str">
        <x:v>승인</x:v>
      </x:c>
      <x:c r="J1535" s="2" t="str">
        <x:v>심의승인</x:v>
      </x:c>
      <x:c r="K1535" s="2" t="str">
        <x:f>IF(OR(J1535="심의승인",J1535="반려",J1535="반려완료",J1535="심의완료"),"종결 표시",IF(OR(J1535="기후부협의",J1535="문서재제출요청",J1535="보류",J1535="보완요청",J1535="보완완료",J1535="평가중",J1535="반려요청",J1535="평가필요",LEFT(J1535,5)="보완요청("),"미종결 표시","상태 확인 필요"))</x:f>
        <x:v>종결 표시</x:v>
      </x:c>
      <x:c r="L1535" s="2"/>
      <x:c r="M1535" s="2"/>
      <x:c r="N1535" s="8"/>
      <x:c r="O1535" s="2"/>
      <x:c r="P1535" s="2"/>
      <x:c r="Q1535" s="2" t="str">
        <x:v>산업전환_외부사업관리Tool_260707_이너젠 수정_LJY_261013.xlsx</x:v>
      </x:c>
      <x:c r="R1535" s="2" t="str">
        <x:v>국외평가</x:v>
      </x:c>
      <x:c r="S1535" s="8" t="n">
        <x:v>159</x:v>
      </x:c>
      <x:c r="T1535" s="2" t="str">
        <x:v>(1/18)</x:v>
      </x:c>
      <x:c r="U1535" s="2" t="str">
        <x:v>2022 지정: (1/18)</x:v>
      </x:c>
      <x:c r="V1535" s="2" t="str">
        <x:v>2021-06-30</x:v>
      </x:c>
      <x:c r="W1535" s="2" t="str">
        <x:v>담당기관 확인</x:v>
      </x:c>
      <x:c r="X1535" s="2" t="str">
        <x:v>원본·배정 기록 확인</x:v>
      </x:c>
      <x:c r="Y1535" s="2" t="str">
        <x:v>ad210cd9ec132cfd447541c8984dc53d30aff0f4fb2dc92d254d49275cc55976</x:v>
      </x:c>
      <x:c r="Z1535" s="2" t="n">
        <x:f>SUBTOTAL(103,A1535)</x:f>
        <x:v>1</x:v>
      </x:c>
      <x:c r="AA1535" s="2" t="str">
        <x:f>IF(K1535&lt;&gt;"미종결 표시","대상 아님",IF(N1535="","신청일 확인",IF(NOT(ISNUMBER('종합 현황'!$H$5)),"관찰기준 확인",IF('종합 현황'!$H$5&lt;1,"관찰기준 확인",IF(N1535&gt;'종합 현황'!$H$5,"내부 관찰 대상","내부 관찰일 이하")))))</x:f>
        <x:v>대상 아님</x:v>
      </x:c>
      <x:c r="AB1535" s="2" t="str">
        <x:v>2020-12-14 13:03:22 - 신규신청 - 신청 
2020-12-14 13:03:22 - 관장기관 지정 - 환경부
2020-12-14 13:37:56 - 관장기관 지정 - 산업통상자원부
2020-12-18 13:57:11 - 신규신청 - 문서재제출요청 
2020-12-18 14:18:28 - 재제출신청 - 신청 
2021-01-25 09:50:53 - 재제출신청 - 문서재제출요청 
2021-03-03 15:03:56 - 재제출신청 - 신청 
2021-04-16 09:33:09 - 재제출신청 - 문서재제출요청 
2021-04-16 11:40:38 - 재제출신청 - 신청 
2021-06-03 16:43:17 - 재제출신청 - 문서재제출요청 
2021-06-07 09:50:35 - 재제출신청 - 신청 
2021-06-30 16:00:36 - 재제출신청 - 평가승인 
2021-06-30 16:01:02 - 재제출신청 - 심의승인 
2021-06-30 16:30:26 - 재제출신청 - 착수신고 
</x:v>
      </x:c>
    </x:row>
    <x:row r="1536" ht="42" customHeight="1">
      <x:c r="A1536" s="2" t="str">
        <x:v>3ee9e714a557d4f2de826453</x:v>
      </x:c>
      <x:c r="B1536" s="2" t="str">
        <x:v>사업 평가</x:v>
      </x:c>
      <x:c r="C1536" s="2" t="str">
        <x:v>국외</x:v>
      </x:c>
      <x:c r="D1536" s="7" t="str">
        <x:v>서하남 사막 이남의 아프리카-말라위에 향상된 쿡스토브 보급 CPA-006사업</x:v>
      </x:c>
      <x:c r="E1536" s="2" t="str">
        <x:v>158</x:v>
      </x:c>
      <x:c r="F1536" s="2" t="str">
        <x:v>2020-12</x:v>
      </x:c>
      <x:c r="G1536" s="2" t="str">
        <x:v>2020</x:v>
      </x:c>
      <x:c r="H1536" s="2" t="str">
        <x:v>12</x:v>
      </x:c>
      <x:c r="I1536" s="2" t="str">
        <x:v>승인</x:v>
      </x:c>
      <x:c r="J1536" s="2" t="str">
        <x:v>심의승인</x:v>
      </x:c>
      <x:c r="K1536" s="2" t="str">
        <x:f>IF(OR(J1536="심의승인",J1536="반려",J1536="반려완료",J1536="심의완료"),"종결 표시",IF(OR(J1536="기후부협의",J1536="문서재제출요청",J1536="보류",J1536="보완요청",J1536="보완완료",J1536="평가중",J1536="반려요청",J1536="평가필요",LEFT(J1536,5)="보완요청("),"미종결 표시","상태 확인 필요"))</x:f>
        <x:v>종결 표시</x:v>
      </x:c>
      <x:c r="L1536" s="2" t="str">
        <x:v>KECM</x:v>
      </x:c>
      <x:c r="M1536" s="2"/>
      <x:c r="N1536" s="8"/>
      <x:c r="O1536" s="2"/>
      <x:c r="P1536" s="2"/>
      <x:c r="Q1536" s="2" t="str">
        <x:v>산업전환_외부사업관리Tool_260707_이너젠 수정_LJY_261013.xlsx</x:v>
      </x:c>
      <x:c r="R1536" s="2" t="str">
        <x:v>국외평가</x:v>
      </x:c>
      <x:c r="S1536" s="8" t="n">
        <x:v>160</x:v>
      </x:c>
      <x:c r="T1536" s="2" t="str">
        <x:v>2021-04-23T00:00:00</x:v>
      </x:c>
      <x:c r="U1536" s="2" t="str">
        <x:v>2021 지정: 2021-04-23T00:00:00 / 2021 지정(2): (04.23 / 07.16) / 2022 지정: (1/18)</x:v>
      </x:c>
      <x:c r="V1536" s="2" t="str">
        <x:v>2021-09-27</x:v>
      </x:c>
      <x:c r="W1536" s="2" t="str"/>
      <x:c r="X1536" s="2" t="str">
        <x:v>종결 근거 보관</x:v>
      </x:c>
      <x:c r="Y1536" s="2" t="str">
        <x:v>ad210cd9ec132cfd447541c8984dc53d30aff0f4fb2dc92d254d49275cc55976</x:v>
      </x:c>
      <x:c r="Z1536" s="2" t="n">
        <x:f>SUBTOTAL(103,A1536)</x:f>
        <x:v>1</x:v>
      </x:c>
      <x:c r="AA1536" s="2" t="str">
        <x:f>IF(K1536&lt;&gt;"미종결 표시","대상 아님",IF(N1536="","신청일 확인",IF(NOT(ISNUMBER('종합 현황'!$H$5)),"관찰기준 확인",IF('종합 현황'!$H$5&lt;1,"관찰기준 확인",IF(N1536&gt;'종합 현황'!$H$5,"내부 관찰 대상","내부 관찰일 이하")))))</x:f>
        <x:v>대상 아님</x:v>
      </x:c>
      <x:c r="AB1536" s="2" t="str">
        <x:v>2020-12-16 21:10:41 - 신규신청 - 신청 
2020-12-16 21:10:41 - 관장기관 지정 - 환경부
2020-12-21 10:51:29 - 관장기관 지정 - 산업통상자원부
2021-01-27 15:36:34 - 신규신청 - 문서재제출요청 
2021-04-01 18:27:14 - 재제출신청 - 신청 
2021-04-16 16:44:45 - 재제출신청 - 문서재제출요청 
2021-04-19 13:25:38 - 재제출신청 - 신청 
2021-05-28 11:23:46 - 재제출신청 - 문서재제출요청 
2021-05-28 15:54:39 - 재제출신청 - 신청 
2021-07-13 10:42:34 - 재제출신청 - 보완요청 
2021-07-13 15:40:18 - 보완신청 - 신청 
2021-07-13 15:51:36 - 보완신청 - 문서재제출요청 
2021-07-13 16:13:15 - 재제출신청 - 신청 
2021-09-27 11:23:58 - 재제출신청 - 평가승인 
2021-09-27 11:24:33 - 재제출신청 - 심의승인 
2021-09-27 15:53:23 - 재제출신청 - 착수신고 
</x:v>
      </x:c>
    </x:row>
    <x:row r="1537" ht="42" customHeight="1">
      <x:c r="A1537" s="2" t="str">
        <x:v>b558a37d6d142fa1dbe6037a</x:v>
      </x:c>
      <x:c r="B1537" s="2" t="str">
        <x:v>사업 평가</x:v>
      </x:c>
      <x:c r="C1537" s="2" t="str">
        <x:v>국외</x:v>
      </x:c>
      <x:c r="D1537" s="7" t="str">
        <x:v>서하남 사막 이남의 아프리카-잠비아에 향상된 쿡스토브 보급 CPA-007 사업</x:v>
      </x:c>
      <x:c r="E1537" s="2" t="str">
        <x:v>159</x:v>
      </x:c>
      <x:c r="F1537" s="2" t="str">
        <x:v>2020-12</x:v>
      </x:c>
      <x:c r="G1537" s="2" t="str">
        <x:v>2020</x:v>
      </x:c>
      <x:c r="H1537" s="2" t="str">
        <x:v>12</x:v>
      </x:c>
      <x:c r="I1537" s="2" t="str">
        <x:v>승인</x:v>
      </x:c>
      <x:c r="J1537" s="2" t="str">
        <x:v>심의승인</x:v>
      </x:c>
      <x:c r="K1537" s="2" t="str">
        <x:f>IF(OR(J1537="심의승인",J1537="반려",J1537="반려완료",J1537="심의완료"),"종결 표시",IF(OR(J1537="기후부협의",J1537="문서재제출요청",J1537="보류",J1537="보완요청",J1537="보완완료",J1537="평가중",J1537="반려요청",J1537="평가필요",LEFT(J1537,5)="보완요청("),"미종결 표시","상태 확인 필요"))</x:f>
        <x:v>종결 표시</x:v>
      </x:c>
      <x:c r="L1537" s="2" t="str">
        <x:v>KECM</x:v>
      </x:c>
      <x:c r="M1537" s="2"/>
      <x:c r="N1537" s="8"/>
      <x:c r="O1537" s="2"/>
      <x:c r="P1537" s="2"/>
      <x:c r="Q1537" s="2" t="str">
        <x:v>산업전환_외부사업관리Tool_260707_이너젠 수정_LJY_261013.xlsx</x:v>
      </x:c>
      <x:c r="R1537" s="2" t="str">
        <x:v>국외평가</x:v>
      </x:c>
      <x:c r="S1537" s="8" t="n">
        <x:v>161</x:v>
      </x:c>
      <x:c r="T1537" s="2" t="str">
        <x:v>2021-07-06T00:00:00</x:v>
      </x:c>
      <x:c r="U1537" s="2" t="str">
        <x:v>2021 지정: 2021-07-06T00:00:00 / 2021 지정(2): (04.23 / 07.06) / 2022 지정: (1/18)</x:v>
      </x:c>
      <x:c r="V1537" s="2" t="str">
        <x:v>2022-01-10</x:v>
      </x:c>
      <x:c r="W1537" s="2" t="str"/>
      <x:c r="X1537" s="2" t="str">
        <x:v>종결 근거 보관</x:v>
      </x:c>
      <x:c r="Y1537" s="2" t="str">
        <x:v>ad210cd9ec132cfd447541c8984dc53d30aff0f4fb2dc92d254d49275cc55976</x:v>
      </x:c>
      <x:c r="Z1537" s="2" t="n">
        <x:f>SUBTOTAL(103,A1537)</x:f>
        <x:v>1</x:v>
      </x:c>
      <x:c r="AA1537" s="2" t="str">
        <x:f>IF(K1537&lt;&gt;"미종결 표시","대상 아님",IF(N1537="","신청일 확인",IF(NOT(ISNUMBER('종합 현황'!$H$5)),"관찰기준 확인",IF('종합 현황'!$H$5&lt;1,"관찰기준 확인",IF(N1537&gt;'종합 현황'!$H$5,"내부 관찰 대상","내부 관찰일 이하")))))</x:f>
        <x:v>대상 아님</x:v>
      </x:c>
      <x:c r="AB1537" s="2" t="str">
        <x:v>2020-12-16 21:21:05 - 신규신청 - 신청 
2020-12-16 21:21:05 - 관장기관 지정 - 환경부
2020-12-21 10:51:13 - 관장기관 지정 - 산업통상자원부
2021-01-27 15:36:57 - 신규신청 - 문서재제출요청 
2021-04-01 18:37:21 - 재제출신청 - 신청 
2021-04-16 16:45:55 - 재제출신청 - 문서재제출요청 
2021-04-16 18:01:41 - 재제출신청 - 신청 
2021-05-14 15:04:59 - 재제출신청 - 문서재제출요청 
2021-07-01 16:57:44 - 재제출신청 - 신청 
2021-08-31 16:40:37 - 재제출신청 - 보완요청 
2021-09-24 16:22:56 - 보완신청 - 신청 
2021-10-06 14:45:03 - 보완신청 - 문서재제출요청 
2021-10-06 18:17:02 - 재제출신청 - 신청 
2021-10-08 12:55:51 - 재제출신청 - 문서재제출요청 
2021-10-08 15:29:12 - 재제출신청 - 신청 
2021-11-29 15:33:51 - 재제출신청 - 문서재제출요청 
2021-11-30 10:18:49 - 재제출신청 - 신청 
2021-12-03 11:04:35 - 재제출신청 - 문서재제출요청 
2021-12-03 11:06:39 - 재제출신청 - 신청 
2022-01-07 15:31:35 - 재제출신청 - 평가승인 
2022-01-07 15:32:00 - 재제출신청 - 심의승인 
2022-01-10 13:41:47 - 재제출신청 - 착수신고 
</x:v>
      </x:c>
    </x:row>
    <x:row r="1538" ht="42" customHeight="1">
      <x:c r="A1538" s="2" t="str">
        <x:v>96575ade2f7c0c9a73e1a731</x:v>
      </x:c>
      <x:c r="B1538" s="2" t="str">
        <x:v>사업 평가</x:v>
      </x:c>
      <x:c r="C1538" s="2" t="str">
        <x:v>국외</x:v>
      </x:c>
      <x:c r="D1538" s="7" t="str">
        <x:v>마다가스카르의 개선된 쿡스토브 프로젝트 by KCM - Wood#CPA-W-004</x:v>
      </x:c>
      <x:c r="E1538" s="2" t="str">
        <x:v>160</x:v>
      </x:c>
      <x:c r="F1538" s="2" t="str">
        <x:v>2021-01</x:v>
      </x:c>
      <x:c r="G1538" s="2" t="str">
        <x:v>2021</x:v>
      </x:c>
      <x:c r="H1538" s="2" t="str">
        <x:v>01</x:v>
      </x:c>
      <x:c r="I1538" s="2" t="str">
        <x:v>승인</x:v>
      </x:c>
      <x:c r="J1538" s="2" t="str">
        <x:v>심의승인</x:v>
      </x:c>
      <x:c r="K1538" s="2" t="str">
        <x:f>IF(OR(J1538="심의승인",J1538="반려",J1538="반려완료",J1538="심의완료"),"종결 표시",IF(OR(J1538="기후부협의",J1538="문서재제출요청",J1538="보류",J1538="보완요청",J1538="보완완료",J1538="평가중",J1538="반려요청",J1538="평가필요",LEFT(J1538,5)="보완요청("),"미종결 표시","상태 확인 필요"))</x:f>
        <x:v>종결 표시</x:v>
      </x:c>
      <x:c r="L1538" s="2" t="str">
        <x:v>에코시안_배윤빈</x:v>
      </x:c>
      <x:c r="M1538" s="2"/>
      <x:c r="N1538" s="8"/>
      <x:c r="O1538" s="2"/>
      <x:c r="P1538" s="2"/>
      <x:c r="Q1538" s="2" t="str">
        <x:v>산업전환_외부사업관리Tool_260707_이너젠 수정_LJY_261013.xlsx</x:v>
      </x:c>
      <x:c r="R1538" s="2" t="str">
        <x:v>국외평가</x:v>
      </x:c>
      <x:c r="S1538" s="8" t="n">
        <x:v>162</x:v>
      </x:c>
      <x:c r="T1538" s="2" t="str">
        <x:v>2021-07-16T00:00:00</x:v>
      </x:c>
      <x:c r="U1538" s="2" t="str">
        <x:v>2021 지정: 2021-07-16T00:00:00 / 2021 지정(2): (5.17 / 6.9 / 07.16) / 2022 지정: (1/18)</x:v>
      </x:c>
      <x:c r="V1538" s="2" t="str">
        <x:v>2022-01-07</x:v>
      </x:c>
      <x:c r="W1538" s="2" t="str"/>
      <x:c r="X1538" s="2" t="str">
        <x:v>종결 근거 보관</x:v>
      </x:c>
      <x:c r="Y1538" s="2" t="str">
        <x:v>ad210cd9ec132cfd447541c8984dc53d30aff0f4fb2dc92d254d49275cc55976</x:v>
      </x:c>
      <x:c r="Z1538" s="2" t="n">
        <x:f>SUBTOTAL(103,A1538)</x:f>
        <x:v>1</x:v>
      </x:c>
      <x:c r="AA1538" s="2" t="str">
        <x:f>IF(K1538&lt;&gt;"미종결 표시","대상 아님",IF(N1538="","신청일 확인",IF(NOT(ISNUMBER('종합 현황'!$H$5)),"관찰기준 확인",IF('종합 현황'!$H$5&lt;1,"관찰기준 확인",IF(N1538&gt;'종합 현황'!$H$5,"내부 관찰 대상","내부 관찰일 이하")))))</x:f>
        <x:v>대상 아님</x:v>
      </x:c>
      <x:c r="AB1538" s="2" t="str">
        <x:v>2021-01-08 21:13:22 - 신규신청 - 신청 
2021-01-08 21:13:22 - 관장기관 지정 - 환경부
2021-01-12 09:28:32 - 관장기관 지정 - 산업통상자원부
2021-04-02 11:26:33 - 신규신청 - 문서재제출요청 
2021-04-30 14:41:44 - 재제출신청 - 신청 
2021-05-31 15:41:01 - 재제출신청 - 문서재제출요청 
2021-06-01 16:29:04 - 재제출신청 - 신청 
2021-06-01 17:26:46 - 재제출신청 - 문서재제출요청 
2021-06-01 17:39:53 - 재제출신청 - 신청 
2021-06-22 15:03:49 - 재제출신청 - 문서재제출요청 
2021-07-21 15:00:12 - 재제출신청 - 신청 
2021-08-31 13:09:52 - 재제출신청 - 문서재제출요청 
2021-08-31 15:45:06 - 재제출신청 - 신청 
2021-10-22 15:13:40 - 재제출신청 - 문서재제출요청 
2021-10-29 17:24:06 - 재제출신청 - 신청 
2021-11-29 13:42:55 - 재제출신청 - 문서재제출요청 
2021-11-29 17:41:02 - 재제출신청 - 신청 
2022-01-07 14:42:43 - 재제출신청 - 평가승인 
2022-01-07 14:43:06 - 재제출신청 - 심의승인 
</x:v>
      </x:c>
    </x:row>
    <x:row r="1539" ht="42" customHeight="1">
      <x:c r="A1539" s="2" t="str">
        <x:v>8ffe1e5386ef2b04fc2e12c8</x:v>
      </x:c>
      <x:c r="B1539" s="2" t="str">
        <x:v>사업 평가</x:v>
      </x:c>
      <x:c r="C1539" s="2" t="str">
        <x:v>국외</x:v>
      </x:c>
      <x:c r="D1539" s="7" t="str">
        <x:v>마다가스카르의 개선된 쿡스토브 프로젝트 by KCM - Wood#CPA-W-005</x:v>
      </x:c>
      <x:c r="E1539" s="2" t="str">
        <x:v>161</x:v>
      </x:c>
      <x:c r="F1539" s="2" t="str">
        <x:v>2021-01</x:v>
      </x:c>
      <x:c r="G1539" s="2" t="str">
        <x:v>2021</x:v>
      </x:c>
      <x:c r="H1539" s="2" t="str">
        <x:v>01</x:v>
      </x:c>
      <x:c r="I1539" s="2" t="str">
        <x:v>승인</x:v>
      </x:c>
      <x:c r="J1539" s="2" t="str">
        <x:v>심의승인</x:v>
      </x:c>
      <x:c r="K1539" s="2" t="str">
        <x:f>IF(OR(J1539="심의승인",J1539="반려",J1539="반려완료",J1539="심의완료"),"종결 표시",IF(OR(J1539="기후부협의",J1539="문서재제출요청",J1539="보류",J1539="보완요청",J1539="보완완료",J1539="평가중",J1539="반려요청",J1539="평가필요",LEFT(J1539,5)="보완요청("),"미종결 표시","상태 확인 필요"))</x:f>
        <x:v>종결 표시</x:v>
      </x:c>
      <x:c r="L1539" s="2" t="str">
        <x:v>에코시안_배윤빈</x:v>
      </x:c>
      <x:c r="M1539" s="2"/>
      <x:c r="N1539" s="8"/>
      <x:c r="O1539" s="2"/>
      <x:c r="P1539" s="2"/>
      <x:c r="Q1539" s="2" t="str">
        <x:v>산업전환_외부사업관리Tool_260707_이너젠 수정_LJY_261013.xlsx</x:v>
      </x:c>
      <x:c r="R1539" s="2" t="str">
        <x:v>국외평가</x:v>
      </x:c>
      <x:c r="S1539" s="8" t="n">
        <x:v>163</x:v>
      </x:c>
      <x:c r="T1539" s="2" t="str">
        <x:v>2021-07-16T00:00:00</x:v>
      </x:c>
      <x:c r="U1539" s="2" t="str">
        <x:v>2021 지정: 2021-07-16T00:00:00 / 2021 지정(2): (5.17 / 6.9 / 07.16) / 2022 지정: (1/18)</x:v>
      </x:c>
      <x:c r="V1539" s="2" t="str">
        <x:v>2022-01-07</x:v>
      </x:c>
      <x:c r="W1539" s="2" t="str"/>
      <x:c r="X1539" s="2" t="str">
        <x:v>종결 근거 보관</x:v>
      </x:c>
      <x:c r="Y1539" s="2" t="str">
        <x:v>ad210cd9ec132cfd447541c8984dc53d30aff0f4fb2dc92d254d49275cc55976</x:v>
      </x:c>
      <x:c r="Z1539" s="2" t="n">
        <x:f>SUBTOTAL(103,A1539)</x:f>
        <x:v>1</x:v>
      </x:c>
      <x:c r="AA1539" s="2" t="str">
        <x:f>IF(K1539&lt;&gt;"미종결 표시","대상 아님",IF(N1539="","신청일 확인",IF(NOT(ISNUMBER('종합 현황'!$H$5)),"관찰기준 확인",IF('종합 현황'!$H$5&lt;1,"관찰기준 확인",IF(N1539&gt;'종합 현황'!$H$5,"내부 관찰 대상","내부 관찰일 이하")))))</x:f>
        <x:v>대상 아님</x:v>
      </x:c>
      <x:c r="AB1539" s="2" t="str">
        <x:v>2021-01-08 21:13:52 - 신규신청 - 신청 
2021-01-08 21:13:52 - 관장기관 지정 - 환경부
2021-01-12 09:28:26 - 관장기관 지정 - 산업통상자원부
2021-04-02 11:26:12 - 신규신청 - 문서재제출요청 
2021-04-30 14:42:02 - 재제출신청 - 신청 
2021-05-31 15:37:50 - 재제출신청 - 문서재제출요청 
2021-06-01 16:33:15 - 재제출신청 - 신청 
2021-06-01 17:26:26 - 재제출신청 - 문서재제출요청 
2021-06-01 17:40:51 - 재제출신청 - 신청 
2021-06-22 15:06:24 - 재제출신청 - 문서재제출요청 
2021-07-21 15:00:38 - 재제출신청 - 신청 
2021-08-31 13:10:04 - 재제출신청 - 문서재제출요청 
2021-08-31 15:49:06 - 재제출신청 - 신청 
2021-10-22 15:14:03 - 재제출신청 - 문서재제출요청 
2021-10-29 17:24:40 - 재제출신청 - 신청 
2021-11-29 13:42:39 - 재제출신청 - 문서재제출요청 
2021-11-29 17:41:11 - 재제출신청 - 신청 
2022-01-07 14:45:13 - 재제출신청 - 평가승인 
2022-01-07 14:45:35 - 재제출신청 - 심의승인 
</x:v>
      </x:c>
    </x:row>
    <x:row r="1540" ht="42" customHeight="1">
      <x:c r="A1540" s="2" t="str">
        <x:v>1f9f77542ed29069fb94e0ce</x:v>
      </x:c>
      <x:c r="B1540" s="2" t="str">
        <x:v>사업 평가</x:v>
      </x:c>
      <x:c r="C1540" s="2" t="str">
        <x:v>국외</x:v>
      </x:c>
      <x:c r="D1540" s="7" t="str">
        <x:v>마다가스카르의 개선된 쿡스토브 프로젝트 by KCM - Wood#CPA-W-006</x:v>
      </x:c>
      <x:c r="E1540" s="2" t="str">
        <x:v>162</x:v>
      </x:c>
      <x:c r="F1540" s="2" t="str">
        <x:v>2021-01</x:v>
      </x:c>
      <x:c r="G1540" s="2" t="str">
        <x:v>2021</x:v>
      </x:c>
      <x:c r="H1540" s="2" t="str">
        <x:v>01</x:v>
      </x:c>
      <x:c r="I1540" s="2" t="str">
        <x:v>승인</x:v>
      </x:c>
      <x:c r="J1540" s="2" t="str">
        <x:v>심의승인</x:v>
      </x:c>
      <x:c r="K1540" s="2" t="str">
        <x:f>IF(OR(J1540="심의승인",J1540="반려",J1540="반려완료",J1540="심의완료"),"종결 표시",IF(OR(J1540="기후부협의",J1540="문서재제출요청",J1540="보류",J1540="보완요청",J1540="보완완료",J1540="평가중",J1540="반려요청",J1540="평가필요",LEFT(J1540,5)="보완요청("),"미종결 표시","상태 확인 필요"))</x:f>
        <x:v>종결 표시</x:v>
      </x:c>
      <x:c r="L1540" s="2" t="str">
        <x:v>에코시안_배윤빈</x:v>
      </x:c>
      <x:c r="M1540" s="2"/>
      <x:c r="N1540" s="8"/>
      <x:c r="O1540" s="2"/>
      <x:c r="P1540" s="2"/>
      <x:c r="Q1540" s="2" t="str">
        <x:v>산업전환_외부사업관리Tool_260707_이너젠 수정_LJY_261013.xlsx</x:v>
      </x:c>
      <x:c r="R1540" s="2" t="str">
        <x:v>국외평가</x:v>
      </x:c>
      <x:c r="S1540" s="8" t="n">
        <x:v>164</x:v>
      </x:c>
      <x:c r="T1540" s="2" t="str">
        <x:v>2021-07-16T00:00:00</x:v>
      </x:c>
      <x:c r="U1540" s="2" t="str">
        <x:v>2021 지정: 2021-07-16T00:00:00 / 2021 지정(2): (5.17 / 6.9 / 07.16) / 2022 지정: (1/18)</x:v>
      </x:c>
      <x:c r="V1540" s="2" t="str">
        <x:v>2022-01-07</x:v>
      </x:c>
      <x:c r="W1540" s="2" t="str"/>
      <x:c r="X1540" s="2" t="str">
        <x:v>종결 근거 보관</x:v>
      </x:c>
      <x:c r="Y1540" s="2" t="str">
        <x:v>ad210cd9ec132cfd447541c8984dc53d30aff0f4fb2dc92d254d49275cc55976</x:v>
      </x:c>
      <x:c r="Z1540" s="2" t="n">
        <x:f>SUBTOTAL(103,A1540)</x:f>
        <x:v>1</x:v>
      </x:c>
      <x:c r="AA1540" s="2" t="str">
        <x:f>IF(K1540&lt;&gt;"미종결 표시","대상 아님",IF(N1540="","신청일 확인",IF(NOT(ISNUMBER('종합 현황'!$H$5)),"관찰기준 확인",IF('종합 현황'!$H$5&lt;1,"관찰기준 확인",IF(N1540&gt;'종합 현황'!$H$5,"내부 관찰 대상","내부 관찰일 이하")))))</x:f>
        <x:v>대상 아님</x:v>
      </x:c>
      <x:c r="AB1540" s="2" t="str">
        <x:v>2021-01-08 21:14:11 - 신규신청 - 신청 
2021-01-08 21:14:11 - 관장기관 지정 - 환경부
2021-01-12 09:28:11 - 관장기관 지정 - 산업통상자원부
2021-04-02 11:25:36 - 신규신청 - 문서재제출요청 
2021-04-30 14:42:21 - 재제출신청 - 신청 
2021-05-31 15:41:28 - 재제출신청 - 문서재제출요청 
2021-06-01 16:36:03 - 재제출신청 - 신청 
2021-06-01 17:26:04 - 재제출신청 - 문서재제출요청 
2021-06-01 17:41:38 - 재제출신청 - 신청 
2021-06-22 15:06:57 - 재제출신청 - 문서재제출요청 
2021-07-21 15:01:08 - 재제출신청 - 신청 
2021-08-31 13:10:24 - 재제출신청 - 문서재제출요청 
2021-08-31 15:50:55 - 재제출신청 - 신청 
2021-10-22 15:14:31 - 재제출신청 - 문서재제출요청 
2021-10-29 17:24:55 - 재제출신청 - 신청 
2021-11-29 13:42:13 - 재제출신청 - 문서재제출요청 
2021-11-29 17:41:22 - 재제출신청 - 신청 
2022-01-07 15:17:58 - 재제출신청 - 평가승인 
2022-01-07 15:19:53 - 재제출신청 - 심의승인 
</x:v>
      </x:c>
    </x:row>
    <x:row r="1541" ht="42" customHeight="1">
      <x:c r="A1541" s="2" t="str">
        <x:v>5b1b7b1d78a28b672eb17ced</x:v>
      </x:c>
      <x:c r="B1541" s="2" t="str">
        <x:v>사업 평가</x:v>
      </x:c>
      <x:c r="C1541" s="2" t="str">
        <x:v>국외</x:v>
      </x:c>
      <x:c r="D1541" s="7" t="str">
        <x:v>마다가스카르의 개선된 쿡스토브 프로젝트 by KCM - Wood#CPA-W-007</x:v>
      </x:c>
      <x:c r="E1541" s="2" t="str">
        <x:v>163</x:v>
      </x:c>
      <x:c r="F1541" s="2" t="str">
        <x:v>2021-01</x:v>
      </x:c>
      <x:c r="G1541" s="2" t="str">
        <x:v>2021</x:v>
      </x:c>
      <x:c r="H1541" s="2" t="str">
        <x:v>01</x:v>
      </x:c>
      <x:c r="I1541" s="2" t="str">
        <x:v>승인</x:v>
      </x:c>
      <x:c r="J1541" s="2" t="str">
        <x:v>심의승인</x:v>
      </x:c>
      <x:c r="K1541" s="2" t="str">
        <x:f>IF(OR(J1541="심의승인",J1541="반려",J1541="반려완료",J1541="심의완료"),"종결 표시",IF(OR(J1541="기후부협의",J1541="문서재제출요청",J1541="보류",J1541="보완요청",J1541="보완완료",J1541="평가중",J1541="반려요청",J1541="평가필요",LEFT(J1541,5)="보완요청("),"미종결 표시","상태 확인 필요"))</x:f>
        <x:v>종결 표시</x:v>
      </x:c>
      <x:c r="L1541" s="2" t="str">
        <x:v>에코시안_배윤빈</x:v>
      </x:c>
      <x:c r="M1541" s="2"/>
      <x:c r="N1541" s="8"/>
      <x:c r="O1541" s="2"/>
      <x:c r="P1541" s="2"/>
      <x:c r="Q1541" s="2" t="str">
        <x:v>산업전환_외부사업관리Tool_260707_이너젠 수정_LJY_261013.xlsx</x:v>
      </x:c>
      <x:c r="R1541" s="2" t="str">
        <x:v>국외평가</x:v>
      </x:c>
      <x:c r="S1541" s="8" t="n">
        <x:v>165</x:v>
      </x:c>
      <x:c r="T1541" s="2" t="str">
        <x:v>2021-07-16T00:00:00</x:v>
      </x:c>
      <x:c r="U1541" s="2" t="str">
        <x:v>2021 지정: 2021-07-16T00:00:00 / 2021 지정(2): (5.17 / 6.9 / 07.16) / 2022 지정: (1/18)</x:v>
      </x:c>
      <x:c r="V1541" s="2" t="str">
        <x:v>2022-01-07</x:v>
      </x:c>
      <x:c r="W1541" s="2" t="str"/>
      <x:c r="X1541" s="2" t="str">
        <x:v>종결 근거 보관</x:v>
      </x:c>
      <x:c r="Y1541" s="2" t="str">
        <x:v>ad210cd9ec132cfd447541c8984dc53d30aff0f4fb2dc92d254d49275cc55976</x:v>
      </x:c>
      <x:c r="Z1541" s="2" t="n">
        <x:f>SUBTOTAL(103,A1541)</x:f>
        <x:v>1</x:v>
      </x:c>
      <x:c r="AA1541" s="2" t="str">
        <x:f>IF(K1541&lt;&gt;"미종결 표시","대상 아님",IF(N1541="","신청일 확인",IF(NOT(ISNUMBER('종합 현황'!$H$5)),"관찰기준 확인",IF('종합 현황'!$H$5&lt;1,"관찰기준 확인",IF(N1541&gt;'종합 현황'!$H$5,"내부 관찰 대상","내부 관찰일 이하")))))</x:f>
        <x:v>대상 아님</x:v>
      </x:c>
      <x:c r="AB1541" s="2" t="str">
        <x:v>2021-01-08 21:14:28 - 신규신청 - 신청 
2021-01-08 21:14:28 - 관장기관 지정 - 환경부
2021-01-12 09:27:54 - 관장기관 지정 - 산업통상자원부
2021-04-02 11:25:16 - 신규신청 - 문서재제출요청 
2021-04-30 14:42:43 - 재제출신청 - 신청 
2021-05-31 15:38:21 - 재제출신청 - 문서재제출요청 
2021-06-01 16:38:01 - 재제출신청 - 신청 
2021-06-01 17:25:13 - 재제출신청 - 문서재제출요청 
2021-06-01 17:42:26 - 재제출신청 - 신청 
2021-06-22 15:07:23 - 재제출신청 - 문서재제출요청 
2021-07-21 15:01:37 - 재제출신청 - 신청 
2021-08-31 13:10:36 - 재제출신청 - 문서재제출요청 
2021-08-31 15:56:23 - 재제출신청 - 신청 
2021-10-22 15:14:53 - 재제출신청 - 문서재제출요청 
2021-10-29 17:25:09 - 재제출신청 - 신청 
2021-11-29 13:40:49 - 재제출신청 - 문서재제출요청 
2021-11-29 17:41:35 - 재제출신청 - 신청 
2022-01-07 15:21:14 - 재제출신청 - 평가승인 
2022-01-07 15:21:38 - 재제출신청 - 심의승인 
</x:v>
      </x:c>
    </x:row>
    <x:row r="1542" ht="42" customHeight="1">
      <x:c r="A1542" s="2" t="str">
        <x:v>22bac70788451d1c8582be30</x:v>
      </x:c>
      <x:c r="B1542" s="2" t="str">
        <x:v>사업 평가</x:v>
      </x:c>
      <x:c r="C1542" s="2" t="str">
        <x:v>국외</x:v>
      </x:c>
      <x:c r="D1542" s="7" t="str">
        <x:v>마다가스카르의 개선된 쿡스토브 프로젝트 by KCM - Wood#CPA-W008</x:v>
      </x:c>
      <x:c r="E1542" s="2" t="str">
        <x:v>164</x:v>
      </x:c>
      <x:c r="F1542" s="2" t="str">
        <x:v>2021-01</x:v>
      </x:c>
      <x:c r="G1542" s="2" t="str">
        <x:v>2021</x:v>
      </x:c>
      <x:c r="H1542" s="2" t="str">
        <x:v>01</x:v>
      </x:c>
      <x:c r="I1542" s="2" t="str">
        <x:v>승인</x:v>
      </x:c>
      <x:c r="J1542" s="2" t="str">
        <x:v>심의승인</x:v>
      </x:c>
      <x:c r="K1542" s="2" t="str">
        <x:f>IF(OR(J1542="심의승인",J1542="반려",J1542="반려완료",J1542="심의완료"),"종결 표시",IF(OR(J1542="기후부협의",J1542="문서재제출요청",J1542="보류",J1542="보완요청",J1542="보완완료",J1542="평가중",J1542="반려요청",J1542="평가필요",LEFT(J1542,5)="보완요청("),"미종결 표시","상태 확인 필요"))</x:f>
        <x:v>종결 표시</x:v>
      </x:c>
      <x:c r="L1542" s="2" t="str">
        <x:v>에코시안_배윤빈</x:v>
      </x:c>
      <x:c r="M1542" s="2"/>
      <x:c r="N1542" s="8"/>
      <x:c r="O1542" s="2"/>
      <x:c r="P1542" s="2"/>
      <x:c r="Q1542" s="2" t="str">
        <x:v>산업전환_외부사업관리Tool_260707_이너젠 수정_LJY_261013.xlsx</x:v>
      </x:c>
      <x:c r="R1542" s="2" t="str">
        <x:v>국외평가</x:v>
      </x:c>
      <x:c r="S1542" s="8" t="n">
        <x:v>166</x:v>
      </x:c>
      <x:c r="T1542" s="2" t="str">
        <x:v>2021-07-16T00:00:00</x:v>
      </x:c>
      <x:c r="U1542" s="2" t="str">
        <x:v>2021 지정: 2021-07-16T00:00:00 / 2021 지정(2): (5.17 / 6.9 / 07.16) / 2022 지정: (1/18)</x:v>
      </x:c>
      <x:c r="V1542" s="2" t="str">
        <x:v>2022-01-07</x:v>
      </x:c>
      <x:c r="W1542" s="2" t="str"/>
      <x:c r="X1542" s="2" t="str">
        <x:v>종결 근거 보관</x:v>
      </x:c>
      <x:c r="Y1542" s="2" t="str">
        <x:v>ad210cd9ec132cfd447541c8984dc53d30aff0f4fb2dc92d254d49275cc55976</x:v>
      </x:c>
      <x:c r="Z1542" s="2" t="n">
        <x:f>SUBTOTAL(103,A1542)</x:f>
        <x:v>1</x:v>
      </x:c>
      <x:c r="AA1542" s="2" t="str">
        <x:f>IF(K1542&lt;&gt;"미종결 표시","대상 아님",IF(N1542="","신청일 확인",IF(NOT(ISNUMBER('종합 현황'!$H$5)),"관찰기준 확인",IF('종합 현황'!$H$5&lt;1,"관찰기준 확인",IF(N1542&gt;'종합 현황'!$H$5,"내부 관찰 대상","내부 관찰일 이하")))))</x:f>
        <x:v>대상 아님</x:v>
      </x:c>
      <x:c r="AB1542" s="2" t="str">
        <x:v>2021-01-08 21:14:50 - 신규신청 - 신청 
2021-01-08 21:14:50 - 관장기관 지정 - 환경부
2021-01-12 09:27:39 - 관장기관 지정 - 산업통상자원부
2021-04-02 11:24:56 - 신규신청 - 문서재제출요청 
2021-04-30 14:43:02 - 재제출신청 - 신청 
2021-05-31 15:41:59 - 재제출신청 - 문서재제출요청 
2021-06-01 16:40:36 - 재제출신청 - 신청 
2021-06-01 16:55:35 - 재제출신청 - 문서재제출요청 
2021-06-01 17:43:46 - 재제출신청 - 신청 
2021-06-22 15:08:08 - 재제출신청 - 문서재제출요청 
2021-07-21 15:01:57 - 재제출신청 - 신청 
2021-08-31 13:10:49 - 재제출신청 - 문서재제출요청 
2021-08-31 15:58:28 - 재제출신청 - 신청 
2021-10-22 15:15:19 - 재제출신청 - 문서재제출요청 
2021-10-29 17:25:24 - 재제출신청 - 신청 
2021-11-29 13:37:38 - 재제출신청 - 문서재제출요청 
2021-11-29 17:42:05 - 재제출신청 - 신청 
2022-01-07 15:22:35 - 재제출신청 - 평가승인 
2022-01-07 15:23:07 - 재제출신청 - 심의승인 
</x:v>
      </x:c>
    </x:row>
    <x:row r="1543" ht="42" customHeight="1">
      <x:c r="A1543" s="2" t="str">
        <x:v>adfbae5f4562c01630036a24</x:v>
      </x:c>
      <x:c r="B1543" s="2" t="str">
        <x:v>사업 평가</x:v>
      </x:c>
      <x:c r="C1543" s="2" t="str">
        <x:v>국외</x:v>
      </x:c>
      <x:c r="D1543" s="7" t="str">
        <x:v>마다가스카르의 개선된 쿡스토브 프로젝트 by KCM - Wood#CPA-W009</x:v>
      </x:c>
      <x:c r="E1543" s="2" t="str">
        <x:v>165</x:v>
      </x:c>
      <x:c r="F1543" s="2" t="str">
        <x:v>2021-01</x:v>
      </x:c>
      <x:c r="G1543" s="2" t="str">
        <x:v>2021</x:v>
      </x:c>
      <x:c r="H1543" s="2" t="str">
        <x:v>01</x:v>
      </x:c>
      <x:c r="I1543" s="2" t="str">
        <x:v>승인</x:v>
      </x:c>
      <x:c r="J1543" s="2" t="str">
        <x:v>심의승인</x:v>
      </x:c>
      <x:c r="K1543" s="2" t="str">
        <x:f>IF(OR(J1543="심의승인",J1543="반려",J1543="반려완료",J1543="심의완료"),"종결 표시",IF(OR(J1543="기후부협의",J1543="문서재제출요청",J1543="보류",J1543="보완요청",J1543="보완완료",J1543="평가중",J1543="반려요청",J1543="평가필요",LEFT(J1543,5)="보완요청("),"미종결 표시","상태 확인 필요"))</x:f>
        <x:v>종결 표시</x:v>
      </x:c>
      <x:c r="L1543" s="2" t="str">
        <x:v>에코시안_배윤빈</x:v>
      </x:c>
      <x:c r="M1543" s="2"/>
      <x:c r="N1543" s="8"/>
      <x:c r="O1543" s="2"/>
      <x:c r="P1543" s="2"/>
      <x:c r="Q1543" s="2" t="str">
        <x:v>산업전환_외부사업관리Tool_260707_이너젠 수정_LJY_261013.xlsx</x:v>
      </x:c>
      <x:c r="R1543" s="2" t="str">
        <x:v>국외평가</x:v>
      </x:c>
      <x:c r="S1543" s="8" t="n">
        <x:v>167</x:v>
      </x:c>
      <x:c r="T1543" s="2" t="str">
        <x:v>2021-07-16T00:00:00</x:v>
      </x:c>
      <x:c r="U1543" s="2" t="str">
        <x:v>2021 지정: 2021-07-16T00:00:00 / 2021 지정(2): (5.17 / 6.9 / 07.16) / 2022 지정: (1/18)</x:v>
      </x:c>
      <x:c r="V1543" s="2" t="str">
        <x:v>2022-01-07</x:v>
      </x:c>
      <x:c r="W1543" s="2" t="str"/>
      <x:c r="X1543" s="2" t="str">
        <x:v>종결 근거 보관</x:v>
      </x:c>
      <x:c r="Y1543" s="2" t="str">
        <x:v>ad210cd9ec132cfd447541c8984dc53d30aff0f4fb2dc92d254d49275cc55976</x:v>
      </x:c>
      <x:c r="Z1543" s="2" t="n">
        <x:f>SUBTOTAL(103,A1543)</x:f>
        <x:v>1</x:v>
      </x:c>
      <x:c r="AA1543" s="2" t="str">
        <x:f>IF(K1543&lt;&gt;"미종결 표시","대상 아님",IF(N1543="","신청일 확인",IF(NOT(ISNUMBER('종합 현황'!$H$5)),"관찰기준 확인",IF('종합 현황'!$H$5&lt;1,"관찰기준 확인",IF(N1543&gt;'종합 현황'!$H$5,"내부 관찰 대상","내부 관찰일 이하")))))</x:f>
        <x:v>대상 아님</x:v>
      </x:c>
      <x:c r="AB1543" s="2" t="str">
        <x:v>2021-01-08 21:15:15 - 신규신청 - 신청 
2021-01-08 21:15:15 - 관장기관 지정 - 환경부
2021-01-12 09:27:33 - 관장기관 지정 - 산업통상자원부
2021-04-02 11:22:33 - 신규신청 - 문서재제출요청 
2021-04-30 14:43:12 - 재제출신청 - 신청 
2021-05-31 15:39:01 - 재제출신청 - 문서재제출요청 
2021-06-01 16:41:14 - 재제출신청 - 신청 
2021-06-01 16:54:57 - 재제출신청 - 문서재제출요청 
2021-06-01 17:44:45 - 재제출신청 - 신청 
2021-06-22 15:08:32 - 재제출신청 - 문서재제출요청 
2021-07-21 15:03:02 - 재제출신청 - 신청 
2021-08-31 13:10:58 - 재제출신청 - 문서재제출요청 
2021-08-31 16:04:51 - 재제출신청 - 신청 
2021-10-22 15:15:39 - 재제출신청 - 문서재제출요청 
2021-10-29 17:25:36 - 재제출신청 - 신청 
2021-11-29 13:37:05 - 재제출신청 - 문서재제출요청 
2021-11-29 17:42:13 - 재제출신청 - 신청 
2022-01-07 15:23:41 - 재제출신청 - 평가승인 
2022-01-07 15:24:01 - 재제출신청 - 심의승인 
</x:v>
      </x:c>
    </x:row>
    <x:row r="1544" ht="42" customHeight="1">
      <x:c r="A1544" s="2" t="str">
        <x:v>3cedd569f669ee812ab4c7f9</x:v>
      </x:c>
      <x:c r="B1544" s="2" t="str">
        <x:v>사업 평가</x:v>
      </x:c>
      <x:c r="C1544" s="2" t="str">
        <x:v>국외</x:v>
      </x:c>
      <x:c r="D1544" s="7" t="str">
        <x:v>베트남 옌바이의 개선된 쿡스토브 사업 - CPA007</x:v>
      </x:c>
      <x:c r="E1544" s="2" t="str">
        <x:v>218</x:v>
      </x:c>
      <x:c r="F1544" s="2" t="str">
        <x:v>2021-07</x:v>
      </x:c>
      <x:c r="G1544" s="2" t="str">
        <x:v>2021</x:v>
      </x:c>
      <x:c r="H1544" s="2" t="str">
        <x:v>07</x:v>
      </x:c>
      <x:c r="I1544" s="2" t="str">
        <x:v>승인</x:v>
      </x:c>
      <x:c r="J1544" s="2" t="str">
        <x:v>심의승인</x:v>
      </x:c>
      <x:c r="K1544" s="2" t="str">
        <x:f>IF(OR(J1544="심의승인",J1544="반려",J1544="반려완료",J1544="심의완료"),"종결 표시",IF(OR(J1544="기후부협의",J1544="문서재제출요청",J1544="보류",J1544="보완요청",J1544="보완완료",J1544="평가중",J1544="반려요청",J1544="평가필요",LEFT(J1544,5)="보완요청("),"미종결 표시","상태 확인 필요"))</x:f>
        <x:v>종결 표시</x:v>
      </x:c>
      <x:c r="L1544" s="2" t="str">
        <x:v>에코시안_배윤빈 &gt; KRIC</x:v>
      </x:c>
      <x:c r="M1544" s="2"/>
      <x:c r="N1544" s="8"/>
      <x:c r="O1544" s="2"/>
      <x:c r="P1544" s="2" t="str">
        <x:v>7월 협의 요청, 9월 인증위 가능(5월 말 수정)</x:v>
      </x:c>
      <x:c r="Q1544" s="2" t="str">
        <x:v>산업전환_외부사업관리Tool_260707_이너젠 수정_LJY_261013.xlsx</x:v>
      </x:c>
      <x:c r="R1544" s="2" t="str">
        <x:v>국외평가</x:v>
      </x:c>
      <x:c r="S1544" s="8" t="n">
        <x:v>168</x:v>
      </x:c>
      <x:c r="T1544" s="2" t="str">
        <x:v>2021-08-19T00:00:00</x:v>
      </x:c>
      <x:c r="U1544" s="2" t="str">
        <x:v>2021 지정: 2021-08-19T00:00:00 / 2022 지정: (1/18),(6/10)</x:v>
      </x:c>
      <x:c r="V1544" s="2" t="str">
        <x:v>2022-10-11</x:v>
      </x:c>
      <x:c r="W1544" s="2" t="str"/>
      <x:c r="X1544" s="2" t="str">
        <x:v>종결 근거 보관</x:v>
      </x:c>
      <x:c r="Y1544" s="2" t="str">
        <x:v>ad210cd9ec132cfd447541c8984dc53d30aff0f4fb2dc92d254d49275cc55976</x:v>
      </x:c>
      <x:c r="Z1544" s="2" t="n">
        <x:f>SUBTOTAL(103,A1544)</x:f>
        <x:v>1</x:v>
      </x:c>
      <x:c r="AA1544" s="2" t="str">
        <x:f>IF(K1544&lt;&gt;"미종결 표시","대상 아님",IF(N1544="","신청일 확인",IF(NOT(ISNUMBER('종합 현황'!$H$5)),"관찰기준 확인",IF('종합 현황'!$H$5&lt;1,"관찰기준 확인",IF(N1544&gt;'종합 현황'!$H$5,"내부 관찰 대상","내부 관찰일 이하")))))</x:f>
        <x:v>대상 아님</x:v>
      </x:c>
      <x:c r="AB1544" s="2" t="str">
        <x:v>2021-07-28 12:31:09 - 신규신청 - 신청 
2021-07-28 12:31:09 - 관장기관 지정 - 환경부
2021-08-03 11:07:28 - 관장기관 지정 - 산업통상자원부
2021-09-03 17:11:55 - 신규신청 - 문서재제출요청 
2022-05-27 16:11:45 - 재제출신청 - 신청 
2022-06-21 16:53:39 - 재제출신청 - 문서재제출요청 
2022-06-22 15:58:39 - 재제출신청 - 신청 
2022-10-07 17:36:41 - 재제출신청 - 평가승인 
2022-10-11 14:13:23 - 재제출신청 - 심의승인 
</x:v>
      </x:c>
    </x:row>
    <x:row r="1545" ht="42" customHeight="1">
      <x:c r="A1545" s="2" t="str">
        <x:v>3af823cf0653db86c9f4c285</x:v>
      </x:c>
      <x:c r="B1545" s="2" t="str">
        <x:v>사업 평가</x:v>
      </x:c>
      <x:c r="C1545" s="2" t="str">
        <x:v>국외</x:v>
      </x:c>
      <x:c r="D1545" s="7" t="str">
        <x:v>CPA 041 - 케나에 설치하는 BioLite의 홈스토브</x:v>
      </x:c>
      <x:c r="E1545" s="2" t="str">
        <x:v>167</x:v>
      </x:c>
      <x:c r="F1545" s="2" t="str">
        <x:v>2021-01</x:v>
      </x:c>
      <x:c r="G1545" s="2" t="str">
        <x:v>2021</x:v>
      </x:c>
      <x:c r="H1545" s="2" t="str">
        <x:v>01</x:v>
      </x:c>
      <x:c r="I1545" s="2" t="str">
        <x:v>승인</x:v>
      </x:c>
      <x:c r="J1545" s="2" t="str">
        <x:v>심의승인</x:v>
      </x:c>
      <x:c r="K1545" s="2" t="str">
        <x:f>IF(OR(J1545="심의승인",J1545="반려",J1545="반려완료",J1545="심의완료"),"종결 표시",IF(OR(J1545="기후부협의",J1545="문서재제출요청",J1545="보류",J1545="보완요청",J1545="보완완료",J1545="평가중",J1545="반려요청",J1545="평가필요",LEFT(J1545,5)="보완요청("),"미종결 표시","상태 확인 필요"))</x:f>
        <x:v>종결 표시</x:v>
      </x:c>
      <x:c r="L1545" s="2" t="str">
        <x:v>KECM</x:v>
      </x:c>
      <x:c r="M1545" s="2"/>
      <x:c r="N1545" s="8"/>
      <x:c r="O1545" s="2"/>
      <x:c r="P1545" s="2"/>
      <x:c r="Q1545" s="2" t="str">
        <x:v>산업전환_외부사업관리Tool_260707_이너젠 수정_LJY_261013.xlsx</x:v>
      </x:c>
      <x:c r="R1545" s="2" t="str">
        <x:v>국외평가</x:v>
      </x:c>
      <x:c r="S1545" s="8" t="n">
        <x:v>169</x:v>
      </x:c>
      <x:c r="T1545" s="2" t="str">
        <x:v>2021-11-02T00:00:00</x:v>
      </x:c>
      <x:c r="U1545" s="2" t="str">
        <x:v>2021 지정: 2021-11-02T00:00:00 / 2021 지정(2): (7/6, 11/2) / 2022 지정: (1/18),(2/9),(4/19)</x:v>
      </x:c>
      <x:c r="V1545" s="2" t="str">
        <x:v>2022-07-05</x:v>
      </x:c>
      <x:c r="W1545" s="2" t="str"/>
      <x:c r="X1545" s="2" t="str">
        <x:v>종결 근거 보관</x:v>
      </x:c>
      <x:c r="Y1545" s="2" t="str">
        <x:v>ad210cd9ec132cfd447541c8984dc53d30aff0f4fb2dc92d254d49275cc55976</x:v>
      </x:c>
      <x:c r="Z1545" s="2" t="n">
        <x:f>SUBTOTAL(103,A1545)</x:f>
        <x:v>1</x:v>
      </x:c>
      <x:c r="AA1545" s="2" t="str">
        <x:f>IF(K1545&lt;&gt;"미종결 표시","대상 아님",IF(N1545="","신청일 확인",IF(NOT(ISNUMBER('종합 현황'!$H$5)),"관찰기준 확인",IF('종합 현황'!$H$5&lt;1,"관찰기준 확인",IF(N1545&gt;'종합 현황'!$H$5,"내부 관찰 대상","내부 관찰일 이하")))))</x:f>
        <x:v>대상 아님</x:v>
      </x:c>
      <x:c r="AB1545" s="2" t="str">
        <x:v>2021-01-26 13:34:56 - 신규신청 - 신청 
2021-01-26 13:34:56 - 관장기관 지정 - 환경부
2021-01-27 09:15:38 - 관장기관 지정 - 산업통상자원부
2021-03-15 16:21:51 - 신규신청 - 문서재제출요청 
2021-06-14 17:13:08 - 재제출신청 - 신청 
2021-09-13 14:56:01 - 재제출신청 - 문서재제출요청 
2021-09-15 17:12:33 - 재제출신청 - 신청 
2021-10-20 17:06:04 - 재제출신청 - 문서재제출요청 
2022-02-08 17:48:01 - 재제출신청 - 신청 
2022-03-24 14:27:40 - 재제출신청 - 보완요청 
2022-03-30 19:13:50 - 보완신청 - 신청 
2022-05-25 14:49:11 - 보완신청 - 문서재제출요청 
2022-05-25 15:24:24 - 재제출신청 - 신청 
2022-07-05 17:11:47 - 재제출신청 - 평가승인 
2022-07-05 17:13:01 - 재제출신청 - 심의승인 
</x:v>
      </x:c>
    </x:row>
    <x:row r="1546" ht="42" customHeight="1">
      <x:c r="A1546" s="2" t="str">
        <x:v>a0a509ee7727da1fc8158b03</x:v>
      </x:c>
      <x:c r="B1546" s="2" t="str">
        <x:v>사업 평가</x:v>
      </x:c>
      <x:c r="C1546" s="2" t="str">
        <x:v>국외</x:v>
      </x:c>
      <x:c r="D1546" s="7" t="str">
        <x:v>CPA 051 - 케나에 설치하는 석탄 스토브</x:v>
      </x:c>
      <x:c r="E1546" s="2" t="str">
        <x:v>168</x:v>
      </x:c>
      <x:c r="F1546" s="2" t="str">
        <x:v>2021-01</x:v>
      </x:c>
      <x:c r="G1546" s="2" t="str">
        <x:v>2021</x:v>
      </x:c>
      <x:c r="H1546" s="2" t="str">
        <x:v>01</x:v>
      </x:c>
      <x:c r="I1546" s="2" t="str">
        <x:v>승인</x:v>
      </x:c>
      <x:c r="J1546" s="2" t="str">
        <x:v>심의승인</x:v>
      </x:c>
      <x:c r="K1546" s="2" t="str">
        <x:f>IF(OR(J1546="심의승인",J1546="반려",J1546="반려완료",J1546="심의완료"),"종결 표시",IF(OR(J1546="기후부협의",J1546="문서재제출요청",J1546="보류",J1546="보완요청",J1546="보완완료",J1546="평가중",J1546="반려요청",J1546="평가필요",LEFT(J1546,5)="보완요청("),"미종결 표시","상태 확인 필요"))</x:f>
        <x:v>종결 표시</x:v>
      </x:c>
      <x:c r="L1546" s="2" t="str">
        <x:v>KECM</x:v>
      </x:c>
      <x:c r="M1546" s="2"/>
      <x:c r="N1546" s="8"/>
      <x:c r="O1546" s="2"/>
      <x:c r="P1546" s="2"/>
      <x:c r="Q1546" s="2" t="str">
        <x:v>산업전환_외부사업관리Tool_260707_이너젠 수정_LJY_261013.xlsx</x:v>
      </x:c>
      <x:c r="R1546" s="2" t="str">
        <x:v>국외평가</x:v>
      </x:c>
      <x:c r="S1546" s="8" t="n">
        <x:v>170</x:v>
      </x:c>
      <x:c r="T1546" s="2" t="str">
        <x:v>2021-11-02T00:00:00</x:v>
      </x:c>
      <x:c r="U1546" s="2" t="str">
        <x:v>2021 지정: 2021-11-02T00:00:00 / 2021 지정(2): (7.06 / 07.16, 11/2) / 2022 지정: (1/18),(2/9),(4/19)</x:v>
      </x:c>
      <x:c r="V1546" s="2" t="str">
        <x:v>2022-07-05</x:v>
      </x:c>
      <x:c r="W1546" s="2" t="str"/>
      <x:c r="X1546" s="2" t="str">
        <x:v>종결 근거 보관</x:v>
      </x:c>
      <x:c r="Y1546" s="2" t="str">
        <x:v>ad210cd9ec132cfd447541c8984dc53d30aff0f4fb2dc92d254d49275cc55976</x:v>
      </x:c>
      <x:c r="Z1546" s="2" t="n">
        <x:f>SUBTOTAL(103,A1546)</x:f>
        <x:v>1</x:v>
      </x:c>
      <x:c r="AA1546" s="2" t="str">
        <x:f>IF(K1546&lt;&gt;"미종결 표시","대상 아님",IF(N1546="","신청일 확인",IF(NOT(ISNUMBER('종합 현황'!$H$5)),"관찰기준 확인",IF('종합 현황'!$H$5&lt;1,"관찰기준 확인",IF(N1546&gt;'종합 현황'!$H$5,"내부 관찰 대상","내부 관찰일 이하")))))</x:f>
        <x:v>대상 아님</x:v>
      </x:c>
      <x:c r="AB1546" s="2" t="str">
        <x:v>2021-01-26 13:41:05 - 신규신청 - 신청 
2021-01-26 13:41:05 - 관장기관 지정 - 환경부
2021-01-27 09:16:10 - 관장기관 지정 - 산업통상자원부
2021-03-31 14:11:03 - 신규신청 - 문서재제출요청 
2021-06-14 17:14:24 - 재제출신청 - 신청 
2021-07-14 14:10:58 - 재제출신청 - 문서재제출요청 
2021-07-14 17:12:43 - 재제출신청 - 신청 
2021-09-13 14:56:27 - 재제출신청 - 문서재제출요청 
2021-09-15 17:12:51 - 재제출신청 - 신청 
2021-10-20 17:06:28 - 재제출신청 - 문서재제출요청 
2022-02-08 17:48:11 - 재제출신청 - 신청 
2022-03-24 14:28:36 - 재제출신청 - 보완요청 
2022-03-30 19:14:04 - 보완신청 - 신청 
2022-05-25 14:49:20 - 보완신청 - 문서재제출요청 
2022-05-25 15:24:34 - 재제출신청 - 신청 
2022-07-05 17:16:38 - 재제출신청 - 평가승인 
2022-07-05 17:17:10 - 재제출신청 - 심의승인 
</x:v>
      </x:c>
    </x:row>
    <x:row r="1547" ht="42" customHeight="1">
      <x:c r="A1547" s="2" t="str">
        <x:v>54327ecf3127a5d69927f1dc</x:v>
      </x:c>
      <x:c r="B1547" s="2" t="str">
        <x:v>사업 평가</x:v>
      </x:c>
      <x:c r="C1547" s="2" t="str">
        <x:v>국외</x:v>
      </x:c>
      <x:c r="D1547" s="7" t="str">
        <x:v>CPA 052 - 케나에 설치하는 석탄 스토브</x:v>
      </x:c>
      <x:c r="E1547" s="2" t="str">
        <x:v>169</x:v>
      </x:c>
      <x:c r="F1547" s="2" t="str">
        <x:v>2021-01</x:v>
      </x:c>
      <x:c r="G1547" s="2" t="str">
        <x:v>2021</x:v>
      </x:c>
      <x:c r="H1547" s="2" t="str">
        <x:v>01</x:v>
      </x:c>
      <x:c r="I1547" s="2" t="str">
        <x:v>승인</x:v>
      </x:c>
      <x:c r="J1547" s="2" t="str">
        <x:v>심의승인</x:v>
      </x:c>
      <x:c r="K1547" s="2" t="str">
        <x:f>IF(OR(J1547="심의승인",J1547="반려",J1547="반려완료",J1547="심의완료"),"종결 표시",IF(OR(J1547="기후부협의",J1547="문서재제출요청",J1547="보류",J1547="보완요청",J1547="보완완료",J1547="평가중",J1547="반려요청",J1547="평가필요",LEFT(J1547,5)="보완요청("),"미종결 표시","상태 확인 필요"))</x:f>
        <x:v>종결 표시</x:v>
      </x:c>
      <x:c r="L1547" s="2" t="str">
        <x:v>KECM</x:v>
      </x:c>
      <x:c r="M1547" s="2"/>
      <x:c r="N1547" s="8"/>
      <x:c r="O1547" s="2"/>
      <x:c r="P1547" s="2"/>
      <x:c r="Q1547" s="2" t="str">
        <x:v>산업전환_외부사업관리Tool_260707_이너젠 수정_LJY_261013.xlsx</x:v>
      </x:c>
      <x:c r="R1547" s="2" t="str">
        <x:v>국외평가</x:v>
      </x:c>
      <x:c r="S1547" s="8" t="n">
        <x:v>171</x:v>
      </x:c>
      <x:c r="T1547" s="2" t="str">
        <x:v>2021-11-02T00:00:00</x:v>
      </x:c>
      <x:c r="U1547" s="2" t="str">
        <x:v>2021 지정: 2021-11-02T00:00:00 / 2021 지정(2): (7.06 / 07.16, 11/2) / 2022 지정: (1/18),(2/9),(4/19)</x:v>
      </x:c>
      <x:c r="V1547" s="2" t="str">
        <x:v>2022-07-05</x:v>
      </x:c>
      <x:c r="W1547" s="2" t="str"/>
      <x:c r="X1547" s="2" t="str">
        <x:v>종결 근거 보관</x:v>
      </x:c>
      <x:c r="Y1547" s="2" t="str">
        <x:v>ad210cd9ec132cfd447541c8984dc53d30aff0f4fb2dc92d254d49275cc55976</x:v>
      </x:c>
      <x:c r="Z1547" s="2" t="n">
        <x:f>SUBTOTAL(103,A1547)</x:f>
        <x:v>1</x:v>
      </x:c>
      <x:c r="AA1547" s="2" t="str">
        <x:f>IF(K1547&lt;&gt;"미종결 표시","대상 아님",IF(N1547="","신청일 확인",IF(NOT(ISNUMBER('종합 현황'!$H$5)),"관찰기준 확인",IF('종합 현황'!$H$5&lt;1,"관찰기준 확인",IF(N1547&gt;'종합 현황'!$H$5,"내부 관찰 대상","내부 관찰일 이하")))))</x:f>
        <x:v>대상 아님</x:v>
      </x:c>
      <x:c r="AB1547" s="2" t="str">
        <x:v>2021-01-26 13:44:42 - 신규신청 - 신청 
2021-01-26 13:44:42 - 관장기관 지정 - 환경부
2021-01-27 09:16:29 - 관장기관 지정 - 산업통상자원부
2021-03-31 14:12:12 - 신규신청 - 문서재제출요청 
2021-06-14 17:15:16 - 재제출신청 - 신청 
2021-07-14 14:12:31 - 재제출신청 - 문서재제출요청 
2021-07-14 17:17:42 - 재제출신청 - 신청 
2021-09-13 14:57:06 - 재제출신청 - 문서재제출요청 
2021-09-15 17:13:03 - 재제출신청 - 신청 
2021-10-20 17:06:56 - 재제출신청 - 문서재제출요청 
2022-02-08 17:48:18 - 재제출신청 - 신청 
2022-03-24 14:29:06 - 재제출신청 - 보완요청 
2022-03-30 19:14:50 - 보완신청 - 신청 
2022-05-25 14:49:31 - 보완신청 - 문서재제출요청 
2022-05-25 15:24:43 - 재제출신청 - 신청 
2022-06-02 14:46:37 - 재제출신청 - 문서재제출요청 
2022-06-02 15:29:09 - 재제출신청 - 신청 
2022-07-05 17:17:48 - 재제출신청 - 평가승인 
2022-07-05 17:20:37 - 재제출신청 - 심의승인 
</x:v>
      </x:c>
    </x:row>
    <x:row r="1548" ht="42" customHeight="1">
      <x:c r="A1548" s="2" t="str">
        <x:v>fd00c03f8f05cb8836171325</x:v>
      </x:c>
      <x:c r="B1548" s="2" t="str">
        <x:v>사업 평가</x:v>
      </x:c>
      <x:c r="C1548" s="2" t="str">
        <x:v>국외</x:v>
      </x:c>
      <x:c r="D1548" s="7" t="str">
        <x:v>CPA 053 - 케나에 설치하는 석탄 스토브</x:v>
      </x:c>
      <x:c r="E1548" s="2" t="str">
        <x:v>170</x:v>
      </x:c>
      <x:c r="F1548" s="2" t="str">
        <x:v>2021-01</x:v>
      </x:c>
      <x:c r="G1548" s="2" t="str">
        <x:v>2021</x:v>
      </x:c>
      <x:c r="H1548" s="2" t="str">
        <x:v>01</x:v>
      </x:c>
      <x:c r="I1548" s="2" t="str">
        <x:v>검토필요</x:v>
      </x:c>
      <x:c r="J1548" s="2" t="str">
        <x:v>보류</x:v>
      </x:c>
      <x:c r="K1548" s="2" t="str">
        <x:f>IF(OR(J1548="심의승인",J1548="반려",J1548="반려완료",J1548="심의완료"),"종결 표시",IF(OR(J1548="기후부협의",J1548="문서재제출요청",J1548="보류",J1548="보완요청",J1548="보완완료",J1548="평가중",J1548="반려요청",J1548="평가필요",LEFT(J1548,5)="보완요청("),"미종결 표시","상태 확인 필요"))</x:f>
        <x:v>미종결 표시</x:v>
      </x:c>
      <x:c r="L1548" s="2" t="str">
        <x:v>KECM&gt;KRIC</x:v>
      </x:c>
      <x:c r="M1548" s="2"/>
      <x:c r="N1548" s="8"/>
      <x:c r="O1548" s="2"/>
      <x:c r="P1548" s="2" t="str">
        <x:v>반려요청&gt;지연사업으로 관리, 반려 필요</x:v>
      </x:c>
      <x:c r="Q1548" s="2" t="str">
        <x:v>산업전환_외부사업관리Tool_260707_이너젠 수정_LJY_261013.xlsx</x:v>
      </x:c>
      <x:c r="R1548" s="2" t="str">
        <x:v>국외평가</x:v>
      </x:c>
      <x:c r="S1548" s="8" t="n">
        <x:v>172</x:v>
      </x:c>
      <x:c r="T1548" s="2" t="str">
        <x:v>2021-11-02T00:00:00</x:v>
      </x:c>
      <x:c r="U1548" s="2" t="str">
        <x:v>2021 지정: 2021-11-02T00:00:00 / 2021 지정(2): (7.06 / 07.16, 11/2) / 2022 지정: (1/18)(5/18) / 2023 지정: (5/16)</x:v>
      </x:c>
      <x:c r="V1548" s="2" t="str">
        <x:v>2022-04-28</x:v>
      </x:c>
      <x:c r="W1548" s="2" t="str"/>
      <x:c r="X1548" s="2" t="str">
        <x:v>검토 진행 일정 확인</x:v>
      </x:c>
      <x:c r="Y1548" s="2" t="str">
        <x:v>ad210cd9ec132cfd447541c8984dc53d30aff0f4fb2dc92d254d49275cc55976</x:v>
      </x:c>
      <x:c r="Z1548" s="2" t="n">
        <x:f>SUBTOTAL(103,A1548)</x:f>
        <x:v>1</x:v>
      </x:c>
      <x:c r="AA1548" s="2" t="str">
        <x:f>IF(K1548&lt;&gt;"미종결 표시","대상 아님",IF(N1548="","신청일 확인",IF(NOT(ISNUMBER('종합 현황'!$H$5)),"관찰기준 확인",IF('종합 현황'!$H$5&lt;1,"관찰기준 확인",IF(N1548&gt;'종합 현황'!$H$5,"내부 관찰 대상","내부 관찰일 이하")))))</x:f>
        <x:v>신청일 확인</x:v>
      </x:c>
      <x:c r="AB1548" s="2" t="str">
        <x:v>2021-01-26 13:49:48 - 신규신청 - 신청 
2021-01-26 13:49:48 - 관장기관 지정 - 환경부
2021-01-27 09:16:44 - 관장기관 지정 - 산업통상자원부
2021-03-31 14:12:34 - 신규신청 - 문서재제출요청 
2021-06-14 17:16:11 - 재제출신청 - 신청 
2021-07-14 14:13:18 - 재제출신청 - 문서재제출요청 
2021-07-14 17:22:23 - 재제출신청 - 신청 
2021-09-13 14:56:47 - 재제출신청 - 문서재제출요청 
2021-09-15 17:13:13 - 재제출신청 - 신청 
2021-10-20 17:07:15 - 재제출신청 - 문서재제출요청 
2022-04-28 14:46:10 - 재제출신청 - 신청 
</x:v>
      </x:c>
    </x:row>
    <x:row r="1549" ht="42" customHeight="1">
      <x:c r="A1549" s="2" t="str">
        <x:v>462f550051c347c3a60eb3c5</x:v>
      </x:c>
      <x:c r="B1549" s="2" t="str">
        <x:v>사업 평가</x:v>
      </x:c>
      <x:c r="C1549" s="2" t="str">
        <x:v>국외</x:v>
      </x:c>
      <x:c r="D1549" s="7" t="str">
        <x:v>CPA 054 - 케나에 설치하는 석탄 스토브</x:v>
      </x:c>
      <x:c r="E1549" s="2" t="str">
        <x:v>171</x:v>
      </x:c>
      <x:c r="F1549" s="2" t="str">
        <x:v>2021-01</x:v>
      </x:c>
      <x:c r="G1549" s="2" t="str">
        <x:v>2021</x:v>
      </x:c>
      <x:c r="H1549" s="2" t="str">
        <x:v>01</x:v>
      </x:c>
      <x:c r="I1549" s="2" t="str">
        <x:v>검토필요</x:v>
      </x:c>
      <x:c r="J1549" s="2" t="str">
        <x:v>보류</x:v>
      </x:c>
      <x:c r="K1549" s="2" t="str">
        <x:f>IF(OR(J1549="심의승인",J1549="반려",J1549="반려완료",J1549="심의완료"),"종결 표시",IF(OR(J1549="기후부협의",J1549="문서재제출요청",J1549="보류",J1549="보완요청",J1549="보완완료",J1549="평가중",J1549="반려요청",J1549="평가필요",LEFT(J1549,5)="보완요청("),"미종결 표시","상태 확인 필요"))</x:f>
        <x:v>미종결 표시</x:v>
      </x:c>
      <x:c r="L1549" s="2" t="str">
        <x:v>KECM&gt;KRIC</x:v>
      </x:c>
      <x:c r="M1549" s="2"/>
      <x:c r="N1549" s="8"/>
      <x:c r="O1549" s="2"/>
      <x:c r="P1549" s="2" t="str">
        <x:v>반려요청&gt;지연사업으로 관리, 반려 필요</x:v>
      </x:c>
      <x:c r="Q1549" s="2" t="str">
        <x:v>산업전환_외부사업관리Tool_260707_이너젠 수정_LJY_261013.xlsx</x:v>
      </x:c>
      <x:c r="R1549" s="2" t="str">
        <x:v>국외평가</x:v>
      </x:c>
      <x:c r="S1549" s="8" t="n">
        <x:v>173</x:v>
      </x:c>
      <x:c r="T1549" s="2" t="str">
        <x:v>2021-11-02T00:00:00</x:v>
      </x:c>
      <x:c r="U1549" s="2" t="str">
        <x:v>2021 지정: 2021-11-02T00:00:00 / 2021 지정(2): (7.06 / 07.16, 11/2) / 2022 지정: (1/18)(5/18) / 2023 지정: (5/16)</x:v>
      </x:c>
      <x:c r="V1549" s="2" t="str">
        <x:v>2022-04-28</x:v>
      </x:c>
      <x:c r="W1549" s="2" t="str"/>
      <x:c r="X1549" s="2" t="str">
        <x:v>검토 진행 일정 확인</x:v>
      </x:c>
      <x:c r="Y1549" s="2" t="str">
        <x:v>ad210cd9ec132cfd447541c8984dc53d30aff0f4fb2dc92d254d49275cc55976</x:v>
      </x:c>
      <x:c r="Z1549" s="2" t="n">
        <x:f>SUBTOTAL(103,A1549)</x:f>
        <x:v>1</x:v>
      </x:c>
      <x:c r="AA1549" s="2" t="str">
        <x:f>IF(K1549&lt;&gt;"미종결 표시","대상 아님",IF(N1549="","신청일 확인",IF(NOT(ISNUMBER('종합 현황'!$H$5)),"관찰기준 확인",IF('종합 현황'!$H$5&lt;1,"관찰기준 확인",IF(N1549&gt;'종합 현황'!$H$5,"내부 관찰 대상","내부 관찰일 이하")))))</x:f>
        <x:v>신청일 확인</x:v>
      </x:c>
      <x:c r="AB1549" s="2" t="str">
        <x:v>2021-01-26 13:54:19 - 신규신청 - 신청 
2021-01-26 13:54:19 - 관장기관 지정 - 환경부
2021-01-27 09:17:00 - 관장기관 지정 - 산업통상자원부
2021-03-31 14:12:57 - 신규신청 - 문서재제출요청 
2021-06-14 17:18:59 - 재제출신청 - 신청 
2021-07-14 14:14:17 - 재제출신청 - 문서재제출요청 
2021-07-14 17:26:06 - 재제출신청 - 신청 
2021-09-13 14:57:26 - 재제출신청 - 문서재제출요청 
2021-09-15 17:14:19 - 재제출신청 - 신청 
2021-10-20 17:07:33 - 재제출신청 - 문서재제출요청 
2022-04-28 14:47:59 - 재제출신청 - 신청 
</x:v>
      </x:c>
    </x:row>
    <x:row r="1550" ht="42" customHeight="1">
      <x:c r="A1550" s="2" t="str">
        <x:v>8d7e561c0f5ea844b4f7338d</x:v>
      </x:c>
      <x:c r="B1550" s="2" t="str">
        <x:v>사업 평가</x:v>
      </x:c>
      <x:c r="C1550" s="2" t="str">
        <x:v>국외</x:v>
      </x:c>
      <x:c r="D1550" s="7" t="str">
        <x:v>CPA 055 - 케나에 설치하는 석탄 스토브</x:v>
      </x:c>
      <x:c r="E1550" s="2" t="str">
        <x:v>172</x:v>
      </x:c>
      <x:c r="F1550" s="2" t="str">
        <x:v>2021-01</x:v>
      </x:c>
      <x:c r="G1550" s="2" t="str">
        <x:v>2021</x:v>
      </x:c>
      <x:c r="H1550" s="2" t="str">
        <x:v>01</x:v>
      </x:c>
      <x:c r="I1550" s="2" t="str">
        <x:v>검토필요</x:v>
      </x:c>
      <x:c r="J1550" s="2" t="str">
        <x:v>보류</x:v>
      </x:c>
      <x:c r="K1550" s="2" t="str">
        <x:f>IF(OR(J1550="심의승인",J1550="반려",J1550="반려완료",J1550="심의완료"),"종결 표시",IF(OR(J1550="기후부협의",J1550="문서재제출요청",J1550="보류",J1550="보완요청",J1550="보완완료",J1550="평가중",J1550="반려요청",J1550="평가필요",LEFT(J1550,5)="보완요청("),"미종결 표시","상태 확인 필요"))</x:f>
        <x:v>미종결 표시</x:v>
      </x:c>
      <x:c r="L1550" s="2" t="str">
        <x:v>KECM&gt;KRIC</x:v>
      </x:c>
      <x:c r="M1550" s="2"/>
      <x:c r="N1550" s="8"/>
      <x:c r="O1550" s="2"/>
      <x:c r="P1550" s="2" t="str">
        <x:v>반려요청&gt;지연사업으로 관리, 반려 필요</x:v>
      </x:c>
      <x:c r="Q1550" s="2" t="str">
        <x:v>산업전환_외부사업관리Tool_260707_이너젠 수정_LJY_261013.xlsx</x:v>
      </x:c>
      <x:c r="R1550" s="2" t="str">
        <x:v>국외평가</x:v>
      </x:c>
      <x:c r="S1550" s="8" t="n">
        <x:v>174</x:v>
      </x:c>
      <x:c r="T1550" s="2" t="str">
        <x:v>2021-11-02T00:00:00</x:v>
      </x:c>
      <x:c r="U1550" s="2" t="str">
        <x:v>2021 지정: 2021-11-02T00:00:00 / 2021 지정(2): (7.06 / 07.16, 11/2) / 2022 지정: (1/18)(5/18) / 2023 지정: (5/16)</x:v>
      </x:c>
      <x:c r="V1550" s="2" t="str">
        <x:v>2022-04-28</x:v>
      </x:c>
      <x:c r="W1550" s="2" t="str"/>
      <x:c r="X1550" s="2" t="str">
        <x:v>검토 진행 일정 확인</x:v>
      </x:c>
      <x:c r="Y1550" s="2" t="str">
        <x:v>ad210cd9ec132cfd447541c8984dc53d30aff0f4fb2dc92d254d49275cc55976</x:v>
      </x:c>
      <x:c r="Z1550" s="2" t="n">
        <x:f>SUBTOTAL(103,A1550)</x:f>
        <x:v>1</x:v>
      </x:c>
      <x:c r="AA1550" s="2" t="str">
        <x:f>IF(K1550&lt;&gt;"미종결 표시","대상 아님",IF(N1550="","신청일 확인",IF(NOT(ISNUMBER('종합 현황'!$H$5)),"관찰기준 확인",IF('종합 현황'!$H$5&lt;1,"관찰기준 확인",IF(N1550&gt;'종합 현황'!$H$5,"내부 관찰 대상","내부 관찰일 이하")))))</x:f>
        <x:v>신청일 확인</x:v>
      </x:c>
      <x:c r="AB1550" s="2" t="str">
        <x:v>2021-01-26 13:59:01 - 신규신청 - 신청 
2021-01-26 13:59:01 - 관장기관 지정 - 환경부
2021-01-27 09:17:16 - 관장기관 지정 - 산업통상자원부
2021-03-31 14:13:25 - 신규신청 - 문서재제출요청 
2021-06-14 17:19:58 - 재제출신청 - 신청 
2021-07-14 14:14:59 - 재제출신청 - 문서재제출요청 
2021-07-14 17:29:45 - 재제출신청 - 신청 
2021-09-13 14:57:47 - 재제출신청 - 문서재제출요청 
2021-09-15 17:14:36 - 재제출신청 - 신청 
2021-10-20 17:08:03 - 재제출신청 - 문서재제출요청 
2022-04-28 14:48:25 - 재제출신청 - 신청 
</x:v>
      </x:c>
    </x:row>
    <x:row r="1551" ht="42" customHeight="1">
      <x:c r="A1551" s="2" t="str">
        <x:v>e9318a7bb5b130d1977cb804</x:v>
      </x:c>
      <x:c r="B1551" s="2" t="str">
        <x:v>사업 평가</x:v>
      </x:c>
      <x:c r="C1551" s="2" t="str">
        <x:v>국외</x:v>
      </x:c>
      <x:c r="D1551" s="7" t="str">
        <x:v>사하라 이남 아프리카 고효율 쿡스토브 보급 사업-잠비아-CPA005</x:v>
      </x:c>
      <x:c r="E1551" s="2" t="str">
        <x:v>173</x:v>
      </x:c>
      <x:c r="F1551" s="2" t="str">
        <x:v>2021-02</x:v>
      </x:c>
      <x:c r="G1551" s="2" t="str">
        <x:v>2021</x:v>
      </x:c>
      <x:c r="H1551" s="2" t="str">
        <x:v>02</x:v>
      </x:c>
      <x:c r="I1551" s="2" t="str">
        <x:v>승인</x:v>
      </x:c>
      <x:c r="J1551" s="2" t="str">
        <x:v>심의승인</x:v>
      </x:c>
      <x:c r="K1551" s="2" t="str">
        <x:f>IF(OR(J1551="심의승인",J1551="반려",J1551="반려완료",J1551="심의완료"),"종결 표시",IF(OR(J1551="기후부협의",J1551="문서재제출요청",J1551="보류",J1551="보완요청",J1551="보완완료",J1551="평가중",J1551="반려요청",J1551="평가필요",LEFT(J1551,5)="보완요청("),"미종결 표시","상태 확인 필요"))</x:f>
        <x:v>종결 표시</x:v>
      </x:c>
      <x:c r="L1551" s="2" t="str">
        <x:v>KECM</x:v>
      </x:c>
      <x:c r="M1551" s="2"/>
      <x:c r="N1551" s="8"/>
      <x:c r="O1551" s="2"/>
      <x:c r="P1551" s="2"/>
      <x:c r="Q1551" s="2" t="str">
        <x:v>산업전환_외부사업관리Tool_260707_이너젠 수정_LJY_261013.xlsx</x:v>
      </x:c>
      <x:c r="R1551" s="2" t="str">
        <x:v>국외평가</x:v>
      </x:c>
      <x:c r="S1551" s="8" t="n">
        <x:v>175</x:v>
      </x:c>
      <x:c r="T1551" s="2" t="str">
        <x:v>2021-07-28T00:00:00</x:v>
      </x:c>
      <x:c r="U1551" s="2" t="str">
        <x:v>2021 지정: 2021-07-28T00:00:00 / 2022 지정: (1/18)</x:v>
      </x:c>
      <x:c r="V1551" s="2" t="str">
        <x:v>2021-09-27</x:v>
      </x:c>
      <x:c r="W1551" s="2" t="str"/>
      <x:c r="X1551" s="2" t="str">
        <x:v>종결 근거 보관</x:v>
      </x:c>
      <x:c r="Y1551" s="2" t="str">
        <x:v>ad210cd9ec132cfd447541c8984dc53d30aff0f4fb2dc92d254d49275cc55976</x:v>
      </x:c>
      <x:c r="Z1551" s="2" t="n">
        <x:f>SUBTOTAL(103,A1551)</x:f>
        <x:v>1</x:v>
      </x:c>
      <x:c r="AA1551" s="2" t="str">
        <x:f>IF(K1551&lt;&gt;"미종결 표시","대상 아님",IF(N1551="","신청일 확인",IF(NOT(ISNUMBER('종합 현황'!$H$5)),"관찰기준 확인",IF('종합 현황'!$H$5&lt;1,"관찰기준 확인",IF(N1551&gt;'종합 현황'!$H$5,"내부 관찰 대상","내부 관찰일 이하")))))</x:f>
        <x:v>대상 아님</x:v>
      </x:c>
      <x:c r="AB1551" s="2" t="str">
        <x:v>2021-02-10 12:52:36 - 신규신청 - 신청 
2021-02-10 12:52:36 - 관장기관 지정 - 환경부
2021-02-15 16:07:17 - 관장기관 지정 - 산업통상자원부
2021-02-16 09:13:44 - 신규신청 - 문서재제출요청 
2021-04-02 11:24:47 - 재제출신청 - 신청 
2021-04-12 13:57:02 - 재제출신청 - 문서재제출요청 
2021-04-12 14:07:55 - 재제출신청 - 신청 
2021-04-16 09:35:14 - 재제출신청 - 문서재제출요청 
2021-04-16 15:05:27 - 재제출신청 - 신청 
2021-06-09 09:31:33 - 재제출신청 - 문서재제출요청 
2021-07-22 14:12:05 - 재제출신청 - 신청 
2021-08-24 10:12:28 - 재제출신청 - 문서재제출요청 
2021-08-24 11:17:32 - 재제출신청 - 신청 
2021-09-27 11:22:39 - 재제출신청 - 평가승인 
2021-09-27 11:23:11 - 재제출신청 - 심의승인 
2021-09-27 11:42:35 - 재제출신청 - 착수신고 
</x:v>
      </x:c>
    </x:row>
    <x:row r="1552" ht="42" customHeight="1">
      <x:c r="A1552" s="2" t="str">
        <x:v>9f3352697cac069d81355e68</x:v>
      </x:c>
      <x:c r="B1552" s="2" t="str">
        <x:v>사업 평가</x:v>
      </x:c>
      <x:c r="C1552" s="2" t="str">
        <x:v>국외</x:v>
      </x:c>
      <x:c r="D1552" s="7" t="str">
        <x:v>라오스 가정용 스토브 보급-CPA003</x:v>
      </x:c>
      <x:c r="E1552" s="2" t="str">
        <x:v>174</x:v>
      </x:c>
      <x:c r="F1552" s="2" t="str">
        <x:v>2021-02</x:v>
      </x:c>
      <x:c r="G1552" s="2" t="str">
        <x:v>2021</x:v>
      </x:c>
      <x:c r="H1552" s="2" t="str">
        <x:v>02</x:v>
      </x:c>
      <x:c r="I1552" s="2" t="str">
        <x:v>승인</x:v>
      </x:c>
      <x:c r="J1552" s="2" t="str">
        <x:v>심의승인</x:v>
      </x:c>
      <x:c r="K1552" s="2" t="str">
        <x:f>IF(OR(J1552="심의승인",J1552="반려",J1552="반려완료",J1552="심의완료"),"종결 표시",IF(OR(J1552="기후부협의",J1552="문서재제출요청",J1552="보류",J1552="보완요청",J1552="보완완료",J1552="평가중",J1552="반려요청",J1552="평가필요",LEFT(J1552,5)="보완요청("),"미종결 표시","상태 확인 필요"))</x:f>
        <x:v>종결 표시</x:v>
      </x:c>
      <x:c r="L1552" s="2" t="str">
        <x:v>KECM</x:v>
      </x:c>
      <x:c r="M1552" s="2"/>
      <x:c r="N1552" s="8"/>
      <x:c r="O1552" s="2"/>
      <x:c r="P1552" s="2"/>
      <x:c r="Q1552" s="2" t="str">
        <x:v>산업전환_외부사업관리Tool_260707_이너젠 수정_LJY_261013.xlsx</x:v>
      </x:c>
      <x:c r="R1552" s="2" t="str">
        <x:v>국외평가</x:v>
      </x:c>
      <x:c r="S1552" s="8" t="n">
        <x:v>176</x:v>
      </x:c>
      <x:c r="T1552" s="2" t="str">
        <x:v>2021-07-28T00:00:00</x:v>
      </x:c>
      <x:c r="U1552" s="2" t="str">
        <x:v>2021 지정: 2021-07-28T00:00:00 / 2022 지정: (1/18)</x:v>
      </x:c>
      <x:c r="V1552" s="2" t="str">
        <x:v>2021-09-27</x:v>
      </x:c>
      <x:c r="W1552" s="2" t="str"/>
      <x:c r="X1552" s="2" t="str">
        <x:v>종결 근거 보관</x:v>
      </x:c>
      <x:c r="Y1552" s="2" t="str">
        <x:v>ad210cd9ec132cfd447541c8984dc53d30aff0f4fb2dc92d254d49275cc55976</x:v>
      </x:c>
      <x:c r="Z1552" s="2" t="n">
        <x:f>SUBTOTAL(103,A1552)</x:f>
        <x:v>1</x:v>
      </x:c>
      <x:c r="AA1552" s="2" t="str">
        <x:f>IF(K1552&lt;&gt;"미종결 표시","대상 아님",IF(N1552="","신청일 확인",IF(NOT(ISNUMBER('종합 현황'!$H$5)),"관찰기준 확인",IF('종합 현황'!$H$5&lt;1,"관찰기준 확인",IF(N1552&gt;'종합 현황'!$H$5,"내부 관찰 대상","내부 관찰일 이하")))))</x:f>
        <x:v>대상 아님</x:v>
      </x:c>
      <x:c r="AB1552" s="2" t="str">
        <x:v>2021-02-22 15:11:21 - 신규신청 - 접수 
2021-02-22 15:11:21 - 관장기관 지정 - 환경부
2021-02-22 15:27:41 - 관장기관 지정 - 산업통상자원부
2021-03-04 11:35:50 - 신규신청 - 신청 
2021-03-09 09:55:32 - 신규신청 - 문서재제출요청 
2021-03-22 15:20:57 - 재제출신청 - 접수 
2021-03-24 15:07:45 - 재제출신청 - 신청 
2021-04-16 09:36:19 - 재제출신청 - 문서재제출요청 
2021-04-16 15:05:51 - 재제출신청 - 접수 
2021-04-16 15:13:02 - 재제출신청 - 신청 
2021-06-09 09:30:10 - 재제출신청 - 문서재제출요청 
2021-07-16 13:03:58 - 재제출신청 - 접수 
2021-07-16 14:27:42 - 재제출신청 - 신청 
2021-08-24 10:08:56 - 재제출신청 - 문서재제출요청 
2021-08-24 11:15:43 - 재제출신청 - 접수 
2021-08-24 11:26:31 - 재제출신청 - 신청 
2021-09-27 11:18:54 - 재제출신청 - 평가승인 
2021-09-27 11:19:15 - 재제출신청 - 심의승인 
2021-09-27 11:43:39 - 재제출신청 - 착수신고 
</x:v>
      </x:c>
    </x:row>
    <x:row r="1553" ht="42" customHeight="1">
      <x:c r="A1553" s="2" t="str">
        <x:v>65f903a5c959be4e449dbe54</x:v>
      </x:c>
      <x:c r="B1553" s="2" t="str">
        <x:v>사업 평가</x:v>
      </x:c>
      <x:c r="C1553" s="2" t="str">
        <x:v>국외</x:v>
      </x:c>
      <x:c r="D1553" s="7" t="str">
        <x:v>캄보디아 가정용 스토브 보급-CPA004</x:v>
      </x:c>
      <x:c r="E1553" s="2" t="str">
        <x:v>175</x:v>
      </x:c>
      <x:c r="F1553" s="2" t="str">
        <x:v>2021-02</x:v>
      </x:c>
      <x:c r="G1553" s="2" t="str">
        <x:v>2021</x:v>
      </x:c>
      <x:c r="H1553" s="2" t="str">
        <x:v>02</x:v>
      </x:c>
      <x:c r="I1553" s="2" t="str">
        <x:v>승인</x:v>
      </x:c>
      <x:c r="J1553" s="2" t="str">
        <x:v>심의승인</x:v>
      </x:c>
      <x:c r="K1553" s="2" t="str">
        <x:f>IF(OR(J1553="심의승인",J1553="반려",J1553="반려완료",J1553="심의완료"),"종결 표시",IF(OR(J1553="기후부협의",J1553="문서재제출요청",J1553="보류",J1553="보완요청",J1553="보완완료",J1553="평가중",J1553="반려요청",J1553="평가필요",LEFT(J1553,5)="보완요청("),"미종결 표시","상태 확인 필요"))</x:f>
        <x:v>종결 표시</x:v>
      </x:c>
      <x:c r="L1553" s="2" t="str">
        <x:v>KECM</x:v>
      </x:c>
      <x:c r="M1553" s="2"/>
      <x:c r="N1553" s="8"/>
      <x:c r="O1553" s="2"/>
      <x:c r="P1553" s="2"/>
      <x:c r="Q1553" s="2" t="str">
        <x:v>산업전환_외부사업관리Tool_260707_이너젠 수정_LJY_261013.xlsx</x:v>
      </x:c>
      <x:c r="R1553" s="2" t="str">
        <x:v>국외평가</x:v>
      </x:c>
      <x:c r="S1553" s="8" t="n">
        <x:v>177</x:v>
      </x:c>
      <x:c r="T1553" s="2" t="str">
        <x:v>2021-07-28T00:00:00</x:v>
      </x:c>
      <x:c r="U1553" s="2" t="str">
        <x:v>2021 지정: 2021-07-28T00:00:00 / 2022 지정: (1/18)</x:v>
      </x:c>
      <x:c r="V1553" s="2" t="str">
        <x:v>2021-09-27</x:v>
      </x:c>
      <x:c r="W1553" s="2" t="str"/>
      <x:c r="X1553" s="2" t="str">
        <x:v>종결 근거 보관</x:v>
      </x:c>
      <x:c r="Y1553" s="2" t="str">
        <x:v>ad210cd9ec132cfd447541c8984dc53d30aff0f4fb2dc92d254d49275cc55976</x:v>
      </x:c>
      <x:c r="Z1553" s="2" t="n">
        <x:f>SUBTOTAL(103,A1553)</x:f>
        <x:v>1</x:v>
      </x:c>
      <x:c r="AA1553" s="2" t="str">
        <x:f>IF(K1553&lt;&gt;"미종결 표시","대상 아님",IF(N1553="","신청일 확인",IF(NOT(ISNUMBER('종합 현황'!$H$5)),"관찰기준 확인",IF('종합 현황'!$H$5&lt;1,"관찰기준 확인",IF(N1553&gt;'종합 현황'!$H$5,"내부 관찰 대상","내부 관찰일 이하")))))</x:f>
        <x:v>대상 아님</x:v>
      </x:c>
      <x:c r="AB1553" s="2" t="str">
        <x:v>2021-02-22 15:11:49 - 신규신청 - 접수 
2021-02-22 15:11:49 - 관장기관 지정 - 환경부
2021-02-22 15:27:23 - 관장기관 지정 - 산업통상자원부
2021-03-04 11:33:51 - 신규신청 - 신청 
2021-03-09 11:08:05 - 신규신청 - 문서재제출요청 
2021-03-19 13:18:37 - 재제출신청 - 접수 
2021-03-24 15:07:31 - 재제출신청 - 신청 
2021-04-16 09:36:43 - 재제출신청 - 문서재제출요청 
2021-04-16 15:06:04 - 재제출신청 - 접수 
2021-04-16 15:12:40 - 재제출신청 - 신청 
2021-06-09 09:30:48 - 재제출신청 - 문서재제출요청 
2021-07-16 13:04:21 - 재제출신청 - 접수 
2021-07-16 14:25:34 - 재제출신청 - 신청 
2021-08-24 10:09:17 - 재제출신청 - 문서재제출요청 
2021-08-24 11:16:25 - 재제출신청 - 접수 
2021-08-24 11:27:37 - 재제출신청 - 신청 
2021-08-31 09:41:24 - 재제출신청 - 문서재제출요청 
2021-08-31 10:10:39 - 재제출신청 - 접수 
2021-08-31 10:14:43 - 재제출신청 - 신청 
2021-09-27 11:50:03 - 재제출신청 - 평가승인 
2021-09-27 11:50:27 - 재제출신청 - 심의승인 
2021-09-27 11:57:23 - 재제출신청 - 착수신고 
</x:v>
      </x:c>
    </x:row>
    <x:row r="1554" ht="42" customHeight="1">
      <x:c r="A1554" s="2" t="str">
        <x:v>ad398828834ba88f424ccaad</x:v>
      </x:c>
      <x:c r="B1554" s="2" t="str">
        <x:v>사업 평가</x:v>
      </x:c>
      <x:c r="C1554" s="2" t="str">
        <x:v>국외</x:v>
      </x:c>
      <x:c r="D1554" s="7" t="str">
        <x:v>대한민국이 지원한 우간다 UpEnergy 고효율 쿡스토브 사업-CPA0024</x:v>
      </x:c>
      <x:c r="E1554" s="2" t="str">
        <x:v>176</x:v>
      </x:c>
      <x:c r="F1554" s="2" t="str">
        <x:v>2021-03</x:v>
      </x:c>
      <x:c r="G1554" s="2" t="str">
        <x:v>2021</x:v>
      </x:c>
      <x:c r="H1554" s="2" t="str">
        <x:v>03</x:v>
      </x:c>
      <x:c r="I1554" s="2" t="str">
        <x:v>승인</x:v>
      </x:c>
      <x:c r="J1554" s="2" t="str">
        <x:v>심의승인</x:v>
      </x:c>
      <x:c r="K1554" s="2" t="str">
        <x:f>IF(OR(J1554="심의승인",J1554="반려",J1554="반려완료",J1554="심의완료"),"종결 표시",IF(OR(J1554="기후부협의",J1554="문서재제출요청",J1554="보류",J1554="보완요청",J1554="보완완료",J1554="평가중",J1554="반려요청",J1554="평가필요",LEFT(J1554,5)="보완요청("),"미종결 표시","상태 확인 필요"))</x:f>
        <x:v>종결 표시</x:v>
      </x:c>
      <x:c r="L1554" s="2" t="str">
        <x:v>에코시안_배윤빈</x:v>
      </x:c>
      <x:c r="M1554" s="2"/>
      <x:c r="N1554" s="8"/>
      <x:c r="O1554" s="2"/>
      <x:c r="P1554" s="2"/>
      <x:c r="Q1554" s="2" t="str">
        <x:v>산업전환_외부사업관리Tool_260707_이너젠 수정_LJY_261013.xlsx</x:v>
      </x:c>
      <x:c r="R1554" s="2" t="str">
        <x:v>국외평가</x:v>
      </x:c>
      <x:c r="S1554" s="8" t="n">
        <x:v>178</x:v>
      </x:c>
      <x:c r="T1554" s="2" t="str">
        <x:v>2021-07-28T00:00:00</x:v>
      </x:c>
      <x:c r="U1554" s="2" t="str">
        <x:v>2021 지정: 2021-07-28T00:00:00 / 2022 지정: (1/18)</x:v>
      </x:c>
      <x:c r="V1554" s="2" t="str">
        <x:v>2021-09-27</x:v>
      </x:c>
      <x:c r="W1554" s="2" t="str"/>
      <x:c r="X1554" s="2" t="str">
        <x:v>종결 근거 보관</x:v>
      </x:c>
      <x:c r="Y1554" s="2" t="str">
        <x:v>ad210cd9ec132cfd447541c8984dc53d30aff0f4fb2dc92d254d49275cc55976</x:v>
      </x:c>
      <x:c r="Z1554" s="2" t="n">
        <x:f>SUBTOTAL(103,A1554)</x:f>
        <x:v>1</x:v>
      </x:c>
      <x:c r="AA1554" s="2" t="str">
        <x:f>IF(K1554&lt;&gt;"미종결 표시","대상 아님",IF(N1554="","신청일 확인",IF(NOT(ISNUMBER('종합 현황'!$H$5)),"관찰기준 확인",IF('종합 현황'!$H$5&lt;1,"관찰기준 확인",IF(N1554&gt;'종합 현황'!$H$5,"내부 관찰 대상","내부 관찰일 이하")))))</x:f>
        <x:v>대상 아님</x:v>
      </x:c>
      <x:c r="AB1554" s="2" t="str">
        <x:v>2021-03-10 08:00:52 - 신규신청 - 신청 
2021-03-10 08:00:52 - 관장기관 지정 - 환경부
2021-03-12 16:37:06 - 관장기관 지정 - 산업통상자원부
2021-04-05 16:35:01 - 신규신청 - 문서재제출요청 
2021-04-05 17:33:26 - 재제출신청 - 신청 
2021-06-09 09:28:54 - 재제출신청 - 문서재제출요청 
2021-07-21 13:44:10 - 재제출신청 - 신청 
2021-09-27 11:07:32 - 재제출신청 - 평가승인 
2021-09-27 11:08:21 - 재제출신청 - 심의승인 
2021-09-27 11:56:47 - 재제출신청 - 착수신고 
</x:v>
      </x:c>
    </x:row>
    <x:row r="1555" ht="42" customHeight="1">
      <x:c r="A1555" s="2" t="str">
        <x:v>529f8ff14e544c5352f37c5a</x:v>
      </x:c>
      <x:c r="B1555" s="2" t="str">
        <x:v>사업 평가</x:v>
      </x:c>
      <x:c r="C1555" s="2" t="str">
        <x:v>국외</x:v>
      </x:c>
      <x:c r="D1555" s="7" t="str">
        <x:v>대한민국이 지원한 우간다 UpEnergy 고효율 쿡스토브 사업-CPA0025</x:v>
      </x:c>
      <x:c r="E1555" s="2" t="str">
        <x:v>177</x:v>
      </x:c>
      <x:c r="F1555" s="2" t="str">
        <x:v>2021-03</x:v>
      </x:c>
      <x:c r="G1555" s="2" t="str">
        <x:v>2021</x:v>
      </x:c>
      <x:c r="H1555" s="2" t="str">
        <x:v>03</x:v>
      </x:c>
      <x:c r="I1555" s="2" t="str">
        <x:v>승인</x:v>
      </x:c>
      <x:c r="J1555" s="2" t="str">
        <x:v>심의승인</x:v>
      </x:c>
      <x:c r="K1555" s="2" t="str">
        <x:f>IF(OR(J1555="심의승인",J1555="반려",J1555="반려완료",J1555="심의완료"),"종결 표시",IF(OR(J1555="기후부협의",J1555="문서재제출요청",J1555="보류",J1555="보완요청",J1555="보완완료",J1555="평가중",J1555="반려요청",J1555="평가필요",LEFT(J1555,5)="보완요청("),"미종결 표시","상태 확인 필요"))</x:f>
        <x:v>종결 표시</x:v>
      </x:c>
      <x:c r="L1555" s="2" t="str">
        <x:v>에코시안_배윤빈</x:v>
      </x:c>
      <x:c r="M1555" s="2"/>
      <x:c r="N1555" s="8"/>
      <x:c r="O1555" s="2"/>
      <x:c r="P1555" s="2"/>
      <x:c r="Q1555" s="2" t="str">
        <x:v>산업전환_외부사업관리Tool_260707_이너젠 수정_LJY_261013.xlsx</x:v>
      </x:c>
      <x:c r="R1555" s="2" t="str">
        <x:v>국외평가</x:v>
      </x:c>
      <x:c r="S1555" s="8" t="n">
        <x:v>179</x:v>
      </x:c>
      <x:c r="T1555" s="2" t="str">
        <x:v>2021-07-28T00:00:00</x:v>
      </x:c>
      <x:c r="U1555" s="2" t="str">
        <x:v>2021 지정: 2021-07-28T00:00:00 / 2022 지정: (1/18)</x:v>
      </x:c>
      <x:c r="V1555" s="2" t="str">
        <x:v>2021-09-27</x:v>
      </x:c>
      <x:c r="W1555" s="2" t="str"/>
      <x:c r="X1555" s="2" t="str">
        <x:v>종결 근거 보관</x:v>
      </x:c>
      <x:c r="Y1555" s="2" t="str">
        <x:v>ad210cd9ec132cfd447541c8984dc53d30aff0f4fb2dc92d254d49275cc55976</x:v>
      </x:c>
      <x:c r="Z1555" s="2" t="n">
        <x:f>SUBTOTAL(103,A1555)</x:f>
        <x:v>1</x:v>
      </x:c>
      <x:c r="AA1555" s="2" t="str">
        <x:f>IF(K1555&lt;&gt;"미종결 표시","대상 아님",IF(N1555="","신청일 확인",IF(NOT(ISNUMBER('종합 현황'!$H$5)),"관찰기준 확인",IF('종합 현황'!$H$5&lt;1,"관찰기준 확인",IF(N1555&gt;'종합 현황'!$H$5,"내부 관찰 대상","내부 관찰일 이하")))))</x:f>
        <x:v>대상 아님</x:v>
      </x:c>
      <x:c r="AB1555" s="2" t="str">
        <x:v>2021-03-10 08:02:48 - 신규신청 - 신청 
2021-03-10 08:02:48 - 관장기관 지정 - 환경부
2021-03-12 16:37:14 - 관장기관 지정 - 산업통상자원부
2021-04-05 16:34:48 - 신규신청 - 문서재제출요청 
2021-04-05 17:37:28 - 재제출신청 - 신청 
2021-06-09 09:29:27 - 재제출신청 - 문서재제출요청 
2021-07-21 13:44:30 - 재제출신청 - 신청 
2021-09-27 11:07:13 - 재제출신청 - 평가승인 
2021-09-27 11:08:48 - 재제출신청 - 심의승인 
2021-09-27 11:56:28 - 재제출신청 - 착수신고 
</x:v>
      </x:c>
    </x:row>
    <x:row r="1556" ht="42" customHeight="1">
      <x:c r="A1556" s="2" t="str">
        <x:v>8b32ba4d8ac36729f997fd26</x:v>
      </x:c>
      <x:c r="B1556" s="2" t="str">
        <x:v>사업 평가</x:v>
      </x:c>
      <x:c r="C1556" s="2" t="str">
        <x:v>국외</x:v>
      </x:c>
      <x:c r="D1556" s="7" t="str">
        <x:v>대한민국이 지원한 우간다 UpEnergy 고효율 쿡스토브 사업-CPA0026</x:v>
      </x:c>
      <x:c r="E1556" s="2" t="str">
        <x:v>178</x:v>
      </x:c>
      <x:c r="F1556" s="2" t="str">
        <x:v>2021-03</x:v>
      </x:c>
      <x:c r="G1556" s="2" t="str">
        <x:v>2021</x:v>
      </x:c>
      <x:c r="H1556" s="2" t="str">
        <x:v>03</x:v>
      </x:c>
      <x:c r="I1556" s="2" t="str">
        <x:v>승인</x:v>
      </x:c>
      <x:c r="J1556" s="2" t="str">
        <x:v>심의승인</x:v>
      </x:c>
      <x:c r="K1556" s="2" t="str">
        <x:f>IF(OR(J1556="심의승인",J1556="반려",J1556="반려완료",J1556="심의완료"),"종결 표시",IF(OR(J1556="기후부협의",J1556="문서재제출요청",J1556="보류",J1556="보완요청",J1556="보완완료",J1556="평가중",J1556="반려요청",J1556="평가필요",LEFT(J1556,5)="보완요청("),"미종결 표시","상태 확인 필요"))</x:f>
        <x:v>종결 표시</x:v>
      </x:c>
      <x:c r="L1556" s="2" t="str">
        <x:v>에코시안_배윤빈</x:v>
      </x:c>
      <x:c r="M1556" s="2"/>
      <x:c r="N1556" s="8"/>
      <x:c r="O1556" s="2"/>
      <x:c r="P1556" s="2"/>
      <x:c r="Q1556" s="2" t="str">
        <x:v>산업전환_외부사업관리Tool_260707_이너젠 수정_LJY_261013.xlsx</x:v>
      </x:c>
      <x:c r="R1556" s="2" t="str">
        <x:v>국외평가</x:v>
      </x:c>
      <x:c r="S1556" s="8" t="n">
        <x:v>180</x:v>
      </x:c>
      <x:c r="T1556" s="2" t="str">
        <x:v>2021-07-28T00:00:00</x:v>
      </x:c>
      <x:c r="U1556" s="2" t="str">
        <x:v>2021 지정: 2021-07-28T00:00:00 / 2022 지정: (1/18)</x:v>
      </x:c>
      <x:c r="V1556" s="2" t="str">
        <x:v>2021-09-27</x:v>
      </x:c>
      <x:c r="W1556" s="2" t="str"/>
      <x:c r="X1556" s="2" t="str">
        <x:v>종결 근거 보관</x:v>
      </x:c>
      <x:c r="Y1556" s="2" t="str">
        <x:v>ad210cd9ec132cfd447541c8984dc53d30aff0f4fb2dc92d254d49275cc55976</x:v>
      </x:c>
      <x:c r="Z1556" s="2" t="n">
        <x:f>SUBTOTAL(103,A1556)</x:f>
        <x:v>1</x:v>
      </x:c>
      <x:c r="AA1556" s="2" t="str">
        <x:f>IF(K1556&lt;&gt;"미종결 표시","대상 아님",IF(N1556="","신청일 확인",IF(NOT(ISNUMBER('종합 현황'!$H$5)),"관찰기준 확인",IF('종합 현황'!$H$5&lt;1,"관찰기준 확인",IF(N1556&gt;'종합 현황'!$H$5,"내부 관찰 대상","내부 관찰일 이하")))))</x:f>
        <x:v>대상 아님</x:v>
      </x:c>
      <x:c r="AB1556" s="2" t="str">
        <x:v>2021-03-10 08:10:08 - 신규신청 - 신청 
2021-03-10 08:10:08 - 관장기관 지정 - 환경부
2021-03-12 16:37:37 - 관장기관 지정 - 산업통상자원부
2021-04-05 16:34:32 - 신규신청 - 문서재제출요청 
2021-04-05 17:39:29 - 재제출신청 - 신청 
2021-06-09 09:52:47 - 재제출신청 - 문서재제출요청 
2021-07-21 13:44:47 - 재제출신청 - 신청 
2021-09-27 11:05:18 - 재제출신청 - 평가승인 
2021-09-27 11:11:06 - 재제출신청 - 심의승인 
2021-09-27 11:54:49 - 재제출신청 - 착수신고 
</x:v>
      </x:c>
    </x:row>
    <x:row r="1557" ht="42" customHeight="1">
      <x:c r="A1557" s="2" t="str">
        <x:v>890629de4a06b4ab000a13f8</x:v>
      </x:c>
      <x:c r="B1557" s="2" t="str">
        <x:v>사업 평가</x:v>
      </x:c>
      <x:c r="C1557" s="2" t="str">
        <x:v>국외</x:v>
      </x:c>
      <x:c r="D1557" s="7" t="str">
        <x:v>대한민국이 지원한 우간다 UpEnergy 고효율 쿡스토브 사업-CPA0027</x:v>
      </x:c>
      <x:c r="E1557" s="2" t="str">
        <x:v>179</x:v>
      </x:c>
      <x:c r="F1557" s="2" t="str">
        <x:v>2021-03</x:v>
      </x:c>
      <x:c r="G1557" s="2" t="str">
        <x:v>2021</x:v>
      </x:c>
      <x:c r="H1557" s="2" t="str">
        <x:v>03</x:v>
      </x:c>
      <x:c r="I1557" s="2" t="str">
        <x:v>승인</x:v>
      </x:c>
      <x:c r="J1557" s="2" t="str">
        <x:v>심의승인</x:v>
      </x:c>
      <x:c r="K1557" s="2" t="str">
        <x:f>IF(OR(J1557="심의승인",J1557="반려",J1557="반려완료",J1557="심의완료"),"종결 표시",IF(OR(J1557="기후부협의",J1557="문서재제출요청",J1557="보류",J1557="보완요청",J1557="보완완료",J1557="평가중",J1557="반려요청",J1557="평가필요",LEFT(J1557,5)="보완요청("),"미종결 표시","상태 확인 필요"))</x:f>
        <x:v>종결 표시</x:v>
      </x:c>
      <x:c r="L1557" s="2" t="str">
        <x:v>에코시안_배윤빈</x:v>
      </x:c>
      <x:c r="M1557" s="2"/>
      <x:c r="N1557" s="8"/>
      <x:c r="O1557" s="2"/>
      <x:c r="P1557" s="2"/>
      <x:c r="Q1557" s="2" t="str">
        <x:v>산업전환_외부사업관리Tool_260707_이너젠 수정_LJY_261013.xlsx</x:v>
      </x:c>
      <x:c r="R1557" s="2" t="str">
        <x:v>국외평가</x:v>
      </x:c>
      <x:c r="S1557" s="8" t="n">
        <x:v>181</x:v>
      </x:c>
      <x:c r="T1557" s="2" t="str">
        <x:v>2021-07-28T00:00:00</x:v>
      </x:c>
      <x:c r="U1557" s="2" t="str">
        <x:v>2021 지정: 2021-07-28T00:00:00 / 2022 지정: (1/18)</x:v>
      </x:c>
      <x:c r="V1557" s="2" t="str">
        <x:v>2021-09-27</x:v>
      </x:c>
      <x:c r="W1557" s="2" t="str"/>
      <x:c r="X1557" s="2" t="str">
        <x:v>종결 근거 보관</x:v>
      </x:c>
      <x:c r="Y1557" s="2" t="str">
        <x:v>ad210cd9ec132cfd447541c8984dc53d30aff0f4fb2dc92d254d49275cc55976</x:v>
      </x:c>
      <x:c r="Z1557" s="2" t="n">
        <x:f>SUBTOTAL(103,A1557)</x:f>
        <x:v>1</x:v>
      </x:c>
      <x:c r="AA1557" s="2" t="str">
        <x:f>IF(K1557&lt;&gt;"미종결 표시","대상 아님",IF(N1557="","신청일 확인",IF(NOT(ISNUMBER('종합 현황'!$H$5)),"관찰기준 확인",IF('종합 현황'!$H$5&lt;1,"관찰기준 확인",IF(N1557&gt;'종합 현황'!$H$5,"내부 관찰 대상","내부 관찰일 이하")))))</x:f>
        <x:v>대상 아님</x:v>
      </x:c>
      <x:c r="AB1557" s="2" t="str">
        <x:v>2021-03-10 08:10:35 - 신규신청 - 신청 
2021-03-10 08:10:35 - 관장기관 지정 - 환경부
2021-03-12 16:42:21 - 관장기관 지정 - 산업통상자원부
2021-04-05 16:34:15 - 신규신청 - 문서재제출요청 
2021-04-05 17:43:08 - 재제출신청 - 신청 
2021-06-09 09:53:52 - 재제출신청 - 문서재제출요청 
2021-07-21 13:45:03 - 재제출신청 - 신청 
2021-09-27 11:05:38 - 재제출신청 - 평가승인 
2021-09-27 11:10:39 - 재제출신청 - 심의승인 
2021-09-27 11:55:07 - 재제출신청 - 착수신고 
</x:v>
      </x:c>
    </x:row>
    <x:row r="1558" ht="42" customHeight="1">
      <x:c r="A1558" s="2" t="str">
        <x:v>00e403d76e4d9a2535fac89d</x:v>
      </x:c>
      <x:c r="B1558" s="2" t="str">
        <x:v>사업 평가</x:v>
      </x:c>
      <x:c r="C1558" s="2" t="str">
        <x:v>국외</x:v>
      </x:c>
      <x:c r="D1558" s="7" t="str">
        <x:v>대한민국이 지원한 우간다 UpEnergy 고효율 쿡스토브 사업-CPA0028</x:v>
      </x:c>
      <x:c r="E1558" s="2" t="str">
        <x:v>180</x:v>
      </x:c>
      <x:c r="F1558" s="2" t="str">
        <x:v>2021-03</x:v>
      </x:c>
      <x:c r="G1558" s="2" t="str">
        <x:v>2021</x:v>
      </x:c>
      <x:c r="H1558" s="2" t="str">
        <x:v>03</x:v>
      </x:c>
      <x:c r="I1558" s="2" t="str">
        <x:v>승인</x:v>
      </x:c>
      <x:c r="J1558" s="2" t="str">
        <x:v>심의승인</x:v>
      </x:c>
      <x:c r="K1558" s="2" t="str">
        <x:f>IF(OR(J1558="심의승인",J1558="반려",J1558="반려완료",J1558="심의완료"),"종결 표시",IF(OR(J1558="기후부협의",J1558="문서재제출요청",J1558="보류",J1558="보완요청",J1558="보완완료",J1558="평가중",J1558="반려요청",J1558="평가필요",LEFT(J1558,5)="보완요청("),"미종결 표시","상태 확인 필요"))</x:f>
        <x:v>종결 표시</x:v>
      </x:c>
      <x:c r="L1558" s="2" t="str">
        <x:v>에코시안_배윤빈</x:v>
      </x:c>
      <x:c r="M1558" s="2"/>
      <x:c r="N1558" s="8"/>
      <x:c r="O1558" s="2"/>
      <x:c r="P1558" s="2"/>
      <x:c r="Q1558" s="2" t="str">
        <x:v>산업전환_외부사업관리Tool_260707_이너젠 수정_LJY_261013.xlsx</x:v>
      </x:c>
      <x:c r="R1558" s="2" t="str">
        <x:v>국외평가</x:v>
      </x:c>
      <x:c r="S1558" s="8" t="n">
        <x:v>182</x:v>
      </x:c>
      <x:c r="T1558" s="2" t="str">
        <x:v>2021-07-28T00:00:00</x:v>
      </x:c>
      <x:c r="U1558" s="2" t="str">
        <x:v>2021 지정: 2021-07-28T00:00:00 / 2022 지정: (1/18)</x:v>
      </x:c>
      <x:c r="V1558" s="2" t="str">
        <x:v>2021-09-27</x:v>
      </x:c>
      <x:c r="W1558" s="2" t="str"/>
      <x:c r="X1558" s="2" t="str">
        <x:v>종결 근거 보관</x:v>
      </x:c>
      <x:c r="Y1558" s="2" t="str">
        <x:v>ad210cd9ec132cfd447541c8984dc53d30aff0f4fb2dc92d254d49275cc55976</x:v>
      </x:c>
      <x:c r="Z1558" s="2" t="n">
        <x:f>SUBTOTAL(103,A1558)</x:f>
        <x:v>1</x:v>
      </x:c>
      <x:c r="AA1558" s="2" t="str">
        <x:f>IF(K1558&lt;&gt;"미종결 표시","대상 아님",IF(N1558="","신청일 확인",IF(NOT(ISNUMBER('종합 현황'!$H$5)),"관찰기준 확인",IF('종합 현황'!$H$5&lt;1,"관찰기준 확인",IF(N1558&gt;'종합 현황'!$H$5,"내부 관찰 대상","내부 관찰일 이하")))))</x:f>
        <x:v>대상 아님</x:v>
      </x:c>
      <x:c r="AB1558" s="2" t="str">
        <x:v>2021-03-10 08:10:52 - 관장기관 지정 - 환경부
2021-03-10 08:10:53 - 신규신청 - 신청 
2021-03-12 16:42:14 - 관장기관 지정 - 산업통상자원부
2021-04-05 16:34:00 - 신규신청 - 문서재제출요청 
2021-04-05 17:45:07 - 재제출신청 - 신청 
2021-06-09 09:56:24 - 재제출신청 - 문서재제출요청 
2021-07-21 13:47:01 - 재제출신청 - 신청 
2021-09-27 11:06:50 - 재제출신청 - 평가승인 
2021-09-27 11:09:15 - 재제출신청 - 심의승인 
2021-09-27 11:56:10 - 재제출신청 - 착수신고 
</x:v>
      </x:c>
    </x:row>
    <x:row r="1559" ht="42" customHeight="1">
      <x:c r="A1559" s="2" t="str">
        <x:v>68f678142238634925ecaaa9</x:v>
      </x:c>
      <x:c r="B1559" s="2" t="str">
        <x:v>사업 평가</x:v>
      </x:c>
      <x:c r="C1559" s="2" t="str">
        <x:v>국외</x:v>
      </x:c>
      <x:c r="D1559" s="7" t="str">
        <x:v>대한민국이 지원한 우간다 UpEnergy 고효율 쿡스토브 사업-CPA0029</x:v>
      </x:c>
      <x:c r="E1559" s="2" t="str">
        <x:v>181</x:v>
      </x:c>
      <x:c r="F1559" s="2" t="str">
        <x:v>2021-03</x:v>
      </x:c>
      <x:c r="G1559" s="2" t="str">
        <x:v>2021</x:v>
      </x:c>
      <x:c r="H1559" s="2" t="str">
        <x:v>03</x:v>
      </x:c>
      <x:c r="I1559" s="2" t="str">
        <x:v>승인</x:v>
      </x:c>
      <x:c r="J1559" s="2" t="str">
        <x:v>심의승인</x:v>
      </x:c>
      <x:c r="K1559" s="2" t="str">
        <x:f>IF(OR(J1559="심의승인",J1559="반려",J1559="반려완료",J1559="심의완료"),"종결 표시",IF(OR(J1559="기후부협의",J1559="문서재제출요청",J1559="보류",J1559="보완요청",J1559="보완완료",J1559="평가중",J1559="반려요청",J1559="평가필요",LEFT(J1559,5)="보완요청("),"미종결 표시","상태 확인 필요"))</x:f>
        <x:v>종결 표시</x:v>
      </x:c>
      <x:c r="L1559" s="2" t="str">
        <x:v>에코시안_배윤빈</x:v>
      </x:c>
      <x:c r="M1559" s="2"/>
      <x:c r="N1559" s="8"/>
      <x:c r="O1559" s="2"/>
      <x:c r="P1559" s="2"/>
      <x:c r="Q1559" s="2" t="str">
        <x:v>산업전환_외부사업관리Tool_260707_이너젠 수정_LJY_261013.xlsx</x:v>
      </x:c>
      <x:c r="R1559" s="2" t="str">
        <x:v>국외평가</x:v>
      </x:c>
      <x:c r="S1559" s="8" t="n">
        <x:v>183</x:v>
      </x:c>
      <x:c r="T1559" s="2" t="str">
        <x:v>2021-07-28T00:00:00</x:v>
      </x:c>
      <x:c r="U1559" s="2" t="str">
        <x:v>2021 지정: 2021-07-28T00:00:00 / 2022 지정: (1/18)</x:v>
      </x:c>
      <x:c r="V1559" s="2" t="str">
        <x:v>2021-09-27</x:v>
      </x:c>
      <x:c r="W1559" s="2" t="str"/>
      <x:c r="X1559" s="2" t="str">
        <x:v>종결 근거 보관</x:v>
      </x:c>
      <x:c r="Y1559" s="2" t="str">
        <x:v>ad210cd9ec132cfd447541c8984dc53d30aff0f4fb2dc92d254d49275cc55976</x:v>
      </x:c>
      <x:c r="Z1559" s="2" t="n">
        <x:f>SUBTOTAL(103,A1559)</x:f>
        <x:v>1</x:v>
      </x:c>
      <x:c r="AA1559" s="2" t="str">
        <x:f>IF(K1559&lt;&gt;"미종결 표시","대상 아님",IF(N1559="","신청일 확인",IF(NOT(ISNUMBER('종합 현황'!$H$5)),"관찰기준 확인",IF('종합 현황'!$H$5&lt;1,"관찰기준 확인",IF(N1559&gt;'종합 현황'!$H$5,"내부 관찰 대상","내부 관찰일 이하")))))</x:f>
        <x:v>대상 아님</x:v>
      </x:c>
      <x:c r="AB1559" s="2" t="str">
        <x:v>2021-03-10 08:11:09 - 신규신청 - 신청 
2021-03-10 08:11:09 - 관장기관 지정 - 환경부
2021-03-12 16:41:59 - 관장기관 지정 - 산업통상자원부
2021-04-05 16:33:24 - 신규신청 - 문서재제출요청 
2021-04-05 17:47:03 - 재제출신청 - 신청 
2021-06-09 09:56:43 - 재제출신청 - 문서재제출요청 
2021-07-21 13:45:35 - 재제출신청 - 신청 
2021-09-27 11:05:57 - 재제출신청 - 평가승인 
2021-09-27 11:10:08 - 재제출신청 - 심의승인 
2021-09-27 11:55:29 - 재제출신청 - 착수신고 
</x:v>
      </x:c>
    </x:row>
    <x:row r="1560" ht="42" customHeight="1">
      <x:c r="A1560" s="2" t="str">
        <x:v>440aa6453960aeaf801e45cf</x:v>
      </x:c>
      <x:c r="B1560" s="2" t="str">
        <x:v>사업 평가</x:v>
      </x:c>
      <x:c r="C1560" s="2" t="str">
        <x:v>국외</x:v>
      </x:c>
      <x:c r="D1560" s="7" t="str">
        <x:v>대한민국이 지원한 우간다 UpEnergy 고효율 쿡스토브 사업-CPA0030</x:v>
      </x:c>
      <x:c r="E1560" s="2" t="str">
        <x:v>182</x:v>
      </x:c>
      <x:c r="F1560" s="2" t="str">
        <x:v>2021-03</x:v>
      </x:c>
      <x:c r="G1560" s="2" t="str">
        <x:v>2021</x:v>
      </x:c>
      <x:c r="H1560" s="2" t="str">
        <x:v>03</x:v>
      </x:c>
      <x:c r="I1560" s="2" t="str">
        <x:v>승인</x:v>
      </x:c>
      <x:c r="J1560" s="2" t="str">
        <x:v>심의승인</x:v>
      </x:c>
      <x:c r="K1560" s="2" t="str">
        <x:f>IF(OR(J1560="심의승인",J1560="반려",J1560="반려완료",J1560="심의완료"),"종결 표시",IF(OR(J1560="기후부협의",J1560="문서재제출요청",J1560="보류",J1560="보완요청",J1560="보완완료",J1560="평가중",J1560="반려요청",J1560="평가필요",LEFT(J1560,5)="보완요청("),"미종결 표시","상태 확인 필요"))</x:f>
        <x:v>종결 표시</x:v>
      </x:c>
      <x:c r="L1560" s="2" t="str">
        <x:v>에코시안_배윤빈</x:v>
      </x:c>
      <x:c r="M1560" s="2"/>
      <x:c r="N1560" s="8"/>
      <x:c r="O1560" s="2"/>
      <x:c r="P1560" s="2"/>
      <x:c r="Q1560" s="2" t="str">
        <x:v>산업전환_외부사업관리Tool_260707_이너젠 수정_LJY_261013.xlsx</x:v>
      </x:c>
      <x:c r="R1560" s="2" t="str">
        <x:v>국외평가</x:v>
      </x:c>
      <x:c r="S1560" s="8" t="n">
        <x:v>184</x:v>
      </x:c>
      <x:c r="T1560" s="2" t="str">
        <x:v>2021-07-28T00:00:00</x:v>
      </x:c>
      <x:c r="U1560" s="2" t="str">
        <x:v>2021 지정: 2021-07-28T00:00:00 / 2022 지정: (1/18)</x:v>
      </x:c>
      <x:c r="V1560" s="2" t="str">
        <x:v>2021-09-27</x:v>
      </x:c>
      <x:c r="W1560" s="2" t="str"/>
      <x:c r="X1560" s="2" t="str">
        <x:v>종결 근거 보관</x:v>
      </x:c>
      <x:c r="Y1560" s="2" t="str">
        <x:v>ad210cd9ec132cfd447541c8984dc53d30aff0f4fb2dc92d254d49275cc55976</x:v>
      </x:c>
      <x:c r="Z1560" s="2" t="n">
        <x:f>SUBTOTAL(103,A1560)</x:f>
        <x:v>1</x:v>
      </x:c>
      <x:c r="AA1560" s="2" t="str">
        <x:f>IF(K1560&lt;&gt;"미종결 표시","대상 아님",IF(N1560="","신청일 확인",IF(NOT(ISNUMBER('종합 현황'!$H$5)),"관찰기준 확인",IF('종합 현황'!$H$5&lt;1,"관찰기준 확인",IF(N1560&gt;'종합 현황'!$H$5,"내부 관찰 대상","내부 관찰일 이하")))))</x:f>
        <x:v>대상 아님</x:v>
      </x:c>
      <x:c r="AB1560" s="2" t="str">
        <x:v>2021-03-10 08:11:42 - 신규신청 - 신청 
2021-03-10 08:11:42 - 관장기관 지정 - 환경부
2021-03-12 16:41:40 - 관장기관 지정 - 산업통상자원부
2021-04-05 16:32:47 - 신규신청 - 문서재제출요청 
2021-04-05 17:49:34 - 재제출신청 - 신청 
2021-06-09 09:54:12 - 재제출신청 - 문서재제출요청 
2021-07-21 13:45:54 - 재제출신청 - 신청 
2021-09-27 11:06:15 - 재제출신청 - 평가승인 
2021-09-27 11:09:40 - 재제출신청 - 심의승인 
2021-09-27 11:55:50 - 재제출신청 - 착수신고 
</x:v>
      </x:c>
    </x:row>
    <x:row r="1561" ht="42" customHeight="1">
      <x:c r="A1561" s="2" t="str">
        <x:v>7e6c493def345dde4a2864e8</x:v>
      </x:c>
      <x:c r="B1561" s="2" t="str">
        <x:v>사업 평가</x:v>
      </x:c>
      <x:c r="C1561" s="2" t="str">
        <x:v>국외</x:v>
      </x:c>
      <x:c r="D1561" s="7" t="str">
        <x:v>대한민국이 지원한 우간다 UpEnergy 고효율 쿡스토브 사업-CPA0031</x:v>
      </x:c>
      <x:c r="E1561" s="2" t="str">
        <x:v>183</x:v>
      </x:c>
      <x:c r="F1561" s="2" t="str">
        <x:v>2021-03</x:v>
      </x:c>
      <x:c r="G1561" s="2" t="str">
        <x:v>2021</x:v>
      </x:c>
      <x:c r="H1561" s="2" t="str">
        <x:v>03</x:v>
      </x:c>
      <x:c r="I1561" s="2" t="str">
        <x:v>승인</x:v>
      </x:c>
      <x:c r="J1561" s="2" t="str">
        <x:v>심의승인</x:v>
      </x:c>
      <x:c r="K1561" s="2" t="str">
        <x:f>IF(OR(J1561="심의승인",J1561="반려",J1561="반려완료",J1561="심의완료"),"종결 표시",IF(OR(J1561="기후부협의",J1561="문서재제출요청",J1561="보류",J1561="보완요청",J1561="보완완료",J1561="평가중",J1561="반려요청",J1561="평가필요",LEFT(J1561,5)="보완요청("),"미종결 표시","상태 확인 필요"))</x:f>
        <x:v>종결 표시</x:v>
      </x:c>
      <x:c r="L1561" s="2" t="str">
        <x:v>에코시안_배윤빈</x:v>
      </x:c>
      <x:c r="M1561" s="2"/>
      <x:c r="N1561" s="8"/>
      <x:c r="O1561" s="2"/>
      <x:c r="P1561" s="2"/>
      <x:c r="Q1561" s="2" t="str">
        <x:v>산업전환_외부사업관리Tool_260707_이너젠 수정_LJY_261013.xlsx</x:v>
      </x:c>
      <x:c r="R1561" s="2" t="str">
        <x:v>국외평가</x:v>
      </x:c>
      <x:c r="S1561" s="8" t="n">
        <x:v>185</x:v>
      </x:c>
      <x:c r="T1561" s="2" t="str">
        <x:v>2021-07-28T00:00:00</x:v>
      </x:c>
      <x:c r="U1561" s="2" t="str">
        <x:v>2021 지정: 2021-07-28T00:00:00 / 2022 지정: (1/18)</x:v>
      </x:c>
      <x:c r="V1561" s="2" t="str">
        <x:v>2021-09-27</x:v>
      </x:c>
      <x:c r="W1561" s="2" t="str"/>
      <x:c r="X1561" s="2" t="str">
        <x:v>종결 근거 보관</x:v>
      </x:c>
      <x:c r="Y1561" s="2" t="str">
        <x:v>ad210cd9ec132cfd447541c8984dc53d30aff0f4fb2dc92d254d49275cc55976</x:v>
      </x:c>
      <x:c r="Z1561" s="2" t="n">
        <x:f>SUBTOTAL(103,A1561)</x:f>
        <x:v>1</x:v>
      </x:c>
      <x:c r="AA1561" s="2" t="str">
        <x:f>IF(K1561&lt;&gt;"미종결 표시","대상 아님",IF(N1561="","신청일 확인",IF(NOT(ISNUMBER('종합 현황'!$H$5)),"관찰기준 확인",IF('종합 현황'!$H$5&lt;1,"관찰기준 확인",IF(N1561&gt;'종합 현황'!$H$5,"내부 관찰 대상","내부 관찰일 이하")))))</x:f>
        <x:v>대상 아님</x:v>
      </x:c>
      <x:c r="AB1561" s="2" t="str">
        <x:v>2021-03-10 08:12:05 - 신규신청 - 신청 
2021-03-10 08:12:05 - 관장기관 지정 - 환경부
2021-03-12 16:41:20 - 관장기관 지정 - 산업통상자원부
2021-04-05 16:32:32 - 신규신청 - 문서재제출요청 
2021-04-05 17:52:56 - 재제출신청 - 신청 
2021-06-09 09:54:43 - 재제출신청 - 문서재제출요청 
2021-07-21 13:47:15 - 재제출신청 - 신청 
2021-09-27 11:04:46 - 재제출신청 - 평가승인 
2021-09-27 11:11:31 - 재제출신청 - 심의승인 
2021-09-27 11:54:09 - 재제출신청 - 착수신고 
</x:v>
      </x:c>
    </x:row>
    <x:row r="1562" ht="42" customHeight="1">
      <x:c r="A1562" s="2" t="str">
        <x:v>ebc1b077747d8f7f88720cad</x:v>
      </x:c>
      <x:c r="B1562" s="2" t="str">
        <x:v>사업 평가</x:v>
      </x:c>
      <x:c r="C1562" s="2" t="str">
        <x:v>국외</x:v>
      </x:c>
      <x:c r="D1562" s="7" t="str">
        <x:v>대한민국이 지원한 우간다 UpEnergy 고효율 쿡스토브 사업-CPA0032</x:v>
      </x:c>
      <x:c r="E1562" s="2" t="str">
        <x:v>184</x:v>
      </x:c>
      <x:c r="F1562" s="2" t="str">
        <x:v>2021-03</x:v>
      </x:c>
      <x:c r="G1562" s="2" t="str">
        <x:v>2021</x:v>
      </x:c>
      <x:c r="H1562" s="2" t="str">
        <x:v>03</x:v>
      </x:c>
      <x:c r="I1562" s="2" t="str">
        <x:v>승인</x:v>
      </x:c>
      <x:c r="J1562" s="2" t="str">
        <x:v>심의승인</x:v>
      </x:c>
      <x:c r="K1562" s="2" t="str">
        <x:f>IF(OR(J1562="심의승인",J1562="반려",J1562="반려완료",J1562="심의완료"),"종결 표시",IF(OR(J1562="기후부협의",J1562="문서재제출요청",J1562="보류",J1562="보완요청",J1562="보완완료",J1562="평가중",J1562="반려요청",J1562="평가필요",LEFT(J1562,5)="보완요청("),"미종결 표시","상태 확인 필요"))</x:f>
        <x:v>종결 표시</x:v>
      </x:c>
      <x:c r="L1562" s="2" t="str">
        <x:v>에코시안_배윤빈</x:v>
      </x:c>
      <x:c r="M1562" s="2"/>
      <x:c r="N1562" s="8"/>
      <x:c r="O1562" s="2"/>
      <x:c r="P1562" s="2"/>
      <x:c r="Q1562" s="2" t="str">
        <x:v>산업전환_외부사업관리Tool_260707_이너젠 수정_LJY_261013.xlsx</x:v>
      </x:c>
      <x:c r="R1562" s="2" t="str">
        <x:v>국외평가</x:v>
      </x:c>
      <x:c r="S1562" s="8" t="n">
        <x:v>186</x:v>
      </x:c>
      <x:c r="T1562" s="2" t="str">
        <x:v>2021-07-28T00:00:00</x:v>
      </x:c>
      <x:c r="U1562" s="2" t="str">
        <x:v>2021 지정: 2021-07-28T00:00:00 / 2022 지정: (1/18)</x:v>
      </x:c>
      <x:c r="V1562" s="2" t="str">
        <x:v>2021-09-27</x:v>
      </x:c>
      <x:c r="W1562" s="2" t="str"/>
      <x:c r="X1562" s="2" t="str">
        <x:v>종결 근거 보관</x:v>
      </x:c>
      <x:c r="Y1562" s="2" t="str">
        <x:v>ad210cd9ec132cfd447541c8984dc53d30aff0f4fb2dc92d254d49275cc55976</x:v>
      </x:c>
      <x:c r="Z1562" s="2" t="n">
        <x:f>SUBTOTAL(103,A1562)</x:f>
        <x:v>1</x:v>
      </x:c>
      <x:c r="AA1562" s="2" t="str">
        <x:f>IF(K1562&lt;&gt;"미종결 표시","대상 아님",IF(N1562="","신청일 확인",IF(NOT(ISNUMBER('종합 현황'!$H$5)),"관찰기준 확인",IF('종합 현황'!$H$5&lt;1,"관찰기준 확인",IF(N1562&gt;'종합 현황'!$H$5,"내부 관찰 대상","내부 관찰일 이하")))))</x:f>
        <x:v>대상 아님</x:v>
      </x:c>
      <x:c r="AB1562" s="2" t="str">
        <x:v>2021-03-10 08:12:33 - 신규신청 - 신청 
2021-03-10 08:12:33 - 관장기관 지정 - 환경부
2021-03-12 16:41:11 - 관장기관 지정 - 산업통상자원부
2021-04-05 16:32:18 - 신규신청 - 문서재제출요청 
2021-04-05 17:55:43 - 재제출신청 - 신청 
2021-06-09 09:55:14 - 재제출신청 - 문서재제출요청 
2021-07-21 13:47:31 - 재제출신청 - 신청 
2021-09-27 11:04:25 - 재제출신청 - 평가승인 
2021-09-27 11:11:57 - 재제출신청 - 심의승인 
2021-09-27 11:53:48 - 재제출신청 - 착수신고 
</x:v>
      </x:c>
    </x:row>
    <x:row r="1563" ht="42" customHeight="1">
      <x:c r="A1563" s="2" t="str">
        <x:v>533c6b469162234b7da73287</x:v>
      </x:c>
      <x:c r="B1563" s="2" t="str">
        <x:v>사업 평가</x:v>
      </x:c>
      <x:c r="C1563" s="2" t="str">
        <x:v>국외</x:v>
      </x:c>
      <x:c r="D1563" s="7" t="str">
        <x:v>대한민국이 지원한 우간다 UpEnergy 고효율 쿡스토브 사업-CPA0033</x:v>
      </x:c>
      <x:c r="E1563" s="2" t="str">
        <x:v>185</x:v>
      </x:c>
      <x:c r="F1563" s="2" t="str">
        <x:v>2021-03</x:v>
      </x:c>
      <x:c r="G1563" s="2" t="str">
        <x:v>2021</x:v>
      </x:c>
      <x:c r="H1563" s="2" t="str">
        <x:v>03</x:v>
      </x:c>
      <x:c r="I1563" s="2" t="str">
        <x:v>승인</x:v>
      </x:c>
      <x:c r="J1563" s="2" t="str">
        <x:v>심의승인</x:v>
      </x:c>
      <x:c r="K1563" s="2" t="str">
        <x:f>IF(OR(J1563="심의승인",J1563="반려",J1563="반려완료",J1563="심의완료"),"종결 표시",IF(OR(J1563="기후부협의",J1563="문서재제출요청",J1563="보류",J1563="보완요청",J1563="보완완료",J1563="평가중",J1563="반려요청",J1563="평가필요",LEFT(J1563,5)="보완요청("),"미종결 표시","상태 확인 필요"))</x:f>
        <x:v>종결 표시</x:v>
      </x:c>
      <x:c r="L1563" s="2" t="str">
        <x:v>에코시안_배윤빈</x:v>
      </x:c>
      <x:c r="M1563" s="2"/>
      <x:c r="N1563" s="8"/>
      <x:c r="O1563" s="2"/>
      <x:c r="P1563" s="2"/>
      <x:c r="Q1563" s="2" t="str">
        <x:v>산업전환_외부사업관리Tool_260707_이너젠 수정_LJY_261013.xlsx</x:v>
      </x:c>
      <x:c r="R1563" s="2" t="str">
        <x:v>국외평가</x:v>
      </x:c>
      <x:c r="S1563" s="8" t="n">
        <x:v>187</x:v>
      </x:c>
      <x:c r="T1563" s="2" t="str">
        <x:v>2021-07-28T00:00:00</x:v>
      </x:c>
      <x:c r="U1563" s="2" t="str">
        <x:v>2021 지정: 2021-07-28T00:00:00 / 2022 지정: (1/18)</x:v>
      </x:c>
      <x:c r="V1563" s="2" t="str">
        <x:v>2021-09-27</x:v>
      </x:c>
      <x:c r="W1563" s="2" t="str"/>
      <x:c r="X1563" s="2" t="str">
        <x:v>종결 근거 보관</x:v>
      </x:c>
      <x:c r="Y1563" s="2" t="str">
        <x:v>ad210cd9ec132cfd447541c8984dc53d30aff0f4fb2dc92d254d49275cc55976</x:v>
      </x:c>
      <x:c r="Z1563" s="2" t="n">
        <x:f>SUBTOTAL(103,A1563)</x:f>
        <x:v>1</x:v>
      </x:c>
      <x:c r="AA1563" s="2" t="str">
        <x:f>IF(K1563&lt;&gt;"미종결 표시","대상 아님",IF(N1563="","신청일 확인",IF(NOT(ISNUMBER('종합 현황'!$H$5)),"관찰기준 확인",IF('종합 현황'!$H$5&lt;1,"관찰기준 확인",IF(N1563&gt;'종합 현황'!$H$5,"내부 관찰 대상","내부 관찰일 이하")))))</x:f>
        <x:v>대상 아님</x:v>
      </x:c>
      <x:c r="AB1563" s="2" t="str">
        <x:v>2021-03-10 08:12:50 - 신규신청 - 신청 
2021-03-10 08:12:50 - 관장기관 지정 - 환경부
2021-03-12 16:41:01 - 관장기관 지정 - 산업통상자원부
2021-04-05 16:32:05 - 신규신청 - 문서재제출요청 
2021-04-05 17:59:21 - 재제출신청 - 신청 
2021-06-09 09:59:42 - 재제출신청 - 문서재제출요청 
2021-07-21 13:47:47 - 재제출신청 - 신청 
2021-09-27 11:04:07 - 재제출신청 - 평가승인 
2021-09-27 11:12:23 - 재제출신청 - 심의승인 
2021-09-27 11:53:24 - 재제출신청 - 착수신고 
</x:v>
      </x:c>
    </x:row>
    <x:row r="1564" ht="42" customHeight="1">
      <x:c r="A1564" s="2" t="str">
        <x:v>9d814ef1ab313d136321210e</x:v>
      </x:c>
      <x:c r="B1564" s="2" t="str">
        <x:v>사업 평가</x:v>
      </x:c>
      <x:c r="C1564" s="2" t="str">
        <x:v>국외</x:v>
      </x:c>
      <x:c r="D1564" s="7" t="str">
        <x:v>대한민국이 지원한 우간다 UpEnergy 고효율 쿡스토브 사업-CPA0034</x:v>
      </x:c>
      <x:c r="E1564" s="2" t="str">
        <x:v>186</x:v>
      </x:c>
      <x:c r="F1564" s="2" t="str">
        <x:v>2021-03</x:v>
      </x:c>
      <x:c r="G1564" s="2" t="str">
        <x:v>2021</x:v>
      </x:c>
      <x:c r="H1564" s="2" t="str">
        <x:v>03</x:v>
      </x:c>
      <x:c r="I1564" s="2" t="str">
        <x:v>승인</x:v>
      </x:c>
      <x:c r="J1564" s="2" t="str">
        <x:v>심의승인</x:v>
      </x:c>
      <x:c r="K1564" s="2" t="str">
        <x:f>IF(OR(J1564="심의승인",J1564="반려",J1564="반려완료",J1564="심의완료"),"종결 표시",IF(OR(J1564="기후부협의",J1564="문서재제출요청",J1564="보류",J1564="보완요청",J1564="보완완료",J1564="평가중",J1564="반려요청",J1564="평가필요",LEFT(J1564,5)="보완요청("),"미종결 표시","상태 확인 필요"))</x:f>
        <x:v>종결 표시</x:v>
      </x:c>
      <x:c r="L1564" s="2" t="str">
        <x:v>에코시안_배윤빈</x:v>
      </x:c>
      <x:c r="M1564" s="2"/>
      <x:c r="N1564" s="8"/>
      <x:c r="O1564" s="2"/>
      <x:c r="P1564" s="2"/>
      <x:c r="Q1564" s="2" t="str">
        <x:v>산업전환_외부사업관리Tool_260707_이너젠 수정_LJY_261013.xlsx</x:v>
      </x:c>
      <x:c r="R1564" s="2" t="str">
        <x:v>국외평가</x:v>
      </x:c>
      <x:c r="S1564" s="8" t="n">
        <x:v>188</x:v>
      </x:c>
      <x:c r="T1564" s="2" t="str">
        <x:v>2021-07-28T00:00:00</x:v>
      </x:c>
      <x:c r="U1564" s="2" t="str">
        <x:v>2021 지정: 2021-07-28T00:00:00 / 2022 지정: (1/18)</x:v>
      </x:c>
      <x:c r="V1564" s="2" t="str">
        <x:v>2021-09-27</x:v>
      </x:c>
      <x:c r="W1564" s="2" t="str"/>
      <x:c r="X1564" s="2" t="str">
        <x:v>종결 근거 보관</x:v>
      </x:c>
      <x:c r="Y1564" s="2" t="str">
        <x:v>ad210cd9ec132cfd447541c8984dc53d30aff0f4fb2dc92d254d49275cc55976</x:v>
      </x:c>
      <x:c r="Z1564" s="2" t="n">
        <x:f>SUBTOTAL(103,A1564)</x:f>
        <x:v>1</x:v>
      </x:c>
      <x:c r="AA1564" s="2" t="str">
        <x:f>IF(K1564&lt;&gt;"미종결 표시","대상 아님",IF(N1564="","신청일 확인",IF(NOT(ISNUMBER('종합 현황'!$H$5)),"관찰기준 확인",IF('종합 현황'!$H$5&lt;1,"관찰기준 확인",IF(N1564&gt;'종합 현황'!$H$5,"내부 관찰 대상","내부 관찰일 이하")))))</x:f>
        <x:v>대상 아님</x:v>
      </x:c>
      <x:c r="AB1564" s="2" t="str">
        <x:v>2021-03-10 08:13:13 - 신규신청 - 신청 
2021-03-10 08:13:13 - 관장기관 지정 - 환경부
2021-03-12 16:40:53 - 관장기관 지정 - 산업통상자원부
2021-04-05 16:31:53 - 신규신청 - 문서재제출요청 
2021-04-06 07:54:41 - 재제출신청 - 신청 
2021-06-09 09:59:56 - 재제출신청 - 문서재제출요청 
2021-07-21 13:48:08 - 재제출신청 - 신청 
2021-09-27 11:03:51 - 재제출신청 - 평가승인 
2021-09-27 11:12:56 - 재제출신청 - 심의승인 
2021-09-27 11:53:06 - 재제출신청 - 착수신고 
</x:v>
      </x:c>
    </x:row>
    <x:row r="1565" ht="42" customHeight="1">
      <x:c r="A1565" s="2" t="str">
        <x:v>43b88145c0ea97e56611951e</x:v>
      </x:c>
      <x:c r="B1565" s="2" t="str">
        <x:v>사업 평가</x:v>
      </x:c>
      <x:c r="C1565" s="2" t="str">
        <x:v>국외</x:v>
      </x:c>
      <x:c r="D1565" s="7" t="str">
        <x:v>대한민국이 지원한 우간다 UpEnergy 고효율 쿡스토브 사업-CPA0035</x:v>
      </x:c>
      <x:c r="E1565" s="2" t="str">
        <x:v>187</x:v>
      </x:c>
      <x:c r="F1565" s="2" t="str">
        <x:v>2021-03</x:v>
      </x:c>
      <x:c r="G1565" s="2" t="str">
        <x:v>2021</x:v>
      </x:c>
      <x:c r="H1565" s="2" t="str">
        <x:v>03</x:v>
      </x:c>
      <x:c r="I1565" s="2" t="str">
        <x:v>승인</x:v>
      </x:c>
      <x:c r="J1565" s="2" t="str">
        <x:v>심의승인</x:v>
      </x:c>
      <x:c r="K1565" s="2" t="str">
        <x:f>IF(OR(J1565="심의승인",J1565="반려",J1565="반려완료",J1565="심의완료"),"종결 표시",IF(OR(J1565="기후부협의",J1565="문서재제출요청",J1565="보류",J1565="보완요청",J1565="보완완료",J1565="평가중",J1565="반려요청",J1565="평가필요",LEFT(J1565,5)="보완요청("),"미종결 표시","상태 확인 필요"))</x:f>
        <x:v>종결 표시</x:v>
      </x:c>
      <x:c r="L1565" s="2" t="str">
        <x:v>에코시안_배윤빈</x:v>
      </x:c>
      <x:c r="M1565" s="2"/>
      <x:c r="N1565" s="8"/>
      <x:c r="O1565" s="2"/>
      <x:c r="P1565" s="2"/>
      <x:c r="Q1565" s="2" t="str">
        <x:v>산업전환_외부사업관리Tool_260707_이너젠 수정_LJY_261013.xlsx</x:v>
      </x:c>
      <x:c r="R1565" s="2" t="str">
        <x:v>국외평가</x:v>
      </x:c>
      <x:c r="S1565" s="8" t="n">
        <x:v>189</x:v>
      </x:c>
      <x:c r="T1565" s="2" t="str">
        <x:v>2021-07-28T00:00:00</x:v>
      </x:c>
      <x:c r="U1565" s="2" t="str">
        <x:v>2021 지정: 2021-07-28T00:00:00 / 2022 지정: (1/18)</x:v>
      </x:c>
      <x:c r="V1565" s="2" t="str">
        <x:v>2021-09-27</x:v>
      </x:c>
      <x:c r="W1565" s="2" t="str"/>
      <x:c r="X1565" s="2" t="str">
        <x:v>종결 근거 보관</x:v>
      </x:c>
      <x:c r="Y1565" s="2" t="str">
        <x:v>ad210cd9ec132cfd447541c8984dc53d30aff0f4fb2dc92d254d49275cc55976</x:v>
      </x:c>
      <x:c r="Z1565" s="2" t="n">
        <x:f>SUBTOTAL(103,A1565)</x:f>
        <x:v>1</x:v>
      </x:c>
      <x:c r="AA1565" s="2" t="str">
        <x:f>IF(K1565&lt;&gt;"미종결 표시","대상 아님",IF(N1565="","신청일 확인",IF(NOT(ISNUMBER('종합 현황'!$H$5)),"관찰기준 확인",IF('종합 현황'!$H$5&lt;1,"관찰기준 확인",IF(N1565&gt;'종합 현황'!$H$5,"내부 관찰 대상","내부 관찰일 이하")))))</x:f>
        <x:v>대상 아님</x:v>
      </x:c>
      <x:c r="AB1565" s="2" t="str">
        <x:v>2021-03-10 08:13:37 - 신규신청 - 신청 
2021-03-10 08:13:37 - 관장기관 지정 - 환경부
2021-03-12 16:40:34 - 관장기관 지정 - 산업통상자원부
2021-04-05 16:31:41 - 신규신청 - 문서재제출요청 
2021-04-06 07:59:37 - 재제출신청 - 신청 
2021-06-09 09:57:33 - 재제출신청 - 문서재제출요청 
2021-07-21 13:48:21 - 재제출신청 - 신청 
2021-09-27 11:03:37 - 재제출신청 - 평가승인 
2021-09-27 11:13:21 - 재제출신청 - 심의승인 
2021-09-27 11:51:33 - 재제출신청 - 착수신고 
</x:v>
      </x:c>
    </x:row>
    <x:row r="1566" ht="42" customHeight="1">
      <x:c r="A1566" s="2" t="str">
        <x:v>19f3800662684dd9df33be90</x:v>
      </x:c>
      <x:c r="B1566" s="2" t="str">
        <x:v>사업 평가</x:v>
      </x:c>
      <x:c r="C1566" s="2" t="str">
        <x:v>국외</x:v>
      </x:c>
      <x:c r="D1566" s="7" t="str">
        <x:v>대한민국이 지원한 우간다 UpEnergy 고효율 쿡스토브 사업-CPA0036</x:v>
      </x:c>
      <x:c r="E1566" s="2" t="str">
        <x:v>188</x:v>
      </x:c>
      <x:c r="F1566" s="2" t="str">
        <x:v>2021-03</x:v>
      </x:c>
      <x:c r="G1566" s="2" t="str">
        <x:v>2021</x:v>
      </x:c>
      <x:c r="H1566" s="2" t="str">
        <x:v>03</x:v>
      </x:c>
      <x:c r="I1566" s="2" t="str">
        <x:v>승인</x:v>
      </x:c>
      <x:c r="J1566" s="2" t="str">
        <x:v>심의승인</x:v>
      </x:c>
      <x:c r="K1566" s="2" t="str">
        <x:f>IF(OR(J1566="심의승인",J1566="반려",J1566="반려완료",J1566="심의완료"),"종결 표시",IF(OR(J1566="기후부협의",J1566="문서재제출요청",J1566="보류",J1566="보완요청",J1566="보완완료",J1566="평가중",J1566="반려요청",J1566="평가필요",LEFT(J1566,5)="보완요청("),"미종결 표시","상태 확인 필요"))</x:f>
        <x:v>종결 표시</x:v>
      </x:c>
      <x:c r="L1566" s="2" t="str">
        <x:v>에코시안_배윤빈</x:v>
      </x:c>
      <x:c r="M1566" s="2"/>
      <x:c r="N1566" s="8"/>
      <x:c r="O1566" s="2"/>
      <x:c r="P1566" s="2"/>
      <x:c r="Q1566" s="2" t="str">
        <x:v>산업전환_외부사업관리Tool_260707_이너젠 수정_LJY_261013.xlsx</x:v>
      </x:c>
      <x:c r="R1566" s="2" t="str">
        <x:v>국외평가</x:v>
      </x:c>
      <x:c r="S1566" s="8" t="n">
        <x:v>190</x:v>
      </x:c>
      <x:c r="T1566" s="2" t="str">
        <x:v>2021-07-28T00:00:00</x:v>
      </x:c>
      <x:c r="U1566" s="2" t="str">
        <x:v>2021 지정: 2021-07-28T00:00:00 / 2022 지정: (1/18)</x:v>
      </x:c>
      <x:c r="V1566" s="2" t="str">
        <x:v>2021-09-27</x:v>
      </x:c>
      <x:c r="W1566" s="2" t="str"/>
      <x:c r="X1566" s="2" t="str">
        <x:v>종결 근거 보관</x:v>
      </x:c>
      <x:c r="Y1566" s="2" t="str">
        <x:v>ad210cd9ec132cfd447541c8984dc53d30aff0f4fb2dc92d254d49275cc55976</x:v>
      </x:c>
      <x:c r="Z1566" s="2" t="n">
        <x:f>SUBTOTAL(103,A1566)</x:f>
        <x:v>1</x:v>
      </x:c>
      <x:c r="AA1566" s="2" t="str">
        <x:f>IF(K1566&lt;&gt;"미종결 표시","대상 아님",IF(N1566="","신청일 확인",IF(NOT(ISNUMBER('종합 현황'!$H$5)),"관찰기준 확인",IF('종합 현황'!$H$5&lt;1,"관찰기준 확인",IF(N1566&gt;'종합 현황'!$H$5,"내부 관찰 대상","내부 관찰일 이하")))))</x:f>
        <x:v>대상 아님</x:v>
      </x:c>
      <x:c r="AB1566" s="2" t="str">
        <x:v>2021-03-10 08:13:52 - 신규신청 - 신청 
2021-03-10 08:13:52 - 관장기관 지정 - 환경부
2021-03-12 16:40:23 - 관장기관 지정 - 산업통상자원부
2021-04-05 16:29:41 - 신규신청 - 문서재제출요청 
2021-04-06 08:03:50 - 재제출신청 - 신청 
2021-06-09 09:57:53 - 재제출신청 - 문서재제출요청 
2021-07-21 13:48:38 - 재제출신청 - 신청 
2021-09-27 11:01:23 - 재제출신청 - 평가승인 
2021-09-27 11:15:47 - 재제출신청 - 심의승인 
2021-09-27 11:49:19 - 재제출신청 - 착수신고 
</x:v>
      </x:c>
    </x:row>
    <x:row r="1567" ht="42" customHeight="1">
      <x:c r="A1567" s="2" t="str">
        <x:v>04861d565156ba01a6fe0dbf</x:v>
      </x:c>
      <x:c r="B1567" s="2" t="str">
        <x:v>사업 평가</x:v>
      </x:c>
      <x:c r="C1567" s="2" t="str">
        <x:v>국외</x:v>
      </x:c>
      <x:c r="D1567" s="7" t="str">
        <x:v>대한민국이 지원한 우간다 UpEnergy 고효율 쿡스토브 사업-CPA0037</x:v>
      </x:c>
      <x:c r="E1567" s="2" t="str">
        <x:v>189</x:v>
      </x:c>
      <x:c r="F1567" s="2" t="str">
        <x:v>2021-03</x:v>
      </x:c>
      <x:c r="G1567" s="2" t="str">
        <x:v>2021</x:v>
      </x:c>
      <x:c r="H1567" s="2" t="str">
        <x:v>03</x:v>
      </x:c>
      <x:c r="I1567" s="2" t="str">
        <x:v>승인</x:v>
      </x:c>
      <x:c r="J1567" s="2" t="str">
        <x:v>심의승인</x:v>
      </x:c>
      <x:c r="K1567" s="2" t="str">
        <x:f>IF(OR(J1567="심의승인",J1567="반려",J1567="반려완료",J1567="심의완료"),"종결 표시",IF(OR(J1567="기후부협의",J1567="문서재제출요청",J1567="보류",J1567="보완요청",J1567="보완완료",J1567="평가중",J1567="반려요청",J1567="평가필요",LEFT(J1567,5)="보완요청("),"미종결 표시","상태 확인 필요"))</x:f>
        <x:v>종결 표시</x:v>
      </x:c>
      <x:c r="L1567" s="2" t="str">
        <x:v>에코시안_배윤빈</x:v>
      </x:c>
      <x:c r="M1567" s="2"/>
      <x:c r="N1567" s="8"/>
      <x:c r="O1567" s="2"/>
      <x:c r="P1567" s="2"/>
      <x:c r="Q1567" s="2" t="str">
        <x:v>산업전환_외부사업관리Tool_260707_이너젠 수정_LJY_261013.xlsx</x:v>
      </x:c>
      <x:c r="R1567" s="2" t="str">
        <x:v>국외평가</x:v>
      </x:c>
      <x:c r="S1567" s="8" t="n">
        <x:v>191</x:v>
      </x:c>
      <x:c r="T1567" s="2" t="str">
        <x:v>2021-07-28T00:00:00</x:v>
      </x:c>
      <x:c r="U1567" s="2" t="str">
        <x:v>2021 지정: 2021-07-28T00:00:00 / 2022 지정: (1/18)</x:v>
      </x:c>
      <x:c r="V1567" s="2" t="str">
        <x:v>2021-09-27</x:v>
      </x:c>
      <x:c r="W1567" s="2" t="str"/>
      <x:c r="X1567" s="2" t="str">
        <x:v>종결 근거 보관</x:v>
      </x:c>
      <x:c r="Y1567" s="2" t="str">
        <x:v>ad210cd9ec132cfd447541c8984dc53d30aff0f4fb2dc92d254d49275cc55976</x:v>
      </x:c>
      <x:c r="Z1567" s="2" t="n">
        <x:f>SUBTOTAL(103,A1567)</x:f>
        <x:v>1</x:v>
      </x:c>
      <x:c r="AA1567" s="2" t="str">
        <x:f>IF(K1567&lt;&gt;"미종결 표시","대상 아님",IF(N1567="","신청일 확인",IF(NOT(ISNUMBER('종합 현황'!$H$5)),"관찰기준 확인",IF('종합 현황'!$H$5&lt;1,"관찰기준 확인",IF(N1567&gt;'종합 현황'!$H$5,"내부 관찰 대상","내부 관찰일 이하")))))</x:f>
        <x:v>대상 아님</x:v>
      </x:c>
      <x:c r="AB1567" s="2" t="str">
        <x:v>2021-03-10 08:14:06 - 신규신청 - 신청 
2021-03-10 08:14:06 - 관장기관 지정 - 환경부
2021-03-12 16:40:03 - 관장기관 지정 - 산업통상자원부
2021-04-05 16:31:15 - 신규신청 - 문서재제출요청 
2021-04-06 08:06:52 - 재제출신청 - 신청 
2021-06-09 09:58:16 - 재제출신청 - 문서재제출요청 
2021-07-21 13:48:52 - 재제출신청 - 신청 
2021-09-27 11:03:09 - 재제출신청 - 평가승인 
2021-09-27 11:14:25 - 재제출신청 - 심의승인 
2021-09-27 11:50:48 - 재제출신청 - 착수신고 
</x:v>
      </x:c>
    </x:row>
    <x:row r="1568" ht="42" customHeight="1">
      <x:c r="A1568" s="2" t="str">
        <x:v>eb953a2aec6820e44e054176</x:v>
      </x:c>
      <x:c r="B1568" s="2" t="str">
        <x:v>사업 평가</x:v>
      </x:c>
      <x:c r="C1568" s="2" t="str">
        <x:v>국외</x:v>
      </x:c>
      <x:c r="D1568" s="7" t="str">
        <x:v>대한민국이 지원한 우간다 UpEnergy 고효율 쿡스토브 사업-CPA0038</x:v>
      </x:c>
      <x:c r="E1568" s="2" t="str">
        <x:v>190</x:v>
      </x:c>
      <x:c r="F1568" s="2" t="str">
        <x:v>2021-03</x:v>
      </x:c>
      <x:c r="G1568" s="2" t="str">
        <x:v>2021</x:v>
      </x:c>
      <x:c r="H1568" s="2" t="str">
        <x:v>03</x:v>
      </x:c>
      <x:c r="I1568" s="2" t="str">
        <x:v>승인</x:v>
      </x:c>
      <x:c r="J1568" s="2" t="str">
        <x:v>심의승인</x:v>
      </x:c>
      <x:c r="K1568" s="2" t="str">
        <x:f>IF(OR(J1568="심의승인",J1568="반려",J1568="반려완료",J1568="심의완료"),"종결 표시",IF(OR(J1568="기후부협의",J1568="문서재제출요청",J1568="보류",J1568="보완요청",J1568="보완완료",J1568="평가중",J1568="반려요청",J1568="평가필요",LEFT(J1568,5)="보완요청("),"미종결 표시","상태 확인 필요"))</x:f>
        <x:v>종결 표시</x:v>
      </x:c>
      <x:c r="L1568" s="2" t="str">
        <x:v>에코시안_배윤빈</x:v>
      </x:c>
      <x:c r="M1568" s="2"/>
      <x:c r="N1568" s="8"/>
      <x:c r="O1568" s="2"/>
      <x:c r="P1568" s="2"/>
      <x:c r="Q1568" s="2" t="str">
        <x:v>산업전환_외부사업관리Tool_260707_이너젠 수정_LJY_261013.xlsx</x:v>
      </x:c>
      <x:c r="R1568" s="2" t="str">
        <x:v>국외평가</x:v>
      </x:c>
      <x:c r="S1568" s="8" t="n">
        <x:v>192</x:v>
      </x:c>
      <x:c r="T1568" s="2" t="str">
        <x:v>2021-07-28T00:00:00</x:v>
      </x:c>
      <x:c r="U1568" s="2" t="str">
        <x:v>2021 지정: 2021-07-28T00:00:00 / 2022 지정: (1/18)</x:v>
      </x:c>
      <x:c r="V1568" s="2" t="str">
        <x:v>2021-09-27</x:v>
      </x:c>
      <x:c r="W1568" s="2" t="str"/>
      <x:c r="X1568" s="2" t="str">
        <x:v>종결 근거 보관</x:v>
      </x:c>
      <x:c r="Y1568" s="2" t="str">
        <x:v>ad210cd9ec132cfd447541c8984dc53d30aff0f4fb2dc92d254d49275cc55976</x:v>
      </x:c>
      <x:c r="Z1568" s="2" t="n">
        <x:f>SUBTOTAL(103,A1568)</x:f>
        <x:v>1</x:v>
      </x:c>
      <x:c r="AA1568" s="2" t="str">
        <x:f>IF(K1568&lt;&gt;"미종결 표시","대상 아님",IF(N1568="","신청일 확인",IF(NOT(ISNUMBER('종합 현황'!$H$5)),"관찰기준 확인",IF('종합 현황'!$H$5&lt;1,"관찰기준 확인",IF(N1568&gt;'종합 현황'!$H$5,"내부 관찰 대상","내부 관찰일 이하")))))</x:f>
        <x:v>대상 아님</x:v>
      </x:c>
      <x:c r="AB1568" s="2" t="str">
        <x:v>2021-03-10 08:14:31 - 신규신청 - 신청 
2021-03-10 08:14:31 - 관장기관 지정 - 환경부
2021-03-12 16:38:49 - 관장기관 지정 - 산업통상자원부
2021-04-05 16:30:42 - 신규신청 - 문서재제출요청 
2021-04-06 08:14:32 - 재제출신청 - 신청 
2021-06-09 09:58:39 - 재제출신청 - 문서재제출요청 
2021-07-21 13:49:08 - 재제출신청 - 신청 
2021-09-27 11:02:51 - 재제출신청 - 평가승인 
2021-09-27 11:14:52 - 재제출신청 - 심의승인 
2021-09-27 11:50:28 - 재제출신청 - 착수신고 
</x:v>
      </x:c>
    </x:row>
    <x:row r="1569" ht="42" customHeight="1">
      <x:c r="A1569" s="2" t="str">
        <x:v>d97466a67db5f440e4fac724</x:v>
      </x:c>
      <x:c r="B1569" s="2" t="str">
        <x:v>사업 평가</x:v>
      </x:c>
      <x:c r="C1569" s="2" t="str">
        <x:v>국외</x:v>
      </x:c>
      <x:c r="D1569" s="7" t="str">
        <x:v>대한민국이 지원한 우간다 UpEnergy 고효율 쿡스토브 사업-CPA0039</x:v>
      </x:c>
      <x:c r="E1569" s="2" t="str">
        <x:v>191</x:v>
      </x:c>
      <x:c r="F1569" s="2" t="str">
        <x:v>2021-03</x:v>
      </x:c>
      <x:c r="G1569" s="2" t="str">
        <x:v>2021</x:v>
      </x:c>
      <x:c r="H1569" s="2" t="str">
        <x:v>03</x:v>
      </x:c>
      <x:c r="I1569" s="2" t="str">
        <x:v>승인</x:v>
      </x:c>
      <x:c r="J1569" s="2" t="str">
        <x:v>심의승인</x:v>
      </x:c>
      <x:c r="K1569" s="2" t="str">
        <x:f>IF(OR(J1569="심의승인",J1569="반려",J1569="반려완료",J1569="심의완료"),"종결 표시",IF(OR(J1569="기후부협의",J1569="문서재제출요청",J1569="보류",J1569="보완요청",J1569="보완완료",J1569="평가중",J1569="반려요청",J1569="평가필요",LEFT(J1569,5)="보완요청("),"미종결 표시","상태 확인 필요"))</x:f>
        <x:v>종결 표시</x:v>
      </x:c>
      <x:c r="L1569" s="2" t="str">
        <x:v>에코시안_배윤빈</x:v>
      </x:c>
      <x:c r="M1569" s="2"/>
      <x:c r="N1569" s="8"/>
      <x:c r="O1569" s="2"/>
      <x:c r="P1569" s="2"/>
      <x:c r="Q1569" s="2" t="str">
        <x:v>산업전환_외부사업관리Tool_260707_이너젠 수정_LJY_261013.xlsx</x:v>
      </x:c>
      <x:c r="R1569" s="2" t="str">
        <x:v>국외평가</x:v>
      </x:c>
      <x:c r="S1569" s="8" t="n">
        <x:v>193</x:v>
      </x:c>
      <x:c r="T1569" s="2" t="str">
        <x:v>2021-07-28T00:00:00</x:v>
      </x:c>
      <x:c r="U1569" s="2" t="str">
        <x:v>2021 지정: 2021-07-28T00:00:00 / 2022 지정: (1/18)</x:v>
      </x:c>
      <x:c r="V1569" s="2" t="str">
        <x:v>2021-09-27</x:v>
      </x:c>
      <x:c r="W1569" s="2" t="str"/>
      <x:c r="X1569" s="2" t="str">
        <x:v>종결 근거 보관</x:v>
      </x:c>
      <x:c r="Y1569" s="2" t="str">
        <x:v>ad210cd9ec132cfd447541c8984dc53d30aff0f4fb2dc92d254d49275cc55976</x:v>
      </x:c>
      <x:c r="Z1569" s="2" t="n">
        <x:f>SUBTOTAL(103,A1569)</x:f>
        <x:v>1</x:v>
      </x:c>
      <x:c r="AA1569" s="2" t="str">
        <x:f>IF(K1569&lt;&gt;"미종결 표시","대상 아님",IF(N1569="","신청일 확인",IF(NOT(ISNUMBER('종합 현황'!$H$5)),"관찰기준 확인",IF('종합 현황'!$H$5&lt;1,"관찰기준 확인",IF(N1569&gt;'종합 현황'!$H$5,"내부 관찰 대상","내부 관찰일 이하")))))</x:f>
        <x:v>대상 아님</x:v>
      </x:c>
      <x:c r="AB1569" s="2" t="str">
        <x:v>2021-03-10 08:14:58 - 신규신청 - 신청 
2021-03-10 08:14:58 - 관장기관 지정 - 환경부
2021-03-12 16:39:54 - 관장기관 지정 - 산업통상자원부
2021-04-05 16:30:04 - 신규신청 - 문서재제출요청 
2021-04-06 08:18:44 - 재제출신청 - 신청 
2021-06-09 09:59:18 - 재제출신청 - 문서재제출요청 
2021-07-21 13:49:26 - 재제출신청 - 신청 
2021-09-27 11:02:32 - 재제출신청 - 평가승인 
2021-09-27 11:13:59 - 재제출신청 - 심의승인 
2021-09-27 11:51:13 - 재제출신청 - 착수신고 
</x:v>
      </x:c>
    </x:row>
    <x:row r="1570" ht="42" customHeight="1">
      <x:c r="A1570" s="2" t="str">
        <x:v>34e0ee3db9e12737c406fc31</x:v>
      </x:c>
      <x:c r="B1570" s="2" t="str">
        <x:v>사업 평가</x:v>
      </x:c>
      <x:c r="C1570" s="2" t="str">
        <x:v>국외</x:v>
      </x:c>
      <x:c r="D1570" s="7" t="str">
        <x:v>대한민국이 지원한 우간다 UpEnergy 고효율 쿡스토브 사업-CPA0040</x:v>
      </x:c>
      <x:c r="E1570" s="2" t="str">
        <x:v>192</x:v>
      </x:c>
      <x:c r="F1570" s="2" t="str">
        <x:v>2021-03</x:v>
      </x:c>
      <x:c r="G1570" s="2" t="str">
        <x:v>2021</x:v>
      </x:c>
      <x:c r="H1570" s="2" t="str">
        <x:v>03</x:v>
      </x:c>
      <x:c r="I1570" s="2" t="str">
        <x:v>승인</x:v>
      </x:c>
      <x:c r="J1570" s="2" t="str">
        <x:v>심의승인</x:v>
      </x:c>
      <x:c r="K1570" s="2" t="str">
        <x:f>IF(OR(J1570="심의승인",J1570="반려",J1570="반려완료",J1570="심의완료"),"종결 표시",IF(OR(J1570="기후부협의",J1570="문서재제출요청",J1570="보류",J1570="보완요청",J1570="보완완료",J1570="평가중",J1570="반려요청",J1570="평가필요",LEFT(J1570,5)="보완요청("),"미종결 표시","상태 확인 필요"))</x:f>
        <x:v>종결 표시</x:v>
      </x:c>
      <x:c r="L1570" s="2" t="str">
        <x:v>에코시안_배윤빈</x:v>
      </x:c>
      <x:c r="M1570" s="2"/>
      <x:c r="N1570" s="8"/>
      <x:c r="O1570" s="2"/>
      <x:c r="P1570" s="2"/>
      <x:c r="Q1570" s="2" t="str">
        <x:v>산업전환_외부사업관리Tool_260707_이너젠 수정_LJY_261013.xlsx</x:v>
      </x:c>
      <x:c r="R1570" s="2" t="str">
        <x:v>국외평가</x:v>
      </x:c>
      <x:c r="S1570" s="8" t="n">
        <x:v>194</x:v>
      </x:c>
      <x:c r="T1570" s="2" t="str">
        <x:v>2021-07-28T00:00:00</x:v>
      </x:c>
      <x:c r="U1570" s="2" t="str">
        <x:v>2021 지정: 2021-07-28T00:00:00 / 2022 지정: (1/18)</x:v>
      </x:c>
      <x:c r="V1570" s="2" t="str">
        <x:v>2021-09-27</x:v>
      </x:c>
      <x:c r="W1570" s="2" t="str"/>
      <x:c r="X1570" s="2" t="str">
        <x:v>종결 근거 보관</x:v>
      </x:c>
      <x:c r="Y1570" s="2" t="str">
        <x:v>ad210cd9ec132cfd447541c8984dc53d30aff0f4fb2dc92d254d49275cc55976</x:v>
      </x:c>
      <x:c r="Z1570" s="2" t="n">
        <x:f>SUBTOTAL(103,A1570)</x:f>
        <x:v>1</x:v>
      </x:c>
      <x:c r="AA1570" s="2" t="str">
        <x:f>IF(K1570&lt;&gt;"미종결 표시","대상 아님",IF(N1570="","신청일 확인",IF(NOT(ISNUMBER('종합 현황'!$H$5)),"관찰기준 확인",IF('종합 현황'!$H$5&lt;1,"관찰기준 확인",IF(N1570&gt;'종합 현황'!$H$5,"내부 관찰 대상","내부 관찰일 이하")))))</x:f>
        <x:v>대상 아님</x:v>
      </x:c>
      <x:c r="AB1570" s="2" t="str">
        <x:v>2021-03-10 08:15:15 - 신규신청 - 신청 
2021-03-10 08:15:15 - 관장기관 지정 - 환경부
2021-03-12 16:39:42 - 관장기관 지정 - 산업통상자원부
2021-04-05 16:29:17 - 신규신청 - 문서재제출요청 
2021-04-06 08:23:28 - 재제출신청 - 신청 
2021-06-09 10:02:16 - 재제출신청 - 문서재제출요청 
2021-07-21 13:49:39 - 재제출신청 - 신청 
2021-09-27 11:02:03 - 재제출신청 - 평가승인 
2021-09-27 11:15:15 - 재제출신청 - 심의승인 
2021-09-27 11:49:44 - 재제출신청 - 착수신고 
</x:v>
      </x:c>
    </x:row>
    <x:row r="1571" ht="42" customHeight="1">
      <x:c r="A1571" s="2" t="str">
        <x:v>da81f948adf70045dc9f988b</x:v>
      </x:c>
      <x:c r="B1571" s="2" t="str">
        <x:v>사업 평가</x:v>
      </x:c>
      <x:c r="C1571" s="2" t="str">
        <x:v>국외</x:v>
      </x:c>
      <x:c r="D1571" s="7" t="str">
        <x:v>대한민국이 지원한 우간다 UpEnergy 고효율 쿡스토브 사업-CPA0041</x:v>
      </x:c>
      <x:c r="E1571" s="2" t="str">
        <x:v>193</x:v>
      </x:c>
      <x:c r="F1571" s="2" t="str">
        <x:v>2021-03</x:v>
      </x:c>
      <x:c r="G1571" s="2" t="str">
        <x:v>2021</x:v>
      </x:c>
      <x:c r="H1571" s="2" t="str">
        <x:v>03</x:v>
      </x:c>
      <x:c r="I1571" s="2" t="str">
        <x:v>승인</x:v>
      </x:c>
      <x:c r="J1571" s="2" t="str">
        <x:v>심의승인</x:v>
      </x:c>
      <x:c r="K1571" s="2" t="str">
        <x:f>IF(OR(J1571="심의승인",J1571="반려",J1571="반려완료",J1571="심의완료"),"종결 표시",IF(OR(J1571="기후부협의",J1571="문서재제출요청",J1571="보류",J1571="보완요청",J1571="보완완료",J1571="평가중",J1571="반려요청",J1571="평가필요",LEFT(J1571,5)="보완요청("),"미종결 표시","상태 확인 필요"))</x:f>
        <x:v>종결 표시</x:v>
      </x:c>
      <x:c r="L1571" s="2" t="str">
        <x:v>에코시안_배윤빈</x:v>
      </x:c>
      <x:c r="M1571" s="2"/>
      <x:c r="N1571" s="8"/>
      <x:c r="O1571" s="2"/>
      <x:c r="P1571" s="2"/>
      <x:c r="Q1571" s="2" t="str">
        <x:v>산업전환_외부사업관리Tool_260707_이너젠 수정_LJY_261013.xlsx</x:v>
      </x:c>
      <x:c r="R1571" s="2" t="str">
        <x:v>국외평가</x:v>
      </x:c>
      <x:c r="S1571" s="8" t="n">
        <x:v>195</x:v>
      </x:c>
      <x:c r="T1571" s="2" t="str">
        <x:v>2021-07-28T00:00:00</x:v>
      </x:c>
      <x:c r="U1571" s="2" t="str">
        <x:v>2021 지정: 2021-07-28T00:00:00 / 2022 지정: (1/18)</x:v>
      </x:c>
      <x:c r="V1571" s="2" t="str">
        <x:v>2021-09-27</x:v>
      </x:c>
      <x:c r="W1571" s="2" t="str"/>
      <x:c r="X1571" s="2" t="str">
        <x:v>종결 근거 보관</x:v>
      </x:c>
      <x:c r="Y1571" s="2" t="str">
        <x:v>ad210cd9ec132cfd447541c8984dc53d30aff0f4fb2dc92d254d49275cc55976</x:v>
      </x:c>
      <x:c r="Z1571" s="2" t="n">
        <x:f>SUBTOTAL(103,A1571)</x:f>
        <x:v>1</x:v>
      </x:c>
      <x:c r="AA1571" s="2" t="str">
        <x:f>IF(K1571&lt;&gt;"미종결 표시","대상 아님",IF(N1571="","신청일 확인",IF(NOT(ISNUMBER('종합 현황'!$H$5)),"관찰기준 확인",IF('종합 현황'!$H$5&lt;1,"관찰기준 확인",IF(N1571&gt;'종합 현황'!$H$5,"내부 관찰 대상","내부 관찰일 이하")))))</x:f>
        <x:v>대상 아님</x:v>
      </x:c>
      <x:c r="AB1571" s="2" t="str">
        <x:v>2021-03-10 08:15:30 - 신규신청 - 신청 
2021-03-10 08:15:30 - 관장기관 지정 - 환경부
2021-03-12 16:39:34 - 관장기관 지정 - 산업통상자원부
2021-04-05 16:28:50 - 신규신청 - 문서재제출요청 
2021-04-06 08:25:57 - 재제출신청 - 신청 
2021-06-09 10:02:32 - 재제출신청 - 문서재제출요청 
2021-07-21 13:49:51 - 재제출신청 - 신청 
2021-09-27 11:01:06 - 재제출신청 - 평가승인 
2021-09-27 11:16:16 - 재제출신청 - 심의승인 
2021-09-27 11:49:00 - 재제출신청 - 착수신고 
</x:v>
      </x:c>
    </x:row>
    <x:row r="1572" ht="42" customHeight="1">
      <x:c r="A1572" s="2" t="str">
        <x:v>cebc5647c553c3cd291d0b3f</x:v>
      </x:c>
      <x:c r="B1572" s="2" t="str">
        <x:v>사업 평가</x:v>
      </x:c>
      <x:c r="C1572" s="2" t="str">
        <x:v>국외</x:v>
      </x:c>
      <x:c r="D1572" s="7" t="str">
        <x:v>대한민국이 지원한 우간다 UpEnergy 고효율 쿡스토브 사업-CPA0042</x:v>
      </x:c>
      <x:c r="E1572" s="2" t="str">
        <x:v>194</x:v>
      </x:c>
      <x:c r="F1572" s="2" t="str">
        <x:v>2021-03</x:v>
      </x:c>
      <x:c r="G1572" s="2" t="str">
        <x:v>2021</x:v>
      </x:c>
      <x:c r="H1572" s="2" t="str">
        <x:v>03</x:v>
      </x:c>
      <x:c r="I1572" s="2" t="str">
        <x:v>승인</x:v>
      </x:c>
      <x:c r="J1572" s="2" t="str">
        <x:v>심의승인</x:v>
      </x:c>
      <x:c r="K1572" s="2" t="str">
        <x:f>IF(OR(J1572="심의승인",J1572="반려",J1572="반려완료",J1572="심의완료"),"종결 표시",IF(OR(J1572="기후부협의",J1572="문서재제출요청",J1572="보류",J1572="보완요청",J1572="보완완료",J1572="평가중",J1572="반려요청",J1572="평가필요",LEFT(J1572,5)="보완요청("),"미종결 표시","상태 확인 필요"))</x:f>
        <x:v>종결 표시</x:v>
      </x:c>
      <x:c r="L1572" s="2" t="str">
        <x:v>에코시안_배윤빈</x:v>
      </x:c>
      <x:c r="M1572" s="2"/>
      <x:c r="N1572" s="8"/>
      <x:c r="O1572" s="2"/>
      <x:c r="P1572" s="2"/>
      <x:c r="Q1572" s="2" t="str">
        <x:v>산업전환_외부사업관리Tool_260707_이너젠 수정_LJY_261013.xlsx</x:v>
      </x:c>
      <x:c r="R1572" s="2" t="str">
        <x:v>국외평가</x:v>
      </x:c>
      <x:c r="S1572" s="8" t="n">
        <x:v>196</x:v>
      </x:c>
      <x:c r="T1572" s="2" t="str">
        <x:v>2021-07-28T00:00:00</x:v>
      </x:c>
      <x:c r="U1572" s="2" t="str">
        <x:v>2021 지정: 2021-07-28T00:00:00 / 2022 지정: (1/18)</x:v>
      </x:c>
      <x:c r="V1572" s="2" t="str">
        <x:v>2021-09-27</x:v>
      </x:c>
      <x:c r="W1572" s="2" t="str"/>
      <x:c r="X1572" s="2" t="str">
        <x:v>종결 근거 보관</x:v>
      </x:c>
      <x:c r="Y1572" s="2" t="str">
        <x:v>ad210cd9ec132cfd447541c8984dc53d30aff0f4fb2dc92d254d49275cc55976</x:v>
      </x:c>
      <x:c r="Z1572" s="2" t="n">
        <x:f>SUBTOTAL(103,A1572)</x:f>
        <x:v>1</x:v>
      </x:c>
      <x:c r="AA1572" s="2" t="str">
        <x:f>IF(K1572&lt;&gt;"미종결 표시","대상 아님",IF(N1572="","신청일 확인",IF(NOT(ISNUMBER('종합 현황'!$H$5)),"관찰기준 확인",IF('종합 현황'!$H$5&lt;1,"관찰기준 확인",IF(N1572&gt;'종합 현황'!$H$5,"내부 관찰 대상","내부 관찰일 이하")))))</x:f>
        <x:v>대상 아님</x:v>
      </x:c>
      <x:c r="AB1572" s="2" t="str">
        <x:v>2021-03-10 08:15:57 - 신규신청 - 신청 
2021-03-10 08:15:57 - 관장기관 지정 - 환경부
2021-03-12 16:39:15 - 관장기관 지정 - 산업통상자원부
2021-04-05 16:28:10 - 신규신청 - 문서재제출요청 
2021-04-06 08:29:42 - 재제출신청 - 신청 
2021-06-09 10:00:14 - 재제출신청 - 문서재제출요청 
2021-07-21 13:50:04 - 재제출신청 - 신청 
2021-09-27 11:00:43 - 재제출신청 - 평가승인 
2021-09-27 11:16:43 - 재제출신청 - 심의승인 
2021-09-27 11:48:43 - 재제출신청 - 착수신고 
</x:v>
      </x:c>
    </x:row>
    <x:row r="1573" ht="42" customHeight="1">
      <x:c r="A1573" s="2" t="str">
        <x:v>7bc9ffa7c274bb22640a4cf1</x:v>
      </x:c>
      <x:c r="B1573" s="2" t="str">
        <x:v>사업 평가</x:v>
      </x:c>
      <x:c r="C1573" s="2" t="str">
        <x:v>국외</x:v>
      </x:c>
      <x:c r="D1573" s="7" t="str">
        <x:v>대한민국이 지원한 우간다 UpEnergy 고효율 쿡스토브 사업-CPA0043</x:v>
      </x:c>
      <x:c r="E1573" s="2" t="str">
        <x:v>195</x:v>
      </x:c>
      <x:c r="F1573" s="2" t="str">
        <x:v>2021-03</x:v>
      </x:c>
      <x:c r="G1573" s="2" t="str">
        <x:v>2021</x:v>
      </x:c>
      <x:c r="H1573" s="2" t="str">
        <x:v>03</x:v>
      </x:c>
      <x:c r="I1573" s="2" t="str">
        <x:v>승인</x:v>
      </x:c>
      <x:c r="J1573" s="2" t="str">
        <x:v>심의승인</x:v>
      </x:c>
      <x:c r="K1573" s="2" t="str">
        <x:f>IF(OR(J1573="심의승인",J1573="반려",J1573="반려완료",J1573="심의완료"),"종결 표시",IF(OR(J1573="기후부협의",J1573="문서재제출요청",J1573="보류",J1573="보완요청",J1573="보완완료",J1573="평가중",J1573="반려요청",J1573="평가필요",LEFT(J1573,5)="보완요청("),"미종결 표시","상태 확인 필요"))</x:f>
        <x:v>종결 표시</x:v>
      </x:c>
      <x:c r="L1573" s="2" t="str">
        <x:v>에코시안_배윤빈</x:v>
      </x:c>
      <x:c r="M1573" s="2"/>
      <x:c r="N1573" s="8"/>
      <x:c r="O1573" s="2"/>
      <x:c r="P1573" s="2"/>
      <x:c r="Q1573" s="2" t="str">
        <x:v>산업전환_외부사업관리Tool_260707_이너젠 수정_LJY_261013.xlsx</x:v>
      </x:c>
      <x:c r="R1573" s="2" t="str">
        <x:v>국외평가</x:v>
      </x:c>
      <x:c r="S1573" s="8" t="n">
        <x:v>197</x:v>
      </x:c>
      <x:c r="T1573" s="2" t="str">
        <x:v>2021-07-28T00:00:00</x:v>
      </x:c>
      <x:c r="U1573" s="2" t="str">
        <x:v>2021 지정: 2021-07-28T00:00:00 / 2022 지정: (1/18)</x:v>
      </x:c>
      <x:c r="V1573" s="2" t="str">
        <x:v>2021-09-27</x:v>
      </x:c>
      <x:c r="W1573" s="2" t="str"/>
      <x:c r="X1573" s="2" t="str">
        <x:v>종결 근거 보관</x:v>
      </x:c>
      <x:c r="Y1573" s="2" t="str">
        <x:v>ad210cd9ec132cfd447541c8984dc53d30aff0f4fb2dc92d254d49275cc55976</x:v>
      </x:c>
      <x:c r="Z1573" s="2" t="n">
        <x:f>SUBTOTAL(103,A1573)</x:f>
        <x:v>1</x:v>
      </x:c>
      <x:c r="AA1573" s="2" t="str">
        <x:f>IF(K1573&lt;&gt;"미종결 표시","대상 아님",IF(N1573="","신청일 확인",IF(NOT(ISNUMBER('종합 현황'!$H$5)),"관찰기준 확인",IF('종합 현황'!$H$5&lt;1,"관찰기준 확인",IF(N1573&gt;'종합 현황'!$H$5,"내부 관찰 대상","내부 관찰일 이하")))))</x:f>
        <x:v>대상 아님</x:v>
      </x:c>
      <x:c r="AB1573" s="2" t="str">
        <x:v>2021-03-10 08:16:23 - 신규신청 - 신청 
2021-03-10 08:16:23 - 관장기관 지정 - 환경부
2021-03-12 16:38:57 - 관장기관 지정 - 산업통상자원부
2021-04-05 16:27:20 - 신규신청 - 문서재제출요청 
2021-04-06 08:34:34 - 재제출신청 - 신청 
2021-06-09 10:00:51 - 재제출신청 - 문서재제출요청 
2021-07-21 13:50:17 - 재제출신청 - 신청 
2021-09-27 10:59:54 - 재제출신청 - 평가승인 
2021-09-27 11:17:13 - 재제출신청 - 심의승인 
2021-09-27 11:47:04 - 재제출신청 - 착수신고 
</x:v>
      </x:c>
    </x:row>
    <x:row r="1574" ht="42" customHeight="1">
      <x:c r="A1574" s="2" t="str">
        <x:v>fb0a3a3a8d9a5404556e1c64</x:v>
      </x:c>
      <x:c r="B1574" s="2" t="str">
        <x:v>사업 평가</x:v>
      </x:c>
      <x:c r="C1574" s="2" t="str">
        <x:v>국외</x:v>
      </x:c>
      <x:c r="D1574" s="7" t="str">
        <x:v>대한민국이 지원한 우간다 UpEnergy 고효율 쿡스토브 사업-CPA0044</x:v>
      </x:c>
      <x:c r="E1574" s="2" t="str">
        <x:v>196</x:v>
      </x:c>
      <x:c r="F1574" s="2" t="str">
        <x:v>2021-03</x:v>
      </x:c>
      <x:c r="G1574" s="2" t="str">
        <x:v>2021</x:v>
      </x:c>
      <x:c r="H1574" s="2" t="str">
        <x:v>03</x:v>
      </x:c>
      <x:c r="I1574" s="2" t="str">
        <x:v>승인</x:v>
      </x:c>
      <x:c r="J1574" s="2" t="str">
        <x:v>심의승인</x:v>
      </x:c>
      <x:c r="K1574" s="2" t="str">
        <x:f>IF(OR(J1574="심의승인",J1574="반려",J1574="반려완료",J1574="심의완료"),"종결 표시",IF(OR(J1574="기후부협의",J1574="문서재제출요청",J1574="보류",J1574="보완요청",J1574="보완완료",J1574="평가중",J1574="반려요청",J1574="평가필요",LEFT(J1574,5)="보완요청("),"미종결 표시","상태 확인 필요"))</x:f>
        <x:v>종결 표시</x:v>
      </x:c>
      <x:c r="L1574" s="2" t="str">
        <x:v>에코시안_배윤빈</x:v>
      </x:c>
      <x:c r="M1574" s="2"/>
      <x:c r="N1574" s="8"/>
      <x:c r="O1574" s="2"/>
      <x:c r="P1574" s="2"/>
      <x:c r="Q1574" s="2" t="str">
        <x:v>산업전환_외부사업관리Tool_260707_이너젠 수정_LJY_261013.xlsx</x:v>
      </x:c>
      <x:c r="R1574" s="2" t="str">
        <x:v>국외평가</x:v>
      </x:c>
      <x:c r="S1574" s="8" t="n">
        <x:v>198</x:v>
      </x:c>
      <x:c r="T1574" s="2" t="str">
        <x:v>2021-07-28T00:00:00</x:v>
      </x:c>
      <x:c r="U1574" s="2" t="str">
        <x:v>2021 지정: 2021-07-28T00:00:00 / 2022 지정: (1/18)</x:v>
      </x:c>
      <x:c r="V1574" s="2" t="str">
        <x:v>2021-09-27</x:v>
      </x:c>
      <x:c r="W1574" s="2" t="str"/>
      <x:c r="X1574" s="2" t="str">
        <x:v>종결 근거 보관</x:v>
      </x:c>
      <x:c r="Y1574" s="2" t="str">
        <x:v>ad210cd9ec132cfd447541c8984dc53d30aff0f4fb2dc92d254d49275cc55976</x:v>
      </x:c>
      <x:c r="Z1574" s="2" t="n">
        <x:f>SUBTOTAL(103,A1574)</x:f>
        <x:v>1</x:v>
      </x:c>
      <x:c r="AA1574" s="2" t="str">
        <x:f>IF(K1574&lt;&gt;"미종결 표시","대상 아님",IF(N1574="","신청일 확인",IF(NOT(ISNUMBER('종합 현황'!$H$5)),"관찰기준 확인",IF('종합 현황'!$H$5&lt;1,"관찰기준 확인",IF(N1574&gt;'종합 현황'!$H$5,"내부 관찰 대상","내부 관찰일 이하")))))</x:f>
        <x:v>대상 아님</x:v>
      </x:c>
      <x:c r="AB1574" s="2" t="str">
        <x:v>2021-03-10 08:16:39 - 신규신청 - 신청 
2021-03-10 08:16:39 - 관장기관 지정 - 환경부
2021-03-12 16:38:35 - 관장기관 지정 - 산업통상자원부
2021-04-05 16:26:57 - 신규신청 - 문서재제출요청 
2021-04-06 08:37:02 - 재제출신청 - 신청 
2021-06-09 10:01:15 - 재제출신청 - 문서재제출요청 
2021-07-21 13:50:32 - 재제출신청 - 신청 
2021-09-27 10:59:17 - 재제출신청 - 평가승인 
2021-09-27 11:17:47 - 재제출신청 - 심의승인 
2021-09-27 11:46:13 - 재제출신청 - 착수신고 
</x:v>
      </x:c>
    </x:row>
    <x:row r="1575" ht="42" customHeight="1">
      <x:c r="A1575" s="2" t="str">
        <x:v>9f07b42be506d0aa5ac8fe63</x:v>
      </x:c>
      <x:c r="B1575" s="2" t="str">
        <x:v>사업 평가</x:v>
      </x:c>
      <x:c r="C1575" s="2" t="str">
        <x:v>국외</x:v>
      </x:c>
      <x:c r="D1575" s="7" t="str">
        <x:v>대한민국이 지원한 우간다 UpEnergy 고효율 쿡스토브 사업-CPA0045</x:v>
      </x:c>
      <x:c r="E1575" s="2" t="str">
        <x:v>197</x:v>
      </x:c>
      <x:c r="F1575" s="2" t="str">
        <x:v>2021-03</x:v>
      </x:c>
      <x:c r="G1575" s="2" t="str">
        <x:v>2021</x:v>
      </x:c>
      <x:c r="H1575" s="2" t="str">
        <x:v>03</x:v>
      </x:c>
      <x:c r="I1575" s="2" t="str">
        <x:v>승인</x:v>
      </x:c>
      <x:c r="J1575" s="2" t="str">
        <x:v>심의승인</x:v>
      </x:c>
      <x:c r="K1575" s="2" t="str">
        <x:f>IF(OR(J1575="심의승인",J1575="반려",J1575="반려완료",J1575="심의완료"),"종결 표시",IF(OR(J1575="기후부협의",J1575="문서재제출요청",J1575="보류",J1575="보완요청",J1575="보완완료",J1575="평가중",J1575="반려요청",J1575="평가필요",LEFT(J1575,5)="보완요청("),"미종결 표시","상태 확인 필요"))</x:f>
        <x:v>종결 표시</x:v>
      </x:c>
      <x:c r="L1575" s="2" t="str">
        <x:v>에코시안_배윤빈</x:v>
      </x:c>
      <x:c r="M1575" s="2"/>
      <x:c r="N1575" s="8"/>
      <x:c r="O1575" s="2"/>
      <x:c r="P1575" s="2"/>
      <x:c r="Q1575" s="2" t="str">
        <x:v>산업전환_외부사업관리Tool_260707_이너젠 수정_LJY_261013.xlsx</x:v>
      </x:c>
      <x:c r="R1575" s="2" t="str">
        <x:v>국외평가</x:v>
      </x:c>
      <x:c r="S1575" s="8" t="n">
        <x:v>199</x:v>
      </x:c>
      <x:c r="T1575" s="2" t="str">
        <x:v>2021-07-28T00:00:00</x:v>
      </x:c>
      <x:c r="U1575" s="2" t="str">
        <x:v>2021 지정: 2021-07-28T00:00:00 / 2022 지정: (1/18)</x:v>
      </x:c>
      <x:c r="V1575" s="2" t="str">
        <x:v>2021-09-27</x:v>
      </x:c>
      <x:c r="W1575" s="2" t="str"/>
      <x:c r="X1575" s="2" t="str">
        <x:v>종결 근거 보관</x:v>
      </x:c>
      <x:c r="Y1575" s="2" t="str">
        <x:v>ad210cd9ec132cfd447541c8984dc53d30aff0f4fb2dc92d254d49275cc55976</x:v>
      </x:c>
      <x:c r="Z1575" s="2" t="n">
        <x:f>SUBTOTAL(103,A1575)</x:f>
        <x:v>1</x:v>
      </x:c>
      <x:c r="AA1575" s="2" t="str">
        <x:f>IF(K1575&lt;&gt;"미종결 표시","대상 아님",IF(N1575="","신청일 확인",IF(NOT(ISNUMBER('종합 현황'!$H$5)),"관찰기준 확인",IF('종합 현황'!$H$5&lt;1,"관찰기준 확인",IF(N1575&gt;'종합 현황'!$H$5,"내부 관찰 대상","내부 관찰일 이하")))))</x:f>
        <x:v>대상 아님</x:v>
      </x:c>
      <x:c r="AB1575" s="2" t="str">
        <x:v>2021-03-10 08:16:55 - 관장기관 지정 - 환경부
2021-03-10 08:16:56 - 신규신청 - 신청 
2021-03-12 16:38:25 - 관장기관 지정 - 산업통상자원부
2021-04-05 16:26:34 - 신규신청 - 문서재제출요청 
2021-04-06 08:40:23 - 재제출신청 - 신청 
2021-06-09 10:01:33 - 재제출신청 - 문서재제출요청 
2021-07-21 13:50:50 - 재제출신청 - 신청 
2021-09-27 10:58:46 - 재제출신청 - 평가승인 
2021-09-27 11:18:19 - 재제출신청 - 심의승인 
2021-09-27 11:45:38 - 재제출신청 - 착수신고 
</x:v>
      </x:c>
    </x:row>
    <x:row r="1576" ht="42" customHeight="1">
      <x:c r="A1576" s="2" t="str">
        <x:v>76e8c6928c402e5b2181d756</x:v>
      </x:c>
      <x:c r="B1576" s="2" t="str">
        <x:v>사업 평가</x:v>
      </x:c>
      <x:c r="C1576" s="2" t="str">
        <x:v>국외</x:v>
      </x:c>
      <x:c r="D1576" s="7" t="str">
        <x:v>사하라 이남 아프리카 고효율 쿡스토브 보급 사업-말라위-CPA004</x:v>
      </x:c>
      <x:c r="E1576" s="2" t="str">
        <x:v>198</x:v>
      </x:c>
      <x:c r="F1576" s="2" t="str">
        <x:v>2021-03</x:v>
      </x:c>
      <x:c r="G1576" s="2" t="str">
        <x:v>2021</x:v>
      </x:c>
      <x:c r="H1576" s="2" t="str">
        <x:v>03</x:v>
      </x:c>
      <x:c r="I1576" s="2" t="str">
        <x:v>승인</x:v>
      </x:c>
      <x:c r="J1576" s="2" t="str">
        <x:v>심의승인</x:v>
      </x:c>
      <x:c r="K1576" s="2" t="str">
        <x:f>IF(OR(J1576="심의승인",J1576="반려",J1576="반려완료",J1576="심의완료"),"종결 표시",IF(OR(J1576="기후부협의",J1576="문서재제출요청",J1576="보류",J1576="보완요청",J1576="보완완료",J1576="평가중",J1576="반려요청",J1576="평가필요",LEFT(J1576,5)="보완요청("),"미종결 표시","상태 확인 필요"))</x:f>
        <x:v>종결 표시</x:v>
      </x:c>
      <x:c r="L1576" s="2" t="str">
        <x:v>KECM</x:v>
      </x:c>
      <x:c r="M1576" s="2"/>
      <x:c r="N1576" s="8"/>
      <x:c r="O1576" s="2"/>
      <x:c r="P1576" s="2"/>
      <x:c r="Q1576" s="2" t="str">
        <x:v>산업전환_외부사업관리Tool_260707_이너젠 수정_LJY_261013.xlsx</x:v>
      </x:c>
      <x:c r="R1576" s="2" t="str">
        <x:v>국외평가</x:v>
      </x:c>
      <x:c r="S1576" s="8" t="n">
        <x:v>200</x:v>
      </x:c>
      <x:c r="T1576" s="2" t="str">
        <x:v>2021-07-28T00:00:00</x:v>
      </x:c>
      <x:c r="U1576" s="2" t="str">
        <x:v>2021 지정: 2021-07-28T00:00:00 / 2022 지정: (1/18)</x:v>
      </x:c>
      <x:c r="V1576" s="2" t="str">
        <x:v>2021-09-27</x:v>
      </x:c>
      <x:c r="W1576" s="2" t="str"/>
      <x:c r="X1576" s="2" t="str">
        <x:v>종결 근거 보관</x:v>
      </x:c>
      <x:c r="Y1576" s="2" t="str">
        <x:v>ad210cd9ec132cfd447541c8984dc53d30aff0f4fb2dc92d254d49275cc55976</x:v>
      </x:c>
      <x:c r="Z1576" s="2" t="n">
        <x:f>SUBTOTAL(103,A1576)</x:f>
        <x:v>1</x:v>
      </x:c>
      <x:c r="AA1576" s="2" t="str">
        <x:f>IF(K1576&lt;&gt;"미종결 표시","대상 아님",IF(N1576="","신청일 확인",IF(NOT(ISNUMBER('종합 현황'!$H$5)),"관찰기준 확인",IF('종합 현황'!$H$5&lt;1,"관찰기준 확인",IF(N1576&gt;'종합 현황'!$H$5,"내부 관찰 대상","내부 관찰일 이하")))))</x:f>
        <x:v>대상 아님</x:v>
      </x:c>
      <x:c r="AB1576" s="2" t="str">
        <x:v>2021-03-10 16:45:20 - 신규신청 - 신청 
2021-03-10 16:45:20 - 관장기관 지정 - 환경부
2021-03-12 16:37:48 - 관장기관 지정 - 산업통상자원부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</x:v>
      </x:c>
    </x:row>
    <x:row r="1577" ht="42" customHeight="1">
      <x:c r="A1577" s="2" t="str">
        <x:v>77b4bf3f2ef1877c1822dbf6</x:v>
      </x:c>
      <x:c r="B1577" s="2" t="str">
        <x:v>사업 평가</x:v>
      </x:c>
      <x:c r="C1577" s="2" t="str">
        <x:v>국외</x:v>
      </x:c>
      <x:c r="D1577" s="7" t="str">
        <x:v>베트남 VN Cam Lam 태양광 발전 사업을 통한 온실가스 배출 감축사업</x:v>
      </x:c>
      <x:c r="E1577" s="2" t="str">
        <x:v>199</x:v>
      </x:c>
      <x:c r="F1577" s="2" t="str">
        <x:v>2021-03</x:v>
      </x:c>
      <x:c r="G1577" s="2" t="str">
        <x:v>2021</x:v>
      </x:c>
      <x:c r="H1577" s="2" t="str">
        <x:v>03</x:v>
      </x:c>
      <x:c r="I1577" s="2" t="str">
        <x:v>승인</x:v>
      </x:c>
      <x:c r="J1577" s="2" t="str">
        <x:v>심의승인</x:v>
      </x:c>
      <x:c r="K1577" s="2" t="str">
        <x:f>IF(OR(J1577="심의승인",J1577="반려",J1577="반려완료",J1577="심의완료"),"종결 표시",IF(OR(J1577="기후부협의",J1577="문서재제출요청",J1577="보류",J1577="보완요청",J1577="보완완료",J1577="평가중",J1577="반려요청",J1577="평가필요",LEFT(J1577,5)="보완요청("),"미종결 표시","상태 확인 필요"))</x:f>
        <x:v>종결 표시</x:v>
      </x:c>
      <x:c r="L1577" s="2" t="str">
        <x:v>KECM</x:v>
      </x:c>
      <x:c r="M1577" s="2"/>
      <x:c r="N1577" s="8"/>
      <x:c r="O1577" s="2"/>
      <x:c r="P1577" s="2"/>
      <x:c r="Q1577" s="2" t="str">
        <x:v>산업전환_외부사업관리Tool_260707_이너젠 수정_LJY_261013.xlsx</x:v>
      </x:c>
      <x:c r="R1577" s="2" t="str">
        <x:v>국외평가</x:v>
      </x:c>
      <x:c r="S1577" s="8" t="n">
        <x:v>201</x:v>
      </x:c>
      <x:c r="T1577" s="2" t="str">
        <x:v>2021-05-17T00:00:00</x:v>
      </x:c>
      <x:c r="U1577" s="2" t="str">
        <x:v>2021 지정: 2021-05-17T00:00:00 / 2021 지정(2): (4.23/05.17) / 2022 지정: (1/18)</x:v>
      </x:c>
      <x:c r="V1577" s="2" t="str">
        <x:v>2021-09-27</x:v>
      </x:c>
      <x:c r="W1577" s="2" t="str"/>
      <x:c r="X1577" s="2" t="str">
        <x:v>종결 근거 보관</x:v>
      </x:c>
      <x:c r="Y1577" s="2" t="str">
        <x:v>ad210cd9ec132cfd447541c8984dc53d30aff0f4fb2dc92d254d49275cc55976</x:v>
      </x:c>
      <x:c r="Z1577" s="2" t="n">
        <x:f>SUBTOTAL(103,A1577)</x:f>
        <x:v>1</x:v>
      </x:c>
      <x:c r="AA1577" s="2" t="str">
        <x:f>IF(K1577&lt;&gt;"미종결 표시","대상 아님",IF(N1577="","신청일 확인",IF(NOT(ISNUMBER('종합 현황'!$H$5)),"관찰기준 확인",IF('종합 현황'!$H$5&lt;1,"관찰기준 확인",IF(N1577&gt;'종합 현황'!$H$5,"내부 관찰 대상","내부 관찰일 이하")))))</x:f>
        <x:v>대상 아님</x:v>
      </x:c>
      <x:c r="AB1577" s="2" t="str">
        <x:v>2021-03-22 09:21:42 - 신규신청 - 신청 
2021-03-22 09:21:42 - 관장기관 지정 - 환경부
2021-03-22 13:03:32 - 관장기관 지정 - 산업통상자원부
2021-03-25 13:22:16 - 신규신청 - 문서재제출요청 
2021-04-01 14:53:30 - 재제출신청 - 신청 
2021-04-30 11:16:04 - 재제출신청 - 문서재제출요청 
2021-05-03 14:41:35 - 재제출신청 - 신청 
2021-06-14 16:06:42 - 재제출신청 - 문서재제출요청 
2021-06-15 10:20:35 - 재제출신청 - 신청 
2021-06-24 15:34:37 - 재제출신청 - 문서재제출요청 
2021-06-24 17:05:42 - 재제출신청 - 신청 
2021-08-24 15:54:45 - 재제출신청 - 문서재제출요청 
2021-08-25 10:02:08 - 재제출신청 - 신청 
2021-08-27 09:35:57 - 재제출신청 - 문서재제출요청 
2021-08-27 14:52:18 - 재제출신청 - 신청 
2021-09-27 11:19:54 - 재제출신청 - 평가승인 
2021-09-27 11:20:17 - 재제출신청 - 심의승인 
2021-09-27 13:01:39 - 재제출신청 - 착수신고 
</x:v>
      </x:c>
    </x:row>
    <x:row r="1578" ht="42" customHeight="1">
      <x:c r="A1578" s="2" t="str">
        <x:v>b5147f680a5af4ae6a61e84e</x:v>
      </x:c>
      <x:c r="B1578" s="2" t="str">
        <x:v>사업 평가</x:v>
      </x:c>
      <x:c r="C1578" s="2" t="str">
        <x:v>국외</x:v>
      </x:c>
      <x:c r="D1578" s="7" t="str">
        <x:v>대한민국이 지원하는 가나 맨 앤 맨 고효율 쿡스토브 프로그램-CPA02</x:v>
      </x:c>
      <x:c r="E1578" s="2" t="str">
        <x:v>200</x:v>
      </x:c>
      <x:c r="F1578" s="2" t="str">
        <x:v>2021-04</x:v>
      </x:c>
      <x:c r="G1578" s="2" t="str">
        <x:v>2021</x:v>
      </x:c>
      <x:c r="H1578" s="2" t="str">
        <x:v>04</x:v>
      </x:c>
      <x:c r="I1578" s="2" t="str">
        <x:v>승인</x:v>
      </x:c>
      <x:c r="J1578" s="2" t="str">
        <x:v>심의승인</x:v>
      </x:c>
      <x:c r="K1578" s="2" t="str">
        <x:f>IF(OR(J1578="심의승인",J1578="반려",J1578="반려완료",J1578="심의완료"),"종결 표시",IF(OR(J1578="기후부협의",J1578="문서재제출요청",J1578="보류",J1578="보완요청",J1578="보완완료",J1578="평가중",J1578="반려요청",J1578="평가필요",LEFT(J1578,5)="보완요청("),"미종결 표시","상태 확인 필요"))</x:f>
        <x:v>종결 표시</x:v>
      </x:c>
      <x:c r="L1578" s="2" t="str">
        <x:v>KECM</x:v>
      </x:c>
      <x:c r="M1578" s="2"/>
      <x:c r="N1578" s="8"/>
      <x:c r="O1578" s="2"/>
      <x:c r="P1578" s="2"/>
      <x:c r="Q1578" s="2" t="str">
        <x:v>산업전환_외부사업관리Tool_260707_이너젠 수정_LJY_261013.xlsx</x:v>
      </x:c>
      <x:c r="R1578" s="2" t="str">
        <x:v>국외평가</x:v>
      </x:c>
      <x:c r="S1578" s="8" t="n">
        <x:v>202</x:v>
      </x:c>
      <x:c r="T1578" s="2" t="str">
        <x:v>2021-07-28T00:00:00</x:v>
      </x:c>
      <x:c r="U1578" s="2" t="str">
        <x:v>2021 지정: 2021-07-28T00:00:00 / 2022 지정: (1/18)</x:v>
      </x:c>
      <x:c r="V1578" s="2" t="str">
        <x:v>2021-09-27</x:v>
      </x:c>
      <x:c r="W1578" s="2" t="str"/>
      <x:c r="X1578" s="2" t="str">
        <x:v>종결 근거 보관</x:v>
      </x:c>
      <x:c r="Y1578" s="2" t="str">
        <x:v>ad210cd9ec132cfd447541c8984dc53d30aff0f4fb2dc92d254d49275cc55976</x:v>
      </x:c>
      <x:c r="Z1578" s="2" t="n">
        <x:f>SUBTOTAL(103,A1578)</x:f>
        <x:v>1</x:v>
      </x:c>
      <x:c r="AA1578" s="2" t="str">
        <x:f>IF(K1578&lt;&gt;"미종결 표시","대상 아님",IF(N1578="","신청일 확인",IF(NOT(ISNUMBER('종합 현황'!$H$5)),"관찰기준 확인",IF('종합 현황'!$H$5&lt;1,"관찰기준 확인",IF(N1578&gt;'종합 현황'!$H$5,"내부 관찰 대상","내부 관찰일 이하")))))</x:f>
        <x:v>대상 아님</x:v>
      </x:c>
      <x:c r="AB1578" s="2" t="str">
        <x:v>2021-04-02 10:44:09 - 관장기관 지정 - 환경부
2021-04-02 10:44:10 - 신규신청 - 접수 
2021-04-02 11:00:15 - 신규신청 - 신청 
2021-04-02 11:35:19 - 관장기관 지정 - 산업통상자원부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</x:v>
      </x:c>
    </x:row>
    <x:row r="1579" ht="42" customHeight="1">
      <x:c r="A1579" s="2" t="str">
        <x:v>7a1963805660e430b17db63f</x:v>
      </x:c>
      <x:c r="B1579" s="2" t="str">
        <x:v>사업 평가</x:v>
      </x:c>
      <x:c r="C1579" s="2" t="str">
        <x:v>국외</x:v>
      </x:c>
      <x:c r="D1579" s="7" t="str">
        <x:v>대한민국이 지원하는 방글라데시 고효율 쿡스토브 프로그램 - CPA02</x:v>
      </x:c>
      <x:c r="E1579" s="2" t="str">
        <x:v>201</x:v>
      </x:c>
      <x:c r="F1579" s="2" t="str">
        <x:v>2021-04</x:v>
      </x:c>
      <x:c r="G1579" s="2" t="str">
        <x:v>2021</x:v>
      </x:c>
      <x:c r="H1579" s="2" t="str">
        <x:v>04</x:v>
      </x:c>
      <x:c r="I1579" s="2" t="str">
        <x:v>승인</x:v>
      </x:c>
      <x:c r="J1579" s="2" t="str">
        <x:v>심의승인</x:v>
      </x:c>
      <x:c r="K1579" s="2" t="str">
        <x:f>IF(OR(J1579="심의승인",J1579="반려",J1579="반려완료",J1579="심의완료"),"종결 표시",IF(OR(J1579="기후부협의",J1579="문서재제출요청",J1579="보류",J1579="보완요청",J1579="보완완료",J1579="평가중",J1579="반려요청",J1579="평가필요",LEFT(J1579,5)="보완요청("),"미종결 표시","상태 확인 필요"))</x:f>
        <x:v>종결 표시</x:v>
      </x:c>
      <x:c r="L1579" s="2" t="str">
        <x:v>KECM</x:v>
      </x:c>
      <x:c r="M1579" s="2"/>
      <x:c r="N1579" s="8"/>
      <x:c r="O1579" s="2"/>
      <x:c r="P1579" s="2"/>
      <x:c r="Q1579" s="2" t="str">
        <x:v>산업전환_외부사업관리Tool_260707_이너젠 수정_LJY_261013.xlsx</x:v>
      </x:c>
      <x:c r="R1579" s="2" t="str">
        <x:v>국외평가</x:v>
      </x:c>
      <x:c r="S1579" s="8" t="n">
        <x:v>203</x:v>
      </x:c>
      <x:c r="T1579" s="2" t="str">
        <x:v>2021-10-20T00:00:00</x:v>
      </x:c>
      <x:c r="U1579" s="2" t="str">
        <x:v>2021 지정: 2021-10-20T00:00:00 / 2021 지정(2): (04/23, 05/17, 07/06, 07/16, 10/20) / 2022 지정: (1/18)</x:v>
      </x:c>
      <x:c r="V1579" s="2" t="str">
        <x:v>2022-01-10</x:v>
      </x:c>
      <x:c r="W1579" s="2" t="str"/>
      <x:c r="X1579" s="2" t="str">
        <x:v>종결 근거 보관</x:v>
      </x:c>
      <x:c r="Y1579" s="2" t="str">
        <x:v>ad210cd9ec132cfd447541c8984dc53d30aff0f4fb2dc92d254d49275cc55976</x:v>
      </x:c>
      <x:c r="Z1579" s="2" t="n">
        <x:f>SUBTOTAL(103,A1579)</x:f>
        <x:v>1</x:v>
      </x:c>
      <x:c r="AA1579" s="2" t="str">
        <x:f>IF(K1579&lt;&gt;"미종결 표시","대상 아님",IF(N1579="","신청일 확인",IF(NOT(ISNUMBER('종합 현황'!$H$5)),"관찰기준 확인",IF('종합 현황'!$H$5&lt;1,"관찰기준 확인",IF(N1579&gt;'종합 현황'!$H$5,"내부 관찰 대상","내부 관찰일 이하")))))</x:f>
        <x:v>대상 아님</x:v>
      </x:c>
      <x:c r="AB1579" s="2" t="str">
        <x:v>2021-04-07 16:35:52 - 관장기관 지정 - 환경부
2021-04-07 16:35:53 - 신규신청 - 신청 
2021-04-07 17:35:24 - 관장기관 지정 - 산업통상자원부
2021-05-07 17:20:15 - 신규신청 - 문서재제출요청 
2021-05-10 15:06:57 - 재제출신청 - 신청 
2021-05-14 15:03:42 - 재제출신청 - 문서재제출요청 
2021-05-27 14:33:36 - 재제출신청 - 신청 
2021-07-07 10:06:39 - 재제출신청 - 문서재제출요청 
2021-07-12 10:10:20 - 재제출신청 - 신청 
2021-09-16 10:47:33 - 재제출신청 - 문서재제출요청 
2021-10-06 17:08:49 - 재제출신청 - 신청 
2021-11-03 11:02:17 - 재제출신청 - 문서재제출요청 
2021-11-03 11:04:53 - 재제출신청 - 신청 
2022-01-07 15:29:15 - 재제출신청 - 평가승인 
2022-01-07 15:30:13 - 재제출신청 - 심의승인 
2022-01-10 13:42:48 - 재제출신청 - 착수신고 
</x:v>
      </x:c>
    </x:row>
    <x:row r="1580" ht="42" customHeight="1">
      <x:c r="A1580" s="2" t="str">
        <x:v>6d36d5e5e3e431059ba543b4</x:v>
      </x:c>
      <x:c r="B1580" s="2" t="str">
        <x:v>사업 평가</x:v>
      </x:c>
      <x:c r="C1580" s="2" t="str">
        <x:v>국외</x:v>
      </x:c>
      <x:c r="D1580" s="7" t="str">
        <x:v>대한민국이 지원하는 방글라데시 고효율 쿡스토브 프로그램 - CPA03</x:v>
      </x:c>
      <x:c r="E1580" s="2" t="str">
        <x:v>202</x:v>
      </x:c>
      <x:c r="F1580" s="2" t="str">
        <x:v>2021-04</x:v>
      </x:c>
      <x:c r="G1580" s="2" t="str">
        <x:v>2021</x:v>
      </x:c>
      <x:c r="H1580" s="2" t="str">
        <x:v>04</x:v>
      </x:c>
      <x:c r="I1580" s="2" t="str">
        <x:v>승인</x:v>
      </x:c>
      <x:c r="J1580" s="2" t="str">
        <x:v>심의승인</x:v>
      </x:c>
      <x:c r="K1580" s="2" t="str">
        <x:f>IF(OR(J1580="심의승인",J1580="반려",J1580="반려완료",J1580="심의완료"),"종결 표시",IF(OR(J1580="기후부협의",J1580="문서재제출요청",J1580="보류",J1580="보완요청",J1580="보완완료",J1580="평가중",J1580="반려요청",J1580="평가필요",LEFT(J1580,5)="보완요청("),"미종결 표시","상태 확인 필요"))</x:f>
        <x:v>종결 표시</x:v>
      </x:c>
      <x:c r="L1580" s="2" t="str">
        <x:v>KECM</x:v>
      </x:c>
      <x:c r="M1580" s="2"/>
      <x:c r="N1580" s="8"/>
      <x:c r="O1580" s="2"/>
      <x:c r="P1580" s="2"/>
      <x:c r="Q1580" s="2" t="str">
        <x:v>산업전환_외부사업관리Tool_260707_이너젠 수정_LJY_261013.xlsx</x:v>
      </x:c>
      <x:c r="R1580" s="2" t="str">
        <x:v>국외평가</x:v>
      </x:c>
      <x:c r="S1580" s="8" t="n">
        <x:v>204</x:v>
      </x:c>
      <x:c r="T1580" s="2" t="str">
        <x:v>2021-10-20T00:00:00</x:v>
      </x:c>
      <x:c r="U1580" s="2" t="str">
        <x:v>2021 지정: 2021-10-20T00:00:00 / 2021 지정(2): (04/23, 05/17, 07/06, 07/16, 10/20) / 2022 지정: (1/18)</x:v>
      </x:c>
      <x:c r="V1580" s="2" t="str">
        <x:v>2022-01-10</x:v>
      </x:c>
      <x:c r="W1580" s="2" t="str"/>
      <x:c r="X1580" s="2" t="str">
        <x:v>종결 근거 보관</x:v>
      </x:c>
      <x:c r="Y1580" s="2" t="str">
        <x:v>ad210cd9ec132cfd447541c8984dc53d30aff0f4fb2dc92d254d49275cc55976</x:v>
      </x:c>
      <x:c r="Z1580" s="2" t="n">
        <x:f>SUBTOTAL(103,A1580)</x:f>
        <x:v>1</x:v>
      </x:c>
      <x:c r="AA1580" s="2" t="str">
        <x:f>IF(K1580&lt;&gt;"미종결 표시","대상 아님",IF(N1580="","신청일 확인",IF(NOT(ISNUMBER('종합 현황'!$H$5)),"관찰기준 확인",IF('종합 현황'!$H$5&lt;1,"관찰기준 확인",IF(N1580&gt;'종합 현황'!$H$5,"내부 관찰 대상","내부 관찰일 이하")))))</x:f>
        <x:v>대상 아님</x:v>
      </x:c>
      <x:c r="AB1580" s="2" t="str">
        <x:v>2021-04-07 16:46:27 - 신규신청 - 신청 
2021-04-07 16:46:27 - 관장기관 지정 - 환경부
2021-04-07 17:34:57 - 관장기관 지정 - 산업통상자원부
2021-05-07 17:21:31 - 신규신청 - 문서재제출요청 
2021-05-10 15:07:09 - 재제출신청 - 신청 
2021-05-14 15:02:50 - 재제출신청 - 문서재제출요청 
2021-05-27 14:43:08 - 재제출신청 - 신청 
2021-07-07 10:07:00 - 재제출신청 - 문서재제출요청 
2021-07-12 10:26:00 - 재제출신청 - 신청 
2021-09-16 10:46:56 - 재제출신청 - 문서재제출요청 
2021-10-06 17:23:08 - 재제출신청 - 신청 
2021-11-03 11:01:19 - 재제출신청 - 문서재제출요청 
2021-11-03 11:04:43 - 재제출신청 - 신청 
2022-01-07 15:27:43 - 재제출신청 - 평가승인 
2022-01-07 15:28:43 - 재제출신청 - 심의승인 
2022-01-10 13:40:56 - 재제출신청 - 착수신고 
</x:v>
      </x:c>
    </x:row>
    <x:row r="1581" ht="42" customHeight="1">
      <x:c r="A1581" s="2" t="str">
        <x:v>bbf91a5c2ab8c9e9e03cfc6e</x:v>
      </x:c>
      <x:c r="B1581" s="2" t="str">
        <x:v>사업 평가</x:v>
      </x:c>
      <x:c r="C1581" s="2" t="str">
        <x:v>국외</x:v>
      </x:c>
      <x:c r="D1581" s="7" t="str">
        <x:v>스망까 수력 CDM 사업</x:v>
      </x:c>
      <x:c r="E1581" s="2" t="str">
        <x:v>203</x:v>
      </x:c>
      <x:c r="F1581" s="2" t="str">
        <x:v>2021-04</x:v>
      </x:c>
      <x:c r="G1581" s="2" t="str">
        <x:v>2021</x:v>
      </x:c>
      <x:c r="H1581" s="2" t="str">
        <x:v>04</x:v>
      </x:c>
      <x:c r="I1581" s="2" t="str">
        <x:v>승인</x:v>
      </x:c>
      <x:c r="J1581" s="2" t="str">
        <x:v>심의승인</x:v>
      </x:c>
      <x:c r="K1581" s="2" t="str">
        <x:f>IF(OR(J1581="심의승인",J1581="반려",J1581="반려완료",J1581="심의완료"),"종결 표시",IF(OR(J1581="기후부협의",J1581="문서재제출요청",J1581="보류",J1581="보완요청",J1581="보완완료",J1581="평가중",J1581="반려요청",J1581="평가필요",LEFT(J1581,5)="보완요청("),"미종결 표시","상태 확인 필요"))</x:f>
        <x:v>종결 표시</x:v>
      </x:c>
      <x:c r="L1581" s="2" t="str">
        <x:v>KECM&gt;KRIC</x:v>
      </x:c>
      <x:c r="M1581" s="2"/>
      <x:c r="N1581" s="8"/>
      <x:c r="O1581" s="2"/>
      <x:c r="P1581" s="2" t="str">
        <x:v>사명변경 관장기관 처리</x:v>
      </x:c>
      <x:c r="Q1581" s="2" t="str">
        <x:v>산업전환_외부사업관리Tool_260707_이너젠 수정_LJY_261013.xlsx</x:v>
      </x:c>
      <x:c r="R1581" s="2" t="str">
        <x:v>국외평가</x:v>
      </x:c>
      <x:c r="S1581" s="8" t="n">
        <x:v>205</x:v>
      </x:c>
      <x:c r="T1581" s="2" t="str">
        <x:v>2021-07-16T00:00:00</x:v>
      </x:c>
      <x:c r="U1581" s="2" t="str">
        <x:v>2021 지정: 2021-07-16T00:00:00 / 2021 지정(2): (04.23 / 07.16) / 2022 지정: (1/18) / 2023 지정: (4/21),(5/16),(6/7)</x:v>
      </x:c>
      <x:c r="V1581" s="2" t="str">
        <x:v>2023-06-05</x:v>
      </x:c>
      <x:c r="W1581" s="2" t="str"/>
      <x:c r="X1581" s="2" t="str">
        <x:v>종결 근거 보관</x:v>
      </x:c>
      <x:c r="Y1581" s="2" t="str">
        <x:v>ad210cd9ec132cfd447541c8984dc53d30aff0f4fb2dc92d254d49275cc55976</x:v>
      </x:c>
      <x:c r="Z1581" s="2" t="n">
        <x:f>SUBTOTAL(103,A1581)</x:f>
        <x:v>1</x:v>
      </x:c>
      <x:c r="AA1581" s="2" t="str">
        <x:f>IF(K1581&lt;&gt;"미종결 표시","대상 아님",IF(N1581="","신청일 확인",IF(NOT(ISNUMBER('종합 현황'!$H$5)),"관찰기준 확인",IF('종합 현황'!$H$5&lt;1,"관찰기준 확인",IF(N1581&gt;'종합 현황'!$H$5,"내부 관찰 대상","내부 관찰일 이하")))))</x:f>
        <x:v>대상 아님</x:v>
      </x:c>
      <x:c r="AB1581" s="2" t="str">
        <x:v>2021-04-08 21:26:37 - 신규신청 - 접수 
2021-04-08 21:26:37 - 관장기관 지정 - 환경부
2021-04-09 08:57:59 - 관장기관 지정 - 산업통상자원부
2021-04-12 14:46:24 - 신규신청 - 신청 
2021-05-14 15:10:14 - 신규신청 - 문서재제출요청 
2021-05-24 16:31:05 - 재제출신청 - 접수 
2021-05-24 16:34:52 - 재제출신청 - 신청 
2021-07-13 10:20:50 - 재제출신청 - 보완요청 
2021-07-23 09:16:16 - 보완신청 - 접수 
2021-07-23 09:29:09 - 보완신청 - 신청 
2021-09-27 11:27:07 - 보완신청 - 평가승인 
2021-09-27 11:30:28 - 보완신청 - 심의승인 
2021-09-28 13:48:41 - 보완신청 - 착수신고 
2023-04-06 14:50:36 - 사업변경 신청 - 접수 
2023-04-07 08:22:24 - 사업변경 신청 - 신청 
2023-06-02 15:06:39 - 사업변경 신청 - 문서재제출요청 
2023-06-02 16:27:51 - 사업변경 재제출신청 - 접수 
2023-06-02 23:15:34 - 사업변경 재제출신청 - 신청 
2023-06-05 15:08:16 - 사업변경 재제출신청 - 평가승인 
2023-06-05 15:24:15 - 사업변경 재제출신청 - 심의승인 
</x:v>
      </x:c>
    </x:row>
    <x:row r="1582" ht="42" customHeight="1">
      <x:c r="A1582" s="2" t="str">
        <x:v>64e07421cc944a4b70ff0665</x:v>
      </x:c>
      <x:c r="B1582" s="2" t="str">
        <x:v>사업 평가</x:v>
      </x:c>
      <x:c r="C1582" s="2" t="str">
        <x:v>국외</x:v>
      </x:c>
      <x:c r="D1582" s="7" t="str">
        <x:v>베트남 KN Cam Lam 태양광 발전 사업을 통한 온실가스 배출 감축사업</x:v>
      </x:c>
      <x:c r="E1582" s="2" t="str">
        <x:v>204</x:v>
      </x:c>
      <x:c r="F1582" s="2" t="str">
        <x:v>2021-06</x:v>
      </x:c>
      <x:c r="G1582" s="2" t="str">
        <x:v>2021</x:v>
      </x:c>
      <x:c r="H1582" s="2" t="str">
        <x:v>06</x:v>
      </x:c>
      <x:c r="I1582" s="2" t="str">
        <x:v>승인</x:v>
      </x:c>
      <x:c r="J1582" s="2" t="str">
        <x:v>심의승인</x:v>
      </x:c>
      <x:c r="K1582" s="2" t="str">
        <x:f>IF(OR(J1582="심의승인",J1582="반려",J1582="반려완료",J1582="심의완료"),"종결 표시",IF(OR(J1582="기후부협의",J1582="문서재제출요청",J1582="보류",J1582="보완요청",J1582="보완완료",J1582="평가중",J1582="반려요청",J1582="평가필요",LEFT(J1582,5)="보완요청("),"미종결 표시","상태 확인 필요"))</x:f>
        <x:v>종결 표시</x:v>
      </x:c>
      <x:c r="L1582" s="2" t="str">
        <x:v>KECM</x:v>
      </x:c>
      <x:c r="M1582" s="2"/>
      <x:c r="N1582" s="8"/>
      <x:c r="O1582" s="2"/>
      <x:c r="P1582" s="2"/>
      <x:c r="Q1582" s="2" t="str">
        <x:v>산업전환_외부사업관리Tool_260707_이너젠 수정_LJY_261013.xlsx</x:v>
      </x:c>
      <x:c r="R1582" s="2" t="str">
        <x:v>국외평가</x:v>
      </x:c>
      <x:c r="S1582" s="8" t="n">
        <x:v>206</x:v>
      </x:c>
      <x:c r="T1582" s="2" t="str">
        <x:v>2021-07-06T00:00:00</x:v>
      </x:c>
      <x:c r="U1582" s="2" t="str">
        <x:v>2021 지정: 2021-07-06T00:00:00 / 2021 지정(2): (07.06 / 09.14) / 2022 지정: (1/18)</x:v>
      </x:c>
      <x:c r="V1582" s="2" t="str">
        <x:v>2022-01-07</x:v>
      </x:c>
      <x:c r="W1582" s="2" t="str"/>
      <x:c r="X1582" s="2" t="str">
        <x:v>종결 근거 보관</x:v>
      </x:c>
      <x:c r="Y1582" s="2" t="str">
        <x:v>ad210cd9ec132cfd447541c8984dc53d30aff0f4fb2dc92d254d49275cc55976</x:v>
      </x:c>
      <x:c r="Z1582" s="2" t="n">
        <x:f>SUBTOTAL(103,A1582)</x:f>
        <x:v>1</x:v>
      </x:c>
      <x:c r="AA1582" s="2" t="str">
        <x:f>IF(K1582&lt;&gt;"미종결 표시","대상 아님",IF(N1582="","신청일 확인",IF(NOT(ISNUMBER('종합 현황'!$H$5)),"관찰기준 확인",IF('종합 현황'!$H$5&lt;1,"관찰기준 확인",IF(N1582&gt;'종합 현황'!$H$5,"내부 관찰 대상","내부 관찰일 이하")))))</x:f>
        <x:v>대상 아님</x:v>
      </x:c>
      <x:c r="AB1582" s="2" t="str">
        <x:v>2021-06-24 10:04:10 - 신규신청 - 신청 
2021-06-24 10:04:10 - 관장기관 지정 - 환경부
2021-06-25 16:29:22 - 관장기관 지정 - 산업통상자원부
2021-08-31 12:01:21 - 신규신청 - 보완요청 
2021-09-10 16:55:56 - 보완신청 - 신청 
2021-10-12 09:52:00 - 보완신청 - 문서재제출요청 
2021-10-12 09:58:21 - 재제출신청 - 신청 
2021-10-12 10:22:10 - 재제출신청 - 문서재제출요청 
2021-10-12 10:28:40 - 재제출신청 - 신청 
2021-11-29 15:29:25 - 재제출신청 - 문서재제출요청 
2021-11-30 09:18:50 - 재제출신청 - 신청 
2022-01-07 15:32:54 - 재제출신청 - 평가승인 
2022-01-07 15:33:19 - 재제출신청 - 심의승인 
2022-01-07 16:31:53 - 재제출신청 - 착수신고 
</x:v>
      </x:c>
    </x:row>
    <x:row r="1583" ht="42" customHeight="1">
      <x:c r="A1583" s="2" t="str">
        <x:v>89500e70b5b1540b205188e8</x:v>
      </x:c>
      <x:c r="B1583" s="2" t="str">
        <x:v>사업 평가</x:v>
      </x:c>
      <x:c r="C1583" s="2" t="str">
        <x:v>국외</x:v>
      </x:c>
      <x:c r="D1583" s="7" t="str">
        <x:v>DelAgua 르완다 보건 프로그램: 르완다 남부 지역 CPA 18</x:v>
      </x:c>
      <x:c r="E1583" s="2" t="str">
        <x:v>205</x:v>
      </x:c>
      <x:c r="F1583" s="2" t="str">
        <x:v>2021-06</x:v>
      </x:c>
      <x:c r="G1583" s="2" t="str">
        <x:v>2021</x:v>
      </x:c>
      <x:c r="H1583" s="2" t="str">
        <x:v>06</x:v>
      </x:c>
      <x:c r="I1583" s="2" t="str">
        <x:v>승인</x:v>
      </x:c>
      <x:c r="J1583" s="2" t="str">
        <x:v>심의승인</x:v>
      </x:c>
      <x:c r="K1583" s="2" t="str">
        <x:f>IF(OR(J1583="심의승인",J1583="반려",J1583="반려완료",J1583="심의완료"),"종결 표시",IF(OR(J1583="기후부협의",J1583="문서재제출요청",J1583="보류",J1583="보완요청",J1583="보완완료",J1583="평가중",J1583="반려요청",J1583="평가필요",LEFT(J1583,5)="보완요청("),"미종결 표시","상태 확인 필요"))</x:f>
        <x:v>종결 표시</x:v>
      </x:c>
      <x:c r="L1583" s="2" t="str">
        <x:v>에코시안_배윤빈</x:v>
      </x:c>
      <x:c r="M1583" s="2"/>
      <x:c r="N1583" s="8"/>
      <x:c r="O1583" s="2"/>
      <x:c r="P1583" s="2"/>
      <x:c r="Q1583" s="2" t="str">
        <x:v>산업전환_외부사업관리Tool_260707_이너젠 수정_LJY_261013.xlsx</x:v>
      </x:c>
      <x:c r="R1583" s="2" t="str">
        <x:v>국외평가</x:v>
      </x:c>
      <x:c r="S1583" s="8" t="n">
        <x:v>207</x:v>
      </x:c>
      <x:c r="T1583" s="2" t="str">
        <x:v>2021-07-06T00:00:00</x:v>
      </x:c>
      <x:c r="U1583" s="2" t="str">
        <x:v>2021 지정: 2021-07-06T00:00:00 / 2021 지정(2): (07.06 / 09.14) / 2022 지정: (1/18)</x:v>
      </x:c>
      <x:c r="V1583" s="2" t="str">
        <x:v>2022-01-11</x:v>
      </x:c>
      <x:c r="W1583" s="2" t="str"/>
      <x:c r="X1583" s="2" t="str">
        <x:v>종결 근거 보관</x:v>
      </x:c>
      <x:c r="Y1583" s="2" t="str">
        <x:v>ad210cd9ec132cfd447541c8984dc53d30aff0f4fb2dc92d254d49275cc55976</x:v>
      </x:c>
      <x:c r="Z1583" s="2" t="n">
        <x:f>SUBTOTAL(103,A1583)</x:f>
        <x:v>1</x:v>
      </x:c>
      <x:c r="AA1583" s="2" t="str">
        <x:f>IF(K1583&lt;&gt;"미종결 표시","대상 아님",IF(N1583="","신청일 확인",IF(NOT(ISNUMBER('종합 현황'!$H$5)),"관찰기준 확인",IF('종합 현황'!$H$5&lt;1,"관찰기준 확인",IF(N1583&gt;'종합 현황'!$H$5,"내부 관찰 대상","내부 관찰일 이하")))))</x:f>
        <x:v>대상 아님</x:v>
      </x:c>
      <x:c r="AB1583" s="2" t="str">
        <x:v>2021-06-30 14:51:31 - 신규신청 - 신청 
2021-06-30 14:51:31 - 관장기관 지정 - 환경부
2021-07-01 09:42:36 - 관장기관 지정 - 산업통상자원부
2021-07-27 14:44:55 - 신규신청 - 문서재제출요청 
2021-09-08 10:16:29 - 재제출신청 - 신청 
2021-10-05 17:23:52 - 재제출신청 - 문서재제출요청 
2021-10-07 09:25:55 - 재제출신청 - 신청 
2021-11-29 15:14:35 - 재제출신청 - 문서재제출요청 
2021-11-30 11:28:01 - 재제출신청 - 신청 
2022-01-07 14:14:37 - 재제출신청 - 평가승인 
2022-01-07 14:16:20 - 재제출신청 - 심의승인 
2022-01-11 15:28:35 - 재제출신청 - 착수신고 
</x:v>
      </x:c>
    </x:row>
    <x:row r="1584" ht="42" customHeight="1">
      <x:c r="A1584" s="2" t="str">
        <x:v>69021c7dc40d1de3dd738d0d</x:v>
      </x:c>
      <x:c r="B1584" s="2" t="str">
        <x:v>사업 평가</x:v>
      </x:c>
      <x:c r="C1584" s="2" t="str">
        <x:v>국외</x:v>
      </x:c>
      <x:c r="D1584" s="7" t="str">
        <x:v>DelAgua 르완다 보건 프로그램: 르완다 남부 지역 CPA 19</x:v>
      </x:c>
      <x:c r="E1584" s="2" t="str">
        <x:v>206</x:v>
      </x:c>
      <x:c r="F1584" s="2" t="str">
        <x:v>2021-06</x:v>
      </x:c>
      <x:c r="G1584" s="2" t="str">
        <x:v>2021</x:v>
      </x:c>
      <x:c r="H1584" s="2" t="str">
        <x:v>06</x:v>
      </x:c>
      <x:c r="I1584" s="2" t="str">
        <x:v>승인</x:v>
      </x:c>
      <x:c r="J1584" s="2" t="str">
        <x:v>심의승인</x:v>
      </x:c>
      <x:c r="K1584" s="2" t="str">
        <x:f>IF(OR(J1584="심의승인",J1584="반려",J1584="반려완료",J1584="심의완료"),"종결 표시",IF(OR(J1584="기후부협의",J1584="문서재제출요청",J1584="보류",J1584="보완요청",J1584="보완완료",J1584="평가중",J1584="반려요청",J1584="평가필요",LEFT(J1584,5)="보완요청("),"미종결 표시","상태 확인 필요"))</x:f>
        <x:v>종결 표시</x:v>
      </x:c>
      <x:c r="L1584" s="2" t="str">
        <x:v>에코시안_배윤빈</x:v>
      </x:c>
      <x:c r="M1584" s="2"/>
      <x:c r="N1584" s="8"/>
      <x:c r="O1584" s="2"/>
      <x:c r="P1584" s="2"/>
      <x:c r="Q1584" s="2" t="str">
        <x:v>산업전환_외부사업관리Tool_260707_이너젠 수정_LJY_261013.xlsx</x:v>
      </x:c>
      <x:c r="R1584" s="2" t="str">
        <x:v>국외평가</x:v>
      </x:c>
      <x:c r="S1584" s="8" t="n">
        <x:v>208</x:v>
      </x:c>
      <x:c r="T1584" s="2" t="str">
        <x:v>2021-07-06T00:00:00</x:v>
      </x:c>
      <x:c r="U1584" s="2" t="str">
        <x:v>2021 지정: 2021-07-06T00:00:00 / 2021 지정(2): (07.06 / 09.14) / 2022 지정: (1/18)</x:v>
      </x:c>
      <x:c r="V1584" s="2" t="str">
        <x:v>2022-01-11</x:v>
      </x:c>
      <x:c r="W1584" s="2" t="str"/>
      <x:c r="X1584" s="2" t="str">
        <x:v>종결 근거 보관</x:v>
      </x:c>
      <x:c r="Y1584" s="2" t="str">
        <x:v>ad210cd9ec132cfd447541c8984dc53d30aff0f4fb2dc92d254d49275cc55976</x:v>
      </x:c>
      <x:c r="Z1584" s="2" t="n">
        <x:f>SUBTOTAL(103,A1584)</x:f>
        <x:v>1</x:v>
      </x:c>
      <x:c r="AA1584" s="2" t="str">
        <x:f>IF(K1584&lt;&gt;"미종결 표시","대상 아님",IF(N1584="","신청일 확인",IF(NOT(ISNUMBER('종합 현황'!$H$5)),"관찰기준 확인",IF('종합 현황'!$H$5&lt;1,"관찰기준 확인",IF(N1584&gt;'종합 현황'!$H$5,"내부 관찰 대상","내부 관찰일 이하")))))</x:f>
        <x:v>대상 아님</x:v>
      </x:c>
      <x:c r="AB1584" s="2" t="str">
        <x:v>2021-06-30 14:58:52 - 신규신청 - 신청 
2021-06-30 14:58:52 - 관장기관 지정 - 환경부
2021-07-01 09:42:42 - 관장기관 지정 - 산업통상자원부
2021-07-27 14:45:43 - 신규신청 - 문서재제출요청 
2021-09-08 10:16:53 - 재제출신청 - 신청 
2021-09-08 10:47:04 - 재제출신청 - 문서재제출요청 
2021-09-08 10:52:16 - 재제출신청 - 신청 
2021-10-05 17:26:06 - 재제출신청 - 문서재제출요청 
2021-10-07 09:26:10 - 재제출신청 - 신청 
2021-11-29 15:16:57 - 재제출신청 - 문서재제출요청 
2021-11-30 11:28:13 - 재제출신청 - 신청 
2022-01-07 14:17:12 - 재제출신청 - 평가승인 
2022-01-07 14:17:46 - 재제출신청 - 심의승인 
2022-01-11 15:27:57 - 재제출신청 - 착수신고 
</x:v>
      </x:c>
    </x:row>
    <x:row r="1585" ht="42" customHeight="1">
      <x:c r="A1585" s="2" t="str">
        <x:v>3724b04a15545fe8a4b586eb</x:v>
      </x:c>
      <x:c r="B1585" s="2" t="str">
        <x:v>사업 평가</x:v>
      </x:c>
      <x:c r="C1585" s="2" t="str">
        <x:v>국외</x:v>
      </x:c>
      <x:c r="D1585" s="7" t="str">
        <x:v>DelAgua 르완다 보건 프로그램: 르완다 남부 지역 CPA 20</x:v>
      </x:c>
      <x:c r="E1585" s="2" t="str">
        <x:v>207</x:v>
      </x:c>
      <x:c r="F1585" s="2" t="str">
        <x:v>2021-06</x:v>
      </x:c>
      <x:c r="G1585" s="2" t="str">
        <x:v>2021</x:v>
      </x:c>
      <x:c r="H1585" s="2" t="str">
        <x:v>06</x:v>
      </x:c>
      <x:c r="I1585" s="2" t="str">
        <x:v>승인</x:v>
      </x:c>
      <x:c r="J1585" s="2" t="str">
        <x:v>심의승인</x:v>
      </x:c>
      <x:c r="K1585" s="2" t="str">
        <x:f>IF(OR(J1585="심의승인",J1585="반려",J1585="반려완료",J1585="심의완료"),"종결 표시",IF(OR(J1585="기후부협의",J1585="문서재제출요청",J1585="보류",J1585="보완요청",J1585="보완완료",J1585="평가중",J1585="반려요청",J1585="평가필요",LEFT(J1585,5)="보완요청("),"미종결 표시","상태 확인 필요"))</x:f>
        <x:v>종결 표시</x:v>
      </x:c>
      <x:c r="L1585" s="2" t="str">
        <x:v>에코시안_배윤빈</x:v>
      </x:c>
      <x:c r="M1585" s="2"/>
      <x:c r="N1585" s="8"/>
      <x:c r="O1585" s="2"/>
      <x:c r="P1585" s="2"/>
      <x:c r="Q1585" s="2" t="str">
        <x:v>산업전환_외부사업관리Tool_260707_이너젠 수정_LJY_261013.xlsx</x:v>
      </x:c>
      <x:c r="R1585" s="2" t="str">
        <x:v>국외평가</x:v>
      </x:c>
      <x:c r="S1585" s="8" t="n">
        <x:v>209</x:v>
      </x:c>
      <x:c r="T1585" s="2" t="str">
        <x:v>2021-07-06T00:00:00</x:v>
      </x:c>
      <x:c r="U1585" s="2" t="str">
        <x:v>2021 지정: 2021-07-06T00:00:00 / 2021 지정(2): (07.06 / 09.14) / 2022 지정: (1/18)</x:v>
      </x:c>
      <x:c r="V1585" s="2" t="str">
        <x:v>2022-01-11</x:v>
      </x:c>
      <x:c r="W1585" s="2" t="str"/>
      <x:c r="X1585" s="2" t="str">
        <x:v>종결 근거 보관</x:v>
      </x:c>
      <x:c r="Y1585" s="2" t="str">
        <x:v>ad210cd9ec132cfd447541c8984dc53d30aff0f4fb2dc92d254d49275cc55976</x:v>
      </x:c>
      <x:c r="Z1585" s="2" t="n">
        <x:f>SUBTOTAL(103,A1585)</x:f>
        <x:v>1</x:v>
      </x:c>
      <x:c r="AA1585" s="2" t="str">
        <x:f>IF(K1585&lt;&gt;"미종결 표시","대상 아님",IF(N1585="","신청일 확인",IF(NOT(ISNUMBER('종합 현황'!$H$5)),"관찰기준 확인",IF('종합 현황'!$H$5&lt;1,"관찰기준 확인",IF(N1585&gt;'종합 현황'!$H$5,"내부 관찰 대상","내부 관찰일 이하")))))</x:f>
        <x:v>대상 아님</x:v>
      </x:c>
      <x:c r="AB1585" s="2" t="str">
        <x:v>2021-06-30 15:08:14 - 신규신청 - 신청 
2021-06-30 15:08:14 - 관장기관 지정 - 환경부
2021-09-08 10:16:00 - 신규신청 - 신청 
2021-09-08 10:16:00 - 관장기관 지정 - 환경부
2021-09-08 12:39:04 - 관장기관 지정 - 산업통상자원부
2021-09-08 13:45:47 - 신규신청 - 문서재제출요청 
2021-09-08 13:47:29 - 재제출신청 - 신청 
2021-10-05 17:24:40 - 재제출신청 - 문서재제출요청 
2021-10-07 09:26:24 - 재제출신청 - 신청 
2021-11-29 15:17:10 - 재제출신청 - 문서재제출요청 
2021-11-30 11:28:23 - 재제출신청 - 신청 
2022-01-07 14:18:21 - 재제출신청 - 평가승인 
2022-01-07 14:18:49 - 재제출신청 - 심의승인 
2022-01-11 15:27:37 - 재제출신청 - 착수신고 
</x:v>
      </x:c>
    </x:row>
    <x:row r="1586" ht="42" customHeight="1">
      <x:c r="A1586" s="2" t="str">
        <x:v>c49aa867adf28494f79b314a</x:v>
      </x:c>
      <x:c r="B1586" s="2" t="str">
        <x:v>사업 평가</x:v>
      </x:c>
      <x:c r="C1586" s="2" t="str">
        <x:v>국외</x:v>
      </x:c>
      <x:c r="D1586" s="7" t="str">
        <x:v>DelAgua 르완다 보건 프로그램: 르완다 남부 지역 CPA 21</x:v>
      </x:c>
      <x:c r="E1586" s="2" t="str">
        <x:v>208</x:v>
      </x:c>
      <x:c r="F1586" s="2" t="str">
        <x:v>2021-06</x:v>
      </x:c>
      <x:c r="G1586" s="2" t="str">
        <x:v>2021</x:v>
      </x:c>
      <x:c r="H1586" s="2" t="str">
        <x:v>06</x:v>
      </x:c>
      <x:c r="I1586" s="2" t="str">
        <x:v>승인</x:v>
      </x:c>
      <x:c r="J1586" s="2" t="str">
        <x:v>심의승인</x:v>
      </x:c>
      <x:c r="K1586" s="2" t="str">
        <x:f>IF(OR(J1586="심의승인",J1586="반려",J1586="반려완료",J1586="심의완료"),"종결 표시",IF(OR(J1586="기후부협의",J1586="문서재제출요청",J1586="보류",J1586="보완요청",J1586="보완완료",J1586="평가중",J1586="반려요청",J1586="평가필요",LEFT(J1586,5)="보완요청("),"미종결 표시","상태 확인 필요"))</x:f>
        <x:v>종결 표시</x:v>
      </x:c>
      <x:c r="L1586" s="2" t="str">
        <x:v>에코시안_배윤빈</x:v>
      </x:c>
      <x:c r="M1586" s="2"/>
      <x:c r="N1586" s="8"/>
      <x:c r="O1586" s="2"/>
      <x:c r="P1586" s="2"/>
      <x:c r="Q1586" s="2" t="str">
        <x:v>산업전환_외부사업관리Tool_260707_이너젠 수정_LJY_261013.xlsx</x:v>
      </x:c>
      <x:c r="R1586" s="2" t="str">
        <x:v>국외평가</x:v>
      </x:c>
      <x:c r="S1586" s="8" t="n">
        <x:v>210</x:v>
      </x:c>
      <x:c r="T1586" s="2" t="str">
        <x:v>2021-07-06T00:00:00</x:v>
      </x:c>
      <x:c r="U1586" s="2" t="str">
        <x:v>2021 지정: 2021-07-06T00:00:00 / 2021 지정(2): (07.06 / 09.14) / 2022 지정: (1/18)</x:v>
      </x:c>
      <x:c r="V1586" s="2" t="str">
        <x:v>2022-01-11</x:v>
      </x:c>
      <x:c r="W1586" s="2" t="str"/>
      <x:c r="X1586" s="2" t="str">
        <x:v>종결 근거 보관</x:v>
      </x:c>
      <x:c r="Y1586" s="2" t="str">
        <x:v>ad210cd9ec132cfd447541c8984dc53d30aff0f4fb2dc92d254d49275cc55976</x:v>
      </x:c>
      <x:c r="Z1586" s="2" t="n">
        <x:f>SUBTOTAL(103,A1586)</x:f>
        <x:v>1</x:v>
      </x:c>
      <x:c r="AA1586" s="2" t="str">
        <x:f>IF(K1586&lt;&gt;"미종결 표시","대상 아님",IF(N1586="","신청일 확인",IF(NOT(ISNUMBER('종합 현황'!$H$5)),"관찰기준 확인",IF('종합 현황'!$H$5&lt;1,"관찰기준 확인",IF(N1586&gt;'종합 현황'!$H$5,"내부 관찰 대상","내부 관찰일 이하")))))</x:f>
        <x:v>대상 아님</x:v>
      </x:c>
      <x:c r="AB1586" s="2" t="str">
        <x:v>2021-06-30 15:09:14 - 신규신청 - 신청 
2021-06-30 15:09:14 - 관장기관 지정 - 환경부
2021-07-01 09:43:02 - 관장기관 지정 - 산업통상자원부
2021-07-27 14:46:27 - 신규신청 - 문서재제출요청 
2021-09-08 10:21:34 - 재제출신청 - 신청 
2021-10-05 17:24:18 - 재제출신청 - 문서재제출요청 
2021-10-07 09:26:37 - 재제출신청 - 신청 
2021-11-29 15:17:24 - 재제출신청 - 문서재제출요청 
2021-11-30 11:28:34 - 재제출신청 - 신청 
2022-01-07 14:19:30 - 재제출신청 - 평가승인 
2022-01-07 14:19:56 - 재제출신청 - 심의승인 
2022-01-11 15:27:00 - 재제출신청 - 착수신고 
</x:v>
      </x:c>
    </x:row>
    <x:row r="1587" ht="42" customHeight="1">
      <x:c r="A1587" s="2" t="str">
        <x:v>72c4b212031193070aa81e02</x:v>
      </x:c>
      <x:c r="B1587" s="2" t="str">
        <x:v>사업 평가</x:v>
      </x:c>
      <x:c r="C1587" s="2" t="str">
        <x:v>국외</x:v>
      </x:c>
      <x:c r="D1587" s="7" t="str">
        <x:v>DelAgua 르완다 보건 프로그램: 르완다 남부 지역 CPA 22</x:v>
      </x:c>
      <x:c r="E1587" s="2" t="str">
        <x:v>209</x:v>
      </x:c>
      <x:c r="F1587" s="2" t="str">
        <x:v>2021-06</x:v>
      </x:c>
      <x:c r="G1587" s="2" t="str">
        <x:v>2021</x:v>
      </x:c>
      <x:c r="H1587" s="2" t="str">
        <x:v>06</x:v>
      </x:c>
      <x:c r="I1587" s="2" t="str">
        <x:v>승인</x:v>
      </x:c>
      <x:c r="J1587" s="2" t="str">
        <x:v>심의승인</x:v>
      </x:c>
      <x:c r="K1587" s="2" t="str">
        <x:f>IF(OR(J1587="심의승인",J1587="반려",J1587="반려완료",J1587="심의완료"),"종결 표시",IF(OR(J1587="기후부협의",J1587="문서재제출요청",J1587="보류",J1587="보완요청",J1587="보완완료",J1587="평가중",J1587="반려요청",J1587="평가필요",LEFT(J1587,5)="보완요청("),"미종결 표시","상태 확인 필요"))</x:f>
        <x:v>종결 표시</x:v>
      </x:c>
      <x:c r="L1587" s="2" t="str">
        <x:v>에코시안_배윤빈</x:v>
      </x:c>
      <x:c r="M1587" s="2"/>
      <x:c r="N1587" s="8"/>
      <x:c r="O1587" s="2"/>
      <x:c r="P1587" s="2"/>
      <x:c r="Q1587" s="2" t="str">
        <x:v>산업전환_외부사업관리Tool_260707_이너젠 수정_LJY_261013.xlsx</x:v>
      </x:c>
      <x:c r="R1587" s="2" t="str">
        <x:v>국외평가</x:v>
      </x:c>
      <x:c r="S1587" s="8" t="n">
        <x:v>211</x:v>
      </x:c>
      <x:c r="T1587" s="2" t="str">
        <x:v>2021-07-06T00:00:00</x:v>
      </x:c>
      <x:c r="U1587" s="2" t="str">
        <x:v>2021 지정: 2021-07-06T00:00:00 / 2021 지정(2): (07.06 / 09.14) / 2022 지정: (1/18)</x:v>
      </x:c>
      <x:c r="V1587" s="2" t="str">
        <x:v>2022-01-11</x:v>
      </x:c>
      <x:c r="W1587" s="2" t="str"/>
      <x:c r="X1587" s="2" t="str">
        <x:v>종결 근거 보관</x:v>
      </x:c>
      <x:c r="Y1587" s="2" t="str">
        <x:v>ad210cd9ec132cfd447541c8984dc53d30aff0f4fb2dc92d254d49275cc55976</x:v>
      </x:c>
      <x:c r="Z1587" s="2" t="n">
        <x:f>SUBTOTAL(103,A1587)</x:f>
        <x:v>1</x:v>
      </x:c>
      <x:c r="AA1587" s="2" t="str">
        <x:f>IF(K1587&lt;&gt;"미종결 표시","대상 아님",IF(N1587="","신청일 확인",IF(NOT(ISNUMBER('종합 현황'!$H$5)),"관찰기준 확인",IF('종합 현황'!$H$5&lt;1,"관찰기준 확인",IF(N1587&gt;'종합 현황'!$H$5,"내부 관찰 대상","내부 관찰일 이하")))))</x:f>
        <x:v>대상 아님</x:v>
      </x:c>
      <x:c r="AB1587" s="2" t="str">
        <x:v>2021-06-30 15:17:04 - 신규신청 - 신청 
2021-06-30 15:17:04 - 관장기관 지정 - 환경부
2021-07-01 09:43:17 - 관장기관 지정 - 산업통상자원부
2021-07-27 14:47:00 - 신규신청 - 문서재제출요청 
2021-09-08 10:24:33 - 재제출신청 - 신청 
2021-10-05 17:25:47 - 재제출신청 - 문서재제출요청 
2021-10-07 09:26:49 - 재제출신청 - 신청 
2021-11-29 15:17:39 - 재제출신청 - 문서재제출요청 
2021-11-30 11:28:45 - 재제출신청 - 신청 
2022-01-07 14:20:35 - 재제출신청 - 평가승인 
2022-01-07 14:21:03 - 재제출신청 - 심의승인 
2022-01-11 15:26:39 - 재제출신청 - 착수신고 
</x:v>
      </x:c>
    </x:row>
    <x:row r="1588" ht="42" customHeight="1">
      <x:c r="A1588" s="2" t="str">
        <x:v>f1fa5e93001622661b5614a7</x:v>
      </x:c>
      <x:c r="B1588" s="2" t="str">
        <x:v>사업 평가</x:v>
      </x:c>
      <x:c r="C1588" s="2" t="str">
        <x:v>국외</x:v>
      </x:c>
      <x:c r="D1588" s="7" t="str">
        <x:v>DelAgua 르완다 보건 프로그램: 르완다 남부 지역 CPA 23</x:v>
      </x:c>
      <x:c r="E1588" s="2" t="str">
        <x:v>210</x:v>
      </x:c>
      <x:c r="F1588" s="2" t="str">
        <x:v>2021-06</x:v>
      </x:c>
      <x:c r="G1588" s="2" t="str">
        <x:v>2021</x:v>
      </x:c>
      <x:c r="H1588" s="2" t="str">
        <x:v>06</x:v>
      </x:c>
      <x:c r="I1588" s="2" t="str">
        <x:v>승인</x:v>
      </x:c>
      <x:c r="J1588" s="2" t="str">
        <x:v>심의승인</x:v>
      </x:c>
      <x:c r="K1588" s="2" t="str">
        <x:f>IF(OR(J1588="심의승인",J1588="반려",J1588="반려완료",J1588="심의완료"),"종결 표시",IF(OR(J1588="기후부협의",J1588="문서재제출요청",J1588="보류",J1588="보완요청",J1588="보완완료",J1588="평가중",J1588="반려요청",J1588="평가필요",LEFT(J1588,5)="보완요청("),"미종결 표시","상태 확인 필요"))</x:f>
        <x:v>종결 표시</x:v>
      </x:c>
      <x:c r="L1588" s="2" t="str">
        <x:v>에코시안_배윤빈</x:v>
      </x:c>
      <x:c r="M1588" s="2"/>
      <x:c r="N1588" s="8"/>
      <x:c r="O1588" s="2"/>
      <x:c r="P1588" s="2"/>
      <x:c r="Q1588" s="2" t="str">
        <x:v>산업전환_외부사업관리Tool_260707_이너젠 수정_LJY_261013.xlsx</x:v>
      </x:c>
      <x:c r="R1588" s="2" t="str">
        <x:v>국외평가</x:v>
      </x:c>
      <x:c r="S1588" s="8" t="n">
        <x:v>212</x:v>
      </x:c>
      <x:c r="T1588" s="2" t="str">
        <x:v>2021-07-06T00:00:00</x:v>
      </x:c>
      <x:c r="U1588" s="2" t="str">
        <x:v>2021 지정: 2021-07-06T00:00:00 / 2021 지정(2): (07.06 / 09.14) / 2022 지정: (1/18)</x:v>
      </x:c>
      <x:c r="V1588" s="2" t="str">
        <x:v>2022-01-11</x:v>
      </x:c>
      <x:c r="W1588" s="2" t="str"/>
      <x:c r="X1588" s="2" t="str">
        <x:v>종결 근거 보관</x:v>
      </x:c>
      <x:c r="Y1588" s="2" t="str">
        <x:v>ad210cd9ec132cfd447541c8984dc53d30aff0f4fb2dc92d254d49275cc55976</x:v>
      </x:c>
      <x:c r="Z1588" s="2" t="n">
        <x:f>SUBTOTAL(103,A1588)</x:f>
        <x:v>1</x:v>
      </x:c>
      <x:c r="AA1588" s="2" t="str">
        <x:f>IF(K1588&lt;&gt;"미종결 표시","대상 아님",IF(N1588="","신청일 확인",IF(NOT(ISNUMBER('종합 현황'!$H$5)),"관찰기준 확인",IF('종합 현황'!$H$5&lt;1,"관찰기준 확인",IF(N1588&gt;'종합 현황'!$H$5,"내부 관찰 대상","내부 관찰일 이하")))))</x:f>
        <x:v>대상 아님</x:v>
      </x:c>
      <x:c r="AB1588" s="2" t="str">
        <x:v>2021-06-30 15:20:24 - 신규신청 - 신청 
2021-06-30 15:20:24 - 관장기관 지정 - 환경부
2021-07-01 09:43:31 - 관장기관 지정 - 산업통상자원부
2021-07-27 14:47:38 - 신규신청 - 문서재제출요청 
2021-09-08 10:26:42 - 재제출신청 - 신청 
2021-10-05 17:27:29 - 재제출신청 - 문서재제출요청 
2021-10-07 09:27:02 - 재제출신청 - 신청 
2021-10-13 15:04:40 - 재제출신청 - 문서재제출요청 
2021-10-13 15:06:32 - 재제출신청 - 신청 
2021-11-29 15:18:13 - 재제출신청 - 문서재제출요청 
2021-11-30 11:28:55 - 재제출신청 - 신청 
2022-01-07 14:21:56 - 재제출신청 - 평가승인 
2022-01-07 14:22:59 - 재제출신청 - 심의승인 
2022-01-11 15:26:17 - 재제출신청 - 착수신고 
</x:v>
      </x:c>
    </x:row>
    <x:row r="1589" ht="42" customHeight="1">
      <x:c r="A1589" s="2" t="str">
        <x:v>06033c3498d756f1dc0f046b</x:v>
      </x:c>
      <x:c r="B1589" s="2" t="str">
        <x:v>사업 평가</x:v>
      </x:c>
      <x:c r="C1589" s="2" t="str">
        <x:v>국외</x:v>
      </x:c>
      <x:c r="D1589" s="7" t="str">
        <x:v>DelAgua 르완다 보건 프로그램: 르완다 남부 지역 CPA 24</x:v>
      </x:c>
      <x:c r="E1589" s="2" t="str">
        <x:v>211</x:v>
      </x:c>
      <x:c r="F1589" s="2" t="str">
        <x:v>2021-06</x:v>
      </x:c>
      <x:c r="G1589" s="2" t="str">
        <x:v>2021</x:v>
      </x:c>
      <x:c r="H1589" s="2" t="str">
        <x:v>06</x:v>
      </x:c>
      <x:c r="I1589" s="2" t="str">
        <x:v>승인</x:v>
      </x:c>
      <x:c r="J1589" s="2" t="str">
        <x:v>심의승인</x:v>
      </x:c>
      <x:c r="K1589" s="2" t="str">
        <x:f>IF(OR(J1589="심의승인",J1589="반려",J1589="반려완료",J1589="심의완료"),"종결 표시",IF(OR(J1589="기후부협의",J1589="문서재제출요청",J1589="보류",J1589="보완요청",J1589="보완완료",J1589="평가중",J1589="반려요청",J1589="평가필요",LEFT(J1589,5)="보완요청("),"미종결 표시","상태 확인 필요"))</x:f>
        <x:v>종결 표시</x:v>
      </x:c>
      <x:c r="L1589" s="2" t="str">
        <x:v>에코시안_배윤빈</x:v>
      </x:c>
      <x:c r="M1589" s="2"/>
      <x:c r="N1589" s="8"/>
      <x:c r="O1589" s="2"/>
      <x:c r="P1589" s="2"/>
      <x:c r="Q1589" s="2" t="str">
        <x:v>산업전환_외부사업관리Tool_260707_이너젠 수정_LJY_261013.xlsx</x:v>
      </x:c>
      <x:c r="R1589" s="2" t="str">
        <x:v>국외평가</x:v>
      </x:c>
      <x:c r="S1589" s="8" t="n">
        <x:v>213</x:v>
      </x:c>
      <x:c r="T1589" s="2" t="str">
        <x:v>2021-07-06T00:00:00</x:v>
      </x:c>
      <x:c r="U1589" s="2" t="str">
        <x:v>2021 지정: 2021-07-06T00:00:00 / 2021 지정(2): (07.06 / 09.14) / 2022 지정: (1/18)</x:v>
      </x:c>
      <x:c r="V1589" s="2" t="str">
        <x:v>2022-01-11</x:v>
      </x:c>
      <x:c r="W1589" s="2" t="str"/>
      <x:c r="X1589" s="2" t="str">
        <x:v>종결 근거 보관</x:v>
      </x:c>
      <x:c r="Y1589" s="2" t="str">
        <x:v>ad210cd9ec132cfd447541c8984dc53d30aff0f4fb2dc92d254d49275cc55976</x:v>
      </x:c>
      <x:c r="Z1589" s="2" t="n">
        <x:f>SUBTOTAL(103,A1589)</x:f>
        <x:v>1</x:v>
      </x:c>
      <x:c r="AA1589" s="2" t="str">
        <x:f>IF(K1589&lt;&gt;"미종결 표시","대상 아님",IF(N1589="","신청일 확인",IF(NOT(ISNUMBER('종합 현황'!$H$5)),"관찰기준 확인",IF('종합 현황'!$H$5&lt;1,"관찰기준 확인",IF(N1589&gt;'종합 현황'!$H$5,"내부 관찰 대상","내부 관찰일 이하")))))</x:f>
        <x:v>대상 아님</x:v>
      </x:c>
      <x:c r="AB1589" s="2" t="str">
        <x:v>2021-06-30 15:28:30 - 신규신청 - 신청 
2021-06-30 15:28:30 - 관장기관 지정 - 환경부
2021-07-01 09:43:37 - 관장기관 지정 - 산업통상자원부
2021-07-27 14:48:14 - 신규신청 - 문서재제출요청 
2021-09-08 10:27:20 - 재제출신청 - 신청 
2021-10-05 17:27:09 - 재제출신청 - 문서재제출요청 
2021-10-07 09:27:15 - 재제출신청 - 신청 
2021-10-13 15:04:19 - 재제출신청 - 문서재제출요청 
2021-10-13 15:06:46 - 재제출신청 - 신청 
2021-11-29 15:19:12 - 재제출신청 - 문서재제출요청 
2021-11-30 11:29:06 - 재제출신청 - 신청 
2022-01-07 14:23:26 - 재제출신청 - 평가승인 
2022-01-07 14:23:45 - 재제출신청 - 심의승인 
2022-01-11 15:25:56 - 재제출신청 - 착수신고 
</x:v>
      </x:c>
    </x:row>
    <x:row r="1590" ht="42" customHeight="1">
      <x:c r="A1590" s="2" t="str">
        <x:v>637b4ff6af38cf030d025d60</x:v>
      </x:c>
      <x:c r="B1590" s="2" t="str">
        <x:v>사업 평가</x:v>
      </x:c>
      <x:c r="C1590" s="2" t="str">
        <x:v>국외</x:v>
      </x:c>
      <x:c r="D1590" s="7" t="str">
        <x:v>DelAgua 르완다 보건 프로그램: 르완다 남부 지역 CPA 25</x:v>
      </x:c>
      <x:c r="E1590" s="2" t="str">
        <x:v>212</x:v>
      </x:c>
      <x:c r="F1590" s="2" t="str">
        <x:v>2021-06</x:v>
      </x:c>
      <x:c r="G1590" s="2" t="str">
        <x:v>2021</x:v>
      </x:c>
      <x:c r="H1590" s="2" t="str">
        <x:v>06</x:v>
      </x:c>
      <x:c r="I1590" s="2" t="str">
        <x:v>승인</x:v>
      </x:c>
      <x:c r="J1590" s="2" t="str">
        <x:v>심의승인</x:v>
      </x:c>
      <x:c r="K1590" s="2" t="str">
        <x:f>IF(OR(J1590="심의승인",J1590="반려",J1590="반려완료",J1590="심의완료"),"종결 표시",IF(OR(J1590="기후부협의",J1590="문서재제출요청",J1590="보류",J1590="보완요청",J1590="보완완료",J1590="평가중",J1590="반려요청",J1590="평가필요",LEFT(J1590,5)="보완요청("),"미종결 표시","상태 확인 필요"))</x:f>
        <x:v>종결 표시</x:v>
      </x:c>
      <x:c r="L1590" s="2" t="str">
        <x:v>에코시안_배윤빈</x:v>
      </x:c>
      <x:c r="M1590" s="2"/>
      <x:c r="N1590" s="8"/>
      <x:c r="O1590" s="2"/>
      <x:c r="P1590" s="2"/>
      <x:c r="Q1590" s="2" t="str">
        <x:v>산업전환_외부사업관리Tool_260707_이너젠 수정_LJY_261013.xlsx</x:v>
      </x:c>
      <x:c r="R1590" s="2" t="str">
        <x:v>국외평가</x:v>
      </x:c>
      <x:c r="S1590" s="8" t="n">
        <x:v>214</x:v>
      </x:c>
      <x:c r="T1590" s="2" t="str">
        <x:v>2021-07-06T00:00:00</x:v>
      </x:c>
      <x:c r="U1590" s="2" t="str">
        <x:v>2021 지정: 2021-07-06T00:00:00 / 2021 지정(2): (07.06 / 09.14) / 2022 지정: (1/18)</x:v>
      </x:c>
      <x:c r="V1590" s="2" t="str">
        <x:v>2022-01-11</x:v>
      </x:c>
      <x:c r="W1590" s="2" t="str"/>
      <x:c r="X1590" s="2" t="str">
        <x:v>종결 근거 보관</x:v>
      </x:c>
      <x:c r="Y1590" s="2" t="str">
        <x:v>ad210cd9ec132cfd447541c8984dc53d30aff0f4fb2dc92d254d49275cc55976</x:v>
      </x:c>
      <x:c r="Z1590" s="2" t="n">
        <x:f>SUBTOTAL(103,A1590)</x:f>
        <x:v>1</x:v>
      </x:c>
      <x:c r="AA1590" s="2" t="str">
        <x:f>IF(K1590&lt;&gt;"미종결 표시","대상 아님",IF(N1590="","신청일 확인",IF(NOT(ISNUMBER('종합 현황'!$H$5)),"관찰기준 확인",IF('종합 현황'!$H$5&lt;1,"관찰기준 확인",IF(N1590&gt;'종합 현황'!$H$5,"내부 관찰 대상","내부 관찰일 이하")))))</x:f>
        <x:v>대상 아님</x:v>
      </x:c>
      <x:c r="AB1590" s="2" t="str">
        <x:v>2021-06-30 15:29:16 - 신규신청 - 신청 
2021-06-30 15:29:16 - 관장기관 지정 - 환경부
2021-07-01 09:43:42 - 관장기관 지정 - 산업통상자원부
2021-07-27 14:49:01 - 신규신청 - 문서재제출요청 
2021-09-08 10:28:41 - 재제출신청 - 신청 
2021-10-05 17:26:49 - 재제출신청 - 문서재제출요청 
2021-10-07 09:27:26 - 재제출신청 - 신청 
2021-10-13 15:04:07 - 재제출신청 - 문서재제출요청 
2021-10-13 15:07:01 - 재제출신청 - 신청 
2021-11-29 15:18:28 - 재제출신청 - 문서재제출요청 
2021-11-30 11:29:14 - 재제출신청 - 신청 
2022-01-07 14:24:33 - 재제출신청 - 평가승인 
2022-01-07 14:25:04 - 재제출신청 - 심의승인 
2022-01-11 15:25:34 - 재제출신청 - 착수신고 
</x:v>
      </x:c>
    </x:row>
    <x:row r="1591" ht="42" customHeight="1">
      <x:c r="A1591" s="2" t="str">
        <x:v>c68d6a2e1012aaad8a325ffb</x:v>
      </x:c>
      <x:c r="B1591" s="2" t="str">
        <x:v>사업 평가</x:v>
      </x:c>
      <x:c r="C1591" s="2" t="str">
        <x:v>국외</x:v>
      </x:c>
      <x:c r="D1591" s="7" t="str">
        <x:v>DelAgua 르완다 보건 프로그램: 르완다 남부 지역 CPA 26</x:v>
      </x:c>
      <x:c r="E1591" s="2" t="str">
        <x:v>213</x:v>
      </x:c>
      <x:c r="F1591" s="2" t="str">
        <x:v>2021-06</x:v>
      </x:c>
      <x:c r="G1591" s="2" t="str">
        <x:v>2021</x:v>
      </x:c>
      <x:c r="H1591" s="2" t="str">
        <x:v>06</x:v>
      </x:c>
      <x:c r="I1591" s="2" t="str">
        <x:v>승인</x:v>
      </x:c>
      <x:c r="J1591" s="2" t="str">
        <x:v>심의승인</x:v>
      </x:c>
      <x:c r="K1591" s="2" t="str">
        <x:f>IF(OR(J1591="심의승인",J1591="반려",J1591="반려완료",J1591="심의완료"),"종결 표시",IF(OR(J1591="기후부협의",J1591="문서재제출요청",J1591="보류",J1591="보완요청",J1591="보완완료",J1591="평가중",J1591="반려요청",J1591="평가필요",LEFT(J1591,5)="보완요청("),"미종결 표시","상태 확인 필요"))</x:f>
        <x:v>종결 표시</x:v>
      </x:c>
      <x:c r="L1591" s="2" t="str">
        <x:v>에코시안_배윤빈</x:v>
      </x:c>
      <x:c r="M1591" s="2"/>
      <x:c r="N1591" s="8"/>
      <x:c r="O1591" s="2"/>
      <x:c r="P1591" s="2"/>
      <x:c r="Q1591" s="2" t="str">
        <x:v>산업전환_외부사업관리Tool_260707_이너젠 수정_LJY_261013.xlsx</x:v>
      </x:c>
      <x:c r="R1591" s="2" t="str">
        <x:v>국외평가</x:v>
      </x:c>
      <x:c r="S1591" s="8" t="n">
        <x:v>215</x:v>
      </x:c>
      <x:c r="T1591" s="2" t="str">
        <x:v>2021-07-06T00:00:00</x:v>
      </x:c>
      <x:c r="U1591" s="2" t="str">
        <x:v>2021 지정: 2021-07-06T00:00:00 / 2021 지정(2): (07.06 / 09.14) / 2022 지정: (1/18)</x:v>
      </x:c>
      <x:c r="V1591" s="2" t="str">
        <x:v>2022-01-11</x:v>
      </x:c>
      <x:c r="W1591" s="2" t="str"/>
      <x:c r="X1591" s="2" t="str">
        <x:v>종결 근거 보관</x:v>
      </x:c>
      <x:c r="Y1591" s="2" t="str">
        <x:v>ad210cd9ec132cfd447541c8984dc53d30aff0f4fb2dc92d254d49275cc55976</x:v>
      </x:c>
      <x:c r="Z1591" s="2" t="n">
        <x:f>SUBTOTAL(103,A1591)</x:f>
        <x:v>1</x:v>
      </x:c>
      <x:c r="AA1591" s="2" t="str">
        <x:f>IF(K1591&lt;&gt;"미종결 표시","대상 아님",IF(N1591="","신청일 확인",IF(NOT(ISNUMBER('종합 현황'!$H$5)),"관찰기준 확인",IF('종합 현황'!$H$5&lt;1,"관찰기준 확인",IF(N1591&gt;'종합 현황'!$H$5,"내부 관찰 대상","내부 관찰일 이하")))))</x:f>
        <x:v>대상 아님</x:v>
      </x:c>
      <x:c r="AB1591" s="2" t="str">
        <x:v>2021-06-30 15:32:12 - 신규신청 - 신청 
2021-06-30 15:32:12 - 관장기관 지정 - 환경부
2021-07-01 09:43:48 - 관장기관 지정 - 산업통상자원부
2021-07-27 14:49:34 - 신규신청 - 문서재제출요청 
2021-09-08 10:30:06 - 재제출신청 - 신청 
2021-10-05 17:26:26 - 재제출신청 - 문서재제출요청 
2021-10-07 09:27:38 - 재제출신청 - 신청 
2021-10-13 15:03:52 - 재제출신청 - 문서재제출요청 
2021-10-13 15:06:16 - 재제출신청 - 신청 
2021-11-29 15:17:55 - 재제출신청 - 문서재제출요청 
2021-11-30 11:29:24 - 재제출신청 - 신청 
2022-01-07 14:25:40 - 재제출신청 - 평가승인 
2022-01-07 14:26:08 - 재제출신청 - 심의승인 
2022-01-11 15:25:07 - 재제출신청 - 착수신고 
</x:v>
      </x:c>
    </x:row>
    <x:row r="1592" ht="42" customHeight="1">
      <x:c r="A1592" s="2" t="str">
        <x:v>304221a979248a77c7667d00</x:v>
      </x:c>
      <x:c r="B1592" s="2" t="str">
        <x:v>사업 평가</x:v>
      </x:c>
      <x:c r="C1592" s="2" t="str">
        <x:v>국외</x:v>
      </x:c>
      <x:c r="D1592" s="7" t="str">
        <x:v>SHINE - 인도 LED 전구 보급사업-1</x:v>
      </x:c>
      <x:c r="E1592" s="2" t="str">
        <x:v>214</x:v>
      </x:c>
      <x:c r="F1592" s="2" t="str">
        <x:v>2021-07</x:v>
      </x:c>
      <x:c r="G1592" s="2" t="str">
        <x:v>2021</x:v>
      </x:c>
      <x:c r="H1592" s="2" t="str">
        <x:v>07</x:v>
      </x:c>
      <x:c r="I1592" s="2" t="str">
        <x:v>승인</x:v>
      </x:c>
      <x:c r="J1592" s="2" t="str">
        <x:v>심의승인</x:v>
      </x:c>
      <x:c r="K1592" s="2" t="str">
        <x:f>IF(OR(J1592="심의승인",J1592="반려",J1592="반려완료",J1592="심의완료"),"종결 표시",IF(OR(J1592="기후부협의",J1592="문서재제출요청",J1592="보류",J1592="보완요청",J1592="보완완료",J1592="평가중",J1592="반려요청",J1592="평가필요",LEFT(J1592,5)="보완요청("),"미종결 표시","상태 확인 필요"))</x:f>
        <x:v>종결 표시</x:v>
      </x:c>
      <x:c r="L1592" s="2" t="str">
        <x:v>에코시안_배윤빈</x:v>
      </x:c>
      <x:c r="M1592" s="2"/>
      <x:c r="N1592" s="8"/>
      <x:c r="O1592" s="2"/>
      <x:c r="P1592" s="2"/>
      <x:c r="Q1592" s="2" t="str">
        <x:v>산업전환_외부사업관리Tool_260707_이너젠 수정_LJY_261013.xlsx</x:v>
      </x:c>
      <x:c r="R1592" s="2" t="str">
        <x:v>국외평가</x:v>
      </x:c>
      <x:c r="S1592" s="8" t="n">
        <x:v>216</x:v>
      </x:c>
      <x:c r="T1592" s="2" t="str">
        <x:v>2021-08-17T00:00:00</x:v>
      </x:c>
      <x:c r="U1592" s="2" t="str">
        <x:v>2021 지정: 2021-08-17T00:00:00 / 2021 지정(2): (07.06 / 08.17) / 2022 지정: (1/18)</x:v>
      </x:c>
      <x:c r="V1592" s="2" t="str">
        <x:v>2022-01-11</x:v>
      </x:c>
      <x:c r="W1592" s="2" t="str"/>
      <x:c r="X1592" s="2" t="str">
        <x:v>종결 근거 보관</x:v>
      </x:c>
      <x:c r="Y1592" s="2" t="str">
        <x:v>ad210cd9ec132cfd447541c8984dc53d30aff0f4fb2dc92d254d49275cc55976</x:v>
      </x:c>
      <x:c r="Z1592" s="2" t="n">
        <x:f>SUBTOTAL(103,A1592)</x:f>
        <x:v>1</x:v>
      </x:c>
      <x:c r="AA1592" s="2" t="str">
        <x:f>IF(K1592&lt;&gt;"미종결 표시","대상 아님",IF(N1592="","신청일 확인",IF(NOT(ISNUMBER('종합 현황'!$H$5)),"관찰기준 확인",IF('종합 현황'!$H$5&lt;1,"관찰기준 확인",IF(N1592&gt;'종합 현황'!$H$5,"내부 관찰 대상","내부 관찰일 이하")))))</x:f>
        <x:v>대상 아님</x:v>
      </x:c>
      <x:c r="AB1592" s="2" t="str">
        <x:v>2021-07-01 13:51:53 - 신규신청 - 신청 
2021-07-01 13:51:53 - 관장기관 지정 - 환경부
2021-07-02 10:40:29 - 관장기관 지정 - 산업통상자원부
2021-07-27 11:31:09 - 신규신청 - 문서재제출요청 
2021-07-27 17:50:03 - 재제출신청 - 신청 
2021-07-28 17:02:25 - 재제출신청 - 문서재제출요청 
2021-08-05 17:41:33 - 재제출신청 - 신청 
2021-09-03 10:10:56 - 재제출신청 - 문서재제출요청 
2021-09-07 17:18:55 - 재제출신청 - 신청 
2021-09-13 13:49:28 - 재제출신청 - 문서재제출요청 
2021-09-13 14:05:39 - 재제출신청 - 신청 
2021-10-13 13:14:23 - 재제출신청 - 문서재제출요청 
2021-10-13 13:57:10 - 재제출신청 - 신청 
2021-11-29 15:20:26 - 재제출신청 - 문서재제출요청 
2021-12-01 11:42:02 - 재제출신청 - 신청 
2022-01-07 14:29:52 - 재제출신청 - 평가승인 
2022-01-07 14:30:17 - 재제출신청 - 심의승인 
2022-01-11 15:24:31 - 재제출신청 - 착수신고 
</x:v>
      </x:c>
    </x:row>
    <x:row r="1593" ht="42" customHeight="1">
      <x:c r="A1593" s="2" t="str">
        <x:v>a0a1de3bcdbd0a635fb64f45</x:v>
      </x:c>
      <x:c r="B1593" s="2" t="str">
        <x:v>사업 평가</x:v>
      </x:c>
      <x:c r="C1593" s="2" t="str">
        <x:v>국외</x:v>
      </x:c>
      <x:c r="D1593" s="7" t="str">
        <x:v>SHINE - 인도 LED 전구 보급사업-2</x:v>
      </x:c>
      <x:c r="E1593" s="2" t="str">
        <x:v>215</x:v>
      </x:c>
      <x:c r="F1593" s="2" t="str">
        <x:v>2021-07</x:v>
      </x:c>
      <x:c r="G1593" s="2" t="str">
        <x:v>2021</x:v>
      </x:c>
      <x:c r="H1593" s="2" t="str">
        <x:v>07</x:v>
      </x:c>
      <x:c r="I1593" s="2" t="str">
        <x:v>승인</x:v>
      </x:c>
      <x:c r="J1593" s="2" t="str">
        <x:v>심의승인</x:v>
      </x:c>
      <x:c r="K1593" s="2" t="str">
        <x:f>IF(OR(J1593="심의승인",J1593="반려",J1593="반려완료",J1593="심의완료"),"종결 표시",IF(OR(J1593="기후부협의",J1593="문서재제출요청",J1593="보류",J1593="보완요청",J1593="보완완료",J1593="평가중",J1593="반려요청",J1593="평가필요",LEFT(J1593,5)="보완요청("),"미종결 표시","상태 확인 필요"))</x:f>
        <x:v>종결 표시</x:v>
      </x:c>
      <x:c r="L1593" s="2" t="str">
        <x:v>에코시안_배윤빈</x:v>
      </x:c>
      <x:c r="M1593" s="2"/>
      <x:c r="N1593" s="8"/>
      <x:c r="O1593" s="2"/>
      <x:c r="P1593" s="2"/>
      <x:c r="Q1593" s="2" t="str">
        <x:v>산업전환_외부사업관리Tool_260707_이너젠 수정_LJY_261013.xlsx</x:v>
      </x:c>
      <x:c r="R1593" s="2" t="str">
        <x:v>국외평가</x:v>
      </x:c>
      <x:c r="S1593" s="8" t="n">
        <x:v>217</x:v>
      </x:c>
      <x:c r="T1593" s="2" t="str">
        <x:v>2021-08-17T00:00:00</x:v>
      </x:c>
      <x:c r="U1593" s="2" t="str">
        <x:v>2021 지정: 2021-08-17T00:00:00 / 2021 지정(2): (07.06 / 08.17) / 2022 지정: (1/18)</x:v>
      </x:c>
      <x:c r="V1593" s="2" t="str">
        <x:v>2022-01-11</x:v>
      </x:c>
      <x:c r="W1593" s="2" t="str"/>
      <x:c r="X1593" s="2" t="str">
        <x:v>종결 근거 보관</x:v>
      </x:c>
      <x:c r="Y1593" s="2" t="str">
        <x:v>ad210cd9ec132cfd447541c8984dc53d30aff0f4fb2dc92d254d49275cc55976</x:v>
      </x:c>
      <x:c r="Z1593" s="2" t="n">
        <x:f>SUBTOTAL(103,A1593)</x:f>
        <x:v>1</x:v>
      </x:c>
      <x:c r="AA1593" s="2" t="str">
        <x:f>IF(K1593&lt;&gt;"미종결 표시","대상 아님",IF(N1593="","신청일 확인",IF(NOT(ISNUMBER('종합 현황'!$H$5)),"관찰기준 확인",IF('종합 현황'!$H$5&lt;1,"관찰기준 확인",IF(N1593&gt;'종합 현황'!$H$5,"내부 관찰 대상","내부 관찰일 이하")))))</x:f>
        <x:v>대상 아님</x:v>
      </x:c>
      <x:c r="AB1593" s="2" t="str">
        <x:v>2021-07-01 13:52:22 - 신규신청 - 신청 
2021-07-01 13:52:22 - 관장기관 지정 - 환경부
2021-07-02 10:40:46 - 관장기관 지정 - 산업통상자원부
2021-07-27 11:30:49 - 신규신청 - 문서재제출요청 
2021-07-27 17:53:41 - 재제출신청 - 신청 
2021-07-28 17:02:56 - 재제출신청 - 문서재제출요청 
2021-08-05 17:41:44 - 재제출신청 - 신청 
2021-09-03 10:12:28 - 재제출신청 - 문서재제출요청 
2021-09-07 17:18:41 - 재제출신청 - 신청 
2021-09-13 13:49:07 - 재제출신청 - 문서재제출요청 
2021-09-13 14:06:30 - 재제출신청 - 신청 
2021-10-13 13:14:08 - 재제출신청 - 문서재제출요청 
2021-10-13 13:54:11 - 재제출신청 - 신청 
2021-11-29 15:20:12 - 재제출신청 - 문서재제출요청 
2021-12-01 11:42:14 - 재제출신청 - 신청 
2022-01-07 14:30:53 - 재제출신청 - 평가승인 
2022-01-07 14:31:16 - 재제출신청 - 심의승인 
2022-01-11 15:24:08 - 재제출신청 - 착수신고 
</x:v>
      </x:c>
    </x:row>
    <x:row r="1594" ht="42" customHeight="1">
      <x:c r="A1594" s="2" t="str">
        <x:v>26059957e73ae7af5935753a</x:v>
      </x:c>
      <x:c r="B1594" s="2" t="str">
        <x:v>사업 평가</x:v>
      </x:c>
      <x:c r="C1594" s="2" t="str">
        <x:v>국외</x:v>
      </x:c>
      <x:c r="D1594" s="7" t="str">
        <x:v>SHINE - 인도 LED 전구 보급사업-3</x:v>
      </x:c>
      <x:c r="E1594" s="2" t="str">
        <x:v>216</x:v>
      </x:c>
      <x:c r="F1594" s="2" t="str">
        <x:v>2021-07</x:v>
      </x:c>
      <x:c r="G1594" s="2" t="str">
        <x:v>2021</x:v>
      </x:c>
      <x:c r="H1594" s="2" t="str">
        <x:v>07</x:v>
      </x:c>
      <x:c r="I1594" s="2" t="str">
        <x:v>승인</x:v>
      </x:c>
      <x:c r="J1594" s="2" t="str">
        <x:v>심의승인</x:v>
      </x:c>
      <x:c r="K1594" s="2" t="str">
        <x:f>IF(OR(J1594="심의승인",J1594="반려",J1594="반려완료",J1594="심의완료"),"종결 표시",IF(OR(J1594="기후부협의",J1594="문서재제출요청",J1594="보류",J1594="보완요청",J1594="보완완료",J1594="평가중",J1594="반려요청",J1594="평가필요",LEFT(J1594,5)="보완요청("),"미종결 표시","상태 확인 필요"))</x:f>
        <x:v>종결 표시</x:v>
      </x:c>
      <x:c r="L1594" s="2" t="str">
        <x:v>에코시안_배윤빈</x:v>
      </x:c>
      <x:c r="M1594" s="2"/>
      <x:c r="N1594" s="8"/>
      <x:c r="O1594" s="2"/>
      <x:c r="P1594" s="2"/>
      <x:c r="Q1594" s="2" t="str">
        <x:v>산업전환_외부사업관리Tool_260707_이너젠 수정_LJY_261013.xlsx</x:v>
      </x:c>
      <x:c r="R1594" s="2" t="str">
        <x:v>국외평가</x:v>
      </x:c>
      <x:c r="S1594" s="8" t="n">
        <x:v>218</x:v>
      </x:c>
      <x:c r="T1594" s="2" t="str">
        <x:v>2021-08-17T00:00:00</x:v>
      </x:c>
      <x:c r="U1594" s="2" t="str">
        <x:v>2021 지정: 2021-08-17T00:00:00 / 2021 지정(2): (07.06 / 08.17) / 2022 지정: (1/18)</x:v>
      </x:c>
      <x:c r="V1594" s="2" t="str">
        <x:v>2022-01-11</x:v>
      </x:c>
      <x:c r="W1594" s="2" t="str"/>
      <x:c r="X1594" s="2" t="str">
        <x:v>종결 근거 보관</x:v>
      </x:c>
      <x:c r="Y1594" s="2" t="str">
        <x:v>ad210cd9ec132cfd447541c8984dc53d30aff0f4fb2dc92d254d49275cc55976</x:v>
      </x:c>
      <x:c r="Z1594" s="2" t="n">
        <x:f>SUBTOTAL(103,A1594)</x:f>
        <x:v>1</x:v>
      </x:c>
      <x:c r="AA1594" s="2" t="str">
        <x:f>IF(K1594&lt;&gt;"미종결 표시","대상 아님",IF(N1594="","신청일 확인",IF(NOT(ISNUMBER('종합 현황'!$H$5)),"관찰기준 확인",IF('종합 현황'!$H$5&lt;1,"관찰기준 확인",IF(N1594&gt;'종합 현황'!$H$5,"내부 관찰 대상","내부 관찰일 이하")))))</x:f>
        <x:v>대상 아님</x:v>
      </x:c>
      <x:c r="AB1594" s="2" t="str">
        <x:v>2021-07-01 13:53:06 - 신규신청 - 신청 
2021-07-01 13:53:06 - 관장기관 지정 - 환경부
2021-07-02 10:40:55 - 관장기관 지정 - 산업통상자원부
2021-07-27 11:30:17 - 신규신청 - 문서재제출요청 
2021-07-27 17:56:26 - 재제출신청 - 신청 
2021-07-28 17:03:16 - 재제출신청 - 문서재제출요청 
2021-08-05 17:44:19 - 재제출신청 - 신청 
2021-09-03 10:13:12 - 재제출신청 - 문서재제출요청 
2021-09-07 17:18:26 - 재제출신청 - 신청 
2021-09-13 13:48:48 - 재제출신청 - 문서재제출요청 
2021-09-13 14:07:40 - 재제출신청 - 신청 
2021-10-13 13:13:52 - 재제출신청 - 문서재제출요청 
2021-10-13 13:48:31 - 재제출신청 - 신청 
2021-11-29 15:19:58 - 재제출신청 - 문서재제출요청 
2021-12-01 11:42:26 - 재제출신청 - 신청 
2022-01-07 14:31:38 - 재제출신청 - 평가승인 
2022-01-07 14:32:02 - 재제출신청 - 심의승인 
2022-01-11 15:23:41 - 재제출신청 - 착수신고 
</x:v>
      </x:c>
    </x:row>
    <x:row r="1595" ht="42" customHeight="1">
      <x:c r="A1595" s="2" t="str">
        <x:v>e0b7a487bde866312921e8b9</x:v>
      </x:c>
      <x:c r="B1595" s="2" t="str">
        <x:v>사업 평가</x:v>
      </x:c>
      <x:c r="C1595" s="2" t="str">
        <x:v>국외</x:v>
      </x:c>
      <x:c r="D1595" s="7" t="str">
        <x:v>SHINE - 인도 LED 전구 보급사업-4</x:v>
      </x:c>
      <x:c r="E1595" s="2" t="str">
        <x:v>217</x:v>
      </x:c>
      <x:c r="F1595" s="2" t="str">
        <x:v>2021-07</x:v>
      </x:c>
      <x:c r="G1595" s="2" t="str">
        <x:v>2021</x:v>
      </x:c>
      <x:c r="H1595" s="2" t="str">
        <x:v>07</x:v>
      </x:c>
      <x:c r="I1595" s="2" t="str">
        <x:v>승인</x:v>
      </x:c>
      <x:c r="J1595" s="2" t="str">
        <x:v>심의승인</x:v>
      </x:c>
      <x:c r="K1595" s="2" t="str">
        <x:f>IF(OR(J1595="심의승인",J1595="반려",J1595="반려완료",J1595="심의완료"),"종결 표시",IF(OR(J1595="기후부협의",J1595="문서재제출요청",J1595="보류",J1595="보완요청",J1595="보완완료",J1595="평가중",J1595="반려요청",J1595="평가필요",LEFT(J1595,5)="보완요청("),"미종결 표시","상태 확인 필요"))</x:f>
        <x:v>종결 표시</x:v>
      </x:c>
      <x:c r="L1595" s="2" t="str">
        <x:v>에코시안_배윤빈</x:v>
      </x:c>
      <x:c r="M1595" s="2"/>
      <x:c r="N1595" s="8"/>
      <x:c r="O1595" s="2"/>
      <x:c r="P1595" s="2"/>
      <x:c r="Q1595" s="2" t="str">
        <x:v>산업전환_외부사업관리Tool_260707_이너젠 수정_LJY_261013.xlsx</x:v>
      </x:c>
      <x:c r="R1595" s="2" t="str">
        <x:v>국외평가</x:v>
      </x:c>
      <x:c r="S1595" s="8" t="n">
        <x:v>219</x:v>
      </x:c>
      <x:c r="T1595" s="2" t="str">
        <x:v>2021-08-17T00:00:00</x:v>
      </x:c>
      <x:c r="U1595" s="2" t="str">
        <x:v>2021 지정: 2021-08-17T00:00:00 / 2021 지정(2): (07.06 / 08.17) / 2022 지정: (1/18)</x:v>
      </x:c>
      <x:c r="V1595" s="2" t="str">
        <x:v>2022-01-11</x:v>
      </x:c>
      <x:c r="W1595" s="2" t="str"/>
      <x:c r="X1595" s="2" t="str">
        <x:v>종결 근거 보관</x:v>
      </x:c>
      <x:c r="Y1595" s="2" t="str">
        <x:v>ad210cd9ec132cfd447541c8984dc53d30aff0f4fb2dc92d254d49275cc55976</x:v>
      </x:c>
      <x:c r="Z1595" s="2" t="n">
        <x:f>SUBTOTAL(103,A1595)</x:f>
        <x:v>1</x:v>
      </x:c>
      <x:c r="AA1595" s="2" t="str">
        <x:f>IF(K1595&lt;&gt;"미종결 표시","대상 아님",IF(N1595="","신청일 확인",IF(NOT(ISNUMBER('종합 현황'!$H$5)),"관찰기준 확인",IF('종합 현황'!$H$5&lt;1,"관찰기준 확인",IF(N1595&gt;'종합 현황'!$H$5,"내부 관찰 대상","내부 관찰일 이하")))))</x:f>
        <x:v>대상 아님</x:v>
      </x:c>
      <x:c r="AB1595" s="2" t="str">
        <x:v>2021-07-01 13:54:04 - 관장기관 지정 - 환경부
2021-07-01 13:54:05 - 신규신청 - 신청 
2021-07-02 10:41:02 - 관장기관 지정 - 산업통상자원부
2021-07-27 11:29:44 - 신규신청 - 문서재제출요청 
2021-07-27 17:57:35 - 재제출신청 - 신청 
2021-07-28 17:03:37 - 재제출신청 - 문서재제출요청 
2021-08-05 17:47:48 - 재제출신청 - 신청 
2021-09-03 10:14:09 - 재제출신청 - 문서재제출요청 
2021-09-07 17:17:13 - 재제출신청 - 신청 
2021-09-13 13:48:10 - 재제출신청 - 문서재제출요청 
2021-09-13 14:08:24 - 재제출신청 - 신청 
2021-10-13 13:13:30 - 재제출신청 - 문서재제출요청 
2021-10-13 13:39:58 - 재제출신청 - 신청 
2021-11-29 15:19:46 - 재제출신청 - 문서재제출요청 
2021-12-01 11:42:36 - 재제출신청 - 신청 
2022-01-07 14:32:43 - 재제출신청 - 평가승인 
2022-01-07 14:36:10 - 재제출신청 - 심의승인 
2022-01-11 15:23:17 - 재제출신청 - 착수신고 
</x:v>
      </x:c>
    </x:row>
    <x:row r="1596" ht="42" customHeight="1">
      <x:c r="A1596" s="2" t="str">
        <x:v>716b45a117bf3cb4fa8aa420</x:v>
      </x:c>
      <x:c r="B1596" s="2" t="str">
        <x:v>사업 평가</x:v>
      </x:c>
      <x:c r="C1596" s="2" t="str">
        <x:v>국외</x:v>
      </x:c>
      <x:c r="D1596" s="7" t="str">
        <x:v>베트남 옌바이의 개선된 쿡스토브 사업 - CPA008</x:v>
      </x:c>
      <x:c r="E1596" s="2" t="str">
        <x:v>219</x:v>
      </x:c>
      <x:c r="F1596" s="2" t="str">
        <x:v>2021-07</x:v>
      </x:c>
      <x:c r="G1596" s="2" t="str">
        <x:v>2021</x:v>
      </x:c>
      <x:c r="H1596" s="2" t="str">
        <x:v>07</x:v>
      </x:c>
      <x:c r="I1596" s="2" t="str">
        <x:v>승인</x:v>
      </x:c>
      <x:c r="J1596" s="2" t="str">
        <x:v>심의승인</x:v>
      </x:c>
      <x:c r="K1596" s="2" t="str">
        <x:f>IF(OR(J1596="심의승인",J1596="반려",J1596="반려완료",J1596="심의완료"),"종결 표시",IF(OR(J1596="기후부협의",J1596="문서재제출요청",J1596="보류",J1596="보완요청",J1596="보완완료",J1596="평가중",J1596="반려요청",J1596="평가필요",LEFT(J1596,5)="보완요청("),"미종결 표시","상태 확인 필요"))</x:f>
        <x:v>종결 표시</x:v>
      </x:c>
      <x:c r="L1596" s="2" t="str">
        <x:v>에코시안_배윤빈 &gt; KRIC</x:v>
      </x:c>
      <x:c r="M1596" s="2"/>
      <x:c r="N1596" s="8"/>
      <x:c r="O1596" s="2"/>
      <x:c r="P1596" s="2"/>
      <x:c r="Q1596" s="2" t="str">
        <x:v>산업전환_외부사업관리Tool_260707_이너젠 수정_LJY_261013.xlsx</x:v>
      </x:c>
      <x:c r="R1596" s="2" t="str">
        <x:v>국외평가</x:v>
      </x:c>
      <x:c r="S1596" s="8" t="n">
        <x:v>220</x:v>
      </x:c>
      <x:c r="T1596" s="2" t="str">
        <x:v>2021-08-19T00:00:00</x:v>
      </x:c>
      <x:c r="U1596" s="2" t="str">
        <x:v>2021 지정: 2021-08-19T00:00:00 / 2022 지정: (1/18),(6/10)</x:v>
      </x:c>
      <x:c r="V1596" s="2" t="str">
        <x:v>2022-10-11</x:v>
      </x:c>
      <x:c r="W1596" s="2" t="str"/>
      <x:c r="X1596" s="2" t="str">
        <x:v>종결 근거 보관</x:v>
      </x:c>
      <x:c r="Y1596" s="2" t="str">
        <x:v>ad210cd9ec132cfd447541c8984dc53d30aff0f4fb2dc92d254d49275cc55976</x:v>
      </x:c>
      <x:c r="Z1596" s="2" t="n">
        <x:f>SUBTOTAL(103,A1596)</x:f>
        <x:v>1</x:v>
      </x:c>
      <x:c r="AA1596" s="2" t="str">
        <x:f>IF(K1596&lt;&gt;"미종결 표시","대상 아님",IF(N1596="","신청일 확인",IF(NOT(ISNUMBER('종합 현황'!$H$5)),"관찰기준 확인",IF('종합 현황'!$H$5&lt;1,"관찰기준 확인",IF(N1596&gt;'종합 현황'!$H$5,"내부 관찰 대상","내부 관찰일 이하")))))</x:f>
        <x:v>대상 아님</x:v>
      </x:c>
      <x:c r="AB1596" s="2" t="str">
        <x:v>2021-07-28 12:31:33 - 신규신청 - 신청 
2021-07-28 12:31:33 - 관장기관 지정 - 환경부
2021-08-03 11:07:07 - 관장기관 지정 - 산업통상자원부
2021-09-03 17:12:53 - 신규신청 - 문서재제출요청 
2022-05-27 16:12:01 - 재제출신청 - 신청 
2022-06-21 16:53:16 - 재제출신청 - 문서재제출요청 
2022-06-22 16:14:54 - 재제출신청 - 신청 
2022-10-07 17:37:23 - 재제출신청 - 평가승인 
2022-10-11 14:14:42 - 재제출신청 - 심의승인 
</x:v>
      </x:c>
    </x:row>
    <x:row r="1597" ht="42" customHeight="1">
      <x:c r="A1597" s="2" t="str">
        <x:v>48c6eb9699046ef8da10b312</x:v>
      </x:c>
      <x:c r="B1597" s="2" t="str">
        <x:v>사업 평가</x:v>
      </x:c>
      <x:c r="C1597" s="2" t="str">
        <x:v>국외</x:v>
      </x:c>
      <x:c r="D1597" s="7" t="str">
        <x:v>잠비아의 연료사용이 효율적인 스토브 (Korea Carbon Offsets Ltd. CPA No.01)</x:v>
      </x:c>
      <x:c r="E1597" s="2" t="str">
        <x:v>166</x:v>
      </x:c>
      <x:c r="F1597" s="2" t="str">
        <x:v>2021-01</x:v>
      </x:c>
      <x:c r="G1597" s="2" t="str">
        <x:v>2021</x:v>
      </x:c>
      <x:c r="H1597" s="2" t="str">
        <x:v>01</x:v>
      </x:c>
      <x:c r="I1597" s="2" t="str">
        <x:v>승인</x:v>
      </x:c>
      <x:c r="J1597" s="2" t="str">
        <x:v>심의승인</x:v>
      </x:c>
      <x:c r="K1597" s="2" t="str">
        <x:f>IF(OR(J1597="심의승인",J1597="반려",J1597="반려완료",J1597="심의완료"),"종결 표시",IF(OR(J1597="기후부협의",J1597="문서재제출요청",J1597="보류",J1597="보완요청",J1597="보완완료",J1597="평가중",J1597="반려요청",J1597="평가필요",LEFT(J1597,5)="보완요청("),"미종결 표시","상태 확인 필요"))</x:f>
        <x:v>종결 표시</x:v>
      </x:c>
      <x:c r="L1597" s="2" t="str">
        <x:v>KECM</x:v>
      </x:c>
      <x:c r="M1597" s="2"/>
      <x:c r="N1597" s="8"/>
      <x:c r="O1597" s="2"/>
      <x:c r="P1597" s="2"/>
      <x:c r="Q1597" s="2" t="str">
        <x:v>산업전환_외부사업관리Tool_260707_이너젠 수정_LJY_261013.xlsx</x:v>
      </x:c>
      <x:c r="R1597" s="2" t="str">
        <x:v>국외평가</x:v>
      </x:c>
      <x:c r="S1597" s="8" t="n">
        <x:v>221</x:v>
      </x:c>
      <x:c r="T1597" s="2" t="str">
        <x:v>2021-09-14T00:00:00</x:v>
      </x:c>
      <x:c r="U1597" s="2" t="str">
        <x:v>2021 지정: 2021-09-14T00:00:00 / 2021 지정(2): (9/14) / 2022 지정: (1/18)</x:v>
      </x:c>
      <x:c r="V1597" s="2" t="str">
        <x:v>2022-07-05</x:v>
      </x:c>
      <x:c r="W1597" s="2" t="str"/>
      <x:c r="X1597" s="2" t="str">
        <x:v>종결 근거 보관</x:v>
      </x:c>
      <x:c r="Y1597" s="2" t="str">
        <x:v>ad210cd9ec132cfd447541c8984dc53d30aff0f4fb2dc92d254d49275cc55976</x:v>
      </x:c>
      <x:c r="Z1597" s="2" t="n">
        <x:f>SUBTOTAL(103,A1597)</x:f>
        <x:v>1</x:v>
      </x:c>
      <x:c r="AA1597" s="2" t="str">
        <x:f>IF(K1597&lt;&gt;"미종결 표시","대상 아님",IF(N1597="","신청일 확인",IF(NOT(ISNUMBER('종합 현황'!$H$5)),"관찰기준 확인",IF('종합 현황'!$H$5&lt;1,"관찰기준 확인",IF(N1597&gt;'종합 현황'!$H$5,"내부 관찰 대상","내부 관찰일 이하")))))</x:f>
        <x:v>대상 아님</x:v>
      </x:c>
      <x:c r="AB1597" s="2" t="str">
        <x:v>2021-01-25 13:15:15 - 신규신청 - 신청 
2021-01-25 13:15:15 - 관장기관 지정 - 환경부
2021-01-26 09:10:21 - 관장기관 지정 - 산업통상자원부
2021-03-15 16:09:08 - 신규신청 - 문서재제출요청 
2021-08-20 16:43:37 - 재제출신청 - 신청 
2021-09-27 09:28:19 - 재제출신청 - 보완요청 
2021-12-22 14:45:37 - 보완신청 - 신청 
2022-01-27 13:32:47 - 보완신청 - 문서재제출요청 
2022-02-11 11:56:53 - 재제출신청 - 신청 
2022-03-16 13:23:48 - 재제출신청 - 문서재제출요청 
2022-03-17 12:20:19 - 재제출신청 - 신청 
2022-03-17 14:41:34 - 재제출신청 - 문서재제출요청 
2022-04-07 09:20:24 - 재제출신청 - 신청 
2022-05-20 13:57:20 - 재제출신청 - 문서재제출요청 
2022-05-20 16:21:57 - 재제출신청 - 신청 
2022-07-05 17:15:18 - 재제출신청 - 평가승인 
2022-07-05 17:15:48 - 재제출신청 - 심의승인 
</x:v>
      </x:c>
    </x:row>
    <x:row r="1598" ht="42" customHeight="1">
      <x:c r="A1598" s="2" t="str">
        <x:v>89c6a95fc4ea7a4025c5f4e0</x:v>
      </x:c>
      <x:c r="B1598" s="2" t="str">
        <x:v>사업 평가</x:v>
      </x:c>
      <x:c r="C1598" s="2" t="str">
        <x:v>국외</x:v>
      </x:c>
      <x:c r="D1598" s="7" t="str">
        <x:v>SHINE - 인도 LED 보급 CPA03 사업</x:v>
      </x:c>
      <x:c r="E1598" s="2" t="str">
        <x:v>220</x:v>
      </x:c>
      <x:c r="F1598" s="2" t="str">
        <x:v>2021-04</x:v>
      </x:c>
      <x:c r="G1598" s="2" t="str">
        <x:v>2021</x:v>
      </x:c>
      <x:c r="H1598" s="2" t="str">
        <x:v>04</x:v>
      </x:c>
      <x:c r="I1598" s="2" t="str">
        <x:v>승인</x:v>
      </x:c>
      <x:c r="J1598" s="2" t="str">
        <x:v>심의승인</x:v>
      </x:c>
      <x:c r="K1598" s="2" t="str">
        <x:f>IF(OR(J1598="심의승인",J1598="반려",J1598="반려완료",J1598="심의완료"),"종결 표시",IF(OR(J1598="기후부협의",J1598="문서재제출요청",J1598="보류",J1598="보완요청",J1598="보완완료",J1598="평가중",J1598="반려요청",J1598="평가필요",LEFT(J1598,5)="보완요청("),"미종결 표시","상태 확인 필요"))</x:f>
        <x:v>종결 표시</x:v>
      </x:c>
      <x:c r="L1598" s="2" t="str">
        <x:v>KECM</x:v>
      </x:c>
      <x:c r="M1598" s="2"/>
      <x:c r="N1598" s="8"/>
      <x:c r="O1598" s="2"/>
      <x:c r="P1598" s="2"/>
      <x:c r="Q1598" s="2" t="str">
        <x:v>산업전환_외부사업관리Tool_260707_이너젠 수정_LJY_261013.xlsx</x:v>
      </x:c>
      <x:c r="R1598" s="2" t="str">
        <x:v>국외평가</x:v>
      </x:c>
      <x:c r="S1598" s="8" t="n">
        <x:v>222</x:v>
      </x:c>
      <x:c r="T1598" s="2" t="str">
        <x:v>2021-04-23T00:00:00</x:v>
      </x:c>
      <x:c r="U1598" s="2" t="str">
        <x:v>2021 지정: 2021-04-23T00:00:00 / 2021 지정(2): (04.23 / 09.14),(12/1) / 2022 지정: (1/18)</x:v>
      </x:c>
      <x:c r="V1598" s="2" t="str">
        <x:v>2022-04-15</x:v>
      </x:c>
      <x:c r="W1598" s="2" t="str"/>
      <x:c r="X1598" s="2" t="str">
        <x:v>종결 근거 보관</x:v>
      </x:c>
      <x:c r="Y1598" s="2" t="str">
        <x:v>ad210cd9ec132cfd447541c8984dc53d30aff0f4fb2dc92d254d49275cc55976</x:v>
      </x:c>
      <x:c r="Z1598" s="2" t="n">
        <x:f>SUBTOTAL(103,A1598)</x:f>
        <x:v>1</x:v>
      </x:c>
      <x:c r="AA1598" s="2" t="str">
        <x:f>IF(K1598&lt;&gt;"미종결 표시","대상 아님",IF(N1598="","신청일 확인",IF(NOT(ISNUMBER('종합 현황'!$H$5)),"관찰기준 확인",IF('종합 현황'!$H$5&lt;1,"관찰기준 확인",IF(N1598&gt;'종합 현황'!$H$5,"내부 관찰 대상","내부 관찰일 이하")))))</x:f>
        <x:v>대상 아님</x:v>
      </x:c>
      <x:c r="AB1598" s="2" t="str">
        <x:v>2021-04-07 17:07:13 - 신규신청 - 신청 
2021-04-07 17:07:13 - 관장기관 지정 - 환경부
2021-04-07 17:37:11 - 관장기관 지정 - 산업통상자원부
2021-05-14 15:06:05 - 신규신청 - 문서재제출요청 
2021-09-03 19:13:14 - 재제출신청 - 신청 
2021-10-19 13:58:49 - 재제출신청 - 보완요청 
2021-11-10 13:14:44 - 보완신청 - 신청 
2021-12-08 15:47:27 - 보완신청 - 문서재제출요청 
2021-12-14 16:11:07 - 재제출신청 - 신청 
2022-02-18 17:54:34 - 재제출신청 - 문서재제출요청 
2022-02-21 17:47:46 - 재제출신청 - 신청 
2022-02-23 17:03:36 - 재제출신청 - 문서재제출요청 
2022-02-23 17:26:55 - 재제출신청 - 신청 
2022-02-24 09:31:12 - 재제출신청 - 문서재제출요청 
2022-02-24 09:54:47 - 재제출신청 - 신청 
2022-02-28 09:56:26 - 재제출신청 - 문서재제출요청 
2022-02-28 10:47:40 - 재제출신청 - 신청 
2022-04-13 16:58:30 - 재제출신청 - 평가승인 
2022-04-15 14:13:11 - 재제출신청 - 심의승인 
2022-04-15 16:35:29 - 재제출신청 - 착수신고 
</x:v>
      </x:c>
    </x:row>
    <x:row r="1599" ht="42" customHeight="1">
      <x:c r="A1599" s="2" t="str">
        <x:v>6519a8ba04e16634fd0330d7</x:v>
      </x:c>
      <x:c r="B1599" s="2" t="str">
        <x:v>사업 평가</x:v>
      </x:c>
      <x:c r="C1599" s="2" t="str">
        <x:v>국외</x:v>
      </x:c>
      <x:c r="D1599" s="7" t="str">
        <x:v>델라구와 르완다 공중 보건 프로그램 : 르완다 CPA027 사업</x:v>
      </x:c>
      <x:c r="E1599" s="2" t="str">
        <x:v>221</x:v>
      </x:c>
      <x:c r="F1599" s="2" t="str">
        <x:v>2021-09</x:v>
      </x:c>
      <x:c r="G1599" s="2" t="str">
        <x:v>2021</x:v>
      </x:c>
      <x:c r="H1599" s="2" t="str">
        <x:v>09</x:v>
      </x:c>
      <x:c r="I1599" s="2" t="str">
        <x:v>승인</x:v>
      </x:c>
      <x:c r="J1599" s="2" t="str">
        <x:v>심의승인</x:v>
      </x:c>
      <x:c r="K1599" s="2" t="str">
        <x:f>IF(OR(J1599="심의승인",J1599="반려",J1599="반려완료",J1599="심의완료"),"종결 표시",IF(OR(J1599="기후부협의",J1599="문서재제출요청",J1599="보류",J1599="보완요청",J1599="보완완료",J1599="평가중",J1599="반려요청",J1599="평가필요",LEFT(J1599,5)="보완요청("),"미종결 표시","상태 확인 필요"))</x:f>
        <x:v>종결 표시</x:v>
      </x:c>
      <x:c r="L1599" s="2" t="str">
        <x:v>에코시안_조혜민</x:v>
      </x:c>
      <x:c r="M1599" s="2"/>
      <x:c r="N1599" s="8"/>
      <x:c r="O1599" s="2"/>
      <x:c r="P1599" s="2"/>
      <x:c r="Q1599" s="2" t="str">
        <x:v>산업전환_외부사업관리Tool_260707_이너젠 수정_LJY_261013.xlsx</x:v>
      </x:c>
      <x:c r="R1599" s="2" t="str">
        <x:v>국외평가</x:v>
      </x:c>
      <x:c r="S1599" s="8" t="n">
        <x:v>223</x:v>
      </x:c>
      <x:c r="T1599" s="2" t="str">
        <x:v>2021-10-20T00:00:00</x:v>
      </x:c>
      <x:c r="U1599" s="2" t="str">
        <x:v>2021 지정: 2021-10-20T00:00:00 / 2021 지정(2): (9/14, 10/20) / 2022 지정: (1/18),(2/9),(4/19)(5/18)</x:v>
      </x:c>
      <x:c r="V1599" s="2" t="str">
        <x:v>2022-10-11</x:v>
      </x:c>
      <x:c r="W1599" s="2" t="str"/>
      <x:c r="X1599" s="2" t="str">
        <x:v>종결 근거 보관</x:v>
      </x:c>
      <x:c r="Y1599" s="2" t="str">
        <x:v>ad210cd9ec132cfd447541c8984dc53d30aff0f4fb2dc92d254d49275cc55976</x:v>
      </x:c>
      <x:c r="Z1599" s="2" t="n">
        <x:f>SUBTOTAL(103,A1599)</x:f>
        <x:v>1</x:v>
      </x:c>
      <x:c r="AA1599" s="2" t="str">
        <x:f>IF(K1599&lt;&gt;"미종결 표시","대상 아님",IF(N1599="","신청일 확인",IF(NOT(ISNUMBER('종합 현황'!$H$5)),"관찰기준 확인",IF('종합 현황'!$H$5&lt;1,"관찰기준 확인",IF(N1599&gt;'종합 현황'!$H$5,"내부 관찰 대상","내부 관찰일 이하")))))</x:f>
        <x:v>대상 아님</x:v>
      </x:c>
      <x:c r="AB1599" s="2" t="str">
        <x:v>2021-09-03 16:35:49 - 신규신청 - 신청 
2021-09-03 16:35:49 - 관장기관 지정 - 환경부
2021-09-03 17:28:59 - 관장기관 지정 - 산업통상자원부
2021-10-01 16:40:09 - 신규신청 - 문서재제출요청 
2021-10-08 10:04:22 - 재제출신청 - 신청 
2021-11-19 11:19:43 - 재제출신청 - 보완요청 
2022-01-28 13:19:50 - 보완신청 - 신청 
2022-04-12 09:39:20 - 보완신청 - 문서재제출요청 
2022-04-16 19:37:12 - 재제출신청 - 신청 
2022-05-06 14:07:18 - 재제출신청 - 문서재제출요청 
2022-05-11 15:13:58 - 재제출신청 - 신청 
2022-05-13 10:56:20 - 재제출신청 - 문서재제출요청 
2022-05-16 08:05:37 - 재제출신청 - 신청 
2022-10-07 17:35:40 - 재제출신청 - 평가승인 
2022-10-11 14:16:24 - 재제출신청 - 심의승인 
2022-10-11 19:03:23 - 재제출신청 - 착수신고 
</x:v>
      </x:c>
    </x:row>
    <x:row r="1600" ht="42" customHeight="1">
      <x:c r="A1600" s="2" t="str">
        <x:v>5c71b49854c72193b7f91671</x:v>
      </x:c>
      <x:c r="B1600" s="2" t="str">
        <x:v>사업 평가</x:v>
      </x:c>
      <x:c r="C1600" s="2" t="str">
        <x:v>국외</x:v>
      </x:c>
      <x:c r="D1600" s="7" t="str">
        <x:v>하상 수력발전 사업</x:v>
      </x:c>
      <x:c r="E1600" s="2" t="str">
        <x:v>222</x:v>
      </x:c>
      <x:c r="F1600" s="2" t="str">
        <x:v>2021-10</x:v>
      </x:c>
      <x:c r="G1600" s="2" t="str">
        <x:v>2021</x:v>
      </x:c>
      <x:c r="H1600" s="2" t="str">
        <x:v>10</x:v>
      </x:c>
      <x:c r="I1600" s="2" t="str">
        <x:v>승인</x:v>
      </x:c>
      <x:c r="J1600" s="2" t="str">
        <x:v>심의승인</x:v>
      </x:c>
      <x:c r="K1600" s="2" t="str">
        <x:f>IF(OR(J1600="심의승인",J1600="반려",J1600="반려완료",J1600="심의완료"),"종결 표시",IF(OR(J1600="기후부협의",J1600="문서재제출요청",J1600="보류",J1600="보완요청",J1600="보완완료",J1600="평가중",J1600="반려요청",J1600="평가필요",LEFT(J1600,5)="보완요청("),"미종결 표시","상태 확인 필요"))</x:f>
        <x:v>종결 표시</x:v>
      </x:c>
      <x:c r="L1600" s="2" t="str">
        <x:v>KECM</x:v>
      </x:c>
      <x:c r="M1600" s="2"/>
      <x:c r="N1600" s="8"/>
      <x:c r="O1600" s="2"/>
      <x:c r="P1600" s="2"/>
      <x:c r="Q1600" s="2" t="str">
        <x:v>산업전환_외부사업관리Tool_260707_이너젠 수정_LJY_261013.xlsx</x:v>
      </x:c>
      <x:c r="R1600" s="2" t="str">
        <x:v>국외평가</x:v>
      </x:c>
      <x:c r="S1600" s="8" t="n">
        <x:v>224</x:v>
      </x:c>
      <x:c r="T1600" s="2" t="str">
        <x:v>2021-10-20T00:00:00</x:v>
      </x:c>
      <x:c r="U1600" s="2" t="str">
        <x:v>2021 지정: 2021-10-20T00:00:00 / 2021 지정(2): (10/20),(12/1) / 2022 지정: (1/18)</x:v>
      </x:c>
      <x:c r="V1600" s="2" t="str">
        <x:v>2022-07-06</x:v>
      </x:c>
      <x:c r="W1600" s="2" t="str"/>
      <x:c r="X1600" s="2" t="str">
        <x:v>종결 근거 보관</x:v>
      </x:c>
      <x:c r="Y1600" s="2" t="str">
        <x:v>ad210cd9ec132cfd447541c8984dc53d30aff0f4fb2dc92d254d49275cc55976</x:v>
      </x:c>
      <x:c r="Z1600" s="2" t="n">
        <x:f>SUBTOTAL(103,A1600)</x:f>
        <x:v>1</x:v>
      </x:c>
      <x:c r="AA1600" s="2" t="str">
        <x:f>IF(K1600&lt;&gt;"미종결 표시","대상 아님",IF(N1600="","신청일 확인",IF(NOT(ISNUMBER('종합 현황'!$H$5)),"관찰기준 확인",IF('종합 현황'!$H$5&lt;1,"관찰기준 확인",IF(N1600&gt;'종합 현황'!$H$5,"내부 관찰 대상","내부 관찰일 이하")))))</x:f>
        <x:v>대상 아님</x:v>
      </x:c>
      <x:c r="AB1600" s="2" t="str">
        <x:v>2021-10-18 11:03:57 - 신규신청 - 신청 
2021-10-18 11:03:57 - 관장기관 지정 - 환경부
2021-10-19 10:18:28 - 관장기관 지정 - 산업통상자원부
2021-11-17 17:03:12 - 신규신청 - 문서재제출요청 
2021-11-29 21:44:25 - 재제출신청 - 신청 
2021-12-21 09:53:39 - 재제출신청 - 보완요청 
2022-01-10 15:25:03 - 보완신청 - 신청 
2022-01-12 15:35:27 - 보완신청 - 문서재제출요청 
2022-01-12 18:30:38 - 재제출신청 - 신청 
2022-07-05 17:30:48 - 재제출신청 - 평가승인 
2022-07-05 17:36:02 - 재제출신청 - 심의승인 
2022-07-06 10:37:07 - 재제출신청 - 착수신고 
</x:v>
      </x:c>
    </x:row>
    <x:row r="1601" ht="42" customHeight="1">
      <x:c r="A1601" s="2" t="str">
        <x:v>f7dba8813088e665cc9c4f50</x:v>
      </x:c>
      <x:c r="B1601" s="2" t="str">
        <x:v>사업 평가</x:v>
      </x:c>
      <x:c r="C1601" s="2" t="str">
        <x:v>국외</x:v>
      </x:c>
      <x:c r="D1601" s="7" t="str">
        <x:v>방글라데시 바크라바드 지역 가스배관 누설 방지를 통한 온실가스 감축사업</x:v>
      </x:c>
      <x:c r="E1601" s="2" t="str">
        <x:v>223</x:v>
      </x:c>
      <x:c r="F1601" s="2" t="str">
        <x:v>2021-11</x:v>
      </x:c>
      <x:c r="G1601" s="2" t="str">
        <x:v>2021</x:v>
      </x:c>
      <x:c r="H1601" s="2" t="str">
        <x:v>11</x:v>
      </x:c>
      <x:c r="I1601" s="2" t="str">
        <x:v>승인</x:v>
      </x:c>
      <x:c r="J1601" s="2" t="str">
        <x:v>심의승인</x:v>
      </x:c>
      <x:c r="K1601" s="2" t="str">
        <x:f>IF(OR(J1601="심의승인",J1601="반려",J1601="반려완료",J1601="심의완료"),"종결 표시",IF(OR(J1601="기후부협의",J1601="문서재제출요청",J1601="보류",J1601="보완요청",J1601="보완완료",J1601="평가중",J1601="반려요청",J1601="평가필요",LEFT(J1601,5)="보완요청("),"미종결 표시","상태 확인 필요"))</x:f>
        <x:v>종결 표시</x:v>
      </x:c>
      <x:c r="L1601" s="2" t="str">
        <x:v>에코시안_기샛별</x:v>
      </x:c>
      <x:c r="M1601" s="2"/>
      <x:c r="N1601" s="8"/>
      <x:c r="O1601" s="2"/>
      <x:c r="P1601" s="2" t="str">
        <x:v>라 유형</x:v>
      </x:c>
      <x:c r="Q1601" s="2" t="str">
        <x:v>산업전환_외부사업관리Tool_260707_이너젠 수정_LJY_261013.xlsx</x:v>
      </x:c>
      <x:c r="R1601" s="2" t="str">
        <x:v>국외평가</x:v>
      </x:c>
      <x:c r="S1601" s="8" t="n">
        <x:v>225</x:v>
      </x:c>
      <x:c r="T1601" s="2" t="str">
        <x:v>(12/1)</x:v>
      </x:c>
      <x:c r="U1601" s="2" t="str">
        <x:v>2021 지정(2): (12/1) / 2022 지정: (1/18),(3/16)</x:v>
      </x:c>
      <x:c r="V1601" s="2" t="str">
        <x:v>2022-07-06</x:v>
      </x:c>
      <x:c r="W1601" s="2" t="str"/>
      <x:c r="X1601" s="2" t="str">
        <x:v>종결 근거 보관</x:v>
      </x:c>
      <x:c r="Y1601" s="2" t="str">
        <x:v>ad210cd9ec132cfd447541c8984dc53d30aff0f4fb2dc92d254d49275cc55976</x:v>
      </x:c>
      <x:c r="Z1601" s="2" t="n">
        <x:f>SUBTOTAL(103,A1601)</x:f>
        <x:v>1</x:v>
      </x:c>
      <x:c r="AA1601" s="2" t="str">
        <x:f>IF(K1601&lt;&gt;"미종결 표시","대상 아님",IF(N1601="","신청일 확인",IF(NOT(ISNUMBER('종합 현황'!$H$5)),"관찰기준 확인",IF('종합 현황'!$H$5&lt;1,"관찰기준 확인",IF(N1601&gt;'종합 현황'!$H$5,"내부 관찰 대상","내부 관찰일 이하")))))</x:f>
        <x:v>대상 아님</x:v>
      </x:c>
      <x:c r="AB1601" s="2" t="str">
        <x:v>2021-11-04 18:02:10 - 신규신청 - 신청 
2021-11-04 18:02:10 - 관장기관 지정 - 환경부
2021-11-05 10:40:00 - 관장기관 지정 - 산업통상자원부
2021-12-22 17:37:11 - 신규신청 - 문서재제출요청 
2022-01-04 15:59:28 - 재제출신청 - 신청 
2022-02-14 14:19:31 - 재제출신청 - 문서재제출요청 
2022-02-16 09:28:11 - 재제출신청 - 신청 
2022-03-21 16:52:48 - 재제출신청 - 문서재제출요청 
2022-03-21 17:53:43 - 재제출신청 - 신청 
2022-03-30 14:16:17 - 재제출신청 - 문서재제출요청 
2022-03-30 14:48:36 - 재제출신청 - 신청 
2022-03-30 15:34:41 - 재제출신청 - 문서재제출요청 
2022-03-30 15:48:54 - 재제출신청 - 신청 
2022-05-20 13:55:57 - 재제출신청 - 문서재제출요청 
2022-05-24 15:27:40 - 재제출신청 - 신청 
2022-07-05 17:21:46 - 재제출신청 - 평가승인 
2022-07-05 17:22:28 - 재제출신청 - 심의승인 
2022-07-06 08:58:42 - 재제출신청 - 착수신고 
</x:v>
      </x:c>
    </x:row>
    <x:row r="1602" ht="42" customHeight="1">
      <x:c r="A1602" s="2" t="str">
        <x:v>7d1100ecf4842ea261f0b460</x:v>
      </x:c>
      <x:c r="B1602" s="2" t="str">
        <x:v>사업 평가</x:v>
      </x:c>
      <x:c r="C1602" s="2" t="str">
        <x:v>국외</x:v>
      </x:c>
      <x:c r="D1602" s="7" t="str">
        <x:v>방글라데시 카나풀리 지역 가스배관 누설 방지를 통한 온실가스 감축사업</x:v>
      </x:c>
      <x:c r="E1602" s="2" t="str">
        <x:v>224</x:v>
      </x:c>
      <x:c r="F1602" s="2" t="str">
        <x:v>2021-11</x:v>
      </x:c>
      <x:c r="G1602" s="2" t="str">
        <x:v>2021</x:v>
      </x:c>
      <x:c r="H1602" s="2" t="str">
        <x:v>11</x:v>
      </x:c>
      <x:c r="I1602" s="2" t="str">
        <x:v>승인</x:v>
      </x:c>
      <x:c r="J1602" s="2" t="str">
        <x:v>심의승인</x:v>
      </x:c>
      <x:c r="K1602" s="2" t="str">
        <x:f>IF(OR(J1602="심의승인",J1602="반려",J1602="반려완료",J1602="심의완료"),"종결 표시",IF(OR(J1602="기후부협의",J1602="문서재제출요청",J1602="보류",J1602="보완요청",J1602="보완완료",J1602="평가중",J1602="반려요청",J1602="평가필요",LEFT(J1602,5)="보완요청("),"미종결 표시","상태 확인 필요"))</x:f>
        <x:v>종결 표시</x:v>
      </x:c>
      <x:c r="L1602" s="2" t="str">
        <x:v>에코시안_기샛별</x:v>
      </x:c>
      <x:c r="M1602" s="2"/>
      <x:c r="N1602" s="8"/>
      <x:c r="O1602" s="2"/>
      <x:c r="P1602" s="2" t="str">
        <x:v>라 유형</x:v>
      </x:c>
      <x:c r="Q1602" s="2" t="str">
        <x:v>산업전환_외부사업관리Tool_260707_이너젠 수정_LJY_261013.xlsx</x:v>
      </x:c>
      <x:c r="R1602" s="2" t="str">
        <x:v>국외평가</x:v>
      </x:c>
      <x:c r="S1602" s="8" t="n">
        <x:v>226</x:v>
      </x:c>
      <x:c r="T1602" s="2" t="str">
        <x:v>(12/1)</x:v>
      </x:c>
      <x:c r="U1602" s="2" t="str">
        <x:v>2021 지정(2): (12/1) / 2022 지정: (1/18),(3/16)</x:v>
      </x:c>
      <x:c r="V1602" s="2" t="str">
        <x:v>2022-07-06</x:v>
      </x:c>
      <x:c r="W1602" s="2" t="str"/>
      <x:c r="X1602" s="2" t="str">
        <x:v>종결 근거 보관</x:v>
      </x:c>
      <x:c r="Y1602" s="2" t="str">
        <x:v>ad210cd9ec132cfd447541c8984dc53d30aff0f4fb2dc92d254d49275cc55976</x:v>
      </x:c>
      <x:c r="Z1602" s="2" t="n">
        <x:f>SUBTOTAL(103,A1602)</x:f>
        <x:v>1</x:v>
      </x:c>
      <x:c r="AA1602" s="2" t="str">
        <x:f>IF(K1602&lt;&gt;"미종결 표시","대상 아님",IF(N1602="","신청일 확인",IF(NOT(ISNUMBER('종합 현황'!$H$5)),"관찰기준 확인",IF('종합 현황'!$H$5&lt;1,"관찰기준 확인",IF(N1602&gt;'종합 현황'!$H$5,"내부 관찰 대상","내부 관찰일 이하")))))</x:f>
        <x:v>대상 아님</x:v>
      </x:c>
      <x:c r="AB1602" s="2" t="str">
        <x:v>2021-11-04 18:04:00 - 신규신청 - 신청 
2021-11-04 18:04:00 - 관장기관 지정 - 환경부
2021-11-05 10:40:10 - 관장기관 지정 - 산업통상자원부
2021-12-22 17:39:15 - 신규신청 - 문서재제출요청 
2022-01-04 15:58:55 - 재제출신청 - 신청 
2022-02-14 14:18:55 - 재제출신청 - 문서재제출요청 
2022-02-16 09:28:36 - 재제출신청 - 신청 
2022-03-21 16:52:23 - 재제출신청 - 문서재제출요청 
2022-03-21 17:54:09 - 재제출신청 - 신청 
2022-03-30 14:17:49 - 재제출신청 - 문서재제출요청 
2022-03-30 15:03:09 - 재제출신청 - 신청 
2022-03-30 15:35:48 - 재제출신청 - 문서재제출요청 
2022-03-30 15:59:15 - 재제출신청 - 신청 
2022-05-20 13:54:54 - 재제출신청 - 문서재제출요청 
2022-05-24 15:28:32 - 재제출신청 - 신청 
2022-07-05 17:23:14 - 재제출신청 - 평가승인 
2022-07-05 17:23:40 - 재제출신청 - 심의승인 
2022-07-06 08:59:35 - 재제출신청 - 착수신고 
</x:v>
      </x:c>
    </x:row>
    <x:row r="1603" ht="42" customHeight="1">
      <x:c r="A1603" s="2" t="str">
        <x:v>5b2bca867821ff694a993c19</x:v>
      </x:c>
      <x:c r="B1603" s="2" t="str">
        <x:v>사업 평가</x:v>
      </x:c>
      <x:c r="C1603" s="2" t="str">
        <x:v>국외</x:v>
      </x:c>
      <x:c r="D1603" s="7" t="str">
        <x:v>방글라데시 자라라바드 지역 가스배관 누설 방지를 통한 온실가스 감축사업</x:v>
      </x:c>
      <x:c r="E1603" s="2" t="str">
        <x:v>225</x:v>
      </x:c>
      <x:c r="F1603" s="2" t="str">
        <x:v>2021-11</x:v>
      </x:c>
      <x:c r="G1603" s="2" t="str">
        <x:v>2021</x:v>
      </x:c>
      <x:c r="H1603" s="2" t="str">
        <x:v>11</x:v>
      </x:c>
      <x:c r="I1603" s="2" t="str">
        <x:v>승인</x:v>
      </x:c>
      <x:c r="J1603" s="2" t="str">
        <x:v>심의승인</x:v>
      </x:c>
      <x:c r="K1603" s="2" t="str">
        <x:f>IF(OR(J1603="심의승인",J1603="반려",J1603="반려완료",J1603="심의완료"),"종결 표시",IF(OR(J1603="기후부협의",J1603="문서재제출요청",J1603="보류",J1603="보완요청",J1603="보완완료",J1603="평가중",J1603="반려요청",J1603="평가필요",LEFT(J1603,5)="보완요청("),"미종결 표시","상태 확인 필요"))</x:f>
        <x:v>종결 표시</x:v>
      </x:c>
      <x:c r="L1603" s="2" t="str">
        <x:v>에코시안_기샛별</x:v>
      </x:c>
      <x:c r="M1603" s="2"/>
      <x:c r="N1603" s="8"/>
      <x:c r="O1603" s="2"/>
      <x:c r="P1603" s="2" t="str">
        <x:v>라 유형</x:v>
      </x:c>
      <x:c r="Q1603" s="2" t="str">
        <x:v>산업전환_외부사업관리Tool_260707_이너젠 수정_LJY_261013.xlsx</x:v>
      </x:c>
      <x:c r="R1603" s="2" t="str">
        <x:v>국외평가</x:v>
      </x:c>
      <x:c r="S1603" s="8" t="n">
        <x:v>227</x:v>
      </x:c>
      <x:c r="T1603" s="2" t="str">
        <x:v>(12/1)</x:v>
      </x:c>
      <x:c r="U1603" s="2" t="str">
        <x:v>2021 지정(2): (12/1) / 2022 지정: (1/18),(3/16)</x:v>
      </x:c>
      <x:c r="V1603" s="2" t="str">
        <x:v>2022-07-06</x:v>
      </x:c>
      <x:c r="W1603" s="2" t="str"/>
      <x:c r="X1603" s="2" t="str">
        <x:v>종결 근거 보관</x:v>
      </x:c>
      <x:c r="Y1603" s="2" t="str">
        <x:v>ad210cd9ec132cfd447541c8984dc53d30aff0f4fb2dc92d254d49275cc55976</x:v>
      </x:c>
      <x:c r="Z1603" s="2" t="n">
        <x:f>SUBTOTAL(103,A1603)</x:f>
        <x:v>1</x:v>
      </x:c>
      <x:c r="AA1603" s="2" t="str">
        <x:f>IF(K1603&lt;&gt;"미종결 표시","대상 아님",IF(N1603="","신청일 확인",IF(NOT(ISNUMBER('종합 현황'!$H$5)),"관찰기준 확인",IF('종합 현황'!$H$5&lt;1,"관찰기준 확인",IF(N1603&gt;'종합 현황'!$H$5,"내부 관찰 대상","내부 관찰일 이하")))))</x:f>
        <x:v>대상 아님</x:v>
      </x:c>
      <x:c r="AB1603" s="2" t="str">
        <x:v>2021-11-04 18:04:35 - 신규신청 - 신청 
2021-11-04 18:04:35 - 관장기관 지정 - 환경부
2021-11-05 10:40:19 - 관장기관 지정 - 산업통상자원부
2021-12-22 17:38:20 - 신규신청 - 문서재제출요청 
2022-01-04 15:58:34 - 재제출신청 - 신청 
2022-02-14 14:18:13 - 재제출신청 - 문서재제출요청 
2022-02-16 09:27:54 - 재제출신청 - 신청 
2022-03-21 16:53:13 - 재제출신청 - 문서재제출요청 
2022-03-21 17:54:24 - 재제출신청 - 신청 
2022-03-30 14:17:29 - 재제출신청 - 문서재제출요청 
2022-03-30 15:03:29 - 재제출신청 - 신청 
2022-03-30 15:35:31 - 재제출신청 - 문서재제출요청 
2022-03-30 15:57:48 - 재제출신청 - 신청 
2022-05-20 13:55:17 - 재제출신청 - 문서재제출요청 
2022-05-24 15:29:06 - 재제출신청 - 신청 
2022-07-05 17:36:47 - 재제출신청 - 평가승인 
2022-07-05 17:37:17 - 재제출신청 - 심의승인 
2022-07-06 08:59:01 - 재제출신청 - 착수신고 
</x:v>
      </x:c>
    </x:row>
    <x:row r="1604" ht="42" customHeight="1">
      <x:c r="A1604" s="2" t="str">
        <x:v>8deb243bf3f644788966e894</x:v>
      </x:c>
      <x:c r="B1604" s="2" t="str">
        <x:v>사업 평가</x:v>
      </x:c>
      <x:c r="C1604" s="2" t="str">
        <x:v>국외</x:v>
      </x:c>
      <x:c r="D1604" s="7" t="str">
        <x:v>방글라데시 파시만찰 지역 가스배관 누설 방지를 통한 온실가스 감축사업</x:v>
      </x:c>
      <x:c r="E1604" s="2" t="str">
        <x:v>226</x:v>
      </x:c>
      <x:c r="F1604" s="2" t="str">
        <x:v>2021-11</x:v>
      </x:c>
      <x:c r="G1604" s="2" t="str">
        <x:v>2021</x:v>
      </x:c>
      <x:c r="H1604" s="2" t="str">
        <x:v>11</x:v>
      </x:c>
      <x:c r="I1604" s="2" t="str">
        <x:v>승인</x:v>
      </x:c>
      <x:c r="J1604" s="2" t="str">
        <x:v>심의승인</x:v>
      </x:c>
      <x:c r="K1604" s="2" t="str">
        <x:f>IF(OR(J1604="심의승인",J1604="반려",J1604="반려완료",J1604="심의완료"),"종결 표시",IF(OR(J1604="기후부협의",J1604="문서재제출요청",J1604="보류",J1604="보완요청",J1604="보완완료",J1604="평가중",J1604="반려요청",J1604="평가필요",LEFT(J1604,5)="보완요청("),"미종결 표시","상태 확인 필요"))</x:f>
        <x:v>종결 표시</x:v>
      </x:c>
      <x:c r="L1604" s="2" t="str">
        <x:v>에코시안_기샛별</x:v>
      </x:c>
      <x:c r="M1604" s="2"/>
      <x:c r="N1604" s="8"/>
      <x:c r="O1604" s="2"/>
      <x:c r="P1604" s="2" t="str">
        <x:v>라 유형</x:v>
      </x:c>
      <x:c r="Q1604" s="2" t="str">
        <x:v>산업전환_외부사업관리Tool_260707_이너젠 수정_LJY_261013.xlsx</x:v>
      </x:c>
      <x:c r="R1604" s="2" t="str">
        <x:v>국외평가</x:v>
      </x:c>
      <x:c r="S1604" s="8" t="n">
        <x:v>228</x:v>
      </x:c>
      <x:c r="T1604" s="2" t="str">
        <x:v>(12/1)</x:v>
      </x:c>
      <x:c r="U1604" s="2" t="str">
        <x:v>2021 지정(2): (12/1) / 2022 지정: (1/18),(3/16)</x:v>
      </x:c>
      <x:c r="V1604" s="2" t="str">
        <x:v>2022-07-06</x:v>
      </x:c>
      <x:c r="W1604" s="2" t="str"/>
      <x:c r="X1604" s="2" t="str">
        <x:v>종결 근거 보관</x:v>
      </x:c>
      <x:c r="Y1604" s="2" t="str">
        <x:v>ad210cd9ec132cfd447541c8984dc53d30aff0f4fb2dc92d254d49275cc55976</x:v>
      </x:c>
      <x:c r="Z1604" s="2" t="n">
        <x:f>SUBTOTAL(103,A1604)</x:f>
        <x:v>1</x:v>
      </x:c>
      <x:c r="AA1604" s="2" t="str">
        <x:f>IF(K1604&lt;&gt;"미종결 표시","대상 아님",IF(N1604="","신청일 확인",IF(NOT(ISNUMBER('종합 현황'!$H$5)),"관찰기준 확인",IF('종합 현황'!$H$5&lt;1,"관찰기준 확인",IF(N1604&gt;'종합 현황'!$H$5,"내부 관찰 대상","내부 관찰일 이하")))))</x:f>
        <x:v>대상 아님</x:v>
      </x:c>
      <x:c r="AB1604" s="2" t="str">
        <x:v>2021-11-04 18:05:02 - 신규신청 - 신청 
2021-11-04 18:05:02 - 관장기관 지정 - 환경부
2021-11-05 10:40:29 - 관장기관 지정 - 산업통상자원부
2021-12-22 17:40:00 - 신규신청 - 문서재제출요청 
2022-01-04 15:54:10 - 재제출신청 - 신청 
2022-02-14 14:17:28 - 재제출신청 - 문서재제출요청 
2022-02-16 09:27:22 - 재제출신청 - 신청 
2022-03-21 16:51:49 - 재제출신청 - 문서재제출요청 
2022-03-21 17:54:37 - 재제출신청 - 신청 
2022-03-30 14:17:08 - 재제출신청 - 문서재제출요청 
2022-03-30 15:03:44 - 재제출신청 - 신청 
2022-03-30 15:35:09 - 재제출신청 - 문서재제출요청 
2022-03-30 15:50:26 - 재제출신청 - 신청 
2022-05-20 13:55:35 - 재제출신청 - 문서재제출요청 
2022-05-24 15:29:39 - 재제출신청 - 신청 
2022-07-05 17:24:13 - 재제출신청 - 평가승인 
2022-07-05 17:25:01 - 재제출신청 - 심의승인 
2022-07-06 08:59:16 - 재제출신청 - 착수신고 
</x:v>
      </x:c>
    </x:row>
    <x:row r="1605" ht="42" customHeight="1">
      <x:c r="A1605" s="2" t="str">
        <x:v>06c558e4a780ba9be347de4b</x:v>
      </x:c>
      <x:c r="B1605" s="2" t="str">
        <x:v>사업 평가</x:v>
      </x:c>
      <x:c r="C1605" s="2" t="str">
        <x:v>국외</x:v>
      </x:c>
      <x:c r="D1605" s="7" t="str">
        <x:v>잠비아의 연료사용이 효율적인 스토브 - Korea Carbon Management Ltd. CPA No.01)</x:v>
      </x:c>
      <x:c r="E1605" s="2" t="str">
        <x:v>227</x:v>
      </x:c>
      <x:c r="F1605" s="2" t="str">
        <x:v>2021-11</x:v>
      </x:c>
      <x:c r="G1605" s="2" t="str">
        <x:v>2021</x:v>
      </x:c>
      <x:c r="H1605" s="2" t="str">
        <x:v>11</x:v>
      </x:c>
      <x:c r="I1605" s="2" t="str">
        <x:v>승인</x:v>
      </x:c>
      <x:c r="J1605" s="2" t="str">
        <x:v>심의승인</x:v>
      </x:c>
      <x:c r="K1605" s="2" t="str">
        <x:f>IF(OR(J1605="심의승인",J1605="반려",J1605="반려완료",J1605="심의완료"),"종결 표시",IF(OR(J1605="기후부협의",J1605="문서재제출요청",J1605="보류",J1605="보완요청",J1605="보완완료",J1605="평가중",J1605="반려요청",J1605="평가필요",LEFT(J1605,5)="보완요청("),"미종결 표시","상태 확인 필요"))</x:f>
        <x:v>종결 표시</x:v>
      </x:c>
      <x:c r="L1605" s="2" t="str">
        <x:v>에코시안_조혜민</x:v>
      </x:c>
      <x:c r="M1605" s="2"/>
      <x:c r="N1605" s="8"/>
      <x:c r="O1605" s="2"/>
      <x:c r="P1605" s="2"/>
      <x:c r="Q1605" s="2" t="str">
        <x:v>산업전환_외부사업관리Tool_260707_이너젠 수정_LJY_261013.xlsx</x:v>
      </x:c>
      <x:c r="R1605" s="2" t="str">
        <x:v>국외평가</x:v>
      </x:c>
      <x:c r="S1605" s="8" t="n">
        <x:v>229</x:v>
      </x:c>
      <x:c r="T1605" s="2" t="str">
        <x:v>(12/1)</x:v>
      </x:c>
      <x:c r="U1605" s="2" t="str">
        <x:v>2021 지정(2): (12/1) / 2022 지정: (1/18)</x:v>
      </x:c>
      <x:c r="V1605" s="2" t="str">
        <x:v>2022-07-05</x:v>
      </x:c>
      <x:c r="W1605" s="2" t="str"/>
      <x:c r="X1605" s="2" t="str">
        <x:v>종결 근거 보관</x:v>
      </x:c>
      <x:c r="Y1605" s="2" t="str">
        <x:v>ad210cd9ec132cfd447541c8984dc53d30aff0f4fb2dc92d254d49275cc55976</x:v>
      </x:c>
      <x:c r="Z1605" s="2" t="n">
        <x:f>SUBTOTAL(103,A1605)</x:f>
        <x:v>1</x:v>
      </x:c>
      <x:c r="AA1605" s="2" t="str">
        <x:f>IF(K1605&lt;&gt;"미종결 표시","대상 아님",IF(N1605="","신청일 확인",IF(NOT(ISNUMBER('종합 현황'!$H$5)),"관찰기준 확인",IF('종합 현황'!$H$5&lt;1,"관찰기준 확인",IF(N1605&gt;'종합 현황'!$H$5,"내부 관찰 대상","내부 관찰일 이하")))))</x:f>
        <x:v>대상 아님</x:v>
      </x:c>
      <x:c r="AB1605" s="2" t="str">
        <x:v>2021-11-29 09:41:14 - 신규신청 - 신청 
2021-11-29 09:41:14 - 관장기관 지정 - 환경부
2021-11-29 19:50:52 - 관장기관 지정 - 산업통상자원부
2022-01-07 17:05:42 - 신규신청 - 문서재제출요청 
2022-01-10 16:17:21 - 재제출신청 - 신청 
2022-02-22 09:50:23 - 재제출신청 - 문서재제출요청 
2022-02-23 17:15:59 - 재제출신청 - 신청 
2022-05-30 15:36:51 - 재제출신청 - 문서재제출요청 
2022-05-30 16:20:03 - 재제출신청 - 신청 
2022-07-05 17:26:12 - 재제출신청 - 평가승인 
2022-07-05 17:27:06 - 재제출신청 - 심의승인 
</x:v>
      </x:c>
    </x:row>
    <x:row r="1606" ht="42" customHeight="1">
      <x:c r="A1606" s="2" t="str">
        <x:v>3896d0b6fd24bc26ebb1e6f1</x:v>
      </x:c>
      <x:c r="B1606" s="2" t="str">
        <x:v>사업 평가</x:v>
      </x:c>
      <x:c r="C1606" s="2" t="str">
        <x:v>국외</x:v>
      </x:c>
      <x:c r="D1606" s="7" t="str">
        <x:v>인도 LED 보급 CPA02 사업</x:v>
      </x:c>
      <x:c r="E1606" s="2" t="str">
        <x:v>228</x:v>
      </x:c>
      <x:c r="F1606" s="2" t="str">
        <x:v>2021-12</x:v>
      </x:c>
      <x:c r="G1606" s="2" t="str">
        <x:v>2021</x:v>
      </x:c>
      <x:c r="H1606" s="2" t="str">
        <x:v>12</x:v>
      </x:c>
      <x:c r="I1606" s="2" t="str">
        <x:v>승인</x:v>
      </x:c>
      <x:c r="J1606" s="2" t="str">
        <x:v>심의승인</x:v>
      </x:c>
      <x:c r="K1606" s="2" t="str">
        <x:f>IF(OR(J1606="심의승인",J1606="반려",J1606="반려완료",J1606="심의완료"),"종결 표시",IF(OR(J1606="기후부협의",J1606="문서재제출요청",J1606="보류",J1606="보완요청",J1606="보완완료",J1606="평가중",J1606="반려요청",J1606="평가필요",LEFT(J1606,5)="보완요청("),"미종결 표시","상태 확인 필요"))</x:f>
        <x:v>종결 표시</x:v>
      </x:c>
      <x:c r="L1606" s="2" t="str">
        <x:v>에코시안_조혜민 &gt; KRIC</x:v>
      </x:c>
      <x:c r="M1606" s="2"/>
      <x:c r="N1606" s="8"/>
      <x:c r="O1606" s="2"/>
      <x:c r="P1606" s="2"/>
      <x:c r="Q1606" s="2" t="str">
        <x:v>산업전환_외부사업관리Tool_260707_이너젠 수정_LJY_261013.xlsx</x:v>
      </x:c>
      <x:c r="R1606" s="2" t="str">
        <x:v>국외평가</x:v>
      </x:c>
      <x:c r="S1606" s="8" t="n">
        <x:v>230</x:v>
      </x:c>
      <x:c r="T1606" s="2" t="str">
        <x:v>(12/10)</x:v>
      </x:c>
      <x:c r="U1606" s="2" t="str">
        <x:v>2021 지정(2): (12/10) / 2022 지정: (4/19)</x:v>
      </x:c>
      <x:c r="V1606" s="2" t="str">
        <x:v>2022-10-11</x:v>
      </x:c>
      <x:c r="W1606" s="2" t="str"/>
      <x:c r="X1606" s="2" t="str">
        <x:v>종결 근거 보관</x:v>
      </x:c>
      <x:c r="Y1606" s="2" t="str">
        <x:v>ad210cd9ec132cfd447541c8984dc53d30aff0f4fb2dc92d254d49275cc55976</x:v>
      </x:c>
      <x:c r="Z1606" s="2" t="n">
        <x:f>SUBTOTAL(103,A1606)</x:f>
        <x:v>1</x:v>
      </x:c>
      <x:c r="AA1606" s="2" t="str">
        <x:f>IF(K1606&lt;&gt;"미종결 표시","대상 아님",IF(N1606="","신청일 확인",IF(NOT(ISNUMBER('종합 현황'!$H$5)),"관찰기준 확인",IF('종합 현황'!$H$5&lt;1,"관찰기준 확인",IF(N1606&gt;'종합 현황'!$H$5,"내부 관찰 대상","내부 관찰일 이하")))))</x:f>
        <x:v>대상 아님</x:v>
      </x:c>
      <x:c r="AB1606" s="2" t="str">
        <x:v>2021-12-02 15:55:57 - 신규신청 - 신청 
2021-12-02 15:55:57 - 관장기관 지정 - 환경부
2021-12-03 09:13:42 - 관장기관 지정 - 산업통상자원부
2022-01-03 13:19:03 - 신규신청 - 보완요청 
2022-03-31 15:33:52 - 보완신청 - 신청 
2022-06-15 16:55:55 - 보완신청 - 문서재제출요청 
2022-06-16 09:10:46 - 재제출신청 - 신청 
2022-06-23 13:10:52 - 재제출신청 - 문서재제출요청 
2022-06-23 15:36:36 - 재제출신청 - 신청 
2022-06-24 16:38:17 - 재제출신청 - 문서재제출요청 
2022-06-24 17:13:00 - 재제출신청 - 신청 
2022-10-07 17:42:25 - 재제출신청 - 평가승인 
2022-10-11 14:22:49 - 재제출신청 - 심의승인 
2022-10-11 19:03:06 - 재제출신청 - 착수신고 
</x:v>
      </x:c>
    </x:row>
    <x:row r="1607" ht="42" customHeight="1">
      <x:c r="A1607" s="2" t="str">
        <x:v>d8d38ad5b5232142075078d0</x:v>
      </x:c>
      <x:c r="B1607" s="2" t="str">
        <x:v>사업 평가</x:v>
      </x:c>
      <x:c r="C1607" s="2" t="str">
        <x:v>국외</x:v>
      </x:c>
      <x:c r="D1607" s="7" t="str">
        <x:v>잠비아의 연료사용이 효율적인 스토브 (Korea Carbon Management Ltd. CPA No.02)</x:v>
      </x:c>
      <x:c r="E1607" s="2" t="str">
        <x:v>229</x:v>
      </x:c>
      <x:c r="F1607" s="2" t="str">
        <x:v>2022-02</x:v>
      </x:c>
      <x:c r="G1607" s="2" t="str">
        <x:v>2022</x:v>
      </x:c>
      <x:c r="H1607" s="2" t="str">
        <x:v>02</x:v>
      </x:c>
      <x:c r="I1607" s="2" t="str">
        <x:v>승인</x:v>
      </x:c>
      <x:c r="J1607" s="2" t="str">
        <x:v>심의승인</x:v>
      </x:c>
      <x:c r="K1607" s="2" t="str">
        <x:f>IF(OR(J1607="심의승인",J1607="반려",J1607="반려완료",J1607="심의완료"),"종결 표시",IF(OR(J1607="기후부협의",J1607="문서재제출요청",J1607="보류",J1607="보완요청",J1607="보완완료",J1607="평가중",J1607="반려요청",J1607="평가필요",LEFT(J1607,5)="보완요청("),"미종결 표시","상태 확인 필요"))</x:f>
        <x:v>종결 표시</x:v>
      </x:c>
      <x:c r="L1607" s="2" t="str">
        <x:v>KECM</x:v>
      </x:c>
      <x:c r="M1607" s="2"/>
      <x:c r="N1607" s="8"/>
      <x:c r="O1607" s="2"/>
      <x:c r="P1607" s="2"/>
      <x:c r="Q1607" s="2" t="str">
        <x:v>산업전환_외부사업관리Tool_260707_이너젠 수정_LJY_261013.xlsx</x:v>
      </x:c>
      <x:c r="R1607" s="2" t="str">
        <x:v>국외평가</x:v>
      </x:c>
      <x:c r="S1607" s="8" t="n">
        <x:v>231</x:v>
      </x:c>
      <x:c r="T1607" s="2" t="str">
        <x:v>(3/16)</x:v>
      </x:c>
      <x:c r="U1607" s="2" t="str">
        <x:v>2022 지정: (3/16)</x:v>
      </x:c>
      <x:c r="V1607" s="2" t="str">
        <x:v>2022-07-05</x:v>
      </x:c>
      <x:c r="W1607" s="2" t="str"/>
      <x:c r="X1607" s="2" t="str">
        <x:v>종결 근거 보관</x:v>
      </x:c>
      <x:c r="Y1607" s="2" t="str">
        <x:v>ad210cd9ec132cfd447541c8984dc53d30aff0f4fb2dc92d254d49275cc55976</x:v>
      </x:c>
      <x:c r="Z1607" s="2" t="n">
        <x:f>SUBTOTAL(103,A1607)</x:f>
        <x:v>1</x:v>
      </x:c>
      <x:c r="AA1607" s="2" t="str">
        <x:f>IF(K1607&lt;&gt;"미종결 표시","대상 아님",IF(N1607="","신청일 확인",IF(NOT(ISNUMBER('종합 현황'!$H$5)),"관찰기준 확인",IF('종합 현황'!$H$5&lt;1,"관찰기준 확인",IF(N1607&gt;'종합 현황'!$H$5,"내부 관찰 대상","내부 관찰일 이하")))))</x:f>
        <x:v>대상 아님</x:v>
      </x:c>
      <x:c r="AB1607" s="2" t="str">
        <x:v>2022-02-11 15:55:41 - 신규신청 - 신청 
2022-02-11 15:55:41 - 관장기관 지정 - 환경부
2022-02-15 11:04:49 - 관장기관 지정 - 산업통상자원부
2022-03-24 15:21:57 - 신규신청 - 문서재제출요청 
2022-03-29 15:40:22 - 재제출신청 - 신청 
2022-03-30 10:12:43 - 재제출신청 - 문서재제출요청 
2022-03-30 10:15:55 - 재제출신청 - 신청 
2022-04-06 16:33:52 - 재제출신청 - 문서재제출요청 
2022-04-06 19:32:22 - 재제출신청 - 신청 
2022-05-20 13:58:57 - 재제출신청 - 문서재제출요청 
2022-05-23 11:55:50 - 재제출신청 - 신청 
2022-05-30 14:26:12 - 재제출신청 - 문서재제출요청 
2022-05-30 14:53:03 - 재제출신청 - 신청 
2022-05-30 15:49:31 - 재제출신청 - 문서재제출요청 
2022-05-30 15:56:30 - 재제출신청 - 신청 
2022-07-05 17:27:57 - 재제출신청 - 평가승인 
2022-07-05 17:28:32 - 재제출신청 - 심의승인 
</x:v>
      </x:c>
    </x:row>
    <x:row r="1608" ht="42" customHeight="1">
      <x:c r="A1608" s="2" t="str">
        <x:v>6a9214f61aae82fd4fc52ff7</x:v>
      </x:c>
      <x:c r="B1608" s="2" t="str">
        <x:v>사업 평가</x:v>
      </x:c>
      <x:c r="C1608" s="2" t="str">
        <x:v>국외</x:v>
      </x:c>
      <x:c r="D1608" s="7" t="str">
        <x:v>Santa Rosa 태양광 CDM 프로젝트</x:v>
      </x:c>
      <x:c r="E1608" s="2" t="str">
        <x:v>230</x:v>
      </x:c>
      <x:c r="F1608" s="2" t="str">
        <x:v>2022-03</x:v>
      </x:c>
      <x:c r="G1608" s="2" t="str">
        <x:v>2022</x:v>
      </x:c>
      <x:c r="H1608" s="2" t="str">
        <x:v>03</x:v>
      </x:c>
      <x:c r="I1608" s="2" t="str">
        <x:v>승인</x:v>
      </x:c>
      <x:c r="J1608" s="2" t="str">
        <x:v>심의승인</x:v>
      </x:c>
      <x:c r="K1608" s="2" t="str">
        <x:f>IF(OR(J1608="심의승인",J1608="반려",J1608="반려완료",J1608="심의완료"),"종결 표시",IF(OR(J1608="기후부협의",J1608="문서재제출요청",J1608="보류",J1608="보완요청",J1608="보완완료",J1608="평가중",J1608="반려요청",J1608="평가필요",LEFT(J1608,5)="보완요청("),"미종결 표시","상태 확인 필요"))</x:f>
        <x:v>종결 표시</x:v>
      </x:c>
      <x:c r="L1608" s="2" t="str">
        <x:v>KRIC</x:v>
      </x:c>
      <x:c r="M1608" s="2"/>
      <x:c r="N1608" s="8"/>
      <x:c r="O1608" s="2"/>
      <x:c r="P1608" s="2"/>
      <x:c r="Q1608" s="2" t="str">
        <x:v>산업전환_외부사업관리Tool_260707_이너젠 수정_LJY_261013.xlsx</x:v>
      </x:c>
      <x:c r="R1608" s="2" t="str">
        <x:v>국외평가</x:v>
      </x:c>
      <x:c r="S1608" s="8" t="n">
        <x:v>232</x:v>
      </x:c>
      <x:c r="T1608" s="2" t="str">
        <x:v>(4/19)</x:v>
      </x:c>
      <x:c r="U1608" s="2" t="str">
        <x:v>2022 지정: (4/19)</x:v>
      </x:c>
      <x:c r="V1608" s="2" t="str">
        <x:v>2022-10-12</x:v>
      </x:c>
      <x:c r="W1608" s="2" t="str"/>
      <x:c r="X1608" s="2" t="str">
        <x:v>종결 근거 보관</x:v>
      </x:c>
      <x:c r="Y1608" s="2" t="str">
        <x:v>ad210cd9ec132cfd447541c8984dc53d30aff0f4fb2dc92d254d49275cc55976</x:v>
      </x:c>
      <x:c r="Z1608" s="2" t="n">
        <x:f>SUBTOTAL(103,A1608)</x:f>
        <x:v>1</x:v>
      </x:c>
      <x:c r="AA1608" s="2" t="str">
        <x:f>IF(K1608&lt;&gt;"미종결 표시","대상 아님",IF(N1608="","신청일 확인",IF(NOT(ISNUMBER('종합 현황'!$H$5)),"관찰기준 확인",IF('종합 현황'!$H$5&lt;1,"관찰기준 확인",IF(N1608&gt;'종합 현황'!$H$5,"내부 관찰 대상","내부 관찰일 이하")))))</x:f>
        <x:v>대상 아님</x:v>
      </x:c>
      <x:c r="AB1608" s="2" t="str">
        <x:v>2022-03-22 13:31:58 - 신규신청 - 신청 
2022-03-22 13:31:58 - 관장기관 지정 - 환경부
2022-03-23 17:00:35 - 관장기관 지정 - 산업통상자원부
2022-05-30 15:43:35 - 신규신청 - 문서재제출요청 
2022-06-22 18:00:01 - 재제출신청 - 신청 
2022-06-24 15:05:41 - 재제출신청 - 문서재제출요청 
2022-06-27 13:38:51 - 재제출신청 - 신청 
2022-06-28 10:00:09 - 재제출신청 - 문서재제출요청 
2022-06-28 13:28:18 - 재제출신청 - 신청 
2022-06-30 19:21:55 - 재제출신청 - 문서재제출요청 
2022-07-04 10:23:40 - 재제출신청 - 접수 
2022-07-11 15:21:59 - 재제출신청 - 신청 
2022-07-11 16:08:16 - 재제출신청 - 문서재제출요청 
2022-07-11 17:36:58 - 재제출신청 - 접수 
2022-07-11 17:49:11 - 재제출신청 - 신청 
2022-08-23 09:25:26 - 재제출신청 - 문서재제출요청 
2022-08-24 17:22:57 - 재제출신청 - 접수 
2022-08-24 17:26:20 - 재제출신청 - 신청 
2022-08-30 10:13:05 - 재제출신청 - 문서재제출요청 
2022-08-30 17:00:45 - 재제출신청 - 접수 
2022-08-30 17:04:18 - 재제출신청 - 신청 
2022-10-07 16:49:29 - 재제출신청 - 평가승인 
2022-10-11 14:11:44 - 재제출신청 - 심의승인 
2022-10-12 14:26:40 - 재제출신청 - 착수신고 
</x:v>
      </x:c>
    </x:row>
    <x:row r="1609" ht="42" customHeight="1">
      <x:c r="A1609" s="2" t="str">
        <x:v>b34d886955a2c8f94ec3cd35</x:v>
      </x:c>
      <x:c r="B1609" s="2" t="str">
        <x:v>사업 평가</x:v>
      </x:c>
      <x:c r="C1609" s="2" t="str">
        <x:v>국외</x:v>
      </x:c>
      <x:c r="D1609" s="7" t="str">
        <x:v>Rinconada 태양광 CDM 프로젝트</x:v>
      </x:c>
      <x:c r="E1609" s="2" t="str">
        <x:v>231</x:v>
      </x:c>
      <x:c r="F1609" s="2" t="str">
        <x:v>2022-03</x:v>
      </x:c>
      <x:c r="G1609" s="2" t="str">
        <x:v>2022</x:v>
      </x:c>
      <x:c r="H1609" s="2" t="str">
        <x:v>03</x:v>
      </x:c>
      <x:c r="I1609" s="2" t="str">
        <x:v>승인</x:v>
      </x:c>
      <x:c r="J1609" s="2" t="str">
        <x:v>심의승인</x:v>
      </x:c>
      <x:c r="K1609" s="2" t="str">
        <x:f>IF(OR(J1609="심의승인",J1609="반려",J1609="반려완료",J1609="심의완료"),"종결 표시",IF(OR(J1609="기후부협의",J1609="문서재제출요청",J1609="보류",J1609="보완요청",J1609="보완완료",J1609="평가중",J1609="반려요청",J1609="평가필요",LEFT(J1609,5)="보완요청("),"미종결 표시","상태 확인 필요"))</x:f>
        <x:v>종결 표시</x:v>
      </x:c>
      <x:c r="L1609" s="2" t="str">
        <x:v>KRIC</x:v>
      </x:c>
      <x:c r="M1609" s="2"/>
      <x:c r="N1609" s="8"/>
      <x:c r="O1609" s="2"/>
      <x:c r="P1609" s="2"/>
      <x:c r="Q1609" s="2" t="str">
        <x:v>산업전환_외부사업관리Tool_260707_이너젠 수정_LJY_261013.xlsx</x:v>
      </x:c>
      <x:c r="R1609" s="2" t="str">
        <x:v>국외평가</x:v>
      </x:c>
      <x:c r="S1609" s="8" t="n">
        <x:v>233</x:v>
      </x:c>
      <x:c r="T1609" s="2" t="str">
        <x:v>(4/19)</x:v>
      </x:c>
      <x:c r="U1609" s="2" t="str">
        <x:v>2022 지정: (4/19)</x:v>
      </x:c>
      <x:c r="V1609" s="2" t="str">
        <x:v>2022-10-12</x:v>
      </x:c>
      <x:c r="W1609" s="2" t="str"/>
      <x:c r="X1609" s="2" t="str">
        <x:v>종결 근거 보관</x:v>
      </x:c>
      <x:c r="Y1609" s="2" t="str">
        <x:v>ad210cd9ec132cfd447541c8984dc53d30aff0f4fb2dc92d254d49275cc55976</x:v>
      </x:c>
      <x:c r="Z1609" s="2" t="n">
        <x:f>SUBTOTAL(103,A1609)</x:f>
        <x:v>1</x:v>
      </x:c>
      <x:c r="AA1609" s="2" t="str">
        <x:f>IF(K1609&lt;&gt;"미종결 표시","대상 아님",IF(N1609="","신청일 확인",IF(NOT(ISNUMBER('종합 현황'!$H$5)),"관찰기준 확인",IF('종합 현황'!$H$5&lt;1,"관찰기준 확인",IF(N1609&gt;'종합 현황'!$H$5,"내부 관찰 대상","내부 관찰일 이하")))))</x:f>
        <x:v>대상 아님</x:v>
      </x:c>
      <x:c r="AB1609" s="2" t="str">
        <x:v>2022-03-22 13:46:09 - 신규신청 - 신청 
2022-03-22 13:46:09 - 관장기관 지정 - 환경부
2022-03-23 17:00:30 - 관장기관 지정 - 산업통상자원부
2022-05-30 15:46:35 - 신규신청 - 문서재제출요청 
2022-06-22 18:09:16 - 재제출신청 - 신청 
2022-06-24 15:05:01 - 재제출신청 - 문서재제출요청 
2022-06-27 13:23:13 - 재제출신청 - 신청 
2022-06-28 09:59:51 - 재제출신청 - 문서재제출요청 
2022-06-28 13:30:35 - 재제출신청 - 신청 
2022-06-30 17:09:31 - 재제출신청 - 문서재제출요청 
2022-07-04 10:28:37 - 재제출신청 - 접수 
2022-07-11 15:21:29 - 재제출신청 - 신청 
2022-07-11 16:09:10 - 재제출신청 - 문서재제출요청 
2022-07-11 17:33:52 - 재제출신청 - 접수 
2022-07-11 17:50:16 - 재제출신청 - 신청 
2022-08-23 09:25:06 - 재제출신청 - 문서재제출요청 
2022-08-24 17:24:16 - 재제출신청 - 접수 
2022-08-24 17:25:46 - 재제출신청 - 신청 
2022-08-30 10:13:49 - 재제출신청 - 문서재제출요청 
2022-08-30 17:01:22 - 재제출신청 - 접수 
2022-08-30 17:03:47 - 재제출신청 - 신청 
2022-10-07 16:51:00 - 재제출신청 - 평가승인 
2022-10-11 14:10:41 - 재제출신청 - 심의승인 
2022-10-12 14:27:00 - 재제출신청 - 착수신고 
</x:v>
      </x:c>
    </x:row>
    <x:row r="1610" ht="42" customHeight="1">
      <x:c r="A1610" s="2" t="str">
        <x:v>9df05eacc518f4402d722af9</x:v>
      </x:c>
      <x:c r="B1610" s="2" t="str">
        <x:v>사업 평가</x:v>
      </x:c>
      <x:c r="C1610" s="2" t="str">
        <x:v>국외</x:v>
      </x:c>
      <x:c r="D1610" s="7" t="str">
        <x:v>Quinta 태양광 CDM 프로젝트</x:v>
      </x:c>
      <x:c r="E1610" s="2" t="str">
        <x:v>232</x:v>
      </x:c>
      <x:c r="F1610" s="2" t="str">
        <x:v>2022-05</x:v>
      </x:c>
      <x:c r="G1610" s="2" t="str">
        <x:v>2022</x:v>
      </x:c>
      <x:c r="H1610" s="2" t="str">
        <x:v>05</x:v>
      </x:c>
      <x:c r="I1610" s="2" t="str">
        <x:v>승인</x:v>
      </x:c>
      <x:c r="J1610" s="2" t="str">
        <x:v>심의승인</x:v>
      </x:c>
      <x:c r="K1610" s="2" t="str">
        <x:f>IF(OR(J1610="심의승인",J1610="반려",J1610="반려완료",J1610="심의완료"),"종결 표시",IF(OR(J1610="기후부협의",J1610="문서재제출요청",J1610="보류",J1610="보완요청",J1610="보완완료",J1610="평가중",J1610="반려요청",J1610="평가필요",LEFT(J1610,5)="보완요청("),"미종결 표시","상태 확인 필요"))</x:f>
        <x:v>종결 표시</x:v>
      </x:c>
      <x:c r="L1610" s="2" t="str">
        <x:v>KRIC</x:v>
      </x:c>
      <x:c r="M1610" s="2"/>
      <x:c r="N1610" s="8"/>
      <x:c r="O1610" s="2"/>
      <x:c r="P1610" s="2"/>
      <x:c r="Q1610" s="2" t="str">
        <x:v>산업전환_외부사업관리Tool_260707_이너젠 수정_LJY_261013.xlsx</x:v>
      </x:c>
      <x:c r="R1610" s="2" t="str">
        <x:v>국외평가</x:v>
      </x:c>
      <x:c r="S1610" s="8" t="n">
        <x:v>234</x:v>
      </x:c>
      <x:c r="T1610" s="2" t="str">
        <x:v>(5/18)</x:v>
      </x:c>
      <x:c r="U1610" s="2" t="str">
        <x:v>2022 지정: (5/18)</x:v>
      </x:c>
      <x:c r="V1610" s="2" t="str">
        <x:v>2022-10-12</x:v>
      </x:c>
      <x:c r="W1610" s="2" t="str"/>
      <x:c r="X1610" s="2" t="str">
        <x:v>종결 근거 보관</x:v>
      </x:c>
      <x:c r="Y1610" s="2" t="str">
        <x:v>ad210cd9ec132cfd447541c8984dc53d30aff0f4fb2dc92d254d49275cc55976</x:v>
      </x:c>
      <x:c r="Z1610" s="2" t="n">
        <x:f>SUBTOTAL(103,A1610)</x:f>
        <x:v>1</x:v>
      </x:c>
      <x:c r="AA1610" s="2" t="str">
        <x:f>IF(K1610&lt;&gt;"미종결 표시","대상 아님",IF(N1610="","신청일 확인",IF(NOT(ISNUMBER('종합 현황'!$H$5)),"관찰기준 확인",IF('종합 현황'!$H$5&lt;1,"관찰기준 확인",IF(N1610&gt;'종합 현황'!$H$5,"내부 관찰 대상","내부 관찰일 이하")))))</x:f>
        <x:v>대상 아님</x:v>
      </x:c>
      <x:c r="AB1610" s="2" t="str">
        <x:v>2022-05-09 16:42:50 - 신규신청 - 신청 
2022-05-09 16:42:50 - 관장기관 지정 - 환경부
2022-05-11 14:22:56 - 관장기관 지정 - 산업통상자원부
2022-06-13 17:28:25 - 신규신청 - 문서재제출요청 
2022-06-22 18:04:51 - 재제출신청 - 신청 
2022-06-24 15:05:22 - 재제출신청 - 문서재제출요청 
2022-06-27 13:34:04 - 재제출신청 - 신청 
2022-06-28 10:00:24 - 재제출신청 - 문서재제출요청 
2022-06-28 13:30:03 - 재제출신청 - 신청 
2022-06-30 19:21:28 - 재제출신청 - 문서재제출요청 
2022-07-04 10:26:36 - 재제출신청 - 접수 
2022-07-11 15:21:46 - 재제출신청 - 신청 
2022-07-11 16:08:43 - 재제출신청 - 문서재제출요청 
2022-07-11 17:35:43 - 재제출신청 - 접수 
2022-07-11 17:50:03 - 재제출신청 - 신청 
2022-08-23 09:24:42 - 재제출신청 - 문서재제출요청 
2022-08-24 17:23:35 - 재제출신청 - 접수 
2022-08-24 17:26:02 - 재제출신청 - 신청 
2022-08-30 10:13:28 - 재제출신청 - 문서재제출요청 
2022-08-30 17:00:59 - 재제출신청 - 접수 
2022-08-30 17:04:00 - 재제출신청 - 신청 
2022-10-07 16:50:16 - 재제출신청 - 평가승인 
2022-10-11 14:09:23 - 재제출신청 - 심의승인 
2022-10-12 14:27:49 - 재제출신청 - 착수신고 
</x:v>
      </x:c>
    </x:row>
    <x:row r="1611" ht="42" customHeight="1">
      <x:c r="A1611" s="2" t="str">
        <x:v>9fa9b11f0f5abcf9119c7994</x:v>
      </x:c>
      <x:c r="B1611" s="2" t="str">
        <x:v>사업 평가</x:v>
      </x:c>
      <x:c r="C1611" s="2" t="str">
        <x:v>국외</x:v>
      </x:c>
      <x:c r="D1611" s="7" t="str">
        <x:v>피지의 개선된 쿡스토브 사업 - CPA 01</x:v>
      </x:c>
      <x:c r="E1611" s="2" t="str">
        <x:v>233</x:v>
      </x:c>
      <x:c r="F1611" s="2" t="str">
        <x:v>2022-05</x:v>
      </x:c>
      <x:c r="G1611" s="2" t="str">
        <x:v>2022</x:v>
      </x:c>
      <x:c r="H1611" s="2" t="str">
        <x:v>05</x:v>
      </x:c>
      <x:c r="I1611" s="2" t="str">
        <x:v>승인</x:v>
      </x:c>
      <x:c r="J1611" s="2" t="str">
        <x:v>심의승인</x:v>
      </x:c>
      <x:c r="K1611" s="2" t="str">
        <x:f>IF(OR(J1611="심의승인",J1611="반려",J1611="반려완료",J1611="심의완료"),"종결 표시",IF(OR(J1611="기후부협의",J1611="문서재제출요청",J1611="보류",J1611="보완요청",J1611="보완완료",J1611="평가중",J1611="반려요청",J1611="평가필요",LEFT(J1611,5)="보완요청("),"미종결 표시","상태 확인 필요"))</x:f>
        <x:v>종결 표시</x:v>
      </x:c>
      <x:c r="L1611" s="2" t="str">
        <x:v>KRIC</x:v>
      </x:c>
      <x:c r="M1611" s="2"/>
      <x:c r="N1611" s="8"/>
      <x:c r="O1611" s="2"/>
      <x:c r="P1611" s="2"/>
      <x:c r="Q1611" s="2" t="str">
        <x:v>산업전환_외부사업관리Tool_260707_이너젠 수정_LJY_261013.xlsx</x:v>
      </x:c>
      <x:c r="R1611" s="2" t="str">
        <x:v>국외평가</x:v>
      </x:c>
      <x:c r="S1611" s="8" t="n">
        <x:v>235</x:v>
      </x:c>
      <x:c r="T1611" s="2" t="str">
        <x:v>(6/10)</x:v>
      </x:c>
      <x:c r="U1611" s="2" t="str">
        <x:v>2022 지정: (6/10)</x:v>
      </x:c>
      <x:c r="V1611" s="2" t="str">
        <x:v>2022-10-11</x:v>
      </x:c>
      <x:c r="W1611" s="2" t="str"/>
      <x:c r="X1611" s="2" t="str">
        <x:v>종결 근거 보관</x:v>
      </x:c>
      <x:c r="Y1611" s="2" t="str">
        <x:v>ad210cd9ec132cfd447541c8984dc53d30aff0f4fb2dc92d254d49275cc55976</x:v>
      </x:c>
      <x:c r="Z1611" s="2" t="n">
        <x:f>SUBTOTAL(103,A1611)</x:f>
        <x:v>1</x:v>
      </x:c>
      <x:c r="AA1611" s="2" t="str">
        <x:f>IF(K1611&lt;&gt;"미종결 표시","대상 아님",IF(N1611="","신청일 확인",IF(NOT(ISNUMBER('종합 현황'!$H$5)),"관찰기준 확인",IF('종합 현황'!$H$5&lt;1,"관찰기준 확인",IF(N1611&gt;'종합 현황'!$H$5,"내부 관찰 대상","내부 관찰일 이하")))))</x:f>
        <x:v>대상 아님</x:v>
      </x:c>
      <x:c r="AB1611" s="2" t="str">
        <x:v>2022-05-20 17:44:06 - 신규신청 - 신청 
2022-05-20 17:44:06 - 관장기관 지정 - 환경부
2022-06-01 00:26:57 - 관장기관 지정 - 산업통상자원부
2022-06-13 17:31:19 - 신규신청 - 문서재제출요청 
2022-06-17 14:59:15 - 재제출신청 - 신청 
2022-06-22 14:20:35 - 재제출신청 - 문서재제출요청 
2022-06-29 17:46:41 - 재제출신청 - 신청 
2022-06-29 17:48:15 - 재제출신청 - 문서재제출요청 
2022-06-29 17:53:22 - 재제출신청 - 신청 
2022-07-04 09:51:38 - 재제출신청 - 문서재제출요청 
2022-07-04 10:10:52 - 재제출신청 - 신청 
2022-08-23 08:56:51 - 재제출신청 - 문서재제출요청 
2022-08-24 12:24:53 - 재제출신청 - 신청 
2022-10-07 17:46:13 - 재제출신청 - 평가승인 
2022-10-11 14:23:47 - 재제출신청 - 심의승인 
</x:v>
      </x:c>
    </x:row>
    <x:row r="1612" ht="42" customHeight="1">
      <x:c r="A1612" s="2" t="str">
        <x:v>249c1d71fa03a5f477e9ac01</x:v>
      </x:c>
      <x:c r="B1612" s="2" t="str">
        <x:v>사업 평가</x:v>
      </x:c>
      <x:c r="C1612" s="2" t="str">
        <x:v>국외</x:v>
      </x:c>
      <x:c r="D1612" s="7" t="str">
        <x:v>피지의 개선된 쿡스토브 사업 - CPA 02</x:v>
      </x:c>
      <x:c r="E1612" s="2" t="str">
        <x:v>234</x:v>
      </x:c>
      <x:c r="F1612" s="2" t="str">
        <x:v>2022-05</x:v>
      </x:c>
      <x:c r="G1612" s="2" t="str">
        <x:v>2022</x:v>
      </x:c>
      <x:c r="H1612" s="2" t="str">
        <x:v>05</x:v>
      </x:c>
      <x:c r="I1612" s="2" t="str">
        <x:v>승인</x:v>
      </x:c>
      <x:c r="J1612" s="2" t="str">
        <x:v>심의승인</x:v>
      </x:c>
      <x:c r="K1612" s="2" t="str">
        <x:f>IF(OR(J1612="심의승인",J1612="반려",J1612="반려완료",J1612="심의완료"),"종결 표시",IF(OR(J1612="기후부협의",J1612="문서재제출요청",J1612="보류",J1612="보완요청",J1612="보완완료",J1612="평가중",J1612="반려요청",J1612="평가필요",LEFT(J1612,5)="보완요청("),"미종결 표시","상태 확인 필요"))</x:f>
        <x:v>종결 표시</x:v>
      </x:c>
      <x:c r="L1612" s="2" t="str">
        <x:v>KRIC</x:v>
      </x:c>
      <x:c r="M1612" s="2"/>
      <x:c r="N1612" s="8"/>
      <x:c r="O1612" s="2"/>
      <x:c r="P1612" s="2"/>
      <x:c r="Q1612" s="2" t="str">
        <x:v>산업전환_외부사업관리Tool_260707_이너젠 수정_LJY_261013.xlsx</x:v>
      </x:c>
      <x:c r="R1612" s="2" t="str">
        <x:v>국외평가</x:v>
      </x:c>
      <x:c r="S1612" s="8" t="n">
        <x:v>236</x:v>
      </x:c>
      <x:c r="T1612" s="2" t="str">
        <x:v>(6/10)</x:v>
      </x:c>
      <x:c r="U1612" s="2" t="str">
        <x:v>2022 지정: (6/10)</x:v>
      </x:c>
      <x:c r="V1612" s="2" t="str">
        <x:v>2022-10-11</x:v>
      </x:c>
      <x:c r="W1612" s="2" t="str"/>
      <x:c r="X1612" s="2" t="str">
        <x:v>종결 근거 보관</x:v>
      </x:c>
      <x:c r="Y1612" s="2" t="str">
        <x:v>ad210cd9ec132cfd447541c8984dc53d30aff0f4fb2dc92d254d49275cc55976</x:v>
      </x:c>
      <x:c r="Z1612" s="2" t="n">
        <x:f>SUBTOTAL(103,A1612)</x:f>
        <x:v>1</x:v>
      </x:c>
      <x:c r="AA1612" s="2" t="str">
        <x:f>IF(K1612&lt;&gt;"미종결 표시","대상 아님",IF(N1612="","신청일 확인",IF(NOT(ISNUMBER('종합 현황'!$H$5)),"관찰기준 확인",IF('종합 현황'!$H$5&lt;1,"관찰기준 확인",IF(N1612&gt;'종합 현황'!$H$5,"내부 관찰 대상","내부 관찰일 이하")))))</x:f>
        <x:v>대상 아님</x:v>
      </x:c>
      <x:c r="AB1612" s="2" t="str">
        <x:v>2022-05-20 17:44:19 - 신규신청 - 신청 
2022-05-20 17:44:19 - 관장기관 지정 - 환경부
2022-06-01 00:27:03 - 관장기관 지정 - 산업통상자원부
2022-06-13 17:31:59 - 신규신청 - 문서재제출요청 
2022-06-17 15:12:50 - 재제출신청 - 신청 
2022-06-22 14:20:18 - 재제출신청 - 문서재제출요청 
2022-06-29 17:57:24 - 재제출신청 - 신청 
2022-07-04 09:51:09 - 재제출신청 - 문서재제출요청 
2022-07-04 10:23:16 - 재제출신청 - 신청 
2022-08-23 08:56:23 - 재제출신청 - 문서재제출요청 
2022-08-24 12:25:01 - 재제출신청 - 신청 
2022-10-07 17:46:46 - 재제출신청 - 평가승인 
2022-10-11 14:24:24 - 재제출신청 - 심의승인 
</x:v>
      </x:c>
    </x:row>
    <x:row r="1613" ht="42" customHeight="1">
      <x:c r="A1613" s="2" t="str">
        <x:v>dd487a5a7f1887a91205e0a4</x:v>
      </x:c>
      <x:c r="B1613" s="2" t="str">
        <x:v>사업 평가</x:v>
      </x:c>
      <x:c r="C1613" s="2" t="str">
        <x:v>국외</x:v>
      </x:c>
      <x:c r="D1613" s="7" t="str">
        <x:v>기후변화센터의 동남아시아 개발도상국(미얀마) 내 고효율 쿡스토브 보급 사업 CPA-001</x:v>
      </x:c>
      <x:c r="E1613" s="2" t="str">
        <x:v>235</x:v>
      </x:c>
      <x:c r="F1613" s="2" t="str">
        <x:v>2022-05</x:v>
      </x:c>
      <x:c r="G1613" s="2" t="str">
        <x:v>2022</x:v>
      </x:c>
      <x:c r="H1613" s="2" t="str">
        <x:v>05</x:v>
      </x:c>
      <x:c r="I1613" s="2" t="str">
        <x:v>승인</x:v>
      </x:c>
      <x:c r="J1613" s="2" t="str">
        <x:v>심의승인</x:v>
      </x:c>
      <x:c r="K1613" s="2" t="str">
        <x:f>IF(OR(J1613="심의승인",J1613="반려",J1613="반려완료",J1613="심의완료"),"종결 표시",IF(OR(J1613="기후부협의",J1613="문서재제출요청",J1613="보류",J1613="보완요청",J1613="보완완료",J1613="평가중",J1613="반려요청",J1613="평가필요",LEFT(J1613,5)="보완요청("),"미종결 표시","상태 확인 필요"))</x:f>
        <x:v>종결 표시</x:v>
      </x:c>
      <x:c r="L1613" s="2" t="str">
        <x:v>KRIC</x:v>
      </x:c>
      <x:c r="M1613" s="2"/>
      <x:c r="N1613" s="8"/>
      <x:c r="O1613" s="2"/>
      <x:c r="P1613" s="2"/>
      <x:c r="Q1613" s="2" t="str">
        <x:v>산업전환_외부사업관리Tool_260707_이너젠 수정_LJY_261013.xlsx</x:v>
      </x:c>
      <x:c r="R1613" s="2" t="str">
        <x:v>국외평가</x:v>
      </x:c>
      <x:c r="S1613" s="8" t="n">
        <x:v>237</x:v>
      </x:c>
      <x:c r="T1613" s="2" t="str">
        <x:v>(6/10)</x:v>
      </x:c>
      <x:c r="U1613" s="2" t="str">
        <x:v>2022 지정: (6/10)</x:v>
      </x:c>
      <x:c r="V1613" s="2" t="str">
        <x:v>2022-10-12</x:v>
      </x:c>
      <x:c r="W1613" s="2" t="str"/>
      <x:c r="X1613" s="2" t="str">
        <x:v>종결 근거 보관</x:v>
      </x:c>
      <x:c r="Y1613" s="2" t="str">
        <x:v>ad210cd9ec132cfd447541c8984dc53d30aff0f4fb2dc92d254d49275cc55976</x:v>
      </x:c>
      <x:c r="Z1613" s="2" t="n">
        <x:f>SUBTOTAL(103,A1613)</x:f>
        <x:v>1</x:v>
      </x:c>
      <x:c r="AA1613" s="2" t="str">
        <x:f>IF(K1613&lt;&gt;"미종결 표시","대상 아님",IF(N1613="","신청일 확인",IF(NOT(ISNUMBER('종합 현황'!$H$5)),"관찰기준 확인",IF('종합 현황'!$H$5&lt;1,"관찰기준 확인",IF(N1613&gt;'종합 현황'!$H$5,"내부 관찰 대상","내부 관찰일 이하")))))</x:f>
        <x:v>대상 아님</x:v>
      </x:c>
      <x:c r="AB1613" s="2" t="str">
        <x:v>2022-05-26 19:24:20 - 신규신청 - 신청 
2022-05-26 19:24:20 - 관장기관 지정 - 환경부
2022-06-01 00:27:12 - 관장기관 지정 - 산업통상자원부
2022-06-13 09:35:35 - 신규신청 - 문서재제출요청 
2022-06-17 10:30:29 - 재제출신청 - 신청 
2022-06-21 17:06:52 - 재제출신청 - 문서재제출요청 
2022-06-21 18:59:54 - 재제출신청 - 신청 
2022-08-23 09:04:14 - 재제출신청 - 문서재제출요청 
2022-08-24 15:36:18 - 재제출신청 - 신청 
2022-10-07 16:54:33 - 재제출신청 - 평가승인 
2022-10-11 14:47:35 - 재제출신청 - 심의승인 
2022-10-12 16:04:42 - 재제출신청 - 착수신고 
</x:v>
      </x:c>
    </x:row>
    <x:row r="1614" ht="42" customHeight="1">
      <x:c r="A1614" s="2" t="str">
        <x:v>305c8cfb573e9b6f8adbdd19</x:v>
      </x:c>
      <x:c r="B1614" s="2" t="str">
        <x:v>사업 평가</x:v>
      </x:c>
      <x:c r="C1614" s="2" t="str">
        <x:v>국외</x:v>
      </x:c>
      <x:c r="D1614" s="7" t="str">
        <x:v>기후변화센터의 동남아시아 개발도상국(미얀마) 내 고효율 쿡스토브 보급 사업 CPA-002</x:v>
      </x:c>
      <x:c r="E1614" s="2" t="str">
        <x:v>236</x:v>
      </x:c>
      <x:c r="F1614" s="2" t="str">
        <x:v>2022-05</x:v>
      </x:c>
      <x:c r="G1614" s="2" t="str">
        <x:v>2022</x:v>
      </x:c>
      <x:c r="H1614" s="2" t="str">
        <x:v>05</x:v>
      </x:c>
      <x:c r="I1614" s="2" t="str">
        <x:v>승인</x:v>
      </x:c>
      <x:c r="J1614" s="2" t="str">
        <x:v>심의승인</x:v>
      </x:c>
      <x:c r="K1614" s="2" t="str">
        <x:f>IF(OR(J1614="심의승인",J1614="반려",J1614="반려완료",J1614="심의완료"),"종결 표시",IF(OR(J1614="기후부협의",J1614="문서재제출요청",J1614="보류",J1614="보완요청",J1614="보완완료",J1614="평가중",J1614="반려요청",J1614="평가필요",LEFT(J1614,5)="보완요청("),"미종결 표시","상태 확인 필요"))</x:f>
        <x:v>종결 표시</x:v>
      </x:c>
      <x:c r="L1614" s="2" t="str">
        <x:v>KRIC</x:v>
      </x:c>
      <x:c r="M1614" s="2"/>
      <x:c r="N1614" s="8"/>
      <x:c r="O1614" s="2"/>
      <x:c r="P1614" s="2"/>
      <x:c r="Q1614" s="2" t="str">
        <x:v>산업전환_외부사업관리Tool_260707_이너젠 수정_LJY_261013.xlsx</x:v>
      </x:c>
      <x:c r="R1614" s="2" t="str">
        <x:v>국외평가</x:v>
      </x:c>
      <x:c r="S1614" s="8" t="n">
        <x:v>238</x:v>
      </x:c>
      <x:c r="T1614" s="2" t="str">
        <x:v>(6/10)</x:v>
      </x:c>
      <x:c r="U1614" s="2" t="str">
        <x:v>2022 지정: (6/10)</x:v>
      </x:c>
      <x:c r="V1614" s="2" t="str">
        <x:v>2022-10-12</x:v>
      </x:c>
      <x:c r="W1614" s="2" t="str"/>
      <x:c r="X1614" s="2" t="str">
        <x:v>종결 근거 보관</x:v>
      </x:c>
      <x:c r="Y1614" s="2" t="str">
        <x:v>ad210cd9ec132cfd447541c8984dc53d30aff0f4fb2dc92d254d49275cc55976</x:v>
      </x:c>
      <x:c r="Z1614" s="2" t="n">
        <x:f>SUBTOTAL(103,A1614)</x:f>
        <x:v>1</x:v>
      </x:c>
      <x:c r="AA1614" s="2" t="str">
        <x:f>IF(K1614&lt;&gt;"미종결 표시","대상 아님",IF(N1614="","신청일 확인",IF(NOT(ISNUMBER('종합 현황'!$H$5)),"관찰기준 확인",IF('종합 현황'!$H$5&lt;1,"관찰기준 확인",IF(N1614&gt;'종합 현황'!$H$5,"내부 관찰 대상","내부 관찰일 이하")))))</x:f>
        <x:v>대상 아님</x:v>
      </x:c>
      <x:c r="AB1614" s="2" t="str">
        <x:v>2022-05-26 19:24:58 - 신규신청 - 신청 
2022-05-26 19:24:58 - 관장기관 지정 - 환경부
2022-06-01 00:27:18 - 관장기관 지정 - 산업통상자원부
2022-06-16 20:37:47 - 신규신청 - 문서재제출요청 
2022-06-17 10:33:58 - 재제출신청 - 신청 
2022-06-21 17:07:49 - 재제출신청 - 문서재제출요청 
2022-06-21 19:00:05 - 재제출신청 - 신청 
2022-08-23 09:04:37 - 재제출신청 - 문서재제출요청 
2022-08-24 15:36:46 - 재제출신청 - 신청 
2022-10-07 16:55:09 - 재제출신청 - 평가승인 
2022-10-11 14:49:35 - 재제출신청 - 심의승인 
2022-10-12 16:14:22 - 재제출신청 - 착수신고 
</x:v>
      </x:c>
    </x:row>
    <x:row r="1615" ht="42" customHeight="1">
      <x:c r="A1615" s="2" t="str">
        <x:v>85195fd4beda0c9d2ffbf9fd</x:v>
      </x:c>
      <x:c r="B1615" s="2" t="str">
        <x:v>사업 평가</x:v>
      </x:c>
      <x:c r="C1615" s="2" t="str">
        <x:v>국외</x:v>
      </x:c>
      <x:c r="D1615" s="7" t="str">
        <x:v>기후변화센터의 동남아시아 개발도상국(미얀마) 내 고효율 쿡스토브 보급 사업 CPA-003</x:v>
      </x:c>
      <x:c r="E1615" s="2" t="str">
        <x:v>237</x:v>
      </x:c>
      <x:c r="F1615" s="2" t="str">
        <x:v>2022-05</x:v>
      </x:c>
      <x:c r="G1615" s="2" t="str">
        <x:v>2022</x:v>
      </x:c>
      <x:c r="H1615" s="2" t="str">
        <x:v>05</x:v>
      </x:c>
      <x:c r="I1615" s="2" t="str">
        <x:v>승인</x:v>
      </x:c>
      <x:c r="J1615" s="2" t="str">
        <x:v>심의승인</x:v>
      </x:c>
      <x:c r="K1615" s="2" t="str">
        <x:f>IF(OR(J1615="심의승인",J1615="반려",J1615="반려완료",J1615="심의완료"),"종결 표시",IF(OR(J1615="기후부협의",J1615="문서재제출요청",J1615="보류",J1615="보완요청",J1615="보완완료",J1615="평가중",J1615="반려요청",J1615="평가필요",LEFT(J1615,5)="보완요청("),"미종결 표시","상태 확인 필요"))</x:f>
        <x:v>종결 표시</x:v>
      </x:c>
      <x:c r="L1615" s="2" t="str">
        <x:v>KRIC</x:v>
      </x:c>
      <x:c r="M1615" s="2"/>
      <x:c r="N1615" s="8"/>
      <x:c r="O1615" s="2"/>
      <x:c r="P1615" s="2"/>
      <x:c r="Q1615" s="2" t="str">
        <x:v>산업전환_외부사업관리Tool_260707_이너젠 수정_LJY_261013.xlsx</x:v>
      </x:c>
      <x:c r="R1615" s="2" t="str">
        <x:v>국외평가</x:v>
      </x:c>
      <x:c r="S1615" s="8" t="n">
        <x:v>239</x:v>
      </x:c>
      <x:c r="T1615" s="2" t="str">
        <x:v>(6/10)</x:v>
      </x:c>
      <x:c r="U1615" s="2" t="str">
        <x:v>2022 지정: (6/10)</x:v>
      </x:c>
      <x:c r="V1615" s="2" t="str">
        <x:v>2022-10-12</x:v>
      </x:c>
      <x:c r="W1615" s="2" t="str"/>
      <x:c r="X1615" s="2" t="str">
        <x:v>종결 근거 보관</x:v>
      </x:c>
      <x:c r="Y1615" s="2" t="str">
        <x:v>ad210cd9ec132cfd447541c8984dc53d30aff0f4fb2dc92d254d49275cc55976</x:v>
      </x:c>
      <x:c r="Z1615" s="2" t="n">
        <x:f>SUBTOTAL(103,A1615)</x:f>
        <x:v>1</x:v>
      </x:c>
      <x:c r="AA1615" s="2" t="str">
        <x:f>IF(K1615&lt;&gt;"미종결 표시","대상 아님",IF(N1615="","신청일 확인",IF(NOT(ISNUMBER('종합 현황'!$H$5)),"관찰기준 확인",IF('종합 현황'!$H$5&lt;1,"관찰기준 확인",IF(N1615&gt;'종합 현황'!$H$5,"내부 관찰 대상","내부 관찰일 이하")))))</x:f>
        <x:v>대상 아님</x:v>
      </x:c>
      <x:c r="AB1615" s="2" t="str">
        <x:v>2022-05-26 19:25:13 - 신규신청 - 신청 
2022-05-26 19:25:13 - 관장기관 지정 - 환경부
2022-06-01 00:27:24 - 관장기관 지정 - 산업통상자원부
2022-06-16 20:37:31 - 신규신청 - 문서재제출요청 
2022-06-17 10:34:19 - 재제출신청 - 신청 
2022-06-21 17:08:19 - 재제출신청 - 문서재제출요청 
2022-06-21 19:00:30 - 재제출신청 - 신청 
2022-08-23 09:04:53 - 재제출신청 - 문서재제출요청 
2022-08-24 15:37:21 - 재제출신청 - 신청 
2022-10-07 16:57:01 - 재제출신청 - 평가승인 
2022-10-11 14:50:15 - 재제출신청 - 심의승인 
2022-10-12 16:14:53 - 재제출신청 - 착수신고 
</x:v>
      </x:c>
    </x:row>
    <x:row r="1616" ht="42" customHeight="1">
      <x:c r="A1616" s="2" t="str">
        <x:v>0457d97cca14b347c0831fa2</x:v>
      </x:c>
      <x:c r="B1616" s="2" t="str">
        <x:v>사업 평가</x:v>
      </x:c>
      <x:c r="C1616" s="2" t="str">
        <x:v>국외</x:v>
      </x:c>
      <x:c r="D1616" s="7" t="str">
        <x:v>기후변화센터의 동남아시아 개발도상국(미얀마) 내 고효율 쿡스토브 보급 사업 CPA-004</x:v>
      </x:c>
      <x:c r="E1616" s="2" t="str">
        <x:v>238</x:v>
      </x:c>
      <x:c r="F1616" s="2" t="str">
        <x:v>2022-05</x:v>
      </x:c>
      <x:c r="G1616" s="2" t="str">
        <x:v>2022</x:v>
      </x:c>
      <x:c r="H1616" s="2" t="str">
        <x:v>05</x:v>
      </x:c>
      <x:c r="I1616" s="2" t="str">
        <x:v>승인</x:v>
      </x:c>
      <x:c r="J1616" s="2" t="str">
        <x:v>심의승인</x:v>
      </x:c>
      <x:c r="K1616" s="2" t="str">
        <x:f>IF(OR(J1616="심의승인",J1616="반려",J1616="반려완료",J1616="심의완료"),"종결 표시",IF(OR(J1616="기후부협의",J1616="문서재제출요청",J1616="보류",J1616="보완요청",J1616="보완완료",J1616="평가중",J1616="반려요청",J1616="평가필요",LEFT(J1616,5)="보완요청("),"미종결 표시","상태 확인 필요"))</x:f>
        <x:v>종결 표시</x:v>
      </x:c>
      <x:c r="L1616" s="2" t="str">
        <x:v>KRIC</x:v>
      </x:c>
      <x:c r="M1616" s="2"/>
      <x:c r="N1616" s="8"/>
      <x:c r="O1616" s="2"/>
      <x:c r="P1616" s="2"/>
      <x:c r="Q1616" s="2" t="str">
        <x:v>산업전환_외부사업관리Tool_260707_이너젠 수정_LJY_261013.xlsx</x:v>
      </x:c>
      <x:c r="R1616" s="2" t="str">
        <x:v>국외평가</x:v>
      </x:c>
      <x:c r="S1616" s="8" t="n">
        <x:v>240</x:v>
      </x:c>
      <x:c r="T1616" s="2" t="str">
        <x:v>(6/10)</x:v>
      </x:c>
      <x:c r="U1616" s="2" t="str">
        <x:v>2022 지정: (6/10)</x:v>
      </x:c>
      <x:c r="V1616" s="2" t="str">
        <x:v>2022-10-12</x:v>
      </x:c>
      <x:c r="W1616" s="2" t="str"/>
      <x:c r="X1616" s="2" t="str">
        <x:v>종결 근거 보관</x:v>
      </x:c>
      <x:c r="Y1616" s="2" t="str">
        <x:v>ad210cd9ec132cfd447541c8984dc53d30aff0f4fb2dc92d254d49275cc55976</x:v>
      </x:c>
      <x:c r="Z1616" s="2" t="n">
        <x:f>SUBTOTAL(103,A1616)</x:f>
        <x:v>1</x:v>
      </x:c>
      <x:c r="AA1616" s="2" t="str">
        <x:f>IF(K1616&lt;&gt;"미종결 표시","대상 아님",IF(N1616="","신청일 확인",IF(NOT(ISNUMBER('종합 현황'!$H$5)),"관찰기준 확인",IF('종합 현황'!$H$5&lt;1,"관찰기준 확인",IF(N1616&gt;'종합 현황'!$H$5,"내부 관찰 대상","내부 관찰일 이하")))))</x:f>
        <x:v>대상 아님</x:v>
      </x:c>
      <x:c r="AB1616" s="2" t="str">
        <x:v>2022-05-26 19:25:24 - 신규신청 - 신청 
2022-05-26 19:25:24 - 관장기관 지정 - 환경부
2022-06-01 00:27:33 - 관장기관 지정 - 산업통상자원부
2022-06-16 20:37:08 - 신규신청 - 문서재제출요청 
2022-06-17 10:35:22 - 재제출신청 - 신청 
2022-06-21 17:08:36 - 재제출신청 - 문서재제출요청 
2022-06-21 19:00:41 - 재제출신청 - 신청 
2022-08-23 09:05:08 - 재제출신청 - 문서재제출요청 
2022-08-24 15:37:35 - 재제출신청 - 신청 
2022-10-07 16:58:04 - 재제출신청 - 평가승인 
2022-10-11 14:50:43 - 재제출신청 - 심의승인 
2022-10-12 16:15:15 - 재제출신청 - 착수신고 
</x:v>
      </x:c>
    </x:row>
    <x:row r="1617" ht="42" customHeight="1">
      <x:c r="A1617" s="2" t="str">
        <x:v>369867c6d98fd55e1353198e</x:v>
      </x:c>
      <x:c r="B1617" s="2" t="str">
        <x:v>사업 평가</x:v>
      </x:c>
      <x:c r="C1617" s="2" t="str">
        <x:v>국외</x:v>
      </x:c>
      <x:c r="D1617" s="7" t="str">
        <x:v>기후변화센터의 동남아시아 개발도상국(미얀마) 내 고효율 쿡스토브 보급 사업 CPA-005</x:v>
      </x:c>
      <x:c r="E1617" s="2" t="str">
        <x:v>239</x:v>
      </x:c>
      <x:c r="F1617" s="2" t="str">
        <x:v>2022-05</x:v>
      </x:c>
      <x:c r="G1617" s="2" t="str">
        <x:v>2022</x:v>
      </x:c>
      <x:c r="H1617" s="2" t="str">
        <x:v>05</x:v>
      </x:c>
      <x:c r="I1617" s="2" t="str">
        <x:v>승인</x:v>
      </x:c>
      <x:c r="J1617" s="2" t="str">
        <x:v>심의승인</x:v>
      </x:c>
      <x:c r="K1617" s="2" t="str">
        <x:f>IF(OR(J1617="심의승인",J1617="반려",J1617="반려완료",J1617="심의완료"),"종결 표시",IF(OR(J1617="기후부협의",J1617="문서재제출요청",J1617="보류",J1617="보완요청",J1617="보완완료",J1617="평가중",J1617="반려요청",J1617="평가필요",LEFT(J1617,5)="보완요청("),"미종결 표시","상태 확인 필요"))</x:f>
        <x:v>종결 표시</x:v>
      </x:c>
      <x:c r="L1617" s="2" t="str">
        <x:v>KRIC</x:v>
      </x:c>
      <x:c r="M1617" s="2"/>
      <x:c r="N1617" s="8"/>
      <x:c r="O1617" s="2"/>
      <x:c r="P1617" s="2"/>
      <x:c r="Q1617" s="2" t="str">
        <x:v>산업전환_외부사업관리Tool_260707_이너젠 수정_LJY_261013.xlsx</x:v>
      </x:c>
      <x:c r="R1617" s="2" t="str">
        <x:v>국외평가</x:v>
      </x:c>
      <x:c r="S1617" s="8" t="n">
        <x:v>241</x:v>
      </x:c>
      <x:c r="T1617" s="2" t="str">
        <x:v>(6/10)</x:v>
      </x:c>
      <x:c r="U1617" s="2" t="str">
        <x:v>2022 지정: (6/10)</x:v>
      </x:c>
      <x:c r="V1617" s="2" t="str">
        <x:v>2022-10-12</x:v>
      </x:c>
      <x:c r="W1617" s="2" t="str"/>
      <x:c r="X1617" s="2" t="str">
        <x:v>종결 근거 보관</x:v>
      </x:c>
      <x:c r="Y1617" s="2" t="str">
        <x:v>ad210cd9ec132cfd447541c8984dc53d30aff0f4fb2dc92d254d49275cc55976</x:v>
      </x:c>
      <x:c r="Z1617" s="2" t="n">
        <x:f>SUBTOTAL(103,A1617)</x:f>
        <x:v>1</x:v>
      </x:c>
      <x:c r="AA1617" s="2" t="str">
        <x:f>IF(K1617&lt;&gt;"미종결 표시","대상 아님",IF(N1617="","신청일 확인",IF(NOT(ISNUMBER('종합 현황'!$H$5)),"관찰기준 확인",IF('종합 현황'!$H$5&lt;1,"관찰기준 확인",IF(N1617&gt;'종합 현황'!$H$5,"내부 관찰 대상","내부 관찰일 이하")))))</x:f>
        <x:v>대상 아님</x:v>
      </x:c>
      <x:c r="AB1617" s="2" t="str">
        <x:v>2022-05-26 19:25:35 - 신규신청 - 신청 
2022-05-26 19:25:35 - 관장기관 지정 - 환경부
2022-06-01 00:27:41 - 관장기관 지정 - 산업통상자원부
2022-06-16 20:36:46 - 신규신청 - 문서재제출요청 
2022-06-17 10:45:43 - 재제출신청 - 신청 
2022-06-21 17:08:55 - 재제출신청 - 문서재제출요청 
2022-06-21 19:00:53 - 재제출신청 - 신청 
2022-08-23 09:05:24 - 재제출신청 - 문서재제출요청 
2022-08-24 15:37:50 - 재제출신청 - 신청 
2022-10-07 16:58:29 - 재제출신청 - 평가승인 
2022-10-11 14:51:39 - 재제출신청 - 심의승인 
2022-10-12 16:15:38 - 재제출신청 - 착수신고 
</x:v>
      </x:c>
    </x:row>
    <x:row r="1618" ht="42" customHeight="1">
      <x:c r="A1618" s="2" t="str">
        <x:v>8de176ae9d994953b231ce16</x:v>
      </x:c>
      <x:c r="B1618" s="2" t="str">
        <x:v>사업 평가</x:v>
      </x:c>
      <x:c r="C1618" s="2" t="str">
        <x:v>국외</x:v>
      </x:c>
      <x:c r="D1618" s="7" t="str">
        <x:v>기후변화센터의 동남아시아 개발도상국(미얀마) 내 고효율 쿡스토브 보급 사업 CPA-006</x:v>
      </x:c>
      <x:c r="E1618" s="2" t="str">
        <x:v>240</x:v>
      </x:c>
      <x:c r="F1618" s="2" t="str">
        <x:v>2022-05</x:v>
      </x:c>
      <x:c r="G1618" s="2" t="str">
        <x:v>2022</x:v>
      </x:c>
      <x:c r="H1618" s="2" t="str">
        <x:v>05</x:v>
      </x:c>
      <x:c r="I1618" s="2" t="str">
        <x:v>승인</x:v>
      </x:c>
      <x:c r="J1618" s="2" t="str">
        <x:v>심의승인</x:v>
      </x:c>
      <x:c r="K1618" s="2" t="str">
        <x:f>IF(OR(J1618="심의승인",J1618="반려",J1618="반려완료",J1618="심의완료"),"종결 표시",IF(OR(J1618="기후부협의",J1618="문서재제출요청",J1618="보류",J1618="보완요청",J1618="보완완료",J1618="평가중",J1618="반려요청",J1618="평가필요",LEFT(J1618,5)="보완요청("),"미종결 표시","상태 확인 필요"))</x:f>
        <x:v>종결 표시</x:v>
      </x:c>
      <x:c r="L1618" s="2" t="str">
        <x:v>KRIC</x:v>
      </x:c>
      <x:c r="M1618" s="2"/>
      <x:c r="N1618" s="8"/>
      <x:c r="O1618" s="2"/>
      <x:c r="P1618" s="2"/>
      <x:c r="Q1618" s="2" t="str">
        <x:v>산업전환_외부사업관리Tool_260707_이너젠 수정_LJY_261013.xlsx</x:v>
      </x:c>
      <x:c r="R1618" s="2" t="str">
        <x:v>국외평가</x:v>
      </x:c>
      <x:c r="S1618" s="8" t="n">
        <x:v>242</x:v>
      </x:c>
      <x:c r="T1618" s="2" t="str">
        <x:v>(6/10)</x:v>
      </x:c>
      <x:c r="U1618" s="2" t="str">
        <x:v>2022 지정: (6/10)</x:v>
      </x:c>
      <x:c r="V1618" s="2" t="str">
        <x:v>2022-10-12</x:v>
      </x:c>
      <x:c r="W1618" s="2" t="str"/>
      <x:c r="X1618" s="2" t="str">
        <x:v>종결 근거 보관</x:v>
      </x:c>
      <x:c r="Y1618" s="2" t="str">
        <x:v>ad210cd9ec132cfd447541c8984dc53d30aff0f4fb2dc92d254d49275cc55976</x:v>
      </x:c>
      <x:c r="Z1618" s="2" t="n">
        <x:f>SUBTOTAL(103,A1618)</x:f>
        <x:v>1</x:v>
      </x:c>
      <x:c r="AA1618" s="2" t="str">
        <x:f>IF(K1618&lt;&gt;"미종결 표시","대상 아님",IF(N1618="","신청일 확인",IF(NOT(ISNUMBER('종합 현황'!$H$5)),"관찰기준 확인",IF('종합 현황'!$H$5&lt;1,"관찰기준 확인",IF(N1618&gt;'종합 현황'!$H$5,"내부 관찰 대상","내부 관찰일 이하")))))</x:f>
        <x:v>대상 아님</x:v>
      </x:c>
      <x:c r="AB1618" s="2" t="str">
        <x:v>2022-05-26 19:25:44 - 신규신청 - 신청 
2022-05-26 19:25:44 - 관장기관 지정 - 환경부
2022-06-01 00:27:47 - 관장기관 지정 - 산업통상자원부
2022-06-16 20:36:32 - 신규신청 - 문서재제출요청 
2022-06-17 10:46:30 - 재제출신청 - 신청 
2022-06-21 17:09:10 - 재제출신청 - 문서재제출요청 
2022-06-21 19:01:03 - 재제출신청 - 신청 
2022-08-23 09:05:39 - 재제출신청 - 문서재제출요청 
2022-08-24 15:38:06 - 재제출신청 - 신청 
2022-10-07 16:59:07 - 재제출신청 - 평가승인 
2022-10-11 14:52:10 - 재제출신청 - 심의승인 
2022-10-12 16:16:00 - 재제출신청 - 착수신고 
</x:v>
      </x:c>
    </x:row>
    <x:row r="1619" ht="42" customHeight="1">
      <x:c r="A1619" s="2" t="str">
        <x:v>5d71e38e3ed4f69f5324b94d</x:v>
      </x:c>
      <x:c r="B1619" s="2" t="str">
        <x:v>사업 평가</x:v>
      </x:c>
      <x:c r="C1619" s="2" t="str">
        <x:v>국외</x:v>
      </x:c>
      <x:c r="D1619" s="7" t="str">
        <x:v>기후변화센터의 동남아시아 개발도상국(미얀마) 내 고효율 쿡스토브 보급 사업 CPA-011</x:v>
      </x:c>
      <x:c r="E1619" s="2" t="str">
        <x:v>241</x:v>
      </x:c>
      <x:c r="F1619" s="2" t="str">
        <x:v>2022-05</x:v>
      </x:c>
      <x:c r="G1619" s="2" t="str">
        <x:v>2022</x:v>
      </x:c>
      <x:c r="H1619" s="2" t="str">
        <x:v>05</x:v>
      </x:c>
      <x:c r="I1619" s="2" t="str">
        <x:v>승인</x:v>
      </x:c>
      <x:c r="J1619" s="2" t="str">
        <x:v>심의승인</x:v>
      </x:c>
      <x:c r="K1619" s="2" t="str">
        <x:f>IF(OR(J1619="심의승인",J1619="반려",J1619="반려완료",J1619="심의완료"),"종결 표시",IF(OR(J1619="기후부협의",J1619="문서재제출요청",J1619="보류",J1619="보완요청",J1619="보완완료",J1619="평가중",J1619="반려요청",J1619="평가필요",LEFT(J1619,5)="보완요청("),"미종결 표시","상태 확인 필요"))</x:f>
        <x:v>종결 표시</x:v>
      </x:c>
      <x:c r="L1619" s="2" t="str">
        <x:v>KRIC</x:v>
      </x:c>
      <x:c r="M1619" s="2"/>
      <x:c r="N1619" s="8"/>
      <x:c r="O1619" s="2"/>
      <x:c r="P1619" s="2"/>
      <x:c r="Q1619" s="2" t="str">
        <x:v>산업전환_외부사업관리Tool_260707_이너젠 수정_LJY_261013.xlsx</x:v>
      </x:c>
      <x:c r="R1619" s="2" t="str">
        <x:v>국외평가</x:v>
      </x:c>
      <x:c r="S1619" s="8" t="n">
        <x:v>243</x:v>
      </x:c>
      <x:c r="T1619" s="2" t="str">
        <x:v>(6/10)</x:v>
      </x:c>
      <x:c r="U1619" s="2" t="str">
        <x:v>2022 지정: (6/10)</x:v>
      </x:c>
      <x:c r="V1619" s="2" t="str">
        <x:v>2022-10-12</x:v>
      </x:c>
      <x:c r="W1619" s="2" t="str"/>
      <x:c r="X1619" s="2" t="str">
        <x:v>종결 근거 보관</x:v>
      </x:c>
      <x:c r="Y1619" s="2" t="str">
        <x:v>ad210cd9ec132cfd447541c8984dc53d30aff0f4fb2dc92d254d49275cc55976</x:v>
      </x:c>
      <x:c r="Z1619" s="2" t="n">
        <x:f>SUBTOTAL(103,A1619)</x:f>
        <x:v>1</x:v>
      </x:c>
      <x:c r="AA1619" s="2" t="str">
        <x:f>IF(K1619&lt;&gt;"미종결 표시","대상 아님",IF(N1619="","신청일 확인",IF(NOT(ISNUMBER('종합 현황'!$H$5)),"관찰기준 확인",IF('종합 현황'!$H$5&lt;1,"관찰기준 확인",IF(N1619&gt;'종합 현황'!$H$5,"내부 관찰 대상","내부 관찰일 이하")))))</x:f>
        <x:v>대상 아님</x:v>
      </x:c>
      <x:c r="AB1619" s="2" t="str">
        <x:v>2022-05-26 19:25:54 - 신규신청 - 신청 
2022-05-26 19:25:54 - 관장기관 지정 - 환경부
2022-06-01 00:29:04 - 관장기관 지정 - 산업통상자원부
2022-06-15 09:39:29 - 신규신청 - 문서재제출요청 
2022-06-20 17:38:30 - 재제출신청 - 신청 
2022-08-23 09:06:33 - 재제출신청 - 문서재제출요청 
2022-08-24 15:38:24 - 재제출신청 - 신청 
2022-10-07 17:00:20 - 재제출신청 - 평가승인 
2022-10-11 14:54:29 - 재제출신청 - 심의승인 
2022-10-12 16:38:53 - 재제출신청 - 착수신고 
</x:v>
      </x:c>
    </x:row>
    <x:row r="1620" ht="42" customHeight="1">
      <x:c r="A1620" s="2" t="str">
        <x:v>6b3695aa18ddcad8637e4782</x:v>
      </x:c>
      <x:c r="B1620" s="2" t="str">
        <x:v>사업 평가</x:v>
      </x:c>
      <x:c r="C1620" s="2" t="str">
        <x:v>국외</x:v>
      </x:c>
      <x:c r="D1620" s="7" t="str">
        <x:v>기후변화센터의 동남아시아 개발도상국(미얀마) 내 고효율 쿡스토브 보급 사업 CPA-012</x:v>
      </x:c>
      <x:c r="E1620" s="2" t="str">
        <x:v>242</x:v>
      </x:c>
      <x:c r="F1620" s="2" t="str">
        <x:v>2022-05</x:v>
      </x:c>
      <x:c r="G1620" s="2" t="str">
        <x:v>2022</x:v>
      </x:c>
      <x:c r="H1620" s="2" t="str">
        <x:v>05</x:v>
      </x:c>
      <x:c r="I1620" s="2" t="str">
        <x:v>승인</x:v>
      </x:c>
      <x:c r="J1620" s="2" t="str">
        <x:v>심의승인</x:v>
      </x:c>
      <x:c r="K1620" s="2" t="str">
        <x:f>IF(OR(J1620="심의승인",J1620="반려",J1620="반려완료",J1620="심의완료"),"종결 표시",IF(OR(J1620="기후부협의",J1620="문서재제출요청",J1620="보류",J1620="보완요청",J1620="보완완료",J1620="평가중",J1620="반려요청",J1620="평가필요",LEFT(J1620,5)="보완요청("),"미종결 표시","상태 확인 필요"))</x:f>
        <x:v>종결 표시</x:v>
      </x:c>
      <x:c r="L1620" s="2" t="str">
        <x:v>KRIC</x:v>
      </x:c>
      <x:c r="M1620" s="2"/>
      <x:c r="N1620" s="8"/>
      <x:c r="O1620" s="2"/>
      <x:c r="P1620" s="2"/>
      <x:c r="Q1620" s="2" t="str">
        <x:v>산업전환_외부사업관리Tool_260707_이너젠 수정_LJY_261013.xlsx</x:v>
      </x:c>
      <x:c r="R1620" s="2" t="str">
        <x:v>국외평가</x:v>
      </x:c>
      <x:c r="S1620" s="8" t="n">
        <x:v>244</x:v>
      </x:c>
      <x:c r="T1620" s="2" t="str">
        <x:v>(6/10)</x:v>
      </x:c>
      <x:c r="U1620" s="2" t="str">
        <x:v>2022 지정: (6/10)</x:v>
      </x:c>
      <x:c r="V1620" s="2" t="str">
        <x:v>2022-10-12</x:v>
      </x:c>
      <x:c r="W1620" s="2" t="str"/>
      <x:c r="X1620" s="2" t="str">
        <x:v>종결 근거 보관</x:v>
      </x:c>
      <x:c r="Y1620" s="2" t="str">
        <x:v>ad210cd9ec132cfd447541c8984dc53d30aff0f4fb2dc92d254d49275cc55976</x:v>
      </x:c>
      <x:c r="Z1620" s="2" t="n">
        <x:f>SUBTOTAL(103,A1620)</x:f>
        <x:v>1</x:v>
      </x:c>
      <x:c r="AA1620" s="2" t="str">
        <x:f>IF(K1620&lt;&gt;"미종결 표시","대상 아님",IF(N1620="","신청일 확인",IF(NOT(ISNUMBER('종합 현황'!$H$5)),"관찰기준 확인",IF('종합 현황'!$H$5&lt;1,"관찰기준 확인",IF(N1620&gt;'종합 현황'!$H$5,"내부 관찰 대상","내부 관찰일 이하")))))</x:f>
        <x:v>대상 아님</x:v>
      </x:c>
      <x:c r="AB1620" s="2" t="str">
        <x:v>2022-05-26 19:26:02 - 신규신청 - 신청 
2022-05-26 19:26:02 - 관장기관 지정 - 환경부
2022-06-01 00:28:50 - 관장기관 지정 - 산업통상자원부
2022-06-16 20:36:17 - 신규신청 - 문서재제출요청 
2022-06-20 17:38:53 - 재제출신청 - 신청 
2022-08-23 09:06:48 - 재제출신청 - 문서재제출요청 
2022-08-24 15:38:44 - 재제출신청 - 신청 
2022-10-07 17:01:28 - 재제출신청 - 평가승인 
2022-10-11 14:55:02 - 재제출신청 - 심의승인 
2022-10-12 16:39:29 - 재제출신청 - 착수신고 
</x:v>
      </x:c>
    </x:row>
    <x:row r="1621" ht="42" customHeight="1">
      <x:c r="A1621" s="2" t="str">
        <x:v>5080f675d2890d951700b2b4</x:v>
      </x:c>
      <x:c r="B1621" s="2" t="str">
        <x:v>사업 평가</x:v>
      </x:c>
      <x:c r="C1621" s="2" t="str">
        <x:v>국외</x:v>
      </x:c>
      <x:c r="D1621" s="7" t="str">
        <x:v>기후변화센터의 동남아시아 개발도상국(미얀마) 내 고효율 쿡스토브 보급 사업 CPA-013</x:v>
      </x:c>
      <x:c r="E1621" s="2" t="str">
        <x:v>243</x:v>
      </x:c>
      <x:c r="F1621" s="2" t="str">
        <x:v>2022-05</x:v>
      </x:c>
      <x:c r="G1621" s="2" t="str">
        <x:v>2022</x:v>
      </x:c>
      <x:c r="H1621" s="2" t="str">
        <x:v>05</x:v>
      </x:c>
      <x:c r="I1621" s="2" t="str">
        <x:v>승인</x:v>
      </x:c>
      <x:c r="J1621" s="2" t="str">
        <x:v>심의승인</x:v>
      </x:c>
      <x:c r="K1621" s="2" t="str">
        <x:f>IF(OR(J1621="심의승인",J1621="반려",J1621="반려완료",J1621="심의완료"),"종결 표시",IF(OR(J1621="기후부협의",J1621="문서재제출요청",J1621="보류",J1621="보완요청",J1621="보완완료",J1621="평가중",J1621="반려요청",J1621="평가필요",LEFT(J1621,5)="보완요청("),"미종결 표시","상태 확인 필요"))</x:f>
        <x:v>종결 표시</x:v>
      </x:c>
      <x:c r="L1621" s="2" t="str">
        <x:v>KRIC</x:v>
      </x:c>
      <x:c r="M1621" s="2"/>
      <x:c r="N1621" s="8"/>
      <x:c r="O1621" s="2"/>
      <x:c r="P1621" s="2"/>
      <x:c r="Q1621" s="2" t="str">
        <x:v>산업전환_외부사업관리Tool_260707_이너젠 수정_LJY_261013.xlsx</x:v>
      </x:c>
      <x:c r="R1621" s="2" t="str">
        <x:v>국외평가</x:v>
      </x:c>
      <x:c r="S1621" s="8" t="n">
        <x:v>245</x:v>
      </x:c>
      <x:c r="T1621" s="2" t="str">
        <x:v>(6/10)</x:v>
      </x:c>
      <x:c r="U1621" s="2" t="str">
        <x:v>2022 지정: (6/10)</x:v>
      </x:c>
      <x:c r="V1621" s="2" t="str">
        <x:v>2022-10-12</x:v>
      </x:c>
      <x:c r="W1621" s="2" t="str"/>
      <x:c r="X1621" s="2" t="str">
        <x:v>종결 근거 보관</x:v>
      </x:c>
      <x:c r="Y1621" s="2" t="str">
        <x:v>ad210cd9ec132cfd447541c8984dc53d30aff0f4fb2dc92d254d49275cc55976</x:v>
      </x:c>
      <x:c r="Z1621" s="2" t="n">
        <x:f>SUBTOTAL(103,A1621)</x:f>
        <x:v>1</x:v>
      </x:c>
      <x:c r="AA1621" s="2" t="str">
        <x:f>IF(K1621&lt;&gt;"미종결 표시","대상 아님",IF(N1621="","신청일 확인",IF(NOT(ISNUMBER('종합 현황'!$H$5)),"관찰기준 확인",IF('종합 현황'!$H$5&lt;1,"관찰기준 확인",IF(N1621&gt;'종합 현황'!$H$5,"내부 관찰 대상","내부 관찰일 이하")))))</x:f>
        <x:v>대상 아님</x:v>
      </x:c>
      <x:c r="AB1621" s="2" t="str">
        <x:v>2022-05-26 19:26:09 - 신규신청 - 신청 
2022-05-26 19:26:09 - 관장기관 지정 - 환경부
2022-06-01 00:28:38 - 관장기관 지정 - 산업통상자원부
2022-06-16 20:36:02 - 신규신청 - 문서재제출요청 
2022-06-20 17:39:09 - 재제출신청 - 신청 
2022-08-23 09:07:02 - 재제출신청 - 문서재제출요청 
2022-08-24 15:38:56 - 재제출신청 - 신청 
2022-10-07 17:01:52 - 재제출신청 - 평가승인 
2022-10-11 14:55:24 - 재제출신청 - 심의승인 
2022-10-12 16:40:02 - 재제출신청 - 착수신고 
</x:v>
      </x:c>
    </x:row>
    <x:row r="1622" ht="42" customHeight="1">
      <x:c r="A1622" s="2" t="str">
        <x:v>7ded807588a7970508d61c01</x:v>
      </x:c>
      <x:c r="B1622" s="2" t="str">
        <x:v>사업 평가</x:v>
      </x:c>
      <x:c r="C1622" s="2" t="str">
        <x:v>국외</x:v>
      </x:c>
      <x:c r="D1622" s="7" t="str">
        <x:v>기후변화센터의 동남아시아 개발도상국(미얀마) 내 고효율 쿡스토브 보급 사업 CPA-014</x:v>
      </x:c>
      <x:c r="E1622" s="2" t="str">
        <x:v>244</x:v>
      </x:c>
      <x:c r="F1622" s="2" t="str">
        <x:v>2022-05</x:v>
      </x:c>
      <x:c r="G1622" s="2" t="str">
        <x:v>2022</x:v>
      </x:c>
      <x:c r="H1622" s="2" t="str">
        <x:v>05</x:v>
      </x:c>
      <x:c r="I1622" s="2" t="str">
        <x:v>승인</x:v>
      </x:c>
      <x:c r="J1622" s="2" t="str">
        <x:v>심의승인</x:v>
      </x:c>
      <x:c r="K1622" s="2" t="str">
        <x:f>IF(OR(J1622="심의승인",J1622="반려",J1622="반려완료",J1622="심의완료"),"종결 표시",IF(OR(J1622="기후부협의",J1622="문서재제출요청",J1622="보류",J1622="보완요청",J1622="보완완료",J1622="평가중",J1622="반려요청",J1622="평가필요",LEFT(J1622,5)="보완요청("),"미종결 표시","상태 확인 필요"))</x:f>
        <x:v>종결 표시</x:v>
      </x:c>
      <x:c r="L1622" s="2" t="str">
        <x:v>KRIC</x:v>
      </x:c>
      <x:c r="M1622" s="2"/>
      <x:c r="N1622" s="8"/>
      <x:c r="O1622" s="2"/>
      <x:c r="P1622" s="2"/>
      <x:c r="Q1622" s="2" t="str">
        <x:v>산업전환_외부사업관리Tool_260707_이너젠 수정_LJY_261013.xlsx</x:v>
      </x:c>
      <x:c r="R1622" s="2" t="str">
        <x:v>국외평가</x:v>
      </x:c>
      <x:c r="S1622" s="8" t="n">
        <x:v>246</x:v>
      </x:c>
      <x:c r="T1622" s="2" t="str">
        <x:v>(6/10)</x:v>
      </x:c>
      <x:c r="U1622" s="2" t="str">
        <x:v>2022 지정: (6/10)</x:v>
      </x:c>
      <x:c r="V1622" s="2" t="str">
        <x:v>2022-10-12</x:v>
      </x:c>
      <x:c r="W1622" s="2" t="str"/>
      <x:c r="X1622" s="2" t="str">
        <x:v>종결 근거 보관</x:v>
      </x:c>
      <x:c r="Y1622" s="2" t="str">
        <x:v>ad210cd9ec132cfd447541c8984dc53d30aff0f4fb2dc92d254d49275cc55976</x:v>
      </x:c>
      <x:c r="Z1622" s="2" t="n">
        <x:f>SUBTOTAL(103,A1622)</x:f>
        <x:v>1</x:v>
      </x:c>
      <x:c r="AA1622" s="2" t="str">
        <x:f>IF(K1622&lt;&gt;"미종결 표시","대상 아님",IF(N1622="","신청일 확인",IF(NOT(ISNUMBER('종합 현황'!$H$5)),"관찰기준 확인",IF('종합 현황'!$H$5&lt;1,"관찰기준 확인",IF(N1622&gt;'종합 현황'!$H$5,"내부 관찰 대상","내부 관찰일 이하")))))</x:f>
        <x:v>대상 아님</x:v>
      </x:c>
      <x:c r="AB1622" s="2" t="str">
        <x:v>2022-05-26 19:26:15 - 관장기관 지정 - 환경부
2022-05-26 19:26:16 - 신규신청 - 신청 
2022-06-01 00:28:33 - 관장기관 지정 - 산업통상자원부
2022-06-16 20:35:47 - 신규신청 - 문서재제출요청 
2022-06-20 17:39:26 - 재제출신청 - 신청 
2022-08-23 09:07:17 - 재제출신청 - 문서재제출요청 
2022-08-24 15:39:21 - 재제출신청 - 신청 
2022-10-07 17:02:14 - 재제출신청 - 평가승인 
2022-10-11 14:56:48 - 재제출신청 - 심의승인 
2022-10-12 16:40:47 - 재제출신청 - 착수신고 
</x:v>
      </x:c>
    </x:row>
    <x:row r="1623" ht="42" customHeight="1">
      <x:c r="A1623" s="2" t="str">
        <x:v>4f6d1d15e58f790a3c2d6989</x:v>
      </x:c>
      <x:c r="B1623" s="2" t="str">
        <x:v>사업 평가</x:v>
      </x:c>
      <x:c r="C1623" s="2" t="str">
        <x:v>국외</x:v>
      </x:c>
      <x:c r="D1623" s="7" t="str">
        <x:v>기후변화센터의 동남아시아 개발도상국(미얀마) 내 고효율 쿡스토브 보급 사업 CPA-015</x:v>
      </x:c>
      <x:c r="E1623" s="2" t="str">
        <x:v>245</x:v>
      </x:c>
      <x:c r="F1623" s="2" t="str">
        <x:v>2022-05</x:v>
      </x:c>
      <x:c r="G1623" s="2" t="str">
        <x:v>2022</x:v>
      </x:c>
      <x:c r="H1623" s="2" t="str">
        <x:v>05</x:v>
      </x:c>
      <x:c r="I1623" s="2" t="str">
        <x:v>승인</x:v>
      </x:c>
      <x:c r="J1623" s="2" t="str">
        <x:v>심의승인</x:v>
      </x:c>
      <x:c r="K1623" s="2" t="str">
        <x:f>IF(OR(J1623="심의승인",J1623="반려",J1623="반려완료",J1623="심의완료"),"종결 표시",IF(OR(J1623="기후부협의",J1623="문서재제출요청",J1623="보류",J1623="보완요청",J1623="보완완료",J1623="평가중",J1623="반려요청",J1623="평가필요",LEFT(J1623,5)="보완요청("),"미종결 표시","상태 확인 필요"))</x:f>
        <x:v>종결 표시</x:v>
      </x:c>
      <x:c r="L1623" s="2" t="str">
        <x:v>KRIC</x:v>
      </x:c>
      <x:c r="M1623" s="2"/>
      <x:c r="N1623" s="8"/>
      <x:c r="O1623" s="2"/>
      <x:c r="P1623" s="2"/>
      <x:c r="Q1623" s="2" t="str">
        <x:v>산업전환_외부사업관리Tool_260707_이너젠 수정_LJY_261013.xlsx</x:v>
      </x:c>
      <x:c r="R1623" s="2" t="str">
        <x:v>국외평가</x:v>
      </x:c>
      <x:c r="S1623" s="8" t="n">
        <x:v>247</x:v>
      </x:c>
      <x:c r="T1623" s="2" t="str">
        <x:v>(6/10)</x:v>
      </x:c>
      <x:c r="U1623" s="2" t="str">
        <x:v>2022 지정: (6/10)</x:v>
      </x:c>
      <x:c r="V1623" s="2" t="str">
        <x:v>2022-10-12</x:v>
      </x:c>
      <x:c r="W1623" s="2" t="str"/>
      <x:c r="X1623" s="2" t="str">
        <x:v>종결 근거 보관</x:v>
      </x:c>
      <x:c r="Y1623" s="2" t="str">
        <x:v>ad210cd9ec132cfd447541c8984dc53d30aff0f4fb2dc92d254d49275cc55976</x:v>
      </x:c>
      <x:c r="Z1623" s="2" t="n">
        <x:f>SUBTOTAL(103,A1623)</x:f>
        <x:v>1</x:v>
      </x:c>
      <x:c r="AA1623" s="2" t="str">
        <x:f>IF(K1623&lt;&gt;"미종결 표시","대상 아님",IF(N1623="","신청일 확인",IF(NOT(ISNUMBER('종합 현황'!$H$5)),"관찰기준 확인",IF('종합 현황'!$H$5&lt;1,"관찰기준 확인",IF(N1623&gt;'종합 현황'!$H$5,"내부 관찰 대상","내부 관찰일 이하")))))</x:f>
        <x:v>대상 아님</x:v>
      </x:c>
      <x:c r="AB1623" s="2" t="str">
        <x:v>2022-05-26 19:26:22 - 신규신청 - 신청 
2022-05-26 19:26:22 - 관장기관 지정 - 환경부
2022-06-01 00:28:24 - 관장기관 지정 - 산업통상자원부
2022-06-16 20:35:27 - 신규신청 - 문서재제출요청 
2022-06-20 17:39:48 - 재제출신청 - 신청 
2022-08-23 09:07:44 - 재제출신청 - 문서재제출요청 
2022-08-24 15:39:36 - 재제출신청 - 신청 
2022-10-07 17:02:37 - 재제출신청 - 평가승인 
2022-10-11 14:57:11 - 재제출신청 - 심의승인 
2022-10-12 16:41:36 - 재제출신청 - 착수신고 
</x:v>
      </x:c>
    </x:row>
    <x:row r="1624" ht="42" customHeight="1">
      <x:c r="A1624" s="2" t="str">
        <x:v>732bd0173c11638a10f7e27d</x:v>
      </x:c>
      <x:c r="B1624" s="2" t="str">
        <x:v>사업 평가</x:v>
      </x:c>
      <x:c r="C1624" s="2" t="str">
        <x:v>국외</x:v>
      </x:c>
      <x:c r="D1624" s="7" t="str">
        <x:v>기후변화센터의 동남아시아 개발도상국(미얀마) 내 고효율 쿡스토브 보급 사업 CPA-016</x:v>
      </x:c>
      <x:c r="E1624" s="2" t="str">
        <x:v>246</x:v>
      </x:c>
      <x:c r="F1624" s="2" t="str">
        <x:v>2022-05</x:v>
      </x:c>
      <x:c r="G1624" s="2" t="str">
        <x:v>2022</x:v>
      </x:c>
      <x:c r="H1624" s="2" t="str">
        <x:v>05</x:v>
      </x:c>
      <x:c r="I1624" s="2" t="str">
        <x:v>승인</x:v>
      </x:c>
      <x:c r="J1624" s="2" t="str">
        <x:v>심의승인</x:v>
      </x:c>
      <x:c r="K1624" s="2" t="str">
        <x:f>IF(OR(J1624="심의승인",J1624="반려",J1624="반려완료",J1624="심의완료"),"종결 표시",IF(OR(J1624="기후부협의",J1624="문서재제출요청",J1624="보류",J1624="보완요청",J1624="보완완료",J1624="평가중",J1624="반려요청",J1624="평가필요",LEFT(J1624,5)="보완요청("),"미종결 표시","상태 확인 필요"))</x:f>
        <x:v>종결 표시</x:v>
      </x:c>
      <x:c r="L1624" s="2" t="str">
        <x:v>KRIC</x:v>
      </x:c>
      <x:c r="M1624" s="2"/>
      <x:c r="N1624" s="8"/>
      <x:c r="O1624" s="2"/>
      <x:c r="P1624" s="2"/>
      <x:c r="Q1624" s="2" t="str">
        <x:v>산업전환_외부사업관리Tool_260707_이너젠 수정_LJY_261013.xlsx</x:v>
      </x:c>
      <x:c r="R1624" s="2" t="str">
        <x:v>국외평가</x:v>
      </x:c>
      <x:c r="S1624" s="8" t="n">
        <x:v>248</x:v>
      </x:c>
      <x:c r="T1624" s="2" t="str">
        <x:v>(6/10)</x:v>
      </x:c>
      <x:c r="U1624" s="2" t="str">
        <x:v>2022 지정: (6/10)</x:v>
      </x:c>
      <x:c r="V1624" s="2" t="str">
        <x:v>2022-10-12</x:v>
      </x:c>
      <x:c r="W1624" s="2" t="str"/>
      <x:c r="X1624" s="2" t="str">
        <x:v>종결 근거 보관</x:v>
      </x:c>
      <x:c r="Y1624" s="2" t="str">
        <x:v>ad210cd9ec132cfd447541c8984dc53d30aff0f4fb2dc92d254d49275cc55976</x:v>
      </x:c>
      <x:c r="Z1624" s="2" t="n">
        <x:f>SUBTOTAL(103,A1624)</x:f>
        <x:v>1</x:v>
      </x:c>
      <x:c r="AA1624" s="2" t="str">
        <x:f>IF(K1624&lt;&gt;"미종결 표시","대상 아님",IF(N1624="","신청일 확인",IF(NOT(ISNUMBER('종합 현황'!$H$5)),"관찰기준 확인",IF('종합 현황'!$H$5&lt;1,"관찰기준 확인",IF(N1624&gt;'종합 현황'!$H$5,"내부 관찰 대상","내부 관찰일 이하")))))</x:f>
        <x:v>대상 아님</x:v>
      </x:c>
      <x:c r="AB1624" s="2" t="str">
        <x:v>2022-05-26 19:26:28 - 신규신청 - 신청 
2022-05-26 19:26:28 - 관장기관 지정 - 환경부
2022-06-01 00:28:12 - 관장기관 지정 - 산업통상자원부
2022-06-16 20:35:11 - 신규신청 - 문서재제출요청 
2022-06-20 17:40:16 - 재제출신청 - 신청 
2022-08-23 09:08:03 - 재제출신청 - 문서재제출요청 
2022-08-24 15:40:00 - 재제출신청 - 신청 
2022-10-07 17:03:02 - 재제출신청 - 평가승인 
2022-10-11 14:57:41 - 재제출신청 - 심의승인 
2022-10-12 16:42:17 - 재제출신청 - 착수신고 
</x:v>
      </x:c>
    </x:row>
    <x:row r="1625" ht="42" customHeight="1">
      <x:c r="A1625" s="2" t="str">
        <x:v>08d8e7ac9f8de10e58df7ed8</x:v>
      </x:c>
      <x:c r="B1625" s="2" t="str">
        <x:v>사업 평가</x:v>
      </x:c>
      <x:c r="C1625" s="2" t="str">
        <x:v>국외</x:v>
      </x:c>
      <x:c r="D1625" s="7" t="str">
        <x:v>기후변화센터의 동남아시아 개발도상국(미얀마) 내 고효율 쿡스토브 보급 사업 CPA-017</x:v>
      </x:c>
      <x:c r="E1625" s="2" t="str">
        <x:v>247</x:v>
      </x:c>
      <x:c r="F1625" s="2" t="str">
        <x:v>2022-05</x:v>
      </x:c>
      <x:c r="G1625" s="2" t="str">
        <x:v>2022</x:v>
      </x:c>
      <x:c r="H1625" s="2" t="str">
        <x:v>05</x:v>
      </x:c>
      <x:c r="I1625" s="2" t="str">
        <x:v>승인</x:v>
      </x:c>
      <x:c r="J1625" s="2" t="str">
        <x:v>심의승인</x:v>
      </x:c>
      <x:c r="K1625" s="2" t="str">
        <x:f>IF(OR(J1625="심의승인",J1625="반려",J1625="반려완료",J1625="심의완료"),"종결 표시",IF(OR(J1625="기후부협의",J1625="문서재제출요청",J1625="보류",J1625="보완요청",J1625="보완완료",J1625="평가중",J1625="반려요청",J1625="평가필요",LEFT(J1625,5)="보완요청("),"미종결 표시","상태 확인 필요"))</x:f>
        <x:v>종결 표시</x:v>
      </x:c>
      <x:c r="L1625" s="2" t="str">
        <x:v>KRIC</x:v>
      </x:c>
      <x:c r="M1625" s="2"/>
      <x:c r="N1625" s="8"/>
      <x:c r="O1625" s="2"/>
      <x:c r="P1625" s="2"/>
      <x:c r="Q1625" s="2" t="str">
        <x:v>산업전환_외부사업관리Tool_260707_이너젠 수정_LJY_261013.xlsx</x:v>
      </x:c>
      <x:c r="R1625" s="2" t="str">
        <x:v>국외평가</x:v>
      </x:c>
      <x:c r="S1625" s="8" t="n">
        <x:v>249</x:v>
      </x:c>
      <x:c r="T1625" s="2" t="str">
        <x:v>(6/10)</x:v>
      </x:c>
      <x:c r="U1625" s="2" t="str">
        <x:v>2022 지정: (6/10)</x:v>
      </x:c>
      <x:c r="V1625" s="2" t="str">
        <x:v>2022-10-12</x:v>
      </x:c>
      <x:c r="W1625" s="2" t="str"/>
      <x:c r="X1625" s="2" t="str">
        <x:v>종결 근거 보관</x:v>
      </x:c>
      <x:c r="Y1625" s="2" t="str">
        <x:v>ad210cd9ec132cfd447541c8984dc53d30aff0f4fb2dc92d254d49275cc55976</x:v>
      </x:c>
      <x:c r="Z1625" s="2" t="n">
        <x:f>SUBTOTAL(103,A1625)</x:f>
        <x:v>1</x:v>
      </x:c>
      <x:c r="AA1625" s="2" t="str">
        <x:f>IF(K1625&lt;&gt;"미종결 표시","대상 아님",IF(N1625="","신청일 확인",IF(NOT(ISNUMBER('종합 현황'!$H$5)),"관찰기준 확인",IF('종합 현황'!$H$5&lt;1,"관찰기준 확인",IF(N1625&gt;'종합 현황'!$H$5,"내부 관찰 대상","내부 관찰일 이하")))))</x:f>
        <x:v>대상 아님</x:v>
      </x:c>
      <x:c r="AB1625" s="2" t="str">
        <x:v>2022-05-26 19:26:34 - 신규신청 - 신청 
2022-05-26 19:26:34 - 관장기관 지정 - 환경부
2022-06-01 00:28:00 - 관장기관 지정 - 산업통상자원부
2022-06-16 20:34:55 - 신규신청 - 문서재제출요청 
2022-06-20 17:40:46 - 재제출신청 - 신청 
2022-08-23 09:08:19 - 재제출신청 - 문서재제출요청 
2022-08-24 15:40:16 - 재제출신청 - 신청 
2022-10-07 17:03:25 - 재제출신청 - 평가승인 
2022-10-11 14:58:11 - 재제출신청 - 심의승인 
2022-10-12 16:42:54 - 재제출신청 - 착수신고 
</x:v>
      </x:c>
    </x:row>
    <x:row r="1626" ht="42" customHeight="1">
      <x:c r="A1626" s="2" t="str">
        <x:v>023141a895cf304bfd730bfe</x:v>
      </x:c>
      <x:c r="B1626" s="2" t="str">
        <x:v>사업 평가</x:v>
      </x:c>
      <x:c r="C1626" s="2" t="str">
        <x:v>국외</x:v>
      </x:c>
      <x:c r="D1626" s="7" t="str">
        <x:v>기후변화센터의 동남아시아 개발도상국(미얀마) 내 고효율 쿡스토브 보급 사업 CPA-018</x:v>
      </x:c>
      <x:c r="E1626" s="2" t="str">
        <x:v>248</x:v>
      </x:c>
      <x:c r="F1626" s="2" t="str">
        <x:v>2022-05</x:v>
      </x:c>
      <x:c r="G1626" s="2" t="str">
        <x:v>2022</x:v>
      </x:c>
      <x:c r="H1626" s="2" t="str">
        <x:v>05</x:v>
      </x:c>
      <x:c r="I1626" s="2" t="str">
        <x:v>승인</x:v>
      </x:c>
      <x:c r="J1626" s="2" t="str">
        <x:v>심의승인</x:v>
      </x:c>
      <x:c r="K1626" s="2" t="str">
        <x:f>IF(OR(J1626="심의승인",J1626="반려",J1626="반려완료",J1626="심의완료"),"종결 표시",IF(OR(J1626="기후부협의",J1626="문서재제출요청",J1626="보류",J1626="보완요청",J1626="보완완료",J1626="평가중",J1626="반려요청",J1626="평가필요",LEFT(J1626,5)="보완요청("),"미종결 표시","상태 확인 필요"))</x:f>
        <x:v>종결 표시</x:v>
      </x:c>
      <x:c r="L1626" s="2" t="str">
        <x:v>KRIC</x:v>
      </x:c>
      <x:c r="M1626" s="2"/>
      <x:c r="N1626" s="8"/>
      <x:c r="O1626" s="2"/>
      <x:c r="P1626" s="2"/>
      <x:c r="Q1626" s="2" t="str">
        <x:v>산업전환_외부사업관리Tool_260707_이너젠 수정_LJY_261013.xlsx</x:v>
      </x:c>
      <x:c r="R1626" s="2" t="str">
        <x:v>국외평가</x:v>
      </x:c>
      <x:c r="S1626" s="8" t="n">
        <x:v>250</x:v>
      </x:c>
      <x:c r="T1626" s="2" t="str">
        <x:v>(6/10)</x:v>
      </x:c>
      <x:c r="U1626" s="2" t="str">
        <x:v>2022 지정: (6/10)</x:v>
      </x:c>
      <x:c r="V1626" s="2" t="str">
        <x:v>2022-10-12</x:v>
      </x:c>
      <x:c r="W1626" s="2" t="str"/>
      <x:c r="X1626" s="2" t="str">
        <x:v>종결 근거 보관</x:v>
      </x:c>
      <x:c r="Y1626" s="2" t="str">
        <x:v>ad210cd9ec132cfd447541c8984dc53d30aff0f4fb2dc92d254d49275cc55976</x:v>
      </x:c>
      <x:c r="Z1626" s="2" t="n">
        <x:f>SUBTOTAL(103,A1626)</x:f>
        <x:v>1</x:v>
      </x:c>
      <x:c r="AA1626" s="2" t="str">
        <x:f>IF(K1626&lt;&gt;"미종결 표시","대상 아님",IF(N1626="","신청일 확인",IF(NOT(ISNUMBER('종합 현황'!$H$5)),"관찰기준 확인",IF('종합 현황'!$H$5&lt;1,"관찰기준 확인",IF(N1626&gt;'종합 현황'!$H$5,"내부 관찰 대상","내부 관찰일 이하")))))</x:f>
        <x:v>대상 아님</x:v>
      </x:c>
      <x:c r="AB1626" s="2" t="str">
        <x:v>2022-05-26 19:26:40 - 신규신청 - 신청 
2022-05-26 19:26:40 - 관장기관 지정 - 환경부
2022-06-01 00:36:49 - 관장기관 지정 - 산업통상자원부
2022-06-16 20:34:37 - 신규신청 - 보완요청 
2022-06-20 17:41:24 - 보완신청 - 신청 
2022-08-23 09:08:32 - 보완신청 - 문서재제출요청 
2022-08-24 15:40:28 - 재제출신청 - 신청 
2022-10-07 17:03:56 - 재제출신청 - 평가승인 
2022-10-11 14:58:36 - 재제출신청 - 심의승인 
2022-10-12 16:43:52 - 재제출신청 - 착수신고 
</x:v>
      </x:c>
    </x:row>
    <x:row r="1627" ht="42" customHeight="1">
      <x:c r="A1627" s="2" t="str">
        <x:v>9ec8c474e9ee4ad2898491ed</x:v>
      </x:c>
      <x:c r="B1627" s="2" t="str">
        <x:v>사업 평가</x:v>
      </x:c>
      <x:c r="C1627" s="2" t="str">
        <x:v>국외</x:v>
      </x:c>
      <x:c r="D1627" s="7" t="str">
        <x:v>기후변화센터의 동남아시아 개발도상국(미얀마) 내 고효율 쿡스토브 보급 사업 CPA-019</x:v>
      </x:c>
      <x:c r="E1627" s="2" t="str">
        <x:v>249</x:v>
      </x:c>
      <x:c r="F1627" s="2" t="str">
        <x:v>2022-05</x:v>
      </x:c>
      <x:c r="G1627" s="2" t="str">
        <x:v>2022</x:v>
      </x:c>
      <x:c r="H1627" s="2" t="str">
        <x:v>05</x:v>
      </x:c>
      <x:c r="I1627" s="2" t="str">
        <x:v>승인</x:v>
      </x:c>
      <x:c r="J1627" s="2" t="str">
        <x:v>심의승인</x:v>
      </x:c>
      <x:c r="K1627" s="2" t="str">
        <x:f>IF(OR(J1627="심의승인",J1627="반려",J1627="반려완료",J1627="심의완료"),"종결 표시",IF(OR(J1627="기후부협의",J1627="문서재제출요청",J1627="보류",J1627="보완요청",J1627="보완완료",J1627="평가중",J1627="반려요청",J1627="평가필요",LEFT(J1627,5)="보완요청("),"미종결 표시","상태 확인 필요"))</x:f>
        <x:v>종결 표시</x:v>
      </x:c>
      <x:c r="L1627" s="2" t="str">
        <x:v>KRIC</x:v>
      </x:c>
      <x:c r="M1627" s="2"/>
      <x:c r="N1627" s="8"/>
      <x:c r="O1627" s="2"/>
      <x:c r="P1627" s="2"/>
      <x:c r="Q1627" s="2" t="str">
        <x:v>산업전환_외부사업관리Tool_260707_이너젠 수정_LJY_261013.xlsx</x:v>
      </x:c>
      <x:c r="R1627" s="2" t="str">
        <x:v>국외평가</x:v>
      </x:c>
      <x:c r="S1627" s="8" t="n">
        <x:v>251</x:v>
      </x:c>
      <x:c r="T1627" s="2" t="str">
        <x:v>(6/10)</x:v>
      </x:c>
      <x:c r="U1627" s="2" t="str">
        <x:v>2022 지정: (6/10)</x:v>
      </x:c>
      <x:c r="V1627" s="2" t="str">
        <x:v>2022-10-12</x:v>
      </x:c>
      <x:c r="W1627" s="2" t="str"/>
      <x:c r="X1627" s="2" t="str">
        <x:v>종결 근거 보관</x:v>
      </x:c>
      <x:c r="Y1627" s="2" t="str">
        <x:v>ad210cd9ec132cfd447541c8984dc53d30aff0f4fb2dc92d254d49275cc55976</x:v>
      </x:c>
      <x:c r="Z1627" s="2" t="n">
        <x:f>SUBTOTAL(103,A1627)</x:f>
        <x:v>1</x:v>
      </x:c>
      <x:c r="AA1627" s="2" t="str">
        <x:f>IF(K1627&lt;&gt;"미종결 표시","대상 아님",IF(N1627="","신청일 확인",IF(NOT(ISNUMBER('종합 현황'!$H$5)),"관찰기준 확인",IF('종합 현황'!$H$5&lt;1,"관찰기준 확인",IF(N1627&gt;'종합 현황'!$H$5,"내부 관찰 대상","내부 관찰일 이하")))))</x:f>
        <x:v>대상 아님</x:v>
      </x:c>
      <x:c r="AB1627" s="2" t="str">
        <x:v>2022-05-26 19:26:46 - 신규신청 - 신청 
2022-05-26 19:26:46 - 관장기관 지정 - 환경부
2022-06-01 00:36:42 - 관장기관 지정 - 산업통상자원부
2022-06-16 20:34:11 - 신규신청 - 문서재제출요청 
2022-06-20 17:41:42 - 재제출신청 - 신청 
2022-08-23 09:08:51 - 재제출신청 - 문서재제출요청 
2022-08-24 15:40:38 - 재제출신청 - 신청 
2022-10-07 17:04:19 - 재제출신청 - 평가승인 
2022-10-11 14:59:10 - 재제출신청 - 심의승인 
2022-10-12 16:44:20 - 재제출신청 - 착수신고 
</x:v>
      </x:c>
    </x:row>
    <x:row r="1628" ht="42" customHeight="1">
      <x:c r="A1628" s="2" t="str">
        <x:v>ba03aa3fb556be4c97fdb04e</x:v>
      </x:c>
      <x:c r="B1628" s="2" t="str">
        <x:v>사업 평가</x:v>
      </x:c>
      <x:c r="C1628" s="2" t="str">
        <x:v>국외</x:v>
      </x:c>
      <x:c r="D1628" s="7" t="str">
        <x:v>기후변화센터의 동남아시아 개발도상국(미얀마) 내 고효율 쿡스토브 보급 사업 CPA-020</x:v>
      </x:c>
      <x:c r="E1628" s="2" t="str">
        <x:v>250</x:v>
      </x:c>
      <x:c r="F1628" s="2" t="str">
        <x:v>2022-05</x:v>
      </x:c>
      <x:c r="G1628" s="2" t="str">
        <x:v>2022</x:v>
      </x:c>
      <x:c r="H1628" s="2" t="str">
        <x:v>05</x:v>
      </x:c>
      <x:c r="I1628" s="2" t="str">
        <x:v>승인</x:v>
      </x:c>
      <x:c r="J1628" s="2" t="str">
        <x:v>심의승인</x:v>
      </x:c>
      <x:c r="K1628" s="2" t="str">
        <x:f>IF(OR(J1628="심의승인",J1628="반려",J1628="반려완료",J1628="심의완료"),"종결 표시",IF(OR(J1628="기후부협의",J1628="문서재제출요청",J1628="보류",J1628="보완요청",J1628="보완완료",J1628="평가중",J1628="반려요청",J1628="평가필요",LEFT(J1628,5)="보완요청("),"미종결 표시","상태 확인 필요"))</x:f>
        <x:v>종결 표시</x:v>
      </x:c>
      <x:c r="L1628" s="2" t="str">
        <x:v>KRIC</x:v>
      </x:c>
      <x:c r="M1628" s="2"/>
      <x:c r="N1628" s="8"/>
      <x:c r="O1628" s="2"/>
      <x:c r="P1628" s="2"/>
      <x:c r="Q1628" s="2" t="str">
        <x:v>산업전환_외부사업관리Tool_260707_이너젠 수정_LJY_261013.xlsx</x:v>
      </x:c>
      <x:c r="R1628" s="2" t="str">
        <x:v>국외평가</x:v>
      </x:c>
      <x:c r="S1628" s="8" t="n">
        <x:v>252</x:v>
      </x:c>
      <x:c r="T1628" s="2" t="str">
        <x:v>(6/10)</x:v>
      </x:c>
      <x:c r="U1628" s="2" t="str">
        <x:v>2022 지정: (6/10)</x:v>
      </x:c>
      <x:c r="V1628" s="2" t="str">
        <x:v>2022-10-12</x:v>
      </x:c>
      <x:c r="W1628" s="2" t="str"/>
      <x:c r="X1628" s="2" t="str">
        <x:v>종결 근거 보관</x:v>
      </x:c>
      <x:c r="Y1628" s="2" t="str">
        <x:v>ad210cd9ec132cfd447541c8984dc53d30aff0f4fb2dc92d254d49275cc55976</x:v>
      </x:c>
      <x:c r="Z1628" s="2" t="n">
        <x:f>SUBTOTAL(103,A1628)</x:f>
        <x:v>1</x:v>
      </x:c>
      <x:c r="AA1628" s="2" t="str">
        <x:f>IF(K1628&lt;&gt;"미종결 표시","대상 아님",IF(N1628="","신청일 확인",IF(NOT(ISNUMBER('종합 현황'!$H$5)),"관찰기준 확인",IF('종합 현황'!$H$5&lt;1,"관찰기준 확인",IF(N1628&gt;'종합 현황'!$H$5,"내부 관찰 대상","내부 관찰일 이하")))))</x:f>
        <x:v>대상 아님</x:v>
      </x:c>
      <x:c r="AB1628" s="2" t="str">
        <x:v>2022-05-26 19:26:53 - 관장기관 지정 - 환경부
2022-05-26 19:26:54 - 신규신청 - 신청 
2022-06-01 00:36:37 - 관장기관 지정 - 산업통상자원부
2022-06-16 20:33:48 - 신규신청 - 문서재제출요청 
2022-06-20 17:41:57 - 재제출신청 - 신청 
2022-08-23 09:09:10 - 재제출신청 - 문서재제출요청 
2022-08-24 15:40:48 - 재제출신청 - 신청 
2022-10-07 17:04:42 - 재제출신청 - 평가승인 
2022-10-11 14:59:32 - 재제출신청 - 심의승인 
2022-10-12 16:45:31 - 재제출신청 - 착수신고 
</x:v>
      </x:c>
    </x:row>
    <x:row r="1629" ht="42" customHeight="1">
      <x:c r="A1629" s="2" t="str">
        <x:v>dff928dfd6111f28537bcd58</x:v>
      </x:c>
      <x:c r="B1629" s="2" t="str">
        <x:v>사업 평가</x:v>
      </x:c>
      <x:c r="C1629" s="2" t="str">
        <x:v>국외</x:v>
      </x:c>
      <x:c r="D1629" s="7" t="str">
        <x:v>기후변화센터의 동남아시아 개발도상국(미얀마) 내 고효율 쿡스토브 보급 사업 CPA-021</x:v>
      </x:c>
      <x:c r="E1629" s="2" t="str">
        <x:v>251</x:v>
      </x:c>
      <x:c r="F1629" s="2" t="str">
        <x:v>2022-05</x:v>
      </x:c>
      <x:c r="G1629" s="2" t="str">
        <x:v>2022</x:v>
      </x:c>
      <x:c r="H1629" s="2" t="str">
        <x:v>05</x:v>
      </x:c>
      <x:c r="I1629" s="2" t="str">
        <x:v>승인</x:v>
      </x:c>
      <x:c r="J1629" s="2" t="str">
        <x:v>심의승인</x:v>
      </x:c>
      <x:c r="K1629" s="2" t="str">
        <x:f>IF(OR(J1629="심의승인",J1629="반려",J1629="반려완료",J1629="심의완료"),"종결 표시",IF(OR(J1629="기후부협의",J1629="문서재제출요청",J1629="보류",J1629="보완요청",J1629="보완완료",J1629="평가중",J1629="반려요청",J1629="평가필요",LEFT(J1629,5)="보완요청("),"미종결 표시","상태 확인 필요"))</x:f>
        <x:v>종결 표시</x:v>
      </x:c>
      <x:c r="L1629" s="2" t="str">
        <x:v>KRIC</x:v>
      </x:c>
      <x:c r="M1629" s="2"/>
      <x:c r="N1629" s="8"/>
      <x:c r="O1629" s="2"/>
      <x:c r="P1629" s="2"/>
      <x:c r="Q1629" s="2" t="str">
        <x:v>산업전환_외부사업관리Tool_260707_이너젠 수정_LJY_261013.xlsx</x:v>
      </x:c>
      <x:c r="R1629" s="2" t="str">
        <x:v>국외평가</x:v>
      </x:c>
      <x:c r="S1629" s="8" t="n">
        <x:v>253</x:v>
      </x:c>
      <x:c r="T1629" s="2" t="str">
        <x:v>(6/10)</x:v>
      </x:c>
      <x:c r="U1629" s="2" t="str">
        <x:v>2022 지정: (6/10)</x:v>
      </x:c>
      <x:c r="V1629" s="2" t="str">
        <x:v>2022-10-12</x:v>
      </x:c>
      <x:c r="W1629" s="2" t="str"/>
      <x:c r="X1629" s="2" t="str">
        <x:v>종결 근거 보관</x:v>
      </x:c>
      <x:c r="Y1629" s="2" t="str">
        <x:v>ad210cd9ec132cfd447541c8984dc53d30aff0f4fb2dc92d254d49275cc55976</x:v>
      </x:c>
      <x:c r="Z1629" s="2" t="n">
        <x:f>SUBTOTAL(103,A1629)</x:f>
        <x:v>1</x:v>
      </x:c>
      <x:c r="AA1629" s="2" t="str">
        <x:f>IF(K1629&lt;&gt;"미종결 표시","대상 아님",IF(N1629="","신청일 확인",IF(NOT(ISNUMBER('종합 현황'!$H$5)),"관찰기준 확인",IF('종합 현황'!$H$5&lt;1,"관찰기준 확인",IF(N1629&gt;'종합 현황'!$H$5,"내부 관찰 대상","내부 관찰일 이하")))))</x:f>
        <x:v>대상 아님</x:v>
      </x:c>
      <x:c r="AB1629" s="2" t="str">
        <x:v>2022-05-26 19:26:59 - 신규신청 - 신청 
2022-05-26 19:26:59 - 관장기관 지정 - 환경부
2022-06-01 00:36:32 - 관장기관 지정 - 산업통상자원부
2022-06-16 20:33:29 - 신규신청 - 문서재제출요청 
2022-06-20 17:42:19 - 재제출신청 - 신청 
2022-08-23 09:09:26 - 재제출신청 - 문서재제출요청 
2022-08-24 15:40:58 - 재제출신청 - 신청 
2022-10-07 17:05:06 - 재제출신청 - 평가승인 
2022-10-11 14:59:55 - 재제출신청 - 심의승인 
2022-10-12 16:52:01 - 재제출신청 - 착수신고 
</x:v>
      </x:c>
    </x:row>
    <x:row r="1630" ht="42" customHeight="1">
      <x:c r="A1630" s="2" t="str">
        <x:v>2024b9bbc160e4089950ac38</x:v>
      </x:c>
      <x:c r="B1630" s="2" t="str">
        <x:v>사업 평가</x:v>
      </x:c>
      <x:c r="C1630" s="2" t="str">
        <x:v>국외</x:v>
      </x:c>
      <x:c r="D1630" s="7" t="str">
        <x:v>기후변화센터의 동남아시아 개발도상국(미얀마) 내 고효율 쿡스토브 보급 사업 CPA-022</x:v>
      </x:c>
      <x:c r="E1630" s="2" t="str">
        <x:v>252</x:v>
      </x:c>
      <x:c r="F1630" s="2" t="str">
        <x:v>2022-05</x:v>
      </x:c>
      <x:c r="G1630" s="2" t="str">
        <x:v>2022</x:v>
      </x:c>
      <x:c r="H1630" s="2" t="str">
        <x:v>05</x:v>
      </x:c>
      <x:c r="I1630" s="2" t="str">
        <x:v>승인</x:v>
      </x:c>
      <x:c r="J1630" s="2" t="str">
        <x:v>심의승인</x:v>
      </x:c>
      <x:c r="K1630" s="2" t="str">
        <x:f>IF(OR(J1630="심의승인",J1630="반려",J1630="반려완료",J1630="심의완료"),"종결 표시",IF(OR(J1630="기후부협의",J1630="문서재제출요청",J1630="보류",J1630="보완요청",J1630="보완완료",J1630="평가중",J1630="반려요청",J1630="평가필요",LEFT(J1630,5)="보완요청("),"미종결 표시","상태 확인 필요"))</x:f>
        <x:v>종결 표시</x:v>
      </x:c>
      <x:c r="L1630" s="2" t="str">
        <x:v>KRIC</x:v>
      </x:c>
      <x:c r="M1630" s="2"/>
      <x:c r="N1630" s="8"/>
      <x:c r="O1630" s="2"/>
      <x:c r="P1630" s="2"/>
      <x:c r="Q1630" s="2" t="str">
        <x:v>산업전환_외부사업관리Tool_260707_이너젠 수정_LJY_261013.xlsx</x:v>
      </x:c>
      <x:c r="R1630" s="2" t="str">
        <x:v>국외평가</x:v>
      </x:c>
      <x:c r="S1630" s="8" t="n">
        <x:v>254</x:v>
      </x:c>
      <x:c r="T1630" s="2" t="str">
        <x:v>(6/10)</x:v>
      </x:c>
      <x:c r="U1630" s="2" t="str">
        <x:v>2022 지정: (6/10)</x:v>
      </x:c>
      <x:c r="V1630" s="2" t="str">
        <x:v>2022-10-12</x:v>
      </x:c>
      <x:c r="W1630" s="2" t="str"/>
      <x:c r="X1630" s="2" t="str">
        <x:v>종결 근거 보관</x:v>
      </x:c>
      <x:c r="Y1630" s="2" t="str">
        <x:v>ad210cd9ec132cfd447541c8984dc53d30aff0f4fb2dc92d254d49275cc55976</x:v>
      </x:c>
      <x:c r="Z1630" s="2" t="n">
        <x:f>SUBTOTAL(103,A1630)</x:f>
        <x:v>1</x:v>
      </x:c>
      <x:c r="AA1630" s="2" t="str">
        <x:f>IF(K1630&lt;&gt;"미종결 표시","대상 아님",IF(N1630="","신청일 확인",IF(NOT(ISNUMBER('종합 현황'!$H$5)),"관찰기준 확인",IF('종합 현황'!$H$5&lt;1,"관찰기준 확인",IF(N1630&gt;'종합 현황'!$H$5,"내부 관찰 대상","내부 관찰일 이하")))))</x:f>
        <x:v>대상 아님</x:v>
      </x:c>
      <x:c r="AB1630" s="2" t="str">
        <x:v>2022-05-26 19:27:04 - 신규신청 - 신청 
2022-05-26 19:27:04 - 관장기관 지정 - 환경부
2022-06-01 00:36:27 - 관장기관 지정 - 산업통상자원부
2022-06-16 20:33:14 - 신규신청 - 문서재제출요청 
2022-06-20 17:42:44 - 재제출신청 - 신청 
2022-08-23 09:09:40 - 재제출신청 - 문서재제출요청 
2022-08-24 15:41:08 - 재제출신청 - 신청 
2022-10-07 17:05:27 - 재제출신청 - 평가승인 
2022-10-11 15:00:17 - 재제출신청 - 심의승인 
2022-10-12 17:03:17 - 재제출신청 - 착수신고 
</x:v>
      </x:c>
    </x:row>
    <x:row r="1631" ht="42" customHeight="1">
      <x:c r="A1631" s="2" t="str">
        <x:v>b546237f768f55431eac6014</x:v>
      </x:c>
      <x:c r="B1631" s="2" t="str">
        <x:v>사업 평가</x:v>
      </x:c>
      <x:c r="C1631" s="2" t="str">
        <x:v>국외</x:v>
      </x:c>
      <x:c r="D1631" s="7" t="str">
        <x:v>기후변화센터의 동남아시아 개발도상국(미얀마) 내 고효율 쿡스토브 보급 사업 CPA-023</x:v>
      </x:c>
      <x:c r="E1631" s="2" t="str">
        <x:v>253</x:v>
      </x:c>
      <x:c r="F1631" s="2" t="str">
        <x:v>2022-05</x:v>
      </x:c>
      <x:c r="G1631" s="2" t="str">
        <x:v>2022</x:v>
      </x:c>
      <x:c r="H1631" s="2" t="str">
        <x:v>05</x:v>
      </x:c>
      <x:c r="I1631" s="2" t="str">
        <x:v>승인</x:v>
      </x:c>
      <x:c r="J1631" s="2" t="str">
        <x:v>심의승인</x:v>
      </x:c>
      <x:c r="K1631" s="2" t="str">
        <x:f>IF(OR(J1631="심의승인",J1631="반려",J1631="반려완료",J1631="심의완료"),"종결 표시",IF(OR(J1631="기후부협의",J1631="문서재제출요청",J1631="보류",J1631="보완요청",J1631="보완완료",J1631="평가중",J1631="반려요청",J1631="평가필요",LEFT(J1631,5)="보완요청("),"미종결 표시","상태 확인 필요"))</x:f>
        <x:v>종결 표시</x:v>
      </x:c>
      <x:c r="L1631" s="2" t="str">
        <x:v>KRIC</x:v>
      </x:c>
      <x:c r="M1631" s="2"/>
      <x:c r="N1631" s="8"/>
      <x:c r="O1631" s="2"/>
      <x:c r="P1631" s="2"/>
      <x:c r="Q1631" s="2" t="str">
        <x:v>산업전환_외부사업관리Tool_260707_이너젠 수정_LJY_261013.xlsx</x:v>
      </x:c>
      <x:c r="R1631" s="2" t="str">
        <x:v>국외평가</x:v>
      </x:c>
      <x:c r="S1631" s="8" t="n">
        <x:v>255</x:v>
      </x:c>
      <x:c r="T1631" s="2" t="str">
        <x:v>(6/10)</x:v>
      </x:c>
      <x:c r="U1631" s="2" t="str">
        <x:v>2022 지정: (6/10)</x:v>
      </x:c>
      <x:c r="V1631" s="2" t="str">
        <x:v>2022-10-12</x:v>
      </x:c>
      <x:c r="W1631" s="2" t="str"/>
      <x:c r="X1631" s="2" t="str">
        <x:v>종결 근거 보관</x:v>
      </x:c>
      <x:c r="Y1631" s="2" t="str">
        <x:v>ad210cd9ec132cfd447541c8984dc53d30aff0f4fb2dc92d254d49275cc55976</x:v>
      </x:c>
      <x:c r="Z1631" s="2" t="n">
        <x:f>SUBTOTAL(103,A1631)</x:f>
        <x:v>1</x:v>
      </x:c>
      <x:c r="AA1631" s="2" t="str">
        <x:f>IF(K1631&lt;&gt;"미종결 표시","대상 아님",IF(N1631="","신청일 확인",IF(NOT(ISNUMBER('종합 현황'!$H$5)),"관찰기준 확인",IF('종합 현황'!$H$5&lt;1,"관찰기준 확인",IF(N1631&gt;'종합 현황'!$H$5,"내부 관찰 대상","내부 관찰일 이하")))))</x:f>
        <x:v>대상 아님</x:v>
      </x:c>
      <x:c r="AB1631" s="2" t="str">
        <x:v>2022-05-26 19:27:09 - 관장기관 지정 - 환경부
2022-05-26 19:27:10 - 신규신청 - 신청 
2022-06-01 00:36:22 - 관장기관 지정 - 산업통상자원부
2022-06-16 20:32:59 - 신규신청 - 문서재제출요청 
2022-06-20 17:43:00 - 재제출신청 - 신청 
2022-08-23 09:10:01 - 재제출신청 - 문서재제출요청 
2022-08-24 15:41:18 - 재제출신청 - 신청 
2022-10-07 17:06:15 - 재제출신청 - 평가승인 
2022-10-11 15:00:44 - 재제출신청 - 심의승인 
2022-10-12 17:04:11 - 재제출신청 - 착수신고 
</x:v>
      </x:c>
    </x:row>
    <x:row r="1632" ht="42" customHeight="1">
      <x:c r="A1632" s="2" t="str">
        <x:v>7d6f0ae37757673f98d4e65b</x:v>
      </x:c>
      <x:c r="B1632" s="2" t="str">
        <x:v>사업 평가</x:v>
      </x:c>
      <x:c r="C1632" s="2" t="str">
        <x:v>국외</x:v>
      </x:c>
      <x:c r="D1632" s="7" t="str">
        <x:v>기후변화센터의 동남아시아 개발도상국(미얀마) 내 고효율 쿡스토브 보급 사업 CPA-024</x:v>
      </x:c>
      <x:c r="E1632" s="2" t="str">
        <x:v>254</x:v>
      </x:c>
      <x:c r="F1632" s="2" t="str">
        <x:v>2022-05</x:v>
      </x:c>
      <x:c r="G1632" s="2" t="str">
        <x:v>2022</x:v>
      </x:c>
      <x:c r="H1632" s="2" t="str">
        <x:v>05</x:v>
      </x:c>
      <x:c r="I1632" s="2" t="str">
        <x:v>승인</x:v>
      </x:c>
      <x:c r="J1632" s="2" t="str">
        <x:v>심의승인</x:v>
      </x:c>
      <x:c r="K1632" s="2" t="str">
        <x:f>IF(OR(J1632="심의승인",J1632="반려",J1632="반려완료",J1632="심의완료"),"종결 표시",IF(OR(J1632="기후부협의",J1632="문서재제출요청",J1632="보류",J1632="보완요청",J1632="보완완료",J1632="평가중",J1632="반려요청",J1632="평가필요",LEFT(J1632,5)="보완요청("),"미종결 표시","상태 확인 필요"))</x:f>
        <x:v>종결 표시</x:v>
      </x:c>
      <x:c r="L1632" s="2" t="str">
        <x:v>KRIC</x:v>
      </x:c>
      <x:c r="M1632" s="2"/>
      <x:c r="N1632" s="8"/>
      <x:c r="O1632" s="2"/>
      <x:c r="P1632" s="2"/>
      <x:c r="Q1632" s="2" t="str">
        <x:v>산업전환_외부사업관리Tool_260707_이너젠 수정_LJY_261013.xlsx</x:v>
      </x:c>
      <x:c r="R1632" s="2" t="str">
        <x:v>국외평가</x:v>
      </x:c>
      <x:c r="S1632" s="8" t="n">
        <x:v>256</x:v>
      </x:c>
      <x:c r="T1632" s="2" t="str">
        <x:v>(6/10)</x:v>
      </x:c>
      <x:c r="U1632" s="2" t="str">
        <x:v>2022 지정: (6/10)</x:v>
      </x:c>
      <x:c r="V1632" s="2" t="str">
        <x:v>2022-10-12</x:v>
      </x:c>
      <x:c r="W1632" s="2" t="str"/>
      <x:c r="X1632" s="2" t="str">
        <x:v>종결 근거 보관</x:v>
      </x:c>
      <x:c r="Y1632" s="2" t="str">
        <x:v>ad210cd9ec132cfd447541c8984dc53d30aff0f4fb2dc92d254d49275cc55976</x:v>
      </x:c>
      <x:c r="Z1632" s="2" t="n">
        <x:f>SUBTOTAL(103,A1632)</x:f>
        <x:v>1</x:v>
      </x:c>
      <x:c r="AA1632" s="2" t="str">
        <x:f>IF(K1632&lt;&gt;"미종결 표시","대상 아님",IF(N1632="","신청일 확인",IF(NOT(ISNUMBER('종합 현황'!$H$5)),"관찰기준 확인",IF('종합 현황'!$H$5&lt;1,"관찰기준 확인",IF(N1632&gt;'종합 현황'!$H$5,"내부 관찰 대상","내부 관찰일 이하")))))</x:f>
        <x:v>대상 아님</x:v>
      </x:c>
      <x:c r="AB1632" s="2" t="str">
        <x:v>2022-05-26 19:27:15 - 신규신청 - 신청 
2022-05-26 19:27:15 - 관장기관 지정 - 환경부
2022-06-01 00:36:17 - 관장기관 지정 - 산업통상자원부
2022-06-16 20:32:43 - 신규신청 - 보완요청 
2022-06-20 17:52:09 - 보완신청 - 신청 
2022-08-23 09:12:48 - 보완신청 - 문서재제출요청 
2022-08-24 15:41:29 - 재제출신청 - 신청 
2022-10-07 17:13:30 - 재제출신청 - 평가승인 
2022-10-11 15:01:07 - 재제출신청 - 심의승인 
2022-10-12 17:05:08 - 재제출신청 - 착수신고 
</x:v>
      </x:c>
    </x:row>
    <x:row r="1633" ht="42" customHeight="1">
      <x:c r="A1633" s="2" t="str">
        <x:v>20f8939eab9ad169d6214a37</x:v>
      </x:c>
      <x:c r="B1633" s="2" t="str">
        <x:v>사업 평가</x:v>
      </x:c>
      <x:c r="C1633" s="2" t="str">
        <x:v>국외</x:v>
      </x:c>
      <x:c r="D1633" s="7" t="str">
        <x:v>기후변화센터의 동남아시아 개발도상국(미얀마) 내 고효율 쿡스토브 보급 사업 CPA-025</x:v>
      </x:c>
      <x:c r="E1633" s="2" t="str">
        <x:v>255</x:v>
      </x:c>
      <x:c r="F1633" s="2" t="str">
        <x:v>2022-05</x:v>
      </x:c>
      <x:c r="G1633" s="2" t="str">
        <x:v>2022</x:v>
      </x:c>
      <x:c r="H1633" s="2" t="str">
        <x:v>05</x:v>
      </x:c>
      <x:c r="I1633" s="2" t="str">
        <x:v>승인</x:v>
      </x:c>
      <x:c r="J1633" s="2" t="str">
        <x:v>심의승인</x:v>
      </x:c>
      <x:c r="K1633" s="2" t="str">
        <x:f>IF(OR(J1633="심의승인",J1633="반려",J1633="반려완료",J1633="심의완료"),"종결 표시",IF(OR(J1633="기후부협의",J1633="문서재제출요청",J1633="보류",J1633="보완요청",J1633="보완완료",J1633="평가중",J1633="반려요청",J1633="평가필요",LEFT(J1633,5)="보완요청("),"미종결 표시","상태 확인 필요"))</x:f>
        <x:v>종결 표시</x:v>
      </x:c>
      <x:c r="L1633" s="2" t="str">
        <x:v>KRIC</x:v>
      </x:c>
      <x:c r="M1633" s="2"/>
      <x:c r="N1633" s="8"/>
      <x:c r="O1633" s="2"/>
      <x:c r="P1633" s="2"/>
      <x:c r="Q1633" s="2" t="str">
        <x:v>산업전환_외부사업관리Tool_260707_이너젠 수정_LJY_261013.xlsx</x:v>
      </x:c>
      <x:c r="R1633" s="2" t="str">
        <x:v>국외평가</x:v>
      </x:c>
      <x:c r="S1633" s="8" t="n">
        <x:v>257</x:v>
      </x:c>
      <x:c r="T1633" s="2" t="str">
        <x:v>(6/10)</x:v>
      </x:c>
      <x:c r="U1633" s="2" t="str">
        <x:v>2022 지정: (6/10)</x:v>
      </x:c>
      <x:c r="V1633" s="2" t="str">
        <x:v>2022-10-12</x:v>
      </x:c>
      <x:c r="W1633" s="2" t="str"/>
      <x:c r="X1633" s="2" t="str">
        <x:v>종결 근거 보관</x:v>
      </x:c>
      <x:c r="Y1633" s="2" t="str">
        <x:v>ad210cd9ec132cfd447541c8984dc53d30aff0f4fb2dc92d254d49275cc55976</x:v>
      </x:c>
      <x:c r="Z1633" s="2" t="n">
        <x:f>SUBTOTAL(103,A1633)</x:f>
        <x:v>1</x:v>
      </x:c>
      <x:c r="AA1633" s="2" t="str">
        <x:f>IF(K1633&lt;&gt;"미종결 표시","대상 아님",IF(N1633="","신청일 확인",IF(NOT(ISNUMBER('종합 현황'!$H$5)),"관찰기준 확인",IF('종합 현황'!$H$5&lt;1,"관찰기준 확인",IF(N1633&gt;'종합 현황'!$H$5,"내부 관찰 대상","내부 관찰일 이하")))))</x:f>
        <x:v>대상 아님</x:v>
      </x:c>
      <x:c r="AB1633" s="2" t="str">
        <x:v>2022-05-26 19:27:28 - 신규신청 - 신청 
2022-05-26 19:27:28 - 관장기관 지정 - 환경부
2022-06-01 00:36:12 - 관장기관 지정 - 산업통상자원부
2022-06-16 20:32:24 - 신규신청 - 문서재제출요청 
2022-06-20 17:43:21 - 재제출신청 - 신청 
2022-08-23 09:10:15 - 재제출신청 - 문서재제출요청 
2022-08-24 15:41:39 - 재제출신청 - 신청 
2022-10-07 17:14:03 - 재제출신청 - 평가승인 
2022-10-11 15:01:31 - 재제출신청 - 심의승인 
2022-10-12 17:06:48 - 재제출신청 - 착수신고 
</x:v>
      </x:c>
    </x:row>
    <x:row r="1634" ht="42" customHeight="1">
      <x:c r="A1634" s="2" t="str">
        <x:v>21b5ca3d4e4f67a551fa62a7</x:v>
      </x:c>
      <x:c r="B1634" s="2" t="str">
        <x:v>사업 평가</x:v>
      </x:c>
      <x:c r="C1634" s="2" t="str">
        <x:v>국외</x:v>
      </x:c>
      <x:c r="D1634" s="7" t="str">
        <x:v>기후변화센터의 동남아시아 개발도상국(미얀마) 내 고효율 쿡스토브 보급 사업 CPA-026</x:v>
      </x:c>
      <x:c r="E1634" s="2" t="str">
        <x:v>256</x:v>
      </x:c>
      <x:c r="F1634" s="2" t="str">
        <x:v>2022-05</x:v>
      </x:c>
      <x:c r="G1634" s="2" t="str">
        <x:v>2022</x:v>
      </x:c>
      <x:c r="H1634" s="2" t="str">
        <x:v>05</x:v>
      </x:c>
      <x:c r="I1634" s="2" t="str">
        <x:v>승인</x:v>
      </x:c>
      <x:c r="J1634" s="2" t="str">
        <x:v>심의승인</x:v>
      </x:c>
      <x:c r="K1634" s="2" t="str">
        <x:f>IF(OR(J1634="심의승인",J1634="반려",J1634="반려완료",J1634="심의완료"),"종결 표시",IF(OR(J1634="기후부협의",J1634="문서재제출요청",J1634="보류",J1634="보완요청",J1634="보완완료",J1634="평가중",J1634="반려요청",J1634="평가필요",LEFT(J1634,5)="보완요청("),"미종결 표시","상태 확인 필요"))</x:f>
        <x:v>종결 표시</x:v>
      </x:c>
      <x:c r="L1634" s="2" t="str">
        <x:v>KRIC</x:v>
      </x:c>
      <x:c r="M1634" s="2"/>
      <x:c r="N1634" s="8"/>
      <x:c r="O1634" s="2"/>
      <x:c r="P1634" s="2"/>
      <x:c r="Q1634" s="2" t="str">
        <x:v>산업전환_외부사업관리Tool_260707_이너젠 수정_LJY_261013.xlsx</x:v>
      </x:c>
      <x:c r="R1634" s="2" t="str">
        <x:v>국외평가</x:v>
      </x:c>
      <x:c r="S1634" s="8" t="n">
        <x:v>258</x:v>
      </x:c>
      <x:c r="T1634" s="2" t="str">
        <x:v>(6/10)</x:v>
      </x:c>
      <x:c r="U1634" s="2" t="str">
        <x:v>2022 지정: (6/10)</x:v>
      </x:c>
      <x:c r="V1634" s="2" t="str">
        <x:v>2022-10-12</x:v>
      </x:c>
      <x:c r="W1634" s="2" t="str"/>
      <x:c r="X1634" s="2" t="str">
        <x:v>종결 근거 보관</x:v>
      </x:c>
      <x:c r="Y1634" s="2" t="str">
        <x:v>ad210cd9ec132cfd447541c8984dc53d30aff0f4fb2dc92d254d49275cc55976</x:v>
      </x:c>
      <x:c r="Z1634" s="2" t="n">
        <x:f>SUBTOTAL(103,A1634)</x:f>
        <x:v>1</x:v>
      </x:c>
      <x:c r="AA1634" s="2" t="str">
        <x:f>IF(K1634&lt;&gt;"미종결 표시","대상 아님",IF(N1634="","신청일 확인",IF(NOT(ISNUMBER('종합 현황'!$H$5)),"관찰기준 확인",IF('종합 현황'!$H$5&lt;1,"관찰기준 확인",IF(N1634&gt;'종합 현황'!$H$5,"내부 관찰 대상","내부 관찰일 이하")))))</x:f>
        <x:v>대상 아님</x:v>
      </x:c>
      <x:c r="AB1634" s="2" t="str">
        <x:v>2022-05-26 19:27:41 - 신규신청 - 신청 
2022-05-26 19:27:41 - 관장기관 지정 - 환경부
2022-06-01 00:36:07 - 관장기관 지정 - 산업통상자원부
2022-06-16 20:32:08 - 신규신청 - 문서재제출요청 
2022-06-20 17:43:34 - 재제출신청 - 신청 
2022-08-23 09:10:29 - 재제출신청 - 문서재제출요청 
2022-08-24 15:41:49 - 재제출신청 - 신청 
2022-10-07 17:14:26 - 재제출신청 - 평가승인 
2022-10-11 15:01:51 - 재제출신청 - 심의승인 
2022-10-12 17:07:31 - 재제출신청 - 착수신고 
</x:v>
      </x:c>
    </x:row>
    <x:row r="1635" ht="42" customHeight="1">
      <x:c r="A1635" s="2" t="str">
        <x:v>2bc73b2dd3e834e733b779d8</x:v>
      </x:c>
      <x:c r="B1635" s="2" t="str">
        <x:v>사업 평가</x:v>
      </x:c>
      <x:c r="C1635" s="2" t="str">
        <x:v>국외</x:v>
      </x:c>
      <x:c r="D1635" s="7" t="str">
        <x:v>기후변화센터의 동남아시아 개발도상국(미얀마) 내 고효율 쿡스토브 보급 사업 CPA-027</x:v>
      </x:c>
      <x:c r="E1635" s="2" t="str">
        <x:v>257</x:v>
      </x:c>
      <x:c r="F1635" s="2" t="str">
        <x:v>2022-05</x:v>
      </x:c>
      <x:c r="G1635" s="2" t="str">
        <x:v>2022</x:v>
      </x:c>
      <x:c r="H1635" s="2" t="str">
        <x:v>05</x:v>
      </x:c>
      <x:c r="I1635" s="2" t="str">
        <x:v>승인</x:v>
      </x:c>
      <x:c r="J1635" s="2" t="str">
        <x:v>심의승인</x:v>
      </x:c>
      <x:c r="K1635" s="2" t="str">
        <x:f>IF(OR(J1635="심의승인",J1635="반려",J1635="반려완료",J1635="심의완료"),"종결 표시",IF(OR(J1635="기후부협의",J1635="문서재제출요청",J1635="보류",J1635="보완요청",J1635="보완완료",J1635="평가중",J1635="반려요청",J1635="평가필요",LEFT(J1635,5)="보완요청("),"미종결 표시","상태 확인 필요"))</x:f>
        <x:v>종결 표시</x:v>
      </x:c>
      <x:c r="L1635" s="2" t="str">
        <x:v>KRIC</x:v>
      </x:c>
      <x:c r="M1635" s="2"/>
      <x:c r="N1635" s="8"/>
      <x:c r="O1635" s="2"/>
      <x:c r="P1635" s="2"/>
      <x:c r="Q1635" s="2" t="str">
        <x:v>산업전환_외부사업관리Tool_260707_이너젠 수정_LJY_261013.xlsx</x:v>
      </x:c>
      <x:c r="R1635" s="2" t="str">
        <x:v>국외평가</x:v>
      </x:c>
      <x:c r="S1635" s="8" t="n">
        <x:v>259</x:v>
      </x:c>
      <x:c r="T1635" s="2" t="str">
        <x:v>(6/10)</x:v>
      </x:c>
      <x:c r="U1635" s="2" t="str">
        <x:v>2022 지정: (6/10)</x:v>
      </x:c>
      <x:c r="V1635" s="2" t="str">
        <x:v>2022-10-12</x:v>
      </x:c>
      <x:c r="W1635" s="2" t="str"/>
      <x:c r="X1635" s="2" t="str">
        <x:v>종결 근거 보관</x:v>
      </x:c>
      <x:c r="Y1635" s="2" t="str">
        <x:v>ad210cd9ec132cfd447541c8984dc53d30aff0f4fb2dc92d254d49275cc55976</x:v>
      </x:c>
      <x:c r="Z1635" s="2" t="n">
        <x:f>SUBTOTAL(103,A1635)</x:f>
        <x:v>1</x:v>
      </x:c>
      <x:c r="AA1635" s="2" t="str">
        <x:f>IF(K1635&lt;&gt;"미종결 표시","대상 아님",IF(N1635="","신청일 확인",IF(NOT(ISNUMBER('종합 현황'!$H$5)),"관찰기준 확인",IF('종합 현황'!$H$5&lt;1,"관찰기준 확인",IF(N1635&gt;'종합 현황'!$H$5,"내부 관찰 대상","내부 관찰일 이하")))))</x:f>
        <x:v>대상 아님</x:v>
      </x:c>
      <x:c r="AB1635" s="2" t="str">
        <x:v>2022-05-26 19:27:57 - 신규신청 - 신청 
2022-05-26 19:27:57 - 관장기관 지정 - 환경부
2022-06-01 00:36:01 - 관장기관 지정 - 산업통상자원부
2022-06-16 20:31:51 - 신규신청 - 문서재제출요청 
2022-06-20 17:43:49 - 재제출신청 - 신청 
2022-08-23 09:10:43 - 재제출신청 - 문서재제출요청 
2022-08-24 15:41:58 - 재제출신청 - 신청 
2022-10-07 17:14:49 - 재제출신청 - 평가승인 
2022-10-11 15:02:18 - 재제출신청 - 심의승인 
2022-10-12 17:10:05 - 재제출신청 - 착수신고 
</x:v>
      </x:c>
    </x:row>
    <x:row r="1636" ht="42" customHeight="1">
      <x:c r="A1636" s="2" t="str">
        <x:v>fa6e40f0ed98a35a698e5d51</x:v>
      </x:c>
      <x:c r="B1636" s="2" t="str">
        <x:v>사업 평가</x:v>
      </x:c>
      <x:c r="C1636" s="2" t="str">
        <x:v>국외</x:v>
      </x:c>
      <x:c r="D1636" s="7" t="str">
        <x:v>기후변화센터의 동남아시아 개발도상국(미얀마) 내 고효율 쿡스토브 보급 사업 CPA-028</x:v>
      </x:c>
      <x:c r="E1636" s="2" t="str">
        <x:v>258</x:v>
      </x:c>
      <x:c r="F1636" s="2" t="str">
        <x:v>2022-05</x:v>
      </x:c>
      <x:c r="G1636" s="2" t="str">
        <x:v>2022</x:v>
      </x:c>
      <x:c r="H1636" s="2" t="str">
        <x:v>05</x:v>
      </x:c>
      <x:c r="I1636" s="2" t="str">
        <x:v>승인</x:v>
      </x:c>
      <x:c r="J1636" s="2" t="str">
        <x:v>심의승인</x:v>
      </x:c>
      <x:c r="K1636" s="2" t="str">
        <x:f>IF(OR(J1636="심의승인",J1636="반려",J1636="반려완료",J1636="심의완료"),"종결 표시",IF(OR(J1636="기후부협의",J1636="문서재제출요청",J1636="보류",J1636="보완요청",J1636="보완완료",J1636="평가중",J1636="반려요청",J1636="평가필요",LEFT(J1636,5)="보완요청("),"미종결 표시","상태 확인 필요"))</x:f>
        <x:v>종결 표시</x:v>
      </x:c>
      <x:c r="L1636" s="2" t="str">
        <x:v>KRIC</x:v>
      </x:c>
      <x:c r="M1636" s="2"/>
      <x:c r="N1636" s="8"/>
      <x:c r="O1636" s="2"/>
      <x:c r="P1636" s="2"/>
      <x:c r="Q1636" s="2" t="str">
        <x:v>산업전환_외부사업관리Tool_260707_이너젠 수정_LJY_261013.xlsx</x:v>
      </x:c>
      <x:c r="R1636" s="2" t="str">
        <x:v>국외평가</x:v>
      </x:c>
      <x:c r="S1636" s="8" t="n">
        <x:v>260</x:v>
      </x:c>
      <x:c r="T1636" s="2" t="str">
        <x:v>(6/10)</x:v>
      </x:c>
      <x:c r="U1636" s="2" t="str">
        <x:v>2022 지정: (6/10)</x:v>
      </x:c>
      <x:c r="V1636" s="2" t="str">
        <x:v>2022-10-12</x:v>
      </x:c>
      <x:c r="W1636" s="2" t="str"/>
      <x:c r="X1636" s="2" t="str">
        <x:v>종결 근거 보관</x:v>
      </x:c>
      <x:c r="Y1636" s="2" t="str">
        <x:v>ad210cd9ec132cfd447541c8984dc53d30aff0f4fb2dc92d254d49275cc55976</x:v>
      </x:c>
      <x:c r="Z1636" s="2" t="n">
        <x:f>SUBTOTAL(103,A1636)</x:f>
        <x:v>1</x:v>
      </x:c>
      <x:c r="AA1636" s="2" t="str">
        <x:f>IF(K1636&lt;&gt;"미종결 표시","대상 아님",IF(N1636="","신청일 확인",IF(NOT(ISNUMBER('종합 현황'!$H$5)),"관찰기준 확인",IF('종합 현황'!$H$5&lt;1,"관찰기준 확인",IF(N1636&gt;'종합 현황'!$H$5,"내부 관찰 대상","내부 관찰일 이하")))))</x:f>
        <x:v>대상 아님</x:v>
      </x:c>
      <x:c r="AB1636" s="2" t="str">
        <x:v>2022-05-26 19:28:12 - 신규신청 - 신청 
2022-05-26 19:28:12 - 관장기관 지정 - 환경부
2022-06-01 00:35:55 - 관장기관 지정 - 산업통상자원부
2022-06-16 20:31:35 - 신규신청 - 문서재제출요청 
2022-06-20 17:44:05 - 재제출신청 - 신청 
2022-08-23 09:11:05 - 재제출신청 - 문서재제출요청 
2022-08-24 15:42:07 - 재제출신청 - 신청 
2022-10-07 17:15:10 - 재제출신청 - 평가승인 
2022-10-11 15:02:43 - 재제출신청 - 심의승인 
2022-10-12 17:10:42 - 재제출신청 - 착수신고 
</x:v>
      </x:c>
    </x:row>
    <x:row r="1637" ht="42" customHeight="1">
      <x:c r="A1637" s="2" t="str">
        <x:v>1f5e27043b6b94818899c8cf</x:v>
      </x:c>
      <x:c r="B1637" s="2" t="str">
        <x:v>사업 평가</x:v>
      </x:c>
      <x:c r="C1637" s="2" t="str">
        <x:v>국외</x:v>
      </x:c>
      <x:c r="D1637" s="7" t="str">
        <x:v>기후변화센터의 동남아시아 개발도상국(미얀마) 내 고효율 쿡스토브 보급 사업 CPA-029</x:v>
      </x:c>
      <x:c r="E1637" s="2" t="str">
        <x:v>259</x:v>
      </x:c>
      <x:c r="F1637" s="2" t="str">
        <x:v>2022-05</x:v>
      </x:c>
      <x:c r="G1637" s="2" t="str">
        <x:v>2022</x:v>
      </x:c>
      <x:c r="H1637" s="2" t="str">
        <x:v>05</x:v>
      </x:c>
      <x:c r="I1637" s="2" t="str">
        <x:v>승인</x:v>
      </x:c>
      <x:c r="J1637" s="2" t="str">
        <x:v>심의승인</x:v>
      </x:c>
      <x:c r="K1637" s="2" t="str">
        <x:f>IF(OR(J1637="심의승인",J1637="반려",J1637="반려완료",J1637="심의완료"),"종결 표시",IF(OR(J1637="기후부협의",J1637="문서재제출요청",J1637="보류",J1637="보완요청",J1637="보완완료",J1637="평가중",J1637="반려요청",J1637="평가필요",LEFT(J1637,5)="보완요청("),"미종결 표시","상태 확인 필요"))</x:f>
        <x:v>종결 표시</x:v>
      </x:c>
      <x:c r="L1637" s="2" t="str">
        <x:v>KRIC</x:v>
      </x:c>
      <x:c r="M1637" s="2"/>
      <x:c r="N1637" s="8"/>
      <x:c r="O1637" s="2"/>
      <x:c r="P1637" s="2"/>
      <x:c r="Q1637" s="2" t="str">
        <x:v>산업전환_외부사업관리Tool_260707_이너젠 수정_LJY_261013.xlsx</x:v>
      </x:c>
      <x:c r="R1637" s="2" t="str">
        <x:v>국외평가</x:v>
      </x:c>
      <x:c r="S1637" s="8" t="n">
        <x:v>261</x:v>
      </x:c>
      <x:c r="T1637" s="2" t="str">
        <x:v>(6/10)</x:v>
      </x:c>
      <x:c r="U1637" s="2" t="str">
        <x:v>2022 지정: (6/10)</x:v>
      </x:c>
      <x:c r="V1637" s="2" t="str">
        <x:v>2022-10-12</x:v>
      </x:c>
      <x:c r="W1637" s="2" t="str"/>
      <x:c r="X1637" s="2" t="str">
        <x:v>종결 근거 보관</x:v>
      </x:c>
      <x:c r="Y1637" s="2" t="str">
        <x:v>ad210cd9ec132cfd447541c8984dc53d30aff0f4fb2dc92d254d49275cc55976</x:v>
      </x:c>
      <x:c r="Z1637" s="2" t="n">
        <x:f>SUBTOTAL(103,A1637)</x:f>
        <x:v>1</x:v>
      </x:c>
      <x:c r="AA1637" s="2" t="str">
        <x:f>IF(K1637&lt;&gt;"미종결 표시","대상 아님",IF(N1637="","신청일 확인",IF(NOT(ISNUMBER('종합 현황'!$H$5)),"관찰기준 확인",IF('종합 현황'!$H$5&lt;1,"관찰기준 확인",IF(N1637&gt;'종합 현황'!$H$5,"내부 관찰 대상","내부 관찰일 이하")))))</x:f>
        <x:v>대상 아님</x:v>
      </x:c>
      <x:c r="AB1637" s="2" t="str">
        <x:v>2022-05-26 19:28:26 - 신규신청 - 신청 
2022-05-26 19:28:26 - 관장기관 지정 - 환경부
2022-06-01 00:35:46 - 관장기관 지정 - 산업통상자원부
2022-06-16 20:31:20 - 신규신청 - 문서재제출요청 
2022-06-20 17:44:19 - 재제출신청 - 신청 
2022-08-23 09:11:21 - 재제출신청 - 문서재제출요청 
2022-08-24 15:42:16 - 재제출신청 - 신청 
2022-10-07 17:15:34 - 재제출신청 - 평가승인 
2022-10-11 15:03:05 - 재제출신청 - 심의승인 
2022-10-12 17:13:44 - 재제출신청 - 착수신고 
</x:v>
      </x:c>
    </x:row>
    <x:row r="1638" ht="42" customHeight="1">
      <x:c r="A1638" s="2" t="str">
        <x:v>84ca2ef7b40af9c3f11c0fb2</x:v>
      </x:c>
      <x:c r="B1638" s="2" t="str">
        <x:v>사업 평가</x:v>
      </x:c>
      <x:c r="C1638" s="2" t="str">
        <x:v>국외</x:v>
      </x:c>
      <x:c r="D1638" s="7" t="str">
        <x:v>기후변화센터의 동남아시아 개발도상국(미얀마) 내 고효율 쿡스토브 보급 사업 CPA-030</x:v>
      </x:c>
      <x:c r="E1638" s="2" t="str">
        <x:v>260</x:v>
      </x:c>
      <x:c r="F1638" s="2" t="str">
        <x:v>2022-05</x:v>
      </x:c>
      <x:c r="G1638" s="2" t="str">
        <x:v>2022</x:v>
      </x:c>
      <x:c r="H1638" s="2" t="str">
        <x:v>05</x:v>
      </x:c>
      <x:c r="I1638" s="2" t="str">
        <x:v>승인</x:v>
      </x:c>
      <x:c r="J1638" s="2" t="str">
        <x:v>심의승인</x:v>
      </x:c>
      <x:c r="K1638" s="2" t="str">
        <x:f>IF(OR(J1638="심의승인",J1638="반려",J1638="반려완료",J1638="심의완료"),"종결 표시",IF(OR(J1638="기후부협의",J1638="문서재제출요청",J1638="보류",J1638="보완요청",J1638="보완완료",J1638="평가중",J1638="반려요청",J1638="평가필요",LEFT(J1638,5)="보완요청("),"미종결 표시","상태 확인 필요"))</x:f>
        <x:v>종결 표시</x:v>
      </x:c>
      <x:c r="L1638" s="2" t="str">
        <x:v>KRIC</x:v>
      </x:c>
      <x:c r="M1638" s="2"/>
      <x:c r="N1638" s="8"/>
      <x:c r="O1638" s="2"/>
      <x:c r="P1638" s="2"/>
      <x:c r="Q1638" s="2" t="str">
        <x:v>산업전환_외부사업관리Tool_260707_이너젠 수정_LJY_261013.xlsx</x:v>
      </x:c>
      <x:c r="R1638" s="2" t="str">
        <x:v>국외평가</x:v>
      </x:c>
      <x:c r="S1638" s="8" t="n">
        <x:v>262</x:v>
      </x:c>
      <x:c r="T1638" s="2" t="str">
        <x:v>(6/10)</x:v>
      </x:c>
      <x:c r="U1638" s="2" t="str">
        <x:v>2022 지정: (6/10)</x:v>
      </x:c>
      <x:c r="V1638" s="2" t="str">
        <x:v>2022-10-12</x:v>
      </x:c>
      <x:c r="W1638" s="2" t="str"/>
      <x:c r="X1638" s="2" t="str">
        <x:v>종결 근거 보관</x:v>
      </x:c>
      <x:c r="Y1638" s="2" t="str">
        <x:v>ad210cd9ec132cfd447541c8984dc53d30aff0f4fb2dc92d254d49275cc55976</x:v>
      </x:c>
      <x:c r="Z1638" s="2" t="n">
        <x:f>SUBTOTAL(103,A1638)</x:f>
        <x:v>1</x:v>
      </x:c>
      <x:c r="AA1638" s="2" t="str">
        <x:f>IF(K1638&lt;&gt;"미종결 표시","대상 아님",IF(N1638="","신청일 확인",IF(NOT(ISNUMBER('종합 현황'!$H$5)),"관찰기준 확인",IF('종합 현황'!$H$5&lt;1,"관찰기준 확인",IF(N1638&gt;'종합 현황'!$H$5,"내부 관찰 대상","내부 관찰일 이하")))))</x:f>
        <x:v>대상 아님</x:v>
      </x:c>
      <x:c r="AB1638" s="2" t="str">
        <x:v>2022-05-26 19:28:39 - 신규신청 - 신청 
2022-05-26 19:28:39 - 관장기관 지정 - 환경부
2022-06-01 00:35:41 - 관장기관 지정 - 산업통상자원부
2022-06-16 20:31:01 - 신규신청 - 문서재제출요청 
2022-06-20 17:44:38 - 재제출신청 - 신청 
2022-08-23 09:11:40 - 재제출신청 - 문서재제출요청 
2022-08-24 15:42:32 - 재제출신청 - 신청 
2022-10-07 17:16:44 - 재제출신청 - 평가승인 
2022-10-11 15:03:26 - 재제출신청 - 심의승인 
2022-10-12 17:14:17 - 재제출신청 - 착수신고 
</x:v>
      </x:c>
    </x:row>
    <x:row r="1639" ht="42" customHeight="1">
      <x:c r="A1639" s="2" t="str">
        <x:v>f179a9bf7c608f42c08f95e0</x:v>
      </x:c>
      <x:c r="B1639" s="2" t="str">
        <x:v>사업 평가</x:v>
      </x:c>
      <x:c r="C1639" s="2" t="str">
        <x:v>국외</x:v>
      </x:c>
      <x:c r="D1639" s="7" t="str">
        <x:v>기후변화센터의 동남아시아 개발도상국(미얀마) 내 고효율 쿡스토브 보급 사업 CPA-031</x:v>
      </x:c>
      <x:c r="E1639" s="2" t="str">
        <x:v>261</x:v>
      </x:c>
      <x:c r="F1639" s="2" t="str">
        <x:v>2022-05</x:v>
      </x:c>
      <x:c r="G1639" s="2" t="str">
        <x:v>2022</x:v>
      </x:c>
      <x:c r="H1639" s="2" t="str">
        <x:v>05</x:v>
      </x:c>
      <x:c r="I1639" s="2" t="str">
        <x:v>승인</x:v>
      </x:c>
      <x:c r="J1639" s="2" t="str">
        <x:v>심의승인</x:v>
      </x:c>
      <x:c r="K1639" s="2" t="str">
        <x:f>IF(OR(J1639="심의승인",J1639="반려",J1639="반려완료",J1639="심의완료"),"종결 표시",IF(OR(J1639="기후부협의",J1639="문서재제출요청",J1639="보류",J1639="보완요청",J1639="보완완료",J1639="평가중",J1639="반려요청",J1639="평가필요",LEFT(J1639,5)="보완요청("),"미종결 표시","상태 확인 필요"))</x:f>
        <x:v>종결 표시</x:v>
      </x:c>
      <x:c r="L1639" s="2" t="str">
        <x:v>KRIC</x:v>
      </x:c>
      <x:c r="M1639" s="2"/>
      <x:c r="N1639" s="8"/>
      <x:c r="O1639" s="2"/>
      <x:c r="P1639" s="2"/>
      <x:c r="Q1639" s="2" t="str">
        <x:v>산업전환_외부사업관리Tool_260707_이너젠 수정_LJY_261013.xlsx</x:v>
      </x:c>
      <x:c r="R1639" s="2" t="str">
        <x:v>국외평가</x:v>
      </x:c>
      <x:c r="S1639" s="8" t="n">
        <x:v>263</x:v>
      </x:c>
      <x:c r="T1639" s="2" t="str">
        <x:v>(6/10)</x:v>
      </x:c>
      <x:c r="U1639" s="2" t="str">
        <x:v>2022 지정: (6/10)</x:v>
      </x:c>
      <x:c r="V1639" s="2" t="str">
        <x:v>2022-10-12</x:v>
      </x:c>
      <x:c r="W1639" s="2" t="str"/>
      <x:c r="X1639" s="2" t="str">
        <x:v>종결 근거 보관</x:v>
      </x:c>
      <x:c r="Y1639" s="2" t="str">
        <x:v>ad210cd9ec132cfd447541c8984dc53d30aff0f4fb2dc92d254d49275cc55976</x:v>
      </x:c>
      <x:c r="Z1639" s="2" t="n">
        <x:f>SUBTOTAL(103,A1639)</x:f>
        <x:v>1</x:v>
      </x:c>
      <x:c r="AA1639" s="2" t="str">
        <x:f>IF(K1639&lt;&gt;"미종결 표시","대상 아님",IF(N1639="","신청일 확인",IF(NOT(ISNUMBER('종합 현황'!$H$5)),"관찰기준 확인",IF('종합 현황'!$H$5&lt;1,"관찰기준 확인",IF(N1639&gt;'종합 현황'!$H$5,"내부 관찰 대상","내부 관찰일 이하")))))</x:f>
        <x:v>대상 아님</x:v>
      </x:c>
      <x:c r="AB1639" s="2" t="str">
        <x:v>2022-05-26 19:28:51 - 신규신청 - 신청 
2022-05-26 19:28:51 - 관장기관 지정 - 환경부
2022-06-01 00:35:35 - 관장기관 지정 - 산업통상자원부
2022-06-16 20:30:44 - 신규신청 - 문서재제출요청 
2022-06-20 17:45:05 - 재제출신청 - 신청 
2022-08-23 09:11:54 - 재제출신청 - 문서재제출요청 
2022-08-24 15:42:53 - 재제출신청 - 신청 
2022-10-07 17:17:09 - 재제출신청 - 평가승인 
2022-10-11 15:03:49 - 재제출신청 - 심의승인 
2022-10-12 17:15:45 - 재제출신청 - 착수신고 
</x:v>
      </x:c>
    </x:row>
    <x:row r="1640" ht="42" customHeight="1">
      <x:c r="A1640" s="2" t="str">
        <x:v>7258c35bf8755e68e64d467b</x:v>
      </x:c>
      <x:c r="B1640" s="2" t="str">
        <x:v>사업 평가</x:v>
      </x:c>
      <x:c r="C1640" s="2" t="str">
        <x:v>국외</x:v>
      </x:c>
      <x:c r="D1640" s="7" t="str">
        <x:v>기후변화센터의 동남아시아 개발도상국(미얀마) 내 고효율 쿡스토브 보급 사업 CPA-032</x:v>
      </x:c>
      <x:c r="E1640" s="2" t="str">
        <x:v>262</x:v>
      </x:c>
      <x:c r="F1640" s="2" t="str">
        <x:v>2022-05</x:v>
      </x:c>
      <x:c r="G1640" s="2" t="str">
        <x:v>2022</x:v>
      </x:c>
      <x:c r="H1640" s="2" t="str">
        <x:v>05</x:v>
      </x:c>
      <x:c r="I1640" s="2" t="str">
        <x:v>승인</x:v>
      </x:c>
      <x:c r="J1640" s="2" t="str">
        <x:v>심의승인</x:v>
      </x:c>
      <x:c r="K1640" s="2" t="str">
        <x:f>IF(OR(J1640="심의승인",J1640="반려",J1640="반려완료",J1640="심의완료"),"종결 표시",IF(OR(J1640="기후부협의",J1640="문서재제출요청",J1640="보류",J1640="보완요청",J1640="보완완료",J1640="평가중",J1640="반려요청",J1640="평가필요",LEFT(J1640,5)="보완요청("),"미종결 표시","상태 확인 필요"))</x:f>
        <x:v>종결 표시</x:v>
      </x:c>
      <x:c r="L1640" s="2" t="str">
        <x:v>KRIC</x:v>
      </x:c>
      <x:c r="M1640" s="2"/>
      <x:c r="N1640" s="8"/>
      <x:c r="O1640" s="2"/>
      <x:c r="P1640" s="2"/>
      <x:c r="Q1640" s="2" t="str">
        <x:v>산업전환_외부사업관리Tool_260707_이너젠 수정_LJY_261013.xlsx</x:v>
      </x:c>
      <x:c r="R1640" s="2" t="str">
        <x:v>국외평가</x:v>
      </x:c>
      <x:c r="S1640" s="8" t="n">
        <x:v>264</x:v>
      </x:c>
      <x:c r="T1640" s="2" t="str">
        <x:v>(6/10)</x:v>
      </x:c>
      <x:c r="U1640" s="2" t="str">
        <x:v>2022 지정: (6/10)</x:v>
      </x:c>
      <x:c r="V1640" s="2" t="str">
        <x:v>2022-10-12</x:v>
      </x:c>
      <x:c r="W1640" s="2" t="str"/>
      <x:c r="X1640" s="2" t="str">
        <x:v>종결 근거 보관</x:v>
      </x:c>
      <x:c r="Y1640" s="2" t="str">
        <x:v>ad210cd9ec132cfd447541c8984dc53d30aff0f4fb2dc92d254d49275cc55976</x:v>
      </x:c>
      <x:c r="Z1640" s="2" t="n">
        <x:f>SUBTOTAL(103,A1640)</x:f>
        <x:v>1</x:v>
      </x:c>
      <x:c r="AA1640" s="2" t="str">
        <x:f>IF(K1640&lt;&gt;"미종결 표시","대상 아님",IF(N1640="","신청일 확인",IF(NOT(ISNUMBER('종합 현황'!$H$5)),"관찰기준 확인",IF('종합 현황'!$H$5&lt;1,"관찰기준 확인",IF(N1640&gt;'종합 현황'!$H$5,"내부 관찰 대상","내부 관찰일 이하")))))</x:f>
        <x:v>대상 아님</x:v>
      </x:c>
      <x:c r="AB1640" s="2" t="str">
        <x:v>2022-05-26 19:29:04 - 관장기관 지정 - 환경부
2022-05-26 19:29:05 - 신규신청 - 신청 
2022-06-01 00:35:29 - 관장기관 지정 - 산업통상자원부
2022-06-16 20:30:28 - 신규신청 - 문서재제출요청 
2022-06-20 17:47:24 - 재제출신청 - 신청 
2022-08-23 09:12:14 - 재제출신청 - 문서재제출요청 
2022-08-24 15:43:03 - 재제출신청 - 신청 
2022-10-07 17:17:33 - 재제출신청 - 평가승인 
2022-10-11 15:04:11 - 재제출신청 - 심의승인 
2022-10-12 17:16:46 - 재제출신청 - 착수신고 
</x:v>
      </x:c>
    </x:row>
    <x:row r="1641" ht="42" customHeight="1">
      <x:c r="A1641" s="2" t="str">
        <x:v>d5e9ebd36c72bbcd2747e3a0</x:v>
      </x:c>
      <x:c r="B1641" s="2" t="str">
        <x:v>사업 평가</x:v>
      </x:c>
      <x:c r="C1641" s="2" t="str">
        <x:v>국외</x:v>
      </x:c>
      <x:c r="D1641" s="7" t="str">
        <x:v>기후변화센터의 동남아시아 개발도상국(미얀마) 내 고효율 쿡스토브 보급 사업 CPA-033</x:v>
      </x:c>
      <x:c r="E1641" s="2" t="str">
        <x:v>263</x:v>
      </x:c>
      <x:c r="F1641" s="2" t="str">
        <x:v>2022-05</x:v>
      </x:c>
      <x:c r="G1641" s="2" t="str">
        <x:v>2022</x:v>
      </x:c>
      <x:c r="H1641" s="2" t="str">
        <x:v>05</x:v>
      </x:c>
      <x:c r="I1641" s="2" t="str">
        <x:v>승인</x:v>
      </x:c>
      <x:c r="J1641" s="2" t="str">
        <x:v>심의승인</x:v>
      </x:c>
      <x:c r="K1641" s="2" t="str">
        <x:f>IF(OR(J1641="심의승인",J1641="반려",J1641="반려완료",J1641="심의완료"),"종결 표시",IF(OR(J1641="기후부협의",J1641="문서재제출요청",J1641="보류",J1641="보완요청",J1641="보완완료",J1641="평가중",J1641="반려요청",J1641="평가필요",LEFT(J1641,5)="보완요청("),"미종결 표시","상태 확인 필요"))</x:f>
        <x:v>종결 표시</x:v>
      </x:c>
      <x:c r="L1641" s="2" t="str">
        <x:v>KRIC</x:v>
      </x:c>
      <x:c r="M1641" s="2"/>
      <x:c r="N1641" s="8"/>
      <x:c r="O1641" s="2"/>
      <x:c r="P1641" s="2"/>
      <x:c r="Q1641" s="2" t="str">
        <x:v>산업전환_외부사업관리Tool_260707_이너젠 수정_LJY_261013.xlsx</x:v>
      </x:c>
      <x:c r="R1641" s="2" t="str">
        <x:v>국외평가</x:v>
      </x:c>
      <x:c r="S1641" s="8" t="n">
        <x:v>265</x:v>
      </x:c>
      <x:c r="T1641" s="2" t="str">
        <x:v>(6/10)</x:v>
      </x:c>
      <x:c r="U1641" s="2" t="str">
        <x:v>2022 지정: (6/10)</x:v>
      </x:c>
      <x:c r="V1641" s="2" t="str">
        <x:v>2022-10-12</x:v>
      </x:c>
      <x:c r="W1641" s="2" t="str"/>
      <x:c r="X1641" s="2" t="str">
        <x:v>종결 근거 보관</x:v>
      </x:c>
      <x:c r="Y1641" s="2" t="str">
        <x:v>ad210cd9ec132cfd447541c8984dc53d30aff0f4fb2dc92d254d49275cc55976</x:v>
      </x:c>
      <x:c r="Z1641" s="2" t="n">
        <x:f>SUBTOTAL(103,A1641)</x:f>
        <x:v>1</x:v>
      </x:c>
      <x:c r="AA1641" s="2" t="str">
        <x:f>IF(K1641&lt;&gt;"미종결 표시","대상 아님",IF(N1641="","신청일 확인",IF(NOT(ISNUMBER('종합 현황'!$H$5)),"관찰기준 확인",IF('종합 현황'!$H$5&lt;1,"관찰기준 확인",IF(N1641&gt;'종합 현황'!$H$5,"내부 관찰 대상","내부 관찰일 이하")))))</x:f>
        <x:v>대상 아님</x:v>
      </x:c>
      <x:c r="AB1641" s="2" t="str">
        <x:v>2022-05-26 19:29:18 - 신규신청 - 신청 
2022-05-26 19:29:18 - 관장기관 지정 - 환경부
2022-06-01 00:35:24 - 관장기관 지정 - 산업통상자원부
2022-06-16 20:30:11 - 신규신청 - 문서재제출요청 
2022-06-20 17:51:17 - 재제출신청 - 신청 
2022-08-23 09:12:32 - 재제출신청 - 문서재제출요청 
2022-08-24 15:43:12 - 재제출신청 - 신청 
2022-10-07 17:17:57 - 재제출신청 - 평가승인 
2022-10-11 15:04:35 - 재제출신청 - 심의승인 
2022-10-12 17:17:22 - 재제출신청 - 착수신고 
</x:v>
      </x:c>
    </x:row>
    <x:row r="1642" ht="42" customHeight="1">
      <x:c r="A1642" s="2" t="str">
        <x:v>8f7b94ce2fad098d4799bc1b</x:v>
      </x:c>
      <x:c r="B1642" s="2" t="str">
        <x:v>사업 평가</x:v>
      </x:c>
      <x:c r="C1642" s="2" t="str">
        <x:v>국외</x:v>
      </x:c>
      <x:c r="D1642" s="7" t="str">
        <x:v>기후변화센터의 동남아시아 개발도상국(미얀마) 내 고효율 쿡스토브 보급 사업 CPA-034</x:v>
      </x:c>
      <x:c r="E1642" s="2" t="str">
        <x:v>264</x:v>
      </x:c>
      <x:c r="F1642" s="2" t="str">
        <x:v>2022-05</x:v>
      </x:c>
      <x:c r="G1642" s="2" t="str">
        <x:v>2022</x:v>
      </x:c>
      <x:c r="H1642" s="2" t="str">
        <x:v>05</x:v>
      </x:c>
      <x:c r="I1642" s="2" t="str">
        <x:v>승인</x:v>
      </x:c>
      <x:c r="J1642" s="2" t="str">
        <x:v>심의승인</x:v>
      </x:c>
      <x:c r="K1642" s="2" t="str">
        <x:f>IF(OR(J1642="심의승인",J1642="반려",J1642="반려완료",J1642="심의완료"),"종결 표시",IF(OR(J1642="기후부협의",J1642="문서재제출요청",J1642="보류",J1642="보완요청",J1642="보완완료",J1642="평가중",J1642="반려요청",J1642="평가필요",LEFT(J1642,5)="보완요청("),"미종결 표시","상태 확인 필요"))</x:f>
        <x:v>종결 표시</x:v>
      </x:c>
      <x:c r="L1642" s="2" t="str">
        <x:v>KRIC</x:v>
      </x:c>
      <x:c r="M1642" s="2"/>
      <x:c r="N1642" s="8"/>
      <x:c r="O1642" s="2"/>
      <x:c r="P1642" s="2"/>
      <x:c r="Q1642" s="2" t="str">
        <x:v>산업전환_외부사업관리Tool_260707_이너젠 수정_LJY_261013.xlsx</x:v>
      </x:c>
      <x:c r="R1642" s="2" t="str">
        <x:v>국외평가</x:v>
      </x:c>
      <x:c r="S1642" s="8" t="n">
        <x:v>266</x:v>
      </x:c>
      <x:c r="T1642" s="2" t="str">
        <x:v>(6/10)</x:v>
      </x:c>
      <x:c r="U1642" s="2" t="str">
        <x:v>2022 지정: (6/10)</x:v>
      </x:c>
      <x:c r="V1642" s="2" t="str">
        <x:v>2022-10-12</x:v>
      </x:c>
      <x:c r="W1642" s="2" t="str"/>
      <x:c r="X1642" s="2" t="str">
        <x:v>종결 근거 보관</x:v>
      </x:c>
      <x:c r="Y1642" s="2" t="str">
        <x:v>ad210cd9ec132cfd447541c8984dc53d30aff0f4fb2dc92d254d49275cc55976</x:v>
      </x:c>
      <x:c r="Z1642" s="2" t="n">
        <x:f>SUBTOTAL(103,A1642)</x:f>
        <x:v>1</x:v>
      </x:c>
      <x:c r="AA1642" s="2" t="str">
        <x:f>IF(K1642&lt;&gt;"미종결 표시","대상 아님",IF(N1642="","신청일 확인",IF(NOT(ISNUMBER('종합 현황'!$H$5)),"관찰기준 확인",IF('종합 현황'!$H$5&lt;1,"관찰기준 확인",IF(N1642&gt;'종합 현황'!$H$5,"내부 관찰 대상","내부 관찰일 이하")))))</x:f>
        <x:v>대상 아님</x:v>
      </x:c>
      <x:c r="AB1642" s="2" t="str">
        <x:v>2022-05-26 19:29:30 - 신규신청 - 신청 
2022-05-26 19:29:30 - 관장기관 지정 - 환경부
2022-06-01 00:35:18 - 관장기관 지정 - 산업통상자원부
2022-06-16 20:29:54 - 신규신청 - 문서재제출요청 
2022-06-20 17:51:35 - 재제출신청 - 신청 
2022-08-23 09:13:15 - 재제출신청 - 문서재제출요청 
2022-08-24 15:43:29 - 재제출신청 - 신청 
2022-10-07 17:18:19 - 재제출신청 - 평가승인 
2022-10-11 15:04:59 - 재제출신청 - 심의승인 
2022-10-12 17:18:05 - 재제출신청 - 착수신고 
</x:v>
      </x:c>
    </x:row>
    <x:row r="1643" ht="42" customHeight="1">
      <x:c r="A1643" s="2" t="str">
        <x:v>695adc2e6fcaa14980c9193c</x:v>
      </x:c>
      <x:c r="B1643" s="2" t="str">
        <x:v>사업 평가</x:v>
      </x:c>
      <x:c r="C1643" s="2" t="str">
        <x:v>국외</x:v>
      </x:c>
      <x:c r="D1643" s="7" t="str">
        <x:v>기후변화센터의 동남아시아 개발도상국(미얀마) 내 고효율 쿡스토브 보급 사업 CPA-035</x:v>
      </x:c>
      <x:c r="E1643" s="2" t="str">
        <x:v>265</x:v>
      </x:c>
      <x:c r="F1643" s="2" t="str">
        <x:v>2022-05</x:v>
      </x:c>
      <x:c r="G1643" s="2" t="str">
        <x:v>2022</x:v>
      </x:c>
      <x:c r="H1643" s="2" t="str">
        <x:v>05</x:v>
      </x:c>
      <x:c r="I1643" s="2" t="str">
        <x:v>승인</x:v>
      </x:c>
      <x:c r="J1643" s="2" t="str">
        <x:v>심의승인</x:v>
      </x:c>
      <x:c r="K1643" s="2" t="str">
        <x:f>IF(OR(J1643="심의승인",J1643="반려",J1643="반려완료",J1643="심의완료"),"종결 표시",IF(OR(J1643="기후부협의",J1643="문서재제출요청",J1643="보류",J1643="보완요청",J1643="보완완료",J1643="평가중",J1643="반려요청",J1643="평가필요",LEFT(J1643,5)="보완요청("),"미종결 표시","상태 확인 필요"))</x:f>
        <x:v>종결 표시</x:v>
      </x:c>
      <x:c r="L1643" s="2" t="str">
        <x:v>KRIC</x:v>
      </x:c>
      <x:c r="M1643" s="2"/>
      <x:c r="N1643" s="8"/>
      <x:c r="O1643" s="2"/>
      <x:c r="P1643" s="2"/>
      <x:c r="Q1643" s="2" t="str">
        <x:v>산업전환_외부사업관리Tool_260707_이너젠 수정_LJY_261013.xlsx</x:v>
      </x:c>
      <x:c r="R1643" s="2" t="str">
        <x:v>국외평가</x:v>
      </x:c>
      <x:c r="S1643" s="8" t="n">
        <x:v>267</x:v>
      </x:c>
      <x:c r="T1643" s="2" t="str">
        <x:v>(6/10)</x:v>
      </x:c>
      <x:c r="U1643" s="2" t="str">
        <x:v>2022 지정: (6/10)</x:v>
      </x:c>
      <x:c r="V1643" s="2" t="str">
        <x:v>2022-10-12</x:v>
      </x:c>
      <x:c r="W1643" s="2" t="str"/>
      <x:c r="X1643" s="2" t="str">
        <x:v>종결 근거 보관</x:v>
      </x:c>
      <x:c r="Y1643" s="2" t="str">
        <x:v>ad210cd9ec132cfd447541c8984dc53d30aff0f4fb2dc92d254d49275cc55976</x:v>
      </x:c>
      <x:c r="Z1643" s="2" t="n">
        <x:f>SUBTOTAL(103,A1643)</x:f>
        <x:v>1</x:v>
      </x:c>
      <x:c r="AA1643" s="2" t="str">
        <x:f>IF(K1643&lt;&gt;"미종결 표시","대상 아님",IF(N1643="","신청일 확인",IF(NOT(ISNUMBER('종합 현황'!$H$5)),"관찰기준 확인",IF('종합 현황'!$H$5&lt;1,"관찰기준 확인",IF(N1643&gt;'종합 현황'!$H$5,"내부 관찰 대상","내부 관찰일 이하")))))</x:f>
        <x:v>대상 아님</x:v>
      </x:c>
      <x:c r="AB1643" s="2" t="str">
        <x:v>2022-05-26 19:29:41 - 신규신청 - 신청 
2022-05-26 19:29:41 - 관장기관 지정 - 환경부
2022-06-01 00:35:12 - 관장기관 지정 - 산업통상자원부
2022-06-16 20:29:39 - 신규신청 - 문서재제출요청 
2022-06-20 17:52:37 - 재제출신청 - 신청 
2022-08-23 09:13:32 - 재제출신청 - 문서재제출요청 
2022-08-24 15:43:40 - 재제출신청 - 신청 
2022-10-07 17:18:41 - 재제출신청 - 평가승인 
2022-10-11 15:05:24 - 재제출신청 - 심의승인 
2022-10-12 17:18:40 - 재제출신청 - 착수신고 
</x:v>
      </x:c>
    </x:row>
    <x:row r="1644" ht="42" customHeight="1">
      <x:c r="A1644" s="2" t="str">
        <x:v>2b98c5d35d84a5497ad89d29</x:v>
      </x:c>
      <x:c r="B1644" s="2" t="str">
        <x:v>사업 평가</x:v>
      </x:c>
      <x:c r="C1644" s="2" t="str">
        <x:v>국외</x:v>
      </x:c>
      <x:c r="D1644" s="7" t="str">
        <x:v>기후변화센터의 동남아시아 개발도상국(미얀마) 내 고효율 쿡스토브 보급 사업 CPA-036</x:v>
      </x:c>
      <x:c r="E1644" s="2" t="str">
        <x:v>266</x:v>
      </x:c>
      <x:c r="F1644" s="2" t="str">
        <x:v>2022-05</x:v>
      </x:c>
      <x:c r="G1644" s="2" t="str">
        <x:v>2022</x:v>
      </x:c>
      <x:c r="H1644" s="2" t="str">
        <x:v>05</x:v>
      </x:c>
      <x:c r="I1644" s="2" t="str">
        <x:v>승인</x:v>
      </x:c>
      <x:c r="J1644" s="2" t="str">
        <x:v>심의승인</x:v>
      </x:c>
      <x:c r="K1644" s="2" t="str">
        <x:f>IF(OR(J1644="심의승인",J1644="반려",J1644="반려완료",J1644="심의완료"),"종결 표시",IF(OR(J1644="기후부협의",J1644="문서재제출요청",J1644="보류",J1644="보완요청",J1644="보완완료",J1644="평가중",J1644="반려요청",J1644="평가필요",LEFT(J1644,5)="보완요청("),"미종결 표시","상태 확인 필요"))</x:f>
        <x:v>종결 표시</x:v>
      </x:c>
      <x:c r="L1644" s="2" t="str">
        <x:v>KRIC</x:v>
      </x:c>
      <x:c r="M1644" s="2"/>
      <x:c r="N1644" s="8"/>
      <x:c r="O1644" s="2"/>
      <x:c r="P1644" s="2"/>
      <x:c r="Q1644" s="2" t="str">
        <x:v>산업전환_외부사업관리Tool_260707_이너젠 수정_LJY_261013.xlsx</x:v>
      </x:c>
      <x:c r="R1644" s="2" t="str">
        <x:v>국외평가</x:v>
      </x:c>
      <x:c r="S1644" s="8" t="n">
        <x:v>268</x:v>
      </x:c>
      <x:c r="T1644" s="2" t="str">
        <x:v>(6/10)</x:v>
      </x:c>
      <x:c r="U1644" s="2" t="str">
        <x:v>2022 지정: (6/10)</x:v>
      </x:c>
      <x:c r="V1644" s="2" t="str">
        <x:v>2022-10-12</x:v>
      </x:c>
      <x:c r="W1644" s="2" t="str"/>
      <x:c r="X1644" s="2" t="str">
        <x:v>종결 근거 보관</x:v>
      </x:c>
      <x:c r="Y1644" s="2" t="str">
        <x:v>ad210cd9ec132cfd447541c8984dc53d30aff0f4fb2dc92d254d49275cc55976</x:v>
      </x:c>
      <x:c r="Z1644" s="2" t="n">
        <x:f>SUBTOTAL(103,A1644)</x:f>
        <x:v>1</x:v>
      </x:c>
      <x:c r="AA1644" s="2" t="str">
        <x:f>IF(K1644&lt;&gt;"미종결 표시","대상 아님",IF(N1644="","신청일 확인",IF(NOT(ISNUMBER('종합 현황'!$H$5)),"관찰기준 확인",IF('종합 현황'!$H$5&lt;1,"관찰기준 확인",IF(N1644&gt;'종합 현황'!$H$5,"내부 관찰 대상","내부 관찰일 이하")))))</x:f>
        <x:v>대상 아님</x:v>
      </x:c>
      <x:c r="AB1644" s="2" t="str">
        <x:v>2022-05-26 19:29:52 - 신규신청 - 신청 
2022-05-26 19:29:52 - 관장기관 지정 - 환경부
2022-06-01 00:35:06 - 관장기관 지정 - 산업통상자원부
2022-06-16 20:29:20 - 신규신청 - 문서재제출요청 
2022-06-20 17:53:02 - 재제출신청 - 신청 
2022-08-23 09:13:47 - 재제출신청 - 문서재제출요청 
2022-08-24 15:43:49 - 재제출신청 - 신청 
2022-10-07 17:19:05 - 재제출신청 - 평가승인 
2022-10-11 15:05:48 - 재제출신청 - 심의승인 
2022-10-12 17:19:08 - 재제출신청 - 착수신고 
</x:v>
      </x:c>
    </x:row>
    <x:row r="1645" ht="42" customHeight="1">
      <x:c r="A1645" s="2" t="str">
        <x:v>875cedf1d90d834732d42785</x:v>
      </x:c>
      <x:c r="B1645" s="2" t="str">
        <x:v>사업 평가</x:v>
      </x:c>
      <x:c r="C1645" s="2" t="str">
        <x:v>국외</x:v>
      </x:c>
      <x:c r="D1645" s="7" t="str">
        <x:v>기후변화센터의 동남아시아 개발도상국(미얀마) 내 고효율 쿡스토브 보급 사업 CPA-037</x:v>
      </x:c>
      <x:c r="E1645" s="2" t="str">
        <x:v>267</x:v>
      </x:c>
      <x:c r="F1645" s="2" t="str">
        <x:v>2022-05</x:v>
      </x:c>
      <x:c r="G1645" s="2" t="str">
        <x:v>2022</x:v>
      </x:c>
      <x:c r="H1645" s="2" t="str">
        <x:v>05</x:v>
      </x:c>
      <x:c r="I1645" s="2" t="str">
        <x:v>승인</x:v>
      </x:c>
      <x:c r="J1645" s="2" t="str">
        <x:v>심의승인</x:v>
      </x:c>
      <x:c r="K1645" s="2" t="str">
        <x:f>IF(OR(J1645="심의승인",J1645="반려",J1645="반려완료",J1645="심의완료"),"종결 표시",IF(OR(J1645="기후부협의",J1645="문서재제출요청",J1645="보류",J1645="보완요청",J1645="보완완료",J1645="평가중",J1645="반려요청",J1645="평가필요",LEFT(J1645,5)="보완요청("),"미종결 표시","상태 확인 필요"))</x:f>
        <x:v>종결 표시</x:v>
      </x:c>
      <x:c r="L1645" s="2" t="str">
        <x:v>KRIC</x:v>
      </x:c>
      <x:c r="M1645" s="2"/>
      <x:c r="N1645" s="8"/>
      <x:c r="O1645" s="2"/>
      <x:c r="P1645" s="2"/>
      <x:c r="Q1645" s="2" t="str">
        <x:v>산업전환_외부사업관리Tool_260707_이너젠 수정_LJY_261013.xlsx</x:v>
      </x:c>
      <x:c r="R1645" s="2" t="str">
        <x:v>국외평가</x:v>
      </x:c>
      <x:c r="S1645" s="8" t="n">
        <x:v>269</x:v>
      </x:c>
      <x:c r="T1645" s="2" t="str">
        <x:v>(6/10)</x:v>
      </x:c>
      <x:c r="U1645" s="2" t="str">
        <x:v>2022 지정: (6/10)</x:v>
      </x:c>
      <x:c r="V1645" s="2" t="str">
        <x:v>2022-10-12</x:v>
      </x:c>
      <x:c r="W1645" s="2" t="str"/>
      <x:c r="X1645" s="2" t="str">
        <x:v>종결 근거 보관</x:v>
      </x:c>
      <x:c r="Y1645" s="2" t="str">
        <x:v>ad210cd9ec132cfd447541c8984dc53d30aff0f4fb2dc92d254d49275cc55976</x:v>
      </x:c>
      <x:c r="Z1645" s="2" t="n">
        <x:f>SUBTOTAL(103,A1645)</x:f>
        <x:v>1</x:v>
      </x:c>
      <x:c r="AA1645" s="2" t="str">
        <x:f>IF(K1645&lt;&gt;"미종결 표시","대상 아님",IF(N1645="","신청일 확인",IF(NOT(ISNUMBER('종합 현황'!$H$5)),"관찰기준 확인",IF('종합 현황'!$H$5&lt;1,"관찰기준 확인",IF(N1645&gt;'종합 현황'!$H$5,"내부 관찰 대상","내부 관찰일 이하")))))</x:f>
        <x:v>대상 아님</x:v>
      </x:c>
      <x:c r="AB1645" s="2" t="str">
        <x:v>2022-05-26 19:30:03 - 신규신청 - 신청 
2022-05-26 19:30:03 - 관장기관 지정 - 환경부
2022-06-01 00:35:00 - 관장기관 지정 - 산업통상자원부
2022-06-16 20:29:06 - 신규신청 - 문서재제출요청 
2022-06-20 17:53:19 - 재제출신청 - 신청 
2022-08-23 09:14:08 - 재제출신청 - 문서재제출요청 
2022-08-24 15:43:58 - 재제출신청 - 신청 
2022-10-07 17:19:27 - 재제출신청 - 평가승인 
2022-10-11 15:06:10 - 재제출신청 - 심의승인 
2022-10-12 17:21:02 - 재제출신청 - 착수신고 
</x:v>
      </x:c>
    </x:row>
    <x:row r="1646" ht="42" customHeight="1">
      <x:c r="A1646" s="2" t="str">
        <x:v>9172a11a167b9a71cd90565f</x:v>
      </x:c>
      <x:c r="B1646" s="2" t="str">
        <x:v>사업 평가</x:v>
      </x:c>
      <x:c r="C1646" s="2" t="str">
        <x:v>국외</x:v>
      </x:c>
      <x:c r="D1646" s="7" t="str">
        <x:v>기후변화센터의 동남아시아 개발도상국(미얀마) 내 고효율 쿡스토브 보급 사업 CPA-038</x:v>
      </x:c>
      <x:c r="E1646" s="2" t="str">
        <x:v>268</x:v>
      </x:c>
      <x:c r="F1646" s="2" t="str">
        <x:v>2022-05</x:v>
      </x:c>
      <x:c r="G1646" s="2" t="str">
        <x:v>2022</x:v>
      </x:c>
      <x:c r="H1646" s="2" t="str">
        <x:v>05</x:v>
      </x:c>
      <x:c r="I1646" s="2" t="str">
        <x:v>승인</x:v>
      </x:c>
      <x:c r="J1646" s="2" t="str">
        <x:v>심의승인</x:v>
      </x:c>
      <x:c r="K1646" s="2" t="str">
        <x:f>IF(OR(J1646="심의승인",J1646="반려",J1646="반려완료",J1646="심의완료"),"종결 표시",IF(OR(J1646="기후부협의",J1646="문서재제출요청",J1646="보류",J1646="보완요청",J1646="보완완료",J1646="평가중",J1646="반려요청",J1646="평가필요",LEFT(J1646,5)="보완요청("),"미종결 표시","상태 확인 필요"))</x:f>
        <x:v>종결 표시</x:v>
      </x:c>
      <x:c r="L1646" s="2" t="str">
        <x:v>KRIC</x:v>
      </x:c>
      <x:c r="M1646" s="2"/>
      <x:c r="N1646" s="8"/>
      <x:c r="O1646" s="2"/>
      <x:c r="P1646" s="2"/>
      <x:c r="Q1646" s="2" t="str">
        <x:v>산업전환_외부사업관리Tool_260707_이너젠 수정_LJY_261013.xlsx</x:v>
      </x:c>
      <x:c r="R1646" s="2" t="str">
        <x:v>국외평가</x:v>
      </x:c>
      <x:c r="S1646" s="8" t="n">
        <x:v>270</x:v>
      </x:c>
      <x:c r="T1646" s="2" t="str">
        <x:v>(6/10)</x:v>
      </x:c>
      <x:c r="U1646" s="2" t="str">
        <x:v>2022 지정: (6/10)</x:v>
      </x:c>
      <x:c r="V1646" s="2" t="str">
        <x:v>2022-10-12</x:v>
      </x:c>
      <x:c r="W1646" s="2" t="str"/>
      <x:c r="X1646" s="2" t="str">
        <x:v>종결 근거 보관</x:v>
      </x:c>
      <x:c r="Y1646" s="2" t="str">
        <x:v>ad210cd9ec132cfd447541c8984dc53d30aff0f4fb2dc92d254d49275cc55976</x:v>
      </x:c>
      <x:c r="Z1646" s="2" t="n">
        <x:f>SUBTOTAL(103,A1646)</x:f>
        <x:v>1</x:v>
      </x:c>
      <x:c r="AA1646" s="2" t="str">
        <x:f>IF(K1646&lt;&gt;"미종결 표시","대상 아님",IF(N1646="","신청일 확인",IF(NOT(ISNUMBER('종합 현황'!$H$5)),"관찰기준 확인",IF('종합 현황'!$H$5&lt;1,"관찰기준 확인",IF(N1646&gt;'종합 현황'!$H$5,"내부 관찰 대상","내부 관찰일 이하")))))</x:f>
        <x:v>대상 아님</x:v>
      </x:c>
      <x:c r="AB1646" s="2" t="str">
        <x:v>2022-05-26 19:30:15 - 신규신청 - 신청 
2022-05-26 19:30:15 - 관장기관 지정 - 환경부
2022-06-01 00:34:54 - 관장기관 지정 - 산업통상자원부
2022-06-16 20:28:48 - 신규신청 - 문서재제출요청 
2022-06-20 17:53:43 - 재제출신청 - 신청 
2022-08-23 09:14:30 - 재제출신청 - 문서재제출요청 
2022-08-24 15:44:08 - 재제출신청 - 신청 
2022-10-07 17:20:28 - 재제출신청 - 평가승인 
2022-10-11 15:06:43 - 재제출신청 - 심의승인 
2022-10-12 17:21:39 - 재제출신청 - 착수신고 
</x:v>
      </x:c>
    </x:row>
    <x:row r="1647" ht="42" customHeight="1">
      <x:c r="A1647" s="2" t="str">
        <x:v>3a3792faa57911248c703bc6</x:v>
      </x:c>
      <x:c r="B1647" s="2" t="str">
        <x:v>사업 평가</x:v>
      </x:c>
      <x:c r="C1647" s="2" t="str">
        <x:v>국외</x:v>
      </x:c>
      <x:c r="D1647" s="7" t="str">
        <x:v>기후변화센터의 동남아시아 개발도상국(미얀마) 내 고효율 쿡스토브 보급 사업 CPA-039</x:v>
      </x:c>
      <x:c r="E1647" s="2" t="str">
        <x:v>269</x:v>
      </x:c>
      <x:c r="F1647" s="2" t="str">
        <x:v>2022-05</x:v>
      </x:c>
      <x:c r="G1647" s="2" t="str">
        <x:v>2022</x:v>
      </x:c>
      <x:c r="H1647" s="2" t="str">
        <x:v>05</x:v>
      </x:c>
      <x:c r="I1647" s="2" t="str">
        <x:v>승인</x:v>
      </x:c>
      <x:c r="J1647" s="2" t="str">
        <x:v>심의승인</x:v>
      </x:c>
      <x:c r="K1647" s="2" t="str">
        <x:f>IF(OR(J1647="심의승인",J1647="반려",J1647="반려완료",J1647="심의완료"),"종결 표시",IF(OR(J1647="기후부협의",J1647="문서재제출요청",J1647="보류",J1647="보완요청",J1647="보완완료",J1647="평가중",J1647="반려요청",J1647="평가필요",LEFT(J1647,5)="보완요청("),"미종결 표시","상태 확인 필요"))</x:f>
        <x:v>종결 표시</x:v>
      </x:c>
      <x:c r="L1647" s="2" t="str">
        <x:v>KRIC</x:v>
      </x:c>
      <x:c r="M1647" s="2"/>
      <x:c r="N1647" s="8"/>
      <x:c r="O1647" s="2"/>
      <x:c r="P1647" s="2"/>
      <x:c r="Q1647" s="2" t="str">
        <x:v>산업전환_외부사업관리Tool_260707_이너젠 수정_LJY_261013.xlsx</x:v>
      </x:c>
      <x:c r="R1647" s="2" t="str">
        <x:v>국외평가</x:v>
      </x:c>
      <x:c r="S1647" s="8" t="n">
        <x:v>271</x:v>
      </x:c>
      <x:c r="T1647" s="2" t="str">
        <x:v>(6/10)</x:v>
      </x:c>
      <x:c r="U1647" s="2" t="str">
        <x:v>2022 지정: (6/10)</x:v>
      </x:c>
      <x:c r="V1647" s="2" t="str">
        <x:v>2022-10-12</x:v>
      </x:c>
      <x:c r="W1647" s="2" t="str"/>
      <x:c r="X1647" s="2" t="str">
        <x:v>종결 근거 보관</x:v>
      </x:c>
      <x:c r="Y1647" s="2" t="str">
        <x:v>ad210cd9ec132cfd447541c8984dc53d30aff0f4fb2dc92d254d49275cc55976</x:v>
      </x:c>
      <x:c r="Z1647" s="2" t="n">
        <x:f>SUBTOTAL(103,A1647)</x:f>
        <x:v>1</x:v>
      </x:c>
      <x:c r="AA1647" s="2" t="str">
        <x:f>IF(K1647&lt;&gt;"미종결 표시","대상 아님",IF(N1647="","신청일 확인",IF(NOT(ISNUMBER('종합 현황'!$H$5)),"관찰기준 확인",IF('종합 현황'!$H$5&lt;1,"관찰기준 확인",IF(N1647&gt;'종합 현황'!$H$5,"내부 관찰 대상","내부 관찰일 이하")))))</x:f>
        <x:v>대상 아님</x:v>
      </x:c>
      <x:c r="AB1647" s="2" t="str">
        <x:v>2022-05-26 19:30:26 - 신규신청 - 신청 
2022-05-26 19:30:26 - 관장기관 지정 - 환경부
2022-06-01 00:34:48 - 관장기관 지정 - 산업통상자원부
2022-06-16 20:28:28 - 신규신청 - 문서재제출요청 
2022-06-20 17:54:32 - 재제출신청 - 신청 
2022-08-23 09:15:12 - 재제출신청 - 문서재제출요청 
2022-08-24 15:44:17 - 재제출신청 - 신청 
2022-10-07 17:22:41 - 재제출신청 - 평가승인 
2022-10-11 15:07:11 - 재제출신청 - 심의승인 
2022-10-12 17:22:22 - 재제출신청 - 착수신고 
</x:v>
      </x:c>
    </x:row>
    <x:row r="1648" ht="42" customHeight="1">
      <x:c r="A1648" s="2" t="str">
        <x:v>f3c6210568a804d1260005f6</x:v>
      </x:c>
      <x:c r="B1648" s="2" t="str">
        <x:v>사업 평가</x:v>
      </x:c>
      <x:c r="C1648" s="2" t="str">
        <x:v>국외</x:v>
      </x:c>
      <x:c r="D1648" s="7" t="str">
        <x:v>기후변화센터의 동남아시아 개발도상국(미얀마) 내 고효율 쿡스토브 보급 사업 CPA-040</x:v>
      </x:c>
      <x:c r="E1648" s="2" t="str">
        <x:v>270</x:v>
      </x:c>
      <x:c r="F1648" s="2" t="str">
        <x:v>2022-05</x:v>
      </x:c>
      <x:c r="G1648" s="2" t="str">
        <x:v>2022</x:v>
      </x:c>
      <x:c r="H1648" s="2" t="str">
        <x:v>05</x:v>
      </x:c>
      <x:c r="I1648" s="2" t="str">
        <x:v>승인</x:v>
      </x:c>
      <x:c r="J1648" s="2" t="str">
        <x:v>심의승인</x:v>
      </x:c>
      <x:c r="K1648" s="2" t="str">
        <x:f>IF(OR(J1648="심의승인",J1648="반려",J1648="반려완료",J1648="심의완료"),"종결 표시",IF(OR(J1648="기후부협의",J1648="문서재제출요청",J1648="보류",J1648="보완요청",J1648="보완완료",J1648="평가중",J1648="반려요청",J1648="평가필요",LEFT(J1648,5)="보완요청("),"미종결 표시","상태 확인 필요"))</x:f>
        <x:v>종결 표시</x:v>
      </x:c>
      <x:c r="L1648" s="2" t="str">
        <x:v>KRIC</x:v>
      </x:c>
      <x:c r="M1648" s="2"/>
      <x:c r="N1648" s="8"/>
      <x:c r="O1648" s="2"/>
      <x:c r="P1648" s="2"/>
      <x:c r="Q1648" s="2" t="str">
        <x:v>산업전환_외부사업관리Tool_260707_이너젠 수정_LJY_261013.xlsx</x:v>
      </x:c>
      <x:c r="R1648" s="2" t="str">
        <x:v>국외평가</x:v>
      </x:c>
      <x:c r="S1648" s="8" t="n">
        <x:v>272</x:v>
      </x:c>
      <x:c r="T1648" s="2" t="str">
        <x:v>(6/10)</x:v>
      </x:c>
      <x:c r="U1648" s="2" t="str">
        <x:v>2022 지정: (6/10)</x:v>
      </x:c>
      <x:c r="V1648" s="2" t="str">
        <x:v>2022-10-12</x:v>
      </x:c>
      <x:c r="W1648" s="2" t="str"/>
      <x:c r="X1648" s="2" t="str">
        <x:v>종결 근거 보관</x:v>
      </x:c>
      <x:c r="Y1648" s="2" t="str">
        <x:v>ad210cd9ec132cfd447541c8984dc53d30aff0f4fb2dc92d254d49275cc55976</x:v>
      </x:c>
      <x:c r="Z1648" s="2" t="n">
        <x:f>SUBTOTAL(103,A1648)</x:f>
        <x:v>1</x:v>
      </x:c>
      <x:c r="AA1648" s="2" t="str">
        <x:f>IF(K1648&lt;&gt;"미종결 표시","대상 아님",IF(N1648="","신청일 확인",IF(NOT(ISNUMBER('종합 현황'!$H$5)),"관찰기준 확인",IF('종합 현황'!$H$5&lt;1,"관찰기준 확인",IF(N1648&gt;'종합 현황'!$H$5,"내부 관찰 대상","내부 관찰일 이하")))))</x:f>
        <x:v>대상 아님</x:v>
      </x:c>
      <x:c r="AB1648" s="2" t="str">
        <x:v>2022-05-26 19:30:38 - 신규신청 - 신청 
2022-05-26 19:30:38 - 관장기관 지정 - 환경부
2022-06-01 00:34:41 - 관장기관 지정 - 산업통상자원부
2022-06-16 20:28:08 - 신규신청 - 문서재제출요청 
2022-06-20 17:54:47 - 재제출신청 - 신청 
2022-08-23 09:15:56 - 재제출신청 - 문서재제출요청 
2022-08-24 15:44:25 - 재제출신청 - 신청 
2022-10-07 17:23:13 - 재제출신청 - 평가승인 
2022-10-11 15:07:37 - 재제출신청 - 심의승인 
2022-10-12 17:23:05 - 재제출신청 - 착수신고 
</x:v>
      </x:c>
    </x:row>
    <x:row r="1649" ht="42" customHeight="1">
      <x:c r="A1649" s="2" t="str">
        <x:v>ce4eee9be79e3a54319ca3f0</x:v>
      </x:c>
      <x:c r="B1649" s="2" t="str">
        <x:v>사업 평가</x:v>
      </x:c>
      <x:c r="C1649" s="2" t="str">
        <x:v>국외</x:v>
      </x:c>
      <x:c r="D1649" s="7" t="str">
        <x:v>기후변화센터의 동남아시아 개발도상국(미얀마) 내 고효율 쿡스토브 보급 사업 CPA-041</x:v>
      </x:c>
      <x:c r="E1649" s="2" t="str">
        <x:v>271</x:v>
      </x:c>
      <x:c r="F1649" s="2" t="str">
        <x:v>2022-05</x:v>
      </x:c>
      <x:c r="G1649" s="2" t="str">
        <x:v>2022</x:v>
      </x:c>
      <x:c r="H1649" s="2" t="str">
        <x:v>05</x:v>
      </x:c>
      <x:c r="I1649" s="2" t="str">
        <x:v>승인</x:v>
      </x:c>
      <x:c r="J1649" s="2" t="str">
        <x:v>심의승인</x:v>
      </x:c>
      <x:c r="K1649" s="2" t="str">
        <x:f>IF(OR(J1649="심의승인",J1649="반려",J1649="반려완료",J1649="심의완료"),"종결 표시",IF(OR(J1649="기후부협의",J1649="문서재제출요청",J1649="보류",J1649="보완요청",J1649="보완완료",J1649="평가중",J1649="반려요청",J1649="평가필요",LEFT(J1649,5)="보완요청("),"미종결 표시","상태 확인 필요"))</x:f>
        <x:v>종결 표시</x:v>
      </x:c>
      <x:c r="L1649" s="2" t="str">
        <x:v>KRIC</x:v>
      </x:c>
      <x:c r="M1649" s="2"/>
      <x:c r="N1649" s="8"/>
      <x:c r="O1649" s="2"/>
      <x:c r="P1649" s="2"/>
      <x:c r="Q1649" s="2" t="str">
        <x:v>산업전환_외부사업관리Tool_260707_이너젠 수정_LJY_261013.xlsx</x:v>
      </x:c>
      <x:c r="R1649" s="2" t="str">
        <x:v>국외평가</x:v>
      </x:c>
      <x:c r="S1649" s="8" t="n">
        <x:v>273</x:v>
      </x:c>
      <x:c r="T1649" s="2" t="str">
        <x:v>(6/10)</x:v>
      </x:c>
      <x:c r="U1649" s="2" t="str">
        <x:v>2022 지정: (6/10)</x:v>
      </x:c>
      <x:c r="V1649" s="2" t="str">
        <x:v>2022-10-12</x:v>
      </x:c>
      <x:c r="W1649" s="2" t="str"/>
      <x:c r="X1649" s="2" t="str">
        <x:v>종결 근거 보관</x:v>
      </x:c>
      <x:c r="Y1649" s="2" t="str">
        <x:v>ad210cd9ec132cfd447541c8984dc53d30aff0f4fb2dc92d254d49275cc55976</x:v>
      </x:c>
      <x:c r="Z1649" s="2" t="n">
        <x:f>SUBTOTAL(103,A1649)</x:f>
        <x:v>1</x:v>
      </x:c>
      <x:c r="AA1649" s="2" t="str">
        <x:f>IF(K1649&lt;&gt;"미종결 표시","대상 아님",IF(N1649="","신청일 확인",IF(NOT(ISNUMBER('종합 현황'!$H$5)),"관찰기준 확인",IF('종합 현황'!$H$5&lt;1,"관찰기준 확인",IF(N1649&gt;'종합 현황'!$H$5,"내부 관찰 대상","내부 관찰일 이하")))))</x:f>
        <x:v>대상 아님</x:v>
      </x:c>
      <x:c r="AB1649" s="2" t="str">
        <x:v>2022-05-26 19:30:50 - 신규신청 - 신청 
2022-05-26 19:30:50 - 관장기관 지정 - 환경부
2022-06-01 00:34:35 - 관장기관 지정 - 산업통상자원부
2022-06-16 20:27:52 - 신규신청 - 문서재제출요청 
2022-06-20 17:55:02 - 재제출신청 - 신청 
2022-08-23 09:15:31 - 재제출신청 - 문서재제출요청 
2022-08-24 15:44:34 - 재제출신청 - 신청 
2022-10-07 17:24:38 - 재제출신청 - 평가승인 
2022-10-11 15:08:04 - 재제출신청 - 심의승인 
2022-10-12 17:23:47 - 재제출신청 - 착수신고 
</x:v>
      </x:c>
    </x:row>
    <x:row r="1650" ht="42" customHeight="1">
      <x:c r="A1650" s="2" t="str">
        <x:v>edc5264e2bc3051a95aaf8af</x:v>
      </x:c>
      <x:c r="B1650" s="2" t="str">
        <x:v>사업 평가</x:v>
      </x:c>
      <x:c r="C1650" s="2" t="str">
        <x:v>국외</x:v>
      </x:c>
      <x:c r="D1650" s="7" t="str">
        <x:v>기후변화센터의 동남아시아 개발도상국(미얀마) 내 고효율 쿡스토브 보급 사업 CPA-042</x:v>
      </x:c>
      <x:c r="E1650" s="2" t="str">
        <x:v>272</x:v>
      </x:c>
      <x:c r="F1650" s="2" t="str">
        <x:v>2022-05</x:v>
      </x:c>
      <x:c r="G1650" s="2" t="str">
        <x:v>2022</x:v>
      </x:c>
      <x:c r="H1650" s="2" t="str">
        <x:v>05</x:v>
      </x:c>
      <x:c r="I1650" s="2" t="str">
        <x:v>승인</x:v>
      </x:c>
      <x:c r="J1650" s="2" t="str">
        <x:v>심의승인</x:v>
      </x:c>
      <x:c r="K1650" s="2" t="str">
        <x:f>IF(OR(J1650="심의승인",J1650="반려",J1650="반려완료",J1650="심의완료"),"종결 표시",IF(OR(J1650="기후부협의",J1650="문서재제출요청",J1650="보류",J1650="보완요청",J1650="보완완료",J1650="평가중",J1650="반려요청",J1650="평가필요",LEFT(J1650,5)="보완요청("),"미종결 표시","상태 확인 필요"))</x:f>
        <x:v>종결 표시</x:v>
      </x:c>
      <x:c r="L1650" s="2" t="str">
        <x:v>KRIC</x:v>
      </x:c>
      <x:c r="M1650" s="2"/>
      <x:c r="N1650" s="8"/>
      <x:c r="O1650" s="2"/>
      <x:c r="P1650" s="2"/>
      <x:c r="Q1650" s="2" t="str">
        <x:v>산업전환_외부사업관리Tool_260707_이너젠 수정_LJY_261013.xlsx</x:v>
      </x:c>
      <x:c r="R1650" s="2" t="str">
        <x:v>국외평가</x:v>
      </x:c>
      <x:c r="S1650" s="8" t="n">
        <x:v>274</x:v>
      </x:c>
      <x:c r="T1650" s="2" t="str">
        <x:v>(6/10)</x:v>
      </x:c>
      <x:c r="U1650" s="2" t="str">
        <x:v>2022 지정: (6/10)</x:v>
      </x:c>
      <x:c r="V1650" s="2" t="str">
        <x:v>2022-10-12</x:v>
      </x:c>
      <x:c r="W1650" s="2" t="str"/>
      <x:c r="X1650" s="2" t="str">
        <x:v>종결 근거 보관</x:v>
      </x:c>
      <x:c r="Y1650" s="2" t="str">
        <x:v>ad210cd9ec132cfd447541c8984dc53d30aff0f4fb2dc92d254d49275cc55976</x:v>
      </x:c>
      <x:c r="Z1650" s="2" t="n">
        <x:f>SUBTOTAL(103,A1650)</x:f>
        <x:v>1</x:v>
      </x:c>
      <x:c r="AA1650" s="2" t="str">
        <x:f>IF(K1650&lt;&gt;"미종결 표시","대상 아님",IF(N1650="","신청일 확인",IF(NOT(ISNUMBER('종합 현황'!$H$5)),"관찰기준 확인",IF('종합 현황'!$H$5&lt;1,"관찰기준 확인",IF(N1650&gt;'종합 현황'!$H$5,"내부 관찰 대상","내부 관찰일 이하")))))</x:f>
        <x:v>대상 아님</x:v>
      </x:c>
      <x:c r="AB1650" s="2" t="str">
        <x:v>2022-05-26 19:31:04 - 신규신청 - 신청 
2022-05-26 19:31:04 - 관장기관 지정 - 환경부
2022-06-01 00:32:58 - 관장기관 지정 - 산업통상자원부
2022-06-16 20:27:31 - 신규신청 - 문서재제출요청 
2022-06-20 17:55:17 - 재제출신청 - 신청 
2022-08-23 09:16:11 - 재제출신청 - 문서재제출요청 
2022-08-24 15:44:44 - 재제출신청 - 신청 
2022-10-07 17:25:02 - 재제출신청 - 평가승인 
2022-10-11 15:08:45 - 재제출신청 - 심의승인 
2022-10-12 17:26:57 - 재제출신청 - 착수신고 
</x:v>
      </x:c>
    </x:row>
    <x:row r="1651" ht="42" customHeight="1">
      <x:c r="A1651" s="2" t="str">
        <x:v>72b32a3468a4be4bd1c27eec</x:v>
      </x:c>
      <x:c r="B1651" s="2" t="str">
        <x:v>사업 평가</x:v>
      </x:c>
      <x:c r="C1651" s="2" t="str">
        <x:v>국외</x:v>
      </x:c>
      <x:c r="D1651" s="7" t="str">
        <x:v>기후변화센터의 동남아시아 개발도상국(미얀마) 내 고효율 쿡스토브 보급 사업 CPA-043</x:v>
      </x:c>
      <x:c r="E1651" s="2" t="str">
        <x:v>273</x:v>
      </x:c>
      <x:c r="F1651" s="2" t="str">
        <x:v>2022-05</x:v>
      </x:c>
      <x:c r="G1651" s="2" t="str">
        <x:v>2022</x:v>
      </x:c>
      <x:c r="H1651" s="2" t="str">
        <x:v>05</x:v>
      </x:c>
      <x:c r="I1651" s="2" t="str">
        <x:v>승인</x:v>
      </x:c>
      <x:c r="J1651" s="2" t="str">
        <x:v>심의승인</x:v>
      </x:c>
      <x:c r="K1651" s="2" t="str">
        <x:f>IF(OR(J1651="심의승인",J1651="반려",J1651="반려완료",J1651="심의완료"),"종결 표시",IF(OR(J1651="기후부협의",J1651="문서재제출요청",J1651="보류",J1651="보완요청",J1651="보완완료",J1651="평가중",J1651="반려요청",J1651="평가필요",LEFT(J1651,5)="보완요청("),"미종결 표시","상태 확인 필요"))</x:f>
        <x:v>종결 표시</x:v>
      </x:c>
      <x:c r="L1651" s="2" t="str">
        <x:v>KRIC</x:v>
      </x:c>
      <x:c r="M1651" s="2"/>
      <x:c r="N1651" s="8"/>
      <x:c r="O1651" s="2"/>
      <x:c r="P1651" s="2"/>
      <x:c r="Q1651" s="2" t="str">
        <x:v>산업전환_외부사업관리Tool_260707_이너젠 수정_LJY_261013.xlsx</x:v>
      </x:c>
      <x:c r="R1651" s="2" t="str">
        <x:v>국외평가</x:v>
      </x:c>
      <x:c r="S1651" s="8" t="n">
        <x:v>275</x:v>
      </x:c>
      <x:c r="T1651" s="2" t="str">
        <x:v>(6/10)</x:v>
      </x:c>
      <x:c r="U1651" s="2" t="str">
        <x:v>2022 지정: (6/10)</x:v>
      </x:c>
      <x:c r="V1651" s="2" t="str">
        <x:v>2022-10-12</x:v>
      </x:c>
      <x:c r="W1651" s="2" t="str"/>
      <x:c r="X1651" s="2" t="str">
        <x:v>종결 근거 보관</x:v>
      </x:c>
      <x:c r="Y1651" s="2" t="str">
        <x:v>ad210cd9ec132cfd447541c8984dc53d30aff0f4fb2dc92d254d49275cc55976</x:v>
      </x:c>
      <x:c r="Z1651" s="2" t="n">
        <x:f>SUBTOTAL(103,A1651)</x:f>
        <x:v>1</x:v>
      </x:c>
      <x:c r="AA1651" s="2" t="str">
        <x:f>IF(K1651&lt;&gt;"미종결 표시","대상 아님",IF(N1651="","신청일 확인",IF(NOT(ISNUMBER('종합 현황'!$H$5)),"관찰기준 확인",IF('종합 현황'!$H$5&lt;1,"관찰기준 확인",IF(N1651&gt;'종합 현황'!$H$5,"내부 관찰 대상","내부 관찰일 이하")))))</x:f>
        <x:v>대상 아님</x:v>
      </x:c>
      <x:c r="AB1651" s="2" t="str">
        <x:v>2022-05-26 19:31:16 - 관장기관 지정 - 환경부
2022-05-26 19:31:17 - 신규신청 - 신청 
2022-06-01 00:32:46 - 관장기관 지정 - 산업통상자원부
2022-06-16 16:03:59 - 신규신청 - 문서재제출요청 
2022-06-20 17:55:33 - 재제출신청 - 신청 
2022-08-23 09:16:29 - 재제출신청 - 문서재제출요청 
2022-08-24 15:44:54 - 재제출신청 - 신청 
2022-10-07 17:25:26 - 재제출신청 - 평가승인 
2022-10-11 15:09:16 - 재제출신청 - 심의승인 
2022-10-12 17:27:41 - 재제출신청 - 착수신고 
</x:v>
      </x:c>
    </x:row>
    <x:row r="1652" ht="42" customHeight="1">
      <x:c r="A1652" s="2" t="str">
        <x:v>b3452a4d2f4376f73d86c867</x:v>
      </x:c>
      <x:c r="B1652" s="2" t="str">
        <x:v>사업 평가</x:v>
      </x:c>
      <x:c r="C1652" s="2" t="str">
        <x:v>국외</x:v>
      </x:c>
      <x:c r="D1652" s="7" t="str">
        <x:v>기후변화센터의 동남아시아 개발도상국(미얀마) 내 고효율 쿡스토브 보급 사업 CPA-044</x:v>
      </x:c>
      <x:c r="E1652" s="2" t="str">
        <x:v>274</x:v>
      </x:c>
      <x:c r="F1652" s="2" t="str">
        <x:v>2022-05</x:v>
      </x:c>
      <x:c r="G1652" s="2" t="str">
        <x:v>2022</x:v>
      </x:c>
      <x:c r="H1652" s="2" t="str">
        <x:v>05</x:v>
      </x:c>
      <x:c r="I1652" s="2" t="str">
        <x:v>승인</x:v>
      </x:c>
      <x:c r="J1652" s="2" t="str">
        <x:v>심의승인</x:v>
      </x:c>
      <x:c r="K1652" s="2" t="str">
        <x:f>IF(OR(J1652="심의승인",J1652="반려",J1652="반려완료",J1652="심의완료"),"종결 표시",IF(OR(J1652="기후부협의",J1652="문서재제출요청",J1652="보류",J1652="보완요청",J1652="보완완료",J1652="평가중",J1652="반려요청",J1652="평가필요",LEFT(J1652,5)="보완요청("),"미종결 표시","상태 확인 필요"))</x:f>
        <x:v>종결 표시</x:v>
      </x:c>
      <x:c r="L1652" s="2" t="str">
        <x:v>KRIC</x:v>
      </x:c>
      <x:c r="M1652" s="2"/>
      <x:c r="N1652" s="8"/>
      <x:c r="O1652" s="2"/>
      <x:c r="P1652" s="2"/>
      <x:c r="Q1652" s="2" t="str">
        <x:v>산업전환_외부사업관리Tool_260707_이너젠 수정_LJY_261013.xlsx</x:v>
      </x:c>
      <x:c r="R1652" s="2" t="str">
        <x:v>국외평가</x:v>
      </x:c>
      <x:c r="S1652" s="8" t="n">
        <x:v>276</x:v>
      </x:c>
      <x:c r="T1652" s="2" t="str">
        <x:v>(6/10)</x:v>
      </x:c>
      <x:c r="U1652" s="2" t="str">
        <x:v>2022 지정: (6/10)</x:v>
      </x:c>
      <x:c r="V1652" s="2" t="str">
        <x:v>2022-10-12</x:v>
      </x:c>
      <x:c r="W1652" s="2" t="str"/>
      <x:c r="X1652" s="2" t="str">
        <x:v>종결 근거 보관</x:v>
      </x:c>
      <x:c r="Y1652" s="2" t="str">
        <x:v>ad210cd9ec132cfd447541c8984dc53d30aff0f4fb2dc92d254d49275cc55976</x:v>
      </x:c>
      <x:c r="Z1652" s="2" t="n">
        <x:f>SUBTOTAL(103,A1652)</x:f>
        <x:v>1</x:v>
      </x:c>
      <x:c r="AA1652" s="2" t="str">
        <x:f>IF(K1652&lt;&gt;"미종결 표시","대상 아님",IF(N1652="","신청일 확인",IF(NOT(ISNUMBER('종합 현황'!$H$5)),"관찰기준 확인",IF('종합 현황'!$H$5&lt;1,"관찰기준 확인",IF(N1652&gt;'종합 현황'!$H$5,"내부 관찰 대상","내부 관찰일 이하")))))</x:f>
        <x:v>대상 아님</x:v>
      </x:c>
      <x:c r="AB1652" s="2" t="str">
        <x:v>2022-05-26 19:31:31 - 관장기관 지정 - 환경부
2022-05-26 19:31:32 - 신규신청 - 신청 
2022-06-01 00:32:38 - 관장기관 지정 - 산업통상자원부
2022-06-16 16:03:15 - 신규신청 - 문서재제출요청 
2022-06-20 17:55:50 - 재제출신청 - 신청 
2022-08-23 09:16:44 - 재제출신청 - 문서재제출요청 
2022-08-24 15:45:02 - 재제출신청 - 신청 
2022-10-07 17:26:18 - 재제출신청 - 평가승인 
2022-10-11 15:09:46 - 재제출신청 - 심의승인 
2022-10-12 17:28:20 - 재제출신청 - 착수신고 
</x:v>
      </x:c>
    </x:row>
    <x:row r="1653" ht="42" customHeight="1">
      <x:c r="A1653" s="2" t="str">
        <x:v>6bf2a4f513696b856d072082</x:v>
      </x:c>
      <x:c r="B1653" s="2" t="str">
        <x:v>사업 평가</x:v>
      </x:c>
      <x:c r="C1653" s="2" t="str">
        <x:v>국외</x:v>
      </x:c>
      <x:c r="D1653" s="7" t="str">
        <x:v>기후변화센터의 동남아시아 개발도상국(미얀마) 내 고효율 쿡스토브 보급 사업 CPA-045</x:v>
      </x:c>
      <x:c r="E1653" s="2" t="str">
        <x:v>275</x:v>
      </x:c>
      <x:c r="F1653" s="2" t="str">
        <x:v>2022-05</x:v>
      </x:c>
      <x:c r="G1653" s="2" t="str">
        <x:v>2022</x:v>
      </x:c>
      <x:c r="H1653" s="2" t="str">
        <x:v>05</x:v>
      </x:c>
      <x:c r="I1653" s="2" t="str">
        <x:v>승인</x:v>
      </x:c>
      <x:c r="J1653" s="2" t="str">
        <x:v>심의승인</x:v>
      </x:c>
      <x:c r="K1653" s="2" t="str">
        <x:f>IF(OR(J1653="심의승인",J1653="반려",J1653="반려완료",J1653="심의완료"),"종결 표시",IF(OR(J1653="기후부협의",J1653="문서재제출요청",J1653="보류",J1653="보완요청",J1653="보완완료",J1653="평가중",J1653="반려요청",J1653="평가필요",LEFT(J1653,5)="보완요청("),"미종결 표시","상태 확인 필요"))</x:f>
        <x:v>종결 표시</x:v>
      </x:c>
      <x:c r="L1653" s="2" t="str">
        <x:v>KRIC</x:v>
      </x:c>
      <x:c r="M1653" s="2"/>
      <x:c r="N1653" s="8"/>
      <x:c r="O1653" s="2"/>
      <x:c r="P1653" s="2"/>
      <x:c r="Q1653" s="2" t="str">
        <x:v>산업전환_외부사업관리Tool_260707_이너젠 수정_LJY_261013.xlsx</x:v>
      </x:c>
      <x:c r="R1653" s="2" t="str">
        <x:v>국외평가</x:v>
      </x:c>
      <x:c r="S1653" s="8" t="n">
        <x:v>277</x:v>
      </x:c>
      <x:c r="T1653" s="2" t="str">
        <x:v>(6/10)</x:v>
      </x:c>
      <x:c r="U1653" s="2" t="str">
        <x:v>2022 지정: (6/10)</x:v>
      </x:c>
      <x:c r="V1653" s="2" t="str">
        <x:v>2022-10-13</x:v>
      </x:c>
      <x:c r="W1653" s="2" t="str"/>
      <x:c r="X1653" s="2" t="str">
        <x:v>종결 근거 보관</x:v>
      </x:c>
      <x:c r="Y1653" s="2" t="str">
        <x:v>ad210cd9ec132cfd447541c8984dc53d30aff0f4fb2dc92d254d49275cc55976</x:v>
      </x:c>
      <x:c r="Z1653" s="2" t="n">
        <x:f>SUBTOTAL(103,A1653)</x:f>
        <x:v>1</x:v>
      </x:c>
      <x:c r="AA1653" s="2" t="str">
        <x:f>IF(K1653&lt;&gt;"미종결 표시","대상 아님",IF(N1653="","신청일 확인",IF(NOT(ISNUMBER('종합 현황'!$H$5)),"관찰기준 확인",IF('종합 현황'!$H$5&lt;1,"관찰기준 확인",IF(N1653&gt;'종합 현황'!$H$5,"내부 관찰 대상","내부 관찰일 이하")))))</x:f>
        <x:v>대상 아님</x:v>
      </x:c>
      <x:c r="AB1653" s="2" t="str">
        <x:v>2022-05-26 19:31:43 - 관장기관 지정 - 환경부
2022-05-26 19:31:44 - 신규신청 - 신청 
2022-06-01 00:32:28 - 관장기관 지정 - 산업통상자원부
2022-06-16 16:02:53 - 신규신청 - 문서재제출요청 
2022-06-20 17:56:07 - 재제출신청 - 신청 
2022-08-23 09:17:32 - 재제출신청 - 문서재제출요청 
2022-08-24 15:45:12 - 재제출신청 - 신청 
2022-10-07 17:27:42 - 재제출신청 - 평가승인 
2022-10-11 15:10:27 - 재제출신청 - 심의승인 
2022-10-13 09:06:15 - 재제출신청 - 착수신고 
</x:v>
      </x:c>
    </x:row>
    <x:row r="1654" ht="42" customHeight="1">
      <x:c r="A1654" s="2" t="str">
        <x:v>9948d35f00b385260fc484d1</x:v>
      </x:c>
      <x:c r="B1654" s="2" t="str">
        <x:v>사업 평가</x:v>
      </x:c>
      <x:c r="C1654" s="2" t="str">
        <x:v>국외</x:v>
      </x:c>
      <x:c r="D1654" s="7" t="str">
        <x:v>기후변화센터의 동남아시아 개발도상국(미얀마) 내 고효율 쿡스토브 보급 사업 CPA-046</x:v>
      </x:c>
      <x:c r="E1654" s="2" t="str">
        <x:v>276</x:v>
      </x:c>
      <x:c r="F1654" s="2" t="str">
        <x:v>2022-05</x:v>
      </x:c>
      <x:c r="G1654" s="2" t="str">
        <x:v>2022</x:v>
      </x:c>
      <x:c r="H1654" s="2" t="str">
        <x:v>05</x:v>
      </x:c>
      <x:c r="I1654" s="2" t="str">
        <x:v>승인</x:v>
      </x:c>
      <x:c r="J1654" s="2" t="str">
        <x:v>심의승인</x:v>
      </x:c>
      <x:c r="K1654" s="2" t="str">
        <x:f>IF(OR(J1654="심의승인",J1654="반려",J1654="반려완료",J1654="심의완료"),"종결 표시",IF(OR(J1654="기후부협의",J1654="문서재제출요청",J1654="보류",J1654="보완요청",J1654="보완완료",J1654="평가중",J1654="반려요청",J1654="평가필요",LEFT(J1654,5)="보완요청("),"미종결 표시","상태 확인 필요"))</x:f>
        <x:v>종결 표시</x:v>
      </x:c>
      <x:c r="L1654" s="2" t="str">
        <x:v>KRIC</x:v>
      </x:c>
      <x:c r="M1654" s="2"/>
      <x:c r="N1654" s="8"/>
      <x:c r="O1654" s="2"/>
      <x:c r="P1654" s="2"/>
      <x:c r="Q1654" s="2" t="str">
        <x:v>산업전환_외부사업관리Tool_260707_이너젠 수정_LJY_261013.xlsx</x:v>
      </x:c>
      <x:c r="R1654" s="2" t="str">
        <x:v>국외평가</x:v>
      </x:c>
      <x:c r="S1654" s="8" t="n">
        <x:v>278</x:v>
      </x:c>
      <x:c r="T1654" s="2" t="str">
        <x:v>(6/10)</x:v>
      </x:c>
      <x:c r="U1654" s="2" t="str">
        <x:v>2022 지정: (6/10)</x:v>
      </x:c>
      <x:c r="V1654" s="2" t="str">
        <x:v>2022-10-13</x:v>
      </x:c>
      <x:c r="W1654" s="2" t="str"/>
      <x:c r="X1654" s="2" t="str">
        <x:v>종결 근거 보관</x:v>
      </x:c>
      <x:c r="Y1654" s="2" t="str">
        <x:v>ad210cd9ec132cfd447541c8984dc53d30aff0f4fb2dc92d254d49275cc55976</x:v>
      </x:c>
      <x:c r="Z1654" s="2" t="n">
        <x:f>SUBTOTAL(103,A1654)</x:f>
        <x:v>1</x:v>
      </x:c>
      <x:c r="AA1654" s="2" t="str">
        <x:f>IF(K1654&lt;&gt;"미종결 표시","대상 아님",IF(N1654="","신청일 확인",IF(NOT(ISNUMBER('종합 현황'!$H$5)),"관찰기준 확인",IF('종합 현황'!$H$5&lt;1,"관찰기준 확인",IF(N1654&gt;'종합 현황'!$H$5,"내부 관찰 대상","내부 관찰일 이하")))))</x:f>
        <x:v>대상 아님</x:v>
      </x:c>
      <x:c r="AB1654" s="2" t="str">
        <x:v>2022-05-26 19:31:54 - 관장기관 지정 - 환경부
2022-05-26 19:31:55 - 신규신청 - 신청 
2022-06-01 00:32:21 - 관장기관 지정 - 산업통상자원부
2022-06-16 16:02:24 - 신규신청 - 문서재제출요청 
2022-06-20 17:56:27 - 재제출신청 - 신청 
2022-08-23 09:17:47 - 재제출신청 - 문서재제출요청 
2022-08-24 15:45:21 - 재제출신청 - 신청 
2022-10-07 17:28:05 - 재제출신청 - 평가승인 
2022-10-11 15:11:41 - 재제출신청 - 심의승인 
2022-10-13 09:06:49 - 재제출신청 - 착수신고 
</x:v>
      </x:c>
    </x:row>
    <x:row r="1655" ht="42" customHeight="1">
      <x:c r="A1655" s="2" t="str">
        <x:v>254c6726846e2629a5a90cdd</x:v>
      </x:c>
      <x:c r="B1655" s="2" t="str">
        <x:v>사업 평가</x:v>
      </x:c>
      <x:c r="C1655" s="2" t="str">
        <x:v>국외</x:v>
      </x:c>
      <x:c r="D1655" s="7" t="str">
        <x:v>기후변화센터의 동남아시아 개발도상국(미얀마) 내 고효율 쿡스토브 보급 사업 CPA-047</x:v>
      </x:c>
      <x:c r="E1655" s="2" t="str">
        <x:v>277</x:v>
      </x:c>
      <x:c r="F1655" s="2" t="str">
        <x:v>2022-05</x:v>
      </x:c>
      <x:c r="G1655" s="2" t="str">
        <x:v>2022</x:v>
      </x:c>
      <x:c r="H1655" s="2" t="str">
        <x:v>05</x:v>
      </x:c>
      <x:c r="I1655" s="2" t="str">
        <x:v>승인</x:v>
      </x:c>
      <x:c r="J1655" s="2" t="str">
        <x:v>심의승인</x:v>
      </x:c>
      <x:c r="K1655" s="2" t="str">
        <x:f>IF(OR(J1655="심의승인",J1655="반려",J1655="반려완료",J1655="심의완료"),"종결 표시",IF(OR(J1655="기후부협의",J1655="문서재제출요청",J1655="보류",J1655="보완요청",J1655="보완완료",J1655="평가중",J1655="반려요청",J1655="평가필요",LEFT(J1655,5)="보완요청("),"미종결 표시","상태 확인 필요"))</x:f>
        <x:v>종결 표시</x:v>
      </x:c>
      <x:c r="L1655" s="2" t="str">
        <x:v>KRIC</x:v>
      </x:c>
      <x:c r="M1655" s="2"/>
      <x:c r="N1655" s="8"/>
      <x:c r="O1655" s="2"/>
      <x:c r="P1655" s="2"/>
      <x:c r="Q1655" s="2" t="str">
        <x:v>산업전환_외부사업관리Tool_260707_이너젠 수정_LJY_261013.xlsx</x:v>
      </x:c>
      <x:c r="R1655" s="2" t="str">
        <x:v>국외평가</x:v>
      </x:c>
      <x:c r="S1655" s="8" t="n">
        <x:v>279</x:v>
      </x:c>
      <x:c r="T1655" s="2" t="str">
        <x:v>(6/10)</x:v>
      </x:c>
      <x:c r="U1655" s="2" t="str">
        <x:v>2022 지정: (6/10)</x:v>
      </x:c>
      <x:c r="V1655" s="2" t="str">
        <x:v>2022-10-13</x:v>
      </x:c>
      <x:c r="W1655" s="2" t="str"/>
      <x:c r="X1655" s="2" t="str">
        <x:v>종결 근거 보관</x:v>
      </x:c>
      <x:c r="Y1655" s="2" t="str">
        <x:v>ad210cd9ec132cfd447541c8984dc53d30aff0f4fb2dc92d254d49275cc55976</x:v>
      </x:c>
      <x:c r="Z1655" s="2" t="n">
        <x:f>SUBTOTAL(103,A1655)</x:f>
        <x:v>1</x:v>
      </x:c>
      <x:c r="AA1655" s="2" t="str">
        <x:f>IF(K1655&lt;&gt;"미종결 표시","대상 아님",IF(N1655="","신청일 확인",IF(NOT(ISNUMBER('종합 현황'!$H$5)),"관찰기준 확인",IF('종합 현황'!$H$5&lt;1,"관찰기준 확인",IF(N1655&gt;'종합 현황'!$H$5,"내부 관찰 대상","내부 관찰일 이하")))))</x:f>
        <x:v>대상 아님</x:v>
      </x:c>
      <x:c r="AB1655" s="2" t="str">
        <x:v>2022-05-26 19:32:08 - 신규신청 - 신청 
2022-05-26 19:32:08 - 관장기관 지정 - 환경부
2022-06-01 00:32:11 - 관장기관 지정 - 산업통상자원부
2022-06-16 16:01:51 - 신규신청 - 문서재제출요청 
2022-06-20 17:56:50 - 재제출신청 - 신청 
2022-08-23 09:18:00 - 재제출신청 - 문서재제출요청 
2022-08-24 15:45:31 - 재제출신청 - 신청 
2022-10-07 17:29:55 - 재제출신청 - 평가승인 
2022-10-11 15:12:14 - 재제출신청 - 심의승인 
2022-10-13 09:08:16 - 재제출신청 - 착수신고 
</x:v>
      </x:c>
    </x:row>
    <x:row r="1656" ht="42" customHeight="1">
      <x:c r="A1656" s="2" t="str">
        <x:v>109369edd689c9de42208062</x:v>
      </x:c>
      <x:c r="B1656" s="2" t="str">
        <x:v>사업 평가</x:v>
      </x:c>
      <x:c r="C1656" s="2" t="str">
        <x:v>국외</x:v>
      </x:c>
      <x:c r="D1656" s="7" t="str">
        <x:v>기후변화센터의 동남아시아 개발도상국(미얀마) 내 고효율 쿡스토브 보급 사업 CPA-048</x:v>
      </x:c>
      <x:c r="E1656" s="2" t="str">
        <x:v>278</x:v>
      </x:c>
      <x:c r="F1656" s="2" t="str">
        <x:v>2022-05</x:v>
      </x:c>
      <x:c r="G1656" s="2" t="str">
        <x:v>2022</x:v>
      </x:c>
      <x:c r="H1656" s="2" t="str">
        <x:v>05</x:v>
      </x:c>
      <x:c r="I1656" s="2" t="str">
        <x:v>승인</x:v>
      </x:c>
      <x:c r="J1656" s="2" t="str">
        <x:v>심의승인</x:v>
      </x:c>
      <x:c r="K1656" s="2" t="str">
        <x:f>IF(OR(J1656="심의승인",J1656="반려",J1656="반려완료",J1656="심의완료"),"종결 표시",IF(OR(J1656="기후부협의",J1656="문서재제출요청",J1656="보류",J1656="보완요청",J1656="보완완료",J1656="평가중",J1656="반려요청",J1656="평가필요",LEFT(J1656,5)="보완요청("),"미종결 표시","상태 확인 필요"))</x:f>
        <x:v>종결 표시</x:v>
      </x:c>
      <x:c r="L1656" s="2" t="str">
        <x:v>KRIC</x:v>
      </x:c>
      <x:c r="M1656" s="2"/>
      <x:c r="N1656" s="8"/>
      <x:c r="O1656" s="2"/>
      <x:c r="P1656" s="2"/>
      <x:c r="Q1656" s="2" t="str">
        <x:v>산업전환_외부사업관리Tool_260707_이너젠 수정_LJY_261013.xlsx</x:v>
      </x:c>
      <x:c r="R1656" s="2" t="str">
        <x:v>국외평가</x:v>
      </x:c>
      <x:c r="S1656" s="8" t="n">
        <x:v>280</x:v>
      </x:c>
      <x:c r="T1656" s="2" t="str">
        <x:v>(6/10)</x:v>
      </x:c>
      <x:c r="U1656" s="2" t="str">
        <x:v>2022 지정: (6/10)</x:v>
      </x:c>
      <x:c r="V1656" s="2" t="str">
        <x:v>2022-10-13</x:v>
      </x:c>
      <x:c r="W1656" s="2" t="str"/>
      <x:c r="X1656" s="2" t="str">
        <x:v>종결 근거 보관</x:v>
      </x:c>
      <x:c r="Y1656" s="2" t="str">
        <x:v>ad210cd9ec132cfd447541c8984dc53d30aff0f4fb2dc92d254d49275cc55976</x:v>
      </x:c>
      <x:c r="Z1656" s="2" t="n">
        <x:f>SUBTOTAL(103,A1656)</x:f>
        <x:v>1</x:v>
      </x:c>
      <x:c r="AA1656" s="2" t="str">
        <x:f>IF(K1656&lt;&gt;"미종결 표시","대상 아님",IF(N1656="","신청일 확인",IF(NOT(ISNUMBER('종합 현황'!$H$5)),"관찰기준 확인",IF('종합 현황'!$H$5&lt;1,"관찰기준 확인",IF(N1656&gt;'종합 현황'!$H$5,"내부 관찰 대상","내부 관찰일 이하")))))</x:f>
        <x:v>대상 아님</x:v>
      </x:c>
      <x:c r="AB1656" s="2" t="str">
        <x:v>2022-05-26 19:32:19 - 신규신청 - 신청 
2022-05-26 19:32:19 - 관장기관 지정 - 환경부
2022-06-01 00:32:02 - 관장기관 지정 - 산업통상자원부
2022-06-15 16:59:17 - 신규신청 - 문서재제출요청 
2022-06-20 17:57:10 - 재제출신청 - 신청 
2022-08-23 09:18:15 - 재제출신청 - 문서재제출요청 
2022-08-24 15:45:41 - 재제출신청 - 신청 
2022-10-07 17:26:42 - 재제출신청 - 평가승인 
2022-10-11 15:13:05 - 재제출신청 - 심의승인 
2022-10-13 09:08:53 - 재제출신청 - 착수신고 
</x:v>
      </x:c>
    </x:row>
    <x:row r="1657" ht="42" customHeight="1">
      <x:c r="A1657" s="2" t="str">
        <x:v>bcf43ea45dc62e7cb4d8e84e</x:v>
      </x:c>
      <x:c r="B1657" s="2" t="str">
        <x:v>사업 평가</x:v>
      </x:c>
      <x:c r="C1657" s="2" t="str">
        <x:v>국외</x:v>
      </x:c>
      <x:c r="D1657" s="7" t="str">
        <x:v>기후변화센터의 동남아시아 개발도상국(미얀마) 내 고효율 쿡스토브 보급 사업 CPA-049</x:v>
      </x:c>
      <x:c r="E1657" s="2" t="str">
        <x:v>279</x:v>
      </x:c>
      <x:c r="F1657" s="2" t="str">
        <x:v>2022-05</x:v>
      </x:c>
      <x:c r="G1657" s="2" t="str">
        <x:v>2022</x:v>
      </x:c>
      <x:c r="H1657" s="2" t="str">
        <x:v>05</x:v>
      </x:c>
      <x:c r="I1657" s="2" t="str">
        <x:v>승인</x:v>
      </x:c>
      <x:c r="J1657" s="2" t="str">
        <x:v>심의승인</x:v>
      </x:c>
      <x:c r="K1657" s="2" t="str">
        <x:f>IF(OR(J1657="심의승인",J1657="반려",J1657="반려완료",J1657="심의완료"),"종결 표시",IF(OR(J1657="기후부협의",J1657="문서재제출요청",J1657="보류",J1657="보완요청",J1657="보완완료",J1657="평가중",J1657="반려요청",J1657="평가필요",LEFT(J1657,5)="보완요청("),"미종결 표시","상태 확인 필요"))</x:f>
        <x:v>종결 표시</x:v>
      </x:c>
      <x:c r="L1657" s="2" t="str">
        <x:v>KRIC</x:v>
      </x:c>
      <x:c r="M1657" s="2"/>
      <x:c r="N1657" s="8"/>
      <x:c r="O1657" s="2"/>
      <x:c r="P1657" s="2"/>
      <x:c r="Q1657" s="2" t="str">
        <x:v>산업전환_외부사업관리Tool_260707_이너젠 수정_LJY_261013.xlsx</x:v>
      </x:c>
      <x:c r="R1657" s="2" t="str">
        <x:v>국외평가</x:v>
      </x:c>
      <x:c r="S1657" s="8" t="n">
        <x:v>281</x:v>
      </x:c>
      <x:c r="T1657" s="2" t="str">
        <x:v>(6/10)</x:v>
      </x:c>
      <x:c r="U1657" s="2" t="str">
        <x:v>2022 지정: (6/10)</x:v>
      </x:c>
      <x:c r="V1657" s="2" t="str">
        <x:v>2022-10-13</x:v>
      </x:c>
      <x:c r="W1657" s="2" t="str"/>
      <x:c r="X1657" s="2" t="str">
        <x:v>종결 근거 보관</x:v>
      </x:c>
      <x:c r="Y1657" s="2" t="str">
        <x:v>ad210cd9ec132cfd447541c8984dc53d30aff0f4fb2dc92d254d49275cc55976</x:v>
      </x:c>
      <x:c r="Z1657" s="2" t="n">
        <x:f>SUBTOTAL(103,A1657)</x:f>
        <x:v>1</x:v>
      </x:c>
      <x:c r="AA1657" s="2" t="str">
        <x:f>IF(K1657&lt;&gt;"미종결 표시","대상 아님",IF(N1657="","신청일 확인",IF(NOT(ISNUMBER('종합 현황'!$H$5)),"관찰기준 확인",IF('종합 현황'!$H$5&lt;1,"관찰기준 확인",IF(N1657&gt;'종합 현황'!$H$5,"내부 관찰 대상","내부 관찰일 이하")))))</x:f>
        <x:v>대상 아님</x:v>
      </x:c>
      <x:c r="AB1657" s="2" t="str">
        <x:v>2022-05-26 19:32:29 - 신규신청 - 신청 
2022-05-26 19:32:29 - 관장기관 지정 - 환경부
2022-06-01 00:31:48 - 관장기관 지정 - 산업통상자원부
2022-06-15 16:58:59 - 신규신청 - 문서재제출요청 
2022-06-20 17:57:33 - 재제출신청 - 신청 
2022-08-23 09:18:35 - 재제출신청 - 문서재제출요청 
2022-08-24 15:45:50 - 재제출신청 - 신청 
2022-10-07 17:27:06 - 재제출신청 - 평가승인 
2022-10-11 15:13:36 - 재제출신청 - 심의승인 
2022-10-13 09:09:20 - 재제출신청 - 착수신고 
</x:v>
      </x:c>
    </x:row>
    <x:row r="1658" ht="42" customHeight="1">
      <x:c r="A1658" s="2" t="str">
        <x:v>4c66b67245addec6089cb57b</x:v>
      </x:c>
      <x:c r="B1658" s="2" t="str">
        <x:v>사업 평가</x:v>
      </x:c>
      <x:c r="C1658" s="2" t="str">
        <x:v>국외</x:v>
      </x:c>
      <x:c r="D1658" s="7" t="str">
        <x:v>기후변화센터의 동남아시아 개발도상국(미얀마) 내 고효율 쿡스토브 보급 사업 CPA-050</x:v>
      </x:c>
      <x:c r="E1658" s="2" t="str">
        <x:v>280</x:v>
      </x:c>
      <x:c r="F1658" s="2" t="str">
        <x:v>2022-05</x:v>
      </x:c>
      <x:c r="G1658" s="2" t="str">
        <x:v>2022</x:v>
      </x:c>
      <x:c r="H1658" s="2" t="str">
        <x:v>05</x:v>
      </x:c>
      <x:c r="I1658" s="2" t="str">
        <x:v>승인</x:v>
      </x:c>
      <x:c r="J1658" s="2" t="str">
        <x:v>심의승인</x:v>
      </x:c>
      <x:c r="K1658" s="2" t="str">
        <x:f>IF(OR(J1658="심의승인",J1658="반려",J1658="반려완료",J1658="심의완료"),"종결 표시",IF(OR(J1658="기후부협의",J1658="문서재제출요청",J1658="보류",J1658="보완요청",J1658="보완완료",J1658="평가중",J1658="반려요청",J1658="평가필요",LEFT(J1658,5)="보완요청("),"미종결 표시","상태 확인 필요"))</x:f>
        <x:v>종결 표시</x:v>
      </x:c>
      <x:c r="L1658" s="2" t="str">
        <x:v>KRIC</x:v>
      </x:c>
      <x:c r="M1658" s="2"/>
      <x:c r="N1658" s="8"/>
      <x:c r="O1658" s="2"/>
      <x:c r="P1658" s="2"/>
      <x:c r="Q1658" s="2" t="str">
        <x:v>산업전환_외부사업관리Tool_260707_이너젠 수정_LJY_261013.xlsx</x:v>
      </x:c>
      <x:c r="R1658" s="2" t="str">
        <x:v>국외평가</x:v>
      </x:c>
      <x:c r="S1658" s="8" t="n">
        <x:v>282</x:v>
      </x:c>
      <x:c r="T1658" s="2" t="str">
        <x:v>(6/10)</x:v>
      </x:c>
      <x:c r="U1658" s="2" t="str">
        <x:v>2022 지정: (6/10)</x:v>
      </x:c>
      <x:c r="V1658" s="2" t="str">
        <x:v>2022-10-13</x:v>
      </x:c>
      <x:c r="W1658" s="2" t="str"/>
      <x:c r="X1658" s="2" t="str">
        <x:v>종결 근거 보관</x:v>
      </x:c>
      <x:c r="Y1658" s="2" t="str">
        <x:v>ad210cd9ec132cfd447541c8984dc53d30aff0f4fb2dc92d254d49275cc55976</x:v>
      </x:c>
      <x:c r="Z1658" s="2" t="n">
        <x:f>SUBTOTAL(103,A1658)</x:f>
        <x:v>1</x:v>
      </x:c>
      <x:c r="AA1658" s="2" t="str">
        <x:f>IF(K1658&lt;&gt;"미종결 표시","대상 아님",IF(N1658="","신청일 확인",IF(NOT(ISNUMBER('종합 현황'!$H$5)),"관찰기준 확인",IF('종합 현황'!$H$5&lt;1,"관찰기준 확인",IF(N1658&gt;'종합 현황'!$H$5,"내부 관찰 대상","내부 관찰일 이하")))))</x:f>
        <x:v>대상 아님</x:v>
      </x:c>
      <x:c r="AB1658" s="2" t="str">
        <x:v>2022-05-26 19:32:40 - 신규신청 - 신청 
2022-05-26 19:32:40 - 관장기관 지정 - 환경부
2022-06-01 00:31:41 - 관장기관 지정 - 산업통상자원부
2022-06-15 16:58:37 - 신규신청 - 문서재제출요청 
2022-06-20 17:57:52 - 재제출신청 - 신청 
2022-08-23 09:18:58 - 재제출신청 - 문서재제출요청 
2022-08-24 15:45:59 - 재제출신청 - 신청 
2022-10-07 17:30:19 - 재제출신청 - 평가승인 
2022-10-11 15:14:06 - 재제출신청 - 심의승인 
2022-10-13 09:10:18 - 재제출신청 - 착수신고 
</x:v>
      </x:c>
    </x:row>
    <x:row r="1659" ht="42" customHeight="1">
      <x:c r="A1659" s="2" t="str">
        <x:v>e0209667e9ba3e72c832c2b5</x:v>
      </x:c>
      <x:c r="B1659" s="2" t="str">
        <x:v>사업 평가</x:v>
      </x:c>
      <x:c r="C1659" s="2" t="str">
        <x:v>국외</x:v>
      </x:c>
      <x:c r="D1659" s="7" t="str">
        <x:v>기후변화센터의 동남아시아 개발도상국(미얀마) 내 고효율 쿡스토브 보급 사업 CPA-051</x:v>
      </x:c>
      <x:c r="E1659" s="2" t="str">
        <x:v>281</x:v>
      </x:c>
      <x:c r="F1659" s="2" t="str">
        <x:v>2022-05</x:v>
      </x:c>
      <x:c r="G1659" s="2" t="str">
        <x:v>2022</x:v>
      </x:c>
      <x:c r="H1659" s="2" t="str">
        <x:v>05</x:v>
      </x:c>
      <x:c r="I1659" s="2" t="str">
        <x:v>승인</x:v>
      </x:c>
      <x:c r="J1659" s="2" t="str">
        <x:v>심의승인</x:v>
      </x:c>
      <x:c r="K1659" s="2" t="str">
        <x:f>IF(OR(J1659="심의승인",J1659="반려",J1659="반려완료",J1659="심의완료"),"종결 표시",IF(OR(J1659="기후부협의",J1659="문서재제출요청",J1659="보류",J1659="보완요청",J1659="보완완료",J1659="평가중",J1659="반려요청",J1659="평가필요",LEFT(J1659,5)="보완요청("),"미종결 표시","상태 확인 필요"))</x:f>
        <x:v>종결 표시</x:v>
      </x:c>
      <x:c r="L1659" s="2" t="str">
        <x:v>KRIC</x:v>
      </x:c>
      <x:c r="M1659" s="2"/>
      <x:c r="N1659" s="8"/>
      <x:c r="O1659" s="2"/>
      <x:c r="P1659" s="2"/>
      <x:c r="Q1659" s="2" t="str">
        <x:v>산업전환_외부사업관리Tool_260707_이너젠 수정_LJY_261013.xlsx</x:v>
      </x:c>
      <x:c r="R1659" s="2" t="str">
        <x:v>국외평가</x:v>
      </x:c>
      <x:c r="S1659" s="8" t="n">
        <x:v>283</x:v>
      </x:c>
      <x:c r="T1659" s="2" t="str">
        <x:v>(6/10)</x:v>
      </x:c>
      <x:c r="U1659" s="2" t="str">
        <x:v>2022 지정: (6/10)</x:v>
      </x:c>
      <x:c r="V1659" s="2" t="str">
        <x:v>2022-10-13</x:v>
      </x:c>
      <x:c r="W1659" s="2" t="str"/>
      <x:c r="X1659" s="2" t="str">
        <x:v>종결 근거 보관</x:v>
      </x:c>
      <x:c r="Y1659" s="2" t="str">
        <x:v>ad210cd9ec132cfd447541c8984dc53d30aff0f4fb2dc92d254d49275cc55976</x:v>
      </x:c>
      <x:c r="Z1659" s="2" t="n">
        <x:f>SUBTOTAL(103,A1659)</x:f>
        <x:v>1</x:v>
      </x:c>
      <x:c r="AA1659" s="2" t="str">
        <x:f>IF(K1659&lt;&gt;"미종결 표시","대상 아님",IF(N1659="","신청일 확인",IF(NOT(ISNUMBER('종합 현황'!$H$5)),"관찰기준 확인",IF('종합 현황'!$H$5&lt;1,"관찰기준 확인",IF(N1659&gt;'종합 현황'!$H$5,"내부 관찰 대상","내부 관찰일 이하")))))</x:f>
        <x:v>대상 아님</x:v>
      </x:c>
      <x:c r="AB1659" s="2" t="str">
        <x:v>2022-05-26 19:32:52 - 신규신청 - 신청 
2022-05-26 19:32:52 - 관장기관 지정 - 환경부
2022-06-01 00:31:33 - 관장기관 지정 - 산업통상자원부
2022-06-15 16:58:15 - 신규신청 - 문서재제출요청 
2022-06-20 17:58:26 - 재제출신청 - 신청 
2022-08-23 09:19:17 - 재제출신청 - 문서재제출요청 
2022-08-24 15:46:09 - 재제출신청 - 신청 
2022-10-07 17:32:32 - 재제출신청 - 평가승인 
2022-10-11 15:14:39 - 재제출신청 - 심의승인 
2022-10-13 09:10:50 - 재제출신청 - 착수신고 
</x:v>
      </x:c>
    </x:row>
    <x:row r="1660" ht="42" customHeight="1">
      <x:c r="A1660" s="2" t="str">
        <x:v>07aca7b6e6fdfd1ac9cbd5b8</x:v>
      </x:c>
      <x:c r="B1660" s="2" t="str">
        <x:v>사업 평가</x:v>
      </x:c>
      <x:c r="C1660" s="2" t="str">
        <x:v>국외</x:v>
      </x:c>
      <x:c r="D1660" s="7" t="str">
        <x:v>기후변화센터의 동남아시아 개발도상국(미얀마) 내 고효율 쿡스토브 보급 사업 CPA-052</x:v>
      </x:c>
      <x:c r="E1660" s="2" t="str">
        <x:v>282</x:v>
      </x:c>
      <x:c r="F1660" s="2" t="str">
        <x:v>2022-05</x:v>
      </x:c>
      <x:c r="G1660" s="2" t="str">
        <x:v>2022</x:v>
      </x:c>
      <x:c r="H1660" s="2" t="str">
        <x:v>05</x:v>
      </x:c>
      <x:c r="I1660" s="2" t="str">
        <x:v>승인</x:v>
      </x:c>
      <x:c r="J1660" s="2" t="str">
        <x:v>심의승인</x:v>
      </x:c>
      <x:c r="K1660" s="2" t="str">
        <x:f>IF(OR(J1660="심의승인",J1660="반려",J1660="반려완료",J1660="심의완료"),"종결 표시",IF(OR(J1660="기후부협의",J1660="문서재제출요청",J1660="보류",J1660="보완요청",J1660="보완완료",J1660="평가중",J1660="반려요청",J1660="평가필요",LEFT(J1660,5)="보완요청("),"미종결 표시","상태 확인 필요"))</x:f>
        <x:v>종결 표시</x:v>
      </x:c>
      <x:c r="L1660" s="2" t="str">
        <x:v>KRIC</x:v>
      </x:c>
      <x:c r="M1660" s="2"/>
      <x:c r="N1660" s="8"/>
      <x:c r="O1660" s="2"/>
      <x:c r="P1660" s="2"/>
      <x:c r="Q1660" s="2" t="str">
        <x:v>산업전환_외부사업관리Tool_260707_이너젠 수정_LJY_261013.xlsx</x:v>
      </x:c>
      <x:c r="R1660" s="2" t="str">
        <x:v>국외평가</x:v>
      </x:c>
      <x:c r="S1660" s="8" t="n">
        <x:v>284</x:v>
      </x:c>
      <x:c r="T1660" s="2" t="str">
        <x:v>(6/10)</x:v>
      </x:c>
      <x:c r="U1660" s="2" t="str">
        <x:v>2022 지정: (6/10)</x:v>
      </x:c>
      <x:c r="V1660" s="2" t="str">
        <x:v>2022-10-13</x:v>
      </x:c>
      <x:c r="W1660" s="2" t="str"/>
      <x:c r="X1660" s="2" t="str">
        <x:v>종결 근거 보관</x:v>
      </x:c>
      <x:c r="Y1660" s="2" t="str">
        <x:v>ad210cd9ec132cfd447541c8984dc53d30aff0f4fb2dc92d254d49275cc55976</x:v>
      </x:c>
      <x:c r="Z1660" s="2" t="n">
        <x:f>SUBTOTAL(103,A1660)</x:f>
        <x:v>1</x:v>
      </x:c>
      <x:c r="AA1660" s="2" t="str">
        <x:f>IF(K1660&lt;&gt;"미종결 표시","대상 아님",IF(N1660="","신청일 확인",IF(NOT(ISNUMBER('종합 현황'!$H$5)),"관찰기준 확인",IF('종합 현황'!$H$5&lt;1,"관찰기준 확인",IF(N1660&gt;'종합 현황'!$H$5,"내부 관찰 대상","내부 관찰일 이하")))))</x:f>
        <x:v>대상 아님</x:v>
      </x:c>
      <x:c r="AB1660" s="2" t="str">
        <x:v>2022-05-26 19:33:02 - 신규신청 - 신청 
2022-05-26 19:33:02 - 관장기관 지정 - 환경부
2022-06-01 00:31:24 - 관장기관 지정 - 산업통상자원부
2022-06-15 16:57:54 - 신규신청 - 문서재제출요청 
2022-06-20 17:58:41 - 재제출신청 - 신청 
2022-08-23 09:19:38 - 재제출신청 - 문서재제출요청 
2022-08-24 15:46:18 - 재제출신청 - 신청 
2022-10-07 17:28:28 - 재제출신청 - 평가승인 
2022-10-11 15:15:07 - 재제출신청 - 심의승인 
2022-10-13 09:11:17 - 재제출신청 - 착수신고 
</x:v>
      </x:c>
    </x:row>
    <x:row r="1661" ht="42" customHeight="1">
      <x:c r="A1661" s="2" t="str">
        <x:v>4865f8b881fefbd27398a20f</x:v>
      </x:c>
      <x:c r="B1661" s="2" t="str">
        <x:v>사업 평가</x:v>
      </x:c>
      <x:c r="C1661" s="2" t="str">
        <x:v>국외</x:v>
      </x:c>
      <x:c r="D1661" s="7" t="str">
        <x:v>기후변화센터의 동남아시아 개발도상국(미얀마) 내 고효율 쿡스토브 보급 사업 CPA-053</x:v>
      </x:c>
      <x:c r="E1661" s="2" t="str">
        <x:v>283</x:v>
      </x:c>
      <x:c r="F1661" s="2" t="str">
        <x:v>2022-05</x:v>
      </x:c>
      <x:c r="G1661" s="2" t="str">
        <x:v>2022</x:v>
      </x:c>
      <x:c r="H1661" s="2" t="str">
        <x:v>05</x:v>
      </x:c>
      <x:c r="I1661" s="2" t="str">
        <x:v>승인</x:v>
      </x:c>
      <x:c r="J1661" s="2" t="str">
        <x:v>심의승인</x:v>
      </x:c>
      <x:c r="K1661" s="2" t="str">
        <x:f>IF(OR(J1661="심의승인",J1661="반려",J1661="반려완료",J1661="심의완료"),"종결 표시",IF(OR(J1661="기후부협의",J1661="문서재제출요청",J1661="보류",J1661="보완요청",J1661="보완완료",J1661="평가중",J1661="반려요청",J1661="평가필요",LEFT(J1661,5)="보완요청("),"미종결 표시","상태 확인 필요"))</x:f>
        <x:v>종결 표시</x:v>
      </x:c>
      <x:c r="L1661" s="2" t="str">
        <x:v>KRIC</x:v>
      </x:c>
      <x:c r="M1661" s="2"/>
      <x:c r="N1661" s="8"/>
      <x:c r="O1661" s="2"/>
      <x:c r="P1661" s="2"/>
      <x:c r="Q1661" s="2" t="str">
        <x:v>산업전환_외부사업관리Tool_260707_이너젠 수정_LJY_261013.xlsx</x:v>
      </x:c>
      <x:c r="R1661" s="2" t="str">
        <x:v>국외평가</x:v>
      </x:c>
      <x:c r="S1661" s="8" t="n">
        <x:v>285</x:v>
      </x:c>
      <x:c r="T1661" s="2" t="str">
        <x:v>(6/10)</x:v>
      </x:c>
      <x:c r="U1661" s="2" t="str">
        <x:v>2022 지정: (6/10)</x:v>
      </x:c>
      <x:c r="V1661" s="2" t="str">
        <x:v>2022-10-13</x:v>
      </x:c>
      <x:c r="W1661" s="2" t="str"/>
      <x:c r="X1661" s="2" t="str">
        <x:v>종결 근거 보관</x:v>
      </x:c>
      <x:c r="Y1661" s="2" t="str">
        <x:v>ad210cd9ec132cfd447541c8984dc53d30aff0f4fb2dc92d254d49275cc55976</x:v>
      </x:c>
      <x:c r="Z1661" s="2" t="n">
        <x:f>SUBTOTAL(103,A1661)</x:f>
        <x:v>1</x:v>
      </x:c>
      <x:c r="AA1661" s="2" t="str">
        <x:f>IF(K1661&lt;&gt;"미종결 표시","대상 아님",IF(N1661="","신청일 확인",IF(NOT(ISNUMBER('종합 현황'!$H$5)),"관찰기준 확인",IF('종합 현황'!$H$5&lt;1,"관찰기준 확인",IF(N1661&gt;'종합 현황'!$H$5,"내부 관찰 대상","내부 관찰일 이하")))))</x:f>
        <x:v>대상 아님</x:v>
      </x:c>
      <x:c r="AB1661" s="2" t="str">
        <x:v>2022-05-26 19:33:15 - 신규신청 - 신청 
2022-05-26 19:33:15 - 관장기관 지정 - 환경부
2022-06-01 00:31:12 - 관장기관 지정 - 산업통상자원부
2022-06-15 16:45:59 - 신규신청 - 문서재제출요청 
2022-06-20 17:59:06 - 재제출신청 - 신청 
2022-08-23 09:20:07 - 재제출신청 - 문서재제출요청 
2022-08-24 15:46:27 - 재제출신청 - 신청 
2022-10-07 17:33:06 - 재제출신청 - 평가승인 
2022-10-11 15:15:38 - 재제출신청 - 심의승인 
2022-10-13 09:26:03 - 재제출신청 - 착수신고 
</x:v>
      </x:c>
    </x:row>
    <x:row r="1662" ht="42" customHeight="1">
      <x:c r="A1662" s="2" t="str">
        <x:v>6745f1b8291a2131dd835fc0</x:v>
      </x:c>
      <x:c r="B1662" s="2" t="str">
        <x:v>사업 평가</x:v>
      </x:c>
      <x:c r="C1662" s="2" t="str">
        <x:v>국외</x:v>
      </x:c>
      <x:c r="D1662" s="7" t="str">
        <x:v>기후변화센터의 동남아시아 개발도상국(미얀마) 내 고효율 쿡스토브 보급 사업 CPA-054</x:v>
      </x:c>
      <x:c r="E1662" s="2" t="str">
        <x:v>284</x:v>
      </x:c>
      <x:c r="F1662" s="2" t="str">
        <x:v>2022-05</x:v>
      </x:c>
      <x:c r="G1662" s="2" t="str">
        <x:v>2022</x:v>
      </x:c>
      <x:c r="H1662" s="2" t="str">
        <x:v>05</x:v>
      </x:c>
      <x:c r="I1662" s="2" t="str">
        <x:v>승인</x:v>
      </x:c>
      <x:c r="J1662" s="2" t="str">
        <x:v>심의승인</x:v>
      </x:c>
      <x:c r="K1662" s="2" t="str">
        <x:f>IF(OR(J1662="심의승인",J1662="반려",J1662="반려완료",J1662="심의완료"),"종결 표시",IF(OR(J1662="기후부협의",J1662="문서재제출요청",J1662="보류",J1662="보완요청",J1662="보완완료",J1662="평가중",J1662="반려요청",J1662="평가필요",LEFT(J1662,5)="보완요청("),"미종결 표시","상태 확인 필요"))</x:f>
        <x:v>종결 표시</x:v>
      </x:c>
      <x:c r="L1662" s="2" t="str">
        <x:v>KRIC</x:v>
      </x:c>
      <x:c r="M1662" s="2"/>
      <x:c r="N1662" s="8"/>
      <x:c r="O1662" s="2"/>
      <x:c r="P1662" s="2"/>
      <x:c r="Q1662" s="2" t="str">
        <x:v>산업전환_외부사업관리Tool_260707_이너젠 수정_LJY_261013.xlsx</x:v>
      </x:c>
      <x:c r="R1662" s="2" t="str">
        <x:v>국외평가</x:v>
      </x:c>
      <x:c r="S1662" s="8" t="n">
        <x:v>286</x:v>
      </x:c>
      <x:c r="T1662" s="2" t="str">
        <x:v>(6/10)</x:v>
      </x:c>
      <x:c r="U1662" s="2" t="str">
        <x:v>2022 지정: (6/10)</x:v>
      </x:c>
      <x:c r="V1662" s="2" t="str">
        <x:v>2022-10-13</x:v>
      </x:c>
      <x:c r="W1662" s="2" t="str"/>
      <x:c r="X1662" s="2" t="str">
        <x:v>종결 근거 보관</x:v>
      </x:c>
      <x:c r="Y1662" s="2" t="str">
        <x:v>ad210cd9ec132cfd447541c8984dc53d30aff0f4fb2dc92d254d49275cc55976</x:v>
      </x:c>
      <x:c r="Z1662" s="2" t="n">
        <x:f>SUBTOTAL(103,A1662)</x:f>
        <x:v>1</x:v>
      </x:c>
      <x:c r="AA1662" s="2" t="str">
        <x:f>IF(K1662&lt;&gt;"미종결 표시","대상 아님",IF(N1662="","신청일 확인",IF(NOT(ISNUMBER('종합 현황'!$H$5)),"관찰기준 확인",IF('종합 현황'!$H$5&lt;1,"관찰기준 확인",IF(N1662&gt;'종합 현황'!$H$5,"내부 관찰 대상","내부 관찰일 이하")))))</x:f>
        <x:v>대상 아님</x:v>
      </x:c>
      <x:c r="AB1662" s="2" t="str">
        <x:v>2022-05-26 19:33:28 - 신규신청 - 신청 
2022-05-26 19:33:28 - 관장기관 지정 - 환경부
2022-06-01 00:31:05 - 관장기관 지정 - 산업통상자원부
2022-06-15 16:45:39 - 신규신청 - 문서재제출요청 
2022-06-20 17:59:52 - 재제출신청 - 신청 
2022-08-23 09:20:22 - 재제출신청 - 문서재제출요청 
2022-08-24 15:46:35 - 재제출신청 - 신청 
2022-10-07 17:33:54 - 재제출신청 - 평가승인 
2022-10-11 15:16:35 - 재제출신청 - 심의승인 
2022-10-13 09:26:45 - 재제출신청 - 착수신고 
</x:v>
      </x:c>
    </x:row>
    <x:row r="1663" ht="42" customHeight="1">
      <x:c r="A1663" s="2" t="str">
        <x:v>60bc64f3ae1c8a7394572250</x:v>
      </x:c>
      <x:c r="B1663" s="2" t="str">
        <x:v>사업 평가</x:v>
      </x:c>
      <x:c r="C1663" s="2" t="str">
        <x:v>국외</x:v>
      </x:c>
      <x:c r="D1663" s="7" t="str">
        <x:v>기후변화센터의 동남아시아 개발도상국(미얀마) 내 고효율 쿡스토브 보급 사업 CPA-055</x:v>
      </x:c>
      <x:c r="E1663" s="2" t="str">
        <x:v>285</x:v>
      </x:c>
      <x:c r="F1663" s="2" t="str">
        <x:v>2022-05</x:v>
      </x:c>
      <x:c r="G1663" s="2" t="str">
        <x:v>2022</x:v>
      </x:c>
      <x:c r="H1663" s="2" t="str">
        <x:v>05</x:v>
      </x:c>
      <x:c r="I1663" s="2" t="str">
        <x:v>승인</x:v>
      </x:c>
      <x:c r="J1663" s="2" t="str">
        <x:v>심의승인</x:v>
      </x:c>
      <x:c r="K1663" s="2" t="str">
        <x:f>IF(OR(J1663="심의승인",J1663="반려",J1663="반려완료",J1663="심의완료"),"종결 표시",IF(OR(J1663="기후부협의",J1663="문서재제출요청",J1663="보류",J1663="보완요청",J1663="보완완료",J1663="평가중",J1663="반려요청",J1663="평가필요",LEFT(J1663,5)="보완요청("),"미종결 표시","상태 확인 필요"))</x:f>
        <x:v>종결 표시</x:v>
      </x:c>
      <x:c r="L1663" s="2" t="str">
        <x:v>KRIC</x:v>
      </x:c>
      <x:c r="M1663" s="2"/>
      <x:c r="N1663" s="8"/>
      <x:c r="O1663" s="2"/>
      <x:c r="P1663" s="2"/>
      <x:c r="Q1663" s="2" t="str">
        <x:v>산업전환_외부사업관리Tool_260707_이너젠 수정_LJY_261013.xlsx</x:v>
      </x:c>
      <x:c r="R1663" s="2" t="str">
        <x:v>국외평가</x:v>
      </x:c>
      <x:c r="S1663" s="8" t="n">
        <x:v>287</x:v>
      </x:c>
      <x:c r="T1663" s="2" t="str">
        <x:v>(6/10)</x:v>
      </x:c>
      <x:c r="U1663" s="2" t="str">
        <x:v>2022 지정: (6/10)</x:v>
      </x:c>
      <x:c r="V1663" s="2" t="str">
        <x:v>2022-10-13</x:v>
      </x:c>
      <x:c r="W1663" s="2" t="str"/>
      <x:c r="X1663" s="2" t="str">
        <x:v>종결 근거 보관</x:v>
      </x:c>
      <x:c r="Y1663" s="2" t="str">
        <x:v>ad210cd9ec132cfd447541c8984dc53d30aff0f4fb2dc92d254d49275cc55976</x:v>
      </x:c>
      <x:c r="Z1663" s="2" t="n">
        <x:f>SUBTOTAL(103,A1663)</x:f>
        <x:v>1</x:v>
      </x:c>
      <x:c r="AA1663" s="2" t="str">
        <x:f>IF(K1663&lt;&gt;"미종결 표시","대상 아님",IF(N1663="","신청일 확인",IF(NOT(ISNUMBER('종합 현황'!$H$5)),"관찰기준 확인",IF('종합 현황'!$H$5&lt;1,"관찰기준 확인",IF(N1663&gt;'종합 현황'!$H$5,"내부 관찰 대상","내부 관찰일 이하")))))</x:f>
        <x:v>대상 아님</x:v>
      </x:c>
      <x:c r="AB1663" s="2" t="str">
        <x:v>2022-05-26 19:33:50 - 신규신청 - 신청 
2022-05-26 19:33:50 - 관장기관 지정 - 환경부
2022-06-01 00:30:51 - 관장기관 지정 - 산업통상자원부
2022-06-15 16:45:21 - 신규신청 - 문서재제출요청 
2022-06-20 18:00:12 - 재제출신청 - 신청 
2022-08-23 09:20:42 - 재제출신청 - 문서재제출요청 
2022-08-24 15:46:44 - 재제출신청 - 신청 
2022-10-07 17:30:45 - 재제출신청 - 평가승인 
2022-10-11 15:16:59 - 재제출신청 - 심의승인 
2022-10-13 09:27:20 - 재제출신청 - 착수신고 
</x:v>
      </x:c>
    </x:row>
    <x:row r="1664" ht="42" customHeight="1">
      <x:c r="A1664" s="2" t="str">
        <x:v>78ce3da5f2fdaa0b0994cf9b</x:v>
      </x:c>
      <x:c r="B1664" s="2" t="str">
        <x:v>사업 평가</x:v>
      </x:c>
      <x:c r="C1664" s="2" t="str">
        <x:v>국외</x:v>
      </x:c>
      <x:c r="D1664" s="7" t="str">
        <x:v>기후변화센터의 동남아시아 개발도상국(미얀마) 내 고효율 쿡스토브 보급 사업 CPA-056</x:v>
      </x:c>
      <x:c r="E1664" s="2" t="str">
        <x:v>286</x:v>
      </x:c>
      <x:c r="F1664" s="2" t="str">
        <x:v>2022-05</x:v>
      </x:c>
      <x:c r="G1664" s="2" t="str">
        <x:v>2022</x:v>
      </x:c>
      <x:c r="H1664" s="2" t="str">
        <x:v>05</x:v>
      </x:c>
      <x:c r="I1664" s="2" t="str">
        <x:v>승인</x:v>
      </x:c>
      <x:c r="J1664" s="2" t="str">
        <x:v>심의승인</x:v>
      </x:c>
      <x:c r="K1664" s="2" t="str">
        <x:f>IF(OR(J1664="심의승인",J1664="반려",J1664="반려완료",J1664="심의완료"),"종결 표시",IF(OR(J1664="기후부협의",J1664="문서재제출요청",J1664="보류",J1664="보완요청",J1664="보완완료",J1664="평가중",J1664="반려요청",J1664="평가필요",LEFT(J1664,5)="보완요청("),"미종결 표시","상태 확인 필요"))</x:f>
        <x:v>종결 표시</x:v>
      </x:c>
      <x:c r="L1664" s="2" t="str">
        <x:v>KRIC</x:v>
      </x:c>
      <x:c r="M1664" s="2"/>
      <x:c r="N1664" s="8"/>
      <x:c r="O1664" s="2"/>
      <x:c r="P1664" s="2"/>
      <x:c r="Q1664" s="2" t="str">
        <x:v>산업전환_외부사업관리Tool_260707_이너젠 수정_LJY_261013.xlsx</x:v>
      </x:c>
      <x:c r="R1664" s="2" t="str">
        <x:v>국외평가</x:v>
      </x:c>
      <x:c r="S1664" s="8" t="n">
        <x:v>288</x:v>
      </x:c>
      <x:c r="T1664" s="2" t="str">
        <x:v>(6/10)</x:v>
      </x:c>
      <x:c r="U1664" s="2" t="str">
        <x:v>2022 지정: (6/10)</x:v>
      </x:c>
      <x:c r="V1664" s="2" t="str">
        <x:v>2022-10-13</x:v>
      </x:c>
      <x:c r="W1664" s="2" t="str"/>
      <x:c r="X1664" s="2" t="str">
        <x:v>종결 근거 보관</x:v>
      </x:c>
      <x:c r="Y1664" s="2" t="str">
        <x:v>ad210cd9ec132cfd447541c8984dc53d30aff0f4fb2dc92d254d49275cc55976</x:v>
      </x:c>
      <x:c r="Z1664" s="2" t="n">
        <x:f>SUBTOTAL(103,A1664)</x:f>
        <x:v>1</x:v>
      </x:c>
      <x:c r="AA1664" s="2" t="str">
        <x:f>IF(K1664&lt;&gt;"미종결 표시","대상 아님",IF(N1664="","신청일 확인",IF(NOT(ISNUMBER('종합 현황'!$H$5)),"관찰기준 확인",IF('종합 현황'!$H$5&lt;1,"관찰기준 확인",IF(N1664&gt;'종합 현황'!$H$5,"내부 관찰 대상","내부 관찰일 이하")))))</x:f>
        <x:v>대상 아님</x:v>
      </x:c>
      <x:c r="AB1664" s="2" t="str">
        <x:v>2022-05-26 19:34:00 - 신규신청 - 신청 
2022-05-26 19:34:00 - 관장기관 지정 - 환경부
2022-06-01 00:30:44 - 관장기관 지정 - 산업통상자원부
2022-06-15 16:44:55 - 신규신청 - 문서재제출요청 
2022-06-20 18:00:59 - 재제출신청 - 신청 
2022-08-23 09:20:57 - 재제출신청 - 문서재제출요청 
2022-08-24 15:46:53 - 재제출신청 - 신청 
2022-10-07 17:31:08 - 재제출신청 - 평가승인 
2022-10-11 15:17:23 - 재제출신청 - 심의승인 
2022-10-13 09:28:15 - 재제출신청 - 착수신고 
</x:v>
      </x:c>
    </x:row>
    <x:row r="1665" ht="42" customHeight="1">
      <x:c r="A1665" s="2" t="str">
        <x:v>0f44f2f77821d6baba64a005</x:v>
      </x:c>
      <x:c r="B1665" s="2" t="str">
        <x:v>사업 평가</x:v>
      </x:c>
      <x:c r="C1665" s="2" t="str">
        <x:v>국외</x:v>
      </x:c>
      <x:c r="D1665" s="7" t="str">
        <x:v>기후변화센터의 동남아시아 개발도상국(미얀마) 내 고효율 쿡스토브 보급 사업 CPA-057</x:v>
      </x:c>
      <x:c r="E1665" s="2" t="str">
        <x:v>287</x:v>
      </x:c>
      <x:c r="F1665" s="2" t="str">
        <x:v>2022-05</x:v>
      </x:c>
      <x:c r="G1665" s="2" t="str">
        <x:v>2022</x:v>
      </x:c>
      <x:c r="H1665" s="2" t="str">
        <x:v>05</x:v>
      </x:c>
      <x:c r="I1665" s="2" t="str">
        <x:v>승인</x:v>
      </x:c>
      <x:c r="J1665" s="2" t="str">
        <x:v>심의승인</x:v>
      </x:c>
      <x:c r="K1665" s="2" t="str">
        <x:f>IF(OR(J1665="심의승인",J1665="반려",J1665="반려완료",J1665="심의완료"),"종결 표시",IF(OR(J1665="기후부협의",J1665="문서재제출요청",J1665="보류",J1665="보완요청",J1665="보완완료",J1665="평가중",J1665="반려요청",J1665="평가필요",LEFT(J1665,5)="보완요청("),"미종결 표시","상태 확인 필요"))</x:f>
        <x:v>종결 표시</x:v>
      </x:c>
      <x:c r="L1665" s="2" t="str">
        <x:v>KRIC</x:v>
      </x:c>
      <x:c r="M1665" s="2"/>
      <x:c r="N1665" s="8"/>
      <x:c r="O1665" s="2"/>
      <x:c r="P1665" s="2"/>
      <x:c r="Q1665" s="2" t="str">
        <x:v>산업전환_외부사업관리Tool_260707_이너젠 수정_LJY_261013.xlsx</x:v>
      </x:c>
      <x:c r="R1665" s="2" t="str">
        <x:v>국외평가</x:v>
      </x:c>
      <x:c r="S1665" s="8" t="n">
        <x:v>289</x:v>
      </x:c>
      <x:c r="T1665" s="2" t="str">
        <x:v>(6/10)</x:v>
      </x:c>
      <x:c r="U1665" s="2" t="str">
        <x:v>2022 지정: (6/10)</x:v>
      </x:c>
      <x:c r="V1665" s="2" t="str">
        <x:v>2022-10-13</x:v>
      </x:c>
      <x:c r="W1665" s="2" t="str"/>
      <x:c r="X1665" s="2" t="str">
        <x:v>종결 근거 보관</x:v>
      </x:c>
      <x:c r="Y1665" s="2" t="str">
        <x:v>ad210cd9ec132cfd447541c8984dc53d30aff0f4fb2dc92d254d49275cc55976</x:v>
      </x:c>
      <x:c r="Z1665" s="2" t="n">
        <x:f>SUBTOTAL(103,A1665)</x:f>
        <x:v>1</x:v>
      </x:c>
      <x:c r="AA1665" s="2" t="str">
        <x:f>IF(K1665&lt;&gt;"미종결 표시","대상 아님",IF(N1665="","신청일 확인",IF(NOT(ISNUMBER('종합 현황'!$H$5)),"관찰기준 확인",IF('종합 현황'!$H$5&lt;1,"관찰기준 확인",IF(N1665&gt;'종합 현황'!$H$5,"내부 관찰 대상","내부 관찰일 이하")))))</x:f>
        <x:v>대상 아님</x:v>
      </x:c>
      <x:c r="AB1665" s="2" t="str">
        <x:v>2022-05-26 19:34:11 - 관장기관 지정 - 환경부
2022-05-26 19:34:12 - 신규신청 - 신청 
2022-06-01 00:30:37 - 관장기관 지정 - 산업통상자원부
2022-06-15 16:40:56 - 신규신청 - 문서재제출요청 
2022-06-20 18:01:14 - 재제출신청 - 신청 
2022-06-21 17:00:07 - 재제출신청 - 문서재제출요청 
2022-06-21 18:34:25 - 재제출신청 - 신청 
2022-08-23 09:21:23 - 재제출신청 - 문서재제출요청 
2022-08-24 15:47:02 - 재제출신청 - 신청 
2022-10-07 17:31:33 - 재제출신청 - 평가승인 
2022-10-11 15:17:59 - 재제출신청 - 심의승인 
2022-10-13 09:29:22 - 재제출신청 - 착수신고 
</x:v>
      </x:c>
    </x:row>
    <x:row r="1666" ht="42" customHeight="1">
      <x:c r="A1666" s="2" t="str">
        <x:v>3ac5010451ab094f5fbe1377</x:v>
      </x:c>
      <x:c r="B1666" s="2" t="str">
        <x:v>사업 평가</x:v>
      </x:c>
      <x:c r="C1666" s="2" t="str">
        <x:v>국외</x:v>
      </x:c>
      <x:c r="D1666" s="7" t="str">
        <x:v>기후변화센터의 동남아시아 개발도상국(미얀마) 내 고효율 쿡스토브 보급 사업 CPA-058</x:v>
      </x:c>
      <x:c r="E1666" s="2" t="str">
        <x:v>288</x:v>
      </x:c>
      <x:c r="F1666" s="2" t="str">
        <x:v>2022-05</x:v>
      </x:c>
      <x:c r="G1666" s="2" t="str">
        <x:v>2022</x:v>
      </x:c>
      <x:c r="H1666" s="2" t="str">
        <x:v>05</x:v>
      </x:c>
      <x:c r="I1666" s="2" t="str">
        <x:v>승인</x:v>
      </x:c>
      <x:c r="J1666" s="2" t="str">
        <x:v>심의승인</x:v>
      </x:c>
      <x:c r="K1666" s="2" t="str">
        <x:f>IF(OR(J1666="심의승인",J1666="반려",J1666="반려완료",J1666="심의완료"),"종결 표시",IF(OR(J1666="기후부협의",J1666="문서재제출요청",J1666="보류",J1666="보완요청",J1666="보완완료",J1666="평가중",J1666="반려요청",J1666="평가필요",LEFT(J1666,5)="보완요청("),"미종결 표시","상태 확인 필요"))</x:f>
        <x:v>종결 표시</x:v>
      </x:c>
      <x:c r="L1666" s="2" t="str">
        <x:v>KRIC</x:v>
      </x:c>
      <x:c r="M1666" s="2"/>
      <x:c r="N1666" s="8"/>
      <x:c r="O1666" s="2"/>
      <x:c r="P1666" s="2"/>
      <x:c r="Q1666" s="2" t="str">
        <x:v>산업전환_외부사업관리Tool_260707_이너젠 수정_LJY_261013.xlsx</x:v>
      </x:c>
      <x:c r="R1666" s="2" t="str">
        <x:v>국외평가</x:v>
      </x:c>
      <x:c r="S1666" s="8" t="n">
        <x:v>290</x:v>
      </x:c>
      <x:c r="T1666" s="2" t="str">
        <x:v>(6/10)</x:v>
      </x:c>
      <x:c r="U1666" s="2" t="str">
        <x:v>2022 지정: (6/10)</x:v>
      </x:c>
      <x:c r="V1666" s="2" t="str">
        <x:v>2022-10-13</x:v>
      </x:c>
      <x:c r="W1666" s="2" t="str"/>
      <x:c r="X1666" s="2" t="str">
        <x:v>종결 근거 보관</x:v>
      </x:c>
      <x:c r="Y1666" s="2" t="str">
        <x:v>ad210cd9ec132cfd447541c8984dc53d30aff0f4fb2dc92d254d49275cc55976</x:v>
      </x:c>
      <x:c r="Z1666" s="2" t="n">
        <x:f>SUBTOTAL(103,A1666)</x:f>
        <x:v>1</x:v>
      </x:c>
      <x:c r="AA1666" s="2" t="str">
        <x:f>IF(K1666&lt;&gt;"미종결 표시","대상 아님",IF(N1666="","신청일 확인",IF(NOT(ISNUMBER('종합 현황'!$H$5)),"관찰기준 확인",IF('종합 현황'!$H$5&lt;1,"관찰기준 확인",IF(N1666&gt;'종합 현황'!$H$5,"내부 관찰 대상","내부 관찰일 이하")))))</x:f>
        <x:v>대상 아님</x:v>
      </x:c>
      <x:c r="AB1666" s="2" t="str">
        <x:v>2022-05-26 19:34:23 - 신규신청 - 신청 
2022-05-26 19:34:23 - 관장기관 지정 - 환경부
2022-06-01 00:30:30 - 관장기관 지정 - 산업통상자원부
2022-06-15 16:40:33 - 신규신청 - 문서재제출요청 
2022-06-20 18:01:33 - 재제출신청 - 신청 
2022-06-21 16:59:46 - 재제출신청 - 문서재제출요청 
2022-06-21 18:34:40 - 재제출신청 - 신청 
2022-08-23 09:21:39 - 재제출신청 - 문서재제출요청 
2022-08-24 15:47:12 - 재제출신청 - 신청 
2022-10-07 17:32:01 - 재제출신청 - 평가승인 
2022-10-11 15:18:26 - 재제출신청 - 심의승인 
2022-10-13 09:29:48 - 재제출신청 - 착수신고 
</x:v>
      </x:c>
    </x:row>
    <x:row r="1667" ht="42" customHeight="1">
      <x:c r="A1667" s="2" t="str">
        <x:v>5e91768393d1ab73ee3bb350</x:v>
      </x:c>
      <x:c r="B1667" s="2" t="str">
        <x:v>사업 평가</x:v>
      </x:c>
      <x:c r="C1667" s="2" t="str">
        <x:v>국외</x:v>
      </x:c>
      <x:c r="D1667" s="7" t="str">
        <x:v>8.6MW PV 번들링 CDM 프로젝트</x:v>
      </x:c>
      <x:c r="E1667" s="2" t="str">
        <x:v>289</x:v>
      </x:c>
      <x:c r="F1667" s="2" t="str">
        <x:v>2022-05</x:v>
      </x:c>
      <x:c r="G1667" s="2" t="str">
        <x:v>2022</x:v>
      </x:c>
      <x:c r="H1667" s="2" t="str">
        <x:v>05</x:v>
      </x:c>
      <x:c r="I1667" s="2" t="str">
        <x:v>승인</x:v>
      </x:c>
      <x:c r="J1667" s="2" t="str">
        <x:v>심의승인</x:v>
      </x:c>
      <x:c r="K1667" s="2" t="str">
        <x:f>IF(OR(J1667="심의승인",J1667="반려",J1667="반려완료",J1667="심의완료"),"종결 표시",IF(OR(J1667="기후부협의",J1667="문서재제출요청",J1667="보류",J1667="보완요청",J1667="보완완료",J1667="평가중",J1667="반려요청",J1667="평가필요",LEFT(J1667,5)="보완요청("),"미종결 표시","상태 확인 필요"))</x:f>
        <x:v>종결 표시</x:v>
      </x:c>
      <x:c r="L1667" s="2" t="str">
        <x:v>KRIC</x:v>
      </x:c>
      <x:c r="M1667" s="2"/>
      <x:c r="N1667" s="8"/>
      <x:c r="O1667" s="2"/>
      <x:c r="P1667" s="2"/>
      <x:c r="Q1667" s="2" t="str">
        <x:v>산업전환_외부사업관리Tool_260707_이너젠 수정_LJY_261013.xlsx</x:v>
      </x:c>
      <x:c r="R1667" s="2" t="str">
        <x:v>국외평가</x:v>
      </x:c>
      <x:c r="S1667" s="8" t="n">
        <x:v>291</x:v>
      </x:c>
      <x:c r="T1667" s="2" t="str">
        <x:v>(6/10)</x:v>
      </x:c>
      <x:c r="U1667" s="2" t="str">
        <x:v>2022 지정: (6/10)</x:v>
      </x:c>
      <x:c r="V1667" s="2" t="str">
        <x:v>2022-12-21</x:v>
      </x:c>
      <x:c r="W1667" s="2" t="str"/>
      <x:c r="X1667" s="2" t="str">
        <x:v>종결 근거 보관</x:v>
      </x:c>
      <x:c r="Y1667" s="2" t="str">
        <x:v>ad210cd9ec132cfd447541c8984dc53d30aff0f4fb2dc92d254d49275cc55976</x:v>
      </x:c>
      <x:c r="Z1667" s="2" t="n">
        <x:f>SUBTOTAL(103,A1667)</x:f>
        <x:v>1</x:v>
      </x:c>
      <x:c r="AA1667" s="2" t="str">
        <x:f>IF(K1667&lt;&gt;"미종결 표시","대상 아님",IF(N1667="","신청일 확인",IF(NOT(ISNUMBER('종합 현황'!$H$5)),"관찰기준 확인",IF('종합 현황'!$H$5&lt;1,"관찰기준 확인",IF(N1667&gt;'종합 현황'!$H$5,"내부 관찰 대상","내부 관찰일 이하")))))</x:f>
        <x:v>대상 아님</x:v>
      </x:c>
      <x:c r="AB1667" s="2" t="str">
        <x:v>2022-05-27 12:16:30 - 신규신청 - 신청 
2022-05-27 12:16:30 - 관장기관 지정 - 환경부
2022-06-01 00:30:22 - 관장기관 지정 - 산업통상자원부
2022-06-14 14:37:16 - 신규신청 - 문서재제출요청 
2022-07-14 23:28:26 - 재제출신청 - 신청 
2022-07-14 23:29:22 - 재제출신청 - 문서재제출요청 
2022-08-17 09:28:08 - 재제출신청 - 신청 
2022-08-17 13:52:14 - 재제출신청 - 문서재제출요청 
2022-08-17 14:18:34 - 재제출신청 - 신청 
2022-08-18 09:42:02 - 재제출신청 - 문서재제출요청 
2022-08-18 14:55:38 - 재제출신청 - 신청 
2022-08-22 14:09:03 - 재제출신청 - 문서재제출요청 
2022-08-23 14:43:27 - 재제출신청 - 신청 
2022-10-17 15:51:45 - 재제출신청 - 문서재제출요청 
2022-11-07 11:02:22 - 재제출신청 - 신청 
2022-12-21 17:22:28 - 재제출신청 - 평가승인 
2022-12-21 17:24:09 - 재제출신청 - 심의승인 
</x:v>
      </x:c>
    </x:row>
    <x:row r="1668" ht="42" customHeight="1">
      <x:c r="A1668" s="2" t="str">
        <x:v>bb4ce6b2c58a7398a488b397</x:v>
      </x:c>
      <x:c r="B1668" s="2" t="str">
        <x:v>사업 평가</x:v>
      </x:c>
      <x:c r="C1668" s="2" t="str">
        <x:v>국외</x:v>
      </x:c>
      <x:c r="D1668" s="7" t="str">
        <x:v>12MW PV 번들링 CDM 프로젝트</x:v>
      </x:c>
      <x:c r="E1668" s="2" t="str">
        <x:v>299</x:v>
      </x:c>
      <x:c r="F1668" s="2" t="str">
        <x:v>2022-05</x:v>
      </x:c>
      <x:c r="G1668" s="2" t="str">
        <x:v>2022</x:v>
      </x:c>
      <x:c r="H1668" s="2" t="str">
        <x:v>05</x:v>
      </x:c>
      <x:c r="I1668" s="2" t="str">
        <x:v>승인</x:v>
      </x:c>
      <x:c r="J1668" s="2" t="str">
        <x:v>심의승인</x:v>
      </x:c>
      <x:c r="K1668" s="2" t="str">
        <x:f>IF(OR(J1668="심의승인",J1668="반려",J1668="반려완료",J1668="심의완료"),"종결 표시",IF(OR(J1668="기후부협의",J1668="문서재제출요청",J1668="보류",J1668="보완요청",J1668="보완완료",J1668="평가중",J1668="반려요청",J1668="평가필요",LEFT(J1668,5)="보완요청("),"미종결 표시","상태 확인 필요"))</x:f>
        <x:v>종결 표시</x:v>
      </x:c>
      <x:c r="L1668" s="2" t="str">
        <x:v>KRIC</x:v>
      </x:c>
      <x:c r="M1668" s="2"/>
      <x:c r="N1668" s="8"/>
      <x:c r="O1668" s="2"/>
      <x:c r="P1668" s="2"/>
      <x:c r="Q1668" s="2" t="str">
        <x:v>산업전환_외부사업관리Tool_260707_이너젠 수정_LJY_261013.xlsx</x:v>
      </x:c>
      <x:c r="R1668" s="2" t="str">
        <x:v>국외평가</x:v>
      </x:c>
      <x:c r="S1668" s="8" t="n">
        <x:v>292</x:v>
      </x:c>
      <x:c r="T1668" s="2" t="str">
        <x:v>(6/10),(7/13)</x:v>
      </x:c>
      <x:c r="U1668" s="2" t="str">
        <x:v>2022 지정: (6/10),(7/13)</x:v>
      </x:c>
      <x:c r="V1668" s="2" t="str">
        <x:v>2022-10-11</x:v>
      </x:c>
      <x:c r="W1668" s="2" t="str"/>
      <x:c r="X1668" s="2" t="str">
        <x:v>종결 근거 보관</x:v>
      </x:c>
      <x:c r="Y1668" s="2" t="str">
        <x:v>ad210cd9ec132cfd447541c8984dc53d30aff0f4fb2dc92d254d49275cc55976</x:v>
      </x:c>
      <x:c r="Z1668" s="2" t="n">
        <x:f>SUBTOTAL(103,A1668)</x:f>
        <x:v>1</x:v>
      </x:c>
      <x:c r="AA1668" s="2" t="str">
        <x:f>IF(K1668&lt;&gt;"미종결 표시","대상 아님",IF(N1668="","신청일 확인",IF(NOT(ISNUMBER('종합 현황'!$H$5)),"관찰기준 확인",IF('종합 현황'!$H$5&lt;1,"관찰기준 확인",IF(N1668&gt;'종합 현황'!$H$5,"내부 관찰 대상","내부 관찰일 이하")))))</x:f>
        <x:v>대상 아님</x:v>
      </x:c>
      <x:c r="AB1668" s="2" t="str">
        <x:v>2022-05-27 12:20:54 - 관장기관 지정 - 환경부
2022-05-27 12:20:55 - 신규신청 - 신청 
2022-06-01 00:30:12 - 관장기관 지정 - 산업통상자원부
2022-06-27 10:42:01 - 신규신청 - 문서재제출요청 
2022-07-08 16:27:48 - 재제출신청 - 신청 
2022-07-14 12:33:57 - 재제출신청 - 문서재제출요청 
2022-07-14 12:47:45 - 재제출신청 - 신청 
2022-07-14 12:56:46 - 재제출신청 - 신청 
2022-07-18 13:40:18 - 재제출신청 - 문서재제출요청 
2022-07-18 14:57:57 - 재제출신청 - 신청 
2022-07-18 16:54:54 - 재제출신청 - 문서재제출요청 
2022-07-18 17:13:27 - 재제출신청 - 신청 
2022-07-18 17:18:24 - 재제출신청 - 문서재제출요청 
2022-07-18 17:20:24 - 재제출신청 - 신청 
2022-07-25 17:07:29 - 재제출신청 - 문서재제출요청 
2022-07-25 17:14:52 - 재제출신청 - 신청 
2022-07-26 17:35:28 - 재제출신청 - 문서재제출요청 
2022-07-26 17:39:41 - 재제출신청 - 신청 
2022-08-26 14:32:22 - 재제출신청 - 문서재제출요청 
2022-08-28 12:59:15 - 재제출신청 - 신청 
2022-08-29 09:51:23 - 재제출신청 - 문서재제출요청 
2022-08-29 09:58:12 - 재제출신청 - 신청 
2022-09-06 13:15:47 - 재제출신청 - 문서재제출요청 
2022-09-06 13:42:52 - 재제출신청 - 신청 
2022-10-07 16:33:27 - 재제출신청 - 평가승인 
2022-10-11 14:01:10 - 재제출신청 - 심의승인 
</x:v>
      </x:c>
    </x:row>
    <x:row r="1669" ht="42" customHeight="1">
      <x:c r="A1669" s="2" t="str">
        <x:v>7ace242d5072c3ad6247df4d</x:v>
      </x:c>
      <x:c r="B1669" s="2" t="str">
        <x:v>사업 평가</x:v>
      </x:c>
      <x:c r="C1669" s="2" t="str">
        <x:v>국외</x:v>
      </x:c>
      <x:c r="D1669" s="7" t="str">
        <x:v>한국동서발전을 통한 가나 고효율 쿡스토브 사업 CPA-007</x:v>
      </x:c>
      <x:c r="E1669" s="2" t="str">
        <x:v>291</x:v>
      </x:c>
      <x:c r="F1669" s="2" t="str">
        <x:v>2022-05</x:v>
      </x:c>
      <x:c r="G1669" s="2" t="str">
        <x:v>2022</x:v>
      </x:c>
      <x:c r="H1669" s="2" t="str">
        <x:v>05</x:v>
      </x:c>
      <x:c r="I1669" s="2" t="str">
        <x:v>승인</x:v>
      </x:c>
      <x:c r="J1669" s="2" t="str">
        <x:v>심의승인</x:v>
      </x:c>
      <x:c r="K1669" s="2" t="str">
        <x:f>IF(OR(J1669="심의승인",J1669="반려",J1669="반려완료",J1669="심의완료"),"종결 표시",IF(OR(J1669="기후부협의",J1669="문서재제출요청",J1669="보류",J1669="보완요청",J1669="보완완료",J1669="평가중",J1669="반려요청",J1669="평가필요",LEFT(J1669,5)="보완요청("),"미종결 표시","상태 확인 필요"))</x:f>
        <x:v>종결 표시</x:v>
      </x:c>
      <x:c r="L1669" s="2" t="str">
        <x:v>KRIC</x:v>
      </x:c>
      <x:c r="M1669" s="2"/>
      <x:c r="N1669" s="8"/>
      <x:c r="O1669" s="2"/>
      <x:c r="P1669" s="2"/>
      <x:c r="Q1669" s="2" t="str">
        <x:v>산업전환_외부사업관리Tool_260707_이너젠 수정_LJY_261013.xlsx</x:v>
      </x:c>
      <x:c r="R1669" s="2" t="str">
        <x:v>국외평가</x:v>
      </x:c>
      <x:c r="S1669" s="8" t="n">
        <x:v>293</x:v>
      </x:c>
      <x:c r="T1669" s="2" t="str">
        <x:v>(6/10)</x:v>
      </x:c>
      <x:c r="U1669" s="2" t="str">
        <x:v>2022 지정: (6/10)</x:v>
      </x:c>
      <x:c r="V1669" s="2" t="str">
        <x:v>2022-10-12</x:v>
      </x:c>
      <x:c r="W1669" s="2" t="str"/>
      <x:c r="X1669" s="2" t="str">
        <x:v>종결 근거 보관</x:v>
      </x:c>
      <x:c r="Y1669" s="2" t="str">
        <x:v>ad210cd9ec132cfd447541c8984dc53d30aff0f4fb2dc92d254d49275cc55976</x:v>
      </x:c>
      <x:c r="Z1669" s="2" t="n">
        <x:f>SUBTOTAL(103,A1669)</x:f>
        <x:v>1</x:v>
      </x:c>
      <x:c r="AA1669" s="2" t="str">
        <x:f>IF(K1669&lt;&gt;"미종결 표시","대상 아님",IF(N1669="","신청일 확인",IF(NOT(ISNUMBER('종합 현황'!$H$5)),"관찰기준 확인",IF('종합 현황'!$H$5&lt;1,"관찰기준 확인",IF(N1669&gt;'종합 현황'!$H$5,"내부 관찰 대상","내부 관찰일 이하")))))</x:f>
        <x:v>대상 아님</x:v>
      </x:c>
      <x:c r="AB1669" s="2" t="str">
        <x:v>2022-05-31 19:12:44 - 관장기관 지정 - 환경부
2022-05-31 19:12:45 - 신규신청 - 신청 
2022-06-01 00:30:03 - 관장기관 지정 - 산업통상자원부
2022-06-09 17:09:02 - 신규신청 - 문서재제출요청 
2022-06-10 17:24:11 - 재제출신청 - 신청 
2022-06-15 16:41:53 - 재제출신청 - 문서재제출요청 
2022-06-22 13:09:17 - 재제출신청 - 신청 
2022-10-07 17:48:21 - 재제출신청 - 평가승인 
2022-10-11 14:42:33 - 재제출신청 - 심의승인 
2022-10-12 13:11:32 - 재제출신청 - 착수신고 
</x:v>
      </x:c>
    </x:row>
    <x:row r="1670" ht="42" customHeight="1">
      <x:c r="A1670" s="2" t="str">
        <x:v>f7d012868d6fd7a1cd382549</x:v>
      </x:c>
      <x:c r="B1670" s="2" t="str">
        <x:v>사업 평가</x:v>
      </x:c>
      <x:c r="C1670" s="2" t="str">
        <x:v>국외</x:v>
      </x:c>
      <x:c r="D1670" s="7" t="str">
        <x:v>한국동서발전을 통한 가나 고효율 쿡스토브 사업 CPA-014</x:v>
      </x:c>
      <x:c r="E1670" s="2" t="str">
        <x:v>292</x:v>
      </x:c>
      <x:c r="F1670" s="2" t="str">
        <x:v>2022-05</x:v>
      </x:c>
      <x:c r="G1670" s="2" t="str">
        <x:v>2022</x:v>
      </x:c>
      <x:c r="H1670" s="2" t="str">
        <x:v>05</x:v>
      </x:c>
      <x:c r="I1670" s="2" t="str">
        <x:v>승인</x:v>
      </x:c>
      <x:c r="J1670" s="2" t="str">
        <x:v>심의승인</x:v>
      </x:c>
      <x:c r="K1670" s="2" t="str">
        <x:f>IF(OR(J1670="심의승인",J1670="반려",J1670="반려완료",J1670="심의완료"),"종결 표시",IF(OR(J1670="기후부협의",J1670="문서재제출요청",J1670="보류",J1670="보완요청",J1670="보완완료",J1670="평가중",J1670="반려요청",J1670="평가필요",LEFT(J1670,5)="보완요청("),"미종결 표시","상태 확인 필요"))</x:f>
        <x:v>종결 표시</x:v>
      </x:c>
      <x:c r="L1670" s="2" t="str">
        <x:v>KRIC</x:v>
      </x:c>
      <x:c r="M1670" s="2"/>
      <x:c r="N1670" s="8"/>
      <x:c r="O1670" s="2"/>
      <x:c r="P1670" s="2"/>
      <x:c r="Q1670" s="2" t="str">
        <x:v>산업전환_외부사업관리Tool_260707_이너젠 수정_LJY_261013.xlsx</x:v>
      </x:c>
      <x:c r="R1670" s="2" t="str">
        <x:v>국외평가</x:v>
      </x:c>
      <x:c r="S1670" s="8" t="n">
        <x:v>294</x:v>
      </x:c>
      <x:c r="T1670" s="2" t="str">
        <x:v>(6/10)</x:v>
      </x:c>
      <x:c r="U1670" s="2" t="str">
        <x:v>2022 지정: (6/10)</x:v>
      </x:c>
      <x:c r="V1670" s="2" t="str">
        <x:v>2022-10-12</x:v>
      </x:c>
      <x:c r="W1670" s="2" t="str"/>
      <x:c r="X1670" s="2" t="str">
        <x:v>종결 근거 보관</x:v>
      </x:c>
      <x:c r="Y1670" s="2" t="str">
        <x:v>ad210cd9ec132cfd447541c8984dc53d30aff0f4fb2dc92d254d49275cc55976</x:v>
      </x:c>
      <x:c r="Z1670" s="2" t="n">
        <x:f>SUBTOTAL(103,A1670)</x:f>
        <x:v>1</x:v>
      </x:c>
      <x:c r="AA1670" s="2" t="str">
        <x:f>IF(K1670&lt;&gt;"미종결 표시","대상 아님",IF(N1670="","신청일 확인",IF(NOT(ISNUMBER('종합 현황'!$H$5)),"관찰기준 확인",IF('종합 현황'!$H$5&lt;1,"관찰기준 확인",IF(N1670&gt;'종합 현황'!$H$5,"내부 관찰 대상","내부 관찰일 이하")))))</x:f>
        <x:v>대상 아님</x:v>
      </x:c>
      <x:c r="AB1670" s="2" t="str">
        <x:v>2022-05-31 19:13:19 - 관장기관 지정 - 환경부
2022-05-31 19:13:20 - 신규신청 - 신청 
2022-06-01 00:29:56 - 관장기관 지정 - 산업통상자원부
2022-06-09 17:12:31 - 신규신청 - 문서재제출요청 
2022-06-10 17:21:57 - 재제출신청 - 신청 
2022-06-13 17:32:43 - 재제출신청 - 문서재제출요청 
2022-06-22 13:11:53 - 재제출신청 - 신청 
2022-10-07 17:51:10 - 재제출신청 - 평가승인 
2022-10-11 14:44:28 - 재제출신청 - 심의승인 
2022-10-12 13:10:00 - 재제출신청 - 착수신고 
</x:v>
      </x:c>
    </x:row>
    <x:row r="1671" ht="42" customHeight="1">
      <x:c r="A1671" s="2" t="str">
        <x:v>581de415a1510f481b9c2a2e</x:v>
      </x:c>
      <x:c r="B1671" s="2" t="str">
        <x:v>사업 평가</x:v>
      </x:c>
      <x:c r="C1671" s="2" t="str">
        <x:v>국외</x:v>
      </x:c>
      <x:c r="D1671" s="7" t="str">
        <x:v>한국동서발전을 통한 가나 고효율 쿡스토브 사업 CPA-018</x:v>
      </x:c>
      <x:c r="E1671" s="2" t="str">
        <x:v>293</x:v>
      </x:c>
      <x:c r="F1671" s="2" t="str">
        <x:v>2022-05</x:v>
      </x:c>
      <x:c r="G1671" s="2" t="str">
        <x:v>2022</x:v>
      </x:c>
      <x:c r="H1671" s="2" t="str">
        <x:v>05</x:v>
      </x:c>
      <x:c r="I1671" s="2" t="str">
        <x:v>승인</x:v>
      </x:c>
      <x:c r="J1671" s="2" t="str">
        <x:v>심의승인</x:v>
      </x:c>
      <x:c r="K1671" s="2" t="str">
        <x:f>IF(OR(J1671="심의승인",J1671="반려",J1671="반려완료",J1671="심의완료"),"종결 표시",IF(OR(J1671="기후부협의",J1671="문서재제출요청",J1671="보류",J1671="보완요청",J1671="보완완료",J1671="평가중",J1671="반려요청",J1671="평가필요",LEFT(J1671,5)="보완요청("),"미종결 표시","상태 확인 필요"))</x:f>
        <x:v>종결 표시</x:v>
      </x:c>
      <x:c r="L1671" s="2" t="str">
        <x:v>KRIC</x:v>
      </x:c>
      <x:c r="M1671" s="2"/>
      <x:c r="N1671" s="8"/>
      <x:c r="O1671" s="2"/>
      <x:c r="P1671" s="2"/>
      <x:c r="Q1671" s="2" t="str">
        <x:v>산업전환_외부사업관리Tool_260707_이너젠 수정_LJY_261013.xlsx</x:v>
      </x:c>
      <x:c r="R1671" s="2" t="str">
        <x:v>국외평가</x:v>
      </x:c>
      <x:c r="S1671" s="8" t="n">
        <x:v>295</x:v>
      </x:c>
      <x:c r="T1671" s="2" t="str">
        <x:v>(6/10)</x:v>
      </x:c>
      <x:c r="U1671" s="2" t="str">
        <x:v>2022 지정: (6/10)</x:v>
      </x:c>
      <x:c r="V1671" s="2" t="str">
        <x:v>2022-10-12</x:v>
      </x:c>
      <x:c r="W1671" s="2" t="str"/>
      <x:c r="X1671" s="2" t="str">
        <x:v>종결 근거 보관</x:v>
      </x:c>
      <x:c r="Y1671" s="2" t="str">
        <x:v>ad210cd9ec132cfd447541c8984dc53d30aff0f4fb2dc92d254d49275cc55976</x:v>
      </x:c>
      <x:c r="Z1671" s="2" t="n">
        <x:f>SUBTOTAL(103,A1671)</x:f>
        <x:v>1</x:v>
      </x:c>
      <x:c r="AA1671" s="2" t="str">
        <x:f>IF(K1671&lt;&gt;"미종결 표시","대상 아님",IF(N1671="","신청일 확인",IF(NOT(ISNUMBER('종합 현황'!$H$5)),"관찰기준 확인",IF('종합 현황'!$H$5&lt;1,"관찰기준 확인",IF(N1671&gt;'종합 현황'!$H$5,"내부 관찰 대상","내부 관찰일 이하")))))</x:f>
        <x:v>대상 아님</x:v>
      </x:c>
      <x:c r="AB1671" s="2" t="str">
        <x:v>2022-05-31 19:13:59 - 신규신청 - 신청 
2022-05-31 19:13:59 - 관장기관 지정 - 환경부
2022-06-01 00:29:49 - 관장기관 지정 - 산업통상자원부
2022-06-09 17:11:58 - 신규신청 - 문서재제출요청 
2022-06-10 17:25:43 - 재제출신청 - 신청 
2022-06-15 16:41:28 - 재제출신청 - 문서재제출요청 
2022-06-22 13:13:23 - 재제출신청 - 신청 
2022-10-07 17:52:15 - 재제출신청 - 평가승인 
2022-10-11 14:45:28 - 재제출신청 - 심의승인 
2022-10-12 13:08:17 - 재제출신청 - 착수신고 
</x:v>
      </x:c>
    </x:row>
    <x:row r="1672" ht="42" customHeight="1">
      <x:c r="A1672" s="2" t="str">
        <x:v>c8bcb3a72d125d84787914de</x:v>
      </x:c>
      <x:c r="B1672" s="2" t="str">
        <x:v>사업 평가</x:v>
      </x:c>
      <x:c r="C1672" s="2" t="str">
        <x:v>국외</x:v>
      </x:c>
      <x:c r="D1672" s="7" t="str">
        <x:v>한국동서발전을 통한 가나 고효율 쿡스토브 사업 CPA-017</x:v>
      </x:c>
      <x:c r="E1672" s="2" t="str">
        <x:v>294</x:v>
      </x:c>
      <x:c r="F1672" s="2" t="str">
        <x:v>2022-05</x:v>
      </x:c>
      <x:c r="G1672" s="2" t="str">
        <x:v>2022</x:v>
      </x:c>
      <x:c r="H1672" s="2" t="str">
        <x:v>05</x:v>
      </x:c>
      <x:c r="I1672" s="2" t="str">
        <x:v>승인</x:v>
      </x:c>
      <x:c r="J1672" s="2" t="str">
        <x:v>심의승인</x:v>
      </x:c>
      <x:c r="K1672" s="2" t="str">
        <x:f>IF(OR(J1672="심의승인",J1672="반려",J1672="반려완료",J1672="심의완료"),"종결 표시",IF(OR(J1672="기후부협의",J1672="문서재제출요청",J1672="보류",J1672="보완요청",J1672="보완완료",J1672="평가중",J1672="반려요청",J1672="평가필요",LEFT(J1672,5)="보완요청("),"미종결 표시","상태 확인 필요"))</x:f>
        <x:v>종결 표시</x:v>
      </x:c>
      <x:c r="L1672" s="2" t="str">
        <x:v>KRIC</x:v>
      </x:c>
      <x:c r="M1672" s="2"/>
      <x:c r="N1672" s="8"/>
      <x:c r="O1672" s="2"/>
      <x:c r="P1672" s="2"/>
      <x:c r="Q1672" s="2" t="str">
        <x:v>산업전환_외부사업관리Tool_260707_이너젠 수정_LJY_261013.xlsx</x:v>
      </x:c>
      <x:c r="R1672" s="2" t="str">
        <x:v>국외평가</x:v>
      </x:c>
      <x:c r="S1672" s="8" t="n">
        <x:v>296</x:v>
      </x:c>
      <x:c r="T1672" s="2" t="str">
        <x:v>(6/10)</x:v>
      </x:c>
      <x:c r="U1672" s="2" t="str">
        <x:v>2022 지정: (6/10)</x:v>
      </x:c>
      <x:c r="V1672" s="2" t="str">
        <x:v>2022-10-12</x:v>
      </x:c>
      <x:c r="W1672" s="2" t="str"/>
      <x:c r="X1672" s="2" t="str">
        <x:v>종결 근거 보관</x:v>
      </x:c>
      <x:c r="Y1672" s="2" t="str">
        <x:v>ad210cd9ec132cfd447541c8984dc53d30aff0f4fb2dc92d254d49275cc55976</x:v>
      </x:c>
      <x:c r="Z1672" s="2" t="n">
        <x:f>SUBTOTAL(103,A1672)</x:f>
        <x:v>1</x:v>
      </x:c>
      <x:c r="AA1672" s="2" t="str">
        <x:f>IF(K1672&lt;&gt;"미종결 표시","대상 아님",IF(N1672="","신청일 확인",IF(NOT(ISNUMBER('종합 현황'!$H$5)),"관찰기준 확인",IF('종합 현황'!$H$5&lt;1,"관찰기준 확인",IF(N1672&gt;'종합 현황'!$H$5,"내부 관찰 대상","내부 관찰일 이하")))))</x:f>
        <x:v>대상 아님</x:v>
      </x:c>
      <x:c r="AB1672" s="2" t="str">
        <x:v>2022-05-31 19:14:51 - 관장기관 지정 - 환경부
2022-05-31 19:14:52 - 신규신청 - 신청 
2022-06-01 00:29:41 - 관장기관 지정 - 산업통상자원부
2022-06-09 17:11:34 - 신규신청 - 문서재제출요청 
2022-06-10 17:20:54 - 재제출신청 - 신청 
2022-06-15 16:42:55 - 재제출신청 - 문서재제출요청 
2022-06-22 13:12:36 - 재제출신청 - 신청 
2022-10-07 17:51:38 - 재제출신청 - 평가승인 
2022-10-11 14:44:54 - 재제출신청 - 심의승인 
2022-10-12 13:08:54 - 재제출신청 - 착수신고 
</x:v>
      </x:c>
    </x:row>
    <x:row r="1673" ht="42" customHeight="1">
      <x:c r="A1673" s="2" t="str">
        <x:v>3ae0373a8e950931416de385</x:v>
      </x:c>
      <x:c r="B1673" s="2" t="str">
        <x:v>사업 평가</x:v>
      </x:c>
      <x:c r="C1673" s="2" t="str">
        <x:v>국외</x:v>
      </x:c>
      <x:c r="D1673" s="7" t="str">
        <x:v>한국동서발전을 통한 가나 고효율 쿡스토브 사업 CPA-013</x:v>
      </x:c>
      <x:c r="E1673" s="2" t="str">
        <x:v>295</x:v>
      </x:c>
      <x:c r="F1673" s="2" t="str">
        <x:v>2022-05</x:v>
      </x:c>
      <x:c r="G1673" s="2" t="str">
        <x:v>2022</x:v>
      </x:c>
      <x:c r="H1673" s="2" t="str">
        <x:v>05</x:v>
      </x:c>
      <x:c r="I1673" s="2" t="str">
        <x:v>승인</x:v>
      </x:c>
      <x:c r="J1673" s="2" t="str">
        <x:v>심의승인</x:v>
      </x:c>
      <x:c r="K1673" s="2" t="str">
        <x:f>IF(OR(J1673="심의승인",J1673="반려",J1673="반려완료",J1673="심의완료"),"종결 표시",IF(OR(J1673="기후부협의",J1673="문서재제출요청",J1673="보류",J1673="보완요청",J1673="보완완료",J1673="평가중",J1673="반려요청",J1673="평가필요",LEFT(J1673,5)="보완요청("),"미종결 표시","상태 확인 필요"))</x:f>
        <x:v>종결 표시</x:v>
      </x:c>
      <x:c r="L1673" s="2" t="str">
        <x:v>KRIC</x:v>
      </x:c>
      <x:c r="M1673" s="2"/>
      <x:c r="N1673" s="8"/>
      <x:c r="O1673" s="2"/>
      <x:c r="P1673" s="2"/>
      <x:c r="Q1673" s="2" t="str">
        <x:v>산업전환_외부사업관리Tool_260707_이너젠 수정_LJY_261013.xlsx</x:v>
      </x:c>
      <x:c r="R1673" s="2" t="str">
        <x:v>국외평가</x:v>
      </x:c>
      <x:c r="S1673" s="8" t="n">
        <x:v>297</x:v>
      </x:c>
      <x:c r="T1673" s="2" t="str">
        <x:v>(6/10)</x:v>
      </x:c>
      <x:c r="U1673" s="2" t="str">
        <x:v>2022 지정: (6/10)</x:v>
      </x:c>
      <x:c r="V1673" s="2" t="str">
        <x:v>2022-10-12</x:v>
      </x:c>
      <x:c r="W1673" s="2" t="str"/>
      <x:c r="X1673" s="2" t="str">
        <x:v>종결 근거 보관</x:v>
      </x:c>
      <x:c r="Y1673" s="2" t="str">
        <x:v>ad210cd9ec132cfd447541c8984dc53d30aff0f4fb2dc92d254d49275cc55976</x:v>
      </x:c>
      <x:c r="Z1673" s="2" t="n">
        <x:f>SUBTOTAL(103,A1673)</x:f>
        <x:v>1</x:v>
      </x:c>
      <x:c r="AA1673" s="2" t="str">
        <x:f>IF(K1673&lt;&gt;"미종결 표시","대상 아님",IF(N1673="","신청일 확인",IF(NOT(ISNUMBER('종합 현황'!$H$5)),"관찰기준 확인",IF('종합 현황'!$H$5&lt;1,"관찰기준 확인",IF(N1673&gt;'종합 현황'!$H$5,"내부 관찰 대상","내부 관찰일 이하")))))</x:f>
        <x:v>대상 아님</x:v>
      </x:c>
      <x:c r="AB1673" s="2" t="str">
        <x:v>2022-05-31 19:15:40 - 신규신청 - 신청 
2022-05-31 19:15:40 - 관장기관 지정 - 환경부
2022-06-01 00:29:34 - 관장기관 지정 - 산업통상자원부
2022-06-09 17:10:31 - 신규신청 - 문서재제출요청 
2022-06-10 17:22:31 - 재제출신청 - 신청 
2022-06-15 16:42:36 - 재제출신청 - 문서재제출요청 
2022-06-22 13:11:08 - 재제출신청 - 신청 
2022-10-07 17:50:35 - 재제출신청 - 평가승인 
2022-10-11 14:43:43 - 재제출신청 - 심의승인 
2022-10-12 13:10:51 - 재제출신청 - 착수신고 
</x:v>
      </x:c>
    </x:row>
    <x:row r="1674" ht="42" customHeight="1">
      <x:c r="A1674" s="2" t="str">
        <x:v>91d1ba2d27669374f12922d1</x:v>
      </x:c>
      <x:c r="B1674" s="2" t="str">
        <x:v>사업 평가</x:v>
      </x:c>
      <x:c r="C1674" s="2" t="str">
        <x:v>국외</x:v>
      </x:c>
      <x:c r="D1674" s="7" t="str">
        <x:v>한국동서발전을 통한 가나 고효율 쿡스토브 사업 CPA-009</x:v>
      </x:c>
      <x:c r="E1674" s="2" t="str">
        <x:v>296</x:v>
      </x:c>
      <x:c r="F1674" s="2" t="str">
        <x:v>2022-05</x:v>
      </x:c>
      <x:c r="G1674" s="2" t="str">
        <x:v>2022</x:v>
      </x:c>
      <x:c r="H1674" s="2" t="str">
        <x:v>05</x:v>
      </x:c>
      <x:c r="I1674" s="2" t="str">
        <x:v>승인</x:v>
      </x:c>
      <x:c r="J1674" s="2" t="str">
        <x:v>심의승인</x:v>
      </x:c>
      <x:c r="K1674" s="2" t="str">
        <x:f>IF(OR(J1674="심의승인",J1674="반려",J1674="반려완료",J1674="심의완료"),"종결 표시",IF(OR(J1674="기후부협의",J1674="문서재제출요청",J1674="보류",J1674="보완요청",J1674="보완완료",J1674="평가중",J1674="반려요청",J1674="평가필요",LEFT(J1674,5)="보완요청("),"미종결 표시","상태 확인 필요"))</x:f>
        <x:v>종결 표시</x:v>
      </x:c>
      <x:c r="L1674" s="2" t="str">
        <x:v>KRIC</x:v>
      </x:c>
      <x:c r="M1674" s="2"/>
      <x:c r="N1674" s="8"/>
      <x:c r="O1674" s="2"/>
      <x:c r="P1674" s="2"/>
      <x:c r="Q1674" s="2" t="str">
        <x:v>산업전환_외부사업관리Tool_260707_이너젠 수정_LJY_261013.xlsx</x:v>
      </x:c>
      <x:c r="R1674" s="2" t="str">
        <x:v>국외평가</x:v>
      </x:c>
      <x:c r="S1674" s="8" t="n">
        <x:v>298</x:v>
      </x:c>
      <x:c r="T1674" s="2" t="str">
        <x:v>(6/10)</x:v>
      </x:c>
      <x:c r="U1674" s="2" t="str">
        <x:v>2022 지정: (6/10)</x:v>
      </x:c>
      <x:c r="V1674" s="2" t="str">
        <x:v>2022-10-12</x:v>
      </x:c>
      <x:c r="W1674" s="2" t="str"/>
      <x:c r="X1674" s="2" t="str">
        <x:v>종결 근거 보관</x:v>
      </x:c>
      <x:c r="Y1674" s="2" t="str">
        <x:v>ad210cd9ec132cfd447541c8984dc53d30aff0f4fb2dc92d254d49275cc55976</x:v>
      </x:c>
      <x:c r="Z1674" s="2" t="n">
        <x:f>SUBTOTAL(103,A1674)</x:f>
        <x:v>1</x:v>
      </x:c>
      <x:c r="AA1674" s="2" t="str">
        <x:f>IF(K1674&lt;&gt;"미종결 표시","대상 아님",IF(N1674="","신청일 확인",IF(NOT(ISNUMBER('종합 현황'!$H$5)),"관찰기준 확인",IF('종합 현황'!$H$5&lt;1,"관찰기준 확인",IF(N1674&gt;'종합 현황'!$H$5,"내부 관찰 대상","내부 관찰일 이하")))))</x:f>
        <x:v>대상 아님</x:v>
      </x:c>
      <x:c r="AB1674" s="2" t="str">
        <x:v>2022-05-31 19:16:39 - 관장기관 지정 - 환경부
2022-05-31 19:16:40 - 신규신청 - 신청 
2022-06-01 00:29:25 - 관장기관 지정 - 산업통상자원부
2022-06-09 17:10:00 - 신규신청 - 문서재제출요청 
2022-06-10 17:23:37 - 재제출신청 - 신청 
2022-06-15 16:42:19 - 재제출신청 - 문서재제출요청 
2022-06-22 13:10:12 - 재제출신청 - 신청 
2022-10-07 17:49:54 - 재제출신청 - 평가승인 
2022-10-11 14:43:01 - 재제출신청 - 심의승인 
2022-10-12 13:11:13 - 재제출신청 - 착수신고 
</x:v>
      </x:c>
    </x:row>
    <x:row r="1675" ht="42" customHeight="1">
      <x:c r="A1675" s="2" t="str">
        <x:v>3b7807d58c5c885dc976c448</x:v>
      </x:c>
      <x:c r="B1675" s="2" t="str">
        <x:v>사업 평가</x:v>
      </x:c>
      <x:c r="C1675" s="2" t="str">
        <x:v>국외</x:v>
      </x:c>
      <x:c r="D1675" s="7" t="str">
        <x:v>한국동서발전을 통한 가나 고효율 쿡스토브 사업 CPA-002</x:v>
      </x:c>
      <x:c r="E1675" s="2" t="str">
        <x:v>297</x:v>
      </x:c>
      <x:c r="F1675" s="2" t="str">
        <x:v>2022-05</x:v>
      </x:c>
      <x:c r="G1675" s="2" t="str">
        <x:v>2022</x:v>
      </x:c>
      <x:c r="H1675" s="2" t="str">
        <x:v>05</x:v>
      </x:c>
      <x:c r="I1675" s="2" t="str">
        <x:v>승인</x:v>
      </x:c>
      <x:c r="J1675" s="2" t="str">
        <x:v>심의승인</x:v>
      </x:c>
      <x:c r="K1675" s="2" t="str">
        <x:f>IF(OR(J1675="심의승인",J1675="반려",J1675="반려완료",J1675="심의완료"),"종결 표시",IF(OR(J1675="기후부협의",J1675="문서재제출요청",J1675="보류",J1675="보완요청",J1675="보완완료",J1675="평가중",J1675="반려요청",J1675="평가필요",LEFT(J1675,5)="보완요청("),"미종결 표시","상태 확인 필요"))</x:f>
        <x:v>종결 표시</x:v>
      </x:c>
      <x:c r="L1675" s="2" t="str">
        <x:v>KRIC</x:v>
      </x:c>
      <x:c r="M1675" s="2"/>
      <x:c r="N1675" s="8"/>
      <x:c r="O1675" s="2"/>
      <x:c r="P1675" s="2"/>
      <x:c r="Q1675" s="2" t="str">
        <x:v>산업전환_외부사업관리Tool_260707_이너젠 수정_LJY_261013.xlsx</x:v>
      </x:c>
      <x:c r="R1675" s="2" t="str">
        <x:v>국외평가</x:v>
      </x:c>
      <x:c r="S1675" s="8" t="n">
        <x:v>299</x:v>
      </x:c>
      <x:c r="T1675" s="2" t="str">
        <x:v>(6/10)</x:v>
      </x:c>
      <x:c r="U1675" s="2" t="str">
        <x:v>2022 지정: (6/10)</x:v>
      </x:c>
      <x:c r="V1675" s="2" t="str">
        <x:v>2022-10-12</x:v>
      </x:c>
      <x:c r="W1675" s="2" t="str"/>
      <x:c r="X1675" s="2" t="str">
        <x:v>종결 근거 보관</x:v>
      </x:c>
      <x:c r="Y1675" s="2" t="str">
        <x:v>ad210cd9ec132cfd447541c8984dc53d30aff0f4fb2dc92d254d49275cc55976</x:v>
      </x:c>
      <x:c r="Z1675" s="2" t="n">
        <x:f>SUBTOTAL(103,A1675)</x:f>
        <x:v>1</x:v>
      </x:c>
      <x:c r="AA1675" s="2" t="str">
        <x:f>IF(K1675&lt;&gt;"미종결 표시","대상 아님",IF(N1675="","신청일 확인",IF(NOT(ISNUMBER('종합 현황'!$H$5)),"관찰기준 확인",IF('종합 현황'!$H$5&lt;1,"관찰기준 확인",IF(N1675&gt;'종합 현황'!$H$5,"내부 관찰 대상","내부 관찰일 이하")))))</x:f>
        <x:v>대상 아님</x:v>
      </x:c>
      <x:c r="AB1675" s="2" t="str">
        <x:v>2022-05-31 19:17:21 - 신규신청 - 신청 
2022-05-31 19:17:21 - 관장기관 지정 - 환경부
2022-06-01 00:29:18 - 관장기관 지정 - 산업통상자원부
2022-06-09 17:09:31 - 신규신청 - 문서재제출요청 
2022-06-10 17:20:03 - 재제출신청 - 신청 
2022-06-15 16:43:19 - 재제출신청 - 문서재제출요청 
2022-06-22 13:08:13 - 재제출신청 - 신청 
2022-10-07 17:47:38 - 재제출신청 - 평가승인 
2022-10-11 14:42:02 - 재제출신청 - 심의승인 
2022-10-12 13:07:38 - 재제출신청 - 착수신고 
</x:v>
      </x:c>
    </x:row>
    <x:row r="1676" ht="42" customHeight="1">
      <x:c r="A1676" s="2" t="str">
        <x:v>aacb8c8e98e3468ebafc3f21</x:v>
      </x:c>
      <x:c r="B1676" s="2" t="str">
        <x:v>사업 평가</x:v>
      </x:c>
      <x:c r="C1676" s="2" t="str">
        <x:v>국외</x:v>
      </x:c>
      <x:c r="D1676" s="7" t="str">
        <x:v>CPA-0002: KOKO 케냐 에탄올 쿡스토브 프로그램</x:v>
      </x:c>
      <x:c r="E1676" s="2" t="str">
        <x:v>298</x:v>
      </x:c>
      <x:c r="F1676" s="2" t="str">
        <x:v>2022-06</x:v>
      </x:c>
      <x:c r="G1676" s="2" t="str">
        <x:v>2022</x:v>
      </x:c>
      <x:c r="H1676" s="2" t="str">
        <x:v>06</x:v>
      </x:c>
      <x:c r="I1676" s="2" t="str">
        <x:v>승인</x:v>
      </x:c>
      <x:c r="J1676" s="2" t="str">
        <x:v>심의승인</x:v>
      </x:c>
      <x:c r="K1676" s="2" t="str">
        <x:f>IF(OR(J1676="심의승인",J1676="반려",J1676="반려완료",J1676="심의완료"),"종결 표시",IF(OR(J1676="기후부협의",J1676="문서재제출요청",J1676="보류",J1676="보완요청",J1676="보완완료",J1676="평가중",J1676="반려요청",J1676="평가필요",LEFT(J1676,5)="보완요청("),"미종결 표시","상태 확인 필요"))</x:f>
        <x:v>종결 표시</x:v>
      </x:c>
      <x:c r="L1676" s="2" t="str">
        <x:v>KECM</x:v>
      </x:c>
      <x:c r="M1676" s="2"/>
      <x:c r="N1676" s="8"/>
      <x:c r="O1676" s="2"/>
      <x:c r="P1676" s="2"/>
      <x:c r="Q1676" s="2" t="str">
        <x:v>산업전환_외부사업관리Tool_260707_이너젠 수정_LJY_261013.xlsx</x:v>
      </x:c>
      <x:c r="R1676" s="2" t="str">
        <x:v>국외평가</x:v>
      </x:c>
      <x:c r="S1676" s="8" t="n">
        <x:v>300</x:v>
      </x:c>
      <x:c r="T1676" s="2"/>
      <x:c r="U1676" s="2" t="str"/>
      <x:c r="V1676" s="2" t="str">
        <x:v>2022-12-15</x:v>
      </x:c>
      <x:c r="W1676" s="2" t="str"/>
      <x:c r="X1676" s="2" t="str">
        <x:v>종결 근거 보관</x:v>
      </x:c>
      <x:c r="Y1676" s="2" t="str">
        <x:v>ad210cd9ec132cfd447541c8984dc53d30aff0f4fb2dc92d254d49275cc55976</x:v>
      </x:c>
      <x:c r="Z1676" s="2" t="n">
        <x:f>SUBTOTAL(103,A1676)</x:f>
        <x:v>1</x:v>
      </x:c>
      <x:c r="AA1676" s="2" t="str">
        <x:f>IF(K1676&lt;&gt;"미종결 표시","대상 아님",IF(N1676="","신청일 확인",IF(NOT(ISNUMBER('종합 현황'!$H$5)),"관찰기준 확인",IF('종합 현황'!$H$5&lt;1,"관찰기준 확인",IF(N1676&gt;'종합 현황'!$H$5,"내부 관찰 대상","내부 관찰일 이하")))))</x:f>
        <x:v>대상 아님</x:v>
      </x:c>
      <x:c r="AB1676" s="2" t="str">
        <x:v>2022-06-14 16:31:50 - 신규신청 - 신청 
2022-06-14 16:31:50 - 관장기관 지정 - 환경부
2022-06-15 09:49:44 - 관장기관 지정 - 산업통상자원부
2022-06-24 08:31:23 - 신규신청 - 문서재제출요청 
2022-06-24 10:25:59 - 재제출신청 - 신청 
2022-06-24 10:35:13 - 재제출신청 - 문서재제출요청 
2022-06-24 10:39:14 - 재제출신청 - 신청 
2022-10-07 16:41:55 - 재제출신청 - 평가승인 
2022-10-11 14:08:24 - 재제출신청 - 심의승인 
2022-12-15 10:48:53 - 재제출신청 - 착수신고 
</x:v>
      </x:c>
    </x:row>
    <x:row r="1677" ht="42" customHeight="1">
      <x:c r="A1677" s="2" t="str">
        <x:v>ca4646487fb0d6bb767d3cb0</x:v>
      </x:c>
      <x:c r="B1677" s="2" t="str">
        <x:v>사업 평가</x:v>
      </x:c>
      <x:c r="C1677" s="2" t="str">
        <x:v>국외</x:v>
      </x:c>
      <x:c r="D1677" s="7" t="str">
        <x:v>12MW PV 번들링 CDM 프로젝트(1)</x:v>
      </x:c>
      <x:c r="E1677" s="2" t="str">
        <x:v>290</x:v>
      </x:c>
      <x:c r="F1677" s="2" t="str">
        <x:v>2022-07</x:v>
      </x:c>
      <x:c r="G1677" s="2" t="str">
        <x:v>2022</x:v>
      </x:c>
      <x:c r="H1677" s="2" t="str">
        <x:v>07</x:v>
      </x:c>
      <x:c r="I1677" s="2" t="str">
        <x:v>반려</x:v>
      </x:c>
      <x:c r="J1677" s="2" t="str">
        <x:v>반려</x:v>
      </x:c>
      <x:c r="K1677" s="2" t="str">
        <x:f>IF(OR(J1677="심의승인",J1677="반려",J1677="반려완료",J1677="심의완료"),"종결 표시",IF(OR(J1677="기후부협의",J1677="문서재제출요청",J1677="보류",J1677="보완요청",J1677="보완완료",J1677="평가중",J1677="반려요청",J1677="평가필요",LEFT(J1677,5)="보완요청("),"미종결 표시","상태 확인 필요"))</x:f>
        <x:v>종결 표시</x:v>
      </x:c>
      <x:c r="L1677" s="2"/>
      <x:c r="M1677" s="2"/>
      <x:c r="N1677" s="8"/>
      <x:c r="O1677" s="2"/>
      <x:c r="P1677" s="2"/>
      <x:c r="Q1677" s="2" t="str">
        <x:v>산업전환_외부사업관리Tool_260707_이너젠 수정_LJY_261013.xlsx</x:v>
      </x:c>
      <x:c r="R1677" s="2" t="str">
        <x:v>국외평가</x:v>
      </x:c>
      <x:c r="S1677" s="8" t="n">
        <x:v>301</x:v>
      </x:c>
      <x:c r="T1677" s="2"/>
      <x:c r="U1677" s="2" t="str"/>
      <x:c r="V1677" s="2" t="str">
        <x:v>2022-07-13</x:v>
      </x:c>
      <x:c r="W1677" s="2" t="str">
        <x:v>담당기관 확인</x:v>
      </x:c>
      <x:c r="X1677" s="2" t="str">
        <x:v>원본·배정 기록 확인</x:v>
      </x:c>
      <x:c r="Y1677" s="2" t="str">
        <x:v>ad210cd9ec132cfd447541c8984dc53d30aff0f4fb2dc92d254d49275cc55976</x:v>
      </x:c>
      <x:c r="Z1677" s="2" t="n">
        <x:f>SUBTOTAL(103,A1677)</x:f>
        <x:v>1</x:v>
      </x:c>
      <x:c r="AA1677" s="2" t="str">
        <x:f>IF(K1677&lt;&gt;"미종결 표시","대상 아님",IF(N1677="","신청일 확인",IF(NOT(ISNUMBER('종합 현황'!$H$5)),"관찰기준 확인",IF('종합 현황'!$H$5&lt;1,"관찰기준 확인",IF(N1677&gt;'종합 현황'!$H$5,"내부 관찰 대상","내부 관찰일 이하")))))</x:f>
        <x:v>대상 아님</x:v>
      </x:c>
      <x:c r="AB1677" s="2" t="str">
        <x:v>2022-07-08 15:43:24 - 신규신청 - 신청 
2022-07-08 15:43:24 - 관장기관 지정 - 환경부
2022-07-08 17:39:28 - 관장기관 지정 - 산업통상자원부
2022-07-13 16:57:29 - 신규신청 - 평가반려 
</x:v>
      </x:c>
    </x:row>
    <x:row r="1678" ht="42" customHeight="1">
      <x:c r="A1678" s="2" t="str">
        <x:v>7e666ce9e35419c49a8b1bd1</x:v>
      </x:c>
      <x:c r="B1678" s="2" t="str">
        <x:v>사업 평가</x:v>
      </x:c>
      <x:c r="C1678" s="2" t="str">
        <x:v>국외</x:v>
      </x:c>
      <x:c r="D1678" s="7" t="str">
        <x:v>델라구아 르완다 공중 보건 프로그램 : 르완다 CPA028 사업</x:v>
      </x:c>
      <x:c r="E1678" s="2" t="str">
        <x:v>300</x:v>
      </x:c>
      <x:c r="F1678" s="2" t="str">
        <x:v>2022-07</x:v>
      </x:c>
      <x:c r="G1678" s="2" t="str">
        <x:v>2022</x:v>
      </x:c>
      <x:c r="H1678" s="2" t="str">
        <x:v>07</x:v>
      </x:c>
      <x:c r="I1678" s="2" t="str">
        <x:v>승인</x:v>
      </x:c>
      <x:c r="J1678" s="2" t="str">
        <x:v>심의승인</x:v>
      </x:c>
      <x:c r="K1678" s="2" t="str">
        <x:f>IF(OR(J1678="심의승인",J1678="반려",J1678="반려완료",J1678="심의완료"),"종결 표시",IF(OR(J1678="기후부협의",J1678="문서재제출요청",J1678="보류",J1678="보완요청",J1678="보완완료",J1678="평가중",J1678="반려요청",J1678="평가필요",LEFT(J1678,5)="보완요청("),"미종결 표시","상태 확인 필요"))</x:f>
        <x:v>종결 표시</x:v>
      </x:c>
      <x:c r="L1678" s="2" t="str">
        <x:v>KRIC</x:v>
      </x:c>
      <x:c r="M1678" s="2"/>
      <x:c r="N1678" s="8"/>
      <x:c r="O1678" s="2"/>
      <x:c r="P1678" s="2"/>
      <x:c r="Q1678" s="2" t="str">
        <x:v>산업전환_외부사업관리Tool_260707_이너젠 수정_LJY_261013.xlsx</x:v>
      </x:c>
      <x:c r="R1678" s="2" t="str">
        <x:v>국외평가</x:v>
      </x:c>
      <x:c r="S1678" s="8" t="n">
        <x:v>302</x:v>
      </x:c>
      <x:c r="T1678" s="2" t="str">
        <x:v>(8/16)</x:v>
      </x:c>
      <x:c r="U1678" s="2" t="str">
        <x:v>2021 지정(2): (8/16)</x:v>
      </x:c>
      <x:c r="V1678" s="2" t="str">
        <x:v>2022-12-21</x:v>
      </x:c>
      <x:c r="W1678" s="2" t="str"/>
      <x:c r="X1678" s="2" t="str">
        <x:v>종결 근거 보관</x:v>
      </x:c>
      <x:c r="Y1678" s="2" t="str">
        <x:v>ad210cd9ec132cfd447541c8984dc53d30aff0f4fb2dc92d254d49275cc55976</x:v>
      </x:c>
      <x:c r="Z1678" s="2" t="n">
        <x:f>SUBTOTAL(103,A1678)</x:f>
        <x:v>1</x:v>
      </x:c>
      <x:c r="AA1678" s="2" t="str">
        <x:f>IF(K1678&lt;&gt;"미종결 표시","대상 아님",IF(N1678="","신청일 확인",IF(NOT(ISNUMBER('종합 현황'!$H$5)),"관찰기준 확인",IF('종합 현황'!$H$5&lt;1,"관찰기준 확인",IF(N1678&gt;'종합 현황'!$H$5,"내부 관찰 대상","내부 관찰일 이하")))))</x:f>
        <x:v>대상 아님</x:v>
      </x:c>
      <x:c r="AB1678" s="2" t="str">
        <x:v>2022-07-21 09:09:30 - 신규신청 - 신청 
2022-07-21 09:09:30 - 관장기관 지정 - 환경부
2022-07-21 17:28:44 - 관장기관 지정 - 산업통상자원부
2022-08-08 09:40:50 - 신규신청 - 문서재제출요청 
2022-08-08 10:55:04 - 재제출신청 - 신청 
2022-12-21 17:25:08 - 재제출신청 - 평가승인 
2022-12-21 17:25:40 - 재제출신청 - 심의승인 
2022-12-21 17:30:16 - 재제출신청 - 착수신고 
</x:v>
      </x:c>
    </x:row>
    <x:row r="1679" ht="42" customHeight="1">
      <x:c r="A1679" s="2" t="str">
        <x:v>5f2f8036446218edd6f5e68f</x:v>
      </x:c>
      <x:c r="B1679" s="2" t="str">
        <x:v>사업 평가</x:v>
      </x:c>
      <x:c r="C1679" s="2" t="str">
        <x:v>국외</x:v>
      </x:c>
      <x:c r="D1679" s="7" t="str">
        <x:v>마다가스카르의 개선된 쿡스토브 프로젝트 by KCM - Wood#CPA-W-010</x:v>
      </x:c>
      <x:c r="E1679" s="2" t="str">
        <x:v>301</x:v>
      </x:c>
      <x:c r="F1679" s="2" t="str">
        <x:v>2022-12</x:v>
      </x:c>
      <x:c r="G1679" s="2" t="str">
        <x:v>2022</x:v>
      </x:c>
      <x:c r="H1679" s="2" t="str">
        <x:v>12</x:v>
      </x:c>
      <x:c r="I1679" s="2" t="str">
        <x:v>승인</x:v>
      </x:c>
      <x:c r="J1679" s="2" t="str">
        <x:v>심의승인</x:v>
      </x:c>
      <x:c r="K1679" s="2" t="str">
        <x:f>IF(OR(J1679="심의승인",J1679="반려",J1679="반려완료",J1679="심의완료"),"종결 표시",IF(OR(J1679="기후부협의",J1679="문서재제출요청",J1679="보류",J1679="보완요청",J1679="보완완료",J1679="평가중",J1679="반려요청",J1679="평가필요",LEFT(J1679,5)="보완요청("),"미종결 표시","상태 확인 필요"))</x:f>
        <x:v>종결 표시</x:v>
      </x:c>
      <x:c r="L1679" s="2" t="str">
        <x:v>KRIC</x:v>
      </x:c>
      <x:c r="M1679" s="2"/>
      <x:c r="N1679" s="8"/>
      <x:c r="O1679" s="2"/>
      <x:c r="P1679" s="2"/>
      <x:c r="Q1679" s="2" t="str">
        <x:v>산업전환_외부사업관리Tool_260707_이너젠 수정_LJY_261013.xlsx</x:v>
      </x:c>
      <x:c r="R1679" s="2" t="str">
        <x:v>국외평가</x:v>
      </x:c>
      <x:c r="S1679" s="8" t="n">
        <x:v>303</x:v>
      </x:c>
      <x:c r="T1679" s="2" t="str">
        <x:v>(12/27)</x:v>
      </x:c>
      <x:c r="U1679" s="2" t="str">
        <x:v>2022 지정: (12/27) / 2023 지정: (2/17)</x:v>
      </x:c>
      <x:c r="V1679" s="2" t="str">
        <x:v>2023-06-14</x:v>
      </x:c>
      <x:c r="W1679" s="2" t="str"/>
      <x:c r="X1679" s="2" t="str">
        <x:v>종결 근거 보관</x:v>
      </x:c>
      <x:c r="Y1679" s="2" t="str">
        <x:v>ad210cd9ec132cfd447541c8984dc53d30aff0f4fb2dc92d254d49275cc55976</x:v>
      </x:c>
      <x:c r="Z1679" s="2" t="n">
        <x:f>SUBTOTAL(103,A1679)</x:f>
        <x:v>1</x:v>
      </x:c>
      <x:c r="AA1679" s="2" t="str">
        <x:f>IF(K1679&lt;&gt;"미종결 표시","대상 아님",IF(N1679="","신청일 확인",IF(NOT(ISNUMBER('종합 현황'!$H$5)),"관찰기준 확인",IF('종합 현황'!$H$5&lt;1,"관찰기준 확인",IF(N1679&gt;'종합 현황'!$H$5,"내부 관찰 대상","내부 관찰일 이하")))))</x:f>
        <x:v>대상 아님</x:v>
      </x:c>
      <x:c r="AB1679" s="2" t="str">
        <x:v>2022-12-12 15:11:28 - 신규신청 - 신청 
2022-12-12 15:11:28 - 관장기관 지정 - 환경부
2022-12-12 17:08:59 - 관장기관 지정 - 산업통상자원부
2022-12-23 14:51:04 - 신규신청 - 문서재제출요청 
2022-12-26 17:04:59 - 재제출신청 - 신청 
2023-02-07 20:41:14 - 재제출신청 - 문서재제출요청 
2023-02-08 14:53:14 - 재제출신청 - 신청 
2023-03-09 10:51:04 - 재제출신청 - 문서재제출요청 
2023-03-09 11:14:14 - 재제출신청 - 신청 
2023-03-31 14:44:30 - 재제출신청 - 평가승인 
2023-04-03 15:28:56 - 재제출신청 - 협의검토중 협의검토중 (협의 요청일 : 2023-03-21)
2023-05-04 11:08:01 - 재제출신청 - 협의통보 협의통보 (협의 통보일 : 2023-05-01)
2023-06-14 18:21:50 - 재제출신청 - 심의승인 
</x:v>
      </x:c>
    </x:row>
    <x:row r="1680" ht="42" customHeight="1">
      <x:c r="A1680" s="2" t="str">
        <x:v>aa00a574d48af99bab91e183</x:v>
      </x:c>
      <x:c r="B1680" s="2" t="str">
        <x:v>사업 평가</x:v>
      </x:c>
      <x:c r="C1680" s="2" t="str">
        <x:v>국외</x:v>
      </x:c>
      <x:c r="D1680" s="7" t="str">
        <x:v>마다가스카르의 개선된 쿡스토브 프로젝트 by KCM - Wood#CPA-W-011</x:v>
      </x:c>
      <x:c r="E1680" s="2" t="str">
        <x:v>302</x:v>
      </x:c>
      <x:c r="F1680" s="2" t="str">
        <x:v>2022-12</x:v>
      </x:c>
      <x:c r="G1680" s="2" t="str">
        <x:v>2022</x:v>
      </x:c>
      <x:c r="H1680" s="2" t="str">
        <x:v>12</x:v>
      </x:c>
      <x:c r="I1680" s="2" t="str">
        <x:v>승인</x:v>
      </x:c>
      <x:c r="J1680" s="2" t="str">
        <x:v>심의승인</x:v>
      </x:c>
      <x:c r="K1680" s="2" t="str">
        <x:f>IF(OR(J1680="심의승인",J1680="반려",J1680="반려완료",J1680="심의완료"),"종결 표시",IF(OR(J1680="기후부협의",J1680="문서재제출요청",J1680="보류",J1680="보완요청",J1680="보완완료",J1680="평가중",J1680="반려요청",J1680="평가필요",LEFT(J1680,5)="보완요청("),"미종결 표시","상태 확인 필요"))</x:f>
        <x:v>종결 표시</x:v>
      </x:c>
      <x:c r="L1680" s="2" t="str">
        <x:v>KRIC</x:v>
      </x:c>
      <x:c r="M1680" s="2"/>
      <x:c r="N1680" s="8"/>
      <x:c r="O1680" s="2"/>
      <x:c r="P1680" s="2"/>
      <x:c r="Q1680" s="2" t="str">
        <x:v>산업전환_외부사업관리Tool_260707_이너젠 수정_LJY_261013.xlsx</x:v>
      </x:c>
      <x:c r="R1680" s="2" t="str">
        <x:v>국외평가</x:v>
      </x:c>
      <x:c r="S1680" s="8" t="n">
        <x:v>304</x:v>
      </x:c>
      <x:c r="T1680" s="2" t="str">
        <x:v>(12/27)</x:v>
      </x:c>
      <x:c r="U1680" s="2" t="str">
        <x:v>2022 지정: (12/27) / 2023 지정: (2/17)</x:v>
      </x:c>
      <x:c r="V1680" s="2" t="str">
        <x:v>2023-06-14</x:v>
      </x:c>
      <x:c r="W1680" s="2" t="str"/>
      <x:c r="X1680" s="2" t="str">
        <x:v>종결 근거 보관</x:v>
      </x:c>
      <x:c r="Y1680" s="2" t="str">
        <x:v>ad210cd9ec132cfd447541c8984dc53d30aff0f4fb2dc92d254d49275cc55976</x:v>
      </x:c>
      <x:c r="Z1680" s="2" t="n">
        <x:f>SUBTOTAL(103,A1680)</x:f>
        <x:v>1</x:v>
      </x:c>
      <x:c r="AA1680" s="2" t="str">
        <x:f>IF(K1680&lt;&gt;"미종결 표시","대상 아님",IF(N1680="","신청일 확인",IF(NOT(ISNUMBER('종합 현황'!$H$5)),"관찰기준 확인",IF('종합 현황'!$H$5&lt;1,"관찰기준 확인",IF(N1680&gt;'종합 현황'!$H$5,"내부 관찰 대상","내부 관찰일 이하")))))</x:f>
        <x:v>대상 아님</x:v>
      </x:c>
      <x:c r="AB1680" s="2" t="str">
        <x:v>2022-12-12 15:11:38 - 신규신청 - 신청 
2022-12-12 15:11:38 - 관장기관 지정 - 환경부
2022-12-12 17:08:53 - 관장기관 지정 - 산업통상자원부
2022-12-23 14:51:26 - 신규신청 - 문서재제출요청 
2022-12-26 17:05:41 - 재제출신청 - 신청 
2023-02-07 20:41:57 - 재제출신청 - 문서재제출요청 
2023-02-08 14:58:02 - 재제출신청 - 신청 
2023-03-09 10:51:20 - 재제출신청 - 문서재제출요청 
2023-03-09 11:15:15 - 재제출신청 - 신청 
2023-03-31 14:45:01 - 재제출신청 - 평가승인 
2023-04-03 15:28:56 - 재제출신청 - 협의검토중 협의검토중 (협의 요청일 : 2023-03-21)
2023-05-04 11:08:01 - 재제출신청 - 협의통보 협의통보 (협의 통보일 : 2023-05-01)
2023-06-14 18:20:49 - 재제출신청 - 심의승인 
</x:v>
      </x:c>
    </x:row>
    <x:row r="1681" ht="42" customHeight="1">
      <x:c r="A1681" s="2" t="str">
        <x:v>e57318c3a0a22afe9bbd23fa</x:v>
      </x:c>
      <x:c r="B1681" s="2" t="str">
        <x:v>사업 평가</x:v>
      </x:c>
      <x:c r="C1681" s="2" t="str">
        <x:v>국외</x:v>
      </x:c>
      <x:c r="D1681" s="7" t="str">
        <x:v>마다가스카르의 개선된 쿡스토브 프로젝트 by KCM - Wood#CPA-W-013</x:v>
      </x:c>
      <x:c r="E1681" s="2" t="str">
        <x:v>303</x:v>
      </x:c>
      <x:c r="F1681" s="2" t="str">
        <x:v>2022-12</x:v>
      </x:c>
      <x:c r="G1681" s="2" t="str">
        <x:v>2022</x:v>
      </x:c>
      <x:c r="H1681" s="2" t="str">
        <x:v>12</x:v>
      </x:c>
      <x:c r="I1681" s="2" t="str">
        <x:v>승인</x:v>
      </x:c>
      <x:c r="J1681" s="2" t="str">
        <x:v>심의승인</x:v>
      </x:c>
      <x:c r="K1681" s="2" t="str">
        <x:f>IF(OR(J1681="심의승인",J1681="반려",J1681="반려완료",J1681="심의완료"),"종결 표시",IF(OR(J1681="기후부협의",J1681="문서재제출요청",J1681="보류",J1681="보완요청",J1681="보완완료",J1681="평가중",J1681="반려요청",J1681="평가필요",LEFT(J1681,5)="보완요청("),"미종결 표시","상태 확인 필요"))</x:f>
        <x:v>종결 표시</x:v>
      </x:c>
      <x:c r="L1681" s="2" t="str">
        <x:v>KRIC</x:v>
      </x:c>
      <x:c r="M1681" s="2"/>
      <x:c r="N1681" s="8"/>
      <x:c r="O1681" s="2"/>
      <x:c r="P1681" s="2"/>
      <x:c r="Q1681" s="2" t="str">
        <x:v>산업전환_외부사업관리Tool_260707_이너젠 수정_LJY_261013.xlsx</x:v>
      </x:c>
      <x:c r="R1681" s="2" t="str">
        <x:v>국외평가</x:v>
      </x:c>
      <x:c r="S1681" s="8" t="n">
        <x:v>305</x:v>
      </x:c>
      <x:c r="T1681" s="2" t="str">
        <x:v>(12/27)</x:v>
      </x:c>
      <x:c r="U1681" s="2" t="str">
        <x:v>2022 지정: (12/27) / 2023 지정: (2/17)</x:v>
      </x:c>
      <x:c r="V1681" s="2" t="str">
        <x:v>2023-06-14</x:v>
      </x:c>
      <x:c r="W1681" s="2" t="str"/>
      <x:c r="X1681" s="2" t="str">
        <x:v>종결 근거 보관</x:v>
      </x:c>
      <x:c r="Y1681" s="2" t="str">
        <x:v>ad210cd9ec132cfd447541c8984dc53d30aff0f4fb2dc92d254d49275cc55976</x:v>
      </x:c>
      <x:c r="Z1681" s="2" t="n">
        <x:f>SUBTOTAL(103,A1681)</x:f>
        <x:v>1</x:v>
      </x:c>
      <x:c r="AA1681" s="2" t="str">
        <x:f>IF(K1681&lt;&gt;"미종결 표시","대상 아님",IF(N1681="","신청일 확인",IF(NOT(ISNUMBER('종합 현황'!$H$5)),"관찰기준 확인",IF('종합 현황'!$H$5&lt;1,"관찰기준 확인",IF(N1681&gt;'종합 현황'!$H$5,"내부 관찰 대상","내부 관찰일 이하")))))</x:f>
        <x:v>대상 아님</x:v>
      </x:c>
      <x:c r="AB1681" s="2" t="str">
        <x:v>2022-12-12 15:11:47 - 신규신청 - 신청 
2022-12-12 15:11:47 - 관장기관 지정 - 환경부
2022-12-12 17:08:48 - 관장기관 지정 - 산업통상자원부
2022-12-23 14:51:43 - 신규신청 - 문서재제출요청 
2022-12-26 17:06:07 - 재제출신청 - 신청 
2023-02-07 20:42:48 - 재제출신청 - 문서재제출요청 
2023-02-08 15:01:27 - 재제출신청 - 신청 
2023-03-09 10:51:33 - 재제출신청 - 문서재제출요청 
2023-03-09 11:16:13 - 재제출신청 - 신청 
2023-03-31 14:45:38 - 재제출신청 - 평가승인 
2023-04-03 15:28:55 - 재제출신청 - 협의검토중 협의검토중 (협의 요청일 : 2023-03-21)
2023-05-04 11:08:02 - 재제출신청 - 협의통보 협의통보 (협의 통보일 : 2023-05-01)
2023-06-14 18:20:09 - 재제출신청 - 심의승인 
</x:v>
      </x:c>
    </x:row>
    <x:row r="1682" ht="42" customHeight="1">
      <x:c r="A1682" s="2" t="str">
        <x:v>fe8694b2b6cb200162e3a7de</x:v>
      </x:c>
      <x:c r="B1682" s="2" t="str">
        <x:v>사업 평가</x:v>
      </x:c>
      <x:c r="C1682" s="2" t="str">
        <x:v>국외</x:v>
      </x:c>
      <x:c r="D1682" s="7" t="str">
        <x:v>삼성전자 인도 고효율 냉장고 CDM 사업</x:v>
      </x:c>
      <x:c r="E1682" s="2" t="str">
        <x:v>304</x:v>
      </x:c>
      <x:c r="F1682" s="2" t="str">
        <x:v>2023-03</x:v>
      </x:c>
      <x:c r="G1682" s="2" t="str">
        <x:v>2023</x:v>
      </x:c>
      <x:c r="H1682" s="2" t="str">
        <x:v>03</x:v>
      </x:c>
      <x:c r="I1682" s="2" t="str">
        <x:v>승인</x:v>
      </x:c>
      <x:c r="J1682" s="2" t="str">
        <x:v>심의승인</x:v>
      </x:c>
      <x:c r="K1682" s="2" t="str">
        <x:f>IF(OR(J1682="심의승인",J1682="반려",J1682="반려완료",J1682="심의완료"),"종결 표시",IF(OR(J1682="기후부협의",J1682="문서재제출요청",J1682="보류",J1682="보완요청",J1682="보완완료",J1682="평가중",J1682="반려요청",J1682="평가필요",LEFT(J1682,5)="보완요청("),"미종결 표시","상태 확인 필요"))</x:f>
        <x:v>종결 표시</x:v>
      </x:c>
      <x:c r="L1682" s="2" t="str">
        <x:v>KRIC</x:v>
      </x:c>
      <x:c r="M1682" s="2"/>
      <x:c r="N1682" s="8"/>
      <x:c r="O1682" s="2"/>
      <x:c r="P1682" s="2"/>
      <x:c r="Q1682" s="2" t="str">
        <x:v>산업전환_외부사업관리Tool_260707_이너젠 수정_LJY_261013.xlsx</x:v>
      </x:c>
      <x:c r="R1682" s="2" t="str">
        <x:v>국외평가</x:v>
      </x:c>
      <x:c r="S1682" s="8" t="n">
        <x:v>306</x:v>
      </x:c>
      <x:c r="T1682" s="2" t="str">
        <x:v>(3/13),(6/7)</x:v>
      </x:c>
      <x:c r="U1682" s="2" t="str">
        <x:v>2023 지정: (3/13),(6/7)</x:v>
      </x:c>
      <x:c r="V1682" s="2" t="str">
        <x:v>2023-09-26</x:v>
      </x:c>
      <x:c r="W1682" s="2" t="str"/>
      <x:c r="X1682" s="2" t="str">
        <x:v>종결 근거 보관</x:v>
      </x:c>
      <x:c r="Y1682" s="2" t="str">
        <x:v>ad210cd9ec132cfd447541c8984dc53d30aff0f4fb2dc92d254d49275cc55976</x:v>
      </x:c>
      <x:c r="Z1682" s="2" t="n">
        <x:f>SUBTOTAL(103,A1682)</x:f>
        <x:v>1</x:v>
      </x:c>
      <x:c r="AA1682" s="2" t="str">
        <x:f>IF(K1682&lt;&gt;"미종결 표시","대상 아님",IF(N1682="","신청일 확인",IF(NOT(ISNUMBER('종합 현황'!$H$5)),"관찰기준 확인",IF('종합 현황'!$H$5&lt;1,"관찰기준 확인",IF(N1682&gt;'종합 현황'!$H$5,"내부 관찰 대상","내부 관찰일 이하")))))</x:f>
        <x:v>대상 아님</x:v>
      </x:c>
      <x:c r="AB1682" s="2" t="str">
        <x:v>2023-03-07 17:10:47 - 관장기관 지정 - 환경부
2023-03-07 17:10:48 - 신규신청 - 신청 
2023-03-08 10:00:33 - 관장기관 지정 - 산업통상자원부
2023-05-24 13:57:05 - 신규신청 - 문서재제출요청 
2023-05-24 14:10:41 - 재제출신청 - 신청 
2023-06-01 08:39:51 - 재제출신청 - 보완요청 
2023-06-01 11:09:42 - 보완신청 - 신청 
2023-06-09 15:37:31 - 보완신청 - 평가승인 
2023-06-28 11:20:22 - 보완신청 - 협의검토중 협의검토중 (협의 요청일 : 2023-06-27)
2023-07-28 14:54:52 - 보완신청 - 협의통보 협의통보 (협의 통보일 : 2023-07-28)
2023-09-21 14:21:36 - 보완신청 - 심의승인 
2023-09-26 12:29:07 - 보완신청 - 착수신고 
</x:v>
      </x:c>
    </x:row>
    <x:row r="1683" ht="42" customHeight="1">
      <x:c r="A1683" s="2" t="str">
        <x:v>872fb9391ca37402932e61be</x:v>
      </x:c>
      <x:c r="B1683" s="2" t="str">
        <x:v>사업 평가</x:v>
      </x:c>
      <x:c r="C1683" s="2" t="str">
        <x:v>국외</x:v>
      </x:c>
      <x:c r="D1683" s="7" t="str">
        <x:v>MJ AGRI Vietnam의 바이오매스 열 생산</x:v>
      </x:c>
      <x:c r="E1683" s="2" t="str">
        <x:v>305</x:v>
      </x:c>
      <x:c r="F1683" s="2" t="str">
        <x:v>2023-11</x:v>
      </x:c>
      <x:c r="G1683" s="2" t="str">
        <x:v>2023</x:v>
      </x:c>
      <x:c r="H1683" s="2" t="str">
        <x:v>11</x:v>
      </x:c>
      <x:c r="I1683" s="2" t="str">
        <x:v>검토필요</x:v>
      </x:c>
      <x:c r="J1683" s="2" t="str">
        <x:v>보류</x:v>
      </x:c>
      <x:c r="K1683" s="2" t="str">
        <x:f>IF(OR(J1683="심의승인",J1683="반려",J1683="반려완료",J1683="심의완료"),"종결 표시",IF(OR(J1683="기후부협의",J1683="문서재제출요청",J1683="보류",J1683="보완요청",J1683="보완완료",J1683="평가중",J1683="반려요청",J1683="평가필요",LEFT(J1683,5)="보완요청("),"미종결 표시","상태 확인 필요"))</x:f>
        <x:v>미종결 표시</x:v>
      </x:c>
      <x:c r="L1683" s="2" t="str">
        <x:v>KRIC</x:v>
      </x:c>
      <x:c r="M1683" s="2"/>
      <x:c r="N1683" s="8"/>
      <x:c r="O1683" s="2"/>
      <x:c r="P1683" s="2" t="str">
        <x:v>2023.11.10 발행된 CER, 외부사업 지침 상 i-KOC 전환 불가(향후를 위해 신청한 것으로 파악)</x:v>
      </x:c>
      <x:c r="Q1683" s="2" t="str">
        <x:v>산업전환_외부사업관리Tool_260707_이너젠 수정_LJY_261013.xlsx</x:v>
      </x:c>
      <x:c r="R1683" s="2" t="str">
        <x:v>국외평가</x:v>
      </x:c>
      <x:c r="S1683" s="8" t="n">
        <x:v>307</x:v>
      </x:c>
      <x:c r="T1683" s="2" t="str">
        <x:v>(1/12)</x:v>
      </x:c>
      <x:c r="U1683" s="2" t="str">
        <x:v>2024년 지정(신규): (1/12)</x:v>
      </x:c>
      <x:c r="V1683" s="2" t="str">
        <x:v>2023-12-01</x:v>
      </x:c>
      <x:c r="W1683" s="2" t="str"/>
      <x:c r="X1683" s="2" t="str">
        <x:v>검토 진행 일정 확인</x:v>
      </x:c>
      <x:c r="Y1683" s="2" t="str">
        <x:v>ad210cd9ec132cfd447541c8984dc53d30aff0f4fb2dc92d254d49275cc55976</x:v>
      </x:c>
      <x:c r="Z1683" s="2" t="n">
        <x:f>SUBTOTAL(103,A1683)</x:f>
        <x:v>1</x:v>
      </x:c>
      <x:c r="AA1683" s="2" t="str">
        <x:f>IF(K1683&lt;&gt;"미종결 표시","대상 아님",IF(N1683="","신청일 확인",IF(NOT(ISNUMBER('종합 현황'!$H$5)),"관찰기준 확인",IF('종합 현황'!$H$5&lt;1,"관찰기준 확인",IF(N1683&gt;'종합 현황'!$H$5,"내부 관찰 대상","내부 관찰일 이하")))))</x:f>
        <x:v>신청일 확인</x:v>
      </x:c>
      <x:c r="AB1683" s="2" t="str">
        <x:v>2023-11-10 14:38:55 - 신규신청 - 신청 
2023-11-10 14:38:55 - 관장기관 지정 - 환경부
2023-11-20 11:14:49 - 관장기관 지정 - 산업통상자원부
2023-11-21 11:21:23 - 신규신청 - 문서재제출요청 
2023-12-01 21:19:47 - 재제출신청 - 신청 
</x:v>
      </x:c>
    </x:row>
    <x:row r="1684" ht="42" customHeight="1">
      <x:c r="A1684" s="2" t="str">
        <x:v>0adf55ea0a02cb009d2e3eeb</x:v>
      </x:c>
      <x:c r="B1684" s="2" t="str">
        <x:v>사업 평가</x:v>
      </x:c>
      <x:c r="C1684" s="2" t="str">
        <x:v>국외</x:v>
      </x:c>
      <x:c r="D1684" s="7" t="str">
        <x:v>사하라 이남 아프리카 고효율 쿡스토브 보급 사업-말라위-CPA004</x:v>
      </x:c>
      <x:c r="E1684" s="2" t="str">
        <x:v>306</x:v>
      </x:c>
      <x:c r="F1684" s="2" t="str">
        <x:v>2021-03</x:v>
      </x:c>
      <x:c r="G1684" s="2" t="str">
        <x:v>2021</x:v>
      </x:c>
      <x:c r="H1684" s="2" t="str">
        <x:v>03</x:v>
      </x:c>
      <x:c r="I1684" s="2" t="str">
        <x:v>승인</x:v>
      </x:c>
      <x:c r="J1684" s="2" t="str">
        <x:v>심의승인</x:v>
      </x:c>
      <x:c r="K1684" s="2" t="str">
        <x:f>IF(OR(J1684="심의승인",J1684="반려",J1684="반려완료",J1684="심의완료"),"종결 표시",IF(OR(J1684="기후부협의",J1684="문서재제출요청",J1684="보류",J1684="보완요청",J1684="보완완료",J1684="평가중",J1684="반려요청",J1684="평가필요",LEFT(J1684,5)="보완요청("),"미종결 표시","상태 확인 필요"))</x:f>
        <x:v>종결 표시</x:v>
      </x:c>
      <x:c r="L1684" s="2"/>
      <x:c r="M1684" s="2"/>
      <x:c r="N1684" s="8"/>
      <x:c r="O1684" s="2"/>
      <x:c r="P1684" s="2"/>
      <x:c r="Q1684" s="2" t="str">
        <x:v>산업전환_외부사업관리Tool_260707_이너젠 수정_LJY_261013.xlsx</x:v>
      </x:c>
      <x:c r="R1684" s="2" t="str">
        <x:v>국외평가</x:v>
      </x:c>
      <x:c r="S1684" s="8" t="n">
        <x:v>308</x:v>
      </x:c>
      <x:c r="T1684" s="2"/>
      <x:c r="U1684" s="2" t="str"/>
      <x:c r="V1684" s="2" t="str">
        <x:v>2025-08-01</x:v>
      </x:c>
      <x:c r="W1684" s="2" t="str">
        <x:v>담당기관 확인</x:v>
      </x:c>
      <x:c r="X1684" s="2" t="str">
        <x:v>원본·배정 기록 확인</x:v>
      </x:c>
      <x:c r="Y1684" s="2" t="str">
        <x:v>ad210cd9ec132cfd447541c8984dc53d30aff0f4fb2dc92d254d49275cc55976</x:v>
      </x:c>
      <x:c r="Z1684" s="2" t="n">
        <x:f>SUBTOTAL(103,A1684)</x:f>
        <x:v>1</x:v>
      </x:c>
      <x:c r="AA1684" s="2" t="str">
        <x:f>IF(K1684&lt;&gt;"미종결 표시","대상 아님",IF(N1684="","신청일 확인",IF(NOT(ISNUMBER('종합 현황'!$H$5)),"관찰기준 확인",IF('종합 현황'!$H$5&lt;1,"관찰기준 확인",IF(N1684&gt;'종합 현황'!$H$5,"내부 관찰 대상","내부 관찰일 이하")))))</x:f>
        <x:v>대상 아님</x:v>
      </x:c>
      <x:c r="AB1684" s="2" t="str">
        <x:v>2021-03-10 16:45:20 - 신규신청 - 신청 
2021-03-10 16:45:20 - 관장기관 지정 - 기후에너지환경부
2021-03-12 16:37:48 - 관장기관 지정 - 산업통상부
2021-04-16 09:35:55 - 신규신청 - 문서재제출요청 
2021-04-16 15:05:13 - 재제출신청 - 신청 
2021-06-09 09:32:22 - 재제출신청 - 문서재제출요청 
2021-07-22 14:08:24 - 재제출신청 - 신청 
2021-08-24 10:09:40 - 재제출신청 - 문서재제출요청 
2021-08-24 11:16:58 - 재제출신청 - 신청 
2021-09-27 11:21:34 - 재제출신청 - 평가승인 
2021-09-27 11:21:55 - 재제출신청 - 심의승인 
2021-09-27 11:42:57 - 재제출신청 - 착수신고 
2025-08-01 17:19:10 - 유효기간갱신 신청 - 신청 
</x:v>
      </x:c>
    </x:row>
    <x:row r="1685" ht="42" customHeight="1">
      <x:c r="A1685" s="2" t="str">
        <x:v>9e9e9957b4efc61e19cb36df</x:v>
      </x:c>
      <x:c r="B1685" s="2" t="str">
        <x:v>사업 평가</x:v>
      </x:c>
      <x:c r="C1685" s="2" t="str">
        <x:v>국외</x:v>
      </x:c>
      <x:c r="D1685" s="7" t="str">
        <x:v>과테말라 오닐 스토브 보급 사업 - CPA 003</x:v>
      </x:c>
      <x:c r="E1685" s="2" t="str">
        <x:v>307</x:v>
      </x:c>
      <x:c r="F1685" s="2" t="str">
        <x:v>2019-06</x:v>
      </x:c>
      <x:c r="G1685" s="2" t="str">
        <x:v>2019</x:v>
      </x:c>
      <x:c r="H1685" s="2" t="str">
        <x:v>06</x:v>
      </x:c>
      <x:c r="I1685" s="2" t="str">
        <x:v>승인</x:v>
      </x:c>
      <x:c r="J1685" s="2" t="str">
        <x:v>심의승인</x:v>
      </x:c>
      <x:c r="K1685" s="2" t="str">
        <x:f>IF(OR(J1685="심의승인",J1685="반려",J1685="반려완료",J1685="심의완료"),"종결 표시",IF(OR(J1685="기후부협의",J1685="문서재제출요청",J1685="보류",J1685="보완요청",J1685="보완완료",J1685="평가중",J1685="반려요청",J1685="평가필요",LEFT(J1685,5)="보완요청("),"미종결 표시","상태 확인 필요"))</x:f>
        <x:v>종결 표시</x:v>
      </x:c>
      <x:c r="L1685" s="2"/>
      <x:c r="M1685" s="2"/>
      <x:c r="N1685" s="8"/>
      <x:c r="O1685" s="2"/>
      <x:c r="P1685" s="2"/>
      <x:c r="Q1685" s="2" t="str">
        <x:v>산업전환_외부사업관리Tool_260707_이너젠 수정_LJY_261013.xlsx</x:v>
      </x:c>
      <x:c r="R1685" s="2" t="str">
        <x:v>국외평가</x:v>
      </x:c>
      <x:c r="S1685" s="8" t="n">
        <x:v>309</x:v>
      </x:c>
      <x:c r="T1685" s="2"/>
      <x:c r="U1685" s="2" t="str"/>
      <x:c r="V1685" s="2" t="str">
        <x:v>2025-08-01</x:v>
      </x:c>
      <x:c r="W1685" s="2" t="str">
        <x:v>담당기관 확인</x:v>
      </x:c>
      <x:c r="X1685" s="2" t="str">
        <x:v>원본·배정 기록 확인</x:v>
      </x:c>
      <x:c r="Y1685" s="2" t="str">
        <x:v>ad210cd9ec132cfd447541c8984dc53d30aff0f4fb2dc92d254d49275cc55976</x:v>
      </x:c>
      <x:c r="Z1685" s="2" t="n">
        <x:f>SUBTOTAL(103,A1685)</x:f>
        <x:v>1</x:v>
      </x:c>
      <x:c r="AA1685" s="2" t="str">
        <x:f>IF(K1685&lt;&gt;"미종결 표시","대상 아님",IF(N1685="","신청일 확인",IF(NOT(ISNUMBER('종합 현황'!$H$5)),"관찰기준 확인",IF('종합 현황'!$H$5&lt;1,"관찰기준 확인",IF(N1685&gt;'종합 현황'!$H$5,"내부 관찰 대상","내부 관찰일 이하")))))</x:f>
        <x:v>대상 아님</x:v>
      </x:c>
      <x:c r="AB1685" s="2" t="str">
        <x:v>2019-06-23 15:01:50 - 신규신청 - 신청 
2019-06-23 15:01:50 - 관장기관 지정 - 기후에너지환경부
2019-07-04 18:05:19 - 관장기관 지정 - 산업통상부
2019-10-14 19:34:48 - 신규신청 - 보완요청 
2019-10-15 14:10:44 - 보완신청 - 신청 
2019-10-23 10:24:10 - 보완신청 - 문서재제출요청 
2019-10-30 17:33:49 - 재제출신청 - 신청 
2019-11-08 11:38:14 - 재제출신청 - 문서재제출요청 
2019-11-08 13:21:35 - 재제출신청 - 신청 
2020-01-31 19:20:36 - 재제출신청 - 문서재제출요청 
2020-02-04 10:14:10 - 재제출신청 - 신청 
2020-02-26 09:40:52 - 재제출신청 - 평가승인 
2020-02-26 10:49:42 - 재제출신청 - 심의승인 
2020-02-26 10:59:15 - 재제출신청 - 착수신고 
2025-08-01 17:20:46 - 유효기간갱신 신청 - 신청 
</x:v>
      </x:c>
    </x:row>
    <x:row r="1686" ht="42" customHeight="1">
      <x:c r="A1686" s="2" t="str">
        <x:v>363a132863f07ec1e5f21e0b</x:v>
      </x:c>
      <x:c r="B1686" s="2" t="str">
        <x:v>사업 평가</x:v>
      </x:c>
      <x:c r="C1686" s="2" t="str">
        <x:v>국외</x:v>
      </x:c>
      <x:c r="D1686" s="7" t="str">
        <x:v>사하라 이남 아프리카 고효율 쿡스토브 보급 사업-말라위-CPA002</x:v>
      </x:c>
      <x:c r="E1686" s="2" t="str">
        <x:v>308</x:v>
      </x:c>
      <x:c r="F1686" s="2" t="str">
        <x:v>2019-04</x:v>
      </x:c>
      <x:c r="G1686" s="2" t="str">
        <x:v>2019</x:v>
      </x:c>
      <x:c r="H1686" s="2" t="str">
        <x:v>04</x:v>
      </x:c>
      <x:c r="I1686" s="2" t="str">
        <x:v>승인</x:v>
      </x:c>
      <x:c r="J1686" s="2" t="str">
        <x:v>심의승인</x:v>
      </x:c>
      <x:c r="K1686" s="2" t="str">
        <x:f>IF(OR(J1686="심의승인",J1686="반려",J1686="반려완료",J1686="심의완료"),"종결 표시",IF(OR(J1686="기후부협의",J1686="문서재제출요청",J1686="보류",J1686="보완요청",J1686="보완완료",J1686="평가중",J1686="반려요청",J1686="평가필요",LEFT(J1686,5)="보완요청("),"미종결 표시","상태 확인 필요"))</x:f>
        <x:v>종결 표시</x:v>
      </x:c>
      <x:c r="L1686" s="2"/>
      <x:c r="M1686" s="2"/>
      <x:c r="N1686" s="8"/>
      <x:c r="O1686" s="2"/>
      <x:c r="P1686" s="2"/>
      <x:c r="Q1686" s="2" t="str">
        <x:v>산업전환_외부사업관리Tool_260707_이너젠 수정_LJY_261013.xlsx</x:v>
      </x:c>
      <x:c r="R1686" s="2" t="str">
        <x:v>국외평가</x:v>
      </x:c>
      <x:c r="S1686" s="8" t="n">
        <x:v>310</x:v>
      </x:c>
      <x:c r="T1686" s="2"/>
      <x:c r="U1686" s="2" t="str"/>
      <x:c r="V1686" s="2" t="str">
        <x:v>2025-08-01</x:v>
      </x:c>
      <x:c r="W1686" s="2" t="str">
        <x:v>담당기관 확인</x:v>
      </x:c>
      <x:c r="X1686" s="2" t="str">
        <x:v>원본·배정 기록 확인</x:v>
      </x:c>
      <x:c r="Y1686" s="2" t="str">
        <x:v>ad210cd9ec132cfd447541c8984dc53d30aff0f4fb2dc92d254d49275cc55976</x:v>
      </x:c>
      <x:c r="Z1686" s="2" t="n">
        <x:f>SUBTOTAL(103,A1686)</x:f>
        <x:v>1</x:v>
      </x:c>
      <x:c r="AA1686" s="2" t="str">
        <x:f>IF(K1686&lt;&gt;"미종결 표시","대상 아님",IF(N1686="","신청일 확인",IF(NOT(ISNUMBER('종합 현황'!$H$5)),"관찰기준 확인",IF('종합 현황'!$H$5&lt;1,"관찰기준 확인",IF(N1686&gt;'종합 현황'!$H$5,"내부 관찰 대상","내부 관찰일 이하")))))</x:f>
        <x:v>대상 아님</x:v>
      </x:c>
      <x:c r="AB1686" s="2" t="str">
        <x:v>2019-04-29 18:29:17 - 신규신청 - 신청 
2019-04-29 18:29:17 - 관장기관 지정 - 기후에너지환경부
2019-05-15 16:12:08 - 관장기관 지정 - 산업통상부
2019-10-14 14:35:12 - 신규신청 - 문서재제출요청 
2019-10-15 10:08:49 - 재제출신청 - 신청 
2020-01-31 19:08:13 - 재제출신청 - 문서재제출요청 
2020-02-04 10:21:32 - 재제출신청 - 신청 
2020-02-26 09:37:03 - 재제출신청 - 평가승인 
2020-02-26 10:46:09 - 재제출신청 - 심의승인 
2020-02-26 10:58:25 - 재제출신청 - 착수신고 
2025-08-01 17:21:13 - 유효기간갱신 신청 - 신청 
</x:v>
      </x:c>
    </x:row>
    <x:row r="1687" ht="42" customHeight="1">
      <x:c r="A1687" s="2" t="str">
        <x:v>9249cbf7f27a2e8a7159fb00</x:v>
      </x:c>
      <x:c r="B1687" s="2" t="str">
        <x:v>사업 평가</x:v>
      </x:c>
      <x:c r="C1687" s="2" t="str">
        <x:v>국외</x:v>
      </x:c>
      <x:c r="D1687" s="7" t="str">
        <x:v>가정 조리용 비재생연료의 온실가스 배출 저감 정책 감축사업</x:v>
      </x:c>
      <x:c r="E1687" s="2" t="str">
        <x:v>309</x:v>
      </x:c>
      <x:c r="F1687" s="2" t="str">
        <x:v>2019-09</x:v>
      </x:c>
      <x:c r="G1687" s="2" t="str">
        <x:v>2019</x:v>
      </x:c>
      <x:c r="H1687" s="2" t="str">
        <x:v>09</x:v>
      </x:c>
      <x:c r="I1687" s="2" t="str">
        <x:v>승인</x:v>
      </x:c>
      <x:c r="J1687" s="2" t="str">
        <x:v>심의승인</x:v>
      </x:c>
      <x:c r="K1687" s="2" t="str">
        <x:f>IF(OR(J1687="심의승인",J1687="반려",J1687="반려완료",J1687="심의완료"),"종결 표시",IF(OR(J1687="기후부협의",J1687="문서재제출요청",J1687="보류",J1687="보완요청",J1687="보완완료",J1687="평가중",J1687="반려요청",J1687="평가필요",LEFT(J1687,5)="보완요청("),"미종결 표시","상태 확인 필요"))</x:f>
        <x:v>종결 표시</x:v>
      </x:c>
      <x:c r="L1687" s="2"/>
      <x:c r="M1687" s="2"/>
      <x:c r="N1687" s="8"/>
      <x:c r="O1687" s="2"/>
      <x:c r="P1687" s="2"/>
      <x:c r="Q1687" s="2" t="str">
        <x:v>산업전환_외부사업관리Tool_260707_이너젠 수정_LJY_261013.xlsx</x:v>
      </x:c>
      <x:c r="R1687" s="2" t="str">
        <x:v>국외평가</x:v>
      </x:c>
      <x:c r="S1687" s="8" t="n">
        <x:v>311</x:v>
      </x:c>
      <x:c r="T1687" s="2"/>
      <x:c r="U1687" s="2" t="str"/>
      <x:c r="V1687" s="2" t="str">
        <x:v>2025-08-01</x:v>
      </x:c>
      <x:c r="W1687" s="2" t="str">
        <x:v>담당기관 확인</x:v>
      </x:c>
      <x:c r="X1687" s="2" t="str">
        <x:v>원본·배정 기록 확인</x:v>
      </x:c>
      <x:c r="Y1687" s="2" t="str">
        <x:v>ad210cd9ec132cfd447541c8984dc53d30aff0f4fb2dc92d254d49275cc55976</x:v>
      </x:c>
      <x:c r="Z1687" s="2" t="n">
        <x:f>SUBTOTAL(103,A1687)</x:f>
        <x:v>1</x:v>
      </x:c>
      <x:c r="AA1687" s="2" t="str">
        <x:f>IF(K1687&lt;&gt;"미종결 표시","대상 아님",IF(N1687="","신청일 확인",IF(NOT(ISNUMBER('종합 현황'!$H$5)),"관찰기준 확인",IF('종합 현황'!$H$5&lt;1,"관찰기준 확인",IF(N1687&gt;'종합 현황'!$H$5,"내부 관찰 대상","내부 관찰일 이하")))))</x:f>
        <x:v>대상 아님</x:v>
      </x:c>
      <x:c r="AB1687" s="2" t="str">
        <x:v>2019-09-05 19:18:36 - 신규신청 - 신청 
2019-09-05 19:18:36 - 관장기관 지정 - 기후에너지환경부
2019-09-19 15:09:37 - 관장기관 지정 - 산업통상부
2020-01-31 19:21:51 - 신규신청 - 문서재제출요청 
2020-02-03 17:32:07 - 재제출신청 - 신청 
2020-02-26 09:44:12 - 재제출신청 - 평가승인 
2020-02-26 10:54:20 - 재제출신청 - 심의승인 
2020-02-26 10:59:49 - 재제출신청 - 착수신고 
2025-08-01 17:24:08 - 유효기간갱신 신청 - 신청 
</x:v>
      </x:c>
    </x:row>
    <x:row r="1688" ht="42" customHeight="1">
      <x:c r="A1688" s="2" t="str">
        <x:v>d759ccdf45dc3961098cc859</x:v>
      </x:c>
      <x:c r="B1688" s="2" t="str">
        <x:v>사업 평가</x:v>
      </x:c>
      <x:c r="C1688" s="2" t="str">
        <x:v>국외</x:v>
      </x:c>
      <x:c r="D1688" s="7" t="str">
        <x:v>대한민국이 지원하는 가나 맨 앤 맨 고효율 쿡스토브 프로그램-CPA02</x:v>
      </x:c>
      <x:c r="E1688" s="2" t="str">
        <x:v>310</x:v>
      </x:c>
      <x:c r="F1688" s="2" t="str">
        <x:v>2021-04</x:v>
      </x:c>
      <x:c r="G1688" s="2" t="str">
        <x:v>2021</x:v>
      </x:c>
      <x:c r="H1688" s="2" t="str">
        <x:v>04</x:v>
      </x:c>
      <x:c r="I1688" s="2" t="str">
        <x:v>승인</x:v>
      </x:c>
      <x:c r="J1688" s="2" t="str">
        <x:v>심의승인</x:v>
      </x:c>
      <x:c r="K1688" s="2" t="str">
        <x:f>IF(OR(J1688="심의승인",J1688="반려",J1688="반려완료",J1688="심의완료"),"종결 표시",IF(OR(J1688="기후부협의",J1688="문서재제출요청",J1688="보류",J1688="보완요청",J1688="보완완료",J1688="평가중",J1688="반려요청",J1688="평가필요",LEFT(J1688,5)="보완요청("),"미종결 표시","상태 확인 필요"))</x:f>
        <x:v>종결 표시</x:v>
      </x:c>
      <x:c r="L1688" s="2"/>
      <x:c r="M1688" s="2"/>
      <x:c r="N1688" s="8"/>
      <x:c r="O1688" s="2"/>
      <x:c r="P1688" s="2"/>
      <x:c r="Q1688" s="2" t="str">
        <x:v>산업전환_외부사업관리Tool_260707_이너젠 수정_LJY_261013.xlsx</x:v>
      </x:c>
      <x:c r="R1688" s="2" t="str">
        <x:v>국외평가</x:v>
      </x:c>
      <x:c r="S1688" s="8" t="n">
        <x:v>312</x:v>
      </x:c>
      <x:c r="T1688" s="2"/>
      <x:c r="U1688" s="2" t="str"/>
      <x:c r="V1688" s="2" t="str">
        <x:v>2025-08-28</x:v>
      </x:c>
      <x:c r="W1688" s="2" t="str">
        <x:v>담당기관 확인</x:v>
      </x:c>
      <x:c r="X1688" s="2" t="str">
        <x:v>원본·배정 기록 확인</x:v>
      </x:c>
      <x:c r="Y1688" s="2" t="str">
        <x:v>ad210cd9ec132cfd447541c8984dc53d30aff0f4fb2dc92d254d49275cc55976</x:v>
      </x:c>
      <x:c r="Z1688" s="2" t="n">
        <x:f>SUBTOTAL(103,A1688)</x:f>
        <x:v>1</x:v>
      </x:c>
      <x:c r="AA1688" s="2" t="str">
        <x:f>IF(K1688&lt;&gt;"미종결 표시","대상 아님",IF(N1688="","신청일 확인",IF(NOT(ISNUMBER('종합 현황'!$H$5)),"관찰기준 확인",IF('종합 현황'!$H$5&lt;1,"관찰기준 확인",IF(N1688&gt;'종합 현황'!$H$5,"내부 관찰 대상","내부 관찰일 이하")))))</x:f>
        <x:v>대상 아님</x:v>
      </x:c>
      <x:c r="AB1688" s="2" t="str">
        <x:v>2021-04-02 10:44:09 - 관장기관 지정 - 기후에너지환경부
2021-04-02 10:44:10 - 신규신청 - 접수 
2021-04-02 11:00:15 - 신규신청 - 신청 
2021-04-02 11:35:19 - 관장기관 지정 - 산업통상부
2021-06-09 09:25:51 - 신규신청 - 문서재제출요청 
2021-07-22 15:32:52 - 재제출신청 - 접수 
2021-07-23 08:56:36 - 재제출신청 - 신청 
2021-09-27 10:52:18 - 재제출신청 - 평가승인 
2021-09-27 10:54:57 - 재제출신청 - 심의승인 
2021-09-27 11:44:24 - 재제출신청 - 착수신고 
2025-08-01 17:24:34 - 유효기간갱신 신청 - 접수 
2025-08-28 15:27:48 - 유효기간갱신 신청 - 신청 
</x:v>
      </x:c>
    </x:row>
    <x:row r="1689" ht="42" customHeight="1">
      <x:c r="A1689" s="2" t="str">
        <x:v>a8d4bcd5dca3c68652caa98f</x:v>
      </x:c>
      <x:c r="B1689" s="2" t="str">
        <x:v>사업 평가</x:v>
      </x:c>
      <x:c r="C1689" s="2" t="str">
        <x:v>국외</x:v>
      </x:c>
      <x:c r="D1689" s="7" t="str">
        <x:v>대한민국이 지원하는  가나 맨 앤 맨 고효율 쿡스토브 프로그램-CPA01</x:v>
      </x:c>
      <x:c r="E1689" s="2" t="str">
        <x:v>311</x:v>
      </x:c>
      <x:c r="F1689" s="2" t="str">
        <x:v>2020-06</x:v>
      </x:c>
      <x:c r="G1689" s="2" t="str">
        <x:v>2020</x:v>
      </x:c>
      <x:c r="H1689" s="2" t="str">
        <x:v>06</x:v>
      </x:c>
      <x:c r="I1689" s="2" t="str">
        <x:v>승인</x:v>
      </x:c>
      <x:c r="J1689" s="2" t="str">
        <x:v>심의승인</x:v>
      </x:c>
      <x:c r="K1689" s="2" t="str">
        <x:f>IF(OR(J1689="심의승인",J1689="반려",J1689="반려완료",J1689="심의완료"),"종결 표시",IF(OR(J1689="기후부협의",J1689="문서재제출요청",J1689="보류",J1689="보완요청",J1689="보완완료",J1689="평가중",J1689="반려요청",J1689="평가필요",LEFT(J1689,5)="보완요청("),"미종결 표시","상태 확인 필요"))</x:f>
        <x:v>종결 표시</x:v>
      </x:c>
      <x:c r="L1689" s="2"/>
      <x:c r="M1689" s="2"/>
      <x:c r="N1689" s="8"/>
      <x:c r="O1689" s="2"/>
      <x:c r="P1689" s="2"/>
      <x:c r="Q1689" s="2" t="str">
        <x:v>산업전환_외부사업관리Tool_260707_이너젠 수정_LJY_261013.xlsx</x:v>
      </x:c>
      <x:c r="R1689" s="2" t="str">
        <x:v>국외평가</x:v>
      </x:c>
      <x:c r="S1689" s="8" t="n">
        <x:v>313</x:v>
      </x:c>
      <x:c r="T1689" s="2"/>
      <x:c r="U1689" s="2" t="str"/>
      <x:c r="V1689" s="2" t="str">
        <x:v>2025-08-28</x:v>
      </x:c>
      <x:c r="W1689" s="2" t="str">
        <x:v>담당기관 확인</x:v>
      </x:c>
      <x:c r="X1689" s="2" t="str">
        <x:v>원본·배정 기록 확인</x:v>
      </x:c>
      <x:c r="Y1689" s="2" t="str">
        <x:v>ad210cd9ec132cfd447541c8984dc53d30aff0f4fb2dc92d254d49275cc55976</x:v>
      </x:c>
      <x:c r="Z1689" s="2" t="n">
        <x:f>SUBTOTAL(103,A1689)</x:f>
        <x:v>1</x:v>
      </x:c>
      <x:c r="AA1689" s="2" t="str">
        <x:f>IF(K1689&lt;&gt;"미종결 표시","대상 아님",IF(N1689="","신청일 확인",IF(NOT(ISNUMBER('종합 현황'!$H$5)),"관찰기준 확인",IF('종합 현황'!$H$5&lt;1,"관찰기준 확인",IF(N1689&gt;'종합 현황'!$H$5,"내부 관찰 대상","내부 관찰일 이하")))))</x:f>
        <x:v>대상 아님</x:v>
      </x:c>
      <x:c r="AB1689" s="2" t="str">
        <x:v>2020-06-11 14:47:51 - 신규신청 - 접수 
2020-06-11 14:47:51 - 관장기관 지정 - 기후에너지환경부
2020-06-11 14:51:16 - 신규신청 - 신청 
2020-06-11 17:46:55 - 관장기관 지정 - 산업통상부
2020-06-30 10:58:48 - 신규신청 - 문서재제출요청 
2020-06-30 13:27:52 - 재제출신청 - 접수 
2020-06-30 13:31:11 - 재제출신청 - 신청 
2020-09-23 09:57:33 - 재제출신청 - 보완요청 
2020-12-08 09:10:10 - 보완신청 - 접수 
2020-12-08 13:48:09 - 보완신청 - 신청 
2020-12-18 13:58:33 - 보완신청 - 문서재제출요청 
2020-12-18 14:14:30 - 재제출신청 - 접수 
2020-12-18 14:30:51 - 재제출신청 - 신청 
2020-12-23 11:14:50 - 재제출신청 - 문서재제출요청 
2020-12-23 11:24:30 - 재제출신청 - 접수 
2020-12-23 11:28:52 - 재제출신청 - 신청 
2021-03-02 16:06:16 - 재제출신청 - 평가승인 
2021-03-02 16:09:37 - 재제출신청 - 심의승인 
2021-03-03 09:44:02 - 재제출신청 - 착수신고 
2025-08-01 17:21:34 - 유효기간갱신 신청 - 접수 
2025-08-28 15:31:17 - 유효기간갱신 신청 - 신청 
</x:v>
      </x:c>
    </x:row>
    <x:row r="1690" ht="42" customHeight="1">
      <x:c r="A1690" s="2" t="str">
        <x:v>b577accf4333760b57c138b4</x:v>
      </x:c>
      <x:c r="B1690" s="2" t="str">
        <x:v>감축량 인증</x:v>
      </x:c>
      <x:c r="C1690" s="2" t="str">
        <x:v>국내</x:v>
      </x:c>
      <x:c r="D1690" s="7" t="str">
        <x:v>(주)한화 울산소재 질산공장 N2O 감축 프로젝트</x:v>
      </x:c>
      <x:c r="E1690" s="2" t="str">
        <x:v>환경부 이관 추가사업</x:v>
      </x:c>
      <x:c r="F1690" s="2"/>
      <x:c r="G1690" s="2" t="str">
        <x:v>미확보</x:v>
      </x:c>
      <x:c r="H1690" s="2" t="str">
        <x:v>미확보</x:v>
      </x:c>
      <x:c r="I1690" s="2" t="str">
        <x:v>심의승인</x:v>
      </x:c>
      <x:c r="J1690" s="2" t="str">
        <x:v>심의승인</x:v>
      </x:c>
      <x:c r="K1690" s="2" t="str">
        <x:f>IF(OR(J1690="심의승인",J1690="반려",J1690="반려완료",J1690="심의완료"),"종결 표시",IF(OR(J1690="기후부협의",J1690="문서재제출요청",J1690="보류",J1690="보완요청",J1690="보완완료",J1690="평가중",J1690="반려요청",J1690="평가필요",LEFT(J1690,5)="보완요청("),"미종결 표시","상태 확인 필요"))</x:f>
        <x:v>종결 표시</x:v>
      </x:c>
      <x:c r="L1690" s="2"/>
      <x:c r="M1690" s="2"/>
      <x:c r="N1690" s="8"/>
      <x:c r="O1690" s="2"/>
      <x:c r="P1690" s="2"/>
      <x:c r="Q1690" s="2" t="str">
        <x:v>산업전환_외부사업관리Tool_260707_이너젠 수정_LJY_261013.xlsx</x:v>
      </x:c>
      <x:c r="R1690" s="2" t="str">
        <x:v>국내인증</x:v>
      </x:c>
      <x:c r="S1690" s="8" t="n">
        <x:v>8</x:v>
      </x:c>
      <x:c r="T1690" s="2"/>
      <x:c r="U1690" s="2" t="str"/>
      <x:c r="V1690" s="2" t="str">
        <x:v>2016-05-17</x:v>
      </x:c>
      <x:c r="W1690" s="2" t="str">
        <x:v>신청일 확인 / 담당기관 확인 / 동일 관리키 복수행·회차 확인</x:v>
      </x:c>
      <x:c r="X1690" s="2" t="str">
        <x:v>원본·배정 기록 확인</x:v>
      </x:c>
      <x:c r="Y1690" s="2" t="str">
        <x:v>ad210cd9ec132cfd447541c8984dc53d30aff0f4fb2dc92d254d49275cc55976</x:v>
      </x:c>
      <x:c r="Z1690" s="2" t="n">
        <x:f>SUBTOTAL(103,A1690)</x:f>
        <x:v>1</x:v>
      </x:c>
      <x:c r="AA1690" s="2" t="str">
        <x:f>IF(K1690&lt;&gt;"미종결 표시","대상 아님",IF(N1690="","신청일 확인",IF(NOT(ISNUMBER('종합 현황'!$H$5)),"관찰기준 확인",IF('종합 현황'!$H$5&lt;1,"관찰기준 확인",IF(N1690&gt;'종합 현황'!$H$5,"내부 관찰 대상","내부 관찰일 이하")))))</x:f>
        <x:v>대상 아님</x:v>
      </x:c>
      <x:c r="AB1690" s="2"/>
    </x:row>
    <x:row r="1691" ht="42" customHeight="1">
      <x:c r="A1691" s="2" t="str">
        <x:v>a717972f2969697a644719c3</x:v>
      </x:c>
      <x:c r="B1691" s="2" t="str">
        <x:v>감축량 인증</x:v>
      </x:c>
      <x:c r="C1691" s="2" t="str">
        <x:v>국내</x:v>
      </x:c>
      <x:c r="D1691" s="7" t="str">
        <x:v>동부한농 질산공장 N2O 감축사업</x:v>
      </x:c>
      <x:c r="E1691" s="2" t="str">
        <x:v>환경부 이관 추가사업</x:v>
      </x:c>
      <x:c r="F1691" s="2"/>
      <x:c r="G1691" s="2" t="str">
        <x:v>미확보</x:v>
      </x:c>
      <x:c r="H1691" s="2" t="str">
        <x:v>미확보</x:v>
      </x:c>
      <x:c r="I1691" s="2" t="str">
        <x:v>심의승인</x:v>
      </x:c>
      <x:c r="J1691" s="2" t="str">
        <x:v>심의승인</x:v>
      </x:c>
      <x:c r="K1691" s="2" t="str">
        <x:f>IF(OR(J1691="심의승인",J1691="반려",J1691="반려완료",J1691="심의완료"),"종결 표시",IF(OR(J1691="기후부협의",J1691="문서재제출요청",J1691="보류",J1691="보완요청",J1691="보완완료",J1691="평가중",J1691="반려요청",J1691="평가필요",LEFT(J1691,5)="보완요청("),"미종결 표시","상태 확인 필요"))</x:f>
        <x:v>종결 표시</x:v>
      </x:c>
      <x:c r="L1691" s="2"/>
      <x:c r="M1691" s="2"/>
      <x:c r="N1691" s="8"/>
      <x:c r="O1691" s="2"/>
      <x:c r="P1691" s="2"/>
      <x:c r="Q1691" s="2" t="str">
        <x:v>산업전환_외부사업관리Tool_260707_이너젠 수정_LJY_261013.xlsx</x:v>
      </x:c>
      <x:c r="R1691" s="2" t="str">
        <x:v>국내인증</x:v>
      </x:c>
      <x:c r="S1691" s="8" t="n">
        <x:v>9</x:v>
      </x:c>
      <x:c r="T1691" s="2"/>
      <x:c r="U1691" s="2" t="str"/>
      <x:c r="V1691" s="2" t="str">
        <x:v>2016-05-17</x:v>
      </x:c>
      <x:c r="W1691" s="2" t="str">
        <x:v>신청일 확인 / 담당기관 확인 / 동일 관리키 복수행·회차 확인</x:v>
      </x:c>
      <x:c r="X1691" s="2" t="str">
        <x:v>원본·배정 기록 확인</x:v>
      </x:c>
      <x:c r="Y1691" s="2" t="str">
        <x:v>ad210cd9ec132cfd447541c8984dc53d30aff0f4fb2dc92d254d49275cc55976</x:v>
      </x:c>
      <x:c r="Z1691" s="2" t="n">
        <x:f>SUBTOTAL(103,A1691)</x:f>
        <x:v>1</x:v>
      </x:c>
      <x:c r="AA1691" s="2" t="str">
        <x:f>IF(K1691&lt;&gt;"미종결 표시","대상 아님",IF(N1691="","신청일 확인",IF(NOT(ISNUMBER('종합 현황'!$H$5)),"관찰기준 확인",IF('종합 현황'!$H$5&lt;1,"관찰기준 확인",IF(N1691&gt;'종합 현황'!$H$5,"내부 관찰 대상","내부 관찰일 이하")))))</x:f>
        <x:v>대상 아님</x:v>
      </x:c>
      <x:c r="AB1691" s="2"/>
    </x:row>
    <x:row r="1692" ht="42" customHeight="1">
      <x:c r="A1692" s="2" t="str">
        <x:v>1ba5127fbedb9ccc2ca43bcc</x:v>
      </x:c>
      <x:c r="B1692" s="2" t="str">
        <x:v>감축량 인증</x:v>
      </x:c>
      <x:c r="C1692" s="2" t="str">
        <x:v>국내</x:v>
      </x:c>
      <x:c r="D1692" s="7" t="str">
        <x:v>한국남동발전주식회사 소수력 발전사업</x:v>
      </x:c>
      <x:c r="E1692" s="2" t="str">
        <x:v>환경부 이관</x:v>
      </x:c>
      <x:c r="F1692" s="2"/>
      <x:c r="G1692" s="2" t="str">
        <x:v>미확보</x:v>
      </x:c>
      <x:c r="H1692" s="2" t="str">
        <x:v>미확보</x:v>
      </x:c>
      <x:c r="I1692" s="2" t="str">
        <x:v>심의승인</x:v>
      </x:c>
      <x:c r="J1692" s="2" t="str">
        <x:v>심의승인</x:v>
      </x:c>
      <x:c r="K1692" s="2" t="str">
        <x:f>IF(OR(J1692="심의승인",J1692="반려",J1692="반려완료",J1692="심의완료"),"종결 표시",IF(OR(J1692="기후부협의",J1692="문서재제출요청",J1692="보류",J1692="보완요청",J1692="보완완료",J1692="평가중",J1692="반려요청",J1692="평가필요",LEFT(J1692,5)="보완요청("),"미종결 표시","상태 확인 필요"))</x:f>
        <x:v>종결 표시</x:v>
      </x:c>
      <x:c r="L1692" s="2"/>
      <x:c r="M1692" s="2"/>
      <x:c r="N1692" s="8"/>
      <x:c r="O1692" s="2"/>
      <x:c r="P1692" s="2"/>
      <x:c r="Q1692" s="2" t="str">
        <x:v>산업전환_외부사업관리Tool_260707_이너젠 수정_LJY_261013.xlsx</x:v>
      </x:c>
      <x:c r="R1692" s="2" t="str">
        <x:v>국내인증</x:v>
      </x:c>
      <x:c r="S1692" s="8" t="n">
        <x:v>10</x:v>
      </x:c>
      <x:c r="T1692" s="2"/>
      <x:c r="U1692" s="2" t="str"/>
      <x:c r="V1692" s="2" t="str">
        <x:v>2016-03-17</x:v>
      </x:c>
      <x:c r="W1692" s="2" t="str">
        <x:v>신청일 확인 / 담당기관 확인 / 동일 관리키 복수행·회차 확인</x:v>
      </x:c>
      <x:c r="X1692" s="2" t="str">
        <x:v>원본·배정 기록 확인</x:v>
      </x:c>
      <x:c r="Y1692" s="2" t="str">
        <x:v>ad210cd9ec132cfd447541c8984dc53d30aff0f4fb2dc92d254d49275cc55976</x:v>
      </x:c>
      <x:c r="Z1692" s="2" t="n">
        <x:f>SUBTOTAL(103,A1692)</x:f>
        <x:v>1</x:v>
      </x:c>
      <x:c r="AA1692" s="2" t="str">
        <x:f>IF(K1692&lt;&gt;"미종결 표시","대상 아님",IF(N1692="","신청일 확인",IF(NOT(ISNUMBER('종합 현황'!$H$5)),"관찰기준 확인",IF('종합 현황'!$H$5&lt;1,"관찰기준 확인",IF(N1692&gt;'종합 현황'!$H$5,"내부 관찰 대상","내부 관찰일 이하")))))</x:f>
        <x:v>대상 아님</x:v>
      </x:c>
      <x:c r="AB1692" s="2"/>
    </x:row>
    <x:row r="1693" ht="42" customHeight="1">
      <x:c r="A1693" s="2" t="str">
        <x:v>0b3c0c699e807f9391c934a6</x:v>
      </x:c>
      <x:c r="B1693" s="2" t="str">
        <x:v>감축량 인증</x:v>
      </x:c>
      <x:c r="C1693" s="2" t="str">
        <x:v>국내</x:v>
      </x:c>
      <x:c r="D1693" s="7" t="str">
        <x:v>태기산 풍력발전 CDM 사업</x:v>
      </x:c>
      <x:c r="E1693" s="2" t="str">
        <x:v>환경부 이관</x:v>
      </x:c>
      <x:c r="F1693" s="2"/>
      <x:c r="G1693" s="2" t="str">
        <x:v>미확보</x:v>
      </x:c>
      <x:c r="H1693" s="2" t="str">
        <x:v>미확보</x:v>
      </x:c>
      <x:c r="I1693" s="2" t="str">
        <x:v>심의승인</x:v>
      </x:c>
      <x:c r="J1693" s="2" t="str">
        <x:v>심의승인</x:v>
      </x:c>
      <x:c r="K1693" s="2" t="str">
        <x:f>IF(OR(J1693="심의승인",J1693="반려",J1693="반려완료",J1693="심의완료"),"종결 표시",IF(OR(J1693="기후부협의",J1693="문서재제출요청",J1693="보류",J1693="보완요청",J1693="보완완료",J1693="평가중",J1693="반려요청",J1693="평가필요",LEFT(J1693,5)="보완요청("),"미종결 표시","상태 확인 필요"))</x:f>
        <x:v>종결 표시</x:v>
      </x:c>
      <x:c r="L1693" s="2"/>
      <x:c r="M1693" s="2"/>
      <x:c r="N1693" s="8"/>
      <x:c r="O1693" s="2"/>
      <x:c r="P1693" s="2"/>
      <x:c r="Q1693" s="2" t="str">
        <x:v>산업전환_외부사업관리Tool_260707_이너젠 수정_LJY_261013.xlsx</x:v>
      </x:c>
      <x:c r="R1693" s="2" t="str">
        <x:v>국내인증</x:v>
      </x:c>
      <x:c r="S1693" s="8" t="n">
        <x:v>11</x:v>
      </x:c>
      <x:c r="T1693" s="2"/>
      <x:c r="U1693" s="2" t="str"/>
      <x:c r="V1693" s="2" t="str">
        <x:v>2016-03-17</x:v>
      </x:c>
      <x:c r="W1693" s="2" t="str">
        <x:v>신청일 확인 / 담당기관 확인 / 동일 관리키 복수행·회차 확인</x:v>
      </x:c>
      <x:c r="X1693" s="2" t="str">
        <x:v>원본·배정 기록 확인</x:v>
      </x:c>
      <x:c r="Y1693" s="2" t="str">
        <x:v>ad210cd9ec132cfd447541c8984dc53d30aff0f4fb2dc92d254d49275cc55976</x:v>
      </x:c>
      <x:c r="Z1693" s="2" t="n">
        <x:f>SUBTOTAL(103,A1693)</x:f>
        <x:v>1</x:v>
      </x:c>
      <x:c r="AA1693" s="2" t="str">
        <x:f>IF(K1693&lt;&gt;"미종결 표시","대상 아님",IF(N1693="","신청일 확인",IF(NOT(ISNUMBER('종합 현황'!$H$5)),"관찰기준 확인",IF('종합 현황'!$H$5&lt;1,"관찰기준 확인",IF(N1693&gt;'종합 현황'!$H$5,"내부 관찰 대상","내부 관찰일 이하")))))</x:f>
        <x:v>대상 아님</x:v>
      </x:c>
      <x:c r="AB1693" s="2"/>
    </x:row>
    <x:row r="1694" ht="42" customHeight="1">
      <x:c r="A1694" s="2" t="str">
        <x:v>bee0cce57eb63f50e4b5180f</x:v>
      </x:c>
      <x:c r="B1694" s="2" t="str">
        <x:v>감축량 인증</x:v>
      </x:c>
      <x:c r="C1694" s="2" t="str">
        <x:v>국내</x:v>
      </x:c>
      <x:c r="D1694" s="7" t="str">
        <x:v>지역 난방용 온수 보일러 연료전환 사업</x:v>
      </x:c>
      <x:c r="E1694" s="2" t="str">
        <x:v>환경부 이관</x:v>
      </x:c>
      <x:c r="F1694" s="2"/>
      <x:c r="G1694" s="2" t="str">
        <x:v>미확보</x:v>
      </x:c>
      <x:c r="H1694" s="2" t="str">
        <x:v>미확보</x:v>
      </x:c>
      <x:c r="I1694" s="2" t="str">
        <x:v>심의승인</x:v>
      </x:c>
      <x:c r="J1694" s="2" t="str">
        <x:v>심의승인</x:v>
      </x:c>
      <x:c r="K1694" s="2" t="str">
        <x:f>IF(OR(J1694="심의승인",J1694="반려",J1694="반려완료",J1694="심의완료"),"종결 표시",IF(OR(J1694="기후부협의",J1694="문서재제출요청",J1694="보류",J1694="보완요청",J1694="보완완료",J1694="평가중",J1694="반려요청",J1694="평가필요",LEFT(J1694,5)="보완요청("),"미종결 표시","상태 확인 필요"))</x:f>
        <x:v>종결 표시</x:v>
      </x:c>
      <x:c r="L1694" s="2"/>
      <x:c r="M1694" s="2"/>
      <x:c r="N1694" s="8"/>
      <x:c r="O1694" s="2"/>
      <x:c r="P1694" s="2"/>
      <x:c r="Q1694" s="2" t="str">
        <x:v>산업전환_외부사업관리Tool_260707_이너젠 수정_LJY_261013.xlsx</x:v>
      </x:c>
      <x:c r="R1694" s="2" t="str">
        <x:v>국내인증</x:v>
      </x:c>
      <x:c r="S1694" s="8" t="n">
        <x:v>12</x:v>
      </x:c>
      <x:c r="T1694" s="2"/>
      <x:c r="U1694" s="2" t="str"/>
      <x:c r="V1694" s="2" t="str">
        <x:v>2016-03-17</x:v>
      </x:c>
      <x:c r="W1694" s="2" t="str">
        <x:v>신청일 확인 / 담당기관 확인 / 동일 관리키 복수행·회차 확인</x:v>
      </x:c>
      <x:c r="X1694" s="2" t="str">
        <x:v>원본·배정 기록 확인</x:v>
      </x:c>
      <x:c r="Y1694" s="2" t="str">
        <x:v>ad210cd9ec132cfd447541c8984dc53d30aff0f4fb2dc92d254d49275cc55976</x:v>
      </x:c>
      <x:c r="Z1694" s="2" t="n">
        <x:f>SUBTOTAL(103,A1694)</x:f>
        <x:v>1</x:v>
      </x:c>
      <x:c r="AA1694" s="2" t="str">
        <x:f>IF(K1694&lt;&gt;"미종결 표시","대상 아님",IF(N1694="","신청일 확인",IF(NOT(ISNUMBER('종합 현황'!$H$5)),"관찰기준 확인",IF('종합 현황'!$H$5&lt;1,"관찰기준 확인",IF(N1694&gt;'종합 현황'!$H$5,"내부 관찰 대상","내부 관찰일 이하")))))</x:f>
        <x:v>대상 아님</x:v>
      </x:c>
      <x:c r="AB1694" s="2"/>
    </x:row>
    <x:row r="1695" ht="42" customHeight="1">
      <x:c r="A1695" s="2" t="str">
        <x:v>ee1f96948a2199503cb3d7a3</x:v>
      </x:c>
      <x:c r="B1695" s="2" t="str">
        <x:v>감축량 인증</x:v>
      </x:c>
      <x:c r="C1695" s="2" t="str">
        <x:v>국내</x:v>
      </x:c>
      <x:c r="D1695" s="7" t="str">
        <x:v>휴켐스 질산공장 N2O 감축사업(휴켐스 주식회사의 질산 공장 세곳에서 tail gas에 포함된 아산화질소를 촉매를 사용하여 제거하는 프로젝트)</x:v>
      </x:c>
      <x:c r="E1695" s="2" t="str">
        <x:v>환경부 이관</x:v>
      </x:c>
      <x:c r="F1695" s="2"/>
      <x:c r="G1695" s="2" t="str">
        <x:v>미확보</x:v>
      </x:c>
      <x:c r="H1695" s="2" t="str">
        <x:v>미확보</x:v>
      </x:c>
      <x:c r="I1695" s="2" t="str">
        <x:v>심의승인</x:v>
      </x:c>
      <x:c r="J1695" s="2" t="str">
        <x:v>심의승인</x:v>
      </x:c>
      <x:c r="K1695" s="2" t="str">
        <x:f>IF(OR(J1695="심의승인",J1695="반려",J1695="반려완료",J1695="심의완료"),"종결 표시",IF(OR(J1695="기후부협의",J1695="문서재제출요청",J1695="보류",J1695="보완요청",J1695="보완완료",J1695="평가중",J1695="반려요청",J1695="평가필요",LEFT(J1695,5)="보완요청("),"미종결 표시","상태 확인 필요"))</x:f>
        <x:v>종결 표시</x:v>
      </x:c>
      <x:c r="L1695" s="2"/>
      <x:c r="M1695" s="2"/>
      <x:c r="N1695" s="8"/>
      <x:c r="O1695" s="2"/>
      <x:c r="P1695" s="2"/>
      <x:c r="Q1695" s="2" t="str">
        <x:v>산업전환_외부사업관리Tool_260707_이너젠 수정_LJY_261013.xlsx</x:v>
      </x:c>
      <x:c r="R1695" s="2" t="str">
        <x:v>국내인증</x:v>
      </x:c>
      <x:c r="S1695" s="8" t="n">
        <x:v>13</x:v>
      </x:c>
      <x:c r="T1695" s="2"/>
      <x:c r="U1695" s="2" t="str"/>
      <x:c r="V1695" s="2" t="str">
        <x:v>2016-03-17</x:v>
      </x:c>
      <x:c r="W1695" s="2" t="str">
        <x:v>신청일 확인 / 담당기관 확인 / 동일 관리키 복수행·회차 확인</x:v>
      </x:c>
      <x:c r="X1695" s="2" t="str">
        <x:v>원본·배정 기록 확인</x:v>
      </x:c>
      <x:c r="Y1695" s="2" t="str">
        <x:v>ad210cd9ec132cfd447541c8984dc53d30aff0f4fb2dc92d254d49275cc55976</x:v>
      </x:c>
      <x:c r="Z1695" s="2" t="n">
        <x:f>SUBTOTAL(103,A1695)</x:f>
        <x:v>1</x:v>
      </x:c>
      <x:c r="AA1695" s="2" t="str">
        <x:f>IF(K1695&lt;&gt;"미종결 표시","대상 아님",IF(N1695="","신청일 확인",IF(NOT(ISNUMBER('종합 현황'!$H$5)),"관찰기준 확인",IF('종합 현황'!$H$5&lt;1,"관찰기준 확인",IF(N1695&gt;'종합 현황'!$H$5,"내부 관찰 대상","내부 관찰일 이하")))))</x:f>
        <x:v>대상 아님</x:v>
      </x:c>
      <x:c r="AB1695" s="2"/>
    </x:row>
    <x:row r="1696" ht="42" customHeight="1">
      <x:c r="A1696" s="2" t="str">
        <x:v>9a5519eca7e3f5da5b980ff9</x:v>
      </x:c>
      <x:c r="B1696" s="2" t="str">
        <x:v>감축량 인증</x:v>
      </x:c>
      <x:c r="C1696" s="2" t="str">
        <x:v>국내</x:v>
      </x:c>
      <x:c r="D1696" s="7" t="str">
        <x:v>영양 61.5MW 풍력발전단지 CDM 사업</x:v>
      </x:c>
      <x:c r="E1696" s="2" t="str">
        <x:v>환경부 이관</x:v>
      </x:c>
      <x:c r="F1696" s="2"/>
      <x:c r="G1696" s="2" t="str">
        <x:v>미확보</x:v>
      </x:c>
      <x:c r="H1696" s="2" t="str">
        <x:v>미확보</x:v>
      </x:c>
      <x:c r="I1696" s="2" t="str">
        <x:v>심의승인</x:v>
      </x:c>
      <x:c r="J1696" s="2" t="str">
        <x:v>심의승인</x:v>
      </x:c>
      <x:c r="K1696" s="2" t="str">
        <x:f>IF(OR(J1696="심의승인",J1696="반려",J1696="반려완료",J1696="심의완료"),"종결 표시",IF(OR(J1696="기후부협의",J1696="문서재제출요청",J1696="보류",J1696="보완요청",J1696="보완완료",J1696="평가중",J1696="반려요청",J1696="평가필요",LEFT(J1696,5)="보완요청("),"미종결 표시","상태 확인 필요"))</x:f>
        <x:v>종결 표시</x:v>
      </x:c>
      <x:c r="L1696" s="2"/>
      <x:c r="M1696" s="2"/>
      <x:c r="N1696" s="8"/>
      <x:c r="O1696" s="2"/>
      <x:c r="P1696" s="2"/>
      <x:c r="Q1696" s="2" t="str">
        <x:v>산업전환_외부사업관리Tool_260707_이너젠 수정_LJY_261013.xlsx</x:v>
      </x:c>
      <x:c r="R1696" s="2" t="str">
        <x:v>국내인증</x:v>
      </x:c>
      <x:c r="S1696" s="8" t="n">
        <x:v>14</x:v>
      </x:c>
      <x:c r="T1696" s="2"/>
      <x:c r="U1696" s="2" t="str"/>
      <x:c r="V1696" s="2" t="str">
        <x:v>2016-03-17</x:v>
      </x:c>
      <x:c r="W1696" s="2" t="str">
        <x:v>신청일 확인 / 담당기관 확인 / 동일 관리키 복수행·회차 확인</x:v>
      </x:c>
      <x:c r="X1696" s="2" t="str">
        <x:v>원본·배정 기록 확인</x:v>
      </x:c>
      <x:c r="Y1696" s="2" t="str">
        <x:v>ad210cd9ec132cfd447541c8984dc53d30aff0f4fb2dc92d254d49275cc55976</x:v>
      </x:c>
      <x:c r="Z1696" s="2" t="n">
        <x:f>SUBTOTAL(103,A1696)</x:f>
        <x:v>1</x:v>
      </x:c>
      <x:c r="AA1696" s="2" t="str">
        <x:f>IF(K1696&lt;&gt;"미종결 표시","대상 아님",IF(N1696="","신청일 확인",IF(NOT(ISNUMBER('종합 현황'!$H$5)),"관찰기준 확인",IF('종합 현황'!$H$5&lt;1,"관찰기준 확인",IF(N1696&gt;'종합 현황'!$H$5,"내부 관찰 대상","내부 관찰일 이하")))))</x:f>
        <x:v>대상 아님</x:v>
      </x:c>
      <x:c r="AB1696" s="2"/>
    </x:row>
    <x:row r="1697" ht="42" customHeight="1">
      <x:c r="A1697" s="2" t="str">
        <x:v>69ed49cad9df87d6509bcf79</x:v>
      </x:c>
      <x:c r="B1697" s="2" t="str">
        <x:v>감축량 인증</x:v>
      </x:c>
      <x:c r="C1697" s="2" t="str">
        <x:v>국내</x:v>
      </x:c>
      <x:c r="D1697" s="7" t="str">
        <x:v>삼달풍력발전사업</x:v>
      </x:c>
      <x:c r="E1697" s="2" t="str">
        <x:v>환경부 이관</x:v>
      </x:c>
      <x:c r="F1697" s="2"/>
      <x:c r="G1697" s="2" t="str">
        <x:v>미확보</x:v>
      </x:c>
      <x:c r="H1697" s="2" t="str">
        <x:v>미확보</x:v>
      </x:c>
      <x:c r="I1697" s="2" t="str">
        <x:v>심의승인</x:v>
      </x:c>
      <x:c r="J1697" s="2" t="str">
        <x:v>심의승인</x:v>
      </x:c>
      <x:c r="K1697" s="2" t="str">
        <x:f>IF(OR(J1697="심의승인",J1697="반려",J1697="반려완료",J1697="심의완료"),"종결 표시",IF(OR(J1697="기후부협의",J1697="문서재제출요청",J1697="보류",J1697="보완요청",J1697="보완완료",J1697="평가중",J1697="반려요청",J1697="평가필요",LEFT(J1697,5)="보완요청("),"미종결 표시","상태 확인 필요"))</x:f>
        <x:v>종결 표시</x:v>
      </x:c>
      <x:c r="L1697" s="2"/>
      <x:c r="M1697" s="2"/>
      <x:c r="N1697" s="8"/>
      <x:c r="O1697" s="2"/>
      <x:c r="P1697" s="2"/>
      <x:c r="Q1697" s="2" t="str">
        <x:v>산업전환_외부사업관리Tool_260707_이너젠 수정_LJY_261013.xlsx</x:v>
      </x:c>
      <x:c r="R1697" s="2" t="str">
        <x:v>국내인증</x:v>
      </x:c>
      <x:c r="S1697" s="8" t="n">
        <x:v>15</x:v>
      </x:c>
      <x:c r="T1697" s="2"/>
      <x:c r="U1697" s="2" t="str"/>
      <x:c r="V1697" s="2" t="str">
        <x:v>2016-03-17</x:v>
      </x:c>
      <x:c r="W1697" s="2" t="str">
        <x:v>신청일 확인 / 담당기관 확인 / 동일 관리키 복수행·회차 확인</x:v>
      </x:c>
      <x:c r="X1697" s="2" t="str">
        <x:v>원본·배정 기록 확인</x:v>
      </x:c>
      <x:c r="Y1697" s="2" t="str">
        <x:v>ad210cd9ec132cfd447541c8984dc53d30aff0f4fb2dc92d254d49275cc55976</x:v>
      </x:c>
      <x:c r="Z1697" s="2" t="n">
        <x:f>SUBTOTAL(103,A1697)</x:f>
        <x:v>1</x:v>
      </x:c>
      <x:c r="AA1697" s="2" t="str">
        <x:f>IF(K1697&lt;&gt;"미종결 표시","대상 아님",IF(N1697="","신청일 확인",IF(NOT(ISNUMBER('종합 현황'!$H$5)),"관찰기준 확인",IF('종합 현황'!$H$5&lt;1,"관찰기준 확인",IF(N1697&gt;'종합 현황'!$H$5,"내부 관찰 대상","내부 관찰일 이하")))))</x:f>
        <x:v>대상 아님</x:v>
      </x:c>
      <x:c r="AB1697" s="2"/>
    </x:row>
    <x:row r="1698" ht="42" customHeight="1">
      <x:c r="A1698" s="2" t="str">
        <x:v>956e055198cf284d492c9824</x:v>
      </x:c>
      <x:c r="B1698" s="2" t="str">
        <x:v>감축량 인증</x:v>
      </x:c>
      <x:c r="C1698" s="2" t="str">
        <x:v>국내</x:v>
      </x:c>
      <x:c r="D1698" s="7" t="str">
        <x:v>휴켐스 질산공장 N2O 감축사업(휴켐스 주식회사의 질산 공장 세 곳에서 tail gas에 포함된 아산화질소를 촉매를 사용하여 제거하는 프로젝트)</x:v>
      </x:c>
      <x:c r="E1698" s="2" t="str">
        <x:v>환경부 이관</x:v>
      </x:c>
      <x:c r="F1698" s="2"/>
      <x:c r="G1698" s="2" t="str">
        <x:v>미확보</x:v>
      </x:c>
      <x:c r="H1698" s="2" t="str">
        <x:v>미확보</x:v>
      </x:c>
      <x:c r="I1698" s="2" t="str">
        <x:v>심의승인</x:v>
      </x:c>
      <x:c r="J1698" s="2" t="str">
        <x:v>심의승인</x:v>
      </x:c>
      <x:c r="K1698" s="2" t="str">
        <x:f>IF(OR(J1698="심의승인",J1698="반려",J1698="반려완료",J1698="심의완료"),"종결 표시",IF(OR(J1698="기후부협의",J1698="문서재제출요청",J1698="보류",J1698="보완요청",J1698="보완완료",J1698="평가중",J1698="반려요청",J1698="평가필요",LEFT(J1698,5)="보완요청("),"미종결 표시","상태 확인 필요"))</x:f>
        <x:v>종결 표시</x:v>
      </x:c>
      <x:c r="L1698" s="2"/>
      <x:c r="M1698" s="2"/>
      <x:c r="N1698" s="8"/>
      <x:c r="O1698" s="2"/>
      <x:c r="P1698" s="2"/>
      <x:c r="Q1698" s="2" t="str">
        <x:v>산업전환_외부사업관리Tool_260707_이너젠 수정_LJY_261013.xlsx</x:v>
      </x:c>
      <x:c r="R1698" s="2" t="str">
        <x:v>국내인증</x:v>
      </x:c>
      <x:c r="S1698" s="8" t="n">
        <x:v>16</x:v>
      </x:c>
      <x:c r="T1698" s="2"/>
      <x:c r="U1698" s="2" t="str"/>
      <x:c r="V1698" s="2" t="str">
        <x:v>2016-03-17</x:v>
      </x:c>
      <x:c r="W1698" s="2" t="str">
        <x:v>신청일 확인 / 담당기관 확인 / 동일 관리키 복수행·회차 확인</x:v>
      </x:c>
      <x:c r="X1698" s="2" t="str">
        <x:v>원본·배정 기록 확인</x:v>
      </x:c>
      <x:c r="Y1698" s="2" t="str">
        <x:v>ad210cd9ec132cfd447541c8984dc53d30aff0f4fb2dc92d254d49275cc55976</x:v>
      </x:c>
      <x:c r="Z1698" s="2" t="n">
        <x:f>SUBTOTAL(103,A1698)</x:f>
        <x:v>1</x:v>
      </x:c>
      <x:c r="AA1698" s="2" t="str">
        <x:f>IF(K1698&lt;&gt;"미종결 표시","대상 아님",IF(N1698="","신청일 확인",IF(NOT(ISNUMBER('종합 현황'!$H$5)),"관찰기준 확인",IF('종합 현황'!$H$5&lt;1,"관찰기준 확인",IF(N1698&gt;'종합 현황'!$H$5,"내부 관찰 대상","내부 관찰일 이하")))))</x:f>
        <x:v>대상 아님</x:v>
      </x:c>
      <x:c r="AB1698" s="2"/>
    </x:row>
    <x:row r="1699" ht="42" customHeight="1">
      <x:c r="A1699" s="2" t="str">
        <x:v>08bd7cd1f94ede83358cb4ca</x:v>
      </x:c>
      <x:c r="B1699" s="2" t="str">
        <x:v>감축량 인증</x:v>
      </x:c>
      <x:c r="C1699" s="2" t="str">
        <x:v>국내</x:v>
      </x:c>
      <x:c r="D1699" s="7" t="str">
        <x:v>당진소수력 CDM사업</x:v>
      </x:c>
      <x:c r="E1699" s="2" t="str">
        <x:v>환경부 이관</x:v>
      </x:c>
      <x:c r="F1699" s="2"/>
      <x:c r="G1699" s="2" t="str">
        <x:v>미확보</x:v>
      </x:c>
      <x:c r="H1699" s="2" t="str">
        <x:v>미확보</x:v>
      </x:c>
      <x:c r="I1699" s="2" t="str">
        <x:v>심의승인</x:v>
      </x:c>
      <x:c r="J1699" s="2" t="str">
        <x:v>심의승인</x:v>
      </x:c>
      <x:c r="K1699" s="2" t="str">
        <x:f>IF(OR(J1699="심의승인",J1699="반려",J1699="반려완료",J1699="심의완료"),"종결 표시",IF(OR(J1699="기후부협의",J1699="문서재제출요청",J1699="보류",J1699="보완요청",J1699="보완완료",J1699="평가중",J1699="반려요청",J1699="평가필요",LEFT(J1699,5)="보완요청("),"미종결 표시","상태 확인 필요"))</x:f>
        <x:v>종결 표시</x:v>
      </x:c>
      <x:c r="L1699" s="2"/>
      <x:c r="M1699" s="2"/>
      <x:c r="N1699" s="8"/>
      <x:c r="O1699" s="2"/>
      <x:c r="P1699" s="2"/>
      <x:c r="Q1699" s="2" t="str">
        <x:v>산업전환_외부사업관리Tool_260707_이너젠 수정_LJY_261013.xlsx</x:v>
      </x:c>
      <x:c r="R1699" s="2" t="str">
        <x:v>국내인증</x:v>
      </x:c>
      <x:c r="S1699" s="8" t="n">
        <x:v>17</x:v>
      </x:c>
      <x:c r="T1699" s="2"/>
      <x:c r="U1699" s="2" t="str"/>
      <x:c r="V1699" s="2" t="str">
        <x:v>2016-03-17</x:v>
      </x:c>
      <x:c r="W1699" s="2" t="str">
        <x:v>신청일 확인 / 담당기관 확인 / 동일 관리키 복수행·회차 확인</x:v>
      </x:c>
      <x:c r="X1699" s="2" t="str">
        <x:v>원본·배정 기록 확인</x:v>
      </x:c>
      <x:c r="Y1699" s="2" t="str">
        <x:v>ad210cd9ec132cfd447541c8984dc53d30aff0f4fb2dc92d254d49275cc55976</x:v>
      </x:c>
      <x:c r="Z1699" s="2" t="n">
        <x:f>SUBTOTAL(103,A1699)</x:f>
        <x:v>1</x:v>
      </x:c>
      <x:c r="AA1699" s="2" t="str">
        <x:f>IF(K1699&lt;&gt;"미종결 표시","대상 아님",IF(N1699="","신청일 확인",IF(NOT(ISNUMBER('종합 현황'!$H$5)),"관찰기준 확인",IF('종합 현황'!$H$5&lt;1,"관찰기준 확인",IF(N1699&gt;'종합 현황'!$H$5,"내부 관찰 대상","내부 관찰일 이하")))))</x:f>
        <x:v>대상 아님</x:v>
      </x:c>
      <x:c r="AB1699" s="2"/>
    </x:row>
    <x:row r="1700" ht="42" customHeight="1">
      <x:c r="A1700" s="2" t="str">
        <x:v>a88ab50a19329293f379d699</x:v>
      </x:c>
      <x:c r="B1700" s="2" t="str">
        <x:v>감축량 인증</x:v>
      </x:c>
      <x:c r="C1700" s="2" t="str">
        <x:v>국내</x:v>
      </x:c>
      <x:c r="D1700" s="7" t="str">
        <x:v>4.85MW 한국농어촌공사 태양광발전 번들링사업</x:v>
      </x:c>
      <x:c r="E1700" s="2" t="str">
        <x:v>환경부 이관</x:v>
      </x:c>
      <x:c r="F1700" s="2"/>
      <x:c r="G1700" s="2" t="str">
        <x:v>미확보</x:v>
      </x:c>
      <x:c r="H1700" s="2" t="str">
        <x:v>미확보</x:v>
      </x:c>
      <x:c r="I1700" s="2" t="str">
        <x:v>심의승인</x:v>
      </x:c>
      <x:c r="J1700" s="2" t="str">
        <x:v>심의승인</x:v>
      </x:c>
      <x:c r="K1700" s="2" t="str">
        <x:f>IF(OR(J1700="심의승인",J1700="반려",J1700="반려완료",J1700="심의완료"),"종결 표시",IF(OR(J1700="기후부협의",J1700="문서재제출요청",J1700="보류",J1700="보완요청",J1700="보완완료",J1700="평가중",J1700="반려요청",J1700="평가필요",LEFT(J1700,5)="보완요청("),"미종결 표시","상태 확인 필요"))</x:f>
        <x:v>종결 표시</x:v>
      </x:c>
      <x:c r="L1700" s="2"/>
      <x:c r="M1700" s="2"/>
      <x:c r="N1700" s="8"/>
      <x:c r="O1700" s="2"/>
      <x:c r="P1700" s="2"/>
      <x:c r="Q1700" s="2" t="str">
        <x:v>산업전환_외부사업관리Tool_260707_이너젠 수정_LJY_261013.xlsx</x:v>
      </x:c>
      <x:c r="R1700" s="2" t="str">
        <x:v>국내인증</x:v>
      </x:c>
      <x:c r="S1700" s="8" t="n">
        <x:v>18</x:v>
      </x:c>
      <x:c r="T1700" s="2"/>
      <x:c r="U1700" s="2" t="str"/>
      <x:c r="V1700" s="2" t="str">
        <x:v>2016-02-19</x:v>
      </x:c>
      <x:c r="W1700" s="2" t="str">
        <x:v>신청일 확인 / 담당기관 확인 / 동일 관리키 복수행·회차 확인</x:v>
      </x:c>
      <x:c r="X1700" s="2" t="str">
        <x:v>원본·배정 기록 확인</x:v>
      </x:c>
      <x:c r="Y1700" s="2" t="str">
        <x:v>ad210cd9ec132cfd447541c8984dc53d30aff0f4fb2dc92d254d49275cc55976</x:v>
      </x:c>
      <x:c r="Z1700" s="2" t="n">
        <x:f>SUBTOTAL(103,A1700)</x:f>
        <x:v>1</x:v>
      </x:c>
      <x:c r="AA1700" s="2" t="str">
        <x:f>IF(K1700&lt;&gt;"미종결 표시","대상 아님",IF(N1700="","신청일 확인",IF(NOT(ISNUMBER('종합 현황'!$H$5)),"관찰기준 확인",IF('종합 현황'!$H$5&lt;1,"관찰기준 확인",IF(N1700&gt;'종합 현황'!$H$5,"내부 관찰 대상","내부 관찰일 이하")))))</x:f>
        <x:v>대상 아님</x:v>
      </x:c>
      <x:c r="AB1700" s="2"/>
    </x:row>
    <x:row r="1701" ht="42" customHeight="1">
      <x:c r="A1701" s="2" t="str">
        <x:v>43c7f9ada59cc7a59a7e7e1b</x:v>
      </x:c>
      <x:c r="B1701" s="2" t="str">
        <x:v>감축량 인증</x:v>
      </x:c>
      <x:c r="C1701" s="2" t="str">
        <x:v>국내</x:v>
      </x:c>
      <x:c r="D1701" s="7" t="str">
        <x:v>한국수자원공사 방아머리 풍력발전 사업</x:v>
      </x:c>
      <x:c r="E1701" s="2" t="str">
        <x:v>환경부 이관</x:v>
      </x:c>
      <x:c r="F1701" s="2"/>
      <x:c r="G1701" s="2" t="str">
        <x:v>미확보</x:v>
      </x:c>
      <x:c r="H1701" s="2" t="str">
        <x:v>미확보</x:v>
      </x:c>
      <x:c r="I1701" s="2" t="str">
        <x:v>심의승인</x:v>
      </x:c>
      <x:c r="J1701" s="2" t="str">
        <x:v>심의승인</x:v>
      </x:c>
      <x:c r="K1701" s="2" t="str">
        <x:f>IF(OR(J1701="심의승인",J1701="반려",J1701="반려완료",J1701="심의완료"),"종결 표시",IF(OR(J1701="기후부협의",J1701="문서재제출요청",J1701="보류",J1701="보완요청",J1701="보완완료",J1701="평가중",J1701="반려요청",J1701="평가필요",LEFT(J1701,5)="보완요청("),"미종결 표시","상태 확인 필요"))</x:f>
        <x:v>종결 표시</x:v>
      </x:c>
      <x:c r="L1701" s="2"/>
      <x:c r="M1701" s="2"/>
      <x:c r="N1701" s="8"/>
      <x:c r="O1701" s="2"/>
      <x:c r="P1701" s="2"/>
      <x:c r="Q1701" s="2" t="str">
        <x:v>산업전환_외부사업관리Tool_260707_이너젠 수정_LJY_261013.xlsx</x:v>
      </x:c>
      <x:c r="R1701" s="2" t="str">
        <x:v>국내인증</x:v>
      </x:c>
      <x:c r="S1701" s="8" t="n">
        <x:v>19</x:v>
      </x:c>
      <x:c r="T1701" s="2"/>
      <x:c r="U1701" s="2" t="str"/>
      <x:c r="V1701" s="2" t="str">
        <x:v>2016-02-19</x:v>
      </x:c>
      <x:c r="W1701" s="2" t="str">
        <x:v>신청일 확인 / 담당기관 확인 / 동일 관리키 복수행·회차 확인</x:v>
      </x:c>
      <x:c r="X1701" s="2" t="str">
        <x:v>원본·배정 기록 확인</x:v>
      </x:c>
      <x:c r="Y1701" s="2" t="str">
        <x:v>ad210cd9ec132cfd447541c8984dc53d30aff0f4fb2dc92d254d49275cc55976</x:v>
      </x:c>
      <x:c r="Z1701" s="2" t="n">
        <x:f>SUBTOTAL(103,A1701)</x:f>
        <x:v>1</x:v>
      </x:c>
      <x:c r="AA1701" s="2" t="str">
        <x:f>IF(K1701&lt;&gt;"미종결 표시","대상 아님",IF(N1701="","신청일 확인",IF(NOT(ISNUMBER('종합 현황'!$H$5)),"관찰기준 확인",IF('종합 현황'!$H$5&lt;1,"관찰기준 확인",IF(N1701&gt;'종합 현황'!$H$5,"내부 관찰 대상","내부 관찰일 이하")))))</x:f>
        <x:v>대상 아님</x:v>
      </x:c>
      <x:c r="AB1701" s="2"/>
    </x:row>
    <x:row r="1702" ht="42" customHeight="1">
      <x:c r="A1702" s="2" t="str">
        <x:v>2583b86fb8856f065f7847f0</x:v>
      </x:c>
      <x:c r="B1702" s="2" t="str">
        <x:v>감축량 인증</x:v>
      </x:c>
      <x:c r="C1702" s="2" t="str">
        <x:v>국내</x:v>
      </x:c>
      <x:c r="D1702" s="7" t="str">
        <x:v>강원풍력발전단지사업</x:v>
      </x:c>
      <x:c r="E1702" s="2" t="str">
        <x:v>환경부 이관</x:v>
      </x:c>
      <x:c r="F1702" s="2"/>
      <x:c r="G1702" s="2" t="str">
        <x:v>미확보</x:v>
      </x:c>
      <x:c r="H1702" s="2" t="str">
        <x:v>미확보</x:v>
      </x:c>
      <x:c r="I1702" s="2" t="str">
        <x:v>심의승인</x:v>
      </x:c>
      <x:c r="J1702" s="2" t="str">
        <x:v>심의승인</x:v>
      </x:c>
      <x:c r="K1702" s="2" t="str">
        <x:f>IF(OR(J1702="심의승인",J1702="반려",J1702="반려완료",J1702="심의완료"),"종결 표시",IF(OR(J1702="기후부협의",J1702="문서재제출요청",J1702="보류",J1702="보완요청",J1702="보완완료",J1702="평가중",J1702="반려요청",J1702="평가필요",LEFT(J1702,5)="보완요청("),"미종결 표시","상태 확인 필요"))</x:f>
        <x:v>종결 표시</x:v>
      </x:c>
      <x:c r="L1702" s="2"/>
      <x:c r="M1702" s="2"/>
      <x:c r="N1702" s="8"/>
      <x:c r="O1702" s="2"/>
      <x:c r="P1702" s="2"/>
      <x:c r="Q1702" s="2" t="str">
        <x:v>산업전환_외부사업관리Tool_260707_이너젠 수정_LJY_261013.xlsx</x:v>
      </x:c>
      <x:c r="R1702" s="2" t="str">
        <x:v>국내인증</x:v>
      </x:c>
      <x:c r="S1702" s="8" t="n">
        <x:v>20</x:v>
      </x:c>
      <x:c r="T1702" s="2"/>
      <x:c r="U1702" s="2" t="str"/>
      <x:c r="V1702" s="2" t="str">
        <x:v>2016-02-19</x:v>
      </x:c>
      <x:c r="W1702" s="2" t="str">
        <x:v>신청일 확인 / 담당기관 확인 / 동일 관리키 복수행·회차 확인</x:v>
      </x:c>
      <x:c r="X1702" s="2" t="str">
        <x:v>원본·배정 기록 확인</x:v>
      </x:c>
      <x:c r="Y1702" s="2" t="str">
        <x:v>ad210cd9ec132cfd447541c8984dc53d30aff0f4fb2dc92d254d49275cc55976</x:v>
      </x:c>
      <x:c r="Z1702" s="2" t="n">
        <x:f>SUBTOTAL(103,A1702)</x:f>
        <x:v>1</x:v>
      </x:c>
      <x:c r="AA1702" s="2" t="str">
        <x:f>IF(K1702&lt;&gt;"미종결 표시","대상 아님",IF(N1702="","신청일 확인",IF(NOT(ISNUMBER('종합 현황'!$H$5)),"관찰기준 확인",IF('종합 현황'!$H$5&lt;1,"관찰기준 확인",IF(N1702&gt;'종합 현황'!$H$5,"내부 관찰 대상","내부 관찰일 이하")))))</x:f>
        <x:v>대상 아님</x:v>
      </x:c>
      <x:c r="AB1702" s="2"/>
    </x:row>
    <x:row r="1703" ht="42" customHeight="1">
      <x:c r="A1703" s="2" t="str">
        <x:v>4be3390c9ba0e115fed5a923</x:v>
      </x:c>
      <x:c r="B1703" s="2" t="str">
        <x:v>감축량 인증</x:v>
      </x:c>
      <x:c r="C1703" s="2" t="str">
        <x:v>국내</x:v>
      </x:c>
      <x:c r="D1703" s="7" t="str">
        <x:v>동부한농 질산공장 N2O 감축사업</x:v>
      </x:c>
      <x:c r="E1703" s="2" t="str">
        <x:v>환경부 이관</x:v>
      </x:c>
      <x:c r="F1703" s="2"/>
      <x:c r="G1703" s="2" t="str">
        <x:v>미확보</x:v>
      </x:c>
      <x:c r="H1703" s="2" t="str">
        <x:v>미확보</x:v>
      </x:c>
      <x:c r="I1703" s="2" t="str">
        <x:v>심의승인</x:v>
      </x:c>
      <x:c r="J1703" s="2" t="str">
        <x:v>심의승인</x:v>
      </x:c>
      <x:c r="K1703" s="2" t="str">
        <x:f>IF(OR(J1703="심의승인",J1703="반려",J1703="반려완료",J1703="심의완료"),"종결 표시",IF(OR(J1703="기후부협의",J1703="문서재제출요청",J1703="보류",J1703="보완요청",J1703="보완완료",J1703="평가중",J1703="반려요청",J1703="평가필요",LEFT(J1703,5)="보완요청("),"미종결 표시","상태 확인 필요"))</x:f>
        <x:v>종결 표시</x:v>
      </x:c>
      <x:c r="L1703" s="2"/>
      <x:c r="M1703" s="2"/>
      <x:c r="N1703" s="8"/>
      <x:c r="O1703" s="2"/>
      <x:c r="P1703" s="2"/>
      <x:c r="Q1703" s="2" t="str">
        <x:v>산업전환_외부사업관리Tool_260707_이너젠 수정_LJY_261013.xlsx</x:v>
      </x:c>
      <x:c r="R1703" s="2" t="str">
        <x:v>국내인증</x:v>
      </x:c>
      <x:c r="S1703" s="8" t="n">
        <x:v>21</x:v>
      </x:c>
      <x:c r="T1703" s="2"/>
      <x:c r="U1703" s="2" t="str"/>
      <x:c r="V1703" s="2" t="str">
        <x:v>2016-02-19</x:v>
      </x:c>
      <x:c r="W1703" s="2" t="str">
        <x:v>신청일 확인 / 담당기관 확인 / 동일 관리키 복수행·회차 확인</x:v>
      </x:c>
      <x:c r="X1703" s="2" t="str">
        <x:v>원본·배정 기록 확인</x:v>
      </x:c>
      <x:c r="Y1703" s="2" t="str">
        <x:v>ad210cd9ec132cfd447541c8984dc53d30aff0f4fb2dc92d254d49275cc55976</x:v>
      </x:c>
      <x:c r="Z1703" s="2" t="n">
        <x:f>SUBTOTAL(103,A1703)</x:f>
        <x:v>1</x:v>
      </x:c>
      <x:c r="AA1703" s="2" t="str">
        <x:f>IF(K1703&lt;&gt;"미종결 표시","대상 아님",IF(N1703="","신청일 확인",IF(NOT(ISNUMBER('종합 현황'!$H$5)),"관찰기준 확인",IF('종합 현황'!$H$5&lt;1,"관찰기준 확인",IF(N1703&gt;'종합 현황'!$H$5,"내부 관찰 대상","내부 관찰일 이하")))))</x:f>
        <x:v>대상 아님</x:v>
      </x:c>
      <x:c r="AB1703" s="2"/>
    </x:row>
    <x:row r="1704" ht="42" customHeight="1">
      <x:c r="A1704" s="2" t="str">
        <x:v>ca470e209bcce94c49fabd9d</x:v>
      </x:c>
      <x:c r="B1704" s="2" t="str">
        <x:v>감축량 인증</x:v>
      </x:c>
      <x:c r="C1704" s="2" t="str">
        <x:v>국내</x:v>
      </x:c>
      <x:c r="D1704" s="7" t="str">
        <x:v>한국서부발전 태안 소수력발전 CDM사업</x:v>
      </x:c>
      <x:c r="E1704" s="2" t="str">
        <x:v>환경부 이관</x:v>
      </x:c>
      <x:c r="F1704" s="2"/>
      <x:c r="G1704" s="2" t="str">
        <x:v>미확보</x:v>
      </x:c>
      <x:c r="H1704" s="2" t="str">
        <x:v>미확보</x:v>
      </x:c>
      <x:c r="I1704" s="2" t="str">
        <x:v>심의승인</x:v>
      </x:c>
      <x:c r="J1704" s="2" t="str">
        <x:v>심의승인</x:v>
      </x:c>
      <x:c r="K1704" s="2" t="str">
        <x:f>IF(OR(J1704="심의승인",J1704="반려",J1704="반려완료",J1704="심의완료"),"종결 표시",IF(OR(J1704="기후부협의",J1704="문서재제출요청",J1704="보류",J1704="보완요청",J1704="보완완료",J1704="평가중",J1704="반려요청",J1704="평가필요",LEFT(J1704,5)="보완요청("),"미종결 표시","상태 확인 필요"))</x:f>
        <x:v>종결 표시</x:v>
      </x:c>
      <x:c r="L1704" s="2"/>
      <x:c r="M1704" s="2"/>
      <x:c r="N1704" s="8"/>
      <x:c r="O1704" s="2"/>
      <x:c r="P1704" s="2"/>
      <x:c r="Q1704" s="2" t="str">
        <x:v>산업전환_외부사업관리Tool_260707_이너젠 수정_LJY_261013.xlsx</x:v>
      </x:c>
      <x:c r="R1704" s="2" t="str">
        <x:v>국내인증</x:v>
      </x:c>
      <x:c r="S1704" s="8" t="n">
        <x:v>22</x:v>
      </x:c>
      <x:c r="T1704" s="2"/>
      <x:c r="U1704" s="2" t="str"/>
      <x:c r="V1704" s="2" t="str">
        <x:v>2016-02-19</x:v>
      </x:c>
      <x:c r="W1704" s="2" t="str">
        <x:v>신청일 확인 / 담당기관 확인 / 동일 관리키 복수행·회차 확인</x:v>
      </x:c>
      <x:c r="X1704" s="2" t="str">
        <x:v>원본·배정 기록 확인</x:v>
      </x:c>
      <x:c r="Y1704" s="2" t="str">
        <x:v>ad210cd9ec132cfd447541c8984dc53d30aff0f4fb2dc92d254d49275cc55976</x:v>
      </x:c>
      <x:c r="Z1704" s="2" t="n">
        <x:f>SUBTOTAL(103,A1704)</x:f>
        <x:v>1</x:v>
      </x:c>
      <x:c r="AA1704" s="2" t="str">
        <x:f>IF(K1704&lt;&gt;"미종결 표시","대상 아님",IF(N1704="","신청일 확인",IF(NOT(ISNUMBER('종합 현황'!$H$5)),"관찰기준 확인",IF('종합 현황'!$H$5&lt;1,"관찰기준 확인",IF(N1704&gt;'종합 현황'!$H$5,"내부 관찰 대상","내부 관찰일 이하")))))</x:f>
        <x:v>대상 아님</x:v>
      </x:c>
      <x:c r="AB1704" s="2"/>
    </x:row>
    <x:row r="1705" ht="42" customHeight="1">
      <x:c r="A1705" s="2" t="str">
        <x:v>d5b1e02efd05e0038698e392</x:v>
      </x:c>
      <x:c r="B1705" s="2" t="str">
        <x:v>감축량 인증</x:v>
      </x:c>
      <x:c r="C1705" s="2" t="str">
        <x:v>국내</x:v>
      </x:c>
      <x:c r="D1705" s="7" t="str">
        <x:v>소수력발전 사업Ⅱ</x:v>
      </x:c>
      <x:c r="E1705" s="2" t="str">
        <x:v>환경부 이관</x:v>
      </x:c>
      <x:c r="F1705" s="2"/>
      <x:c r="G1705" s="2" t="str">
        <x:v>미확보</x:v>
      </x:c>
      <x:c r="H1705" s="2" t="str">
        <x:v>미확보</x:v>
      </x:c>
      <x:c r="I1705" s="2" t="str">
        <x:v>심의승인</x:v>
      </x:c>
      <x:c r="J1705" s="2" t="str">
        <x:v>심의승인</x:v>
      </x:c>
      <x:c r="K1705" s="2" t="str">
        <x:f>IF(OR(J1705="심의승인",J1705="반려",J1705="반려완료",J1705="심의완료"),"종결 표시",IF(OR(J1705="기후부협의",J1705="문서재제출요청",J1705="보류",J1705="보완요청",J1705="보완완료",J1705="평가중",J1705="반려요청",J1705="평가필요",LEFT(J1705,5)="보완요청("),"미종결 표시","상태 확인 필요"))</x:f>
        <x:v>종결 표시</x:v>
      </x:c>
      <x:c r="L1705" s="2"/>
      <x:c r="M1705" s="2"/>
      <x:c r="N1705" s="8"/>
      <x:c r="O1705" s="2"/>
      <x:c r="P1705" s="2"/>
      <x:c r="Q1705" s="2" t="str">
        <x:v>산업전환_외부사업관리Tool_260707_이너젠 수정_LJY_261013.xlsx</x:v>
      </x:c>
      <x:c r="R1705" s="2" t="str">
        <x:v>국내인증</x:v>
      </x:c>
      <x:c r="S1705" s="8" t="n">
        <x:v>23</x:v>
      </x:c>
      <x:c r="T1705" s="2"/>
      <x:c r="U1705" s="2" t="str"/>
      <x:c r="V1705" s="2" t="str">
        <x:v>2016-02-19</x:v>
      </x:c>
      <x:c r="W1705" s="2" t="str">
        <x:v>신청일 확인 / 담당기관 확인 / 동일 관리키 복수행·회차 확인</x:v>
      </x:c>
      <x:c r="X1705" s="2" t="str">
        <x:v>원본·배정 기록 확인</x:v>
      </x:c>
      <x:c r="Y1705" s="2" t="str">
        <x:v>ad210cd9ec132cfd447541c8984dc53d30aff0f4fb2dc92d254d49275cc55976</x:v>
      </x:c>
      <x:c r="Z1705" s="2" t="n">
        <x:f>SUBTOTAL(103,A1705)</x:f>
        <x:v>1</x:v>
      </x:c>
      <x:c r="AA1705" s="2" t="str">
        <x:f>IF(K1705&lt;&gt;"미종결 표시","대상 아님",IF(N1705="","신청일 확인",IF(NOT(ISNUMBER('종합 현황'!$H$5)),"관찰기준 확인",IF('종합 현황'!$H$5&lt;1,"관찰기준 확인",IF(N1705&gt;'종합 현황'!$H$5,"내부 관찰 대상","내부 관찰일 이하")))))</x:f>
        <x:v>대상 아님</x:v>
      </x:c>
      <x:c r="AB1705" s="2"/>
    </x:row>
    <x:row r="1706" ht="42" customHeight="1">
      <x:c r="A1706" s="2" t="str">
        <x:v>6ac0ecbae027c7a4c56298d0</x:v>
      </x:c>
      <x:c r="B1706" s="2" t="str">
        <x:v>감축량 인증</x:v>
      </x:c>
      <x:c r="C1706" s="2" t="str">
        <x:v>국내</x:v>
      </x:c>
      <x:c r="D1706" s="7" t="str">
        <x:v>대구 및 신안증도 태양광발전 사업</x:v>
      </x:c>
      <x:c r="E1706" s="2" t="str">
        <x:v>환경부 이관</x:v>
      </x:c>
      <x:c r="F1706" s="2"/>
      <x:c r="G1706" s="2" t="str">
        <x:v>미확보</x:v>
      </x:c>
      <x:c r="H1706" s="2" t="str">
        <x:v>미확보</x:v>
      </x:c>
      <x:c r="I1706" s="2" t="str">
        <x:v>심의승인</x:v>
      </x:c>
      <x:c r="J1706" s="2" t="str">
        <x:v>심의승인</x:v>
      </x:c>
      <x:c r="K1706" s="2" t="str">
        <x:f>IF(OR(J1706="심의승인",J1706="반려",J1706="반려완료",J1706="심의완료"),"종결 표시",IF(OR(J1706="기후부협의",J1706="문서재제출요청",J1706="보류",J1706="보완요청",J1706="보완완료",J1706="평가중",J1706="반려요청",J1706="평가필요",LEFT(J1706,5)="보완요청("),"미종결 표시","상태 확인 필요"))</x:f>
        <x:v>종결 표시</x:v>
      </x:c>
      <x:c r="L1706" s="2"/>
      <x:c r="M1706" s="2"/>
      <x:c r="N1706" s="8"/>
      <x:c r="O1706" s="2"/>
      <x:c r="P1706" s="2"/>
      <x:c r="Q1706" s="2" t="str">
        <x:v>산업전환_외부사업관리Tool_260707_이너젠 수정_LJY_261013.xlsx</x:v>
      </x:c>
      <x:c r="R1706" s="2" t="str">
        <x:v>국내인증</x:v>
      </x:c>
      <x:c r="S1706" s="8" t="n">
        <x:v>24</x:v>
      </x:c>
      <x:c r="T1706" s="2"/>
      <x:c r="U1706" s="2" t="str"/>
      <x:c r="V1706" s="2" t="str">
        <x:v>2016-02-19</x:v>
      </x:c>
      <x:c r="W1706" s="2" t="str">
        <x:v>신청일 확인 / 담당기관 확인 / 동일 관리키 복수행·회차 확인</x:v>
      </x:c>
      <x:c r="X1706" s="2" t="str">
        <x:v>원본·배정 기록 확인</x:v>
      </x:c>
      <x:c r="Y1706" s="2" t="str">
        <x:v>ad210cd9ec132cfd447541c8984dc53d30aff0f4fb2dc92d254d49275cc55976</x:v>
      </x:c>
      <x:c r="Z1706" s="2" t="n">
        <x:f>SUBTOTAL(103,A1706)</x:f>
        <x:v>1</x:v>
      </x:c>
      <x:c r="AA1706" s="2" t="str">
        <x:f>IF(K1706&lt;&gt;"미종결 표시","대상 아님",IF(N1706="","신청일 확인",IF(NOT(ISNUMBER('종합 현황'!$H$5)),"관찰기준 확인",IF('종합 현황'!$H$5&lt;1,"관찰기준 확인",IF(N1706&gt;'종합 현황'!$H$5,"내부 관찰 대상","내부 관찰일 이하")))))</x:f>
        <x:v>대상 아님</x:v>
      </x:c>
      <x:c r="AB1706" s="2"/>
    </x:row>
    <x:row r="1707" ht="42" customHeight="1">
      <x:c r="A1707" s="2" t="str">
        <x:v>8ae12416a4fe838191342389</x:v>
      </x:c>
      <x:c r="B1707" s="2" t="str">
        <x:v>감축량 인증</x:v>
      </x:c>
      <x:c r="C1707" s="2" t="str">
        <x:v>국내</x:v>
      </x:c>
      <x:c r="D1707" s="7" t="str">
        <x:v>시화호 조력발전 사업</x:v>
      </x:c>
      <x:c r="E1707" s="2" t="str">
        <x:v>환경부 이관</x:v>
      </x:c>
      <x:c r="F1707" s="2"/>
      <x:c r="G1707" s="2" t="str">
        <x:v>미확보</x:v>
      </x:c>
      <x:c r="H1707" s="2" t="str">
        <x:v>미확보</x:v>
      </x:c>
      <x:c r="I1707" s="2" t="str">
        <x:v>심의승인</x:v>
      </x:c>
      <x:c r="J1707" s="2" t="str">
        <x:v>심의승인</x:v>
      </x:c>
      <x:c r="K1707" s="2" t="str">
        <x:f>IF(OR(J1707="심의승인",J1707="반려",J1707="반려완료",J1707="심의완료"),"종결 표시",IF(OR(J1707="기후부협의",J1707="문서재제출요청",J1707="보류",J1707="보완요청",J1707="보완완료",J1707="평가중",J1707="반려요청",J1707="평가필요",LEFT(J1707,5)="보완요청("),"미종결 표시","상태 확인 필요"))</x:f>
        <x:v>종결 표시</x:v>
      </x:c>
      <x:c r="L1707" s="2"/>
      <x:c r="M1707" s="2"/>
      <x:c r="N1707" s="8"/>
      <x:c r="O1707" s="2"/>
      <x:c r="P1707" s="2"/>
      <x:c r="Q1707" s="2" t="str">
        <x:v>산업전환_외부사업관리Tool_260707_이너젠 수정_LJY_261013.xlsx</x:v>
      </x:c>
      <x:c r="R1707" s="2" t="str">
        <x:v>국내인증</x:v>
      </x:c>
      <x:c r="S1707" s="8" t="n">
        <x:v>25</x:v>
      </x:c>
      <x:c r="T1707" s="2"/>
      <x:c r="U1707" s="2" t="str"/>
      <x:c r="V1707" s="2" t="str">
        <x:v>2015-12-17</x:v>
      </x:c>
      <x:c r="W1707" s="2" t="str">
        <x:v>신청일 확인 / 담당기관 확인 / 동일 관리키 복수행·회차 확인</x:v>
      </x:c>
      <x:c r="X1707" s="2" t="str">
        <x:v>원본·배정 기록 확인</x:v>
      </x:c>
      <x:c r="Y1707" s="2" t="str">
        <x:v>ad210cd9ec132cfd447541c8984dc53d30aff0f4fb2dc92d254d49275cc55976</x:v>
      </x:c>
      <x:c r="Z1707" s="2" t="n">
        <x:f>SUBTOTAL(103,A1707)</x:f>
        <x:v>1</x:v>
      </x:c>
      <x:c r="AA1707" s="2" t="str">
        <x:f>IF(K1707&lt;&gt;"미종결 표시","대상 아님",IF(N1707="","신청일 확인",IF(NOT(ISNUMBER('종합 현황'!$H$5)),"관찰기준 확인",IF('종합 현황'!$H$5&lt;1,"관찰기준 확인",IF(N1707&gt;'종합 현황'!$H$5,"내부 관찰 대상","내부 관찰일 이하")))))</x:f>
        <x:v>대상 아님</x:v>
      </x:c>
      <x:c r="AB1707" s="2"/>
    </x:row>
    <x:row r="1708" ht="42" customHeight="1">
      <x:c r="A1708" s="2" t="str">
        <x:v>cf4a58cf0dab520e97403e6d</x:v>
      </x:c>
      <x:c r="B1708" s="2" t="str">
        <x:v>감축량 인증</x:v>
      </x:c>
      <x:c r="C1708" s="2" t="str">
        <x:v>국내</x:v>
      </x:c>
      <x:c r="D1708" s="7" t="str">
        <x:v>영양 61.5MW 풍력발전단지 CDM 사업</x:v>
      </x:c>
      <x:c r="E1708" s="2" t="str">
        <x:v>환경부 이관</x:v>
      </x:c>
      <x:c r="F1708" s="2"/>
      <x:c r="G1708" s="2" t="str">
        <x:v>미확보</x:v>
      </x:c>
      <x:c r="H1708" s="2" t="str">
        <x:v>미확보</x:v>
      </x:c>
      <x:c r="I1708" s="2" t="str">
        <x:v>심의승인</x:v>
      </x:c>
      <x:c r="J1708" s="2" t="str">
        <x:v>심의승인</x:v>
      </x:c>
      <x:c r="K1708" s="2" t="str">
        <x:f>IF(OR(J1708="심의승인",J1708="반려",J1708="반려완료",J1708="심의완료"),"종결 표시",IF(OR(J1708="기후부협의",J1708="문서재제출요청",J1708="보류",J1708="보완요청",J1708="보완완료",J1708="평가중",J1708="반려요청",J1708="평가필요",LEFT(J1708,5)="보완요청("),"미종결 표시","상태 확인 필요"))</x:f>
        <x:v>종결 표시</x:v>
      </x:c>
      <x:c r="L1708" s="2"/>
      <x:c r="M1708" s="2"/>
      <x:c r="N1708" s="8"/>
      <x:c r="O1708" s="2"/>
      <x:c r="P1708" s="2"/>
      <x:c r="Q1708" s="2" t="str">
        <x:v>산업전환_외부사업관리Tool_260707_이너젠 수정_LJY_261013.xlsx</x:v>
      </x:c>
      <x:c r="R1708" s="2" t="str">
        <x:v>국내인증</x:v>
      </x:c>
      <x:c r="S1708" s="8" t="n">
        <x:v>26</x:v>
      </x:c>
      <x:c r="T1708" s="2"/>
      <x:c r="U1708" s="2" t="str"/>
      <x:c r="V1708" s="2" t="str">
        <x:v>2015-12-17</x:v>
      </x:c>
      <x:c r="W1708" s="2" t="str">
        <x:v>신청일 확인 / 담당기관 확인 / 동일 관리키 복수행·회차 확인</x:v>
      </x:c>
      <x:c r="X1708" s="2" t="str">
        <x:v>원본·배정 기록 확인</x:v>
      </x:c>
      <x:c r="Y1708" s="2" t="str">
        <x:v>ad210cd9ec132cfd447541c8984dc53d30aff0f4fb2dc92d254d49275cc55976</x:v>
      </x:c>
      <x:c r="Z1708" s="2" t="n">
        <x:f>SUBTOTAL(103,A1708)</x:f>
        <x:v>1</x:v>
      </x:c>
      <x:c r="AA1708" s="2" t="str">
        <x:f>IF(K1708&lt;&gt;"미종결 표시","대상 아님",IF(N1708="","신청일 확인",IF(NOT(ISNUMBER('종합 현황'!$H$5)),"관찰기준 확인",IF('종합 현황'!$H$5&lt;1,"관찰기준 확인",IF(N1708&gt;'종합 현황'!$H$5,"내부 관찰 대상","내부 관찰일 이하")))))</x:f>
        <x:v>대상 아님</x:v>
      </x:c>
      <x:c r="AB1708" s="2"/>
    </x:row>
    <x:row r="1709" ht="42" customHeight="1">
      <x:c r="A1709" s="2" t="str">
        <x:v>12561e3eeae3758db86cb3f2</x:v>
      </x:c>
      <x:c r="B1709" s="2" t="str">
        <x:v>감축량 인증</x:v>
      </x:c>
      <x:c r="C1709" s="2" t="str">
        <x:v>국내</x:v>
      </x:c>
      <x:c r="D1709" s="7" t="str">
        <x:v>동부한농 질산공장 N2O 감축사업</x:v>
      </x:c>
      <x:c r="E1709" s="2" t="str">
        <x:v>환경부 이관</x:v>
      </x:c>
      <x:c r="F1709" s="2"/>
      <x:c r="G1709" s="2" t="str">
        <x:v>미확보</x:v>
      </x:c>
      <x:c r="H1709" s="2" t="str">
        <x:v>미확보</x:v>
      </x:c>
      <x:c r="I1709" s="2" t="str">
        <x:v>심의승인</x:v>
      </x:c>
      <x:c r="J1709" s="2" t="str">
        <x:v>심의승인</x:v>
      </x:c>
      <x:c r="K1709" s="2" t="str">
        <x:f>IF(OR(J1709="심의승인",J1709="반려",J1709="반려완료",J1709="심의완료"),"종결 표시",IF(OR(J1709="기후부협의",J1709="문서재제출요청",J1709="보류",J1709="보완요청",J1709="보완완료",J1709="평가중",J1709="반려요청",J1709="평가필요",LEFT(J1709,5)="보완요청("),"미종결 표시","상태 확인 필요"))</x:f>
        <x:v>종결 표시</x:v>
      </x:c>
      <x:c r="L1709" s="2"/>
      <x:c r="M1709" s="2"/>
      <x:c r="N1709" s="8"/>
      <x:c r="O1709" s="2"/>
      <x:c r="P1709" s="2"/>
      <x:c r="Q1709" s="2" t="str">
        <x:v>산업전환_외부사업관리Tool_260707_이너젠 수정_LJY_261013.xlsx</x:v>
      </x:c>
      <x:c r="R1709" s="2" t="str">
        <x:v>국내인증</x:v>
      </x:c>
      <x:c r="S1709" s="8" t="n">
        <x:v>27</x:v>
      </x:c>
      <x:c r="T1709" s="2"/>
      <x:c r="U1709" s="2" t="str"/>
      <x:c r="V1709" s="2" t="str">
        <x:v>2015-12-17</x:v>
      </x:c>
      <x:c r="W1709" s="2" t="str">
        <x:v>신청일 확인 / 담당기관 확인 / 동일 관리키 복수행·회차 확인</x:v>
      </x:c>
      <x:c r="X1709" s="2" t="str">
        <x:v>원본·배정 기록 확인</x:v>
      </x:c>
      <x:c r="Y1709" s="2" t="str">
        <x:v>ad210cd9ec132cfd447541c8984dc53d30aff0f4fb2dc92d254d49275cc55976</x:v>
      </x:c>
      <x:c r="Z1709" s="2" t="n">
        <x:f>SUBTOTAL(103,A1709)</x:f>
        <x:v>1</x:v>
      </x:c>
      <x:c r="AA1709" s="2" t="str">
        <x:f>IF(K1709&lt;&gt;"미종결 표시","대상 아님",IF(N1709="","신청일 확인",IF(NOT(ISNUMBER('종합 현황'!$H$5)),"관찰기준 확인",IF('종합 현황'!$H$5&lt;1,"관찰기준 확인",IF(N1709&gt;'종합 현황'!$H$5,"내부 관찰 대상","내부 관찰일 이하")))))</x:f>
        <x:v>대상 아님</x:v>
      </x:c>
      <x:c r="AB1709" s="2"/>
    </x:row>
    <x:row r="1710" ht="42" customHeight="1">
      <x:c r="A1710" s="2" t="str">
        <x:v>1f23d47a0fe97d9d092ef173</x:v>
      </x:c>
      <x:c r="B1710" s="2" t="str">
        <x:v>감축량 인증</x:v>
      </x:c>
      <x:c r="C1710" s="2" t="str">
        <x:v>국내</x:v>
      </x:c>
      <x:c r="D1710" s="7" t="str">
        <x:v>강원풍력발전단지사업</x:v>
      </x:c>
      <x:c r="E1710" s="2" t="str">
        <x:v>환경부 이관</x:v>
      </x:c>
      <x:c r="F1710" s="2"/>
      <x:c r="G1710" s="2" t="str">
        <x:v>미확보</x:v>
      </x:c>
      <x:c r="H1710" s="2" t="str">
        <x:v>미확보</x:v>
      </x:c>
      <x:c r="I1710" s="2" t="str">
        <x:v>심의승인</x:v>
      </x:c>
      <x:c r="J1710" s="2" t="str">
        <x:v>심의승인</x:v>
      </x:c>
      <x:c r="K1710" s="2" t="str">
        <x:f>IF(OR(J1710="심의승인",J1710="반려",J1710="반려완료",J1710="심의완료"),"종결 표시",IF(OR(J1710="기후부협의",J1710="문서재제출요청",J1710="보류",J1710="보완요청",J1710="보완완료",J1710="평가중",J1710="반려요청",J1710="평가필요",LEFT(J1710,5)="보완요청("),"미종결 표시","상태 확인 필요"))</x:f>
        <x:v>종결 표시</x:v>
      </x:c>
      <x:c r="L1710" s="2"/>
      <x:c r="M1710" s="2"/>
      <x:c r="N1710" s="8"/>
      <x:c r="O1710" s="2"/>
      <x:c r="P1710" s="2"/>
      <x:c r="Q1710" s="2" t="str">
        <x:v>산업전환_외부사업관리Tool_260707_이너젠 수정_LJY_261013.xlsx</x:v>
      </x:c>
      <x:c r="R1710" s="2" t="str">
        <x:v>국내인증</x:v>
      </x:c>
      <x:c r="S1710" s="8" t="n">
        <x:v>28</x:v>
      </x:c>
      <x:c r="T1710" s="2"/>
      <x:c r="U1710" s="2" t="str"/>
      <x:c r="V1710" s="2" t="str">
        <x:v>2015-12-17</x:v>
      </x:c>
      <x:c r="W1710" s="2" t="str">
        <x:v>신청일 확인 / 담당기관 확인 / 동일 관리키 복수행·회차 확인</x:v>
      </x:c>
      <x:c r="X1710" s="2" t="str">
        <x:v>원본·배정 기록 확인</x:v>
      </x:c>
      <x:c r="Y1710" s="2" t="str">
        <x:v>ad210cd9ec132cfd447541c8984dc53d30aff0f4fb2dc92d254d49275cc55976</x:v>
      </x:c>
      <x:c r="Z1710" s="2" t="n">
        <x:f>SUBTOTAL(103,A1710)</x:f>
        <x:v>1</x:v>
      </x:c>
      <x:c r="AA1710" s="2" t="str">
        <x:f>IF(K1710&lt;&gt;"미종결 표시","대상 아님",IF(N1710="","신청일 확인",IF(NOT(ISNUMBER('종합 현황'!$H$5)),"관찰기준 확인",IF('종합 현황'!$H$5&lt;1,"관찰기준 확인",IF(N1710&gt;'종합 현황'!$H$5,"내부 관찰 대상","내부 관찰일 이하")))))</x:f>
        <x:v>대상 아님</x:v>
      </x:c>
      <x:c r="AB1710" s="2"/>
    </x:row>
    <x:row r="1711" ht="42" customHeight="1">
      <x:c r="A1711" s="2" t="str">
        <x:v>766d4802a10fb2a96772ed1c</x:v>
      </x:c>
      <x:c r="B1711" s="2" t="str">
        <x:v>감축량 인증</x:v>
      </x:c>
      <x:c r="C1711" s="2" t="str">
        <x:v>국내</x:v>
      </x:c>
      <x:c r="D1711" s="7" t="str">
        <x:v>휴켐스 질산공장 N2O 감축사업(휴켐스 주식회사의 질산 공장 세곳에서 tail gas에 포함된 아산화질소를 촉매를 사용하여 제거하는 프로젝트)</x:v>
      </x:c>
      <x:c r="E1711" s="2" t="str">
        <x:v>환경부 이관</x:v>
      </x:c>
      <x:c r="F1711" s="2"/>
      <x:c r="G1711" s="2" t="str">
        <x:v>미확보</x:v>
      </x:c>
      <x:c r="H1711" s="2" t="str">
        <x:v>미확보</x:v>
      </x:c>
      <x:c r="I1711" s="2" t="str">
        <x:v>심의승인</x:v>
      </x:c>
      <x:c r="J1711" s="2" t="str">
        <x:v>심의승인</x:v>
      </x:c>
      <x:c r="K1711" s="2" t="str">
        <x:f>IF(OR(J1711="심의승인",J1711="반려",J1711="반려완료",J1711="심의완료"),"종결 표시",IF(OR(J1711="기후부협의",J1711="문서재제출요청",J1711="보류",J1711="보완요청",J1711="보완완료",J1711="평가중",J1711="반려요청",J1711="평가필요",LEFT(J1711,5)="보완요청("),"미종결 표시","상태 확인 필요"))</x:f>
        <x:v>종결 표시</x:v>
      </x:c>
      <x:c r="L1711" s="2"/>
      <x:c r="M1711" s="2"/>
      <x:c r="N1711" s="8"/>
      <x:c r="O1711" s="2"/>
      <x:c r="P1711" s="2"/>
      <x:c r="Q1711" s="2" t="str">
        <x:v>산업전환_외부사업관리Tool_260707_이너젠 수정_LJY_261013.xlsx</x:v>
      </x:c>
      <x:c r="R1711" s="2" t="str">
        <x:v>국내인증</x:v>
      </x:c>
      <x:c r="S1711" s="8" t="n">
        <x:v>29</x:v>
      </x:c>
      <x:c r="T1711" s="2"/>
      <x:c r="U1711" s="2" t="str"/>
      <x:c r="V1711" s="2" t="str">
        <x:v>2015-12-17</x:v>
      </x:c>
      <x:c r="W1711" s="2" t="str">
        <x:v>신청일 확인 / 담당기관 확인 / 동일 관리키 복수행·회차 확인</x:v>
      </x:c>
      <x:c r="X1711" s="2" t="str">
        <x:v>원본·배정 기록 확인</x:v>
      </x:c>
      <x:c r="Y1711" s="2" t="str">
        <x:v>ad210cd9ec132cfd447541c8984dc53d30aff0f4fb2dc92d254d49275cc55976</x:v>
      </x:c>
      <x:c r="Z1711" s="2" t="n">
        <x:f>SUBTOTAL(103,A1711)</x:f>
        <x:v>1</x:v>
      </x:c>
      <x:c r="AA1711" s="2" t="str">
        <x:f>IF(K1711&lt;&gt;"미종결 표시","대상 아님",IF(N1711="","신청일 확인",IF(NOT(ISNUMBER('종합 현황'!$H$5)),"관찰기준 확인",IF('종합 현황'!$H$5&lt;1,"관찰기준 확인",IF(N1711&gt;'종합 현황'!$H$5,"내부 관찰 대상","내부 관찰일 이하")))))</x:f>
        <x:v>대상 아님</x:v>
      </x:c>
      <x:c r="AB1711" s="2"/>
    </x:row>
    <x:row r="1712" ht="42" customHeight="1">
      <x:c r="A1712" s="2" t="str">
        <x:v>e1695db88c926bbcae7156e0</x:v>
      </x:c>
      <x:c r="B1712" s="2" t="str">
        <x:v>감축량 인증</x:v>
      </x:c>
      <x:c r="C1712" s="2" t="str">
        <x:v>국내</x:v>
      </x:c>
      <x:c r="D1712" s="7" t="str">
        <x:v>삼달풍력발전사업</x:v>
      </x:c>
      <x:c r="E1712" s="2" t="str">
        <x:v>환경부 이관</x:v>
      </x:c>
      <x:c r="F1712" s="2"/>
      <x:c r="G1712" s="2" t="str">
        <x:v>미확보</x:v>
      </x:c>
      <x:c r="H1712" s="2" t="str">
        <x:v>미확보</x:v>
      </x:c>
      <x:c r="I1712" s="2" t="str">
        <x:v>심의승인</x:v>
      </x:c>
      <x:c r="J1712" s="2" t="str">
        <x:v>심의승인</x:v>
      </x:c>
      <x:c r="K1712" s="2" t="str">
        <x:f>IF(OR(J1712="심의승인",J1712="반려",J1712="반려완료",J1712="심의완료"),"종결 표시",IF(OR(J1712="기후부협의",J1712="문서재제출요청",J1712="보류",J1712="보완요청",J1712="보완완료",J1712="평가중",J1712="반려요청",J1712="평가필요",LEFT(J1712,5)="보완요청("),"미종결 표시","상태 확인 필요"))</x:f>
        <x:v>종결 표시</x:v>
      </x:c>
      <x:c r="L1712" s="2"/>
      <x:c r="M1712" s="2"/>
      <x:c r="N1712" s="8"/>
      <x:c r="O1712" s="2"/>
      <x:c r="P1712" s="2"/>
      <x:c r="Q1712" s="2" t="str">
        <x:v>산업전환_외부사업관리Tool_260707_이너젠 수정_LJY_261013.xlsx</x:v>
      </x:c>
      <x:c r="R1712" s="2" t="str">
        <x:v>국내인증</x:v>
      </x:c>
      <x:c r="S1712" s="8" t="n">
        <x:v>30</x:v>
      </x:c>
      <x:c r="T1712" s="2"/>
      <x:c r="U1712" s="2" t="str"/>
      <x:c r="V1712" s="2" t="str">
        <x:v>2015-12-17</x:v>
      </x:c>
      <x:c r="W1712" s="2" t="str">
        <x:v>신청일 확인 / 담당기관 확인 / 동일 관리키 복수행·회차 확인</x:v>
      </x:c>
      <x:c r="X1712" s="2" t="str">
        <x:v>원본·배정 기록 확인</x:v>
      </x:c>
      <x:c r="Y1712" s="2" t="str">
        <x:v>ad210cd9ec132cfd447541c8984dc53d30aff0f4fb2dc92d254d49275cc55976</x:v>
      </x:c>
      <x:c r="Z1712" s="2" t="n">
        <x:f>SUBTOTAL(103,A1712)</x:f>
        <x:v>1</x:v>
      </x:c>
      <x:c r="AA1712" s="2" t="str">
        <x:f>IF(K1712&lt;&gt;"미종결 표시","대상 아님",IF(N1712="","신청일 확인",IF(NOT(ISNUMBER('종합 현황'!$H$5)),"관찰기준 확인",IF('종합 현황'!$H$5&lt;1,"관찰기준 확인",IF(N1712&gt;'종합 현황'!$H$5,"내부 관찰 대상","내부 관찰일 이하")))))</x:f>
        <x:v>대상 아님</x:v>
      </x:c>
      <x:c r="AB1712" s="2"/>
    </x:row>
    <x:row r="1713" ht="42" customHeight="1">
      <x:c r="A1713" s="2" t="str">
        <x:v>00fca3fe2d9126d801240e3e</x:v>
      </x:c>
      <x:c r="B1713" s="2" t="str">
        <x:v>감축량 인증</x:v>
      </x:c>
      <x:c r="C1713" s="2" t="str">
        <x:v>국내</x:v>
      </x:c>
      <x:c r="D1713" s="7" t="str">
        <x:v>태기산 풍력발전 CDM사업</x:v>
      </x:c>
      <x:c r="E1713" s="2" t="str">
        <x:v>환경부 이관</x:v>
      </x:c>
      <x:c r="F1713" s="2"/>
      <x:c r="G1713" s="2" t="str">
        <x:v>미확보</x:v>
      </x:c>
      <x:c r="H1713" s="2" t="str">
        <x:v>미확보</x:v>
      </x:c>
      <x:c r="I1713" s="2" t="str">
        <x:v>심의승인</x:v>
      </x:c>
      <x:c r="J1713" s="2" t="str">
        <x:v>심의승인</x:v>
      </x:c>
      <x:c r="K1713" s="2" t="str">
        <x:f>IF(OR(J1713="심의승인",J1713="반려",J1713="반려완료",J1713="심의완료"),"종결 표시",IF(OR(J1713="기후부협의",J1713="문서재제출요청",J1713="보류",J1713="보완요청",J1713="보완완료",J1713="평가중",J1713="반려요청",J1713="평가필요",LEFT(J1713,5)="보완요청("),"미종결 표시","상태 확인 필요"))</x:f>
        <x:v>종결 표시</x:v>
      </x:c>
      <x:c r="L1713" s="2"/>
      <x:c r="M1713" s="2"/>
      <x:c r="N1713" s="8"/>
      <x:c r="O1713" s="2"/>
      <x:c r="P1713" s="2"/>
      <x:c r="Q1713" s="2" t="str">
        <x:v>산업전환_외부사업관리Tool_260707_이너젠 수정_LJY_261013.xlsx</x:v>
      </x:c>
      <x:c r="R1713" s="2" t="str">
        <x:v>국내인증</x:v>
      </x:c>
      <x:c r="S1713" s="8" t="n">
        <x:v>31</x:v>
      </x:c>
      <x:c r="T1713" s="2"/>
      <x:c r="U1713" s="2" t="str"/>
      <x:c r="V1713" s="2" t="str">
        <x:v>2015-12-17</x:v>
      </x:c>
      <x:c r="W1713" s="2" t="str">
        <x:v>신청일 확인 / 담당기관 확인 / 동일 관리키 복수행·회차 확인</x:v>
      </x:c>
      <x:c r="X1713" s="2" t="str">
        <x:v>원본·배정 기록 확인</x:v>
      </x:c>
      <x:c r="Y1713" s="2" t="str">
        <x:v>ad210cd9ec132cfd447541c8984dc53d30aff0f4fb2dc92d254d49275cc55976</x:v>
      </x:c>
      <x:c r="Z1713" s="2" t="n">
        <x:f>SUBTOTAL(103,A1713)</x:f>
        <x:v>1</x:v>
      </x:c>
      <x:c r="AA1713" s="2" t="str">
        <x:f>IF(K1713&lt;&gt;"미종결 표시","대상 아님",IF(N1713="","신청일 확인",IF(NOT(ISNUMBER('종합 현황'!$H$5)),"관찰기준 확인",IF('종합 현황'!$H$5&lt;1,"관찰기준 확인",IF(N1713&gt;'종합 현황'!$H$5,"내부 관찰 대상","내부 관찰일 이하")))))</x:f>
        <x:v>대상 아님</x:v>
      </x:c>
      <x:c r="AB1713" s="2"/>
    </x:row>
    <x:row r="1714" ht="42" customHeight="1">
      <x:c r="A1714" s="2" t="str">
        <x:v>c9d3290149559bcfb0c0fa53</x:v>
      </x:c>
      <x:c r="B1714" s="2" t="str">
        <x:v>감축량 인증</x:v>
      </x:c>
      <x:c r="C1714" s="2" t="str">
        <x:v>국내</x:v>
      </x:c>
      <x:c r="D1714" s="7" t="str">
        <x:v>태기산 풍력발전 CDM사업</x:v>
      </x:c>
      <x:c r="E1714" s="2" t="str">
        <x:v>환경부 이관</x:v>
      </x:c>
      <x:c r="F1714" s="2"/>
      <x:c r="G1714" s="2" t="str">
        <x:v>미확보</x:v>
      </x:c>
      <x:c r="H1714" s="2" t="str">
        <x:v>미확보</x:v>
      </x:c>
      <x:c r="I1714" s="2" t="str">
        <x:v>심의승인</x:v>
      </x:c>
      <x:c r="J1714" s="2" t="str">
        <x:v>심의승인</x:v>
      </x:c>
      <x:c r="K1714" s="2" t="str">
        <x:f>IF(OR(J1714="심의승인",J1714="반려",J1714="반려완료",J1714="심의완료"),"종결 표시",IF(OR(J1714="기후부협의",J1714="문서재제출요청",J1714="보류",J1714="보완요청",J1714="보완완료",J1714="평가중",J1714="반려요청",J1714="평가필요",LEFT(J1714,5)="보완요청("),"미종결 표시","상태 확인 필요"))</x:f>
        <x:v>종결 표시</x:v>
      </x:c>
      <x:c r="L1714" s="2"/>
      <x:c r="M1714" s="2"/>
      <x:c r="N1714" s="8"/>
      <x:c r="O1714" s="2"/>
      <x:c r="P1714" s="2"/>
      <x:c r="Q1714" s="2" t="str">
        <x:v>산업전환_외부사업관리Tool_260707_이너젠 수정_LJY_261013.xlsx</x:v>
      </x:c>
      <x:c r="R1714" s="2" t="str">
        <x:v>국내인증</x:v>
      </x:c>
      <x:c r="S1714" s="8" t="n">
        <x:v>32</x:v>
      </x:c>
      <x:c r="T1714" s="2"/>
      <x:c r="U1714" s="2" t="str"/>
      <x:c r="V1714" s="2" t="str">
        <x:v>2015-12-17</x:v>
      </x:c>
      <x:c r="W1714" s="2" t="str">
        <x:v>신청일 확인 / 담당기관 확인 / 동일 관리키 복수행·회차 확인</x:v>
      </x:c>
      <x:c r="X1714" s="2" t="str">
        <x:v>원본·배정 기록 확인</x:v>
      </x:c>
      <x:c r="Y1714" s="2" t="str">
        <x:v>ad210cd9ec132cfd447541c8984dc53d30aff0f4fb2dc92d254d49275cc55976</x:v>
      </x:c>
      <x:c r="Z1714" s="2" t="n">
        <x:f>SUBTOTAL(103,A1714)</x:f>
        <x:v>1</x:v>
      </x:c>
      <x:c r="AA1714" s="2" t="str">
        <x:f>IF(K1714&lt;&gt;"미종결 표시","대상 아님",IF(N1714="","신청일 확인",IF(NOT(ISNUMBER('종합 현황'!$H$5)),"관찰기준 확인",IF('종합 현황'!$H$5&lt;1,"관찰기준 확인",IF(N1714&gt;'종합 현황'!$H$5,"내부 관찰 대상","내부 관찰일 이하")))))</x:f>
        <x:v>대상 아님</x:v>
      </x:c>
      <x:c r="AB1714" s="2"/>
    </x:row>
    <x:row r="1715" ht="42" customHeight="1">
      <x:c r="A1715" s="2" t="str">
        <x:v>492899c5d12ee98e04ecb17e</x:v>
      </x:c>
      <x:c r="B1715" s="2" t="str">
        <x:v>감축량 인증</x:v>
      </x:c>
      <x:c r="C1715" s="2" t="str">
        <x:v>국내</x:v>
      </x:c>
      <x:c r="D1715" s="7" t="str">
        <x:v>태기산 풍력발전 CDM사업</x:v>
      </x:c>
      <x:c r="E1715" s="2" t="str">
        <x:v>환경부 이관</x:v>
      </x:c>
      <x:c r="F1715" s="2"/>
      <x:c r="G1715" s="2" t="str">
        <x:v>미확보</x:v>
      </x:c>
      <x:c r="H1715" s="2" t="str">
        <x:v>미확보</x:v>
      </x:c>
      <x:c r="I1715" s="2" t="str">
        <x:v>심의승인</x:v>
      </x:c>
      <x:c r="J1715" s="2" t="str">
        <x:v>심의승인</x:v>
      </x:c>
      <x:c r="K1715" s="2" t="str">
        <x:f>IF(OR(J1715="심의승인",J1715="반려",J1715="반려완료",J1715="심의완료"),"종결 표시",IF(OR(J1715="기후부협의",J1715="문서재제출요청",J1715="보류",J1715="보완요청",J1715="보완완료",J1715="평가중",J1715="반려요청",J1715="평가필요",LEFT(J1715,5)="보완요청("),"미종결 표시","상태 확인 필요"))</x:f>
        <x:v>종결 표시</x:v>
      </x:c>
      <x:c r="L1715" s="2"/>
      <x:c r="M1715" s="2"/>
      <x:c r="N1715" s="8"/>
      <x:c r="O1715" s="2"/>
      <x:c r="P1715" s="2"/>
      <x:c r="Q1715" s="2" t="str">
        <x:v>산업전환_외부사업관리Tool_260707_이너젠 수정_LJY_261013.xlsx</x:v>
      </x:c>
      <x:c r="R1715" s="2" t="str">
        <x:v>국내인증</x:v>
      </x:c>
      <x:c r="S1715" s="8" t="n">
        <x:v>33</x:v>
      </x:c>
      <x:c r="T1715" s="2"/>
      <x:c r="U1715" s="2" t="str"/>
      <x:c r="V1715" s="2" t="str">
        <x:v>2015-12-17</x:v>
      </x:c>
      <x:c r="W1715" s="2" t="str">
        <x:v>신청일 확인 / 담당기관 확인 / 동일 관리키 복수행·회차 확인</x:v>
      </x:c>
      <x:c r="X1715" s="2" t="str">
        <x:v>원본·배정 기록 확인</x:v>
      </x:c>
      <x:c r="Y1715" s="2" t="str">
        <x:v>ad210cd9ec132cfd447541c8984dc53d30aff0f4fb2dc92d254d49275cc55976</x:v>
      </x:c>
      <x:c r="Z1715" s="2" t="n">
        <x:f>SUBTOTAL(103,A1715)</x:f>
        <x:v>1</x:v>
      </x:c>
      <x:c r="AA1715" s="2" t="str">
        <x:f>IF(K1715&lt;&gt;"미종결 표시","대상 아님",IF(N1715="","신청일 확인",IF(NOT(ISNUMBER('종합 현황'!$H$5)),"관찰기준 확인",IF('종합 현황'!$H$5&lt;1,"관찰기준 확인",IF(N1715&gt;'종합 현황'!$H$5,"내부 관찰 대상","내부 관찰일 이하")))))</x:f>
        <x:v>대상 아님</x:v>
      </x:c>
      <x:c r="AB1715" s="2"/>
    </x:row>
    <x:row r="1716" ht="42" customHeight="1">
      <x:c r="A1716" s="2" t="str">
        <x:v>ffd8022ea2132e287e6b77a4</x:v>
      </x:c>
      <x:c r="B1716" s="2" t="str">
        <x:v>감축량 인증</x:v>
      </x:c>
      <x:c r="C1716" s="2" t="str">
        <x:v>국내</x:v>
      </x:c>
      <x:c r="D1716" s="7" t="str">
        <x:v>휴켐스 질산공장 N2O 감축사업(휴켐스 주식회사의 질산 공장 세곳에서 tail gas에 포함된 아산화질소를 촉매를 사용하여 제거하는 프로젝트)</x:v>
      </x:c>
      <x:c r="E1716" s="2" t="str">
        <x:v>환경부 이관</x:v>
      </x:c>
      <x:c r="F1716" s="2"/>
      <x:c r="G1716" s="2" t="str">
        <x:v>미확보</x:v>
      </x:c>
      <x:c r="H1716" s="2" t="str">
        <x:v>미확보</x:v>
      </x:c>
      <x:c r="I1716" s="2" t="str">
        <x:v>심의승인</x:v>
      </x:c>
      <x:c r="J1716" s="2" t="str">
        <x:v>심의승인</x:v>
      </x:c>
      <x:c r="K1716" s="2" t="str">
        <x:f>IF(OR(J1716="심의승인",J1716="반려",J1716="반려완료",J1716="심의완료"),"종결 표시",IF(OR(J1716="기후부협의",J1716="문서재제출요청",J1716="보류",J1716="보완요청",J1716="보완완료",J1716="평가중",J1716="반려요청",J1716="평가필요",LEFT(J1716,5)="보완요청("),"미종결 표시","상태 확인 필요"))</x:f>
        <x:v>종결 표시</x:v>
      </x:c>
      <x:c r="L1716" s="2"/>
      <x:c r="M1716" s="2"/>
      <x:c r="N1716" s="8"/>
      <x:c r="O1716" s="2"/>
      <x:c r="P1716" s="2"/>
      <x:c r="Q1716" s="2" t="str">
        <x:v>산업전환_외부사업관리Tool_260707_이너젠 수정_LJY_261013.xlsx</x:v>
      </x:c>
      <x:c r="R1716" s="2" t="str">
        <x:v>국내인증</x:v>
      </x:c>
      <x:c r="S1716" s="8" t="n">
        <x:v>34</x:v>
      </x:c>
      <x:c r="T1716" s="2"/>
      <x:c r="U1716" s="2" t="str"/>
      <x:c r="V1716" s="2" t="str">
        <x:v>2015-12-17</x:v>
      </x:c>
      <x:c r="W1716" s="2" t="str">
        <x:v>신청일 확인 / 담당기관 확인 / 동일 관리키 복수행·회차 확인</x:v>
      </x:c>
      <x:c r="X1716" s="2" t="str">
        <x:v>원본·배정 기록 확인</x:v>
      </x:c>
      <x:c r="Y1716" s="2" t="str">
        <x:v>ad210cd9ec132cfd447541c8984dc53d30aff0f4fb2dc92d254d49275cc55976</x:v>
      </x:c>
      <x:c r="Z1716" s="2" t="n">
        <x:f>SUBTOTAL(103,A1716)</x:f>
        <x:v>1</x:v>
      </x:c>
      <x:c r="AA1716" s="2" t="str">
        <x:f>IF(K1716&lt;&gt;"미종결 표시","대상 아님",IF(N1716="","신청일 확인",IF(NOT(ISNUMBER('종합 현황'!$H$5)),"관찰기준 확인",IF('종합 현황'!$H$5&lt;1,"관찰기준 확인",IF(N1716&gt;'종합 현황'!$H$5,"내부 관찰 대상","내부 관찰일 이하")))))</x:f>
        <x:v>대상 아님</x:v>
      </x:c>
      <x:c r="AB1716" s="2"/>
    </x:row>
    <x:row r="1717" ht="42" customHeight="1">
      <x:c r="A1717" s="2" t="str">
        <x:v>87c56bb54f0b3c1dd37e5240</x:v>
      </x:c>
      <x:c r="B1717" s="2" t="str">
        <x:v>감축량 인증</x:v>
      </x:c>
      <x:c r="C1717" s="2" t="str">
        <x:v>국내</x:v>
      </x:c>
      <x:c r="D1717" s="7" t="str">
        <x:v>영양 61.5MW 풍력발전단지 CDM 사업</x:v>
      </x:c>
      <x:c r="E1717" s="2" t="str">
        <x:v>환경부 이관</x:v>
      </x:c>
      <x:c r="F1717" s="2"/>
      <x:c r="G1717" s="2" t="str">
        <x:v>미확보</x:v>
      </x:c>
      <x:c r="H1717" s="2" t="str">
        <x:v>미확보</x:v>
      </x:c>
      <x:c r="I1717" s="2" t="str">
        <x:v>심의승인</x:v>
      </x:c>
      <x:c r="J1717" s="2" t="str">
        <x:v>심의승인</x:v>
      </x:c>
      <x:c r="K1717" s="2" t="str">
        <x:f>IF(OR(J1717="심의승인",J1717="반려",J1717="반려완료",J1717="심의완료"),"종결 표시",IF(OR(J1717="기후부협의",J1717="문서재제출요청",J1717="보류",J1717="보완요청",J1717="보완완료",J1717="평가중",J1717="반려요청",J1717="평가필요",LEFT(J1717,5)="보완요청("),"미종결 표시","상태 확인 필요"))</x:f>
        <x:v>종결 표시</x:v>
      </x:c>
      <x:c r="L1717" s="2"/>
      <x:c r="M1717" s="2"/>
      <x:c r="N1717" s="8"/>
      <x:c r="O1717" s="2"/>
      <x:c r="P1717" s="2"/>
      <x:c r="Q1717" s="2" t="str">
        <x:v>산업전환_외부사업관리Tool_260707_이너젠 수정_LJY_261013.xlsx</x:v>
      </x:c>
      <x:c r="R1717" s="2" t="str">
        <x:v>국내인증</x:v>
      </x:c>
      <x:c r="S1717" s="8" t="n">
        <x:v>35</x:v>
      </x:c>
      <x:c r="T1717" s="2"/>
      <x:c r="U1717" s="2" t="str"/>
      <x:c r="V1717" s="2" t="str">
        <x:v>2015-12-17</x:v>
      </x:c>
      <x:c r="W1717" s="2" t="str">
        <x:v>신청일 확인 / 담당기관 확인 / 동일 관리키 복수행·회차 확인</x:v>
      </x:c>
      <x:c r="X1717" s="2" t="str">
        <x:v>원본·배정 기록 확인</x:v>
      </x:c>
      <x:c r="Y1717" s="2" t="str">
        <x:v>ad210cd9ec132cfd447541c8984dc53d30aff0f4fb2dc92d254d49275cc55976</x:v>
      </x:c>
      <x:c r="Z1717" s="2" t="n">
        <x:f>SUBTOTAL(103,A1717)</x:f>
        <x:v>1</x:v>
      </x:c>
      <x:c r="AA1717" s="2" t="str">
        <x:f>IF(K1717&lt;&gt;"미종결 표시","대상 아님",IF(N1717="","신청일 확인",IF(NOT(ISNUMBER('종합 현황'!$H$5)),"관찰기준 확인",IF('종합 현황'!$H$5&lt;1,"관찰기준 확인",IF(N1717&gt;'종합 현황'!$H$5,"내부 관찰 대상","내부 관찰일 이하")))))</x:f>
        <x:v>대상 아님</x:v>
      </x:c>
      <x:c r="AB1717" s="2"/>
    </x:row>
    <x:row r="1718" ht="42" customHeight="1">
      <x:c r="A1718" s="2" t="str">
        <x:v>e0e5fc800cfa1b4cfb76b97d</x:v>
      </x:c>
      <x:c r="B1718" s="2" t="str">
        <x:v>감축량 인증</x:v>
      </x:c>
      <x:c r="C1718" s="2" t="str">
        <x:v>국내</x:v>
      </x:c>
      <x:c r="D1718" s="7" t="str">
        <x:v>(주)한화 울산소재 질산공장 N2O 감축 프로젝트</x:v>
      </x:c>
      <x:c r="E1718" s="2" t="str">
        <x:v>환경부 이관</x:v>
      </x:c>
      <x:c r="F1718" s="2"/>
      <x:c r="G1718" s="2" t="str">
        <x:v>미확보</x:v>
      </x:c>
      <x:c r="H1718" s="2" t="str">
        <x:v>미확보</x:v>
      </x:c>
      <x:c r="I1718" s="2" t="str">
        <x:v>심의승인</x:v>
      </x:c>
      <x:c r="J1718" s="2" t="str">
        <x:v>심의승인</x:v>
      </x:c>
      <x:c r="K1718" s="2" t="str">
        <x:f>IF(OR(J1718="심의승인",J1718="반려",J1718="반려완료",J1718="심의완료"),"종결 표시",IF(OR(J1718="기후부협의",J1718="문서재제출요청",J1718="보류",J1718="보완요청",J1718="보완완료",J1718="평가중",J1718="반려요청",J1718="평가필요",LEFT(J1718,5)="보완요청("),"미종결 표시","상태 확인 필요"))</x:f>
        <x:v>종결 표시</x:v>
      </x:c>
      <x:c r="L1718" s="2"/>
      <x:c r="M1718" s="2"/>
      <x:c r="N1718" s="8"/>
      <x:c r="O1718" s="2"/>
      <x:c r="P1718" s="2"/>
      <x:c r="Q1718" s="2" t="str">
        <x:v>산업전환_외부사업관리Tool_260707_이너젠 수정_LJY_261013.xlsx</x:v>
      </x:c>
      <x:c r="R1718" s="2" t="str">
        <x:v>국내인증</x:v>
      </x:c>
      <x:c r="S1718" s="8" t="n">
        <x:v>36</x:v>
      </x:c>
      <x:c r="T1718" s="2"/>
      <x:c r="U1718" s="2" t="str"/>
      <x:c r="V1718" s="2" t="str">
        <x:v>2015-12-17</x:v>
      </x:c>
      <x:c r="W1718" s="2" t="str">
        <x:v>신청일 확인 / 담당기관 확인 / 동일 관리키 복수행·회차 확인</x:v>
      </x:c>
      <x:c r="X1718" s="2" t="str">
        <x:v>원본·배정 기록 확인</x:v>
      </x:c>
      <x:c r="Y1718" s="2" t="str">
        <x:v>ad210cd9ec132cfd447541c8984dc53d30aff0f4fb2dc92d254d49275cc55976</x:v>
      </x:c>
      <x:c r="Z1718" s="2" t="n">
        <x:f>SUBTOTAL(103,A1718)</x:f>
        <x:v>1</x:v>
      </x:c>
      <x:c r="AA1718" s="2" t="str">
        <x:f>IF(K1718&lt;&gt;"미종결 표시","대상 아님",IF(N1718="","신청일 확인",IF(NOT(ISNUMBER('종합 현황'!$H$5)),"관찰기준 확인",IF('종합 현황'!$H$5&lt;1,"관찰기준 확인",IF(N1718&gt;'종합 현황'!$H$5,"내부 관찰 대상","내부 관찰일 이하")))))</x:f>
        <x:v>대상 아님</x:v>
      </x:c>
      <x:c r="AB1718" s="2"/>
    </x:row>
    <x:row r="1719" ht="42" customHeight="1">
      <x:c r="A1719" s="2" t="str">
        <x:v>118e32eb3050299892b39f08</x:v>
      </x:c>
      <x:c r="B1719" s="2" t="str">
        <x:v>감축량 인증</x:v>
      </x:c>
      <x:c r="C1719" s="2" t="str">
        <x:v>국내</x:v>
      </x:c>
      <x:c r="D1719" s="7" t="str">
        <x:v>(주)한화 울산소재 질산공장 N2O 감축 프로젝트</x:v>
      </x:c>
      <x:c r="E1719" s="2" t="str">
        <x:v>환경부 이관</x:v>
      </x:c>
      <x:c r="F1719" s="2"/>
      <x:c r="G1719" s="2" t="str">
        <x:v>미확보</x:v>
      </x:c>
      <x:c r="H1719" s="2" t="str">
        <x:v>미확보</x:v>
      </x:c>
      <x:c r="I1719" s="2" t="str">
        <x:v>심의승인</x:v>
      </x:c>
      <x:c r="J1719" s="2" t="str">
        <x:v>심의승인</x:v>
      </x:c>
      <x:c r="K1719" s="2" t="str">
        <x:f>IF(OR(J1719="심의승인",J1719="반려",J1719="반려완료",J1719="심의완료"),"종결 표시",IF(OR(J1719="기후부협의",J1719="문서재제출요청",J1719="보류",J1719="보완요청",J1719="보완완료",J1719="평가중",J1719="반려요청",J1719="평가필요",LEFT(J1719,5)="보완요청("),"미종결 표시","상태 확인 필요"))</x:f>
        <x:v>종결 표시</x:v>
      </x:c>
      <x:c r="L1719" s="2"/>
      <x:c r="M1719" s="2"/>
      <x:c r="N1719" s="8"/>
      <x:c r="O1719" s="2"/>
      <x:c r="P1719" s="2"/>
      <x:c r="Q1719" s="2" t="str">
        <x:v>산업전환_외부사업관리Tool_260707_이너젠 수정_LJY_261013.xlsx</x:v>
      </x:c>
      <x:c r="R1719" s="2" t="str">
        <x:v>국내인증</x:v>
      </x:c>
      <x:c r="S1719" s="8" t="n">
        <x:v>37</x:v>
      </x:c>
      <x:c r="T1719" s="2"/>
      <x:c r="U1719" s="2" t="str"/>
      <x:c r="V1719" s="2" t="str">
        <x:v>2015-12-17</x:v>
      </x:c>
      <x:c r="W1719" s="2" t="str">
        <x:v>신청일 확인 / 담당기관 확인 / 동일 관리키 복수행·회차 확인</x:v>
      </x:c>
      <x:c r="X1719" s="2" t="str">
        <x:v>원본·배정 기록 확인</x:v>
      </x:c>
      <x:c r="Y1719" s="2" t="str">
        <x:v>ad210cd9ec132cfd447541c8984dc53d30aff0f4fb2dc92d254d49275cc55976</x:v>
      </x:c>
      <x:c r="Z1719" s="2" t="n">
        <x:f>SUBTOTAL(103,A1719)</x:f>
        <x:v>1</x:v>
      </x:c>
      <x:c r="AA1719" s="2" t="str">
        <x:f>IF(K1719&lt;&gt;"미종결 표시","대상 아님",IF(N1719="","신청일 확인",IF(NOT(ISNUMBER('종합 현황'!$H$5)),"관찰기준 확인",IF('종합 현황'!$H$5&lt;1,"관찰기준 확인",IF(N1719&gt;'종합 현황'!$H$5,"내부 관찰 대상","내부 관찰일 이하")))))</x:f>
        <x:v>대상 아님</x:v>
      </x:c>
      <x:c r="AB1719" s="2"/>
    </x:row>
    <x:row r="1720" ht="42" customHeight="1">
      <x:c r="A1720" s="2" t="str">
        <x:v>2291ae0d0bc58005fcc2717b</x:v>
      </x:c>
      <x:c r="B1720" s="2" t="str">
        <x:v>감축량 인증</x:v>
      </x:c>
      <x:c r="C1720" s="2" t="str">
        <x:v>국내</x:v>
      </x:c>
      <x:c r="D1720" s="7" t="str">
        <x:v>(주)한화 울산소재 질산공장 N2O 감축 프로젝트</x:v>
      </x:c>
      <x:c r="E1720" s="2" t="str">
        <x:v>환경부 이관</x:v>
      </x:c>
      <x:c r="F1720" s="2"/>
      <x:c r="G1720" s="2" t="str">
        <x:v>미확보</x:v>
      </x:c>
      <x:c r="H1720" s="2" t="str">
        <x:v>미확보</x:v>
      </x:c>
      <x:c r="I1720" s="2" t="str">
        <x:v>심의승인</x:v>
      </x:c>
      <x:c r="J1720" s="2" t="str">
        <x:v>심의승인</x:v>
      </x:c>
      <x:c r="K1720" s="2" t="str">
        <x:f>IF(OR(J1720="심의승인",J1720="반려",J1720="반려완료",J1720="심의완료"),"종결 표시",IF(OR(J1720="기후부협의",J1720="문서재제출요청",J1720="보류",J1720="보완요청",J1720="보완완료",J1720="평가중",J1720="반려요청",J1720="평가필요",LEFT(J1720,5)="보완요청("),"미종결 표시","상태 확인 필요"))</x:f>
        <x:v>종결 표시</x:v>
      </x:c>
      <x:c r="L1720" s="2"/>
      <x:c r="M1720" s="2"/>
      <x:c r="N1720" s="8"/>
      <x:c r="O1720" s="2"/>
      <x:c r="P1720" s="2"/>
      <x:c r="Q1720" s="2" t="str">
        <x:v>산업전환_외부사업관리Tool_260707_이너젠 수정_LJY_261013.xlsx</x:v>
      </x:c>
      <x:c r="R1720" s="2" t="str">
        <x:v>국내인증</x:v>
      </x:c>
      <x:c r="S1720" s="8" t="n">
        <x:v>38</x:v>
      </x:c>
      <x:c r="T1720" s="2"/>
      <x:c r="U1720" s="2" t="str"/>
      <x:c r="V1720" s="2" t="str">
        <x:v>2015-12-17</x:v>
      </x:c>
      <x:c r="W1720" s="2" t="str">
        <x:v>신청일 확인 / 담당기관 확인 / 동일 관리키 복수행·회차 확인</x:v>
      </x:c>
      <x:c r="X1720" s="2" t="str">
        <x:v>원본·배정 기록 확인</x:v>
      </x:c>
      <x:c r="Y1720" s="2" t="str">
        <x:v>ad210cd9ec132cfd447541c8984dc53d30aff0f4fb2dc92d254d49275cc55976</x:v>
      </x:c>
      <x:c r="Z1720" s="2" t="n">
        <x:f>SUBTOTAL(103,A1720)</x:f>
        <x:v>1</x:v>
      </x:c>
      <x:c r="AA1720" s="2" t="str">
        <x:f>IF(K1720&lt;&gt;"미종결 표시","대상 아님",IF(N1720="","신청일 확인",IF(NOT(ISNUMBER('종합 현황'!$H$5)),"관찰기준 확인",IF('종합 현황'!$H$5&lt;1,"관찰기준 확인",IF(N1720&gt;'종합 현황'!$H$5,"내부 관찰 대상","내부 관찰일 이하")))))</x:f>
        <x:v>대상 아님</x:v>
      </x:c>
      <x:c r="AB1720" s="2"/>
    </x:row>
    <x:row r="1721" ht="42" customHeight="1">
      <x:c r="A1721" s="2" t="str">
        <x:v>c09136672763f45f288ed668</x:v>
      </x:c>
      <x:c r="B1721" s="2" t="str">
        <x:v>감축량 인증</x:v>
      </x:c>
      <x:c r="C1721" s="2" t="str">
        <x:v>국내</x:v>
      </x:c>
      <x:c r="D1721" s="7" t="str">
        <x:v>강원풍력발전단지사업</x:v>
      </x:c>
      <x:c r="E1721" s="2" t="str">
        <x:v>환경부 이관</x:v>
      </x:c>
      <x:c r="F1721" s="2"/>
      <x:c r="G1721" s="2" t="str">
        <x:v>미확보</x:v>
      </x:c>
      <x:c r="H1721" s="2" t="str">
        <x:v>미확보</x:v>
      </x:c>
      <x:c r="I1721" s="2" t="str">
        <x:v>심의승인</x:v>
      </x:c>
      <x:c r="J1721" s="2" t="str">
        <x:v>심의승인</x:v>
      </x:c>
      <x:c r="K1721" s="2" t="str">
        <x:f>IF(OR(J1721="심의승인",J1721="반려",J1721="반려완료",J1721="심의완료"),"종결 표시",IF(OR(J1721="기후부협의",J1721="문서재제출요청",J1721="보류",J1721="보완요청",J1721="보완완료",J1721="평가중",J1721="반려요청",J1721="평가필요",LEFT(J1721,5)="보완요청("),"미종결 표시","상태 확인 필요"))</x:f>
        <x:v>종결 표시</x:v>
      </x:c>
      <x:c r="L1721" s="2"/>
      <x:c r="M1721" s="2"/>
      <x:c r="N1721" s="8"/>
      <x:c r="O1721" s="2"/>
      <x:c r="P1721" s="2"/>
      <x:c r="Q1721" s="2" t="str">
        <x:v>산업전환_외부사업관리Tool_260707_이너젠 수정_LJY_261013.xlsx</x:v>
      </x:c>
      <x:c r="R1721" s="2" t="str">
        <x:v>국내인증</x:v>
      </x:c>
      <x:c r="S1721" s="8" t="n">
        <x:v>39</x:v>
      </x:c>
      <x:c r="T1721" s="2"/>
      <x:c r="U1721" s="2" t="str"/>
      <x:c r="V1721" s="2" t="str">
        <x:v>2015-12-17</x:v>
      </x:c>
      <x:c r="W1721" s="2" t="str">
        <x:v>신청일 확인 / 담당기관 확인 / 동일 관리키 복수행·회차 확인</x:v>
      </x:c>
      <x:c r="X1721" s="2" t="str">
        <x:v>원본·배정 기록 확인</x:v>
      </x:c>
      <x:c r="Y1721" s="2" t="str">
        <x:v>ad210cd9ec132cfd447541c8984dc53d30aff0f4fb2dc92d254d49275cc55976</x:v>
      </x:c>
      <x:c r="Z1721" s="2" t="n">
        <x:f>SUBTOTAL(103,A1721)</x:f>
        <x:v>1</x:v>
      </x:c>
      <x:c r="AA1721" s="2" t="str">
        <x:f>IF(K1721&lt;&gt;"미종결 표시","대상 아님",IF(N1721="","신청일 확인",IF(NOT(ISNUMBER('종합 현황'!$H$5)),"관찰기준 확인",IF('종합 현황'!$H$5&lt;1,"관찰기준 확인",IF(N1721&gt;'종합 현황'!$H$5,"내부 관찰 대상","내부 관찰일 이하")))))</x:f>
        <x:v>대상 아님</x:v>
      </x:c>
      <x:c r="AB1721" s="2"/>
    </x:row>
    <x:row r="1722" ht="42" customHeight="1">
      <x:c r="A1722" s="2" t="str">
        <x:v>aaa99f3c89ce7dc8079de2a7</x:v>
      </x:c>
      <x:c r="B1722" s="2" t="str">
        <x:v>감축량 인증</x:v>
      </x:c>
      <x:c r="C1722" s="2" t="str">
        <x:v>국내</x:v>
      </x:c>
      <x:c r="D1722" s="7" t="str">
        <x:v>제주도 한경풍력 2단계 CDM사업</x:v>
      </x:c>
      <x:c r="E1722" s="2" t="str">
        <x:v>환경부 이관</x:v>
      </x:c>
      <x:c r="F1722" s="2"/>
      <x:c r="G1722" s="2" t="str">
        <x:v>미확보</x:v>
      </x:c>
      <x:c r="H1722" s="2" t="str">
        <x:v>미확보</x:v>
      </x:c>
      <x:c r="I1722" s="2" t="str">
        <x:v>심의승인</x:v>
      </x:c>
      <x:c r="J1722" s="2" t="str">
        <x:v>심의승인</x:v>
      </x:c>
      <x:c r="K1722" s="2" t="str">
        <x:f>IF(OR(J1722="심의승인",J1722="반려",J1722="반려완료",J1722="심의완료"),"종결 표시",IF(OR(J1722="기후부협의",J1722="문서재제출요청",J1722="보류",J1722="보완요청",J1722="보완완료",J1722="평가중",J1722="반려요청",J1722="평가필요",LEFT(J1722,5)="보완요청("),"미종결 표시","상태 확인 필요"))</x:f>
        <x:v>종결 표시</x:v>
      </x:c>
      <x:c r="L1722" s="2"/>
      <x:c r="M1722" s="2"/>
      <x:c r="N1722" s="8"/>
      <x:c r="O1722" s="2"/>
      <x:c r="P1722" s="2"/>
      <x:c r="Q1722" s="2" t="str">
        <x:v>산업전환_외부사업관리Tool_260707_이너젠 수정_LJY_261013.xlsx</x:v>
      </x:c>
      <x:c r="R1722" s="2" t="str">
        <x:v>국내인증</x:v>
      </x:c>
      <x:c r="S1722" s="8" t="n">
        <x:v>40</x:v>
      </x:c>
      <x:c r="T1722" s="2"/>
      <x:c r="U1722" s="2" t="str"/>
      <x:c r="V1722" s="2" t="str">
        <x:v>2015-12-17</x:v>
      </x:c>
      <x:c r="W1722" s="2" t="str">
        <x:v>신청일 확인 / 담당기관 확인 / 동일 관리키 복수행·회차 확인</x:v>
      </x:c>
      <x:c r="X1722" s="2" t="str">
        <x:v>원본·배정 기록 확인</x:v>
      </x:c>
      <x:c r="Y1722" s="2" t="str">
        <x:v>ad210cd9ec132cfd447541c8984dc53d30aff0f4fb2dc92d254d49275cc55976</x:v>
      </x:c>
      <x:c r="Z1722" s="2" t="n">
        <x:f>SUBTOTAL(103,A1722)</x:f>
        <x:v>1</x:v>
      </x:c>
      <x:c r="AA1722" s="2" t="str">
        <x:f>IF(K1722&lt;&gt;"미종결 표시","대상 아님",IF(N1722="","신청일 확인",IF(NOT(ISNUMBER('종합 현황'!$H$5)),"관찰기준 확인",IF('종합 현황'!$H$5&lt;1,"관찰기준 확인",IF(N1722&gt;'종합 현황'!$H$5,"내부 관찰 대상","내부 관찰일 이하")))))</x:f>
        <x:v>대상 아님</x:v>
      </x:c>
      <x:c r="AB1722" s="2"/>
    </x:row>
    <x:row r="1723" ht="42" customHeight="1">
      <x:c r="A1723" s="2" t="str">
        <x:v>f74e4038ec71cc99d42d3aa2</x:v>
      </x:c>
      <x:c r="B1723" s="2" t="str">
        <x:v>감축량 인증</x:v>
      </x:c>
      <x:c r="C1723" s="2" t="str">
        <x:v>국내</x:v>
      </x:c>
      <x:c r="D1723" s="7" t="str">
        <x:v>영덕풍력발전단지 사업</x:v>
      </x:c>
      <x:c r="E1723" s="2" t="str">
        <x:v>환경부 이관</x:v>
      </x:c>
      <x:c r="F1723" s="2"/>
      <x:c r="G1723" s="2" t="str">
        <x:v>미확보</x:v>
      </x:c>
      <x:c r="H1723" s="2" t="str">
        <x:v>미확보</x:v>
      </x:c>
      <x:c r="I1723" s="2" t="str">
        <x:v>심의승인</x:v>
      </x:c>
      <x:c r="J1723" s="2" t="str">
        <x:v>심의승인</x:v>
      </x:c>
      <x:c r="K1723" s="2" t="str">
        <x:f>IF(OR(J1723="심의승인",J1723="반려",J1723="반려완료",J1723="심의완료"),"종결 표시",IF(OR(J1723="기후부협의",J1723="문서재제출요청",J1723="보류",J1723="보완요청",J1723="보완완료",J1723="평가중",J1723="반려요청",J1723="평가필요",LEFT(J1723,5)="보완요청("),"미종결 표시","상태 확인 필요"))</x:f>
        <x:v>종결 표시</x:v>
      </x:c>
      <x:c r="L1723" s="2"/>
      <x:c r="M1723" s="2"/>
      <x:c r="N1723" s="8"/>
      <x:c r="O1723" s="2"/>
      <x:c r="P1723" s="2"/>
      <x:c r="Q1723" s="2" t="str">
        <x:v>산업전환_외부사업관리Tool_260707_이너젠 수정_LJY_261013.xlsx</x:v>
      </x:c>
      <x:c r="R1723" s="2" t="str">
        <x:v>국내인증</x:v>
      </x:c>
      <x:c r="S1723" s="8" t="n">
        <x:v>41</x:v>
      </x:c>
      <x:c r="T1723" s="2"/>
      <x:c r="U1723" s="2" t="str"/>
      <x:c r="V1723" s="2" t="str">
        <x:v>2015-12-17</x:v>
      </x:c>
      <x:c r="W1723" s="2" t="str">
        <x:v>신청일 확인 / 담당기관 확인 / 동일 관리키 복수행·회차 확인</x:v>
      </x:c>
      <x:c r="X1723" s="2" t="str">
        <x:v>원본·배정 기록 확인</x:v>
      </x:c>
      <x:c r="Y1723" s="2" t="str">
        <x:v>ad210cd9ec132cfd447541c8984dc53d30aff0f4fb2dc92d254d49275cc55976</x:v>
      </x:c>
      <x:c r="Z1723" s="2" t="n">
        <x:f>SUBTOTAL(103,A1723)</x:f>
        <x:v>1</x:v>
      </x:c>
      <x:c r="AA1723" s="2" t="str">
        <x:f>IF(K1723&lt;&gt;"미종결 표시","대상 아님",IF(N1723="","신청일 확인",IF(NOT(ISNUMBER('종합 현황'!$H$5)),"관찰기준 확인",IF('종합 현황'!$H$5&lt;1,"관찰기준 확인",IF(N1723&gt;'종합 현황'!$H$5,"내부 관찰 대상","내부 관찰일 이하")))))</x:f>
        <x:v>대상 아님</x:v>
      </x:c>
      <x:c r="AB1723" s="2"/>
    </x:row>
    <x:row r="1724" ht="42" customHeight="1">
      <x:c r="A1724" s="2" t="str">
        <x:v>f636cce15fdc2102008852a1</x:v>
      </x:c>
      <x:c r="B1724" s="2" t="str">
        <x:v>감축량 인증</x:v>
      </x:c>
      <x:c r="C1724" s="2" t="str">
        <x:v>국내</x:v>
      </x:c>
      <x:c r="D1724" s="7" t="str">
        <x:v>영덕풍력발전단지 사업</x:v>
      </x:c>
      <x:c r="E1724" s="2" t="str">
        <x:v>환경부 이관</x:v>
      </x:c>
      <x:c r="F1724" s="2"/>
      <x:c r="G1724" s="2" t="str">
        <x:v>미확보</x:v>
      </x:c>
      <x:c r="H1724" s="2" t="str">
        <x:v>미확보</x:v>
      </x:c>
      <x:c r="I1724" s="2" t="str">
        <x:v>심의승인</x:v>
      </x:c>
      <x:c r="J1724" s="2" t="str">
        <x:v>심의승인</x:v>
      </x:c>
      <x:c r="K1724" s="2" t="str">
        <x:f>IF(OR(J1724="심의승인",J1724="반려",J1724="반려완료",J1724="심의완료"),"종결 표시",IF(OR(J1724="기후부협의",J1724="문서재제출요청",J1724="보류",J1724="보완요청",J1724="보완완료",J1724="평가중",J1724="반려요청",J1724="평가필요",LEFT(J1724,5)="보완요청("),"미종결 표시","상태 확인 필요"))</x:f>
        <x:v>종결 표시</x:v>
      </x:c>
      <x:c r="L1724" s="2"/>
      <x:c r="M1724" s="2"/>
      <x:c r="N1724" s="8"/>
      <x:c r="O1724" s="2"/>
      <x:c r="P1724" s="2"/>
      <x:c r="Q1724" s="2" t="str">
        <x:v>산업전환_외부사업관리Tool_260707_이너젠 수정_LJY_261013.xlsx</x:v>
      </x:c>
      <x:c r="R1724" s="2" t="str">
        <x:v>국내인증</x:v>
      </x:c>
      <x:c r="S1724" s="8" t="n">
        <x:v>42</x:v>
      </x:c>
      <x:c r="T1724" s="2"/>
      <x:c r="U1724" s="2" t="str"/>
      <x:c r="V1724" s="2" t="str">
        <x:v>2015-12-17</x:v>
      </x:c>
      <x:c r="W1724" s="2" t="str">
        <x:v>신청일 확인 / 담당기관 확인 / 동일 관리키 복수행·회차 확인</x:v>
      </x:c>
      <x:c r="X1724" s="2" t="str">
        <x:v>원본·배정 기록 확인</x:v>
      </x:c>
      <x:c r="Y1724" s="2" t="str">
        <x:v>ad210cd9ec132cfd447541c8984dc53d30aff0f4fb2dc92d254d49275cc55976</x:v>
      </x:c>
      <x:c r="Z1724" s="2" t="n">
        <x:f>SUBTOTAL(103,A1724)</x:f>
        <x:v>1</x:v>
      </x:c>
      <x:c r="AA1724" s="2" t="str">
        <x:f>IF(K1724&lt;&gt;"미종결 표시","대상 아님",IF(N1724="","신청일 확인",IF(NOT(ISNUMBER('종합 현황'!$H$5)),"관찰기준 확인",IF('종합 현황'!$H$5&lt;1,"관찰기준 확인",IF(N1724&gt;'종합 현황'!$H$5,"내부 관찰 대상","내부 관찰일 이하")))))</x:f>
        <x:v>대상 아님</x:v>
      </x:c>
      <x:c r="AB1724" s="2"/>
    </x:row>
    <x:row r="1725" ht="42" customHeight="1">
      <x:c r="A1725" s="2" t="str">
        <x:v>c05d4df4e71185d8ecac8c39</x:v>
      </x:c>
      <x:c r="B1725" s="2" t="str">
        <x:v>감축량 인증</x:v>
      </x:c>
      <x:c r="C1725" s="2" t="str">
        <x:v>국내</x:v>
      </x:c>
      <x:c r="D1725" s="7" t="str">
        <x:v>지역 난방용 온수 보일러 연료전환 사업</x:v>
      </x:c>
      <x:c r="E1725" s="2" t="str">
        <x:v>환경부 이관</x:v>
      </x:c>
      <x:c r="F1725" s="2"/>
      <x:c r="G1725" s="2" t="str">
        <x:v>미확보</x:v>
      </x:c>
      <x:c r="H1725" s="2" t="str">
        <x:v>미확보</x:v>
      </x:c>
      <x:c r="I1725" s="2" t="str">
        <x:v>심의승인</x:v>
      </x:c>
      <x:c r="J1725" s="2" t="str">
        <x:v>심의승인</x:v>
      </x:c>
      <x:c r="K1725" s="2" t="str">
        <x:f>IF(OR(J1725="심의승인",J1725="반려",J1725="반려완료",J1725="심의완료"),"종결 표시",IF(OR(J1725="기후부협의",J1725="문서재제출요청",J1725="보류",J1725="보완요청",J1725="보완완료",J1725="평가중",J1725="반려요청",J1725="평가필요",LEFT(J1725,5)="보완요청("),"미종결 표시","상태 확인 필요"))</x:f>
        <x:v>종결 표시</x:v>
      </x:c>
      <x:c r="L1725" s="2"/>
      <x:c r="M1725" s="2"/>
      <x:c r="N1725" s="8"/>
      <x:c r="O1725" s="2"/>
      <x:c r="P1725" s="2"/>
      <x:c r="Q1725" s="2" t="str">
        <x:v>산업전환_외부사업관리Tool_260707_이너젠 수정_LJY_261013.xlsx</x:v>
      </x:c>
      <x:c r="R1725" s="2" t="str">
        <x:v>국내인증</x:v>
      </x:c>
      <x:c r="S1725" s="8" t="n">
        <x:v>43</x:v>
      </x:c>
      <x:c r="T1725" s="2"/>
      <x:c r="U1725" s="2" t="str"/>
      <x:c r="V1725" s="2" t="str">
        <x:v>2015-12-17</x:v>
      </x:c>
      <x:c r="W1725" s="2" t="str">
        <x:v>신청일 확인 / 담당기관 확인 / 동일 관리키 복수행·회차 확인</x:v>
      </x:c>
      <x:c r="X1725" s="2" t="str">
        <x:v>원본·배정 기록 확인</x:v>
      </x:c>
      <x:c r="Y1725" s="2" t="str">
        <x:v>ad210cd9ec132cfd447541c8984dc53d30aff0f4fb2dc92d254d49275cc55976</x:v>
      </x:c>
      <x:c r="Z1725" s="2" t="n">
        <x:f>SUBTOTAL(103,A1725)</x:f>
        <x:v>1</x:v>
      </x:c>
      <x:c r="AA1725" s="2" t="str">
        <x:f>IF(K1725&lt;&gt;"미종결 표시","대상 아님",IF(N1725="","신청일 확인",IF(NOT(ISNUMBER('종합 현황'!$H$5)),"관찰기준 확인",IF('종합 현황'!$H$5&lt;1,"관찰기준 확인",IF(N1725&gt;'종합 현황'!$H$5,"내부 관찰 대상","내부 관찰일 이하")))))</x:f>
        <x:v>대상 아님</x:v>
      </x:c>
      <x:c r="AB1725" s="2"/>
    </x:row>
    <x:row r="1726" ht="42" customHeight="1">
      <x:c r="A1726" s="2" t="str">
        <x:v>969ec02d474114acd5882f64</x:v>
      </x:c>
      <x:c r="B1726" s="2" t="str">
        <x:v>감축량 인증</x:v>
      </x:c>
      <x:c r="C1726" s="2" t="str">
        <x:v>국내</x:v>
      </x:c>
      <x:c r="D1726" s="7" t="str">
        <x:v>지역 난방용 온수 보일러 연료전환 사업</x:v>
      </x:c>
      <x:c r="E1726" s="2" t="str">
        <x:v>환경부 이관</x:v>
      </x:c>
      <x:c r="F1726" s="2"/>
      <x:c r="G1726" s="2" t="str">
        <x:v>미확보</x:v>
      </x:c>
      <x:c r="H1726" s="2" t="str">
        <x:v>미확보</x:v>
      </x:c>
      <x:c r="I1726" s="2" t="str">
        <x:v>심의승인</x:v>
      </x:c>
      <x:c r="J1726" s="2" t="str">
        <x:v>심의승인</x:v>
      </x:c>
      <x:c r="K1726" s="2" t="str">
        <x:f>IF(OR(J1726="심의승인",J1726="반려",J1726="반려완료",J1726="심의완료"),"종결 표시",IF(OR(J1726="기후부협의",J1726="문서재제출요청",J1726="보류",J1726="보완요청",J1726="보완완료",J1726="평가중",J1726="반려요청",J1726="평가필요",LEFT(J1726,5)="보완요청("),"미종결 표시","상태 확인 필요"))</x:f>
        <x:v>종결 표시</x:v>
      </x:c>
      <x:c r="L1726" s="2"/>
      <x:c r="M1726" s="2"/>
      <x:c r="N1726" s="8"/>
      <x:c r="O1726" s="2"/>
      <x:c r="P1726" s="2"/>
      <x:c r="Q1726" s="2" t="str">
        <x:v>산업전환_외부사업관리Tool_260707_이너젠 수정_LJY_261013.xlsx</x:v>
      </x:c>
      <x:c r="R1726" s="2" t="str">
        <x:v>국내인증</x:v>
      </x:c>
      <x:c r="S1726" s="8" t="n">
        <x:v>44</x:v>
      </x:c>
      <x:c r="T1726" s="2"/>
      <x:c r="U1726" s="2" t="str"/>
      <x:c r="V1726" s="2" t="str">
        <x:v>2015-12-17</x:v>
      </x:c>
      <x:c r="W1726" s="2" t="str">
        <x:v>신청일 확인 / 담당기관 확인 / 동일 관리키 복수행·회차 확인</x:v>
      </x:c>
      <x:c r="X1726" s="2" t="str">
        <x:v>원본·배정 기록 확인</x:v>
      </x:c>
      <x:c r="Y1726" s="2" t="str">
        <x:v>ad210cd9ec132cfd447541c8984dc53d30aff0f4fb2dc92d254d49275cc55976</x:v>
      </x:c>
      <x:c r="Z1726" s="2" t="n">
        <x:f>SUBTOTAL(103,A1726)</x:f>
        <x:v>1</x:v>
      </x:c>
      <x:c r="AA1726" s="2" t="str">
        <x:f>IF(K1726&lt;&gt;"미종결 표시","대상 아님",IF(N1726="","신청일 확인",IF(NOT(ISNUMBER('종합 현황'!$H$5)),"관찰기준 확인",IF('종합 현황'!$H$5&lt;1,"관찰기준 확인",IF(N1726&gt;'종합 현황'!$H$5,"내부 관찰 대상","내부 관찰일 이하")))))</x:f>
        <x:v>대상 아님</x:v>
      </x:c>
      <x:c r="AB1726" s="2"/>
    </x:row>
    <x:row r="1727" ht="42" customHeight="1">
      <x:c r="A1727" s="2" t="str">
        <x:v>645d0dc4348d2885f450dda6</x:v>
      </x:c>
      <x:c r="B1727" s="2" t="str">
        <x:v>감축량 인증</x:v>
      </x:c>
      <x:c r="C1727" s="2" t="str">
        <x:v>국내</x:v>
      </x:c>
      <x:c r="D1727" s="7" t="str">
        <x:v>지역 난방용 온수 보일러 연료전환 사업</x:v>
      </x:c>
      <x:c r="E1727" s="2" t="str">
        <x:v>환경부 이관</x:v>
      </x:c>
      <x:c r="F1727" s="2"/>
      <x:c r="G1727" s="2" t="str">
        <x:v>미확보</x:v>
      </x:c>
      <x:c r="H1727" s="2" t="str">
        <x:v>미확보</x:v>
      </x:c>
      <x:c r="I1727" s="2" t="str">
        <x:v>심의승인</x:v>
      </x:c>
      <x:c r="J1727" s="2" t="str">
        <x:v>심의승인</x:v>
      </x:c>
      <x:c r="K1727" s="2" t="str">
        <x:f>IF(OR(J1727="심의승인",J1727="반려",J1727="반려완료",J1727="심의완료"),"종결 표시",IF(OR(J1727="기후부협의",J1727="문서재제출요청",J1727="보류",J1727="보완요청",J1727="보완완료",J1727="평가중",J1727="반려요청",J1727="평가필요",LEFT(J1727,5)="보완요청("),"미종결 표시","상태 확인 필요"))</x:f>
        <x:v>종결 표시</x:v>
      </x:c>
      <x:c r="L1727" s="2"/>
      <x:c r="M1727" s="2"/>
      <x:c r="N1727" s="8"/>
      <x:c r="O1727" s="2"/>
      <x:c r="P1727" s="2"/>
      <x:c r="Q1727" s="2" t="str">
        <x:v>산업전환_외부사업관리Tool_260707_이너젠 수정_LJY_261013.xlsx</x:v>
      </x:c>
      <x:c r="R1727" s="2" t="str">
        <x:v>국내인증</x:v>
      </x:c>
      <x:c r="S1727" s="8" t="n">
        <x:v>45</x:v>
      </x:c>
      <x:c r="T1727" s="2"/>
      <x:c r="U1727" s="2" t="str"/>
      <x:c r="V1727" s="2" t="str">
        <x:v>2015-12-17</x:v>
      </x:c>
      <x:c r="W1727" s="2" t="str">
        <x:v>신청일 확인 / 담당기관 확인 / 동일 관리키 복수행·회차 확인</x:v>
      </x:c>
      <x:c r="X1727" s="2" t="str">
        <x:v>원본·배정 기록 확인</x:v>
      </x:c>
      <x:c r="Y1727" s="2" t="str">
        <x:v>ad210cd9ec132cfd447541c8984dc53d30aff0f4fb2dc92d254d49275cc55976</x:v>
      </x:c>
      <x:c r="Z1727" s="2" t="n">
        <x:f>SUBTOTAL(103,A1727)</x:f>
        <x:v>1</x:v>
      </x:c>
      <x:c r="AA1727" s="2" t="str">
        <x:f>IF(K1727&lt;&gt;"미종결 표시","대상 아님",IF(N1727="","신청일 확인",IF(NOT(ISNUMBER('종합 현황'!$H$5)),"관찰기준 확인",IF('종합 현황'!$H$5&lt;1,"관찰기준 확인",IF(N1727&gt;'종합 현황'!$H$5,"내부 관찰 대상","내부 관찰일 이하")))))</x:f>
        <x:v>대상 아님</x:v>
      </x:c>
      <x:c r="AB1727" s="2"/>
    </x:row>
    <x:row r="1728" ht="42" customHeight="1">
      <x:c r="A1728" s="2" t="str">
        <x:v>6b80446cb2aaa3012f11d087</x:v>
      </x:c>
      <x:c r="B1728" s="2" t="str">
        <x:v>감축량 인증</x:v>
      </x:c>
      <x:c r="C1728" s="2" t="str">
        <x:v>국내</x:v>
      </x:c>
      <x:c r="D1728" s="7" t="str">
        <x:v>휴켐스 질산공장 N2O 감축사업(휴켐스 주식회사의 질산 공장 세 곳에서 tail gas에 포함된 아산화질소를 촉매를 사용하여 제거하는 프로젝트)</x:v>
      </x:c>
      <x:c r="E1728" s="2" t="str">
        <x:v>환경부 이관</x:v>
      </x:c>
      <x:c r="F1728" s="2"/>
      <x:c r="G1728" s="2" t="str">
        <x:v>미확보</x:v>
      </x:c>
      <x:c r="H1728" s="2" t="str">
        <x:v>미확보</x:v>
      </x:c>
      <x:c r="I1728" s="2" t="str">
        <x:v>심의승인</x:v>
      </x:c>
      <x:c r="J1728" s="2" t="str">
        <x:v>심의승인</x:v>
      </x:c>
      <x:c r="K1728" s="2" t="str">
        <x:f>IF(OR(J1728="심의승인",J1728="반려",J1728="반려완료",J1728="심의완료"),"종결 표시",IF(OR(J1728="기후부협의",J1728="문서재제출요청",J1728="보류",J1728="보완요청",J1728="보완완료",J1728="평가중",J1728="반려요청",J1728="평가필요",LEFT(J1728,5)="보완요청("),"미종결 표시","상태 확인 필요"))</x:f>
        <x:v>종결 표시</x:v>
      </x:c>
      <x:c r="L1728" s="2"/>
      <x:c r="M1728" s="2"/>
      <x:c r="N1728" s="8"/>
      <x:c r="O1728" s="2"/>
      <x:c r="P1728" s="2"/>
      <x:c r="Q1728" s="2" t="str">
        <x:v>산업전환_외부사업관리Tool_260707_이너젠 수정_LJY_261013.xlsx</x:v>
      </x:c>
      <x:c r="R1728" s="2" t="str">
        <x:v>국내인증</x:v>
      </x:c>
      <x:c r="S1728" s="8" t="n">
        <x:v>46</x:v>
      </x:c>
      <x:c r="T1728" s="2"/>
      <x:c r="U1728" s="2" t="str"/>
      <x:c r="V1728" s="2" t="str">
        <x:v>2015-12-17</x:v>
      </x:c>
      <x:c r="W1728" s="2" t="str">
        <x:v>신청일 확인 / 담당기관 확인 / 동일 관리키 복수행·회차 확인</x:v>
      </x:c>
      <x:c r="X1728" s="2" t="str">
        <x:v>원본·배정 기록 확인</x:v>
      </x:c>
      <x:c r="Y1728" s="2" t="str">
        <x:v>ad210cd9ec132cfd447541c8984dc53d30aff0f4fb2dc92d254d49275cc55976</x:v>
      </x:c>
      <x:c r="Z1728" s="2" t="n">
        <x:f>SUBTOTAL(103,A1728)</x:f>
        <x:v>1</x:v>
      </x:c>
      <x:c r="AA1728" s="2" t="str">
        <x:f>IF(K1728&lt;&gt;"미종결 표시","대상 아님",IF(N1728="","신청일 확인",IF(NOT(ISNUMBER('종합 현황'!$H$5)),"관찰기준 확인",IF('종합 현황'!$H$5&lt;1,"관찰기준 확인",IF(N1728&gt;'종합 현황'!$H$5,"내부 관찰 대상","내부 관찰일 이하")))))</x:f>
        <x:v>대상 아님</x:v>
      </x:c>
      <x:c r="AB1728" s="2"/>
    </x:row>
    <x:row r="1729" ht="42" customHeight="1">
      <x:c r="A1729" s="2" t="str">
        <x:v>4db9294f25f075a171b8f4f1</x:v>
      </x:c>
      <x:c r="B1729" s="2" t="str">
        <x:v>감축량 인증</x:v>
      </x:c>
      <x:c r="C1729" s="2" t="str">
        <x:v>국내</x:v>
      </x:c>
      <x:c r="D1729" s="7" t="str">
        <x:v>영양 61.5MW 풍력발전단지 CDM 사업</x:v>
      </x:c>
      <x:c r="E1729" s="2" t="str">
        <x:v>환경부 이관</x:v>
      </x:c>
      <x:c r="F1729" s="2"/>
      <x:c r="G1729" s="2" t="str">
        <x:v>미확보</x:v>
      </x:c>
      <x:c r="H1729" s="2" t="str">
        <x:v>미확보</x:v>
      </x:c>
      <x:c r="I1729" s="2" t="str">
        <x:v>심의승인</x:v>
      </x:c>
      <x:c r="J1729" s="2" t="str">
        <x:v>심의승인</x:v>
      </x:c>
      <x:c r="K1729" s="2" t="str">
        <x:f>IF(OR(J1729="심의승인",J1729="반려",J1729="반려완료",J1729="심의완료"),"종결 표시",IF(OR(J1729="기후부협의",J1729="문서재제출요청",J1729="보류",J1729="보완요청",J1729="보완완료",J1729="평가중",J1729="반려요청",J1729="평가필요",LEFT(J1729,5)="보완요청("),"미종결 표시","상태 확인 필요"))</x:f>
        <x:v>종결 표시</x:v>
      </x:c>
      <x:c r="L1729" s="2"/>
      <x:c r="M1729" s="2"/>
      <x:c r="N1729" s="8"/>
      <x:c r="O1729" s="2"/>
      <x:c r="P1729" s="2"/>
      <x:c r="Q1729" s="2" t="str">
        <x:v>산업전환_외부사업관리Tool_260707_이너젠 수정_LJY_261013.xlsx</x:v>
      </x:c>
      <x:c r="R1729" s="2" t="str">
        <x:v>국내인증</x:v>
      </x:c>
      <x:c r="S1729" s="8" t="n">
        <x:v>47</x:v>
      </x:c>
      <x:c r="T1729" s="2"/>
      <x:c r="U1729" s="2" t="str"/>
      <x:c r="V1729" s="2" t="str">
        <x:v>2015-12-17</x:v>
      </x:c>
      <x:c r="W1729" s="2" t="str">
        <x:v>신청일 확인 / 담당기관 확인 / 동일 관리키 복수행·회차 확인</x:v>
      </x:c>
      <x:c r="X1729" s="2" t="str">
        <x:v>원본·배정 기록 확인</x:v>
      </x:c>
      <x:c r="Y1729" s="2" t="str">
        <x:v>ad210cd9ec132cfd447541c8984dc53d30aff0f4fb2dc92d254d49275cc55976</x:v>
      </x:c>
      <x:c r="Z1729" s="2" t="n">
        <x:f>SUBTOTAL(103,A1729)</x:f>
        <x:v>1</x:v>
      </x:c>
      <x:c r="AA1729" s="2" t="str">
        <x:f>IF(K1729&lt;&gt;"미종결 표시","대상 아님",IF(N1729="","신청일 확인",IF(NOT(ISNUMBER('종합 현황'!$H$5)),"관찰기준 확인",IF('종합 현황'!$H$5&lt;1,"관찰기준 확인",IF(N1729&gt;'종합 현황'!$H$5,"내부 관찰 대상","내부 관찰일 이하")))))</x:f>
        <x:v>대상 아님</x:v>
      </x:c>
      <x:c r="AB1729" s="2"/>
    </x:row>
    <x:row r="1730" ht="42" customHeight="1">
      <x:c r="A1730" s="2" t="str">
        <x:v>0b54ed58efa0a3d52ef3322e</x:v>
      </x:c>
      <x:c r="B1730" s="2" t="str">
        <x:v>감축량 인증</x:v>
      </x:c>
      <x:c r="C1730" s="2" t="str">
        <x:v>국내</x:v>
      </x:c>
      <x:c r="D1730" s="7" t="str">
        <x:v>태기산 풍력발전 CDM사업</x:v>
      </x:c>
      <x:c r="E1730" s="2" t="str">
        <x:v>환경부 이관</x:v>
      </x:c>
      <x:c r="F1730" s="2"/>
      <x:c r="G1730" s="2" t="str">
        <x:v>미확보</x:v>
      </x:c>
      <x:c r="H1730" s="2" t="str">
        <x:v>미확보</x:v>
      </x:c>
      <x:c r="I1730" s="2" t="str">
        <x:v>심의승인</x:v>
      </x:c>
      <x:c r="J1730" s="2" t="str">
        <x:v>심의승인</x:v>
      </x:c>
      <x:c r="K1730" s="2" t="str">
        <x:f>IF(OR(J1730="심의승인",J1730="반려",J1730="반려완료",J1730="심의완료"),"종결 표시",IF(OR(J1730="기후부협의",J1730="문서재제출요청",J1730="보류",J1730="보완요청",J1730="보완완료",J1730="평가중",J1730="반려요청",J1730="평가필요",LEFT(J1730,5)="보완요청("),"미종결 표시","상태 확인 필요"))</x:f>
        <x:v>종결 표시</x:v>
      </x:c>
      <x:c r="L1730" s="2"/>
      <x:c r="M1730" s="2"/>
      <x:c r="N1730" s="8"/>
      <x:c r="O1730" s="2"/>
      <x:c r="P1730" s="2"/>
      <x:c r="Q1730" s="2" t="str">
        <x:v>산업전환_외부사업관리Tool_260707_이너젠 수정_LJY_261013.xlsx</x:v>
      </x:c>
      <x:c r="R1730" s="2" t="str">
        <x:v>국내인증</x:v>
      </x:c>
      <x:c r="S1730" s="8" t="n">
        <x:v>48</x:v>
      </x:c>
      <x:c r="T1730" s="2"/>
      <x:c r="U1730" s="2" t="str"/>
      <x:c r="V1730" s="2" t="str">
        <x:v>2015-12-17</x:v>
      </x:c>
      <x:c r="W1730" s="2" t="str">
        <x:v>신청일 확인 / 담당기관 확인 / 동일 관리키 복수행·회차 확인</x:v>
      </x:c>
      <x:c r="X1730" s="2" t="str">
        <x:v>원본·배정 기록 확인</x:v>
      </x:c>
      <x:c r="Y1730" s="2" t="str">
        <x:v>ad210cd9ec132cfd447541c8984dc53d30aff0f4fb2dc92d254d49275cc55976</x:v>
      </x:c>
      <x:c r="Z1730" s="2" t="n">
        <x:f>SUBTOTAL(103,A1730)</x:f>
        <x:v>1</x:v>
      </x:c>
      <x:c r="AA1730" s="2" t="str">
        <x:f>IF(K1730&lt;&gt;"미종결 표시","대상 아님",IF(N1730="","신청일 확인",IF(NOT(ISNUMBER('종합 현황'!$H$5)),"관찰기준 확인",IF('종합 현황'!$H$5&lt;1,"관찰기준 확인",IF(N1730&gt;'종합 현황'!$H$5,"내부 관찰 대상","내부 관찰일 이하")))))</x:f>
        <x:v>대상 아님</x:v>
      </x:c>
      <x:c r="AB1730" s="2"/>
    </x:row>
    <x:row r="1731" ht="42" customHeight="1">
      <x:c r="A1731" s="2" t="str">
        <x:v>dbec5e5423d3981c7114e6ef</x:v>
      </x:c>
      <x:c r="B1731" s="2" t="str">
        <x:v>감축량 인증</x:v>
      </x:c>
      <x:c r="C1731" s="2" t="str">
        <x:v>국내</x:v>
      </x:c>
      <x:c r="D1731" s="7" t="str">
        <x:v>동부한농 질산공장 N2O 감축사업</x:v>
      </x:c>
      <x:c r="E1731" s="2" t="str">
        <x:v>환경부 이관</x:v>
      </x:c>
      <x:c r="F1731" s="2"/>
      <x:c r="G1731" s="2" t="str">
        <x:v>미확보</x:v>
      </x:c>
      <x:c r="H1731" s="2" t="str">
        <x:v>미확보</x:v>
      </x:c>
      <x:c r="I1731" s="2" t="str">
        <x:v>심의승인</x:v>
      </x:c>
      <x:c r="J1731" s="2" t="str">
        <x:v>심의승인</x:v>
      </x:c>
      <x:c r="K1731" s="2" t="str">
        <x:f>IF(OR(J1731="심의승인",J1731="반려",J1731="반려완료",J1731="심의완료"),"종결 표시",IF(OR(J1731="기후부협의",J1731="문서재제출요청",J1731="보류",J1731="보완요청",J1731="보완완료",J1731="평가중",J1731="반려요청",J1731="평가필요",LEFT(J1731,5)="보완요청("),"미종결 표시","상태 확인 필요"))</x:f>
        <x:v>종결 표시</x:v>
      </x:c>
      <x:c r="L1731" s="2"/>
      <x:c r="M1731" s="2"/>
      <x:c r="N1731" s="8"/>
      <x:c r="O1731" s="2"/>
      <x:c r="P1731" s="2"/>
      <x:c r="Q1731" s="2" t="str">
        <x:v>산업전환_외부사업관리Tool_260707_이너젠 수정_LJY_261013.xlsx</x:v>
      </x:c>
      <x:c r="R1731" s="2" t="str">
        <x:v>국내인증</x:v>
      </x:c>
      <x:c r="S1731" s="8" t="n">
        <x:v>49</x:v>
      </x:c>
      <x:c r="T1731" s="2"/>
      <x:c r="U1731" s="2" t="str"/>
      <x:c r="V1731" s="2" t="str">
        <x:v>2015-12-17</x:v>
      </x:c>
      <x:c r="W1731" s="2" t="str">
        <x:v>신청일 확인 / 담당기관 확인 / 동일 관리키 복수행·회차 확인</x:v>
      </x:c>
      <x:c r="X1731" s="2" t="str">
        <x:v>원본·배정 기록 확인</x:v>
      </x:c>
      <x:c r="Y1731" s="2" t="str">
        <x:v>ad210cd9ec132cfd447541c8984dc53d30aff0f4fb2dc92d254d49275cc55976</x:v>
      </x:c>
      <x:c r="Z1731" s="2" t="n">
        <x:f>SUBTOTAL(103,A1731)</x:f>
        <x:v>1</x:v>
      </x:c>
      <x:c r="AA1731" s="2" t="str">
        <x:f>IF(K1731&lt;&gt;"미종결 표시","대상 아님",IF(N1731="","신청일 확인",IF(NOT(ISNUMBER('종합 현황'!$H$5)),"관찰기준 확인",IF('종합 현황'!$H$5&lt;1,"관찰기준 확인",IF(N1731&gt;'종합 현황'!$H$5,"내부 관찰 대상","내부 관찰일 이하")))))</x:f>
        <x:v>대상 아님</x:v>
      </x:c>
      <x:c r="AB1731" s="2"/>
    </x:row>
    <x:row r="1732" ht="42" customHeight="1">
      <x:c r="A1732" s="2" t="str">
        <x:v>a55782b13b7a37a7a56df7e8</x:v>
      </x:c>
      <x:c r="B1732" s="2" t="str">
        <x:v>감축량 인증</x:v>
      </x:c>
      <x:c r="C1732" s="2" t="str">
        <x:v>국내</x:v>
      </x:c>
      <x:c r="D1732" s="7" t="str">
        <x:v>동부한농 질산공장 N2O 감축사업</x:v>
      </x:c>
      <x:c r="E1732" s="2" t="str">
        <x:v>환경부 이관</x:v>
      </x:c>
      <x:c r="F1732" s="2"/>
      <x:c r="G1732" s="2" t="str">
        <x:v>미확보</x:v>
      </x:c>
      <x:c r="H1732" s="2" t="str">
        <x:v>미확보</x:v>
      </x:c>
      <x:c r="I1732" s="2" t="str">
        <x:v>심의승인</x:v>
      </x:c>
      <x:c r="J1732" s="2" t="str">
        <x:v>심의승인</x:v>
      </x:c>
      <x:c r="K1732" s="2" t="str">
        <x:f>IF(OR(J1732="심의승인",J1732="반려",J1732="반려완료",J1732="심의완료"),"종결 표시",IF(OR(J1732="기후부협의",J1732="문서재제출요청",J1732="보류",J1732="보완요청",J1732="보완완료",J1732="평가중",J1732="반려요청",J1732="평가필요",LEFT(J1732,5)="보완요청("),"미종결 표시","상태 확인 필요"))</x:f>
        <x:v>종결 표시</x:v>
      </x:c>
      <x:c r="L1732" s="2"/>
      <x:c r="M1732" s="2"/>
      <x:c r="N1732" s="8"/>
      <x:c r="O1732" s="2"/>
      <x:c r="P1732" s="2"/>
      <x:c r="Q1732" s="2" t="str">
        <x:v>산업전환_외부사업관리Tool_260707_이너젠 수정_LJY_261013.xlsx</x:v>
      </x:c>
      <x:c r="R1732" s="2" t="str">
        <x:v>국내인증</x:v>
      </x:c>
      <x:c r="S1732" s="8" t="n">
        <x:v>50</x:v>
      </x:c>
      <x:c r="T1732" s="2"/>
      <x:c r="U1732" s="2" t="str"/>
      <x:c r="V1732" s="2" t="str">
        <x:v>2015-12-17</x:v>
      </x:c>
      <x:c r="W1732" s="2" t="str">
        <x:v>신청일 확인 / 담당기관 확인 / 동일 관리키 복수행·회차 확인</x:v>
      </x:c>
      <x:c r="X1732" s="2" t="str">
        <x:v>원본·배정 기록 확인</x:v>
      </x:c>
      <x:c r="Y1732" s="2" t="str">
        <x:v>ad210cd9ec132cfd447541c8984dc53d30aff0f4fb2dc92d254d49275cc55976</x:v>
      </x:c>
      <x:c r="Z1732" s="2" t="n">
        <x:f>SUBTOTAL(103,A1732)</x:f>
        <x:v>1</x:v>
      </x:c>
      <x:c r="AA1732" s="2" t="str">
        <x:f>IF(K1732&lt;&gt;"미종결 표시","대상 아님",IF(N1732="","신청일 확인",IF(NOT(ISNUMBER('종합 현황'!$H$5)),"관찰기준 확인",IF('종합 현황'!$H$5&lt;1,"관찰기준 확인",IF(N1732&gt;'종합 현황'!$H$5,"내부 관찰 대상","내부 관찰일 이하")))))</x:f>
        <x:v>대상 아님</x:v>
      </x:c>
      <x:c r="AB1732" s="2"/>
    </x:row>
    <x:row r="1733" ht="42" customHeight="1">
      <x:c r="A1733" s="2" t="str">
        <x:v>6be845a985322b04810d1fac</x:v>
      </x:c>
      <x:c r="B1733" s="2" t="str">
        <x:v>감축량 인증</x:v>
      </x:c>
      <x:c r="C1733" s="2" t="str">
        <x:v>국내</x:v>
      </x:c>
      <x:c r="D1733" s="7" t="str">
        <x:v>동부한농 질산공장 N2O 감축사업</x:v>
      </x:c>
      <x:c r="E1733" s="2" t="str">
        <x:v>환경부 이관</x:v>
      </x:c>
      <x:c r="F1733" s="2"/>
      <x:c r="G1733" s="2" t="str">
        <x:v>미확보</x:v>
      </x:c>
      <x:c r="H1733" s="2" t="str">
        <x:v>미확보</x:v>
      </x:c>
      <x:c r="I1733" s="2" t="str">
        <x:v>심의승인</x:v>
      </x:c>
      <x:c r="J1733" s="2" t="str">
        <x:v>심의승인</x:v>
      </x:c>
      <x:c r="K1733" s="2" t="str">
        <x:f>IF(OR(J1733="심의승인",J1733="반려",J1733="반려완료",J1733="심의완료"),"종결 표시",IF(OR(J1733="기후부협의",J1733="문서재제출요청",J1733="보류",J1733="보완요청",J1733="보완완료",J1733="평가중",J1733="반려요청",J1733="평가필요",LEFT(J1733,5)="보완요청("),"미종결 표시","상태 확인 필요"))</x:f>
        <x:v>종결 표시</x:v>
      </x:c>
      <x:c r="L1733" s="2"/>
      <x:c r="M1733" s="2"/>
      <x:c r="N1733" s="8"/>
      <x:c r="O1733" s="2"/>
      <x:c r="P1733" s="2"/>
      <x:c r="Q1733" s="2" t="str">
        <x:v>산업전환_외부사업관리Tool_260707_이너젠 수정_LJY_261013.xlsx</x:v>
      </x:c>
      <x:c r="R1733" s="2" t="str">
        <x:v>국내인증</x:v>
      </x:c>
      <x:c r="S1733" s="8" t="n">
        <x:v>51</x:v>
      </x:c>
      <x:c r="T1733" s="2"/>
      <x:c r="U1733" s="2" t="str"/>
      <x:c r="V1733" s="2" t="str">
        <x:v>2015-12-17</x:v>
      </x:c>
      <x:c r="W1733" s="2" t="str">
        <x:v>신청일 확인 / 담당기관 확인 / 동일 관리키 복수행·회차 확인</x:v>
      </x:c>
      <x:c r="X1733" s="2" t="str">
        <x:v>원본·배정 기록 확인</x:v>
      </x:c>
      <x:c r="Y1733" s="2" t="str">
        <x:v>ad210cd9ec132cfd447541c8984dc53d30aff0f4fb2dc92d254d49275cc55976</x:v>
      </x:c>
      <x:c r="Z1733" s="2" t="n">
        <x:f>SUBTOTAL(103,A1733)</x:f>
        <x:v>1</x:v>
      </x:c>
      <x:c r="AA1733" s="2" t="str">
        <x:f>IF(K1733&lt;&gt;"미종결 표시","대상 아님",IF(N1733="","신청일 확인",IF(NOT(ISNUMBER('종합 현황'!$H$5)),"관찰기준 확인",IF('종합 현황'!$H$5&lt;1,"관찰기준 확인",IF(N1733&gt;'종합 현황'!$H$5,"내부 관찰 대상","내부 관찰일 이하")))))</x:f>
        <x:v>대상 아님</x:v>
      </x:c>
      <x:c r="AB1733" s="2"/>
    </x:row>
    <x:row r="1734" ht="42" customHeight="1">
      <x:c r="A1734" s="2" t="str">
        <x:v>6905ac9d845e9371e0c40ace</x:v>
      </x:c>
      <x:c r="B1734" s="2" t="str">
        <x:v>감축량 인증</x:v>
      </x:c>
      <x:c r="C1734" s="2" t="str">
        <x:v>국내</x:v>
      </x:c>
      <x:c r="D1734" s="7" t="str">
        <x:v>3MW 신안풍력발전사업</x:v>
      </x:c>
      <x:c r="E1734" s="2" t="str">
        <x:v>환경부 이관</x:v>
      </x:c>
      <x:c r="F1734" s="2"/>
      <x:c r="G1734" s="2" t="str">
        <x:v>미확보</x:v>
      </x:c>
      <x:c r="H1734" s="2" t="str">
        <x:v>미확보</x:v>
      </x:c>
      <x:c r="I1734" s="2" t="str">
        <x:v>심의승인</x:v>
      </x:c>
      <x:c r="J1734" s="2" t="str">
        <x:v>심의승인</x:v>
      </x:c>
      <x:c r="K1734" s="2" t="str">
        <x:f>IF(OR(J1734="심의승인",J1734="반려",J1734="반려완료",J1734="심의완료"),"종결 표시",IF(OR(J1734="기후부협의",J1734="문서재제출요청",J1734="보류",J1734="보완요청",J1734="보완완료",J1734="평가중",J1734="반려요청",J1734="평가필요",LEFT(J1734,5)="보완요청("),"미종결 표시","상태 확인 필요"))</x:f>
        <x:v>종결 표시</x:v>
      </x:c>
      <x:c r="L1734" s="2"/>
      <x:c r="M1734" s="2"/>
      <x:c r="N1734" s="8"/>
      <x:c r="O1734" s="2"/>
      <x:c r="P1734" s="2"/>
      <x:c r="Q1734" s="2" t="str">
        <x:v>산업전환_외부사업관리Tool_260707_이너젠 수정_LJY_261013.xlsx</x:v>
      </x:c>
      <x:c r="R1734" s="2" t="str">
        <x:v>국내인증</x:v>
      </x:c>
      <x:c r="S1734" s="8" t="n">
        <x:v>52</x:v>
      </x:c>
      <x:c r="T1734" s="2"/>
      <x:c r="U1734" s="2" t="str"/>
      <x:c r="V1734" s="2" t="str">
        <x:v>2015-12-17</x:v>
      </x:c>
      <x:c r="W1734" s="2" t="str">
        <x:v>신청일 확인 / 담당기관 확인 / 동일 관리키 복수행·회차 확인</x:v>
      </x:c>
      <x:c r="X1734" s="2" t="str">
        <x:v>원본·배정 기록 확인</x:v>
      </x:c>
      <x:c r="Y1734" s="2" t="str">
        <x:v>ad210cd9ec132cfd447541c8984dc53d30aff0f4fb2dc92d254d49275cc55976</x:v>
      </x:c>
      <x:c r="Z1734" s="2" t="n">
        <x:f>SUBTOTAL(103,A1734)</x:f>
        <x:v>1</x:v>
      </x:c>
      <x:c r="AA1734" s="2" t="str">
        <x:f>IF(K1734&lt;&gt;"미종결 표시","대상 아님",IF(N1734="","신청일 확인",IF(NOT(ISNUMBER('종합 현황'!$H$5)),"관찰기준 확인",IF('종합 현황'!$H$5&lt;1,"관찰기준 확인",IF(N1734&gt;'종합 현황'!$H$5,"내부 관찰 대상","내부 관찰일 이하")))))</x:f>
        <x:v>대상 아님</x:v>
      </x:c>
      <x:c r="AB1734" s="2"/>
    </x:row>
    <x:row r="1735" ht="42" customHeight="1">
      <x:c r="A1735" s="2" t="str">
        <x:v>11f54870f85bccb68c067e61</x:v>
      </x:c>
      <x:c r="B1735" s="2" t="str">
        <x:v>감축량 인증</x:v>
      </x:c>
      <x:c r="C1735" s="2" t="str">
        <x:v>국내</x:v>
      </x:c>
      <x:c r="D1735" s="7" t="str">
        <x:v>동부한농 질산공장 N2O 감축사업</x:v>
      </x:c>
      <x:c r="E1735" s="2" t="str">
        <x:v>환경부 이관</x:v>
      </x:c>
      <x:c r="F1735" s="2"/>
      <x:c r="G1735" s="2" t="str">
        <x:v>미확보</x:v>
      </x:c>
      <x:c r="H1735" s="2" t="str">
        <x:v>미확보</x:v>
      </x:c>
      <x:c r="I1735" s="2" t="str">
        <x:v>심의승인</x:v>
      </x:c>
      <x:c r="J1735" s="2" t="str">
        <x:v>심의승인</x:v>
      </x:c>
      <x:c r="K1735" s="2" t="str">
        <x:f>IF(OR(J1735="심의승인",J1735="반려",J1735="반려완료",J1735="심의완료"),"종결 표시",IF(OR(J1735="기후부협의",J1735="문서재제출요청",J1735="보류",J1735="보완요청",J1735="보완완료",J1735="평가중",J1735="반려요청",J1735="평가필요",LEFT(J1735,5)="보완요청("),"미종결 표시","상태 확인 필요"))</x:f>
        <x:v>종결 표시</x:v>
      </x:c>
      <x:c r="L1735" s="2"/>
      <x:c r="M1735" s="2"/>
      <x:c r="N1735" s="8"/>
      <x:c r="O1735" s="2"/>
      <x:c r="P1735" s="2"/>
      <x:c r="Q1735" s="2" t="str">
        <x:v>산업전환_외부사업관리Tool_260707_이너젠 수정_LJY_261013.xlsx</x:v>
      </x:c>
      <x:c r="R1735" s="2" t="str">
        <x:v>국내인증</x:v>
      </x:c>
      <x:c r="S1735" s="8" t="n">
        <x:v>53</x:v>
      </x:c>
      <x:c r="T1735" s="2"/>
      <x:c r="U1735" s="2" t="str"/>
      <x:c r="V1735" s="2" t="str">
        <x:v>2015-12-17</x:v>
      </x:c>
      <x:c r="W1735" s="2" t="str">
        <x:v>신청일 확인 / 담당기관 확인 / 동일 관리키 복수행·회차 확인</x:v>
      </x:c>
      <x:c r="X1735" s="2" t="str">
        <x:v>원본·배정 기록 확인</x:v>
      </x:c>
      <x:c r="Y1735" s="2" t="str">
        <x:v>ad210cd9ec132cfd447541c8984dc53d30aff0f4fb2dc92d254d49275cc55976</x:v>
      </x:c>
      <x:c r="Z1735" s="2" t="n">
        <x:f>SUBTOTAL(103,A1735)</x:f>
        <x:v>1</x:v>
      </x:c>
      <x:c r="AA1735" s="2" t="str">
        <x:f>IF(K1735&lt;&gt;"미종결 표시","대상 아님",IF(N1735="","신청일 확인",IF(NOT(ISNUMBER('종합 현황'!$H$5)),"관찰기준 확인",IF('종합 현황'!$H$5&lt;1,"관찰기준 확인",IF(N1735&gt;'종합 현황'!$H$5,"내부 관찰 대상","내부 관찰일 이하")))))</x:f>
        <x:v>대상 아님</x:v>
      </x:c>
      <x:c r="AB1735" s="2"/>
    </x:row>
    <x:row r="1736" ht="42" customHeight="1">
      <x:c r="A1736" s="2" t="str">
        <x:v>10e303c3e1377b07f2b8557d</x:v>
      </x:c>
      <x:c r="B1736" s="2" t="str">
        <x:v>감축량 인증</x:v>
      </x:c>
      <x:c r="C1736" s="2" t="str">
        <x:v>국내</x:v>
      </x:c>
      <x:c r="D1736" s="7" t="str">
        <x:v>동부한농 질산공장 N2O 감축사업</x:v>
      </x:c>
      <x:c r="E1736" s="2" t="str">
        <x:v>환경부 이관</x:v>
      </x:c>
      <x:c r="F1736" s="2"/>
      <x:c r="G1736" s="2" t="str">
        <x:v>미확보</x:v>
      </x:c>
      <x:c r="H1736" s="2" t="str">
        <x:v>미확보</x:v>
      </x:c>
      <x:c r="I1736" s="2" t="str">
        <x:v>심의승인</x:v>
      </x:c>
      <x:c r="J1736" s="2" t="str">
        <x:v>심의승인</x:v>
      </x:c>
      <x:c r="K1736" s="2" t="str">
        <x:f>IF(OR(J1736="심의승인",J1736="반려",J1736="반려완료",J1736="심의완료"),"종결 표시",IF(OR(J1736="기후부협의",J1736="문서재제출요청",J1736="보류",J1736="보완요청",J1736="보완완료",J1736="평가중",J1736="반려요청",J1736="평가필요",LEFT(J1736,5)="보완요청("),"미종결 표시","상태 확인 필요"))</x:f>
        <x:v>종결 표시</x:v>
      </x:c>
      <x:c r="L1736" s="2"/>
      <x:c r="M1736" s="2"/>
      <x:c r="N1736" s="8"/>
      <x:c r="O1736" s="2"/>
      <x:c r="P1736" s="2"/>
      <x:c r="Q1736" s="2" t="str">
        <x:v>산업전환_외부사업관리Tool_260707_이너젠 수정_LJY_261013.xlsx</x:v>
      </x:c>
      <x:c r="R1736" s="2" t="str">
        <x:v>국내인증</x:v>
      </x:c>
      <x:c r="S1736" s="8" t="n">
        <x:v>54</x:v>
      </x:c>
      <x:c r="T1736" s="2"/>
      <x:c r="U1736" s="2" t="str"/>
      <x:c r="V1736" s="2" t="str">
        <x:v>2015-09-21</x:v>
      </x:c>
      <x:c r="W1736" s="2" t="str">
        <x:v>신청일 확인 / 담당기관 확인 / 동일 관리키 복수행·회차 확인</x:v>
      </x:c>
      <x:c r="X1736" s="2" t="str">
        <x:v>원본·배정 기록 확인</x:v>
      </x:c>
      <x:c r="Y1736" s="2" t="str">
        <x:v>ad210cd9ec132cfd447541c8984dc53d30aff0f4fb2dc92d254d49275cc55976</x:v>
      </x:c>
      <x:c r="Z1736" s="2" t="n">
        <x:f>SUBTOTAL(103,A1736)</x:f>
        <x:v>1</x:v>
      </x:c>
      <x:c r="AA1736" s="2" t="str">
        <x:f>IF(K1736&lt;&gt;"미종결 표시","대상 아님",IF(N1736="","신청일 확인",IF(NOT(ISNUMBER('종합 현황'!$H$5)),"관찰기준 확인",IF('종합 현황'!$H$5&lt;1,"관찰기준 확인",IF(N1736&gt;'종합 현황'!$H$5,"내부 관찰 대상","내부 관찰일 이하")))))</x:f>
        <x:v>대상 아님</x:v>
      </x:c>
      <x:c r="AB1736" s="2"/>
    </x:row>
    <x:row r="1737" ht="42" customHeight="1">
      <x:c r="A1737" s="2" t="str">
        <x:v>eede900bce203aa62204a154</x:v>
      </x:c>
      <x:c r="B1737" s="2" t="str">
        <x:v>감축량 인증</x:v>
      </x:c>
      <x:c r="C1737" s="2" t="str">
        <x:v>국내</x:v>
      </x:c>
      <x:c r="D1737" s="7" t="str">
        <x:v>동부한농 질산공장 N2O 감축사업</x:v>
      </x:c>
      <x:c r="E1737" s="2" t="str">
        <x:v>환경부 이관</x:v>
      </x:c>
      <x:c r="F1737" s="2"/>
      <x:c r="G1737" s="2" t="str">
        <x:v>미확보</x:v>
      </x:c>
      <x:c r="H1737" s="2" t="str">
        <x:v>미확보</x:v>
      </x:c>
      <x:c r="I1737" s="2" t="str">
        <x:v>심의승인</x:v>
      </x:c>
      <x:c r="J1737" s="2" t="str">
        <x:v>심의승인</x:v>
      </x:c>
      <x:c r="K1737" s="2" t="str">
        <x:f>IF(OR(J1737="심의승인",J1737="반려",J1737="반려완료",J1737="심의완료"),"종결 표시",IF(OR(J1737="기후부협의",J1737="문서재제출요청",J1737="보류",J1737="보완요청",J1737="보완완료",J1737="평가중",J1737="반려요청",J1737="평가필요",LEFT(J1737,5)="보완요청("),"미종결 표시","상태 확인 필요"))</x:f>
        <x:v>종결 표시</x:v>
      </x:c>
      <x:c r="L1737" s="2"/>
      <x:c r="M1737" s="2"/>
      <x:c r="N1737" s="8"/>
      <x:c r="O1737" s="2"/>
      <x:c r="P1737" s="2"/>
      <x:c r="Q1737" s="2" t="str">
        <x:v>산업전환_외부사업관리Tool_260707_이너젠 수정_LJY_261013.xlsx</x:v>
      </x:c>
      <x:c r="R1737" s="2" t="str">
        <x:v>국내인증</x:v>
      </x:c>
      <x:c r="S1737" s="8" t="n">
        <x:v>55</x:v>
      </x:c>
      <x:c r="T1737" s="2"/>
      <x:c r="U1737" s="2" t="str"/>
      <x:c r="V1737" s="2" t="str">
        <x:v>2015-09-21</x:v>
      </x:c>
      <x:c r="W1737" s="2" t="str">
        <x:v>신청일 확인 / 담당기관 확인 / 동일 관리키 복수행·회차 확인</x:v>
      </x:c>
      <x:c r="X1737" s="2" t="str">
        <x:v>원본·배정 기록 확인</x:v>
      </x:c>
      <x:c r="Y1737" s="2" t="str">
        <x:v>ad210cd9ec132cfd447541c8984dc53d30aff0f4fb2dc92d254d49275cc55976</x:v>
      </x:c>
      <x:c r="Z1737" s="2" t="n">
        <x:f>SUBTOTAL(103,A1737)</x:f>
        <x:v>1</x:v>
      </x:c>
      <x:c r="AA1737" s="2" t="str">
        <x:f>IF(K1737&lt;&gt;"미종결 표시","대상 아님",IF(N1737="","신청일 확인",IF(NOT(ISNUMBER('종합 현황'!$H$5)),"관찰기준 확인",IF('종합 현황'!$H$5&lt;1,"관찰기준 확인",IF(N1737&gt;'종합 현황'!$H$5,"내부 관찰 대상","내부 관찰일 이하")))))</x:f>
        <x:v>대상 아님</x:v>
      </x:c>
      <x:c r="AB1737" s="2"/>
    </x:row>
    <x:row r="1738" ht="42" customHeight="1">
      <x:c r="A1738" s="2" t="str">
        <x:v>1403c27ad13cb2a29f76ed2f</x:v>
      </x:c>
      <x:c r="B1738" s="2" t="str">
        <x:v>감축량 인증</x:v>
      </x:c>
      <x:c r="C1738" s="2" t="str">
        <x:v>국내</x:v>
      </x:c>
      <x:c r="D1738" s="7" t="str">
        <x:v>휴켐스 질산공장 N2O 감축사업(휴켐스 주식회사의 질산 공장 세 곳에서 tail gas에 포함된 아산화질소를 촉매를 사용하여 제거하는 프로젝트)</x:v>
      </x:c>
      <x:c r="E1738" s="2" t="str">
        <x:v>환경부 이관</x:v>
      </x:c>
      <x:c r="F1738" s="2"/>
      <x:c r="G1738" s="2" t="str">
        <x:v>미확보</x:v>
      </x:c>
      <x:c r="H1738" s="2" t="str">
        <x:v>미확보</x:v>
      </x:c>
      <x:c r="I1738" s="2" t="str">
        <x:v>심의승인</x:v>
      </x:c>
      <x:c r="J1738" s="2" t="str">
        <x:v>심의승인</x:v>
      </x:c>
      <x:c r="K1738" s="2" t="str">
        <x:f>IF(OR(J1738="심의승인",J1738="반려",J1738="반려완료",J1738="심의완료"),"종결 표시",IF(OR(J1738="기후부협의",J1738="문서재제출요청",J1738="보류",J1738="보완요청",J1738="보완완료",J1738="평가중",J1738="반려요청",J1738="평가필요",LEFT(J1738,5)="보완요청("),"미종결 표시","상태 확인 필요"))</x:f>
        <x:v>종결 표시</x:v>
      </x:c>
      <x:c r="L1738" s="2"/>
      <x:c r="M1738" s="2"/>
      <x:c r="N1738" s="8"/>
      <x:c r="O1738" s="2"/>
      <x:c r="P1738" s="2"/>
      <x:c r="Q1738" s="2" t="str">
        <x:v>산업전환_외부사업관리Tool_260707_이너젠 수정_LJY_261013.xlsx</x:v>
      </x:c>
      <x:c r="R1738" s="2" t="str">
        <x:v>국내인증</x:v>
      </x:c>
      <x:c r="S1738" s="8" t="n">
        <x:v>56</x:v>
      </x:c>
      <x:c r="T1738" s="2"/>
      <x:c r="U1738" s="2" t="str"/>
      <x:c r="V1738" s="2" t="str">
        <x:v>2015-09-21</x:v>
      </x:c>
      <x:c r="W1738" s="2" t="str">
        <x:v>신청일 확인 / 담당기관 확인 / 동일 관리키 복수행·회차 확인</x:v>
      </x:c>
      <x:c r="X1738" s="2" t="str">
        <x:v>원본·배정 기록 확인</x:v>
      </x:c>
      <x:c r="Y1738" s="2" t="str">
        <x:v>ad210cd9ec132cfd447541c8984dc53d30aff0f4fb2dc92d254d49275cc55976</x:v>
      </x:c>
      <x:c r="Z1738" s="2" t="n">
        <x:f>SUBTOTAL(103,A1738)</x:f>
        <x:v>1</x:v>
      </x:c>
      <x:c r="AA1738" s="2" t="str">
        <x:f>IF(K1738&lt;&gt;"미종결 표시","대상 아님",IF(N1738="","신청일 확인",IF(NOT(ISNUMBER('종합 현황'!$H$5)),"관찰기준 확인",IF('종합 현황'!$H$5&lt;1,"관찰기준 확인",IF(N1738&gt;'종합 현황'!$H$5,"내부 관찰 대상","내부 관찰일 이하")))))</x:f>
        <x:v>대상 아님</x:v>
      </x:c>
      <x:c r="AB1738" s="2"/>
    </x:row>
    <x:row r="1739" ht="42" customHeight="1">
      <x:c r="A1739" s="2" t="str">
        <x:v>80a09be38e3a63b1d35bb068</x:v>
      </x:c>
      <x:c r="B1739" s="2" t="str">
        <x:v>감축량 인증</x:v>
      </x:c>
      <x:c r="C1739" s="2" t="str">
        <x:v>국내</x:v>
      </x:c>
      <x:c r="D1739" s="7" t="str">
        <x:v>영양 61.5MW 풍력발전단지 CDM 사업</x:v>
      </x:c>
      <x:c r="E1739" s="2" t="str">
        <x:v>환경부 이관</x:v>
      </x:c>
      <x:c r="F1739" s="2"/>
      <x:c r="G1739" s="2" t="str">
        <x:v>미확보</x:v>
      </x:c>
      <x:c r="H1739" s="2" t="str">
        <x:v>미확보</x:v>
      </x:c>
      <x:c r="I1739" s="2" t="str">
        <x:v>심의승인</x:v>
      </x:c>
      <x:c r="J1739" s="2" t="str">
        <x:v>심의승인</x:v>
      </x:c>
      <x:c r="K1739" s="2" t="str">
        <x:f>IF(OR(J1739="심의승인",J1739="반려",J1739="반려완료",J1739="심의완료"),"종결 표시",IF(OR(J1739="기후부협의",J1739="문서재제출요청",J1739="보류",J1739="보완요청",J1739="보완완료",J1739="평가중",J1739="반려요청",J1739="평가필요",LEFT(J1739,5)="보완요청("),"미종결 표시","상태 확인 필요"))</x:f>
        <x:v>종결 표시</x:v>
      </x:c>
      <x:c r="L1739" s="2"/>
      <x:c r="M1739" s="2"/>
      <x:c r="N1739" s="8"/>
      <x:c r="O1739" s="2"/>
      <x:c r="P1739" s="2"/>
      <x:c r="Q1739" s="2" t="str">
        <x:v>산업전환_외부사업관리Tool_260707_이너젠 수정_LJY_261013.xlsx</x:v>
      </x:c>
      <x:c r="R1739" s="2" t="str">
        <x:v>국내인증</x:v>
      </x:c>
      <x:c r="S1739" s="8" t="n">
        <x:v>57</x:v>
      </x:c>
      <x:c r="T1739" s="2"/>
      <x:c r="U1739" s="2" t="str"/>
      <x:c r="V1739" s="2" t="str">
        <x:v>2015-09-21</x:v>
      </x:c>
      <x:c r="W1739" s="2" t="str">
        <x:v>신청일 확인 / 담당기관 확인 / 동일 관리키 복수행·회차 확인</x:v>
      </x:c>
      <x:c r="X1739" s="2" t="str">
        <x:v>원본·배정 기록 확인</x:v>
      </x:c>
      <x:c r="Y1739" s="2" t="str">
        <x:v>ad210cd9ec132cfd447541c8984dc53d30aff0f4fb2dc92d254d49275cc55976</x:v>
      </x:c>
      <x:c r="Z1739" s="2" t="n">
        <x:f>SUBTOTAL(103,A1739)</x:f>
        <x:v>1</x:v>
      </x:c>
      <x:c r="AA1739" s="2" t="str">
        <x:f>IF(K1739&lt;&gt;"미종결 표시","대상 아님",IF(N1739="","신청일 확인",IF(NOT(ISNUMBER('종합 현황'!$H$5)),"관찰기준 확인",IF('종합 현황'!$H$5&lt;1,"관찰기준 확인",IF(N1739&gt;'종합 현황'!$H$5,"내부 관찰 대상","내부 관찰일 이하")))))</x:f>
        <x:v>대상 아님</x:v>
      </x:c>
      <x:c r="AB1739" s="2"/>
    </x:row>
    <x:row r="1740" ht="42" customHeight="1">
      <x:c r="A1740" s="2" t="str">
        <x:v>9474bf2b05e7ade1030b0bbb</x:v>
      </x:c>
      <x:c r="B1740" s="2" t="str">
        <x:v>감축량 인증</x:v>
      </x:c>
      <x:c r="C1740" s="2" t="str">
        <x:v>국내</x:v>
      </x:c>
      <x:c r="D1740" s="7" t="str">
        <x:v>태기산 풍력발전 CDM사업</x:v>
      </x:c>
      <x:c r="E1740" s="2" t="str">
        <x:v>환경부 이관</x:v>
      </x:c>
      <x:c r="F1740" s="2"/>
      <x:c r="G1740" s="2" t="str">
        <x:v>미확보</x:v>
      </x:c>
      <x:c r="H1740" s="2" t="str">
        <x:v>미확보</x:v>
      </x:c>
      <x:c r="I1740" s="2" t="str">
        <x:v>심의승인</x:v>
      </x:c>
      <x:c r="J1740" s="2" t="str">
        <x:v>심의승인</x:v>
      </x:c>
      <x:c r="K1740" s="2" t="str">
        <x:f>IF(OR(J1740="심의승인",J1740="반려",J1740="반려완료",J1740="심의완료"),"종결 표시",IF(OR(J1740="기후부협의",J1740="문서재제출요청",J1740="보류",J1740="보완요청",J1740="보완완료",J1740="평가중",J1740="반려요청",J1740="평가필요",LEFT(J1740,5)="보완요청("),"미종결 표시","상태 확인 필요"))</x:f>
        <x:v>종결 표시</x:v>
      </x:c>
      <x:c r="L1740" s="2"/>
      <x:c r="M1740" s="2"/>
      <x:c r="N1740" s="8"/>
      <x:c r="O1740" s="2"/>
      <x:c r="P1740" s="2"/>
      <x:c r="Q1740" s="2" t="str">
        <x:v>산업전환_외부사업관리Tool_260707_이너젠 수정_LJY_261013.xlsx</x:v>
      </x:c>
      <x:c r="R1740" s="2" t="str">
        <x:v>국내인증</x:v>
      </x:c>
      <x:c r="S1740" s="8" t="n">
        <x:v>58</x:v>
      </x:c>
      <x:c r="T1740" s="2"/>
      <x:c r="U1740" s="2" t="str"/>
      <x:c r="V1740" s="2" t="str">
        <x:v>2015-09-21</x:v>
      </x:c>
      <x:c r="W1740" s="2" t="str">
        <x:v>신청일 확인 / 담당기관 확인 / 동일 관리키 복수행·회차 확인</x:v>
      </x:c>
      <x:c r="X1740" s="2" t="str">
        <x:v>원본·배정 기록 확인</x:v>
      </x:c>
      <x:c r="Y1740" s="2" t="str">
        <x:v>ad210cd9ec132cfd447541c8984dc53d30aff0f4fb2dc92d254d49275cc55976</x:v>
      </x:c>
      <x:c r="Z1740" s="2" t="n">
        <x:f>SUBTOTAL(103,A1740)</x:f>
        <x:v>1</x:v>
      </x:c>
      <x:c r="AA1740" s="2" t="str">
        <x:f>IF(K1740&lt;&gt;"미종결 표시","대상 아님",IF(N1740="","신청일 확인",IF(NOT(ISNUMBER('종합 현황'!$H$5)),"관찰기준 확인",IF('종합 현황'!$H$5&lt;1,"관찰기준 확인",IF(N1740&gt;'종합 현황'!$H$5,"내부 관찰 대상","내부 관찰일 이하")))))</x:f>
        <x:v>대상 아님</x:v>
      </x:c>
      <x:c r="AB1740" s="2"/>
    </x:row>
    <x:row r="1741" ht="42" customHeight="1">
      <x:c r="A1741" s="2" t="str">
        <x:v>6b122a182e18d76ac0c50b03</x:v>
      </x:c>
      <x:c r="B1741" s="2" t="str">
        <x:v>감축량 인증</x:v>
      </x:c>
      <x:c r="C1741" s="2" t="str">
        <x:v>국내</x:v>
      </x:c>
      <x:c r="D1741" s="7" t="str">
        <x:v>태기산 풍력발전 CDM사업</x:v>
      </x:c>
      <x:c r="E1741" s="2" t="str">
        <x:v>환경부 이관</x:v>
      </x:c>
      <x:c r="F1741" s="2"/>
      <x:c r="G1741" s="2" t="str">
        <x:v>미확보</x:v>
      </x:c>
      <x:c r="H1741" s="2" t="str">
        <x:v>미확보</x:v>
      </x:c>
      <x:c r="I1741" s="2" t="str">
        <x:v>심의승인</x:v>
      </x:c>
      <x:c r="J1741" s="2" t="str">
        <x:v>심의승인</x:v>
      </x:c>
      <x:c r="K1741" s="2" t="str">
        <x:f>IF(OR(J1741="심의승인",J1741="반려",J1741="반려완료",J1741="심의완료"),"종결 표시",IF(OR(J1741="기후부협의",J1741="문서재제출요청",J1741="보류",J1741="보완요청",J1741="보완완료",J1741="평가중",J1741="반려요청",J1741="평가필요",LEFT(J1741,5)="보완요청("),"미종결 표시","상태 확인 필요"))</x:f>
        <x:v>종결 표시</x:v>
      </x:c>
      <x:c r="L1741" s="2"/>
      <x:c r="M1741" s="2"/>
      <x:c r="N1741" s="8"/>
      <x:c r="O1741" s="2"/>
      <x:c r="P1741" s="2"/>
      <x:c r="Q1741" s="2" t="str">
        <x:v>산업전환_외부사업관리Tool_260707_이너젠 수정_LJY_261013.xlsx</x:v>
      </x:c>
      <x:c r="R1741" s="2" t="str">
        <x:v>국내인증</x:v>
      </x:c>
      <x:c r="S1741" s="8" t="n">
        <x:v>59</x:v>
      </x:c>
      <x:c r="T1741" s="2"/>
      <x:c r="U1741" s="2" t="str"/>
      <x:c r="V1741" s="2" t="str">
        <x:v>2015-09-21</x:v>
      </x:c>
      <x:c r="W1741" s="2" t="str">
        <x:v>신청일 확인 / 담당기관 확인 / 동일 관리키 복수행·회차 확인</x:v>
      </x:c>
      <x:c r="X1741" s="2" t="str">
        <x:v>원본·배정 기록 확인</x:v>
      </x:c>
      <x:c r="Y1741" s="2" t="str">
        <x:v>ad210cd9ec132cfd447541c8984dc53d30aff0f4fb2dc92d254d49275cc55976</x:v>
      </x:c>
      <x:c r="Z1741" s="2" t="n">
        <x:f>SUBTOTAL(103,A1741)</x:f>
        <x:v>1</x:v>
      </x:c>
      <x:c r="AA1741" s="2" t="str">
        <x:f>IF(K1741&lt;&gt;"미종결 표시","대상 아님",IF(N1741="","신청일 확인",IF(NOT(ISNUMBER('종합 현황'!$H$5)),"관찰기준 확인",IF('종합 현황'!$H$5&lt;1,"관찰기준 확인",IF(N1741&gt;'종합 현황'!$H$5,"내부 관찰 대상","내부 관찰일 이하")))))</x:f>
        <x:v>대상 아님</x:v>
      </x:c>
      <x:c r="AB1741" s="2"/>
    </x:row>
    <x:row r="1742" ht="42" customHeight="1">
      <x:c r="A1742" s="2" t="str">
        <x:v>c544b859a635af884b97551f</x:v>
      </x:c>
      <x:c r="B1742" s="2" t="str">
        <x:v>감축량 인증</x:v>
      </x:c>
      <x:c r="C1742" s="2" t="str">
        <x:v>국내</x:v>
      </x:c>
      <x:c r="D1742" s="7" t="str">
        <x:v>24MW 동양 태양광 발전사업</x:v>
      </x:c>
      <x:c r="E1742" s="2" t="str">
        <x:v>환경부 이관</x:v>
      </x:c>
      <x:c r="F1742" s="2"/>
      <x:c r="G1742" s="2" t="str">
        <x:v>미확보</x:v>
      </x:c>
      <x:c r="H1742" s="2" t="str">
        <x:v>미확보</x:v>
      </x:c>
      <x:c r="I1742" s="2" t="str">
        <x:v>심의승인</x:v>
      </x:c>
      <x:c r="J1742" s="2" t="str">
        <x:v>심의승인</x:v>
      </x:c>
      <x:c r="K1742" s="2" t="str">
        <x:f>IF(OR(J1742="심의승인",J1742="반려",J1742="반려완료",J1742="심의완료"),"종결 표시",IF(OR(J1742="기후부협의",J1742="문서재제출요청",J1742="보류",J1742="보완요청",J1742="보완완료",J1742="평가중",J1742="반려요청",J1742="평가필요",LEFT(J1742,5)="보완요청("),"미종결 표시","상태 확인 필요"))</x:f>
        <x:v>종결 표시</x:v>
      </x:c>
      <x:c r="L1742" s="2"/>
      <x:c r="M1742" s="2"/>
      <x:c r="N1742" s="8"/>
      <x:c r="O1742" s="2"/>
      <x:c r="P1742" s="2"/>
      <x:c r="Q1742" s="2" t="str">
        <x:v>산업전환_외부사업관리Tool_260707_이너젠 수정_LJY_261013.xlsx</x:v>
      </x:c>
      <x:c r="R1742" s="2" t="str">
        <x:v>국내인증</x:v>
      </x:c>
      <x:c r="S1742" s="8" t="n">
        <x:v>60</x:v>
      </x:c>
      <x:c r="T1742" s="2"/>
      <x:c r="U1742" s="2" t="str"/>
      <x:c r="V1742" s="2" t="str">
        <x:v>2015-09-21</x:v>
      </x:c>
      <x:c r="W1742" s="2" t="str">
        <x:v>신청일 확인 / 담당기관 확인 / 동일 관리키 복수행·회차 확인</x:v>
      </x:c>
      <x:c r="X1742" s="2" t="str">
        <x:v>원본·배정 기록 확인</x:v>
      </x:c>
      <x:c r="Y1742" s="2" t="str">
        <x:v>ad210cd9ec132cfd447541c8984dc53d30aff0f4fb2dc92d254d49275cc55976</x:v>
      </x:c>
      <x:c r="Z1742" s="2" t="n">
        <x:f>SUBTOTAL(103,A1742)</x:f>
        <x:v>1</x:v>
      </x:c>
      <x:c r="AA1742" s="2" t="str">
        <x:f>IF(K1742&lt;&gt;"미종결 표시","대상 아님",IF(N1742="","신청일 확인",IF(NOT(ISNUMBER('종합 현황'!$H$5)),"관찰기준 확인",IF('종합 현황'!$H$5&lt;1,"관찰기준 확인",IF(N1742&gt;'종합 현황'!$H$5,"내부 관찰 대상","내부 관찰일 이하")))))</x:f>
        <x:v>대상 아님</x:v>
      </x:c>
      <x:c r="AB1742" s="2"/>
    </x:row>
    <x:row r="1743" ht="42" customHeight="1">
      <x:c r="A1743" s="2" t="str">
        <x:v>eb93cc442684f967e1ee6241</x:v>
      </x:c>
      <x:c r="B1743" s="2" t="str">
        <x:v>감축량 인증</x:v>
      </x:c>
      <x:c r="C1743" s="2" t="str">
        <x:v>국내</x:v>
      </x:c>
      <x:c r="D1743" s="7" t="str">
        <x:v>휴켐스 질산공장 N2O 감축사업(휴켐스 주식회사의 질산 공장 세 곳에서 tail gas에 포함된 아산화질소를 촉매를 사용하여 제거하는 프로젝트)</x:v>
      </x:c>
      <x:c r="E1743" s="2" t="str">
        <x:v>환경부 이관</x:v>
      </x:c>
      <x:c r="F1743" s="2"/>
      <x:c r="G1743" s="2" t="str">
        <x:v>미확보</x:v>
      </x:c>
      <x:c r="H1743" s="2" t="str">
        <x:v>미확보</x:v>
      </x:c>
      <x:c r="I1743" s="2" t="str">
        <x:v>심의승인</x:v>
      </x:c>
      <x:c r="J1743" s="2" t="str">
        <x:v>심의승인</x:v>
      </x:c>
      <x:c r="K1743" s="2" t="str">
        <x:f>IF(OR(J1743="심의승인",J1743="반려",J1743="반려완료",J1743="심의완료"),"종결 표시",IF(OR(J1743="기후부협의",J1743="문서재제출요청",J1743="보류",J1743="보완요청",J1743="보완완료",J1743="평가중",J1743="반려요청",J1743="평가필요",LEFT(J1743,5)="보완요청("),"미종결 표시","상태 확인 필요"))</x:f>
        <x:v>종결 표시</x:v>
      </x:c>
      <x:c r="L1743" s="2"/>
      <x:c r="M1743" s="2"/>
      <x:c r="N1743" s="8"/>
      <x:c r="O1743" s="2"/>
      <x:c r="P1743" s="2"/>
      <x:c r="Q1743" s="2" t="str">
        <x:v>산업전환_외부사업관리Tool_260707_이너젠 수정_LJY_261013.xlsx</x:v>
      </x:c>
      <x:c r="R1743" s="2" t="str">
        <x:v>국내인증</x:v>
      </x:c>
      <x:c r="S1743" s="8" t="n">
        <x:v>61</x:v>
      </x:c>
      <x:c r="T1743" s="2"/>
      <x:c r="U1743" s="2" t="str"/>
      <x:c r="V1743" s="2" t="str">
        <x:v>2015-09-21</x:v>
      </x:c>
      <x:c r="W1743" s="2" t="str">
        <x:v>신청일 확인 / 담당기관 확인 / 동일 관리키 복수행·회차 확인</x:v>
      </x:c>
      <x:c r="X1743" s="2" t="str">
        <x:v>원본·배정 기록 확인</x:v>
      </x:c>
      <x:c r="Y1743" s="2" t="str">
        <x:v>ad210cd9ec132cfd447541c8984dc53d30aff0f4fb2dc92d254d49275cc55976</x:v>
      </x:c>
      <x:c r="Z1743" s="2" t="n">
        <x:f>SUBTOTAL(103,A1743)</x:f>
        <x:v>1</x:v>
      </x:c>
      <x:c r="AA1743" s="2" t="str">
        <x:f>IF(K1743&lt;&gt;"미종결 표시","대상 아님",IF(N1743="","신청일 확인",IF(NOT(ISNUMBER('종합 현황'!$H$5)),"관찰기준 확인",IF('종합 현황'!$H$5&lt;1,"관찰기준 확인",IF(N1743&gt;'종합 현황'!$H$5,"내부 관찰 대상","내부 관찰일 이하")))))</x:f>
        <x:v>대상 아님</x:v>
      </x:c>
      <x:c r="AB1743" s="2"/>
    </x:row>
    <x:row r="1744" ht="42" customHeight="1">
      <x:c r="A1744" s="2" t="str">
        <x:v>b8e1c4e58aec0fb965cdd286</x:v>
      </x:c>
      <x:c r="B1744" s="2" t="str">
        <x:v>감축량 인증</x:v>
      </x:c>
      <x:c r="C1744" s="2" t="str">
        <x:v>국내</x:v>
      </x:c>
      <x:c r="D1744" s="7" t="str">
        <x:v>휴켐스 질산공장 N2O 감축사업(휴켐스 주식회사의 질산 공장 세 곳에서 tail gas에 포함된 아산화질소를 촉매를 사용하여 제거하는 프로젝트)</x:v>
      </x:c>
      <x:c r="E1744" s="2" t="str">
        <x:v>환경부 이관</x:v>
      </x:c>
      <x:c r="F1744" s="2"/>
      <x:c r="G1744" s="2" t="str">
        <x:v>미확보</x:v>
      </x:c>
      <x:c r="H1744" s="2" t="str">
        <x:v>미확보</x:v>
      </x:c>
      <x:c r="I1744" s="2" t="str">
        <x:v>심의승인</x:v>
      </x:c>
      <x:c r="J1744" s="2" t="str">
        <x:v>심의승인</x:v>
      </x:c>
      <x:c r="K1744" s="2" t="str">
        <x:f>IF(OR(J1744="심의승인",J1744="반려",J1744="반려완료",J1744="심의완료"),"종결 표시",IF(OR(J1744="기후부협의",J1744="문서재제출요청",J1744="보류",J1744="보완요청",J1744="보완완료",J1744="평가중",J1744="반려요청",J1744="평가필요",LEFT(J1744,5)="보완요청("),"미종결 표시","상태 확인 필요"))</x:f>
        <x:v>종결 표시</x:v>
      </x:c>
      <x:c r="L1744" s="2"/>
      <x:c r="M1744" s="2"/>
      <x:c r="N1744" s="8"/>
      <x:c r="O1744" s="2"/>
      <x:c r="P1744" s="2"/>
      <x:c r="Q1744" s="2" t="str">
        <x:v>산업전환_외부사업관리Tool_260707_이너젠 수정_LJY_261013.xlsx</x:v>
      </x:c>
      <x:c r="R1744" s="2" t="str">
        <x:v>국내인증</x:v>
      </x:c>
      <x:c r="S1744" s="8" t="n">
        <x:v>62</x:v>
      </x:c>
      <x:c r="T1744" s="2"/>
      <x:c r="U1744" s="2" t="str"/>
      <x:c r="V1744" s="2" t="str">
        <x:v>2015-09-21</x:v>
      </x:c>
      <x:c r="W1744" s="2" t="str">
        <x:v>신청일 확인 / 담당기관 확인 / 동일 관리키 복수행·회차 확인</x:v>
      </x:c>
      <x:c r="X1744" s="2" t="str">
        <x:v>원본·배정 기록 확인</x:v>
      </x:c>
      <x:c r="Y1744" s="2" t="str">
        <x:v>ad210cd9ec132cfd447541c8984dc53d30aff0f4fb2dc92d254d49275cc55976</x:v>
      </x:c>
      <x:c r="Z1744" s="2" t="n">
        <x:f>SUBTOTAL(103,A1744)</x:f>
        <x:v>1</x:v>
      </x:c>
      <x:c r="AA1744" s="2" t="str">
        <x:f>IF(K1744&lt;&gt;"미종결 표시","대상 아님",IF(N1744="","신청일 확인",IF(NOT(ISNUMBER('종합 현황'!$H$5)),"관찰기준 확인",IF('종합 현황'!$H$5&lt;1,"관찰기준 확인",IF(N1744&gt;'종합 현황'!$H$5,"내부 관찰 대상","내부 관찰일 이하")))))</x:f>
        <x:v>대상 아님</x:v>
      </x:c>
      <x:c r="AB1744" s="2"/>
    </x:row>
    <x:row r="1745" ht="42" customHeight="1">
      <x:c r="A1745" s="2" t="str">
        <x:v>3a0785df8f4f8e64d539608a</x:v>
      </x:c>
      <x:c r="B1745" s="2" t="str">
        <x:v>감축량 인증</x:v>
      </x:c>
      <x:c r="C1745" s="2" t="str">
        <x:v>국내</x:v>
      </x:c>
      <x:c r="D1745" s="7" t="str">
        <x:v>휴켐스 질산공장 N2O 감축사업(휴켐스 주식회사의 질산 공장 세 곳에서 tail gas에 포함된 아산화질소를 촉매를 사용하여 제거하는 프로젝트)</x:v>
      </x:c>
      <x:c r="E1745" s="2" t="str">
        <x:v>환경부 이관</x:v>
      </x:c>
      <x:c r="F1745" s="2"/>
      <x:c r="G1745" s="2" t="str">
        <x:v>미확보</x:v>
      </x:c>
      <x:c r="H1745" s="2" t="str">
        <x:v>미확보</x:v>
      </x:c>
      <x:c r="I1745" s="2" t="str">
        <x:v>심의승인</x:v>
      </x:c>
      <x:c r="J1745" s="2" t="str">
        <x:v>심의승인</x:v>
      </x:c>
      <x:c r="K1745" s="2" t="str">
        <x:f>IF(OR(J1745="심의승인",J1745="반려",J1745="반려완료",J1745="심의완료"),"종결 표시",IF(OR(J1745="기후부협의",J1745="문서재제출요청",J1745="보류",J1745="보완요청",J1745="보완완료",J1745="평가중",J1745="반려요청",J1745="평가필요",LEFT(J1745,5)="보완요청("),"미종결 표시","상태 확인 필요"))</x:f>
        <x:v>종결 표시</x:v>
      </x:c>
      <x:c r="L1745" s="2"/>
      <x:c r="M1745" s="2"/>
      <x:c r="N1745" s="8"/>
      <x:c r="O1745" s="2"/>
      <x:c r="P1745" s="2"/>
      <x:c r="Q1745" s="2" t="str">
        <x:v>산업전환_외부사업관리Tool_260707_이너젠 수정_LJY_261013.xlsx</x:v>
      </x:c>
      <x:c r="R1745" s="2" t="str">
        <x:v>국내인증</x:v>
      </x:c>
      <x:c r="S1745" s="8" t="n">
        <x:v>63</x:v>
      </x:c>
      <x:c r="T1745" s="2"/>
      <x:c r="U1745" s="2" t="str"/>
      <x:c r="V1745" s="2" t="str">
        <x:v>2015-09-21</x:v>
      </x:c>
      <x:c r="W1745" s="2" t="str">
        <x:v>신청일 확인 / 담당기관 확인 / 동일 관리키 복수행·회차 확인</x:v>
      </x:c>
      <x:c r="X1745" s="2" t="str">
        <x:v>원본·배정 기록 확인</x:v>
      </x:c>
      <x:c r="Y1745" s="2" t="str">
        <x:v>ad210cd9ec132cfd447541c8984dc53d30aff0f4fb2dc92d254d49275cc55976</x:v>
      </x:c>
      <x:c r="Z1745" s="2" t="n">
        <x:f>SUBTOTAL(103,A1745)</x:f>
        <x:v>1</x:v>
      </x:c>
      <x:c r="AA1745" s="2" t="str">
        <x:f>IF(K1745&lt;&gt;"미종결 표시","대상 아님",IF(N1745="","신청일 확인",IF(NOT(ISNUMBER('종합 현황'!$H$5)),"관찰기준 확인",IF('종합 현황'!$H$5&lt;1,"관찰기준 확인",IF(N1745&gt;'종합 현황'!$H$5,"내부 관찰 대상","내부 관찰일 이하")))))</x:f>
        <x:v>대상 아님</x:v>
      </x:c>
      <x:c r="AB1745" s="2"/>
    </x:row>
    <x:row r="1746" ht="42" customHeight="1">
      <x:c r="A1746" s="2" t="str">
        <x:v>bf556643827198dc376102f5</x:v>
      </x:c>
      <x:c r="B1746" s="2" t="str">
        <x:v>감축량 인증</x:v>
      </x:c>
      <x:c r="C1746" s="2" t="str">
        <x:v>국내</x:v>
      </x:c>
      <x:c r="D1746" s="7" t="str">
        <x:v>(주)한화 울산소재 질산공장 N2O 감축 프로젝트</x:v>
      </x:c>
      <x:c r="E1746" s="2" t="str">
        <x:v>환경부 이관</x:v>
      </x:c>
      <x:c r="F1746" s="2"/>
      <x:c r="G1746" s="2" t="str">
        <x:v>미확보</x:v>
      </x:c>
      <x:c r="H1746" s="2" t="str">
        <x:v>미확보</x:v>
      </x:c>
      <x:c r="I1746" s="2" t="str">
        <x:v>심의승인</x:v>
      </x:c>
      <x:c r="J1746" s="2" t="str">
        <x:v>심의승인</x:v>
      </x:c>
      <x:c r="K1746" s="2" t="str">
        <x:f>IF(OR(J1746="심의승인",J1746="반려",J1746="반려완료",J1746="심의완료"),"종결 표시",IF(OR(J1746="기후부협의",J1746="문서재제출요청",J1746="보류",J1746="보완요청",J1746="보완완료",J1746="평가중",J1746="반려요청",J1746="평가필요",LEFT(J1746,5)="보완요청("),"미종결 표시","상태 확인 필요"))</x:f>
        <x:v>종결 표시</x:v>
      </x:c>
      <x:c r="L1746" s="2"/>
      <x:c r="M1746" s="2"/>
      <x:c r="N1746" s="8"/>
      <x:c r="O1746" s="2"/>
      <x:c r="P1746" s="2"/>
      <x:c r="Q1746" s="2" t="str">
        <x:v>산업전환_외부사업관리Tool_260707_이너젠 수정_LJY_261013.xlsx</x:v>
      </x:c>
      <x:c r="R1746" s="2" t="str">
        <x:v>국내인증</x:v>
      </x:c>
      <x:c r="S1746" s="8" t="n">
        <x:v>64</x:v>
      </x:c>
      <x:c r="T1746" s="2"/>
      <x:c r="U1746" s="2" t="str"/>
      <x:c r="V1746" s="2" t="str">
        <x:v>2015-06-25</x:v>
      </x:c>
      <x:c r="W1746" s="2" t="str">
        <x:v>신청일 확인 / 담당기관 확인 / 동일 관리키 복수행·회차 확인</x:v>
      </x:c>
      <x:c r="X1746" s="2" t="str">
        <x:v>원본·배정 기록 확인</x:v>
      </x:c>
      <x:c r="Y1746" s="2" t="str">
        <x:v>ad210cd9ec132cfd447541c8984dc53d30aff0f4fb2dc92d254d49275cc55976</x:v>
      </x:c>
      <x:c r="Z1746" s="2" t="n">
        <x:f>SUBTOTAL(103,A1746)</x:f>
        <x:v>1</x:v>
      </x:c>
      <x:c r="AA1746" s="2" t="str">
        <x:f>IF(K1746&lt;&gt;"미종결 표시","대상 아님",IF(N1746="","신청일 확인",IF(NOT(ISNUMBER('종합 현황'!$H$5)),"관찰기준 확인",IF('종합 현황'!$H$5&lt;1,"관찰기준 확인",IF(N1746&gt;'종합 현황'!$H$5,"내부 관찰 대상","내부 관찰일 이하")))))</x:f>
        <x:v>대상 아님</x:v>
      </x:c>
      <x:c r="AB1746" s="2"/>
    </x:row>
    <x:row r="1747" ht="42" customHeight="1">
      <x:c r="A1747" s="2" t="str">
        <x:v>3382119f392b28404b98a01d</x:v>
      </x:c>
      <x:c r="B1747" s="2" t="str">
        <x:v>감축량 인증</x:v>
      </x:c>
      <x:c r="C1747" s="2" t="str">
        <x:v>국내</x:v>
      </x:c>
      <x:c r="D1747" s="7" t="str">
        <x:v>삼천리 연료전환 번들링 CDM</x:v>
      </x:c>
      <x:c r="E1747" s="2" t="str">
        <x:v>환경부 이관</x:v>
      </x:c>
      <x:c r="F1747" s="2"/>
      <x:c r="G1747" s="2" t="str">
        <x:v>미확보</x:v>
      </x:c>
      <x:c r="H1747" s="2" t="str">
        <x:v>미확보</x:v>
      </x:c>
      <x:c r="I1747" s="2" t="str">
        <x:v>심의승인</x:v>
      </x:c>
      <x:c r="J1747" s="2" t="str">
        <x:v>심의승인</x:v>
      </x:c>
      <x:c r="K1747" s="2" t="str">
        <x:f>IF(OR(J1747="심의승인",J1747="반려",J1747="반려완료",J1747="심의완료"),"종결 표시",IF(OR(J1747="기후부협의",J1747="문서재제출요청",J1747="보류",J1747="보완요청",J1747="보완완료",J1747="평가중",J1747="반려요청",J1747="평가필요",LEFT(J1747,5)="보완요청("),"미종결 표시","상태 확인 필요"))</x:f>
        <x:v>종결 표시</x:v>
      </x:c>
      <x:c r="L1747" s="2"/>
      <x:c r="M1747" s="2"/>
      <x:c r="N1747" s="8"/>
      <x:c r="O1747" s="2"/>
      <x:c r="P1747" s="2"/>
      <x:c r="Q1747" s="2" t="str">
        <x:v>산업전환_외부사업관리Tool_260707_이너젠 수정_LJY_261013.xlsx</x:v>
      </x:c>
      <x:c r="R1747" s="2" t="str">
        <x:v>국내인증</x:v>
      </x:c>
      <x:c r="S1747" s="8" t="n">
        <x:v>65</x:v>
      </x:c>
      <x:c r="T1747" s="2"/>
      <x:c r="U1747" s="2" t="str"/>
      <x:c r="V1747" s="2" t="str">
        <x:v>2015-06-25</x:v>
      </x:c>
      <x:c r="W1747" s="2" t="str">
        <x:v>신청일 확인 / 담당기관 확인 / 동일 관리키 복수행·회차 확인</x:v>
      </x:c>
      <x:c r="X1747" s="2" t="str">
        <x:v>원본·배정 기록 확인</x:v>
      </x:c>
      <x:c r="Y1747" s="2" t="str">
        <x:v>ad210cd9ec132cfd447541c8984dc53d30aff0f4fb2dc92d254d49275cc55976</x:v>
      </x:c>
      <x:c r="Z1747" s="2" t="n">
        <x:f>SUBTOTAL(103,A1747)</x:f>
        <x:v>1</x:v>
      </x:c>
      <x:c r="AA1747" s="2" t="str">
        <x:f>IF(K1747&lt;&gt;"미종결 표시","대상 아님",IF(N1747="","신청일 확인",IF(NOT(ISNUMBER('종합 현황'!$H$5)),"관찰기준 확인",IF('종합 현황'!$H$5&lt;1,"관찰기준 확인",IF(N1747&gt;'종합 현황'!$H$5,"내부 관찰 대상","내부 관찰일 이하")))))</x:f>
        <x:v>대상 아님</x:v>
      </x:c>
      <x:c r="AB1747" s="2"/>
    </x:row>
    <x:row r="1748" ht="42" customHeight="1">
      <x:c r="A1748" s="2" t="str">
        <x:v>0f1dc6f9c882cc61319a132c</x:v>
      </x:c>
      <x:c r="B1748" s="2" t="str">
        <x:v>감축량 인증</x:v>
      </x:c>
      <x:c r="C1748" s="2" t="str">
        <x:v>국내</x:v>
      </x:c>
      <x:c r="D1748" s="7" t="str">
        <x:v>SF6 회수 및 재생사업</x:v>
      </x:c>
      <x:c r="E1748" s="2" t="str">
        <x:v>환경부 이관</x:v>
      </x:c>
      <x:c r="F1748" s="2"/>
      <x:c r="G1748" s="2" t="str">
        <x:v>미확보</x:v>
      </x:c>
      <x:c r="H1748" s="2" t="str">
        <x:v>미확보</x:v>
      </x:c>
      <x:c r="I1748" s="2" t="str">
        <x:v>심의승인</x:v>
      </x:c>
      <x:c r="J1748" s="2" t="str">
        <x:v>심의승인</x:v>
      </x:c>
      <x:c r="K1748" s="2" t="str">
        <x:f>IF(OR(J1748="심의승인",J1748="반려",J1748="반려완료",J1748="심의완료"),"종결 표시",IF(OR(J1748="기후부협의",J1748="문서재제출요청",J1748="보류",J1748="보완요청",J1748="보완완료",J1748="평가중",J1748="반려요청",J1748="평가필요",LEFT(J1748,5)="보완요청("),"미종결 표시","상태 확인 필요"))</x:f>
        <x:v>종결 표시</x:v>
      </x:c>
      <x:c r="L1748" s="2"/>
      <x:c r="M1748" s="2"/>
      <x:c r="N1748" s="8"/>
      <x:c r="O1748" s="2"/>
      <x:c r="P1748" s="2"/>
      <x:c r="Q1748" s="2" t="str">
        <x:v>산업전환_외부사업관리Tool_260707_이너젠 수정_LJY_261013.xlsx</x:v>
      </x:c>
      <x:c r="R1748" s="2" t="str">
        <x:v>국내인증</x:v>
      </x:c>
      <x:c r="S1748" s="8" t="n">
        <x:v>66</x:v>
      </x:c>
      <x:c r="T1748" s="2"/>
      <x:c r="U1748" s="2" t="str"/>
      <x:c r="V1748" s="2" t="str">
        <x:v>2015-06-25</x:v>
      </x:c>
      <x:c r="W1748" s="2" t="str">
        <x:v>신청일 확인 / 담당기관 확인 / 동일 관리키 복수행·회차 확인</x:v>
      </x:c>
      <x:c r="X1748" s="2" t="str">
        <x:v>원본·배정 기록 확인</x:v>
      </x:c>
      <x:c r="Y1748" s="2" t="str">
        <x:v>ad210cd9ec132cfd447541c8984dc53d30aff0f4fb2dc92d254d49275cc55976</x:v>
      </x:c>
      <x:c r="Z1748" s="2" t="n">
        <x:f>SUBTOTAL(103,A1748)</x:f>
        <x:v>1</x:v>
      </x:c>
      <x:c r="AA1748" s="2" t="str">
        <x:f>IF(K1748&lt;&gt;"미종결 표시","대상 아님",IF(N1748="","신청일 확인",IF(NOT(ISNUMBER('종합 현황'!$H$5)),"관찰기준 확인",IF('종합 현황'!$H$5&lt;1,"관찰기준 확인",IF(N1748&gt;'종합 현황'!$H$5,"내부 관찰 대상","내부 관찰일 이하")))))</x:f>
        <x:v>대상 아님</x:v>
      </x:c>
      <x:c r="AB1748" s="2"/>
    </x:row>
    <x:row r="1749" ht="42" customHeight="1">
      <x:c r="A1749" s="2" t="str">
        <x:v>a4c45b1805e7914c7b00ad31</x:v>
      </x:c>
      <x:c r="B1749" s="2" t="str">
        <x:v>감축량 인증</x:v>
      </x:c>
      <x:c r="C1749" s="2" t="str">
        <x:v>국내</x:v>
      </x:c>
      <x:c r="D1749" s="7" t="str">
        <x:v>카프로 N2O 저감 사업</x:v>
      </x:c>
      <x:c r="E1749" s="2" t="str">
        <x:v>환경부 이관</x:v>
      </x:c>
      <x:c r="F1749" s="2"/>
      <x:c r="G1749" s="2" t="str">
        <x:v>미확보</x:v>
      </x:c>
      <x:c r="H1749" s="2" t="str">
        <x:v>미확보</x:v>
      </x:c>
      <x:c r="I1749" s="2" t="str">
        <x:v>심의승인</x:v>
      </x:c>
      <x:c r="J1749" s="2" t="str">
        <x:v>심의승인</x:v>
      </x:c>
      <x:c r="K1749" s="2" t="str">
        <x:f>IF(OR(J1749="심의승인",J1749="반려",J1749="반려완료",J1749="심의완료"),"종결 표시",IF(OR(J1749="기후부협의",J1749="문서재제출요청",J1749="보류",J1749="보완요청",J1749="보완완료",J1749="평가중",J1749="반려요청",J1749="평가필요",LEFT(J1749,5)="보완요청("),"미종결 표시","상태 확인 필요"))</x:f>
        <x:v>종결 표시</x:v>
      </x:c>
      <x:c r="L1749" s="2"/>
      <x:c r="M1749" s="2"/>
      <x:c r="N1749" s="8"/>
      <x:c r="O1749" s="2"/>
      <x:c r="P1749" s="2"/>
      <x:c r="Q1749" s="2" t="str">
        <x:v>산업전환_외부사업관리Tool_260707_이너젠 수정_LJY_261013.xlsx</x:v>
      </x:c>
      <x:c r="R1749" s="2" t="str">
        <x:v>국내인증</x:v>
      </x:c>
      <x:c r="S1749" s="8" t="n">
        <x:v>67</x:v>
      </x:c>
      <x:c r="T1749" s="2"/>
      <x:c r="U1749" s="2" t="str"/>
      <x:c r="V1749" s="2" t="str">
        <x:v>2015-06-25</x:v>
      </x:c>
      <x:c r="W1749" s="2" t="str">
        <x:v>신청일 확인 / 담당기관 확인 / 동일 관리키 복수행·회차 확인</x:v>
      </x:c>
      <x:c r="X1749" s="2" t="str">
        <x:v>원본·배정 기록 확인</x:v>
      </x:c>
      <x:c r="Y1749" s="2" t="str">
        <x:v>ad210cd9ec132cfd447541c8984dc53d30aff0f4fb2dc92d254d49275cc55976</x:v>
      </x:c>
      <x:c r="Z1749" s="2" t="n">
        <x:f>SUBTOTAL(103,A1749)</x:f>
        <x:v>1</x:v>
      </x:c>
      <x:c r="AA1749" s="2" t="str">
        <x:f>IF(K1749&lt;&gt;"미종결 표시","대상 아님",IF(N1749="","신청일 확인",IF(NOT(ISNUMBER('종합 현황'!$H$5)),"관찰기준 확인",IF('종합 현황'!$H$5&lt;1,"관찰기준 확인",IF(N1749&gt;'종합 현황'!$H$5,"내부 관찰 대상","내부 관찰일 이하")))))</x:f>
        <x:v>대상 아님</x:v>
      </x:c>
      <x:c r="AB1749" s="2"/>
    </x:row>
    <x:row r="1750" ht="42" customHeight="1">
      <x:c r="A1750" s="2" t="str">
        <x:v>25974b806856aa85dfe31876</x:v>
      </x:c>
      <x:c r="B1750" s="2" t="str">
        <x:v>감축량 인증</x:v>
      </x:c>
      <x:c r="C1750" s="2" t="str">
        <x:v>국내</x:v>
      </x:c>
      <x:c r="D1750" s="7" t="str">
        <x:v>카프로 N2O 저감 사업</x:v>
      </x:c>
      <x:c r="E1750" s="2" t="str">
        <x:v>환경부 이관</x:v>
      </x:c>
      <x:c r="F1750" s="2"/>
      <x:c r="G1750" s="2" t="str">
        <x:v>미확보</x:v>
      </x:c>
      <x:c r="H1750" s="2" t="str">
        <x:v>미확보</x:v>
      </x:c>
      <x:c r="I1750" s="2" t="str">
        <x:v>심의승인</x:v>
      </x:c>
      <x:c r="J1750" s="2" t="str">
        <x:v>심의승인</x:v>
      </x:c>
      <x:c r="K1750" s="2" t="str">
        <x:f>IF(OR(J1750="심의승인",J1750="반려",J1750="반려완료",J1750="심의완료"),"종결 표시",IF(OR(J1750="기후부협의",J1750="문서재제출요청",J1750="보류",J1750="보완요청",J1750="보완완료",J1750="평가중",J1750="반려요청",J1750="평가필요",LEFT(J1750,5)="보완요청("),"미종결 표시","상태 확인 필요"))</x:f>
        <x:v>종결 표시</x:v>
      </x:c>
      <x:c r="L1750" s="2"/>
      <x:c r="M1750" s="2"/>
      <x:c r="N1750" s="8"/>
      <x:c r="O1750" s="2"/>
      <x:c r="P1750" s="2"/>
      <x:c r="Q1750" s="2" t="str">
        <x:v>산업전환_외부사업관리Tool_260707_이너젠 수정_LJY_261013.xlsx</x:v>
      </x:c>
      <x:c r="R1750" s="2" t="str">
        <x:v>국내인증</x:v>
      </x:c>
      <x:c r="S1750" s="8" t="n">
        <x:v>68</x:v>
      </x:c>
      <x:c r="T1750" s="2"/>
      <x:c r="U1750" s="2" t="str"/>
      <x:c r="V1750" s="2" t="str">
        <x:v>2015-06-25</x:v>
      </x:c>
      <x:c r="W1750" s="2" t="str">
        <x:v>신청일 확인 / 담당기관 확인 / 동일 관리키 복수행·회차 확인</x:v>
      </x:c>
      <x:c r="X1750" s="2" t="str">
        <x:v>원본·배정 기록 확인</x:v>
      </x:c>
      <x:c r="Y1750" s="2" t="str">
        <x:v>ad210cd9ec132cfd447541c8984dc53d30aff0f4fb2dc92d254d49275cc55976</x:v>
      </x:c>
      <x:c r="Z1750" s="2" t="n">
        <x:f>SUBTOTAL(103,A1750)</x:f>
        <x:v>1</x:v>
      </x:c>
      <x:c r="AA1750" s="2" t="str">
        <x:f>IF(K1750&lt;&gt;"미종결 표시","대상 아님",IF(N1750="","신청일 확인",IF(NOT(ISNUMBER('종합 현황'!$H$5)),"관찰기준 확인",IF('종합 현황'!$H$5&lt;1,"관찰기준 확인",IF(N1750&gt;'종합 현황'!$H$5,"내부 관찰 대상","내부 관찰일 이하")))))</x:f>
        <x:v>대상 아님</x:v>
      </x:c>
      <x:c r="AB1750" s="2"/>
    </x:row>
    <x:row r="1751" ht="42" customHeight="1">
      <x:c r="A1751" s="2" t="str">
        <x:v>7342521c66a03c551b9d9865</x:v>
      </x:c>
      <x:c r="B1751" s="2" t="str">
        <x:v>감축량 인증</x:v>
      </x:c>
      <x:c r="C1751" s="2" t="str">
        <x:v>국내</x:v>
      </x:c>
      <x:c r="D1751" s="7" t="str">
        <x:v>카프로 N2O 저감 사업</x:v>
      </x:c>
      <x:c r="E1751" s="2" t="str">
        <x:v>환경부 이관</x:v>
      </x:c>
      <x:c r="F1751" s="2"/>
      <x:c r="G1751" s="2" t="str">
        <x:v>미확보</x:v>
      </x:c>
      <x:c r="H1751" s="2" t="str">
        <x:v>미확보</x:v>
      </x:c>
      <x:c r="I1751" s="2" t="str">
        <x:v>심의승인</x:v>
      </x:c>
      <x:c r="J1751" s="2" t="str">
        <x:v>심의승인</x:v>
      </x:c>
      <x:c r="K1751" s="2" t="str">
        <x:f>IF(OR(J1751="심의승인",J1751="반려",J1751="반려완료",J1751="심의완료"),"종결 표시",IF(OR(J1751="기후부협의",J1751="문서재제출요청",J1751="보류",J1751="보완요청",J1751="보완완료",J1751="평가중",J1751="반려요청",J1751="평가필요",LEFT(J1751,5)="보완요청("),"미종결 표시","상태 확인 필요"))</x:f>
        <x:v>종결 표시</x:v>
      </x:c>
      <x:c r="L1751" s="2"/>
      <x:c r="M1751" s="2"/>
      <x:c r="N1751" s="8"/>
      <x:c r="O1751" s="2"/>
      <x:c r="P1751" s="2"/>
      <x:c r="Q1751" s="2" t="str">
        <x:v>산업전환_외부사업관리Tool_260707_이너젠 수정_LJY_261013.xlsx</x:v>
      </x:c>
      <x:c r="R1751" s="2" t="str">
        <x:v>국내인증</x:v>
      </x:c>
      <x:c r="S1751" s="8" t="n">
        <x:v>69</x:v>
      </x:c>
      <x:c r="T1751" s="2"/>
      <x:c r="U1751" s="2" t="str"/>
      <x:c r="V1751" s="2" t="str">
        <x:v>2015-06-25</x:v>
      </x:c>
      <x:c r="W1751" s="2" t="str">
        <x:v>신청일 확인 / 담당기관 확인 / 동일 관리키 복수행·회차 확인</x:v>
      </x:c>
      <x:c r="X1751" s="2" t="str">
        <x:v>원본·배정 기록 확인</x:v>
      </x:c>
      <x:c r="Y1751" s="2" t="str">
        <x:v>ad210cd9ec132cfd447541c8984dc53d30aff0f4fb2dc92d254d49275cc55976</x:v>
      </x:c>
      <x:c r="Z1751" s="2" t="n">
        <x:f>SUBTOTAL(103,A1751)</x:f>
        <x:v>1</x:v>
      </x:c>
      <x:c r="AA1751" s="2" t="str">
        <x:f>IF(K1751&lt;&gt;"미종결 표시","대상 아님",IF(N1751="","신청일 확인",IF(NOT(ISNUMBER('종합 현황'!$H$5)),"관찰기준 확인",IF('종합 현황'!$H$5&lt;1,"관찰기준 확인",IF(N1751&gt;'종합 현황'!$H$5,"내부 관찰 대상","내부 관찰일 이하")))))</x:f>
        <x:v>대상 아님</x:v>
      </x:c>
      <x:c r="AB1751" s="2"/>
    </x:row>
    <x:row r="1752" ht="42" customHeight="1">
      <x:c r="A1752" s="2" t="str">
        <x:v>084058c951c05448f5a051a5</x:v>
      </x:c>
      <x:c r="B1752" s="2" t="str">
        <x:v>감축량 인증</x:v>
      </x:c>
      <x:c r="C1752" s="2" t="str">
        <x:v>국내</x:v>
      </x:c>
      <x:c r="D1752" s="7" t="str">
        <x:v>카프로 N2O 저감 사업</x:v>
      </x:c>
      <x:c r="E1752" s="2" t="str">
        <x:v>환경부 이관</x:v>
      </x:c>
      <x:c r="F1752" s="2"/>
      <x:c r="G1752" s="2" t="str">
        <x:v>미확보</x:v>
      </x:c>
      <x:c r="H1752" s="2" t="str">
        <x:v>미확보</x:v>
      </x:c>
      <x:c r="I1752" s="2" t="str">
        <x:v>심의승인</x:v>
      </x:c>
      <x:c r="J1752" s="2" t="str">
        <x:v>심의승인</x:v>
      </x:c>
      <x:c r="K1752" s="2" t="str">
        <x:f>IF(OR(J1752="심의승인",J1752="반려",J1752="반려완료",J1752="심의완료"),"종결 표시",IF(OR(J1752="기후부협의",J1752="문서재제출요청",J1752="보류",J1752="보완요청",J1752="보완완료",J1752="평가중",J1752="반려요청",J1752="평가필요",LEFT(J1752,5)="보완요청("),"미종결 표시","상태 확인 필요"))</x:f>
        <x:v>종결 표시</x:v>
      </x:c>
      <x:c r="L1752" s="2"/>
      <x:c r="M1752" s="2"/>
      <x:c r="N1752" s="8"/>
      <x:c r="O1752" s="2"/>
      <x:c r="P1752" s="2"/>
      <x:c r="Q1752" s="2" t="str">
        <x:v>산업전환_외부사업관리Tool_260707_이너젠 수정_LJY_261013.xlsx</x:v>
      </x:c>
      <x:c r="R1752" s="2" t="str">
        <x:v>국내인증</x:v>
      </x:c>
      <x:c r="S1752" s="8" t="n">
        <x:v>70</x:v>
      </x:c>
      <x:c r="T1752" s="2"/>
      <x:c r="U1752" s="2" t="str"/>
      <x:c r="V1752" s="2" t="str">
        <x:v>2015-06-25</x:v>
      </x:c>
      <x:c r="W1752" s="2" t="str">
        <x:v>신청일 확인 / 담당기관 확인 / 동일 관리키 복수행·회차 확인</x:v>
      </x:c>
      <x:c r="X1752" s="2" t="str">
        <x:v>원본·배정 기록 확인</x:v>
      </x:c>
      <x:c r="Y1752" s="2" t="str">
        <x:v>ad210cd9ec132cfd447541c8984dc53d30aff0f4fb2dc92d254d49275cc55976</x:v>
      </x:c>
      <x:c r="Z1752" s="2" t="n">
        <x:f>SUBTOTAL(103,A1752)</x:f>
        <x:v>1</x:v>
      </x:c>
      <x:c r="AA1752" s="2" t="str">
        <x:f>IF(K1752&lt;&gt;"미종결 표시","대상 아님",IF(N1752="","신청일 확인",IF(NOT(ISNUMBER('종합 현황'!$H$5)),"관찰기준 확인",IF('종합 현황'!$H$5&lt;1,"관찰기준 확인",IF(N1752&gt;'종합 현황'!$H$5,"내부 관찰 대상","내부 관찰일 이하")))))</x:f>
        <x:v>대상 아님</x:v>
      </x:c>
      <x:c r="AB1752" s="2"/>
    </x:row>
    <x:row r="1753" ht="42" customHeight="1">
      <x:c r="A1753" s="2" t="str">
        <x:v>8f83bcd6b135dccce38bb9a1</x:v>
      </x:c>
      <x:c r="B1753" s="2" t="str">
        <x:v>감축량 인증</x:v>
      </x:c>
      <x:c r="C1753" s="2" t="str">
        <x:v>국내</x:v>
      </x:c>
      <x:c r="D1753" s="7" t="str">
        <x:v>휴켐스 질산공장 N2O 감축사업(휴켐스 주식회사의 질산 공장 세 곳에서 tail gas에 포함된 아산화질소를 촉매를 사용하여 제거하는 프로젝트)</x:v>
      </x:c>
      <x:c r="E1753" s="2" t="str">
        <x:v>환경부 이관</x:v>
      </x:c>
      <x:c r="F1753" s="2"/>
      <x:c r="G1753" s="2" t="str">
        <x:v>미확보</x:v>
      </x:c>
      <x:c r="H1753" s="2" t="str">
        <x:v>미확보</x:v>
      </x:c>
      <x:c r="I1753" s="2" t="str">
        <x:v>심의승인</x:v>
      </x:c>
      <x:c r="J1753" s="2" t="str">
        <x:v>심의승인</x:v>
      </x:c>
      <x:c r="K1753" s="2" t="str">
        <x:f>IF(OR(J1753="심의승인",J1753="반려",J1753="반려완료",J1753="심의완료"),"종결 표시",IF(OR(J1753="기후부협의",J1753="문서재제출요청",J1753="보류",J1753="보완요청",J1753="보완완료",J1753="평가중",J1753="반려요청",J1753="평가필요",LEFT(J1753,5)="보완요청("),"미종결 표시","상태 확인 필요"))</x:f>
        <x:v>종결 표시</x:v>
      </x:c>
      <x:c r="L1753" s="2"/>
      <x:c r="M1753" s="2"/>
      <x:c r="N1753" s="8"/>
      <x:c r="O1753" s="2"/>
      <x:c r="P1753" s="2"/>
      <x:c r="Q1753" s="2" t="str">
        <x:v>산업전환_외부사업관리Tool_260707_이너젠 수정_LJY_261013.xlsx</x:v>
      </x:c>
      <x:c r="R1753" s="2" t="str">
        <x:v>국내인증</x:v>
      </x:c>
      <x:c r="S1753" s="8" t="n">
        <x:v>71</x:v>
      </x:c>
      <x:c r="T1753" s="2"/>
      <x:c r="U1753" s="2" t="str"/>
      <x:c r="V1753" s="2" t="str">
        <x:v>2015-04-01</x:v>
      </x:c>
      <x:c r="W1753" s="2" t="str">
        <x:v>신청일 확인 / 담당기관 확인 / 동일 관리키 복수행·회차 확인</x:v>
      </x:c>
      <x:c r="X1753" s="2" t="str">
        <x:v>원본·배정 기록 확인</x:v>
      </x:c>
      <x:c r="Y1753" s="2" t="str">
        <x:v>ad210cd9ec132cfd447541c8984dc53d30aff0f4fb2dc92d254d49275cc55976</x:v>
      </x:c>
      <x:c r="Z1753" s="2" t="n">
        <x:f>SUBTOTAL(103,A1753)</x:f>
        <x:v>1</x:v>
      </x:c>
      <x:c r="AA1753" s="2" t="str">
        <x:f>IF(K1753&lt;&gt;"미종결 표시","대상 아님",IF(N1753="","신청일 확인",IF(NOT(ISNUMBER('종합 현황'!$H$5)),"관찰기준 확인",IF('종합 현황'!$H$5&lt;1,"관찰기준 확인",IF(N1753&gt;'종합 현황'!$H$5,"내부 관찰 대상","내부 관찰일 이하")))))</x:f>
        <x:v>대상 아님</x:v>
      </x:c>
      <x:c r="AB1753" s="2"/>
    </x:row>
    <x:row r="1754" ht="42" customHeight="1">
      <x:c r="A1754" s="2" t="str">
        <x:v>d783b0366419ac0927d29ca2</x:v>
      </x:c>
      <x:c r="B1754" s="2" t="str">
        <x:v>감축량 인증</x:v>
      </x:c>
      <x:c r="C1754" s="2" t="str">
        <x:v>국내</x:v>
      </x:c>
      <x:c r="D1754" s="7" t="str">
        <x:v>휴켐스 질산공장 N2O 감축사업(휴켐스 주식회사의 질산 공장 세 곳에서 tail gas에 포함된 아산화질소를 촉매를 사용하여 제거하는 프로젝트)</x:v>
      </x:c>
      <x:c r="E1754" s="2" t="str">
        <x:v>환경부 이관</x:v>
      </x:c>
      <x:c r="F1754" s="2"/>
      <x:c r="G1754" s="2" t="str">
        <x:v>미확보</x:v>
      </x:c>
      <x:c r="H1754" s="2" t="str">
        <x:v>미확보</x:v>
      </x:c>
      <x:c r="I1754" s="2" t="str">
        <x:v>심의승인</x:v>
      </x:c>
      <x:c r="J1754" s="2" t="str">
        <x:v>심의승인</x:v>
      </x:c>
      <x:c r="K1754" s="2" t="str">
        <x:f>IF(OR(J1754="심의승인",J1754="반려",J1754="반려완료",J1754="심의완료"),"종결 표시",IF(OR(J1754="기후부협의",J1754="문서재제출요청",J1754="보류",J1754="보완요청",J1754="보완완료",J1754="평가중",J1754="반려요청",J1754="평가필요",LEFT(J1754,5)="보완요청("),"미종결 표시","상태 확인 필요"))</x:f>
        <x:v>종결 표시</x:v>
      </x:c>
      <x:c r="L1754" s="2"/>
      <x:c r="M1754" s="2"/>
      <x:c r="N1754" s="8"/>
      <x:c r="O1754" s="2"/>
      <x:c r="P1754" s="2"/>
      <x:c r="Q1754" s="2" t="str">
        <x:v>산업전환_외부사업관리Tool_260707_이너젠 수정_LJY_261013.xlsx</x:v>
      </x:c>
      <x:c r="R1754" s="2" t="str">
        <x:v>국내인증</x:v>
      </x:c>
      <x:c r="S1754" s="8" t="n">
        <x:v>72</x:v>
      </x:c>
      <x:c r="T1754" s="2"/>
      <x:c r="U1754" s="2" t="str"/>
      <x:c r="V1754" s="2" t="str">
        <x:v>2015-04-01</x:v>
      </x:c>
      <x:c r="W1754" s="2" t="str">
        <x:v>신청일 확인 / 담당기관 확인 / 동일 관리키 복수행·회차 확인</x:v>
      </x:c>
      <x:c r="X1754" s="2" t="str">
        <x:v>원본·배정 기록 확인</x:v>
      </x:c>
      <x:c r="Y1754" s="2" t="str">
        <x:v>ad210cd9ec132cfd447541c8984dc53d30aff0f4fb2dc92d254d49275cc55976</x:v>
      </x:c>
      <x:c r="Z1754" s="2" t="n">
        <x:f>SUBTOTAL(103,A1754)</x:f>
        <x:v>1</x:v>
      </x:c>
      <x:c r="AA1754" s="2" t="str">
        <x:f>IF(K1754&lt;&gt;"미종결 표시","대상 아님",IF(N1754="","신청일 확인",IF(NOT(ISNUMBER('종합 현황'!$H$5)),"관찰기준 확인",IF('종합 현황'!$H$5&lt;1,"관찰기준 확인",IF(N1754&gt;'종합 현황'!$H$5,"내부 관찰 대상","내부 관찰일 이하")))))</x:f>
        <x:v>대상 아님</x:v>
      </x:c>
      <x:c r="AB1754" s="2"/>
    </x:row>
    <x:row r="1755" ht="42" customHeight="1">
      <x:c r="A1755" s="2" t="str">
        <x:v>feb14ec8ccecc6001db936b3</x:v>
      </x:c>
      <x:c r="B1755" s="2" t="str">
        <x:v>감축량 인증</x:v>
      </x:c>
      <x:c r="C1755" s="2" t="str">
        <x:v>국내</x:v>
      </x:c>
      <x:c r="D1755" s="7" t="str">
        <x:v>휴켐스 질산공장 N2O 감축사업(휴켐스 주식회사의 질산 공장 세 곳에서 tail gas에 포함된 아산화질소를 촉매를 사용하여 제거하는 프로젝트)</x:v>
      </x:c>
      <x:c r="E1755" s="2" t="str">
        <x:v>환경부 이관</x:v>
      </x:c>
      <x:c r="F1755" s="2"/>
      <x:c r="G1755" s="2" t="str">
        <x:v>미확보</x:v>
      </x:c>
      <x:c r="H1755" s="2" t="str">
        <x:v>미확보</x:v>
      </x:c>
      <x:c r="I1755" s="2" t="str">
        <x:v>심의승인</x:v>
      </x:c>
      <x:c r="J1755" s="2" t="str">
        <x:v>심의승인</x:v>
      </x:c>
      <x:c r="K1755" s="2" t="str">
        <x:f>IF(OR(J1755="심의승인",J1755="반려",J1755="반려완료",J1755="심의완료"),"종결 표시",IF(OR(J1755="기후부협의",J1755="문서재제출요청",J1755="보류",J1755="보완요청",J1755="보완완료",J1755="평가중",J1755="반려요청",J1755="평가필요",LEFT(J1755,5)="보완요청("),"미종결 표시","상태 확인 필요"))</x:f>
        <x:v>종결 표시</x:v>
      </x:c>
      <x:c r="L1755" s="2"/>
      <x:c r="M1755" s="2"/>
      <x:c r="N1755" s="8"/>
      <x:c r="O1755" s="2"/>
      <x:c r="P1755" s="2"/>
      <x:c r="Q1755" s="2" t="str">
        <x:v>산업전환_외부사업관리Tool_260707_이너젠 수정_LJY_261013.xlsx</x:v>
      </x:c>
      <x:c r="R1755" s="2" t="str">
        <x:v>국내인증</x:v>
      </x:c>
      <x:c r="S1755" s="8" t="n">
        <x:v>73</x:v>
      </x:c>
      <x:c r="T1755" s="2"/>
      <x:c r="U1755" s="2" t="str"/>
      <x:c r="V1755" s="2" t="str">
        <x:v>2015-04-01</x:v>
      </x:c>
      <x:c r="W1755" s="2" t="str">
        <x:v>신청일 확인 / 담당기관 확인 / 동일 관리키 복수행·회차 확인</x:v>
      </x:c>
      <x:c r="X1755" s="2" t="str">
        <x:v>원본·배정 기록 확인</x:v>
      </x:c>
      <x:c r="Y1755" s="2" t="str">
        <x:v>ad210cd9ec132cfd447541c8984dc53d30aff0f4fb2dc92d254d49275cc55976</x:v>
      </x:c>
      <x:c r="Z1755" s="2" t="n">
        <x:f>SUBTOTAL(103,A1755)</x:f>
        <x:v>1</x:v>
      </x:c>
      <x:c r="AA1755" s="2" t="str">
        <x:f>IF(K1755&lt;&gt;"미종결 표시","대상 아님",IF(N1755="","신청일 확인",IF(NOT(ISNUMBER('종합 현황'!$H$5)),"관찰기준 확인",IF('종합 현황'!$H$5&lt;1,"관찰기준 확인",IF(N1755&gt;'종합 현황'!$H$5,"내부 관찰 대상","내부 관찰일 이하")))))</x:f>
        <x:v>대상 아님</x:v>
      </x:c>
      <x:c r="AB1755" s="2"/>
    </x:row>
    <x:row r="1756" ht="42" customHeight="1">
      <x:c r="A1756" s="2" t="str">
        <x:v>a3e07c42fe3f38dab97674ba</x:v>
      </x:c>
      <x:c r="B1756" s="2" t="str">
        <x:v>감축량 인증</x:v>
      </x:c>
      <x:c r="C1756" s="2" t="str">
        <x:v>국내</x:v>
      </x:c>
      <x:c r="D1756" s="7" t="str">
        <x:v>휴켐스 질산공장 N2O 감축사업(휴켐스 주식회사의 질산 공장 세 곳에서 tail gas에 포함된 아산화질소를 촉매를 사용하여 제거하는 프로젝트)</x:v>
      </x:c>
      <x:c r="E1756" s="2" t="str">
        <x:v>환경부 이관</x:v>
      </x:c>
      <x:c r="F1756" s="2"/>
      <x:c r="G1756" s="2" t="str">
        <x:v>미확보</x:v>
      </x:c>
      <x:c r="H1756" s="2" t="str">
        <x:v>미확보</x:v>
      </x:c>
      <x:c r="I1756" s="2" t="str">
        <x:v>심의승인</x:v>
      </x:c>
      <x:c r="J1756" s="2" t="str">
        <x:v>심의승인</x:v>
      </x:c>
      <x:c r="K1756" s="2" t="str">
        <x:f>IF(OR(J1756="심의승인",J1756="반려",J1756="반려완료",J1756="심의완료"),"종결 표시",IF(OR(J1756="기후부협의",J1756="문서재제출요청",J1756="보류",J1756="보완요청",J1756="보완완료",J1756="평가중",J1756="반려요청",J1756="평가필요",LEFT(J1756,5)="보완요청("),"미종결 표시","상태 확인 필요"))</x:f>
        <x:v>종결 표시</x:v>
      </x:c>
      <x:c r="L1756" s="2"/>
      <x:c r="M1756" s="2"/>
      <x:c r="N1756" s="8"/>
      <x:c r="O1756" s="2"/>
      <x:c r="P1756" s="2"/>
      <x:c r="Q1756" s="2" t="str">
        <x:v>산업전환_외부사업관리Tool_260707_이너젠 수정_LJY_261013.xlsx</x:v>
      </x:c>
      <x:c r="R1756" s="2" t="str">
        <x:v>국내인증</x:v>
      </x:c>
      <x:c r="S1756" s="8" t="n">
        <x:v>74</x:v>
      </x:c>
      <x:c r="T1756" s="2"/>
      <x:c r="U1756" s="2" t="str"/>
      <x:c r="V1756" s="2" t="str">
        <x:v>2015-04-01</x:v>
      </x:c>
      <x:c r="W1756" s="2" t="str">
        <x:v>신청일 확인 / 담당기관 확인 / 동일 관리키 복수행·회차 확인</x:v>
      </x:c>
      <x:c r="X1756" s="2" t="str">
        <x:v>원본·배정 기록 확인</x:v>
      </x:c>
      <x:c r="Y1756" s="2" t="str">
        <x:v>ad210cd9ec132cfd447541c8984dc53d30aff0f4fb2dc92d254d49275cc55976</x:v>
      </x:c>
      <x:c r="Z1756" s="2" t="n">
        <x:f>SUBTOTAL(103,A1756)</x:f>
        <x:v>1</x:v>
      </x:c>
      <x:c r="AA1756" s="2" t="str">
        <x:f>IF(K1756&lt;&gt;"미종결 표시","대상 아님",IF(N1756="","신청일 확인",IF(NOT(ISNUMBER('종합 현황'!$H$5)),"관찰기준 확인",IF('종합 현황'!$H$5&lt;1,"관찰기준 확인",IF(N1756&gt;'종합 현황'!$H$5,"내부 관찰 대상","내부 관찰일 이하")))))</x:f>
        <x:v>대상 아님</x:v>
      </x:c>
      <x:c r="AB1756" s="2"/>
    </x:row>
    <x:row r="1757" ht="42" customHeight="1">
      <x:c r="A1757" s="2" t="str">
        <x:v>5a0e8426903d40d21d152348</x:v>
      </x:c>
      <x:c r="B1757" s="2" t="str">
        <x:v>감축량 인증</x:v>
      </x:c>
      <x:c r="C1757" s="2" t="str">
        <x:v>국내</x:v>
      </x:c>
      <x:c r="D1757" s="7" t="str">
        <x:v>휴켐스 질산공장 N2O 감축사업(휴켐스 주식회사의 질산 공장 세 곳에서 tail gas에 포함된 아산화질소를 촉매를 사용하여 제거하는 프로젝트)</x:v>
      </x:c>
      <x:c r="E1757" s="2" t="str">
        <x:v>환경부 이관</x:v>
      </x:c>
      <x:c r="F1757" s="2"/>
      <x:c r="G1757" s="2" t="str">
        <x:v>미확보</x:v>
      </x:c>
      <x:c r="H1757" s="2" t="str">
        <x:v>미확보</x:v>
      </x:c>
      <x:c r="I1757" s="2" t="str">
        <x:v>심의승인</x:v>
      </x:c>
      <x:c r="J1757" s="2" t="str">
        <x:v>심의승인</x:v>
      </x:c>
      <x:c r="K1757" s="2" t="str">
        <x:f>IF(OR(J1757="심의승인",J1757="반려",J1757="반려완료",J1757="심의완료"),"종결 표시",IF(OR(J1757="기후부협의",J1757="문서재제출요청",J1757="보류",J1757="보완요청",J1757="보완완료",J1757="평가중",J1757="반려요청",J1757="평가필요",LEFT(J1757,5)="보완요청("),"미종결 표시","상태 확인 필요"))</x:f>
        <x:v>종결 표시</x:v>
      </x:c>
      <x:c r="L1757" s="2"/>
      <x:c r="M1757" s="2"/>
      <x:c r="N1757" s="8"/>
      <x:c r="O1757" s="2"/>
      <x:c r="P1757" s="2"/>
      <x:c r="Q1757" s="2" t="str">
        <x:v>산업전환_외부사업관리Tool_260707_이너젠 수정_LJY_261013.xlsx</x:v>
      </x:c>
      <x:c r="R1757" s="2" t="str">
        <x:v>국내인증</x:v>
      </x:c>
      <x:c r="S1757" s="8" t="n">
        <x:v>75</x:v>
      </x:c>
      <x:c r="T1757" s="2"/>
      <x:c r="U1757" s="2" t="str"/>
      <x:c r="V1757" s="2" t="str">
        <x:v>2015-04-01</x:v>
      </x:c>
      <x:c r="W1757" s="2" t="str">
        <x:v>신청일 확인 / 담당기관 확인 / 동일 관리키 복수행·회차 확인</x:v>
      </x:c>
      <x:c r="X1757" s="2" t="str">
        <x:v>원본·배정 기록 확인</x:v>
      </x:c>
      <x:c r="Y1757" s="2" t="str">
        <x:v>ad210cd9ec132cfd447541c8984dc53d30aff0f4fb2dc92d254d49275cc55976</x:v>
      </x:c>
      <x:c r="Z1757" s="2" t="n">
        <x:f>SUBTOTAL(103,A1757)</x:f>
        <x:v>1</x:v>
      </x:c>
      <x:c r="AA1757" s="2" t="str">
        <x:f>IF(K1757&lt;&gt;"미종결 표시","대상 아님",IF(N1757="","신청일 확인",IF(NOT(ISNUMBER('종합 현황'!$H$5)),"관찰기준 확인",IF('종합 현황'!$H$5&lt;1,"관찰기준 확인",IF(N1757&gt;'종합 현황'!$H$5,"내부 관찰 대상","내부 관찰일 이하")))))</x:f>
        <x:v>대상 아님</x:v>
      </x:c>
      <x:c r="AB1757" s="2"/>
    </x:row>
    <x:row r="1758" ht="42" customHeight="1">
      <x:c r="A1758" s="2" t="str">
        <x:v>7019803b2e8a309b79d6d1fe</x:v>
      </x:c>
      <x:c r="B1758" s="2" t="str">
        <x:v>감축량 인증</x:v>
      </x:c>
      <x:c r="C1758" s="2" t="str">
        <x:v>국내</x:v>
      </x:c>
      <x:c r="D1758" s="7" t="str">
        <x:v>(주)한화 울산소재 질산공장 N2O 감축 프로젝트</x:v>
      </x:c>
      <x:c r="E1758" s="2" t="str">
        <x:v>환경부 이관</x:v>
      </x:c>
      <x:c r="F1758" s="2"/>
      <x:c r="G1758" s="2" t="str">
        <x:v>미확보</x:v>
      </x:c>
      <x:c r="H1758" s="2" t="str">
        <x:v>미확보</x:v>
      </x:c>
      <x:c r="I1758" s="2" t="str">
        <x:v>심의승인</x:v>
      </x:c>
      <x:c r="J1758" s="2" t="str">
        <x:v>심의승인</x:v>
      </x:c>
      <x:c r="K1758" s="2" t="str">
        <x:f>IF(OR(J1758="심의승인",J1758="반려",J1758="반려완료",J1758="심의완료"),"종결 표시",IF(OR(J1758="기후부협의",J1758="문서재제출요청",J1758="보류",J1758="보완요청",J1758="보완완료",J1758="평가중",J1758="반려요청",J1758="평가필요",LEFT(J1758,5)="보완요청("),"미종결 표시","상태 확인 필요"))</x:f>
        <x:v>종결 표시</x:v>
      </x:c>
      <x:c r="L1758" s="2"/>
      <x:c r="M1758" s="2"/>
      <x:c r="N1758" s="8"/>
      <x:c r="O1758" s="2"/>
      <x:c r="P1758" s="2"/>
      <x:c r="Q1758" s="2" t="str">
        <x:v>산업전환_외부사업관리Tool_260707_이너젠 수정_LJY_261013.xlsx</x:v>
      </x:c>
      <x:c r="R1758" s="2" t="str">
        <x:v>국내인증</x:v>
      </x:c>
      <x:c r="S1758" s="8" t="n">
        <x:v>76</x:v>
      </x:c>
      <x:c r="T1758" s="2"/>
      <x:c r="U1758" s="2" t="str"/>
      <x:c r="V1758" s="2" t="str">
        <x:v>2015-04-01</x:v>
      </x:c>
      <x:c r="W1758" s="2" t="str">
        <x:v>신청일 확인 / 담당기관 확인 / 동일 관리키 복수행·회차 확인</x:v>
      </x:c>
      <x:c r="X1758" s="2" t="str">
        <x:v>원본·배정 기록 확인</x:v>
      </x:c>
      <x:c r="Y1758" s="2" t="str">
        <x:v>ad210cd9ec132cfd447541c8984dc53d30aff0f4fb2dc92d254d49275cc55976</x:v>
      </x:c>
      <x:c r="Z1758" s="2" t="n">
        <x:f>SUBTOTAL(103,A1758)</x:f>
        <x:v>1</x:v>
      </x:c>
      <x:c r="AA1758" s="2" t="str">
        <x:f>IF(K1758&lt;&gt;"미종결 표시","대상 아님",IF(N1758="","신청일 확인",IF(NOT(ISNUMBER('종합 현황'!$H$5)),"관찰기준 확인",IF('종합 현황'!$H$5&lt;1,"관찰기준 확인",IF(N1758&gt;'종합 현황'!$H$5,"내부 관찰 대상","내부 관찰일 이하")))))</x:f>
        <x:v>대상 아님</x:v>
      </x:c>
      <x:c r="AB1758" s="2"/>
    </x:row>
    <x:row r="1759" ht="42" customHeight="1">
      <x:c r="A1759" s="2" t="str">
        <x:v>90e7057a2cf70dc3814caf42</x:v>
      </x:c>
      <x:c r="B1759" s="2" t="str">
        <x:v>감축량 인증</x:v>
      </x:c>
      <x:c r="C1759" s="2" t="str">
        <x:v>국내</x:v>
      </x:c>
      <x:c r="D1759" s="7" t="str">
        <x:v>(주)한화 울산소재 질산공장 N2O 감축 프로젝트</x:v>
      </x:c>
      <x:c r="E1759" s="2" t="str">
        <x:v>환경부 이관</x:v>
      </x:c>
      <x:c r="F1759" s="2"/>
      <x:c r="G1759" s="2" t="str">
        <x:v>미확보</x:v>
      </x:c>
      <x:c r="H1759" s="2" t="str">
        <x:v>미확보</x:v>
      </x:c>
      <x:c r="I1759" s="2" t="str">
        <x:v>심의승인</x:v>
      </x:c>
      <x:c r="J1759" s="2" t="str">
        <x:v>심의승인</x:v>
      </x:c>
      <x:c r="K1759" s="2" t="str">
        <x:f>IF(OR(J1759="심의승인",J1759="반려",J1759="반려완료",J1759="심의완료"),"종결 표시",IF(OR(J1759="기후부협의",J1759="문서재제출요청",J1759="보류",J1759="보완요청",J1759="보완완료",J1759="평가중",J1759="반려요청",J1759="평가필요",LEFT(J1759,5)="보완요청("),"미종결 표시","상태 확인 필요"))</x:f>
        <x:v>종결 표시</x:v>
      </x:c>
      <x:c r="L1759" s="2"/>
      <x:c r="M1759" s="2"/>
      <x:c r="N1759" s="8"/>
      <x:c r="O1759" s="2"/>
      <x:c r="P1759" s="2"/>
      <x:c r="Q1759" s="2" t="str">
        <x:v>산업전환_외부사업관리Tool_260707_이너젠 수정_LJY_261013.xlsx</x:v>
      </x:c>
      <x:c r="R1759" s="2" t="str">
        <x:v>국내인증</x:v>
      </x:c>
      <x:c r="S1759" s="8" t="n">
        <x:v>77</x:v>
      </x:c>
      <x:c r="T1759" s="2"/>
      <x:c r="U1759" s="2" t="str"/>
      <x:c r="V1759" s="2" t="str">
        <x:v>2015-04-01</x:v>
      </x:c>
      <x:c r="W1759" s="2" t="str">
        <x:v>신청일 확인 / 담당기관 확인 / 동일 관리키 복수행·회차 확인</x:v>
      </x:c>
      <x:c r="X1759" s="2" t="str">
        <x:v>원본·배정 기록 확인</x:v>
      </x:c>
      <x:c r="Y1759" s="2" t="str">
        <x:v>ad210cd9ec132cfd447541c8984dc53d30aff0f4fb2dc92d254d49275cc55976</x:v>
      </x:c>
      <x:c r="Z1759" s="2" t="n">
        <x:f>SUBTOTAL(103,A1759)</x:f>
        <x:v>1</x:v>
      </x:c>
      <x:c r="AA1759" s="2" t="str">
        <x:f>IF(K1759&lt;&gt;"미종결 표시","대상 아님",IF(N1759="","신청일 확인",IF(NOT(ISNUMBER('종합 현황'!$H$5)),"관찰기준 확인",IF('종합 현황'!$H$5&lt;1,"관찰기준 확인",IF(N1759&gt;'종합 현황'!$H$5,"내부 관찰 대상","내부 관찰일 이하")))))</x:f>
        <x:v>대상 아님</x:v>
      </x:c>
      <x:c r="AB1759" s="2"/>
    </x:row>
    <x:row r="1760" ht="42" customHeight="1">
      <x:c r="A1760" s="2" t="str">
        <x:v>713c72861d0a719aec4e7eeb</x:v>
      </x:c>
      <x:c r="B1760" s="2" t="str">
        <x:v>감축량 인증</x:v>
      </x:c>
      <x:c r="C1760" s="2" t="str">
        <x:v>국내</x:v>
      </x:c>
      <x:c r="D1760" s="7" t="str">
        <x:v>(주)한화 울산소재 질산공장 N2O 감축 프로젝트</x:v>
      </x:c>
      <x:c r="E1760" s="2" t="str">
        <x:v>환경부 이관 추가사업</x:v>
      </x:c>
      <x:c r="F1760" s="2"/>
      <x:c r="G1760" s="2" t="str">
        <x:v>미확보</x:v>
      </x:c>
      <x:c r="H1760" s="2" t="str">
        <x:v>미확보</x:v>
      </x:c>
      <x:c r="I1760" s="2" t="str">
        <x:v>심의승인</x:v>
      </x:c>
      <x:c r="J1760" s="2" t="str">
        <x:v>심의승인</x:v>
      </x:c>
      <x:c r="K1760" s="2" t="str">
        <x:f>IF(OR(J1760="심의승인",J1760="반려",J1760="반려완료",J1760="심의완료"),"종결 표시",IF(OR(J1760="기후부협의",J1760="문서재제출요청",J1760="보류",J1760="보완요청",J1760="보완완료",J1760="평가중",J1760="반려요청",J1760="평가필요",LEFT(J1760,5)="보완요청("),"미종결 표시","상태 확인 필요"))</x:f>
        <x:v>종결 표시</x:v>
      </x:c>
      <x:c r="L1760" s="2"/>
      <x:c r="M1760" s="2"/>
      <x:c r="N1760" s="8"/>
      <x:c r="O1760" s="2"/>
      <x:c r="P1760" s="2"/>
      <x:c r="Q1760" s="2" t="str">
        <x:v>산업전환_외부사업관리Tool_260707_이너젠 수정_LJY_261013.xlsx</x:v>
      </x:c>
      <x:c r="R1760" s="2" t="str">
        <x:v>국내인증</x:v>
      </x:c>
      <x:c r="S1760" s="8" t="n">
        <x:v>78</x:v>
      </x:c>
      <x:c r="T1760" s="2"/>
      <x:c r="U1760" s="2" t="str"/>
      <x:c r="V1760" s="2" t="str">
        <x:v>2015-04-01</x:v>
      </x:c>
      <x:c r="W1760" s="2" t="str">
        <x:v>신청일 확인 / 담당기관 확인 / 동일 관리키 복수행·회차 확인</x:v>
      </x:c>
      <x:c r="X1760" s="2" t="str">
        <x:v>원본·배정 기록 확인</x:v>
      </x:c>
      <x:c r="Y1760" s="2" t="str">
        <x:v>ad210cd9ec132cfd447541c8984dc53d30aff0f4fb2dc92d254d49275cc55976</x:v>
      </x:c>
      <x:c r="Z1760" s="2" t="n">
        <x:f>SUBTOTAL(103,A1760)</x:f>
        <x:v>1</x:v>
      </x:c>
      <x:c r="AA1760" s="2" t="str">
        <x:f>IF(K1760&lt;&gt;"미종결 표시","대상 아님",IF(N1760="","신청일 확인",IF(NOT(ISNUMBER('종합 현황'!$H$5)),"관찰기준 확인",IF('종합 현황'!$H$5&lt;1,"관찰기준 확인",IF(N1760&gt;'종합 현황'!$H$5,"내부 관찰 대상","내부 관찰일 이하")))))</x:f>
        <x:v>대상 아님</x:v>
      </x:c>
      <x:c r="AB1760" s="2"/>
    </x:row>
    <x:row r="1761" ht="42" customHeight="1">
      <x:c r="A1761" s="2" t="str">
        <x:v>bff7bcf5917519683ddaf9cb</x:v>
      </x:c>
      <x:c r="B1761" s="2" t="str">
        <x:v>감축량 인증</x:v>
      </x:c>
      <x:c r="C1761" s="2" t="str">
        <x:v>국내</x:v>
      </x:c>
      <x:c r="D1761" s="7" t="str">
        <x:v>휴켐스 질산공장 N2O 감축사업(휴켐스 주식회사의 질산 공장 세 곳에서 tail gas에 포함된 아산화질소를 촉매를 사용하여 제거하는 프로젝트)</x:v>
      </x:c>
      <x:c r="E1761" s="2" t="str">
        <x:v>1</x:v>
      </x:c>
      <x:c r="F1761" s="2"/>
      <x:c r="G1761" s="2" t="str">
        <x:v>미확보</x:v>
      </x:c>
      <x:c r="H1761" s="2" t="str">
        <x:v>미확보</x:v>
      </x:c>
      <x:c r="I1761" s="2" t="str">
        <x:v>심의승인</x:v>
      </x:c>
      <x:c r="J1761" s="2" t="str">
        <x:v>심의승인</x:v>
      </x:c>
      <x:c r="K1761" s="2" t="str">
        <x:f>IF(OR(J1761="심의승인",J1761="반려",J1761="반려완료",J1761="심의완료"),"종결 표시",IF(OR(J1761="기후부협의",J1761="문서재제출요청",J1761="보류",J1761="보완요청",J1761="보완완료",J1761="평가중",J1761="반려요청",J1761="평가필요",LEFT(J1761,5)="보완요청("),"미종결 표시","상태 확인 필요"))</x:f>
        <x:v>종결 표시</x:v>
      </x:c>
      <x:c r="L1761" s="2"/>
      <x:c r="M1761" s="2"/>
      <x:c r="N1761" s="8"/>
      <x:c r="O1761" s="2"/>
      <x:c r="P1761" s="2"/>
      <x:c r="Q1761" s="2" t="str">
        <x:v>산업전환_외부사업관리Tool_260707_이너젠 수정_LJY_261013.xlsx</x:v>
      </x:c>
      <x:c r="R1761" s="2" t="str">
        <x:v>국내인증</x:v>
      </x:c>
      <x:c r="S1761" s="8" t="n">
        <x:v>79</x:v>
      </x:c>
      <x:c r="T1761" s="2"/>
      <x:c r="U1761" s="2" t="str"/>
      <x:c r="V1761" s="2" t="str">
        <x:v>2015-04-01</x:v>
      </x:c>
      <x:c r="W1761" s="2" t="str">
        <x:v>신청일 확인 / 담당기관 확인</x:v>
      </x:c>
      <x:c r="X1761" s="2" t="str">
        <x:v>원본·배정 기록 확인</x:v>
      </x:c>
      <x:c r="Y1761" s="2" t="str">
        <x:v>ad210cd9ec132cfd447541c8984dc53d30aff0f4fb2dc92d254d49275cc55976</x:v>
      </x:c>
      <x:c r="Z1761" s="2" t="n">
        <x:f>SUBTOTAL(103,A1761)</x:f>
        <x:v>1</x:v>
      </x:c>
      <x:c r="AA1761" s="2" t="str">
        <x:f>IF(K1761&lt;&gt;"미종결 표시","대상 아님",IF(N1761="","신청일 확인",IF(NOT(ISNUMBER('종합 현황'!$H$5)),"관찰기준 확인",IF('종합 현황'!$H$5&lt;1,"관찰기준 확인",IF(N1761&gt;'종합 현황'!$H$5,"내부 관찰 대상","내부 관찰일 이하")))))</x:f>
        <x:v>대상 아님</x:v>
      </x:c>
      <x:c r="AB1761" s="2"/>
    </x:row>
    <x:row r="1762" ht="42" customHeight="1">
      <x:c r="A1762" s="2" t="str">
        <x:v>f43466e5b732eeb877d072e5</x:v>
      </x:c>
      <x:c r="B1762" s="2" t="str">
        <x:v>감축량 인증</x:v>
      </x:c>
      <x:c r="C1762" s="2" t="str">
        <x:v>국내</x:v>
      </x:c>
      <x:c r="D1762" s="7" t="str">
        <x:v>휴켐스 질산공장 N2O 감축사업(휴켐스 주식회사의 질산 공장 세 곳에서 tail gas에 포함된 아산화질소를 촉매를 사용하여 제거하는 프로젝트)</x:v>
      </x:c>
      <x:c r="E1762" s="2" t="str">
        <x:v>2</x:v>
      </x:c>
      <x:c r="F1762" s="2"/>
      <x:c r="G1762" s="2" t="str">
        <x:v>미확보</x:v>
      </x:c>
      <x:c r="H1762" s="2" t="str">
        <x:v>미확보</x:v>
      </x:c>
      <x:c r="I1762" s="2" t="str">
        <x:v>심의승인</x:v>
      </x:c>
      <x:c r="J1762" s="2" t="str">
        <x:v>심의승인</x:v>
      </x:c>
      <x:c r="K1762" s="2" t="str">
        <x:f>IF(OR(J1762="심의승인",J1762="반려",J1762="반려완료",J1762="심의완료"),"종결 표시",IF(OR(J1762="기후부협의",J1762="문서재제출요청",J1762="보류",J1762="보완요청",J1762="보완완료",J1762="평가중",J1762="반려요청",J1762="평가필요",LEFT(J1762,5)="보완요청("),"미종결 표시","상태 확인 필요"))</x:f>
        <x:v>종결 표시</x:v>
      </x:c>
      <x:c r="L1762" s="2"/>
      <x:c r="M1762" s="2"/>
      <x:c r="N1762" s="8"/>
      <x:c r="O1762" s="2"/>
      <x:c r="P1762" s="2"/>
      <x:c r="Q1762" s="2" t="str">
        <x:v>산업전환_외부사업관리Tool_260707_이너젠 수정_LJY_261013.xlsx</x:v>
      </x:c>
      <x:c r="R1762" s="2" t="str">
        <x:v>국내인증</x:v>
      </x:c>
      <x:c r="S1762" s="8" t="n">
        <x:v>80</x:v>
      </x:c>
      <x:c r="T1762" s="2"/>
      <x:c r="U1762" s="2" t="str"/>
      <x:c r="V1762" s="2" t="str">
        <x:v>2016-05-17</x:v>
      </x:c>
      <x:c r="W1762" s="2" t="str">
        <x:v>신청일 확인 / 담당기관 확인</x:v>
      </x:c>
      <x:c r="X1762" s="2" t="str">
        <x:v>원본·배정 기록 확인</x:v>
      </x:c>
      <x:c r="Y1762" s="2" t="str">
        <x:v>ad210cd9ec132cfd447541c8984dc53d30aff0f4fb2dc92d254d49275cc55976</x:v>
      </x:c>
      <x:c r="Z1762" s="2" t="n">
        <x:f>SUBTOTAL(103,A1762)</x:f>
        <x:v>1</x:v>
      </x:c>
      <x:c r="AA1762" s="2" t="str">
        <x:f>IF(K1762&lt;&gt;"미종결 표시","대상 아님",IF(N1762="","신청일 확인",IF(NOT(ISNUMBER('종합 현황'!$H$5)),"관찰기준 확인",IF('종합 현황'!$H$5&lt;1,"관찰기준 확인",IF(N1762&gt;'종합 현황'!$H$5,"내부 관찰 대상","내부 관찰일 이하")))))</x:f>
        <x:v>대상 아님</x:v>
      </x:c>
      <x:c r="AB1762" s="2"/>
    </x:row>
    <x:row r="1763" ht="42" customHeight="1">
      <x:c r="A1763" s="2" t="str">
        <x:v>f3e21bc8b695b0f5f3ffd876</x:v>
      </x:c>
      <x:c r="B1763" s="2" t="str">
        <x:v>감축량 인증</x:v>
      </x:c>
      <x:c r="C1763" s="2" t="str">
        <x:v>국내</x:v>
      </x:c>
      <x:c r="D1763" s="7" t="str">
        <x:v>휴켐스(주) 신설 5질산에서 발생하는 아산화질소 배출량 저감사업</x:v>
      </x:c>
      <x:c r="E1763" s="2" t="str">
        <x:v>3</x:v>
      </x:c>
      <x:c r="F1763" s="2"/>
      <x:c r="G1763" s="2" t="str">
        <x:v>미확보</x:v>
      </x:c>
      <x:c r="H1763" s="2" t="str">
        <x:v>미확보</x:v>
      </x:c>
      <x:c r="I1763" s="2" t="str">
        <x:v>심의승인</x:v>
      </x:c>
      <x:c r="J1763" s="2" t="str">
        <x:v>심의승인</x:v>
      </x:c>
      <x:c r="K1763" s="2" t="str">
        <x:f>IF(OR(J1763="심의승인",J1763="반려",J1763="반려완료",J1763="심의완료"),"종결 표시",IF(OR(J1763="기후부협의",J1763="문서재제출요청",J1763="보류",J1763="보완요청",J1763="보완완료",J1763="평가중",J1763="반려요청",J1763="평가필요",LEFT(J1763,5)="보완요청("),"미종결 표시","상태 확인 필요"))</x:f>
        <x:v>종결 표시</x:v>
      </x:c>
      <x:c r="L1763" s="2"/>
      <x:c r="M1763" s="2"/>
      <x:c r="N1763" s="8"/>
      <x:c r="O1763" s="2"/>
      <x:c r="P1763" s="2"/>
      <x:c r="Q1763" s="2" t="str">
        <x:v>산업전환_외부사업관리Tool_260707_이너젠 수정_LJY_261013.xlsx</x:v>
      </x:c>
      <x:c r="R1763" s="2" t="str">
        <x:v>국내인증</x:v>
      </x:c>
      <x:c r="S1763" s="8" t="n">
        <x:v>81</x:v>
      </x:c>
      <x:c r="T1763" s="2"/>
      <x:c r="U1763" s="2" t="str"/>
      <x:c r="V1763" s="2" t="str">
        <x:v>2015-04-01</x:v>
      </x:c>
      <x:c r="W1763" s="2" t="str">
        <x:v>신청일 확인 / 담당기관 확인</x:v>
      </x:c>
      <x:c r="X1763" s="2" t="str">
        <x:v>원본·배정 기록 확인</x:v>
      </x:c>
      <x:c r="Y1763" s="2" t="str">
        <x:v>ad210cd9ec132cfd447541c8984dc53d30aff0f4fb2dc92d254d49275cc55976</x:v>
      </x:c>
      <x:c r="Z1763" s="2" t="n">
        <x:f>SUBTOTAL(103,A1763)</x:f>
        <x:v>1</x:v>
      </x:c>
      <x:c r="AA1763" s="2" t="str">
        <x:f>IF(K1763&lt;&gt;"미종결 표시","대상 아님",IF(N1763="","신청일 확인",IF(NOT(ISNUMBER('종합 현황'!$H$5)),"관찰기준 확인",IF('종합 현황'!$H$5&lt;1,"관찰기준 확인",IF(N1763&gt;'종합 현황'!$H$5,"내부 관찰 대상","내부 관찰일 이하")))))</x:f>
        <x:v>대상 아님</x:v>
      </x:c>
      <x:c r="AB1763" s="2"/>
    </x:row>
    <x:row r="1764" ht="42" customHeight="1">
      <x:c r="A1764" s="2" t="str">
        <x:v>7060e0ec1068fa99a3aaf5ae</x:v>
      </x:c>
      <x:c r="B1764" s="2" t="str">
        <x:v>감축량 인증</x:v>
      </x:c>
      <x:c r="C1764" s="2" t="str">
        <x:v>국내</x:v>
      </x:c>
      <x:c r="D1764" s="7" t="str">
        <x:v>한국의 LCD 제조 과정의 SF6 방출 감축을 위한 사용점 감축 설비</x:v>
      </x:c>
      <x:c r="E1764" s="2" t="str">
        <x:v>4</x:v>
      </x:c>
      <x:c r="F1764" s="2"/>
      <x:c r="G1764" s="2" t="str">
        <x:v>미확보</x:v>
      </x:c>
      <x:c r="H1764" s="2" t="str">
        <x:v>미확보</x:v>
      </x:c>
      <x:c r="I1764" s="2" t="str">
        <x:v>심의승인</x:v>
      </x:c>
      <x:c r="J1764" s="2" t="str">
        <x:v>심의승인</x:v>
      </x:c>
      <x:c r="K1764" s="2" t="str">
        <x:f>IF(OR(J1764="심의승인",J1764="반려",J1764="반려완료",J1764="심의완료"),"종결 표시",IF(OR(J1764="기후부협의",J1764="문서재제출요청",J1764="보류",J1764="보완요청",J1764="보완완료",J1764="평가중",J1764="반려요청",J1764="평가필요",LEFT(J1764,5)="보완요청("),"미종결 표시","상태 확인 필요"))</x:f>
        <x:v>종결 표시</x:v>
      </x:c>
      <x:c r="L1764" s="2"/>
      <x:c r="M1764" s="2"/>
      <x:c r="N1764" s="8"/>
      <x:c r="O1764" s="2"/>
      <x:c r="P1764" s="2"/>
      <x:c r="Q1764" s="2" t="str">
        <x:v>산업전환_외부사업관리Tool_260707_이너젠 수정_LJY_261013.xlsx</x:v>
      </x:c>
      <x:c r="R1764" s="2" t="str">
        <x:v>국내인증</x:v>
      </x:c>
      <x:c r="S1764" s="8" t="n">
        <x:v>82</x:v>
      </x:c>
      <x:c r="T1764" s="2"/>
      <x:c r="U1764" s="2" t="str"/>
      <x:c r="V1764" s="2" t="str">
        <x:v>2015-09-21</x:v>
      </x:c>
      <x:c r="W1764" s="2" t="str">
        <x:v>신청일 확인 / 담당기관 확인</x:v>
      </x:c>
      <x:c r="X1764" s="2" t="str">
        <x:v>원본·배정 기록 확인</x:v>
      </x:c>
      <x:c r="Y1764" s="2" t="str">
        <x:v>ad210cd9ec132cfd447541c8984dc53d30aff0f4fb2dc92d254d49275cc55976</x:v>
      </x:c>
      <x:c r="Z1764" s="2" t="n">
        <x:f>SUBTOTAL(103,A1764)</x:f>
        <x:v>1</x:v>
      </x:c>
      <x:c r="AA1764" s="2" t="str">
        <x:f>IF(K1764&lt;&gt;"미종결 표시","대상 아님",IF(N1764="","신청일 확인",IF(NOT(ISNUMBER('종합 현황'!$H$5)),"관찰기준 확인",IF('종합 현황'!$H$5&lt;1,"관찰기준 확인",IF(N1764&gt;'종합 현황'!$H$5,"내부 관찰 대상","내부 관찰일 이하")))))</x:f>
        <x:v>대상 아님</x:v>
      </x:c>
      <x:c r="AB1764" s="2"/>
    </x:row>
    <x:row r="1765" ht="42" customHeight="1">
      <x:c r="A1765" s="2" t="str">
        <x:v>35ebd1835145b7cdf87b8f42</x:v>
      </x:c>
      <x:c r="B1765" s="2" t="str">
        <x:v>감축량 인증</x:v>
      </x:c>
      <x:c r="C1765" s="2" t="str">
        <x:v>국내</x:v>
      </x:c>
      <x:c r="D1765" s="7" t="str">
        <x:v>한국의 LCD 제조 과정의 SF6 방출 감축을 위한 사용점 감축 설비</x:v>
      </x:c>
      <x:c r="E1765" s="2" t="str">
        <x:v>5</x:v>
      </x:c>
      <x:c r="F1765" s="2"/>
      <x:c r="G1765" s="2" t="str">
        <x:v>미확보</x:v>
      </x:c>
      <x:c r="H1765" s="2" t="str">
        <x:v>미확보</x:v>
      </x:c>
      <x:c r="I1765" s="2" t="str">
        <x:v>심의승인</x:v>
      </x:c>
      <x:c r="J1765" s="2" t="str">
        <x:v>심의승인</x:v>
      </x:c>
      <x:c r="K1765" s="2" t="str">
        <x:f>IF(OR(J1765="심의승인",J1765="반려",J1765="반려완료",J1765="심의완료"),"종결 표시",IF(OR(J1765="기후부협의",J1765="문서재제출요청",J1765="보류",J1765="보완요청",J1765="보완완료",J1765="평가중",J1765="반려요청",J1765="평가필요",LEFT(J1765,5)="보완요청("),"미종결 표시","상태 확인 필요"))</x:f>
        <x:v>종결 표시</x:v>
      </x:c>
      <x:c r="L1765" s="2"/>
      <x:c r="M1765" s="2"/>
      <x:c r="N1765" s="8"/>
      <x:c r="O1765" s="2"/>
      <x:c r="P1765" s="2"/>
      <x:c r="Q1765" s="2" t="str">
        <x:v>산업전환_외부사업관리Tool_260707_이너젠 수정_LJY_261013.xlsx</x:v>
      </x:c>
      <x:c r="R1765" s="2" t="str">
        <x:v>국내인증</x:v>
      </x:c>
      <x:c r="S1765" s="8" t="n">
        <x:v>83</x:v>
      </x:c>
      <x:c r="T1765" s="2"/>
      <x:c r="U1765" s="2" t="str"/>
      <x:c r="V1765" s="2" t="str">
        <x:v>2015-09-21</x:v>
      </x:c>
      <x:c r="W1765" s="2" t="str">
        <x:v>신청일 확인 / 담당기관 확인</x:v>
      </x:c>
      <x:c r="X1765" s="2" t="str">
        <x:v>원본·배정 기록 확인</x:v>
      </x:c>
      <x:c r="Y1765" s="2" t="str">
        <x:v>ad210cd9ec132cfd447541c8984dc53d30aff0f4fb2dc92d254d49275cc55976</x:v>
      </x:c>
      <x:c r="Z1765" s="2" t="n">
        <x:f>SUBTOTAL(103,A1765)</x:f>
        <x:v>1</x:v>
      </x:c>
      <x:c r="AA1765" s="2" t="str">
        <x:f>IF(K1765&lt;&gt;"미종결 표시","대상 아님",IF(N1765="","신청일 확인",IF(NOT(ISNUMBER('종합 현황'!$H$5)),"관찰기준 확인",IF('종합 현황'!$H$5&lt;1,"관찰기준 확인",IF(N1765&gt;'종합 현황'!$H$5,"내부 관찰 대상","내부 관찰일 이하")))))</x:f>
        <x:v>대상 아님</x:v>
      </x:c>
      <x:c r="AB1765" s="2"/>
    </x:row>
    <x:row r="1766" ht="42" customHeight="1">
      <x:c r="A1766" s="2" t="str">
        <x:v>8f3c8dcf8a3041c930516701</x:v>
      </x:c>
      <x:c r="B1766" s="2" t="str">
        <x:v>감축량 인증</x:v>
      </x:c>
      <x:c r="C1766" s="2" t="str">
        <x:v>국내</x:v>
      </x:c>
      <x:c r="D1766" s="7" t="str">
        <x:v>한국의 LCD 제조 과정의 SF6 방출 감축을 위한 사용점 감축 설비</x:v>
      </x:c>
      <x:c r="E1766" s="2" t="str">
        <x:v>6</x:v>
      </x:c>
      <x:c r="F1766" s="2"/>
      <x:c r="G1766" s="2" t="str">
        <x:v>미확보</x:v>
      </x:c>
      <x:c r="H1766" s="2" t="str">
        <x:v>미확보</x:v>
      </x:c>
      <x:c r="I1766" s="2" t="str">
        <x:v>심의승인</x:v>
      </x:c>
      <x:c r="J1766" s="2" t="str">
        <x:v>심의승인</x:v>
      </x:c>
      <x:c r="K1766" s="2" t="str">
        <x:f>IF(OR(J1766="심의승인",J1766="반려",J1766="반려완료",J1766="심의완료"),"종결 표시",IF(OR(J1766="기후부협의",J1766="문서재제출요청",J1766="보류",J1766="보완요청",J1766="보완완료",J1766="평가중",J1766="반려요청",J1766="평가필요",LEFT(J1766,5)="보완요청("),"미종결 표시","상태 확인 필요"))</x:f>
        <x:v>종결 표시</x:v>
      </x:c>
      <x:c r="L1766" s="2"/>
      <x:c r="M1766" s="2"/>
      <x:c r="N1766" s="8"/>
      <x:c r="O1766" s="2"/>
      <x:c r="P1766" s="2"/>
      <x:c r="Q1766" s="2" t="str">
        <x:v>산업전환_외부사업관리Tool_260707_이너젠 수정_LJY_261013.xlsx</x:v>
      </x:c>
      <x:c r="R1766" s="2" t="str">
        <x:v>국내인증</x:v>
      </x:c>
      <x:c r="S1766" s="8" t="n">
        <x:v>84</x:v>
      </x:c>
      <x:c r="T1766" s="2"/>
      <x:c r="U1766" s="2" t="str"/>
      <x:c r="V1766" s="2" t="str">
        <x:v>2015-09-21</x:v>
      </x:c>
      <x:c r="W1766" s="2" t="str">
        <x:v>신청일 확인 / 담당기관 확인</x:v>
      </x:c>
      <x:c r="X1766" s="2" t="str">
        <x:v>원본·배정 기록 확인</x:v>
      </x:c>
      <x:c r="Y1766" s="2" t="str">
        <x:v>ad210cd9ec132cfd447541c8984dc53d30aff0f4fb2dc92d254d49275cc55976</x:v>
      </x:c>
      <x:c r="Z1766" s="2" t="n">
        <x:f>SUBTOTAL(103,A1766)</x:f>
        <x:v>1</x:v>
      </x:c>
      <x:c r="AA1766" s="2" t="str">
        <x:f>IF(K1766&lt;&gt;"미종결 표시","대상 아님",IF(N1766="","신청일 확인",IF(NOT(ISNUMBER('종합 현황'!$H$5)),"관찰기준 확인",IF('종합 현황'!$H$5&lt;1,"관찰기준 확인",IF(N1766&gt;'종합 현황'!$H$5,"내부 관찰 대상","내부 관찰일 이하")))))</x:f>
        <x:v>대상 아님</x:v>
      </x:c>
      <x:c r="AB1766" s="2"/>
    </x:row>
    <x:row r="1767" ht="42" customHeight="1">
      <x:c r="A1767" s="2" t="str">
        <x:v>e868454acde56fd4b9be1838</x:v>
      </x:c>
      <x:c r="B1767" s="2" t="str">
        <x:v>감축량 인증</x:v>
      </x:c>
      <x:c r="C1767" s="2" t="str">
        <x:v>국내</x:v>
      </x:c>
      <x:c r="D1767" s="7" t="str">
        <x:v>한국의 LCD 제조 과정의 SF6 방출 감축을 위한 사용점 감축 설비</x:v>
      </x:c>
      <x:c r="E1767" s="2" t="str">
        <x:v>7</x:v>
      </x:c>
      <x:c r="F1767" s="2"/>
      <x:c r="G1767" s="2" t="str">
        <x:v>미확보</x:v>
      </x:c>
      <x:c r="H1767" s="2" t="str">
        <x:v>미확보</x:v>
      </x:c>
      <x:c r="I1767" s="2" t="str">
        <x:v>심의승인</x:v>
      </x:c>
      <x:c r="J1767" s="2" t="str">
        <x:v>심의승인</x:v>
      </x:c>
      <x:c r="K1767" s="2" t="str">
        <x:f>IF(OR(J1767="심의승인",J1767="반려",J1767="반려완료",J1767="심의완료"),"종결 표시",IF(OR(J1767="기후부협의",J1767="문서재제출요청",J1767="보류",J1767="보완요청",J1767="보완완료",J1767="평가중",J1767="반려요청",J1767="평가필요",LEFT(J1767,5)="보완요청("),"미종결 표시","상태 확인 필요"))</x:f>
        <x:v>종결 표시</x:v>
      </x:c>
      <x:c r="L1767" s="2"/>
      <x:c r="M1767" s="2"/>
      <x:c r="N1767" s="8"/>
      <x:c r="O1767" s="2"/>
      <x:c r="P1767" s="2"/>
      <x:c r="Q1767" s="2" t="str">
        <x:v>산업전환_외부사업관리Tool_260707_이너젠 수정_LJY_261013.xlsx</x:v>
      </x:c>
      <x:c r="R1767" s="2" t="str">
        <x:v>국내인증</x:v>
      </x:c>
      <x:c r="S1767" s="8" t="n">
        <x:v>85</x:v>
      </x:c>
      <x:c r="T1767" s="2"/>
      <x:c r="U1767" s="2" t="str"/>
      <x:c r="V1767" s="2" t="str">
        <x:v>2015-09-21</x:v>
      </x:c>
      <x:c r="W1767" s="2" t="str">
        <x:v>신청일 확인 / 담당기관 확인</x:v>
      </x:c>
      <x:c r="X1767" s="2" t="str">
        <x:v>원본·배정 기록 확인</x:v>
      </x:c>
      <x:c r="Y1767" s="2" t="str">
        <x:v>ad210cd9ec132cfd447541c8984dc53d30aff0f4fb2dc92d254d49275cc55976</x:v>
      </x:c>
      <x:c r="Z1767" s="2" t="n">
        <x:f>SUBTOTAL(103,A1767)</x:f>
        <x:v>1</x:v>
      </x:c>
      <x:c r="AA1767" s="2" t="str">
        <x:f>IF(K1767&lt;&gt;"미종결 표시","대상 아님",IF(N1767="","신청일 확인",IF(NOT(ISNUMBER('종합 현황'!$H$5)),"관찰기준 확인",IF('종합 현황'!$H$5&lt;1,"관찰기준 확인",IF(N1767&gt;'종합 현황'!$H$5,"내부 관찰 대상","내부 관찰일 이하")))))</x:f>
        <x:v>대상 아님</x:v>
      </x:c>
      <x:c r="AB1767" s="2"/>
    </x:row>
    <x:row r="1768" ht="42" customHeight="1">
      <x:c r="A1768" s="2" t="str">
        <x:v>63e4a99c53681031c719e251</x:v>
      </x:c>
      <x:c r="B1768" s="2" t="str">
        <x:v>감축량 인증</x:v>
      </x:c>
      <x:c r="C1768" s="2" t="str">
        <x:v>국내</x:v>
      </x:c>
      <x:c r="D1768" s="7" t="str">
        <x:v>한국의 LCD 제조 과정의 SF6 방출 감축을 위한 사용점 감축 설비</x:v>
      </x:c>
      <x:c r="E1768" s="2" t="str">
        <x:v>8</x:v>
      </x:c>
      <x:c r="F1768" s="2"/>
      <x:c r="G1768" s="2" t="str">
        <x:v>미확보</x:v>
      </x:c>
      <x:c r="H1768" s="2" t="str">
        <x:v>미확보</x:v>
      </x:c>
      <x:c r="I1768" s="2" t="str">
        <x:v>심의승인</x:v>
      </x:c>
      <x:c r="J1768" s="2" t="str">
        <x:v>심의승인</x:v>
      </x:c>
      <x:c r="K1768" s="2" t="str">
        <x:f>IF(OR(J1768="심의승인",J1768="반려",J1768="반려완료",J1768="심의완료"),"종결 표시",IF(OR(J1768="기후부협의",J1768="문서재제출요청",J1768="보류",J1768="보완요청",J1768="보완완료",J1768="평가중",J1768="반려요청",J1768="평가필요",LEFT(J1768,5)="보완요청("),"미종결 표시","상태 확인 필요"))</x:f>
        <x:v>종결 표시</x:v>
      </x:c>
      <x:c r="L1768" s="2"/>
      <x:c r="M1768" s="2"/>
      <x:c r="N1768" s="8"/>
      <x:c r="O1768" s="2"/>
      <x:c r="P1768" s="2"/>
      <x:c r="Q1768" s="2" t="str">
        <x:v>산업전환_외부사업관리Tool_260707_이너젠 수정_LJY_261013.xlsx</x:v>
      </x:c>
      <x:c r="R1768" s="2" t="str">
        <x:v>국내인증</x:v>
      </x:c>
      <x:c r="S1768" s="8" t="n">
        <x:v>86</x:v>
      </x:c>
      <x:c r="T1768" s="2"/>
      <x:c r="U1768" s="2" t="str"/>
      <x:c r="V1768" s="2" t="str">
        <x:v>2015-09-21</x:v>
      </x:c>
      <x:c r="W1768" s="2" t="str">
        <x:v>신청일 확인 / 담당기관 확인</x:v>
      </x:c>
      <x:c r="X1768" s="2" t="str">
        <x:v>원본·배정 기록 확인</x:v>
      </x:c>
      <x:c r="Y1768" s="2" t="str">
        <x:v>ad210cd9ec132cfd447541c8984dc53d30aff0f4fb2dc92d254d49275cc55976</x:v>
      </x:c>
      <x:c r="Z1768" s="2" t="n">
        <x:f>SUBTOTAL(103,A1768)</x:f>
        <x:v>1</x:v>
      </x:c>
      <x:c r="AA1768" s="2" t="str">
        <x:f>IF(K1768&lt;&gt;"미종결 표시","대상 아님",IF(N1768="","신청일 확인",IF(NOT(ISNUMBER('종합 현황'!$H$5)),"관찰기준 확인",IF('종합 현황'!$H$5&lt;1,"관찰기준 확인",IF(N1768&gt;'종합 현황'!$H$5,"내부 관찰 대상","내부 관찰일 이하")))))</x:f>
        <x:v>대상 아님</x:v>
      </x:c>
      <x:c r="AB1768" s="2"/>
    </x:row>
    <x:row r="1769" ht="42" customHeight="1">
      <x:c r="A1769" s="2" t="str">
        <x:v>c037c2ad6e98ef2db3e24f85</x:v>
      </x:c>
      <x:c r="B1769" s="2" t="str">
        <x:v>감축량 인증</x:v>
      </x:c>
      <x:c r="C1769" s="2" t="str">
        <x:v>국내</x:v>
      </x:c>
      <x:c r="D1769" s="7" t="str">
        <x:v>한국의 LCD 제조 과정의 SF6 방출 감축을 위한 사용점 감축 설비</x:v>
      </x:c>
      <x:c r="E1769" s="2" t="str">
        <x:v>9</x:v>
      </x:c>
      <x:c r="F1769" s="2"/>
      <x:c r="G1769" s="2" t="str">
        <x:v>미확보</x:v>
      </x:c>
      <x:c r="H1769" s="2" t="str">
        <x:v>미확보</x:v>
      </x:c>
      <x:c r="I1769" s="2" t="str">
        <x:v>심의승인</x:v>
      </x:c>
      <x:c r="J1769" s="2" t="str">
        <x:v>심의승인</x:v>
      </x:c>
      <x:c r="K1769" s="2" t="str">
        <x:f>IF(OR(J1769="심의승인",J1769="반려",J1769="반려완료",J1769="심의완료"),"종결 표시",IF(OR(J1769="기후부협의",J1769="문서재제출요청",J1769="보류",J1769="보완요청",J1769="보완완료",J1769="평가중",J1769="반려요청",J1769="평가필요",LEFT(J1769,5)="보완요청("),"미종결 표시","상태 확인 필요"))</x:f>
        <x:v>종결 표시</x:v>
      </x:c>
      <x:c r="L1769" s="2"/>
      <x:c r="M1769" s="2"/>
      <x:c r="N1769" s="8"/>
      <x:c r="O1769" s="2"/>
      <x:c r="P1769" s="2"/>
      <x:c r="Q1769" s="2" t="str">
        <x:v>산업전환_외부사업관리Tool_260707_이너젠 수정_LJY_261013.xlsx</x:v>
      </x:c>
      <x:c r="R1769" s="2" t="str">
        <x:v>국내인증</x:v>
      </x:c>
      <x:c r="S1769" s="8" t="n">
        <x:v>87</x:v>
      </x:c>
      <x:c r="T1769" s="2"/>
      <x:c r="U1769" s="2" t="str"/>
      <x:c r="V1769" s="2" t="str">
        <x:v>2015-09-21</x:v>
      </x:c>
      <x:c r="W1769" s="2" t="str">
        <x:v>신청일 확인 / 담당기관 확인</x:v>
      </x:c>
      <x:c r="X1769" s="2" t="str">
        <x:v>원본·배정 기록 확인</x:v>
      </x:c>
      <x:c r="Y1769" s="2" t="str">
        <x:v>ad210cd9ec132cfd447541c8984dc53d30aff0f4fb2dc92d254d49275cc55976</x:v>
      </x:c>
      <x:c r="Z1769" s="2" t="n">
        <x:f>SUBTOTAL(103,A1769)</x:f>
        <x:v>1</x:v>
      </x:c>
      <x:c r="AA1769" s="2" t="str">
        <x:f>IF(K1769&lt;&gt;"미종결 표시","대상 아님",IF(N1769="","신청일 확인",IF(NOT(ISNUMBER('종합 현황'!$H$5)),"관찰기준 확인",IF('종합 현황'!$H$5&lt;1,"관찰기준 확인",IF(N1769&gt;'종합 현황'!$H$5,"내부 관찰 대상","내부 관찰일 이하")))))</x:f>
        <x:v>대상 아님</x:v>
      </x:c>
      <x:c r="AB1769" s="2"/>
    </x:row>
    <x:row r="1770" ht="42" customHeight="1">
      <x:c r="A1770" s="2" t="str">
        <x:v>a44e712cce9179101cee4f95</x:v>
      </x:c>
      <x:c r="B1770" s="2" t="str">
        <x:v>감축량 인증</x:v>
      </x:c>
      <x:c r="C1770" s="2" t="str">
        <x:v>국내</x:v>
      </x:c>
      <x:c r="D1770" s="7" t="str">
        <x:v>한국의 LCD 제조 과정의 SF6 방출 감축을 위한 사용점 감축 설비</x:v>
      </x:c>
      <x:c r="E1770" s="2" t="str">
        <x:v>10</x:v>
      </x:c>
      <x:c r="F1770" s="2"/>
      <x:c r="G1770" s="2" t="str">
        <x:v>미확보</x:v>
      </x:c>
      <x:c r="H1770" s="2" t="str">
        <x:v>미확보</x:v>
      </x:c>
      <x:c r="I1770" s="2" t="str">
        <x:v>심의승인</x:v>
      </x:c>
      <x:c r="J1770" s="2" t="str">
        <x:v>심의승인</x:v>
      </x:c>
      <x:c r="K1770" s="2" t="str">
        <x:f>IF(OR(J1770="심의승인",J1770="반려",J1770="반려완료",J1770="심의완료"),"종결 표시",IF(OR(J1770="기후부협의",J1770="문서재제출요청",J1770="보류",J1770="보완요청",J1770="보완완료",J1770="평가중",J1770="반려요청",J1770="평가필요",LEFT(J1770,5)="보완요청("),"미종결 표시","상태 확인 필요"))</x:f>
        <x:v>종결 표시</x:v>
      </x:c>
      <x:c r="L1770" s="2"/>
      <x:c r="M1770" s="2"/>
      <x:c r="N1770" s="8"/>
      <x:c r="O1770" s="2"/>
      <x:c r="P1770" s="2"/>
      <x:c r="Q1770" s="2" t="str">
        <x:v>산업전환_외부사업관리Tool_260707_이너젠 수정_LJY_261013.xlsx</x:v>
      </x:c>
      <x:c r="R1770" s="2" t="str">
        <x:v>국내인증</x:v>
      </x:c>
      <x:c r="S1770" s="8" t="n">
        <x:v>88</x:v>
      </x:c>
      <x:c r="T1770" s="2"/>
      <x:c r="U1770" s="2" t="str"/>
      <x:c r="V1770" s="2" t="str">
        <x:v>2015-09-21</x:v>
      </x:c>
      <x:c r="W1770" s="2" t="str">
        <x:v>신청일 확인 / 담당기관 확인</x:v>
      </x:c>
      <x:c r="X1770" s="2" t="str">
        <x:v>원본·배정 기록 확인</x:v>
      </x:c>
      <x:c r="Y1770" s="2" t="str">
        <x:v>ad210cd9ec132cfd447541c8984dc53d30aff0f4fb2dc92d254d49275cc55976</x:v>
      </x:c>
      <x:c r="Z1770" s="2" t="n">
        <x:f>SUBTOTAL(103,A1770)</x:f>
        <x:v>1</x:v>
      </x:c>
      <x:c r="AA1770" s="2" t="str">
        <x:f>IF(K1770&lt;&gt;"미종결 표시","대상 아님",IF(N1770="","신청일 확인",IF(NOT(ISNUMBER('종합 현황'!$H$5)),"관찰기준 확인",IF('종합 현황'!$H$5&lt;1,"관찰기준 확인",IF(N1770&gt;'종합 현황'!$H$5,"내부 관찰 대상","내부 관찰일 이하")))))</x:f>
        <x:v>대상 아님</x:v>
      </x:c>
      <x:c r="AB1770" s="2"/>
    </x:row>
    <x:row r="1771" ht="42" customHeight="1">
      <x:c r="A1771" s="2" t="str">
        <x:v>55f88e0bbc40532e1754fe5b</x:v>
      </x:c>
      <x:c r="B1771" s="2" t="str">
        <x:v>감축량 인증</x:v>
      </x:c>
      <x:c r="C1771" s="2" t="str">
        <x:v>국내</x:v>
      </x:c>
      <x:c r="D1771" s="7" t="str">
        <x:v>한국의 LCD 제조 과정의 SF6 방출 감축을 위한 사용점 감축 설비</x:v>
      </x:c>
      <x:c r="E1771" s="2" t="str">
        <x:v>11</x:v>
      </x:c>
      <x:c r="F1771" s="2"/>
      <x:c r="G1771" s="2" t="str">
        <x:v>미확보</x:v>
      </x:c>
      <x:c r="H1771" s="2" t="str">
        <x:v>미확보</x:v>
      </x:c>
      <x:c r="I1771" s="2" t="str">
        <x:v>심의승인</x:v>
      </x:c>
      <x:c r="J1771" s="2" t="str">
        <x:v>심의승인</x:v>
      </x:c>
      <x:c r="K1771" s="2" t="str">
        <x:f>IF(OR(J1771="심의승인",J1771="반려",J1771="반려완료",J1771="심의완료"),"종결 표시",IF(OR(J1771="기후부협의",J1771="문서재제출요청",J1771="보류",J1771="보완요청",J1771="보완완료",J1771="평가중",J1771="반려요청",J1771="평가필요",LEFT(J1771,5)="보완요청("),"미종결 표시","상태 확인 필요"))</x:f>
        <x:v>종결 표시</x:v>
      </x:c>
      <x:c r="L1771" s="2"/>
      <x:c r="M1771" s="2"/>
      <x:c r="N1771" s="8"/>
      <x:c r="O1771" s="2"/>
      <x:c r="P1771" s="2"/>
      <x:c r="Q1771" s="2" t="str">
        <x:v>산업전환_외부사업관리Tool_260707_이너젠 수정_LJY_261013.xlsx</x:v>
      </x:c>
      <x:c r="R1771" s="2" t="str">
        <x:v>국내인증</x:v>
      </x:c>
      <x:c r="S1771" s="8" t="n">
        <x:v>89</x:v>
      </x:c>
      <x:c r="T1771" s="2"/>
      <x:c r="U1771" s="2" t="str"/>
      <x:c r="V1771" s="2" t="str">
        <x:v>2015-09-21</x:v>
      </x:c>
      <x:c r="W1771" s="2" t="str">
        <x:v>신청일 확인 / 담당기관 확인</x:v>
      </x:c>
      <x:c r="X1771" s="2" t="str">
        <x:v>원본·배정 기록 확인</x:v>
      </x:c>
      <x:c r="Y1771" s="2" t="str">
        <x:v>ad210cd9ec132cfd447541c8984dc53d30aff0f4fb2dc92d254d49275cc55976</x:v>
      </x:c>
      <x:c r="Z1771" s="2" t="n">
        <x:f>SUBTOTAL(103,A1771)</x:f>
        <x:v>1</x:v>
      </x:c>
      <x:c r="AA1771" s="2" t="str">
        <x:f>IF(K1771&lt;&gt;"미종결 표시","대상 아님",IF(N1771="","신청일 확인",IF(NOT(ISNUMBER('종합 현황'!$H$5)),"관찰기준 확인",IF('종합 현황'!$H$5&lt;1,"관찰기준 확인",IF(N1771&gt;'종합 현황'!$H$5,"내부 관찰 대상","내부 관찰일 이하")))))</x:f>
        <x:v>대상 아님</x:v>
      </x:c>
      <x:c r="AB1771" s="2"/>
    </x:row>
    <x:row r="1772" ht="42" customHeight="1">
      <x:c r="A1772" s="2" t="str">
        <x:v>cc3f0d497e3bed106afa3973</x:v>
      </x:c>
      <x:c r="B1772" s="2" t="str">
        <x:v>감축량 인증</x:v>
      </x:c>
      <x:c r="C1772" s="2" t="str">
        <x:v>국내</x:v>
      </x:c>
      <x:c r="D1772" s="7" t="str">
        <x:v>삼성전자 SF6 저감 사업</x:v>
      </x:c>
      <x:c r="E1772" s="2" t="str">
        <x:v>12</x:v>
      </x:c>
      <x:c r="F1772" s="2"/>
      <x:c r="G1772" s="2" t="str">
        <x:v>미확보</x:v>
      </x:c>
      <x:c r="H1772" s="2" t="str">
        <x:v>미확보</x:v>
      </x:c>
      <x:c r="I1772" s="2" t="str">
        <x:v>심의승인</x:v>
      </x:c>
      <x:c r="J1772" s="2" t="str">
        <x:v>심의승인</x:v>
      </x:c>
      <x:c r="K1772" s="2" t="str">
        <x:f>IF(OR(J1772="심의승인",J1772="반려",J1772="반려완료",J1772="심의완료"),"종결 표시",IF(OR(J1772="기후부협의",J1772="문서재제출요청",J1772="보류",J1772="보완요청",J1772="보완완료",J1772="평가중",J1772="반려요청",J1772="평가필요",LEFT(J1772,5)="보완요청("),"미종결 표시","상태 확인 필요"))</x:f>
        <x:v>종결 표시</x:v>
      </x:c>
      <x:c r="L1772" s="2"/>
      <x:c r="M1772" s="2"/>
      <x:c r="N1772" s="8"/>
      <x:c r="O1772" s="2"/>
      <x:c r="P1772" s="2"/>
      <x:c r="Q1772" s="2" t="str">
        <x:v>산업전환_외부사업관리Tool_260707_이너젠 수정_LJY_261013.xlsx</x:v>
      </x:c>
      <x:c r="R1772" s="2" t="str">
        <x:v>국내인증</x:v>
      </x:c>
      <x:c r="S1772" s="8" t="n">
        <x:v>90</x:v>
      </x:c>
      <x:c r="T1772" s="2"/>
      <x:c r="U1772" s="2" t="str"/>
      <x:c r="V1772" s="2" t="str">
        <x:v>2015-06-25</x:v>
      </x:c>
      <x:c r="W1772" s="2" t="str">
        <x:v>신청일 확인 / 담당기관 확인</x:v>
      </x:c>
      <x:c r="X1772" s="2" t="str">
        <x:v>원본·배정 기록 확인</x:v>
      </x:c>
      <x:c r="Y1772" s="2" t="str">
        <x:v>ad210cd9ec132cfd447541c8984dc53d30aff0f4fb2dc92d254d49275cc55976</x:v>
      </x:c>
      <x:c r="Z1772" s="2" t="n">
        <x:f>SUBTOTAL(103,A1772)</x:f>
        <x:v>1</x:v>
      </x:c>
      <x:c r="AA1772" s="2" t="str">
        <x:f>IF(K1772&lt;&gt;"미종결 표시","대상 아님",IF(N1772="","신청일 확인",IF(NOT(ISNUMBER('종합 현황'!$H$5)),"관찰기준 확인",IF('종합 현황'!$H$5&lt;1,"관찰기준 확인",IF(N1772&gt;'종합 현황'!$H$5,"내부 관찰 대상","내부 관찰일 이하")))))</x:f>
        <x:v>대상 아님</x:v>
      </x:c>
      <x:c r="AB1772" s="2"/>
    </x:row>
    <x:row r="1773" ht="42" customHeight="1">
      <x:c r="A1773" s="2" t="str">
        <x:v>645340bc27389587dc23c063</x:v>
      </x:c>
      <x:c r="B1773" s="2" t="str">
        <x:v>감축량 인증</x:v>
      </x:c>
      <x:c r="C1773" s="2" t="str">
        <x:v>국내</x:v>
      </x:c>
      <x:c r="D1773" s="7" t="str">
        <x:v>한국의 LCD 제조 과정의 SF6 방출 감축을 위한 사용점 감축 설비</x:v>
      </x:c>
      <x:c r="E1773" s="2" t="str">
        <x:v>13</x:v>
      </x:c>
      <x:c r="F1773" s="2"/>
      <x:c r="G1773" s="2" t="str">
        <x:v>미확보</x:v>
      </x:c>
      <x:c r="H1773" s="2" t="str">
        <x:v>미확보</x:v>
      </x:c>
      <x:c r="I1773" s="2" t="str">
        <x:v>심의승인</x:v>
      </x:c>
      <x:c r="J1773" s="2" t="str">
        <x:v>심의승인</x:v>
      </x:c>
      <x:c r="K1773" s="2" t="str">
        <x:f>IF(OR(J1773="심의승인",J1773="반려",J1773="반려완료",J1773="심의완료"),"종결 표시",IF(OR(J1773="기후부협의",J1773="문서재제출요청",J1773="보류",J1773="보완요청",J1773="보완완료",J1773="평가중",J1773="반려요청",J1773="평가필요",LEFT(J1773,5)="보완요청("),"미종결 표시","상태 확인 필요"))</x:f>
        <x:v>종결 표시</x:v>
      </x:c>
      <x:c r="L1773" s="2"/>
      <x:c r="M1773" s="2"/>
      <x:c r="N1773" s="8"/>
      <x:c r="O1773" s="2"/>
      <x:c r="P1773" s="2"/>
      <x:c r="Q1773" s="2" t="str">
        <x:v>산업전환_외부사업관리Tool_260707_이너젠 수정_LJY_261013.xlsx</x:v>
      </x:c>
      <x:c r="R1773" s="2" t="str">
        <x:v>국내인증</x:v>
      </x:c>
      <x:c r="S1773" s="8" t="n">
        <x:v>91</x:v>
      </x:c>
      <x:c r="T1773" s="2"/>
      <x:c r="U1773" s="2" t="str"/>
      <x:c r="V1773" s="2" t="str">
        <x:v>2015-09-21</x:v>
      </x:c>
      <x:c r="W1773" s="2" t="str">
        <x:v>신청일 확인 / 담당기관 확인</x:v>
      </x:c>
      <x:c r="X1773" s="2" t="str">
        <x:v>원본·배정 기록 확인</x:v>
      </x:c>
      <x:c r="Y1773" s="2" t="str">
        <x:v>ad210cd9ec132cfd447541c8984dc53d30aff0f4fb2dc92d254d49275cc55976</x:v>
      </x:c>
      <x:c r="Z1773" s="2" t="n">
        <x:f>SUBTOTAL(103,A1773)</x:f>
        <x:v>1</x:v>
      </x:c>
      <x:c r="AA1773" s="2" t="str">
        <x:f>IF(K1773&lt;&gt;"미종결 표시","대상 아님",IF(N1773="","신청일 확인",IF(NOT(ISNUMBER('종합 현황'!$H$5)),"관찰기준 확인",IF('종합 현황'!$H$5&lt;1,"관찰기준 확인",IF(N1773&gt;'종합 현황'!$H$5,"내부 관찰 대상","내부 관찰일 이하")))))</x:f>
        <x:v>대상 아님</x:v>
      </x:c>
      <x:c r="AB1773" s="2"/>
    </x:row>
    <x:row r="1774" ht="42" customHeight="1">
      <x:c r="A1774" s="2" t="str">
        <x:v>f23deec98c29b546491135ef</x:v>
      </x:c>
      <x:c r="B1774" s="2" t="str">
        <x:v>감축량 인증</x:v>
      </x:c>
      <x:c r="C1774" s="2" t="str">
        <x:v>국내</x:v>
      </x:c>
      <x:c r="D1774" s="7" t="str">
        <x:v>한국의 LCD 제조 과정의 SF6 방출 감축을 위한 사용점 감축 설비</x:v>
      </x:c>
      <x:c r="E1774" s="2" t="str">
        <x:v>14</x:v>
      </x:c>
      <x:c r="F1774" s="2"/>
      <x:c r="G1774" s="2" t="str">
        <x:v>미확보</x:v>
      </x:c>
      <x:c r="H1774" s="2" t="str">
        <x:v>미확보</x:v>
      </x:c>
      <x:c r="I1774" s="2" t="str">
        <x:v>심의승인</x:v>
      </x:c>
      <x:c r="J1774" s="2" t="str">
        <x:v>심의승인</x:v>
      </x:c>
      <x:c r="K1774" s="2" t="str">
        <x:f>IF(OR(J1774="심의승인",J1774="반려",J1774="반려완료",J1774="심의완료"),"종결 표시",IF(OR(J1774="기후부협의",J1774="문서재제출요청",J1774="보류",J1774="보완요청",J1774="보완완료",J1774="평가중",J1774="반려요청",J1774="평가필요",LEFT(J1774,5)="보완요청("),"미종결 표시","상태 확인 필요"))</x:f>
        <x:v>종결 표시</x:v>
      </x:c>
      <x:c r="L1774" s="2"/>
      <x:c r="M1774" s="2"/>
      <x:c r="N1774" s="8"/>
      <x:c r="O1774" s="2"/>
      <x:c r="P1774" s="2"/>
      <x:c r="Q1774" s="2" t="str">
        <x:v>산업전환_외부사업관리Tool_260707_이너젠 수정_LJY_261013.xlsx</x:v>
      </x:c>
      <x:c r="R1774" s="2" t="str">
        <x:v>국내인증</x:v>
      </x:c>
      <x:c r="S1774" s="8" t="n">
        <x:v>92</x:v>
      </x:c>
      <x:c r="T1774" s="2"/>
      <x:c r="U1774" s="2" t="str"/>
      <x:c r="V1774" s="2" t="str">
        <x:v>2015-09-21</x:v>
      </x:c>
      <x:c r="W1774" s="2" t="str">
        <x:v>신청일 확인 / 담당기관 확인</x:v>
      </x:c>
      <x:c r="X1774" s="2" t="str">
        <x:v>원본·배정 기록 확인</x:v>
      </x:c>
      <x:c r="Y1774" s="2" t="str">
        <x:v>ad210cd9ec132cfd447541c8984dc53d30aff0f4fb2dc92d254d49275cc55976</x:v>
      </x:c>
      <x:c r="Z1774" s="2" t="n">
        <x:f>SUBTOTAL(103,A1774)</x:f>
        <x:v>1</x:v>
      </x:c>
      <x:c r="AA1774" s="2" t="str">
        <x:f>IF(K1774&lt;&gt;"미종결 표시","대상 아님",IF(N1774="","신청일 확인",IF(NOT(ISNUMBER('종합 현황'!$H$5)),"관찰기준 확인",IF('종합 현황'!$H$5&lt;1,"관찰기준 확인",IF(N1774&gt;'종합 현황'!$H$5,"내부 관찰 대상","내부 관찰일 이하")))))</x:f>
        <x:v>대상 아님</x:v>
      </x:c>
      <x:c r="AB1774" s="2"/>
    </x:row>
    <x:row r="1775" ht="42" customHeight="1">
      <x:c r="A1775" s="2" t="str">
        <x:v>fa03a8681774c849688b094e</x:v>
      </x:c>
      <x:c r="B1775" s="2" t="str">
        <x:v>감축량 인증</x:v>
      </x:c>
      <x:c r="C1775" s="2" t="str">
        <x:v>국내</x:v>
      </x:c>
      <x:c r="D1775" s="7" t="str">
        <x:v>한국의 LCD 제조 과정의 SF6 방출 감축을 위한 사용점 감축 설비</x:v>
      </x:c>
      <x:c r="E1775" s="2" t="str">
        <x:v>15</x:v>
      </x:c>
      <x:c r="F1775" s="2"/>
      <x:c r="G1775" s="2" t="str">
        <x:v>미확보</x:v>
      </x:c>
      <x:c r="H1775" s="2" t="str">
        <x:v>미확보</x:v>
      </x:c>
      <x:c r="I1775" s="2" t="str">
        <x:v>심의승인</x:v>
      </x:c>
      <x:c r="J1775" s="2" t="str">
        <x:v>심의승인</x:v>
      </x:c>
      <x:c r="K1775" s="2" t="str">
        <x:f>IF(OR(J1775="심의승인",J1775="반려",J1775="반려완료",J1775="심의완료"),"종결 표시",IF(OR(J1775="기후부협의",J1775="문서재제출요청",J1775="보류",J1775="보완요청",J1775="보완완료",J1775="평가중",J1775="반려요청",J1775="평가필요",LEFT(J1775,5)="보완요청("),"미종결 표시","상태 확인 필요"))</x:f>
        <x:v>종결 표시</x:v>
      </x:c>
      <x:c r="L1775" s="2"/>
      <x:c r="M1775" s="2"/>
      <x:c r="N1775" s="8"/>
      <x:c r="O1775" s="2"/>
      <x:c r="P1775" s="2"/>
      <x:c r="Q1775" s="2" t="str">
        <x:v>산업전환_외부사업관리Tool_260707_이너젠 수정_LJY_261013.xlsx</x:v>
      </x:c>
      <x:c r="R1775" s="2" t="str">
        <x:v>국내인증</x:v>
      </x:c>
      <x:c r="S1775" s="8" t="n">
        <x:v>93</x:v>
      </x:c>
      <x:c r="T1775" s="2"/>
      <x:c r="U1775" s="2" t="str"/>
      <x:c r="V1775" s="2" t="str">
        <x:v>2015-09-21</x:v>
      </x:c>
      <x:c r="W1775" s="2" t="str">
        <x:v>신청일 확인 / 담당기관 확인</x:v>
      </x:c>
      <x:c r="X1775" s="2" t="str">
        <x:v>원본·배정 기록 확인</x:v>
      </x:c>
      <x:c r="Y1775" s="2" t="str">
        <x:v>ad210cd9ec132cfd447541c8984dc53d30aff0f4fb2dc92d254d49275cc55976</x:v>
      </x:c>
      <x:c r="Z1775" s="2" t="n">
        <x:f>SUBTOTAL(103,A1775)</x:f>
        <x:v>1</x:v>
      </x:c>
      <x:c r="AA1775" s="2" t="str">
        <x:f>IF(K1775&lt;&gt;"미종결 표시","대상 아님",IF(N1775="","신청일 확인",IF(NOT(ISNUMBER('종합 현황'!$H$5)),"관찰기준 확인",IF('종합 현황'!$H$5&lt;1,"관찰기준 확인",IF(N1775&gt;'종합 현황'!$H$5,"내부 관찰 대상","내부 관찰일 이하")))))</x:f>
        <x:v>대상 아님</x:v>
      </x:c>
      <x:c r="AB1775" s="2"/>
    </x:row>
    <x:row r="1776" ht="42" customHeight="1">
      <x:c r="A1776" s="2" t="str">
        <x:v>52685f359c202df091b25e0d</x:v>
      </x:c>
      <x:c r="B1776" s="2" t="str">
        <x:v>감축량 인증</x:v>
      </x:c>
      <x:c r="C1776" s="2" t="str">
        <x:v>국내</x:v>
      </x:c>
      <x:c r="D1776" s="7" t="str">
        <x:v>한국의 LCD 제조 과정의 SF6 방출 감축을 위한 사용점 감축 설비</x:v>
      </x:c>
      <x:c r="E1776" s="2" t="str">
        <x:v>16</x:v>
      </x:c>
      <x:c r="F1776" s="2"/>
      <x:c r="G1776" s="2" t="str">
        <x:v>미확보</x:v>
      </x:c>
      <x:c r="H1776" s="2" t="str">
        <x:v>미확보</x:v>
      </x:c>
      <x:c r="I1776" s="2" t="str">
        <x:v>심의승인</x:v>
      </x:c>
      <x:c r="J1776" s="2" t="str">
        <x:v>심의승인</x:v>
      </x:c>
      <x:c r="K1776" s="2" t="str">
        <x:f>IF(OR(J1776="심의승인",J1776="반려",J1776="반려완료",J1776="심의완료"),"종결 표시",IF(OR(J1776="기후부협의",J1776="문서재제출요청",J1776="보류",J1776="보완요청",J1776="보완완료",J1776="평가중",J1776="반려요청",J1776="평가필요",LEFT(J1776,5)="보완요청("),"미종결 표시","상태 확인 필요"))</x:f>
        <x:v>종결 표시</x:v>
      </x:c>
      <x:c r="L1776" s="2"/>
      <x:c r="M1776" s="2"/>
      <x:c r="N1776" s="8"/>
      <x:c r="O1776" s="2"/>
      <x:c r="P1776" s="2"/>
      <x:c r="Q1776" s="2" t="str">
        <x:v>산업전환_외부사업관리Tool_260707_이너젠 수정_LJY_261013.xlsx</x:v>
      </x:c>
      <x:c r="R1776" s="2" t="str">
        <x:v>국내인증</x:v>
      </x:c>
      <x:c r="S1776" s="8" t="n">
        <x:v>94</x:v>
      </x:c>
      <x:c r="T1776" s="2"/>
      <x:c r="U1776" s="2" t="str"/>
      <x:c r="V1776" s="2" t="str">
        <x:v>2015-09-21</x:v>
      </x:c>
      <x:c r="W1776" s="2" t="str">
        <x:v>신청일 확인 / 담당기관 확인</x:v>
      </x:c>
      <x:c r="X1776" s="2" t="str">
        <x:v>원본·배정 기록 확인</x:v>
      </x:c>
      <x:c r="Y1776" s="2" t="str">
        <x:v>ad210cd9ec132cfd447541c8984dc53d30aff0f4fb2dc92d254d49275cc55976</x:v>
      </x:c>
      <x:c r="Z1776" s="2" t="n">
        <x:f>SUBTOTAL(103,A1776)</x:f>
        <x:v>1</x:v>
      </x:c>
      <x:c r="AA1776" s="2" t="str">
        <x:f>IF(K1776&lt;&gt;"미종결 표시","대상 아님",IF(N1776="","신청일 확인",IF(NOT(ISNUMBER('종합 현황'!$H$5)),"관찰기준 확인",IF('종합 현황'!$H$5&lt;1,"관찰기준 확인",IF(N1776&gt;'종합 현황'!$H$5,"내부 관찰 대상","내부 관찰일 이하")))))</x:f>
        <x:v>대상 아님</x:v>
      </x:c>
      <x:c r="AB1776" s="2"/>
    </x:row>
    <x:row r="1777" ht="42" customHeight="1">
      <x:c r="A1777" s="2" t="str">
        <x:v>a4d60a3c9bc746dc7cafdb2b</x:v>
      </x:c>
      <x:c r="B1777" s="2" t="str">
        <x:v>감축량 인증</x:v>
      </x:c>
      <x:c r="C1777" s="2" t="str">
        <x:v>국내</x:v>
      </x:c>
      <x:c r="D1777" s="7" t="str">
        <x:v>한국의 LCD 제조 과정의 SF6 방출 감축을 위한 사용점 감축 설비</x:v>
      </x:c>
      <x:c r="E1777" s="2" t="str">
        <x:v>17</x:v>
      </x:c>
      <x:c r="F1777" s="2"/>
      <x:c r="G1777" s="2" t="str">
        <x:v>미확보</x:v>
      </x:c>
      <x:c r="H1777" s="2" t="str">
        <x:v>미확보</x:v>
      </x:c>
      <x:c r="I1777" s="2" t="str">
        <x:v>심의승인</x:v>
      </x:c>
      <x:c r="J1777" s="2" t="str">
        <x:v>심의승인</x:v>
      </x:c>
      <x:c r="K1777" s="2" t="str">
        <x:f>IF(OR(J1777="심의승인",J1777="반려",J1777="반려완료",J1777="심의완료"),"종결 표시",IF(OR(J1777="기후부협의",J1777="문서재제출요청",J1777="보류",J1777="보완요청",J1777="보완완료",J1777="평가중",J1777="반려요청",J1777="평가필요",LEFT(J1777,5)="보완요청("),"미종결 표시","상태 확인 필요"))</x:f>
        <x:v>종결 표시</x:v>
      </x:c>
      <x:c r="L1777" s="2"/>
      <x:c r="M1777" s="2"/>
      <x:c r="N1777" s="8"/>
      <x:c r="O1777" s="2"/>
      <x:c r="P1777" s="2"/>
      <x:c r="Q1777" s="2" t="str">
        <x:v>산업전환_외부사업관리Tool_260707_이너젠 수정_LJY_261013.xlsx</x:v>
      </x:c>
      <x:c r="R1777" s="2" t="str">
        <x:v>국내인증</x:v>
      </x:c>
      <x:c r="S1777" s="8" t="n">
        <x:v>95</x:v>
      </x:c>
      <x:c r="T1777" s="2"/>
      <x:c r="U1777" s="2" t="str"/>
      <x:c r="V1777" s="2" t="str">
        <x:v>2015-09-21</x:v>
      </x:c>
      <x:c r="W1777" s="2" t="str">
        <x:v>신청일 확인 / 담당기관 확인</x:v>
      </x:c>
      <x:c r="X1777" s="2" t="str">
        <x:v>원본·배정 기록 확인</x:v>
      </x:c>
      <x:c r="Y1777" s="2" t="str">
        <x:v>ad210cd9ec132cfd447541c8984dc53d30aff0f4fb2dc92d254d49275cc55976</x:v>
      </x:c>
      <x:c r="Z1777" s="2" t="n">
        <x:f>SUBTOTAL(103,A1777)</x:f>
        <x:v>1</x:v>
      </x:c>
      <x:c r="AA1777" s="2" t="str">
        <x:f>IF(K1777&lt;&gt;"미종결 표시","대상 아님",IF(N1777="","신청일 확인",IF(NOT(ISNUMBER('종합 현황'!$H$5)),"관찰기준 확인",IF('종합 현황'!$H$5&lt;1,"관찰기준 확인",IF(N1777&gt;'종합 현황'!$H$5,"내부 관찰 대상","내부 관찰일 이하")))))</x:f>
        <x:v>대상 아님</x:v>
      </x:c>
      <x:c r="AB1777" s="2"/>
    </x:row>
    <x:row r="1778" ht="42" customHeight="1">
      <x:c r="A1778" s="2" t="str">
        <x:v>0abc1c98e49d78423b598f1d</x:v>
      </x:c>
      <x:c r="B1778" s="2" t="str">
        <x:v>감축량 인증</x:v>
      </x:c>
      <x:c r="C1778" s="2" t="str">
        <x:v>국내</x:v>
      </x:c>
      <x:c r="D1778" s="7" t="str">
        <x:v>한국의 LCD 제조 과정의 SF6 방출 감축을 위한 사용점 감축 설비</x:v>
      </x:c>
      <x:c r="E1778" s="2" t="str">
        <x:v>18</x:v>
      </x:c>
      <x:c r="F1778" s="2"/>
      <x:c r="G1778" s="2" t="str">
        <x:v>미확보</x:v>
      </x:c>
      <x:c r="H1778" s="2" t="str">
        <x:v>미확보</x:v>
      </x:c>
      <x:c r="I1778" s="2" t="str">
        <x:v>심의승인</x:v>
      </x:c>
      <x:c r="J1778" s="2" t="str">
        <x:v>심의승인</x:v>
      </x:c>
      <x:c r="K1778" s="2" t="str">
        <x:f>IF(OR(J1778="심의승인",J1778="반려",J1778="반려완료",J1778="심의완료"),"종결 표시",IF(OR(J1778="기후부협의",J1778="문서재제출요청",J1778="보류",J1778="보완요청",J1778="보완완료",J1778="평가중",J1778="반려요청",J1778="평가필요",LEFT(J1778,5)="보완요청("),"미종결 표시","상태 확인 필요"))</x:f>
        <x:v>종결 표시</x:v>
      </x:c>
      <x:c r="L1778" s="2"/>
      <x:c r="M1778" s="2"/>
      <x:c r="N1778" s="8"/>
      <x:c r="O1778" s="2"/>
      <x:c r="P1778" s="2"/>
      <x:c r="Q1778" s="2" t="str">
        <x:v>산업전환_외부사업관리Tool_260707_이너젠 수정_LJY_261013.xlsx</x:v>
      </x:c>
      <x:c r="R1778" s="2" t="str">
        <x:v>국내인증</x:v>
      </x:c>
      <x:c r="S1778" s="8" t="n">
        <x:v>96</x:v>
      </x:c>
      <x:c r="T1778" s="2"/>
      <x:c r="U1778" s="2" t="str"/>
      <x:c r="V1778" s="2" t="str">
        <x:v>2015-09-21</x:v>
      </x:c>
      <x:c r="W1778" s="2" t="str">
        <x:v>신청일 확인 / 담당기관 확인</x:v>
      </x:c>
      <x:c r="X1778" s="2" t="str">
        <x:v>원본·배정 기록 확인</x:v>
      </x:c>
      <x:c r="Y1778" s="2" t="str">
        <x:v>ad210cd9ec132cfd447541c8984dc53d30aff0f4fb2dc92d254d49275cc55976</x:v>
      </x:c>
      <x:c r="Z1778" s="2" t="n">
        <x:f>SUBTOTAL(103,A1778)</x:f>
        <x:v>1</x:v>
      </x:c>
      <x:c r="AA1778" s="2" t="str">
        <x:f>IF(K1778&lt;&gt;"미종결 표시","대상 아님",IF(N1778="","신청일 확인",IF(NOT(ISNUMBER('종합 현황'!$H$5)),"관찰기준 확인",IF('종합 현황'!$H$5&lt;1,"관찰기준 확인",IF(N1778&gt;'종합 현황'!$H$5,"내부 관찰 대상","내부 관찰일 이하")))))</x:f>
        <x:v>대상 아님</x:v>
      </x:c>
      <x:c r="AB1778" s="2"/>
    </x:row>
    <x:row r="1779" ht="42" customHeight="1">
      <x:c r="A1779" s="2" t="str">
        <x:v>0962b7738e66c568fb6764c1</x:v>
      </x:c>
      <x:c r="B1779" s="2" t="str">
        <x:v>감축량 인증</x:v>
      </x:c>
      <x:c r="C1779" s="2" t="str">
        <x:v>국내</x:v>
      </x:c>
      <x:c r="D1779" s="7" t="str">
        <x:v>LG 솔라에너지 태안 태양광발전소 사업</x:v>
      </x:c>
      <x:c r="E1779" s="2" t="str">
        <x:v>19</x:v>
      </x:c>
      <x:c r="F1779" s="2"/>
      <x:c r="G1779" s="2" t="str">
        <x:v>미확보</x:v>
      </x:c>
      <x:c r="H1779" s="2" t="str">
        <x:v>미확보</x:v>
      </x:c>
      <x:c r="I1779" s="2" t="str">
        <x:v>심의승인</x:v>
      </x:c>
      <x:c r="J1779" s="2" t="str">
        <x:v>심의승인</x:v>
      </x:c>
      <x:c r="K1779" s="2" t="str">
        <x:f>IF(OR(J1779="심의승인",J1779="반려",J1779="반려완료",J1779="심의완료"),"종결 표시",IF(OR(J1779="기후부협의",J1779="문서재제출요청",J1779="보류",J1779="보완요청",J1779="보완완료",J1779="평가중",J1779="반려요청",J1779="평가필요",LEFT(J1779,5)="보완요청("),"미종결 표시","상태 확인 필요"))</x:f>
        <x:v>종결 표시</x:v>
      </x:c>
      <x:c r="L1779" s="2"/>
      <x:c r="M1779" s="2"/>
      <x:c r="N1779" s="8"/>
      <x:c r="O1779" s="2"/>
      <x:c r="P1779" s="2"/>
      <x:c r="Q1779" s="2" t="str">
        <x:v>산업전환_외부사업관리Tool_260707_이너젠 수정_LJY_261013.xlsx</x:v>
      </x:c>
      <x:c r="R1779" s="2" t="str">
        <x:v>국내인증</x:v>
      </x:c>
      <x:c r="S1779" s="8" t="n">
        <x:v>97</x:v>
      </x:c>
      <x:c r="T1779" s="2"/>
      <x:c r="U1779" s="2" t="str"/>
      <x:c r="V1779" s="2" t="str">
        <x:v>2015-09-21</x:v>
      </x:c>
      <x:c r="W1779" s="2" t="str">
        <x:v>신청일 확인 / 담당기관 확인</x:v>
      </x:c>
      <x:c r="X1779" s="2" t="str">
        <x:v>원본·배정 기록 확인</x:v>
      </x:c>
      <x:c r="Y1779" s="2" t="str">
        <x:v>ad210cd9ec132cfd447541c8984dc53d30aff0f4fb2dc92d254d49275cc55976</x:v>
      </x:c>
      <x:c r="Z1779" s="2" t="n">
        <x:f>SUBTOTAL(103,A1779)</x:f>
        <x:v>1</x:v>
      </x:c>
      <x:c r="AA1779" s="2" t="str">
        <x:f>IF(K1779&lt;&gt;"미종결 표시","대상 아님",IF(N1779="","신청일 확인",IF(NOT(ISNUMBER('종합 현황'!$H$5)),"관찰기준 확인",IF('종합 현황'!$H$5&lt;1,"관찰기준 확인",IF(N1779&gt;'종합 현황'!$H$5,"내부 관찰 대상","내부 관찰일 이하")))))</x:f>
        <x:v>대상 아님</x:v>
      </x:c>
      <x:c r="AB1779" s="2"/>
    </x:row>
    <x:row r="1780" ht="42" customHeight="1">
      <x:c r="A1780" s="2" t="str">
        <x:v>bd8c5366cd1af8e6a969584e</x:v>
      </x:c>
      <x:c r="B1780" s="2" t="str">
        <x:v>감축량 인증</x:v>
      </x:c>
      <x:c r="C1780" s="2" t="str">
        <x:v>국내</x:v>
      </x:c>
      <x:c r="D1780" s="7" t="str">
        <x:v>(주)한화 울산소재 질산공장 N2O 감축 프로젝트</x:v>
      </x:c>
      <x:c r="E1780" s="2" t="str">
        <x:v>20</x:v>
      </x:c>
      <x:c r="F1780" s="2"/>
      <x:c r="G1780" s="2" t="str">
        <x:v>미확보</x:v>
      </x:c>
      <x:c r="H1780" s="2" t="str">
        <x:v>미확보</x:v>
      </x:c>
      <x:c r="I1780" s="2" t="str">
        <x:v>심의승인</x:v>
      </x:c>
      <x:c r="J1780" s="2" t="str">
        <x:v>심의승인</x:v>
      </x:c>
      <x:c r="K1780" s="2" t="str">
        <x:f>IF(OR(J1780="심의승인",J1780="반려",J1780="반려완료",J1780="심의완료"),"종결 표시",IF(OR(J1780="기후부협의",J1780="문서재제출요청",J1780="보류",J1780="보완요청",J1780="보완완료",J1780="평가중",J1780="반려요청",J1780="평가필요",LEFT(J1780,5)="보완요청("),"미종결 표시","상태 확인 필요"))</x:f>
        <x:v>종결 표시</x:v>
      </x:c>
      <x:c r="L1780" s="2"/>
      <x:c r="M1780" s="2"/>
      <x:c r="N1780" s="8"/>
      <x:c r="O1780" s="2"/>
      <x:c r="P1780" s="2"/>
      <x:c r="Q1780" s="2" t="str">
        <x:v>산업전환_외부사업관리Tool_260707_이너젠 수정_LJY_261013.xlsx</x:v>
      </x:c>
      <x:c r="R1780" s="2" t="str">
        <x:v>국내인증</x:v>
      </x:c>
      <x:c r="S1780" s="8" t="n">
        <x:v>98</x:v>
      </x:c>
      <x:c r="T1780" s="2"/>
      <x:c r="U1780" s="2" t="str"/>
      <x:c r="V1780" s="2" t="str">
        <x:v>2015-09-21</x:v>
      </x:c>
      <x:c r="W1780" s="2" t="str">
        <x:v>신청일 확인 / 담당기관 확인</x:v>
      </x:c>
      <x:c r="X1780" s="2" t="str">
        <x:v>원본·배정 기록 확인</x:v>
      </x:c>
      <x:c r="Y1780" s="2" t="str">
        <x:v>ad210cd9ec132cfd447541c8984dc53d30aff0f4fb2dc92d254d49275cc55976</x:v>
      </x:c>
      <x:c r="Z1780" s="2" t="n">
        <x:f>SUBTOTAL(103,A1780)</x:f>
        <x:v>1</x:v>
      </x:c>
      <x:c r="AA1780" s="2" t="str">
        <x:f>IF(K1780&lt;&gt;"미종결 표시","대상 아님",IF(N1780="","신청일 확인",IF(NOT(ISNUMBER('종합 현황'!$H$5)),"관찰기준 확인",IF('종합 현황'!$H$5&lt;1,"관찰기준 확인",IF(N1780&gt;'종합 현황'!$H$5,"내부 관찰 대상","내부 관찰일 이하")))))</x:f>
        <x:v>대상 아님</x:v>
      </x:c>
      <x:c r="AB1780" s="2"/>
    </x:row>
    <x:row r="1781" ht="42" customHeight="1">
      <x:c r="A1781" s="2" t="str">
        <x:v>0807307211a8c17a79d9153b</x:v>
      </x:c>
      <x:c r="B1781" s="2" t="str">
        <x:v>감축량 인증</x:v>
      </x:c>
      <x:c r="C1781" s="2" t="str">
        <x:v>국내</x:v>
      </x:c>
      <x:c r="D1781" s="7" t="str">
        <x:v>(주)한화 울산소재 질산공장 N2O 감축 프로젝트</x:v>
      </x:c>
      <x:c r="E1781" s="2" t="str">
        <x:v>21</x:v>
      </x:c>
      <x:c r="F1781" s="2"/>
      <x:c r="G1781" s="2" t="str">
        <x:v>미확보</x:v>
      </x:c>
      <x:c r="H1781" s="2" t="str">
        <x:v>미확보</x:v>
      </x:c>
      <x:c r="I1781" s="2" t="str">
        <x:v>심의승인</x:v>
      </x:c>
      <x:c r="J1781" s="2" t="str">
        <x:v>심의승인</x:v>
      </x:c>
      <x:c r="K1781" s="2" t="str">
        <x:f>IF(OR(J1781="심의승인",J1781="반려",J1781="반려완료",J1781="심의완료"),"종결 표시",IF(OR(J1781="기후부협의",J1781="문서재제출요청",J1781="보류",J1781="보완요청",J1781="보완완료",J1781="평가중",J1781="반려요청",J1781="평가필요",LEFT(J1781,5)="보완요청("),"미종결 표시","상태 확인 필요"))</x:f>
        <x:v>종결 표시</x:v>
      </x:c>
      <x:c r="L1781" s="2"/>
      <x:c r="M1781" s="2"/>
      <x:c r="N1781" s="8"/>
      <x:c r="O1781" s="2"/>
      <x:c r="P1781" s="2"/>
      <x:c r="Q1781" s="2" t="str">
        <x:v>산업전환_외부사업관리Tool_260707_이너젠 수정_LJY_261013.xlsx</x:v>
      </x:c>
      <x:c r="R1781" s="2" t="str">
        <x:v>국내인증</x:v>
      </x:c>
      <x:c r="S1781" s="8" t="n">
        <x:v>99</x:v>
      </x:c>
      <x:c r="T1781" s="2"/>
      <x:c r="U1781" s="2" t="str"/>
      <x:c r="V1781" s="2" t="str">
        <x:v>2015-09-21</x:v>
      </x:c>
      <x:c r="W1781" s="2" t="str">
        <x:v>신청일 확인 / 담당기관 확인</x:v>
      </x:c>
      <x:c r="X1781" s="2" t="str">
        <x:v>원본·배정 기록 확인</x:v>
      </x:c>
      <x:c r="Y1781" s="2" t="str">
        <x:v>ad210cd9ec132cfd447541c8984dc53d30aff0f4fb2dc92d254d49275cc55976</x:v>
      </x:c>
      <x:c r="Z1781" s="2" t="n">
        <x:f>SUBTOTAL(103,A1781)</x:f>
        <x:v>1</x:v>
      </x:c>
      <x:c r="AA1781" s="2" t="str">
        <x:f>IF(K1781&lt;&gt;"미종결 표시","대상 아님",IF(N1781="","신청일 확인",IF(NOT(ISNUMBER('종합 현황'!$H$5)),"관찰기준 확인",IF('종합 현황'!$H$5&lt;1,"관찰기준 확인",IF(N1781&gt;'종합 현황'!$H$5,"내부 관찰 대상","내부 관찰일 이하")))))</x:f>
        <x:v>대상 아님</x:v>
      </x:c>
      <x:c r="AB1781" s="2"/>
    </x:row>
    <x:row r="1782" ht="42" customHeight="1">
      <x:c r="A1782" s="2" t="str">
        <x:v>32ca8133cea56e760b36ec20</x:v>
      </x:c>
      <x:c r="B1782" s="2" t="str">
        <x:v>감축량 인증</x:v>
      </x:c>
      <x:c r="C1782" s="2" t="str">
        <x:v>국내</x:v>
      </x:c>
      <x:c r="D1782" s="7" t="str">
        <x:v>(주)한화 울산소재 질산공장 N2O 감축 프로젝트</x:v>
      </x:c>
      <x:c r="E1782" s="2" t="str">
        <x:v>22</x:v>
      </x:c>
      <x:c r="F1782" s="2"/>
      <x:c r="G1782" s="2" t="str">
        <x:v>미확보</x:v>
      </x:c>
      <x:c r="H1782" s="2" t="str">
        <x:v>미확보</x:v>
      </x:c>
      <x:c r="I1782" s="2" t="str">
        <x:v>심의승인</x:v>
      </x:c>
      <x:c r="J1782" s="2" t="str">
        <x:v>심의승인</x:v>
      </x:c>
      <x:c r="K1782" s="2" t="str">
        <x:f>IF(OR(J1782="심의승인",J1782="반려",J1782="반려완료",J1782="심의완료"),"종결 표시",IF(OR(J1782="기후부협의",J1782="문서재제출요청",J1782="보류",J1782="보완요청",J1782="보완완료",J1782="평가중",J1782="반려요청",J1782="평가필요",LEFT(J1782,5)="보완요청("),"미종결 표시","상태 확인 필요"))</x:f>
        <x:v>종결 표시</x:v>
      </x:c>
      <x:c r="L1782" s="2"/>
      <x:c r="M1782" s="2"/>
      <x:c r="N1782" s="8"/>
      <x:c r="O1782" s="2"/>
      <x:c r="P1782" s="2"/>
      <x:c r="Q1782" s="2" t="str">
        <x:v>산업전환_외부사업관리Tool_260707_이너젠 수정_LJY_261013.xlsx</x:v>
      </x:c>
      <x:c r="R1782" s="2" t="str">
        <x:v>국내인증</x:v>
      </x:c>
      <x:c r="S1782" s="8" t="n">
        <x:v>100</x:v>
      </x:c>
      <x:c r="T1782" s="2"/>
      <x:c r="U1782" s="2" t="str"/>
      <x:c r="V1782" s="2" t="str">
        <x:v>2015-09-21</x:v>
      </x:c>
      <x:c r="W1782" s="2" t="str">
        <x:v>신청일 확인 / 담당기관 확인</x:v>
      </x:c>
      <x:c r="X1782" s="2" t="str">
        <x:v>원본·배정 기록 확인</x:v>
      </x:c>
      <x:c r="Y1782" s="2" t="str">
        <x:v>ad210cd9ec132cfd447541c8984dc53d30aff0f4fb2dc92d254d49275cc55976</x:v>
      </x:c>
      <x:c r="Z1782" s="2" t="n">
        <x:f>SUBTOTAL(103,A1782)</x:f>
        <x:v>1</x:v>
      </x:c>
      <x:c r="AA1782" s="2" t="str">
        <x:f>IF(K1782&lt;&gt;"미종결 표시","대상 아님",IF(N1782="","신청일 확인",IF(NOT(ISNUMBER('종합 현황'!$H$5)),"관찰기준 확인",IF('종합 현황'!$H$5&lt;1,"관찰기준 확인",IF(N1782&gt;'종합 현황'!$H$5,"내부 관찰 대상","내부 관찰일 이하")))))</x:f>
        <x:v>대상 아님</x:v>
      </x:c>
      <x:c r="AB1782" s="2"/>
    </x:row>
    <x:row r="1783" ht="42" customHeight="1">
      <x:c r="A1783" s="2" t="str">
        <x:v>bf51ef56a7a69f26f0ff7cc7</x:v>
      </x:c>
      <x:c r="B1783" s="2" t="str">
        <x:v>감축량 인증</x:v>
      </x:c>
      <x:c r="C1783" s="2" t="str">
        <x:v>국내</x:v>
      </x:c>
      <x:c r="D1783" s="7" t="str">
        <x:v>(주)한화 울산소재 질산공장 N2O 감축 프로젝트</x:v>
      </x:c>
      <x:c r="E1783" s="2" t="str">
        <x:v>23</x:v>
      </x:c>
      <x:c r="F1783" s="2"/>
      <x:c r="G1783" s="2" t="str">
        <x:v>미확보</x:v>
      </x:c>
      <x:c r="H1783" s="2" t="str">
        <x:v>미확보</x:v>
      </x:c>
      <x:c r="I1783" s="2" t="str">
        <x:v>심의승인</x:v>
      </x:c>
      <x:c r="J1783" s="2" t="str">
        <x:v>심의승인</x:v>
      </x:c>
      <x:c r="K1783" s="2" t="str">
        <x:f>IF(OR(J1783="심의승인",J1783="반려",J1783="반려완료",J1783="심의완료"),"종결 표시",IF(OR(J1783="기후부협의",J1783="문서재제출요청",J1783="보류",J1783="보완요청",J1783="보완완료",J1783="평가중",J1783="반려요청",J1783="평가필요",LEFT(J1783,5)="보완요청("),"미종결 표시","상태 확인 필요"))</x:f>
        <x:v>종결 표시</x:v>
      </x:c>
      <x:c r="L1783" s="2"/>
      <x:c r="M1783" s="2"/>
      <x:c r="N1783" s="8"/>
      <x:c r="O1783" s="2"/>
      <x:c r="P1783" s="2"/>
      <x:c r="Q1783" s="2" t="str">
        <x:v>산업전환_외부사업관리Tool_260707_이너젠 수정_LJY_261013.xlsx</x:v>
      </x:c>
      <x:c r="R1783" s="2" t="str">
        <x:v>국내인증</x:v>
      </x:c>
      <x:c r="S1783" s="8" t="n">
        <x:v>101</x:v>
      </x:c>
      <x:c r="T1783" s="2"/>
      <x:c r="U1783" s="2" t="str"/>
      <x:c r="V1783" s="2" t="str">
        <x:v>2015-09-21</x:v>
      </x:c>
      <x:c r="W1783" s="2" t="str">
        <x:v>신청일 확인 / 담당기관 확인</x:v>
      </x:c>
      <x:c r="X1783" s="2" t="str">
        <x:v>원본·배정 기록 확인</x:v>
      </x:c>
      <x:c r="Y1783" s="2" t="str">
        <x:v>ad210cd9ec132cfd447541c8984dc53d30aff0f4fb2dc92d254d49275cc55976</x:v>
      </x:c>
      <x:c r="Z1783" s="2" t="n">
        <x:f>SUBTOTAL(103,A1783)</x:f>
        <x:v>1</x:v>
      </x:c>
      <x:c r="AA1783" s="2" t="str">
        <x:f>IF(K1783&lt;&gt;"미종결 표시","대상 아님",IF(N1783="","신청일 확인",IF(NOT(ISNUMBER('종합 현황'!$H$5)),"관찰기준 확인",IF('종합 현황'!$H$5&lt;1,"관찰기준 확인",IF(N1783&gt;'종합 현황'!$H$5,"내부 관찰 대상","내부 관찰일 이하")))))</x:f>
        <x:v>대상 아님</x:v>
      </x:c>
      <x:c r="AB1783" s="2"/>
    </x:row>
    <x:row r="1784" ht="42" customHeight="1">
      <x:c r="A1784" s="2" t="str">
        <x:v>5f0619385e6bfa77f8ce77d7</x:v>
      </x:c>
      <x:c r="B1784" s="2" t="str">
        <x:v>감축량 인증</x:v>
      </x:c>
      <x:c r="C1784" s="2" t="str">
        <x:v>국내</x:v>
      </x:c>
      <x:c r="D1784" s="7" t="str">
        <x:v>(주)한화 울산소재 질산공장 N2O 감축 프로젝트</x:v>
      </x:c>
      <x:c r="E1784" s="2" t="str">
        <x:v>24</x:v>
      </x:c>
      <x:c r="F1784" s="2"/>
      <x:c r="G1784" s="2" t="str">
        <x:v>미확보</x:v>
      </x:c>
      <x:c r="H1784" s="2" t="str">
        <x:v>미확보</x:v>
      </x:c>
      <x:c r="I1784" s="2" t="str">
        <x:v>심의승인</x:v>
      </x:c>
      <x:c r="J1784" s="2" t="str">
        <x:v>심의승인</x:v>
      </x:c>
      <x:c r="K1784" s="2" t="str">
        <x:f>IF(OR(J1784="심의승인",J1784="반려",J1784="반려완료",J1784="심의완료"),"종결 표시",IF(OR(J1784="기후부협의",J1784="문서재제출요청",J1784="보류",J1784="보완요청",J1784="보완완료",J1784="평가중",J1784="반려요청",J1784="평가필요",LEFT(J1784,5)="보완요청("),"미종결 표시","상태 확인 필요"))</x:f>
        <x:v>종결 표시</x:v>
      </x:c>
      <x:c r="L1784" s="2"/>
      <x:c r="M1784" s="2"/>
      <x:c r="N1784" s="8"/>
      <x:c r="O1784" s="2"/>
      <x:c r="P1784" s="2"/>
      <x:c r="Q1784" s="2" t="str">
        <x:v>산업전환_외부사업관리Tool_260707_이너젠 수정_LJY_261013.xlsx</x:v>
      </x:c>
      <x:c r="R1784" s="2" t="str">
        <x:v>국내인증</x:v>
      </x:c>
      <x:c r="S1784" s="8" t="n">
        <x:v>102</x:v>
      </x:c>
      <x:c r="T1784" s="2"/>
      <x:c r="U1784" s="2" t="str"/>
      <x:c r="V1784" s="2" t="str">
        <x:v>2015-09-21</x:v>
      </x:c>
      <x:c r="W1784" s="2" t="str">
        <x:v>신청일 확인 / 담당기관 확인</x:v>
      </x:c>
      <x:c r="X1784" s="2" t="str">
        <x:v>원본·배정 기록 확인</x:v>
      </x:c>
      <x:c r="Y1784" s="2" t="str">
        <x:v>ad210cd9ec132cfd447541c8984dc53d30aff0f4fb2dc92d254d49275cc55976</x:v>
      </x:c>
      <x:c r="Z1784" s="2" t="n">
        <x:f>SUBTOTAL(103,A1784)</x:f>
        <x:v>1</x:v>
      </x:c>
      <x:c r="AA1784" s="2" t="str">
        <x:f>IF(K1784&lt;&gt;"미종결 표시","대상 아님",IF(N1784="","신청일 확인",IF(NOT(ISNUMBER('종합 현황'!$H$5)),"관찰기준 확인",IF('종합 현황'!$H$5&lt;1,"관찰기준 확인",IF(N1784&gt;'종합 현황'!$H$5,"내부 관찰 대상","내부 관찰일 이하")))))</x:f>
        <x:v>대상 아님</x:v>
      </x:c>
      <x:c r="AB1784" s="2"/>
    </x:row>
    <x:row r="1785" ht="42" customHeight="1">
      <x:c r="A1785" s="2" t="str">
        <x:v>7af571a9a4721252c9a8d71c</x:v>
      </x:c>
      <x:c r="B1785" s="2" t="str">
        <x:v>감축량 인증</x:v>
      </x:c>
      <x:c r="C1785" s="2" t="str">
        <x:v>국내</x:v>
      </x:c>
      <x:c r="D1785" s="7" t="str">
        <x:v>시화호 조력발전 사업</x:v>
      </x:c>
      <x:c r="E1785" s="2" t="str">
        <x:v>25</x:v>
      </x:c>
      <x:c r="F1785" s="2"/>
      <x:c r="G1785" s="2" t="str">
        <x:v>미확보</x:v>
      </x:c>
      <x:c r="H1785" s="2" t="str">
        <x:v>미확보</x:v>
      </x:c>
      <x:c r="I1785" s="2" t="str">
        <x:v>심의승인</x:v>
      </x:c>
      <x:c r="J1785" s="2" t="str">
        <x:v>심의승인</x:v>
      </x:c>
      <x:c r="K1785" s="2" t="str">
        <x:f>IF(OR(J1785="심의승인",J1785="반려",J1785="반려완료",J1785="심의완료"),"종결 표시",IF(OR(J1785="기후부협의",J1785="문서재제출요청",J1785="보류",J1785="보완요청",J1785="보완완료",J1785="평가중",J1785="반려요청",J1785="평가필요",LEFT(J1785,5)="보완요청("),"미종결 표시","상태 확인 필요"))</x:f>
        <x:v>종결 표시</x:v>
      </x:c>
      <x:c r="L1785" s="2"/>
      <x:c r="M1785" s="2"/>
      <x:c r="N1785" s="8"/>
      <x:c r="O1785" s="2"/>
      <x:c r="P1785" s="2"/>
      <x:c r="Q1785" s="2" t="str">
        <x:v>산업전환_외부사업관리Tool_260707_이너젠 수정_LJY_261013.xlsx</x:v>
      </x:c>
      <x:c r="R1785" s="2" t="str">
        <x:v>국내인증</x:v>
      </x:c>
      <x:c r="S1785" s="8" t="n">
        <x:v>103</x:v>
      </x:c>
      <x:c r="T1785" s="2"/>
      <x:c r="U1785" s="2" t="str"/>
      <x:c r="V1785" s="2" t="str">
        <x:v>2015-12-17</x:v>
      </x:c>
      <x:c r="W1785" s="2" t="str">
        <x:v>신청일 확인 / 담당기관 확인</x:v>
      </x:c>
      <x:c r="X1785" s="2" t="str">
        <x:v>원본·배정 기록 확인</x:v>
      </x:c>
      <x:c r="Y1785" s="2" t="str">
        <x:v>ad210cd9ec132cfd447541c8984dc53d30aff0f4fb2dc92d254d49275cc55976</x:v>
      </x:c>
      <x:c r="Z1785" s="2" t="n">
        <x:f>SUBTOTAL(103,A1785)</x:f>
        <x:v>1</x:v>
      </x:c>
      <x:c r="AA1785" s="2" t="str">
        <x:f>IF(K1785&lt;&gt;"미종결 표시","대상 아님",IF(N1785="","신청일 확인",IF(NOT(ISNUMBER('종합 현황'!$H$5)),"관찰기준 확인",IF('종합 현황'!$H$5&lt;1,"관찰기준 확인",IF(N1785&gt;'종합 현황'!$H$5,"내부 관찰 대상","내부 관찰일 이하")))))</x:f>
        <x:v>대상 아님</x:v>
      </x:c>
      <x:c r="AB1785" s="2"/>
    </x:row>
    <x:row r="1786" ht="42" customHeight="1">
      <x:c r="A1786" s="2" t="str">
        <x:v>912f701d87ea5ca76e17f680</x:v>
      </x:c>
      <x:c r="B1786" s="2" t="str">
        <x:v>감축량 인증</x:v>
      </x:c>
      <x:c r="C1786" s="2" t="str">
        <x:v>국내</x:v>
      </x:c>
      <x:c r="D1786" s="7" t="str">
        <x:v>시화호 조력발전 사업</x:v>
      </x:c>
      <x:c r="E1786" s="2" t="str">
        <x:v>26</x:v>
      </x:c>
      <x:c r="F1786" s="2"/>
      <x:c r="G1786" s="2" t="str">
        <x:v>미확보</x:v>
      </x:c>
      <x:c r="H1786" s="2" t="str">
        <x:v>미확보</x:v>
      </x:c>
      <x:c r="I1786" s="2" t="str">
        <x:v>심의승인</x:v>
      </x:c>
      <x:c r="J1786" s="2" t="str">
        <x:v>심의승인</x:v>
      </x:c>
      <x:c r="K1786" s="2" t="str">
        <x:f>IF(OR(J1786="심의승인",J1786="반려",J1786="반려완료",J1786="심의완료"),"종결 표시",IF(OR(J1786="기후부협의",J1786="문서재제출요청",J1786="보류",J1786="보완요청",J1786="보완완료",J1786="평가중",J1786="반려요청",J1786="평가필요",LEFT(J1786,5)="보완요청("),"미종결 표시","상태 확인 필요"))</x:f>
        <x:v>종결 표시</x:v>
      </x:c>
      <x:c r="L1786" s="2"/>
      <x:c r="M1786" s="2"/>
      <x:c r="N1786" s="8"/>
      <x:c r="O1786" s="2"/>
      <x:c r="P1786" s="2"/>
      <x:c r="Q1786" s="2" t="str">
        <x:v>산업전환_외부사업관리Tool_260707_이너젠 수정_LJY_261013.xlsx</x:v>
      </x:c>
      <x:c r="R1786" s="2" t="str">
        <x:v>국내인증</x:v>
      </x:c>
      <x:c r="S1786" s="8" t="n">
        <x:v>104</x:v>
      </x:c>
      <x:c r="T1786" s="2"/>
      <x:c r="U1786" s="2" t="str"/>
      <x:c r="V1786" s="2" t="str">
        <x:v>2015-12-17</x:v>
      </x:c>
      <x:c r="W1786" s="2" t="str">
        <x:v>신청일 확인 / 담당기관 확인</x:v>
      </x:c>
      <x:c r="X1786" s="2" t="str">
        <x:v>원본·배정 기록 확인</x:v>
      </x:c>
      <x:c r="Y1786" s="2" t="str">
        <x:v>ad210cd9ec132cfd447541c8984dc53d30aff0f4fb2dc92d254d49275cc55976</x:v>
      </x:c>
      <x:c r="Z1786" s="2" t="n">
        <x:f>SUBTOTAL(103,A1786)</x:f>
        <x:v>1</x:v>
      </x:c>
      <x:c r="AA1786" s="2" t="str">
        <x:f>IF(K1786&lt;&gt;"미종결 표시","대상 아님",IF(N1786="","신청일 확인",IF(NOT(ISNUMBER('종합 현황'!$H$5)),"관찰기준 확인",IF('종합 현황'!$H$5&lt;1,"관찰기준 확인",IF(N1786&gt;'종합 현황'!$H$5,"내부 관찰 대상","내부 관찰일 이하")))))</x:f>
        <x:v>대상 아님</x:v>
      </x:c>
      <x:c r="AB1786" s="2"/>
    </x:row>
    <x:row r="1787" ht="42" customHeight="1">
      <x:c r="A1787" s="2" t="str">
        <x:v>f727b63e7ed238e875241b69</x:v>
      </x:c>
      <x:c r="B1787" s="2" t="str">
        <x:v>감축량 인증</x:v>
      </x:c>
      <x:c r="C1787" s="2" t="str">
        <x:v>국내</x:v>
      </x:c>
      <x:c r="D1787" s="7" t="str">
        <x:v>시화호 조력발전 사업</x:v>
      </x:c>
      <x:c r="E1787" s="2" t="str">
        <x:v>27</x:v>
      </x:c>
      <x:c r="F1787" s="2"/>
      <x:c r="G1787" s="2" t="str">
        <x:v>미확보</x:v>
      </x:c>
      <x:c r="H1787" s="2" t="str">
        <x:v>미확보</x:v>
      </x:c>
      <x:c r="I1787" s="2" t="str">
        <x:v>심의승인</x:v>
      </x:c>
      <x:c r="J1787" s="2" t="str">
        <x:v>심의승인</x:v>
      </x:c>
      <x:c r="K1787" s="2" t="str">
        <x:f>IF(OR(J1787="심의승인",J1787="반려",J1787="반려완료",J1787="심의완료"),"종결 표시",IF(OR(J1787="기후부협의",J1787="문서재제출요청",J1787="보류",J1787="보완요청",J1787="보완완료",J1787="평가중",J1787="반려요청",J1787="평가필요",LEFT(J1787,5)="보완요청("),"미종결 표시","상태 확인 필요"))</x:f>
        <x:v>종결 표시</x:v>
      </x:c>
      <x:c r="L1787" s="2"/>
      <x:c r="M1787" s="2"/>
      <x:c r="N1787" s="8"/>
      <x:c r="O1787" s="2"/>
      <x:c r="P1787" s="2"/>
      <x:c r="Q1787" s="2" t="str">
        <x:v>산업전환_외부사업관리Tool_260707_이너젠 수정_LJY_261013.xlsx</x:v>
      </x:c>
      <x:c r="R1787" s="2" t="str">
        <x:v>국내인증</x:v>
      </x:c>
      <x:c r="S1787" s="8" t="n">
        <x:v>105</x:v>
      </x:c>
      <x:c r="T1787" s="2"/>
      <x:c r="U1787" s="2" t="str"/>
      <x:c r="V1787" s="2" t="str">
        <x:v>2015-12-17</x:v>
      </x:c>
      <x:c r="W1787" s="2" t="str">
        <x:v>신청일 확인 / 담당기관 확인</x:v>
      </x:c>
      <x:c r="X1787" s="2" t="str">
        <x:v>원본·배정 기록 확인</x:v>
      </x:c>
      <x:c r="Y1787" s="2" t="str">
        <x:v>ad210cd9ec132cfd447541c8984dc53d30aff0f4fb2dc92d254d49275cc55976</x:v>
      </x:c>
      <x:c r="Z1787" s="2" t="n">
        <x:f>SUBTOTAL(103,A1787)</x:f>
        <x:v>1</x:v>
      </x:c>
      <x:c r="AA1787" s="2" t="str">
        <x:f>IF(K1787&lt;&gt;"미종결 표시","대상 아님",IF(N1787="","신청일 확인",IF(NOT(ISNUMBER('종합 현황'!$H$5)),"관찰기준 확인",IF('종합 현황'!$H$5&lt;1,"관찰기준 확인",IF(N1787&gt;'종합 현황'!$H$5,"내부 관찰 대상","내부 관찰일 이하")))))</x:f>
        <x:v>대상 아님</x:v>
      </x:c>
      <x:c r="AB1787" s="2"/>
    </x:row>
    <x:row r="1788" ht="42" customHeight="1">
      <x:c r="A1788" s="2" t="str">
        <x:v>cb302da45f7d6da3eae32526</x:v>
      </x:c>
      <x:c r="B1788" s="2" t="str">
        <x:v>감축량 인증</x:v>
      </x:c>
      <x:c r="C1788" s="2" t="str">
        <x:v>국내</x:v>
      </x:c>
      <x:c r="D1788" s="7" t="str">
        <x:v>동부한농 질산공장 N2O 감축사업</x:v>
      </x:c>
      <x:c r="E1788" s="2" t="str">
        <x:v>28</x:v>
      </x:c>
      <x:c r="F1788" s="2"/>
      <x:c r="G1788" s="2" t="str">
        <x:v>미확보</x:v>
      </x:c>
      <x:c r="H1788" s="2" t="str">
        <x:v>미확보</x:v>
      </x:c>
      <x:c r="I1788" s="2" t="str">
        <x:v>심의승인</x:v>
      </x:c>
      <x:c r="J1788" s="2" t="str">
        <x:v>심의승인</x:v>
      </x:c>
      <x:c r="K1788" s="2" t="str">
        <x:f>IF(OR(J1788="심의승인",J1788="반려",J1788="반려완료",J1788="심의완료"),"종결 표시",IF(OR(J1788="기후부협의",J1788="문서재제출요청",J1788="보류",J1788="보완요청",J1788="보완완료",J1788="평가중",J1788="반려요청",J1788="평가필요",LEFT(J1788,5)="보완요청("),"미종결 표시","상태 확인 필요"))</x:f>
        <x:v>종결 표시</x:v>
      </x:c>
      <x:c r="L1788" s="2"/>
      <x:c r="M1788" s="2"/>
      <x:c r="N1788" s="8"/>
      <x:c r="O1788" s="2"/>
      <x:c r="P1788" s="2"/>
      <x:c r="Q1788" s="2" t="str">
        <x:v>산업전환_외부사업관리Tool_260707_이너젠 수정_LJY_261013.xlsx</x:v>
      </x:c>
      <x:c r="R1788" s="2" t="str">
        <x:v>국내인증</x:v>
      </x:c>
      <x:c r="S1788" s="8" t="n">
        <x:v>106</x:v>
      </x:c>
      <x:c r="T1788" s="2"/>
      <x:c r="U1788" s="2" t="str"/>
      <x:c r="V1788" s="2" t="str">
        <x:v>2015-09-21</x:v>
      </x:c>
      <x:c r="W1788" s="2" t="str">
        <x:v>신청일 확인 / 담당기관 확인</x:v>
      </x:c>
      <x:c r="X1788" s="2" t="str">
        <x:v>원본·배정 기록 확인</x:v>
      </x:c>
      <x:c r="Y1788" s="2" t="str">
        <x:v>ad210cd9ec132cfd447541c8984dc53d30aff0f4fb2dc92d254d49275cc55976</x:v>
      </x:c>
      <x:c r="Z1788" s="2" t="n">
        <x:f>SUBTOTAL(103,A1788)</x:f>
        <x:v>1</x:v>
      </x:c>
      <x:c r="AA1788" s="2" t="str">
        <x:f>IF(K1788&lt;&gt;"미종결 표시","대상 아님",IF(N1788="","신청일 확인",IF(NOT(ISNUMBER('종합 현황'!$H$5)),"관찰기준 확인",IF('종합 현황'!$H$5&lt;1,"관찰기준 확인",IF(N1788&gt;'종합 현황'!$H$5,"내부 관찰 대상","내부 관찰일 이하")))))</x:f>
        <x:v>대상 아님</x:v>
      </x:c>
      <x:c r="AB1788" s="2"/>
    </x:row>
    <x:row r="1789" ht="42" customHeight="1">
      <x:c r="A1789" s="2" t="str">
        <x:v>f9b6ad696d1f7f77dde52c14</x:v>
      </x:c>
      <x:c r="B1789" s="2" t="str">
        <x:v>감축량 인증</x:v>
      </x:c>
      <x:c r="C1789" s="2" t="str">
        <x:v>국내</x:v>
      </x:c>
      <x:c r="D1789" s="7" t="str">
        <x:v>동부한농 질산공장 N2O 감축사업</x:v>
      </x:c>
      <x:c r="E1789" s="2" t="str">
        <x:v>29</x:v>
      </x:c>
      <x:c r="F1789" s="2"/>
      <x:c r="G1789" s="2" t="str">
        <x:v>미확보</x:v>
      </x:c>
      <x:c r="H1789" s="2" t="str">
        <x:v>미확보</x:v>
      </x:c>
      <x:c r="I1789" s="2" t="str">
        <x:v>심의승인</x:v>
      </x:c>
      <x:c r="J1789" s="2" t="str">
        <x:v>심의승인</x:v>
      </x:c>
      <x:c r="K1789" s="2" t="str">
        <x:f>IF(OR(J1789="심의승인",J1789="반려",J1789="반려완료",J1789="심의완료"),"종결 표시",IF(OR(J1789="기후부협의",J1789="문서재제출요청",J1789="보류",J1789="보완요청",J1789="보완완료",J1789="평가중",J1789="반려요청",J1789="평가필요",LEFT(J1789,5)="보완요청("),"미종결 표시","상태 확인 필요"))</x:f>
        <x:v>종결 표시</x:v>
      </x:c>
      <x:c r="L1789" s="2"/>
      <x:c r="M1789" s="2"/>
      <x:c r="N1789" s="8"/>
      <x:c r="O1789" s="2"/>
      <x:c r="P1789" s="2"/>
      <x:c r="Q1789" s="2" t="str">
        <x:v>산업전환_외부사업관리Tool_260707_이너젠 수정_LJY_261013.xlsx</x:v>
      </x:c>
      <x:c r="R1789" s="2" t="str">
        <x:v>국내인증</x:v>
      </x:c>
      <x:c r="S1789" s="8" t="n">
        <x:v>107</x:v>
      </x:c>
      <x:c r="T1789" s="2"/>
      <x:c r="U1789" s="2" t="str"/>
      <x:c r="V1789" s="2" t="str">
        <x:v>2015-09-21</x:v>
      </x:c>
      <x:c r="W1789" s="2" t="str">
        <x:v>신청일 확인 / 담당기관 확인</x:v>
      </x:c>
      <x:c r="X1789" s="2" t="str">
        <x:v>원본·배정 기록 확인</x:v>
      </x:c>
      <x:c r="Y1789" s="2" t="str">
        <x:v>ad210cd9ec132cfd447541c8984dc53d30aff0f4fb2dc92d254d49275cc55976</x:v>
      </x:c>
      <x:c r="Z1789" s="2" t="n">
        <x:f>SUBTOTAL(103,A1789)</x:f>
        <x:v>1</x:v>
      </x:c>
      <x:c r="AA1789" s="2" t="str">
        <x:f>IF(K1789&lt;&gt;"미종결 표시","대상 아님",IF(N1789="","신청일 확인",IF(NOT(ISNUMBER('종합 현황'!$H$5)),"관찰기준 확인",IF('종합 현황'!$H$5&lt;1,"관찰기준 확인",IF(N1789&gt;'종합 현황'!$H$5,"내부 관찰 대상","내부 관찰일 이하")))))</x:f>
        <x:v>대상 아님</x:v>
      </x:c>
      <x:c r="AB1789" s="2"/>
    </x:row>
    <x:row r="1790" ht="42" customHeight="1">
      <x:c r="A1790" s="2" t="str">
        <x:v>77857af6b702496efed7df8b</x:v>
      </x:c>
      <x:c r="B1790" s="2" t="str">
        <x:v>감축량 인증</x:v>
      </x:c>
      <x:c r="C1790" s="2" t="str">
        <x:v>국내</x:v>
      </x:c>
      <x:c r="D1790" s="7" t="str">
        <x:v>(주)한화 울산소재 질산공장 N2O 감축 프로젝트</x:v>
      </x:c>
      <x:c r="E1790" s="2" t="str">
        <x:v>30</x:v>
      </x:c>
      <x:c r="F1790" s="2"/>
      <x:c r="G1790" s="2" t="str">
        <x:v>미확보</x:v>
      </x:c>
      <x:c r="H1790" s="2" t="str">
        <x:v>미확보</x:v>
      </x:c>
      <x:c r="I1790" s="2" t="str">
        <x:v>심의승인</x:v>
      </x:c>
      <x:c r="J1790" s="2" t="str">
        <x:v>심의승인</x:v>
      </x:c>
      <x:c r="K1790" s="2" t="str">
        <x:f>IF(OR(J1790="심의승인",J1790="반려",J1790="반려완료",J1790="심의완료"),"종결 표시",IF(OR(J1790="기후부협의",J1790="문서재제출요청",J1790="보류",J1790="보완요청",J1790="보완완료",J1790="평가중",J1790="반려요청",J1790="평가필요",LEFT(J1790,5)="보완요청("),"미종결 표시","상태 확인 필요"))</x:f>
        <x:v>종결 표시</x:v>
      </x:c>
      <x:c r="L1790" s="2"/>
      <x:c r="M1790" s="2"/>
      <x:c r="N1790" s="8"/>
      <x:c r="O1790" s="2"/>
      <x:c r="P1790" s="2"/>
      <x:c r="Q1790" s="2" t="str">
        <x:v>산업전환_외부사업관리Tool_260707_이너젠 수정_LJY_261013.xlsx</x:v>
      </x:c>
      <x:c r="R1790" s="2" t="str">
        <x:v>국내인증</x:v>
      </x:c>
      <x:c r="S1790" s="8" t="n">
        <x:v>108</x:v>
      </x:c>
      <x:c r="T1790" s="2"/>
      <x:c r="U1790" s="2" t="str"/>
      <x:c r="V1790" s="2" t="str">
        <x:v>2015-12-17</x:v>
      </x:c>
      <x:c r="W1790" s="2" t="str">
        <x:v>신청일 확인 / 담당기관 확인</x:v>
      </x:c>
      <x:c r="X1790" s="2" t="str">
        <x:v>원본·배정 기록 확인</x:v>
      </x:c>
      <x:c r="Y1790" s="2" t="str">
        <x:v>ad210cd9ec132cfd447541c8984dc53d30aff0f4fb2dc92d254d49275cc55976</x:v>
      </x:c>
      <x:c r="Z1790" s="2" t="n">
        <x:f>SUBTOTAL(103,A1790)</x:f>
        <x:v>1</x:v>
      </x:c>
      <x:c r="AA1790" s="2" t="str">
        <x:f>IF(K1790&lt;&gt;"미종결 표시","대상 아님",IF(N1790="","신청일 확인",IF(NOT(ISNUMBER('종합 현황'!$H$5)),"관찰기준 확인",IF('종합 현황'!$H$5&lt;1,"관찰기준 확인",IF(N1790&gt;'종합 현황'!$H$5,"내부 관찰 대상","내부 관찰일 이하")))))</x:f>
        <x:v>대상 아님</x:v>
      </x:c>
      <x:c r="AB1790" s="2"/>
    </x:row>
    <x:row r="1791" ht="42" customHeight="1">
      <x:c r="A1791" s="2" t="str">
        <x:v>0abef97b8933a798e4de6878</x:v>
      </x:c>
      <x:c r="B1791" s="2" t="str">
        <x:v>감축량 인증</x:v>
      </x:c>
      <x:c r="C1791" s="2" t="str">
        <x:v>국내</x:v>
      </x:c>
      <x:c r="D1791" s="7" t="str">
        <x:v>시화호 조력발전 사업</x:v>
      </x:c>
      <x:c r="E1791" s="2" t="str">
        <x:v>31</x:v>
      </x:c>
      <x:c r="F1791" s="2"/>
      <x:c r="G1791" s="2" t="str">
        <x:v>미확보</x:v>
      </x:c>
      <x:c r="H1791" s="2" t="str">
        <x:v>미확보</x:v>
      </x:c>
      <x:c r="I1791" s="2" t="str">
        <x:v>심의승인</x:v>
      </x:c>
      <x:c r="J1791" s="2" t="str">
        <x:v>심의승인</x:v>
      </x:c>
      <x:c r="K1791" s="2" t="str">
        <x:f>IF(OR(J1791="심의승인",J1791="반려",J1791="반려완료",J1791="심의완료"),"종결 표시",IF(OR(J1791="기후부협의",J1791="문서재제출요청",J1791="보류",J1791="보완요청",J1791="보완완료",J1791="평가중",J1791="반려요청",J1791="평가필요",LEFT(J1791,5)="보완요청("),"미종결 표시","상태 확인 필요"))</x:f>
        <x:v>종결 표시</x:v>
      </x:c>
      <x:c r="L1791" s="2"/>
      <x:c r="M1791" s="2"/>
      <x:c r="N1791" s="8"/>
      <x:c r="O1791" s="2"/>
      <x:c r="P1791" s="2"/>
      <x:c r="Q1791" s="2" t="str">
        <x:v>산업전환_외부사업관리Tool_260707_이너젠 수정_LJY_261013.xlsx</x:v>
      </x:c>
      <x:c r="R1791" s="2" t="str">
        <x:v>국내인증</x:v>
      </x:c>
      <x:c r="S1791" s="8" t="n">
        <x:v>109</x:v>
      </x:c>
      <x:c r="T1791" s="2"/>
      <x:c r="U1791" s="2" t="str"/>
      <x:c r="V1791" s="2" t="str">
        <x:v>2015-12-17</x:v>
      </x:c>
      <x:c r="W1791" s="2" t="str">
        <x:v>신청일 확인 / 담당기관 확인</x:v>
      </x:c>
      <x:c r="X1791" s="2" t="str">
        <x:v>원본·배정 기록 확인</x:v>
      </x:c>
      <x:c r="Y1791" s="2" t="str">
        <x:v>ad210cd9ec132cfd447541c8984dc53d30aff0f4fb2dc92d254d49275cc55976</x:v>
      </x:c>
      <x:c r="Z1791" s="2" t="n">
        <x:f>SUBTOTAL(103,A1791)</x:f>
        <x:v>1</x:v>
      </x:c>
      <x:c r="AA1791" s="2" t="str">
        <x:f>IF(K1791&lt;&gt;"미종결 표시","대상 아님",IF(N1791="","신청일 확인",IF(NOT(ISNUMBER('종합 현황'!$H$5)),"관찰기준 확인",IF('종합 현황'!$H$5&lt;1,"관찰기준 확인",IF(N1791&gt;'종합 현황'!$H$5,"내부 관찰 대상","내부 관찰일 이하")))))</x:f>
        <x:v>대상 아님</x:v>
      </x:c>
      <x:c r="AB1791" s="2"/>
    </x:row>
    <x:row r="1792" ht="42" customHeight="1">
      <x:c r="A1792" s="2" t="str">
        <x:v>0960faa3bfc8aaad2e3099ef</x:v>
      </x:c>
      <x:c r="B1792" s="2" t="str">
        <x:v>감축량 인증</x:v>
      </x:c>
      <x:c r="C1792" s="2" t="str">
        <x:v>국내</x:v>
      </x:c>
      <x:c r="D1792" s="7" t="str">
        <x:v>시화호 조력발전 사업</x:v>
      </x:c>
      <x:c r="E1792" s="2" t="str">
        <x:v>32</x:v>
      </x:c>
      <x:c r="F1792" s="2"/>
      <x:c r="G1792" s="2" t="str">
        <x:v>미확보</x:v>
      </x:c>
      <x:c r="H1792" s="2" t="str">
        <x:v>미확보</x:v>
      </x:c>
      <x:c r="I1792" s="2" t="str">
        <x:v>심의승인</x:v>
      </x:c>
      <x:c r="J1792" s="2" t="str">
        <x:v>심의승인</x:v>
      </x:c>
      <x:c r="K1792" s="2" t="str">
        <x:f>IF(OR(J1792="심의승인",J1792="반려",J1792="반려완료",J1792="심의완료"),"종결 표시",IF(OR(J1792="기후부협의",J1792="문서재제출요청",J1792="보류",J1792="보완요청",J1792="보완완료",J1792="평가중",J1792="반려요청",J1792="평가필요",LEFT(J1792,5)="보완요청("),"미종결 표시","상태 확인 필요"))</x:f>
        <x:v>종결 표시</x:v>
      </x:c>
      <x:c r="L1792" s="2"/>
      <x:c r="M1792" s="2"/>
      <x:c r="N1792" s="8"/>
      <x:c r="O1792" s="2"/>
      <x:c r="P1792" s="2"/>
      <x:c r="Q1792" s="2" t="str">
        <x:v>산업전환_외부사업관리Tool_260707_이너젠 수정_LJY_261013.xlsx</x:v>
      </x:c>
      <x:c r="R1792" s="2" t="str">
        <x:v>국내인증</x:v>
      </x:c>
      <x:c r="S1792" s="8" t="n">
        <x:v>110</x:v>
      </x:c>
      <x:c r="T1792" s="2"/>
      <x:c r="U1792" s="2" t="str"/>
      <x:c r="V1792" s="2" t="str">
        <x:v>2015-12-17</x:v>
      </x:c>
      <x:c r="W1792" s="2" t="str">
        <x:v>신청일 확인 / 담당기관 확인</x:v>
      </x:c>
      <x:c r="X1792" s="2" t="str">
        <x:v>원본·배정 기록 확인</x:v>
      </x:c>
      <x:c r="Y1792" s="2" t="str">
        <x:v>ad210cd9ec132cfd447541c8984dc53d30aff0f4fb2dc92d254d49275cc55976</x:v>
      </x:c>
      <x:c r="Z1792" s="2" t="n">
        <x:f>SUBTOTAL(103,A1792)</x:f>
        <x:v>1</x:v>
      </x:c>
      <x:c r="AA1792" s="2" t="str">
        <x:f>IF(K1792&lt;&gt;"미종결 표시","대상 아님",IF(N1792="","신청일 확인",IF(NOT(ISNUMBER('종합 현황'!$H$5)),"관찰기준 확인",IF('종합 현황'!$H$5&lt;1,"관찰기준 확인",IF(N1792&gt;'종합 현황'!$H$5,"내부 관찰 대상","내부 관찰일 이하")))))</x:f>
        <x:v>대상 아님</x:v>
      </x:c>
      <x:c r="AB1792" s="2"/>
    </x:row>
    <x:row r="1793" ht="42" customHeight="1">
      <x:c r="A1793" s="2" t="str">
        <x:v>5ea6db0a245f8907609b7092</x:v>
      </x:c>
      <x:c r="B1793" s="2" t="str">
        <x:v>감축량 인증</x:v>
      </x:c>
      <x:c r="C1793" s="2" t="str">
        <x:v>국내</x:v>
      </x:c>
      <x:c r="D1793" s="7" t="str">
        <x:v>시화호 조력발전 사업</x:v>
      </x:c>
      <x:c r="E1793" s="2" t="str">
        <x:v>33</x:v>
      </x:c>
      <x:c r="F1793" s="2"/>
      <x:c r="G1793" s="2" t="str">
        <x:v>미확보</x:v>
      </x:c>
      <x:c r="H1793" s="2" t="str">
        <x:v>미확보</x:v>
      </x:c>
      <x:c r="I1793" s="2" t="str">
        <x:v>심의승인</x:v>
      </x:c>
      <x:c r="J1793" s="2" t="str">
        <x:v>심의승인</x:v>
      </x:c>
      <x:c r="K1793" s="2" t="str">
        <x:f>IF(OR(J1793="심의승인",J1793="반려",J1793="반려완료",J1793="심의완료"),"종결 표시",IF(OR(J1793="기후부협의",J1793="문서재제출요청",J1793="보류",J1793="보완요청",J1793="보완완료",J1793="평가중",J1793="반려요청",J1793="평가필요",LEFT(J1793,5)="보완요청("),"미종결 표시","상태 확인 필요"))</x:f>
        <x:v>종결 표시</x:v>
      </x:c>
      <x:c r="L1793" s="2"/>
      <x:c r="M1793" s="2"/>
      <x:c r="N1793" s="8"/>
      <x:c r="O1793" s="2"/>
      <x:c r="P1793" s="2"/>
      <x:c r="Q1793" s="2" t="str">
        <x:v>산업전환_외부사업관리Tool_260707_이너젠 수정_LJY_261013.xlsx</x:v>
      </x:c>
      <x:c r="R1793" s="2" t="str">
        <x:v>국내인증</x:v>
      </x:c>
      <x:c r="S1793" s="8" t="n">
        <x:v>111</x:v>
      </x:c>
      <x:c r="T1793" s="2"/>
      <x:c r="U1793" s="2" t="str"/>
      <x:c r="V1793" s="2" t="str">
        <x:v>2015-12-17</x:v>
      </x:c>
      <x:c r="W1793" s="2" t="str">
        <x:v>신청일 확인 / 담당기관 확인</x:v>
      </x:c>
      <x:c r="X1793" s="2" t="str">
        <x:v>원본·배정 기록 확인</x:v>
      </x:c>
      <x:c r="Y1793" s="2" t="str">
        <x:v>ad210cd9ec132cfd447541c8984dc53d30aff0f4fb2dc92d254d49275cc55976</x:v>
      </x:c>
      <x:c r="Z1793" s="2" t="n">
        <x:f>SUBTOTAL(103,A1793)</x:f>
        <x:v>1</x:v>
      </x:c>
      <x:c r="AA1793" s="2" t="str">
        <x:f>IF(K1793&lt;&gt;"미종결 표시","대상 아님",IF(N1793="","신청일 확인",IF(NOT(ISNUMBER('종합 현황'!$H$5)),"관찰기준 확인",IF('종합 현황'!$H$5&lt;1,"관찰기준 확인",IF(N1793&gt;'종합 현황'!$H$5,"내부 관찰 대상","내부 관찰일 이하")))))</x:f>
        <x:v>대상 아님</x:v>
      </x:c>
      <x:c r="AB1793" s="2"/>
    </x:row>
    <x:row r="1794" ht="42" customHeight="1">
      <x:c r="A1794" s="2" t="str">
        <x:v>c8149d5f90a0553e29e1c18e</x:v>
      </x:c>
      <x:c r="B1794" s="2" t="str">
        <x:v>감축량 인증</x:v>
      </x:c>
      <x:c r="C1794" s="2" t="str">
        <x:v>국내</x:v>
      </x:c>
      <x:c r="D1794" s="7" t="str">
        <x:v>SF6 회수 및 재생사업</x:v>
      </x:c>
      <x:c r="E1794" s="2" t="str">
        <x:v>34</x:v>
      </x:c>
      <x:c r="F1794" s="2"/>
      <x:c r="G1794" s="2" t="str">
        <x:v>미확보</x:v>
      </x:c>
      <x:c r="H1794" s="2" t="str">
        <x:v>미확보</x:v>
      </x:c>
      <x:c r="I1794" s="2" t="str">
        <x:v>심의승인</x:v>
      </x:c>
      <x:c r="J1794" s="2" t="str">
        <x:v>심의승인</x:v>
      </x:c>
      <x:c r="K1794" s="2" t="str">
        <x:f>IF(OR(J1794="심의승인",J1794="반려",J1794="반려완료",J1794="심의완료"),"종결 표시",IF(OR(J1794="기후부협의",J1794="문서재제출요청",J1794="보류",J1794="보완요청",J1794="보완완료",J1794="평가중",J1794="반려요청",J1794="평가필요",LEFT(J1794,5)="보완요청("),"미종결 표시","상태 확인 필요"))</x:f>
        <x:v>종결 표시</x:v>
      </x:c>
      <x:c r="L1794" s="2"/>
      <x:c r="M1794" s="2"/>
      <x:c r="N1794" s="8"/>
      <x:c r="O1794" s="2"/>
      <x:c r="P1794" s="2"/>
      <x:c r="Q1794" s="2" t="str">
        <x:v>산업전환_외부사업관리Tool_260707_이너젠 수정_LJY_261013.xlsx</x:v>
      </x:c>
      <x:c r="R1794" s="2" t="str">
        <x:v>국내인증</x:v>
      </x:c>
      <x:c r="S1794" s="8" t="n">
        <x:v>112</x:v>
      </x:c>
      <x:c r="T1794" s="2"/>
      <x:c r="U1794" s="2" t="str"/>
      <x:c r="V1794" s="2" t="str">
        <x:v>2015-12-17</x:v>
      </x:c>
      <x:c r="W1794" s="2" t="str">
        <x:v>신청일 확인 / 담당기관 확인</x:v>
      </x:c>
      <x:c r="X1794" s="2" t="str">
        <x:v>원본·배정 기록 확인</x:v>
      </x:c>
      <x:c r="Y1794" s="2" t="str">
        <x:v>ad210cd9ec132cfd447541c8984dc53d30aff0f4fb2dc92d254d49275cc55976</x:v>
      </x:c>
      <x:c r="Z1794" s="2" t="n">
        <x:f>SUBTOTAL(103,A1794)</x:f>
        <x:v>1</x:v>
      </x:c>
      <x:c r="AA1794" s="2" t="str">
        <x:f>IF(K1794&lt;&gt;"미종결 표시","대상 아님",IF(N1794="","신청일 확인",IF(NOT(ISNUMBER('종합 현황'!$H$5)),"관찰기준 확인",IF('종합 현황'!$H$5&lt;1,"관찰기준 확인",IF(N1794&gt;'종합 현황'!$H$5,"내부 관찰 대상","내부 관찰일 이하")))))</x:f>
        <x:v>대상 아님</x:v>
      </x:c>
      <x:c r="AB1794" s="2"/>
    </x:row>
    <x:row r="1795" ht="42" customHeight="1">
      <x:c r="A1795" s="2" t="str">
        <x:v>0e9ab7a502e1a96eddbf4942</x:v>
      </x:c>
      <x:c r="B1795" s="2" t="str">
        <x:v>감축량 인증</x:v>
      </x:c>
      <x:c r="C1795" s="2" t="str">
        <x:v>국내</x:v>
      </x:c>
      <x:c r="D1795" s="7" t="str">
        <x:v>한국의 LCD 제조 과정의 SF6 방출 감축을 위한 사용점 감축설비</x:v>
      </x:c>
      <x:c r="E1795" s="2" t="str">
        <x:v>35</x:v>
      </x:c>
      <x:c r="F1795" s="2"/>
      <x:c r="G1795" s="2" t="str">
        <x:v>미확보</x:v>
      </x:c>
      <x:c r="H1795" s="2" t="str">
        <x:v>미확보</x:v>
      </x:c>
      <x:c r="I1795" s="2" t="str">
        <x:v>심의승인</x:v>
      </x:c>
      <x:c r="J1795" s="2" t="str">
        <x:v>심의승인</x:v>
      </x:c>
      <x:c r="K1795" s="2" t="str">
        <x:f>IF(OR(J1795="심의승인",J1795="반려",J1795="반려완료",J1795="심의완료"),"종결 표시",IF(OR(J1795="기후부협의",J1795="문서재제출요청",J1795="보류",J1795="보완요청",J1795="보완완료",J1795="평가중",J1795="반려요청",J1795="평가필요",LEFT(J1795,5)="보완요청("),"미종결 표시","상태 확인 필요"))</x:f>
        <x:v>종결 표시</x:v>
      </x:c>
      <x:c r="L1795" s="2"/>
      <x:c r="M1795" s="2"/>
      <x:c r="N1795" s="8"/>
      <x:c r="O1795" s="2"/>
      <x:c r="P1795" s="2"/>
      <x:c r="Q1795" s="2" t="str">
        <x:v>산업전환_외부사업관리Tool_260707_이너젠 수정_LJY_261013.xlsx</x:v>
      </x:c>
      <x:c r="R1795" s="2" t="str">
        <x:v>국내인증</x:v>
      </x:c>
      <x:c r="S1795" s="8" t="n">
        <x:v>113</x:v>
      </x:c>
      <x:c r="T1795" s="2"/>
      <x:c r="U1795" s="2" t="str"/>
      <x:c r="V1795" s="2" t="str">
        <x:v>2015-12-17</x:v>
      </x:c>
      <x:c r="W1795" s="2" t="str">
        <x:v>신청일 확인 / 담당기관 확인</x:v>
      </x:c>
      <x:c r="X1795" s="2" t="str">
        <x:v>원본·배정 기록 확인</x:v>
      </x:c>
      <x:c r="Y1795" s="2" t="str">
        <x:v>ad210cd9ec132cfd447541c8984dc53d30aff0f4fb2dc92d254d49275cc55976</x:v>
      </x:c>
      <x:c r="Z1795" s="2" t="n">
        <x:f>SUBTOTAL(103,A1795)</x:f>
        <x:v>1</x:v>
      </x:c>
      <x:c r="AA1795" s="2" t="str">
        <x:f>IF(K1795&lt;&gt;"미종결 표시","대상 아님",IF(N1795="","신청일 확인",IF(NOT(ISNUMBER('종합 현황'!$H$5)),"관찰기준 확인",IF('종합 현황'!$H$5&lt;1,"관찰기준 확인",IF(N1795&gt;'종합 현황'!$H$5,"내부 관찰 대상","내부 관찰일 이하")))))</x:f>
        <x:v>대상 아님</x:v>
      </x:c>
      <x:c r="AB1795" s="2"/>
    </x:row>
    <x:row r="1796" ht="42" customHeight="1">
      <x:c r="A1796" s="2" t="str">
        <x:v>5792a85e44d7fb1866353711</x:v>
      </x:c>
      <x:c r="B1796" s="2" t="str">
        <x:v>감축량 인증</x:v>
      </x:c>
      <x:c r="C1796" s="2" t="str">
        <x:v>국내</x:v>
      </x:c>
      <x:c r="D1796" s="7" t="str">
        <x:v>한국의 LCD 제조 과정의 SF6 방출 감축을 위한 사용점 감축설비</x:v>
      </x:c>
      <x:c r="E1796" s="2" t="str">
        <x:v>36</x:v>
      </x:c>
      <x:c r="F1796" s="2"/>
      <x:c r="G1796" s="2" t="str">
        <x:v>미확보</x:v>
      </x:c>
      <x:c r="H1796" s="2" t="str">
        <x:v>미확보</x:v>
      </x:c>
      <x:c r="I1796" s="2" t="str">
        <x:v>심의승인</x:v>
      </x:c>
      <x:c r="J1796" s="2" t="str">
        <x:v>심의승인</x:v>
      </x:c>
      <x:c r="K1796" s="2" t="str">
        <x:f>IF(OR(J1796="심의승인",J1796="반려",J1796="반려완료",J1796="심의완료"),"종결 표시",IF(OR(J1796="기후부협의",J1796="문서재제출요청",J1796="보류",J1796="보완요청",J1796="보완완료",J1796="평가중",J1796="반려요청",J1796="평가필요",LEFT(J1796,5)="보완요청("),"미종결 표시","상태 확인 필요"))</x:f>
        <x:v>종결 표시</x:v>
      </x:c>
      <x:c r="L1796" s="2"/>
      <x:c r="M1796" s="2"/>
      <x:c r="N1796" s="8"/>
      <x:c r="O1796" s="2"/>
      <x:c r="P1796" s="2"/>
      <x:c r="Q1796" s="2" t="str">
        <x:v>산업전환_외부사업관리Tool_260707_이너젠 수정_LJY_261013.xlsx</x:v>
      </x:c>
      <x:c r="R1796" s="2" t="str">
        <x:v>국내인증</x:v>
      </x:c>
      <x:c r="S1796" s="8" t="n">
        <x:v>114</x:v>
      </x:c>
      <x:c r="T1796" s="2"/>
      <x:c r="U1796" s="2" t="str"/>
      <x:c r="V1796" s="2" t="str">
        <x:v>2015-12-17</x:v>
      </x:c>
      <x:c r="W1796" s="2" t="str">
        <x:v>신청일 확인 / 담당기관 확인</x:v>
      </x:c>
      <x:c r="X1796" s="2" t="str">
        <x:v>원본·배정 기록 확인</x:v>
      </x:c>
      <x:c r="Y1796" s="2" t="str">
        <x:v>ad210cd9ec132cfd447541c8984dc53d30aff0f4fb2dc92d254d49275cc55976</x:v>
      </x:c>
      <x:c r="Z1796" s="2" t="n">
        <x:f>SUBTOTAL(103,A1796)</x:f>
        <x:v>1</x:v>
      </x:c>
      <x:c r="AA1796" s="2" t="str">
        <x:f>IF(K1796&lt;&gt;"미종결 표시","대상 아님",IF(N1796="","신청일 확인",IF(NOT(ISNUMBER('종합 현황'!$H$5)),"관찰기준 확인",IF('종합 현황'!$H$5&lt;1,"관찰기준 확인",IF(N1796&gt;'종합 현황'!$H$5,"내부 관찰 대상","내부 관찰일 이하")))))</x:f>
        <x:v>대상 아님</x:v>
      </x:c>
      <x:c r="AB1796" s="2"/>
    </x:row>
    <x:row r="1797" ht="42" customHeight="1">
      <x:c r="A1797" s="2" t="str">
        <x:v>b0c68c4c1b581e618d113294</x:v>
      </x:c>
      <x:c r="B1797" s="2" t="str">
        <x:v>감축량 인증</x:v>
      </x:c>
      <x:c r="C1797" s="2" t="str">
        <x:v>국내</x:v>
      </x:c>
      <x:c r="D1797" s="7" t="str">
        <x:v>한국의 LCD 제조 과정의 SF6 방출 감축을 위한 사용점 감축설비</x:v>
      </x:c>
      <x:c r="E1797" s="2" t="str">
        <x:v>37</x:v>
      </x:c>
      <x:c r="F1797" s="2"/>
      <x:c r="G1797" s="2" t="str">
        <x:v>미확보</x:v>
      </x:c>
      <x:c r="H1797" s="2" t="str">
        <x:v>미확보</x:v>
      </x:c>
      <x:c r="I1797" s="2" t="str">
        <x:v>심의승인</x:v>
      </x:c>
      <x:c r="J1797" s="2" t="str">
        <x:v>심의승인</x:v>
      </x:c>
      <x:c r="K1797" s="2" t="str">
        <x:f>IF(OR(J1797="심의승인",J1797="반려",J1797="반려완료",J1797="심의완료"),"종결 표시",IF(OR(J1797="기후부협의",J1797="문서재제출요청",J1797="보류",J1797="보완요청",J1797="보완완료",J1797="평가중",J1797="반려요청",J1797="평가필요",LEFT(J1797,5)="보완요청("),"미종결 표시","상태 확인 필요"))</x:f>
        <x:v>종결 표시</x:v>
      </x:c>
      <x:c r="L1797" s="2"/>
      <x:c r="M1797" s="2"/>
      <x:c r="N1797" s="8"/>
      <x:c r="O1797" s="2"/>
      <x:c r="P1797" s="2"/>
      <x:c r="Q1797" s="2" t="str">
        <x:v>산업전환_외부사업관리Tool_260707_이너젠 수정_LJY_261013.xlsx</x:v>
      </x:c>
      <x:c r="R1797" s="2" t="str">
        <x:v>국내인증</x:v>
      </x:c>
      <x:c r="S1797" s="8" t="n">
        <x:v>115</x:v>
      </x:c>
      <x:c r="T1797" s="2"/>
      <x:c r="U1797" s="2" t="str"/>
      <x:c r="V1797" s="2" t="str">
        <x:v>2015-12-17</x:v>
      </x:c>
      <x:c r="W1797" s="2" t="str">
        <x:v>신청일 확인 / 담당기관 확인</x:v>
      </x:c>
      <x:c r="X1797" s="2" t="str">
        <x:v>원본·배정 기록 확인</x:v>
      </x:c>
      <x:c r="Y1797" s="2" t="str">
        <x:v>ad210cd9ec132cfd447541c8984dc53d30aff0f4fb2dc92d254d49275cc55976</x:v>
      </x:c>
      <x:c r="Z1797" s="2" t="n">
        <x:f>SUBTOTAL(103,A1797)</x:f>
        <x:v>1</x:v>
      </x:c>
      <x:c r="AA1797" s="2" t="str">
        <x:f>IF(K1797&lt;&gt;"미종결 표시","대상 아님",IF(N1797="","신청일 확인",IF(NOT(ISNUMBER('종합 현황'!$H$5)),"관찰기준 확인",IF('종합 현황'!$H$5&lt;1,"관찰기준 확인",IF(N1797&gt;'종합 현황'!$H$5,"내부 관찰 대상","내부 관찰일 이하")))))</x:f>
        <x:v>대상 아님</x:v>
      </x:c>
      <x:c r="AB1797" s="2"/>
    </x:row>
    <x:row r="1798" ht="42" customHeight="1">
      <x:c r="A1798" s="2" t="str">
        <x:v>b3908cf0fefb1e183e76f583</x:v>
      </x:c>
      <x:c r="B1798" s="2" t="str">
        <x:v>감축량 인증</x:v>
      </x:c>
      <x:c r="C1798" s="2" t="str">
        <x:v>국내</x:v>
      </x:c>
      <x:c r="D1798" s="7" t="str">
        <x:v>한국의 LCD 제조 과정의 SF6 방출 감축을 위한 사용점 감축설비</x:v>
      </x:c>
      <x:c r="E1798" s="2" t="str">
        <x:v>38</x:v>
      </x:c>
      <x:c r="F1798" s="2"/>
      <x:c r="G1798" s="2" t="str">
        <x:v>미확보</x:v>
      </x:c>
      <x:c r="H1798" s="2" t="str">
        <x:v>미확보</x:v>
      </x:c>
      <x:c r="I1798" s="2" t="str">
        <x:v>심의승인</x:v>
      </x:c>
      <x:c r="J1798" s="2" t="str">
        <x:v>심의승인</x:v>
      </x:c>
      <x:c r="K1798" s="2" t="str">
        <x:f>IF(OR(J1798="심의승인",J1798="반려",J1798="반려완료",J1798="심의완료"),"종결 표시",IF(OR(J1798="기후부협의",J1798="문서재제출요청",J1798="보류",J1798="보완요청",J1798="보완완료",J1798="평가중",J1798="반려요청",J1798="평가필요",LEFT(J1798,5)="보완요청("),"미종결 표시","상태 확인 필요"))</x:f>
        <x:v>종결 표시</x:v>
      </x:c>
      <x:c r="L1798" s="2"/>
      <x:c r="M1798" s="2"/>
      <x:c r="N1798" s="8"/>
      <x:c r="O1798" s="2"/>
      <x:c r="P1798" s="2"/>
      <x:c r="Q1798" s="2" t="str">
        <x:v>산업전환_외부사업관리Tool_260707_이너젠 수정_LJY_261013.xlsx</x:v>
      </x:c>
      <x:c r="R1798" s="2" t="str">
        <x:v>국내인증</x:v>
      </x:c>
      <x:c r="S1798" s="8" t="n">
        <x:v>116</x:v>
      </x:c>
      <x:c r="T1798" s="2"/>
      <x:c r="U1798" s="2" t="str"/>
      <x:c r="V1798" s="2" t="str">
        <x:v>2015-12-17</x:v>
      </x:c>
      <x:c r="W1798" s="2" t="str">
        <x:v>신청일 확인 / 담당기관 확인</x:v>
      </x:c>
      <x:c r="X1798" s="2" t="str">
        <x:v>원본·배정 기록 확인</x:v>
      </x:c>
      <x:c r="Y1798" s="2" t="str">
        <x:v>ad210cd9ec132cfd447541c8984dc53d30aff0f4fb2dc92d254d49275cc55976</x:v>
      </x:c>
      <x:c r="Z1798" s="2" t="n">
        <x:f>SUBTOTAL(103,A1798)</x:f>
        <x:v>1</x:v>
      </x:c>
      <x:c r="AA1798" s="2" t="str">
        <x:f>IF(K1798&lt;&gt;"미종결 표시","대상 아님",IF(N1798="","신청일 확인",IF(NOT(ISNUMBER('종합 현황'!$H$5)),"관찰기준 확인",IF('종합 현황'!$H$5&lt;1,"관찰기준 확인",IF(N1798&gt;'종합 현황'!$H$5,"내부 관찰 대상","내부 관찰일 이하")))))</x:f>
        <x:v>대상 아님</x:v>
      </x:c>
      <x:c r="AB1798" s="2"/>
    </x:row>
    <x:row r="1799" ht="42" customHeight="1">
      <x:c r="A1799" s="2" t="str">
        <x:v>6b2edee88756255f5f8d15b3</x:v>
      </x:c>
      <x:c r="B1799" s="2" t="str">
        <x:v>감축량 인증</x:v>
      </x:c>
      <x:c r="C1799" s="2" t="str">
        <x:v>국내</x:v>
      </x:c>
      <x:c r="D1799" s="7" t="str">
        <x:v>한국의 LCD 제조 과정의 SF6 방출 감축을 위한 사용점 감축설비</x:v>
      </x:c>
      <x:c r="E1799" s="2" t="str">
        <x:v>39</x:v>
      </x:c>
      <x:c r="F1799" s="2"/>
      <x:c r="G1799" s="2" t="str">
        <x:v>미확보</x:v>
      </x:c>
      <x:c r="H1799" s="2" t="str">
        <x:v>미확보</x:v>
      </x:c>
      <x:c r="I1799" s="2" t="str">
        <x:v>심의승인</x:v>
      </x:c>
      <x:c r="J1799" s="2" t="str">
        <x:v>심의승인</x:v>
      </x:c>
      <x:c r="K1799" s="2" t="str">
        <x:f>IF(OR(J1799="심의승인",J1799="반려",J1799="반려완료",J1799="심의완료"),"종결 표시",IF(OR(J1799="기후부협의",J1799="문서재제출요청",J1799="보류",J1799="보완요청",J1799="보완완료",J1799="평가중",J1799="반려요청",J1799="평가필요",LEFT(J1799,5)="보완요청("),"미종결 표시","상태 확인 필요"))</x:f>
        <x:v>종결 표시</x:v>
      </x:c>
      <x:c r="L1799" s="2"/>
      <x:c r="M1799" s="2"/>
      <x:c r="N1799" s="8"/>
      <x:c r="O1799" s="2"/>
      <x:c r="P1799" s="2"/>
      <x:c r="Q1799" s="2" t="str">
        <x:v>산업전환_외부사업관리Tool_260707_이너젠 수정_LJY_261013.xlsx</x:v>
      </x:c>
      <x:c r="R1799" s="2" t="str">
        <x:v>국내인증</x:v>
      </x:c>
      <x:c r="S1799" s="8" t="n">
        <x:v>117</x:v>
      </x:c>
      <x:c r="T1799" s="2"/>
      <x:c r="U1799" s="2" t="str"/>
      <x:c r="V1799" s="2" t="str">
        <x:v>2015-12-17</x:v>
      </x:c>
      <x:c r="W1799" s="2" t="str">
        <x:v>신청일 확인 / 담당기관 확인</x:v>
      </x:c>
      <x:c r="X1799" s="2" t="str">
        <x:v>원본·배정 기록 확인</x:v>
      </x:c>
      <x:c r="Y1799" s="2" t="str">
        <x:v>ad210cd9ec132cfd447541c8984dc53d30aff0f4fb2dc92d254d49275cc55976</x:v>
      </x:c>
      <x:c r="Z1799" s="2" t="n">
        <x:f>SUBTOTAL(103,A1799)</x:f>
        <x:v>1</x:v>
      </x:c>
      <x:c r="AA1799" s="2" t="str">
        <x:f>IF(K1799&lt;&gt;"미종결 표시","대상 아님",IF(N1799="","신청일 확인",IF(NOT(ISNUMBER('종합 현황'!$H$5)),"관찰기준 확인",IF('종합 현황'!$H$5&lt;1,"관찰기준 확인",IF(N1799&gt;'종합 현황'!$H$5,"내부 관찰 대상","내부 관찰일 이하")))))</x:f>
        <x:v>대상 아님</x:v>
      </x:c>
      <x:c r="AB1799" s="2"/>
    </x:row>
    <x:row r="1800" ht="42" customHeight="1">
      <x:c r="A1800" s="2" t="str">
        <x:v>61d7b54716cd11aa67eb4562</x:v>
      </x:c>
      <x:c r="B1800" s="2" t="str">
        <x:v>감축량 인증</x:v>
      </x:c>
      <x:c r="C1800" s="2" t="str">
        <x:v>국내</x:v>
      </x:c>
      <x:c r="D1800" s="7" t="str">
        <x:v>한국의 LCD 제조 과정의 SF6 방출 감축을 위한 사용점 감축설비</x:v>
      </x:c>
      <x:c r="E1800" s="2" t="str">
        <x:v>40</x:v>
      </x:c>
      <x:c r="F1800" s="2"/>
      <x:c r="G1800" s="2" t="str">
        <x:v>미확보</x:v>
      </x:c>
      <x:c r="H1800" s="2" t="str">
        <x:v>미확보</x:v>
      </x:c>
      <x:c r="I1800" s="2" t="str">
        <x:v>심의승인</x:v>
      </x:c>
      <x:c r="J1800" s="2" t="str">
        <x:v>심의승인</x:v>
      </x:c>
      <x:c r="K1800" s="2" t="str">
        <x:f>IF(OR(J1800="심의승인",J1800="반려",J1800="반려완료",J1800="심의완료"),"종결 표시",IF(OR(J1800="기후부협의",J1800="문서재제출요청",J1800="보류",J1800="보완요청",J1800="보완완료",J1800="평가중",J1800="반려요청",J1800="평가필요",LEFT(J1800,5)="보완요청("),"미종결 표시","상태 확인 필요"))</x:f>
        <x:v>종결 표시</x:v>
      </x:c>
      <x:c r="L1800" s="2"/>
      <x:c r="M1800" s="2"/>
      <x:c r="N1800" s="8"/>
      <x:c r="O1800" s="2"/>
      <x:c r="P1800" s="2"/>
      <x:c r="Q1800" s="2" t="str">
        <x:v>산업전환_외부사업관리Tool_260707_이너젠 수정_LJY_261013.xlsx</x:v>
      </x:c>
      <x:c r="R1800" s="2" t="str">
        <x:v>국내인증</x:v>
      </x:c>
      <x:c r="S1800" s="8" t="n">
        <x:v>118</x:v>
      </x:c>
      <x:c r="T1800" s="2"/>
      <x:c r="U1800" s="2" t="str"/>
      <x:c r="V1800" s="2" t="str">
        <x:v>2015-12-17</x:v>
      </x:c>
      <x:c r="W1800" s="2" t="str">
        <x:v>신청일 확인 / 담당기관 확인</x:v>
      </x:c>
      <x:c r="X1800" s="2" t="str">
        <x:v>원본·배정 기록 확인</x:v>
      </x:c>
      <x:c r="Y1800" s="2" t="str">
        <x:v>ad210cd9ec132cfd447541c8984dc53d30aff0f4fb2dc92d254d49275cc55976</x:v>
      </x:c>
      <x:c r="Z1800" s="2" t="n">
        <x:f>SUBTOTAL(103,A1800)</x:f>
        <x:v>1</x:v>
      </x:c>
      <x:c r="AA1800" s="2" t="str">
        <x:f>IF(K1800&lt;&gt;"미종결 표시","대상 아님",IF(N1800="","신청일 확인",IF(NOT(ISNUMBER('종합 현황'!$H$5)),"관찰기준 확인",IF('종합 현황'!$H$5&lt;1,"관찰기준 확인",IF(N1800&gt;'종합 현황'!$H$5,"내부 관찰 대상","내부 관찰일 이하")))))</x:f>
        <x:v>대상 아님</x:v>
      </x:c>
      <x:c r="AB1800" s="2"/>
    </x:row>
    <x:row r="1801" ht="42" customHeight="1">
      <x:c r="A1801" s="2" t="str">
        <x:v>15a463a1b25647bc51bf89f3</x:v>
      </x:c>
      <x:c r="B1801" s="2" t="str">
        <x:v>감축량 인증</x:v>
      </x:c>
      <x:c r="C1801" s="2" t="str">
        <x:v>국내</x:v>
      </x:c>
      <x:c r="D1801" s="7" t="str">
        <x:v>휴켐스(주) 신설 5질산에서 발생하는 아산화질소 배출량 저감사업</x:v>
      </x:c>
      <x:c r="E1801" s="2" t="str">
        <x:v>41</x:v>
      </x:c>
      <x:c r="F1801" s="2"/>
      <x:c r="G1801" s="2" t="str">
        <x:v>미확보</x:v>
      </x:c>
      <x:c r="H1801" s="2" t="str">
        <x:v>미확보</x:v>
      </x:c>
      <x:c r="I1801" s="2" t="str">
        <x:v>심의승인</x:v>
      </x:c>
      <x:c r="J1801" s="2" t="str">
        <x:v>심의승인</x:v>
      </x:c>
      <x:c r="K1801" s="2" t="str">
        <x:f>IF(OR(J1801="심의승인",J1801="반려",J1801="반려완료",J1801="심의완료"),"종결 표시",IF(OR(J1801="기후부협의",J1801="문서재제출요청",J1801="보류",J1801="보완요청",J1801="보완완료",J1801="평가중",J1801="반려요청",J1801="평가필요",LEFT(J1801,5)="보완요청("),"미종결 표시","상태 확인 필요"))</x:f>
        <x:v>종결 표시</x:v>
      </x:c>
      <x:c r="L1801" s="2"/>
      <x:c r="M1801" s="2"/>
      <x:c r="N1801" s="8"/>
      <x:c r="O1801" s="2"/>
      <x:c r="P1801" s="2"/>
      <x:c r="Q1801" s="2" t="str">
        <x:v>산업전환_외부사업관리Tool_260707_이너젠 수정_LJY_261013.xlsx</x:v>
      </x:c>
      <x:c r="R1801" s="2" t="str">
        <x:v>국내인증</x:v>
      </x:c>
      <x:c r="S1801" s="8" t="n">
        <x:v>119</x:v>
      </x:c>
      <x:c r="T1801" s="2"/>
      <x:c r="U1801" s="2" t="str"/>
      <x:c r="V1801" s="2" t="str">
        <x:v>2015-12-17</x:v>
      </x:c>
      <x:c r="W1801" s="2" t="str">
        <x:v>신청일 확인 / 담당기관 확인</x:v>
      </x:c>
      <x:c r="X1801" s="2" t="str">
        <x:v>원본·배정 기록 확인</x:v>
      </x:c>
      <x:c r="Y1801" s="2" t="str">
        <x:v>ad210cd9ec132cfd447541c8984dc53d30aff0f4fb2dc92d254d49275cc55976</x:v>
      </x:c>
      <x:c r="Z1801" s="2" t="n">
        <x:f>SUBTOTAL(103,A1801)</x:f>
        <x:v>1</x:v>
      </x:c>
      <x:c r="AA1801" s="2" t="str">
        <x:f>IF(K1801&lt;&gt;"미종결 표시","대상 아님",IF(N1801="","신청일 확인",IF(NOT(ISNUMBER('종합 현황'!$H$5)),"관찰기준 확인",IF('종합 현황'!$H$5&lt;1,"관찰기준 확인",IF(N1801&gt;'종합 현황'!$H$5,"내부 관찰 대상","내부 관찰일 이하")))))</x:f>
        <x:v>대상 아님</x:v>
      </x:c>
      <x:c r="AB1801" s="2"/>
    </x:row>
    <x:row r="1802" ht="42" customHeight="1">
      <x:c r="A1802" s="2" t="str">
        <x:v>9a085cb9df29164facbe0b7e</x:v>
      </x:c>
      <x:c r="B1802" s="2" t="str">
        <x:v>감축량 인증</x:v>
      </x:c>
      <x:c r="C1802" s="2" t="str">
        <x:v>국내</x:v>
      </x:c>
      <x:c r="D1802" s="7" t="str">
        <x:v>시화호 조력발전 사업</x:v>
      </x:c>
      <x:c r="E1802" s="2" t="str">
        <x:v>42</x:v>
      </x:c>
      <x:c r="F1802" s="2"/>
      <x:c r="G1802" s="2" t="str">
        <x:v>미확보</x:v>
      </x:c>
      <x:c r="H1802" s="2" t="str">
        <x:v>미확보</x:v>
      </x:c>
      <x:c r="I1802" s="2" t="str">
        <x:v>심의승인</x:v>
      </x:c>
      <x:c r="J1802" s="2" t="str">
        <x:v>심의승인</x:v>
      </x:c>
      <x:c r="K1802" s="2" t="str">
        <x:f>IF(OR(J1802="심의승인",J1802="반려",J1802="반려완료",J1802="심의완료"),"종결 표시",IF(OR(J1802="기후부협의",J1802="문서재제출요청",J1802="보류",J1802="보완요청",J1802="보완완료",J1802="평가중",J1802="반려요청",J1802="평가필요",LEFT(J1802,5)="보완요청("),"미종결 표시","상태 확인 필요"))</x:f>
        <x:v>종결 표시</x:v>
      </x:c>
      <x:c r="L1802" s="2"/>
      <x:c r="M1802" s="2"/>
      <x:c r="N1802" s="8"/>
      <x:c r="O1802" s="2"/>
      <x:c r="P1802" s="2"/>
      <x:c r="Q1802" s="2" t="str">
        <x:v>산업전환_외부사업관리Tool_260707_이너젠 수정_LJY_261013.xlsx</x:v>
      </x:c>
      <x:c r="R1802" s="2" t="str">
        <x:v>국내인증</x:v>
      </x:c>
      <x:c r="S1802" s="8" t="n">
        <x:v>120</x:v>
      </x:c>
      <x:c r="T1802" s="2"/>
      <x:c r="U1802" s="2" t="str"/>
      <x:c r="V1802" s="2" t="str">
        <x:v>2015-12-17</x:v>
      </x:c>
      <x:c r="W1802" s="2" t="str">
        <x:v>신청일 확인 / 담당기관 확인</x:v>
      </x:c>
      <x:c r="X1802" s="2" t="str">
        <x:v>원본·배정 기록 확인</x:v>
      </x:c>
      <x:c r="Y1802" s="2" t="str">
        <x:v>ad210cd9ec132cfd447541c8984dc53d30aff0f4fb2dc92d254d49275cc55976</x:v>
      </x:c>
      <x:c r="Z1802" s="2" t="n">
        <x:f>SUBTOTAL(103,A1802)</x:f>
        <x:v>1</x:v>
      </x:c>
      <x:c r="AA1802" s="2" t="str">
        <x:f>IF(K1802&lt;&gt;"미종결 표시","대상 아님",IF(N1802="","신청일 확인",IF(NOT(ISNUMBER('종합 현황'!$H$5)),"관찰기준 확인",IF('종합 현황'!$H$5&lt;1,"관찰기준 확인",IF(N1802&gt;'종합 현황'!$H$5,"내부 관찰 대상","내부 관찰일 이하")))))</x:f>
        <x:v>대상 아님</x:v>
      </x:c>
      <x:c r="AB1802" s="2"/>
    </x:row>
    <x:row r="1803" ht="42" customHeight="1">
      <x:c r="A1803" s="2" t="str">
        <x:v>f95d19f46d0beb95b4ec230f</x:v>
      </x:c>
      <x:c r="B1803" s="2" t="str">
        <x:v>감축량 인증</x:v>
      </x:c>
      <x:c r="C1803" s="2" t="str">
        <x:v>국내</x:v>
      </x:c>
      <x:c r="D1803" s="7" t="str">
        <x:v>시화호 조력발전 사업</x:v>
      </x:c>
      <x:c r="E1803" s="2" t="str">
        <x:v>43</x:v>
      </x:c>
      <x:c r="F1803" s="2"/>
      <x:c r="G1803" s="2" t="str">
        <x:v>미확보</x:v>
      </x:c>
      <x:c r="H1803" s="2" t="str">
        <x:v>미확보</x:v>
      </x:c>
      <x:c r="I1803" s="2" t="str">
        <x:v>심의승인</x:v>
      </x:c>
      <x:c r="J1803" s="2" t="str">
        <x:v>심의승인</x:v>
      </x:c>
      <x:c r="K1803" s="2" t="str">
        <x:f>IF(OR(J1803="심의승인",J1803="반려",J1803="반려완료",J1803="심의완료"),"종결 표시",IF(OR(J1803="기후부협의",J1803="문서재제출요청",J1803="보류",J1803="보완요청",J1803="보완완료",J1803="평가중",J1803="반려요청",J1803="평가필요",LEFT(J1803,5)="보완요청("),"미종결 표시","상태 확인 필요"))</x:f>
        <x:v>종결 표시</x:v>
      </x:c>
      <x:c r="L1803" s="2"/>
      <x:c r="M1803" s="2"/>
      <x:c r="N1803" s="8"/>
      <x:c r="O1803" s="2"/>
      <x:c r="P1803" s="2"/>
      <x:c r="Q1803" s="2" t="str">
        <x:v>산업전환_외부사업관리Tool_260707_이너젠 수정_LJY_261013.xlsx</x:v>
      </x:c>
      <x:c r="R1803" s="2" t="str">
        <x:v>국내인증</x:v>
      </x:c>
      <x:c r="S1803" s="8" t="n">
        <x:v>121</x:v>
      </x:c>
      <x:c r="T1803" s="2"/>
      <x:c r="U1803" s="2" t="str"/>
      <x:c r="V1803" s="2" t="str">
        <x:v>2015-12-17</x:v>
      </x:c>
      <x:c r="W1803" s="2" t="str">
        <x:v>신청일 확인 / 담당기관 확인</x:v>
      </x:c>
      <x:c r="X1803" s="2" t="str">
        <x:v>원본·배정 기록 확인</x:v>
      </x:c>
      <x:c r="Y1803" s="2" t="str">
        <x:v>ad210cd9ec132cfd447541c8984dc53d30aff0f4fb2dc92d254d49275cc55976</x:v>
      </x:c>
      <x:c r="Z1803" s="2" t="n">
        <x:f>SUBTOTAL(103,A1803)</x:f>
        <x:v>1</x:v>
      </x:c>
      <x:c r="AA1803" s="2" t="str">
        <x:f>IF(K1803&lt;&gt;"미종결 표시","대상 아님",IF(N1803="","신청일 확인",IF(NOT(ISNUMBER('종합 현황'!$H$5)),"관찰기준 확인",IF('종합 현황'!$H$5&lt;1,"관찰기준 확인",IF(N1803&gt;'종합 현황'!$H$5,"내부 관찰 대상","내부 관찰일 이하")))))</x:f>
        <x:v>대상 아님</x:v>
      </x:c>
      <x:c r="AB1803" s="2"/>
    </x:row>
    <x:row r="1804" ht="42" customHeight="1">
      <x:c r="A1804" s="2" t="str">
        <x:v>fb08159c873b8ee6829bec5b</x:v>
      </x:c>
      <x:c r="B1804" s="2" t="str">
        <x:v>감축량 인증</x:v>
      </x:c>
      <x:c r="C1804" s="2" t="str">
        <x:v>국내</x:v>
      </x:c>
      <x:c r="D1804" s="7" t="str">
        <x:v>SF6 회수 및 재생사업</x:v>
      </x:c>
      <x:c r="E1804" s="2" t="str">
        <x:v>44</x:v>
      </x:c>
      <x:c r="F1804" s="2"/>
      <x:c r="G1804" s="2" t="str">
        <x:v>미확보</x:v>
      </x:c>
      <x:c r="H1804" s="2" t="str">
        <x:v>미확보</x:v>
      </x:c>
      <x:c r="I1804" s="2" t="str">
        <x:v>심의승인</x:v>
      </x:c>
      <x:c r="J1804" s="2" t="str">
        <x:v>심의승인</x:v>
      </x:c>
      <x:c r="K1804" s="2" t="str">
        <x:f>IF(OR(J1804="심의승인",J1804="반려",J1804="반려완료",J1804="심의완료"),"종결 표시",IF(OR(J1804="기후부협의",J1804="문서재제출요청",J1804="보류",J1804="보완요청",J1804="보완완료",J1804="평가중",J1804="반려요청",J1804="평가필요",LEFT(J1804,5)="보완요청("),"미종결 표시","상태 확인 필요"))</x:f>
        <x:v>종결 표시</x:v>
      </x:c>
      <x:c r="L1804" s="2"/>
      <x:c r="M1804" s="2"/>
      <x:c r="N1804" s="8"/>
      <x:c r="O1804" s="2"/>
      <x:c r="P1804" s="2"/>
      <x:c r="Q1804" s="2" t="str">
        <x:v>산업전환_외부사업관리Tool_260707_이너젠 수정_LJY_261013.xlsx</x:v>
      </x:c>
      <x:c r="R1804" s="2" t="str">
        <x:v>국내인증</x:v>
      </x:c>
      <x:c r="S1804" s="8" t="n">
        <x:v>122</x:v>
      </x:c>
      <x:c r="T1804" s="2"/>
      <x:c r="U1804" s="2" t="str"/>
      <x:c r="V1804" s="2" t="str">
        <x:v>2015-12-17</x:v>
      </x:c>
      <x:c r="W1804" s="2" t="str">
        <x:v>신청일 확인 / 담당기관 확인</x:v>
      </x:c>
      <x:c r="X1804" s="2" t="str">
        <x:v>원본·배정 기록 확인</x:v>
      </x:c>
      <x:c r="Y1804" s="2" t="str">
        <x:v>ad210cd9ec132cfd447541c8984dc53d30aff0f4fb2dc92d254d49275cc55976</x:v>
      </x:c>
      <x:c r="Z1804" s="2" t="n">
        <x:f>SUBTOTAL(103,A1804)</x:f>
        <x:v>1</x:v>
      </x:c>
      <x:c r="AA1804" s="2" t="str">
        <x:f>IF(K1804&lt;&gt;"미종결 표시","대상 아님",IF(N1804="","신청일 확인",IF(NOT(ISNUMBER('종합 현황'!$H$5)),"관찰기준 확인",IF('종합 현황'!$H$5&lt;1,"관찰기준 확인",IF(N1804&gt;'종합 현황'!$H$5,"내부 관찰 대상","내부 관찰일 이하")))))</x:f>
        <x:v>대상 아님</x:v>
      </x:c>
      <x:c r="AB1804" s="2"/>
    </x:row>
    <x:row r="1805" ht="42" customHeight="1">
      <x:c r="A1805" s="2" t="str">
        <x:v>7b23f02bdc68aca12f029079</x:v>
      </x:c>
      <x:c r="B1805" s="2" t="str">
        <x:v>감축량 인증</x:v>
      </x:c>
      <x:c r="C1805" s="2" t="str">
        <x:v>국내</x:v>
      </x:c>
      <x:c r="D1805" s="7" t="str">
        <x:v>SF6 회수 및 재생사업</x:v>
      </x:c>
      <x:c r="E1805" s="2" t="str">
        <x:v>45</x:v>
      </x:c>
      <x:c r="F1805" s="2"/>
      <x:c r="G1805" s="2" t="str">
        <x:v>미확보</x:v>
      </x:c>
      <x:c r="H1805" s="2" t="str">
        <x:v>미확보</x:v>
      </x:c>
      <x:c r="I1805" s="2" t="str">
        <x:v>심의승인</x:v>
      </x:c>
      <x:c r="J1805" s="2" t="str">
        <x:v>심의승인</x:v>
      </x:c>
      <x:c r="K1805" s="2" t="str">
        <x:f>IF(OR(J1805="심의승인",J1805="반려",J1805="반려완료",J1805="심의완료"),"종결 표시",IF(OR(J1805="기후부협의",J1805="문서재제출요청",J1805="보류",J1805="보완요청",J1805="보완완료",J1805="평가중",J1805="반려요청",J1805="평가필요",LEFT(J1805,5)="보완요청("),"미종결 표시","상태 확인 필요"))</x:f>
        <x:v>종결 표시</x:v>
      </x:c>
      <x:c r="L1805" s="2"/>
      <x:c r="M1805" s="2"/>
      <x:c r="N1805" s="8"/>
      <x:c r="O1805" s="2"/>
      <x:c r="P1805" s="2"/>
      <x:c r="Q1805" s="2" t="str">
        <x:v>산업전환_외부사업관리Tool_260707_이너젠 수정_LJY_261013.xlsx</x:v>
      </x:c>
      <x:c r="R1805" s="2" t="str">
        <x:v>국내인증</x:v>
      </x:c>
      <x:c r="S1805" s="8" t="n">
        <x:v>123</x:v>
      </x:c>
      <x:c r="T1805" s="2"/>
      <x:c r="U1805" s="2" t="str"/>
      <x:c r="V1805" s="2" t="str">
        <x:v>2015-12-17</x:v>
      </x:c>
      <x:c r="W1805" s="2" t="str">
        <x:v>신청일 확인 / 담당기관 확인</x:v>
      </x:c>
      <x:c r="X1805" s="2" t="str">
        <x:v>원본·배정 기록 확인</x:v>
      </x:c>
      <x:c r="Y1805" s="2" t="str">
        <x:v>ad210cd9ec132cfd447541c8984dc53d30aff0f4fb2dc92d254d49275cc55976</x:v>
      </x:c>
      <x:c r="Z1805" s="2" t="n">
        <x:f>SUBTOTAL(103,A1805)</x:f>
        <x:v>1</x:v>
      </x:c>
      <x:c r="AA1805" s="2" t="str">
        <x:f>IF(K1805&lt;&gt;"미종결 표시","대상 아님",IF(N1805="","신청일 확인",IF(NOT(ISNUMBER('종합 현황'!$H$5)),"관찰기준 확인",IF('종합 현황'!$H$5&lt;1,"관찰기준 확인",IF(N1805&gt;'종합 현황'!$H$5,"내부 관찰 대상","내부 관찰일 이하")))))</x:f>
        <x:v>대상 아님</x:v>
      </x:c>
      <x:c r="AB1805" s="2"/>
    </x:row>
    <x:row r="1806" ht="42" customHeight="1">
      <x:c r="A1806" s="2" t="str">
        <x:v>dadf1fa44f6b962135c23542</x:v>
      </x:c>
      <x:c r="B1806" s="2" t="str">
        <x:v>감축량 인증</x:v>
      </x:c>
      <x:c r="C1806" s="2" t="str">
        <x:v>국내</x:v>
      </x:c>
      <x:c r="D1806" s="7" t="str">
        <x:v>SF6 회수 및 재생사업</x:v>
      </x:c>
      <x:c r="E1806" s="2" t="str">
        <x:v>46</x:v>
      </x:c>
      <x:c r="F1806" s="2"/>
      <x:c r="G1806" s="2" t="str">
        <x:v>미확보</x:v>
      </x:c>
      <x:c r="H1806" s="2" t="str">
        <x:v>미확보</x:v>
      </x:c>
      <x:c r="I1806" s="2" t="str">
        <x:v>심의승인</x:v>
      </x:c>
      <x:c r="J1806" s="2" t="str">
        <x:v>심의승인</x:v>
      </x:c>
      <x:c r="K1806" s="2" t="str">
        <x:f>IF(OR(J1806="심의승인",J1806="반려",J1806="반려완료",J1806="심의완료"),"종결 표시",IF(OR(J1806="기후부협의",J1806="문서재제출요청",J1806="보류",J1806="보완요청",J1806="보완완료",J1806="평가중",J1806="반려요청",J1806="평가필요",LEFT(J1806,5)="보완요청("),"미종결 표시","상태 확인 필요"))</x:f>
        <x:v>종결 표시</x:v>
      </x:c>
      <x:c r="L1806" s="2"/>
      <x:c r="M1806" s="2"/>
      <x:c r="N1806" s="8"/>
      <x:c r="O1806" s="2"/>
      <x:c r="P1806" s="2"/>
      <x:c r="Q1806" s="2" t="str">
        <x:v>산업전환_외부사업관리Tool_260707_이너젠 수정_LJY_261013.xlsx</x:v>
      </x:c>
      <x:c r="R1806" s="2" t="str">
        <x:v>국내인증</x:v>
      </x:c>
      <x:c r="S1806" s="8" t="n">
        <x:v>124</x:v>
      </x:c>
      <x:c r="T1806" s="2"/>
      <x:c r="U1806" s="2" t="str"/>
      <x:c r="V1806" s="2" t="str">
        <x:v>2015-12-17</x:v>
      </x:c>
      <x:c r="W1806" s="2" t="str">
        <x:v>신청일 확인 / 담당기관 확인</x:v>
      </x:c>
      <x:c r="X1806" s="2" t="str">
        <x:v>원본·배정 기록 확인</x:v>
      </x:c>
      <x:c r="Y1806" s="2" t="str">
        <x:v>ad210cd9ec132cfd447541c8984dc53d30aff0f4fb2dc92d254d49275cc55976</x:v>
      </x:c>
      <x:c r="Z1806" s="2" t="n">
        <x:f>SUBTOTAL(103,A1806)</x:f>
        <x:v>1</x:v>
      </x:c>
      <x:c r="AA1806" s="2" t="str">
        <x:f>IF(K1806&lt;&gt;"미종결 표시","대상 아님",IF(N1806="","신청일 확인",IF(NOT(ISNUMBER('종합 현황'!$H$5)),"관찰기준 확인",IF('종합 현황'!$H$5&lt;1,"관찰기준 확인",IF(N1806&gt;'종합 현황'!$H$5,"내부 관찰 대상","내부 관찰일 이하")))))</x:f>
        <x:v>대상 아님</x:v>
      </x:c>
      <x:c r="AB1806" s="2"/>
    </x:row>
    <x:row r="1807" ht="42" customHeight="1">
      <x:c r="A1807" s="2" t="str">
        <x:v>2461aba0b4efd5dd1f01b985</x:v>
      </x:c>
      <x:c r="B1807" s="2" t="str">
        <x:v>감축량 인증</x:v>
      </x:c>
      <x:c r="C1807" s="2" t="str">
        <x:v>국내</x:v>
      </x:c>
      <x:c r="D1807" s="7" t="str">
        <x:v>지역난방용 온수보일러 연료전환 사업</x:v>
      </x:c>
      <x:c r="E1807" s="2" t="str">
        <x:v>47</x:v>
      </x:c>
      <x:c r="F1807" s="2"/>
      <x:c r="G1807" s="2" t="str">
        <x:v>미확보</x:v>
      </x:c>
      <x:c r="H1807" s="2" t="str">
        <x:v>미확보</x:v>
      </x:c>
      <x:c r="I1807" s="2" t="str">
        <x:v>심의승인</x:v>
      </x:c>
      <x:c r="J1807" s="2" t="str">
        <x:v>심의승인</x:v>
      </x:c>
      <x:c r="K1807" s="2" t="str">
        <x:f>IF(OR(J1807="심의승인",J1807="반려",J1807="반려완료",J1807="심의완료"),"종결 표시",IF(OR(J1807="기후부협의",J1807="문서재제출요청",J1807="보류",J1807="보완요청",J1807="보완완료",J1807="평가중",J1807="반려요청",J1807="평가필요",LEFT(J1807,5)="보완요청("),"미종결 표시","상태 확인 필요"))</x:f>
        <x:v>종결 표시</x:v>
      </x:c>
      <x:c r="L1807" s="2"/>
      <x:c r="M1807" s="2"/>
      <x:c r="N1807" s="8"/>
      <x:c r="O1807" s="2"/>
      <x:c r="P1807" s="2"/>
      <x:c r="Q1807" s="2" t="str">
        <x:v>산업전환_외부사업관리Tool_260707_이너젠 수정_LJY_261013.xlsx</x:v>
      </x:c>
      <x:c r="R1807" s="2" t="str">
        <x:v>국내인증</x:v>
      </x:c>
      <x:c r="S1807" s="8" t="n">
        <x:v>125</x:v>
      </x:c>
      <x:c r="T1807" s="2"/>
      <x:c r="U1807" s="2" t="str"/>
      <x:c r="V1807" s="2" t="str">
        <x:v>2015-12-17</x:v>
      </x:c>
      <x:c r="W1807" s="2" t="str">
        <x:v>신청일 확인 / 담당기관 확인</x:v>
      </x:c>
      <x:c r="X1807" s="2" t="str">
        <x:v>원본·배정 기록 확인</x:v>
      </x:c>
      <x:c r="Y1807" s="2" t="str">
        <x:v>ad210cd9ec132cfd447541c8984dc53d30aff0f4fb2dc92d254d49275cc55976</x:v>
      </x:c>
      <x:c r="Z1807" s="2" t="n">
        <x:f>SUBTOTAL(103,A1807)</x:f>
        <x:v>1</x:v>
      </x:c>
      <x:c r="AA1807" s="2" t="str">
        <x:f>IF(K1807&lt;&gt;"미종결 표시","대상 아님",IF(N1807="","신청일 확인",IF(NOT(ISNUMBER('종합 현황'!$H$5)),"관찰기준 확인",IF('종합 현황'!$H$5&lt;1,"관찰기준 확인",IF(N1807&gt;'종합 현황'!$H$5,"내부 관찰 대상","내부 관찰일 이하")))))</x:f>
        <x:v>대상 아님</x:v>
      </x:c>
      <x:c r="AB1807" s="2"/>
    </x:row>
    <x:row r="1808" ht="42" customHeight="1">
      <x:c r="A1808" s="2" t="str">
        <x:v>f9ad8c45047ef778115913f9</x:v>
      </x:c>
      <x:c r="B1808" s="2" t="str">
        <x:v>감축량 인증</x:v>
      </x:c>
      <x:c r="C1808" s="2" t="str">
        <x:v>국내</x:v>
      </x:c>
      <x:c r="D1808" s="7" t="str">
        <x:v>지역난방용 온수보일러 연료전환 사업</x:v>
      </x:c>
      <x:c r="E1808" s="2" t="str">
        <x:v>48</x:v>
      </x:c>
      <x:c r="F1808" s="2"/>
      <x:c r="G1808" s="2" t="str">
        <x:v>미확보</x:v>
      </x:c>
      <x:c r="H1808" s="2" t="str">
        <x:v>미확보</x:v>
      </x:c>
      <x:c r="I1808" s="2" t="str">
        <x:v>심의승인</x:v>
      </x:c>
      <x:c r="J1808" s="2" t="str">
        <x:v>심의승인</x:v>
      </x:c>
      <x:c r="K1808" s="2" t="str">
        <x:f>IF(OR(J1808="심의승인",J1808="반려",J1808="반려완료",J1808="심의완료"),"종결 표시",IF(OR(J1808="기후부협의",J1808="문서재제출요청",J1808="보류",J1808="보완요청",J1808="보완완료",J1808="평가중",J1808="반려요청",J1808="평가필요",LEFT(J1808,5)="보완요청("),"미종결 표시","상태 확인 필요"))</x:f>
        <x:v>종결 표시</x:v>
      </x:c>
      <x:c r="L1808" s="2"/>
      <x:c r="M1808" s="2"/>
      <x:c r="N1808" s="8"/>
      <x:c r="O1808" s="2"/>
      <x:c r="P1808" s="2"/>
      <x:c r="Q1808" s="2" t="str">
        <x:v>산업전환_외부사업관리Tool_260707_이너젠 수정_LJY_261013.xlsx</x:v>
      </x:c>
      <x:c r="R1808" s="2" t="str">
        <x:v>국내인증</x:v>
      </x:c>
      <x:c r="S1808" s="8" t="n">
        <x:v>126</x:v>
      </x:c>
      <x:c r="T1808" s="2"/>
      <x:c r="U1808" s="2" t="str"/>
      <x:c r="V1808" s="2" t="str">
        <x:v>2015-12-17</x:v>
      </x:c>
      <x:c r="W1808" s="2" t="str">
        <x:v>신청일 확인 / 담당기관 확인</x:v>
      </x:c>
      <x:c r="X1808" s="2" t="str">
        <x:v>원본·배정 기록 확인</x:v>
      </x:c>
      <x:c r="Y1808" s="2" t="str">
        <x:v>ad210cd9ec132cfd447541c8984dc53d30aff0f4fb2dc92d254d49275cc55976</x:v>
      </x:c>
      <x:c r="Z1808" s="2" t="n">
        <x:f>SUBTOTAL(103,A1808)</x:f>
        <x:v>1</x:v>
      </x:c>
      <x:c r="AA1808" s="2" t="str">
        <x:f>IF(K1808&lt;&gt;"미종결 표시","대상 아님",IF(N1808="","신청일 확인",IF(NOT(ISNUMBER('종합 현황'!$H$5)),"관찰기준 확인",IF('종합 현황'!$H$5&lt;1,"관찰기준 확인",IF(N1808&gt;'종합 현황'!$H$5,"내부 관찰 대상","내부 관찰일 이하")))))</x:f>
        <x:v>대상 아님</x:v>
      </x:c>
      <x:c r="AB1808" s="2"/>
    </x:row>
    <x:row r="1809" ht="42" customHeight="1">
      <x:c r="A1809" s="2" t="str">
        <x:v>f4d30b137ca9cfbea380e62b</x:v>
      </x:c>
      <x:c r="B1809" s="2" t="str">
        <x:v>감축량 인증</x:v>
      </x:c>
      <x:c r="C1809" s="2" t="str">
        <x:v>국내</x:v>
      </x:c>
      <x:c r="D1809" s="7" t="str">
        <x:v>지역난방용 온수보일러 연료전환 사업</x:v>
      </x:c>
      <x:c r="E1809" s="2" t="str">
        <x:v>49</x:v>
      </x:c>
      <x:c r="F1809" s="2"/>
      <x:c r="G1809" s="2" t="str">
        <x:v>미확보</x:v>
      </x:c>
      <x:c r="H1809" s="2" t="str">
        <x:v>미확보</x:v>
      </x:c>
      <x:c r="I1809" s="2" t="str">
        <x:v>심의승인</x:v>
      </x:c>
      <x:c r="J1809" s="2" t="str">
        <x:v>심의승인</x:v>
      </x:c>
      <x:c r="K1809" s="2" t="str">
        <x:f>IF(OR(J1809="심의승인",J1809="반려",J1809="반려완료",J1809="심의완료"),"종결 표시",IF(OR(J1809="기후부협의",J1809="문서재제출요청",J1809="보류",J1809="보완요청",J1809="보완완료",J1809="평가중",J1809="반려요청",J1809="평가필요",LEFT(J1809,5)="보완요청("),"미종결 표시","상태 확인 필요"))</x:f>
        <x:v>종결 표시</x:v>
      </x:c>
      <x:c r="L1809" s="2"/>
      <x:c r="M1809" s="2"/>
      <x:c r="N1809" s="8"/>
      <x:c r="O1809" s="2"/>
      <x:c r="P1809" s="2"/>
      <x:c r="Q1809" s="2" t="str">
        <x:v>산업전환_외부사업관리Tool_260707_이너젠 수정_LJY_261013.xlsx</x:v>
      </x:c>
      <x:c r="R1809" s="2" t="str">
        <x:v>국내인증</x:v>
      </x:c>
      <x:c r="S1809" s="8" t="n">
        <x:v>127</x:v>
      </x:c>
      <x:c r="T1809" s="2"/>
      <x:c r="U1809" s="2" t="str"/>
      <x:c r="V1809" s="2" t="str">
        <x:v>2015-12-17</x:v>
      </x:c>
      <x:c r="W1809" s="2" t="str">
        <x:v>신청일 확인 / 담당기관 확인</x:v>
      </x:c>
      <x:c r="X1809" s="2" t="str">
        <x:v>원본·배정 기록 확인</x:v>
      </x:c>
      <x:c r="Y1809" s="2" t="str">
        <x:v>ad210cd9ec132cfd447541c8984dc53d30aff0f4fb2dc92d254d49275cc55976</x:v>
      </x:c>
      <x:c r="Z1809" s="2" t="n">
        <x:f>SUBTOTAL(103,A1809)</x:f>
        <x:v>1</x:v>
      </x:c>
      <x:c r="AA1809" s="2" t="str">
        <x:f>IF(K1809&lt;&gt;"미종결 표시","대상 아님",IF(N1809="","신청일 확인",IF(NOT(ISNUMBER('종합 현황'!$H$5)),"관찰기준 확인",IF('종합 현황'!$H$5&lt;1,"관찰기준 확인",IF(N1809&gt;'종합 현황'!$H$5,"내부 관찰 대상","내부 관찰일 이하")))))</x:f>
        <x:v>대상 아님</x:v>
      </x:c>
      <x:c r="AB1809" s="2"/>
    </x:row>
    <x:row r="1810" ht="42" customHeight="1">
      <x:c r="A1810" s="2" t="str">
        <x:v>24d28b3659d2079024c84e45</x:v>
      </x:c>
      <x:c r="B1810" s="2" t="str">
        <x:v>감축량 인증</x:v>
      </x:c>
      <x:c r="C1810" s="2" t="str">
        <x:v>국내</x:v>
      </x:c>
      <x:c r="D1810" s="7" t="str">
        <x:v>(주)한화 울산소재 질산공장 N2O 감축 프로젝트</x:v>
      </x:c>
      <x:c r="E1810" s="2" t="str">
        <x:v>50</x:v>
      </x:c>
      <x:c r="F1810" s="2"/>
      <x:c r="G1810" s="2" t="str">
        <x:v>미확보</x:v>
      </x:c>
      <x:c r="H1810" s="2" t="str">
        <x:v>미확보</x:v>
      </x:c>
      <x:c r="I1810" s="2" t="str">
        <x:v>심의승인</x:v>
      </x:c>
      <x:c r="J1810" s="2" t="str">
        <x:v>심의승인</x:v>
      </x:c>
      <x:c r="K1810" s="2" t="str">
        <x:f>IF(OR(J1810="심의승인",J1810="반려",J1810="반려완료",J1810="심의완료"),"종결 표시",IF(OR(J1810="기후부협의",J1810="문서재제출요청",J1810="보류",J1810="보완요청",J1810="보완완료",J1810="평가중",J1810="반려요청",J1810="평가필요",LEFT(J1810,5)="보완요청("),"미종결 표시","상태 확인 필요"))</x:f>
        <x:v>종결 표시</x:v>
      </x:c>
      <x:c r="L1810" s="2"/>
      <x:c r="M1810" s="2"/>
      <x:c r="N1810" s="8"/>
      <x:c r="O1810" s="2"/>
      <x:c r="P1810" s="2"/>
      <x:c r="Q1810" s="2" t="str">
        <x:v>산업전환_외부사업관리Tool_260707_이너젠 수정_LJY_261013.xlsx</x:v>
      </x:c>
      <x:c r="R1810" s="2" t="str">
        <x:v>국내인증</x:v>
      </x:c>
      <x:c r="S1810" s="8" t="n">
        <x:v>128</x:v>
      </x:c>
      <x:c r="T1810" s="2"/>
      <x:c r="U1810" s="2" t="str"/>
      <x:c r="V1810" s="2" t="str">
        <x:v>2015-12-17</x:v>
      </x:c>
      <x:c r="W1810" s="2" t="str">
        <x:v>신청일 확인 / 담당기관 확인</x:v>
      </x:c>
      <x:c r="X1810" s="2" t="str">
        <x:v>원본·배정 기록 확인</x:v>
      </x:c>
      <x:c r="Y1810" s="2" t="str">
        <x:v>ad210cd9ec132cfd447541c8984dc53d30aff0f4fb2dc92d254d49275cc55976</x:v>
      </x:c>
      <x:c r="Z1810" s="2" t="n">
        <x:f>SUBTOTAL(103,A1810)</x:f>
        <x:v>1</x:v>
      </x:c>
      <x:c r="AA1810" s="2" t="str">
        <x:f>IF(K1810&lt;&gt;"미종결 표시","대상 아님",IF(N1810="","신청일 확인",IF(NOT(ISNUMBER('종합 현황'!$H$5)),"관찰기준 확인",IF('종합 현황'!$H$5&lt;1,"관찰기준 확인",IF(N1810&gt;'종합 현황'!$H$5,"내부 관찰 대상","내부 관찰일 이하")))))</x:f>
        <x:v>대상 아님</x:v>
      </x:c>
      <x:c r="AB1810" s="2"/>
    </x:row>
    <x:row r="1811" ht="42" customHeight="1">
      <x:c r="A1811" s="2" t="str">
        <x:v>5cfdffc3af6f031c8a7c8121</x:v>
      </x:c>
      <x:c r="B1811" s="2" t="str">
        <x:v>감축량 인증</x:v>
      </x:c>
      <x:c r="C1811" s="2" t="str">
        <x:v>국내</x:v>
      </x:c>
      <x:c r="D1811" s="7" t="str">
        <x:v>동부한농 질산공장 N2O 감축사업</x:v>
      </x:c>
      <x:c r="E1811" s="2" t="str">
        <x:v>51</x:v>
      </x:c>
      <x:c r="F1811" s="2"/>
      <x:c r="G1811" s="2" t="str">
        <x:v>미확보</x:v>
      </x:c>
      <x:c r="H1811" s="2" t="str">
        <x:v>미확보</x:v>
      </x:c>
      <x:c r="I1811" s="2" t="str">
        <x:v>심의승인</x:v>
      </x:c>
      <x:c r="J1811" s="2" t="str">
        <x:v>심의승인</x:v>
      </x:c>
      <x:c r="K1811" s="2" t="str">
        <x:f>IF(OR(J1811="심의승인",J1811="반려",J1811="반려완료",J1811="심의완료"),"종결 표시",IF(OR(J1811="기후부협의",J1811="문서재제출요청",J1811="보류",J1811="보완요청",J1811="보완완료",J1811="평가중",J1811="반려요청",J1811="평가필요",LEFT(J1811,5)="보완요청("),"미종결 표시","상태 확인 필요"))</x:f>
        <x:v>종결 표시</x:v>
      </x:c>
      <x:c r="L1811" s="2"/>
      <x:c r="M1811" s="2"/>
      <x:c r="N1811" s="8"/>
      <x:c r="O1811" s="2"/>
      <x:c r="P1811" s="2"/>
      <x:c r="Q1811" s="2" t="str">
        <x:v>산업전환_외부사업관리Tool_260707_이너젠 수정_LJY_261013.xlsx</x:v>
      </x:c>
      <x:c r="R1811" s="2" t="str">
        <x:v>국내인증</x:v>
      </x:c>
      <x:c r="S1811" s="8" t="n">
        <x:v>129</x:v>
      </x:c>
      <x:c r="T1811" s="2"/>
      <x:c r="U1811" s="2" t="str"/>
      <x:c r="V1811" s="2" t="str">
        <x:v>2016-02-19</x:v>
      </x:c>
      <x:c r="W1811" s="2" t="str">
        <x:v>신청일 확인 / 담당기관 확인</x:v>
      </x:c>
      <x:c r="X1811" s="2" t="str">
        <x:v>원본·배정 기록 확인</x:v>
      </x:c>
      <x:c r="Y1811" s="2" t="str">
        <x:v>ad210cd9ec132cfd447541c8984dc53d30aff0f4fb2dc92d254d49275cc55976</x:v>
      </x:c>
      <x:c r="Z1811" s="2" t="n">
        <x:f>SUBTOTAL(103,A1811)</x:f>
        <x:v>1</x:v>
      </x:c>
      <x:c r="AA1811" s="2" t="str">
        <x:f>IF(K1811&lt;&gt;"미종결 표시","대상 아님",IF(N1811="","신청일 확인",IF(NOT(ISNUMBER('종합 현황'!$H$5)),"관찰기준 확인",IF('종합 현황'!$H$5&lt;1,"관찰기준 확인",IF(N1811&gt;'종합 현황'!$H$5,"내부 관찰 대상","내부 관찰일 이하")))))</x:f>
        <x:v>대상 아님</x:v>
      </x:c>
      <x:c r="AB1811" s="2"/>
    </x:row>
    <x:row r="1812" ht="42" customHeight="1">
      <x:c r="A1812" s="2" t="str">
        <x:v>cb633a941ad414edaea3ccd5</x:v>
      </x:c>
      <x:c r="B1812" s="2" t="str">
        <x:v>감축량 인증</x:v>
      </x:c>
      <x:c r="C1812" s="2" t="str">
        <x:v>국내</x:v>
      </x:c>
      <x:c r="D1812" s="7" t="str">
        <x:v>카프로 N2O 저감 사업</x:v>
      </x:c>
      <x:c r="E1812" s="2" t="str">
        <x:v>52</x:v>
      </x:c>
      <x:c r="F1812" s="2"/>
      <x:c r="G1812" s="2" t="str">
        <x:v>미확보</x:v>
      </x:c>
      <x:c r="H1812" s="2" t="str">
        <x:v>미확보</x:v>
      </x:c>
      <x:c r="I1812" s="2" t="str">
        <x:v>심의승인</x:v>
      </x:c>
      <x:c r="J1812" s="2" t="str">
        <x:v>심의승인</x:v>
      </x:c>
      <x:c r="K1812" s="2" t="str">
        <x:f>IF(OR(J1812="심의승인",J1812="반려",J1812="반려완료",J1812="심의완료"),"종결 표시",IF(OR(J1812="기후부협의",J1812="문서재제출요청",J1812="보류",J1812="보완요청",J1812="보완완료",J1812="평가중",J1812="반려요청",J1812="평가필요",LEFT(J1812,5)="보완요청("),"미종결 표시","상태 확인 필요"))</x:f>
        <x:v>종결 표시</x:v>
      </x:c>
      <x:c r="L1812" s="2"/>
      <x:c r="M1812" s="2"/>
      <x:c r="N1812" s="8"/>
      <x:c r="O1812" s="2"/>
      <x:c r="P1812" s="2"/>
      <x:c r="Q1812" s="2" t="str">
        <x:v>산업전환_외부사업관리Tool_260707_이너젠 수정_LJY_261013.xlsx</x:v>
      </x:c>
      <x:c r="R1812" s="2" t="str">
        <x:v>국내인증</x:v>
      </x:c>
      <x:c r="S1812" s="8" t="n">
        <x:v>130</x:v>
      </x:c>
      <x:c r="T1812" s="2"/>
      <x:c r="U1812" s="2" t="str"/>
      <x:c r="V1812" s="2" t="str">
        <x:v>2016-03-17</x:v>
      </x:c>
      <x:c r="W1812" s="2" t="str">
        <x:v>신청일 확인 / 담당기관 확인</x:v>
      </x:c>
      <x:c r="X1812" s="2" t="str">
        <x:v>원본·배정 기록 확인</x:v>
      </x:c>
      <x:c r="Y1812" s="2" t="str">
        <x:v>ad210cd9ec132cfd447541c8984dc53d30aff0f4fb2dc92d254d49275cc55976</x:v>
      </x:c>
      <x:c r="Z1812" s="2" t="n">
        <x:f>SUBTOTAL(103,A1812)</x:f>
        <x:v>1</x:v>
      </x:c>
      <x:c r="AA1812" s="2" t="str">
        <x:f>IF(K1812&lt;&gt;"미종결 표시","대상 아님",IF(N1812="","신청일 확인",IF(NOT(ISNUMBER('종합 현황'!$H$5)),"관찰기준 확인",IF('종합 현황'!$H$5&lt;1,"관찰기준 확인",IF(N1812&gt;'종합 현황'!$H$5,"내부 관찰 대상","내부 관찰일 이하")))))</x:f>
        <x:v>대상 아님</x:v>
      </x:c>
      <x:c r="AB1812" s="2"/>
    </x:row>
    <x:row r="1813" ht="42" customHeight="1">
      <x:c r="A1813" s="2" t="str">
        <x:v>b492d582d10440adacdee827</x:v>
      </x:c>
      <x:c r="B1813" s="2" t="str">
        <x:v>감축량 인증</x:v>
      </x:c>
      <x:c r="C1813" s="2" t="str">
        <x:v>국내</x:v>
      </x:c>
      <x:c r="D1813" s="7" t="str">
        <x:v>카프로 N2O 저감 사업</x:v>
      </x:c>
      <x:c r="E1813" s="2" t="str">
        <x:v>53</x:v>
      </x:c>
      <x:c r="F1813" s="2"/>
      <x:c r="G1813" s="2" t="str">
        <x:v>미확보</x:v>
      </x:c>
      <x:c r="H1813" s="2" t="str">
        <x:v>미확보</x:v>
      </x:c>
      <x:c r="I1813" s="2" t="str">
        <x:v>심의승인</x:v>
      </x:c>
      <x:c r="J1813" s="2" t="str">
        <x:v>심의승인</x:v>
      </x:c>
      <x:c r="K1813" s="2" t="str">
        <x:f>IF(OR(J1813="심의승인",J1813="반려",J1813="반려완료",J1813="심의완료"),"종결 표시",IF(OR(J1813="기후부협의",J1813="문서재제출요청",J1813="보류",J1813="보완요청",J1813="보완완료",J1813="평가중",J1813="반려요청",J1813="평가필요",LEFT(J1813,5)="보완요청("),"미종결 표시","상태 확인 필요"))</x:f>
        <x:v>종결 표시</x:v>
      </x:c>
      <x:c r="L1813" s="2"/>
      <x:c r="M1813" s="2"/>
      <x:c r="N1813" s="8"/>
      <x:c r="O1813" s="2"/>
      <x:c r="P1813" s="2"/>
      <x:c r="Q1813" s="2" t="str">
        <x:v>산업전환_외부사업관리Tool_260707_이너젠 수정_LJY_261013.xlsx</x:v>
      </x:c>
      <x:c r="R1813" s="2" t="str">
        <x:v>국내인증</x:v>
      </x:c>
      <x:c r="S1813" s="8" t="n">
        <x:v>131</x:v>
      </x:c>
      <x:c r="T1813" s="2"/>
      <x:c r="U1813" s="2" t="str"/>
      <x:c r="V1813" s="2" t="str">
        <x:v>2016-03-17</x:v>
      </x:c>
      <x:c r="W1813" s="2" t="str">
        <x:v>신청일 확인 / 담당기관 확인</x:v>
      </x:c>
      <x:c r="X1813" s="2" t="str">
        <x:v>원본·배정 기록 확인</x:v>
      </x:c>
      <x:c r="Y1813" s="2" t="str">
        <x:v>ad210cd9ec132cfd447541c8984dc53d30aff0f4fb2dc92d254d49275cc55976</x:v>
      </x:c>
      <x:c r="Z1813" s="2" t="n">
        <x:f>SUBTOTAL(103,A1813)</x:f>
        <x:v>1</x:v>
      </x:c>
      <x:c r="AA1813" s="2" t="str">
        <x:f>IF(K1813&lt;&gt;"미종결 표시","대상 아님",IF(N1813="","신청일 확인",IF(NOT(ISNUMBER('종합 현황'!$H$5)),"관찰기준 확인",IF('종합 현황'!$H$5&lt;1,"관찰기준 확인",IF(N1813&gt;'종합 현황'!$H$5,"내부 관찰 대상","내부 관찰일 이하")))))</x:f>
        <x:v>대상 아님</x:v>
      </x:c>
      <x:c r="AB1813" s="2"/>
    </x:row>
    <x:row r="1814" ht="42" customHeight="1">
      <x:c r="A1814" s="2" t="str">
        <x:v>552c0d28267cb2c5b6a1f9ae</x:v>
      </x:c>
      <x:c r="B1814" s="2" t="str">
        <x:v>감축량 인증</x:v>
      </x:c>
      <x:c r="C1814" s="2" t="str">
        <x:v>국내</x:v>
      </x:c>
      <x:c r="D1814" s="7" t="str">
        <x:v>카프로 N2O 저감 사업</x:v>
      </x:c>
      <x:c r="E1814" s="2" t="str">
        <x:v>54</x:v>
      </x:c>
      <x:c r="F1814" s="2"/>
      <x:c r="G1814" s="2" t="str">
        <x:v>미확보</x:v>
      </x:c>
      <x:c r="H1814" s="2" t="str">
        <x:v>미확보</x:v>
      </x:c>
      <x:c r="I1814" s="2" t="str">
        <x:v>심의승인</x:v>
      </x:c>
      <x:c r="J1814" s="2" t="str">
        <x:v>심의승인</x:v>
      </x:c>
      <x:c r="K1814" s="2" t="str">
        <x:f>IF(OR(J1814="심의승인",J1814="반려",J1814="반려완료",J1814="심의완료"),"종결 표시",IF(OR(J1814="기후부협의",J1814="문서재제출요청",J1814="보류",J1814="보완요청",J1814="보완완료",J1814="평가중",J1814="반려요청",J1814="평가필요",LEFT(J1814,5)="보완요청("),"미종결 표시","상태 확인 필요"))</x:f>
        <x:v>종결 표시</x:v>
      </x:c>
      <x:c r="L1814" s="2"/>
      <x:c r="M1814" s="2"/>
      <x:c r="N1814" s="8"/>
      <x:c r="O1814" s="2"/>
      <x:c r="P1814" s="2"/>
      <x:c r="Q1814" s="2" t="str">
        <x:v>산업전환_외부사업관리Tool_260707_이너젠 수정_LJY_261013.xlsx</x:v>
      </x:c>
      <x:c r="R1814" s="2" t="str">
        <x:v>국내인증</x:v>
      </x:c>
      <x:c r="S1814" s="8" t="n">
        <x:v>132</x:v>
      </x:c>
      <x:c r="T1814" s="2"/>
      <x:c r="U1814" s="2" t="str"/>
      <x:c r="V1814" s="2" t="str">
        <x:v>2016-03-17</x:v>
      </x:c>
      <x:c r="W1814" s="2" t="str">
        <x:v>신청일 확인 / 담당기관 확인</x:v>
      </x:c>
      <x:c r="X1814" s="2" t="str">
        <x:v>원본·배정 기록 확인</x:v>
      </x:c>
      <x:c r="Y1814" s="2" t="str">
        <x:v>ad210cd9ec132cfd447541c8984dc53d30aff0f4fb2dc92d254d49275cc55976</x:v>
      </x:c>
      <x:c r="Z1814" s="2" t="n">
        <x:f>SUBTOTAL(103,A1814)</x:f>
        <x:v>1</x:v>
      </x:c>
      <x:c r="AA1814" s="2" t="str">
        <x:f>IF(K1814&lt;&gt;"미종결 표시","대상 아님",IF(N1814="","신청일 확인",IF(NOT(ISNUMBER('종합 현황'!$H$5)),"관찰기준 확인",IF('종합 현황'!$H$5&lt;1,"관찰기준 확인",IF(N1814&gt;'종합 현황'!$H$5,"내부 관찰 대상","내부 관찰일 이하")))))</x:f>
        <x:v>대상 아님</x:v>
      </x:c>
      <x:c r="AB1814" s="2"/>
    </x:row>
    <x:row r="1815" ht="42" customHeight="1">
      <x:c r="A1815" s="2" t="str">
        <x:v>ef854b18210958a6fa7bb12b</x:v>
      </x:c>
      <x:c r="B1815" s="2" t="str">
        <x:v>감축량 인증</x:v>
      </x:c>
      <x:c r="C1815" s="2" t="str">
        <x:v>국내</x:v>
      </x:c>
      <x:c r="D1815" s="7" t="str">
        <x:v>카프로 N2O 저감 사업</x:v>
      </x:c>
      <x:c r="E1815" s="2" t="str">
        <x:v>55</x:v>
      </x:c>
      <x:c r="F1815" s="2"/>
      <x:c r="G1815" s="2" t="str">
        <x:v>미확보</x:v>
      </x:c>
      <x:c r="H1815" s="2" t="str">
        <x:v>미확보</x:v>
      </x:c>
      <x:c r="I1815" s="2" t="str">
        <x:v>심의승인</x:v>
      </x:c>
      <x:c r="J1815" s="2" t="str">
        <x:v>심의승인</x:v>
      </x:c>
      <x:c r="K1815" s="2" t="str">
        <x:f>IF(OR(J1815="심의승인",J1815="반려",J1815="반려완료",J1815="심의완료"),"종결 표시",IF(OR(J1815="기후부협의",J1815="문서재제출요청",J1815="보류",J1815="보완요청",J1815="보완완료",J1815="평가중",J1815="반려요청",J1815="평가필요",LEFT(J1815,5)="보완요청("),"미종결 표시","상태 확인 필요"))</x:f>
        <x:v>종결 표시</x:v>
      </x:c>
      <x:c r="L1815" s="2"/>
      <x:c r="M1815" s="2"/>
      <x:c r="N1815" s="8"/>
      <x:c r="O1815" s="2"/>
      <x:c r="P1815" s="2"/>
      <x:c r="Q1815" s="2" t="str">
        <x:v>산업전환_외부사업관리Tool_260707_이너젠 수정_LJY_261013.xlsx</x:v>
      </x:c>
      <x:c r="R1815" s="2" t="str">
        <x:v>국내인증</x:v>
      </x:c>
      <x:c r="S1815" s="8" t="n">
        <x:v>133</x:v>
      </x:c>
      <x:c r="T1815" s="2"/>
      <x:c r="U1815" s="2" t="str"/>
      <x:c r="V1815" s="2" t="str">
        <x:v>2016-03-17</x:v>
      </x:c>
      <x:c r="W1815" s="2" t="str">
        <x:v>신청일 확인 / 담당기관 확인</x:v>
      </x:c>
      <x:c r="X1815" s="2" t="str">
        <x:v>원본·배정 기록 확인</x:v>
      </x:c>
      <x:c r="Y1815" s="2" t="str">
        <x:v>ad210cd9ec132cfd447541c8984dc53d30aff0f4fb2dc92d254d49275cc55976</x:v>
      </x:c>
      <x:c r="Z1815" s="2" t="n">
        <x:f>SUBTOTAL(103,A1815)</x:f>
        <x:v>1</x:v>
      </x:c>
      <x:c r="AA1815" s="2" t="str">
        <x:f>IF(K1815&lt;&gt;"미종결 표시","대상 아님",IF(N1815="","신청일 확인",IF(NOT(ISNUMBER('종합 현황'!$H$5)),"관찰기준 확인",IF('종합 현황'!$H$5&lt;1,"관찰기준 확인",IF(N1815&gt;'종합 현황'!$H$5,"내부 관찰 대상","내부 관찰일 이하")))))</x:f>
        <x:v>대상 아님</x:v>
      </x:c>
      <x:c r="AB1815" s="2"/>
    </x:row>
    <x:row r="1816" ht="42" customHeight="1">
      <x:c r="A1816" s="2" t="str">
        <x:v>3fcc6324674d979d15a68ac2</x:v>
      </x:c>
      <x:c r="B1816" s="2" t="str">
        <x:v>감축량 인증</x:v>
      </x:c>
      <x:c r="C1816" s="2" t="str">
        <x:v>국내</x:v>
      </x:c>
      <x:c r="D1816" s="7" t="str">
        <x:v>고창솔라파크 14.98MW 태양광발전 사업</x:v>
      </x:c>
      <x:c r="E1816" s="2" t="str">
        <x:v>56</x:v>
      </x:c>
      <x:c r="F1816" s="2"/>
      <x:c r="G1816" s="2" t="str">
        <x:v>미확보</x:v>
      </x:c>
      <x:c r="H1816" s="2" t="str">
        <x:v>미확보</x:v>
      </x:c>
      <x:c r="I1816" s="2" t="str">
        <x:v>심의승인</x:v>
      </x:c>
      <x:c r="J1816" s="2" t="str">
        <x:v>심의승인</x:v>
      </x:c>
      <x:c r="K1816" s="2" t="str">
        <x:f>IF(OR(J1816="심의승인",J1816="반려",J1816="반려완료",J1816="심의완료"),"종결 표시",IF(OR(J1816="기후부협의",J1816="문서재제출요청",J1816="보류",J1816="보완요청",J1816="보완완료",J1816="평가중",J1816="반려요청",J1816="평가필요",LEFT(J1816,5)="보완요청("),"미종결 표시","상태 확인 필요"))</x:f>
        <x:v>종결 표시</x:v>
      </x:c>
      <x:c r="L1816" s="2"/>
      <x:c r="M1816" s="2"/>
      <x:c r="N1816" s="8"/>
      <x:c r="O1816" s="2"/>
      <x:c r="P1816" s="2"/>
      <x:c r="Q1816" s="2" t="str">
        <x:v>산업전환_외부사업관리Tool_260707_이너젠 수정_LJY_261013.xlsx</x:v>
      </x:c>
      <x:c r="R1816" s="2" t="str">
        <x:v>국내인증</x:v>
      </x:c>
      <x:c r="S1816" s="8" t="n">
        <x:v>134</x:v>
      </x:c>
      <x:c r="T1816" s="2"/>
      <x:c r="U1816" s="2" t="str"/>
      <x:c r="V1816" s="2" t="str">
        <x:v>2016-03-17</x:v>
      </x:c>
      <x:c r="W1816" s="2" t="str">
        <x:v>신청일 확인 / 담당기관 확인</x:v>
      </x:c>
      <x:c r="X1816" s="2" t="str">
        <x:v>원본·배정 기록 확인</x:v>
      </x:c>
      <x:c r="Y1816" s="2" t="str">
        <x:v>ad210cd9ec132cfd447541c8984dc53d30aff0f4fb2dc92d254d49275cc55976</x:v>
      </x:c>
      <x:c r="Z1816" s="2" t="n">
        <x:f>SUBTOTAL(103,A1816)</x:f>
        <x:v>1</x:v>
      </x:c>
      <x:c r="AA1816" s="2" t="str">
        <x:f>IF(K1816&lt;&gt;"미종결 표시","대상 아님",IF(N1816="","신청일 확인",IF(NOT(ISNUMBER('종합 현황'!$H$5)),"관찰기준 확인",IF('종합 현황'!$H$5&lt;1,"관찰기준 확인",IF(N1816&gt;'종합 현황'!$H$5,"내부 관찰 대상","내부 관찰일 이하")))))</x:f>
        <x:v>대상 아님</x:v>
      </x:c>
      <x:c r="AB1816" s="2"/>
    </x:row>
    <x:row r="1817" ht="42" customHeight="1">
      <x:c r="A1817" s="2" t="str">
        <x:v>753836e511f2509502944243</x:v>
      </x:c>
      <x:c r="B1817" s="2" t="str">
        <x:v>감축량 인증</x:v>
      </x:c>
      <x:c r="C1817" s="2" t="str">
        <x:v>국내</x:v>
      </x:c>
      <x:c r="D1817" s="7" t="str">
        <x:v>시화호 조력발전 사업</x:v>
      </x:c>
      <x:c r="E1817" s="2" t="str">
        <x:v>57</x:v>
      </x:c>
      <x:c r="F1817" s="2"/>
      <x:c r="G1817" s="2" t="str">
        <x:v>미확보</x:v>
      </x:c>
      <x:c r="H1817" s="2" t="str">
        <x:v>미확보</x:v>
      </x:c>
      <x:c r="I1817" s="2" t="str">
        <x:v>심의승인</x:v>
      </x:c>
      <x:c r="J1817" s="2" t="str">
        <x:v>심의승인</x:v>
      </x:c>
      <x:c r="K1817" s="2" t="str">
        <x:f>IF(OR(J1817="심의승인",J1817="반려",J1817="반려완료",J1817="심의완료"),"종결 표시",IF(OR(J1817="기후부협의",J1817="문서재제출요청",J1817="보류",J1817="보완요청",J1817="보완완료",J1817="평가중",J1817="반려요청",J1817="평가필요",LEFT(J1817,5)="보완요청("),"미종결 표시","상태 확인 필요"))</x:f>
        <x:v>종결 표시</x:v>
      </x:c>
      <x:c r="L1817" s="2"/>
      <x:c r="M1817" s="2"/>
      <x:c r="N1817" s="8"/>
      <x:c r="O1817" s="2"/>
      <x:c r="P1817" s="2"/>
      <x:c r="Q1817" s="2" t="str">
        <x:v>산업전환_외부사업관리Tool_260707_이너젠 수정_LJY_261013.xlsx</x:v>
      </x:c>
      <x:c r="R1817" s="2" t="str">
        <x:v>국내인증</x:v>
      </x:c>
      <x:c r="S1817" s="8" t="n">
        <x:v>135</x:v>
      </x:c>
      <x:c r="T1817" s="2"/>
      <x:c r="U1817" s="2" t="str"/>
      <x:c r="V1817" s="2" t="str">
        <x:v>2016-03-17</x:v>
      </x:c>
      <x:c r="W1817" s="2" t="str">
        <x:v>신청일 확인 / 담당기관 확인</x:v>
      </x:c>
      <x:c r="X1817" s="2" t="str">
        <x:v>원본·배정 기록 확인</x:v>
      </x:c>
      <x:c r="Y1817" s="2" t="str">
        <x:v>ad210cd9ec132cfd447541c8984dc53d30aff0f4fb2dc92d254d49275cc55976</x:v>
      </x:c>
      <x:c r="Z1817" s="2" t="n">
        <x:f>SUBTOTAL(103,A1817)</x:f>
        <x:v>1</x:v>
      </x:c>
      <x:c r="AA1817" s="2" t="str">
        <x:f>IF(K1817&lt;&gt;"미종결 표시","대상 아님",IF(N1817="","신청일 확인",IF(NOT(ISNUMBER('종합 현황'!$H$5)),"관찰기준 확인",IF('종합 현황'!$H$5&lt;1,"관찰기준 확인",IF(N1817&gt;'종합 현황'!$H$5,"내부 관찰 대상","내부 관찰일 이하")))))</x:f>
        <x:v>대상 아님</x:v>
      </x:c>
      <x:c r="AB1817" s="2"/>
    </x:row>
    <x:row r="1818" ht="42" customHeight="1">
      <x:c r="A1818" s="2" t="str">
        <x:v>8fc2d9e7430dfc8ed84688af</x:v>
      </x:c>
      <x:c r="B1818" s="2" t="str">
        <x:v>감축량 인증</x:v>
      </x:c>
      <x:c r="C1818" s="2" t="str">
        <x:v>국내</x:v>
      </x:c>
      <x:c r="D1818" s="7" t="str">
        <x:v>삼성전자 SF6 저감 사업</x:v>
      </x:c>
      <x:c r="E1818" s="2" t="str">
        <x:v>58</x:v>
      </x:c>
      <x:c r="F1818" s="2"/>
      <x:c r="G1818" s="2" t="str">
        <x:v>미확보</x:v>
      </x:c>
      <x:c r="H1818" s="2" t="str">
        <x:v>미확보</x:v>
      </x:c>
      <x:c r="I1818" s="2" t="str">
        <x:v>심의승인</x:v>
      </x:c>
      <x:c r="J1818" s="2" t="str">
        <x:v>심의승인</x:v>
      </x:c>
      <x:c r="K1818" s="2" t="str">
        <x:f>IF(OR(J1818="심의승인",J1818="반려",J1818="반려완료",J1818="심의완료"),"종결 표시",IF(OR(J1818="기후부협의",J1818="문서재제출요청",J1818="보류",J1818="보완요청",J1818="보완완료",J1818="평가중",J1818="반려요청",J1818="평가필요",LEFT(J1818,5)="보완요청("),"미종결 표시","상태 확인 필요"))</x:f>
        <x:v>종결 표시</x:v>
      </x:c>
      <x:c r="L1818" s="2"/>
      <x:c r="M1818" s="2"/>
      <x:c r="N1818" s="8"/>
      <x:c r="O1818" s="2"/>
      <x:c r="P1818" s="2"/>
      <x:c r="Q1818" s="2" t="str">
        <x:v>산업전환_외부사업관리Tool_260707_이너젠 수정_LJY_261013.xlsx</x:v>
      </x:c>
      <x:c r="R1818" s="2" t="str">
        <x:v>국내인증</x:v>
      </x:c>
      <x:c r="S1818" s="8" t="n">
        <x:v>136</x:v>
      </x:c>
      <x:c r="T1818" s="2"/>
      <x:c r="U1818" s="2" t="str"/>
      <x:c r="V1818" s="2" t="str">
        <x:v>2016-03-17</x:v>
      </x:c>
      <x:c r="W1818" s="2" t="str">
        <x:v>신청일 확인 / 담당기관 확인</x:v>
      </x:c>
      <x:c r="X1818" s="2" t="str">
        <x:v>원본·배정 기록 확인</x:v>
      </x:c>
      <x:c r="Y1818" s="2" t="str">
        <x:v>ad210cd9ec132cfd447541c8984dc53d30aff0f4fb2dc92d254d49275cc55976</x:v>
      </x:c>
      <x:c r="Z1818" s="2" t="n">
        <x:f>SUBTOTAL(103,A1818)</x:f>
        <x:v>1</x:v>
      </x:c>
      <x:c r="AA1818" s="2" t="str">
        <x:f>IF(K1818&lt;&gt;"미종결 표시","대상 아님",IF(N1818="","신청일 확인",IF(NOT(ISNUMBER('종합 현황'!$H$5)),"관찰기준 확인",IF('종합 현황'!$H$5&lt;1,"관찰기준 확인",IF(N1818&gt;'종합 현황'!$H$5,"내부 관찰 대상","내부 관찰일 이하")))))</x:f>
        <x:v>대상 아님</x:v>
      </x:c>
      <x:c r="AB1818" s="2"/>
    </x:row>
    <x:row r="1819" ht="42" customHeight="1">
      <x:c r="A1819" s="2" t="str">
        <x:v>7a585dec3c602c55591eb84f</x:v>
      </x:c>
      <x:c r="B1819" s="2" t="str">
        <x:v>감축량 인증</x:v>
      </x:c>
      <x:c r="C1819" s="2" t="str">
        <x:v>국내</x:v>
      </x:c>
      <x:c r="D1819" s="7" t="str">
        <x:v>한국의 LCD제조 과정의 SF6 방출 감축을 위한 사용점 감축 설비</x:v>
      </x:c>
      <x:c r="E1819" s="2" t="str">
        <x:v>59</x:v>
      </x:c>
      <x:c r="F1819" s="2"/>
      <x:c r="G1819" s="2" t="str">
        <x:v>미확보</x:v>
      </x:c>
      <x:c r="H1819" s="2" t="str">
        <x:v>미확보</x:v>
      </x:c>
      <x:c r="I1819" s="2" t="str">
        <x:v>심의승인</x:v>
      </x:c>
      <x:c r="J1819" s="2" t="str">
        <x:v>심의승인</x:v>
      </x:c>
      <x:c r="K1819" s="2" t="str">
        <x:f>IF(OR(J1819="심의승인",J1819="반려",J1819="반려완료",J1819="심의완료"),"종결 표시",IF(OR(J1819="기후부협의",J1819="문서재제출요청",J1819="보류",J1819="보완요청",J1819="보완완료",J1819="평가중",J1819="반려요청",J1819="평가필요",LEFT(J1819,5)="보완요청("),"미종결 표시","상태 확인 필요"))</x:f>
        <x:v>종결 표시</x:v>
      </x:c>
      <x:c r="L1819" s="2"/>
      <x:c r="M1819" s="2"/>
      <x:c r="N1819" s="8"/>
      <x:c r="O1819" s="2"/>
      <x:c r="P1819" s="2"/>
      <x:c r="Q1819" s="2" t="str">
        <x:v>산업전환_외부사업관리Tool_260707_이너젠 수정_LJY_261013.xlsx</x:v>
      </x:c>
      <x:c r="R1819" s="2" t="str">
        <x:v>국내인증</x:v>
      </x:c>
      <x:c r="S1819" s="8" t="n">
        <x:v>137</x:v>
      </x:c>
      <x:c r="T1819" s="2"/>
      <x:c r="U1819" s="2" t="str"/>
      <x:c r="V1819" s="2" t="str">
        <x:v>2016-03-17</x:v>
      </x:c>
      <x:c r="W1819" s="2" t="str">
        <x:v>신청일 확인 / 담당기관 확인</x:v>
      </x:c>
      <x:c r="X1819" s="2" t="str">
        <x:v>원본·배정 기록 확인</x:v>
      </x:c>
      <x:c r="Y1819" s="2" t="str">
        <x:v>ad210cd9ec132cfd447541c8984dc53d30aff0f4fb2dc92d254d49275cc55976</x:v>
      </x:c>
      <x:c r="Z1819" s="2" t="n">
        <x:f>SUBTOTAL(103,A1819)</x:f>
        <x:v>1</x:v>
      </x:c>
      <x:c r="AA1819" s="2" t="str">
        <x:f>IF(K1819&lt;&gt;"미종결 표시","대상 아님",IF(N1819="","신청일 확인",IF(NOT(ISNUMBER('종합 현황'!$H$5)),"관찰기준 확인",IF('종합 현황'!$H$5&lt;1,"관찰기준 확인",IF(N1819&gt;'종합 현황'!$H$5,"내부 관찰 대상","내부 관찰일 이하")))))</x:f>
        <x:v>대상 아님</x:v>
      </x:c>
      <x:c r="AB1819" s="2"/>
    </x:row>
    <x:row r="1820" ht="42" customHeight="1">
      <x:c r="A1820" s="2" t="str">
        <x:v>e66703aa1997a89058f7cc9d</x:v>
      </x:c>
      <x:c r="B1820" s="2" t="str">
        <x:v>감축량 인증</x:v>
      </x:c>
      <x:c r="C1820" s="2" t="str">
        <x:v>국내</x:v>
      </x:c>
      <x:c r="D1820" s="7" t="str">
        <x:v>시화호 조력발전 사업</x:v>
      </x:c>
      <x:c r="E1820" s="2" t="str">
        <x:v>60</x:v>
      </x:c>
      <x:c r="F1820" s="2"/>
      <x:c r="G1820" s="2" t="str">
        <x:v>미확보</x:v>
      </x:c>
      <x:c r="H1820" s="2" t="str">
        <x:v>미확보</x:v>
      </x:c>
      <x:c r="I1820" s="2" t="str">
        <x:v>심의승인</x:v>
      </x:c>
      <x:c r="J1820" s="2" t="str">
        <x:v>심의승인</x:v>
      </x:c>
      <x:c r="K1820" s="2" t="str">
        <x:f>IF(OR(J1820="심의승인",J1820="반려",J1820="반려완료",J1820="심의완료"),"종결 표시",IF(OR(J1820="기후부협의",J1820="문서재제출요청",J1820="보류",J1820="보완요청",J1820="보완완료",J1820="평가중",J1820="반려요청",J1820="평가필요",LEFT(J1820,5)="보완요청("),"미종결 표시","상태 확인 필요"))</x:f>
        <x:v>종결 표시</x:v>
      </x:c>
      <x:c r="L1820" s="2"/>
      <x:c r="M1820" s="2"/>
      <x:c r="N1820" s="8"/>
      <x:c r="O1820" s="2"/>
      <x:c r="P1820" s="2"/>
      <x:c r="Q1820" s="2" t="str">
        <x:v>산업전환_외부사업관리Tool_260707_이너젠 수정_LJY_261013.xlsx</x:v>
      </x:c>
      <x:c r="R1820" s="2" t="str">
        <x:v>국내인증</x:v>
      </x:c>
      <x:c r="S1820" s="8" t="n">
        <x:v>138</x:v>
      </x:c>
      <x:c r="T1820" s="2"/>
      <x:c r="U1820" s="2" t="str"/>
      <x:c r="V1820" s="2" t="str">
        <x:v>2016-03-17</x:v>
      </x:c>
      <x:c r="W1820" s="2" t="str">
        <x:v>신청일 확인 / 담당기관 확인</x:v>
      </x:c>
      <x:c r="X1820" s="2" t="str">
        <x:v>원본·배정 기록 확인</x:v>
      </x:c>
      <x:c r="Y1820" s="2" t="str">
        <x:v>ad210cd9ec132cfd447541c8984dc53d30aff0f4fb2dc92d254d49275cc55976</x:v>
      </x:c>
      <x:c r="Z1820" s="2" t="n">
        <x:f>SUBTOTAL(103,A1820)</x:f>
        <x:v>1</x:v>
      </x:c>
      <x:c r="AA1820" s="2" t="str">
        <x:f>IF(K1820&lt;&gt;"미종결 표시","대상 아님",IF(N1820="","신청일 확인",IF(NOT(ISNUMBER('종합 현황'!$H$5)),"관찰기준 확인",IF('종합 현황'!$H$5&lt;1,"관찰기준 확인",IF(N1820&gt;'종합 현황'!$H$5,"내부 관찰 대상","내부 관찰일 이하")))))</x:f>
        <x:v>대상 아님</x:v>
      </x:c>
      <x:c r="AB1820" s="2"/>
    </x:row>
    <x:row r="1821" ht="42" customHeight="1">
      <x:c r="A1821" s="2" t="str">
        <x:v>9714fa09748e850e5275d358</x:v>
      </x:c>
      <x:c r="B1821" s="2" t="str">
        <x:v>감축량 인증</x:v>
      </x:c>
      <x:c r="C1821" s="2" t="str">
        <x:v>국내</x:v>
      </x:c>
      <x:c r="D1821" s="7" t="str">
        <x:v>한국의 LCD제조 과정의 SF6 방출 감축을 위한 사용점 감축 설비</x:v>
      </x:c>
      <x:c r="E1821" s="2" t="str">
        <x:v>61</x:v>
      </x:c>
      <x:c r="F1821" s="2"/>
      <x:c r="G1821" s="2" t="str">
        <x:v>미확보</x:v>
      </x:c>
      <x:c r="H1821" s="2" t="str">
        <x:v>미확보</x:v>
      </x:c>
      <x:c r="I1821" s="2" t="str">
        <x:v>심의승인</x:v>
      </x:c>
      <x:c r="J1821" s="2" t="str">
        <x:v>심의승인</x:v>
      </x:c>
      <x:c r="K1821" s="2" t="str">
        <x:f>IF(OR(J1821="심의승인",J1821="반려",J1821="반려완료",J1821="심의완료"),"종결 표시",IF(OR(J1821="기후부협의",J1821="문서재제출요청",J1821="보류",J1821="보완요청",J1821="보완완료",J1821="평가중",J1821="반려요청",J1821="평가필요",LEFT(J1821,5)="보완요청("),"미종결 표시","상태 확인 필요"))</x:f>
        <x:v>종결 표시</x:v>
      </x:c>
      <x:c r="L1821" s="2"/>
      <x:c r="M1821" s="2"/>
      <x:c r="N1821" s="8"/>
      <x:c r="O1821" s="2"/>
      <x:c r="P1821" s="2"/>
      <x:c r="Q1821" s="2" t="str">
        <x:v>산업전환_외부사업관리Tool_260707_이너젠 수정_LJY_261013.xlsx</x:v>
      </x:c>
      <x:c r="R1821" s="2" t="str">
        <x:v>국내인증</x:v>
      </x:c>
      <x:c r="S1821" s="8" t="n">
        <x:v>139</x:v>
      </x:c>
      <x:c r="T1821" s="2"/>
      <x:c r="U1821" s="2" t="str"/>
      <x:c r="V1821" s="2" t="str">
        <x:v>2016-03-17</x:v>
      </x:c>
      <x:c r="W1821" s="2" t="str">
        <x:v>신청일 확인 / 담당기관 확인</x:v>
      </x:c>
      <x:c r="X1821" s="2" t="str">
        <x:v>원본·배정 기록 확인</x:v>
      </x:c>
      <x:c r="Y1821" s="2" t="str">
        <x:v>ad210cd9ec132cfd447541c8984dc53d30aff0f4fb2dc92d254d49275cc55976</x:v>
      </x:c>
      <x:c r="Z1821" s="2" t="n">
        <x:f>SUBTOTAL(103,A1821)</x:f>
        <x:v>1</x:v>
      </x:c>
      <x:c r="AA1821" s="2" t="str">
        <x:f>IF(K1821&lt;&gt;"미종결 표시","대상 아님",IF(N1821="","신청일 확인",IF(NOT(ISNUMBER('종합 현황'!$H$5)),"관찰기준 확인",IF('종합 현황'!$H$5&lt;1,"관찰기준 확인",IF(N1821&gt;'종합 현황'!$H$5,"내부 관찰 대상","내부 관찰일 이하")))))</x:f>
        <x:v>대상 아님</x:v>
      </x:c>
      <x:c r="AB1821" s="2"/>
    </x:row>
    <x:row r="1822" ht="42" customHeight="1">
      <x:c r="A1822" s="2" t="str">
        <x:v>754f7fdaa623e232d3c5bf24</x:v>
      </x:c>
      <x:c r="B1822" s="2" t="str">
        <x:v>감축량 인증</x:v>
      </x:c>
      <x:c r="C1822" s="2" t="str">
        <x:v>국내</x:v>
      </x:c>
      <x:c r="D1822" s="7" t="str">
        <x:v>휴켐스(주) 신설 5질산에서 발생하는 아산화질소 배출량 저감사업</x:v>
      </x:c>
      <x:c r="E1822" s="2" t="str">
        <x:v>62</x:v>
      </x:c>
      <x:c r="F1822" s="2"/>
      <x:c r="G1822" s="2" t="str">
        <x:v>미확보</x:v>
      </x:c>
      <x:c r="H1822" s="2" t="str">
        <x:v>미확보</x:v>
      </x:c>
      <x:c r="I1822" s="2" t="str">
        <x:v>심의승인</x:v>
      </x:c>
      <x:c r="J1822" s="2" t="str">
        <x:v>심의승인</x:v>
      </x:c>
      <x:c r="K1822" s="2" t="str">
        <x:f>IF(OR(J1822="심의승인",J1822="반려",J1822="반려완료",J1822="심의완료"),"종결 표시",IF(OR(J1822="기후부협의",J1822="문서재제출요청",J1822="보류",J1822="보완요청",J1822="보완완료",J1822="평가중",J1822="반려요청",J1822="평가필요",LEFT(J1822,5)="보완요청("),"미종결 표시","상태 확인 필요"))</x:f>
        <x:v>종결 표시</x:v>
      </x:c>
      <x:c r="L1822" s="2"/>
      <x:c r="M1822" s="2"/>
      <x:c r="N1822" s="8"/>
      <x:c r="O1822" s="2"/>
      <x:c r="P1822" s="2"/>
      <x:c r="Q1822" s="2" t="str">
        <x:v>산업전환_외부사업관리Tool_260707_이너젠 수정_LJY_261013.xlsx</x:v>
      </x:c>
      <x:c r="R1822" s="2" t="str">
        <x:v>국내인증</x:v>
      </x:c>
      <x:c r="S1822" s="8" t="n">
        <x:v>140</x:v>
      </x:c>
      <x:c r="T1822" s="2"/>
      <x:c r="U1822" s="2" t="str"/>
      <x:c r="V1822" s="2" t="str">
        <x:v>2016-03-17</x:v>
      </x:c>
      <x:c r="W1822" s="2" t="str">
        <x:v>신청일 확인 / 담당기관 확인</x:v>
      </x:c>
      <x:c r="X1822" s="2" t="str">
        <x:v>원본·배정 기록 확인</x:v>
      </x:c>
      <x:c r="Y1822" s="2" t="str">
        <x:v>ad210cd9ec132cfd447541c8984dc53d30aff0f4fb2dc92d254d49275cc55976</x:v>
      </x:c>
      <x:c r="Z1822" s="2" t="n">
        <x:f>SUBTOTAL(103,A1822)</x:f>
        <x:v>1</x:v>
      </x:c>
      <x:c r="AA1822" s="2" t="str">
        <x:f>IF(K1822&lt;&gt;"미종결 표시","대상 아님",IF(N1822="","신청일 확인",IF(NOT(ISNUMBER('종합 현황'!$H$5)),"관찰기준 확인",IF('종합 현황'!$H$5&lt;1,"관찰기준 확인",IF(N1822&gt;'종합 현황'!$H$5,"내부 관찰 대상","내부 관찰일 이하")))))</x:f>
        <x:v>대상 아님</x:v>
      </x:c>
      <x:c r="AB1822" s="2"/>
    </x:row>
    <x:row r="1823" ht="42" customHeight="1">
      <x:c r="A1823" s="2" t="str">
        <x:v>ab296db3b11525c35edd2995</x:v>
      </x:c>
      <x:c r="B1823" s="2" t="str">
        <x:v>감축량 인증</x:v>
      </x:c>
      <x:c r="C1823" s="2" t="str">
        <x:v>국내</x:v>
      </x:c>
      <x:c r="D1823" s="7" t="str">
        <x:v>한국남동발전주식회사 소수력 발전사업</x:v>
      </x:c>
      <x:c r="E1823" s="2" t="str">
        <x:v>63</x:v>
      </x:c>
      <x:c r="F1823" s="2"/>
      <x:c r="G1823" s="2" t="str">
        <x:v>미확보</x:v>
      </x:c>
      <x:c r="H1823" s="2" t="str">
        <x:v>미확보</x:v>
      </x:c>
      <x:c r="I1823" s="2" t="str">
        <x:v>심의승인</x:v>
      </x:c>
      <x:c r="J1823" s="2" t="str">
        <x:v>심의승인</x:v>
      </x:c>
      <x:c r="K1823" s="2" t="str">
        <x:f>IF(OR(J1823="심의승인",J1823="반려",J1823="반려완료",J1823="심의완료"),"종결 표시",IF(OR(J1823="기후부협의",J1823="문서재제출요청",J1823="보류",J1823="보완요청",J1823="보완완료",J1823="평가중",J1823="반려요청",J1823="평가필요",LEFT(J1823,5)="보완요청("),"미종결 표시","상태 확인 필요"))</x:f>
        <x:v>종결 표시</x:v>
      </x:c>
      <x:c r="L1823" s="2"/>
      <x:c r="M1823" s="2"/>
      <x:c r="N1823" s="8"/>
      <x:c r="O1823" s="2"/>
      <x:c r="P1823" s="2"/>
      <x:c r="Q1823" s="2" t="str">
        <x:v>산업전환_외부사업관리Tool_260707_이너젠 수정_LJY_261013.xlsx</x:v>
      </x:c>
      <x:c r="R1823" s="2" t="str">
        <x:v>국내인증</x:v>
      </x:c>
      <x:c r="S1823" s="8" t="n">
        <x:v>141</x:v>
      </x:c>
      <x:c r="T1823" s="2"/>
      <x:c r="U1823" s="2" t="str"/>
      <x:c r="V1823" s="2" t="str">
        <x:v>2016-03-17</x:v>
      </x:c>
      <x:c r="W1823" s="2" t="str">
        <x:v>신청일 확인 / 담당기관 확인</x:v>
      </x:c>
      <x:c r="X1823" s="2" t="str">
        <x:v>원본·배정 기록 확인</x:v>
      </x:c>
      <x:c r="Y1823" s="2" t="str">
        <x:v>ad210cd9ec132cfd447541c8984dc53d30aff0f4fb2dc92d254d49275cc55976</x:v>
      </x:c>
      <x:c r="Z1823" s="2" t="n">
        <x:f>SUBTOTAL(103,A1823)</x:f>
        <x:v>1</x:v>
      </x:c>
      <x:c r="AA1823" s="2" t="str">
        <x:f>IF(K1823&lt;&gt;"미종결 표시","대상 아님",IF(N1823="","신청일 확인",IF(NOT(ISNUMBER('종합 현황'!$H$5)),"관찰기준 확인",IF('종합 현황'!$H$5&lt;1,"관찰기준 확인",IF(N1823&gt;'종합 현황'!$H$5,"내부 관찰 대상","내부 관찰일 이하")))))</x:f>
        <x:v>대상 아님</x:v>
      </x:c>
      <x:c r="AB1823" s="2"/>
    </x:row>
    <x:row r="1824" ht="42" customHeight="1">
      <x:c r="A1824" s="2" t="str">
        <x:v>4a5bc9b72c611ff95e9d1e20</x:v>
      </x:c>
      <x:c r="B1824" s="2" t="str">
        <x:v>감축량 인증</x:v>
      </x:c>
      <x:c r="C1824" s="2" t="str">
        <x:v>국내</x:v>
      </x:c>
      <x:c r="D1824" s="7" t="str">
        <x:v>휴켐스(주) 신설 5질산에서 발생하는 아산화질소 배출량 저감사업</x:v>
      </x:c>
      <x:c r="E1824" s="2" t="str">
        <x:v>64</x:v>
      </x:c>
      <x:c r="F1824" s="2"/>
      <x:c r="G1824" s="2" t="str">
        <x:v>미확보</x:v>
      </x:c>
      <x:c r="H1824" s="2" t="str">
        <x:v>미확보</x:v>
      </x:c>
      <x:c r="I1824" s="2" t="str">
        <x:v>심의승인</x:v>
      </x:c>
      <x:c r="J1824" s="2" t="str">
        <x:v>심의승인</x:v>
      </x:c>
      <x:c r="K1824" s="2" t="str">
        <x:f>IF(OR(J1824="심의승인",J1824="반려",J1824="반려완료",J1824="심의완료"),"종결 표시",IF(OR(J1824="기후부협의",J1824="문서재제출요청",J1824="보류",J1824="보완요청",J1824="보완완료",J1824="평가중",J1824="반려요청",J1824="평가필요",LEFT(J1824,5)="보완요청("),"미종결 표시","상태 확인 필요"))</x:f>
        <x:v>종결 표시</x:v>
      </x:c>
      <x:c r="L1824" s="2"/>
      <x:c r="M1824" s="2"/>
      <x:c r="N1824" s="8"/>
      <x:c r="O1824" s="2"/>
      <x:c r="P1824" s="2"/>
      <x:c r="Q1824" s="2" t="str">
        <x:v>산업전환_외부사업관리Tool_260707_이너젠 수정_LJY_261013.xlsx</x:v>
      </x:c>
      <x:c r="R1824" s="2" t="str">
        <x:v>국내인증</x:v>
      </x:c>
      <x:c r="S1824" s="8" t="n">
        <x:v>142</x:v>
      </x:c>
      <x:c r="T1824" s="2"/>
      <x:c r="U1824" s="2" t="str"/>
      <x:c r="V1824" s="2" t="str">
        <x:v>2016-05-17</x:v>
      </x:c>
      <x:c r="W1824" s="2" t="str">
        <x:v>신청일 확인 / 담당기관 확인</x:v>
      </x:c>
      <x:c r="X1824" s="2" t="str">
        <x:v>원본·배정 기록 확인</x:v>
      </x:c>
      <x:c r="Y1824" s="2" t="str">
        <x:v>ad210cd9ec132cfd447541c8984dc53d30aff0f4fb2dc92d254d49275cc55976</x:v>
      </x:c>
      <x:c r="Z1824" s="2" t="n">
        <x:f>SUBTOTAL(103,A1824)</x:f>
        <x:v>1</x:v>
      </x:c>
      <x:c r="AA1824" s="2" t="str">
        <x:f>IF(K1824&lt;&gt;"미종결 표시","대상 아님",IF(N1824="","신청일 확인",IF(NOT(ISNUMBER('종합 현황'!$H$5)),"관찰기준 확인",IF('종합 현황'!$H$5&lt;1,"관찰기준 확인",IF(N1824&gt;'종합 현황'!$H$5,"내부 관찰 대상","내부 관찰일 이하")))))</x:f>
        <x:v>대상 아님</x:v>
      </x:c>
      <x:c r="AB1824" s="2"/>
    </x:row>
    <x:row r="1825" ht="42" customHeight="1">
      <x:c r="A1825" s="2" t="str">
        <x:v>8f3c4e4b2131d961dc7b36de</x:v>
      </x:c>
      <x:c r="B1825" s="2" t="str">
        <x:v>감축량 인증</x:v>
      </x:c>
      <x:c r="C1825" s="2" t="str">
        <x:v>국내</x:v>
      </x:c>
      <x:c r="D1825" s="7" t="str">
        <x:v>삼성전자 SF6 저감 사업</x:v>
      </x:c>
      <x:c r="E1825" s="2" t="str">
        <x:v>65</x:v>
      </x:c>
      <x:c r="F1825" s="2"/>
      <x:c r="G1825" s="2" t="str">
        <x:v>미확보</x:v>
      </x:c>
      <x:c r="H1825" s="2" t="str">
        <x:v>미확보</x:v>
      </x:c>
      <x:c r="I1825" s="2" t="str">
        <x:v>심의승인</x:v>
      </x:c>
      <x:c r="J1825" s="2" t="str">
        <x:v>심의승인</x:v>
      </x:c>
      <x:c r="K1825" s="2" t="str">
        <x:f>IF(OR(J1825="심의승인",J1825="반려",J1825="반려완료",J1825="심의완료"),"종결 표시",IF(OR(J1825="기후부협의",J1825="문서재제출요청",J1825="보류",J1825="보완요청",J1825="보완완료",J1825="평가중",J1825="반려요청",J1825="평가필요",LEFT(J1825,5)="보완요청("),"미종결 표시","상태 확인 필요"))</x:f>
        <x:v>종결 표시</x:v>
      </x:c>
      <x:c r="L1825" s="2"/>
      <x:c r="M1825" s="2"/>
      <x:c r="N1825" s="8"/>
      <x:c r="O1825" s="2"/>
      <x:c r="P1825" s="2"/>
      <x:c r="Q1825" s="2" t="str">
        <x:v>산업전환_외부사업관리Tool_260707_이너젠 수정_LJY_261013.xlsx</x:v>
      </x:c>
      <x:c r="R1825" s="2" t="str">
        <x:v>국내인증</x:v>
      </x:c>
      <x:c r="S1825" s="8" t="n">
        <x:v>143</x:v>
      </x:c>
      <x:c r="T1825" s="2"/>
      <x:c r="U1825" s="2" t="str"/>
      <x:c r="V1825" s="2" t="str">
        <x:v>2016-05-17</x:v>
      </x:c>
      <x:c r="W1825" s="2" t="str">
        <x:v>신청일 확인 / 담당기관 확인</x:v>
      </x:c>
      <x:c r="X1825" s="2" t="str">
        <x:v>원본·배정 기록 확인</x:v>
      </x:c>
      <x:c r="Y1825" s="2" t="str">
        <x:v>ad210cd9ec132cfd447541c8984dc53d30aff0f4fb2dc92d254d49275cc55976</x:v>
      </x:c>
      <x:c r="Z1825" s="2" t="n">
        <x:f>SUBTOTAL(103,A1825)</x:f>
        <x:v>1</x:v>
      </x:c>
      <x:c r="AA1825" s="2" t="str">
        <x:f>IF(K1825&lt;&gt;"미종결 표시","대상 아님",IF(N1825="","신청일 확인",IF(NOT(ISNUMBER('종합 현황'!$H$5)),"관찰기준 확인",IF('종합 현황'!$H$5&lt;1,"관찰기준 확인",IF(N1825&gt;'종합 현황'!$H$5,"내부 관찰 대상","내부 관찰일 이하")))))</x:f>
        <x:v>대상 아님</x:v>
      </x:c>
      <x:c r="AB1825" s="2"/>
    </x:row>
    <x:row r="1826" ht="42" customHeight="1">
      <x:c r="A1826" s="2" t="str">
        <x:v>6912962c89900a257d67f439</x:v>
      </x:c>
      <x:c r="B1826" s="2" t="str">
        <x:v>감축량 인증</x:v>
      </x:c>
      <x:c r="C1826" s="2" t="str">
        <x:v>국내</x:v>
      </x:c>
      <x:c r="D1826" s="7" t="str">
        <x:v>지역난방용 온수보일러 연료전환 사업</x:v>
      </x:c>
      <x:c r="E1826" s="2" t="str">
        <x:v>66</x:v>
      </x:c>
      <x:c r="F1826" s="2"/>
      <x:c r="G1826" s="2" t="str">
        <x:v>미확보</x:v>
      </x:c>
      <x:c r="H1826" s="2" t="str">
        <x:v>미확보</x:v>
      </x:c>
      <x:c r="I1826" s="2" t="str">
        <x:v>심의승인</x:v>
      </x:c>
      <x:c r="J1826" s="2" t="str">
        <x:v>심의승인</x:v>
      </x:c>
      <x:c r="K1826" s="2" t="str">
        <x:f>IF(OR(J1826="심의승인",J1826="반려",J1826="반려완료",J1826="심의완료"),"종결 표시",IF(OR(J1826="기후부협의",J1826="문서재제출요청",J1826="보류",J1826="보완요청",J1826="보완완료",J1826="평가중",J1826="반려요청",J1826="평가필요",LEFT(J1826,5)="보완요청("),"미종결 표시","상태 확인 필요"))</x:f>
        <x:v>종결 표시</x:v>
      </x:c>
      <x:c r="L1826" s="2"/>
      <x:c r="M1826" s="2"/>
      <x:c r="N1826" s="8"/>
      <x:c r="O1826" s="2"/>
      <x:c r="P1826" s="2"/>
      <x:c r="Q1826" s="2" t="str">
        <x:v>산업전환_외부사업관리Tool_260707_이너젠 수정_LJY_261013.xlsx</x:v>
      </x:c>
      <x:c r="R1826" s="2" t="str">
        <x:v>국내인증</x:v>
      </x:c>
      <x:c r="S1826" s="8" t="n">
        <x:v>144</x:v>
      </x:c>
      <x:c r="T1826" s="2"/>
      <x:c r="U1826" s="2" t="str"/>
      <x:c r="V1826" s="2" t="str">
        <x:v>2016-05-17</x:v>
      </x:c>
      <x:c r="W1826" s="2" t="str">
        <x:v>신청일 확인 / 담당기관 확인</x:v>
      </x:c>
      <x:c r="X1826" s="2" t="str">
        <x:v>원본·배정 기록 확인</x:v>
      </x:c>
      <x:c r="Y1826" s="2" t="str">
        <x:v>ad210cd9ec132cfd447541c8984dc53d30aff0f4fb2dc92d254d49275cc55976</x:v>
      </x:c>
      <x:c r="Z1826" s="2" t="n">
        <x:f>SUBTOTAL(103,A1826)</x:f>
        <x:v>1</x:v>
      </x:c>
      <x:c r="AA1826" s="2" t="str">
        <x:f>IF(K1826&lt;&gt;"미종결 표시","대상 아님",IF(N1826="","신청일 확인",IF(NOT(ISNUMBER('종합 현황'!$H$5)),"관찰기준 확인",IF('종합 현황'!$H$5&lt;1,"관찰기준 확인",IF(N1826&gt;'종합 현황'!$H$5,"내부 관찰 대상","내부 관찰일 이하")))))</x:f>
        <x:v>대상 아님</x:v>
      </x:c>
      <x:c r="AB1826" s="2"/>
    </x:row>
    <x:row r="1827" ht="42" customHeight="1">
      <x:c r="A1827" s="2" t="str">
        <x:v>1485b957fa5300c8419f6616</x:v>
      </x:c>
      <x:c r="B1827" s="2" t="str">
        <x:v>감축량 인증</x:v>
      </x:c>
      <x:c r="C1827" s="2" t="str">
        <x:v>국내</x:v>
      </x:c>
      <x:c r="D1827" s="7" t="str">
        <x:v>카프로 N2O 저감 사업</x:v>
      </x:c>
      <x:c r="E1827" s="2" t="str">
        <x:v>67</x:v>
      </x:c>
      <x:c r="F1827" s="2"/>
      <x:c r="G1827" s="2" t="str">
        <x:v>미확보</x:v>
      </x:c>
      <x:c r="H1827" s="2" t="str">
        <x:v>미확보</x:v>
      </x:c>
      <x:c r="I1827" s="2" t="str">
        <x:v>심의승인</x:v>
      </x:c>
      <x:c r="J1827" s="2" t="str">
        <x:v>심의승인</x:v>
      </x:c>
      <x:c r="K1827" s="2" t="str">
        <x:f>IF(OR(J1827="심의승인",J1827="반려",J1827="반려완료",J1827="심의완료"),"종결 표시",IF(OR(J1827="기후부협의",J1827="문서재제출요청",J1827="보류",J1827="보완요청",J1827="보완완료",J1827="평가중",J1827="반려요청",J1827="평가필요",LEFT(J1827,5)="보완요청("),"미종결 표시","상태 확인 필요"))</x:f>
        <x:v>종결 표시</x:v>
      </x:c>
      <x:c r="L1827" s="2"/>
      <x:c r="M1827" s="2"/>
      <x:c r="N1827" s="8"/>
      <x:c r="O1827" s="2"/>
      <x:c r="P1827" s="2"/>
      <x:c r="Q1827" s="2" t="str">
        <x:v>산업전환_외부사업관리Tool_260707_이너젠 수정_LJY_261013.xlsx</x:v>
      </x:c>
      <x:c r="R1827" s="2" t="str">
        <x:v>국내인증</x:v>
      </x:c>
      <x:c r="S1827" s="8" t="n">
        <x:v>145</x:v>
      </x:c>
      <x:c r="T1827" s="2"/>
      <x:c r="U1827" s="2" t="str"/>
      <x:c r="V1827" s="2" t="str">
        <x:v>2016-05-17</x:v>
      </x:c>
      <x:c r="W1827" s="2" t="str">
        <x:v>신청일 확인 / 담당기관 확인</x:v>
      </x:c>
      <x:c r="X1827" s="2" t="str">
        <x:v>원본·배정 기록 확인</x:v>
      </x:c>
      <x:c r="Y1827" s="2" t="str">
        <x:v>ad210cd9ec132cfd447541c8984dc53d30aff0f4fb2dc92d254d49275cc55976</x:v>
      </x:c>
      <x:c r="Z1827" s="2" t="n">
        <x:f>SUBTOTAL(103,A1827)</x:f>
        <x:v>1</x:v>
      </x:c>
      <x:c r="AA1827" s="2" t="str">
        <x:f>IF(K1827&lt;&gt;"미종결 표시","대상 아님",IF(N1827="","신청일 확인",IF(NOT(ISNUMBER('종합 현황'!$H$5)),"관찰기준 확인",IF('종합 현황'!$H$5&lt;1,"관찰기준 확인",IF(N1827&gt;'종합 현황'!$H$5,"내부 관찰 대상","내부 관찰일 이하")))))</x:f>
        <x:v>대상 아님</x:v>
      </x:c>
      <x:c r="AB1827" s="2"/>
    </x:row>
    <x:row r="1828" ht="42" customHeight="1">
      <x:c r="A1828" s="2" t="str">
        <x:v>98f756640af3883a53a523ce</x:v>
      </x:c>
      <x:c r="B1828" s="2" t="str">
        <x:v>감축량 인증</x:v>
      </x:c>
      <x:c r="C1828" s="2" t="str">
        <x:v>국내</x:v>
      </x:c>
      <x:c r="D1828" s="7" t="str">
        <x:v>카프로 N2O 저감 사업</x:v>
      </x:c>
      <x:c r="E1828" s="2" t="str">
        <x:v>68</x:v>
      </x:c>
      <x:c r="F1828" s="2"/>
      <x:c r="G1828" s="2" t="str">
        <x:v>미확보</x:v>
      </x:c>
      <x:c r="H1828" s="2" t="str">
        <x:v>미확보</x:v>
      </x:c>
      <x:c r="I1828" s="2" t="str">
        <x:v>심의승인</x:v>
      </x:c>
      <x:c r="J1828" s="2" t="str">
        <x:v>심의승인</x:v>
      </x:c>
      <x:c r="K1828" s="2" t="str">
        <x:f>IF(OR(J1828="심의승인",J1828="반려",J1828="반려완료",J1828="심의완료"),"종결 표시",IF(OR(J1828="기후부협의",J1828="문서재제출요청",J1828="보류",J1828="보완요청",J1828="보완완료",J1828="평가중",J1828="반려요청",J1828="평가필요",LEFT(J1828,5)="보완요청("),"미종결 표시","상태 확인 필요"))</x:f>
        <x:v>종결 표시</x:v>
      </x:c>
      <x:c r="L1828" s="2"/>
      <x:c r="M1828" s="2"/>
      <x:c r="N1828" s="8"/>
      <x:c r="O1828" s="2"/>
      <x:c r="P1828" s="2"/>
      <x:c r="Q1828" s="2" t="str">
        <x:v>산업전환_외부사업관리Tool_260707_이너젠 수정_LJY_261013.xlsx</x:v>
      </x:c>
      <x:c r="R1828" s="2" t="str">
        <x:v>국내인증</x:v>
      </x:c>
      <x:c r="S1828" s="8" t="n">
        <x:v>146</x:v>
      </x:c>
      <x:c r="T1828" s="2"/>
      <x:c r="U1828" s="2" t="str"/>
      <x:c r="V1828" s="2" t="str">
        <x:v>2016-05-17</x:v>
      </x:c>
      <x:c r="W1828" s="2" t="str">
        <x:v>신청일 확인 / 담당기관 확인</x:v>
      </x:c>
      <x:c r="X1828" s="2" t="str">
        <x:v>원본·배정 기록 확인</x:v>
      </x:c>
      <x:c r="Y1828" s="2" t="str">
        <x:v>ad210cd9ec132cfd447541c8984dc53d30aff0f4fb2dc92d254d49275cc55976</x:v>
      </x:c>
      <x:c r="Z1828" s="2" t="n">
        <x:f>SUBTOTAL(103,A1828)</x:f>
        <x:v>1</x:v>
      </x:c>
      <x:c r="AA1828" s="2" t="str">
        <x:f>IF(K1828&lt;&gt;"미종결 표시","대상 아님",IF(N1828="","신청일 확인",IF(NOT(ISNUMBER('종합 현황'!$H$5)),"관찰기준 확인",IF('종합 현황'!$H$5&lt;1,"관찰기준 확인",IF(N1828&gt;'종합 현황'!$H$5,"내부 관찰 대상","내부 관찰일 이하")))))</x:f>
        <x:v>대상 아님</x:v>
      </x:c>
      <x:c r="AB1828" s="2"/>
    </x:row>
    <x:row r="1829" ht="42" customHeight="1">
      <x:c r="A1829" s="2" t="str">
        <x:v>37e399a22d7f310af01c58d9</x:v>
      </x:c>
      <x:c r="B1829" s="2" t="str">
        <x:v>감축량 인증</x:v>
      </x:c>
      <x:c r="C1829" s="2" t="str">
        <x:v>국내</x:v>
      </x:c>
      <x:c r="D1829" s="7" t="str">
        <x:v>카프로 N2O 저감 사업</x:v>
      </x:c>
      <x:c r="E1829" s="2" t="str">
        <x:v>69</x:v>
      </x:c>
      <x:c r="F1829" s="2"/>
      <x:c r="G1829" s="2" t="str">
        <x:v>미확보</x:v>
      </x:c>
      <x:c r="H1829" s="2" t="str">
        <x:v>미확보</x:v>
      </x:c>
      <x:c r="I1829" s="2" t="str">
        <x:v>심의승인</x:v>
      </x:c>
      <x:c r="J1829" s="2" t="str">
        <x:v>심의승인</x:v>
      </x:c>
      <x:c r="K1829" s="2" t="str">
        <x:f>IF(OR(J1829="심의승인",J1829="반려",J1829="반려완료",J1829="심의완료"),"종결 표시",IF(OR(J1829="기후부협의",J1829="문서재제출요청",J1829="보류",J1829="보완요청",J1829="보완완료",J1829="평가중",J1829="반려요청",J1829="평가필요",LEFT(J1829,5)="보완요청("),"미종결 표시","상태 확인 필요"))</x:f>
        <x:v>종결 표시</x:v>
      </x:c>
      <x:c r="L1829" s="2"/>
      <x:c r="M1829" s="2"/>
      <x:c r="N1829" s="8"/>
      <x:c r="O1829" s="2"/>
      <x:c r="P1829" s="2"/>
      <x:c r="Q1829" s="2" t="str">
        <x:v>산업전환_외부사업관리Tool_260707_이너젠 수정_LJY_261013.xlsx</x:v>
      </x:c>
      <x:c r="R1829" s="2" t="str">
        <x:v>국내인증</x:v>
      </x:c>
      <x:c r="S1829" s="8" t="n">
        <x:v>147</x:v>
      </x:c>
      <x:c r="T1829" s="2"/>
      <x:c r="U1829" s="2" t="str"/>
      <x:c r="V1829" s="2" t="str">
        <x:v>2016-05-17</x:v>
      </x:c>
      <x:c r="W1829" s="2" t="str">
        <x:v>신청일 확인 / 담당기관 확인</x:v>
      </x:c>
      <x:c r="X1829" s="2" t="str">
        <x:v>원본·배정 기록 확인</x:v>
      </x:c>
      <x:c r="Y1829" s="2" t="str">
        <x:v>ad210cd9ec132cfd447541c8984dc53d30aff0f4fb2dc92d254d49275cc55976</x:v>
      </x:c>
      <x:c r="Z1829" s="2" t="n">
        <x:f>SUBTOTAL(103,A1829)</x:f>
        <x:v>1</x:v>
      </x:c>
      <x:c r="AA1829" s="2" t="str">
        <x:f>IF(K1829&lt;&gt;"미종결 표시","대상 아님",IF(N1829="","신청일 확인",IF(NOT(ISNUMBER('종합 현황'!$H$5)),"관찰기준 확인",IF('종합 현황'!$H$5&lt;1,"관찰기준 확인",IF(N1829&gt;'종합 현황'!$H$5,"내부 관찰 대상","내부 관찰일 이하")))))</x:f>
        <x:v>대상 아님</x:v>
      </x:c>
      <x:c r="AB1829" s="2"/>
    </x:row>
    <x:row r="1830" ht="42" customHeight="1">
      <x:c r="A1830" s="2" t="str">
        <x:v>d1c85552110cf94246bd85a9</x:v>
      </x:c>
      <x:c r="B1830" s="2" t="str">
        <x:v>감축량 인증</x:v>
      </x:c>
      <x:c r="C1830" s="2" t="str">
        <x:v>국내</x:v>
      </x:c>
      <x:c r="D1830" s="7" t="str">
        <x:v>카프로 N2O 저감 사업</x:v>
      </x:c>
      <x:c r="E1830" s="2" t="str">
        <x:v>70</x:v>
      </x:c>
      <x:c r="F1830" s="2"/>
      <x:c r="G1830" s="2" t="str">
        <x:v>미확보</x:v>
      </x:c>
      <x:c r="H1830" s="2" t="str">
        <x:v>미확보</x:v>
      </x:c>
      <x:c r="I1830" s="2" t="str">
        <x:v>심의승인</x:v>
      </x:c>
      <x:c r="J1830" s="2" t="str">
        <x:v>심의승인</x:v>
      </x:c>
      <x:c r="K1830" s="2" t="str">
        <x:f>IF(OR(J1830="심의승인",J1830="반려",J1830="반려완료",J1830="심의완료"),"종결 표시",IF(OR(J1830="기후부협의",J1830="문서재제출요청",J1830="보류",J1830="보완요청",J1830="보완완료",J1830="평가중",J1830="반려요청",J1830="평가필요",LEFT(J1830,5)="보완요청("),"미종결 표시","상태 확인 필요"))</x:f>
        <x:v>종결 표시</x:v>
      </x:c>
      <x:c r="L1830" s="2"/>
      <x:c r="M1830" s="2"/>
      <x:c r="N1830" s="8"/>
      <x:c r="O1830" s="2"/>
      <x:c r="P1830" s="2"/>
      <x:c r="Q1830" s="2" t="str">
        <x:v>산업전환_외부사업관리Tool_260707_이너젠 수정_LJY_261013.xlsx</x:v>
      </x:c>
      <x:c r="R1830" s="2" t="str">
        <x:v>국내인증</x:v>
      </x:c>
      <x:c r="S1830" s="8" t="n">
        <x:v>148</x:v>
      </x:c>
      <x:c r="T1830" s="2"/>
      <x:c r="U1830" s="2" t="str"/>
      <x:c r="V1830" s="2" t="str">
        <x:v>2016-05-17</x:v>
      </x:c>
      <x:c r="W1830" s="2" t="str">
        <x:v>신청일 확인 / 담당기관 확인</x:v>
      </x:c>
      <x:c r="X1830" s="2" t="str">
        <x:v>원본·배정 기록 확인</x:v>
      </x:c>
      <x:c r="Y1830" s="2" t="str">
        <x:v>ad210cd9ec132cfd447541c8984dc53d30aff0f4fb2dc92d254d49275cc55976</x:v>
      </x:c>
      <x:c r="Z1830" s="2" t="n">
        <x:f>SUBTOTAL(103,A1830)</x:f>
        <x:v>1</x:v>
      </x:c>
      <x:c r="AA1830" s="2" t="str">
        <x:f>IF(K1830&lt;&gt;"미종결 표시","대상 아님",IF(N1830="","신청일 확인",IF(NOT(ISNUMBER('종합 현황'!$H$5)),"관찰기준 확인",IF('종합 현황'!$H$5&lt;1,"관찰기준 확인",IF(N1830&gt;'종합 현황'!$H$5,"내부 관찰 대상","내부 관찰일 이하")))))</x:f>
        <x:v>대상 아님</x:v>
      </x:c>
      <x:c r="AB1830" s="2"/>
    </x:row>
    <x:row r="1831" ht="42" customHeight="1">
      <x:c r="A1831" s="2" t="str">
        <x:v>df43cac7645bb5f291fc101d</x:v>
      </x:c>
      <x:c r="B1831" s="2" t="str">
        <x:v>감축량 인증</x:v>
      </x:c>
      <x:c r="C1831" s="2" t="str">
        <x:v>국내</x:v>
      </x:c>
      <x:c r="D1831" s="7" t="str">
        <x:v>카프로 N2O 저감 사업</x:v>
      </x:c>
      <x:c r="E1831" s="2" t="str">
        <x:v>71</x:v>
      </x:c>
      <x:c r="F1831" s="2"/>
      <x:c r="G1831" s="2" t="str">
        <x:v>미확보</x:v>
      </x:c>
      <x:c r="H1831" s="2" t="str">
        <x:v>미확보</x:v>
      </x:c>
      <x:c r="I1831" s="2" t="str">
        <x:v>심의승인</x:v>
      </x:c>
      <x:c r="J1831" s="2" t="str">
        <x:v>심의승인</x:v>
      </x:c>
      <x:c r="K1831" s="2" t="str">
        <x:f>IF(OR(J1831="심의승인",J1831="반려",J1831="반려완료",J1831="심의완료"),"종결 표시",IF(OR(J1831="기후부협의",J1831="문서재제출요청",J1831="보류",J1831="보완요청",J1831="보완완료",J1831="평가중",J1831="반려요청",J1831="평가필요",LEFT(J1831,5)="보완요청("),"미종결 표시","상태 확인 필요"))</x:f>
        <x:v>종결 표시</x:v>
      </x:c>
      <x:c r="L1831" s="2"/>
      <x:c r="M1831" s="2"/>
      <x:c r="N1831" s="8"/>
      <x:c r="O1831" s="2"/>
      <x:c r="P1831" s="2"/>
      <x:c r="Q1831" s="2" t="str">
        <x:v>산업전환_외부사업관리Tool_260707_이너젠 수정_LJY_261013.xlsx</x:v>
      </x:c>
      <x:c r="R1831" s="2" t="str">
        <x:v>국내인증</x:v>
      </x:c>
      <x:c r="S1831" s="8" t="n">
        <x:v>149</x:v>
      </x:c>
      <x:c r="T1831" s="2"/>
      <x:c r="U1831" s="2" t="str"/>
      <x:c r="V1831" s="2" t="str">
        <x:v>2016-05-31</x:v>
      </x:c>
      <x:c r="W1831" s="2" t="str">
        <x:v>신청일 확인 / 담당기관 확인</x:v>
      </x:c>
      <x:c r="X1831" s="2" t="str">
        <x:v>원본·배정 기록 확인</x:v>
      </x:c>
      <x:c r="Y1831" s="2" t="str">
        <x:v>ad210cd9ec132cfd447541c8984dc53d30aff0f4fb2dc92d254d49275cc55976</x:v>
      </x:c>
      <x:c r="Z1831" s="2" t="n">
        <x:f>SUBTOTAL(103,A1831)</x:f>
        <x:v>1</x:v>
      </x:c>
      <x:c r="AA1831" s="2" t="str">
        <x:f>IF(K1831&lt;&gt;"미종결 표시","대상 아님",IF(N1831="","신청일 확인",IF(NOT(ISNUMBER('종합 현황'!$H$5)),"관찰기준 확인",IF('종합 현황'!$H$5&lt;1,"관찰기준 확인",IF(N1831&gt;'종합 현황'!$H$5,"내부 관찰 대상","내부 관찰일 이하")))))</x:f>
        <x:v>대상 아님</x:v>
      </x:c>
      <x:c r="AB1831" s="2"/>
    </x:row>
    <x:row r="1832" ht="42" customHeight="1">
      <x:c r="A1832" s="2" t="str">
        <x:v>a116003b84f2857c3a1e10fa</x:v>
      </x:c>
      <x:c r="B1832" s="2" t="str">
        <x:v>감축량 인증</x:v>
      </x:c>
      <x:c r="C1832" s="2" t="str">
        <x:v>국내</x:v>
      </x:c>
      <x:c r="D1832" s="7" t="str">
        <x:v>삼성전자 SF6 저감 사업</x:v>
      </x:c>
      <x:c r="E1832" s="2" t="str">
        <x:v>72</x:v>
      </x:c>
      <x:c r="F1832" s="2"/>
      <x:c r="G1832" s="2" t="str">
        <x:v>미확보</x:v>
      </x:c>
      <x:c r="H1832" s="2" t="str">
        <x:v>미확보</x:v>
      </x:c>
      <x:c r="I1832" s="2" t="str">
        <x:v>심의승인</x:v>
      </x:c>
      <x:c r="J1832" s="2" t="str">
        <x:v>심의승인</x:v>
      </x:c>
      <x:c r="K1832" s="2" t="str">
        <x:f>IF(OR(J1832="심의승인",J1832="반려",J1832="반려완료",J1832="심의완료"),"종결 표시",IF(OR(J1832="기후부협의",J1832="문서재제출요청",J1832="보류",J1832="보완요청",J1832="보완완료",J1832="평가중",J1832="반려요청",J1832="평가필요",LEFT(J1832,5)="보완요청("),"미종결 표시","상태 확인 필요"))</x:f>
        <x:v>종결 표시</x:v>
      </x:c>
      <x:c r="L1832" s="2"/>
      <x:c r="M1832" s="2"/>
      <x:c r="N1832" s="8"/>
      <x:c r="O1832" s="2"/>
      <x:c r="P1832" s="2"/>
      <x:c r="Q1832" s="2" t="str">
        <x:v>산업전환_외부사업관리Tool_260707_이너젠 수정_LJY_261013.xlsx</x:v>
      </x:c>
      <x:c r="R1832" s="2" t="str">
        <x:v>국내인증</x:v>
      </x:c>
      <x:c r="S1832" s="8" t="n">
        <x:v>150</x:v>
      </x:c>
      <x:c r="T1832" s="2"/>
      <x:c r="U1832" s="2" t="str"/>
      <x:c r="V1832" s="2" t="str">
        <x:v>2016-05-26</x:v>
      </x:c>
      <x:c r="W1832" s="2" t="str">
        <x:v>신청일 확인 / 담당기관 확인</x:v>
      </x:c>
      <x:c r="X1832" s="2" t="str">
        <x:v>원본·배정 기록 확인</x:v>
      </x:c>
      <x:c r="Y1832" s="2" t="str">
        <x:v>ad210cd9ec132cfd447541c8984dc53d30aff0f4fb2dc92d254d49275cc55976</x:v>
      </x:c>
      <x:c r="Z1832" s="2" t="n">
        <x:f>SUBTOTAL(103,A1832)</x:f>
        <x:v>1</x:v>
      </x:c>
      <x:c r="AA1832" s="2" t="str">
        <x:f>IF(K1832&lt;&gt;"미종결 표시","대상 아님",IF(N1832="","신청일 확인",IF(NOT(ISNUMBER('종합 현황'!$H$5)),"관찰기준 확인",IF('종합 현황'!$H$5&lt;1,"관찰기준 확인",IF(N1832&gt;'종합 현황'!$H$5,"내부 관찰 대상","내부 관찰일 이하")))))</x:f>
        <x:v>대상 아님</x:v>
      </x:c>
      <x:c r="AB1832" s="2"/>
    </x:row>
    <x:row r="1833" ht="42" customHeight="1">
      <x:c r="A1833" s="2" t="str">
        <x:v>1b0e8deea8682cb63f17e197</x:v>
      </x:c>
      <x:c r="B1833" s="2" t="str">
        <x:v>감축량 인증</x:v>
      </x:c>
      <x:c r="C1833" s="2" t="str">
        <x:v>국내</x:v>
      </x:c>
      <x:c r="D1833" s="7" t="str">
        <x:v>휴켐스 질산공장 N2O 감축사업(휴켐스 주식회사의 질산 공장 세 곳에서 tail gas에 포함된 아산화질소를 촉매를 사용하여 제거하는 프로젝트)</x:v>
      </x:c>
      <x:c r="E1833" s="2" t="str">
        <x:v>73</x:v>
      </x:c>
      <x:c r="F1833" s="2"/>
      <x:c r="G1833" s="2" t="str">
        <x:v>미확보</x:v>
      </x:c>
      <x:c r="H1833" s="2" t="str">
        <x:v>미확보</x:v>
      </x:c>
      <x:c r="I1833" s="2" t="str">
        <x:v>심의승인</x:v>
      </x:c>
      <x:c r="J1833" s="2" t="str">
        <x:v>심의승인</x:v>
      </x:c>
      <x:c r="K1833" s="2" t="str">
        <x:f>IF(OR(J1833="심의승인",J1833="반려",J1833="반려완료",J1833="심의완료"),"종결 표시",IF(OR(J1833="기후부협의",J1833="문서재제출요청",J1833="보류",J1833="보완요청",J1833="보완완료",J1833="평가중",J1833="반려요청",J1833="평가필요",LEFT(J1833,5)="보완요청("),"미종결 표시","상태 확인 필요"))</x:f>
        <x:v>종결 표시</x:v>
      </x:c>
      <x:c r="L1833" s="2"/>
      <x:c r="M1833" s="2"/>
      <x:c r="N1833" s="8"/>
      <x:c r="O1833" s="2"/>
      <x:c r="P1833" s="2"/>
      <x:c r="Q1833" s="2" t="str">
        <x:v>산업전환_외부사업관리Tool_260707_이너젠 수정_LJY_261013.xlsx</x:v>
      </x:c>
      <x:c r="R1833" s="2" t="str">
        <x:v>국내인증</x:v>
      </x:c>
      <x:c r="S1833" s="8" t="n">
        <x:v>151</x:v>
      </x:c>
      <x:c r="T1833" s="2"/>
      <x:c r="U1833" s="2" t="str"/>
      <x:c r="V1833" s="2" t="str">
        <x:v>2016-05-27</x:v>
      </x:c>
      <x:c r="W1833" s="2" t="str">
        <x:v>신청일 확인 / 담당기관 확인</x:v>
      </x:c>
      <x:c r="X1833" s="2" t="str">
        <x:v>원본·배정 기록 확인</x:v>
      </x:c>
      <x:c r="Y1833" s="2" t="str">
        <x:v>ad210cd9ec132cfd447541c8984dc53d30aff0f4fb2dc92d254d49275cc55976</x:v>
      </x:c>
      <x:c r="Z1833" s="2" t="n">
        <x:f>SUBTOTAL(103,A1833)</x:f>
        <x:v>1</x:v>
      </x:c>
      <x:c r="AA1833" s="2" t="str">
        <x:f>IF(K1833&lt;&gt;"미종결 표시","대상 아님",IF(N1833="","신청일 확인",IF(NOT(ISNUMBER('종합 현황'!$H$5)),"관찰기준 확인",IF('종합 현황'!$H$5&lt;1,"관찰기준 확인",IF(N1833&gt;'종합 현황'!$H$5,"내부 관찰 대상","내부 관찰일 이하")))))</x:f>
        <x:v>대상 아님</x:v>
      </x:c>
      <x:c r="AB1833" s="2"/>
    </x:row>
    <x:row r="1834" ht="42" customHeight="1">
      <x:c r="A1834" s="2" t="str">
        <x:v>5781dcd673f5a86260fd6efd</x:v>
      </x:c>
      <x:c r="B1834" s="2" t="str">
        <x:v>감축량 인증</x:v>
      </x:c>
      <x:c r="C1834" s="2" t="str">
        <x:v>국내</x:v>
      </x:c>
      <x:c r="D1834" s="7" t="str">
        <x:v>휴켐스(주) 신설 5질산에서 발생하는 아산화질소 배출량 저감사업</x:v>
      </x:c>
      <x:c r="E1834" s="2" t="str">
        <x:v>74</x:v>
      </x:c>
      <x:c r="F1834" s="2"/>
      <x:c r="G1834" s="2" t="str">
        <x:v>미확보</x:v>
      </x:c>
      <x:c r="H1834" s="2" t="str">
        <x:v>미확보</x:v>
      </x:c>
      <x:c r="I1834" s="2" t="str">
        <x:v>심의승인</x:v>
      </x:c>
      <x:c r="J1834" s="2" t="str">
        <x:v>심의승인</x:v>
      </x:c>
      <x:c r="K1834" s="2" t="str">
        <x:f>IF(OR(J1834="심의승인",J1834="반려",J1834="반려완료",J1834="심의완료"),"종결 표시",IF(OR(J1834="기후부협의",J1834="문서재제출요청",J1834="보류",J1834="보완요청",J1834="보완완료",J1834="평가중",J1834="반려요청",J1834="평가필요",LEFT(J1834,5)="보완요청("),"미종결 표시","상태 확인 필요"))</x:f>
        <x:v>종결 표시</x:v>
      </x:c>
      <x:c r="L1834" s="2"/>
      <x:c r="M1834" s="2"/>
      <x:c r="N1834" s="8"/>
      <x:c r="O1834" s="2"/>
      <x:c r="P1834" s="2"/>
      <x:c r="Q1834" s="2" t="str">
        <x:v>산업전환_외부사업관리Tool_260707_이너젠 수정_LJY_261013.xlsx</x:v>
      </x:c>
      <x:c r="R1834" s="2" t="str">
        <x:v>국내인증</x:v>
      </x:c>
      <x:c r="S1834" s="8" t="n">
        <x:v>152</x:v>
      </x:c>
      <x:c r="T1834" s="2"/>
      <x:c r="U1834" s="2" t="str"/>
      <x:c r="V1834" s="2" t="str">
        <x:v>2016-10-13</x:v>
      </x:c>
      <x:c r="W1834" s="2" t="str">
        <x:v>신청일 확인 / 담당기관 확인</x:v>
      </x:c>
      <x:c r="X1834" s="2" t="str">
        <x:v>원본·배정 기록 확인</x:v>
      </x:c>
      <x:c r="Y1834" s="2" t="str">
        <x:v>ad210cd9ec132cfd447541c8984dc53d30aff0f4fb2dc92d254d49275cc55976</x:v>
      </x:c>
      <x:c r="Z1834" s="2" t="n">
        <x:f>SUBTOTAL(103,A1834)</x:f>
        <x:v>1</x:v>
      </x:c>
      <x:c r="AA1834" s="2" t="str">
        <x:f>IF(K1834&lt;&gt;"미종결 표시","대상 아님",IF(N1834="","신청일 확인",IF(NOT(ISNUMBER('종합 현황'!$H$5)),"관찰기준 확인",IF('종합 현황'!$H$5&lt;1,"관찰기준 확인",IF(N1834&gt;'종합 현황'!$H$5,"내부 관찰 대상","내부 관찰일 이하")))))</x:f>
        <x:v>대상 아님</x:v>
      </x:c>
      <x:c r="AB1834" s="2"/>
    </x:row>
    <x:row r="1835" ht="42" customHeight="1">
      <x:c r="A1835" s="2" t="str">
        <x:v>e9336b78cb6c586eeda34bc1</x:v>
      </x:c>
      <x:c r="B1835" s="2" t="str">
        <x:v>감축량 인증</x:v>
      </x:c>
      <x:c r="C1835" s="2" t="str">
        <x:v>국내</x:v>
      </x:c>
      <x:c r="D1835" s="7" t="str">
        <x:v>휴켐스 질산공장 N2O 감축사업(휴켐스 주식회사의 질산 공장 세 곳에서 tail gas에 포함된 아산화질소를 촉매를 사용하여 제거하는 프로젝트)</x:v>
      </x:c>
      <x:c r="E1835" s="2" t="str">
        <x:v>75</x:v>
      </x:c>
      <x:c r="F1835" s="2"/>
      <x:c r="G1835" s="2" t="str">
        <x:v>미확보</x:v>
      </x:c>
      <x:c r="H1835" s="2" t="str">
        <x:v>미확보</x:v>
      </x:c>
      <x:c r="I1835" s="2" t="str">
        <x:v>심의승인</x:v>
      </x:c>
      <x:c r="J1835" s="2" t="str">
        <x:v>심의승인</x:v>
      </x:c>
      <x:c r="K1835" s="2" t="str">
        <x:f>IF(OR(J1835="심의승인",J1835="반려",J1835="반려완료",J1835="심의완료"),"종결 표시",IF(OR(J1835="기후부협의",J1835="문서재제출요청",J1835="보류",J1835="보완요청",J1835="보완완료",J1835="평가중",J1835="반려요청",J1835="평가필요",LEFT(J1835,5)="보완요청("),"미종결 표시","상태 확인 필요"))</x:f>
        <x:v>종결 표시</x:v>
      </x:c>
      <x:c r="L1835" s="2"/>
      <x:c r="M1835" s="2"/>
      <x:c r="N1835" s="8"/>
      <x:c r="O1835" s="2"/>
      <x:c r="P1835" s="2"/>
      <x:c r="Q1835" s="2" t="str">
        <x:v>산업전환_외부사업관리Tool_260707_이너젠 수정_LJY_261013.xlsx</x:v>
      </x:c>
      <x:c r="R1835" s="2" t="str">
        <x:v>국내인증</x:v>
      </x:c>
      <x:c r="S1835" s="8" t="n">
        <x:v>153</x:v>
      </x:c>
      <x:c r="T1835" s="2"/>
      <x:c r="U1835" s="2" t="str"/>
      <x:c r="V1835" s="2" t="str">
        <x:v>2016-10-13</x:v>
      </x:c>
      <x:c r="W1835" s="2" t="str">
        <x:v>신청일 확인 / 담당기관 확인</x:v>
      </x:c>
      <x:c r="X1835" s="2" t="str">
        <x:v>원본·배정 기록 확인</x:v>
      </x:c>
      <x:c r="Y1835" s="2" t="str">
        <x:v>ad210cd9ec132cfd447541c8984dc53d30aff0f4fb2dc92d254d49275cc55976</x:v>
      </x:c>
      <x:c r="Z1835" s="2" t="n">
        <x:f>SUBTOTAL(103,A1835)</x:f>
        <x:v>1</x:v>
      </x:c>
      <x:c r="AA1835" s="2" t="str">
        <x:f>IF(K1835&lt;&gt;"미종결 표시","대상 아님",IF(N1835="","신청일 확인",IF(NOT(ISNUMBER('종합 현황'!$H$5)),"관찰기준 확인",IF('종합 현황'!$H$5&lt;1,"관찰기준 확인",IF(N1835&gt;'종합 현황'!$H$5,"내부 관찰 대상","내부 관찰일 이하")))))</x:f>
        <x:v>대상 아님</x:v>
      </x:c>
      <x:c r="AB1835" s="2"/>
    </x:row>
    <x:row r="1836" ht="42" customHeight="1">
      <x:c r="A1836" s="2" t="str">
        <x:v>ffc388800c834ab5da8b5675</x:v>
      </x:c>
      <x:c r="B1836" s="2" t="str">
        <x:v>감축량 인증</x:v>
      </x:c>
      <x:c r="C1836" s="2" t="str">
        <x:v>국내</x:v>
      </x:c>
      <x:c r="D1836" s="7" t="str">
        <x:v>휴켐스(주) 신설 5질산에서 발생하는 아산화질소 배출량 저감사업</x:v>
      </x:c>
      <x:c r="E1836" s="2" t="str">
        <x:v>76</x:v>
      </x:c>
      <x:c r="F1836" s="2"/>
      <x:c r="G1836" s="2" t="str">
        <x:v>미확보</x:v>
      </x:c>
      <x:c r="H1836" s="2" t="str">
        <x:v>미확보</x:v>
      </x:c>
      <x:c r="I1836" s="2" t="str">
        <x:v>심의승인</x:v>
      </x:c>
      <x:c r="J1836" s="2" t="str">
        <x:v>심의승인</x:v>
      </x:c>
      <x:c r="K1836" s="2" t="str">
        <x:f>IF(OR(J1836="심의승인",J1836="반려",J1836="반려완료",J1836="심의완료"),"종결 표시",IF(OR(J1836="기후부협의",J1836="문서재제출요청",J1836="보류",J1836="보완요청",J1836="보완완료",J1836="평가중",J1836="반려요청",J1836="평가필요",LEFT(J1836,5)="보완요청("),"미종결 표시","상태 확인 필요"))</x:f>
        <x:v>종결 표시</x:v>
      </x:c>
      <x:c r="L1836" s="2"/>
      <x:c r="M1836" s="2"/>
      <x:c r="N1836" s="8"/>
      <x:c r="O1836" s="2"/>
      <x:c r="P1836" s="2"/>
      <x:c r="Q1836" s="2" t="str">
        <x:v>산업전환_외부사업관리Tool_260707_이너젠 수정_LJY_261013.xlsx</x:v>
      </x:c>
      <x:c r="R1836" s="2" t="str">
        <x:v>국내인증</x:v>
      </x:c>
      <x:c r="S1836" s="8" t="n">
        <x:v>154</x:v>
      </x:c>
      <x:c r="T1836" s="2"/>
      <x:c r="U1836" s="2" t="str"/>
      <x:c r="V1836" s="2" t="str">
        <x:v>2016-10-13</x:v>
      </x:c>
      <x:c r="W1836" s="2" t="str">
        <x:v>신청일 확인 / 담당기관 확인</x:v>
      </x:c>
      <x:c r="X1836" s="2" t="str">
        <x:v>원본·배정 기록 확인</x:v>
      </x:c>
      <x:c r="Y1836" s="2" t="str">
        <x:v>ad210cd9ec132cfd447541c8984dc53d30aff0f4fb2dc92d254d49275cc55976</x:v>
      </x:c>
      <x:c r="Z1836" s="2" t="n">
        <x:f>SUBTOTAL(103,A1836)</x:f>
        <x:v>1</x:v>
      </x:c>
      <x:c r="AA1836" s="2" t="str">
        <x:f>IF(K1836&lt;&gt;"미종결 표시","대상 아님",IF(N1836="","신청일 확인",IF(NOT(ISNUMBER('종합 현황'!$H$5)),"관찰기준 확인",IF('종합 현황'!$H$5&lt;1,"관찰기준 확인",IF(N1836&gt;'종합 현황'!$H$5,"내부 관찰 대상","내부 관찰일 이하")))))</x:f>
        <x:v>대상 아님</x:v>
      </x:c>
      <x:c r="AB1836" s="2"/>
    </x:row>
    <x:row r="1837" ht="42" customHeight="1">
      <x:c r="A1837" s="2" t="str">
        <x:v>049b9468c036955e2589006e</x:v>
      </x:c>
      <x:c r="B1837" s="2" t="str">
        <x:v>감축량 인증</x:v>
      </x:c>
      <x:c r="C1837" s="2" t="str">
        <x:v>국내</x:v>
      </x:c>
      <x:c r="D1837" s="7" t="str">
        <x:v>시화호 조력발전 사업</x:v>
      </x:c>
      <x:c r="E1837" s="2" t="str">
        <x:v>77</x:v>
      </x:c>
      <x:c r="F1837" s="2"/>
      <x:c r="G1837" s="2" t="str">
        <x:v>미확보</x:v>
      </x:c>
      <x:c r="H1837" s="2" t="str">
        <x:v>미확보</x:v>
      </x:c>
      <x:c r="I1837" s="2" t="str">
        <x:v>심의승인</x:v>
      </x:c>
      <x:c r="J1837" s="2" t="str">
        <x:v>심의승인</x:v>
      </x:c>
      <x:c r="K1837" s="2" t="str">
        <x:f>IF(OR(J1837="심의승인",J1837="반려",J1837="반려완료",J1837="심의완료"),"종결 표시",IF(OR(J1837="기후부협의",J1837="문서재제출요청",J1837="보류",J1837="보완요청",J1837="보완완료",J1837="평가중",J1837="반려요청",J1837="평가필요",LEFT(J1837,5)="보완요청("),"미종결 표시","상태 확인 필요"))</x:f>
        <x:v>종결 표시</x:v>
      </x:c>
      <x:c r="L1837" s="2"/>
      <x:c r="M1837" s="2"/>
      <x:c r="N1837" s="8"/>
      <x:c r="O1837" s="2"/>
      <x:c r="P1837" s="2"/>
      <x:c r="Q1837" s="2" t="str">
        <x:v>산업전환_외부사업관리Tool_260707_이너젠 수정_LJY_261013.xlsx</x:v>
      </x:c>
      <x:c r="R1837" s="2" t="str">
        <x:v>국내인증</x:v>
      </x:c>
      <x:c r="S1837" s="8" t="n">
        <x:v>155</x:v>
      </x:c>
      <x:c r="T1837" s="2"/>
      <x:c r="U1837" s="2" t="str"/>
      <x:c r="V1837" s="2" t="str">
        <x:v>2016-10-13</x:v>
      </x:c>
      <x:c r="W1837" s="2" t="str">
        <x:v>신청일 확인 / 담당기관 확인</x:v>
      </x:c>
      <x:c r="X1837" s="2" t="str">
        <x:v>원본·배정 기록 확인</x:v>
      </x:c>
      <x:c r="Y1837" s="2" t="str">
        <x:v>ad210cd9ec132cfd447541c8984dc53d30aff0f4fb2dc92d254d49275cc55976</x:v>
      </x:c>
      <x:c r="Z1837" s="2" t="n">
        <x:f>SUBTOTAL(103,A1837)</x:f>
        <x:v>1</x:v>
      </x:c>
      <x:c r="AA1837" s="2" t="str">
        <x:f>IF(K1837&lt;&gt;"미종결 표시","대상 아님",IF(N1837="","신청일 확인",IF(NOT(ISNUMBER('종합 현황'!$H$5)),"관찰기준 확인",IF('종합 현황'!$H$5&lt;1,"관찰기준 확인",IF(N1837&gt;'종합 현황'!$H$5,"내부 관찰 대상","내부 관찰일 이하")))))</x:f>
        <x:v>대상 아님</x:v>
      </x:c>
      <x:c r="AB1837" s="2"/>
    </x:row>
    <x:row r="1838" ht="42" customHeight="1">
      <x:c r="A1838" s="2" t="str">
        <x:v>e0ed14d9bdebd3c1b9a6d0d9</x:v>
      </x:c>
      <x:c r="B1838" s="2" t="str">
        <x:v>감축량 인증</x:v>
      </x:c>
      <x:c r="C1838" s="2" t="str">
        <x:v>국내</x:v>
      </x:c>
      <x:c r="D1838" s="7" t="str">
        <x:v>SF6 회수 및 재생사업</x:v>
      </x:c>
      <x:c r="E1838" s="2" t="str">
        <x:v>78</x:v>
      </x:c>
      <x:c r="F1838" s="2"/>
      <x:c r="G1838" s="2" t="str">
        <x:v>미확보</x:v>
      </x:c>
      <x:c r="H1838" s="2" t="str">
        <x:v>미확보</x:v>
      </x:c>
      <x:c r="I1838" s="2" t="str">
        <x:v>심의승인</x:v>
      </x:c>
      <x:c r="J1838" s="2" t="str">
        <x:v>심의승인</x:v>
      </x:c>
      <x:c r="K1838" s="2" t="str">
        <x:f>IF(OR(J1838="심의승인",J1838="반려",J1838="반려완료",J1838="심의완료"),"종결 표시",IF(OR(J1838="기후부협의",J1838="문서재제출요청",J1838="보류",J1838="보완요청",J1838="보완완료",J1838="평가중",J1838="반려요청",J1838="평가필요",LEFT(J1838,5)="보완요청("),"미종결 표시","상태 확인 필요"))</x:f>
        <x:v>종결 표시</x:v>
      </x:c>
      <x:c r="L1838" s="2"/>
      <x:c r="M1838" s="2"/>
      <x:c r="N1838" s="8"/>
      <x:c r="O1838" s="2"/>
      <x:c r="P1838" s="2"/>
      <x:c r="Q1838" s="2" t="str">
        <x:v>산업전환_외부사업관리Tool_260707_이너젠 수정_LJY_261013.xlsx</x:v>
      </x:c>
      <x:c r="R1838" s="2" t="str">
        <x:v>국내인증</x:v>
      </x:c>
      <x:c r="S1838" s="8" t="n">
        <x:v>156</x:v>
      </x:c>
      <x:c r="T1838" s="2"/>
      <x:c r="U1838" s="2" t="str"/>
      <x:c r="V1838" s="2" t="str">
        <x:v>2016-10-13</x:v>
      </x:c>
      <x:c r="W1838" s="2" t="str">
        <x:v>신청일 확인 / 담당기관 확인</x:v>
      </x:c>
      <x:c r="X1838" s="2" t="str">
        <x:v>원본·배정 기록 확인</x:v>
      </x:c>
      <x:c r="Y1838" s="2" t="str">
        <x:v>ad210cd9ec132cfd447541c8984dc53d30aff0f4fb2dc92d254d49275cc55976</x:v>
      </x:c>
      <x:c r="Z1838" s="2" t="n">
        <x:f>SUBTOTAL(103,A1838)</x:f>
        <x:v>1</x:v>
      </x:c>
      <x:c r="AA1838" s="2" t="str">
        <x:f>IF(K1838&lt;&gt;"미종결 표시","대상 아님",IF(N1838="","신청일 확인",IF(NOT(ISNUMBER('종합 현황'!$H$5)),"관찰기준 확인",IF('종합 현황'!$H$5&lt;1,"관찰기준 확인",IF(N1838&gt;'종합 현황'!$H$5,"내부 관찰 대상","내부 관찰일 이하")))))</x:f>
        <x:v>대상 아님</x:v>
      </x:c>
      <x:c r="AB1838" s="2"/>
    </x:row>
    <x:row r="1839" ht="42" customHeight="1">
      <x:c r="A1839" s="2" t="str">
        <x:v>b555f93800d00ea2d0f1f658</x:v>
      </x:c>
      <x:c r="B1839" s="2" t="str">
        <x:v>감축량 인증</x:v>
      </x:c>
      <x:c r="C1839" s="2" t="str">
        <x:v>국내</x:v>
      </x:c>
      <x:c r="D1839" s="7" t="str">
        <x:v>SF6 회수 및 재생사업</x:v>
      </x:c>
      <x:c r="E1839" s="2" t="str">
        <x:v>79</x:v>
      </x:c>
      <x:c r="F1839" s="2"/>
      <x:c r="G1839" s="2" t="str">
        <x:v>미확보</x:v>
      </x:c>
      <x:c r="H1839" s="2" t="str">
        <x:v>미확보</x:v>
      </x:c>
      <x:c r="I1839" s="2" t="str">
        <x:v>심의승인</x:v>
      </x:c>
      <x:c r="J1839" s="2" t="str">
        <x:v>심의승인</x:v>
      </x:c>
      <x:c r="K1839" s="2" t="str">
        <x:f>IF(OR(J1839="심의승인",J1839="반려",J1839="반려완료",J1839="심의완료"),"종결 표시",IF(OR(J1839="기후부협의",J1839="문서재제출요청",J1839="보류",J1839="보완요청",J1839="보완완료",J1839="평가중",J1839="반려요청",J1839="평가필요",LEFT(J1839,5)="보완요청("),"미종결 표시","상태 확인 필요"))</x:f>
        <x:v>종결 표시</x:v>
      </x:c>
      <x:c r="L1839" s="2"/>
      <x:c r="M1839" s="2"/>
      <x:c r="N1839" s="8"/>
      <x:c r="O1839" s="2"/>
      <x:c r="P1839" s="2"/>
      <x:c r="Q1839" s="2" t="str">
        <x:v>산업전환_외부사업관리Tool_260707_이너젠 수정_LJY_261013.xlsx</x:v>
      </x:c>
      <x:c r="R1839" s="2" t="str">
        <x:v>국내인증</x:v>
      </x:c>
      <x:c r="S1839" s="8" t="n">
        <x:v>157</x:v>
      </x:c>
      <x:c r="T1839" s="2"/>
      <x:c r="U1839" s="2" t="str"/>
      <x:c r="V1839" s="2" t="str">
        <x:v>2016-10-13</x:v>
      </x:c>
      <x:c r="W1839" s="2" t="str">
        <x:v>신청일 확인 / 담당기관 확인</x:v>
      </x:c>
      <x:c r="X1839" s="2" t="str">
        <x:v>원본·배정 기록 확인</x:v>
      </x:c>
      <x:c r="Y1839" s="2" t="str">
        <x:v>ad210cd9ec132cfd447541c8984dc53d30aff0f4fb2dc92d254d49275cc55976</x:v>
      </x:c>
      <x:c r="Z1839" s="2" t="n">
        <x:f>SUBTOTAL(103,A1839)</x:f>
        <x:v>1</x:v>
      </x:c>
      <x:c r="AA1839" s="2" t="str">
        <x:f>IF(K1839&lt;&gt;"미종결 표시","대상 아님",IF(N1839="","신청일 확인",IF(NOT(ISNUMBER('종합 현황'!$H$5)),"관찰기준 확인",IF('종합 현황'!$H$5&lt;1,"관찰기준 확인",IF(N1839&gt;'종합 현황'!$H$5,"내부 관찰 대상","내부 관찰일 이하")))))</x:f>
        <x:v>대상 아님</x:v>
      </x:c>
      <x:c r="AB1839" s="2"/>
    </x:row>
    <x:row r="1840" ht="42" customHeight="1">
      <x:c r="A1840" s="2" t="str">
        <x:v>51f28b2c5101a577ee8f3ee6</x:v>
      </x:c>
      <x:c r="B1840" s="2" t="str">
        <x:v>감축량 인증</x:v>
      </x:c>
      <x:c r="C1840" s="2" t="str">
        <x:v>국내</x:v>
      </x:c>
      <x:c r="D1840" s="7" t="str">
        <x:v>시화호 조력발전 사업</x:v>
      </x:c>
      <x:c r="E1840" s="2" t="str">
        <x:v>80</x:v>
      </x:c>
      <x:c r="F1840" s="2"/>
      <x:c r="G1840" s="2" t="str">
        <x:v>미확보</x:v>
      </x:c>
      <x:c r="H1840" s="2" t="str">
        <x:v>미확보</x:v>
      </x:c>
      <x:c r="I1840" s="2" t="str">
        <x:v>심의승인</x:v>
      </x:c>
      <x:c r="J1840" s="2" t="str">
        <x:v>심의승인</x:v>
      </x:c>
      <x:c r="K1840" s="2" t="str">
        <x:f>IF(OR(J1840="심의승인",J1840="반려",J1840="반려완료",J1840="심의완료"),"종결 표시",IF(OR(J1840="기후부협의",J1840="문서재제출요청",J1840="보류",J1840="보완요청",J1840="보완완료",J1840="평가중",J1840="반려요청",J1840="평가필요",LEFT(J1840,5)="보완요청("),"미종결 표시","상태 확인 필요"))</x:f>
        <x:v>종결 표시</x:v>
      </x:c>
      <x:c r="L1840" s="2"/>
      <x:c r="M1840" s="2"/>
      <x:c r="N1840" s="8"/>
      <x:c r="O1840" s="2"/>
      <x:c r="P1840" s="2"/>
      <x:c r="Q1840" s="2" t="str">
        <x:v>산업전환_외부사업관리Tool_260707_이너젠 수정_LJY_261013.xlsx</x:v>
      </x:c>
      <x:c r="R1840" s="2" t="str">
        <x:v>국내인증</x:v>
      </x:c>
      <x:c r="S1840" s="8" t="n">
        <x:v>158</x:v>
      </x:c>
      <x:c r="T1840" s="2"/>
      <x:c r="U1840" s="2" t="str"/>
      <x:c r="V1840" s="2" t="str">
        <x:v>2016-10-13</x:v>
      </x:c>
      <x:c r="W1840" s="2" t="str">
        <x:v>신청일 확인 / 담당기관 확인</x:v>
      </x:c>
      <x:c r="X1840" s="2" t="str">
        <x:v>원본·배정 기록 확인</x:v>
      </x:c>
      <x:c r="Y1840" s="2" t="str">
        <x:v>ad210cd9ec132cfd447541c8984dc53d30aff0f4fb2dc92d254d49275cc55976</x:v>
      </x:c>
      <x:c r="Z1840" s="2" t="n">
        <x:f>SUBTOTAL(103,A1840)</x:f>
        <x:v>1</x:v>
      </x:c>
      <x:c r="AA1840" s="2" t="str">
        <x:f>IF(K1840&lt;&gt;"미종결 표시","대상 아님",IF(N1840="","신청일 확인",IF(NOT(ISNUMBER('종합 현황'!$H$5)),"관찰기준 확인",IF('종합 현황'!$H$5&lt;1,"관찰기준 확인",IF(N1840&gt;'종합 현황'!$H$5,"내부 관찰 대상","내부 관찰일 이하")))))</x:f>
        <x:v>대상 아님</x:v>
      </x:c>
      <x:c r="AB1840" s="2"/>
    </x:row>
    <x:row r="1841" ht="42" customHeight="1">
      <x:c r="A1841" s="2" t="str">
        <x:v>2ab0c15906e0de143cde7c1c</x:v>
      </x:c>
      <x:c r="B1841" s="2" t="str">
        <x:v>감축량 인증</x:v>
      </x:c>
      <x:c r="C1841" s="2" t="str">
        <x:v>국내</x:v>
      </x:c>
      <x:c r="D1841" s="7" t="str">
        <x:v>휴켐스 질산공장 N2O 감축사업(휴켐스 주식회사의 질산 공장 세 곳에서 tail gas에 포함된 아산화질소를 촉매를 사용하여 제거하는 프로젝트)</x:v>
      </x:c>
      <x:c r="E1841" s="2" t="str">
        <x:v>81</x:v>
      </x:c>
      <x:c r="F1841" s="2"/>
      <x:c r="G1841" s="2" t="str">
        <x:v>미확보</x:v>
      </x:c>
      <x:c r="H1841" s="2" t="str">
        <x:v>미확보</x:v>
      </x:c>
      <x:c r="I1841" s="2" t="str">
        <x:v>심의승인</x:v>
      </x:c>
      <x:c r="J1841" s="2" t="str">
        <x:v>심의승인</x:v>
      </x:c>
      <x:c r="K1841" s="2" t="str">
        <x:f>IF(OR(J1841="심의승인",J1841="반려",J1841="반려완료",J1841="심의완료"),"종결 표시",IF(OR(J1841="기후부협의",J1841="문서재제출요청",J1841="보류",J1841="보완요청",J1841="보완완료",J1841="평가중",J1841="반려요청",J1841="평가필요",LEFT(J1841,5)="보완요청("),"미종결 표시","상태 확인 필요"))</x:f>
        <x:v>종결 표시</x:v>
      </x:c>
      <x:c r="L1841" s="2"/>
      <x:c r="M1841" s="2"/>
      <x:c r="N1841" s="8"/>
      <x:c r="O1841" s="2"/>
      <x:c r="P1841" s="2"/>
      <x:c r="Q1841" s="2" t="str">
        <x:v>산업전환_외부사업관리Tool_260707_이너젠 수정_LJY_261013.xlsx</x:v>
      </x:c>
      <x:c r="R1841" s="2" t="str">
        <x:v>국내인증</x:v>
      </x:c>
      <x:c r="S1841" s="8" t="n">
        <x:v>159</x:v>
      </x:c>
      <x:c r="T1841" s="2"/>
      <x:c r="U1841" s="2" t="str"/>
      <x:c r="V1841" s="2" t="str">
        <x:v>2017-01-17</x:v>
      </x:c>
      <x:c r="W1841" s="2" t="str">
        <x:v>신청일 확인 / 담당기관 확인</x:v>
      </x:c>
      <x:c r="X1841" s="2" t="str">
        <x:v>원본·배정 기록 확인</x:v>
      </x:c>
      <x:c r="Y1841" s="2" t="str">
        <x:v>ad210cd9ec132cfd447541c8984dc53d30aff0f4fb2dc92d254d49275cc55976</x:v>
      </x:c>
      <x:c r="Z1841" s="2" t="n">
        <x:f>SUBTOTAL(103,A1841)</x:f>
        <x:v>1</x:v>
      </x:c>
      <x:c r="AA1841" s="2" t="str">
        <x:f>IF(K1841&lt;&gt;"미종결 표시","대상 아님",IF(N1841="","신청일 확인",IF(NOT(ISNUMBER('종합 현황'!$H$5)),"관찰기준 확인",IF('종합 현황'!$H$5&lt;1,"관찰기준 확인",IF(N1841&gt;'종합 현황'!$H$5,"내부 관찰 대상","내부 관찰일 이하")))))</x:f>
        <x:v>대상 아님</x:v>
      </x:c>
      <x:c r="AB1841" s="2"/>
    </x:row>
    <x:row r="1842" ht="42" customHeight="1">
      <x:c r="A1842" s="2" t="str">
        <x:v>da81eb46b36bffe54b925a7d</x:v>
      </x:c>
      <x:c r="B1842" s="2" t="str">
        <x:v>감축량 인증</x:v>
      </x:c>
      <x:c r="C1842" s="2" t="str">
        <x:v>국내</x:v>
      </x:c>
      <x:c r="D1842" s="7" t="str">
        <x:v>휴켐스 질산공장 N2O 감축사업(휴켐스 주식회사의 질산 공장 세 곳에서 tail gas에 포함된 아산화질소를 촉매를 사용하여 제거하는 프로젝트)</x:v>
      </x:c>
      <x:c r="E1842" s="2" t="str">
        <x:v>82</x:v>
      </x:c>
      <x:c r="F1842" s="2"/>
      <x:c r="G1842" s="2" t="str">
        <x:v>미확보</x:v>
      </x:c>
      <x:c r="H1842" s="2" t="str">
        <x:v>미확보</x:v>
      </x:c>
      <x:c r="I1842" s="2" t="str">
        <x:v>심의승인</x:v>
      </x:c>
      <x:c r="J1842" s="2" t="str">
        <x:v>심의승인</x:v>
      </x:c>
      <x:c r="K1842" s="2" t="str">
        <x:f>IF(OR(J1842="심의승인",J1842="반려",J1842="반려완료",J1842="심의완료"),"종결 표시",IF(OR(J1842="기후부협의",J1842="문서재제출요청",J1842="보류",J1842="보완요청",J1842="보완완료",J1842="평가중",J1842="반려요청",J1842="평가필요",LEFT(J1842,5)="보완요청("),"미종결 표시","상태 확인 필요"))</x:f>
        <x:v>종결 표시</x:v>
      </x:c>
      <x:c r="L1842" s="2"/>
      <x:c r="M1842" s="2"/>
      <x:c r="N1842" s="8"/>
      <x:c r="O1842" s="2"/>
      <x:c r="P1842" s="2"/>
      <x:c r="Q1842" s="2" t="str">
        <x:v>산업전환_외부사업관리Tool_260707_이너젠 수정_LJY_261013.xlsx</x:v>
      </x:c>
      <x:c r="R1842" s="2" t="str">
        <x:v>국내인증</x:v>
      </x:c>
      <x:c r="S1842" s="8" t="n">
        <x:v>160</x:v>
      </x:c>
      <x:c r="T1842" s="2"/>
      <x:c r="U1842" s="2" t="str"/>
      <x:c r="V1842" s="2" t="str">
        <x:v>2017-01-17</x:v>
      </x:c>
      <x:c r="W1842" s="2" t="str">
        <x:v>신청일 확인 / 담당기관 확인</x:v>
      </x:c>
      <x:c r="X1842" s="2" t="str">
        <x:v>원본·배정 기록 확인</x:v>
      </x:c>
      <x:c r="Y1842" s="2" t="str">
        <x:v>ad210cd9ec132cfd447541c8984dc53d30aff0f4fb2dc92d254d49275cc55976</x:v>
      </x:c>
      <x:c r="Z1842" s="2" t="n">
        <x:f>SUBTOTAL(103,A1842)</x:f>
        <x:v>1</x:v>
      </x:c>
      <x:c r="AA1842" s="2" t="str">
        <x:f>IF(K1842&lt;&gt;"미종결 표시","대상 아님",IF(N1842="","신청일 확인",IF(NOT(ISNUMBER('종합 현황'!$H$5)),"관찰기준 확인",IF('종합 현황'!$H$5&lt;1,"관찰기준 확인",IF(N1842&gt;'종합 현황'!$H$5,"내부 관찰 대상","내부 관찰일 이하")))))</x:f>
        <x:v>대상 아님</x:v>
      </x:c>
      <x:c r="AB1842" s="2"/>
    </x:row>
    <x:row r="1843" ht="42" customHeight="1">
      <x:c r="A1843" s="2" t="str">
        <x:v>12bfeeaae7657a478e8b1ef3</x:v>
      </x:c>
      <x:c r="B1843" s="2" t="str">
        <x:v>감축량 인증</x:v>
      </x:c>
      <x:c r="C1843" s="2" t="str">
        <x:v>국내</x:v>
      </x:c>
      <x:c r="D1843" s="7" t="str">
        <x:v>휴켐스(주) 신설 5질산에서 발생하는 아산화질소 배출량 저감사업</x:v>
      </x:c>
      <x:c r="E1843" s="2" t="str">
        <x:v>83</x:v>
      </x:c>
      <x:c r="F1843" s="2"/>
      <x:c r="G1843" s="2" t="str">
        <x:v>미확보</x:v>
      </x:c>
      <x:c r="H1843" s="2" t="str">
        <x:v>미확보</x:v>
      </x:c>
      <x:c r="I1843" s="2" t="str">
        <x:v>심의승인</x:v>
      </x:c>
      <x:c r="J1843" s="2" t="str">
        <x:v>심의승인</x:v>
      </x:c>
      <x:c r="K1843" s="2" t="str">
        <x:f>IF(OR(J1843="심의승인",J1843="반려",J1843="반려완료",J1843="심의완료"),"종결 표시",IF(OR(J1843="기후부협의",J1843="문서재제출요청",J1843="보류",J1843="보완요청",J1843="보완완료",J1843="평가중",J1843="반려요청",J1843="평가필요",LEFT(J1843,5)="보완요청("),"미종결 표시","상태 확인 필요"))</x:f>
        <x:v>종결 표시</x:v>
      </x:c>
      <x:c r="L1843" s="2"/>
      <x:c r="M1843" s="2"/>
      <x:c r="N1843" s="8"/>
      <x:c r="O1843" s="2"/>
      <x:c r="P1843" s="2"/>
      <x:c r="Q1843" s="2" t="str">
        <x:v>산업전환_외부사업관리Tool_260707_이너젠 수정_LJY_261013.xlsx</x:v>
      </x:c>
      <x:c r="R1843" s="2" t="str">
        <x:v>국내인증</x:v>
      </x:c>
      <x:c r="S1843" s="8" t="n">
        <x:v>161</x:v>
      </x:c>
      <x:c r="T1843" s="2"/>
      <x:c r="U1843" s="2" t="str"/>
      <x:c r="V1843" s="2" t="str">
        <x:v>2017-01-17</x:v>
      </x:c>
      <x:c r="W1843" s="2" t="str">
        <x:v>신청일 확인 / 담당기관 확인</x:v>
      </x:c>
      <x:c r="X1843" s="2" t="str">
        <x:v>원본·배정 기록 확인</x:v>
      </x:c>
      <x:c r="Y1843" s="2" t="str">
        <x:v>ad210cd9ec132cfd447541c8984dc53d30aff0f4fb2dc92d254d49275cc55976</x:v>
      </x:c>
      <x:c r="Z1843" s="2" t="n">
        <x:f>SUBTOTAL(103,A1843)</x:f>
        <x:v>1</x:v>
      </x:c>
      <x:c r="AA1843" s="2" t="str">
        <x:f>IF(K1843&lt;&gt;"미종결 표시","대상 아님",IF(N1843="","신청일 확인",IF(NOT(ISNUMBER('종합 현황'!$H$5)),"관찰기준 확인",IF('종합 현황'!$H$5&lt;1,"관찰기준 확인",IF(N1843&gt;'종합 현황'!$H$5,"내부 관찰 대상","내부 관찰일 이하")))))</x:f>
        <x:v>대상 아님</x:v>
      </x:c>
      <x:c r="AB1843" s="2"/>
    </x:row>
    <x:row r="1844" ht="42" customHeight="1">
      <x:c r="A1844" s="2" t="str">
        <x:v>ee8d4fd6ba2fa71dc65e5ff5</x:v>
      </x:c>
      <x:c r="B1844" s="2" t="str">
        <x:v>감축량 인증</x:v>
      </x:c>
      <x:c r="C1844" s="2" t="str">
        <x:v>국내</x:v>
      </x:c>
      <x:c r="D1844" s="7" t="str">
        <x:v>휴켐스(주) 신설 5질산에서 발생하는 아산화질소 배출량 저감사업</x:v>
      </x:c>
      <x:c r="E1844" s="2" t="str">
        <x:v>84</x:v>
      </x:c>
      <x:c r="F1844" s="2"/>
      <x:c r="G1844" s="2" t="str">
        <x:v>미확보</x:v>
      </x:c>
      <x:c r="H1844" s="2" t="str">
        <x:v>미확보</x:v>
      </x:c>
      <x:c r="I1844" s="2" t="str">
        <x:v>심의승인</x:v>
      </x:c>
      <x:c r="J1844" s="2" t="str">
        <x:v>심의승인</x:v>
      </x:c>
      <x:c r="K1844" s="2" t="str">
        <x:f>IF(OR(J1844="심의승인",J1844="반려",J1844="반려완료",J1844="심의완료"),"종결 표시",IF(OR(J1844="기후부협의",J1844="문서재제출요청",J1844="보류",J1844="보완요청",J1844="보완완료",J1844="평가중",J1844="반려요청",J1844="평가필요",LEFT(J1844,5)="보완요청("),"미종결 표시","상태 확인 필요"))</x:f>
        <x:v>종결 표시</x:v>
      </x:c>
      <x:c r="L1844" s="2"/>
      <x:c r="M1844" s="2"/>
      <x:c r="N1844" s="8"/>
      <x:c r="O1844" s="2"/>
      <x:c r="P1844" s="2"/>
      <x:c r="Q1844" s="2" t="str">
        <x:v>산업전환_외부사업관리Tool_260707_이너젠 수정_LJY_261013.xlsx</x:v>
      </x:c>
      <x:c r="R1844" s="2" t="str">
        <x:v>국내인증</x:v>
      </x:c>
      <x:c r="S1844" s="8" t="n">
        <x:v>162</x:v>
      </x:c>
      <x:c r="T1844" s="2"/>
      <x:c r="U1844" s="2" t="str"/>
      <x:c r="V1844" s="2" t="str">
        <x:v>2017-01-17</x:v>
      </x:c>
      <x:c r="W1844" s="2" t="str">
        <x:v>신청일 확인 / 담당기관 확인</x:v>
      </x:c>
      <x:c r="X1844" s="2" t="str">
        <x:v>원본·배정 기록 확인</x:v>
      </x:c>
      <x:c r="Y1844" s="2" t="str">
        <x:v>ad210cd9ec132cfd447541c8984dc53d30aff0f4fb2dc92d254d49275cc55976</x:v>
      </x:c>
      <x:c r="Z1844" s="2" t="n">
        <x:f>SUBTOTAL(103,A1844)</x:f>
        <x:v>1</x:v>
      </x:c>
      <x:c r="AA1844" s="2" t="str">
        <x:f>IF(K1844&lt;&gt;"미종결 표시","대상 아님",IF(N1844="","신청일 확인",IF(NOT(ISNUMBER('종합 현황'!$H$5)),"관찰기준 확인",IF('종합 현황'!$H$5&lt;1,"관찰기준 확인",IF(N1844&gt;'종합 현황'!$H$5,"내부 관찰 대상","내부 관찰일 이하")))))</x:f>
        <x:v>대상 아님</x:v>
      </x:c>
      <x:c r="AB1844" s="2"/>
    </x:row>
    <x:row r="1845" ht="42" customHeight="1">
      <x:c r="A1845" s="2" t="str">
        <x:v>e02666e7281bdf02ff120a91</x:v>
      </x:c>
      <x:c r="B1845" s="2" t="str">
        <x:v>감축량 인증</x:v>
      </x:c>
      <x:c r="C1845" s="2" t="str">
        <x:v>국내</x:v>
      </x:c>
      <x:c r="D1845" s="7" t="str">
        <x:v>시화호 조력발전 사업</x:v>
      </x:c>
      <x:c r="E1845" s="2" t="str">
        <x:v>85</x:v>
      </x:c>
      <x:c r="F1845" s="2"/>
      <x:c r="G1845" s="2" t="str">
        <x:v>미확보</x:v>
      </x:c>
      <x:c r="H1845" s="2" t="str">
        <x:v>미확보</x:v>
      </x:c>
      <x:c r="I1845" s="2" t="str">
        <x:v>심의승인</x:v>
      </x:c>
      <x:c r="J1845" s="2" t="str">
        <x:v>심의승인</x:v>
      </x:c>
      <x:c r="K1845" s="2" t="str">
        <x:f>IF(OR(J1845="심의승인",J1845="반려",J1845="반려완료",J1845="심의완료"),"종결 표시",IF(OR(J1845="기후부협의",J1845="문서재제출요청",J1845="보류",J1845="보완요청",J1845="보완완료",J1845="평가중",J1845="반려요청",J1845="평가필요",LEFT(J1845,5)="보완요청("),"미종결 표시","상태 확인 필요"))</x:f>
        <x:v>종결 표시</x:v>
      </x:c>
      <x:c r="L1845" s="2"/>
      <x:c r="M1845" s="2"/>
      <x:c r="N1845" s="8"/>
      <x:c r="O1845" s="2"/>
      <x:c r="P1845" s="2"/>
      <x:c r="Q1845" s="2" t="str">
        <x:v>산업전환_외부사업관리Tool_260707_이너젠 수정_LJY_261013.xlsx</x:v>
      </x:c>
      <x:c r="R1845" s="2" t="str">
        <x:v>국내인증</x:v>
      </x:c>
      <x:c r="S1845" s="8" t="n">
        <x:v>163</x:v>
      </x:c>
      <x:c r="T1845" s="2"/>
      <x:c r="U1845" s="2" t="str"/>
      <x:c r="V1845" s="2" t="str">
        <x:v>2017-05-25</x:v>
      </x:c>
      <x:c r="W1845" s="2" t="str">
        <x:v>신청일 확인 / 담당기관 확인</x:v>
      </x:c>
      <x:c r="X1845" s="2" t="str">
        <x:v>원본·배정 기록 확인</x:v>
      </x:c>
      <x:c r="Y1845" s="2" t="str">
        <x:v>ad210cd9ec132cfd447541c8984dc53d30aff0f4fb2dc92d254d49275cc55976</x:v>
      </x:c>
      <x:c r="Z1845" s="2" t="n">
        <x:f>SUBTOTAL(103,A1845)</x:f>
        <x:v>1</x:v>
      </x:c>
      <x:c r="AA1845" s="2" t="str">
        <x:f>IF(K1845&lt;&gt;"미종결 표시","대상 아님",IF(N1845="","신청일 확인",IF(NOT(ISNUMBER('종합 현황'!$H$5)),"관찰기준 확인",IF('종합 현황'!$H$5&lt;1,"관찰기준 확인",IF(N1845&gt;'종합 현황'!$H$5,"내부 관찰 대상","내부 관찰일 이하")))))</x:f>
        <x:v>대상 아님</x:v>
      </x:c>
      <x:c r="AB1845" s="2"/>
    </x:row>
    <x:row r="1846" ht="42" customHeight="1">
      <x:c r="A1846" s="2" t="str">
        <x:v>4bc21341afcef7f2a7051fdb</x:v>
      </x:c>
      <x:c r="B1846" s="2" t="str">
        <x:v>감축량 인증</x:v>
      </x:c>
      <x:c r="C1846" s="2" t="str">
        <x:v>국내</x:v>
      </x:c>
      <x:c r="D1846" s="7" t="str">
        <x:v>시화호 조력발전 사업</x:v>
      </x:c>
      <x:c r="E1846" s="2" t="str">
        <x:v>86</x:v>
      </x:c>
      <x:c r="F1846" s="2"/>
      <x:c r="G1846" s="2" t="str">
        <x:v>미확보</x:v>
      </x:c>
      <x:c r="H1846" s="2" t="str">
        <x:v>미확보</x:v>
      </x:c>
      <x:c r="I1846" s="2" t="str">
        <x:v>심의승인</x:v>
      </x:c>
      <x:c r="J1846" s="2" t="str">
        <x:v>심의승인</x:v>
      </x:c>
      <x:c r="K1846" s="2" t="str">
        <x:f>IF(OR(J1846="심의승인",J1846="반려",J1846="반려완료",J1846="심의완료"),"종결 표시",IF(OR(J1846="기후부협의",J1846="문서재제출요청",J1846="보류",J1846="보완요청",J1846="보완완료",J1846="평가중",J1846="반려요청",J1846="평가필요",LEFT(J1846,5)="보완요청("),"미종결 표시","상태 확인 필요"))</x:f>
        <x:v>종결 표시</x:v>
      </x:c>
      <x:c r="L1846" s="2"/>
      <x:c r="M1846" s="2"/>
      <x:c r="N1846" s="8"/>
      <x:c r="O1846" s="2"/>
      <x:c r="P1846" s="2"/>
      <x:c r="Q1846" s="2" t="str">
        <x:v>산업전환_외부사업관리Tool_260707_이너젠 수정_LJY_261013.xlsx</x:v>
      </x:c>
      <x:c r="R1846" s="2" t="str">
        <x:v>국내인증</x:v>
      </x:c>
      <x:c r="S1846" s="8" t="n">
        <x:v>164</x:v>
      </x:c>
      <x:c r="T1846" s="2"/>
      <x:c r="U1846" s="2" t="str"/>
      <x:c r="V1846" s="2" t="str">
        <x:v>2017-05-25</x:v>
      </x:c>
      <x:c r="W1846" s="2" t="str">
        <x:v>신청일 확인 / 담당기관 확인</x:v>
      </x:c>
      <x:c r="X1846" s="2" t="str">
        <x:v>원본·배정 기록 확인</x:v>
      </x:c>
      <x:c r="Y1846" s="2" t="str">
        <x:v>ad210cd9ec132cfd447541c8984dc53d30aff0f4fb2dc92d254d49275cc55976</x:v>
      </x:c>
      <x:c r="Z1846" s="2" t="n">
        <x:f>SUBTOTAL(103,A1846)</x:f>
        <x:v>1</x:v>
      </x:c>
      <x:c r="AA1846" s="2" t="str">
        <x:f>IF(K1846&lt;&gt;"미종결 표시","대상 아님",IF(N1846="","신청일 확인",IF(NOT(ISNUMBER('종합 현황'!$H$5)),"관찰기준 확인",IF('종합 현황'!$H$5&lt;1,"관찰기준 확인",IF(N1846&gt;'종합 현황'!$H$5,"내부 관찰 대상","내부 관찰일 이하")))))</x:f>
        <x:v>대상 아님</x:v>
      </x:c>
      <x:c r="AB1846" s="2"/>
    </x:row>
    <x:row r="1847" ht="42" customHeight="1">
      <x:c r="A1847" s="2" t="str">
        <x:v>97e9411d16be9592d4fc7255</x:v>
      </x:c>
      <x:c r="B1847" s="2" t="str">
        <x:v>감축량 인증</x:v>
      </x:c>
      <x:c r="C1847" s="2" t="str">
        <x:v>국내</x:v>
      </x:c>
      <x:c r="D1847" s="7" t="str">
        <x:v>휴켐스(주) 신설 5질산에서 발생하는 아산화질소 배출량 저감사업</x:v>
      </x:c>
      <x:c r="E1847" s="2" t="str">
        <x:v>87</x:v>
      </x:c>
      <x:c r="F1847" s="2"/>
      <x:c r="G1847" s="2" t="str">
        <x:v>미확보</x:v>
      </x:c>
      <x:c r="H1847" s="2" t="str">
        <x:v>미확보</x:v>
      </x:c>
      <x:c r="I1847" s="2" t="str">
        <x:v>심의승인</x:v>
      </x:c>
      <x:c r="J1847" s="2" t="str">
        <x:v>심의승인</x:v>
      </x:c>
      <x:c r="K1847" s="2" t="str">
        <x:f>IF(OR(J1847="심의승인",J1847="반려",J1847="반려완료",J1847="심의완료"),"종결 표시",IF(OR(J1847="기후부협의",J1847="문서재제출요청",J1847="보류",J1847="보완요청",J1847="보완완료",J1847="평가중",J1847="반려요청",J1847="평가필요",LEFT(J1847,5)="보완요청("),"미종결 표시","상태 확인 필요"))</x:f>
        <x:v>종결 표시</x:v>
      </x:c>
      <x:c r="L1847" s="2"/>
      <x:c r="M1847" s="2"/>
      <x:c r="N1847" s="8"/>
      <x:c r="O1847" s="2"/>
      <x:c r="P1847" s="2"/>
      <x:c r="Q1847" s="2" t="str">
        <x:v>산업전환_외부사업관리Tool_260707_이너젠 수정_LJY_261013.xlsx</x:v>
      </x:c>
      <x:c r="R1847" s="2" t="str">
        <x:v>국내인증</x:v>
      </x:c>
      <x:c r="S1847" s="8" t="n">
        <x:v>165</x:v>
      </x:c>
      <x:c r="T1847" s="2"/>
      <x:c r="U1847" s="2" t="str"/>
      <x:c r="V1847" s="2" t="str">
        <x:v>2017-05-25</x:v>
      </x:c>
      <x:c r="W1847" s="2" t="str">
        <x:v>신청일 확인 / 담당기관 확인</x:v>
      </x:c>
      <x:c r="X1847" s="2" t="str">
        <x:v>원본·배정 기록 확인</x:v>
      </x:c>
      <x:c r="Y1847" s="2" t="str">
        <x:v>ad210cd9ec132cfd447541c8984dc53d30aff0f4fb2dc92d254d49275cc55976</x:v>
      </x:c>
      <x:c r="Z1847" s="2" t="n">
        <x:f>SUBTOTAL(103,A1847)</x:f>
        <x:v>1</x:v>
      </x:c>
      <x:c r="AA1847" s="2" t="str">
        <x:f>IF(K1847&lt;&gt;"미종결 표시","대상 아님",IF(N1847="","신청일 확인",IF(NOT(ISNUMBER('종합 현황'!$H$5)),"관찰기준 확인",IF('종합 현황'!$H$5&lt;1,"관찰기준 확인",IF(N1847&gt;'종합 현황'!$H$5,"내부 관찰 대상","내부 관찰일 이하")))))</x:f>
        <x:v>대상 아님</x:v>
      </x:c>
      <x:c r="AB1847" s="2"/>
    </x:row>
    <x:row r="1848" ht="42" customHeight="1">
      <x:c r="A1848" s="2" t="str">
        <x:v>69f092f008a3f7f4b09d46a3</x:v>
      </x:c>
      <x:c r="B1848" s="2" t="str">
        <x:v>감축량 인증</x:v>
      </x:c>
      <x:c r="C1848" s="2" t="str">
        <x:v>국내</x:v>
      </x:c>
      <x:c r="D1848" s="7" t="str">
        <x:v>휴켐스 질산공장 N2O 감축사업(휴켐스 주식회사의 질산 공장 세 곳에서 tail gas에 포함된 아산화질소를 촉매를 사용하여 제거하는 프로젝트)</x:v>
      </x:c>
      <x:c r="E1848" s="2" t="str">
        <x:v>88</x:v>
      </x:c>
      <x:c r="F1848" s="2"/>
      <x:c r="G1848" s="2" t="str">
        <x:v>미확보</x:v>
      </x:c>
      <x:c r="H1848" s="2" t="str">
        <x:v>미확보</x:v>
      </x:c>
      <x:c r="I1848" s="2" t="str">
        <x:v>심의승인</x:v>
      </x:c>
      <x:c r="J1848" s="2" t="str">
        <x:v>심의승인</x:v>
      </x:c>
      <x:c r="K1848" s="2" t="str">
        <x:f>IF(OR(J1848="심의승인",J1848="반려",J1848="반려완료",J1848="심의완료"),"종결 표시",IF(OR(J1848="기후부협의",J1848="문서재제출요청",J1848="보류",J1848="보완요청",J1848="보완완료",J1848="평가중",J1848="반려요청",J1848="평가필요",LEFT(J1848,5)="보완요청("),"미종결 표시","상태 확인 필요"))</x:f>
        <x:v>종결 표시</x:v>
      </x:c>
      <x:c r="L1848" s="2"/>
      <x:c r="M1848" s="2"/>
      <x:c r="N1848" s="8"/>
      <x:c r="O1848" s="2"/>
      <x:c r="P1848" s="2"/>
      <x:c r="Q1848" s="2" t="str">
        <x:v>산업전환_외부사업관리Tool_260707_이너젠 수정_LJY_261013.xlsx</x:v>
      </x:c>
      <x:c r="R1848" s="2" t="str">
        <x:v>국내인증</x:v>
      </x:c>
      <x:c r="S1848" s="8" t="n">
        <x:v>166</x:v>
      </x:c>
      <x:c r="T1848" s="2"/>
      <x:c r="U1848" s="2" t="str"/>
      <x:c r="V1848" s="2" t="str">
        <x:v>2017-05-25</x:v>
      </x:c>
      <x:c r="W1848" s="2" t="str">
        <x:v>신청일 확인 / 담당기관 확인</x:v>
      </x:c>
      <x:c r="X1848" s="2" t="str">
        <x:v>원본·배정 기록 확인</x:v>
      </x:c>
      <x:c r="Y1848" s="2" t="str">
        <x:v>ad210cd9ec132cfd447541c8984dc53d30aff0f4fb2dc92d254d49275cc55976</x:v>
      </x:c>
      <x:c r="Z1848" s="2" t="n">
        <x:f>SUBTOTAL(103,A1848)</x:f>
        <x:v>1</x:v>
      </x:c>
      <x:c r="AA1848" s="2" t="str">
        <x:f>IF(K1848&lt;&gt;"미종결 표시","대상 아님",IF(N1848="","신청일 확인",IF(NOT(ISNUMBER('종합 현황'!$H$5)),"관찰기준 확인",IF('종합 현황'!$H$5&lt;1,"관찰기준 확인",IF(N1848&gt;'종합 현황'!$H$5,"내부 관찰 대상","내부 관찰일 이하")))))</x:f>
        <x:v>대상 아님</x:v>
      </x:c>
      <x:c r="AB1848" s="2"/>
    </x:row>
    <x:row r="1849" ht="42" customHeight="1">
      <x:c r="A1849" s="2" t="str">
        <x:v>e5757d9a2d78ddd919aef07f</x:v>
      </x:c>
      <x:c r="B1849" s="2" t="str">
        <x:v>감축량 인증</x:v>
      </x:c>
      <x:c r="C1849" s="2" t="str">
        <x:v>국내</x:v>
      </x:c>
      <x:c r="D1849" s="7" t="str">
        <x:v>한국토지주택공사 국민임대주택 태양광 발전 번들링 CDM사업</x:v>
      </x:c>
      <x:c r="E1849" s="2" t="str">
        <x:v>89</x:v>
      </x:c>
      <x:c r="F1849" s="2"/>
      <x:c r="G1849" s="2" t="str">
        <x:v>미확보</x:v>
      </x:c>
      <x:c r="H1849" s="2" t="str">
        <x:v>미확보</x:v>
      </x:c>
      <x:c r="I1849" s="2" t="str">
        <x:v>심의승인</x:v>
      </x:c>
      <x:c r="J1849" s="2" t="str">
        <x:v>심의승인</x:v>
      </x:c>
      <x:c r="K1849" s="2" t="str">
        <x:f>IF(OR(J1849="심의승인",J1849="반려",J1849="반려완료",J1849="심의완료"),"종결 표시",IF(OR(J1849="기후부협의",J1849="문서재제출요청",J1849="보류",J1849="보완요청",J1849="보완완료",J1849="평가중",J1849="반려요청",J1849="평가필요",LEFT(J1849,5)="보완요청("),"미종결 표시","상태 확인 필요"))</x:f>
        <x:v>종결 표시</x:v>
      </x:c>
      <x:c r="L1849" s="2"/>
      <x:c r="M1849" s="2"/>
      <x:c r="N1849" s="8"/>
      <x:c r="O1849" s="2"/>
      <x:c r="P1849" s="2"/>
      <x:c r="Q1849" s="2" t="str">
        <x:v>산업전환_외부사업관리Tool_260707_이너젠 수정_LJY_261013.xlsx</x:v>
      </x:c>
      <x:c r="R1849" s="2" t="str">
        <x:v>국내인증</x:v>
      </x:c>
      <x:c r="S1849" s="8" t="n">
        <x:v>167</x:v>
      </x:c>
      <x:c r="T1849" s="2"/>
      <x:c r="U1849" s="2" t="str"/>
      <x:c r="V1849" s="2" t="str">
        <x:v>2017-05-25</x:v>
      </x:c>
      <x:c r="W1849" s="2" t="str">
        <x:v>신청일 확인 / 담당기관 확인</x:v>
      </x:c>
      <x:c r="X1849" s="2" t="str">
        <x:v>원본·배정 기록 확인</x:v>
      </x:c>
      <x:c r="Y1849" s="2" t="str">
        <x:v>ad210cd9ec132cfd447541c8984dc53d30aff0f4fb2dc92d254d49275cc55976</x:v>
      </x:c>
      <x:c r="Z1849" s="2" t="n">
        <x:f>SUBTOTAL(103,A1849)</x:f>
        <x:v>1</x:v>
      </x:c>
      <x:c r="AA1849" s="2" t="str">
        <x:f>IF(K1849&lt;&gt;"미종결 표시","대상 아님",IF(N1849="","신청일 확인",IF(NOT(ISNUMBER('종합 현황'!$H$5)),"관찰기준 확인",IF('종합 현황'!$H$5&lt;1,"관찰기준 확인",IF(N1849&gt;'종합 현황'!$H$5,"내부 관찰 대상","내부 관찰일 이하")))))</x:f>
        <x:v>대상 아님</x:v>
      </x:c>
      <x:c r="AB1849" s="2"/>
    </x:row>
    <x:row r="1850" ht="42" customHeight="1">
      <x:c r="A1850" s="2" t="str">
        <x:v>294851d57c985dedfcbd9893</x:v>
      </x:c>
      <x:c r="B1850" s="2" t="str">
        <x:v>감축량 인증</x:v>
      </x:c>
      <x:c r="C1850" s="2" t="str">
        <x:v>국내</x:v>
      </x:c>
      <x:c r="D1850" s="7" t="str">
        <x:v>휴켐스 질산공장 N2O 감축사업(휴켐스 주식회사의 질산 공장 세곡에서 tail gas에 포한된 아산화질소를 촉매를 사용하여 제거하는 프로젝트)</x:v>
      </x:c>
      <x:c r="E1850" s="2" t="str">
        <x:v>90</x:v>
      </x:c>
      <x:c r="F1850" s="2"/>
      <x:c r="G1850" s="2" t="str">
        <x:v>미확보</x:v>
      </x:c>
      <x:c r="H1850" s="2" t="str">
        <x:v>미확보</x:v>
      </x:c>
      <x:c r="I1850" s="2" t="str">
        <x:v>심의승인</x:v>
      </x:c>
      <x:c r="J1850" s="2" t="str">
        <x:v>심의승인</x:v>
      </x:c>
      <x:c r="K1850" s="2" t="str">
        <x:f>IF(OR(J1850="심의승인",J1850="반려",J1850="반려완료",J1850="심의완료"),"종결 표시",IF(OR(J1850="기후부협의",J1850="문서재제출요청",J1850="보류",J1850="보완요청",J1850="보완완료",J1850="평가중",J1850="반려요청",J1850="평가필요",LEFT(J1850,5)="보완요청("),"미종결 표시","상태 확인 필요"))</x:f>
        <x:v>종결 표시</x:v>
      </x:c>
      <x:c r="L1850" s="2"/>
      <x:c r="M1850" s="2"/>
      <x:c r="N1850" s="8"/>
      <x:c r="O1850" s="2"/>
      <x:c r="P1850" s="2"/>
      <x:c r="Q1850" s="2" t="str">
        <x:v>산업전환_외부사업관리Tool_260707_이너젠 수정_LJY_261013.xlsx</x:v>
      </x:c>
      <x:c r="R1850" s="2" t="str">
        <x:v>국내인증</x:v>
      </x:c>
      <x:c r="S1850" s="8" t="n">
        <x:v>168</x:v>
      </x:c>
      <x:c r="T1850" s="2"/>
      <x:c r="U1850" s="2" t="str"/>
      <x:c r="V1850" s="2" t="str">
        <x:v>2017-05-25</x:v>
      </x:c>
      <x:c r="W1850" s="2" t="str">
        <x:v>신청일 확인 / 담당기관 확인</x:v>
      </x:c>
      <x:c r="X1850" s="2" t="str">
        <x:v>원본·배정 기록 확인</x:v>
      </x:c>
      <x:c r="Y1850" s="2" t="str">
        <x:v>ad210cd9ec132cfd447541c8984dc53d30aff0f4fb2dc92d254d49275cc55976</x:v>
      </x:c>
      <x:c r="Z1850" s="2" t="n">
        <x:f>SUBTOTAL(103,A1850)</x:f>
        <x:v>1</x:v>
      </x:c>
      <x:c r="AA1850" s="2" t="str">
        <x:f>IF(K1850&lt;&gt;"미종결 표시","대상 아님",IF(N1850="","신청일 확인",IF(NOT(ISNUMBER('종합 현황'!$H$5)),"관찰기준 확인",IF('종합 현황'!$H$5&lt;1,"관찰기준 확인",IF(N1850&gt;'종합 현황'!$H$5,"내부 관찰 대상","내부 관찰일 이하")))))</x:f>
        <x:v>대상 아님</x:v>
      </x:c>
      <x:c r="AB1850" s="2"/>
    </x:row>
    <x:row r="1851" ht="42" customHeight="1">
      <x:c r="A1851" s="2" t="str">
        <x:v>061e812001c41b3327bc78e4</x:v>
      </x:c>
      <x:c r="B1851" s="2" t="str">
        <x:v>감축량 인증</x:v>
      </x:c>
      <x:c r="C1851" s="2" t="str">
        <x:v>국내</x:v>
      </x:c>
      <x:c r="D1851" s="7" t="str">
        <x:v>(주)한화 울산소재 질산공장 N2O감축 프로젝트</x:v>
      </x:c>
      <x:c r="E1851" s="2" t="str">
        <x:v>91</x:v>
      </x:c>
      <x:c r="F1851" s="2"/>
      <x:c r="G1851" s="2" t="str">
        <x:v>미확보</x:v>
      </x:c>
      <x:c r="H1851" s="2" t="str">
        <x:v>미확보</x:v>
      </x:c>
      <x:c r="I1851" s="2" t="str">
        <x:v>심의승인</x:v>
      </x:c>
      <x:c r="J1851" s="2" t="str">
        <x:v>심의승인</x:v>
      </x:c>
      <x:c r="K1851" s="2" t="str">
        <x:f>IF(OR(J1851="심의승인",J1851="반려",J1851="반려완료",J1851="심의완료"),"종결 표시",IF(OR(J1851="기후부협의",J1851="문서재제출요청",J1851="보류",J1851="보완요청",J1851="보완완료",J1851="평가중",J1851="반려요청",J1851="평가필요",LEFT(J1851,5)="보완요청("),"미종결 표시","상태 확인 필요"))</x:f>
        <x:v>종결 표시</x:v>
      </x:c>
      <x:c r="L1851" s="2"/>
      <x:c r="M1851" s="2"/>
      <x:c r="N1851" s="8"/>
      <x:c r="O1851" s="2"/>
      <x:c r="P1851" s="2"/>
      <x:c r="Q1851" s="2" t="str">
        <x:v>산업전환_외부사업관리Tool_260707_이너젠 수정_LJY_261013.xlsx</x:v>
      </x:c>
      <x:c r="R1851" s="2" t="str">
        <x:v>국내인증</x:v>
      </x:c>
      <x:c r="S1851" s="8" t="n">
        <x:v>169</x:v>
      </x:c>
      <x:c r="T1851" s="2"/>
      <x:c r="U1851" s="2" t="str"/>
      <x:c r="V1851" s="2" t="str">
        <x:v>2017-05-25</x:v>
      </x:c>
      <x:c r="W1851" s="2" t="str">
        <x:v>신청일 확인 / 담당기관 확인</x:v>
      </x:c>
      <x:c r="X1851" s="2" t="str">
        <x:v>원본·배정 기록 확인</x:v>
      </x:c>
      <x:c r="Y1851" s="2" t="str">
        <x:v>ad210cd9ec132cfd447541c8984dc53d30aff0f4fb2dc92d254d49275cc55976</x:v>
      </x:c>
      <x:c r="Z1851" s="2" t="n">
        <x:f>SUBTOTAL(103,A1851)</x:f>
        <x:v>1</x:v>
      </x:c>
      <x:c r="AA1851" s="2" t="str">
        <x:f>IF(K1851&lt;&gt;"미종결 표시","대상 아님",IF(N1851="","신청일 확인",IF(NOT(ISNUMBER('종합 현황'!$H$5)),"관찰기준 확인",IF('종합 현황'!$H$5&lt;1,"관찰기준 확인",IF(N1851&gt;'종합 현황'!$H$5,"내부 관찰 대상","내부 관찰일 이하")))))</x:f>
        <x:v>대상 아님</x:v>
      </x:c>
      <x:c r="AB1851" s="2"/>
    </x:row>
    <x:row r="1852" ht="42" customHeight="1">
      <x:c r="A1852" s="2" t="str">
        <x:v>c793e944780c2fa0db4eadc3</x:v>
      </x:c>
      <x:c r="B1852" s="2" t="str">
        <x:v>감축량 인증</x:v>
      </x:c>
      <x:c r="C1852" s="2" t="str">
        <x:v>국내</x:v>
      </x:c>
      <x:c r="D1852" s="7" t="str">
        <x:v>카프로 N2O 저감 사업</x:v>
      </x:c>
      <x:c r="E1852" s="2" t="str">
        <x:v>92</x:v>
      </x:c>
      <x:c r="F1852" s="2"/>
      <x:c r="G1852" s="2" t="str">
        <x:v>미확보</x:v>
      </x:c>
      <x:c r="H1852" s="2" t="str">
        <x:v>미확보</x:v>
      </x:c>
      <x:c r="I1852" s="2" t="str">
        <x:v>심의승인</x:v>
      </x:c>
      <x:c r="J1852" s="2" t="str">
        <x:v>심의승인</x:v>
      </x:c>
      <x:c r="K1852" s="2" t="str">
        <x:f>IF(OR(J1852="심의승인",J1852="반려",J1852="반려완료",J1852="심의완료"),"종결 표시",IF(OR(J1852="기후부협의",J1852="문서재제출요청",J1852="보류",J1852="보완요청",J1852="보완완료",J1852="평가중",J1852="반려요청",J1852="평가필요",LEFT(J1852,5)="보완요청("),"미종결 표시","상태 확인 필요"))</x:f>
        <x:v>종결 표시</x:v>
      </x:c>
      <x:c r="L1852" s="2"/>
      <x:c r="M1852" s="2"/>
      <x:c r="N1852" s="8"/>
      <x:c r="O1852" s="2"/>
      <x:c r="P1852" s="2"/>
      <x:c r="Q1852" s="2" t="str">
        <x:v>산업전환_외부사업관리Tool_260707_이너젠 수정_LJY_261013.xlsx</x:v>
      </x:c>
      <x:c r="R1852" s="2" t="str">
        <x:v>국내인증</x:v>
      </x:c>
      <x:c r="S1852" s="8" t="n">
        <x:v>170</x:v>
      </x:c>
      <x:c r="T1852" s="2"/>
      <x:c r="U1852" s="2" t="str"/>
      <x:c r="V1852" s="2" t="str">
        <x:v>2017-05-25</x:v>
      </x:c>
      <x:c r="W1852" s="2" t="str">
        <x:v>신청일 확인 / 담당기관 확인</x:v>
      </x:c>
      <x:c r="X1852" s="2" t="str">
        <x:v>원본·배정 기록 확인</x:v>
      </x:c>
      <x:c r="Y1852" s="2" t="str">
        <x:v>ad210cd9ec132cfd447541c8984dc53d30aff0f4fb2dc92d254d49275cc55976</x:v>
      </x:c>
      <x:c r="Z1852" s="2" t="n">
        <x:f>SUBTOTAL(103,A1852)</x:f>
        <x:v>1</x:v>
      </x:c>
      <x:c r="AA1852" s="2" t="str">
        <x:f>IF(K1852&lt;&gt;"미종결 표시","대상 아님",IF(N1852="","신청일 확인",IF(NOT(ISNUMBER('종합 현황'!$H$5)),"관찰기준 확인",IF('종합 현황'!$H$5&lt;1,"관찰기준 확인",IF(N1852&gt;'종합 현황'!$H$5,"내부 관찰 대상","내부 관찰일 이하")))))</x:f>
        <x:v>대상 아님</x:v>
      </x:c>
      <x:c r="AB1852" s="2"/>
    </x:row>
    <x:row r="1853" ht="42" customHeight="1">
      <x:c r="A1853" s="2" t="str">
        <x:v>a2c6095bda5ec6a1796404ed</x:v>
      </x:c>
      <x:c r="B1853" s="2" t="str">
        <x:v>감축량 인증</x:v>
      </x:c>
      <x:c r="C1853" s="2" t="str">
        <x:v>국내</x:v>
      </x:c>
      <x:c r="D1853" s="7" t="str">
        <x:v>휴켐스 질산공장 N2O 감축사업(휴켐스 주식회사의 질산 공장 세곡에서 tail gas에 포한된 아산화질소를 촉매를 사용하여 제거하는 프로젝트)</x:v>
      </x:c>
      <x:c r="E1853" s="2" t="str">
        <x:v>93</x:v>
      </x:c>
      <x:c r="F1853" s="2"/>
      <x:c r="G1853" s="2" t="str">
        <x:v>미확보</x:v>
      </x:c>
      <x:c r="H1853" s="2" t="str">
        <x:v>미확보</x:v>
      </x:c>
      <x:c r="I1853" s="2" t="str">
        <x:v>심의승인</x:v>
      </x:c>
      <x:c r="J1853" s="2" t="str">
        <x:v>심의승인</x:v>
      </x:c>
      <x:c r="K1853" s="2" t="str">
        <x:f>IF(OR(J1853="심의승인",J1853="반려",J1853="반려완료",J1853="심의완료"),"종결 표시",IF(OR(J1853="기후부협의",J1853="문서재제출요청",J1853="보류",J1853="보완요청",J1853="보완완료",J1853="평가중",J1853="반려요청",J1853="평가필요",LEFT(J1853,5)="보완요청("),"미종결 표시","상태 확인 필요"))</x:f>
        <x:v>종결 표시</x:v>
      </x:c>
      <x:c r="L1853" s="2"/>
      <x:c r="M1853" s="2"/>
      <x:c r="N1853" s="8"/>
      <x:c r="O1853" s="2"/>
      <x:c r="P1853" s="2"/>
      <x:c r="Q1853" s="2" t="str">
        <x:v>산업전환_외부사업관리Tool_260707_이너젠 수정_LJY_261013.xlsx</x:v>
      </x:c>
      <x:c r="R1853" s="2" t="str">
        <x:v>국내인증</x:v>
      </x:c>
      <x:c r="S1853" s="8" t="n">
        <x:v>171</x:v>
      </x:c>
      <x:c r="T1853" s="2"/>
      <x:c r="U1853" s="2" t="str"/>
      <x:c r="V1853" s="2" t="str">
        <x:v>2017-05-25</x:v>
      </x:c>
      <x:c r="W1853" s="2" t="str">
        <x:v>신청일 확인 / 담당기관 확인</x:v>
      </x:c>
      <x:c r="X1853" s="2" t="str">
        <x:v>원본·배정 기록 확인</x:v>
      </x:c>
      <x:c r="Y1853" s="2" t="str">
        <x:v>ad210cd9ec132cfd447541c8984dc53d30aff0f4fb2dc92d254d49275cc55976</x:v>
      </x:c>
      <x:c r="Z1853" s="2" t="n">
        <x:f>SUBTOTAL(103,A1853)</x:f>
        <x:v>1</x:v>
      </x:c>
      <x:c r="AA1853" s="2" t="str">
        <x:f>IF(K1853&lt;&gt;"미종결 표시","대상 아님",IF(N1853="","신청일 확인",IF(NOT(ISNUMBER('종합 현황'!$H$5)),"관찰기준 확인",IF('종합 현황'!$H$5&lt;1,"관찰기준 확인",IF(N1853&gt;'종합 현황'!$H$5,"내부 관찰 대상","내부 관찰일 이하")))))</x:f>
        <x:v>대상 아님</x:v>
      </x:c>
      <x:c r="AB1853" s="2"/>
    </x:row>
    <x:row r="1854" ht="42" customHeight="1">
      <x:c r="A1854" s="2" t="str">
        <x:v>22d243e95ea7189e17e632b5</x:v>
      </x:c>
      <x:c r="B1854" s="2" t="str">
        <x:v>감축량 인증</x:v>
      </x:c>
      <x:c r="C1854" s="2" t="str">
        <x:v>국내</x:v>
      </x:c>
      <x:c r="D1854" s="7" t="str">
        <x:v>휴켐스 질산공장 N2O 감축사업(휴켐스 주식회사의 질산 공장 세곡에서 tail gas에 포한된 아산화질소를 촉매를 사용하여 제거하는 프로젝트)</x:v>
      </x:c>
      <x:c r="E1854" s="2" t="str">
        <x:v>94</x:v>
      </x:c>
      <x:c r="F1854" s="2"/>
      <x:c r="G1854" s="2" t="str">
        <x:v>미확보</x:v>
      </x:c>
      <x:c r="H1854" s="2" t="str">
        <x:v>미확보</x:v>
      </x:c>
      <x:c r="I1854" s="2" t="str">
        <x:v>심의승인</x:v>
      </x:c>
      <x:c r="J1854" s="2" t="str">
        <x:v>심의승인</x:v>
      </x:c>
      <x:c r="K1854" s="2" t="str">
        <x:f>IF(OR(J1854="심의승인",J1854="반려",J1854="반려완료",J1854="심의완료"),"종결 표시",IF(OR(J1854="기후부협의",J1854="문서재제출요청",J1854="보류",J1854="보완요청",J1854="보완완료",J1854="평가중",J1854="반려요청",J1854="평가필요",LEFT(J1854,5)="보완요청("),"미종결 표시","상태 확인 필요"))</x:f>
        <x:v>종결 표시</x:v>
      </x:c>
      <x:c r="L1854" s="2"/>
      <x:c r="M1854" s="2"/>
      <x:c r="N1854" s="8"/>
      <x:c r="O1854" s="2"/>
      <x:c r="P1854" s="2"/>
      <x:c r="Q1854" s="2" t="str">
        <x:v>산업전환_외부사업관리Tool_260707_이너젠 수정_LJY_261013.xlsx</x:v>
      </x:c>
      <x:c r="R1854" s="2" t="str">
        <x:v>국내인증</x:v>
      </x:c>
      <x:c r="S1854" s="8" t="n">
        <x:v>172</x:v>
      </x:c>
      <x:c r="T1854" s="2"/>
      <x:c r="U1854" s="2" t="str"/>
      <x:c r="V1854" s="2" t="str">
        <x:v>2017-05-25</x:v>
      </x:c>
      <x:c r="W1854" s="2" t="str">
        <x:v>신청일 확인 / 담당기관 확인</x:v>
      </x:c>
      <x:c r="X1854" s="2" t="str">
        <x:v>원본·배정 기록 확인</x:v>
      </x:c>
      <x:c r="Y1854" s="2" t="str">
        <x:v>ad210cd9ec132cfd447541c8984dc53d30aff0f4fb2dc92d254d49275cc55976</x:v>
      </x:c>
      <x:c r="Z1854" s="2" t="n">
        <x:f>SUBTOTAL(103,A1854)</x:f>
        <x:v>1</x:v>
      </x:c>
      <x:c r="AA1854" s="2" t="str">
        <x:f>IF(K1854&lt;&gt;"미종결 표시","대상 아님",IF(N1854="","신청일 확인",IF(NOT(ISNUMBER('종합 현황'!$H$5)),"관찰기준 확인",IF('종합 현황'!$H$5&lt;1,"관찰기준 확인",IF(N1854&gt;'종합 현황'!$H$5,"내부 관찰 대상","내부 관찰일 이하")))))</x:f>
        <x:v>대상 아님</x:v>
      </x:c>
      <x:c r="AB1854" s="2"/>
    </x:row>
    <x:row r="1855" ht="42" customHeight="1">
      <x:c r="A1855" s="2" t="str">
        <x:v>533833d65336d087b5a9c0d1</x:v>
      </x:c>
      <x:c r="B1855" s="2" t="str">
        <x:v>감축량 인증</x:v>
      </x:c>
      <x:c r="C1855" s="2" t="str">
        <x:v>국내</x:v>
      </x:c>
      <x:c r="D1855" s="7" t="str">
        <x:v>4.85MW 한국농어촌공사 태양광발전 번들링 사업</x:v>
      </x:c>
      <x:c r="E1855" s="2" t="str">
        <x:v>95</x:v>
      </x:c>
      <x:c r="F1855" s="2"/>
      <x:c r="G1855" s="2" t="str">
        <x:v>미확보</x:v>
      </x:c>
      <x:c r="H1855" s="2" t="str">
        <x:v>미확보</x:v>
      </x:c>
      <x:c r="I1855" s="2" t="str">
        <x:v>심의승인</x:v>
      </x:c>
      <x:c r="J1855" s="2" t="str">
        <x:v>심의승인</x:v>
      </x:c>
      <x:c r="K1855" s="2" t="str">
        <x:f>IF(OR(J1855="심의승인",J1855="반려",J1855="반려완료",J1855="심의완료"),"종결 표시",IF(OR(J1855="기후부협의",J1855="문서재제출요청",J1855="보류",J1855="보완요청",J1855="보완완료",J1855="평가중",J1855="반려요청",J1855="평가필요",LEFT(J1855,5)="보완요청("),"미종결 표시","상태 확인 필요"))</x:f>
        <x:v>종결 표시</x:v>
      </x:c>
      <x:c r="L1855" s="2"/>
      <x:c r="M1855" s="2"/>
      <x:c r="N1855" s="8"/>
      <x:c r="O1855" s="2"/>
      <x:c r="P1855" s="2"/>
      <x:c r="Q1855" s="2" t="str">
        <x:v>산업전환_외부사업관리Tool_260707_이너젠 수정_LJY_261013.xlsx</x:v>
      </x:c>
      <x:c r="R1855" s="2" t="str">
        <x:v>국내인증</x:v>
      </x:c>
      <x:c r="S1855" s="8" t="n">
        <x:v>173</x:v>
      </x:c>
      <x:c r="T1855" s="2"/>
      <x:c r="U1855" s="2" t="str"/>
      <x:c r="V1855" s="2" t="str">
        <x:v>2017-05-25</x:v>
      </x:c>
      <x:c r="W1855" s="2" t="str">
        <x:v>신청일 확인 / 담당기관 확인</x:v>
      </x:c>
      <x:c r="X1855" s="2" t="str">
        <x:v>원본·배정 기록 확인</x:v>
      </x:c>
      <x:c r="Y1855" s="2" t="str">
        <x:v>ad210cd9ec132cfd447541c8984dc53d30aff0f4fb2dc92d254d49275cc55976</x:v>
      </x:c>
      <x:c r="Z1855" s="2" t="n">
        <x:f>SUBTOTAL(103,A1855)</x:f>
        <x:v>1</x:v>
      </x:c>
      <x:c r="AA1855" s="2" t="str">
        <x:f>IF(K1855&lt;&gt;"미종결 표시","대상 아님",IF(N1855="","신청일 확인",IF(NOT(ISNUMBER('종합 현황'!$H$5)),"관찰기준 확인",IF('종합 현황'!$H$5&lt;1,"관찰기준 확인",IF(N1855&gt;'종합 현황'!$H$5,"내부 관찰 대상","내부 관찰일 이하")))))</x:f>
        <x:v>대상 아님</x:v>
      </x:c>
      <x:c r="AB1855" s="2"/>
    </x:row>
    <x:row r="1856" ht="42" customHeight="1">
      <x:c r="A1856" s="2" t="str">
        <x:v>f32076570fd952cdf0344a4b</x:v>
      </x:c>
      <x:c r="B1856" s="2" t="str">
        <x:v>감축량 인증</x:v>
      </x:c>
      <x:c r="C1856" s="2" t="str">
        <x:v>국내</x:v>
      </x:c>
      <x:c r="D1856" s="7" t="str">
        <x:v>시화호 조력발전 사업</x:v>
      </x:c>
      <x:c r="E1856" s="2" t="str">
        <x:v>96</x:v>
      </x:c>
      <x:c r="F1856" s="2"/>
      <x:c r="G1856" s="2" t="str">
        <x:v>미확보</x:v>
      </x:c>
      <x:c r="H1856" s="2" t="str">
        <x:v>미확보</x:v>
      </x:c>
      <x:c r="I1856" s="2" t="str">
        <x:v>심의승인</x:v>
      </x:c>
      <x:c r="J1856" s="2" t="str">
        <x:v>심의승인</x:v>
      </x:c>
      <x:c r="K1856" s="2" t="str">
        <x:f>IF(OR(J1856="심의승인",J1856="반려",J1856="반려완료",J1856="심의완료"),"종결 표시",IF(OR(J1856="기후부협의",J1856="문서재제출요청",J1856="보류",J1856="보완요청",J1856="보완완료",J1856="평가중",J1856="반려요청",J1856="평가필요",LEFT(J1856,5)="보완요청("),"미종결 표시","상태 확인 필요"))</x:f>
        <x:v>종결 표시</x:v>
      </x:c>
      <x:c r="L1856" s="2"/>
      <x:c r="M1856" s="2"/>
      <x:c r="N1856" s="8"/>
      <x:c r="O1856" s="2"/>
      <x:c r="P1856" s="2"/>
      <x:c r="Q1856" s="2" t="str">
        <x:v>산업전환_외부사업관리Tool_260707_이너젠 수정_LJY_261013.xlsx</x:v>
      </x:c>
      <x:c r="R1856" s="2" t="str">
        <x:v>국내인증</x:v>
      </x:c>
      <x:c r="S1856" s="8" t="n">
        <x:v>174</x:v>
      </x:c>
      <x:c r="T1856" s="2"/>
      <x:c r="U1856" s="2" t="str"/>
      <x:c r="V1856" s="2" t="str">
        <x:v>2017-05-25</x:v>
      </x:c>
      <x:c r="W1856" s="2" t="str">
        <x:v>신청일 확인 / 담당기관 확인</x:v>
      </x:c>
      <x:c r="X1856" s="2" t="str">
        <x:v>원본·배정 기록 확인</x:v>
      </x:c>
      <x:c r="Y1856" s="2" t="str">
        <x:v>ad210cd9ec132cfd447541c8984dc53d30aff0f4fb2dc92d254d49275cc55976</x:v>
      </x:c>
      <x:c r="Z1856" s="2" t="n">
        <x:f>SUBTOTAL(103,A1856)</x:f>
        <x:v>1</x:v>
      </x:c>
      <x:c r="AA1856" s="2" t="str">
        <x:f>IF(K1856&lt;&gt;"미종결 표시","대상 아님",IF(N1856="","신청일 확인",IF(NOT(ISNUMBER('종합 현황'!$H$5)),"관찰기준 확인",IF('종합 현황'!$H$5&lt;1,"관찰기준 확인",IF(N1856&gt;'종합 현황'!$H$5,"내부 관찰 대상","내부 관찰일 이하")))))</x:f>
        <x:v>대상 아님</x:v>
      </x:c>
      <x:c r="AB1856" s="2"/>
    </x:row>
    <x:row r="1857" ht="42" customHeight="1">
      <x:c r="A1857" s="2" t="str">
        <x:v>2f9357cc1d02ef1d7be235a7</x:v>
      </x:c>
      <x:c r="B1857" s="2" t="str">
        <x:v>감축량 인증</x:v>
      </x:c>
      <x:c r="C1857" s="2" t="str">
        <x:v>국내</x:v>
      </x:c>
      <x:c r="D1857" s="7" t="str">
        <x:v>태안 태양광 발전사업</x:v>
      </x:c>
      <x:c r="E1857" s="2" t="str">
        <x:v>97</x:v>
      </x:c>
      <x:c r="F1857" s="2"/>
      <x:c r="G1857" s="2" t="str">
        <x:v>미확보</x:v>
      </x:c>
      <x:c r="H1857" s="2" t="str">
        <x:v>미확보</x:v>
      </x:c>
      <x:c r="I1857" s="2" t="str">
        <x:v>심의승인</x:v>
      </x:c>
      <x:c r="J1857" s="2" t="str">
        <x:v>심의승인</x:v>
      </x:c>
      <x:c r="K1857" s="2" t="str">
        <x:f>IF(OR(J1857="심의승인",J1857="반려",J1857="반려완료",J1857="심의완료"),"종결 표시",IF(OR(J1857="기후부협의",J1857="문서재제출요청",J1857="보류",J1857="보완요청",J1857="보완완료",J1857="평가중",J1857="반려요청",J1857="평가필요",LEFT(J1857,5)="보완요청("),"미종결 표시","상태 확인 필요"))</x:f>
        <x:v>종결 표시</x:v>
      </x:c>
      <x:c r="L1857" s="2"/>
      <x:c r="M1857" s="2"/>
      <x:c r="N1857" s="8"/>
      <x:c r="O1857" s="2"/>
      <x:c r="P1857" s="2"/>
      <x:c r="Q1857" s="2" t="str">
        <x:v>산업전환_외부사업관리Tool_260707_이너젠 수정_LJY_261013.xlsx</x:v>
      </x:c>
      <x:c r="R1857" s="2" t="str">
        <x:v>국내인증</x:v>
      </x:c>
      <x:c r="S1857" s="8" t="n">
        <x:v>175</x:v>
      </x:c>
      <x:c r="T1857" s="2"/>
      <x:c r="U1857" s="2" t="str"/>
      <x:c r="V1857" s="2" t="str">
        <x:v>2017-05-25</x:v>
      </x:c>
      <x:c r="W1857" s="2" t="str">
        <x:v>신청일 확인 / 담당기관 확인</x:v>
      </x:c>
      <x:c r="X1857" s="2" t="str">
        <x:v>원본·배정 기록 확인</x:v>
      </x:c>
      <x:c r="Y1857" s="2" t="str">
        <x:v>ad210cd9ec132cfd447541c8984dc53d30aff0f4fb2dc92d254d49275cc55976</x:v>
      </x:c>
      <x:c r="Z1857" s="2" t="n">
        <x:f>SUBTOTAL(103,A1857)</x:f>
        <x:v>1</x:v>
      </x:c>
      <x:c r="AA1857" s="2" t="str">
        <x:f>IF(K1857&lt;&gt;"미종결 표시","대상 아님",IF(N1857="","신청일 확인",IF(NOT(ISNUMBER('종합 현황'!$H$5)),"관찰기준 확인",IF('종합 현황'!$H$5&lt;1,"관찰기준 확인",IF(N1857&gt;'종합 현황'!$H$5,"내부 관찰 대상","내부 관찰일 이하")))))</x:f>
        <x:v>대상 아님</x:v>
      </x:c>
      <x:c r="AB1857" s="2"/>
    </x:row>
    <x:row r="1858" ht="42" customHeight="1">
      <x:c r="A1858" s="2" t="str">
        <x:v>38b5ccd8575c41eef002e769</x:v>
      </x:c>
      <x:c r="B1858" s="2" t="str">
        <x:v>감축량 인증</x:v>
      </x:c>
      <x:c r="C1858" s="2" t="str">
        <x:v>국내</x:v>
      </x:c>
      <x:c r="D1858" s="7" t="str">
        <x:v>한국의 LCD 제조 과정의 SF6 방출 감축을 위한 사용점 감축 설비</x:v>
      </x:c>
      <x:c r="E1858" s="2" t="str">
        <x:v>98</x:v>
      </x:c>
      <x:c r="F1858" s="2"/>
      <x:c r="G1858" s="2" t="str">
        <x:v>미확보</x:v>
      </x:c>
      <x:c r="H1858" s="2" t="str">
        <x:v>미확보</x:v>
      </x:c>
      <x:c r="I1858" s="2" t="str">
        <x:v>심의승인</x:v>
      </x:c>
      <x:c r="J1858" s="2" t="str">
        <x:v>심의승인</x:v>
      </x:c>
      <x:c r="K1858" s="2" t="str">
        <x:f>IF(OR(J1858="심의승인",J1858="반려",J1858="반려완료",J1858="심의완료"),"종결 표시",IF(OR(J1858="기후부협의",J1858="문서재제출요청",J1858="보류",J1858="보완요청",J1858="보완완료",J1858="평가중",J1858="반려요청",J1858="평가필요",LEFT(J1858,5)="보완요청("),"미종결 표시","상태 확인 필요"))</x:f>
        <x:v>종결 표시</x:v>
      </x:c>
      <x:c r="L1858" s="2"/>
      <x:c r="M1858" s="2"/>
      <x:c r="N1858" s="8"/>
      <x:c r="O1858" s="2"/>
      <x:c r="P1858" s="2"/>
      <x:c r="Q1858" s="2" t="str">
        <x:v>산업전환_외부사업관리Tool_260707_이너젠 수정_LJY_261013.xlsx</x:v>
      </x:c>
      <x:c r="R1858" s="2" t="str">
        <x:v>국내인증</x:v>
      </x:c>
      <x:c r="S1858" s="8" t="n">
        <x:v>176</x:v>
      </x:c>
      <x:c r="T1858" s="2"/>
      <x:c r="U1858" s="2" t="str"/>
      <x:c r="V1858" s="2" t="str">
        <x:v>2017-07-26</x:v>
      </x:c>
      <x:c r="W1858" s="2" t="str">
        <x:v>신청일 확인 / 담당기관 확인</x:v>
      </x:c>
      <x:c r="X1858" s="2" t="str">
        <x:v>원본·배정 기록 확인</x:v>
      </x:c>
      <x:c r="Y1858" s="2" t="str">
        <x:v>ad210cd9ec132cfd447541c8984dc53d30aff0f4fb2dc92d254d49275cc55976</x:v>
      </x:c>
      <x:c r="Z1858" s="2" t="n">
        <x:f>SUBTOTAL(103,A1858)</x:f>
        <x:v>1</x:v>
      </x:c>
      <x:c r="AA1858" s="2" t="str">
        <x:f>IF(K1858&lt;&gt;"미종결 표시","대상 아님",IF(N1858="","신청일 확인",IF(NOT(ISNUMBER('종합 현황'!$H$5)),"관찰기준 확인",IF('종합 현황'!$H$5&lt;1,"관찰기준 확인",IF(N1858&gt;'종합 현황'!$H$5,"내부 관찰 대상","내부 관찰일 이하")))))</x:f>
        <x:v>대상 아님</x:v>
      </x:c>
      <x:c r="AB1858" s="2"/>
    </x:row>
    <x:row r="1859" ht="42" customHeight="1">
      <x:c r="A1859" s="2" t="str">
        <x:v>53114172b352d3d2df27c9b5</x:v>
      </x:c>
      <x:c r="B1859" s="2" t="str">
        <x:v>감축량 인증</x:v>
      </x:c>
      <x:c r="C1859" s="2" t="str">
        <x:v>국내</x:v>
      </x:c>
      <x:c r="D1859" s="7" t="str">
        <x:v>휴켐스 질산공장 N2O 감축사업(휴켐스 주식회사의 질산 공장 세곡에서 tail gas에 포한된 아산화질소를 촉매를 사용하여 제거하는 프로젝트)</x:v>
      </x:c>
      <x:c r="E1859" s="2" t="str">
        <x:v>99</x:v>
      </x:c>
      <x:c r="F1859" s="2"/>
      <x:c r="G1859" s="2" t="str">
        <x:v>미확보</x:v>
      </x:c>
      <x:c r="H1859" s="2" t="str">
        <x:v>미확보</x:v>
      </x:c>
      <x:c r="I1859" s="2" t="str">
        <x:v>심의승인</x:v>
      </x:c>
      <x:c r="J1859" s="2" t="str">
        <x:v>심의승인</x:v>
      </x:c>
      <x:c r="K1859" s="2" t="str">
        <x:f>IF(OR(J1859="심의승인",J1859="반려",J1859="반려완료",J1859="심의완료"),"종결 표시",IF(OR(J1859="기후부협의",J1859="문서재제출요청",J1859="보류",J1859="보완요청",J1859="보완완료",J1859="평가중",J1859="반려요청",J1859="평가필요",LEFT(J1859,5)="보완요청("),"미종결 표시","상태 확인 필요"))</x:f>
        <x:v>종결 표시</x:v>
      </x:c>
      <x:c r="L1859" s="2"/>
      <x:c r="M1859" s="2"/>
      <x:c r="N1859" s="8"/>
      <x:c r="O1859" s="2"/>
      <x:c r="P1859" s="2"/>
      <x:c r="Q1859" s="2" t="str">
        <x:v>산업전환_외부사업관리Tool_260707_이너젠 수정_LJY_261013.xlsx</x:v>
      </x:c>
      <x:c r="R1859" s="2" t="str">
        <x:v>국내인증</x:v>
      </x:c>
      <x:c r="S1859" s="8" t="n">
        <x:v>177</x:v>
      </x:c>
      <x:c r="T1859" s="2"/>
      <x:c r="U1859" s="2" t="str"/>
      <x:c r="V1859" s="2" t="str">
        <x:v>2017-07-26</x:v>
      </x:c>
      <x:c r="W1859" s="2" t="str">
        <x:v>신청일 확인 / 담당기관 확인</x:v>
      </x:c>
      <x:c r="X1859" s="2" t="str">
        <x:v>원본·배정 기록 확인</x:v>
      </x:c>
      <x:c r="Y1859" s="2" t="str">
        <x:v>ad210cd9ec132cfd447541c8984dc53d30aff0f4fb2dc92d254d49275cc55976</x:v>
      </x:c>
      <x:c r="Z1859" s="2" t="n">
        <x:f>SUBTOTAL(103,A1859)</x:f>
        <x:v>1</x:v>
      </x:c>
      <x:c r="AA1859" s="2" t="str">
        <x:f>IF(K1859&lt;&gt;"미종결 표시","대상 아님",IF(N1859="","신청일 확인",IF(NOT(ISNUMBER('종합 현황'!$H$5)),"관찰기준 확인",IF('종합 현황'!$H$5&lt;1,"관찰기준 확인",IF(N1859&gt;'종합 현황'!$H$5,"내부 관찰 대상","내부 관찰일 이하")))))</x:f>
        <x:v>대상 아님</x:v>
      </x:c>
      <x:c r="AB1859" s="2"/>
    </x:row>
    <x:row r="1860" ht="42" customHeight="1">
      <x:c r="A1860" s="2" t="str">
        <x:v>03cee1f9b3156c4a44a52046</x:v>
      </x:c>
      <x:c r="B1860" s="2" t="str">
        <x:v>감축량 인증</x:v>
      </x:c>
      <x:c r="C1860" s="2" t="str">
        <x:v>국내</x:v>
      </x:c>
      <x:c r="D1860" s="7" t="str">
        <x:v>한국의 LCD 제조 과정의 SF6 방출 감축을 위한 사용점 감축설비</x:v>
      </x:c>
      <x:c r="E1860" s="2" t="str">
        <x:v>100</x:v>
      </x:c>
      <x:c r="F1860" s="2"/>
      <x:c r="G1860" s="2" t="str">
        <x:v>미확보</x:v>
      </x:c>
      <x:c r="H1860" s="2" t="str">
        <x:v>미확보</x:v>
      </x:c>
      <x:c r="I1860" s="2" t="str">
        <x:v>심의승인</x:v>
      </x:c>
      <x:c r="J1860" s="2" t="str">
        <x:v>심의승인</x:v>
      </x:c>
      <x:c r="K1860" s="2" t="str">
        <x:f>IF(OR(J1860="심의승인",J1860="반려",J1860="반려완료",J1860="심의완료"),"종결 표시",IF(OR(J1860="기후부협의",J1860="문서재제출요청",J1860="보류",J1860="보완요청",J1860="보완완료",J1860="평가중",J1860="반려요청",J1860="평가필요",LEFT(J1860,5)="보완요청("),"미종결 표시","상태 확인 필요"))</x:f>
        <x:v>종결 표시</x:v>
      </x:c>
      <x:c r="L1860" s="2"/>
      <x:c r="M1860" s="2"/>
      <x:c r="N1860" s="8"/>
      <x:c r="O1860" s="2"/>
      <x:c r="P1860" s="2"/>
      <x:c r="Q1860" s="2" t="str">
        <x:v>산업전환_외부사업관리Tool_260707_이너젠 수정_LJY_261013.xlsx</x:v>
      </x:c>
      <x:c r="R1860" s="2" t="str">
        <x:v>국내인증</x:v>
      </x:c>
      <x:c r="S1860" s="8" t="n">
        <x:v>178</x:v>
      </x:c>
      <x:c r="T1860" s="2"/>
      <x:c r="U1860" s="2" t="str"/>
      <x:c r="V1860" s="2" t="str">
        <x:v>2017-07-26</x:v>
      </x:c>
      <x:c r="W1860" s="2" t="str">
        <x:v>신청일 확인 / 담당기관 확인</x:v>
      </x:c>
      <x:c r="X1860" s="2" t="str">
        <x:v>원본·배정 기록 확인</x:v>
      </x:c>
      <x:c r="Y1860" s="2" t="str">
        <x:v>ad210cd9ec132cfd447541c8984dc53d30aff0f4fb2dc92d254d49275cc55976</x:v>
      </x:c>
      <x:c r="Z1860" s="2" t="n">
        <x:f>SUBTOTAL(103,A1860)</x:f>
        <x:v>1</x:v>
      </x:c>
      <x:c r="AA1860" s="2" t="str">
        <x:f>IF(K1860&lt;&gt;"미종결 표시","대상 아님",IF(N1860="","신청일 확인",IF(NOT(ISNUMBER('종합 현황'!$H$5)),"관찰기준 확인",IF('종합 현황'!$H$5&lt;1,"관찰기준 확인",IF(N1860&gt;'종합 현황'!$H$5,"내부 관찰 대상","내부 관찰일 이하")))))</x:f>
        <x:v>대상 아님</x:v>
      </x:c>
      <x:c r="AB1860" s="2"/>
    </x:row>
    <x:row r="1861" ht="42" customHeight="1">
      <x:c r="A1861" s="2" t="str">
        <x:v>546bfafa70837e589860d702</x:v>
      </x:c>
      <x:c r="B1861" s="2" t="str">
        <x:v>감축량 인증</x:v>
      </x:c>
      <x:c r="C1861" s="2" t="str">
        <x:v>국내</x:v>
      </x:c>
      <x:c r="D1861" s="7" t="str">
        <x:v>휴켐스(주) 신설 5질산에서 발생하는 아산화질소 배출량 저감사업</x:v>
      </x:c>
      <x:c r="E1861" s="2" t="str">
        <x:v>101</x:v>
      </x:c>
      <x:c r="F1861" s="2"/>
      <x:c r="G1861" s="2" t="str">
        <x:v>미확보</x:v>
      </x:c>
      <x:c r="H1861" s="2" t="str">
        <x:v>미확보</x:v>
      </x:c>
      <x:c r="I1861" s="2" t="str">
        <x:v>심의승인</x:v>
      </x:c>
      <x:c r="J1861" s="2" t="str">
        <x:v>심의승인</x:v>
      </x:c>
      <x:c r="K1861" s="2" t="str">
        <x:f>IF(OR(J1861="심의승인",J1861="반려",J1861="반려완료",J1861="심의완료"),"종결 표시",IF(OR(J1861="기후부협의",J1861="문서재제출요청",J1861="보류",J1861="보완요청",J1861="보완완료",J1861="평가중",J1861="반려요청",J1861="평가필요",LEFT(J1861,5)="보완요청("),"미종결 표시","상태 확인 필요"))</x:f>
        <x:v>종결 표시</x:v>
      </x:c>
      <x:c r="L1861" s="2"/>
      <x:c r="M1861" s="2"/>
      <x:c r="N1861" s="8"/>
      <x:c r="O1861" s="2"/>
      <x:c r="P1861" s="2"/>
      <x:c r="Q1861" s="2" t="str">
        <x:v>산업전환_외부사업관리Tool_260707_이너젠 수정_LJY_261013.xlsx</x:v>
      </x:c>
      <x:c r="R1861" s="2" t="str">
        <x:v>국내인증</x:v>
      </x:c>
      <x:c r="S1861" s="8" t="n">
        <x:v>179</x:v>
      </x:c>
      <x:c r="T1861" s="2"/>
      <x:c r="U1861" s="2" t="str"/>
      <x:c r="V1861" s="2" t="str">
        <x:v>2017-07-26</x:v>
      </x:c>
      <x:c r="W1861" s="2" t="str">
        <x:v>신청일 확인 / 담당기관 확인</x:v>
      </x:c>
      <x:c r="X1861" s="2" t="str">
        <x:v>원본·배정 기록 확인</x:v>
      </x:c>
      <x:c r="Y1861" s="2" t="str">
        <x:v>ad210cd9ec132cfd447541c8984dc53d30aff0f4fb2dc92d254d49275cc55976</x:v>
      </x:c>
      <x:c r="Z1861" s="2" t="n">
        <x:f>SUBTOTAL(103,A1861)</x:f>
        <x:v>1</x:v>
      </x:c>
      <x:c r="AA1861" s="2" t="str">
        <x:f>IF(K1861&lt;&gt;"미종결 표시","대상 아님",IF(N1861="","신청일 확인",IF(NOT(ISNUMBER('종합 현황'!$H$5)),"관찰기준 확인",IF('종합 현황'!$H$5&lt;1,"관찰기준 확인",IF(N1861&gt;'종합 현황'!$H$5,"내부 관찰 대상","내부 관찰일 이하")))))</x:f>
        <x:v>대상 아님</x:v>
      </x:c>
      <x:c r="AB1861" s="2"/>
    </x:row>
    <x:row r="1862" ht="42" customHeight="1">
      <x:c r="A1862" s="2" t="str">
        <x:v>8fafc8cd4dda0b5456afff35</x:v>
      </x:c>
      <x:c r="B1862" s="2" t="str">
        <x:v>감축량 인증</x:v>
      </x:c>
      <x:c r="C1862" s="2" t="str">
        <x:v>국내</x:v>
      </x:c>
      <x:c r="D1862" s="7" t="str">
        <x:v>시화호 조력발전 사업</x:v>
      </x:c>
      <x:c r="E1862" s="2" t="str">
        <x:v>102</x:v>
      </x:c>
      <x:c r="F1862" s="2"/>
      <x:c r="G1862" s="2" t="str">
        <x:v>미확보</x:v>
      </x:c>
      <x:c r="H1862" s="2" t="str">
        <x:v>미확보</x:v>
      </x:c>
      <x:c r="I1862" s="2" t="str">
        <x:v>심의승인</x:v>
      </x:c>
      <x:c r="J1862" s="2" t="str">
        <x:v>심의승인</x:v>
      </x:c>
      <x:c r="K1862" s="2" t="str">
        <x:f>IF(OR(J1862="심의승인",J1862="반려",J1862="반려완료",J1862="심의완료"),"종결 표시",IF(OR(J1862="기후부협의",J1862="문서재제출요청",J1862="보류",J1862="보완요청",J1862="보완완료",J1862="평가중",J1862="반려요청",J1862="평가필요",LEFT(J1862,5)="보완요청("),"미종결 표시","상태 확인 필요"))</x:f>
        <x:v>종결 표시</x:v>
      </x:c>
      <x:c r="L1862" s="2"/>
      <x:c r="M1862" s="2"/>
      <x:c r="N1862" s="8"/>
      <x:c r="O1862" s="2"/>
      <x:c r="P1862" s="2"/>
      <x:c r="Q1862" s="2" t="str">
        <x:v>산업전환_외부사업관리Tool_260707_이너젠 수정_LJY_261013.xlsx</x:v>
      </x:c>
      <x:c r="R1862" s="2" t="str">
        <x:v>국내인증</x:v>
      </x:c>
      <x:c r="S1862" s="8" t="n">
        <x:v>180</x:v>
      </x:c>
      <x:c r="T1862" s="2"/>
      <x:c r="U1862" s="2" t="str"/>
      <x:c r="V1862" s="2" t="str">
        <x:v>2017-07-26</x:v>
      </x:c>
      <x:c r="W1862" s="2" t="str">
        <x:v>신청일 확인 / 담당기관 확인</x:v>
      </x:c>
      <x:c r="X1862" s="2" t="str">
        <x:v>원본·배정 기록 확인</x:v>
      </x:c>
      <x:c r="Y1862" s="2" t="str">
        <x:v>ad210cd9ec132cfd447541c8984dc53d30aff0f4fb2dc92d254d49275cc55976</x:v>
      </x:c>
      <x:c r="Z1862" s="2" t="n">
        <x:f>SUBTOTAL(103,A1862)</x:f>
        <x:v>1</x:v>
      </x:c>
      <x:c r="AA1862" s="2" t="str">
        <x:f>IF(K1862&lt;&gt;"미종결 표시","대상 아님",IF(N1862="","신청일 확인",IF(NOT(ISNUMBER('종합 현황'!$H$5)),"관찰기준 확인",IF('종합 현황'!$H$5&lt;1,"관찰기준 확인",IF(N1862&gt;'종합 현황'!$H$5,"내부 관찰 대상","내부 관찰일 이하")))))</x:f>
        <x:v>대상 아님</x:v>
      </x:c>
      <x:c r="AB1862" s="2"/>
    </x:row>
    <x:row r="1863" ht="42" customHeight="1">
      <x:c r="A1863" s="2" t="str">
        <x:v>489d6749f7fda65294ef3720</x:v>
      </x:c>
      <x:c r="B1863" s="2" t="str">
        <x:v>감축량 인증</x:v>
      </x:c>
      <x:c r="C1863" s="2" t="str">
        <x:v>국내</x:v>
      </x:c>
      <x:c r="D1863" s="7" t="str">
        <x:v>㈜한화 울산소재 질산공장 N2O 감축 프로젝트</x:v>
      </x:c>
      <x:c r="E1863" s="2" t="str">
        <x:v>103</x:v>
      </x:c>
      <x:c r="F1863" s="2"/>
      <x:c r="G1863" s="2" t="str">
        <x:v>미확보</x:v>
      </x:c>
      <x:c r="H1863" s="2" t="str">
        <x:v>미확보</x:v>
      </x:c>
      <x:c r="I1863" s="2" t="str">
        <x:v>심의승인</x:v>
      </x:c>
      <x:c r="J1863" s="2" t="str">
        <x:v>심의승인</x:v>
      </x:c>
      <x:c r="K1863" s="2" t="str">
        <x:f>IF(OR(J1863="심의승인",J1863="반려",J1863="반려완료",J1863="심의완료"),"종결 표시",IF(OR(J1863="기후부협의",J1863="문서재제출요청",J1863="보류",J1863="보완요청",J1863="보완완료",J1863="평가중",J1863="반려요청",J1863="평가필요",LEFT(J1863,5)="보완요청("),"미종결 표시","상태 확인 필요"))</x:f>
        <x:v>종결 표시</x:v>
      </x:c>
      <x:c r="L1863" s="2"/>
      <x:c r="M1863" s="2"/>
      <x:c r="N1863" s="8"/>
      <x:c r="O1863" s="2"/>
      <x:c r="P1863" s="2"/>
      <x:c r="Q1863" s="2" t="str">
        <x:v>산업전환_외부사업관리Tool_260707_이너젠 수정_LJY_261013.xlsx</x:v>
      </x:c>
      <x:c r="R1863" s="2" t="str">
        <x:v>국내인증</x:v>
      </x:c>
      <x:c r="S1863" s="8" t="n">
        <x:v>181</x:v>
      </x:c>
      <x:c r="T1863" s="2"/>
      <x:c r="U1863" s="2" t="str"/>
      <x:c r="V1863" s="2" t="str">
        <x:v>2017-07-26</x:v>
      </x:c>
      <x:c r="W1863" s="2" t="str">
        <x:v>신청일 확인 / 담당기관 확인</x:v>
      </x:c>
      <x:c r="X1863" s="2" t="str">
        <x:v>원본·배정 기록 확인</x:v>
      </x:c>
      <x:c r="Y1863" s="2" t="str">
        <x:v>ad210cd9ec132cfd447541c8984dc53d30aff0f4fb2dc92d254d49275cc55976</x:v>
      </x:c>
      <x:c r="Z1863" s="2" t="n">
        <x:f>SUBTOTAL(103,A1863)</x:f>
        <x:v>1</x:v>
      </x:c>
      <x:c r="AA1863" s="2" t="str">
        <x:f>IF(K1863&lt;&gt;"미종결 표시","대상 아님",IF(N1863="","신청일 확인",IF(NOT(ISNUMBER('종합 현황'!$H$5)),"관찰기준 확인",IF('종합 현황'!$H$5&lt;1,"관찰기준 확인",IF(N1863&gt;'종합 현황'!$H$5,"내부 관찰 대상","내부 관찰일 이하")))))</x:f>
        <x:v>대상 아님</x:v>
      </x:c>
      <x:c r="AB1863" s="2"/>
    </x:row>
    <x:row r="1864" ht="42" customHeight="1">
      <x:c r="A1864" s="2" t="str">
        <x:v>bd1d4acf69dda01b020d76c1</x:v>
      </x:c>
      <x:c r="B1864" s="2" t="str">
        <x:v>감축량 인증</x:v>
      </x:c>
      <x:c r="C1864" s="2" t="str">
        <x:v>국내</x:v>
      </x:c>
      <x:c r="D1864" s="7" t="str">
        <x:v>휴켐스 질산공장 N2O 감축사업(휴켐스 주식회사의 질산 공장 세곡에서 tail gas에 포한된 아산화질소를 촉매를 사용하여 제거하는 프로젝트)</x:v>
      </x:c>
      <x:c r="E1864" s="2" t="str">
        <x:v>104</x:v>
      </x:c>
      <x:c r="F1864" s="2"/>
      <x:c r="G1864" s="2" t="str">
        <x:v>미확보</x:v>
      </x:c>
      <x:c r="H1864" s="2" t="str">
        <x:v>미확보</x:v>
      </x:c>
      <x:c r="I1864" s="2" t="str">
        <x:v>심의승인</x:v>
      </x:c>
      <x:c r="J1864" s="2" t="str">
        <x:v>심의승인</x:v>
      </x:c>
      <x:c r="K1864" s="2" t="str">
        <x:f>IF(OR(J1864="심의승인",J1864="반려",J1864="반려완료",J1864="심의완료"),"종결 표시",IF(OR(J1864="기후부협의",J1864="문서재제출요청",J1864="보류",J1864="보완요청",J1864="보완완료",J1864="평가중",J1864="반려요청",J1864="평가필요",LEFT(J1864,5)="보완요청("),"미종결 표시","상태 확인 필요"))</x:f>
        <x:v>종결 표시</x:v>
      </x:c>
      <x:c r="L1864" s="2"/>
      <x:c r="M1864" s="2"/>
      <x:c r="N1864" s="8"/>
      <x:c r="O1864" s="2"/>
      <x:c r="P1864" s="2"/>
      <x:c r="Q1864" s="2" t="str">
        <x:v>산업전환_외부사업관리Tool_260707_이너젠 수정_LJY_261013.xlsx</x:v>
      </x:c>
      <x:c r="R1864" s="2" t="str">
        <x:v>국내인증</x:v>
      </x:c>
      <x:c r="S1864" s="8" t="n">
        <x:v>182</x:v>
      </x:c>
      <x:c r="T1864" s="2"/>
      <x:c r="U1864" s="2" t="str"/>
      <x:c r="V1864" s="2" t="str">
        <x:v>2017-07-26</x:v>
      </x:c>
      <x:c r="W1864" s="2" t="str">
        <x:v>신청일 확인 / 담당기관 확인</x:v>
      </x:c>
      <x:c r="X1864" s="2" t="str">
        <x:v>원본·배정 기록 확인</x:v>
      </x:c>
      <x:c r="Y1864" s="2" t="str">
        <x:v>ad210cd9ec132cfd447541c8984dc53d30aff0f4fb2dc92d254d49275cc55976</x:v>
      </x:c>
      <x:c r="Z1864" s="2" t="n">
        <x:f>SUBTOTAL(103,A1864)</x:f>
        <x:v>1</x:v>
      </x:c>
      <x:c r="AA1864" s="2" t="str">
        <x:f>IF(K1864&lt;&gt;"미종결 표시","대상 아님",IF(N1864="","신청일 확인",IF(NOT(ISNUMBER('종합 현황'!$H$5)),"관찰기준 확인",IF('종합 현황'!$H$5&lt;1,"관찰기준 확인",IF(N1864&gt;'종합 현황'!$H$5,"내부 관찰 대상","내부 관찰일 이하")))))</x:f>
        <x:v>대상 아님</x:v>
      </x:c>
      <x:c r="AB1864" s="2"/>
    </x:row>
    <x:row r="1865" ht="42" customHeight="1">
      <x:c r="A1865" s="2" t="str">
        <x:v>458e673a7b5c67da0e174efb</x:v>
      </x:c>
      <x:c r="B1865" s="2" t="str">
        <x:v>감축량 인증</x:v>
      </x:c>
      <x:c r="C1865" s="2" t="str">
        <x:v>국내</x:v>
      </x:c>
      <x:c r="D1865" s="7" t="str">
        <x:v>휴켐스(주) 신설 5질산에서 발생하는 아산화질소 배출량 저감사업</x:v>
      </x:c>
      <x:c r="E1865" s="2" t="str">
        <x:v>105</x:v>
      </x:c>
      <x:c r="F1865" s="2"/>
      <x:c r="G1865" s="2" t="str">
        <x:v>미확보</x:v>
      </x:c>
      <x:c r="H1865" s="2" t="str">
        <x:v>미확보</x:v>
      </x:c>
      <x:c r="I1865" s="2" t="str">
        <x:v>심의승인</x:v>
      </x:c>
      <x:c r="J1865" s="2" t="str">
        <x:v>심의승인</x:v>
      </x:c>
      <x:c r="K1865" s="2" t="str">
        <x:f>IF(OR(J1865="심의승인",J1865="반려",J1865="반려완료",J1865="심의완료"),"종결 표시",IF(OR(J1865="기후부협의",J1865="문서재제출요청",J1865="보류",J1865="보완요청",J1865="보완완료",J1865="평가중",J1865="반려요청",J1865="평가필요",LEFT(J1865,5)="보완요청("),"미종결 표시","상태 확인 필요"))</x:f>
        <x:v>종결 표시</x:v>
      </x:c>
      <x:c r="L1865" s="2"/>
      <x:c r="M1865" s="2"/>
      <x:c r="N1865" s="8"/>
      <x:c r="O1865" s="2"/>
      <x:c r="P1865" s="2"/>
      <x:c r="Q1865" s="2" t="str">
        <x:v>산업전환_외부사업관리Tool_260707_이너젠 수정_LJY_261013.xlsx</x:v>
      </x:c>
      <x:c r="R1865" s="2" t="str">
        <x:v>국내인증</x:v>
      </x:c>
      <x:c r="S1865" s="8" t="n">
        <x:v>183</x:v>
      </x:c>
      <x:c r="T1865" s="2"/>
      <x:c r="U1865" s="2" t="str"/>
      <x:c r="V1865" s="2" t="str">
        <x:v>2017-07-26</x:v>
      </x:c>
      <x:c r="W1865" s="2" t="str">
        <x:v>신청일 확인 / 담당기관 확인</x:v>
      </x:c>
      <x:c r="X1865" s="2" t="str">
        <x:v>원본·배정 기록 확인</x:v>
      </x:c>
      <x:c r="Y1865" s="2" t="str">
        <x:v>ad210cd9ec132cfd447541c8984dc53d30aff0f4fb2dc92d254d49275cc55976</x:v>
      </x:c>
      <x:c r="Z1865" s="2" t="n">
        <x:f>SUBTOTAL(103,A1865)</x:f>
        <x:v>1</x:v>
      </x:c>
      <x:c r="AA1865" s="2" t="str">
        <x:f>IF(K1865&lt;&gt;"미종결 표시","대상 아님",IF(N1865="","신청일 확인",IF(NOT(ISNUMBER('종합 현황'!$H$5)),"관찰기준 확인",IF('종합 현황'!$H$5&lt;1,"관찰기준 확인",IF(N1865&gt;'종합 현황'!$H$5,"내부 관찰 대상","내부 관찰일 이하")))))</x:f>
        <x:v>대상 아님</x:v>
      </x:c>
      <x:c r="AB1865" s="2"/>
    </x:row>
    <x:row r="1866" ht="42" customHeight="1">
      <x:c r="A1866" s="2" t="str">
        <x:v>fc4ec5769bba304d4c9f67c7</x:v>
      </x:c>
      <x:c r="B1866" s="2" t="str">
        <x:v>감축량 인증</x:v>
      </x:c>
      <x:c r="C1866" s="2" t="str">
        <x:v>국내</x:v>
      </x:c>
      <x:c r="D1866" s="7" t="str">
        <x:v>제주도 한경풍력 2단계 CDM사업</x:v>
      </x:c>
      <x:c r="E1866" s="2" t="str">
        <x:v>106</x:v>
      </x:c>
      <x:c r="F1866" s="2"/>
      <x:c r="G1866" s="2" t="str">
        <x:v>미확보</x:v>
      </x:c>
      <x:c r="H1866" s="2" t="str">
        <x:v>미확보</x:v>
      </x:c>
      <x:c r="I1866" s="2" t="str">
        <x:v>심의승인</x:v>
      </x:c>
      <x:c r="J1866" s="2" t="str">
        <x:v>심의승인</x:v>
      </x:c>
      <x:c r="K1866" s="2" t="str">
        <x:f>IF(OR(J1866="심의승인",J1866="반려",J1866="반려완료",J1866="심의완료"),"종결 표시",IF(OR(J1866="기후부협의",J1866="문서재제출요청",J1866="보류",J1866="보완요청",J1866="보완완료",J1866="평가중",J1866="반려요청",J1866="평가필요",LEFT(J1866,5)="보완요청("),"미종결 표시","상태 확인 필요"))</x:f>
        <x:v>종결 표시</x:v>
      </x:c>
      <x:c r="L1866" s="2"/>
      <x:c r="M1866" s="2"/>
      <x:c r="N1866" s="8"/>
      <x:c r="O1866" s="2"/>
      <x:c r="P1866" s="2"/>
      <x:c r="Q1866" s="2" t="str">
        <x:v>산업전환_외부사업관리Tool_260707_이너젠 수정_LJY_261013.xlsx</x:v>
      </x:c>
      <x:c r="R1866" s="2" t="str">
        <x:v>국내인증</x:v>
      </x:c>
      <x:c r="S1866" s="8" t="n">
        <x:v>184</x:v>
      </x:c>
      <x:c r="T1866" s="2"/>
      <x:c r="U1866" s="2" t="str"/>
      <x:c r="V1866" s="2" t="str">
        <x:v>2017-07-26</x:v>
      </x:c>
      <x:c r="W1866" s="2" t="str">
        <x:v>신청일 확인 / 담당기관 확인</x:v>
      </x:c>
      <x:c r="X1866" s="2" t="str">
        <x:v>원본·배정 기록 확인</x:v>
      </x:c>
      <x:c r="Y1866" s="2" t="str">
        <x:v>ad210cd9ec132cfd447541c8984dc53d30aff0f4fb2dc92d254d49275cc55976</x:v>
      </x:c>
      <x:c r="Z1866" s="2" t="n">
        <x:f>SUBTOTAL(103,A1866)</x:f>
        <x:v>1</x:v>
      </x:c>
      <x:c r="AA1866" s="2" t="str">
        <x:f>IF(K1866&lt;&gt;"미종결 표시","대상 아님",IF(N1866="","신청일 확인",IF(NOT(ISNUMBER('종합 현황'!$H$5)),"관찰기준 확인",IF('종합 현황'!$H$5&lt;1,"관찰기준 확인",IF(N1866&gt;'종합 현황'!$H$5,"내부 관찰 대상","내부 관찰일 이하")))))</x:f>
        <x:v>대상 아님</x:v>
      </x:c>
      <x:c r="AB1866" s="2"/>
    </x:row>
    <x:row r="1867" ht="42" customHeight="1">
      <x:c r="A1867" s="2" t="str">
        <x:v>f643d2b88b366316eba349aa</x:v>
      </x:c>
      <x:c r="B1867" s="2" t="str">
        <x:v>감축량 인증</x:v>
      </x:c>
      <x:c r="C1867" s="2" t="str">
        <x:v>국내</x:v>
      </x:c>
      <x:c r="D1867" s="7" t="str">
        <x:v>휴켐스 질산공장 N2O 감축사업(휴켐스 주식회사의 질산 공장 세 곳에서 tail gas에 포함된 아산화질소를 촉매를 사용하여 제거하는 프로젝트)</x:v>
      </x:c>
      <x:c r="E1867" s="2" t="str">
        <x:v>107</x:v>
      </x:c>
      <x:c r="F1867" s="2"/>
      <x:c r="G1867" s="2" t="str">
        <x:v>미확보</x:v>
      </x:c>
      <x:c r="H1867" s="2" t="str">
        <x:v>미확보</x:v>
      </x:c>
      <x:c r="I1867" s="2" t="str">
        <x:v>심의승인</x:v>
      </x:c>
      <x:c r="J1867" s="2" t="str">
        <x:v>심의승인</x:v>
      </x:c>
      <x:c r="K1867" s="2" t="str">
        <x:f>IF(OR(J1867="심의승인",J1867="반려",J1867="반려완료",J1867="심의완료"),"종결 표시",IF(OR(J1867="기후부협의",J1867="문서재제출요청",J1867="보류",J1867="보완요청",J1867="보완완료",J1867="평가중",J1867="반려요청",J1867="평가필요",LEFT(J1867,5)="보완요청("),"미종결 표시","상태 확인 필요"))</x:f>
        <x:v>종결 표시</x:v>
      </x:c>
      <x:c r="L1867" s="2"/>
      <x:c r="M1867" s="2"/>
      <x:c r="N1867" s="8"/>
      <x:c r="O1867" s="2"/>
      <x:c r="P1867" s="2"/>
      <x:c r="Q1867" s="2" t="str">
        <x:v>산업전환_외부사업관리Tool_260707_이너젠 수정_LJY_261013.xlsx</x:v>
      </x:c>
      <x:c r="R1867" s="2" t="str">
        <x:v>국내인증</x:v>
      </x:c>
      <x:c r="S1867" s="8" t="n">
        <x:v>185</x:v>
      </x:c>
      <x:c r="T1867" s="2"/>
      <x:c r="U1867" s="2" t="str"/>
      <x:c r="V1867" s="2" t="str">
        <x:v>2017-07-26</x:v>
      </x:c>
      <x:c r="W1867" s="2" t="str">
        <x:v>신청일 확인 / 담당기관 확인</x:v>
      </x:c>
      <x:c r="X1867" s="2" t="str">
        <x:v>원본·배정 기록 확인</x:v>
      </x:c>
      <x:c r="Y1867" s="2" t="str">
        <x:v>ad210cd9ec132cfd447541c8984dc53d30aff0f4fb2dc92d254d49275cc55976</x:v>
      </x:c>
      <x:c r="Z1867" s="2" t="n">
        <x:f>SUBTOTAL(103,A1867)</x:f>
        <x:v>1</x:v>
      </x:c>
      <x:c r="AA1867" s="2" t="str">
        <x:f>IF(K1867&lt;&gt;"미종결 표시","대상 아님",IF(N1867="","신청일 확인",IF(NOT(ISNUMBER('종합 현황'!$H$5)),"관찰기준 확인",IF('종합 현황'!$H$5&lt;1,"관찰기준 확인",IF(N1867&gt;'종합 현황'!$H$5,"내부 관찰 대상","내부 관찰일 이하")))))</x:f>
        <x:v>대상 아님</x:v>
      </x:c>
      <x:c r="AB1867" s="2"/>
    </x:row>
    <x:row r="1868" ht="42" customHeight="1">
      <x:c r="A1868" s="2" t="str">
        <x:v>918808cfcade603b5b5e1415</x:v>
      </x:c>
      <x:c r="B1868" s="2" t="str">
        <x:v>감축량 인증</x:v>
      </x:c>
      <x:c r="C1868" s="2" t="str">
        <x:v>국내</x:v>
      </x:c>
      <x:c r="D1868" s="7" t="str">
        <x:v>휴켐스(주) 신설 5질산에서 발생하는 아산화질소 배출량 저감사업</x:v>
      </x:c>
      <x:c r="E1868" s="2" t="str">
        <x:v>108</x:v>
      </x:c>
      <x:c r="F1868" s="2"/>
      <x:c r="G1868" s="2" t="str">
        <x:v>미확보</x:v>
      </x:c>
      <x:c r="H1868" s="2" t="str">
        <x:v>미확보</x:v>
      </x:c>
      <x:c r="I1868" s="2" t="str">
        <x:v>심의승인</x:v>
      </x:c>
      <x:c r="J1868" s="2" t="str">
        <x:v>심의승인</x:v>
      </x:c>
      <x:c r="K1868" s="2" t="str">
        <x:f>IF(OR(J1868="심의승인",J1868="반려",J1868="반려완료",J1868="심의완료"),"종결 표시",IF(OR(J1868="기후부협의",J1868="문서재제출요청",J1868="보류",J1868="보완요청",J1868="보완완료",J1868="평가중",J1868="반려요청",J1868="평가필요",LEFT(J1868,5)="보완요청("),"미종결 표시","상태 확인 필요"))</x:f>
        <x:v>종결 표시</x:v>
      </x:c>
      <x:c r="L1868" s="2"/>
      <x:c r="M1868" s="2"/>
      <x:c r="N1868" s="8"/>
      <x:c r="O1868" s="2"/>
      <x:c r="P1868" s="2"/>
      <x:c r="Q1868" s="2" t="str">
        <x:v>산업전환_외부사업관리Tool_260707_이너젠 수정_LJY_261013.xlsx</x:v>
      </x:c>
      <x:c r="R1868" s="2" t="str">
        <x:v>국내인증</x:v>
      </x:c>
      <x:c r="S1868" s="8" t="n">
        <x:v>186</x:v>
      </x:c>
      <x:c r="T1868" s="2"/>
      <x:c r="U1868" s="2" t="str"/>
      <x:c r="V1868" s="2" t="str">
        <x:v>2017-07-26</x:v>
      </x:c>
      <x:c r="W1868" s="2" t="str">
        <x:v>신청일 확인 / 담당기관 확인</x:v>
      </x:c>
      <x:c r="X1868" s="2" t="str">
        <x:v>원본·배정 기록 확인</x:v>
      </x:c>
      <x:c r="Y1868" s="2" t="str">
        <x:v>ad210cd9ec132cfd447541c8984dc53d30aff0f4fb2dc92d254d49275cc55976</x:v>
      </x:c>
      <x:c r="Z1868" s="2" t="n">
        <x:f>SUBTOTAL(103,A1868)</x:f>
        <x:v>1</x:v>
      </x:c>
      <x:c r="AA1868" s="2" t="str">
        <x:f>IF(K1868&lt;&gt;"미종결 표시","대상 아님",IF(N1868="","신청일 확인",IF(NOT(ISNUMBER('종합 현황'!$H$5)),"관찰기준 확인",IF('종합 현황'!$H$5&lt;1,"관찰기준 확인",IF(N1868&gt;'종합 현황'!$H$5,"내부 관찰 대상","내부 관찰일 이하")))))</x:f>
        <x:v>대상 아님</x:v>
      </x:c>
      <x:c r="AB1868" s="2"/>
    </x:row>
    <x:row r="1869" ht="42" customHeight="1">
      <x:c r="A1869" s="2" t="str">
        <x:v>8186fd85ea2ee3d7d6a08fa0</x:v>
      </x:c>
      <x:c r="B1869" s="2" t="str">
        <x:v>감축량 인증</x:v>
      </x:c>
      <x:c r="C1869" s="2" t="str">
        <x:v>국내</x:v>
      </x:c>
      <x:c r="D1869" s="7" t="str">
        <x:v>SF6 회수 및 재생사업</x:v>
      </x:c>
      <x:c r="E1869" s="2" t="str">
        <x:v>109</x:v>
      </x:c>
      <x:c r="F1869" s="2"/>
      <x:c r="G1869" s="2" t="str">
        <x:v>미확보</x:v>
      </x:c>
      <x:c r="H1869" s="2" t="str">
        <x:v>미확보</x:v>
      </x:c>
      <x:c r="I1869" s="2" t="str">
        <x:v>심의승인</x:v>
      </x:c>
      <x:c r="J1869" s="2" t="str">
        <x:v>심의승인</x:v>
      </x:c>
      <x:c r="K1869" s="2" t="str">
        <x:f>IF(OR(J1869="심의승인",J1869="반려",J1869="반려완료",J1869="심의완료"),"종결 표시",IF(OR(J1869="기후부협의",J1869="문서재제출요청",J1869="보류",J1869="보완요청",J1869="보완완료",J1869="평가중",J1869="반려요청",J1869="평가필요",LEFT(J1869,5)="보완요청("),"미종결 표시","상태 확인 필요"))</x:f>
        <x:v>종결 표시</x:v>
      </x:c>
      <x:c r="L1869" s="2"/>
      <x:c r="M1869" s="2"/>
      <x:c r="N1869" s="8"/>
      <x:c r="O1869" s="2"/>
      <x:c r="P1869" s="2"/>
      <x:c r="Q1869" s="2" t="str">
        <x:v>산업전환_외부사업관리Tool_260707_이너젠 수정_LJY_261013.xlsx</x:v>
      </x:c>
      <x:c r="R1869" s="2" t="str">
        <x:v>국내인증</x:v>
      </x:c>
      <x:c r="S1869" s="8" t="n">
        <x:v>187</x:v>
      </x:c>
      <x:c r="T1869" s="2"/>
      <x:c r="U1869" s="2" t="str"/>
      <x:c r="V1869" s="2" t="str">
        <x:v>2017-12-14</x:v>
      </x:c>
      <x:c r="W1869" s="2" t="str">
        <x:v>신청일 확인 / 담당기관 확인</x:v>
      </x:c>
      <x:c r="X1869" s="2" t="str">
        <x:v>원본·배정 기록 확인</x:v>
      </x:c>
      <x:c r="Y1869" s="2" t="str">
        <x:v>ad210cd9ec132cfd447541c8984dc53d30aff0f4fb2dc92d254d49275cc55976</x:v>
      </x:c>
      <x:c r="Z1869" s="2" t="n">
        <x:f>SUBTOTAL(103,A1869)</x:f>
        <x:v>1</x:v>
      </x:c>
      <x:c r="AA1869" s="2" t="str">
        <x:f>IF(K1869&lt;&gt;"미종결 표시","대상 아님",IF(N1869="","신청일 확인",IF(NOT(ISNUMBER('종합 현황'!$H$5)),"관찰기준 확인",IF('종합 현황'!$H$5&lt;1,"관찰기준 확인",IF(N1869&gt;'종합 현황'!$H$5,"내부 관찰 대상","내부 관찰일 이하")))))</x:f>
        <x:v>대상 아님</x:v>
      </x:c>
      <x:c r="AB1869" s="2"/>
    </x:row>
    <x:row r="1870" ht="42" customHeight="1">
      <x:c r="A1870" s="2" t="str">
        <x:v>731612b6d9742305d6cfb67c</x:v>
      </x:c>
      <x:c r="B1870" s="2" t="str">
        <x:v>감축량 인증</x:v>
      </x:c>
      <x:c r="C1870" s="2" t="str">
        <x:v>국내</x:v>
      </x:c>
      <x:c r="D1870" s="7" t="str">
        <x:v>동서발전 당진 소수력 프로젝트</x:v>
      </x:c>
      <x:c r="E1870" s="2" t="str">
        <x:v>110</x:v>
      </x:c>
      <x:c r="F1870" s="2"/>
      <x:c r="G1870" s="2" t="str">
        <x:v>미확보</x:v>
      </x:c>
      <x:c r="H1870" s="2" t="str">
        <x:v>미확보</x:v>
      </x:c>
      <x:c r="I1870" s="2" t="str">
        <x:v>심의승인</x:v>
      </x:c>
      <x:c r="J1870" s="2" t="str">
        <x:v>심의승인</x:v>
      </x:c>
      <x:c r="K1870" s="2" t="str">
        <x:f>IF(OR(J1870="심의승인",J1870="반려",J1870="반려완료",J1870="심의완료"),"종결 표시",IF(OR(J1870="기후부협의",J1870="문서재제출요청",J1870="보류",J1870="보완요청",J1870="보완완료",J1870="평가중",J1870="반려요청",J1870="평가필요",LEFT(J1870,5)="보완요청("),"미종결 표시","상태 확인 필요"))</x:f>
        <x:v>종결 표시</x:v>
      </x:c>
      <x:c r="L1870" s="2"/>
      <x:c r="M1870" s="2"/>
      <x:c r="N1870" s="8"/>
      <x:c r="O1870" s="2"/>
      <x:c r="P1870" s="2"/>
      <x:c r="Q1870" s="2" t="str">
        <x:v>산업전환_외부사업관리Tool_260707_이너젠 수정_LJY_261013.xlsx</x:v>
      </x:c>
      <x:c r="R1870" s="2" t="str">
        <x:v>국내인증</x:v>
      </x:c>
      <x:c r="S1870" s="8" t="n">
        <x:v>188</x:v>
      </x:c>
      <x:c r="T1870" s="2"/>
      <x:c r="U1870" s="2" t="str"/>
      <x:c r="V1870" s="2" t="str">
        <x:v>2017-12-14</x:v>
      </x:c>
      <x:c r="W1870" s="2" t="str">
        <x:v>신청일 확인 / 담당기관 확인</x:v>
      </x:c>
      <x:c r="X1870" s="2" t="str">
        <x:v>원본·배정 기록 확인</x:v>
      </x:c>
      <x:c r="Y1870" s="2" t="str">
        <x:v>ad210cd9ec132cfd447541c8984dc53d30aff0f4fb2dc92d254d49275cc55976</x:v>
      </x:c>
      <x:c r="Z1870" s="2" t="n">
        <x:f>SUBTOTAL(103,A1870)</x:f>
        <x:v>1</x:v>
      </x:c>
      <x:c r="AA1870" s="2" t="str">
        <x:f>IF(K1870&lt;&gt;"미종결 표시","대상 아님",IF(N1870="","신청일 확인",IF(NOT(ISNUMBER('종합 현황'!$H$5)),"관찰기준 확인",IF('종합 현황'!$H$5&lt;1,"관찰기준 확인",IF(N1870&gt;'종합 현황'!$H$5,"내부 관찰 대상","내부 관찰일 이하")))))</x:f>
        <x:v>대상 아님</x:v>
      </x:c>
      <x:c r="AB1870" s="2"/>
    </x:row>
    <x:row r="1871" ht="42" customHeight="1">
      <x:c r="A1871" s="2" t="str">
        <x:v>4dbad62185e55d90c69febe2</x:v>
      </x:c>
      <x:c r="B1871" s="2" t="str">
        <x:v>감축량 인증</x:v>
      </x:c>
      <x:c r="C1871" s="2" t="str">
        <x:v>국내</x:v>
      </x:c>
      <x:c r="D1871" s="7" t="str">
        <x:v>한국지역난방공사 대구지사 목질 바이오매스 열병합발전 프로젝트</x:v>
      </x:c>
      <x:c r="E1871" s="2" t="str">
        <x:v>111</x:v>
      </x:c>
      <x:c r="F1871" s="2"/>
      <x:c r="G1871" s="2" t="str">
        <x:v>미확보</x:v>
      </x:c>
      <x:c r="H1871" s="2" t="str">
        <x:v>미확보</x:v>
      </x:c>
      <x:c r="I1871" s="2" t="str">
        <x:v>심의승인</x:v>
      </x:c>
      <x:c r="J1871" s="2" t="str">
        <x:v>심의승인</x:v>
      </x:c>
      <x:c r="K1871" s="2" t="str">
        <x:f>IF(OR(J1871="심의승인",J1871="반려",J1871="반려완료",J1871="심의완료"),"종결 표시",IF(OR(J1871="기후부협의",J1871="문서재제출요청",J1871="보류",J1871="보완요청",J1871="보완완료",J1871="평가중",J1871="반려요청",J1871="평가필요",LEFT(J1871,5)="보완요청("),"미종결 표시","상태 확인 필요"))</x:f>
        <x:v>종결 표시</x:v>
      </x:c>
      <x:c r="L1871" s="2"/>
      <x:c r="M1871" s="2"/>
      <x:c r="N1871" s="8"/>
      <x:c r="O1871" s="2"/>
      <x:c r="P1871" s="2"/>
      <x:c r="Q1871" s="2" t="str">
        <x:v>산업전환_외부사업관리Tool_260707_이너젠 수정_LJY_261013.xlsx</x:v>
      </x:c>
      <x:c r="R1871" s="2" t="str">
        <x:v>국내인증</x:v>
      </x:c>
      <x:c r="S1871" s="8" t="n">
        <x:v>189</x:v>
      </x:c>
      <x:c r="T1871" s="2"/>
      <x:c r="U1871" s="2" t="str"/>
      <x:c r="V1871" s="2" t="str">
        <x:v>2017-12-14</x:v>
      </x:c>
      <x:c r="W1871" s="2" t="str">
        <x:v>신청일 확인 / 담당기관 확인</x:v>
      </x:c>
      <x:c r="X1871" s="2" t="str">
        <x:v>원본·배정 기록 확인</x:v>
      </x:c>
      <x:c r="Y1871" s="2" t="str">
        <x:v>ad210cd9ec132cfd447541c8984dc53d30aff0f4fb2dc92d254d49275cc55976</x:v>
      </x:c>
      <x:c r="Z1871" s="2" t="n">
        <x:f>SUBTOTAL(103,A1871)</x:f>
        <x:v>1</x:v>
      </x:c>
      <x:c r="AA1871" s="2" t="str">
        <x:f>IF(K1871&lt;&gt;"미종결 표시","대상 아님",IF(N1871="","신청일 확인",IF(NOT(ISNUMBER('종합 현황'!$H$5)),"관찰기준 확인",IF('종합 현황'!$H$5&lt;1,"관찰기준 확인",IF(N1871&gt;'종합 현황'!$H$5,"내부 관찰 대상","내부 관찰일 이하")))))</x:f>
        <x:v>대상 아님</x:v>
      </x:c>
      <x:c r="AB1871" s="2"/>
    </x:row>
    <x:row r="1872" ht="42" customHeight="1">
      <x:c r="A1872" s="2" t="str">
        <x:v>92c81e103acc60bae5395291</x:v>
      </x:c>
      <x:c r="B1872" s="2" t="str">
        <x:v>감축량 인증</x:v>
      </x:c>
      <x:c r="C1872" s="2" t="str">
        <x:v>국내</x:v>
      </x:c>
      <x:c r="D1872" s="7" t="str">
        <x:v>LG 화학 나주 공장 연료전환 사업</x:v>
      </x:c>
      <x:c r="E1872" s="2" t="str">
        <x:v>112</x:v>
      </x:c>
      <x:c r="F1872" s="2"/>
      <x:c r="G1872" s="2" t="str">
        <x:v>미확보</x:v>
      </x:c>
      <x:c r="H1872" s="2" t="str">
        <x:v>미확보</x:v>
      </x:c>
      <x:c r="I1872" s="2" t="str">
        <x:v>심의승인</x:v>
      </x:c>
      <x:c r="J1872" s="2" t="str">
        <x:v>심의승인</x:v>
      </x:c>
      <x:c r="K1872" s="2" t="str">
        <x:f>IF(OR(J1872="심의승인",J1872="반려",J1872="반려완료",J1872="심의완료"),"종결 표시",IF(OR(J1872="기후부협의",J1872="문서재제출요청",J1872="보류",J1872="보완요청",J1872="보완완료",J1872="평가중",J1872="반려요청",J1872="평가필요",LEFT(J1872,5)="보완요청("),"미종결 표시","상태 확인 필요"))</x:f>
        <x:v>종결 표시</x:v>
      </x:c>
      <x:c r="L1872" s="2"/>
      <x:c r="M1872" s="2"/>
      <x:c r="N1872" s="8"/>
      <x:c r="O1872" s="2"/>
      <x:c r="P1872" s="2"/>
      <x:c r="Q1872" s="2" t="str">
        <x:v>산업전환_외부사업관리Tool_260707_이너젠 수정_LJY_261013.xlsx</x:v>
      </x:c>
      <x:c r="R1872" s="2" t="str">
        <x:v>국내인증</x:v>
      </x:c>
      <x:c r="S1872" s="8" t="n">
        <x:v>190</x:v>
      </x:c>
      <x:c r="T1872" s="2"/>
      <x:c r="U1872" s="2" t="str"/>
      <x:c r="V1872" s="2" t="str">
        <x:v>2017-12-14</x:v>
      </x:c>
      <x:c r="W1872" s="2" t="str">
        <x:v>신청일 확인 / 담당기관 확인</x:v>
      </x:c>
      <x:c r="X1872" s="2" t="str">
        <x:v>원본·배정 기록 확인</x:v>
      </x:c>
      <x:c r="Y1872" s="2" t="str">
        <x:v>ad210cd9ec132cfd447541c8984dc53d30aff0f4fb2dc92d254d49275cc55976</x:v>
      </x:c>
      <x:c r="Z1872" s="2" t="n">
        <x:f>SUBTOTAL(103,A1872)</x:f>
        <x:v>1</x:v>
      </x:c>
      <x:c r="AA1872" s="2" t="str">
        <x:f>IF(K1872&lt;&gt;"미종결 표시","대상 아님",IF(N1872="","신청일 확인",IF(NOT(ISNUMBER('종합 현황'!$H$5)),"관찰기준 확인",IF('종합 현황'!$H$5&lt;1,"관찰기준 확인",IF(N1872&gt;'종합 현황'!$H$5,"내부 관찰 대상","내부 관찰일 이하")))))</x:f>
        <x:v>대상 아님</x:v>
      </x:c>
      <x:c r="AB1872" s="2"/>
    </x:row>
    <x:row r="1873" ht="42" customHeight="1">
      <x:c r="A1873" s="2" t="str">
        <x:v>a90f69e2afc7886bc992c3df</x:v>
      </x:c>
      <x:c r="B1873" s="2" t="str">
        <x:v>감축량 인증</x:v>
      </x:c>
      <x:c r="C1873" s="2" t="str">
        <x:v>국내</x:v>
      </x:c>
      <x:c r="D1873" s="7" t="str">
        <x:v>시화호 조력발전 사업</x:v>
      </x:c>
      <x:c r="E1873" s="2" t="str">
        <x:v>113</x:v>
      </x:c>
      <x:c r="F1873" s="2"/>
      <x:c r="G1873" s="2" t="str">
        <x:v>미확보</x:v>
      </x:c>
      <x:c r="H1873" s="2" t="str">
        <x:v>미확보</x:v>
      </x:c>
      <x:c r="I1873" s="2" t="str">
        <x:v>심의승인</x:v>
      </x:c>
      <x:c r="J1873" s="2" t="str">
        <x:v>심의승인</x:v>
      </x:c>
      <x:c r="K1873" s="2" t="str">
        <x:f>IF(OR(J1873="심의승인",J1873="반려",J1873="반려완료",J1873="심의완료"),"종결 표시",IF(OR(J1873="기후부협의",J1873="문서재제출요청",J1873="보류",J1873="보완요청",J1873="보완완료",J1873="평가중",J1873="반려요청",J1873="평가필요",LEFT(J1873,5)="보완요청("),"미종결 표시","상태 확인 필요"))</x:f>
        <x:v>종결 표시</x:v>
      </x:c>
      <x:c r="L1873" s="2"/>
      <x:c r="M1873" s="2"/>
      <x:c r="N1873" s="8"/>
      <x:c r="O1873" s="2"/>
      <x:c r="P1873" s="2"/>
      <x:c r="Q1873" s="2" t="str">
        <x:v>산업전환_외부사업관리Tool_260707_이너젠 수정_LJY_261013.xlsx</x:v>
      </x:c>
      <x:c r="R1873" s="2" t="str">
        <x:v>국내인증</x:v>
      </x:c>
      <x:c r="S1873" s="8" t="n">
        <x:v>191</x:v>
      </x:c>
      <x:c r="T1873" s="2"/>
      <x:c r="U1873" s="2" t="str"/>
      <x:c r="V1873" s="2" t="str">
        <x:v>2017-12-14</x:v>
      </x:c>
      <x:c r="W1873" s="2" t="str">
        <x:v>신청일 확인 / 담당기관 확인</x:v>
      </x:c>
      <x:c r="X1873" s="2" t="str">
        <x:v>원본·배정 기록 확인</x:v>
      </x:c>
      <x:c r="Y1873" s="2" t="str">
        <x:v>ad210cd9ec132cfd447541c8984dc53d30aff0f4fb2dc92d254d49275cc55976</x:v>
      </x:c>
      <x:c r="Z1873" s="2" t="n">
        <x:f>SUBTOTAL(103,A1873)</x:f>
        <x:v>1</x:v>
      </x:c>
      <x:c r="AA1873" s="2" t="str">
        <x:f>IF(K1873&lt;&gt;"미종결 표시","대상 아님",IF(N1873="","신청일 확인",IF(NOT(ISNUMBER('종합 현황'!$H$5)),"관찰기준 확인",IF('종합 현황'!$H$5&lt;1,"관찰기준 확인",IF(N1873&gt;'종합 현황'!$H$5,"내부 관찰 대상","내부 관찰일 이하")))))</x:f>
        <x:v>대상 아님</x:v>
      </x:c>
      <x:c r="AB1873" s="2"/>
    </x:row>
    <x:row r="1874" ht="42" customHeight="1">
      <x:c r="A1874" s="2" t="str">
        <x:v>60d7c23526f5fd18ee43e3db</x:v>
      </x:c>
      <x:c r="B1874" s="2" t="str">
        <x:v>감축량 인증</x:v>
      </x:c>
      <x:c r="C1874" s="2" t="str">
        <x:v>국내</x:v>
      </x:c>
      <x:c r="D1874" s="7" t="str">
        <x:v>휴켐스(주) 신설 5질산에서 발생하는 아산화질소 배출량 저감사업</x:v>
      </x:c>
      <x:c r="E1874" s="2" t="str">
        <x:v>114</x:v>
      </x:c>
      <x:c r="F1874" s="2"/>
      <x:c r="G1874" s="2" t="str">
        <x:v>미확보</x:v>
      </x:c>
      <x:c r="H1874" s="2" t="str">
        <x:v>미확보</x:v>
      </x:c>
      <x:c r="I1874" s="2" t="str">
        <x:v>심의승인</x:v>
      </x:c>
      <x:c r="J1874" s="2" t="str">
        <x:v>심의승인</x:v>
      </x:c>
      <x:c r="K1874" s="2" t="str">
        <x:f>IF(OR(J1874="심의승인",J1874="반려",J1874="반려완료",J1874="심의완료"),"종결 표시",IF(OR(J1874="기후부협의",J1874="문서재제출요청",J1874="보류",J1874="보완요청",J1874="보완완료",J1874="평가중",J1874="반려요청",J1874="평가필요",LEFT(J1874,5)="보완요청("),"미종결 표시","상태 확인 필요"))</x:f>
        <x:v>종결 표시</x:v>
      </x:c>
      <x:c r="L1874" s="2"/>
      <x:c r="M1874" s="2"/>
      <x:c r="N1874" s="8"/>
      <x:c r="O1874" s="2"/>
      <x:c r="P1874" s="2"/>
      <x:c r="Q1874" s="2" t="str">
        <x:v>산업전환_외부사업관리Tool_260707_이너젠 수정_LJY_261013.xlsx</x:v>
      </x:c>
      <x:c r="R1874" s="2" t="str">
        <x:v>국내인증</x:v>
      </x:c>
      <x:c r="S1874" s="8" t="n">
        <x:v>192</x:v>
      </x:c>
      <x:c r="T1874" s="2"/>
      <x:c r="U1874" s="2" t="str"/>
      <x:c r="V1874" s="2" t="str">
        <x:v>2017-12-14</x:v>
      </x:c>
      <x:c r="W1874" s="2" t="str">
        <x:v>신청일 확인 / 담당기관 확인</x:v>
      </x:c>
      <x:c r="X1874" s="2" t="str">
        <x:v>원본·배정 기록 확인</x:v>
      </x:c>
      <x:c r="Y1874" s="2" t="str">
        <x:v>ad210cd9ec132cfd447541c8984dc53d30aff0f4fb2dc92d254d49275cc55976</x:v>
      </x:c>
      <x:c r="Z1874" s="2" t="n">
        <x:f>SUBTOTAL(103,A1874)</x:f>
        <x:v>1</x:v>
      </x:c>
      <x:c r="AA1874" s="2" t="str">
        <x:f>IF(K1874&lt;&gt;"미종결 표시","대상 아님",IF(N1874="","신청일 확인",IF(NOT(ISNUMBER('종합 현황'!$H$5)),"관찰기준 확인",IF('종합 현황'!$H$5&lt;1,"관찰기준 확인",IF(N1874&gt;'종합 현황'!$H$5,"내부 관찰 대상","내부 관찰일 이하")))))</x:f>
        <x:v>대상 아님</x:v>
      </x:c>
      <x:c r="AB1874" s="2"/>
    </x:row>
    <x:row r="1875" ht="42" customHeight="1">
      <x:c r="A1875" s="2" t="str">
        <x:v>4259d6d29d98fca2bb2cb06f</x:v>
      </x:c>
      <x:c r="B1875" s="2" t="str">
        <x:v>감축량 인증</x:v>
      </x:c>
      <x:c r="C1875" s="2" t="str">
        <x:v>국내</x:v>
      </x:c>
      <x:c r="D1875" s="7" t="str">
        <x:v>SF6 회수 및 재생사업</x:v>
      </x:c>
      <x:c r="E1875" s="2" t="str">
        <x:v>115</x:v>
      </x:c>
      <x:c r="F1875" s="2"/>
      <x:c r="G1875" s="2" t="str">
        <x:v>미확보</x:v>
      </x:c>
      <x:c r="H1875" s="2" t="str">
        <x:v>미확보</x:v>
      </x:c>
      <x:c r="I1875" s="2" t="str">
        <x:v>심의승인</x:v>
      </x:c>
      <x:c r="J1875" s="2" t="str">
        <x:v>심의승인</x:v>
      </x:c>
      <x:c r="K1875" s="2" t="str">
        <x:f>IF(OR(J1875="심의승인",J1875="반려",J1875="반려완료",J1875="심의완료"),"종결 표시",IF(OR(J1875="기후부협의",J1875="문서재제출요청",J1875="보류",J1875="보완요청",J1875="보완완료",J1875="평가중",J1875="반려요청",J1875="평가필요",LEFT(J1875,5)="보완요청("),"미종결 표시","상태 확인 필요"))</x:f>
        <x:v>종결 표시</x:v>
      </x:c>
      <x:c r="L1875" s="2"/>
      <x:c r="M1875" s="2"/>
      <x:c r="N1875" s="8"/>
      <x:c r="O1875" s="2"/>
      <x:c r="P1875" s="2"/>
      <x:c r="Q1875" s="2" t="str">
        <x:v>산업전환_외부사업관리Tool_260707_이너젠 수정_LJY_261013.xlsx</x:v>
      </x:c>
      <x:c r="R1875" s="2" t="str">
        <x:v>국내인증</x:v>
      </x:c>
      <x:c r="S1875" s="8" t="n">
        <x:v>193</x:v>
      </x:c>
      <x:c r="T1875" s="2"/>
      <x:c r="U1875" s="2" t="str"/>
      <x:c r="V1875" s="2" t="str">
        <x:v>2017-12-14</x:v>
      </x:c>
      <x:c r="W1875" s="2" t="str">
        <x:v>신청일 확인 / 담당기관 확인</x:v>
      </x:c>
      <x:c r="X1875" s="2" t="str">
        <x:v>원본·배정 기록 확인</x:v>
      </x:c>
      <x:c r="Y1875" s="2" t="str">
        <x:v>ad210cd9ec132cfd447541c8984dc53d30aff0f4fb2dc92d254d49275cc55976</x:v>
      </x:c>
      <x:c r="Z1875" s="2" t="n">
        <x:f>SUBTOTAL(103,A1875)</x:f>
        <x:v>1</x:v>
      </x:c>
      <x:c r="AA1875" s="2" t="str">
        <x:f>IF(K1875&lt;&gt;"미종결 표시","대상 아님",IF(N1875="","신청일 확인",IF(NOT(ISNUMBER('종합 현황'!$H$5)),"관찰기준 확인",IF('종합 현황'!$H$5&lt;1,"관찰기준 확인",IF(N1875&gt;'종합 현황'!$H$5,"내부 관찰 대상","내부 관찰일 이하")))))</x:f>
        <x:v>대상 아님</x:v>
      </x:c>
      <x:c r="AB1875" s="2"/>
    </x:row>
    <x:row r="1876" ht="42" customHeight="1">
      <x:c r="A1876" s="2" t="str">
        <x:v>089561481e52bd62134949e0</x:v>
      </x:c>
      <x:c r="B1876" s="2" t="str">
        <x:v>감축량 인증</x:v>
      </x:c>
      <x:c r="C1876" s="2" t="str">
        <x:v>국내</x:v>
      </x:c>
      <x:c r="D1876" s="7" t="str">
        <x:v>시화호 조력발전 사업</x:v>
      </x:c>
      <x:c r="E1876" s="2" t="str">
        <x:v>116</x:v>
      </x:c>
      <x:c r="F1876" s="2"/>
      <x:c r="G1876" s="2" t="str">
        <x:v>미확보</x:v>
      </x:c>
      <x:c r="H1876" s="2" t="str">
        <x:v>미확보</x:v>
      </x:c>
      <x:c r="I1876" s="2" t="str">
        <x:v>심의승인</x:v>
      </x:c>
      <x:c r="J1876" s="2" t="str">
        <x:v>심의승인</x:v>
      </x:c>
      <x:c r="K1876" s="2" t="str">
        <x:f>IF(OR(J1876="심의승인",J1876="반려",J1876="반려완료",J1876="심의완료"),"종결 표시",IF(OR(J1876="기후부협의",J1876="문서재제출요청",J1876="보류",J1876="보완요청",J1876="보완완료",J1876="평가중",J1876="반려요청",J1876="평가필요",LEFT(J1876,5)="보완요청("),"미종결 표시","상태 확인 필요"))</x:f>
        <x:v>종결 표시</x:v>
      </x:c>
      <x:c r="L1876" s="2"/>
      <x:c r="M1876" s="2"/>
      <x:c r="N1876" s="8"/>
      <x:c r="O1876" s="2"/>
      <x:c r="P1876" s="2"/>
      <x:c r="Q1876" s="2" t="str">
        <x:v>산업전환_외부사업관리Tool_260707_이너젠 수정_LJY_261013.xlsx</x:v>
      </x:c>
      <x:c r="R1876" s="2" t="str">
        <x:v>국내인증</x:v>
      </x:c>
      <x:c r="S1876" s="8" t="n">
        <x:v>194</x:v>
      </x:c>
      <x:c r="T1876" s="2"/>
      <x:c r="U1876" s="2" t="str"/>
      <x:c r="V1876" s="2" t="str">
        <x:v>2017-12-14</x:v>
      </x:c>
      <x:c r="W1876" s="2" t="str">
        <x:v>신청일 확인 / 담당기관 확인</x:v>
      </x:c>
      <x:c r="X1876" s="2" t="str">
        <x:v>원본·배정 기록 확인</x:v>
      </x:c>
      <x:c r="Y1876" s="2" t="str">
        <x:v>ad210cd9ec132cfd447541c8984dc53d30aff0f4fb2dc92d254d49275cc55976</x:v>
      </x:c>
      <x:c r="Z1876" s="2" t="n">
        <x:f>SUBTOTAL(103,A1876)</x:f>
        <x:v>1</x:v>
      </x:c>
      <x:c r="AA1876" s="2" t="str">
        <x:f>IF(K1876&lt;&gt;"미종결 표시","대상 아님",IF(N1876="","신청일 확인",IF(NOT(ISNUMBER('종합 현황'!$H$5)),"관찰기준 확인",IF('종합 현황'!$H$5&lt;1,"관찰기준 확인",IF(N1876&gt;'종합 현황'!$H$5,"내부 관찰 대상","내부 관찰일 이하")))))</x:f>
        <x:v>대상 아님</x:v>
      </x:c>
      <x:c r="AB1876" s="2"/>
    </x:row>
    <x:row r="1877" ht="42" customHeight="1">
      <x:c r="A1877" s="2" t="str">
        <x:v>d23cd4ce73b2a27ba8fe77f3</x:v>
      </x:c>
      <x:c r="B1877" s="2" t="str">
        <x:v>감축량 인증</x:v>
      </x:c>
      <x:c r="C1877" s="2" t="str">
        <x:v>국내</x:v>
      </x:c>
      <x:c r="D1877" s="7" t="str">
        <x:v>휴켐스 질산공장 N2O 감축사업(휴켐스 주식회사의 질산 공장 세 곳에서 tail gas에 포함된 아산화질소를 촉매를 사용하여 제거하는 프로젝트)</x:v>
      </x:c>
      <x:c r="E1877" s="2" t="str">
        <x:v>117</x:v>
      </x:c>
      <x:c r="F1877" s="2"/>
      <x:c r="G1877" s="2" t="str">
        <x:v>미확보</x:v>
      </x:c>
      <x:c r="H1877" s="2" t="str">
        <x:v>미확보</x:v>
      </x:c>
      <x:c r="I1877" s="2" t="str">
        <x:v>심의승인</x:v>
      </x:c>
      <x:c r="J1877" s="2" t="str">
        <x:v>심의승인</x:v>
      </x:c>
      <x:c r="K1877" s="2" t="str">
        <x:f>IF(OR(J1877="심의승인",J1877="반려",J1877="반려완료",J1877="심의완료"),"종결 표시",IF(OR(J1877="기후부협의",J1877="문서재제출요청",J1877="보류",J1877="보완요청",J1877="보완완료",J1877="평가중",J1877="반려요청",J1877="평가필요",LEFT(J1877,5)="보완요청("),"미종결 표시","상태 확인 필요"))</x:f>
        <x:v>종결 표시</x:v>
      </x:c>
      <x:c r="L1877" s="2"/>
      <x:c r="M1877" s="2"/>
      <x:c r="N1877" s="8"/>
      <x:c r="O1877" s="2"/>
      <x:c r="P1877" s="2"/>
      <x:c r="Q1877" s="2" t="str">
        <x:v>산업전환_외부사업관리Tool_260707_이너젠 수정_LJY_261013.xlsx</x:v>
      </x:c>
      <x:c r="R1877" s="2" t="str">
        <x:v>국내인증</x:v>
      </x:c>
      <x:c r="S1877" s="8" t="n">
        <x:v>195</x:v>
      </x:c>
      <x:c r="T1877" s="2"/>
      <x:c r="U1877" s="2" t="str"/>
      <x:c r="V1877" s="2" t="str">
        <x:v>2017-12-14</x:v>
      </x:c>
      <x:c r="W1877" s="2" t="str">
        <x:v>신청일 확인 / 담당기관 확인</x:v>
      </x:c>
      <x:c r="X1877" s="2" t="str">
        <x:v>원본·배정 기록 확인</x:v>
      </x:c>
      <x:c r="Y1877" s="2" t="str">
        <x:v>ad210cd9ec132cfd447541c8984dc53d30aff0f4fb2dc92d254d49275cc55976</x:v>
      </x:c>
      <x:c r="Z1877" s="2" t="n">
        <x:f>SUBTOTAL(103,A1877)</x:f>
        <x:v>1</x:v>
      </x:c>
      <x:c r="AA1877" s="2" t="str">
        <x:f>IF(K1877&lt;&gt;"미종결 표시","대상 아님",IF(N1877="","신청일 확인",IF(NOT(ISNUMBER('종합 현황'!$H$5)),"관찰기준 확인",IF('종합 현황'!$H$5&lt;1,"관찰기준 확인",IF(N1877&gt;'종합 현황'!$H$5,"내부 관찰 대상","내부 관찰일 이하")))))</x:f>
        <x:v>대상 아님</x:v>
      </x:c>
      <x:c r="AB1877" s="2"/>
    </x:row>
    <x:row r="1878" ht="42" customHeight="1">
      <x:c r="A1878" s="2" t="str">
        <x:v>636962278672904873f6fd66</x:v>
      </x:c>
      <x:c r="B1878" s="2" t="str">
        <x:v>감축량 인증</x:v>
      </x:c>
      <x:c r="C1878" s="2" t="str">
        <x:v>국내</x:v>
      </x:c>
      <x:c r="D1878" s="7" t="str">
        <x:v>휴켐스(주) 신설 5질산에서 발생하는 아산화질소 배출량 저감사업</x:v>
      </x:c>
      <x:c r="E1878" s="2" t="str">
        <x:v>118</x:v>
      </x:c>
      <x:c r="F1878" s="2"/>
      <x:c r="G1878" s="2" t="str">
        <x:v>미확보</x:v>
      </x:c>
      <x:c r="H1878" s="2" t="str">
        <x:v>미확보</x:v>
      </x:c>
      <x:c r="I1878" s="2" t="str">
        <x:v>심의승인</x:v>
      </x:c>
      <x:c r="J1878" s="2" t="str">
        <x:v>심의승인</x:v>
      </x:c>
      <x:c r="K1878" s="2" t="str">
        <x:f>IF(OR(J1878="심의승인",J1878="반려",J1878="반려완료",J1878="심의완료"),"종결 표시",IF(OR(J1878="기후부협의",J1878="문서재제출요청",J1878="보류",J1878="보완요청",J1878="보완완료",J1878="평가중",J1878="반려요청",J1878="평가필요",LEFT(J1878,5)="보완요청("),"미종결 표시","상태 확인 필요"))</x:f>
        <x:v>종결 표시</x:v>
      </x:c>
      <x:c r="L1878" s="2"/>
      <x:c r="M1878" s="2"/>
      <x:c r="N1878" s="8"/>
      <x:c r="O1878" s="2"/>
      <x:c r="P1878" s="2"/>
      <x:c r="Q1878" s="2" t="str">
        <x:v>산업전환_외부사업관리Tool_260707_이너젠 수정_LJY_261013.xlsx</x:v>
      </x:c>
      <x:c r="R1878" s="2" t="str">
        <x:v>국내인증</x:v>
      </x:c>
      <x:c r="S1878" s="8" t="n">
        <x:v>196</x:v>
      </x:c>
      <x:c r="T1878" s="2"/>
      <x:c r="U1878" s="2" t="str"/>
      <x:c r="V1878" s="2" t="str">
        <x:v>2017-12-14</x:v>
      </x:c>
      <x:c r="W1878" s="2" t="str">
        <x:v>신청일 확인 / 담당기관 확인</x:v>
      </x:c>
      <x:c r="X1878" s="2" t="str">
        <x:v>원본·배정 기록 확인</x:v>
      </x:c>
      <x:c r="Y1878" s="2" t="str">
        <x:v>ad210cd9ec132cfd447541c8984dc53d30aff0f4fb2dc92d254d49275cc55976</x:v>
      </x:c>
      <x:c r="Z1878" s="2" t="n">
        <x:f>SUBTOTAL(103,A1878)</x:f>
        <x:v>1</x:v>
      </x:c>
      <x:c r="AA1878" s="2" t="str">
        <x:f>IF(K1878&lt;&gt;"미종결 표시","대상 아님",IF(N1878="","신청일 확인",IF(NOT(ISNUMBER('종합 현황'!$H$5)),"관찰기준 확인",IF('종합 현황'!$H$5&lt;1,"관찰기준 확인",IF(N1878&gt;'종합 현황'!$H$5,"내부 관찰 대상","내부 관찰일 이하")))))</x:f>
        <x:v>대상 아님</x:v>
      </x:c>
      <x:c r="AB1878" s="2"/>
    </x:row>
    <x:row r="1879" ht="42" customHeight="1">
      <x:c r="A1879" s="2" t="str">
        <x:v>ac5c506afd3e3b9ccb00d49d</x:v>
      </x:c>
      <x:c r="B1879" s="2" t="str">
        <x:v>감축량 인증</x:v>
      </x:c>
      <x:c r="C1879" s="2" t="str">
        <x:v>국내</x:v>
      </x:c>
      <x:c r="D1879" s="7" t="str">
        <x:v>휴켐스 질산공장 N2O 감축사업(휴켐스 주식회사의 질산 공장 세 곳에서 tail gas에 포함된 아산화질소를 촉매를 사용하여 제거하는 프로젝트)</x:v>
      </x:c>
      <x:c r="E1879" s="2" t="str">
        <x:v>119</x:v>
      </x:c>
      <x:c r="F1879" s="2"/>
      <x:c r="G1879" s="2" t="str">
        <x:v>미확보</x:v>
      </x:c>
      <x:c r="H1879" s="2" t="str">
        <x:v>미확보</x:v>
      </x:c>
      <x:c r="I1879" s="2" t="str">
        <x:v>심의승인</x:v>
      </x:c>
      <x:c r="J1879" s="2" t="str">
        <x:v>심의승인</x:v>
      </x:c>
      <x:c r="K1879" s="2" t="str">
        <x:f>IF(OR(J1879="심의승인",J1879="반려",J1879="반려완료",J1879="심의완료"),"종결 표시",IF(OR(J1879="기후부협의",J1879="문서재제출요청",J1879="보류",J1879="보완요청",J1879="보완완료",J1879="평가중",J1879="반려요청",J1879="평가필요",LEFT(J1879,5)="보완요청("),"미종결 표시","상태 확인 필요"))</x:f>
        <x:v>종결 표시</x:v>
      </x:c>
      <x:c r="L1879" s="2"/>
      <x:c r="M1879" s="2"/>
      <x:c r="N1879" s="8"/>
      <x:c r="O1879" s="2"/>
      <x:c r="P1879" s="2"/>
      <x:c r="Q1879" s="2" t="str">
        <x:v>산업전환_외부사업관리Tool_260707_이너젠 수정_LJY_261013.xlsx</x:v>
      </x:c>
      <x:c r="R1879" s="2" t="str">
        <x:v>국내인증</x:v>
      </x:c>
      <x:c r="S1879" s="8" t="n">
        <x:v>197</x:v>
      </x:c>
      <x:c r="T1879" s="2"/>
      <x:c r="U1879" s="2" t="str"/>
      <x:c r="V1879" s="2" t="str">
        <x:v>2017-12-15</x:v>
      </x:c>
      <x:c r="W1879" s="2" t="str">
        <x:v>신청일 확인 / 담당기관 확인</x:v>
      </x:c>
      <x:c r="X1879" s="2" t="str">
        <x:v>원본·배정 기록 확인</x:v>
      </x:c>
      <x:c r="Y1879" s="2" t="str">
        <x:v>ad210cd9ec132cfd447541c8984dc53d30aff0f4fb2dc92d254d49275cc55976</x:v>
      </x:c>
      <x:c r="Z1879" s="2" t="n">
        <x:f>SUBTOTAL(103,A1879)</x:f>
        <x:v>1</x:v>
      </x:c>
      <x:c r="AA1879" s="2" t="str">
        <x:f>IF(K1879&lt;&gt;"미종결 표시","대상 아님",IF(N1879="","신청일 확인",IF(NOT(ISNUMBER('종합 현황'!$H$5)),"관찰기준 확인",IF('종합 현황'!$H$5&lt;1,"관찰기준 확인",IF(N1879&gt;'종합 현황'!$H$5,"내부 관찰 대상","내부 관찰일 이하")))))</x:f>
        <x:v>대상 아님</x:v>
      </x:c>
      <x:c r="AB1879" s="2"/>
    </x:row>
    <x:row r="1880" ht="42" customHeight="1">
      <x:c r="A1880" s="2" t="str">
        <x:v>af312548ed4740d30ef058f9</x:v>
      </x:c>
      <x:c r="B1880" s="2" t="str">
        <x:v>감축량 인증</x:v>
      </x:c>
      <x:c r="C1880" s="2" t="str">
        <x:v>국내</x:v>
      </x:c>
      <x:c r="D1880" s="7" t="str">
        <x:v>한국의 LCD 제조 과정의 SF6 방출 감축을 위한 사용점 감축 설비</x:v>
      </x:c>
      <x:c r="E1880" s="2" t="str">
        <x:v>120</x:v>
      </x:c>
      <x:c r="F1880" s="2"/>
      <x:c r="G1880" s="2" t="str">
        <x:v>미확보</x:v>
      </x:c>
      <x:c r="H1880" s="2" t="str">
        <x:v>미확보</x:v>
      </x:c>
      <x:c r="I1880" s="2" t="str">
        <x:v>심의승인</x:v>
      </x:c>
      <x:c r="J1880" s="2" t="str">
        <x:v>심의승인</x:v>
      </x:c>
      <x:c r="K1880" s="2" t="str">
        <x:f>IF(OR(J1880="심의승인",J1880="반려",J1880="반려완료",J1880="심의완료"),"종결 표시",IF(OR(J1880="기후부협의",J1880="문서재제출요청",J1880="보류",J1880="보완요청",J1880="보완완료",J1880="평가중",J1880="반려요청",J1880="평가필요",LEFT(J1880,5)="보완요청("),"미종결 표시","상태 확인 필요"))</x:f>
        <x:v>종결 표시</x:v>
      </x:c>
      <x:c r="L1880" s="2"/>
      <x:c r="M1880" s="2"/>
      <x:c r="N1880" s="8"/>
      <x:c r="O1880" s="2"/>
      <x:c r="P1880" s="2"/>
      <x:c r="Q1880" s="2" t="str">
        <x:v>산업전환_외부사업관리Tool_260707_이너젠 수정_LJY_261013.xlsx</x:v>
      </x:c>
      <x:c r="R1880" s="2" t="str">
        <x:v>국내인증</x:v>
      </x:c>
      <x:c r="S1880" s="8" t="n">
        <x:v>198</x:v>
      </x:c>
      <x:c r="T1880" s="2"/>
      <x:c r="U1880" s="2" t="str"/>
      <x:c r="V1880" s="2" t="str">
        <x:v>2017-12-15</x:v>
      </x:c>
      <x:c r="W1880" s="2" t="str">
        <x:v>신청일 확인 / 담당기관 확인</x:v>
      </x:c>
      <x:c r="X1880" s="2" t="str">
        <x:v>원본·배정 기록 확인</x:v>
      </x:c>
      <x:c r="Y1880" s="2" t="str">
        <x:v>ad210cd9ec132cfd447541c8984dc53d30aff0f4fb2dc92d254d49275cc55976</x:v>
      </x:c>
      <x:c r="Z1880" s="2" t="n">
        <x:f>SUBTOTAL(103,A1880)</x:f>
        <x:v>1</x:v>
      </x:c>
      <x:c r="AA1880" s="2" t="str">
        <x:f>IF(K1880&lt;&gt;"미종결 표시","대상 아님",IF(N1880="","신청일 확인",IF(NOT(ISNUMBER('종합 현황'!$H$5)),"관찰기준 확인",IF('종합 현황'!$H$5&lt;1,"관찰기준 확인",IF(N1880&gt;'종합 현황'!$H$5,"내부 관찰 대상","내부 관찰일 이하")))))</x:f>
        <x:v>대상 아님</x:v>
      </x:c>
      <x:c r="AB1880" s="2"/>
    </x:row>
    <x:row r="1881" ht="42" customHeight="1">
      <x:c r="A1881" s="2" t="str">
        <x:v>1a5c9b7411a34a870b9acdfe</x:v>
      </x:c>
      <x:c r="B1881" s="2" t="str">
        <x:v>감축량 인증</x:v>
      </x:c>
      <x:c r="C1881" s="2" t="str">
        <x:v>국내</x:v>
      </x:c>
      <x:c r="D1881" s="7" t="str">
        <x:v>시화호 조력발전 사업</x:v>
      </x:c>
      <x:c r="E1881" s="2" t="str">
        <x:v>121</x:v>
      </x:c>
      <x:c r="F1881" s="2"/>
      <x:c r="G1881" s="2" t="str">
        <x:v>미확보</x:v>
      </x:c>
      <x:c r="H1881" s="2" t="str">
        <x:v>미확보</x:v>
      </x:c>
      <x:c r="I1881" s="2" t="str">
        <x:v>심의승인</x:v>
      </x:c>
      <x:c r="J1881" s="2" t="str">
        <x:v>심의승인</x:v>
      </x:c>
      <x:c r="K1881" s="2" t="str">
        <x:f>IF(OR(J1881="심의승인",J1881="반려",J1881="반려완료",J1881="심의완료"),"종결 표시",IF(OR(J1881="기후부협의",J1881="문서재제출요청",J1881="보류",J1881="보완요청",J1881="보완완료",J1881="평가중",J1881="반려요청",J1881="평가필요",LEFT(J1881,5)="보완요청("),"미종결 표시","상태 확인 필요"))</x:f>
        <x:v>종결 표시</x:v>
      </x:c>
      <x:c r="L1881" s="2"/>
      <x:c r="M1881" s="2"/>
      <x:c r="N1881" s="8"/>
      <x:c r="O1881" s="2"/>
      <x:c r="P1881" s="2"/>
      <x:c r="Q1881" s="2" t="str">
        <x:v>산업전환_외부사업관리Tool_260707_이너젠 수정_LJY_261013.xlsx</x:v>
      </x:c>
      <x:c r="R1881" s="2" t="str">
        <x:v>국내인증</x:v>
      </x:c>
      <x:c r="S1881" s="8" t="n">
        <x:v>199</x:v>
      </x:c>
      <x:c r="T1881" s="2"/>
      <x:c r="U1881" s="2" t="str"/>
      <x:c r="V1881" s="2" t="str">
        <x:v>2018-04-30</x:v>
      </x:c>
      <x:c r="W1881" s="2" t="str">
        <x:v>신청일 확인 / 담당기관 확인</x:v>
      </x:c>
      <x:c r="X1881" s="2" t="str">
        <x:v>원본·배정 기록 확인</x:v>
      </x:c>
      <x:c r="Y1881" s="2" t="str">
        <x:v>ad210cd9ec132cfd447541c8984dc53d30aff0f4fb2dc92d254d49275cc55976</x:v>
      </x:c>
      <x:c r="Z1881" s="2" t="n">
        <x:f>SUBTOTAL(103,A1881)</x:f>
        <x:v>1</x:v>
      </x:c>
      <x:c r="AA1881" s="2" t="str">
        <x:f>IF(K1881&lt;&gt;"미종결 표시","대상 아님",IF(N1881="","신청일 확인",IF(NOT(ISNUMBER('종합 현황'!$H$5)),"관찰기준 확인",IF('종합 현황'!$H$5&lt;1,"관찰기준 확인",IF(N1881&gt;'종합 현황'!$H$5,"내부 관찰 대상","내부 관찰일 이하")))))</x:f>
        <x:v>대상 아님</x:v>
      </x:c>
      <x:c r="AB1881" s="2"/>
    </x:row>
    <x:row r="1882" ht="42" customHeight="1">
      <x:c r="A1882" s="2" t="str">
        <x:v>7fea6aa22ae94f2851227db4</x:v>
      </x:c>
      <x:c r="B1882" s="2" t="str">
        <x:v>감축량 인증</x:v>
      </x:c>
      <x:c r="C1882" s="2" t="str">
        <x:v>국내</x:v>
      </x:c>
      <x:c r="D1882" s="7" t="str">
        <x:v>카프로 N2O 저감 사업</x:v>
      </x:c>
      <x:c r="E1882" s="2" t="str">
        <x:v>122</x:v>
      </x:c>
      <x:c r="F1882" s="2"/>
      <x:c r="G1882" s="2" t="str">
        <x:v>미확보</x:v>
      </x:c>
      <x:c r="H1882" s="2" t="str">
        <x:v>미확보</x:v>
      </x:c>
      <x:c r="I1882" s="2" t="str">
        <x:v>심의승인</x:v>
      </x:c>
      <x:c r="J1882" s="2" t="str">
        <x:v>심의승인</x:v>
      </x:c>
      <x:c r="K1882" s="2" t="str">
        <x:f>IF(OR(J1882="심의승인",J1882="반려",J1882="반려완료",J1882="심의완료"),"종결 표시",IF(OR(J1882="기후부협의",J1882="문서재제출요청",J1882="보류",J1882="보완요청",J1882="보완완료",J1882="평가중",J1882="반려요청",J1882="평가필요",LEFT(J1882,5)="보완요청("),"미종결 표시","상태 확인 필요"))</x:f>
        <x:v>종결 표시</x:v>
      </x:c>
      <x:c r="L1882" s="2"/>
      <x:c r="M1882" s="2"/>
      <x:c r="N1882" s="8"/>
      <x:c r="O1882" s="2"/>
      <x:c r="P1882" s="2"/>
      <x:c r="Q1882" s="2" t="str">
        <x:v>산업전환_외부사업관리Tool_260707_이너젠 수정_LJY_261013.xlsx</x:v>
      </x:c>
      <x:c r="R1882" s="2" t="str">
        <x:v>국내인증</x:v>
      </x:c>
      <x:c r="S1882" s="8" t="n">
        <x:v>200</x:v>
      </x:c>
      <x:c r="T1882" s="2"/>
      <x:c r="U1882" s="2" t="str"/>
      <x:c r="V1882" s="2" t="str">
        <x:v>2018-04-30</x:v>
      </x:c>
      <x:c r="W1882" s="2" t="str">
        <x:v>신청일 확인 / 담당기관 확인</x:v>
      </x:c>
      <x:c r="X1882" s="2" t="str">
        <x:v>원본·배정 기록 확인</x:v>
      </x:c>
      <x:c r="Y1882" s="2" t="str">
        <x:v>ad210cd9ec132cfd447541c8984dc53d30aff0f4fb2dc92d254d49275cc55976</x:v>
      </x:c>
      <x:c r="Z1882" s="2" t="n">
        <x:f>SUBTOTAL(103,A1882)</x:f>
        <x:v>1</x:v>
      </x:c>
      <x:c r="AA1882" s="2" t="str">
        <x:f>IF(K1882&lt;&gt;"미종결 표시","대상 아님",IF(N1882="","신청일 확인",IF(NOT(ISNUMBER('종합 현황'!$H$5)),"관찰기준 확인",IF('종합 현황'!$H$5&lt;1,"관찰기준 확인",IF(N1882&gt;'종합 현황'!$H$5,"내부 관찰 대상","내부 관찰일 이하")))))</x:f>
        <x:v>대상 아님</x:v>
      </x:c>
      <x:c r="AB1882" s="2"/>
    </x:row>
    <x:row r="1883" ht="42" customHeight="1">
      <x:c r="A1883" s="2" t="str">
        <x:v>ceb18aba7e7d18e70b7a0209</x:v>
      </x:c>
      <x:c r="B1883" s="2" t="str">
        <x:v>감축량 인증</x:v>
      </x:c>
      <x:c r="C1883" s="2" t="str">
        <x:v>국내</x:v>
      </x:c>
      <x:c r="D1883" s="7" t="str">
        <x:v>카프로 N2O 저감 사업</x:v>
      </x:c>
      <x:c r="E1883" s="2" t="str">
        <x:v>123</x:v>
      </x:c>
      <x:c r="F1883" s="2"/>
      <x:c r="G1883" s="2" t="str">
        <x:v>미확보</x:v>
      </x:c>
      <x:c r="H1883" s="2" t="str">
        <x:v>미확보</x:v>
      </x:c>
      <x:c r="I1883" s="2" t="str">
        <x:v>심의승인</x:v>
      </x:c>
      <x:c r="J1883" s="2" t="str">
        <x:v>심의승인</x:v>
      </x:c>
      <x:c r="K1883" s="2" t="str">
        <x:f>IF(OR(J1883="심의승인",J1883="반려",J1883="반려완료",J1883="심의완료"),"종결 표시",IF(OR(J1883="기후부협의",J1883="문서재제출요청",J1883="보류",J1883="보완요청",J1883="보완완료",J1883="평가중",J1883="반려요청",J1883="평가필요",LEFT(J1883,5)="보완요청("),"미종결 표시","상태 확인 필요"))</x:f>
        <x:v>종결 표시</x:v>
      </x:c>
      <x:c r="L1883" s="2"/>
      <x:c r="M1883" s="2"/>
      <x:c r="N1883" s="8"/>
      <x:c r="O1883" s="2"/>
      <x:c r="P1883" s="2"/>
      <x:c r="Q1883" s="2" t="str">
        <x:v>산업전환_외부사업관리Tool_260707_이너젠 수정_LJY_261013.xlsx</x:v>
      </x:c>
      <x:c r="R1883" s="2" t="str">
        <x:v>국내인증</x:v>
      </x:c>
      <x:c r="S1883" s="8" t="n">
        <x:v>201</x:v>
      </x:c>
      <x:c r="T1883" s="2"/>
      <x:c r="U1883" s="2" t="str"/>
      <x:c r="V1883" s="2" t="str">
        <x:v>2018-04-30</x:v>
      </x:c>
      <x:c r="W1883" s="2" t="str">
        <x:v>신청일 확인 / 담당기관 확인</x:v>
      </x:c>
      <x:c r="X1883" s="2" t="str">
        <x:v>원본·배정 기록 확인</x:v>
      </x:c>
      <x:c r="Y1883" s="2" t="str">
        <x:v>ad210cd9ec132cfd447541c8984dc53d30aff0f4fb2dc92d254d49275cc55976</x:v>
      </x:c>
      <x:c r="Z1883" s="2" t="n">
        <x:f>SUBTOTAL(103,A1883)</x:f>
        <x:v>1</x:v>
      </x:c>
      <x:c r="AA1883" s="2" t="str">
        <x:f>IF(K1883&lt;&gt;"미종결 표시","대상 아님",IF(N1883="","신청일 확인",IF(NOT(ISNUMBER('종합 현황'!$H$5)),"관찰기준 확인",IF('종합 현황'!$H$5&lt;1,"관찰기준 확인",IF(N1883&gt;'종합 현황'!$H$5,"내부 관찰 대상","내부 관찰일 이하")))))</x:f>
        <x:v>대상 아님</x:v>
      </x:c>
      <x:c r="AB1883" s="2"/>
    </x:row>
    <x:row r="1884" ht="42" customHeight="1">
      <x:c r="A1884" s="2" t="str">
        <x:v>e0d1eb57c2f9f60f1669d765</x:v>
      </x:c>
      <x:c r="B1884" s="2" t="str">
        <x:v>감축량 인증</x:v>
      </x:c>
      <x:c r="C1884" s="2" t="str">
        <x:v>국내</x:v>
      </x:c>
      <x:c r="D1884" s="7" t="str">
        <x:v>시화호 조력발전 사업</x:v>
      </x:c>
      <x:c r="E1884" s="2" t="str">
        <x:v>124</x:v>
      </x:c>
      <x:c r="F1884" s="2"/>
      <x:c r="G1884" s="2" t="str">
        <x:v>미확보</x:v>
      </x:c>
      <x:c r="H1884" s="2" t="str">
        <x:v>미확보</x:v>
      </x:c>
      <x:c r="I1884" s="2" t="str">
        <x:v>심의승인</x:v>
      </x:c>
      <x:c r="J1884" s="2" t="str">
        <x:v>심의승인</x:v>
      </x:c>
      <x:c r="K1884" s="2" t="str">
        <x:f>IF(OR(J1884="심의승인",J1884="반려",J1884="반려완료",J1884="심의완료"),"종결 표시",IF(OR(J1884="기후부협의",J1884="문서재제출요청",J1884="보류",J1884="보완요청",J1884="보완완료",J1884="평가중",J1884="반려요청",J1884="평가필요",LEFT(J1884,5)="보완요청("),"미종결 표시","상태 확인 필요"))</x:f>
        <x:v>종결 표시</x:v>
      </x:c>
      <x:c r="L1884" s="2"/>
      <x:c r="M1884" s="2"/>
      <x:c r="N1884" s="8"/>
      <x:c r="O1884" s="2"/>
      <x:c r="P1884" s="2"/>
      <x:c r="Q1884" s="2" t="str">
        <x:v>산업전환_외부사업관리Tool_260707_이너젠 수정_LJY_261013.xlsx</x:v>
      </x:c>
      <x:c r="R1884" s="2" t="str">
        <x:v>국내인증</x:v>
      </x:c>
      <x:c r="S1884" s="8" t="n">
        <x:v>202</x:v>
      </x:c>
      <x:c r="T1884" s="2"/>
      <x:c r="U1884" s="2" t="str"/>
      <x:c r="V1884" s="2" t="str">
        <x:v>2018-04-30</x:v>
      </x:c>
      <x:c r="W1884" s="2" t="str">
        <x:v>신청일 확인 / 담당기관 확인</x:v>
      </x:c>
      <x:c r="X1884" s="2" t="str">
        <x:v>원본·배정 기록 확인</x:v>
      </x:c>
      <x:c r="Y1884" s="2" t="str">
        <x:v>ad210cd9ec132cfd447541c8984dc53d30aff0f4fb2dc92d254d49275cc55976</x:v>
      </x:c>
      <x:c r="Z1884" s="2" t="n">
        <x:f>SUBTOTAL(103,A1884)</x:f>
        <x:v>1</x:v>
      </x:c>
      <x:c r="AA1884" s="2" t="str">
        <x:f>IF(K1884&lt;&gt;"미종결 표시","대상 아님",IF(N1884="","신청일 확인",IF(NOT(ISNUMBER('종합 현황'!$H$5)),"관찰기준 확인",IF('종합 현황'!$H$5&lt;1,"관찰기준 확인",IF(N1884&gt;'종합 현황'!$H$5,"내부 관찰 대상","내부 관찰일 이하")))))</x:f>
        <x:v>대상 아님</x:v>
      </x:c>
      <x:c r="AB1884" s="2"/>
    </x:row>
    <x:row r="1885" ht="42" customHeight="1">
      <x:c r="A1885" s="2" t="str">
        <x:v>cd6aed8e18b9c7f188a7b326</x:v>
      </x:c>
      <x:c r="B1885" s="2" t="str">
        <x:v>감축량 인증</x:v>
      </x:c>
      <x:c r="C1885" s="2" t="str">
        <x:v>국내</x:v>
      </x:c>
      <x:c r="D1885" s="7" t="str">
        <x:v>카프로 N2O 저감 사업</x:v>
      </x:c>
      <x:c r="E1885" s="2" t="str">
        <x:v>125</x:v>
      </x:c>
      <x:c r="F1885" s="2"/>
      <x:c r="G1885" s="2" t="str">
        <x:v>미확보</x:v>
      </x:c>
      <x:c r="H1885" s="2" t="str">
        <x:v>미확보</x:v>
      </x:c>
      <x:c r="I1885" s="2" t="str">
        <x:v>심의승인</x:v>
      </x:c>
      <x:c r="J1885" s="2" t="str">
        <x:v>심의승인</x:v>
      </x:c>
      <x:c r="K1885" s="2" t="str">
        <x:f>IF(OR(J1885="심의승인",J1885="반려",J1885="반려완료",J1885="심의완료"),"종결 표시",IF(OR(J1885="기후부협의",J1885="문서재제출요청",J1885="보류",J1885="보완요청",J1885="보완완료",J1885="평가중",J1885="반려요청",J1885="평가필요",LEFT(J1885,5)="보완요청("),"미종결 표시","상태 확인 필요"))</x:f>
        <x:v>종결 표시</x:v>
      </x:c>
      <x:c r="L1885" s="2"/>
      <x:c r="M1885" s="2"/>
      <x:c r="N1885" s="8"/>
      <x:c r="O1885" s="2"/>
      <x:c r="P1885" s="2"/>
      <x:c r="Q1885" s="2" t="str">
        <x:v>산업전환_외부사업관리Tool_260707_이너젠 수정_LJY_261013.xlsx</x:v>
      </x:c>
      <x:c r="R1885" s="2" t="str">
        <x:v>국내인증</x:v>
      </x:c>
      <x:c r="S1885" s="8" t="n">
        <x:v>203</x:v>
      </x:c>
      <x:c r="T1885" s="2"/>
      <x:c r="U1885" s="2" t="str"/>
      <x:c r="V1885" s="2" t="str">
        <x:v>2018-04-30</x:v>
      </x:c>
      <x:c r="W1885" s="2" t="str">
        <x:v>신청일 확인 / 담당기관 확인</x:v>
      </x:c>
      <x:c r="X1885" s="2" t="str">
        <x:v>원본·배정 기록 확인</x:v>
      </x:c>
      <x:c r="Y1885" s="2" t="str">
        <x:v>ad210cd9ec132cfd447541c8984dc53d30aff0f4fb2dc92d254d49275cc55976</x:v>
      </x:c>
      <x:c r="Z1885" s="2" t="n">
        <x:f>SUBTOTAL(103,A1885)</x:f>
        <x:v>1</x:v>
      </x:c>
      <x:c r="AA1885" s="2" t="str">
        <x:f>IF(K1885&lt;&gt;"미종결 표시","대상 아님",IF(N1885="","신청일 확인",IF(NOT(ISNUMBER('종합 현황'!$H$5)),"관찰기준 확인",IF('종합 현황'!$H$5&lt;1,"관찰기준 확인",IF(N1885&gt;'종합 현황'!$H$5,"내부 관찰 대상","내부 관찰일 이하")))))</x:f>
        <x:v>대상 아님</x:v>
      </x:c>
      <x:c r="AB1885" s="2"/>
    </x:row>
    <x:row r="1886" ht="42" customHeight="1">
      <x:c r="A1886" s="2" t="str">
        <x:v>8df05f072dada670e598f1a5</x:v>
      </x:c>
      <x:c r="B1886" s="2" t="str">
        <x:v>감축량 인증</x:v>
      </x:c>
      <x:c r="C1886" s="2" t="str">
        <x:v>국내</x:v>
      </x:c>
      <x:c r="D1886" s="7" t="str">
        <x:v>카프로 N2O 저감 사업</x:v>
      </x:c>
      <x:c r="E1886" s="2" t="str">
        <x:v>126</x:v>
      </x:c>
      <x:c r="F1886" s="2"/>
      <x:c r="G1886" s="2" t="str">
        <x:v>미확보</x:v>
      </x:c>
      <x:c r="H1886" s="2" t="str">
        <x:v>미확보</x:v>
      </x:c>
      <x:c r="I1886" s="2" t="str">
        <x:v>심의승인</x:v>
      </x:c>
      <x:c r="J1886" s="2" t="str">
        <x:v>심의승인</x:v>
      </x:c>
      <x:c r="K1886" s="2" t="str">
        <x:f>IF(OR(J1886="심의승인",J1886="반려",J1886="반려완료",J1886="심의완료"),"종결 표시",IF(OR(J1886="기후부협의",J1886="문서재제출요청",J1886="보류",J1886="보완요청",J1886="보완완료",J1886="평가중",J1886="반려요청",J1886="평가필요",LEFT(J1886,5)="보완요청("),"미종결 표시","상태 확인 필요"))</x:f>
        <x:v>종결 표시</x:v>
      </x:c>
      <x:c r="L1886" s="2"/>
      <x:c r="M1886" s="2"/>
      <x:c r="N1886" s="8"/>
      <x:c r="O1886" s="2"/>
      <x:c r="P1886" s="2"/>
      <x:c r="Q1886" s="2" t="str">
        <x:v>산업전환_외부사업관리Tool_260707_이너젠 수정_LJY_261013.xlsx</x:v>
      </x:c>
      <x:c r="R1886" s="2" t="str">
        <x:v>국내인증</x:v>
      </x:c>
      <x:c r="S1886" s="8" t="n">
        <x:v>204</x:v>
      </x:c>
      <x:c r="T1886" s="2"/>
      <x:c r="U1886" s="2" t="str"/>
      <x:c r="V1886" s="2" t="str">
        <x:v>2018-04-30</x:v>
      </x:c>
      <x:c r="W1886" s="2" t="str">
        <x:v>신청일 확인 / 담당기관 확인</x:v>
      </x:c>
      <x:c r="X1886" s="2" t="str">
        <x:v>원본·배정 기록 확인</x:v>
      </x:c>
      <x:c r="Y1886" s="2" t="str">
        <x:v>ad210cd9ec132cfd447541c8984dc53d30aff0f4fb2dc92d254d49275cc55976</x:v>
      </x:c>
      <x:c r="Z1886" s="2" t="n">
        <x:f>SUBTOTAL(103,A1886)</x:f>
        <x:v>1</x:v>
      </x:c>
      <x:c r="AA1886" s="2" t="str">
        <x:f>IF(K1886&lt;&gt;"미종결 표시","대상 아님",IF(N1886="","신청일 확인",IF(NOT(ISNUMBER('종합 현황'!$H$5)),"관찰기준 확인",IF('종합 현황'!$H$5&lt;1,"관찰기준 확인",IF(N1886&gt;'종합 현황'!$H$5,"내부 관찰 대상","내부 관찰일 이하")))))</x:f>
        <x:v>대상 아님</x:v>
      </x:c>
      <x:c r="AB1886" s="2"/>
    </x:row>
    <x:row r="1887" ht="42" customHeight="1">
      <x:c r="A1887" s="2" t="str">
        <x:v>ce962fddb3df6796b5209ebe</x:v>
      </x:c>
      <x:c r="B1887" s="2" t="str">
        <x:v>감축량 인증</x:v>
      </x:c>
      <x:c r="C1887" s="2" t="str">
        <x:v>국내</x:v>
      </x:c>
      <x:c r="D1887" s="7" t="str">
        <x:v>카프로 N2O 저감 사업</x:v>
      </x:c>
      <x:c r="E1887" s="2" t="str">
        <x:v>127</x:v>
      </x:c>
      <x:c r="F1887" s="2"/>
      <x:c r="G1887" s="2" t="str">
        <x:v>미확보</x:v>
      </x:c>
      <x:c r="H1887" s="2" t="str">
        <x:v>미확보</x:v>
      </x:c>
      <x:c r="I1887" s="2" t="str">
        <x:v>심의승인</x:v>
      </x:c>
      <x:c r="J1887" s="2" t="str">
        <x:v>심의승인</x:v>
      </x:c>
      <x:c r="K1887" s="2" t="str">
        <x:f>IF(OR(J1887="심의승인",J1887="반려",J1887="반려완료",J1887="심의완료"),"종결 표시",IF(OR(J1887="기후부협의",J1887="문서재제출요청",J1887="보류",J1887="보완요청",J1887="보완완료",J1887="평가중",J1887="반려요청",J1887="평가필요",LEFT(J1887,5)="보완요청("),"미종결 표시","상태 확인 필요"))</x:f>
        <x:v>종결 표시</x:v>
      </x:c>
      <x:c r="L1887" s="2"/>
      <x:c r="M1887" s="2"/>
      <x:c r="N1887" s="8"/>
      <x:c r="O1887" s="2"/>
      <x:c r="P1887" s="2"/>
      <x:c r="Q1887" s="2" t="str">
        <x:v>산업전환_외부사업관리Tool_260707_이너젠 수정_LJY_261013.xlsx</x:v>
      </x:c>
      <x:c r="R1887" s="2" t="str">
        <x:v>국내인증</x:v>
      </x:c>
      <x:c r="S1887" s="8" t="n">
        <x:v>205</x:v>
      </x:c>
      <x:c r="T1887" s="2"/>
      <x:c r="U1887" s="2" t="str"/>
      <x:c r="V1887" s="2" t="str">
        <x:v>2018-04-30</x:v>
      </x:c>
      <x:c r="W1887" s="2" t="str">
        <x:v>신청일 확인 / 담당기관 확인</x:v>
      </x:c>
      <x:c r="X1887" s="2" t="str">
        <x:v>원본·배정 기록 확인</x:v>
      </x:c>
      <x:c r="Y1887" s="2" t="str">
        <x:v>ad210cd9ec132cfd447541c8984dc53d30aff0f4fb2dc92d254d49275cc55976</x:v>
      </x:c>
      <x:c r="Z1887" s="2" t="n">
        <x:f>SUBTOTAL(103,A1887)</x:f>
        <x:v>1</x:v>
      </x:c>
      <x:c r="AA1887" s="2" t="str">
        <x:f>IF(K1887&lt;&gt;"미종결 표시","대상 아님",IF(N1887="","신청일 확인",IF(NOT(ISNUMBER('종합 현황'!$H$5)),"관찰기준 확인",IF('종합 현황'!$H$5&lt;1,"관찰기준 확인",IF(N1887&gt;'종합 현황'!$H$5,"내부 관찰 대상","내부 관찰일 이하")))))</x:f>
        <x:v>대상 아님</x:v>
      </x:c>
      <x:c r="AB1887" s="2"/>
    </x:row>
    <x:row r="1888" ht="42" customHeight="1">
      <x:c r="A1888" s="2" t="str">
        <x:v>48d618403978779e350523e1</x:v>
      </x:c>
      <x:c r="B1888" s="2" t="str">
        <x:v>감축량 인증</x:v>
      </x:c>
      <x:c r="C1888" s="2" t="str">
        <x:v>국내</x:v>
      </x:c>
      <x:c r="D1888" s="7" t="str">
        <x:v>카프로 N2O 저감 사업</x:v>
      </x:c>
      <x:c r="E1888" s="2" t="str">
        <x:v>128</x:v>
      </x:c>
      <x:c r="F1888" s="2"/>
      <x:c r="G1888" s="2" t="str">
        <x:v>미확보</x:v>
      </x:c>
      <x:c r="H1888" s="2" t="str">
        <x:v>미확보</x:v>
      </x:c>
      <x:c r="I1888" s="2" t="str">
        <x:v>심의승인</x:v>
      </x:c>
      <x:c r="J1888" s="2" t="str">
        <x:v>심의승인</x:v>
      </x:c>
      <x:c r="K1888" s="2" t="str">
        <x:f>IF(OR(J1888="심의승인",J1888="반려",J1888="반려완료",J1888="심의완료"),"종결 표시",IF(OR(J1888="기후부협의",J1888="문서재제출요청",J1888="보류",J1888="보완요청",J1888="보완완료",J1888="평가중",J1888="반려요청",J1888="평가필요",LEFT(J1888,5)="보완요청("),"미종결 표시","상태 확인 필요"))</x:f>
        <x:v>종결 표시</x:v>
      </x:c>
      <x:c r="L1888" s="2"/>
      <x:c r="M1888" s="2"/>
      <x:c r="N1888" s="8"/>
      <x:c r="O1888" s="2"/>
      <x:c r="P1888" s="2"/>
      <x:c r="Q1888" s="2" t="str">
        <x:v>산업전환_외부사업관리Tool_260707_이너젠 수정_LJY_261013.xlsx</x:v>
      </x:c>
      <x:c r="R1888" s="2" t="str">
        <x:v>국내인증</x:v>
      </x:c>
      <x:c r="S1888" s="8" t="n">
        <x:v>206</x:v>
      </x:c>
      <x:c r="T1888" s="2"/>
      <x:c r="U1888" s="2" t="str"/>
      <x:c r="V1888" s="2" t="str">
        <x:v>2018-04-30</x:v>
      </x:c>
      <x:c r="W1888" s="2" t="str">
        <x:v>신청일 확인 / 담당기관 확인</x:v>
      </x:c>
      <x:c r="X1888" s="2" t="str">
        <x:v>원본·배정 기록 확인</x:v>
      </x:c>
      <x:c r="Y1888" s="2" t="str">
        <x:v>ad210cd9ec132cfd447541c8984dc53d30aff0f4fb2dc92d254d49275cc55976</x:v>
      </x:c>
      <x:c r="Z1888" s="2" t="n">
        <x:f>SUBTOTAL(103,A1888)</x:f>
        <x:v>1</x:v>
      </x:c>
      <x:c r="AA1888" s="2" t="str">
        <x:f>IF(K1888&lt;&gt;"미종결 표시","대상 아님",IF(N1888="","신청일 확인",IF(NOT(ISNUMBER('종합 현황'!$H$5)),"관찰기준 확인",IF('종합 현황'!$H$5&lt;1,"관찰기준 확인",IF(N1888&gt;'종합 현황'!$H$5,"내부 관찰 대상","내부 관찰일 이하")))))</x:f>
        <x:v>대상 아님</x:v>
      </x:c>
      <x:c r="AB1888" s="2"/>
    </x:row>
    <x:row r="1889" ht="42" customHeight="1">
      <x:c r="A1889" s="2" t="str">
        <x:v>00936f96598a7341e3f120ed</x:v>
      </x:c>
      <x:c r="B1889" s="2" t="str">
        <x:v>감축량 인증</x:v>
      </x:c>
      <x:c r="C1889" s="2" t="str">
        <x:v>국내</x:v>
      </x:c>
      <x:c r="D1889" s="7" t="str">
        <x:v>동해천곡5관리소 온수보일러 연료전환(B-C유-&gt;LNG)을 통한 온실가스 배출 감축사업</x:v>
      </x:c>
      <x:c r="E1889" s="2" t="str">
        <x:v>129</x:v>
      </x:c>
      <x:c r="F1889" s="2"/>
      <x:c r="G1889" s="2" t="str">
        <x:v>미확보</x:v>
      </x:c>
      <x:c r="H1889" s="2" t="str">
        <x:v>미확보</x:v>
      </x:c>
      <x:c r="I1889" s="2" t="str">
        <x:v>심의승인</x:v>
      </x:c>
      <x:c r="J1889" s="2" t="str">
        <x:v>심의승인</x:v>
      </x:c>
      <x:c r="K1889" s="2" t="str">
        <x:f>IF(OR(J1889="심의승인",J1889="반려",J1889="반려완료",J1889="심의완료"),"종결 표시",IF(OR(J1889="기후부협의",J1889="문서재제출요청",J1889="보류",J1889="보완요청",J1889="보완완료",J1889="평가중",J1889="반려요청",J1889="평가필요",LEFT(J1889,5)="보완요청("),"미종결 표시","상태 확인 필요"))</x:f>
        <x:v>종결 표시</x:v>
      </x:c>
      <x:c r="L1889" s="2"/>
      <x:c r="M1889" s="2"/>
      <x:c r="N1889" s="8"/>
      <x:c r="O1889" s="2"/>
      <x:c r="P1889" s="2"/>
      <x:c r="Q1889" s="2" t="str">
        <x:v>산업전환_외부사업관리Tool_260707_이너젠 수정_LJY_261013.xlsx</x:v>
      </x:c>
      <x:c r="R1889" s="2" t="str">
        <x:v>국내인증</x:v>
      </x:c>
      <x:c r="S1889" s="8" t="n">
        <x:v>207</x:v>
      </x:c>
      <x:c r="T1889" s="2"/>
      <x:c r="U1889" s="2" t="str"/>
      <x:c r="V1889" s="2" t="str">
        <x:v>2019-06-26</x:v>
      </x:c>
      <x:c r="W1889" s="2" t="str">
        <x:v>신청일 확인 / 담당기관 확인</x:v>
      </x:c>
      <x:c r="X1889" s="2" t="str">
        <x:v>원본·배정 기록 확인</x:v>
      </x:c>
      <x:c r="Y1889" s="2" t="str">
        <x:v>ad210cd9ec132cfd447541c8984dc53d30aff0f4fb2dc92d254d49275cc55976</x:v>
      </x:c>
      <x:c r="Z1889" s="2" t="n">
        <x:f>SUBTOTAL(103,A1889)</x:f>
        <x:v>1</x:v>
      </x:c>
      <x:c r="AA1889" s="2" t="str">
        <x:f>IF(K1889&lt;&gt;"미종결 표시","대상 아님",IF(N1889="","신청일 확인",IF(NOT(ISNUMBER('종합 현황'!$H$5)),"관찰기준 확인",IF('종합 현황'!$H$5&lt;1,"관찰기준 확인",IF(N1889&gt;'종합 현황'!$H$5,"내부 관찰 대상","내부 관찰일 이하")))))</x:f>
        <x:v>대상 아님</x:v>
      </x:c>
      <x:c r="AB1889" s="2"/>
    </x:row>
    <x:row r="1890" ht="42" customHeight="1">
      <x:c r="A1890" s="2" t="str">
        <x:v>680815d000f222ea2d5b3f48</x:v>
      </x:c>
      <x:c r="B1890" s="2" t="str">
        <x:v>감축량 인증</x:v>
      </x:c>
      <x:c r="C1890" s="2" t="str">
        <x:v>국내</x:v>
      </x:c>
      <x:c r="D1890" s="7" t="str">
        <x:v>석사3관리소 온수보일러 연료전환(B-C유-&gt;LNG)을 통한 온실가스 배출 감축사업</x:v>
      </x:c>
      <x:c r="E1890" s="2" t="str">
        <x:v>130</x:v>
      </x:c>
      <x:c r="F1890" s="2"/>
      <x:c r="G1890" s="2" t="str">
        <x:v>미확보</x:v>
      </x:c>
      <x:c r="H1890" s="2" t="str">
        <x:v>미확보</x:v>
      </x:c>
      <x:c r="I1890" s="2" t="str">
        <x:v>심의승인</x:v>
      </x:c>
      <x:c r="J1890" s="2" t="str">
        <x:v>심의승인</x:v>
      </x:c>
      <x:c r="K1890" s="2" t="str">
        <x:f>IF(OR(J1890="심의승인",J1890="반려",J1890="반려완료",J1890="심의완료"),"종결 표시",IF(OR(J1890="기후부협의",J1890="문서재제출요청",J1890="보류",J1890="보완요청",J1890="보완완료",J1890="평가중",J1890="반려요청",J1890="평가필요",LEFT(J1890,5)="보완요청("),"미종결 표시","상태 확인 필요"))</x:f>
        <x:v>종결 표시</x:v>
      </x:c>
      <x:c r="L1890" s="2"/>
      <x:c r="M1890" s="2"/>
      <x:c r="N1890" s="8"/>
      <x:c r="O1890" s="2"/>
      <x:c r="P1890" s="2"/>
      <x:c r="Q1890" s="2" t="str">
        <x:v>산업전환_외부사업관리Tool_260707_이너젠 수정_LJY_261013.xlsx</x:v>
      </x:c>
      <x:c r="R1890" s="2" t="str">
        <x:v>국내인증</x:v>
      </x:c>
      <x:c r="S1890" s="8" t="n">
        <x:v>208</x:v>
      </x:c>
      <x:c r="T1890" s="2"/>
      <x:c r="U1890" s="2" t="str"/>
      <x:c r="V1890" s="2" t="str">
        <x:v>2019-06-26</x:v>
      </x:c>
      <x:c r="W1890" s="2" t="str">
        <x:v>신청일 확인 / 담당기관 확인</x:v>
      </x:c>
      <x:c r="X1890" s="2" t="str">
        <x:v>원본·배정 기록 확인</x:v>
      </x:c>
      <x:c r="Y1890" s="2" t="str">
        <x:v>ad210cd9ec132cfd447541c8984dc53d30aff0f4fb2dc92d254d49275cc55976</x:v>
      </x:c>
      <x:c r="Z1890" s="2" t="n">
        <x:f>SUBTOTAL(103,A1890)</x:f>
        <x:v>1</x:v>
      </x:c>
      <x:c r="AA1890" s="2" t="str">
        <x:f>IF(K1890&lt;&gt;"미종결 표시","대상 아님",IF(N1890="","신청일 확인",IF(NOT(ISNUMBER('종합 현황'!$H$5)),"관찰기준 확인",IF('종합 현황'!$H$5&lt;1,"관찰기준 확인",IF(N1890&gt;'종합 현황'!$H$5,"내부 관찰 대상","내부 관찰일 이하")))))</x:f>
        <x:v>대상 아님</x:v>
      </x:c>
      <x:c r="AB1890" s="2"/>
    </x:row>
    <x:row r="1891" ht="42" customHeight="1">
      <x:c r="A1891" s="2" t="str">
        <x:v>48d7d29301cb70a891185b80</x:v>
      </x:c>
      <x:c r="B1891" s="2" t="str">
        <x:v>감축량 인증</x:v>
      </x:c>
      <x:c r="C1891" s="2" t="str">
        <x:v>국내</x:v>
      </x:c>
      <x:c r="D1891" s="7" t="str">
        <x:v>지역난방용 온수보일러 연료전환 사업</x:v>
      </x:c>
      <x:c r="E1891" s="2" t="str">
        <x:v>131</x:v>
      </x:c>
      <x:c r="F1891" s="2"/>
      <x:c r="G1891" s="2" t="str">
        <x:v>미확보</x:v>
      </x:c>
      <x:c r="H1891" s="2" t="str">
        <x:v>미확보</x:v>
      </x:c>
      <x:c r="I1891" s="2" t="str">
        <x:v>심의승인</x:v>
      </x:c>
      <x:c r="J1891" s="2" t="str">
        <x:v>심의승인</x:v>
      </x:c>
      <x:c r="K1891" s="2" t="str">
        <x:f>IF(OR(J1891="심의승인",J1891="반려",J1891="반려완료",J1891="심의완료"),"종결 표시",IF(OR(J1891="기후부협의",J1891="문서재제출요청",J1891="보류",J1891="보완요청",J1891="보완완료",J1891="평가중",J1891="반려요청",J1891="평가필요",LEFT(J1891,5)="보완요청("),"미종결 표시","상태 확인 필요"))</x:f>
        <x:v>종결 표시</x:v>
      </x:c>
      <x:c r="L1891" s="2"/>
      <x:c r="M1891" s="2"/>
      <x:c r="N1891" s="8"/>
      <x:c r="O1891" s="2"/>
      <x:c r="P1891" s="2"/>
      <x:c r="Q1891" s="2" t="str">
        <x:v>산업전환_외부사업관리Tool_260707_이너젠 수정_LJY_261013.xlsx</x:v>
      </x:c>
      <x:c r="R1891" s="2" t="str">
        <x:v>국내인증</x:v>
      </x:c>
      <x:c r="S1891" s="8" t="n">
        <x:v>209</x:v>
      </x:c>
      <x:c r="T1891" s="2"/>
      <x:c r="U1891" s="2" t="str"/>
      <x:c r="V1891" s="2" t="str">
        <x:v>2018-04-30</x:v>
      </x:c>
      <x:c r="W1891" s="2" t="str">
        <x:v>신청일 확인 / 담당기관 확인</x:v>
      </x:c>
      <x:c r="X1891" s="2" t="str">
        <x:v>원본·배정 기록 확인</x:v>
      </x:c>
      <x:c r="Y1891" s="2" t="str">
        <x:v>ad210cd9ec132cfd447541c8984dc53d30aff0f4fb2dc92d254d49275cc55976</x:v>
      </x:c>
      <x:c r="Z1891" s="2" t="n">
        <x:f>SUBTOTAL(103,A1891)</x:f>
        <x:v>1</x:v>
      </x:c>
      <x:c r="AA1891" s="2" t="str">
        <x:f>IF(K1891&lt;&gt;"미종결 표시","대상 아님",IF(N1891="","신청일 확인",IF(NOT(ISNUMBER('종합 현황'!$H$5)),"관찰기준 확인",IF('종합 현황'!$H$5&lt;1,"관찰기준 확인",IF(N1891&gt;'종합 현황'!$H$5,"내부 관찰 대상","내부 관찰일 이하")))))</x:f>
        <x:v>대상 아님</x:v>
      </x:c>
      <x:c r="AB1891" s="2"/>
    </x:row>
    <x:row r="1892" ht="42" customHeight="1">
      <x:c r="A1892" s="2" t="str">
        <x:v>2e9af955619f8dedffbc3f70</x:v>
      </x:c>
      <x:c r="B1892" s="2" t="str">
        <x:v>감축량 인증</x:v>
      </x:c>
      <x:c r="C1892" s="2" t="str">
        <x:v>국내</x:v>
      </x:c>
      <x:c r="D1892" s="7" t="str">
        <x:v>삼성전자 SF6 저감 사업</x:v>
      </x:c>
      <x:c r="E1892" s="2" t="str">
        <x:v>132</x:v>
      </x:c>
      <x:c r="F1892" s="2"/>
      <x:c r="G1892" s="2" t="str">
        <x:v>미확보</x:v>
      </x:c>
      <x:c r="H1892" s="2" t="str">
        <x:v>미확보</x:v>
      </x:c>
      <x:c r="I1892" s="2" t="str">
        <x:v>심의승인</x:v>
      </x:c>
      <x:c r="J1892" s="2" t="str">
        <x:v>심의승인</x:v>
      </x:c>
      <x:c r="K1892" s="2" t="str">
        <x:f>IF(OR(J1892="심의승인",J1892="반려",J1892="반려완료",J1892="심의완료"),"종결 표시",IF(OR(J1892="기후부협의",J1892="문서재제출요청",J1892="보류",J1892="보완요청",J1892="보완완료",J1892="평가중",J1892="반려요청",J1892="평가필요",LEFT(J1892,5)="보완요청("),"미종결 표시","상태 확인 필요"))</x:f>
        <x:v>종결 표시</x:v>
      </x:c>
      <x:c r="L1892" s="2"/>
      <x:c r="M1892" s="2"/>
      <x:c r="N1892" s="8"/>
      <x:c r="O1892" s="2"/>
      <x:c r="P1892" s="2"/>
      <x:c r="Q1892" s="2" t="str">
        <x:v>산업전환_외부사업관리Tool_260707_이너젠 수정_LJY_261013.xlsx</x:v>
      </x:c>
      <x:c r="R1892" s="2" t="str">
        <x:v>국내인증</x:v>
      </x:c>
      <x:c r="S1892" s="8" t="n">
        <x:v>210</x:v>
      </x:c>
      <x:c r="T1892" s="2"/>
      <x:c r="U1892" s="2" t="str"/>
      <x:c r="V1892" s="2" t="str">
        <x:v>2018-04-30</x:v>
      </x:c>
      <x:c r="W1892" s="2" t="str">
        <x:v>신청일 확인 / 담당기관 확인</x:v>
      </x:c>
      <x:c r="X1892" s="2" t="str">
        <x:v>원본·배정 기록 확인</x:v>
      </x:c>
      <x:c r="Y1892" s="2" t="str">
        <x:v>ad210cd9ec132cfd447541c8984dc53d30aff0f4fb2dc92d254d49275cc55976</x:v>
      </x:c>
      <x:c r="Z1892" s="2" t="n">
        <x:f>SUBTOTAL(103,A1892)</x:f>
        <x:v>1</x:v>
      </x:c>
      <x:c r="AA1892" s="2" t="str">
        <x:f>IF(K1892&lt;&gt;"미종결 표시","대상 아님",IF(N1892="","신청일 확인",IF(NOT(ISNUMBER('종합 현황'!$H$5)),"관찰기준 확인",IF('종합 현황'!$H$5&lt;1,"관찰기준 확인",IF(N1892&gt;'종합 현황'!$H$5,"내부 관찰 대상","내부 관찰일 이하")))))</x:f>
        <x:v>대상 아님</x:v>
      </x:c>
      <x:c r="AB1892" s="2"/>
    </x:row>
    <x:row r="1893" ht="42" customHeight="1">
      <x:c r="A1893" s="2" t="str">
        <x:v>0eaf5824f620dffdedc3c6ec</x:v>
      </x:c>
      <x:c r="B1893" s="2" t="str">
        <x:v>감축량 인증</x:v>
      </x:c>
      <x:c r="C1893" s="2" t="str">
        <x:v>국내</x:v>
      </x:c>
      <x:c r="D1893" s="7" t="str">
        <x:v>휴켐스 질산공장 N2O 감축사업(휴켐스 주식회사의 질산 공장 세 곳에서 tail gas에 포함된 아산화질소를 촉매를 사용하여 제거하는 프로젝트)</x:v>
      </x:c>
      <x:c r="E1893" s="2" t="str">
        <x:v>133</x:v>
      </x:c>
      <x:c r="F1893" s="2"/>
      <x:c r="G1893" s="2" t="str">
        <x:v>미확보</x:v>
      </x:c>
      <x:c r="H1893" s="2" t="str">
        <x:v>미확보</x:v>
      </x:c>
      <x:c r="I1893" s="2" t="str">
        <x:v>심의승인</x:v>
      </x:c>
      <x:c r="J1893" s="2" t="str">
        <x:v>심의승인</x:v>
      </x:c>
      <x:c r="K1893" s="2" t="str">
        <x:f>IF(OR(J1893="심의승인",J1893="반려",J1893="반려완료",J1893="심의완료"),"종결 표시",IF(OR(J1893="기후부협의",J1893="문서재제출요청",J1893="보류",J1893="보완요청",J1893="보완완료",J1893="평가중",J1893="반려요청",J1893="평가필요",LEFT(J1893,5)="보완요청("),"미종결 표시","상태 확인 필요"))</x:f>
        <x:v>종결 표시</x:v>
      </x:c>
      <x:c r="L1893" s="2"/>
      <x:c r="M1893" s="2"/>
      <x:c r="N1893" s="8"/>
      <x:c r="O1893" s="2"/>
      <x:c r="P1893" s="2"/>
      <x:c r="Q1893" s="2" t="str">
        <x:v>산업전환_외부사업관리Tool_260707_이너젠 수정_LJY_261013.xlsx</x:v>
      </x:c>
      <x:c r="R1893" s="2" t="str">
        <x:v>국내인증</x:v>
      </x:c>
      <x:c r="S1893" s="8" t="n">
        <x:v>211</x:v>
      </x:c>
      <x:c r="T1893" s="2"/>
      <x:c r="U1893" s="2" t="str"/>
      <x:c r="V1893" s="2" t="str">
        <x:v>2018-04-30</x:v>
      </x:c>
      <x:c r="W1893" s="2" t="str">
        <x:v>신청일 확인 / 담당기관 확인</x:v>
      </x:c>
      <x:c r="X1893" s="2" t="str">
        <x:v>원본·배정 기록 확인</x:v>
      </x:c>
      <x:c r="Y1893" s="2" t="str">
        <x:v>ad210cd9ec132cfd447541c8984dc53d30aff0f4fb2dc92d254d49275cc55976</x:v>
      </x:c>
      <x:c r="Z1893" s="2" t="n">
        <x:f>SUBTOTAL(103,A1893)</x:f>
        <x:v>1</x:v>
      </x:c>
      <x:c r="AA1893" s="2" t="str">
        <x:f>IF(K1893&lt;&gt;"미종결 표시","대상 아님",IF(N1893="","신청일 확인",IF(NOT(ISNUMBER('종합 현황'!$H$5)),"관찰기준 확인",IF('종합 현황'!$H$5&lt;1,"관찰기준 확인",IF(N1893&gt;'종합 현황'!$H$5,"내부 관찰 대상","내부 관찰일 이하")))))</x:f>
        <x:v>대상 아님</x:v>
      </x:c>
      <x:c r="AB1893" s="2"/>
    </x:row>
    <x:row r="1894" ht="42" customHeight="1">
      <x:c r="A1894" s="2" t="str">
        <x:v>ec14f081ab438d5a6139052e</x:v>
      </x:c>
      <x:c r="B1894" s="2" t="str">
        <x:v>감축량 인증</x:v>
      </x:c>
      <x:c r="C1894" s="2" t="str">
        <x:v>국내</x:v>
      </x:c>
      <x:c r="D1894" s="7" t="str">
        <x:v>휴켐스 질산공장 N2O 감축사업(휴켐스 주식회사의 질산 공장 세곡에서 tail gas에 포한된 아산화질소를 촉매를 사용하여 제거하는 프로젝트)</x:v>
      </x:c>
      <x:c r="E1894" s="2" t="str">
        <x:v>134</x:v>
      </x:c>
      <x:c r="F1894" s="2"/>
      <x:c r="G1894" s="2" t="str">
        <x:v>미확보</x:v>
      </x:c>
      <x:c r="H1894" s="2" t="str">
        <x:v>미확보</x:v>
      </x:c>
      <x:c r="I1894" s="2" t="str">
        <x:v>심의승인</x:v>
      </x:c>
      <x:c r="J1894" s="2" t="str">
        <x:v>심의승인</x:v>
      </x:c>
      <x:c r="K1894" s="2" t="str">
        <x:f>IF(OR(J1894="심의승인",J1894="반려",J1894="반려완료",J1894="심의완료"),"종결 표시",IF(OR(J1894="기후부협의",J1894="문서재제출요청",J1894="보류",J1894="보완요청",J1894="보완완료",J1894="평가중",J1894="반려요청",J1894="평가필요",LEFT(J1894,5)="보완요청("),"미종결 표시","상태 확인 필요"))</x:f>
        <x:v>종결 표시</x:v>
      </x:c>
      <x:c r="L1894" s="2"/>
      <x:c r="M1894" s="2"/>
      <x:c r="N1894" s="8"/>
      <x:c r="O1894" s="2"/>
      <x:c r="P1894" s="2"/>
      <x:c r="Q1894" s="2" t="str">
        <x:v>산업전환_외부사업관리Tool_260707_이너젠 수정_LJY_261013.xlsx</x:v>
      </x:c>
      <x:c r="R1894" s="2" t="str">
        <x:v>국내인증</x:v>
      </x:c>
      <x:c r="S1894" s="8" t="n">
        <x:v>212</x:v>
      </x:c>
      <x:c r="T1894" s="2"/>
      <x:c r="U1894" s="2" t="str"/>
      <x:c r="V1894" s="2" t="str">
        <x:v>2018-04-30</x:v>
      </x:c>
      <x:c r="W1894" s="2" t="str">
        <x:v>신청일 확인 / 담당기관 확인</x:v>
      </x:c>
      <x:c r="X1894" s="2" t="str">
        <x:v>원본·배정 기록 확인</x:v>
      </x:c>
      <x:c r="Y1894" s="2" t="str">
        <x:v>ad210cd9ec132cfd447541c8984dc53d30aff0f4fb2dc92d254d49275cc55976</x:v>
      </x:c>
      <x:c r="Z1894" s="2" t="n">
        <x:f>SUBTOTAL(103,A1894)</x:f>
        <x:v>1</x:v>
      </x:c>
      <x:c r="AA1894" s="2" t="str">
        <x:f>IF(K1894&lt;&gt;"미종결 표시","대상 아님",IF(N1894="","신청일 확인",IF(NOT(ISNUMBER('종합 현황'!$H$5)),"관찰기준 확인",IF('종합 현황'!$H$5&lt;1,"관찰기준 확인",IF(N1894&gt;'종합 현황'!$H$5,"내부 관찰 대상","내부 관찰일 이하")))))</x:f>
        <x:v>대상 아님</x:v>
      </x:c>
      <x:c r="AB1894" s="2"/>
    </x:row>
    <x:row r="1895" ht="42" customHeight="1">
      <x:c r="A1895" s="2" t="str">
        <x:v>e6f66f5e48474c92e2379436</x:v>
      </x:c>
      <x:c r="B1895" s="2" t="str">
        <x:v>감축량 인증</x:v>
      </x:c>
      <x:c r="C1895" s="2" t="str">
        <x:v>국내</x:v>
      </x:c>
      <x:c r="D1895" s="7" t="str">
        <x:v>휴켐스(주) 신설 5질산에서 발생하는 아산화질소 배출량 저감사업</x:v>
      </x:c>
      <x:c r="E1895" s="2" t="str">
        <x:v>135</x:v>
      </x:c>
      <x:c r="F1895" s="2"/>
      <x:c r="G1895" s="2" t="str">
        <x:v>미확보</x:v>
      </x:c>
      <x:c r="H1895" s="2" t="str">
        <x:v>미확보</x:v>
      </x:c>
      <x:c r="I1895" s="2" t="str">
        <x:v>심의승인</x:v>
      </x:c>
      <x:c r="J1895" s="2" t="str">
        <x:v>심의승인</x:v>
      </x:c>
      <x:c r="K1895" s="2" t="str">
        <x:f>IF(OR(J1895="심의승인",J1895="반려",J1895="반려완료",J1895="심의완료"),"종결 표시",IF(OR(J1895="기후부협의",J1895="문서재제출요청",J1895="보류",J1895="보완요청",J1895="보완완료",J1895="평가중",J1895="반려요청",J1895="평가필요",LEFT(J1895,5)="보완요청("),"미종결 표시","상태 확인 필요"))</x:f>
        <x:v>종결 표시</x:v>
      </x:c>
      <x:c r="L1895" s="2"/>
      <x:c r="M1895" s="2"/>
      <x:c r="N1895" s="8"/>
      <x:c r="O1895" s="2"/>
      <x:c r="P1895" s="2"/>
      <x:c r="Q1895" s="2" t="str">
        <x:v>산업전환_외부사업관리Tool_260707_이너젠 수정_LJY_261013.xlsx</x:v>
      </x:c>
      <x:c r="R1895" s="2" t="str">
        <x:v>국내인증</x:v>
      </x:c>
      <x:c r="S1895" s="8" t="n">
        <x:v>213</x:v>
      </x:c>
      <x:c r="T1895" s="2"/>
      <x:c r="U1895" s="2" t="str"/>
      <x:c r="V1895" s="2" t="str">
        <x:v>2018-04-30</x:v>
      </x:c>
      <x:c r="W1895" s="2" t="str">
        <x:v>신청일 확인 / 담당기관 확인</x:v>
      </x:c>
      <x:c r="X1895" s="2" t="str">
        <x:v>원본·배정 기록 확인</x:v>
      </x:c>
      <x:c r="Y1895" s="2" t="str">
        <x:v>ad210cd9ec132cfd447541c8984dc53d30aff0f4fb2dc92d254d49275cc55976</x:v>
      </x:c>
      <x:c r="Z1895" s="2" t="n">
        <x:f>SUBTOTAL(103,A1895)</x:f>
        <x:v>1</x:v>
      </x:c>
      <x:c r="AA1895" s="2" t="str">
        <x:f>IF(K1895&lt;&gt;"미종결 표시","대상 아님",IF(N1895="","신청일 확인",IF(NOT(ISNUMBER('종합 현황'!$H$5)),"관찰기준 확인",IF('종합 현황'!$H$5&lt;1,"관찰기준 확인",IF(N1895&gt;'종합 현황'!$H$5,"내부 관찰 대상","내부 관찰일 이하")))))</x:f>
        <x:v>대상 아님</x:v>
      </x:c>
      <x:c r="AB1895" s="2"/>
    </x:row>
    <x:row r="1896" ht="42" customHeight="1">
      <x:c r="A1896" s="2" t="str">
        <x:v>a6b2967d2b04976cd6033441</x:v>
      </x:c>
      <x:c r="B1896" s="2" t="str">
        <x:v>감축량 인증</x:v>
      </x:c>
      <x:c r="C1896" s="2" t="str">
        <x:v>국내</x:v>
      </x:c>
      <x:c r="D1896" s="7" t="str">
        <x:v>삼성전자 SF6 저감 사업</x:v>
      </x:c>
      <x:c r="E1896" s="2" t="str">
        <x:v>136</x:v>
      </x:c>
      <x:c r="F1896" s="2"/>
      <x:c r="G1896" s="2" t="str">
        <x:v>미확보</x:v>
      </x:c>
      <x:c r="H1896" s="2" t="str">
        <x:v>미확보</x:v>
      </x:c>
      <x:c r="I1896" s="2" t="str">
        <x:v>심의승인</x:v>
      </x:c>
      <x:c r="J1896" s="2" t="str">
        <x:v>심의승인</x:v>
      </x:c>
      <x:c r="K1896" s="2" t="str">
        <x:f>IF(OR(J1896="심의승인",J1896="반려",J1896="반려완료",J1896="심의완료"),"종결 표시",IF(OR(J1896="기후부협의",J1896="문서재제출요청",J1896="보류",J1896="보완요청",J1896="보완완료",J1896="평가중",J1896="반려요청",J1896="평가필요",LEFT(J1896,5)="보완요청("),"미종결 표시","상태 확인 필요"))</x:f>
        <x:v>종결 표시</x:v>
      </x:c>
      <x:c r="L1896" s="2"/>
      <x:c r="M1896" s="2"/>
      <x:c r="N1896" s="8"/>
      <x:c r="O1896" s="2"/>
      <x:c r="P1896" s="2"/>
      <x:c r="Q1896" s="2" t="str">
        <x:v>산업전환_외부사업관리Tool_260707_이너젠 수정_LJY_261013.xlsx</x:v>
      </x:c>
      <x:c r="R1896" s="2" t="str">
        <x:v>국내인증</x:v>
      </x:c>
      <x:c r="S1896" s="8" t="n">
        <x:v>214</x:v>
      </x:c>
      <x:c r="T1896" s="2"/>
      <x:c r="U1896" s="2" t="str"/>
      <x:c r="V1896" s="2" t="str">
        <x:v>2018-04-27</x:v>
      </x:c>
      <x:c r="W1896" s="2" t="str">
        <x:v>신청일 확인 / 담당기관 확인</x:v>
      </x:c>
      <x:c r="X1896" s="2" t="str">
        <x:v>원본·배정 기록 확인</x:v>
      </x:c>
      <x:c r="Y1896" s="2" t="str">
        <x:v>ad210cd9ec132cfd447541c8984dc53d30aff0f4fb2dc92d254d49275cc55976</x:v>
      </x:c>
      <x:c r="Z1896" s="2" t="n">
        <x:f>SUBTOTAL(103,A1896)</x:f>
        <x:v>1</x:v>
      </x:c>
      <x:c r="AA1896" s="2" t="str">
        <x:f>IF(K1896&lt;&gt;"미종결 표시","대상 아님",IF(N1896="","신청일 확인",IF(NOT(ISNUMBER('종합 현황'!$H$5)),"관찰기준 확인",IF('종합 현황'!$H$5&lt;1,"관찰기준 확인",IF(N1896&gt;'종합 현황'!$H$5,"내부 관찰 대상","내부 관찰일 이하")))))</x:f>
        <x:v>대상 아님</x:v>
      </x:c>
      <x:c r="AB1896" s="2"/>
    </x:row>
    <x:row r="1897" ht="42" customHeight="1">
      <x:c r="A1897" s="2" t="str">
        <x:v>7a8e817adf73270979344a20</x:v>
      </x:c>
      <x:c r="B1897" s="2" t="str">
        <x:v>감축량 인증</x:v>
      </x:c>
      <x:c r="C1897" s="2" t="str">
        <x:v>국내</x:v>
      </x:c>
      <x:c r="D1897" s="7" t="str">
        <x:v>휴켐스(주) 신설 5질산에서 발생하는 아산화질소 배출량 저감사업</x:v>
      </x:c>
      <x:c r="E1897" s="2" t="str">
        <x:v>137</x:v>
      </x:c>
      <x:c r="F1897" s="2"/>
      <x:c r="G1897" s="2" t="str">
        <x:v>미확보</x:v>
      </x:c>
      <x:c r="H1897" s="2" t="str">
        <x:v>미확보</x:v>
      </x:c>
      <x:c r="I1897" s="2" t="str">
        <x:v>심의승인</x:v>
      </x:c>
      <x:c r="J1897" s="2" t="str">
        <x:v>심의승인</x:v>
      </x:c>
      <x:c r="K1897" s="2" t="str">
        <x:f>IF(OR(J1897="심의승인",J1897="반려",J1897="반려완료",J1897="심의완료"),"종결 표시",IF(OR(J1897="기후부협의",J1897="문서재제출요청",J1897="보류",J1897="보완요청",J1897="보완완료",J1897="평가중",J1897="반려요청",J1897="평가필요",LEFT(J1897,5)="보완요청("),"미종결 표시","상태 확인 필요"))</x:f>
        <x:v>종결 표시</x:v>
      </x:c>
      <x:c r="L1897" s="2"/>
      <x:c r="M1897" s="2"/>
      <x:c r="N1897" s="8"/>
      <x:c r="O1897" s="2"/>
      <x:c r="P1897" s="2"/>
      <x:c r="Q1897" s="2" t="str">
        <x:v>산업전환_외부사업관리Tool_260707_이너젠 수정_LJY_261013.xlsx</x:v>
      </x:c>
      <x:c r="R1897" s="2" t="str">
        <x:v>국내인증</x:v>
      </x:c>
      <x:c r="S1897" s="8" t="n">
        <x:v>215</x:v>
      </x:c>
      <x:c r="T1897" s="2"/>
      <x:c r="U1897" s="2" t="str"/>
      <x:c r="V1897" s="2" t="str">
        <x:v>2018-04-30</x:v>
      </x:c>
      <x:c r="W1897" s="2" t="str">
        <x:v>신청일 확인 / 담당기관 확인</x:v>
      </x:c>
      <x:c r="X1897" s="2" t="str">
        <x:v>원본·배정 기록 확인</x:v>
      </x:c>
      <x:c r="Y1897" s="2" t="str">
        <x:v>ad210cd9ec132cfd447541c8984dc53d30aff0f4fb2dc92d254d49275cc55976</x:v>
      </x:c>
      <x:c r="Z1897" s="2" t="n">
        <x:f>SUBTOTAL(103,A1897)</x:f>
        <x:v>1</x:v>
      </x:c>
      <x:c r="AA1897" s="2" t="str">
        <x:f>IF(K1897&lt;&gt;"미종결 표시","대상 아님",IF(N1897="","신청일 확인",IF(NOT(ISNUMBER('종합 현황'!$H$5)),"관찰기준 확인",IF('종합 현황'!$H$5&lt;1,"관찰기준 확인",IF(N1897&gt;'종합 현황'!$H$5,"내부 관찰 대상","내부 관찰일 이하")))))</x:f>
        <x:v>대상 아님</x:v>
      </x:c>
      <x:c r="AB1897" s="2"/>
    </x:row>
    <x:row r="1898" ht="42" customHeight="1">
      <x:c r="A1898" s="2" t="str">
        <x:v>fa6c08f03aed809c90ae6f0a</x:v>
      </x:c>
      <x:c r="B1898" s="2" t="str">
        <x:v>감축량 인증</x:v>
      </x:c>
      <x:c r="C1898" s="2" t="str">
        <x:v>국내</x:v>
      </x:c>
      <x:c r="D1898" s="7" t="str">
        <x:v>휴켐스 질산공장 N2O 감축사업(휴켐스 주식회사의 질산 공장 세 곳에서 tail gas에 포함된 아산화질소를 촉매를 사용하여 제거하는 프로젝트)</x:v>
      </x:c>
      <x:c r="E1898" s="2" t="str">
        <x:v>138</x:v>
      </x:c>
      <x:c r="F1898" s="2"/>
      <x:c r="G1898" s="2" t="str">
        <x:v>미확보</x:v>
      </x:c>
      <x:c r="H1898" s="2" t="str">
        <x:v>미확보</x:v>
      </x:c>
      <x:c r="I1898" s="2" t="str">
        <x:v>심의승인</x:v>
      </x:c>
      <x:c r="J1898" s="2" t="str">
        <x:v>심의승인</x:v>
      </x:c>
      <x:c r="K1898" s="2" t="str">
        <x:f>IF(OR(J1898="심의승인",J1898="반려",J1898="반려완료",J1898="심의완료"),"종결 표시",IF(OR(J1898="기후부협의",J1898="문서재제출요청",J1898="보류",J1898="보완요청",J1898="보완완료",J1898="평가중",J1898="반려요청",J1898="평가필요",LEFT(J1898,5)="보완요청("),"미종결 표시","상태 확인 필요"))</x:f>
        <x:v>종결 표시</x:v>
      </x:c>
      <x:c r="L1898" s="2"/>
      <x:c r="M1898" s="2"/>
      <x:c r="N1898" s="8"/>
      <x:c r="O1898" s="2"/>
      <x:c r="P1898" s="2"/>
      <x:c r="Q1898" s="2" t="str">
        <x:v>산업전환_외부사업관리Tool_260707_이너젠 수정_LJY_261013.xlsx</x:v>
      </x:c>
      <x:c r="R1898" s="2" t="str">
        <x:v>국내인증</x:v>
      </x:c>
      <x:c r="S1898" s="8" t="n">
        <x:v>216</x:v>
      </x:c>
      <x:c r="T1898" s="2"/>
      <x:c r="U1898" s="2" t="str"/>
      <x:c r="V1898" s="2" t="str">
        <x:v>2018-11-27</x:v>
      </x:c>
      <x:c r="W1898" s="2" t="str">
        <x:v>신청일 확인 / 담당기관 확인</x:v>
      </x:c>
      <x:c r="X1898" s="2" t="str">
        <x:v>원본·배정 기록 확인</x:v>
      </x:c>
      <x:c r="Y1898" s="2" t="str">
        <x:v>ad210cd9ec132cfd447541c8984dc53d30aff0f4fb2dc92d254d49275cc55976</x:v>
      </x:c>
      <x:c r="Z1898" s="2" t="n">
        <x:f>SUBTOTAL(103,A1898)</x:f>
        <x:v>1</x:v>
      </x:c>
      <x:c r="AA1898" s="2" t="str">
        <x:f>IF(K1898&lt;&gt;"미종결 표시","대상 아님",IF(N1898="","신청일 확인",IF(NOT(ISNUMBER('종합 현황'!$H$5)),"관찰기준 확인",IF('종합 현황'!$H$5&lt;1,"관찰기준 확인",IF(N1898&gt;'종합 현황'!$H$5,"내부 관찰 대상","내부 관찰일 이하")))))</x:f>
        <x:v>대상 아님</x:v>
      </x:c>
      <x:c r="AB1898" s="2"/>
    </x:row>
    <x:row r="1899" ht="42" customHeight="1">
      <x:c r="A1899" s="2" t="str">
        <x:v>519d2e490f658a29783490d4</x:v>
      </x:c>
      <x:c r="B1899" s="2" t="str">
        <x:v>감축량 인증</x:v>
      </x:c>
      <x:c r="C1899" s="2" t="str">
        <x:v>국내</x:v>
      </x:c>
      <x:c r="D1899" s="7" t="str">
        <x:v>삼성전자 SF6 저감 사업</x:v>
      </x:c>
      <x:c r="E1899" s="2" t="str">
        <x:v>139</x:v>
      </x:c>
      <x:c r="F1899" s="2"/>
      <x:c r="G1899" s="2" t="str">
        <x:v>미확보</x:v>
      </x:c>
      <x:c r="H1899" s="2" t="str">
        <x:v>미확보</x:v>
      </x:c>
      <x:c r="I1899" s="2" t="str">
        <x:v>심의승인</x:v>
      </x:c>
      <x:c r="J1899" s="2" t="str">
        <x:v>심의승인</x:v>
      </x:c>
      <x:c r="K1899" s="2" t="str">
        <x:f>IF(OR(J1899="심의승인",J1899="반려",J1899="반려완료",J1899="심의완료"),"종결 표시",IF(OR(J1899="기후부협의",J1899="문서재제출요청",J1899="보류",J1899="보완요청",J1899="보완완료",J1899="평가중",J1899="반려요청",J1899="평가필요",LEFT(J1899,5)="보완요청("),"미종결 표시","상태 확인 필요"))</x:f>
        <x:v>종결 표시</x:v>
      </x:c>
      <x:c r="L1899" s="2"/>
      <x:c r="M1899" s="2"/>
      <x:c r="N1899" s="8"/>
      <x:c r="O1899" s="2"/>
      <x:c r="P1899" s="2"/>
      <x:c r="Q1899" s="2" t="str">
        <x:v>산업전환_외부사업관리Tool_260707_이너젠 수정_LJY_261013.xlsx</x:v>
      </x:c>
      <x:c r="R1899" s="2" t="str">
        <x:v>국내인증</x:v>
      </x:c>
      <x:c r="S1899" s="8" t="n">
        <x:v>217</x:v>
      </x:c>
      <x:c r="T1899" s="2"/>
      <x:c r="U1899" s="2" t="str"/>
      <x:c r="V1899" s="2" t="str">
        <x:v>2018-11-27</x:v>
      </x:c>
      <x:c r="W1899" s="2" t="str">
        <x:v>신청일 확인 / 담당기관 확인</x:v>
      </x:c>
      <x:c r="X1899" s="2" t="str">
        <x:v>원본·배정 기록 확인</x:v>
      </x:c>
      <x:c r="Y1899" s="2" t="str">
        <x:v>ad210cd9ec132cfd447541c8984dc53d30aff0f4fb2dc92d254d49275cc55976</x:v>
      </x:c>
      <x:c r="Z1899" s="2" t="n">
        <x:f>SUBTOTAL(103,A1899)</x:f>
        <x:v>1</x:v>
      </x:c>
      <x:c r="AA1899" s="2" t="str">
        <x:f>IF(K1899&lt;&gt;"미종결 표시","대상 아님",IF(N1899="","신청일 확인",IF(NOT(ISNUMBER('종합 현황'!$H$5)),"관찰기준 확인",IF('종합 현황'!$H$5&lt;1,"관찰기준 확인",IF(N1899&gt;'종합 현황'!$H$5,"내부 관찰 대상","내부 관찰일 이하")))))</x:f>
        <x:v>대상 아님</x:v>
      </x:c>
      <x:c r="AB1899" s="2"/>
    </x:row>
    <x:row r="1900" ht="42" customHeight="1">
      <x:c r="A1900" s="2" t="str">
        <x:v>9f14f845dc26e205cedff33b</x:v>
      </x:c>
      <x:c r="B1900" s="2" t="str">
        <x:v>감축량 인증</x:v>
      </x:c>
      <x:c r="C1900" s="2" t="str">
        <x:v>국내</x:v>
      </x:c>
      <x:c r="D1900" s="7" t="str">
        <x:v>영진글로벌(주) 열풍기의 연료전환(이온정제유-&gt;LNG)을 통한 온실가스 배출 감축사업</x:v>
      </x:c>
      <x:c r="E1900" s="2" t="str">
        <x:v>140</x:v>
      </x:c>
      <x:c r="F1900" s="2"/>
      <x:c r="G1900" s="2" t="str">
        <x:v>미확보</x:v>
      </x:c>
      <x:c r="H1900" s="2" t="str">
        <x:v>미확보</x:v>
      </x:c>
      <x:c r="I1900" s="2" t="str">
        <x:v>심의승인</x:v>
      </x:c>
      <x:c r="J1900" s="2" t="str">
        <x:v>심의승인</x:v>
      </x:c>
      <x:c r="K1900" s="2" t="str">
        <x:f>IF(OR(J1900="심의승인",J1900="반려",J1900="반려완료",J1900="심의완료"),"종결 표시",IF(OR(J1900="기후부협의",J1900="문서재제출요청",J1900="보류",J1900="보완요청",J1900="보완완료",J1900="평가중",J1900="반려요청",J1900="평가필요",LEFT(J1900,5)="보완요청("),"미종결 표시","상태 확인 필요"))</x:f>
        <x:v>종결 표시</x:v>
      </x:c>
      <x:c r="L1900" s="2"/>
      <x:c r="M1900" s="2"/>
      <x:c r="N1900" s="8"/>
      <x:c r="O1900" s="2"/>
      <x:c r="P1900" s="2"/>
      <x:c r="Q1900" s="2" t="str">
        <x:v>산업전환_외부사업관리Tool_260707_이너젠 수정_LJY_261013.xlsx</x:v>
      </x:c>
      <x:c r="R1900" s="2" t="str">
        <x:v>국내인증</x:v>
      </x:c>
      <x:c r="S1900" s="8" t="n">
        <x:v>218</x:v>
      </x:c>
      <x:c r="T1900" s="2"/>
      <x:c r="U1900" s="2" t="str"/>
      <x:c r="V1900" s="2" t="str">
        <x:v>2019-06-26</x:v>
      </x:c>
      <x:c r="W1900" s="2" t="str">
        <x:v>신청일 확인 / 담당기관 확인</x:v>
      </x:c>
      <x:c r="X1900" s="2" t="str">
        <x:v>원본·배정 기록 확인</x:v>
      </x:c>
      <x:c r="Y1900" s="2" t="str">
        <x:v>ad210cd9ec132cfd447541c8984dc53d30aff0f4fb2dc92d254d49275cc55976</x:v>
      </x:c>
      <x:c r="Z1900" s="2" t="n">
        <x:f>SUBTOTAL(103,A1900)</x:f>
        <x:v>1</x:v>
      </x:c>
      <x:c r="AA1900" s="2" t="str">
        <x:f>IF(K1900&lt;&gt;"미종결 표시","대상 아님",IF(N1900="","신청일 확인",IF(NOT(ISNUMBER('종합 현황'!$H$5)),"관찰기준 확인",IF('종합 현황'!$H$5&lt;1,"관찰기준 확인",IF(N1900&gt;'종합 현황'!$H$5,"내부 관찰 대상","내부 관찰일 이하")))))</x:f>
        <x:v>대상 아님</x:v>
      </x:c>
      <x:c r="AB1900" s="2"/>
    </x:row>
    <x:row r="1901" ht="42" customHeight="1">
      <x:c r="A1901" s="2" t="str">
        <x:v>736534ea6b9a8cb6cccfa74e</x:v>
      </x:c>
      <x:c r="B1901" s="2" t="str">
        <x:v>감축량 인증</x:v>
      </x:c>
      <x:c r="C1901" s="2" t="str">
        <x:v>국내</x:v>
      </x:c>
      <x:c r="D1901" s="7" t="str">
        <x:v>휴켐스 질산공장 N2O 감축사업(휴켐스 주식회사의 질산 공장 세 곳에서 tail gas에 포함된 아산화질소를 촉매를 사용하여 제거하는 프로젝트)</x:v>
      </x:c>
      <x:c r="E1901" s="2" t="str">
        <x:v>141</x:v>
      </x:c>
      <x:c r="F1901" s="2"/>
      <x:c r="G1901" s="2" t="str">
        <x:v>미확보</x:v>
      </x:c>
      <x:c r="H1901" s="2" t="str">
        <x:v>미확보</x:v>
      </x:c>
      <x:c r="I1901" s="2" t="str">
        <x:v>심의승인</x:v>
      </x:c>
      <x:c r="J1901" s="2" t="str">
        <x:v>심의승인</x:v>
      </x:c>
      <x:c r="K1901" s="2" t="str">
        <x:f>IF(OR(J1901="심의승인",J1901="반려",J1901="반려완료",J1901="심의완료"),"종결 표시",IF(OR(J1901="기후부협의",J1901="문서재제출요청",J1901="보류",J1901="보완요청",J1901="보완완료",J1901="평가중",J1901="반려요청",J1901="평가필요",LEFT(J1901,5)="보완요청("),"미종결 표시","상태 확인 필요"))</x:f>
        <x:v>종결 표시</x:v>
      </x:c>
      <x:c r="L1901" s="2"/>
      <x:c r="M1901" s="2"/>
      <x:c r="N1901" s="8"/>
      <x:c r="O1901" s="2"/>
      <x:c r="P1901" s="2"/>
      <x:c r="Q1901" s="2" t="str">
        <x:v>산업전환_외부사업관리Tool_260707_이너젠 수정_LJY_261013.xlsx</x:v>
      </x:c>
      <x:c r="R1901" s="2" t="str">
        <x:v>국내인증</x:v>
      </x:c>
      <x:c r="S1901" s="8" t="n">
        <x:v>219</x:v>
      </x:c>
      <x:c r="T1901" s="2"/>
      <x:c r="U1901" s="2" t="str"/>
      <x:c r="V1901" s="2" t="str">
        <x:v>2018-11-27</x:v>
      </x:c>
      <x:c r="W1901" s="2" t="str">
        <x:v>신청일 확인 / 담당기관 확인</x:v>
      </x:c>
      <x:c r="X1901" s="2" t="str">
        <x:v>원본·배정 기록 확인</x:v>
      </x:c>
      <x:c r="Y1901" s="2" t="str">
        <x:v>ad210cd9ec132cfd447541c8984dc53d30aff0f4fb2dc92d254d49275cc55976</x:v>
      </x:c>
      <x:c r="Z1901" s="2" t="n">
        <x:f>SUBTOTAL(103,A1901)</x:f>
        <x:v>1</x:v>
      </x:c>
      <x:c r="AA1901" s="2" t="str">
        <x:f>IF(K1901&lt;&gt;"미종결 표시","대상 아님",IF(N1901="","신청일 확인",IF(NOT(ISNUMBER('종합 현황'!$H$5)),"관찰기준 확인",IF('종합 현황'!$H$5&lt;1,"관찰기준 확인",IF(N1901&gt;'종합 현황'!$H$5,"내부 관찰 대상","내부 관찰일 이하")))))</x:f>
        <x:v>대상 아님</x:v>
      </x:c>
      <x:c r="AB1901" s="2"/>
    </x:row>
    <x:row r="1902" ht="42" customHeight="1">
      <x:c r="A1902" s="2" t="str">
        <x:v>b8daaa8605be9b46a78b60b9</x:v>
      </x:c>
      <x:c r="B1902" s="2" t="str">
        <x:v>감축량 인증</x:v>
      </x:c>
      <x:c r="C1902" s="2" t="str">
        <x:v>국내</x:v>
      </x:c>
      <x:c r="D1902" s="7" t="str">
        <x:v>휴켐스(주) 신설 5질산에서 발생하는 아산화질소 배출량 저감사업</x:v>
      </x:c>
      <x:c r="E1902" s="2" t="str">
        <x:v>142</x:v>
      </x:c>
      <x:c r="F1902" s="2"/>
      <x:c r="G1902" s="2" t="str">
        <x:v>미확보</x:v>
      </x:c>
      <x:c r="H1902" s="2" t="str">
        <x:v>미확보</x:v>
      </x:c>
      <x:c r="I1902" s="2" t="str">
        <x:v>심의승인</x:v>
      </x:c>
      <x:c r="J1902" s="2" t="str">
        <x:v>심의승인</x:v>
      </x:c>
      <x:c r="K1902" s="2" t="str">
        <x:f>IF(OR(J1902="심의승인",J1902="반려",J1902="반려완료",J1902="심의완료"),"종결 표시",IF(OR(J1902="기후부협의",J1902="문서재제출요청",J1902="보류",J1902="보완요청",J1902="보완완료",J1902="평가중",J1902="반려요청",J1902="평가필요",LEFT(J1902,5)="보완요청("),"미종결 표시","상태 확인 필요"))</x:f>
        <x:v>종결 표시</x:v>
      </x:c>
      <x:c r="L1902" s="2"/>
      <x:c r="M1902" s="2"/>
      <x:c r="N1902" s="8"/>
      <x:c r="O1902" s="2"/>
      <x:c r="P1902" s="2"/>
      <x:c r="Q1902" s="2" t="str">
        <x:v>산업전환_외부사업관리Tool_260707_이너젠 수정_LJY_261013.xlsx</x:v>
      </x:c>
      <x:c r="R1902" s="2" t="str">
        <x:v>국내인증</x:v>
      </x:c>
      <x:c r="S1902" s="8" t="n">
        <x:v>220</x:v>
      </x:c>
      <x:c r="T1902" s="2"/>
      <x:c r="U1902" s="2" t="str"/>
      <x:c r="V1902" s="2" t="str">
        <x:v>2018-11-27</x:v>
      </x:c>
      <x:c r="W1902" s="2" t="str">
        <x:v>신청일 확인 / 담당기관 확인</x:v>
      </x:c>
      <x:c r="X1902" s="2" t="str">
        <x:v>원본·배정 기록 확인</x:v>
      </x:c>
      <x:c r="Y1902" s="2" t="str">
        <x:v>ad210cd9ec132cfd447541c8984dc53d30aff0f4fb2dc92d254d49275cc55976</x:v>
      </x:c>
      <x:c r="Z1902" s="2" t="n">
        <x:f>SUBTOTAL(103,A1902)</x:f>
        <x:v>1</x:v>
      </x:c>
      <x:c r="AA1902" s="2" t="str">
        <x:f>IF(K1902&lt;&gt;"미종결 표시","대상 아님",IF(N1902="","신청일 확인",IF(NOT(ISNUMBER('종합 현황'!$H$5)),"관찰기준 확인",IF('종합 현황'!$H$5&lt;1,"관찰기준 확인",IF(N1902&gt;'종합 현황'!$H$5,"내부 관찰 대상","내부 관찰일 이하")))))</x:f>
        <x:v>대상 아님</x:v>
      </x:c>
      <x:c r="AB1902" s="2"/>
    </x:row>
    <x:row r="1903" ht="42" customHeight="1">
      <x:c r="A1903" s="2" t="str">
        <x:v>2773aece3837114b16b68f5a</x:v>
      </x:c>
      <x:c r="B1903" s="2" t="str">
        <x:v>감축량 인증</x:v>
      </x:c>
      <x:c r="C1903" s="2" t="str">
        <x:v>국내</x:v>
      </x:c>
      <x:c r="D1903" s="7" t="str">
        <x:v>휴켐스 질산공장 N2O 감축사업(휴켐스 주식회사의 질산 공장 세 곳에서 tail gas에 포함된 아산화질소를 촉매를 사용하여 제거하는 프로젝트)</x:v>
      </x:c>
      <x:c r="E1903" s="2" t="str">
        <x:v>143</x:v>
      </x:c>
      <x:c r="F1903" s="2"/>
      <x:c r="G1903" s="2" t="str">
        <x:v>미확보</x:v>
      </x:c>
      <x:c r="H1903" s="2" t="str">
        <x:v>미확보</x:v>
      </x:c>
      <x:c r="I1903" s="2" t="str">
        <x:v>심의승인</x:v>
      </x:c>
      <x:c r="J1903" s="2" t="str">
        <x:v>심의승인</x:v>
      </x:c>
      <x:c r="K1903" s="2" t="str">
        <x:f>IF(OR(J1903="심의승인",J1903="반려",J1903="반려완료",J1903="심의완료"),"종결 표시",IF(OR(J1903="기후부협의",J1903="문서재제출요청",J1903="보류",J1903="보완요청",J1903="보완완료",J1903="평가중",J1903="반려요청",J1903="평가필요",LEFT(J1903,5)="보완요청("),"미종결 표시","상태 확인 필요"))</x:f>
        <x:v>종결 표시</x:v>
      </x:c>
      <x:c r="L1903" s="2"/>
      <x:c r="M1903" s="2"/>
      <x:c r="N1903" s="8"/>
      <x:c r="O1903" s="2"/>
      <x:c r="P1903" s="2"/>
      <x:c r="Q1903" s="2" t="str">
        <x:v>산업전환_외부사업관리Tool_260707_이너젠 수정_LJY_261013.xlsx</x:v>
      </x:c>
      <x:c r="R1903" s="2" t="str">
        <x:v>국내인증</x:v>
      </x:c>
      <x:c r="S1903" s="8" t="n">
        <x:v>221</x:v>
      </x:c>
      <x:c r="T1903" s="2"/>
      <x:c r="U1903" s="2" t="str"/>
      <x:c r="V1903" s="2" t="str">
        <x:v>2018-11-27</x:v>
      </x:c>
      <x:c r="W1903" s="2" t="str">
        <x:v>신청일 확인 / 담당기관 확인</x:v>
      </x:c>
      <x:c r="X1903" s="2" t="str">
        <x:v>원본·배정 기록 확인</x:v>
      </x:c>
      <x:c r="Y1903" s="2" t="str">
        <x:v>ad210cd9ec132cfd447541c8984dc53d30aff0f4fb2dc92d254d49275cc55976</x:v>
      </x:c>
      <x:c r="Z1903" s="2" t="n">
        <x:f>SUBTOTAL(103,A1903)</x:f>
        <x:v>1</x:v>
      </x:c>
      <x:c r="AA1903" s="2" t="str">
        <x:f>IF(K1903&lt;&gt;"미종결 표시","대상 아님",IF(N1903="","신청일 확인",IF(NOT(ISNUMBER('종합 현황'!$H$5)),"관찰기준 확인",IF('종합 현황'!$H$5&lt;1,"관찰기준 확인",IF(N1903&gt;'종합 현황'!$H$5,"내부 관찰 대상","내부 관찰일 이하")))))</x:f>
        <x:v>대상 아님</x:v>
      </x:c>
      <x:c r="AB1903" s="2"/>
    </x:row>
    <x:row r="1904" ht="42" customHeight="1">
      <x:c r="A1904" s="2" t="str">
        <x:v>61a35a5436e0b800197e1ccd</x:v>
      </x:c>
      <x:c r="B1904" s="2" t="str">
        <x:v>감축량 인증</x:v>
      </x:c>
      <x:c r="C1904" s="2" t="str">
        <x:v>국내</x:v>
      </x:c>
      <x:c r="D1904" s="7" t="str">
        <x:v>㈜한화 울산소재 질산공장 N2O 감축 프로젝트</x:v>
      </x:c>
      <x:c r="E1904" s="2" t="str">
        <x:v>144</x:v>
      </x:c>
      <x:c r="F1904" s="2"/>
      <x:c r="G1904" s="2" t="str">
        <x:v>미확보</x:v>
      </x:c>
      <x:c r="H1904" s="2" t="str">
        <x:v>미확보</x:v>
      </x:c>
      <x:c r="I1904" s="2" t="str">
        <x:v>심의승인</x:v>
      </x:c>
      <x:c r="J1904" s="2" t="str">
        <x:v>심의승인</x:v>
      </x:c>
      <x:c r="K1904" s="2" t="str">
        <x:f>IF(OR(J1904="심의승인",J1904="반려",J1904="반려완료",J1904="심의완료"),"종결 표시",IF(OR(J1904="기후부협의",J1904="문서재제출요청",J1904="보류",J1904="보완요청",J1904="보완완료",J1904="평가중",J1904="반려요청",J1904="평가필요",LEFT(J1904,5)="보완요청("),"미종결 표시","상태 확인 필요"))</x:f>
        <x:v>종결 표시</x:v>
      </x:c>
      <x:c r="L1904" s="2"/>
      <x:c r="M1904" s="2"/>
      <x:c r="N1904" s="8"/>
      <x:c r="O1904" s="2"/>
      <x:c r="P1904" s="2"/>
      <x:c r="Q1904" s="2" t="str">
        <x:v>산업전환_외부사업관리Tool_260707_이너젠 수정_LJY_261013.xlsx</x:v>
      </x:c>
      <x:c r="R1904" s="2" t="str">
        <x:v>국내인증</x:v>
      </x:c>
      <x:c r="S1904" s="8" t="n">
        <x:v>222</x:v>
      </x:c>
      <x:c r="T1904" s="2"/>
      <x:c r="U1904" s="2" t="str"/>
      <x:c r="V1904" s="2" t="str">
        <x:v>2018-11-26</x:v>
      </x:c>
      <x:c r="W1904" s="2" t="str">
        <x:v>신청일 확인 / 담당기관 확인</x:v>
      </x:c>
      <x:c r="X1904" s="2" t="str">
        <x:v>원본·배정 기록 확인</x:v>
      </x:c>
      <x:c r="Y1904" s="2" t="str">
        <x:v>ad210cd9ec132cfd447541c8984dc53d30aff0f4fb2dc92d254d49275cc55976</x:v>
      </x:c>
      <x:c r="Z1904" s="2" t="n">
        <x:f>SUBTOTAL(103,A1904)</x:f>
        <x:v>1</x:v>
      </x:c>
      <x:c r="AA1904" s="2" t="str">
        <x:f>IF(K1904&lt;&gt;"미종결 표시","대상 아님",IF(N1904="","신청일 확인",IF(NOT(ISNUMBER('종합 현황'!$H$5)),"관찰기준 확인",IF('종합 현황'!$H$5&lt;1,"관찰기준 확인",IF(N1904&gt;'종합 현황'!$H$5,"내부 관찰 대상","내부 관찰일 이하")))))</x:f>
        <x:v>대상 아님</x:v>
      </x:c>
      <x:c r="AB1904" s="2"/>
    </x:row>
    <x:row r="1905" ht="42" customHeight="1">
      <x:c r="A1905" s="2" t="str">
        <x:v>ccc40237e3c4091de9e1faf3</x:v>
      </x:c>
      <x:c r="B1905" s="2" t="str">
        <x:v>감축량 인증</x:v>
      </x:c>
      <x:c r="C1905" s="2" t="str">
        <x:v>국내</x:v>
      </x:c>
      <x:c r="D1905" s="7" t="str">
        <x:v>광주 각화 주공아파트 연료전환을 통한 온실가스 감축사업</x:v>
      </x:c>
      <x:c r="E1905" s="2" t="str">
        <x:v>145</x:v>
      </x:c>
      <x:c r="F1905" s="2"/>
      <x:c r="G1905" s="2" t="str">
        <x:v>미확보</x:v>
      </x:c>
      <x:c r="H1905" s="2" t="str">
        <x:v>미확보</x:v>
      </x:c>
      <x:c r="I1905" s="2" t="str">
        <x:v>심의승인</x:v>
      </x:c>
      <x:c r="J1905" s="2" t="str">
        <x:v>심의승인</x:v>
      </x:c>
      <x:c r="K1905" s="2" t="str">
        <x:f>IF(OR(J1905="심의승인",J1905="반려",J1905="반려완료",J1905="심의완료"),"종결 표시",IF(OR(J1905="기후부협의",J1905="문서재제출요청",J1905="보류",J1905="보완요청",J1905="보완완료",J1905="평가중",J1905="반려요청",J1905="평가필요",LEFT(J1905,5)="보완요청("),"미종결 표시","상태 확인 필요"))</x:f>
        <x:v>종결 표시</x:v>
      </x:c>
      <x:c r="L1905" s="2"/>
      <x:c r="M1905" s="2"/>
      <x:c r="N1905" s="8"/>
      <x:c r="O1905" s="2"/>
      <x:c r="P1905" s="2"/>
      <x:c r="Q1905" s="2" t="str">
        <x:v>산업전환_외부사업관리Tool_260707_이너젠 수정_LJY_261013.xlsx</x:v>
      </x:c>
      <x:c r="R1905" s="2" t="str">
        <x:v>국내인증</x:v>
      </x:c>
      <x:c r="S1905" s="8" t="n">
        <x:v>223</x:v>
      </x:c>
      <x:c r="T1905" s="2"/>
      <x:c r="U1905" s="2" t="str"/>
      <x:c r="V1905" s="2" t="str">
        <x:v>2019-06-26</x:v>
      </x:c>
      <x:c r="W1905" s="2" t="str">
        <x:v>신청일 확인 / 담당기관 확인</x:v>
      </x:c>
      <x:c r="X1905" s="2" t="str">
        <x:v>원본·배정 기록 확인</x:v>
      </x:c>
      <x:c r="Y1905" s="2" t="str">
        <x:v>ad210cd9ec132cfd447541c8984dc53d30aff0f4fb2dc92d254d49275cc55976</x:v>
      </x:c>
      <x:c r="Z1905" s="2" t="n">
        <x:f>SUBTOTAL(103,A1905)</x:f>
        <x:v>1</x:v>
      </x:c>
      <x:c r="AA1905" s="2" t="str">
        <x:f>IF(K1905&lt;&gt;"미종결 표시","대상 아님",IF(N1905="","신청일 확인",IF(NOT(ISNUMBER('종합 현황'!$H$5)),"관찰기준 확인",IF('종합 현황'!$H$5&lt;1,"관찰기준 확인",IF(N1905&gt;'종합 현황'!$H$5,"내부 관찰 대상","내부 관찰일 이하")))))</x:f>
        <x:v>대상 아님</x:v>
      </x:c>
      <x:c r="AB1905" s="2"/>
    </x:row>
    <x:row r="1906" ht="42" customHeight="1">
      <x:c r="A1906" s="2" t="str">
        <x:v>4839fa0ee3786ae0ea3a5481</x:v>
      </x:c>
      <x:c r="B1906" s="2" t="str">
        <x:v>감축량 인증</x:v>
      </x:c>
      <x:c r="C1906" s="2" t="str">
        <x:v>국내</x:v>
      </x:c>
      <x:c r="D1906" s="7" t="str">
        <x:v>광주 두암 주공 2단지 아파트 연료전환을 통한 온실가스 감축사업</x:v>
      </x:c>
      <x:c r="E1906" s="2" t="str">
        <x:v>146</x:v>
      </x:c>
      <x:c r="F1906" s="2"/>
      <x:c r="G1906" s="2" t="str">
        <x:v>미확보</x:v>
      </x:c>
      <x:c r="H1906" s="2" t="str">
        <x:v>미확보</x:v>
      </x:c>
      <x:c r="I1906" s="2" t="str">
        <x:v>심의승인</x:v>
      </x:c>
      <x:c r="J1906" s="2" t="str">
        <x:v>심의승인</x:v>
      </x:c>
      <x:c r="K1906" s="2" t="str">
        <x:f>IF(OR(J1906="심의승인",J1906="반려",J1906="반려완료",J1906="심의완료"),"종결 표시",IF(OR(J1906="기후부협의",J1906="문서재제출요청",J1906="보류",J1906="보완요청",J1906="보완완료",J1906="평가중",J1906="반려요청",J1906="평가필요",LEFT(J1906,5)="보완요청("),"미종결 표시","상태 확인 필요"))</x:f>
        <x:v>종결 표시</x:v>
      </x:c>
      <x:c r="L1906" s="2"/>
      <x:c r="M1906" s="2"/>
      <x:c r="N1906" s="8"/>
      <x:c r="O1906" s="2"/>
      <x:c r="P1906" s="2"/>
      <x:c r="Q1906" s="2" t="str">
        <x:v>산업전환_외부사업관리Tool_260707_이너젠 수정_LJY_261013.xlsx</x:v>
      </x:c>
      <x:c r="R1906" s="2" t="str">
        <x:v>국내인증</x:v>
      </x:c>
      <x:c r="S1906" s="8" t="n">
        <x:v>224</x:v>
      </x:c>
      <x:c r="T1906" s="2"/>
      <x:c r="U1906" s="2" t="str"/>
      <x:c r="V1906" s="2" t="str">
        <x:v>2019-06-26</x:v>
      </x:c>
      <x:c r="W1906" s="2" t="str">
        <x:v>신청일 확인 / 담당기관 확인</x:v>
      </x:c>
      <x:c r="X1906" s="2" t="str">
        <x:v>원본·배정 기록 확인</x:v>
      </x:c>
      <x:c r="Y1906" s="2" t="str">
        <x:v>ad210cd9ec132cfd447541c8984dc53d30aff0f4fb2dc92d254d49275cc55976</x:v>
      </x:c>
      <x:c r="Z1906" s="2" t="n">
        <x:f>SUBTOTAL(103,A1906)</x:f>
        <x:v>1</x:v>
      </x:c>
      <x:c r="AA1906" s="2" t="str">
        <x:f>IF(K1906&lt;&gt;"미종결 표시","대상 아님",IF(N1906="","신청일 확인",IF(NOT(ISNUMBER('종합 현황'!$H$5)),"관찰기준 확인",IF('종합 현황'!$H$5&lt;1,"관찰기준 확인",IF(N1906&gt;'종합 현황'!$H$5,"내부 관찰 대상","내부 관찰일 이하")))))</x:f>
        <x:v>대상 아님</x:v>
      </x:c>
      <x:c r="AB1906" s="2"/>
    </x:row>
    <x:row r="1907" ht="42" customHeight="1">
      <x:c r="A1907" s="2" t="str">
        <x:v>ce531e9f960fa2081f25f9b3</x:v>
      </x:c>
      <x:c r="B1907" s="2" t="str">
        <x:v>감축량 인증</x:v>
      </x:c>
      <x:c r="C1907" s="2" t="str">
        <x:v>국내</x:v>
      </x:c>
      <x:c r="D1907" s="7" t="str">
        <x:v>광주 두암 주공 4단지 아파트 연료전환을 통한 온실가스 감축사업</x:v>
      </x:c>
      <x:c r="E1907" s="2" t="str">
        <x:v>147</x:v>
      </x:c>
      <x:c r="F1907" s="2"/>
      <x:c r="G1907" s="2" t="str">
        <x:v>미확보</x:v>
      </x:c>
      <x:c r="H1907" s="2" t="str">
        <x:v>미확보</x:v>
      </x:c>
      <x:c r="I1907" s="2" t="str">
        <x:v>심의승인</x:v>
      </x:c>
      <x:c r="J1907" s="2" t="str">
        <x:v>심의승인</x:v>
      </x:c>
      <x:c r="K1907" s="2" t="str">
        <x:f>IF(OR(J1907="심의승인",J1907="반려",J1907="반려완료",J1907="심의완료"),"종결 표시",IF(OR(J1907="기후부협의",J1907="문서재제출요청",J1907="보류",J1907="보완요청",J1907="보완완료",J1907="평가중",J1907="반려요청",J1907="평가필요",LEFT(J1907,5)="보완요청("),"미종결 표시","상태 확인 필요"))</x:f>
        <x:v>종결 표시</x:v>
      </x:c>
      <x:c r="L1907" s="2"/>
      <x:c r="M1907" s="2"/>
      <x:c r="N1907" s="8"/>
      <x:c r="O1907" s="2"/>
      <x:c r="P1907" s="2"/>
      <x:c r="Q1907" s="2" t="str">
        <x:v>산업전환_외부사업관리Tool_260707_이너젠 수정_LJY_261013.xlsx</x:v>
      </x:c>
      <x:c r="R1907" s="2" t="str">
        <x:v>국내인증</x:v>
      </x:c>
      <x:c r="S1907" s="8" t="n">
        <x:v>225</x:v>
      </x:c>
      <x:c r="T1907" s="2"/>
      <x:c r="U1907" s="2" t="str"/>
      <x:c r="V1907" s="2" t="str">
        <x:v>2019-06-26</x:v>
      </x:c>
      <x:c r="W1907" s="2" t="str">
        <x:v>신청일 확인 / 담당기관 확인</x:v>
      </x:c>
      <x:c r="X1907" s="2" t="str">
        <x:v>원본·배정 기록 확인</x:v>
      </x:c>
      <x:c r="Y1907" s="2" t="str">
        <x:v>ad210cd9ec132cfd447541c8984dc53d30aff0f4fb2dc92d254d49275cc55976</x:v>
      </x:c>
      <x:c r="Z1907" s="2" t="n">
        <x:f>SUBTOTAL(103,A1907)</x:f>
        <x:v>1</x:v>
      </x:c>
      <x:c r="AA1907" s="2" t="str">
        <x:f>IF(K1907&lt;&gt;"미종결 표시","대상 아님",IF(N1907="","신청일 확인",IF(NOT(ISNUMBER('종합 현황'!$H$5)),"관찰기준 확인",IF('종합 현황'!$H$5&lt;1,"관찰기준 확인",IF(N1907&gt;'종합 현황'!$H$5,"내부 관찰 대상","내부 관찰일 이하")))))</x:f>
        <x:v>대상 아님</x:v>
      </x:c>
      <x:c r="AB1907" s="2"/>
    </x:row>
    <x:row r="1908" ht="42" customHeight="1">
      <x:c r="A1908" s="2" t="str">
        <x:v>8e469b862da6e5f62e4b5f61</x:v>
      </x:c>
      <x:c r="B1908" s="2" t="str">
        <x:v>감축량 인증</x:v>
      </x:c>
      <x:c r="C1908" s="2" t="str">
        <x:v>국내</x:v>
      </x:c>
      <x:c r="D1908" s="7" t="str">
        <x:v>광주 쌍촌 주공 아파트 연료전환을 통한 온실가스 감축사업</x:v>
      </x:c>
      <x:c r="E1908" s="2" t="str">
        <x:v>148</x:v>
      </x:c>
      <x:c r="F1908" s="2"/>
      <x:c r="G1908" s="2" t="str">
        <x:v>미확보</x:v>
      </x:c>
      <x:c r="H1908" s="2" t="str">
        <x:v>미확보</x:v>
      </x:c>
      <x:c r="I1908" s="2" t="str">
        <x:v>심의승인</x:v>
      </x:c>
      <x:c r="J1908" s="2" t="str">
        <x:v>심의승인</x:v>
      </x:c>
      <x:c r="K1908" s="2" t="str">
        <x:f>IF(OR(J1908="심의승인",J1908="반려",J1908="반려완료",J1908="심의완료"),"종결 표시",IF(OR(J1908="기후부협의",J1908="문서재제출요청",J1908="보류",J1908="보완요청",J1908="보완완료",J1908="평가중",J1908="반려요청",J1908="평가필요",LEFT(J1908,5)="보완요청("),"미종결 표시","상태 확인 필요"))</x:f>
        <x:v>종결 표시</x:v>
      </x:c>
      <x:c r="L1908" s="2"/>
      <x:c r="M1908" s="2"/>
      <x:c r="N1908" s="8"/>
      <x:c r="O1908" s="2"/>
      <x:c r="P1908" s="2"/>
      <x:c r="Q1908" s="2" t="str">
        <x:v>산업전환_외부사업관리Tool_260707_이너젠 수정_LJY_261013.xlsx</x:v>
      </x:c>
      <x:c r="R1908" s="2" t="str">
        <x:v>국내인증</x:v>
      </x:c>
      <x:c r="S1908" s="8" t="n">
        <x:v>226</x:v>
      </x:c>
      <x:c r="T1908" s="2"/>
      <x:c r="U1908" s="2" t="str"/>
      <x:c r="V1908" s="2" t="str">
        <x:v>2019-06-26</x:v>
      </x:c>
      <x:c r="W1908" s="2" t="str">
        <x:v>신청일 확인 / 담당기관 확인</x:v>
      </x:c>
      <x:c r="X1908" s="2" t="str">
        <x:v>원본·배정 기록 확인</x:v>
      </x:c>
      <x:c r="Y1908" s="2" t="str">
        <x:v>ad210cd9ec132cfd447541c8984dc53d30aff0f4fb2dc92d254d49275cc55976</x:v>
      </x:c>
      <x:c r="Z1908" s="2" t="n">
        <x:f>SUBTOTAL(103,A1908)</x:f>
        <x:v>1</x:v>
      </x:c>
      <x:c r="AA1908" s="2" t="str">
        <x:f>IF(K1908&lt;&gt;"미종결 표시","대상 아님",IF(N1908="","신청일 확인",IF(NOT(ISNUMBER('종합 현황'!$H$5)),"관찰기준 확인",IF('종합 현황'!$H$5&lt;1,"관찰기준 확인",IF(N1908&gt;'종합 현황'!$H$5,"내부 관찰 대상","내부 관찰일 이하")))))</x:f>
        <x:v>대상 아님</x:v>
      </x:c>
      <x:c r="AB1908" s="2"/>
    </x:row>
    <x:row r="1909" ht="42" customHeight="1">
      <x:c r="A1909" s="2" t="str">
        <x:v>17e2732209a5b1861ace7191</x:v>
      </x:c>
      <x:c r="B1909" s="2" t="str">
        <x:v>감축량 인증</x:v>
      </x:c>
      <x:c r="C1909" s="2" t="str">
        <x:v>국내</x:v>
      </x:c>
      <x:c r="D1909" s="7" t="str">
        <x:v>광주 하남 주공 1차 아파트 연료전환을 통한 온실가스 감축사업</x:v>
      </x:c>
      <x:c r="E1909" s="2" t="str">
        <x:v>149</x:v>
      </x:c>
      <x:c r="F1909" s="2"/>
      <x:c r="G1909" s="2" t="str">
        <x:v>미확보</x:v>
      </x:c>
      <x:c r="H1909" s="2" t="str">
        <x:v>미확보</x:v>
      </x:c>
      <x:c r="I1909" s="2" t="str">
        <x:v>심의승인</x:v>
      </x:c>
      <x:c r="J1909" s="2" t="str">
        <x:v>심의승인</x:v>
      </x:c>
      <x:c r="K1909" s="2" t="str">
        <x:f>IF(OR(J1909="심의승인",J1909="반려",J1909="반려완료",J1909="심의완료"),"종결 표시",IF(OR(J1909="기후부협의",J1909="문서재제출요청",J1909="보류",J1909="보완요청",J1909="보완완료",J1909="평가중",J1909="반려요청",J1909="평가필요",LEFT(J1909,5)="보완요청("),"미종결 표시","상태 확인 필요"))</x:f>
        <x:v>종결 표시</x:v>
      </x:c>
      <x:c r="L1909" s="2"/>
      <x:c r="M1909" s="2"/>
      <x:c r="N1909" s="8"/>
      <x:c r="O1909" s="2"/>
      <x:c r="P1909" s="2"/>
      <x:c r="Q1909" s="2" t="str">
        <x:v>산업전환_외부사업관리Tool_260707_이너젠 수정_LJY_261013.xlsx</x:v>
      </x:c>
      <x:c r="R1909" s="2" t="str">
        <x:v>국내인증</x:v>
      </x:c>
      <x:c r="S1909" s="8" t="n">
        <x:v>227</x:v>
      </x:c>
      <x:c r="T1909" s="2"/>
      <x:c r="U1909" s="2" t="str"/>
      <x:c r="V1909" s="2" t="str">
        <x:v>2019-06-26</x:v>
      </x:c>
      <x:c r="W1909" s="2" t="str">
        <x:v>신청일 확인 / 담당기관 확인</x:v>
      </x:c>
      <x:c r="X1909" s="2" t="str">
        <x:v>원본·배정 기록 확인</x:v>
      </x:c>
      <x:c r="Y1909" s="2" t="str">
        <x:v>ad210cd9ec132cfd447541c8984dc53d30aff0f4fb2dc92d254d49275cc55976</x:v>
      </x:c>
      <x:c r="Z1909" s="2" t="n">
        <x:f>SUBTOTAL(103,A1909)</x:f>
        <x:v>1</x:v>
      </x:c>
      <x:c r="AA1909" s="2" t="str">
        <x:f>IF(K1909&lt;&gt;"미종결 표시","대상 아님",IF(N1909="","신청일 확인",IF(NOT(ISNUMBER('종합 현황'!$H$5)),"관찰기준 확인",IF('종합 현황'!$H$5&lt;1,"관찰기준 확인",IF(N1909&gt;'종합 현황'!$H$5,"내부 관찰 대상","내부 관찰일 이하")))))</x:f>
        <x:v>대상 아님</x:v>
      </x:c>
      <x:c r="AB1909" s="2"/>
    </x:row>
    <x:row r="1910" ht="42" customHeight="1">
      <x:c r="A1910" s="2" t="str">
        <x:v>b653409c7db4a7b9f430f8ca</x:v>
      </x:c>
      <x:c r="B1910" s="2" t="str">
        <x:v>감축량 인증</x:v>
      </x:c>
      <x:c r="C1910" s="2" t="str">
        <x:v>국내</x:v>
      </x:c>
      <x:c r="D1910" s="7" t="str">
        <x:v>광주 우산 주공 3단지 아파트 연료전환을 통한 온실가스 감축사업</x:v>
      </x:c>
      <x:c r="E1910" s="2" t="str">
        <x:v>150</x:v>
      </x:c>
      <x:c r="F1910" s="2"/>
      <x:c r="G1910" s="2" t="str">
        <x:v>미확보</x:v>
      </x:c>
      <x:c r="H1910" s="2" t="str">
        <x:v>미확보</x:v>
      </x:c>
      <x:c r="I1910" s="2" t="str">
        <x:v>심의승인</x:v>
      </x:c>
      <x:c r="J1910" s="2" t="str">
        <x:v>심의승인</x:v>
      </x:c>
      <x:c r="K1910" s="2" t="str">
        <x:f>IF(OR(J1910="심의승인",J1910="반려",J1910="반려완료",J1910="심의완료"),"종결 표시",IF(OR(J1910="기후부협의",J1910="문서재제출요청",J1910="보류",J1910="보완요청",J1910="보완완료",J1910="평가중",J1910="반려요청",J1910="평가필요",LEFT(J1910,5)="보완요청("),"미종결 표시","상태 확인 필요"))</x:f>
        <x:v>종결 표시</x:v>
      </x:c>
      <x:c r="L1910" s="2"/>
      <x:c r="M1910" s="2"/>
      <x:c r="N1910" s="8"/>
      <x:c r="O1910" s="2"/>
      <x:c r="P1910" s="2"/>
      <x:c r="Q1910" s="2" t="str">
        <x:v>산업전환_외부사업관리Tool_260707_이너젠 수정_LJY_261013.xlsx</x:v>
      </x:c>
      <x:c r="R1910" s="2" t="str">
        <x:v>국내인증</x:v>
      </x:c>
      <x:c r="S1910" s="8" t="n">
        <x:v>228</x:v>
      </x:c>
      <x:c r="T1910" s="2"/>
      <x:c r="U1910" s="2" t="str"/>
      <x:c r="V1910" s="2" t="str">
        <x:v>2019-06-26</x:v>
      </x:c>
      <x:c r="W1910" s="2" t="str">
        <x:v>신청일 확인 / 담당기관 확인</x:v>
      </x:c>
      <x:c r="X1910" s="2" t="str">
        <x:v>원본·배정 기록 확인</x:v>
      </x:c>
      <x:c r="Y1910" s="2" t="str">
        <x:v>ad210cd9ec132cfd447541c8984dc53d30aff0f4fb2dc92d254d49275cc55976</x:v>
      </x:c>
      <x:c r="Z1910" s="2" t="n">
        <x:f>SUBTOTAL(103,A1910)</x:f>
        <x:v>1</x:v>
      </x:c>
      <x:c r="AA1910" s="2" t="str">
        <x:f>IF(K1910&lt;&gt;"미종결 표시","대상 아님",IF(N1910="","신청일 확인",IF(NOT(ISNUMBER('종합 현황'!$H$5)),"관찰기준 확인",IF('종합 현황'!$H$5&lt;1,"관찰기준 확인",IF(N1910&gt;'종합 현황'!$H$5,"내부 관찰 대상","내부 관찰일 이하")))))</x:f>
        <x:v>대상 아님</x:v>
      </x:c>
      <x:c r="AB1910" s="2"/>
    </x:row>
    <x:row r="1911" ht="42" customHeight="1">
      <x:c r="A1911" s="2" t="str">
        <x:v>f80a0b92c96e9bf884dda1e7</x:v>
      </x:c>
      <x:c r="B1911" s="2" t="str">
        <x:v>감축량 인증</x:v>
      </x:c>
      <x:c r="C1911" s="2" t="str">
        <x:v>국내</x:v>
      </x:c>
      <x:c r="D1911" s="7" t="str">
        <x:v>광주 오치 주공 1단지 아파트 연료전환을 통한 온실가스 감축사업</x:v>
      </x:c>
      <x:c r="E1911" s="2" t="str">
        <x:v>151</x:v>
      </x:c>
      <x:c r="F1911" s="2"/>
      <x:c r="G1911" s="2" t="str">
        <x:v>미확보</x:v>
      </x:c>
      <x:c r="H1911" s="2" t="str">
        <x:v>미확보</x:v>
      </x:c>
      <x:c r="I1911" s="2" t="str">
        <x:v>심의승인</x:v>
      </x:c>
      <x:c r="J1911" s="2" t="str">
        <x:v>심의승인</x:v>
      </x:c>
      <x:c r="K1911" s="2" t="str">
        <x:f>IF(OR(J1911="심의승인",J1911="반려",J1911="반려완료",J1911="심의완료"),"종결 표시",IF(OR(J1911="기후부협의",J1911="문서재제출요청",J1911="보류",J1911="보완요청",J1911="보완완료",J1911="평가중",J1911="반려요청",J1911="평가필요",LEFT(J1911,5)="보완요청("),"미종결 표시","상태 확인 필요"))</x:f>
        <x:v>종결 표시</x:v>
      </x:c>
      <x:c r="L1911" s="2"/>
      <x:c r="M1911" s="2"/>
      <x:c r="N1911" s="8"/>
      <x:c r="O1911" s="2"/>
      <x:c r="P1911" s="2"/>
      <x:c r="Q1911" s="2" t="str">
        <x:v>산업전환_외부사업관리Tool_260707_이너젠 수정_LJY_261013.xlsx</x:v>
      </x:c>
      <x:c r="R1911" s="2" t="str">
        <x:v>국내인증</x:v>
      </x:c>
      <x:c r="S1911" s="8" t="n">
        <x:v>229</x:v>
      </x:c>
      <x:c r="T1911" s="2"/>
      <x:c r="U1911" s="2" t="str"/>
      <x:c r="V1911" s="2" t="str">
        <x:v>2019-06-26</x:v>
      </x:c>
      <x:c r="W1911" s="2" t="str">
        <x:v>신청일 확인 / 담당기관 확인</x:v>
      </x:c>
      <x:c r="X1911" s="2" t="str">
        <x:v>원본·배정 기록 확인</x:v>
      </x:c>
      <x:c r="Y1911" s="2" t="str">
        <x:v>ad210cd9ec132cfd447541c8984dc53d30aff0f4fb2dc92d254d49275cc55976</x:v>
      </x:c>
      <x:c r="Z1911" s="2" t="n">
        <x:f>SUBTOTAL(103,A1911)</x:f>
        <x:v>1</x:v>
      </x:c>
      <x:c r="AA1911" s="2" t="str">
        <x:f>IF(K1911&lt;&gt;"미종결 표시","대상 아님",IF(N1911="","신청일 확인",IF(NOT(ISNUMBER('종합 현황'!$H$5)),"관찰기준 확인",IF('종합 현황'!$H$5&lt;1,"관찰기준 확인",IF(N1911&gt;'종합 현황'!$H$5,"내부 관찰 대상","내부 관찰일 이하")))))</x:f>
        <x:v>대상 아님</x:v>
      </x:c>
      <x:c r="AB1911" s="2"/>
    </x:row>
    <x:row r="1912" ht="42" customHeight="1">
      <x:c r="A1912" s="2" t="str">
        <x:v>4c086c0dab1757d7b6c819cd</x:v>
      </x:c>
      <x:c r="B1912" s="2" t="str">
        <x:v>감축량 인증</x:v>
      </x:c>
      <x:c r="C1912" s="2" t="str">
        <x:v>국내</x:v>
      </x:c>
      <x:c r="D1912" s="7" t="str">
        <x:v>청라에너지(주) 미활용 소각폐열 회수를 통한 화석연료 사용 절감 및 온실가스 배출 감축사업</x:v>
      </x:c>
      <x:c r="E1912" s="2" t="str">
        <x:v>152</x:v>
      </x:c>
      <x:c r="F1912" s="2"/>
      <x:c r="G1912" s="2" t="str">
        <x:v>미확보</x:v>
      </x:c>
      <x:c r="H1912" s="2" t="str">
        <x:v>미확보</x:v>
      </x:c>
      <x:c r="I1912" s="2" t="str">
        <x:v>심의승인</x:v>
      </x:c>
      <x:c r="J1912" s="2" t="str">
        <x:v>심의승인</x:v>
      </x:c>
      <x:c r="K1912" s="2" t="str">
        <x:f>IF(OR(J1912="심의승인",J1912="반려",J1912="반려완료",J1912="심의완료"),"종결 표시",IF(OR(J1912="기후부협의",J1912="문서재제출요청",J1912="보류",J1912="보완요청",J1912="보완완료",J1912="평가중",J1912="반려요청",J1912="평가필요",LEFT(J1912,5)="보완요청("),"미종결 표시","상태 확인 필요"))</x:f>
        <x:v>종결 표시</x:v>
      </x:c>
      <x:c r="L1912" s="2"/>
      <x:c r="M1912" s="2"/>
      <x:c r="N1912" s="8"/>
      <x:c r="O1912" s="2"/>
      <x:c r="P1912" s="2"/>
      <x:c r="Q1912" s="2" t="str">
        <x:v>산업전환_외부사업관리Tool_260707_이너젠 수정_LJY_261013.xlsx</x:v>
      </x:c>
      <x:c r="R1912" s="2" t="str">
        <x:v>국내인증</x:v>
      </x:c>
      <x:c r="S1912" s="8" t="n">
        <x:v>230</x:v>
      </x:c>
      <x:c r="T1912" s="2"/>
      <x:c r="U1912" s="2" t="str"/>
      <x:c r="V1912" s="2" t="str">
        <x:v>2020-10-27</x:v>
      </x:c>
      <x:c r="W1912" s="2" t="str">
        <x:v>신청일 확인 / 담당기관 확인</x:v>
      </x:c>
      <x:c r="X1912" s="2" t="str">
        <x:v>원본·배정 기록 확인</x:v>
      </x:c>
      <x:c r="Y1912" s="2" t="str">
        <x:v>ad210cd9ec132cfd447541c8984dc53d30aff0f4fb2dc92d254d49275cc55976</x:v>
      </x:c>
      <x:c r="Z1912" s="2" t="n">
        <x:f>SUBTOTAL(103,A1912)</x:f>
        <x:v>1</x:v>
      </x:c>
      <x:c r="AA1912" s="2" t="str">
        <x:f>IF(K1912&lt;&gt;"미종결 표시","대상 아님",IF(N1912="","신청일 확인",IF(NOT(ISNUMBER('종합 현황'!$H$5)),"관찰기준 확인",IF('종합 현황'!$H$5&lt;1,"관찰기준 확인",IF(N1912&gt;'종합 현황'!$H$5,"내부 관찰 대상","내부 관찰일 이하")))))</x:f>
        <x:v>대상 아님</x:v>
      </x:c>
      <x:c r="AB1912" s="2"/>
    </x:row>
    <x:row r="1913" ht="42" customHeight="1">
      <x:c r="A1913" s="2" t="str">
        <x:v>62c5254b2ed14c7e4c57ad00</x:v>
      </x:c>
      <x:c r="B1913" s="2" t="str">
        <x:v>감축량 인증</x:v>
      </x:c>
      <x:c r="C1913" s="2" t="str">
        <x:v>국내</x:v>
      </x:c>
      <x:c r="D1913" s="7" t="str">
        <x:v>SF6 회수 및 재생사업</x:v>
      </x:c>
      <x:c r="E1913" s="2" t="str">
        <x:v>153</x:v>
      </x:c>
      <x:c r="F1913" s="2"/>
      <x:c r="G1913" s="2" t="str">
        <x:v>미확보</x:v>
      </x:c>
      <x:c r="H1913" s="2" t="str">
        <x:v>미확보</x:v>
      </x:c>
      <x:c r="I1913" s="2" t="str">
        <x:v>심의승인</x:v>
      </x:c>
      <x:c r="J1913" s="2" t="str">
        <x:v>심의승인</x:v>
      </x:c>
      <x:c r="K1913" s="2" t="str">
        <x:f>IF(OR(J1913="심의승인",J1913="반려",J1913="반려완료",J1913="심의완료"),"종결 표시",IF(OR(J1913="기후부협의",J1913="문서재제출요청",J1913="보류",J1913="보완요청",J1913="보완완료",J1913="평가중",J1913="반려요청",J1913="평가필요",LEFT(J1913,5)="보완요청("),"미종결 표시","상태 확인 필요"))</x:f>
        <x:v>종결 표시</x:v>
      </x:c>
      <x:c r="L1913" s="2"/>
      <x:c r="M1913" s="2"/>
      <x:c r="N1913" s="8"/>
      <x:c r="O1913" s="2"/>
      <x:c r="P1913" s="2"/>
      <x:c r="Q1913" s="2" t="str">
        <x:v>산업전환_외부사업관리Tool_260707_이너젠 수정_LJY_261013.xlsx</x:v>
      </x:c>
      <x:c r="R1913" s="2" t="str">
        <x:v>국내인증</x:v>
      </x:c>
      <x:c r="S1913" s="8" t="n">
        <x:v>231</x:v>
      </x:c>
      <x:c r="T1913" s="2"/>
      <x:c r="U1913" s="2" t="str"/>
      <x:c r="V1913" s="2" t="str">
        <x:v>2018-11-27</x:v>
      </x:c>
      <x:c r="W1913" s="2" t="str">
        <x:v>신청일 확인 / 담당기관 확인</x:v>
      </x:c>
      <x:c r="X1913" s="2" t="str">
        <x:v>원본·배정 기록 확인</x:v>
      </x:c>
      <x:c r="Y1913" s="2" t="str">
        <x:v>ad210cd9ec132cfd447541c8984dc53d30aff0f4fb2dc92d254d49275cc55976</x:v>
      </x:c>
      <x:c r="Z1913" s="2" t="n">
        <x:f>SUBTOTAL(103,A1913)</x:f>
        <x:v>1</x:v>
      </x:c>
      <x:c r="AA1913" s="2" t="str">
        <x:f>IF(K1913&lt;&gt;"미종결 표시","대상 아님",IF(N1913="","신청일 확인",IF(NOT(ISNUMBER('종합 현황'!$H$5)),"관찰기준 확인",IF('종합 현황'!$H$5&lt;1,"관찰기준 확인",IF(N1913&gt;'종합 현황'!$H$5,"내부 관찰 대상","내부 관찰일 이하")))))</x:f>
        <x:v>대상 아님</x:v>
      </x:c>
      <x:c r="AB1913" s="2"/>
    </x:row>
    <x:row r="1914" ht="42" customHeight="1">
      <x:c r="A1914" s="2" t="str">
        <x:v>f3392682877b0b21ba37f3d6</x:v>
      </x:c>
      <x:c r="B1914" s="2" t="str">
        <x:v>감축량 인증</x:v>
      </x:c>
      <x:c r="C1914" s="2" t="str">
        <x:v>국내</x:v>
      </x:c>
      <x:c r="D1914" s="7" t="str">
        <x:v>카프로 N2O 저감 사업</x:v>
      </x:c>
      <x:c r="E1914" s="2" t="str">
        <x:v>154</x:v>
      </x:c>
      <x:c r="F1914" s="2"/>
      <x:c r="G1914" s="2" t="str">
        <x:v>미확보</x:v>
      </x:c>
      <x:c r="H1914" s="2" t="str">
        <x:v>미확보</x:v>
      </x:c>
      <x:c r="I1914" s="2" t="str">
        <x:v>심의승인</x:v>
      </x:c>
      <x:c r="J1914" s="2" t="str">
        <x:v>심의승인</x:v>
      </x:c>
      <x:c r="K1914" s="2" t="str">
        <x:f>IF(OR(J1914="심의승인",J1914="반려",J1914="반려완료",J1914="심의완료"),"종결 표시",IF(OR(J1914="기후부협의",J1914="문서재제출요청",J1914="보류",J1914="보완요청",J1914="보완완료",J1914="평가중",J1914="반려요청",J1914="평가필요",LEFT(J1914,5)="보완요청("),"미종결 표시","상태 확인 필요"))</x:f>
        <x:v>종결 표시</x:v>
      </x:c>
      <x:c r="L1914" s="2"/>
      <x:c r="M1914" s="2"/>
      <x:c r="N1914" s="8"/>
      <x:c r="O1914" s="2"/>
      <x:c r="P1914" s="2"/>
      <x:c r="Q1914" s="2" t="str">
        <x:v>산업전환_외부사업관리Tool_260707_이너젠 수정_LJY_261013.xlsx</x:v>
      </x:c>
      <x:c r="R1914" s="2" t="str">
        <x:v>국내인증</x:v>
      </x:c>
      <x:c r="S1914" s="8" t="n">
        <x:v>232</x:v>
      </x:c>
      <x:c r="T1914" s="2"/>
      <x:c r="U1914" s="2" t="str"/>
      <x:c r="V1914" s="2" t="str">
        <x:v>2018-11-27</x:v>
      </x:c>
      <x:c r="W1914" s="2" t="str">
        <x:v>신청일 확인 / 담당기관 확인</x:v>
      </x:c>
      <x:c r="X1914" s="2" t="str">
        <x:v>원본·배정 기록 확인</x:v>
      </x:c>
      <x:c r="Y1914" s="2" t="str">
        <x:v>ad210cd9ec132cfd447541c8984dc53d30aff0f4fb2dc92d254d49275cc55976</x:v>
      </x:c>
      <x:c r="Z1914" s="2" t="n">
        <x:f>SUBTOTAL(103,A1914)</x:f>
        <x:v>1</x:v>
      </x:c>
      <x:c r="AA1914" s="2" t="str">
        <x:f>IF(K1914&lt;&gt;"미종결 표시","대상 아님",IF(N1914="","신청일 확인",IF(NOT(ISNUMBER('종합 현황'!$H$5)),"관찰기준 확인",IF('종합 현황'!$H$5&lt;1,"관찰기준 확인",IF(N1914&gt;'종합 현황'!$H$5,"내부 관찰 대상","내부 관찰일 이하")))))</x:f>
        <x:v>대상 아님</x:v>
      </x:c>
      <x:c r="AB1914" s="2"/>
    </x:row>
    <x:row r="1915" ht="42" customHeight="1">
      <x:c r="A1915" s="2" t="str">
        <x:v>46a263917668fe10a000a567</x:v>
      </x:c>
      <x:c r="B1915" s="2" t="str">
        <x:v>감축량 인증</x:v>
      </x:c>
      <x:c r="C1915" s="2" t="str">
        <x:v>국내</x:v>
      </x:c>
      <x:c r="D1915" s="7" t="str">
        <x:v>휴켐스(주) 신설 5질산에서 발생하는 아산화질소 배출량 저감사업</x:v>
      </x:c>
      <x:c r="E1915" s="2" t="str">
        <x:v>155</x:v>
      </x:c>
      <x:c r="F1915" s="2"/>
      <x:c r="G1915" s="2" t="str">
        <x:v>미확보</x:v>
      </x:c>
      <x:c r="H1915" s="2" t="str">
        <x:v>미확보</x:v>
      </x:c>
      <x:c r="I1915" s="2" t="str">
        <x:v>심의승인</x:v>
      </x:c>
      <x:c r="J1915" s="2" t="str">
        <x:v>심의승인</x:v>
      </x:c>
      <x:c r="K1915" s="2" t="str">
        <x:f>IF(OR(J1915="심의승인",J1915="반려",J1915="반려완료",J1915="심의완료"),"종결 표시",IF(OR(J1915="기후부협의",J1915="문서재제출요청",J1915="보류",J1915="보완요청",J1915="보완완료",J1915="평가중",J1915="반려요청",J1915="평가필요",LEFT(J1915,5)="보완요청("),"미종결 표시","상태 확인 필요"))</x:f>
        <x:v>종결 표시</x:v>
      </x:c>
      <x:c r="L1915" s="2"/>
      <x:c r="M1915" s="2"/>
      <x:c r="N1915" s="8"/>
      <x:c r="O1915" s="2"/>
      <x:c r="P1915" s="2"/>
      <x:c r="Q1915" s="2" t="str">
        <x:v>산업전환_외부사업관리Tool_260707_이너젠 수정_LJY_261013.xlsx</x:v>
      </x:c>
      <x:c r="R1915" s="2" t="str">
        <x:v>국내인증</x:v>
      </x:c>
      <x:c r="S1915" s="8" t="n">
        <x:v>233</x:v>
      </x:c>
      <x:c r="T1915" s="2"/>
      <x:c r="U1915" s="2" t="str"/>
      <x:c r="V1915" s="2" t="str">
        <x:v>2018-11-27</x:v>
      </x:c>
      <x:c r="W1915" s="2" t="str">
        <x:v>신청일 확인 / 담당기관 확인</x:v>
      </x:c>
      <x:c r="X1915" s="2" t="str">
        <x:v>원본·배정 기록 확인</x:v>
      </x:c>
      <x:c r="Y1915" s="2" t="str">
        <x:v>ad210cd9ec132cfd447541c8984dc53d30aff0f4fb2dc92d254d49275cc55976</x:v>
      </x:c>
      <x:c r="Z1915" s="2" t="n">
        <x:f>SUBTOTAL(103,A1915)</x:f>
        <x:v>1</x:v>
      </x:c>
      <x:c r="AA1915" s="2" t="str">
        <x:f>IF(K1915&lt;&gt;"미종결 표시","대상 아님",IF(N1915="","신청일 확인",IF(NOT(ISNUMBER('종합 현황'!$H$5)),"관찰기준 확인",IF('종합 현황'!$H$5&lt;1,"관찰기준 확인",IF(N1915&gt;'종합 현황'!$H$5,"내부 관찰 대상","내부 관찰일 이하")))))</x:f>
        <x:v>대상 아님</x:v>
      </x:c>
      <x:c r="AB1915" s="2"/>
    </x:row>
    <x:row r="1916" ht="42" customHeight="1">
      <x:c r="A1916" s="2" t="str">
        <x:v>10a6d12d22040e9c2f0ccf21</x:v>
      </x:c>
      <x:c r="B1916" s="2" t="str">
        <x:v>감축량 인증</x:v>
      </x:c>
      <x:c r="C1916" s="2" t="str">
        <x:v>국내</x:v>
      </x:c>
      <x:c r="D1916" s="7" t="str">
        <x:v>SF6 회수 및 재생사업</x:v>
      </x:c>
      <x:c r="E1916" s="2" t="str">
        <x:v>156</x:v>
      </x:c>
      <x:c r="F1916" s="2"/>
      <x:c r="G1916" s="2" t="str">
        <x:v>미확보</x:v>
      </x:c>
      <x:c r="H1916" s="2" t="str">
        <x:v>미확보</x:v>
      </x:c>
      <x:c r="I1916" s="2" t="str">
        <x:v>심의승인</x:v>
      </x:c>
      <x:c r="J1916" s="2" t="str">
        <x:v>심의승인</x:v>
      </x:c>
      <x:c r="K1916" s="2" t="str">
        <x:f>IF(OR(J1916="심의승인",J1916="반려",J1916="반려완료",J1916="심의완료"),"종결 표시",IF(OR(J1916="기후부협의",J1916="문서재제출요청",J1916="보류",J1916="보완요청",J1916="보완완료",J1916="평가중",J1916="반려요청",J1916="평가필요",LEFT(J1916,5)="보완요청("),"미종결 표시","상태 확인 필요"))</x:f>
        <x:v>종결 표시</x:v>
      </x:c>
      <x:c r="L1916" s="2"/>
      <x:c r="M1916" s="2"/>
      <x:c r="N1916" s="8"/>
      <x:c r="O1916" s="2"/>
      <x:c r="P1916" s="2"/>
      <x:c r="Q1916" s="2" t="str">
        <x:v>산업전환_외부사업관리Tool_260707_이너젠 수정_LJY_261013.xlsx</x:v>
      </x:c>
      <x:c r="R1916" s="2" t="str">
        <x:v>국내인증</x:v>
      </x:c>
      <x:c r="S1916" s="8" t="n">
        <x:v>234</x:v>
      </x:c>
      <x:c r="T1916" s="2"/>
      <x:c r="U1916" s="2" t="str"/>
      <x:c r="V1916" s="2" t="str">
        <x:v>2018-11-27</x:v>
      </x:c>
      <x:c r="W1916" s="2" t="str">
        <x:v>신청일 확인 / 담당기관 확인</x:v>
      </x:c>
      <x:c r="X1916" s="2" t="str">
        <x:v>원본·배정 기록 확인</x:v>
      </x:c>
      <x:c r="Y1916" s="2" t="str">
        <x:v>ad210cd9ec132cfd447541c8984dc53d30aff0f4fb2dc92d254d49275cc55976</x:v>
      </x:c>
      <x:c r="Z1916" s="2" t="n">
        <x:f>SUBTOTAL(103,A1916)</x:f>
        <x:v>1</x:v>
      </x:c>
      <x:c r="AA1916" s="2" t="str">
        <x:f>IF(K1916&lt;&gt;"미종결 표시","대상 아님",IF(N1916="","신청일 확인",IF(NOT(ISNUMBER('종합 현황'!$H$5)),"관찰기준 확인",IF('종합 현황'!$H$5&lt;1,"관찰기준 확인",IF(N1916&gt;'종합 현황'!$H$5,"내부 관찰 대상","내부 관찰일 이하")))))</x:f>
        <x:v>대상 아님</x:v>
      </x:c>
      <x:c r="AB1916" s="2"/>
    </x:row>
    <x:row r="1917" ht="42" customHeight="1">
      <x:c r="A1917" s="2" t="str">
        <x:v>4507e73d5eb8d3b5384354b7</x:v>
      </x:c>
      <x:c r="B1917" s="2" t="str">
        <x:v>감축량 인증</x:v>
      </x:c>
      <x:c r="C1917" s="2" t="str">
        <x:v>국내</x:v>
      </x:c>
      <x:c r="D1917" s="7" t="str">
        <x:v>휴켐스 질산공장 N2O 감축사업(휴켐스 주식회사의 질산 공장 세곡에서 tail gas에 포한된 아산화질소를 촉매를 사용하여 제거하는 프로젝트)</x:v>
      </x:c>
      <x:c r="E1917" s="2" t="str">
        <x:v>157</x:v>
      </x:c>
      <x:c r="F1917" s="2"/>
      <x:c r="G1917" s="2" t="str">
        <x:v>미확보</x:v>
      </x:c>
      <x:c r="H1917" s="2" t="str">
        <x:v>미확보</x:v>
      </x:c>
      <x:c r="I1917" s="2" t="str">
        <x:v>심의승인</x:v>
      </x:c>
      <x:c r="J1917" s="2" t="str">
        <x:v>심의승인</x:v>
      </x:c>
      <x:c r="K1917" s="2" t="str">
        <x:f>IF(OR(J1917="심의승인",J1917="반려",J1917="반려완료",J1917="심의완료"),"종결 표시",IF(OR(J1917="기후부협의",J1917="문서재제출요청",J1917="보류",J1917="보완요청",J1917="보완완료",J1917="평가중",J1917="반려요청",J1917="평가필요",LEFT(J1917,5)="보완요청("),"미종결 표시","상태 확인 필요"))</x:f>
        <x:v>종결 표시</x:v>
      </x:c>
      <x:c r="L1917" s="2"/>
      <x:c r="M1917" s="2"/>
      <x:c r="N1917" s="8"/>
      <x:c r="O1917" s="2"/>
      <x:c r="P1917" s="2"/>
      <x:c r="Q1917" s="2" t="str">
        <x:v>산업전환_외부사업관리Tool_260707_이너젠 수정_LJY_261013.xlsx</x:v>
      </x:c>
      <x:c r="R1917" s="2" t="str">
        <x:v>국내인증</x:v>
      </x:c>
      <x:c r="S1917" s="8" t="n">
        <x:v>235</x:v>
      </x:c>
      <x:c r="T1917" s="2"/>
      <x:c r="U1917" s="2" t="str"/>
      <x:c r="V1917" s="2" t="str">
        <x:v>2018-11-27</x:v>
      </x:c>
      <x:c r="W1917" s="2" t="str">
        <x:v>신청일 확인 / 담당기관 확인</x:v>
      </x:c>
      <x:c r="X1917" s="2" t="str">
        <x:v>원본·배정 기록 확인</x:v>
      </x:c>
      <x:c r="Y1917" s="2" t="str">
        <x:v>ad210cd9ec132cfd447541c8984dc53d30aff0f4fb2dc92d254d49275cc55976</x:v>
      </x:c>
      <x:c r="Z1917" s="2" t="n">
        <x:f>SUBTOTAL(103,A1917)</x:f>
        <x:v>1</x:v>
      </x:c>
      <x:c r="AA1917" s="2" t="str">
        <x:f>IF(K1917&lt;&gt;"미종결 표시","대상 아님",IF(N1917="","신청일 확인",IF(NOT(ISNUMBER('종합 현황'!$H$5)),"관찰기준 확인",IF('종합 현황'!$H$5&lt;1,"관찰기준 확인",IF(N1917&gt;'종합 현황'!$H$5,"내부 관찰 대상","내부 관찰일 이하")))))</x:f>
        <x:v>대상 아님</x:v>
      </x:c>
      <x:c r="AB1917" s="2"/>
    </x:row>
    <x:row r="1918" ht="42" customHeight="1">
      <x:c r="A1918" s="2" t="str">
        <x:v>07cf1a752c9b0e6dd571c628</x:v>
      </x:c>
      <x:c r="B1918" s="2" t="str">
        <x:v>감축량 인증</x:v>
      </x:c>
      <x:c r="C1918" s="2" t="str">
        <x:v>국내</x:v>
      </x:c>
      <x:c r="D1918" s="7" t="str">
        <x:v>카프로 N2O 저감 사업</x:v>
      </x:c>
      <x:c r="E1918" s="2" t="str">
        <x:v>158</x:v>
      </x:c>
      <x:c r="F1918" s="2"/>
      <x:c r="G1918" s="2" t="str">
        <x:v>미확보</x:v>
      </x:c>
      <x:c r="H1918" s="2" t="str">
        <x:v>미확보</x:v>
      </x:c>
      <x:c r="I1918" s="2" t="str">
        <x:v>심의승인</x:v>
      </x:c>
      <x:c r="J1918" s="2" t="str">
        <x:v>심의승인</x:v>
      </x:c>
      <x:c r="K1918" s="2" t="str">
        <x:f>IF(OR(J1918="심의승인",J1918="반려",J1918="반려완료",J1918="심의완료"),"종결 표시",IF(OR(J1918="기후부협의",J1918="문서재제출요청",J1918="보류",J1918="보완요청",J1918="보완완료",J1918="평가중",J1918="반려요청",J1918="평가필요",LEFT(J1918,5)="보완요청("),"미종결 표시","상태 확인 필요"))</x:f>
        <x:v>종결 표시</x:v>
      </x:c>
      <x:c r="L1918" s="2"/>
      <x:c r="M1918" s="2"/>
      <x:c r="N1918" s="8"/>
      <x:c r="O1918" s="2"/>
      <x:c r="P1918" s="2"/>
      <x:c r="Q1918" s="2" t="str">
        <x:v>산업전환_외부사업관리Tool_260707_이너젠 수정_LJY_261013.xlsx</x:v>
      </x:c>
      <x:c r="R1918" s="2" t="str">
        <x:v>국내인증</x:v>
      </x:c>
      <x:c r="S1918" s="8" t="n">
        <x:v>236</x:v>
      </x:c>
      <x:c r="T1918" s="2"/>
      <x:c r="U1918" s="2" t="str"/>
      <x:c r="V1918" s="2" t="str">
        <x:v>2018-11-27</x:v>
      </x:c>
      <x:c r="W1918" s="2" t="str">
        <x:v>신청일 확인 / 담당기관 확인</x:v>
      </x:c>
      <x:c r="X1918" s="2" t="str">
        <x:v>원본·배정 기록 확인</x:v>
      </x:c>
      <x:c r="Y1918" s="2" t="str">
        <x:v>ad210cd9ec132cfd447541c8984dc53d30aff0f4fb2dc92d254d49275cc55976</x:v>
      </x:c>
      <x:c r="Z1918" s="2" t="n">
        <x:f>SUBTOTAL(103,A1918)</x:f>
        <x:v>1</x:v>
      </x:c>
      <x:c r="AA1918" s="2" t="str">
        <x:f>IF(K1918&lt;&gt;"미종결 표시","대상 아님",IF(N1918="","신청일 확인",IF(NOT(ISNUMBER('종합 현황'!$H$5)),"관찰기준 확인",IF('종합 현황'!$H$5&lt;1,"관찰기준 확인",IF(N1918&gt;'종합 현황'!$H$5,"내부 관찰 대상","내부 관찰일 이하")))))</x:f>
        <x:v>대상 아님</x:v>
      </x:c>
      <x:c r="AB1918" s="2"/>
    </x:row>
    <x:row r="1919" ht="42" customHeight="1">
      <x:c r="A1919" s="2" t="str">
        <x:v>3df4df7b4989d223bfe5d6d5</x:v>
      </x:c>
      <x:c r="B1919" s="2" t="str">
        <x:v>감축량 인증</x:v>
      </x:c>
      <x:c r="C1919" s="2" t="str">
        <x:v>국내</x:v>
      </x:c>
      <x:c r="D1919" s="7" t="str">
        <x:v>휴켐스 질산공장 N2O 감축사업(휴켐스 주식회사의 질산 공장 세 곳에서 tail gas에 포함된 아산화질소를 촉매를 사용하여 제거하는 프로젝트)</x:v>
      </x:c>
      <x:c r="E1919" s="2" t="str">
        <x:v>159</x:v>
      </x:c>
      <x:c r="F1919" s="2"/>
      <x:c r="G1919" s="2" t="str">
        <x:v>미확보</x:v>
      </x:c>
      <x:c r="H1919" s="2" t="str">
        <x:v>미확보</x:v>
      </x:c>
      <x:c r="I1919" s="2" t="str">
        <x:v>심의승인</x:v>
      </x:c>
      <x:c r="J1919" s="2" t="str">
        <x:v>심의승인</x:v>
      </x:c>
      <x:c r="K1919" s="2" t="str">
        <x:f>IF(OR(J1919="심의승인",J1919="반려",J1919="반려완료",J1919="심의완료"),"종결 표시",IF(OR(J1919="기후부협의",J1919="문서재제출요청",J1919="보류",J1919="보완요청",J1919="보완완료",J1919="평가중",J1919="반려요청",J1919="평가필요",LEFT(J1919,5)="보완요청("),"미종결 표시","상태 확인 필요"))</x:f>
        <x:v>종결 표시</x:v>
      </x:c>
      <x:c r="L1919" s="2"/>
      <x:c r="M1919" s="2"/>
      <x:c r="N1919" s="8"/>
      <x:c r="O1919" s="2"/>
      <x:c r="P1919" s="2"/>
      <x:c r="Q1919" s="2" t="str">
        <x:v>산업전환_외부사업관리Tool_260707_이너젠 수정_LJY_261013.xlsx</x:v>
      </x:c>
      <x:c r="R1919" s="2" t="str">
        <x:v>국내인증</x:v>
      </x:c>
      <x:c r="S1919" s="8" t="n">
        <x:v>237</x:v>
      </x:c>
      <x:c r="T1919" s="2"/>
      <x:c r="U1919" s="2" t="str"/>
      <x:c r="V1919" s="2" t="str">
        <x:v>2018-11-27</x:v>
      </x:c>
      <x:c r="W1919" s="2" t="str">
        <x:v>신청일 확인 / 담당기관 확인</x:v>
      </x:c>
      <x:c r="X1919" s="2" t="str">
        <x:v>원본·배정 기록 확인</x:v>
      </x:c>
      <x:c r="Y1919" s="2" t="str">
        <x:v>ad210cd9ec132cfd447541c8984dc53d30aff0f4fb2dc92d254d49275cc55976</x:v>
      </x:c>
      <x:c r="Z1919" s="2" t="n">
        <x:f>SUBTOTAL(103,A1919)</x:f>
        <x:v>1</x:v>
      </x:c>
      <x:c r="AA1919" s="2" t="str">
        <x:f>IF(K1919&lt;&gt;"미종결 표시","대상 아님",IF(N1919="","신청일 확인",IF(NOT(ISNUMBER('종합 현황'!$H$5)),"관찰기준 확인",IF('종합 현황'!$H$5&lt;1,"관찰기준 확인",IF(N1919&gt;'종합 현황'!$H$5,"내부 관찰 대상","내부 관찰일 이하")))))</x:f>
        <x:v>대상 아님</x:v>
      </x:c>
      <x:c r="AB1919" s="2"/>
    </x:row>
    <x:row r="1920" ht="42" customHeight="1">
      <x:c r="A1920" s="2" t="str">
        <x:v>d214aab95ca7e94f225f5c4c</x:v>
      </x:c>
      <x:c r="B1920" s="2" t="str">
        <x:v>감축량 인증</x:v>
      </x:c>
      <x:c r="C1920" s="2" t="str">
        <x:v>국내</x:v>
      </x:c>
      <x:c r="D1920" s="7" t="str">
        <x:v>휴켐스(주) 신설 5질산에서 발생하는 아산화질소 배출량 저감사업</x:v>
      </x:c>
      <x:c r="E1920" s="2" t="str">
        <x:v>160</x:v>
      </x:c>
      <x:c r="F1920" s="2"/>
      <x:c r="G1920" s="2" t="str">
        <x:v>미확보</x:v>
      </x:c>
      <x:c r="H1920" s="2" t="str">
        <x:v>미확보</x:v>
      </x:c>
      <x:c r="I1920" s="2" t="str">
        <x:v>심의승인</x:v>
      </x:c>
      <x:c r="J1920" s="2" t="str">
        <x:v>심의승인</x:v>
      </x:c>
      <x:c r="K1920" s="2" t="str">
        <x:f>IF(OR(J1920="심의승인",J1920="반려",J1920="반려완료",J1920="심의완료"),"종결 표시",IF(OR(J1920="기후부협의",J1920="문서재제출요청",J1920="보류",J1920="보완요청",J1920="보완완료",J1920="평가중",J1920="반려요청",J1920="평가필요",LEFT(J1920,5)="보완요청("),"미종결 표시","상태 확인 필요"))</x:f>
        <x:v>종결 표시</x:v>
      </x:c>
      <x:c r="L1920" s="2"/>
      <x:c r="M1920" s="2"/>
      <x:c r="N1920" s="8"/>
      <x:c r="O1920" s="2"/>
      <x:c r="P1920" s="2"/>
      <x:c r="Q1920" s="2" t="str">
        <x:v>산업전환_외부사업관리Tool_260707_이너젠 수정_LJY_261013.xlsx</x:v>
      </x:c>
      <x:c r="R1920" s="2" t="str">
        <x:v>국내인증</x:v>
      </x:c>
      <x:c r="S1920" s="8" t="n">
        <x:v>238</x:v>
      </x:c>
      <x:c r="T1920" s="2"/>
      <x:c r="U1920" s="2" t="str"/>
      <x:c r="V1920" s="2" t="str">
        <x:v>2018-11-27</x:v>
      </x:c>
      <x:c r="W1920" s="2" t="str">
        <x:v>신청일 확인 / 담당기관 확인</x:v>
      </x:c>
      <x:c r="X1920" s="2" t="str">
        <x:v>원본·배정 기록 확인</x:v>
      </x:c>
      <x:c r="Y1920" s="2" t="str">
        <x:v>ad210cd9ec132cfd447541c8984dc53d30aff0f4fb2dc92d254d49275cc55976</x:v>
      </x:c>
      <x:c r="Z1920" s="2" t="n">
        <x:f>SUBTOTAL(103,A1920)</x:f>
        <x:v>1</x:v>
      </x:c>
      <x:c r="AA1920" s="2" t="str">
        <x:f>IF(K1920&lt;&gt;"미종결 표시","대상 아님",IF(N1920="","신청일 확인",IF(NOT(ISNUMBER('종합 현황'!$H$5)),"관찰기준 확인",IF('종합 현황'!$H$5&lt;1,"관찰기준 확인",IF(N1920&gt;'종합 현황'!$H$5,"내부 관찰 대상","내부 관찰일 이하")))))</x:f>
        <x:v>대상 아님</x:v>
      </x:c>
      <x:c r="AB1920" s="2"/>
    </x:row>
    <x:row r="1921" ht="42" customHeight="1">
      <x:c r="A1921" s="2" t="str">
        <x:v>f9b250c38d73ef78157e0ca1</x:v>
      </x:c>
      <x:c r="B1921" s="2" t="str">
        <x:v>감축량 인증</x:v>
      </x:c>
      <x:c r="C1921" s="2" t="str">
        <x:v>국내</x:v>
      </x:c>
      <x:c r="D1921" s="7" t="str">
        <x:v>(주)한화 울산소재 질산공장 N2O 감축 프로젝트</x:v>
      </x:c>
      <x:c r="E1921" s="2" t="str">
        <x:v>161</x:v>
      </x:c>
      <x:c r="F1921" s="2"/>
      <x:c r="G1921" s="2" t="str">
        <x:v>미확보</x:v>
      </x:c>
      <x:c r="H1921" s="2" t="str">
        <x:v>미확보</x:v>
      </x:c>
      <x:c r="I1921" s="2" t="str">
        <x:v>검토반려</x:v>
      </x:c>
      <x:c r="J1921" s="2" t="str">
        <x:v>반려</x:v>
      </x:c>
      <x:c r="K1921" s="2" t="str">
        <x:f>IF(OR(J1921="심의승인",J1921="반려",J1921="반려완료",J1921="심의완료"),"종결 표시",IF(OR(J1921="기후부협의",J1921="문서재제출요청",J1921="보류",J1921="보완요청",J1921="보완완료",J1921="평가중",J1921="반려요청",J1921="평가필요",LEFT(J1921,5)="보완요청("),"미종결 표시","상태 확인 필요"))</x:f>
        <x:v>종결 표시</x:v>
      </x:c>
      <x:c r="L1921" s="2"/>
      <x:c r="M1921" s="2"/>
      <x:c r="N1921" s="8"/>
      <x:c r="O1921" s="2"/>
      <x:c r="P1921" s="2"/>
      <x:c r="Q1921" s="2" t="str">
        <x:v>산업전환_외부사업관리Tool_260707_이너젠 수정_LJY_261013.xlsx</x:v>
      </x:c>
      <x:c r="R1921" s="2" t="str">
        <x:v>국내인증</x:v>
      </x:c>
      <x:c r="S1921" s="8" t="n">
        <x:v>239</x:v>
      </x:c>
      <x:c r="T1921" s="2"/>
      <x:c r="U1921" s="2" t="str"/>
      <x:c r="V1921" s="2" t="str">
        <x:v>2018-08-22</x:v>
      </x:c>
      <x:c r="W1921" s="2" t="str">
        <x:v>신청일 확인 / 담당기관 확인</x:v>
      </x:c>
      <x:c r="X1921" s="2" t="str">
        <x:v>원본·배정 기록 확인</x:v>
      </x:c>
      <x:c r="Y1921" s="2" t="str">
        <x:v>ad210cd9ec132cfd447541c8984dc53d30aff0f4fb2dc92d254d49275cc55976</x:v>
      </x:c>
      <x:c r="Z1921" s="2" t="n">
        <x:f>SUBTOTAL(103,A1921)</x:f>
        <x:v>1</x:v>
      </x:c>
      <x:c r="AA1921" s="2" t="str">
        <x:f>IF(K1921&lt;&gt;"미종결 표시","대상 아님",IF(N1921="","신청일 확인",IF(NOT(ISNUMBER('종합 현황'!$H$5)),"관찰기준 확인",IF('종합 현황'!$H$5&lt;1,"관찰기준 확인",IF(N1921&gt;'종합 현황'!$H$5,"내부 관찰 대상","내부 관찰일 이하")))))</x:f>
        <x:v>대상 아님</x:v>
      </x:c>
      <x:c r="AB1921" s="2"/>
    </x:row>
    <x:row r="1922" ht="42" customHeight="1">
      <x:c r="A1922" s="2" t="str">
        <x:v>78cca40564a9ecad337bdc21</x:v>
      </x:c>
      <x:c r="B1922" s="2" t="str">
        <x:v>감축량 인증</x:v>
      </x:c>
      <x:c r="C1922" s="2" t="str">
        <x:v>국내</x:v>
      </x:c>
      <x:c r="D1922" s="7" t="str">
        <x:v>K-water 소수력발전 1번들 CDM</x:v>
      </x:c>
      <x:c r="E1922" s="2" t="str">
        <x:v>162</x:v>
      </x:c>
      <x:c r="F1922" s="2"/>
      <x:c r="G1922" s="2" t="str">
        <x:v>미확보</x:v>
      </x:c>
      <x:c r="H1922" s="2" t="str">
        <x:v>미확보</x:v>
      </x:c>
      <x:c r="I1922" s="2" t="str">
        <x:v>심의승인</x:v>
      </x:c>
      <x:c r="J1922" s="2" t="str">
        <x:v>심의승인</x:v>
      </x:c>
      <x:c r="K1922" s="2" t="str">
        <x:f>IF(OR(J1922="심의승인",J1922="반려",J1922="반려완료",J1922="심의완료"),"종결 표시",IF(OR(J1922="기후부협의",J1922="문서재제출요청",J1922="보류",J1922="보완요청",J1922="보완완료",J1922="평가중",J1922="반려요청",J1922="평가필요",LEFT(J1922,5)="보완요청("),"미종결 표시","상태 확인 필요"))</x:f>
        <x:v>종결 표시</x:v>
      </x:c>
      <x:c r="L1922" s="2"/>
      <x:c r="M1922" s="2"/>
      <x:c r="N1922" s="8"/>
      <x:c r="O1922" s="2"/>
      <x:c r="P1922" s="2"/>
      <x:c r="Q1922" s="2" t="str">
        <x:v>산업전환_외부사업관리Tool_260707_이너젠 수정_LJY_261013.xlsx</x:v>
      </x:c>
      <x:c r="R1922" s="2" t="str">
        <x:v>국내인증</x:v>
      </x:c>
      <x:c r="S1922" s="8" t="n">
        <x:v>240</x:v>
      </x:c>
      <x:c r="T1922" s="2"/>
      <x:c r="U1922" s="2" t="str"/>
      <x:c r="V1922" s="2" t="str">
        <x:v>2018-11-27</x:v>
      </x:c>
      <x:c r="W1922" s="2" t="str">
        <x:v>신청일 확인 / 담당기관 확인</x:v>
      </x:c>
      <x:c r="X1922" s="2" t="str">
        <x:v>원본·배정 기록 확인</x:v>
      </x:c>
      <x:c r="Y1922" s="2" t="str">
        <x:v>ad210cd9ec132cfd447541c8984dc53d30aff0f4fb2dc92d254d49275cc55976</x:v>
      </x:c>
      <x:c r="Z1922" s="2" t="n">
        <x:f>SUBTOTAL(103,A1922)</x:f>
        <x:v>1</x:v>
      </x:c>
      <x:c r="AA1922" s="2" t="str">
        <x:f>IF(K1922&lt;&gt;"미종결 표시","대상 아님",IF(N1922="","신청일 확인",IF(NOT(ISNUMBER('종합 현황'!$H$5)),"관찰기준 확인",IF('종합 현황'!$H$5&lt;1,"관찰기준 확인",IF(N1922&gt;'종합 현황'!$H$5,"내부 관찰 대상","내부 관찰일 이하")))))</x:f>
        <x:v>대상 아님</x:v>
      </x:c>
      <x:c r="AB1922" s="2"/>
    </x:row>
    <x:row r="1923" ht="42" customHeight="1">
      <x:c r="A1923" s="2" t="str">
        <x:v>283c2da3f44b929d0bf5b354</x:v>
      </x:c>
      <x:c r="B1923" s="2" t="str">
        <x:v>감축량 인증</x:v>
      </x:c>
      <x:c r="C1923" s="2" t="str">
        <x:v>국내</x:v>
      </x:c>
      <x:c r="D1923" s="7" t="str">
        <x:v>K-water 소수력2번들 CDM</x:v>
      </x:c>
      <x:c r="E1923" s="2" t="str">
        <x:v>163</x:v>
      </x:c>
      <x:c r="F1923" s="2"/>
      <x:c r="G1923" s="2" t="str">
        <x:v>미확보</x:v>
      </x:c>
      <x:c r="H1923" s="2" t="str">
        <x:v>미확보</x:v>
      </x:c>
      <x:c r="I1923" s="2" t="str">
        <x:v>심의승인</x:v>
      </x:c>
      <x:c r="J1923" s="2" t="str">
        <x:v>심의승인</x:v>
      </x:c>
      <x:c r="K1923" s="2" t="str">
        <x:f>IF(OR(J1923="심의승인",J1923="반려",J1923="반려완료",J1923="심의완료"),"종결 표시",IF(OR(J1923="기후부협의",J1923="문서재제출요청",J1923="보류",J1923="보완요청",J1923="보완완료",J1923="평가중",J1923="반려요청",J1923="평가필요",LEFT(J1923,5)="보완요청("),"미종결 표시","상태 확인 필요"))</x:f>
        <x:v>종결 표시</x:v>
      </x:c>
      <x:c r="L1923" s="2"/>
      <x:c r="M1923" s="2"/>
      <x:c r="N1923" s="8"/>
      <x:c r="O1923" s="2"/>
      <x:c r="P1923" s="2"/>
      <x:c r="Q1923" s="2" t="str">
        <x:v>산업전환_외부사업관리Tool_260707_이너젠 수정_LJY_261013.xlsx</x:v>
      </x:c>
      <x:c r="R1923" s="2" t="str">
        <x:v>국내인증</x:v>
      </x:c>
      <x:c r="S1923" s="8" t="n">
        <x:v>241</x:v>
      </x:c>
      <x:c r="T1923" s="2"/>
      <x:c r="U1923" s="2" t="str"/>
      <x:c r="V1923" s="2" t="str">
        <x:v>2018-11-27</x:v>
      </x:c>
      <x:c r="W1923" s="2" t="str">
        <x:v>신청일 확인 / 담당기관 확인</x:v>
      </x:c>
      <x:c r="X1923" s="2" t="str">
        <x:v>원본·배정 기록 확인</x:v>
      </x:c>
      <x:c r="Y1923" s="2" t="str">
        <x:v>ad210cd9ec132cfd447541c8984dc53d30aff0f4fb2dc92d254d49275cc55976</x:v>
      </x:c>
      <x:c r="Z1923" s="2" t="n">
        <x:f>SUBTOTAL(103,A1923)</x:f>
        <x:v>1</x:v>
      </x:c>
      <x:c r="AA1923" s="2" t="str">
        <x:f>IF(K1923&lt;&gt;"미종결 표시","대상 아님",IF(N1923="","신청일 확인",IF(NOT(ISNUMBER('종합 현황'!$H$5)),"관찰기준 확인",IF('종합 현황'!$H$5&lt;1,"관찰기준 확인",IF(N1923&gt;'종합 현황'!$H$5,"내부 관찰 대상","내부 관찰일 이하")))))</x:f>
        <x:v>대상 아님</x:v>
      </x:c>
      <x:c r="AB1923" s="2"/>
    </x:row>
    <x:row r="1924" ht="42" customHeight="1">
      <x:c r="A1924" s="2" t="str">
        <x:v>bf0db3d1bacdacfde9127bbe</x:v>
      </x:c>
      <x:c r="B1924" s="2" t="str">
        <x:v>감축량 인증</x:v>
      </x:c>
      <x:c r="C1924" s="2" t="str">
        <x:v>국내</x:v>
      </x:c>
      <x:c r="D1924" s="7" t="str">
        <x:v>K-water 소수력발전 3번들 CDM</x:v>
      </x:c>
      <x:c r="E1924" s="2" t="str">
        <x:v>164</x:v>
      </x:c>
      <x:c r="F1924" s="2"/>
      <x:c r="G1924" s="2" t="str">
        <x:v>미확보</x:v>
      </x:c>
      <x:c r="H1924" s="2" t="str">
        <x:v>미확보</x:v>
      </x:c>
      <x:c r="I1924" s="2" t="str">
        <x:v>심의승인</x:v>
      </x:c>
      <x:c r="J1924" s="2" t="str">
        <x:v>심의승인</x:v>
      </x:c>
      <x:c r="K1924" s="2" t="str">
        <x:f>IF(OR(J1924="심의승인",J1924="반려",J1924="반려완료",J1924="심의완료"),"종결 표시",IF(OR(J1924="기후부협의",J1924="문서재제출요청",J1924="보류",J1924="보완요청",J1924="보완완료",J1924="평가중",J1924="반려요청",J1924="평가필요",LEFT(J1924,5)="보완요청("),"미종결 표시","상태 확인 필요"))</x:f>
        <x:v>종결 표시</x:v>
      </x:c>
      <x:c r="L1924" s="2"/>
      <x:c r="M1924" s="2"/>
      <x:c r="N1924" s="8"/>
      <x:c r="O1924" s="2"/>
      <x:c r="P1924" s="2"/>
      <x:c r="Q1924" s="2" t="str">
        <x:v>산업전환_외부사업관리Tool_260707_이너젠 수정_LJY_261013.xlsx</x:v>
      </x:c>
      <x:c r="R1924" s="2" t="str">
        <x:v>국내인증</x:v>
      </x:c>
      <x:c r="S1924" s="8" t="n">
        <x:v>242</x:v>
      </x:c>
      <x:c r="T1924" s="2"/>
      <x:c r="U1924" s="2" t="str"/>
      <x:c r="V1924" s="2" t="str">
        <x:v>2018-11-27</x:v>
      </x:c>
      <x:c r="W1924" s="2" t="str">
        <x:v>신청일 확인 / 담당기관 확인</x:v>
      </x:c>
      <x:c r="X1924" s="2" t="str">
        <x:v>원본·배정 기록 확인</x:v>
      </x:c>
      <x:c r="Y1924" s="2" t="str">
        <x:v>ad210cd9ec132cfd447541c8984dc53d30aff0f4fb2dc92d254d49275cc55976</x:v>
      </x:c>
      <x:c r="Z1924" s="2" t="n">
        <x:f>SUBTOTAL(103,A1924)</x:f>
        <x:v>1</x:v>
      </x:c>
      <x:c r="AA1924" s="2" t="str">
        <x:f>IF(K1924&lt;&gt;"미종결 표시","대상 아님",IF(N1924="","신청일 확인",IF(NOT(ISNUMBER('종합 현황'!$H$5)),"관찰기준 확인",IF('종합 현황'!$H$5&lt;1,"관찰기준 확인",IF(N1924&gt;'종합 현황'!$H$5,"내부 관찰 대상","내부 관찰일 이하")))))</x:f>
        <x:v>대상 아님</x:v>
      </x:c>
      <x:c r="AB1924" s="2"/>
    </x:row>
    <x:row r="1925" ht="42" customHeight="1">
      <x:c r="A1925" s="2" t="str">
        <x:v>0d0fc084f968624c4ee01bf4</x:v>
      </x:c>
      <x:c r="B1925" s="2" t="str">
        <x:v>감축량 인증</x:v>
      </x:c>
      <x:c r="C1925" s="2" t="str">
        <x:v>국내</x:v>
      </x:c>
      <x:c r="D1925" s="7" t="str">
        <x:v>(주)한화 울산소재 질산공장 N2O 감축 프로젝트</x:v>
      </x:c>
      <x:c r="E1925" s="2" t="str">
        <x:v>165</x:v>
      </x:c>
      <x:c r="F1925" s="2"/>
      <x:c r="G1925" s="2" t="str">
        <x:v>미확보</x:v>
      </x:c>
      <x:c r="H1925" s="2" t="str">
        <x:v>미확보</x:v>
      </x:c>
      <x:c r="I1925" s="2" t="str">
        <x:v>심의승인</x:v>
      </x:c>
      <x:c r="J1925" s="2" t="str">
        <x:v>심의승인</x:v>
      </x:c>
      <x:c r="K1925" s="2" t="str">
        <x:f>IF(OR(J1925="심의승인",J1925="반려",J1925="반려완료",J1925="심의완료"),"종결 표시",IF(OR(J1925="기후부협의",J1925="문서재제출요청",J1925="보류",J1925="보완요청",J1925="보완완료",J1925="평가중",J1925="반려요청",J1925="평가필요",LEFT(J1925,5)="보완요청("),"미종결 표시","상태 확인 필요"))</x:f>
        <x:v>종결 표시</x:v>
      </x:c>
      <x:c r="L1925" s="2"/>
      <x:c r="M1925" s="2"/>
      <x:c r="N1925" s="8"/>
      <x:c r="O1925" s="2"/>
      <x:c r="P1925" s="2"/>
      <x:c r="Q1925" s="2" t="str">
        <x:v>산업전환_외부사업관리Tool_260707_이너젠 수정_LJY_261013.xlsx</x:v>
      </x:c>
      <x:c r="R1925" s="2" t="str">
        <x:v>국내인증</x:v>
      </x:c>
      <x:c r="S1925" s="8" t="n">
        <x:v>243</x:v>
      </x:c>
      <x:c r="T1925" s="2"/>
      <x:c r="U1925" s="2" t="str"/>
      <x:c r="V1925" s="2" t="str">
        <x:v>2018-11-27</x:v>
      </x:c>
      <x:c r="W1925" s="2" t="str">
        <x:v>신청일 확인 / 담당기관 확인</x:v>
      </x:c>
      <x:c r="X1925" s="2" t="str">
        <x:v>원본·배정 기록 확인</x:v>
      </x:c>
      <x:c r="Y1925" s="2" t="str">
        <x:v>ad210cd9ec132cfd447541c8984dc53d30aff0f4fb2dc92d254d49275cc55976</x:v>
      </x:c>
      <x:c r="Z1925" s="2" t="n">
        <x:f>SUBTOTAL(103,A1925)</x:f>
        <x:v>1</x:v>
      </x:c>
      <x:c r="AA1925" s="2" t="str">
        <x:f>IF(K1925&lt;&gt;"미종결 표시","대상 아님",IF(N1925="","신청일 확인",IF(NOT(ISNUMBER('종합 현황'!$H$5)),"관찰기준 확인",IF('종합 현황'!$H$5&lt;1,"관찰기준 확인",IF(N1925&gt;'종합 현황'!$H$5,"내부 관찰 대상","내부 관찰일 이하")))))</x:f>
        <x:v>대상 아님</x:v>
      </x:c>
      <x:c r="AB1925" s="2"/>
    </x:row>
    <x:row r="1926" ht="42" customHeight="1">
      <x:c r="A1926" s="2" t="str">
        <x:v>314f8f58dedd31dc179bcf71</x:v>
      </x:c>
      <x:c r="B1926" s="2" t="str">
        <x:v>감축량 인증</x:v>
      </x:c>
      <x:c r="C1926" s="2" t="str">
        <x:v>국내</x:v>
      </x:c>
      <x:c r="D1926" s="7" t="str">
        <x:v>제주도 한경풍력 2단계 CDM사업</x:v>
      </x:c>
      <x:c r="E1926" s="2" t="str">
        <x:v>166</x:v>
      </x:c>
      <x:c r="F1926" s="2"/>
      <x:c r="G1926" s="2" t="str">
        <x:v>미확보</x:v>
      </x:c>
      <x:c r="H1926" s="2" t="str">
        <x:v>미확보</x:v>
      </x:c>
      <x:c r="I1926" s="2" t="str">
        <x:v>심의승인</x:v>
      </x:c>
      <x:c r="J1926" s="2" t="str">
        <x:v>심의승인</x:v>
      </x:c>
      <x:c r="K1926" s="2" t="str">
        <x:f>IF(OR(J1926="심의승인",J1926="반려",J1926="반려완료",J1926="심의완료"),"종결 표시",IF(OR(J1926="기후부협의",J1926="문서재제출요청",J1926="보류",J1926="보완요청",J1926="보완완료",J1926="평가중",J1926="반려요청",J1926="평가필요",LEFT(J1926,5)="보완요청("),"미종결 표시","상태 확인 필요"))</x:f>
        <x:v>종결 표시</x:v>
      </x:c>
      <x:c r="L1926" s="2"/>
      <x:c r="M1926" s="2"/>
      <x:c r="N1926" s="8"/>
      <x:c r="O1926" s="2"/>
      <x:c r="P1926" s="2"/>
      <x:c r="Q1926" s="2" t="str">
        <x:v>산업전환_외부사업관리Tool_260707_이너젠 수정_LJY_261013.xlsx</x:v>
      </x:c>
      <x:c r="R1926" s="2" t="str">
        <x:v>국내인증</x:v>
      </x:c>
      <x:c r="S1926" s="8" t="n">
        <x:v>244</x:v>
      </x:c>
      <x:c r="T1926" s="2"/>
      <x:c r="U1926" s="2" t="str"/>
      <x:c r="V1926" s="2" t="str">
        <x:v>2019-06-26</x:v>
      </x:c>
      <x:c r="W1926" s="2" t="str">
        <x:v>신청일 확인 / 담당기관 확인</x:v>
      </x:c>
      <x:c r="X1926" s="2" t="str">
        <x:v>원본·배정 기록 확인</x:v>
      </x:c>
      <x:c r="Y1926" s="2" t="str">
        <x:v>ad210cd9ec132cfd447541c8984dc53d30aff0f4fb2dc92d254d49275cc55976</x:v>
      </x:c>
      <x:c r="Z1926" s="2" t="n">
        <x:f>SUBTOTAL(103,A1926)</x:f>
        <x:v>1</x:v>
      </x:c>
      <x:c r="AA1926" s="2" t="str">
        <x:f>IF(K1926&lt;&gt;"미종결 표시","대상 아님",IF(N1926="","신청일 확인",IF(NOT(ISNUMBER('종합 현황'!$H$5)),"관찰기준 확인",IF('종합 현황'!$H$5&lt;1,"관찰기준 확인",IF(N1926&gt;'종합 현황'!$H$5,"내부 관찰 대상","내부 관찰일 이하")))))</x:f>
        <x:v>대상 아님</x:v>
      </x:c>
      <x:c r="AB1926" s="2"/>
    </x:row>
    <x:row r="1927" ht="42" customHeight="1">
      <x:c r="A1927" s="2" t="str">
        <x:v>698dc4a69a9f409acf39f35b</x:v>
      </x:c>
      <x:c r="B1927" s="2" t="str">
        <x:v>감축량 인증</x:v>
      </x:c>
      <x:c r="C1927" s="2" t="str">
        <x:v>국내</x:v>
      </x:c>
      <x:c r="D1927" s="7" t="str">
        <x:v>카프로 N2O 저감 사업</x:v>
      </x:c>
      <x:c r="E1927" s="2" t="str">
        <x:v>167</x:v>
      </x:c>
      <x:c r="F1927" s="2"/>
      <x:c r="G1927" s="2" t="str">
        <x:v>미확보</x:v>
      </x:c>
      <x:c r="H1927" s="2" t="str">
        <x:v>미확보</x:v>
      </x:c>
      <x:c r="I1927" s="2" t="str">
        <x:v>심의승인</x:v>
      </x:c>
      <x:c r="J1927" s="2" t="str">
        <x:v>심의승인</x:v>
      </x:c>
      <x:c r="K1927" s="2" t="str">
        <x:f>IF(OR(J1927="심의승인",J1927="반려",J1927="반려완료",J1927="심의완료"),"종결 표시",IF(OR(J1927="기후부협의",J1927="문서재제출요청",J1927="보류",J1927="보완요청",J1927="보완완료",J1927="평가중",J1927="반려요청",J1927="평가필요",LEFT(J1927,5)="보완요청("),"미종결 표시","상태 확인 필요"))</x:f>
        <x:v>종결 표시</x:v>
      </x:c>
      <x:c r="L1927" s="2"/>
      <x:c r="M1927" s="2"/>
      <x:c r="N1927" s="8"/>
      <x:c r="O1927" s="2"/>
      <x:c r="P1927" s="2"/>
      <x:c r="Q1927" s="2" t="str">
        <x:v>산업전환_외부사업관리Tool_260707_이너젠 수정_LJY_261013.xlsx</x:v>
      </x:c>
      <x:c r="R1927" s="2" t="str">
        <x:v>국내인증</x:v>
      </x:c>
      <x:c r="S1927" s="8" t="n">
        <x:v>245</x:v>
      </x:c>
      <x:c r="T1927" s="2"/>
      <x:c r="U1927" s="2" t="str"/>
      <x:c r="V1927" s="2" t="str">
        <x:v>2019-06-26</x:v>
      </x:c>
      <x:c r="W1927" s="2" t="str">
        <x:v>신청일 확인 / 담당기관 확인</x:v>
      </x:c>
      <x:c r="X1927" s="2" t="str">
        <x:v>원본·배정 기록 확인</x:v>
      </x:c>
      <x:c r="Y1927" s="2" t="str">
        <x:v>ad210cd9ec132cfd447541c8984dc53d30aff0f4fb2dc92d254d49275cc55976</x:v>
      </x:c>
      <x:c r="Z1927" s="2" t="n">
        <x:f>SUBTOTAL(103,A1927)</x:f>
        <x:v>1</x:v>
      </x:c>
      <x:c r="AA1927" s="2" t="str">
        <x:f>IF(K1927&lt;&gt;"미종결 표시","대상 아님",IF(N1927="","신청일 확인",IF(NOT(ISNUMBER('종합 현황'!$H$5)),"관찰기준 확인",IF('종합 현황'!$H$5&lt;1,"관찰기준 확인",IF(N1927&gt;'종합 현황'!$H$5,"내부 관찰 대상","내부 관찰일 이하")))))</x:f>
        <x:v>대상 아님</x:v>
      </x:c>
      <x:c r="AB1927" s="2"/>
    </x:row>
    <x:row r="1928" ht="42" customHeight="1">
      <x:c r="A1928" s="2" t="str">
        <x:v>8415a48231f78bb056e0c7e1</x:v>
      </x:c>
      <x:c r="B1928" s="2" t="str">
        <x:v>감축량 인증</x:v>
      </x:c>
      <x:c r="C1928" s="2" t="str">
        <x:v>국내</x:v>
      </x:c>
      <x:c r="D1928" s="7" t="str">
        <x:v>휴켐스 질산공장 N2O 감축사업(휴켐스 주식회사의 질산 공장 세 곳에서 tail gas에 포함된 아산화질소를 촉매를 사용하여 제거하는 프로젝트)</x:v>
      </x:c>
      <x:c r="E1928" s="2" t="str">
        <x:v>168</x:v>
      </x:c>
      <x:c r="F1928" s="2"/>
      <x:c r="G1928" s="2" t="str">
        <x:v>미확보</x:v>
      </x:c>
      <x:c r="H1928" s="2" t="str">
        <x:v>미확보</x:v>
      </x:c>
      <x:c r="I1928" s="2" t="str">
        <x:v>심의승인</x:v>
      </x:c>
      <x:c r="J1928" s="2" t="str">
        <x:v>심의승인</x:v>
      </x:c>
      <x:c r="K1928" s="2" t="str">
        <x:f>IF(OR(J1928="심의승인",J1928="반려",J1928="반려완료",J1928="심의완료"),"종결 표시",IF(OR(J1928="기후부협의",J1928="문서재제출요청",J1928="보류",J1928="보완요청",J1928="보완완료",J1928="평가중",J1928="반려요청",J1928="평가필요",LEFT(J1928,5)="보완요청("),"미종결 표시","상태 확인 필요"))</x:f>
        <x:v>종결 표시</x:v>
      </x:c>
      <x:c r="L1928" s="2"/>
      <x:c r="M1928" s="2"/>
      <x:c r="N1928" s="8"/>
      <x:c r="O1928" s="2"/>
      <x:c r="P1928" s="2"/>
      <x:c r="Q1928" s="2" t="str">
        <x:v>산업전환_외부사업관리Tool_260707_이너젠 수정_LJY_261013.xlsx</x:v>
      </x:c>
      <x:c r="R1928" s="2" t="str">
        <x:v>국내인증</x:v>
      </x:c>
      <x:c r="S1928" s="8" t="n">
        <x:v>246</x:v>
      </x:c>
      <x:c r="T1928" s="2"/>
      <x:c r="U1928" s="2" t="str"/>
      <x:c r="V1928" s="2" t="str">
        <x:v>2019-06-26</x:v>
      </x:c>
      <x:c r="W1928" s="2" t="str">
        <x:v>신청일 확인 / 담당기관 확인</x:v>
      </x:c>
      <x:c r="X1928" s="2" t="str">
        <x:v>원본·배정 기록 확인</x:v>
      </x:c>
      <x:c r="Y1928" s="2" t="str">
        <x:v>ad210cd9ec132cfd447541c8984dc53d30aff0f4fb2dc92d254d49275cc55976</x:v>
      </x:c>
      <x:c r="Z1928" s="2" t="n">
        <x:f>SUBTOTAL(103,A1928)</x:f>
        <x:v>1</x:v>
      </x:c>
      <x:c r="AA1928" s="2" t="str">
        <x:f>IF(K1928&lt;&gt;"미종결 표시","대상 아님",IF(N1928="","신청일 확인",IF(NOT(ISNUMBER('종합 현황'!$H$5)),"관찰기준 확인",IF('종합 현황'!$H$5&lt;1,"관찰기준 확인",IF(N1928&gt;'종합 현황'!$H$5,"내부 관찰 대상","내부 관찰일 이하")))))</x:f>
        <x:v>대상 아님</x:v>
      </x:c>
      <x:c r="AB1928" s="2"/>
    </x:row>
    <x:row r="1929" ht="42" customHeight="1">
      <x:c r="A1929" s="2" t="str">
        <x:v>7ff6306af2cc97e1c8bfcd5f</x:v>
      </x:c>
      <x:c r="B1929" s="2" t="str">
        <x:v>감축량 인증</x:v>
      </x:c>
      <x:c r="C1929" s="2" t="str">
        <x:v>국내</x:v>
      </x:c>
      <x:c r="D1929" s="7" t="str">
        <x:v>휴켐스(주) 신설 5질산에서 발생하는 아산화질소 배출량 저감사업</x:v>
      </x:c>
      <x:c r="E1929" s="2" t="str">
        <x:v>169</x:v>
      </x:c>
      <x:c r="F1929" s="2"/>
      <x:c r="G1929" s="2" t="str">
        <x:v>미확보</x:v>
      </x:c>
      <x:c r="H1929" s="2" t="str">
        <x:v>미확보</x:v>
      </x:c>
      <x:c r="I1929" s="2" t="str">
        <x:v>심의승인</x:v>
      </x:c>
      <x:c r="J1929" s="2" t="str">
        <x:v>심의승인</x:v>
      </x:c>
      <x:c r="K1929" s="2" t="str">
        <x:f>IF(OR(J1929="심의승인",J1929="반려",J1929="반려완료",J1929="심의완료"),"종결 표시",IF(OR(J1929="기후부협의",J1929="문서재제출요청",J1929="보류",J1929="보완요청",J1929="보완완료",J1929="평가중",J1929="반려요청",J1929="평가필요",LEFT(J1929,5)="보완요청("),"미종결 표시","상태 확인 필요"))</x:f>
        <x:v>종결 표시</x:v>
      </x:c>
      <x:c r="L1929" s="2"/>
      <x:c r="M1929" s="2"/>
      <x:c r="N1929" s="8"/>
      <x:c r="O1929" s="2"/>
      <x:c r="P1929" s="2"/>
      <x:c r="Q1929" s="2" t="str">
        <x:v>산업전환_외부사업관리Tool_260707_이너젠 수정_LJY_261013.xlsx</x:v>
      </x:c>
      <x:c r="R1929" s="2" t="str">
        <x:v>국내인증</x:v>
      </x:c>
      <x:c r="S1929" s="8" t="n">
        <x:v>247</x:v>
      </x:c>
      <x:c r="T1929" s="2"/>
      <x:c r="U1929" s="2" t="str"/>
      <x:c r="V1929" s="2" t="str">
        <x:v>2019-06-26</x:v>
      </x:c>
      <x:c r="W1929" s="2" t="str">
        <x:v>신청일 확인 / 담당기관 확인</x:v>
      </x:c>
      <x:c r="X1929" s="2" t="str">
        <x:v>원본·배정 기록 확인</x:v>
      </x:c>
      <x:c r="Y1929" s="2" t="str">
        <x:v>ad210cd9ec132cfd447541c8984dc53d30aff0f4fb2dc92d254d49275cc55976</x:v>
      </x:c>
      <x:c r="Z1929" s="2" t="n">
        <x:f>SUBTOTAL(103,A1929)</x:f>
        <x:v>1</x:v>
      </x:c>
      <x:c r="AA1929" s="2" t="str">
        <x:f>IF(K1929&lt;&gt;"미종결 표시","대상 아님",IF(N1929="","신청일 확인",IF(NOT(ISNUMBER('종합 현황'!$H$5)),"관찰기준 확인",IF('종합 현황'!$H$5&lt;1,"관찰기준 확인",IF(N1929&gt;'종합 현황'!$H$5,"내부 관찰 대상","내부 관찰일 이하")))))</x:f>
        <x:v>대상 아님</x:v>
      </x:c>
      <x:c r="AB1929" s="2"/>
    </x:row>
    <x:row r="1930" ht="42" customHeight="1">
      <x:c r="A1930" s="2" t="str">
        <x:v>324d81f77c48ab67c171c65e</x:v>
      </x:c>
      <x:c r="B1930" s="2" t="str">
        <x:v>감축량 인증</x:v>
      </x:c>
      <x:c r="C1930" s="2" t="str">
        <x:v>국내</x:v>
      </x:c>
      <x:c r="D1930" s="7" t="str">
        <x:v>휴켐스 질산공장 N2O 감축사업(휴켐스 주식회사의 질산 공장 세곡에서 tail gas에 포한된 아산화질소를 촉매를 사용하여 제거하는 프로젝트)</x:v>
      </x:c>
      <x:c r="E1930" s="2" t="str">
        <x:v>170</x:v>
      </x:c>
      <x:c r="F1930" s="2"/>
      <x:c r="G1930" s="2" t="str">
        <x:v>미확보</x:v>
      </x:c>
      <x:c r="H1930" s="2" t="str">
        <x:v>미확보</x:v>
      </x:c>
      <x:c r="I1930" s="2" t="str">
        <x:v>심의승인</x:v>
      </x:c>
      <x:c r="J1930" s="2" t="str">
        <x:v>심의승인</x:v>
      </x:c>
      <x:c r="K1930" s="2" t="str">
        <x:f>IF(OR(J1930="심의승인",J1930="반려",J1930="반려완료",J1930="심의완료"),"종결 표시",IF(OR(J1930="기후부협의",J1930="문서재제출요청",J1930="보류",J1930="보완요청",J1930="보완완료",J1930="평가중",J1930="반려요청",J1930="평가필요",LEFT(J1930,5)="보완요청("),"미종결 표시","상태 확인 필요"))</x:f>
        <x:v>종결 표시</x:v>
      </x:c>
      <x:c r="L1930" s="2"/>
      <x:c r="M1930" s="2"/>
      <x:c r="N1930" s="8"/>
      <x:c r="O1930" s="2"/>
      <x:c r="P1930" s="2"/>
      <x:c r="Q1930" s="2" t="str">
        <x:v>산업전환_외부사업관리Tool_260707_이너젠 수정_LJY_261013.xlsx</x:v>
      </x:c>
      <x:c r="R1930" s="2" t="str">
        <x:v>국내인증</x:v>
      </x:c>
      <x:c r="S1930" s="8" t="n">
        <x:v>248</x:v>
      </x:c>
      <x:c r="T1930" s="2"/>
      <x:c r="U1930" s="2" t="str"/>
      <x:c r="V1930" s="2" t="str">
        <x:v>2019-06-26</x:v>
      </x:c>
      <x:c r="W1930" s="2" t="str">
        <x:v>신청일 확인 / 담당기관 확인</x:v>
      </x:c>
      <x:c r="X1930" s="2" t="str">
        <x:v>원본·배정 기록 확인</x:v>
      </x:c>
      <x:c r="Y1930" s="2" t="str">
        <x:v>ad210cd9ec132cfd447541c8984dc53d30aff0f4fb2dc92d254d49275cc55976</x:v>
      </x:c>
      <x:c r="Z1930" s="2" t="n">
        <x:f>SUBTOTAL(103,A1930)</x:f>
        <x:v>1</x:v>
      </x:c>
      <x:c r="AA1930" s="2" t="str">
        <x:f>IF(K1930&lt;&gt;"미종결 표시","대상 아님",IF(N1930="","신청일 확인",IF(NOT(ISNUMBER('종합 현황'!$H$5)),"관찰기준 확인",IF('종합 현황'!$H$5&lt;1,"관찰기준 확인",IF(N1930&gt;'종합 현황'!$H$5,"내부 관찰 대상","내부 관찰일 이하")))))</x:f>
        <x:v>대상 아님</x:v>
      </x:c>
      <x:c r="AB1930" s="2"/>
    </x:row>
    <x:row r="1931" ht="42" customHeight="1">
      <x:c r="A1931" s="2" t="str">
        <x:v>aa344456f618c153d6831a37</x:v>
      </x:c>
      <x:c r="B1931" s="2" t="str">
        <x:v>감축량 인증</x:v>
      </x:c>
      <x:c r="C1931" s="2" t="str">
        <x:v>국내</x:v>
      </x:c>
      <x:c r="D1931" s="7" t="str">
        <x:v>김천 태양광발전 사이트 1 CDM프로젝트</x:v>
      </x:c>
      <x:c r="E1931" s="2" t="str">
        <x:v>171</x:v>
      </x:c>
      <x:c r="F1931" s="2"/>
      <x:c r="G1931" s="2" t="str">
        <x:v>미확보</x:v>
      </x:c>
      <x:c r="H1931" s="2" t="str">
        <x:v>미확보</x:v>
      </x:c>
      <x:c r="I1931" s="2" t="str">
        <x:v>심의승인</x:v>
      </x:c>
      <x:c r="J1931" s="2" t="str">
        <x:v>심의승인</x:v>
      </x:c>
      <x:c r="K1931" s="2" t="str">
        <x:f>IF(OR(J1931="심의승인",J1931="반려",J1931="반려완료",J1931="심의완료"),"종결 표시",IF(OR(J1931="기후부협의",J1931="문서재제출요청",J1931="보류",J1931="보완요청",J1931="보완완료",J1931="평가중",J1931="반려요청",J1931="평가필요",LEFT(J1931,5)="보완요청("),"미종결 표시","상태 확인 필요"))</x:f>
        <x:v>종결 표시</x:v>
      </x:c>
      <x:c r="L1931" s="2"/>
      <x:c r="M1931" s="2"/>
      <x:c r="N1931" s="8"/>
      <x:c r="O1931" s="2"/>
      <x:c r="P1931" s="2"/>
      <x:c r="Q1931" s="2" t="str">
        <x:v>산업전환_외부사업관리Tool_260707_이너젠 수정_LJY_261013.xlsx</x:v>
      </x:c>
      <x:c r="R1931" s="2" t="str">
        <x:v>국내인증</x:v>
      </x:c>
      <x:c r="S1931" s="8" t="n">
        <x:v>249</x:v>
      </x:c>
      <x:c r="T1931" s="2"/>
      <x:c r="U1931" s="2" t="str"/>
      <x:c r="V1931" s="2" t="str">
        <x:v>2019-06-27</x:v>
      </x:c>
      <x:c r="W1931" s="2" t="str">
        <x:v>신청일 확인 / 담당기관 확인</x:v>
      </x:c>
      <x:c r="X1931" s="2" t="str">
        <x:v>원본·배정 기록 확인</x:v>
      </x:c>
      <x:c r="Y1931" s="2" t="str">
        <x:v>ad210cd9ec132cfd447541c8984dc53d30aff0f4fb2dc92d254d49275cc55976</x:v>
      </x:c>
      <x:c r="Z1931" s="2" t="n">
        <x:f>SUBTOTAL(103,A1931)</x:f>
        <x:v>1</x:v>
      </x:c>
      <x:c r="AA1931" s="2" t="str">
        <x:f>IF(K1931&lt;&gt;"미종결 표시","대상 아님",IF(N1931="","신청일 확인",IF(NOT(ISNUMBER('종합 현황'!$H$5)),"관찰기준 확인",IF('종합 현황'!$H$5&lt;1,"관찰기준 확인",IF(N1931&gt;'종합 현황'!$H$5,"내부 관찰 대상","내부 관찰일 이하")))))</x:f>
        <x:v>대상 아님</x:v>
      </x:c>
      <x:c r="AB1931" s="2"/>
    </x:row>
    <x:row r="1932" ht="42" customHeight="1">
      <x:c r="A1932" s="2" t="str">
        <x:v>8b04d6895f7812210ddae7b0</x:v>
      </x:c>
      <x:c r="B1932" s="2" t="str">
        <x:v>감축량 인증</x:v>
      </x:c>
      <x:c r="C1932" s="2" t="str">
        <x:v>국내</x:v>
      </x:c>
      <x:c r="D1932" s="7" t="str">
        <x:v>동서발전 당진 소수력 프로젝트</x:v>
      </x:c>
      <x:c r="E1932" s="2" t="str">
        <x:v>172</x:v>
      </x:c>
      <x:c r="F1932" s="2"/>
      <x:c r="G1932" s="2" t="str">
        <x:v>미확보</x:v>
      </x:c>
      <x:c r="H1932" s="2" t="str">
        <x:v>미확보</x:v>
      </x:c>
      <x:c r="I1932" s="2" t="str">
        <x:v>심의승인</x:v>
      </x:c>
      <x:c r="J1932" s="2" t="str">
        <x:v>심의승인</x:v>
      </x:c>
      <x:c r="K1932" s="2" t="str">
        <x:f>IF(OR(J1932="심의승인",J1932="반려",J1932="반려완료",J1932="심의완료"),"종결 표시",IF(OR(J1932="기후부협의",J1932="문서재제출요청",J1932="보류",J1932="보완요청",J1932="보완완료",J1932="평가중",J1932="반려요청",J1932="평가필요",LEFT(J1932,5)="보완요청("),"미종결 표시","상태 확인 필요"))</x:f>
        <x:v>종결 표시</x:v>
      </x:c>
      <x:c r="L1932" s="2"/>
      <x:c r="M1932" s="2"/>
      <x:c r="N1932" s="8"/>
      <x:c r="O1932" s="2"/>
      <x:c r="P1932" s="2"/>
      <x:c r="Q1932" s="2" t="str">
        <x:v>산업전환_외부사업관리Tool_260707_이너젠 수정_LJY_261013.xlsx</x:v>
      </x:c>
      <x:c r="R1932" s="2" t="str">
        <x:v>국내인증</x:v>
      </x:c>
      <x:c r="S1932" s="8" t="n">
        <x:v>250</x:v>
      </x:c>
      <x:c r="T1932" s="2"/>
      <x:c r="U1932" s="2" t="str"/>
      <x:c r="V1932" s="2" t="str">
        <x:v>2019-06-26</x:v>
      </x:c>
      <x:c r="W1932" s="2" t="str">
        <x:v>신청일 확인 / 담당기관 확인</x:v>
      </x:c>
      <x:c r="X1932" s="2" t="str">
        <x:v>원본·배정 기록 확인</x:v>
      </x:c>
      <x:c r="Y1932" s="2" t="str">
        <x:v>ad210cd9ec132cfd447541c8984dc53d30aff0f4fb2dc92d254d49275cc55976</x:v>
      </x:c>
      <x:c r="Z1932" s="2" t="n">
        <x:f>SUBTOTAL(103,A1932)</x:f>
        <x:v>1</x:v>
      </x:c>
      <x:c r="AA1932" s="2" t="str">
        <x:f>IF(K1932&lt;&gt;"미종결 표시","대상 아님",IF(N1932="","신청일 확인",IF(NOT(ISNUMBER('종합 현황'!$H$5)),"관찰기준 확인",IF('종합 현황'!$H$5&lt;1,"관찰기준 확인",IF(N1932&gt;'종합 현황'!$H$5,"내부 관찰 대상","내부 관찰일 이하")))))</x:f>
        <x:v>대상 아님</x:v>
      </x:c>
      <x:c r="AB1932" s="2"/>
    </x:row>
    <x:row r="1933" ht="42" customHeight="1">
      <x:c r="A1933" s="2" t="str">
        <x:v>97e843f1b3df36aab4a032ec</x:v>
      </x:c>
      <x:c r="B1933" s="2" t="str">
        <x:v>감축량 인증</x:v>
      </x:c>
      <x:c r="C1933" s="2" t="str">
        <x:v>국내</x:v>
      </x:c>
      <x:c r="D1933" s="7" t="str">
        <x:v>김천 태양광발전 사이트 2 CDM프로젝트</x:v>
      </x:c>
      <x:c r="E1933" s="2" t="str">
        <x:v>173</x:v>
      </x:c>
      <x:c r="F1933" s="2"/>
      <x:c r="G1933" s="2" t="str">
        <x:v>미확보</x:v>
      </x:c>
      <x:c r="H1933" s="2" t="str">
        <x:v>미확보</x:v>
      </x:c>
      <x:c r="I1933" s="2" t="str">
        <x:v>심의승인</x:v>
      </x:c>
      <x:c r="J1933" s="2" t="str">
        <x:v>심의승인</x:v>
      </x:c>
      <x:c r="K1933" s="2" t="str">
        <x:f>IF(OR(J1933="심의승인",J1933="반려",J1933="반려완료",J1933="심의완료"),"종결 표시",IF(OR(J1933="기후부협의",J1933="문서재제출요청",J1933="보류",J1933="보완요청",J1933="보완완료",J1933="평가중",J1933="반려요청",J1933="평가필요",LEFT(J1933,5)="보완요청("),"미종결 표시","상태 확인 필요"))</x:f>
        <x:v>종결 표시</x:v>
      </x:c>
      <x:c r="L1933" s="2"/>
      <x:c r="M1933" s="2"/>
      <x:c r="N1933" s="8"/>
      <x:c r="O1933" s="2"/>
      <x:c r="P1933" s="2"/>
      <x:c r="Q1933" s="2" t="str">
        <x:v>산업전환_외부사업관리Tool_260707_이너젠 수정_LJY_261013.xlsx</x:v>
      </x:c>
      <x:c r="R1933" s="2" t="str">
        <x:v>국내인증</x:v>
      </x:c>
      <x:c r="S1933" s="8" t="n">
        <x:v>251</x:v>
      </x:c>
      <x:c r="T1933" s="2"/>
      <x:c r="U1933" s="2" t="str"/>
      <x:c r="V1933" s="2" t="str">
        <x:v>2019-06-26</x:v>
      </x:c>
      <x:c r="W1933" s="2" t="str">
        <x:v>신청일 확인 / 담당기관 확인</x:v>
      </x:c>
      <x:c r="X1933" s="2" t="str">
        <x:v>원본·배정 기록 확인</x:v>
      </x:c>
      <x:c r="Y1933" s="2" t="str">
        <x:v>ad210cd9ec132cfd447541c8984dc53d30aff0f4fb2dc92d254d49275cc55976</x:v>
      </x:c>
      <x:c r="Z1933" s="2" t="n">
        <x:f>SUBTOTAL(103,A1933)</x:f>
        <x:v>1</x:v>
      </x:c>
      <x:c r="AA1933" s="2" t="str">
        <x:f>IF(K1933&lt;&gt;"미종결 표시","대상 아님",IF(N1933="","신청일 확인",IF(NOT(ISNUMBER('종합 현황'!$H$5)),"관찰기준 확인",IF('종합 현황'!$H$5&lt;1,"관찰기준 확인",IF(N1933&gt;'종합 현황'!$H$5,"내부 관찰 대상","내부 관찰일 이하")))))</x:f>
        <x:v>대상 아님</x:v>
      </x:c>
      <x:c r="AB1933" s="2"/>
    </x:row>
    <x:row r="1934" ht="42" customHeight="1">
      <x:c r="A1934" s="2" t="str">
        <x:v>e938740f5f6894bb41e40691</x:v>
      </x:c>
      <x:c r="B1934" s="2" t="str">
        <x:v>감축량 인증</x:v>
      </x:c>
      <x:c r="C1934" s="2" t="str">
        <x:v>국내</x:v>
      </x:c>
      <x:c r="D1934" s="7" t="str">
        <x:v>김천 태양광발전 사이트 2 CDM프로젝트</x:v>
      </x:c>
      <x:c r="E1934" s="2" t="str">
        <x:v>174</x:v>
      </x:c>
      <x:c r="F1934" s="2"/>
      <x:c r="G1934" s="2" t="str">
        <x:v>미확보</x:v>
      </x:c>
      <x:c r="H1934" s="2" t="str">
        <x:v>미확보</x:v>
      </x:c>
      <x:c r="I1934" s="2" t="str">
        <x:v>심의승인</x:v>
      </x:c>
      <x:c r="J1934" s="2" t="str">
        <x:v>심의승인</x:v>
      </x:c>
      <x:c r="K1934" s="2" t="str">
        <x:f>IF(OR(J1934="심의승인",J1934="반려",J1934="반려완료",J1934="심의완료"),"종결 표시",IF(OR(J1934="기후부협의",J1934="문서재제출요청",J1934="보류",J1934="보완요청",J1934="보완완료",J1934="평가중",J1934="반려요청",J1934="평가필요",LEFT(J1934,5)="보완요청("),"미종결 표시","상태 확인 필요"))</x:f>
        <x:v>종결 표시</x:v>
      </x:c>
      <x:c r="L1934" s="2"/>
      <x:c r="M1934" s="2"/>
      <x:c r="N1934" s="8"/>
      <x:c r="O1934" s="2"/>
      <x:c r="P1934" s="2"/>
      <x:c r="Q1934" s="2" t="str">
        <x:v>산업전환_외부사업관리Tool_260707_이너젠 수정_LJY_261013.xlsx</x:v>
      </x:c>
      <x:c r="R1934" s="2" t="str">
        <x:v>국내인증</x:v>
      </x:c>
      <x:c r="S1934" s="8" t="n">
        <x:v>252</x:v>
      </x:c>
      <x:c r="T1934" s="2"/>
      <x:c r="U1934" s="2" t="str"/>
      <x:c r="V1934" s="2" t="str">
        <x:v>2019-06-26</x:v>
      </x:c>
      <x:c r="W1934" s="2" t="str">
        <x:v>신청일 확인 / 담당기관 확인</x:v>
      </x:c>
      <x:c r="X1934" s="2" t="str">
        <x:v>원본·배정 기록 확인</x:v>
      </x:c>
      <x:c r="Y1934" s="2" t="str">
        <x:v>ad210cd9ec132cfd447541c8984dc53d30aff0f4fb2dc92d254d49275cc55976</x:v>
      </x:c>
      <x:c r="Z1934" s="2" t="n">
        <x:f>SUBTOTAL(103,A1934)</x:f>
        <x:v>1</x:v>
      </x:c>
      <x:c r="AA1934" s="2" t="str">
        <x:f>IF(K1934&lt;&gt;"미종결 표시","대상 아님",IF(N1934="","신청일 확인",IF(NOT(ISNUMBER('종합 현황'!$H$5)),"관찰기준 확인",IF('종합 현황'!$H$5&lt;1,"관찰기준 확인",IF(N1934&gt;'종합 현황'!$H$5,"내부 관찰 대상","내부 관찰일 이하")))))</x:f>
        <x:v>대상 아님</x:v>
      </x:c>
      <x:c r="AB1934" s="2"/>
    </x:row>
    <x:row r="1935" ht="42" customHeight="1">
      <x:c r="A1935" s="2" t="str">
        <x:v>766997747221f72539761035</x:v>
      </x:c>
      <x:c r="B1935" s="2" t="str">
        <x:v>감축량 인증</x:v>
      </x:c>
      <x:c r="C1935" s="2" t="str">
        <x:v>국내</x:v>
      </x:c>
      <x:c r="D1935" s="7" t="str">
        <x:v>김천 태양광발전 사이트 1 CDM프로젝트</x:v>
      </x:c>
      <x:c r="E1935" s="2" t="str">
        <x:v>175</x:v>
      </x:c>
      <x:c r="F1935" s="2"/>
      <x:c r="G1935" s="2" t="str">
        <x:v>미확보</x:v>
      </x:c>
      <x:c r="H1935" s="2" t="str">
        <x:v>미확보</x:v>
      </x:c>
      <x:c r="I1935" s="2" t="str">
        <x:v>심의승인</x:v>
      </x:c>
      <x:c r="J1935" s="2" t="str">
        <x:v>심의승인</x:v>
      </x:c>
      <x:c r="K1935" s="2" t="str">
        <x:f>IF(OR(J1935="심의승인",J1935="반려",J1935="반려완료",J1935="심의완료"),"종결 표시",IF(OR(J1935="기후부협의",J1935="문서재제출요청",J1935="보류",J1935="보완요청",J1935="보완완료",J1935="평가중",J1935="반려요청",J1935="평가필요",LEFT(J1935,5)="보완요청("),"미종결 표시","상태 확인 필요"))</x:f>
        <x:v>종결 표시</x:v>
      </x:c>
      <x:c r="L1935" s="2"/>
      <x:c r="M1935" s="2"/>
      <x:c r="N1935" s="8"/>
      <x:c r="O1935" s="2"/>
      <x:c r="P1935" s="2"/>
      <x:c r="Q1935" s="2" t="str">
        <x:v>산업전환_외부사업관리Tool_260707_이너젠 수정_LJY_261013.xlsx</x:v>
      </x:c>
      <x:c r="R1935" s="2" t="str">
        <x:v>국내인증</x:v>
      </x:c>
      <x:c r="S1935" s="8" t="n">
        <x:v>253</x:v>
      </x:c>
      <x:c r="T1935" s="2"/>
      <x:c r="U1935" s="2" t="str"/>
      <x:c r="V1935" s="2" t="str">
        <x:v>2019-06-27</x:v>
      </x:c>
      <x:c r="W1935" s="2" t="str">
        <x:v>신청일 확인 / 담당기관 확인</x:v>
      </x:c>
      <x:c r="X1935" s="2" t="str">
        <x:v>원본·배정 기록 확인</x:v>
      </x:c>
      <x:c r="Y1935" s="2" t="str">
        <x:v>ad210cd9ec132cfd447541c8984dc53d30aff0f4fb2dc92d254d49275cc55976</x:v>
      </x:c>
      <x:c r="Z1935" s="2" t="n">
        <x:f>SUBTOTAL(103,A1935)</x:f>
        <x:v>1</x:v>
      </x:c>
      <x:c r="AA1935" s="2" t="str">
        <x:f>IF(K1935&lt;&gt;"미종결 표시","대상 아님",IF(N1935="","신청일 확인",IF(NOT(ISNUMBER('종합 현황'!$H$5)),"관찰기준 확인",IF('종합 현황'!$H$5&lt;1,"관찰기준 확인",IF(N1935&gt;'종합 현황'!$H$5,"내부 관찰 대상","내부 관찰일 이하")))))</x:f>
        <x:v>대상 아님</x:v>
      </x:c>
      <x:c r="AB1935" s="2"/>
    </x:row>
    <x:row r="1936" ht="42" customHeight="1">
      <x:c r="A1936" s="2" t="str">
        <x:v>a73f2b4af5e2b3ea1ea49a77</x:v>
      </x:c>
      <x:c r="B1936" s="2" t="str">
        <x:v>감축량 인증</x:v>
      </x:c>
      <x:c r="C1936" s="2" t="str">
        <x:v>국내</x:v>
      </x:c>
      <x:c r="D1936" s="7" t="str">
        <x:v>제천 장락 주공 1단지 아파트 연료전환을 통한 온실가스 감축사업</x:v>
      </x:c>
      <x:c r="E1936" s="2" t="str">
        <x:v>176</x:v>
      </x:c>
      <x:c r="F1936" s="2"/>
      <x:c r="G1936" s="2" t="str">
        <x:v>미확보</x:v>
      </x:c>
      <x:c r="H1936" s="2" t="str">
        <x:v>미확보</x:v>
      </x:c>
      <x:c r="I1936" s="2" t="str">
        <x:v>심의승인</x:v>
      </x:c>
      <x:c r="J1936" s="2" t="str">
        <x:v>심의승인</x:v>
      </x:c>
      <x:c r="K1936" s="2" t="str">
        <x:f>IF(OR(J1936="심의승인",J1936="반려",J1936="반려완료",J1936="심의완료"),"종결 표시",IF(OR(J1936="기후부협의",J1936="문서재제출요청",J1936="보류",J1936="보완요청",J1936="보완완료",J1936="평가중",J1936="반려요청",J1936="평가필요",LEFT(J1936,5)="보완요청("),"미종결 표시","상태 확인 필요"))</x:f>
        <x:v>종결 표시</x:v>
      </x:c>
      <x:c r="L1936" s="2"/>
      <x:c r="M1936" s="2"/>
      <x:c r="N1936" s="8"/>
      <x:c r="O1936" s="2"/>
      <x:c r="P1936" s="2"/>
      <x:c r="Q1936" s="2" t="str">
        <x:v>산업전환_외부사업관리Tool_260707_이너젠 수정_LJY_261013.xlsx</x:v>
      </x:c>
      <x:c r="R1936" s="2" t="str">
        <x:v>국내인증</x:v>
      </x:c>
      <x:c r="S1936" s="8" t="n">
        <x:v>254</x:v>
      </x:c>
      <x:c r="T1936" s="2"/>
      <x:c r="U1936" s="2" t="str"/>
      <x:c r="V1936" s="2" t="str">
        <x:v>2019-12-05</x:v>
      </x:c>
      <x:c r="W1936" s="2" t="str">
        <x:v>신청일 확인 / 담당기관 확인</x:v>
      </x:c>
      <x:c r="X1936" s="2" t="str">
        <x:v>원본·배정 기록 확인</x:v>
      </x:c>
      <x:c r="Y1936" s="2" t="str">
        <x:v>ad210cd9ec132cfd447541c8984dc53d30aff0f4fb2dc92d254d49275cc55976</x:v>
      </x:c>
      <x:c r="Z1936" s="2" t="n">
        <x:f>SUBTOTAL(103,A1936)</x:f>
        <x:v>1</x:v>
      </x:c>
      <x:c r="AA1936" s="2" t="str">
        <x:f>IF(K1936&lt;&gt;"미종결 표시","대상 아님",IF(N1936="","신청일 확인",IF(NOT(ISNUMBER('종합 현황'!$H$5)),"관찰기준 확인",IF('종합 현황'!$H$5&lt;1,"관찰기준 확인",IF(N1936&gt;'종합 현황'!$H$5,"내부 관찰 대상","내부 관찰일 이하")))))</x:f>
        <x:v>대상 아님</x:v>
      </x:c>
      <x:c r="AB1936" s="2"/>
    </x:row>
    <x:row r="1937" ht="42" customHeight="1">
      <x:c r="A1937" s="2" t="str">
        <x:v>3ecee733725b55326e54a83d</x:v>
      </x:c>
      <x:c r="B1937" s="2" t="str">
        <x:v>감축량 인증</x:v>
      </x:c>
      <x:c r="C1937" s="2" t="str">
        <x:v>국내</x:v>
      </x:c>
      <x:c r="D1937" s="7" t="str">
        <x:v>서울 월계 주공1단지 아파트 연료전환을 통한 온실가스 감축사업</x:v>
      </x:c>
      <x:c r="E1937" s="2" t="str">
        <x:v>177</x:v>
      </x:c>
      <x:c r="F1937" s="2"/>
      <x:c r="G1937" s="2" t="str">
        <x:v>미확보</x:v>
      </x:c>
      <x:c r="H1937" s="2" t="str">
        <x:v>미확보</x:v>
      </x:c>
      <x:c r="I1937" s="2" t="str">
        <x:v>심의승인</x:v>
      </x:c>
      <x:c r="J1937" s="2" t="str">
        <x:v>심의승인</x:v>
      </x:c>
      <x:c r="K1937" s="2" t="str">
        <x:f>IF(OR(J1937="심의승인",J1937="반려",J1937="반려완료",J1937="심의완료"),"종결 표시",IF(OR(J1937="기후부협의",J1937="문서재제출요청",J1937="보류",J1937="보완요청",J1937="보완완료",J1937="평가중",J1937="반려요청",J1937="평가필요",LEFT(J1937,5)="보완요청("),"미종결 표시","상태 확인 필요"))</x:f>
        <x:v>종결 표시</x:v>
      </x:c>
      <x:c r="L1937" s="2"/>
      <x:c r="M1937" s="2"/>
      <x:c r="N1937" s="8"/>
      <x:c r="O1937" s="2"/>
      <x:c r="P1937" s="2"/>
      <x:c r="Q1937" s="2" t="str">
        <x:v>산업전환_외부사업관리Tool_260707_이너젠 수정_LJY_261013.xlsx</x:v>
      </x:c>
      <x:c r="R1937" s="2" t="str">
        <x:v>국내인증</x:v>
      </x:c>
      <x:c r="S1937" s="8" t="n">
        <x:v>255</x:v>
      </x:c>
      <x:c r="T1937" s="2"/>
      <x:c r="U1937" s="2" t="str"/>
      <x:c r="V1937" s="2" t="str">
        <x:v>2019-12-05</x:v>
      </x:c>
      <x:c r="W1937" s="2" t="str">
        <x:v>신청일 확인 / 담당기관 확인</x:v>
      </x:c>
      <x:c r="X1937" s="2" t="str">
        <x:v>원본·배정 기록 확인</x:v>
      </x:c>
      <x:c r="Y1937" s="2" t="str">
        <x:v>ad210cd9ec132cfd447541c8984dc53d30aff0f4fb2dc92d254d49275cc55976</x:v>
      </x:c>
      <x:c r="Z1937" s="2" t="n">
        <x:f>SUBTOTAL(103,A1937)</x:f>
        <x:v>1</x:v>
      </x:c>
      <x:c r="AA1937" s="2" t="str">
        <x:f>IF(K1937&lt;&gt;"미종결 표시","대상 아님",IF(N1937="","신청일 확인",IF(NOT(ISNUMBER('종합 현황'!$H$5)),"관찰기준 확인",IF('종합 현황'!$H$5&lt;1,"관찰기준 확인",IF(N1937&gt;'종합 현황'!$H$5,"내부 관찰 대상","내부 관찰일 이하")))))</x:f>
        <x:v>대상 아님</x:v>
      </x:c>
      <x:c r="AB1937" s="2"/>
    </x:row>
    <x:row r="1938" ht="42" customHeight="1">
      <x:c r="A1938" s="2" t="str">
        <x:v>6e184078f2a233f58b67a5b6</x:v>
      </x:c>
      <x:c r="B1938" s="2" t="str">
        <x:v>감축량 인증</x:v>
      </x:c>
      <x:c r="C1938" s="2" t="str">
        <x:v>국내</x:v>
      </x:c>
      <x:c r="D1938" s="7" t="str">
        <x:v>서울 우면아파트 연료전환을 통한 온실가스 감축사업</x:v>
      </x:c>
      <x:c r="E1938" s="2" t="str">
        <x:v>178</x:v>
      </x:c>
      <x:c r="F1938" s="2"/>
      <x:c r="G1938" s="2" t="str">
        <x:v>미확보</x:v>
      </x:c>
      <x:c r="H1938" s="2" t="str">
        <x:v>미확보</x:v>
      </x:c>
      <x:c r="I1938" s="2" t="str">
        <x:v>심의승인</x:v>
      </x:c>
      <x:c r="J1938" s="2" t="str">
        <x:v>심의승인</x:v>
      </x:c>
      <x:c r="K1938" s="2" t="str">
        <x:f>IF(OR(J1938="심의승인",J1938="반려",J1938="반려완료",J1938="심의완료"),"종결 표시",IF(OR(J1938="기후부협의",J1938="문서재제출요청",J1938="보류",J1938="보완요청",J1938="보완완료",J1938="평가중",J1938="반려요청",J1938="평가필요",LEFT(J1938,5)="보완요청("),"미종결 표시","상태 확인 필요"))</x:f>
        <x:v>종결 표시</x:v>
      </x:c>
      <x:c r="L1938" s="2"/>
      <x:c r="M1938" s="2"/>
      <x:c r="N1938" s="8"/>
      <x:c r="O1938" s="2"/>
      <x:c r="P1938" s="2"/>
      <x:c r="Q1938" s="2" t="str">
        <x:v>산업전환_외부사업관리Tool_260707_이너젠 수정_LJY_261013.xlsx</x:v>
      </x:c>
      <x:c r="R1938" s="2" t="str">
        <x:v>국내인증</x:v>
      </x:c>
      <x:c r="S1938" s="8" t="n">
        <x:v>256</x:v>
      </x:c>
      <x:c r="T1938" s="2"/>
      <x:c r="U1938" s="2" t="str"/>
      <x:c r="V1938" s="2" t="str">
        <x:v>2019-12-05</x:v>
      </x:c>
      <x:c r="W1938" s="2" t="str">
        <x:v>신청일 확인 / 담당기관 확인</x:v>
      </x:c>
      <x:c r="X1938" s="2" t="str">
        <x:v>원본·배정 기록 확인</x:v>
      </x:c>
      <x:c r="Y1938" s="2" t="str">
        <x:v>ad210cd9ec132cfd447541c8984dc53d30aff0f4fb2dc92d254d49275cc55976</x:v>
      </x:c>
      <x:c r="Z1938" s="2" t="n">
        <x:f>SUBTOTAL(103,A1938)</x:f>
        <x:v>1</x:v>
      </x:c>
      <x:c r="AA1938" s="2" t="str">
        <x:f>IF(K1938&lt;&gt;"미종결 표시","대상 아님",IF(N1938="","신청일 확인",IF(NOT(ISNUMBER('종합 현황'!$H$5)),"관찰기준 확인",IF('종합 현황'!$H$5&lt;1,"관찰기준 확인",IF(N1938&gt;'종합 현황'!$H$5,"내부 관찰 대상","내부 관찰일 이하")))))</x:f>
        <x:v>대상 아님</x:v>
      </x:c>
      <x:c r="AB1938" s="2"/>
    </x:row>
    <x:row r="1939" ht="42" customHeight="1">
      <x:c r="A1939" s="2" t="str">
        <x:v>930a71ca62aea748b1e4e3c3</x:v>
      </x:c>
      <x:c r="B1939" s="2" t="str">
        <x:v>감축량 인증</x:v>
      </x:c>
      <x:c r="C1939" s="2" t="str">
        <x:v>국내</x:v>
      </x:c>
      <x:c r="D1939" s="7" t="str">
        <x:v>서울 번동 주공 5단지 아파트 연료전환을 통한 온실가스 감축사업</x:v>
      </x:c>
      <x:c r="E1939" s="2" t="str">
        <x:v>179</x:v>
      </x:c>
      <x:c r="F1939" s="2"/>
      <x:c r="G1939" s="2" t="str">
        <x:v>미확보</x:v>
      </x:c>
      <x:c r="H1939" s="2" t="str">
        <x:v>미확보</x:v>
      </x:c>
      <x:c r="I1939" s="2" t="str">
        <x:v>심의승인</x:v>
      </x:c>
      <x:c r="J1939" s="2" t="str">
        <x:v>심의승인</x:v>
      </x:c>
      <x:c r="K1939" s="2" t="str">
        <x:f>IF(OR(J1939="심의승인",J1939="반려",J1939="반려완료",J1939="심의완료"),"종결 표시",IF(OR(J1939="기후부협의",J1939="문서재제출요청",J1939="보류",J1939="보완요청",J1939="보완완료",J1939="평가중",J1939="반려요청",J1939="평가필요",LEFT(J1939,5)="보완요청("),"미종결 표시","상태 확인 필요"))</x:f>
        <x:v>종결 표시</x:v>
      </x:c>
      <x:c r="L1939" s="2"/>
      <x:c r="M1939" s="2"/>
      <x:c r="N1939" s="8"/>
      <x:c r="O1939" s="2"/>
      <x:c r="P1939" s="2"/>
      <x:c r="Q1939" s="2" t="str">
        <x:v>산업전환_외부사업관리Tool_260707_이너젠 수정_LJY_261013.xlsx</x:v>
      </x:c>
      <x:c r="R1939" s="2" t="str">
        <x:v>국내인증</x:v>
      </x:c>
      <x:c r="S1939" s="8" t="n">
        <x:v>257</x:v>
      </x:c>
      <x:c r="T1939" s="2"/>
      <x:c r="U1939" s="2" t="str"/>
      <x:c r="V1939" s="2" t="str">
        <x:v>2019-12-05</x:v>
      </x:c>
      <x:c r="W1939" s="2" t="str">
        <x:v>신청일 확인 / 담당기관 확인</x:v>
      </x:c>
      <x:c r="X1939" s="2" t="str">
        <x:v>원본·배정 기록 확인</x:v>
      </x:c>
      <x:c r="Y1939" s="2" t="str">
        <x:v>ad210cd9ec132cfd447541c8984dc53d30aff0f4fb2dc92d254d49275cc55976</x:v>
      </x:c>
      <x:c r="Z1939" s="2" t="n">
        <x:f>SUBTOTAL(103,A1939)</x:f>
        <x:v>1</x:v>
      </x:c>
      <x:c r="AA1939" s="2" t="str">
        <x:f>IF(K1939&lt;&gt;"미종결 표시","대상 아님",IF(N1939="","신청일 확인",IF(NOT(ISNUMBER('종합 현황'!$H$5)),"관찰기준 확인",IF('종합 현황'!$H$5&lt;1,"관찰기준 확인",IF(N1939&gt;'종합 현황'!$H$5,"내부 관찰 대상","내부 관찰일 이하")))))</x:f>
        <x:v>대상 아님</x:v>
      </x:c>
      <x:c r="AB1939" s="2"/>
    </x:row>
    <x:row r="1940" ht="42" customHeight="1">
      <x:c r="A1940" s="2" t="str">
        <x:v>d8e34defe71a4bb8095ce58d</x:v>
      </x:c>
      <x:c r="B1940" s="2" t="str">
        <x:v>감축량 인증</x:v>
      </x:c>
      <x:c r="C1940" s="2" t="str">
        <x:v>국내</x:v>
      </x:c>
      <x:c r="D1940" s="7" t="str">
        <x:v>서울 번동 주공3단지 아파트연료전환을 통한 온실가스 감축사업</x:v>
      </x:c>
      <x:c r="E1940" s="2" t="str">
        <x:v>180</x:v>
      </x:c>
      <x:c r="F1940" s="2"/>
      <x:c r="G1940" s="2" t="str">
        <x:v>미확보</x:v>
      </x:c>
      <x:c r="H1940" s="2" t="str">
        <x:v>미확보</x:v>
      </x:c>
      <x:c r="I1940" s="2" t="str">
        <x:v>심의승인</x:v>
      </x:c>
      <x:c r="J1940" s="2" t="str">
        <x:v>심의승인</x:v>
      </x:c>
      <x:c r="K1940" s="2" t="str">
        <x:f>IF(OR(J1940="심의승인",J1940="반려",J1940="반려완료",J1940="심의완료"),"종결 표시",IF(OR(J1940="기후부협의",J1940="문서재제출요청",J1940="보류",J1940="보완요청",J1940="보완완료",J1940="평가중",J1940="반려요청",J1940="평가필요",LEFT(J1940,5)="보완요청("),"미종결 표시","상태 확인 필요"))</x:f>
        <x:v>종결 표시</x:v>
      </x:c>
      <x:c r="L1940" s="2"/>
      <x:c r="M1940" s="2"/>
      <x:c r="N1940" s="8"/>
      <x:c r="O1940" s="2"/>
      <x:c r="P1940" s="2"/>
      <x:c r="Q1940" s="2" t="str">
        <x:v>산업전환_외부사업관리Tool_260707_이너젠 수정_LJY_261013.xlsx</x:v>
      </x:c>
      <x:c r="R1940" s="2" t="str">
        <x:v>국내인증</x:v>
      </x:c>
      <x:c r="S1940" s="8" t="n">
        <x:v>258</x:v>
      </x:c>
      <x:c r="T1940" s="2"/>
      <x:c r="U1940" s="2" t="str"/>
      <x:c r="V1940" s="2" t="str">
        <x:v>2019-12-05</x:v>
      </x:c>
      <x:c r="W1940" s="2" t="str">
        <x:v>신청일 확인 / 담당기관 확인</x:v>
      </x:c>
      <x:c r="X1940" s="2" t="str">
        <x:v>원본·배정 기록 확인</x:v>
      </x:c>
      <x:c r="Y1940" s="2" t="str">
        <x:v>ad210cd9ec132cfd447541c8984dc53d30aff0f4fb2dc92d254d49275cc55976</x:v>
      </x:c>
      <x:c r="Z1940" s="2" t="n">
        <x:f>SUBTOTAL(103,A1940)</x:f>
        <x:v>1</x:v>
      </x:c>
      <x:c r="AA1940" s="2" t="str">
        <x:f>IF(K1940&lt;&gt;"미종결 표시","대상 아님",IF(N1940="","신청일 확인",IF(NOT(ISNUMBER('종합 현황'!$H$5)),"관찰기준 확인",IF('종합 현황'!$H$5&lt;1,"관찰기준 확인",IF(N1940&gt;'종합 현황'!$H$5,"내부 관찰 대상","내부 관찰일 이하")))))</x:f>
        <x:v>대상 아님</x:v>
      </x:c>
      <x:c r="AB1940" s="2"/>
    </x:row>
    <x:row r="1941" ht="42" customHeight="1">
      <x:c r="A1941" s="2" t="str">
        <x:v>ceeefafd6cef50179f0b5994</x:v>
      </x:c>
      <x:c r="B1941" s="2" t="str">
        <x:v>감축량 인증</x:v>
      </x:c>
      <x:c r="C1941" s="2" t="str">
        <x:v>국내</x:v>
      </x:c>
      <x:c r="D1941" s="7" t="str">
        <x:v>서울 번동 주공2단지 아파트 연료전환을 통한 온실가스 감축사업</x:v>
      </x:c>
      <x:c r="E1941" s="2" t="str">
        <x:v>181</x:v>
      </x:c>
      <x:c r="F1941" s="2"/>
      <x:c r="G1941" s="2" t="str">
        <x:v>미확보</x:v>
      </x:c>
      <x:c r="H1941" s="2" t="str">
        <x:v>미확보</x:v>
      </x:c>
      <x:c r="I1941" s="2" t="str">
        <x:v>심의승인</x:v>
      </x:c>
      <x:c r="J1941" s="2" t="str">
        <x:v>심의승인</x:v>
      </x:c>
      <x:c r="K1941" s="2" t="str">
        <x:f>IF(OR(J1941="심의승인",J1941="반려",J1941="반려완료",J1941="심의완료"),"종결 표시",IF(OR(J1941="기후부협의",J1941="문서재제출요청",J1941="보류",J1941="보완요청",J1941="보완완료",J1941="평가중",J1941="반려요청",J1941="평가필요",LEFT(J1941,5)="보완요청("),"미종결 표시","상태 확인 필요"))</x:f>
        <x:v>종결 표시</x:v>
      </x:c>
      <x:c r="L1941" s="2"/>
      <x:c r="M1941" s="2"/>
      <x:c r="N1941" s="8"/>
      <x:c r="O1941" s="2"/>
      <x:c r="P1941" s="2"/>
      <x:c r="Q1941" s="2" t="str">
        <x:v>산업전환_외부사업관리Tool_260707_이너젠 수정_LJY_261013.xlsx</x:v>
      </x:c>
      <x:c r="R1941" s="2" t="str">
        <x:v>국내인증</x:v>
      </x:c>
      <x:c r="S1941" s="8" t="n">
        <x:v>259</x:v>
      </x:c>
      <x:c r="T1941" s="2"/>
      <x:c r="U1941" s="2" t="str"/>
      <x:c r="V1941" s="2" t="str">
        <x:v>2019-12-05</x:v>
      </x:c>
      <x:c r="W1941" s="2" t="str">
        <x:v>신청일 확인 / 담당기관 확인</x:v>
      </x:c>
      <x:c r="X1941" s="2" t="str">
        <x:v>원본·배정 기록 확인</x:v>
      </x:c>
      <x:c r="Y1941" s="2" t="str">
        <x:v>ad210cd9ec132cfd447541c8984dc53d30aff0f4fb2dc92d254d49275cc55976</x:v>
      </x:c>
      <x:c r="Z1941" s="2" t="n">
        <x:f>SUBTOTAL(103,A1941)</x:f>
        <x:v>1</x:v>
      </x:c>
      <x:c r="AA1941" s="2" t="str">
        <x:f>IF(K1941&lt;&gt;"미종결 표시","대상 아님",IF(N1941="","신청일 확인",IF(NOT(ISNUMBER('종합 현황'!$H$5)),"관찰기준 확인",IF('종합 현황'!$H$5&lt;1,"관찰기준 확인",IF(N1941&gt;'종합 현황'!$H$5,"내부 관찰 대상","내부 관찰일 이하")))))</x:f>
        <x:v>대상 아님</x:v>
      </x:c>
      <x:c r="AB1941" s="2"/>
    </x:row>
    <x:row r="1942" ht="42" customHeight="1">
      <x:c r="A1942" s="2" t="str">
        <x:v>fddb1e16464bf7c82a4316ae</x:v>
      </x:c>
      <x:c r="B1942" s="2" t="str">
        <x:v>감축량 인증</x:v>
      </x:c>
      <x:c r="C1942" s="2" t="str">
        <x:v>국내</x:v>
      </x:c>
      <x:c r="D1942" s="7" t="str">
        <x:v>부천 춘의단지 아파트 연료전환을 통한 온실가스 감축사업</x:v>
      </x:c>
      <x:c r="E1942" s="2" t="str">
        <x:v>182</x:v>
      </x:c>
      <x:c r="F1942" s="2"/>
      <x:c r="G1942" s="2" t="str">
        <x:v>미확보</x:v>
      </x:c>
      <x:c r="H1942" s="2" t="str">
        <x:v>미확보</x:v>
      </x:c>
      <x:c r="I1942" s="2" t="str">
        <x:v>심의승인</x:v>
      </x:c>
      <x:c r="J1942" s="2" t="str">
        <x:v>심의승인</x:v>
      </x:c>
      <x:c r="K1942" s="2" t="str">
        <x:f>IF(OR(J1942="심의승인",J1942="반려",J1942="반려완료",J1942="심의완료"),"종결 표시",IF(OR(J1942="기후부협의",J1942="문서재제출요청",J1942="보류",J1942="보완요청",J1942="보완완료",J1942="평가중",J1942="반려요청",J1942="평가필요",LEFT(J1942,5)="보완요청("),"미종결 표시","상태 확인 필요"))</x:f>
        <x:v>종결 표시</x:v>
      </x:c>
      <x:c r="L1942" s="2"/>
      <x:c r="M1942" s="2"/>
      <x:c r="N1942" s="8"/>
      <x:c r="O1942" s="2"/>
      <x:c r="P1942" s="2"/>
      <x:c r="Q1942" s="2" t="str">
        <x:v>산업전환_외부사업관리Tool_260707_이너젠 수정_LJY_261013.xlsx</x:v>
      </x:c>
      <x:c r="R1942" s="2" t="str">
        <x:v>국내인증</x:v>
      </x:c>
      <x:c r="S1942" s="8" t="n">
        <x:v>260</x:v>
      </x:c>
      <x:c r="T1942" s="2"/>
      <x:c r="U1942" s="2" t="str"/>
      <x:c r="V1942" s="2" t="str">
        <x:v>2019-12-05</x:v>
      </x:c>
      <x:c r="W1942" s="2" t="str">
        <x:v>신청일 확인 / 담당기관 확인</x:v>
      </x:c>
      <x:c r="X1942" s="2" t="str">
        <x:v>원본·배정 기록 확인</x:v>
      </x:c>
      <x:c r="Y1942" s="2" t="str">
        <x:v>ad210cd9ec132cfd447541c8984dc53d30aff0f4fb2dc92d254d49275cc55976</x:v>
      </x:c>
      <x:c r="Z1942" s="2" t="n">
        <x:f>SUBTOTAL(103,A1942)</x:f>
        <x:v>1</x:v>
      </x:c>
      <x:c r="AA1942" s="2" t="str">
        <x:f>IF(K1942&lt;&gt;"미종결 표시","대상 아님",IF(N1942="","신청일 확인",IF(NOT(ISNUMBER('종합 현황'!$H$5)),"관찰기준 확인",IF('종합 현황'!$H$5&lt;1,"관찰기준 확인",IF(N1942&gt;'종합 현황'!$H$5,"내부 관찰 대상","내부 관찰일 이하")))))</x:f>
        <x:v>대상 아님</x:v>
      </x:c>
      <x:c r="AB1942" s="2"/>
    </x:row>
    <x:row r="1943" ht="42" customHeight="1">
      <x:c r="A1943" s="2" t="str">
        <x:v>c82fa3995479228515a8f836</x:v>
      </x:c>
      <x:c r="B1943" s="2" t="str">
        <x:v>감축량 인증</x:v>
      </x:c>
      <x:c r="C1943" s="2" t="str">
        <x:v>국내</x:v>
      </x:c>
      <x:c r="D1943" s="7" t="str">
        <x:v>휴켐스 질산공장 N2O 감축사업(휴켐스 주식회사의 질산 공장 세 곳에서 tail gas에 포함된 아산화질소를 촉매를 사용하여 제거하는 프로젝트)</x:v>
      </x:c>
      <x:c r="E1943" s="2" t="str">
        <x:v>183</x:v>
      </x:c>
      <x:c r="F1943" s="2"/>
      <x:c r="G1943" s="2" t="str">
        <x:v>미확보</x:v>
      </x:c>
      <x:c r="H1943" s="2" t="str">
        <x:v>미확보</x:v>
      </x:c>
      <x:c r="I1943" s="2" t="str">
        <x:v>심의승인</x:v>
      </x:c>
      <x:c r="J1943" s="2" t="str">
        <x:v>심의승인</x:v>
      </x:c>
      <x:c r="K1943" s="2" t="str">
        <x:f>IF(OR(J1943="심의승인",J1943="반려",J1943="반려완료",J1943="심의완료"),"종결 표시",IF(OR(J1943="기후부협의",J1943="문서재제출요청",J1943="보류",J1943="보완요청",J1943="보완완료",J1943="평가중",J1943="반려요청",J1943="평가필요",LEFT(J1943,5)="보완요청("),"미종결 표시","상태 확인 필요"))</x:f>
        <x:v>종결 표시</x:v>
      </x:c>
      <x:c r="L1943" s="2"/>
      <x:c r="M1943" s="2"/>
      <x:c r="N1943" s="8"/>
      <x:c r="O1943" s="2"/>
      <x:c r="P1943" s="2"/>
      <x:c r="Q1943" s="2" t="str">
        <x:v>산업전환_외부사업관리Tool_260707_이너젠 수정_LJY_261013.xlsx</x:v>
      </x:c>
      <x:c r="R1943" s="2" t="str">
        <x:v>국내인증</x:v>
      </x:c>
      <x:c r="S1943" s="8" t="n">
        <x:v>261</x:v>
      </x:c>
      <x:c r="T1943" s="2"/>
      <x:c r="U1943" s="2" t="str"/>
      <x:c r="V1943" s="2" t="str">
        <x:v>2019-06-26</x:v>
      </x:c>
      <x:c r="W1943" s="2" t="str">
        <x:v>신청일 확인 / 담당기관 확인</x:v>
      </x:c>
      <x:c r="X1943" s="2" t="str">
        <x:v>원본·배정 기록 확인</x:v>
      </x:c>
      <x:c r="Y1943" s="2" t="str">
        <x:v>ad210cd9ec132cfd447541c8984dc53d30aff0f4fb2dc92d254d49275cc55976</x:v>
      </x:c>
      <x:c r="Z1943" s="2" t="n">
        <x:f>SUBTOTAL(103,A1943)</x:f>
        <x:v>1</x:v>
      </x:c>
      <x:c r="AA1943" s="2" t="str">
        <x:f>IF(K1943&lt;&gt;"미종결 표시","대상 아님",IF(N1943="","신청일 확인",IF(NOT(ISNUMBER('종합 현황'!$H$5)),"관찰기준 확인",IF('종합 현황'!$H$5&lt;1,"관찰기준 확인",IF(N1943&gt;'종합 현황'!$H$5,"내부 관찰 대상","내부 관찰일 이하")))))</x:f>
        <x:v>대상 아님</x:v>
      </x:c>
      <x:c r="AB1943" s="2"/>
    </x:row>
    <x:row r="1944" ht="42" customHeight="1">
      <x:c r="A1944" s="2" t="str">
        <x:v>22679dda701b814f265a772e</x:v>
      </x:c>
      <x:c r="B1944" s="2" t="str">
        <x:v>감축량 인증</x:v>
      </x:c>
      <x:c r="C1944" s="2" t="str">
        <x:v>국내</x:v>
      </x:c>
      <x:c r="D1944" s="7" t="str">
        <x:v>휴켐스(주) 신설 5질산에서 발생하는 아산화질소 배출량 저감사업</x:v>
      </x:c>
      <x:c r="E1944" s="2" t="str">
        <x:v>184</x:v>
      </x:c>
      <x:c r="F1944" s="2"/>
      <x:c r="G1944" s="2" t="str">
        <x:v>미확보</x:v>
      </x:c>
      <x:c r="H1944" s="2" t="str">
        <x:v>미확보</x:v>
      </x:c>
      <x:c r="I1944" s="2" t="str">
        <x:v>심의승인</x:v>
      </x:c>
      <x:c r="J1944" s="2" t="str">
        <x:v>심의승인</x:v>
      </x:c>
      <x:c r="K1944" s="2" t="str">
        <x:f>IF(OR(J1944="심의승인",J1944="반려",J1944="반려완료",J1944="심의완료"),"종결 표시",IF(OR(J1944="기후부협의",J1944="문서재제출요청",J1944="보류",J1944="보완요청",J1944="보완완료",J1944="평가중",J1944="반려요청",J1944="평가필요",LEFT(J1944,5)="보완요청("),"미종결 표시","상태 확인 필요"))</x:f>
        <x:v>종결 표시</x:v>
      </x:c>
      <x:c r="L1944" s="2"/>
      <x:c r="M1944" s="2"/>
      <x:c r="N1944" s="8"/>
      <x:c r="O1944" s="2"/>
      <x:c r="P1944" s="2"/>
      <x:c r="Q1944" s="2" t="str">
        <x:v>산업전환_외부사업관리Tool_260707_이너젠 수정_LJY_261013.xlsx</x:v>
      </x:c>
      <x:c r="R1944" s="2" t="str">
        <x:v>국내인증</x:v>
      </x:c>
      <x:c r="S1944" s="8" t="n">
        <x:v>262</x:v>
      </x:c>
      <x:c r="T1944" s="2"/>
      <x:c r="U1944" s="2" t="str"/>
      <x:c r="V1944" s="2" t="str">
        <x:v>2019-06-26</x:v>
      </x:c>
      <x:c r="W1944" s="2" t="str">
        <x:v>신청일 확인 / 담당기관 확인</x:v>
      </x:c>
      <x:c r="X1944" s="2" t="str">
        <x:v>원본·배정 기록 확인</x:v>
      </x:c>
      <x:c r="Y1944" s="2" t="str">
        <x:v>ad210cd9ec132cfd447541c8984dc53d30aff0f4fb2dc92d254d49275cc55976</x:v>
      </x:c>
      <x:c r="Z1944" s="2" t="n">
        <x:f>SUBTOTAL(103,A1944)</x:f>
        <x:v>1</x:v>
      </x:c>
      <x:c r="AA1944" s="2" t="str">
        <x:f>IF(K1944&lt;&gt;"미종결 표시","대상 아님",IF(N1944="","신청일 확인",IF(NOT(ISNUMBER('종합 현황'!$H$5)),"관찰기준 확인",IF('종합 현황'!$H$5&lt;1,"관찰기준 확인",IF(N1944&gt;'종합 현황'!$H$5,"내부 관찰 대상","내부 관찰일 이하")))))</x:f>
        <x:v>대상 아님</x:v>
      </x:c>
      <x:c r="AB1944" s="2"/>
    </x:row>
    <x:row r="1945" ht="42" customHeight="1">
      <x:c r="A1945" s="2" t="str">
        <x:v>d20d5534f175cb9733b3904c</x:v>
      </x:c>
      <x:c r="B1945" s="2" t="str">
        <x:v>감축량 인증</x:v>
      </x:c>
      <x:c r="C1945" s="2" t="str">
        <x:v>국내</x:v>
      </x:c>
      <x:c r="D1945" s="7" t="str">
        <x:v>LG 화학 나주 공장 연료전환 사업</x:v>
      </x:c>
      <x:c r="E1945" s="2" t="str">
        <x:v>185</x:v>
      </x:c>
      <x:c r="F1945" s="2"/>
      <x:c r="G1945" s="2" t="str">
        <x:v>미확보</x:v>
      </x:c>
      <x:c r="H1945" s="2" t="str">
        <x:v>미확보</x:v>
      </x:c>
      <x:c r="I1945" s="2" t="str">
        <x:v>심의승인</x:v>
      </x:c>
      <x:c r="J1945" s="2" t="str">
        <x:v>심의승인</x:v>
      </x:c>
      <x:c r="K1945" s="2" t="str">
        <x:f>IF(OR(J1945="심의승인",J1945="반려",J1945="반려완료",J1945="심의완료"),"종결 표시",IF(OR(J1945="기후부협의",J1945="문서재제출요청",J1945="보류",J1945="보완요청",J1945="보완완료",J1945="평가중",J1945="반려요청",J1945="평가필요",LEFT(J1945,5)="보완요청("),"미종결 표시","상태 확인 필요"))</x:f>
        <x:v>종결 표시</x:v>
      </x:c>
      <x:c r="L1945" s="2"/>
      <x:c r="M1945" s="2"/>
      <x:c r="N1945" s="8"/>
      <x:c r="O1945" s="2"/>
      <x:c r="P1945" s="2"/>
      <x:c r="Q1945" s="2" t="str">
        <x:v>산업전환_외부사업관리Tool_260707_이너젠 수정_LJY_261013.xlsx</x:v>
      </x:c>
      <x:c r="R1945" s="2" t="str">
        <x:v>국내인증</x:v>
      </x:c>
      <x:c r="S1945" s="8" t="n">
        <x:v>263</x:v>
      </x:c>
      <x:c r="T1945" s="2"/>
      <x:c r="U1945" s="2" t="str"/>
      <x:c r="V1945" s="2" t="str">
        <x:v>2019-06-26</x:v>
      </x:c>
      <x:c r="W1945" s="2" t="str">
        <x:v>신청일 확인 / 담당기관 확인</x:v>
      </x:c>
      <x:c r="X1945" s="2" t="str">
        <x:v>원본·배정 기록 확인</x:v>
      </x:c>
      <x:c r="Y1945" s="2" t="str">
        <x:v>ad210cd9ec132cfd447541c8984dc53d30aff0f4fb2dc92d254d49275cc55976</x:v>
      </x:c>
      <x:c r="Z1945" s="2" t="n">
        <x:f>SUBTOTAL(103,A1945)</x:f>
        <x:v>1</x:v>
      </x:c>
      <x:c r="AA1945" s="2" t="str">
        <x:f>IF(K1945&lt;&gt;"미종결 표시","대상 아님",IF(N1945="","신청일 확인",IF(NOT(ISNUMBER('종합 현황'!$H$5)),"관찰기준 확인",IF('종합 현황'!$H$5&lt;1,"관찰기준 확인",IF(N1945&gt;'종합 현황'!$H$5,"내부 관찰 대상","내부 관찰일 이하")))))</x:f>
        <x:v>대상 아님</x:v>
      </x:c>
      <x:c r="AB1945" s="2"/>
    </x:row>
    <x:row r="1946" ht="42" customHeight="1">
      <x:c r="A1946" s="2" t="str">
        <x:v>c7b253f523e2456b3fa5e926</x:v>
      </x:c>
      <x:c r="B1946" s="2" t="str">
        <x:v>감축량 인증</x:v>
      </x:c>
      <x:c r="C1946" s="2" t="str">
        <x:v>국내</x:v>
      </x:c>
      <x:c r="D1946" s="7" t="str">
        <x:v>삼화페인트공업 주식회사 연료전환 (B-C유 → 도시가스) 감축사업</x:v>
      </x:c>
      <x:c r="E1946" s="2" t="str">
        <x:v>186</x:v>
      </x:c>
      <x:c r="F1946" s="2"/>
      <x:c r="G1946" s="2" t="str">
        <x:v>미확보</x:v>
      </x:c>
      <x:c r="H1946" s="2" t="str">
        <x:v>미확보</x:v>
      </x:c>
      <x:c r="I1946" s="2" t="str">
        <x:v>심의승인</x:v>
      </x:c>
      <x:c r="J1946" s="2" t="str">
        <x:v>심의승인</x:v>
      </x:c>
      <x:c r="K1946" s="2" t="str">
        <x:f>IF(OR(J1946="심의승인",J1946="반려",J1946="반려완료",J1946="심의완료"),"종결 표시",IF(OR(J1946="기후부협의",J1946="문서재제출요청",J1946="보류",J1946="보완요청",J1946="보완완료",J1946="평가중",J1946="반려요청",J1946="평가필요",LEFT(J1946,5)="보완요청("),"미종결 표시","상태 확인 필요"))</x:f>
        <x:v>종결 표시</x:v>
      </x:c>
      <x:c r="L1946" s="2"/>
      <x:c r="M1946" s="2"/>
      <x:c r="N1946" s="8"/>
      <x:c r="O1946" s="2"/>
      <x:c r="P1946" s="2"/>
      <x:c r="Q1946" s="2" t="str">
        <x:v>산업전환_외부사업관리Tool_260707_이너젠 수정_LJY_261013.xlsx</x:v>
      </x:c>
      <x:c r="R1946" s="2" t="str">
        <x:v>국내인증</x:v>
      </x:c>
      <x:c r="S1946" s="8" t="n">
        <x:v>264</x:v>
      </x:c>
      <x:c r="T1946" s="2"/>
      <x:c r="U1946" s="2" t="str"/>
      <x:c r="V1946" s="2" t="str">
        <x:v>2019-06-26</x:v>
      </x:c>
      <x:c r="W1946" s="2" t="str">
        <x:v>신청일 확인 / 담당기관 확인</x:v>
      </x:c>
      <x:c r="X1946" s="2" t="str">
        <x:v>원본·배정 기록 확인</x:v>
      </x:c>
      <x:c r="Y1946" s="2" t="str">
        <x:v>ad210cd9ec132cfd447541c8984dc53d30aff0f4fb2dc92d254d49275cc55976</x:v>
      </x:c>
      <x:c r="Z1946" s="2" t="n">
        <x:f>SUBTOTAL(103,A1946)</x:f>
        <x:v>1</x:v>
      </x:c>
      <x:c r="AA1946" s="2" t="str">
        <x:f>IF(K1946&lt;&gt;"미종결 표시","대상 아님",IF(N1946="","신청일 확인",IF(NOT(ISNUMBER('종합 현황'!$H$5)),"관찰기준 확인",IF('종합 현황'!$H$5&lt;1,"관찰기준 확인",IF(N1946&gt;'종합 현황'!$H$5,"내부 관찰 대상","내부 관찰일 이하")))))</x:f>
        <x:v>대상 아님</x:v>
      </x:c>
      <x:c r="AB1946" s="2"/>
    </x:row>
    <x:row r="1947" ht="42" customHeight="1">
      <x:c r="A1947" s="2" t="str">
        <x:v>01aaa1e8ae9dea78fd9981a7</x:v>
      </x:c>
      <x:c r="B1947" s="2" t="str">
        <x:v>감축량 인증</x:v>
      </x:c>
      <x:c r="C1947" s="2" t="str">
        <x:v>국내</x:v>
      </x:c>
      <x:c r="D1947" s="7" t="str">
        <x:v>선호피엔에스 연료전환 (B-B유 -&gt; 도시가스) 감축사업</x:v>
      </x:c>
      <x:c r="E1947" s="2" t="str">
        <x:v>187</x:v>
      </x:c>
      <x:c r="F1947" s="2"/>
      <x:c r="G1947" s="2" t="str">
        <x:v>미확보</x:v>
      </x:c>
      <x:c r="H1947" s="2" t="str">
        <x:v>미확보</x:v>
      </x:c>
      <x:c r="I1947" s="2" t="str">
        <x:v>심의승인</x:v>
      </x:c>
      <x:c r="J1947" s="2" t="str">
        <x:v>심의승인</x:v>
      </x:c>
      <x:c r="K1947" s="2" t="str">
        <x:f>IF(OR(J1947="심의승인",J1947="반려",J1947="반려완료",J1947="심의완료"),"종결 표시",IF(OR(J1947="기후부협의",J1947="문서재제출요청",J1947="보류",J1947="보완요청",J1947="보완완료",J1947="평가중",J1947="반려요청",J1947="평가필요",LEFT(J1947,5)="보완요청("),"미종결 표시","상태 확인 필요"))</x:f>
        <x:v>종결 표시</x:v>
      </x:c>
      <x:c r="L1947" s="2"/>
      <x:c r="M1947" s="2"/>
      <x:c r="N1947" s="8"/>
      <x:c r="O1947" s="2"/>
      <x:c r="P1947" s="2"/>
      <x:c r="Q1947" s="2" t="str">
        <x:v>산업전환_외부사업관리Tool_260707_이너젠 수정_LJY_261013.xlsx</x:v>
      </x:c>
      <x:c r="R1947" s="2" t="str">
        <x:v>국내인증</x:v>
      </x:c>
      <x:c r="S1947" s="8" t="n">
        <x:v>265</x:v>
      </x:c>
      <x:c r="T1947" s="2"/>
      <x:c r="U1947" s="2" t="str"/>
      <x:c r="V1947" s="2" t="str">
        <x:v>2019-06-26</x:v>
      </x:c>
      <x:c r="W1947" s="2" t="str">
        <x:v>신청일 확인 / 담당기관 확인</x:v>
      </x:c>
      <x:c r="X1947" s="2" t="str">
        <x:v>원본·배정 기록 확인</x:v>
      </x:c>
      <x:c r="Y1947" s="2" t="str">
        <x:v>ad210cd9ec132cfd447541c8984dc53d30aff0f4fb2dc92d254d49275cc55976</x:v>
      </x:c>
      <x:c r="Z1947" s="2" t="n">
        <x:f>SUBTOTAL(103,A1947)</x:f>
        <x:v>1</x:v>
      </x:c>
      <x:c r="AA1947" s="2" t="str">
        <x:f>IF(K1947&lt;&gt;"미종결 표시","대상 아님",IF(N1947="","신청일 확인",IF(NOT(ISNUMBER('종합 현황'!$H$5)),"관찰기준 확인",IF('종합 현황'!$H$5&lt;1,"관찰기준 확인",IF(N1947&gt;'종합 현황'!$H$5,"내부 관찰 대상","내부 관찰일 이하")))))</x:f>
        <x:v>대상 아님</x:v>
      </x:c>
      <x:c r="AB1947" s="2"/>
    </x:row>
    <x:row r="1948" ht="42" customHeight="1">
      <x:c r="A1948" s="2" t="str">
        <x:v>30bfe5bc30357e08b4279761</x:v>
      </x:c>
      <x:c r="B1948" s="2" t="str">
        <x:v>감축량 인증</x:v>
      </x:c>
      <x:c r="C1948" s="2" t="str">
        <x:v>국내</x:v>
      </x:c>
      <x:c r="D1948" s="7" t="str">
        <x:v>영덕물산 연료전환(B-C유-&gt; 도시가스) 감축사업</x:v>
      </x:c>
      <x:c r="E1948" s="2" t="str">
        <x:v>188</x:v>
      </x:c>
      <x:c r="F1948" s="2"/>
      <x:c r="G1948" s="2" t="str">
        <x:v>미확보</x:v>
      </x:c>
      <x:c r="H1948" s="2" t="str">
        <x:v>미확보</x:v>
      </x:c>
      <x:c r="I1948" s="2" t="str">
        <x:v>심의승인</x:v>
      </x:c>
      <x:c r="J1948" s="2" t="str">
        <x:v>심의승인</x:v>
      </x:c>
      <x:c r="K1948" s="2" t="str">
        <x:f>IF(OR(J1948="심의승인",J1948="반려",J1948="반려완료",J1948="심의완료"),"종결 표시",IF(OR(J1948="기후부협의",J1948="문서재제출요청",J1948="보류",J1948="보완요청",J1948="보완완료",J1948="평가중",J1948="반려요청",J1948="평가필요",LEFT(J1948,5)="보완요청("),"미종결 표시","상태 확인 필요"))</x:f>
        <x:v>종결 표시</x:v>
      </x:c>
      <x:c r="L1948" s="2"/>
      <x:c r="M1948" s="2"/>
      <x:c r="N1948" s="8"/>
      <x:c r="O1948" s="2"/>
      <x:c r="P1948" s="2"/>
      <x:c r="Q1948" s="2" t="str">
        <x:v>산업전환_외부사업관리Tool_260707_이너젠 수정_LJY_261013.xlsx</x:v>
      </x:c>
      <x:c r="R1948" s="2" t="str">
        <x:v>국내인증</x:v>
      </x:c>
      <x:c r="S1948" s="8" t="n">
        <x:v>266</x:v>
      </x:c>
      <x:c r="T1948" s="2"/>
      <x:c r="U1948" s="2" t="str"/>
      <x:c r="V1948" s="2" t="str">
        <x:v>2019-06-26</x:v>
      </x:c>
      <x:c r="W1948" s="2" t="str">
        <x:v>신청일 확인 / 담당기관 확인</x:v>
      </x:c>
      <x:c r="X1948" s="2" t="str">
        <x:v>원본·배정 기록 확인</x:v>
      </x:c>
      <x:c r="Y1948" s="2" t="str">
        <x:v>ad210cd9ec132cfd447541c8984dc53d30aff0f4fb2dc92d254d49275cc55976</x:v>
      </x:c>
      <x:c r="Z1948" s="2" t="n">
        <x:f>SUBTOTAL(103,A1948)</x:f>
        <x:v>1</x:v>
      </x:c>
      <x:c r="AA1948" s="2" t="str">
        <x:f>IF(K1948&lt;&gt;"미종결 표시","대상 아님",IF(N1948="","신청일 확인",IF(NOT(ISNUMBER('종합 현황'!$H$5)),"관찰기준 확인",IF('종합 현황'!$H$5&lt;1,"관찰기준 확인",IF(N1948&gt;'종합 현황'!$H$5,"내부 관찰 대상","내부 관찰일 이하")))))</x:f>
        <x:v>대상 아님</x:v>
      </x:c>
      <x:c r="AB1948" s="2"/>
    </x:row>
    <x:row r="1949" ht="42" customHeight="1">
      <x:c r="A1949" s="2" t="str">
        <x:v>4ef94dc95c3ee34194a4de0a</x:v>
      </x:c>
      <x:c r="B1949" s="2" t="str">
        <x:v>감축량 인증</x:v>
      </x:c>
      <x:c r="C1949" s="2" t="str">
        <x:v>국내</x:v>
      </x:c>
      <x:c r="D1949" s="7" t="str">
        <x:v>동인신철공업 주식회사 연료전환 (B-C유 -&gt; 도시가스) 감축사업</x:v>
      </x:c>
      <x:c r="E1949" s="2" t="str">
        <x:v>189</x:v>
      </x:c>
      <x:c r="F1949" s="2"/>
      <x:c r="G1949" s="2" t="str">
        <x:v>미확보</x:v>
      </x:c>
      <x:c r="H1949" s="2" t="str">
        <x:v>미확보</x:v>
      </x:c>
      <x:c r="I1949" s="2" t="str">
        <x:v>심의승인</x:v>
      </x:c>
      <x:c r="J1949" s="2" t="str">
        <x:v>심의승인</x:v>
      </x:c>
      <x:c r="K1949" s="2" t="str">
        <x:f>IF(OR(J1949="심의승인",J1949="반려",J1949="반려완료",J1949="심의완료"),"종결 표시",IF(OR(J1949="기후부협의",J1949="문서재제출요청",J1949="보류",J1949="보완요청",J1949="보완완료",J1949="평가중",J1949="반려요청",J1949="평가필요",LEFT(J1949,5)="보완요청("),"미종결 표시","상태 확인 필요"))</x:f>
        <x:v>종결 표시</x:v>
      </x:c>
      <x:c r="L1949" s="2"/>
      <x:c r="M1949" s="2"/>
      <x:c r="N1949" s="8"/>
      <x:c r="O1949" s="2"/>
      <x:c r="P1949" s="2"/>
      <x:c r="Q1949" s="2" t="str">
        <x:v>산업전환_외부사업관리Tool_260707_이너젠 수정_LJY_261013.xlsx</x:v>
      </x:c>
      <x:c r="R1949" s="2" t="str">
        <x:v>국내인증</x:v>
      </x:c>
      <x:c r="S1949" s="8" t="n">
        <x:v>267</x:v>
      </x:c>
      <x:c r="T1949" s="2"/>
      <x:c r="U1949" s="2" t="str"/>
      <x:c r="V1949" s="2" t="str">
        <x:v>2019-06-26</x:v>
      </x:c>
      <x:c r="W1949" s="2" t="str">
        <x:v>신청일 확인 / 담당기관 확인</x:v>
      </x:c>
      <x:c r="X1949" s="2" t="str">
        <x:v>원본·배정 기록 확인</x:v>
      </x:c>
      <x:c r="Y1949" s="2" t="str">
        <x:v>ad210cd9ec132cfd447541c8984dc53d30aff0f4fb2dc92d254d49275cc55976</x:v>
      </x:c>
      <x:c r="Z1949" s="2" t="n">
        <x:f>SUBTOTAL(103,A1949)</x:f>
        <x:v>1</x:v>
      </x:c>
      <x:c r="AA1949" s="2" t="str">
        <x:f>IF(K1949&lt;&gt;"미종결 표시","대상 아님",IF(N1949="","신청일 확인",IF(NOT(ISNUMBER('종합 현황'!$H$5)),"관찰기준 확인",IF('종합 현황'!$H$5&lt;1,"관찰기준 확인",IF(N1949&gt;'종합 현황'!$H$5,"내부 관찰 대상","내부 관찰일 이하")))))</x:f>
        <x:v>대상 아님</x:v>
      </x:c>
      <x:c r="AB1949" s="2"/>
    </x:row>
    <x:row r="1950" ht="42" customHeight="1">
      <x:c r="A1950" s="2" t="str">
        <x:v>d5177a1bc6fd59e71e865c3e</x:v>
      </x:c>
      <x:c r="B1950" s="2" t="str">
        <x:v>감축량 인증</x:v>
      </x:c>
      <x:c r="C1950" s="2" t="str">
        <x:v>국내</x:v>
      </x:c>
      <x:c r="D1950" s="7" t="str">
        <x:v>홍익콘크리트산업 연료전환(B-C유-&gt;도시가스) 감축사업(C-001)</x:v>
      </x:c>
      <x:c r="E1950" s="2" t="str">
        <x:v>190</x:v>
      </x:c>
      <x:c r="F1950" s="2"/>
      <x:c r="G1950" s="2" t="str">
        <x:v>미확보</x:v>
      </x:c>
      <x:c r="H1950" s="2" t="str">
        <x:v>미확보</x:v>
      </x:c>
      <x:c r="I1950" s="2" t="str">
        <x:v>심의승인</x:v>
      </x:c>
      <x:c r="J1950" s="2" t="str">
        <x:v>심의승인</x:v>
      </x:c>
      <x:c r="K1950" s="2" t="str">
        <x:f>IF(OR(J1950="심의승인",J1950="반려",J1950="반려완료",J1950="심의완료"),"종결 표시",IF(OR(J1950="기후부협의",J1950="문서재제출요청",J1950="보류",J1950="보완요청",J1950="보완완료",J1950="평가중",J1950="반려요청",J1950="평가필요",LEFT(J1950,5)="보완요청("),"미종결 표시","상태 확인 필요"))</x:f>
        <x:v>종결 표시</x:v>
      </x:c>
      <x:c r="L1950" s="2"/>
      <x:c r="M1950" s="2"/>
      <x:c r="N1950" s="8"/>
      <x:c r="O1950" s="2"/>
      <x:c r="P1950" s="2"/>
      <x:c r="Q1950" s="2" t="str">
        <x:v>산업전환_외부사업관리Tool_260707_이너젠 수정_LJY_261013.xlsx</x:v>
      </x:c>
      <x:c r="R1950" s="2" t="str">
        <x:v>국내인증</x:v>
      </x:c>
      <x:c r="S1950" s="8" t="n">
        <x:v>268</x:v>
      </x:c>
      <x:c r="T1950" s="2"/>
      <x:c r="U1950" s="2" t="str"/>
      <x:c r="V1950" s="2" t="str">
        <x:v>2019-06-26</x:v>
      </x:c>
      <x:c r="W1950" s="2" t="str">
        <x:v>신청일 확인 / 담당기관 확인</x:v>
      </x:c>
      <x:c r="X1950" s="2" t="str">
        <x:v>원본·배정 기록 확인</x:v>
      </x:c>
      <x:c r="Y1950" s="2" t="str">
        <x:v>ad210cd9ec132cfd447541c8984dc53d30aff0f4fb2dc92d254d49275cc55976</x:v>
      </x:c>
      <x:c r="Z1950" s="2" t="n">
        <x:f>SUBTOTAL(103,A1950)</x:f>
        <x:v>1</x:v>
      </x:c>
      <x:c r="AA1950" s="2" t="str">
        <x:f>IF(K1950&lt;&gt;"미종결 표시","대상 아님",IF(N1950="","신청일 확인",IF(NOT(ISNUMBER('종합 현황'!$H$5)),"관찰기준 확인",IF('종합 현황'!$H$5&lt;1,"관찰기준 확인",IF(N1950&gt;'종합 현황'!$H$5,"내부 관찰 대상","내부 관찰일 이하")))))</x:f>
        <x:v>대상 아님</x:v>
      </x:c>
      <x:c r="AB1950" s="2"/>
    </x:row>
    <x:row r="1951" ht="42" customHeight="1">
      <x:c r="A1951" s="2" t="str">
        <x:v>20fc9092df2b64d361f95d27</x:v>
      </x:c>
      <x:c r="B1951" s="2" t="str">
        <x:v>감축량 인증</x:v>
      </x:c>
      <x:c r="C1951" s="2" t="str">
        <x:v>국내</x:v>
      </x:c>
      <x:c r="D1951" s="7" t="str">
        <x:v>팜스코 중부공장 연료전환 (B-C유 &gt;도시가스) 감축사업</x:v>
      </x:c>
      <x:c r="E1951" s="2" t="str">
        <x:v>191</x:v>
      </x:c>
      <x:c r="F1951" s="2"/>
      <x:c r="G1951" s="2" t="str">
        <x:v>미확보</x:v>
      </x:c>
      <x:c r="H1951" s="2" t="str">
        <x:v>미확보</x:v>
      </x:c>
      <x:c r="I1951" s="2" t="str">
        <x:v>심의승인</x:v>
      </x:c>
      <x:c r="J1951" s="2" t="str">
        <x:v>심의승인</x:v>
      </x:c>
      <x:c r="K1951" s="2" t="str">
        <x:f>IF(OR(J1951="심의승인",J1951="반려",J1951="반려완료",J1951="심의완료"),"종결 표시",IF(OR(J1951="기후부협의",J1951="문서재제출요청",J1951="보류",J1951="보완요청",J1951="보완완료",J1951="평가중",J1951="반려요청",J1951="평가필요",LEFT(J1951,5)="보완요청("),"미종결 표시","상태 확인 필요"))</x:f>
        <x:v>종결 표시</x:v>
      </x:c>
      <x:c r="L1951" s="2"/>
      <x:c r="M1951" s="2"/>
      <x:c r="N1951" s="8"/>
      <x:c r="O1951" s="2"/>
      <x:c r="P1951" s="2"/>
      <x:c r="Q1951" s="2" t="str">
        <x:v>산업전환_외부사업관리Tool_260707_이너젠 수정_LJY_261013.xlsx</x:v>
      </x:c>
      <x:c r="R1951" s="2" t="str">
        <x:v>국내인증</x:v>
      </x:c>
      <x:c r="S1951" s="8" t="n">
        <x:v>269</x:v>
      </x:c>
      <x:c r="T1951" s="2"/>
      <x:c r="U1951" s="2" t="str"/>
      <x:c r="V1951" s="2" t="str">
        <x:v>2019-06-26</x:v>
      </x:c>
      <x:c r="W1951" s="2" t="str">
        <x:v>신청일 확인 / 담당기관 확인</x:v>
      </x:c>
      <x:c r="X1951" s="2" t="str">
        <x:v>원본·배정 기록 확인</x:v>
      </x:c>
      <x:c r="Y1951" s="2" t="str">
        <x:v>ad210cd9ec132cfd447541c8984dc53d30aff0f4fb2dc92d254d49275cc55976</x:v>
      </x:c>
      <x:c r="Z1951" s="2" t="n">
        <x:f>SUBTOTAL(103,A1951)</x:f>
        <x:v>1</x:v>
      </x:c>
      <x:c r="AA1951" s="2" t="str">
        <x:f>IF(K1951&lt;&gt;"미종결 표시","대상 아님",IF(N1951="","신청일 확인",IF(NOT(ISNUMBER('종합 현황'!$H$5)),"관찰기준 확인",IF('종합 현황'!$H$5&lt;1,"관찰기준 확인",IF(N1951&gt;'종합 현황'!$H$5,"내부 관찰 대상","내부 관찰일 이하")))))</x:f>
        <x:v>대상 아님</x:v>
      </x:c>
      <x:c r="AB1951" s="2"/>
    </x:row>
    <x:row r="1952" ht="42" customHeight="1">
      <x:c r="A1952" s="2" t="str">
        <x:v>8d889542d2a45d6b9ee0d176</x:v>
      </x:c>
      <x:c r="B1952" s="2" t="str">
        <x:v>감축량 인증</x:v>
      </x:c>
      <x:c r="C1952" s="2" t="str">
        <x:v>국내</x:v>
      </x:c>
      <x:c r="D1952" s="7" t="str">
        <x:v>신안포장산업 주식회사 연료전환 (정제유 -&gt;도시가스) 감축사업</x:v>
      </x:c>
      <x:c r="E1952" s="2" t="str">
        <x:v>192</x:v>
      </x:c>
      <x:c r="F1952" s="2"/>
      <x:c r="G1952" s="2" t="str">
        <x:v>미확보</x:v>
      </x:c>
      <x:c r="H1952" s="2" t="str">
        <x:v>미확보</x:v>
      </x:c>
      <x:c r="I1952" s="2" t="str">
        <x:v>심의승인</x:v>
      </x:c>
      <x:c r="J1952" s="2" t="str">
        <x:v>심의승인</x:v>
      </x:c>
      <x:c r="K1952" s="2" t="str">
        <x:f>IF(OR(J1952="심의승인",J1952="반려",J1952="반려완료",J1952="심의완료"),"종결 표시",IF(OR(J1952="기후부협의",J1952="문서재제출요청",J1952="보류",J1952="보완요청",J1952="보완완료",J1952="평가중",J1952="반려요청",J1952="평가필요",LEFT(J1952,5)="보완요청("),"미종결 표시","상태 확인 필요"))</x:f>
        <x:v>종결 표시</x:v>
      </x:c>
      <x:c r="L1952" s="2"/>
      <x:c r="M1952" s="2"/>
      <x:c r="N1952" s="8"/>
      <x:c r="O1952" s="2"/>
      <x:c r="P1952" s="2"/>
      <x:c r="Q1952" s="2" t="str">
        <x:v>산업전환_외부사업관리Tool_260707_이너젠 수정_LJY_261013.xlsx</x:v>
      </x:c>
      <x:c r="R1952" s="2" t="str">
        <x:v>국내인증</x:v>
      </x:c>
      <x:c r="S1952" s="8" t="n">
        <x:v>270</x:v>
      </x:c>
      <x:c r="T1952" s="2"/>
      <x:c r="U1952" s="2" t="str"/>
      <x:c r="V1952" s="2" t="str">
        <x:v>2019-06-26</x:v>
      </x:c>
      <x:c r="W1952" s="2" t="str">
        <x:v>신청일 확인 / 담당기관 확인</x:v>
      </x:c>
      <x:c r="X1952" s="2" t="str">
        <x:v>원본·배정 기록 확인</x:v>
      </x:c>
      <x:c r="Y1952" s="2" t="str">
        <x:v>ad210cd9ec132cfd447541c8984dc53d30aff0f4fb2dc92d254d49275cc55976</x:v>
      </x:c>
      <x:c r="Z1952" s="2" t="n">
        <x:f>SUBTOTAL(103,A1952)</x:f>
        <x:v>1</x:v>
      </x:c>
      <x:c r="AA1952" s="2" t="str">
        <x:f>IF(K1952&lt;&gt;"미종결 표시","대상 아님",IF(N1952="","신청일 확인",IF(NOT(ISNUMBER('종합 현황'!$H$5)),"관찰기준 확인",IF('종합 현황'!$H$5&lt;1,"관찰기준 확인",IF(N1952&gt;'종합 현황'!$H$5,"내부 관찰 대상","내부 관찰일 이하")))))</x:f>
        <x:v>대상 아님</x:v>
      </x:c>
      <x:c r="AB1952" s="2"/>
    </x:row>
    <x:row r="1953" ht="42" customHeight="1">
      <x:c r="A1953" s="2" t="str">
        <x:v>c95210496814eb07ba7f7804</x:v>
      </x:c>
      <x:c r="B1953" s="2" t="str">
        <x:v>감축량 인증</x:v>
      </x:c>
      <x:c r="C1953" s="2" t="str">
        <x:v>국내</x:v>
      </x:c>
      <x:c r="D1953" s="7" t="str">
        <x:v>휴켐스(주) 신설 5질산에서 발생하는 아산화질소 배출량 저감사업</x:v>
      </x:c>
      <x:c r="E1953" s="2" t="str">
        <x:v>193</x:v>
      </x:c>
      <x:c r="F1953" s="2"/>
      <x:c r="G1953" s="2" t="str">
        <x:v>미확보</x:v>
      </x:c>
      <x:c r="H1953" s="2" t="str">
        <x:v>미확보</x:v>
      </x:c>
      <x:c r="I1953" s="2" t="str">
        <x:v>심의승인</x:v>
      </x:c>
      <x:c r="J1953" s="2" t="str">
        <x:v>심의승인</x:v>
      </x:c>
      <x:c r="K1953" s="2" t="str">
        <x:f>IF(OR(J1953="심의승인",J1953="반려",J1953="반려완료",J1953="심의완료"),"종결 표시",IF(OR(J1953="기후부협의",J1953="문서재제출요청",J1953="보류",J1953="보완요청",J1953="보완완료",J1953="평가중",J1953="반려요청",J1953="평가필요",LEFT(J1953,5)="보완요청("),"미종결 표시","상태 확인 필요"))</x:f>
        <x:v>종결 표시</x:v>
      </x:c>
      <x:c r="L1953" s="2"/>
      <x:c r="M1953" s="2"/>
      <x:c r="N1953" s="8"/>
      <x:c r="O1953" s="2"/>
      <x:c r="P1953" s="2"/>
      <x:c r="Q1953" s="2" t="str">
        <x:v>산업전환_외부사업관리Tool_260707_이너젠 수정_LJY_261013.xlsx</x:v>
      </x:c>
      <x:c r="R1953" s="2" t="str">
        <x:v>국내인증</x:v>
      </x:c>
      <x:c r="S1953" s="8" t="n">
        <x:v>271</x:v>
      </x:c>
      <x:c r="T1953" s="2"/>
      <x:c r="U1953" s="2" t="str"/>
      <x:c r="V1953" s="2" t="str">
        <x:v>2019-06-26</x:v>
      </x:c>
      <x:c r="W1953" s="2" t="str">
        <x:v>신청일 확인 / 담당기관 확인</x:v>
      </x:c>
      <x:c r="X1953" s="2" t="str">
        <x:v>원본·배정 기록 확인</x:v>
      </x:c>
      <x:c r="Y1953" s="2" t="str">
        <x:v>ad210cd9ec132cfd447541c8984dc53d30aff0f4fb2dc92d254d49275cc55976</x:v>
      </x:c>
      <x:c r="Z1953" s="2" t="n">
        <x:f>SUBTOTAL(103,A1953)</x:f>
        <x:v>1</x:v>
      </x:c>
      <x:c r="AA1953" s="2" t="str">
        <x:f>IF(K1953&lt;&gt;"미종결 표시","대상 아님",IF(N1953="","신청일 확인",IF(NOT(ISNUMBER('종합 현황'!$H$5)),"관찰기준 확인",IF('종합 현황'!$H$5&lt;1,"관찰기준 확인",IF(N1953&gt;'종합 현황'!$H$5,"내부 관찰 대상","내부 관찰일 이하")))))</x:f>
        <x:v>대상 아님</x:v>
      </x:c>
      <x:c r="AB1953" s="2"/>
    </x:row>
    <x:row r="1954" ht="42" customHeight="1">
      <x:c r="A1954" s="2" t="str">
        <x:v>8ac796b943551ad654b7547f</x:v>
      </x:c>
      <x:c r="B1954" s="2" t="str">
        <x:v>감축량 인증</x:v>
      </x:c>
      <x:c r="C1954" s="2" t="str">
        <x:v>국내</x:v>
      </x:c>
      <x:c r="D1954" s="7" t="str">
        <x:v>휴켐스 질산공장 N2O 감축사업(휴켐스 주식회사의 질산 공장 세곡에서 tail gas에 포한된 아산화질소를 촉매를 사용하여 제거하는 프로젝트)</x:v>
      </x:c>
      <x:c r="E1954" s="2" t="str">
        <x:v>194</x:v>
      </x:c>
      <x:c r="F1954" s="2"/>
      <x:c r="G1954" s="2" t="str">
        <x:v>미확보</x:v>
      </x:c>
      <x:c r="H1954" s="2" t="str">
        <x:v>미확보</x:v>
      </x:c>
      <x:c r="I1954" s="2" t="str">
        <x:v>심의승인</x:v>
      </x:c>
      <x:c r="J1954" s="2" t="str">
        <x:v>심의승인</x:v>
      </x:c>
      <x:c r="K1954" s="2" t="str">
        <x:f>IF(OR(J1954="심의승인",J1954="반려",J1954="반려완료",J1954="심의완료"),"종결 표시",IF(OR(J1954="기후부협의",J1954="문서재제출요청",J1954="보류",J1954="보완요청",J1954="보완완료",J1954="평가중",J1954="반려요청",J1954="평가필요",LEFT(J1954,5)="보완요청("),"미종결 표시","상태 확인 필요"))</x:f>
        <x:v>종결 표시</x:v>
      </x:c>
      <x:c r="L1954" s="2"/>
      <x:c r="M1954" s="2"/>
      <x:c r="N1954" s="8"/>
      <x:c r="O1954" s="2"/>
      <x:c r="P1954" s="2"/>
      <x:c r="Q1954" s="2" t="str">
        <x:v>산업전환_외부사업관리Tool_260707_이너젠 수정_LJY_261013.xlsx</x:v>
      </x:c>
      <x:c r="R1954" s="2" t="str">
        <x:v>국내인증</x:v>
      </x:c>
      <x:c r="S1954" s="8" t="n">
        <x:v>272</x:v>
      </x:c>
      <x:c r="T1954" s="2"/>
      <x:c r="U1954" s="2" t="str"/>
      <x:c r="V1954" s="2" t="str">
        <x:v>2019-06-26</x:v>
      </x:c>
      <x:c r="W1954" s="2" t="str">
        <x:v>신청일 확인 / 담당기관 확인</x:v>
      </x:c>
      <x:c r="X1954" s="2" t="str">
        <x:v>원본·배정 기록 확인</x:v>
      </x:c>
      <x:c r="Y1954" s="2" t="str">
        <x:v>ad210cd9ec132cfd447541c8984dc53d30aff0f4fb2dc92d254d49275cc55976</x:v>
      </x:c>
      <x:c r="Z1954" s="2" t="n">
        <x:f>SUBTOTAL(103,A1954)</x:f>
        <x:v>1</x:v>
      </x:c>
      <x:c r="AA1954" s="2" t="str">
        <x:f>IF(K1954&lt;&gt;"미종결 표시","대상 아님",IF(N1954="","신청일 확인",IF(NOT(ISNUMBER('종합 현황'!$H$5)),"관찰기준 확인",IF('종합 현황'!$H$5&lt;1,"관찰기준 확인",IF(N1954&gt;'종합 현황'!$H$5,"내부 관찰 대상","내부 관찰일 이하")))))</x:f>
        <x:v>대상 아님</x:v>
      </x:c>
      <x:c r="AB1954" s="2"/>
    </x:row>
    <x:row r="1955" ht="42" customHeight="1">
      <x:c r="A1955" s="2" t="str">
        <x:v>2f508d788327613ddc2b6320</x:v>
      </x:c>
      <x:c r="B1955" s="2" t="str">
        <x:v>감축량 인증</x:v>
      </x:c>
      <x:c r="C1955" s="2" t="str">
        <x:v>국내</x:v>
      </x:c>
      <x:c r="D1955" s="7" t="str">
        <x:v>카프로 N2O 저감 사업</x:v>
      </x:c>
      <x:c r="E1955" s="2" t="str">
        <x:v>195</x:v>
      </x:c>
      <x:c r="F1955" s="2"/>
      <x:c r="G1955" s="2" t="str">
        <x:v>미확보</x:v>
      </x:c>
      <x:c r="H1955" s="2" t="str">
        <x:v>미확보</x:v>
      </x:c>
      <x:c r="I1955" s="2" t="str">
        <x:v>심의승인</x:v>
      </x:c>
      <x:c r="J1955" s="2" t="str">
        <x:v>심의승인</x:v>
      </x:c>
      <x:c r="K1955" s="2" t="str">
        <x:f>IF(OR(J1955="심의승인",J1955="반려",J1955="반려완료",J1955="심의완료"),"종결 표시",IF(OR(J1955="기후부협의",J1955="문서재제출요청",J1955="보류",J1955="보완요청",J1955="보완완료",J1955="평가중",J1955="반려요청",J1955="평가필요",LEFT(J1955,5)="보완요청("),"미종결 표시","상태 확인 필요"))</x:f>
        <x:v>종결 표시</x:v>
      </x:c>
      <x:c r="L1955" s="2"/>
      <x:c r="M1955" s="2"/>
      <x:c r="N1955" s="8"/>
      <x:c r="O1955" s="2"/>
      <x:c r="P1955" s="2"/>
      <x:c r="Q1955" s="2" t="str">
        <x:v>산업전환_외부사업관리Tool_260707_이너젠 수정_LJY_261013.xlsx</x:v>
      </x:c>
      <x:c r="R1955" s="2" t="str">
        <x:v>국내인증</x:v>
      </x:c>
      <x:c r="S1955" s="8" t="n">
        <x:v>273</x:v>
      </x:c>
      <x:c r="T1955" s="2"/>
      <x:c r="U1955" s="2" t="str"/>
      <x:c r="V1955" s="2" t="str">
        <x:v>2019-06-26</x:v>
      </x:c>
      <x:c r="W1955" s="2" t="str">
        <x:v>신청일 확인 / 담당기관 확인</x:v>
      </x:c>
      <x:c r="X1955" s="2" t="str">
        <x:v>원본·배정 기록 확인</x:v>
      </x:c>
      <x:c r="Y1955" s="2" t="str">
        <x:v>ad210cd9ec132cfd447541c8984dc53d30aff0f4fb2dc92d254d49275cc55976</x:v>
      </x:c>
      <x:c r="Z1955" s="2" t="n">
        <x:f>SUBTOTAL(103,A1955)</x:f>
        <x:v>1</x:v>
      </x:c>
      <x:c r="AA1955" s="2" t="str">
        <x:f>IF(K1955&lt;&gt;"미종결 표시","대상 아님",IF(N1955="","신청일 확인",IF(NOT(ISNUMBER('종합 현황'!$H$5)),"관찰기준 확인",IF('종합 현황'!$H$5&lt;1,"관찰기준 확인",IF(N1955&gt;'종합 현황'!$H$5,"내부 관찰 대상","내부 관찰일 이하")))))</x:f>
        <x:v>대상 아님</x:v>
      </x:c>
      <x:c r="AB1955" s="2"/>
    </x:row>
    <x:row r="1956" ht="42" customHeight="1">
      <x:c r="A1956" s="2" t="str">
        <x:v>3935ed46db54e89595254321</x:v>
      </x:c>
      <x:c r="B1956" s="2" t="str">
        <x:v>감축량 인증</x:v>
      </x:c>
      <x:c r="C1956" s="2" t="str">
        <x:v>국내</x:v>
      </x:c>
      <x:c r="D1956" s="7" t="str">
        <x:v>카프로 N2O 저감 사업</x:v>
      </x:c>
      <x:c r="E1956" s="2" t="str">
        <x:v>196</x:v>
      </x:c>
      <x:c r="F1956" s="2"/>
      <x:c r="G1956" s="2" t="str">
        <x:v>미확보</x:v>
      </x:c>
      <x:c r="H1956" s="2" t="str">
        <x:v>미확보</x:v>
      </x:c>
      <x:c r="I1956" s="2" t="str">
        <x:v>심의승인</x:v>
      </x:c>
      <x:c r="J1956" s="2" t="str">
        <x:v>심의승인</x:v>
      </x:c>
      <x:c r="K1956" s="2" t="str">
        <x:f>IF(OR(J1956="심의승인",J1956="반려",J1956="반려완료",J1956="심의완료"),"종결 표시",IF(OR(J1956="기후부협의",J1956="문서재제출요청",J1956="보류",J1956="보완요청",J1956="보완완료",J1956="평가중",J1956="반려요청",J1956="평가필요",LEFT(J1956,5)="보완요청("),"미종결 표시","상태 확인 필요"))</x:f>
        <x:v>종결 표시</x:v>
      </x:c>
      <x:c r="L1956" s="2"/>
      <x:c r="M1956" s="2"/>
      <x:c r="N1956" s="8"/>
      <x:c r="O1956" s="2"/>
      <x:c r="P1956" s="2"/>
      <x:c r="Q1956" s="2" t="str">
        <x:v>산업전환_외부사업관리Tool_260707_이너젠 수정_LJY_261013.xlsx</x:v>
      </x:c>
      <x:c r="R1956" s="2" t="str">
        <x:v>국내인증</x:v>
      </x:c>
      <x:c r="S1956" s="8" t="n">
        <x:v>274</x:v>
      </x:c>
      <x:c r="T1956" s="2"/>
      <x:c r="U1956" s="2" t="str"/>
      <x:c r="V1956" s="2" t="str">
        <x:v>2019-06-26</x:v>
      </x:c>
      <x:c r="W1956" s="2" t="str">
        <x:v>신청일 확인 / 담당기관 확인</x:v>
      </x:c>
      <x:c r="X1956" s="2" t="str">
        <x:v>원본·배정 기록 확인</x:v>
      </x:c>
      <x:c r="Y1956" s="2" t="str">
        <x:v>ad210cd9ec132cfd447541c8984dc53d30aff0f4fb2dc92d254d49275cc55976</x:v>
      </x:c>
      <x:c r="Z1956" s="2" t="n">
        <x:f>SUBTOTAL(103,A1956)</x:f>
        <x:v>1</x:v>
      </x:c>
      <x:c r="AA1956" s="2" t="str">
        <x:f>IF(K1956&lt;&gt;"미종결 표시","대상 아님",IF(N1956="","신청일 확인",IF(NOT(ISNUMBER('종합 현황'!$H$5)),"관찰기준 확인",IF('종합 현황'!$H$5&lt;1,"관찰기준 확인",IF(N1956&gt;'종합 현황'!$H$5,"내부 관찰 대상","내부 관찰일 이하")))))</x:f>
        <x:v>대상 아님</x:v>
      </x:c>
      <x:c r="AB1956" s="2"/>
    </x:row>
    <x:row r="1957" ht="42" customHeight="1">
      <x:c r="A1957" s="2" t="str">
        <x:v>94dbcdf785daa9d207cd9184</x:v>
      </x:c>
      <x:c r="B1957" s="2" t="str">
        <x:v>감축량 인증</x:v>
      </x:c>
      <x:c r="C1957" s="2" t="str">
        <x:v>국내</x:v>
      </x:c>
      <x:c r="D1957" s="7" t="str">
        <x:v>휴켐스(주) 신설 5질산에서 발생하는 아산화질소 배출량 저감사업</x:v>
      </x:c>
      <x:c r="E1957" s="2" t="str">
        <x:v>197</x:v>
      </x:c>
      <x:c r="F1957" s="2"/>
      <x:c r="G1957" s="2" t="str">
        <x:v>미확보</x:v>
      </x:c>
      <x:c r="H1957" s="2" t="str">
        <x:v>미확보</x:v>
      </x:c>
      <x:c r="I1957" s="2" t="str">
        <x:v>심의승인</x:v>
      </x:c>
      <x:c r="J1957" s="2" t="str">
        <x:v>심의승인</x:v>
      </x:c>
      <x:c r="K1957" s="2" t="str">
        <x:f>IF(OR(J1957="심의승인",J1957="반려",J1957="반려완료",J1957="심의완료"),"종결 표시",IF(OR(J1957="기후부협의",J1957="문서재제출요청",J1957="보류",J1957="보완요청",J1957="보완완료",J1957="평가중",J1957="반려요청",J1957="평가필요",LEFT(J1957,5)="보완요청("),"미종결 표시","상태 확인 필요"))</x:f>
        <x:v>종결 표시</x:v>
      </x:c>
      <x:c r="L1957" s="2"/>
      <x:c r="M1957" s="2"/>
      <x:c r="N1957" s="8"/>
      <x:c r="O1957" s="2"/>
      <x:c r="P1957" s="2"/>
      <x:c r="Q1957" s="2" t="str">
        <x:v>산업전환_외부사업관리Tool_260707_이너젠 수정_LJY_261013.xlsx</x:v>
      </x:c>
      <x:c r="R1957" s="2" t="str">
        <x:v>국내인증</x:v>
      </x:c>
      <x:c r="S1957" s="8" t="n">
        <x:v>275</x:v>
      </x:c>
      <x:c r="T1957" s="2"/>
      <x:c r="U1957" s="2" t="str"/>
      <x:c r="V1957" s="2" t="str">
        <x:v>2019-06-26</x:v>
      </x:c>
      <x:c r="W1957" s="2" t="str">
        <x:v>신청일 확인 / 담당기관 확인</x:v>
      </x:c>
      <x:c r="X1957" s="2" t="str">
        <x:v>원본·배정 기록 확인</x:v>
      </x:c>
      <x:c r="Y1957" s="2" t="str">
        <x:v>ad210cd9ec132cfd447541c8984dc53d30aff0f4fb2dc92d254d49275cc55976</x:v>
      </x:c>
      <x:c r="Z1957" s="2" t="n">
        <x:f>SUBTOTAL(103,A1957)</x:f>
        <x:v>1</x:v>
      </x:c>
      <x:c r="AA1957" s="2" t="str">
        <x:f>IF(K1957&lt;&gt;"미종결 표시","대상 아님",IF(N1957="","신청일 확인",IF(NOT(ISNUMBER('종합 현황'!$H$5)),"관찰기준 확인",IF('종합 현황'!$H$5&lt;1,"관찰기준 확인",IF(N1957&gt;'종합 현황'!$H$5,"내부 관찰 대상","내부 관찰일 이하")))))</x:f>
        <x:v>대상 아님</x:v>
      </x:c>
      <x:c r="AB1957" s="2"/>
    </x:row>
    <x:row r="1958" ht="42" customHeight="1">
      <x:c r="A1958" s="2" t="str">
        <x:v>d163e29673e71738cccf879b</x:v>
      </x:c>
      <x:c r="B1958" s="2" t="str">
        <x:v>감축량 인증</x:v>
      </x:c>
      <x:c r="C1958" s="2" t="str">
        <x:v>국내</x:v>
      </x:c>
      <x:c r="D1958" s="7" t="str">
        <x:v>휴켐스 질산공장 N2O 감축사업(휴켐스 주식회사의 질산 공장 세곡에서 tail gas에 포한된 아산화질소를 촉매를 사용하여 제거하는 프로젝트)</x:v>
      </x:c>
      <x:c r="E1958" s="2" t="str">
        <x:v>198</x:v>
      </x:c>
      <x:c r="F1958" s="2"/>
      <x:c r="G1958" s="2" t="str">
        <x:v>미확보</x:v>
      </x:c>
      <x:c r="H1958" s="2" t="str">
        <x:v>미확보</x:v>
      </x:c>
      <x:c r="I1958" s="2" t="str">
        <x:v>심의승인</x:v>
      </x:c>
      <x:c r="J1958" s="2" t="str">
        <x:v>심의승인</x:v>
      </x:c>
      <x:c r="K1958" s="2" t="str">
        <x:f>IF(OR(J1958="심의승인",J1958="반려",J1958="반려완료",J1958="심의완료"),"종결 표시",IF(OR(J1958="기후부협의",J1958="문서재제출요청",J1958="보류",J1958="보완요청",J1958="보완완료",J1958="평가중",J1958="반려요청",J1958="평가필요",LEFT(J1958,5)="보완요청("),"미종결 표시","상태 확인 필요"))</x:f>
        <x:v>종결 표시</x:v>
      </x:c>
      <x:c r="L1958" s="2"/>
      <x:c r="M1958" s="2"/>
      <x:c r="N1958" s="8"/>
      <x:c r="O1958" s="2"/>
      <x:c r="P1958" s="2"/>
      <x:c r="Q1958" s="2" t="str">
        <x:v>산업전환_외부사업관리Tool_260707_이너젠 수정_LJY_261013.xlsx</x:v>
      </x:c>
      <x:c r="R1958" s="2" t="str">
        <x:v>국내인증</x:v>
      </x:c>
      <x:c r="S1958" s="8" t="n">
        <x:v>276</x:v>
      </x:c>
      <x:c r="T1958" s="2"/>
      <x:c r="U1958" s="2" t="str"/>
      <x:c r="V1958" s="2" t="str">
        <x:v>2019-06-26</x:v>
      </x:c>
      <x:c r="W1958" s="2" t="str">
        <x:v>신청일 확인 / 담당기관 확인</x:v>
      </x:c>
      <x:c r="X1958" s="2" t="str">
        <x:v>원본·배정 기록 확인</x:v>
      </x:c>
      <x:c r="Y1958" s="2" t="str">
        <x:v>ad210cd9ec132cfd447541c8984dc53d30aff0f4fb2dc92d254d49275cc55976</x:v>
      </x:c>
      <x:c r="Z1958" s="2" t="n">
        <x:f>SUBTOTAL(103,A1958)</x:f>
        <x:v>1</x:v>
      </x:c>
      <x:c r="AA1958" s="2" t="str">
        <x:f>IF(K1958&lt;&gt;"미종결 표시","대상 아님",IF(N1958="","신청일 확인",IF(NOT(ISNUMBER('종합 현황'!$H$5)),"관찰기준 확인",IF('종합 현황'!$H$5&lt;1,"관찰기준 확인",IF(N1958&gt;'종합 현황'!$H$5,"내부 관찰 대상","내부 관찰일 이하")))))</x:f>
        <x:v>대상 아님</x:v>
      </x:c>
      <x:c r="AB1958" s="2"/>
    </x:row>
    <x:row r="1959" ht="42" customHeight="1">
      <x:c r="A1959" s="2" t="str">
        <x:v>d9f58395424311d2dd9643e8</x:v>
      </x:c>
      <x:c r="B1959" s="2" t="str">
        <x:v>감축량 인증</x:v>
      </x:c>
      <x:c r="C1959" s="2" t="str">
        <x:v>국내</x:v>
      </x:c>
      <x:c r="D1959" s="7" t="str">
        <x:v>휴켐스(주) 신설 5질산에서 발생하는 아산화질소 배출량 저감사업</x:v>
      </x:c>
      <x:c r="E1959" s="2" t="str">
        <x:v>199</x:v>
      </x:c>
      <x:c r="F1959" s="2"/>
      <x:c r="G1959" s="2" t="str">
        <x:v>미확보</x:v>
      </x:c>
      <x:c r="H1959" s="2" t="str">
        <x:v>미확보</x:v>
      </x:c>
      <x:c r="I1959" s="2" t="str">
        <x:v>심의승인</x:v>
      </x:c>
      <x:c r="J1959" s="2" t="str">
        <x:v>심의승인</x:v>
      </x:c>
      <x:c r="K1959" s="2" t="str">
        <x:f>IF(OR(J1959="심의승인",J1959="반려",J1959="반려완료",J1959="심의완료"),"종결 표시",IF(OR(J1959="기후부협의",J1959="문서재제출요청",J1959="보류",J1959="보완요청",J1959="보완완료",J1959="평가중",J1959="반려요청",J1959="평가필요",LEFT(J1959,5)="보완요청("),"미종결 표시","상태 확인 필요"))</x:f>
        <x:v>종결 표시</x:v>
      </x:c>
      <x:c r="L1959" s="2"/>
      <x:c r="M1959" s="2"/>
      <x:c r="N1959" s="8"/>
      <x:c r="O1959" s="2"/>
      <x:c r="P1959" s="2"/>
      <x:c r="Q1959" s="2" t="str">
        <x:v>산업전환_외부사업관리Tool_260707_이너젠 수정_LJY_261013.xlsx</x:v>
      </x:c>
      <x:c r="R1959" s="2" t="str">
        <x:v>국내인증</x:v>
      </x:c>
      <x:c r="S1959" s="8" t="n">
        <x:v>277</x:v>
      </x:c>
      <x:c r="T1959" s="2"/>
      <x:c r="U1959" s="2" t="str"/>
      <x:c r="V1959" s="2" t="str">
        <x:v>2019-06-26</x:v>
      </x:c>
      <x:c r="W1959" s="2" t="str">
        <x:v>신청일 확인 / 담당기관 확인</x:v>
      </x:c>
      <x:c r="X1959" s="2" t="str">
        <x:v>원본·배정 기록 확인</x:v>
      </x:c>
      <x:c r="Y1959" s="2" t="str">
        <x:v>ad210cd9ec132cfd447541c8984dc53d30aff0f4fb2dc92d254d49275cc55976</x:v>
      </x:c>
      <x:c r="Z1959" s="2" t="n">
        <x:f>SUBTOTAL(103,A1959)</x:f>
        <x:v>1</x:v>
      </x:c>
      <x:c r="AA1959" s="2" t="str">
        <x:f>IF(K1959&lt;&gt;"미종결 표시","대상 아님",IF(N1959="","신청일 확인",IF(NOT(ISNUMBER('종합 현황'!$H$5)),"관찰기준 확인",IF('종합 현황'!$H$5&lt;1,"관찰기준 확인",IF(N1959&gt;'종합 현황'!$H$5,"내부 관찰 대상","내부 관찰일 이하")))))</x:f>
        <x:v>대상 아님</x:v>
      </x:c>
      <x:c r="AB1959" s="2"/>
    </x:row>
    <x:row r="1960" ht="42" customHeight="1">
      <x:c r="A1960" s="2" t="str">
        <x:v>cac976d477c02c5a879d08d1</x:v>
      </x:c>
      <x:c r="B1960" s="2" t="str">
        <x:v>감축량 인증</x:v>
      </x:c>
      <x:c r="C1960" s="2" t="str">
        <x:v>국내</x:v>
      </x:c>
      <x:c r="D1960" s="7" t="str">
        <x:v>휴켐스 질산공장 N2O 감축사업(휴켐스 주식회사의 질산 공장 세곡에서 tail gas에 포한된 아산화질소를 촉매를 사용하여 제거하는 프로젝트)</x:v>
      </x:c>
      <x:c r="E1960" s="2" t="str">
        <x:v>200</x:v>
      </x:c>
      <x:c r="F1960" s="2"/>
      <x:c r="G1960" s="2" t="str">
        <x:v>미확보</x:v>
      </x:c>
      <x:c r="H1960" s="2" t="str">
        <x:v>미확보</x:v>
      </x:c>
      <x:c r="I1960" s="2" t="str">
        <x:v>심의승인</x:v>
      </x:c>
      <x:c r="J1960" s="2" t="str">
        <x:v>심의승인</x:v>
      </x:c>
      <x:c r="K1960" s="2" t="str">
        <x:f>IF(OR(J1960="심의승인",J1960="반려",J1960="반려완료",J1960="심의완료"),"종결 표시",IF(OR(J1960="기후부협의",J1960="문서재제출요청",J1960="보류",J1960="보완요청",J1960="보완완료",J1960="평가중",J1960="반려요청",J1960="평가필요",LEFT(J1960,5)="보완요청("),"미종결 표시","상태 확인 필요"))</x:f>
        <x:v>종결 표시</x:v>
      </x:c>
      <x:c r="L1960" s="2"/>
      <x:c r="M1960" s="2"/>
      <x:c r="N1960" s="8"/>
      <x:c r="O1960" s="2"/>
      <x:c r="P1960" s="2"/>
      <x:c r="Q1960" s="2" t="str">
        <x:v>산업전환_외부사업관리Tool_260707_이너젠 수정_LJY_261013.xlsx</x:v>
      </x:c>
      <x:c r="R1960" s="2" t="str">
        <x:v>국내인증</x:v>
      </x:c>
      <x:c r="S1960" s="8" t="n">
        <x:v>278</x:v>
      </x:c>
      <x:c r="T1960" s="2"/>
      <x:c r="U1960" s="2" t="str"/>
      <x:c r="V1960" s="2" t="str">
        <x:v>2019-06-26</x:v>
      </x:c>
      <x:c r="W1960" s="2" t="str">
        <x:v>신청일 확인 / 담당기관 확인</x:v>
      </x:c>
      <x:c r="X1960" s="2" t="str">
        <x:v>원본·배정 기록 확인</x:v>
      </x:c>
      <x:c r="Y1960" s="2" t="str">
        <x:v>ad210cd9ec132cfd447541c8984dc53d30aff0f4fb2dc92d254d49275cc55976</x:v>
      </x:c>
      <x:c r="Z1960" s="2" t="n">
        <x:f>SUBTOTAL(103,A1960)</x:f>
        <x:v>1</x:v>
      </x:c>
      <x:c r="AA1960" s="2" t="str">
        <x:f>IF(K1960&lt;&gt;"미종결 표시","대상 아님",IF(N1960="","신청일 확인",IF(NOT(ISNUMBER('종합 현황'!$H$5)),"관찰기준 확인",IF('종합 현황'!$H$5&lt;1,"관찰기준 확인",IF(N1960&gt;'종합 현황'!$H$5,"내부 관찰 대상","내부 관찰일 이하")))))</x:f>
        <x:v>대상 아님</x:v>
      </x:c>
      <x:c r="AB1960" s="2"/>
    </x:row>
    <x:row r="1961" ht="42" customHeight="1">
      <x:c r="A1961" s="2" t="str">
        <x:v>6a4e343f50c6e30df7a8cec1</x:v>
      </x:c>
      <x:c r="B1961" s="2" t="str">
        <x:v>감축량 인증</x:v>
      </x:c>
      <x:c r="C1961" s="2" t="str">
        <x:v>국내</x:v>
      </x:c>
      <x:c r="D1961" s="7" t="str">
        <x:v>시화호 조력발전 사업</x:v>
      </x:c>
      <x:c r="E1961" s="2" t="str">
        <x:v>201</x:v>
      </x:c>
      <x:c r="F1961" s="2"/>
      <x:c r="G1961" s="2" t="str">
        <x:v>미확보</x:v>
      </x:c>
      <x:c r="H1961" s="2" t="str">
        <x:v>미확보</x:v>
      </x:c>
      <x:c r="I1961" s="2" t="str">
        <x:v>심의승인</x:v>
      </x:c>
      <x:c r="J1961" s="2" t="str">
        <x:v>심의승인</x:v>
      </x:c>
      <x:c r="K1961" s="2" t="str">
        <x:f>IF(OR(J1961="심의승인",J1961="반려",J1961="반려완료",J1961="심의완료"),"종결 표시",IF(OR(J1961="기후부협의",J1961="문서재제출요청",J1961="보류",J1961="보완요청",J1961="보완완료",J1961="평가중",J1961="반려요청",J1961="평가필요",LEFT(J1961,5)="보완요청("),"미종결 표시","상태 확인 필요"))</x:f>
        <x:v>종결 표시</x:v>
      </x:c>
      <x:c r="L1961" s="2"/>
      <x:c r="M1961" s="2"/>
      <x:c r="N1961" s="8"/>
      <x:c r="O1961" s="2"/>
      <x:c r="P1961" s="2"/>
      <x:c r="Q1961" s="2" t="str">
        <x:v>산업전환_외부사업관리Tool_260707_이너젠 수정_LJY_261013.xlsx</x:v>
      </x:c>
      <x:c r="R1961" s="2" t="str">
        <x:v>국내인증</x:v>
      </x:c>
      <x:c r="S1961" s="8" t="n">
        <x:v>279</x:v>
      </x:c>
      <x:c r="T1961" s="2"/>
      <x:c r="U1961" s="2" t="str"/>
      <x:c r="V1961" s="2" t="str">
        <x:v>2019-06-26</x:v>
      </x:c>
      <x:c r="W1961" s="2" t="str">
        <x:v>신청일 확인 / 담당기관 확인</x:v>
      </x:c>
      <x:c r="X1961" s="2" t="str">
        <x:v>원본·배정 기록 확인</x:v>
      </x:c>
      <x:c r="Y1961" s="2" t="str">
        <x:v>ad210cd9ec132cfd447541c8984dc53d30aff0f4fb2dc92d254d49275cc55976</x:v>
      </x:c>
      <x:c r="Z1961" s="2" t="n">
        <x:f>SUBTOTAL(103,A1961)</x:f>
        <x:v>1</x:v>
      </x:c>
      <x:c r="AA1961" s="2" t="str">
        <x:f>IF(K1961&lt;&gt;"미종결 표시","대상 아님",IF(N1961="","신청일 확인",IF(NOT(ISNUMBER('종합 현황'!$H$5)),"관찰기준 확인",IF('종합 현황'!$H$5&lt;1,"관찰기준 확인",IF(N1961&gt;'종합 현황'!$H$5,"내부 관찰 대상","내부 관찰일 이하")))))</x:f>
        <x:v>대상 아님</x:v>
      </x:c>
      <x:c r="AB1961" s="2"/>
    </x:row>
    <x:row r="1962" ht="42" customHeight="1">
      <x:c r="A1962" s="2" t="str">
        <x:v>f1f2ca34c04c8d4e156d99d5</x:v>
      </x:c>
      <x:c r="B1962" s="2" t="str">
        <x:v>감축량 인증</x:v>
      </x:c>
      <x:c r="C1962" s="2" t="str">
        <x:v>국내</x:v>
      </x:c>
      <x:c r="D1962" s="7" t="str">
        <x:v>휴켐스 질산공장 N2O 감축사업(휴켐스 주식회사의 질산 공장 세 곳에서 tail gas에 포함된 아산화질소를 촉매를 사용하여 제거하는 프로젝트)</x:v>
      </x:c>
      <x:c r="E1962" s="2" t="str">
        <x:v>202</x:v>
      </x:c>
      <x:c r="F1962" s="2"/>
      <x:c r="G1962" s="2" t="str">
        <x:v>미확보</x:v>
      </x:c>
      <x:c r="H1962" s="2" t="str">
        <x:v>미확보</x:v>
      </x:c>
      <x:c r="I1962" s="2" t="str">
        <x:v>심의승인</x:v>
      </x:c>
      <x:c r="J1962" s="2" t="str">
        <x:v>심의승인</x:v>
      </x:c>
      <x:c r="K1962" s="2" t="str">
        <x:f>IF(OR(J1962="심의승인",J1962="반려",J1962="반려완료",J1962="심의완료"),"종결 표시",IF(OR(J1962="기후부협의",J1962="문서재제출요청",J1962="보류",J1962="보완요청",J1962="보완완료",J1962="평가중",J1962="반려요청",J1962="평가필요",LEFT(J1962,5)="보완요청("),"미종결 표시","상태 확인 필요"))</x:f>
        <x:v>종결 표시</x:v>
      </x:c>
      <x:c r="L1962" s="2"/>
      <x:c r="M1962" s="2"/>
      <x:c r="N1962" s="8"/>
      <x:c r="O1962" s="2"/>
      <x:c r="P1962" s="2"/>
      <x:c r="Q1962" s="2" t="str">
        <x:v>산업전환_외부사업관리Tool_260707_이너젠 수정_LJY_261013.xlsx</x:v>
      </x:c>
      <x:c r="R1962" s="2" t="str">
        <x:v>국내인증</x:v>
      </x:c>
      <x:c r="S1962" s="8" t="n">
        <x:v>280</x:v>
      </x:c>
      <x:c r="T1962" s="2"/>
      <x:c r="U1962" s="2" t="str"/>
      <x:c r="V1962" s="2" t="str">
        <x:v>2019-06-26</x:v>
      </x:c>
      <x:c r="W1962" s="2" t="str">
        <x:v>신청일 확인 / 담당기관 확인</x:v>
      </x:c>
      <x:c r="X1962" s="2" t="str">
        <x:v>원본·배정 기록 확인</x:v>
      </x:c>
      <x:c r="Y1962" s="2" t="str">
        <x:v>ad210cd9ec132cfd447541c8984dc53d30aff0f4fb2dc92d254d49275cc55976</x:v>
      </x:c>
      <x:c r="Z1962" s="2" t="n">
        <x:f>SUBTOTAL(103,A1962)</x:f>
        <x:v>1</x:v>
      </x:c>
      <x:c r="AA1962" s="2" t="str">
        <x:f>IF(K1962&lt;&gt;"미종결 표시","대상 아님",IF(N1962="","신청일 확인",IF(NOT(ISNUMBER('종합 현황'!$H$5)),"관찰기준 확인",IF('종합 현황'!$H$5&lt;1,"관찰기준 확인",IF(N1962&gt;'종합 현황'!$H$5,"내부 관찰 대상","내부 관찰일 이하")))))</x:f>
        <x:v>대상 아님</x:v>
      </x:c>
      <x:c r="AB1962" s="2"/>
    </x:row>
    <x:row r="1963" ht="42" customHeight="1">
      <x:c r="A1963" s="2" t="str">
        <x:v>5d0b5ffd523c6bb2ef1bd4fd</x:v>
      </x:c>
      <x:c r="B1963" s="2" t="str">
        <x:v>감축량 인증</x:v>
      </x:c>
      <x:c r="C1963" s="2" t="str">
        <x:v>국내</x:v>
      </x:c>
      <x:c r="D1963" s="7" t="str">
        <x:v>휴켐스(주) 신설 5질산에서 발생하는 아산화질소 배출량 저감사업</x:v>
      </x:c>
      <x:c r="E1963" s="2" t="str">
        <x:v>203</x:v>
      </x:c>
      <x:c r="F1963" s="2"/>
      <x:c r="G1963" s="2" t="str">
        <x:v>미확보</x:v>
      </x:c>
      <x:c r="H1963" s="2" t="str">
        <x:v>미확보</x:v>
      </x:c>
      <x:c r="I1963" s="2" t="str">
        <x:v>심의승인</x:v>
      </x:c>
      <x:c r="J1963" s="2" t="str">
        <x:v>심의승인</x:v>
      </x:c>
      <x:c r="K1963" s="2" t="str">
        <x:f>IF(OR(J1963="심의승인",J1963="반려",J1963="반려완료",J1963="심의완료"),"종결 표시",IF(OR(J1963="기후부협의",J1963="문서재제출요청",J1963="보류",J1963="보완요청",J1963="보완완료",J1963="평가중",J1963="반려요청",J1963="평가필요",LEFT(J1963,5)="보완요청("),"미종결 표시","상태 확인 필요"))</x:f>
        <x:v>종결 표시</x:v>
      </x:c>
      <x:c r="L1963" s="2"/>
      <x:c r="M1963" s="2"/>
      <x:c r="N1963" s="8"/>
      <x:c r="O1963" s="2"/>
      <x:c r="P1963" s="2"/>
      <x:c r="Q1963" s="2" t="str">
        <x:v>산업전환_외부사업관리Tool_260707_이너젠 수정_LJY_261013.xlsx</x:v>
      </x:c>
      <x:c r="R1963" s="2" t="str">
        <x:v>국내인증</x:v>
      </x:c>
      <x:c r="S1963" s="8" t="n">
        <x:v>281</x:v>
      </x:c>
      <x:c r="T1963" s="2"/>
      <x:c r="U1963" s="2" t="str"/>
      <x:c r="V1963" s="2" t="str">
        <x:v>2019-06-26</x:v>
      </x:c>
      <x:c r="W1963" s="2" t="str">
        <x:v>신청일 확인 / 담당기관 확인</x:v>
      </x:c>
      <x:c r="X1963" s="2" t="str">
        <x:v>원본·배정 기록 확인</x:v>
      </x:c>
      <x:c r="Y1963" s="2" t="str">
        <x:v>ad210cd9ec132cfd447541c8984dc53d30aff0f4fb2dc92d254d49275cc55976</x:v>
      </x:c>
      <x:c r="Z1963" s="2" t="n">
        <x:f>SUBTOTAL(103,A1963)</x:f>
        <x:v>1</x:v>
      </x:c>
      <x:c r="AA1963" s="2" t="str">
        <x:f>IF(K1963&lt;&gt;"미종결 표시","대상 아님",IF(N1963="","신청일 확인",IF(NOT(ISNUMBER('종합 현황'!$H$5)),"관찰기준 확인",IF('종합 현황'!$H$5&lt;1,"관찰기준 확인",IF(N1963&gt;'종합 현황'!$H$5,"내부 관찰 대상","내부 관찰일 이하")))))</x:f>
        <x:v>대상 아님</x:v>
      </x:c>
      <x:c r="AB1963" s="2"/>
    </x:row>
    <x:row r="1964" ht="42" customHeight="1">
      <x:c r="A1964" s="2" t="str">
        <x:v>562f9b002e09c81812b66c44</x:v>
      </x:c>
      <x:c r="B1964" s="2" t="str">
        <x:v>감축량 인증</x:v>
      </x:c>
      <x:c r="C1964" s="2" t="str">
        <x:v>국내</x:v>
      </x:c>
      <x:c r="D1964" s="7" t="str">
        <x:v>㈜한화 울산소재 질산공장 N2O 감축 프로젝트</x:v>
      </x:c>
      <x:c r="E1964" s="2" t="str">
        <x:v>204</x:v>
      </x:c>
      <x:c r="F1964" s="2"/>
      <x:c r="G1964" s="2" t="str">
        <x:v>미확보</x:v>
      </x:c>
      <x:c r="H1964" s="2" t="str">
        <x:v>미확보</x:v>
      </x:c>
      <x:c r="I1964" s="2" t="str">
        <x:v>심의승인</x:v>
      </x:c>
      <x:c r="J1964" s="2" t="str">
        <x:v>심의승인</x:v>
      </x:c>
      <x:c r="K1964" s="2" t="str">
        <x:f>IF(OR(J1964="심의승인",J1964="반려",J1964="반려완료",J1964="심의완료"),"종결 표시",IF(OR(J1964="기후부협의",J1964="문서재제출요청",J1964="보류",J1964="보완요청",J1964="보완완료",J1964="평가중",J1964="반려요청",J1964="평가필요",LEFT(J1964,5)="보완요청("),"미종결 표시","상태 확인 필요"))</x:f>
        <x:v>종결 표시</x:v>
      </x:c>
      <x:c r="L1964" s="2"/>
      <x:c r="M1964" s="2"/>
      <x:c r="N1964" s="8"/>
      <x:c r="O1964" s="2"/>
      <x:c r="P1964" s="2"/>
      <x:c r="Q1964" s="2" t="str">
        <x:v>산업전환_외부사업관리Tool_260707_이너젠 수정_LJY_261013.xlsx</x:v>
      </x:c>
      <x:c r="R1964" s="2" t="str">
        <x:v>국내인증</x:v>
      </x:c>
      <x:c r="S1964" s="8" t="n">
        <x:v>282</x:v>
      </x:c>
      <x:c r="T1964" s="2"/>
      <x:c r="U1964" s="2" t="str"/>
      <x:c r="V1964" s="2" t="str">
        <x:v>2019-06-26</x:v>
      </x:c>
      <x:c r="W1964" s="2" t="str">
        <x:v>신청일 확인 / 담당기관 확인</x:v>
      </x:c>
      <x:c r="X1964" s="2" t="str">
        <x:v>원본·배정 기록 확인</x:v>
      </x:c>
      <x:c r="Y1964" s="2" t="str">
        <x:v>ad210cd9ec132cfd447541c8984dc53d30aff0f4fb2dc92d254d49275cc55976</x:v>
      </x:c>
      <x:c r="Z1964" s="2" t="n">
        <x:f>SUBTOTAL(103,A1964)</x:f>
        <x:v>1</x:v>
      </x:c>
      <x:c r="AA1964" s="2" t="str">
        <x:f>IF(K1964&lt;&gt;"미종결 표시","대상 아님",IF(N1964="","신청일 확인",IF(NOT(ISNUMBER('종합 현황'!$H$5)),"관찰기준 확인",IF('종합 현황'!$H$5&lt;1,"관찰기준 확인",IF(N1964&gt;'종합 현황'!$H$5,"내부 관찰 대상","내부 관찰일 이하")))))</x:f>
        <x:v>대상 아님</x:v>
      </x:c>
      <x:c r="AB1964" s="2"/>
    </x:row>
    <x:row r="1965" ht="42" customHeight="1">
      <x:c r="A1965" s="2" t="str">
        <x:v>012d1315662ab0ed02047bfd</x:v>
      </x:c>
      <x:c r="B1965" s="2" t="str">
        <x:v>감축량 인증</x:v>
      </x:c>
      <x:c r="C1965" s="2" t="str">
        <x:v>국내</x:v>
      </x:c>
      <x:c r="D1965" s="7" t="str">
        <x:v>가열드라이어 버너 연료전환(벙커C유 및 이온정제유 → LNG)을 통한 온실가스(CO2) 배출 감축사업</x:v>
      </x:c>
      <x:c r="E1965" s="2" t="str">
        <x:v>205</x:v>
      </x:c>
      <x:c r="F1965" s="2"/>
      <x:c r="G1965" s="2" t="str">
        <x:v>미확보</x:v>
      </x:c>
      <x:c r="H1965" s="2" t="str">
        <x:v>미확보</x:v>
      </x:c>
      <x:c r="I1965" s="2" t="str">
        <x:v>심의승인</x:v>
      </x:c>
      <x:c r="J1965" s="2" t="str">
        <x:v>심의승인</x:v>
      </x:c>
      <x:c r="K1965" s="2" t="str">
        <x:f>IF(OR(J1965="심의승인",J1965="반려",J1965="반려완료",J1965="심의완료"),"종결 표시",IF(OR(J1965="기후부협의",J1965="문서재제출요청",J1965="보류",J1965="보완요청",J1965="보완완료",J1965="평가중",J1965="반려요청",J1965="평가필요",LEFT(J1965,5)="보완요청("),"미종결 표시","상태 확인 필요"))</x:f>
        <x:v>종결 표시</x:v>
      </x:c>
      <x:c r="L1965" s="2"/>
      <x:c r="M1965" s="2"/>
      <x:c r="N1965" s="8"/>
      <x:c r="O1965" s="2"/>
      <x:c r="P1965" s="2"/>
      <x:c r="Q1965" s="2" t="str">
        <x:v>산업전환_외부사업관리Tool_260707_이너젠 수정_LJY_261013.xlsx</x:v>
      </x:c>
      <x:c r="R1965" s="2" t="str">
        <x:v>국내인증</x:v>
      </x:c>
      <x:c r="S1965" s="8" t="n">
        <x:v>283</x:v>
      </x:c>
      <x:c r="T1965" s="2"/>
      <x:c r="U1965" s="2" t="str"/>
      <x:c r="V1965" s="2" t="str">
        <x:v>2020-10-27</x:v>
      </x:c>
      <x:c r="W1965" s="2" t="str">
        <x:v>신청일 확인 / 담당기관 확인</x:v>
      </x:c>
      <x:c r="X1965" s="2" t="str">
        <x:v>원본·배정 기록 확인</x:v>
      </x:c>
      <x:c r="Y1965" s="2" t="str">
        <x:v>ad210cd9ec132cfd447541c8984dc53d30aff0f4fb2dc92d254d49275cc55976</x:v>
      </x:c>
      <x:c r="Z1965" s="2" t="n">
        <x:f>SUBTOTAL(103,A1965)</x:f>
        <x:v>1</x:v>
      </x:c>
      <x:c r="AA1965" s="2" t="str">
        <x:f>IF(K1965&lt;&gt;"미종결 표시","대상 아님",IF(N1965="","신청일 확인",IF(NOT(ISNUMBER('종합 현황'!$H$5)),"관찰기준 확인",IF('종합 현황'!$H$5&lt;1,"관찰기준 확인",IF(N1965&gt;'종합 현황'!$H$5,"내부 관찰 대상","내부 관찰일 이하")))))</x:f>
        <x:v>대상 아님</x:v>
      </x:c>
      <x:c r="AB1965" s="2"/>
    </x:row>
    <x:row r="1966" ht="42" customHeight="1">
      <x:c r="A1966" s="2" t="str">
        <x:v>e8865960e58a4f0e133fe47b</x:v>
      </x:c>
      <x:c r="B1966" s="2" t="str">
        <x:v>감축량 인증</x:v>
      </x:c>
      <x:c r="C1966" s="2" t="str">
        <x:v>국내</x:v>
      </x:c>
      <x:c r="D1966" s="7" t="str">
        <x:v>IS동서 청양 보일러 연료전환(B-C유→LNG)을 통한 온실가스 감축 사업</x:v>
      </x:c>
      <x:c r="E1966" s="2" t="str">
        <x:v>206</x:v>
      </x:c>
      <x:c r="F1966" s="2"/>
      <x:c r="G1966" s="2" t="str">
        <x:v>미확보</x:v>
      </x:c>
      <x:c r="H1966" s="2" t="str">
        <x:v>미확보</x:v>
      </x:c>
      <x:c r="I1966" s="2" t="str">
        <x:v>심의승인</x:v>
      </x:c>
      <x:c r="J1966" s="2" t="str">
        <x:v>심의승인</x:v>
      </x:c>
      <x:c r="K1966" s="2" t="str">
        <x:f>IF(OR(J1966="심의승인",J1966="반려",J1966="반려완료",J1966="심의완료"),"종결 표시",IF(OR(J1966="기후부협의",J1966="문서재제출요청",J1966="보류",J1966="보완요청",J1966="보완완료",J1966="평가중",J1966="반려요청",J1966="평가필요",LEFT(J1966,5)="보완요청("),"미종결 표시","상태 확인 필요"))</x:f>
        <x:v>종결 표시</x:v>
      </x:c>
      <x:c r="L1966" s="2"/>
      <x:c r="M1966" s="2"/>
      <x:c r="N1966" s="8"/>
      <x:c r="O1966" s="2"/>
      <x:c r="P1966" s="2"/>
      <x:c r="Q1966" s="2" t="str">
        <x:v>산업전환_외부사업관리Tool_260707_이너젠 수정_LJY_261013.xlsx</x:v>
      </x:c>
      <x:c r="R1966" s="2" t="str">
        <x:v>국내인증</x:v>
      </x:c>
      <x:c r="S1966" s="8" t="n">
        <x:v>284</x:v>
      </x:c>
      <x:c r="T1966" s="2" t="str">
        <x:v>(6/3)</x:v>
      </x:c>
      <x:c r="U1966" s="2" t="str">
        <x:v>2021 배정: (6/3)</x:v>
      </x:c>
      <x:c r="V1966" s="2" t="str">
        <x:v>2021-10-07</x:v>
      </x:c>
      <x:c r="W1966" s="2" t="str">
        <x:v>신청일 확인 / 담당기관 확인</x:v>
      </x:c>
      <x:c r="X1966" s="2" t="str">
        <x:v>원본·배정 기록 확인</x:v>
      </x:c>
      <x:c r="Y1966" s="2" t="str">
        <x:v>ad210cd9ec132cfd447541c8984dc53d30aff0f4fb2dc92d254d49275cc55976</x:v>
      </x:c>
      <x:c r="Z1966" s="2" t="n">
        <x:f>SUBTOTAL(103,A1966)</x:f>
        <x:v>1</x:v>
      </x:c>
      <x:c r="AA1966" s="2" t="str">
        <x:f>IF(K1966&lt;&gt;"미종결 표시","대상 아님",IF(N1966="","신청일 확인",IF(NOT(ISNUMBER('종합 현황'!$H$5)),"관찰기준 확인",IF('종합 현황'!$H$5&lt;1,"관찰기준 확인",IF(N1966&gt;'종합 현황'!$H$5,"내부 관찰 대상","내부 관찰일 이하")))))</x:f>
        <x:v>대상 아님</x:v>
      </x:c>
      <x:c r="AB1966" s="2"/>
    </x:row>
    <x:row r="1967" ht="42" customHeight="1">
      <x:c r="A1967" s="2" t="str">
        <x:v>4c1410cc2cec0e46dd002f77</x:v>
      </x:c>
      <x:c r="B1967" s="2" t="str">
        <x:v>감축량 인증</x:v>
      </x:c>
      <x:c r="C1967" s="2" t="str">
        <x:v>국내</x:v>
      </x:c>
      <x:c r="D1967" s="7" t="str">
        <x:v>삼원의 스팀보일러 연료교체를 통한 온실가스 감축사업</x:v>
      </x:c>
      <x:c r="E1967" s="2" t="str">
        <x:v>207</x:v>
      </x:c>
      <x:c r="F1967" s="2"/>
      <x:c r="G1967" s="2" t="str">
        <x:v>미확보</x:v>
      </x:c>
      <x:c r="H1967" s="2" t="str">
        <x:v>미확보</x:v>
      </x:c>
      <x:c r="I1967" s="2" t="str">
        <x:v>심의승인</x:v>
      </x:c>
      <x:c r="J1967" s="2" t="str">
        <x:v>심의승인</x:v>
      </x:c>
      <x:c r="K1967" s="2" t="str">
        <x:f>IF(OR(J1967="심의승인",J1967="반려",J1967="반려완료",J1967="심의완료"),"종결 표시",IF(OR(J1967="기후부협의",J1967="문서재제출요청",J1967="보류",J1967="보완요청",J1967="보완완료",J1967="평가중",J1967="반려요청",J1967="평가필요",LEFT(J1967,5)="보완요청("),"미종결 표시","상태 확인 필요"))</x:f>
        <x:v>종결 표시</x:v>
      </x:c>
      <x:c r="L1967" s="2"/>
      <x:c r="M1967" s="2"/>
      <x:c r="N1967" s="8"/>
      <x:c r="O1967" s="2"/>
      <x:c r="P1967" s="2"/>
      <x:c r="Q1967" s="2" t="str">
        <x:v>산업전환_외부사업관리Tool_260707_이너젠 수정_LJY_261013.xlsx</x:v>
      </x:c>
      <x:c r="R1967" s="2" t="str">
        <x:v>국내인증</x:v>
      </x:c>
      <x:c r="S1967" s="8" t="n">
        <x:v>285</x:v>
      </x:c>
      <x:c r="T1967" s="2" t="str">
        <x:v>(6/28)</x:v>
      </x:c>
      <x:c r="U1967" s="2" t="str">
        <x:v>2021 배정: (6/28)</x:v>
      </x:c>
      <x:c r="V1967" s="2" t="str">
        <x:v>2021-10-07</x:v>
      </x:c>
      <x:c r="W1967" s="2" t="str">
        <x:v>신청일 확인 / 담당기관 확인</x:v>
      </x:c>
      <x:c r="X1967" s="2" t="str">
        <x:v>원본·배정 기록 확인</x:v>
      </x:c>
      <x:c r="Y1967" s="2" t="str">
        <x:v>ad210cd9ec132cfd447541c8984dc53d30aff0f4fb2dc92d254d49275cc55976</x:v>
      </x:c>
      <x:c r="Z1967" s="2" t="n">
        <x:f>SUBTOTAL(103,A1967)</x:f>
        <x:v>1</x:v>
      </x:c>
      <x:c r="AA1967" s="2" t="str">
        <x:f>IF(K1967&lt;&gt;"미종결 표시","대상 아님",IF(N1967="","신청일 확인",IF(NOT(ISNUMBER('종합 현황'!$H$5)),"관찰기준 확인",IF('종합 현황'!$H$5&lt;1,"관찰기준 확인",IF(N1967&gt;'종합 현황'!$H$5,"내부 관찰 대상","내부 관찰일 이하")))))</x:f>
        <x:v>대상 아님</x:v>
      </x:c>
      <x:c r="AB1967" s="2"/>
    </x:row>
    <x:row r="1968" ht="42" customHeight="1">
      <x:c r="A1968" s="2" t="str">
        <x:v>02571603bde3ff2afd2929db</x:v>
      </x:c>
      <x:c r="B1968" s="2" t="str">
        <x:v>감축량 인증</x:v>
      </x:c>
      <x:c r="C1968" s="2" t="str">
        <x:v>국내</x:v>
      </x:c>
      <x:c r="D1968" s="7" t="str">
        <x:v>휴켐스(주) 신설 5질산에서 발생하는 아산화질소 배출량 저감사업</x:v>
      </x:c>
      <x:c r="E1968" s="2" t="str">
        <x:v>208</x:v>
      </x:c>
      <x:c r="F1968" s="2"/>
      <x:c r="G1968" s="2" t="str">
        <x:v>미확보</x:v>
      </x:c>
      <x:c r="H1968" s="2" t="str">
        <x:v>미확보</x:v>
      </x:c>
      <x:c r="I1968" s="2" t="str">
        <x:v>심의승인</x:v>
      </x:c>
      <x:c r="J1968" s="2" t="str">
        <x:v>심의승인</x:v>
      </x:c>
      <x:c r="K1968" s="2" t="str">
        <x:f>IF(OR(J1968="심의승인",J1968="반려",J1968="반려완료",J1968="심의완료"),"종결 표시",IF(OR(J1968="기후부협의",J1968="문서재제출요청",J1968="보류",J1968="보완요청",J1968="보완완료",J1968="평가중",J1968="반려요청",J1968="평가필요",LEFT(J1968,5)="보완요청("),"미종결 표시","상태 확인 필요"))</x:f>
        <x:v>종결 표시</x:v>
      </x:c>
      <x:c r="L1968" s="2"/>
      <x:c r="M1968" s="2"/>
      <x:c r="N1968" s="8"/>
      <x:c r="O1968" s="2"/>
      <x:c r="P1968" s="2"/>
      <x:c r="Q1968" s="2" t="str">
        <x:v>산업전환_외부사업관리Tool_260707_이너젠 수정_LJY_261013.xlsx</x:v>
      </x:c>
      <x:c r="R1968" s="2" t="str">
        <x:v>국내인증</x:v>
      </x:c>
      <x:c r="S1968" s="8" t="n">
        <x:v>286</x:v>
      </x:c>
      <x:c r="T1968" s="2"/>
      <x:c r="U1968" s="2" t="str"/>
      <x:c r="V1968" s="2" t="str">
        <x:v>2019-06-26</x:v>
      </x:c>
      <x:c r="W1968" s="2" t="str">
        <x:v>신청일 확인 / 담당기관 확인</x:v>
      </x:c>
      <x:c r="X1968" s="2" t="str">
        <x:v>원본·배정 기록 확인</x:v>
      </x:c>
      <x:c r="Y1968" s="2" t="str">
        <x:v>ad210cd9ec132cfd447541c8984dc53d30aff0f4fb2dc92d254d49275cc55976</x:v>
      </x:c>
      <x:c r="Z1968" s="2" t="n">
        <x:f>SUBTOTAL(103,A1968)</x:f>
        <x:v>1</x:v>
      </x:c>
      <x:c r="AA1968" s="2" t="str">
        <x:f>IF(K1968&lt;&gt;"미종결 표시","대상 아님",IF(N1968="","신청일 확인",IF(NOT(ISNUMBER('종합 현황'!$H$5)),"관찰기준 확인",IF('종합 현황'!$H$5&lt;1,"관찰기준 확인",IF(N1968&gt;'종합 현황'!$H$5,"내부 관찰 대상","내부 관찰일 이하")))))</x:f>
        <x:v>대상 아님</x:v>
      </x:c>
      <x:c r="AB1968" s="2"/>
    </x:row>
    <x:row r="1969" ht="42" customHeight="1">
      <x:c r="A1969" s="2" t="str">
        <x:v>451b94f06b25137ac02077ef</x:v>
      </x:c>
      <x:c r="B1969" s="2" t="str">
        <x:v>감축량 인증</x:v>
      </x:c>
      <x:c r="C1969" s="2" t="str">
        <x:v>국내</x:v>
      </x:c>
      <x:c r="D1969" s="7" t="str">
        <x:v>시화호 조력발전 사업</x:v>
      </x:c>
      <x:c r="E1969" s="2" t="str">
        <x:v>209</x:v>
      </x:c>
      <x:c r="F1969" s="2"/>
      <x:c r="G1969" s="2" t="str">
        <x:v>미확보</x:v>
      </x:c>
      <x:c r="H1969" s="2" t="str">
        <x:v>미확보</x:v>
      </x:c>
      <x:c r="I1969" s="2" t="str">
        <x:v>심의승인</x:v>
      </x:c>
      <x:c r="J1969" s="2" t="str">
        <x:v>심의승인</x:v>
      </x:c>
      <x:c r="K1969" s="2" t="str">
        <x:f>IF(OR(J1969="심의승인",J1969="반려",J1969="반려완료",J1969="심의완료"),"종결 표시",IF(OR(J1969="기후부협의",J1969="문서재제출요청",J1969="보류",J1969="보완요청",J1969="보완완료",J1969="평가중",J1969="반려요청",J1969="평가필요",LEFT(J1969,5)="보완요청("),"미종결 표시","상태 확인 필요"))</x:f>
        <x:v>종결 표시</x:v>
      </x:c>
      <x:c r="L1969" s="2"/>
      <x:c r="M1969" s="2"/>
      <x:c r="N1969" s="8"/>
      <x:c r="O1969" s="2"/>
      <x:c r="P1969" s="2"/>
      <x:c r="Q1969" s="2" t="str">
        <x:v>산업전환_외부사업관리Tool_260707_이너젠 수정_LJY_261013.xlsx</x:v>
      </x:c>
      <x:c r="R1969" s="2" t="str">
        <x:v>국내인증</x:v>
      </x:c>
      <x:c r="S1969" s="8" t="n">
        <x:v>287</x:v>
      </x:c>
      <x:c r="T1969" s="2"/>
      <x:c r="U1969" s="2" t="str"/>
      <x:c r="V1969" s="2" t="str">
        <x:v>2019-06-26</x:v>
      </x:c>
      <x:c r="W1969" s="2" t="str">
        <x:v>신청일 확인 / 담당기관 확인</x:v>
      </x:c>
      <x:c r="X1969" s="2" t="str">
        <x:v>원본·배정 기록 확인</x:v>
      </x:c>
      <x:c r="Y1969" s="2" t="str">
        <x:v>ad210cd9ec132cfd447541c8984dc53d30aff0f4fb2dc92d254d49275cc55976</x:v>
      </x:c>
      <x:c r="Z1969" s="2" t="n">
        <x:f>SUBTOTAL(103,A1969)</x:f>
        <x:v>1</x:v>
      </x:c>
      <x:c r="AA1969" s="2" t="str">
        <x:f>IF(K1969&lt;&gt;"미종결 표시","대상 아님",IF(N1969="","신청일 확인",IF(NOT(ISNUMBER('종합 현황'!$H$5)),"관찰기준 확인",IF('종합 현황'!$H$5&lt;1,"관찰기준 확인",IF(N1969&gt;'종합 현황'!$H$5,"내부 관찰 대상","내부 관찰일 이하")))))</x:f>
        <x:v>대상 아님</x:v>
      </x:c>
      <x:c r="AB1969" s="2"/>
    </x:row>
    <x:row r="1970" ht="42" customHeight="1">
      <x:c r="A1970" s="2" t="str">
        <x:v>5c42f514fcbadb43dc406009</x:v>
      </x:c>
      <x:c r="B1970" s="2" t="str">
        <x:v>감축량 인증</x:v>
      </x:c>
      <x:c r="C1970" s="2" t="str">
        <x:v>국내</x:v>
      </x:c>
      <x:c r="D1970" s="7" t="str">
        <x:v>휴켐스 질산공장 N2O 감축사업(휴켐스 주식회사의 질산 공장 세곡에서 tail gas에 포한된 아산화질소를 촉매를 사용하여 제거하는 프로젝트)</x:v>
      </x:c>
      <x:c r="E1970" s="2" t="str">
        <x:v>210</x:v>
      </x:c>
      <x:c r="F1970" s="2"/>
      <x:c r="G1970" s="2" t="str">
        <x:v>미확보</x:v>
      </x:c>
      <x:c r="H1970" s="2" t="str">
        <x:v>미확보</x:v>
      </x:c>
      <x:c r="I1970" s="2" t="str">
        <x:v>심의승인</x:v>
      </x:c>
      <x:c r="J1970" s="2" t="str">
        <x:v>심의승인</x:v>
      </x:c>
      <x:c r="K1970" s="2" t="str">
        <x:f>IF(OR(J1970="심의승인",J1970="반려",J1970="반려완료",J1970="심의완료"),"종결 표시",IF(OR(J1970="기후부협의",J1970="문서재제출요청",J1970="보류",J1970="보완요청",J1970="보완완료",J1970="평가중",J1970="반려요청",J1970="평가필요",LEFT(J1970,5)="보완요청("),"미종결 표시","상태 확인 필요"))</x:f>
        <x:v>종결 표시</x:v>
      </x:c>
      <x:c r="L1970" s="2"/>
      <x:c r="M1970" s="2"/>
      <x:c r="N1970" s="8"/>
      <x:c r="O1970" s="2"/>
      <x:c r="P1970" s="2"/>
      <x:c r="Q1970" s="2" t="str">
        <x:v>산업전환_외부사업관리Tool_260707_이너젠 수정_LJY_261013.xlsx</x:v>
      </x:c>
      <x:c r="R1970" s="2" t="str">
        <x:v>국내인증</x:v>
      </x:c>
      <x:c r="S1970" s="8" t="n">
        <x:v>288</x:v>
      </x:c>
      <x:c r="T1970" s="2"/>
      <x:c r="U1970" s="2" t="str"/>
      <x:c r="V1970" s="2" t="str">
        <x:v>2019-06-26</x:v>
      </x:c>
      <x:c r="W1970" s="2" t="str">
        <x:v>신청일 확인 / 담당기관 확인</x:v>
      </x:c>
      <x:c r="X1970" s="2" t="str">
        <x:v>원본·배정 기록 확인</x:v>
      </x:c>
      <x:c r="Y1970" s="2" t="str">
        <x:v>ad210cd9ec132cfd447541c8984dc53d30aff0f4fb2dc92d254d49275cc55976</x:v>
      </x:c>
      <x:c r="Z1970" s="2" t="n">
        <x:f>SUBTOTAL(103,A1970)</x:f>
        <x:v>1</x:v>
      </x:c>
      <x:c r="AA1970" s="2" t="str">
        <x:f>IF(K1970&lt;&gt;"미종결 표시","대상 아님",IF(N1970="","신청일 확인",IF(NOT(ISNUMBER('종합 현황'!$H$5)),"관찰기준 확인",IF('종합 현황'!$H$5&lt;1,"관찰기준 확인",IF(N1970&gt;'종합 현황'!$H$5,"내부 관찰 대상","내부 관찰일 이하")))))</x:f>
        <x:v>대상 아님</x:v>
      </x:c>
      <x:c r="AB1970" s="2"/>
    </x:row>
    <x:row r="1971" ht="42" customHeight="1">
      <x:c r="A1971" s="2" t="str">
        <x:v>f24002c0ad5c9bf4f4b1ee62</x:v>
      </x:c>
      <x:c r="B1971" s="2" t="str">
        <x:v>감축량 인증</x:v>
      </x:c>
      <x:c r="C1971" s="2" t="str">
        <x:v>국내</x:v>
      </x:c>
      <x:c r="D1971" s="7" t="str">
        <x:v>남양아스콘(주) 버너연료를 B-C유에서 LNG로 연료 전환 하는 온실가스감축사업</x:v>
      </x:c>
      <x:c r="E1971" s="2" t="str">
        <x:v>211</x:v>
      </x:c>
      <x:c r="F1971" s="2"/>
      <x:c r="G1971" s="2" t="str">
        <x:v>미확보</x:v>
      </x:c>
      <x:c r="H1971" s="2" t="str">
        <x:v>미확보</x:v>
      </x:c>
      <x:c r="I1971" s="2" t="str">
        <x:v>심의승인</x:v>
      </x:c>
      <x:c r="J1971" s="2" t="str">
        <x:v>심의승인</x:v>
      </x:c>
      <x:c r="K1971" s="2" t="str">
        <x:f>IF(OR(J1971="심의승인",J1971="반려",J1971="반려완료",J1971="심의완료"),"종결 표시",IF(OR(J1971="기후부협의",J1971="문서재제출요청",J1971="보류",J1971="보완요청",J1971="보완완료",J1971="평가중",J1971="반려요청",J1971="평가필요",LEFT(J1971,5)="보완요청("),"미종결 표시","상태 확인 필요"))</x:f>
        <x:v>종결 표시</x:v>
      </x:c>
      <x:c r="L1971" s="2"/>
      <x:c r="M1971" s="2"/>
      <x:c r="N1971" s="8"/>
      <x:c r="O1971" s="2"/>
      <x:c r="P1971" s="2"/>
      <x:c r="Q1971" s="2" t="str">
        <x:v>산업전환_외부사업관리Tool_260707_이너젠 수정_LJY_261013.xlsx</x:v>
      </x:c>
      <x:c r="R1971" s="2" t="str">
        <x:v>국내인증</x:v>
      </x:c>
      <x:c r="S1971" s="8" t="n">
        <x:v>289</x:v>
      </x:c>
      <x:c r="T1971" s="2"/>
      <x:c r="U1971" s="2" t="str"/>
      <x:c r="V1971" s="2" t="str">
        <x:v>2020-06-11</x:v>
      </x:c>
      <x:c r="W1971" s="2" t="str">
        <x:v>신청일 확인 / 담당기관 확인</x:v>
      </x:c>
      <x:c r="X1971" s="2" t="str">
        <x:v>원본·배정 기록 확인</x:v>
      </x:c>
      <x:c r="Y1971" s="2" t="str">
        <x:v>ad210cd9ec132cfd447541c8984dc53d30aff0f4fb2dc92d254d49275cc55976</x:v>
      </x:c>
      <x:c r="Z1971" s="2" t="n">
        <x:f>SUBTOTAL(103,A1971)</x:f>
        <x:v>1</x:v>
      </x:c>
      <x:c r="AA1971" s="2" t="str">
        <x:f>IF(K1971&lt;&gt;"미종결 표시","대상 아님",IF(N1971="","신청일 확인",IF(NOT(ISNUMBER('종합 현황'!$H$5)),"관찰기준 확인",IF('종합 현황'!$H$5&lt;1,"관찰기준 확인",IF(N1971&gt;'종합 현황'!$H$5,"내부 관찰 대상","내부 관찰일 이하")))))</x:f>
        <x:v>대상 아님</x:v>
      </x:c>
      <x:c r="AB1971" s="2"/>
    </x:row>
    <x:row r="1972" ht="42" customHeight="1">
      <x:c r="A1972" s="2" t="str">
        <x:v>7153c3406c560a333028a883</x:v>
      </x:c>
      <x:c r="B1972" s="2" t="str">
        <x:v>감축량 인증</x:v>
      </x:c>
      <x:c r="C1972" s="2" t="str">
        <x:v>국내</x:v>
      </x:c>
      <x:c r="D1972" s="7" t="str">
        <x:v>(주)한남코퍼레이션의 폐기물 소각 열을 회수하여 LNG보일러 생산스팀을 대체하는 온실가스 감축사업</x:v>
      </x:c>
      <x:c r="E1972" s="2" t="str">
        <x:v>212</x:v>
      </x:c>
      <x:c r="F1972" s="2"/>
      <x:c r="G1972" s="2" t="str">
        <x:v>미확보</x:v>
      </x:c>
      <x:c r="H1972" s="2" t="str">
        <x:v>미확보</x:v>
      </x:c>
      <x:c r="I1972" s="2" t="str">
        <x:v>심의승인</x:v>
      </x:c>
      <x:c r="J1972" s="2" t="str">
        <x:v>심의승인</x:v>
      </x:c>
      <x:c r="K1972" s="2" t="str">
        <x:f>IF(OR(J1972="심의승인",J1972="반려",J1972="반려완료",J1972="심의완료"),"종결 표시",IF(OR(J1972="기후부협의",J1972="문서재제출요청",J1972="보류",J1972="보완요청",J1972="보완완료",J1972="평가중",J1972="반려요청",J1972="평가필요",LEFT(J1972,5)="보완요청("),"미종결 표시","상태 확인 필요"))</x:f>
        <x:v>종결 표시</x:v>
      </x:c>
      <x:c r="L1972" s="2"/>
      <x:c r="M1972" s="2"/>
      <x:c r="N1972" s="8"/>
      <x:c r="O1972" s="2"/>
      <x:c r="P1972" s="2"/>
      <x:c r="Q1972" s="2" t="str">
        <x:v>산업전환_외부사업관리Tool_260707_이너젠 수정_LJY_261013.xlsx</x:v>
      </x:c>
      <x:c r="R1972" s="2" t="str">
        <x:v>국내인증</x:v>
      </x:c>
      <x:c r="S1972" s="8" t="n">
        <x:v>290</x:v>
      </x:c>
      <x:c r="T1972" s="2"/>
      <x:c r="U1972" s="2" t="str"/>
      <x:c r="V1972" s="2" t="str">
        <x:v>2020-08-12</x:v>
      </x:c>
      <x:c r="W1972" s="2" t="str">
        <x:v>신청일 확인 / 담당기관 확인</x:v>
      </x:c>
      <x:c r="X1972" s="2" t="str">
        <x:v>원본·배정 기록 확인</x:v>
      </x:c>
      <x:c r="Y1972" s="2" t="str">
        <x:v>ad210cd9ec132cfd447541c8984dc53d30aff0f4fb2dc92d254d49275cc55976</x:v>
      </x:c>
      <x:c r="Z1972" s="2" t="n">
        <x:f>SUBTOTAL(103,A1972)</x:f>
        <x:v>1</x:v>
      </x:c>
      <x:c r="AA1972" s="2" t="str">
        <x:f>IF(K1972&lt;&gt;"미종결 표시","대상 아님",IF(N1972="","신청일 확인",IF(NOT(ISNUMBER('종합 현황'!$H$5)),"관찰기준 확인",IF('종합 현황'!$H$5&lt;1,"관찰기준 확인",IF(N1972&gt;'종합 현황'!$H$5,"내부 관찰 대상","내부 관찰일 이하")))))</x:f>
        <x:v>대상 아님</x:v>
      </x:c>
      <x:c r="AB1972" s="2"/>
    </x:row>
    <x:row r="1973" ht="42" customHeight="1">
      <x:c r="A1973" s="2" t="str">
        <x:v>37411ed79f6dc4f87aecc3d3</x:v>
      </x:c>
      <x:c r="B1973" s="2" t="str">
        <x:v>감축량 인증</x:v>
      </x:c>
      <x:c r="C1973" s="2" t="str">
        <x:v>국내</x:v>
      </x:c>
      <x:c r="D1973" s="7" t="str">
        <x:v>한국지역난방공사 대구지사 목질 바이오매스 열병합발전 프로젝트</x:v>
      </x:c>
      <x:c r="E1973" s="2" t="str">
        <x:v>213</x:v>
      </x:c>
      <x:c r="F1973" s="2"/>
      <x:c r="G1973" s="2" t="str">
        <x:v>미확보</x:v>
      </x:c>
      <x:c r="H1973" s="2" t="str">
        <x:v>미확보</x:v>
      </x:c>
      <x:c r="I1973" s="2" t="str">
        <x:v>심의승인</x:v>
      </x:c>
      <x:c r="J1973" s="2" t="str">
        <x:v>심의승인</x:v>
      </x:c>
      <x:c r="K1973" s="2" t="str">
        <x:f>IF(OR(J1973="심의승인",J1973="반려",J1973="반려완료",J1973="심의완료"),"종결 표시",IF(OR(J1973="기후부협의",J1973="문서재제출요청",J1973="보류",J1973="보완요청",J1973="보완완료",J1973="평가중",J1973="반려요청",J1973="평가필요",LEFT(J1973,5)="보완요청("),"미종결 표시","상태 확인 필요"))</x:f>
        <x:v>종결 표시</x:v>
      </x:c>
      <x:c r="L1973" s="2"/>
      <x:c r="M1973" s="2"/>
      <x:c r="N1973" s="8"/>
      <x:c r="O1973" s="2"/>
      <x:c r="P1973" s="2"/>
      <x:c r="Q1973" s="2" t="str">
        <x:v>산업전환_외부사업관리Tool_260707_이너젠 수정_LJY_261013.xlsx</x:v>
      </x:c>
      <x:c r="R1973" s="2" t="str">
        <x:v>국내인증</x:v>
      </x:c>
      <x:c r="S1973" s="8" t="n">
        <x:v>291</x:v>
      </x:c>
      <x:c r="T1973" s="2"/>
      <x:c r="U1973" s="2" t="str"/>
      <x:c r="V1973" s="2" t="str">
        <x:v>2019-08-06</x:v>
      </x:c>
      <x:c r="W1973" s="2" t="str">
        <x:v>신청일 확인 / 담당기관 확인</x:v>
      </x:c>
      <x:c r="X1973" s="2" t="str">
        <x:v>원본·배정 기록 확인</x:v>
      </x:c>
      <x:c r="Y1973" s="2" t="str">
        <x:v>ad210cd9ec132cfd447541c8984dc53d30aff0f4fb2dc92d254d49275cc55976</x:v>
      </x:c>
      <x:c r="Z1973" s="2" t="n">
        <x:f>SUBTOTAL(103,A1973)</x:f>
        <x:v>1</x:v>
      </x:c>
      <x:c r="AA1973" s="2" t="str">
        <x:f>IF(K1973&lt;&gt;"미종결 표시","대상 아님",IF(N1973="","신청일 확인",IF(NOT(ISNUMBER('종합 현황'!$H$5)),"관찰기준 확인",IF('종합 현황'!$H$5&lt;1,"관찰기준 확인",IF(N1973&gt;'종합 현황'!$H$5,"내부 관찰 대상","내부 관찰일 이하")))))</x:f>
        <x:v>대상 아님</x:v>
      </x:c>
      <x:c r="AB1973" s="2"/>
    </x:row>
    <x:row r="1974" ht="42" customHeight="1">
      <x:c r="A1974" s="2" t="str">
        <x:v>4fae4d1025d41d0d2fd0b04e</x:v>
      </x:c>
      <x:c r="B1974" s="2" t="str">
        <x:v>감축량 인증</x:v>
      </x:c>
      <x:c r="C1974" s="2" t="str">
        <x:v>국내</x:v>
      </x:c>
      <x:c r="D1974" s="7" t="str">
        <x:v>시화호 조력발전 사업</x:v>
      </x:c>
      <x:c r="E1974" s="2" t="str">
        <x:v>214</x:v>
      </x:c>
      <x:c r="F1974" s="2"/>
      <x:c r="G1974" s="2" t="str">
        <x:v>미확보</x:v>
      </x:c>
      <x:c r="H1974" s="2" t="str">
        <x:v>미확보</x:v>
      </x:c>
      <x:c r="I1974" s="2" t="str">
        <x:v>심의승인</x:v>
      </x:c>
      <x:c r="J1974" s="2" t="str">
        <x:v>심의승인</x:v>
      </x:c>
      <x:c r="K1974" s="2" t="str">
        <x:f>IF(OR(J1974="심의승인",J1974="반려",J1974="반려완료",J1974="심의완료"),"종결 표시",IF(OR(J1974="기후부협의",J1974="문서재제출요청",J1974="보류",J1974="보완요청",J1974="보완완료",J1974="평가중",J1974="반려요청",J1974="평가필요",LEFT(J1974,5)="보완요청("),"미종결 표시","상태 확인 필요"))</x:f>
        <x:v>종결 표시</x:v>
      </x:c>
      <x:c r="L1974" s="2"/>
      <x:c r="M1974" s="2"/>
      <x:c r="N1974" s="8"/>
      <x:c r="O1974" s="2"/>
      <x:c r="P1974" s="2"/>
      <x:c r="Q1974" s="2" t="str">
        <x:v>산업전환_외부사업관리Tool_260707_이너젠 수정_LJY_261013.xlsx</x:v>
      </x:c>
      <x:c r="R1974" s="2" t="str">
        <x:v>국내인증</x:v>
      </x:c>
      <x:c r="S1974" s="8" t="n">
        <x:v>292</x:v>
      </x:c>
      <x:c r="T1974" s="2"/>
      <x:c r="U1974" s="2" t="str"/>
      <x:c r="V1974" s="2" t="str">
        <x:v>2019-08-06</x:v>
      </x:c>
      <x:c r="W1974" s="2" t="str">
        <x:v>신청일 확인 / 담당기관 확인</x:v>
      </x:c>
      <x:c r="X1974" s="2" t="str">
        <x:v>원본·배정 기록 확인</x:v>
      </x:c>
      <x:c r="Y1974" s="2" t="str">
        <x:v>ad210cd9ec132cfd447541c8984dc53d30aff0f4fb2dc92d254d49275cc55976</x:v>
      </x:c>
      <x:c r="Z1974" s="2" t="n">
        <x:f>SUBTOTAL(103,A1974)</x:f>
        <x:v>1</x:v>
      </x:c>
      <x:c r="AA1974" s="2" t="str">
        <x:f>IF(K1974&lt;&gt;"미종결 표시","대상 아님",IF(N1974="","신청일 확인",IF(NOT(ISNUMBER('종합 현황'!$H$5)),"관찰기준 확인",IF('종합 현황'!$H$5&lt;1,"관찰기준 확인",IF(N1974&gt;'종합 현황'!$H$5,"내부 관찰 대상","내부 관찰일 이하")))))</x:f>
        <x:v>대상 아님</x:v>
      </x:c>
      <x:c r="AB1974" s="2"/>
    </x:row>
    <x:row r="1975" ht="42" customHeight="1">
      <x:c r="A1975" s="2" t="str">
        <x:v>05799b4df942a9ef4485155c</x:v>
      </x:c>
      <x:c r="B1975" s="2" t="str">
        <x:v>감축량 인증</x:v>
      </x:c>
      <x:c r="C1975" s="2" t="str">
        <x:v>국내</x:v>
      </x:c>
      <x:c r="D1975" s="7" t="str">
        <x:v>휴켐스(주) 신설 5질산에서 발생하는 아산화질소 배출량 저감사업</x:v>
      </x:c>
      <x:c r="E1975" s="2" t="str">
        <x:v>215</x:v>
      </x:c>
      <x:c r="F1975" s="2"/>
      <x:c r="G1975" s="2" t="str">
        <x:v>미확보</x:v>
      </x:c>
      <x:c r="H1975" s="2" t="str">
        <x:v>미확보</x:v>
      </x:c>
      <x:c r="I1975" s="2" t="str">
        <x:v>심의승인</x:v>
      </x:c>
      <x:c r="J1975" s="2" t="str">
        <x:v>심의승인</x:v>
      </x:c>
      <x:c r="K1975" s="2" t="str">
        <x:f>IF(OR(J1975="심의승인",J1975="반려",J1975="반려완료",J1975="심의완료"),"종결 표시",IF(OR(J1975="기후부협의",J1975="문서재제출요청",J1975="보류",J1975="보완요청",J1975="보완완료",J1975="평가중",J1975="반려요청",J1975="평가필요",LEFT(J1975,5)="보완요청("),"미종결 표시","상태 확인 필요"))</x:f>
        <x:v>종결 표시</x:v>
      </x:c>
      <x:c r="L1975" s="2"/>
      <x:c r="M1975" s="2"/>
      <x:c r="N1975" s="8"/>
      <x:c r="O1975" s="2"/>
      <x:c r="P1975" s="2"/>
      <x:c r="Q1975" s="2" t="str">
        <x:v>산업전환_외부사업관리Tool_260707_이너젠 수정_LJY_261013.xlsx</x:v>
      </x:c>
      <x:c r="R1975" s="2" t="str">
        <x:v>국내인증</x:v>
      </x:c>
      <x:c r="S1975" s="8" t="n">
        <x:v>293</x:v>
      </x:c>
      <x:c r="T1975" s="2"/>
      <x:c r="U1975" s="2" t="str"/>
      <x:c r="V1975" s="2" t="str">
        <x:v>2019-08-06</x:v>
      </x:c>
      <x:c r="W1975" s="2" t="str">
        <x:v>신청일 확인 / 담당기관 확인</x:v>
      </x:c>
      <x:c r="X1975" s="2" t="str">
        <x:v>원본·배정 기록 확인</x:v>
      </x:c>
      <x:c r="Y1975" s="2" t="str">
        <x:v>ad210cd9ec132cfd447541c8984dc53d30aff0f4fb2dc92d254d49275cc55976</x:v>
      </x:c>
      <x:c r="Z1975" s="2" t="n">
        <x:f>SUBTOTAL(103,A1975)</x:f>
        <x:v>1</x:v>
      </x:c>
      <x:c r="AA1975" s="2" t="str">
        <x:f>IF(K1975&lt;&gt;"미종결 표시","대상 아님",IF(N1975="","신청일 확인",IF(NOT(ISNUMBER('종합 현황'!$H$5)),"관찰기준 확인",IF('종합 현황'!$H$5&lt;1,"관찰기준 확인",IF(N1975&gt;'종합 현황'!$H$5,"내부 관찰 대상","내부 관찰일 이하")))))</x:f>
        <x:v>대상 아님</x:v>
      </x:c>
      <x:c r="AB1975" s="2"/>
    </x:row>
    <x:row r="1976" ht="42" customHeight="1">
      <x:c r="A1976" s="2" t="str">
        <x:v>1048b6e1daa66bba2f6d1c76</x:v>
      </x:c>
      <x:c r="B1976" s="2" t="str">
        <x:v>감축량 인증</x:v>
      </x:c>
      <x:c r="C1976" s="2" t="str">
        <x:v>국내</x:v>
      </x:c>
      <x:c r="D1976" s="7" t="str">
        <x:v>휴켐스(주) 신설 5질산에서 발생하는 아산화질소 배출량 저감사업</x:v>
      </x:c>
      <x:c r="E1976" s="2" t="str">
        <x:v>216</x:v>
      </x:c>
      <x:c r="F1976" s="2"/>
      <x:c r="G1976" s="2" t="str">
        <x:v>미확보</x:v>
      </x:c>
      <x:c r="H1976" s="2" t="str">
        <x:v>미확보</x:v>
      </x:c>
      <x:c r="I1976" s="2" t="str">
        <x:v>심의승인</x:v>
      </x:c>
      <x:c r="J1976" s="2" t="str">
        <x:v>심의승인</x:v>
      </x:c>
      <x:c r="K1976" s="2" t="str">
        <x:f>IF(OR(J1976="심의승인",J1976="반려",J1976="반려완료",J1976="심의완료"),"종결 표시",IF(OR(J1976="기후부협의",J1976="문서재제출요청",J1976="보류",J1976="보완요청",J1976="보완완료",J1976="평가중",J1976="반려요청",J1976="평가필요",LEFT(J1976,5)="보완요청("),"미종결 표시","상태 확인 필요"))</x:f>
        <x:v>종결 표시</x:v>
      </x:c>
      <x:c r="L1976" s="2"/>
      <x:c r="M1976" s="2"/>
      <x:c r="N1976" s="8"/>
      <x:c r="O1976" s="2"/>
      <x:c r="P1976" s="2"/>
      <x:c r="Q1976" s="2" t="str">
        <x:v>산업전환_외부사업관리Tool_260707_이너젠 수정_LJY_261013.xlsx</x:v>
      </x:c>
      <x:c r="R1976" s="2" t="str">
        <x:v>국내인증</x:v>
      </x:c>
      <x:c r="S1976" s="8" t="n">
        <x:v>294</x:v>
      </x:c>
      <x:c r="T1976" s="2"/>
      <x:c r="U1976" s="2" t="str"/>
      <x:c r="V1976" s="2" t="str">
        <x:v>2019-08-06</x:v>
      </x:c>
      <x:c r="W1976" s="2" t="str">
        <x:v>신청일 확인 / 담당기관 확인</x:v>
      </x:c>
      <x:c r="X1976" s="2" t="str">
        <x:v>원본·배정 기록 확인</x:v>
      </x:c>
      <x:c r="Y1976" s="2" t="str">
        <x:v>ad210cd9ec132cfd447541c8984dc53d30aff0f4fb2dc92d254d49275cc55976</x:v>
      </x:c>
      <x:c r="Z1976" s="2" t="n">
        <x:f>SUBTOTAL(103,A1976)</x:f>
        <x:v>1</x:v>
      </x:c>
      <x:c r="AA1976" s="2" t="str">
        <x:f>IF(K1976&lt;&gt;"미종결 표시","대상 아님",IF(N1976="","신청일 확인",IF(NOT(ISNUMBER('종합 현황'!$H$5)),"관찰기준 확인",IF('종합 현황'!$H$5&lt;1,"관찰기준 확인",IF(N1976&gt;'종합 현황'!$H$5,"내부 관찰 대상","내부 관찰일 이하")))))</x:f>
        <x:v>대상 아님</x:v>
      </x:c>
      <x:c r="AB1976" s="2"/>
    </x:row>
    <x:row r="1977" ht="42" customHeight="1">
      <x:c r="A1977" s="2" t="str">
        <x:v>4c4bdd36cbd8ff9705662172</x:v>
      </x:c>
      <x:c r="B1977" s="2" t="str">
        <x:v>감축량 인증</x:v>
      </x:c>
      <x:c r="C1977" s="2" t="str">
        <x:v>국내</x:v>
      </x:c>
      <x:c r="D1977" s="7" t="str">
        <x:v>폐기물 소각 열을 회수하여 LNG 보일러 생산스팀을 대체하는 온실가스 감축사업</x:v>
      </x:c>
      <x:c r="E1977" s="2" t="str">
        <x:v>217</x:v>
      </x:c>
      <x:c r="F1977" s="2"/>
      <x:c r="G1977" s="2" t="str">
        <x:v>미확보</x:v>
      </x:c>
      <x:c r="H1977" s="2" t="str">
        <x:v>미확보</x:v>
      </x:c>
      <x:c r="I1977" s="2" t="str">
        <x:v>심의승인</x:v>
      </x:c>
      <x:c r="J1977" s="2" t="str">
        <x:v>심의승인</x:v>
      </x:c>
      <x:c r="K1977" s="2" t="str">
        <x:f>IF(OR(J1977="심의승인",J1977="반려",J1977="반려완료",J1977="심의완료"),"종결 표시",IF(OR(J1977="기후부협의",J1977="문서재제출요청",J1977="보류",J1977="보완요청",J1977="보완완료",J1977="평가중",J1977="반려요청",J1977="평가필요",LEFT(J1977,5)="보완요청("),"미종결 표시","상태 확인 필요"))</x:f>
        <x:v>종결 표시</x:v>
      </x:c>
      <x:c r="L1977" s="2"/>
      <x:c r="M1977" s="2"/>
      <x:c r="N1977" s="8"/>
      <x:c r="O1977" s="2"/>
      <x:c r="P1977" s="2"/>
      <x:c r="Q1977" s="2" t="str">
        <x:v>산업전환_외부사업관리Tool_260707_이너젠 수정_LJY_261013.xlsx</x:v>
      </x:c>
      <x:c r="R1977" s="2" t="str">
        <x:v>국내인증</x:v>
      </x:c>
      <x:c r="S1977" s="8" t="n">
        <x:v>295</x:v>
      </x:c>
      <x:c r="T1977" s="2"/>
      <x:c r="U1977" s="2" t="str"/>
      <x:c r="V1977" s="2" t="str">
        <x:v>2020-08-12</x:v>
      </x:c>
      <x:c r="W1977" s="2" t="str">
        <x:v>신청일 확인 / 담당기관 확인</x:v>
      </x:c>
      <x:c r="X1977" s="2" t="str">
        <x:v>원본·배정 기록 확인</x:v>
      </x:c>
      <x:c r="Y1977" s="2" t="str">
        <x:v>ad210cd9ec132cfd447541c8984dc53d30aff0f4fb2dc92d254d49275cc55976</x:v>
      </x:c>
      <x:c r="Z1977" s="2" t="n">
        <x:f>SUBTOTAL(103,A1977)</x:f>
        <x:v>1</x:v>
      </x:c>
      <x:c r="AA1977" s="2" t="str">
        <x:f>IF(K1977&lt;&gt;"미종결 표시","대상 아님",IF(N1977="","신청일 확인",IF(NOT(ISNUMBER('종합 현황'!$H$5)),"관찰기준 확인",IF('종합 현황'!$H$5&lt;1,"관찰기준 확인",IF(N1977&gt;'종합 현황'!$H$5,"내부 관찰 대상","내부 관찰일 이하")))))</x:f>
        <x:v>대상 아님</x:v>
      </x:c>
      <x:c r="AB1977" s="2"/>
    </x:row>
    <x:row r="1978" ht="42" customHeight="1">
      <x:c r="A1978" s="2" t="str">
        <x:v>f12b2c25d81fdbeed1879f1d</x:v>
      </x:c>
      <x:c r="B1978" s="2" t="str">
        <x:v>감축량 인증</x:v>
      </x:c>
      <x:c r="C1978" s="2" t="str">
        <x:v>국내</x:v>
      </x:c>
      <x:c r="D1978" s="7" t="str">
        <x:v>(주)한화 울산소재 질산공장 N2O감축 프로젝트</x:v>
      </x:c>
      <x:c r="E1978" s="2" t="str">
        <x:v>218</x:v>
      </x:c>
      <x:c r="F1978" s="2"/>
      <x:c r="G1978" s="2" t="str">
        <x:v>미확보</x:v>
      </x:c>
      <x:c r="H1978" s="2" t="str">
        <x:v>미확보</x:v>
      </x:c>
      <x:c r="I1978" s="2" t="str">
        <x:v>심의승인</x:v>
      </x:c>
      <x:c r="J1978" s="2" t="str">
        <x:v>심의승인</x:v>
      </x:c>
      <x:c r="K1978" s="2" t="str">
        <x:f>IF(OR(J1978="심의승인",J1978="반려",J1978="반려완료",J1978="심의완료"),"종결 표시",IF(OR(J1978="기후부협의",J1978="문서재제출요청",J1978="보류",J1978="보완요청",J1978="보완완료",J1978="평가중",J1978="반려요청",J1978="평가필요",LEFT(J1978,5)="보완요청("),"미종결 표시","상태 확인 필요"))</x:f>
        <x:v>종결 표시</x:v>
      </x:c>
      <x:c r="L1978" s="2"/>
      <x:c r="M1978" s="2"/>
      <x:c r="N1978" s="8"/>
      <x:c r="O1978" s="2"/>
      <x:c r="P1978" s="2"/>
      <x:c r="Q1978" s="2" t="str">
        <x:v>산업전환_외부사업관리Tool_260707_이너젠 수정_LJY_261013.xlsx</x:v>
      </x:c>
      <x:c r="R1978" s="2" t="str">
        <x:v>국내인증</x:v>
      </x:c>
      <x:c r="S1978" s="8" t="n">
        <x:v>296</x:v>
      </x:c>
      <x:c r="T1978" s="2"/>
      <x:c r="U1978" s="2" t="str"/>
      <x:c r="V1978" s="2" t="str">
        <x:v>2019-08-06</x:v>
      </x:c>
      <x:c r="W1978" s="2" t="str">
        <x:v>신청일 확인 / 담당기관 확인</x:v>
      </x:c>
      <x:c r="X1978" s="2" t="str">
        <x:v>원본·배정 기록 확인</x:v>
      </x:c>
      <x:c r="Y1978" s="2" t="str">
        <x:v>ad210cd9ec132cfd447541c8984dc53d30aff0f4fb2dc92d254d49275cc55976</x:v>
      </x:c>
      <x:c r="Z1978" s="2" t="n">
        <x:f>SUBTOTAL(103,A1978)</x:f>
        <x:v>1</x:v>
      </x:c>
      <x:c r="AA1978" s="2" t="str">
        <x:f>IF(K1978&lt;&gt;"미종결 표시","대상 아님",IF(N1978="","신청일 확인",IF(NOT(ISNUMBER('종합 현황'!$H$5)),"관찰기준 확인",IF('종합 현황'!$H$5&lt;1,"관찰기준 확인",IF(N1978&gt;'종합 현황'!$H$5,"내부 관찰 대상","내부 관찰일 이하")))))</x:f>
        <x:v>대상 아님</x:v>
      </x:c>
      <x:c r="AB1978" s="2"/>
    </x:row>
    <x:row r="1979" ht="42" customHeight="1">
      <x:c r="A1979" s="2" t="str">
        <x:v>346320a83ba30a66c0c773a9</x:v>
      </x:c>
      <x:c r="B1979" s="2" t="str">
        <x:v>감축량 인증</x:v>
      </x:c>
      <x:c r="C1979" s="2" t="str">
        <x:v>국내</x:v>
      </x:c>
      <x:c r="D1979" s="7" t="str">
        <x:v>영우냉동식품 절탄기 설치에 따른 미활용에너지 (B-C유 -&gt; LNG 연료전환 포함) 회수를 통한 온실가스 감축사업</x:v>
      </x:c>
      <x:c r="E1979" s="2" t="str">
        <x:v>219</x:v>
      </x:c>
      <x:c r="F1979" s="2"/>
      <x:c r="G1979" s="2" t="str">
        <x:v>미확보</x:v>
      </x:c>
      <x:c r="H1979" s="2" t="str">
        <x:v>미확보</x:v>
      </x:c>
      <x:c r="I1979" s="2" t="str">
        <x:v>심의승인</x:v>
      </x:c>
      <x:c r="J1979" s="2" t="str">
        <x:v>심의승인</x:v>
      </x:c>
      <x:c r="K1979" s="2" t="str">
        <x:f>IF(OR(J1979="심의승인",J1979="반려",J1979="반려완료",J1979="심의완료"),"종결 표시",IF(OR(J1979="기후부협의",J1979="문서재제출요청",J1979="보류",J1979="보완요청",J1979="보완완료",J1979="평가중",J1979="반려요청",J1979="평가필요",LEFT(J1979,5)="보완요청("),"미종결 표시","상태 확인 필요"))</x:f>
        <x:v>종결 표시</x:v>
      </x:c>
      <x:c r="L1979" s="2"/>
      <x:c r="M1979" s="2"/>
      <x:c r="N1979" s="8"/>
      <x:c r="O1979" s="2"/>
      <x:c r="P1979" s="2"/>
      <x:c r="Q1979" s="2" t="str">
        <x:v>산업전환_외부사업관리Tool_260707_이너젠 수정_LJY_261013.xlsx</x:v>
      </x:c>
      <x:c r="R1979" s="2" t="str">
        <x:v>국내인증</x:v>
      </x:c>
      <x:c r="S1979" s="8" t="n">
        <x:v>297</x:v>
      </x:c>
      <x:c r="T1979" s="2" t="str">
        <x:v>2021년 처리</x:v>
      </x:c>
      <x:c r="U1979" s="2" t="str">
        <x:v>2021 배정: 2021년 처리</x:v>
      </x:c>
      <x:c r="V1979" s="2" t="str">
        <x:v>2021-06-21</x:v>
      </x:c>
      <x:c r="W1979" s="2" t="str">
        <x:v>신청일 확인 / 담당기관 확인</x:v>
      </x:c>
      <x:c r="X1979" s="2" t="str">
        <x:v>원본·배정 기록 확인</x:v>
      </x:c>
      <x:c r="Y1979" s="2" t="str">
        <x:v>ad210cd9ec132cfd447541c8984dc53d30aff0f4fb2dc92d254d49275cc55976</x:v>
      </x:c>
      <x:c r="Z1979" s="2" t="n">
        <x:f>SUBTOTAL(103,A1979)</x:f>
        <x:v>1</x:v>
      </x:c>
      <x:c r="AA1979" s="2" t="str">
        <x:f>IF(K1979&lt;&gt;"미종결 표시","대상 아님",IF(N1979="","신청일 확인",IF(NOT(ISNUMBER('종합 현황'!$H$5)),"관찰기준 확인",IF('종합 현황'!$H$5&lt;1,"관찰기준 확인",IF(N1979&gt;'종합 현황'!$H$5,"내부 관찰 대상","내부 관찰일 이하")))))</x:f>
        <x:v>대상 아님</x:v>
      </x:c>
      <x:c r="AB1979" s="2"/>
    </x:row>
    <x:row r="1980" ht="42" customHeight="1">
      <x:c r="A1980" s="2" t="str">
        <x:v>035afbfeb0951b87cf11357a</x:v>
      </x:c>
      <x:c r="B1980" s="2" t="str">
        <x:v>감축량 인증</x:v>
      </x:c>
      <x:c r="C1980" s="2" t="str">
        <x:v>국내</x:v>
      </x:c>
      <x:c r="D1980" s="7" t="str">
        <x:v>삼화판지 보일러의 연료전환 (B-C유→LNG)를 통한 온실가스 감축사업</x:v>
      </x:c>
      <x:c r="E1980" s="2" t="str">
        <x:v>220</x:v>
      </x:c>
      <x:c r="F1980" s="2"/>
      <x:c r="G1980" s="2" t="str">
        <x:v>미확보</x:v>
      </x:c>
      <x:c r="H1980" s="2" t="str">
        <x:v>미확보</x:v>
      </x:c>
      <x:c r="I1980" s="2" t="str">
        <x:v>심의승인</x:v>
      </x:c>
      <x:c r="J1980" s="2" t="str">
        <x:v>심의승인</x:v>
      </x:c>
      <x:c r="K1980" s="2" t="str">
        <x:f>IF(OR(J1980="심의승인",J1980="반려",J1980="반려완료",J1980="심의완료"),"종결 표시",IF(OR(J1980="기후부협의",J1980="문서재제출요청",J1980="보류",J1980="보완요청",J1980="보완완료",J1980="평가중",J1980="반려요청",J1980="평가필요",LEFT(J1980,5)="보완요청("),"미종결 표시","상태 확인 필요"))</x:f>
        <x:v>종결 표시</x:v>
      </x:c>
      <x:c r="L1980" s="2"/>
      <x:c r="M1980" s="2"/>
      <x:c r="N1980" s="8"/>
      <x:c r="O1980" s="2"/>
      <x:c r="P1980" s="2"/>
      <x:c r="Q1980" s="2" t="str">
        <x:v>산업전환_외부사업관리Tool_260707_이너젠 수정_LJY_261013.xlsx</x:v>
      </x:c>
      <x:c r="R1980" s="2" t="str">
        <x:v>국내인증</x:v>
      </x:c>
      <x:c r="S1980" s="8" t="n">
        <x:v>298</x:v>
      </x:c>
      <x:c r="T1980" s="2"/>
      <x:c r="U1980" s="2" t="str"/>
      <x:c r="V1980" s="2" t="str">
        <x:v>2020-10-27</x:v>
      </x:c>
      <x:c r="W1980" s="2" t="str">
        <x:v>신청일 확인 / 담당기관 확인</x:v>
      </x:c>
      <x:c r="X1980" s="2" t="str">
        <x:v>원본·배정 기록 확인</x:v>
      </x:c>
      <x:c r="Y1980" s="2" t="str">
        <x:v>ad210cd9ec132cfd447541c8984dc53d30aff0f4fb2dc92d254d49275cc55976</x:v>
      </x:c>
      <x:c r="Z1980" s="2" t="n">
        <x:f>SUBTOTAL(103,A1980)</x:f>
        <x:v>1</x:v>
      </x:c>
      <x:c r="AA1980" s="2" t="str">
        <x:f>IF(K1980&lt;&gt;"미종결 표시","대상 아님",IF(N1980="","신청일 확인",IF(NOT(ISNUMBER('종합 현황'!$H$5)),"관찰기준 확인",IF('종합 현황'!$H$5&lt;1,"관찰기준 확인",IF(N1980&gt;'종합 현황'!$H$5,"내부 관찰 대상","내부 관찰일 이하")))))</x:f>
        <x:v>대상 아님</x:v>
      </x:c>
      <x:c r="AB1980" s="2"/>
    </x:row>
    <x:row r="1981" ht="42" customHeight="1">
      <x:c r="A1981" s="2" t="str">
        <x:v>a7fc2adcfb1a175f4c1984e4</x:v>
      </x:c>
      <x:c r="B1981" s="2" t="str">
        <x:v>감축량 인증</x:v>
      </x:c>
      <x:c r="C1981" s="2" t="str">
        <x:v>국내</x:v>
      </x:c>
      <x:c r="D1981" s="7" t="str">
        <x:v>카프로 N2O 저감 사업</x:v>
      </x:c>
      <x:c r="E1981" s="2" t="str">
        <x:v>221</x:v>
      </x:c>
      <x:c r="F1981" s="2"/>
      <x:c r="G1981" s="2" t="str">
        <x:v>미확보</x:v>
      </x:c>
      <x:c r="H1981" s="2" t="str">
        <x:v>미확보</x:v>
      </x:c>
      <x:c r="I1981" s="2" t="str">
        <x:v>심의승인</x:v>
      </x:c>
      <x:c r="J1981" s="2" t="str">
        <x:v>심의승인</x:v>
      </x:c>
      <x:c r="K1981" s="2" t="str">
        <x:f>IF(OR(J1981="심의승인",J1981="반려",J1981="반려완료",J1981="심의완료"),"종결 표시",IF(OR(J1981="기후부협의",J1981="문서재제출요청",J1981="보류",J1981="보완요청",J1981="보완완료",J1981="평가중",J1981="반려요청",J1981="평가필요",LEFT(J1981,5)="보완요청("),"미종결 표시","상태 확인 필요"))</x:f>
        <x:v>종결 표시</x:v>
      </x:c>
      <x:c r="L1981" s="2"/>
      <x:c r="M1981" s="2"/>
      <x:c r="N1981" s="8"/>
      <x:c r="O1981" s="2"/>
      <x:c r="P1981" s="2"/>
      <x:c r="Q1981" s="2" t="str">
        <x:v>산업전환_외부사업관리Tool_260707_이너젠 수정_LJY_261013.xlsx</x:v>
      </x:c>
      <x:c r="R1981" s="2" t="str">
        <x:v>국내인증</x:v>
      </x:c>
      <x:c r="S1981" s="8" t="n">
        <x:v>299</x:v>
      </x:c>
      <x:c r="T1981" s="2"/>
      <x:c r="U1981" s="2" t="str"/>
      <x:c r="V1981" s="2" t="str">
        <x:v>2019-12-05</x:v>
      </x:c>
      <x:c r="W1981" s="2" t="str">
        <x:v>신청일 확인 / 담당기관 확인</x:v>
      </x:c>
      <x:c r="X1981" s="2" t="str">
        <x:v>원본·배정 기록 확인</x:v>
      </x:c>
      <x:c r="Y1981" s="2" t="str">
        <x:v>ad210cd9ec132cfd447541c8984dc53d30aff0f4fb2dc92d254d49275cc55976</x:v>
      </x:c>
      <x:c r="Z1981" s="2" t="n">
        <x:f>SUBTOTAL(103,A1981)</x:f>
        <x:v>1</x:v>
      </x:c>
      <x:c r="AA1981" s="2" t="str">
        <x:f>IF(K1981&lt;&gt;"미종결 표시","대상 아님",IF(N1981="","신청일 확인",IF(NOT(ISNUMBER('종합 현황'!$H$5)),"관찰기준 확인",IF('종합 현황'!$H$5&lt;1,"관찰기준 확인",IF(N1981&gt;'종합 현황'!$H$5,"내부 관찰 대상","내부 관찰일 이하")))))</x:f>
        <x:v>대상 아님</x:v>
      </x:c>
      <x:c r="AB1981" s="2"/>
    </x:row>
    <x:row r="1982" ht="42" customHeight="1">
      <x:c r="A1982" s="2" t="str">
        <x:v>c8e89b1153ab472d24f7e102</x:v>
      </x:c>
      <x:c r="B1982" s="2" t="str">
        <x:v>감축량 인증</x:v>
      </x:c>
      <x:c r="C1982" s="2" t="str">
        <x:v>국내</x:v>
      </x:c>
      <x:c r="D1982" s="7" t="str">
        <x:v>카프로 N2O 저감 사업</x:v>
      </x:c>
      <x:c r="E1982" s="2" t="str">
        <x:v>222</x:v>
      </x:c>
      <x:c r="F1982" s="2"/>
      <x:c r="G1982" s="2" t="str">
        <x:v>미확보</x:v>
      </x:c>
      <x:c r="H1982" s="2" t="str">
        <x:v>미확보</x:v>
      </x:c>
      <x:c r="I1982" s="2" t="str">
        <x:v>심의승인</x:v>
      </x:c>
      <x:c r="J1982" s="2" t="str">
        <x:v>심의승인</x:v>
      </x:c>
      <x:c r="K1982" s="2" t="str">
        <x:f>IF(OR(J1982="심의승인",J1982="반려",J1982="반려완료",J1982="심의완료"),"종결 표시",IF(OR(J1982="기후부협의",J1982="문서재제출요청",J1982="보류",J1982="보완요청",J1982="보완완료",J1982="평가중",J1982="반려요청",J1982="평가필요",LEFT(J1982,5)="보완요청("),"미종결 표시","상태 확인 필요"))</x:f>
        <x:v>종결 표시</x:v>
      </x:c>
      <x:c r="L1982" s="2"/>
      <x:c r="M1982" s="2"/>
      <x:c r="N1982" s="8"/>
      <x:c r="O1982" s="2"/>
      <x:c r="P1982" s="2"/>
      <x:c r="Q1982" s="2" t="str">
        <x:v>산업전환_외부사업관리Tool_260707_이너젠 수정_LJY_261013.xlsx</x:v>
      </x:c>
      <x:c r="R1982" s="2" t="str">
        <x:v>국내인증</x:v>
      </x:c>
      <x:c r="S1982" s="8" t="n">
        <x:v>300</x:v>
      </x:c>
      <x:c r="T1982" s="2"/>
      <x:c r="U1982" s="2" t="str"/>
      <x:c r="V1982" s="2" t="str">
        <x:v>2019-12-05</x:v>
      </x:c>
      <x:c r="W1982" s="2" t="str">
        <x:v>신청일 확인 / 담당기관 확인</x:v>
      </x:c>
      <x:c r="X1982" s="2" t="str">
        <x:v>원본·배정 기록 확인</x:v>
      </x:c>
      <x:c r="Y1982" s="2" t="str">
        <x:v>ad210cd9ec132cfd447541c8984dc53d30aff0f4fb2dc92d254d49275cc55976</x:v>
      </x:c>
      <x:c r="Z1982" s="2" t="n">
        <x:f>SUBTOTAL(103,A1982)</x:f>
        <x:v>1</x:v>
      </x:c>
      <x:c r="AA1982" s="2" t="str">
        <x:f>IF(K1982&lt;&gt;"미종결 표시","대상 아님",IF(N1982="","신청일 확인",IF(NOT(ISNUMBER('종합 현황'!$H$5)),"관찰기준 확인",IF('종합 현황'!$H$5&lt;1,"관찰기준 확인",IF(N1982&gt;'종합 현황'!$H$5,"내부 관찰 대상","내부 관찰일 이하")))))</x:f>
        <x:v>대상 아님</x:v>
      </x:c>
      <x:c r="AB1982" s="2"/>
    </x:row>
    <x:row r="1983" ht="42" customHeight="1">
      <x:c r="A1983" s="2" t="str">
        <x:v>f7ec73b0f246e86940b994e0</x:v>
      </x:c>
      <x:c r="B1983" s="2" t="str">
        <x:v>감축량 인증</x:v>
      </x:c>
      <x:c r="C1983" s="2" t="str">
        <x:v>국내</x:v>
      </x:c>
      <x:c r="D1983" s="7" t="str">
        <x:v>한국 경기도 지역의 천연가스 연료전환 번들링 사업</x:v>
      </x:c>
      <x:c r="E1983" s="2" t="str">
        <x:v>223</x:v>
      </x:c>
      <x:c r="F1983" s="2"/>
      <x:c r="G1983" s="2" t="str">
        <x:v>미확보</x:v>
      </x:c>
      <x:c r="H1983" s="2" t="str">
        <x:v>미확보</x:v>
      </x:c>
      <x:c r="I1983" s="2" t="str">
        <x:v>심의승인</x:v>
      </x:c>
      <x:c r="J1983" s="2" t="str">
        <x:v>심의승인</x:v>
      </x:c>
      <x:c r="K1983" s="2" t="str">
        <x:f>IF(OR(J1983="심의승인",J1983="반려",J1983="반려완료",J1983="심의완료"),"종결 표시",IF(OR(J1983="기후부협의",J1983="문서재제출요청",J1983="보류",J1983="보완요청",J1983="보완완료",J1983="평가중",J1983="반려요청",J1983="평가필요",LEFT(J1983,5)="보완요청("),"미종결 표시","상태 확인 필요"))</x:f>
        <x:v>종결 표시</x:v>
      </x:c>
      <x:c r="L1983" s="2"/>
      <x:c r="M1983" s="2"/>
      <x:c r="N1983" s="8"/>
      <x:c r="O1983" s="2"/>
      <x:c r="P1983" s="2"/>
      <x:c r="Q1983" s="2" t="str">
        <x:v>산업전환_외부사업관리Tool_260707_이너젠 수정_LJY_261013.xlsx</x:v>
      </x:c>
      <x:c r="R1983" s="2" t="str">
        <x:v>국내인증</x:v>
      </x:c>
      <x:c r="S1983" s="8" t="n">
        <x:v>301</x:v>
      </x:c>
      <x:c r="T1983" s="2"/>
      <x:c r="U1983" s="2" t="str"/>
      <x:c r="V1983" s="2" t="str">
        <x:v>2019-12-05</x:v>
      </x:c>
      <x:c r="W1983" s="2" t="str">
        <x:v>신청일 확인 / 담당기관 확인</x:v>
      </x:c>
      <x:c r="X1983" s="2" t="str">
        <x:v>원본·배정 기록 확인</x:v>
      </x:c>
      <x:c r="Y1983" s="2" t="str">
        <x:v>ad210cd9ec132cfd447541c8984dc53d30aff0f4fb2dc92d254d49275cc55976</x:v>
      </x:c>
      <x:c r="Z1983" s="2" t="n">
        <x:f>SUBTOTAL(103,A1983)</x:f>
        <x:v>1</x:v>
      </x:c>
      <x:c r="AA1983" s="2" t="str">
        <x:f>IF(K1983&lt;&gt;"미종결 표시","대상 아님",IF(N1983="","신청일 확인",IF(NOT(ISNUMBER('종합 현황'!$H$5)),"관찰기준 확인",IF('종합 현황'!$H$5&lt;1,"관찰기준 확인",IF(N1983&gt;'종합 현황'!$H$5,"내부 관찰 대상","내부 관찰일 이하")))))</x:f>
        <x:v>대상 아님</x:v>
      </x:c>
      <x:c r="AB1983" s="2"/>
    </x:row>
    <x:row r="1984" ht="42" customHeight="1">
      <x:c r="A1984" s="2" t="str">
        <x:v>49413a62c442f2f759cf35c3</x:v>
      </x:c>
      <x:c r="B1984" s="2" t="str">
        <x:v>감축량 인증</x:v>
      </x:c>
      <x:c r="C1984" s="2" t="str">
        <x:v>국내</x:v>
      </x:c>
      <x:c r="D1984" s="7" t="str">
        <x:v>휴켐스 질산공장 N2O 감축사업(휴켐스 주식회사의 질산 공장 세 곳에서 tail gas에 포함된 아산화질소를 촉매를 사용하여 제거하는 프로젝트)</x:v>
      </x:c>
      <x:c r="E1984" s="2" t="str">
        <x:v>224</x:v>
      </x:c>
      <x:c r="F1984" s="2"/>
      <x:c r="G1984" s="2" t="str">
        <x:v>미확보</x:v>
      </x:c>
      <x:c r="H1984" s="2" t="str">
        <x:v>미확보</x:v>
      </x:c>
      <x:c r="I1984" s="2" t="str">
        <x:v>심의승인</x:v>
      </x:c>
      <x:c r="J1984" s="2" t="str">
        <x:v>심의승인</x:v>
      </x:c>
      <x:c r="K1984" s="2" t="str">
        <x:f>IF(OR(J1984="심의승인",J1984="반려",J1984="반려완료",J1984="심의완료"),"종결 표시",IF(OR(J1984="기후부협의",J1984="문서재제출요청",J1984="보류",J1984="보완요청",J1984="보완완료",J1984="평가중",J1984="반려요청",J1984="평가필요",LEFT(J1984,5)="보완요청("),"미종결 표시","상태 확인 필요"))</x:f>
        <x:v>종결 표시</x:v>
      </x:c>
      <x:c r="L1984" s="2"/>
      <x:c r="M1984" s="2"/>
      <x:c r="N1984" s="8"/>
      <x:c r="O1984" s="2"/>
      <x:c r="P1984" s="2"/>
      <x:c r="Q1984" s="2" t="str">
        <x:v>산업전환_외부사업관리Tool_260707_이너젠 수정_LJY_261013.xlsx</x:v>
      </x:c>
      <x:c r="R1984" s="2" t="str">
        <x:v>국내인증</x:v>
      </x:c>
      <x:c r="S1984" s="8" t="n">
        <x:v>302</x:v>
      </x:c>
      <x:c r="T1984" s="2"/>
      <x:c r="U1984" s="2" t="str"/>
      <x:c r="V1984" s="2" t="str">
        <x:v>2019-12-05</x:v>
      </x:c>
      <x:c r="W1984" s="2" t="str">
        <x:v>신청일 확인 / 담당기관 확인</x:v>
      </x:c>
      <x:c r="X1984" s="2" t="str">
        <x:v>원본·배정 기록 확인</x:v>
      </x:c>
      <x:c r="Y1984" s="2" t="str">
        <x:v>ad210cd9ec132cfd447541c8984dc53d30aff0f4fb2dc92d254d49275cc55976</x:v>
      </x:c>
      <x:c r="Z1984" s="2" t="n">
        <x:f>SUBTOTAL(103,A1984)</x:f>
        <x:v>1</x:v>
      </x:c>
      <x:c r="AA1984" s="2" t="str">
        <x:f>IF(K1984&lt;&gt;"미종결 표시","대상 아님",IF(N1984="","신청일 확인",IF(NOT(ISNUMBER('종합 현황'!$H$5)),"관찰기준 확인",IF('종합 현황'!$H$5&lt;1,"관찰기준 확인",IF(N1984&gt;'종합 현황'!$H$5,"내부 관찰 대상","내부 관찰일 이하")))))</x:f>
        <x:v>대상 아님</x:v>
      </x:c>
      <x:c r="AB1984" s="2"/>
    </x:row>
    <x:row r="1985" ht="42" customHeight="1">
      <x:c r="A1985" s="2" t="str">
        <x:v>f74d8833a04c066469005230</x:v>
      </x:c>
      <x:c r="B1985" s="2" t="str">
        <x:v>감축량 인증</x:v>
      </x:c>
      <x:c r="C1985" s="2" t="str">
        <x:v>국내</x:v>
      </x:c>
      <x:c r="D1985" s="7" t="str">
        <x:v>휴켐스(주) 신설 5질산에서 발생하는 아산화질소 배출량 저감사업</x:v>
      </x:c>
      <x:c r="E1985" s="2" t="str">
        <x:v>225</x:v>
      </x:c>
      <x:c r="F1985" s="2"/>
      <x:c r="G1985" s="2" t="str">
        <x:v>미확보</x:v>
      </x:c>
      <x:c r="H1985" s="2" t="str">
        <x:v>미확보</x:v>
      </x:c>
      <x:c r="I1985" s="2" t="str">
        <x:v>심의승인</x:v>
      </x:c>
      <x:c r="J1985" s="2" t="str">
        <x:v>심의승인</x:v>
      </x:c>
      <x:c r="K1985" s="2" t="str">
        <x:f>IF(OR(J1985="심의승인",J1985="반려",J1985="반려완료",J1985="심의완료"),"종결 표시",IF(OR(J1985="기후부협의",J1985="문서재제출요청",J1985="보류",J1985="보완요청",J1985="보완완료",J1985="평가중",J1985="반려요청",J1985="평가필요",LEFT(J1985,5)="보완요청("),"미종결 표시","상태 확인 필요"))</x:f>
        <x:v>종결 표시</x:v>
      </x:c>
      <x:c r="L1985" s="2"/>
      <x:c r="M1985" s="2"/>
      <x:c r="N1985" s="8"/>
      <x:c r="O1985" s="2"/>
      <x:c r="P1985" s="2"/>
      <x:c r="Q1985" s="2" t="str">
        <x:v>산업전환_외부사업관리Tool_260707_이너젠 수정_LJY_261013.xlsx</x:v>
      </x:c>
      <x:c r="R1985" s="2" t="str">
        <x:v>국내인증</x:v>
      </x:c>
      <x:c r="S1985" s="8" t="n">
        <x:v>303</x:v>
      </x:c>
      <x:c r="T1985" s="2"/>
      <x:c r="U1985" s="2" t="str"/>
      <x:c r="V1985" s="2" t="str">
        <x:v>2019-12-05</x:v>
      </x:c>
      <x:c r="W1985" s="2" t="str">
        <x:v>신청일 확인 / 담당기관 확인</x:v>
      </x:c>
      <x:c r="X1985" s="2" t="str">
        <x:v>원본·배정 기록 확인</x:v>
      </x:c>
      <x:c r="Y1985" s="2" t="str">
        <x:v>ad210cd9ec132cfd447541c8984dc53d30aff0f4fb2dc92d254d49275cc55976</x:v>
      </x:c>
      <x:c r="Z1985" s="2" t="n">
        <x:f>SUBTOTAL(103,A1985)</x:f>
        <x:v>1</x:v>
      </x:c>
      <x:c r="AA1985" s="2" t="str">
        <x:f>IF(K1985&lt;&gt;"미종결 표시","대상 아님",IF(N1985="","신청일 확인",IF(NOT(ISNUMBER('종합 현황'!$H$5)),"관찰기준 확인",IF('종합 현황'!$H$5&lt;1,"관찰기준 확인",IF(N1985&gt;'종합 현황'!$H$5,"내부 관찰 대상","내부 관찰일 이하")))))</x:f>
        <x:v>대상 아님</x:v>
      </x:c>
      <x:c r="AB1985" s="2"/>
    </x:row>
    <x:row r="1986" ht="42" customHeight="1">
      <x:c r="A1986" s="2" t="str">
        <x:v>8a737b0879f8c56196db38bb</x:v>
      </x:c>
      <x:c r="B1986" s="2" t="str">
        <x:v>감축량 인증</x:v>
      </x:c>
      <x:c r="C1986" s="2" t="str">
        <x:v>국내</x:v>
      </x:c>
      <x:c r="D1986" s="7" t="str">
        <x:v>지역난방용 온수보일러 연료전환 사업</x:v>
      </x:c>
      <x:c r="E1986" s="2" t="str">
        <x:v>226</x:v>
      </x:c>
      <x:c r="F1986" s="2"/>
      <x:c r="G1986" s="2" t="str">
        <x:v>미확보</x:v>
      </x:c>
      <x:c r="H1986" s="2" t="str">
        <x:v>미확보</x:v>
      </x:c>
      <x:c r="I1986" s="2" t="str">
        <x:v>심의승인</x:v>
      </x:c>
      <x:c r="J1986" s="2" t="str">
        <x:v>심의승인</x:v>
      </x:c>
      <x:c r="K1986" s="2" t="str">
        <x:f>IF(OR(J1986="심의승인",J1986="반려",J1986="반려완료",J1986="심의완료"),"종결 표시",IF(OR(J1986="기후부협의",J1986="문서재제출요청",J1986="보류",J1986="보완요청",J1986="보완완료",J1986="평가중",J1986="반려요청",J1986="평가필요",LEFT(J1986,5)="보완요청("),"미종결 표시","상태 확인 필요"))</x:f>
        <x:v>종결 표시</x:v>
      </x:c>
      <x:c r="L1986" s="2"/>
      <x:c r="M1986" s="2"/>
      <x:c r="N1986" s="8"/>
      <x:c r="O1986" s="2"/>
      <x:c r="P1986" s="2"/>
      <x:c r="Q1986" s="2" t="str">
        <x:v>산업전환_외부사업관리Tool_260707_이너젠 수정_LJY_261013.xlsx</x:v>
      </x:c>
      <x:c r="R1986" s="2" t="str">
        <x:v>국내인증</x:v>
      </x:c>
      <x:c r="S1986" s="8" t="n">
        <x:v>304</x:v>
      </x:c>
      <x:c r="T1986" s="2"/>
      <x:c r="U1986" s="2" t="str"/>
      <x:c r="V1986" s="2" t="str">
        <x:v>2019-12-05</x:v>
      </x:c>
      <x:c r="W1986" s="2" t="str">
        <x:v>신청일 확인 / 담당기관 확인</x:v>
      </x:c>
      <x:c r="X1986" s="2" t="str">
        <x:v>원본·배정 기록 확인</x:v>
      </x:c>
      <x:c r="Y1986" s="2" t="str">
        <x:v>ad210cd9ec132cfd447541c8984dc53d30aff0f4fb2dc92d254d49275cc55976</x:v>
      </x:c>
      <x:c r="Z1986" s="2" t="n">
        <x:f>SUBTOTAL(103,A1986)</x:f>
        <x:v>1</x:v>
      </x:c>
      <x:c r="AA1986" s="2" t="str">
        <x:f>IF(K1986&lt;&gt;"미종결 표시","대상 아님",IF(N1986="","신청일 확인",IF(NOT(ISNUMBER('종합 현황'!$H$5)),"관찰기준 확인",IF('종합 현황'!$H$5&lt;1,"관찰기준 확인",IF(N1986&gt;'종합 현황'!$H$5,"내부 관찰 대상","내부 관찰일 이하")))))</x:f>
        <x:v>대상 아님</x:v>
      </x:c>
      <x:c r="AB1986" s="2"/>
    </x:row>
    <x:row r="1987" ht="42" customHeight="1">
      <x:c r="A1987" s="2" t="str">
        <x:v>5285c8190c1d5dc0e9919136</x:v>
      </x:c>
      <x:c r="B1987" s="2" t="str">
        <x:v>감축량 인증</x:v>
      </x:c>
      <x:c r="C1987" s="2" t="str">
        <x:v>국내</x:v>
      </x:c>
      <x:c r="D1987" s="7" t="str">
        <x:v>시화호 조력발전 사업</x:v>
      </x:c>
      <x:c r="E1987" s="2" t="str">
        <x:v>227</x:v>
      </x:c>
      <x:c r="F1987" s="2"/>
      <x:c r="G1987" s="2" t="str">
        <x:v>미확보</x:v>
      </x:c>
      <x:c r="H1987" s="2" t="str">
        <x:v>미확보</x:v>
      </x:c>
      <x:c r="I1987" s="2" t="str">
        <x:v>심의승인</x:v>
      </x:c>
      <x:c r="J1987" s="2" t="str">
        <x:v>심의승인</x:v>
      </x:c>
      <x:c r="K1987" s="2" t="str">
        <x:f>IF(OR(J1987="심의승인",J1987="반려",J1987="반려완료",J1987="심의완료"),"종결 표시",IF(OR(J1987="기후부협의",J1987="문서재제출요청",J1987="보류",J1987="보완요청",J1987="보완완료",J1987="평가중",J1987="반려요청",J1987="평가필요",LEFT(J1987,5)="보완요청("),"미종결 표시","상태 확인 필요"))</x:f>
        <x:v>종결 표시</x:v>
      </x:c>
      <x:c r="L1987" s="2"/>
      <x:c r="M1987" s="2"/>
      <x:c r="N1987" s="8"/>
      <x:c r="O1987" s="2"/>
      <x:c r="P1987" s="2"/>
      <x:c r="Q1987" s="2" t="str">
        <x:v>산업전환_외부사업관리Tool_260707_이너젠 수정_LJY_261013.xlsx</x:v>
      </x:c>
      <x:c r="R1987" s="2" t="str">
        <x:v>국내인증</x:v>
      </x:c>
      <x:c r="S1987" s="8" t="n">
        <x:v>305</x:v>
      </x:c>
      <x:c r="T1987" s="2"/>
      <x:c r="U1987" s="2" t="str"/>
      <x:c r="V1987" s="2" t="str">
        <x:v>2019-12-05</x:v>
      </x:c>
      <x:c r="W1987" s="2" t="str">
        <x:v>신청일 확인 / 담당기관 확인</x:v>
      </x:c>
      <x:c r="X1987" s="2" t="str">
        <x:v>원본·배정 기록 확인</x:v>
      </x:c>
      <x:c r="Y1987" s="2" t="str">
        <x:v>ad210cd9ec132cfd447541c8984dc53d30aff0f4fb2dc92d254d49275cc55976</x:v>
      </x:c>
      <x:c r="Z1987" s="2" t="n">
        <x:f>SUBTOTAL(103,A1987)</x:f>
        <x:v>1</x:v>
      </x:c>
      <x:c r="AA1987" s="2" t="str">
        <x:f>IF(K1987&lt;&gt;"미종결 표시","대상 아님",IF(N1987="","신청일 확인",IF(NOT(ISNUMBER('종합 현황'!$H$5)),"관찰기준 확인",IF('종합 현황'!$H$5&lt;1,"관찰기준 확인",IF(N1987&gt;'종합 현황'!$H$5,"내부 관찰 대상","내부 관찰일 이하")))))</x:f>
        <x:v>대상 아님</x:v>
      </x:c>
      <x:c r="AB1987" s="2"/>
    </x:row>
    <x:row r="1988" ht="42" customHeight="1">
      <x:c r="A1988" s="2" t="str">
        <x:v>dfe6e36231399e9ea553f352</x:v>
      </x:c>
      <x:c r="B1988" s="2" t="str">
        <x:v>감축량 인증</x:v>
      </x:c>
      <x:c r="C1988" s="2" t="str">
        <x:v>국내</x:v>
      </x:c>
      <x:c r="D1988" s="7" t="str">
        <x:v>휴켐스(주) 신설 5질산에서 발생하는 아산화질소 배출량 저감사업</x:v>
      </x:c>
      <x:c r="E1988" s="2" t="str">
        <x:v>228</x:v>
      </x:c>
      <x:c r="F1988" s="2"/>
      <x:c r="G1988" s="2" t="str">
        <x:v>미확보</x:v>
      </x:c>
      <x:c r="H1988" s="2" t="str">
        <x:v>미확보</x:v>
      </x:c>
      <x:c r="I1988" s="2" t="str">
        <x:v>심의승인</x:v>
      </x:c>
      <x:c r="J1988" s="2" t="str">
        <x:v>심의승인</x:v>
      </x:c>
      <x:c r="K1988" s="2" t="str">
        <x:f>IF(OR(J1988="심의승인",J1988="반려",J1988="반려완료",J1988="심의완료"),"종결 표시",IF(OR(J1988="기후부협의",J1988="문서재제출요청",J1988="보류",J1988="보완요청",J1988="보완완료",J1988="평가중",J1988="반려요청",J1988="평가필요",LEFT(J1988,5)="보완요청("),"미종결 표시","상태 확인 필요"))</x:f>
        <x:v>종결 표시</x:v>
      </x:c>
      <x:c r="L1988" s="2"/>
      <x:c r="M1988" s="2"/>
      <x:c r="N1988" s="8"/>
      <x:c r="O1988" s="2"/>
      <x:c r="P1988" s="2"/>
      <x:c r="Q1988" s="2" t="str">
        <x:v>산업전환_외부사업관리Tool_260707_이너젠 수정_LJY_261013.xlsx</x:v>
      </x:c>
      <x:c r="R1988" s="2" t="str">
        <x:v>국내인증</x:v>
      </x:c>
      <x:c r="S1988" s="8" t="n">
        <x:v>306</x:v>
      </x:c>
      <x:c r="T1988" s="2"/>
      <x:c r="U1988" s="2" t="str"/>
      <x:c r="V1988" s="2" t="str">
        <x:v>2019-12-05</x:v>
      </x:c>
      <x:c r="W1988" s="2" t="str">
        <x:v>신청일 확인 / 담당기관 확인</x:v>
      </x:c>
      <x:c r="X1988" s="2" t="str">
        <x:v>원본·배정 기록 확인</x:v>
      </x:c>
      <x:c r="Y1988" s="2" t="str">
        <x:v>ad210cd9ec132cfd447541c8984dc53d30aff0f4fb2dc92d254d49275cc55976</x:v>
      </x:c>
      <x:c r="Z1988" s="2" t="n">
        <x:f>SUBTOTAL(103,A1988)</x:f>
        <x:v>1</x:v>
      </x:c>
      <x:c r="AA1988" s="2" t="str">
        <x:f>IF(K1988&lt;&gt;"미종결 표시","대상 아님",IF(N1988="","신청일 확인",IF(NOT(ISNUMBER('종합 현황'!$H$5)),"관찰기준 확인",IF('종합 현황'!$H$5&lt;1,"관찰기준 확인",IF(N1988&gt;'종합 현황'!$H$5,"내부 관찰 대상","내부 관찰일 이하")))))</x:f>
        <x:v>대상 아님</x:v>
      </x:c>
      <x:c r="AB1988" s="2"/>
    </x:row>
    <x:row r="1989" ht="42" customHeight="1">
      <x:c r="A1989" s="2" t="str">
        <x:v>dd7d24a4c62bf6a10b431594</x:v>
      </x:c>
      <x:c r="B1989" s="2" t="str">
        <x:v>감축량 인증</x:v>
      </x:c>
      <x:c r="C1989" s="2" t="str">
        <x:v>국내</x:v>
      </x:c>
      <x:c r="D1989" s="7" t="str">
        <x:v>휴켐스 질산공장 N2O 감축사업(휴켐스 주식회사의 질산 공장 세곡에서 tail gas에 포한된 아산화질소를 촉매를 사용하여 제거하는 프로젝트)</x:v>
      </x:c>
      <x:c r="E1989" s="2" t="str">
        <x:v>229</x:v>
      </x:c>
      <x:c r="F1989" s="2"/>
      <x:c r="G1989" s="2" t="str">
        <x:v>미확보</x:v>
      </x:c>
      <x:c r="H1989" s="2" t="str">
        <x:v>미확보</x:v>
      </x:c>
      <x:c r="I1989" s="2" t="str">
        <x:v>심의승인</x:v>
      </x:c>
      <x:c r="J1989" s="2" t="str">
        <x:v>심의승인</x:v>
      </x:c>
      <x:c r="K1989" s="2" t="str">
        <x:f>IF(OR(J1989="심의승인",J1989="반려",J1989="반려완료",J1989="심의완료"),"종결 표시",IF(OR(J1989="기후부협의",J1989="문서재제출요청",J1989="보류",J1989="보완요청",J1989="보완완료",J1989="평가중",J1989="반려요청",J1989="평가필요",LEFT(J1989,5)="보완요청("),"미종결 표시","상태 확인 필요"))</x:f>
        <x:v>종결 표시</x:v>
      </x:c>
      <x:c r="L1989" s="2"/>
      <x:c r="M1989" s="2"/>
      <x:c r="N1989" s="8"/>
      <x:c r="O1989" s="2"/>
      <x:c r="P1989" s="2"/>
      <x:c r="Q1989" s="2" t="str">
        <x:v>산업전환_외부사업관리Tool_260707_이너젠 수정_LJY_261013.xlsx</x:v>
      </x:c>
      <x:c r="R1989" s="2" t="str">
        <x:v>국내인증</x:v>
      </x:c>
      <x:c r="S1989" s="8" t="n">
        <x:v>307</x:v>
      </x:c>
      <x:c r="T1989" s="2"/>
      <x:c r="U1989" s="2" t="str"/>
      <x:c r="V1989" s="2" t="str">
        <x:v>2019-12-05</x:v>
      </x:c>
      <x:c r="W1989" s="2" t="str">
        <x:v>신청일 확인 / 담당기관 확인</x:v>
      </x:c>
      <x:c r="X1989" s="2" t="str">
        <x:v>원본·배정 기록 확인</x:v>
      </x:c>
      <x:c r="Y1989" s="2" t="str">
        <x:v>ad210cd9ec132cfd447541c8984dc53d30aff0f4fb2dc92d254d49275cc55976</x:v>
      </x:c>
      <x:c r="Z1989" s="2" t="n">
        <x:f>SUBTOTAL(103,A1989)</x:f>
        <x:v>1</x:v>
      </x:c>
      <x:c r="AA1989" s="2" t="str">
        <x:f>IF(K1989&lt;&gt;"미종결 표시","대상 아님",IF(N1989="","신청일 확인",IF(NOT(ISNUMBER('종합 현황'!$H$5)),"관찰기준 확인",IF('종합 현황'!$H$5&lt;1,"관찰기준 확인",IF(N1989&gt;'종합 현황'!$H$5,"내부 관찰 대상","내부 관찰일 이하")))))</x:f>
        <x:v>대상 아님</x:v>
      </x:c>
      <x:c r="AB1989" s="2"/>
    </x:row>
    <x:row r="1990" ht="42" customHeight="1">
      <x:c r="A1990" s="2" t="str">
        <x:v>3d1774937071aaa7f603ece8</x:v>
      </x:c>
      <x:c r="B1990" s="2" t="str">
        <x:v>감축량 인증</x:v>
      </x:c>
      <x:c r="C1990" s="2" t="str">
        <x:v>국내</x:v>
      </x:c>
      <x:c r="D1990" s="7" t="str">
        <x:v>황산공정 미활용 폐열 회수 및 공급을 통한 화석연료 사용 절감 및 온실가스 배출 감축사업</x:v>
      </x:c>
      <x:c r="E1990" s="2" t="str">
        <x:v>230</x:v>
      </x:c>
      <x:c r="F1990" s="2"/>
      <x:c r="G1990" s="2" t="str">
        <x:v>미확보</x:v>
      </x:c>
      <x:c r="H1990" s="2" t="str">
        <x:v>미확보</x:v>
      </x:c>
      <x:c r="I1990" s="2" t="str">
        <x:v>심의승인</x:v>
      </x:c>
      <x:c r="J1990" s="2" t="str">
        <x:v>심의승인</x:v>
      </x:c>
      <x:c r="K1990" s="2" t="str">
        <x:f>IF(OR(J1990="심의승인",J1990="반려",J1990="반려완료",J1990="심의완료"),"종결 표시",IF(OR(J1990="기후부협의",J1990="문서재제출요청",J1990="보류",J1990="보완요청",J1990="보완완료",J1990="평가중",J1990="반려요청",J1990="평가필요",LEFT(J1990,5)="보완요청("),"미종결 표시","상태 확인 필요"))</x:f>
        <x:v>종결 표시</x:v>
      </x:c>
      <x:c r="L1990" s="2"/>
      <x:c r="M1990" s="2"/>
      <x:c r="N1990" s="8"/>
      <x:c r="O1990" s="2"/>
      <x:c r="P1990" s="2"/>
      <x:c r="Q1990" s="2" t="str">
        <x:v>산업전환_외부사업관리Tool_260707_이너젠 수정_LJY_261013.xlsx</x:v>
      </x:c>
      <x:c r="R1990" s="2" t="str">
        <x:v>국내인증</x:v>
      </x:c>
      <x:c r="S1990" s="8" t="n">
        <x:v>308</x:v>
      </x:c>
      <x:c r="T1990" s="2"/>
      <x:c r="U1990" s="2" t="str"/>
      <x:c r="V1990" s="2" t="str">
        <x:v>2020-06-15</x:v>
      </x:c>
      <x:c r="W1990" s="2" t="str">
        <x:v>신청일 확인 / 담당기관 확인</x:v>
      </x:c>
      <x:c r="X1990" s="2" t="str">
        <x:v>원본·배정 기록 확인</x:v>
      </x:c>
      <x:c r="Y1990" s="2" t="str">
        <x:v>ad210cd9ec132cfd447541c8984dc53d30aff0f4fb2dc92d254d49275cc55976</x:v>
      </x:c>
      <x:c r="Z1990" s="2" t="n">
        <x:f>SUBTOTAL(103,A1990)</x:f>
        <x:v>1</x:v>
      </x:c>
      <x:c r="AA1990" s="2" t="str">
        <x:f>IF(K1990&lt;&gt;"미종결 표시","대상 아님",IF(N1990="","신청일 확인",IF(NOT(ISNUMBER('종합 현황'!$H$5)),"관찰기준 확인",IF('종합 현황'!$H$5&lt;1,"관찰기준 확인",IF(N1990&gt;'종합 현황'!$H$5,"내부 관찰 대상","내부 관찰일 이하")))))</x:f>
        <x:v>대상 아님</x:v>
      </x:c>
      <x:c r="AB1990" s="2"/>
    </x:row>
    <x:row r="1991" ht="42" customHeight="1">
      <x:c r="A1991" s="2" t="str">
        <x:v>d463d50e6d3f17211acac502</x:v>
      </x:c>
      <x:c r="B1991" s="2" t="str">
        <x:v>감축량 인증</x:v>
      </x:c>
      <x:c r="C1991" s="2" t="str">
        <x:v>국내</x:v>
      </x:c>
      <x:c r="D1991" s="7" t="str">
        <x:v>성암아스콘 건조로 연료교체(B-C유 -&gt; LNG)를 통한 온실가스 배출 감축사업</x:v>
      </x:c>
      <x:c r="E1991" s="2" t="str">
        <x:v>231</x:v>
      </x:c>
      <x:c r="F1991" s="2"/>
      <x:c r="G1991" s="2" t="str">
        <x:v>미확보</x:v>
      </x:c>
      <x:c r="H1991" s="2" t="str">
        <x:v>미확보</x:v>
      </x:c>
      <x:c r="I1991" s="2" t="str">
        <x:v>심의승인</x:v>
      </x:c>
      <x:c r="J1991" s="2" t="str">
        <x:v>심의승인</x:v>
      </x:c>
      <x:c r="K1991" s="2" t="str">
        <x:f>IF(OR(J1991="심의승인",J1991="반려",J1991="반려완료",J1991="심의완료"),"종결 표시",IF(OR(J1991="기후부협의",J1991="문서재제출요청",J1991="보류",J1991="보완요청",J1991="보완완료",J1991="평가중",J1991="반려요청",J1991="평가필요",LEFT(J1991,5)="보완요청("),"미종결 표시","상태 확인 필요"))</x:f>
        <x:v>종결 표시</x:v>
      </x:c>
      <x:c r="L1991" s="2"/>
      <x:c r="M1991" s="2"/>
      <x:c r="N1991" s="8"/>
      <x:c r="O1991" s="2"/>
      <x:c r="P1991" s="2"/>
      <x:c r="Q1991" s="2" t="str">
        <x:v>산업전환_외부사업관리Tool_260707_이너젠 수정_LJY_261013.xlsx</x:v>
      </x:c>
      <x:c r="R1991" s="2" t="str">
        <x:v>국내인증</x:v>
      </x:c>
      <x:c r="S1991" s="8" t="n">
        <x:v>309</x:v>
      </x:c>
      <x:c r="T1991" s="2"/>
      <x:c r="U1991" s="2" t="str"/>
      <x:c r="V1991" s="2" t="str">
        <x:v>2020-10-27</x:v>
      </x:c>
      <x:c r="W1991" s="2" t="str">
        <x:v>신청일 확인 / 담당기관 확인</x:v>
      </x:c>
      <x:c r="X1991" s="2" t="str">
        <x:v>원본·배정 기록 확인</x:v>
      </x:c>
      <x:c r="Y1991" s="2" t="str">
        <x:v>ad210cd9ec132cfd447541c8984dc53d30aff0f4fb2dc92d254d49275cc55976</x:v>
      </x:c>
      <x:c r="Z1991" s="2" t="n">
        <x:f>SUBTOTAL(103,A1991)</x:f>
        <x:v>1</x:v>
      </x:c>
      <x:c r="AA1991" s="2" t="str">
        <x:f>IF(K1991&lt;&gt;"미종결 표시","대상 아님",IF(N1991="","신청일 확인",IF(NOT(ISNUMBER('종합 현황'!$H$5)),"관찰기준 확인",IF('종합 현황'!$H$5&lt;1,"관찰기준 확인",IF(N1991&gt;'종합 현황'!$H$5,"내부 관찰 대상","내부 관찰일 이하")))))</x:f>
        <x:v>대상 아님</x:v>
      </x:c>
      <x:c r="AB1991" s="2"/>
    </x:row>
    <x:row r="1992" ht="42" customHeight="1">
      <x:c r="A1992" s="2" t="str">
        <x:v>e573081611c34e8719a9d47f</x:v>
      </x:c>
      <x:c r="B1992" s="2" t="str">
        <x:v>감축량 인증</x:v>
      </x:c>
      <x:c r="C1992" s="2" t="str">
        <x:v>국내</x:v>
      </x:c>
      <x:c r="D1992" s="7" t="str">
        <x:v>성암 스팀보일러 연료교체(B-C유 -&gt; LNG)를 통한 온실가스 배출 감축사업</x:v>
      </x:c>
      <x:c r="E1992" s="2" t="str">
        <x:v>232</x:v>
      </x:c>
      <x:c r="F1992" s="2"/>
      <x:c r="G1992" s="2" t="str">
        <x:v>미확보</x:v>
      </x:c>
      <x:c r="H1992" s="2" t="str">
        <x:v>미확보</x:v>
      </x:c>
      <x:c r="I1992" s="2" t="str">
        <x:v>심의승인</x:v>
      </x:c>
      <x:c r="J1992" s="2" t="str">
        <x:v>심의승인</x:v>
      </x:c>
      <x:c r="K1992" s="2" t="str">
        <x:f>IF(OR(J1992="심의승인",J1992="반려",J1992="반려완료",J1992="심의완료"),"종결 표시",IF(OR(J1992="기후부협의",J1992="문서재제출요청",J1992="보류",J1992="보완요청",J1992="보완완료",J1992="평가중",J1992="반려요청",J1992="평가필요",LEFT(J1992,5)="보완요청("),"미종결 표시","상태 확인 필요"))</x:f>
        <x:v>종결 표시</x:v>
      </x:c>
      <x:c r="L1992" s="2"/>
      <x:c r="M1992" s="2"/>
      <x:c r="N1992" s="8"/>
      <x:c r="O1992" s="2"/>
      <x:c r="P1992" s="2"/>
      <x:c r="Q1992" s="2" t="str">
        <x:v>산업전환_외부사업관리Tool_260707_이너젠 수정_LJY_261013.xlsx</x:v>
      </x:c>
      <x:c r="R1992" s="2" t="str">
        <x:v>국내인증</x:v>
      </x:c>
      <x:c r="S1992" s="8" t="n">
        <x:v>310</x:v>
      </x:c>
      <x:c r="T1992" s="2"/>
      <x:c r="U1992" s="2" t="str"/>
      <x:c r="V1992" s="2" t="str">
        <x:v>2020-10-27</x:v>
      </x:c>
      <x:c r="W1992" s="2" t="str">
        <x:v>신청일 확인 / 담당기관 확인</x:v>
      </x:c>
      <x:c r="X1992" s="2" t="str">
        <x:v>원본·배정 기록 확인</x:v>
      </x:c>
      <x:c r="Y1992" s="2" t="str">
        <x:v>ad210cd9ec132cfd447541c8984dc53d30aff0f4fb2dc92d254d49275cc55976</x:v>
      </x:c>
      <x:c r="Z1992" s="2" t="n">
        <x:f>SUBTOTAL(103,A1992)</x:f>
        <x:v>1</x:v>
      </x:c>
      <x:c r="AA1992" s="2" t="str">
        <x:f>IF(K1992&lt;&gt;"미종결 표시","대상 아님",IF(N1992="","신청일 확인",IF(NOT(ISNUMBER('종합 현황'!$H$5)),"관찰기준 확인",IF('종합 현황'!$H$5&lt;1,"관찰기준 확인",IF(N1992&gt;'종합 현황'!$H$5,"내부 관찰 대상","내부 관찰일 이하")))))</x:f>
        <x:v>대상 아님</x:v>
      </x:c>
      <x:c r="AB1992" s="2"/>
    </x:row>
    <x:row r="1993" ht="42" customHeight="1">
      <x:c r="A1993" s="2" t="str">
        <x:v>d543e7367e084e032755e8f0</x:v>
      </x:c>
      <x:c r="B1993" s="2" t="str">
        <x:v>감축량 인증</x:v>
      </x:c>
      <x:c r="C1993" s="2" t="str">
        <x:v>국내</x:v>
      </x:c>
      <x:c r="D1993" s="7" t="str">
        <x:v>카프로 N2O 저감 사업</x:v>
      </x:c>
      <x:c r="E1993" s="2" t="str">
        <x:v>233</x:v>
      </x:c>
      <x:c r="F1993" s="2"/>
      <x:c r="G1993" s="2" t="str">
        <x:v>미확보</x:v>
      </x:c>
      <x:c r="H1993" s="2" t="str">
        <x:v>미확보</x:v>
      </x:c>
      <x:c r="I1993" s="2" t="str">
        <x:v>심의승인</x:v>
      </x:c>
      <x:c r="J1993" s="2" t="str">
        <x:v>심의승인</x:v>
      </x:c>
      <x:c r="K1993" s="2" t="str">
        <x:f>IF(OR(J1993="심의승인",J1993="반려",J1993="반려완료",J1993="심의완료"),"종결 표시",IF(OR(J1993="기후부협의",J1993="문서재제출요청",J1993="보류",J1993="보완요청",J1993="보완완료",J1993="평가중",J1993="반려요청",J1993="평가필요",LEFT(J1993,5)="보완요청("),"미종결 표시","상태 확인 필요"))</x:f>
        <x:v>종결 표시</x:v>
      </x:c>
      <x:c r="L1993" s="2"/>
      <x:c r="M1993" s="2"/>
      <x:c r="N1993" s="8"/>
      <x:c r="O1993" s="2"/>
      <x:c r="P1993" s="2"/>
      <x:c r="Q1993" s="2" t="str">
        <x:v>산업전환_외부사업관리Tool_260707_이너젠 수정_LJY_261013.xlsx</x:v>
      </x:c>
      <x:c r="R1993" s="2" t="str">
        <x:v>국내인증</x:v>
      </x:c>
      <x:c r="S1993" s="8" t="n">
        <x:v>311</x:v>
      </x:c>
      <x:c r="T1993" s="2"/>
      <x:c r="U1993" s="2" t="str"/>
      <x:c r="V1993" s="2" t="str">
        <x:v>2019-12-05</x:v>
      </x:c>
      <x:c r="W1993" s="2" t="str">
        <x:v>신청일 확인 / 담당기관 확인</x:v>
      </x:c>
      <x:c r="X1993" s="2" t="str">
        <x:v>원본·배정 기록 확인</x:v>
      </x:c>
      <x:c r="Y1993" s="2" t="str">
        <x:v>ad210cd9ec132cfd447541c8984dc53d30aff0f4fb2dc92d254d49275cc55976</x:v>
      </x:c>
      <x:c r="Z1993" s="2" t="n">
        <x:f>SUBTOTAL(103,A1993)</x:f>
        <x:v>1</x:v>
      </x:c>
      <x:c r="AA1993" s="2" t="str">
        <x:f>IF(K1993&lt;&gt;"미종결 표시","대상 아님",IF(N1993="","신청일 확인",IF(NOT(ISNUMBER('종합 현황'!$H$5)),"관찰기준 확인",IF('종합 현황'!$H$5&lt;1,"관찰기준 확인",IF(N1993&gt;'종합 현황'!$H$5,"내부 관찰 대상","내부 관찰일 이하")))))</x:f>
        <x:v>대상 아님</x:v>
      </x:c>
      <x:c r="AB1993" s="2"/>
    </x:row>
    <x:row r="1994" ht="42" customHeight="1">
      <x:c r="A1994" s="2" t="str">
        <x:v>2719cf1090c6e5ece9b94dfb</x:v>
      </x:c>
      <x:c r="B1994" s="2" t="str">
        <x:v>감축량 인증</x:v>
      </x:c>
      <x:c r="C1994" s="2" t="str">
        <x:v>국내</x:v>
      </x:c>
      <x:c r="D1994" s="7" t="str">
        <x:v>카프로 N2O 저감 사업</x:v>
      </x:c>
      <x:c r="E1994" s="2" t="str">
        <x:v>234</x:v>
      </x:c>
      <x:c r="F1994" s="2"/>
      <x:c r="G1994" s="2" t="str">
        <x:v>미확보</x:v>
      </x:c>
      <x:c r="H1994" s="2" t="str">
        <x:v>미확보</x:v>
      </x:c>
      <x:c r="I1994" s="2" t="str">
        <x:v>심의승인</x:v>
      </x:c>
      <x:c r="J1994" s="2" t="str">
        <x:v>심의승인</x:v>
      </x:c>
      <x:c r="K1994" s="2" t="str">
        <x:f>IF(OR(J1994="심의승인",J1994="반려",J1994="반려완료",J1994="심의완료"),"종결 표시",IF(OR(J1994="기후부협의",J1994="문서재제출요청",J1994="보류",J1994="보완요청",J1994="보완완료",J1994="평가중",J1994="반려요청",J1994="평가필요",LEFT(J1994,5)="보완요청("),"미종결 표시","상태 확인 필요"))</x:f>
        <x:v>종결 표시</x:v>
      </x:c>
      <x:c r="L1994" s="2"/>
      <x:c r="M1994" s="2"/>
      <x:c r="N1994" s="8"/>
      <x:c r="O1994" s="2"/>
      <x:c r="P1994" s="2"/>
      <x:c r="Q1994" s="2" t="str">
        <x:v>산업전환_외부사업관리Tool_260707_이너젠 수정_LJY_261013.xlsx</x:v>
      </x:c>
      <x:c r="R1994" s="2" t="str">
        <x:v>국내인증</x:v>
      </x:c>
      <x:c r="S1994" s="8" t="n">
        <x:v>312</x:v>
      </x:c>
      <x:c r="T1994" s="2"/>
      <x:c r="U1994" s="2" t="str"/>
      <x:c r="V1994" s="2" t="str">
        <x:v>2019-12-05</x:v>
      </x:c>
      <x:c r="W1994" s="2" t="str">
        <x:v>신청일 확인 / 담당기관 확인</x:v>
      </x:c>
      <x:c r="X1994" s="2" t="str">
        <x:v>원본·배정 기록 확인</x:v>
      </x:c>
      <x:c r="Y1994" s="2" t="str">
        <x:v>ad210cd9ec132cfd447541c8984dc53d30aff0f4fb2dc92d254d49275cc55976</x:v>
      </x:c>
      <x:c r="Z1994" s="2" t="n">
        <x:f>SUBTOTAL(103,A1994)</x:f>
        <x:v>1</x:v>
      </x:c>
      <x:c r="AA1994" s="2" t="str">
        <x:f>IF(K1994&lt;&gt;"미종결 표시","대상 아님",IF(N1994="","신청일 확인",IF(NOT(ISNUMBER('종합 현황'!$H$5)),"관찰기준 확인",IF('종합 현황'!$H$5&lt;1,"관찰기준 확인",IF(N1994&gt;'종합 현황'!$H$5,"내부 관찰 대상","내부 관찰일 이하")))))</x:f>
        <x:v>대상 아님</x:v>
      </x:c>
      <x:c r="AB1994" s="2"/>
    </x:row>
    <x:row r="1995" ht="42" customHeight="1">
      <x:c r="A1995" s="2" t="str">
        <x:v>e1c21c062f03bdd8fd55ef54</x:v>
      </x:c>
      <x:c r="B1995" s="2" t="str">
        <x:v>감축량 인증</x:v>
      </x:c>
      <x:c r="C1995" s="2" t="str">
        <x:v>국내</x:v>
      </x:c>
      <x:c r="D1995" s="7" t="str">
        <x:v>현대요업 소성로 연료교체(B-C유→LNG)를 통한 온실가스(CO2) 배출 감축사업</x:v>
      </x:c>
      <x:c r="E1995" s="2" t="str">
        <x:v>235</x:v>
      </x:c>
      <x:c r="F1995" s="2"/>
      <x:c r="G1995" s="2" t="str">
        <x:v>미확보</x:v>
      </x:c>
      <x:c r="H1995" s="2" t="str">
        <x:v>미확보</x:v>
      </x:c>
      <x:c r="I1995" s="2" t="str">
        <x:v>심의승인</x:v>
      </x:c>
      <x:c r="J1995" s="2" t="str">
        <x:v>심의승인</x:v>
      </x:c>
      <x:c r="K1995" s="2" t="str">
        <x:f>IF(OR(J1995="심의승인",J1995="반려",J1995="반려완료",J1995="심의완료"),"종결 표시",IF(OR(J1995="기후부협의",J1995="문서재제출요청",J1995="보류",J1995="보완요청",J1995="보완완료",J1995="평가중",J1995="반려요청",J1995="평가필요",LEFT(J1995,5)="보완요청("),"미종결 표시","상태 확인 필요"))</x:f>
        <x:v>종결 표시</x:v>
      </x:c>
      <x:c r="L1995" s="2"/>
      <x:c r="M1995" s="2"/>
      <x:c r="N1995" s="8"/>
      <x:c r="O1995" s="2"/>
      <x:c r="P1995" s="2"/>
      <x:c r="Q1995" s="2" t="str">
        <x:v>산업전환_외부사업관리Tool_260707_이너젠 수정_LJY_261013.xlsx</x:v>
      </x:c>
      <x:c r="R1995" s="2" t="str">
        <x:v>국내인증</x:v>
      </x:c>
      <x:c r="S1995" s="8" t="n">
        <x:v>313</x:v>
      </x:c>
      <x:c r="T1995" s="2"/>
      <x:c r="U1995" s="2" t="str"/>
      <x:c r="V1995" s="2" t="str">
        <x:v>2020-06-11</x:v>
      </x:c>
      <x:c r="W1995" s="2" t="str">
        <x:v>신청일 확인 / 담당기관 확인</x:v>
      </x:c>
      <x:c r="X1995" s="2" t="str">
        <x:v>원본·배정 기록 확인</x:v>
      </x:c>
      <x:c r="Y1995" s="2" t="str">
        <x:v>ad210cd9ec132cfd447541c8984dc53d30aff0f4fb2dc92d254d49275cc55976</x:v>
      </x:c>
      <x:c r="Z1995" s="2" t="n">
        <x:f>SUBTOTAL(103,A1995)</x:f>
        <x:v>1</x:v>
      </x:c>
      <x:c r="AA1995" s="2" t="str">
        <x:f>IF(K1995&lt;&gt;"미종결 표시","대상 아님",IF(N1995="","신청일 확인",IF(NOT(ISNUMBER('종합 현황'!$H$5)),"관찰기준 확인",IF('종합 현황'!$H$5&lt;1,"관찰기준 확인",IF(N1995&gt;'종합 현황'!$H$5,"내부 관찰 대상","내부 관찰일 이하")))))</x:f>
        <x:v>대상 아님</x:v>
      </x:c>
      <x:c r="AB1995" s="2"/>
    </x:row>
    <x:row r="1996" ht="42" customHeight="1">
      <x:c r="A1996" s="2" t="str">
        <x:v>0f56e40565ccc499253384cb</x:v>
      </x:c>
      <x:c r="B1996" s="2" t="str">
        <x:v>감축량 인증</x:v>
      </x:c>
      <x:c r="C1996" s="2" t="str">
        <x:v>국내</x:v>
      </x:c>
      <x:c r="D1996" s="7" t="str">
        <x:v>(유)성광쎄라믹 소성로 연료교체 (B-C유→LNG)를 통한 온실가스 배출 감축사업</x:v>
      </x:c>
      <x:c r="E1996" s="2" t="str">
        <x:v>236</x:v>
      </x:c>
      <x:c r="F1996" s="2"/>
      <x:c r="G1996" s="2" t="str">
        <x:v>미확보</x:v>
      </x:c>
      <x:c r="H1996" s="2" t="str">
        <x:v>미확보</x:v>
      </x:c>
      <x:c r="I1996" s="2" t="str">
        <x:v>심의승인</x:v>
      </x:c>
      <x:c r="J1996" s="2" t="str">
        <x:v>심의승인</x:v>
      </x:c>
      <x:c r="K1996" s="2" t="str">
        <x:f>IF(OR(J1996="심의승인",J1996="반려",J1996="반려완료",J1996="심의완료"),"종결 표시",IF(OR(J1996="기후부협의",J1996="문서재제출요청",J1996="보류",J1996="보완요청",J1996="보완완료",J1996="평가중",J1996="반려요청",J1996="평가필요",LEFT(J1996,5)="보완요청("),"미종결 표시","상태 확인 필요"))</x:f>
        <x:v>종결 표시</x:v>
      </x:c>
      <x:c r="L1996" s="2"/>
      <x:c r="M1996" s="2"/>
      <x:c r="N1996" s="8"/>
      <x:c r="O1996" s="2"/>
      <x:c r="P1996" s="2"/>
      <x:c r="Q1996" s="2" t="str">
        <x:v>산업전환_외부사업관리Tool_260707_이너젠 수정_LJY_261013.xlsx</x:v>
      </x:c>
      <x:c r="R1996" s="2" t="str">
        <x:v>국내인증</x:v>
      </x:c>
      <x:c r="S1996" s="8" t="n">
        <x:v>314</x:v>
      </x:c>
      <x:c r="T1996" s="2"/>
      <x:c r="U1996" s="2" t="str"/>
      <x:c r="V1996" s="2" t="str">
        <x:v>2020-06-11</x:v>
      </x:c>
      <x:c r="W1996" s="2" t="str">
        <x:v>신청일 확인 / 담당기관 확인</x:v>
      </x:c>
      <x:c r="X1996" s="2" t="str">
        <x:v>원본·배정 기록 확인</x:v>
      </x:c>
      <x:c r="Y1996" s="2" t="str">
        <x:v>ad210cd9ec132cfd447541c8984dc53d30aff0f4fb2dc92d254d49275cc55976</x:v>
      </x:c>
      <x:c r="Z1996" s="2" t="n">
        <x:f>SUBTOTAL(103,A1996)</x:f>
        <x:v>1</x:v>
      </x:c>
      <x:c r="AA1996" s="2" t="str">
        <x:f>IF(K1996&lt;&gt;"미종결 표시","대상 아님",IF(N1996="","신청일 확인",IF(NOT(ISNUMBER('종합 현황'!$H$5)),"관찰기준 확인",IF('종합 현황'!$H$5&lt;1,"관찰기준 확인",IF(N1996&gt;'종합 현황'!$H$5,"내부 관찰 대상","내부 관찰일 이하")))))</x:f>
        <x:v>대상 아님</x:v>
      </x:c>
      <x:c r="AB1996" s="2"/>
    </x:row>
    <x:row r="1997" ht="42" customHeight="1">
      <x:c r="A1997" s="2" t="str">
        <x:v>8b796aa37958325ed37a12b6</x:v>
      </x:c>
      <x:c r="B1997" s="2" t="str">
        <x:v>감축량 인증</x:v>
      </x:c>
      <x:c r="C1997" s="2" t="str">
        <x:v>국내</x:v>
      </x:c>
      <x:c r="D1997" s="7" t="str">
        <x:v>SF6 회수 및 재생사업</x:v>
      </x:c>
      <x:c r="E1997" s="2" t="str">
        <x:v>237</x:v>
      </x:c>
      <x:c r="F1997" s="2"/>
      <x:c r="G1997" s="2" t="str">
        <x:v>미확보</x:v>
      </x:c>
      <x:c r="H1997" s="2" t="str">
        <x:v>미확보</x:v>
      </x:c>
      <x:c r="I1997" s="2" t="str">
        <x:v>심의승인</x:v>
      </x:c>
      <x:c r="J1997" s="2" t="str">
        <x:v>심의승인</x:v>
      </x:c>
      <x:c r="K1997" s="2" t="str">
        <x:f>IF(OR(J1997="심의승인",J1997="반려",J1997="반려완료",J1997="심의완료"),"종결 표시",IF(OR(J1997="기후부협의",J1997="문서재제출요청",J1997="보류",J1997="보완요청",J1997="보완완료",J1997="평가중",J1997="반려요청",J1997="평가필요",LEFT(J1997,5)="보완요청("),"미종결 표시","상태 확인 필요"))</x:f>
        <x:v>종결 표시</x:v>
      </x:c>
      <x:c r="L1997" s="2"/>
      <x:c r="M1997" s="2"/>
      <x:c r="N1997" s="8"/>
      <x:c r="O1997" s="2"/>
      <x:c r="P1997" s="2"/>
      <x:c r="Q1997" s="2" t="str">
        <x:v>산업전환_외부사업관리Tool_260707_이너젠 수정_LJY_261013.xlsx</x:v>
      </x:c>
      <x:c r="R1997" s="2" t="str">
        <x:v>국내인증</x:v>
      </x:c>
      <x:c r="S1997" s="8" t="n">
        <x:v>315</x:v>
      </x:c>
      <x:c r="T1997" s="2"/>
      <x:c r="U1997" s="2" t="str"/>
      <x:c r="V1997" s="2" t="str">
        <x:v>2019-12-05</x:v>
      </x:c>
      <x:c r="W1997" s="2" t="str">
        <x:v>신청일 확인 / 담당기관 확인</x:v>
      </x:c>
      <x:c r="X1997" s="2" t="str">
        <x:v>원본·배정 기록 확인</x:v>
      </x:c>
      <x:c r="Y1997" s="2" t="str">
        <x:v>ad210cd9ec132cfd447541c8984dc53d30aff0f4fb2dc92d254d49275cc55976</x:v>
      </x:c>
      <x:c r="Z1997" s="2" t="n">
        <x:f>SUBTOTAL(103,A1997)</x:f>
        <x:v>1</x:v>
      </x:c>
      <x:c r="AA1997" s="2" t="str">
        <x:f>IF(K1997&lt;&gt;"미종결 표시","대상 아님",IF(N1997="","신청일 확인",IF(NOT(ISNUMBER('종합 현황'!$H$5)),"관찰기준 확인",IF('종합 현황'!$H$5&lt;1,"관찰기준 확인",IF(N1997&gt;'종합 현황'!$H$5,"내부 관찰 대상","내부 관찰일 이하")))))</x:f>
        <x:v>대상 아님</x:v>
      </x:c>
      <x:c r="AB1997" s="2"/>
    </x:row>
    <x:row r="1998" ht="42" customHeight="1">
      <x:c r="A1998" s="2" t="str">
        <x:v>2e49abff706adf1e78d6e19e</x:v>
      </x:c>
      <x:c r="B1998" s="2" t="str">
        <x:v>감축량 인증</x:v>
      </x:c>
      <x:c r="C1998" s="2" t="str">
        <x:v>국내</x:v>
      </x:c>
      <x:c r="D1998" s="7" t="str">
        <x:v>하나산업의 보일러 연료전환 (B-C유 → LNG)을 통한 온실가스 감축사업</x:v>
      </x:c>
      <x:c r="E1998" s="2" t="str">
        <x:v>238</x:v>
      </x:c>
      <x:c r="F1998" s="2"/>
      <x:c r="G1998" s="2" t="str">
        <x:v>미확보</x:v>
      </x:c>
      <x:c r="H1998" s="2" t="str">
        <x:v>미확보</x:v>
      </x:c>
      <x:c r="I1998" s="2" t="str">
        <x:v>심의승인</x:v>
      </x:c>
      <x:c r="J1998" s="2" t="str">
        <x:v>심의승인</x:v>
      </x:c>
      <x:c r="K1998" s="2" t="str">
        <x:f>IF(OR(J1998="심의승인",J1998="반려",J1998="반려완료",J1998="심의완료"),"종결 표시",IF(OR(J1998="기후부협의",J1998="문서재제출요청",J1998="보류",J1998="보완요청",J1998="보완완료",J1998="평가중",J1998="반려요청",J1998="평가필요",LEFT(J1998,5)="보완요청("),"미종결 표시","상태 확인 필요"))</x:f>
        <x:v>종결 표시</x:v>
      </x:c>
      <x:c r="L1998" s="2"/>
      <x:c r="M1998" s="2"/>
      <x:c r="N1998" s="8"/>
      <x:c r="O1998" s="2"/>
      <x:c r="P1998" s="2"/>
      <x:c r="Q1998" s="2" t="str">
        <x:v>산업전환_외부사업관리Tool_260707_이너젠 수정_LJY_261013.xlsx</x:v>
      </x:c>
      <x:c r="R1998" s="2" t="str">
        <x:v>국내인증</x:v>
      </x:c>
      <x:c r="S1998" s="8" t="n">
        <x:v>316</x:v>
      </x:c>
      <x:c r="T1998" s="2"/>
      <x:c r="U1998" s="2" t="str"/>
      <x:c r="V1998" s="2" t="str">
        <x:v>2020-10-27</x:v>
      </x:c>
      <x:c r="W1998" s="2" t="str">
        <x:v>신청일 확인 / 담당기관 확인</x:v>
      </x:c>
      <x:c r="X1998" s="2" t="str">
        <x:v>원본·배정 기록 확인</x:v>
      </x:c>
      <x:c r="Y1998" s="2" t="str">
        <x:v>ad210cd9ec132cfd447541c8984dc53d30aff0f4fb2dc92d254d49275cc55976</x:v>
      </x:c>
      <x:c r="Z1998" s="2" t="n">
        <x:f>SUBTOTAL(103,A1998)</x:f>
        <x:v>1</x:v>
      </x:c>
      <x:c r="AA1998" s="2" t="str">
        <x:f>IF(K1998&lt;&gt;"미종결 표시","대상 아님",IF(N1998="","신청일 확인",IF(NOT(ISNUMBER('종합 현황'!$H$5)),"관찰기준 확인",IF('종합 현황'!$H$5&lt;1,"관찰기준 확인",IF(N1998&gt;'종합 현황'!$H$5,"내부 관찰 대상","내부 관찰일 이하")))))</x:f>
        <x:v>대상 아님</x:v>
      </x:c>
      <x:c r="AB1998" s="2"/>
    </x:row>
    <x:row r="1999" ht="42" customHeight="1">
      <x:c r="A1999" s="2" t="str">
        <x:v>47d946d2f16e720c4ec80c24</x:v>
      </x:c>
      <x:c r="B1999" s="2" t="str">
        <x:v>감축량 인증</x:v>
      </x:c>
      <x:c r="C1999" s="2" t="str">
        <x:v>국내</x:v>
      </x:c>
      <x:c r="D1999" s="7" t="str">
        <x:v>청우테크 반사로 버너(정제유, LNG)에서 순산소-LNG버너로의 설비 성능개선을 통한 온실가스 감축 사업</x:v>
      </x:c>
      <x:c r="E1999" s="2" t="str">
        <x:v>239</x:v>
      </x:c>
      <x:c r="F1999" s="2"/>
      <x:c r="G1999" s="2" t="str">
        <x:v>미확보</x:v>
      </x:c>
      <x:c r="H1999" s="2" t="str">
        <x:v>미확보</x:v>
      </x:c>
      <x:c r="I1999" s="2" t="str">
        <x:v>심의승인</x:v>
      </x:c>
      <x:c r="J1999" s="2" t="str">
        <x:v>심의승인</x:v>
      </x:c>
      <x:c r="K1999" s="2" t="str">
        <x:f>IF(OR(J1999="심의승인",J1999="반려",J1999="반려완료",J1999="심의완료"),"종결 표시",IF(OR(J1999="기후부협의",J1999="문서재제출요청",J1999="보류",J1999="보완요청",J1999="보완완료",J1999="평가중",J1999="반려요청",J1999="평가필요",LEFT(J1999,5)="보완요청("),"미종결 표시","상태 확인 필요"))</x:f>
        <x:v>종결 표시</x:v>
      </x:c>
      <x:c r="L1999" s="2"/>
      <x:c r="M1999" s="2"/>
      <x:c r="N1999" s="8"/>
      <x:c r="O1999" s="2"/>
      <x:c r="P1999" s="2"/>
      <x:c r="Q1999" s="2" t="str">
        <x:v>산업전환_외부사업관리Tool_260707_이너젠 수정_LJY_261013.xlsx</x:v>
      </x:c>
      <x:c r="R1999" s="2" t="str">
        <x:v>국내인증</x:v>
      </x:c>
      <x:c r="S1999" s="8" t="n">
        <x:v>317</x:v>
      </x:c>
      <x:c r="T1999" s="2" t="str">
        <x:v>2021년 처리</x:v>
      </x:c>
      <x:c r="U1999" s="2" t="str">
        <x:v>2021 배정: 2021년 처리</x:v>
      </x:c>
      <x:c r="V1999" s="2" t="str">
        <x:v>2021-06-21</x:v>
      </x:c>
      <x:c r="W1999" s="2" t="str">
        <x:v>신청일 확인 / 담당기관 확인</x:v>
      </x:c>
      <x:c r="X1999" s="2" t="str">
        <x:v>원본·배정 기록 확인</x:v>
      </x:c>
      <x:c r="Y1999" s="2" t="str">
        <x:v>ad210cd9ec132cfd447541c8984dc53d30aff0f4fb2dc92d254d49275cc55976</x:v>
      </x:c>
      <x:c r="Z1999" s="2" t="n">
        <x:f>SUBTOTAL(103,A1999)</x:f>
        <x:v>1</x:v>
      </x:c>
      <x:c r="AA1999" s="2" t="str">
        <x:f>IF(K1999&lt;&gt;"미종결 표시","대상 아님",IF(N1999="","신청일 확인",IF(NOT(ISNUMBER('종합 현황'!$H$5)),"관찰기준 확인",IF('종합 현황'!$H$5&lt;1,"관찰기준 확인",IF(N1999&gt;'종합 현황'!$H$5,"내부 관찰 대상","내부 관찰일 이하")))))</x:f>
        <x:v>대상 아님</x:v>
      </x:c>
      <x:c r="AB1999" s="2"/>
    </x:row>
    <x:row r="2000" ht="42" customHeight="1">
      <x:c r="A2000" s="2" t="str">
        <x:v>0f61c60e7550fff1ade61456</x:v>
      </x:c>
      <x:c r="B2000" s="2" t="str">
        <x:v>감축량 인증</x:v>
      </x:c>
      <x:c r="C2000" s="2" t="str">
        <x:v>국내</x:v>
      </x:c>
      <x:c r="D2000" s="7" t="str">
        <x:v>대성프라스틱(주) 사출기 일부교체 및 개조(유압식→하이브리드)를 통한 온실가스(CO2) 감축사업</x:v>
      </x:c>
      <x:c r="E2000" s="2" t="str">
        <x:v>240</x:v>
      </x:c>
      <x:c r="F2000" s="2"/>
      <x:c r="G2000" s="2" t="str">
        <x:v>미확보</x:v>
      </x:c>
      <x:c r="H2000" s="2" t="str">
        <x:v>미확보</x:v>
      </x:c>
      <x:c r="I2000" s="2" t="str">
        <x:v>검토반려</x:v>
      </x:c>
      <x:c r="J2000" s="2" t="str">
        <x:v>반려</x:v>
      </x:c>
      <x:c r="K2000" s="2" t="str">
        <x:f>IF(OR(J2000="심의승인",J2000="반려",J2000="반려완료",J2000="심의완료"),"종결 표시",IF(OR(J2000="기후부협의",J2000="문서재제출요청",J2000="보류",J2000="보완요청",J2000="보완완료",J2000="평가중",J2000="반려요청",J2000="평가필요",LEFT(J2000,5)="보완요청("),"미종결 표시","상태 확인 필요"))</x:f>
        <x:v>종결 표시</x:v>
      </x:c>
      <x:c r="L2000" s="2"/>
      <x:c r="M2000" s="2"/>
      <x:c r="N2000" s="8"/>
      <x:c r="O2000" s="2"/>
      <x:c r="P2000" s="2" t="str">
        <x:v>담당자연락(사업 반려 요청)</x:v>
      </x:c>
      <x:c r="Q2000" s="2" t="str">
        <x:v>산업전환_외부사업관리Tool_260707_이너젠 수정_LJY_261013.xlsx</x:v>
      </x:c>
      <x:c r="R2000" s="2" t="str">
        <x:v>국내인증</x:v>
      </x:c>
      <x:c r="S2000" s="8" t="n">
        <x:v>318</x:v>
      </x:c>
      <x:c r="T2000" s="2" t="str">
        <x:v>2021년 처리</x:v>
      </x:c>
      <x:c r="U2000" s="2" t="str">
        <x:v>2021 배정: 2021년 처리</x:v>
      </x:c>
      <x:c r="V2000" s="2" t="str">
        <x:v>2021-11-03</x:v>
      </x:c>
      <x:c r="W2000" s="2" t="str">
        <x:v>신청일 확인 / 담당기관 확인</x:v>
      </x:c>
      <x:c r="X2000" s="2" t="str">
        <x:v>원본·배정 기록 확인</x:v>
      </x:c>
      <x:c r="Y2000" s="2" t="str">
        <x:v>ad210cd9ec132cfd447541c8984dc53d30aff0f4fb2dc92d254d49275cc55976</x:v>
      </x:c>
      <x:c r="Z2000" s="2" t="n">
        <x:f>SUBTOTAL(103,A2000)</x:f>
        <x:v>1</x:v>
      </x:c>
      <x:c r="AA2000" s="2" t="str">
        <x:f>IF(K2000&lt;&gt;"미종결 표시","대상 아님",IF(N2000="","신청일 확인",IF(NOT(ISNUMBER('종합 현황'!$H$5)),"관찰기준 확인",IF('종합 현황'!$H$5&lt;1,"관찰기준 확인",IF(N2000&gt;'종합 현황'!$H$5,"내부 관찰 대상","내부 관찰일 이하")))))</x:f>
        <x:v>대상 아님</x:v>
      </x:c>
      <x:c r="AB2000" s="2"/>
    </x:row>
    <x:row r="2001" ht="42" customHeight="1">
      <x:c r="A2001" s="2" t="str">
        <x:v>61b179fd9ecd7ae45fc9c19d</x:v>
      </x:c>
      <x:c r="B2001" s="2" t="str">
        <x:v>감축량 인증</x:v>
      </x:c>
      <x:c r="C2001" s="2" t="str">
        <x:v>국내</x:v>
      </x:c>
      <x:c r="D2001" s="7" t="str">
        <x:v>대갑 스팀보일러의 연료교체(B-C유→LNG)를 통한 온실가스(CO2) 배출 감축사업</x:v>
      </x:c>
      <x:c r="E2001" s="2" t="str">
        <x:v>241</x:v>
      </x:c>
      <x:c r="F2001" s="2"/>
      <x:c r="G2001" s="2" t="str">
        <x:v>미확보</x:v>
      </x:c>
      <x:c r="H2001" s="2" t="str">
        <x:v>미확보</x:v>
      </x:c>
      <x:c r="I2001" s="2" t="str">
        <x:v>검토반려</x:v>
      </x:c>
      <x:c r="J2001" s="2" t="str">
        <x:v>반려</x:v>
      </x:c>
      <x:c r="K2001" s="2" t="str">
        <x:f>IF(OR(J2001="심의승인",J2001="반려",J2001="반려완료",J2001="심의완료"),"종결 표시",IF(OR(J2001="기후부협의",J2001="문서재제출요청",J2001="보류",J2001="보완요청",J2001="보완완료",J2001="평가중",J2001="반려요청",J2001="평가필요",LEFT(J2001,5)="보완요청("),"미종결 표시","상태 확인 필요"))</x:f>
        <x:v>종결 표시</x:v>
      </x:c>
      <x:c r="L2001" s="2"/>
      <x:c r="M2001" s="2"/>
      <x:c r="N2001" s="8"/>
      <x:c r="O2001" s="2"/>
      <x:c r="P2001" s="2" t="str">
        <x:v>유선으로 반려의사 확인</x:v>
      </x:c>
      <x:c r="Q2001" s="2" t="str">
        <x:v>산업전환_외부사업관리Tool_260707_이너젠 수정_LJY_261013.xlsx</x:v>
      </x:c>
      <x:c r="R2001" s="2" t="str">
        <x:v>국내인증</x:v>
      </x:c>
      <x:c r="S2001" s="8" t="n">
        <x:v>319</x:v>
      </x:c>
      <x:c r="T2001" s="2" t="str">
        <x:v>2021년 처리</x:v>
      </x:c>
      <x:c r="U2001" s="2" t="str">
        <x:v>2021 배정: 2021년 처리</x:v>
      </x:c>
      <x:c r="V2001" s="2" t="str">
        <x:v>2021-08-12</x:v>
      </x:c>
      <x:c r="W2001" s="2" t="str">
        <x:v>신청일 확인 / 담당기관 확인</x:v>
      </x:c>
      <x:c r="X2001" s="2" t="str">
        <x:v>원본·배정 기록 확인</x:v>
      </x:c>
      <x:c r="Y2001" s="2" t="str">
        <x:v>ad210cd9ec132cfd447541c8984dc53d30aff0f4fb2dc92d254d49275cc55976</x:v>
      </x:c>
      <x:c r="Z2001" s="2" t="n">
        <x:f>SUBTOTAL(103,A2001)</x:f>
        <x:v>1</x:v>
      </x:c>
      <x:c r="AA2001" s="2" t="str">
        <x:f>IF(K2001&lt;&gt;"미종결 표시","대상 아님",IF(N2001="","신청일 확인",IF(NOT(ISNUMBER('종합 현황'!$H$5)),"관찰기준 확인",IF('종합 현황'!$H$5&lt;1,"관찰기준 확인",IF(N2001&gt;'종합 현황'!$H$5,"내부 관찰 대상","내부 관찰일 이하")))))</x:f>
        <x:v>대상 아님</x:v>
      </x:c>
      <x:c r="AB2001" s="2"/>
    </x:row>
    <x:row r="2002" ht="42" customHeight="1">
      <x:c r="A2002" s="2" t="str">
        <x:v>2d47d3cd988c058d85ae7bd4</x:v>
      </x:c>
      <x:c r="B2002" s="2" t="str">
        <x:v>감축량 인증</x:v>
      </x:c>
      <x:c r="C2002" s="2" t="str">
        <x:v>국내</x:v>
      </x:c>
      <x:c r="D2002" s="7" t="str">
        <x:v>카프로 N2O 저감 사업</x:v>
      </x:c>
      <x:c r="E2002" s="2" t="str">
        <x:v>242</x:v>
      </x:c>
      <x:c r="F2002" s="2"/>
      <x:c r="G2002" s="2" t="str">
        <x:v>미확보</x:v>
      </x:c>
      <x:c r="H2002" s="2" t="str">
        <x:v>미확보</x:v>
      </x:c>
      <x:c r="I2002" s="2" t="str">
        <x:v>심의승인</x:v>
      </x:c>
      <x:c r="J2002" s="2" t="str">
        <x:v>심의승인</x:v>
      </x:c>
      <x:c r="K2002" s="2" t="str">
        <x:f>IF(OR(J2002="심의승인",J2002="반려",J2002="반려완료",J2002="심의완료"),"종결 표시",IF(OR(J2002="기후부협의",J2002="문서재제출요청",J2002="보류",J2002="보완요청",J2002="보완완료",J2002="평가중",J2002="반려요청",J2002="평가필요",LEFT(J2002,5)="보완요청("),"미종결 표시","상태 확인 필요"))</x:f>
        <x:v>종결 표시</x:v>
      </x:c>
      <x:c r="L2002" s="2"/>
      <x:c r="M2002" s="2"/>
      <x:c r="N2002" s="8"/>
      <x:c r="O2002" s="2"/>
      <x:c r="P2002" s="2"/>
      <x:c r="Q2002" s="2" t="str">
        <x:v>산업전환_외부사업관리Tool_260707_이너젠 수정_LJY_261013.xlsx</x:v>
      </x:c>
      <x:c r="R2002" s="2" t="str">
        <x:v>국내인증</x:v>
      </x:c>
      <x:c r="S2002" s="8" t="n">
        <x:v>320</x:v>
      </x:c>
      <x:c r="T2002" s="2"/>
      <x:c r="U2002" s="2" t="str"/>
      <x:c r="V2002" s="2" t="str">
        <x:v>2020-03-02</x:v>
      </x:c>
      <x:c r="W2002" s="2" t="str">
        <x:v>신청일 확인 / 담당기관 확인</x:v>
      </x:c>
      <x:c r="X2002" s="2" t="str">
        <x:v>원본·배정 기록 확인</x:v>
      </x:c>
      <x:c r="Y2002" s="2" t="str">
        <x:v>ad210cd9ec132cfd447541c8984dc53d30aff0f4fb2dc92d254d49275cc55976</x:v>
      </x:c>
      <x:c r="Z2002" s="2" t="n">
        <x:f>SUBTOTAL(103,A2002)</x:f>
        <x:v>1</x:v>
      </x:c>
      <x:c r="AA2002" s="2" t="str">
        <x:f>IF(K2002&lt;&gt;"미종결 표시","대상 아님",IF(N2002="","신청일 확인",IF(NOT(ISNUMBER('종합 현황'!$H$5)),"관찰기준 확인",IF('종합 현황'!$H$5&lt;1,"관찰기준 확인",IF(N2002&gt;'종합 현황'!$H$5,"내부 관찰 대상","내부 관찰일 이하")))))</x:f>
        <x:v>대상 아님</x:v>
      </x:c>
      <x:c r="AB2002" s="2"/>
    </x:row>
    <x:row r="2003" ht="42" customHeight="1">
      <x:c r="A2003" s="2" t="str">
        <x:v>53601d08cb78ce166a9b5219</x:v>
      </x:c>
      <x:c r="B2003" s="2" t="str">
        <x:v>감축량 인증</x:v>
      </x:c>
      <x:c r="C2003" s="2" t="str">
        <x:v>국내</x:v>
      </x:c>
      <x:c r="D2003" s="7" t="str">
        <x:v>카프로 N2O 저감 사업</x:v>
      </x:c>
      <x:c r="E2003" s="2" t="str">
        <x:v>243</x:v>
      </x:c>
      <x:c r="F2003" s="2"/>
      <x:c r="G2003" s="2" t="str">
        <x:v>미확보</x:v>
      </x:c>
      <x:c r="H2003" s="2" t="str">
        <x:v>미확보</x:v>
      </x:c>
      <x:c r="I2003" s="2" t="str">
        <x:v>심의승인</x:v>
      </x:c>
      <x:c r="J2003" s="2" t="str">
        <x:v>심의승인</x:v>
      </x:c>
      <x:c r="K2003" s="2" t="str">
        <x:f>IF(OR(J2003="심의승인",J2003="반려",J2003="반려완료",J2003="심의완료"),"종결 표시",IF(OR(J2003="기후부협의",J2003="문서재제출요청",J2003="보류",J2003="보완요청",J2003="보완완료",J2003="평가중",J2003="반려요청",J2003="평가필요",LEFT(J2003,5)="보완요청("),"미종결 표시","상태 확인 필요"))</x:f>
        <x:v>종결 표시</x:v>
      </x:c>
      <x:c r="L2003" s="2"/>
      <x:c r="M2003" s="2"/>
      <x:c r="N2003" s="8"/>
      <x:c r="O2003" s="2"/>
      <x:c r="P2003" s="2"/>
      <x:c r="Q2003" s="2" t="str">
        <x:v>산업전환_외부사업관리Tool_260707_이너젠 수정_LJY_261013.xlsx</x:v>
      </x:c>
      <x:c r="R2003" s="2" t="str">
        <x:v>국내인증</x:v>
      </x:c>
      <x:c r="S2003" s="8" t="n">
        <x:v>321</x:v>
      </x:c>
      <x:c r="T2003" s="2"/>
      <x:c r="U2003" s="2" t="str"/>
      <x:c r="V2003" s="2" t="str">
        <x:v>2020-03-02</x:v>
      </x:c>
      <x:c r="W2003" s="2" t="str">
        <x:v>신청일 확인 / 담당기관 확인</x:v>
      </x:c>
      <x:c r="X2003" s="2" t="str">
        <x:v>원본·배정 기록 확인</x:v>
      </x:c>
      <x:c r="Y2003" s="2" t="str">
        <x:v>ad210cd9ec132cfd447541c8984dc53d30aff0f4fb2dc92d254d49275cc55976</x:v>
      </x:c>
      <x:c r="Z2003" s="2" t="n">
        <x:f>SUBTOTAL(103,A2003)</x:f>
        <x:v>1</x:v>
      </x:c>
      <x:c r="AA2003" s="2" t="str">
        <x:f>IF(K2003&lt;&gt;"미종결 표시","대상 아님",IF(N2003="","신청일 확인",IF(NOT(ISNUMBER('종합 현황'!$H$5)),"관찰기준 확인",IF('종합 현황'!$H$5&lt;1,"관찰기준 확인",IF(N2003&gt;'종합 현황'!$H$5,"내부 관찰 대상","내부 관찰일 이하")))))</x:f>
        <x:v>대상 아님</x:v>
      </x:c>
      <x:c r="AB2003" s="2"/>
    </x:row>
    <x:row r="2004" ht="42" customHeight="1">
      <x:c r="A2004" s="2" t="str">
        <x:v>2f11dd7255d3409721a7162d</x:v>
      </x:c>
      <x:c r="B2004" s="2" t="str">
        <x:v>감축량 인증</x:v>
      </x:c>
      <x:c r="C2004" s="2" t="str">
        <x:v>국내</x:v>
      </x:c>
      <x:c r="D2004" s="7" t="str">
        <x:v>SF6 회수 및 재생사업</x:v>
      </x:c>
      <x:c r="E2004" s="2" t="str">
        <x:v>244</x:v>
      </x:c>
      <x:c r="F2004" s="2"/>
      <x:c r="G2004" s="2" t="str">
        <x:v>미확보</x:v>
      </x:c>
      <x:c r="H2004" s="2" t="str">
        <x:v>미확보</x:v>
      </x:c>
      <x:c r="I2004" s="2" t="str">
        <x:v>심의승인</x:v>
      </x:c>
      <x:c r="J2004" s="2" t="str">
        <x:v>심의승인</x:v>
      </x:c>
      <x:c r="K2004" s="2" t="str">
        <x:f>IF(OR(J2004="심의승인",J2004="반려",J2004="반려완료",J2004="심의완료"),"종결 표시",IF(OR(J2004="기후부협의",J2004="문서재제출요청",J2004="보류",J2004="보완요청",J2004="보완완료",J2004="평가중",J2004="반려요청",J2004="평가필요",LEFT(J2004,5)="보완요청("),"미종결 표시","상태 확인 필요"))</x:f>
        <x:v>종결 표시</x:v>
      </x:c>
      <x:c r="L2004" s="2"/>
      <x:c r="M2004" s="2"/>
      <x:c r="N2004" s="8"/>
      <x:c r="O2004" s="2"/>
      <x:c r="P2004" s="2"/>
      <x:c r="Q2004" s="2" t="str">
        <x:v>산업전환_외부사업관리Tool_260707_이너젠 수정_LJY_261013.xlsx</x:v>
      </x:c>
      <x:c r="R2004" s="2" t="str">
        <x:v>국내인증</x:v>
      </x:c>
      <x:c r="S2004" s="8" t="n">
        <x:v>322</x:v>
      </x:c>
      <x:c r="T2004" s="2"/>
      <x:c r="U2004" s="2" t="str"/>
      <x:c r="V2004" s="2" t="str">
        <x:v>2020-03-02</x:v>
      </x:c>
      <x:c r="W2004" s="2" t="str">
        <x:v>신청일 확인 / 담당기관 확인</x:v>
      </x:c>
      <x:c r="X2004" s="2" t="str">
        <x:v>원본·배정 기록 확인</x:v>
      </x:c>
      <x:c r="Y2004" s="2" t="str">
        <x:v>ad210cd9ec132cfd447541c8984dc53d30aff0f4fb2dc92d254d49275cc55976</x:v>
      </x:c>
      <x:c r="Z2004" s="2" t="n">
        <x:f>SUBTOTAL(103,A2004)</x:f>
        <x:v>1</x:v>
      </x:c>
      <x:c r="AA2004" s="2" t="str">
        <x:f>IF(K2004&lt;&gt;"미종결 표시","대상 아님",IF(N2004="","신청일 확인",IF(NOT(ISNUMBER('종합 현황'!$H$5)),"관찰기준 확인",IF('종합 현황'!$H$5&lt;1,"관찰기준 확인",IF(N2004&gt;'종합 현황'!$H$5,"내부 관찰 대상","내부 관찰일 이하")))))</x:f>
        <x:v>대상 아님</x:v>
      </x:c>
      <x:c r="AB2004" s="2"/>
    </x:row>
    <x:row r="2005" ht="42" customHeight="1">
      <x:c r="A2005" s="2" t="str">
        <x:v>94447e22e7158d314bfff493</x:v>
      </x:c>
      <x:c r="B2005" s="2" t="str">
        <x:v>감축량 인증</x:v>
      </x:c>
      <x:c r="C2005" s="2" t="str">
        <x:v>국내</x:v>
      </x:c>
      <x:c r="D2005" s="7" t="str">
        <x:v>SF6 회수 및 재생사업</x:v>
      </x:c>
      <x:c r="E2005" s="2" t="str">
        <x:v>245</x:v>
      </x:c>
      <x:c r="F2005" s="2"/>
      <x:c r="G2005" s="2" t="str">
        <x:v>미확보</x:v>
      </x:c>
      <x:c r="H2005" s="2" t="str">
        <x:v>미확보</x:v>
      </x:c>
      <x:c r="I2005" s="2" t="str">
        <x:v>심의승인</x:v>
      </x:c>
      <x:c r="J2005" s="2" t="str">
        <x:v>심의승인</x:v>
      </x:c>
      <x:c r="K2005" s="2" t="str">
        <x:f>IF(OR(J2005="심의승인",J2005="반려",J2005="반려완료",J2005="심의완료"),"종결 표시",IF(OR(J2005="기후부협의",J2005="문서재제출요청",J2005="보류",J2005="보완요청",J2005="보완완료",J2005="평가중",J2005="반려요청",J2005="평가필요",LEFT(J2005,5)="보완요청("),"미종결 표시","상태 확인 필요"))</x:f>
        <x:v>종결 표시</x:v>
      </x:c>
      <x:c r="L2005" s="2"/>
      <x:c r="M2005" s="2"/>
      <x:c r="N2005" s="8"/>
      <x:c r="O2005" s="2"/>
      <x:c r="P2005" s="2"/>
      <x:c r="Q2005" s="2" t="str">
        <x:v>산업전환_외부사업관리Tool_260707_이너젠 수정_LJY_261013.xlsx</x:v>
      </x:c>
      <x:c r="R2005" s="2" t="str">
        <x:v>국내인증</x:v>
      </x:c>
      <x:c r="S2005" s="8" t="n">
        <x:v>323</x:v>
      </x:c>
      <x:c r="T2005" s="2"/>
      <x:c r="U2005" s="2" t="str"/>
      <x:c r="V2005" s="2" t="str">
        <x:v>2020-03-02</x:v>
      </x:c>
      <x:c r="W2005" s="2" t="str">
        <x:v>신청일 확인 / 담당기관 확인</x:v>
      </x:c>
      <x:c r="X2005" s="2" t="str">
        <x:v>원본·배정 기록 확인</x:v>
      </x:c>
      <x:c r="Y2005" s="2" t="str">
        <x:v>ad210cd9ec132cfd447541c8984dc53d30aff0f4fb2dc92d254d49275cc55976</x:v>
      </x:c>
      <x:c r="Z2005" s="2" t="n">
        <x:f>SUBTOTAL(103,A2005)</x:f>
        <x:v>1</x:v>
      </x:c>
      <x:c r="AA2005" s="2" t="str">
        <x:f>IF(K2005&lt;&gt;"미종결 표시","대상 아님",IF(N2005="","신청일 확인",IF(NOT(ISNUMBER('종합 현황'!$H$5)),"관찰기준 확인",IF('종합 현황'!$H$5&lt;1,"관찰기준 확인",IF(N2005&gt;'종합 현황'!$H$5,"내부 관찰 대상","내부 관찰일 이하")))))</x:f>
        <x:v>대상 아님</x:v>
      </x:c>
      <x:c r="AB2005" s="2"/>
    </x:row>
    <x:row r="2006" ht="42" customHeight="1">
      <x:c r="A2006" s="2" t="str">
        <x:v>4a2a0ecedd5e1c533adf37a9</x:v>
      </x:c>
      <x:c r="B2006" s="2" t="str">
        <x:v>감축량 인증</x:v>
      </x:c>
      <x:c r="C2006" s="2" t="str">
        <x:v>국내</x:v>
      </x:c>
      <x:c r="D2006" s="7" t="str">
        <x:v>양양 풍력 소수력 CDM사업</x:v>
      </x:c>
      <x:c r="E2006" s="2" t="str">
        <x:v>246</x:v>
      </x:c>
      <x:c r="F2006" s="2"/>
      <x:c r="G2006" s="2" t="str">
        <x:v>미확보</x:v>
      </x:c>
      <x:c r="H2006" s="2" t="str">
        <x:v>미확보</x:v>
      </x:c>
      <x:c r="I2006" s="2" t="str">
        <x:v>심의승인</x:v>
      </x:c>
      <x:c r="J2006" s="2" t="str">
        <x:v>심의승인</x:v>
      </x:c>
      <x:c r="K2006" s="2" t="str">
        <x:f>IF(OR(J2006="심의승인",J2006="반려",J2006="반려완료",J2006="심의완료"),"종결 표시",IF(OR(J2006="기후부협의",J2006="문서재제출요청",J2006="보류",J2006="보완요청",J2006="보완완료",J2006="평가중",J2006="반려요청",J2006="평가필요",LEFT(J2006,5)="보완요청("),"미종결 표시","상태 확인 필요"))</x:f>
        <x:v>종결 표시</x:v>
      </x:c>
      <x:c r="L2006" s="2"/>
      <x:c r="M2006" s="2"/>
      <x:c r="N2006" s="8"/>
      <x:c r="O2006" s="2"/>
      <x:c r="P2006" s="2"/>
      <x:c r="Q2006" s="2" t="str">
        <x:v>산업전환_외부사업관리Tool_260707_이너젠 수정_LJY_261013.xlsx</x:v>
      </x:c>
      <x:c r="R2006" s="2" t="str">
        <x:v>국내인증</x:v>
      </x:c>
      <x:c r="S2006" s="8" t="n">
        <x:v>324</x:v>
      </x:c>
      <x:c r="T2006" s="2"/>
      <x:c r="U2006" s="2" t="str"/>
      <x:c r="V2006" s="2" t="str">
        <x:v>2020-10-27</x:v>
      </x:c>
      <x:c r="W2006" s="2" t="str">
        <x:v>신청일 확인 / 담당기관 확인</x:v>
      </x:c>
      <x:c r="X2006" s="2" t="str">
        <x:v>원본·배정 기록 확인</x:v>
      </x:c>
      <x:c r="Y2006" s="2" t="str">
        <x:v>ad210cd9ec132cfd447541c8984dc53d30aff0f4fb2dc92d254d49275cc55976</x:v>
      </x:c>
      <x:c r="Z2006" s="2" t="n">
        <x:f>SUBTOTAL(103,A2006)</x:f>
        <x:v>1</x:v>
      </x:c>
      <x:c r="AA2006" s="2" t="str">
        <x:f>IF(K2006&lt;&gt;"미종결 표시","대상 아님",IF(N2006="","신청일 확인",IF(NOT(ISNUMBER('종합 현황'!$H$5)),"관찰기준 확인",IF('종합 현황'!$H$5&lt;1,"관찰기준 확인",IF(N2006&gt;'종합 현황'!$H$5,"내부 관찰 대상","내부 관찰일 이하")))))</x:f>
        <x:v>대상 아님</x:v>
      </x:c>
      <x:c r="AB2006" s="2"/>
    </x:row>
    <x:row r="2007" ht="42" customHeight="1">
      <x:c r="A2007" s="2" t="str">
        <x:v>559be8fd0e0dc063a0c0f0a3</x:v>
      </x:c>
      <x:c r="B2007" s="2" t="str">
        <x:v>감축량 인증</x:v>
      </x:c>
      <x:c r="C2007" s="2" t="str">
        <x:v>국내</x:v>
      </x:c>
      <x:c r="D2007" s="7" t="str">
        <x:v>한국중부발전 보령 소수력 CDM사업</x:v>
      </x:c>
      <x:c r="E2007" s="2" t="str">
        <x:v>247</x:v>
      </x:c>
      <x:c r="F2007" s="2"/>
      <x:c r="G2007" s="2" t="str">
        <x:v>미확보</x:v>
      </x:c>
      <x:c r="H2007" s="2" t="str">
        <x:v>미확보</x:v>
      </x:c>
      <x:c r="I2007" s="2" t="str">
        <x:v>심의승인</x:v>
      </x:c>
      <x:c r="J2007" s="2" t="str">
        <x:v>심의승인</x:v>
      </x:c>
      <x:c r="K2007" s="2" t="str">
        <x:f>IF(OR(J2007="심의승인",J2007="반려",J2007="반려완료",J2007="심의완료"),"종결 표시",IF(OR(J2007="기후부협의",J2007="문서재제출요청",J2007="보류",J2007="보완요청",J2007="보완완료",J2007="평가중",J2007="반려요청",J2007="평가필요",LEFT(J2007,5)="보완요청("),"미종결 표시","상태 확인 필요"))</x:f>
        <x:v>종결 표시</x:v>
      </x:c>
      <x:c r="L2007" s="2"/>
      <x:c r="M2007" s="2"/>
      <x:c r="N2007" s="8"/>
      <x:c r="O2007" s="2"/>
      <x:c r="P2007" s="2"/>
      <x:c r="Q2007" s="2" t="str">
        <x:v>산업전환_외부사업관리Tool_260707_이너젠 수정_LJY_261013.xlsx</x:v>
      </x:c>
      <x:c r="R2007" s="2" t="str">
        <x:v>국내인증</x:v>
      </x:c>
      <x:c r="S2007" s="8" t="n">
        <x:v>325</x:v>
      </x:c>
      <x:c r="T2007" s="2"/>
      <x:c r="U2007" s="2" t="str"/>
      <x:c r="V2007" s="2" t="str">
        <x:v>2020-08-12</x:v>
      </x:c>
      <x:c r="W2007" s="2" t="str">
        <x:v>신청일 확인 / 담당기관 확인</x:v>
      </x:c>
      <x:c r="X2007" s="2" t="str">
        <x:v>원본·배정 기록 확인</x:v>
      </x:c>
      <x:c r="Y2007" s="2" t="str">
        <x:v>ad210cd9ec132cfd447541c8984dc53d30aff0f4fb2dc92d254d49275cc55976</x:v>
      </x:c>
      <x:c r="Z2007" s="2" t="n">
        <x:f>SUBTOTAL(103,A2007)</x:f>
        <x:v>1</x:v>
      </x:c>
      <x:c r="AA2007" s="2" t="str">
        <x:f>IF(K2007&lt;&gt;"미종결 표시","대상 아님",IF(N2007="","신청일 확인",IF(NOT(ISNUMBER('종합 현황'!$H$5)),"관찰기준 확인",IF('종합 현황'!$H$5&lt;1,"관찰기준 확인",IF(N2007&gt;'종합 현황'!$H$5,"내부 관찰 대상","내부 관찰일 이하")))))</x:f>
        <x:v>대상 아님</x:v>
      </x:c>
      <x:c r="AB2007" s="2"/>
    </x:row>
    <x:row r="2008" ht="42" customHeight="1">
      <x:c r="A2008" s="2" t="str">
        <x:v>4e9d3359c5e9d970e7a25d92</x:v>
      </x:c>
      <x:c r="B2008" s="2" t="str">
        <x:v>감축량 인증</x:v>
      </x:c>
      <x:c r="C2008" s="2" t="str">
        <x:v>국내</x:v>
      </x:c>
      <x:c r="D2008" s="7" t="str">
        <x:v>융도물산 목재펠릿 연료전환(B-C유, 연료유→목재펠릿)을 통한 온실가스 감축사업</x:v>
      </x:c>
      <x:c r="E2008" s="2" t="str">
        <x:v>248</x:v>
      </x:c>
      <x:c r="F2008" s="2"/>
      <x:c r="G2008" s="2" t="str">
        <x:v>미확보</x:v>
      </x:c>
      <x:c r="H2008" s="2" t="str">
        <x:v>미확보</x:v>
      </x:c>
      <x:c r="I2008" s="2" t="str">
        <x:v>심의승인</x:v>
      </x:c>
      <x:c r="J2008" s="2" t="str">
        <x:v>심의승인</x:v>
      </x:c>
      <x:c r="K2008" s="2" t="str">
        <x:f>IF(OR(J2008="심의승인",J2008="반려",J2008="반려완료",J2008="심의완료"),"종결 표시",IF(OR(J2008="기후부협의",J2008="문서재제출요청",J2008="보류",J2008="보완요청",J2008="보완완료",J2008="평가중",J2008="반려요청",J2008="평가필요",LEFT(J2008,5)="보완요청("),"미종결 표시","상태 확인 필요"))</x:f>
        <x:v>종결 표시</x:v>
      </x:c>
      <x:c r="L2008" s="2"/>
      <x:c r="M2008" s="2"/>
      <x:c r="N2008" s="8"/>
      <x:c r="O2008" s="2"/>
      <x:c r="P2008" s="2"/>
      <x:c r="Q2008" s="2" t="str">
        <x:v>산업전환_외부사업관리Tool_260707_이너젠 수정_LJY_261013.xlsx</x:v>
      </x:c>
      <x:c r="R2008" s="2" t="str">
        <x:v>국내인증</x:v>
      </x:c>
      <x:c r="S2008" s="8" t="n">
        <x:v>326</x:v>
      </x:c>
      <x:c r="T2008" s="2"/>
      <x:c r="U2008" s="2" t="str"/>
      <x:c r="V2008" s="2" t="str">
        <x:v>2020-10-27</x:v>
      </x:c>
      <x:c r="W2008" s="2" t="str">
        <x:v>신청일 확인 / 담당기관 확인</x:v>
      </x:c>
      <x:c r="X2008" s="2" t="str">
        <x:v>원본·배정 기록 확인</x:v>
      </x:c>
      <x:c r="Y2008" s="2" t="str">
        <x:v>ad210cd9ec132cfd447541c8984dc53d30aff0f4fb2dc92d254d49275cc55976</x:v>
      </x:c>
      <x:c r="Z2008" s="2" t="n">
        <x:f>SUBTOTAL(103,A2008)</x:f>
        <x:v>1</x:v>
      </x:c>
      <x:c r="AA2008" s="2" t="str">
        <x:f>IF(K2008&lt;&gt;"미종결 표시","대상 아님",IF(N2008="","신청일 확인",IF(NOT(ISNUMBER('종합 현황'!$H$5)),"관찰기준 확인",IF('종합 현황'!$H$5&lt;1,"관찰기준 확인",IF(N2008&gt;'종합 현황'!$H$5,"내부 관찰 대상","내부 관찰일 이하")))))</x:f>
        <x:v>대상 아님</x:v>
      </x:c>
      <x:c r="AB2008" s="2"/>
    </x:row>
    <x:row r="2009" ht="42" customHeight="1">
      <x:c r="A2009" s="2" t="str">
        <x:v>28ca42b7ed1bea1400f8ea85</x:v>
      </x:c>
      <x:c r="B2009" s="2" t="str">
        <x:v>감축량 인증</x:v>
      </x:c>
      <x:c r="C2009" s="2" t="str">
        <x:v>국내</x:v>
      </x:c>
      <x:c r="D2009" s="7" t="str">
        <x:v>보일러 연료전환 (벙커C유 → LNG)을 통한 온실가스(CO2) 배출 감축사업</x:v>
      </x:c>
      <x:c r="E2009" s="2" t="str">
        <x:v>249</x:v>
      </x:c>
      <x:c r="F2009" s="2"/>
      <x:c r="G2009" s="2" t="str">
        <x:v>미확보</x:v>
      </x:c>
      <x:c r="H2009" s="2" t="str">
        <x:v>미확보</x:v>
      </x:c>
      <x:c r="I2009" s="2" t="str">
        <x:v>심의승인</x:v>
      </x:c>
      <x:c r="J2009" s="2" t="str">
        <x:v>심의승인</x:v>
      </x:c>
      <x:c r="K2009" s="2" t="str">
        <x:f>IF(OR(J2009="심의승인",J2009="반려",J2009="반려완료",J2009="심의완료"),"종결 표시",IF(OR(J2009="기후부협의",J2009="문서재제출요청",J2009="보류",J2009="보완요청",J2009="보완완료",J2009="평가중",J2009="반려요청",J2009="평가필요",LEFT(J2009,5)="보완요청("),"미종결 표시","상태 확인 필요"))</x:f>
        <x:v>종결 표시</x:v>
      </x:c>
      <x:c r="L2009" s="2"/>
      <x:c r="M2009" s="2"/>
      <x:c r="N2009" s="8"/>
      <x:c r="O2009" s="2"/>
      <x:c r="P2009" s="2"/>
      <x:c r="Q2009" s="2" t="str">
        <x:v>산업전환_외부사업관리Tool_260707_이너젠 수정_LJY_261013.xlsx</x:v>
      </x:c>
      <x:c r="R2009" s="2" t="str">
        <x:v>국내인증</x:v>
      </x:c>
      <x:c r="S2009" s="8" t="n">
        <x:v>327</x:v>
      </x:c>
      <x:c r="T2009" s="2"/>
      <x:c r="U2009" s="2" t="str"/>
      <x:c r="V2009" s="2" t="str">
        <x:v>2020-10-27</x:v>
      </x:c>
      <x:c r="W2009" s="2" t="str">
        <x:v>신청일 확인 / 담당기관 확인</x:v>
      </x:c>
      <x:c r="X2009" s="2" t="str">
        <x:v>원본·배정 기록 확인</x:v>
      </x:c>
      <x:c r="Y2009" s="2" t="str">
        <x:v>ad210cd9ec132cfd447541c8984dc53d30aff0f4fb2dc92d254d49275cc55976</x:v>
      </x:c>
      <x:c r="Z2009" s="2" t="n">
        <x:f>SUBTOTAL(103,A2009)</x:f>
        <x:v>1</x:v>
      </x:c>
      <x:c r="AA2009" s="2" t="str">
        <x:f>IF(K2009&lt;&gt;"미종결 표시","대상 아님",IF(N2009="","신청일 확인",IF(NOT(ISNUMBER('종합 현황'!$H$5)),"관찰기준 확인",IF('종합 현황'!$H$5&lt;1,"관찰기준 확인",IF(N2009&gt;'종합 현황'!$H$5,"내부 관찰 대상","내부 관찰일 이하")))))</x:f>
        <x:v>대상 아님</x:v>
      </x:c>
      <x:c r="AB2009" s="2"/>
    </x:row>
    <x:row r="2010" ht="42" customHeight="1">
      <x:c r="A2010" s="2" t="str">
        <x:v>7af893093db0ee444e6d6d4a</x:v>
      </x:c>
      <x:c r="B2010" s="2" t="str">
        <x:v>감축량 인증</x:v>
      </x:c>
      <x:c r="C2010" s="2" t="str">
        <x:v>국내</x:v>
      </x:c>
      <x:c r="D2010" s="7" t="str">
        <x:v>(주)자연과사람들 스팀보일러의 연료교체(B-C유→LNG)를 통한 온실가스(CO2) 배출 감축사업</x:v>
      </x:c>
      <x:c r="E2010" s="2" t="str">
        <x:v>250</x:v>
      </x:c>
      <x:c r="F2010" s="2"/>
      <x:c r="G2010" s="2" t="str">
        <x:v>미확보</x:v>
      </x:c>
      <x:c r="H2010" s="2" t="str">
        <x:v>미확보</x:v>
      </x:c>
      <x:c r="I2010" s="2" t="str">
        <x:v>심의승인</x:v>
      </x:c>
      <x:c r="J2010" s="2" t="str">
        <x:v>심의승인</x:v>
      </x:c>
      <x:c r="K2010" s="2" t="str">
        <x:f>IF(OR(J2010="심의승인",J2010="반려",J2010="반려완료",J2010="심의완료"),"종결 표시",IF(OR(J2010="기후부협의",J2010="문서재제출요청",J2010="보류",J2010="보완요청",J2010="보완완료",J2010="평가중",J2010="반려요청",J2010="평가필요",LEFT(J2010,5)="보완요청("),"미종결 표시","상태 확인 필요"))</x:f>
        <x:v>종결 표시</x:v>
      </x:c>
      <x:c r="L2010" s="2"/>
      <x:c r="M2010" s="2"/>
      <x:c r="N2010" s="8"/>
      <x:c r="O2010" s="2"/>
      <x:c r="P2010" s="2"/>
      <x:c r="Q2010" s="2" t="str">
        <x:v>산업전환_외부사업관리Tool_260707_이너젠 수정_LJY_261013.xlsx</x:v>
      </x:c>
      <x:c r="R2010" s="2" t="str">
        <x:v>국내인증</x:v>
      </x:c>
      <x:c r="S2010" s="8" t="n">
        <x:v>328</x:v>
      </x:c>
      <x:c r="T2010" s="2"/>
      <x:c r="U2010" s="2" t="str"/>
      <x:c r="V2010" s="2" t="str">
        <x:v>2020-06-11</x:v>
      </x:c>
      <x:c r="W2010" s="2" t="str">
        <x:v>신청일 확인 / 담당기관 확인</x:v>
      </x:c>
      <x:c r="X2010" s="2" t="str">
        <x:v>원본·배정 기록 확인</x:v>
      </x:c>
      <x:c r="Y2010" s="2" t="str">
        <x:v>ad210cd9ec132cfd447541c8984dc53d30aff0f4fb2dc92d254d49275cc55976</x:v>
      </x:c>
      <x:c r="Z2010" s="2" t="n">
        <x:f>SUBTOTAL(103,A2010)</x:f>
        <x:v>1</x:v>
      </x:c>
      <x:c r="AA2010" s="2" t="str">
        <x:f>IF(K2010&lt;&gt;"미종결 표시","대상 아님",IF(N2010="","신청일 확인",IF(NOT(ISNUMBER('종합 현황'!$H$5)),"관찰기준 확인",IF('종합 현황'!$H$5&lt;1,"관찰기준 확인",IF(N2010&gt;'종합 현황'!$H$5,"내부 관찰 대상","내부 관찰일 이하")))))</x:f>
        <x:v>대상 아님</x:v>
      </x:c>
      <x:c r="AB2010" s="2"/>
    </x:row>
    <x:row r="2011" ht="42" customHeight="1">
      <x:c r="A2011" s="2" t="str">
        <x:v>cf784fbfcf1c58be34406f62</x:v>
      </x:c>
      <x:c r="B2011" s="2" t="str">
        <x:v>감축량 인증</x:v>
      </x:c>
      <x:c r="C2011" s="2" t="str">
        <x:v>국내</x:v>
      </x:c>
      <x:c r="D2011" s="7" t="str">
        <x:v>성은 음성공장 B-C유의 LNG로의 연료전환을 통한 온실가스 감축사업</x:v>
      </x:c>
      <x:c r="E2011" s="2" t="str">
        <x:v>251</x:v>
      </x:c>
      <x:c r="F2011" s="2"/>
      <x:c r="G2011" s="2" t="str">
        <x:v>미확보</x:v>
      </x:c>
      <x:c r="H2011" s="2" t="str">
        <x:v>미확보</x:v>
      </x:c>
      <x:c r="I2011" s="2" t="str">
        <x:v>심의승인</x:v>
      </x:c>
      <x:c r="J2011" s="2" t="str">
        <x:v>심의승인</x:v>
      </x:c>
      <x:c r="K2011" s="2" t="str">
        <x:f>IF(OR(J2011="심의승인",J2011="반려",J2011="반려완료",J2011="심의완료"),"종결 표시",IF(OR(J2011="기후부협의",J2011="문서재제출요청",J2011="보류",J2011="보완요청",J2011="보완완료",J2011="평가중",J2011="반려요청",J2011="평가필요",LEFT(J2011,5)="보완요청("),"미종결 표시","상태 확인 필요"))</x:f>
        <x:v>종결 표시</x:v>
      </x:c>
      <x:c r="L2011" s="2"/>
      <x:c r="M2011" s="2"/>
      <x:c r="N2011" s="8"/>
      <x:c r="O2011" s="2"/>
      <x:c r="P2011" s="2"/>
      <x:c r="Q2011" s="2" t="str">
        <x:v>산업전환_외부사업관리Tool_260707_이너젠 수정_LJY_261013.xlsx</x:v>
      </x:c>
      <x:c r="R2011" s="2" t="str">
        <x:v>국내인증</x:v>
      </x:c>
      <x:c r="S2011" s="8" t="n">
        <x:v>329</x:v>
      </x:c>
      <x:c r="T2011" s="2"/>
      <x:c r="U2011" s="2" t="str"/>
      <x:c r="V2011" s="2" t="str">
        <x:v>2020-10-27</x:v>
      </x:c>
      <x:c r="W2011" s="2" t="str">
        <x:v>신청일 확인 / 담당기관 확인</x:v>
      </x:c>
      <x:c r="X2011" s="2" t="str">
        <x:v>원본·배정 기록 확인</x:v>
      </x:c>
      <x:c r="Y2011" s="2" t="str">
        <x:v>ad210cd9ec132cfd447541c8984dc53d30aff0f4fb2dc92d254d49275cc55976</x:v>
      </x:c>
      <x:c r="Z2011" s="2" t="n">
        <x:f>SUBTOTAL(103,A2011)</x:f>
        <x:v>1</x:v>
      </x:c>
      <x:c r="AA2011" s="2" t="str">
        <x:f>IF(K2011&lt;&gt;"미종결 표시","대상 아님",IF(N2011="","신청일 확인",IF(NOT(ISNUMBER('종합 현황'!$H$5)),"관찰기준 확인",IF('종합 현황'!$H$5&lt;1,"관찰기준 확인",IF(N2011&gt;'종합 현황'!$H$5,"내부 관찰 대상","내부 관찰일 이하")))))</x:f>
        <x:v>대상 아님</x:v>
      </x:c>
      <x:c r="AB2011" s="2"/>
    </x:row>
    <x:row r="2012" ht="42" customHeight="1">
      <x:c r="A2012" s="2" t="str">
        <x:v>67efab30cfe9771c53161b5f</x:v>
      </x:c>
      <x:c r="B2012" s="2" t="str">
        <x:v>감축량 인증</x:v>
      </x:c>
      <x:c r="C2012" s="2" t="str">
        <x:v>국내</x:v>
      </x:c>
      <x:c r="D2012" s="7" t="str">
        <x:v>강원 풍력 CDM사업</x:v>
      </x:c>
      <x:c r="E2012" s="2" t="str">
        <x:v>252</x:v>
      </x:c>
      <x:c r="F2012" s="2"/>
      <x:c r="G2012" s="2" t="str">
        <x:v>미확보</x:v>
      </x:c>
      <x:c r="H2012" s="2" t="str">
        <x:v>미확보</x:v>
      </x:c>
      <x:c r="I2012" s="2" t="str">
        <x:v>심의승인</x:v>
      </x:c>
      <x:c r="J2012" s="2" t="str">
        <x:v>심의승인</x:v>
      </x:c>
      <x:c r="K2012" s="2" t="str">
        <x:f>IF(OR(J2012="심의승인",J2012="반려",J2012="반려완료",J2012="심의완료"),"종결 표시",IF(OR(J2012="기후부협의",J2012="문서재제출요청",J2012="보류",J2012="보완요청",J2012="보완완료",J2012="평가중",J2012="반려요청",J2012="평가필요",LEFT(J2012,5)="보완요청("),"미종결 표시","상태 확인 필요"))</x:f>
        <x:v>종결 표시</x:v>
      </x:c>
      <x:c r="L2012" s="2"/>
      <x:c r="M2012" s="2"/>
      <x:c r="N2012" s="8"/>
      <x:c r="O2012" s="2"/>
      <x:c r="P2012" s="2"/>
      <x:c r="Q2012" s="2" t="str">
        <x:v>산업전환_외부사업관리Tool_260707_이너젠 수정_LJY_261013.xlsx</x:v>
      </x:c>
      <x:c r="R2012" s="2" t="str">
        <x:v>국내인증</x:v>
      </x:c>
      <x:c r="S2012" s="8" t="n">
        <x:v>330</x:v>
      </x:c>
      <x:c r="T2012" s="2"/>
      <x:c r="U2012" s="2" t="str"/>
      <x:c r="V2012" s="2" t="str">
        <x:v>2020-08-12</x:v>
      </x:c>
      <x:c r="W2012" s="2" t="str">
        <x:v>신청일 확인 / 담당기관 확인</x:v>
      </x:c>
      <x:c r="X2012" s="2" t="str">
        <x:v>원본·배정 기록 확인</x:v>
      </x:c>
      <x:c r="Y2012" s="2" t="str">
        <x:v>ad210cd9ec132cfd447541c8984dc53d30aff0f4fb2dc92d254d49275cc55976</x:v>
      </x:c>
      <x:c r="Z2012" s="2" t="n">
        <x:f>SUBTOTAL(103,A2012)</x:f>
        <x:v>1</x:v>
      </x:c>
      <x:c r="AA2012" s="2" t="str">
        <x:f>IF(K2012&lt;&gt;"미종결 표시","대상 아님",IF(N2012="","신청일 확인",IF(NOT(ISNUMBER('종합 현황'!$H$5)),"관찰기준 확인",IF('종합 현황'!$H$5&lt;1,"관찰기준 확인",IF(N2012&gt;'종합 현황'!$H$5,"내부 관찰 대상","내부 관찰일 이하")))))</x:f>
        <x:v>대상 아님</x:v>
      </x:c>
      <x:c r="AB2012" s="2"/>
    </x:row>
    <x:row r="2013" ht="42" customHeight="1">
      <x:c r="A2013" s="2" t="str">
        <x:v>8d6fa4232f4b3a8021296776</x:v>
      </x:c>
      <x:c r="B2013" s="2" t="str">
        <x:v>감축량 인증</x:v>
      </x:c>
      <x:c r="C2013" s="2" t="str">
        <x:v>국내</x:v>
      </x:c>
      <x:c r="D2013" s="7" t="str">
        <x:v>신원화학 스팀보일러의 연료교체(B-C유→LNG)를 통한 온실가스(CO2) 배출 감축사업</x:v>
      </x:c>
      <x:c r="E2013" s="2" t="str">
        <x:v>253</x:v>
      </x:c>
      <x:c r="F2013" s="2"/>
      <x:c r="G2013" s="2" t="str">
        <x:v>미확보</x:v>
      </x:c>
      <x:c r="H2013" s="2" t="str">
        <x:v>미확보</x:v>
      </x:c>
      <x:c r="I2013" s="2" t="str">
        <x:v>심의승인</x:v>
      </x:c>
      <x:c r="J2013" s="2" t="str">
        <x:v>심의승인</x:v>
      </x:c>
      <x:c r="K2013" s="2" t="str">
        <x:f>IF(OR(J2013="심의승인",J2013="반려",J2013="반려완료",J2013="심의완료"),"종결 표시",IF(OR(J2013="기후부협의",J2013="문서재제출요청",J2013="보류",J2013="보완요청",J2013="보완완료",J2013="평가중",J2013="반려요청",J2013="평가필요",LEFT(J2013,5)="보완요청("),"미종결 표시","상태 확인 필요"))</x:f>
        <x:v>종결 표시</x:v>
      </x:c>
      <x:c r="L2013" s="2"/>
      <x:c r="M2013" s="2"/>
      <x:c r="N2013" s="8"/>
      <x:c r="O2013" s="2"/>
      <x:c r="P2013" s="2"/>
      <x:c r="Q2013" s="2" t="str">
        <x:v>산업전환_외부사업관리Tool_260707_이너젠 수정_LJY_261013.xlsx</x:v>
      </x:c>
      <x:c r="R2013" s="2" t="str">
        <x:v>국내인증</x:v>
      </x:c>
      <x:c r="S2013" s="8" t="n">
        <x:v>331</x:v>
      </x:c>
      <x:c r="T2013" s="2"/>
      <x:c r="U2013" s="2" t="str"/>
      <x:c r="V2013" s="2" t="str">
        <x:v>2020-10-27</x:v>
      </x:c>
      <x:c r="W2013" s="2" t="str">
        <x:v>신청일 확인 / 담당기관 확인</x:v>
      </x:c>
      <x:c r="X2013" s="2" t="str">
        <x:v>원본·배정 기록 확인</x:v>
      </x:c>
      <x:c r="Y2013" s="2" t="str">
        <x:v>ad210cd9ec132cfd447541c8984dc53d30aff0f4fb2dc92d254d49275cc55976</x:v>
      </x:c>
      <x:c r="Z2013" s="2" t="n">
        <x:f>SUBTOTAL(103,A2013)</x:f>
        <x:v>1</x:v>
      </x:c>
      <x:c r="AA2013" s="2" t="str">
        <x:f>IF(K2013&lt;&gt;"미종결 표시","대상 아님",IF(N2013="","신청일 확인",IF(NOT(ISNUMBER('종합 현황'!$H$5)),"관찰기준 확인",IF('종합 현황'!$H$5&lt;1,"관찰기준 확인",IF(N2013&gt;'종합 현황'!$H$5,"내부 관찰 대상","내부 관찰일 이하")))))</x:f>
        <x:v>대상 아님</x:v>
      </x:c>
      <x:c r="AB2013" s="2"/>
    </x:row>
    <x:row r="2014" ht="42" customHeight="1">
      <x:c r="A2014" s="2" t="str">
        <x:v>d9c04155ca06e0ab64f6bad8</x:v>
      </x:c>
      <x:c r="B2014" s="2" t="str">
        <x:v>감축량 인증</x:v>
      </x:c>
      <x:c r="C2014" s="2" t="str">
        <x:v>국내</x:v>
      </x:c>
      <x:c r="D2014" s="7" t="str">
        <x:v>보일러 연료전환 (보일러 등유 에서 LNG)을  통한 온실가스 감축사업</x:v>
      </x:c>
      <x:c r="E2014" s="2" t="str">
        <x:v>254</x:v>
      </x:c>
      <x:c r="F2014" s="2"/>
      <x:c r="G2014" s="2" t="str">
        <x:v>미확보</x:v>
      </x:c>
      <x:c r="H2014" s="2" t="str">
        <x:v>미확보</x:v>
      </x:c>
      <x:c r="I2014" s="2" t="str">
        <x:v>심의승인</x:v>
      </x:c>
      <x:c r="J2014" s="2" t="str">
        <x:v>심의승인</x:v>
      </x:c>
      <x:c r="K2014" s="2" t="str">
        <x:f>IF(OR(J2014="심의승인",J2014="반려",J2014="반려완료",J2014="심의완료"),"종결 표시",IF(OR(J2014="기후부협의",J2014="문서재제출요청",J2014="보류",J2014="보완요청",J2014="보완완료",J2014="평가중",J2014="반려요청",J2014="평가필요",LEFT(J2014,5)="보완요청("),"미종결 표시","상태 확인 필요"))</x:f>
        <x:v>종결 표시</x:v>
      </x:c>
      <x:c r="L2014" s="2"/>
      <x:c r="M2014" s="2"/>
      <x:c r="N2014" s="8"/>
      <x:c r="O2014" s="2"/>
      <x:c r="P2014" s="2"/>
      <x:c r="Q2014" s="2" t="str">
        <x:v>산업전환_외부사업관리Tool_260707_이너젠 수정_LJY_261013.xlsx</x:v>
      </x:c>
      <x:c r="R2014" s="2" t="str">
        <x:v>국내인증</x:v>
      </x:c>
      <x:c r="S2014" s="8" t="n">
        <x:v>332</x:v>
      </x:c>
      <x:c r="T2014" s="2"/>
      <x:c r="U2014" s="2" t="str"/>
      <x:c r="V2014" s="2" t="str">
        <x:v>2020-10-27</x:v>
      </x:c>
      <x:c r="W2014" s="2" t="str">
        <x:v>신청일 확인 / 담당기관 확인</x:v>
      </x:c>
      <x:c r="X2014" s="2" t="str">
        <x:v>원본·배정 기록 확인</x:v>
      </x:c>
      <x:c r="Y2014" s="2" t="str">
        <x:v>ad210cd9ec132cfd447541c8984dc53d30aff0f4fb2dc92d254d49275cc55976</x:v>
      </x:c>
      <x:c r="Z2014" s="2" t="n">
        <x:f>SUBTOTAL(103,A2014)</x:f>
        <x:v>1</x:v>
      </x:c>
      <x:c r="AA2014" s="2" t="str">
        <x:f>IF(K2014&lt;&gt;"미종결 표시","대상 아님",IF(N2014="","신청일 확인",IF(NOT(ISNUMBER('종합 현황'!$H$5)),"관찰기준 확인",IF('종합 현황'!$H$5&lt;1,"관찰기준 확인",IF(N2014&gt;'종합 현황'!$H$5,"내부 관찰 대상","내부 관찰일 이하")))))</x:f>
        <x:v>대상 아님</x:v>
      </x:c>
      <x:c r="AB2014" s="2"/>
    </x:row>
    <x:row r="2015" ht="42" customHeight="1">
      <x:c r="A2015" s="2" t="str">
        <x:v>c882dace609923757440d50d</x:v>
      </x:c>
      <x:c r="B2015" s="2" t="str">
        <x:v>감축량 인증</x:v>
      </x:c>
      <x:c r="C2015" s="2" t="str">
        <x:v>국내</x:v>
      </x:c>
      <x:c r="D2015" s="7" t="str">
        <x:v>세림산업 소성로 및 열풍기 등의 연료교체(LPG→LNG)를 통한 온실가스(CO2) 배출 감축사업</x:v>
      </x:c>
      <x:c r="E2015" s="2" t="str">
        <x:v>255</x:v>
      </x:c>
      <x:c r="F2015" s="2"/>
      <x:c r="G2015" s="2" t="str">
        <x:v>미확보</x:v>
      </x:c>
      <x:c r="H2015" s="2" t="str">
        <x:v>미확보</x:v>
      </x:c>
      <x:c r="I2015" s="2" t="str">
        <x:v>심의승인</x:v>
      </x:c>
      <x:c r="J2015" s="2" t="str">
        <x:v>심의승인</x:v>
      </x:c>
      <x:c r="K2015" s="2" t="str">
        <x:f>IF(OR(J2015="심의승인",J2015="반려",J2015="반려완료",J2015="심의완료"),"종결 표시",IF(OR(J2015="기후부협의",J2015="문서재제출요청",J2015="보류",J2015="보완요청",J2015="보완완료",J2015="평가중",J2015="반려요청",J2015="평가필요",LEFT(J2015,5)="보완요청("),"미종결 표시","상태 확인 필요"))</x:f>
        <x:v>종결 표시</x:v>
      </x:c>
      <x:c r="L2015" s="2"/>
      <x:c r="M2015" s="2"/>
      <x:c r="N2015" s="8"/>
      <x:c r="O2015" s="2"/>
      <x:c r="P2015" s="2"/>
      <x:c r="Q2015" s="2" t="str">
        <x:v>산업전환_외부사업관리Tool_260707_이너젠 수정_LJY_261013.xlsx</x:v>
      </x:c>
      <x:c r="R2015" s="2" t="str">
        <x:v>국내인증</x:v>
      </x:c>
      <x:c r="S2015" s="8" t="n">
        <x:v>333</x:v>
      </x:c>
      <x:c r="T2015" s="2"/>
      <x:c r="U2015" s="2" t="str"/>
      <x:c r="V2015" s="2" t="str">
        <x:v>2020-10-27</x:v>
      </x:c>
      <x:c r="W2015" s="2" t="str">
        <x:v>신청일 확인 / 담당기관 확인</x:v>
      </x:c>
      <x:c r="X2015" s="2" t="str">
        <x:v>원본·배정 기록 확인</x:v>
      </x:c>
      <x:c r="Y2015" s="2" t="str">
        <x:v>ad210cd9ec132cfd447541c8984dc53d30aff0f4fb2dc92d254d49275cc55976</x:v>
      </x:c>
      <x:c r="Z2015" s="2" t="n">
        <x:f>SUBTOTAL(103,A2015)</x:f>
        <x:v>1</x:v>
      </x:c>
      <x:c r="AA2015" s="2" t="str">
        <x:f>IF(K2015&lt;&gt;"미종결 표시","대상 아님",IF(N2015="","신청일 확인",IF(NOT(ISNUMBER('종합 현황'!$H$5)),"관찰기준 확인",IF('종합 현황'!$H$5&lt;1,"관찰기준 확인",IF(N2015&gt;'종합 현황'!$H$5,"내부 관찰 대상","내부 관찰일 이하")))))</x:f>
        <x:v>대상 아님</x:v>
      </x:c>
      <x:c r="AB2015" s="2"/>
    </x:row>
    <x:row r="2016" ht="42" customHeight="1">
      <x:c r="A2016" s="2" t="str">
        <x:v>d9c21f6303f34b9f325f5f6b</x:v>
      </x:c>
      <x:c r="B2016" s="2" t="str">
        <x:v>감축량 인증</x:v>
      </x:c>
      <x:c r="C2016" s="2" t="str">
        <x:v>국내</x:v>
      </x:c>
      <x:c r="D2016" s="7" t="str">
        <x:v>㈜금성이피에스산업 스팀보일러의 연료교체(B-C유→LNG)를 통한 온실가스(CO2)배출 감축사업</x:v>
      </x:c>
      <x:c r="E2016" s="2" t="str">
        <x:v>256</x:v>
      </x:c>
      <x:c r="F2016" s="2"/>
      <x:c r="G2016" s="2" t="str">
        <x:v>미확보</x:v>
      </x:c>
      <x:c r="H2016" s="2" t="str">
        <x:v>미확보</x:v>
      </x:c>
      <x:c r="I2016" s="2" t="str">
        <x:v>심의승인</x:v>
      </x:c>
      <x:c r="J2016" s="2" t="str">
        <x:v>심의승인</x:v>
      </x:c>
      <x:c r="K2016" s="2" t="str">
        <x:f>IF(OR(J2016="심의승인",J2016="반려",J2016="반려완료",J2016="심의완료"),"종결 표시",IF(OR(J2016="기후부협의",J2016="문서재제출요청",J2016="보류",J2016="보완요청",J2016="보완완료",J2016="평가중",J2016="반려요청",J2016="평가필요",LEFT(J2016,5)="보완요청("),"미종결 표시","상태 확인 필요"))</x:f>
        <x:v>종결 표시</x:v>
      </x:c>
      <x:c r="L2016" s="2"/>
      <x:c r="M2016" s="2"/>
      <x:c r="N2016" s="8"/>
      <x:c r="O2016" s="2"/>
      <x:c r="P2016" s="2"/>
      <x:c r="Q2016" s="2" t="str">
        <x:v>산업전환_외부사업관리Tool_260707_이너젠 수정_LJY_261013.xlsx</x:v>
      </x:c>
      <x:c r="R2016" s="2" t="str">
        <x:v>국내인증</x:v>
      </x:c>
      <x:c r="S2016" s="8" t="n">
        <x:v>334</x:v>
      </x:c>
      <x:c r="T2016" s="2"/>
      <x:c r="U2016" s="2" t="str"/>
      <x:c r="V2016" s="2" t="str">
        <x:v>2020-10-27</x:v>
      </x:c>
      <x:c r="W2016" s="2" t="str">
        <x:v>신청일 확인 / 담당기관 확인</x:v>
      </x:c>
      <x:c r="X2016" s="2" t="str">
        <x:v>원본·배정 기록 확인</x:v>
      </x:c>
      <x:c r="Y2016" s="2" t="str">
        <x:v>ad210cd9ec132cfd447541c8984dc53d30aff0f4fb2dc92d254d49275cc55976</x:v>
      </x:c>
      <x:c r="Z2016" s="2" t="n">
        <x:f>SUBTOTAL(103,A2016)</x:f>
        <x:v>1</x:v>
      </x:c>
      <x:c r="AA2016" s="2" t="str">
        <x:f>IF(K2016&lt;&gt;"미종결 표시","대상 아님",IF(N2016="","신청일 확인",IF(NOT(ISNUMBER('종합 현황'!$H$5)),"관찰기준 확인",IF('종합 현황'!$H$5&lt;1,"관찰기준 확인",IF(N2016&gt;'종합 현황'!$H$5,"내부 관찰 대상","내부 관찰일 이하")))))</x:f>
        <x:v>대상 아님</x:v>
      </x:c>
      <x:c r="AB2016" s="2"/>
    </x:row>
    <x:row r="2017" ht="42" customHeight="1">
      <x:c r="A2017" s="2" t="str">
        <x:v>58eafaece423e4071c119f8d</x:v>
      </x:c>
      <x:c r="B2017" s="2" t="str">
        <x:v>감축량 인증</x:v>
      </x:c>
      <x:c r="C2017" s="2" t="str">
        <x:v>국내</x:v>
      </x:c>
      <x:c r="D2017" s="7" t="str">
        <x:v>원일식품 제1공장 스팀보일러 연료교체를 통한 온실가스(CO2) 배출 감축사업</x:v>
      </x:c>
      <x:c r="E2017" s="2" t="str">
        <x:v>257</x:v>
      </x:c>
      <x:c r="F2017" s="2"/>
      <x:c r="G2017" s="2" t="str">
        <x:v>미확보</x:v>
      </x:c>
      <x:c r="H2017" s="2" t="str">
        <x:v>미확보</x:v>
      </x:c>
      <x:c r="I2017" s="2" t="str">
        <x:v>심의승인</x:v>
      </x:c>
      <x:c r="J2017" s="2" t="str">
        <x:v>심의승인</x:v>
      </x:c>
      <x:c r="K2017" s="2" t="str">
        <x:f>IF(OR(J2017="심의승인",J2017="반려",J2017="반려완료",J2017="심의완료"),"종결 표시",IF(OR(J2017="기후부협의",J2017="문서재제출요청",J2017="보류",J2017="보완요청",J2017="보완완료",J2017="평가중",J2017="반려요청",J2017="평가필요",LEFT(J2017,5)="보완요청("),"미종결 표시","상태 확인 필요"))</x:f>
        <x:v>종결 표시</x:v>
      </x:c>
      <x:c r="L2017" s="2"/>
      <x:c r="M2017" s="2"/>
      <x:c r="N2017" s="8"/>
      <x:c r="O2017" s="2"/>
      <x:c r="P2017" s="2"/>
      <x:c r="Q2017" s="2" t="str">
        <x:v>산업전환_외부사업관리Tool_260707_이너젠 수정_LJY_261013.xlsx</x:v>
      </x:c>
      <x:c r="R2017" s="2" t="str">
        <x:v>국내인증</x:v>
      </x:c>
      <x:c r="S2017" s="8" t="n">
        <x:v>335</x:v>
      </x:c>
      <x:c r="T2017" s="2"/>
      <x:c r="U2017" s="2" t="str"/>
      <x:c r="V2017" s="2" t="str">
        <x:v>2020-06-11</x:v>
      </x:c>
      <x:c r="W2017" s="2" t="str">
        <x:v>신청일 확인 / 담당기관 확인</x:v>
      </x:c>
      <x:c r="X2017" s="2" t="str">
        <x:v>원본·배정 기록 확인</x:v>
      </x:c>
      <x:c r="Y2017" s="2" t="str">
        <x:v>ad210cd9ec132cfd447541c8984dc53d30aff0f4fb2dc92d254d49275cc55976</x:v>
      </x:c>
      <x:c r="Z2017" s="2" t="n">
        <x:f>SUBTOTAL(103,A2017)</x:f>
        <x:v>1</x:v>
      </x:c>
      <x:c r="AA2017" s="2" t="str">
        <x:f>IF(K2017&lt;&gt;"미종결 표시","대상 아님",IF(N2017="","신청일 확인",IF(NOT(ISNUMBER('종합 현황'!$H$5)),"관찰기준 확인",IF('종합 현황'!$H$5&lt;1,"관찰기준 확인",IF(N2017&gt;'종합 현황'!$H$5,"내부 관찰 대상","내부 관찰일 이하")))))</x:f>
        <x:v>대상 아님</x:v>
      </x:c>
      <x:c r="AB2017" s="2"/>
    </x:row>
    <x:row r="2018" ht="42" customHeight="1">
      <x:c r="A2018" s="2" t="str">
        <x:v>485b8bc55758a9a7ec5650f3</x:v>
      </x:c>
      <x:c r="B2018" s="2" t="str">
        <x:v>감축량 인증</x:v>
      </x:c>
      <x:c r="C2018" s="2" t="str">
        <x:v>국내</x:v>
      </x:c>
      <x:c r="D2018" s="7" t="str">
        <x:v>(주)메라톤의 보일러 연료전환(B-C유-&gt;LNG)에 의한 온실가스(CO2)배출 감축사업</x:v>
      </x:c>
      <x:c r="E2018" s="2" t="str">
        <x:v>258</x:v>
      </x:c>
      <x:c r="F2018" s="2"/>
      <x:c r="G2018" s="2" t="str">
        <x:v>미확보</x:v>
      </x:c>
      <x:c r="H2018" s="2" t="str">
        <x:v>미확보</x:v>
      </x:c>
      <x:c r="I2018" s="2" t="str">
        <x:v>심의승인</x:v>
      </x:c>
      <x:c r="J2018" s="2" t="str">
        <x:v>심의승인</x:v>
      </x:c>
      <x:c r="K2018" s="2" t="str">
        <x:f>IF(OR(J2018="심의승인",J2018="반려",J2018="반려완료",J2018="심의완료"),"종결 표시",IF(OR(J2018="기후부협의",J2018="문서재제출요청",J2018="보류",J2018="보완요청",J2018="보완완료",J2018="평가중",J2018="반려요청",J2018="평가필요",LEFT(J2018,5)="보완요청("),"미종결 표시","상태 확인 필요"))</x:f>
        <x:v>종결 표시</x:v>
      </x:c>
      <x:c r="L2018" s="2"/>
      <x:c r="M2018" s="2"/>
      <x:c r="N2018" s="8"/>
      <x:c r="O2018" s="2"/>
      <x:c r="P2018" s="2"/>
      <x:c r="Q2018" s="2" t="str">
        <x:v>산업전환_외부사업관리Tool_260707_이너젠 수정_LJY_261013.xlsx</x:v>
      </x:c>
      <x:c r="R2018" s="2" t="str">
        <x:v>국내인증</x:v>
      </x:c>
      <x:c r="S2018" s="8" t="n">
        <x:v>336</x:v>
      </x:c>
      <x:c r="T2018" s="2"/>
      <x:c r="U2018" s="2" t="str"/>
      <x:c r="V2018" s="2" t="str">
        <x:v>2020-10-27</x:v>
      </x:c>
      <x:c r="W2018" s="2" t="str">
        <x:v>신청일 확인 / 담당기관 확인</x:v>
      </x:c>
      <x:c r="X2018" s="2" t="str">
        <x:v>원본·배정 기록 확인</x:v>
      </x:c>
      <x:c r="Y2018" s="2" t="str">
        <x:v>ad210cd9ec132cfd447541c8984dc53d30aff0f4fb2dc92d254d49275cc55976</x:v>
      </x:c>
      <x:c r="Z2018" s="2" t="n">
        <x:f>SUBTOTAL(103,A2018)</x:f>
        <x:v>1</x:v>
      </x:c>
      <x:c r="AA2018" s="2" t="str">
        <x:f>IF(K2018&lt;&gt;"미종결 표시","대상 아님",IF(N2018="","신청일 확인",IF(NOT(ISNUMBER('종합 현황'!$H$5)),"관찰기준 확인",IF('종합 현황'!$H$5&lt;1,"관찰기준 확인",IF(N2018&gt;'종합 현황'!$H$5,"내부 관찰 대상","내부 관찰일 이하")))))</x:f>
        <x:v>대상 아님</x:v>
      </x:c>
      <x:c r="AB2018" s="2"/>
    </x:row>
    <x:row r="2019" ht="42" customHeight="1">
      <x:c r="A2019" s="2" t="str">
        <x:v>c7595414b5e73fddf1631da8</x:v>
      </x:c>
      <x:c r="B2019" s="2" t="str">
        <x:v>감축량 인증</x:v>
      </x:c>
      <x:c r="C2019" s="2" t="str">
        <x:v>국내</x:v>
      </x:c>
      <x:c r="D2019" s="7" t="str">
        <x:v>산양 스팀보일러 및 건조로의 연료교체를 통한 온실가스 감축사업</x:v>
      </x:c>
      <x:c r="E2019" s="2" t="str">
        <x:v>259</x:v>
      </x:c>
      <x:c r="F2019" s="2"/>
      <x:c r="G2019" s="2" t="str">
        <x:v>미확보</x:v>
      </x:c>
      <x:c r="H2019" s="2" t="str">
        <x:v>미확보</x:v>
      </x:c>
      <x:c r="I2019" s="2" t="str">
        <x:v>심의승인</x:v>
      </x:c>
      <x:c r="J2019" s="2" t="str">
        <x:v>심의승인</x:v>
      </x:c>
      <x:c r="K2019" s="2" t="str">
        <x:f>IF(OR(J2019="심의승인",J2019="반려",J2019="반려완료",J2019="심의완료"),"종결 표시",IF(OR(J2019="기후부협의",J2019="문서재제출요청",J2019="보류",J2019="보완요청",J2019="보완완료",J2019="평가중",J2019="반려요청",J2019="평가필요",LEFT(J2019,5)="보완요청("),"미종결 표시","상태 확인 필요"))</x:f>
        <x:v>종결 표시</x:v>
      </x:c>
      <x:c r="L2019" s="2"/>
      <x:c r="M2019" s="2"/>
      <x:c r="N2019" s="8"/>
      <x:c r="O2019" s="2"/>
      <x:c r="P2019" s="2"/>
      <x:c r="Q2019" s="2" t="str">
        <x:v>산업전환_외부사업관리Tool_260707_이너젠 수정_LJY_261013.xlsx</x:v>
      </x:c>
      <x:c r="R2019" s="2" t="str">
        <x:v>국내인증</x:v>
      </x:c>
      <x:c r="S2019" s="8" t="n">
        <x:v>337</x:v>
      </x:c>
      <x:c r="T2019" s="2"/>
      <x:c r="U2019" s="2" t="str"/>
      <x:c r="V2019" s="2" t="str">
        <x:v>2020-10-27</x:v>
      </x:c>
      <x:c r="W2019" s="2" t="str">
        <x:v>신청일 확인 / 담당기관 확인</x:v>
      </x:c>
      <x:c r="X2019" s="2" t="str">
        <x:v>원본·배정 기록 확인</x:v>
      </x:c>
      <x:c r="Y2019" s="2" t="str">
        <x:v>ad210cd9ec132cfd447541c8984dc53d30aff0f4fb2dc92d254d49275cc55976</x:v>
      </x:c>
      <x:c r="Z2019" s="2" t="n">
        <x:f>SUBTOTAL(103,A2019)</x:f>
        <x:v>1</x:v>
      </x:c>
      <x:c r="AA2019" s="2" t="str">
        <x:f>IF(K2019&lt;&gt;"미종결 표시","대상 아님",IF(N2019="","신청일 확인",IF(NOT(ISNUMBER('종합 현황'!$H$5)),"관찰기준 확인",IF('종합 현황'!$H$5&lt;1,"관찰기준 확인",IF(N2019&gt;'종합 현황'!$H$5,"내부 관찰 대상","내부 관찰일 이하")))))</x:f>
        <x:v>대상 아님</x:v>
      </x:c>
      <x:c r="AB2019" s="2"/>
    </x:row>
    <x:row r="2020" ht="42" customHeight="1">
      <x:c r="A2020" s="2" t="str">
        <x:v>e8fa7799c001ba5815dbc48c</x:v>
      </x:c>
      <x:c r="B2020" s="2" t="str">
        <x:v>감축량 인증</x:v>
      </x:c>
      <x:c r="C2020" s="2" t="str">
        <x:v>국내</x:v>
      </x:c>
      <x:c r="D2020" s="7" t="str">
        <x:v>시화호 조력발전 사업</x:v>
      </x:c>
      <x:c r="E2020" s="2" t="str">
        <x:v>260</x:v>
      </x:c>
      <x:c r="F2020" s="2"/>
      <x:c r="G2020" s="2" t="str">
        <x:v>미확보</x:v>
      </x:c>
      <x:c r="H2020" s="2" t="str">
        <x:v>미확보</x:v>
      </x:c>
      <x:c r="I2020" s="2" t="str">
        <x:v>심의승인</x:v>
      </x:c>
      <x:c r="J2020" s="2" t="str">
        <x:v>심의승인</x:v>
      </x:c>
      <x:c r="K2020" s="2" t="str">
        <x:f>IF(OR(J2020="심의승인",J2020="반려",J2020="반려완료",J2020="심의완료"),"종결 표시",IF(OR(J2020="기후부협의",J2020="문서재제출요청",J2020="보류",J2020="보완요청",J2020="보완완료",J2020="평가중",J2020="반려요청",J2020="평가필요",LEFT(J2020,5)="보완요청("),"미종결 표시","상태 확인 필요"))</x:f>
        <x:v>종결 표시</x:v>
      </x:c>
      <x:c r="L2020" s="2"/>
      <x:c r="M2020" s="2"/>
      <x:c r="N2020" s="8"/>
      <x:c r="O2020" s="2"/>
      <x:c r="P2020" s="2"/>
      <x:c r="Q2020" s="2" t="str">
        <x:v>산업전환_외부사업관리Tool_260707_이너젠 수정_LJY_261013.xlsx</x:v>
      </x:c>
      <x:c r="R2020" s="2" t="str">
        <x:v>국내인증</x:v>
      </x:c>
      <x:c r="S2020" s="8" t="n">
        <x:v>338</x:v>
      </x:c>
      <x:c r="T2020" s="2"/>
      <x:c r="U2020" s="2" t="str"/>
      <x:c r="V2020" s="2" t="str">
        <x:v>2020-03-02</x:v>
      </x:c>
      <x:c r="W2020" s="2" t="str">
        <x:v>신청일 확인 / 담당기관 확인</x:v>
      </x:c>
      <x:c r="X2020" s="2" t="str">
        <x:v>원본·배정 기록 확인</x:v>
      </x:c>
      <x:c r="Y2020" s="2" t="str">
        <x:v>ad210cd9ec132cfd447541c8984dc53d30aff0f4fb2dc92d254d49275cc55976</x:v>
      </x:c>
      <x:c r="Z2020" s="2" t="n">
        <x:f>SUBTOTAL(103,A2020)</x:f>
        <x:v>1</x:v>
      </x:c>
      <x:c r="AA2020" s="2" t="str">
        <x:f>IF(K2020&lt;&gt;"미종결 표시","대상 아님",IF(N2020="","신청일 확인",IF(NOT(ISNUMBER('종합 현황'!$H$5)),"관찰기준 확인",IF('종합 현황'!$H$5&lt;1,"관찰기준 확인",IF(N2020&gt;'종합 현황'!$H$5,"내부 관찰 대상","내부 관찰일 이하")))))</x:f>
        <x:v>대상 아님</x:v>
      </x:c>
      <x:c r="AB2020" s="2"/>
    </x:row>
    <x:row r="2021" ht="42" customHeight="1">
      <x:c r="A2021" s="2" t="str">
        <x:v>45057e8cb53d038b1171269b</x:v>
      </x:c>
      <x:c r="B2021" s="2" t="str">
        <x:v>감축량 인증</x:v>
      </x:c>
      <x:c r="C2021" s="2" t="str">
        <x:v>국내</x:v>
      </x:c>
      <x:c r="D2021" s="7" t="str">
        <x:v>(주)도원 아스콘 드라이어 버너 연료전환(B-C유 → LPG)을 통한 온실가스(CO2) 감축사업</x:v>
      </x:c>
      <x:c r="E2021" s="2" t="str">
        <x:v>261</x:v>
      </x:c>
      <x:c r="F2021" s="2"/>
      <x:c r="G2021" s="2" t="str">
        <x:v>미확보</x:v>
      </x:c>
      <x:c r="H2021" s="2" t="str">
        <x:v>미확보</x:v>
      </x:c>
      <x:c r="I2021" s="2" t="str">
        <x:v>심의승인</x:v>
      </x:c>
      <x:c r="J2021" s="2" t="str">
        <x:v>심의승인</x:v>
      </x:c>
      <x:c r="K2021" s="2" t="str">
        <x:f>IF(OR(J2021="심의승인",J2021="반려",J2021="반려완료",J2021="심의완료"),"종결 표시",IF(OR(J2021="기후부협의",J2021="문서재제출요청",J2021="보류",J2021="보완요청",J2021="보완완료",J2021="평가중",J2021="반려요청",J2021="평가필요",LEFT(J2021,5)="보완요청("),"미종결 표시","상태 확인 필요"))</x:f>
        <x:v>종결 표시</x:v>
      </x:c>
      <x:c r="L2021" s="2"/>
      <x:c r="M2021" s="2"/>
      <x:c r="N2021" s="8"/>
      <x:c r="O2021" s="2"/>
      <x:c r="P2021" s="2"/>
      <x:c r="Q2021" s="2" t="str">
        <x:v>산업전환_외부사업관리Tool_260707_이너젠 수정_LJY_261013.xlsx</x:v>
      </x:c>
      <x:c r="R2021" s="2" t="str">
        <x:v>국내인증</x:v>
      </x:c>
      <x:c r="S2021" s="8" t="n">
        <x:v>339</x:v>
      </x:c>
      <x:c r="T2021" s="2" t="str">
        <x:v>(9/1),(10/20)</x:v>
      </x:c>
      <x:c r="U2021" s="2" t="str">
        <x:v>2021 배정: (9/1),(10/20) / 2022 배정: (4/19)(5/18)</x:v>
      </x:c>
      <x:c r="V2021" s="2" t="str">
        <x:v>2022-07-14</x:v>
      </x:c>
      <x:c r="W2021" s="2" t="str">
        <x:v>신청일 확인 / 담당기관 확인</x:v>
      </x:c>
      <x:c r="X2021" s="2" t="str">
        <x:v>원본·배정 기록 확인</x:v>
      </x:c>
      <x:c r="Y2021" s="2" t="str">
        <x:v>ad210cd9ec132cfd447541c8984dc53d30aff0f4fb2dc92d254d49275cc55976</x:v>
      </x:c>
      <x:c r="Z2021" s="2" t="n">
        <x:f>SUBTOTAL(103,A2021)</x:f>
        <x:v>1</x:v>
      </x:c>
      <x:c r="AA2021" s="2" t="str">
        <x:f>IF(K2021&lt;&gt;"미종결 표시","대상 아님",IF(N2021="","신청일 확인",IF(NOT(ISNUMBER('종합 현황'!$H$5)),"관찰기준 확인",IF('종합 현황'!$H$5&lt;1,"관찰기준 확인",IF(N2021&gt;'종합 현황'!$H$5,"내부 관찰 대상","내부 관찰일 이하")))))</x:f>
        <x:v>대상 아님</x:v>
      </x:c>
      <x:c r="AB2021" s="2"/>
    </x:row>
    <x:row r="2022" ht="42" customHeight="1">
      <x:c r="A2022" s="2" t="str">
        <x:v>4cb004bb9bd2b0f66e21fd09</x:v>
      </x:c>
      <x:c r="B2022" s="2" t="str">
        <x:v>감축량 인증</x:v>
      </x:c>
      <x:c r="C2022" s="2" t="str">
        <x:v>국내</x:v>
      </x:c>
      <x:c r="D2022" s="7" t="str">
        <x:v>㈜대성아스콘 건조공정 버너 연료전환(B-C유→LNG)을 통한 온실가스 감축사업</x:v>
      </x:c>
      <x:c r="E2022" s="2" t="str">
        <x:v>262</x:v>
      </x:c>
      <x:c r="F2022" s="2"/>
      <x:c r="G2022" s="2" t="str">
        <x:v>미확보</x:v>
      </x:c>
      <x:c r="H2022" s="2" t="str">
        <x:v>미확보</x:v>
      </x:c>
      <x:c r="I2022" s="2" t="str">
        <x:v>심의승인</x:v>
      </x:c>
      <x:c r="J2022" s="2" t="str">
        <x:v>심의승인</x:v>
      </x:c>
      <x:c r="K2022" s="2" t="str">
        <x:f>IF(OR(J2022="심의승인",J2022="반려",J2022="반려완료",J2022="심의완료"),"종결 표시",IF(OR(J2022="기후부협의",J2022="문서재제출요청",J2022="보류",J2022="보완요청",J2022="보완완료",J2022="평가중",J2022="반려요청",J2022="평가필요",LEFT(J2022,5)="보완요청("),"미종결 표시","상태 확인 필요"))</x:f>
        <x:v>종결 표시</x:v>
      </x:c>
      <x:c r="L2022" s="2"/>
      <x:c r="M2022" s="2"/>
      <x:c r="N2022" s="8"/>
      <x:c r="O2022" s="2"/>
      <x:c r="P2022" s="2"/>
      <x:c r="Q2022" s="2" t="str">
        <x:v>산업전환_외부사업관리Tool_260707_이너젠 수정_LJY_261013.xlsx</x:v>
      </x:c>
      <x:c r="R2022" s="2" t="str">
        <x:v>국내인증</x:v>
      </x:c>
      <x:c r="S2022" s="8" t="n">
        <x:v>340</x:v>
      </x:c>
      <x:c r="T2022" s="2" t="str">
        <x:v>2021년 처리</x:v>
      </x:c>
      <x:c r="U2022" s="2" t="str">
        <x:v>2021 배정: 2021년 처리</x:v>
      </x:c>
      <x:c r="V2022" s="2" t="str">
        <x:v>2021-06-21</x:v>
      </x:c>
      <x:c r="W2022" s="2" t="str">
        <x:v>신청일 확인 / 담당기관 확인</x:v>
      </x:c>
      <x:c r="X2022" s="2" t="str">
        <x:v>원본·배정 기록 확인</x:v>
      </x:c>
      <x:c r="Y2022" s="2" t="str">
        <x:v>ad210cd9ec132cfd447541c8984dc53d30aff0f4fb2dc92d254d49275cc55976</x:v>
      </x:c>
      <x:c r="Z2022" s="2" t="n">
        <x:f>SUBTOTAL(103,A2022)</x:f>
        <x:v>1</x:v>
      </x:c>
      <x:c r="AA2022" s="2" t="str">
        <x:f>IF(K2022&lt;&gt;"미종결 표시","대상 아님",IF(N2022="","신청일 확인",IF(NOT(ISNUMBER('종합 현황'!$H$5)),"관찰기준 확인",IF('종합 현황'!$H$5&lt;1,"관찰기준 확인",IF(N2022&gt;'종합 현황'!$H$5,"내부 관찰 대상","내부 관찰일 이하")))))</x:f>
        <x:v>대상 아님</x:v>
      </x:c>
      <x:c r="AB2022" s="2"/>
    </x:row>
    <x:row r="2023" ht="42" customHeight="1">
      <x:c r="A2023" s="2" t="str">
        <x:v>67cceeecf1c178ca46e35cd9</x:v>
      </x:c>
      <x:c r="B2023" s="2" t="str">
        <x:v>감축량 인증</x:v>
      </x:c>
      <x:c r="C2023" s="2" t="str">
        <x:v>국내</x:v>
      </x:c>
      <x:c r="D2023" s="7" t="str">
        <x:v>골드라인 고효율 사출기 개조 및 교체를 통한 온실가스 감축사업</x:v>
      </x:c>
      <x:c r="E2023" s="2" t="str">
        <x:v>263</x:v>
      </x:c>
      <x:c r="F2023" s="2"/>
      <x:c r="G2023" s="2" t="str">
        <x:v>미확보</x:v>
      </x:c>
      <x:c r="H2023" s="2" t="str">
        <x:v>미확보</x:v>
      </x:c>
      <x:c r="I2023" s="2" t="str">
        <x:v>심의승인</x:v>
      </x:c>
      <x:c r="J2023" s="2" t="str">
        <x:v>심의승인</x:v>
      </x:c>
      <x:c r="K2023" s="2" t="str">
        <x:f>IF(OR(J2023="심의승인",J2023="반려",J2023="반려완료",J2023="심의완료"),"종결 표시",IF(OR(J2023="기후부협의",J2023="문서재제출요청",J2023="보류",J2023="보완요청",J2023="보완완료",J2023="평가중",J2023="반려요청",J2023="평가필요",LEFT(J2023,5)="보완요청("),"미종결 표시","상태 확인 필요"))</x:f>
        <x:v>종결 표시</x:v>
      </x:c>
      <x:c r="L2023" s="2"/>
      <x:c r="M2023" s="2"/>
      <x:c r="N2023" s="8"/>
      <x:c r="O2023" s="2"/>
      <x:c r="P2023" s="2"/>
      <x:c r="Q2023" s="2" t="str">
        <x:v>산업전환_외부사업관리Tool_260707_이너젠 수정_LJY_261013.xlsx</x:v>
      </x:c>
      <x:c r="R2023" s="2" t="str">
        <x:v>국내인증</x:v>
      </x:c>
      <x:c r="S2023" s="8" t="n">
        <x:v>341</x:v>
      </x:c>
      <x:c r="T2023" s="2" t="str">
        <x:v>(6/3),(7/12),(8/3),(10/20)</x:v>
      </x:c>
      <x:c r="U2023" s="2" t="str">
        <x:v>2021 배정: (6/3),(7/12),(8/3),(10/20)</x:v>
      </x:c>
      <x:c r="V2023" s="2" t="str">
        <x:v>2022-01-17</x:v>
      </x:c>
      <x:c r="W2023" s="2" t="str">
        <x:v>신청일 확인 / 담당기관 확인</x:v>
      </x:c>
      <x:c r="X2023" s="2" t="str">
        <x:v>원본·배정 기록 확인</x:v>
      </x:c>
      <x:c r="Y2023" s="2" t="str">
        <x:v>ad210cd9ec132cfd447541c8984dc53d30aff0f4fb2dc92d254d49275cc55976</x:v>
      </x:c>
      <x:c r="Z2023" s="2" t="n">
        <x:f>SUBTOTAL(103,A2023)</x:f>
        <x:v>1</x:v>
      </x:c>
      <x:c r="AA2023" s="2" t="str">
        <x:f>IF(K2023&lt;&gt;"미종결 표시","대상 아님",IF(N2023="","신청일 확인",IF(NOT(ISNUMBER('종합 현황'!$H$5)),"관찰기준 확인",IF('종합 현황'!$H$5&lt;1,"관찰기준 확인",IF(N2023&gt;'종합 현황'!$H$5,"내부 관찰 대상","내부 관찰일 이하")))))</x:f>
        <x:v>대상 아님</x:v>
      </x:c>
      <x:c r="AB2023" s="2"/>
    </x:row>
    <x:row r="2024" ht="42" customHeight="1">
      <x:c r="A2024" s="2" t="str">
        <x:v>9f460c068bc4e9c8aa46145b</x:v>
      </x:c>
      <x:c r="B2024" s="2" t="str">
        <x:v>감축량 인증</x:v>
      </x:c>
      <x:c r="C2024" s="2" t="str">
        <x:v>국내</x:v>
      </x:c>
      <x:c r="D2024" s="7" t="str">
        <x:v>(주)상일 보일러의 연료전환 (B-C유 -&gt; LNG)을 통한 온실가스 감축사업</x:v>
      </x:c>
      <x:c r="E2024" s="2" t="str">
        <x:v>264</x:v>
      </x:c>
      <x:c r="F2024" s="2"/>
      <x:c r="G2024" s="2" t="str">
        <x:v>미확보</x:v>
      </x:c>
      <x:c r="H2024" s="2" t="str">
        <x:v>미확보</x:v>
      </x:c>
      <x:c r="I2024" s="2" t="str">
        <x:v>심의승인</x:v>
      </x:c>
      <x:c r="J2024" s="2" t="str">
        <x:v>심의승인</x:v>
      </x:c>
      <x:c r="K2024" s="2" t="str">
        <x:f>IF(OR(J2024="심의승인",J2024="반려",J2024="반려완료",J2024="심의완료"),"종결 표시",IF(OR(J2024="기후부협의",J2024="문서재제출요청",J2024="보류",J2024="보완요청",J2024="보완완료",J2024="평가중",J2024="반려요청",J2024="평가필요",LEFT(J2024,5)="보완요청("),"미종결 표시","상태 확인 필요"))</x:f>
        <x:v>종결 표시</x:v>
      </x:c>
      <x:c r="L2024" s="2"/>
      <x:c r="M2024" s="2"/>
      <x:c r="N2024" s="8"/>
      <x:c r="O2024" s="2"/>
      <x:c r="P2024" s="2"/>
      <x:c r="Q2024" s="2" t="str">
        <x:v>산업전환_외부사업관리Tool_260707_이너젠 수정_LJY_261013.xlsx</x:v>
      </x:c>
      <x:c r="R2024" s="2" t="str">
        <x:v>국내인증</x:v>
      </x:c>
      <x:c r="S2024" s="8" t="n">
        <x:v>342</x:v>
      </x:c>
      <x:c r="T2024" s="2" t="str">
        <x:v>(6/3)</x:v>
      </x:c>
      <x:c r="U2024" s="2" t="str">
        <x:v>2021 배정: (6/3)</x:v>
      </x:c>
      <x:c r="V2024" s="2" t="str">
        <x:v>2021-10-07</x:v>
      </x:c>
      <x:c r="W2024" s="2" t="str">
        <x:v>신청일 확인 / 담당기관 확인</x:v>
      </x:c>
      <x:c r="X2024" s="2" t="str">
        <x:v>원본·배정 기록 확인</x:v>
      </x:c>
      <x:c r="Y2024" s="2" t="str">
        <x:v>ad210cd9ec132cfd447541c8984dc53d30aff0f4fb2dc92d254d49275cc55976</x:v>
      </x:c>
      <x:c r="Z2024" s="2" t="n">
        <x:f>SUBTOTAL(103,A2024)</x:f>
        <x:v>1</x:v>
      </x:c>
      <x:c r="AA2024" s="2" t="str">
        <x:f>IF(K2024&lt;&gt;"미종결 표시","대상 아님",IF(N2024="","신청일 확인",IF(NOT(ISNUMBER('종합 현황'!$H$5)),"관찰기준 확인",IF('종합 현황'!$H$5&lt;1,"관찰기준 확인",IF(N2024&gt;'종합 현황'!$H$5,"내부 관찰 대상","내부 관찰일 이하")))))</x:f>
        <x:v>대상 아님</x:v>
      </x:c>
      <x:c r="AB2024" s="2"/>
    </x:row>
    <x:row r="2025" ht="42" customHeight="1">
      <x:c r="A2025" s="2" t="str">
        <x:v>db01967e712d55a82e0de04c</x:v>
      </x:c>
      <x:c r="B2025" s="2" t="str">
        <x:v>감축량 인증</x:v>
      </x:c>
      <x:c r="C2025" s="2" t="str">
        <x:v>국내</x:v>
      </x:c>
      <x:c r="D2025" s="7" t="str">
        <x:v>정암산업 버너 교체를 통한 연료전환 사업 (아스콘 생산)</x:v>
      </x:c>
      <x:c r="E2025" s="2" t="str">
        <x:v>265</x:v>
      </x:c>
      <x:c r="F2025" s="2"/>
      <x:c r="G2025" s="2" t="str">
        <x:v>미확보</x:v>
      </x:c>
      <x:c r="H2025" s="2" t="str">
        <x:v>미확보</x:v>
      </x:c>
      <x:c r="I2025" s="2" t="str">
        <x:v>심의승인</x:v>
      </x:c>
      <x:c r="J2025" s="2" t="str">
        <x:v>심의승인</x:v>
      </x:c>
      <x:c r="K2025" s="2" t="str">
        <x:f>IF(OR(J2025="심의승인",J2025="반려",J2025="반려완료",J2025="심의완료"),"종결 표시",IF(OR(J2025="기후부협의",J2025="문서재제출요청",J2025="보류",J2025="보완요청",J2025="보완완료",J2025="평가중",J2025="반려요청",J2025="평가필요",LEFT(J2025,5)="보완요청("),"미종결 표시","상태 확인 필요"))</x:f>
        <x:v>종결 표시</x:v>
      </x:c>
      <x:c r="L2025" s="2"/>
      <x:c r="M2025" s="2"/>
      <x:c r="N2025" s="8"/>
      <x:c r="O2025" s="2"/>
      <x:c r="P2025" s="2"/>
      <x:c r="Q2025" s="2" t="str">
        <x:v>산업전환_외부사업관리Tool_260707_이너젠 수정_LJY_261013.xlsx</x:v>
      </x:c>
      <x:c r="R2025" s="2" t="str">
        <x:v>국내인증</x:v>
      </x:c>
      <x:c r="S2025" s="8" t="n">
        <x:v>343</x:v>
      </x:c>
      <x:c r="T2025" s="2"/>
      <x:c r="U2025" s="2" t="str"/>
      <x:c r="V2025" s="2" t="str">
        <x:v>2020-10-27</x:v>
      </x:c>
      <x:c r="W2025" s="2" t="str">
        <x:v>신청일 확인 / 담당기관 확인</x:v>
      </x:c>
      <x:c r="X2025" s="2" t="str">
        <x:v>원본·배정 기록 확인</x:v>
      </x:c>
      <x:c r="Y2025" s="2" t="str">
        <x:v>ad210cd9ec132cfd447541c8984dc53d30aff0f4fb2dc92d254d49275cc55976</x:v>
      </x:c>
      <x:c r="Z2025" s="2" t="n">
        <x:f>SUBTOTAL(103,A2025)</x:f>
        <x:v>1</x:v>
      </x:c>
      <x:c r="AA2025" s="2" t="str">
        <x:f>IF(K2025&lt;&gt;"미종결 표시","대상 아님",IF(N2025="","신청일 확인",IF(NOT(ISNUMBER('종합 현황'!$H$5)),"관찰기준 확인",IF('종합 현황'!$H$5&lt;1,"관찰기준 확인",IF(N2025&gt;'종합 현황'!$H$5,"내부 관찰 대상","내부 관찰일 이하")))))</x:f>
        <x:v>대상 아님</x:v>
      </x:c>
      <x:c r="AB2025" s="2"/>
    </x:row>
    <x:row r="2026" ht="42" customHeight="1">
      <x:c r="A2026" s="2" t="str">
        <x:v>2b91a5fca9ef9c4cf62ea899</x:v>
      </x:c>
      <x:c r="B2026" s="2" t="str">
        <x:v>감축량 인증</x:v>
      </x:c>
      <x:c r="C2026" s="2" t="str">
        <x:v>국내</x:v>
      </x:c>
      <x:c r="D2026" s="7" t="str">
        <x:v>정암산업 버너 교체를 통한 연료전환 사업 (콘크리트 파일 생산)</x:v>
      </x:c>
      <x:c r="E2026" s="2" t="str">
        <x:v>266</x:v>
      </x:c>
      <x:c r="F2026" s="2"/>
      <x:c r="G2026" s="2" t="str">
        <x:v>미확보</x:v>
      </x:c>
      <x:c r="H2026" s="2" t="str">
        <x:v>미확보</x:v>
      </x:c>
      <x:c r="I2026" s="2" t="str">
        <x:v>심의승인</x:v>
      </x:c>
      <x:c r="J2026" s="2" t="str">
        <x:v>심의승인</x:v>
      </x:c>
      <x:c r="K2026" s="2" t="str">
        <x:f>IF(OR(J2026="심의승인",J2026="반려",J2026="반려완료",J2026="심의완료"),"종결 표시",IF(OR(J2026="기후부협의",J2026="문서재제출요청",J2026="보류",J2026="보완요청",J2026="보완완료",J2026="평가중",J2026="반려요청",J2026="평가필요",LEFT(J2026,5)="보완요청("),"미종결 표시","상태 확인 필요"))</x:f>
        <x:v>종결 표시</x:v>
      </x:c>
      <x:c r="L2026" s="2"/>
      <x:c r="M2026" s="2"/>
      <x:c r="N2026" s="8"/>
      <x:c r="O2026" s="2"/>
      <x:c r="P2026" s="2"/>
      <x:c r="Q2026" s="2" t="str">
        <x:v>산업전환_외부사업관리Tool_260707_이너젠 수정_LJY_261013.xlsx</x:v>
      </x:c>
      <x:c r="R2026" s="2" t="str">
        <x:v>국내인증</x:v>
      </x:c>
      <x:c r="S2026" s="8" t="n">
        <x:v>344</x:v>
      </x:c>
      <x:c r="T2026" s="2" t="str">
        <x:v>2021년 처리</x:v>
      </x:c>
      <x:c r="U2026" s="2" t="str">
        <x:v>2021 배정: 2021년 처리</x:v>
      </x:c>
      <x:c r="V2026" s="2" t="str">
        <x:v>2021-06-21</x:v>
      </x:c>
      <x:c r="W2026" s="2" t="str">
        <x:v>신청일 확인 / 담당기관 확인</x:v>
      </x:c>
      <x:c r="X2026" s="2" t="str">
        <x:v>원본·배정 기록 확인</x:v>
      </x:c>
      <x:c r="Y2026" s="2" t="str">
        <x:v>ad210cd9ec132cfd447541c8984dc53d30aff0f4fb2dc92d254d49275cc55976</x:v>
      </x:c>
      <x:c r="Z2026" s="2" t="n">
        <x:f>SUBTOTAL(103,A2026)</x:f>
        <x:v>1</x:v>
      </x:c>
      <x:c r="AA2026" s="2" t="str">
        <x:f>IF(K2026&lt;&gt;"미종결 표시","대상 아님",IF(N2026="","신청일 확인",IF(NOT(ISNUMBER('종합 현황'!$H$5)),"관찰기준 확인",IF('종합 현황'!$H$5&lt;1,"관찰기준 확인",IF(N2026&gt;'종합 현황'!$H$5,"내부 관찰 대상","내부 관찰일 이하")))))</x:f>
        <x:v>대상 아님</x:v>
      </x:c>
      <x:c r="AB2026" s="2"/>
    </x:row>
    <x:row r="2027" ht="42" customHeight="1">
      <x:c r="A2027" s="2" t="str">
        <x:v>a3a2778a694e06d4d498b134</x:v>
      </x:c>
      <x:c r="B2027" s="2" t="str">
        <x:v>감축량 인증</x:v>
      </x:c>
      <x:c r="C2027" s="2" t="str">
        <x:v>국내</x:v>
      </x:c>
      <x:c r="D2027" s="7" t="str">
        <x:v>남도금형제2공장 하이브리드형 사출기 일부교체를 통한 설비 성능 개선에 따른 온실가스 감축사업</x:v>
      </x:c>
      <x:c r="E2027" s="2" t="str">
        <x:v>267</x:v>
      </x:c>
      <x:c r="F2027" s="2"/>
      <x:c r="G2027" s="2" t="str">
        <x:v>미확보</x:v>
      </x:c>
      <x:c r="H2027" s="2" t="str">
        <x:v>미확보</x:v>
      </x:c>
      <x:c r="I2027" s="2" t="str">
        <x:v>검토반려</x:v>
      </x:c>
      <x:c r="J2027" s="2" t="str">
        <x:v>반려</x:v>
      </x:c>
      <x:c r="K2027" s="2" t="str">
        <x:f>IF(OR(J2027="심의승인",J2027="반려",J2027="반려완료",J2027="심의완료"),"종결 표시",IF(OR(J2027="기후부협의",J2027="문서재제출요청",J2027="보류",J2027="보완요청",J2027="보완완료",J2027="평가중",J2027="반려요청",J2027="평가필요",LEFT(J2027,5)="보완요청("),"미종결 표시","상태 확인 필요"))</x:f>
        <x:v>종결 표시</x:v>
      </x:c>
      <x:c r="L2027" s="2"/>
      <x:c r="M2027" s="2"/>
      <x:c r="N2027" s="8"/>
      <x:c r="O2027" s="2"/>
      <x:c r="P2027" s="2" t="str">
        <x:v>유선으로 반려의사 확인</x:v>
      </x:c>
      <x:c r="Q2027" s="2" t="str">
        <x:v>산업전환_외부사업관리Tool_260707_이너젠 수정_LJY_261013.xlsx</x:v>
      </x:c>
      <x:c r="R2027" s="2" t="str">
        <x:v>국내인증</x:v>
      </x:c>
      <x:c r="S2027" s="8" t="n">
        <x:v>345</x:v>
      </x:c>
      <x:c r="T2027" s="2" t="str">
        <x:v>2021년 처리</x:v>
      </x:c>
      <x:c r="U2027" s="2" t="str">
        <x:v>2021 배정: 2021년 처리</x:v>
      </x:c>
      <x:c r="V2027" s="2" t="str">
        <x:v>2021-08-12</x:v>
      </x:c>
      <x:c r="W2027" s="2" t="str">
        <x:v>신청일 확인 / 담당기관 확인</x:v>
      </x:c>
      <x:c r="X2027" s="2" t="str">
        <x:v>원본·배정 기록 확인</x:v>
      </x:c>
      <x:c r="Y2027" s="2" t="str">
        <x:v>ad210cd9ec132cfd447541c8984dc53d30aff0f4fb2dc92d254d49275cc55976</x:v>
      </x:c>
      <x:c r="Z2027" s="2" t="n">
        <x:f>SUBTOTAL(103,A2027)</x:f>
        <x:v>1</x:v>
      </x:c>
      <x:c r="AA2027" s="2" t="str">
        <x:f>IF(K2027&lt;&gt;"미종결 표시","대상 아님",IF(N2027="","신청일 확인",IF(NOT(ISNUMBER('종합 현황'!$H$5)),"관찰기준 확인",IF('종합 현황'!$H$5&lt;1,"관찰기준 확인",IF(N2027&gt;'종합 현황'!$H$5,"내부 관찰 대상","내부 관찰일 이하")))))</x:f>
        <x:v>대상 아님</x:v>
      </x:c>
      <x:c r="AB2027" s="2"/>
    </x:row>
    <x:row r="2028" ht="42" customHeight="1">
      <x:c r="A2028" s="2" t="str">
        <x:v>b8404e77b57f1b51ca31d781</x:v>
      </x:c>
      <x:c r="B2028" s="2" t="str">
        <x:v>감축량 인증</x:v>
      </x:c>
      <x:c r="C2028" s="2" t="str">
        <x:v>국내</x:v>
      </x:c>
      <x:c r="D2028" s="7" t="str">
        <x:v>산청토기와 버너교체 연료전환(c9+,LPG → LNG)를 통한 온실가스(CO2) 감축사업</x:v>
      </x:c>
      <x:c r="E2028" s="2" t="str">
        <x:v>268</x:v>
      </x:c>
      <x:c r="F2028" s="2"/>
      <x:c r="G2028" s="2" t="str">
        <x:v>미확보</x:v>
      </x:c>
      <x:c r="H2028" s="2" t="str">
        <x:v>미확보</x:v>
      </x:c>
      <x:c r="I2028" s="2" t="str">
        <x:v>심의승인</x:v>
      </x:c>
      <x:c r="J2028" s="2" t="str">
        <x:v>심의승인</x:v>
      </x:c>
      <x:c r="K2028" s="2" t="str">
        <x:f>IF(OR(J2028="심의승인",J2028="반려",J2028="반려완료",J2028="심의완료"),"종결 표시",IF(OR(J2028="기후부협의",J2028="문서재제출요청",J2028="보류",J2028="보완요청",J2028="보완완료",J2028="평가중",J2028="반려요청",J2028="평가필요",LEFT(J2028,5)="보완요청("),"미종결 표시","상태 확인 필요"))</x:f>
        <x:v>종결 표시</x:v>
      </x:c>
      <x:c r="L2028" s="2"/>
      <x:c r="M2028" s="2"/>
      <x:c r="N2028" s="8"/>
      <x:c r="O2028" s="2"/>
      <x:c r="P2028" s="2"/>
      <x:c r="Q2028" s="2" t="str">
        <x:v>산업전환_외부사업관리Tool_260707_이너젠 수정_LJY_261013.xlsx</x:v>
      </x:c>
      <x:c r="R2028" s="2" t="str">
        <x:v>국내인증</x:v>
      </x:c>
      <x:c r="S2028" s="8" t="n">
        <x:v>346</x:v>
      </x:c>
      <x:c r="T2028" s="2"/>
      <x:c r="U2028" s="2" t="str"/>
      <x:c r="V2028" s="2" t="str">
        <x:v>2020-10-27</x:v>
      </x:c>
      <x:c r="W2028" s="2" t="str">
        <x:v>신청일 확인 / 담당기관 확인</x:v>
      </x:c>
      <x:c r="X2028" s="2" t="str">
        <x:v>원본·배정 기록 확인</x:v>
      </x:c>
      <x:c r="Y2028" s="2" t="str">
        <x:v>ad210cd9ec132cfd447541c8984dc53d30aff0f4fb2dc92d254d49275cc55976</x:v>
      </x:c>
      <x:c r="Z2028" s="2" t="n">
        <x:f>SUBTOTAL(103,A2028)</x:f>
        <x:v>1</x:v>
      </x:c>
      <x:c r="AA2028" s="2" t="str">
        <x:f>IF(K2028&lt;&gt;"미종결 표시","대상 아님",IF(N2028="","신청일 확인",IF(NOT(ISNUMBER('종합 현황'!$H$5)),"관찰기준 확인",IF('종합 현황'!$H$5&lt;1,"관찰기준 확인",IF(N2028&gt;'종합 현황'!$H$5,"내부 관찰 대상","내부 관찰일 이하")))))</x:f>
        <x:v>대상 아님</x:v>
      </x:c>
      <x:c r="AB2028" s="2"/>
    </x:row>
    <x:row r="2029" ht="42" customHeight="1">
      <x:c r="A2029" s="2" t="str">
        <x:v>a7e9463769c2bcb670275086</x:v>
      </x:c>
      <x:c r="B2029" s="2" t="str">
        <x:v>감축량 인증</x:v>
      </x:c>
      <x:c r="C2029" s="2" t="str">
        <x:v>국내</x:v>
      </x:c>
      <x:c r="D2029" s="7" t="str">
        <x:v>(주)뉴덕흥기업 보일러 버너교체를 통한 연료전환(B-C유 → LNG)  온실가스 배출 감축 사업</x:v>
      </x:c>
      <x:c r="E2029" s="2" t="str">
        <x:v>269</x:v>
      </x:c>
      <x:c r="F2029" s="2"/>
      <x:c r="G2029" s="2" t="str">
        <x:v>미확보</x:v>
      </x:c>
      <x:c r="H2029" s="2" t="str">
        <x:v>미확보</x:v>
      </x:c>
      <x:c r="I2029" s="2" t="str">
        <x:v>심의승인</x:v>
      </x:c>
      <x:c r="J2029" s="2" t="str">
        <x:v>심의승인</x:v>
      </x:c>
      <x:c r="K2029" s="2" t="str">
        <x:f>IF(OR(J2029="심의승인",J2029="반려",J2029="반려완료",J2029="심의완료"),"종결 표시",IF(OR(J2029="기후부협의",J2029="문서재제출요청",J2029="보류",J2029="보완요청",J2029="보완완료",J2029="평가중",J2029="반려요청",J2029="평가필요",LEFT(J2029,5)="보완요청("),"미종결 표시","상태 확인 필요"))</x:f>
        <x:v>종결 표시</x:v>
      </x:c>
      <x:c r="L2029" s="2"/>
      <x:c r="M2029" s="2"/>
      <x:c r="N2029" s="8"/>
      <x:c r="O2029" s="2"/>
      <x:c r="P2029" s="2"/>
      <x:c r="Q2029" s="2" t="str">
        <x:v>산업전환_외부사업관리Tool_260707_이너젠 수정_LJY_261013.xlsx</x:v>
      </x:c>
      <x:c r="R2029" s="2" t="str">
        <x:v>국내인증</x:v>
      </x:c>
      <x:c r="S2029" s="8" t="n">
        <x:v>347</x:v>
      </x:c>
      <x:c r="T2029" s="2"/>
      <x:c r="U2029" s="2" t="str"/>
      <x:c r="V2029" s="2" t="str">
        <x:v>2020-10-27</x:v>
      </x:c>
      <x:c r="W2029" s="2" t="str">
        <x:v>신청일 확인 / 담당기관 확인</x:v>
      </x:c>
      <x:c r="X2029" s="2" t="str">
        <x:v>원본·배정 기록 확인</x:v>
      </x:c>
      <x:c r="Y2029" s="2" t="str">
        <x:v>ad210cd9ec132cfd447541c8984dc53d30aff0f4fb2dc92d254d49275cc55976</x:v>
      </x:c>
      <x:c r="Z2029" s="2" t="n">
        <x:f>SUBTOTAL(103,A2029)</x:f>
        <x:v>1</x:v>
      </x:c>
      <x:c r="AA2029" s="2" t="str">
        <x:f>IF(K2029&lt;&gt;"미종결 표시","대상 아님",IF(N2029="","신청일 확인",IF(NOT(ISNUMBER('종합 현황'!$H$5)),"관찰기준 확인",IF('종합 현황'!$H$5&lt;1,"관찰기준 확인",IF(N2029&gt;'종합 현황'!$H$5,"내부 관찰 대상","내부 관찰일 이하")))))</x:f>
        <x:v>대상 아님</x:v>
      </x:c>
      <x:c r="AB2029" s="2"/>
    </x:row>
    <x:row r="2030" ht="42" customHeight="1">
      <x:c r="A2030" s="2" t="str">
        <x:v>9d1cccc66444ddef86234664</x:v>
      </x:c>
      <x:c r="B2030" s="2" t="str">
        <x:v>감축량 인증</x:v>
      </x:c>
      <x:c r="C2030" s="2" t="str">
        <x:v>국내</x:v>
      </x:c>
      <x:c r="D2030" s="7" t="str">
        <x:v>(주)대평의 연료전환 (B-B유 → LNG)에 의한 온실가스(CO2) 배출 감축사업</x:v>
      </x:c>
      <x:c r="E2030" s="2" t="str">
        <x:v>270</x:v>
      </x:c>
      <x:c r="F2030" s="2"/>
      <x:c r="G2030" s="2" t="str">
        <x:v>미확보</x:v>
      </x:c>
      <x:c r="H2030" s="2" t="str">
        <x:v>미확보</x:v>
      </x:c>
      <x:c r="I2030" s="2" t="str">
        <x:v>심의승인</x:v>
      </x:c>
      <x:c r="J2030" s="2" t="str">
        <x:v>심의승인</x:v>
      </x:c>
      <x:c r="K2030" s="2" t="str">
        <x:f>IF(OR(J2030="심의승인",J2030="반려",J2030="반려완료",J2030="심의완료"),"종결 표시",IF(OR(J2030="기후부협의",J2030="문서재제출요청",J2030="보류",J2030="보완요청",J2030="보완완료",J2030="평가중",J2030="반려요청",J2030="평가필요",LEFT(J2030,5)="보완요청("),"미종결 표시","상태 확인 필요"))</x:f>
        <x:v>종결 표시</x:v>
      </x:c>
      <x:c r="L2030" s="2"/>
      <x:c r="M2030" s="2"/>
      <x:c r="N2030" s="8"/>
      <x:c r="O2030" s="2"/>
      <x:c r="P2030" s="2"/>
      <x:c r="Q2030" s="2" t="str">
        <x:v>산업전환_외부사업관리Tool_260707_이너젠 수정_LJY_261013.xlsx</x:v>
      </x:c>
      <x:c r="R2030" s="2" t="str">
        <x:v>국내인증</x:v>
      </x:c>
      <x:c r="S2030" s="8" t="n">
        <x:v>348</x:v>
      </x:c>
      <x:c r="T2030" s="2" t="str">
        <x:v>2021년 처리</x:v>
      </x:c>
      <x:c r="U2030" s="2" t="str">
        <x:v>2021 배정: 2021년 처리</x:v>
      </x:c>
      <x:c r="V2030" s="2" t="str">
        <x:v>2021-06-21</x:v>
      </x:c>
      <x:c r="W2030" s="2" t="str">
        <x:v>신청일 확인 / 담당기관 확인</x:v>
      </x:c>
      <x:c r="X2030" s="2" t="str">
        <x:v>원본·배정 기록 확인</x:v>
      </x:c>
      <x:c r="Y2030" s="2" t="str">
        <x:v>ad210cd9ec132cfd447541c8984dc53d30aff0f4fb2dc92d254d49275cc55976</x:v>
      </x:c>
      <x:c r="Z2030" s="2" t="n">
        <x:f>SUBTOTAL(103,A2030)</x:f>
        <x:v>1</x:v>
      </x:c>
      <x:c r="AA2030" s="2" t="str">
        <x:f>IF(K2030&lt;&gt;"미종결 표시","대상 아님",IF(N2030="","신청일 확인",IF(NOT(ISNUMBER('종합 현황'!$H$5)),"관찰기준 확인",IF('종합 현황'!$H$5&lt;1,"관찰기준 확인",IF(N2030&gt;'종합 현황'!$H$5,"내부 관찰 대상","내부 관찰일 이하")))))</x:f>
        <x:v>대상 아님</x:v>
      </x:c>
      <x:c r="AB2030" s="2"/>
    </x:row>
    <x:row r="2031" ht="42" customHeight="1">
      <x:c r="A2031" s="2" t="str">
        <x:v>99e15584c6d98194c88e371b</x:v>
      </x:c>
      <x:c r="B2031" s="2" t="str">
        <x:v>감축량 인증</x:v>
      </x:c>
      <x:c r="C2031" s="2" t="str">
        <x:v>국내</x:v>
      </x:c>
      <x:c r="D2031" s="7" t="str">
        <x:v>(주)천안의종개발의 폐기물 소각 열을 회수하여 LNG 보일러 생산스팀을 대체하는 온실가스 감축사업</x:v>
      </x:c>
      <x:c r="E2031" s="2" t="str">
        <x:v>271</x:v>
      </x:c>
      <x:c r="F2031" s="2"/>
      <x:c r="G2031" s="2" t="str">
        <x:v>미확보</x:v>
      </x:c>
      <x:c r="H2031" s="2" t="str">
        <x:v>미확보</x:v>
      </x:c>
      <x:c r="I2031" s="2" t="str">
        <x:v>심의승인</x:v>
      </x:c>
      <x:c r="J2031" s="2" t="str">
        <x:v>심의승인</x:v>
      </x:c>
      <x:c r="K2031" s="2" t="str">
        <x:f>IF(OR(J2031="심의승인",J2031="반려",J2031="반려완료",J2031="심의완료"),"종결 표시",IF(OR(J2031="기후부협의",J2031="문서재제출요청",J2031="보류",J2031="보완요청",J2031="보완완료",J2031="평가중",J2031="반려요청",J2031="평가필요",LEFT(J2031,5)="보완요청("),"미종결 표시","상태 확인 필요"))</x:f>
        <x:v>종결 표시</x:v>
      </x:c>
      <x:c r="L2031" s="2"/>
      <x:c r="M2031" s="2"/>
      <x:c r="N2031" s="8"/>
      <x:c r="O2031" s="2"/>
      <x:c r="P2031" s="2"/>
      <x:c r="Q2031" s="2" t="str">
        <x:v>산업전환_외부사업관리Tool_260707_이너젠 수정_LJY_261013.xlsx</x:v>
      </x:c>
      <x:c r="R2031" s="2" t="str">
        <x:v>국내인증</x:v>
      </x:c>
      <x:c r="S2031" s="8" t="n">
        <x:v>349</x:v>
      </x:c>
      <x:c r="T2031" s="2"/>
      <x:c r="U2031" s="2" t="str"/>
      <x:c r="V2031" s="2" t="str">
        <x:v>2020-08-12</x:v>
      </x:c>
      <x:c r="W2031" s="2" t="str">
        <x:v>신청일 확인 / 담당기관 확인</x:v>
      </x:c>
      <x:c r="X2031" s="2" t="str">
        <x:v>원본·배정 기록 확인</x:v>
      </x:c>
      <x:c r="Y2031" s="2" t="str">
        <x:v>ad210cd9ec132cfd447541c8984dc53d30aff0f4fb2dc92d254d49275cc55976</x:v>
      </x:c>
      <x:c r="Z2031" s="2" t="n">
        <x:f>SUBTOTAL(103,A2031)</x:f>
        <x:v>1</x:v>
      </x:c>
      <x:c r="AA2031" s="2" t="str">
        <x:f>IF(K2031&lt;&gt;"미종결 표시","대상 아님",IF(N2031="","신청일 확인",IF(NOT(ISNUMBER('종합 현황'!$H$5)),"관찰기준 확인",IF('종합 현황'!$H$5&lt;1,"관찰기준 확인",IF(N2031&gt;'종합 현황'!$H$5,"내부 관찰 대상","내부 관찰일 이하")))))</x:f>
        <x:v>대상 아님</x:v>
      </x:c>
      <x:c r="AB2031" s="2"/>
    </x:row>
    <x:row r="2032" ht="42" customHeight="1">
      <x:c r="A2032" s="2" t="str">
        <x:v>861e6b8b74ee6aa6424cfd48</x:v>
      </x:c>
      <x:c r="B2032" s="2" t="str">
        <x:v>감축량 인증</x:v>
      </x:c>
      <x:c r="C2032" s="2" t="str">
        <x:v>국내</x:v>
      </x:c>
      <x:c r="D2032" s="7" t="str">
        <x:v>휴켐스 질산공장 N2O 감축사업(휴켐스 주식회사의 질산 공장 세 곳에서 tail gas에 포함된 아산화질소를 촉매를 사용하여 제거하는 프로젝트)</x:v>
      </x:c>
      <x:c r="E2032" s="2" t="str">
        <x:v>272</x:v>
      </x:c>
      <x:c r="F2032" s="2"/>
      <x:c r="G2032" s="2" t="str">
        <x:v>미확보</x:v>
      </x:c>
      <x:c r="H2032" s="2" t="str">
        <x:v>미확보</x:v>
      </x:c>
      <x:c r="I2032" s="2" t="str">
        <x:v>심의승인</x:v>
      </x:c>
      <x:c r="J2032" s="2" t="str">
        <x:v>심의승인</x:v>
      </x:c>
      <x:c r="K2032" s="2" t="str">
        <x:f>IF(OR(J2032="심의승인",J2032="반려",J2032="반려완료",J2032="심의완료"),"종결 표시",IF(OR(J2032="기후부협의",J2032="문서재제출요청",J2032="보류",J2032="보완요청",J2032="보완완료",J2032="평가중",J2032="반려요청",J2032="평가필요",LEFT(J2032,5)="보완요청("),"미종결 표시","상태 확인 필요"))</x:f>
        <x:v>종결 표시</x:v>
      </x:c>
      <x:c r="L2032" s="2"/>
      <x:c r="M2032" s="2"/>
      <x:c r="N2032" s="8"/>
      <x:c r="O2032" s="2"/>
      <x:c r="P2032" s="2"/>
      <x:c r="Q2032" s="2" t="str">
        <x:v>산업전환_외부사업관리Tool_260707_이너젠 수정_LJY_261013.xlsx</x:v>
      </x:c>
      <x:c r="R2032" s="2" t="str">
        <x:v>국내인증</x:v>
      </x:c>
      <x:c r="S2032" s="8" t="n">
        <x:v>350</x:v>
      </x:c>
      <x:c r="T2032" s="2"/>
      <x:c r="U2032" s="2" t="str"/>
      <x:c r="V2032" s="2" t="str">
        <x:v>2020-03-02</x:v>
      </x:c>
      <x:c r="W2032" s="2" t="str">
        <x:v>신청일 확인 / 담당기관 확인</x:v>
      </x:c>
      <x:c r="X2032" s="2" t="str">
        <x:v>원본·배정 기록 확인</x:v>
      </x:c>
      <x:c r="Y2032" s="2" t="str">
        <x:v>ad210cd9ec132cfd447541c8984dc53d30aff0f4fb2dc92d254d49275cc55976</x:v>
      </x:c>
      <x:c r="Z2032" s="2" t="n">
        <x:f>SUBTOTAL(103,A2032)</x:f>
        <x:v>1</x:v>
      </x:c>
      <x:c r="AA2032" s="2" t="str">
        <x:f>IF(K2032&lt;&gt;"미종결 표시","대상 아님",IF(N2032="","신청일 확인",IF(NOT(ISNUMBER('종합 현황'!$H$5)),"관찰기준 확인",IF('종합 현황'!$H$5&lt;1,"관찰기준 확인",IF(N2032&gt;'종합 현황'!$H$5,"내부 관찰 대상","내부 관찰일 이하")))))</x:f>
        <x:v>대상 아님</x:v>
      </x:c>
      <x:c r="AB2032" s="2"/>
    </x:row>
    <x:row r="2033" ht="42" customHeight="1">
      <x:c r="A2033" s="2" t="str">
        <x:v>be489a846f7800abdfef66cd</x:v>
      </x:c>
      <x:c r="B2033" s="2" t="str">
        <x:v>감축량 인증</x:v>
      </x:c>
      <x:c r="C2033" s="2" t="str">
        <x:v>국내</x:v>
      </x:c>
      <x:c r="D2033" s="7" t="str">
        <x:v>휴켐스(주) 신설 5질산에서 발생하는 아산화질소 배출량 저감사업</x:v>
      </x:c>
      <x:c r="E2033" s="2" t="str">
        <x:v>273</x:v>
      </x:c>
      <x:c r="F2033" s="2"/>
      <x:c r="G2033" s="2" t="str">
        <x:v>미확보</x:v>
      </x:c>
      <x:c r="H2033" s="2" t="str">
        <x:v>미확보</x:v>
      </x:c>
      <x:c r="I2033" s="2" t="str">
        <x:v>심의승인</x:v>
      </x:c>
      <x:c r="J2033" s="2" t="str">
        <x:v>심의승인</x:v>
      </x:c>
      <x:c r="K2033" s="2" t="str">
        <x:f>IF(OR(J2033="심의승인",J2033="반려",J2033="반려완료",J2033="심의완료"),"종결 표시",IF(OR(J2033="기후부협의",J2033="문서재제출요청",J2033="보류",J2033="보완요청",J2033="보완완료",J2033="평가중",J2033="반려요청",J2033="평가필요",LEFT(J2033,5)="보완요청("),"미종결 표시","상태 확인 필요"))</x:f>
        <x:v>종결 표시</x:v>
      </x:c>
      <x:c r="L2033" s="2"/>
      <x:c r="M2033" s="2"/>
      <x:c r="N2033" s="8"/>
      <x:c r="O2033" s="2"/>
      <x:c r="P2033" s="2"/>
      <x:c r="Q2033" s="2" t="str">
        <x:v>산업전환_외부사업관리Tool_260707_이너젠 수정_LJY_261013.xlsx</x:v>
      </x:c>
      <x:c r="R2033" s="2" t="str">
        <x:v>국내인증</x:v>
      </x:c>
      <x:c r="S2033" s="8" t="n">
        <x:v>351</x:v>
      </x:c>
      <x:c r="T2033" s="2"/>
      <x:c r="U2033" s="2" t="str"/>
      <x:c r="V2033" s="2" t="str">
        <x:v>2020-03-02</x:v>
      </x:c>
      <x:c r="W2033" s="2" t="str">
        <x:v>신청일 확인 / 담당기관 확인</x:v>
      </x:c>
      <x:c r="X2033" s="2" t="str">
        <x:v>원본·배정 기록 확인</x:v>
      </x:c>
      <x:c r="Y2033" s="2" t="str">
        <x:v>ad210cd9ec132cfd447541c8984dc53d30aff0f4fb2dc92d254d49275cc55976</x:v>
      </x:c>
      <x:c r="Z2033" s="2" t="n">
        <x:f>SUBTOTAL(103,A2033)</x:f>
        <x:v>1</x:v>
      </x:c>
      <x:c r="AA2033" s="2" t="str">
        <x:f>IF(K2033&lt;&gt;"미종결 표시","대상 아님",IF(N2033="","신청일 확인",IF(NOT(ISNUMBER('종합 현황'!$H$5)),"관찰기준 확인",IF('종합 현황'!$H$5&lt;1,"관찰기준 확인",IF(N2033&gt;'종합 현황'!$H$5,"내부 관찰 대상","내부 관찰일 이하")))))</x:f>
        <x:v>대상 아님</x:v>
      </x:c>
      <x:c r="AB2033" s="2"/>
    </x:row>
    <x:row r="2034" ht="42" customHeight="1">
      <x:c r="A2034" s="2" t="str">
        <x:v>188c5867f74b705b6ad3e4f2</x:v>
      </x:c>
      <x:c r="B2034" s="2" t="str">
        <x:v>감축량 인증</x:v>
      </x:c>
      <x:c r="C2034" s="2" t="str">
        <x:v>국내</x:v>
      </x:c>
      <x:c r="D2034" s="7" t="str">
        <x:v>케이티세라믹 예산사업장 소성로 및 드라이어의 연료교체(LPG-LNG)을 통한 온실가스 배출 감축사업</x:v>
      </x:c>
      <x:c r="E2034" s="2" t="str">
        <x:v>274</x:v>
      </x:c>
      <x:c r="F2034" s="2"/>
      <x:c r="G2034" s="2" t="str">
        <x:v>미확보</x:v>
      </x:c>
      <x:c r="H2034" s="2" t="str">
        <x:v>미확보</x:v>
      </x:c>
      <x:c r="I2034" s="2" t="str">
        <x:v>심의승인</x:v>
      </x:c>
      <x:c r="J2034" s="2" t="str">
        <x:v>심의승인</x:v>
      </x:c>
      <x:c r="K2034" s="2" t="str">
        <x:f>IF(OR(J2034="심의승인",J2034="반려",J2034="반려완료",J2034="심의완료"),"종결 표시",IF(OR(J2034="기후부협의",J2034="문서재제출요청",J2034="보류",J2034="보완요청",J2034="보완완료",J2034="평가중",J2034="반려요청",J2034="평가필요",LEFT(J2034,5)="보완요청("),"미종결 표시","상태 확인 필요"))</x:f>
        <x:v>종결 표시</x:v>
      </x:c>
      <x:c r="L2034" s="2"/>
      <x:c r="M2034" s="2"/>
      <x:c r="N2034" s="8"/>
      <x:c r="O2034" s="2"/>
      <x:c r="P2034" s="2"/>
      <x:c r="Q2034" s="2" t="str">
        <x:v>산업전환_외부사업관리Tool_260707_이너젠 수정_LJY_261013.xlsx</x:v>
      </x:c>
      <x:c r="R2034" s="2" t="str">
        <x:v>국내인증</x:v>
      </x:c>
      <x:c r="S2034" s="8" t="n">
        <x:v>352</x:v>
      </x:c>
      <x:c r="T2034" s="2" t="str">
        <x:v>(4/23),(11/2)</x:v>
      </x:c>
      <x:c r="U2034" s="2" t="str">
        <x:v>2021 배정: (4/23),(11/2) / 2022 배정: (4/19)</x:v>
      </x:c>
      <x:c r="V2034" s="2" t="str">
        <x:v>2022-07-14</x:v>
      </x:c>
      <x:c r="W2034" s="2" t="str">
        <x:v>신청일 확인 / 담당기관 확인</x:v>
      </x:c>
      <x:c r="X2034" s="2" t="str">
        <x:v>원본·배정 기록 확인</x:v>
      </x:c>
      <x:c r="Y2034" s="2" t="str">
        <x:v>ad210cd9ec132cfd447541c8984dc53d30aff0f4fb2dc92d254d49275cc55976</x:v>
      </x:c>
      <x:c r="Z2034" s="2" t="n">
        <x:f>SUBTOTAL(103,A2034)</x:f>
        <x:v>1</x:v>
      </x:c>
      <x:c r="AA2034" s="2" t="str">
        <x:f>IF(K2034&lt;&gt;"미종결 표시","대상 아님",IF(N2034="","신청일 확인",IF(NOT(ISNUMBER('종합 현황'!$H$5)),"관찰기준 확인",IF('종합 현황'!$H$5&lt;1,"관찰기준 확인",IF(N2034&gt;'종합 현황'!$H$5,"내부 관찰 대상","내부 관찰일 이하")))))</x:f>
        <x:v>대상 아님</x:v>
      </x:c>
      <x:c r="AB2034" s="2"/>
    </x:row>
    <x:row r="2035" ht="42" customHeight="1">
      <x:c r="A2035" s="2" t="str">
        <x:v>cc7957c41e931db9dd03078e</x:v>
      </x:c>
      <x:c r="B2035" s="2" t="str">
        <x:v>감축량 인증</x:v>
      </x:c>
      <x:c r="C2035" s="2" t="str">
        <x:v>국내</x:v>
      </x:c>
      <x:c r="D2035" s="7" t="str">
        <x:v>(주)삼오텍 하이브리드형 사출기 교체를 통한 설비 성능개선에 따른 온실가스 감축사업</x:v>
      </x:c>
      <x:c r="E2035" s="2" t="str">
        <x:v>275</x:v>
      </x:c>
      <x:c r="F2035" s="2"/>
      <x:c r="G2035" s="2" t="str">
        <x:v>미확보</x:v>
      </x:c>
      <x:c r="H2035" s="2" t="str">
        <x:v>미확보</x:v>
      </x:c>
      <x:c r="I2035" s="2" t="str">
        <x:v>심의승인</x:v>
      </x:c>
      <x:c r="J2035" s="2" t="str">
        <x:v>심의승인</x:v>
      </x:c>
      <x:c r="K2035" s="2" t="str">
        <x:f>IF(OR(J2035="심의승인",J2035="반려",J2035="반려완료",J2035="심의완료"),"종결 표시",IF(OR(J2035="기후부협의",J2035="문서재제출요청",J2035="보류",J2035="보완요청",J2035="보완완료",J2035="평가중",J2035="반려요청",J2035="평가필요",LEFT(J2035,5)="보완요청("),"미종결 표시","상태 확인 필요"))</x:f>
        <x:v>종결 표시</x:v>
      </x:c>
      <x:c r="L2035" s="2"/>
      <x:c r="M2035" s="2"/>
      <x:c r="N2035" s="8"/>
      <x:c r="O2035" s="2"/>
      <x:c r="P2035" s="2"/>
      <x:c r="Q2035" s="2" t="str">
        <x:v>산업전환_외부사업관리Tool_260707_이너젠 수정_LJY_261013.xlsx</x:v>
      </x:c>
      <x:c r="R2035" s="2" t="str">
        <x:v>국내인증</x:v>
      </x:c>
      <x:c r="S2035" s="8" t="n">
        <x:v>353</x:v>
      </x:c>
      <x:c r="T2035" s="2"/>
      <x:c r="U2035" s="2" t="str"/>
      <x:c r="V2035" s="2" t="str">
        <x:v>2020-10-27</x:v>
      </x:c>
      <x:c r="W2035" s="2" t="str">
        <x:v>신청일 확인 / 담당기관 확인</x:v>
      </x:c>
      <x:c r="X2035" s="2" t="str">
        <x:v>원본·배정 기록 확인</x:v>
      </x:c>
      <x:c r="Y2035" s="2" t="str">
        <x:v>ad210cd9ec132cfd447541c8984dc53d30aff0f4fb2dc92d254d49275cc55976</x:v>
      </x:c>
      <x:c r="Z2035" s="2" t="n">
        <x:f>SUBTOTAL(103,A2035)</x:f>
        <x:v>1</x:v>
      </x:c>
      <x:c r="AA2035" s="2" t="str">
        <x:f>IF(K2035&lt;&gt;"미종결 표시","대상 아님",IF(N2035="","신청일 확인",IF(NOT(ISNUMBER('종합 현황'!$H$5)),"관찰기준 확인",IF('종합 현황'!$H$5&lt;1,"관찰기준 확인",IF(N2035&gt;'종합 현황'!$H$5,"내부 관찰 대상","내부 관찰일 이하")))))</x:f>
        <x:v>대상 아님</x:v>
      </x:c>
      <x:c r="AB2035" s="2"/>
    </x:row>
    <x:row r="2036" ht="42" customHeight="1">
      <x:c r="A2036" s="2" t="str">
        <x:v>35be3b7c54f42de5c4934a5e</x:v>
      </x:c>
      <x:c r="B2036" s="2" t="str">
        <x:v>감축량 인증</x:v>
      </x:c>
      <x:c r="C2036" s="2" t="str">
        <x:v>국내</x:v>
      </x:c>
      <x:c r="D2036" s="7" t="str">
        <x:v>홍창엠앤티 진천공장 목재펠릿 연료전환을 통한 온실가스 감축사업(부생연료유 2호→목재펠릿)</x:v>
      </x:c>
      <x:c r="E2036" s="2" t="str">
        <x:v>276</x:v>
      </x:c>
      <x:c r="F2036" s="2"/>
      <x:c r="G2036" s="2" t="str">
        <x:v>미확보</x:v>
      </x:c>
      <x:c r="H2036" s="2" t="str">
        <x:v>미확보</x:v>
      </x:c>
      <x:c r="I2036" s="2" t="str">
        <x:v>심의승인</x:v>
      </x:c>
      <x:c r="J2036" s="2" t="str">
        <x:v>심의승인</x:v>
      </x:c>
      <x:c r="K2036" s="2" t="str">
        <x:f>IF(OR(J2036="심의승인",J2036="반려",J2036="반려완료",J2036="심의완료"),"종결 표시",IF(OR(J2036="기후부협의",J2036="문서재제출요청",J2036="보류",J2036="보완요청",J2036="보완완료",J2036="평가중",J2036="반려요청",J2036="평가필요",LEFT(J2036,5)="보완요청("),"미종결 표시","상태 확인 필요"))</x:f>
        <x:v>종결 표시</x:v>
      </x:c>
      <x:c r="L2036" s="2"/>
      <x:c r="M2036" s="2"/>
      <x:c r="N2036" s="8"/>
      <x:c r="O2036" s="2"/>
      <x:c r="P2036" s="2"/>
      <x:c r="Q2036" s="2" t="str">
        <x:v>산업전환_외부사업관리Tool_260707_이너젠 수정_LJY_261013.xlsx</x:v>
      </x:c>
      <x:c r="R2036" s="2" t="str">
        <x:v>국내인증</x:v>
      </x:c>
      <x:c r="S2036" s="8" t="n">
        <x:v>354</x:v>
      </x:c>
      <x:c r="T2036" s="2" t="str">
        <x:v>2021년 처리</x:v>
      </x:c>
      <x:c r="U2036" s="2" t="str">
        <x:v>2021 배정: 2021년 처리</x:v>
      </x:c>
      <x:c r="V2036" s="2" t="str">
        <x:v>2021-06-21</x:v>
      </x:c>
      <x:c r="W2036" s="2" t="str">
        <x:v>신청일 확인 / 담당기관 확인</x:v>
      </x:c>
      <x:c r="X2036" s="2" t="str">
        <x:v>원본·배정 기록 확인</x:v>
      </x:c>
      <x:c r="Y2036" s="2" t="str">
        <x:v>ad210cd9ec132cfd447541c8984dc53d30aff0f4fb2dc92d254d49275cc55976</x:v>
      </x:c>
      <x:c r="Z2036" s="2" t="n">
        <x:f>SUBTOTAL(103,A2036)</x:f>
        <x:v>1</x:v>
      </x:c>
      <x:c r="AA2036" s="2" t="str">
        <x:f>IF(K2036&lt;&gt;"미종결 표시","대상 아님",IF(N2036="","신청일 확인",IF(NOT(ISNUMBER('종합 현황'!$H$5)),"관찰기준 확인",IF('종합 현황'!$H$5&lt;1,"관찰기준 확인",IF(N2036&gt;'종합 현황'!$H$5,"내부 관찰 대상","내부 관찰일 이하")))))</x:f>
        <x:v>대상 아님</x:v>
      </x:c>
      <x:c r="AB2036" s="2"/>
    </x:row>
    <x:row r="2037" ht="42" customHeight="1">
      <x:c r="A2037" s="2" t="str">
        <x:v>352ee2e3512d40a2ce93336c</x:v>
      </x:c>
      <x:c r="B2037" s="2" t="str">
        <x:v>감축량 인증</x:v>
      </x:c>
      <x:c r="C2037" s="2" t="str">
        <x:v>국내</x:v>
      </x:c>
      <x:c r="D2037" s="7" t="str">
        <x:v>(주)한맥전자 하이브리드형 사출기 교체를 통한 설비 성능 개선에 따른 온실가스 감축사업</x:v>
      </x:c>
      <x:c r="E2037" s="2" t="str">
        <x:v>277</x:v>
      </x:c>
      <x:c r="F2037" s="2"/>
      <x:c r="G2037" s="2" t="str">
        <x:v>미확보</x:v>
      </x:c>
      <x:c r="H2037" s="2" t="str">
        <x:v>미확보</x:v>
      </x:c>
      <x:c r="I2037" s="2" t="str">
        <x:v>심의승인</x:v>
      </x:c>
      <x:c r="J2037" s="2" t="str">
        <x:v>심의승인</x:v>
      </x:c>
      <x:c r="K2037" s="2" t="str">
        <x:f>IF(OR(J2037="심의승인",J2037="반려",J2037="반려완료",J2037="심의완료"),"종결 표시",IF(OR(J2037="기후부협의",J2037="문서재제출요청",J2037="보류",J2037="보완요청",J2037="보완완료",J2037="평가중",J2037="반려요청",J2037="평가필요",LEFT(J2037,5)="보완요청("),"미종결 표시","상태 확인 필요"))</x:f>
        <x:v>종결 표시</x:v>
      </x:c>
      <x:c r="L2037" s="2"/>
      <x:c r="M2037" s="2"/>
      <x:c r="N2037" s="8"/>
      <x:c r="O2037" s="2"/>
      <x:c r="P2037" s="2"/>
      <x:c r="Q2037" s="2" t="str">
        <x:v>산업전환_외부사업관리Tool_260707_이너젠 수정_LJY_261013.xlsx</x:v>
      </x:c>
      <x:c r="R2037" s="2" t="str">
        <x:v>국내인증</x:v>
      </x:c>
      <x:c r="S2037" s="8" t="n">
        <x:v>355</x:v>
      </x:c>
      <x:c r="T2037" s="2"/>
      <x:c r="U2037" s="2" t="str"/>
      <x:c r="V2037" s="2" t="str">
        <x:v>2020-08-12</x:v>
      </x:c>
      <x:c r="W2037" s="2" t="str">
        <x:v>신청일 확인 / 담당기관 확인</x:v>
      </x:c>
      <x:c r="X2037" s="2" t="str">
        <x:v>원본·배정 기록 확인</x:v>
      </x:c>
      <x:c r="Y2037" s="2" t="str">
        <x:v>ad210cd9ec132cfd447541c8984dc53d30aff0f4fb2dc92d254d49275cc55976</x:v>
      </x:c>
      <x:c r="Z2037" s="2" t="n">
        <x:f>SUBTOTAL(103,A2037)</x:f>
        <x:v>1</x:v>
      </x:c>
      <x:c r="AA2037" s="2" t="str">
        <x:f>IF(K2037&lt;&gt;"미종결 표시","대상 아님",IF(N2037="","신청일 확인",IF(NOT(ISNUMBER('종합 현황'!$H$5)),"관찰기준 확인",IF('종합 현황'!$H$5&lt;1,"관찰기준 확인",IF(N2037&gt;'종합 현황'!$H$5,"내부 관찰 대상","내부 관찰일 이하")))))</x:f>
        <x:v>대상 아님</x:v>
      </x:c>
      <x:c r="AB2037" s="2"/>
    </x:row>
    <x:row r="2038" ht="42" customHeight="1">
      <x:c r="A2038" s="2" t="str">
        <x:v>db6f6090bfdaf593e85cae18</x:v>
      </x:c>
      <x:c r="B2038" s="2" t="str">
        <x:v>감축량 인증</x:v>
      </x:c>
      <x:c r="C2038" s="2" t="str">
        <x:v>국내</x:v>
      </x:c>
      <x:c r="D2038" s="7" t="str">
        <x:v>다윈섬유의 스팀보일러 등의 연료교체를 통한 온실가스 감축사업</x:v>
      </x:c>
      <x:c r="E2038" s="2" t="str">
        <x:v>278</x:v>
      </x:c>
      <x:c r="F2038" s="2"/>
      <x:c r="G2038" s="2" t="str">
        <x:v>미확보</x:v>
      </x:c>
      <x:c r="H2038" s="2" t="str">
        <x:v>미확보</x:v>
      </x:c>
      <x:c r="I2038" s="2" t="str">
        <x:v>심의승인</x:v>
      </x:c>
      <x:c r="J2038" s="2" t="str">
        <x:v>심의승인</x:v>
      </x:c>
      <x:c r="K2038" s="2" t="str">
        <x:f>IF(OR(J2038="심의승인",J2038="반려",J2038="반려완료",J2038="심의완료"),"종결 표시",IF(OR(J2038="기후부협의",J2038="문서재제출요청",J2038="보류",J2038="보완요청",J2038="보완완료",J2038="평가중",J2038="반려요청",J2038="평가필요",LEFT(J2038,5)="보완요청("),"미종결 표시","상태 확인 필요"))</x:f>
        <x:v>종결 표시</x:v>
      </x:c>
      <x:c r="L2038" s="2"/>
      <x:c r="M2038" s="2"/>
      <x:c r="N2038" s="8"/>
      <x:c r="O2038" s="2"/>
      <x:c r="P2038" s="2"/>
      <x:c r="Q2038" s="2" t="str">
        <x:v>산업전환_외부사업관리Tool_260707_이너젠 수정_LJY_261013.xlsx</x:v>
      </x:c>
      <x:c r="R2038" s="2" t="str">
        <x:v>국내인증</x:v>
      </x:c>
      <x:c r="S2038" s="8" t="n">
        <x:v>356</x:v>
      </x:c>
      <x:c r="T2038" s="2"/>
      <x:c r="U2038" s="2" t="str"/>
      <x:c r="V2038" s="2" t="str">
        <x:v>2020-06-11</x:v>
      </x:c>
      <x:c r="W2038" s="2" t="str">
        <x:v>신청일 확인 / 담당기관 확인</x:v>
      </x:c>
      <x:c r="X2038" s="2" t="str">
        <x:v>원본·배정 기록 확인</x:v>
      </x:c>
      <x:c r="Y2038" s="2" t="str">
        <x:v>ad210cd9ec132cfd447541c8984dc53d30aff0f4fb2dc92d254d49275cc55976</x:v>
      </x:c>
      <x:c r="Z2038" s="2" t="n">
        <x:f>SUBTOTAL(103,A2038)</x:f>
        <x:v>1</x:v>
      </x:c>
      <x:c r="AA2038" s="2" t="str">
        <x:f>IF(K2038&lt;&gt;"미종결 표시","대상 아님",IF(N2038="","신청일 확인",IF(NOT(ISNUMBER('종합 현황'!$H$5)),"관찰기준 확인",IF('종합 현황'!$H$5&lt;1,"관찰기준 확인",IF(N2038&gt;'종합 현황'!$H$5,"내부 관찰 대상","내부 관찰일 이하")))))</x:f>
        <x:v>대상 아님</x:v>
      </x:c>
      <x:c r="AB2038" s="2"/>
    </x:row>
    <x:row r="2039" ht="42" customHeight="1">
      <x:c r="A2039" s="2" t="str">
        <x:v>1fb7dbcd3712c87dcc051914</x:v>
      </x:c>
      <x:c r="B2039" s="2" t="str">
        <x:v>감축량 인증</x:v>
      </x:c>
      <x:c r="C2039" s="2" t="str">
        <x:v>국내</x:v>
      </x:c>
      <x:c r="D2039" s="7" t="str">
        <x:v>국순당 횡성공장의 보일러 연료전환 (감압정제유 → LNG)을 통한 온실가스(CO2) 배출 감축사업</x:v>
      </x:c>
      <x:c r="E2039" s="2" t="str">
        <x:v>279</x:v>
      </x:c>
      <x:c r="F2039" s="2"/>
      <x:c r="G2039" s="2" t="str">
        <x:v>미확보</x:v>
      </x:c>
      <x:c r="H2039" s="2" t="str">
        <x:v>미확보</x:v>
      </x:c>
      <x:c r="I2039" s="2" t="str">
        <x:v>심의승인</x:v>
      </x:c>
      <x:c r="J2039" s="2" t="str">
        <x:v>심의승인</x:v>
      </x:c>
      <x:c r="K2039" s="2" t="str">
        <x:f>IF(OR(J2039="심의승인",J2039="반려",J2039="반려완료",J2039="심의완료"),"종결 표시",IF(OR(J2039="기후부협의",J2039="문서재제출요청",J2039="보류",J2039="보완요청",J2039="보완완료",J2039="평가중",J2039="반려요청",J2039="평가필요",LEFT(J2039,5)="보완요청("),"미종결 표시","상태 확인 필요"))</x:f>
        <x:v>종결 표시</x:v>
      </x:c>
      <x:c r="L2039" s="2"/>
      <x:c r="M2039" s="2"/>
      <x:c r="N2039" s="8"/>
      <x:c r="O2039" s="2"/>
      <x:c r="P2039" s="2"/>
      <x:c r="Q2039" s="2" t="str">
        <x:v>산업전환_외부사업관리Tool_260707_이너젠 수정_LJY_261013.xlsx</x:v>
      </x:c>
      <x:c r="R2039" s="2" t="str">
        <x:v>국내인증</x:v>
      </x:c>
      <x:c r="S2039" s="8" t="n">
        <x:v>357</x:v>
      </x:c>
      <x:c r="T2039" s="2" t="str">
        <x:v>(4/23),(6/28)</x:v>
      </x:c>
      <x:c r="U2039" s="2" t="str">
        <x:v>2021 배정: (4/23),(6/28)</x:v>
      </x:c>
      <x:c r="V2039" s="2" t="str">
        <x:v>2022-01-17</x:v>
      </x:c>
      <x:c r="W2039" s="2" t="str">
        <x:v>신청일 확인 / 담당기관 확인</x:v>
      </x:c>
      <x:c r="X2039" s="2" t="str">
        <x:v>원본·배정 기록 확인</x:v>
      </x:c>
      <x:c r="Y2039" s="2" t="str">
        <x:v>ad210cd9ec132cfd447541c8984dc53d30aff0f4fb2dc92d254d49275cc55976</x:v>
      </x:c>
      <x:c r="Z2039" s="2" t="n">
        <x:f>SUBTOTAL(103,A2039)</x:f>
        <x:v>1</x:v>
      </x:c>
      <x:c r="AA2039" s="2" t="str">
        <x:f>IF(K2039&lt;&gt;"미종결 표시","대상 아님",IF(N2039="","신청일 확인",IF(NOT(ISNUMBER('종합 현황'!$H$5)),"관찰기준 확인",IF('종합 현황'!$H$5&lt;1,"관찰기준 확인",IF(N2039&gt;'종합 현황'!$H$5,"내부 관찰 대상","내부 관찰일 이하")))))</x:f>
        <x:v>대상 아님</x:v>
      </x:c>
      <x:c r="AB2039" s="2"/>
    </x:row>
    <x:row r="2040" ht="42" customHeight="1">
      <x:c r="A2040" s="2" t="str">
        <x:v>2fa7a72b6ccd92a2ef0295cb</x:v>
      </x:c>
      <x:c r="B2040" s="2" t="str">
        <x:v>감축량 인증</x:v>
      </x:c>
      <x:c r="C2040" s="2" t="str">
        <x:v>국내</x:v>
      </x:c>
      <x:c r="D2040" s="7" t="str">
        <x:v>광일케미스틸 스팀보일러 연료교체(B-C유→LNG)를 통한 온실가스(CO2)배출 감축사업</x:v>
      </x:c>
      <x:c r="E2040" s="2" t="str">
        <x:v>280</x:v>
      </x:c>
      <x:c r="F2040" s="2"/>
      <x:c r="G2040" s="2" t="str">
        <x:v>미확보</x:v>
      </x:c>
      <x:c r="H2040" s="2" t="str">
        <x:v>미확보</x:v>
      </x:c>
      <x:c r="I2040" s="2" t="str">
        <x:v>심의승인</x:v>
      </x:c>
      <x:c r="J2040" s="2" t="str">
        <x:v>심의승인</x:v>
      </x:c>
      <x:c r="K2040" s="2" t="str">
        <x:f>IF(OR(J2040="심의승인",J2040="반려",J2040="반려완료",J2040="심의완료"),"종결 표시",IF(OR(J2040="기후부협의",J2040="문서재제출요청",J2040="보류",J2040="보완요청",J2040="보완완료",J2040="평가중",J2040="반려요청",J2040="평가필요",LEFT(J2040,5)="보완요청("),"미종결 표시","상태 확인 필요"))</x:f>
        <x:v>종결 표시</x:v>
      </x:c>
      <x:c r="L2040" s="2"/>
      <x:c r="M2040" s="2"/>
      <x:c r="N2040" s="8"/>
      <x:c r="O2040" s="2"/>
      <x:c r="P2040" s="2"/>
      <x:c r="Q2040" s="2" t="str">
        <x:v>산업전환_외부사업관리Tool_260707_이너젠 수정_LJY_261013.xlsx</x:v>
      </x:c>
      <x:c r="R2040" s="2" t="str">
        <x:v>국내인증</x:v>
      </x:c>
      <x:c r="S2040" s="8" t="n">
        <x:v>358</x:v>
      </x:c>
      <x:c r="T2040" s="2"/>
      <x:c r="U2040" s="2" t="str"/>
      <x:c r="V2040" s="2" t="str">
        <x:v>2020-08-12</x:v>
      </x:c>
      <x:c r="W2040" s="2" t="str">
        <x:v>신청일 확인 / 담당기관 확인</x:v>
      </x:c>
      <x:c r="X2040" s="2" t="str">
        <x:v>원본·배정 기록 확인</x:v>
      </x:c>
      <x:c r="Y2040" s="2" t="str">
        <x:v>ad210cd9ec132cfd447541c8984dc53d30aff0f4fb2dc92d254d49275cc55976</x:v>
      </x:c>
      <x:c r="Z2040" s="2" t="n">
        <x:f>SUBTOTAL(103,A2040)</x:f>
        <x:v>1</x:v>
      </x:c>
      <x:c r="AA2040" s="2" t="str">
        <x:f>IF(K2040&lt;&gt;"미종결 표시","대상 아님",IF(N2040="","신청일 확인",IF(NOT(ISNUMBER('종합 현황'!$H$5)),"관찰기준 확인",IF('종합 현황'!$H$5&lt;1,"관찰기준 확인",IF(N2040&gt;'종합 현황'!$H$5,"내부 관찰 대상","내부 관찰일 이하")))))</x:f>
        <x:v>대상 아님</x:v>
      </x:c>
      <x:c r="AB2040" s="2"/>
    </x:row>
    <x:row r="2041" ht="42" customHeight="1">
      <x:c r="A2041" s="2" t="str">
        <x:v>e896267caea7b1c8c742f957</x:v>
      </x:c>
      <x:c r="B2041" s="2" t="str">
        <x:v>감축량 인증</x:v>
      </x:c>
      <x:c r="C2041" s="2" t="str">
        <x:v>국내</x:v>
      </x:c>
      <x:c r="D2041" s="7" t="str">
        <x:v>고려테크주식회사 순산소 버너 도입을 통한 온실가스(CO2) 감축사업</x:v>
      </x:c>
      <x:c r="E2041" s="2" t="str">
        <x:v>281</x:v>
      </x:c>
      <x:c r="F2041" s="2"/>
      <x:c r="G2041" s="2" t="str">
        <x:v>미확보</x:v>
      </x:c>
      <x:c r="H2041" s="2" t="str">
        <x:v>미확보</x:v>
      </x:c>
      <x:c r="I2041" s="2" t="str">
        <x:v>심의승인</x:v>
      </x:c>
      <x:c r="J2041" s="2" t="str">
        <x:v>심의승인</x:v>
      </x:c>
      <x:c r="K2041" s="2" t="str">
        <x:f>IF(OR(J2041="심의승인",J2041="반려",J2041="반려완료",J2041="심의완료"),"종결 표시",IF(OR(J2041="기후부협의",J2041="문서재제출요청",J2041="보류",J2041="보완요청",J2041="보완완료",J2041="평가중",J2041="반려요청",J2041="평가필요",LEFT(J2041,5)="보완요청("),"미종결 표시","상태 확인 필요"))</x:f>
        <x:v>종결 표시</x:v>
      </x:c>
      <x:c r="L2041" s="2"/>
      <x:c r="M2041" s="2"/>
      <x:c r="N2041" s="8"/>
      <x:c r="O2041" s="2"/>
      <x:c r="P2041" s="2"/>
      <x:c r="Q2041" s="2" t="str">
        <x:v>산업전환_외부사업관리Tool_260707_이너젠 수정_LJY_261013.xlsx</x:v>
      </x:c>
      <x:c r="R2041" s="2" t="str">
        <x:v>국내인증</x:v>
      </x:c>
      <x:c r="S2041" s="8" t="n">
        <x:v>359</x:v>
      </x:c>
      <x:c r="T2041" s="2" t="str">
        <x:v>2021년 처리</x:v>
      </x:c>
      <x:c r="U2041" s="2" t="str">
        <x:v>2021 배정: 2021년 처리</x:v>
      </x:c>
      <x:c r="V2041" s="2" t="str">
        <x:v>2021-06-21</x:v>
      </x:c>
      <x:c r="W2041" s="2" t="str">
        <x:v>신청일 확인 / 담당기관 확인</x:v>
      </x:c>
      <x:c r="X2041" s="2" t="str">
        <x:v>원본·배정 기록 확인</x:v>
      </x:c>
      <x:c r="Y2041" s="2" t="str">
        <x:v>ad210cd9ec132cfd447541c8984dc53d30aff0f4fb2dc92d254d49275cc55976</x:v>
      </x:c>
      <x:c r="Z2041" s="2" t="n">
        <x:f>SUBTOTAL(103,A2041)</x:f>
        <x:v>1</x:v>
      </x:c>
      <x:c r="AA2041" s="2" t="str">
        <x:f>IF(K2041&lt;&gt;"미종결 표시","대상 아님",IF(N2041="","신청일 확인",IF(NOT(ISNUMBER('종합 현황'!$H$5)),"관찰기준 확인",IF('종합 현황'!$H$5&lt;1,"관찰기준 확인",IF(N2041&gt;'종합 현황'!$H$5,"내부 관찰 대상","내부 관찰일 이하")))))</x:f>
        <x:v>대상 아님</x:v>
      </x:c>
      <x:c r="AB2041" s="2"/>
    </x:row>
    <x:row r="2042" ht="42" customHeight="1">
      <x:c r="A2042" s="2" t="str">
        <x:v>2669b6cf6a9fdf3e3d7e2773</x:v>
      </x:c>
      <x:c r="B2042" s="2" t="str">
        <x:v>감축량 인증</x:v>
      </x:c>
      <x:c r="C2042" s="2" t="str">
        <x:v>국내</x:v>
      </x:c>
      <x:c r="D2042" s="7" t="str">
        <x:v>한솔플라스틱의 사출기 일부교체(유압식→전동식)를 통한 온실가스 감축사업</x:v>
      </x:c>
      <x:c r="E2042" s="2" t="str">
        <x:v>282</x:v>
      </x:c>
      <x:c r="F2042" s="2"/>
      <x:c r="G2042" s="2" t="str">
        <x:v>미확보</x:v>
      </x:c>
      <x:c r="H2042" s="2" t="str">
        <x:v>미확보</x:v>
      </x:c>
      <x:c r="I2042" s="2" t="str">
        <x:v>심의승인</x:v>
      </x:c>
      <x:c r="J2042" s="2" t="str">
        <x:v>심의승인</x:v>
      </x:c>
      <x:c r="K2042" s="2" t="str">
        <x:f>IF(OR(J2042="심의승인",J2042="반려",J2042="반려완료",J2042="심의완료"),"종결 표시",IF(OR(J2042="기후부협의",J2042="문서재제출요청",J2042="보류",J2042="보완요청",J2042="보완완료",J2042="평가중",J2042="반려요청",J2042="평가필요",LEFT(J2042,5)="보완요청("),"미종결 표시","상태 확인 필요"))</x:f>
        <x:v>종결 표시</x:v>
      </x:c>
      <x:c r="L2042" s="2"/>
      <x:c r="M2042" s="2"/>
      <x:c r="N2042" s="8"/>
      <x:c r="O2042" s="2"/>
      <x:c r="P2042" s="2"/>
      <x:c r="Q2042" s="2" t="str">
        <x:v>산업전환_외부사업관리Tool_260707_이너젠 수정_LJY_261013.xlsx</x:v>
      </x:c>
      <x:c r="R2042" s="2" t="str">
        <x:v>국내인증</x:v>
      </x:c>
      <x:c r="S2042" s="8" t="n">
        <x:v>360</x:v>
      </x:c>
      <x:c r="T2042" s="2" t="str">
        <x:v>2021년 처리</x:v>
      </x:c>
      <x:c r="U2042" s="2" t="str">
        <x:v>2021 배정: 2021년 처리</x:v>
      </x:c>
      <x:c r="V2042" s="2" t="str">
        <x:v>2021-06-21</x:v>
      </x:c>
      <x:c r="W2042" s="2" t="str">
        <x:v>신청일 확인 / 담당기관 확인</x:v>
      </x:c>
      <x:c r="X2042" s="2" t="str">
        <x:v>원본·배정 기록 확인</x:v>
      </x:c>
      <x:c r="Y2042" s="2" t="str">
        <x:v>ad210cd9ec132cfd447541c8984dc53d30aff0f4fb2dc92d254d49275cc55976</x:v>
      </x:c>
      <x:c r="Z2042" s="2" t="n">
        <x:f>SUBTOTAL(103,A2042)</x:f>
        <x:v>1</x:v>
      </x:c>
      <x:c r="AA2042" s="2" t="str">
        <x:f>IF(K2042&lt;&gt;"미종결 표시","대상 아님",IF(N2042="","신청일 확인",IF(NOT(ISNUMBER('종합 현황'!$H$5)),"관찰기준 확인",IF('종합 현황'!$H$5&lt;1,"관찰기준 확인",IF(N2042&gt;'종합 현황'!$H$5,"내부 관찰 대상","내부 관찰일 이하")))))</x:f>
        <x:v>대상 아님</x:v>
      </x:c>
      <x:c r="AB2042" s="2"/>
    </x:row>
    <x:row r="2043" ht="42" customHeight="1">
      <x:c r="A2043" s="2" t="str">
        <x:v>3abb7b2ef9329db34ed3e575</x:v>
      </x:c>
      <x:c r="B2043" s="2" t="str">
        <x:v>감축량 인증</x:v>
      </x:c>
      <x:c r="C2043" s="2" t="str">
        <x:v>국내</x:v>
      </x:c>
      <x:c r="D2043" s="7" t="str">
        <x:v>일성정공 사출기 일부 개조(유압식-&gt;하이브리드)를 통한 설비 성능 개선에 따른 온실가스 감축사업</x:v>
      </x:c>
      <x:c r="E2043" s="2" t="str">
        <x:v>283</x:v>
      </x:c>
      <x:c r="F2043" s="2"/>
      <x:c r="G2043" s="2" t="str">
        <x:v>미확보</x:v>
      </x:c>
      <x:c r="H2043" s="2" t="str">
        <x:v>미확보</x:v>
      </x:c>
      <x:c r="I2043" s="2" t="str">
        <x:v>심의승인</x:v>
      </x:c>
      <x:c r="J2043" s="2" t="str">
        <x:v>심의승인</x:v>
      </x:c>
      <x:c r="K2043" s="2" t="str">
        <x:f>IF(OR(J2043="심의승인",J2043="반려",J2043="반려완료",J2043="심의완료"),"종결 표시",IF(OR(J2043="기후부협의",J2043="문서재제출요청",J2043="보류",J2043="보완요청",J2043="보완완료",J2043="평가중",J2043="반려요청",J2043="평가필요",LEFT(J2043,5)="보완요청("),"미종결 표시","상태 확인 필요"))</x:f>
        <x:v>종결 표시</x:v>
      </x:c>
      <x:c r="L2043" s="2"/>
      <x:c r="M2043" s="2"/>
      <x:c r="N2043" s="8"/>
      <x:c r="O2043" s="2"/>
      <x:c r="P2043" s="2"/>
      <x:c r="Q2043" s="2" t="str">
        <x:v>산업전환_외부사업관리Tool_260707_이너젠 수정_LJY_261013.xlsx</x:v>
      </x:c>
      <x:c r="R2043" s="2" t="str">
        <x:v>국내인증</x:v>
      </x:c>
      <x:c r="S2043" s="8" t="n">
        <x:v>361</x:v>
      </x:c>
      <x:c r="T2043" s="2" t="str">
        <x:v>(4/23),(12/1)</x:v>
      </x:c>
      <x:c r="U2043" s="2" t="str">
        <x:v>2021 배정: (4/23),(12/1)</x:v>
      </x:c>
      <x:c r="V2043" s="2" t="str">
        <x:v>2022-04-18</x:v>
      </x:c>
      <x:c r="W2043" s="2" t="str">
        <x:v>신청일 확인 / 담당기관 확인</x:v>
      </x:c>
      <x:c r="X2043" s="2" t="str">
        <x:v>원본·배정 기록 확인</x:v>
      </x:c>
      <x:c r="Y2043" s="2" t="str">
        <x:v>ad210cd9ec132cfd447541c8984dc53d30aff0f4fb2dc92d254d49275cc55976</x:v>
      </x:c>
      <x:c r="Z2043" s="2" t="n">
        <x:f>SUBTOTAL(103,A2043)</x:f>
        <x:v>1</x:v>
      </x:c>
      <x:c r="AA2043" s="2" t="str">
        <x:f>IF(K2043&lt;&gt;"미종결 표시","대상 아님",IF(N2043="","신청일 확인",IF(NOT(ISNUMBER('종합 현황'!$H$5)),"관찰기준 확인",IF('종합 현황'!$H$5&lt;1,"관찰기준 확인",IF(N2043&gt;'종합 현황'!$H$5,"내부 관찰 대상","내부 관찰일 이하")))))</x:f>
        <x:v>대상 아님</x:v>
      </x:c>
      <x:c r="AB2043" s="2"/>
    </x:row>
    <x:row r="2044" ht="42" customHeight="1">
      <x:c r="A2044" s="2" t="str">
        <x:v>4a3cb16df7e2a3bcf66864ac</x:v>
      </x:c>
      <x:c r="B2044" s="2" t="str">
        <x:v>감축량 인증</x:v>
      </x:c>
      <x:c r="C2044" s="2" t="str">
        <x:v>국내</x:v>
      </x:c>
      <x:c r="D2044" s="7" t="str">
        <x:v>바이넥스 스팀보일러 연료교체(부생연료2호→LNG)를 통한 온실가스(CO2)배출 감축사업</x:v>
      </x:c>
      <x:c r="E2044" s="2" t="str">
        <x:v>284</x:v>
      </x:c>
      <x:c r="F2044" s="2"/>
      <x:c r="G2044" s="2" t="str">
        <x:v>미확보</x:v>
      </x:c>
      <x:c r="H2044" s="2" t="str">
        <x:v>미확보</x:v>
      </x:c>
      <x:c r="I2044" s="2" t="str">
        <x:v>심의승인</x:v>
      </x:c>
      <x:c r="J2044" s="2" t="str">
        <x:v>심의승인</x:v>
      </x:c>
      <x:c r="K2044" s="2" t="str">
        <x:f>IF(OR(J2044="심의승인",J2044="반려",J2044="반려완료",J2044="심의완료"),"종결 표시",IF(OR(J2044="기후부협의",J2044="문서재제출요청",J2044="보류",J2044="보완요청",J2044="보완완료",J2044="평가중",J2044="반려요청",J2044="평가필요",LEFT(J2044,5)="보완요청("),"미종결 표시","상태 확인 필요"))</x:f>
        <x:v>종결 표시</x:v>
      </x:c>
      <x:c r="L2044" s="2"/>
      <x:c r="M2044" s="2"/>
      <x:c r="N2044" s="8"/>
      <x:c r="O2044" s="2"/>
      <x:c r="P2044" s="2"/>
      <x:c r="Q2044" s="2" t="str">
        <x:v>산업전환_외부사업관리Tool_260707_이너젠 수정_LJY_261013.xlsx</x:v>
      </x:c>
      <x:c r="R2044" s="2" t="str">
        <x:v>국내인증</x:v>
      </x:c>
      <x:c r="S2044" s="8" t="n">
        <x:v>362</x:v>
      </x:c>
      <x:c r="T2044" s="2"/>
      <x:c r="U2044" s="2" t="str"/>
      <x:c r="V2044" s="2" t="str">
        <x:v>2020-10-27</x:v>
      </x:c>
      <x:c r="W2044" s="2" t="str">
        <x:v>신청일 확인 / 담당기관 확인</x:v>
      </x:c>
      <x:c r="X2044" s="2" t="str">
        <x:v>원본·배정 기록 확인</x:v>
      </x:c>
      <x:c r="Y2044" s="2" t="str">
        <x:v>ad210cd9ec132cfd447541c8984dc53d30aff0f4fb2dc92d254d49275cc55976</x:v>
      </x:c>
      <x:c r="Z2044" s="2" t="n">
        <x:f>SUBTOTAL(103,A2044)</x:f>
        <x:v>1</x:v>
      </x:c>
      <x:c r="AA2044" s="2" t="str">
        <x:f>IF(K2044&lt;&gt;"미종결 표시","대상 아님",IF(N2044="","신청일 확인",IF(NOT(ISNUMBER('종합 현황'!$H$5)),"관찰기준 확인",IF('종합 현황'!$H$5&lt;1,"관찰기준 확인",IF(N2044&gt;'종합 현황'!$H$5,"내부 관찰 대상","내부 관찰일 이하")))))</x:f>
        <x:v>대상 아님</x:v>
      </x:c>
      <x:c r="AB2044" s="2"/>
    </x:row>
    <x:row r="2045" ht="42" customHeight="1">
      <x:c r="A2045" s="2" t="str">
        <x:v>b2eb37ba39f96730e9867b69</x:v>
      </x:c>
      <x:c r="B2045" s="2" t="str">
        <x:v>감축량 인증</x:v>
      </x:c>
      <x:c r="C2045" s="2" t="str">
        <x:v>국내</x:v>
      </x:c>
      <x:c r="D2045" s="7" t="str">
        <x:v>휴켐스(주) 신설 5질산에서 발생하는 아산화질소 배출량 저감사업</x:v>
      </x:c>
      <x:c r="E2045" s="2" t="str">
        <x:v>285</x:v>
      </x:c>
      <x:c r="F2045" s="2"/>
      <x:c r="G2045" s="2" t="str">
        <x:v>미확보</x:v>
      </x:c>
      <x:c r="H2045" s="2" t="str">
        <x:v>미확보</x:v>
      </x:c>
      <x:c r="I2045" s="2" t="str">
        <x:v>심의승인</x:v>
      </x:c>
      <x:c r="J2045" s="2" t="str">
        <x:v>심의승인</x:v>
      </x:c>
      <x:c r="K2045" s="2" t="str">
        <x:f>IF(OR(J2045="심의승인",J2045="반려",J2045="반려완료",J2045="심의완료"),"종결 표시",IF(OR(J2045="기후부협의",J2045="문서재제출요청",J2045="보류",J2045="보완요청",J2045="보완완료",J2045="평가중",J2045="반려요청",J2045="평가필요",LEFT(J2045,5)="보완요청("),"미종결 표시","상태 확인 필요"))</x:f>
        <x:v>종결 표시</x:v>
      </x:c>
      <x:c r="L2045" s="2"/>
      <x:c r="M2045" s="2"/>
      <x:c r="N2045" s="8"/>
      <x:c r="O2045" s="2"/>
      <x:c r="P2045" s="2"/>
      <x:c r="Q2045" s="2" t="str">
        <x:v>산업전환_외부사업관리Tool_260707_이너젠 수정_LJY_261013.xlsx</x:v>
      </x:c>
      <x:c r="R2045" s="2" t="str">
        <x:v>국내인증</x:v>
      </x:c>
      <x:c r="S2045" s="8" t="n">
        <x:v>363</x:v>
      </x:c>
      <x:c r="T2045" s="2"/>
      <x:c r="U2045" s="2" t="str"/>
      <x:c r="V2045" s="2" t="str">
        <x:v>2020-10-27</x:v>
      </x:c>
      <x:c r="W2045" s="2" t="str">
        <x:v>신청일 확인 / 담당기관 확인</x:v>
      </x:c>
      <x:c r="X2045" s="2" t="str">
        <x:v>원본·배정 기록 확인</x:v>
      </x:c>
      <x:c r="Y2045" s="2" t="str">
        <x:v>ad210cd9ec132cfd447541c8984dc53d30aff0f4fb2dc92d254d49275cc55976</x:v>
      </x:c>
      <x:c r="Z2045" s="2" t="n">
        <x:f>SUBTOTAL(103,A2045)</x:f>
        <x:v>1</x:v>
      </x:c>
      <x:c r="AA2045" s="2" t="str">
        <x:f>IF(K2045&lt;&gt;"미종결 표시","대상 아님",IF(N2045="","신청일 확인",IF(NOT(ISNUMBER('종합 현황'!$H$5)),"관찰기준 확인",IF('종합 현황'!$H$5&lt;1,"관찰기준 확인",IF(N2045&gt;'종합 현황'!$H$5,"내부 관찰 대상","내부 관찰일 이하")))))</x:f>
        <x:v>대상 아님</x:v>
      </x:c>
      <x:c r="AB2045" s="2"/>
    </x:row>
    <x:row r="2046" ht="42" customHeight="1">
      <x:c r="A2046" s="2" t="str">
        <x:v>8f81d2f6028f16c8e5a7131c</x:v>
      </x:c>
      <x:c r="B2046" s="2" t="str">
        <x:v>감축량 인증</x:v>
      </x:c>
      <x:c r="C2046" s="2" t="str">
        <x:v>국내</x:v>
      </x:c>
      <x:c r="D2046" s="7" t="str">
        <x:v>휴켐스 질산공장 N2O 감축사업(휴켐스 주식회사의 질산 공장 세곡에서 tail gas에 포한된 아산화질소를 촉매를 사용하여 제거하는 프로젝트)</x:v>
      </x:c>
      <x:c r="E2046" s="2" t="str">
        <x:v>286</x:v>
      </x:c>
      <x:c r="F2046" s="2"/>
      <x:c r="G2046" s="2" t="str">
        <x:v>미확보</x:v>
      </x:c>
      <x:c r="H2046" s="2" t="str">
        <x:v>미확보</x:v>
      </x:c>
      <x:c r="I2046" s="2" t="str">
        <x:v>심의승인</x:v>
      </x:c>
      <x:c r="J2046" s="2" t="str">
        <x:v>심의승인</x:v>
      </x:c>
      <x:c r="K2046" s="2" t="str">
        <x:f>IF(OR(J2046="심의승인",J2046="반려",J2046="반려완료",J2046="심의완료"),"종결 표시",IF(OR(J2046="기후부협의",J2046="문서재제출요청",J2046="보류",J2046="보완요청",J2046="보완완료",J2046="평가중",J2046="반려요청",J2046="평가필요",LEFT(J2046,5)="보완요청("),"미종결 표시","상태 확인 필요"))</x:f>
        <x:v>종결 표시</x:v>
      </x:c>
      <x:c r="L2046" s="2"/>
      <x:c r="M2046" s="2"/>
      <x:c r="N2046" s="8"/>
      <x:c r="O2046" s="2"/>
      <x:c r="P2046" s="2"/>
      <x:c r="Q2046" s="2" t="str">
        <x:v>산업전환_외부사업관리Tool_260707_이너젠 수정_LJY_261013.xlsx</x:v>
      </x:c>
      <x:c r="R2046" s="2" t="str">
        <x:v>국내인증</x:v>
      </x:c>
      <x:c r="S2046" s="8" t="n">
        <x:v>364</x:v>
      </x:c>
      <x:c r="T2046" s="2"/>
      <x:c r="U2046" s="2" t="str"/>
      <x:c r="V2046" s="2" t="str">
        <x:v>2020-10-27</x:v>
      </x:c>
      <x:c r="W2046" s="2" t="str">
        <x:v>신청일 확인 / 담당기관 확인</x:v>
      </x:c>
      <x:c r="X2046" s="2" t="str">
        <x:v>원본·배정 기록 확인</x:v>
      </x:c>
      <x:c r="Y2046" s="2" t="str">
        <x:v>ad210cd9ec132cfd447541c8984dc53d30aff0f4fb2dc92d254d49275cc55976</x:v>
      </x:c>
      <x:c r="Z2046" s="2" t="n">
        <x:f>SUBTOTAL(103,A2046)</x:f>
        <x:v>1</x:v>
      </x:c>
      <x:c r="AA2046" s="2" t="str">
        <x:f>IF(K2046&lt;&gt;"미종결 표시","대상 아님",IF(N2046="","신청일 확인",IF(NOT(ISNUMBER('종합 현황'!$H$5)),"관찰기준 확인",IF('종합 현황'!$H$5&lt;1,"관찰기준 확인",IF(N2046&gt;'종합 현황'!$H$5,"내부 관찰 대상","내부 관찰일 이하")))))</x:f>
        <x:v>대상 아님</x:v>
      </x:c>
      <x:c r="AB2046" s="2"/>
    </x:row>
    <x:row r="2047" ht="42" customHeight="1">
      <x:c r="A2047" s="2" t="str">
        <x:v>8e3b16081dadd5977e57d5da</x:v>
      </x:c>
      <x:c r="B2047" s="2" t="str">
        <x:v>감축량 인증</x:v>
      </x:c>
      <x:c r="C2047" s="2" t="str">
        <x:v>국내</x:v>
      </x:c>
      <x:c r="D2047" s="7" t="str">
        <x:v>보일러 연료전환(벙커C유 및 보일러 등유 -&gt; LNG)을 통한 온실가스(CO2) 배출 감축 사업</x:v>
      </x:c>
      <x:c r="E2047" s="2" t="str">
        <x:v>287</x:v>
      </x:c>
      <x:c r="F2047" s="2"/>
      <x:c r="G2047" s="2" t="str">
        <x:v>미확보</x:v>
      </x:c>
      <x:c r="H2047" s="2" t="str">
        <x:v>미확보</x:v>
      </x:c>
      <x:c r="I2047" s="2" t="str">
        <x:v>심의승인</x:v>
      </x:c>
      <x:c r="J2047" s="2" t="str">
        <x:v>심의승인</x:v>
      </x:c>
      <x:c r="K2047" s="2" t="str">
        <x:f>IF(OR(J2047="심의승인",J2047="반려",J2047="반려완료",J2047="심의완료"),"종결 표시",IF(OR(J2047="기후부협의",J2047="문서재제출요청",J2047="보류",J2047="보완요청",J2047="보완완료",J2047="평가중",J2047="반려요청",J2047="평가필요",LEFT(J2047,5)="보완요청("),"미종결 표시","상태 확인 필요"))</x:f>
        <x:v>종결 표시</x:v>
      </x:c>
      <x:c r="L2047" s="2"/>
      <x:c r="M2047" s="2"/>
      <x:c r="N2047" s="8"/>
      <x:c r="O2047" s="2"/>
      <x:c r="P2047" s="2"/>
      <x:c r="Q2047" s="2" t="str">
        <x:v>산업전환_외부사업관리Tool_260707_이너젠 수정_LJY_261013.xlsx</x:v>
      </x:c>
      <x:c r="R2047" s="2" t="str">
        <x:v>국내인증</x:v>
      </x:c>
      <x:c r="S2047" s="8" t="n">
        <x:v>365</x:v>
      </x:c>
      <x:c r="T2047" s="2"/>
      <x:c r="U2047" s="2" t="str"/>
      <x:c r="V2047" s="2" t="str">
        <x:v>2020-10-27</x:v>
      </x:c>
      <x:c r="W2047" s="2" t="str">
        <x:v>신청일 확인 / 담당기관 확인</x:v>
      </x:c>
      <x:c r="X2047" s="2" t="str">
        <x:v>원본·배정 기록 확인</x:v>
      </x:c>
      <x:c r="Y2047" s="2" t="str">
        <x:v>ad210cd9ec132cfd447541c8984dc53d30aff0f4fb2dc92d254d49275cc55976</x:v>
      </x:c>
      <x:c r="Z2047" s="2" t="n">
        <x:f>SUBTOTAL(103,A2047)</x:f>
        <x:v>1</x:v>
      </x:c>
      <x:c r="AA2047" s="2" t="str">
        <x:f>IF(K2047&lt;&gt;"미종결 표시","대상 아님",IF(N2047="","신청일 확인",IF(NOT(ISNUMBER('종합 현황'!$H$5)),"관찰기준 확인",IF('종합 현황'!$H$5&lt;1,"관찰기준 확인",IF(N2047&gt;'종합 현황'!$H$5,"내부 관찰 대상","내부 관찰일 이하")))))</x:f>
        <x:v>대상 아님</x:v>
      </x:c>
      <x:c r="AB2047" s="2"/>
    </x:row>
    <x:row r="2048" ht="42" customHeight="1">
      <x:c r="A2048" s="2" t="str">
        <x:v>09ed401930115dba7af8517d</x:v>
      </x:c>
      <x:c r="B2048" s="2" t="str">
        <x:v>감축량 인증</x:v>
      </x:c>
      <x:c r="C2048" s="2" t="str">
        <x:v>국내</x:v>
      </x:c>
      <x:c r="D2048" s="7" t="str">
        <x:v>한화제약(주) 스팀보일러 버너 연료전환(부생연료유 1호 → LPG)을 통한 온실가스(CO2) 감축사업</x:v>
      </x:c>
      <x:c r="E2048" s="2" t="str">
        <x:v>288</x:v>
      </x:c>
      <x:c r="F2048" s="2"/>
      <x:c r="G2048" s="2" t="str">
        <x:v>미확보</x:v>
      </x:c>
      <x:c r="H2048" s="2" t="str">
        <x:v>미확보</x:v>
      </x:c>
      <x:c r="I2048" s="2" t="str">
        <x:v>심의승인</x:v>
      </x:c>
      <x:c r="J2048" s="2" t="str">
        <x:v>심의승인</x:v>
      </x:c>
      <x:c r="K2048" s="2" t="str">
        <x:f>IF(OR(J2048="심의승인",J2048="반려",J2048="반려완료",J2048="심의완료"),"종결 표시",IF(OR(J2048="기후부협의",J2048="문서재제출요청",J2048="보류",J2048="보완요청",J2048="보완완료",J2048="평가중",J2048="반려요청",J2048="평가필요",LEFT(J2048,5)="보완요청("),"미종결 표시","상태 확인 필요"))</x:f>
        <x:v>종결 표시</x:v>
      </x:c>
      <x:c r="L2048" s="2"/>
      <x:c r="M2048" s="2"/>
      <x:c r="N2048" s="8"/>
      <x:c r="O2048" s="2"/>
      <x:c r="P2048" s="2"/>
      <x:c r="Q2048" s="2" t="str">
        <x:v>산업전환_외부사업관리Tool_260707_이너젠 수정_LJY_261013.xlsx</x:v>
      </x:c>
      <x:c r="R2048" s="2" t="str">
        <x:v>국내인증</x:v>
      </x:c>
      <x:c r="S2048" s="8" t="n">
        <x:v>366</x:v>
      </x:c>
      <x:c r="T2048" s="2" t="str">
        <x:v>(6/28),(11/2)</x:v>
      </x:c>
      <x:c r="U2048" s="2" t="str">
        <x:v>2021 배정: (6/28),(11/2)</x:v>
      </x:c>
      <x:c r="V2048" s="2" t="str">
        <x:v>2022-01-17</x:v>
      </x:c>
      <x:c r="W2048" s="2" t="str">
        <x:v>신청일 확인 / 담당기관 확인</x:v>
      </x:c>
      <x:c r="X2048" s="2" t="str">
        <x:v>원본·배정 기록 확인</x:v>
      </x:c>
      <x:c r="Y2048" s="2" t="str">
        <x:v>ad210cd9ec132cfd447541c8984dc53d30aff0f4fb2dc92d254d49275cc55976</x:v>
      </x:c>
      <x:c r="Z2048" s="2" t="n">
        <x:f>SUBTOTAL(103,A2048)</x:f>
        <x:v>1</x:v>
      </x:c>
      <x:c r="AA2048" s="2" t="str">
        <x:f>IF(K2048&lt;&gt;"미종결 표시","대상 아님",IF(N2048="","신청일 확인",IF(NOT(ISNUMBER('종합 현황'!$H$5)),"관찰기준 확인",IF('종합 현황'!$H$5&lt;1,"관찰기준 확인",IF(N2048&gt;'종합 현황'!$H$5,"내부 관찰 대상","내부 관찰일 이하")))))</x:f>
        <x:v>대상 아님</x:v>
      </x:c>
      <x:c r="AB2048" s="2"/>
    </x:row>
    <x:row r="2049" ht="42" customHeight="1">
      <x:c r="A2049" s="2" t="str">
        <x:v>9b1a9d63781bc4fa1110b1a4</x:v>
      </x:c>
      <x:c r="B2049" s="2" t="str">
        <x:v>감축량 인증</x:v>
      </x:c>
      <x:c r="C2049" s="2" t="str">
        <x:v>국내</x:v>
      </x:c>
      <x:c r="D2049" s="7" t="str">
        <x:v>금산공영(합) 아스콘 드라이어 버너 연료전환(B-C유 → LPG)을 통한 온실가스(CO2) 감축사업</x:v>
      </x:c>
      <x:c r="E2049" s="2" t="str">
        <x:v>289</x:v>
      </x:c>
      <x:c r="F2049" s="2"/>
      <x:c r="G2049" s="2" t="str">
        <x:v>미확보</x:v>
      </x:c>
      <x:c r="H2049" s="2" t="str">
        <x:v>미확보</x:v>
      </x:c>
      <x:c r="I2049" s="2" t="str">
        <x:v>심의승인</x:v>
      </x:c>
      <x:c r="J2049" s="2" t="str">
        <x:v>심의승인</x:v>
      </x:c>
      <x:c r="K2049" s="2" t="str">
        <x:f>IF(OR(J2049="심의승인",J2049="반려",J2049="반려완료",J2049="심의완료"),"종결 표시",IF(OR(J2049="기후부협의",J2049="문서재제출요청",J2049="보류",J2049="보완요청",J2049="보완완료",J2049="평가중",J2049="반려요청",J2049="평가필요",LEFT(J2049,5)="보완요청("),"미종결 표시","상태 확인 필요"))</x:f>
        <x:v>종결 표시</x:v>
      </x:c>
      <x:c r="L2049" s="2"/>
      <x:c r="M2049" s="2"/>
      <x:c r="N2049" s="8"/>
      <x:c r="O2049" s="2"/>
      <x:c r="P2049" s="2"/>
      <x:c r="Q2049" s="2" t="str">
        <x:v>산업전환_외부사업관리Tool_260707_이너젠 수정_LJY_261013.xlsx</x:v>
      </x:c>
      <x:c r="R2049" s="2" t="str">
        <x:v>국내인증</x:v>
      </x:c>
      <x:c r="S2049" s="8" t="n">
        <x:v>367</x:v>
      </x:c>
      <x:c r="T2049" s="2" t="str">
        <x:v>(6/3)</x:v>
      </x:c>
      <x:c r="U2049" s="2" t="str">
        <x:v>2021 배정: (6/3)</x:v>
      </x:c>
      <x:c r="V2049" s="2" t="str">
        <x:v>2021-10-07</x:v>
      </x:c>
      <x:c r="W2049" s="2" t="str">
        <x:v>신청일 확인 / 담당기관 확인</x:v>
      </x:c>
      <x:c r="X2049" s="2" t="str">
        <x:v>원본·배정 기록 확인</x:v>
      </x:c>
      <x:c r="Y2049" s="2" t="str">
        <x:v>ad210cd9ec132cfd447541c8984dc53d30aff0f4fb2dc92d254d49275cc55976</x:v>
      </x:c>
      <x:c r="Z2049" s="2" t="n">
        <x:f>SUBTOTAL(103,A2049)</x:f>
        <x:v>1</x:v>
      </x:c>
      <x:c r="AA2049" s="2" t="str">
        <x:f>IF(K2049&lt;&gt;"미종결 표시","대상 아님",IF(N2049="","신청일 확인",IF(NOT(ISNUMBER('종합 현황'!$H$5)),"관찰기준 확인",IF('종합 현황'!$H$5&lt;1,"관찰기준 확인",IF(N2049&gt;'종합 현황'!$H$5,"내부 관찰 대상","내부 관찰일 이하")))))</x:f>
        <x:v>대상 아님</x:v>
      </x:c>
      <x:c r="AB2049" s="2"/>
    </x:row>
    <x:row r="2050" ht="42" customHeight="1">
      <x:c r="A2050" s="2" t="str">
        <x:v>763fa744c965167373653268</x:v>
      </x:c>
      <x:c r="B2050" s="2" t="str">
        <x:v>감축량 인증</x:v>
      </x:c>
      <x:c r="C2050" s="2" t="str">
        <x:v>국내</x:v>
      </x:c>
      <x:c r="D2050" s="7" t="str">
        <x:v>승민섬유 보일러 버너의 연료전환(B-C → LNG)을 통한 온실가스 감축사업</x:v>
      </x:c>
      <x:c r="E2050" s="2" t="str">
        <x:v>290</x:v>
      </x:c>
      <x:c r="F2050" s="2"/>
      <x:c r="G2050" s="2" t="str">
        <x:v>미확보</x:v>
      </x:c>
      <x:c r="H2050" s="2" t="str">
        <x:v>미확보</x:v>
      </x:c>
      <x:c r="I2050" s="2" t="str">
        <x:v>심의승인</x:v>
      </x:c>
      <x:c r="J2050" s="2" t="str">
        <x:v>심의승인</x:v>
      </x:c>
      <x:c r="K2050" s="2" t="str">
        <x:f>IF(OR(J2050="심의승인",J2050="반려",J2050="반려완료",J2050="심의완료"),"종결 표시",IF(OR(J2050="기후부협의",J2050="문서재제출요청",J2050="보류",J2050="보완요청",J2050="보완완료",J2050="평가중",J2050="반려요청",J2050="평가필요",LEFT(J2050,5)="보완요청("),"미종결 표시","상태 확인 필요"))</x:f>
        <x:v>종결 표시</x:v>
      </x:c>
      <x:c r="L2050" s="2"/>
      <x:c r="M2050" s="2"/>
      <x:c r="N2050" s="8"/>
      <x:c r="O2050" s="2"/>
      <x:c r="P2050" s="2"/>
      <x:c r="Q2050" s="2" t="str">
        <x:v>산업전환_외부사업관리Tool_260707_이너젠 수정_LJY_261013.xlsx</x:v>
      </x:c>
      <x:c r="R2050" s="2" t="str">
        <x:v>국내인증</x:v>
      </x:c>
      <x:c r="S2050" s="8" t="n">
        <x:v>368</x:v>
      </x:c>
      <x:c r="T2050" s="2" t="str">
        <x:v>(4/23),(11/2)</x:v>
      </x:c>
      <x:c r="U2050" s="2" t="str">
        <x:v>2021 배정: (4/23),(11/2) / 2022 배정: 2022년 처리</x:v>
      </x:c>
      <x:c r="V2050" s="2" t="str">
        <x:v>2022-07-14</x:v>
      </x:c>
      <x:c r="W2050" s="2" t="str">
        <x:v>신청일 확인 / 담당기관 확인</x:v>
      </x:c>
      <x:c r="X2050" s="2" t="str">
        <x:v>원본·배정 기록 확인</x:v>
      </x:c>
      <x:c r="Y2050" s="2" t="str">
        <x:v>ad210cd9ec132cfd447541c8984dc53d30aff0f4fb2dc92d254d49275cc55976</x:v>
      </x:c>
      <x:c r="Z2050" s="2" t="n">
        <x:f>SUBTOTAL(103,A2050)</x:f>
        <x:v>1</x:v>
      </x:c>
      <x:c r="AA2050" s="2" t="str">
        <x:f>IF(K2050&lt;&gt;"미종결 표시","대상 아님",IF(N2050="","신청일 확인",IF(NOT(ISNUMBER('종합 현황'!$H$5)),"관찰기준 확인",IF('종합 현황'!$H$5&lt;1,"관찰기준 확인",IF(N2050&gt;'종합 현황'!$H$5,"내부 관찰 대상","내부 관찰일 이하")))))</x:f>
        <x:v>대상 아님</x:v>
      </x:c>
      <x:c r="AB2050" s="2"/>
    </x:row>
    <x:row r="2051" ht="42" customHeight="1">
      <x:c r="A2051" s="2" t="str">
        <x:v>edecca9195820ec8d640cb31</x:v>
      </x:c>
      <x:c r="B2051" s="2" t="str">
        <x:v>감축량 인증</x:v>
      </x:c>
      <x:c r="C2051" s="2" t="str">
        <x:v>국내</x:v>
      </x:c>
      <x:c r="D2051" s="7" t="str">
        <x:v>버울새송이 목재펠릿 연료전환(경유→목재펠릿)을 통한 온실가스 감축사업</x:v>
      </x:c>
      <x:c r="E2051" s="2" t="str">
        <x:v>291</x:v>
      </x:c>
      <x:c r="F2051" s="2"/>
      <x:c r="G2051" s="2" t="str">
        <x:v>미확보</x:v>
      </x:c>
      <x:c r="H2051" s="2" t="str">
        <x:v>미확보</x:v>
      </x:c>
      <x:c r="I2051" s="2" t="str">
        <x:v>심의승인</x:v>
      </x:c>
      <x:c r="J2051" s="2" t="str">
        <x:v>심의승인</x:v>
      </x:c>
      <x:c r="K2051" s="2" t="str">
        <x:f>IF(OR(J2051="심의승인",J2051="반려",J2051="반려완료",J2051="심의완료"),"종결 표시",IF(OR(J2051="기후부협의",J2051="문서재제출요청",J2051="보류",J2051="보완요청",J2051="보완완료",J2051="평가중",J2051="반려요청",J2051="평가필요",LEFT(J2051,5)="보완요청("),"미종결 표시","상태 확인 필요"))</x:f>
        <x:v>종결 표시</x:v>
      </x:c>
      <x:c r="L2051" s="2"/>
      <x:c r="M2051" s="2"/>
      <x:c r="N2051" s="8"/>
      <x:c r="O2051" s="2"/>
      <x:c r="P2051" s="2"/>
      <x:c r="Q2051" s="2" t="str">
        <x:v>산업전환_외부사업관리Tool_260707_이너젠 수정_LJY_261013.xlsx</x:v>
      </x:c>
      <x:c r="R2051" s="2" t="str">
        <x:v>국내인증</x:v>
      </x:c>
      <x:c r="S2051" s="8" t="n">
        <x:v>369</x:v>
      </x:c>
      <x:c r="T2051" s="2" t="str">
        <x:v>(4/23),(6/28)</x:v>
      </x:c>
      <x:c r="U2051" s="2" t="str">
        <x:v>2021 배정: (4/23),(6/28)</x:v>
      </x:c>
      <x:c r="V2051" s="2" t="str">
        <x:v>2021-10-07</x:v>
      </x:c>
      <x:c r="W2051" s="2" t="str">
        <x:v>신청일 확인 / 담당기관 확인</x:v>
      </x:c>
      <x:c r="X2051" s="2" t="str">
        <x:v>원본·배정 기록 확인</x:v>
      </x:c>
      <x:c r="Y2051" s="2" t="str">
        <x:v>ad210cd9ec132cfd447541c8984dc53d30aff0f4fb2dc92d254d49275cc55976</x:v>
      </x:c>
      <x:c r="Z2051" s="2" t="n">
        <x:f>SUBTOTAL(103,A2051)</x:f>
        <x:v>1</x:v>
      </x:c>
      <x:c r="AA2051" s="2" t="str">
        <x:f>IF(K2051&lt;&gt;"미종결 표시","대상 아님",IF(N2051="","신청일 확인",IF(NOT(ISNUMBER('종합 현황'!$H$5)),"관찰기준 확인",IF('종합 현황'!$H$5&lt;1,"관찰기준 확인",IF(N2051&gt;'종합 현황'!$H$5,"내부 관찰 대상","내부 관찰일 이하")))))</x:f>
        <x:v>대상 아님</x:v>
      </x:c>
      <x:c r="AB2051" s="2"/>
    </x:row>
    <x:row r="2052" ht="42" customHeight="1">
      <x:c r="A2052" s="2" t="str">
        <x:v>ae40b564ea01ea5f2e453d2d</x:v>
      </x:c>
      <x:c r="B2052" s="2" t="str">
        <x:v>감축량 인증</x:v>
      </x:c>
      <x:c r="C2052" s="2" t="str">
        <x:v>국내</x:v>
      </x:c>
      <x:c r="D2052" s="7" t="str">
        <x:v>(주)네이처셀의 보일러 연료전환 (B-C유 → LNG)에 의한 온실가스(CO2) 배출 감축사업</x:v>
      </x:c>
      <x:c r="E2052" s="2" t="str">
        <x:v>292</x:v>
      </x:c>
      <x:c r="F2052" s="2"/>
      <x:c r="G2052" s="2" t="str">
        <x:v>미확보</x:v>
      </x:c>
      <x:c r="H2052" s="2" t="str">
        <x:v>미확보</x:v>
      </x:c>
      <x:c r="I2052" s="2" t="str">
        <x:v>심의승인</x:v>
      </x:c>
      <x:c r="J2052" s="2" t="str">
        <x:v>심의승인</x:v>
      </x:c>
      <x:c r="K2052" s="2" t="str">
        <x:f>IF(OR(J2052="심의승인",J2052="반려",J2052="반려완료",J2052="심의완료"),"종결 표시",IF(OR(J2052="기후부협의",J2052="문서재제출요청",J2052="보류",J2052="보완요청",J2052="보완완료",J2052="평가중",J2052="반려요청",J2052="평가필요",LEFT(J2052,5)="보완요청("),"미종결 표시","상태 확인 필요"))</x:f>
        <x:v>종결 표시</x:v>
      </x:c>
      <x:c r="L2052" s="2"/>
      <x:c r="M2052" s="2"/>
      <x:c r="N2052" s="8"/>
      <x:c r="O2052" s="2"/>
      <x:c r="P2052" s="2"/>
      <x:c r="Q2052" s="2" t="str">
        <x:v>산업전환_외부사업관리Tool_260707_이너젠 수정_LJY_261013.xlsx</x:v>
      </x:c>
      <x:c r="R2052" s="2" t="str">
        <x:v>국내인증</x:v>
      </x:c>
      <x:c r="S2052" s="8" t="n">
        <x:v>370</x:v>
      </x:c>
      <x:c r="T2052" s="2" t="str">
        <x:v>2021년 처리</x:v>
      </x:c>
      <x:c r="U2052" s="2" t="str">
        <x:v>2021 배정: 2021년 처리</x:v>
      </x:c>
      <x:c r="V2052" s="2" t="str">
        <x:v>2021-06-21</x:v>
      </x:c>
      <x:c r="W2052" s="2" t="str">
        <x:v>신청일 확인 / 담당기관 확인</x:v>
      </x:c>
      <x:c r="X2052" s="2" t="str">
        <x:v>원본·배정 기록 확인</x:v>
      </x:c>
      <x:c r="Y2052" s="2" t="str">
        <x:v>ad210cd9ec132cfd447541c8984dc53d30aff0f4fb2dc92d254d49275cc55976</x:v>
      </x:c>
      <x:c r="Z2052" s="2" t="n">
        <x:f>SUBTOTAL(103,A2052)</x:f>
        <x:v>1</x:v>
      </x:c>
      <x:c r="AA2052" s="2" t="str">
        <x:f>IF(K2052&lt;&gt;"미종결 표시","대상 아님",IF(N2052="","신청일 확인",IF(NOT(ISNUMBER('종합 현황'!$H$5)),"관찰기준 확인",IF('종합 현황'!$H$5&lt;1,"관찰기준 확인",IF(N2052&gt;'종합 현황'!$H$5,"내부 관찰 대상","내부 관찰일 이하")))))</x:f>
        <x:v>대상 아님</x:v>
      </x:c>
      <x:c r="AB2052" s="2"/>
    </x:row>
    <x:row r="2053" ht="42" customHeight="1">
      <x:c r="A2053" s="2" t="str">
        <x:v>fffbffa73675c8e2c75b6b6f</x:v>
      </x:c>
      <x:c r="B2053" s="2" t="str">
        <x:v>감축량 인증</x:v>
      </x:c>
      <x:c r="C2053" s="2" t="str">
        <x:v>국내</x:v>
      </x:c>
      <x:c r="D2053" s="7" t="str">
        <x:v>보광섬유 보일러의 연료전환(B-C유·부생연료유2호-&gt;LNG)을 통한 온실가스감축사업</x:v>
      </x:c>
      <x:c r="E2053" s="2" t="str">
        <x:v>293</x:v>
      </x:c>
      <x:c r="F2053" s="2"/>
      <x:c r="G2053" s="2" t="str">
        <x:v>미확보</x:v>
      </x:c>
      <x:c r="H2053" s="2" t="str">
        <x:v>미확보</x:v>
      </x:c>
      <x:c r="I2053" s="2" t="str">
        <x:v>심의승인</x:v>
      </x:c>
      <x:c r="J2053" s="2" t="str">
        <x:v>심의승인</x:v>
      </x:c>
      <x:c r="K2053" s="2" t="str">
        <x:f>IF(OR(J2053="심의승인",J2053="반려",J2053="반려완료",J2053="심의완료"),"종결 표시",IF(OR(J2053="기후부협의",J2053="문서재제출요청",J2053="보류",J2053="보완요청",J2053="보완완료",J2053="평가중",J2053="반려요청",J2053="평가필요",LEFT(J2053,5)="보완요청("),"미종결 표시","상태 확인 필요"))</x:f>
        <x:v>종결 표시</x:v>
      </x:c>
      <x:c r="L2053" s="2"/>
      <x:c r="M2053" s="2"/>
      <x:c r="N2053" s="8"/>
      <x:c r="O2053" s="2"/>
      <x:c r="P2053" s="2"/>
      <x:c r="Q2053" s="2" t="str">
        <x:v>산업전환_외부사업관리Tool_260707_이너젠 수정_LJY_261013.xlsx</x:v>
      </x:c>
      <x:c r="R2053" s="2" t="str">
        <x:v>국내인증</x:v>
      </x:c>
      <x:c r="S2053" s="8" t="n">
        <x:v>371</x:v>
      </x:c>
      <x:c r="T2053" s="2" t="str">
        <x:v>(4/23),(6/28)</x:v>
      </x:c>
      <x:c r="U2053" s="2" t="str">
        <x:v>2021 배정: (4/23),(6/28)</x:v>
      </x:c>
      <x:c r="V2053" s="2" t="str">
        <x:v>2021-10-07</x:v>
      </x:c>
      <x:c r="W2053" s="2" t="str">
        <x:v>신청일 확인 / 담당기관 확인</x:v>
      </x:c>
      <x:c r="X2053" s="2" t="str">
        <x:v>원본·배정 기록 확인</x:v>
      </x:c>
      <x:c r="Y2053" s="2" t="str">
        <x:v>ad210cd9ec132cfd447541c8984dc53d30aff0f4fb2dc92d254d49275cc55976</x:v>
      </x:c>
      <x:c r="Z2053" s="2" t="n">
        <x:f>SUBTOTAL(103,A2053)</x:f>
        <x:v>1</x:v>
      </x:c>
      <x:c r="AA2053" s="2" t="str">
        <x:f>IF(K2053&lt;&gt;"미종결 표시","대상 아님",IF(N2053="","신청일 확인",IF(NOT(ISNUMBER('종합 현황'!$H$5)),"관찰기준 확인",IF('종합 현황'!$H$5&lt;1,"관찰기준 확인",IF(N2053&gt;'종합 현황'!$H$5,"내부 관찰 대상","내부 관찰일 이하")))))</x:f>
        <x:v>대상 아님</x:v>
      </x:c>
      <x:c r="AB2053" s="2"/>
    </x:row>
    <x:row r="2054" ht="42" customHeight="1">
      <x:c r="A2054" s="2" t="str">
        <x:v>4e620f8cc4f308a47668b10a</x:v>
      </x:c>
      <x:c r="B2054" s="2" t="str">
        <x:v>감축량 인증</x:v>
      </x:c>
      <x:c r="C2054" s="2" t="str">
        <x:v>국내</x:v>
      </x:c>
      <x:c r="D2054" s="7" t="str">
        <x:v>대성나염 스팀보일러 및 열매체보일러 연료교체(B-C유→LNG)를 통한 온실가스(CO2) 배출 감축사업</x:v>
      </x:c>
      <x:c r="E2054" s="2" t="str">
        <x:v>294</x:v>
      </x:c>
      <x:c r="F2054" s="2"/>
      <x:c r="G2054" s="2" t="str">
        <x:v>미확보</x:v>
      </x:c>
      <x:c r="H2054" s="2" t="str">
        <x:v>미확보</x:v>
      </x:c>
      <x:c r="I2054" s="2" t="str">
        <x:v>검토반려</x:v>
      </x:c>
      <x:c r="J2054" s="2" t="str">
        <x:v>반려</x:v>
      </x:c>
      <x:c r="K2054" s="2" t="str">
        <x:f>IF(OR(J2054="심의승인",J2054="반려",J2054="반려완료",J2054="심의완료"),"종결 표시",IF(OR(J2054="기후부협의",J2054="문서재제출요청",J2054="보류",J2054="보완요청",J2054="보완완료",J2054="평가중",J2054="반려요청",J2054="평가필요",LEFT(J2054,5)="보완요청("),"미종결 표시","상태 확인 필요"))</x:f>
        <x:v>종결 표시</x:v>
      </x:c>
      <x:c r="L2054" s="2"/>
      <x:c r="M2054" s="2"/>
      <x:c r="N2054" s="8"/>
      <x:c r="O2054" s="2"/>
      <x:c r="P2054" s="2" t="str">
        <x:v>업체 폐업으로 반려</x:v>
      </x:c>
      <x:c r="Q2054" s="2" t="str">
        <x:v>산업전환_외부사업관리Tool_260707_이너젠 수정_LJY_261013.xlsx</x:v>
      </x:c>
      <x:c r="R2054" s="2" t="str">
        <x:v>국내인증</x:v>
      </x:c>
      <x:c r="S2054" s="8" t="n">
        <x:v>372</x:v>
      </x:c>
      <x:c r="T2054" s="2" t="str">
        <x:v>2021년 처리</x:v>
      </x:c>
      <x:c r="U2054" s="2" t="str">
        <x:v>2021 배정: 2021년 처리</x:v>
      </x:c>
      <x:c r="V2054" s="2" t="str">
        <x:v>2021-07-23</x:v>
      </x:c>
      <x:c r="W2054" s="2" t="str">
        <x:v>신청일 확인 / 담당기관 확인</x:v>
      </x:c>
      <x:c r="X2054" s="2" t="str">
        <x:v>원본·배정 기록 확인</x:v>
      </x:c>
      <x:c r="Y2054" s="2" t="str">
        <x:v>ad210cd9ec132cfd447541c8984dc53d30aff0f4fb2dc92d254d49275cc55976</x:v>
      </x:c>
      <x:c r="Z2054" s="2" t="n">
        <x:f>SUBTOTAL(103,A2054)</x:f>
        <x:v>1</x:v>
      </x:c>
      <x:c r="AA2054" s="2" t="str">
        <x:f>IF(K2054&lt;&gt;"미종결 표시","대상 아님",IF(N2054="","신청일 확인",IF(NOT(ISNUMBER('종합 현황'!$H$5)),"관찰기준 확인",IF('종합 현황'!$H$5&lt;1,"관찰기준 확인",IF(N2054&gt;'종합 현황'!$H$5,"내부 관찰 대상","내부 관찰일 이하")))))</x:f>
        <x:v>대상 아님</x:v>
      </x:c>
      <x:c r="AB2054" s="2"/>
    </x:row>
    <x:row r="2055" ht="42" customHeight="1">
      <x:c r="A2055" s="2" t="str">
        <x:v>ba7bfd828496fd51ae8da14d</x:v>
      </x:c>
      <x:c r="B2055" s="2" t="str">
        <x:v>감축량 인증</x:v>
      </x:c>
      <x:c r="C2055" s="2" t="str">
        <x:v>국내</x:v>
      </x:c>
      <x:c r="D2055" s="7" t="str">
        <x:v>㈜ 상산쎄라믹 버너 연료전환(B-C유-LNG)를 통한 온실가스 감축사업</x:v>
      </x:c>
      <x:c r="E2055" s="2" t="str">
        <x:v>295</x:v>
      </x:c>
      <x:c r="F2055" s="2"/>
      <x:c r="G2055" s="2" t="str">
        <x:v>미확보</x:v>
      </x:c>
      <x:c r="H2055" s="2" t="str">
        <x:v>미확보</x:v>
      </x:c>
      <x:c r="I2055" s="2" t="str">
        <x:v>심의승인</x:v>
      </x:c>
      <x:c r="J2055" s="2" t="str">
        <x:v>심의승인</x:v>
      </x:c>
      <x:c r="K2055" s="2" t="str">
        <x:f>IF(OR(J2055="심의승인",J2055="반려",J2055="반려완료",J2055="심의완료"),"종결 표시",IF(OR(J2055="기후부협의",J2055="문서재제출요청",J2055="보류",J2055="보완요청",J2055="보완완료",J2055="평가중",J2055="반려요청",J2055="평가필요",LEFT(J2055,5)="보완요청("),"미종결 표시","상태 확인 필요"))</x:f>
        <x:v>종결 표시</x:v>
      </x:c>
      <x:c r="L2055" s="2"/>
      <x:c r="M2055" s="2"/>
      <x:c r="N2055" s="8"/>
      <x:c r="O2055" s="2"/>
      <x:c r="P2055" s="2"/>
      <x:c r="Q2055" s="2" t="str">
        <x:v>산업전환_외부사업관리Tool_260707_이너젠 수정_LJY_261013.xlsx</x:v>
      </x:c>
      <x:c r="R2055" s="2" t="str">
        <x:v>국내인증</x:v>
      </x:c>
      <x:c r="S2055" s="8" t="n">
        <x:v>373</x:v>
      </x:c>
      <x:c r="T2055" s="2" t="str">
        <x:v>2021년 처리</x:v>
      </x:c>
      <x:c r="U2055" s="2" t="str">
        <x:v>2021 배정: 2021년 처리</x:v>
      </x:c>
      <x:c r="V2055" s="2" t="str">
        <x:v>2021-07-08</x:v>
      </x:c>
      <x:c r="W2055" s="2" t="str">
        <x:v>신청일 확인 / 담당기관 확인</x:v>
      </x:c>
      <x:c r="X2055" s="2" t="str">
        <x:v>원본·배정 기록 확인</x:v>
      </x:c>
      <x:c r="Y2055" s="2" t="str">
        <x:v>ad210cd9ec132cfd447541c8984dc53d30aff0f4fb2dc92d254d49275cc55976</x:v>
      </x:c>
      <x:c r="Z2055" s="2" t="n">
        <x:f>SUBTOTAL(103,A2055)</x:f>
        <x:v>1</x:v>
      </x:c>
      <x:c r="AA2055" s="2" t="str">
        <x:f>IF(K2055&lt;&gt;"미종결 표시","대상 아님",IF(N2055="","신청일 확인",IF(NOT(ISNUMBER('종합 현황'!$H$5)),"관찰기준 확인",IF('종합 현황'!$H$5&lt;1,"관찰기준 확인",IF(N2055&gt;'종합 현황'!$H$5,"내부 관찰 대상","내부 관찰일 이하")))))</x:f>
        <x:v>대상 아님</x:v>
      </x:c>
      <x:c r="AB2055" s="2"/>
    </x:row>
    <x:row r="2056" ht="42" customHeight="1">
      <x:c r="A2056" s="2" t="str">
        <x:v>ca4bdef95eb6c00ff6bec0d5</x:v>
      </x:c>
      <x:c r="B2056" s="2" t="str">
        <x:v>감축량 인증</x:v>
      </x:c>
      <x:c r="C2056" s="2" t="str">
        <x:v>국내</x:v>
      </x:c>
      <x:c r="D2056" s="7" t="str">
        <x:v>미활용열을 회수하는 사업</x:v>
      </x:c>
      <x:c r="E2056" s="2" t="str">
        <x:v>296</x:v>
      </x:c>
      <x:c r="F2056" s="2"/>
      <x:c r="G2056" s="2" t="str">
        <x:v>미확보</x:v>
      </x:c>
      <x:c r="H2056" s="2" t="str">
        <x:v>미확보</x:v>
      </x:c>
      <x:c r="I2056" s="2" t="str">
        <x:v>심의승인</x:v>
      </x:c>
      <x:c r="J2056" s="2" t="str">
        <x:v>심의승인</x:v>
      </x:c>
      <x:c r="K2056" s="2" t="str">
        <x:f>IF(OR(J2056="심의승인",J2056="반려",J2056="반려완료",J2056="심의완료"),"종결 표시",IF(OR(J2056="기후부협의",J2056="문서재제출요청",J2056="보류",J2056="보완요청",J2056="보완완료",J2056="평가중",J2056="반려요청",J2056="평가필요",LEFT(J2056,5)="보완요청("),"미종결 표시","상태 확인 필요"))</x:f>
        <x:v>종결 표시</x:v>
      </x:c>
      <x:c r="L2056" s="2"/>
      <x:c r="M2056" s="2"/>
      <x:c r="N2056" s="8"/>
      <x:c r="O2056" s="2"/>
      <x:c r="P2056" s="2"/>
      <x:c r="Q2056" s="2" t="str">
        <x:v>산업전환_외부사업관리Tool_260707_이너젠 수정_LJY_261013.xlsx</x:v>
      </x:c>
      <x:c r="R2056" s="2" t="str">
        <x:v>국내인증</x:v>
      </x:c>
      <x:c r="S2056" s="8" t="n">
        <x:v>374</x:v>
      </x:c>
      <x:c r="T2056" s="2" t="str">
        <x:v>(6/28),(9/1)</x:v>
      </x:c>
      <x:c r="U2056" s="2" t="str">
        <x:v>2021 배정: (6/28),(9/1)</x:v>
      </x:c>
      <x:c r="V2056" s="2" t="str">
        <x:v>2022-01-17</x:v>
      </x:c>
      <x:c r="W2056" s="2" t="str">
        <x:v>신청일 확인 / 담당기관 확인</x:v>
      </x:c>
      <x:c r="X2056" s="2" t="str">
        <x:v>원본·배정 기록 확인</x:v>
      </x:c>
      <x:c r="Y2056" s="2" t="str">
        <x:v>ad210cd9ec132cfd447541c8984dc53d30aff0f4fb2dc92d254d49275cc55976</x:v>
      </x:c>
      <x:c r="Z2056" s="2" t="n">
        <x:f>SUBTOTAL(103,A2056)</x:f>
        <x:v>1</x:v>
      </x:c>
      <x:c r="AA2056" s="2" t="str">
        <x:f>IF(K2056&lt;&gt;"미종결 표시","대상 아님",IF(N2056="","신청일 확인",IF(NOT(ISNUMBER('종합 현황'!$H$5)),"관찰기준 확인",IF('종합 현황'!$H$5&lt;1,"관찰기준 확인",IF(N2056&gt;'종합 현황'!$H$5,"내부 관찰 대상","내부 관찰일 이하")))))</x:f>
        <x:v>대상 아님</x:v>
      </x:c>
      <x:c r="AB2056" s="2"/>
    </x:row>
    <x:row r="2057" ht="42" customHeight="1">
      <x:c r="A2057" s="2" t="str">
        <x:v>e4399c5209cb14f6592a574d</x:v>
      </x:c>
      <x:c r="B2057" s="2" t="str">
        <x:v>감축량 인증</x:v>
      </x:c>
      <x:c r="C2057" s="2" t="str">
        <x:v>국내</x:v>
      </x:c>
      <x:c r="D2057" s="7" t="str">
        <x:v>(주)산하의 아스콘 제조 사업장의 버너연료를 B-C유에서 LNG로 연료 전환하는 온실가스 감축사업</x:v>
      </x:c>
      <x:c r="E2057" s="2" t="str">
        <x:v>297</x:v>
      </x:c>
      <x:c r="F2057" s="2"/>
      <x:c r="G2057" s="2" t="str">
        <x:v>미확보</x:v>
      </x:c>
      <x:c r="H2057" s="2" t="str">
        <x:v>미확보</x:v>
      </x:c>
      <x:c r="I2057" s="2" t="str">
        <x:v>심의승인</x:v>
      </x:c>
      <x:c r="J2057" s="2" t="str">
        <x:v>심의승인</x:v>
      </x:c>
      <x:c r="K2057" s="2" t="str">
        <x:f>IF(OR(J2057="심의승인",J2057="반려",J2057="반려완료",J2057="심의완료"),"종결 표시",IF(OR(J2057="기후부협의",J2057="문서재제출요청",J2057="보류",J2057="보완요청",J2057="보완완료",J2057="평가중",J2057="반려요청",J2057="평가필요",LEFT(J2057,5)="보완요청("),"미종결 표시","상태 확인 필요"))</x:f>
        <x:v>종결 표시</x:v>
      </x:c>
      <x:c r="L2057" s="2"/>
      <x:c r="M2057" s="2"/>
      <x:c r="N2057" s="8"/>
      <x:c r="O2057" s="2"/>
      <x:c r="P2057" s="2"/>
      <x:c r="Q2057" s="2" t="str">
        <x:v>산업전환_외부사업관리Tool_260707_이너젠 수정_LJY_261013.xlsx</x:v>
      </x:c>
      <x:c r="R2057" s="2" t="str">
        <x:v>국내인증</x:v>
      </x:c>
      <x:c r="S2057" s="8" t="n">
        <x:v>375</x:v>
      </x:c>
      <x:c r="T2057" s="2"/>
      <x:c r="U2057" s="2" t="str"/>
      <x:c r="V2057" s="2" t="str">
        <x:v>2020-10-27</x:v>
      </x:c>
      <x:c r="W2057" s="2" t="str">
        <x:v>신청일 확인 / 담당기관 확인</x:v>
      </x:c>
      <x:c r="X2057" s="2" t="str">
        <x:v>원본·배정 기록 확인</x:v>
      </x:c>
      <x:c r="Y2057" s="2" t="str">
        <x:v>ad210cd9ec132cfd447541c8984dc53d30aff0f4fb2dc92d254d49275cc55976</x:v>
      </x:c>
      <x:c r="Z2057" s="2" t="n">
        <x:f>SUBTOTAL(103,A2057)</x:f>
        <x:v>1</x:v>
      </x:c>
      <x:c r="AA2057" s="2" t="str">
        <x:f>IF(K2057&lt;&gt;"미종결 표시","대상 아님",IF(N2057="","신청일 확인",IF(NOT(ISNUMBER('종합 현황'!$H$5)),"관찰기준 확인",IF('종합 현황'!$H$5&lt;1,"관찰기준 확인",IF(N2057&gt;'종합 현황'!$H$5,"내부 관찰 대상","내부 관찰일 이하")))))</x:f>
        <x:v>대상 아님</x:v>
      </x:c>
      <x:c r="AB2057" s="2"/>
    </x:row>
    <x:row r="2058" ht="42" customHeight="1">
      <x:c r="A2058" s="2" t="str">
        <x:v>eaddd5dc40a00cb3bbebb679</x:v>
      </x:c>
      <x:c r="B2058" s="2" t="str">
        <x:v>감축량 인증</x:v>
      </x:c>
      <x:c r="C2058" s="2" t="str">
        <x:v>국내</x:v>
      </x:c>
      <x:c r="D2058" s="7" t="str">
        <x:v>케이티세라믹 당진사업장 소성로 및 드라이어의 연료교체(LPG-&gt;LNG)를 통한 온실가스 배출 감축사업</x:v>
      </x:c>
      <x:c r="E2058" s="2" t="str">
        <x:v>298</x:v>
      </x:c>
      <x:c r="F2058" s="2"/>
      <x:c r="G2058" s="2" t="str">
        <x:v>미확보</x:v>
      </x:c>
      <x:c r="H2058" s="2" t="str">
        <x:v>미확보</x:v>
      </x:c>
      <x:c r="I2058" s="2" t="str">
        <x:v>심의승인</x:v>
      </x:c>
      <x:c r="J2058" s="2" t="str">
        <x:v>심의승인</x:v>
      </x:c>
      <x:c r="K2058" s="2" t="str">
        <x:f>IF(OR(J2058="심의승인",J2058="반려",J2058="반려완료",J2058="심의완료"),"종결 표시",IF(OR(J2058="기후부협의",J2058="문서재제출요청",J2058="보류",J2058="보완요청",J2058="보완완료",J2058="평가중",J2058="반려요청",J2058="평가필요",LEFT(J2058,5)="보완요청("),"미종결 표시","상태 확인 필요"))</x:f>
        <x:v>종결 표시</x:v>
      </x:c>
      <x:c r="L2058" s="2"/>
      <x:c r="M2058" s="2"/>
      <x:c r="N2058" s="8"/>
      <x:c r="O2058" s="2"/>
      <x:c r="P2058" s="2"/>
      <x:c r="Q2058" s="2" t="str">
        <x:v>산업전환_외부사업관리Tool_260707_이너젠 수정_LJY_261013.xlsx</x:v>
      </x:c>
      <x:c r="R2058" s="2" t="str">
        <x:v>국내인증</x:v>
      </x:c>
      <x:c r="S2058" s="8" t="n">
        <x:v>376</x:v>
      </x:c>
      <x:c r="T2058" s="2" t="str">
        <x:v>(6/3),(7/12),(10/20)</x:v>
      </x:c>
      <x:c r="U2058" s="2" t="str">
        <x:v>2021 배정: (6/3),(7/12),(10/20) / 2022 배정: (4/19)</x:v>
      </x:c>
      <x:c r="V2058" s="2" t="str">
        <x:v>2022-07-14</x:v>
      </x:c>
      <x:c r="W2058" s="2" t="str">
        <x:v>신청일 확인 / 담당기관 확인</x:v>
      </x:c>
      <x:c r="X2058" s="2" t="str">
        <x:v>원본·배정 기록 확인</x:v>
      </x:c>
      <x:c r="Y2058" s="2" t="str">
        <x:v>ad210cd9ec132cfd447541c8984dc53d30aff0f4fb2dc92d254d49275cc55976</x:v>
      </x:c>
      <x:c r="Z2058" s="2" t="n">
        <x:f>SUBTOTAL(103,A2058)</x:f>
        <x:v>1</x:v>
      </x:c>
      <x:c r="AA2058" s="2" t="str">
        <x:f>IF(K2058&lt;&gt;"미종결 표시","대상 아님",IF(N2058="","신청일 확인",IF(NOT(ISNUMBER('종합 현황'!$H$5)),"관찰기준 확인",IF('종합 현황'!$H$5&lt;1,"관찰기준 확인",IF(N2058&gt;'종합 현황'!$H$5,"내부 관찰 대상","내부 관찰일 이하")))))</x:f>
        <x:v>대상 아님</x:v>
      </x:c>
      <x:c r="AB2058" s="2"/>
    </x:row>
    <x:row r="2059" ht="42" customHeight="1">
      <x:c r="A2059" s="2" t="str">
        <x:v>ac6549e2be6ad282f34db69e</x:v>
      </x:c>
      <x:c r="B2059" s="2" t="str">
        <x:v>감축량 인증</x:v>
      </x:c>
      <x:c r="C2059" s="2" t="str">
        <x:v>국내</x:v>
      </x:c>
      <x:c r="D2059" s="7" t="str">
        <x:v>해담식품 스팀보일러 연료전환(B-C유 → LPG)을 통한 온실가스(CO2) 감축사업</x:v>
      </x:c>
      <x:c r="E2059" s="2" t="str">
        <x:v>299</x:v>
      </x:c>
      <x:c r="F2059" s="2"/>
      <x:c r="G2059" s="2" t="str">
        <x:v>미확보</x:v>
      </x:c>
      <x:c r="H2059" s="2" t="str">
        <x:v>미확보</x:v>
      </x:c>
      <x:c r="I2059" s="2" t="str">
        <x:v>심의승인</x:v>
      </x:c>
      <x:c r="J2059" s="2" t="str">
        <x:v>심의승인</x:v>
      </x:c>
      <x:c r="K2059" s="2" t="str">
        <x:f>IF(OR(J2059="심의승인",J2059="반려",J2059="반려완료",J2059="심의완료"),"종결 표시",IF(OR(J2059="기후부협의",J2059="문서재제출요청",J2059="보류",J2059="보완요청",J2059="보완완료",J2059="평가중",J2059="반려요청",J2059="평가필요",LEFT(J2059,5)="보완요청("),"미종결 표시","상태 확인 필요"))</x:f>
        <x:v>종결 표시</x:v>
      </x:c>
      <x:c r="L2059" s="2"/>
      <x:c r="M2059" s="2"/>
      <x:c r="N2059" s="8"/>
      <x:c r="O2059" s="2"/>
      <x:c r="P2059" s="2"/>
      <x:c r="Q2059" s="2" t="str">
        <x:v>산업전환_외부사업관리Tool_260707_이너젠 수정_LJY_261013.xlsx</x:v>
      </x:c>
      <x:c r="R2059" s="2" t="str">
        <x:v>국내인증</x:v>
      </x:c>
      <x:c r="S2059" s="8" t="n">
        <x:v>377</x:v>
      </x:c>
      <x:c r="T2059" s="2"/>
      <x:c r="U2059" s="2" t="str"/>
      <x:c r="V2059" s="2" t="str">
        <x:v>2020-10-27</x:v>
      </x:c>
      <x:c r="W2059" s="2" t="str">
        <x:v>신청일 확인 / 담당기관 확인</x:v>
      </x:c>
      <x:c r="X2059" s="2" t="str">
        <x:v>원본·배정 기록 확인</x:v>
      </x:c>
      <x:c r="Y2059" s="2" t="str">
        <x:v>ad210cd9ec132cfd447541c8984dc53d30aff0f4fb2dc92d254d49275cc55976</x:v>
      </x:c>
      <x:c r="Z2059" s="2" t="n">
        <x:f>SUBTOTAL(103,A2059)</x:f>
        <x:v>1</x:v>
      </x:c>
      <x:c r="AA2059" s="2" t="str">
        <x:f>IF(K2059&lt;&gt;"미종결 표시","대상 아님",IF(N2059="","신청일 확인",IF(NOT(ISNUMBER('종합 현황'!$H$5)),"관찰기준 확인",IF('종합 현황'!$H$5&lt;1,"관찰기준 확인",IF(N2059&gt;'종합 현황'!$H$5,"내부 관찰 대상","내부 관찰일 이하")))))</x:f>
        <x:v>대상 아님</x:v>
      </x:c>
      <x:c r="AB2059" s="2"/>
    </x:row>
    <x:row r="2060" ht="42" customHeight="1">
      <x:c r="A2060" s="2" t="str">
        <x:v>1ca6d8bdb598fc4d3c32e4f5</x:v>
      </x:c>
      <x:c r="B2060" s="2" t="str">
        <x:v>감축량 인증</x:v>
      </x:c>
      <x:c r="C2060" s="2" t="str">
        <x:v>국내</x:v>
      </x:c>
      <x:c r="D2060" s="7" t="str">
        <x:v>주식회사 동녘 아스콘 드라이어 버너 연료전환(B-C유, 정제유 → LPG)을 통한 온실가스(CO2) 감축사업</x:v>
      </x:c>
      <x:c r="E2060" s="2" t="str">
        <x:v>300</x:v>
      </x:c>
      <x:c r="F2060" s="2"/>
      <x:c r="G2060" s="2" t="str">
        <x:v>미확보</x:v>
      </x:c>
      <x:c r="H2060" s="2" t="str">
        <x:v>미확보</x:v>
      </x:c>
      <x:c r="I2060" s="2" t="str">
        <x:v>심의승인</x:v>
      </x:c>
      <x:c r="J2060" s="2" t="str">
        <x:v>심의승인</x:v>
      </x:c>
      <x:c r="K2060" s="2" t="str">
        <x:f>IF(OR(J2060="심의승인",J2060="반려",J2060="반려완료",J2060="심의완료"),"종결 표시",IF(OR(J2060="기후부협의",J2060="문서재제출요청",J2060="보류",J2060="보완요청",J2060="보완완료",J2060="평가중",J2060="반려요청",J2060="평가필요",LEFT(J2060,5)="보완요청("),"미종결 표시","상태 확인 필요"))</x:f>
        <x:v>종결 표시</x:v>
      </x:c>
      <x:c r="L2060" s="2"/>
      <x:c r="M2060" s="2"/>
      <x:c r="N2060" s="8"/>
      <x:c r="O2060" s="2"/>
      <x:c r="P2060" s="2"/>
      <x:c r="Q2060" s="2" t="str">
        <x:v>산업전환_외부사업관리Tool_260707_이너젠 수정_LJY_261013.xlsx</x:v>
      </x:c>
      <x:c r="R2060" s="2" t="str">
        <x:v>국내인증</x:v>
      </x:c>
      <x:c r="S2060" s="8" t="n">
        <x:v>378</x:v>
      </x:c>
      <x:c r="T2060" s="2" t="str">
        <x:v>(4/23),(11/2)</x:v>
      </x:c>
      <x:c r="U2060" s="2" t="str">
        <x:v>2021 배정: (4/23),(11/2) / 2022 배정: (4/19),(6/10)</x:v>
      </x:c>
      <x:c r="V2060" s="2" t="str">
        <x:v>2022-12-28</x:v>
      </x:c>
      <x:c r="W2060" s="2" t="str">
        <x:v>신청일 확인 / 담당기관 확인</x:v>
      </x:c>
      <x:c r="X2060" s="2" t="str">
        <x:v>원본·배정 기록 확인</x:v>
      </x:c>
      <x:c r="Y2060" s="2" t="str">
        <x:v>ad210cd9ec132cfd447541c8984dc53d30aff0f4fb2dc92d254d49275cc55976</x:v>
      </x:c>
      <x:c r="Z2060" s="2" t="n">
        <x:f>SUBTOTAL(103,A2060)</x:f>
        <x:v>1</x:v>
      </x:c>
      <x:c r="AA2060" s="2" t="str">
        <x:f>IF(K2060&lt;&gt;"미종결 표시","대상 아님",IF(N2060="","신청일 확인",IF(NOT(ISNUMBER('종합 현황'!$H$5)),"관찰기준 확인",IF('종합 현황'!$H$5&lt;1,"관찰기준 확인",IF(N2060&gt;'종합 현황'!$H$5,"내부 관찰 대상","내부 관찰일 이하")))))</x:f>
        <x:v>대상 아님</x:v>
      </x:c>
      <x:c r="AB2060" s="2"/>
    </x:row>
    <x:row r="2061" ht="42" customHeight="1">
      <x:c r="A2061" s="2" t="str">
        <x:v>fd43413eea1e9ef9d40a1e31</x:v>
      </x:c>
      <x:c r="B2061" s="2" t="str">
        <x:v>감축량 인증</x:v>
      </x:c>
      <x:c r="C2061" s="2" t="str">
        <x:v>국내</x:v>
      </x:c>
      <x:c r="D2061" s="7" t="str">
        <x:v>신성금속 용해로 버너교체에 따른 설비 성능개선 및 연료전환을 통한 온실가스 감축사업</x:v>
      </x:c>
      <x:c r="E2061" s="2" t="str">
        <x:v>301</x:v>
      </x:c>
      <x:c r="F2061" s="2"/>
      <x:c r="G2061" s="2" t="str">
        <x:v>미확보</x:v>
      </x:c>
      <x:c r="H2061" s="2" t="str">
        <x:v>미확보</x:v>
      </x:c>
      <x:c r="I2061" s="2" t="str">
        <x:v>심의승인</x:v>
      </x:c>
      <x:c r="J2061" s="2" t="str">
        <x:v>심의승인</x:v>
      </x:c>
      <x:c r="K2061" s="2" t="str">
        <x:f>IF(OR(J2061="심의승인",J2061="반려",J2061="반려완료",J2061="심의완료"),"종결 표시",IF(OR(J2061="기후부협의",J2061="문서재제출요청",J2061="보류",J2061="보완요청",J2061="보완완료",J2061="평가중",J2061="반려요청",J2061="평가필요",LEFT(J2061,5)="보완요청("),"미종결 표시","상태 확인 필요"))</x:f>
        <x:v>종결 표시</x:v>
      </x:c>
      <x:c r="L2061" s="2"/>
      <x:c r="M2061" s="2"/>
      <x:c r="N2061" s="8"/>
      <x:c r="O2061" s="2"/>
      <x:c r="P2061" s="2"/>
      <x:c r="Q2061" s="2" t="str">
        <x:v>산업전환_외부사업관리Tool_260707_이너젠 수정_LJY_261013.xlsx</x:v>
      </x:c>
      <x:c r="R2061" s="2" t="str">
        <x:v>국내인증</x:v>
      </x:c>
      <x:c r="S2061" s="8" t="n">
        <x:v>379</x:v>
      </x:c>
      <x:c r="T2061" s="2" t="str">
        <x:v>(4/23),(9/1)</x:v>
      </x:c>
      <x:c r="U2061" s="2" t="str">
        <x:v>2021 배정: (4/23),(9/1)</x:v>
      </x:c>
      <x:c r="V2061" s="2" t="str">
        <x:v>2022-01-17</x:v>
      </x:c>
      <x:c r="W2061" s="2" t="str">
        <x:v>신청일 확인 / 담당기관 확인</x:v>
      </x:c>
      <x:c r="X2061" s="2" t="str">
        <x:v>원본·배정 기록 확인</x:v>
      </x:c>
      <x:c r="Y2061" s="2" t="str">
        <x:v>ad210cd9ec132cfd447541c8984dc53d30aff0f4fb2dc92d254d49275cc55976</x:v>
      </x:c>
      <x:c r="Z2061" s="2" t="n">
        <x:f>SUBTOTAL(103,A2061)</x:f>
        <x:v>1</x:v>
      </x:c>
      <x:c r="AA2061" s="2" t="str">
        <x:f>IF(K2061&lt;&gt;"미종결 표시","대상 아님",IF(N2061="","신청일 확인",IF(NOT(ISNUMBER('종합 현황'!$H$5)),"관찰기준 확인",IF('종합 현황'!$H$5&lt;1,"관찰기준 확인",IF(N2061&gt;'종합 현황'!$H$5,"내부 관찰 대상","내부 관찰일 이하")))))</x:f>
        <x:v>대상 아님</x:v>
      </x:c>
      <x:c r="AB2061" s="2"/>
    </x:row>
    <x:row r="2062" ht="42" customHeight="1">
      <x:c r="A2062" s="2" t="str">
        <x:v>b647ed4bd41bb4dc34e0c966</x:v>
      </x:c>
      <x:c r="B2062" s="2" t="str">
        <x:v>감축량 인증</x:v>
      </x:c>
      <x:c r="C2062" s="2" t="str">
        <x:v>국내</x:v>
      </x:c>
      <x:c r="D2062" s="7" t="str">
        <x:v>대경화학 증기재압축장치 등(B-C유를 LNG로 연료전환) 설치를 통한 온실가스 감축사업</x:v>
      </x:c>
      <x:c r="E2062" s="2" t="str">
        <x:v>302</x:v>
      </x:c>
      <x:c r="F2062" s="2"/>
      <x:c r="G2062" s="2" t="str">
        <x:v>미확보</x:v>
      </x:c>
      <x:c r="H2062" s="2" t="str">
        <x:v>미확보</x:v>
      </x:c>
      <x:c r="I2062" s="2" t="str">
        <x:v>심의승인</x:v>
      </x:c>
      <x:c r="J2062" s="2" t="str">
        <x:v>심의승인</x:v>
      </x:c>
      <x:c r="K2062" s="2" t="str">
        <x:f>IF(OR(J2062="심의승인",J2062="반려",J2062="반려완료",J2062="심의완료"),"종결 표시",IF(OR(J2062="기후부협의",J2062="문서재제출요청",J2062="보류",J2062="보완요청",J2062="보완완료",J2062="평가중",J2062="반려요청",J2062="평가필요",LEFT(J2062,5)="보완요청("),"미종결 표시","상태 확인 필요"))</x:f>
        <x:v>종결 표시</x:v>
      </x:c>
      <x:c r="L2062" s="2"/>
      <x:c r="M2062" s="2"/>
      <x:c r="N2062" s="8"/>
      <x:c r="O2062" s="2"/>
      <x:c r="P2062" s="2"/>
      <x:c r="Q2062" s="2" t="str">
        <x:v>산업전환_외부사업관리Tool_260707_이너젠 수정_LJY_261013.xlsx</x:v>
      </x:c>
      <x:c r="R2062" s="2" t="str">
        <x:v>국내인증</x:v>
      </x:c>
      <x:c r="S2062" s="8" t="n">
        <x:v>380</x:v>
      </x:c>
      <x:c r="T2062" s="2" t="str">
        <x:v>(6/28),(9/1)</x:v>
      </x:c>
      <x:c r="U2062" s="2" t="str">
        <x:v>2021 배정: (6/28),(9/1)</x:v>
      </x:c>
      <x:c r="V2062" s="2" t="str">
        <x:v>2022-01-17</x:v>
      </x:c>
      <x:c r="W2062" s="2" t="str">
        <x:v>신청일 확인 / 담당기관 확인</x:v>
      </x:c>
      <x:c r="X2062" s="2" t="str">
        <x:v>원본·배정 기록 확인</x:v>
      </x:c>
      <x:c r="Y2062" s="2" t="str">
        <x:v>ad210cd9ec132cfd447541c8984dc53d30aff0f4fb2dc92d254d49275cc55976</x:v>
      </x:c>
      <x:c r="Z2062" s="2" t="n">
        <x:f>SUBTOTAL(103,A2062)</x:f>
        <x:v>1</x:v>
      </x:c>
      <x:c r="AA2062" s="2" t="str">
        <x:f>IF(K2062&lt;&gt;"미종결 표시","대상 아님",IF(N2062="","신청일 확인",IF(NOT(ISNUMBER('종합 현황'!$H$5)),"관찰기준 확인",IF('종합 현황'!$H$5&lt;1,"관찰기준 확인",IF(N2062&gt;'종합 현황'!$H$5,"내부 관찰 대상","내부 관찰일 이하")))))</x:f>
        <x:v>대상 아님</x:v>
      </x:c>
      <x:c r="AB2062" s="2"/>
    </x:row>
    <x:row r="2063" ht="42" customHeight="1">
      <x:c r="A2063" s="2" t="str">
        <x:v>db70698ca58549e15af93fbb</x:v>
      </x:c>
      <x:c r="B2063" s="2" t="str">
        <x:v>감축량 인증</x:v>
      </x:c>
      <x:c r="C2063" s="2" t="str">
        <x:v>국내</x:v>
      </x:c>
      <x:c r="D2063" s="7" t="str">
        <x:v>대동EPS의 보일러 교체(B-C유 -&gt; 목재펠릿보일러)를 통한 온실가스 감축사업</x:v>
      </x:c>
      <x:c r="E2063" s="2" t="str">
        <x:v>303</x:v>
      </x:c>
      <x:c r="F2063" s="2"/>
      <x:c r="G2063" s="2" t="str">
        <x:v>미확보</x:v>
      </x:c>
      <x:c r="H2063" s="2" t="str">
        <x:v>미확보</x:v>
      </x:c>
      <x:c r="I2063" s="2" t="str">
        <x:v>심의승인</x:v>
      </x:c>
      <x:c r="J2063" s="2" t="str">
        <x:v>심의승인</x:v>
      </x:c>
      <x:c r="K2063" s="2" t="str">
        <x:f>IF(OR(J2063="심의승인",J2063="반려",J2063="반려완료",J2063="심의완료"),"종결 표시",IF(OR(J2063="기후부협의",J2063="문서재제출요청",J2063="보류",J2063="보완요청",J2063="보완완료",J2063="평가중",J2063="반려요청",J2063="평가필요",LEFT(J2063,5)="보완요청("),"미종결 표시","상태 확인 필요"))</x:f>
        <x:v>종결 표시</x:v>
      </x:c>
      <x:c r="L2063" s="2"/>
      <x:c r="M2063" s="2"/>
      <x:c r="N2063" s="8"/>
      <x:c r="O2063" s="2"/>
      <x:c r="P2063" s="2"/>
      <x:c r="Q2063" s="2" t="str">
        <x:v>산업전환_외부사업관리Tool_260707_이너젠 수정_LJY_261013.xlsx</x:v>
      </x:c>
      <x:c r="R2063" s="2" t="str">
        <x:v>국내인증</x:v>
      </x:c>
      <x:c r="S2063" s="8" t="n">
        <x:v>381</x:v>
      </x:c>
      <x:c r="T2063" s="2" t="str">
        <x:v>(4/23),(7/12),(10/20)</x:v>
      </x:c>
      <x:c r="U2063" s="2" t="str">
        <x:v>2021 배정: (4/23),(7/12),(10/20)</x:v>
      </x:c>
      <x:c r="V2063" s="2" t="str">
        <x:v>2022-01-17</x:v>
      </x:c>
      <x:c r="W2063" s="2" t="str">
        <x:v>신청일 확인 / 담당기관 확인</x:v>
      </x:c>
      <x:c r="X2063" s="2" t="str">
        <x:v>원본·배정 기록 확인</x:v>
      </x:c>
      <x:c r="Y2063" s="2" t="str">
        <x:v>ad210cd9ec132cfd447541c8984dc53d30aff0f4fb2dc92d254d49275cc55976</x:v>
      </x:c>
      <x:c r="Z2063" s="2" t="n">
        <x:f>SUBTOTAL(103,A2063)</x:f>
        <x:v>1</x:v>
      </x:c>
      <x:c r="AA2063" s="2" t="str">
        <x:f>IF(K2063&lt;&gt;"미종결 표시","대상 아님",IF(N2063="","신청일 확인",IF(NOT(ISNUMBER('종합 현황'!$H$5)),"관찰기준 확인",IF('종합 현황'!$H$5&lt;1,"관찰기준 확인",IF(N2063&gt;'종합 현황'!$H$5,"내부 관찰 대상","내부 관찰일 이하")))))</x:f>
        <x:v>대상 아님</x:v>
      </x:c>
      <x:c r="AB2063" s="2"/>
    </x:row>
    <x:row r="2064" ht="42" customHeight="1">
      <x:c r="A2064" s="2" t="str">
        <x:v>6f40cca20d88db72b7facc4e</x:v>
      </x:c>
      <x:c r="B2064" s="2" t="str">
        <x:v>감축량 인증</x:v>
      </x:c>
      <x:c r="C2064" s="2" t="str">
        <x:v>국내</x:v>
      </x:c>
      <x:c r="D2064" s="7" t="str">
        <x:v>대흥산업 열매체 보일러의 연료교체(B-C유→LNG)를 통한 온실가스(CO2) 배출 감축사업</x:v>
      </x:c>
      <x:c r="E2064" s="2" t="str">
        <x:v>304</x:v>
      </x:c>
      <x:c r="F2064" s="2"/>
      <x:c r="G2064" s="2" t="str">
        <x:v>미확보</x:v>
      </x:c>
      <x:c r="H2064" s="2" t="str">
        <x:v>미확보</x:v>
      </x:c>
      <x:c r="I2064" s="2" t="str">
        <x:v>심의승인</x:v>
      </x:c>
      <x:c r="J2064" s="2" t="str">
        <x:v>심의승인</x:v>
      </x:c>
      <x:c r="K2064" s="2" t="str">
        <x:f>IF(OR(J2064="심의승인",J2064="반려",J2064="반려완료",J2064="심의완료"),"종결 표시",IF(OR(J2064="기후부협의",J2064="문서재제출요청",J2064="보류",J2064="보완요청",J2064="보완완료",J2064="평가중",J2064="반려요청",J2064="평가필요",LEFT(J2064,5)="보완요청("),"미종결 표시","상태 확인 필요"))</x:f>
        <x:v>종결 표시</x:v>
      </x:c>
      <x:c r="L2064" s="2"/>
      <x:c r="M2064" s="2"/>
      <x:c r="N2064" s="8"/>
      <x:c r="O2064" s="2"/>
      <x:c r="P2064" s="2"/>
      <x:c r="Q2064" s="2" t="str">
        <x:v>산업전환_외부사업관리Tool_260707_이너젠 수정_LJY_261013.xlsx</x:v>
      </x:c>
      <x:c r="R2064" s="2" t="str">
        <x:v>국내인증</x:v>
      </x:c>
      <x:c r="S2064" s="8" t="n">
        <x:v>382</x:v>
      </x:c>
      <x:c r="T2064" s="2" t="str">
        <x:v>2021년 처리</x:v>
      </x:c>
      <x:c r="U2064" s="2" t="str">
        <x:v>2021 배정: 2021년 처리</x:v>
      </x:c>
      <x:c r="V2064" s="2" t="str">
        <x:v>2021-06-21</x:v>
      </x:c>
      <x:c r="W2064" s="2" t="str">
        <x:v>신청일 확인 / 담당기관 확인</x:v>
      </x:c>
      <x:c r="X2064" s="2" t="str">
        <x:v>원본·배정 기록 확인</x:v>
      </x:c>
      <x:c r="Y2064" s="2" t="str">
        <x:v>ad210cd9ec132cfd447541c8984dc53d30aff0f4fb2dc92d254d49275cc55976</x:v>
      </x:c>
      <x:c r="Z2064" s="2" t="n">
        <x:f>SUBTOTAL(103,A2064)</x:f>
        <x:v>1</x:v>
      </x:c>
      <x:c r="AA2064" s="2" t="str">
        <x:f>IF(K2064&lt;&gt;"미종결 표시","대상 아님",IF(N2064="","신청일 확인",IF(NOT(ISNUMBER('종합 현황'!$H$5)),"관찰기준 확인",IF('종합 현황'!$H$5&lt;1,"관찰기준 확인",IF(N2064&gt;'종합 현황'!$H$5,"내부 관찰 대상","내부 관찰일 이하")))))</x:f>
        <x:v>대상 아님</x:v>
      </x:c>
      <x:c r="AB2064" s="2"/>
    </x:row>
    <x:row r="2065" ht="42" customHeight="1">
      <x:c r="A2065" s="2" t="str">
        <x:v>a8d8107bfa8e7224966503e3</x:v>
      </x:c>
      <x:c r="B2065" s="2" t="str">
        <x:v>감축량 인증</x:v>
      </x:c>
      <x:c r="C2065" s="2" t="str">
        <x:v>국내</x:v>
      </x:c>
      <x:c r="D2065" s="7" t="str">
        <x:v>도형아스콘 버너 연료전환을 통한 온실가스 감축사업</x:v>
      </x:c>
      <x:c r="E2065" s="2" t="str">
        <x:v>305</x:v>
      </x:c>
      <x:c r="F2065" s="2"/>
      <x:c r="G2065" s="2" t="str">
        <x:v>미확보</x:v>
      </x:c>
      <x:c r="H2065" s="2" t="str">
        <x:v>미확보</x:v>
      </x:c>
      <x:c r="I2065" s="2" t="str">
        <x:v>심의승인</x:v>
      </x:c>
      <x:c r="J2065" s="2" t="str">
        <x:v>심의승인</x:v>
      </x:c>
      <x:c r="K2065" s="2" t="str">
        <x:f>IF(OR(J2065="심의승인",J2065="반려",J2065="반려완료",J2065="심의완료"),"종결 표시",IF(OR(J2065="기후부협의",J2065="문서재제출요청",J2065="보류",J2065="보완요청",J2065="보완완료",J2065="평가중",J2065="반려요청",J2065="평가필요",LEFT(J2065,5)="보완요청("),"미종결 표시","상태 확인 필요"))</x:f>
        <x:v>종결 표시</x:v>
      </x:c>
      <x:c r="L2065" s="2"/>
      <x:c r="M2065" s="2"/>
      <x:c r="N2065" s="8"/>
      <x:c r="O2065" s="2"/>
      <x:c r="P2065" s="2"/>
      <x:c r="Q2065" s="2" t="str">
        <x:v>산업전환_외부사업관리Tool_260707_이너젠 수정_LJY_261013.xlsx</x:v>
      </x:c>
      <x:c r="R2065" s="2" t="str">
        <x:v>국내인증</x:v>
      </x:c>
      <x:c r="S2065" s="8" t="n">
        <x:v>383</x:v>
      </x:c>
      <x:c r="T2065" s="2" t="str">
        <x:v>(6/28)</x:v>
      </x:c>
      <x:c r="U2065" s="2" t="str">
        <x:v>2021 배정: (6/28)</x:v>
      </x:c>
      <x:c r="V2065" s="2" t="str">
        <x:v>2021-10-07</x:v>
      </x:c>
      <x:c r="W2065" s="2" t="str">
        <x:v>신청일 확인 / 담당기관 확인</x:v>
      </x:c>
      <x:c r="X2065" s="2" t="str">
        <x:v>원본·배정 기록 확인</x:v>
      </x:c>
      <x:c r="Y2065" s="2" t="str">
        <x:v>ad210cd9ec132cfd447541c8984dc53d30aff0f4fb2dc92d254d49275cc55976</x:v>
      </x:c>
      <x:c r="Z2065" s="2" t="n">
        <x:f>SUBTOTAL(103,A2065)</x:f>
        <x:v>1</x:v>
      </x:c>
      <x:c r="AA2065" s="2" t="str">
        <x:f>IF(K2065&lt;&gt;"미종결 표시","대상 아님",IF(N2065="","신청일 확인",IF(NOT(ISNUMBER('종합 현황'!$H$5)),"관찰기준 확인",IF('종합 현황'!$H$5&lt;1,"관찰기준 확인",IF(N2065&gt;'종합 현황'!$H$5,"내부 관찰 대상","내부 관찰일 이하")))))</x:f>
        <x:v>대상 아님</x:v>
      </x:c>
      <x:c r="AB2065" s="2"/>
    </x:row>
    <x:row r="2066" ht="42" customHeight="1">
      <x:c r="A2066" s="2" t="str">
        <x:v>a618835b16c4036e993089a9</x:v>
      </x:c>
      <x:c r="B2066" s="2" t="str">
        <x:v>감축량 인증</x:v>
      </x:c>
      <x:c r="C2066" s="2" t="str">
        <x:v>국내</x:v>
      </x:c>
      <x:c r="D2066" s="7" t="str">
        <x:v>케이비에프 보일러의 연료전환(부생연료2호-&gt;LPG)을 통한 온실가스 감축 사업</x:v>
      </x:c>
      <x:c r="E2066" s="2" t="str">
        <x:v>306</x:v>
      </x:c>
      <x:c r="F2066" s="2" t="str">
        <x:v>2019-11-14</x:v>
      </x:c>
      <x:c r="G2066" s="2" t="str">
        <x:v>2019</x:v>
      </x:c>
      <x:c r="H2066" s="2" t="str">
        <x:v>11</x:v>
      </x:c>
      <x:c r="I2066" s="2" t="str">
        <x:v>심의승인</x:v>
      </x:c>
      <x:c r="J2066" s="2" t="str">
        <x:v>심의승인</x:v>
      </x:c>
      <x:c r="K2066" s="2" t="str">
        <x:f>IF(OR(J2066="심의승인",J2066="반려",J2066="반려완료",J2066="심의완료"),"종결 표시",IF(OR(J2066="기후부협의",J2066="문서재제출요청",J2066="보류",J2066="보완요청",J2066="보완완료",J2066="평가중",J2066="반려요청",J2066="평가필요",LEFT(J2066,5)="보완요청("),"미종결 표시","상태 확인 필요"))</x:f>
        <x:v>종결 표시</x:v>
      </x:c>
      <x:c r="L2066" s="2"/>
      <x:c r="M2066" s="2"/>
      <x:c r="N2066" s="8" t="n">
        <x:f>DATE(2026,10,15)-DATE(2019,11,14)</x:f>
        <x:v>2527</x:v>
      </x:c>
      <x:c r="O2066" s="2"/>
      <x:c r="P2066" s="2"/>
      <x:c r="Q2066" s="2" t="str">
        <x:v>산업전환_외부사업관리Tool_260707_이너젠 수정_LJY_261013.xlsx</x:v>
      </x:c>
      <x:c r="R2066" s="2" t="str">
        <x:v>국내인증</x:v>
      </x:c>
      <x:c r="S2066" s="8" t="n">
        <x:v>384</x:v>
      </x:c>
      <x:c r="T2066" s="2" t="str">
        <x:v>(4/23),(5/26),(11/2)</x:v>
      </x:c>
      <x:c r="U2066" s="2" t="str">
        <x:v>2021 배정: (4/23),(5/26),(11/2) / 2022 배정: (3/16),(12/27) / 2023 배정: 2023년 처리</x:v>
      </x:c>
      <x:c r="V2066" s="2" t="str">
        <x:v>2023-06-22</x:v>
      </x:c>
      <x:c r="W2066" s="2" t="str">
        <x:v>담당기관 확인</x:v>
      </x:c>
      <x:c r="X2066" s="2" t="str">
        <x:v>원본·배정 기록 확인</x:v>
      </x:c>
      <x:c r="Y2066" s="2" t="str">
        <x:v>ad210cd9ec132cfd447541c8984dc53d30aff0f4fb2dc92d254d49275cc55976</x:v>
      </x:c>
      <x:c r="Z2066" s="2" t="n">
        <x:f>SUBTOTAL(103,A2066)</x:f>
        <x:v>1</x:v>
      </x:c>
      <x:c r="AA2066" s="2" t="str">
        <x:f>IF(K2066&lt;&gt;"미종결 표시","대상 아님",IF(N2066="","신청일 확인",IF(NOT(ISNUMBER('종합 현황'!$H$5)),"관찰기준 확인",IF('종합 현황'!$H$5&lt;1,"관찰기준 확인",IF(N2066&gt;'종합 현황'!$H$5,"내부 관찰 대상","내부 관찰일 이하")))))</x:f>
        <x:v>대상 아님</x:v>
      </x:c>
      <x:c r="AB2066" s="2"/>
    </x:row>
    <x:row r="2067" ht="42" customHeight="1">
      <x:c r="A2067" s="2" t="str">
        <x:v>c2e2a95f0a2be11cf1a10894</x:v>
      </x:c>
      <x:c r="B2067" s="2" t="str">
        <x:v>감축량 인증</x:v>
      </x:c>
      <x:c r="C2067" s="2" t="str">
        <x:v>국내</x:v>
      </x:c>
      <x:c r="D2067" s="7" t="str">
        <x:v>동호칼슘(주)의 보일러 연료전환(벙커C유-&gt;LNG)을 통한 온실가스 배출 감축사업</x:v>
      </x:c>
      <x:c r="E2067" s="2" t="str">
        <x:v>307</x:v>
      </x:c>
      <x:c r="F2067" s="2"/>
      <x:c r="G2067" s="2" t="str">
        <x:v>미확보</x:v>
      </x:c>
      <x:c r="H2067" s="2" t="str">
        <x:v>미확보</x:v>
      </x:c>
      <x:c r="I2067" s="2" t="str">
        <x:v>심의승인</x:v>
      </x:c>
      <x:c r="J2067" s="2" t="str">
        <x:v>심의승인</x:v>
      </x:c>
      <x:c r="K2067" s="2" t="str">
        <x:f>IF(OR(J2067="심의승인",J2067="반려",J2067="반려완료",J2067="심의완료"),"종결 표시",IF(OR(J2067="기후부협의",J2067="문서재제출요청",J2067="보류",J2067="보완요청",J2067="보완완료",J2067="평가중",J2067="반려요청",J2067="평가필요",LEFT(J2067,5)="보완요청("),"미종결 표시","상태 확인 필요"))</x:f>
        <x:v>종결 표시</x:v>
      </x:c>
      <x:c r="L2067" s="2"/>
      <x:c r="M2067" s="2"/>
      <x:c r="N2067" s="8"/>
      <x:c r="O2067" s="2"/>
      <x:c r="P2067" s="2"/>
      <x:c r="Q2067" s="2" t="str">
        <x:v>산업전환_외부사업관리Tool_260707_이너젠 수정_LJY_261013.xlsx</x:v>
      </x:c>
      <x:c r="R2067" s="2" t="str">
        <x:v>국내인증</x:v>
      </x:c>
      <x:c r="S2067" s="8" t="n">
        <x:v>385</x:v>
      </x:c>
      <x:c r="T2067" s="2" t="str">
        <x:v>(6/3)</x:v>
      </x:c>
      <x:c r="U2067" s="2" t="str">
        <x:v>2021 배정: (6/3)</x:v>
      </x:c>
      <x:c r="V2067" s="2" t="str">
        <x:v>2021-10-07</x:v>
      </x:c>
      <x:c r="W2067" s="2" t="str">
        <x:v>신청일 확인 / 담당기관 확인</x:v>
      </x:c>
      <x:c r="X2067" s="2" t="str">
        <x:v>원본·배정 기록 확인</x:v>
      </x:c>
      <x:c r="Y2067" s="2" t="str">
        <x:v>ad210cd9ec132cfd447541c8984dc53d30aff0f4fb2dc92d254d49275cc55976</x:v>
      </x:c>
      <x:c r="Z2067" s="2" t="n">
        <x:f>SUBTOTAL(103,A2067)</x:f>
        <x:v>1</x:v>
      </x:c>
      <x:c r="AA2067" s="2" t="str">
        <x:f>IF(K2067&lt;&gt;"미종결 표시","대상 아님",IF(N2067="","신청일 확인",IF(NOT(ISNUMBER('종합 현황'!$H$5)),"관찰기준 확인",IF('종합 현황'!$H$5&lt;1,"관찰기준 확인",IF(N2067&gt;'종합 현황'!$H$5,"내부 관찰 대상","내부 관찰일 이하")))))</x:f>
        <x:v>대상 아님</x:v>
      </x:c>
      <x:c r="AB2067" s="2"/>
    </x:row>
    <x:row r="2068" ht="42" customHeight="1">
      <x:c r="A2068" s="2" t="str">
        <x:v>7bf83abd8c5b90e54f70484a</x:v>
      </x:c>
      <x:c r="B2068" s="2" t="str">
        <x:v>감축량 인증</x:v>
      </x:c>
      <x:c r="C2068" s="2" t="str">
        <x:v>국내</x:v>
      </x:c>
      <x:c r="D2068" s="7" t="str">
        <x:v>갑을메탈 산소버너 도입을 통한 온실가스(CO2) 감축사업</x:v>
      </x:c>
      <x:c r="E2068" s="2" t="str">
        <x:v>308</x:v>
      </x:c>
      <x:c r="F2068" s="2"/>
      <x:c r="G2068" s="2" t="str">
        <x:v>미확보</x:v>
      </x:c>
      <x:c r="H2068" s="2" t="str">
        <x:v>미확보</x:v>
      </x:c>
      <x:c r="I2068" s="2" t="str">
        <x:v>심의승인</x:v>
      </x:c>
      <x:c r="J2068" s="2" t="str">
        <x:v>심의승인</x:v>
      </x:c>
      <x:c r="K2068" s="2" t="str">
        <x:f>IF(OR(J2068="심의승인",J2068="반려",J2068="반려완료",J2068="심의완료"),"종결 표시",IF(OR(J2068="기후부협의",J2068="문서재제출요청",J2068="보류",J2068="보완요청",J2068="보완완료",J2068="평가중",J2068="반려요청",J2068="평가필요",LEFT(J2068,5)="보완요청("),"미종결 표시","상태 확인 필요"))</x:f>
        <x:v>종결 표시</x:v>
      </x:c>
      <x:c r="L2068" s="2"/>
      <x:c r="M2068" s="2"/>
      <x:c r="N2068" s="8"/>
      <x:c r="O2068" s="2"/>
      <x:c r="P2068" s="2"/>
      <x:c r="Q2068" s="2" t="str">
        <x:v>산업전환_외부사업관리Tool_260707_이너젠 수정_LJY_261013.xlsx</x:v>
      </x:c>
      <x:c r="R2068" s="2" t="str">
        <x:v>국내인증</x:v>
      </x:c>
      <x:c r="S2068" s="8" t="n">
        <x:v>386</x:v>
      </x:c>
      <x:c r="T2068" s="2" t="str">
        <x:v>(6/3),(11/2)</x:v>
      </x:c>
      <x:c r="U2068" s="2" t="str">
        <x:v>2021 배정: (6/3),(11/2) / 2022 배정: 2022년 처리</x:v>
      </x:c>
      <x:c r="V2068" s="2" t="str">
        <x:v>2022-07-14</x:v>
      </x:c>
      <x:c r="W2068" s="2" t="str">
        <x:v>신청일 확인 / 담당기관 확인</x:v>
      </x:c>
      <x:c r="X2068" s="2" t="str">
        <x:v>원본·배정 기록 확인</x:v>
      </x:c>
      <x:c r="Y2068" s="2" t="str">
        <x:v>ad210cd9ec132cfd447541c8984dc53d30aff0f4fb2dc92d254d49275cc55976</x:v>
      </x:c>
      <x:c r="Z2068" s="2" t="n">
        <x:f>SUBTOTAL(103,A2068)</x:f>
        <x:v>1</x:v>
      </x:c>
      <x:c r="AA2068" s="2" t="str">
        <x:f>IF(K2068&lt;&gt;"미종결 표시","대상 아님",IF(N2068="","신청일 확인",IF(NOT(ISNUMBER('종합 현황'!$H$5)),"관찰기준 확인",IF('종합 현황'!$H$5&lt;1,"관찰기준 확인",IF(N2068&gt;'종합 현황'!$H$5,"내부 관찰 대상","내부 관찰일 이하")))))</x:f>
        <x:v>대상 아님</x:v>
      </x:c>
      <x:c r="AB2068" s="2"/>
    </x:row>
    <x:row r="2069" ht="42" customHeight="1">
      <x:c r="A2069" s="2" t="str">
        <x:v>0354a373e16a972bad639641</x:v>
      </x:c>
      <x:c r="B2069" s="2" t="str">
        <x:v>감축량 인증</x:v>
      </x:c>
      <x:c r="C2069" s="2" t="str">
        <x:v>국내</x:v>
      </x:c>
      <x:c r="D2069" s="7" t="str">
        <x:v>샘표 영동사업장 목재펠릿 연료전환을 통한 온실가스 감축사업</x:v>
      </x:c>
      <x:c r="E2069" s="2" t="str">
        <x:v>309</x:v>
      </x:c>
      <x:c r="F2069" s="2"/>
      <x:c r="G2069" s="2" t="str">
        <x:v>미확보</x:v>
      </x:c>
      <x:c r="H2069" s="2" t="str">
        <x:v>미확보</x:v>
      </x:c>
      <x:c r="I2069" s="2" t="str">
        <x:v>심의승인</x:v>
      </x:c>
      <x:c r="J2069" s="2" t="str">
        <x:v>심의승인</x:v>
      </x:c>
      <x:c r="K2069" s="2" t="str">
        <x:f>IF(OR(J2069="심의승인",J2069="반려",J2069="반려완료",J2069="심의완료"),"종결 표시",IF(OR(J2069="기후부협의",J2069="문서재제출요청",J2069="보류",J2069="보완요청",J2069="보완완료",J2069="평가중",J2069="반려요청",J2069="평가필요",LEFT(J2069,5)="보완요청("),"미종결 표시","상태 확인 필요"))</x:f>
        <x:v>종결 표시</x:v>
      </x:c>
      <x:c r="L2069" s="2"/>
      <x:c r="M2069" s="2"/>
      <x:c r="N2069" s="8"/>
      <x:c r="O2069" s="2"/>
      <x:c r="P2069" s="2"/>
      <x:c r="Q2069" s="2" t="str">
        <x:v>산업전환_외부사업관리Tool_260707_이너젠 수정_LJY_261013.xlsx</x:v>
      </x:c>
      <x:c r="R2069" s="2" t="str">
        <x:v>국내인증</x:v>
      </x:c>
      <x:c r="S2069" s="8" t="n">
        <x:v>387</x:v>
      </x:c>
      <x:c r="T2069" s="2" t="str">
        <x:v>(6/3),(11/2)</x:v>
      </x:c>
      <x:c r="U2069" s="2" t="str">
        <x:v>2021 배정: (6/3),(11/2) / 2022 배정: (1/18),(3/16),(4/19)</x:v>
      </x:c>
      <x:c r="V2069" s="2" t="str">
        <x:v>2022-10-17</x:v>
      </x:c>
      <x:c r="W2069" s="2" t="str">
        <x:v>신청일 확인 / 담당기관 확인</x:v>
      </x:c>
      <x:c r="X2069" s="2" t="str">
        <x:v>원본·배정 기록 확인</x:v>
      </x:c>
      <x:c r="Y2069" s="2" t="str">
        <x:v>ad210cd9ec132cfd447541c8984dc53d30aff0f4fb2dc92d254d49275cc55976</x:v>
      </x:c>
      <x:c r="Z2069" s="2" t="n">
        <x:f>SUBTOTAL(103,A2069)</x:f>
        <x:v>1</x:v>
      </x:c>
      <x:c r="AA2069" s="2" t="str">
        <x:f>IF(K2069&lt;&gt;"미종결 표시","대상 아님",IF(N2069="","신청일 확인",IF(NOT(ISNUMBER('종합 현황'!$H$5)),"관찰기준 확인",IF('종합 현황'!$H$5&lt;1,"관찰기준 확인",IF(N2069&gt;'종합 현황'!$H$5,"내부 관찰 대상","내부 관찰일 이하")))))</x:f>
        <x:v>대상 아님</x:v>
      </x:c>
      <x:c r="AB2069" s="2"/>
    </x:row>
    <x:row r="2070" ht="42" customHeight="1">
      <x:c r="A2070" s="2" t="str">
        <x:v>ccdf535f676208bf10c1d44f</x:v>
      </x:c>
      <x:c r="B2070" s="2" t="str">
        <x:v>감축량 인증</x:v>
      </x:c>
      <x:c r="C2070" s="2" t="str">
        <x:v>국내</x:v>
      </x:c>
      <x:c r="D2070" s="7" t="str">
        <x:v>폐열스팀으로 기존의 LNG 및 B-C유 사용 생산스팀을 대체하여 온실가스 배출을 감축하는 사업</x:v>
      </x:c>
      <x:c r="E2070" s="2" t="str">
        <x:v>310</x:v>
      </x:c>
      <x:c r="F2070" s="2"/>
      <x:c r="G2070" s="2" t="str">
        <x:v>미확보</x:v>
      </x:c>
      <x:c r="H2070" s="2" t="str">
        <x:v>미확보</x:v>
      </x:c>
      <x:c r="I2070" s="2" t="str">
        <x:v>심의승인</x:v>
      </x:c>
      <x:c r="J2070" s="2" t="str">
        <x:v>심의승인</x:v>
      </x:c>
      <x:c r="K2070" s="2" t="str">
        <x:f>IF(OR(J2070="심의승인",J2070="반려",J2070="반려완료",J2070="심의완료"),"종결 표시",IF(OR(J2070="기후부협의",J2070="문서재제출요청",J2070="보류",J2070="보완요청",J2070="보완완료",J2070="평가중",J2070="반려요청",J2070="평가필요",LEFT(J2070,5)="보완요청("),"미종결 표시","상태 확인 필요"))</x:f>
        <x:v>종결 표시</x:v>
      </x:c>
      <x:c r="L2070" s="2"/>
      <x:c r="M2070" s="2"/>
      <x:c r="N2070" s="8"/>
      <x:c r="O2070" s="2"/>
      <x:c r="P2070" s="2"/>
      <x:c r="Q2070" s="2" t="str">
        <x:v>산업전환_외부사업관리Tool_260707_이너젠 수정_LJY_261013.xlsx</x:v>
      </x:c>
      <x:c r="R2070" s="2" t="str">
        <x:v>국내인증</x:v>
      </x:c>
      <x:c r="S2070" s="8" t="n">
        <x:v>388</x:v>
      </x:c>
      <x:c r="T2070" s="2" t="str">
        <x:v>2021년 처리</x:v>
      </x:c>
      <x:c r="U2070" s="2" t="str">
        <x:v>2021 배정: 2021년 처리</x:v>
      </x:c>
      <x:c r="V2070" s="2" t="str">
        <x:v>2021-06-21</x:v>
      </x:c>
      <x:c r="W2070" s="2" t="str">
        <x:v>신청일 확인 / 담당기관 확인</x:v>
      </x:c>
      <x:c r="X2070" s="2" t="str">
        <x:v>원본·배정 기록 확인</x:v>
      </x:c>
      <x:c r="Y2070" s="2" t="str">
        <x:v>ad210cd9ec132cfd447541c8984dc53d30aff0f4fb2dc92d254d49275cc55976</x:v>
      </x:c>
      <x:c r="Z2070" s="2" t="n">
        <x:f>SUBTOTAL(103,A2070)</x:f>
        <x:v>1</x:v>
      </x:c>
      <x:c r="AA2070" s="2" t="str">
        <x:f>IF(K2070&lt;&gt;"미종결 표시","대상 아님",IF(N2070="","신청일 확인",IF(NOT(ISNUMBER('종합 현황'!$H$5)),"관찰기준 확인",IF('종합 현황'!$H$5&lt;1,"관찰기준 확인",IF(N2070&gt;'종합 현황'!$H$5,"내부 관찰 대상","내부 관찰일 이하")))))</x:f>
        <x:v>대상 아님</x:v>
      </x:c>
      <x:c r="AB2070" s="2"/>
    </x:row>
    <x:row r="2071" ht="42" customHeight="1">
      <x:c r="A2071" s="2" t="str">
        <x:v>2fc216452327cdd70fc4df37</x:v>
      </x:c>
      <x:c r="B2071" s="2" t="str">
        <x:v>감축량 인증</x:v>
      </x:c>
      <x:c r="C2071" s="2" t="str">
        <x:v>국내</x:v>
      </x:c>
      <x:c r="D2071" s="7" t="str">
        <x:v>성원산업사 열매체보일러 버너교체를 통한 연료전환(B-C유 → LNG) 온실가스 배출 감축 사업</x:v>
      </x:c>
      <x:c r="E2071" s="2" t="str">
        <x:v>311</x:v>
      </x:c>
      <x:c r="F2071" s="2"/>
      <x:c r="G2071" s="2" t="str">
        <x:v>미확보</x:v>
      </x:c>
      <x:c r="H2071" s="2" t="str">
        <x:v>미확보</x:v>
      </x:c>
      <x:c r="I2071" s="2" t="str">
        <x:v>심의승인</x:v>
      </x:c>
      <x:c r="J2071" s="2" t="str">
        <x:v>심의승인</x:v>
      </x:c>
      <x:c r="K2071" s="2" t="str">
        <x:f>IF(OR(J2071="심의승인",J2071="반려",J2071="반려완료",J2071="심의완료"),"종결 표시",IF(OR(J2071="기후부협의",J2071="문서재제출요청",J2071="보류",J2071="보완요청",J2071="보완완료",J2071="평가중",J2071="반려요청",J2071="평가필요",LEFT(J2071,5)="보완요청("),"미종결 표시","상태 확인 필요"))</x:f>
        <x:v>종결 표시</x:v>
      </x:c>
      <x:c r="L2071" s="2"/>
      <x:c r="M2071" s="2"/>
      <x:c r="N2071" s="8"/>
      <x:c r="O2071" s="2"/>
      <x:c r="P2071" s="2"/>
      <x:c r="Q2071" s="2" t="str">
        <x:v>산업전환_외부사업관리Tool_260707_이너젠 수정_LJY_261013.xlsx</x:v>
      </x:c>
      <x:c r="R2071" s="2" t="str">
        <x:v>국내인증</x:v>
      </x:c>
      <x:c r="S2071" s="8" t="n">
        <x:v>389</x:v>
      </x:c>
      <x:c r="T2071" s="2" t="str">
        <x:v>2021년 처리</x:v>
      </x:c>
      <x:c r="U2071" s="2" t="str">
        <x:v>2021 배정: 2021년 처리</x:v>
      </x:c>
      <x:c r="V2071" s="2" t="str">
        <x:v>2021-06-21</x:v>
      </x:c>
      <x:c r="W2071" s="2" t="str">
        <x:v>신청일 확인 / 담당기관 확인</x:v>
      </x:c>
      <x:c r="X2071" s="2" t="str">
        <x:v>원본·배정 기록 확인</x:v>
      </x:c>
      <x:c r="Y2071" s="2" t="str">
        <x:v>ad210cd9ec132cfd447541c8984dc53d30aff0f4fb2dc92d254d49275cc55976</x:v>
      </x:c>
      <x:c r="Z2071" s="2" t="n">
        <x:f>SUBTOTAL(103,A2071)</x:f>
        <x:v>1</x:v>
      </x:c>
      <x:c r="AA2071" s="2" t="str">
        <x:f>IF(K2071&lt;&gt;"미종결 표시","대상 아님",IF(N2071="","신청일 확인",IF(NOT(ISNUMBER('종합 현황'!$H$5)),"관찰기준 확인",IF('종합 현황'!$H$5&lt;1,"관찰기준 확인",IF(N2071&gt;'종합 현황'!$H$5,"내부 관찰 대상","내부 관찰일 이하")))))</x:f>
        <x:v>대상 아님</x:v>
      </x:c>
      <x:c r="AB2071" s="2"/>
    </x:row>
    <x:row r="2072" ht="42" customHeight="1">
      <x:c r="A2072" s="2" t="str">
        <x:v>a4081842b7def39305eaf076</x:v>
      </x:c>
      <x:c r="B2072" s="2" t="str">
        <x:v>감축량 인증</x:v>
      </x:c>
      <x:c r="C2072" s="2" t="str">
        <x:v>국내</x:v>
      </x:c>
      <x:c r="D2072" s="7" t="str">
        <x:v>(주)세광케미칼김포사업장 정제유 및 벙커C유에서 목재펠릿 연료전환을 통한 온실가스 감축사업</x:v>
      </x:c>
      <x:c r="E2072" s="2" t="str">
        <x:v>312</x:v>
      </x:c>
      <x:c r="F2072" s="2"/>
      <x:c r="G2072" s="2" t="str">
        <x:v>미확보</x:v>
      </x:c>
      <x:c r="H2072" s="2" t="str">
        <x:v>미확보</x:v>
      </x:c>
      <x:c r="I2072" s="2" t="str">
        <x:v>심의승인</x:v>
      </x:c>
      <x:c r="J2072" s="2" t="str">
        <x:v>심의승인</x:v>
      </x:c>
      <x:c r="K2072" s="2" t="str">
        <x:f>IF(OR(J2072="심의승인",J2072="반려",J2072="반려완료",J2072="심의완료"),"종결 표시",IF(OR(J2072="기후부협의",J2072="문서재제출요청",J2072="보류",J2072="보완요청",J2072="보완완료",J2072="평가중",J2072="반려요청",J2072="평가필요",LEFT(J2072,5)="보완요청("),"미종결 표시","상태 확인 필요"))</x:f>
        <x:v>종결 표시</x:v>
      </x:c>
      <x:c r="L2072" s="2"/>
      <x:c r="M2072" s="2"/>
      <x:c r="N2072" s="8"/>
      <x:c r="O2072" s="2"/>
      <x:c r="P2072" s="2"/>
      <x:c r="Q2072" s="2" t="str">
        <x:v>산업전환_외부사업관리Tool_260707_이너젠 수정_LJY_261013.xlsx</x:v>
      </x:c>
      <x:c r="R2072" s="2" t="str">
        <x:v>국내인증</x:v>
      </x:c>
      <x:c r="S2072" s="8" t="n">
        <x:v>390</x:v>
      </x:c>
      <x:c r="T2072" s="2" t="str">
        <x:v>(4/23),(6/28),(10/20),(12/10)</x:v>
      </x:c>
      <x:c r="U2072" s="2" t="str">
        <x:v>2021 배정: (4/23),(6/28),(10/20),(12/10) / 2022 배정: (1/18)</x:v>
      </x:c>
      <x:c r="V2072" s="2" t="str">
        <x:v>2022-04-18</x:v>
      </x:c>
      <x:c r="W2072" s="2" t="str">
        <x:v>신청일 확인 / 담당기관 확인</x:v>
      </x:c>
      <x:c r="X2072" s="2" t="str">
        <x:v>원본·배정 기록 확인</x:v>
      </x:c>
      <x:c r="Y2072" s="2" t="str">
        <x:v>ad210cd9ec132cfd447541c8984dc53d30aff0f4fb2dc92d254d49275cc55976</x:v>
      </x:c>
      <x:c r="Z2072" s="2" t="n">
        <x:f>SUBTOTAL(103,A2072)</x:f>
        <x:v>1</x:v>
      </x:c>
      <x:c r="AA2072" s="2" t="str">
        <x:f>IF(K2072&lt;&gt;"미종결 표시","대상 아님",IF(N2072="","신청일 확인",IF(NOT(ISNUMBER('종합 현황'!$H$5)),"관찰기준 확인",IF('종합 현황'!$H$5&lt;1,"관찰기준 확인",IF(N2072&gt;'종합 현황'!$H$5,"내부 관찰 대상","내부 관찰일 이하")))))</x:f>
        <x:v>대상 아님</x:v>
      </x:c>
      <x:c r="AB2072" s="2"/>
    </x:row>
    <x:row r="2073" ht="42" customHeight="1">
      <x:c r="A2073" s="2" t="str">
        <x:v>2101e309f188d1c072d957a6</x:v>
      </x:c>
      <x:c r="B2073" s="2" t="str">
        <x:v>감축량 인증</x:v>
      </x:c>
      <x:c r="C2073" s="2" t="str">
        <x:v>국내</x:v>
      </x:c>
      <x:c r="D2073" s="7" t="str">
        <x:v>크린멤버스의 목재펠릿 연료전환(LPG-&gt;목재펠릿)을 통한 온실가스 감축사업</x:v>
      </x:c>
      <x:c r="E2073" s="2" t="str">
        <x:v>313</x:v>
      </x:c>
      <x:c r="F2073" s="2"/>
      <x:c r="G2073" s="2" t="str">
        <x:v>미확보</x:v>
      </x:c>
      <x:c r="H2073" s="2" t="str">
        <x:v>미확보</x:v>
      </x:c>
      <x:c r="I2073" s="2" t="str">
        <x:v>심의승인</x:v>
      </x:c>
      <x:c r="J2073" s="2" t="str">
        <x:v>심의승인</x:v>
      </x:c>
      <x:c r="K2073" s="2" t="str">
        <x:f>IF(OR(J2073="심의승인",J2073="반려",J2073="반려완료",J2073="심의완료"),"종결 표시",IF(OR(J2073="기후부협의",J2073="문서재제출요청",J2073="보류",J2073="보완요청",J2073="보완완료",J2073="평가중",J2073="반려요청",J2073="평가필요",LEFT(J2073,5)="보완요청("),"미종결 표시","상태 확인 필요"))</x:f>
        <x:v>종결 표시</x:v>
      </x:c>
      <x:c r="L2073" s="2"/>
      <x:c r="M2073" s="2"/>
      <x:c r="N2073" s="8"/>
      <x:c r="O2073" s="2"/>
      <x:c r="P2073" s="2"/>
      <x:c r="Q2073" s="2" t="str">
        <x:v>산업전환_외부사업관리Tool_260707_이너젠 수정_LJY_261013.xlsx</x:v>
      </x:c>
      <x:c r="R2073" s="2" t="str">
        <x:v>국내인증</x:v>
      </x:c>
      <x:c r="S2073" s="8" t="n">
        <x:v>391</x:v>
      </x:c>
      <x:c r="T2073" s="2" t="str">
        <x:v>(6/3),(10/20)</x:v>
      </x:c>
      <x:c r="U2073" s="2" t="str">
        <x:v>2021 배정: (6/3),(10/20) / 2022 배정: (3/16)(5/18)</x:v>
      </x:c>
      <x:c r="V2073" s="2" t="str">
        <x:v>2022-07-14</x:v>
      </x:c>
      <x:c r="W2073" s="2" t="str">
        <x:v>신청일 확인 / 담당기관 확인</x:v>
      </x:c>
      <x:c r="X2073" s="2" t="str">
        <x:v>원본·배정 기록 확인</x:v>
      </x:c>
      <x:c r="Y2073" s="2" t="str">
        <x:v>ad210cd9ec132cfd447541c8984dc53d30aff0f4fb2dc92d254d49275cc55976</x:v>
      </x:c>
      <x:c r="Z2073" s="2" t="n">
        <x:f>SUBTOTAL(103,A2073)</x:f>
        <x:v>1</x:v>
      </x:c>
      <x:c r="AA2073" s="2" t="str">
        <x:f>IF(K2073&lt;&gt;"미종결 표시","대상 아님",IF(N2073="","신청일 확인",IF(NOT(ISNUMBER('종합 현황'!$H$5)),"관찰기준 확인",IF('종합 현황'!$H$5&lt;1,"관찰기준 확인",IF(N2073&gt;'종합 현황'!$H$5,"내부 관찰 대상","내부 관찰일 이하")))))</x:f>
        <x:v>대상 아님</x:v>
      </x:c>
      <x:c r="AB2073" s="2"/>
    </x:row>
    <x:row r="2074" ht="42" customHeight="1">
      <x:c r="A2074" s="2" t="str">
        <x:v>366e99f7ad0aa8b76902db3d</x:v>
      </x:c>
      <x:c r="B2074" s="2" t="str">
        <x:v>감축량 인증</x:v>
      </x:c>
      <x:c r="C2074" s="2" t="str">
        <x:v>국내</x:v>
      </x:c>
      <x:c r="D2074" s="7" t="str">
        <x:v>세창이피에스 김포공장 목재펠릿 연료 전환(LNG→목재펠릿)을 통한 온실가스 감축사업</x:v>
      </x:c>
      <x:c r="E2074" s="2" t="str">
        <x:v>314</x:v>
      </x:c>
      <x:c r="F2074" s="2" t="str">
        <x:v>2019-11-14</x:v>
      </x:c>
      <x:c r="G2074" s="2" t="str">
        <x:v>2019</x:v>
      </x:c>
      <x:c r="H2074" s="2" t="str">
        <x:v>11</x:v>
      </x:c>
      <x:c r="I2074" s="2" t="str">
        <x:v>심의승인</x:v>
      </x:c>
      <x:c r="J2074" s="2" t="str">
        <x:v>심의승인</x:v>
      </x:c>
      <x:c r="K2074" s="2" t="str">
        <x:f>IF(OR(J2074="심의승인",J2074="반려",J2074="반려완료",J2074="심의완료"),"종결 표시",IF(OR(J2074="기후부협의",J2074="문서재제출요청",J2074="보류",J2074="보완요청",J2074="보완완료",J2074="평가중",J2074="반려요청",J2074="평가필요",LEFT(J2074,5)="보완요청("),"미종결 표시","상태 확인 필요"))</x:f>
        <x:v>종결 표시</x:v>
      </x:c>
      <x:c r="L2074" s="2"/>
      <x:c r="M2074" s="2"/>
      <x:c r="N2074" s="8" t="n">
        <x:f>DATE(2026,10,15)-DATE(2019,11,14)</x:f>
        <x:v>2527</x:v>
      </x:c>
      <x:c r="O2074" s="2"/>
      <x:c r="P2074" s="2"/>
      <x:c r="Q2074" s="2" t="str">
        <x:v>산업전환_외부사업관리Tool_260707_이너젠 수정_LJY_261013.xlsx</x:v>
      </x:c>
      <x:c r="R2074" s="2" t="str">
        <x:v>국내인증</x:v>
      </x:c>
      <x:c r="S2074" s="8" t="n">
        <x:v>392</x:v>
      </x:c>
      <x:c r="T2074" s="2" t="str">
        <x:v>(6/3),(11/2)</x:v>
      </x:c>
      <x:c r="U2074" s="2" t="str">
        <x:v>2021 배정: (6/3),(11/2) / 2022 배정: (3/16),(4/19),(12/27) / 2023 배정: 2023년 처리</x:v>
      </x:c>
      <x:c r="V2074" s="2" t="str">
        <x:v>2023-06-22</x:v>
      </x:c>
      <x:c r="W2074" s="2" t="str">
        <x:v>담당기관 확인</x:v>
      </x:c>
      <x:c r="X2074" s="2" t="str">
        <x:v>원본·배정 기록 확인</x:v>
      </x:c>
      <x:c r="Y2074" s="2" t="str">
        <x:v>ad210cd9ec132cfd447541c8984dc53d30aff0f4fb2dc92d254d49275cc55976</x:v>
      </x:c>
      <x:c r="Z2074" s="2" t="n">
        <x:f>SUBTOTAL(103,A2074)</x:f>
        <x:v>1</x:v>
      </x:c>
      <x:c r="AA2074" s="2" t="str">
        <x:f>IF(K2074&lt;&gt;"미종결 표시","대상 아님",IF(N2074="","신청일 확인",IF(NOT(ISNUMBER('종합 현황'!$H$5)),"관찰기준 확인",IF('종합 현황'!$H$5&lt;1,"관찰기준 확인",IF(N2074&gt;'종합 현황'!$H$5,"내부 관찰 대상","내부 관찰일 이하")))))</x:f>
        <x:v>대상 아님</x:v>
      </x:c>
      <x:c r="AB2074" s="2"/>
    </x:row>
    <x:row r="2075" ht="42" customHeight="1">
      <x:c r="A2075" s="2" t="str">
        <x:v>0846f9b6034433d5d5683a31</x:v>
      </x:c>
      <x:c r="B2075" s="2" t="str">
        <x:v>감축량 인증</x:v>
      </x:c>
      <x:c r="C2075" s="2" t="str">
        <x:v>국내</x:v>
      </x:c>
      <x:c r="D2075" s="7" t="str">
        <x:v>신화콘크리트의 목재펠릿 연료전환(B-C유-&gt;목재펠릿)을 통한 온실가스 감축사업</x:v>
      </x:c>
      <x:c r="E2075" s="2" t="str">
        <x:v>315</x:v>
      </x:c>
      <x:c r="F2075" s="2"/>
      <x:c r="G2075" s="2" t="str">
        <x:v>미확보</x:v>
      </x:c>
      <x:c r="H2075" s="2" t="str">
        <x:v>미확보</x:v>
      </x:c>
      <x:c r="I2075" s="2" t="str">
        <x:v>심의승인</x:v>
      </x:c>
      <x:c r="J2075" s="2" t="str">
        <x:v>심의승인</x:v>
      </x:c>
      <x:c r="K2075" s="2" t="str">
        <x:f>IF(OR(J2075="심의승인",J2075="반려",J2075="반려완료",J2075="심의완료"),"종결 표시",IF(OR(J2075="기후부협의",J2075="문서재제출요청",J2075="보류",J2075="보완요청",J2075="보완완료",J2075="평가중",J2075="반려요청",J2075="평가필요",LEFT(J2075,5)="보완요청("),"미종결 표시","상태 확인 필요"))</x:f>
        <x:v>종결 표시</x:v>
      </x:c>
      <x:c r="L2075" s="2"/>
      <x:c r="M2075" s="2"/>
      <x:c r="N2075" s="8"/>
      <x:c r="O2075" s="2"/>
      <x:c r="P2075" s="2"/>
      <x:c r="Q2075" s="2" t="str">
        <x:v>산업전환_외부사업관리Tool_260707_이너젠 수정_LJY_261013.xlsx</x:v>
      </x:c>
      <x:c r="R2075" s="2" t="str">
        <x:v>국내인증</x:v>
      </x:c>
      <x:c r="S2075" s="8" t="n">
        <x:v>393</x:v>
      </x:c>
      <x:c r="T2075" s="2" t="str">
        <x:v>(4/23),(5/26),(8/3)</x:v>
      </x:c>
      <x:c r="U2075" s="2" t="str">
        <x:v>2021 배정: (4/23),(5/26),(8/3)</x:v>
      </x:c>
      <x:c r="V2075" s="2" t="str">
        <x:v>2021-10-07</x:v>
      </x:c>
      <x:c r="W2075" s="2" t="str">
        <x:v>신청일 확인 / 담당기관 확인</x:v>
      </x:c>
      <x:c r="X2075" s="2" t="str">
        <x:v>원본·배정 기록 확인</x:v>
      </x:c>
      <x:c r="Y2075" s="2" t="str">
        <x:v>ad210cd9ec132cfd447541c8984dc53d30aff0f4fb2dc92d254d49275cc55976</x:v>
      </x:c>
      <x:c r="Z2075" s="2" t="n">
        <x:f>SUBTOTAL(103,A2075)</x:f>
        <x:v>1</x:v>
      </x:c>
      <x:c r="AA2075" s="2" t="str">
        <x:f>IF(K2075&lt;&gt;"미종결 표시","대상 아님",IF(N2075="","신청일 확인",IF(NOT(ISNUMBER('종합 현황'!$H$5)),"관찰기준 확인",IF('종합 현황'!$H$5&lt;1,"관찰기준 확인",IF(N2075&gt;'종합 현황'!$H$5,"내부 관찰 대상","내부 관찰일 이하")))))</x:f>
        <x:v>대상 아님</x:v>
      </x:c>
      <x:c r="AB2075" s="2"/>
    </x:row>
    <x:row r="2076" ht="42" customHeight="1">
      <x:c r="A2076" s="2" t="str">
        <x:v>a25e31c3533be96e01704452</x:v>
      </x:c>
      <x:c r="B2076" s="2" t="str">
        <x:v>감축량 인증</x:v>
      </x:c>
      <x:c r="C2076" s="2" t="str">
        <x:v>국내</x:v>
      </x:c>
      <x:c r="D2076" s="7" t="str">
        <x:v>청라에너지(주) 미활용 소각폐열 회수를 통한 화석연료 사용 절감 및 온실가스 배출 감축사업</x:v>
      </x:c>
      <x:c r="E2076" s="2" t="str">
        <x:v>316</x:v>
      </x:c>
      <x:c r="F2076" s="2"/>
      <x:c r="G2076" s="2" t="str">
        <x:v>미확보</x:v>
      </x:c>
      <x:c r="H2076" s="2" t="str">
        <x:v>미확보</x:v>
      </x:c>
      <x:c r="I2076" s="2" t="str">
        <x:v>검토반려</x:v>
      </x:c>
      <x:c r="J2076" s="2" t="str">
        <x:v>반려</x:v>
      </x:c>
      <x:c r="K2076" s="2" t="str">
        <x:f>IF(OR(J2076="심의승인",J2076="반려",J2076="반려완료",J2076="심의완료"),"종결 표시",IF(OR(J2076="기후부협의",J2076="문서재제출요청",J2076="보류",J2076="보완요청",J2076="보완완료",J2076="평가중",J2076="반려요청",J2076="평가필요",LEFT(J2076,5)="보완요청("),"미종결 표시","상태 확인 필요"))</x:f>
        <x:v>종결 표시</x:v>
      </x:c>
      <x:c r="L2076" s="2"/>
      <x:c r="M2076" s="2"/>
      <x:c r="N2076" s="8"/>
      <x:c r="O2076" s="2"/>
      <x:c r="P2076" s="2" t="str">
        <x:v>- 갱신 승인이 나지 않은 상태에서 인증신청</x:v>
      </x:c>
      <x:c r="Q2076" s="2" t="str">
        <x:v>산업전환_외부사업관리Tool_260707_이너젠 수정_LJY_261013.xlsx</x:v>
      </x:c>
      <x:c r="R2076" s="2" t="str">
        <x:v>국내인증</x:v>
      </x:c>
      <x:c r="S2076" s="8" t="n">
        <x:v>394</x:v>
      </x:c>
      <x:c r="T2076" s="2" t="str">
        <x:v>2021년 처리</x:v>
      </x:c>
      <x:c r="U2076" s="2" t="str">
        <x:v>2021 배정: 2021년 처리</x:v>
      </x:c>
      <x:c r="V2076" s="2" t="str">
        <x:v>2021-10-27</x:v>
      </x:c>
      <x:c r="W2076" s="2" t="str">
        <x:v>신청일 확인 / 담당기관 확인</x:v>
      </x:c>
      <x:c r="X2076" s="2" t="str">
        <x:v>원본·배정 기록 확인</x:v>
      </x:c>
      <x:c r="Y2076" s="2" t="str">
        <x:v>ad210cd9ec132cfd447541c8984dc53d30aff0f4fb2dc92d254d49275cc55976</x:v>
      </x:c>
      <x:c r="Z2076" s="2" t="n">
        <x:f>SUBTOTAL(103,A2076)</x:f>
        <x:v>1</x:v>
      </x:c>
      <x:c r="AA2076" s="2" t="str">
        <x:f>IF(K2076&lt;&gt;"미종결 표시","대상 아님",IF(N2076="","신청일 확인",IF(NOT(ISNUMBER('종합 현황'!$H$5)),"관찰기준 확인",IF('종합 현황'!$H$5&lt;1,"관찰기준 확인",IF(N2076&gt;'종합 현황'!$H$5,"내부 관찰 대상","내부 관찰일 이하")))))</x:f>
        <x:v>대상 아님</x:v>
      </x:c>
      <x:c r="AB2076" s="2"/>
    </x:row>
    <x:row r="2077" ht="42" customHeight="1">
      <x:c r="A2077" s="2" t="str">
        <x:v>78516ff0a49dab748086769c</x:v>
      </x:c>
      <x:c r="B2077" s="2" t="str">
        <x:v>감축량 인증</x:v>
      </x:c>
      <x:c r="C2077" s="2" t="str">
        <x:v>국내</x:v>
      </x:c>
      <x:c r="D2077" s="7" t="str">
        <x:v>우일산업 청양공장 목재펠릿 연료 전환(부생연료 2호-&gt; 목재펠릿)을 통한 온실가스 감축사업</x:v>
      </x:c>
      <x:c r="E2077" s="2" t="str">
        <x:v>317</x:v>
      </x:c>
      <x:c r="F2077" s="2"/>
      <x:c r="G2077" s="2" t="str">
        <x:v>미확보</x:v>
      </x:c>
      <x:c r="H2077" s="2" t="str">
        <x:v>미확보</x:v>
      </x:c>
      <x:c r="I2077" s="2" t="str">
        <x:v>심의승인</x:v>
      </x:c>
      <x:c r="J2077" s="2" t="str">
        <x:v>심의승인</x:v>
      </x:c>
      <x:c r="K2077" s="2" t="str">
        <x:f>IF(OR(J2077="심의승인",J2077="반려",J2077="반려완료",J2077="심의완료"),"종결 표시",IF(OR(J2077="기후부협의",J2077="문서재제출요청",J2077="보류",J2077="보완요청",J2077="보완완료",J2077="평가중",J2077="반려요청",J2077="평가필요",LEFT(J2077,5)="보완요청("),"미종결 표시","상태 확인 필요"))</x:f>
        <x:v>종결 표시</x:v>
      </x:c>
      <x:c r="L2077" s="2"/>
      <x:c r="M2077" s="2"/>
      <x:c r="N2077" s="8"/>
      <x:c r="O2077" s="2"/>
      <x:c r="P2077" s="2"/>
      <x:c r="Q2077" s="2" t="str">
        <x:v>산업전환_외부사업관리Tool_260707_이너젠 수정_LJY_261013.xlsx</x:v>
      </x:c>
      <x:c r="R2077" s="2" t="str">
        <x:v>국내인증</x:v>
      </x:c>
      <x:c r="S2077" s="8" t="n">
        <x:v>395</x:v>
      </x:c>
      <x:c r="T2077" s="2" t="str">
        <x:v>(9/1)</x:v>
      </x:c>
      <x:c r="U2077" s="2" t="str">
        <x:v>2021 배정: (9/1)</x:v>
      </x:c>
      <x:c r="V2077" s="2" t="str">
        <x:v>2022-01-17</x:v>
      </x:c>
      <x:c r="W2077" s="2" t="str">
        <x:v>신청일 확인 / 담당기관 확인</x:v>
      </x:c>
      <x:c r="X2077" s="2" t="str">
        <x:v>원본·배정 기록 확인</x:v>
      </x:c>
      <x:c r="Y2077" s="2" t="str">
        <x:v>ad210cd9ec132cfd447541c8984dc53d30aff0f4fb2dc92d254d49275cc55976</x:v>
      </x:c>
      <x:c r="Z2077" s="2" t="n">
        <x:f>SUBTOTAL(103,A2077)</x:f>
        <x:v>1</x:v>
      </x:c>
      <x:c r="AA2077" s="2" t="str">
        <x:f>IF(K2077&lt;&gt;"미종결 표시","대상 아님",IF(N2077="","신청일 확인",IF(NOT(ISNUMBER('종합 현황'!$H$5)),"관찰기준 확인",IF('종합 현황'!$H$5&lt;1,"관찰기준 확인",IF(N2077&gt;'종합 현황'!$H$5,"내부 관찰 대상","내부 관찰일 이하")))))</x:f>
        <x:v>대상 아님</x:v>
      </x:c>
      <x:c r="AB2077" s="2"/>
    </x:row>
    <x:row r="2078" ht="42" customHeight="1">
      <x:c r="A2078" s="2" t="str">
        <x:v>aaf536dffb1559e75e0f1d14</x:v>
      </x:c>
      <x:c r="B2078" s="2" t="str">
        <x:v>감축량 인증</x:v>
      </x:c>
      <x:c r="C2078" s="2" t="str">
        <x:v>국내</x:v>
      </x:c>
      <x:c r="D2078" s="7" t="str">
        <x:v>㈜태형기업 화성 공장 아스콘 생산 시 연료 B-C유에서 LNG로의 연료전환을 통한 온실가스 감축사업</x:v>
      </x:c>
      <x:c r="E2078" s="2" t="str">
        <x:v>318</x:v>
      </x:c>
      <x:c r="F2078" s="2"/>
      <x:c r="G2078" s="2" t="str">
        <x:v>미확보</x:v>
      </x:c>
      <x:c r="H2078" s="2" t="str">
        <x:v>미확보</x:v>
      </x:c>
      <x:c r="I2078" s="2" t="str">
        <x:v>심의승인</x:v>
      </x:c>
      <x:c r="J2078" s="2" t="str">
        <x:v>심의승인</x:v>
      </x:c>
      <x:c r="K2078" s="2" t="str">
        <x:f>IF(OR(J2078="심의승인",J2078="반려",J2078="반려완료",J2078="심의완료"),"종결 표시",IF(OR(J2078="기후부협의",J2078="문서재제출요청",J2078="보류",J2078="보완요청",J2078="보완완료",J2078="평가중",J2078="반려요청",J2078="평가필요",LEFT(J2078,5)="보완요청("),"미종결 표시","상태 확인 필요"))</x:f>
        <x:v>종결 표시</x:v>
      </x:c>
      <x:c r="L2078" s="2"/>
      <x:c r="M2078" s="2"/>
      <x:c r="N2078" s="8"/>
      <x:c r="O2078" s="2"/>
      <x:c r="P2078" s="2"/>
      <x:c r="Q2078" s="2" t="str">
        <x:v>산업전환_외부사업관리Tool_260707_이너젠 수정_LJY_261013.xlsx</x:v>
      </x:c>
      <x:c r="R2078" s="2" t="str">
        <x:v>국내인증</x:v>
      </x:c>
      <x:c r="S2078" s="8" t="n">
        <x:v>396</x:v>
      </x:c>
      <x:c r="T2078" s="2" t="str">
        <x:v>(4/23),(5/26)</x:v>
      </x:c>
      <x:c r="U2078" s="2" t="str">
        <x:v>2021 배정: (4/23),(5/26)</x:v>
      </x:c>
      <x:c r="V2078" s="2" t="str">
        <x:v>2021-10-07</x:v>
      </x:c>
      <x:c r="W2078" s="2" t="str">
        <x:v>신청일 확인 / 담당기관 확인</x:v>
      </x:c>
      <x:c r="X2078" s="2" t="str">
        <x:v>원본·배정 기록 확인</x:v>
      </x:c>
      <x:c r="Y2078" s="2" t="str">
        <x:v>ad210cd9ec132cfd447541c8984dc53d30aff0f4fb2dc92d254d49275cc55976</x:v>
      </x:c>
      <x:c r="Z2078" s="2" t="n">
        <x:f>SUBTOTAL(103,A2078)</x:f>
        <x:v>1</x:v>
      </x:c>
      <x:c r="AA2078" s="2" t="str">
        <x:f>IF(K2078&lt;&gt;"미종결 표시","대상 아님",IF(N2078="","신청일 확인",IF(NOT(ISNUMBER('종합 현황'!$H$5)),"관찰기준 확인",IF('종합 현황'!$H$5&lt;1,"관찰기준 확인",IF(N2078&gt;'종합 현황'!$H$5,"내부 관찰 대상","내부 관찰일 이하")))))</x:f>
        <x:v>대상 아님</x:v>
      </x:c>
      <x:c r="AB2078" s="2"/>
    </x:row>
    <x:row r="2079" ht="42" customHeight="1">
      <x:c r="A2079" s="2" t="str">
        <x:v>8059c8f74a570b487c165d4c</x:v>
      </x:c>
      <x:c r="B2079" s="2" t="str">
        <x:v>감축량 인증</x:v>
      </x:c>
      <x:c r="C2079" s="2" t="str">
        <x:v>국내</x:v>
      </x:c>
      <x:c r="D2079" s="7" t="str">
        <x:v>폴린트컴포지트코리아 연료교체를 통한 온실가스 배출감축사업</x:v>
      </x:c>
      <x:c r="E2079" s="2" t="str">
        <x:v>319</x:v>
      </x:c>
      <x:c r="F2079" s="2"/>
      <x:c r="G2079" s="2" t="str">
        <x:v>미확보</x:v>
      </x:c>
      <x:c r="H2079" s="2" t="str">
        <x:v>미확보</x:v>
      </x:c>
      <x:c r="I2079" s="2" t="str">
        <x:v>심의승인</x:v>
      </x:c>
      <x:c r="J2079" s="2" t="str">
        <x:v>심의승인</x:v>
      </x:c>
      <x:c r="K2079" s="2" t="str">
        <x:f>IF(OR(J2079="심의승인",J2079="반려",J2079="반려완료",J2079="심의완료"),"종결 표시",IF(OR(J2079="기후부협의",J2079="문서재제출요청",J2079="보류",J2079="보완요청",J2079="보완완료",J2079="평가중",J2079="반려요청",J2079="평가필요",LEFT(J2079,5)="보완요청("),"미종결 표시","상태 확인 필요"))</x:f>
        <x:v>종결 표시</x:v>
      </x:c>
      <x:c r="L2079" s="2"/>
      <x:c r="M2079" s="2"/>
      <x:c r="N2079" s="8"/>
      <x:c r="O2079" s="2"/>
      <x:c r="P2079" s="2"/>
      <x:c r="Q2079" s="2" t="str">
        <x:v>산업전환_외부사업관리Tool_260707_이너젠 수정_LJY_261013.xlsx</x:v>
      </x:c>
      <x:c r="R2079" s="2" t="str">
        <x:v>국내인증</x:v>
      </x:c>
      <x:c r="S2079" s="8" t="n">
        <x:v>397</x:v>
      </x:c>
      <x:c r="T2079" s="2" t="str">
        <x:v>(6/28)</x:v>
      </x:c>
      <x:c r="U2079" s="2" t="str">
        <x:v>2021 배정: (6/28)</x:v>
      </x:c>
      <x:c r="V2079" s="2" t="str">
        <x:v>2021-10-07</x:v>
      </x:c>
      <x:c r="W2079" s="2" t="str">
        <x:v>신청일 확인 / 담당기관 확인</x:v>
      </x:c>
      <x:c r="X2079" s="2" t="str">
        <x:v>원본·배정 기록 확인</x:v>
      </x:c>
      <x:c r="Y2079" s="2" t="str">
        <x:v>ad210cd9ec132cfd447541c8984dc53d30aff0f4fb2dc92d254d49275cc55976</x:v>
      </x:c>
      <x:c r="Z2079" s="2" t="n">
        <x:f>SUBTOTAL(103,A2079)</x:f>
        <x:v>1</x:v>
      </x:c>
      <x:c r="AA2079" s="2" t="str">
        <x:f>IF(K2079&lt;&gt;"미종결 표시","대상 아님",IF(N2079="","신청일 확인",IF(NOT(ISNUMBER('종합 현황'!$H$5)),"관찰기준 확인",IF('종합 현황'!$H$5&lt;1,"관찰기준 확인",IF(N2079&gt;'종합 현황'!$H$5,"내부 관찰 대상","내부 관찰일 이하")))))</x:f>
        <x:v>대상 아님</x:v>
      </x:c>
      <x:c r="AB2079" s="2"/>
    </x:row>
    <x:row r="2080" ht="42" customHeight="1">
      <x:c r="A2080" s="2" t="str">
        <x:v>3116e7829d4675595a41915b</x:v>
      </x:c>
      <x:c r="B2080" s="2" t="str">
        <x:v>감축량 인증</x:v>
      </x:c>
      <x:c r="C2080" s="2" t="str">
        <x:v>국내</x:v>
      </x:c>
      <x:c r="D2080" s="7" t="str">
        <x:v>중앙아스콘(주) 버너연료를 B-C유 에서 LNG로 연료 전환 하는 온실가스 감축사업</x:v>
      </x:c>
      <x:c r="E2080" s="2" t="str">
        <x:v>320</x:v>
      </x:c>
      <x:c r="F2080" s="2"/>
      <x:c r="G2080" s="2" t="str">
        <x:v>미확보</x:v>
      </x:c>
      <x:c r="H2080" s="2" t="str">
        <x:v>미확보</x:v>
      </x:c>
      <x:c r="I2080" s="2" t="str">
        <x:v>심의승인</x:v>
      </x:c>
      <x:c r="J2080" s="2" t="str">
        <x:v>심의승인</x:v>
      </x:c>
      <x:c r="K2080" s="2" t="str">
        <x:f>IF(OR(J2080="심의승인",J2080="반려",J2080="반려완료",J2080="심의완료"),"종결 표시",IF(OR(J2080="기후부협의",J2080="문서재제출요청",J2080="보류",J2080="보완요청",J2080="보완완료",J2080="평가중",J2080="반려요청",J2080="평가필요",LEFT(J2080,5)="보완요청("),"미종결 표시","상태 확인 필요"))</x:f>
        <x:v>종결 표시</x:v>
      </x:c>
      <x:c r="L2080" s="2"/>
      <x:c r="M2080" s="2"/>
      <x:c r="N2080" s="8"/>
      <x:c r="O2080" s="2"/>
      <x:c r="P2080" s="2"/>
      <x:c r="Q2080" s="2" t="str">
        <x:v>산업전환_외부사업관리Tool_260707_이너젠 수정_LJY_261013.xlsx</x:v>
      </x:c>
      <x:c r="R2080" s="2" t="str">
        <x:v>국내인증</x:v>
      </x:c>
      <x:c r="S2080" s="8" t="n">
        <x:v>398</x:v>
      </x:c>
      <x:c r="T2080" s="2" t="str">
        <x:v>(6/28)</x:v>
      </x:c>
      <x:c r="U2080" s="2" t="str">
        <x:v>2021 배정: (6/28)</x:v>
      </x:c>
      <x:c r="V2080" s="2" t="str">
        <x:v>2021-10-07</x:v>
      </x:c>
      <x:c r="W2080" s="2" t="str">
        <x:v>신청일 확인 / 담당기관 확인</x:v>
      </x:c>
      <x:c r="X2080" s="2" t="str">
        <x:v>원본·배정 기록 확인</x:v>
      </x:c>
      <x:c r="Y2080" s="2" t="str">
        <x:v>ad210cd9ec132cfd447541c8984dc53d30aff0f4fb2dc92d254d49275cc55976</x:v>
      </x:c>
      <x:c r="Z2080" s="2" t="n">
        <x:f>SUBTOTAL(103,A2080)</x:f>
        <x:v>1</x:v>
      </x:c>
      <x:c r="AA2080" s="2" t="str">
        <x:f>IF(K2080&lt;&gt;"미종결 표시","대상 아님",IF(N2080="","신청일 확인",IF(NOT(ISNUMBER('종합 현황'!$H$5)),"관찰기준 확인",IF('종합 현황'!$H$5&lt;1,"관찰기준 확인",IF(N2080&gt;'종합 현황'!$H$5,"내부 관찰 대상","내부 관찰일 이하")))))</x:f>
        <x:v>대상 아님</x:v>
      </x:c>
      <x:c r="AB2080" s="2"/>
    </x:row>
    <x:row r="2081" ht="42" customHeight="1">
      <x:c r="A2081" s="2" t="str">
        <x:v>55e3455ba8cee84d401866a7</x:v>
      </x:c>
      <x:c r="B2081" s="2" t="str">
        <x:v>감축량 인증</x:v>
      </x:c>
      <x:c r="C2081" s="2" t="str">
        <x:v>국내</x:v>
      </x:c>
      <x:c r="D2081" s="7" t="str">
        <x:v>세화산업 동해공장 목재펠릿 연료 전환(B-C유-&gt; 목재펠릿)을 통한 온실가스 감축사업</x:v>
      </x:c>
      <x:c r="E2081" s="2" t="str">
        <x:v>321</x:v>
      </x:c>
      <x:c r="F2081" s="2"/>
      <x:c r="G2081" s="2" t="str">
        <x:v>미확보</x:v>
      </x:c>
      <x:c r="H2081" s="2" t="str">
        <x:v>미확보</x:v>
      </x:c>
      <x:c r="I2081" s="2" t="str">
        <x:v>심의승인</x:v>
      </x:c>
      <x:c r="J2081" s="2" t="str">
        <x:v>심의승인</x:v>
      </x:c>
      <x:c r="K2081" s="2" t="str">
        <x:f>IF(OR(J2081="심의승인",J2081="반려",J2081="반려완료",J2081="심의완료"),"종결 표시",IF(OR(J2081="기후부협의",J2081="문서재제출요청",J2081="보류",J2081="보완요청",J2081="보완완료",J2081="평가중",J2081="반려요청",J2081="평가필요",LEFT(J2081,5)="보완요청("),"미종결 표시","상태 확인 필요"))</x:f>
        <x:v>종결 표시</x:v>
      </x:c>
      <x:c r="L2081" s="2"/>
      <x:c r="M2081" s="2"/>
      <x:c r="N2081" s="8"/>
      <x:c r="O2081" s="2"/>
      <x:c r="P2081" s="2"/>
      <x:c r="Q2081" s="2" t="str">
        <x:v>산업전환_외부사업관리Tool_260707_이너젠 수정_LJY_261013.xlsx</x:v>
      </x:c>
      <x:c r="R2081" s="2" t="str">
        <x:v>국내인증</x:v>
      </x:c>
      <x:c r="S2081" s="8" t="n">
        <x:v>399</x:v>
      </x:c>
      <x:c r="T2081" s="2"/>
      <x:c r="U2081" s="2" t="str"/>
      <x:c r="V2081" s="2" t="str">
        <x:v>2020-10-27</x:v>
      </x:c>
      <x:c r="W2081" s="2" t="str">
        <x:v>신청일 확인 / 담당기관 확인</x:v>
      </x:c>
      <x:c r="X2081" s="2" t="str">
        <x:v>원본·배정 기록 확인</x:v>
      </x:c>
      <x:c r="Y2081" s="2" t="str">
        <x:v>ad210cd9ec132cfd447541c8984dc53d30aff0f4fb2dc92d254d49275cc55976</x:v>
      </x:c>
      <x:c r="Z2081" s="2" t="n">
        <x:f>SUBTOTAL(103,A2081)</x:f>
        <x:v>1</x:v>
      </x:c>
      <x:c r="AA2081" s="2" t="str">
        <x:f>IF(K2081&lt;&gt;"미종결 표시","대상 아님",IF(N2081="","신청일 확인",IF(NOT(ISNUMBER('종합 현황'!$H$5)),"관찰기준 확인",IF('종합 현황'!$H$5&lt;1,"관찰기준 확인",IF(N2081&gt;'종합 현황'!$H$5,"내부 관찰 대상","내부 관찰일 이하")))))</x:f>
        <x:v>대상 아님</x:v>
      </x:c>
      <x:c r="AB2081" s="2"/>
    </x:row>
    <x:row r="2082" ht="42" customHeight="1">
      <x:c r="A2082" s="2" t="str">
        <x:v>16c93e4be2d306c1463d9cfd</x:v>
      </x:c>
      <x:c r="B2082" s="2" t="str">
        <x:v>감축량 인증</x:v>
      </x:c>
      <x:c r="C2082" s="2" t="str">
        <x:v>국내</x:v>
      </x:c>
      <x:c r="D2082" s="7" t="str">
        <x:v>선광제지 목재펠릿 연료전환(B-C유-&gt;목재펠릿)을 통한 온실가스 감축사업</x:v>
      </x:c>
      <x:c r="E2082" s="2" t="str">
        <x:v>322</x:v>
      </x:c>
      <x:c r="F2082" s="2"/>
      <x:c r="G2082" s="2" t="str">
        <x:v>미확보</x:v>
      </x:c>
      <x:c r="H2082" s="2" t="str">
        <x:v>미확보</x:v>
      </x:c>
      <x:c r="I2082" s="2" t="str">
        <x:v>심의승인</x:v>
      </x:c>
      <x:c r="J2082" s="2" t="str">
        <x:v>심의승인</x:v>
      </x:c>
      <x:c r="K2082" s="2" t="str">
        <x:f>IF(OR(J2082="심의승인",J2082="반려",J2082="반려완료",J2082="심의완료"),"종결 표시",IF(OR(J2082="기후부협의",J2082="문서재제출요청",J2082="보류",J2082="보완요청",J2082="보완완료",J2082="평가중",J2082="반려요청",J2082="평가필요",LEFT(J2082,5)="보완요청("),"미종결 표시","상태 확인 필요"))</x:f>
        <x:v>종결 표시</x:v>
      </x:c>
      <x:c r="L2082" s="2"/>
      <x:c r="M2082" s="2"/>
      <x:c r="N2082" s="8"/>
      <x:c r="O2082" s="2"/>
      <x:c r="P2082" s="2"/>
      <x:c r="Q2082" s="2" t="str">
        <x:v>산업전환_외부사업관리Tool_260707_이너젠 수정_LJY_261013.xlsx</x:v>
      </x:c>
      <x:c r="R2082" s="2" t="str">
        <x:v>국내인증</x:v>
      </x:c>
      <x:c r="S2082" s="8" t="n">
        <x:v>400</x:v>
      </x:c>
      <x:c r="T2082" s="2"/>
      <x:c r="U2082" s="2" t="str"/>
      <x:c r="V2082" s="2" t="str">
        <x:v>2020-10-27</x:v>
      </x:c>
      <x:c r="W2082" s="2" t="str">
        <x:v>신청일 확인 / 담당기관 확인</x:v>
      </x:c>
      <x:c r="X2082" s="2" t="str">
        <x:v>원본·배정 기록 확인</x:v>
      </x:c>
      <x:c r="Y2082" s="2" t="str">
        <x:v>ad210cd9ec132cfd447541c8984dc53d30aff0f4fb2dc92d254d49275cc55976</x:v>
      </x:c>
      <x:c r="Z2082" s="2" t="n">
        <x:f>SUBTOTAL(103,A2082)</x:f>
        <x:v>1</x:v>
      </x:c>
      <x:c r="AA2082" s="2" t="str">
        <x:f>IF(K2082&lt;&gt;"미종결 표시","대상 아님",IF(N2082="","신청일 확인",IF(NOT(ISNUMBER('종합 현황'!$H$5)),"관찰기준 확인",IF('종합 현황'!$H$5&lt;1,"관찰기준 확인",IF(N2082&gt;'종합 현황'!$H$5,"내부 관찰 대상","내부 관찰일 이하")))))</x:f>
        <x:v>대상 아님</x:v>
      </x:c>
      <x:c r="AB2082" s="2"/>
    </x:row>
    <x:row r="2083" ht="42" customHeight="1">
      <x:c r="A2083" s="2" t="str">
        <x:v>f3ae089331d996a18eb609e4</x:v>
      </x:c>
      <x:c r="B2083" s="2" t="str">
        <x:v>감축량 인증</x:v>
      </x:c>
      <x:c r="C2083" s="2" t="str">
        <x:v>국내</x:v>
      </x:c>
      <x:c r="D2083" s="7" t="str">
        <x:v>(주)웅진산업 보일러 연료 전환(B-B유 → 목재펠릿)을 통한 온실가스 감축사업</x:v>
      </x:c>
      <x:c r="E2083" s="2" t="str">
        <x:v>323</x:v>
      </x:c>
      <x:c r="F2083" s="2"/>
      <x:c r="G2083" s="2" t="str">
        <x:v>미확보</x:v>
      </x:c>
      <x:c r="H2083" s="2" t="str">
        <x:v>미확보</x:v>
      </x:c>
      <x:c r="I2083" s="2" t="str">
        <x:v>심의승인</x:v>
      </x:c>
      <x:c r="J2083" s="2" t="str">
        <x:v>심의승인</x:v>
      </x:c>
      <x:c r="K2083" s="2" t="str">
        <x:f>IF(OR(J2083="심의승인",J2083="반려",J2083="반려완료",J2083="심의완료"),"종결 표시",IF(OR(J2083="기후부협의",J2083="문서재제출요청",J2083="보류",J2083="보완요청",J2083="보완완료",J2083="평가중",J2083="반려요청",J2083="평가필요",LEFT(J2083,5)="보완요청("),"미종결 표시","상태 확인 필요"))</x:f>
        <x:v>종결 표시</x:v>
      </x:c>
      <x:c r="L2083" s="2"/>
      <x:c r="M2083" s="2"/>
      <x:c r="N2083" s="8"/>
      <x:c r="O2083" s="2"/>
      <x:c r="P2083" s="2"/>
      <x:c r="Q2083" s="2" t="str">
        <x:v>산업전환_외부사업관리Tool_260707_이너젠 수정_LJY_261013.xlsx</x:v>
      </x:c>
      <x:c r="R2083" s="2" t="str">
        <x:v>국내인증</x:v>
      </x:c>
      <x:c r="S2083" s="8" t="n">
        <x:v>401</x:v>
      </x:c>
      <x:c r="T2083" s="2" t="str">
        <x:v>2021년 처리</x:v>
      </x:c>
      <x:c r="U2083" s="2" t="str">
        <x:v>2021 배정: 2021년 처리</x:v>
      </x:c>
      <x:c r="V2083" s="2" t="str">
        <x:v>2021-06-21</x:v>
      </x:c>
      <x:c r="W2083" s="2" t="str">
        <x:v>신청일 확인 / 담당기관 확인</x:v>
      </x:c>
      <x:c r="X2083" s="2" t="str">
        <x:v>원본·배정 기록 확인</x:v>
      </x:c>
      <x:c r="Y2083" s="2" t="str">
        <x:v>ad210cd9ec132cfd447541c8984dc53d30aff0f4fb2dc92d254d49275cc55976</x:v>
      </x:c>
      <x:c r="Z2083" s="2" t="n">
        <x:f>SUBTOTAL(103,A2083)</x:f>
        <x:v>1</x:v>
      </x:c>
      <x:c r="AA2083" s="2" t="str">
        <x:f>IF(K2083&lt;&gt;"미종결 표시","대상 아님",IF(N2083="","신청일 확인",IF(NOT(ISNUMBER('종합 현황'!$H$5)),"관찰기준 확인",IF('종합 현황'!$H$5&lt;1,"관찰기준 확인",IF(N2083&gt;'종합 현황'!$H$5,"내부 관찰 대상","내부 관찰일 이하")))))</x:f>
        <x:v>대상 아님</x:v>
      </x:c>
      <x:c r="AB2083" s="2"/>
    </x:row>
    <x:row r="2084" ht="42" customHeight="1">
      <x:c r="A2084" s="2" t="str">
        <x:v>8940931f4172533b4f5da83c</x:v>
      </x:c>
      <x:c r="B2084" s="2" t="str">
        <x:v>감축량 인증</x:v>
      </x:c>
      <x:c r="C2084" s="2" t="str">
        <x:v>국내</x:v>
      </x:c>
      <x:c r="D2084" s="7" t="str">
        <x:v>동보섬유 버너교체를 통한 연료전환 온실가스 배출 감축 사업</x:v>
      </x:c>
      <x:c r="E2084" s="2" t="str">
        <x:v>324</x:v>
      </x:c>
      <x:c r="F2084" s="2"/>
      <x:c r="G2084" s="2" t="str">
        <x:v>미확보</x:v>
      </x:c>
      <x:c r="H2084" s="2" t="str">
        <x:v>미확보</x:v>
      </x:c>
      <x:c r="I2084" s="2" t="str">
        <x:v>심의승인</x:v>
      </x:c>
      <x:c r="J2084" s="2" t="str">
        <x:v>심의승인</x:v>
      </x:c>
      <x:c r="K2084" s="2" t="str">
        <x:f>IF(OR(J2084="심의승인",J2084="반려",J2084="반려완료",J2084="심의완료"),"종결 표시",IF(OR(J2084="기후부협의",J2084="문서재제출요청",J2084="보류",J2084="보완요청",J2084="보완완료",J2084="평가중",J2084="반려요청",J2084="평가필요",LEFT(J2084,5)="보완요청("),"미종결 표시","상태 확인 필요"))</x:f>
        <x:v>종결 표시</x:v>
      </x:c>
      <x:c r="L2084" s="2"/>
      <x:c r="M2084" s="2"/>
      <x:c r="N2084" s="8"/>
      <x:c r="O2084" s="2"/>
      <x:c r="P2084" s="2"/>
      <x:c r="Q2084" s="2" t="str">
        <x:v>산업전환_외부사업관리Tool_260707_이너젠 수정_LJY_261013.xlsx</x:v>
      </x:c>
      <x:c r="R2084" s="2" t="str">
        <x:v>국내인증</x:v>
      </x:c>
      <x:c r="S2084" s="8" t="n">
        <x:v>402</x:v>
      </x:c>
      <x:c r="T2084" s="2"/>
      <x:c r="U2084" s="2" t="str"/>
      <x:c r="V2084" s="2" t="str">
        <x:v>2020-10-27</x:v>
      </x:c>
      <x:c r="W2084" s="2" t="str">
        <x:v>신청일 확인 / 담당기관 확인</x:v>
      </x:c>
      <x:c r="X2084" s="2" t="str">
        <x:v>원본·배정 기록 확인</x:v>
      </x:c>
      <x:c r="Y2084" s="2" t="str">
        <x:v>ad210cd9ec132cfd447541c8984dc53d30aff0f4fb2dc92d254d49275cc55976</x:v>
      </x:c>
      <x:c r="Z2084" s="2" t="n">
        <x:f>SUBTOTAL(103,A2084)</x:f>
        <x:v>1</x:v>
      </x:c>
      <x:c r="AA2084" s="2" t="str">
        <x:f>IF(K2084&lt;&gt;"미종결 표시","대상 아님",IF(N2084="","신청일 확인",IF(NOT(ISNUMBER('종합 현황'!$H$5)),"관찰기준 확인",IF('종합 현황'!$H$5&lt;1,"관찰기준 확인",IF(N2084&gt;'종합 현황'!$H$5,"내부 관찰 대상","내부 관찰일 이하")))))</x:f>
        <x:v>대상 아님</x:v>
      </x:c>
      <x:c r="AB2084" s="2"/>
    </x:row>
    <x:row r="2085" ht="42" customHeight="1">
      <x:c r="A2085" s="2" t="str">
        <x:v>70dbd3bddbcba58515827e35</x:v>
      </x:c>
      <x:c r="B2085" s="2" t="str">
        <x:v>감축량 인증</x:v>
      </x:c>
      <x:c r="C2085" s="2" t="str">
        <x:v>국내</x:v>
      </x:c>
      <x:c r="D2085" s="7" t="str">
        <x:v>인천이피에스 목재펠릿 연료전환을 통한 온실가스 감축사업(B-C유, 정제유→목재펠릿)</x:v>
      </x:c>
      <x:c r="E2085" s="2" t="str">
        <x:v>325</x:v>
      </x:c>
      <x:c r="F2085" s="2"/>
      <x:c r="G2085" s="2" t="str">
        <x:v>미확보</x:v>
      </x:c>
      <x:c r="H2085" s="2" t="str">
        <x:v>미확보</x:v>
      </x:c>
      <x:c r="I2085" s="2" t="str">
        <x:v>심의승인</x:v>
      </x:c>
      <x:c r="J2085" s="2" t="str">
        <x:v>심의승인</x:v>
      </x:c>
      <x:c r="K2085" s="2" t="str">
        <x:f>IF(OR(J2085="심의승인",J2085="반려",J2085="반려완료",J2085="심의완료"),"종결 표시",IF(OR(J2085="기후부협의",J2085="문서재제출요청",J2085="보류",J2085="보완요청",J2085="보완완료",J2085="평가중",J2085="반려요청",J2085="평가필요",LEFT(J2085,5)="보완요청("),"미종결 표시","상태 확인 필요"))</x:f>
        <x:v>종결 표시</x:v>
      </x:c>
      <x:c r="L2085" s="2"/>
      <x:c r="M2085" s="2"/>
      <x:c r="N2085" s="8"/>
      <x:c r="O2085" s="2"/>
      <x:c r="P2085" s="2"/>
      <x:c r="Q2085" s="2" t="str">
        <x:v>산업전환_외부사업관리Tool_260707_이너젠 수정_LJY_261013.xlsx</x:v>
      </x:c>
      <x:c r="R2085" s="2" t="str">
        <x:v>국내인증</x:v>
      </x:c>
      <x:c r="S2085" s="8" t="n">
        <x:v>403</x:v>
      </x:c>
      <x:c r="T2085" s="2" t="str">
        <x:v>(4/23),(6/28)</x:v>
      </x:c>
      <x:c r="U2085" s="2" t="str">
        <x:v>2021 배정: (4/23),(6/28)</x:v>
      </x:c>
      <x:c r="V2085" s="2" t="str">
        <x:v>2021-10-07</x:v>
      </x:c>
      <x:c r="W2085" s="2" t="str">
        <x:v>신청일 확인 / 담당기관 확인</x:v>
      </x:c>
      <x:c r="X2085" s="2" t="str">
        <x:v>원본·배정 기록 확인</x:v>
      </x:c>
      <x:c r="Y2085" s="2" t="str">
        <x:v>ad210cd9ec132cfd447541c8984dc53d30aff0f4fb2dc92d254d49275cc55976</x:v>
      </x:c>
      <x:c r="Z2085" s="2" t="n">
        <x:f>SUBTOTAL(103,A2085)</x:f>
        <x:v>1</x:v>
      </x:c>
      <x:c r="AA2085" s="2" t="str">
        <x:f>IF(K2085&lt;&gt;"미종결 표시","대상 아님",IF(N2085="","신청일 확인",IF(NOT(ISNUMBER('종합 현황'!$H$5)),"관찰기준 확인",IF('종합 현황'!$H$5&lt;1,"관찰기준 확인",IF(N2085&gt;'종합 현황'!$H$5,"내부 관찰 대상","내부 관찰일 이하")))))</x:f>
        <x:v>대상 아님</x:v>
      </x:c>
      <x:c r="AB2085" s="2"/>
    </x:row>
    <x:row r="2086" ht="42" customHeight="1">
      <x:c r="A2086" s="2" t="str">
        <x:v>04580d8ebf29576b51ac9041</x:v>
      </x:c>
      <x:c r="B2086" s="2" t="str">
        <x:v>감축량 인증</x:v>
      </x:c>
      <x:c r="C2086" s="2" t="str">
        <x:v>국내</x:v>
      </x:c>
      <x:c r="D2086" s="7" t="str">
        <x:v>(주)삼오 평택사업장 사출기  개조를 통한 설비 성능 개선에 따른 온실가스 감축사업</x:v>
      </x:c>
      <x:c r="E2086" s="2" t="str">
        <x:v>326</x:v>
      </x:c>
      <x:c r="F2086" s="2"/>
      <x:c r="G2086" s="2" t="str">
        <x:v>미확보</x:v>
      </x:c>
      <x:c r="H2086" s="2" t="str">
        <x:v>미확보</x:v>
      </x:c>
      <x:c r="I2086" s="2" t="str">
        <x:v>심의승인</x:v>
      </x:c>
      <x:c r="J2086" s="2" t="str">
        <x:v>심의승인</x:v>
      </x:c>
      <x:c r="K2086" s="2" t="str">
        <x:f>IF(OR(J2086="심의승인",J2086="반려",J2086="반려완료",J2086="심의완료"),"종결 표시",IF(OR(J2086="기후부협의",J2086="문서재제출요청",J2086="보류",J2086="보완요청",J2086="보완완료",J2086="평가중",J2086="반려요청",J2086="평가필요",LEFT(J2086,5)="보완요청("),"미종결 표시","상태 확인 필요"))</x:f>
        <x:v>종결 표시</x:v>
      </x:c>
      <x:c r="L2086" s="2"/>
      <x:c r="M2086" s="2"/>
      <x:c r="N2086" s="8"/>
      <x:c r="O2086" s="2"/>
      <x:c r="P2086" s="2"/>
      <x:c r="Q2086" s="2" t="str">
        <x:v>산업전환_외부사업관리Tool_260707_이너젠 수정_LJY_261013.xlsx</x:v>
      </x:c>
      <x:c r="R2086" s="2" t="str">
        <x:v>국내인증</x:v>
      </x:c>
      <x:c r="S2086" s="8" t="n">
        <x:v>404</x:v>
      </x:c>
      <x:c r="T2086" s="2" t="str">
        <x:v>2021년 처리</x:v>
      </x:c>
      <x:c r="U2086" s="2" t="str">
        <x:v>2021 배정: 2021년 처리</x:v>
      </x:c>
      <x:c r="V2086" s="2" t="str">
        <x:v>2021-06-21</x:v>
      </x:c>
      <x:c r="W2086" s="2" t="str">
        <x:v>신청일 확인 / 담당기관 확인</x:v>
      </x:c>
      <x:c r="X2086" s="2" t="str">
        <x:v>원본·배정 기록 확인</x:v>
      </x:c>
      <x:c r="Y2086" s="2" t="str">
        <x:v>ad210cd9ec132cfd447541c8984dc53d30aff0f4fb2dc92d254d49275cc55976</x:v>
      </x:c>
      <x:c r="Z2086" s="2" t="n">
        <x:f>SUBTOTAL(103,A2086)</x:f>
        <x:v>1</x:v>
      </x:c>
      <x:c r="AA2086" s="2" t="str">
        <x:f>IF(K2086&lt;&gt;"미종결 표시","대상 아님",IF(N2086="","신청일 확인",IF(NOT(ISNUMBER('종합 현황'!$H$5)),"관찰기준 확인",IF('종합 현황'!$H$5&lt;1,"관찰기준 확인",IF(N2086&gt;'종합 현황'!$H$5,"내부 관찰 대상","내부 관찰일 이하")))))</x:f>
        <x:v>대상 아님</x:v>
      </x:c>
      <x:c r="AB2086" s="2"/>
    </x:row>
    <x:row r="2087" ht="42" customHeight="1">
      <x:c r="A2087" s="2" t="str">
        <x:v>8d53b430119b3077cfd0184c</x:v>
      </x:c>
      <x:c r="B2087" s="2" t="str">
        <x:v>감축량 인증</x:v>
      </x:c>
      <x:c r="C2087" s="2" t="str">
        <x:v>국내</x:v>
      </x:c>
      <x:c r="D2087" s="7" t="str">
        <x:v>(주)축림 익산사업장 LPG에서 목재펠릿으로 연료 전환을 통한 온실가스 감축사업</x:v>
      </x:c>
      <x:c r="E2087" s="2" t="str">
        <x:v>327</x:v>
      </x:c>
      <x:c r="F2087" s="2"/>
      <x:c r="G2087" s="2" t="str">
        <x:v>미확보</x:v>
      </x:c>
      <x:c r="H2087" s="2" t="str">
        <x:v>미확보</x:v>
      </x:c>
      <x:c r="I2087" s="2" t="str">
        <x:v>심의승인</x:v>
      </x:c>
      <x:c r="J2087" s="2" t="str">
        <x:v>심의승인</x:v>
      </x:c>
      <x:c r="K2087" s="2" t="str">
        <x:f>IF(OR(J2087="심의승인",J2087="반려",J2087="반려완료",J2087="심의완료"),"종결 표시",IF(OR(J2087="기후부협의",J2087="문서재제출요청",J2087="보류",J2087="보완요청",J2087="보완완료",J2087="평가중",J2087="반려요청",J2087="평가필요",LEFT(J2087,5)="보완요청("),"미종결 표시","상태 확인 필요"))</x:f>
        <x:v>종결 표시</x:v>
      </x:c>
      <x:c r="L2087" s="2"/>
      <x:c r="M2087" s="2"/>
      <x:c r="N2087" s="8"/>
      <x:c r="O2087" s="2"/>
      <x:c r="P2087" s="2"/>
      <x:c r="Q2087" s="2" t="str">
        <x:v>산업전환_외부사업관리Tool_260707_이너젠 수정_LJY_261013.xlsx</x:v>
      </x:c>
      <x:c r="R2087" s="2" t="str">
        <x:v>국내인증</x:v>
      </x:c>
      <x:c r="S2087" s="8" t="n">
        <x:v>405</x:v>
      </x:c>
      <x:c r="T2087" s="2" t="str">
        <x:v>(7/12),(9/1)</x:v>
      </x:c>
      <x:c r="U2087" s="2" t="str">
        <x:v>2021 배정: (7/12),(9/1)</x:v>
      </x:c>
      <x:c r="V2087" s="2" t="str">
        <x:v>2022-01-17</x:v>
      </x:c>
      <x:c r="W2087" s="2" t="str">
        <x:v>신청일 확인 / 담당기관 확인</x:v>
      </x:c>
      <x:c r="X2087" s="2" t="str">
        <x:v>원본·배정 기록 확인</x:v>
      </x:c>
      <x:c r="Y2087" s="2" t="str">
        <x:v>ad210cd9ec132cfd447541c8984dc53d30aff0f4fb2dc92d254d49275cc55976</x:v>
      </x:c>
      <x:c r="Z2087" s="2" t="n">
        <x:f>SUBTOTAL(103,A2087)</x:f>
        <x:v>1</x:v>
      </x:c>
      <x:c r="AA2087" s="2" t="str">
        <x:f>IF(K2087&lt;&gt;"미종결 표시","대상 아님",IF(N2087="","신청일 확인",IF(NOT(ISNUMBER('종합 현황'!$H$5)),"관찰기준 확인",IF('종합 현황'!$H$5&lt;1,"관찰기준 확인",IF(N2087&gt;'종합 현황'!$H$5,"내부 관찰 대상","내부 관찰일 이하")))))</x:f>
        <x:v>대상 아님</x:v>
      </x:c>
      <x:c r="AB2087" s="2"/>
    </x:row>
    <x:row r="2088" ht="42" customHeight="1">
      <x:c r="A2088" s="2" t="str">
        <x:v>94a37a59e56efa1705ed516b</x:v>
      </x:c>
      <x:c r="B2088" s="2" t="str">
        <x:v>감축량 인증</x:v>
      </x:c>
      <x:c r="C2088" s="2" t="str">
        <x:v>국내</x:v>
      </x:c>
      <x:c r="D2088" s="7" t="str">
        <x:v>동원유지 보일러 연료 전환(B-C유→목재펠릿)을 통한 온실가스 감축사업</x:v>
      </x:c>
      <x:c r="E2088" s="2" t="str">
        <x:v>328</x:v>
      </x:c>
      <x:c r="F2088" s="2"/>
      <x:c r="G2088" s="2" t="str">
        <x:v>미확보</x:v>
      </x:c>
      <x:c r="H2088" s="2" t="str">
        <x:v>미확보</x:v>
      </x:c>
      <x:c r="I2088" s="2" t="str">
        <x:v>심의승인</x:v>
      </x:c>
      <x:c r="J2088" s="2" t="str">
        <x:v>심의승인</x:v>
      </x:c>
      <x:c r="K2088" s="2" t="str">
        <x:f>IF(OR(J2088="심의승인",J2088="반려",J2088="반려완료",J2088="심의완료"),"종결 표시",IF(OR(J2088="기후부협의",J2088="문서재제출요청",J2088="보류",J2088="보완요청",J2088="보완완료",J2088="평가중",J2088="반려요청",J2088="평가필요",LEFT(J2088,5)="보완요청("),"미종결 표시","상태 확인 필요"))</x:f>
        <x:v>종결 표시</x:v>
      </x:c>
      <x:c r="L2088" s="2"/>
      <x:c r="M2088" s="2"/>
      <x:c r="N2088" s="8"/>
      <x:c r="O2088" s="2"/>
      <x:c r="P2088" s="2"/>
      <x:c r="Q2088" s="2" t="str">
        <x:v>산업전환_외부사업관리Tool_260707_이너젠 수정_LJY_261013.xlsx</x:v>
      </x:c>
      <x:c r="R2088" s="2" t="str">
        <x:v>국내인증</x:v>
      </x:c>
      <x:c r="S2088" s="8" t="n">
        <x:v>406</x:v>
      </x:c>
      <x:c r="T2088" s="2" t="str">
        <x:v>(6/28),(9/1)</x:v>
      </x:c>
      <x:c r="U2088" s="2" t="str">
        <x:v>2021 배정: (6/28),(9/1)</x:v>
      </x:c>
      <x:c r="V2088" s="2" t="str">
        <x:v>2022-01-17</x:v>
      </x:c>
      <x:c r="W2088" s="2" t="str">
        <x:v>신청일 확인 / 담당기관 확인</x:v>
      </x:c>
      <x:c r="X2088" s="2" t="str">
        <x:v>원본·배정 기록 확인</x:v>
      </x:c>
      <x:c r="Y2088" s="2" t="str">
        <x:v>ad210cd9ec132cfd447541c8984dc53d30aff0f4fb2dc92d254d49275cc55976</x:v>
      </x:c>
      <x:c r="Z2088" s="2" t="n">
        <x:f>SUBTOTAL(103,A2088)</x:f>
        <x:v>1</x:v>
      </x:c>
      <x:c r="AA2088" s="2" t="str">
        <x:f>IF(K2088&lt;&gt;"미종결 표시","대상 아님",IF(N2088="","신청일 확인",IF(NOT(ISNUMBER('종합 현황'!$H$5)),"관찰기준 확인",IF('종합 현황'!$H$5&lt;1,"관찰기준 확인",IF(N2088&gt;'종합 현황'!$H$5,"내부 관찰 대상","내부 관찰일 이하")))))</x:f>
        <x:v>대상 아님</x:v>
      </x:c>
      <x:c r="AB2088" s="2"/>
    </x:row>
    <x:row r="2089" ht="42" customHeight="1">
      <x:c r="A2089" s="2" t="str">
        <x:v>951da9325c402373da13ba62</x:v>
      </x:c>
      <x:c r="B2089" s="2" t="str">
        <x:v>감축량 인증</x:v>
      </x:c>
      <x:c r="C2089" s="2" t="str">
        <x:v>국내</x:v>
      </x:c>
      <x:c r="D2089" s="7" t="str">
        <x:v>대동실업 내 폐수열 회수설비를 설치하여 스팀사용량 절감을 통한 온실가스(CO2)배출 감축사업</x:v>
      </x:c>
      <x:c r="E2089" s="2" t="str">
        <x:v>329</x:v>
      </x:c>
      <x:c r="F2089" s="2"/>
      <x:c r="G2089" s="2" t="str">
        <x:v>미확보</x:v>
      </x:c>
      <x:c r="H2089" s="2" t="str">
        <x:v>미확보</x:v>
      </x:c>
      <x:c r="I2089" s="2" t="str">
        <x:v>심의승인</x:v>
      </x:c>
      <x:c r="J2089" s="2" t="str">
        <x:v>심의승인</x:v>
      </x:c>
      <x:c r="K2089" s="2" t="str">
        <x:f>IF(OR(J2089="심의승인",J2089="반려",J2089="반려완료",J2089="심의완료"),"종결 표시",IF(OR(J2089="기후부협의",J2089="문서재제출요청",J2089="보류",J2089="보완요청",J2089="보완완료",J2089="평가중",J2089="반려요청",J2089="평가필요",LEFT(J2089,5)="보완요청("),"미종결 표시","상태 확인 필요"))</x:f>
        <x:v>종결 표시</x:v>
      </x:c>
      <x:c r="L2089" s="2"/>
      <x:c r="M2089" s="2"/>
      <x:c r="N2089" s="8"/>
      <x:c r="O2089" s="2"/>
      <x:c r="P2089" s="2"/>
      <x:c r="Q2089" s="2" t="str">
        <x:v>산업전환_외부사업관리Tool_260707_이너젠 수정_LJY_261013.xlsx</x:v>
      </x:c>
      <x:c r="R2089" s="2" t="str">
        <x:v>국내인증</x:v>
      </x:c>
      <x:c r="S2089" s="8" t="n">
        <x:v>407</x:v>
      </x:c>
      <x:c r="T2089" s="2"/>
      <x:c r="U2089" s="2" t="str"/>
      <x:c r="V2089" s="2" t="str">
        <x:v>2020-10-27</x:v>
      </x:c>
      <x:c r="W2089" s="2" t="str">
        <x:v>신청일 확인 / 담당기관 확인</x:v>
      </x:c>
      <x:c r="X2089" s="2" t="str">
        <x:v>원본·배정 기록 확인</x:v>
      </x:c>
      <x:c r="Y2089" s="2" t="str">
        <x:v>ad210cd9ec132cfd447541c8984dc53d30aff0f4fb2dc92d254d49275cc55976</x:v>
      </x:c>
      <x:c r="Z2089" s="2" t="n">
        <x:f>SUBTOTAL(103,A2089)</x:f>
        <x:v>1</x:v>
      </x:c>
      <x:c r="AA2089" s="2" t="str">
        <x:f>IF(K2089&lt;&gt;"미종결 표시","대상 아님",IF(N2089="","신청일 확인",IF(NOT(ISNUMBER('종합 현황'!$H$5)),"관찰기준 확인",IF('종합 현황'!$H$5&lt;1,"관찰기준 확인",IF(N2089&gt;'종합 현황'!$H$5,"내부 관찰 대상","내부 관찰일 이하")))))</x:f>
        <x:v>대상 아님</x:v>
      </x:c>
      <x:c r="AB2089" s="2"/>
    </x:row>
    <x:row r="2090" ht="42" customHeight="1">
      <x:c r="A2090" s="2" t="str">
        <x:v>5724d75bc53dd32512e728ea</x:v>
      </x:c>
      <x:c r="B2090" s="2" t="str">
        <x:v>감축량 인증</x:v>
      </x:c>
      <x:c r="C2090" s="2" t="str">
        <x:v>국내</x:v>
      </x:c>
      <x:c r="D2090" s="7" t="str">
        <x:v>진흥염직의 보일러 연료전환 (벙커C유 → LNG)을 통한 온실가스(CO2) 배출 감축사업</x:v>
      </x:c>
      <x:c r="E2090" s="2" t="str">
        <x:v>330</x:v>
      </x:c>
      <x:c r="F2090" s="2"/>
      <x:c r="G2090" s="2" t="str">
        <x:v>미확보</x:v>
      </x:c>
      <x:c r="H2090" s="2" t="str">
        <x:v>미확보</x:v>
      </x:c>
      <x:c r="I2090" s="2" t="str">
        <x:v>심의승인</x:v>
      </x:c>
      <x:c r="J2090" s="2" t="str">
        <x:v>심의승인</x:v>
      </x:c>
      <x:c r="K2090" s="2" t="str">
        <x:f>IF(OR(J2090="심의승인",J2090="반려",J2090="반려완료",J2090="심의완료"),"종결 표시",IF(OR(J2090="기후부협의",J2090="문서재제출요청",J2090="보류",J2090="보완요청",J2090="보완완료",J2090="평가중",J2090="반려요청",J2090="평가필요",LEFT(J2090,5)="보완요청("),"미종결 표시","상태 확인 필요"))</x:f>
        <x:v>종결 표시</x:v>
      </x:c>
      <x:c r="L2090" s="2"/>
      <x:c r="M2090" s="2"/>
      <x:c r="N2090" s="8"/>
      <x:c r="O2090" s="2"/>
      <x:c r="P2090" s="2"/>
      <x:c r="Q2090" s="2" t="str">
        <x:v>산업전환_외부사업관리Tool_260707_이너젠 수정_LJY_261013.xlsx</x:v>
      </x:c>
      <x:c r="R2090" s="2" t="str">
        <x:v>국내인증</x:v>
      </x:c>
      <x:c r="S2090" s="8" t="n">
        <x:v>408</x:v>
      </x:c>
      <x:c r="T2090" s="2" t="str">
        <x:v>2021년 처리</x:v>
      </x:c>
      <x:c r="U2090" s="2" t="str">
        <x:v>2021 배정: 2021년 처리</x:v>
      </x:c>
      <x:c r="V2090" s="2" t="str">
        <x:v>2021-06-21</x:v>
      </x:c>
      <x:c r="W2090" s="2" t="str">
        <x:v>신청일 확인 / 담당기관 확인</x:v>
      </x:c>
      <x:c r="X2090" s="2" t="str">
        <x:v>원본·배정 기록 확인</x:v>
      </x:c>
      <x:c r="Y2090" s="2" t="str">
        <x:v>ad210cd9ec132cfd447541c8984dc53d30aff0f4fb2dc92d254d49275cc55976</x:v>
      </x:c>
      <x:c r="Z2090" s="2" t="n">
        <x:f>SUBTOTAL(103,A2090)</x:f>
        <x:v>1</x:v>
      </x:c>
      <x:c r="AA2090" s="2" t="str">
        <x:f>IF(K2090&lt;&gt;"미종결 표시","대상 아님",IF(N2090="","신청일 확인",IF(NOT(ISNUMBER('종합 현황'!$H$5)),"관찰기준 확인",IF('종합 현황'!$H$5&lt;1,"관찰기준 확인",IF(N2090&gt;'종합 현황'!$H$5,"내부 관찰 대상","내부 관찰일 이하")))))</x:f>
        <x:v>대상 아님</x:v>
      </x:c>
      <x:c r="AB2090" s="2"/>
    </x:row>
    <x:row r="2091" ht="42" customHeight="1">
      <x:c r="A2091" s="2" t="str">
        <x:v>967a8b5f2237cc2dcf251127</x:v>
      </x:c>
      <x:c r="B2091" s="2" t="str">
        <x:v>감축량 인증</x:v>
      </x:c>
      <x:c r="C2091" s="2" t="str">
        <x:v>국내</x:v>
      </x:c>
      <x:c r="D2091" s="7" t="str">
        <x:v>유영나염 스팀보일러의 연료교체(B-C유→LNG)를 통한 온실가스(CO2) 배출 감축사업</x:v>
      </x:c>
      <x:c r="E2091" s="2" t="str">
        <x:v>331</x:v>
      </x:c>
      <x:c r="F2091" s="2"/>
      <x:c r="G2091" s="2" t="str">
        <x:v>미확보</x:v>
      </x:c>
      <x:c r="H2091" s="2" t="str">
        <x:v>미확보</x:v>
      </x:c>
      <x:c r="I2091" s="2" t="str">
        <x:v>심의승인</x:v>
      </x:c>
      <x:c r="J2091" s="2" t="str">
        <x:v>심의승인</x:v>
      </x:c>
      <x:c r="K2091" s="2" t="str">
        <x:f>IF(OR(J2091="심의승인",J2091="반려",J2091="반려완료",J2091="심의완료"),"종결 표시",IF(OR(J2091="기후부협의",J2091="문서재제출요청",J2091="보류",J2091="보완요청",J2091="보완완료",J2091="평가중",J2091="반려요청",J2091="평가필요",LEFT(J2091,5)="보완요청("),"미종결 표시","상태 확인 필요"))</x:f>
        <x:v>종결 표시</x:v>
      </x:c>
      <x:c r="L2091" s="2"/>
      <x:c r="M2091" s="2"/>
      <x:c r="N2091" s="8"/>
      <x:c r="O2091" s="2"/>
      <x:c r="P2091" s="2"/>
      <x:c r="Q2091" s="2" t="str">
        <x:v>산업전환_외부사업관리Tool_260707_이너젠 수정_LJY_261013.xlsx</x:v>
      </x:c>
      <x:c r="R2091" s="2" t="str">
        <x:v>국내인증</x:v>
      </x:c>
      <x:c r="S2091" s="8" t="n">
        <x:v>409</x:v>
      </x:c>
      <x:c r="T2091" s="2" t="str">
        <x:v>2021년 처리</x:v>
      </x:c>
      <x:c r="U2091" s="2" t="str">
        <x:v>2021 배정: 2021년 처리</x:v>
      </x:c>
      <x:c r="V2091" s="2" t="str">
        <x:v>2021-06-21</x:v>
      </x:c>
      <x:c r="W2091" s="2" t="str">
        <x:v>신청일 확인 / 담당기관 확인</x:v>
      </x:c>
      <x:c r="X2091" s="2" t="str">
        <x:v>원본·배정 기록 확인</x:v>
      </x:c>
      <x:c r="Y2091" s="2" t="str">
        <x:v>ad210cd9ec132cfd447541c8984dc53d30aff0f4fb2dc92d254d49275cc55976</x:v>
      </x:c>
      <x:c r="Z2091" s="2" t="n">
        <x:f>SUBTOTAL(103,A2091)</x:f>
        <x:v>1</x:v>
      </x:c>
      <x:c r="AA2091" s="2" t="str">
        <x:f>IF(K2091&lt;&gt;"미종결 표시","대상 아님",IF(N2091="","신청일 확인",IF(NOT(ISNUMBER('종합 현황'!$H$5)),"관찰기준 확인",IF('종합 현황'!$H$5&lt;1,"관찰기준 확인",IF(N2091&gt;'종합 현황'!$H$5,"내부 관찰 대상","내부 관찰일 이하")))))</x:f>
        <x:v>대상 아님</x:v>
      </x:c>
      <x:c r="AB2091" s="2"/>
    </x:row>
    <x:row r="2092" ht="42" customHeight="1">
      <x:c r="A2092" s="2" t="str">
        <x:v>e0179d85e7da44d0982ec0e1</x:v>
      </x:c>
      <x:c r="B2092" s="2" t="str">
        <x:v>감축량 인증</x:v>
      </x:c>
      <x:c r="C2092" s="2" t="str">
        <x:v>국내</x:v>
      </x:c>
      <x:c r="D2092" s="7" t="str">
        <x:v>명성산업(주) 스팀보일러의 연료교체(B-C유→LNG)를 통한 온실가스(CO2) 배출 감축사업</x:v>
      </x:c>
      <x:c r="E2092" s="2" t="str">
        <x:v>332</x:v>
      </x:c>
      <x:c r="F2092" s="2"/>
      <x:c r="G2092" s="2" t="str">
        <x:v>미확보</x:v>
      </x:c>
      <x:c r="H2092" s="2" t="str">
        <x:v>미확보</x:v>
      </x:c>
      <x:c r="I2092" s="2" t="str">
        <x:v>심의승인</x:v>
      </x:c>
      <x:c r="J2092" s="2" t="str">
        <x:v>심의승인</x:v>
      </x:c>
      <x:c r="K2092" s="2" t="str">
        <x:f>IF(OR(J2092="심의승인",J2092="반려",J2092="반려완료",J2092="심의완료"),"종결 표시",IF(OR(J2092="기후부협의",J2092="문서재제출요청",J2092="보류",J2092="보완요청",J2092="보완완료",J2092="평가중",J2092="반려요청",J2092="평가필요",LEFT(J2092,5)="보완요청("),"미종결 표시","상태 확인 필요"))</x:f>
        <x:v>종결 표시</x:v>
      </x:c>
      <x:c r="L2092" s="2"/>
      <x:c r="M2092" s="2"/>
      <x:c r="N2092" s="8"/>
      <x:c r="O2092" s="2"/>
      <x:c r="P2092" s="2"/>
      <x:c r="Q2092" s="2" t="str">
        <x:v>산업전환_외부사업관리Tool_260707_이너젠 수정_LJY_261013.xlsx</x:v>
      </x:c>
      <x:c r="R2092" s="2" t="str">
        <x:v>국내인증</x:v>
      </x:c>
      <x:c r="S2092" s="8" t="n">
        <x:v>410</x:v>
      </x:c>
      <x:c r="T2092" s="2"/>
      <x:c r="U2092" s="2" t="str"/>
      <x:c r="V2092" s="2" t="str">
        <x:v>2020-10-27</x:v>
      </x:c>
      <x:c r="W2092" s="2" t="str">
        <x:v>신청일 확인 / 담당기관 확인</x:v>
      </x:c>
      <x:c r="X2092" s="2" t="str">
        <x:v>원본·배정 기록 확인</x:v>
      </x:c>
      <x:c r="Y2092" s="2" t="str">
        <x:v>ad210cd9ec132cfd447541c8984dc53d30aff0f4fb2dc92d254d49275cc55976</x:v>
      </x:c>
      <x:c r="Z2092" s="2" t="n">
        <x:f>SUBTOTAL(103,A2092)</x:f>
        <x:v>1</x:v>
      </x:c>
      <x:c r="AA2092" s="2" t="str">
        <x:f>IF(K2092&lt;&gt;"미종결 표시","대상 아님",IF(N2092="","신청일 확인",IF(NOT(ISNUMBER('종합 현황'!$H$5)),"관찰기준 확인",IF('종합 현황'!$H$5&lt;1,"관찰기준 확인",IF(N2092&gt;'종합 현황'!$H$5,"내부 관찰 대상","내부 관찰일 이하")))))</x:f>
        <x:v>대상 아님</x:v>
      </x:c>
      <x:c r="AB2092" s="2"/>
    </x:row>
    <x:row r="2093" ht="42" customHeight="1">
      <x:c r="A2093" s="2" t="str">
        <x:v>e855d4bb3cc4de3fab12def8</x:v>
      </x:c>
      <x:c r="B2093" s="2" t="str">
        <x:v>감축량 인증</x:v>
      </x:c>
      <x:c r="C2093" s="2" t="str">
        <x:v>국내</x:v>
      </x:c>
      <x:c r="D2093" s="7" t="str">
        <x:v>한탈L&amp;C의 보일러 연료 교체(LPG-&gt;목재펠릿)을 통한 온실가스 감축사업</x:v>
      </x:c>
      <x:c r="E2093" s="2" t="str">
        <x:v>333</x:v>
      </x:c>
      <x:c r="F2093" s="2"/>
      <x:c r="G2093" s="2" t="str">
        <x:v>미확보</x:v>
      </x:c>
      <x:c r="H2093" s="2" t="str">
        <x:v>미확보</x:v>
      </x:c>
      <x:c r="I2093" s="2" t="str">
        <x:v>심의승인</x:v>
      </x:c>
      <x:c r="J2093" s="2" t="str">
        <x:v>심의승인</x:v>
      </x:c>
      <x:c r="K2093" s="2" t="str">
        <x:f>IF(OR(J2093="심의승인",J2093="반려",J2093="반려완료",J2093="심의완료"),"종결 표시",IF(OR(J2093="기후부협의",J2093="문서재제출요청",J2093="보류",J2093="보완요청",J2093="보완완료",J2093="평가중",J2093="반려요청",J2093="평가필요",LEFT(J2093,5)="보완요청("),"미종결 표시","상태 확인 필요"))</x:f>
        <x:v>종결 표시</x:v>
      </x:c>
      <x:c r="L2093" s="2"/>
      <x:c r="M2093" s="2"/>
      <x:c r="N2093" s="8"/>
      <x:c r="O2093" s="2"/>
      <x:c r="P2093" s="2"/>
      <x:c r="Q2093" s="2" t="str">
        <x:v>산업전환_외부사업관리Tool_260707_이너젠 수정_LJY_261013.xlsx</x:v>
      </x:c>
      <x:c r="R2093" s="2" t="str">
        <x:v>국내인증</x:v>
      </x:c>
      <x:c r="S2093" s="8" t="n">
        <x:v>411</x:v>
      </x:c>
      <x:c r="T2093" s="2" t="str">
        <x:v>(6/28),(10/20),(12/1)</x:v>
      </x:c>
      <x:c r="U2093" s="2" t="str">
        <x:v>2021 배정: (6/28),(10/20),(12/1) / 2022 배정: (4/19)</x:v>
      </x:c>
      <x:c r="V2093" s="2" t="str">
        <x:v>2022-07-14</x:v>
      </x:c>
      <x:c r="W2093" s="2" t="str">
        <x:v>신청일 확인 / 담당기관 확인</x:v>
      </x:c>
      <x:c r="X2093" s="2" t="str">
        <x:v>원본·배정 기록 확인</x:v>
      </x:c>
      <x:c r="Y2093" s="2" t="str">
        <x:v>ad210cd9ec132cfd447541c8984dc53d30aff0f4fb2dc92d254d49275cc55976</x:v>
      </x:c>
      <x:c r="Z2093" s="2" t="n">
        <x:f>SUBTOTAL(103,A2093)</x:f>
        <x:v>1</x:v>
      </x:c>
      <x:c r="AA2093" s="2" t="str">
        <x:f>IF(K2093&lt;&gt;"미종결 표시","대상 아님",IF(N2093="","신청일 확인",IF(NOT(ISNUMBER('종합 현황'!$H$5)),"관찰기준 확인",IF('종합 현황'!$H$5&lt;1,"관찰기준 확인",IF(N2093&gt;'종합 현황'!$H$5,"내부 관찰 대상","내부 관찰일 이하")))))</x:f>
        <x:v>대상 아님</x:v>
      </x:c>
      <x:c r="AB2093" s="2"/>
    </x:row>
    <x:row r="2094" ht="42" customHeight="1">
      <x:c r="A2094" s="2" t="str">
        <x:v>8b74b05ecfdeaf29ff0717d4</x:v>
      </x:c>
      <x:c r="B2094" s="2" t="str">
        <x:v>감축량 인증</x:v>
      </x:c>
      <x:c r="C2094" s="2" t="str">
        <x:v>국내</x:v>
      </x:c>
      <x:c r="D2094" s="7" t="str">
        <x:v>정광기업 가열로 및 열처리로의 연료교체를 통한 온실가스 감축사업</x:v>
      </x:c>
      <x:c r="E2094" s="2" t="str">
        <x:v>334</x:v>
      </x:c>
      <x:c r="F2094" s="2"/>
      <x:c r="G2094" s="2" t="str">
        <x:v>미확보</x:v>
      </x:c>
      <x:c r="H2094" s="2" t="str">
        <x:v>미확보</x:v>
      </x:c>
      <x:c r="I2094" s="2" t="str">
        <x:v>심의승인</x:v>
      </x:c>
      <x:c r="J2094" s="2" t="str">
        <x:v>심의승인</x:v>
      </x:c>
      <x:c r="K2094" s="2" t="str">
        <x:f>IF(OR(J2094="심의승인",J2094="반려",J2094="반려완료",J2094="심의완료"),"종결 표시",IF(OR(J2094="기후부협의",J2094="문서재제출요청",J2094="보류",J2094="보완요청",J2094="보완완료",J2094="평가중",J2094="반려요청",J2094="평가필요",LEFT(J2094,5)="보완요청("),"미종결 표시","상태 확인 필요"))</x:f>
        <x:v>종결 표시</x:v>
      </x:c>
      <x:c r="L2094" s="2"/>
      <x:c r="M2094" s="2"/>
      <x:c r="N2094" s="8"/>
      <x:c r="O2094" s="2"/>
      <x:c r="P2094" s="2"/>
      <x:c r="Q2094" s="2" t="str">
        <x:v>산업전환_외부사업관리Tool_260707_이너젠 수정_LJY_261013.xlsx</x:v>
      </x:c>
      <x:c r="R2094" s="2" t="str">
        <x:v>국내인증</x:v>
      </x:c>
      <x:c r="S2094" s="8" t="n">
        <x:v>412</x:v>
      </x:c>
      <x:c r="T2094" s="2"/>
      <x:c r="U2094" s="2" t="str"/>
      <x:c r="V2094" s="2" t="str">
        <x:v>2020-08-12</x:v>
      </x:c>
      <x:c r="W2094" s="2" t="str">
        <x:v>신청일 확인 / 담당기관 확인</x:v>
      </x:c>
      <x:c r="X2094" s="2" t="str">
        <x:v>원본·배정 기록 확인</x:v>
      </x:c>
      <x:c r="Y2094" s="2" t="str">
        <x:v>ad210cd9ec132cfd447541c8984dc53d30aff0f4fb2dc92d254d49275cc55976</x:v>
      </x:c>
      <x:c r="Z2094" s="2" t="n">
        <x:f>SUBTOTAL(103,A2094)</x:f>
        <x:v>1</x:v>
      </x:c>
      <x:c r="AA2094" s="2" t="str">
        <x:f>IF(K2094&lt;&gt;"미종결 표시","대상 아님",IF(N2094="","신청일 확인",IF(NOT(ISNUMBER('종합 현황'!$H$5)),"관찰기준 확인",IF('종합 현황'!$H$5&lt;1,"관찰기준 확인",IF(N2094&gt;'종합 현황'!$H$5,"내부 관찰 대상","내부 관찰일 이하")))))</x:f>
        <x:v>대상 아님</x:v>
      </x:c>
      <x:c r="AB2094" s="2"/>
    </x:row>
    <x:row r="2095" ht="42" customHeight="1">
      <x:c r="A2095" s="2" t="str">
        <x:v>d9e7d2375f8aee78c9b4ecd1</x:v>
      </x:c>
      <x:c r="B2095" s="2" t="str">
        <x:v>감축량 인증</x:v>
      </x:c>
      <x:c r="C2095" s="2" t="str">
        <x:v>국내</x:v>
      </x:c>
      <x:c r="D2095" s="7" t="str">
        <x:v>우성수지 보일러의 목재펠릿 연료전환(B-C유-&gt;목재펠릿)을 통한 온실가스 감축사업</x:v>
      </x:c>
      <x:c r="E2095" s="2" t="str">
        <x:v>335</x:v>
      </x:c>
      <x:c r="F2095" s="2"/>
      <x:c r="G2095" s="2" t="str">
        <x:v>미확보</x:v>
      </x:c>
      <x:c r="H2095" s="2" t="str">
        <x:v>미확보</x:v>
      </x:c>
      <x:c r="I2095" s="2" t="str">
        <x:v>심의승인</x:v>
      </x:c>
      <x:c r="J2095" s="2" t="str">
        <x:v>심의승인</x:v>
      </x:c>
      <x:c r="K2095" s="2" t="str">
        <x:f>IF(OR(J2095="심의승인",J2095="반려",J2095="반려완료",J2095="심의완료"),"종결 표시",IF(OR(J2095="기후부협의",J2095="문서재제출요청",J2095="보류",J2095="보완요청",J2095="보완완료",J2095="평가중",J2095="반려요청",J2095="평가필요",LEFT(J2095,5)="보완요청("),"미종결 표시","상태 확인 필요"))</x:f>
        <x:v>종결 표시</x:v>
      </x:c>
      <x:c r="L2095" s="2"/>
      <x:c r="M2095" s="2"/>
      <x:c r="N2095" s="8"/>
      <x:c r="O2095" s="2"/>
      <x:c r="P2095" s="2"/>
      <x:c r="Q2095" s="2" t="str">
        <x:v>산업전환_외부사업관리Tool_260707_이너젠 수정_LJY_261013.xlsx</x:v>
      </x:c>
      <x:c r="R2095" s="2" t="str">
        <x:v>국내인증</x:v>
      </x:c>
      <x:c r="S2095" s="8" t="n">
        <x:v>413</x:v>
      </x:c>
      <x:c r="T2095" s="2" t="str">
        <x:v>(5/7),(6/28)</x:v>
      </x:c>
      <x:c r="U2095" s="2" t="str">
        <x:v>2021 배정: (5/7),(6/28)</x:v>
      </x:c>
      <x:c r="V2095" s="2" t="str">
        <x:v>2022-01-17</x:v>
      </x:c>
      <x:c r="W2095" s="2" t="str">
        <x:v>신청일 확인 / 담당기관 확인</x:v>
      </x:c>
      <x:c r="X2095" s="2" t="str">
        <x:v>원본·배정 기록 확인</x:v>
      </x:c>
      <x:c r="Y2095" s="2" t="str">
        <x:v>ad210cd9ec132cfd447541c8984dc53d30aff0f4fb2dc92d254d49275cc55976</x:v>
      </x:c>
      <x:c r="Z2095" s="2" t="n">
        <x:f>SUBTOTAL(103,A2095)</x:f>
        <x:v>1</x:v>
      </x:c>
      <x:c r="AA2095" s="2" t="str">
        <x:f>IF(K2095&lt;&gt;"미종결 표시","대상 아님",IF(N2095="","신청일 확인",IF(NOT(ISNUMBER('종합 현황'!$H$5)),"관찰기준 확인",IF('종합 현황'!$H$5&lt;1,"관찰기준 확인",IF(N2095&gt;'종합 현황'!$H$5,"내부 관찰 대상","내부 관찰일 이하")))))</x:f>
        <x:v>대상 아님</x:v>
      </x:c>
      <x:c r="AB2095" s="2"/>
    </x:row>
    <x:row r="2096" ht="42" customHeight="1">
      <x:c r="A2096" s="2" t="str">
        <x:v>6b7a6f9f2f80acef6116b5ca</x:v>
      </x:c>
      <x:c r="B2096" s="2" t="str">
        <x:v>감축량 인증</x:v>
      </x:c>
      <x:c r="C2096" s="2" t="str">
        <x:v>국내</x:v>
      </x:c>
      <x:c r="D2096" s="7" t="str">
        <x:v>진영텍스코 보일러의 연료교체를 통한 온실가스 감축사업</x:v>
      </x:c>
      <x:c r="E2096" s="2" t="str">
        <x:v>336</x:v>
      </x:c>
      <x:c r="F2096" s="2"/>
      <x:c r="G2096" s="2" t="str">
        <x:v>미확보</x:v>
      </x:c>
      <x:c r="H2096" s="2" t="str">
        <x:v>미확보</x:v>
      </x:c>
      <x:c r="I2096" s="2" t="str">
        <x:v>심의승인</x:v>
      </x:c>
      <x:c r="J2096" s="2" t="str">
        <x:v>심의승인</x:v>
      </x:c>
      <x:c r="K2096" s="2" t="str">
        <x:f>IF(OR(J2096="심의승인",J2096="반려",J2096="반려완료",J2096="심의완료"),"종결 표시",IF(OR(J2096="기후부협의",J2096="문서재제출요청",J2096="보류",J2096="보완요청",J2096="보완완료",J2096="평가중",J2096="반려요청",J2096="평가필요",LEFT(J2096,5)="보완요청("),"미종결 표시","상태 확인 필요"))</x:f>
        <x:v>종결 표시</x:v>
      </x:c>
      <x:c r="L2096" s="2"/>
      <x:c r="M2096" s="2"/>
      <x:c r="N2096" s="8"/>
      <x:c r="O2096" s="2"/>
      <x:c r="P2096" s="2"/>
      <x:c r="Q2096" s="2" t="str">
        <x:v>산업전환_외부사업관리Tool_260707_이너젠 수정_LJY_261013.xlsx</x:v>
      </x:c>
      <x:c r="R2096" s="2" t="str">
        <x:v>국내인증</x:v>
      </x:c>
      <x:c r="S2096" s="8" t="n">
        <x:v>414</x:v>
      </x:c>
      <x:c r="T2096" s="2" t="str">
        <x:v>2021년 처리</x:v>
      </x:c>
      <x:c r="U2096" s="2" t="str">
        <x:v>2021 배정: 2021년 처리</x:v>
      </x:c>
      <x:c r="V2096" s="2" t="str">
        <x:v>2021-06-21</x:v>
      </x:c>
      <x:c r="W2096" s="2" t="str">
        <x:v>신청일 확인 / 담당기관 확인</x:v>
      </x:c>
      <x:c r="X2096" s="2" t="str">
        <x:v>원본·배정 기록 확인</x:v>
      </x:c>
      <x:c r="Y2096" s="2" t="str">
        <x:v>ad210cd9ec132cfd447541c8984dc53d30aff0f4fb2dc92d254d49275cc55976</x:v>
      </x:c>
      <x:c r="Z2096" s="2" t="n">
        <x:f>SUBTOTAL(103,A2096)</x:f>
        <x:v>1</x:v>
      </x:c>
      <x:c r="AA2096" s="2" t="str">
        <x:f>IF(K2096&lt;&gt;"미종결 표시","대상 아님",IF(N2096="","신청일 확인",IF(NOT(ISNUMBER('종합 현황'!$H$5)),"관찰기준 확인",IF('종합 현황'!$H$5&lt;1,"관찰기준 확인",IF(N2096&gt;'종합 현황'!$H$5,"내부 관찰 대상","내부 관찰일 이하")))))</x:f>
        <x:v>대상 아님</x:v>
      </x:c>
      <x:c r="AB2096" s="2"/>
    </x:row>
    <x:row r="2097" ht="42" customHeight="1">
      <x:c r="A2097" s="2" t="str">
        <x:v>80a4fd7f3d58b5dbd1d212af</x:v>
      </x:c>
      <x:c r="B2097" s="2" t="str">
        <x:v>감축량 인증</x:v>
      </x:c>
      <x:c r="C2097" s="2" t="str">
        <x:v>국내</x:v>
      </x:c>
      <x:c r="D2097" s="7" t="str">
        <x:v>대림산업 목재펠릿 연료전환(B-C유-&gt;목재펠릿)을 통한 온실가스 감축사업</x:v>
      </x:c>
      <x:c r="E2097" s="2" t="str">
        <x:v>337</x:v>
      </x:c>
      <x:c r="F2097" s="2"/>
      <x:c r="G2097" s="2" t="str">
        <x:v>미확보</x:v>
      </x:c>
      <x:c r="H2097" s="2" t="str">
        <x:v>미확보</x:v>
      </x:c>
      <x:c r="I2097" s="2" t="str">
        <x:v>심의승인</x:v>
      </x:c>
      <x:c r="J2097" s="2" t="str">
        <x:v>심의승인</x:v>
      </x:c>
      <x:c r="K2097" s="2" t="str">
        <x:f>IF(OR(J2097="심의승인",J2097="반려",J2097="반려완료",J2097="심의완료"),"종결 표시",IF(OR(J2097="기후부협의",J2097="문서재제출요청",J2097="보류",J2097="보완요청",J2097="보완완료",J2097="평가중",J2097="반려요청",J2097="평가필요",LEFT(J2097,5)="보완요청("),"미종결 표시","상태 확인 필요"))</x:f>
        <x:v>종결 표시</x:v>
      </x:c>
      <x:c r="L2097" s="2"/>
      <x:c r="M2097" s="2"/>
      <x:c r="N2097" s="8"/>
      <x:c r="O2097" s="2"/>
      <x:c r="P2097" s="2"/>
      <x:c r="Q2097" s="2" t="str">
        <x:v>산업전환_외부사업관리Tool_260707_이너젠 수정_LJY_261013.xlsx</x:v>
      </x:c>
      <x:c r="R2097" s="2" t="str">
        <x:v>국내인증</x:v>
      </x:c>
      <x:c r="S2097" s="8" t="n">
        <x:v>415</x:v>
      </x:c>
      <x:c r="T2097" s="2" t="str">
        <x:v>2021년 처리</x:v>
      </x:c>
      <x:c r="U2097" s="2" t="str">
        <x:v>2021 배정: 2021년 처리</x:v>
      </x:c>
      <x:c r="V2097" s="2" t="str">
        <x:v>2021-06-21</x:v>
      </x:c>
      <x:c r="W2097" s="2" t="str">
        <x:v>신청일 확인 / 담당기관 확인</x:v>
      </x:c>
      <x:c r="X2097" s="2" t="str">
        <x:v>원본·배정 기록 확인</x:v>
      </x:c>
      <x:c r="Y2097" s="2" t="str">
        <x:v>ad210cd9ec132cfd447541c8984dc53d30aff0f4fb2dc92d254d49275cc55976</x:v>
      </x:c>
      <x:c r="Z2097" s="2" t="n">
        <x:f>SUBTOTAL(103,A2097)</x:f>
        <x:v>1</x:v>
      </x:c>
      <x:c r="AA2097" s="2" t="str">
        <x:f>IF(K2097&lt;&gt;"미종결 표시","대상 아님",IF(N2097="","신청일 확인",IF(NOT(ISNUMBER('종합 현황'!$H$5)),"관찰기준 확인",IF('종합 현황'!$H$5&lt;1,"관찰기준 확인",IF(N2097&gt;'종합 현황'!$H$5,"내부 관찰 대상","내부 관찰일 이하")))))</x:f>
        <x:v>대상 아님</x:v>
      </x:c>
      <x:c r="AB2097" s="2"/>
    </x:row>
    <x:row r="2098" ht="42" customHeight="1">
      <x:c r="A2098" s="2" t="str">
        <x:v>cd9a7de6a0db89a98fe4f337</x:v>
      </x:c>
      <x:c r="B2098" s="2" t="str">
        <x:v>감축량 인증</x:v>
      </x:c>
      <x:c r="C2098" s="2" t="str">
        <x:v>국내</x:v>
      </x:c>
      <x:c r="D2098" s="7" t="str">
        <x:v>경림산업(주) 제주사업장 B-B유에서 목재펠릿으로 연료 전환을 통한 온실가스 감축사업</x:v>
      </x:c>
      <x:c r="E2098" s="2" t="str">
        <x:v>338</x:v>
      </x:c>
      <x:c r="F2098" s="2"/>
      <x:c r="G2098" s="2" t="str">
        <x:v>미확보</x:v>
      </x:c>
      <x:c r="H2098" s="2" t="str">
        <x:v>미확보</x:v>
      </x:c>
      <x:c r="I2098" s="2" t="str">
        <x:v>심의승인</x:v>
      </x:c>
      <x:c r="J2098" s="2" t="str">
        <x:v>심의승인</x:v>
      </x:c>
      <x:c r="K2098" s="2" t="str">
        <x:f>IF(OR(J2098="심의승인",J2098="반려",J2098="반려완료",J2098="심의완료"),"종결 표시",IF(OR(J2098="기후부협의",J2098="문서재제출요청",J2098="보류",J2098="보완요청",J2098="보완완료",J2098="평가중",J2098="반려요청",J2098="평가필요",LEFT(J2098,5)="보완요청("),"미종결 표시","상태 확인 필요"))</x:f>
        <x:v>종결 표시</x:v>
      </x:c>
      <x:c r="L2098" s="2"/>
      <x:c r="M2098" s="2"/>
      <x:c r="N2098" s="8"/>
      <x:c r="O2098" s="2"/>
      <x:c r="P2098" s="2"/>
      <x:c r="Q2098" s="2" t="str">
        <x:v>산업전환_외부사업관리Tool_260707_이너젠 수정_LJY_261013.xlsx</x:v>
      </x:c>
      <x:c r="R2098" s="2" t="str">
        <x:v>국내인증</x:v>
      </x:c>
      <x:c r="S2098" s="8" t="n">
        <x:v>416</x:v>
      </x:c>
      <x:c r="T2098" s="2" t="str">
        <x:v>(6/28),(9/1)</x:v>
      </x:c>
      <x:c r="U2098" s="2" t="str">
        <x:v>2021 배정: (6/28),(9/1)</x:v>
      </x:c>
      <x:c r="V2098" s="2" t="str">
        <x:v>2022-01-17</x:v>
      </x:c>
      <x:c r="W2098" s="2" t="str">
        <x:v>신청일 확인 / 담당기관 확인</x:v>
      </x:c>
      <x:c r="X2098" s="2" t="str">
        <x:v>원본·배정 기록 확인</x:v>
      </x:c>
      <x:c r="Y2098" s="2" t="str">
        <x:v>ad210cd9ec132cfd447541c8984dc53d30aff0f4fb2dc92d254d49275cc55976</x:v>
      </x:c>
      <x:c r="Z2098" s="2" t="n">
        <x:f>SUBTOTAL(103,A2098)</x:f>
        <x:v>1</x:v>
      </x:c>
      <x:c r="AA2098" s="2" t="str">
        <x:f>IF(K2098&lt;&gt;"미종결 표시","대상 아님",IF(N2098="","신청일 확인",IF(NOT(ISNUMBER('종합 현황'!$H$5)),"관찰기준 확인",IF('종합 현황'!$H$5&lt;1,"관찰기준 확인",IF(N2098&gt;'종합 현황'!$H$5,"내부 관찰 대상","내부 관찰일 이하")))))</x:f>
        <x:v>대상 아님</x:v>
      </x:c>
      <x:c r="AB2098" s="2"/>
    </x:row>
    <x:row r="2099" ht="42" customHeight="1">
      <x:c r="A2099" s="2" t="str">
        <x:v>4642e6660e3b7bd243361d4d</x:v>
      </x:c>
      <x:c r="B2099" s="2" t="str">
        <x:v>감축량 인증</x:v>
      </x:c>
      <x:c r="C2099" s="2" t="str">
        <x:v>국내</x:v>
      </x:c>
      <x:c r="D2099" s="7" t="str">
        <x:v>뉴봉이랜드 목재펠릿 연료전환(LNG-&gt;목재펠릿)을 통한 온실가스 배출 감축사업</x:v>
      </x:c>
      <x:c r="E2099" s="2" t="str">
        <x:v>339</x:v>
      </x:c>
      <x:c r="F2099" s="2"/>
      <x:c r="G2099" s="2" t="str">
        <x:v>미확보</x:v>
      </x:c>
      <x:c r="H2099" s="2" t="str">
        <x:v>미확보</x:v>
      </x:c>
      <x:c r="I2099" s="2" t="str">
        <x:v>심의승인</x:v>
      </x:c>
      <x:c r="J2099" s="2" t="str">
        <x:v>심의승인</x:v>
      </x:c>
      <x:c r="K2099" s="2" t="str">
        <x:f>IF(OR(J2099="심의승인",J2099="반려",J2099="반려완료",J2099="심의완료"),"종결 표시",IF(OR(J2099="기후부협의",J2099="문서재제출요청",J2099="보류",J2099="보완요청",J2099="보완완료",J2099="평가중",J2099="반려요청",J2099="평가필요",LEFT(J2099,5)="보완요청("),"미종결 표시","상태 확인 필요"))</x:f>
        <x:v>종결 표시</x:v>
      </x:c>
      <x:c r="L2099" s="2"/>
      <x:c r="M2099" s="2"/>
      <x:c r="N2099" s="8"/>
      <x:c r="O2099" s="2"/>
      <x:c r="P2099" s="2"/>
      <x:c r="Q2099" s="2" t="str">
        <x:v>산업전환_외부사업관리Tool_260707_이너젠 수정_LJY_261013.xlsx</x:v>
      </x:c>
      <x:c r="R2099" s="2" t="str">
        <x:v>국내인증</x:v>
      </x:c>
      <x:c r="S2099" s="8" t="n">
        <x:v>417</x:v>
      </x:c>
      <x:c r="T2099" s="2" t="str">
        <x:v>(4/23),(7/12),(8/3)</x:v>
      </x:c>
      <x:c r="U2099" s="2" t="str">
        <x:v>2021 배정: (4/23),(7/12),(8/3)</x:v>
      </x:c>
      <x:c r="V2099" s="2" t="str">
        <x:v>2022-01-17</x:v>
      </x:c>
      <x:c r="W2099" s="2" t="str">
        <x:v>신청일 확인 / 담당기관 확인</x:v>
      </x:c>
      <x:c r="X2099" s="2" t="str">
        <x:v>원본·배정 기록 확인</x:v>
      </x:c>
      <x:c r="Y2099" s="2" t="str">
        <x:v>ad210cd9ec132cfd447541c8984dc53d30aff0f4fb2dc92d254d49275cc55976</x:v>
      </x:c>
      <x:c r="Z2099" s="2" t="n">
        <x:f>SUBTOTAL(103,A2099)</x:f>
        <x:v>1</x:v>
      </x:c>
      <x:c r="AA2099" s="2" t="str">
        <x:f>IF(K2099&lt;&gt;"미종결 표시","대상 아님",IF(N2099="","신청일 확인",IF(NOT(ISNUMBER('종합 현황'!$H$5)),"관찰기준 확인",IF('종합 현황'!$H$5&lt;1,"관찰기준 확인",IF(N2099&gt;'종합 현황'!$H$5,"내부 관찰 대상","내부 관찰일 이하")))))</x:f>
        <x:v>대상 아님</x:v>
      </x:c>
      <x:c r="AB2099" s="2"/>
    </x:row>
    <x:row r="2100" ht="42" customHeight="1">
      <x:c r="A2100" s="2" t="str">
        <x:v>e8c02e256039bfcc272115a9</x:v>
      </x:c>
      <x:c r="B2100" s="2" t="str">
        <x:v>감축량 인증</x:v>
      </x:c>
      <x:c r="C2100" s="2" t="str">
        <x:v>국내</x:v>
      </x:c>
      <x:c r="D2100" s="7" t="str">
        <x:v>㈜팔마 보일러 연료교체 KVER 사업</x:v>
      </x:c>
      <x:c r="E2100" s="2" t="str">
        <x:v>340</x:v>
      </x:c>
      <x:c r="F2100" s="2"/>
      <x:c r="G2100" s="2" t="str">
        <x:v>미확보</x:v>
      </x:c>
      <x:c r="H2100" s="2" t="str">
        <x:v>미확보</x:v>
      </x:c>
      <x:c r="I2100" s="2" t="str">
        <x:v>심의승인</x:v>
      </x:c>
      <x:c r="J2100" s="2" t="str">
        <x:v>심의승인</x:v>
      </x:c>
      <x:c r="K2100" s="2" t="str">
        <x:f>IF(OR(J2100="심의승인",J2100="반려",J2100="반려완료",J2100="심의완료"),"종결 표시",IF(OR(J2100="기후부협의",J2100="문서재제출요청",J2100="보류",J2100="보완요청",J2100="보완완료",J2100="평가중",J2100="반려요청",J2100="평가필요",LEFT(J2100,5)="보완요청("),"미종결 표시","상태 확인 필요"))</x:f>
        <x:v>종결 표시</x:v>
      </x:c>
      <x:c r="L2100" s="2"/>
      <x:c r="M2100" s="2"/>
      <x:c r="N2100" s="8"/>
      <x:c r="O2100" s="2"/>
      <x:c r="P2100" s="2"/>
      <x:c r="Q2100" s="2" t="str">
        <x:v>산업전환_외부사업관리Tool_260707_이너젠 수정_LJY_261013.xlsx</x:v>
      </x:c>
      <x:c r="R2100" s="2" t="str">
        <x:v>국내인증</x:v>
      </x:c>
      <x:c r="S2100" s="8" t="n">
        <x:v>418</x:v>
      </x:c>
      <x:c r="T2100" s="2" t="str">
        <x:v>2021년 처리</x:v>
      </x:c>
      <x:c r="U2100" s="2" t="str">
        <x:v>2021 배정: 2021년 처리</x:v>
      </x:c>
      <x:c r="V2100" s="2" t="str">
        <x:v>2021-06-21</x:v>
      </x:c>
      <x:c r="W2100" s="2" t="str">
        <x:v>신청일 확인 / 담당기관 확인</x:v>
      </x:c>
      <x:c r="X2100" s="2" t="str">
        <x:v>원본·배정 기록 확인</x:v>
      </x:c>
      <x:c r="Y2100" s="2" t="str">
        <x:v>ad210cd9ec132cfd447541c8984dc53d30aff0f4fb2dc92d254d49275cc55976</x:v>
      </x:c>
      <x:c r="Z2100" s="2" t="n">
        <x:f>SUBTOTAL(103,A2100)</x:f>
        <x:v>1</x:v>
      </x:c>
      <x:c r="AA2100" s="2" t="str">
        <x:f>IF(K2100&lt;&gt;"미종결 표시","대상 아님",IF(N2100="","신청일 확인",IF(NOT(ISNUMBER('종합 현황'!$H$5)),"관찰기준 확인",IF('종합 현황'!$H$5&lt;1,"관찰기준 확인",IF(N2100&gt;'종합 현황'!$H$5,"내부 관찰 대상","내부 관찰일 이하")))))</x:f>
        <x:v>대상 아님</x:v>
      </x:c>
      <x:c r="AB2100" s="2"/>
    </x:row>
    <x:row r="2101" ht="42" customHeight="1">
      <x:c r="A2101" s="2" t="str">
        <x:v>a4aa25ca6b1b3b9ff4903db4</x:v>
      </x:c>
      <x:c r="B2101" s="2" t="str">
        <x:v>감축량 인증</x:v>
      </x:c>
      <x:c r="C2101" s="2" t="str">
        <x:v>국내</x:v>
      </x:c>
      <x:c r="D2101" s="7" t="str">
        <x:v>목재펠릿 연료전환(LNG-&gt;목재펠릿)을 통한 온실가스 감축사업</x:v>
      </x:c>
      <x:c r="E2101" s="2" t="str">
        <x:v>341</x:v>
      </x:c>
      <x:c r="F2101" s="2"/>
      <x:c r="G2101" s="2" t="str">
        <x:v>미확보</x:v>
      </x:c>
      <x:c r="H2101" s="2" t="str">
        <x:v>미확보</x:v>
      </x:c>
      <x:c r="I2101" s="2" t="str">
        <x:v>심의승인</x:v>
      </x:c>
      <x:c r="J2101" s="2" t="str">
        <x:v>심의승인</x:v>
      </x:c>
      <x:c r="K2101" s="2" t="str">
        <x:f>IF(OR(J2101="심의승인",J2101="반려",J2101="반려완료",J2101="심의완료"),"종결 표시",IF(OR(J2101="기후부협의",J2101="문서재제출요청",J2101="보류",J2101="보완요청",J2101="보완완료",J2101="평가중",J2101="반려요청",J2101="평가필요",LEFT(J2101,5)="보완요청("),"미종결 표시","상태 확인 필요"))</x:f>
        <x:v>종결 표시</x:v>
      </x:c>
      <x:c r="L2101" s="2"/>
      <x:c r="M2101" s="2"/>
      <x:c r="N2101" s="8"/>
      <x:c r="O2101" s="2"/>
      <x:c r="P2101" s="2"/>
      <x:c r="Q2101" s="2" t="str">
        <x:v>산업전환_외부사업관리Tool_260707_이너젠 수정_LJY_261013.xlsx</x:v>
      </x:c>
      <x:c r="R2101" s="2" t="str">
        <x:v>국내인증</x:v>
      </x:c>
      <x:c r="S2101" s="8" t="n">
        <x:v>419</x:v>
      </x:c>
      <x:c r="T2101" s="2" t="str">
        <x:v>(8/3),(9/14)</x:v>
      </x:c>
      <x:c r="U2101" s="2" t="str">
        <x:v>2021 배정: (8/3),(9/14)</x:v>
      </x:c>
      <x:c r="V2101" s="2" t="str">
        <x:v>2022-01-17</x:v>
      </x:c>
      <x:c r="W2101" s="2" t="str">
        <x:v>신청일 확인 / 담당기관 확인</x:v>
      </x:c>
      <x:c r="X2101" s="2" t="str">
        <x:v>원본·배정 기록 확인</x:v>
      </x:c>
      <x:c r="Y2101" s="2" t="str">
        <x:v>ad210cd9ec132cfd447541c8984dc53d30aff0f4fb2dc92d254d49275cc55976</x:v>
      </x:c>
      <x:c r="Z2101" s="2" t="n">
        <x:f>SUBTOTAL(103,A2101)</x:f>
        <x:v>1</x:v>
      </x:c>
      <x:c r="AA2101" s="2" t="str">
        <x:f>IF(K2101&lt;&gt;"미종결 표시","대상 아님",IF(N2101="","신청일 확인",IF(NOT(ISNUMBER('종합 현황'!$H$5)),"관찰기준 확인",IF('종합 현황'!$H$5&lt;1,"관찰기준 확인",IF(N2101&gt;'종합 현황'!$H$5,"내부 관찰 대상","내부 관찰일 이하")))))</x:f>
        <x:v>대상 아님</x:v>
      </x:c>
      <x:c r="AB2101" s="2"/>
    </x:row>
    <x:row r="2102" ht="42" customHeight="1">
      <x:c r="A2102" s="2" t="str">
        <x:v>ee0279d59434f211be887c04</x:v>
      </x:c>
      <x:c r="B2102" s="2" t="str">
        <x:v>감축량 인증</x:v>
      </x:c>
      <x:c r="C2102" s="2" t="str">
        <x:v>국내</x:v>
      </x:c>
      <x:c r="D2102" s="7" t="str">
        <x:v>사출기 일부 개조(유압식-&gt;하이브리드) 및 사출기 일부 교체(유압식-&gt;전동식)를 통한 온실가스 감축사업</x:v>
      </x:c>
      <x:c r="E2102" s="2" t="str">
        <x:v>342</x:v>
      </x:c>
      <x:c r="F2102" s="2"/>
      <x:c r="G2102" s="2" t="str">
        <x:v>미확보</x:v>
      </x:c>
      <x:c r="H2102" s="2" t="str">
        <x:v>미확보</x:v>
      </x:c>
      <x:c r="I2102" s="2" t="str">
        <x:v>심의승인</x:v>
      </x:c>
      <x:c r="J2102" s="2" t="str">
        <x:v>심의승인</x:v>
      </x:c>
      <x:c r="K2102" s="2" t="str">
        <x:f>IF(OR(J2102="심의승인",J2102="반려",J2102="반려완료",J2102="심의완료"),"종결 표시",IF(OR(J2102="기후부협의",J2102="문서재제출요청",J2102="보류",J2102="보완요청",J2102="보완완료",J2102="평가중",J2102="반려요청",J2102="평가필요",LEFT(J2102,5)="보완요청("),"미종결 표시","상태 확인 필요"))</x:f>
        <x:v>종결 표시</x:v>
      </x:c>
      <x:c r="L2102" s="2"/>
      <x:c r="M2102" s="2"/>
      <x:c r="N2102" s="8"/>
      <x:c r="O2102" s="2"/>
      <x:c r="P2102" s="2"/>
      <x:c r="Q2102" s="2" t="str">
        <x:v>산업전환_외부사업관리Tool_260707_이너젠 수정_LJY_261013.xlsx</x:v>
      </x:c>
      <x:c r="R2102" s="2" t="str">
        <x:v>국내인증</x:v>
      </x:c>
      <x:c r="S2102" s="8" t="n">
        <x:v>420</x:v>
      </x:c>
      <x:c r="T2102" s="2" t="str">
        <x:v>(4/23),(6/28),(9/1)</x:v>
      </x:c>
      <x:c r="U2102" s="2" t="str">
        <x:v>2021 배정: (4/23),(6/28),(9/1)</x:v>
      </x:c>
      <x:c r="V2102" s="2" t="str">
        <x:v>2022-01-17</x:v>
      </x:c>
      <x:c r="W2102" s="2" t="str">
        <x:v>신청일 확인 / 담당기관 확인</x:v>
      </x:c>
      <x:c r="X2102" s="2" t="str">
        <x:v>원본·배정 기록 확인</x:v>
      </x:c>
      <x:c r="Y2102" s="2" t="str">
        <x:v>ad210cd9ec132cfd447541c8984dc53d30aff0f4fb2dc92d254d49275cc55976</x:v>
      </x:c>
      <x:c r="Z2102" s="2" t="n">
        <x:f>SUBTOTAL(103,A2102)</x:f>
        <x:v>1</x:v>
      </x:c>
      <x:c r="AA2102" s="2" t="str">
        <x:f>IF(K2102&lt;&gt;"미종결 표시","대상 아님",IF(N2102="","신청일 확인",IF(NOT(ISNUMBER('종합 현황'!$H$5)),"관찰기준 확인",IF('종합 현황'!$H$5&lt;1,"관찰기준 확인",IF(N2102&gt;'종합 현황'!$H$5,"내부 관찰 대상","내부 관찰일 이하")))))</x:f>
        <x:v>대상 아님</x:v>
      </x:c>
      <x:c r="AB2102" s="2"/>
    </x:row>
    <x:row r="2103" ht="42" customHeight="1">
      <x:c r="A2103" s="2" t="str">
        <x:v>12fb3a9852e0e41539cb7f0c</x:v>
      </x:c>
      <x:c r="B2103" s="2" t="str">
        <x:v>감축량 인증</x:v>
      </x:c>
      <x:c r="C2103" s="2" t="str">
        <x:v>국내</x:v>
      </x:c>
      <x:c r="D2103" s="7" t="str">
        <x:v>(주)일석 아스콘 드라이어 버너 연료전환(B-C유 → LPG)을 통한 온실가스(CO2) 감축사업</x:v>
      </x:c>
      <x:c r="E2103" s="2" t="str">
        <x:v>343</x:v>
      </x:c>
      <x:c r="F2103" s="2"/>
      <x:c r="G2103" s="2" t="str">
        <x:v>미확보</x:v>
      </x:c>
      <x:c r="H2103" s="2" t="str">
        <x:v>미확보</x:v>
      </x:c>
      <x:c r="I2103" s="2" t="str">
        <x:v>심의승인</x:v>
      </x:c>
      <x:c r="J2103" s="2" t="str">
        <x:v>심의승인</x:v>
      </x:c>
      <x:c r="K2103" s="2" t="str">
        <x:f>IF(OR(J2103="심의승인",J2103="반려",J2103="반려완료",J2103="심의완료"),"종결 표시",IF(OR(J2103="기후부협의",J2103="문서재제출요청",J2103="보류",J2103="보완요청",J2103="보완완료",J2103="평가중",J2103="반려요청",J2103="평가필요",LEFT(J2103,5)="보완요청("),"미종결 표시","상태 확인 필요"))</x:f>
        <x:v>종결 표시</x:v>
      </x:c>
      <x:c r="L2103" s="2"/>
      <x:c r="M2103" s="2"/>
      <x:c r="N2103" s="8"/>
      <x:c r="O2103" s="2"/>
      <x:c r="P2103" s="2"/>
      <x:c r="Q2103" s="2" t="str">
        <x:v>산업전환_외부사업관리Tool_260707_이너젠 수정_LJY_261013.xlsx</x:v>
      </x:c>
      <x:c r="R2103" s="2" t="str">
        <x:v>국내인증</x:v>
      </x:c>
      <x:c r="S2103" s="8" t="n">
        <x:v>421</x:v>
      </x:c>
      <x:c r="T2103" s="2"/>
      <x:c r="U2103" s="2" t="str"/>
      <x:c r="V2103" s="2" t="str">
        <x:v>2020-10-27</x:v>
      </x:c>
      <x:c r="W2103" s="2" t="str">
        <x:v>신청일 확인 / 담당기관 확인</x:v>
      </x:c>
      <x:c r="X2103" s="2" t="str">
        <x:v>원본·배정 기록 확인</x:v>
      </x:c>
      <x:c r="Y2103" s="2" t="str">
        <x:v>ad210cd9ec132cfd447541c8984dc53d30aff0f4fb2dc92d254d49275cc55976</x:v>
      </x:c>
      <x:c r="Z2103" s="2" t="n">
        <x:f>SUBTOTAL(103,A2103)</x:f>
        <x:v>1</x:v>
      </x:c>
      <x:c r="AA2103" s="2" t="str">
        <x:f>IF(K2103&lt;&gt;"미종결 표시","대상 아님",IF(N2103="","신청일 확인",IF(NOT(ISNUMBER('종합 현황'!$H$5)),"관찰기준 확인",IF('종합 현황'!$H$5&lt;1,"관찰기준 확인",IF(N2103&gt;'종합 현황'!$H$5,"내부 관찰 대상","내부 관찰일 이하")))))</x:f>
        <x:v>대상 아님</x:v>
      </x:c>
      <x:c r="AB2103" s="2"/>
    </x:row>
    <x:row r="2104" ht="42" customHeight="1">
      <x:c r="A2104" s="2" t="str">
        <x:v>701adacf1ca45ddba53d786c</x:v>
      </x:c>
      <x:c r="B2104" s="2" t="str">
        <x:v>감축량 인증</x:v>
      </x:c>
      <x:c r="C2104" s="2" t="str">
        <x:v>국내</x:v>
      </x:c>
      <x:c r="D2104" s="7" t="str">
        <x:v>네오세라믹의 소성로 연료교체(LPG→LNG)를 통한 온실가스(CO2) 배출 감축사업</x:v>
      </x:c>
      <x:c r="E2104" s="2" t="str">
        <x:v>344</x:v>
      </x:c>
      <x:c r="F2104" s="2"/>
      <x:c r="G2104" s="2" t="str">
        <x:v>미확보</x:v>
      </x:c>
      <x:c r="H2104" s="2" t="str">
        <x:v>미확보</x:v>
      </x:c>
      <x:c r="I2104" s="2" t="str">
        <x:v>심의승인</x:v>
      </x:c>
      <x:c r="J2104" s="2" t="str">
        <x:v>심의승인</x:v>
      </x:c>
      <x:c r="K2104" s="2" t="str">
        <x:f>IF(OR(J2104="심의승인",J2104="반려",J2104="반려완료",J2104="심의완료"),"종결 표시",IF(OR(J2104="기후부협의",J2104="문서재제출요청",J2104="보류",J2104="보완요청",J2104="보완완료",J2104="평가중",J2104="반려요청",J2104="평가필요",LEFT(J2104,5)="보완요청("),"미종결 표시","상태 확인 필요"))</x:f>
        <x:v>종결 표시</x:v>
      </x:c>
      <x:c r="L2104" s="2"/>
      <x:c r="M2104" s="2"/>
      <x:c r="N2104" s="8"/>
      <x:c r="O2104" s="2"/>
      <x:c r="P2104" s="2"/>
      <x:c r="Q2104" s="2" t="str">
        <x:v>산업전환_외부사업관리Tool_260707_이너젠 수정_LJY_261013.xlsx</x:v>
      </x:c>
      <x:c r="R2104" s="2" t="str">
        <x:v>국내인증</x:v>
      </x:c>
      <x:c r="S2104" s="8" t="n">
        <x:v>422</x:v>
      </x:c>
      <x:c r="T2104" s="2"/>
      <x:c r="U2104" s="2" t="str"/>
      <x:c r="V2104" s="2" t="str">
        <x:v>2020-08-12</x:v>
      </x:c>
      <x:c r="W2104" s="2" t="str">
        <x:v>신청일 확인 / 담당기관 확인</x:v>
      </x:c>
      <x:c r="X2104" s="2" t="str">
        <x:v>원본·배정 기록 확인</x:v>
      </x:c>
      <x:c r="Y2104" s="2" t="str">
        <x:v>ad210cd9ec132cfd447541c8984dc53d30aff0f4fb2dc92d254d49275cc55976</x:v>
      </x:c>
      <x:c r="Z2104" s="2" t="n">
        <x:f>SUBTOTAL(103,A2104)</x:f>
        <x:v>1</x:v>
      </x:c>
      <x:c r="AA2104" s="2" t="str">
        <x:f>IF(K2104&lt;&gt;"미종결 표시","대상 아님",IF(N2104="","신청일 확인",IF(NOT(ISNUMBER('종합 현황'!$H$5)),"관찰기준 확인",IF('종합 현황'!$H$5&lt;1,"관찰기준 확인",IF(N2104&gt;'종합 현황'!$H$5,"내부 관찰 대상","내부 관찰일 이하")))))</x:f>
        <x:v>대상 아님</x:v>
      </x:c>
      <x:c r="AB2104" s="2"/>
    </x:row>
    <x:row r="2105" ht="42" customHeight="1">
      <x:c r="A2105" s="2" t="str">
        <x:v>065b63f25d7b14ee7f5a8549</x:v>
      </x:c>
      <x:c r="B2105" s="2" t="str">
        <x:v>감축량 인증</x:v>
      </x:c>
      <x:c r="C2105" s="2" t="str">
        <x:v>국내</x:v>
      </x:c>
      <x:c r="D2105" s="7" t="str">
        <x:v>청운산업의 보일러 연료전환 (벙커C유 → LNG)을 통한 온실가스(CO2) 배출 감축사업</x:v>
      </x:c>
      <x:c r="E2105" s="2" t="str">
        <x:v>345</x:v>
      </x:c>
      <x:c r="F2105" s="2"/>
      <x:c r="G2105" s="2" t="str">
        <x:v>미확보</x:v>
      </x:c>
      <x:c r="H2105" s="2" t="str">
        <x:v>미확보</x:v>
      </x:c>
      <x:c r="I2105" s="2" t="str">
        <x:v>심의승인</x:v>
      </x:c>
      <x:c r="J2105" s="2" t="str">
        <x:v>심의승인</x:v>
      </x:c>
      <x:c r="K2105" s="2" t="str">
        <x:f>IF(OR(J2105="심의승인",J2105="반려",J2105="반려완료",J2105="심의완료"),"종결 표시",IF(OR(J2105="기후부협의",J2105="문서재제출요청",J2105="보류",J2105="보완요청",J2105="보완완료",J2105="평가중",J2105="반려요청",J2105="평가필요",LEFT(J2105,5)="보완요청("),"미종결 표시","상태 확인 필요"))</x:f>
        <x:v>종결 표시</x:v>
      </x:c>
      <x:c r="L2105" s="2"/>
      <x:c r="M2105" s="2"/>
      <x:c r="N2105" s="8"/>
      <x:c r="O2105" s="2"/>
      <x:c r="P2105" s="2"/>
      <x:c r="Q2105" s="2" t="str">
        <x:v>산업전환_외부사업관리Tool_260707_이너젠 수정_LJY_261013.xlsx</x:v>
      </x:c>
      <x:c r="R2105" s="2" t="str">
        <x:v>국내인증</x:v>
      </x:c>
      <x:c r="S2105" s="8" t="n">
        <x:v>423</x:v>
      </x:c>
      <x:c r="T2105" s="2"/>
      <x:c r="U2105" s="2" t="str"/>
      <x:c r="V2105" s="2" t="str">
        <x:v>2020-08-12</x:v>
      </x:c>
      <x:c r="W2105" s="2" t="str">
        <x:v>신청일 확인 / 담당기관 확인</x:v>
      </x:c>
      <x:c r="X2105" s="2" t="str">
        <x:v>원본·배정 기록 확인</x:v>
      </x:c>
      <x:c r="Y2105" s="2" t="str">
        <x:v>ad210cd9ec132cfd447541c8984dc53d30aff0f4fb2dc92d254d49275cc55976</x:v>
      </x:c>
      <x:c r="Z2105" s="2" t="n">
        <x:f>SUBTOTAL(103,A2105)</x:f>
        <x:v>1</x:v>
      </x:c>
      <x:c r="AA2105" s="2" t="str">
        <x:f>IF(K2105&lt;&gt;"미종결 표시","대상 아님",IF(N2105="","신청일 확인",IF(NOT(ISNUMBER('종합 현황'!$H$5)),"관찰기준 확인",IF('종합 현황'!$H$5&lt;1,"관찰기준 확인",IF(N2105&gt;'종합 현황'!$H$5,"내부 관찰 대상","내부 관찰일 이하")))))</x:f>
        <x:v>대상 아님</x:v>
      </x:c>
      <x:c r="AB2105" s="2"/>
    </x:row>
    <x:row r="2106" ht="42" customHeight="1">
      <x:c r="A2106" s="2" t="str">
        <x:v>7e777a9a89e4b79b524c544e</x:v>
      </x:c>
      <x:c r="B2106" s="2" t="str">
        <x:v>감축량 인증</x:v>
      </x:c>
      <x:c r="C2106" s="2" t="str">
        <x:v>국내</x:v>
      </x:c>
      <x:c r="D2106" s="7" t="str">
        <x:v>팜스코 스팀보일러의 연료교체를 통한 온실가스 감축사업</x:v>
      </x:c>
      <x:c r="E2106" s="2" t="str">
        <x:v>346</x:v>
      </x:c>
      <x:c r="F2106" s="2"/>
      <x:c r="G2106" s="2" t="str">
        <x:v>미확보</x:v>
      </x:c>
      <x:c r="H2106" s="2" t="str">
        <x:v>미확보</x:v>
      </x:c>
      <x:c r="I2106" s="2" t="str">
        <x:v>심의승인</x:v>
      </x:c>
      <x:c r="J2106" s="2" t="str">
        <x:v>심의승인</x:v>
      </x:c>
      <x:c r="K2106" s="2" t="str">
        <x:f>IF(OR(J2106="심의승인",J2106="반려",J2106="반려완료",J2106="심의완료"),"종결 표시",IF(OR(J2106="기후부협의",J2106="문서재제출요청",J2106="보류",J2106="보완요청",J2106="보완완료",J2106="평가중",J2106="반려요청",J2106="평가필요",LEFT(J2106,5)="보완요청("),"미종결 표시","상태 확인 필요"))</x:f>
        <x:v>종결 표시</x:v>
      </x:c>
      <x:c r="L2106" s="2"/>
      <x:c r="M2106" s="2"/>
      <x:c r="N2106" s="8"/>
      <x:c r="O2106" s="2"/>
      <x:c r="P2106" s="2"/>
      <x:c r="Q2106" s="2" t="str">
        <x:v>산업전환_외부사업관리Tool_260707_이너젠 수정_LJY_261013.xlsx</x:v>
      </x:c>
      <x:c r="R2106" s="2" t="str">
        <x:v>국내인증</x:v>
      </x:c>
      <x:c r="S2106" s="8" t="n">
        <x:v>424</x:v>
      </x:c>
      <x:c r="T2106" s="2"/>
      <x:c r="U2106" s="2" t="str"/>
      <x:c r="V2106" s="2" t="str">
        <x:v>2020-10-27</x:v>
      </x:c>
      <x:c r="W2106" s="2" t="str">
        <x:v>신청일 확인 / 담당기관 확인</x:v>
      </x:c>
      <x:c r="X2106" s="2" t="str">
        <x:v>원본·배정 기록 확인</x:v>
      </x:c>
      <x:c r="Y2106" s="2" t="str">
        <x:v>ad210cd9ec132cfd447541c8984dc53d30aff0f4fb2dc92d254d49275cc55976</x:v>
      </x:c>
      <x:c r="Z2106" s="2" t="n">
        <x:f>SUBTOTAL(103,A2106)</x:f>
        <x:v>1</x:v>
      </x:c>
      <x:c r="AA2106" s="2" t="str">
        <x:f>IF(K2106&lt;&gt;"미종결 표시","대상 아님",IF(N2106="","신청일 확인",IF(NOT(ISNUMBER('종합 현황'!$H$5)),"관찰기준 확인",IF('종합 현황'!$H$5&lt;1,"관찰기준 확인",IF(N2106&gt;'종합 현황'!$H$5,"내부 관찰 대상","내부 관찰일 이하")))))</x:f>
        <x:v>대상 아님</x:v>
      </x:c>
      <x:c r="AB2106" s="2"/>
    </x:row>
    <x:row r="2107" ht="42" customHeight="1">
      <x:c r="A2107" s="2" t="str">
        <x:v>a878717f30a686f0c6fe13ef</x:v>
      </x:c>
      <x:c r="B2107" s="2" t="str">
        <x:v>감축량 인증</x:v>
      </x:c>
      <x:c r="C2107" s="2" t="str">
        <x:v>국내</x:v>
      </x:c>
      <x:c r="D2107" s="7" t="str">
        <x:v>한일섬유  건조공정 연료교체 KVER사업</x:v>
      </x:c>
      <x:c r="E2107" s="2" t="str">
        <x:v>347</x:v>
      </x:c>
      <x:c r="F2107" s="2"/>
      <x:c r="G2107" s="2" t="str">
        <x:v>미확보</x:v>
      </x:c>
      <x:c r="H2107" s="2" t="str">
        <x:v>미확보</x:v>
      </x:c>
      <x:c r="I2107" s="2" t="str">
        <x:v>심의승인</x:v>
      </x:c>
      <x:c r="J2107" s="2" t="str">
        <x:v>심의승인</x:v>
      </x:c>
      <x:c r="K2107" s="2" t="str">
        <x:f>IF(OR(J2107="심의승인",J2107="반려",J2107="반려완료",J2107="심의완료"),"종결 표시",IF(OR(J2107="기후부협의",J2107="문서재제출요청",J2107="보류",J2107="보완요청",J2107="보완완료",J2107="평가중",J2107="반려요청",J2107="평가필요",LEFT(J2107,5)="보완요청("),"미종결 표시","상태 확인 필요"))</x:f>
        <x:v>종결 표시</x:v>
      </x:c>
      <x:c r="L2107" s="2"/>
      <x:c r="M2107" s="2"/>
      <x:c r="N2107" s="8"/>
      <x:c r="O2107" s="2"/>
      <x:c r="P2107" s="2"/>
      <x:c r="Q2107" s="2" t="str">
        <x:v>산업전환_외부사업관리Tool_260707_이너젠 수정_LJY_261013.xlsx</x:v>
      </x:c>
      <x:c r="R2107" s="2" t="str">
        <x:v>국내인증</x:v>
      </x:c>
      <x:c r="S2107" s="8" t="n">
        <x:v>425</x:v>
      </x:c>
      <x:c r="T2107" s="2"/>
      <x:c r="U2107" s="2" t="str"/>
      <x:c r="V2107" s="2" t="str">
        <x:v>2020-10-27</x:v>
      </x:c>
      <x:c r="W2107" s="2" t="str">
        <x:v>신청일 확인 / 담당기관 확인</x:v>
      </x:c>
      <x:c r="X2107" s="2" t="str">
        <x:v>원본·배정 기록 확인</x:v>
      </x:c>
      <x:c r="Y2107" s="2" t="str">
        <x:v>ad210cd9ec132cfd447541c8984dc53d30aff0f4fb2dc92d254d49275cc55976</x:v>
      </x:c>
      <x:c r="Z2107" s="2" t="n">
        <x:f>SUBTOTAL(103,A2107)</x:f>
        <x:v>1</x:v>
      </x:c>
      <x:c r="AA2107" s="2" t="str">
        <x:f>IF(K2107&lt;&gt;"미종결 표시","대상 아님",IF(N2107="","신청일 확인",IF(NOT(ISNUMBER('종합 현황'!$H$5)),"관찰기준 확인",IF('종합 현황'!$H$5&lt;1,"관찰기준 확인",IF(N2107&gt;'종합 현황'!$H$5,"내부 관찰 대상","내부 관찰일 이하")))))</x:f>
        <x:v>대상 아님</x:v>
      </x:c>
      <x:c r="AB2107" s="2"/>
    </x:row>
    <x:row r="2108" ht="42" customHeight="1">
      <x:c r="A2108" s="2" t="str">
        <x:v>15a62dd7f200c6b63ec8e5ec</x:v>
      </x:c>
      <x:c r="B2108" s="2" t="str">
        <x:v>감축량 인증</x:v>
      </x:c>
      <x:c r="C2108" s="2" t="str">
        <x:v>국내</x:v>
      </x:c>
      <x:c r="D2108" s="7" t="str">
        <x:v>경보판지공업의 연료전환을 통한 온실가스 감축사업</x:v>
      </x:c>
      <x:c r="E2108" s="2" t="str">
        <x:v>348</x:v>
      </x:c>
      <x:c r="F2108" s="2"/>
      <x:c r="G2108" s="2" t="str">
        <x:v>미확보</x:v>
      </x:c>
      <x:c r="H2108" s="2" t="str">
        <x:v>미확보</x:v>
      </x:c>
      <x:c r="I2108" s="2" t="str">
        <x:v>심의승인</x:v>
      </x:c>
      <x:c r="J2108" s="2" t="str">
        <x:v>심의승인</x:v>
      </x:c>
      <x:c r="K2108" s="2" t="str">
        <x:f>IF(OR(J2108="심의승인",J2108="반려",J2108="반려완료",J2108="심의완료"),"종결 표시",IF(OR(J2108="기후부협의",J2108="문서재제출요청",J2108="보류",J2108="보완요청",J2108="보완완료",J2108="평가중",J2108="반려요청",J2108="평가필요",LEFT(J2108,5)="보완요청("),"미종결 표시","상태 확인 필요"))</x:f>
        <x:v>종결 표시</x:v>
      </x:c>
      <x:c r="L2108" s="2"/>
      <x:c r="M2108" s="2"/>
      <x:c r="N2108" s="8"/>
      <x:c r="O2108" s="2"/>
      <x:c r="P2108" s="2"/>
      <x:c r="Q2108" s="2" t="str">
        <x:v>산업전환_외부사업관리Tool_260707_이너젠 수정_LJY_261013.xlsx</x:v>
      </x:c>
      <x:c r="R2108" s="2" t="str">
        <x:v>국내인증</x:v>
      </x:c>
      <x:c r="S2108" s="8" t="n">
        <x:v>426</x:v>
      </x:c>
      <x:c r="T2108" s="2"/>
      <x:c r="U2108" s="2" t="str"/>
      <x:c r="V2108" s="2" t="str">
        <x:v>2020-08-12</x:v>
      </x:c>
      <x:c r="W2108" s="2" t="str">
        <x:v>신청일 확인 / 담당기관 확인</x:v>
      </x:c>
      <x:c r="X2108" s="2" t="str">
        <x:v>원본·배정 기록 확인</x:v>
      </x:c>
      <x:c r="Y2108" s="2" t="str">
        <x:v>ad210cd9ec132cfd447541c8984dc53d30aff0f4fb2dc92d254d49275cc55976</x:v>
      </x:c>
      <x:c r="Z2108" s="2" t="n">
        <x:f>SUBTOTAL(103,A2108)</x:f>
        <x:v>1</x:v>
      </x:c>
      <x:c r="AA2108" s="2" t="str">
        <x:f>IF(K2108&lt;&gt;"미종결 표시","대상 아님",IF(N2108="","신청일 확인",IF(NOT(ISNUMBER('종합 현황'!$H$5)),"관찰기준 확인",IF('종합 현황'!$H$5&lt;1,"관찰기준 확인",IF(N2108&gt;'종합 현황'!$H$5,"내부 관찰 대상","내부 관찰일 이하")))))</x:f>
        <x:v>대상 아님</x:v>
      </x:c>
      <x:c r="AB2108" s="2"/>
    </x:row>
    <x:row r="2109" ht="42" customHeight="1">
      <x:c r="A2109" s="2" t="str">
        <x:v>0db24cbf3bfa1b6e94ad62b8</x:v>
      </x:c>
      <x:c r="B2109" s="2" t="str">
        <x:v>감축량 인증</x:v>
      </x:c>
      <x:c r="C2109" s="2" t="str">
        <x:v>국내</x:v>
      </x:c>
      <x:c r="D2109" s="7" t="str">
        <x:v>성창 버너 연료전환을 통한 온실가스 (CO2) 감축사업</x:v>
      </x:c>
      <x:c r="E2109" s="2" t="str">
        <x:v>349</x:v>
      </x:c>
      <x:c r="F2109" s="2"/>
      <x:c r="G2109" s="2" t="str">
        <x:v>미확보</x:v>
      </x:c>
      <x:c r="H2109" s="2" t="str">
        <x:v>미확보</x:v>
      </x:c>
      <x:c r="I2109" s="2" t="str">
        <x:v>심의승인</x:v>
      </x:c>
      <x:c r="J2109" s="2" t="str">
        <x:v>심의승인</x:v>
      </x:c>
      <x:c r="K2109" s="2" t="str">
        <x:f>IF(OR(J2109="심의승인",J2109="반려",J2109="반려완료",J2109="심의완료"),"종결 표시",IF(OR(J2109="기후부협의",J2109="문서재제출요청",J2109="보류",J2109="보완요청",J2109="보완완료",J2109="평가중",J2109="반려요청",J2109="평가필요",LEFT(J2109,5)="보완요청("),"미종결 표시","상태 확인 필요"))</x:f>
        <x:v>종결 표시</x:v>
      </x:c>
      <x:c r="L2109" s="2"/>
      <x:c r="M2109" s="2"/>
      <x:c r="N2109" s="8"/>
      <x:c r="O2109" s="2"/>
      <x:c r="P2109" s="2"/>
      <x:c r="Q2109" s="2" t="str">
        <x:v>산업전환_외부사업관리Tool_260707_이너젠 수정_LJY_261013.xlsx</x:v>
      </x:c>
      <x:c r="R2109" s="2" t="str">
        <x:v>국내인증</x:v>
      </x:c>
      <x:c r="S2109" s="8" t="n">
        <x:v>427</x:v>
      </x:c>
      <x:c r="T2109" s="2" t="str">
        <x:v>(6/28)</x:v>
      </x:c>
      <x:c r="U2109" s="2" t="str">
        <x:v>2021 배정: (6/28)</x:v>
      </x:c>
      <x:c r="V2109" s="2" t="str">
        <x:v>2021-10-07</x:v>
      </x:c>
      <x:c r="W2109" s="2" t="str">
        <x:v>신청일 확인 / 담당기관 확인</x:v>
      </x:c>
      <x:c r="X2109" s="2" t="str">
        <x:v>원본·배정 기록 확인</x:v>
      </x:c>
      <x:c r="Y2109" s="2" t="str">
        <x:v>ad210cd9ec132cfd447541c8984dc53d30aff0f4fb2dc92d254d49275cc55976</x:v>
      </x:c>
      <x:c r="Z2109" s="2" t="n">
        <x:f>SUBTOTAL(103,A2109)</x:f>
        <x:v>1</x:v>
      </x:c>
      <x:c r="AA2109" s="2" t="str">
        <x:f>IF(K2109&lt;&gt;"미종결 표시","대상 아님",IF(N2109="","신청일 확인",IF(NOT(ISNUMBER('종합 현황'!$H$5)),"관찰기준 확인",IF('종합 현황'!$H$5&lt;1,"관찰기준 확인",IF(N2109&gt;'종합 현황'!$H$5,"내부 관찰 대상","내부 관찰일 이하")))))</x:f>
        <x:v>대상 아님</x:v>
      </x:c>
      <x:c r="AB2109" s="2"/>
    </x:row>
    <x:row r="2110" ht="42" customHeight="1">
      <x:c r="A2110" s="2" t="str">
        <x:v>c784caff3b27a50b357061ef</x:v>
      </x:c>
      <x:c r="B2110" s="2" t="str">
        <x:v>감축량 인증</x:v>
      </x:c>
      <x:c r="C2110" s="2" t="str">
        <x:v>국내</x:v>
      </x:c>
      <x:c r="D2110" s="7" t="str">
        <x:v>(주)에이치에스아쿠아피드 밀양사업장 B-C유에서 목재펠릿으로 연료전환을 통한 온실가스 감축사업</x:v>
      </x:c>
      <x:c r="E2110" s="2" t="str">
        <x:v>350</x:v>
      </x:c>
      <x:c r="F2110" s="2"/>
      <x:c r="G2110" s="2" t="str">
        <x:v>미확보</x:v>
      </x:c>
      <x:c r="H2110" s="2" t="str">
        <x:v>미확보</x:v>
      </x:c>
      <x:c r="I2110" s="2" t="str">
        <x:v>심의승인</x:v>
      </x:c>
      <x:c r="J2110" s="2" t="str">
        <x:v>심의승인</x:v>
      </x:c>
      <x:c r="K2110" s="2" t="str">
        <x:f>IF(OR(J2110="심의승인",J2110="반려",J2110="반려완료",J2110="심의완료"),"종결 표시",IF(OR(J2110="기후부협의",J2110="문서재제출요청",J2110="보류",J2110="보완요청",J2110="보완완료",J2110="평가중",J2110="반려요청",J2110="평가필요",LEFT(J2110,5)="보완요청("),"미종결 표시","상태 확인 필요"))</x:f>
        <x:v>종결 표시</x:v>
      </x:c>
      <x:c r="L2110" s="2"/>
      <x:c r="M2110" s="2"/>
      <x:c r="N2110" s="8"/>
      <x:c r="O2110" s="2"/>
      <x:c r="P2110" s="2"/>
      <x:c r="Q2110" s="2" t="str">
        <x:v>산업전환_외부사업관리Tool_260707_이너젠 수정_LJY_261013.xlsx</x:v>
      </x:c>
      <x:c r="R2110" s="2" t="str">
        <x:v>국내인증</x:v>
      </x:c>
      <x:c r="S2110" s="8" t="n">
        <x:v>428</x:v>
      </x:c>
      <x:c r="T2110" s="2" t="str">
        <x:v>(6/28),(9/1)</x:v>
      </x:c>
      <x:c r="U2110" s="2" t="str">
        <x:v>2021 배정: (6/28),(9/1)</x:v>
      </x:c>
      <x:c r="V2110" s="2" t="str">
        <x:v>2022-01-17</x:v>
      </x:c>
      <x:c r="W2110" s="2" t="str">
        <x:v>신청일 확인 / 담당기관 확인</x:v>
      </x:c>
      <x:c r="X2110" s="2" t="str">
        <x:v>원본·배정 기록 확인</x:v>
      </x:c>
      <x:c r="Y2110" s="2" t="str">
        <x:v>ad210cd9ec132cfd447541c8984dc53d30aff0f4fb2dc92d254d49275cc55976</x:v>
      </x:c>
      <x:c r="Z2110" s="2" t="n">
        <x:f>SUBTOTAL(103,A2110)</x:f>
        <x:v>1</x:v>
      </x:c>
      <x:c r="AA2110" s="2" t="str">
        <x:f>IF(K2110&lt;&gt;"미종결 표시","대상 아님",IF(N2110="","신청일 확인",IF(NOT(ISNUMBER('종합 현황'!$H$5)),"관찰기준 확인",IF('종합 현황'!$H$5&lt;1,"관찰기준 확인",IF(N2110&gt;'종합 현황'!$H$5,"내부 관찰 대상","내부 관찰일 이하")))))</x:f>
        <x:v>대상 아님</x:v>
      </x:c>
      <x:c r="AB2110" s="2"/>
    </x:row>
    <x:row r="2111" ht="42" customHeight="1">
      <x:c r="A2111" s="2" t="str">
        <x:v>2e917393315f82db22da7f26</x:v>
      </x:c>
      <x:c r="B2111" s="2" t="str">
        <x:v>감축량 인증</x:v>
      </x:c>
      <x:c r="C2111" s="2" t="str">
        <x:v>국내</x:v>
      </x:c>
      <x:c r="D2111" s="7" t="str">
        <x:v>(주)와이엠 프로폴의 보일러 연료전환 (B-C유 → LNG)에 의한 온실가스(CO2) 배출 감축사업</x:v>
      </x:c>
      <x:c r="E2111" s="2" t="str">
        <x:v>351</x:v>
      </x:c>
      <x:c r="F2111" s="2"/>
      <x:c r="G2111" s="2" t="str">
        <x:v>미확보</x:v>
      </x:c>
      <x:c r="H2111" s="2" t="str">
        <x:v>미확보</x:v>
      </x:c>
      <x:c r="I2111" s="2" t="str">
        <x:v>심의승인</x:v>
      </x:c>
      <x:c r="J2111" s="2" t="str">
        <x:v>심의승인</x:v>
      </x:c>
      <x:c r="K2111" s="2" t="str">
        <x:f>IF(OR(J2111="심의승인",J2111="반려",J2111="반려완료",J2111="심의완료"),"종결 표시",IF(OR(J2111="기후부협의",J2111="문서재제출요청",J2111="보류",J2111="보완요청",J2111="보완완료",J2111="평가중",J2111="반려요청",J2111="평가필요",LEFT(J2111,5)="보완요청("),"미종결 표시","상태 확인 필요"))</x:f>
        <x:v>종결 표시</x:v>
      </x:c>
      <x:c r="L2111" s="2"/>
      <x:c r="M2111" s="2"/>
      <x:c r="N2111" s="8"/>
      <x:c r="O2111" s="2"/>
      <x:c r="P2111" s="2"/>
      <x:c r="Q2111" s="2" t="str">
        <x:v>산업전환_외부사업관리Tool_260707_이너젠 수정_LJY_261013.xlsx</x:v>
      </x:c>
      <x:c r="R2111" s="2" t="str">
        <x:v>국내인증</x:v>
      </x:c>
      <x:c r="S2111" s="8" t="n">
        <x:v>429</x:v>
      </x:c>
      <x:c r="T2111" s="2" t="str">
        <x:v>(6/28)</x:v>
      </x:c>
      <x:c r="U2111" s="2" t="str">
        <x:v>2021 배정: (6/28)</x:v>
      </x:c>
      <x:c r="V2111" s="2" t="str">
        <x:v>2021-10-07</x:v>
      </x:c>
      <x:c r="W2111" s="2" t="str">
        <x:v>신청일 확인 / 담당기관 확인</x:v>
      </x:c>
      <x:c r="X2111" s="2" t="str">
        <x:v>원본·배정 기록 확인</x:v>
      </x:c>
      <x:c r="Y2111" s="2" t="str">
        <x:v>ad210cd9ec132cfd447541c8984dc53d30aff0f4fb2dc92d254d49275cc55976</x:v>
      </x:c>
      <x:c r="Z2111" s="2" t="n">
        <x:f>SUBTOTAL(103,A2111)</x:f>
        <x:v>1</x:v>
      </x:c>
      <x:c r="AA2111" s="2" t="str">
        <x:f>IF(K2111&lt;&gt;"미종결 표시","대상 아님",IF(N2111="","신청일 확인",IF(NOT(ISNUMBER('종합 현황'!$H$5)),"관찰기준 확인",IF('종합 현황'!$H$5&lt;1,"관찰기준 확인",IF(N2111&gt;'종합 현황'!$H$5,"내부 관찰 대상","내부 관찰일 이하")))))</x:f>
        <x:v>대상 아님</x:v>
      </x:c>
      <x:c r="AB2111" s="2"/>
    </x:row>
    <x:row r="2112" ht="42" customHeight="1">
      <x:c r="A2112" s="2" t="str">
        <x:v>94458c3a1114c770ac1f7dd3</x:v>
      </x:c>
      <x:c r="B2112" s="2" t="str">
        <x:v>감축량 인증</x:v>
      </x:c>
      <x:c r="C2112" s="2" t="str">
        <x:v>국내</x:v>
      </x:c>
      <x:c r="D2112" s="7" t="str">
        <x:v>(주)우리섬유 버너교체 연료전환(경유, B-C유 → LPG)을 통한 온실가스 감축 사업</x:v>
      </x:c>
      <x:c r="E2112" s="2" t="str">
        <x:v>352</x:v>
      </x:c>
      <x:c r="F2112" s="2"/>
      <x:c r="G2112" s="2" t="str">
        <x:v>미확보</x:v>
      </x:c>
      <x:c r="H2112" s="2" t="str">
        <x:v>미확보</x:v>
      </x:c>
      <x:c r="I2112" s="2" t="str">
        <x:v>심의승인</x:v>
      </x:c>
      <x:c r="J2112" s="2" t="str">
        <x:v>심의승인</x:v>
      </x:c>
      <x:c r="K2112" s="2" t="str">
        <x:f>IF(OR(J2112="심의승인",J2112="반려",J2112="반려완료",J2112="심의완료"),"종결 표시",IF(OR(J2112="기후부협의",J2112="문서재제출요청",J2112="보류",J2112="보완요청",J2112="보완완료",J2112="평가중",J2112="반려요청",J2112="평가필요",LEFT(J2112,5)="보완요청("),"미종결 표시","상태 확인 필요"))</x:f>
        <x:v>종결 표시</x:v>
      </x:c>
      <x:c r="L2112" s="2"/>
      <x:c r="M2112" s="2"/>
      <x:c r="N2112" s="8"/>
      <x:c r="O2112" s="2"/>
      <x:c r="P2112" s="2"/>
      <x:c r="Q2112" s="2" t="str">
        <x:v>산업전환_외부사업관리Tool_260707_이너젠 수정_LJY_261013.xlsx</x:v>
      </x:c>
      <x:c r="R2112" s="2" t="str">
        <x:v>국내인증</x:v>
      </x:c>
      <x:c r="S2112" s="8" t="n">
        <x:v>430</x:v>
      </x:c>
      <x:c r="T2112" s="2"/>
      <x:c r="U2112" s="2" t="str"/>
      <x:c r="V2112" s="2" t="str">
        <x:v>2020-10-27</x:v>
      </x:c>
      <x:c r="W2112" s="2" t="str">
        <x:v>신청일 확인 / 담당기관 확인</x:v>
      </x:c>
      <x:c r="X2112" s="2" t="str">
        <x:v>원본·배정 기록 확인</x:v>
      </x:c>
      <x:c r="Y2112" s="2" t="str">
        <x:v>ad210cd9ec132cfd447541c8984dc53d30aff0f4fb2dc92d254d49275cc55976</x:v>
      </x:c>
      <x:c r="Z2112" s="2" t="n">
        <x:f>SUBTOTAL(103,A2112)</x:f>
        <x:v>1</x:v>
      </x:c>
      <x:c r="AA2112" s="2" t="str">
        <x:f>IF(K2112&lt;&gt;"미종결 표시","대상 아님",IF(N2112="","신청일 확인",IF(NOT(ISNUMBER('종합 현황'!$H$5)),"관찰기준 확인",IF('종합 현황'!$H$5&lt;1,"관찰기준 확인",IF(N2112&gt;'종합 현황'!$H$5,"내부 관찰 대상","내부 관찰일 이하")))))</x:f>
        <x:v>대상 아님</x:v>
      </x:c>
      <x:c r="AB2112" s="2"/>
    </x:row>
    <x:row r="2113" ht="42" customHeight="1">
      <x:c r="A2113" s="2" t="str">
        <x:v>06601dcbf962893384c9a98f</x:v>
      </x:c>
      <x:c r="B2113" s="2" t="str">
        <x:v>감축량 인증</x:v>
      </x:c>
      <x:c r="C2113" s="2" t="str">
        <x:v>국내</x:v>
      </x:c>
      <x:c r="D2113" s="7" t="str">
        <x:v>폐열스팀으로 LNG 스팀보일러 생산스팀을 대체하여 CO2를 감축하는 사업</x:v>
      </x:c>
      <x:c r="E2113" s="2" t="str">
        <x:v>353</x:v>
      </x:c>
      <x:c r="F2113" s="2"/>
      <x:c r="G2113" s="2" t="str">
        <x:v>미확보</x:v>
      </x:c>
      <x:c r="H2113" s="2" t="str">
        <x:v>미확보</x:v>
      </x:c>
      <x:c r="I2113" s="2" t="str">
        <x:v>심의승인</x:v>
      </x:c>
      <x:c r="J2113" s="2" t="str">
        <x:v>심의승인</x:v>
      </x:c>
      <x:c r="K2113" s="2" t="str">
        <x:f>IF(OR(J2113="심의승인",J2113="반려",J2113="반려완료",J2113="심의완료"),"종결 표시",IF(OR(J2113="기후부협의",J2113="문서재제출요청",J2113="보류",J2113="보완요청",J2113="보완완료",J2113="평가중",J2113="반려요청",J2113="평가필요",LEFT(J2113,5)="보완요청("),"미종결 표시","상태 확인 필요"))</x:f>
        <x:v>종결 표시</x:v>
      </x:c>
      <x:c r="L2113" s="2"/>
      <x:c r="M2113" s="2"/>
      <x:c r="N2113" s="8"/>
      <x:c r="O2113" s="2"/>
      <x:c r="P2113" s="2"/>
      <x:c r="Q2113" s="2" t="str">
        <x:v>산업전환_외부사업관리Tool_260707_이너젠 수정_LJY_261013.xlsx</x:v>
      </x:c>
      <x:c r="R2113" s="2" t="str">
        <x:v>국내인증</x:v>
      </x:c>
      <x:c r="S2113" s="8" t="n">
        <x:v>431</x:v>
      </x:c>
      <x:c r="T2113" s="2" t="str">
        <x:v>(6/3)</x:v>
      </x:c>
      <x:c r="U2113" s="2" t="str">
        <x:v>2021 배정: (6/3)</x:v>
      </x:c>
      <x:c r="V2113" s="2" t="str">
        <x:v>2022-01-17</x:v>
      </x:c>
      <x:c r="W2113" s="2" t="str">
        <x:v>신청일 확인 / 담당기관 확인</x:v>
      </x:c>
      <x:c r="X2113" s="2" t="str">
        <x:v>원본·배정 기록 확인</x:v>
      </x:c>
      <x:c r="Y2113" s="2" t="str">
        <x:v>ad210cd9ec132cfd447541c8984dc53d30aff0f4fb2dc92d254d49275cc55976</x:v>
      </x:c>
      <x:c r="Z2113" s="2" t="n">
        <x:f>SUBTOTAL(103,A2113)</x:f>
        <x:v>1</x:v>
      </x:c>
      <x:c r="AA2113" s="2" t="str">
        <x:f>IF(K2113&lt;&gt;"미종결 표시","대상 아님",IF(N2113="","신청일 확인",IF(NOT(ISNUMBER('종합 현황'!$H$5)),"관찰기준 확인",IF('종합 현황'!$H$5&lt;1,"관찰기준 확인",IF(N2113&gt;'종합 현황'!$H$5,"내부 관찰 대상","내부 관찰일 이하")))))</x:f>
        <x:v>대상 아님</x:v>
      </x:c>
      <x:c r="AB2113" s="2"/>
    </x:row>
    <x:row r="2114" ht="42" customHeight="1">
      <x:c r="A2114" s="2" t="str">
        <x:v>0f0f3ad4660dd9143e4df0d0</x:v>
      </x:c>
      <x:c r="B2114" s="2" t="str">
        <x:v>감축량 인증</x:v>
      </x:c>
      <x:c r="C2114" s="2" t="str">
        <x:v>국내</x:v>
      </x:c>
      <x:c r="D2114" s="7" t="str">
        <x:v>동보피엔티 목재펠릿 연료 전환을 통한 온실가스 감축사업</x:v>
      </x:c>
      <x:c r="E2114" s="2" t="str">
        <x:v>354</x:v>
      </x:c>
      <x:c r="F2114" s="2"/>
      <x:c r="G2114" s="2" t="str">
        <x:v>미확보</x:v>
      </x:c>
      <x:c r="H2114" s="2" t="str">
        <x:v>미확보</x:v>
      </x:c>
      <x:c r="I2114" s="2" t="str">
        <x:v>심의승인</x:v>
      </x:c>
      <x:c r="J2114" s="2" t="str">
        <x:v>심의승인</x:v>
      </x:c>
      <x:c r="K2114" s="2" t="str">
        <x:f>IF(OR(J2114="심의승인",J2114="반려",J2114="반려완료",J2114="심의완료"),"종결 표시",IF(OR(J2114="기후부협의",J2114="문서재제출요청",J2114="보류",J2114="보완요청",J2114="보완완료",J2114="평가중",J2114="반려요청",J2114="평가필요",LEFT(J2114,5)="보완요청("),"미종결 표시","상태 확인 필요"))</x:f>
        <x:v>종결 표시</x:v>
      </x:c>
      <x:c r="L2114" s="2"/>
      <x:c r="M2114" s="2"/>
      <x:c r="N2114" s="8"/>
      <x:c r="O2114" s="2"/>
      <x:c r="P2114" s="2"/>
      <x:c r="Q2114" s="2" t="str">
        <x:v>산업전환_외부사업관리Tool_260707_이너젠 수정_LJY_261013.xlsx</x:v>
      </x:c>
      <x:c r="R2114" s="2" t="str">
        <x:v>국내인증</x:v>
      </x:c>
      <x:c r="S2114" s="8" t="n">
        <x:v>432</x:v>
      </x:c>
      <x:c r="T2114" s="2" t="str">
        <x:v>(6/28),(9/1)</x:v>
      </x:c>
      <x:c r="U2114" s="2" t="str">
        <x:v>2021 배정: (6/28),(9/1)</x:v>
      </x:c>
      <x:c r="V2114" s="2" t="str">
        <x:v>2022-01-17</x:v>
      </x:c>
      <x:c r="W2114" s="2" t="str">
        <x:v>신청일 확인 / 담당기관 확인</x:v>
      </x:c>
      <x:c r="X2114" s="2" t="str">
        <x:v>원본·배정 기록 확인</x:v>
      </x:c>
      <x:c r="Y2114" s="2" t="str">
        <x:v>ad210cd9ec132cfd447541c8984dc53d30aff0f4fb2dc92d254d49275cc55976</x:v>
      </x:c>
      <x:c r="Z2114" s="2" t="n">
        <x:f>SUBTOTAL(103,A2114)</x:f>
        <x:v>1</x:v>
      </x:c>
      <x:c r="AA2114" s="2" t="str">
        <x:f>IF(K2114&lt;&gt;"미종결 표시","대상 아님",IF(N2114="","신청일 확인",IF(NOT(ISNUMBER('종합 현황'!$H$5)),"관찰기준 확인",IF('종합 현황'!$H$5&lt;1,"관찰기준 확인",IF(N2114&gt;'종합 현황'!$H$5,"내부 관찰 대상","내부 관찰일 이하")))))</x:f>
        <x:v>대상 아님</x:v>
      </x:c>
      <x:c r="AB2114" s="2"/>
    </x:row>
    <x:row r="2115" ht="42" customHeight="1">
      <x:c r="A2115" s="2" t="str">
        <x:v>5e708a269a43424b144c397c</x:v>
      </x:c>
      <x:c r="B2115" s="2" t="str">
        <x:v>감축량 인증</x:v>
      </x:c>
      <x:c r="C2115" s="2" t="str">
        <x:v>국내</x:v>
      </x:c>
      <x:c r="D2115" s="7" t="str">
        <x:v>동양제지공업 보일러 연료 전환([B-C유+정제유]→LNG) 온실가스 감축사업</x:v>
      </x:c>
      <x:c r="E2115" s="2" t="str">
        <x:v>355</x:v>
      </x:c>
      <x:c r="F2115" s="2"/>
      <x:c r="G2115" s="2" t="str">
        <x:v>미확보</x:v>
      </x:c>
      <x:c r="H2115" s="2" t="str">
        <x:v>미확보</x:v>
      </x:c>
      <x:c r="I2115" s="2" t="str">
        <x:v>심의승인</x:v>
      </x:c>
      <x:c r="J2115" s="2" t="str">
        <x:v>심의승인</x:v>
      </x:c>
      <x:c r="K2115" s="2" t="str">
        <x:f>IF(OR(J2115="심의승인",J2115="반려",J2115="반려완료",J2115="심의완료"),"종결 표시",IF(OR(J2115="기후부협의",J2115="문서재제출요청",J2115="보류",J2115="보완요청",J2115="보완완료",J2115="평가중",J2115="반려요청",J2115="평가필요",LEFT(J2115,5)="보완요청("),"미종결 표시","상태 확인 필요"))</x:f>
        <x:v>종결 표시</x:v>
      </x:c>
      <x:c r="L2115" s="2"/>
      <x:c r="M2115" s="2"/>
      <x:c r="N2115" s="8"/>
      <x:c r="O2115" s="2"/>
      <x:c r="P2115" s="2"/>
      <x:c r="Q2115" s="2" t="str">
        <x:v>산업전환_외부사업관리Tool_260707_이너젠 수정_LJY_261013.xlsx</x:v>
      </x:c>
      <x:c r="R2115" s="2" t="str">
        <x:v>국내인증</x:v>
      </x:c>
      <x:c r="S2115" s="8" t="n">
        <x:v>433</x:v>
      </x:c>
      <x:c r="T2115" s="2" t="str">
        <x:v>(4/23),(8/3)</x:v>
      </x:c>
      <x:c r="U2115" s="2" t="str">
        <x:v>2021 배정: (4/23),(8/3)</x:v>
      </x:c>
      <x:c r="V2115" s="2" t="str">
        <x:v>2022-01-17</x:v>
      </x:c>
      <x:c r="W2115" s="2" t="str">
        <x:v>신청일 확인 / 담당기관 확인</x:v>
      </x:c>
      <x:c r="X2115" s="2" t="str">
        <x:v>원본·배정 기록 확인</x:v>
      </x:c>
      <x:c r="Y2115" s="2" t="str">
        <x:v>ad210cd9ec132cfd447541c8984dc53d30aff0f4fb2dc92d254d49275cc55976</x:v>
      </x:c>
      <x:c r="Z2115" s="2" t="n">
        <x:f>SUBTOTAL(103,A2115)</x:f>
        <x:v>1</x:v>
      </x:c>
      <x:c r="AA2115" s="2" t="str">
        <x:f>IF(K2115&lt;&gt;"미종결 표시","대상 아님",IF(N2115="","신청일 확인",IF(NOT(ISNUMBER('종합 현황'!$H$5)),"관찰기준 확인",IF('종합 현황'!$H$5&lt;1,"관찰기준 확인",IF(N2115&gt;'종합 현황'!$H$5,"내부 관찰 대상","내부 관찰일 이하")))))</x:f>
        <x:v>대상 아님</x:v>
      </x:c>
      <x:c r="AB2115" s="2"/>
    </x:row>
    <x:row r="2116" ht="42" customHeight="1">
      <x:c r="A2116" s="2" t="str">
        <x:v>03a89fa39189eb7bab45c5ae</x:v>
      </x:c>
      <x:c r="B2116" s="2" t="str">
        <x:v>감축량 인증</x:v>
      </x:c>
      <x:c r="C2116" s="2" t="str">
        <x:v>국내</x:v>
      </x:c>
      <x:c r="D2116" s="7" t="str">
        <x:v>삼광에프엔씨 목재펠릿 연료 전환을 통한 온실가스 감축사업</x:v>
      </x:c>
      <x:c r="E2116" s="2" t="str">
        <x:v>356</x:v>
      </x:c>
      <x:c r="F2116" s="2"/>
      <x:c r="G2116" s="2" t="str">
        <x:v>미확보</x:v>
      </x:c>
      <x:c r="H2116" s="2" t="str">
        <x:v>미확보</x:v>
      </x:c>
      <x:c r="I2116" s="2" t="str">
        <x:v>심의승인</x:v>
      </x:c>
      <x:c r="J2116" s="2" t="str">
        <x:v>심의승인</x:v>
      </x:c>
      <x:c r="K2116" s="2" t="str">
        <x:f>IF(OR(J2116="심의승인",J2116="반려",J2116="반려완료",J2116="심의완료"),"종결 표시",IF(OR(J2116="기후부협의",J2116="문서재제출요청",J2116="보류",J2116="보완요청",J2116="보완완료",J2116="평가중",J2116="반려요청",J2116="평가필요",LEFT(J2116,5)="보완요청("),"미종결 표시","상태 확인 필요"))</x:f>
        <x:v>종결 표시</x:v>
      </x:c>
      <x:c r="L2116" s="2"/>
      <x:c r="M2116" s="2"/>
      <x:c r="N2116" s="8"/>
      <x:c r="O2116" s="2"/>
      <x:c r="P2116" s="2"/>
      <x:c r="Q2116" s="2" t="str">
        <x:v>산업전환_외부사업관리Tool_260707_이너젠 수정_LJY_261013.xlsx</x:v>
      </x:c>
      <x:c r="R2116" s="2" t="str">
        <x:v>국내인증</x:v>
      </x:c>
      <x:c r="S2116" s="8" t="n">
        <x:v>434</x:v>
      </x:c>
      <x:c r="T2116" s="2"/>
      <x:c r="U2116" s="2" t="str"/>
      <x:c r="V2116" s="2" t="str">
        <x:v>2020-10-27</x:v>
      </x:c>
      <x:c r="W2116" s="2" t="str">
        <x:v>신청일 확인 / 담당기관 확인</x:v>
      </x:c>
      <x:c r="X2116" s="2" t="str">
        <x:v>원본·배정 기록 확인</x:v>
      </x:c>
      <x:c r="Y2116" s="2" t="str">
        <x:v>ad210cd9ec132cfd447541c8984dc53d30aff0f4fb2dc92d254d49275cc55976</x:v>
      </x:c>
      <x:c r="Z2116" s="2" t="n">
        <x:f>SUBTOTAL(103,A2116)</x:f>
        <x:v>1</x:v>
      </x:c>
      <x:c r="AA2116" s="2" t="str">
        <x:f>IF(K2116&lt;&gt;"미종결 표시","대상 아님",IF(N2116="","신청일 확인",IF(NOT(ISNUMBER('종합 현황'!$H$5)),"관찰기준 확인",IF('종합 현황'!$H$5&lt;1,"관찰기준 확인",IF(N2116&gt;'종합 현황'!$H$5,"내부 관찰 대상","내부 관찰일 이하")))))</x:f>
        <x:v>대상 아님</x:v>
      </x:c>
      <x:c r="AB2116" s="2"/>
    </x:row>
    <x:row r="2117" ht="42" customHeight="1">
      <x:c r="A2117" s="2" t="str">
        <x:v>1a27448418d8815982931014</x:v>
      </x:c>
      <x:c r="B2117" s="2" t="str">
        <x:v>감축량 인증</x:v>
      </x:c>
      <x:c r="C2117" s="2" t="str">
        <x:v>국내</x:v>
      </x:c>
      <x:c r="D2117" s="7" t="str">
        <x:v>삼두염색(주) 보일러 연료전환(LNG → 목재펠릿)을 통한 온실가스(CO2) 감축사업</x:v>
      </x:c>
      <x:c r="E2117" s="2" t="str">
        <x:v>357</x:v>
      </x:c>
      <x:c r="F2117" s="2"/>
      <x:c r="G2117" s="2" t="str">
        <x:v>미확보</x:v>
      </x:c>
      <x:c r="H2117" s="2" t="str">
        <x:v>미확보</x:v>
      </x:c>
      <x:c r="I2117" s="2" t="str">
        <x:v>심의승인</x:v>
      </x:c>
      <x:c r="J2117" s="2" t="str">
        <x:v>심의승인</x:v>
      </x:c>
      <x:c r="K2117" s="2" t="str">
        <x:f>IF(OR(J2117="심의승인",J2117="반려",J2117="반려완료",J2117="심의완료"),"종결 표시",IF(OR(J2117="기후부협의",J2117="문서재제출요청",J2117="보류",J2117="보완요청",J2117="보완완료",J2117="평가중",J2117="반려요청",J2117="평가필요",LEFT(J2117,5)="보완요청("),"미종결 표시","상태 확인 필요"))</x:f>
        <x:v>종결 표시</x:v>
      </x:c>
      <x:c r="L2117" s="2"/>
      <x:c r="M2117" s="2"/>
      <x:c r="N2117" s="8"/>
      <x:c r="O2117" s="2"/>
      <x:c r="P2117" s="2"/>
      <x:c r="Q2117" s="2" t="str">
        <x:v>산업전환_외부사업관리Tool_260707_이너젠 수정_LJY_261013.xlsx</x:v>
      </x:c>
      <x:c r="R2117" s="2" t="str">
        <x:v>국내인증</x:v>
      </x:c>
      <x:c r="S2117" s="8" t="n">
        <x:v>435</x:v>
      </x:c>
      <x:c r="T2117" s="2" t="str">
        <x:v>(6/28),(8/3)</x:v>
      </x:c>
      <x:c r="U2117" s="2" t="str">
        <x:v>2021 배정: (6/28),(8/3)</x:v>
      </x:c>
      <x:c r="V2117" s="2" t="str">
        <x:v>2022-01-17</x:v>
      </x:c>
      <x:c r="W2117" s="2" t="str">
        <x:v>신청일 확인 / 담당기관 확인</x:v>
      </x:c>
      <x:c r="X2117" s="2" t="str">
        <x:v>원본·배정 기록 확인</x:v>
      </x:c>
      <x:c r="Y2117" s="2" t="str">
        <x:v>ad210cd9ec132cfd447541c8984dc53d30aff0f4fb2dc92d254d49275cc55976</x:v>
      </x:c>
      <x:c r="Z2117" s="2" t="n">
        <x:f>SUBTOTAL(103,A2117)</x:f>
        <x:v>1</x:v>
      </x:c>
      <x:c r="AA2117" s="2" t="str">
        <x:f>IF(K2117&lt;&gt;"미종결 표시","대상 아님",IF(N2117="","신청일 확인",IF(NOT(ISNUMBER('종합 현황'!$H$5)),"관찰기준 확인",IF('종합 현황'!$H$5&lt;1,"관찰기준 확인",IF(N2117&gt;'종합 현황'!$H$5,"내부 관찰 대상","내부 관찰일 이하")))))</x:f>
        <x:v>대상 아님</x:v>
      </x:c>
      <x:c r="AB2117" s="2"/>
    </x:row>
    <x:row r="2118" ht="42" customHeight="1">
      <x:c r="A2118" s="2" t="str">
        <x:v>7f1d8c2971292794ffb534d8</x:v>
      </x:c>
      <x:c r="B2118" s="2" t="str">
        <x:v>감축량 인증</x:v>
      </x:c>
      <x:c r="C2118" s="2" t="str">
        <x:v>국내</x:v>
      </x:c>
      <x:c r="D2118" s="7" t="str">
        <x:v>(주)한국요업 소성로 미활용에너지 회수를 통한 온실가스 감축사업</x:v>
      </x:c>
      <x:c r="E2118" s="2" t="str">
        <x:v>358</x:v>
      </x:c>
      <x:c r="F2118" s="2" t="str">
        <x:v>2019-11-18</x:v>
      </x:c>
      <x:c r="G2118" s="2" t="str">
        <x:v>2019</x:v>
      </x:c>
      <x:c r="H2118" s="2" t="str">
        <x:v>11</x:v>
      </x:c>
      <x:c r="I2118" s="2" t="str">
        <x:v>문서재제출요청</x:v>
      </x:c>
      <x:c r="J2118" s="2" t="str">
        <x:v>보완요청</x:v>
      </x:c>
      <x:c r="K2118" s="2" t="str">
        <x:f>IF(OR(J2118="심의승인",J2118="반려",J2118="반려완료",J2118="심의완료"),"종결 표시",IF(OR(J2118="기후부협의",J2118="문서재제출요청",J2118="보류",J2118="보완요청",J2118="보완완료",J2118="평가중",J2118="반려요청",J2118="평가필요",LEFT(J2118,5)="보완요청("),"미종결 표시","상태 확인 필요"))</x:f>
        <x:v>미종결 표시</x:v>
      </x:c>
      <x:c r="L2118" s="2" t="str">
        <x:v>에코시안_조은지</x:v>
      </x:c>
      <x:c r="M2118" s="2"/>
      <x:c r="N2118" s="8" t="n">
        <x:f>DATE(2026,10,15)-DATE(2019,11,18)</x:f>
        <x:v>2523</x:v>
      </x:c>
      <x:c r="O2118" s="2"/>
      <x:c r="P2118" s="2"/>
      <x:c r="Q2118" s="2" t="str">
        <x:v>산업전환_외부사업관리Tool_260707_이너젠 수정_LJY_261013.xlsx</x:v>
      </x:c>
      <x:c r="R2118" s="2" t="str">
        <x:v>국내인증</x:v>
      </x:c>
      <x:c r="S2118" s="8" t="n">
        <x:v>436</x:v>
      </x:c>
      <x:c r="T2118" s="2" t="str">
        <x:v>(6/28),(11/2)</x:v>
      </x:c>
      <x:c r="U2118" s="2" t="str">
        <x:v>2021 배정: (6/28),(11/2) / 2022 배정: (5/18),(12/27) / 2023 배정: (4/3)</x:v>
      </x:c>
      <x:c r="V2118" s="2" t="str">
        <x:v>2023-04-21</x:v>
      </x:c>
      <x:c r="W2118" s="2" t="str"/>
      <x:c r="X2118" s="2" t="str">
        <x:v>보완 회신 일정 확인</x:v>
      </x:c>
      <x:c r="Y2118" s="2" t="str">
        <x:v>ad210cd9ec132cfd447541c8984dc53d30aff0f4fb2dc92d254d49275cc55976</x:v>
      </x:c>
      <x:c r="Z2118" s="2" t="n">
        <x:f>SUBTOTAL(103,A2118)</x:f>
        <x:v>1</x:v>
      </x:c>
      <x:c r="AA2118" s="2" t="str">
        <x:f>IF(K2118&lt;&gt;"미종결 표시","대상 아님",IF(N2118="","신청일 확인",IF(NOT(ISNUMBER('종합 현황'!$H$5)),"관찰기준 확인",IF('종합 현황'!$H$5&lt;1,"관찰기준 확인",IF(N2118&gt;'종합 현황'!$H$5,"내부 관찰 대상","내부 관찰일 이하")))))</x:f>
        <x:v>내부 관찰 대상</x:v>
      </x:c>
      <x:c r="AB2118" s="2"/>
    </x:row>
    <x:row r="2119" ht="42" customHeight="1">
      <x:c r="A2119" s="2" t="str">
        <x:v>568ffdc9193580e359dbfdc9</x:v>
      </x:c>
      <x:c r="B2119" s="2" t="str">
        <x:v>감축량 인증</x:v>
      </x:c>
      <x:c r="C2119" s="2" t="str">
        <x:v>국내</x:v>
      </x:c>
      <x:c r="D2119" s="7" t="str">
        <x:v>신명염색 버너교체 연료전환(B-C유 → LPG)을 통한 온실가스 감축 사업</x:v>
      </x:c>
      <x:c r="E2119" s="2" t="str">
        <x:v>359</x:v>
      </x:c>
      <x:c r="F2119" s="2"/>
      <x:c r="G2119" s="2" t="str">
        <x:v>미확보</x:v>
      </x:c>
      <x:c r="H2119" s="2" t="str">
        <x:v>미확보</x:v>
      </x:c>
      <x:c r="I2119" s="2" t="str">
        <x:v>심의승인</x:v>
      </x:c>
      <x:c r="J2119" s="2" t="str">
        <x:v>심의승인</x:v>
      </x:c>
      <x:c r="K2119" s="2" t="str">
        <x:f>IF(OR(J2119="심의승인",J2119="반려",J2119="반려완료",J2119="심의완료"),"종결 표시",IF(OR(J2119="기후부협의",J2119="문서재제출요청",J2119="보류",J2119="보완요청",J2119="보완완료",J2119="평가중",J2119="반려요청",J2119="평가필요",LEFT(J2119,5)="보완요청("),"미종결 표시","상태 확인 필요"))</x:f>
        <x:v>종결 표시</x:v>
      </x:c>
      <x:c r="L2119" s="2"/>
      <x:c r="M2119" s="2"/>
      <x:c r="N2119" s="8"/>
      <x:c r="O2119" s="2"/>
      <x:c r="P2119" s="2"/>
      <x:c r="Q2119" s="2" t="str">
        <x:v>산업전환_외부사업관리Tool_260707_이너젠 수정_LJY_261013.xlsx</x:v>
      </x:c>
      <x:c r="R2119" s="2" t="str">
        <x:v>국내인증</x:v>
      </x:c>
      <x:c r="S2119" s="8" t="n">
        <x:v>437</x:v>
      </x:c>
      <x:c r="T2119" s="2" t="str">
        <x:v>2021년 처리</x:v>
      </x:c>
      <x:c r="U2119" s="2" t="str">
        <x:v>2021 배정: 2021년 처리</x:v>
      </x:c>
      <x:c r="V2119" s="2" t="str">
        <x:v>2021-07-08</x:v>
      </x:c>
      <x:c r="W2119" s="2" t="str">
        <x:v>신청일 확인 / 담당기관 확인</x:v>
      </x:c>
      <x:c r="X2119" s="2" t="str">
        <x:v>원본·배정 기록 확인</x:v>
      </x:c>
      <x:c r="Y2119" s="2" t="str">
        <x:v>ad210cd9ec132cfd447541c8984dc53d30aff0f4fb2dc92d254d49275cc55976</x:v>
      </x:c>
      <x:c r="Z2119" s="2" t="n">
        <x:f>SUBTOTAL(103,A2119)</x:f>
        <x:v>1</x:v>
      </x:c>
      <x:c r="AA2119" s="2" t="str">
        <x:f>IF(K2119&lt;&gt;"미종결 표시","대상 아님",IF(N2119="","신청일 확인",IF(NOT(ISNUMBER('종합 현황'!$H$5)),"관찰기준 확인",IF('종합 현황'!$H$5&lt;1,"관찰기준 확인",IF(N2119&gt;'종합 현황'!$H$5,"내부 관찰 대상","내부 관찰일 이하")))))</x:f>
        <x:v>대상 아님</x:v>
      </x:c>
      <x:c r="AB2119" s="2"/>
    </x:row>
    <x:row r="2120" ht="42" customHeight="1">
      <x:c r="A2120" s="2" t="str">
        <x:v>1da0a41ea572d67969906ef4</x:v>
      </x:c>
      <x:c r="B2120" s="2" t="str">
        <x:v>감축량 인증</x:v>
      </x:c>
      <x:c r="C2120" s="2" t="str">
        <x:v>국내</x:v>
      </x:c>
      <x:c r="D2120" s="7" t="str">
        <x:v>신원아이엔티 버너교체 연료전환(B-C유 → LPG)을 통한 온실가스 감축 사업</x:v>
      </x:c>
      <x:c r="E2120" s="2" t="str">
        <x:v>360</x:v>
      </x:c>
      <x:c r="F2120" s="2"/>
      <x:c r="G2120" s="2" t="str">
        <x:v>미확보</x:v>
      </x:c>
      <x:c r="H2120" s="2" t="str">
        <x:v>미확보</x:v>
      </x:c>
      <x:c r="I2120" s="2" t="str">
        <x:v>심의승인</x:v>
      </x:c>
      <x:c r="J2120" s="2" t="str">
        <x:v>심의승인</x:v>
      </x:c>
      <x:c r="K2120" s="2" t="str">
        <x:f>IF(OR(J2120="심의승인",J2120="반려",J2120="반려완료",J2120="심의완료"),"종결 표시",IF(OR(J2120="기후부협의",J2120="문서재제출요청",J2120="보류",J2120="보완요청",J2120="보완완료",J2120="평가중",J2120="반려요청",J2120="평가필요",LEFT(J2120,5)="보완요청("),"미종결 표시","상태 확인 필요"))</x:f>
        <x:v>종결 표시</x:v>
      </x:c>
      <x:c r="L2120" s="2"/>
      <x:c r="M2120" s="2"/>
      <x:c r="N2120" s="8"/>
      <x:c r="O2120" s="2"/>
      <x:c r="P2120" s="2"/>
      <x:c r="Q2120" s="2" t="str">
        <x:v>산업전환_외부사업관리Tool_260707_이너젠 수정_LJY_261013.xlsx</x:v>
      </x:c>
      <x:c r="R2120" s="2" t="str">
        <x:v>국내인증</x:v>
      </x:c>
      <x:c r="S2120" s="8" t="n">
        <x:v>438</x:v>
      </x:c>
      <x:c r="T2120" s="2" t="str">
        <x:v>(4/23),(5/26),(8/3)</x:v>
      </x:c>
      <x:c r="U2120" s="2" t="str">
        <x:v>2021 배정: (4/23),(5/26),(8/3)</x:v>
      </x:c>
      <x:c r="V2120" s="2" t="str">
        <x:v>2021-10-07</x:v>
      </x:c>
      <x:c r="W2120" s="2" t="str">
        <x:v>신청일 확인 / 담당기관 확인</x:v>
      </x:c>
      <x:c r="X2120" s="2" t="str">
        <x:v>원본·배정 기록 확인</x:v>
      </x:c>
      <x:c r="Y2120" s="2" t="str">
        <x:v>ad210cd9ec132cfd447541c8984dc53d30aff0f4fb2dc92d254d49275cc55976</x:v>
      </x:c>
      <x:c r="Z2120" s="2" t="n">
        <x:f>SUBTOTAL(103,A2120)</x:f>
        <x:v>1</x:v>
      </x:c>
      <x:c r="AA2120" s="2" t="str">
        <x:f>IF(K2120&lt;&gt;"미종결 표시","대상 아님",IF(N2120="","신청일 확인",IF(NOT(ISNUMBER('종합 현황'!$H$5)),"관찰기준 확인",IF('종합 현황'!$H$5&lt;1,"관찰기준 확인",IF(N2120&gt;'종합 현황'!$H$5,"내부 관찰 대상","내부 관찰일 이하")))))</x:f>
        <x:v>대상 아님</x:v>
      </x:c>
      <x:c r="AB2120" s="2"/>
    </x:row>
    <x:row r="2121" ht="42" customHeight="1">
      <x:c r="A2121" s="2" t="str">
        <x:v>cca3dc9412ad3e7dffecb45f</x:v>
      </x:c>
      <x:c r="B2121" s="2" t="str">
        <x:v>감축량 인증</x:v>
      </x:c>
      <x:c r="C2121" s="2" t="str">
        <x:v>국내</x:v>
      </x:c>
      <x:c r="D2121" s="7" t="str">
        <x:v>동원유지 목재펠릿 연료 전환을 통한 온실가스 감축사업</x:v>
      </x:c>
      <x:c r="E2121" s="2" t="str">
        <x:v>361</x:v>
      </x:c>
      <x:c r="F2121" s="2" t="str">
        <x:v>2019-11-14</x:v>
      </x:c>
      <x:c r="G2121" s="2" t="str">
        <x:v>2019</x:v>
      </x:c>
      <x:c r="H2121" s="2" t="str">
        <x:v>11</x:v>
      </x:c>
      <x:c r="I2121" s="2" t="str">
        <x:v>보완요청</x:v>
      </x:c>
      <x:c r="J2121" s="2" t="str">
        <x:v>보완요청</x:v>
      </x:c>
      <x:c r="K2121" s="2" t="str">
        <x:f>IF(OR(J2121="심의승인",J2121="반려",J2121="반려완료",J2121="심의완료"),"종결 표시",IF(OR(J2121="기후부협의",J2121="문서재제출요청",J2121="보류",J2121="보완요청",J2121="보완완료",J2121="평가중",J2121="반려요청",J2121="평가필요",LEFT(J2121,5)="보완요청("),"미종결 표시","상태 확인 필요"))</x:f>
        <x:v>미종결 표시</x:v>
      </x:c>
      <x:c r="L2121" s="2" t="str">
        <x:v>에코시안_조영우</x:v>
      </x:c>
      <x:c r="M2121" s="2"/>
      <x:c r="N2121" s="8" t="n">
        <x:f>DATE(2026,10,15)-DATE(2019,11,14)</x:f>
        <x:v>2527</x:v>
      </x:c>
      <x:c r="O2121" s="2"/>
      <x:c r="P2121" s="2" t="str">
        <x:v>마지막 이행연도인 5차년에 대해 별도 신청 필요 안내 완료(모니터링 기간 1개월 초과)</x:v>
      </x:c>
      <x:c r="Q2121" s="2" t="str">
        <x:v>산업전환_외부사업관리Tool_260707_이너젠 수정_LJY_261013.xlsx</x:v>
      </x:c>
      <x:c r="R2121" s="2" t="str">
        <x:v>국내인증</x:v>
      </x:c>
      <x:c r="S2121" s="8" t="n">
        <x:v>439</x:v>
      </x:c>
      <x:c r="T2121" s="2" t="str">
        <x:v>(6/28),(11/2)</x:v>
      </x:c>
      <x:c r="U2121" s="2" t="str">
        <x:v>2021 배정: (6/28),(11/2) / 2022 배정: (4/19),(12/27)</x:v>
      </x:c>
      <x:c r="V2121" s="2" t="str">
        <x:v>2023-01-26</x:v>
      </x:c>
      <x:c r="W2121" s="2" t="str"/>
      <x:c r="X2121" s="2" t="str">
        <x:v>보완 회신 일정 확인</x:v>
      </x:c>
      <x:c r="Y2121" s="2" t="str">
        <x:v>ad210cd9ec132cfd447541c8984dc53d30aff0f4fb2dc92d254d49275cc55976</x:v>
      </x:c>
      <x:c r="Z2121" s="2" t="n">
        <x:f>SUBTOTAL(103,A2121)</x:f>
        <x:v>1</x:v>
      </x:c>
      <x:c r="AA2121" s="2" t="str">
        <x:f>IF(K2121&lt;&gt;"미종결 표시","대상 아님",IF(N2121="","신청일 확인",IF(NOT(ISNUMBER('종합 현황'!$H$5)),"관찰기준 확인",IF('종합 현황'!$H$5&lt;1,"관찰기준 확인",IF(N2121&gt;'종합 현황'!$H$5,"내부 관찰 대상","내부 관찰일 이하")))))</x:f>
        <x:v>내부 관찰 대상</x:v>
      </x:c>
      <x:c r="AB2121" s="2"/>
    </x:row>
    <x:row r="2122" ht="42" customHeight="1">
      <x:c r="A2122" s="2" t="str">
        <x:v>66d6eef42921f2d8a2ec6832</x:v>
      </x:c>
      <x:c r="B2122" s="2" t="str">
        <x:v>감축량 인증</x:v>
      </x:c>
      <x:c r="C2122" s="2" t="str">
        <x:v>국내</x:v>
      </x:c>
      <x:c r="D2122" s="7" t="str">
        <x:v>영광아스콘(주) 버너연료를 B-C유 에서 LNG로 연료 전환 하는 온실가스 감축사업</x:v>
      </x:c>
      <x:c r="E2122" s="2" t="str">
        <x:v>362</x:v>
      </x:c>
      <x:c r="F2122" s="2"/>
      <x:c r="G2122" s="2" t="str">
        <x:v>미확보</x:v>
      </x:c>
      <x:c r="H2122" s="2" t="str">
        <x:v>미확보</x:v>
      </x:c>
      <x:c r="I2122" s="2" t="str">
        <x:v>심의승인</x:v>
      </x:c>
      <x:c r="J2122" s="2" t="str">
        <x:v>심의승인</x:v>
      </x:c>
      <x:c r="K2122" s="2" t="str">
        <x:f>IF(OR(J2122="심의승인",J2122="반려",J2122="반려완료",J2122="심의완료"),"종결 표시",IF(OR(J2122="기후부협의",J2122="문서재제출요청",J2122="보류",J2122="보완요청",J2122="보완완료",J2122="평가중",J2122="반려요청",J2122="평가필요",LEFT(J2122,5)="보완요청("),"미종결 표시","상태 확인 필요"))</x:f>
        <x:v>종결 표시</x:v>
      </x:c>
      <x:c r="L2122" s="2"/>
      <x:c r="M2122" s="2"/>
      <x:c r="N2122" s="8"/>
      <x:c r="O2122" s="2"/>
      <x:c r="P2122" s="2"/>
      <x:c r="Q2122" s="2" t="str">
        <x:v>산업전환_외부사업관리Tool_260707_이너젠 수정_LJY_261013.xlsx</x:v>
      </x:c>
      <x:c r="R2122" s="2" t="str">
        <x:v>국내인증</x:v>
      </x:c>
      <x:c r="S2122" s="8" t="n">
        <x:v>440</x:v>
      </x:c>
      <x:c r="T2122" s="2" t="str">
        <x:v>(6/28)</x:v>
      </x:c>
      <x:c r="U2122" s="2" t="str">
        <x:v>2021 배정: (6/28)</x:v>
      </x:c>
      <x:c r="V2122" s="2" t="str">
        <x:v>2021-10-07</x:v>
      </x:c>
      <x:c r="W2122" s="2" t="str">
        <x:v>신청일 확인 / 담당기관 확인</x:v>
      </x:c>
      <x:c r="X2122" s="2" t="str">
        <x:v>원본·배정 기록 확인</x:v>
      </x:c>
      <x:c r="Y2122" s="2" t="str">
        <x:v>ad210cd9ec132cfd447541c8984dc53d30aff0f4fb2dc92d254d49275cc55976</x:v>
      </x:c>
      <x:c r="Z2122" s="2" t="n">
        <x:f>SUBTOTAL(103,A2122)</x:f>
        <x:v>1</x:v>
      </x:c>
      <x:c r="AA2122" s="2" t="str">
        <x:f>IF(K2122&lt;&gt;"미종결 표시","대상 아님",IF(N2122="","신청일 확인",IF(NOT(ISNUMBER('종합 현황'!$H$5)),"관찰기준 확인",IF('종합 현황'!$H$5&lt;1,"관찰기준 확인",IF(N2122&gt;'종합 현황'!$H$5,"내부 관찰 대상","내부 관찰일 이하")))))</x:f>
        <x:v>대상 아님</x:v>
      </x:c>
      <x:c r="AB2122" s="2"/>
    </x:row>
    <x:row r="2123" ht="42" customHeight="1">
      <x:c r="A2123" s="2" t="str">
        <x:v>e13ed5ca5ebdef18c5d50fe6</x:v>
      </x:c>
      <x:c r="B2123" s="2" t="str">
        <x:v>감축량 인증</x:v>
      </x:c>
      <x:c r="C2123" s="2" t="str">
        <x:v>국내</x:v>
      </x:c>
      <x:c r="D2123" s="7" t="str">
        <x:v>풀무원 음성 두부공장 목재펠릿 연료 전환을 통한 온실가스 감축사업</x:v>
      </x:c>
      <x:c r="E2123" s="2" t="str">
        <x:v>363</x:v>
      </x:c>
      <x:c r="F2123" s="2"/>
      <x:c r="G2123" s="2" t="str">
        <x:v>미확보</x:v>
      </x:c>
      <x:c r="H2123" s="2" t="str">
        <x:v>미확보</x:v>
      </x:c>
      <x:c r="I2123" s="2" t="str">
        <x:v>심의승인</x:v>
      </x:c>
      <x:c r="J2123" s="2" t="str">
        <x:v>심의승인</x:v>
      </x:c>
      <x:c r="K2123" s="2" t="str">
        <x:f>IF(OR(J2123="심의승인",J2123="반려",J2123="반려완료",J2123="심의완료"),"종결 표시",IF(OR(J2123="기후부협의",J2123="문서재제출요청",J2123="보류",J2123="보완요청",J2123="보완완료",J2123="평가중",J2123="반려요청",J2123="평가필요",LEFT(J2123,5)="보완요청("),"미종결 표시","상태 확인 필요"))</x:f>
        <x:v>종결 표시</x:v>
      </x:c>
      <x:c r="L2123" s="2"/>
      <x:c r="M2123" s="2"/>
      <x:c r="N2123" s="8"/>
      <x:c r="O2123" s="2"/>
      <x:c r="P2123" s="2"/>
      <x:c r="Q2123" s="2" t="str">
        <x:v>산업전환_외부사업관리Tool_260707_이너젠 수정_LJY_261013.xlsx</x:v>
      </x:c>
      <x:c r="R2123" s="2" t="str">
        <x:v>국내인증</x:v>
      </x:c>
      <x:c r="S2123" s="8" t="n">
        <x:v>441</x:v>
      </x:c>
      <x:c r="T2123" s="2" t="str">
        <x:v>(4/23),(6/28)</x:v>
      </x:c>
      <x:c r="U2123" s="2" t="str">
        <x:v>2021 배정: (4/23),(6/28)</x:v>
      </x:c>
      <x:c r="V2123" s="2" t="str">
        <x:v>2021-10-07</x:v>
      </x:c>
      <x:c r="W2123" s="2" t="str">
        <x:v>신청일 확인 / 담당기관 확인</x:v>
      </x:c>
      <x:c r="X2123" s="2" t="str">
        <x:v>원본·배정 기록 확인</x:v>
      </x:c>
      <x:c r="Y2123" s="2" t="str">
        <x:v>ad210cd9ec132cfd447541c8984dc53d30aff0f4fb2dc92d254d49275cc55976</x:v>
      </x:c>
      <x:c r="Z2123" s="2" t="n">
        <x:f>SUBTOTAL(103,A2123)</x:f>
        <x:v>1</x:v>
      </x:c>
      <x:c r="AA2123" s="2" t="str">
        <x:f>IF(K2123&lt;&gt;"미종결 표시","대상 아님",IF(N2123="","신청일 확인",IF(NOT(ISNUMBER('종합 현황'!$H$5)),"관찰기준 확인",IF('종합 현황'!$H$5&lt;1,"관찰기준 확인",IF(N2123&gt;'종합 현황'!$H$5,"내부 관찰 대상","내부 관찰일 이하")))))</x:f>
        <x:v>대상 아님</x:v>
      </x:c>
      <x:c r="AB2123" s="2"/>
    </x:row>
    <x:row r="2124" ht="42" customHeight="1">
      <x:c r="A2124" s="2" t="str">
        <x:v>93d4390a9e18dc2f32689d04</x:v>
      </x:c>
      <x:c r="B2124" s="2" t="str">
        <x:v>감축량 인증</x:v>
      </x:c>
      <x:c r="C2124" s="2" t="str">
        <x:v>국내</x:v>
      </x:c>
      <x:c r="D2124" s="7" t="str">
        <x:v>피피이씨의령 두부공장 목재펠릿 연료 전환을 통한 온실가스 감축사업</x:v>
      </x:c>
      <x:c r="E2124" s="2" t="str">
        <x:v>364</x:v>
      </x:c>
      <x:c r="F2124" s="2"/>
      <x:c r="G2124" s="2" t="str">
        <x:v>미확보</x:v>
      </x:c>
      <x:c r="H2124" s="2" t="str">
        <x:v>미확보</x:v>
      </x:c>
      <x:c r="I2124" s="2" t="str">
        <x:v>심의승인</x:v>
      </x:c>
      <x:c r="J2124" s="2" t="str">
        <x:v>심의승인</x:v>
      </x:c>
      <x:c r="K2124" s="2" t="str">
        <x:f>IF(OR(J2124="심의승인",J2124="반려",J2124="반려완료",J2124="심의완료"),"종결 표시",IF(OR(J2124="기후부협의",J2124="문서재제출요청",J2124="보류",J2124="보완요청",J2124="보완완료",J2124="평가중",J2124="반려요청",J2124="평가필요",LEFT(J2124,5)="보완요청("),"미종결 표시","상태 확인 필요"))</x:f>
        <x:v>종결 표시</x:v>
      </x:c>
      <x:c r="L2124" s="2"/>
      <x:c r="M2124" s="2"/>
      <x:c r="N2124" s="8"/>
      <x:c r="O2124" s="2"/>
      <x:c r="P2124" s="2"/>
      <x:c r="Q2124" s="2" t="str">
        <x:v>산업전환_외부사업관리Tool_260707_이너젠 수정_LJY_261013.xlsx</x:v>
      </x:c>
      <x:c r="R2124" s="2" t="str">
        <x:v>국내인증</x:v>
      </x:c>
      <x:c r="S2124" s="8" t="n">
        <x:v>442</x:v>
      </x:c>
      <x:c r="T2124" s="2" t="str">
        <x:v>(9/1)</x:v>
      </x:c>
      <x:c r="U2124" s="2" t="str">
        <x:v>2021 배정: (9/1)</x:v>
      </x:c>
      <x:c r="V2124" s="2" t="str">
        <x:v>2022-01-17</x:v>
      </x:c>
      <x:c r="W2124" s="2" t="str">
        <x:v>신청일 확인 / 담당기관 확인</x:v>
      </x:c>
      <x:c r="X2124" s="2" t="str">
        <x:v>원본·배정 기록 확인</x:v>
      </x:c>
      <x:c r="Y2124" s="2" t="str">
        <x:v>ad210cd9ec132cfd447541c8984dc53d30aff0f4fb2dc92d254d49275cc55976</x:v>
      </x:c>
      <x:c r="Z2124" s="2" t="n">
        <x:f>SUBTOTAL(103,A2124)</x:f>
        <x:v>1</x:v>
      </x:c>
      <x:c r="AA2124" s="2" t="str">
        <x:f>IF(K2124&lt;&gt;"미종결 표시","대상 아님",IF(N2124="","신청일 확인",IF(NOT(ISNUMBER('종합 현황'!$H$5)),"관찰기준 확인",IF('종합 현황'!$H$5&lt;1,"관찰기준 확인",IF(N2124&gt;'종합 현황'!$H$5,"내부 관찰 대상","내부 관찰일 이하")))))</x:f>
        <x:v>대상 아님</x:v>
      </x:c>
      <x:c r="AB2124" s="2"/>
    </x:row>
    <x:row r="2125" ht="42" customHeight="1">
      <x:c r="A2125" s="2" t="str">
        <x:v>f4fb1a89b1360f4cb67c664c</x:v>
      </x:c>
      <x:c r="B2125" s="2" t="str">
        <x:v>감축량 인증</x:v>
      </x:c>
      <x:c r="C2125" s="2" t="str">
        <x:v>국내</x:v>
      </x:c>
      <x:c r="D2125" s="7" t="str">
        <x:v>스팀보일러와 열매보일러의 연료를 B-C유에서 LNG로 연료 전환하는 온실가스(CO2) 감축사업</x:v>
      </x:c>
      <x:c r="E2125" s="2" t="str">
        <x:v>365</x:v>
      </x:c>
      <x:c r="F2125" s="2"/>
      <x:c r="G2125" s="2" t="str">
        <x:v>미확보</x:v>
      </x:c>
      <x:c r="H2125" s="2" t="str">
        <x:v>미확보</x:v>
      </x:c>
      <x:c r="I2125" s="2" t="str">
        <x:v>심의승인</x:v>
      </x:c>
      <x:c r="J2125" s="2" t="str">
        <x:v>심의승인</x:v>
      </x:c>
      <x:c r="K2125" s="2" t="str">
        <x:f>IF(OR(J2125="심의승인",J2125="반려",J2125="반려완료",J2125="심의완료"),"종결 표시",IF(OR(J2125="기후부협의",J2125="문서재제출요청",J2125="보류",J2125="보완요청",J2125="보완완료",J2125="평가중",J2125="반려요청",J2125="평가필요",LEFT(J2125,5)="보완요청("),"미종결 표시","상태 확인 필요"))</x:f>
        <x:v>종결 표시</x:v>
      </x:c>
      <x:c r="L2125" s="2"/>
      <x:c r="M2125" s="2"/>
      <x:c r="N2125" s="8"/>
      <x:c r="O2125" s="2"/>
      <x:c r="P2125" s="2"/>
      <x:c r="Q2125" s="2" t="str">
        <x:v>산업전환_외부사업관리Tool_260707_이너젠 수정_LJY_261013.xlsx</x:v>
      </x:c>
      <x:c r="R2125" s="2" t="str">
        <x:v>국내인증</x:v>
      </x:c>
      <x:c r="S2125" s="8" t="n">
        <x:v>443</x:v>
      </x:c>
      <x:c r="T2125" s="2"/>
      <x:c r="U2125" s="2" t="str"/>
      <x:c r="V2125" s="2" t="str">
        <x:v>2020-10-27</x:v>
      </x:c>
      <x:c r="W2125" s="2" t="str">
        <x:v>신청일 확인 / 담당기관 확인</x:v>
      </x:c>
      <x:c r="X2125" s="2" t="str">
        <x:v>원본·배정 기록 확인</x:v>
      </x:c>
      <x:c r="Y2125" s="2" t="str">
        <x:v>ad210cd9ec132cfd447541c8984dc53d30aff0f4fb2dc92d254d49275cc55976</x:v>
      </x:c>
      <x:c r="Z2125" s="2" t="n">
        <x:f>SUBTOTAL(103,A2125)</x:f>
        <x:v>1</x:v>
      </x:c>
      <x:c r="AA2125" s="2" t="str">
        <x:f>IF(K2125&lt;&gt;"미종결 표시","대상 아님",IF(N2125="","신청일 확인",IF(NOT(ISNUMBER('종합 현황'!$H$5)),"관찰기준 확인",IF('종합 현황'!$H$5&lt;1,"관찰기준 확인",IF(N2125&gt;'종합 현황'!$H$5,"내부 관찰 대상","내부 관찰일 이하")))))</x:f>
        <x:v>대상 아님</x:v>
      </x:c>
      <x:c r="AB2125" s="2"/>
    </x:row>
    <x:row r="2126" ht="42" customHeight="1">
      <x:c r="A2126" s="2" t="str">
        <x:v>8444a26d246dda89528e42d6</x:v>
      </x:c>
      <x:c r="B2126" s="2" t="str">
        <x:v>감축량 인증</x:v>
      </x:c>
      <x:c r="C2126" s="2" t="str">
        <x:v>국내</x:v>
      </x:c>
      <x:c r="D2126" s="7" t="str">
        <x:v>세흥 목재펠릿 보일러 설치를 통한 온실가스 감축사업</x:v>
      </x:c>
      <x:c r="E2126" s="2" t="str">
        <x:v>366</x:v>
      </x:c>
      <x:c r="F2126" s="2"/>
      <x:c r="G2126" s="2" t="str">
        <x:v>미확보</x:v>
      </x:c>
      <x:c r="H2126" s="2" t="str">
        <x:v>미확보</x:v>
      </x:c>
      <x:c r="I2126" s="2" t="str">
        <x:v>심의승인</x:v>
      </x:c>
      <x:c r="J2126" s="2" t="str">
        <x:v>심의승인</x:v>
      </x:c>
      <x:c r="K2126" s="2" t="str">
        <x:f>IF(OR(J2126="심의승인",J2126="반려",J2126="반려완료",J2126="심의완료"),"종결 표시",IF(OR(J2126="기후부협의",J2126="문서재제출요청",J2126="보류",J2126="보완요청",J2126="보완완료",J2126="평가중",J2126="반려요청",J2126="평가필요",LEFT(J2126,5)="보완요청("),"미종결 표시","상태 확인 필요"))</x:f>
        <x:v>종결 표시</x:v>
      </x:c>
      <x:c r="L2126" s="2"/>
      <x:c r="M2126" s="2"/>
      <x:c r="N2126" s="8"/>
      <x:c r="O2126" s="2"/>
      <x:c r="P2126" s="2"/>
      <x:c r="Q2126" s="2" t="str">
        <x:v>산업전환_외부사업관리Tool_260707_이너젠 수정_LJY_261013.xlsx</x:v>
      </x:c>
      <x:c r="R2126" s="2" t="str">
        <x:v>국내인증</x:v>
      </x:c>
      <x:c r="S2126" s="8" t="n">
        <x:v>444</x:v>
      </x:c>
      <x:c r="T2126" s="2" t="str">
        <x:v>(6/28),(9/1)</x:v>
      </x:c>
      <x:c r="U2126" s="2" t="str">
        <x:v>2021 배정: (6/28),(9/1)</x:v>
      </x:c>
      <x:c r="V2126" s="2" t="str">
        <x:v>2022-01-17</x:v>
      </x:c>
      <x:c r="W2126" s="2" t="str">
        <x:v>신청일 확인 / 담당기관 확인</x:v>
      </x:c>
      <x:c r="X2126" s="2" t="str">
        <x:v>원본·배정 기록 확인</x:v>
      </x:c>
      <x:c r="Y2126" s="2" t="str">
        <x:v>ad210cd9ec132cfd447541c8984dc53d30aff0f4fb2dc92d254d49275cc55976</x:v>
      </x:c>
      <x:c r="Z2126" s="2" t="n">
        <x:f>SUBTOTAL(103,A2126)</x:f>
        <x:v>1</x:v>
      </x:c>
      <x:c r="AA2126" s="2" t="str">
        <x:f>IF(K2126&lt;&gt;"미종결 표시","대상 아님",IF(N2126="","신청일 확인",IF(NOT(ISNUMBER('종합 현황'!$H$5)),"관찰기준 확인",IF('종합 현황'!$H$5&lt;1,"관찰기준 확인",IF(N2126&gt;'종합 현황'!$H$5,"내부 관찰 대상","내부 관찰일 이하")))))</x:f>
        <x:v>대상 아님</x:v>
      </x:c>
      <x:c r="AB2126" s="2"/>
    </x:row>
    <x:row r="2127" ht="42" customHeight="1">
      <x:c r="A2127" s="2" t="str">
        <x:v>07aef3d5f5a65bbcc3a98a8e</x:v>
      </x:c>
      <x:c r="B2127" s="2" t="str">
        <x:v>감축량 인증</x:v>
      </x:c>
      <x:c r="C2127" s="2" t="str">
        <x:v>국내</x:v>
      </x:c>
      <x:c r="D2127" s="7" t="str">
        <x:v>(주)​ 청우식품 보일러 연료전환(B-C유 &gt;목재펠릿)을  통한 온실가스(CO2)배출 감축사업</x:v>
      </x:c>
      <x:c r="E2127" s="2" t="str">
        <x:v>367</x:v>
      </x:c>
      <x:c r="F2127" s="2"/>
      <x:c r="G2127" s="2" t="str">
        <x:v>미확보</x:v>
      </x:c>
      <x:c r="H2127" s="2" t="str">
        <x:v>미확보</x:v>
      </x:c>
      <x:c r="I2127" s="2" t="str">
        <x:v>심의승인</x:v>
      </x:c>
      <x:c r="J2127" s="2" t="str">
        <x:v>심의승인</x:v>
      </x:c>
      <x:c r="K2127" s="2" t="str">
        <x:f>IF(OR(J2127="심의승인",J2127="반려",J2127="반려완료",J2127="심의완료"),"종결 표시",IF(OR(J2127="기후부협의",J2127="문서재제출요청",J2127="보류",J2127="보완요청",J2127="보완완료",J2127="평가중",J2127="반려요청",J2127="평가필요",LEFT(J2127,5)="보완요청("),"미종결 표시","상태 확인 필요"))</x:f>
        <x:v>종결 표시</x:v>
      </x:c>
      <x:c r="L2127" s="2"/>
      <x:c r="M2127" s="2"/>
      <x:c r="N2127" s="8"/>
      <x:c r="O2127" s="2"/>
      <x:c r="P2127" s="2"/>
      <x:c r="Q2127" s="2" t="str">
        <x:v>산업전환_외부사업관리Tool_260707_이너젠 수정_LJY_261013.xlsx</x:v>
      </x:c>
      <x:c r="R2127" s="2" t="str">
        <x:v>국내인증</x:v>
      </x:c>
      <x:c r="S2127" s="8" t="n">
        <x:v>445</x:v>
      </x:c>
      <x:c r="T2127" s="2" t="str">
        <x:v>2021년 처리</x:v>
      </x:c>
      <x:c r="U2127" s="2" t="str">
        <x:v>2021 배정: 2021년 처리</x:v>
      </x:c>
      <x:c r="V2127" s="2" t="str">
        <x:v>2021-06-21</x:v>
      </x:c>
      <x:c r="W2127" s="2" t="str">
        <x:v>신청일 확인 / 담당기관 확인</x:v>
      </x:c>
      <x:c r="X2127" s="2" t="str">
        <x:v>원본·배정 기록 확인</x:v>
      </x:c>
      <x:c r="Y2127" s="2" t="str">
        <x:v>ad210cd9ec132cfd447541c8984dc53d30aff0f4fb2dc92d254d49275cc55976</x:v>
      </x:c>
      <x:c r="Z2127" s="2" t="n">
        <x:f>SUBTOTAL(103,A2127)</x:f>
        <x:v>1</x:v>
      </x:c>
      <x:c r="AA2127" s="2" t="str">
        <x:f>IF(K2127&lt;&gt;"미종결 표시","대상 아님",IF(N2127="","신청일 확인",IF(NOT(ISNUMBER('종합 현황'!$H$5)),"관찰기준 확인",IF('종합 현황'!$H$5&lt;1,"관찰기준 확인",IF(N2127&gt;'종합 현황'!$H$5,"내부 관찰 대상","내부 관찰일 이하")))))</x:f>
        <x:v>대상 아님</x:v>
      </x:c>
      <x:c r="AB2127" s="2"/>
    </x:row>
    <x:row r="2128" ht="42" customHeight="1">
      <x:c r="A2128" s="2" t="str">
        <x:v>58a8f8fe3e8f5201a7acab2c</x:v>
      </x:c>
      <x:c r="B2128" s="2" t="str">
        <x:v>감축량 인증</x:v>
      </x:c>
      <x:c r="C2128" s="2" t="str">
        <x:v>국내</x:v>
      </x:c>
      <x:c r="D2128" s="7" t="str">
        <x:v>스팀보일러의 연료전환(부생연료유, B-C유→LNG)을 통해 CO2 배출을 감축하는 사업</x:v>
      </x:c>
      <x:c r="E2128" s="2" t="str">
        <x:v>368</x:v>
      </x:c>
      <x:c r="F2128" s="2"/>
      <x:c r="G2128" s="2" t="str">
        <x:v>미확보</x:v>
      </x:c>
      <x:c r="H2128" s="2" t="str">
        <x:v>미확보</x:v>
      </x:c>
      <x:c r="I2128" s="2" t="str">
        <x:v>심의승인</x:v>
      </x:c>
      <x:c r="J2128" s="2" t="str">
        <x:v>심의승인</x:v>
      </x:c>
      <x:c r="K2128" s="2" t="str">
        <x:f>IF(OR(J2128="심의승인",J2128="반려",J2128="반려완료",J2128="심의완료"),"종결 표시",IF(OR(J2128="기후부협의",J2128="문서재제출요청",J2128="보류",J2128="보완요청",J2128="보완완료",J2128="평가중",J2128="반려요청",J2128="평가필요",LEFT(J2128,5)="보완요청("),"미종결 표시","상태 확인 필요"))</x:f>
        <x:v>종결 표시</x:v>
      </x:c>
      <x:c r="L2128" s="2"/>
      <x:c r="M2128" s="2"/>
      <x:c r="N2128" s="8"/>
      <x:c r="O2128" s="2"/>
      <x:c r="P2128" s="2"/>
      <x:c r="Q2128" s="2" t="str">
        <x:v>산업전환_외부사업관리Tool_260707_이너젠 수정_LJY_261013.xlsx</x:v>
      </x:c>
      <x:c r="R2128" s="2" t="str">
        <x:v>국내인증</x:v>
      </x:c>
      <x:c r="S2128" s="8" t="n">
        <x:v>446</x:v>
      </x:c>
      <x:c r="T2128" s="2"/>
      <x:c r="U2128" s="2" t="str"/>
      <x:c r="V2128" s="2" t="str">
        <x:v>2020-10-27</x:v>
      </x:c>
      <x:c r="W2128" s="2" t="str">
        <x:v>신청일 확인 / 담당기관 확인</x:v>
      </x:c>
      <x:c r="X2128" s="2" t="str">
        <x:v>원본·배정 기록 확인</x:v>
      </x:c>
      <x:c r="Y2128" s="2" t="str">
        <x:v>ad210cd9ec132cfd447541c8984dc53d30aff0f4fb2dc92d254d49275cc55976</x:v>
      </x:c>
      <x:c r="Z2128" s="2" t="n">
        <x:f>SUBTOTAL(103,A2128)</x:f>
        <x:v>1</x:v>
      </x:c>
      <x:c r="AA2128" s="2" t="str">
        <x:f>IF(K2128&lt;&gt;"미종결 표시","대상 아님",IF(N2128="","신청일 확인",IF(NOT(ISNUMBER('종합 현황'!$H$5)),"관찰기준 확인",IF('종합 현황'!$H$5&lt;1,"관찰기준 확인",IF(N2128&gt;'종합 현황'!$H$5,"내부 관찰 대상","내부 관찰일 이하")))))</x:f>
        <x:v>대상 아님</x:v>
      </x:c>
      <x:c r="AB2128" s="2"/>
    </x:row>
    <x:row r="2129" ht="42" customHeight="1">
      <x:c r="A2129" s="2" t="str">
        <x:v>86d5652e0e0911040d761851</x:v>
      </x:c>
      <x:c r="B2129" s="2" t="str">
        <x:v>감축량 인증</x:v>
      </x:c>
      <x:c r="C2129" s="2" t="str">
        <x:v>국내</x:v>
      </x:c>
      <x:c r="D2129" s="7" t="str">
        <x:v>(주)에버텍 스팀보일러의 연료교체(B-C유 등→LNG)를 통한 온실가스(CO2) 배출 감축사업</x:v>
      </x:c>
      <x:c r="E2129" s="2" t="str">
        <x:v>369</x:v>
      </x:c>
      <x:c r="F2129" s="2"/>
      <x:c r="G2129" s="2" t="str">
        <x:v>미확보</x:v>
      </x:c>
      <x:c r="H2129" s="2" t="str">
        <x:v>미확보</x:v>
      </x:c>
      <x:c r="I2129" s="2" t="str">
        <x:v>심의승인</x:v>
      </x:c>
      <x:c r="J2129" s="2" t="str">
        <x:v>심의승인</x:v>
      </x:c>
      <x:c r="K2129" s="2" t="str">
        <x:f>IF(OR(J2129="심의승인",J2129="반려",J2129="반려완료",J2129="심의완료"),"종결 표시",IF(OR(J2129="기후부협의",J2129="문서재제출요청",J2129="보류",J2129="보완요청",J2129="보완완료",J2129="평가중",J2129="반려요청",J2129="평가필요",LEFT(J2129,5)="보완요청("),"미종결 표시","상태 확인 필요"))</x:f>
        <x:v>종결 표시</x:v>
      </x:c>
      <x:c r="L2129" s="2"/>
      <x:c r="M2129" s="2"/>
      <x:c r="N2129" s="8"/>
      <x:c r="O2129" s="2"/>
      <x:c r="P2129" s="2"/>
      <x:c r="Q2129" s="2" t="str">
        <x:v>산업전환_외부사업관리Tool_260707_이너젠 수정_LJY_261013.xlsx</x:v>
      </x:c>
      <x:c r="R2129" s="2" t="str">
        <x:v>국내인증</x:v>
      </x:c>
      <x:c r="S2129" s="8" t="n">
        <x:v>447</x:v>
      </x:c>
      <x:c r="T2129" s="2"/>
      <x:c r="U2129" s="2" t="str"/>
      <x:c r="V2129" s="2" t="str">
        <x:v>2020-10-27</x:v>
      </x:c>
      <x:c r="W2129" s="2" t="str">
        <x:v>신청일 확인 / 담당기관 확인</x:v>
      </x:c>
      <x:c r="X2129" s="2" t="str">
        <x:v>원본·배정 기록 확인</x:v>
      </x:c>
      <x:c r="Y2129" s="2" t="str">
        <x:v>ad210cd9ec132cfd447541c8984dc53d30aff0f4fb2dc92d254d49275cc55976</x:v>
      </x:c>
      <x:c r="Z2129" s="2" t="n">
        <x:f>SUBTOTAL(103,A2129)</x:f>
        <x:v>1</x:v>
      </x:c>
      <x:c r="AA2129" s="2" t="str">
        <x:f>IF(K2129&lt;&gt;"미종결 표시","대상 아님",IF(N2129="","신청일 확인",IF(NOT(ISNUMBER('종합 현황'!$H$5)),"관찰기준 확인",IF('종합 현황'!$H$5&lt;1,"관찰기준 확인",IF(N2129&gt;'종합 현황'!$H$5,"내부 관찰 대상","내부 관찰일 이하")))))</x:f>
        <x:v>대상 아님</x:v>
      </x:c>
      <x:c r="AB2129" s="2"/>
    </x:row>
    <x:row r="2130" ht="42" customHeight="1">
      <x:c r="A2130" s="2" t="str">
        <x:v>c272fec4eaaaef5e3404f4ac</x:v>
      </x:c>
      <x:c r="B2130" s="2" t="str">
        <x:v>감축량 인증</x:v>
      </x:c>
      <x:c r="C2130" s="2" t="str">
        <x:v>국내</x:v>
      </x:c>
      <x:c r="D2130" s="7" t="str">
        <x:v>신일산업의 보일러 연료교체(LNG-&gt;목재펠릿)을 통한 온실가스 감축사업</x:v>
      </x:c>
      <x:c r="E2130" s="2" t="str">
        <x:v>370</x:v>
      </x:c>
      <x:c r="F2130" s="2" t="str">
        <x:v>2019-11-17</x:v>
      </x:c>
      <x:c r="G2130" s="2" t="str">
        <x:v>2019</x:v>
      </x:c>
      <x:c r="H2130" s="2" t="str">
        <x:v>11</x:v>
      </x:c>
      <x:c r="I2130" s="2" t="str">
        <x:v>심의승인</x:v>
      </x:c>
      <x:c r="J2130" s="2" t="str">
        <x:v>심의승인</x:v>
      </x:c>
      <x:c r="K2130" s="2" t="str">
        <x:f>IF(OR(J2130="심의승인",J2130="반려",J2130="반려완료",J2130="심의완료"),"종결 표시",IF(OR(J2130="기후부협의",J2130="문서재제출요청",J2130="보류",J2130="보완요청",J2130="보완완료",J2130="평가중",J2130="반려요청",J2130="평가필요",LEFT(J2130,5)="보완요청("),"미종결 표시","상태 확인 필요"))</x:f>
        <x:v>종결 표시</x:v>
      </x:c>
      <x:c r="L2130" s="2"/>
      <x:c r="M2130" s="2"/>
      <x:c r="N2130" s="8" t="n">
        <x:f>DATE(2026,10,15)-DATE(2019,11,17)</x:f>
        <x:v>2524</x:v>
      </x:c>
      <x:c r="O2130" s="2"/>
      <x:c r="P2130" s="2"/>
      <x:c r="Q2130" s="2" t="str">
        <x:v>산업전환_외부사업관리Tool_260707_이너젠 수정_LJY_261013.xlsx</x:v>
      </x:c>
      <x:c r="R2130" s="2" t="str">
        <x:v>국내인증</x:v>
      </x:c>
      <x:c r="S2130" s="8" t="n">
        <x:v>448</x:v>
      </x:c>
      <x:c r="T2130" s="2" t="str">
        <x:v>(6/28),(11/2)</x:v>
      </x:c>
      <x:c r="U2130" s="2" t="str">
        <x:v>2021 배정: (6/28),(11/2) / 2022 배정: (3/16),(4/19),(12/27) / 2023 배정: 2023년 처리</x:v>
      </x:c>
      <x:c r="V2130" s="2" t="str">
        <x:v>2023-09-20</x:v>
      </x:c>
      <x:c r="W2130" s="2" t="str">
        <x:v>담당기관 확인</x:v>
      </x:c>
      <x:c r="X2130" s="2" t="str">
        <x:v>원본·배정 기록 확인</x:v>
      </x:c>
      <x:c r="Y2130" s="2" t="str">
        <x:v>ad210cd9ec132cfd447541c8984dc53d30aff0f4fb2dc92d254d49275cc55976</x:v>
      </x:c>
      <x:c r="Z2130" s="2" t="n">
        <x:f>SUBTOTAL(103,A2130)</x:f>
        <x:v>1</x:v>
      </x:c>
      <x:c r="AA2130" s="2" t="str">
        <x:f>IF(K2130&lt;&gt;"미종결 표시","대상 아님",IF(N2130="","신청일 확인",IF(NOT(ISNUMBER('종합 현황'!$H$5)),"관찰기준 확인",IF('종합 현황'!$H$5&lt;1,"관찰기준 확인",IF(N2130&gt;'종합 현황'!$H$5,"내부 관찰 대상","내부 관찰일 이하")))))</x:f>
        <x:v>대상 아님</x:v>
      </x:c>
      <x:c r="AB2130" s="2"/>
    </x:row>
    <x:row r="2131" ht="42" customHeight="1">
      <x:c r="A2131" s="2" t="str">
        <x:v>08b3d39a9c04c11e450e2a63</x:v>
      </x:c>
      <x:c r="B2131" s="2" t="str">
        <x:v>감축량 인증</x:v>
      </x:c>
      <x:c r="C2131" s="2" t="str">
        <x:v>국내</x:v>
      </x:c>
      <x:c r="D2131" s="7" t="str">
        <x:v>한청판지 보일러 버너의 연료전환 (B-C유 → LNG)을 통한 온실가스 감축사업</x:v>
      </x:c>
      <x:c r="E2131" s="2" t="str">
        <x:v>371</x:v>
      </x:c>
      <x:c r="F2131" s="2"/>
      <x:c r="G2131" s="2" t="str">
        <x:v>미확보</x:v>
      </x:c>
      <x:c r="H2131" s="2" t="str">
        <x:v>미확보</x:v>
      </x:c>
      <x:c r="I2131" s="2" t="str">
        <x:v>심의승인</x:v>
      </x:c>
      <x:c r="J2131" s="2" t="str">
        <x:v>심의승인</x:v>
      </x:c>
      <x:c r="K2131" s="2" t="str">
        <x:f>IF(OR(J2131="심의승인",J2131="반려",J2131="반려완료",J2131="심의완료"),"종결 표시",IF(OR(J2131="기후부협의",J2131="문서재제출요청",J2131="보류",J2131="보완요청",J2131="보완완료",J2131="평가중",J2131="반려요청",J2131="평가필요",LEFT(J2131,5)="보완요청("),"미종결 표시","상태 확인 필요"))</x:f>
        <x:v>종결 표시</x:v>
      </x:c>
      <x:c r="L2131" s="2"/>
      <x:c r="M2131" s="2"/>
      <x:c r="N2131" s="8"/>
      <x:c r="O2131" s="2"/>
      <x:c r="P2131" s="2"/>
      <x:c r="Q2131" s="2" t="str">
        <x:v>산업전환_외부사업관리Tool_260707_이너젠 수정_LJY_261013.xlsx</x:v>
      </x:c>
      <x:c r="R2131" s="2" t="str">
        <x:v>국내인증</x:v>
      </x:c>
      <x:c r="S2131" s="8" t="n">
        <x:v>449</x:v>
      </x:c>
      <x:c r="T2131" s="2" t="str">
        <x:v>(6/28)</x:v>
      </x:c>
      <x:c r="U2131" s="2" t="str">
        <x:v>2021 배정: (6/28)</x:v>
      </x:c>
      <x:c r="V2131" s="2" t="str">
        <x:v>2021-10-07</x:v>
      </x:c>
      <x:c r="W2131" s="2" t="str">
        <x:v>신청일 확인 / 담당기관 확인</x:v>
      </x:c>
      <x:c r="X2131" s="2" t="str">
        <x:v>원본·배정 기록 확인</x:v>
      </x:c>
      <x:c r="Y2131" s="2" t="str">
        <x:v>ad210cd9ec132cfd447541c8984dc53d30aff0f4fb2dc92d254d49275cc55976</x:v>
      </x:c>
      <x:c r="Z2131" s="2" t="n">
        <x:f>SUBTOTAL(103,A2131)</x:f>
        <x:v>1</x:v>
      </x:c>
      <x:c r="AA2131" s="2" t="str">
        <x:f>IF(K2131&lt;&gt;"미종결 표시","대상 아님",IF(N2131="","신청일 확인",IF(NOT(ISNUMBER('종합 현황'!$H$5)),"관찰기준 확인",IF('종합 현황'!$H$5&lt;1,"관찰기준 확인",IF(N2131&gt;'종합 현황'!$H$5,"내부 관찰 대상","내부 관찰일 이하")))))</x:f>
        <x:v>대상 아님</x:v>
      </x:c>
      <x:c r="AB2131" s="2"/>
    </x:row>
    <x:row r="2132" ht="42" customHeight="1">
      <x:c r="A2132" s="2" t="str">
        <x:v>8eceb35fe40292cb239afc76</x:v>
      </x:c>
      <x:c r="B2132" s="2" t="str">
        <x:v>감축량 인증</x:v>
      </x:c>
      <x:c r="C2132" s="2" t="str">
        <x:v>국내</x:v>
      </x:c>
      <x:c r="D2132" s="7" t="str">
        <x:v>주식회사 디티알 진주공장 인버터 공기압축기 고효율설비 교체 사업</x:v>
      </x:c>
      <x:c r="E2132" s="2" t="str">
        <x:v>372</x:v>
      </x:c>
      <x:c r="F2132" s="2" t="str">
        <x:v>2021-06-25</x:v>
      </x:c>
      <x:c r="G2132" s="2" t="str">
        <x:v>2021</x:v>
      </x:c>
      <x:c r="H2132" s="2" t="str">
        <x:v>06</x:v>
      </x:c>
      <x:c r="I2132" s="2" t="str">
        <x:v>문서재제출요청</x:v>
      </x:c>
      <x:c r="J2132" s="2" t="str">
        <x:v>보완요청</x:v>
      </x:c>
      <x:c r="K2132" s="2" t="str">
        <x:f>IF(OR(J2132="심의승인",J2132="반려",J2132="반려완료",J2132="심의완료"),"종결 표시",IF(OR(J2132="기후부협의",J2132="문서재제출요청",J2132="보류",J2132="보완요청",J2132="보완완료",J2132="평가중",J2132="반려요청",J2132="평가필요",LEFT(J2132,5)="보완요청("),"미종결 표시","상태 확인 필요"))</x:f>
        <x:v>미종결 표시</x:v>
      </x:c>
      <x:c r="L2132" s="2" t="str">
        <x:v>에코시안_김명은</x:v>
      </x:c>
      <x:c r="M2132" s="2"/>
      <x:c r="N2132" s="8" t="n">
        <x:f>DATE(2026,10,15)-DATE(2021,6,25)</x:f>
        <x:v>1938</x:v>
      </x:c>
      <x:c r="O2132" s="2"/>
      <x:c r="P2132" s="2"/>
      <x:c r="Q2132" s="2" t="str">
        <x:v>산업전환_외부사업관리Tool_260707_이너젠 수정_LJY_261013.xlsx</x:v>
      </x:c>
      <x:c r="R2132" s="2" t="str">
        <x:v>국내인증</x:v>
      </x:c>
      <x:c r="S2132" s="8" t="n">
        <x:v>450</x:v>
      </x:c>
      <x:c r="T2132" s="2" t="str">
        <x:v>(6/28),(11/2)</x:v>
      </x:c>
      <x:c r="U2132" s="2" t="str">
        <x:v>2021 배정: (6/28),(11/2) / 2022 배정: (4/19) / 2023 배정: (3/13),(4/21) / 2024 배정: (1/12),(5/20),(6/10)</x:v>
      </x:c>
      <x:c r="V2132" s="2" t="str">
        <x:v>2024-07-05</x:v>
      </x:c>
      <x:c r="W2132" s="2" t="str"/>
      <x:c r="X2132" s="2" t="str">
        <x:v>보완 회신 일정 확인</x:v>
      </x:c>
      <x:c r="Y2132" s="2" t="str">
        <x:v>ad210cd9ec132cfd447541c8984dc53d30aff0f4fb2dc92d254d49275cc55976</x:v>
      </x:c>
      <x:c r="Z2132" s="2" t="n">
        <x:f>SUBTOTAL(103,A2132)</x:f>
        <x:v>1</x:v>
      </x:c>
      <x:c r="AA2132" s="2" t="str">
        <x:f>IF(K2132&lt;&gt;"미종결 표시","대상 아님",IF(N2132="","신청일 확인",IF(NOT(ISNUMBER('종합 현황'!$H$5)),"관찰기준 확인",IF('종합 현황'!$H$5&lt;1,"관찰기준 확인",IF(N2132&gt;'종합 현황'!$H$5,"내부 관찰 대상","내부 관찰일 이하")))))</x:f>
        <x:v>내부 관찰 대상</x:v>
      </x:c>
      <x:c r="AB2132" s="2"/>
    </x:row>
    <x:row r="2133" ht="42" customHeight="1">
      <x:c r="A2133" s="2" t="str">
        <x:v>6d6e595e3d957eaba71904ab</x:v>
      </x:c>
      <x:c r="B2133" s="2" t="str">
        <x:v>감축량 인증</x:v>
      </x:c>
      <x:c r="C2133" s="2" t="str">
        <x:v>국내</x:v>
      </x:c>
      <x:c r="D2133" s="7" t="str">
        <x:v>(주)아성프라텍 화성공장 사출기 일부교체(유압식→하이브리드)를 통한 온실가스(CO2) 감축사업</x:v>
      </x:c>
      <x:c r="E2133" s="2" t="str">
        <x:v>373</x:v>
      </x:c>
      <x:c r="F2133" s="2"/>
      <x:c r="G2133" s="2" t="str">
        <x:v>미확보</x:v>
      </x:c>
      <x:c r="H2133" s="2" t="str">
        <x:v>미확보</x:v>
      </x:c>
      <x:c r="I2133" s="2" t="str">
        <x:v>검토반려</x:v>
      </x:c>
      <x:c r="J2133" s="2" t="str">
        <x:v>반려</x:v>
      </x:c>
      <x:c r="K2133" s="2" t="str">
        <x:f>IF(OR(J2133="심의승인",J2133="반려",J2133="반려완료",J2133="심의완료"),"종결 표시",IF(OR(J2133="기후부협의",J2133="문서재제출요청",J2133="보류",J2133="보완요청",J2133="보완완료",J2133="평가중",J2133="반려요청",J2133="평가필요",LEFT(J2133,5)="보완요청("),"미종결 표시","상태 확인 필요"))</x:f>
        <x:v>종결 표시</x:v>
      </x:c>
      <x:c r="L2133" s="2"/>
      <x:c r="M2133" s="2"/>
      <x:c r="N2133" s="8"/>
      <x:c r="O2133" s="2"/>
      <x:c r="P2133" s="2"/>
      <x:c r="Q2133" s="2" t="str">
        <x:v>산업전환_외부사업관리Tool_260707_이너젠 수정_LJY_261013.xlsx</x:v>
      </x:c>
      <x:c r="R2133" s="2" t="str">
        <x:v>국내인증</x:v>
      </x:c>
      <x:c r="S2133" s="8" t="n">
        <x:v>451</x:v>
      </x:c>
      <x:c r="T2133" s="2" t="str">
        <x:v>2021년 처리</x:v>
      </x:c>
      <x:c r="U2133" s="2" t="str">
        <x:v>2021 배정: 2021년 처리</x:v>
      </x:c>
      <x:c r="V2133" s="2" t="str">
        <x:v>2021-07-23</x:v>
      </x:c>
      <x:c r="W2133" s="2" t="str">
        <x:v>신청일 확인 / 담당기관 확인</x:v>
      </x:c>
      <x:c r="X2133" s="2" t="str">
        <x:v>원본·배정 기록 확인</x:v>
      </x:c>
      <x:c r="Y2133" s="2" t="str">
        <x:v>ad210cd9ec132cfd447541c8984dc53d30aff0f4fb2dc92d254d49275cc55976</x:v>
      </x:c>
      <x:c r="Z2133" s="2" t="n">
        <x:f>SUBTOTAL(103,A2133)</x:f>
        <x:v>1</x:v>
      </x:c>
      <x:c r="AA2133" s="2" t="str">
        <x:f>IF(K2133&lt;&gt;"미종결 표시","대상 아님",IF(N2133="","신청일 확인",IF(NOT(ISNUMBER('종합 현황'!$H$5)),"관찰기준 확인",IF('종합 현황'!$H$5&lt;1,"관찰기준 확인",IF(N2133&gt;'종합 현황'!$H$5,"내부 관찰 대상","내부 관찰일 이하")))))</x:f>
        <x:v>대상 아님</x:v>
      </x:c>
      <x:c r="AB2133" s="2"/>
    </x:row>
    <x:row r="2134" ht="42" customHeight="1">
      <x:c r="A2134" s="2" t="str">
        <x:v>4e8bf55c476b43055baccd44</x:v>
      </x:c>
      <x:c r="B2134" s="2" t="str">
        <x:v>감축량 인증</x:v>
      </x:c>
      <x:c r="C2134" s="2" t="str">
        <x:v>국내</x:v>
      </x:c>
      <x:c r="D2134" s="7" t="str">
        <x:v>보광섬유 보일러의 연료전환(B-C유·부생연료유2호-&gt;LNG)을 통한 온실가스감축사업</x:v>
      </x:c>
      <x:c r="E2134" s="2" t="str">
        <x:v>374</x:v>
      </x:c>
      <x:c r="F2134" s="2"/>
      <x:c r="G2134" s="2" t="str">
        <x:v>미확보</x:v>
      </x:c>
      <x:c r="H2134" s="2" t="str">
        <x:v>미확보</x:v>
      </x:c>
      <x:c r="I2134" s="2" t="str">
        <x:v>검토반려</x:v>
      </x:c>
      <x:c r="J2134" s="2" t="str">
        <x:v>반려</x:v>
      </x:c>
      <x:c r="K2134" s="2" t="str">
        <x:f>IF(OR(J2134="심의승인",J2134="반려",J2134="반려완료",J2134="심의완료"),"종결 표시",IF(OR(J2134="기후부협의",J2134="문서재제출요청",J2134="보류",J2134="보완요청",J2134="보완완료",J2134="평가중",J2134="반려요청",J2134="평가필요",LEFT(J2134,5)="보완요청("),"미종결 표시","상태 확인 필요"))</x:f>
        <x:v>종결 표시</x:v>
      </x:c>
      <x:c r="L2134" s="2"/>
      <x:c r="M2134" s="2"/>
      <x:c r="N2134" s="8"/>
      <x:c r="O2134" s="2"/>
      <x:c r="P2134" s="2"/>
      <x:c r="Q2134" s="2" t="str">
        <x:v>산업전환_외부사업관리Tool_260707_이너젠 수정_LJY_261013.xlsx</x:v>
      </x:c>
      <x:c r="R2134" s="2" t="str">
        <x:v>국내인증</x:v>
      </x:c>
      <x:c r="S2134" s="8" t="n">
        <x:v>452</x:v>
      </x:c>
      <x:c r="T2134" s="2"/>
      <x:c r="U2134" s="2" t="str"/>
      <x:c r="V2134" s="2" t="str">
        <x:v>2020-03-16</x:v>
      </x:c>
      <x:c r="W2134" s="2" t="str">
        <x:v>신청일 확인 / 담당기관 확인</x:v>
      </x:c>
      <x:c r="X2134" s="2" t="str">
        <x:v>원본·배정 기록 확인</x:v>
      </x:c>
      <x:c r="Y2134" s="2" t="str">
        <x:v>ad210cd9ec132cfd447541c8984dc53d30aff0f4fb2dc92d254d49275cc55976</x:v>
      </x:c>
      <x:c r="Z2134" s="2" t="n">
        <x:f>SUBTOTAL(103,A2134)</x:f>
        <x:v>1</x:v>
      </x:c>
      <x:c r="AA2134" s="2" t="str">
        <x:f>IF(K2134&lt;&gt;"미종결 표시","대상 아님",IF(N2134="","신청일 확인",IF(NOT(ISNUMBER('종합 현황'!$H$5)),"관찰기준 확인",IF('종합 현황'!$H$5&lt;1,"관찰기준 확인",IF(N2134&gt;'종합 현황'!$H$5,"내부 관찰 대상","내부 관찰일 이하")))))</x:f>
        <x:v>대상 아님</x:v>
      </x:c>
      <x:c r="AB2134" s="2"/>
    </x:row>
    <x:row r="2135" ht="42" customHeight="1">
      <x:c r="A2135" s="2" t="str">
        <x:v>28352aaa40db3e0c041fa150</x:v>
      </x:c>
      <x:c r="B2135" s="2" t="str">
        <x:v>감축량 인증</x:v>
      </x:c>
      <x:c r="C2135" s="2" t="str">
        <x:v>국내</x:v>
      </x:c>
      <x:c r="D2135" s="7" t="str">
        <x:v>한국유에스지보랄 소성공정 연료전환(B-C유에서 LNG)을 통한 온실가스 감축사업</x:v>
      </x:c>
      <x:c r="E2135" s="2" t="str">
        <x:v>375</x:v>
      </x:c>
      <x:c r="F2135" s="2"/>
      <x:c r="G2135" s="2" t="str">
        <x:v>미확보</x:v>
      </x:c>
      <x:c r="H2135" s="2" t="str">
        <x:v>미확보</x:v>
      </x:c>
      <x:c r="I2135" s="2" t="str">
        <x:v>심의승인</x:v>
      </x:c>
      <x:c r="J2135" s="2" t="str">
        <x:v>심의승인</x:v>
      </x:c>
      <x:c r="K2135" s="2" t="str">
        <x:f>IF(OR(J2135="심의승인",J2135="반려",J2135="반려완료",J2135="심의완료"),"종결 표시",IF(OR(J2135="기후부협의",J2135="문서재제출요청",J2135="보류",J2135="보완요청",J2135="보완완료",J2135="평가중",J2135="반려요청",J2135="평가필요",LEFT(J2135,5)="보완요청("),"미종결 표시","상태 확인 필요"))</x:f>
        <x:v>종결 표시</x:v>
      </x:c>
      <x:c r="L2135" s="2"/>
      <x:c r="M2135" s="2"/>
      <x:c r="N2135" s="8"/>
      <x:c r="O2135" s="2"/>
      <x:c r="P2135" s="2"/>
      <x:c r="Q2135" s="2" t="str">
        <x:v>산업전환_외부사업관리Tool_260707_이너젠 수정_LJY_261013.xlsx</x:v>
      </x:c>
      <x:c r="R2135" s="2" t="str">
        <x:v>국내인증</x:v>
      </x:c>
      <x:c r="S2135" s="8" t="n">
        <x:v>453</x:v>
      </x:c>
      <x:c r="T2135" s="2" t="str">
        <x:v>(6/28),(11/2),(12/1)</x:v>
      </x:c>
      <x:c r="U2135" s="2" t="str">
        <x:v>2021 배정: (6/28),(11/2),(12/1)</x:v>
      </x:c>
      <x:c r="V2135" s="2" t="str">
        <x:v>2022-01-17</x:v>
      </x:c>
      <x:c r="W2135" s="2" t="str">
        <x:v>신청일 확인 / 담당기관 확인</x:v>
      </x:c>
      <x:c r="X2135" s="2" t="str">
        <x:v>원본·배정 기록 확인</x:v>
      </x:c>
      <x:c r="Y2135" s="2" t="str">
        <x:v>ad210cd9ec132cfd447541c8984dc53d30aff0f4fb2dc92d254d49275cc55976</x:v>
      </x:c>
      <x:c r="Z2135" s="2" t="n">
        <x:f>SUBTOTAL(103,A2135)</x:f>
        <x:v>1</x:v>
      </x:c>
      <x:c r="AA2135" s="2" t="str">
        <x:f>IF(K2135&lt;&gt;"미종결 표시","대상 아님",IF(N2135="","신청일 확인",IF(NOT(ISNUMBER('종합 현황'!$H$5)),"관찰기준 확인",IF('종합 현황'!$H$5&lt;1,"관찰기준 확인",IF(N2135&gt;'종합 현황'!$H$5,"내부 관찰 대상","내부 관찰일 이하")))))</x:f>
        <x:v>대상 아님</x:v>
      </x:c>
      <x:c r="AB2135" s="2"/>
    </x:row>
    <x:row r="2136" ht="42" customHeight="1">
      <x:c r="A2136" s="2" t="str">
        <x:v>121a3d79369cdd537d200f50</x:v>
      </x:c>
      <x:c r="B2136" s="2" t="str">
        <x:v>감축량 인증</x:v>
      </x:c>
      <x:c r="C2136" s="2" t="str">
        <x:v>국내</x:v>
      </x:c>
      <x:c r="D2136" s="7" t="str">
        <x:v>동부요업 터널침탄가마 교체를 통한 설비 성능개선에 따른 온실가스 배출 감축사업</x:v>
      </x:c>
      <x:c r="E2136" s="2" t="str">
        <x:v>376</x:v>
      </x:c>
      <x:c r="F2136" s="2"/>
      <x:c r="G2136" s="2" t="str">
        <x:v>미확보</x:v>
      </x:c>
      <x:c r="H2136" s="2" t="str">
        <x:v>미확보</x:v>
      </x:c>
      <x:c r="I2136" s="2" t="str">
        <x:v>검토반려</x:v>
      </x:c>
      <x:c r="J2136" s="2" t="str">
        <x:v>반려</x:v>
      </x:c>
      <x:c r="K2136" s="2" t="str">
        <x:f>IF(OR(J2136="심의승인",J2136="반려",J2136="반려완료",J2136="심의완료"),"종결 표시",IF(OR(J2136="기후부협의",J2136="문서재제출요청",J2136="보류",J2136="보완요청",J2136="보완완료",J2136="평가중",J2136="반려요청",J2136="평가필요",LEFT(J2136,5)="보완요청("),"미종결 표시","상태 확인 필요"))</x:f>
        <x:v>종결 표시</x:v>
      </x:c>
      <x:c r="L2136" s="2"/>
      <x:c r="M2136" s="2"/>
      <x:c r="N2136" s="8"/>
      <x:c r="O2136" s="2"/>
      <x:c r="P2136" s="2"/>
      <x:c r="Q2136" s="2" t="str">
        <x:v>산업전환_외부사업관리Tool_260707_이너젠 수정_LJY_261013.xlsx</x:v>
      </x:c>
      <x:c r="R2136" s="2" t="str">
        <x:v>국내인증</x:v>
      </x:c>
      <x:c r="S2136" s="8" t="n">
        <x:v>454</x:v>
      </x:c>
      <x:c r="T2136" s="2" t="str">
        <x:v>2021년 처리</x:v>
      </x:c>
      <x:c r="U2136" s="2" t="str">
        <x:v>2021 배정: 2021년 처리</x:v>
      </x:c>
      <x:c r="V2136" s="2" t="str">
        <x:v>2021-07-23</x:v>
      </x:c>
      <x:c r="W2136" s="2" t="str">
        <x:v>신청일 확인 / 담당기관 확인</x:v>
      </x:c>
      <x:c r="X2136" s="2" t="str">
        <x:v>원본·배정 기록 확인</x:v>
      </x:c>
      <x:c r="Y2136" s="2" t="str">
        <x:v>ad210cd9ec132cfd447541c8984dc53d30aff0f4fb2dc92d254d49275cc55976</x:v>
      </x:c>
      <x:c r="Z2136" s="2" t="n">
        <x:f>SUBTOTAL(103,A2136)</x:f>
        <x:v>1</x:v>
      </x:c>
      <x:c r="AA2136" s="2" t="str">
        <x:f>IF(K2136&lt;&gt;"미종결 표시","대상 아님",IF(N2136="","신청일 확인",IF(NOT(ISNUMBER('종합 현황'!$H$5)),"관찰기준 확인",IF('종합 현황'!$H$5&lt;1,"관찰기준 확인",IF(N2136&gt;'종합 현황'!$H$5,"내부 관찰 대상","내부 관찰일 이하")))))</x:f>
        <x:v>대상 아님</x:v>
      </x:c>
      <x:c r="AB2136" s="2"/>
    </x:row>
    <x:row r="2137" ht="42" customHeight="1">
      <x:c r="A2137" s="2" t="str">
        <x:v>a1a3ad106295b3a424ef6b62</x:v>
      </x:c>
      <x:c r="B2137" s="2" t="str">
        <x:v>감축량 인증</x:v>
      </x:c>
      <x:c r="C2137" s="2" t="str">
        <x:v>국내</x:v>
      </x:c>
      <x:c r="D2137" s="7" t="str">
        <x:v>한일식품(주) 보일러의 연료전환 (B-C유 → LNG)을 통한 온실가스 감축사업</x:v>
      </x:c>
      <x:c r="E2137" s="2" t="str">
        <x:v>377</x:v>
      </x:c>
      <x:c r="F2137" s="2"/>
      <x:c r="G2137" s="2" t="str">
        <x:v>미확보</x:v>
      </x:c>
      <x:c r="H2137" s="2" t="str">
        <x:v>미확보</x:v>
      </x:c>
      <x:c r="I2137" s="2" t="str">
        <x:v>검토반려</x:v>
      </x:c>
      <x:c r="J2137" s="2" t="str">
        <x:v>반려</x:v>
      </x:c>
      <x:c r="K2137" s="2" t="str">
        <x:f>IF(OR(J2137="심의승인",J2137="반려",J2137="반려완료",J2137="심의완료"),"종결 표시",IF(OR(J2137="기후부협의",J2137="문서재제출요청",J2137="보류",J2137="보완요청",J2137="보완완료",J2137="평가중",J2137="반려요청",J2137="평가필요",LEFT(J2137,5)="보완요청("),"미종결 표시","상태 확인 필요"))</x:f>
        <x:v>종결 표시</x:v>
      </x:c>
      <x:c r="L2137" s="2"/>
      <x:c r="M2137" s="2"/>
      <x:c r="N2137" s="8"/>
      <x:c r="O2137" s="2"/>
      <x:c r="P2137" s="2"/>
      <x:c r="Q2137" s="2" t="str">
        <x:v>산업전환_외부사업관리Tool_260707_이너젠 수정_LJY_261013.xlsx</x:v>
      </x:c>
      <x:c r="R2137" s="2" t="str">
        <x:v>국내인증</x:v>
      </x:c>
      <x:c r="S2137" s="8" t="n">
        <x:v>455</x:v>
      </x:c>
      <x:c r="T2137" s="2" t="str">
        <x:v>2021년 처리</x:v>
      </x:c>
      <x:c r="U2137" s="2" t="str">
        <x:v>2021 배정: 2021년 처리</x:v>
      </x:c>
      <x:c r="V2137" s="2" t="str">
        <x:v>2021-07-23</x:v>
      </x:c>
      <x:c r="W2137" s="2" t="str">
        <x:v>신청일 확인 / 담당기관 확인</x:v>
      </x:c>
      <x:c r="X2137" s="2" t="str">
        <x:v>원본·배정 기록 확인</x:v>
      </x:c>
      <x:c r="Y2137" s="2" t="str">
        <x:v>ad210cd9ec132cfd447541c8984dc53d30aff0f4fb2dc92d254d49275cc55976</x:v>
      </x:c>
      <x:c r="Z2137" s="2" t="n">
        <x:f>SUBTOTAL(103,A2137)</x:f>
        <x:v>1</x:v>
      </x:c>
      <x:c r="AA2137" s="2" t="str">
        <x:f>IF(K2137&lt;&gt;"미종결 표시","대상 아님",IF(N2137="","신청일 확인",IF(NOT(ISNUMBER('종합 현황'!$H$5)),"관찰기준 확인",IF('종합 현황'!$H$5&lt;1,"관찰기준 확인",IF(N2137&gt;'종합 현황'!$H$5,"내부 관찰 대상","내부 관찰일 이하")))))</x:f>
        <x:v>대상 아님</x:v>
      </x:c>
      <x:c r="AB2137" s="2"/>
    </x:row>
    <x:row r="2138" ht="42" customHeight="1">
      <x:c r="A2138" s="2" t="str">
        <x:v>61395e55ba05f29c3b2d5fb9</x:v>
      </x:c>
      <x:c r="B2138" s="2" t="str">
        <x:v>감축량 인증</x:v>
      </x:c>
      <x:c r="C2138" s="2" t="str">
        <x:v>국내</x:v>
      </x:c>
      <x:c r="D2138" s="7" t="str">
        <x:v>㈜태호화학 논산사업장 B-C유에서 LPG로 연료 전환을 통한 온실가스 감축사업</x:v>
      </x:c>
      <x:c r="E2138" s="2" t="str">
        <x:v>378</x:v>
      </x:c>
      <x:c r="F2138" s="2"/>
      <x:c r="G2138" s="2" t="str">
        <x:v>미확보</x:v>
      </x:c>
      <x:c r="H2138" s="2" t="str">
        <x:v>미확보</x:v>
      </x:c>
      <x:c r="I2138" s="2" t="str">
        <x:v>심의승인</x:v>
      </x:c>
      <x:c r="J2138" s="2" t="str">
        <x:v>심의승인</x:v>
      </x:c>
      <x:c r="K2138" s="2" t="str">
        <x:f>IF(OR(J2138="심의승인",J2138="반려",J2138="반려완료",J2138="심의완료"),"종결 표시",IF(OR(J2138="기후부협의",J2138="문서재제출요청",J2138="보류",J2138="보완요청",J2138="보완완료",J2138="평가중",J2138="반려요청",J2138="평가필요",LEFT(J2138,5)="보완요청("),"미종결 표시","상태 확인 필요"))</x:f>
        <x:v>종결 표시</x:v>
      </x:c>
      <x:c r="L2138" s="2"/>
      <x:c r="M2138" s="2"/>
      <x:c r="N2138" s="8"/>
      <x:c r="O2138" s="2"/>
      <x:c r="P2138" s="2"/>
      <x:c r="Q2138" s="2" t="str">
        <x:v>산업전환_외부사업관리Tool_260707_이너젠 수정_LJY_261013.xlsx</x:v>
      </x:c>
      <x:c r="R2138" s="2" t="str">
        <x:v>국내인증</x:v>
      </x:c>
      <x:c r="S2138" s="8" t="n">
        <x:v>456</x:v>
      </x:c>
      <x:c r="T2138" s="2" t="str">
        <x:v>(6/28),(9/1)</x:v>
      </x:c>
      <x:c r="U2138" s="2" t="str">
        <x:v>2021 배정: (6/28),(9/1)</x:v>
      </x:c>
      <x:c r="V2138" s="2" t="str">
        <x:v>2022-01-17</x:v>
      </x:c>
      <x:c r="W2138" s="2" t="str">
        <x:v>신청일 확인 / 담당기관 확인</x:v>
      </x:c>
      <x:c r="X2138" s="2" t="str">
        <x:v>원본·배정 기록 확인</x:v>
      </x:c>
      <x:c r="Y2138" s="2" t="str">
        <x:v>ad210cd9ec132cfd447541c8984dc53d30aff0f4fb2dc92d254d49275cc55976</x:v>
      </x:c>
      <x:c r="Z2138" s="2" t="n">
        <x:f>SUBTOTAL(103,A2138)</x:f>
        <x:v>1</x:v>
      </x:c>
      <x:c r="AA2138" s="2" t="str">
        <x:f>IF(K2138&lt;&gt;"미종결 표시","대상 아님",IF(N2138="","신청일 확인",IF(NOT(ISNUMBER('종합 현황'!$H$5)),"관찰기준 확인",IF('종합 현황'!$H$5&lt;1,"관찰기준 확인",IF(N2138&gt;'종합 현황'!$H$5,"내부 관찰 대상","내부 관찰일 이하")))))</x:f>
        <x:v>대상 아님</x:v>
      </x:c>
      <x:c r="AB2138" s="2"/>
    </x:row>
    <x:row r="2139" ht="42" customHeight="1">
      <x:c r="A2139" s="2" t="str">
        <x:v>933a9396f56107ff9f0eb3c9</x:v>
      </x:c>
      <x:c r="B2139" s="2" t="str">
        <x:v>감축량 인증</x:v>
      </x:c>
      <x:c r="C2139" s="2" t="str">
        <x:v>국내</x:v>
      </x:c>
      <x:c r="D2139" s="7" t="str">
        <x:v>강원 풍력 CDM사업</x:v>
      </x:c>
      <x:c r="E2139" s="2" t="str">
        <x:v>379</x:v>
      </x:c>
      <x:c r="F2139" s="2"/>
      <x:c r="G2139" s="2" t="str">
        <x:v>미확보</x:v>
      </x:c>
      <x:c r="H2139" s="2" t="str">
        <x:v>미확보</x:v>
      </x:c>
      <x:c r="I2139" s="2" t="str">
        <x:v>심의승인</x:v>
      </x:c>
      <x:c r="J2139" s="2" t="str">
        <x:v>심의승인</x:v>
      </x:c>
      <x:c r="K2139" s="2" t="str">
        <x:f>IF(OR(J2139="심의승인",J2139="반려",J2139="반려완료",J2139="심의완료"),"종결 표시",IF(OR(J2139="기후부협의",J2139="문서재제출요청",J2139="보류",J2139="보완요청",J2139="보완완료",J2139="평가중",J2139="반려요청",J2139="평가필요",LEFT(J2139,5)="보완요청("),"미종결 표시","상태 확인 필요"))</x:f>
        <x:v>종결 표시</x:v>
      </x:c>
      <x:c r="L2139" s="2"/>
      <x:c r="M2139" s="2"/>
      <x:c r="N2139" s="8"/>
      <x:c r="O2139" s="2"/>
      <x:c r="P2139" s="2"/>
      <x:c r="Q2139" s="2" t="str">
        <x:v>산업전환_외부사업관리Tool_260707_이너젠 수정_LJY_261013.xlsx</x:v>
      </x:c>
      <x:c r="R2139" s="2" t="str">
        <x:v>국내인증</x:v>
      </x:c>
      <x:c r="S2139" s="8" t="n">
        <x:v>457</x:v>
      </x:c>
      <x:c r="T2139" s="2"/>
      <x:c r="U2139" s="2" t="str"/>
      <x:c r="V2139" s="2" t="str">
        <x:v>2020-08-12</x:v>
      </x:c>
      <x:c r="W2139" s="2" t="str">
        <x:v>신청일 확인 / 담당기관 확인</x:v>
      </x:c>
      <x:c r="X2139" s="2" t="str">
        <x:v>원본·배정 기록 확인</x:v>
      </x:c>
      <x:c r="Y2139" s="2" t="str">
        <x:v>ad210cd9ec132cfd447541c8984dc53d30aff0f4fb2dc92d254d49275cc55976</x:v>
      </x:c>
      <x:c r="Z2139" s="2" t="n">
        <x:f>SUBTOTAL(103,A2139)</x:f>
        <x:v>1</x:v>
      </x:c>
      <x:c r="AA2139" s="2" t="str">
        <x:f>IF(K2139&lt;&gt;"미종결 표시","대상 아님",IF(N2139="","신청일 확인",IF(NOT(ISNUMBER('종합 현황'!$H$5)),"관찰기준 확인",IF('종합 현황'!$H$5&lt;1,"관찰기준 확인",IF(N2139&gt;'종합 현황'!$H$5,"내부 관찰 대상","내부 관찰일 이하")))))</x:f>
        <x:v>대상 아님</x:v>
      </x:c>
      <x:c r="AB2139" s="2"/>
    </x:row>
    <x:row r="2140" ht="42" customHeight="1">
      <x:c r="A2140" s="2" t="str">
        <x:v>7b3b652fbe222944cd63ae02</x:v>
      </x:c>
      <x:c r="B2140" s="2" t="str">
        <x:v>감축량 인증</x:v>
      </x:c>
      <x:c r="C2140" s="2" t="str">
        <x:v>국내</x:v>
      </x:c>
      <x:c r="D2140" s="7" t="str">
        <x:v>휴켐스 질산공장 N2O 감축사업(휴켐스 주식회사의 질산 공장 세 곳에서 tail gas에 포함된 아산화질소를 촉매를 사용하여 제거하는 프로젝트)</x:v>
      </x:c>
      <x:c r="E2140" s="2" t="str">
        <x:v>380</x:v>
      </x:c>
      <x:c r="F2140" s="2"/>
      <x:c r="G2140" s="2" t="str">
        <x:v>미확보</x:v>
      </x:c>
      <x:c r="H2140" s="2" t="str">
        <x:v>미확보</x:v>
      </x:c>
      <x:c r="I2140" s="2" t="str">
        <x:v>심의승인</x:v>
      </x:c>
      <x:c r="J2140" s="2" t="str">
        <x:v>심의승인</x:v>
      </x:c>
      <x:c r="K2140" s="2" t="str">
        <x:f>IF(OR(J2140="심의승인",J2140="반려",J2140="반려완료",J2140="심의완료"),"종결 표시",IF(OR(J2140="기후부협의",J2140="문서재제출요청",J2140="보류",J2140="보완요청",J2140="보완완료",J2140="평가중",J2140="반려요청",J2140="평가필요",LEFT(J2140,5)="보완요청("),"미종결 표시","상태 확인 필요"))</x:f>
        <x:v>종결 표시</x:v>
      </x:c>
      <x:c r="L2140" s="2"/>
      <x:c r="M2140" s="2"/>
      <x:c r="N2140" s="8"/>
      <x:c r="O2140" s="2"/>
      <x:c r="P2140" s="2"/>
      <x:c r="Q2140" s="2" t="str">
        <x:v>산업전환_외부사업관리Tool_260707_이너젠 수정_LJY_261013.xlsx</x:v>
      </x:c>
      <x:c r="R2140" s="2" t="str">
        <x:v>국내인증</x:v>
      </x:c>
      <x:c r="S2140" s="8" t="n">
        <x:v>458</x:v>
      </x:c>
      <x:c r="T2140" s="2"/>
      <x:c r="U2140" s="2" t="str"/>
      <x:c r="V2140" s="2" t="str">
        <x:v>2020-08-12</x:v>
      </x:c>
      <x:c r="W2140" s="2" t="str">
        <x:v>신청일 확인 / 담당기관 확인</x:v>
      </x:c>
      <x:c r="X2140" s="2" t="str">
        <x:v>원본·배정 기록 확인</x:v>
      </x:c>
      <x:c r="Y2140" s="2" t="str">
        <x:v>ad210cd9ec132cfd447541c8984dc53d30aff0f4fb2dc92d254d49275cc55976</x:v>
      </x:c>
      <x:c r="Z2140" s="2" t="n">
        <x:f>SUBTOTAL(103,A2140)</x:f>
        <x:v>1</x:v>
      </x:c>
      <x:c r="AA2140" s="2" t="str">
        <x:f>IF(K2140&lt;&gt;"미종결 표시","대상 아님",IF(N2140="","신청일 확인",IF(NOT(ISNUMBER('종합 현황'!$H$5)),"관찰기준 확인",IF('종합 현황'!$H$5&lt;1,"관찰기준 확인",IF(N2140&gt;'종합 현황'!$H$5,"내부 관찰 대상","내부 관찰일 이하")))))</x:f>
        <x:v>대상 아님</x:v>
      </x:c>
      <x:c r="AB2140" s="2"/>
    </x:row>
    <x:row r="2141" ht="42" customHeight="1">
      <x:c r="A2141" s="2" t="str">
        <x:v>57902a5414c35cd19dbc8ece</x:v>
      </x:c>
      <x:c r="B2141" s="2" t="str">
        <x:v>감축량 인증</x:v>
      </x:c>
      <x:c r="C2141" s="2" t="str">
        <x:v>국내</x:v>
      </x:c>
      <x:c r="D2141" s="7" t="str">
        <x:v>휴켐스(주) 신설 5질산에서 발생하는 아산화질소 배출량 저감사업</x:v>
      </x:c>
      <x:c r="E2141" s="2" t="str">
        <x:v>381</x:v>
      </x:c>
      <x:c r="F2141" s="2"/>
      <x:c r="G2141" s="2" t="str">
        <x:v>미확보</x:v>
      </x:c>
      <x:c r="H2141" s="2" t="str">
        <x:v>미확보</x:v>
      </x:c>
      <x:c r="I2141" s="2" t="str">
        <x:v>심의승인</x:v>
      </x:c>
      <x:c r="J2141" s="2" t="str">
        <x:v>심의승인</x:v>
      </x:c>
      <x:c r="K2141" s="2" t="str">
        <x:f>IF(OR(J2141="심의승인",J2141="반려",J2141="반려완료",J2141="심의완료"),"종결 표시",IF(OR(J2141="기후부협의",J2141="문서재제출요청",J2141="보류",J2141="보완요청",J2141="보완완료",J2141="평가중",J2141="반려요청",J2141="평가필요",LEFT(J2141,5)="보완요청("),"미종결 표시","상태 확인 필요"))</x:f>
        <x:v>종결 표시</x:v>
      </x:c>
      <x:c r="L2141" s="2"/>
      <x:c r="M2141" s="2"/>
      <x:c r="N2141" s="8"/>
      <x:c r="O2141" s="2"/>
      <x:c r="P2141" s="2"/>
      <x:c r="Q2141" s="2" t="str">
        <x:v>산업전환_외부사업관리Tool_260707_이너젠 수정_LJY_261013.xlsx</x:v>
      </x:c>
      <x:c r="R2141" s="2" t="str">
        <x:v>국내인증</x:v>
      </x:c>
      <x:c r="S2141" s="8" t="n">
        <x:v>459</x:v>
      </x:c>
      <x:c r="T2141" s="2"/>
      <x:c r="U2141" s="2" t="str"/>
      <x:c r="V2141" s="2" t="str">
        <x:v>2020-08-12</x:v>
      </x:c>
      <x:c r="W2141" s="2" t="str">
        <x:v>신청일 확인 / 담당기관 확인</x:v>
      </x:c>
      <x:c r="X2141" s="2" t="str">
        <x:v>원본·배정 기록 확인</x:v>
      </x:c>
      <x:c r="Y2141" s="2" t="str">
        <x:v>ad210cd9ec132cfd447541c8984dc53d30aff0f4fb2dc92d254d49275cc55976</x:v>
      </x:c>
      <x:c r="Z2141" s="2" t="n">
        <x:f>SUBTOTAL(103,A2141)</x:f>
        <x:v>1</x:v>
      </x:c>
      <x:c r="AA2141" s="2" t="str">
        <x:f>IF(K2141&lt;&gt;"미종결 표시","대상 아님",IF(N2141="","신청일 확인",IF(NOT(ISNUMBER('종합 현황'!$H$5)),"관찰기준 확인",IF('종합 현황'!$H$5&lt;1,"관찰기준 확인",IF(N2141&gt;'종합 현황'!$H$5,"내부 관찰 대상","내부 관찰일 이하")))))</x:f>
        <x:v>대상 아님</x:v>
      </x:c>
      <x:c r="AB2141" s="2"/>
    </x:row>
    <x:row r="2142" ht="42" customHeight="1">
      <x:c r="A2142" s="2" t="str">
        <x:v>4a48f9dbb8e6662ed9d2873e</x:v>
      </x:c>
      <x:c r="B2142" s="2" t="str">
        <x:v>감축량 인증</x:v>
      </x:c>
      <x:c r="C2142" s="2" t="str">
        <x:v>국내</x:v>
      </x:c>
      <x:c r="D2142" s="7" t="str">
        <x:v>휴켐스 질산공장 N2O 감축사업(휴켐스 주식회사의 질산 공장 세곡에서 tail gas에 포한된 아산화질소를 촉매를 사용하여 제거하는 프로젝트)</x:v>
      </x:c>
      <x:c r="E2142" s="2" t="str">
        <x:v>382</x:v>
      </x:c>
      <x:c r="F2142" s="2"/>
      <x:c r="G2142" s="2" t="str">
        <x:v>미확보</x:v>
      </x:c>
      <x:c r="H2142" s="2" t="str">
        <x:v>미확보</x:v>
      </x:c>
      <x:c r="I2142" s="2" t="str">
        <x:v>심의승인</x:v>
      </x:c>
      <x:c r="J2142" s="2" t="str">
        <x:v>심의승인</x:v>
      </x:c>
      <x:c r="K2142" s="2" t="str">
        <x:f>IF(OR(J2142="심의승인",J2142="반려",J2142="반려완료",J2142="심의완료"),"종결 표시",IF(OR(J2142="기후부협의",J2142="문서재제출요청",J2142="보류",J2142="보완요청",J2142="보완완료",J2142="평가중",J2142="반려요청",J2142="평가필요",LEFT(J2142,5)="보완요청("),"미종결 표시","상태 확인 필요"))</x:f>
        <x:v>종결 표시</x:v>
      </x:c>
      <x:c r="L2142" s="2"/>
      <x:c r="M2142" s="2"/>
      <x:c r="N2142" s="8"/>
      <x:c r="O2142" s="2"/>
      <x:c r="P2142" s="2"/>
      <x:c r="Q2142" s="2" t="str">
        <x:v>산업전환_외부사업관리Tool_260707_이너젠 수정_LJY_261013.xlsx</x:v>
      </x:c>
      <x:c r="R2142" s="2" t="str">
        <x:v>국내인증</x:v>
      </x:c>
      <x:c r="S2142" s="8" t="n">
        <x:v>460</x:v>
      </x:c>
      <x:c r="T2142" s="2"/>
      <x:c r="U2142" s="2" t="str"/>
      <x:c r="V2142" s="2" t="str">
        <x:v>2020-08-12</x:v>
      </x:c>
      <x:c r="W2142" s="2" t="str">
        <x:v>신청일 확인 / 담당기관 확인</x:v>
      </x:c>
      <x:c r="X2142" s="2" t="str">
        <x:v>원본·배정 기록 확인</x:v>
      </x:c>
      <x:c r="Y2142" s="2" t="str">
        <x:v>ad210cd9ec132cfd447541c8984dc53d30aff0f4fb2dc92d254d49275cc55976</x:v>
      </x:c>
      <x:c r="Z2142" s="2" t="n">
        <x:f>SUBTOTAL(103,A2142)</x:f>
        <x:v>1</x:v>
      </x:c>
      <x:c r="AA2142" s="2" t="str">
        <x:f>IF(K2142&lt;&gt;"미종결 표시","대상 아님",IF(N2142="","신청일 확인",IF(NOT(ISNUMBER('종합 현황'!$H$5)),"관찰기준 확인",IF('종합 현황'!$H$5&lt;1,"관찰기준 확인",IF(N2142&gt;'종합 현황'!$H$5,"내부 관찰 대상","내부 관찰일 이하")))))</x:f>
        <x:v>대상 아님</x:v>
      </x:c>
      <x:c r="AB2142" s="2"/>
    </x:row>
    <x:row r="2143" ht="42" customHeight="1">
      <x:c r="A2143" s="2" t="str">
        <x:v>b5bc0b38fa8043a054f2ae03</x:v>
      </x:c>
      <x:c r="B2143" s="2" t="str">
        <x:v>감축량 인증</x:v>
      </x:c>
      <x:c r="C2143" s="2" t="str">
        <x:v>국내</x:v>
      </x:c>
      <x:c r="D2143" s="7" t="str">
        <x:v>휴켐스(주) 신설 5질산에서 발생하는 아산화질소 배출량 저감사업</x:v>
      </x:c>
      <x:c r="E2143" s="2" t="str">
        <x:v>383</x:v>
      </x:c>
      <x:c r="F2143" s="2"/>
      <x:c r="G2143" s="2" t="str">
        <x:v>미확보</x:v>
      </x:c>
      <x:c r="H2143" s="2" t="str">
        <x:v>미확보</x:v>
      </x:c>
      <x:c r="I2143" s="2" t="str">
        <x:v>심의승인</x:v>
      </x:c>
      <x:c r="J2143" s="2" t="str">
        <x:v>심의승인</x:v>
      </x:c>
      <x:c r="K2143" s="2" t="str">
        <x:f>IF(OR(J2143="심의승인",J2143="반려",J2143="반려완료",J2143="심의완료"),"종결 표시",IF(OR(J2143="기후부협의",J2143="문서재제출요청",J2143="보류",J2143="보완요청",J2143="보완완료",J2143="평가중",J2143="반려요청",J2143="평가필요",LEFT(J2143,5)="보완요청("),"미종결 표시","상태 확인 필요"))</x:f>
        <x:v>종결 표시</x:v>
      </x:c>
      <x:c r="L2143" s="2"/>
      <x:c r="M2143" s="2"/>
      <x:c r="N2143" s="8"/>
      <x:c r="O2143" s="2"/>
      <x:c r="P2143" s="2"/>
      <x:c r="Q2143" s="2" t="str">
        <x:v>산업전환_외부사업관리Tool_260707_이너젠 수정_LJY_261013.xlsx</x:v>
      </x:c>
      <x:c r="R2143" s="2" t="str">
        <x:v>국내인증</x:v>
      </x:c>
      <x:c r="S2143" s="8" t="n">
        <x:v>461</x:v>
      </x:c>
      <x:c r="T2143" s="2"/>
      <x:c r="U2143" s="2" t="str"/>
      <x:c r="V2143" s="2" t="str">
        <x:v>2020-08-12</x:v>
      </x:c>
      <x:c r="W2143" s="2" t="str">
        <x:v>신청일 확인 / 담당기관 확인</x:v>
      </x:c>
      <x:c r="X2143" s="2" t="str">
        <x:v>원본·배정 기록 확인</x:v>
      </x:c>
      <x:c r="Y2143" s="2" t="str">
        <x:v>ad210cd9ec132cfd447541c8984dc53d30aff0f4fb2dc92d254d49275cc55976</x:v>
      </x:c>
      <x:c r="Z2143" s="2" t="n">
        <x:f>SUBTOTAL(103,A2143)</x:f>
        <x:v>1</x:v>
      </x:c>
      <x:c r="AA2143" s="2" t="str">
        <x:f>IF(K2143&lt;&gt;"미종결 표시","대상 아님",IF(N2143="","신청일 확인",IF(NOT(ISNUMBER('종합 현황'!$H$5)),"관찰기준 확인",IF('종합 현황'!$H$5&lt;1,"관찰기준 확인",IF(N2143&gt;'종합 현황'!$H$5,"내부 관찰 대상","내부 관찰일 이하")))))</x:f>
        <x:v>대상 아님</x:v>
      </x:c>
      <x:c r="AB2143" s="2"/>
    </x:row>
    <x:row r="2144" ht="42" customHeight="1">
      <x:c r="A2144" s="2" t="str">
        <x:v>dcd8ff044ba183d305088453</x:v>
      </x:c>
      <x:c r="B2144" s="2" t="str">
        <x:v>감축량 인증</x:v>
      </x:c>
      <x:c r="C2144" s="2" t="str">
        <x:v>국내</x:v>
      </x:c>
      <x:c r="D2144" s="7" t="str">
        <x:v>시화호 조력발전 사업</x:v>
      </x:c>
      <x:c r="E2144" s="2" t="str">
        <x:v>384</x:v>
      </x:c>
      <x:c r="F2144" s="2"/>
      <x:c r="G2144" s="2" t="str">
        <x:v>미확보</x:v>
      </x:c>
      <x:c r="H2144" s="2" t="str">
        <x:v>미확보</x:v>
      </x:c>
      <x:c r="I2144" s="2" t="str">
        <x:v>심의승인</x:v>
      </x:c>
      <x:c r="J2144" s="2" t="str">
        <x:v>심의승인</x:v>
      </x:c>
      <x:c r="K2144" s="2" t="str">
        <x:f>IF(OR(J2144="심의승인",J2144="반려",J2144="반려완료",J2144="심의완료"),"종결 표시",IF(OR(J2144="기후부협의",J2144="문서재제출요청",J2144="보류",J2144="보완요청",J2144="보완완료",J2144="평가중",J2144="반려요청",J2144="평가필요",LEFT(J2144,5)="보완요청("),"미종결 표시","상태 확인 필요"))</x:f>
        <x:v>종결 표시</x:v>
      </x:c>
      <x:c r="L2144" s="2"/>
      <x:c r="M2144" s="2"/>
      <x:c r="N2144" s="8"/>
      <x:c r="O2144" s="2"/>
      <x:c r="P2144" s="2"/>
      <x:c r="Q2144" s="2" t="str">
        <x:v>산업전환_외부사업관리Tool_260707_이너젠 수정_LJY_261013.xlsx</x:v>
      </x:c>
      <x:c r="R2144" s="2" t="str">
        <x:v>국내인증</x:v>
      </x:c>
      <x:c r="S2144" s="8" t="n">
        <x:v>462</x:v>
      </x:c>
      <x:c r="T2144" s="2"/>
      <x:c r="U2144" s="2" t="str"/>
      <x:c r="V2144" s="2" t="str">
        <x:v>2020-08-12</x:v>
      </x:c>
      <x:c r="W2144" s="2" t="str">
        <x:v>신청일 확인 / 담당기관 확인</x:v>
      </x:c>
      <x:c r="X2144" s="2" t="str">
        <x:v>원본·배정 기록 확인</x:v>
      </x:c>
      <x:c r="Y2144" s="2" t="str">
        <x:v>ad210cd9ec132cfd447541c8984dc53d30aff0f4fb2dc92d254d49275cc55976</x:v>
      </x:c>
      <x:c r="Z2144" s="2" t="n">
        <x:f>SUBTOTAL(103,A2144)</x:f>
        <x:v>1</x:v>
      </x:c>
      <x:c r="AA2144" s="2" t="str">
        <x:f>IF(K2144&lt;&gt;"미종결 표시","대상 아님",IF(N2144="","신청일 확인",IF(NOT(ISNUMBER('종합 현황'!$H$5)),"관찰기준 확인",IF('종합 현황'!$H$5&lt;1,"관찰기준 확인",IF(N2144&gt;'종합 현황'!$H$5,"내부 관찰 대상","내부 관찰일 이하")))))</x:f>
        <x:v>대상 아님</x:v>
      </x:c>
      <x:c r="AB2144" s="2"/>
    </x:row>
    <x:row r="2145" ht="42" customHeight="1">
      <x:c r="A2145" s="2" t="str">
        <x:v>ffebcba98f9fd753ab19dd94</x:v>
      </x:c>
      <x:c r="B2145" s="2" t="str">
        <x:v>감축량 인증</x:v>
      </x:c>
      <x:c r="C2145" s="2" t="str">
        <x:v>국내</x:v>
      </x:c>
      <x:c r="D2145" s="7" t="str">
        <x:v>3MW 신안풍력발전사업</x:v>
      </x:c>
      <x:c r="E2145" s="2" t="str">
        <x:v>385</x:v>
      </x:c>
      <x:c r="F2145" s="2"/>
      <x:c r="G2145" s="2" t="str">
        <x:v>미확보</x:v>
      </x:c>
      <x:c r="H2145" s="2" t="str">
        <x:v>미확보</x:v>
      </x:c>
      <x:c r="I2145" s="2" t="str">
        <x:v>심의승인</x:v>
      </x:c>
      <x:c r="J2145" s="2" t="str">
        <x:v>심의승인</x:v>
      </x:c>
      <x:c r="K2145" s="2" t="str">
        <x:f>IF(OR(J2145="심의승인",J2145="반려",J2145="반려완료",J2145="심의완료"),"종결 표시",IF(OR(J2145="기후부협의",J2145="문서재제출요청",J2145="보류",J2145="보완요청",J2145="보완완료",J2145="평가중",J2145="반려요청",J2145="평가필요",LEFT(J2145,5)="보완요청("),"미종결 표시","상태 확인 필요"))</x:f>
        <x:v>종결 표시</x:v>
      </x:c>
      <x:c r="L2145" s="2"/>
      <x:c r="M2145" s="2"/>
      <x:c r="N2145" s="8"/>
      <x:c r="O2145" s="2"/>
      <x:c r="P2145" s="2"/>
      <x:c r="Q2145" s="2" t="str">
        <x:v>산업전환_외부사업관리Tool_260707_이너젠 수정_LJY_261013.xlsx</x:v>
      </x:c>
      <x:c r="R2145" s="2" t="str">
        <x:v>국내인증</x:v>
      </x:c>
      <x:c r="S2145" s="8" t="n">
        <x:v>463</x:v>
      </x:c>
      <x:c r="T2145" s="2"/>
      <x:c r="U2145" s="2" t="str"/>
      <x:c r="V2145" s="2" t="str">
        <x:v>2020-08-12</x:v>
      </x:c>
      <x:c r="W2145" s="2" t="str">
        <x:v>신청일 확인 / 담당기관 확인</x:v>
      </x:c>
      <x:c r="X2145" s="2" t="str">
        <x:v>원본·배정 기록 확인</x:v>
      </x:c>
      <x:c r="Y2145" s="2" t="str">
        <x:v>ad210cd9ec132cfd447541c8984dc53d30aff0f4fb2dc92d254d49275cc55976</x:v>
      </x:c>
      <x:c r="Z2145" s="2" t="n">
        <x:f>SUBTOTAL(103,A2145)</x:f>
        <x:v>1</x:v>
      </x:c>
      <x:c r="AA2145" s="2" t="str">
        <x:f>IF(K2145&lt;&gt;"미종결 표시","대상 아님",IF(N2145="","신청일 확인",IF(NOT(ISNUMBER('종합 현황'!$H$5)),"관찰기준 확인",IF('종합 현황'!$H$5&lt;1,"관찰기준 확인",IF(N2145&gt;'종합 현황'!$H$5,"내부 관찰 대상","내부 관찰일 이하")))))</x:f>
        <x:v>대상 아님</x:v>
      </x:c>
      <x:c r="AB2145" s="2"/>
    </x:row>
    <x:row r="2146" ht="42" customHeight="1">
      <x:c r="A2146" s="2" t="str">
        <x:v>70925fab58cb653d07f269af</x:v>
      </x:c>
      <x:c r="B2146" s="2" t="str">
        <x:v>감축량 인증</x:v>
      </x:c>
      <x:c r="C2146" s="2" t="str">
        <x:v>국내</x:v>
      </x:c>
      <x:c r="D2146" s="7" t="str">
        <x:v>휴켐스 질산공장 N2O 감축사업(휴켐스 주식회사의 질산 공장 세 곳에서 tail gas에 포함된 아산화질소를 촉매를 사용하여 제거하는 프로젝트)</x:v>
      </x:c>
      <x:c r="E2146" s="2" t="str">
        <x:v>386</x:v>
      </x:c>
      <x:c r="F2146" s="2"/>
      <x:c r="G2146" s="2" t="str">
        <x:v>미확보</x:v>
      </x:c>
      <x:c r="H2146" s="2" t="str">
        <x:v>미확보</x:v>
      </x:c>
      <x:c r="I2146" s="2" t="str">
        <x:v>심의승인</x:v>
      </x:c>
      <x:c r="J2146" s="2" t="str">
        <x:v>심의승인</x:v>
      </x:c>
      <x:c r="K2146" s="2" t="str">
        <x:f>IF(OR(J2146="심의승인",J2146="반려",J2146="반려완료",J2146="심의완료"),"종결 표시",IF(OR(J2146="기후부협의",J2146="문서재제출요청",J2146="보류",J2146="보완요청",J2146="보완완료",J2146="평가중",J2146="반려요청",J2146="평가필요",LEFT(J2146,5)="보완요청("),"미종결 표시","상태 확인 필요"))</x:f>
        <x:v>종결 표시</x:v>
      </x:c>
      <x:c r="L2146" s="2"/>
      <x:c r="M2146" s="2"/>
      <x:c r="N2146" s="8"/>
      <x:c r="O2146" s="2"/>
      <x:c r="P2146" s="2"/>
      <x:c r="Q2146" s="2" t="str">
        <x:v>산업전환_외부사업관리Tool_260707_이너젠 수정_LJY_261013.xlsx</x:v>
      </x:c>
      <x:c r="R2146" s="2" t="str">
        <x:v>국내인증</x:v>
      </x:c>
      <x:c r="S2146" s="8" t="n">
        <x:v>464</x:v>
      </x:c>
      <x:c r="T2146" s="2"/>
      <x:c r="U2146" s="2" t="str"/>
      <x:c r="V2146" s="2" t="str">
        <x:v>2020-08-12</x:v>
      </x:c>
      <x:c r="W2146" s="2" t="str">
        <x:v>신청일 확인 / 담당기관 확인</x:v>
      </x:c>
      <x:c r="X2146" s="2" t="str">
        <x:v>원본·배정 기록 확인</x:v>
      </x:c>
      <x:c r="Y2146" s="2" t="str">
        <x:v>ad210cd9ec132cfd447541c8984dc53d30aff0f4fb2dc92d254d49275cc55976</x:v>
      </x:c>
      <x:c r="Z2146" s="2" t="n">
        <x:f>SUBTOTAL(103,A2146)</x:f>
        <x:v>1</x:v>
      </x:c>
      <x:c r="AA2146" s="2" t="str">
        <x:f>IF(K2146&lt;&gt;"미종결 표시","대상 아님",IF(N2146="","신청일 확인",IF(NOT(ISNUMBER('종합 현황'!$H$5)),"관찰기준 확인",IF('종합 현황'!$H$5&lt;1,"관찰기준 확인",IF(N2146&gt;'종합 현황'!$H$5,"내부 관찰 대상","내부 관찰일 이하")))))</x:f>
        <x:v>대상 아님</x:v>
      </x:c>
      <x:c r="AB2146" s="2"/>
    </x:row>
    <x:row r="2147" ht="42" customHeight="1">
      <x:c r="A2147" s="2" t="str">
        <x:v>29c9f78c8acd83d9f5cbe8ff</x:v>
      </x:c>
      <x:c r="B2147" s="2" t="str">
        <x:v>감축량 인증</x:v>
      </x:c>
      <x:c r="C2147" s="2" t="str">
        <x:v>국내</x:v>
      </x:c>
      <x:c r="D2147" s="7" t="str">
        <x:v>한국남부발전 하동-부산 번들 태양광 발전 사업</x:v>
      </x:c>
      <x:c r="E2147" s="2" t="str">
        <x:v>387</x:v>
      </x:c>
      <x:c r="F2147" s="2"/>
      <x:c r="G2147" s="2" t="str">
        <x:v>미확보</x:v>
      </x:c>
      <x:c r="H2147" s="2" t="str">
        <x:v>미확보</x:v>
      </x:c>
      <x:c r="I2147" s="2" t="str">
        <x:v>심의승인</x:v>
      </x:c>
      <x:c r="J2147" s="2" t="str">
        <x:v>심의승인</x:v>
      </x:c>
      <x:c r="K2147" s="2" t="str">
        <x:f>IF(OR(J2147="심의승인",J2147="반려",J2147="반려완료",J2147="심의완료"),"종결 표시",IF(OR(J2147="기후부협의",J2147="문서재제출요청",J2147="보류",J2147="보완요청",J2147="보완완료",J2147="평가중",J2147="반려요청",J2147="평가필요",LEFT(J2147,5)="보완요청("),"미종결 표시","상태 확인 필요"))</x:f>
        <x:v>종결 표시</x:v>
      </x:c>
      <x:c r="L2147" s="2"/>
      <x:c r="M2147" s="2"/>
      <x:c r="N2147" s="8"/>
      <x:c r="O2147" s="2"/>
      <x:c r="P2147" s="2"/>
      <x:c r="Q2147" s="2" t="str">
        <x:v>산업전환_외부사업관리Tool_260707_이너젠 수정_LJY_261013.xlsx</x:v>
      </x:c>
      <x:c r="R2147" s="2" t="str">
        <x:v>국내인증</x:v>
      </x:c>
      <x:c r="S2147" s="8" t="n">
        <x:v>465</x:v>
      </x:c>
      <x:c r="T2147" s="2"/>
      <x:c r="U2147" s="2" t="str"/>
      <x:c r="V2147" s="2" t="str">
        <x:v>2020-10-27</x:v>
      </x:c>
      <x:c r="W2147" s="2" t="str">
        <x:v>신청일 확인 / 담당기관 확인</x:v>
      </x:c>
      <x:c r="X2147" s="2" t="str">
        <x:v>원본·배정 기록 확인</x:v>
      </x:c>
      <x:c r="Y2147" s="2" t="str">
        <x:v>ad210cd9ec132cfd447541c8984dc53d30aff0f4fb2dc92d254d49275cc55976</x:v>
      </x:c>
      <x:c r="Z2147" s="2" t="n">
        <x:f>SUBTOTAL(103,A2147)</x:f>
        <x:v>1</x:v>
      </x:c>
      <x:c r="AA2147" s="2" t="str">
        <x:f>IF(K2147&lt;&gt;"미종결 표시","대상 아님",IF(N2147="","신청일 확인",IF(NOT(ISNUMBER('종합 현황'!$H$5)),"관찰기준 확인",IF('종합 현황'!$H$5&lt;1,"관찰기준 확인",IF(N2147&gt;'종합 현황'!$H$5,"내부 관찰 대상","내부 관찰일 이하")))))</x:f>
        <x:v>대상 아님</x:v>
      </x:c>
      <x:c r="AB2147" s="2"/>
    </x:row>
    <x:row r="2148" ht="42" customHeight="1">
      <x:c r="A2148" s="2" t="str">
        <x:v>42f5c5e9b3e669a659643b88</x:v>
      </x:c>
      <x:c r="B2148" s="2" t="str">
        <x:v>감축량 인증</x:v>
      </x:c>
      <x:c r="C2148" s="2" t="str">
        <x:v>국내</x:v>
      </x:c>
      <x:c r="D2148" s="7" t="str">
        <x:v>성산 풍력발전 건설사업</x:v>
      </x:c>
      <x:c r="E2148" s="2" t="str">
        <x:v>388</x:v>
      </x:c>
      <x:c r="F2148" s="2"/>
      <x:c r="G2148" s="2" t="str">
        <x:v>미확보</x:v>
      </x:c>
      <x:c r="H2148" s="2" t="str">
        <x:v>미확보</x:v>
      </x:c>
      <x:c r="I2148" s="2" t="str">
        <x:v>심의승인</x:v>
      </x:c>
      <x:c r="J2148" s="2" t="str">
        <x:v>심의승인</x:v>
      </x:c>
      <x:c r="K2148" s="2" t="str">
        <x:f>IF(OR(J2148="심의승인",J2148="반려",J2148="반려완료",J2148="심의완료"),"종결 표시",IF(OR(J2148="기후부협의",J2148="문서재제출요청",J2148="보류",J2148="보완요청",J2148="보완완료",J2148="평가중",J2148="반려요청",J2148="평가필요",LEFT(J2148,5)="보완요청("),"미종결 표시","상태 확인 필요"))</x:f>
        <x:v>종결 표시</x:v>
      </x:c>
      <x:c r="L2148" s="2"/>
      <x:c r="M2148" s="2"/>
      <x:c r="N2148" s="8"/>
      <x:c r="O2148" s="2"/>
      <x:c r="P2148" s="2"/>
      <x:c r="Q2148" s="2" t="str">
        <x:v>산업전환_외부사업관리Tool_260707_이너젠 수정_LJY_261013.xlsx</x:v>
      </x:c>
      <x:c r="R2148" s="2" t="str">
        <x:v>국내인증</x:v>
      </x:c>
      <x:c r="S2148" s="8" t="n">
        <x:v>466</x:v>
      </x:c>
      <x:c r="T2148" s="2"/>
      <x:c r="U2148" s="2" t="str"/>
      <x:c r="V2148" s="2" t="str">
        <x:v>2020-10-27</x:v>
      </x:c>
      <x:c r="W2148" s="2" t="str">
        <x:v>신청일 확인 / 담당기관 확인</x:v>
      </x:c>
      <x:c r="X2148" s="2" t="str">
        <x:v>원본·배정 기록 확인</x:v>
      </x:c>
      <x:c r="Y2148" s="2" t="str">
        <x:v>ad210cd9ec132cfd447541c8984dc53d30aff0f4fb2dc92d254d49275cc55976</x:v>
      </x:c>
      <x:c r="Z2148" s="2" t="n">
        <x:f>SUBTOTAL(103,A2148)</x:f>
        <x:v>1</x:v>
      </x:c>
      <x:c r="AA2148" s="2" t="str">
        <x:f>IF(K2148&lt;&gt;"미종결 표시","대상 아님",IF(N2148="","신청일 확인",IF(NOT(ISNUMBER('종합 현황'!$H$5)),"관찰기준 확인",IF('종합 현황'!$H$5&lt;1,"관찰기준 확인",IF(N2148&gt;'종합 현황'!$H$5,"내부 관찰 대상","내부 관찰일 이하")))))</x:f>
        <x:v>대상 아님</x:v>
      </x:c>
      <x:c r="AB2148" s="2"/>
    </x:row>
    <x:row r="2149" ht="42" customHeight="1">
      <x:c r="A2149" s="2" t="str">
        <x:v>3ed07d6589c1898e24445d42</x:v>
      </x:c>
      <x:c r="B2149" s="2" t="str">
        <x:v>감축량 인증</x:v>
      </x:c>
      <x:c r="C2149" s="2" t="str">
        <x:v>국내</x:v>
      </x:c>
      <x:c r="D2149" s="7" t="str">
        <x:v>휴켐스(주) 신설 5질산에서 발생하는 아산화질소 배출량 저감사업</x:v>
      </x:c>
      <x:c r="E2149" s="2" t="str">
        <x:v>389</x:v>
      </x:c>
      <x:c r="F2149" s="2"/>
      <x:c r="G2149" s="2" t="str">
        <x:v>미확보</x:v>
      </x:c>
      <x:c r="H2149" s="2" t="str">
        <x:v>미확보</x:v>
      </x:c>
      <x:c r="I2149" s="2" t="str">
        <x:v>심의승인</x:v>
      </x:c>
      <x:c r="J2149" s="2" t="str">
        <x:v>심의승인</x:v>
      </x:c>
      <x:c r="K2149" s="2" t="str">
        <x:f>IF(OR(J2149="심의승인",J2149="반려",J2149="반려완료",J2149="심의완료"),"종결 표시",IF(OR(J2149="기후부협의",J2149="문서재제출요청",J2149="보류",J2149="보완요청",J2149="보완완료",J2149="평가중",J2149="반려요청",J2149="평가필요",LEFT(J2149,5)="보완요청("),"미종결 표시","상태 확인 필요"))</x:f>
        <x:v>종결 표시</x:v>
      </x:c>
      <x:c r="L2149" s="2"/>
      <x:c r="M2149" s="2"/>
      <x:c r="N2149" s="8"/>
      <x:c r="O2149" s="2"/>
      <x:c r="P2149" s="2"/>
      <x:c r="Q2149" s="2" t="str">
        <x:v>산업전환_외부사업관리Tool_260707_이너젠 수정_LJY_261013.xlsx</x:v>
      </x:c>
      <x:c r="R2149" s="2" t="str">
        <x:v>국내인증</x:v>
      </x:c>
      <x:c r="S2149" s="8" t="n">
        <x:v>467</x:v>
      </x:c>
      <x:c r="T2149" s="2"/>
      <x:c r="U2149" s="2" t="str"/>
      <x:c r="V2149" s="2" t="str">
        <x:v>2020-08-12</x:v>
      </x:c>
      <x:c r="W2149" s="2" t="str">
        <x:v>신청일 확인 / 담당기관 확인</x:v>
      </x:c>
      <x:c r="X2149" s="2" t="str">
        <x:v>원본·배정 기록 확인</x:v>
      </x:c>
      <x:c r="Y2149" s="2" t="str">
        <x:v>ad210cd9ec132cfd447541c8984dc53d30aff0f4fb2dc92d254d49275cc55976</x:v>
      </x:c>
      <x:c r="Z2149" s="2" t="n">
        <x:f>SUBTOTAL(103,A2149)</x:f>
        <x:v>1</x:v>
      </x:c>
      <x:c r="AA2149" s="2" t="str">
        <x:f>IF(K2149&lt;&gt;"미종결 표시","대상 아님",IF(N2149="","신청일 확인",IF(NOT(ISNUMBER('종합 현황'!$H$5)),"관찰기준 확인",IF('종합 현황'!$H$5&lt;1,"관찰기준 확인",IF(N2149&gt;'종합 현황'!$H$5,"내부 관찰 대상","내부 관찰일 이하")))))</x:f>
        <x:v>대상 아님</x:v>
      </x:c>
      <x:c r="AB2149" s="2"/>
    </x:row>
    <x:row r="2150" ht="42" customHeight="1">
      <x:c r="A2150" s="2" t="str">
        <x:v>d13109305322526a3ad94da2</x:v>
      </x:c>
      <x:c r="B2150" s="2" t="str">
        <x:v>감축량 인증</x:v>
      </x:c>
      <x:c r="C2150" s="2" t="str">
        <x:v>국내</x:v>
      </x:c>
      <x:c r="D2150" s="7" t="str">
        <x:v>㈜한화 울산소재 질산공장 N2O 감축 프로젝트</x:v>
      </x:c>
      <x:c r="E2150" s="2" t="str">
        <x:v>390</x:v>
      </x:c>
      <x:c r="F2150" s="2"/>
      <x:c r="G2150" s="2" t="str">
        <x:v>미확보</x:v>
      </x:c>
      <x:c r="H2150" s="2" t="str">
        <x:v>미확보</x:v>
      </x:c>
      <x:c r="I2150" s="2" t="str">
        <x:v>심의승인</x:v>
      </x:c>
      <x:c r="J2150" s="2" t="str">
        <x:v>심의승인</x:v>
      </x:c>
      <x:c r="K2150" s="2" t="str">
        <x:f>IF(OR(J2150="심의승인",J2150="반려",J2150="반려완료",J2150="심의완료"),"종결 표시",IF(OR(J2150="기후부협의",J2150="문서재제출요청",J2150="보류",J2150="보완요청",J2150="보완완료",J2150="평가중",J2150="반려요청",J2150="평가필요",LEFT(J2150,5)="보완요청("),"미종결 표시","상태 확인 필요"))</x:f>
        <x:v>종결 표시</x:v>
      </x:c>
      <x:c r="L2150" s="2"/>
      <x:c r="M2150" s="2"/>
      <x:c r="N2150" s="8"/>
      <x:c r="O2150" s="2"/>
      <x:c r="P2150" s="2"/>
      <x:c r="Q2150" s="2" t="str">
        <x:v>산업전환_외부사업관리Tool_260707_이너젠 수정_LJY_261013.xlsx</x:v>
      </x:c>
      <x:c r="R2150" s="2" t="str">
        <x:v>국내인증</x:v>
      </x:c>
      <x:c r="S2150" s="8" t="n">
        <x:v>468</x:v>
      </x:c>
      <x:c r="T2150" s="2"/>
      <x:c r="U2150" s="2" t="str"/>
      <x:c r="V2150" s="2" t="str">
        <x:v>2020-08-12</x:v>
      </x:c>
      <x:c r="W2150" s="2" t="str">
        <x:v>신청일 확인 / 담당기관 확인</x:v>
      </x:c>
      <x:c r="X2150" s="2" t="str">
        <x:v>원본·배정 기록 확인</x:v>
      </x:c>
      <x:c r="Y2150" s="2" t="str">
        <x:v>ad210cd9ec132cfd447541c8984dc53d30aff0f4fb2dc92d254d49275cc55976</x:v>
      </x:c>
      <x:c r="Z2150" s="2" t="n">
        <x:f>SUBTOTAL(103,A2150)</x:f>
        <x:v>1</x:v>
      </x:c>
      <x:c r="AA2150" s="2" t="str">
        <x:f>IF(K2150&lt;&gt;"미종결 표시","대상 아님",IF(N2150="","신청일 확인",IF(NOT(ISNUMBER('종합 현황'!$H$5)),"관찰기준 확인",IF('종합 현황'!$H$5&lt;1,"관찰기준 확인",IF(N2150&gt;'종합 현황'!$H$5,"내부 관찰 대상","내부 관찰일 이하")))))</x:f>
        <x:v>대상 아님</x:v>
      </x:c>
      <x:c r="AB2150" s="2"/>
    </x:row>
    <x:row r="2151" ht="42" customHeight="1">
      <x:c r="A2151" s="2" t="str">
        <x:v>ddc0eeea1522dd10b921d820</x:v>
      </x:c>
      <x:c r="B2151" s="2" t="str">
        <x:v>감축량 인증</x:v>
      </x:c>
      <x:c r="C2151" s="2" t="str">
        <x:v>국내</x:v>
      </x:c>
      <x:c r="D2151" s="7" t="str">
        <x:v>시화호 조력발전 사업</x:v>
      </x:c>
      <x:c r="E2151" s="2" t="str">
        <x:v>391</x:v>
      </x:c>
      <x:c r="F2151" s="2"/>
      <x:c r="G2151" s="2" t="str">
        <x:v>미확보</x:v>
      </x:c>
      <x:c r="H2151" s="2" t="str">
        <x:v>미확보</x:v>
      </x:c>
      <x:c r="I2151" s="2" t="str">
        <x:v>심의승인</x:v>
      </x:c>
      <x:c r="J2151" s="2" t="str">
        <x:v>심의승인</x:v>
      </x:c>
      <x:c r="K2151" s="2" t="str">
        <x:f>IF(OR(J2151="심의승인",J2151="반려",J2151="반려완료",J2151="심의완료"),"종결 표시",IF(OR(J2151="기후부협의",J2151="문서재제출요청",J2151="보류",J2151="보완요청",J2151="보완완료",J2151="평가중",J2151="반려요청",J2151="평가필요",LEFT(J2151,5)="보완요청("),"미종결 표시","상태 확인 필요"))</x:f>
        <x:v>종결 표시</x:v>
      </x:c>
      <x:c r="L2151" s="2"/>
      <x:c r="M2151" s="2"/>
      <x:c r="N2151" s="8"/>
      <x:c r="O2151" s="2"/>
      <x:c r="P2151" s="2"/>
      <x:c r="Q2151" s="2" t="str">
        <x:v>산업전환_외부사업관리Tool_260707_이너젠 수정_LJY_261013.xlsx</x:v>
      </x:c>
      <x:c r="R2151" s="2" t="str">
        <x:v>국내인증</x:v>
      </x:c>
      <x:c r="S2151" s="8" t="n">
        <x:v>469</x:v>
      </x:c>
      <x:c r="T2151" s="2"/>
      <x:c r="U2151" s="2" t="str"/>
      <x:c r="V2151" s="2" t="str">
        <x:v>2020-08-12</x:v>
      </x:c>
      <x:c r="W2151" s="2" t="str">
        <x:v>신청일 확인 / 담당기관 확인</x:v>
      </x:c>
      <x:c r="X2151" s="2" t="str">
        <x:v>원본·배정 기록 확인</x:v>
      </x:c>
      <x:c r="Y2151" s="2" t="str">
        <x:v>ad210cd9ec132cfd447541c8984dc53d30aff0f4fb2dc92d254d49275cc55976</x:v>
      </x:c>
      <x:c r="Z2151" s="2" t="n">
        <x:f>SUBTOTAL(103,A2151)</x:f>
        <x:v>1</x:v>
      </x:c>
      <x:c r="AA2151" s="2" t="str">
        <x:f>IF(K2151&lt;&gt;"미종결 표시","대상 아님",IF(N2151="","신청일 확인",IF(NOT(ISNUMBER('종합 현황'!$H$5)),"관찰기준 확인",IF('종합 현황'!$H$5&lt;1,"관찰기준 확인",IF(N2151&gt;'종합 현황'!$H$5,"내부 관찰 대상","내부 관찰일 이하")))))</x:f>
        <x:v>대상 아님</x:v>
      </x:c>
      <x:c r="AB2151" s="2"/>
    </x:row>
    <x:row r="2152" ht="42" customHeight="1">
      <x:c r="A2152" s="2" t="str">
        <x:v>2c8d7649f8d94d409f1c2307</x:v>
      </x:c>
      <x:c r="B2152" s="2" t="str">
        <x:v>감축량 인증</x:v>
      </x:c>
      <x:c r="C2152" s="2" t="str">
        <x:v>국내</x:v>
      </x:c>
      <x:c r="D2152" s="7" t="str">
        <x:v>부옥물산의 B-C유에서 LNG로 연료전환을 통한 온실가스 배출 감축사업</x:v>
      </x:c>
      <x:c r="E2152" s="2" t="str">
        <x:v>392</x:v>
      </x:c>
      <x:c r="F2152" s="2"/>
      <x:c r="G2152" s="2" t="str">
        <x:v>미확보</x:v>
      </x:c>
      <x:c r="H2152" s="2" t="str">
        <x:v>미확보</x:v>
      </x:c>
      <x:c r="I2152" s="2" t="str">
        <x:v>심의승인</x:v>
      </x:c>
      <x:c r="J2152" s="2" t="str">
        <x:v>심의승인</x:v>
      </x:c>
      <x:c r="K2152" s="2" t="str">
        <x:f>IF(OR(J2152="심의승인",J2152="반려",J2152="반려완료",J2152="심의완료"),"종결 표시",IF(OR(J2152="기후부협의",J2152="문서재제출요청",J2152="보류",J2152="보완요청",J2152="보완완료",J2152="평가중",J2152="반려요청",J2152="평가필요",LEFT(J2152,5)="보완요청("),"미종결 표시","상태 확인 필요"))</x:f>
        <x:v>종결 표시</x:v>
      </x:c>
      <x:c r="L2152" s="2"/>
      <x:c r="M2152" s="2"/>
      <x:c r="N2152" s="8"/>
      <x:c r="O2152" s="2"/>
      <x:c r="P2152" s="2"/>
      <x:c r="Q2152" s="2" t="str">
        <x:v>산업전환_외부사업관리Tool_260707_이너젠 수정_LJY_261013.xlsx</x:v>
      </x:c>
      <x:c r="R2152" s="2" t="str">
        <x:v>국내인증</x:v>
      </x:c>
      <x:c r="S2152" s="8" t="n">
        <x:v>470</x:v>
      </x:c>
      <x:c r="T2152" s="2"/>
      <x:c r="U2152" s="2" t="str"/>
      <x:c r="V2152" s="2" t="str">
        <x:v>2020-10-27</x:v>
      </x:c>
      <x:c r="W2152" s="2" t="str">
        <x:v>신청일 확인 / 담당기관 확인</x:v>
      </x:c>
      <x:c r="X2152" s="2" t="str">
        <x:v>원본·배정 기록 확인</x:v>
      </x:c>
      <x:c r="Y2152" s="2" t="str">
        <x:v>ad210cd9ec132cfd447541c8984dc53d30aff0f4fb2dc92d254d49275cc55976</x:v>
      </x:c>
      <x:c r="Z2152" s="2" t="n">
        <x:f>SUBTOTAL(103,A2152)</x:f>
        <x:v>1</x:v>
      </x:c>
      <x:c r="AA2152" s="2" t="str">
        <x:f>IF(K2152&lt;&gt;"미종결 표시","대상 아님",IF(N2152="","신청일 확인",IF(NOT(ISNUMBER('종합 현황'!$H$5)),"관찰기준 확인",IF('종합 현황'!$H$5&lt;1,"관찰기준 확인",IF(N2152&gt;'종합 현황'!$H$5,"내부 관찰 대상","내부 관찰일 이하")))))</x:f>
        <x:v>대상 아님</x:v>
      </x:c>
      <x:c r="AB2152" s="2"/>
    </x:row>
    <x:row r="2153" ht="42" customHeight="1">
      <x:c r="A2153" s="2" t="str">
        <x:v>a653a35988a7601f3be84a4e</x:v>
      </x:c>
      <x:c r="B2153" s="2" t="str">
        <x:v>감축량 인증</x:v>
      </x:c>
      <x:c r="C2153" s="2" t="str">
        <x:v>국내</x:v>
      </x:c>
      <x:c r="D2153" s="7" t="str">
        <x:v>덕성 수원사업장의 B-A유에서 LNG로 연료전환을 통한 온실가스 배출 감축사업</x:v>
      </x:c>
      <x:c r="E2153" s="2" t="str">
        <x:v>393</x:v>
      </x:c>
      <x:c r="F2153" s="2"/>
      <x:c r="G2153" s="2" t="str">
        <x:v>미확보</x:v>
      </x:c>
      <x:c r="H2153" s="2" t="str">
        <x:v>미확보</x:v>
      </x:c>
      <x:c r="I2153" s="2" t="str">
        <x:v>심의승인</x:v>
      </x:c>
      <x:c r="J2153" s="2" t="str">
        <x:v>심의승인</x:v>
      </x:c>
      <x:c r="K2153" s="2" t="str">
        <x:f>IF(OR(J2153="심의승인",J2153="반려",J2153="반려완료",J2153="심의완료"),"종결 표시",IF(OR(J2153="기후부협의",J2153="문서재제출요청",J2153="보류",J2153="보완요청",J2153="보완완료",J2153="평가중",J2153="반려요청",J2153="평가필요",LEFT(J2153,5)="보완요청("),"미종결 표시","상태 확인 필요"))</x:f>
        <x:v>종결 표시</x:v>
      </x:c>
      <x:c r="L2153" s="2"/>
      <x:c r="M2153" s="2"/>
      <x:c r="N2153" s="8"/>
      <x:c r="O2153" s="2"/>
      <x:c r="P2153" s="2"/>
      <x:c r="Q2153" s="2" t="str">
        <x:v>산업전환_외부사업관리Tool_260707_이너젠 수정_LJY_261013.xlsx</x:v>
      </x:c>
      <x:c r="R2153" s="2" t="str">
        <x:v>국내인증</x:v>
      </x:c>
      <x:c r="S2153" s="8" t="n">
        <x:v>471</x:v>
      </x:c>
      <x:c r="T2153" s="2" t="str">
        <x:v>(4/23),(8/3)</x:v>
      </x:c>
      <x:c r="U2153" s="2" t="str">
        <x:v>2021 배정: (4/23),(8/3)</x:v>
      </x:c>
      <x:c r="V2153" s="2" t="str">
        <x:v>2021-10-07</x:v>
      </x:c>
      <x:c r="W2153" s="2" t="str">
        <x:v>신청일 확인 / 담당기관 확인</x:v>
      </x:c>
      <x:c r="X2153" s="2" t="str">
        <x:v>원본·배정 기록 확인</x:v>
      </x:c>
      <x:c r="Y2153" s="2" t="str">
        <x:v>ad210cd9ec132cfd447541c8984dc53d30aff0f4fb2dc92d254d49275cc55976</x:v>
      </x:c>
      <x:c r="Z2153" s="2" t="n">
        <x:f>SUBTOTAL(103,A2153)</x:f>
        <x:v>1</x:v>
      </x:c>
      <x:c r="AA2153" s="2" t="str">
        <x:f>IF(K2153&lt;&gt;"미종결 표시","대상 아님",IF(N2153="","신청일 확인",IF(NOT(ISNUMBER('종합 현황'!$H$5)),"관찰기준 확인",IF('종합 현황'!$H$5&lt;1,"관찰기준 확인",IF(N2153&gt;'종합 현황'!$H$5,"내부 관찰 대상","내부 관찰일 이하")))))</x:f>
        <x:v>대상 아님</x:v>
      </x:c>
      <x:c r="AB2153" s="2"/>
    </x:row>
    <x:row r="2154" ht="42" customHeight="1">
      <x:c r="A2154" s="2" t="str">
        <x:v>3c07dc311bc2e5e8b4a9ea86</x:v>
      </x:c>
      <x:c r="B2154" s="2" t="str">
        <x:v>감축량 인증</x:v>
      </x:c>
      <x:c r="C2154" s="2" t="str">
        <x:v>국내</x:v>
      </x:c>
      <x:c r="D2154" s="7" t="str">
        <x:v>한국토지주택공사 국민임대주택 태양광 발전 번들링 CDM사업</x:v>
      </x:c>
      <x:c r="E2154" s="2" t="str">
        <x:v>394</x:v>
      </x:c>
      <x:c r="F2154" s="2"/>
      <x:c r="G2154" s="2" t="str">
        <x:v>미확보</x:v>
      </x:c>
      <x:c r="H2154" s="2" t="str">
        <x:v>미확보</x:v>
      </x:c>
      <x:c r="I2154" s="2" t="str">
        <x:v>심의승인</x:v>
      </x:c>
      <x:c r="J2154" s="2" t="str">
        <x:v>심의승인</x:v>
      </x:c>
      <x:c r="K2154" s="2" t="str">
        <x:f>IF(OR(J2154="심의승인",J2154="반려",J2154="반려완료",J2154="심의완료"),"종결 표시",IF(OR(J2154="기후부협의",J2154="문서재제출요청",J2154="보류",J2154="보완요청",J2154="보완완료",J2154="평가중",J2154="반려요청",J2154="평가필요",LEFT(J2154,5)="보완요청("),"미종결 표시","상태 확인 필요"))</x:f>
        <x:v>종결 표시</x:v>
      </x:c>
      <x:c r="L2154" s="2"/>
      <x:c r="M2154" s="2"/>
      <x:c r="N2154" s="8"/>
      <x:c r="O2154" s="2"/>
      <x:c r="P2154" s="2"/>
      <x:c r="Q2154" s="2" t="str">
        <x:v>산업전환_외부사업관리Tool_260707_이너젠 수정_LJY_261013.xlsx</x:v>
      </x:c>
      <x:c r="R2154" s="2" t="str">
        <x:v>국내인증</x:v>
      </x:c>
      <x:c r="S2154" s="8" t="n">
        <x:v>472</x:v>
      </x:c>
      <x:c r="T2154" s="2"/>
      <x:c r="U2154" s="2" t="str"/>
      <x:c r="V2154" s="2" t="str">
        <x:v>2020-10-27</x:v>
      </x:c>
      <x:c r="W2154" s="2" t="str">
        <x:v>신청일 확인 / 담당기관 확인</x:v>
      </x:c>
      <x:c r="X2154" s="2" t="str">
        <x:v>원본·배정 기록 확인</x:v>
      </x:c>
      <x:c r="Y2154" s="2" t="str">
        <x:v>ad210cd9ec132cfd447541c8984dc53d30aff0f4fb2dc92d254d49275cc55976</x:v>
      </x:c>
      <x:c r="Z2154" s="2" t="n">
        <x:f>SUBTOTAL(103,A2154)</x:f>
        <x:v>1</x:v>
      </x:c>
      <x:c r="AA2154" s="2" t="str">
        <x:f>IF(K2154&lt;&gt;"미종결 표시","대상 아님",IF(N2154="","신청일 확인",IF(NOT(ISNUMBER('종합 현황'!$H$5)),"관찰기준 확인",IF('종합 현황'!$H$5&lt;1,"관찰기준 확인",IF(N2154&gt;'종합 현황'!$H$5,"내부 관찰 대상","내부 관찰일 이하")))))</x:f>
        <x:v>대상 아님</x:v>
      </x:c>
      <x:c r="AB2154" s="2"/>
    </x:row>
    <x:row r="2155" ht="42" customHeight="1">
      <x:c r="A2155" s="2" t="str">
        <x:v>25bd7f3fa4b05d09a16aecb4</x:v>
      </x:c>
      <x:c r="B2155" s="2" t="str">
        <x:v>감축량 인증</x:v>
      </x:c>
      <x:c r="C2155" s="2" t="str">
        <x:v>국내</x:v>
      </x:c>
      <x:c r="D2155" s="7" t="str">
        <x:v>LG 화학 나주 공장 연료전환 사업</x:v>
      </x:c>
      <x:c r="E2155" s="2" t="str">
        <x:v>395</x:v>
      </x:c>
      <x:c r="F2155" s="2"/>
      <x:c r="G2155" s="2" t="str">
        <x:v>미확보</x:v>
      </x:c>
      <x:c r="H2155" s="2" t="str">
        <x:v>미확보</x:v>
      </x:c>
      <x:c r="I2155" s="2" t="str">
        <x:v>심의승인</x:v>
      </x:c>
      <x:c r="J2155" s="2" t="str">
        <x:v>심의승인</x:v>
      </x:c>
      <x:c r="K2155" s="2" t="str">
        <x:f>IF(OR(J2155="심의승인",J2155="반려",J2155="반려완료",J2155="심의완료"),"종결 표시",IF(OR(J2155="기후부협의",J2155="문서재제출요청",J2155="보류",J2155="보완요청",J2155="보완완료",J2155="평가중",J2155="반려요청",J2155="평가필요",LEFT(J2155,5)="보완요청("),"미종결 표시","상태 확인 필요"))</x:f>
        <x:v>종결 표시</x:v>
      </x:c>
      <x:c r="L2155" s="2"/>
      <x:c r="M2155" s="2"/>
      <x:c r="N2155" s="8"/>
      <x:c r="O2155" s="2"/>
      <x:c r="P2155" s="2"/>
      <x:c r="Q2155" s="2" t="str">
        <x:v>산업전환_외부사업관리Tool_260707_이너젠 수정_LJY_261013.xlsx</x:v>
      </x:c>
      <x:c r="R2155" s="2" t="str">
        <x:v>국내인증</x:v>
      </x:c>
      <x:c r="S2155" s="8" t="n">
        <x:v>473</x:v>
      </x:c>
      <x:c r="T2155" s="2"/>
      <x:c r="U2155" s="2" t="str"/>
      <x:c r="V2155" s="2" t="str">
        <x:v>2020-10-27</x:v>
      </x:c>
      <x:c r="W2155" s="2" t="str">
        <x:v>신청일 확인 / 담당기관 확인</x:v>
      </x:c>
      <x:c r="X2155" s="2" t="str">
        <x:v>원본·배정 기록 확인</x:v>
      </x:c>
      <x:c r="Y2155" s="2" t="str">
        <x:v>ad210cd9ec132cfd447541c8984dc53d30aff0f4fb2dc92d254d49275cc55976</x:v>
      </x:c>
      <x:c r="Z2155" s="2" t="n">
        <x:f>SUBTOTAL(103,A2155)</x:f>
        <x:v>1</x:v>
      </x:c>
      <x:c r="AA2155" s="2" t="str">
        <x:f>IF(K2155&lt;&gt;"미종결 표시","대상 아님",IF(N2155="","신청일 확인",IF(NOT(ISNUMBER('종합 현황'!$H$5)),"관찰기준 확인",IF('종합 현황'!$H$5&lt;1,"관찰기준 확인",IF(N2155&gt;'종합 현황'!$H$5,"내부 관찰 대상","내부 관찰일 이하")))))</x:f>
        <x:v>대상 아님</x:v>
      </x:c>
      <x:c r="AB2155" s="2"/>
    </x:row>
    <x:row r="2156" ht="42" customHeight="1">
      <x:c r="A2156" s="2" t="str">
        <x:v>b3dc525d15c41529449d3680</x:v>
      </x:c>
      <x:c r="B2156" s="2" t="str">
        <x:v>감축량 인증</x:v>
      </x:c>
      <x:c r="C2156" s="2" t="str">
        <x:v>국내</x:v>
      </x:c>
      <x:c r="D2156" s="7" t="str">
        <x:v>카프로 N2O 저감 사업</x:v>
      </x:c>
      <x:c r="E2156" s="2" t="str">
        <x:v>396</x:v>
      </x:c>
      <x:c r="F2156" s="2"/>
      <x:c r="G2156" s="2" t="str">
        <x:v>미확보</x:v>
      </x:c>
      <x:c r="H2156" s="2" t="str">
        <x:v>미확보</x:v>
      </x:c>
      <x:c r="I2156" s="2" t="str">
        <x:v>심의승인</x:v>
      </x:c>
      <x:c r="J2156" s="2" t="str">
        <x:v>심의승인</x:v>
      </x:c>
      <x:c r="K2156" s="2" t="str">
        <x:f>IF(OR(J2156="심의승인",J2156="반려",J2156="반려완료",J2156="심의완료"),"종결 표시",IF(OR(J2156="기후부협의",J2156="문서재제출요청",J2156="보류",J2156="보완요청",J2156="보완완료",J2156="평가중",J2156="반려요청",J2156="평가필요",LEFT(J2156,5)="보완요청("),"미종결 표시","상태 확인 필요"))</x:f>
        <x:v>종결 표시</x:v>
      </x:c>
      <x:c r="L2156" s="2"/>
      <x:c r="M2156" s="2"/>
      <x:c r="N2156" s="8"/>
      <x:c r="O2156" s="2"/>
      <x:c r="P2156" s="2"/>
      <x:c r="Q2156" s="2" t="str">
        <x:v>산업전환_외부사업관리Tool_260707_이너젠 수정_LJY_261013.xlsx</x:v>
      </x:c>
      <x:c r="R2156" s="2" t="str">
        <x:v>국내인증</x:v>
      </x:c>
      <x:c r="S2156" s="8" t="n">
        <x:v>474</x:v>
      </x:c>
      <x:c r="T2156" s="2"/>
      <x:c r="U2156" s="2" t="str"/>
      <x:c r="V2156" s="2" t="str">
        <x:v>2020-10-27</x:v>
      </x:c>
      <x:c r="W2156" s="2" t="str">
        <x:v>신청일 확인 / 담당기관 확인</x:v>
      </x:c>
      <x:c r="X2156" s="2" t="str">
        <x:v>원본·배정 기록 확인</x:v>
      </x:c>
      <x:c r="Y2156" s="2" t="str">
        <x:v>ad210cd9ec132cfd447541c8984dc53d30aff0f4fb2dc92d254d49275cc55976</x:v>
      </x:c>
      <x:c r="Z2156" s="2" t="n">
        <x:f>SUBTOTAL(103,A2156)</x:f>
        <x:v>1</x:v>
      </x:c>
      <x:c r="AA2156" s="2" t="str">
        <x:f>IF(K2156&lt;&gt;"미종결 표시","대상 아님",IF(N2156="","신청일 확인",IF(NOT(ISNUMBER('종합 현황'!$H$5)),"관찰기준 확인",IF('종합 현황'!$H$5&lt;1,"관찰기준 확인",IF(N2156&gt;'종합 현황'!$H$5,"내부 관찰 대상","내부 관찰일 이하")))))</x:f>
        <x:v>대상 아님</x:v>
      </x:c>
      <x:c r="AB2156" s="2"/>
    </x:row>
    <x:row r="2157" ht="42" customHeight="1">
      <x:c r="A2157" s="2" t="str">
        <x:v>17fe92255d37db42878a307d</x:v>
      </x:c>
      <x:c r="B2157" s="2" t="str">
        <x:v>감축량 인증</x:v>
      </x:c>
      <x:c r="C2157" s="2" t="str">
        <x:v>국내</x:v>
      </x:c>
      <x:c r="D2157" s="7" t="str">
        <x:v>시화호 조력발전 사업</x:v>
      </x:c>
      <x:c r="E2157" s="2" t="str">
        <x:v>397</x:v>
      </x:c>
      <x:c r="F2157" s="2"/>
      <x:c r="G2157" s="2" t="str">
        <x:v>미확보</x:v>
      </x:c>
      <x:c r="H2157" s="2" t="str">
        <x:v>미확보</x:v>
      </x:c>
      <x:c r="I2157" s="2" t="str">
        <x:v>심의승인</x:v>
      </x:c>
      <x:c r="J2157" s="2" t="str">
        <x:v>심의승인</x:v>
      </x:c>
      <x:c r="K2157" s="2" t="str">
        <x:f>IF(OR(J2157="심의승인",J2157="반려",J2157="반려완료",J2157="심의완료"),"종결 표시",IF(OR(J2157="기후부협의",J2157="문서재제출요청",J2157="보류",J2157="보완요청",J2157="보완완료",J2157="평가중",J2157="반려요청",J2157="평가필요",LEFT(J2157,5)="보완요청("),"미종결 표시","상태 확인 필요"))</x:f>
        <x:v>종결 표시</x:v>
      </x:c>
      <x:c r="L2157" s="2"/>
      <x:c r="M2157" s="2"/>
      <x:c r="N2157" s="8"/>
      <x:c r="O2157" s="2"/>
      <x:c r="P2157" s="2"/>
      <x:c r="Q2157" s="2" t="str">
        <x:v>산업전환_외부사업관리Tool_260707_이너젠 수정_LJY_261013.xlsx</x:v>
      </x:c>
      <x:c r="R2157" s="2" t="str">
        <x:v>국내인증</x:v>
      </x:c>
      <x:c r="S2157" s="8" t="n">
        <x:v>475</x:v>
      </x:c>
      <x:c r="T2157" s="2"/>
      <x:c r="U2157" s="2" t="str"/>
      <x:c r="V2157" s="2" t="str">
        <x:v>2020-10-27</x:v>
      </x:c>
      <x:c r="W2157" s="2" t="str">
        <x:v>신청일 확인 / 담당기관 확인</x:v>
      </x:c>
      <x:c r="X2157" s="2" t="str">
        <x:v>원본·배정 기록 확인</x:v>
      </x:c>
      <x:c r="Y2157" s="2" t="str">
        <x:v>ad210cd9ec132cfd447541c8984dc53d30aff0f4fb2dc92d254d49275cc55976</x:v>
      </x:c>
      <x:c r="Z2157" s="2" t="n">
        <x:f>SUBTOTAL(103,A2157)</x:f>
        <x:v>1</x:v>
      </x:c>
      <x:c r="AA2157" s="2" t="str">
        <x:f>IF(K2157&lt;&gt;"미종결 표시","대상 아님",IF(N2157="","신청일 확인",IF(NOT(ISNUMBER('종합 현황'!$H$5)),"관찰기준 확인",IF('종합 현황'!$H$5&lt;1,"관찰기준 확인",IF(N2157&gt;'종합 현황'!$H$5,"내부 관찰 대상","내부 관찰일 이하")))))</x:f>
        <x:v>대상 아님</x:v>
      </x:c>
      <x:c r="AB2157" s="2"/>
    </x:row>
    <x:row r="2158" ht="42" customHeight="1">
      <x:c r="A2158" s="2" t="str">
        <x:v>26ec309b965dbcf3883df250</x:v>
      </x:c>
      <x:c r="B2158" s="2" t="str">
        <x:v>감축량 인증</x:v>
      </x:c>
      <x:c r="C2158" s="2" t="str">
        <x:v>국내</x:v>
      </x:c>
      <x:c r="D2158" s="7" t="str">
        <x:v>휴켐스 질산공장 N2O 감축사업(휴켐스 주식회사의 질산 공장 세곡에서 tail gas에 포한된 아산화질소를 촉매를 사용하여 제거하는 프로젝트)</x:v>
      </x:c>
      <x:c r="E2158" s="2" t="str">
        <x:v>398</x:v>
      </x:c>
      <x:c r="F2158" s="2"/>
      <x:c r="G2158" s="2" t="str">
        <x:v>미확보</x:v>
      </x:c>
      <x:c r="H2158" s="2" t="str">
        <x:v>미확보</x:v>
      </x:c>
      <x:c r="I2158" s="2" t="str">
        <x:v>심의승인</x:v>
      </x:c>
      <x:c r="J2158" s="2" t="str">
        <x:v>심의승인</x:v>
      </x:c>
      <x:c r="K2158" s="2" t="str">
        <x:f>IF(OR(J2158="심의승인",J2158="반려",J2158="반려완료",J2158="심의완료"),"종결 표시",IF(OR(J2158="기후부협의",J2158="문서재제출요청",J2158="보류",J2158="보완요청",J2158="보완완료",J2158="평가중",J2158="반려요청",J2158="평가필요",LEFT(J2158,5)="보완요청("),"미종결 표시","상태 확인 필요"))</x:f>
        <x:v>종결 표시</x:v>
      </x:c>
      <x:c r="L2158" s="2"/>
      <x:c r="M2158" s="2"/>
      <x:c r="N2158" s="8"/>
      <x:c r="O2158" s="2"/>
      <x:c r="P2158" s="2"/>
      <x:c r="Q2158" s="2" t="str">
        <x:v>산업전환_외부사업관리Tool_260707_이너젠 수정_LJY_261013.xlsx</x:v>
      </x:c>
      <x:c r="R2158" s="2" t="str">
        <x:v>국내인증</x:v>
      </x:c>
      <x:c r="S2158" s="8" t="n">
        <x:v>476</x:v>
      </x:c>
      <x:c r="T2158" s="2"/>
      <x:c r="U2158" s="2" t="str"/>
      <x:c r="V2158" s="2" t="str">
        <x:v>2020-10-27</x:v>
      </x:c>
      <x:c r="W2158" s="2" t="str">
        <x:v>신청일 확인 / 담당기관 확인</x:v>
      </x:c>
      <x:c r="X2158" s="2" t="str">
        <x:v>원본·배정 기록 확인</x:v>
      </x:c>
      <x:c r="Y2158" s="2" t="str">
        <x:v>ad210cd9ec132cfd447541c8984dc53d30aff0f4fb2dc92d254d49275cc55976</x:v>
      </x:c>
      <x:c r="Z2158" s="2" t="n">
        <x:f>SUBTOTAL(103,A2158)</x:f>
        <x:v>1</x:v>
      </x:c>
      <x:c r="AA2158" s="2" t="str">
        <x:f>IF(K2158&lt;&gt;"미종결 표시","대상 아님",IF(N2158="","신청일 확인",IF(NOT(ISNUMBER('종합 현황'!$H$5)),"관찰기준 확인",IF('종합 현황'!$H$5&lt;1,"관찰기준 확인",IF(N2158&gt;'종합 현황'!$H$5,"내부 관찰 대상","내부 관찰일 이하")))))</x:f>
        <x:v>대상 아님</x:v>
      </x:c>
      <x:c r="AB2158" s="2"/>
    </x:row>
    <x:row r="2159" ht="42" customHeight="1">
      <x:c r="A2159" s="2" t="str">
        <x:v>b382897d13045d3a85276c37</x:v>
      </x:c>
      <x:c r="B2159" s="2" t="str">
        <x:v>감축량 인증</x:v>
      </x:c>
      <x:c r="C2159" s="2" t="str">
        <x:v>국내</x:v>
      </x:c>
      <x:c r="D2159" s="7" t="str">
        <x:v>휴켐스(주) 신설 5질산에서 발생하는 아산화질소 배출량 저감사업</x:v>
      </x:c>
      <x:c r="E2159" s="2" t="str">
        <x:v>399</x:v>
      </x:c>
      <x:c r="F2159" s="2"/>
      <x:c r="G2159" s="2" t="str">
        <x:v>미확보</x:v>
      </x:c>
      <x:c r="H2159" s="2" t="str">
        <x:v>미확보</x:v>
      </x:c>
      <x:c r="I2159" s="2" t="str">
        <x:v>심의승인</x:v>
      </x:c>
      <x:c r="J2159" s="2" t="str">
        <x:v>심의승인</x:v>
      </x:c>
      <x:c r="K2159" s="2" t="str">
        <x:f>IF(OR(J2159="심의승인",J2159="반려",J2159="반려완료",J2159="심의완료"),"종결 표시",IF(OR(J2159="기후부협의",J2159="문서재제출요청",J2159="보류",J2159="보완요청",J2159="보완완료",J2159="평가중",J2159="반려요청",J2159="평가필요",LEFT(J2159,5)="보완요청("),"미종결 표시","상태 확인 필요"))</x:f>
        <x:v>종결 표시</x:v>
      </x:c>
      <x:c r="L2159" s="2"/>
      <x:c r="M2159" s="2"/>
      <x:c r="N2159" s="8"/>
      <x:c r="O2159" s="2"/>
      <x:c r="P2159" s="2"/>
      <x:c r="Q2159" s="2" t="str">
        <x:v>산업전환_외부사업관리Tool_260707_이너젠 수정_LJY_261013.xlsx</x:v>
      </x:c>
      <x:c r="R2159" s="2" t="str">
        <x:v>국내인증</x:v>
      </x:c>
      <x:c r="S2159" s="8" t="n">
        <x:v>477</x:v>
      </x:c>
      <x:c r="T2159" s="2"/>
      <x:c r="U2159" s="2" t="str"/>
      <x:c r="V2159" s="2" t="str">
        <x:v>2020-10-27</x:v>
      </x:c>
      <x:c r="W2159" s="2" t="str">
        <x:v>신청일 확인 / 담당기관 확인</x:v>
      </x:c>
      <x:c r="X2159" s="2" t="str">
        <x:v>원본·배정 기록 확인</x:v>
      </x:c>
      <x:c r="Y2159" s="2" t="str">
        <x:v>ad210cd9ec132cfd447541c8984dc53d30aff0f4fb2dc92d254d49275cc55976</x:v>
      </x:c>
      <x:c r="Z2159" s="2" t="n">
        <x:f>SUBTOTAL(103,A2159)</x:f>
        <x:v>1</x:v>
      </x:c>
      <x:c r="AA2159" s="2" t="str">
        <x:f>IF(K2159&lt;&gt;"미종결 표시","대상 아님",IF(N2159="","신청일 확인",IF(NOT(ISNUMBER('종합 현황'!$H$5)),"관찰기준 확인",IF('종합 현황'!$H$5&lt;1,"관찰기준 확인",IF(N2159&gt;'종합 현황'!$H$5,"내부 관찰 대상","내부 관찰일 이하")))))</x:f>
        <x:v>대상 아님</x:v>
      </x:c>
      <x:c r="AB2159" s="2"/>
    </x:row>
    <x:row r="2160" ht="42" customHeight="1">
      <x:c r="A2160" s="2" t="str">
        <x:v>97e545ade64c1ad904b0713a</x:v>
      </x:c>
      <x:c r="B2160" s="2" t="str">
        <x:v>감축량 인증</x:v>
      </x:c>
      <x:c r="C2160" s="2" t="str">
        <x:v>국내</x:v>
      </x:c>
      <x:c r="D2160" s="7" t="str">
        <x:v>(주)한화 울산소재 질산공장 N2O감축 프로젝트</x:v>
      </x:c>
      <x:c r="E2160" s="2" t="str">
        <x:v>400</x:v>
      </x:c>
      <x:c r="F2160" s="2"/>
      <x:c r="G2160" s="2" t="str">
        <x:v>미확보</x:v>
      </x:c>
      <x:c r="H2160" s="2" t="str">
        <x:v>미확보</x:v>
      </x:c>
      <x:c r="I2160" s="2" t="str">
        <x:v>심의승인</x:v>
      </x:c>
      <x:c r="J2160" s="2" t="str">
        <x:v>심의승인</x:v>
      </x:c>
      <x:c r="K2160" s="2" t="str">
        <x:f>IF(OR(J2160="심의승인",J2160="반려",J2160="반려완료",J2160="심의완료"),"종결 표시",IF(OR(J2160="기후부협의",J2160="문서재제출요청",J2160="보류",J2160="보완요청",J2160="보완완료",J2160="평가중",J2160="반려요청",J2160="평가필요",LEFT(J2160,5)="보완요청("),"미종결 표시","상태 확인 필요"))</x:f>
        <x:v>종결 표시</x:v>
      </x:c>
      <x:c r="L2160" s="2"/>
      <x:c r="M2160" s="2"/>
      <x:c r="N2160" s="8"/>
      <x:c r="O2160" s="2"/>
      <x:c r="P2160" s="2"/>
      <x:c r="Q2160" s="2" t="str">
        <x:v>산업전환_외부사업관리Tool_260707_이너젠 수정_LJY_261013.xlsx</x:v>
      </x:c>
      <x:c r="R2160" s="2" t="str">
        <x:v>국내인증</x:v>
      </x:c>
      <x:c r="S2160" s="8" t="n">
        <x:v>478</x:v>
      </x:c>
      <x:c r="T2160" s="2"/>
      <x:c r="U2160" s="2" t="str"/>
      <x:c r="V2160" s="2" t="str">
        <x:v>2020-10-27</x:v>
      </x:c>
      <x:c r="W2160" s="2" t="str">
        <x:v>신청일 확인 / 담당기관 확인</x:v>
      </x:c>
      <x:c r="X2160" s="2" t="str">
        <x:v>원본·배정 기록 확인</x:v>
      </x:c>
      <x:c r="Y2160" s="2" t="str">
        <x:v>ad210cd9ec132cfd447541c8984dc53d30aff0f4fb2dc92d254d49275cc55976</x:v>
      </x:c>
      <x:c r="Z2160" s="2" t="n">
        <x:f>SUBTOTAL(103,A2160)</x:f>
        <x:v>1</x:v>
      </x:c>
      <x:c r="AA2160" s="2" t="str">
        <x:f>IF(K2160&lt;&gt;"미종결 표시","대상 아님",IF(N2160="","신청일 확인",IF(NOT(ISNUMBER('종합 현황'!$H$5)),"관찰기준 확인",IF('종합 현황'!$H$5&lt;1,"관찰기준 확인",IF(N2160&gt;'종합 현황'!$H$5,"내부 관찰 대상","내부 관찰일 이하")))))</x:f>
        <x:v>대상 아님</x:v>
      </x:c>
      <x:c r="AB2160" s="2"/>
    </x:row>
    <x:row r="2161" ht="42" customHeight="1">
      <x:c r="A2161" s="2" t="str">
        <x:v>ca3df679e784f97c28ab5560</x:v>
      </x:c>
      <x:c r="B2161" s="2" t="str">
        <x:v>감축량 인증</x:v>
      </x:c>
      <x:c r="C2161" s="2" t="str">
        <x:v>국내</x:v>
      </x:c>
      <x:c r="D2161" s="7" t="str">
        <x:v>휴켐스 질산공장 N2O 감축사업(휴켐스 주식회사의 질산 공장 세 곳에서 tail gas에 포함된 아산화질소를 촉매를 사용하여 제거하는 프로젝트)</x:v>
      </x:c>
      <x:c r="E2161" s="2" t="str">
        <x:v>401</x:v>
      </x:c>
      <x:c r="F2161" s="2"/>
      <x:c r="G2161" s="2" t="str">
        <x:v>미확보</x:v>
      </x:c>
      <x:c r="H2161" s="2" t="str">
        <x:v>미확보</x:v>
      </x:c>
      <x:c r="I2161" s="2" t="str">
        <x:v>심의승인</x:v>
      </x:c>
      <x:c r="J2161" s="2" t="str">
        <x:v>심의승인</x:v>
      </x:c>
      <x:c r="K2161" s="2" t="str">
        <x:f>IF(OR(J2161="심의승인",J2161="반려",J2161="반려완료",J2161="심의완료"),"종결 표시",IF(OR(J2161="기후부협의",J2161="문서재제출요청",J2161="보류",J2161="보완요청",J2161="보완완료",J2161="평가중",J2161="반려요청",J2161="평가필요",LEFT(J2161,5)="보완요청("),"미종결 표시","상태 확인 필요"))</x:f>
        <x:v>종결 표시</x:v>
      </x:c>
      <x:c r="L2161" s="2"/>
      <x:c r="M2161" s="2"/>
      <x:c r="N2161" s="8"/>
      <x:c r="O2161" s="2"/>
      <x:c r="P2161" s="2"/>
      <x:c r="Q2161" s="2" t="str">
        <x:v>산업전환_외부사업관리Tool_260707_이너젠 수정_LJY_261013.xlsx</x:v>
      </x:c>
      <x:c r="R2161" s="2" t="str">
        <x:v>국내인증</x:v>
      </x:c>
      <x:c r="S2161" s="8" t="n">
        <x:v>479</x:v>
      </x:c>
      <x:c r="T2161" s="2"/>
      <x:c r="U2161" s="2" t="str"/>
      <x:c r="V2161" s="2" t="str">
        <x:v>2020-10-27</x:v>
      </x:c>
      <x:c r="W2161" s="2" t="str">
        <x:v>신청일 확인 / 담당기관 확인</x:v>
      </x:c>
      <x:c r="X2161" s="2" t="str">
        <x:v>원본·배정 기록 확인</x:v>
      </x:c>
      <x:c r="Y2161" s="2" t="str">
        <x:v>ad210cd9ec132cfd447541c8984dc53d30aff0f4fb2dc92d254d49275cc55976</x:v>
      </x:c>
      <x:c r="Z2161" s="2" t="n">
        <x:f>SUBTOTAL(103,A2161)</x:f>
        <x:v>1</x:v>
      </x:c>
      <x:c r="AA2161" s="2" t="str">
        <x:f>IF(K2161&lt;&gt;"미종결 표시","대상 아님",IF(N2161="","신청일 확인",IF(NOT(ISNUMBER('종합 현황'!$H$5)),"관찰기준 확인",IF('종합 현황'!$H$5&lt;1,"관찰기준 확인",IF(N2161&gt;'종합 현황'!$H$5,"내부 관찰 대상","내부 관찰일 이하")))))</x:f>
        <x:v>대상 아님</x:v>
      </x:c>
      <x:c r="AB2161" s="2"/>
    </x:row>
    <x:row r="2162" ht="42" customHeight="1">
      <x:c r="A2162" s="2" t="str">
        <x:v>0f40601301874898be749e46</x:v>
      </x:c>
      <x:c r="B2162" s="2" t="str">
        <x:v>감축량 인증</x:v>
      </x:c>
      <x:c r="C2162" s="2" t="str">
        <x:v>국내</x:v>
      </x:c>
      <x:c r="D2162" s="7" t="str">
        <x:v>휴켐스(주) 신설 5질산에서 발생하는 아산화질소 배출량 저감사업</x:v>
      </x:c>
      <x:c r="E2162" s="2" t="str">
        <x:v>402</x:v>
      </x:c>
      <x:c r="F2162" s="2"/>
      <x:c r="G2162" s="2" t="str">
        <x:v>미확보</x:v>
      </x:c>
      <x:c r="H2162" s="2" t="str">
        <x:v>미확보</x:v>
      </x:c>
      <x:c r="I2162" s="2" t="str">
        <x:v>심의승인</x:v>
      </x:c>
      <x:c r="J2162" s="2" t="str">
        <x:v>심의승인</x:v>
      </x:c>
      <x:c r="K2162" s="2" t="str">
        <x:f>IF(OR(J2162="심의승인",J2162="반려",J2162="반려완료",J2162="심의완료"),"종결 표시",IF(OR(J2162="기후부협의",J2162="문서재제출요청",J2162="보류",J2162="보완요청",J2162="보완완료",J2162="평가중",J2162="반려요청",J2162="평가필요",LEFT(J2162,5)="보완요청("),"미종결 표시","상태 확인 필요"))</x:f>
        <x:v>종결 표시</x:v>
      </x:c>
      <x:c r="L2162" s="2"/>
      <x:c r="M2162" s="2"/>
      <x:c r="N2162" s="8"/>
      <x:c r="O2162" s="2"/>
      <x:c r="P2162" s="2"/>
      <x:c r="Q2162" s="2" t="str">
        <x:v>산업전환_외부사업관리Tool_260707_이너젠 수정_LJY_261013.xlsx</x:v>
      </x:c>
      <x:c r="R2162" s="2" t="str">
        <x:v>국내인증</x:v>
      </x:c>
      <x:c r="S2162" s="8" t="n">
        <x:v>480</x:v>
      </x:c>
      <x:c r="T2162" s="2"/>
      <x:c r="U2162" s="2" t="str"/>
      <x:c r="V2162" s="2" t="str">
        <x:v>2020-10-27</x:v>
      </x:c>
      <x:c r="W2162" s="2" t="str">
        <x:v>신청일 확인 / 담당기관 확인</x:v>
      </x:c>
      <x:c r="X2162" s="2" t="str">
        <x:v>원본·배정 기록 확인</x:v>
      </x:c>
      <x:c r="Y2162" s="2" t="str">
        <x:v>ad210cd9ec132cfd447541c8984dc53d30aff0f4fb2dc92d254d49275cc55976</x:v>
      </x:c>
      <x:c r="Z2162" s="2" t="n">
        <x:f>SUBTOTAL(103,A2162)</x:f>
        <x:v>1</x:v>
      </x:c>
      <x:c r="AA2162" s="2" t="str">
        <x:f>IF(K2162&lt;&gt;"미종결 표시","대상 아님",IF(N2162="","신청일 확인",IF(NOT(ISNUMBER('종합 현황'!$H$5)),"관찰기준 확인",IF('종합 현황'!$H$5&lt;1,"관찰기준 확인",IF(N2162&gt;'종합 현황'!$H$5,"내부 관찰 대상","내부 관찰일 이하")))))</x:f>
        <x:v>대상 아님</x:v>
      </x:c>
      <x:c r="AB2162" s="2"/>
    </x:row>
    <x:row r="2163" ht="42" customHeight="1">
      <x:c r="A2163" s="2" t="str">
        <x:v>c0677003221b9f05c0edee02</x:v>
      </x:c>
      <x:c r="B2163" s="2" t="str">
        <x:v>감축량 인증</x:v>
      </x:c>
      <x:c r="C2163" s="2" t="str">
        <x:v>국내</x:v>
      </x:c>
      <x:c r="D2163" s="7" t="str">
        <x:v>카프로 N2O 저감 사업</x:v>
      </x:c>
      <x:c r="E2163" s="2" t="str">
        <x:v>403</x:v>
      </x:c>
      <x:c r="F2163" s="2"/>
      <x:c r="G2163" s="2" t="str">
        <x:v>미확보</x:v>
      </x:c>
      <x:c r="H2163" s="2" t="str">
        <x:v>미확보</x:v>
      </x:c>
      <x:c r="I2163" s="2" t="str">
        <x:v>심의승인</x:v>
      </x:c>
      <x:c r="J2163" s="2" t="str">
        <x:v>심의승인</x:v>
      </x:c>
      <x:c r="K2163" s="2" t="str">
        <x:f>IF(OR(J2163="심의승인",J2163="반려",J2163="반려완료",J2163="심의완료"),"종결 표시",IF(OR(J2163="기후부협의",J2163="문서재제출요청",J2163="보류",J2163="보완요청",J2163="보완완료",J2163="평가중",J2163="반려요청",J2163="평가필요",LEFT(J2163,5)="보완요청("),"미종결 표시","상태 확인 필요"))</x:f>
        <x:v>종결 표시</x:v>
      </x:c>
      <x:c r="L2163" s="2"/>
      <x:c r="M2163" s="2"/>
      <x:c r="N2163" s="8"/>
      <x:c r="O2163" s="2"/>
      <x:c r="P2163" s="2"/>
      <x:c r="Q2163" s="2" t="str">
        <x:v>산업전환_외부사업관리Tool_260707_이너젠 수정_LJY_261013.xlsx</x:v>
      </x:c>
      <x:c r="R2163" s="2" t="str">
        <x:v>국내인증</x:v>
      </x:c>
      <x:c r="S2163" s="8" t="n">
        <x:v>481</x:v>
      </x:c>
      <x:c r="T2163" s="2"/>
      <x:c r="U2163" s="2" t="str"/>
      <x:c r="V2163" s="2" t="str">
        <x:v>2020-10-27</x:v>
      </x:c>
      <x:c r="W2163" s="2" t="str">
        <x:v>신청일 확인 / 담당기관 확인</x:v>
      </x:c>
      <x:c r="X2163" s="2" t="str">
        <x:v>원본·배정 기록 확인</x:v>
      </x:c>
      <x:c r="Y2163" s="2" t="str">
        <x:v>ad210cd9ec132cfd447541c8984dc53d30aff0f4fb2dc92d254d49275cc55976</x:v>
      </x:c>
      <x:c r="Z2163" s="2" t="n">
        <x:f>SUBTOTAL(103,A2163)</x:f>
        <x:v>1</x:v>
      </x:c>
      <x:c r="AA2163" s="2" t="str">
        <x:f>IF(K2163&lt;&gt;"미종결 표시","대상 아님",IF(N2163="","신청일 확인",IF(NOT(ISNUMBER('종합 현황'!$H$5)),"관찰기준 확인",IF('종합 현황'!$H$5&lt;1,"관찰기준 확인",IF(N2163&gt;'종합 현황'!$H$5,"내부 관찰 대상","내부 관찰일 이하")))))</x:f>
        <x:v>대상 아님</x:v>
      </x:c>
      <x:c r="AB2163" s="2"/>
    </x:row>
    <x:row r="2164" ht="42" customHeight="1">
      <x:c r="A2164" s="2" t="str">
        <x:v>afb35e411260d03a1a4569a3</x:v>
      </x:c>
      <x:c r="B2164" s="2" t="str">
        <x:v>감축량 인증</x:v>
      </x:c>
      <x:c r="C2164" s="2" t="str">
        <x:v>국내</x:v>
      </x:c>
      <x:c r="D2164" s="7" t="str">
        <x:v>카프로 N2O 저감 사업</x:v>
      </x:c>
      <x:c r="E2164" s="2" t="str">
        <x:v>404</x:v>
      </x:c>
      <x:c r="F2164" s="2"/>
      <x:c r="G2164" s="2" t="str">
        <x:v>미확보</x:v>
      </x:c>
      <x:c r="H2164" s="2" t="str">
        <x:v>미확보</x:v>
      </x:c>
      <x:c r="I2164" s="2" t="str">
        <x:v>심의승인</x:v>
      </x:c>
      <x:c r="J2164" s="2" t="str">
        <x:v>심의승인</x:v>
      </x:c>
      <x:c r="K2164" s="2" t="str">
        <x:f>IF(OR(J2164="심의승인",J2164="반려",J2164="반려완료",J2164="심의완료"),"종결 표시",IF(OR(J2164="기후부협의",J2164="문서재제출요청",J2164="보류",J2164="보완요청",J2164="보완완료",J2164="평가중",J2164="반려요청",J2164="평가필요",LEFT(J2164,5)="보완요청("),"미종결 표시","상태 확인 필요"))</x:f>
        <x:v>종결 표시</x:v>
      </x:c>
      <x:c r="L2164" s="2"/>
      <x:c r="M2164" s="2"/>
      <x:c r="N2164" s="8"/>
      <x:c r="O2164" s="2"/>
      <x:c r="P2164" s="2"/>
      <x:c r="Q2164" s="2" t="str">
        <x:v>산업전환_외부사업관리Tool_260707_이너젠 수정_LJY_261013.xlsx</x:v>
      </x:c>
      <x:c r="R2164" s="2" t="str">
        <x:v>국내인증</x:v>
      </x:c>
      <x:c r="S2164" s="8" t="n">
        <x:v>482</x:v>
      </x:c>
      <x:c r="T2164" s="2"/>
      <x:c r="U2164" s="2" t="str"/>
      <x:c r="V2164" s="2" t="str">
        <x:v>2020-10-27</x:v>
      </x:c>
      <x:c r="W2164" s="2" t="str">
        <x:v>신청일 확인 / 담당기관 확인</x:v>
      </x:c>
      <x:c r="X2164" s="2" t="str">
        <x:v>원본·배정 기록 확인</x:v>
      </x:c>
      <x:c r="Y2164" s="2" t="str">
        <x:v>ad210cd9ec132cfd447541c8984dc53d30aff0f4fb2dc92d254d49275cc55976</x:v>
      </x:c>
      <x:c r="Z2164" s="2" t="n">
        <x:f>SUBTOTAL(103,A2164)</x:f>
        <x:v>1</x:v>
      </x:c>
      <x:c r="AA2164" s="2" t="str">
        <x:f>IF(K2164&lt;&gt;"미종결 표시","대상 아님",IF(N2164="","신청일 확인",IF(NOT(ISNUMBER('종합 현황'!$H$5)),"관찰기준 확인",IF('종합 현황'!$H$5&lt;1,"관찰기준 확인",IF(N2164&gt;'종합 현황'!$H$5,"내부 관찰 대상","내부 관찰일 이하")))))</x:f>
        <x:v>대상 아님</x:v>
      </x:c>
      <x:c r="AB2164" s="2"/>
    </x:row>
    <x:row r="2165" ht="42" customHeight="1">
      <x:c r="A2165" s="2" t="str">
        <x:v>8e71d92f184f5bf3614ae91f</x:v>
      </x:c>
      <x:c r="B2165" s="2" t="str">
        <x:v>감축량 인증</x:v>
      </x:c>
      <x:c r="C2165" s="2" t="str">
        <x:v>국내</x:v>
      </x:c>
      <x:c r="D2165" s="7" t="str">
        <x:v>휴켐스 질산공장 N2O 감축사업(휴켐스 주식회사의 질산 공장 세곡에서 tail gas에 포한된 아산화질소를 촉매를 사용하여 제거하는 프로젝트)</x:v>
      </x:c>
      <x:c r="E2165" s="2" t="str">
        <x:v>405</x:v>
      </x:c>
      <x:c r="F2165" s="2"/>
      <x:c r="G2165" s="2" t="str">
        <x:v>미확보</x:v>
      </x:c>
      <x:c r="H2165" s="2" t="str">
        <x:v>미확보</x:v>
      </x:c>
      <x:c r="I2165" s="2" t="str">
        <x:v>심의승인</x:v>
      </x:c>
      <x:c r="J2165" s="2" t="str">
        <x:v>심의승인</x:v>
      </x:c>
      <x:c r="K2165" s="2" t="str">
        <x:f>IF(OR(J2165="심의승인",J2165="반려",J2165="반려완료",J2165="심의완료"),"종결 표시",IF(OR(J2165="기후부협의",J2165="문서재제출요청",J2165="보류",J2165="보완요청",J2165="보완완료",J2165="평가중",J2165="반려요청",J2165="평가필요",LEFT(J2165,5)="보완요청("),"미종결 표시","상태 확인 필요"))</x:f>
        <x:v>종결 표시</x:v>
      </x:c>
      <x:c r="L2165" s="2"/>
      <x:c r="M2165" s="2"/>
      <x:c r="N2165" s="8"/>
      <x:c r="O2165" s="2"/>
      <x:c r="P2165" s="2"/>
      <x:c r="Q2165" s="2" t="str">
        <x:v>산업전환_외부사업관리Tool_260707_이너젠 수정_LJY_261013.xlsx</x:v>
      </x:c>
      <x:c r="R2165" s="2" t="str">
        <x:v>국내인증</x:v>
      </x:c>
      <x:c r="S2165" s="8" t="n">
        <x:v>483</x:v>
      </x:c>
      <x:c r="T2165" s="2"/>
      <x:c r="U2165" s="2" t="str"/>
      <x:c r="V2165" s="2" t="str">
        <x:v>2020-10-27</x:v>
      </x:c>
      <x:c r="W2165" s="2" t="str">
        <x:v>신청일 확인 / 담당기관 확인</x:v>
      </x:c>
      <x:c r="X2165" s="2" t="str">
        <x:v>원본·배정 기록 확인</x:v>
      </x:c>
      <x:c r="Y2165" s="2" t="str">
        <x:v>ad210cd9ec132cfd447541c8984dc53d30aff0f4fb2dc92d254d49275cc55976</x:v>
      </x:c>
      <x:c r="Z2165" s="2" t="n">
        <x:f>SUBTOTAL(103,A2165)</x:f>
        <x:v>1</x:v>
      </x:c>
      <x:c r="AA2165" s="2" t="str">
        <x:f>IF(K2165&lt;&gt;"미종결 표시","대상 아님",IF(N2165="","신청일 확인",IF(NOT(ISNUMBER('종합 현황'!$H$5)),"관찰기준 확인",IF('종합 현황'!$H$5&lt;1,"관찰기준 확인",IF(N2165&gt;'종합 현황'!$H$5,"내부 관찰 대상","내부 관찰일 이하")))))</x:f>
        <x:v>대상 아님</x:v>
      </x:c>
      <x:c r="AB2165" s="2"/>
    </x:row>
    <x:row r="2166" ht="42" customHeight="1">
      <x:c r="A2166" s="2" t="str">
        <x:v>50d0c19f6b07e0c3560915e5</x:v>
      </x:c>
      <x:c r="B2166" s="2" t="str">
        <x:v>감축량 인증</x:v>
      </x:c>
      <x:c r="C2166" s="2" t="str">
        <x:v>국내</x:v>
      </x:c>
      <x:c r="D2166" s="7" t="str">
        <x:v>휴켐스(주) 신설 5질산에서 발생하는 아산화질소 배출량 저감사업</x:v>
      </x:c>
      <x:c r="E2166" s="2" t="str">
        <x:v>406</x:v>
      </x:c>
      <x:c r="F2166" s="2"/>
      <x:c r="G2166" s="2" t="str">
        <x:v>미확보</x:v>
      </x:c>
      <x:c r="H2166" s="2" t="str">
        <x:v>미확보</x:v>
      </x:c>
      <x:c r="I2166" s="2" t="str">
        <x:v>심의승인</x:v>
      </x:c>
      <x:c r="J2166" s="2" t="str">
        <x:v>심의승인</x:v>
      </x:c>
      <x:c r="K2166" s="2" t="str">
        <x:f>IF(OR(J2166="심의승인",J2166="반려",J2166="반려완료",J2166="심의완료"),"종결 표시",IF(OR(J2166="기후부협의",J2166="문서재제출요청",J2166="보류",J2166="보완요청",J2166="보완완료",J2166="평가중",J2166="반려요청",J2166="평가필요",LEFT(J2166,5)="보완요청("),"미종결 표시","상태 확인 필요"))</x:f>
        <x:v>종결 표시</x:v>
      </x:c>
      <x:c r="L2166" s="2"/>
      <x:c r="M2166" s="2"/>
      <x:c r="N2166" s="8"/>
      <x:c r="O2166" s="2"/>
      <x:c r="P2166" s="2"/>
      <x:c r="Q2166" s="2" t="str">
        <x:v>산업전환_외부사업관리Tool_260707_이너젠 수정_LJY_261013.xlsx</x:v>
      </x:c>
      <x:c r="R2166" s="2" t="str">
        <x:v>국내인증</x:v>
      </x:c>
      <x:c r="S2166" s="8" t="n">
        <x:v>484</x:v>
      </x:c>
      <x:c r="T2166" s="2"/>
      <x:c r="U2166" s="2" t="str"/>
      <x:c r="V2166" s="2" t="str">
        <x:v>2020-10-27</x:v>
      </x:c>
      <x:c r="W2166" s="2" t="str">
        <x:v>신청일 확인 / 담당기관 확인</x:v>
      </x:c>
      <x:c r="X2166" s="2" t="str">
        <x:v>원본·배정 기록 확인</x:v>
      </x:c>
      <x:c r="Y2166" s="2" t="str">
        <x:v>ad210cd9ec132cfd447541c8984dc53d30aff0f4fb2dc92d254d49275cc55976</x:v>
      </x:c>
      <x:c r="Z2166" s="2" t="n">
        <x:f>SUBTOTAL(103,A2166)</x:f>
        <x:v>1</x:v>
      </x:c>
      <x:c r="AA2166" s="2" t="str">
        <x:f>IF(K2166&lt;&gt;"미종결 표시","대상 아님",IF(N2166="","신청일 확인",IF(NOT(ISNUMBER('종합 현황'!$H$5)),"관찰기준 확인",IF('종합 현황'!$H$5&lt;1,"관찰기준 확인",IF(N2166&gt;'종합 현황'!$H$5,"내부 관찰 대상","내부 관찰일 이하")))))</x:f>
        <x:v>대상 아님</x:v>
      </x:c>
      <x:c r="AB2166" s="2"/>
    </x:row>
    <x:row r="2167" ht="42" customHeight="1">
      <x:c r="A2167" s="2" t="str">
        <x:v>384d74a5a275182d36eb7135</x:v>
      </x:c>
      <x:c r="B2167" s="2" t="str">
        <x:v>감축량 인증</x:v>
      </x:c>
      <x:c r="C2167" s="2" t="str">
        <x:v>국내</x:v>
      </x:c>
      <x:c r="D2167" s="7" t="str">
        <x:v>한국지역난방공사 대구지사 목질 바이오매스 열병합발전 프로젝트</x:v>
      </x:c>
      <x:c r="E2167" s="2" t="str">
        <x:v>407</x:v>
      </x:c>
      <x:c r="F2167" s="2"/>
      <x:c r="G2167" s="2" t="str">
        <x:v>미확보</x:v>
      </x:c>
      <x:c r="H2167" s="2" t="str">
        <x:v>미확보</x:v>
      </x:c>
      <x:c r="I2167" s="2" t="str">
        <x:v>심의승인</x:v>
      </x:c>
      <x:c r="J2167" s="2" t="str">
        <x:v>심의승인</x:v>
      </x:c>
      <x:c r="K2167" s="2" t="str">
        <x:f>IF(OR(J2167="심의승인",J2167="반려",J2167="반려완료",J2167="심의완료"),"종결 표시",IF(OR(J2167="기후부협의",J2167="문서재제출요청",J2167="보류",J2167="보완요청",J2167="보완완료",J2167="평가중",J2167="반려요청",J2167="평가필요",LEFT(J2167,5)="보완요청("),"미종결 표시","상태 확인 필요"))</x:f>
        <x:v>종결 표시</x:v>
      </x:c>
      <x:c r="L2167" s="2"/>
      <x:c r="M2167" s="2"/>
      <x:c r="N2167" s="8"/>
      <x:c r="O2167" s="2"/>
      <x:c r="P2167" s="2"/>
      <x:c r="Q2167" s="2" t="str">
        <x:v>산업전환_외부사업관리Tool_260707_이너젠 수정_LJY_261013.xlsx</x:v>
      </x:c>
      <x:c r="R2167" s="2" t="str">
        <x:v>국내인증</x:v>
      </x:c>
      <x:c r="S2167" s="8" t="n">
        <x:v>485</x:v>
      </x:c>
      <x:c r="T2167" s="2"/>
      <x:c r="U2167" s="2" t="str"/>
      <x:c r="V2167" s="2" t="str">
        <x:v>2020-10-27</x:v>
      </x:c>
      <x:c r="W2167" s="2" t="str">
        <x:v>신청일 확인 / 담당기관 확인</x:v>
      </x:c>
      <x:c r="X2167" s="2" t="str">
        <x:v>원본·배정 기록 확인</x:v>
      </x:c>
      <x:c r="Y2167" s="2" t="str">
        <x:v>ad210cd9ec132cfd447541c8984dc53d30aff0f4fb2dc92d254d49275cc55976</x:v>
      </x:c>
      <x:c r="Z2167" s="2" t="n">
        <x:f>SUBTOTAL(103,A2167)</x:f>
        <x:v>1</x:v>
      </x:c>
      <x:c r="AA2167" s="2" t="str">
        <x:f>IF(K2167&lt;&gt;"미종결 표시","대상 아님",IF(N2167="","신청일 확인",IF(NOT(ISNUMBER('종합 현황'!$H$5)),"관찰기준 확인",IF('종합 현황'!$H$5&lt;1,"관찰기준 확인",IF(N2167&gt;'종합 현황'!$H$5,"내부 관찰 대상","내부 관찰일 이하")))))</x:f>
        <x:v>대상 아님</x:v>
      </x:c>
      <x:c r="AB2167" s="2"/>
    </x:row>
    <x:row r="2168" ht="42" customHeight="1">
      <x:c r="A2168" s="2" t="str">
        <x:v>fedfae5ae8b8902e8f35480a</x:v>
      </x:c>
      <x:c r="B2168" s="2" t="str">
        <x:v>감축량 인증</x:v>
      </x:c>
      <x:c r="C2168" s="2" t="str">
        <x:v>국내</x:v>
      </x:c>
      <x:c r="D2168" s="7" t="str">
        <x:v>서울금속공업의 정제유에서 LNG로 연료전환을 통한 온실가스 배출 감축사업</x:v>
      </x:c>
      <x:c r="E2168" s="2" t="str">
        <x:v>408</x:v>
      </x:c>
      <x:c r="F2168" s="2"/>
      <x:c r="G2168" s="2" t="str">
        <x:v>미확보</x:v>
      </x:c>
      <x:c r="H2168" s="2" t="str">
        <x:v>미확보</x:v>
      </x:c>
      <x:c r="I2168" s="2" t="str">
        <x:v>심의승인</x:v>
      </x:c>
      <x:c r="J2168" s="2" t="str">
        <x:v>심의승인</x:v>
      </x:c>
      <x:c r="K2168" s="2" t="str">
        <x:f>IF(OR(J2168="심의승인",J2168="반려",J2168="반려완료",J2168="심의완료"),"종결 표시",IF(OR(J2168="기후부협의",J2168="문서재제출요청",J2168="보류",J2168="보완요청",J2168="보완완료",J2168="평가중",J2168="반려요청",J2168="평가필요",LEFT(J2168,5)="보완요청("),"미종결 표시","상태 확인 필요"))</x:f>
        <x:v>종결 표시</x:v>
      </x:c>
      <x:c r="L2168" s="2"/>
      <x:c r="M2168" s="2"/>
      <x:c r="N2168" s="8"/>
      <x:c r="O2168" s="2"/>
      <x:c r="P2168" s="2"/>
      <x:c r="Q2168" s="2" t="str">
        <x:v>산업전환_외부사업관리Tool_260707_이너젠 수정_LJY_261013.xlsx</x:v>
      </x:c>
      <x:c r="R2168" s="2" t="str">
        <x:v>국내인증</x:v>
      </x:c>
      <x:c r="S2168" s="8" t="n">
        <x:v>486</x:v>
      </x:c>
      <x:c r="T2168" s="2" t="str">
        <x:v>(4/23),(6/28)</x:v>
      </x:c>
      <x:c r="U2168" s="2" t="str">
        <x:v>2021 배정: (4/23),(6/28)</x:v>
      </x:c>
      <x:c r="V2168" s="2" t="str">
        <x:v>2021-10-07</x:v>
      </x:c>
      <x:c r="W2168" s="2" t="str">
        <x:v>신청일 확인 / 담당기관 확인</x:v>
      </x:c>
      <x:c r="X2168" s="2" t="str">
        <x:v>원본·배정 기록 확인</x:v>
      </x:c>
      <x:c r="Y2168" s="2" t="str">
        <x:v>ad210cd9ec132cfd447541c8984dc53d30aff0f4fb2dc92d254d49275cc55976</x:v>
      </x:c>
      <x:c r="Z2168" s="2" t="n">
        <x:f>SUBTOTAL(103,A2168)</x:f>
        <x:v>1</x:v>
      </x:c>
      <x:c r="AA2168" s="2" t="str">
        <x:f>IF(K2168&lt;&gt;"미종결 표시","대상 아님",IF(N2168="","신청일 확인",IF(NOT(ISNUMBER('종합 현황'!$H$5)),"관찰기준 확인",IF('종합 현황'!$H$5&lt;1,"관찰기준 확인",IF(N2168&gt;'종합 현황'!$H$5,"내부 관찰 대상","내부 관찰일 이하")))))</x:f>
        <x:v>대상 아님</x:v>
      </x:c>
      <x:c r="AB2168" s="2"/>
    </x:row>
    <x:row r="2169" ht="42" customHeight="1">
      <x:c r="A2169" s="2" t="str">
        <x:v>8a3c81dc010dba0f90690e80</x:v>
      </x:c>
      <x:c r="B2169" s="2" t="str">
        <x:v>감축량 인증</x:v>
      </x:c>
      <x:c r="C2169" s="2" t="str">
        <x:v>국내</x:v>
      </x:c>
      <x:c r="D2169" s="7" t="str">
        <x:v>시화호 조력발전 사업</x:v>
      </x:c>
      <x:c r="E2169" s="2" t="str">
        <x:v>409</x:v>
      </x:c>
      <x:c r="F2169" s="2"/>
      <x:c r="G2169" s="2" t="str">
        <x:v>미확보</x:v>
      </x:c>
      <x:c r="H2169" s="2" t="str">
        <x:v>미확보</x:v>
      </x:c>
      <x:c r="I2169" s="2" t="str">
        <x:v>심의승인</x:v>
      </x:c>
      <x:c r="J2169" s="2" t="str">
        <x:v>심의승인</x:v>
      </x:c>
      <x:c r="K2169" s="2" t="str">
        <x:f>IF(OR(J2169="심의승인",J2169="반려",J2169="반려완료",J2169="심의완료"),"종결 표시",IF(OR(J2169="기후부협의",J2169="문서재제출요청",J2169="보류",J2169="보완요청",J2169="보완완료",J2169="평가중",J2169="반려요청",J2169="평가필요",LEFT(J2169,5)="보완요청("),"미종결 표시","상태 확인 필요"))</x:f>
        <x:v>종결 표시</x:v>
      </x:c>
      <x:c r="L2169" s="2"/>
      <x:c r="M2169" s="2"/>
      <x:c r="N2169" s="8"/>
      <x:c r="O2169" s="2"/>
      <x:c r="P2169" s="2"/>
      <x:c r="Q2169" s="2" t="str">
        <x:v>산업전환_외부사업관리Tool_260707_이너젠 수정_LJY_261013.xlsx</x:v>
      </x:c>
      <x:c r="R2169" s="2" t="str">
        <x:v>국내인증</x:v>
      </x:c>
      <x:c r="S2169" s="8" t="n">
        <x:v>487</x:v>
      </x:c>
      <x:c r="T2169" s="2" t="str">
        <x:v>2021년 처리</x:v>
      </x:c>
      <x:c r="U2169" s="2" t="str">
        <x:v>2021 배정: 2021년 처리</x:v>
      </x:c>
      <x:c r="V2169" s="2" t="str">
        <x:v>2021-06-21</x:v>
      </x:c>
      <x:c r="W2169" s="2" t="str">
        <x:v>신청일 확인 / 담당기관 확인</x:v>
      </x:c>
      <x:c r="X2169" s="2" t="str">
        <x:v>원본·배정 기록 확인</x:v>
      </x:c>
      <x:c r="Y2169" s="2" t="str">
        <x:v>ad210cd9ec132cfd447541c8984dc53d30aff0f4fb2dc92d254d49275cc55976</x:v>
      </x:c>
      <x:c r="Z2169" s="2" t="n">
        <x:f>SUBTOTAL(103,A2169)</x:f>
        <x:v>1</x:v>
      </x:c>
      <x:c r="AA2169" s="2" t="str">
        <x:f>IF(K2169&lt;&gt;"미종결 표시","대상 아님",IF(N2169="","신청일 확인",IF(NOT(ISNUMBER('종합 현황'!$H$5)),"관찰기준 확인",IF('종합 현황'!$H$5&lt;1,"관찰기준 확인",IF(N2169&gt;'종합 현황'!$H$5,"내부 관찰 대상","내부 관찰일 이하")))))</x:f>
        <x:v>대상 아님</x:v>
      </x:c>
      <x:c r="AB2169" s="2"/>
    </x:row>
    <x:row r="2170" ht="42" customHeight="1">
      <x:c r="A2170" s="2" t="str">
        <x:v>ddcfde4d167a884dc2219d75</x:v>
      </x:c>
      <x:c r="B2170" s="2" t="str">
        <x:v>감축량 인증</x:v>
      </x:c>
      <x:c r="C2170" s="2" t="str">
        <x:v>국내</x:v>
      </x:c>
      <x:c r="D2170" s="7" t="str">
        <x:v>태양케미칼의 목재펠릿 연료전환(LPG-&gt;목재펠릿)을 통한 온실가스 감축사업</x:v>
      </x:c>
      <x:c r="E2170" s="2" t="str">
        <x:v>410</x:v>
      </x:c>
      <x:c r="F2170" s="2"/>
      <x:c r="G2170" s="2" t="str">
        <x:v>미확보</x:v>
      </x:c>
      <x:c r="H2170" s="2" t="str">
        <x:v>미확보</x:v>
      </x:c>
      <x:c r="I2170" s="2" t="str">
        <x:v>심의승인</x:v>
      </x:c>
      <x:c r="J2170" s="2" t="str">
        <x:v>심의승인</x:v>
      </x:c>
      <x:c r="K2170" s="2" t="str">
        <x:f>IF(OR(J2170="심의승인",J2170="반려",J2170="반려완료",J2170="심의완료"),"종결 표시",IF(OR(J2170="기후부협의",J2170="문서재제출요청",J2170="보류",J2170="보완요청",J2170="보완완료",J2170="평가중",J2170="반려요청",J2170="평가필요",LEFT(J2170,5)="보완요청("),"미종결 표시","상태 확인 필요"))</x:f>
        <x:v>종결 표시</x:v>
      </x:c>
      <x:c r="L2170" s="2"/>
      <x:c r="M2170" s="2"/>
      <x:c r="N2170" s="8"/>
      <x:c r="O2170" s="2"/>
      <x:c r="P2170" s="2"/>
      <x:c r="Q2170" s="2" t="str">
        <x:v>산업전환_외부사업관리Tool_260707_이너젠 수정_LJY_261013.xlsx</x:v>
      </x:c>
      <x:c r="R2170" s="2" t="str">
        <x:v>국내인증</x:v>
      </x:c>
      <x:c r="S2170" s="8" t="n">
        <x:v>488</x:v>
      </x:c>
      <x:c r="T2170" s="2" t="str">
        <x:v>(8/3),(9/14),(10/20)</x:v>
      </x:c>
      <x:c r="U2170" s="2" t="str">
        <x:v>2021 배정: (8/3),(9/14),(10/20) / 2022 배정: (1/18)</x:v>
      </x:c>
      <x:c r="V2170" s="2" t="str">
        <x:v>2022-04-18</x:v>
      </x:c>
      <x:c r="W2170" s="2" t="str">
        <x:v>신청일 확인 / 담당기관 확인</x:v>
      </x:c>
      <x:c r="X2170" s="2" t="str">
        <x:v>원본·배정 기록 확인</x:v>
      </x:c>
      <x:c r="Y2170" s="2" t="str">
        <x:v>ad210cd9ec132cfd447541c8984dc53d30aff0f4fb2dc92d254d49275cc55976</x:v>
      </x:c>
      <x:c r="Z2170" s="2" t="n">
        <x:f>SUBTOTAL(103,A2170)</x:f>
        <x:v>1</x:v>
      </x:c>
      <x:c r="AA2170" s="2" t="str">
        <x:f>IF(K2170&lt;&gt;"미종결 표시","대상 아님",IF(N2170="","신청일 확인",IF(NOT(ISNUMBER('종합 현황'!$H$5)),"관찰기준 확인",IF('종합 현황'!$H$5&lt;1,"관찰기준 확인",IF(N2170&gt;'종합 현황'!$H$5,"내부 관찰 대상","내부 관찰일 이하")))))</x:f>
        <x:v>대상 아님</x:v>
      </x:c>
      <x:c r="AB2170" s="2"/>
    </x:row>
    <x:row r="2171" ht="42" customHeight="1">
      <x:c r="A2171" s="2" t="str">
        <x:v>cf91e55cfe0c8940ce9fe7d1</x:v>
      </x:c>
      <x:c r="B2171" s="2" t="str">
        <x:v>감축량 인증</x:v>
      </x:c>
      <x:c r="C2171" s="2" t="str">
        <x:v>국내</x:v>
      </x:c>
      <x:c r="D2171" s="7" t="str">
        <x:v>부일화학의 B-C유에서 LNG로 연료전환을 통한 온실가스 배출 감축사업</x:v>
      </x:c>
      <x:c r="E2171" s="2" t="str">
        <x:v>411</x:v>
      </x:c>
      <x:c r="F2171" s="2"/>
      <x:c r="G2171" s="2" t="str">
        <x:v>미확보</x:v>
      </x:c>
      <x:c r="H2171" s="2" t="str">
        <x:v>미확보</x:v>
      </x:c>
      <x:c r="I2171" s="2" t="str">
        <x:v>심의승인</x:v>
      </x:c>
      <x:c r="J2171" s="2" t="str">
        <x:v>심의승인</x:v>
      </x:c>
      <x:c r="K2171" s="2" t="str">
        <x:f>IF(OR(J2171="심의승인",J2171="반려",J2171="반려완료",J2171="심의완료"),"종결 표시",IF(OR(J2171="기후부협의",J2171="문서재제출요청",J2171="보류",J2171="보완요청",J2171="보완완료",J2171="평가중",J2171="반려요청",J2171="평가필요",LEFT(J2171,5)="보완요청("),"미종결 표시","상태 확인 필요"))</x:f>
        <x:v>종결 표시</x:v>
      </x:c>
      <x:c r="L2171" s="2"/>
      <x:c r="M2171" s="2"/>
      <x:c r="N2171" s="8"/>
      <x:c r="O2171" s="2"/>
      <x:c r="P2171" s="2"/>
      <x:c r="Q2171" s="2" t="str">
        <x:v>산업전환_외부사업관리Tool_260707_이너젠 수정_LJY_261013.xlsx</x:v>
      </x:c>
      <x:c r="R2171" s="2" t="str">
        <x:v>국내인증</x:v>
      </x:c>
      <x:c r="S2171" s="8" t="n">
        <x:v>489</x:v>
      </x:c>
      <x:c r="T2171" s="2" t="str">
        <x:v>2021년 처리</x:v>
      </x:c>
      <x:c r="U2171" s="2" t="str">
        <x:v>2021 배정: 2021년 처리</x:v>
      </x:c>
      <x:c r="V2171" s="2" t="str">
        <x:v>2021-06-21</x:v>
      </x:c>
      <x:c r="W2171" s="2" t="str">
        <x:v>신청일 확인 / 담당기관 확인</x:v>
      </x:c>
      <x:c r="X2171" s="2" t="str">
        <x:v>원본·배정 기록 확인</x:v>
      </x:c>
      <x:c r="Y2171" s="2" t="str">
        <x:v>ad210cd9ec132cfd447541c8984dc53d30aff0f4fb2dc92d254d49275cc55976</x:v>
      </x:c>
      <x:c r="Z2171" s="2" t="n">
        <x:f>SUBTOTAL(103,A2171)</x:f>
        <x:v>1</x:v>
      </x:c>
      <x:c r="AA2171" s="2" t="str">
        <x:f>IF(K2171&lt;&gt;"미종결 표시","대상 아님",IF(N2171="","신청일 확인",IF(NOT(ISNUMBER('종합 현황'!$H$5)),"관찰기준 확인",IF('종합 현황'!$H$5&lt;1,"관찰기준 확인",IF(N2171&gt;'종합 현황'!$H$5,"내부 관찰 대상","내부 관찰일 이하")))))</x:f>
        <x:v>대상 아님</x:v>
      </x:c>
      <x:c r="AB2171" s="2"/>
    </x:row>
    <x:row r="2172" ht="42" customHeight="1">
      <x:c r="A2172" s="2" t="str">
        <x:v>4951c1170d9eb748875568cb</x:v>
      </x:c>
      <x:c r="B2172" s="2" t="str">
        <x:v>감축량 인증</x:v>
      </x:c>
      <x:c r="C2172" s="2" t="str">
        <x:v>국내</x:v>
      </x:c>
      <x:c r="D2172" s="7" t="str">
        <x:v>시화호 조력발전 사업</x:v>
      </x:c>
      <x:c r="E2172" s="2" t="str">
        <x:v>412</x:v>
      </x:c>
      <x:c r="F2172" s="2"/>
      <x:c r="G2172" s="2" t="str">
        <x:v>미확보</x:v>
      </x:c>
      <x:c r="H2172" s="2" t="str">
        <x:v>미확보</x:v>
      </x:c>
      <x:c r="I2172" s="2" t="str">
        <x:v>심의승인</x:v>
      </x:c>
      <x:c r="J2172" s="2" t="str">
        <x:v>심의승인</x:v>
      </x:c>
      <x:c r="K2172" s="2" t="str">
        <x:f>IF(OR(J2172="심의승인",J2172="반려",J2172="반려완료",J2172="심의완료"),"종결 표시",IF(OR(J2172="기후부협의",J2172="문서재제출요청",J2172="보류",J2172="보완요청",J2172="보완완료",J2172="평가중",J2172="반려요청",J2172="평가필요",LEFT(J2172,5)="보완요청("),"미종결 표시","상태 확인 필요"))</x:f>
        <x:v>종결 표시</x:v>
      </x:c>
      <x:c r="L2172" s="2"/>
      <x:c r="M2172" s="2"/>
      <x:c r="N2172" s="8"/>
      <x:c r="O2172" s="2"/>
      <x:c r="P2172" s="2"/>
      <x:c r="Q2172" s="2" t="str">
        <x:v>산업전환_외부사업관리Tool_260707_이너젠 수정_LJY_261013.xlsx</x:v>
      </x:c>
      <x:c r="R2172" s="2" t="str">
        <x:v>국내인증</x:v>
      </x:c>
      <x:c r="S2172" s="8" t="n">
        <x:v>490</x:v>
      </x:c>
      <x:c r="T2172" s="2" t="str">
        <x:v>2021년 처리</x:v>
      </x:c>
      <x:c r="U2172" s="2" t="str">
        <x:v>2021 배정: 2021년 처리</x:v>
      </x:c>
      <x:c r="V2172" s="2" t="str">
        <x:v>2021-10-07</x:v>
      </x:c>
      <x:c r="W2172" s="2" t="str">
        <x:v>신청일 확인 / 담당기관 확인</x:v>
      </x:c>
      <x:c r="X2172" s="2" t="str">
        <x:v>원본·배정 기록 확인</x:v>
      </x:c>
      <x:c r="Y2172" s="2" t="str">
        <x:v>ad210cd9ec132cfd447541c8984dc53d30aff0f4fb2dc92d254d49275cc55976</x:v>
      </x:c>
      <x:c r="Z2172" s="2" t="n">
        <x:f>SUBTOTAL(103,A2172)</x:f>
        <x:v>1</x:v>
      </x:c>
      <x:c r="AA2172" s="2" t="str">
        <x:f>IF(K2172&lt;&gt;"미종결 표시","대상 아님",IF(N2172="","신청일 확인",IF(NOT(ISNUMBER('종합 현황'!$H$5)),"관찰기준 확인",IF('종합 현황'!$H$5&lt;1,"관찰기준 확인",IF(N2172&gt;'종합 현황'!$H$5,"내부 관찰 대상","내부 관찰일 이하")))))</x:f>
        <x:v>대상 아님</x:v>
      </x:c>
      <x:c r="AB2172" s="2"/>
    </x:row>
    <x:row r="2173" ht="42" customHeight="1">
      <x:c r="A2173" s="2" t="str">
        <x:v>86053fd8d7069d33687be665</x:v>
      </x:c>
      <x:c r="B2173" s="2" t="str">
        <x:v>감축량 인증</x:v>
      </x:c>
      <x:c r="C2173" s="2" t="str">
        <x:v>국내</x:v>
      </x:c>
      <x:c r="D2173" s="7" t="str">
        <x:v>마니커 동두천지점의 B-C유에서 LNG로 연료전환을 통한 온실가스 배출 감축사업</x:v>
      </x:c>
      <x:c r="E2173" s="2" t="str">
        <x:v>413</x:v>
      </x:c>
      <x:c r="F2173" s="2"/>
      <x:c r="G2173" s="2" t="str">
        <x:v>미확보</x:v>
      </x:c>
      <x:c r="H2173" s="2" t="str">
        <x:v>미확보</x:v>
      </x:c>
      <x:c r="I2173" s="2" t="str">
        <x:v>심의승인</x:v>
      </x:c>
      <x:c r="J2173" s="2" t="str">
        <x:v>심의승인</x:v>
      </x:c>
      <x:c r="K2173" s="2" t="str">
        <x:f>IF(OR(J2173="심의승인",J2173="반려",J2173="반려완료",J2173="심의완료"),"종결 표시",IF(OR(J2173="기후부협의",J2173="문서재제출요청",J2173="보류",J2173="보완요청",J2173="보완완료",J2173="평가중",J2173="반려요청",J2173="평가필요",LEFT(J2173,5)="보완요청("),"미종결 표시","상태 확인 필요"))</x:f>
        <x:v>종결 표시</x:v>
      </x:c>
      <x:c r="L2173" s="2"/>
      <x:c r="M2173" s="2"/>
      <x:c r="N2173" s="8"/>
      <x:c r="O2173" s="2"/>
      <x:c r="P2173" s="2"/>
      <x:c r="Q2173" s="2" t="str">
        <x:v>산업전환_외부사업관리Tool_260707_이너젠 수정_LJY_261013.xlsx</x:v>
      </x:c>
      <x:c r="R2173" s="2" t="str">
        <x:v>국내인증</x:v>
      </x:c>
      <x:c r="S2173" s="8" t="n">
        <x:v>491</x:v>
      </x:c>
      <x:c r="T2173" s="2" t="str">
        <x:v>2021년 처리</x:v>
      </x:c>
      <x:c r="U2173" s="2" t="str">
        <x:v>2021 배정: 2021년 처리</x:v>
      </x:c>
      <x:c r="V2173" s="2" t="str">
        <x:v>2021-06-21</x:v>
      </x:c>
      <x:c r="W2173" s="2" t="str">
        <x:v>신청일 확인 / 담당기관 확인</x:v>
      </x:c>
      <x:c r="X2173" s="2" t="str">
        <x:v>원본·배정 기록 확인</x:v>
      </x:c>
      <x:c r="Y2173" s="2" t="str">
        <x:v>ad210cd9ec132cfd447541c8984dc53d30aff0f4fb2dc92d254d49275cc55976</x:v>
      </x:c>
      <x:c r="Z2173" s="2" t="n">
        <x:f>SUBTOTAL(103,A2173)</x:f>
        <x:v>1</x:v>
      </x:c>
      <x:c r="AA2173" s="2" t="str">
        <x:f>IF(K2173&lt;&gt;"미종결 표시","대상 아님",IF(N2173="","신청일 확인",IF(NOT(ISNUMBER('종합 현황'!$H$5)),"관찰기준 확인",IF('종합 현황'!$H$5&lt;1,"관찰기준 확인",IF(N2173&gt;'종합 현황'!$H$5,"내부 관찰 대상","내부 관찰일 이하")))))</x:f>
        <x:v>대상 아님</x:v>
      </x:c>
      <x:c r="AB2173" s="2"/>
    </x:row>
    <x:row r="2174" ht="42" customHeight="1">
      <x:c r="A2174" s="2" t="str">
        <x:v>dff68cae4f9afcc5d2001ab3</x:v>
      </x:c>
      <x:c r="B2174" s="2" t="str">
        <x:v>감축량 인증</x:v>
      </x:c>
      <x:c r="C2174" s="2" t="str">
        <x:v>국내</x:v>
      </x:c>
      <x:c r="D2174" s="7" t="str">
        <x:v>SF6 회수 및 재생사업</x:v>
      </x:c>
      <x:c r="E2174" s="2" t="str">
        <x:v>414</x:v>
      </x:c>
      <x:c r="F2174" s="2"/>
      <x:c r="G2174" s="2" t="str">
        <x:v>미확보</x:v>
      </x:c>
      <x:c r="H2174" s="2" t="str">
        <x:v>미확보</x:v>
      </x:c>
      <x:c r="I2174" s="2" t="str">
        <x:v>심의승인</x:v>
      </x:c>
      <x:c r="J2174" s="2" t="str">
        <x:v>심의승인</x:v>
      </x:c>
      <x:c r="K2174" s="2" t="str">
        <x:f>IF(OR(J2174="심의승인",J2174="반려",J2174="반려완료",J2174="심의완료"),"종결 표시",IF(OR(J2174="기후부협의",J2174="문서재제출요청",J2174="보류",J2174="보완요청",J2174="보완완료",J2174="평가중",J2174="반려요청",J2174="평가필요",LEFT(J2174,5)="보완요청("),"미종결 표시","상태 확인 필요"))</x:f>
        <x:v>종결 표시</x:v>
      </x:c>
      <x:c r="L2174" s="2"/>
      <x:c r="M2174" s="2"/>
      <x:c r="N2174" s="8"/>
      <x:c r="O2174" s="2"/>
      <x:c r="P2174" s="2"/>
      <x:c r="Q2174" s="2" t="str">
        <x:v>산업전환_외부사업관리Tool_260707_이너젠 수정_LJY_261013.xlsx</x:v>
      </x:c>
      <x:c r="R2174" s="2" t="str">
        <x:v>국내인증</x:v>
      </x:c>
      <x:c r="S2174" s="8" t="n">
        <x:v>492</x:v>
      </x:c>
      <x:c r="T2174" s="2" t="str">
        <x:v>2021년 처리</x:v>
      </x:c>
      <x:c r="U2174" s="2" t="str">
        <x:v>2021 배정: 2021년 처리</x:v>
      </x:c>
      <x:c r="V2174" s="2" t="str">
        <x:v>2021-10-07</x:v>
      </x:c>
      <x:c r="W2174" s="2" t="str">
        <x:v>신청일 확인 / 담당기관 확인</x:v>
      </x:c>
      <x:c r="X2174" s="2" t="str">
        <x:v>원본·배정 기록 확인</x:v>
      </x:c>
      <x:c r="Y2174" s="2" t="str">
        <x:v>ad210cd9ec132cfd447541c8984dc53d30aff0f4fb2dc92d254d49275cc55976</x:v>
      </x:c>
      <x:c r="Z2174" s="2" t="n">
        <x:f>SUBTOTAL(103,A2174)</x:f>
        <x:v>1</x:v>
      </x:c>
      <x:c r="AA2174" s="2" t="str">
        <x:f>IF(K2174&lt;&gt;"미종결 표시","대상 아님",IF(N2174="","신청일 확인",IF(NOT(ISNUMBER('종합 현황'!$H$5)),"관찰기준 확인",IF('종합 현황'!$H$5&lt;1,"관찰기준 확인",IF(N2174&gt;'종합 현황'!$H$5,"내부 관찰 대상","내부 관찰일 이하")))))</x:f>
        <x:v>대상 아님</x:v>
      </x:c>
      <x:c r="AB2174" s="2"/>
    </x:row>
    <x:row r="2175" ht="42" customHeight="1">
      <x:c r="A2175" s="2" t="str">
        <x:v>e094f67a701fee29ec9b25ce</x:v>
      </x:c>
      <x:c r="B2175" s="2" t="str">
        <x:v>감축량 인증</x:v>
      </x:c>
      <x:c r="C2175" s="2" t="str">
        <x:v>국내</x:v>
      </x:c>
      <x:c r="D2175" s="7" t="str">
        <x:v>청우테크 반사로 버너(정제유, LNG)에서 순산소-LNG버너로의 설비 성능개선을 통한 온실가스 감축 사업</x:v>
      </x:c>
      <x:c r="E2175" s="2" t="str">
        <x:v>415</x:v>
      </x:c>
      <x:c r="F2175" s="2"/>
      <x:c r="G2175" s="2" t="str">
        <x:v>미확보</x:v>
      </x:c>
      <x:c r="H2175" s="2" t="str">
        <x:v>미확보</x:v>
      </x:c>
      <x:c r="I2175" s="2" t="str">
        <x:v>심의승인</x:v>
      </x:c>
      <x:c r="J2175" s="2" t="str">
        <x:v>심의승인</x:v>
      </x:c>
      <x:c r="K2175" s="2" t="str">
        <x:f>IF(OR(J2175="심의승인",J2175="반려",J2175="반려완료",J2175="심의완료"),"종결 표시",IF(OR(J2175="기후부협의",J2175="문서재제출요청",J2175="보류",J2175="보완요청",J2175="보완완료",J2175="평가중",J2175="반려요청",J2175="평가필요",LEFT(J2175,5)="보완요청("),"미종결 표시","상태 확인 필요"))</x:f>
        <x:v>종결 표시</x:v>
      </x:c>
      <x:c r="L2175" s="2"/>
      <x:c r="M2175" s="2"/>
      <x:c r="N2175" s="8"/>
      <x:c r="O2175" s="2"/>
      <x:c r="P2175" s="2"/>
      <x:c r="Q2175" s="2" t="str">
        <x:v>산업전환_외부사업관리Tool_260707_이너젠 수정_LJY_261013.xlsx</x:v>
      </x:c>
      <x:c r="R2175" s="2" t="str">
        <x:v>국내인증</x:v>
      </x:c>
      <x:c r="S2175" s="8" t="n">
        <x:v>493</x:v>
      </x:c>
      <x:c r="T2175" s="2" t="str">
        <x:v>2021년 처리</x:v>
      </x:c>
      <x:c r="U2175" s="2" t="str">
        <x:v>2021 배정: 2021년 처리</x:v>
      </x:c>
      <x:c r="V2175" s="2" t="str">
        <x:v>2021-06-21</x:v>
      </x:c>
      <x:c r="W2175" s="2" t="str">
        <x:v>신청일 확인 / 담당기관 확인</x:v>
      </x:c>
      <x:c r="X2175" s="2" t="str">
        <x:v>원본·배정 기록 확인</x:v>
      </x:c>
      <x:c r="Y2175" s="2" t="str">
        <x:v>ad210cd9ec132cfd447541c8984dc53d30aff0f4fb2dc92d254d49275cc55976</x:v>
      </x:c>
      <x:c r="Z2175" s="2" t="n">
        <x:f>SUBTOTAL(103,A2175)</x:f>
        <x:v>1</x:v>
      </x:c>
      <x:c r="AA2175" s="2" t="str">
        <x:f>IF(K2175&lt;&gt;"미종결 표시","대상 아님",IF(N2175="","신청일 확인",IF(NOT(ISNUMBER('종합 현황'!$H$5)),"관찰기준 확인",IF('종합 현황'!$H$5&lt;1,"관찰기준 확인",IF(N2175&gt;'종합 현황'!$H$5,"내부 관찰 대상","내부 관찰일 이하")))))</x:f>
        <x:v>대상 아님</x:v>
      </x:c>
      <x:c r="AB2175" s="2"/>
    </x:row>
    <x:row r="2176" ht="42" customHeight="1">
      <x:c r="A2176" s="2" t="str">
        <x:v>4e2372cd4c55c5f4dfb918ec</x:v>
      </x:c>
      <x:c r="B2176" s="2" t="str">
        <x:v>감축량 인증</x:v>
      </x:c>
      <x:c r="C2176" s="2" t="str">
        <x:v>국내</x:v>
      </x:c>
      <x:c r="D2176" s="7" t="str">
        <x:v>휴켐스(주) 신설 5질산에서 발생하는 아산화질소 배출량 저감사업</x:v>
      </x:c>
      <x:c r="E2176" s="2" t="str">
        <x:v>416</x:v>
      </x:c>
      <x:c r="F2176" s="2"/>
      <x:c r="G2176" s="2" t="str">
        <x:v>미확보</x:v>
      </x:c>
      <x:c r="H2176" s="2" t="str">
        <x:v>미확보</x:v>
      </x:c>
      <x:c r="I2176" s="2" t="str">
        <x:v>심의승인</x:v>
      </x:c>
      <x:c r="J2176" s="2" t="str">
        <x:v>심의승인</x:v>
      </x:c>
      <x:c r="K2176" s="2" t="str">
        <x:f>IF(OR(J2176="심의승인",J2176="반려",J2176="반려완료",J2176="심의완료"),"종결 표시",IF(OR(J2176="기후부협의",J2176="문서재제출요청",J2176="보류",J2176="보완요청",J2176="보완완료",J2176="평가중",J2176="반려요청",J2176="평가필요",LEFT(J2176,5)="보완요청("),"미종결 표시","상태 확인 필요"))</x:f>
        <x:v>종결 표시</x:v>
      </x:c>
      <x:c r="L2176" s="2"/>
      <x:c r="M2176" s="2"/>
      <x:c r="N2176" s="8"/>
      <x:c r="O2176" s="2"/>
      <x:c r="P2176" s="2"/>
      <x:c r="Q2176" s="2" t="str">
        <x:v>산업전환_외부사업관리Tool_260707_이너젠 수정_LJY_261013.xlsx</x:v>
      </x:c>
      <x:c r="R2176" s="2" t="str">
        <x:v>국내인증</x:v>
      </x:c>
      <x:c r="S2176" s="8" t="n">
        <x:v>494</x:v>
      </x:c>
      <x:c r="T2176" s="2" t="str">
        <x:v>2021년 처리</x:v>
      </x:c>
      <x:c r="U2176" s="2" t="str">
        <x:v>2021 배정: 2021년 처리</x:v>
      </x:c>
      <x:c r="V2176" s="2" t="str">
        <x:v>2021-07-08</x:v>
      </x:c>
      <x:c r="W2176" s="2" t="str">
        <x:v>신청일 확인 / 담당기관 확인</x:v>
      </x:c>
      <x:c r="X2176" s="2" t="str">
        <x:v>원본·배정 기록 확인</x:v>
      </x:c>
      <x:c r="Y2176" s="2" t="str">
        <x:v>ad210cd9ec132cfd447541c8984dc53d30aff0f4fb2dc92d254d49275cc55976</x:v>
      </x:c>
      <x:c r="Z2176" s="2" t="n">
        <x:f>SUBTOTAL(103,A2176)</x:f>
        <x:v>1</x:v>
      </x:c>
      <x:c r="AA2176" s="2" t="str">
        <x:f>IF(K2176&lt;&gt;"미종결 표시","대상 아님",IF(N2176="","신청일 확인",IF(NOT(ISNUMBER('종합 현황'!$H$5)),"관찰기준 확인",IF('종합 현황'!$H$5&lt;1,"관찰기준 확인",IF(N2176&gt;'종합 현황'!$H$5,"내부 관찰 대상","내부 관찰일 이하")))))</x:f>
        <x:v>대상 아님</x:v>
      </x:c>
      <x:c r="AB2176" s="2"/>
    </x:row>
    <x:row r="2177" ht="42" customHeight="1">
      <x:c r="A2177" s="2" t="str">
        <x:v>cc7898d3baf57cdb1c0314bc</x:v>
      </x:c>
      <x:c r="B2177" s="2" t="str">
        <x:v>감축량 인증</x:v>
      </x:c>
      <x:c r="C2177" s="2" t="str">
        <x:v>국내</x:v>
      </x:c>
      <x:c r="D2177" s="7" t="str">
        <x:v>휴켐스 질산공장 N2O 감축사업(휴켐스 주식회사의 질산 공장 세 곳에서 tail gas에 포함된 아산화질소를 촉매를 사용하여 제거하는 프로젝트)</x:v>
      </x:c>
      <x:c r="E2177" s="2" t="str">
        <x:v>417</x:v>
      </x:c>
      <x:c r="F2177" s="2"/>
      <x:c r="G2177" s="2" t="str">
        <x:v>미확보</x:v>
      </x:c>
      <x:c r="H2177" s="2" t="str">
        <x:v>미확보</x:v>
      </x:c>
      <x:c r="I2177" s="2" t="str">
        <x:v>심의승인</x:v>
      </x:c>
      <x:c r="J2177" s="2" t="str">
        <x:v>심의승인</x:v>
      </x:c>
      <x:c r="K2177" s="2" t="str">
        <x:f>IF(OR(J2177="심의승인",J2177="반려",J2177="반려완료",J2177="심의완료"),"종결 표시",IF(OR(J2177="기후부협의",J2177="문서재제출요청",J2177="보류",J2177="보완요청",J2177="보완완료",J2177="평가중",J2177="반려요청",J2177="평가필요",LEFT(J2177,5)="보완요청("),"미종결 표시","상태 확인 필요"))</x:f>
        <x:v>종결 표시</x:v>
      </x:c>
      <x:c r="L2177" s="2"/>
      <x:c r="M2177" s="2"/>
      <x:c r="N2177" s="8"/>
      <x:c r="O2177" s="2"/>
      <x:c r="P2177" s="2"/>
      <x:c r="Q2177" s="2" t="str">
        <x:v>산업전환_외부사업관리Tool_260707_이너젠 수정_LJY_261013.xlsx</x:v>
      </x:c>
      <x:c r="R2177" s="2" t="str">
        <x:v>국내인증</x:v>
      </x:c>
      <x:c r="S2177" s="8" t="n">
        <x:v>495</x:v>
      </x:c>
      <x:c r="T2177" s="2" t="str">
        <x:v>2021년 처리</x:v>
      </x:c>
      <x:c r="U2177" s="2" t="str">
        <x:v>2021 배정: 2021년 처리</x:v>
      </x:c>
      <x:c r="V2177" s="2" t="str">
        <x:v>2021-07-08</x:v>
      </x:c>
      <x:c r="W2177" s="2" t="str">
        <x:v>신청일 확인 / 담당기관 확인</x:v>
      </x:c>
      <x:c r="X2177" s="2" t="str">
        <x:v>원본·배정 기록 확인</x:v>
      </x:c>
      <x:c r="Y2177" s="2" t="str">
        <x:v>ad210cd9ec132cfd447541c8984dc53d30aff0f4fb2dc92d254d49275cc55976</x:v>
      </x:c>
      <x:c r="Z2177" s="2" t="n">
        <x:f>SUBTOTAL(103,A2177)</x:f>
        <x:v>1</x:v>
      </x:c>
      <x:c r="AA2177" s="2" t="str">
        <x:f>IF(K2177&lt;&gt;"미종결 표시","대상 아님",IF(N2177="","신청일 확인",IF(NOT(ISNUMBER('종합 현황'!$H$5)),"관찰기준 확인",IF('종합 현황'!$H$5&lt;1,"관찰기준 확인",IF(N2177&gt;'종합 현황'!$H$5,"내부 관찰 대상","내부 관찰일 이하")))))</x:f>
        <x:v>대상 아님</x:v>
      </x:c>
      <x:c r="AB2177" s="2"/>
    </x:row>
    <x:row r="2178" ht="42" customHeight="1">
      <x:c r="A2178" s="2" t="str">
        <x:v>b06e8447e4bee219f4c5267f</x:v>
      </x:c>
      <x:c r="B2178" s="2" t="str">
        <x:v>감축량 인증</x:v>
      </x:c>
      <x:c r="C2178" s="2" t="str">
        <x:v>국내</x:v>
      </x:c>
      <x:c r="D2178" s="7" t="str">
        <x:v>SF6 회수 및 재생사업</x:v>
      </x:c>
      <x:c r="E2178" s="2" t="str">
        <x:v>418</x:v>
      </x:c>
      <x:c r="F2178" s="2"/>
      <x:c r="G2178" s="2" t="str">
        <x:v>미확보</x:v>
      </x:c>
      <x:c r="H2178" s="2" t="str">
        <x:v>미확보</x:v>
      </x:c>
      <x:c r="I2178" s="2" t="str">
        <x:v>심의승인</x:v>
      </x:c>
      <x:c r="J2178" s="2" t="str">
        <x:v>심의승인</x:v>
      </x:c>
      <x:c r="K2178" s="2" t="str">
        <x:f>IF(OR(J2178="심의승인",J2178="반려",J2178="반려완료",J2178="심의완료"),"종결 표시",IF(OR(J2178="기후부협의",J2178="문서재제출요청",J2178="보류",J2178="보완요청",J2178="보완완료",J2178="평가중",J2178="반려요청",J2178="평가필요",LEFT(J2178,5)="보완요청("),"미종결 표시","상태 확인 필요"))</x:f>
        <x:v>종결 표시</x:v>
      </x:c>
      <x:c r="L2178" s="2"/>
      <x:c r="M2178" s="2"/>
      <x:c r="N2178" s="8"/>
      <x:c r="O2178" s="2"/>
      <x:c r="P2178" s="2"/>
      <x:c r="Q2178" s="2" t="str">
        <x:v>산업전환_외부사업관리Tool_260707_이너젠 수정_LJY_261013.xlsx</x:v>
      </x:c>
      <x:c r="R2178" s="2" t="str">
        <x:v>국내인증</x:v>
      </x:c>
      <x:c r="S2178" s="8" t="n">
        <x:v>496</x:v>
      </x:c>
      <x:c r="T2178" s="2" t="str">
        <x:v>(6/28)</x:v>
      </x:c>
      <x:c r="U2178" s="2" t="str">
        <x:v>2021 배정: (6/28)</x:v>
      </x:c>
      <x:c r="V2178" s="2" t="str">
        <x:v>2021-07-08</x:v>
      </x:c>
      <x:c r="W2178" s="2" t="str">
        <x:v>신청일 확인 / 담당기관 확인</x:v>
      </x:c>
      <x:c r="X2178" s="2" t="str">
        <x:v>원본·배정 기록 확인</x:v>
      </x:c>
      <x:c r="Y2178" s="2" t="str">
        <x:v>ad210cd9ec132cfd447541c8984dc53d30aff0f4fb2dc92d254d49275cc55976</x:v>
      </x:c>
      <x:c r="Z2178" s="2" t="n">
        <x:f>SUBTOTAL(103,A2178)</x:f>
        <x:v>1</x:v>
      </x:c>
      <x:c r="AA2178" s="2" t="str">
        <x:f>IF(K2178&lt;&gt;"미종결 표시","대상 아님",IF(N2178="","신청일 확인",IF(NOT(ISNUMBER('종합 현황'!$H$5)),"관찰기준 확인",IF('종합 현황'!$H$5&lt;1,"관찰기준 확인",IF(N2178&gt;'종합 현황'!$H$5,"내부 관찰 대상","내부 관찰일 이하")))))</x:f>
        <x:v>대상 아님</x:v>
      </x:c>
      <x:c r="AB2178" s="2"/>
    </x:row>
    <x:row r="2179" ht="42" customHeight="1">
      <x:c r="A2179" s="2" t="str">
        <x:v>21fd7ebe67177648cbb65d12</x:v>
      </x:c>
      <x:c r="B2179" s="2" t="str">
        <x:v>감축량 인증</x:v>
      </x:c>
      <x:c r="C2179" s="2" t="str">
        <x:v>국내</x:v>
      </x:c>
      <x:c r="D2179" s="7" t="str">
        <x:v>카프로 N2O 저감 사업</x:v>
      </x:c>
      <x:c r="E2179" s="2" t="str">
        <x:v>419</x:v>
      </x:c>
      <x:c r="F2179" s="2"/>
      <x:c r="G2179" s="2" t="str">
        <x:v>미확보</x:v>
      </x:c>
      <x:c r="H2179" s="2" t="str">
        <x:v>미확보</x:v>
      </x:c>
      <x:c r="I2179" s="2" t="str">
        <x:v>심의승인</x:v>
      </x:c>
      <x:c r="J2179" s="2" t="str">
        <x:v>심의승인</x:v>
      </x:c>
      <x:c r="K2179" s="2" t="str">
        <x:f>IF(OR(J2179="심의승인",J2179="반려",J2179="반려완료",J2179="심의완료"),"종결 표시",IF(OR(J2179="기후부협의",J2179="문서재제출요청",J2179="보류",J2179="보완요청",J2179="보완완료",J2179="평가중",J2179="반려요청",J2179="평가필요",LEFT(J2179,5)="보완요청("),"미종결 표시","상태 확인 필요"))</x:f>
        <x:v>종결 표시</x:v>
      </x:c>
      <x:c r="L2179" s="2"/>
      <x:c r="M2179" s="2"/>
      <x:c r="N2179" s="8"/>
      <x:c r="O2179" s="2"/>
      <x:c r="P2179" s="2"/>
      <x:c r="Q2179" s="2" t="str">
        <x:v>산업전환_외부사업관리Tool_260707_이너젠 수정_LJY_261013.xlsx</x:v>
      </x:c>
      <x:c r="R2179" s="2" t="str">
        <x:v>국내인증</x:v>
      </x:c>
      <x:c r="S2179" s="8" t="n">
        <x:v>497</x:v>
      </x:c>
      <x:c r="T2179" s="2" t="str">
        <x:v>2021년 처리</x:v>
      </x:c>
      <x:c r="U2179" s="2" t="str">
        <x:v>2021 배정: 2021년 처리</x:v>
      </x:c>
      <x:c r="V2179" s="2" t="str">
        <x:v>2021-07-08</x:v>
      </x:c>
      <x:c r="W2179" s="2" t="str">
        <x:v>신청일 확인 / 담당기관 확인</x:v>
      </x:c>
      <x:c r="X2179" s="2" t="str">
        <x:v>원본·배정 기록 확인</x:v>
      </x:c>
      <x:c r="Y2179" s="2" t="str">
        <x:v>ad210cd9ec132cfd447541c8984dc53d30aff0f4fb2dc92d254d49275cc55976</x:v>
      </x:c>
      <x:c r="Z2179" s="2" t="n">
        <x:f>SUBTOTAL(103,A2179)</x:f>
        <x:v>1</x:v>
      </x:c>
      <x:c r="AA2179" s="2" t="str">
        <x:f>IF(K2179&lt;&gt;"미종결 표시","대상 아님",IF(N2179="","신청일 확인",IF(NOT(ISNUMBER('종합 현황'!$H$5)),"관찰기준 확인",IF('종합 현황'!$H$5&lt;1,"관찰기준 확인",IF(N2179&gt;'종합 현황'!$H$5,"내부 관찰 대상","내부 관찰일 이하")))))</x:f>
        <x:v>대상 아님</x:v>
      </x:c>
      <x:c r="AB2179" s="2"/>
    </x:row>
    <x:row r="2180" ht="42" customHeight="1">
      <x:c r="A2180" s="2" t="str">
        <x:v>373061547adc8754e0ad24e3</x:v>
      </x:c>
      <x:c r="B2180" s="2" t="str">
        <x:v>감축량 인증</x:v>
      </x:c>
      <x:c r="C2180" s="2" t="str">
        <x:v>국내</x:v>
      </x:c>
      <x:c r="D2180" s="7" t="str">
        <x:v>휴켐스(주) 신설 5질산에서 발생하는 아산화질소 배출량 저감사업</x:v>
      </x:c>
      <x:c r="E2180" s="2" t="str">
        <x:v>420</x:v>
      </x:c>
      <x:c r="F2180" s="2"/>
      <x:c r="G2180" s="2" t="str">
        <x:v>미확보</x:v>
      </x:c>
      <x:c r="H2180" s="2" t="str">
        <x:v>미확보</x:v>
      </x:c>
      <x:c r="I2180" s="2" t="str">
        <x:v>심의승인</x:v>
      </x:c>
      <x:c r="J2180" s="2" t="str">
        <x:v>심의승인</x:v>
      </x:c>
      <x:c r="K2180" s="2" t="str">
        <x:f>IF(OR(J2180="심의승인",J2180="반려",J2180="반려완료",J2180="심의완료"),"종결 표시",IF(OR(J2180="기후부협의",J2180="문서재제출요청",J2180="보류",J2180="보완요청",J2180="보완완료",J2180="평가중",J2180="반려요청",J2180="평가필요",LEFT(J2180,5)="보완요청("),"미종결 표시","상태 확인 필요"))</x:f>
        <x:v>종결 표시</x:v>
      </x:c>
      <x:c r="L2180" s="2"/>
      <x:c r="M2180" s="2"/>
      <x:c r="N2180" s="8"/>
      <x:c r="O2180" s="2"/>
      <x:c r="P2180" s="2"/>
      <x:c r="Q2180" s="2" t="str">
        <x:v>산업전환_외부사업관리Tool_260707_이너젠 수정_LJY_261013.xlsx</x:v>
      </x:c>
      <x:c r="R2180" s="2" t="str">
        <x:v>국내인증</x:v>
      </x:c>
      <x:c r="S2180" s="8" t="n">
        <x:v>498</x:v>
      </x:c>
      <x:c r="T2180" s="2" t="str">
        <x:v>2021년 처리</x:v>
      </x:c>
      <x:c r="U2180" s="2" t="str">
        <x:v>2021 배정: 2021년 처리</x:v>
      </x:c>
      <x:c r="V2180" s="2" t="str">
        <x:v>2021-07-08</x:v>
      </x:c>
      <x:c r="W2180" s="2" t="str">
        <x:v>신청일 확인 / 담당기관 확인</x:v>
      </x:c>
      <x:c r="X2180" s="2" t="str">
        <x:v>원본·배정 기록 확인</x:v>
      </x:c>
      <x:c r="Y2180" s="2" t="str">
        <x:v>ad210cd9ec132cfd447541c8984dc53d30aff0f4fb2dc92d254d49275cc55976</x:v>
      </x:c>
      <x:c r="Z2180" s="2" t="n">
        <x:f>SUBTOTAL(103,A2180)</x:f>
        <x:v>1</x:v>
      </x:c>
      <x:c r="AA2180" s="2" t="str">
        <x:f>IF(K2180&lt;&gt;"미종결 표시","대상 아님",IF(N2180="","신청일 확인",IF(NOT(ISNUMBER('종합 현황'!$H$5)),"관찰기준 확인",IF('종합 현황'!$H$5&lt;1,"관찰기준 확인",IF(N2180&gt;'종합 현황'!$H$5,"내부 관찰 대상","내부 관찰일 이하")))))</x:f>
        <x:v>대상 아님</x:v>
      </x:c>
      <x:c r="AB2180" s="2"/>
    </x:row>
    <x:row r="2181" ht="42" customHeight="1">
      <x:c r="A2181" s="2" t="str">
        <x:v>e135237d90bc18ac535756bd</x:v>
      </x:c>
      <x:c r="B2181" s="2" t="str">
        <x:v>감축량 인증</x:v>
      </x:c>
      <x:c r="C2181" s="2" t="str">
        <x:v>국내</x:v>
      </x:c>
      <x:c r="D2181" s="7" t="str">
        <x:v>휴켐스 질산공장 N2O 감축사업(휴켐스 주식회사의 질산 공장 세곡에서 tail gas에 포한된 아산화질소를 촉매를 사용하여 제거하는 프로젝트)</x:v>
      </x:c>
      <x:c r="E2181" s="2" t="str">
        <x:v>421</x:v>
      </x:c>
      <x:c r="F2181" s="2"/>
      <x:c r="G2181" s="2" t="str">
        <x:v>미확보</x:v>
      </x:c>
      <x:c r="H2181" s="2" t="str">
        <x:v>미확보</x:v>
      </x:c>
      <x:c r="I2181" s="2" t="str">
        <x:v>심의승인</x:v>
      </x:c>
      <x:c r="J2181" s="2" t="str">
        <x:v>심의승인</x:v>
      </x:c>
      <x:c r="K2181" s="2" t="str">
        <x:f>IF(OR(J2181="심의승인",J2181="반려",J2181="반려완료",J2181="심의완료"),"종결 표시",IF(OR(J2181="기후부협의",J2181="문서재제출요청",J2181="보류",J2181="보완요청",J2181="보완완료",J2181="평가중",J2181="반려요청",J2181="평가필요",LEFT(J2181,5)="보완요청("),"미종결 표시","상태 확인 필요"))</x:f>
        <x:v>종결 표시</x:v>
      </x:c>
      <x:c r="L2181" s="2"/>
      <x:c r="M2181" s="2"/>
      <x:c r="N2181" s="8"/>
      <x:c r="O2181" s="2"/>
      <x:c r="P2181" s="2"/>
      <x:c r="Q2181" s="2" t="str">
        <x:v>산업전환_외부사업관리Tool_260707_이너젠 수정_LJY_261013.xlsx</x:v>
      </x:c>
      <x:c r="R2181" s="2" t="str">
        <x:v>국내인증</x:v>
      </x:c>
      <x:c r="S2181" s="8" t="n">
        <x:v>499</x:v>
      </x:c>
      <x:c r="T2181" s="2" t="str">
        <x:v>2021년 처리</x:v>
      </x:c>
      <x:c r="U2181" s="2" t="str">
        <x:v>2021 배정: 2021년 처리</x:v>
      </x:c>
      <x:c r="V2181" s="2" t="str">
        <x:v>2021-07-08</x:v>
      </x:c>
      <x:c r="W2181" s="2" t="str">
        <x:v>신청일 확인 / 담당기관 확인</x:v>
      </x:c>
      <x:c r="X2181" s="2" t="str">
        <x:v>원본·배정 기록 확인</x:v>
      </x:c>
      <x:c r="Y2181" s="2" t="str">
        <x:v>ad210cd9ec132cfd447541c8984dc53d30aff0f4fb2dc92d254d49275cc55976</x:v>
      </x:c>
      <x:c r="Z2181" s="2" t="n">
        <x:f>SUBTOTAL(103,A2181)</x:f>
        <x:v>1</x:v>
      </x:c>
      <x:c r="AA2181" s="2" t="str">
        <x:f>IF(K2181&lt;&gt;"미종결 표시","대상 아님",IF(N2181="","신청일 확인",IF(NOT(ISNUMBER('종합 현황'!$H$5)),"관찰기준 확인",IF('종합 현황'!$H$5&lt;1,"관찰기준 확인",IF(N2181&gt;'종합 현황'!$H$5,"내부 관찰 대상","내부 관찰일 이하")))))</x:f>
        <x:v>대상 아님</x:v>
      </x:c>
      <x:c r="AB2181" s="2"/>
    </x:row>
    <x:row r="2182" ht="42" customHeight="1">
      <x:c r="A2182" s="2" t="str">
        <x:v>a5e46a8d09a71d35a5f488c2</x:v>
      </x:c>
      <x:c r="B2182" s="2" t="str">
        <x:v>감축량 인증</x:v>
      </x:c>
      <x:c r="C2182" s="2" t="str">
        <x:v>국내</x:v>
      </x:c>
      <x:c r="D2182" s="7" t="str">
        <x:v>고창솔라파크 14.98MW 태양광발전 사업</x:v>
      </x:c>
      <x:c r="E2182" s="2" t="str">
        <x:v>422</x:v>
      </x:c>
      <x:c r="F2182" s="2"/>
      <x:c r="G2182" s="2" t="str">
        <x:v>미확보</x:v>
      </x:c>
      <x:c r="H2182" s="2" t="str">
        <x:v>미확보</x:v>
      </x:c>
      <x:c r="I2182" s="2" t="str">
        <x:v>심의승인</x:v>
      </x:c>
      <x:c r="J2182" s="2" t="str">
        <x:v>심의승인</x:v>
      </x:c>
      <x:c r="K2182" s="2" t="str">
        <x:f>IF(OR(J2182="심의승인",J2182="반려",J2182="반려완료",J2182="심의완료"),"종결 표시",IF(OR(J2182="기후부협의",J2182="문서재제출요청",J2182="보류",J2182="보완요청",J2182="보완완료",J2182="평가중",J2182="반려요청",J2182="평가필요",LEFT(J2182,5)="보완요청("),"미종결 표시","상태 확인 필요"))</x:f>
        <x:v>종결 표시</x:v>
      </x:c>
      <x:c r="L2182" s="2"/>
      <x:c r="M2182" s="2"/>
      <x:c r="N2182" s="8"/>
      <x:c r="O2182" s="2"/>
      <x:c r="P2182" s="2"/>
      <x:c r="Q2182" s="2" t="str">
        <x:v>산업전환_외부사업관리Tool_260707_이너젠 수정_LJY_261013.xlsx</x:v>
      </x:c>
      <x:c r="R2182" s="2" t="str">
        <x:v>국내인증</x:v>
      </x:c>
      <x:c r="S2182" s="8" t="n">
        <x:v>500</x:v>
      </x:c>
      <x:c r="T2182" s="2" t="str">
        <x:v>(6/28)</x:v>
      </x:c>
      <x:c r="U2182" s="2" t="str">
        <x:v>2021 배정: (6/28)</x:v>
      </x:c>
      <x:c r="V2182" s="2" t="str">
        <x:v>2021-10-07</x:v>
      </x:c>
      <x:c r="W2182" s="2" t="str">
        <x:v>신청일 확인 / 담당기관 확인</x:v>
      </x:c>
      <x:c r="X2182" s="2" t="str">
        <x:v>원본·배정 기록 확인</x:v>
      </x:c>
      <x:c r="Y2182" s="2" t="str">
        <x:v>ad210cd9ec132cfd447541c8984dc53d30aff0f4fb2dc92d254d49275cc55976</x:v>
      </x:c>
      <x:c r="Z2182" s="2" t="n">
        <x:f>SUBTOTAL(103,A2182)</x:f>
        <x:v>1</x:v>
      </x:c>
      <x:c r="AA2182" s="2" t="str">
        <x:f>IF(K2182&lt;&gt;"미종결 표시","대상 아님",IF(N2182="","신청일 확인",IF(NOT(ISNUMBER('종합 현황'!$H$5)),"관찰기준 확인",IF('종합 현황'!$H$5&lt;1,"관찰기준 확인",IF(N2182&gt;'종합 현황'!$H$5,"내부 관찰 대상","내부 관찰일 이하")))))</x:f>
        <x:v>대상 아님</x:v>
      </x:c>
      <x:c r="AB2182" s="2"/>
    </x:row>
    <x:row r="2183" ht="42" customHeight="1">
      <x:c r="A2183" s="2" t="str">
        <x:v>53a5ad21387eb3939ce2e913</x:v>
      </x:c>
      <x:c r="B2183" s="2" t="str">
        <x:v>감축량 인증</x:v>
      </x:c>
      <x:c r="C2183" s="2" t="str">
        <x:v>국내</x:v>
      </x:c>
      <x:c r="D2183" s="7" t="str">
        <x:v>카프로 N2O 저감 사업</x:v>
      </x:c>
      <x:c r="E2183" s="2" t="str">
        <x:v>423</x:v>
      </x:c>
      <x:c r="F2183" s="2"/>
      <x:c r="G2183" s="2" t="str">
        <x:v>미확보</x:v>
      </x:c>
      <x:c r="H2183" s="2" t="str">
        <x:v>미확보</x:v>
      </x:c>
      <x:c r="I2183" s="2" t="str">
        <x:v>심의승인</x:v>
      </x:c>
      <x:c r="J2183" s="2" t="str">
        <x:v>심의승인</x:v>
      </x:c>
      <x:c r="K2183" s="2" t="str">
        <x:f>IF(OR(J2183="심의승인",J2183="반려",J2183="반려완료",J2183="심의완료"),"종결 표시",IF(OR(J2183="기후부협의",J2183="문서재제출요청",J2183="보류",J2183="보완요청",J2183="보완완료",J2183="평가중",J2183="반려요청",J2183="평가필요",LEFT(J2183,5)="보완요청("),"미종결 표시","상태 확인 필요"))</x:f>
        <x:v>종결 표시</x:v>
      </x:c>
      <x:c r="L2183" s="2"/>
      <x:c r="M2183" s="2"/>
      <x:c r="N2183" s="8"/>
      <x:c r="O2183" s="2"/>
      <x:c r="P2183" s="2"/>
      <x:c r="Q2183" s="2" t="str">
        <x:v>산업전환_외부사업관리Tool_260707_이너젠 수정_LJY_261013.xlsx</x:v>
      </x:c>
      <x:c r="R2183" s="2" t="str">
        <x:v>국내인증</x:v>
      </x:c>
      <x:c r="S2183" s="8" t="n">
        <x:v>501</x:v>
      </x:c>
      <x:c r="T2183" s="2" t="str">
        <x:v>2021년 처리</x:v>
      </x:c>
      <x:c r="U2183" s="2" t="str">
        <x:v>2021 배정: 2021년 처리</x:v>
      </x:c>
      <x:c r="V2183" s="2" t="str">
        <x:v>2021-07-08</x:v>
      </x:c>
      <x:c r="W2183" s="2" t="str">
        <x:v>신청일 확인 / 담당기관 확인</x:v>
      </x:c>
      <x:c r="X2183" s="2" t="str">
        <x:v>원본·배정 기록 확인</x:v>
      </x:c>
      <x:c r="Y2183" s="2" t="str">
        <x:v>ad210cd9ec132cfd447541c8984dc53d30aff0f4fb2dc92d254d49275cc55976</x:v>
      </x:c>
      <x:c r="Z2183" s="2" t="n">
        <x:f>SUBTOTAL(103,A2183)</x:f>
        <x:v>1</x:v>
      </x:c>
      <x:c r="AA2183" s="2" t="str">
        <x:f>IF(K2183&lt;&gt;"미종결 표시","대상 아님",IF(N2183="","신청일 확인",IF(NOT(ISNUMBER('종합 현황'!$H$5)),"관찰기준 확인",IF('종합 현황'!$H$5&lt;1,"관찰기준 확인",IF(N2183&gt;'종합 현황'!$H$5,"내부 관찰 대상","내부 관찰일 이하")))))</x:f>
        <x:v>대상 아님</x:v>
      </x:c>
      <x:c r="AB2183" s="2"/>
    </x:row>
    <x:row r="2184" ht="42" customHeight="1">
      <x:c r="A2184" s="2" t="str">
        <x:v>02fa2b2b404111434b416867</x:v>
      </x:c>
      <x:c r="B2184" s="2" t="str">
        <x:v>감축량 인증</x:v>
      </x:c>
      <x:c r="C2184" s="2" t="str">
        <x:v>국내</x:v>
      </x:c>
      <x:c r="D2184" s="7" t="str">
        <x:v>휴켐스 질산공장 N2O 감축사업(휴켐스 주식회사의 질산 공장 세 곳에서 tail gas에 포함된 아산화질소를 촉매를 사용하여 제거하는 프로젝트)</x:v>
      </x:c>
      <x:c r="E2184" s="2" t="str">
        <x:v>424</x:v>
      </x:c>
      <x:c r="F2184" s="2"/>
      <x:c r="G2184" s="2" t="str">
        <x:v>미확보</x:v>
      </x:c>
      <x:c r="H2184" s="2" t="str">
        <x:v>미확보</x:v>
      </x:c>
      <x:c r="I2184" s="2" t="str">
        <x:v>심의승인</x:v>
      </x:c>
      <x:c r="J2184" s="2" t="str">
        <x:v>심의승인</x:v>
      </x:c>
      <x:c r="K2184" s="2" t="str">
        <x:f>IF(OR(J2184="심의승인",J2184="반려",J2184="반려완료",J2184="심의완료"),"종결 표시",IF(OR(J2184="기후부협의",J2184="문서재제출요청",J2184="보류",J2184="보완요청",J2184="보완완료",J2184="평가중",J2184="반려요청",J2184="평가필요",LEFT(J2184,5)="보완요청("),"미종결 표시","상태 확인 필요"))</x:f>
        <x:v>종결 표시</x:v>
      </x:c>
      <x:c r="L2184" s="2"/>
      <x:c r="M2184" s="2"/>
      <x:c r="N2184" s="8"/>
      <x:c r="O2184" s="2"/>
      <x:c r="P2184" s="2"/>
      <x:c r="Q2184" s="2" t="str">
        <x:v>산업전환_외부사업관리Tool_260707_이너젠 수정_LJY_261013.xlsx</x:v>
      </x:c>
      <x:c r="R2184" s="2" t="str">
        <x:v>국내인증</x:v>
      </x:c>
      <x:c r="S2184" s="8" t="n">
        <x:v>502</x:v>
      </x:c>
      <x:c r="T2184" s="2" t="str">
        <x:v>2021년 처리</x:v>
      </x:c>
      <x:c r="U2184" s="2" t="str">
        <x:v>2021 배정: 2021년 처리</x:v>
      </x:c>
      <x:c r="V2184" s="2" t="str">
        <x:v>2021-07-08</x:v>
      </x:c>
      <x:c r="W2184" s="2" t="str">
        <x:v>신청일 확인 / 담당기관 확인</x:v>
      </x:c>
      <x:c r="X2184" s="2" t="str">
        <x:v>원본·배정 기록 확인</x:v>
      </x:c>
      <x:c r="Y2184" s="2" t="str">
        <x:v>ad210cd9ec132cfd447541c8984dc53d30aff0f4fb2dc92d254d49275cc55976</x:v>
      </x:c>
      <x:c r="Z2184" s="2" t="n">
        <x:f>SUBTOTAL(103,A2184)</x:f>
        <x:v>1</x:v>
      </x:c>
      <x:c r="AA2184" s="2" t="str">
        <x:f>IF(K2184&lt;&gt;"미종결 표시","대상 아님",IF(N2184="","신청일 확인",IF(NOT(ISNUMBER('종합 현황'!$H$5)),"관찰기준 확인",IF('종합 현황'!$H$5&lt;1,"관찰기준 확인",IF(N2184&gt;'종합 현황'!$H$5,"내부 관찰 대상","내부 관찰일 이하")))))</x:f>
        <x:v>대상 아님</x:v>
      </x:c>
      <x:c r="AB2184" s="2"/>
    </x:row>
    <x:row r="2185" ht="42" customHeight="1">
      <x:c r="A2185" s="2" t="str">
        <x:v>acc9ae92b5e82302976a4e9a</x:v>
      </x:c>
      <x:c r="B2185" s="2" t="str">
        <x:v>감축량 인증</x:v>
      </x:c>
      <x:c r="C2185" s="2" t="str">
        <x:v>국내</x:v>
      </x:c>
      <x:c r="D2185" s="7" t="str">
        <x:v>휴켐스(주) 신설 5질산에서 발생하는 아산화질소 배출량 저감사업</x:v>
      </x:c>
      <x:c r="E2185" s="2" t="str">
        <x:v>425</x:v>
      </x:c>
      <x:c r="F2185" s="2"/>
      <x:c r="G2185" s="2" t="str">
        <x:v>미확보</x:v>
      </x:c>
      <x:c r="H2185" s="2" t="str">
        <x:v>미확보</x:v>
      </x:c>
      <x:c r="I2185" s="2" t="str">
        <x:v>심의승인</x:v>
      </x:c>
      <x:c r="J2185" s="2" t="str">
        <x:v>심의승인</x:v>
      </x:c>
      <x:c r="K2185" s="2" t="str">
        <x:f>IF(OR(J2185="심의승인",J2185="반려",J2185="반려완료",J2185="심의완료"),"종결 표시",IF(OR(J2185="기후부협의",J2185="문서재제출요청",J2185="보류",J2185="보완요청",J2185="보완완료",J2185="평가중",J2185="반려요청",J2185="평가필요",LEFT(J2185,5)="보완요청("),"미종결 표시","상태 확인 필요"))</x:f>
        <x:v>종결 표시</x:v>
      </x:c>
      <x:c r="L2185" s="2"/>
      <x:c r="M2185" s="2"/>
      <x:c r="N2185" s="8"/>
      <x:c r="O2185" s="2"/>
      <x:c r="P2185" s="2"/>
      <x:c r="Q2185" s="2" t="str">
        <x:v>산업전환_외부사업관리Tool_260707_이너젠 수정_LJY_261013.xlsx</x:v>
      </x:c>
      <x:c r="R2185" s="2" t="str">
        <x:v>국내인증</x:v>
      </x:c>
      <x:c r="S2185" s="8" t="n">
        <x:v>503</x:v>
      </x:c>
      <x:c r="T2185" s="2" t="str">
        <x:v>2021년 처리</x:v>
      </x:c>
      <x:c r="U2185" s="2" t="str">
        <x:v>2021 배정: 2021년 처리</x:v>
      </x:c>
      <x:c r="V2185" s="2" t="str">
        <x:v>2021-07-08</x:v>
      </x:c>
      <x:c r="W2185" s="2" t="str">
        <x:v>신청일 확인 / 담당기관 확인</x:v>
      </x:c>
      <x:c r="X2185" s="2" t="str">
        <x:v>원본·배정 기록 확인</x:v>
      </x:c>
      <x:c r="Y2185" s="2" t="str">
        <x:v>ad210cd9ec132cfd447541c8984dc53d30aff0f4fb2dc92d254d49275cc55976</x:v>
      </x:c>
      <x:c r="Z2185" s="2" t="n">
        <x:f>SUBTOTAL(103,A2185)</x:f>
        <x:v>1</x:v>
      </x:c>
      <x:c r="AA2185" s="2" t="str">
        <x:f>IF(K2185&lt;&gt;"미종결 표시","대상 아님",IF(N2185="","신청일 확인",IF(NOT(ISNUMBER('종합 현황'!$H$5)),"관찰기준 확인",IF('종합 현황'!$H$5&lt;1,"관찰기준 확인",IF(N2185&gt;'종합 현황'!$H$5,"내부 관찰 대상","내부 관찰일 이하")))))</x:f>
        <x:v>대상 아님</x:v>
      </x:c>
      <x:c r="AB2185" s="2"/>
    </x:row>
    <x:row r="2186" ht="42" customHeight="1">
      <x:c r="A2186" s="2" t="str">
        <x:v>0256da8f4db531a2b7fe69c9</x:v>
      </x:c>
      <x:c r="B2186" s="2" t="str">
        <x:v>감축량 인증</x:v>
      </x:c>
      <x:c r="C2186" s="2" t="str">
        <x:v>국내</x:v>
      </x:c>
      <x:c r="D2186" s="7" t="str">
        <x:v>카프로 N2O 저감 사업</x:v>
      </x:c>
      <x:c r="E2186" s="2" t="str">
        <x:v>426</x:v>
      </x:c>
      <x:c r="F2186" s="2"/>
      <x:c r="G2186" s="2" t="str">
        <x:v>미확보</x:v>
      </x:c>
      <x:c r="H2186" s="2" t="str">
        <x:v>미확보</x:v>
      </x:c>
      <x:c r="I2186" s="2" t="str">
        <x:v>심의승인</x:v>
      </x:c>
      <x:c r="J2186" s="2" t="str">
        <x:v>심의승인</x:v>
      </x:c>
      <x:c r="K2186" s="2" t="str">
        <x:f>IF(OR(J2186="심의승인",J2186="반려",J2186="반려완료",J2186="심의완료"),"종결 표시",IF(OR(J2186="기후부협의",J2186="문서재제출요청",J2186="보류",J2186="보완요청",J2186="보완완료",J2186="평가중",J2186="반려요청",J2186="평가필요",LEFT(J2186,5)="보완요청("),"미종결 표시","상태 확인 필요"))</x:f>
        <x:v>종결 표시</x:v>
      </x:c>
      <x:c r="L2186" s="2"/>
      <x:c r="M2186" s="2"/>
      <x:c r="N2186" s="8"/>
      <x:c r="O2186" s="2"/>
      <x:c r="P2186" s="2"/>
      <x:c r="Q2186" s="2" t="str">
        <x:v>산업전환_외부사업관리Tool_260707_이너젠 수정_LJY_261013.xlsx</x:v>
      </x:c>
      <x:c r="R2186" s="2" t="str">
        <x:v>국내인증</x:v>
      </x:c>
      <x:c r="S2186" s="8" t="n">
        <x:v>504</x:v>
      </x:c>
      <x:c r="T2186" s="2" t="str">
        <x:v>2021년 처리</x:v>
      </x:c>
      <x:c r="U2186" s="2" t="str">
        <x:v>2021 배정: 2021년 처리</x:v>
      </x:c>
      <x:c r="V2186" s="2" t="str">
        <x:v>2021-07-08</x:v>
      </x:c>
      <x:c r="W2186" s="2" t="str">
        <x:v>신청일 확인 / 담당기관 확인</x:v>
      </x:c>
      <x:c r="X2186" s="2" t="str">
        <x:v>원본·배정 기록 확인</x:v>
      </x:c>
      <x:c r="Y2186" s="2" t="str">
        <x:v>ad210cd9ec132cfd447541c8984dc53d30aff0f4fb2dc92d254d49275cc55976</x:v>
      </x:c>
      <x:c r="Z2186" s="2" t="n">
        <x:f>SUBTOTAL(103,A2186)</x:f>
        <x:v>1</x:v>
      </x:c>
      <x:c r="AA2186" s="2" t="str">
        <x:f>IF(K2186&lt;&gt;"미종결 표시","대상 아님",IF(N2186="","신청일 확인",IF(NOT(ISNUMBER('종합 현황'!$H$5)),"관찰기준 확인",IF('종합 현황'!$H$5&lt;1,"관찰기준 확인",IF(N2186&gt;'종합 현황'!$H$5,"내부 관찰 대상","내부 관찰일 이하")))))</x:f>
        <x:v>대상 아님</x:v>
      </x:c>
      <x:c r="AB2186" s="2"/>
    </x:row>
    <x:row r="2187" ht="42" customHeight="1">
      <x:c r="A2187" s="2" t="str">
        <x:v>aae002cab53446f78aeec227</x:v>
      </x:c>
      <x:c r="B2187" s="2" t="str">
        <x:v>감축량 인증</x:v>
      </x:c>
      <x:c r="C2187" s="2" t="str">
        <x:v>국내</x:v>
      </x:c>
      <x:c r="D2187" s="7" t="str">
        <x:v>시화호 조력발전 사업</x:v>
      </x:c>
      <x:c r="E2187" s="2" t="str">
        <x:v>427</x:v>
      </x:c>
      <x:c r="F2187" s="2"/>
      <x:c r="G2187" s="2" t="str">
        <x:v>미확보</x:v>
      </x:c>
      <x:c r="H2187" s="2" t="str">
        <x:v>미확보</x:v>
      </x:c>
      <x:c r="I2187" s="2" t="str">
        <x:v>심의승인</x:v>
      </x:c>
      <x:c r="J2187" s="2" t="str">
        <x:v>심의승인</x:v>
      </x:c>
      <x:c r="K2187" s="2" t="str">
        <x:f>IF(OR(J2187="심의승인",J2187="반려",J2187="반려완료",J2187="심의완료"),"종결 표시",IF(OR(J2187="기후부협의",J2187="문서재제출요청",J2187="보류",J2187="보완요청",J2187="보완완료",J2187="평가중",J2187="반려요청",J2187="평가필요",LEFT(J2187,5)="보완요청("),"미종결 표시","상태 확인 필요"))</x:f>
        <x:v>종결 표시</x:v>
      </x:c>
      <x:c r="L2187" s="2"/>
      <x:c r="M2187" s="2"/>
      <x:c r="N2187" s="8"/>
      <x:c r="O2187" s="2"/>
      <x:c r="P2187" s="2"/>
      <x:c r="Q2187" s="2" t="str">
        <x:v>산업전환_외부사업관리Tool_260707_이너젠 수정_LJY_261013.xlsx</x:v>
      </x:c>
      <x:c r="R2187" s="2" t="str">
        <x:v>국내인증</x:v>
      </x:c>
      <x:c r="S2187" s="8" t="n">
        <x:v>505</x:v>
      </x:c>
      <x:c r="T2187" s="2" t="str">
        <x:v>2021년 처리</x:v>
      </x:c>
      <x:c r="U2187" s="2" t="str">
        <x:v>2021 배정: 2021년 처리</x:v>
      </x:c>
      <x:c r="V2187" s="2" t="str">
        <x:v>2021-10-07</x:v>
      </x:c>
      <x:c r="W2187" s="2" t="str">
        <x:v>신청일 확인 / 담당기관 확인</x:v>
      </x:c>
      <x:c r="X2187" s="2" t="str">
        <x:v>원본·배정 기록 확인</x:v>
      </x:c>
      <x:c r="Y2187" s="2" t="str">
        <x:v>ad210cd9ec132cfd447541c8984dc53d30aff0f4fb2dc92d254d49275cc55976</x:v>
      </x:c>
      <x:c r="Z2187" s="2" t="n">
        <x:f>SUBTOTAL(103,A2187)</x:f>
        <x:v>1</x:v>
      </x:c>
      <x:c r="AA2187" s="2" t="str">
        <x:f>IF(K2187&lt;&gt;"미종결 표시","대상 아님",IF(N2187="","신청일 확인",IF(NOT(ISNUMBER('종합 현황'!$H$5)),"관찰기준 확인",IF('종합 현황'!$H$5&lt;1,"관찰기준 확인",IF(N2187&gt;'종합 현황'!$H$5,"내부 관찰 대상","내부 관찰일 이하")))))</x:f>
        <x:v>대상 아님</x:v>
      </x:c>
      <x:c r="AB2187" s="2"/>
    </x:row>
    <x:row r="2188" ht="42" customHeight="1">
      <x:c r="A2188" s="2" t="str">
        <x:v>edbe21967eceb87b6f5e9a04</x:v>
      </x:c>
      <x:c r="B2188" s="2" t="str">
        <x:v>감축량 인증</x:v>
      </x:c>
      <x:c r="C2188" s="2" t="str">
        <x:v>국내</x:v>
      </x:c>
      <x:c r="D2188" s="7" t="str">
        <x:v>한미약품의 경유에서 LNG로 연료전환을 통한 온실가스 배출 감축사업</x:v>
      </x:c>
      <x:c r="E2188" s="2" t="str">
        <x:v>428</x:v>
      </x:c>
      <x:c r="F2188" s="2"/>
      <x:c r="G2188" s="2" t="str">
        <x:v>미확보</x:v>
      </x:c>
      <x:c r="H2188" s="2" t="str">
        <x:v>미확보</x:v>
      </x:c>
      <x:c r="I2188" s="2" t="str">
        <x:v>심의승인</x:v>
      </x:c>
      <x:c r="J2188" s="2" t="str">
        <x:v>심의승인</x:v>
      </x:c>
      <x:c r="K2188" s="2" t="str">
        <x:f>IF(OR(J2188="심의승인",J2188="반려",J2188="반려완료",J2188="심의완료"),"종결 표시",IF(OR(J2188="기후부협의",J2188="문서재제출요청",J2188="보류",J2188="보완요청",J2188="보완완료",J2188="평가중",J2188="반려요청",J2188="평가필요",LEFT(J2188,5)="보완요청("),"미종결 표시","상태 확인 필요"))</x:f>
        <x:v>종결 표시</x:v>
      </x:c>
      <x:c r="L2188" s="2"/>
      <x:c r="M2188" s="2"/>
      <x:c r="N2188" s="8"/>
      <x:c r="O2188" s="2"/>
      <x:c r="P2188" s="2"/>
      <x:c r="Q2188" s="2" t="str">
        <x:v>산업전환_외부사업관리Tool_260707_이너젠 수정_LJY_261013.xlsx</x:v>
      </x:c>
      <x:c r="R2188" s="2" t="str">
        <x:v>국내인증</x:v>
      </x:c>
      <x:c r="S2188" s="8" t="n">
        <x:v>506</x:v>
      </x:c>
      <x:c r="T2188" s="2" t="str">
        <x:v>(4/23),(5/26),(8/3)</x:v>
      </x:c>
      <x:c r="U2188" s="2" t="str">
        <x:v>2021 배정: (4/23),(5/26),(8/3)</x:v>
      </x:c>
      <x:c r="V2188" s="2" t="str">
        <x:v>2021-10-07</x:v>
      </x:c>
      <x:c r="W2188" s="2" t="str">
        <x:v>신청일 확인 / 담당기관 확인</x:v>
      </x:c>
      <x:c r="X2188" s="2" t="str">
        <x:v>원본·배정 기록 확인</x:v>
      </x:c>
      <x:c r="Y2188" s="2" t="str">
        <x:v>ad210cd9ec132cfd447541c8984dc53d30aff0f4fb2dc92d254d49275cc55976</x:v>
      </x:c>
      <x:c r="Z2188" s="2" t="n">
        <x:f>SUBTOTAL(103,A2188)</x:f>
        <x:v>1</x:v>
      </x:c>
      <x:c r="AA2188" s="2" t="str">
        <x:f>IF(K2188&lt;&gt;"미종결 표시","대상 아님",IF(N2188="","신청일 확인",IF(NOT(ISNUMBER('종합 현황'!$H$5)),"관찰기준 확인",IF('종합 현황'!$H$5&lt;1,"관찰기준 확인",IF(N2188&gt;'종합 현황'!$H$5,"내부 관찰 대상","내부 관찰일 이하")))))</x:f>
        <x:v>대상 아님</x:v>
      </x:c>
      <x:c r="AB2188" s="2"/>
    </x:row>
    <x:row r="2189" ht="42" customHeight="1">
      <x:c r="A2189" s="2" t="str">
        <x:v>ab042e174b5fb239149653cb</x:v>
      </x:c>
      <x:c r="B2189" s="2" t="str">
        <x:v>감축량 인증</x:v>
      </x:c>
      <x:c r="C2189" s="2" t="str">
        <x:v>국내</x:v>
      </x:c>
      <x:c r="D2189" s="7" t="str">
        <x:v>삼일이노팩의 B-C유에서 LNG로 연료전환을 통한 온실가스 배출 감축사업</x:v>
      </x:c>
      <x:c r="E2189" s="2" t="str">
        <x:v>429</x:v>
      </x:c>
      <x:c r="F2189" s="2"/>
      <x:c r="G2189" s="2" t="str">
        <x:v>미확보</x:v>
      </x:c>
      <x:c r="H2189" s="2" t="str">
        <x:v>미확보</x:v>
      </x:c>
      <x:c r="I2189" s="2" t="str">
        <x:v>심의승인</x:v>
      </x:c>
      <x:c r="J2189" s="2" t="str">
        <x:v>심의승인</x:v>
      </x:c>
      <x:c r="K2189" s="2" t="str">
        <x:f>IF(OR(J2189="심의승인",J2189="반려",J2189="반려완료",J2189="심의완료"),"종결 표시",IF(OR(J2189="기후부협의",J2189="문서재제출요청",J2189="보류",J2189="보완요청",J2189="보완완료",J2189="평가중",J2189="반려요청",J2189="평가필요",LEFT(J2189,5)="보완요청("),"미종결 표시","상태 확인 필요"))</x:f>
        <x:v>종결 표시</x:v>
      </x:c>
      <x:c r="L2189" s="2"/>
      <x:c r="M2189" s="2"/>
      <x:c r="N2189" s="8"/>
      <x:c r="O2189" s="2"/>
      <x:c r="P2189" s="2"/>
      <x:c r="Q2189" s="2" t="str">
        <x:v>산업전환_외부사업관리Tool_260707_이너젠 수정_LJY_261013.xlsx</x:v>
      </x:c>
      <x:c r="R2189" s="2" t="str">
        <x:v>국내인증</x:v>
      </x:c>
      <x:c r="S2189" s="8" t="n">
        <x:v>507</x:v>
      </x:c>
      <x:c r="T2189" s="2" t="str">
        <x:v>(7/12)</x:v>
      </x:c>
      <x:c r="U2189" s="2" t="str">
        <x:v>2021 배정: (7/12)</x:v>
      </x:c>
      <x:c r="V2189" s="2" t="str">
        <x:v>2022-01-17</x:v>
      </x:c>
      <x:c r="W2189" s="2" t="str">
        <x:v>신청일 확인 / 담당기관 확인</x:v>
      </x:c>
      <x:c r="X2189" s="2" t="str">
        <x:v>원본·배정 기록 확인</x:v>
      </x:c>
      <x:c r="Y2189" s="2" t="str">
        <x:v>ad210cd9ec132cfd447541c8984dc53d30aff0f4fb2dc92d254d49275cc55976</x:v>
      </x:c>
      <x:c r="Z2189" s="2" t="n">
        <x:f>SUBTOTAL(103,A2189)</x:f>
        <x:v>1</x:v>
      </x:c>
      <x:c r="AA2189" s="2" t="str">
        <x:f>IF(K2189&lt;&gt;"미종결 표시","대상 아님",IF(N2189="","신청일 확인",IF(NOT(ISNUMBER('종합 현황'!$H$5)),"관찰기준 확인",IF('종합 현황'!$H$5&lt;1,"관찰기준 확인",IF(N2189&gt;'종합 현황'!$H$5,"내부 관찰 대상","내부 관찰일 이하")))))</x:f>
        <x:v>대상 아님</x:v>
      </x:c>
      <x:c r="AB2189" s="2"/>
    </x:row>
    <x:row r="2190" ht="42" customHeight="1">
      <x:c r="A2190" s="2" t="str">
        <x:v>3f7d7aaebca71250dcb26195</x:v>
      </x:c>
      <x:c r="B2190" s="2" t="str">
        <x:v>감축량 인증</x:v>
      </x:c>
      <x:c r="C2190" s="2" t="str">
        <x:v>국내</x:v>
      </x:c>
      <x:c r="D2190" s="7" t="str">
        <x:v>㈜한화 울산소재 질산공장 N2O 감축 프로젝트</x:v>
      </x:c>
      <x:c r="E2190" s="2" t="str">
        <x:v>430</x:v>
      </x:c>
      <x:c r="F2190" s="2"/>
      <x:c r="G2190" s="2" t="str">
        <x:v>미확보</x:v>
      </x:c>
      <x:c r="H2190" s="2" t="str">
        <x:v>미확보</x:v>
      </x:c>
      <x:c r="I2190" s="2" t="str">
        <x:v>심의승인</x:v>
      </x:c>
      <x:c r="J2190" s="2" t="str">
        <x:v>심의승인</x:v>
      </x:c>
      <x:c r="K2190" s="2" t="str">
        <x:f>IF(OR(J2190="심의승인",J2190="반려",J2190="반려완료",J2190="심의완료"),"종결 표시",IF(OR(J2190="기후부협의",J2190="문서재제출요청",J2190="보류",J2190="보완요청",J2190="보완완료",J2190="평가중",J2190="반려요청",J2190="평가필요",LEFT(J2190,5)="보완요청("),"미종결 표시","상태 확인 필요"))</x:f>
        <x:v>종결 표시</x:v>
      </x:c>
      <x:c r="L2190" s="2"/>
      <x:c r="M2190" s="2"/>
      <x:c r="N2190" s="8"/>
      <x:c r="O2190" s="2"/>
      <x:c r="P2190" s="2"/>
      <x:c r="Q2190" s="2" t="str">
        <x:v>산업전환_외부사업관리Tool_260707_이너젠 수정_LJY_261013.xlsx</x:v>
      </x:c>
      <x:c r="R2190" s="2" t="str">
        <x:v>국내인증</x:v>
      </x:c>
      <x:c r="S2190" s="8" t="n">
        <x:v>508</x:v>
      </x:c>
      <x:c r="T2190" s="2" t="str">
        <x:v>2021년 처리</x:v>
      </x:c>
      <x:c r="U2190" s="2" t="str">
        <x:v>2021 배정: 2021년 처리</x:v>
      </x:c>
      <x:c r="V2190" s="2" t="str">
        <x:v>2021-10-07</x:v>
      </x:c>
      <x:c r="W2190" s="2" t="str">
        <x:v>신청일 확인 / 담당기관 확인</x:v>
      </x:c>
      <x:c r="X2190" s="2" t="str">
        <x:v>원본·배정 기록 확인</x:v>
      </x:c>
      <x:c r="Y2190" s="2" t="str">
        <x:v>ad210cd9ec132cfd447541c8984dc53d30aff0f4fb2dc92d254d49275cc55976</x:v>
      </x:c>
      <x:c r="Z2190" s="2" t="n">
        <x:f>SUBTOTAL(103,A2190)</x:f>
        <x:v>1</x:v>
      </x:c>
      <x:c r="AA2190" s="2" t="str">
        <x:f>IF(K2190&lt;&gt;"미종결 표시","대상 아님",IF(N2190="","신청일 확인",IF(NOT(ISNUMBER('종합 현황'!$H$5)),"관찰기준 확인",IF('종합 현황'!$H$5&lt;1,"관찰기준 확인",IF(N2190&gt;'종합 현황'!$H$5,"내부 관찰 대상","내부 관찰일 이하")))))</x:f>
        <x:v>대상 아님</x:v>
      </x:c>
      <x:c r="AB2190" s="2"/>
    </x:row>
    <x:row r="2191" ht="42" customHeight="1">
      <x:c r="A2191" s="2" t="str">
        <x:v>0b5414dc5d422e9b0d87dcb3</x:v>
      </x:c>
      <x:c r="B2191" s="2" t="str">
        <x:v>감축량 인증</x:v>
      </x:c>
      <x:c r="C2191" s="2" t="str">
        <x:v>국내</x:v>
      </x:c>
      <x:c r="D2191" s="7" t="str">
        <x:v>공동주택 태양광 발전사업 2011-LH-001-01457</x:v>
      </x:c>
      <x:c r="E2191" s="2" t="str">
        <x:v>431</x:v>
      </x:c>
      <x:c r="F2191" s="2"/>
      <x:c r="G2191" s="2" t="str">
        <x:v>미확보</x:v>
      </x:c>
      <x:c r="H2191" s="2" t="str">
        <x:v>미확보</x:v>
      </x:c>
      <x:c r="I2191" s="2" t="str">
        <x:v>심의승인</x:v>
      </x:c>
      <x:c r="J2191" s="2" t="str">
        <x:v>심의승인</x:v>
      </x:c>
      <x:c r="K2191" s="2" t="str">
        <x:f>IF(OR(J2191="심의승인",J2191="반려",J2191="반려완료",J2191="심의완료"),"종결 표시",IF(OR(J2191="기후부협의",J2191="문서재제출요청",J2191="보류",J2191="보완요청",J2191="보완완료",J2191="평가중",J2191="반려요청",J2191="평가필요",LEFT(J2191,5)="보완요청("),"미종결 표시","상태 확인 필요"))</x:f>
        <x:v>종결 표시</x:v>
      </x:c>
      <x:c r="L2191" s="2"/>
      <x:c r="M2191" s="2"/>
      <x:c r="N2191" s="8"/>
      <x:c r="O2191" s="2"/>
      <x:c r="P2191" s="2"/>
      <x:c r="Q2191" s="2" t="str">
        <x:v>산업전환_외부사업관리Tool_260707_이너젠 수정_LJY_261013.xlsx</x:v>
      </x:c>
      <x:c r="R2191" s="2" t="str">
        <x:v>국내인증</x:v>
      </x:c>
      <x:c r="S2191" s="8" t="n">
        <x:v>509</x:v>
      </x:c>
      <x:c r="T2191" s="2" t="str">
        <x:v>2021년 처리</x:v>
      </x:c>
      <x:c r="U2191" s="2" t="str">
        <x:v>2021 배정: 2021년 처리</x:v>
      </x:c>
      <x:c r="V2191" s="2" t="str">
        <x:v>2021-10-07</x:v>
      </x:c>
      <x:c r="W2191" s="2" t="str">
        <x:v>신청일 확인 / 담당기관 확인</x:v>
      </x:c>
      <x:c r="X2191" s="2" t="str">
        <x:v>원본·배정 기록 확인</x:v>
      </x:c>
      <x:c r="Y2191" s="2" t="str">
        <x:v>ad210cd9ec132cfd447541c8984dc53d30aff0f4fb2dc92d254d49275cc55976</x:v>
      </x:c>
      <x:c r="Z2191" s="2" t="n">
        <x:f>SUBTOTAL(103,A2191)</x:f>
        <x:v>1</x:v>
      </x:c>
      <x:c r="AA2191" s="2" t="str">
        <x:f>IF(K2191&lt;&gt;"미종결 표시","대상 아님",IF(N2191="","신청일 확인",IF(NOT(ISNUMBER('종합 현황'!$H$5)),"관찰기준 확인",IF('종합 현황'!$H$5&lt;1,"관찰기준 확인",IF(N2191&gt;'종합 현황'!$H$5,"내부 관찰 대상","내부 관찰일 이하")))))</x:f>
        <x:v>대상 아님</x:v>
      </x:c>
      <x:c r="AB2191" s="2"/>
    </x:row>
    <x:row r="2192" ht="42" customHeight="1">
      <x:c r="A2192" s="2" t="str">
        <x:v>1304544bda5bacbc24f6573d</x:v>
      </x:c>
      <x:c r="B2192" s="2" t="str">
        <x:v>감축량 인증</x:v>
      </x:c>
      <x:c r="C2192" s="2" t="str">
        <x:v>국내</x:v>
      </x:c>
      <x:c r="D2192" s="7" t="str">
        <x:v>공동주택 태양광 발전사업 2016-LH-001-05826</x:v>
      </x:c>
      <x:c r="E2192" s="2" t="str">
        <x:v>432</x:v>
      </x:c>
      <x:c r="F2192" s="2"/>
      <x:c r="G2192" s="2" t="str">
        <x:v>미확보</x:v>
      </x:c>
      <x:c r="H2192" s="2" t="str">
        <x:v>미확보</x:v>
      </x:c>
      <x:c r="I2192" s="2" t="str">
        <x:v>심의승인</x:v>
      </x:c>
      <x:c r="J2192" s="2" t="str">
        <x:v>심의승인</x:v>
      </x:c>
      <x:c r="K2192" s="2" t="str">
        <x:f>IF(OR(J2192="심의승인",J2192="반려",J2192="반려완료",J2192="심의완료"),"종결 표시",IF(OR(J2192="기후부협의",J2192="문서재제출요청",J2192="보류",J2192="보완요청",J2192="보완완료",J2192="평가중",J2192="반려요청",J2192="평가필요",LEFT(J2192,5)="보완요청("),"미종결 표시","상태 확인 필요"))</x:f>
        <x:v>종결 표시</x:v>
      </x:c>
      <x:c r="L2192" s="2"/>
      <x:c r="M2192" s="2"/>
      <x:c r="N2192" s="8"/>
      <x:c r="O2192" s="2"/>
      <x:c r="P2192" s="2"/>
      <x:c r="Q2192" s="2" t="str">
        <x:v>산업전환_외부사업관리Tool_260707_이너젠 수정_LJY_261013.xlsx</x:v>
      </x:c>
      <x:c r="R2192" s="2" t="str">
        <x:v>국내인증</x:v>
      </x:c>
      <x:c r="S2192" s="8" t="n">
        <x:v>510</x:v>
      </x:c>
      <x:c r="T2192" s="2" t="str">
        <x:v>2021년 처리</x:v>
      </x:c>
      <x:c r="U2192" s="2" t="str">
        <x:v>2021 배정: 2021년 처리</x:v>
      </x:c>
      <x:c r="V2192" s="2" t="str">
        <x:v>2021-10-07</x:v>
      </x:c>
      <x:c r="W2192" s="2" t="str">
        <x:v>신청일 확인 / 담당기관 확인</x:v>
      </x:c>
      <x:c r="X2192" s="2" t="str">
        <x:v>원본·배정 기록 확인</x:v>
      </x:c>
      <x:c r="Y2192" s="2" t="str">
        <x:v>ad210cd9ec132cfd447541c8984dc53d30aff0f4fb2dc92d254d49275cc55976</x:v>
      </x:c>
      <x:c r="Z2192" s="2" t="n">
        <x:f>SUBTOTAL(103,A2192)</x:f>
        <x:v>1</x:v>
      </x:c>
      <x:c r="AA2192" s="2" t="str">
        <x:f>IF(K2192&lt;&gt;"미종결 표시","대상 아님",IF(N2192="","신청일 확인",IF(NOT(ISNUMBER('종합 현황'!$H$5)),"관찰기준 확인",IF('종합 현황'!$H$5&lt;1,"관찰기준 확인",IF(N2192&gt;'종합 현황'!$H$5,"내부 관찰 대상","내부 관찰일 이하")))))</x:f>
        <x:v>대상 아님</x:v>
      </x:c>
      <x:c r="AB2192" s="2"/>
    </x:row>
    <x:row r="2193" ht="42" customHeight="1">
      <x:c r="A2193" s="2" t="str">
        <x:v>fb34adc67d9592d9e5e05dbd</x:v>
      </x:c>
      <x:c r="B2193" s="2" t="str">
        <x:v>감축량 인증</x:v>
      </x:c>
      <x:c r="C2193" s="2" t="str">
        <x:v>국내</x:v>
      </x:c>
      <x:c r="D2193" s="7" t="str">
        <x:v>덕성 인천사업장의 B-A유 및 B-C유에서 LNG로 연료전환을 통한 온실가스 배출 감축사업</x:v>
      </x:c>
      <x:c r="E2193" s="2" t="str">
        <x:v>433</x:v>
      </x:c>
      <x:c r="F2193" s="2"/>
      <x:c r="G2193" s="2" t="str">
        <x:v>미확보</x:v>
      </x:c>
      <x:c r="H2193" s="2" t="str">
        <x:v>미확보</x:v>
      </x:c>
      <x:c r="I2193" s="2" t="str">
        <x:v>심의승인</x:v>
      </x:c>
      <x:c r="J2193" s="2" t="str">
        <x:v>심의승인</x:v>
      </x:c>
      <x:c r="K2193" s="2" t="str">
        <x:f>IF(OR(J2193="심의승인",J2193="반려",J2193="반려완료",J2193="심의완료"),"종결 표시",IF(OR(J2193="기후부협의",J2193="문서재제출요청",J2193="보류",J2193="보완요청",J2193="보완완료",J2193="평가중",J2193="반려요청",J2193="평가필요",LEFT(J2193,5)="보완요청("),"미종결 표시","상태 확인 필요"))</x:f>
        <x:v>종결 표시</x:v>
      </x:c>
      <x:c r="L2193" s="2"/>
      <x:c r="M2193" s="2"/>
      <x:c r="N2193" s="8"/>
      <x:c r="O2193" s="2"/>
      <x:c r="P2193" s="2"/>
      <x:c r="Q2193" s="2" t="str">
        <x:v>산업전환_외부사업관리Tool_260707_이너젠 수정_LJY_261013.xlsx</x:v>
      </x:c>
      <x:c r="R2193" s="2" t="str">
        <x:v>국내인증</x:v>
      </x:c>
      <x:c r="S2193" s="8" t="n">
        <x:v>511</x:v>
      </x:c>
      <x:c r="T2193" s="2" t="str">
        <x:v>(4/23),(5/26),(8/3)</x:v>
      </x:c>
      <x:c r="U2193" s="2" t="str">
        <x:v>2021 배정: (4/23),(5/26),(8/3)</x:v>
      </x:c>
      <x:c r="V2193" s="2" t="str">
        <x:v>2021-10-07</x:v>
      </x:c>
      <x:c r="W2193" s="2" t="str">
        <x:v>신청일 확인 / 담당기관 확인</x:v>
      </x:c>
      <x:c r="X2193" s="2" t="str">
        <x:v>원본·배정 기록 확인</x:v>
      </x:c>
      <x:c r="Y2193" s="2" t="str">
        <x:v>ad210cd9ec132cfd447541c8984dc53d30aff0f4fb2dc92d254d49275cc55976</x:v>
      </x:c>
      <x:c r="Z2193" s="2" t="n">
        <x:f>SUBTOTAL(103,A2193)</x:f>
        <x:v>1</x:v>
      </x:c>
      <x:c r="AA2193" s="2" t="str">
        <x:f>IF(K2193&lt;&gt;"미종결 표시","대상 아님",IF(N2193="","신청일 확인",IF(NOT(ISNUMBER('종합 현황'!$H$5)),"관찰기준 확인",IF('종합 현황'!$H$5&lt;1,"관찰기준 확인",IF(N2193&gt;'종합 현황'!$H$5,"내부 관찰 대상","내부 관찰일 이하")))))</x:f>
        <x:v>대상 아님</x:v>
      </x:c>
      <x:c r="AB2193" s="2"/>
    </x:row>
    <x:row r="2194" ht="42" customHeight="1">
      <x:c r="A2194" s="2" t="str">
        <x:v>c9ac17476be8b07c925cfc3d</x:v>
      </x:c>
      <x:c r="B2194" s="2" t="str">
        <x:v>감축량 인증</x:v>
      </x:c>
      <x:c r="C2194" s="2" t="str">
        <x:v>국내</x:v>
      </x:c>
      <x:c r="D2194" s="7" t="str">
        <x:v>인천이피에스 목재펠릿 연료전환을 통한 온실가스 감축사업(B-C유, 정제유→목재펠릿)</x:v>
      </x:c>
      <x:c r="E2194" s="2" t="str">
        <x:v>434</x:v>
      </x:c>
      <x:c r="F2194" s="2"/>
      <x:c r="G2194" s="2" t="str">
        <x:v>미확보</x:v>
      </x:c>
      <x:c r="H2194" s="2" t="str">
        <x:v>미확보</x:v>
      </x:c>
      <x:c r="I2194" s="2" t="str">
        <x:v>심의승인</x:v>
      </x:c>
      <x:c r="J2194" s="2" t="str">
        <x:v>심의승인</x:v>
      </x:c>
      <x:c r="K2194" s="2" t="str">
        <x:f>IF(OR(J2194="심의승인",J2194="반려",J2194="반려완료",J2194="심의완료"),"종결 표시",IF(OR(J2194="기후부협의",J2194="문서재제출요청",J2194="보류",J2194="보완요청",J2194="보완완료",J2194="평가중",J2194="반려요청",J2194="평가필요",LEFT(J2194,5)="보완요청("),"미종결 표시","상태 확인 필요"))</x:f>
        <x:v>종결 표시</x:v>
      </x:c>
      <x:c r="L2194" s="2"/>
      <x:c r="M2194" s="2"/>
      <x:c r="N2194" s="8"/>
      <x:c r="O2194" s="2"/>
      <x:c r="P2194" s="2"/>
      <x:c r="Q2194" s="2" t="str">
        <x:v>산업전환_외부사업관리Tool_260707_이너젠 수정_LJY_261013.xlsx</x:v>
      </x:c>
      <x:c r="R2194" s="2" t="str">
        <x:v>국내인증</x:v>
      </x:c>
      <x:c r="S2194" s="8" t="n">
        <x:v>512</x:v>
      </x:c>
      <x:c r="T2194" s="2" t="str">
        <x:v>(4/23),(6/28)</x:v>
      </x:c>
      <x:c r="U2194" s="2" t="str">
        <x:v>2021 배정: (4/23),(6/28)</x:v>
      </x:c>
      <x:c r="V2194" s="2" t="str">
        <x:v>2021-10-07</x:v>
      </x:c>
      <x:c r="W2194" s="2" t="str">
        <x:v>신청일 확인 / 담당기관 확인</x:v>
      </x:c>
      <x:c r="X2194" s="2" t="str">
        <x:v>원본·배정 기록 확인</x:v>
      </x:c>
      <x:c r="Y2194" s="2" t="str">
        <x:v>ad210cd9ec132cfd447541c8984dc53d30aff0f4fb2dc92d254d49275cc55976</x:v>
      </x:c>
      <x:c r="Z2194" s="2" t="n">
        <x:f>SUBTOTAL(103,A2194)</x:f>
        <x:v>1</x:v>
      </x:c>
      <x:c r="AA2194" s="2" t="str">
        <x:f>IF(K2194&lt;&gt;"미종결 표시","대상 아님",IF(N2194="","신청일 확인",IF(NOT(ISNUMBER('종합 현황'!$H$5)),"관찰기준 확인",IF('종합 현황'!$H$5&lt;1,"관찰기준 확인",IF(N2194&gt;'종합 현황'!$H$5,"내부 관찰 대상","내부 관찰일 이하")))))</x:f>
        <x:v>대상 아님</x:v>
      </x:c>
      <x:c r="AB2194" s="2"/>
    </x:row>
    <x:row r="2195" ht="42" customHeight="1">
      <x:c r="A2195" s="2" t="str">
        <x:v>23bd05a257055b6292771094</x:v>
      </x:c>
      <x:c r="B2195" s="2" t="str">
        <x:v>감축량 인증</x:v>
      </x:c>
      <x:c r="C2195" s="2" t="str">
        <x:v>국내</x:v>
      </x:c>
      <x:c r="D2195" s="7" t="str">
        <x:v>휴켐스 질산공장 N2O 감축사업(휴켐스 주식회사의 질산 공장 세 곳에서 tail gas에 포함된 아산화질소를 촉매를 사용하여 제거하는 프로젝트)</x:v>
      </x:c>
      <x:c r="E2195" s="2" t="str">
        <x:v>435</x:v>
      </x:c>
      <x:c r="F2195" s="2"/>
      <x:c r="G2195" s="2" t="str">
        <x:v>미확보</x:v>
      </x:c>
      <x:c r="H2195" s="2" t="str">
        <x:v>미확보</x:v>
      </x:c>
      <x:c r="I2195" s="2" t="str">
        <x:v>심의승인</x:v>
      </x:c>
      <x:c r="J2195" s="2" t="str">
        <x:v>심의승인</x:v>
      </x:c>
      <x:c r="K2195" s="2" t="str">
        <x:f>IF(OR(J2195="심의승인",J2195="반려",J2195="반려완료",J2195="심의완료"),"종결 표시",IF(OR(J2195="기후부협의",J2195="문서재제출요청",J2195="보류",J2195="보완요청",J2195="보완완료",J2195="평가중",J2195="반려요청",J2195="평가필요",LEFT(J2195,5)="보완요청("),"미종결 표시","상태 확인 필요"))</x:f>
        <x:v>종결 표시</x:v>
      </x:c>
      <x:c r="L2195" s="2"/>
      <x:c r="M2195" s="2"/>
      <x:c r="N2195" s="8"/>
      <x:c r="O2195" s="2"/>
      <x:c r="P2195" s="2"/>
      <x:c r="Q2195" s="2" t="str">
        <x:v>산업전환_외부사업관리Tool_260707_이너젠 수정_LJY_261013.xlsx</x:v>
      </x:c>
      <x:c r="R2195" s="2" t="str">
        <x:v>국내인증</x:v>
      </x:c>
      <x:c r="S2195" s="8" t="n">
        <x:v>513</x:v>
      </x:c>
      <x:c r="T2195" s="2" t="str">
        <x:v>(4/23)</x:v>
      </x:c>
      <x:c r="U2195" s="2" t="str">
        <x:v>2021 배정: (4/23)</x:v>
      </x:c>
      <x:c r="V2195" s="2" t="str">
        <x:v>2021-10-07</x:v>
      </x:c>
      <x:c r="W2195" s="2" t="str">
        <x:v>신청일 확인 / 담당기관 확인</x:v>
      </x:c>
      <x:c r="X2195" s="2" t="str">
        <x:v>원본·배정 기록 확인</x:v>
      </x:c>
      <x:c r="Y2195" s="2" t="str">
        <x:v>ad210cd9ec132cfd447541c8984dc53d30aff0f4fb2dc92d254d49275cc55976</x:v>
      </x:c>
      <x:c r="Z2195" s="2" t="n">
        <x:f>SUBTOTAL(103,A2195)</x:f>
        <x:v>1</x:v>
      </x:c>
      <x:c r="AA2195" s="2" t="str">
        <x:f>IF(K2195&lt;&gt;"미종결 표시","대상 아님",IF(N2195="","신청일 확인",IF(NOT(ISNUMBER('종합 현황'!$H$5)),"관찰기준 확인",IF('종합 현황'!$H$5&lt;1,"관찰기준 확인",IF(N2195&gt;'종합 현황'!$H$5,"내부 관찰 대상","내부 관찰일 이하")))))</x:f>
        <x:v>대상 아님</x:v>
      </x:c>
      <x:c r="AB2195" s="2"/>
    </x:row>
    <x:row r="2196" ht="42" customHeight="1">
      <x:c r="A2196" s="2" t="str">
        <x:v>bc751597cb0ae4cf4d182522</x:v>
      </x:c>
      <x:c r="B2196" s="2" t="str">
        <x:v>감축량 인증</x:v>
      </x:c>
      <x:c r="C2196" s="2" t="str">
        <x:v>국내</x:v>
      </x:c>
      <x:c r="D2196" s="7" t="str">
        <x:v>휴켐스(주) 신설 5질산에서 발생하는 아산화질소 배출량 저감사업</x:v>
      </x:c>
      <x:c r="E2196" s="2" t="str">
        <x:v>436</x:v>
      </x:c>
      <x:c r="F2196" s="2"/>
      <x:c r="G2196" s="2" t="str">
        <x:v>미확보</x:v>
      </x:c>
      <x:c r="H2196" s="2" t="str">
        <x:v>미확보</x:v>
      </x:c>
      <x:c r="I2196" s="2" t="str">
        <x:v>심의승인</x:v>
      </x:c>
      <x:c r="J2196" s="2" t="str">
        <x:v>심의승인</x:v>
      </x:c>
      <x:c r="K2196" s="2" t="str">
        <x:f>IF(OR(J2196="심의승인",J2196="반려",J2196="반려완료",J2196="심의완료"),"종결 표시",IF(OR(J2196="기후부협의",J2196="문서재제출요청",J2196="보류",J2196="보완요청",J2196="보완완료",J2196="평가중",J2196="반려요청",J2196="평가필요",LEFT(J2196,5)="보완요청("),"미종결 표시","상태 확인 필요"))</x:f>
        <x:v>종결 표시</x:v>
      </x:c>
      <x:c r="L2196" s="2"/>
      <x:c r="M2196" s="2"/>
      <x:c r="N2196" s="8"/>
      <x:c r="O2196" s="2"/>
      <x:c r="P2196" s="2"/>
      <x:c r="Q2196" s="2" t="str">
        <x:v>산업전환_외부사업관리Tool_260707_이너젠 수정_LJY_261013.xlsx</x:v>
      </x:c>
      <x:c r="R2196" s="2" t="str">
        <x:v>국내인증</x:v>
      </x:c>
      <x:c r="S2196" s="8" t="n">
        <x:v>514</x:v>
      </x:c>
      <x:c r="T2196" s="2" t="str">
        <x:v>(4/23)</x:v>
      </x:c>
      <x:c r="U2196" s="2" t="str">
        <x:v>2021 배정: (4/23)</x:v>
      </x:c>
      <x:c r="V2196" s="2" t="str">
        <x:v>2021-10-07</x:v>
      </x:c>
      <x:c r="W2196" s="2" t="str">
        <x:v>신청일 확인 / 담당기관 확인</x:v>
      </x:c>
      <x:c r="X2196" s="2" t="str">
        <x:v>원본·배정 기록 확인</x:v>
      </x:c>
      <x:c r="Y2196" s="2" t="str">
        <x:v>ad210cd9ec132cfd447541c8984dc53d30aff0f4fb2dc92d254d49275cc55976</x:v>
      </x:c>
      <x:c r="Z2196" s="2" t="n">
        <x:f>SUBTOTAL(103,A2196)</x:f>
        <x:v>1</x:v>
      </x:c>
      <x:c r="AA2196" s="2" t="str">
        <x:f>IF(K2196&lt;&gt;"미종결 표시","대상 아님",IF(N2196="","신청일 확인",IF(NOT(ISNUMBER('종합 현황'!$H$5)),"관찰기준 확인",IF('종합 현황'!$H$5&lt;1,"관찰기준 확인",IF(N2196&gt;'종합 현황'!$H$5,"내부 관찰 대상","내부 관찰일 이하")))))</x:f>
        <x:v>대상 아님</x:v>
      </x:c>
      <x:c r="AB2196" s="2"/>
    </x:row>
    <x:row r="2197" ht="42" customHeight="1">
      <x:c r="A2197" s="2" t="str">
        <x:v>7d593e665e80d7bd9888e484</x:v>
      </x:c>
      <x:c r="B2197" s="2" t="str">
        <x:v>감축량 인증</x:v>
      </x:c>
      <x:c r="C2197" s="2" t="str">
        <x:v>국내</x:v>
      </x:c>
      <x:c r="D2197" s="7" t="str">
        <x:v>휴켐스 질산공장 N2O 감축사업(휴켐스 주식회사의 질산 공장 세 곳에서 tail gas에 포함된 아산화질소를 촉매를 사용하여 제거하는 프로젝트)</x:v>
      </x:c>
      <x:c r="E2197" s="2" t="str">
        <x:v>437</x:v>
      </x:c>
      <x:c r="F2197" s="2"/>
      <x:c r="G2197" s="2" t="str">
        <x:v>미확보</x:v>
      </x:c>
      <x:c r="H2197" s="2" t="str">
        <x:v>미확보</x:v>
      </x:c>
      <x:c r="I2197" s="2" t="str">
        <x:v>심의승인</x:v>
      </x:c>
      <x:c r="J2197" s="2" t="str">
        <x:v>심의승인</x:v>
      </x:c>
      <x:c r="K2197" s="2" t="str">
        <x:f>IF(OR(J2197="심의승인",J2197="반려",J2197="반려완료",J2197="심의완료"),"종결 표시",IF(OR(J2197="기후부협의",J2197="문서재제출요청",J2197="보류",J2197="보완요청",J2197="보완완료",J2197="평가중",J2197="반려요청",J2197="평가필요",LEFT(J2197,5)="보완요청("),"미종결 표시","상태 확인 필요"))</x:f>
        <x:v>종결 표시</x:v>
      </x:c>
      <x:c r="L2197" s="2"/>
      <x:c r="M2197" s="2"/>
      <x:c r="N2197" s="8"/>
      <x:c r="O2197" s="2"/>
      <x:c r="P2197" s="2"/>
      <x:c r="Q2197" s="2" t="str">
        <x:v>산업전환_외부사업관리Tool_260707_이너젠 수정_LJY_261013.xlsx</x:v>
      </x:c>
      <x:c r="R2197" s="2" t="str">
        <x:v>국내인증</x:v>
      </x:c>
      <x:c r="S2197" s="8" t="n">
        <x:v>515</x:v>
      </x:c>
      <x:c r="T2197" s="2" t="str">
        <x:v>(4/23)</x:v>
      </x:c>
      <x:c r="U2197" s="2" t="str">
        <x:v>2021 배정: (4/23)</x:v>
      </x:c>
      <x:c r="V2197" s="2" t="str">
        <x:v>2021-10-07</x:v>
      </x:c>
      <x:c r="W2197" s="2" t="str">
        <x:v>신청일 확인 / 담당기관 확인</x:v>
      </x:c>
      <x:c r="X2197" s="2" t="str">
        <x:v>원본·배정 기록 확인</x:v>
      </x:c>
      <x:c r="Y2197" s="2" t="str">
        <x:v>ad210cd9ec132cfd447541c8984dc53d30aff0f4fb2dc92d254d49275cc55976</x:v>
      </x:c>
      <x:c r="Z2197" s="2" t="n">
        <x:f>SUBTOTAL(103,A2197)</x:f>
        <x:v>1</x:v>
      </x:c>
      <x:c r="AA2197" s="2" t="str">
        <x:f>IF(K2197&lt;&gt;"미종결 표시","대상 아님",IF(N2197="","신청일 확인",IF(NOT(ISNUMBER('종합 현황'!$H$5)),"관찰기준 확인",IF('종합 현황'!$H$5&lt;1,"관찰기준 확인",IF(N2197&gt;'종합 현황'!$H$5,"내부 관찰 대상","내부 관찰일 이하")))))</x:f>
        <x:v>대상 아님</x:v>
      </x:c>
      <x:c r="AB2197" s="2"/>
    </x:row>
    <x:row r="2198" ht="42" customHeight="1">
      <x:c r="A2198" s="2" t="str">
        <x:v>5ec028885359887b7551d04e</x:v>
      </x:c>
      <x:c r="B2198" s="2" t="str">
        <x:v>감축량 인증</x:v>
      </x:c>
      <x:c r="C2198" s="2" t="str">
        <x:v>국내</x:v>
      </x:c>
      <x:c r="D2198" s="7" t="str">
        <x:v>태형기업(주) 양주사업장의 B-C유에서 도시가스(LNG)로 연료전환을 통한 온실가스(CO2) 배출 감축사업</x:v>
      </x:c>
      <x:c r="E2198" s="2" t="str">
        <x:v>438</x:v>
      </x:c>
      <x:c r="F2198" s="2"/>
      <x:c r="G2198" s="2" t="str">
        <x:v>미확보</x:v>
      </x:c>
      <x:c r="H2198" s="2" t="str">
        <x:v>미확보</x:v>
      </x:c>
      <x:c r="I2198" s="2" t="str">
        <x:v>심의승인</x:v>
      </x:c>
      <x:c r="J2198" s="2" t="str">
        <x:v>심의승인</x:v>
      </x:c>
      <x:c r="K2198" s="2" t="str">
        <x:f>IF(OR(J2198="심의승인",J2198="반려",J2198="반려완료",J2198="심의완료"),"종결 표시",IF(OR(J2198="기후부협의",J2198="문서재제출요청",J2198="보류",J2198="보완요청",J2198="보완완료",J2198="평가중",J2198="반려요청",J2198="평가필요",LEFT(J2198,5)="보완요청("),"미종결 표시","상태 확인 필요"))</x:f>
        <x:v>종결 표시</x:v>
      </x:c>
      <x:c r="L2198" s="2"/>
      <x:c r="M2198" s="2"/>
      <x:c r="N2198" s="8"/>
      <x:c r="O2198" s="2"/>
      <x:c r="P2198" s="2"/>
      <x:c r="Q2198" s="2" t="str">
        <x:v>산업전환_외부사업관리Tool_260707_이너젠 수정_LJY_261013.xlsx</x:v>
      </x:c>
      <x:c r="R2198" s="2" t="str">
        <x:v>국내인증</x:v>
      </x:c>
      <x:c r="S2198" s="8" t="n">
        <x:v>516</x:v>
      </x:c>
      <x:c r="T2198" s="2" t="str">
        <x:v>(4/23),(6/28)</x:v>
      </x:c>
      <x:c r="U2198" s="2" t="str">
        <x:v>2021 배정: (4/23),(6/28)</x:v>
      </x:c>
      <x:c r="V2198" s="2" t="str">
        <x:v>2021-10-07</x:v>
      </x:c>
      <x:c r="W2198" s="2" t="str">
        <x:v>신청일 확인 / 담당기관 확인</x:v>
      </x:c>
      <x:c r="X2198" s="2" t="str">
        <x:v>원본·배정 기록 확인</x:v>
      </x:c>
      <x:c r="Y2198" s="2" t="str">
        <x:v>ad210cd9ec132cfd447541c8984dc53d30aff0f4fb2dc92d254d49275cc55976</x:v>
      </x:c>
      <x:c r="Z2198" s="2" t="n">
        <x:f>SUBTOTAL(103,A2198)</x:f>
        <x:v>1</x:v>
      </x:c>
      <x:c r="AA2198" s="2" t="str">
        <x:f>IF(K2198&lt;&gt;"미종결 표시","대상 아님",IF(N2198="","신청일 확인",IF(NOT(ISNUMBER('종합 현황'!$H$5)),"관찰기준 확인",IF('종합 현황'!$H$5&lt;1,"관찰기준 확인",IF(N2198&gt;'종합 현황'!$H$5,"내부 관찰 대상","내부 관찰일 이하")))))</x:f>
        <x:v>대상 아님</x:v>
      </x:c>
      <x:c r="AB2198" s="2"/>
    </x:row>
    <x:row r="2199" ht="42" customHeight="1">
      <x:c r="A2199" s="2" t="str">
        <x:v>1aa5bd10b10659a7a6d4ca0e</x:v>
      </x:c>
      <x:c r="B2199" s="2" t="str">
        <x:v>감축량 인증</x:v>
      </x:c>
      <x:c r="C2199" s="2" t="str">
        <x:v>국내</x:v>
      </x:c>
      <x:c r="D2199" s="7" t="str">
        <x:v>대재에너지㈜의 집단에너지 열공급시설에서 목질계 바이오매스 연료를 이용하여 생산된 열에너지 공급을 통</x:v>
      </x:c>
      <x:c r="E2199" s="2" t="str">
        <x:v>439</x:v>
      </x:c>
      <x:c r="F2199" s="2"/>
      <x:c r="G2199" s="2" t="str">
        <x:v>미확보</x:v>
      </x:c>
      <x:c r="H2199" s="2" t="str">
        <x:v>미확보</x:v>
      </x:c>
      <x:c r="I2199" s="2" t="str">
        <x:v>심의승인</x:v>
      </x:c>
      <x:c r="J2199" s="2" t="str">
        <x:v>심의승인</x:v>
      </x:c>
      <x:c r="K2199" s="2" t="str">
        <x:f>IF(OR(J2199="심의승인",J2199="반려",J2199="반려완료",J2199="심의완료"),"종결 표시",IF(OR(J2199="기후부협의",J2199="문서재제출요청",J2199="보류",J2199="보완요청",J2199="보완완료",J2199="평가중",J2199="반려요청",J2199="평가필요",LEFT(J2199,5)="보완요청("),"미종결 표시","상태 확인 필요"))</x:f>
        <x:v>종결 표시</x:v>
      </x:c>
      <x:c r="L2199" s="2"/>
      <x:c r="M2199" s="2"/>
      <x:c r="N2199" s="8"/>
      <x:c r="O2199" s="2"/>
      <x:c r="P2199" s="2"/>
      <x:c r="Q2199" s="2" t="str">
        <x:v>산업전환_외부사업관리Tool_260707_이너젠 수정_LJY_261013.xlsx</x:v>
      </x:c>
      <x:c r="R2199" s="2" t="str">
        <x:v>국내인증</x:v>
      </x:c>
      <x:c r="S2199" s="8" t="n">
        <x:v>517</x:v>
      </x:c>
      <x:c r="T2199" s="2" t="str">
        <x:v>(5/7),(7/12),(10/20)</x:v>
      </x:c>
      <x:c r="U2199" s="2" t="str">
        <x:v>2021 배정: (5/7),(7/12),(10/20)</x:v>
      </x:c>
      <x:c r="V2199" s="2" t="str">
        <x:v>2022-01-17</x:v>
      </x:c>
      <x:c r="W2199" s="2" t="str">
        <x:v>신청일 확인 / 담당기관 확인</x:v>
      </x:c>
      <x:c r="X2199" s="2" t="str">
        <x:v>원본·배정 기록 확인</x:v>
      </x:c>
      <x:c r="Y2199" s="2" t="str">
        <x:v>ad210cd9ec132cfd447541c8984dc53d30aff0f4fb2dc92d254d49275cc55976</x:v>
      </x:c>
      <x:c r="Z2199" s="2" t="n">
        <x:f>SUBTOTAL(103,A2199)</x:f>
        <x:v>1</x:v>
      </x:c>
      <x:c r="AA2199" s="2" t="str">
        <x:f>IF(K2199&lt;&gt;"미종결 표시","대상 아님",IF(N2199="","신청일 확인",IF(NOT(ISNUMBER('종합 현황'!$H$5)),"관찰기준 확인",IF('종합 현황'!$H$5&lt;1,"관찰기준 확인",IF(N2199&gt;'종합 현황'!$H$5,"내부 관찰 대상","내부 관찰일 이하")))))</x:f>
        <x:v>대상 아님</x:v>
      </x:c>
      <x:c r="AB2199" s="2"/>
    </x:row>
    <x:row r="2200" ht="42" customHeight="1">
      <x:c r="A2200" s="2" t="str">
        <x:v>77506c16e70cc4af6b0b997f</x:v>
      </x:c>
      <x:c r="B2200" s="2" t="str">
        <x:v>감축량 인증</x:v>
      </x:c>
      <x:c r="C2200" s="2" t="str">
        <x:v>국내</x:v>
      </x:c>
      <x:c r="D2200" s="7" t="str">
        <x:v>휴켐스(주) 신설 5질산에서 발생하는 아산화질소 배출량 저감사업</x:v>
      </x:c>
      <x:c r="E2200" s="2" t="str">
        <x:v>440</x:v>
      </x:c>
      <x:c r="F2200" s="2"/>
      <x:c r="G2200" s="2" t="str">
        <x:v>미확보</x:v>
      </x:c>
      <x:c r="H2200" s="2" t="str">
        <x:v>미확보</x:v>
      </x:c>
      <x:c r="I2200" s="2" t="str">
        <x:v>심의승인</x:v>
      </x:c>
      <x:c r="J2200" s="2" t="str">
        <x:v>심의승인</x:v>
      </x:c>
      <x:c r="K2200" s="2" t="str">
        <x:f>IF(OR(J2200="심의승인",J2200="반려",J2200="반려완료",J2200="심의완료"),"종결 표시",IF(OR(J2200="기후부협의",J2200="문서재제출요청",J2200="보류",J2200="보완요청",J2200="보완완료",J2200="평가중",J2200="반려요청",J2200="평가필요",LEFT(J2200,5)="보완요청("),"미종결 표시","상태 확인 필요"))</x:f>
        <x:v>종결 표시</x:v>
      </x:c>
      <x:c r="L2200" s="2"/>
      <x:c r="M2200" s="2"/>
      <x:c r="N2200" s="8"/>
      <x:c r="O2200" s="2"/>
      <x:c r="P2200" s="2"/>
      <x:c r="Q2200" s="2" t="str">
        <x:v>산업전환_외부사업관리Tool_260707_이너젠 수정_LJY_261013.xlsx</x:v>
      </x:c>
      <x:c r="R2200" s="2" t="str">
        <x:v>국내인증</x:v>
      </x:c>
      <x:c r="S2200" s="8" t="n">
        <x:v>518</x:v>
      </x:c>
      <x:c r="T2200" s="2" t="str">
        <x:v>(5/7)</x:v>
      </x:c>
      <x:c r="U2200" s="2" t="str">
        <x:v>2021 배정: (5/7)</x:v>
      </x:c>
      <x:c r="V2200" s="2" t="str">
        <x:v>2021-10-07</x:v>
      </x:c>
      <x:c r="W2200" s="2" t="str">
        <x:v>신청일 확인 / 담당기관 확인</x:v>
      </x:c>
      <x:c r="X2200" s="2" t="str">
        <x:v>원본·배정 기록 확인</x:v>
      </x:c>
      <x:c r="Y2200" s="2" t="str">
        <x:v>ad210cd9ec132cfd447541c8984dc53d30aff0f4fb2dc92d254d49275cc55976</x:v>
      </x:c>
      <x:c r="Z2200" s="2" t="n">
        <x:f>SUBTOTAL(103,A2200)</x:f>
        <x:v>1</x:v>
      </x:c>
      <x:c r="AA2200" s="2" t="str">
        <x:f>IF(K2200&lt;&gt;"미종결 표시","대상 아님",IF(N2200="","신청일 확인",IF(NOT(ISNUMBER('종합 현황'!$H$5)),"관찰기준 확인",IF('종합 현황'!$H$5&lt;1,"관찰기준 확인",IF(N2200&gt;'종합 현황'!$H$5,"내부 관찰 대상","내부 관찰일 이하")))))</x:f>
        <x:v>대상 아님</x:v>
      </x:c>
      <x:c r="AB2200" s="2"/>
    </x:row>
    <x:row r="2201" ht="42" customHeight="1">
      <x:c r="A2201" s="2" t="str">
        <x:v>d639648c255d5a35445e61b6</x:v>
      </x:c>
      <x:c r="B2201" s="2" t="str">
        <x:v>감축량 인증</x:v>
      </x:c>
      <x:c r="C2201" s="2" t="str">
        <x:v>국내</x:v>
      </x:c>
      <x:c r="D2201" s="7" t="str">
        <x:v>JW중외제약(주) 폐열회수 KVER 사업</x:v>
      </x:c>
      <x:c r="E2201" s="2" t="str">
        <x:v>441</x:v>
      </x:c>
      <x:c r="F2201" s="2"/>
      <x:c r="G2201" s="2" t="str">
        <x:v>미확보</x:v>
      </x:c>
      <x:c r="H2201" s="2" t="str">
        <x:v>미확보</x:v>
      </x:c>
      <x:c r="I2201" s="2" t="str">
        <x:v>심의승인</x:v>
      </x:c>
      <x:c r="J2201" s="2" t="str">
        <x:v>심의승인</x:v>
      </x:c>
      <x:c r="K2201" s="2" t="str">
        <x:f>IF(OR(J2201="심의승인",J2201="반려",J2201="반려완료",J2201="심의완료"),"종결 표시",IF(OR(J2201="기후부협의",J2201="문서재제출요청",J2201="보류",J2201="보완요청",J2201="보완완료",J2201="평가중",J2201="반려요청",J2201="평가필요",LEFT(J2201,5)="보완요청("),"미종결 표시","상태 확인 필요"))</x:f>
        <x:v>종결 표시</x:v>
      </x:c>
      <x:c r="L2201" s="2"/>
      <x:c r="M2201" s="2"/>
      <x:c r="N2201" s="8"/>
      <x:c r="O2201" s="2"/>
      <x:c r="P2201" s="2"/>
      <x:c r="Q2201" s="2" t="str">
        <x:v>산업전환_외부사업관리Tool_260707_이너젠 수정_LJY_261013.xlsx</x:v>
      </x:c>
      <x:c r="R2201" s="2" t="str">
        <x:v>국내인증</x:v>
      </x:c>
      <x:c r="S2201" s="8" t="n">
        <x:v>519</x:v>
      </x:c>
      <x:c r="T2201" s="2" t="str">
        <x:v>(4/23),(6/28)</x:v>
      </x:c>
      <x:c r="U2201" s="2" t="str">
        <x:v>2021 배정: (4/23),(6/28) / 2022 배정: (4/19),(12/27)</x:v>
      </x:c>
      <x:c r="V2201" s="2" t="str">
        <x:v>2023-03-24</x:v>
      </x:c>
      <x:c r="W2201" s="2" t="str">
        <x:v>신청일 확인 / 담당기관 확인</x:v>
      </x:c>
      <x:c r="X2201" s="2" t="str">
        <x:v>원본·배정 기록 확인</x:v>
      </x:c>
      <x:c r="Y2201" s="2" t="str">
        <x:v>ad210cd9ec132cfd447541c8984dc53d30aff0f4fb2dc92d254d49275cc55976</x:v>
      </x:c>
      <x:c r="Z2201" s="2" t="n">
        <x:f>SUBTOTAL(103,A2201)</x:f>
        <x:v>1</x:v>
      </x:c>
      <x:c r="AA2201" s="2" t="str">
        <x:f>IF(K2201&lt;&gt;"미종결 표시","대상 아님",IF(N2201="","신청일 확인",IF(NOT(ISNUMBER('종합 현황'!$H$5)),"관찰기준 확인",IF('종합 현황'!$H$5&lt;1,"관찰기준 확인",IF(N2201&gt;'종합 현황'!$H$5,"내부 관찰 대상","내부 관찰일 이하")))))</x:f>
        <x:v>대상 아님</x:v>
      </x:c>
      <x:c r="AB2201" s="2"/>
    </x:row>
    <x:row r="2202" ht="42" customHeight="1">
      <x:c r="A2202" s="2" t="str">
        <x:v>d7f5bb03aa22aca42102bd82</x:v>
      </x:c>
      <x:c r="B2202" s="2" t="str">
        <x:v>감축량 인증</x:v>
      </x:c>
      <x:c r="C2202" s="2" t="str">
        <x:v>국내</x:v>
      </x:c>
      <x:c r="D2202" s="7" t="str">
        <x:v>대재에너지㈜의 집단에너지 열공급시설에서 목질계 바이오매스 연료를 이용하여 생산된 열에너지 공급을 통</x:v>
      </x:c>
      <x:c r="E2202" s="2" t="str">
        <x:v>442</x:v>
      </x:c>
      <x:c r="F2202" s="2"/>
      <x:c r="G2202" s="2" t="str">
        <x:v>미확보</x:v>
      </x:c>
      <x:c r="H2202" s="2" t="str">
        <x:v>미확보</x:v>
      </x:c>
      <x:c r="I2202" s="2" t="str">
        <x:v>심의승인</x:v>
      </x:c>
      <x:c r="J2202" s="2" t="str">
        <x:v>심의승인</x:v>
      </x:c>
      <x:c r="K2202" s="2" t="str">
        <x:f>IF(OR(J2202="심의승인",J2202="반려",J2202="반려완료",J2202="심의완료"),"종결 표시",IF(OR(J2202="기후부협의",J2202="문서재제출요청",J2202="보류",J2202="보완요청",J2202="보완완료",J2202="평가중",J2202="반려요청",J2202="평가필요",LEFT(J2202,5)="보완요청("),"미종결 표시","상태 확인 필요"))</x:f>
        <x:v>종결 표시</x:v>
      </x:c>
      <x:c r="L2202" s="2"/>
      <x:c r="M2202" s="2"/>
      <x:c r="N2202" s="8"/>
      <x:c r="O2202" s="2"/>
      <x:c r="P2202" s="2"/>
      <x:c r="Q2202" s="2" t="str">
        <x:v>산업전환_외부사업관리Tool_260707_이너젠 수정_LJY_261013.xlsx</x:v>
      </x:c>
      <x:c r="R2202" s="2" t="str">
        <x:v>국내인증</x:v>
      </x:c>
      <x:c r="S2202" s="8" t="n">
        <x:v>520</x:v>
      </x:c>
      <x:c r="T2202" s="2" t="str">
        <x:v>(7/12),(9/14)</x:v>
      </x:c>
      <x:c r="U2202" s="2" t="str">
        <x:v>2021 배정: (7/12),(9/14)</x:v>
      </x:c>
      <x:c r="V2202" s="2" t="str">
        <x:v>2022-01-17</x:v>
      </x:c>
      <x:c r="W2202" s="2" t="str">
        <x:v>신청일 확인 / 담당기관 확인</x:v>
      </x:c>
      <x:c r="X2202" s="2" t="str">
        <x:v>원본·배정 기록 확인</x:v>
      </x:c>
      <x:c r="Y2202" s="2" t="str">
        <x:v>ad210cd9ec132cfd447541c8984dc53d30aff0f4fb2dc92d254d49275cc55976</x:v>
      </x:c>
      <x:c r="Z2202" s="2" t="n">
        <x:f>SUBTOTAL(103,A2202)</x:f>
        <x:v>1</x:v>
      </x:c>
      <x:c r="AA2202" s="2" t="str">
        <x:f>IF(K2202&lt;&gt;"미종결 표시","대상 아님",IF(N2202="","신청일 확인",IF(NOT(ISNUMBER('종합 현황'!$H$5)),"관찰기준 확인",IF('종합 현황'!$H$5&lt;1,"관찰기준 확인",IF(N2202&gt;'종합 현황'!$H$5,"내부 관찰 대상","내부 관찰일 이하")))))</x:f>
        <x:v>대상 아님</x:v>
      </x:c>
      <x:c r="AB2202" s="2"/>
    </x:row>
    <x:row r="2203" ht="42" customHeight="1">
      <x:c r="A2203" s="2" t="str">
        <x:v>b0bcb9267831dafb831afb44</x:v>
      </x:c>
      <x:c r="B2203" s="2" t="str">
        <x:v>감축량 인증</x:v>
      </x:c>
      <x:c r="C2203" s="2" t="str">
        <x:v>국내</x:v>
      </x:c>
      <x:c r="D2203" s="7" t="str">
        <x:v>대재에너지㈜의 집단에너지 열공급시설에서 목질계 바이오매스 연료를 이용하여 생산된 열에너지 공급을 통</x:v>
      </x:c>
      <x:c r="E2203" s="2" t="str">
        <x:v>443</x:v>
      </x:c>
      <x:c r="F2203" s="2"/>
      <x:c r="G2203" s="2" t="str">
        <x:v>미확보</x:v>
      </x:c>
      <x:c r="H2203" s="2" t="str">
        <x:v>미확보</x:v>
      </x:c>
      <x:c r="I2203" s="2" t="str">
        <x:v>심의승인</x:v>
      </x:c>
      <x:c r="J2203" s="2" t="str">
        <x:v>심의승인</x:v>
      </x:c>
      <x:c r="K2203" s="2" t="str">
        <x:f>IF(OR(J2203="심의승인",J2203="반려",J2203="반려완료",J2203="심의완료"),"종결 표시",IF(OR(J2203="기후부협의",J2203="문서재제출요청",J2203="보류",J2203="보완요청",J2203="보완완료",J2203="평가중",J2203="반려요청",J2203="평가필요",LEFT(J2203,5)="보완요청("),"미종결 표시","상태 확인 필요"))</x:f>
        <x:v>종결 표시</x:v>
      </x:c>
      <x:c r="L2203" s="2"/>
      <x:c r="M2203" s="2"/>
      <x:c r="N2203" s="8"/>
      <x:c r="O2203" s="2"/>
      <x:c r="P2203" s="2"/>
      <x:c r="Q2203" s="2" t="str">
        <x:v>산업전환_외부사업관리Tool_260707_이너젠 수정_LJY_261013.xlsx</x:v>
      </x:c>
      <x:c r="R2203" s="2" t="str">
        <x:v>국내인증</x:v>
      </x:c>
      <x:c r="S2203" s="8" t="n">
        <x:v>521</x:v>
      </x:c>
      <x:c r="T2203" s="2" t="str">
        <x:v>(7/12),(9/14)</x:v>
      </x:c>
      <x:c r="U2203" s="2" t="str">
        <x:v>2021 배정: (7/12),(9/14)</x:v>
      </x:c>
      <x:c r="V2203" s="2" t="str">
        <x:v>2022-01-17</x:v>
      </x:c>
      <x:c r="W2203" s="2" t="str">
        <x:v>신청일 확인 / 담당기관 확인</x:v>
      </x:c>
      <x:c r="X2203" s="2" t="str">
        <x:v>원본·배정 기록 확인</x:v>
      </x:c>
      <x:c r="Y2203" s="2" t="str">
        <x:v>ad210cd9ec132cfd447541c8984dc53d30aff0f4fb2dc92d254d49275cc55976</x:v>
      </x:c>
      <x:c r="Z2203" s="2" t="n">
        <x:f>SUBTOTAL(103,A2203)</x:f>
        <x:v>1</x:v>
      </x:c>
      <x:c r="AA2203" s="2" t="str">
        <x:f>IF(K2203&lt;&gt;"미종결 표시","대상 아님",IF(N2203="","신청일 확인",IF(NOT(ISNUMBER('종합 현황'!$H$5)),"관찰기준 확인",IF('종합 현황'!$H$5&lt;1,"관찰기준 확인",IF(N2203&gt;'종합 현황'!$H$5,"내부 관찰 대상","내부 관찰일 이하")))))</x:f>
        <x:v>대상 아님</x:v>
      </x:c>
      <x:c r="AB2203" s="2"/>
    </x:row>
    <x:row r="2204" ht="42" customHeight="1">
      <x:c r="A2204" s="2" t="str">
        <x:v>6ddfeca576a7f82295be98da</x:v>
      </x:c>
      <x:c r="B2204" s="2" t="str">
        <x:v>감축량 인증</x:v>
      </x:c>
      <x:c r="C2204" s="2" t="str">
        <x:v>국내</x:v>
      </x:c>
      <x:c r="D2204" s="7" t="str">
        <x:v>청라에너지(주) 미활용 소각폐열 회수를 통한 화석연료 사용 절감 및 온실가스 배출 감축사업</x:v>
      </x:c>
      <x:c r="E2204" s="2" t="str">
        <x:v>444</x:v>
      </x:c>
      <x:c r="F2204" s="2"/>
      <x:c r="G2204" s="2" t="str">
        <x:v>미확보</x:v>
      </x:c>
      <x:c r="H2204" s="2" t="str">
        <x:v>미확보</x:v>
      </x:c>
      <x:c r="I2204" s="2" t="str">
        <x:v>심의승인</x:v>
      </x:c>
      <x:c r="J2204" s="2" t="str">
        <x:v>심의승인</x:v>
      </x:c>
      <x:c r="K2204" s="2" t="str">
        <x:f>IF(OR(J2204="심의승인",J2204="반려",J2204="반려완료",J2204="심의완료"),"종결 표시",IF(OR(J2204="기후부협의",J2204="문서재제출요청",J2204="보류",J2204="보완요청",J2204="보완완료",J2204="평가중",J2204="반려요청",J2204="평가필요",LEFT(J2204,5)="보완요청("),"미종결 표시","상태 확인 필요"))</x:f>
        <x:v>종결 표시</x:v>
      </x:c>
      <x:c r="L2204" s="2"/>
      <x:c r="M2204" s="2"/>
      <x:c r="N2204" s="8"/>
      <x:c r="O2204" s="2"/>
      <x:c r="P2204" s="2"/>
      <x:c r="Q2204" s="2" t="str">
        <x:v>산업전환_외부사업관리Tool_260707_이너젠 수정_LJY_261013.xlsx</x:v>
      </x:c>
      <x:c r="R2204" s="2" t="str">
        <x:v>국내인증</x:v>
      </x:c>
      <x:c r="S2204" s="8" t="n">
        <x:v>522</x:v>
      </x:c>
      <x:c r="T2204" s="2"/>
      <x:c r="U2204" s="2" t="str"/>
      <x:c r="V2204" s="2" t="str">
        <x:v>2025-06-13</x:v>
      </x:c>
      <x:c r="W2204" s="2" t="str">
        <x:v>신청일 확인 / 담당기관 확인</x:v>
      </x:c>
      <x:c r="X2204" s="2" t="str">
        <x:v>원본·배정 기록 확인</x:v>
      </x:c>
      <x:c r="Y2204" s="2" t="str">
        <x:v>ad210cd9ec132cfd447541c8984dc53d30aff0f4fb2dc92d254d49275cc55976</x:v>
      </x:c>
      <x:c r="Z2204" s="2" t="n">
        <x:f>SUBTOTAL(103,A2204)</x:f>
        <x:v>1</x:v>
      </x:c>
      <x:c r="AA2204" s="2" t="str">
        <x:f>IF(K2204&lt;&gt;"미종결 표시","대상 아님",IF(N2204="","신청일 확인",IF(NOT(ISNUMBER('종합 현황'!$H$5)),"관찰기준 확인",IF('종합 현황'!$H$5&lt;1,"관찰기준 확인",IF(N2204&gt;'종합 현황'!$H$5,"내부 관찰 대상","내부 관찰일 이하")))))</x:f>
        <x:v>대상 아님</x:v>
      </x:c>
      <x:c r="AB2204" s="2"/>
    </x:row>
    <x:row r="2205" ht="42" customHeight="1">
      <x:c r="A2205" s="2" t="str">
        <x:v>59adb364391bcc5f9cf47c3f</x:v>
      </x:c>
      <x:c r="B2205" s="2" t="str">
        <x:v>감축량 인증</x:v>
      </x:c>
      <x:c r="C2205" s="2" t="str">
        <x:v>국내</x:v>
      </x:c>
      <x:c r="D2205" s="7" t="str">
        <x:v>시화호 조력발전 사업</x:v>
      </x:c>
      <x:c r="E2205" s="2" t="str">
        <x:v>445</x:v>
      </x:c>
      <x:c r="F2205" s="2"/>
      <x:c r="G2205" s="2" t="str">
        <x:v>미확보</x:v>
      </x:c>
      <x:c r="H2205" s="2" t="str">
        <x:v>미확보</x:v>
      </x:c>
      <x:c r="I2205" s="2" t="str">
        <x:v>심의승인</x:v>
      </x:c>
      <x:c r="J2205" s="2" t="str">
        <x:v>심의승인</x:v>
      </x:c>
      <x:c r="K2205" s="2" t="str">
        <x:f>IF(OR(J2205="심의승인",J2205="반려",J2205="반려완료",J2205="심의완료"),"종결 표시",IF(OR(J2205="기후부협의",J2205="문서재제출요청",J2205="보류",J2205="보완요청",J2205="보완완료",J2205="평가중",J2205="반려요청",J2205="평가필요",LEFT(J2205,5)="보완요청("),"미종결 표시","상태 확인 필요"))</x:f>
        <x:v>종결 표시</x:v>
      </x:c>
      <x:c r="L2205" s="2"/>
      <x:c r="M2205" s="2"/>
      <x:c r="N2205" s="8"/>
      <x:c r="O2205" s="2"/>
      <x:c r="P2205" s="2"/>
      <x:c r="Q2205" s="2" t="str">
        <x:v>산업전환_외부사업관리Tool_260707_이너젠 수정_LJY_261013.xlsx</x:v>
      </x:c>
      <x:c r="R2205" s="2" t="str">
        <x:v>국내인증</x:v>
      </x:c>
      <x:c r="S2205" s="8" t="n">
        <x:v>523</x:v>
      </x:c>
      <x:c r="T2205" s="2" t="str">
        <x:v>(8/3)</x:v>
      </x:c>
      <x:c r="U2205" s="2" t="str">
        <x:v>2021 배정: (8/3)</x:v>
      </x:c>
      <x:c r="V2205" s="2" t="str">
        <x:v>2022-01-17</x:v>
      </x:c>
      <x:c r="W2205" s="2" t="str">
        <x:v>신청일 확인 / 담당기관 확인</x:v>
      </x:c>
      <x:c r="X2205" s="2" t="str">
        <x:v>원본·배정 기록 확인</x:v>
      </x:c>
      <x:c r="Y2205" s="2" t="str">
        <x:v>ad210cd9ec132cfd447541c8984dc53d30aff0f4fb2dc92d254d49275cc55976</x:v>
      </x:c>
      <x:c r="Z2205" s="2" t="n">
        <x:f>SUBTOTAL(103,A2205)</x:f>
        <x:v>1</x:v>
      </x:c>
      <x:c r="AA2205" s="2" t="str">
        <x:f>IF(K2205&lt;&gt;"미종결 표시","대상 아님",IF(N2205="","신청일 확인",IF(NOT(ISNUMBER('종합 현황'!$H$5)),"관찰기준 확인",IF('종합 현황'!$H$5&lt;1,"관찰기준 확인",IF(N2205&gt;'종합 현황'!$H$5,"내부 관찰 대상","내부 관찰일 이하")))))</x:f>
        <x:v>대상 아님</x:v>
      </x:c>
      <x:c r="AB2205" s="2"/>
    </x:row>
    <x:row r="2206" ht="42" customHeight="1">
      <x:c r="A2206" s="2" t="str">
        <x:v>11b523394679dd2225f3ec46</x:v>
      </x:c>
      <x:c r="B2206" s="2" t="str">
        <x:v>감축량 인증</x:v>
      </x:c>
      <x:c r="C2206" s="2" t="str">
        <x:v>국내</x:v>
      </x:c>
      <x:c r="D2206" s="7" t="str">
        <x:v>미활용열을 회수하는 사업</x:v>
      </x:c>
      <x:c r="E2206" s="2" t="str">
        <x:v>446</x:v>
      </x:c>
      <x:c r="F2206" s="2"/>
      <x:c r="G2206" s="2" t="str">
        <x:v>미확보</x:v>
      </x:c>
      <x:c r="H2206" s="2" t="str">
        <x:v>미확보</x:v>
      </x:c>
      <x:c r="I2206" s="2" t="str">
        <x:v>심의승인</x:v>
      </x:c>
      <x:c r="J2206" s="2" t="str">
        <x:v>심의승인</x:v>
      </x:c>
      <x:c r="K2206" s="2" t="str">
        <x:f>IF(OR(J2206="심의승인",J2206="반려",J2206="반려완료",J2206="심의완료"),"종결 표시",IF(OR(J2206="기후부협의",J2206="문서재제출요청",J2206="보류",J2206="보완요청",J2206="보완완료",J2206="평가중",J2206="반려요청",J2206="평가필요",LEFT(J2206,5)="보완요청("),"미종결 표시","상태 확인 필요"))</x:f>
        <x:v>종결 표시</x:v>
      </x:c>
      <x:c r="L2206" s="2"/>
      <x:c r="M2206" s="2"/>
      <x:c r="N2206" s="8"/>
      <x:c r="O2206" s="2"/>
      <x:c r="P2206" s="2"/>
      <x:c r="Q2206" s="2" t="str">
        <x:v>산업전환_외부사업관리Tool_260707_이너젠 수정_LJY_261013.xlsx</x:v>
      </x:c>
      <x:c r="R2206" s="2" t="str">
        <x:v>국내인증</x:v>
      </x:c>
      <x:c r="S2206" s="8" t="n">
        <x:v>524</x:v>
      </x:c>
      <x:c r="T2206" s="2" t="str">
        <x:v>(9/1)</x:v>
      </x:c>
      <x:c r="U2206" s="2" t="str">
        <x:v>2021 배정: (9/1)</x:v>
      </x:c>
      <x:c r="V2206" s="2" t="str">
        <x:v>2022-01-17</x:v>
      </x:c>
      <x:c r="W2206" s="2" t="str">
        <x:v>신청일 확인 / 담당기관 확인</x:v>
      </x:c>
      <x:c r="X2206" s="2" t="str">
        <x:v>원본·배정 기록 확인</x:v>
      </x:c>
      <x:c r="Y2206" s="2" t="str">
        <x:v>ad210cd9ec132cfd447541c8984dc53d30aff0f4fb2dc92d254d49275cc55976</x:v>
      </x:c>
      <x:c r="Z2206" s="2" t="n">
        <x:f>SUBTOTAL(103,A2206)</x:f>
        <x:v>1</x:v>
      </x:c>
      <x:c r="AA2206" s="2" t="str">
        <x:f>IF(K2206&lt;&gt;"미종결 표시","대상 아님",IF(N2206="","신청일 확인",IF(NOT(ISNUMBER('종합 현황'!$H$5)),"관찰기준 확인",IF('종합 현황'!$H$5&lt;1,"관찰기준 확인",IF(N2206&gt;'종합 현황'!$H$5,"내부 관찰 대상","내부 관찰일 이하")))))</x:f>
        <x:v>대상 아님</x:v>
      </x:c>
      <x:c r="AB2206" s="2"/>
    </x:row>
    <x:row r="2207" ht="42" customHeight="1">
      <x:c r="A2207" s="2" t="str">
        <x:v>88a2ac54ff2932007be1e4a5</x:v>
      </x:c>
      <x:c r="B2207" s="2" t="str">
        <x:v>감축량 인증</x:v>
      </x:c>
      <x:c r="C2207" s="2" t="str">
        <x:v>국내</x:v>
      </x:c>
      <x:c r="D2207" s="7" t="str">
        <x:v>한국지역난방공사 대구지사 목질 바이오매스 열병합발전 프로젝트</x:v>
      </x:c>
      <x:c r="E2207" s="2" t="str">
        <x:v>447</x:v>
      </x:c>
      <x:c r="F2207" s="2"/>
      <x:c r="G2207" s="2" t="str">
        <x:v>미확보</x:v>
      </x:c>
      <x:c r="H2207" s="2" t="str">
        <x:v>미확보</x:v>
      </x:c>
      <x:c r="I2207" s="2" t="str">
        <x:v>심의승인</x:v>
      </x:c>
      <x:c r="J2207" s="2" t="str">
        <x:v>심의승인</x:v>
      </x:c>
      <x:c r="K2207" s="2" t="str">
        <x:f>IF(OR(J2207="심의승인",J2207="반려",J2207="반려완료",J2207="심의완료"),"종결 표시",IF(OR(J2207="기후부협의",J2207="문서재제출요청",J2207="보류",J2207="보완요청",J2207="보완완료",J2207="평가중",J2207="반려요청",J2207="평가필요",LEFT(J2207,5)="보완요청("),"미종결 표시","상태 확인 필요"))</x:f>
        <x:v>종결 표시</x:v>
      </x:c>
      <x:c r="L2207" s="2"/>
      <x:c r="M2207" s="2"/>
      <x:c r="N2207" s="8"/>
      <x:c r="O2207" s="2"/>
      <x:c r="P2207" s="2"/>
      <x:c r="Q2207" s="2" t="str">
        <x:v>산업전환_외부사업관리Tool_260707_이너젠 수정_LJY_261013.xlsx</x:v>
      </x:c>
      <x:c r="R2207" s="2" t="str">
        <x:v>국내인증</x:v>
      </x:c>
      <x:c r="S2207" s="8" t="n">
        <x:v>525</x:v>
      </x:c>
      <x:c r="T2207" s="2"/>
      <x:c r="U2207" s="2" t="str"/>
      <x:c r="V2207" s="2" t="str">
        <x:v>2022-01-17</x:v>
      </x:c>
      <x:c r="W2207" s="2" t="str">
        <x:v>신청일 확인 / 담당기관 확인</x:v>
      </x:c>
      <x:c r="X2207" s="2" t="str">
        <x:v>원본·배정 기록 확인</x:v>
      </x:c>
      <x:c r="Y2207" s="2" t="str">
        <x:v>ad210cd9ec132cfd447541c8984dc53d30aff0f4fb2dc92d254d49275cc55976</x:v>
      </x:c>
      <x:c r="Z2207" s="2" t="n">
        <x:f>SUBTOTAL(103,A2207)</x:f>
        <x:v>1</x:v>
      </x:c>
      <x:c r="AA2207" s="2" t="str">
        <x:f>IF(K2207&lt;&gt;"미종결 표시","대상 아님",IF(N2207="","신청일 확인",IF(NOT(ISNUMBER('종합 현황'!$H$5)),"관찰기준 확인",IF('종합 현황'!$H$5&lt;1,"관찰기준 확인",IF(N2207&gt;'종합 현황'!$H$5,"내부 관찰 대상","내부 관찰일 이하")))))</x:f>
        <x:v>대상 아님</x:v>
      </x:c>
      <x:c r="AB2207" s="2"/>
    </x:row>
    <x:row r="2208" ht="42" customHeight="1">
      <x:c r="A2208" s="2" t="str">
        <x:v>f750551eda9da753a78f626e</x:v>
      </x:c>
      <x:c r="B2208" s="2" t="str">
        <x:v>감축량 인증</x:v>
      </x:c>
      <x:c r="C2208" s="2" t="str">
        <x:v>국내</x:v>
      </x:c>
      <x:c r="D2208" s="7" t="str">
        <x:v>우성세라믹스공업의 LPG에서 LNG로 연료전환을 통한 온실가스 배출 감축사업</x:v>
      </x:c>
      <x:c r="E2208" s="2" t="str">
        <x:v>448</x:v>
      </x:c>
      <x:c r="F2208" s="2"/>
      <x:c r="G2208" s="2" t="str">
        <x:v>미확보</x:v>
      </x:c>
      <x:c r="H2208" s="2" t="str">
        <x:v>미확보</x:v>
      </x:c>
      <x:c r="I2208" s="2" t="str">
        <x:v>심의승인</x:v>
      </x:c>
      <x:c r="J2208" s="2" t="str">
        <x:v>심의승인</x:v>
      </x:c>
      <x:c r="K2208" s="2" t="str">
        <x:f>IF(OR(J2208="심의승인",J2208="반려",J2208="반려완료",J2208="심의완료"),"종결 표시",IF(OR(J2208="기후부협의",J2208="문서재제출요청",J2208="보류",J2208="보완요청",J2208="보완완료",J2208="평가중",J2208="반려요청",J2208="평가필요",LEFT(J2208,5)="보완요청("),"미종결 표시","상태 확인 필요"))</x:f>
        <x:v>종결 표시</x:v>
      </x:c>
      <x:c r="L2208" s="2"/>
      <x:c r="M2208" s="2"/>
      <x:c r="N2208" s="8"/>
      <x:c r="O2208" s="2"/>
      <x:c r="P2208" s="2"/>
      <x:c r="Q2208" s="2" t="str">
        <x:v>산업전환_외부사업관리Tool_260707_이너젠 수정_LJY_261013.xlsx</x:v>
      </x:c>
      <x:c r="R2208" s="2" t="str">
        <x:v>국내인증</x:v>
      </x:c>
      <x:c r="S2208" s="8" t="n">
        <x:v>526</x:v>
      </x:c>
      <x:c r="T2208" s="2" t="str">
        <x:v>(10/20)</x:v>
      </x:c>
      <x:c r="U2208" s="2" t="str">
        <x:v>2021 배정: (10/20)</x:v>
      </x:c>
      <x:c r="V2208" s="2" t="str">
        <x:v>2022-04-18</x:v>
      </x:c>
      <x:c r="W2208" s="2" t="str">
        <x:v>신청일 확인 / 담당기관 확인</x:v>
      </x:c>
      <x:c r="X2208" s="2" t="str">
        <x:v>원본·배정 기록 확인</x:v>
      </x:c>
      <x:c r="Y2208" s="2" t="str">
        <x:v>ad210cd9ec132cfd447541c8984dc53d30aff0f4fb2dc92d254d49275cc55976</x:v>
      </x:c>
      <x:c r="Z2208" s="2" t="n">
        <x:f>SUBTOTAL(103,A2208)</x:f>
        <x:v>1</x:v>
      </x:c>
      <x:c r="AA2208" s="2" t="str">
        <x:f>IF(K2208&lt;&gt;"미종결 표시","대상 아님",IF(N2208="","신청일 확인",IF(NOT(ISNUMBER('종합 현황'!$H$5)),"관찰기준 확인",IF('종합 현황'!$H$5&lt;1,"관찰기준 확인",IF(N2208&gt;'종합 현황'!$H$5,"내부 관찰 대상","내부 관찰일 이하")))))</x:f>
        <x:v>대상 아님</x:v>
      </x:c>
      <x:c r="AB2208" s="2"/>
    </x:row>
    <x:row r="2209" ht="42" customHeight="1">
      <x:c r="A2209" s="2" t="str">
        <x:v>666b4f69861b8803375006d5</x:v>
      </x:c>
      <x:c r="B2209" s="2" t="str">
        <x:v>감축량 인증</x:v>
      </x:c>
      <x:c r="C2209" s="2" t="str">
        <x:v>국내</x:v>
      </x:c>
      <x:c r="D2209" s="7" t="str">
        <x:v>현대리바트의 부생연료 1호에서 LNG로 연료전환을 통한 온실가스 배출 감축사업</x:v>
      </x:c>
      <x:c r="E2209" s="2" t="str">
        <x:v>449</x:v>
      </x:c>
      <x:c r="F2209" s="2"/>
      <x:c r="G2209" s="2" t="str">
        <x:v>미확보</x:v>
      </x:c>
      <x:c r="H2209" s="2" t="str">
        <x:v>미확보</x:v>
      </x:c>
      <x:c r="I2209" s="2" t="str">
        <x:v>심의승인</x:v>
      </x:c>
      <x:c r="J2209" s="2" t="str">
        <x:v>심의승인</x:v>
      </x:c>
      <x:c r="K2209" s="2" t="str">
        <x:f>IF(OR(J2209="심의승인",J2209="반려",J2209="반려완료",J2209="심의완료"),"종결 표시",IF(OR(J2209="기후부협의",J2209="문서재제출요청",J2209="보류",J2209="보완요청",J2209="보완완료",J2209="평가중",J2209="반려요청",J2209="평가필요",LEFT(J2209,5)="보완요청("),"미종결 표시","상태 확인 필요"))</x:f>
        <x:v>종결 표시</x:v>
      </x:c>
      <x:c r="L2209" s="2"/>
      <x:c r="M2209" s="2"/>
      <x:c r="N2209" s="8"/>
      <x:c r="O2209" s="2"/>
      <x:c r="P2209" s="2"/>
      <x:c r="Q2209" s="2" t="str">
        <x:v>산업전환_외부사업관리Tool_260707_이너젠 수정_LJY_261013.xlsx</x:v>
      </x:c>
      <x:c r="R2209" s="2" t="str">
        <x:v>국내인증</x:v>
      </x:c>
      <x:c r="S2209" s="8" t="n">
        <x:v>527</x:v>
      </x:c>
      <x:c r="T2209" s="2" t="str">
        <x:v>(10/20)</x:v>
      </x:c>
      <x:c r="U2209" s="2" t="str">
        <x:v>2021 배정: (10/20) / 2022 배정: 2022년 처리</x:v>
      </x:c>
      <x:c r="V2209" s="2" t="str">
        <x:v>2022-07-13</x:v>
      </x:c>
      <x:c r="W2209" s="2" t="str">
        <x:v>신청일 확인 / 담당기관 확인</x:v>
      </x:c>
      <x:c r="X2209" s="2" t="str">
        <x:v>원본·배정 기록 확인</x:v>
      </x:c>
      <x:c r="Y2209" s="2" t="str">
        <x:v>ad210cd9ec132cfd447541c8984dc53d30aff0f4fb2dc92d254d49275cc55976</x:v>
      </x:c>
      <x:c r="Z2209" s="2" t="n">
        <x:f>SUBTOTAL(103,A2209)</x:f>
        <x:v>1</x:v>
      </x:c>
      <x:c r="AA2209" s="2" t="str">
        <x:f>IF(K2209&lt;&gt;"미종결 표시","대상 아님",IF(N2209="","신청일 확인",IF(NOT(ISNUMBER('종합 현황'!$H$5)),"관찰기준 확인",IF('종합 현황'!$H$5&lt;1,"관찰기준 확인",IF(N2209&gt;'종합 현황'!$H$5,"내부 관찰 대상","내부 관찰일 이하")))))</x:f>
        <x:v>대상 아님</x:v>
      </x:c>
      <x:c r="AB2209" s="2"/>
    </x:row>
    <x:row r="2210" ht="42" customHeight="1">
      <x:c r="A2210" s="2" t="str">
        <x:v>b0e8b39956c9c3df7db4d123</x:v>
      </x:c>
      <x:c r="B2210" s="2" t="str">
        <x:v>감축량 인증</x:v>
      </x:c>
      <x:c r="C2210" s="2" t="str">
        <x:v>국내</x:v>
      </x:c>
      <x:c r="D2210" s="7" t="str">
        <x:v>동신산업 평택공장의 B-C유에서 LNG로 연료전환을 통한 온실가스 배출 감축사업</x:v>
      </x:c>
      <x:c r="E2210" s="2" t="str">
        <x:v>450</x:v>
      </x:c>
      <x:c r="F2210" s="2"/>
      <x:c r="G2210" s="2" t="str">
        <x:v>미확보</x:v>
      </x:c>
      <x:c r="H2210" s="2" t="str">
        <x:v>미확보</x:v>
      </x:c>
      <x:c r="I2210" s="2" t="str">
        <x:v>심의승인</x:v>
      </x:c>
      <x:c r="J2210" s="2" t="str">
        <x:v>심의승인</x:v>
      </x:c>
      <x:c r="K2210" s="2" t="str">
        <x:f>IF(OR(J2210="심의승인",J2210="반려",J2210="반려완료",J2210="심의완료"),"종결 표시",IF(OR(J2210="기후부협의",J2210="문서재제출요청",J2210="보류",J2210="보완요청",J2210="보완완료",J2210="평가중",J2210="반려요청",J2210="평가필요",LEFT(J2210,5)="보완요청("),"미종결 표시","상태 확인 필요"))</x:f>
        <x:v>종결 표시</x:v>
      </x:c>
      <x:c r="L2210" s="2"/>
      <x:c r="M2210" s="2"/>
      <x:c r="N2210" s="8"/>
      <x:c r="O2210" s="2"/>
      <x:c r="P2210" s="2"/>
      <x:c r="Q2210" s="2" t="str">
        <x:v>산업전환_외부사업관리Tool_260707_이너젠 수정_LJY_261013.xlsx</x:v>
      </x:c>
      <x:c r="R2210" s="2" t="str">
        <x:v>국내인증</x:v>
      </x:c>
      <x:c r="S2210" s="8" t="n">
        <x:v>528</x:v>
      </x:c>
      <x:c r="T2210" s="2" t="str">
        <x:v>(10/20)</x:v>
      </x:c>
      <x:c r="U2210" s="2" t="str">
        <x:v>2021 배정: (10/20) / 2022 배정: 2022년 처리</x:v>
      </x:c>
      <x:c r="V2210" s="2" t="str">
        <x:v>2022-07-14</x:v>
      </x:c>
      <x:c r="W2210" s="2" t="str">
        <x:v>신청일 확인 / 담당기관 확인</x:v>
      </x:c>
      <x:c r="X2210" s="2" t="str">
        <x:v>원본·배정 기록 확인</x:v>
      </x:c>
      <x:c r="Y2210" s="2" t="str">
        <x:v>ad210cd9ec132cfd447541c8984dc53d30aff0f4fb2dc92d254d49275cc55976</x:v>
      </x:c>
      <x:c r="Z2210" s="2" t="n">
        <x:f>SUBTOTAL(103,A2210)</x:f>
        <x:v>1</x:v>
      </x:c>
      <x:c r="AA2210" s="2" t="str">
        <x:f>IF(K2210&lt;&gt;"미종결 표시","대상 아님",IF(N2210="","신청일 확인",IF(NOT(ISNUMBER('종합 현황'!$H$5)),"관찰기준 확인",IF('종합 현황'!$H$5&lt;1,"관찰기준 확인",IF(N2210&gt;'종합 현황'!$H$5,"내부 관찰 대상","내부 관찰일 이하")))))</x:f>
        <x:v>대상 아님</x:v>
      </x:c>
      <x:c r="AB2210" s="2"/>
    </x:row>
    <x:row r="2211" ht="42" customHeight="1">
      <x:c r="A2211" s="2" t="str">
        <x:v>4f3469dee54d726d0af3ce4f</x:v>
      </x:c>
      <x:c r="B2211" s="2" t="str">
        <x:v>감축량 인증</x:v>
      </x:c>
      <x:c r="C2211" s="2" t="str">
        <x:v>국내</x:v>
      </x:c>
      <x:c r="D2211" s="7" t="str">
        <x:v>남부산업의 이온정제유에서 LNG로 연료전환을 통한 온실가스 배출 감축사업</x:v>
      </x:c>
      <x:c r="E2211" s="2" t="str">
        <x:v>451</x:v>
      </x:c>
      <x:c r="F2211" s="2"/>
      <x:c r="G2211" s="2" t="str">
        <x:v>미확보</x:v>
      </x:c>
      <x:c r="H2211" s="2" t="str">
        <x:v>미확보</x:v>
      </x:c>
      <x:c r="I2211" s="2" t="str">
        <x:v>심의승인</x:v>
      </x:c>
      <x:c r="J2211" s="2" t="str">
        <x:v>심의승인</x:v>
      </x:c>
      <x:c r="K2211" s="2" t="str">
        <x:f>IF(OR(J2211="심의승인",J2211="반려",J2211="반려완료",J2211="심의완료"),"종결 표시",IF(OR(J2211="기후부협의",J2211="문서재제출요청",J2211="보류",J2211="보완요청",J2211="보완완료",J2211="평가중",J2211="반려요청",J2211="평가필요",LEFT(J2211,5)="보완요청("),"미종결 표시","상태 확인 필요"))</x:f>
        <x:v>종결 표시</x:v>
      </x:c>
      <x:c r="L2211" s="2"/>
      <x:c r="M2211" s="2"/>
      <x:c r="N2211" s="8"/>
      <x:c r="O2211" s="2"/>
      <x:c r="P2211" s="2"/>
      <x:c r="Q2211" s="2" t="str">
        <x:v>산업전환_외부사업관리Tool_260707_이너젠 수정_LJY_261013.xlsx</x:v>
      </x:c>
      <x:c r="R2211" s="2" t="str">
        <x:v>국내인증</x:v>
      </x:c>
      <x:c r="S2211" s="8" t="n">
        <x:v>529</x:v>
      </x:c>
      <x:c r="T2211" s="2" t="str">
        <x:v>(10/20)</x:v>
      </x:c>
      <x:c r="U2211" s="2" t="str">
        <x:v>2021 배정: (10/20) / 2022 배정: 2022년 처리</x:v>
      </x:c>
      <x:c r="V2211" s="2" t="str">
        <x:v>2022-07-14</x:v>
      </x:c>
      <x:c r="W2211" s="2" t="str">
        <x:v>신청일 확인 / 담당기관 확인</x:v>
      </x:c>
      <x:c r="X2211" s="2" t="str">
        <x:v>원본·배정 기록 확인</x:v>
      </x:c>
      <x:c r="Y2211" s="2" t="str">
        <x:v>ad210cd9ec132cfd447541c8984dc53d30aff0f4fb2dc92d254d49275cc55976</x:v>
      </x:c>
      <x:c r="Z2211" s="2" t="n">
        <x:f>SUBTOTAL(103,A2211)</x:f>
        <x:v>1</x:v>
      </x:c>
      <x:c r="AA2211" s="2" t="str">
        <x:f>IF(K2211&lt;&gt;"미종결 표시","대상 아님",IF(N2211="","신청일 확인",IF(NOT(ISNUMBER('종합 현황'!$H$5)),"관찰기준 확인",IF('종합 현황'!$H$5&lt;1,"관찰기준 확인",IF(N2211&gt;'종합 현황'!$H$5,"내부 관찰 대상","내부 관찰일 이하")))))</x:f>
        <x:v>대상 아님</x:v>
      </x:c>
      <x:c r="AB2211" s="2"/>
    </x:row>
    <x:row r="2212" ht="42" customHeight="1">
      <x:c r="A2212" s="2" t="str">
        <x:v>6a5e45820c309592b6e4ff4d</x:v>
      </x:c>
      <x:c r="B2212" s="2" t="str">
        <x:v>감축량 인증</x:v>
      </x:c>
      <x:c r="C2212" s="2" t="str">
        <x:v>국내</x:v>
      </x:c>
      <x:c r="D2212" s="7" t="str">
        <x:v>SF6 회수 및 재생사업</x:v>
      </x:c>
      <x:c r="E2212" s="2" t="str">
        <x:v>452</x:v>
      </x:c>
      <x:c r="F2212" s="2"/>
      <x:c r="G2212" s="2" t="str">
        <x:v>미확보</x:v>
      </x:c>
      <x:c r="H2212" s="2" t="str">
        <x:v>미확보</x:v>
      </x:c>
      <x:c r="I2212" s="2" t="str">
        <x:v>심의승인</x:v>
      </x:c>
      <x:c r="J2212" s="2" t="str">
        <x:v>심의승인</x:v>
      </x:c>
      <x:c r="K2212" s="2" t="str">
        <x:f>IF(OR(J2212="심의승인",J2212="반려",J2212="반려완료",J2212="심의완료"),"종결 표시",IF(OR(J2212="기후부협의",J2212="문서재제출요청",J2212="보류",J2212="보완요청",J2212="보완완료",J2212="평가중",J2212="반려요청",J2212="평가필요",LEFT(J2212,5)="보완요청("),"미종결 표시","상태 확인 필요"))</x:f>
        <x:v>종결 표시</x:v>
      </x:c>
      <x:c r="L2212" s="2"/>
      <x:c r="M2212" s="2"/>
      <x:c r="N2212" s="8"/>
      <x:c r="O2212" s="2"/>
      <x:c r="P2212" s="2"/>
      <x:c r="Q2212" s="2" t="str">
        <x:v>산업전환_외부사업관리Tool_260707_이너젠 수정_LJY_261013.xlsx</x:v>
      </x:c>
      <x:c r="R2212" s="2" t="str">
        <x:v>국내인증</x:v>
      </x:c>
      <x:c r="S2212" s="8" t="n">
        <x:v>530</x:v>
      </x:c>
      <x:c r="T2212" s="2" t="str">
        <x:v>(12/10)</x:v>
      </x:c>
      <x:c r="U2212" s="2" t="str">
        <x:v>2021 배정: (12/10) / 2022 배정: 2022년 처리</x:v>
      </x:c>
      <x:c r="V2212" s="2" t="str">
        <x:v>2022-07-14</x:v>
      </x:c>
      <x:c r="W2212" s="2" t="str">
        <x:v>신청일 확인 / 담당기관 확인</x:v>
      </x:c>
      <x:c r="X2212" s="2" t="str">
        <x:v>원본·배정 기록 확인</x:v>
      </x:c>
      <x:c r="Y2212" s="2" t="str">
        <x:v>ad210cd9ec132cfd447541c8984dc53d30aff0f4fb2dc92d254d49275cc55976</x:v>
      </x:c>
      <x:c r="Z2212" s="2" t="n">
        <x:f>SUBTOTAL(103,A2212)</x:f>
        <x:v>1</x:v>
      </x:c>
      <x:c r="AA2212" s="2" t="str">
        <x:f>IF(K2212&lt;&gt;"미종결 표시","대상 아님",IF(N2212="","신청일 확인",IF(NOT(ISNUMBER('종합 현황'!$H$5)),"관찰기준 확인",IF('종합 현황'!$H$5&lt;1,"관찰기준 확인",IF(N2212&gt;'종합 현황'!$H$5,"내부 관찰 대상","내부 관찰일 이하")))))</x:f>
        <x:v>대상 아님</x:v>
      </x:c>
      <x:c r="AB2212" s="2"/>
    </x:row>
    <x:row r="2213" ht="42" customHeight="1">
      <x:c r="A2213" s="2" t="str">
        <x:v>fc3afc73151ea2a7174c214d</x:v>
      </x:c>
      <x:c r="B2213" s="2" t="str">
        <x:v>감축량 인증</x:v>
      </x:c>
      <x:c r="C2213" s="2" t="str">
        <x:v>국내</x:v>
      </x:c>
      <x:c r="D2213" s="7" t="str">
        <x:v>울산항 하역시설 LED  조명기기 교체를 통한 온실가스 배출 극소규모 감축사업</x:v>
      </x:c>
      <x:c r="E2213" s="2" t="str">
        <x:v>453</x:v>
      </x:c>
      <x:c r="F2213" s="2"/>
      <x:c r="G2213" s="2" t="str">
        <x:v>미확보</x:v>
      </x:c>
      <x:c r="H2213" s="2" t="str">
        <x:v>미확보</x:v>
      </x:c>
      <x:c r="I2213" s="2" t="str">
        <x:v>심의승인</x:v>
      </x:c>
      <x:c r="J2213" s="2" t="str">
        <x:v>심의승인</x:v>
      </x:c>
      <x:c r="K2213" s="2" t="str">
        <x:f>IF(OR(J2213="심의승인",J2213="반려",J2213="반려완료",J2213="심의완료"),"종결 표시",IF(OR(J2213="기후부협의",J2213="문서재제출요청",J2213="보류",J2213="보완요청",J2213="보완완료",J2213="평가중",J2213="반려요청",J2213="평가필요",LEFT(J2213,5)="보완요청("),"미종결 표시","상태 확인 필요"))</x:f>
        <x:v>종결 표시</x:v>
      </x:c>
      <x:c r="L2213" s="2"/>
      <x:c r="M2213" s="2"/>
      <x:c r="N2213" s="8"/>
      <x:c r="O2213" s="2"/>
      <x:c r="P2213" s="2"/>
      <x:c r="Q2213" s="2" t="str">
        <x:v>산업전환_외부사업관리Tool_260707_이너젠 수정_LJY_261013.xlsx</x:v>
      </x:c>
      <x:c r="R2213" s="2" t="str">
        <x:v>국내인증</x:v>
      </x:c>
      <x:c r="S2213" s="8" t="n">
        <x:v>531</x:v>
      </x:c>
      <x:c r="T2213" s="2" t="str">
        <x:v>(12/10)</x:v>
      </x:c>
      <x:c r="U2213" s="2" t="str">
        <x:v>2021 배정: (12/10) / 2022 배정: (2/9)</x:v>
      </x:c>
      <x:c r="V2213" s="2" t="str">
        <x:v>2022-07-14</x:v>
      </x:c>
      <x:c r="W2213" s="2" t="str">
        <x:v>신청일 확인 / 담당기관 확인</x:v>
      </x:c>
      <x:c r="X2213" s="2" t="str">
        <x:v>원본·배정 기록 확인</x:v>
      </x:c>
      <x:c r="Y2213" s="2" t="str">
        <x:v>ad210cd9ec132cfd447541c8984dc53d30aff0f4fb2dc92d254d49275cc55976</x:v>
      </x:c>
      <x:c r="Z2213" s="2" t="n">
        <x:f>SUBTOTAL(103,A2213)</x:f>
        <x:v>1</x:v>
      </x:c>
      <x:c r="AA2213" s="2" t="str">
        <x:f>IF(K2213&lt;&gt;"미종결 표시","대상 아님",IF(N2213="","신청일 확인",IF(NOT(ISNUMBER('종합 현황'!$H$5)),"관찰기준 확인",IF('종합 현황'!$H$5&lt;1,"관찰기준 확인",IF(N2213&gt;'종합 현황'!$H$5,"내부 관찰 대상","내부 관찰일 이하")))))</x:f>
        <x:v>대상 아님</x:v>
      </x:c>
      <x:c r="AB2213" s="2"/>
    </x:row>
    <x:row r="2214" ht="42" customHeight="1">
      <x:c r="A2214" s="2" t="str">
        <x:v>8c32e569de14bc28d50f8b7c</x:v>
      </x:c>
      <x:c r="B2214" s="2" t="str">
        <x:v>감축량 인증</x:v>
      </x:c>
      <x:c r="C2214" s="2" t="str">
        <x:v>국내</x:v>
      </x:c>
      <x:c r="D2214" s="7" t="str">
        <x:v>부일레미콘의 B-C유에서 도시가스(LNG)로 연료전환을 통한 온실가스 배출 감축사업</x:v>
      </x:c>
      <x:c r="E2214" s="2" t="str">
        <x:v>454</x:v>
      </x:c>
      <x:c r="F2214" s="2"/>
      <x:c r="G2214" s="2" t="str">
        <x:v>미확보</x:v>
      </x:c>
      <x:c r="H2214" s="2" t="str">
        <x:v>미확보</x:v>
      </x:c>
      <x:c r="I2214" s="2" t="str">
        <x:v>심의승인</x:v>
      </x:c>
      <x:c r="J2214" s="2" t="str">
        <x:v>심의승인</x:v>
      </x:c>
      <x:c r="K2214" s="2" t="str">
        <x:f>IF(OR(J2214="심의승인",J2214="반려",J2214="반려완료",J2214="심의완료"),"종결 표시",IF(OR(J2214="기후부협의",J2214="문서재제출요청",J2214="보류",J2214="보완요청",J2214="보완완료",J2214="평가중",J2214="반려요청",J2214="평가필요",LEFT(J2214,5)="보완요청("),"미종결 표시","상태 확인 필요"))</x:f>
        <x:v>종결 표시</x:v>
      </x:c>
      <x:c r="L2214" s="2"/>
      <x:c r="M2214" s="2"/>
      <x:c r="N2214" s="8"/>
      <x:c r="O2214" s="2"/>
      <x:c r="P2214" s="2"/>
      <x:c r="Q2214" s="2" t="str">
        <x:v>산업전환_외부사업관리Tool_260707_이너젠 수정_LJY_261013.xlsx</x:v>
      </x:c>
      <x:c r="R2214" s="2" t="str">
        <x:v>국내인증</x:v>
      </x:c>
      <x:c r="S2214" s="8" t="n">
        <x:v>532</x:v>
      </x:c>
      <x:c r="T2214" s="2" t="str">
        <x:v>(1/18),(4/19)</x:v>
      </x:c>
      <x:c r="U2214" s="2" t="str">
        <x:v>2022 배정: (1/18),(4/19)</x:v>
      </x:c>
      <x:c r="V2214" s="2" t="str">
        <x:v>2022-10-17</x:v>
      </x:c>
      <x:c r="W2214" s="2" t="str">
        <x:v>신청일 확인 / 담당기관 확인</x:v>
      </x:c>
      <x:c r="X2214" s="2" t="str">
        <x:v>원본·배정 기록 확인</x:v>
      </x:c>
      <x:c r="Y2214" s="2" t="str">
        <x:v>ad210cd9ec132cfd447541c8984dc53d30aff0f4fb2dc92d254d49275cc55976</x:v>
      </x:c>
      <x:c r="Z2214" s="2" t="n">
        <x:f>SUBTOTAL(103,A2214)</x:f>
        <x:v>1</x:v>
      </x:c>
      <x:c r="AA2214" s="2" t="str">
        <x:f>IF(K2214&lt;&gt;"미종결 표시","대상 아님",IF(N2214="","신청일 확인",IF(NOT(ISNUMBER('종합 현황'!$H$5)),"관찰기준 확인",IF('종합 현황'!$H$5&lt;1,"관찰기준 확인",IF(N2214&gt;'종합 현황'!$H$5,"내부 관찰 대상","내부 관찰일 이하")))))</x:f>
        <x:v>대상 아님</x:v>
      </x:c>
      <x:c r="AB2214" s="2"/>
    </x:row>
    <x:row r="2215" ht="42" customHeight="1">
      <x:c r="A2215" s="2" t="str">
        <x:v>bef6f5efda728d5c72caaedc</x:v>
      </x:c>
      <x:c r="B2215" s="2" t="str">
        <x:v>감축량 인증</x:v>
      </x:c>
      <x:c r="C2215" s="2" t="str">
        <x:v>국내</x:v>
      </x:c>
      <x:c r="D2215" s="7" t="str">
        <x:v>홍익콘크리트산업 연료전환(B-C유-&gt;도시가스) 감축사업(C-001)</x:v>
      </x:c>
      <x:c r="E2215" s="2" t="str">
        <x:v>455</x:v>
      </x:c>
      <x:c r="F2215" s="2"/>
      <x:c r="G2215" s="2" t="str">
        <x:v>미확보</x:v>
      </x:c>
      <x:c r="H2215" s="2" t="str">
        <x:v>미확보</x:v>
      </x:c>
      <x:c r="I2215" s="2" t="str">
        <x:v>심의승인</x:v>
      </x:c>
      <x:c r="J2215" s="2" t="str">
        <x:v>심의승인</x:v>
      </x:c>
      <x:c r="K2215" s="2" t="str">
        <x:f>IF(OR(J2215="심의승인",J2215="반려",J2215="반려완료",J2215="심의완료"),"종결 표시",IF(OR(J2215="기후부협의",J2215="문서재제출요청",J2215="보류",J2215="보완요청",J2215="보완완료",J2215="평가중",J2215="반려요청",J2215="평가필요",LEFT(J2215,5)="보완요청("),"미종결 표시","상태 확인 필요"))</x:f>
        <x:v>종결 표시</x:v>
      </x:c>
      <x:c r="L2215" s="2"/>
      <x:c r="M2215" s="2"/>
      <x:c r="N2215" s="8"/>
      <x:c r="O2215" s="2"/>
      <x:c r="P2215" s="2"/>
      <x:c r="Q2215" s="2" t="str">
        <x:v>산업전환_외부사업관리Tool_260707_이너젠 수정_LJY_261013.xlsx</x:v>
      </x:c>
      <x:c r="R2215" s="2" t="str">
        <x:v>국내인증</x:v>
      </x:c>
      <x:c r="S2215" s="8" t="n">
        <x:v>533</x:v>
      </x:c>
      <x:c r="T2215" s="2" t="str">
        <x:v>(1/18),(4/19)(5/18)</x:v>
      </x:c>
      <x:c r="U2215" s="2" t="str">
        <x:v>2022 배정: (1/18),(4/19)(5/18)</x:v>
      </x:c>
      <x:c r="V2215" s="2" t="str">
        <x:v>2022-10-17</x:v>
      </x:c>
      <x:c r="W2215" s="2" t="str">
        <x:v>신청일 확인 / 담당기관 확인</x:v>
      </x:c>
      <x:c r="X2215" s="2" t="str">
        <x:v>원본·배정 기록 확인</x:v>
      </x:c>
      <x:c r="Y2215" s="2" t="str">
        <x:v>ad210cd9ec132cfd447541c8984dc53d30aff0f4fb2dc92d254d49275cc55976</x:v>
      </x:c>
      <x:c r="Z2215" s="2" t="n">
        <x:f>SUBTOTAL(103,A2215)</x:f>
        <x:v>1</x:v>
      </x:c>
      <x:c r="AA2215" s="2" t="str">
        <x:f>IF(K2215&lt;&gt;"미종결 표시","대상 아님",IF(N2215="","신청일 확인",IF(NOT(ISNUMBER('종합 현황'!$H$5)),"관찰기준 확인",IF('종합 현황'!$H$5&lt;1,"관찰기준 확인",IF(N2215&gt;'종합 현황'!$H$5,"내부 관찰 대상","내부 관찰일 이하")))))</x:f>
        <x:v>대상 아님</x:v>
      </x:c>
      <x:c r="AB2215" s="2"/>
    </x:row>
    <x:row r="2216" ht="42" customHeight="1">
      <x:c r="A2216" s="2" t="str">
        <x:v>897ea287ba5d02c3dd3b8277</x:v>
      </x:c>
      <x:c r="B2216" s="2" t="str">
        <x:v>감축량 인증</x:v>
      </x:c>
      <x:c r="C2216" s="2" t="str">
        <x:v>국내</x:v>
      </x:c>
      <x:c r="D2216" s="7" t="str">
        <x:v>금강 연료전환(B-C유-&gt;도시가스) 감축사업(C-002)</x:v>
      </x:c>
      <x:c r="E2216" s="2" t="str">
        <x:v>456</x:v>
      </x:c>
      <x:c r="F2216" s="2"/>
      <x:c r="G2216" s="2" t="str">
        <x:v>미확보</x:v>
      </x:c>
      <x:c r="H2216" s="2" t="str">
        <x:v>미확보</x:v>
      </x:c>
      <x:c r="I2216" s="2" t="str">
        <x:v>심의승인</x:v>
      </x:c>
      <x:c r="J2216" s="2" t="str">
        <x:v>심의승인</x:v>
      </x:c>
      <x:c r="K2216" s="2" t="str">
        <x:f>IF(OR(J2216="심의승인",J2216="반려",J2216="반려완료",J2216="심의완료"),"종결 표시",IF(OR(J2216="기후부협의",J2216="문서재제출요청",J2216="보류",J2216="보완요청",J2216="보완완료",J2216="평가중",J2216="반려요청",J2216="평가필요",LEFT(J2216,5)="보완요청("),"미종결 표시","상태 확인 필요"))</x:f>
        <x:v>종결 표시</x:v>
      </x:c>
      <x:c r="L2216" s="2"/>
      <x:c r="M2216" s="2"/>
      <x:c r="N2216" s="8"/>
      <x:c r="O2216" s="2"/>
      <x:c r="P2216" s="2"/>
      <x:c r="Q2216" s="2" t="str">
        <x:v>산업전환_외부사업관리Tool_260707_이너젠 수정_LJY_261013.xlsx</x:v>
      </x:c>
      <x:c r="R2216" s="2" t="str">
        <x:v>국내인증</x:v>
      </x:c>
      <x:c r="S2216" s="8" t="n">
        <x:v>534</x:v>
      </x:c>
      <x:c r="T2216" s="2" t="str">
        <x:v>(1/18),(4/19)(5/18)</x:v>
      </x:c>
      <x:c r="U2216" s="2" t="str">
        <x:v>2022 배정: (1/18),(4/19)(5/18)</x:v>
      </x:c>
      <x:c r="V2216" s="2" t="str">
        <x:v>2022-10-17</x:v>
      </x:c>
      <x:c r="W2216" s="2" t="str">
        <x:v>신청일 확인 / 담당기관 확인</x:v>
      </x:c>
      <x:c r="X2216" s="2" t="str">
        <x:v>원본·배정 기록 확인</x:v>
      </x:c>
      <x:c r="Y2216" s="2" t="str">
        <x:v>ad210cd9ec132cfd447541c8984dc53d30aff0f4fb2dc92d254d49275cc55976</x:v>
      </x:c>
      <x:c r="Z2216" s="2" t="n">
        <x:f>SUBTOTAL(103,A2216)</x:f>
        <x:v>1</x:v>
      </x:c>
      <x:c r="AA2216" s="2" t="str">
        <x:f>IF(K2216&lt;&gt;"미종결 표시","대상 아님",IF(N2216="","신청일 확인",IF(NOT(ISNUMBER('종합 현황'!$H$5)),"관찰기준 확인",IF('종합 현황'!$H$5&lt;1,"관찰기준 확인",IF(N2216&gt;'종합 현황'!$H$5,"내부 관찰 대상","내부 관찰일 이하")))))</x:f>
        <x:v>대상 아님</x:v>
      </x:c>
      <x:c r="AB2216" s="2"/>
    </x:row>
    <x:row r="2217" ht="42" customHeight="1">
      <x:c r="A2217" s="2" t="str">
        <x:v>34d6faff1d7e974bed1d8f51</x:v>
      </x:c>
      <x:c r="B2217" s="2" t="str">
        <x:v>감축량 인증</x:v>
      </x:c>
      <x:c r="C2217" s="2" t="str">
        <x:v>국내</x:v>
      </x:c>
      <x:c r="D2217" s="7" t="str">
        <x:v>대림씨엔에스 용인공장 스팀보일러 연료교체 (c9+ → LNG)를 통한 온실가스(CO2) 감축사업</x:v>
      </x:c>
      <x:c r="E2217" s="2" t="str">
        <x:v>457</x:v>
      </x:c>
      <x:c r="F2217" s="2"/>
      <x:c r="G2217" s="2" t="str">
        <x:v>미확보</x:v>
      </x:c>
      <x:c r="H2217" s="2" t="str">
        <x:v>미확보</x:v>
      </x:c>
      <x:c r="I2217" s="2" t="str">
        <x:v>심의승인</x:v>
      </x:c>
      <x:c r="J2217" s="2" t="str">
        <x:v>심의승인</x:v>
      </x:c>
      <x:c r="K2217" s="2" t="str">
        <x:f>IF(OR(J2217="심의승인",J2217="반려",J2217="반려완료",J2217="심의완료"),"종결 표시",IF(OR(J2217="기후부협의",J2217="문서재제출요청",J2217="보류",J2217="보완요청",J2217="보완완료",J2217="평가중",J2217="반려요청",J2217="평가필요",LEFT(J2217,5)="보완요청("),"미종결 표시","상태 확인 필요"))</x:f>
        <x:v>종결 표시</x:v>
      </x:c>
      <x:c r="L2217" s="2"/>
      <x:c r="M2217" s="2"/>
      <x:c r="N2217" s="8"/>
      <x:c r="O2217" s="2"/>
      <x:c r="P2217" s="2"/>
      <x:c r="Q2217" s="2" t="str">
        <x:v>산업전환_외부사업관리Tool_260707_이너젠 수정_LJY_261013.xlsx</x:v>
      </x:c>
      <x:c r="R2217" s="2" t="str">
        <x:v>국내인증</x:v>
      </x:c>
      <x:c r="S2217" s="8" t="n">
        <x:v>535</x:v>
      </x:c>
      <x:c r="T2217" s="2" t="str">
        <x:v>2021년 처리</x:v>
      </x:c>
      <x:c r="U2217" s="2" t="str">
        <x:v>2021 배정: 2021년 처리</x:v>
      </x:c>
      <x:c r="V2217" s="2" t="str">
        <x:v>2021-06-21</x:v>
      </x:c>
      <x:c r="W2217" s="2" t="str">
        <x:v>신청일 확인 / 담당기관 확인</x:v>
      </x:c>
      <x:c r="X2217" s="2" t="str">
        <x:v>원본·배정 기록 확인</x:v>
      </x:c>
      <x:c r="Y2217" s="2" t="str">
        <x:v>ad210cd9ec132cfd447541c8984dc53d30aff0f4fb2dc92d254d49275cc55976</x:v>
      </x:c>
      <x:c r="Z2217" s="2" t="n">
        <x:f>SUBTOTAL(103,A2217)</x:f>
        <x:v>1</x:v>
      </x:c>
      <x:c r="AA2217" s="2" t="str">
        <x:f>IF(K2217&lt;&gt;"미종결 표시","대상 아님",IF(N2217="","신청일 확인",IF(NOT(ISNUMBER('종합 현황'!$H$5)),"관찰기준 확인",IF('종합 현황'!$H$5&lt;1,"관찰기준 확인",IF(N2217&gt;'종합 현황'!$H$5,"내부 관찰 대상","내부 관찰일 이하")))))</x:f>
        <x:v>대상 아님</x:v>
      </x:c>
      <x:c r="AB2217" s="2"/>
    </x:row>
    <x:row r="2218" ht="42" customHeight="1">
      <x:c r="A2218" s="2" t="str">
        <x:v>0bbbc29e721f206eda63eaed</x:v>
      </x:c>
      <x:c r="B2218" s="2" t="str">
        <x:v>감축량 인증</x:v>
      </x:c>
      <x:c r="C2218" s="2" t="str">
        <x:v>국내</x:v>
      </x:c>
      <x:c r="D2218" s="7" t="str">
        <x:v>㈜한화 울산소재 질산공장 N2O 감축 프로젝트</x:v>
      </x:c>
      <x:c r="E2218" s="2" t="str">
        <x:v>458</x:v>
      </x:c>
      <x:c r="F2218" s="2"/>
      <x:c r="G2218" s="2" t="str">
        <x:v>미확보</x:v>
      </x:c>
      <x:c r="H2218" s="2" t="str">
        <x:v>미확보</x:v>
      </x:c>
      <x:c r="I2218" s="2" t="str">
        <x:v>심의승인</x:v>
      </x:c>
      <x:c r="J2218" s="2" t="str">
        <x:v>심의승인</x:v>
      </x:c>
      <x:c r="K2218" s="2" t="str">
        <x:f>IF(OR(J2218="심의승인",J2218="반려",J2218="반려완료",J2218="심의완료"),"종결 표시",IF(OR(J2218="기후부협의",J2218="문서재제출요청",J2218="보류",J2218="보완요청",J2218="보완완료",J2218="평가중",J2218="반려요청",J2218="평가필요",LEFT(J2218,5)="보완요청("),"미종결 표시","상태 확인 필요"))</x:f>
        <x:v>종결 표시</x:v>
      </x:c>
      <x:c r="L2218" s="2"/>
      <x:c r="M2218" s="2"/>
      <x:c r="N2218" s="8"/>
      <x:c r="O2218" s="2"/>
      <x:c r="P2218" s="2"/>
      <x:c r="Q2218" s="2" t="str">
        <x:v>산업전환_외부사업관리Tool_260707_이너젠 수정_LJY_261013.xlsx</x:v>
      </x:c>
      <x:c r="R2218" s="2" t="str">
        <x:v>국내인증</x:v>
      </x:c>
      <x:c r="S2218" s="8" t="n">
        <x:v>536</x:v>
      </x:c>
      <x:c r="T2218" s="2" t="str">
        <x:v>(2/9)</x:v>
      </x:c>
      <x:c r="U2218" s="2" t="str">
        <x:v>2022 배정: (2/9)</x:v>
      </x:c>
      <x:c r="V2218" s="2" t="str">
        <x:v>2022-07-14</x:v>
      </x:c>
      <x:c r="W2218" s="2" t="str">
        <x:v>신청일 확인 / 담당기관 확인</x:v>
      </x:c>
      <x:c r="X2218" s="2" t="str">
        <x:v>원본·배정 기록 확인</x:v>
      </x:c>
      <x:c r="Y2218" s="2" t="str">
        <x:v>ad210cd9ec132cfd447541c8984dc53d30aff0f4fb2dc92d254d49275cc55976</x:v>
      </x:c>
      <x:c r="Z2218" s="2" t="n">
        <x:f>SUBTOTAL(103,A2218)</x:f>
        <x:v>1</x:v>
      </x:c>
      <x:c r="AA2218" s="2" t="str">
        <x:f>IF(K2218&lt;&gt;"미종결 표시","대상 아님",IF(N2218="","신청일 확인",IF(NOT(ISNUMBER('종합 현황'!$H$5)),"관찰기준 확인",IF('종합 현황'!$H$5&lt;1,"관찰기준 확인",IF(N2218&gt;'종합 현황'!$H$5,"내부 관찰 대상","내부 관찰일 이하")))))</x:f>
        <x:v>대상 아님</x:v>
      </x:c>
      <x:c r="AB2218" s="2"/>
    </x:row>
    <x:row r="2219" ht="42" customHeight="1">
      <x:c r="A2219" s="2" t="str">
        <x:v>bd32425d713c2bfd6041f079</x:v>
      </x:c>
      <x:c r="B2219" s="2" t="str">
        <x:v>감축량 인증</x:v>
      </x:c>
      <x:c r="C2219" s="2" t="str">
        <x:v>국내</x:v>
      </x:c>
      <x:c r="D2219" s="7" t="str">
        <x:v>(주)선일로에스의 B-A유에서 LNG로 연료전환을 통한 온실가스 배출 감축사업</x:v>
      </x:c>
      <x:c r="E2219" s="2" t="str">
        <x:v>459</x:v>
      </x:c>
      <x:c r="F2219" s="2"/>
      <x:c r="G2219" s="2" t="str">
        <x:v>미확보</x:v>
      </x:c>
      <x:c r="H2219" s="2" t="str">
        <x:v>미확보</x:v>
      </x:c>
      <x:c r="I2219" s="2" t="str">
        <x:v>심의승인</x:v>
      </x:c>
      <x:c r="J2219" s="2" t="str">
        <x:v>심의승인</x:v>
      </x:c>
      <x:c r="K2219" s="2" t="str">
        <x:f>IF(OR(J2219="심의승인",J2219="반려",J2219="반려완료",J2219="심의완료"),"종결 표시",IF(OR(J2219="기후부협의",J2219="문서재제출요청",J2219="보류",J2219="보완요청",J2219="보완완료",J2219="평가중",J2219="반려요청",J2219="평가필요",LEFT(J2219,5)="보완요청("),"미종결 표시","상태 확인 필요"))</x:f>
        <x:v>종결 표시</x:v>
      </x:c>
      <x:c r="L2219" s="2"/>
      <x:c r="M2219" s="2"/>
      <x:c r="N2219" s="8"/>
      <x:c r="O2219" s="2"/>
      <x:c r="P2219" s="2"/>
      <x:c r="Q2219" s="2" t="str">
        <x:v>산업전환_외부사업관리Tool_260707_이너젠 수정_LJY_261013.xlsx</x:v>
      </x:c>
      <x:c r="R2219" s="2" t="str">
        <x:v>국내인증</x:v>
      </x:c>
      <x:c r="S2219" s="8" t="n">
        <x:v>537</x:v>
      </x:c>
      <x:c r="T2219" s="2" t="str">
        <x:v>(1/18)</x:v>
      </x:c>
      <x:c r="U2219" s="2" t="str">
        <x:v>2022 배정: (1/18)</x:v>
      </x:c>
      <x:c r="V2219" s="2" t="str">
        <x:v>2022-07-14</x:v>
      </x:c>
      <x:c r="W2219" s="2" t="str">
        <x:v>신청일 확인 / 담당기관 확인</x:v>
      </x:c>
      <x:c r="X2219" s="2" t="str">
        <x:v>원본·배정 기록 확인</x:v>
      </x:c>
      <x:c r="Y2219" s="2" t="str">
        <x:v>ad210cd9ec132cfd447541c8984dc53d30aff0f4fb2dc92d254d49275cc55976</x:v>
      </x:c>
      <x:c r="Z2219" s="2" t="n">
        <x:f>SUBTOTAL(103,A2219)</x:f>
        <x:v>1</x:v>
      </x:c>
      <x:c r="AA2219" s="2" t="str">
        <x:f>IF(K2219&lt;&gt;"미종결 표시","대상 아님",IF(N2219="","신청일 확인",IF(NOT(ISNUMBER('종합 현황'!$H$5)),"관찰기준 확인",IF('종합 현황'!$H$5&lt;1,"관찰기준 확인",IF(N2219&gt;'종합 현황'!$H$5,"내부 관찰 대상","내부 관찰일 이하")))))</x:f>
        <x:v>대상 아님</x:v>
      </x:c>
      <x:c r="AB2219" s="2"/>
    </x:row>
    <x:row r="2220" ht="42" customHeight="1">
      <x:c r="A2220" s="2" t="str">
        <x:v>536e4291ee147ed45c94efef</x:v>
      </x:c>
      <x:c r="B2220" s="2" t="str">
        <x:v>감축량 인증</x:v>
      </x:c>
      <x:c r="C2220" s="2" t="str">
        <x:v>국내</x:v>
      </x:c>
      <x:c r="D2220" s="7" t="str">
        <x:v>카프로 N2O 저감 사업</x:v>
      </x:c>
      <x:c r="E2220" s="2" t="str">
        <x:v>460</x:v>
      </x:c>
      <x:c r="F2220" s="2"/>
      <x:c r="G2220" s="2" t="str">
        <x:v>미확보</x:v>
      </x:c>
      <x:c r="H2220" s="2" t="str">
        <x:v>미확보</x:v>
      </x:c>
      <x:c r="I2220" s="2" t="str">
        <x:v>심의승인</x:v>
      </x:c>
      <x:c r="J2220" s="2" t="str">
        <x:v>심의승인</x:v>
      </x:c>
      <x:c r="K2220" s="2" t="str">
        <x:f>IF(OR(J2220="심의승인",J2220="반려",J2220="반려완료",J2220="심의완료"),"종결 표시",IF(OR(J2220="기후부협의",J2220="문서재제출요청",J2220="보류",J2220="보완요청",J2220="보완완료",J2220="평가중",J2220="반려요청",J2220="평가필요",LEFT(J2220,5)="보완요청("),"미종결 표시","상태 확인 필요"))</x:f>
        <x:v>종결 표시</x:v>
      </x:c>
      <x:c r="L2220" s="2"/>
      <x:c r="M2220" s="2"/>
      <x:c r="N2220" s="8"/>
      <x:c r="O2220" s="2"/>
      <x:c r="P2220" s="2"/>
      <x:c r="Q2220" s="2" t="str">
        <x:v>산업전환_외부사업관리Tool_260707_이너젠 수정_LJY_261013.xlsx</x:v>
      </x:c>
      <x:c r="R2220" s="2" t="str">
        <x:v>국내인증</x:v>
      </x:c>
      <x:c r="S2220" s="8" t="n">
        <x:v>538</x:v>
      </x:c>
      <x:c r="T2220" s="2" t="str">
        <x:v>(1/18)</x:v>
      </x:c>
      <x:c r="U2220" s="2" t="str">
        <x:v>2022 배정: (1/18)</x:v>
      </x:c>
      <x:c r="V2220" s="2" t="str">
        <x:v>2022-07-14</x:v>
      </x:c>
      <x:c r="W2220" s="2" t="str">
        <x:v>신청일 확인 / 담당기관 확인</x:v>
      </x:c>
      <x:c r="X2220" s="2" t="str">
        <x:v>원본·배정 기록 확인</x:v>
      </x:c>
      <x:c r="Y2220" s="2" t="str">
        <x:v>ad210cd9ec132cfd447541c8984dc53d30aff0f4fb2dc92d254d49275cc55976</x:v>
      </x:c>
      <x:c r="Z2220" s="2" t="n">
        <x:f>SUBTOTAL(103,A2220)</x:f>
        <x:v>1</x:v>
      </x:c>
      <x:c r="AA2220" s="2" t="str">
        <x:f>IF(K2220&lt;&gt;"미종결 표시","대상 아님",IF(N2220="","신청일 확인",IF(NOT(ISNUMBER('종합 현황'!$H$5)),"관찰기준 확인",IF('종합 현황'!$H$5&lt;1,"관찰기준 확인",IF(N2220&gt;'종합 현황'!$H$5,"내부 관찰 대상","내부 관찰일 이하")))))</x:f>
        <x:v>대상 아님</x:v>
      </x:c>
      <x:c r="AB2220" s="2"/>
    </x:row>
    <x:row r="2221" ht="42" customHeight="1">
      <x:c r="A2221" s="2" t="str">
        <x:v>2835f16c2ce57a540dcd914d</x:v>
      </x:c>
      <x:c r="B2221" s="2" t="str">
        <x:v>감축량 인증</x:v>
      </x:c>
      <x:c r="C2221" s="2" t="str">
        <x:v>국내</x:v>
      </x:c>
      <x:c r="D2221" s="7" t="str">
        <x:v>카프로 N2O 저감 사업</x:v>
      </x:c>
      <x:c r="E2221" s="2" t="str">
        <x:v>461</x:v>
      </x:c>
      <x:c r="F2221" s="2"/>
      <x:c r="G2221" s="2" t="str">
        <x:v>미확보</x:v>
      </x:c>
      <x:c r="H2221" s="2" t="str">
        <x:v>미확보</x:v>
      </x:c>
      <x:c r="I2221" s="2" t="str">
        <x:v>심의승인</x:v>
      </x:c>
      <x:c r="J2221" s="2" t="str">
        <x:v>심의승인</x:v>
      </x:c>
      <x:c r="K2221" s="2" t="str">
        <x:f>IF(OR(J2221="심의승인",J2221="반려",J2221="반려완료",J2221="심의완료"),"종결 표시",IF(OR(J2221="기후부협의",J2221="문서재제출요청",J2221="보류",J2221="보완요청",J2221="보완완료",J2221="평가중",J2221="반려요청",J2221="평가필요",LEFT(J2221,5)="보완요청("),"미종결 표시","상태 확인 필요"))</x:f>
        <x:v>종결 표시</x:v>
      </x:c>
      <x:c r="L2221" s="2"/>
      <x:c r="M2221" s="2"/>
      <x:c r="N2221" s="8"/>
      <x:c r="O2221" s="2"/>
      <x:c r="P2221" s="2"/>
      <x:c r="Q2221" s="2" t="str">
        <x:v>산업전환_외부사업관리Tool_260707_이너젠 수정_LJY_261013.xlsx</x:v>
      </x:c>
      <x:c r="R2221" s="2" t="str">
        <x:v>국내인증</x:v>
      </x:c>
      <x:c r="S2221" s="8" t="n">
        <x:v>539</x:v>
      </x:c>
      <x:c r="T2221" s="2" t="str">
        <x:v>(1/18),(3/16)</x:v>
      </x:c>
      <x:c r="U2221" s="2" t="str">
        <x:v>2022 배정: (1/18),(3/16)</x:v>
      </x:c>
      <x:c r="V2221" s="2" t="str">
        <x:v>2022-07-14</x:v>
      </x:c>
      <x:c r="W2221" s="2" t="str">
        <x:v>신청일 확인 / 담당기관 확인</x:v>
      </x:c>
      <x:c r="X2221" s="2" t="str">
        <x:v>원본·배정 기록 확인</x:v>
      </x:c>
      <x:c r="Y2221" s="2" t="str">
        <x:v>ad210cd9ec132cfd447541c8984dc53d30aff0f4fb2dc92d254d49275cc55976</x:v>
      </x:c>
      <x:c r="Z2221" s="2" t="n">
        <x:f>SUBTOTAL(103,A2221)</x:f>
        <x:v>1</x:v>
      </x:c>
      <x:c r="AA2221" s="2" t="str">
        <x:f>IF(K2221&lt;&gt;"미종결 표시","대상 아님",IF(N2221="","신청일 확인",IF(NOT(ISNUMBER('종합 현황'!$H$5)),"관찰기준 확인",IF('종합 현황'!$H$5&lt;1,"관찰기준 확인",IF(N2221&gt;'종합 현황'!$H$5,"내부 관찰 대상","내부 관찰일 이하")))))</x:f>
        <x:v>대상 아님</x:v>
      </x:c>
      <x:c r="AB2221" s="2"/>
    </x:row>
    <x:row r="2222" ht="42" customHeight="1">
      <x:c r="A2222" s="2" t="str">
        <x:v>d0562393a3fdd81253f1395d</x:v>
      </x:c>
      <x:c r="B2222" s="2" t="str">
        <x:v>감축량 인증</x:v>
      </x:c>
      <x:c r="C2222" s="2" t="str">
        <x:v>국내</x:v>
      </x:c>
      <x:c r="D2222" s="7" t="str">
        <x:v>(주)웅진산업 보일러 연료 전환(B-B유 → 목재펠릿)을 통한 온실가스 감축사업</x:v>
      </x:c>
      <x:c r="E2222" s="2" t="str">
        <x:v>462</x:v>
      </x:c>
      <x:c r="F2222" s="2"/>
      <x:c r="G2222" s="2" t="str">
        <x:v>미확보</x:v>
      </x:c>
      <x:c r="H2222" s="2" t="str">
        <x:v>미확보</x:v>
      </x:c>
      <x:c r="I2222" s="2" t="str">
        <x:v>심의승인</x:v>
      </x:c>
      <x:c r="J2222" s="2" t="str">
        <x:v>심의승인</x:v>
      </x:c>
      <x:c r="K2222" s="2" t="str">
        <x:f>IF(OR(J2222="심의승인",J2222="반려",J2222="반려완료",J2222="심의완료"),"종결 표시",IF(OR(J2222="기후부협의",J2222="문서재제출요청",J2222="보류",J2222="보완요청",J2222="보완완료",J2222="평가중",J2222="반려요청",J2222="평가필요",LEFT(J2222,5)="보완요청("),"미종결 표시","상태 확인 필요"))</x:f>
        <x:v>종결 표시</x:v>
      </x:c>
      <x:c r="L2222" s="2"/>
      <x:c r="M2222" s="2"/>
      <x:c r="N2222" s="8"/>
      <x:c r="O2222" s="2"/>
      <x:c r="P2222" s="2"/>
      <x:c r="Q2222" s="2" t="str">
        <x:v>산업전환_외부사업관리Tool_260707_이너젠 수정_LJY_261013.xlsx</x:v>
      </x:c>
      <x:c r="R2222" s="2" t="str">
        <x:v>국내인증</x:v>
      </x:c>
      <x:c r="S2222" s="8" t="n">
        <x:v>540</x:v>
      </x:c>
      <x:c r="T2222" s="2" t="str">
        <x:v>(2/9),(4/19)(5/18)</x:v>
      </x:c>
      <x:c r="U2222" s="2" t="str">
        <x:v>2022 배정: (2/9),(4/19)(5/18)</x:v>
      </x:c>
      <x:c r="V2222" s="2" t="str">
        <x:v>2022-10-17</x:v>
      </x:c>
      <x:c r="W2222" s="2" t="str">
        <x:v>신청일 확인 / 담당기관 확인</x:v>
      </x:c>
      <x:c r="X2222" s="2" t="str">
        <x:v>원본·배정 기록 확인</x:v>
      </x:c>
      <x:c r="Y2222" s="2" t="str">
        <x:v>ad210cd9ec132cfd447541c8984dc53d30aff0f4fb2dc92d254d49275cc55976</x:v>
      </x:c>
      <x:c r="Z2222" s="2" t="n">
        <x:f>SUBTOTAL(103,A2222)</x:f>
        <x:v>1</x:v>
      </x:c>
      <x:c r="AA2222" s="2" t="str">
        <x:f>IF(K2222&lt;&gt;"미종결 표시","대상 아님",IF(N2222="","신청일 확인",IF(NOT(ISNUMBER('종합 현황'!$H$5)),"관찰기준 확인",IF('종합 현황'!$H$5&lt;1,"관찰기준 확인",IF(N2222&gt;'종합 현황'!$H$5,"내부 관찰 대상","내부 관찰일 이하")))))</x:f>
        <x:v>대상 아님</x:v>
      </x:c>
      <x:c r="AB2222" s="2"/>
    </x:row>
    <x:row r="2223" ht="42" customHeight="1">
      <x:c r="A2223" s="2" t="str">
        <x:v>fcfc666211dd8a2b991ccba1</x:v>
      </x:c>
      <x:c r="B2223" s="2" t="str">
        <x:v>감축량 인증</x:v>
      </x:c>
      <x:c r="C2223" s="2" t="str">
        <x:v>국내</x:v>
      </x:c>
      <x:c r="D2223" s="7" t="str">
        <x:v>웅진식품(주) 연료전환(B-B유, 감압정제유 → LNG)을 통한 온실가스 배출 감축사업</x:v>
      </x:c>
      <x:c r="E2223" s="2" t="str">
        <x:v>463</x:v>
      </x:c>
      <x:c r="F2223" s="2"/>
      <x:c r="G2223" s="2" t="str">
        <x:v>미확보</x:v>
      </x:c>
      <x:c r="H2223" s="2" t="str">
        <x:v>미확보</x:v>
      </x:c>
      <x:c r="I2223" s="2" t="str">
        <x:v>심의승인</x:v>
      </x:c>
      <x:c r="J2223" s="2" t="str">
        <x:v>심의승인</x:v>
      </x:c>
      <x:c r="K2223" s="2" t="str">
        <x:f>IF(OR(J2223="심의승인",J2223="반려",J2223="반려완료",J2223="심의완료"),"종결 표시",IF(OR(J2223="기후부협의",J2223="문서재제출요청",J2223="보류",J2223="보완요청",J2223="보완완료",J2223="평가중",J2223="반려요청",J2223="평가필요",LEFT(J2223,5)="보완요청("),"미종결 표시","상태 확인 필요"))</x:f>
        <x:v>종결 표시</x:v>
      </x:c>
      <x:c r="L2223" s="2"/>
      <x:c r="M2223" s="2"/>
      <x:c r="N2223" s="8"/>
      <x:c r="O2223" s="2"/>
      <x:c r="P2223" s="2"/>
      <x:c r="Q2223" s="2" t="str">
        <x:v>산업전환_외부사업관리Tool_260707_이너젠 수정_LJY_261013.xlsx</x:v>
      </x:c>
      <x:c r="R2223" s="2" t="str">
        <x:v>국내인증</x:v>
      </x:c>
      <x:c r="S2223" s="8" t="n">
        <x:v>541</x:v>
      </x:c>
      <x:c r="T2223" s="2" t="str">
        <x:v>(3/16)(5/18),(8/16)</x:v>
      </x:c>
      <x:c r="U2223" s="2" t="str">
        <x:v>2022 배정: (3/16)(5/18),(8/16)</x:v>
      </x:c>
      <x:c r="V2223" s="2" t="str">
        <x:v>2022-12-28</x:v>
      </x:c>
      <x:c r="W2223" s="2" t="str">
        <x:v>신청일 확인 / 담당기관 확인</x:v>
      </x:c>
      <x:c r="X2223" s="2" t="str">
        <x:v>원본·배정 기록 확인</x:v>
      </x:c>
      <x:c r="Y2223" s="2" t="str">
        <x:v>ad210cd9ec132cfd447541c8984dc53d30aff0f4fb2dc92d254d49275cc55976</x:v>
      </x:c>
      <x:c r="Z2223" s="2" t="n">
        <x:f>SUBTOTAL(103,A2223)</x:f>
        <x:v>1</x:v>
      </x:c>
      <x:c r="AA2223" s="2" t="str">
        <x:f>IF(K2223&lt;&gt;"미종결 표시","대상 아님",IF(N2223="","신청일 확인",IF(NOT(ISNUMBER('종합 현황'!$H$5)),"관찰기준 확인",IF('종합 현황'!$H$5&lt;1,"관찰기준 확인",IF(N2223&gt;'종합 현황'!$H$5,"내부 관찰 대상","내부 관찰일 이하")))))</x:f>
        <x:v>대상 아님</x:v>
      </x:c>
      <x:c r="AB2223" s="2"/>
    </x:row>
    <x:row r="2224" ht="42" customHeight="1">
      <x:c r="A2224" s="2" t="str">
        <x:v>3c3f1b6b2193fe4bc54120d2</x:v>
      </x:c>
      <x:c r="B2224" s="2" t="str">
        <x:v>감축량 인증</x:v>
      </x:c>
      <x:c r="C2224" s="2" t="str">
        <x:v>국내</x:v>
      </x:c>
      <x:c r="D2224" s="7" t="str">
        <x:v>이연제약 진천공장의 B-C유에서 LNG로의 연료전환을 통한 온실가스 배출 감축사업</x:v>
      </x:c>
      <x:c r="E2224" s="2" t="str">
        <x:v>464</x:v>
      </x:c>
      <x:c r="F2224" s="2"/>
      <x:c r="G2224" s="2" t="str">
        <x:v>미확보</x:v>
      </x:c>
      <x:c r="H2224" s="2" t="str">
        <x:v>미확보</x:v>
      </x:c>
      <x:c r="I2224" s="2" t="str">
        <x:v>심의승인</x:v>
      </x:c>
      <x:c r="J2224" s="2" t="str">
        <x:v>심의승인</x:v>
      </x:c>
      <x:c r="K2224" s="2" t="str">
        <x:f>IF(OR(J2224="심의승인",J2224="반려",J2224="반려완료",J2224="심의완료"),"종결 표시",IF(OR(J2224="기후부협의",J2224="문서재제출요청",J2224="보류",J2224="보완요청",J2224="보완완료",J2224="평가중",J2224="반려요청",J2224="평가필요",LEFT(J2224,5)="보완요청("),"미종결 표시","상태 확인 필요"))</x:f>
        <x:v>종결 표시</x:v>
      </x:c>
      <x:c r="L2224" s="2"/>
      <x:c r="M2224" s="2"/>
      <x:c r="N2224" s="8"/>
      <x:c r="O2224" s="2"/>
      <x:c r="P2224" s="2"/>
      <x:c r="Q2224" s="2" t="str">
        <x:v>산업전환_외부사업관리Tool_260707_이너젠 수정_LJY_261013.xlsx</x:v>
      </x:c>
      <x:c r="R2224" s="2" t="str">
        <x:v>국내인증</x:v>
      </x:c>
      <x:c r="S2224" s="8" t="n">
        <x:v>542</x:v>
      </x:c>
      <x:c r="T2224" s="2" t="str">
        <x:v>(3/16),(4/19)</x:v>
      </x:c>
      <x:c r="U2224" s="2" t="str">
        <x:v>2022 배정: (3/16),(4/19)</x:v>
      </x:c>
      <x:c r="V2224" s="2" t="str">
        <x:v>2022-10-17</x:v>
      </x:c>
      <x:c r="W2224" s="2" t="str">
        <x:v>신청일 확인 / 담당기관 확인</x:v>
      </x:c>
      <x:c r="X2224" s="2" t="str">
        <x:v>원본·배정 기록 확인</x:v>
      </x:c>
      <x:c r="Y2224" s="2" t="str">
        <x:v>ad210cd9ec132cfd447541c8984dc53d30aff0f4fb2dc92d254d49275cc55976</x:v>
      </x:c>
      <x:c r="Z2224" s="2" t="n">
        <x:f>SUBTOTAL(103,A2224)</x:f>
        <x:v>1</x:v>
      </x:c>
      <x:c r="AA2224" s="2" t="str">
        <x:f>IF(K2224&lt;&gt;"미종결 표시","대상 아님",IF(N2224="","신청일 확인",IF(NOT(ISNUMBER('종합 현황'!$H$5)),"관찰기준 확인",IF('종합 현황'!$H$5&lt;1,"관찰기준 확인",IF(N2224&gt;'종합 현황'!$H$5,"내부 관찰 대상","내부 관찰일 이하")))))</x:f>
        <x:v>대상 아님</x:v>
      </x:c>
      <x:c r="AB2224" s="2"/>
    </x:row>
    <x:row r="2225" ht="42" customHeight="1">
      <x:c r="A2225" s="2" t="str">
        <x:v>51bc3e1505c23fc6706b1ac9</x:v>
      </x:c>
      <x:c r="B2225" s="2" t="str">
        <x:v>감축량 인증</x:v>
      </x:c>
      <x:c r="C2225" s="2" t="str">
        <x:v>국내</x:v>
      </x:c>
      <x:c r="D2225" s="7" t="str">
        <x:v>의정부 장암1단지아파트 연료전환을 통한 온실가스 단위감축사업</x:v>
      </x:c>
      <x:c r="E2225" s="2" t="str">
        <x:v>465</x:v>
      </x:c>
      <x:c r="F2225" s="2" t="str">
        <x:v>2022-04-20</x:v>
      </x:c>
      <x:c r="G2225" s="2" t="str">
        <x:v>2022</x:v>
      </x:c>
      <x:c r="H2225" s="2" t="str">
        <x:v>04</x:v>
      </x:c>
      <x:c r="I2225" s="2" t="str">
        <x:v>심의승인</x:v>
      </x:c>
      <x:c r="J2225" s="2" t="str">
        <x:v>심의승인</x:v>
      </x:c>
      <x:c r="K2225" s="2" t="str">
        <x:f>IF(OR(J2225="심의승인",J2225="반려",J2225="반려완료",J2225="심의완료"),"종결 표시",IF(OR(J2225="기후부협의",J2225="문서재제출요청",J2225="보류",J2225="보완요청",J2225="보완완료",J2225="평가중",J2225="반려요청",J2225="평가필요",LEFT(J2225,5)="보완요청("),"미종결 표시","상태 확인 필요"))</x:f>
        <x:v>종결 표시</x:v>
      </x:c>
      <x:c r="L2225" s="2" t="str">
        <x:v>KECM_이태준</x:v>
      </x:c>
      <x:c r="M2225" s="2"/>
      <x:c r="N2225" s="8" t="n">
        <x:f>DATE(2026,10,15)-DATE(2022,4,20)</x:f>
        <x:v>1639</x:v>
      </x:c>
      <x:c r="O2225" s="2"/>
      <x:c r="P2225" s="2"/>
      <x:c r="Q2225" s="2" t="str">
        <x:v>산업전환_외부사업관리Tool_260707_이너젠 수정_LJY_261013.xlsx</x:v>
      </x:c>
      <x:c r="R2225" s="2" t="str">
        <x:v>국내인증</x:v>
      </x:c>
      <x:c r="S2225" s="8" t="n">
        <x:v>543</x:v>
      </x:c>
      <x:c r="T2225" s="2" t="str">
        <x:v>(5/18),(10/19)</x:v>
      </x:c>
      <x:c r="U2225" s="2" t="str">
        <x:v>2022 배정: (5/18),(10/19) / 2023 배정: (6/7),(8/7) / 2024 배정: (2/5)</x:v>
      </x:c>
      <x:c r="V2225" s="2" t="str">
        <x:v>2024-06-27</x:v>
      </x:c>
      <x:c r="W2225" s="2" t="str"/>
      <x:c r="X2225" s="2" t="str">
        <x:v>종결 근거 보관</x:v>
      </x:c>
      <x:c r="Y2225" s="2" t="str">
        <x:v>ad210cd9ec132cfd447541c8984dc53d30aff0f4fb2dc92d254d49275cc55976</x:v>
      </x:c>
      <x:c r="Z2225" s="2" t="n">
        <x:f>SUBTOTAL(103,A2225)</x:f>
        <x:v>1</x:v>
      </x:c>
      <x:c r="AA2225" s="2" t="str">
        <x:f>IF(K2225&lt;&gt;"미종결 표시","대상 아님",IF(N2225="","신청일 확인",IF(NOT(ISNUMBER('종합 현황'!$H$5)),"관찰기준 확인",IF('종합 현황'!$H$5&lt;1,"관찰기준 확인",IF(N2225&gt;'종합 현황'!$H$5,"내부 관찰 대상","내부 관찰일 이하")))))</x:f>
        <x:v>대상 아님</x:v>
      </x:c>
      <x:c r="AB2225" s="2"/>
    </x:row>
    <x:row r="2226" ht="42" customHeight="1">
      <x:c r="A2226" s="2" t="str">
        <x:v>a4d0782c7f3d3e6a1859bcea</x:v>
      </x:c>
      <x:c r="B2226" s="2" t="str">
        <x:v>감축량 인증</x:v>
      </x:c>
      <x:c r="C2226" s="2" t="str">
        <x:v>국내</x:v>
      </x:c>
      <x:c r="D2226" s="7" t="str">
        <x:v>스팀에너지생산공정에서 화석연료 전환을 통한 온실가스 감축사업</x:v>
      </x:c>
      <x:c r="E2226" s="2" t="str">
        <x:v>466</x:v>
      </x:c>
      <x:c r="F2226" s="2" t="str">
        <x:v>2022-05-09</x:v>
      </x:c>
      <x:c r="G2226" s="2" t="str">
        <x:v>2022</x:v>
      </x:c>
      <x:c r="H2226" s="2" t="str">
        <x:v>05</x:v>
      </x:c>
      <x:c r="I2226" s="2" t="str">
        <x:v>심의승인</x:v>
      </x:c>
      <x:c r="J2226" s="2" t="str">
        <x:v>심의승인</x:v>
      </x:c>
      <x:c r="K2226" s="2" t="str">
        <x:f>IF(OR(J2226="심의승인",J2226="반려",J2226="반려완료",J2226="심의완료"),"종결 표시",IF(OR(J2226="기후부협의",J2226="문서재제출요청",J2226="보류",J2226="보완요청",J2226="보완완료",J2226="평가중",J2226="반려요청",J2226="평가필요",LEFT(J2226,5)="보완요청("),"미종결 표시","상태 확인 필요"))</x:f>
        <x:v>종결 표시</x:v>
      </x:c>
      <x:c r="L2226" s="2"/>
      <x:c r="M2226" s="2"/>
      <x:c r="N2226" s="8" t="n">
        <x:f>DATE(2026,10,15)-DATE(2022,5,9)</x:f>
        <x:v>1620</x:v>
      </x:c>
      <x:c r="O2226" s="2"/>
      <x:c r="P2226" s="2"/>
      <x:c r="Q2226" s="2" t="str">
        <x:v>산업전환_외부사업관리Tool_260707_이너젠 수정_LJY_261013.xlsx</x:v>
      </x:c>
      <x:c r="R2226" s="2" t="str">
        <x:v>국내인증</x:v>
      </x:c>
      <x:c r="S2226" s="8" t="n">
        <x:v>544</x:v>
      </x:c>
      <x:c r="T2226" s="2" t="str">
        <x:v>(5/18),(7/13),(9/19),(10/19)</x:v>
      </x:c>
      <x:c r="U2226" s="2" t="str">
        <x:v>2022 배정: (5/18),(7/13),(9/19),(10/19) / 2023 배정: 2023년 처리</x:v>
      </x:c>
      <x:c r="V2226" s="2" t="str">
        <x:v>2023-06-22</x:v>
      </x:c>
      <x:c r="W2226" s="2" t="str">
        <x:v>담당기관 확인</x:v>
      </x:c>
      <x:c r="X2226" s="2" t="str">
        <x:v>원본·배정 기록 확인</x:v>
      </x:c>
      <x:c r="Y2226" s="2" t="str">
        <x:v>ad210cd9ec132cfd447541c8984dc53d30aff0f4fb2dc92d254d49275cc55976</x:v>
      </x:c>
      <x:c r="Z2226" s="2" t="n">
        <x:f>SUBTOTAL(103,A2226)</x:f>
        <x:v>1</x:v>
      </x:c>
      <x:c r="AA2226" s="2" t="str">
        <x:f>IF(K2226&lt;&gt;"미종결 표시","대상 아님",IF(N2226="","신청일 확인",IF(NOT(ISNUMBER('종합 현황'!$H$5)),"관찰기준 확인",IF('종합 현황'!$H$5&lt;1,"관찰기준 확인",IF(N2226&gt;'종합 현황'!$H$5,"내부 관찰 대상","내부 관찰일 이하")))))</x:f>
        <x:v>대상 아님</x:v>
      </x:c>
      <x:c r="AB2226" s="2"/>
    </x:row>
    <x:row r="2227" ht="42" customHeight="1">
      <x:c r="A2227" s="2" t="str">
        <x:v>0900a15517ce916e9fb71442</x:v>
      </x:c>
      <x:c r="B2227" s="2" t="str">
        <x:v>감축량 인증</x:v>
      </x:c>
      <x:c r="C2227" s="2" t="str">
        <x:v>국내</x:v>
      </x:c>
      <x:c r="D2227" s="7" t="str">
        <x:v>암사재활원 서울형 에너지복지 태양광발전사업</x:v>
      </x:c>
      <x:c r="E2227" s="2" t="str">
        <x:v>467</x:v>
      </x:c>
      <x:c r="F2227" s="2" t="str">
        <x:v>2022-05-16</x:v>
      </x:c>
      <x:c r="G2227" s="2" t="str">
        <x:v>2022</x:v>
      </x:c>
      <x:c r="H2227" s="2" t="str">
        <x:v>05</x:v>
      </x:c>
      <x:c r="I2227" s="2" t="str">
        <x:v>심의승인</x:v>
      </x:c>
      <x:c r="J2227" s="2" t="str">
        <x:v>심의승인</x:v>
      </x:c>
      <x:c r="K2227" s="2" t="str">
        <x:f>IF(OR(J2227="심의승인",J2227="반려",J2227="반려완료",J2227="심의완료"),"종결 표시",IF(OR(J2227="기후부협의",J2227="문서재제출요청",J2227="보류",J2227="보완요청",J2227="보완완료",J2227="평가중",J2227="반려요청",J2227="평가필요",LEFT(J2227,5)="보완요청("),"미종결 표시","상태 확인 필요"))</x:f>
        <x:v>종결 표시</x:v>
      </x:c>
      <x:c r="L2227" s="2"/>
      <x:c r="M2227" s="2"/>
      <x:c r="N2227" s="8" t="n">
        <x:f>DATE(2026,10,15)-DATE(2022,5,16)</x:f>
        <x:v>1613</x:v>
      </x:c>
      <x:c r="O2227" s="2"/>
      <x:c r="P2227" s="2"/>
      <x:c r="Q2227" s="2" t="str">
        <x:v>산업전환_외부사업관리Tool_260707_이너젠 수정_LJY_261013.xlsx</x:v>
      </x:c>
      <x:c r="R2227" s="2" t="str">
        <x:v>국내인증</x:v>
      </x:c>
      <x:c r="S2227" s="8" t="n">
        <x:v>545</x:v>
      </x:c>
      <x:c r="T2227" s="2" t="str">
        <x:v>(6/10),(7/13),(9/19),(10/19),(12/27)</x:v>
      </x:c>
      <x:c r="U2227" s="2" t="str">
        <x:v>2022 배정: (6/10),(7/13),(9/19),(10/19),(12/27) / 2023 배정: 2023년 처리</x:v>
      </x:c>
      <x:c r="V2227" s="2" t="str">
        <x:v>2023-06-22</x:v>
      </x:c>
      <x:c r="W2227" s="2" t="str">
        <x:v>담당기관 확인</x:v>
      </x:c>
      <x:c r="X2227" s="2" t="str">
        <x:v>원본·배정 기록 확인</x:v>
      </x:c>
      <x:c r="Y2227" s="2" t="str">
        <x:v>ad210cd9ec132cfd447541c8984dc53d30aff0f4fb2dc92d254d49275cc55976</x:v>
      </x:c>
      <x:c r="Z2227" s="2" t="n">
        <x:f>SUBTOTAL(103,A2227)</x:f>
        <x:v>1</x:v>
      </x:c>
      <x:c r="AA2227" s="2" t="str">
        <x:f>IF(K2227&lt;&gt;"미종결 표시","대상 아님",IF(N2227="","신청일 확인",IF(NOT(ISNUMBER('종합 현황'!$H$5)),"관찰기준 확인",IF('종합 현황'!$H$5&lt;1,"관찰기준 확인",IF(N2227&gt;'종합 현황'!$H$5,"내부 관찰 대상","내부 관찰일 이하")))))</x:f>
        <x:v>대상 아님</x:v>
      </x:c>
      <x:c r="AB2227" s="2"/>
    </x:row>
    <x:row r="2228" ht="42" customHeight="1">
      <x:c r="A2228" s="2" t="str">
        <x:v>54d6de74766639eda01160df</x:v>
      </x:c>
      <x:c r="B2228" s="2" t="str">
        <x:v>감축량 인증</x:v>
      </x:c>
      <x:c r="C2228" s="2" t="str">
        <x:v>국내</x:v>
      </x:c>
      <x:c r="D2228" s="7" t="str">
        <x:v>청운보육원 태양광발전 자가사용 감축사업</x:v>
      </x:c>
      <x:c r="E2228" s="2" t="str">
        <x:v>468</x:v>
      </x:c>
      <x:c r="F2228" s="2" t="str">
        <x:v>2022-05-16</x:v>
      </x:c>
      <x:c r="G2228" s="2" t="str">
        <x:v>2022</x:v>
      </x:c>
      <x:c r="H2228" s="2" t="str">
        <x:v>05</x:v>
      </x:c>
      <x:c r="I2228" s="2" t="str">
        <x:v>심의승인</x:v>
      </x:c>
      <x:c r="J2228" s="2" t="str">
        <x:v>심의승인</x:v>
      </x:c>
      <x:c r="K2228" s="2" t="str">
        <x:f>IF(OR(J2228="심의승인",J2228="반려",J2228="반려완료",J2228="심의완료"),"종결 표시",IF(OR(J2228="기후부협의",J2228="문서재제출요청",J2228="보류",J2228="보완요청",J2228="보완완료",J2228="평가중",J2228="반려요청",J2228="평가필요",LEFT(J2228,5)="보완요청("),"미종결 표시","상태 확인 필요"))</x:f>
        <x:v>종결 표시</x:v>
      </x:c>
      <x:c r="L2228" s="2"/>
      <x:c r="M2228" s="2"/>
      <x:c r="N2228" s="8" t="n">
        <x:f>DATE(2026,10,15)-DATE(2022,5,16)</x:f>
        <x:v>1613</x:v>
      </x:c>
      <x:c r="O2228" s="2"/>
      <x:c r="P2228" s="2"/>
      <x:c r="Q2228" s="2" t="str">
        <x:v>산업전환_외부사업관리Tool_260707_이너젠 수정_LJY_261013.xlsx</x:v>
      </x:c>
      <x:c r="R2228" s="2" t="str">
        <x:v>국내인증</x:v>
      </x:c>
      <x:c r="S2228" s="8" t="n">
        <x:v>546</x:v>
      </x:c>
      <x:c r="T2228" s="2" t="str">
        <x:v>(6/10),(7/13),(9/19),(12/27)</x:v>
      </x:c>
      <x:c r="U2228" s="2" t="str">
        <x:v>2022 배정: (6/10),(7/13),(9/19),(12/27) / 2023 배정: 2023년 처리</x:v>
      </x:c>
      <x:c r="V2228" s="2" t="str">
        <x:v>2023-06-22</x:v>
      </x:c>
      <x:c r="W2228" s="2" t="str">
        <x:v>담당기관 확인</x:v>
      </x:c>
      <x:c r="X2228" s="2" t="str">
        <x:v>원본·배정 기록 확인</x:v>
      </x:c>
      <x:c r="Y2228" s="2" t="str">
        <x:v>ad210cd9ec132cfd447541c8984dc53d30aff0f4fb2dc92d254d49275cc55976</x:v>
      </x:c>
      <x:c r="Z2228" s="2" t="n">
        <x:f>SUBTOTAL(103,A2228)</x:f>
        <x:v>1</x:v>
      </x:c>
      <x:c r="AA2228" s="2" t="str">
        <x:f>IF(K2228&lt;&gt;"미종결 표시","대상 아님",IF(N2228="","신청일 확인",IF(NOT(ISNUMBER('종합 현황'!$H$5)),"관찰기준 확인",IF('종합 현황'!$H$5&lt;1,"관찰기준 확인",IF(N2228&gt;'종합 현황'!$H$5,"내부 관찰 대상","내부 관찰일 이하")))))</x:f>
        <x:v>대상 아님</x:v>
      </x:c>
      <x:c r="AB2228" s="2"/>
    </x:row>
    <x:row r="2229" ht="42" customHeight="1">
      <x:c r="A2229" s="2" t="str">
        <x:v>e850a917fd716b59a4b272a2</x:v>
      </x:c>
      <x:c r="B2229" s="2" t="str">
        <x:v>감축량 인증</x:v>
      </x:c>
      <x:c r="C2229" s="2" t="str">
        <x:v>국내</x:v>
      </x:c>
      <x:c r="D2229" s="7" t="str">
        <x:v>명진들꽃사랑마을 태양광발전 자가사용 감축사업</x:v>
      </x:c>
      <x:c r="E2229" s="2" t="str">
        <x:v>469</x:v>
      </x:c>
      <x:c r="F2229" s="2" t="str">
        <x:v>2022-05-16</x:v>
      </x:c>
      <x:c r="G2229" s="2" t="str">
        <x:v>2022</x:v>
      </x:c>
      <x:c r="H2229" s="2" t="str">
        <x:v>05</x:v>
      </x:c>
      <x:c r="I2229" s="2" t="str">
        <x:v>심의승인</x:v>
      </x:c>
      <x:c r="J2229" s="2" t="str">
        <x:v>심의승인</x:v>
      </x:c>
      <x:c r="K2229" s="2" t="str">
        <x:f>IF(OR(J2229="심의승인",J2229="반려",J2229="반려완료",J2229="심의완료"),"종결 표시",IF(OR(J2229="기후부협의",J2229="문서재제출요청",J2229="보류",J2229="보완요청",J2229="보완완료",J2229="평가중",J2229="반려요청",J2229="평가필요",LEFT(J2229,5)="보완요청("),"미종결 표시","상태 확인 필요"))</x:f>
        <x:v>종결 표시</x:v>
      </x:c>
      <x:c r="L2229" s="2"/>
      <x:c r="M2229" s="2"/>
      <x:c r="N2229" s="8" t="n">
        <x:f>DATE(2026,10,15)-DATE(2022,5,16)</x:f>
        <x:v>1613</x:v>
      </x:c>
      <x:c r="O2229" s="2"/>
      <x:c r="P2229" s="2"/>
      <x:c r="Q2229" s="2" t="str">
        <x:v>산업전환_외부사업관리Tool_260707_이너젠 수정_LJY_261013.xlsx</x:v>
      </x:c>
      <x:c r="R2229" s="2" t="str">
        <x:v>국내인증</x:v>
      </x:c>
      <x:c r="S2229" s="8" t="n">
        <x:v>547</x:v>
      </x:c>
      <x:c r="T2229" s="2" t="str">
        <x:v>(6/10),(7/13),(9/19),(12/27)</x:v>
      </x:c>
      <x:c r="U2229" s="2" t="str">
        <x:v>2022 배정: (6/10),(7/13),(9/19),(12/27) / 2023 배정: 2023년 처리</x:v>
      </x:c>
      <x:c r="V2229" s="2" t="str">
        <x:v>2023-06-22</x:v>
      </x:c>
      <x:c r="W2229" s="2" t="str">
        <x:v>담당기관 확인</x:v>
      </x:c>
      <x:c r="X2229" s="2" t="str">
        <x:v>원본·배정 기록 확인</x:v>
      </x:c>
      <x:c r="Y2229" s="2" t="str">
        <x:v>ad210cd9ec132cfd447541c8984dc53d30aff0f4fb2dc92d254d49275cc55976</x:v>
      </x:c>
      <x:c r="Z2229" s="2" t="n">
        <x:f>SUBTOTAL(103,A2229)</x:f>
        <x:v>1</x:v>
      </x:c>
      <x:c r="AA2229" s="2" t="str">
        <x:f>IF(K2229&lt;&gt;"미종결 표시","대상 아님",IF(N2229="","신청일 확인",IF(NOT(ISNUMBER('종합 현황'!$H$5)),"관찰기준 확인",IF('종합 현황'!$H$5&lt;1,"관찰기준 확인",IF(N2229&gt;'종합 현황'!$H$5,"내부 관찰 대상","내부 관찰일 이하")))))</x:f>
        <x:v>대상 아님</x:v>
      </x:c>
      <x:c r="AB2229" s="2"/>
    </x:row>
    <x:row r="2230" ht="42" customHeight="1">
      <x:c r="A2230" s="2" t="str">
        <x:v>7e94d74a25890f4190134b62</x:v>
      </x:c>
      <x:c r="B2230" s="2" t="str">
        <x:v>감축량 인증</x:v>
      </x:c>
      <x:c r="C2230" s="2" t="str">
        <x:v>국내</x:v>
      </x:c>
      <x:c r="D2230" s="7" t="str">
        <x:v>덕산지에스의 부생연료유 2호에서 도시가스(LNG)로의 연료전환을 통한 온실가스 배출 감축사업</x:v>
      </x:c>
      <x:c r="E2230" s="2" t="str">
        <x:v>470</x:v>
      </x:c>
      <x:c r="F2230" s="2"/>
      <x:c r="G2230" s="2" t="str">
        <x:v>미확보</x:v>
      </x:c>
      <x:c r="H2230" s="2" t="str">
        <x:v>미확보</x:v>
      </x:c>
      <x:c r="I2230" s="2" t="str">
        <x:v>심의승인</x:v>
      </x:c>
      <x:c r="J2230" s="2" t="str">
        <x:v>심의승인</x:v>
      </x:c>
      <x:c r="K2230" s="2" t="str">
        <x:f>IF(OR(J2230="심의승인",J2230="반려",J2230="반려완료",J2230="심의완료"),"종결 표시",IF(OR(J2230="기후부협의",J2230="문서재제출요청",J2230="보류",J2230="보완요청",J2230="보완완료",J2230="평가중",J2230="반려요청",J2230="평가필요",LEFT(J2230,5)="보완요청("),"미종결 표시","상태 확인 필요"))</x:f>
        <x:v>종결 표시</x:v>
      </x:c>
      <x:c r="L2230" s="2"/>
      <x:c r="M2230" s="2"/>
      <x:c r="N2230" s="8"/>
      <x:c r="O2230" s="2"/>
      <x:c r="P2230" s="2"/>
      <x:c r="Q2230" s="2" t="str">
        <x:v>산업전환_외부사업관리Tool_260707_이너젠 수정_LJY_261013.xlsx</x:v>
      </x:c>
      <x:c r="R2230" s="2" t="str">
        <x:v>국내인증</x:v>
      </x:c>
      <x:c r="S2230" s="8" t="n">
        <x:v>548</x:v>
      </x:c>
      <x:c r="T2230" s="2" t="str">
        <x:v>(6/10),(7/13)</x:v>
      </x:c>
      <x:c r="U2230" s="2" t="str">
        <x:v>2022 배정: (6/10),(7/13)</x:v>
      </x:c>
      <x:c r="V2230" s="2" t="str">
        <x:v>2022-12-28</x:v>
      </x:c>
      <x:c r="W2230" s="2" t="str">
        <x:v>신청일 확인 / 담당기관 확인</x:v>
      </x:c>
      <x:c r="X2230" s="2" t="str">
        <x:v>원본·배정 기록 확인</x:v>
      </x:c>
      <x:c r="Y2230" s="2" t="str">
        <x:v>ad210cd9ec132cfd447541c8984dc53d30aff0f4fb2dc92d254d49275cc55976</x:v>
      </x:c>
      <x:c r="Z2230" s="2" t="n">
        <x:f>SUBTOTAL(103,A2230)</x:f>
        <x:v>1</x:v>
      </x:c>
      <x:c r="AA2230" s="2" t="str">
        <x:f>IF(K2230&lt;&gt;"미종결 표시","대상 아님",IF(N2230="","신청일 확인",IF(NOT(ISNUMBER('종합 현황'!$H$5)),"관찰기준 확인",IF('종합 현황'!$H$5&lt;1,"관찰기준 확인",IF(N2230&gt;'종합 현황'!$H$5,"내부 관찰 대상","내부 관찰일 이하")))))</x:f>
        <x:v>대상 아님</x:v>
      </x:c>
      <x:c r="AB2230" s="2"/>
    </x:row>
    <x:row r="2231" ht="42" customHeight="1">
      <x:c r="A2231" s="2" t="str">
        <x:v>92d673f9e35a44ebddc1c35e</x:v>
      </x:c>
      <x:c r="B2231" s="2" t="str">
        <x:v>감축량 인증</x:v>
      </x:c>
      <x:c r="C2231" s="2" t="str">
        <x:v>국내</x:v>
      </x:c>
      <x:c r="D2231" s="7" t="str">
        <x:v>대평산업개발의 정제유 및 B-C유에서 도시가스(LNG)로의 연료전환을 통한 온실가스 배출 감축사업</x:v>
      </x:c>
      <x:c r="E2231" s="2" t="str">
        <x:v>471</x:v>
      </x:c>
      <x:c r="F2231" s="2"/>
      <x:c r="G2231" s="2" t="str">
        <x:v>미확보</x:v>
      </x:c>
      <x:c r="H2231" s="2" t="str">
        <x:v>미확보</x:v>
      </x:c>
      <x:c r="I2231" s="2" t="str">
        <x:v>심의승인</x:v>
      </x:c>
      <x:c r="J2231" s="2" t="str">
        <x:v>심의승인</x:v>
      </x:c>
      <x:c r="K2231" s="2" t="str">
        <x:f>IF(OR(J2231="심의승인",J2231="반려",J2231="반려완료",J2231="심의완료"),"종결 표시",IF(OR(J2231="기후부협의",J2231="문서재제출요청",J2231="보류",J2231="보완요청",J2231="보완완료",J2231="평가중",J2231="반려요청",J2231="평가필요",LEFT(J2231,5)="보완요청("),"미종결 표시","상태 확인 필요"))</x:f>
        <x:v>종결 표시</x:v>
      </x:c>
      <x:c r="L2231" s="2"/>
      <x:c r="M2231" s="2"/>
      <x:c r="N2231" s="8"/>
      <x:c r="O2231" s="2"/>
      <x:c r="P2231" s="2"/>
      <x:c r="Q2231" s="2" t="str">
        <x:v>산업전환_외부사업관리Tool_260707_이너젠 수정_LJY_261013.xlsx</x:v>
      </x:c>
      <x:c r="R2231" s="2" t="str">
        <x:v>국내인증</x:v>
      </x:c>
      <x:c r="S2231" s="8" t="n">
        <x:v>549</x:v>
      </x:c>
      <x:c r="T2231" s="2" t="str">
        <x:v>(6/10),(7/13)</x:v>
      </x:c>
      <x:c r="U2231" s="2" t="str">
        <x:v>2022 배정: (6/10),(7/13)</x:v>
      </x:c>
      <x:c r="V2231" s="2" t="str">
        <x:v>2022-12-28</x:v>
      </x:c>
      <x:c r="W2231" s="2" t="str">
        <x:v>신청일 확인 / 담당기관 확인</x:v>
      </x:c>
      <x:c r="X2231" s="2" t="str">
        <x:v>원본·배정 기록 확인</x:v>
      </x:c>
      <x:c r="Y2231" s="2" t="str">
        <x:v>ad210cd9ec132cfd447541c8984dc53d30aff0f4fb2dc92d254d49275cc55976</x:v>
      </x:c>
      <x:c r="Z2231" s="2" t="n">
        <x:f>SUBTOTAL(103,A2231)</x:f>
        <x:v>1</x:v>
      </x:c>
      <x:c r="AA2231" s="2" t="str">
        <x:f>IF(K2231&lt;&gt;"미종결 표시","대상 아님",IF(N2231="","신청일 확인",IF(NOT(ISNUMBER('종합 현황'!$H$5)),"관찰기준 확인",IF('종합 현황'!$H$5&lt;1,"관찰기준 확인",IF(N2231&gt;'종합 현황'!$H$5,"내부 관찰 대상","내부 관찰일 이하")))))</x:f>
        <x:v>대상 아님</x:v>
      </x:c>
      <x:c r="AB2231" s="2"/>
    </x:row>
    <x:row r="2232" ht="42" customHeight="1">
      <x:c r="A2232" s="2" t="str">
        <x:v>22cef46146e98489d13f621a</x:v>
      </x:c>
      <x:c r="B2232" s="2" t="str">
        <x:v>감축량 인증</x:v>
      </x:c>
      <x:c r="C2232" s="2" t="str">
        <x:v>국내</x:v>
      </x:c>
      <x:c r="D2232" s="7" t="str">
        <x:v>카프로 N2O 저감 사업</x:v>
      </x:c>
      <x:c r="E2232" s="2" t="str">
        <x:v>472</x:v>
      </x:c>
      <x:c r="F2232" s="2"/>
      <x:c r="G2232" s="2" t="str">
        <x:v>미확보</x:v>
      </x:c>
      <x:c r="H2232" s="2" t="str">
        <x:v>미확보</x:v>
      </x:c>
      <x:c r="I2232" s="2" t="str">
        <x:v>심의승인</x:v>
      </x:c>
      <x:c r="J2232" s="2" t="str">
        <x:v>심의승인</x:v>
      </x:c>
      <x:c r="K2232" s="2" t="str">
        <x:f>IF(OR(J2232="심의승인",J2232="반려",J2232="반려완료",J2232="심의완료"),"종결 표시",IF(OR(J2232="기후부협의",J2232="문서재제출요청",J2232="보류",J2232="보완요청",J2232="보완완료",J2232="평가중",J2232="반려요청",J2232="평가필요",LEFT(J2232,5)="보완요청("),"미종결 표시","상태 확인 필요"))</x:f>
        <x:v>종결 표시</x:v>
      </x:c>
      <x:c r="L2232" s="2"/>
      <x:c r="M2232" s="2"/>
      <x:c r="N2232" s="8"/>
      <x:c r="O2232" s="2"/>
      <x:c r="P2232" s="2"/>
      <x:c r="Q2232" s="2" t="str">
        <x:v>산업전환_외부사업관리Tool_260707_이너젠 수정_LJY_261013.xlsx</x:v>
      </x:c>
      <x:c r="R2232" s="2" t="str">
        <x:v>국내인증</x:v>
      </x:c>
      <x:c r="S2232" s="8" t="n">
        <x:v>550</x:v>
      </x:c>
      <x:c r="T2232" s="2" t="str">
        <x:v>(6/10)</x:v>
      </x:c>
      <x:c r="U2232" s="2" t="str">
        <x:v>2022 배정: (6/10)</x:v>
      </x:c>
      <x:c r="V2232" s="2" t="str">
        <x:v>2022-12-28</x:v>
      </x:c>
      <x:c r="W2232" s="2" t="str">
        <x:v>신청일 확인 / 담당기관 확인</x:v>
      </x:c>
      <x:c r="X2232" s="2" t="str">
        <x:v>원본·배정 기록 확인</x:v>
      </x:c>
      <x:c r="Y2232" s="2" t="str">
        <x:v>ad210cd9ec132cfd447541c8984dc53d30aff0f4fb2dc92d254d49275cc55976</x:v>
      </x:c>
      <x:c r="Z2232" s="2" t="n">
        <x:f>SUBTOTAL(103,A2232)</x:f>
        <x:v>1</x:v>
      </x:c>
      <x:c r="AA2232" s="2" t="str">
        <x:f>IF(K2232&lt;&gt;"미종결 표시","대상 아님",IF(N2232="","신청일 확인",IF(NOT(ISNUMBER('종합 현황'!$H$5)),"관찰기준 확인",IF('종합 현황'!$H$5&lt;1,"관찰기준 확인",IF(N2232&gt;'종합 현황'!$H$5,"내부 관찰 대상","내부 관찰일 이하")))))</x:f>
        <x:v>대상 아님</x:v>
      </x:c>
      <x:c r="AB2232" s="2"/>
    </x:row>
    <x:row r="2233" ht="42" customHeight="1">
      <x:c r="A2233" s="2" t="str">
        <x:v>cf5e470a44b1da96e9f0482c</x:v>
      </x:c>
      <x:c r="B2233" s="2" t="str">
        <x:v>감축량 인증</x:v>
      </x:c>
      <x:c r="C2233" s="2" t="str">
        <x:v>국내</x:v>
      </x:c>
      <x:c r="D2233" s="7" t="str">
        <x:v>카프로 N2O 저감 사업</x:v>
      </x:c>
      <x:c r="E2233" s="2" t="str">
        <x:v>473</x:v>
      </x:c>
      <x:c r="F2233" s="2"/>
      <x:c r="G2233" s="2" t="str">
        <x:v>미확보</x:v>
      </x:c>
      <x:c r="H2233" s="2" t="str">
        <x:v>미확보</x:v>
      </x:c>
      <x:c r="I2233" s="2" t="str">
        <x:v>심의승인</x:v>
      </x:c>
      <x:c r="J2233" s="2" t="str">
        <x:v>심의승인</x:v>
      </x:c>
      <x:c r="K2233" s="2" t="str">
        <x:f>IF(OR(J2233="심의승인",J2233="반려",J2233="반려완료",J2233="심의완료"),"종결 표시",IF(OR(J2233="기후부협의",J2233="문서재제출요청",J2233="보류",J2233="보완요청",J2233="보완완료",J2233="평가중",J2233="반려요청",J2233="평가필요",LEFT(J2233,5)="보완요청("),"미종결 표시","상태 확인 필요"))</x:f>
        <x:v>종결 표시</x:v>
      </x:c>
      <x:c r="L2233" s="2"/>
      <x:c r="M2233" s="2"/>
      <x:c r="N2233" s="8"/>
      <x:c r="O2233" s="2"/>
      <x:c r="P2233" s="2"/>
      <x:c r="Q2233" s="2" t="str">
        <x:v>산업전환_외부사업관리Tool_260707_이너젠 수정_LJY_261013.xlsx</x:v>
      </x:c>
      <x:c r="R2233" s="2" t="str">
        <x:v>국내인증</x:v>
      </x:c>
      <x:c r="S2233" s="8" t="n">
        <x:v>551</x:v>
      </x:c>
      <x:c r="T2233" s="2" t="str">
        <x:v>(6/10)</x:v>
      </x:c>
      <x:c r="U2233" s="2" t="str">
        <x:v>2022 배정: (6/10)</x:v>
      </x:c>
      <x:c r="V2233" s="2" t="str">
        <x:v>2022-12-28</x:v>
      </x:c>
      <x:c r="W2233" s="2" t="str">
        <x:v>신청일 확인 / 담당기관 확인</x:v>
      </x:c>
      <x:c r="X2233" s="2" t="str">
        <x:v>원본·배정 기록 확인</x:v>
      </x:c>
      <x:c r="Y2233" s="2" t="str">
        <x:v>ad210cd9ec132cfd447541c8984dc53d30aff0f4fb2dc92d254d49275cc55976</x:v>
      </x:c>
      <x:c r="Z2233" s="2" t="n">
        <x:f>SUBTOTAL(103,A2233)</x:f>
        <x:v>1</x:v>
      </x:c>
      <x:c r="AA2233" s="2" t="str">
        <x:f>IF(K2233&lt;&gt;"미종결 표시","대상 아님",IF(N2233="","신청일 확인",IF(NOT(ISNUMBER('종합 현황'!$H$5)),"관찰기준 확인",IF('종합 현황'!$H$5&lt;1,"관찰기준 확인",IF(N2233&gt;'종합 현황'!$H$5,"내부 관찰 대상","내부 관찰일 이하")))))</x:f>
        <x:v>대상 아님</x:v>
      </x:c>
      <x:c r="AB2233" s="2"/>
    </x:row>
    <x:row r="2234" ht="42" customHeight="1">
      <x:c r="A2234" s="2" t="str">
        <x:v>c0b391e8f4c04e413ab7aa05</x:v>
      </x:c>
      <x:c r="B2234" s="2" t="str">
        <x:v>감축량 인증</x:v>
      </x:c>
      <x:c r="C2234" s="2" t="str">
        <x:v>국내</x:v>
      </x:c>
      <x:c r="D2234" s="7" t="str">
        <x:v>영미산업(주) 보일러 연료 BC유 및 부생연료1호를 LNG로의 전환을 통한 온실가스 감축사업</x:v>
      </x:c>
      <x:c r="E2234" s="2" t="str">
        <x:v>474</x:v>
      </x:c>
      <x:c r="F2234" s="2" t="str">
        <x:v>2022-05-27</x:v>
      </x:c>
      <x:c r="G2234" s="2" t="str">
        <x:v>2022</x:v>
      </x:c>
      <x:c r="H2234" s="2" t="str">
        <x:v>05</x:v>
      </x:c>
      <x:c r="I2234" s="2" t="str">
        <x:v>심의승인</x:v>
      </x:c>
      <x:c r="J2234" s="2" t="str">
        <x:v>심의승인</x:v>
      </x:c>
      <x:c r="K2234" s="2" t="str">
        <x:f>IF(OR(J2234="심의승인",J2234="반려",J2234="반려완료",J2234="심의완료"),"종결 표시",IF(OR(J2234="기후부협의",J2234="문서재제출요청",J2234="보류",J2234="보완요청",J2234="보완완료",J2234="평가중",J2234="반려요청",J2234="평가필요",LEFT(J2234,5)="보완요청("),"미종결 표시","상태 확인 필요"))</x:f>
        <x:v>종결 표시</x:v>
      </x:c>
      <x:c r="L2234" s="2"/>
      <x:c r="M2234" s="2"/>
      <x:c r="N2234" s="8" t="n">
        <x:f>DATE(2026,10,15)-DATE(2022,5,27)</x:f>
        <x:v>1602</x:v>
      </x:c>
      <x:c r="O2234" s="2"/>
      <x:c r="P2234" s="2"/>
      <x:c r="Q2234" s="2" t="str">
        <x:v>산업전환_외부사업관리Tool_260707_이너젠 수정_LJY_261013.xlsx</x:v>
      </x:c>
      <x:c r="R2234" s="2" t="str">
        <x:v>국내인증</x:v>
      </x:c>
      <x:c r="S2234" s="8" t="n">
        <x:v>552</x:v>
      </x:c>
      <x:c r="T2234" s="2" t="str">
        <x:v>(6/10),(8/16),(10/19),(12/8)</x:v>
      </x:c>
      <x:c r="U2234" s="2" t="str">
        <x:v>2022 배정: (6/10),(8/16),(10/19),(12/8) / 2023 배정: (4/21)</x:v>
      </x:c>
      <x:c r="V2234" s="2" t="str">
        <x:v>2023-09-20</x:v>
      </x:c>
      <x:c r="W2234" s="2" t="str">
        <x:v>담당기관 확인</x:v>
      </x:c>
      <x:c r="X2234" s="2" t="str">
        <x:v>원본·배정 기록 확인</x:v>
      </x:c>
      <x:c r="Y2234" s="2" t="str">
        <x:v>ad210cd9ec132cfd447541c8984dc53d30aff0f4fb2dc92d254d49275cc55976</x:v>
      </x:c>
      <x:c r="Z2234" s="2" t="n">
        <x:f>SUBTOTAL(103,A2234)</x:f>
        <x:v>1</x:v>
      </x:c>
      <x:c r="AA2234" s="2" t="str">
        <x:f>IF(K2234&lt;&gt;"미종결 표시","대상 아님",IF(N2234="","신청일 확인",IF(NOT(ISNUMBER('종합 현황'!$H$5)),"관찰기준 확인",IF('종합 현황'!$H$5&lt;1,"관찰기준 확인",IF(N2234&gt;'종합 현황'!$H$5,"내부 관찰 대상","내부 관찰일 이하")))))</x:f>
        <x:v>대상 아님</x:v>
      </x:c>
      <x:c r="AB2234" s="2"/>
    </x:row>
    <x:row r="2235" ht="42" customHeight="1">
      <x:c r="A2235" s="2" t="str">
        <x:v>f4e66db84df7d673a6680b0a</x:v>
      </x:c>
      <x:c r="B2235" s="2" t="str">
        <x:v>감축량 인증</x:v>
      </x:c>
      <x:c r="C2235" s="2" t="str">
        <x:v>국내</x:v>
      </x:c>
      <x:c r="D2235" s="7" t="str">
        <x:v>(주)덕산의 신재 및 재생 드라이어의 B-C유에서 도시가스(LNG)로 연료전환을 통한 온실가스 배출 감축사업</x:v>
      </x:c>
      <x:c r="E2235" s="2" t="str">
        <x:v>475</x:v>
      </x:c>
      <x:c r="F2235" s="2"/>
      <x:c r="G2235" s="2" t="str">
        <x:v>미확보</x:v>
      </x:c>
      <x:c r="H2235" s="2" t="str">
        <x:v>미확보</x:v>
      </x:c>
      <x:c r="I2235" s="2" t="str">
        <x:v>심의승인</x:v>
      </x:c>
      <x:c r="J2235" s="2" t="str">
        <x:v>심의승인</x:v>
      </x:c>
      <x:c r="K2235" s="2" t="str">
        <x:f>IF(OR(J2235="심의승인",J2235="반려",J2235="반려완료",J2235="심의완료"),"종결 표시",IF(OR(J2235="기후부협의",J2235="문서재제출요청",J2235="보류",J2235="보완요청",J2235="보완완료",J2235="평가중",J2235="반려요청",J2235="평가필요",LEFT(J2235,5)="보완요청("),"미종결 표시","상태 확인 필요"))</x:f>
        <x:v>종결 표시</x:v>
      </x:c>
      <x:c r="L2235" s="2"/>
      <x:c r="M2235" s="2"/>
      <x:c r="N2235" s="8"/>
      <x:c r="O2235" s="2"/>
      <x:c r="P2235" s="2"/>
      <x:c r="Q2235" s="2" t="str">
        <x:v>산업전환_외부사업관리Tool_260707_이너젠 수정_LJY_261013.xlsx</x:v>
      </x:c>
      <x:c r="R2235" s="2" t="str">
        <x:v>국내인증</x:v>
      </x:c>
      <x:c r="S2235" s="8" t="n">
        <x:v>553</x:v>
      </x:c>
      <x:c r="T2235" s="2" t="str">
        <x:v>(6/10),(8/16)</x:v>
      </x:c>
      <x:c r="U2235" s="2" t="str">
        <x:v>2022 배정: (6/10),(8/16)</x:v>
      </x:c>
      <x:c r="V2235" s="2" t="str">
        <x:v>2022-12-28</x:v>
      </x:c>
      <x:c r="W2235" s="2" t="str">
        <x:v>신청일 확인 / 담당기관 확인</x:v>
      </x:c>
      <x:c r="X2235" s="2" t="str">
        <x:v>원본·배정 기록 확인</x:v>
      </x:c>
      <x:c r="Y2235" s="2" t="str">
        <x:v>ad210cd9ec132cfd447541c8984dc53d30aff0f4fb2dc92d254d49275cc55976</x:v>
      </x:c>
      <x:c r="Z2235" s="2" t="n">
        <x:f>SUBTOTAL(103,A2235)</x:f>
        <x:v>1</x:v>
      </x:c>
      <x:c r="AA2235" s="2" t="str">
        <x:f>IF(K2235&lt;&gt;"미종결 표시","대상 아님",IF(N2235="","신청일 확인",IF(NOT(ISNUMBER('종합 현황'!$H$5)),"관찰기준 확인",IF('종합 현황'!$H$5&lt;1,"관찰기준 확인",IF(N2235&gt;'종합 현황'!$H$5,"내부 관찰 대상","내부 관찰일 이하")))))</x:f>
        <x:v>대상 아님</x:v>
      </x:c>
      <x:c r="AB2235" s="2"/>
    </x:row>
    <x:row r="2236" ht="42" customHeight="1">
      <x:c r="A2236" s="2" t="str">
        <x:v>8ed810027d9b06b217741646</x:v>
      </x:c>
      <x:c r="B2236" s="2" t="str">
        <x:v>감축량 인증</x:v>
      </x:c>
      <x:c r="C2236" s="2" t="str">
        <x:v>국내</x:v>
      </x:c>
      <x:c r="D2236" s="7" t="str">
        <x:v>카프로 N2O 저감 사업</x:v>
      </x:c>
      <x:c r="E2236" s="2" t="str">
        <x:v>476</x:v>
      </x:c>
      <x:c r="F2236" s="2" t="str">
        <x:v>2022-05-31</x:v>
      </x:c>
      <x:c r="G2236" s="2" t="str">
        <x:v>2022</x:v>
      </x:c>
      <x:c r="H2236" s="2" t="str">
        <x:v>05</x:v>
      </x:c>
      <x:c r="I2236" s="2" t="str">
        <x:v>심의승인</x:v>
      </x:c>
      <x:c r="J2236" s="2" t="str">
        <x:v>심의승인</x:v>
      </x:c>
      <x:c r="K2236" s="2" t="str">
        <x:f>IF(OR(J2236="심의승인",J2236="반려",J2236="반려완료",J2236="심의완료"),"종결 표시",IF(OR(J2236="기후부협의",J2236="문서재제출요청",J2236="보류",J2236="보완요청",J2236="보완완료",J2236="평가중",J2236="반려요청",J2236="평가필요",LEFT(J2236,5)="보완요청("),"미종결 표시","상태 확인 필요"))</x:f>
        <x:v>종결 표시</x:v>
      </x:c>
      <x:c r="L2236" s="2" t="str">
        <x:v>에코시안_박세은</x:v>
      </x:c>
      <x:c r="M2236" s="2"/>
      <x:c r="N2236" s="8" t="n">
        <x:f>DATE(2026,10,15)-DATE(2022,5,31)</x:f>
        <x:v>1598</x:v>
      </x:c>
      <x:c r="O2236" s="2"/>
      <x:c r="P2236" s="2" t="str">
        <x:v>CER 취소 후 신청 예정, 효성까지 포함해서 인증량 배분하여 신청 예정</x:v>
      </x:c>
      <x:c r="Q2236" s="2" t="str">
        <x:v>산업전환_외부사업관리Tool_260707_이너젠 수정_LJY_261013.xlsx</x:v>
      </x:c>
      <x:c r="R2236" s="2" t="str">
        <x:v>국내인증</x:v>
      </x:c>
      <x:c r="S2236" s="8" t="n">
        <x:v>554</x:v>
      </x:c>
      <x:c r="T2236" s="2" t="str">
        <x:v>(6/10)</x:v>
      </x:c>
      <x:c r="U2236" s="2" t="str">
        <x:v>2022 배정: (6/10) / 2024 배정: (2/5)</x:v>
      </x:c>
      <x:c r="V2236" s="2" t="str">
        <x:v>2024-06-27</x:v>
      </x:c>
      <x:c r="W2236" s="2" t="str"/>
      <x:c r="X2236" s="2" t="str">
        <x:v>종결 근거 보관</x:v>
      </x:c>
      <x:c r="Y2236" s="2" t="str">
        <x:v>ad210cd9ec132cfd447541c8984dc53d30aff0f4fb2dc92d254d49275cc55976</x:v>
      </x:c>
      <x:c r="Z2236" s="2" t="n">
        <x:f>SUBTOTAL(103,A2236)</x:f>
        <x:v>1</x:v>
      </x:c>
      <x:c r="AA2236" s="2" t="str">
        <x:f>IF(K2236&lt;&gt;"미종결 표시","대상 아님",IF(N2236="","신청일 확인",IF(NOT(ISNUMBER('종합 현황'!$H$5)),"관찰기준 확인",IF('종합 현황'!$H$5&lt;1,"관찰기준 확인",IF(N2236&gt;'종합 현황'!$H$5,"내부 관찰 대상","내부 관찰일 이하")))))</x:f>
        <x:v>대상 아님</x:v>
      </x:c>
      <x:c r="AB2236" s="2"/>
    </x:row>
    <x:row r="2237" ht="42" customHeight="1">
      <x:c r="A2237" s="2" t="str">
        <x:v>5fd0ca9e035d2fb086e01278</x:v>
      </x:c>
      <x:c r="B2237" s="2" t="str">
        <x:v>감축량 인증</x:v>
      </x:c>
      <x:c r="C2237" s="2" t="str">
        <x:v>국내</x:v>
      </x:c>
      <x:c r="D2237" s="7" t="str">
        <x:v>태림포장의 B-C유에서 LNG로 연료전환을 통한 온실가스 배출 감축사업</x:v>
      </x:c>
      <x:c r="E2237" s="2" t="str">
        <x:v>477</x:v>
      </x:c>
      <x:c r="F2237" s="2"/>
      <x:c r="G2237" s="2" t="str">
        <x:v>미확보</x:v>
      </x:c>
      <x:c r="H2237" s="2" t="str">
        <x:v>미확보</x:v>
      </x:c>
      <x:c r="I2237" s="2" t="str">
        <x:v>심의승인</x:v>
      </x:c>
      <x:c r="J2237" s="2" t="str">
        <x:v>심의승인</x:v>
      </x:c>
      <x:c r="K2237" s="2" t="str">
        <x:f>IF(OR(J2237="심의승인",J2237="반려",J2237="반려완료",J2237="심의완료"),"종결 표시",IF(OR(J2237="기후부협의",J2237="문서재제출요청",J2237="보류",J2237="보완요청",J2237="보완완료",J2237="평가중",J2237="반려요청",J2237="평가필요",LEFT(J2237,5)="보완요청("),"미종결 표시","상태 확인 필요"))</x:f>
        <x:v>종결 표시</x:v>
      </x:c>
      <x:c r="L2237" s="2"/>
      <x:c r="M2237" s="2"/>
      <x:c r="N2237" s="8"/>
      <x:c r="O2237" s="2"/>
      <x:c r="P2237" s="2"/>
      <x:c r="Q2237" s="2" t="str">
        <x:v>산업전환_외부사업관리Tool_260707_이너젠 수정_LJY_261013.xlsx</x:v>
      </x:c>
      <x:c r="R2237" s="2" t="str">
        <x:v>국내인증</x:v>
      </x:c>
      <x:c r="S2237" s="8" t="n">
        <x:v>555</x:v>
      </x:c>
      <x:c r="T2237" s="2" t="str">
        <x:v>(7/13),(8/16)</x:v>
      </x:c>
      <x:c r="U2237" s="2" t="str">
        <x:v>2022 배정: (7/13),(8/16)</x:v>
      </x:c>
      <x:c r="V2237" s="2" t="str">
        <x:v>2022-12-28</x:v>
      </x:c>
      <x:c r="W2237" s="2" t="str">
        <x:v>신청일 확인 / 담당기관 확인</x:v>
      </x:c>
      <x:c r="X2237" s="2" t="str">
        <x:v>원본·배정 기록 확인</x:v>
      </x:c>
      <x:c r="Y2237" s="2" t="str">
        <x:v>ad210cd9ec132cfd447541c8984dc53d30aff0f4fb2dc92d254d49275cc55976</x:v>
      </x:c>
      <x:c r="Z2237" s="2" t="n">
        <x:f>SUBTOTAL(103,A2237)</x:f>
        <x:v>1</x:v>
      </x:c>
      <x:c r="AA2237" s="2" t="str">
        <x:f>IF(K2237&lt;&gt;"미종결 표시","대상 아님",IF(N2237="","신청일 확인",IF(NOT(ISNUMBER('종합 현황'!$H$5)),"관찰기준 확인",IF('종합 현황'!$H$5&lt;1,"관찰기준 확인",IF(N2237&gt;'종합 현황'!$H$5,"내부 관찰 대상","내부 관찰일 이하")))))</x:f>
        <x:v>대상 아님</x:v>
      </x:c>
      <x:c r="AB2237" s="2"/>
    </x:row>
    <x:row r="2238" ht="42" customHeight="1">
      <x:c r="A2238" s="2" t="str">
        <x:v>8e278d51761a53cb96d9656d</x:v>
      </x:c>
      <x:c r="B2238" s="2" t="str">
        <x:v>감축량 인증</x:v>
      </x:c>
      <x:c r="C2238" s="2" t="str">
        <x:v>국내</x:v>
      </x:c>
      <x:c r="D2238" s="7" t="str">
        <x:v>부천수지의 B-C유에서 도시가스(LNG)로 연료전환을 통한 온실가스 배출 감축사업</x:v>
      </x:c>
      <x:c r="E2238" s="2" t="str">
        <x:v>478</x:v>
      </x:c>
      <x:c r="F2238" s="2"/>
      <x:c r="G2238" s="2" t="str">
        <x:v>미확보</x:v>
      </x:c>
      <x:c r="H2238" s="2" t="str">
        <x:v>미확보</x:v>
      </x:c>
      <x:c r="I2238" s="2" t="str">
        <x:v>심의승인</x:v>
      </x:c>
      <x:c r="J2238" s="2" t="str">
        <x:v>심의승인</x:v>
      </x:c>
      <x:c r="K2238" s="2" t="str">
        <x:f>IF(OR(J2238="심의승인",J2238="반려",J2238="반려완료",J2238="심의완료"),"종결 표시",IF(OR(J2238="기후부협의",J2238="문서재제출요청",J2238="보류",J2238="보완요청",J2238="보완완료",J2238="평가중",J2238="반려요청",J2238="평가필요",LEFT(J2238,5)="보완요청("),"미종결 표시","상태 확인 필요"))</x:f>
        <x:v>종결 표시</x:v>
      </x:c>
      <x:c r="L2238" s="2"/>
      <x:c r="M2238" s="2"/>
      <x:c r="N2238" s="8"/>
      <x:c r="O2238" s="2"/>
      <x:c r="P2238" s="2"/>
      <x:c r="Q2238" s="2" t="str">
        <x:v>산업전환_외부사업관리Tool_260707_이너젠 수정_LJY_261013.xlsx</x:v>
      </x:c>
      <x:c r="R2238" s="2" t="str">
        <x:v>국내인증</x:v>
      </x:c>
      <x:c r="S2238" s="8" t="n">
        <x:v>556</x:v>
      </x:c>
      <x:c r="T2238" s="2" t="str">
        <x:v>(7/13),(8/16)</x:v>
      </x:c>
      <x:c r="U2238" s="2" t="str">
        <x:v>2022 배정: (7/13),(8/16)</x:v>
      </x:c>
      <x:c r="V2238" s="2" t="str">
        <x:v>2022-12-28</x:v>
      </x:c>
      <x:c r="W2238" s="2" t="str">
        <x:v>신청일 확인 / 담당기관 확인</x:v>
      </x:c>
      <x:c r="X2238" s="2" t="str">
        <x:v>원본·배정 기록 확인</x:v>
      </x:c>
      <x:c r="Y2238" s="2" t="str">
        <x:v>ad210cd9ec132cfd447541c8984dc53d30aff0f4fb2dc92d254d49275cc55976</x:v>
      </x:c>
      <x:c r="Z2238" s="2" t="n">
        <x:f>SUBTOTAL(103,A2238)</x:f>
        <x:v>1</x:v>
      </x:c>
      <x:c r="AA2238" s="2" t="str">
        <x:f>IF(K2238&lt;&gt;"미종결 표시","대상 아님",IF(N2238="","신청일 확인",IF(NOT(ISNUMBER('종합 현황'!$H$5)),"관찰기준 확인",IF('종합 현황'!$H$5&lt;1,"관찰기준 확인",IF(N2238&gt;'종합 현황'!$H$5,"내부 관찰 대상","내부 관찰일 이하")))))</x:f>
        <x:v>대상 아님</x:v>
      </x:c>
      <x:c r="AB2238" s="2"/>
    </x:row>
    <x:row r="2239" ht="42" customHeight="1">
      <x:c r="A2239" s="2" t="str">
        <x:v>ca8d236667ab8b1fe2c4e146</x:v>
      </x:c>
      <x:c r="B2239" s="2" t="str">
        <x:v>감축량 인증</x:v>
      </x:c>
      <x:c r="C2239" s="2" t="str">
        <x:v>국내</x:v>
      </x:c>
      <x:c r="D2239" s="7" t="str">
        <x:v>H2빌 태양광발전 자가사용 감축사업</x:v>
      </x:c>
      <x:c r="E2239" s="2" t="str">
        <x:v>479</x:v>
      </x:c>
      <x:c r="F2239" s="2"/>
      <x:c r="G2239" s="2" t="str">
        <x:v>미확보</x:v>
      </x:c>
      <x:c r="H2239" s="2" t="str">
        <x:v>미확보</x:v>
      </x:c>
      <x:c r="I2239" s="2" t="str">
        <x:v>심의승인</x:v>
      </x:c>
      <x:c r="J2239" s="2" t="str">
        <x:v>심의승인</x:v>
      </x:c>
      <x:c r="K2239" s="2" t="str">
        <x:f>IF(OR(J2239="심의승인",J2239="반려",J2239="반려완료",J2239="심의완료"),"종결 표시",IF(OR(J2239="기후부협의",J2239="문서재제출요청",J2239="보류",J2239="보완요청",J2239="보완완료",J2239="평가중",J2239="반려요청",J2239="평가필요",LEFT(J2239,5)="보완요청("),"미종결 표시","상태 확인 필요"))</x:f>
        <x:v>종결 표시</x:v>
      </x:c>
      <x:c r="L2239" s="2"/>
      <x:c r="M2239" s="2"/>
      <x:c r="N2239" s="8"/>
      <x:c r="O2239" s="2"/>
      <x:c r="P2239" s="2"/>
      <x:c r="Q2239" s="2" t="str">
        <x:v>산업전환_외부사업관리Tool_260707_이너젠 수정_LJY_261013.xlsx</x:v>
      </x:c>
      <x:c r="R2239" s="2" t="str">
        <x:v>국내인증</x:v>
      </x:c>
      <x:c r="S2239" s="8" t="n">
        <x:v>557</x:v>
      </x:c>
      <x:c r="T2239" s="2" t="str">
        <x:v>(7/13),(8/16),(12/27)</x:v>
      </x:c>
      <x:c r="U2239" s="2" t="str">
        <x:v>2022 배정: (7/13),(8/16),(12/27)</x:v>
      </x:c>
      <x:c r="V2239" s="2" t="str">
        <x:v>2023-03-24</x:v>
      </x:c>
      <x:c r="W2239" s="2" t="str">
        <x:v>신청일 확인 / 담당기관 확인</x:v>
      </x:c>
      <x:c r="X2239" s="2" t="str">
        <x:v>원본·배정 기록 확인</x:v>
      </x:c>
      <x:c r="Y2239" s="2" t="str">
        <x:v>ad210cd9ec132cfd447541c8984dc53d30aff0f4fb2dc92d254d49275cc55976</x:v>
      </x:c>
      <x:c r="Z2239" s="2" t="n">
        <x:f>SUBTOTAL(103,A2239)</x:f>
        <x:v>1</x:v>
      </x:c>
      <x:c r="AA2239" s="2" t="str">
        <x:f>IF(K2239&lt;&gt;"미종결 표시","대상 아님",IF(N2239="","신청일 확인",IF(NOT(ISNUMBER('종합 현황'!$H$5)),"관찰기준 확인",IF('종합 현황'!$H$5&lt;1,"관찰기준 확인",IF(N2239&gt;'종합 현황'!$H$5,"내부 관찰 대상","내부 관찰일 이하")))))</x:f>
        <x:v>대상 아님</x:v>
      </x:c>
      <x:c r="AB2239" s="2"/>
    </x:row>
    <x:row r="2240" ht="42" customHeight="1">
      <x:c r="A2240" s="2" t="str">
        <x:v>adbc5d250c982a6eada60dbf</x:v>
      </x:c>
      <x:c r="B2240" s="2" t="str">
        <x:v>감축량 인증</x:v>
      </x:c>
      <x:c r="C2240" s="2" t="str">
        <x:v>국내</x:v>
      </x:c>
      <x:c r="D2240" s="7" t="str">
        <x:v>교남소망의집 태양광발전 자가사용 감축사업</x:v>
      </x:c>
      <x:c r="E2240" s="2" t="str">
        <x:v>480</x:v>
      </x:c>
      <x:c r="F2240" s="2" t="str">
        <x:v>2022-06-24</x:v>
      </x:c>
      <x:c r="G2240" s="2" t="str">
        <x:v>2022</x:v>
      </x:c>
      <x:c r="H2240" s="2" t="str">
        <x:v>06</x:v>
      </x:c>
      <x:c r="I2240" s="2" t="str">
        <x:v>심의승인</x:v>
      </x:c>
      <x:c r="J2240" s="2" t="str">
        <x:v>심의승인</x:v>
      </x:c>
      <x:c r="K2240" s="2" t="str">
        <x:f>IF(OR(J2240="심의승인",J2240="반려",J2240="반려완료",J2240="심의완료"),"종결 표시",IF(OR(J2240="기후부협의",J2240="문서재제출요청",J2240="보류",J2240="보완요청",J2240="보완완료",J2240="평가중",J2240="반려요청",J2240="평가필요",LEFT(J2240,5)="보완요청("),"미종결 표시","상태 확인 필요"))</x:f>
        <x:v>종결 표시</x:v>
      </x:c>
      <x:c r="L2240" s="2"/>
      <x:c r="M2240" s="2"/>
      <x:c r="N2240" s="8" t="n">
        <x:f>DATE(2026,10,15)-DATE(2022,6,24)</x:f>
        <x:v>1574</x:v>
      </x:c>
      <x:c r="O2240" s="2"/>
      <x:c r="P2240" s="2"/>
      <x:c r="Q2240" s="2" t="str">
        <x:v>산업전환_외부사업관리Tool_260707_이너젠 수정_LJY_261013.xlsx</x:v>
      </x:c>
      <x:c r="R2240" s="2" t="str">
        <x:v>국내인증</x:v>
      </x:c>
      <x:c r="S2240" s="8" t="n">
        <x:v>558</x:v>
      </x:c>
      <x:c r="T2240" s="2" t="str">
        <x:v>(7/13),(8/16),(11/18),(12/27)</x:v>
      </x:c>
      <x:c r="U2240" s="2" t="str">
        <x:v>2022 배정: (7/13),(8/16),(11/18),(12/27) / 2023 배정: 2023년 처리</x:v>
      </x:c>
      <x:c r="V2240" s="2" t="str">
        <x:v>2023-06-22</x:v>
      </x:c>
      <x:c r="W2240" s="2" t="str">
        <x:v>담당기관 확인</x:v>
      </x:c>
      <x:c r="X2240" s="2" t="str">
        <x:v>원본·배정 기록 확인</x:v>
      </x:c>
      <x:c r="Y2240" s="2" t="str">
        <x:v>ad210cd9ec132cfd447541c8984dc53d30aff0f4fb2dc92d254d49275cc55976</x:v>
      </x:c>
      <x:c r="Z2240" s="2" t="n">
        <x:f>SUBTOTAL(103,A2240)</x:f>
        <x:v>1</x:v>
      </x:c>
      <x:c r="AA2240" s="2" t="str">
        <x:f>IF(K2240&lt;&gt;"미종결 표시","대상 아님",IF(N2240="","신청일 확인",IF(NOT(ISNUMBER('종합 현황'!$H$5)),"관찰기준 확인",IF('종합 현황'!$H$5&lt;1,"관찰기준 확인",IF(N2240&gt;'종합 현황'!$H$5,"내부 관찰 대상","내부 관찰일 이하")))))</x:f>
        <x:v>대상 아님</x:v>
      </x:c>
      <x:c r="AB2240" s="2"/>
    </x:row>
    <x:row r="2241" ht="42" customHeight="1">
      <x:c r="A2241" s="2" t="str">
        <x:v>62dcd4651fbddd028e126552</x:v>
      </x:c>
      <x:c r="B2241" s="2" t="str">
        <x:v>감축량 인증</x:v>
      </x:c>
      <x:c r="C2241" s="2" t="str">
        <x:v>국내</x:v>
      </x:c>
      <x:c r="D2241" s="7" t="str">
        <x:v>남산원 태양광발전 자가사용 감축사업</x:v>
      </x:c>
      <x:c r="E2241" s="2" t="str">
        <x:v>481</x:v>
      </x:c>
      <x:c r="F2241" s="2" t="str">
        <x:v>2022-06-24</x:v>
      </x:c>
      <x:c r="G2241" s="2" t="str">
        <x:v>2022</x:v>
      </x:c>
      <x:c r="H2241" s="2" t="str">
        <x:v>06</x:v>
      </x:c>
      <x:c r="I2241" s="2" t="str">
        <x:v>심의승인</x:v>
      </x:c>
      <x:c r="J2241" s="2" t="str">
        <x:v>심의승인</x:v>
      </x:c>
      <x:c r="K2241" s="2" t="str">
        <x:f>IF(OR(J2241="심의승인",J2241="반려",J2241="반려완료",J2241="심의완료"),"종결 표시",IF(OR(J2241="기후부협의",J2241="문서재제출요청",J2241="보류",J2241="보완요청",J2241="보완완료",J2241="평가중",J2241="반려요청",J2241="평가필요",LEFT(J2241,5)="보완요청("),"미종결 표시","상태 확인 필요"))</x:f>
        <x:v>종결 표시</x:v>
      </x:c>
      <x:c r="L2241" s="2"/>
      <x:c r="M2241" s="2"/>
      <x:c r="N2241" s="8" t="n">
        <x:f>DATE(2026,10,15)-DATE(2022,6,24)</x:f>
        <x:v>1574</x:v>
      </x:c>
      <x:c r="O2241" s="2"/>
      <x:c r="P2241" s="2"/>
      <x:c r="Q2241" s="2" t="str">
        <x:v>산업전환_외부사업관리Tool_260707_이너젠 수정_LJY_261013.xlsx</x:v>
      </x:c>
      <x:c r="R2241" s="2" t="str">
        <x:v>국내인증</x:v>
      </x:c>
      <x:c r="S2241" s="8" t="n">
        <x:v>559</x:v>
      </x:c>
      <x:c r="T2241" s="2" t="str">
        <x:v>(7/13),(8/16),(11/18),(12/27)</x:v>
      </x:c>
      <x:c r="U2241" s="2" t="str">
        <x:v>2022 배정: (7/13),(8/16),(11/18),(12/27) / 2023 배정: 2023년 처리</x:v>
      </x:c>
      <x:c r="V2241" s="2" t="str">
        <x:v>2023-06-22</x:v>
      </x:c>
      <x:c r="W2241" s="2" t="str">
        <x:v>담당기관 확인</x:v>
      </x:c>
      <x:c r="X2241" s="2" t="str">
        <x:v>원본·배정 기록 확인</x:v>
      </x:c>
      <x:c r="Y2241" s="2" t="str">
        <x:v>ad210cd9ec132cfd447541c8984dc53d30aff0f4fb2dc92d254d49275cc55976</x:v>
      </x:c>
      <x:c r="Z2241" s="2" t="n">
        <x:f>SUBTOTAL(103,A2241)</x:f>
        <x:v>1</x:v>
      </x:c>
      <x:c r="AA2241" s="2" t="str">
        <x:f>IF(K2241&lt;&gt;"미종결 표시","대상 아님",IF(N2241="","신청일 확인",IF(NOT(ISNUMBER('종합 현황'!$H$5)),"관찰기준 확인",IF('종합 현황'!$H$5&lt;1,"관찰기준 확인",IF(N2241&gt;'종합 현황'!$H$5,"내부 관찰 대상","내부 관찰일 이하")))))</x:f>
        <x:v>대상 아님</x:v>
      </x:c>
      <x:c r="AB2241" s="2"/>
    </x:row>
    <x:row r="2242" ht="42" customHeight="1">
      <x:c r="A2242" s="2" t="str">
        <x:v>c834523b7748e4fafa2a8366</x:v>
      </x:c>
      <x:c r="B2242" s="2" t="str">
        <x:v>감축량 인증</x:v>
      </x:c>
      <x:c r="C2242" s="2" t="str">
        <x:v>국내</x:v>
      </x:c>
      <x:c r="D2242" s="7" t="str">
        <x:v>돈보스코자립생활관 태양광발전 자가사용 감축사업</x:v>
      </x:c>
      <x:c r="E2242" s="2" t="str">
        <x:v>482</x:v>
      </x:c>
      <x:c r="F2242" s="2" t="str">
        <x:v>2022-06-24</x:v>
      </x:c>
      <x:c r="G2242" s="2" t="str">
        <x:v>2022</x:v>
      </x:c>
      <x:c r="H2242" s="2" t="str">
        <x:v>06</x:v>
      </x:c>
      <x:c r="I2242" s="2" t="str">
        <x:v>심의승인</x:v>
      </x:c>
      <x:c r="J2242" s="2" t="str">
        <x:v>심의승인</x:v>
      </x:c>
      <x:c r="K2242" s="2" t="str">
        <x:f>IF(OR(J2242="심의승인",J2242="반려",J2242="반려완료",J2242="심의완료"),"종결 표시",IF(OR(J2242="기후부협의",J2242="문서재제출요청",J2242="보류",J2242="보완요청",J2242="보완완료",J2242="평가중",J2242="반려요청",J2242="평가필요",LEFT(J2242,5)="보완요청("),"미종결 표시","상태 확인 필요"))</x:f>
        <x:v>종결 표시</x:v>
      </x:c>
      <x:c r="L2242" s="2"/>
      <x:c r="M2242" s="2"/>
      <x:c r="N2242" s="8" t="n">
        <x:f>DATE(2026,10,15)-DATE(2022,6,24)</x:f>
        <x:v>1574</x:v>
      </x:c>
      <x:c r="O2242" s="2"/>
      <x:c r="P2242" s="2"/>
      <x:c r="Q2242" s="2" t="str">
        <x:v>산업전환_외부사업관리Tool_260707_이너젠 수정_LJY_261013.xlsx</x:v>
      </x:c>
      <x:c r="R2242" s="2" t="str">
        <x:v>국내인증</x:v>
      </x:c>
      <x:c r="S2242" s="8" t="n">
        <x:v>560</x:v>
      </x:c>
      <x:c r="T2242" s="2" t="str">
        <x:v>(7/13),(8/16),(11/18),(12/27)</x:v>
      </x:c>
      <x:c r="U2242" s="2" t="str">
        <x:v>2022 배정: (7/13),(8/16),(11/18),(12/27) / 2023 배정: 2023년 처리</x:v>
      </x:c>
      <x:c r="V2242" s="2" t="str">
        <x:v>2023-06-22</x:v>
      </x:c>
      <x:c r="W2242" s="2" t="str">
        <x:v>담당기관 확인</x:v>
      </x:c>
      <x:c r="X2242" s="2" t="str">
        <x:v>원본·배정 기록 확인</x:v>
      </x:c>
      <x:c r="Y2242" s="2" t="str">
        <x:v>ad210cd9ec132cfd447541c8984dc53d30aff0f4fb2dc92d254d49275cc55976</x:v>
      </x:c>
      <x:c r="Z2242" s="2" t="n">
        <x:f>SUBTOTAL(103,A2242)</x:f>
        <x:v>1</x:v>
      </x:c>
      <x:c r="AA2242" s="2" t="str">
        <x:f>IF(K2242&lt;&gt;"미종결 표시","대상 아님",IF(N2242="","신청일 확인",IF(NOT(ISNUMBER('종합 현황'!$H$5)),"관찰기준 확인",IF('종합 현황'!$H$5&lt;1,"관찰기준 확인",IF(N2242&gt;'종합 현황'!$H$5,"내부 관찰 대상","내부 관찰일 이하")))))</x:f>
        <x:v>대상 아님</x:v>
      </x:c>
      <x:c r="AB2242" s="2"/>
    </x:row>
    <x:row r="2243" ht="42" customHeight="1">
      <x:c r="A2243" s="2" t="str">
        <x:v>fe35f0ab68f895e30681d75d</x:v>
      </x:c>
      <x:c r="B2243" s="2" t="str">
        <x:v>감축량 인증</x:v>
      </x:c>
      <x:c r="C2243" s="2" t="str">
        <x:v>국내</x:v>
      </x:c>
      <x:c r="D2243" s="7" t="str">
        <x:v>성모자애드림힐 태양광발전 자가사용 감축사업</x:v>
      </x:c>
      <x:c r="E2243" s="2" t="str">
        <x:v>483</x:v>
      </x:c>
      <x:c r="F2243" s="2" t="str">
        <x:v>2022-06-24</x:v>
      </x:c>
      <x:c r="G2243" s="2" t="str">
        <x:v>2022</x:v>
      </x:c>
      <x:c r="H2243" s="2" t="str">
        <x:v>06</x:v>
      </x:c>
      <x:c r="I2243" s="2" t="str">
        <x:v>심의승인</x:v>
      </x:c>
      <x:c r="J2243" s="2" t="str">
        <x:v>심의승인</x:v>
      </x:c>
      <x:c r="K2243" s="2" t="str">
        <x:f>IF(OR(J2243="심의승인",J2243="반려",J2243="반려완료",J2243="심의완료"),"종결 표시",IF(OR(J2243="기후부협의",J2243="문서재제출요청",J2243="보류",J2243="보완요청",J2243="보완완료",J2243="평가중",J2243="반려요청",J2243="평가필요",LEFT(J2243,5)="보완요청("),"미종결 표시","상태 확인 필요"))</x:f>
        <x:v>종결 표시</x:v>
      </x:c>
      <x:c r="L2243" s="2"/>
      <x:c r="M2243" s="2"/>
      <x:c r="N2243" s="8" t="n">
        <x:f>DATE(2026,10,15)-DATE(2022,6,24)</x:f>
        <x:v>1574</x:v>
      </x:c>
      <x:c r="O2243" s="2"/>
      <x:c r="P2243" s="2"/>
      <x:c r="Q2243" s="2" t="str">
        <x:v>산업전환_외부사업관리Tool_260707_이너젠 수정_LJY_261013.xlsx</x:v>
      </x:c>
      <x:c r="R2243" s="2" t="str">
        <x:v>국내인증</x:v>
      </x:c>
      <x:c r="S2243" s="8" t="n">
        <x:v>561</x:v>
      </x:c>
      <x:c r="T2243" s="2" t="str">
        <x:v>(7/13),(8/16),(11/18),(12/27)</x:v>
      </x:c>
      <x:c r="U2243" s="2" t="str">
        <x:v>2022 배정: (7/13),(8/16),(11/18),(12/27) / 2023 배정: 2023년 처리</x:v>
      </x:c>
      <x:c r="V2243" s="2" t="str">
        <x:v>2023-06-22</x:v>
      </x:c>
      <x:c r="W2243" s="2" t="str">
        <x:v>담당기관 확인</x:v>
      </x:c>
      <x:c r="X2243" s="2" t="str">
        <x:v>원본·배정 기록 확인</x:v>
      </x:c>
      <x:c r="Y2243" s="2" t="str">
        <x:v>ad210cd9ec132cfd447541c8984dc53d30aff0f4fb2dc92d254d49275cc55976</x:v>
      </x:c>
      <x:c r="Z2243" s="2" t="n">
        <x:f>SUBTOTAL(103,A2243)</x:f>
        <x:v>1</x:v>
      </x:c>
      <x:c r="AA2243" s="2" t="str">
        <x:f>IF(K2243&lt;&gt;"미종결 표시","대상 아님",IF(N2243="","신청일 확인",IF(NOT(ISNUMBER('종합 현황'!$H$5)),"관찰기준 확인",IF('종합 현황'!$H$5&lt;1,"관찰기준 확인",IF(N2243&gt;'종합 현황'!$H$5,"내부 관찰 대상","내부 관찰일 이하")))))</x:f>
        <x:v>대상 아님</x:v>
      </x:c>
      <x:c r="AB2243" s="2"/>
    </x:row>
    <x:row r="2244" ht="42" customHeight="1">
      <x:c r="A2244" s="2" t="str">
        <x:v>30a2987f9a563ef2b3cc7bd0</x:v>
      </x:c>
      <x:c r="B2244" s="2" t="str">
        <x:v>감축량 인증</x:v>
      </x:c>
      <x:c r="C2244" s="2" t="str">
        <x:v>국내</x:v>
      </x:c>
      <x:c r="D2244" s="7" t="str">
        <x:v>은평재활원 태양광발전 자가사용 감축사업</x:v>
      </x:c>
      <x:c r="E2244" s="2" t="str">
        <x:v>484</x:v>
      </x:c>
      <x:c r="F2244" s="2" t="str">
        <x:v>2022-06-24</x:v>
      </x:c>
      <x:c r="G2244" s="2" t="str">
        <x:v>2022</x:v>
      </x:c>
      <x:c r="H2244" s="2" t="str">
        <x:v>06</x:v>
      </x:c>
      <x:c r="I2244" s="2" t="str">
        <x:v>심의승인</x:v>
      </x:c>
      <x:c r="J2244" s="2" t="str">
        <x:v>심의승인</x:v>
      </x:c>
      <x:c r="K2244" s="2" t="str">
        <x:f>IF(OR(J2244="심의승인",J2244="반려",J2244="반려완료",J2244="심의완료"),"종결 표시",IF(OR(J2244="기후부협의",J2244="문서재제출요청",J2244="보류",J2244="보완요청",J2244="보완완료",J2244="평가중",J2244="반려요청",J2244="평가필요",LEFT(J2244,5)="보완요청("),"미종결 표시","상태 확인 필요"))</x:f>
        <x:v>종결 표시</x:v>
      </x:c>
      <x:c r="L2244" s="2"/>
      <x:c r="M2244" s="2"/>
      <x:c r="N2244" s="8" t="n">
        <x:f>DATE(2026,10,15)-DATE(2022,6,24)</x:f>
        <x:v>1574</x:v>
      </x:c>
      <x:c r="O2244" s="2"/>
      <x:c r="P2244" s="2"/>
      <x:c r="Q2244" s="2" t="str">
        <x:v>산업전환_외부사업관리Tool_260707_이너젠 수정_LJY_261013.xlsx</x:v>
      </x:c>
      <x:c r="R2244" s="2" t="str">
        <x:v>국내인증</x:v>
      </x:c>
      <x:c r="S2244" s="8" t="n">
        <x:v>562</x:v>
      </x:c>
      <x:c r="T2244" s="2" t="str">
        <x:v>(7/13),(11/18),(12/27)</x:v>
      </x:c>
      <x:c r="U2244" s="2" t="str">
        <x:v>2022 배정: (7/13),(11/18),(12/27) / 2023 배정: 2023년 처리</x:v>
      </x:c>
      <x:c r="V2244" s="2" t="str">
        <x:v>2023-06-22</x:v>
      </x:c>
      <x:c r="W2244" s="2" t="str">
        <x:v>담당기관 확인</x:v>
      </x:c>
      <x:c r="X2244" s="2" t="str">
        <x:v>원본·배정 기록 확인</x:v>
      </x:c>
      <x:c r="Y2244" s="2" t="str">
        <x:v>ad210cd9ec132cfd447541c8984dc53d30aff0f4fb2dc92d254d49275cc55976</x:v>
      </x:c>
      <x:c r="Z2244" s="2" t="n">
        <x:f>SUBTOTAL(103,A2244)</x:f>
        <x:v>1</x:v>
      </x:c>
      <x:c r="AA2244" s="2" t="str">
        <x:f>IF(K2244&lt;&gt;"미종결 표시","대상 아님",IF(N2244="","신청일 확인",IF(NOT(ISNUMBER('종합 현황'!$H$5)),"관찰기준 확인",IF('종합 현황'!$H$5&lt;1,"관찰기준 확인",IF(N2244&gt;'종합 현황'!$H$5,"내부 관찰 대상","내부 관찰일 이하")))))</x:f>
        <x:v>대상 아님</x:v>
      </x:c>
      <x:c r="AB2244" s="2"/>
    </x:row>
    <x:row r="2245" ht="42" customHeight="1">
      <x:c r="A2245" s="2" t="str">
        <x:v>3e4792b9118fcb325abe0260</x:v>
      </x:c>
      <x:c r="B2245" s="2" t="str">
        <x:v>감축량 인증</x:v>
      </x:c>
      <x:c r="C2245" s="2" t="str">
        <x:v>국내</x:v>
      </x:c>
      <x:c r="D2245" s="7" t="str">
        <x:v>은평천사원 태양광발전 자가사용 감축사업</x:v>
      </x:c>
      <x:c r="E2245" s="2" t="str">
        <x:v>485</x:v>
      </x:c>
      <x:c r="F2245" s="2" t="str">
        <x:v>2022-06-24</x:v>
      </x:c>
      <x:c r="G2245" s="2" t="str">
        <x:v>2022</x:v>
      </x:c>
      <x:c r="H2245" s="2" t="str">
        <x:v>06</x:v>
      </x:c>
      <x:c r="I2245" s="2" t="str">
        <x:v>심의승인</x:v>
      </x:c>
      <x:c r="J2245" s="2" t="str">
        <x:v>심의승인</x:v>
      </x:c>
      <x:c r="K2245" s="2" t="str">
        <x:f>IF(OR(J2245="심의승인",J2245="반려",J2245="반려완료",J2245="심의완료"),"종결 표시",IF(OR(J2245="기후부협의",J2245="문서재제출요청",J2245="보류",J2245="보완요청",J2245="보완완료",J2245="평가중",J2245="반려요청",J2245="평가필요",LEFT(J2245,5)="보완요청("),"미종결 표시","상태 확인 필요"))</x:f>
        <x:v>종결 표시</x:v>
      </x:c>
      <x:c r="L2245" s="2"/>
      <x:c r="M2245" s="2"/>
      <x:c r="N2245" s="8" t="n">
        <x:f>DATE(2026,10,15)-DATE(2022,6,24)</x:f>
        <x:v>1574</x:v>
      </x:c>
      <x:c r="O2245" s="2"/>
      <x:c r="P2245" s="2"/>
      <x:c r="Q2245" s="2" t="str">
        <x:v>산업전환_외부사업관리Tool_260707_이너젠 수정_LJY_261013.xlsx</x:v>
      </x:c>
      <x:c r="R2245" s="2" t="str">
        <x:v>국내인증</x:v>
      </x:c>
      <x:c r="S2245" s="8" t="n">
        <x:v>563</x:v>
      </x:c>
      <x:c r="T2245" s="2" t="str">
        <x:v>(7/13),(8/16),(11/18),(12/27)</x:v>
      </x:c>
      <x:c r="U2245" s="2" t="str">
        <x:v>2022 배정: (7/13),(8/16),(11/18),(12/27) / 2023 배정: 2023년 처리</x:v>
      </x:c>
      <x:c r="V2245" s="2" t="str">
        <x:v>2023-06-22</x:v>
      </x:c>
      <x:c r="W2245" s="2" t="str">
        <x:v>담당기관 확인</x:v>
      </x:c>
      <x:c r="X2245" s="2" t="str">
        <x:v>원본·배정 기록 확인</x:v>
      </x:c>
      <x:c r="Y2245" s="2" t="str">
        <x:v>ad210cd9ec132cfd447541c8984dc53d30aff0f4fb2dc92d254d49275cc55976</x:v>
      </x:c>
      <x:c r="Z2245" s="2" t="n">
        <x:f>SUBTOTAL(103,A2245)</x:f>
        <x:v>1</x:v>
      </x:c>
      <x:c r="AA2245" s="2" t="str">
        <x:f>IF(K2245&lt;&gt;"미종결 표시","대상 아님",IF(N2245="","신청일 확인",IF(NOT(ISNUMBER('종합 현황'!$H$5)),"관찰기준 확인",IF('종합 현황'!$H$5&lt;1,"관찰기준 확인",IF(N2245&gt;'종합 현황'!$H$5,"내부 관찰 대상","내부 관찰일 이하")))))</x:f>
        <x:v>대상 아님</x:v>
      </x:c>
      <x:c r="AB2245" s="2"/>
    </x:row>
    <x:row r="2246" ht="42" customHeight="1">
      <x:c r="A2246" s="2" t="str">
        <x:v>3a81d95781322f0a248a6a6e</x:v>
      </x:c>
      <x:c r="B2246" s="2" t="str">
        <x:v>감축량 인증</x:v>
      </x:c>
      <x:c r="C2246" s="2" t="str">
        <x:v>국내</x:v>
      </x:c>
      <x:c r="D2246" s="7" t="str">
        <x:v>인강원 태양광발전 자가사용 감축사업</x:v>
      </x:c>
      <x:c r="E2246" s="2" t="str">
        <x:v>486</x:v>
      </x:c>
      <x:c r="F2246" s="2" t="str">
        <x:v>2022-06-24</x:v>
      </x:c>
      <x:c r="G2246" s="2" t="str">
        <x:v>2022</x:v>
      </x:c>
      <x:c r="H2246" s="2" t="str">
        <x:v>06</x:v>
      </x:c>
      <x:c r="I2246" s="2" t="str">
        <x:v>심의승인</x:v>
      </x:c>
      <x:c r="J2246" s="2" t="str">
        <x:v>심의승인</x:v>
      </x:c>
      <x:c r="K2246" s="2" t="str">
        <x:f>IF(OR(J2246="심의승인",J2246="반려",J2246="반려완료",J2246="심의완료"),"종결 표시",IF(OR(J2246="기후부협의",J2246="문서재제출요청",J2246="보류",J2246="보완요청",J2246="보완완료",J2246="평가중",J2246="반려요청",J2246="평가필요",LEFT(J2246,5)="보완요청("),"미종결 표시","상태 확인 필요"))</x:f>
        <x:v>종결 표시</x:v>
      </x:c>
      <x:c r="L2246" s="2"/>
      <x:c r="M2246" s="2"/>
      <x:c r="N2246" s="8" t="n">
        <x:f>DATE(2026,10,15)-DATE(2022,6,24)</x:f>
        <x:v>1574</x:v>
      </x:c>
      <x:c r="O2246" s="2"/>
      <x:c r="P2246" s="2"/>
      <x:c r="Q2246" s="2" t="str">
        <x:v>산업전환_외부사업관리Tool_260707_이너젠 수정_LJY_261013.xlsx</x:v>
      </x:c>
      <x:c r="R2246" s="2" t="str">
        <x:v>국내인증</x:v>
      </x:c>
      <x:c r="S2246" s="8" t="n">
        <x:v>564</x:v>
      </x:c>
      <x:c r="T2246" s="2" t="str">
        <x:v>(7/13),(8/16),(11/18),(12/27)</x:v>
      </x:c>
      <x:c r="U2246" s="2" t="str">
        <x:v>2022 배정: (7/13),(8/16),(11/18),(12/27) / 2023 배정: 2023년 처리</x:v>
      </x:c>
      <x:c r="V2246" s="2" t="str">
        <x:v>2023-06-22</x:v>
      </x:c>
      <x:c r="W2246" s="2" t="str">
        <x:v>담당기관 확인</x:v>
      </x:c>
      <x:c r="X2246" s="2" t="str">
        <x:v>원본·배정 기록 확인</x:v>
      </x:c>
      <x:c r="Y2246" s="2" t="str">
        <x:v>ad210cd9ec132cfd447541c8984dc53d30aff0f4fb2dc92d254d49275cc55976</x:v>
      </x:c>
      <x:c r="Z2246" s="2" t="n">
        <x:f>SUBTOTAL(103,A2246)</x:f>
        <x:v>1</x:v>
      </x:c>
      <x:c r="AA2246" s="2" t="str">
        <x:f>IF(K2246&lt;&gt;"미종결 표시","대상 아님",IF(N2246="","신청일 확인",IF(NOT(ISNUMBER('종합 현황'!$H$5)),"관찰기준 확인",IF('종합 현황'!$H$5&lt;1,"관찰기준 확인",IF(N2246&gt;'종합 현황'!$H$5,"내부 관찰 대상","내부 관찰일 이하")))))</x:f>
        <x:v>대상 아님</x:v>
      </x:c>
      <x:c r="AB2246" s="2"/>
    </x:row>
    <x:row r="2247" ht="42" customHeight="1">
      <x:c r="A2247" s="2" t="str">
        <x:v>867f1e0cef1404d93353550b</x:v>
      </x:c>
      <x:c r="B2247" s="2" t="str">
        <x:v>감축량 인증</x:v>
      </x:c>
      <x:c r="C2247" s="2" t="str">
        <x:v>국내</x:v>
      </x:c>
      <x:c r="D2247" s="7" t="str">
        <x:v>한빛맹아원 태양광발전 자가사용 감축사업</x:v>
      </x:c>
      <x:c r="E2247" s="2" t="str">
        <x:v>487</x:v>
      </x:c>
      <x:c r="F2247" s="2" t="str">
        <x:v>2022-06-24</x:v>
      </x:c>
      <x:c r="G2247" s="2" t="str">
        <x:v>2022</x:v>
      </x:c>
      <x:c r="H2247" s="2" t="str">
        <x:v>06</x:v>
      </x:c>
      <x:c r="I2247" s="2" t="str">
        <x:v>심의승인</x:v>
      </x:c>
      <x:c r="J2247" s="2" t="str">
        <x:v>심의승인</x:v>
      </x:c>
      <x:c r="K2247" s="2" t="str">
        <x:f>IF(OR(J2247="심의승인",J2247="반려",J2247="반려완료",J2247="심의완료"),"종결 표시",IF(OR(J2247="기후부협의",J2247="문서재제출요청",J2247="보류",J2247="보완요청",J2247="보완완료",J2247="평가중",J2247="반려요청",J2247="평가필요",LEFT(J2247,5)="보완요청("),"미종결 표시","상태 확인 필요"))</x:f>
        <x:v>종결 표시</x:v>
      </x:c>
      <x:c r="L2247" s="2"/>
      <x:c r="M2247" s="2"/>
      <x:c r="N2247" s="8" t="n">
        <x:f>DATE(2026,10,15)-DATE(2022,6,24)</x:f>
        <x:v>1574</x:v>
      </x:c>
      <x:c r="O2247" s="2"/>
      <x:c r="P2247" s="2"/>
      <x:c r="Q2247" s="2" t="str">
        <x:v>산업전환_외부사업관리Tool_260707_이너젠 수정_LJY_261013.xlsx</x:v>
      </x:c>
      <x:c r="R2247" s="2" t="str">
        <x:v>국내인증</x:v>
      </x:c>
      <x:c r="S2247" s="8" t="n">
        <x:v>565</x:v>
      </x:c>
      <x:c r="T2247" s="2" t="str">
        <x:v>(7/13),(8/16),(11/18),(12/27)</x:v>
      </x:c>
      <x:c r="U2247" s="2" t="str">
        <x:v>2022 배정: (7/13),(8/16),(11/18),(12/27) / 2023 배정: 2023년 처리</x:v>
      </x:c>
      <x:c r="V2247" s="2" t="str">
        <x:v>2023-06-22</x:v>
      </x:c>
      <x:c r="W2247" s="2" t="str">
        <x:v>담당기관 확인</x:v>
      </x:c>
      <x:c r="X2247" s="2" t="str">
        <x:v>원본·배정 기록 확인</x:v>
      </x:c>
      <x:c r="Y2247" s="2" t="str">
        <x:v>ad210cd9ec132cfd447541c8984dc53d30aff0f4fb2dc92d254d49275cc55976</x:v>
      </x:c>
      <x:c r="Z2247" s="2" t="n">
        <x:f>SUBTOTAL(103,A2247)</x:f>
        <x:v>1</x:v>
      </x:c>
      <x:c r="AA2247" s="2" t="str">
        <x:f>IF(K2247&lt;&gt;"미종결 표시","대상 아님",IF(N2247="","신청일 확인",IF(NOT(ISNUMBER('종합 현황'!$H$5)),"관찰기준 확인",IF('종합 현황'!$H$5&lt;1,"관찰기준 확인",IF(N2247&gt;'종합 현황'!$H$5,"내부 관찰 대상","내부 관찰일 이하")))))</x:f>
        <x:v>대상 아님</x:v>
      </x:c>
      <x:c r="AB2247" s="2"/>
    </x:row>
    <x:row r="2248" ht="42" customHeight="1">
      <x:c r="A2248" s="2" t="str">
        <x:v>b595001286399eb1da1e24da</x:v>
      </x:c>
      <x:c r="B2248" s="2" t="str">
        <x:v>감축량 인증</x:v>
      </x:c>
      <x:c r="C2248" s="2" t="str">
        <x:v>국내</x:v>
      </x:c>
      <x:c r="D2248" s="7" t="str">
        <x:v>에스피탱크터미널의 B-C유에서 도시가스(LNG)로 연료전환을 통한 온실가스 배출 감축사업</x:v>
      </x:c>
      <x:c r="E2248" s="2" t="str">
        <x:v>488</x:v>
      </x:c>
      <x:c r="F2248" s="2"/>
      <x:c r="G2248" s="2" t="str">
        <x:v>미확보</x:v>
      </x:c>
      <x:c r="H2248" s="2" t="str">
        <x:v>미확보</x:v>
      </x:c>
      <x:c r="I2248" s="2" t="str">
        <x:v>심의승인</x:v>
      </x:c>
      <x:c r="J2248" s="2" t="str">
        <x:v>심의승인</x:v>
      </x:c>
      <x:c r="K2248" s="2" t="str">
        <x:f>IF(OR(J2248="심의승인",J2248="반려",J2248="반려완료",J2248="심의완료"),"종결 표시",IF(OR(J2248="기후부협의",J2248="문서재제출요청",J2248="보류",J2248="보완요청",J2248="보완완료",J2248="평가중",J2248="반려요청",J2248="평가필요",LEFT(J2248,5)="보완요청("),"미종결 표시","상태 확인 필요"))</x:f>
        <x:v>종결 표시</x:v>
      </x:c>
      <x:c r="L2248" s="2"/>
      <x:c r="M2248" s="2"/>
      <x:c r="N2248" s="8"/>
      <x:c r="O2248" s="2"/>
      <x:c r="P2248" s="2"/>
      <x:c r="Q2248" s="2" t="str">
        <x:v>산업전환_외부사업관리Tool_260707_이너젠 수정_LJY_261013.xlsx</x:v>
      </x:c>
      <x:c r="R2248" s="2" t="str">
        <x:v>국내인증</x:v>
      </x:c>
      <x:c r="S2248" s="8" t="n">
        <x:v>566</x:v>
      </x:c>
      <x:c r="T2248" s="2" t="str">
        <x:v>(7/13)</x:v>
      </x:c>
      <x:c r="U2248" s="2" t="str">
        <x:v>2022 배정: (7/13)</x:v>
      </x:c>
      <x:c r="V2248" s="2" t="str">
        <x:v>2022-12-28</x:v>
      </x:c>
      <x:c r="W2248" s="2" t="str">
        <x:v>신청일 확인 / 담당기관 확인</x:v>
      </x:c>
      <x:c r="X2248" s="2" t="str">
        <x:v>원본·배정 기록 확인</x:v>
      </x:c>
      <x:c r="Y2248" s="2" t="str">
        <x:v>ad210cd9ec132cfd447541c8984dc53d30aff0f4fb2dc92d254d49275cc55976</x:v>
      </x:c>
      <x:c r="Z2248" s="2" t="n">
        <x:f>SUBTOTAL(103,A2248)</x:f>
        <x:v>1</x:v>
      </x:c>
      <x:c r="AA2248" s="2" t="str">
        <x:f>IF(K2248&lt;&gt;"미종결 표시","대상 아님",IF(N2248="","신청일 확인",IF(NOT(ISNUMBER('종합 현황'!$H$5)),"관찰기준 확인",IF('종합 현황'!$H$5&lt;1,"관찰기준 확인",IF(N2248&gt;'종합 현황'!$H$5,"내부 관찰 대상","내부 관찰일 이하")))))</x:f>
        <x:v>대상 아님</x:v>
      </x:c>
      <x:c r="AB2248" s="2"/>
    </x:row>
    <x:row r="2249" ht="42" customHeight="1">
      <x:c r="A2249" s="2" t="str">
        <x:v>309d54e8bdc86b22ef321bad</x:v>
      </x:c>
      <x:c r="B2249" s="2" t="str">
        <x:v>감축량 인증</x:v>
      </x:c>
      <x:c r="C2249" s="2" t="str">
        <x:v>국내</x:v>
      </x:c>
      <x:c r="D2249" s="7" t="str">
        <x:v>14MW 미래에셋 태양광발전 CDM 사업</x:v>
      </x:c>
      <x:c r="E2249" s="2" t="str">
        <x:v>489</x:v>
      </x:c>
      <x:c r="F2249" s="2"/>
      <x:c r="G2249" s="2" t="str">
        <x:v>미확보</x:v>
      </x:c>
      <x:c r="H2249" s="2" t="str">
        <x:v>미확보</x:v>
      </x:c>
      <x:c r="I2249" s="2" t="str">
        <x:v>심의승인</x:v>
      </x:c>
      <x:c r="J2249" s="2" t="str">
        <x:v>심의승인</x:v>
      </x:c>
      <x:c r="K2249" s="2" t="str">
        <x:f>IF(OR(J2249="심의승인",J2249="반려",J2249="반려완료",J2249="심의완료"),"종결 표시",IF(OR(J2249="기후부협의",J2249="문서재제출요청",J2249="보류",J2249="보완요청",J2249="보완완료",J2249="평가중",J2249="반려요청",J2249="평가필요",LEFT(J2249,5)="보완요청("),"미종결 표시","상태 확인 필요"))</x:f>
        <x:v>종결 표시</x:v>
      </x:c>
      <x:c r="L2249" s="2"/>
      <x:c r="M2249" s="2"/>
      <x:c r="N2249" s="8"/>
      <x:c r="O2249" s="2"/>
      <x:c r="P2249" s="2" t="str">
        <x:v>22년 7월 1일 관장기관 변경으로 인하여 새로 추가됨</x:v>
      </x:c>
      <x:c r="Q2249" s="2" t="str">
        <x:v>산업전환_외부사업관리Tool_260707_이너젠 수정_LJY_261013.xlsx</x:v>
      </x:c>
      <x:c r="R2249" s="2" t="str">
        <x:v>국내인증</x:v>
      </x:c>
      <x:c r="S2249" s="8" t="n">
        <x:v>567</x:v>
      </x:c>
      <x:c r="T2249" s="2"/>
      <x:c r="U2249" s="2" t="str"/>
      <x:c r="V2249" s="2" t="str">
        <x:v>2015-12-17</x:v>
      </x:c>
      <x:c r="W2249" s="2" t="str">
        <x:v>신청일 확인 / 담당기관 확인</x:v>
      </x:c>
      <x:c r="X2249" s="2" t="str">
        <x:v>원본·배정 기록 확인</x:v>
      </x:c>
      <x:c r="Y2249" s="2" t="str">
        <x:v>ad210cd9ec132cfd447541c8984dc53d30aff0f4fb2dc92d254d49275cc55976</x:v>
      </x:c>
      <x:c r="Z2249" s="2" t="n">
        <x:f>SUBTOTAL(103,A2249)</x:f>
        <x:v>1</x:v>
      </x:c>
      <x:c r="AA2249" s="2" t="str">
        <x:f>IF(K2249&lt;&gt;"미종결 표시","대상 아님",IF(N2249="","신청일 확인",IF(NOT(ISNUMBER('종합 현황'!$H$5)),"관찰기준 확인",IF('종합 현황'!$H$5&lt;1,"관찰기준 확인",IF(N2249&gt;'종합 현황'!$H$5,"내부 관찰 대상","내부 관찰일 이하")))))</x:f>
        <x:v>대상 아님</x:v>
      </x:c>
      <x:c r="AB2249" s="2"/>
    </x:row>
    <x:row r="2250" ht="42" customHeight="1">
      <x:c r="A2250" s="2" t="str">
        <x:v>5507ad001a556389d541e0fb</x:v>
      </x:c>
      <x:c r="B2250" s="2" t="str">
        <x:v>감축량 인증</x:v>
      </x:c>
      <x:c r="C2250" s="2" t="str">
        <x:v>국내</x:v>
      </x:c>
      <x:c r="D2250" s="7" t="str">
        <x:v>14MW 미래에셋 태양광발전 CDM 사업</x:v>
      </x:c>
      <x:c r="E2250" s="2" t="str">
        <x:v>490</x:v>
      </x:c>
      <x:c r="F2250" s="2"/>
      <x:c r="G2250" s="2" t="str">
        <x:v>미확보</x:v>
      </x:c>
      <x:c r="H2250" s="2" t="str">
        <x:v>미확보</x:v>
      </x:c>
      <x:c r="I2250" s="2" t="str">
        <x:v>심의승인</x:v>
      </x:c>
      <x:c r="J2250" s="2" t="str">
        <x:v>심의승인</x:v>
      </x:c>
      <x:c r="K2250" s="2" t="str">
        <x:f>IF(OR(J2250="심의승인",J2250="반려",J2250="반려완료",J2250="심의완료"),"종결 표시",IF(OR(J2250="기후부협의",J2250="문서재제출요청",J2250="보류",J2250="보완요청",J2250="보완완료",J2250="평가중",J2250="반려요청",J2250="평가필요",LEFT(J2250,5)="보완요청("),"미종결 표시","상태 확인 필요"))</x:f>
        <x:v>종결 표시</x:v>
      </x:c>
      <x:c r="L2250" s="2"/>
      <x:c r="M2250" s="2"/>
      <x:c r="N2250" s="8"/>
      <x:c r="O2250" s="2"/>
      <x:c r="P2250" s="2"/>
      <x:c r="Q2250" s="2" t="str">
        <x:v>산업전환_외부사업관리Tool_260707_이너젠 수정_LJY_261013.xlsx</x:v>
      </x:c>
      <x:c r="R2250" s="2" t="str">
        <x:v>국내인증</x:v>
      </x:c>
      <x:c r="S2250" s="8" t="n">
        <x:v>568</x:v>
      </x:c>
      <x:c r="T2250" s="2" t="str">
        <x:v>(7/13)</x:v>
      </x:c>
      <x:c r="U2250" s="2" t="str">
        <x:v>2022 배정: (7/13)</x:v>
      </x:c>
      <x:c r="V2250" s="2" t="str">
        <x:v>2022-12-28</x:v>
      </x:c>
      <x:c r="W2250" s="2" t="str">
        <x:v>신청일 확인 / 담당기관 확인</x:v>
      </x:c>
      <x:c r="X2250" s="2" t="str">
        <x:v>원본·배정 기록 확인</x:v>
      </x:c>
      <x:c r="Y2250" s="2" t="str">
        <x:v>ad210cd9ec132cfd447541c8984dc53d30aff0f4fb2dc92d254d49275cc55976</x:v>
      </x:c>
      <x:c r="Z2250" s="2" t="n">
        <x:f>SUBTOTAL(103,A2250)</x:f>
        <x:v>1</x:v>
      </x:c>
      <x:c r="AA2250" s="2" t="str">
        <x:f>IF(K2250&lt;&gt;"미종결 표시","대상 아님",IF(N2250="","신청일 확인",IF(NOT(ISNUMBER('종합 현황'!$H$5)),"관찰기준 확인",IF('종합 현황'!$H$5&lt;1,"관찰기준 확인",IF(N2250&gt;'종합 현황'!$H$5,"내부 관찰 대상","내부 관찰일 이하")))))</x:f>
        <x:v>대상 아님</x:v>
      </x:c>
      <x:c r="AB2250" s="2"/>
    </x:row>
    <x:row r="2251" ht="42" customHeight="1">
      <x:c r="A2251" s="2" t="str">
        <x:v>b41f4a3a8622fd9b872edf5e</x:v>
      </x:c>
      <x:c r="B2251" s="2" t="str">
        <x:v>감축량 인증</x:v>
      </x:c>
      <x:c r="C2251" s="2" t="str">
        <x:v>국내</x:v>
      </x:c>
      <x:c r="D2251" s="7" t="str">
        <x:v>24MW 동양에너지 태양광발전</x:v>
      </x:c>
      <x:c r="E2251" s="2" t="str">
        <x:v>491</x:v>
      </x:c>
      <x:c r="F2251" s="2"/>
      <x:c r="G2251" s="2" t="str">
        <x:v>미확보</x:v>
      </x:c>
      <x:c r="H2251" s="2" t="str">
        <x:v>미확보</x:v>
      </x:c>
      <x:c r="I2251" s="2" t="str">
        <x:v>심의승인</x:v>
      </x:c>
      <x:c r="J2251" s="2" t="str">
        <x:v>심의승인</x:v>
      </x:c>
      <x:c r="K2251" s="2" t="str">
        <x:f>IF(OR(J2251="심의승인",J2251="반려",J2251="반려완료",J2251="심의완료"),"종결 표시",IF(OR(J2251="기후부협의",J2251="문서재제출요청",J2251="보류",J2251="보완요청",J2251="보완완료",J2251="평가중",J2251="반려요청",J2251="평가필요",LEFT(J2251,5)="보완요청("),"미종결 표시","상태 확인 필요"))</x:f>
        <x:v>종결 표시</x:v>
      </x:c>
      <x:c r="L2251" s="2"/>
      <x:c r="M2251" s="2"/>
      <x:c r="N2251" s="8"/>
      <x:c r="O2251" s="2"/>
      <x:c r="P2251" s="2"/>
      <x:c r="Q2251" s="2" t="str">
        <x:v>산업전환_외부사업관리Tool_260707_이너젠 수정_LJY_261013.xlsx</x:v>
      </x:c>
      <x:c r="R2251" s="2" t="str">
        <x:v>국내인증</x:v>
      </x:c>
      <x:c r="S2251" s="8" t="n">
        <x:v>569</x:v>
      </x:c>
      <x:c r="T2251" s="2" t="str">
        <x:v>(7/13),(9/19)</x:v>
      </x:c>
      <x:c r="U2251" s="2" t="str">
        <x:v>2022 배정: (7/13),(9/19)</x:v>
      </x:c>
      <x:c r="V2251" s="2" t="str">
        <x:v>2023-03-24</x:v>
      </x:c>
      <x:c r="W2251" s="2" t="str">
        <x:v>신청일 확인 / 담당기관 확인</x:v>
      </x:c>
      <x:c r="X2251" s="2" t="str">
        <x:v>원본·배정 기록 확인</x:v>
      </x:c>
      <x:c r="Y2251" s="2" t="str">
        <x:v>ad210cd9ec132cfd447541c8984dc53d30aff0f4fb2dc92d254d49275cc55976</x:v>
      </x:c>
      <x:c r="Z2251" s="2" t="n">
        <x:f>SUBTOTAL(103,A2251)</x:f>
        <x:v>1</x:v>
      </x:c>
      <x:c r="AA2251" s="2" t="str">
        <x:f>IF(K2251&lt;&gt;"미종결 표시","대상 아님",IF(N2251="","신청일 확인",IF(NOT(ISNUMBER('종합 현황'!$H$5)),"관찰기준 확인",IF('종합 현황'!$H$5&lt;1,"관찰기준 확인",IF(N2251&gt;'종합 현황'!$H$5,"내부 관찰 대상","내부 관찰일 이하")))))</x:f>
        <x:v>대상 아님</x:v>
      </x:c>
      <x:c r="AB2251" s="2"/>
    </x:row>
    <x:row r="2252" ht="42" customHeight="1">
      <x:c r="A2252" s="2" t="str">
        <x:v>2c577ad4935b9d0792807f23</x:v>
      </x:c>
      <x:c r="B2252" s="2" t="str">
        <x:v>감축량 인증</x:v>
      </x:c>
      <x:c r="C2252" s="2" t="str">
        <x:v>국내</x:v>
      </x:c>
      <x:c r="D2252" s="7" t="str">
        <x:v>청라에너지(주) 미활용 소각폐열 회수를 통한 화석연료 사용 절감 및 온실가스 배출 감축사업</x:v>
      </x:c>
      <x:c r="E2252" s="2" t="str">
        <x:v>492</x:v>
      </x:c>
      <x:c r="F2252" s="2" t="str">
        <x:v>2021-06-30</x:v>
      </x:c>
      <x:c r="G2252" s="2" t="str">
        <x:v>2021</x:v>
      </x:c>
      <x:c r="H2252" s="2" t="str">
        <x:v>06</x:v>
      </x:c>
      <x:c r="I2252" s="2" t="str">
        <x:v>심의승인</x:v>
      </x:c>
      <x:c r="J2252" s="2" t="str">
        <x:v>심의승인</x:v>
      </x:c>
      <x:c r="K2252" s="2" t="str">
        <x:f>IF(OR(J2252="심의승인",J2252="반려",J2252="반려완료",J2252="심의완료"),"종결 표시",IF(OR(J2252="기후부협의",J2252="문서재제출요청",J2252="보류",J2252="보완요청",J2252="보완완료",J2252="평가중",J2252="반려요청",J2252="평가필요",LEFT(J2252,5)="보완요청("),"미종결 표시","상태 확인 필요"))</x:f>
        <x:v>종결 표시</x:v>
      </x:c>
      <x:c r="L2252" s="2"/>
      <x:c r="M2252" s="2"/>
      <x:c r="N2252" s="8" t="n">
        <x:f>DATE(2026,10,15)-DATE(2021,6,30)</x:f>
        <x:v>1933</x:v>
      </x:c>
      <x:c r="O2252" s="2"/>
      <x:c r="P2252" s="2" t="str">
        <x:v>사업자 이슈사항 논의 중으로 2월 15일 경 제출 예정</x:v>
      </x:c>
      <x:c r="Q2252" s="2" t="str">
        <x:v>산업전환_외부사업관리Tool_260707_이너젠 수정_LJY_261013.xlsx</x:v>
      </x:c>
      <x:c r="R2252" s="2" t="str">
        <x:v>국내인증</x:v>
      </x:c>
      <x:c r="S2252" s="8" t="n">
        <x:v>570</x:v>
      </x:c>
      <x:c r="T2252" s="2" t="str">
        <x:v>2021년 처리</x:v>
      </x:c>
      <x:c r="U2252" s="2" t="str">
        <x:v>2021 배정: 2021년 처리 / 2022 배정: (9/19),(11/18) / 2023 배정: (3/13),(4/21)</x:v>
      </x:c>
      <x:c r="V2252" s="2" t="str">
        <x:v>2021-10-07</x:v>
      </x:c>
      <x:c r="W2252" s="2" t="str">
        <x:v>담당기관 확인</x:v>
      </x:c>
      <x:c r="X2252" s="2" t="str">
        <x:v>원본·배정 기록 확인</x:v>
      </x:c>
      <x:c r="Y2252" s="2" t="str">
        <x:v>ad210cd9ec132cfd447541c8984dc53d30aff0f4fb2dc92d254d49275cc55976</x:v>
      </x:c>
      <x:c r="Z2252" s="2" t="n">
        <x:f>SUBTOTAL(103,A2252)</x:f>
        <x:v>1</x:v>
      </x:c>
      <x:c r="AA2252" s="2" t="str">
        <x:f>IF(K2252&lt;&gt;"미종결 표시","대상 아님",IF(N2252="","신청일 확인",IF(NOT(ISNUMBER('종합 현황'!$H$5)),"관찰기준 확인",IF('종합 현황'!$H$5&lt;1,"관찰기준 확인",IF(N2252&gt;'종합 현황'!$H$5,"내부 관찰 대상","내부 관찰일 이하")))))</x:f>
        <x:v>대상 아님</x:v>
      </x:c>
      <x:c r="AB2252" s="2"/>
    </x:row>
    <x:row r="2253" ht="42" customHeight="1">
      <x:c r="A2253" s="2" t="str">
        <x:v>bfcbb97884bdea5838ee715a</x:v>
      </x:c>
      <x:c r="B2253" s="2" t="str">
        <x:v>감축량 인증</x:v>
      </x:c>
      <x:c r="C2253" s="2" t="str">
        <x:v>국내</x:v>
      </x:c>
      <x:c r="D2253" s="7" t="str">
        <x:v>대원강업(주) 창원2공장 고효율 공기압축기 교체를  통한  온실가스 감축사업</x:v>
      </x:c>
      <x:c r="E2253" s="2" t="str">
        <x:v>493</x:v>
      </x:c>
      <x:c r="F2253" s="2" t="str">
        <x:v>2022-08-26</x:v>
      </x:c>
      <x:c r="G2253" s="2" t="str">
        <x:v>2022</x:v>
      </x:c>
      <x:c r="H2253" s="2" t="str">
        <x:v>08</x:v>
      </x:c>
      <x:c r="I2253" s="2" t="str">
        <x:v>심의승인</x:v>
      </x:c>
      <x:c r="J2253" s="2" t="str">
        <x:v>심의승인</x:v>
      </x:c>
      <x:c r="K2253" s="2" t="str">
        <x:f>IF(OR(J2253="심의승인",J2253="반려",J2253="반려완료",J2253="심의완료"),"종결 표시",IF(OR(J2253="기후부협의",J2253="문서재제출요청",J2253="보류",J2253="보완요청",J2253="보완완료",J2253="평가중",J2253="반려요청",J2253="평가필요",LEFT(J2253,5)="보완요청("),"미종결 표시","상태 확인 필요"))</x:f>
        <x:v>종결 표시</x:v>
      </x:c>
      <x:c r="L2253" s="2"/>
      <x:c r="M2253" s="2"/>
      <x:c r="N2253" s="8" t="n">
        <x:f>DATE(2026,10,15)-DATE(2022,8,26)</x:f>
        <x:v>1511</x:v>
      </x:c>
      <x:c r="O2253" s="2"/>
      <x:c r="P2253" s="2"/>
      <x:c r="Q2253" s="2" t="str">
        <x:v>산업전환_외부사업관리Tool_260707_이너젠 수정_LJY_261013.xlsx</x:v>
      </x:c>
      <x:c r="R2253" s="2" t="str">
        <x:v>국내인증</x:v>
      </x:c>
      <x:c r="S2253" s="8" t="n">
        <x:v>571</x:v>
      </x:c>
      <x:c r="T2253" s="2" t="str">
        <x:v>(9/19)</x:v>
      </x:c>
      <x:c r="U2253" s="2" t="str">
        <x:v>2022 배정: (9/19) / 2023 배정: (2/17),(5/16),(7/17)</x:v>
      </x:c>
      <x:c r="V2253" s="2" t="str">
        <x:v>2023-12-15</x:v>
      </x:c>
      <x:c r="W2253" s="2" t="str">
        <x:v>담당기관 확인</x:v>
      </x:c>
      <x:c r="X2253" s="2" t="str">
        <x:v>원본·배정 기록 확인</x:v>
      </x:c>
      <x:c r="Y2253" s="2" t="str">
        <x:v>ad210cd9ec132cfd447541c8984dc53d30aff0f4fb2dc92d254d49275cc55976</x:v>
      </x:c>
      <x:c r="Z2253" s="2" t="n">
        <x:f>SUBTOTAL(103,A2253)</x:f>
        <x:v>1</x:v>
      </x:c>
      <x:c r="AA2253" s="2" t="str">
        <x:f>IF(K2253&lt;&gt;"미종결 표시","대상 아님",IF(N2253="","신청일 확인",IF(NOT(ISNUMBER('종합 현황'!$H$5)),"관찰기준 확인",IF('종합 현황'!$H$5&lt;1,"관찰기준 확인",IF(N2253&gt;'종합 현황'!$H$5,"내부 관찰 대상","내부 관찰일 이하")))))</x:f>
        <x:v>대상 아님</x:v>
      </x:c>
      <x:c r="AB2253" s="2"/>
    </x:row>
    <x:row r="2254" ht="42" customHeight="1">
      <x:c r="A2254" s="2" t="str">
        <x:v>8cafa6da03e3650f2cad29d2</x:v>
      </x:c>
      <x:c r="B2254" s="2" t="str">
        <x:v>감축량 인증</x:v>
      </x:c>
      <x:c r="C2254" s="2" t="str">
        <x:v>국내</x:v>
      </x:c>
      <x:c r="D2254" s="7" t="str">
        <x:v>(주)성우하이텍지사공장 인버터 공기압축기 고효율설비 교체사업</x:v>
      </x:c>
      <x:c r="E2254" s="2" t="str">
        <x:v>494</x:v>
      </x:c>
      <x:c r="F2254" s="2" t="str">
        <x:v>2022-08-26</x:v>
      </x:c>
      <x:c r="G2254" s="2" t="str">
        <x:v>2022</x:v>
      </x:c>
      <x:c r="H2254" s="2" t="str">
        <x:v>08</x:v>
      </x:c>
      <x:c r="I2254" s="2" t="str">
        <x:v>심의승인</x:v>
      </x:c>
      <x:c r="J2254" s="2" t="str">
        <x:v>심의승인</x:v>
      </x:c>
      <x:c r="K2254" s="2" t="str">
        <x:f>IF(OR(J2254="심의승인",J2254="반려",J2254="반려완료",J2254="심의완료"),"종결 표시",IF(OR(J2254="기후부협의",J2254="문서재제출요청",J2254="보류",J2254="보완요청",J2254="보완완료",J2254="평가중",J2254="반려요청",J2254="평가필요",LEFT(J2254,5)="보완요청("),"미종결 표시","상태 확인 필요"))</x:f>
        <x:v>종결 표시</x:v>
      </x:c>
      <x:c r="L2254" s="2"/>
      <x:c r="M2254" s="2"/>
      <x:c r="N2254" s="8" t="n">
        <x:f>DATE(2026,10,15)-DATE(2022,8,26)</x:f>
        <x:v>1511</x:v>
      </x:c>
      <x:c r="O2254" s="2"/>
      <x:c r="P2254" s="2"/>
      <x:c r="Q2254" s="2" t="str">
        <x:v>산업전환_외부사업관리Tool_260707_이너젠 수정_LJY_261013.xlsx</x:v>
      </x:c>
      <x:c r="R2254" s="2" t="str">
        <x:v>국내인증</x:v>
      </x:c>
      <x:c r="S2254" s="8" t="n">
        <x:v>572</x:v>
      </x:c>
      <x:c r="T2254" s="2" t="str">
        <x:v>(9/19)</x:v>
      </x:c>
      <x:c r="U2254" s="2" t="str">
        <x:v>2022 배정: (9/19) / 2023 배정: (2/17),(5/16),(6/27)</x:v>
      </x:c>
      <x:c r="V2254" s="2" t="str">
        <x:v>2023-12-15</x:v>
      </x:c>
      <x:c r="W2254" s="2" t="str">
        <x:v>담당기관 확인</x:v>
      </x:c>
      <x:c r="X2254" s="2" t="str">
        <x:v>원본·배정 기록 확인</x:v>
      </x:c>
      <x:c r="Y2254" s="2" t="str">
        <x:v>ad210cd9ec132cfd447541c8984dc53d30aff0f4fb2dc92d254d49275cc55976</x:v>
      </x:c>
      <x:c r="Z2254" s="2" t="n">
        <x:f>SUBTOTAL(103,A2254)</x:f>
        <x:v>1</x:v>
      </x:c>
      <x:c r="AA2254" s="2" t="str">
        <x:f>IF(K2254&lt;&gt;"미종결 표시","대상 아님",IF(N2254="","신청일 확인",IF(NOT(ISNUMBER('종합 현황'!$H$5)),"관찰기준 확인",IF('종합 현황'!$H$5&lt;1,"관찰기준 확인",IF(N2254&gt;'종합 현황'!$H$5,"내부 관찰 대상","내부 관찰일 이하")))))</x:f>
        <x:v>대상 아님</x:v>
      </x:c>
      <x:c r="AB2254" s="2"/>
    </x:row>
    <x:row r="2255" ht="42" customHeight="1">
      <x:c r="A2255" s="2" t="str">
        <x:v>9bfd57fef82c7192edbff4c6</x:v>
      </x:c>
      <x:c r="B2255" s="2" t="str">
        <x:v>감축량 인증</x:v>
      </x:c>
      <x:c r="C2255" s="2" t="str">
        <x:v>국내</x:v>
      </x:c>
      <x:c r="D2255" s="7" t="str">
        <x:v>아산 읍내 주공 아파트 연료전환을 통한 온실가스 단위감축사업</x:v>
      </x:c>
      <x:c r="E2255" s="2" t="str">
        <x:v>495</x:v>
      </x:c>
      <x:c r="F2255" s="2" t="str">
        <x:v>2022-09-13</x:v>
      </x:c>
      <x:c r="G2255" s="2" t="str">
        <x:v>2022</x:v>
      </x:c>
      <x:c r="H2255" s="2" t="str">
        <x:v>09</x:v>
      </x:c>
      <x:c r="I2255" s="2" t="str">
        <x:v>심의승인</x:v>
      </x:c>
      <x:c r="J2255" s="2" t="str">
        <x:v>심의승인</x:v>
      </x:c>
      <x:c r="K2255" s="2" t="str">
        <x:f>IF(OR(J2255="심의승인",J2255="반려",J2255="반려완료",J2255="심의완료"),"종결 표시",IF(OR(J2255="기후부협의",J2255="문서재제출요청",J2255="보류",J2255="보완요청",J2255="보완완료",J2255="평가중",J2255="반려요청",J2255="평가필요",LEFT(J2255,5)="보완요청("),"미종결 표시","상태 확인 필요"))</x:f>
        <x:v>종결 표시</x:v>
      </x:c>
      <x:c r="L2255" s="2" t="str">
        <x:v>에코시안_전윤호</x:v>
      </x:c>
      <x:c r="M2255" s="2"/>
      <x:c r="N2255" s="8" t="n">
        <x:f>DATE(2026,10,15)-DATE(2022,9,13)</x:f>
        <x:v>1493</x:v>
      </x:c>
      <x:c r="O2255" s="2"/>
      <x:c r="P2255" s="2"/>
      <x:c r="Q2255" s="2" t="str">
        <x:v>산업전환_외부사업관리Tool_260707_이너젠 수정_LJY_261013.xlsx</x:v>
      </x:c>
      <x:c r="R2255" s="2" t="str">
        <x:v>국내인증</x:v>
      </x:c>
      <x:c r="S2255" s="8" t="n">
        <x:v>573</x:v>
      </x:c>
      <x:c r="T2255" s="2" t="str">
        <x:v>(9/19)</x:v>
      </x:c>
      <x:c r="U2255" s="2" t="str">
        <x:v>2022 배정: (9/19) / 2023 배정: (4/3),(6/7),(8/7),(9/12)</x:v>
      </x:c>
      <x:c r="V2255" s="2" t="str">
        <x:v>2024-04-09</x:v>
      </x:c>
      <x:c r="W2255" s="2" t="str"/>
      <x:c r="X2255" s="2" t="str">
        <x:v>종결 근거 보관</x:v>
      </x:c>
      <x:c r="Y2255" s="2" t="str">
        <x:v>ad210cd9ec132cfd447541c8984dc53d30aff0f4fb2dc92d254d49275cc55976</x:v>
      </x:c>
      <x:c r="Z2255" s="2" t="n">
        <x:f>SUBTOTAL(103,A2255)</x:f>
        <x:v>1</x:v>
      </x:c>
      <x:c r="AA2255" s="2" t="str">
        <x:f>IF(K2255&lt;&gt;"미종결 표시","대상 아님",IF(N2255="","신청일 확인",IF(NOT(ISNUMBER('종합 현황'!$H$5)),"관찰기준 확인",IF('종합 현황'!$H$5&lt;1,"관찰기준 확인",IF(N2255&gt;'종합 현황'!$H$5,"내부 관찰 대상","내부 관찰일 이하")))))</x:f>
        <x:v>대상 아님</x:v>
      </x:c>
      <x:c r="AB2255" s="2"/>
    </x:row>
    <x:row r="2256" ht="42" customHeight="1">
      <x:c r="A2256" s="2" t="str">
        <x:v>5b5b9aeaf9e475cff110974d</x:v>
      </x:c>
      <x:c r="B2256" s="2" t="str">
        <x:v>감축량 인증</x:v>
      </x:c>
      <x:c r="C2256" s="2" t="str">
        <x:v>국내</x:v>
      </x:c>
      <x:c r="D2256" s="7" t="str">
        <x:v>서산 석림 주공3단지 아파트 연료전환을 통한 온실가스 단위감축사업</x:v>
      </x:c>
      <x:c r="E2256" s="2" t="str">
        <x:v>496</x:v>
      </x:c>
      <x:c r="F2256" s="2" t="str">
        <x:v>2022-09-13</x:v>
      </x:c>
      <x:c r="G2256" s="2" t="str">
        <x:v>2022</x:v>
      </x:c>
      <x:c r="H2256" s="2" t="str">
        <x:v>09</x:v>
      </x:c>
      <x:c r="I2256" s="2" t="str">
        <x:v>심의승인</x:v>
      </x:c>
      <x:c r="J2256" s="2" t="str">
        <x:v>심의승인</x:v>
      </x:c>
      <x:c r="K2256" s="2" t="str">
        <x:f>IF(OR(J2256="심의승인",J2256="반려",J2256="반려완료",J2256="심의완료"),"종결 표시",IF(OR(J2256="기후부협의",J2256="문서재제출요청",J2256="보류",J2256="보완요청",J2256="보완완료",J2256="평가중",J2256="반려요청",J2256="평가필요",LEFT(J2256,5)="보완요청("),"미종결 표시","상태 확인 필요"))</x:f>
        <x:v>종결 표시</x:v>
      </x:c>
      <x:c r="L2256" s="2"/>
      <x:c r="M2256" s="2"/>
      <x:c r="N2256" s="8" t="n">
        <x:f>DATE(2026,10,15)-DATE(2022,9,13)</x:f>
        <x:v>1493</x:v>
      </x:c>
      <x:c r="O2256" s="2"/>
      <x:c r="P2256" s="2"/>
      <x:c r="Q2256" s="2" t="str">
        <x:v>산업전환_외부사업관리Tool_260707_이너젠 수정_LJY_261013.xlsx</x:v>
      </x:c>
      <x:c r="R2256" s="2" t="str">
        <x:v>국내인증</x:v>
      </x:c>
      <x:c r="S2256" s="8" t="n">
        <x:v>574</x:v>
      </x:c>
      <x:c r="T2256" s="2" t="str">
        <x:v>(9/19)</x:v>
      </x:c>
      <x:c r="U2256" s="2" t="str">
        <x:v>2022 배정: (9/19) / 2023 배정: (4/3)</x:v>
      </x:c>
      <x:c r="V2256" s="2" t="str">
        <x:v>2023-09-20</x:v>
      </x:c>
      <x:c r="W2256" s="2" t="str">
        <x:v>담당기관 확인</x:v>
      </x:c>
      <x:c r="X2256" s="2" t="str">
        <x:v>원본·배정 기록 확인</x:v>
      </x:c>
      <x:c r="Y2256" s="2" t="str">
        <x:v>ad210cd9ec132cfd447541c8984dc53d30aff0f4fb2dc92d254d49275cc55976</x:v>
      </x:c>
      <x:c r="Z2256" s="2" t="n">
        <x:f>SUBTOTAL(103,A2256)</x:f>
        <x:v>1</x:v>
      </x:c>
      <x:c r="AA2256" s="2" t="str">
        <x:f>IF(K2256&lt;&gt;"미종결 표시","대상 아님",IF(N2256="","신청일 확인",IF(NOT(ISNUMBER('종합 현황'!$H$5)),"관찰기준 확인",IF('종합 현황'!$H$5&lt;1,"관찰기준 확인",IF(N2256&gt;'종합 현황'!$H$5,"내부 관찰 대상","내부 관찰일 이하")))))</x:f>
        <x:v>대상 아님</x:v>
      </x:c>
      <x:c r="AB2256" s="2"/>
    </x:row>
    <x:row r="2257" ht="42" customHeight="1">
      <x:c r="A2257" s="2" t="str">
        <x:v>db2dbd015657385c6f2b8b9c</x:v>
      </x:c>
      <x:c r="B2257" s="2" t="str">
        <x:v>감축량 인증</x:v>
      </x:c>
      <x:c r="C2257" s="2" t="str">
        <x:v>국내</x:v>
      </x:c>
      <x:c r="D2257" s="7" t="str">
        <x:v>부산 금곡2단지 아파트 연료전환을 통한 온실가스 단위감축사업</x:v>
      </x:c>
      <x:c r="E2257" s="2" t="str">
        <x:v>497</x:v>
      </x:c>
      <x:c r="F2257" s="2" t="str">
        <x:v>2022-09-13</x:v>
      </x:c>
      <x:c r="G2257" s="2" t="str">
        <x:v>2022</x:v>
      </x:c>
      <x:c r="H2257" s="2" t="str">
        <x:v>09</x:v>
      </x:c>
      <x:c r="I2257" s="2" t="str">
        <x:v>심의승인</x:v>
      </x:c>
      <x:c r="J2257" s="2" t="str">
        <x:v>심의승인</x:v>
      </x:c>
      <x:c r="K2257" s="2" t="str">
        <x:f>IF(OR(J2257="심의승인",J2257="반려",J2257="반려완료",J2257="심의완료"),"종결 표시",IF(OR(J2257="기후부협의",J2257="문서재제출요청",J2257="보류",J2257="보완요청",J2257="보완완료",J2257="평가중",J2257="반려요청",J2257="평가필요",LEFT(J2257,5)="보완요청("),"미종결 표시","상태 확인 필요"))</x:f>
        <x:v>종결 표시</x:v>
      </x:c>
      <x:c r="L2257" s="2"/>
      <x:c r="M2257" s="2"/>
      <x:c r="N2257" s="8" t="n">
        <x:f>DATE(2026,10,15)-DATE(2022,9,13)</x:f>
        <x:v>1493</x:v>
      </x:c>
      <x:c r="O2257" s="2"/>
      <x:c r="P2257" s="2"/>
      <x:c r="Q2257" s="2" t="str">
        <x:v>산업전환_외부사업관리Tool_260707_이너젠 수정_LJY_261013.xlsx</x:v>
      </x:c>
      <x:c r="R2257" s="2" t="str">
        <x:v>국내인증</x:v>
      </x:c>
      <x:c r="S2257" s="8" t="n">
        <x:v>575</x:v>
      </x:c>
      <x:c r="T2257" s="2" t="str">
        <x:v>(9/19)</x:v>
      </x:c>
      <x:c r="U2257" s="2" t="str">
        <x:v>2022 배정: (9/19) / 2023 배정: (4/3),(6/7)</x:v>
      </x:c>
      <x:c r="V2257" s="2" t="str">
        <x:v>2023-12-15</x:v>
      </x:c>
      <x:c r="W2257" s="2" t="str">
        <x:v>담당기관 확인</x:v>
      </x:c>
      <x:c r="X2257" s="2" t="str">
        <x:v>원본·배정 기록 확인</x:v>
      </x:c>
      <x:c r="Y2257" s="2" t="str">
        <x:v>ad210cd9ec132cfd447541c8984dc53d30aff0f4fb2dc92d254d49275cc55976</x:v>
      </x:c>
      <x:c r="Z2257" s="2" t="n">
        <x:f>SUBTOTAL(103,A2257)</x:f>
        <x:v>1</x:v>
      </x:c>
      <x:c r="AA2257" s="2" t="str">
        <x:f>IF(K2257&lt;&gt;"미종결 표시","대상 아님",IF(N2257="","신청일 확인",IF(NOT(ISNUMBER('종합 현황'!$H$5)),"관찰기준 확인",IF('종합 현황'!$H$5&lt;1,"관찰기준 확인",IF(N2257&gt;'종합 현황'!$H$5,"내부 관찰 대상","내부 관찰일 이하")))))</x:f>
        <x:v>대상 아님</x:v>
      </x:c>
      <x:c r="AB2257" s="2"/>
    </x:row>
    <x:row r="2258" ht="42" customHeight="1">
      <x:c r="A2258" s="2" t="str">
        <x:v>c00824f546c8d12472ae4270</x:v>
      </x:c>
      <x:c r="B2258" s="2" t="str">
        <x:v>감축량 인증</x:v>
      </x:c>
      <x:c r="C2258" s="2" t="str">
        <x:v>국내</x:v>
      </x:c>
      <x:c r="D2258" s="7" t="str">
        <x:v>부산 동삼 주공 1단지 아파트 연료전환을 통한 온실가스 단위감축사업</x:v>
      </x:c>
      <x:c r="E2258" s="2" t="str">
        <x:v>498</x:v>
      </x:c>
      <x:c r="F2258" s="2" t="str">
        <x:v>2022-09-13</x:v>
      </x:c>
      <x:c r="G2258" s="2" t="str">
        <x:v>2022</x:v>
      </x:c>
      <x:c r="H2258" s="2" t="str">
        <x:v>09</x:v>
      </x:c>
      <x:c r="I2258" s="2" t="str">
        <x:v>심의승인</x:v>
      </x:c>
      <x:c r="J2258" s="2" t="str">
        <x:v>심의승인</x:v>
      </x:c>
      <x:c r="K2258" s="2" t="str">
        <x:f>IF(OR(J2258="심의승인",J2258="반려",J2258="반려완료",J2258="심의완료"),"종결 표시",IF(OR(J2258="기후부협의",J2258="문서재제출요청",J2258="보류",J2258="보완요청",J2258="보완완료",J2258="평가중",J2258="반려요청",J2258="평가필요",LEFT(J2258,5)="보완요청("),"미종결 표시","상태 확인 필요"))</x:f>
        <x:v>종결 표시</x:v>
      </x:c>
      <x:c r="L2258" s="2"/>
      <x:c r="M2258" s="2"/>
      <x:c r="N2258" s="8" t="n">
        <x:f>DATE(2026,10,15)-DATE(2022,9,13)</x:f>
        <x:v>1493</x:v>
      </x:c>
      <x:c r="O2258" s="2"/>
      <x:c r="P2258" s="2"/>
      <x:c r="Q2258" s="2" t="str">
        <x:v>산업전환_외부사업관리Tool_260707_이너젠 수정_LJY_261013.xlsx</x:v>
      </x:c>
      <x:c r="R2258" s="2" t="str">
        <x:v>국내인증</x:v>
      </x:c>
      <x:c r="S2258" s="8" t="n">
        <x:v>576</x:v>
      </x:c>
      <x:c r="T2258" s="2" t="str">
        <x:v>(9/19)</x:v>
      </x:c>
      <x:c r="U2258" s="2" t="str">
        <x:v>2022 배정: (9/19) / 2023 배정: (4/3),(6/7),(7/17)</x:v>
      </x:c>
      <x:c r="V2258" s="2" t="str">
        <x:v>2023-12-15</x:v>
      </x:c>
      <x:c r="W2258" s="2" t="str">
        <x:v>담당기관 확인</x:v>
      </x:c>
      <x:c r="X2258" s="2" t="str">
        <x:v>원본·배정 기록 확인</x:v>
      </x:c>
      <x:c r="Y2258" s="2" t="str">
        <x:v>ad210cd9ec132cfd447541c8984dc53d30aff0f4fb2dc92d254d49275cc55976</x:v>
      </x:c>
      <x:c r="Z2258" s="2" t="n">
        <x:f>SUBTOTAL(103,A2258)</x:f>
        <x:v>1</x:v>
      </x:c>
      <x:c r="AA2258" s="2" t="str">
        <x:f>IF(K2258&lt;&gt;"미종결 표시","대상 아님",IF(N2258="","신청일 확인",IF(NOT(ISNUMBER('종합 현황'!$H$5)),"관찰기준 확인",IF('종합 현황'!$H$5&lt;1,"관찰기준 확인",IF(N2258&gt;'종합 현황'!$H$5,"내부 관찰 대상","내부 관찰일 이하")))))</x:f>
        <x:v>대상 아님</x:v>
      </x:c>
      <x:c r="AB2258" s="2"/>
    </x:row>
    <x:row r="2259" ht="42" customHeight="1">
      <x:c r="A2259" s="2" t="str">
        <x:v>26572f0571f18b0154ba1537</x:v>
      </x:c>
      <x:c r="B2259" s="2" t="str">
        <x:v>감축량 인증</x:v>
      </x:c>
      <x:c r="C2259" s="2" t="str">
        <x:v>국내</x:v>
      </x:c>
      <x:c r="D2259" s="7" t="str">
        <x:v>부산 금곡4단지 아파트 연료전환을 통한 온실가스 단위감축사업</x:v>
      </x:c>
      <x:c r="E2259" s="2" t="str">
        <x:v>499</x:v>
      </x:c>
      <x:c r="F2259" s="2" t="str">
        <x:v>2022-09-13</x:v>
      </x:c>
      <x:c r="G2259" s="2" t="str">
        <x:v>2022</x:v>
      </x:c>
      <x:c r="H2259" s="2" t="str">
        <x:v>09</x:v>
      </x:c>
      <x:c r="I2259" s="2" t="str">
        <x:v>심의승인</x:v>
      </x:c>
      <x:c r="J2259" s="2" t="str">
        <x:v>심의승인</x:v>
      </x:c>
      <x:c r="K2259" s="2" t="str">
        <x:f>IF(OR(J2259="심의승인",J2259="반려",J2259="반려완료",J2259="심의완료"),"종결 표시",IF(OR(J2259="기후부협의",J2259="문서재제출요청",J2259="보류",J2259="보완요청",J2259="보완완료",J2259="평가중",J2259="반려요청",J2259="평가필요",LEFT(J2259,5)="보완요청("),"미종결 표시","상태 확인 필요"))</x:f>
        <x:v>종결 표시</x:v>
      </x:c>
      <x:c r="L2259" s="2"/>
      <x:c r="M2259" s="2"/>
      <x:c r="N2259" s="8" t="n">
        <x:f>DATE(2026,10,15)-DATE(2022,9,13)</x:f>
        <x:v>1493</x:v>
      </x:c>
      <x:c r="O2259" s="2"/>
      <x:c r="P2259" s="2"/>
      <x:c r="Q2259" s="2" t="str">
        <x:v>산업전환_외부사업관리Tool_260707_이너젠 수정_LJY_261013.xlsx</x:v>
      </x:c>
      <x:c r="R2259" s="2" t="str">
        <x:v>국내인증</x:v>
      </x:c>
      <x:c r="S2259" s="8" t="n">
        <x:v>577</x:v>
      </x:c>
      <x:c r="T2259" s="2" t="str">
        <x:v>(9/19)</x:v>
      </x:c>
      <x:c r="U2259" s="2" t="str">
        <x:v>2022 배정: (9/19) / 2023 배정: (4/3),(6/7)</x:v>
      </x:c>
      <x:c r="V2259" s="2" t="str">
        <x:v>2023-12-15</x:v>
      </x:c>
      <x:c r="W2259" s="2" t="str">
        <x:v>담당기관 확인</x:v>
      </x:c>
      <x:c r="X2259" s="2" t="str">
        <x:v>원본·배정 기록 확인</x:v>
      </x:c>
      <x:c r="Y2259" s="2" t="str">
        <x:v>ad210cd9ec132cfd447541c8984dc53d30aff0f4fb2dc92d254d49275cc55976</x:v>
      </x:c>
      <x:c r="Z2259" s="2" t="n">
        <x:f>SUBTOTAL(103,A2259)</x:f>
        <x:v>1</x:v>
      </x:c>
      <x:c r="AA2259" s="2" t="str">
        <x:f>IF(K2259&lt;&gt;"미종결 표시","대상 아님",IF(N2259="","신청일 확인",IF(NOT(ISNUMBER('종합 현황'!$H$5)),"관찰기준 확인",IF('종합 현황'!$H$5&lt;1,"관찰기준 확인",IF(N2259&gt;'종합 현황'!$H$5,"내부 관찰 대상","내부 관찰일 이하")))))</x:f>
        <x:v>대상 아님</x:v>
      </x:c>
      <x:c r="AB2259" s="2"/>
    </x:row>
    <x:row r="2260" ht="42" customHeight="1">
      <x:c r="A2260" s="2" t="str">
        <x:v>9c3d96f5b0c68954bb6c71b9</x:v>
      </x:c>
      <x:c r="B2260" s="2" t="str">
        <x:v>감축량 인증</x:v>
      </x:c>
      <x:c r="C2260" s="2" t="str">
        <x:v>국내</x:v>
      </x:c>
      <x:c r="D2260" s="7" t="str">
        <x:v>울산 화정아파트 연료전환을 통한 온실가스 단위감축사업</x:v>
      </x:c>
      <x:c r="E2260" s="2" t="str">
        <x:v>500</x:v>
      </x:c>
      <x:c r="F2260" s="2" t="str">
        <x:v>2022-09-13</x:v>
      </x:c>
      <x:c r="G2260" s="2" t="str">
        <x:v>2022</x:v>
      </x:c>
      <x:c r="H2260" s="2" t="str">
        <x:v>09</x:v>
      </x:c>
      <x:c r="I2260" s="2" t="str">
        <x:v>심의승인</x:v>
      </x:c>
      <x:c r="J2260" s="2" t="str">
        <x:v>심의승인</x:v>
      </x:c>
      <x:c r="K2260" s="2" t="str">
        <x:f>IF(OR(J2260="심의승인",J2260="반려",J2260="반려완료",J2260="심의완료"),"종결 표시",IF(OR(J2260="기후부협의",J2260="문서재제출요청",J2260="보류",J2260="보완요청",J2260="보완완료",J2260="평가중",J2260="반려요청",J2260="평가필요",LEFT(J2260,5)="보완요청("),"미종결 표시","상태 확인 필요"))</x:f>
        <x:v>종결 표시</x:v>
      </x:c>
      <x:c r="L2260" s="2" t="str">
        <x:v>에코시안_전윤호</x:v>
      </x:c>
      <x:c r="M2260" s="2"/>
      <x:c r="N2260" s="8" t="n">
        <x:f>DATE(2026,10,15)-DATE(2022,9,13)</x:f>
        <x:v>1493</x:v>
      </x:c>
      <x:c r="O2260" s="2"/>
      <x:c r="P2260" s="2"/>
      <x:c r="Q2260" s="2" t="str">
        <x:v>산업전환_외부사업관리Tool_260707_이너젠 수정_LJY_261013.xlsx</x:v>
      </x:c>
      <x:c r="R2260" s="2" t="str">
        <x:v>국내인증</x:v>
      </x:c>
      <x:c r="S2260" s="8" t="n">
        <x:v>578</x:v>
      </x:c>
      <x:c r="T2260" s="2" t="str">
        <x:v>(9/19)</x:v>
      </x:c>
      <x:c r="U2260" s="2" t="str">
        <x:v>2022 배정: (9/19) / 2023 배정: (5/16),(6/27),(8/7)</x:v>
      </x:c>
      <x:c r="V2260" s="2" t="str">
        <x:v>2024-04-09</x:v>
      </x:c>
      <x:c r="W2260" s="2" t="str"/>
      <x:c r="X2260" s="2" t="str">
        <x:v>종결 근거 보관</x:v>
      </x:c>
      <x:c r="Y2260" s="2" t="str">
        <x:v>ad210cd9ec132cfd447541c8984dc53d30aff0f4fb2dc92d254d49275cc55976</x:v>
      </x:c>
      <x:c r="Z2260" s="2" t="n">
        <x:f>SUBTOTAL(103,A2260)</x:f>
        <x:v>1</x:v>
      </x:c>
      <x:c r="AA2260" s="2" t="str">
        <x:f>IF(K2260&lt;&gt;"미종결 표시","대상 아님",IF(N2260="","신청일 확인",IF(NOT(ISNUMBER('종합 현황'!$H$5)),"관찰기준 확인",IF('종합 현황'!$H$5&lt;1,"관찰기준 확인",IF(N2260&gt;'종합 현황'!$H$5,"내부 관찰 대상","내부 관찰일 이하")))))</x:f>
        <x:v>대상 아님</x:v>
      </x:c>
      <x:c r="AB2260" s="2"/>
    </x:row>
    <x:row r="2261" ht="42" customHeight="1">
      <x:c r="A2261" s="2" t="str">
        <x:v>a543351840cec538ba1dc3fe</x:v>
      </x:c>
      <x:c r="B2261" s="2" t="str">
        <x:v>감축량 인증</x:v>
      </x:c>
      <x:c r="C2261" s="2" t="str">
        <x:v>국내</x:v>
      </x:c>
      <x:c r="D2261" s="7" t="str">
        <x:v>울산 달동3단지 아파트 연료전환을 통한 온실가스 단위감축사업</x:v>
      </x:c>
      <x:c r="E2261" s="2" t="str">
        <x:v>501</x:v>
      </x:c>
      <x:c r="F2261" s="2" t="str">
        <x:v>2022-09-13</x:v>
      </x:c>
      <x:c r="G2261" s="2" t="str">
        <x:v>2022</x:v>
      </x:c>
      <x:c r="H2261" s="2" t="str">
        <x:v>09</x:v>
      </x:c>
      <x:c r="I2261" s="2" t="str">
        <x:v>심의승인</x:v>
      </x:c>
      <x:c r="J2261" s="2" t="str">
        <x:v>심의승인</x:v>
      </x:c>
      <x:c r="K2261" s="2" t="str">
        <x:f>IF(OR(J2261="심의승인",J2261="반려",J2261="반려완료",J2261="심의완료"),"종결 표시",IF(OR(J2261="기후부협의",J2261="문서재제출요청",J2261="보류",J2261="보완요청",J2261="보완완료",J2261="평가중",J2261="반려요청",J2261="평가필요",LEFT(J2261,5)="보완요청("),"미종결 표시","상태 확인 필요"))</x:f>
        <x:v>종결 표시</x:v>
      </x:c>
      <x:c r="L2261" s="2" t="str">
        <x:v>에코시안_김명은</x:v>
      </x:c>
      <x:c r="M2261" s="2"/>
      <x:c r="N2261" s="8" t="n">
        <x:f>DATE(2026,10,15)-DATE(2022,9,13)</x:f>
        <x:v>1493</x:v>
      </x:c>
      <x:c r="O2261" s="2"/>
      <x:c r="P2261" s="2"/>
      <x:c r="Q2261" s="2" t="str">
        <x:v>산업전환_외부사업관리Tool_260707_이너젠 수정_LJY_261013.xlsx</x:v>
      </x:c>
      <x:c r="R2261" s="2" t="str">
        <x:v>국내인증</x:v>
      </x:c>
      <x:c r="S2261" s="8" t="n">
        <x:v>579</x:v>
      </x:c>
      <x:c r="T2261" s="2" t="str">
        <x:v>(9/19)</x:v>
      </x:c>
      <x:c r="U2261" s="2" t="str">
        <x:v>2022 배정: (9/19) / 2023 배정: (5/16) / 2024 배정: 2024년 처리</x:v>
      </x:c>
      <x:c r="V2261" s="2" t="str">
        <x:v>2024-06-27</x:v>
      </x:c>
      <x:c r="W2261" s="2" t="str"/>
      <x:c r="X2261" s="2" t="str">
        <x:v>종결 근거 보관</x:v>
      </x:c>
      <x:c r="Y2261" s="2" t="str">
        <x:v>ad210cd9ec132cfd447541c8984dc53d30aff0f4fb2dc92d254d49275cc55976</x:v>
      </x:c>
      <x:c r="Z2261" s="2" t="n">
        <x:f>SUBTOTAL(103,A2261)</x:f>
        <x:v>1</x:v>
      </x:c>
      <x:c r="AA2261" s="2" t="str">
        <x:f>IF(K2261&lt;&gt;"미종결 표시","대상 아님",IF(N2261="","신청일 확인",IF(NOT(ISNUMBER('종합 현황'!$H$5)),"관찰기준 확인",IF('종합 현황'!$H$5&lt;1,"관찰기준 확인",IF(N2261&gt;'종합 현황'!$H$5,"내부 관찰 대상","내부 관찰일 이하")))))</x:f>
        <x:v>대상 아님</x:v>
      </x:c>
      <x:c r="AB2261" s="2"/>
    </x:row>
    <x:row r="2262" ht="42" customHeight="1">
      <x:c r="A2262" s="2" t="str">
        <x:v>24ca4ccb874972d4b6a19582</x:v>
      </x:c>
      <x:c r="B2262" s="2" t="str">
        <x:v>감축량 인증</x:v>
      </x:c>
      <x:c r="C2262" s="2" t="str">
        <x:v>국내</x:v>
      </x:c>
      <x:c r="D2262" s="7" t="str">
        <x:v>안동 옥동2단지 아파트 연료전환을 통한 온실가스 단위감축사업</x:v>
      </x:c>
      <x:c r="E2262" s="2" t="str">
        <x:v>502</x:v>
      </x:c>
      <x:c r="F2262" s="2" t="str">
        <x:v>2022-09-13</x:v>
      </x:c>
      <x:c r="G2262" s="2" t="str">
        <x:v>2022</x:v>
      </x:c>
      <x:c r="H2262" s="2" t="str">
        <x:v>09</x:v>
      </x:c>
      <x:c r="I2262" s="2" t="str">
        <x:v>심의승인</x:v>
      </x:c>
      <x:c r="J2262" s="2" t="str">
        <x:v>심의승인</x:v>
      </x:c>
      <x:c r="K2262" s="2" t="str">
        <x:f>IF(OR(J2262="심의승인",J2262="반려",J2262="반려완료",J2262="심의완료"),"종결 표시",IF(OR(J2262="기후부협의",J2262="문서재제출요청",J2262="보류",J2262="보완요청",J2262="보완완료",J2262="평가중",J2262="반려요청",J2262="평가필요",LEFT(J2262,5)="보완요청("),"미종결 표시","상태 확인 필요"))</x:f>
        <x:v>종결 표시</x:v>
      </x:c>
      <x:c r="L2262" s="2"/>
      <x:c r="M2262" s="2"/>
      <x:c r="N2262" s="8" t="n">
        <x:f>DATE(2026,10,15)-DATE(2022,9,13)</x:f>
        <x:v>1493</x:v>
      </x:c>
      <x:c r="O2262" s="2"/>
      <x:c r="P2262" s="2"/>
      <x:c r="Q2262" s="2" t="str">
        <x:v>산업전환_외부사업관리Tool_260707_이너젠 수정_LJY_261013.xlsx</x:v>
      </x:c>
      <x:c r="R2262" s="2" t="str">
        <x:v>국내인증</x:v>
      </x:c>
      <x:c r="S2262" s="8" t="n">
        <x:v>580</x:v>
      </x:c>
      <x:c r="T2262" s="2" t="str">
        <x:v>(9/19)</x:v>
      </x:c>
      <x:c r="U2262" s="2" t="str">
        <x:v>2022 배정: (9/19) / 2023 배정: (5/16)</x:v>
      </x:c>
      <x:c r="V2262" s="2" t="str">
        <x:v>2023-09-20</x:v>
      </x:c>
      <x:c r="W2262" s="2" t="str">
        <x:v>담당기관 확인</x:v>
      </x:c>
      <x:c r="X2262" s="2" t="str">
        <x:v>원본·배정 기록 확인</x:v>
      </x:c>
      <x:c r="Y2262" s="2" t="str">
        <x:v>ad210cd9ec132cfd447541c8984dc53d30aff0f4fb2dc92d254d49275cc55976</x:v>
      </x:c>
      <x:c r="Z2262" s="2" t="n">
        <x:f>SUBTOTAL(103,A2262)</x:f>
        <x:v>1</x:v>
      </x:c>
      <x:c r="AA2262" s="2" t="str">
        <x:f>IF(K2262&lt;&gt;"미종결 표시","대상 아님",IF(N2262="","신청일 확인",IF(NOT(ISNUMBER('종합 현황'!$H$5)),"관찰기준 확인",IF('종합 현황'!$H$5&lt;1,"관찰기준 확인",IF(N2262&gt;'종합 현황'!$H$5,"내부 관찰 대상","내부 관찰일 이하")))))</x:f>
        <x:v>대상 아님</x:v>
      </x:c>
      <x:c r="AB2262" s="2"/>
    </x:row>
    <x:row r="2263" ht="42" customHeight="1">
      <x:c r="A2263" s="2" t="str">
        <x:v>15059f0a19c1d838f028b574</x:v>
      </x:c>
      <x:c r="B2263" s="2" t="str">
        <x:v>감축량 인증</x:v>
      </x:c>
      <x:c r="C2263" s="2" t="str">
        <x:v>국내</x:v>
      </x:c>
      <x:c r="D2263" s="7" t="str">
        <x:v>여수 미평 주공 1단지 연료전환을 통한 온실가스 단위감축사업</x:v>
      </x:c>
      <x:c r="E2263" s="2" t="str">
        <x:v>503</x:v>
      </x:c>
      <x:c r="F2263" s="2" t="str">
        <x:v>2022-09-13</x:v>
      </x:c>
      <x:c r="G2263" s="2" t="str">
        <x:v>2022</x:v>
      </x:c>
      <x:c r="H2263" s="2" t="str">
        <x:v>09</x:v>
      </x:c>
      <x:c r="I2263" s="2" t="str">
        <x:v>심의승인</x:v>
      </x:c>
      <x:c r="J2263" s="2" t="str">
        <x:v>심의승인</x:v>
      </x:c>
      <x:c r="K2263" s="2" t="str">
        <x:f>IF(OR(J2263="심의승인",J2263="반려",J2263="반려완료",J2263="심의완료"),"종결 표시",IF(OR(J2263="기후부협의",J2263="문서재제출요청",J2263="보류",J2263="보완요청",J2263="보완완료",J2263="평가중",J2263="반려요청",J2263="평가필요",LEFT(J2263,5)="보완요청("),"미종결 표시","상태 확인 필요"))</x:f>
        <x:v>종결 표시</x:v>
      </x:c>
      <x:c r="L2263" s="2"/>
      <x:c r="M2263" s="2"/>
      <x:c r="N2263" s="8" t="n">
        <x:f>DATE(2026,10,15)-DATE(2022,9,13)</x:f>
        <x:v>1493</x:v>
      </x:c>
      <x:c r="O2263" s="2"/>
      <x:c r="P2263" s="2"/>
      <x:c r="Q2263" s="2" t="str">
        <x:v>산업전환_외부사업관리Tool_260707_이너젠 수정_LJY_261013.xlsx</x:v>
      </x:c>
      <x:c r="R2263" s="2" t="str">
        <x:v>국내인증</x:v>
      </x:c>
      <x:c r="S2263" s="8" t="n">
        <x:v>581</x:v>
      </x:c>
      <x:c r="T2263" s="2" t="str">
        <x:v>(9/19)</x:v>
      </x:c>
      <x:c r="U2263" s="2" t="str">
        <x:v>2022 배정: (9/19) / 2023 배정: (5/16),(7/17)</x:v>
      </x:c>
      <x:c r="V2263" s="2" t="str">
        <x:v>2023-12-15</x:v>
      </x:c>
      <x:c r="W2263" s="2" t="str">
        <x:v>담당기관 확인</x:v>
      </x:c>
      <x:c r="X2263" s="2" t="str">
        <x:v>원본·배정 기록 확인</x:v>
      </x:c>
      <x:c r="Y2263" s="2" t="str">
        <x:v>ad210cd9ec132cfd447541c8984dc53d30aff0f4fb2dc92d254d49275cc55976</x:v>
      </x:c>
      <x:c r="Z2263" s="2" t="n">
        <x:f>SUBTOTAL(103,A2263)</x:f>
        <x:v>1</x:v>
      </x:c>
      <x:c r="AA2263" s="2" t="str">
        <x:f>IF(K2263&lt;&gt;"미종결 표시","대상 아님",IF(N2263="","신청일 확인",IF(NOT(ISNUMBER('종합 현황'!$H$5)),"관찰기준 확인",IF('종합 현황'!$H$5&lt;1,"관찰기준 확인",IF(N2263&gt;'종합 현황'!$H$5,"내부 관찰 대상","내부 관찰일 이하")))))</x:f>
        <x:v>대상 아님</x:v>
      </x:c>
      <x:c r="AB2263" s="2"/>
    </x:row>
    <x:row r="2264" ht="42" customHeight="1">
      <x:c r="A2264" s="2" t="str">
        <x:v>c074d21212be6eadb1d4ca2e</x:v>
      </x:c>
      <x:c r="B2264" s="2" t="str">
        <x:v>감축량 인증</x:v>
      </x:c>
      <x:c r="C2264" s="2" t="str">
        <x:v>국내</x:v>
      </x:c>
      <x:c r="D2264" s="7" t="str">
        <x:v>영주 가흥1,2단지아파트 연료전환을 통한 온실가스 단위감축사업</x:v>
      </x:c>
      <x:c r="E2264" s="2" t="str">
        <x:v>504</x:v>
      </x:c>
      <x:c r="F2264" s="2" t="str">
        <x:v>2022-09-14</x:v>
      </x:c>
      <x:c r="G2264" s="2" t="str">
        <x:v>2022</x:v>
      </x:c>
      <x:c r="H2264" s="2" t="str">
        <x:v>09</x:v>
      </x:c>
      <x:c r="I2264" s="2" t="str">
        <x:v>심의승인</x:v>
      </x:c>
      <x:c r="J2264" s="2" t="str">
        <x:v>심의승인</x:v>
      </x:c>
      <x:c r="K2264" s="2" t="str">
        <x:f>IF(OR(J2264="심의승인",J2264="반려",J2264="반려완료",J2264="심의완료"),"종결 표시",IF(OR(J2264="기후부협의",J2264="문서재제출요청",J2264="보류",J2264="보완요청",J2264="보완완료",J2264="평가중",J2264="반려요청",J2264="평가필요",LEFT(J2264,5)="보완요청("),"미종결 표시","상태 확인 필요"))</x:f>
        <x:v>종결 표시</x:v>
      </x:c>
      <x:c r="L2264" s="2" t="str">
        <x:v>KECM_이태준</x:v>
      </x:c>
      <x:c r="M2264" s="2"/>
      <x:c r="N2264" s="8" t="n">
        <x:f>DATE(2026,10,15)-DATE(2022,9,14)</x:f>
        <x:v>1492</x:v>
      </x:c>
      <x:c r="O2264" s="2"/>
      <x:c r="P2264" s="2"/>
      <x:c r="Q2264" s="2" t="str">
        <x:v>산업전환_외부사업관리Tool_260707_이너젠 수정_LJY_261013.xlsx</x:v>
      </x:c>
      <x:c r="R2264" s="2" t="str">
        <x:v>국내인증</x:v>
      </x:c>
      <x:c r="S2264" s="8" t="n">
        <x:v>582</x:v>
      </x:c>
      <x:c r="T2264" s="2" t="str">
        <x:v>(9/19)</x:v>
      </x:c>
      <x:c r="U2264" s="2" t="str">
        <x:v>2022 배정: (9/19) / 2023 배정: (6/7),(8/7) / 2024 배정: (2/5)</x:v>
      </x:c>
      <x:c r="V2264" s="2" t="str">
        <x:v>2024-06-27</x:v>
      </x:c>
      <x:c r="W2264" s="2" t="str"/>
      <x:c r="X2264" s="2" t="str">
        <x:v>종결 근거 보관</x:v>
      </x:c>
      <x:c r="Y2264" s="2" t="str">
        <x:v>ad210cd9ec132cfd447541c8984dc53d30aff0f4fb2dc92d254d49275cc55976</x:v>
      </x:c>
      <x:c r="Z2264" s="2" t="n">
        <x:f>SUBTOTAL(103,A2264)</x:f>
        <x:v>1</x:v>
      </x:c>
      <x:c r="AA2264" s="2" t="str">
        <x:f>IF(K2264&lt;&gt;"미종결 표시","대상 아님",IF(N2264="","신청일 확인",IF(NOT(ISNUMBER('종합 현황'!$H$5)),"관찰기준 확인",IF('종합 현황'!$H$5&lt;1,"관찰기준 확인",IF(N2264&gt;'종합 현황'!$H$5,"내부 관찰 대상","내부 관찰일 이하")))))</x:f>
        <x:v>대상 아님</x:v>
      </x:c>
      <x:c r="AB2264" s="2"/>
    </x:row>
    <x:row r="2265" ht="42" customHeight="1">
      <x:c r="A2265" s="2" t="str">
        <x:v>f2a0d825b0b3157b8a37f7b3</x:v>
      </x:c>
      <x:c r="B2265" s="2" t="str">
        <x:v>감축량 인증</x:v>
      </x:c>
      <x:c r="C2265" s="2" t="str">
        <x:v>국내</x:v>
      </x:c>
      <x:c r="D2265" s="7" t="str">
        <x:v>충주 연수2단지아파트 연료전환을 통한 온실가스 단위감축사업</x:v>
      </x:c>
      <x:c r="E2265" s="2" t="str">
        <x:v>505</x:v>
      </x:c>
      <x:c r="F2265" s="2" t="str">
        <x:v>2022-09-14</x:v>
      </x:c>
      <x:c r="G2265" s="2" t="str">
        <x:v>2022</x:v>
      </x:c>
      <x:c r="H2265" s="2" t="str">
        <x:v>09</x:v>
      </x:c>
      <x:c r="I2265" s="2" t="str">
        <x:v>심의승인</x:v>
      </x:c>
      <x:c r="J2265" s="2" t="str">
        <x:v>심의승인</x:v>
      </x:c>
      <x:c r="K2265" s="2" t="str">
        <x:f>IF(OR(J2265="심의승인",J2265="반려",J2265="반려완료",J2265="심의완료"),"종결 표시",IF(OR(J2265="기후부협의",J2265="문서재제출요청",J2265="보류",J2265="보완요청",J2265="보완완료",J2265="평가중",J2265="반려요청",J2265="평가필요",LEFT(J2265,5)="보완요청("),"미종결 표시","상태 확인 필요"))</x:f>
        <x:v>종결 표시</x:v>
      </x:c>
      <x:c r="L2265" s="2" t="str">
        <x:v>KECM_이태준</x:v>
      </x:c>
      <x:c r="M2265" s="2"/>
      <x:c r="N2265" s="8" t="n">
        <x:f>DATE(2026,10,15)-DATE(2022,9,14)</x:f>
        <x:v>1492</x:v>
      </x:c>
      <x:c r="O2265" s="2"/>
      <x:c r="P2265" s="2"/>
      <x:c r="Q2265" s="2" t="str">
        <x:v>산업전환_외부사업관리Tool_260707_이너젠 수정_LJY_261013.xlsx</x:v>
      </x:c>
      <x:c r="R2265" s="2" t="str">
        <x:v>국내인증</x:v>
      </x:c>
      <x:c r="S2265" s="8" t="n">
        <x:v>583</x:v>
      </x:c>
      <x:c r="T2265" s="2" t="str">
        <x:v>(9/19)</x:v>
      </x:c>
      <x:c r="U2265" s="2" t="str">
        <x:v>2022 배정: (9/19) / 2023 배정: (5/16),(8/7) / 2024 배정: (2/5)</x:v>
      </x:c>
      <x:c r="V2265" s="2" t="str">
        <x:v>2024-06-27</x:v>
      </x:c>
      <x:c r="W2265" s="2" t="str"/>
      <x:c r="X2265" s="2" t="str">
        <x:v>종결 근거 보관</x:v>
      </x:c>
      <x:c r="Y2265" s="2" t="str">
        <x:v>ad210cd9ec132cfd447541c8984dc53d30aff0f4fb2dc92d254d49275cc55976</x:v>
      </x:c>
      <x:c r="Z2265" s="2" t="n">
        <x:f>SUBTOTAL(103,A2265)</x:f>
        <x:v>1</x:v>
      </x:c>
      <x:c r="AA2265" s="2" t="str">
        <x:f>IF(K2265&lt;&gt;"미종결 표시","대상 아님",IF(N2265="","신청일 확인",IF(NOT(ISNUMBER('종합 현황'!$H$5)),"관찰기준 확인",IF('종합 현황'!$H$5&lt;1,"관찰기준 확인",IF(N2265&gt;'종합 현황'!$H$5,"내부 관찰 대상","내부 관찰일 이하")))))</x:f>
        <x:v>대상 아님</x:v>
      </x:c>
      <x:c r="AB2265" s="2"/>
    </x:row>
    <x:row r="2266" ht="42" customHeight="1">
      <x:c r="A2266" s="2" t="str">
        <x:v>8424228234ae94c02f2e2b99</x:v>
      </x:c>
      <x:c r="B2266" s="2" t="str">
        <x:v>감축량 인증</x:v>
      </x:c>
      <x:c r="C2266" s="2" t="str">
        <x:v>국내</x:v>
      </x:c>
      <x:c r="D2266" s="7" t="str">
        <x:v>전주평화 4단지아파트 연료전환을 통한 온실가스 단위감축사업</x:v>
      </x:c>
      <x:c r="E2266" s="2" t="str">
        <x:v>506</x:v>
      </x:c>
      <x:c r="F2266" s="2" t="str">
        <x:v>2022-09-14</x:v>
      </x:c>
      <x:c r="G2266" s="2" t="str">
        <x:v>2022</x:v>
      </x:c>
      <x:c r="H2266" s="2" t="str">
        <x:v>09</x:v>
      </x:c>
      <x:c r="I2266" s="2" t="str">
        <x:v>심의승인</x:v>
      </x:c>
      <x:c r="J2266" s="2" t="str">
        <x:v>심의승인</x:v>
      </x:c>
      <x:c r="K2266" s="2" t="str">
        <x:f>IF(OR(J2266="심의승인",J2266="반려",J2266="반려완료",J2266="심의완료"),"종결 표시",IF(OR(J2266="기후부협의",J2266="문서재제출요청",J2266="보류",J2266="보완요청",J2266="보완완료",J2266="평가중",J2266="반려요청",J2266="평가필요",LEFT(J2266,5)="보완요청("),"미종결 표시","상태 확인 필요"))</x:f>
        <x:v>종결 표시</x:v>
      </x:c>
      <x:c r="L2266" s="2"/>
      <x:c r="M2266" s="2"/>
      <x:c r="N2266" s="8" t="n">
        <x:f>DATE(2026,10,15)-DATE(2022,9,14)</x:f>
        <x:v>1492</x:v>
      </x:c>
      <x:c r="O2266" s="2"/>
      <x:c r="P2266" s="2"/>
      <x:c r="Q2266" s="2" t="str">
        <x:v>산업전환_외부사업관리Tool_260707_이너젠 수정_LJY_261013.xlsx</x:v>
      </x:c>
      <x:c r="R2266" s="2" t="str">
        <x:v>국내인증</x:v>
      </x:c>
      <x:c r="S2266" s="8" t="n">
        <x:v>584</x:v>
      </x:c>
      <x:c r="T2266" s="2" t="str">
        <x:v>(9/19),(11/18)</x:v>
      </x:c>
      <x:c r="U2266" s="2" t="str">
        <x:v>2022 배정: (9/19),(11/18) / 2023 배정: (5/16)</x:v>
      </x:c>
      <x:c r="V2266" s="2" t="str">
        <x:v>2023-09-20</x:v>
      </x:c>
      <x:c r="W2266" s="2" t="str">
        <x:v>담당기관 확인</x:v>
      </x:c>
      <x:c r="X2266" s="2" t="str">
        <x:v>원본·배정 기록 확인</x:v>
      </x:c>
      <x:c r="Y2266" s="2" t="str">
        <x:v>ad210cd9ec132cfd447541c8984dc53d30aff0f4fb2dc92d254d49275cc55976</x:v>
      </x:c>
      <x:c r="Z2266" s="2" t="n">
        <x:f>SUBTOTAL(103,A2266)</x:f>
        <x:v>1</x:v>
      </x:c>
      <x:c r="AA2266" s="2" t="str">
        <x:f>IF(K2266&lt;&gt;"미종결 표시","대상 아님",IF(N2266="","신청일 확인",IF(NOT(ISNUMBER('종합 현황'!$H$5)),"관찰기준 확인",IF('종합 현황'!$H$5&lt;1,"관찰기준 확인",IF(N2266&gt;'종합 현황'!$H$5,"내부 관찰 대상","내부 관찰일 이하")))))</x:f>
        <x:v>대상 아님</x:v>
      </x:c>
      <x:c r="AB2266" s="2"/>
    </x:row>
    <x:row r="2267" ht="42" customHeight="1">
      <x:c r="A2267" s="2" t="str">
        <x:v>3fcdbbfc0ce4b5604ed3e235</x:v>
      </x:c>
      <x:c r="B2267" s="2" t="str">
        <x:v>감축량 인증</x:v>
      </x:c>
      <x:c r="C2267" s="2" t="str">
        <x:v>국내</x:v>
      </x:c>
      <x:c r="D2267" s="7" t="str">
        <x:v>제천 하소 주공 3단지 아파트 연료전환을 통한 온실가스 단위감축사업</x:v>
      </x:c>
      <x:c r="E2267" s="2" t="str">
        <x:v>507</x:v>
      </x:c>
      <x:c r="F2267" s="2" t="str">
        <x:v>2022-09-14</x:v>
      </x:c>
      <x:c r="G2267" s="2" t="str">
        <x:v>2022</x:v>
      </x:c>
      <x:c r="H2267" s="2" t="str">
        <x:v>09</x:v>
      </x:c>
      <x:c r="I2267" s="2" t="str">
        <x:v>심의승인</x:v>
      </x:c>
      <x:c r="J2267" s="2" t="str">
        <x:v>심의승인</x:v>
      </x:c>
      <x:c r="K2267" s="2" t="str">
        <x:f>IF(OR(J2267="심의승인",J2267="반려",J2267="반려완료",J2267="심의완료"),"종결 표시",IF(OR(J2267="기후부협의",J2267="문서재제출요청",J2267="보류",J2267="보완요청",J2267="보완완료",J2267="평가중",J2267="반려요청",J2267="평가필요",LEFT(J2267,5)="보완요청("),"미종결 표시","상태 확인 필요"))</x:f>
        <x:v>종결 표시</x:v>
      </x:c>
      <x:c r="L2267" s="2" t="str">
        <x:v>KECM_이태준</x:v>
      </x:c>
      <x:c r="M2267" s="2"/>
      <x:c r="N2267" s="8" t="n">
        <x:f>DATE(2026,10,15)-DATE(2022,9,14)</x:f>
        <x:v>1492</x:v>
      </x:c>
      <x:c r="O2267" s="2"/>
      <x:c r="P2267" s="2"/>
      <x:c r="Q2267" s="2" t="str">
        <x:v>산업전환_외부사업관리Tool_260707_이너젠 수정_LJY_261013.xlsx</x:v>
      </x:c>
      <x:c r="R2267" s="2" t="str">
        <x:v>국내인증</x:v>
      </x:c>
      <x:c r="S2267" s="8" t="n">
        <x:v>585</x:v>
      </x:c>
      <x:c r="T2267" s="2" t="str">
        <x:v>(9/19),(11/18)</x:v>
      </x:c>
      <x:c r="U2267" s="2" t="str">
        <x:v>2022 배정: (9/19),(11/18) / 2023 배정: (5/16),(8/7) / 2024 배정: (2/5)</x:v>
      </x:c>
      <x:c r="V2267" s="2" t="str">
        <x:v>2024-06-27</x:v>
      </x:c>
      <x:c r="W2267" s="2" t="str"/>
      <x:c r="X2267" s="2" t="str">
        <x:v>종결 근거 보관</x:v>
      </x:c>
      <x:c r="Y2267" s="2" t="str">
        <x:v>ad210cd9ec132cfd447541c8984dc53d30aff0f4fb2dc92d254d49275cc55976</x:v>
      </x:c>
      <x:c r="Z2267" s="2" t="n">
        <x:f>SUBTOTAL(103,A2267)</x:f>
        <x:v>1</x:v>
      </x:c>
      <x:c r="AA2267" s="2" t="str">
        <x:f>IF(K2267&lt;&gt;"미종결 표시","대상 아님",IF(N2267="","신청일 확인",IF(NOT(ISNUMBER('종합 현황'!$H$5)),"관찰기준 확인",IF('종합 현황'!$H$5&lt;1,"관찰기준 확인",IF(N2267&gt;'종합 현황'!$H$5,"내부 관찰 대상","내부 관찰일 이하")))))</x:f>
        <x:v>대상 아님</x:v>
      </x:c>
      <x:c r="AB2267" s="2"/>
    </x:row>
    <x:row r="2268" ht="42" customHeight="1">
      <x:c r="A2268" s="2" t="str">
        <x:v>d10cf9f6c5f2b69e9749fcc0</x:v>
      </x:c>
      <x:c r="B2268" s="2" t="str">
        <x:v>감축량 인증</x:v>
      </x:c>
      <x:c r="C2268" s="2" t="str">
        <x:v>국내</x:v>
      </x:c>
      <x:c r="D2268" s="7" t="str">
        <x:v>청주 산남2-1아파트 연료전환을 통한 온실가스 단위감축사업</x:v>
      </x:c>
      <x:c r="E2268" s="2" t="str">
        <x:v>508</x:v>
      </x:c>
      <x:c r="F2268" s="2" t="str">
        <x:v>2022-09-14</x:v>
      </x:c>
      <x:c r="G2268" s="2" t="str">
        <x:v>2022</x:v>
      </x:c>
      <x:c r="H2268" s="2" t="str">
        <x:v>09</x:v>
      </x:c>
      <x:c r="I2268" s="2" t="str">
        <x:v>심의승인</x:v>
      </x:c>
      <x:c r="J2268" s="2" t="str">
        <x:v>심의승인</x:v>
      </x:c>
      <x:c r="K2268" s="2" t="str">
        <x:f>IF(OR(J2268="심의승인",J2268="반려",J2268="반려완료",J2268="심의완료"),"종결 표시",IF(OR(J2268="기후부협의",J2268="문서재제출요청",J2268="보류",J2268="보완요청",J2268="보완완료",J2268="평가중",J2268="반려요청",J2268="평가필요",LEFT(J2268,5)="보완요청("),"미종결 표시","상태 확인 필요"))</x:f>
        <x:v>종결 표시</x:v>
      </x:c>
      <x:c r="L2268" s="2"/>
      <x:c r="M2268" s="2"/>
      <x:c r="N2268" s="8" t="n">
        <x:f>DATE(2026,10,15)-DATE(2022,9,14)</x:f>
        <x:v>1492</x:v>
      </x:c>
      <x:c r="O2268" s="2"/>
      <x:c r="P2268" s="2"/>
      <x:c r="Q2268" s="2" t="str">
        <x:v>산업전환_외부사업관리Tool_260707_이너젠 수정_LJY_261013.xlsx</x:v>
      </x:c>
      <x:c r="R2268" s="2" t="str">
        <x:v>국내인증</x:v>
      </x:c>
      <x:c r="S2268" s="8" t="n">
        <x:v>586</x:v>
      </x:c>
      <x:c r="T2268" s="2" t="str">
        <x:v>(9/19)</x:v>
      </x:c>
      <x:c r="U2268" s="2" t="str">
        <x:v>2022 배정: (9/19) / 2023 배정: (5/16)</x:v>
      </x:c>
      <x:c r="V2268" s="2" t="str">
        <x:v>2023-12-15</x:v>
      </x:c>
      <x:c r="W2268" s="2" t="str">
        <x:v>담당기관 확인</x:v>
      </x:c>
      <x:c r="X2268" s="2" t="str">
        <x:v>원본·배정 기록 확인</x:v>
      </x:c>
      <x:c r="Y2268" s="2" t="str">
        <x:v>ad210cd9ec132cfd447541c8984dc53d30aff0f4fb2dc92d254d49275cc55976</x:v>
      </x:c>
      <x:c r="Z2268" s="2" t="n">
        <x:f>SUBTOTAL(103,A2268)</x:f>
        <x:v>1</x:v>
      </x:c>
      <x:c r="AA2268" s="2" t="str">
        <x:f>IF(K2268&lt;&gt;"미종결 표시","대상 아님",IF(N2268="","신청일 확인",IF(NOT(ISNUMBER('종합 현황'!$H$5)),"관찰기준 확인",IF('종합 현황'!$H$5&lt;1,"관찰기준 확인",IF(N2268&gt;'종합 현황'!$H$5,"내부 관찰 대상","내부 관찰일 이하")))))</x:f>
        <x:v>대상 아님</x:v>
      </x:c>
      <x:c r="AB2268" s="2"/>
    </x:row>
    <x:row r="2269" ht="42" customHeight="1">
      <x:c r="A2269" s="2" t="str">
        <x:v>ca9697989d6e3c6bdf77a1f3</x:v>
      </x:c>
      <x:c r="B2269" s="2" t="str">
        <x:v>감축량 인증</x:v>
      </x:c>
      <x:c r="C2269" s="2" t="str">
        <x:v>국내</x:v>
      </x:c>
      <x:c r="D2269" s="7" t="str">
        <x:v>청주 산남2-2아파트 연료전환을 통한 온실가스 단위감축사업</x:v>
      </x:c>
      <x:c r="E2269" s="2" t="str">
        <x:v>509</x:v>
      </x:c>
      <x:c r="F2269" s="2" t="str">
        <x:v>2022-09-14</x:v>
      </x:c>
      <x:c r="G2269" s="2" t="str">
        <x:v>2022</x:v>
      </x:c>
      <x:c r="H2269" s="2" t="str">
        <x:v>09</x:v>
      </x:c>
      <x:c r="I2269" s="2" t="str">
        <x:v>심의승인</x:v>
      </x:c>
      <x:c r="J2269" s="2" t="str">
        <x:v>심의승인</x:v>
      </x:c>
      <x:c r="K2269" s="2" t="str">
        <x:f>IF(OR(J2269="심의승인",J2269="반려",J2269="반려완료",J2269="심의완료"),"종결 표시",IF(OR(J2269="기후부협의",J2269="문서재제출요청",J2269="보류",J2269="보완요청",J2269="보완완료",J2269="평가중",J2269="반려요청",J2269="평가필요",LEFT(J2269,5)="보완요청("),"미종결 표시","상태 확인 필요"))</x:f>
        <x:v>종결 표시</x:v>
      </x:c>
      <x:c r="L2269" s="2"/>
      <x:c r="M2269" s="2"/>
      <x:c r="N2269" s="8" t="n">
        <x:f>DATE(2026,10,15)-DATE(2022,9,14)</x:f>
        <x:v>1492</x:v>
      </x:c>
      <x:c r="O2269" s="2"/>
      <x:c r="P2269" s="2"/>
      <x:c r="Q2269" s="2" t="str">
        <x:v>산업전환_외부사업관리Tool_260707_이너젠 수정_LJY_261013.xlsx</x:v>
      </x:c>
      <x:c r="R2269" s="2" t="str">
        <x:v>국내인증</x:v>
      </x:c>
      <x:c r="S2269" s="8" t="n">
        <x:v>587</x:v>
      </x:c>
      <x:c r="T2269" s="2" t="str">
        <x:v>(9/19)</x:v>
      </x:c>
      <x:c r="U2269" s="2" t="str">
        <x:v>2022 배정: (9/19) / 2023 배정: (5/16)</x:v>
      </x:c>
      <x:c r="V2269" s="2" t="str">
        <x:v>2023-12-15</x:v>
      </x:c>
      <x:c r="W2269" s="2" t="str">
        <x:v>담당기관 확인</x:v>
      </x:c>
      <x:c r="X2269" s="2" t="str">
        <x:v>원본·배정 기록 확인</x:v>
      </x:c>
      <x:c r="Y2269" s="2" t="str">
        <x:v>ad210cd9ec132cfd447541c8984dc53d30aff0f4fb2dc92d254d49275cc55976</x:v>
      </x:c>
      <x:c r="Z2269" s="2" t="n">
        <x:f>SUBTOTAL(103,A2269)</x:f>
        <x:v>1</x:v>
      </x:c>
      <x:c r="AA2269" s="2" t="str">
        <x:f>IF(K2269&lt;&gt;"미종결 표시","대상 아님",IF(N2269="","신청일 확인",IF(NOT(ISNUMBER('종합 현황'!$H$5)),"관찰기준 확인",IF('종합 현황'!$H$5&lt;1,"관찰기준 확인",IF(N2269&gt;'종합 현황'!$H$5,"내부 관찰 대상","내부 관찰일 이하")))))</x:f>
        <x:v>대상 아님</x:v>
      </x:c>
      <x:c r="AB2269" s="2"/>
    </x:row>
    <x:row r="2270" ht="42" customHeight="1">
      <x:c r="A2270" s="2" t="str">
        <x:v>cd3149eea2b03a817d33edba</x:v>
      </x:c>
      <x:c r="B2270" s="2" t="str">
        <x:v>감축량 인증</x:v>
      </x:c>
      <x:c r="C2270" s="2" t="str">
        <x:v>국내</x:v>
      </x:c>
      <x:c r="D2270" s="7" t="str">
        <x:v>의정부 장암1단지아파트 연료전환을 통한 온실가스 단위감축사업</x:v>
      </x:c>
      <x:c r="E2270" s="2" t="str">
        <x:v>510</x:v>
      </x:c>
      <x:c r="F2270" s="2" t="str">
        <x:v>2025-04-30</x:v>
      </x:c>
      <x:c r="G2270" s="2" t="str">
        <x:v>2025</x:v>
      </x:c>
      <x:c r="H2270" s="2" t="str">
        <x:v>04</x:v>
      </x:c>
      <x:c r="I2270" s="2" t="str">
        <x:v>심의승인</x:v>
      </x:c>
      <x:c r="J2270" s="2" t="str">
        <x:v>심의승인</x:v>
      </x:c>
      <x:c r="K2270" s="2" t="str">
        <x:f>IF(OR(J2270="심의승인",J2270="반려",J2270="반려완료",J2270="심의완료"),"종결 표시",IF(OR(J2270="기후부협의",J2270="문서재제출요청",J2270="보류",J2270="보완요청",J2270="보완완료",J2270="평가중",J2270="반려요청",J2270="평가필요",LEFT(J2270,5)="보완요청("),"미종결 표시","상태 확인 필요"))</x:f>
        <x:v>종결 표시</x:v>
      </x:c>
      <x:c r="L2270" s="2" t="str">
        <x:v>KECM</x:v>
      </x:c>
      <x:c r="M2270" s="2"/>
      <x:c r="N2270" s="8" t="n">
        <x:f>DATE(2026,10,15)-DATE(2025,4,30)</x:f>
        <x:v>533</x:v>
      </x:c>
      <x:c r="O2270" s="2"/>
      <x:c r="P2270" s="2"/>
      <x:c r="Q2270" s="2" t="str">
        <x:v>산업전환_외부사업관리Tool_260707_이너젠 수정_LJY_261013.xlsx</x:v>
      </x:c>
      <x:c r="R2270" s="2" t="str">
        <x:v>국내인증</x:v>
      </x:c>
      <x:c r="S2270" s="8" t="n">
        <x:v>588</x:v>
      </x:c>
      <x:c r="T2270" s="2" t="str">
        <x:v>(9/19)</x:v>
      </x:c>
      <x:c r="U2270" s="2" t="str">
        <x:v>2022 배정: (9/19) / 2025 배정: (7/18),(8/8)</x:v>
      </x:c>
      <x:c r="V2270" s="2" t="str">
        <x:v>2025-12-09</x:v>
      </x:c>
      <x:c r="W2270" s="2" t="str"/>
      <x:c r="X2270" s="2" t="str">
        <x:v>종결 근거 보관</x:v>
      </x:c>
      <x:c r="Y2270" s="2" t="str">
        <x:v>ad210cd9ec132cfd447541c8984dc53d30aff0f4fb2dc92d254d49275cc55976</x:v>
      </x:c>
      <x:c r="Z2270" s="2" t="n">
        <x:f>SUBTOTAL(103,A2270)</x:f>
        <x:v>1</x:v>
      </x:c>
      <x:c r="AA2270" s="2" t="str">
        <x:f>IF(K2270&lt;&gt;"미종결 표시","대상 아님",IF(N2270="","신청일 확인",IF(NOT(ISNUMBER('종합 현황'!$H$5)),"관찰기준 확인",IF('종합 현황'!$H$5&lt;1,"관찰기준 확인",IF(N2270&gt;'종합 현황'!$H$5,"내부 관찰 대상","내부 관찰일 이하")))))</x:f>
        <x:v>대상 아님</x:v>
      </x:c>
      <x:c r="AB2270" s="2"/>
    </x:row>
    <x:row r="2271" ht="42" customHeight="1">
      <x:c r="A2271" s="2" t="str">
        <x:v>91fd712eee86569e4bd4f82d</x:v>
      </x:c>
      <x:c r="B2271" s="2" t="str">
        <x:v>감축량 인증</x:v>
      </x:c>
      <x:c r="C2271" s="2" t="str">
        <x:v>국내</x:v>
      </x:c>
      <x:c r="D2271" s="7" t="str">
        <x:v>대전 둔산 주공 1단지 아파트 연료전환을 통한 온실가스 단위감축사업</x:v>
      </x:c>
      <x:c r="E2271" s="2" t="str">
        <x:v>511</x:v>
      </x:c>
      <x:c r="F2271" s="2" t="str">
        <x:v>2022-09-14</x:v>
      </x:c>
      <x:c r="G2271" s="2" t="str">
        <x:v>2022</x:v>
      </x:c>
      <x:c r="H2271" s="2" t="str">
        <x:v>09</x:v>
      </x:c>
      <x:c r="I2271" s="2" t="str">
        <x:v>심의승인</x:v>
      </x:c>
      <x:c r="J2271" s="2" t="str">
        <x:v>심의승인</x:v>
      </x:c>
      <x:c r="K2271" s="2" t="str">
        <x:f>IF(OR(J2271="심의승인",J2271="반려",J2271="반려완료",J2271="심의완료"),"종결 표시",IF(OR(J2271="기후부협의",J2271="문서재제출요청",J2271="보류",J2271="보완요청",J2271="보완완료",J2271="평가중",J2271="반려요청",J2271="평가필요",LEFT(J2271,5)="보완요청("),"미종결 표시","상태 확인 필요"))</x:f>
        <x:v>종결 표시</x:v>
      </x:c>
      <x:c r="L2271" s="2" t="str">
        <x:v>KECM_이지연</x:v>
      </x:c>
      <x:c r="M2271" s="2"/>
      <x:c r="N2271" s="8" t="n">
        <x:f>DATE(2026,10,15)-DATE(2022,9,14)</x:f>
        <x:v>1492</x:v>
      </x:c>
      <x:c r="O2271" s="2"/>
      <x:c r="P2271" s="2"/>
      <x:c r="Q2271" s="2" t="str">
        <x:v>산업전환_외부사업관리Tool_260707_이너젠 수정_LJY_261013.xlsx</x:v>
      </x:c>
      <x:c r="R2271" s="2" t="str">
        <x:v>국내인증</x:v>
      </x:c>
      <x:c r="S2271" s="8" t="n">
        <x:v>589</x:v>
      </x:c>
      <x:c r="T2271" s="2" t="str">
        <x:v>(9/19)</x:v>
      </x:c>
      <x:c r="U2271" s="2" t="str">
        <x:v>2022 배정: (9/19) / 2023 배정: (8/30) / 2024 배정: (2/5),(4/8)</x:v>
      </x:c>
      <x:c r="V2271" s="2" t="str">
        <x:v>2024-09-20</x:v>
      </x:c>
      <x:c r="W2271" s="2" t="str"/>
      <x:c r="X2271" s="2" t="str">
        <x:v>종결 근거 보관</x:v>
      </x:c>
      <x:c r="Y2271" s="2" t="str">
        <x:v>ad210cd9ec132cfd447541c8984dc53d30aff0f4fb2dc92d254d49275cc55976</x:v>
      </x:c>
      <x:c r="Z2271" s="2" t="n">
        <x:f>SUBTOTAL(103,A2271)</x:f>
        <x:v>1</x:v>
      </x:c>
      <x:c r="AA2271" s="2" t="str">
        <x:f>IF(K2271&lt;&gt;"미종결 표시","대상 아님",IF(N2271="","신청일 확인",IF(NOT(ISNUMBER('종합 현황'!$H$5)),"관찰기준 확인",IF('종합 현황'!$H$5&lt;1,"관찰기준 확인",IF(N2271&gt;'종합 현황'!$H$5,"내부 관찰 대상","내부 관찰일 이하")))))</x:f>
        <x:v>대상 아님</x:v>
      </x:c>
      <x:c r="AB2271" s="2"/>
    </x:row>
    <x:row r="2272" ht="42" customHeight="1">
      <x:c r="A2272" s="2" t="str">
        <x:v>e4aad6c3b8cfdea472fc36de</x:v>
      </x:c>
      <x:c r="B2272" s="2" t="str">
        <x:v>감축량 인증</x:v>
      </x:c>
      <x:c r="C2272" s="2" t="str">
        <x:v>국내</x:v>
      </x:c>
      <x:c r="D2272" s="7" t="str">
        <x:v>대전 둔산 주공 3단지 아파트 연료전환을 통한 온실가스 단위감축사업</x:v>
      </x:c>
      <x:c r="E2272" s="2" t="str">
        <x:v>512</x:v>
      </x:c>
      <x:c r="F2272" s="2" t="str">
        <x:v>2022-09-14</x:v>
      </x:c>
      <x:c r="G2272" s="2" t="str">
        <x:v>2022</x:v>
      </x:c>
      <x:c r="H2272" s="2" t="str">
        <x:v>09</x:v>
      </x:c>
      <x:c r="I2272" s="2" t="str">
        <x:v>심의승인</x:v>
      </x:c>
      <x:c r="J2272" s="2" t="str">
        <x:v>심의승인</x:v>
      </x:c>
      <x:c r="K2272" s="2" t="str">
        <x:f>IF(OR(J2272="심의승인",J2272="반려",J2272="반려완료",J2272="심의완료"),"종결 표시",IF(OR(J2272="기후부협의",J2272="문서재제출요청",J2272="보류",J2272="보완요청",J2272="보완완료",J2272="평가중",J2272="반려요청",J2272="평가필요",LEFT(J2272,5)="보완요청("),"미종결 표시","상태 확인 필요"))</x:f>
        <x:v>종결 표시</x:v>
      </x:c>
      <x:c r="L2272" s="2" t="str">
        <x:v>KECM_이지연</x:v>
      </x:c>
      <x:c r="M2272" s="2"/>
      <x:c r="N2272" s="8" t="n">
        <x:f>DATE(2026,10,15)-DATE(2022,9,14)</x:f>
        <x:v>1492</x:v>
      </x:c>
      <x:c r="O2272" s="2"/>
      <x:c r="P2272" s="2"/>
      <x:c r="Q2272" s="2" t="str">
        <x:v>산업전환_외부사업관리Tool_260707_이너젠 수정_LJY_261013.xlsx</x:v>
      </x:c>
      <x:c r="R2272" s="2" t="str">
        <x:v>국내인증</x:v>
      </x:c>
      <x:c r="S2272" s="8" t="n">
        <x:v>590</x:v>
      </x:c>
      <x:c r="T2272" s="2" t="str">
        <x:v>(9/19)</x:v>
      </x:c>
      <x:c r="U2272" s="2" t="str">
        <x:v>2022 배정: (9/19) / 2023 배정: (8/30) / 2024 배정: (2/5),(4/8)</x:v>
      </x:c>
      <x:c r="V2272" s="2" t="str">
        <x:v>2024-09-20</x:v>
      </x:c>
      <x:c r="W2272" s="2" t="str"/>
      <x:c r="X2272" s="2" t="str">
        <x:v>종결 근거 보관</x:v>
      </x:c>
      <x:c r="Y2272" s="2" t="str">
        <x:v>ad210cd9ec132cfd447541c8984dc53d30aff0f4fb2dc92d254d49275cc55976</x:v>
      </x:c>
      <x:c r="Z2272" s="2" t="n">
        <x:f>SUBTOTAL(103,A2272)</x:f>
        <x:v>1</x:v>
      </x:c>
      <x:c r="AA2272" s="2" t="str">
        <x:f>IF(K2272&lt;&gt;"미종결 표시","대상 아님",IF(N2272="","신청일 확인",IF(NOT(ISNUMBER('종합 현황'!$H$5)),"관찰기준 확인",IF('종합 현황'!$H$5&lt;1,"관찰기준 확인",IF(N2272&gt;'종합 현황'!$H$5,"내부 관찰 대상","내부 관찰일 이하")))))</x:f>
        <x:v>대상 아님</x:v>
      </x:c>
      <x:c r="AB2272" s="2"/>
    </x:row>
    <x:row r="2273" ht="42" customHeight="1">
      <x:c r="A2273" s="2" t="str">
        <x:v>a771ac65b22c065dfdc30525</x:v>
      </x:c>
      <x:c r="B2273" s="2" t="str">
        <x:v>감축량 인증</x:v>
      </x:c>
      <x:c r="C2273" s="2" t="str">
        <x:v>국내</x:v>
      </x:c>
      <x:c r="D2273" s="7" t="str">
        <x:v>대구 산격아파트 연료전환을 통한 온실가스 단위감축사업</x:v>
      </x:c>
      <x:c r="E2273" s="2" t="str">
        <x:v>513</x:v>
      </x:c>
      <x:c r="F2273" s="2" t="str">
        <x:v>2022-09-14</x:v>
      </x:c>
      <x:c r="G2273" s="2" t="str">
        <x:v>2022</x:v>
      </x:c>
      <x:c r="H2273" s="2" t="str">
        <x:v>09</x:v>
      </x:c>
      <x:c r="I2273" s="2" t="str">
        <x:v>심의승인</x:v>
      </x:c>
      <x:c r="J2273" s="2" t="str">
        <x:v>심의승인</x:v>
      </x:c>
      <x:c r="K2273" s="2" t="str">
        <x:f>IF(OR(J2273="심의승인",J2273="반려",J2273="반려완료",J2273="심의완료"),"종결 표시",IF(OR(J2273="기후부협의",J2273="문서재제출요청",J2273="보류",J2273="보완요청",J2273="보완완료",J2273="평가중",J2273="반려요청",J2273="평가필요",LEFT(J2273,5)="보완요청("),"미종결 표시","상태 확인 필요"))</x:f>
        <x:v>종결 표시</x:v>
      </x:c>
      <x:c r="L2273" s="2" t="str">
        <x:v>KECM_조수민</x:v>
      </x:c>
      <x:c r="M2273" s="2"/>
      <x:c r="N2273" s="8" t="n">
        <x:f>DATE(2026,10,15)-DATE(2022,9,14)</x:f>
        <x:v>1492</x:v>
      </x:c>
      <x:c r="O2273" s="2"/>
      <x:c r="P2273" s="2"/>
      <x:c r="Q2273" s="2" t="str">
        <x:v>산업전환_외부사업관리Tool_260707_이너젠 수정_LJY_261013.xlsx</x:v>
      </x:c>
      <x:c r="R2273" s="2" t="str">
        <x:v>국내인증</x:v>
      </x:c>
      <x:c r="S2273" s="8" t="n">
        <x:v>591</x:v>
      </x:c>
      <x:c r="T2273" s="2" t="str">
        <x:v>(9/19)</x:v>
      </x:c>
      <x:c r="U2273" s="2" t="str">
        <x:v>2022 배정: (9/19) / 2024 배정: (2/5),(4/8),(5/20)</x:v>
      </x:c>
      <x:c r="V2273" s="2" t="str">
        <x:v>2024-09-20</x:v>
      </x:c>
      <x:c r="W2273" s="2" t="str"/>
      <x:c r="X2273" s="2" t="str">
        <x:v>종결 근거 보관</x:v>
      </x:c>
      <x:c r="Y2273" s="2" t="str">
        <x:v>ad210cd9ec132cfd447541c8984dc53d30aff0f4fb2dc92d254d49275cc55976</x:v>
      </x:c>
      <x:c r="Z2273" s="2" t="n">
        <x:f>SUBTOTAL(103,A2273)</x:f>
        <x:v>1</x:v>
      </x:c>
      <x:c r="AA2273" s="2" t="str">
        <x:f>IF(K2273&lt;&gt;"미종결 표시","대상 아님",IF(N2273="","신청일 확인",IF(NOT(ISNUMBER('종합 현황'!$H$5)),"관찰기준 확인",IF('종합 현황'!$H$5&lt;1,"관찰기준 확인",IF(N2273&gt;'종합 현황'!$H$5,"내부 관찰 대상","내부 관찰일 이하")))))</x:f>
        <x:v>대상 아님</x:v>
      </x:c>
      <x:c r="AB2273" s="2"/>
    </x:row>
    <x:row r="2274" ht="42" customHeight="1">
      <x:c r="A2274" s="2" t="str">
        <x:v>40e14d1d6a93739d7398617a</x:v>
      </x:c>
      <x:c r="B2274" s="2" t="str">
        <x:v>감축량 인증</x:v>
      </x:c>
      <x:c r="C2274" s="2" t="str">
        <x:v>국내</x:v>
      </x:c>
      <x:c r="D2274" s="7" t="str">
        <x:v>대구 본동 주공아파트 연료전환을 통한 온실가스 단위감축사업</x:v>
      </x:c>
      <x:c r="E2274" s="2" t="str">
        <x:v>514</x:v>
      </x:c>
      <x:c r="F2274" s="2" t="str">
        <x:v>2022-09-14</x:v>
      </x:c>
      <x:c r="G2274" s="2" t="str">
        <x:v>2022</x:v>
      </x:c>
      <x:c r="H2274" s="2" t="str">
        <x:v>09</x:v>
      </x:c>
      <x:c r="I2274" s="2" t="str">
        <x:v>심의승인</x:v>
      </x:c>
      <x:c r="J2274" s="2" t="str">
        <x:v>심의승인</x:v>
      </x:c>
      <x:c r="K2274" s="2" t="str">
        <x:f>IF(OR(J2274="심의승인",J2274="반려",J2274="반려완료",J2274="심의완료"),"종결 표시",IF(OR(J2274="기후부협의",J2274="문서재제출요청",J2274="보류",J2274="보완요청",J2274="보완완료",J2274="평가중",J2274="반려요청",J2274="평가필요",LEFT(J2274,5)="보완요청("),"미종결 표시","상태 확인 필요"))</x:f>
        <x:v>종결 표시</x:v>
      </x:c>
      <x:c r="L2274" s="2" t="str">
        <x:v>KECM_조수민</x:v>
      </x:c>
      <x:c r="M2274" s="2"/>
      <x:c r="N2274" s="8" t="n">
        <x:f>DATE(2026,10,15)-DATE(2022,9,14)</x:f>
        <x:v>1492</x:v>
      </x:c>
      <x:c r="O2274" s="2"/>
      <x:c r="P2274" s="2"/>
      <x:c r="Q2274" s="2" t="str">
        <x:v>산업전환_외부사업관리Tool_260707_이너젠 수정_LJY_261013.xlsx</x:v>
      </x:c>
      <x:c r="R2274" s="2" t="str">
        <x:v>국내인증</x:v>
      </x:c>
      <x:c r="S2274" s="8" t="n">
        <x:v>592</x:v>
      </x:c>
      <x:c r="T2274" s="2" t="str">
        <x:v>(9/19)</x:v>
      </x:c>
      <x:c r="U2274" s="2" t="str">
        <x:v>2022 배정: (9/19) / 2024 배정: (2/5),(4/8)</x:v>
      </x:c>
      <x:c r="V2274" s="2" t="str">
        <x:v>2024-09-20</x:v>
      </x:c>
      <x:c r="W2274" s="2" t="str"/>
      <x:c r="X2274" s="2" t="str">
        <x:v>종결 근거 보관</x:v>
      </x:c>
      <x:c r="Y2274" s="2" t="str">
        <x:v>ad210cd9ec132cfd447541c8984dc53d30aff0f4fb2dc92d254d49275cc55976</x:v>
      </x:c>
      <x:c r="Z2274" s="2" t="n">
        <x:f>SUBTOTAL(103,A2274)</x:f>
        <x:v>1</x:v>
      </x:c>
      <x:c r="AA2274" s="2" t="str">
        <x:f>IF(K2274&lt;&gt;"미종결 표시","대상 아님",IF(N2274="","신청일 확인",IF(NOT(ISNUMBER('종합 현황'!$H$5)),"관찰기준 확인",IF('종합 현황'!$H$5&lt;1,"관찰기준 확인",IF(N2274&gt;'종합 현황'!$H$5,"내부 관찰 대상","내부 관찰일 이하")))))</x:f>
        <x:v>대상 아님</x:v>
      </x:c>
      <x:c r="AB2274" s="2"/>
    </x:row>
    <x:row r="2275" ht="42" customHeight="1">
      <x:c r="A2275" s="2" t="str">
        <x:v>476cc5def3c722cd794ed428</x:v>
      </x:c>
      <x:c r="B2275" s="2" t="str">
        <x:v>감축량 인증</x:v>
      </x:c>
      <x:c r="C2275" s="2" t="str">
        <x:v>국내</x:v>
      </x:c>
      <x:c r="D2275" s="7" t="str">
        <x:v>대구 황금 3단지 아파트 연료전환을 통한 온실가스 단위감축사업</x:v>
      </x:c>
      <x:c r="E2275" s="2" t="str">
        <x:v>515</x:v>
      </x:c>
      <x:c r="F2275" s="2" t="str">
        <x:v>2022-09-14</x:v>
      </x:c>
      <x:c r="G2275" s="2" t="str">
        <x:v>2022</x:v>
      </x:c>
      <x:c r="H2275" s="2" t="str">
        <x:v>09</x:v>
      </x:c>
      <x:c r="I2275" s="2" t="str">
        <x:v>심의승인</x:v>
      </x:c>
      <x:c r="J2275" s="2" t="str">
        <x:v>심의승인</x:v>
      </x:c>
      <x:c r="K2275" s="2" t="str">
        <x:f>IF(OR(J2275="심의승인",J2275="반려",J2275="반려완료",J2275="심의완료"),"종결 표시",IF(OR(J2275="기후부협의",J2275="문서재제출요청",J2275="보류",J2275="보완요청",J2275="보완완료",J2275="평가중",J2275="반려요청",J2275="평가필요",LEFT(J2275,5)="보완요청("),"미종결 표시","상태 확인 필요"))</x:f>
        <x:v>종결 표시</x:v>
      </x:c>
      <x:c r="L2275" s="2" t="str">
        <x:v>KECM_조수민</x:v>
      </x:c>
      <x:c r="M2275" s="2"/>
      <x:c r="N2275" s="8" t="n">
        <x:f>DATE(2026,10,15)-DATE(2022,9,14)</x:f>
        <x:v>1492</x:v>
      </x:c>
      <x:c r="O2275" s="2"/>
      <x:c r="P2275" s="2"/>
      <x:c r="Q2275" s="2" t="str">
        <x:v>산업전환_외부사업관리Tool_260707_이너젠 수정_LJY_261013.xlsx</x:v>
      </x:c>
      <x:c r="R2275" s="2" t="str">
        <x:v>국내인증</x:v>
      </x:c>
      <x:c r="S2275" s="8" t="n">
        <x:v>593</x:v>
      </x:c>
      <x:c r="T2275" s="2" t="str">
        <x:v>(9/19)</x:v>
      </x:c>
      <x:c r="U2275" s="2" t="str">
        <x:v>2022 배정: (9/19) / 2024 배정: (2/5),(4/8)</x:v>
      </x:c>
      <x:c r="V2275" s="2" t="str">
        <x:v>2024-09-20</x:v>
      </x:c>
      <x:c r="W2275" s="2" t="str"/>
      <x:c r="X2275" s="2" t="str">
        <x:v>종결 근거 보관</x:v>
      </x:c>
      <x:c r="Y2275" s="2" t="str">
        <x:v>ad210cd9ec132cfd447541c8984dc53d30aff0f4fb2dc92d254d49275cc55976</x:v>
      </x:c>
      <x:c r="Z2275" s="2" t="n">
        <x:f>SUBTOTAL(103,A2275)</x:f>
        <x:v>1</x:v>
      </x:c>
      <x:c r="AA2275" s="2" t="str">
        <x:f>IF(K2275&lt;&gt;"미종결 표시","대상 아님",IF(N2275="","신청일 확인",IF(NOT(ISNUMBER('종합 현황'!$H$5)),"관찰기준 확인",IF('종합 현황'!$H$5&lt;1,"관찰기준 확인",IF(N2275&gt;'종합 현황'!$H$5,"내부 관찰 대상","내부 관찰일 이하")))))</x:f>
        <x:v>대상 아님</x:v>
      </x:c>
      <x:c r="AB2275" s="2"/>
    </x:row>
    <x:row r="2276" ht="42" customHeight="1">
      <x:c r="A2276" s="2" t="str">
        <x:v>8c11d17f5cb07da23f39f501</x:v>
      </x:c>
      <x:c r="B2276" s="2" t="str">
        <x:v>감축량 인증</x:v>
      </x:c>
      <x:c r="C2276" s="2" t="str">
        <x:v>국내</x:v>
      </x:c>
      <x:c r="D2276" s="7" t="str">
        <x:v>부산 금곡1단지 아파트 연료전환을 통한 온실가스 단위감축사업</x:v>
      </x:c>
      <x:c r="E2276" s="2" t="str">
        <x:v>516</x:v>
      </x:c>
      <x:c r="F2276" s="2" t="str">
        <x:v>2022-09-16</x:v>
      </x:c>
      <x:c r="G2276" s="2" t="str">
        <x:v>2022</x:v>
      </x:c>
      <x:c r="H2276" s="2" t="str">
        <x:v>09</x:v>
      </x:c>
      <x:c r="I2276" s="2" t="str">
        <x:v>심의승인</x:v>
      </x:c>
      <x:c r="J2276" s="2" t="str">
        <x:v>심의승인</x:v>
      </x:c>
      <x:c r="K2276" s="2" t="str">
        <x:f>IF(OR(J2276="심의승인",J2276="반려",J2276="반려완료",J2276="심의완료"),"종결 표시",IF(OR(J2276="기후부협의",J2276="문서재제출요청",J2276="보류",J2276="보완요청",J2276="보완완료",J2276="평가중",J2276="반려요청",J2276="평가필요",LEFT(J2276,5)="보완요청("),"미종결 표시","상태 확인 필요"))</x:f>
        <x:v>종결 표시</x:v>
      </x:c>
      <x:c r="L2276" s="2"/>
      <x:c r="M2276" s="2"/>
      <x:c r="N2276" s="8" t="n">
        <x:f>DATE(2026,10,15)-DATE(2022,9,16)</x:f>
        <x:v>1490</x:v>
      </x:c>
      <x:c r="O2276" s="2"/>
      <x:c r="P2276" s="2"/>
      <x:c r="Q2276" s="2" t="str">
        <x:v>산업전환_외부사업관리Tool_260707_이너젠 수정_LJY_261013.xlsx</x:v>
      </x:c>
      <x:c r="R2276" s="2" t="str">
        <x:v>국내인증</x:v>
      </x:c>
      <x:c r="S2276" s="8" t="n">
        <x:v>594</x:v>
      </x:c>
      <x:c r="T2276" s="2" t="str">
        <x:v>(10/19)</x:v>
      </x:c>
      <x:c r="U2276" s="2" t="str">
        <x:v>2022 배정: (10/19) / 2023 배정: (5/16)</x:v>
      </x:c>
      <x:c r="V2276" s="2" t="str">
        <x:v>2023-09-20</x:v>
      </x:c>
      <x:c r="W2276" s="2" t="str">
        <x:v>담당기관 확인</x:v>
      </x:c>
      <x:c r="X2276" s="2" t="str">
        <x:v>원본·배정 기록 확인</x:v>
      </x:c>
      <x:c r="Y2276" s="2" t="str">
        <x:v>ad210cd9ec132cfd447541c8984dc53d30aff0f4fb2dc92d254d49275cc55976</x:v>
      </x:c>
      <x:c r="Z2276" s="2" t="n">
        <x:f>SUBTOTAL(103,A2276)</x:f>
        <x:v>1</x:v>
      </x:c>
      <x:c r="AA2276" s="2" t="str">
        <x:f>IF(K2276&lt;&gt;"미종결 표시","대상 아님",IF(N2276="","신청일 확인",IF(NOT(ISNUMBER('종합 현황'!$H$5)),"관찰기준 확인",IF('종합 현황'!$H$5&lt;1,"관찰기준 확인",IF(N2276&gt;'종합 현황'!$H$5,"내부 관찰 대상","내부 관찰일 이하")))))</x:f>
        <x:v>대상 아님</x:v>
      </x:c>
      <x:c r="AB2276" s="2"/>
    </x:row>
    <x:row r="2277" ht="42" customHeight="1">
      <x:c r="A2277" s="2" t="str">
        <x:v>25589e5694745d0f5713cfd8</x:v>
      </x:c>
      <x:c r="B2277" s="2" t="str">
        <x:v>감축량 인증</x:v>
      </x:c>
      <x:c r="C2277" s="2" t="str">
        <x:v>국내</x:v>
      </x:c>
      <x:c r="D2277" s="7" t="str">
        <x:v>부산 덕천 주공2단지 아파트 연료전환을 통한 온실가스 단위감축사업</x:v>
      </x:c>
      <x:c r="E2277" s="2" t="str">
        <x:v>517</x:v>
      </x:c>
      <x:c r="F2277" s="2" t="str">
        <x:v>2022-09-16</x:v>
      </x:c>
      <x:c r="G2277" s="2" t="str">
        <x:v>2022</x:v>
      </x:c>
      <x:c r="H2277" s="2" t="str">
        <x:v>09</x:v>
      </x:c>
      <x:c r="I2277" s="2" t="str">
        <x:v>심의승인</x:v>
      </x:c>
      <x:c r="J2277" s="2" t="str">
        <x:v>심의승인</x:v>
      </x:c>
      <x:c r="K2277" s="2" t="str">
        <x:f>IF(OR(J2277="심의승인",J2277="반려",J2277="반려완료",J2277="심의완료"),"종결 표시",IF(OR(J2277="기후부협의",J2277="문서재제출요청",J2277="보류",J2277="보완요청",J2277="보완완료",J2277="평가중",J2277="반려요청",J2277="평가필요",LEFT(J2277,5)="보완요청("),"미종결 표시","상태 확인 필요"))</x:f>
        <x:v>종결 표시</x:v>
      </x:c>
      <x:c r="L2277" s="2"/>
      <x:c r="M2277" s="2"/>
      <x:c r="N2277" s="8" t="n">
        <x:f>DATE(2026,10,15)-DATE(2022,9,16)</x:f>
        <x:v>1490</x:v>
      </x:c>
      <x:c r="O2277" s="2"/>
      <x:c r="P2277" s="2"/>
      <x:c r="Q2277" s="2" t="str">
        <x:v>산업전환_외부사업관리Tool_260707_이너젠 수정_LJY_261013.xlsx</x:v>
      </x:c>
      <x:c r="R2277" s="2" t="str">
        <x:v>국내인증</x:v>
      </x:c>
      <x:c r="S2277" s="8" t="n">
        <x:v>595</x:v>
      </x:c>
      <x:c r="T2277" s="2" t="str">
        <x:v>(10/19)</x:v>
      </x:c>
      <x:c r="U2277" s="2" t="str">
        <x:v>2022 배정: (10/19) / 2023 배정: (5/16)</x:v>
      </x:c>
      <x:c r="V2277" s="2" t="str">
        <x:v>2023-09-20</x:v>
      </x:c>
      <x:c r="W2277" s="2" t="str">
        <x:v>담당기관 확인</x:v>
      </x:c>
      <x:c r="X2277" s="2" t="str">
        <x:v>원본·배정 기록 확인</x:v>
      </x:c>
      <x:c r="Y2277" s="2" t="str">
        <x:v>ad210cd9ec132cfd447541c8984dc53d30aff0f4fb2dc92d254d49275cc55976</x:v>
      </x:c>
      <x:c r="Z2277" s="2" t="n">
        <x:f>SUBTOTAL(103,A2277)</x:f>
        <x:v>1</x:v>
      </x:c>
      <x:c r="AA2277" s="2" t="str">
        <x:f>IF(K2277&lt;&gt;"미종결 표시","대상 아님",IF(N2277="","신청일 확인",IF(NOT(ISNUMBER('종합 현황'!$H$5)),"관찰기준 확인",IF('종합 현황'!$H$5&lt;1,"관찰기준 확인",IF(N2277&gt;'종합 현황'!$H$5,"내부 관찰 대상","내부 관찰일 이하")))))</x:f>
        <x:v>대상 아님</x:v>
      </x:c>
      <x:c r="AB2277" s="2"/>
    </x:row>
    <x:row r="2278" ht="42" customHeight="1">
      <x:c r="A2278" s="2" t="str">
        <x:v>30bd7d02e7b281be4049cd74</x:v>
      </x:c>
      <x:c r="B2278" s="2" t="str">
        <x:v>감축량 인증</x:v>
      </x:c>
      <x:c r="C2278" s="2" t="str">
        <x:v>국내</x:v>
      </x:c>
      <x:c r="D2278" s="7" t="str">
        <x:v>부산 동삼2단지 아파트 연료전환을 통한 온실가스 단위감축사업</x:v>
      </x:c>
      <x:c r="E2278" s="2" t="str">
        <x:v>518</x:v>
      </x:c>
      <x:c r="F2278" s="2" t="str">
        <x:v>2022-09-16</x:v>
      </x:c>
      <x:c r="G2278" s="2" t="str">
        <x:v>2022</x:v>
      </x:c>
      <x:c r="H2278" s="2" t="str">
        <x:v>09</x:v>
      </x:c>
      <x:c r="I2278" s="2" t="str">
        <x:v>심의승인</x:v>
      </x:c>
      <x:c r="J2278" s="2" t="str">
        <x:v>심의승인</x:v>
      </x:c>
      <x:c r="K2278" s="2" t="str">
        <x:f>IF(OR(J2278="심의승인",J2278="반려",J2278="반려완료",J2278="심의완료"),"종결 표시",IF(OR(J2278="기후부협의",J2278="문서재제출요청",J2278="보류",J2278="보완요청",J2278="보완완료",J2278="평가중",J2278="반려요청",J2278="평가필요",LEFT(J2278,5)="보완요청("),"미종결 표시","상태 확인 필요"))</x:f>
        <x:v>종결 표시</x:v>
      </x:c>
      <x:c r="L2278" s="2"/>
      <x:c r="M2278" s="2"/>
      <x:c r="N2278" s="8" t="n">
        <x:f>DATE(2026,10,15)-DATE(2022,9,16)</x:f>
        <x:v>1490</x:v>
      </x:c>
      <x:c r="O2278" s="2"/>
      <x:c r="P2278" s="2"/>
      <x:c r="Q2278" s="2" t="str">
        <x:v>산업전환_외부사업관리Tool_260707_이너젠 수정_LJY_261013.xlsx</x:v>
      </x:c>
      <x:c r="R2278" s="2" t="str">
        <x:v>국내인증</x:v>
      </x:c>
      <x:c r="S2278" s="8" t="n">
        <x:v>596</x:v>
      </x:c>
      <x:c r="T2278" s="2" t="str">
        <x:v>(10/19)</x:v>
      </x:c>
      <x:c r="U2278" s="2" t="str">
        <x:v>2022 배정: (10/19) / 2023 배정: (4/3)</x:v>
      </x:c>
      <x:c r="V2278" s="2" t="str">
        <x:v>2023-09-20</x:v>
      </x:c>
      <x:c r="W2278" s="2" t="str">
        <x:v>담당기관 확인</x:v>
      </x:c>
      <x:c r="X2278" s="2" t="str">
        <x:v>원본·배정 기록 확인</x:v>
      </x:c>
      <x:c r="Y2278" s="2" t="str">
        <x:v>ad210cd9ec132cfd447541c8984dc53d30aff0f4fb2dc92d254d49275cc55976</x:v>
      </x:c>
      <x:c r="Z2278" s="2" t="n">
        <x:f>SUBTOTAL(103,A2278)</x:f>
        <x:v>1</x:v>
      </x:c>
      <x:c r="AA2278" s="2" t="str">
        <x:f>IF(K2278&lt;&gt;"미종결 표시","대상 아님",IF(N2278="","신청일 확인",IF(NOT(ISNUMBER('종합 현황'!$H$5)),"관찰기준 확인",IF('종합 현황'!$H$5&lt;1,"관찰기준 확인",IF(N2278&gt;'종합 현황'!$H$5,"내부 관찰 대상","내부 관찰일 이하")))))</x:f>
        <x:v>대상 아님</x:v>
      </x:c>
      <x:c r="AB2278" s="2"/>
    </x:row>
    <x:row r="2279" ht="42" customHeight="1">
      <x:c r="A2279" s="2" t="str">
        <x:v>3c847b0014e8055c43af0ecb</x:v>
      </x:c>
      <x:c r="B2279" s="2" t="str">
        <x:v>감축량 인증</x:v>
      </x:c>
      <x:c r="C2279" s="2" t="str">
        <x:v>국내</x:v>
      </x:c>
      <x:c r="D2279" s="7" t="str">
        <x:v>부산 반송아파트 연료전환을 통한 온실가스 단위감축사업</x:v>
      </x:c>
      <x:c r="E2279" s="2" t="str">
        <x:v>519</x:v>
      </x:c>
      <x:c r="F2279" s="2" t="str">
        <x:v>2022-09-16</x:v>
      </x:c>
      <x:c r="G2279" s="2" t="str">
        <x:v>2022</x:v>
      </x:c>
      <x:c r="H2279" s="2" t="str">
        <x:v>09</x:v>
      </x:c>
      <x:c r="I2279" s="2" t="str">
        <x:v>심의승인</x:v>
      </x:c>
      <x:c r="J2279" s="2" t="str">
        <x:v>심의승인</x:v>
      </x:c>
      <x:c r="K2279" s="2" t="str">
        <x:f>IF(OR(J2279="심의승인",J2279="반려",J2279="반려완료",J2279="심의완료"),"종결 표시",IF(OR(J2279="기후부협의",J2279="문서재제출요청",J2279="보류",J2279="보완요청",J2279="보완완료",J2279="평가중",J2279="반려요청",J2279="평가필요",LEFT(J2279,5)="보완요청("),"미종결 표시","상태 확인 필요"))</x:f>
        <x:v>종결 표시</x:v>
      </x:c>
      <x:c r="L2279" s="2" t="str">
        <x:v>KECM_이태준</x:v>
      </x:c>
      <x:c r="M2279" s="2"/>
      <x:c r="N2279" s="8" t="n">
        <x:f>DATE(2026,10,15)-DATE(2022,9,16)</x:f>
        <x:v>1490</x:v>
      </x:c>
      <x:c r="O2279" s="2"/>
      <x:c r="P2279" s="2"/>
      <x:c r="Q2279" s="2" t="str">
        <x:v>산업전환_외부사업관리Tool_260707_이너젠 수정_LJY_261013.xlsx</x:v>
      </x:c>
      <x:c r="R2279" s="2" t="str">
        <x:v>국내인증</x:v>
      </x:c>
      <x:c r="S2279" s="8" t="n">
        <x:v>597</x:v>
      </x:c>
      <x:c r="T2279" s="2" t="str">
        <x:v>(10/19)</x:v>
      </x:c>
      <x:c r="U2279" s="2" t="str">
        <x:v>2022 배정: (10/19) / 2023 배정: (8/30) / 2024 배정: (2/5),(4/8),(5/20)</x:v>
      </x:c>
      <x:c r="V2279" s="2" t="str">
        <x:v>2024-09-20</x:v>
      </x:c>
      <x:c r="W2279" s="2" t="str"/>
      <x:c r="X2279" s="2" t="str">
        <x:v>종결 근거 보관</x:v>
      </x:c>
      <x:c r="Y2279" s="2" t="str">
        <x:v>ad210cd9ec132cfd447541c8984dc53d30aff0f4fb2dc92d254d49275cc55976</x:v>
      </x:c>
      <x:c r="Z2279" s="2" t="n">
        <x:f>SUBTOTAL(103,A2279)</x:f>
        <x:v>1</x:v>
      </x:c>
      <x:c r="AA2279" s="2" t="str">
        <x:f>IF(K2279&lt;&gt;"미종결 표시","대상 아님",IF(N2279="","신청일 확인",IF(NOT(ISNUMBER('종합 현황'!$H$5)),"관찰기준 확인",IF('종합 현황'!$H$5&lt;1,"관찰기준 확인",IF(N2279&gt;'종합 현황'!$H$5,"내부 관찰 대상","내부 관찰일 이하")))))</x:f>
        <x:v>대상 아님</x:v>
      </x:c>
      <x:c r="AB2279" s="2"/>
    </x:row>
    <x:row r="2280" ht="42" customHeight="1">
      <x:c r="A2280" s="2" t="str">
        <x:v>923f856081243f0eeb661dd2</x:v>
      </x:c>
      <x:c r="B2280" s="2" t="str">
        <x:v>감축량 인증</x:v>
      </x:c>
      <x:c r="C2280" s="2" t="str">
        <x:v>국내</x:v>
      </x:c>
      <x:c r="D2280" s="7" t="str">
        <x:v>강릉 송정 아파트 연료전환을 통한 온실가스 단위감축사업</x:v>
      </x:c>
      <x:c r="E2280" s="2" t="str">
        <x:v>520</x:v>
      </x:c>
      <x:c r="F2280" s="2" t="str">
        <x:v>2022-09-20</x:v>
      </x:c>
      <x:c r="G2280" s="2" t="str">
        <x:v>2022</x:v>
      </x:c>
      <x:c r="H2280" s="2" t="str">
        <x:v>09</x:v>
      </x:c>
      <x:c r="I2280" s="2" t="str">
        <x:v>심의승인</x:v>
      </x:c>
      <x:c r="J2280" s="2" t="str">
        <x:v>심의승인</x:v>
      </x:c>
      <x:c r="K2280" s="2" t="str">
        <x:f>IF(OR(J2280="심의승인",J2280="반려",J2280="반려완료",J2280="심의완료"),"종결 표시",IF(OR(J2280="기후부협의",J2280="문서재제출요청",J2280="보류",J2280="보완요청",J2280="보완완료",J2280="평가중",J2280="반려요청",J2280="평가필요",LEFT(J2280,5)="보완요청("),"미종결 표시","상태 확인 필요"))</x:f>
        <x:v>종결 표시</x:v>
      </x:c>
      <x:c r="L2280" s="2"/>
      <x:c r="M2280" s="2"/>
      <x:c r="N2280" s="8" t="n">
        <x:f>DATE(2026,10,15)-DATE(2022,9,20)</x:f>
        <x:v>1486</x:v>
      </x:c>
      <x:c r="O2280" s="2"/>
      <x:c r="P2280" s="2"/>
      <x:c r="Q2280" s="2" t="str">
        <x:v>산업전환_외부사업관리Tool_260707_이너젠 수정_LJY_261013.xlsx</x:v>
      </x:c>
      <x:c r="R2280" s="2" t="str">
        <x:v>국내인증</x:v>
      </x:c>
      <x:c r="S2280" s="8" t="n">
        <x:v>598</x:v>
      </x:c>
      <x:c r="T2280" s="2" t="str">
        <x:v>(10/19)</x:v>
      </x:c>
      <x:c r="U2280" s="2" t="str">
        <x:v>2022 배정: (10/19) / 2023 배정: (3/13),(4/21),(8/7)</x:v>
      </x:c>
      <x:c r="V2280" s="2" t="str">
        <x:v>2023-12-15</x:v>
      </x:c>
      <x:c r="W2280" s="2" t="str">
        <x:v>담당기관 확인</x:v>
      </x:c>
      <x:c r="X2280" s="2" t="str">
        <x:v>원본·배정 기록 확인</x:v>
      </x:c>
      <x:c r="Y2280" s="2" t="str">
        <x:v>ad210cd9ec132cfd447541c8984dc53d30aff0f4fb2dc92d254d49275cc55976</x:v>
      </x:c>
      <x:c r="Z2280" s="2" t="n">
        <x:f>SUBTOTAL(103,A2280)</x:f>
        <x:v>1</x:v>
      </x:c>
      <x:c r="AA2280" s="2" t="str">
        <x:f>IF(K2280&lt;&gt;"미종결 표시","대상 아님",IF(N2280="","신청일 확인",IF(NOT(ISNUMBER('종합 현황'!$H$5)),"관찰기준 확인",IF('종합 현황'!$H$5&lt;1,"관찰기준 확인",IF(N2280&gt;'종합 현황'!$H$5,"내부 관찰 대상","내부 관찰일 이하")))))</x:f>
        <x:v>대상 아님</x:v>
      </x:c>
      <x:c r="AB2280" s="2"/>
    </x:row>
    <x:row r="2281" ht="42" customHeight="1">
      <x:c r="A2281" s="2" t="str">
        <x:v>c815dab0c73e8e0bd7ef0ea8</x:v>
      </x:c>
      <x:c r="B2281" s="2" t="str">
        <x:v>감축량 인증</x:v>
      </x:c>
      <x:c r="C2281" s="2" t="str">
        <x:v>국내</x:v>
      </x:c>
      <x:c r="D2281" s="7" t="str">
        <x:v>속초 청초1 아파트 연료전환을 통한 온실가스 단위감축사업</x:v>
      </x:c>
      <x:c r="E2281" s="2" t="str">
        <x:v>521</x:v>
      </x:c>
      <x:c r="F2281" s="2" t="str">
        <x:v>2022-09-20</x:v>
      </x:c>
      <x:c r="G2281" s="2" t="str">
        <x:v>2022</x:v>
      </x:c>
      <x:c r="H2281" s="2" t="str">
        <x:v>09</x:v>
      </x:c>
      <x:c r="I2281" s="2" t="str">
        <x:v>심의승인</x:v>
      </x:c>
      <x:c r="J2281" s="2" t="str">
        <x:v>심의승인</x:v>
      </x:c>
      <x:c r="K2281" s="2" t="str">
        <x:f>IF(OR(J2281="심의승인",J2281="반려",J2281="반려완료",J2281="심의완료"),"종결 표시",IF(OR(J2281="기후부협의",J2281="문서재제출요청",J2281="보류",J2281="보완요청",J2281="보완완료",J2281="평가중",J2281="반려요청",J2281="평가필요",LEFT(J2281,5)="보완요청("),"미종결 표시","상태 확인 필요"))</x:f>
        <x:v>종결 표시</x:v>
      </x:c>
      <x:c r="L2281" s="2"/>
      <x:c r="M2281" s="2"/>
      <x:c r="N2281" s="8" t="n">
        <x:f>DATE(2026,10,15)-DATE(2022,9,20)</x:f>
        <x:v>1486</x:v>
      </x:c>
      <x:c r="O2281" s="2"/>
      <x:c r="P2281" s="2"/>
      <x:c r="Q2281" s="2" t="str">
        <x:v>산업전환_외부사업관리Tool_260707_이너젠 수정_LJY_261013.xlsx</x:v>
      </x:c>
      <x:c r="R2281" s="2" t="str">
        <x:v>국내인증</x:v>
      </x:c>
      <x:c r="S2281" s="8" t="n">
        <x:v>599</x:v>
      </x:c>
      <x:c r="T2281" s="2" t="str">
        <x:v>(10/19)</x:v>
      </x:c>
      <x:c r="U2281" s="2" t="str">
        <x:v>2022 배정: (10/19) / 2023 배정: (3/13),(4/21),(8/7)</x:v>
      </x:c>
      <x:c r="V2281" s="2" t="str">
        <x:v>2023-12-15</x:v>
      </x:c>
      <x:c r="W2281" s="2" t="str">
        <x:v>담당기관 확인</x:v>
      </x:c>
      <x:c r="X2281" s="2" t="str">
        <x:v>원본·배정 기록 확인</x:v>
      </x:c>
      <x:c r="Y2281" s="2" t="str">
        <x:v>ad210cd9ec132cfd447541c8984dc53d30aff0f4fb2dc92d254d49275cc55976</x:v>
      </x:c>
      <x:c r="Z2281" s="2" t="n">
        <x:f>SUBTOTAL(103,A2281)</x:f>
        <x:v>1</x:v>
      </x:c>
      <x:c r="AA2281" s="2" t="str">
        <x:f>IF(K2281&lt;&gt;"미종결 표시","대상 아님",IF(N2281="","신청일 확인",IF(NOT(ISNUMBER('종합 현황'!$H$5)),"관찰기준 확인",IF('종합 현황'!$H$5&lt;1,"관찰기준 확인",IF(N2281&gt;'종합 현황'!$H$5,"내부 관찰 대상","내부 관찰일 이하")))))</x:f>
        <x:v>대상 아님</x:v>
      </x:c>
      <x:c r="AB2281" s="2"/>
    </x:row>
    <x:row r="2282" ht="42" customHeight="1">
      <x:c r="A2282" s="2" t="str">
        <x:v>98d614e7f801ec909121b42b</x:v>
      </x:c>
      <x:c r="B2282" s="2" t="str">
        <x:v>감축량 인증</x:v>
      </x:c>
      <x:c r="C2282" s="2" t="str">
        <x:v>국내</x:v>
      </x:c>
      <x:c r="D2282" s="7" t="str">
        <x:v>경주 용강 주공 1단지 아파트 연료전환을 통한 온실가스 단위감축사업</x:v>
      </x:c>
      <x:c r="E2282" s="2" t="str">
        <x:v>522</x:v>
      </x:c>
      <x:c r="F2282" s="2" t="str">
        <x:v>2022-09-20</x:v>
      </x:c>
      <x:c r="G2282" s="2" t="str">
        <x:v>2022</x:v>
      </x:c>
      <x:c r="H2282" s="2" t="str">
        <x:v>09</x:v>
      </x:c>
      <x:c r="I2282" s="2" t="str">
        <x:v>심의승인</x:v>
      </x:c>
      <x:c r="J2282" s="2" t="str">
        <x:v>심의승인</x:v>
      </x:c>
      <x:c r="K2282" s="2" t="str">
        <x:f>IF(OR(J2282="심의승인",J2282="반려",J2282="반려완료",J2282="심의완료"),"종결 표시",IF(OR(J2282="기후부협의",J2282="문서재제출요청",J2282="보류",J2282="보완요청",J2282="보완완료",J2282="평가중",J2282="반려요청",J2282="평가필요",LEFT(J2282,5)="보완요청("),"미종결 표시","상태 확인 필요"))</x:f>
        <x:v>종결 표시</x:v>
      </x:c>
      <x:c r="L2282" s="2" t="str">
        <x:v>KECM_이태준</x:v>
      </x:c>
      <x:c r="M2282" s="2"/>
      <x:c r="N2282" s="8" t="n">
        <x:f>DATE(2026,10,15)-DATE(2022,9,20)</x:f>
        <x:v>1486</x:v>
      </x:c>
      <x:c r="O2282" s="2"/>
      <x:c r="P2282" s="2"/>
      <x:c r="Q2282" s="2" t="str">
        <x:v>산업전환_외부사업관리Tool_260707_이너젠 수정_LJY_261013.xlsx</x:v>
      </x:c>
      <x:c r="R2282" s="2" t="str">
        <x:v>국내인증</x:v>
      </x:c>
      <x:c r="S2282" s="8" t="n">
        <x:v>600</x:v>
      </x:c>
      <x:c r="T2282" s="2" t="str">
        <x:v>(10/19)</x:v>
      </x:c>
      <x:c r="U2282" s="2" t="str">
        <x:v>2022 배정: (10/19) / 2023 배정: (6/7)</x:v>
      </x:c>
      <x:c r="V2282" s="2" t="str">
        <x:v>2024-04-09</x:v>
      </x:c>
      <x:c r="W2282" s="2" t="str"/>
      <x:c r="X2282" s="2" t="str">
        <x:v>종결 근거 보관</x:v>
      </x:c>
      <x:c r="Y2282" s="2" t="str">
        <x:v>ad210cd9ec132cfd447541c8984dc53d30aff0f4fb2dc92d254d49275cc55976</x:v>
      </x:c>
      <x:c r="Z2282" s="2" t="n">
        <x:f>SUBTOTAL(103,A2282)</x:f>
        <x:v>1</x:v>
      </x:c>
      <x:c r="AA2282" s="2" t="str">
        <x:f>IF(K2282&lt;&gt;"미종결 표시","대상 아님",IF(N2282="","신청일 확인",IF(NOT(ISNUMBER('종합 현황'!$H$5)),"관찰기준 확인",IF('종합 현황'!$H$5&lt;1,"관찰기준 확인",IF(N2282&gt;'종합 현황'!$H$5,"내부 관찰 대상","내부 관찰일 이하")))))</x:f>
        <x:v>대상 아님</x:v>
      </x:c>
      <x:c r="AB2282" s="2"/>
    </x:row>
    <x:row r="2283" ht="42" customHeight="1">
      <x:c r="A2283" s="2" t="str">
        <x:v>c36b6e70d22f577f0e0cfbbc</x:v>
      </x:c>
      <x:c r="B2283" s="2" t="str">
        <x:v>감축량 인증</x:v>
      </x:c>
      <x:c r="C2283" s="2" t="str">
        <x:v>국내</x:v>
      </x:c>
      <x:c r="D2283" s="7" t="str">
        <x:v>제천 하소 주공 4단지아파트 연료전환을 통한 온실가스 단위감축사업</x:v>
      </x:c>
      <x:c r="E2283" s="2" t="str">
        <x:v>523</x:v>
      </x:c>
      <x:c r="F2283" s="2" t="str">
        <x:v>2022-09-26</x:v>
      </x:c>
      <x:c r="G2283" s="2" t="str">
        <x:v>2022</x:v>
      </x:c>
      <x:c r="H2283" s="2" t="str">
        <x:v>09</x:v>
      </x:c>
      <x:c r="I2283" s="2" t="str">
        <x:v>심의승인</x:v>
      </x:c>
      <x:c r="J2283" s="2" t="str">
        <x:v>심의승인</x:v>
      </x:c>
      <x:c r="K2283" s="2" t="str">
        <x:f>IF(OR(J2283="심의승인",J2283="반려",J2283="반려완료",J2283="심의완료"),"종결 표시",IF(OR(J2283="기후부협의",J2283="문서재제출요청",J2283="보류",J2283="보완요청",J2283="보완완료",J2283="평가중",J2283="반려요청",J2283="평가필요",LEFT(J2283,5)="보완요청("),"미종결 표시","상태 확인 필요"))</x:f>
        <x:v>종결 표시</x:v>
      </x:c>
      <x:c r="L2283" s="2" t="str">
        <x:v>KECM_이태준</x:v>
      </x:c>
      <x:c r="M2283" s="2"/>
      <x:c r="N2283" s="8" t="n">
        <x:f>DATE(2026,10,15)-DATE(2022,9,26)</x:f>
        <x:v>1480</x:v>
      </x:c>
      <x:c r="O2283" s="2"/>
      <x:c r="P2283" s="2"/>
      <x:c r="Q2283" s="2" t="str">
        <x:v>산업전환_외부사업관리Tool_260707_이너젠 수정_LJY_261013.xlsx</x:v>
      </x:c>
      <x:c r="R2283" s="2" t="str">
        <x:v>국내인증</x:v>
      </x:c>
      <x:c r="S2283" s="8" t="n">
        <x:v>601</x:v>
      </x:c>
      <x:c r="T2283" s="2" t="str">
        <x:v>(10/19)</x:v>
      </x:c>
      <x:c r="U2283" s="2" t="str">
        <x:v>2022 배정: (10/19) / 2023 배정: (5/16),(8/7) / 2024 배정: 2024년 처리</x:v>
      </x:c>
      <x:c r="V2283" s="2" t="str">
        <x:v>2024-06-27</x:v>
      </x:c>
      <x:c r="W2283" s="2" t="str"/>
      <x:c r="X2283" s="2" t="str">
        <x:v>종결 근거 보관</x:v>
      </x:c>
      <x:c r="Y2283" s="2" t="str">
        <x:v>ad210cd9ec132cfd447541c8984dc53d30aff0f4fb2dc92d254d49275cc55976</x:v>
      </x:c>
      <x:c r="Z2283" s="2" t="n">
        <x:f>SUBTOTAL(103,A2283)</x:f>
        <x:v>1</x:v>
      </x:c>
      <x:c r="AA2283" s="2" t="str">
        <x:f>IF(K2283&lt;&gt;"미종결 표시","대상 아님",IF(N2283="","신청일 확인",IF(NOT(ISNUMBER('종합 현황'!$H$5)),"관찰기준 확인",IF('종합 현황'!$H$5&lt;1,"관찰기준 확인",IF(N2283&gt;'종합 현황'!$H$5,"내부 관찰 대상","내부 관찰일 이하")))))</x:f>
        <x:v>대상 아님</x:v>
      </x:c>
      <x:c r="AB2283" s="2"/>
    </x:row>
    <x:row r="2284" ht="42" customHeight="1">
      <x:c r="A2284" s="2" t="str">
        <x:v>dc810337e3f76dd25aef5866</x:v>
      </x:c>
      <x:c r="B2284" s="2" t="str">
        <x:v>감축량 인증</x:v>
      </x:c>
      <x:c r="C2284" s="2" t="str">
        <x:v>국내</x:v>
      </x:c>
      <x:c r="D2284" s="7" t="str">
        <x:v>문경 모전2단지 아파트 연료전환을 통한 온실가스 단위감축사업</x:v>
      </x:c>
      <x:c r="E2284" s="2" t="str">
        <x:v>524</x:v>
      </x:c>
      <x:c r="F2284" s="2" t="str">
        <x:v>2022-09-26</x:v>
      </x:c>
      <x:c r="G2284" s="2" t="str">
        <x:v>2022</x:v>
      </x:c>
      <x:c r="H2284" s="2" t="str">
        <x:v>09</x:v>
      </x:c>
      <x:c r="I2284" s="2" t="str">
        <x:v>심의승인</x:v>
      </x:c>
      <x:c r="J2284" s="2" t="str">
        <x:v>심의승인</x:v>
      </x:c>
      <x:c r="K2284" s="2" t="str">
        <x:f>IF(OR(J2284="심의승인",J2284="반려",J2284="반려완료",J2284="심의완료"),"종결 표시",IF(OR(J2284="기후부협의",J2284="문서재제출요청",J2284="보류",J2284="보완요청",J2284="보완완료",J2284="평가중",J2284="반려요청",J2284="평가필요",LEFT(J2284,5)="보완요청("),"미종결 표시","상태 확인 필요"))</x:f>
        <x:v>종결 표시</x:v>
      </x:c>
      <x:c r="L2284" s="2"/>
      <x:c r="M2284" s="2"/>
      <x:c r="N2284" s="8" t="n">
        <x:f>DATE(2026,10,15)-DATE(2022,9,26)</x:f>
        <x:v>1480</x:v>
      </x:c>
      <x:c r="O2284" s="2"/>
      <x:c r="P2284" s="2"/>
      <x:c r="Q2284" s="2" t="str">
        <x:v>산업전환_외부사업관리Tool_260707_이너젠 수정_LJY_261013.xlsx</x:v>
      </x:c>
      <x:c r="R2284" s="2" t="str">
        <x:v>국내인증</x:v>
      </x:c>
      <x:c r="S2284" s="8" t="n">
        <x:v>602</x:v>
      </x:c>
      <x:c r="T2284" s="2" t="str">
        <x:v>(10/19)</x:v>
      </x:c>
      <x:c r="U2284" s="2" t="str">
        <x:v>2022 배정: (10/19) / 2023 배정: (1/30),(5/16)</x:v>
      </x:c>
      <x:c r="V2284" s="2" t="str">
        <x:v>2023-12-15</x:v>
      </x:c>
      <x:c r="W2284" s="2" t="str">
        <x:v>담당기관 확인</x:v>
      </x:c>
      <x:c r="X2284" s="2" t="str">
        <x:v>원본·배정 기록 확인</x:v>
      </x:c>
      <x:c r="Y2284" s="2" t="str">
        <x:v>ad210cd9ec132cfd447541c8984dc53d30aff0f4fb2dc92d254d49275cc55976</x:v>
      </x:c>
      <x:c r="Z2284" s="2" t="n">
        <x:f>SUBTOTAL(103,A2284)</x:f>
        <x:v>1</x:v>
      </x:c>
      <x:c r="AA2284" s="2" t="str">
        <x:f>IF(K2284&lt;&gt;"미종결 표시","대상 아님",IF(N2284="","신청일 확인",IF(NOT(ISNUMBER('종합 현황'!$H$5)),"관찰기준 확인",IF('종합 현황'!$H$5&lt;1,"관찰기준 확인",IF(N2284&gt;'종합 현황'!$H$5,"내부 관찰 대상","내부 관찰일 이하")))))</x:f>
        <x:v>대상 아님</x:v>
      </x:c>
      <x:c r="AB2284" s="2"/>
    </x:row>
    <x:row r="2285" ht="42" customHeight="1">
      <x:c r="A2285" s="2" t="str">
        <x:v>0c82e251357fd89592a0c468</x:v>
      </x:c>
      <x:c r="B2285" s="2" t="str">
        <x:v>감축량 인증</x:v>
      </x:c>
      <x:c r="C2285" s="2" t="str">
        <x:v>국내</x:v>
      </x:c>
      <x:c r="D2285" s="7" t="str">
        <x:v>김천 부곡 주공 2단지 아파트 연료전환을 통한 온실가스 단위감축사업</x:v>
      </x:c>
      <x:c r="E2285" s="2" t="str">
        <x:v>525</x:v>
      </x:c>
      <x:c r="F2285" s="2" t="str">
        <x:v>2022-09-27</x:v>
      </x:c>
      <x:c r="G2285" s="2" t="str">
        <x:v>2022</x:v>
      </x:c>
      <x:c r="H2285" s="2" t="str">
        <x:v>09</x:v>
      </x:c>
      <x:c r="I2285" s="2" t="str">
        <x:v>심의승인</x:v>
      </x:c>
      <x:c r="J2285" s="2" t="str">
        <x:v>심의승인</x:v>
      </x:c>
      <x:c r="K2285" s="2" t="str">
        <x:f>IF(OR(J2285="심의승인",J2285="반려",J2285="반려완료",J2285="심의완료"),"종결 표시",IF(OR(J2285="기후부협의",J2285="문서재제출요청",J2285="보류",J2285="보완요청",J2285="보완완료",J2285="평가중",J2285="반려요청",J2285="평가필요",LEFT(J2285,5)="보완요청("),"미종결 표시","상태 확인 필요"))</x:f>
        <x:v>종결 표시</x:v>
      </x:c>
      <x:c r="L2285" s="2" t="str">
        <x:v>에코시안_김명은</x:v>
      </x:c>
      <x:c r="M2285" s="2"/>
      <x:c r="N2285" s="8" t="n">
        <x:f>DATE(2026,10,15)-DATE(2022,9,27)</x:f>
        <x:v>1479</x:v>
      </x:c>
      <x:c r="O2285" s="2"/>
      <x:c r="P2285" s="2"/>
      <x:c r="Q2285" s="2" t="str">
        <x:v>산업전환_외부사업관리Tool_260707_이너젠 수정_LJY_261013.xlsx</x:v>
      </x:c>
      <x:c r="R2285" s="2" t="str">
        <x:v>국내인증</x:v>
      </x:c>
      <x:c r="S2285" s="8" t="n">
        <x:v>603</x:v>
      </x:c>
      <x:c r="T2285" s="2" t="str">
        <x:v>(10/19)</x:v>
      </x:c>
      <x:c r="U2285" s="2" t="str">
        <x:v>2022 배정: (10/19) / 2023 배정: (3/13),(8/7),(10/27) / 2024 배정: (2/5),(4/8),(4/29)</x:v>
      </x:c>
      <x:c r="V2285" s="2" t="str">
        <x:v>2024-09-20</x:v>
      </x:c>
      <x:c r="W2285" s="2" t="str"/>
      <x:c r="X2285" s="2" t="str">
        <x:v>종결 근거 보관</x:v>
      </x:c>
      <x:c r="Y2285" s="2" t="str">
        <x:v>ad210cd9ec132cfd447541c8984dc53d30aff0f4fb2dc92d254d49275cc55976</x:v>
      </x:c>
      <x:c r="Z2285" s="2" t="n">
        <x:f>SUBTOTAL(103,A2285)</x:f>
        <x:v>1</x:v>
      </x:c>
      <x:c r="AA2285" s="2" t="str">
        <x:f>IF(K2285&lt;&gt;"미종결 표시","대상 아님",IF(N2285="","신청일 확인",IF(NOT(ISNUMBER('종합 현황'!$H$5)),"관찰기준 확인",IF('종합 현황'!$H$5&lt;1,"관찰기준 확인",IF(N2285&gt;'종합 현황'!$H$5,"내부 관찰 대상","내부 관찰일 이하")))))</x:f>
        <x:v>대상 아님</x:v>
      </x:c>
      <x:c r="AB2285" s="2"/>
    </x:row>
    <x:row r="2286" ht="42" customHeight="1">
      <x:c r="A2286" s="2" t="str">
        <x:v>d4141c7074e33537ed4f1fc4</x:v>
      </x:c>
      <x:c r="B2286" s="2" t="str">
        <x:v>감축량 인증</x:v>
      </x:c>
      <x:c r="C2286" s="2" t="str">
        <x:v>국내</x:v>
      </x:c>
      <x:c r="D2286" s="7" t="str">
        <x:v>마산 중리1단지 아파트 연료전환을 통한 온실가스 단위감축사업</x:v>
      </x:c>
      <x:c r="E2286" s="2" t="str">
        <x:v>526</x:v>
      </x:c>
      <x:c r="F2286" s="2" t="str">
        <x:v>2022-09-27</x:v>
      </x:c>
      <x:c r="G2286" s="2" t="str">
        <x:v>2022</x:v>
      </x:c>
      <x:c r="H2286" s="2" t="str">
        <x:v>09</x:v>
      </x:c>
      <x:c r="I2286" s="2" t="str">
        <x:v>심의승인</x:v>
      </x:c>
      <x:c r="J2286" s="2" t="str">
        <x:v>심의승인</x:v>
      </x:c>
      <x:c r="K2286" s="2" t="str">
        <x:f>IF(OR(J2286="심의승인",J2286="반려",J2286="반려완료",J2286="심의완료"),"종결 표시",IF(OR(J2286="기후부협의",J2286="문서재제출요청",J2286="보류",J2286="보완요청",J2286="보완완료",J2286="평가중",J2286="반려요청",J2286="평가필요",LEFT(J2286,5)="보완요청("),"미종결 표시","상태 확인 필요"))</x:f>
        <x:v>종결 표시</x:v>
      </x:c>
      <x:c r="L2286" s="2" t="str">
        <x:v>에코시안_전윤호</x:v>
      </x:c>
      <x:c r="M2286" s="2"/>
      <x:c r="N2286" s="8" t="n">
        <x:f>DATE(2026,10,15)-DATE(2022,9,27)</x:f>
        <x:v>1479</x:v>
      </x:c>
      <x:c r="O2286" s="2"/>
      <x:c r="P2286" s="2"/>
      <x:c r="Q2286" s="2" t="str">
        <x:v>산업전환_외부사업관리Tool_260707_이너젠 수정_LJY_261013.xlsx</x:v>
      </x:c>
      <x:c r="R2286" s="2" t="str">
        <x:v>국내인증</x:v>
      </x:c>
      <x:c r="S2286" s="8" t="n">
        <x:v>604</x:v>
      </x:c>
      <x:c r="T2286" s="2" t="str">
        <x:v>(10/19)</x:v>
      </x:c>
      <x:c r="U2286" s="2" t="str">
        <x:v>2022 배정: (10/19) / 2023 배정: (3/13),(8/7),(10/27),(11/17)</x:v>
      </x:c>
      <x:c r="V2286" s="2" t="str">
        <x:v>2024-04-09</x:v>
      </x:c>
      <x:c r="W2286" s="2" t="str"/>
      <x:c r="X2286" s="2" t="str">
        <x:v>종결 근거 보관</x:v>
      </x:c>
      <x:c r="Y2286" s="2" t="str">
        <x:v>ad210cd9ec132cfd447541c8984dc53d30aff0f4fb2dc92d254d49275cc55976</x:v>
      </x:c>
      <x:c r="Z2286" s="2" t="n">
        <x:f>SUBTOTAL(103,A2286)</x:f>
        <x:v>1</x:v>
      </x:c>
      <x:c r="AA2286" s="2" t="str">
        <x:f>IF(K2286&lt;&gt;"미종결 표시","대상 아님",IF(N2286="","신청일 확인",IF(NOT(ISNUMBER('종합 현황'!$H$5)),"관찰기준 확인",IF('종합 현황'!$H$5&lt;1,"관찰기준 확인",IF(N2286&gt;'종합 현황'!$H$5,"내부 관찰 대상","내부 관찰일 이하")))))</x:f>
        <x:v>대상 아님</x:v>
      </x:c>
      <x:c r="AB2286" s="2"/>
    </x:row>
    <x:row r="2287" ht="42" customHeight="1">
      <x:c r="A2287" s="2" t="str">
        <x:v>98aea4ba7600bde22ceddfe4</x:v>
      </x:c>
      <x:c r="B2287" s="2" t="str">
        <x:v>감축량 인증</x:v>
      </x:c>
      <x:c r="C2287" s="2" t="str">
        <x:v>국내</x:v>
      </x:c>
      <x:c r="D2287" s="7" t="str">
        <x:v>정읍 수성1단지아파트 연료전환을 통한 온실가스 단위감축사업</x:v>
      </x:c>
      <x:c r="E2287" s="2" t="str">
        <x:v>527</x:v>
      </x:c>
      <x:c r="F2287" s="2" t="str">
        <x:v>2022-09-28</x:v>
      </x:c>
      <x:c r="G2287" s="2" t="str">
        <x:v>2022</x:v>
      </x:c>
      <x:c r="H2287" s="2" t="str">
        <x:v>09</x:v>
      </x:c>
      <x:c r="I2287" s="2" t="str">
        <x:v>심의승인</x:v>
      </x:c>
      <x:c r="J2287" s="2" t="str">
        <x:v>심의승인</x:v>
      </x:c>
      <x:c r="K2287" s="2" t="str">
        <x:f>IF(OR(J2287="심의승인",J2287="반려",J2287="반려완료",J2287="심의완료"),"종결 표시",IF(OR(J2287="기후부협의",J2287="문서재제출요청",J2287="보류",J2287="보완요청",J2287="보완완료",J2287="평가중",J2287="반려요청",J2287="평가필요",LEFT(J2287,5)="보완요청("),"미종결 표시","상태 확인 필요"))</x:f>
        <x:v>종결 표시</x:v>
      </x:c>
      <x:c r="L2287" s="2"/>
      <x:c r="M2287" s="2"/>
      <x:c r="N2287" s="8" t="n">
        <x:f>DATE(2026,10,15)-DATE(2022,9,28)</x:f>
        <x:v>1478</x:v>
      </x:c>
      <x:c r="O2287" s="2"/>
      <x:c r="P2287" s="2"/>
      <x:c r="Q2287" s="2" t="str">
        <x:v>산업전환_외부사업관리Tool_260707_이너젠 수정_LJY_261013.xlsx</x:v>
      </x:c>
      <x:c r="R2287" s="2" t="str">
        <x:v>국내인증</x:v>
      </x:c>
      <x:c r="S2287" s="8" t="n">
        <x:v>605</x:v>
      </x:c>
      <x:c r="T2287" s="2" t="str">
        <x:v>(10/19)</x:v>
      </x:c>
      <x:c r="U2287" s="2" t="str">
        <x:v>2022 배정: (10/19) / 2023 배정: (6/7)</x:v>
      </x:c>
      <x:c r="V2287" s="2" t="str">
        <x:v>2023-12-15</x:v>
      </x:c>
      <x:c r="W2287" s="2" t="str">
        <x:v>담당기관 확인</x:v>
      </x:c>
      <x:c r="X2287" s="2" t="str">
        <x:v>원본·배정 기록 확인</x:v>
      </x:c>
      <x:c r="Y2287" s="2" t="str">
        <x:v>ad210cd9ec132cfd447541c8984dc53d30aff0f4fb2dc92d254d49275cc55976</x:v>
      </x:c>
      <x:c r="Z2287" s="2" t="n">
        <x:f>SUBTOTAL(103,A2287)</x:f>
        <x:v>1</x:v>
      </x:c>
      <x:c r="AA2287" s="2" t="str">
        <x:f>IF(K2287&lt;&gt;"미종결 표시","대상 아님",IF(N2287="","신청일 확인",IF(NOT(ISNUMBER('종합 현황'!$H$5)),"관찰기준 확인",IF('종합 현황'!$H$5&lt;1,"관찰기준 확인",IF(N2287&gt;'종합 현황'!$H$5,"내부 관찰 대상","내부 관찰일 이하")))))</x:f>
        <x:v>대상 아님</x:v>
      </x:c>
      <x:c r="AB2287" s="2"/>
    </x:row>
    <x:row r="2288" ht="42" customHeight="1">
      <x:c r="A2288" s="2" t="str">
        <x:v>f7e095cb09222bcfa20b9226</x:v>
      </x:c>
      <x:c r="B2288" s="2" t="str">
        <x:v>감축량 인증</x:v>
      </x:c>
      <x:c r="C2288" s="2" t="str">
        <x:v>국내</x:v>
      </x:c>
      <x:c r="D2288" s="7" t="str">
        <x:v>남원 노암아파트 연료전환을 통한 온실가스 단위감축사업</x:v>
      </x:c>
      <x:c r="E2288" s="2" t="str">
        <x:v>528</x:v>
      </x:c>
      <x:c r="F2288" s="2" t="str">
        <x:v>2022-10-06</x:v>
      </x:c>
      <x:c r="G2288" s="2" t="str">
        <x:v>2022</x:v>
      </x:c>
      <x:c r="H2288" s="2" t="str">
        <x:v>10</x:v>
      </x:c>
      <x:c r="I2288" s="2" t="str">
        <x:v>심의승인</x:v>
      </x:c>
      <x:c r="J2288" s="2" t="str">
        <x:v>심의승인</x:v>
      </x:c>
      <x:c r="K2288" s="2" t="str">
        <x:f>IF(OR(J2288="심의승인",J2288="반려",J2288="반려완료",J2288="심의완료"),"종결 표시",IF(OR(J2288="기후부협의",J2288="문서재제출요청",J2288="보류",J2288="보완요청",J2288="보완완료",J2288="평가중",J2288="반려요청",J2288="평가필요",LEFT(J2288,5)="보완요청("),"미종결 표시","상태 확인 필요"))</x:f>
        <x:v>종결 표시</x:v>
      </x:c>
      <x:c r="L2288" s="2" t="str">
        <x:v>에코시안_박세은</x:v>
      </x:c>
      <x:c r="M2288" s="2"/>
      <x:c r="N2288" s="8" t="n">
        <x:f>DATE(2026,10,15)-DATE(2022,10,6)</x:f>
        <x:v>1470</x:v>
      </x:c>
      <x:c r="O2288" s="2"/>
      <x:c r="P2288" s="2"/>
      <x:c r="Q2288" s="2" t="str">
        <x:v>산업전환_외부사업관리Tool_260707_이너젠 수정_LJY_261013.xlsx</x:v>
      </x:c>
      <x:c r="R2288" s="2" t="str">
        <x:v>국내인증</x:v>
      </x:c>
      <x:c r="S2288" s="8" t="n">
        <x:v>606</x:v>
      </x:c>
      <x:c r="T2288" s="2" t="str">
        <x:v>(10/19)</x:v>
      </x:c>
      <x:c r="U2288" s="2" t="str">
        <x:v>2022 배정: (10/19) / 2023 배정: (8/30) / 2024 배정: (2/5)</x:v>
      </x:c>
      <x:c r="V2288" s="2" t="str">
        <x:v>2024-06-27</x:v>
      </x:c>
      <x:c r="W2288" s="2" t="str"/>
      <x:c r="X2288" s="2" t="str">
        <x:v>종결 근거 보관</x:v>
      </x:c>
      <x:c r="Y2288" s="2" t="str">
        <x:v>ad210cd9ec132cfd447541c8984dc53d30aff0f4fb2dc92d254d49275cc55976</x:v>
      </x:c>
      <x:c r="Z2288" s="2" t="n">
        <x:f>SUBTOTAL(103,A2288)</x:f>
        <x:v>1</x:v>
      </x:c>
      <x:c r="AA2288" s="2" t="str">
        <x:f>IF(K2288&lt;&gt;"미종결 표시","대상 아님",IF(N2288="","신청일 확인",IF(NOT(ISNUMBER('종합 현황'!$H$5)),"관찰기준 확인",IF('종합 현황'!$H$5&lt;1,"관찰기준 확인",IF(N2288&gt;'종합 현황'!$H$5,"내부 관찰 대상","내부 관찰일 이하")))))</x:f>
        <x:v>대상 아님</x:v>
      </x:c>
      <x:c r="AB2288" s="2"/>
    </x:row>
    <x:row r="2289" ht="42" customHeight="1">
      <x:c r="A2289" s="2" t="str">
        <x:v>56f0f6f4d9e73b2be55d88cf</x:v>
      </x:c>
      <x:c r="B2289" s="2" t="str">
        <x:v>감축량 인증</x:v>
      </x:c>
      <x:c r="C2289" s="2" t="str">
        <x:v>국내</x:v>
      </x:c>
      <x:c r="D2289" s="7" t="str">
        <x:v>부산 모라 주공 1단지 아파트 연료전환을 통한 온실가스 단위감축사업</x:v>
      </x:c>
      <x:c r="E2289" s="2" t="str">
        <x:v>529</x:v>
      </x:c>
      <x:c r="F2289" s="2" t="str">
        <x:v>2022-10-12</x:v>
      </x:c>
      <x:c r="G2289" s="2" t="str">
        <x:v>2022</x:v>
      </x:c>
      <x:c r="H2289" s="2" t="str">
        <x:v>10</x:v>
      </x:c>
      <x:c r="I2289" s="2" t="str">
        <x:v>심의승인</x:v>
      </x:c>
      <x:c r="J2289" s="2" t="str">
        <x:v>심의승인</x:v>
      </x:c>
      <x:c r="K2289" s="2" t="str">
        <x:f>IF(OR(J2289="심의승인",J2289="반려",J2289="반려완료",J2289="심의완료"),"종결 표시",IF(OR(J2289="기후부협의",J2289="문서재제출요청",J2289="보류",J2289="보완요청",J2289="보완완료",J2289="평가중",J2289="반려요청",J2289="평가필요",LEFT(J2289,5)="보완요청("),"미종결 표시","상태 확인 필요"))</x:f>
        <x:v>종결 표시</x:v>
      </x:c>
      <x:c r="L2289" s="2" t="str">
        <x:v>에코시안_조은지</x:v>
      </x:c>
      <x:c r="M2289" s="2"/>
      <x:c r="N2289" s="8" t="n">
        <x:f>DATE(2026,10,15)-DATE(2022,10,12)</x:f>
        <x:v>1464</x:v>
      </x:c>
      <x:c r="O2289" s="2"/>
      <x:c r="P2289" s="2"/>
      <x:c r="Q2289" s="2" t="str">
        <x:v>산업전환_외부사업관리Tool_260707_이너젠 수정_LJY_261013.xlsx</x:v>
      </x:c>
      <x:c r="R2289" s="2" t="str">
        <x:v>국내인증</x:v>
      </x:c>
      <x:c r="S2289" s="8" t="n">
        <x:v>607</x:v>
      </x:c>
      <x:c r="T2289" s="2" t="str">
        <x:v>(10/19)</x:v>
      </x:c>
      <x:c r="U2289" s="2" t="str">
        <x:v>2022 배정: (10/19) / 2023 배정: (5/16),(8/30) / 2024 배정: (2/26),(4/8)</x:v>
      </x:c>
      <x:c r="V2289" s="2" t="str">
        <x:v>2024-09-20</x:v>
      </x:c>
      <x:c r="W2289" s="2" t="str"/>
      <x:c r="X2289" s="2" t="str">
        <x:v>종결 근거 보관</x:v>
      </x:c>
      <x:c r="Y2289" s="2" t="str">
        <x:v>ad210cd9ec132cfd447541c8984dc53d30aff0f4fb2dc92d254d49275cc55976</x:v>
      </x:c>
      <x:c r="Z2289" s="2" t="n">
        <x:f>SUBTOTAL(103,A2289)</x:f>
        <x:v>1</x:v>
      </x:c>
      <x:c r="AA2289" s="2" t="str">
        <x:f>IF(K2289&lt;&gt;"미종결 표시","대상 아님",IF(N2289="","신청일 확인",IF(NOT(ISNUMBER('종합 현황'!$H$5)),"관찰기준 확인",IF('종합 현황'!$H$5&lt;1,"관찰기준 확인",IF(N2289&gt;'종합 현황'!$H$5,"내부 관찰 대상","내부 관찰일 이하")))))</x:f>
        <x:v>대상 아님</x:v>
      </x:c>
      <x:c r="AB2289" s="2"/>
    </x:row>
    <x:row r="2290" ht="42" customHeight="1">
      <x:c r="A2290" s="2" t="str">
        <x:v>d65133a4ffe20a660c938c86</x:v>
      </x:c>
      <x:c r="B2290" s="2" t="str">
        <x:v>감축량 인증</x:v>
      </x:c>
      <x:c r="C2290" s="2" t="str">
        <x:v>국내</x:v>
      </x:c>
      <x:c r="D2290" s="7" t="str">
        <x:v>부산 모라 주공3단지 아파트 연료전환을 통한 온실가스 단위감축사업</x:v>
      </x:c>
      <x:c r="E2290" s="2" t="str">
        <x:v>530</x:v>
      </x:c>
      <x:c r="F2290" s="2" t="str">
        <x:v>2022-10-12</x:v>
      </x:c>
      <x:c r="G2290" s="2" t="str">
        <x:v>2022</x:v>
      </x:c>
      <x:c r="H2290" s="2" t="str">
        <x:v>10</x:v>
      </x:c>
      <x:c r="I2290" s="2" t="str">
        <x:v>심의승인</x:v>
      </x:c>
      <x:c r="J2290" s="2" t="str">
        <x:v>심의승인</x:v>
      </x:c>
      <x:c r="K2290" s="2" t="str">
        <x:f>IF(OR(J2290="심의승인",J2290="반려",J2290="반려완료",J2290="심의완료"),"종결 표시",IF(OR(J2290="기후부협의",J2290="문서재제출요청",J2290="보류",J2290="보완요청",J2290="보완완료",J2290="평가중",J2290="반려요청",J2290="평가필요",LEFT(J2290,5)="보완요청("),"미종결 표시","상태 확인 필요"))</x:f>
        <x:v>종결 표시</x:v>
      </x:c>
      <x:c r="L2290" s="2" t="str">
        <x:v>에코시안_조은지</x:v>
      </x:c>
      <x:c r="M2290" s="2"/>
      <x:c r="N2290" s="8" t="n">
        <x:f>DATE(2026,10,15)-DATE(2022,10,12)</x:f>
        <x:v>1464</x:v>
      </x:c>
      <x:c r="O2290" s="2"/>
      <x:c r="P2290" s="2"/>
      <x:c r="Q2290" s="2" t="str">
        <x:v>산업전환_외부사업관리Tool_260707_이너젠 수정_LJY_261013.xlsx</x:v>
      </x:c>
      <x:c r="R2290" s="2" t="str">
        <x:v>국내인증</x:v>
      </x:c>
      <x:c r="S2290" s="8" t="n">
        <x:v>608</x:v>
      </x:c>
      <x:c r="T2290" s="2" t="str">
        <x:v>(10/19)</x:v>
      </x:c>
      <x:c r="U2290" s="2" t="str">
        <x:v>2022 배정: (10/19) / 2023 배정: (5/16),(8/30) / 2024 배정: (2/26)</x:v>
      </x:c>
      <x:c r="V2290" s="2" t="str">
        <x:v>2024-09-20</x:v>
      </x:c>
      <x:c r="W2290" s="2" t="str"/>
      <x:c r="X2290" s="2" t="str">
        <x:v>종결 근거 보관</x:v>
      </x:c>
      <x:c r="Y2290" s="2" t="str">
        <x:v>ad210cd9ec132cfd447541c8984dc53d30aff0f4fb2dc92d254d49275cc55976</x:v>
      </x:c>
      <x:c r="Z2290" s="2" t="n">
        <x:f>SUBTOTAL(103,A2290)</x:f>
        <x:v>1</x:v>
      </x:c>
      <x:c r="AA2290" s="2" t="str">
        <x:f>IF(K2290&lt;&gt;"미종결 표시","대상 아님",IF(N2290="","신청일 확인",IF(NOT(ISNUMBER('종합 현황'!$H$5)),"관찰기준 확인",IF('종합 현황'!$H$5&lt;1,"관찰기준 확인",IF(N2290&gt;'종합 현황'!$H$5,"내부 관찰 대상","내부 관찰일 이하")))))</x:f>
        <x:v>대상 아님</x:v>
      </x:c>
      <x:c r="AB2290" s="2"/>
    </x:row>
    <x:row r="2291" ht="42" customHeight="1">
      <x:c r="A2291" s="2" t="str">
        <x:v>368a9cf481d3cb0a50afadd2</x:v>
      </x:c>
      <x:c r="B2291" s="2" t="str">
        <x:v>감축량 인증</x:v>
      </x:c>
      <x:c r="C2291" s="2" t="str">
        <x:v>국내</x:v>
      </x:c>
      <x:c r="D2291" s="7" t="str">
        <x:v>강릉 입암 3단지 아파트 연료전환을 통한 온실가스 단위감축사업</x:v>
      </x:c>
      <x:c r="E2291" s="2" t="str">
        <x:v>531</x:v>
      </x:c>
      <x:c r="F2291" s="2" t="str">
        <x:v>2022-10-13</x:v>
      </x:c>
      <x:c r="G2291" s="2" t="str">
        <x:v>2022</x:v>
      </x:c>
      <x:c r="H2291" s="2" t="str">
        <x:v>10</x:v>
      </x:c>
      <x:c r="I2291" s="2" t="str">
        <x:v>심의승인</x:v>
      </x:c>
      <x:c r="J2291" s="2" t="str">
        <x:v>심의승인</x:v>
      </x:c>
      <x:c r="K2291" s="2" t="str">
        <x:f>IF(OR(J2291="심의승인",J2291="반려",J2291="반려완료",J2291="심의완료"),"종결 표시",IF(OR(J2291="기후부협의",J2291="문서재제출요청",J2291="보류",J2291="보완요청",J2291="보완완료",J2291="평가중",J2291="반려요청",J2291="평가필요",LEFT(J2291,5)="보완요청("),"미종결 표시","상태 확인 필요"))</x:f>
        <x:v>종결 표시</x:v>
      </x:c>
      <x:c r="L2291" s="2"/>
      <x:c r="M2291" s="2"/>
      <x:c r="N2291" s="8" t="n">
        <x:f>DATE(2026,10,15)-DATE(2022,10,13)</x:f>
        <x:v>1463</x:v>
      </x:c>
      <x:c r="O2291" s="2"/>
      <x:c r="P2291" s="2"/>
      <x:c r="Q2291" s="2" t="str">
        <x:v>산업전환_외부사업관리Tool_260707_이너젠 수정_LJY_261013.xlsx</x:v>
      </x:c>
      <x:c r="R2291" s="2" t="str">
        <x:v>국내인증</x:v>
      </x:c>
      <x:c r="S2291" s="8" t="n">
        <x:v>609</x:v>
      </x:c>
      <x:c r="T2291" s="2" t="str">
        <x:v>(10/19)</x:v>
      </x:c>
      <x:c r="U2291" s="2" t="str">
        <x:v>2022 배정: (10/19) / 2023 배정: (3/13),(8/7)</x:v>
      </x:c>
      <x:c r="V2291" s="2" t="str">
        <x:v>2023-12-15</x:v>
      </x:c>
      <x:c r="W2291" s="2" t="str">
        <x:v>담당기관 확인</x:v>
      </x:c>
      <x:c r="X2291" s="2" t="str">
        <x:v>원본·배정 기록 확인</x:v>
      </x:c>
      <x:c r="Y2291" s="2" t="str">
        <x:v>ad210cd9ec132cfd447541c8984dc53d30aff0f4fb2dc92d254d49275cc55976</x:v>
      </x:c>
      <x:c r="Z2291" s="2" t="n">
        <x:f>SUBTOTAL(103,A2291)</x:f>
        <x:v>1</x:v>
      </x:c>
      <x:c r="AA2291" s="2" t="str">
        <x:f>IF(K2291&lt;&gt;"미종결 표시","대상 아님",IF(N2291="","신청일 확인",IF(NOT(ISNUMBER('종합 현황'!$H$5)),"관찰기준 확인",IF('종합 현황'!$H$5&lt;1,"관찰기준 확인",IF(N2291&gt;'종합 현황'!$H$5,"내부 관찰 대상","내부 관찰일 이하")))))</x:f>
        <x:v>대상 아님</x:v>
      </x:c>
      <x:c r="AB2291" s="2"/>
    </x:row>
    <x:row r="2292" ht="42" customHeight="1">
      <x:c r="A2292" s="2" t="str">
        <x:v>0bb34fd3f06c0cb52161fa3a</x:v>
      </x:c>
      <x:c r="B2292" s="2" t="str">
        <x:v>감축량 인증</x:v>
      </x:c>
      <x:c r="C2292" s="2" t="str">
        <x:v>국내</x:v>
      </x:c>
      <x:c r="D2292" s="7" t="str">
        <x:v>익산 동산아파트 연료전환을 통한 온실가스 단위감축사업</x:v>
      </x:c>
      <x:c r="E2292" s="2" t="str">
        <x:v>532</x:v>
      </x:c>
      <x:c r="F2292" s="2" t="str">
        <x:v>2022-10-17</x:v>
      </x:c>
      <x:c r="G2292" s="2" t="str">
        <x:v>2022</x:v>
      </x:c>
      <x:c r="H2292" s="2" t="str">
        <x:v>10</x:v>
      </x:c>
      <x:c r="I2292" s="2" t="str">
        <x:v>심의승인</x:v>
      </x:c>
      <x:c r="J2292" s="2" t="str">
        <x:v>심의승인</x:v>
      </x:c>
      <x:c r="K2292" s="2" t="str">
        <x:f>IF(OR(J2292="심의승인",J2292="반려",J2292="반려완료",J2292="심의완료"),"종결 표시",IF(OR(J2292="기후부협의",J2292="문서재제출요청",J2292="보류",J2292="보완요청",J2292="보완완료",J2292="평가중",J2292="반려요청",J2292="평가필요",LEFT(J2292,5)="보완요청("),"미종결 표시","상태 확인 필요"))</x:f>
        <x:v>종결 표시</x:v>
      </x:c>
      <x:c r="L2292" s="2"/>
      <x:c r="M2292" s="2"/>
      <x:c r="N2292" s="8" t="n">
        <x:f>DATE(2026,10,15)-DATE(2022,10,17)</x:f>
        <x:v>1459</x:v>
      </x:c>
      <x:c r="O2292" s="2"/>
      <x:c r="P2292" s="2"/>
      <x:c r="Q2292" s="2" t="str">
        <x:v>산업전환_외부사업관리Tool_260707_이너젠 수정_LJY_261013.xlsx</x:v>
      </x:c>
      <x:c r="R2292" s="2" t="str">
        <x:v>국내인증</x:v>
      </x:c>
      <x:c r="S2292" s="8" t="n">
        <x:v>610</x:v>
      </x:c>
      <x:c r="T2292" s="2" t="str">
        <x:v>(10/19)</x:v>
      </x:c>
      <x:c r="U2292" s="2" t="str">
        <x:v>2022 배정: (10/19) / 2023 배정: (6/7)</x:v>
      </x:c>
      <x:c r="V2292" s="2" t="str">
        <x:v>2023-12-15</x:v>
      </x:c>
      <x:c r="W2292" s="2" t="str">
        <x:v>담당기관 확인</x:v>
      </x:c>
      <x:c r="X2292" s="2" t="str">
        <x:v>원본·배정 기록 확인</x:v>
      </x:c>
      <x:c r="Y2292" s="2" t="str">
        <x:v>ad210cd9ec132cfd447541c8984dc53d30aff0f4fb2dc92d254d49275cc55976</x:v>
      </x:c>
      <x:c r="Z2292" s="2" t="n">
        <x:f>SUBTOTAL(103,A2292)</x:f>
        <x:v>1</x:v>
      </x:c>
      <x:c r="AA2292" s="2" t="str">
        <x:f>IF(K2292&lt;&gt;"미종결 표시","대상 아님",IF(N2292="","신청일 확인",IF(NOT(ISNUMBER('종합 현황'!$H$5)),"관찰기준 확인",IF('종합 현황'!$H$5&lt;1,"관찰기준 확인",IF(N2292&gt;'종합 현황'!$H$5,"내부 관찰 대상","내부 관찰일 이하")))))</x:f>
        <x:v>대상 아님</x:v>
      </x:c>
      <x:c r="AB2292" s="2"/>
    </x:row>
    <x:row r="2293" ht="42" customHeight="1">
      <x:c r="A2293" s="2" t="str">
        <x:v>f48d5672e530371767e51b4d</x:v>
      </x:c>
      <x:c r="B2293" s="2" t="str">
        <x:v>감축량 인증</x:v>
      </x:c>
      <x:c r="C2293" s="2" t="str">
        <x:v>국내</x:v>
      </x:c>
      <x:c r="D2293" s="7" t="str">
        <x:v>주식회사 클린에코 보일러 연료교체(LPG→LNG) 사업</x:v>
      </x:c>
      <x:c r="E2293" s="2" t="str">
        <x:v>533</x:v>
      </x:c>
      <x:c r="F2293" s="2" t="str">
        <x:v>2022-10-19</x:v>
      </x:c>
      <x:c r="G2293" s="2" t="str">
        <x:v>2022</x:v>
      </x:c>
      <x:c r="H2293" s="2" t="str">
        <x:v>10</x:v>
      </x:c>
      <x:c r="I2293" s="2" t="str">
        <x:v>심의승인</x:v>
      </x:c>
      <x:c r="J2293" s="2" t="str">
        <x:v>심의승인</x:v>
      </x:c>
      <x:c r="K2293" s="2" t="str">
        <x:f>IF(OR(J2293="심의승인",J2293="반려",J2293="반려완료",J2293="심의완료"),"종결 표시",IF(OR(J2293="기후부협의",J2293="문서재제출요청",J2293="보류",J2293="보완요청",J2293="보완완료",J2293="평가중",J2293="반려요청",J2293="평가필요",LEFT(J2293,5)="보완요청("),"미종결 표시","상태 확인 필요"))</x:f>
        <x:v>종결 표시</x:v>
      </x:c>
      <x:c r="L2293" s="2" t="str">
        <x:v>에코시안_박세은</x:v>
      </x:c>
      <x:c r="M2293" s="2"/>
      <x:c r="N2293" s="8" t="n">
        <x:f>DATE(2026,10,15)-DATE(2022,10,19)</x:f>
        <x:v>1457</x:v>
      </x:c>
      <x:c r="O2293" s="2"/>
      <x:c r="P2293" s="2"/>
      <x:c r="Q2293" s="2" t="str">
        <x:v>산업전환_외부사업관리Tool_260707_이너젠 수정_LJY_261013.xlsx</x:v>
      </x:c>
      <x:c r="R2293" s="2" t="str">
        <x:v>국내인증</x:v>
      </x:c>
      <x:c r="S2293" s="8" t="n">
        <x:v>611</x:v>
      </x:c>
      <x:c r="T2293" s="2" t="str">
        <x:v>(11/18)</x:v>
      </x:c>
      <x:c r="U2293" s="2" t="str">
        <x:v>2022 배정: (11/18) / 2023 배정: (2/17)</x:v>
      </x:c>
      <x:c r="V2293" s="2" t="str">
        <x:v>2024-04-09</x:v>
      </x:c>
      <x:c r="W2293" s="2" t="str"/>
      <x:c r="X2293" s="2" t="str">
        <x:v>종결 근거 보관</x:v>
      </x:c>
      <x:c r="Y2293" s="2" t="str">
        <x:v>ad210cd9ec132cfd447541c8984dc53d30aff0f4fb2dc92d254d49275cc55976</x:v>
      </x:c>
      <x:c r="Z2293" s="2" t="n">
        <x:f>SUBTOTAL(103,A2293)</x:f>
        <x:v>1</x:v>
      </x:c>
      <x:c r="AA2293" s="2" t="str">
        <x:f>IF(K2293&lt;&gt;"미종결 표시","대상 아님",IF(N2293="","신청일 확인",IF(NOT(ISNUMBER('종합 현황'!$H$5)),"관찰기준 확인",IF('종합 현황'!$H$5&lt;1,"관찰기준 확인",IF(N2293&gt;'종합 현황'!$H$5,"내부 관찰 대상","내부 관찰일 이하")))))</x:f>
        <x:v>대상 아님</x:v>
      </x:c>
      <x:c r="AB2293" s="2"/>
    </x:row>
    <x:row r="2294" ht="42" customHeight="1">
      <x:c r="A2294" s="2" t="str">
        <x:v>823717bc342b3fcdfe026a7d</x:v>
      </x:c>
      <x:c r="B2294" s="2" t="str">
        <x:v>감축량 인증</x:v>
      </x:c>
      <x:c r="C2294" s="2" t="str">
        <x:v>국내</x:v>
      </x:c>
      <x:c r="D2294" s="7" t="str">
        <x:v>에스오엠의 정제유에서 도시가스(LNG)로 연료전환을 통한 온실가스 배출 감축사업</x:v>
      </x:c>
      <x:c r="E2294" s="2" t="str">
        <x:v>534</x:v>
      </x:c>
      <x:c r="F2294" s="2" t="str">
        <x:v>2022-10-20</x:v>
      </x:c>
      <x:c r="G2294" s="2" t="str">
        <x:v>2022</x:v>
      </x:c>
      <x:c r="H2294" s="2" t="str">
        <x:v>10</x:v>
      </x:c>
      <x:c r="I2294" s="2" t="str">
        <x:v>심의승인</x:v>
      </x:c>
      <x:c r="J2294" s="2" t="str">
        <x:v>심의승인</x:v>
      </x:c>
      <x:c r="K2294" s="2" t="str">
        <x:f>IF(OR(J2294="심의승인",J2294="반려",J2294="반려완료",J2294="심의완료"),"종결 표시",IF(OR(J2294="기후부협의",J2294="문서재제출요청",J2294="보류",J2294="보완요청",J2294="보완완료",J2294="평가중",J2294="반려요청",J2294="평가필요",LEFT(J2294,5)="보완요청("),"미종결 표시","상태 확인 필요"))</x:f>
        <x:v>종결 표시</x:v>
      </x:c>
      <x:c r="L2294" s="2" t="str">
        <x:v>에코시안_전윤호</x:v>
      </x:c>
      <x:c r="M2294" s="2"/>
      <x:c r="N2294" s="8" t="n">
        <x:f>DATE(2026,10,15)-DATE(2022,10,20)</x:f>
        <x:v>1456</x:v>
      </x:c>
      <x:c r="O2294" s="2"/>
      <x:c r="P2294" s="2"/>
      <x:c r="Q2294" s="2" t="str">
        <x:v>산업전환_외부사업관리Tool_260707_이너젠 수정_LJY_261013.xlsx</x:v>
      </x:c>
      <x:c r="R2294" s="2" t="str">
        <x:v>국내인증</x:v>
      </x:c>
      <x:c r="S2294" s="8" t="n">
        <x:v>612</x:v>
      </x:c>
      <x:c r="T2294" s="2" t="str">
        <x:v>(11/18),(12/8)</x:v>
      </x:c>
      <x:c r="U2294" s="2" t="str">
        <x:v>2022 배정: (11/18),(12/8) / 2023 배정: (1/30),(5/16),(8/7),(10/6)</x:v>
      </x:c>
      <x:c r="V2294" s="2" t="str">
        <x:v>2024-04-09</x:v>
      </x:c>
      <x:c r="W2294" s="2" t="str"/>
      <x:c r="X2294" s="2" t="str">
        <x:v>종결 근거 보관</x:v>
      </x:c>
      <x:c r="Y2294" s="2" t="str">
        <x:v>ad210cd9ec132cfd447541c8984dc53d30aff0f4fb2dc92d254d49275cc55976</x:v>
      </x:c>
      <x:c r="Z2294" s="2" t="n">
        <x:f>SUBTOTAL(103,A2294)</x:f>
        <x:v>1</x:v>
      </x:c>
      <x:c r="AA2294" s="2" t="str">
        <x:f>IF(K2294&lt;&gt;"미종결 표시","대상 아님",IF(N2294="","신청일 확인",IF(NOT(ISNUMBER('종합 현황'!$H$5)),"관찰기준 확인",IF('종합 현황'!$H$5&lt;1,"관찰기준 확인",IF(N2294&gt;'종합 현황'!$H$5,"내부 관찰 대상","내부 관찰일 이하")))))</x:f>
        <x:v>대상 아님</x:v>
      </x:c>
      <x:c r="AB2294" s="2"/>
    </x:row>
    <x:row r="2295" ht="42" customHeight="1">
      <x:c r="A2295" s="2" t="str">
        <x:v>04360f1c01ec44b373dc7c7d</x:v>
      </x:c>
      <x:c r="B2295" s="2" t="str">
        <x:v>감축량 인증</x:v>
      </x:c>
      <x:c r="C2295" s="2" t="str">
        <x:v>국내</x:v>
      </x:c>
      <x:c r="D2295" s="7" t="str">
        <x:v>대전 판암 주공 3단지 아파트 연료전환을 통한 온실가스 단위감축사업</x:v>
      </x:c>
      <x:c r="E2295" s="2" t="str">
        <x:v>535</x:v>
      </x:c>
      <x:c r="F2295" s="2" t="str">
        <x:v>2022-11-01</x:v>
      </x:c>
      <x:c r="G2295" s="2" t="str">
        <x:v>2022</x:v>
      </x:c>
      <x:c r="H2295" s="2" t="str">
        <x:v>11</x:v>
      </x:c>
      <x:c r="I2295" s="2" t="str">
        <x:v>심의승인</x:v>
      </x:c>
      <x:c r="J2295" s="2" t="str">
        <x:v>심의승인</x:v>
      </x:c>
      <x:c r="K2295" s="2" t="str">
        <x:f>IF(OR(J2295="심의승인",J2295="반려",J2295="반려완료",J2295="심의완료"),"종결 표시",IF(OR(J2295="기후부협의",J2295="문서재제출요청",J2295="보류",J2295="보완요청",J2295="보완완료",J2295="평가중",J2295="반려요청",J2295="평가필요",LEFT(J2295,5)="보완요청("),"미종결 표시","상태 확인 필요"))</x:f>
        <x:v>종결 표시</x:v>
      </x:c>
      <x:c r="L2295" s="2" t="str">
        <x:v>KECM_이지연</x:v>
      </x:c>
      <x:c r="M2295" s="2"/>
      <x:c r="N2295" s="8" t="n">
        <x:f>DATE(2026,10,15)-DATE(2022,11,1)</x:f>
        <x:v>1444</x:v>
      </x:c>
      <x:c r="O2295" s="2"/>
      <x:c r="P2295" s="2"/>
      <x:c r="Q2295" s="2" t="str">
        <x:v>산업전환_외부사업관리Tool_260707_이너젠 수정_LJY_261013.xlsx</x:v>
      </x:c>
      <x:c r="R2295" s="2" t="str">
        <x:v>국내인증</x:v>
      </x:c>
      <x:c r="S2295" s="8" t="n">
        <x:v>613</x:v>
      </x:c>
      <x:c r="T2295" s="2" t="str">
        <x:v>(11/18)</x:v>
      </x:c>
      <x:c r="U2295" s="2" t="str">
        <x:v>2022 배정: (11/18) / 2023 배정: (8/30) / 2024 배정: (2/5),(4/8)</x:v>
      </x:c>
      <x:c r="V2295" s="2" t="str">
        <x:v>2024-09-20</x:v>
      </x:c>
      <x:c r="W2295" s="2" t="str"/>
      <x:c r="X2295" s="2" t="str">
        <x:v>종결 근거 보관</x:v>
      </x:c>
      <x:c r="Y2295" s="2" t="str">
        <x:v>ad210cd9ec132cfd447541c8984dc53d30aff0f4fb2dc92d254d49275cc55976</x:v>
      </x:c>
      <x:c r="Z2295" s="2" t="n">
        <x:f>SUBTOTAL(103,A2295)</x:f>
        <x:v>1</x:v>
      </x:c>
      <x:c r="AA2295" s="2" t="str">
        <x:f>IF(K2295&lt;&gt;"미종결 표시","대상 아님",IF(N2295="","신청일 확인",IF(NOT(ISNUMBER('종합 현황'!$H$5)),"관찰기준 확인",IF('종합 현황'!$H$5&lt;1,"관찰기준 확인",IF(N2295&gt;'종합 현황'!$H$5,"내부 관찰 대상","내부 관찰일 이하")))))</x:f>
        <x:v>대상 아님</x:v>
      </x:c>
      <x:c r="AB2295" s="2"/>
    </x:row>
    <x:row r="2296" ht="42" customHeight="1">
      <x:c r="A2296" s="2" t="str">
        <x:v>eeffe1f63e4cb88f9ac80a0b</x:v>
      </x:c>
      <x:c r="B2296" s="2" t="str">
        <x:v>감축량 인증</x:v>
      </x:c>
      <x:c r="C2296" s="2" t="str">
        <x:v>국내</x:v>
      </x:c>
      <x:c r="D2296" s="7" t="str">
        <x:v>대전 문화 주공 1단지 아파트 연료전환을 통한 온실가스 단위감축사업</x:v>
      </x:c>
      <x:c r="E2296" s="2" t="str">
        <x:v>536</x:v>
      </x:c>
      <x:c r="F2296" s="2" t="str">
        <x:v>2022-11-01</x:v>
      </x:c>
      <x:c r="G2296" s="2" t="str">
        <x:v>2022</x:v>
      </x:c>
      <x:c r="H2296" s="2" t="str">
        <x:v>11</x:v>
      </x:c>
      <x:c r="I2296" s="2" t="str">
        <x:v>심의승인</x:v>
      </x:c>
      <x:c r="J2296" s="2" t="str">
        <x:v>심의승인</x:v>
      </x:c>
      <x:c r="K2296" s="2" t="str">
        <x:f>IF(OR(J2296="심의승인",J2296="반려",J2296="반려완료",J2296="심의완료"),"종결 표시",IF(OR(J2296="기후부협의",J2296="문서재제출요청",J2296="보류",J2296="보완요청",J2296="보완완료",J2296="평가중",J2296="반려요청",J2296="평가필요",LEFT(J2296,5)="보완요청("),"미종결 표시","상태 확인 필요"))</x:f>
        <x:v>종결 표시</x:v>
      </x:c>
      <x:c r="L2296" s="2" t="str">
        <x:v>KECM_이태준</x:v>
      </x:c>
      <x:c r="M2296" s="2"/>
      <x:c r="N2296" s="8" t="n">
        <x:f>DATE(2026,10,15)-DATE(2022,11,1)</x:f>
        <x:v>1444</x:v>
      </x:c>
      <x:c r="O2296" s="2"/>
      <x:c r="P2296" s="2"/>
      <x:c r="Q2296" s="2" t="str">
        <x:v>산업전환_외부사업관리Tool_260707_이너젠 수정_LJY_261013.xlsx</x:v>
      </x:c>
      <x:c r="R2296" s="2" t="str">
        <x:v>국내인증</x:v>
      </x:c>
      <x:c r="S2296" s="8" t="n">
        <x:v>614</x:v>
      </x:c>
      <x:c r="T2296" s="2" t="str">
        <x:v>(11/18)</x:v>
      </x:c>
      <x:c r="U2296" s="2" t="str">
        <x:v>2022 배정: (11/18) / 2023 배정: (8/30) / 2024 배정: (2/5),(3/18),(5/20)</x:v>
      </x:c>
      <x:c r="V2296" s="2" t="str">
        <x:v>2024-09-20</x:v>
      </x:c>
      <x:c r="W2296" s="2" t="str"/>
      <x:c r="X2296" s="2" t="str">
        <x:v>종결 근거 보관</x:v>
      </x:c>
      <x:c r="Y2296" s="2" t="str">
        <x:v>ad210cd9ec132cfd447541c8984dc53d30aff0f4fb2dc92d254d49275cc55976</x:v>
      </x:c>
      <x:c r="Z2296" s="2" t="n">
        <x:f>SUBTOTAL(103,A2296)</x:f>
        <x:v>1</x:v>
      </x:c>
      <x:c r="AA2296" s="2" t="str">
        <x:f>IF(K2296&lt;&gt;"미종결 표시","대상 아님",IF(N2296="","신청일 확인",IF(NOT(ISNUMBER('종합 현황'!$H$5)),"관찰기준 확인",IF('종합 현황'!$H$5&lt;1,"관찰기준 확인",IF(N2296&gt;'종합 현황'!$H$5,"내부 관찰 대상","내부 관찰일 이하")))))</x:f>
        <x:v>대상 아님</x:v>
      </x:c>
      <x:c r="AB2296" s="2"/>
    </x:row>
    <x:row r="2297" ht="42" customHeight="1">
      <x:c r="A2297" s="2" t="str">
        <x:v>89ea51a94dde6c11687b2087</x:v>
      </x:c>
      <x:c r="B2297" s="2" t="str">
        <x:v>감축량 인증</x:v>
      </x:c>
      <x:c r="C2297" s="2" t="str">
        <x:v>국내</x:v>
      </x:c>
      <x:c r="D2297" s="7" t="str">
        <x:v>포항 창포 주공 1단지아파트 연료전환을 통한 온실가스 단위감축사업</x:v>
      </x:c>
      <x:c r="E2297" s="2" t="str">
        <x:v>537</x:v>
      </x:c>
      <x:c r="F2297" s="2" t="str">
        <x:v>2022-11-01</x:v>
      </x:c>
      <x:c r="G2297" s="2" t="str">
        <x:v>2022</x:v>
      </x:c>
      <x:c r="H2297" s="2" t="str">
        <x:v>11</x:v>
      </x:c>
      <x:c r="I2297" s="2" t="str">
        <x:v>심의승인</x:v>
      </x:c>
      <x:c r="J2297" s="2" t="str">
        <x:v>심의승인</x:v>
      </x:c>
      <x:c r="K2297" s="2" t="str">
        <x:f>IF(OR(J2297="심의승인",J2297="반려",J2297="반려완료",J2297="심의완료"),"종결 표시",IF(OR(J2297="기후부협의",J2297="문서재제출요청",J2297="보류",J2297="보완요청",J2297="보완완료",J2297="평가중",J2297="반려요청",J2297="평가필요",LEFT(J2297,5)="보완요청("),"미종결 표시","상태 확인 필요"))</x:f>
        <x:v>종결 표시</x:v>
      </x:c>
      <x:c r="L2297" s="2" t="str">
        <x:v>KECM_이태준</x:v>
      </x:c>
      <x:c r="M2297" s="2"/>
      <x:c r="N2297" s="8" t="n">
        <x:f>DATE(2026,10,15)-DATE(2022,11,1)</x:f>
        <x:v>1444</x:v>
      </x:c>
      <x:c r="O2297" s="2"/>
      <x:c r="P2297" s="2"/>
      <x:c r="Q2297" s="2" t="str">
        <x:v>산업전환_외부사업관리Tool_260707_이너젠 수정_LJY_261013.xlsx</x:v>
      </x:c>
      <x:c r="R2297" s="2" t="str">
        <x:v>국내인증</x:v>
      </x:c>
      <x:c r="S2297" s="8" t="n">
        <x:v>615</x:v>
      </x:c>
      <x:c r="T2297" s="2" t="str">
        <x:v>(11/18)</x:v>
      </x:c>
      <x:c r="U2297" s="2" t="str">
        <x:v>2022 배정: (11/18) / 2023 배정: (6/7),(8/30) / 2024 배정: (2/5)</x:v>
      </x:c>
      <x:c r="V2297" s="2" t="str">
        <x:v>2024-06-27</x:v>
      </x:c>
      <x:c r="W2297" s="2" t="str"/>
      <x:c r="X2297" s="2" t="str">
        <x:v>종결 근거 보관</x:v>
      </x:c>
      <x:c r="Y2297" s="2" t="str">
        <x:v>ad210cd9ec132cfd447541c8984dc53d30aff0f4fb2dc92d254d49275cc55976</x:v>
      </x:c>
      <x:c r="Z2297" s="2" t="n">
        <x:f>SUBTOTAL(103,A2297)</x:f>
        <x:v>1</x:v>
      </x:c>
      <x:c r="AA2297" s="2" t="str">
        <x:f>IF(K2297&lt;&gt;"미종결 표시","대상 아님",IF(N2297="","신청일 확인",IF(NOT(ISNUMBER('종합 현황'!$H$5)),"관찰기준 확인",IF('종합 현황'!$H$5&lt;1,"관찰기준 확인",IF(N2297&gt;'종합 현황'!$H$5,"내부 관찰 대상","내부 관찰일 이하")))))</x:f>
        <x:v>대상 아님</x:v>
      </x:c>
      <x:c r="AB2297" s="2"/>
    </x:row>
    <x:row r="2298" ht="42" customHeight="1">
      <x:c r="A2298" s="2" t="str">
        <x:v>72652ec7ffa99219ace398c5</x:v>
      </x:c>
      <x:c r="B2298" s="2" t="str">
        <x:v>감축량 인증</x:v>
      </x:c>
      <x:c r="C2298" s="2" t="str">
        <x:v>국내</x:v>
      </x:c>
      <x:c r="D2298" s="7" t="str">
        <x:v>포항 학산 주공아파트 연료전환을 통한 온실가스 단위감축사업</x:v>
      </x:c>
      <x:c r="E2298" s="2" t="str">
        <x:v>538</x:v>
      </x:c>
      <x:c r="F2298" s="2" t="str">
        <x:v>2022-11-01</x:v>
      </x:c>
      <x:c r="G2298" s="2" t="str">
        <x:v>2022</x:v>
      </x:c>
      <x:c r="H2298" s="2" t="str">
        <x:v>11</x:v>
      </x:c>
      <x:c r="I2298" s="2" t="str">
        <x:v>심의승인</x:v>
      </x:c>
      <x:c r="J2298" s="2" t="str">
        <x:v>심의승인</x:v>
      </x:c>
      <x:c r="K2298" s="2" t="str">
        <x:f>IF(OR(J2298="심의승인",J2298="반려",J2298="반려완료",J2298="심의완료"),"종결 표시",IF(OR(J2298="기후부협의",J2298="문서재제출요청",J2298="보류",J2298="보완요청",J2298="보완완료",J2298="평가중",J2298="반려요청",J2298="평가필요",LEFT(J2298,5)="보완요청("),"미종결 표시","상태 확인 필요"))</x:f>
        <x:v>종결 표시</x:v>
      </x:c>
      <x:c r="L2298" s="2" t="str">
        <x:v>KECM_이태준</x:v>
      </x:c>
      <x:c r="M2298" s="2"/>
      <x:c r="N2298" s="8" t="n">
        <x:f>DATE(2026,10,15)-DATE(2022,11,1)</x:f>
        <x:v>1444</x:v>
      </x:c>
      <x:c r="O2298" s="2"/>
      <x:c r="P2298" s="2"/>
      <x:c r="Q2298" s="2" t="str">
        <x:v>산업전환_외부사업관리Tool_260707_이너젠 수정_LJY_261013.xlsx</x:v>
      </x:c>
      <x:c r="R2298" s="2" t="str">
        <x:v>국내인증</x:v>
      </x:c>
      <x:c r="S2298" s="8" t="n">
        <x:v>616</x:v>
      </x:c>
      <x:c r="T2298" s="2" t="str">
        <x:v>(11/18)</x:v>
      </x:c>
      <x:c r="U2298" s="2" t="str">
        <x:v>2022 배정: (11/18) / 2023 배정: (6/7),(8/30) / 2024 배정: (2/5)</x:v>
      </x:c>
      <x:c r="V2298" s="2" t="str">
        <x:v>2024-06-27</x:v>
      </x:c>
      <x:c r="W2298" s="2" t="str"/>
      <x:c r="X2298" s="2" t="str">
        <x:v>종결 근거 보관</x:v>
      </x:c>
      <x:c r="Y2298" s="2" t="str">
        <x:v>ad210cd9ec132cfd447541c8984dc53d30aff0f4fb2dc92d254d49275cc55976</x:v>
      </x:c>
      <x:c r="Z2298" s="2" t="n">
        <x:f>SUBTOTAL(103,A2298)</x:f>
        <x:v>1</x:v>
      </x:c>
      <x:c r="AA2298" s="2" t="str">
        <x:f>IF(K2298&lt;&gt;"미종결 표시","대상 아님",IF(N2298="","신청일 확인",IF(NOT(ISNUMBER('종합 현황'!$H$5)),"관찰기준 확인",IF('종합 현황'!$H$5&lt;1,"관찰기준 확인",IF(N2298&gt;'종합 현황'!$H$5,"내부 관찰 대상","내부 관찰일 이하")))))</x:f>
        <x:v>대상 아님</x:v>
      </x:c>
      <x:c r="AB2298" s="2"/>
    </x:row>
    <x:row r="2299" ht="42" customHeight="1">
      <x:c r="A2299" s="2" t="str">
        <x:v>dc963bdf28a61e71d2f0dfa8</x:v>
      </x:c>
      <x:c r="B2299" s="2" t="str">
        <x:v>감축량 인증</x:v>
      </x:c>
      <x:c r="C2299" s="2" t="str">
        <x:v>국내</x:v>
      </x:c>
      <x:c r="D2299" s="7" t="str">
        <x:v>공주 옥룡 주공 1단지 아파트 연료전환을 통한 온실가스 단위감축사업</x:v>
      </x:c>
      <x:c r="E2299" s="2" t="str">
        <x:v>539</x:v>
      </x:c>
      <x:c r="F2299" s="2" t="str">
        <x:v>2022-11-14</x:v>
      </x:c>
      <x:c r="G2299" s="2" t="str">
        <x:v>2022</x:v>
      </x:c>
      <x:c r="H2299" s="2" t="str">
        <x:v>11</x:v>
      </x:c>
      <x:c r="I2299" s="2" t="str">
        <x:v>심의승인</x:v>
      </x:c>
      <x:c r="J2299" s="2" t="str">
        <x:v>심의승인</x:v>
      </x:c>
      <x:c r="K2299" s="2" t="str">
        <x:f>IF(OR(J2299="심의승인",J2299="반려",J2299="반려완료",J2299="심의완료"),"종결 표시",IF(OR(J2299="기후부협의",J2299="문서재제출요청",J2299="보류",J2299="보완요청",J2299="보완완료",J2299="평가중",J2299="반려요청",J2299="평가필요",LEFT(J2299,5)="보완요청("),"미종결 표시","상태 확인 필요"))</x:f>
        <x:v>종결 표시</x:v>
      </x:c>
      <x:c r="L2299" s="2" t="str">
        <x:v>KECM_이태준</x:v>
      </x:c>
      <x:c r="M2299" s="2"/>
      <x:c r="N2299" s="8" t="n">
        <x:f>DATE(2026,10,15)-DATE(2022,11,14)</x:f>
        <x:v>1431</x:v>
      </x:c>
      <x:c r="O2299" s="2"/>
      <x:c r="P2299" s="2"/>
      <x:c r="Q2299" s="2" t="str">
        <x:v>산업전환_외부사업관리Tool_260707_이너젠 수정_LJY_261013.xlsx</x:v>
      </x:c>
      <x:c r="R2299" s="2" t="str">
        <x:v>국내인증</x:v>
      </x:c>
      <x:c r="S2299" s="8" t="n">
        <x:v>617</x:v>
      </x:c>
      <x:c r="T2299" s="2" t="str">
        <x:v>(11/18)</x:v>
      </x:c>
      <x:c r="U2299" s="2" t="str">
        <x:v>2022 배정: (11/18) / 2023 배정: (8/7)</x:v>
      </x:c>
      <x:c r="V2299" s="2" t="str">
        <x:v>2024-04-09</x:v>
      </x:c>
      <x:c r="W2299" s="2" t="str"/>
      <x:c r="X2299" s="2" t="str">
        <x:v>종결 근거 보관</x:v>
      </x:c>
      <x:c r="Y2299" s="2" t="str">
        <x:v>ad210cd9ec132cfd447541c8984dc53d30aff0f4fb2dc92d254d49275cc55976</x:v>
      </x:c>
      <x:c r="Z2299" s="2" t="n">
        <x:f>SUBTOTAL(103,A2299)</x:f>
        <x:v>1</x:v>
      </x:c>
      <x:c r="AA2299" s="2" t="str">
        <x:f>IF(K2299&lt;&gt;"미종결 표시","대상 아님",IF(N2299="","신청일 확인",IF(NOT(ISNUMBER('종합 현황'!$H$5)),"관찰기준 확인",IF('종합 현황'!$H$5&lt;1,"관찰기준 확인",IF(N2299&gt;'종합 현황'!$H$5,"내부 관찰 대상","내부 관찰일 이하")))))</x:f>
        <x:v>대상 아님</x:v>
      </x:c>
      <x:c r="AB2299" s="2"/>
    </x:row>
    <x:row r="2300" ht="42" customHeight="1">
      <x:c r="A2300" s="2" t="str">
        <x:v>ea53d4882883b4906bb341d0</x:v>
      </x:c>
      <x:c r="B2300" s="2" t="str">
        <x:v>감축량 인증</x:v>
      </x:c>
      <x:c r="C2300" s="2" t="str">
        <x:v>국내</x:v>
      </x:c>
      <x:c r="D2300" s="7" t="str">
        <x:v>삼일이노팩의 B-C유에서 LNG로 연료전환을 통한 온실가스 배출 감축사업</x:v>
      </x:c>
      <x:c r="E2300" s="2" t="str">
        <x:v>540</x:v>
      </x:c>
      <x:c r="F2300" s="2" t="str">
        <x:v>2022-11-15</x:v>
      </x:c>
      <x:c r="G2300" s="2" t="str">
        <x:v>2022</x:v>
      </x:c>
      <x:c r="H2300" s="2" t="str">
        <x:v>11</x:v>
      </x:c>
      <x:c r="I2300" s="2" t="str">
        <x:v>심의승인</x:v>
      </x:c>
      <x:c r="J2300" s="2" t="str">
        <x:v>심의승인</x:v>
      </x:c>
      <x:c r="K2300" s="2" t="str">
        <x:f>IF(OR(J2300="심의승인",J2300="반려",J2300="반려완료",J2300="심의완료"),"종결 표시",IF(OR(J2300="기후부협의",J2300="문서재제출요청",J2300="보류",J2300="보완요청",J2300="보완완료",J2300="평가중",J2300="반려요청",J2300="평가필요",LEFT(J2300,5)="보완요청("),"미종결 표시","상태 확인 필요"))</x:f>
        <x:v>종결 표시</x:v>
      </x:c>
      <x:c r="L2300" s="2" t="str">
        <x:v>에코시안_조영우</x:v>
      </x:c>
      <x:c r="M2300" s="2"/>
      <x:c r="N2300" s="8" t="n">
        <x:f>DATE(2026,10,15)-DATE(2022,11,15)</x:f>
        <x:v>1430</x:v>
      </x:c>
      <x:c r="O2300" s="2"/>
      <x:c r="P2300" s="2"/>
      <x:c r="Q2300" s="2" t="str">
        <x:v>산업전환_외부사업관리Tool_260707_이너젠 수정_LJY_261013.xlsx</x:v>
      </x:c>
      <x:c r="R2300" s="2" t="str">
        <x:v>국내인증</x:v>
      </x:c>
      <x:c r="S2300" s="8" t="n">
        <x:v>618</x:v>
      </x:c>
      <x:c r="T2300" s="2" t="str">
        <x:v>(11/18)</x:v>
      </x:c>
      <x:c r="U2300" s="2" t="str">
        <x:v>2022 배정: (11/18) / 2023 배정: (1/30),(11/17) / 2024 배정: (1/12)</x:v>
      </x:c>
      <x:c r="V2300" s="2" t="str">
        <x:v>2024-06-27</x:v>
      </x:c>
      <x:c r="W2300" s="2" t="str"/>
      <x:c r="X2300" s="2" t="str">
        <x:v>종결 근거 보관</x:v>
      </x:c>
      <x:c r="Y2300" s="2" t="str">
        <x:v>ad210cd9ec132cfd447541c8984dc53d30aff0f4fb2dc92d254d49275cc55976</x:v>
      </x:c>
      <x:c r="Z2300" s="2" t="n">
        <x:f>SUBTOTAL(103,A2300)</x:f>
        <x:v>1</x:v>
      </x:c>
      <x:c r="AA2300" s="2" t="str">
        <x:f>IF(K2300&lt;&gt;"미종결 표시","대상 아님",IF(N2300="","신청일 확인",IF(NOT(ISNUMBER('종합 현황'!$H$5)),"관찰기준 확인",IF('종합 현황'!$H$5&lt;1,"관찰기준 확인",IF(N2300&gt;'종합 현황'!$H$5,"내부 관찰 대상","내부 관찰일 이하")))))</x:f>
        <x:v>대상 아님</x:v>
      </x:c>
      <x:c r="AB2300" s="2"/>
    </x:row>
    <x:row r="2301" ht="42" customHeight="1">
      <x:c r="A2301" s="2" t="str">
        <x:v>38c3f1c88b3b989fc9b86d06</x:v>
      </x:c>
      <x:c r="B2301" s="2" t="str">
        <x:v>감축량 인증</x:v>
      </x:c>
      <x:c r="C2301" s="2" t="str">
        <x:v>국내</x:v>
      </x:c>
      <x:c r="D2301" s="7" t="str">
        <x:v>전주평화 1단지아파트 연료전환을 통한 온실가스 단위감축사업</x:v>
      </x:c>
      <x:c r="E2301" s="2" t="str">
        <x:v>541</x:v>
      </x:c>
      <x:c r="F2301" s="2" t="str">
        <x:v>2022-11-17</x:v>
      </x:c>
      <x:c r="G2301" s="2" t="str">
        <x:v>2022</x:v>
      </x:c>
      <x:c r="H2301" s="2" t="str">
        <x:v>11</x:v>
      </x:c>
      <x:c r="I2301" s="2" t="str">
        <x:v>심의승인</x:v>
      </x:c>
      <x:c r="J2301" s="2" t="str">
        <x:v>심의승인</x:v>
      </x:c>
      <x:c r="K2301" s="2" t="str">
        <x:f>IF(OR(J2301="심의승인",J2301="반려",J2301="반려완료",J2301="심의완료"),"종결 표시",IF(OR(J2301="기후부협의",J2301="문서재제출요청",J2301="보류",J2301="보완요청",J2301="보완완료",J2301="평가중",J2301="반려요청",J2301="평가필요",LEFT(J2301,5)="보완요청("),"미종결 표시","상태 확인 필요"))</x:f>
        <x:v>종결 표시</x:v>
      </x:c>
      <x:c r="L2301" s="2" t="str">
        <x:v>KECM_이태준</x:v>
      </x:c>
      <x:c r="M2301" s="2"/>
      <x:c r="N2301" s="8" t="n">
        <x:f>DATE(2026,10,15)-DATE(2022,11,17)</x:f>
        <x:v>1428</x:v>
      </x:c>
      <x:c r="O2301" s="2"/>
      <x:c r="P2301" s="2"/>
      <x:c r="Q2301" s="2" t="str">
        <x:v>산업전환_외부사업관리Tool_260707_이너젠 수정_LJY_261013.xlsx</x:v>
      </x:c>
      <x:c r="R2301" s="2" t="str">
        <x:v>국내인증</x:v>
      </x:c>
      <x:c r="S2301" s="8" t="n">
        <x:v>619</x:v>
      </x:c>
      <x:c r="T2301" s="2" t="str">
        <x:v>(12/8)</x:v>
      </x:c>
      <x:c r="U2301" s="2" t="str">
        <x:v>2022 배정: (12/8) / 2023 배정: (6/7),(6/27),(8/7) / 2024 배정: (2/5)</x:v>
      </x:c>
      <x:c r="V2301" s="2" t="str">
        <x:v>2024-06-27</x:v>
      </x:c>
      <x:c r="W2301" s="2" t="str"/>
      <x:c r="X2301" s="2" t="str">
        <x:v>종결 근거 보관</x:v>
      </x:c>
      <x:c r="Y2301" s="2" t="str">
        <x:v>ad210cd9ec132cfd447541c8984dc53d30aff0f4fb2dc92d254d49275cc55976</x:v>
      </x:c>
      <x:c r="Z2301" s="2" t="n">
        <x:f>SUBTOTAL(103,A2301)</x:f>
        <x:v>1</x:v>
      </x:c>
      <x:c r="AA2301" s="2" t="str">
        <x:f>IF(K2301&lt;&gt;"미종결 표시","대상 아님",IF(N2301="","신청일 확인",IF(NOT(ISNUMBER('종합 현황'!$H$5)),"관찰기준 확인",IF('종합 현황'!$H$5&lt;1,"관찰기준 확인",IF(N2301&gt;'종합 현황'!$H$5,"내부 관찰 대상","내부 관찰일 이하")))))</x:f>
        <x:v>대상 아님</x:v>
      </x:c>
      <x:c r="AB2301" s="2"/>
    </x:row>
    <x:row r="2302" ht="42" customHeight="1">
      <x:c r="A2302" s="2" t="str">
        <x:v>001a6c1531c27796f2b55596</x:v>
      </x:c>
      <x:c r="B2302" s="2" t="str">
        <x:v>감축량 인증</x:v>
      </x:c>
      <x:c r="C2302" s="2" t="str">
        <x:v>국내</x:v>
      </x:c>
      <x:c r="D2302" s="7" t="str">
        <x:v>대전 법동 주공 3단지 아파트 연료전환을 통한 온실가스 단위감축사업</x:v>
      </x:c>
      <x:c r="E2302" s="2" t="str">
        <x:v>542</x:v>
      </x:c>
      <x:c r="F2302" s="2" t="str">
        <x:v>2022-11-17</x:v>
      </x:c>
      <x:c r="G2302" s="2" t="str">
        <x:v>2022</x:v>
      </x:c>
      <x:c r="H2302" s="2" t="str">
        <x:v>11</x:v>
      </x:c>
      <x:c r="I2302" s="2" t="str">
        <x:v>심의승인</x:v>
      </x:c>
      <x:c r="J2302" s="2" t="str">
        <x:v>심의승인</x:v>
      </x:c>
      <x:c r="K2302" s="2" t="str">
        <x:f>IF(OR(J2302="심의승인",J2302="반려",J2302="반려완료",J2302="심의완료"),"종결 표시",IF(OR(J2302="기후부협의",J2302="문서재제출요청",J2302="보류",J2302="보완요청",J2302="보완완료",J2302="평가중",J2302="반려요청",J2302="평가필요",LEFT(J2302,5)="보완요청("),"미종결 표시","상태 확인 필요"))</x:f>
        <x:v>종결 표시</x:v>
      </x:c>
      <x:c r="L2302" s="2" t="str">
        <x:v>KECM_이태준</x:v>
      </x:c>
      <x:c r="M2302" s="2"/>
      <x:c r="N2302" s="8" t="n">
        <x:f>DATE(2026,10,15)-DATE(2022,11,17)</x:f>
        <x:v>1428</x:v>
      </x:c>
      <x:c r="O2302" s="2"/>
      <x:c r="P2302" s="2"/>
      <x:c r="Q2302" s="2" t="str">
        <x:v>산업전환_외부사업관리Tool_260707_이너젠 수정_LJY_261013.xlsx</x:v>
      </x:c>
      <x:c r="R2302" s="2" t="str">
        <x:v>국내인증</x:v>
      </x:c>
      <x:c r="S2302" s="8" t="n">
        <x:v>620</x:v>
      </x:c>
      <x:c r="T2302" s="2" t="str">
        <x:v>(12/8)</x:v>
      </x:c>
      <x:c r="U2302" s="2" t="str">
        <x:v>2022 배정: (12/8) / 2023 배정: (5/16),(8/7) / 2024 배정: (2/5)</x:v>
      </x:c>
      <x:c r="V2302" s="2" t="str">
        <x:v>2024-06-27</x:v>
      </x:c>
      <x:c r="W2302" s="2" t="str"/>
      <x:c r="X2302" s="2" t="str">
        <x:v>종결 근거 보관</x:v>
      </x:c>
      <x:c r="Y2302" s="2" t="str">
        <x:v>ad210cd9ec132cfd447541c8984dc53d30aff0f4fb2dc92d254d49275cc55976</x:v>
      </x:c>
      <x:c r="Z2302" s="2" t="n">
        <x:f>SUBTOTAL(103,A2302)</x:f>
        <x:v>1</x:v>
      </x:c>
      <x:c r="AA2302" s="2" t="str">
        <x:f>IF(K2302&lt;&gt;"미종결 표시","대상 아님",IF(N2302="","신청일 확인",IF(NOT(ISNUMBER('종합 현황'!$H$5)),"관찰기준 확인",IF('종합 현황'!$H$5&lt;1,"관찰기준 확인",IF(N2302&gt;'종합 현황'!$H$5,"내부 관찰 대상","내부 관찰일 이하")))))</x:f>
        <x:v>대상 아님</x:v>
      </x:c>
      <x:c r="AB2302" s="2"/>
    </x:row>
    <x:row r="2303" ht="42" customHeight="1">
      <x:c r="A2303" s="2" t="str">
        <x:v>f694652f98545db075ca78f6</x:v>
      </x:c>
      <x:c r="B2303" s="2" t="str">
        <x:v>감축량 인증</x:v>
      </x:c>
      <x:c r="C2303" s="2" t="str">
        <x:v>국내</x:v>
      </x:c>
      <x:c r="D2303" s="7" t="str">
        <x:v>대전 중촌 2단지 아파트 연료전환을 통한 온실가스 단위감축사업</x:v>
      </x:c>
      <x:c r="E2303" s="2" t="str">
        <x:v>543</x:v>
      </x:c>
      <x:c r="F2303" s="2" t="str">
        <x:v>2022-11-17</x:v>
      </x:c>
      <x:c r="G2303" s="2" t="str">
        <x:v>2022</x:v>
      </x:c>
      <x:c r="H2303" s="2" t="str">
        <x:v>11</x:v>
      </x:c>
      <x:c r="I2303" s="2" t="str">
        <x:v>심의승인</x:v>
      </x:c>
      <x:c r="J2303" s="2" t="str">
        <x:v>심의승인</x:v>
      </x:c>
      <x:c r="K2303" s="2" t="str">
        <x:f>IF(OR(J2303="심의승인",J2303="반려",J2303="반려완료",J2303="심의완료"),"종결 표시",IF(OR(J2303="기후부협의",J2303="문서재제출요청",J2303="보류",J2303="보완요청",J2303="보완완료",J2303="평가중",J2303="반려요청",J2303="평가필요",LEFT(J2303,5)="보완요청("),"미종결 표시","상태 확인 필요"))</x:f>
        <x:v>종결 표시</x:v>
      </x:c>
      <x:c r="L2303" s="2" t="str">
        <x:v>KECM_이태준</x:v>
      </x:c>
      <x:c r="M2303" s="2"/>
      <x:c r="N2303" s="8" t="n">
        <x:f>DATE(2026,10,15)-DATE(2022,11,17)</x:f>
        <x:v>1428</x:v>
      </x:c>
      <x:c r="O2303" s="2"/>
      <x:c r="P2303" s="2"/>
      <x:c r="Q2303" s="2" t="str">
        <x:v>산업전환_외부사업관리Tool_260707_이너젠 수정_LJY_261013.xlsx</x:v>
      </x:c>
      <x:c r="R2303" s="2" t="str">
        <x:v>국내인증</x:v>
      </x:c>
      <x:c r="S2303" s="8" t="n">
        <x:v>621</x:v>
      </x:c>
      <x:c r="T2303" s="2" t="str">
        <x:v>(12/8)</x:v>
      </x:c>
      <x:c r="U2303" s="2" t="str">
        <x:v>2022 배정: (12/8) / 2023 배정: (5/16),(8/7) / 2024 배정: (2/5)</x:v>
      </x:c>
      <x:c r="V2303" s="2" t="str">
        <x:v>2024-06-27</x:v>
      </x:c>
      <x:c r="W2303" s="2" t="str"/>
      <x:c r="X2303" s="2" t="str">
        <x:v>종결 근거 보관</x:v>
      </x:c>
      <x:c r="Y2303" s="2" t="str">
        <x:v>ad210cd9ec132cfd447541c8984dc53d30aff0f4fb2dc92d254d49275cc55976</x:v>
      </x:c>
      <x:c r="Z2303" s="2" t="n">
        <x:f>SUBTOTAL(103,A2303)</x:f>
        <x:v>1</x:v>
      </x:c>
      <x:c r="AA2303" s="2" t="str">
        <x:f>IF(K2303&lt;&gt;"미종결 표시","대상 아님",IF(N2303="","신청일 확인",IF(NOT(ISNUMBER('종합 현황'!$H$5)),"관찰기준 확인",IF('종합 현황'!$H$5&lt;1,"관찰기준 확인",IF(N2303&gt;'종합 현황'!$H$5,"내부 관찰 대상","내부 관찰일 이하")))))</x:f>
        <x:v>대상 아님</x:v>
      </x:c>
      <x:c r="AB2303" s="2"/>
    </x:row>
    <x:row r="2304" ht="42" customHeight="1">
      <x:c r="A2304" s="2" t="str">
        <x:v>e02f5f04cbef2b2d27e6beb3</x:v>
      </x:c>
      <x:c r="B2304" s="2" t="str">
        <x:v>감축량 인증</x:v>
      </x:c>
      <x:c r="C2304" s="2" t="str">
        <x:v>국내</x:v>
      </x:c>
      <x:c r="D2304" s="7" t="str">
        <x:v>경산 백천1단지아파트 연료전환을 통한 온실가스 단위감축사업</x:v>
      </x:c>
      <x:c r="E2304" s="2" t="str">
        <x:v>544</x:v>
      </x:c>
      <x:c r="F2304" s="2" t="str">
        <x:v>2022-11-17</x:v>
      </x:c>
      <x:c r="G2304" s="2" t="str">
        <x:v>2022</x:v>
      </x:c>
      <x:c r="H2304" s="2" t="str">
        <x:v>11</x:v>
      </x:c>
      <x:c r="I2304" s="2" t="str">
        <x:v>심의승인</x:v>
      </x:c>
      <x:c r="J2304" s="2" t="str">
        <x:v>심의승인</x:v>
      </x:c>
      <x:c r="K2304" s="2" t="str">
        <x:f>IF(OR(J2304="심의승인",J2304="반려",J2304="반려완료",J2304="심의완료"),"종결 표시",IF(OR(J2304="기후부협의",J2304="문서재제출요청",J2304="보류",J2304="보완요청",J2304="보완완료",J2304="평가중",J2304="반려요청",J2304="평가필요",LEFT(J2304,5)="보완요청("),"미종결 표시","상태 확인 필요"))</x:f>
        <x:v>종결 표시</x:v>
      </x:c>
      <x:c r="L2304" s="2"/>
      <x:c r="M2304" s="2"/>
      <x:c r="N2304" s="8" t="n">
        <x:f>DATE(2026,10,15)-DATE(2022,11,17)</x:f>
        <x:v>1428</x:v>
      </x:c>
      <x:c r="O2304" s="2"/>
      <x:c r="P2304" s="2"/>
      <x:c r="Q2304" s="2" t="str">
        <x:v>산업전환_외부사업관리Tool_260707_이너젠 수정_LJY_261013.xlsx</x:v>
      </x:c>
      <x:c r="R2304" s="2" t="str">
        <x:v>국내인증</x:v>
      </x:c>
      <x:c r="S2304" s="8" t="n">
        <x:v>622</x:v>
      </x:c>
      <x:c r="T2304" s="2" t="str">
        <x:v>(12/8)</x:v>
      </x:c>
      <x:c r="U2304" s="2" t="str">
        <x:v>2022 배정: (12/8) / 2023 배정: (3/13),(4/21),(8/7)</x:v>
      </x:c>
      <x:c r="V2304" s="2" t="str">
        <x:v>2023-12-15</x:v>
      </x:c>
      <x:c r="W2304" s="2" t="str">
        <x:v>담당기관 확인</x:v>
      </x:c>
      <x:c r="X2304" s="2" t="str">
        <x:v>원본·배정 기록 확인</x:v>
      </x:c>
      <x:c r="Y2304" s="2" t="str">
        <x:v>ad210cd9ec132cfd447541c8984dc53d30aff0f4fb2dc92d254d49275cc55976</x:v>
      </x:c>
      <x:c r="Z2304" s="2" t="n">
        <x:f>SUBTOTAL(103,A2304)</x:f>
        <x:v>1</x:v>
      </x:c>
      <x:c r="AA2304" s="2" t="str">
        <x:f>IF(K2304&lt;&gt;"미종결 표시","대상 아님",IF(N2304="","신청일 확인",IF(NOT(ISNUMBER('종합 현황'!$H$5)),"관찰기준 확인",IF('종합 현황'!$H$5&lt;1,"관찰기준 확인",IF(N2304&gt;'종합 현황'!$H$5,"내부 관찰 대상","내부 관찰일 이하")))))</x:f>
        <x:v>대상 아님</x:v>
      </x:c>
      <x:c r="AB2304" s="2"/>
    </x:row>
    <x:row r="2305" ht="42" customHeight="1">
      <x:c r="A2305" s="2" t="str">
        <x:v>a653cedeb48a9ac368fe9965</x:v>
      </x:c>
      <x:c r="B2305" s="2" t="str">
        <x:v>감축량 인증</x:v>
      </x:c>
      <x:c r="C2305" s="2" t="str">
        <x:v>국내</x:v>
      </x:c>
      <x:c r="D2305" s="7" t="str">
        <x:v>에이스침대 여주공장의 B-C유에서 도시가스(LNG)로 연료전환을 통한 온실가스 배출 감축사업</x:v>
      </x:c>
      <x:c r="E2305" s="2" t="str">
        <x:v>545</x:v>
      </x:c>
      <x:c r="F2305" s="2" t="str">
        <x:v>2022-11-30</x:v>
      </x:c>
      <x:c r="G2305" s="2" t="str">
        <x:v>2022</x:v>
      </x:c>
      <x:c r="H2305" s="2" t="str">
        <x:v>11</x:v>
      </x:c>
      <x:c r="I2305" s="2" t="str">
        <x:v>심의승인</x:v>
      </x:c>
      <x:c r="J2305" s="2" t="str">
        <x:v>심의승인</x:v>
      </x:c>
      <x:c r="K2305" s="2" t="str">
        <x:f>IF(OR(J2305="심의승인",J2305="반려",J2305="반려완료",J2305="심의완료"),"종결 표시",IF(OR(J2305="기후부협의",J2305="문서재제출요청",J2305="보류",J2305="보완요청",J2305="보완완료",J2305="평가중",J2305="반려요청",J2305="평가필요",LEFT(J2305,5)="보완요청("),"미종결 표시","상태 확인 필요"))</x:f>
        <x:v>종결 표시</x:v>
      </x:c>
      <x:c r="L2305" s="2"/>
      <x:c r="M2305" s="2"/>
      <x:c r="N2305" s="8" t="n">
        <x:f>DATE(2026,10,15)-DATE(2022,11,30)</x:f>
        <x:v>1415</x:v>
      </x:c>
      <x:c r="O2305" s="2"/>
      <x:c r="P2305" s="2"/>
      <x:c r="Q2305" s="2" t="str">
        <x:v>산업전환_외부사업관리Tool_260707_이너젠 수정_LJY_261013.xlsx</x:v>
      </x:c>
      <x:c r="R2305" s="2" t="str">
        <x:v>국내인증</x:v>
      </x:c>
      <x:c r="S2305" s="8" t="n">
        <x:v>623</x:v>
      </x:c>
      <x:c r="T2305" s="2" t="str">
        <x:v>(12/8)</x:v>
      </x:c>
      <x:c r="U2305" s="2" t="str">
        <x:v>2022 배정: (12/8) / 2023 배정: 2023년 처리</x:v>
      </x:c>
      <x:c r="V2305" s="2" t="str">
        <x:v>2023-06-22</x:v>
      </x:c>
      <x:c r="W2305" s="2" t="str">
        <x:v>담당기관 확인</x:v>
      </x:c>
      <x:c r="X2305" s="2" t="str">
        <x:v>원본·배정 기록 확인</x:v>
      </x:c>
      <x:c r="Y2305" s="2" t="str">
        <x:v>ad210cd9ec132cfd447541c8984dc53d30aff0f4fb2dc92d254d49275cc55976</x:v>
      </x:c>
      <x:c r="Z2305" s="2" t="n">
        <x:f>SUBTOTAL(103,A2305)</x:f>
        <x:v>1</x:v>
      </x:c>
      <x:c r="AA2305" s="2" t="str">
        <x:f>IF(K2305&lt;&gt;"미종결 표시","대상 아님",IF(N2305="","신청일 확인",IF(NOT(ISNUMBER('종합 현황'!$H$5)),"관찰기준 확인",IF('종합 현황'!$H$5&lt;1,"관찰기준 확인",IF(N2305&gt;'종합 현황'!$H$5,"내부 관찰 대상","내부 관찰일 이하")))))</x:f>
        <x:v>대상 아님</x:v>
      </x:c>
      <x:c r="AB2305" s="2"/>
    </x:row>
    <x:row r="2306" ht="42" customHeight="1">
      <x:c r="A2306" s="2" t="str">
        <x:v>bd51cbc13c7067f3e21be30b</x:v>
      </x:c>
      <x:c r="B2306" s="2" t="str">
        <x:v>감축량 인증</x:v>
      </x:c>
      <x:c r="C2306" s="2" t="str">
        <x:v>국내</x:v>
      </x:c>
      <x:c r="D2306" s="7" t="str">
        <x:v>(주)종근당 천안공장 미활용 열에너지 회수를 통한 온실가스 배출 감축사업</x:v>
      </x:c>
      <x:c r="E2306" s="2" t="str">
        <x:v>546</x:v>
      </x:c>
      <x:c r="F2306" s="2" t="str">
        <x:v>2022-12-21</x:v>
      </x:c>
      <x:c r="G2306" s="2" t="str">
        <x:v>2022</x:v>
      </x:c>
      <x:c r="H2306" s="2" t="str">
        <x:v>12</x:v>
      </x:c>
      <x:c r="I2306" s="2" t="str">
        <x:v>심의승인</x:v>
      </x:c>
      <x:c r="J2306" s="2" t="str">
        <x:v>심의승인</x:v>
      </x:c>
      <x:c r="K2306" s="2" t="str">
        <x:f>IF(OR(J2306="심의승인",J2306="반려",J2306="반려완료",J2306="심의완료"),"종결 표시",IF(OR(J2306="기후부협의",J2306="문서재제출요청",J2306="보류",J2306="보완요청",J2306="보완완료",J2306="평가중",J2306="반려요청",J2306="평가필요",LEFT(J2306,5)="보완요청("),"미종결 표시","상태 확인 필요"))</x:f>
        <x:v>종결 표시</x:v>
      </x:c>
      <x:c r="L2306" s="2"/>
      <x:c r="M2306" s="2"/>
      <x:c r="N2306" s="8" t="n">
        <x:f>DATE(2026,10,15)-DATE(2022,12,21)</x:f>
        <x:v>1394</x:v>
      </x:c>
      <x:c r="O2306" s="2"/>
      <x:c r="P2306" s="2"/>
      <x:c r="Q2306" s="2" t="str">
        <x:v>산업전환_외부사업관리Tool_260707_이너젠 수정_LJY_261013.xlsx</x:v>
      </x:c>
      <x:c r="R2306" s="2" t="str">
        <x:v>국내인증</x:v>
      </x:c>
      <x:c r="S2306" s="8" t="n">
        <x:v>624</x:v>
      </x:c>
      <x:c r="T2306" s="2" t="str">
        <x:v>(12/27)</x:v>
      </x:c>
      <x:c r="U2306" s="2" t="str">
        <x:v>2022 배정: (12/27) / 2023 배정: 2023년 처리</x:v>
      </x:c>
      <x:c r="V2306" s="2" t="str">
        <x:v>2023-06-22</x:v>
      </x:c>
      <x:c r="W2306" s="2" t="str">
        <x:v>담당기관 확인</x:v>
      </x:c>
      <x:c r="X2306" s="2" t="str">
        <x:v>원본·배정 기록 확인</x:v>
      </x:c>
      <x:c r="Y2306" s="2" t="str">
        <x:v>ad210cd9ec132cfd447541c8984dc53d30aff0f4fb2dc92d254d49275cc55976</x:v>
      </x:c>
      <x:c r="Z2306" s="2" t="n">
        <x:f>SUBTOTAL(103,A2306)</x:f>
        <x:v>1</x:v>
      </x:c>
      <x:c r="AA2306" s="2" t="str">
        <x:f>IF(K2306&lt;&gt;"미종결 표시","대상 아님",IF(N2306="","신청일 확인",IF(NOT(ISNUMBER('종합 현황'!$H$5)),"관찰기준 확인",IF('종합 현황'!$H$5&lt;1,"관찰기준 확인",IF(N2306&gt;'종합 현황'!$H$5,"내부 관찰 대상","내부 관찰일 이하")))))</x:f>
        <x:v>대상 아님</x:v>
      </x:c>
      <x:c r="AB2306" s="2"/>
    </x:row>
    <x:row r="2307" ht="42" customHeight="1">
      <x:c r="A2307" s="2" t="str">
        <x:v>916c29311437c8ac26d7ba23</x:v>
      </x:c>
      <x:c r="B2307" s="2" t="str">
        <x:v>감축량 인증</x:v>
      </x:c>
      <x:c r="C2307" s="2" t="str">
        <x:v>국내</x:v>
      </x:c>
      <x:c r="D2307" s="7" t="str">
        <x:v>(주)종근당 천안공장 미활용 열에너지 회수를 통한 온실가스 배출 감축사업</x:v>
      </x:c>
      <x:c r="E2307" s="2" t="str">
        <x:v>547</x:v>
      </x:c>
      <x:c r="F2307" s="2" t="str">
        <x:v>2022-12-21</x:v>
      </x:c>
      <x:c r="G2307" s="2" t="str">
        <x:v>2022</x:v>
      </x:c>
      <x:c r="H2307" s="2" t="str">
        <x:v>12</x:v>
      </x:c>
      <x:c r="I2307" s="2" t="str">
        <x:v>심의승인</x:v>
      </x:c>
      <x:c r="J2307" s="2" t="str">
        <x:v>심의승인</x:v>
      </x:c>
      <x:c r="K2307" s="2" t="str">
        <x:f>IF(OR(J2307="심의승인",J2307="반려",J2307="반려완료",J2307="심의완료"),"종결 표시",IF(OR(J2307="기후부협의",J2307="문서재제출요청",J2307="보류",J2307="보완요청",J2307="보완완료",J2307="평가중",J2307="반려요청",J2307="평가필요",LEFT(J2307,5)="보완요청("),"미종결 표시","상태 확인 필요"))</x:f>
        <x:v>종결 표시</x:v>
      </x:c>
      <x:c r="L2307" s="2"/>
      <x:c r="M2307" s="2"/>
      <x:c r="N2307" s="8" t="n">
        <x:f>DATE(2026,10,15)-DATE(2022,12,21)</x:f>
        <x:v>1394</x:v>
      </x:c>
      <x:c r="O2307" s="2"/>
      <x:c r="P2307" s="2"/>
      <x:c r="Q2307" s="2" t="str">
        <x:v>산업전환_외부사업관리Tool_260707_이너젠 수정_LJY_261013.xlsx</x:v>
      </x:c>
      <x:c r="R2307" s="2" t="str">
        <x:v>국내인증</x:v>
      </x:c>
      <x:c r="S2307" s="8" t="n">
        <x:v>625</x:v>
      </x:c>
      <x:c r="T2307" s="2" t="str">
        <x:v>(12/27)</x:v>
      </x:c>
      <x:c r="U2307" s="2" t="str">
        <x:v>2022 배정: (12/27)</x:v>
      </x:c>
      <x:c r="V2307" s="2" t="str">
        <x:v>2023-12-15</x:v>
      </x:c>
      <x:c r="W2307" s="2" t="str">
        <x:v>담당기관 확인</x:v>
      </x:c>
      <x:c r="X2307" s="2" t="str">
        <x:v>원본·배정 기록 확인</x:v>
      </x:c>
      <x:c r="Y2307" s="2" t="str">
        <x:v>ad210cd9ec132cfd447541c8984dc53d30aff0f4fb2dc92d254d49275cc55976</x:v>
      </x:c>
      <x:c r="Z2307" s="2" t="n">
        <x:f>SUBTOTAL(103,A2307)</x:f>
        <x:v>1</x:v>
      </x:c>
      <x:c r="AA2307" s="2" t="str">
        <x:f>IF(K2307&lt;&gt;"미종결 표시","대상 아님",IF(N2307="","신청일 확인",IF(NOT(ISNUMBER('종합 현황'!$H$5)),"관찰기준 확인",IF('종합 현황'!$H$5&lt;1,"관찰기준 확인",IF(N2307&gt;'종합 현황'!$H$5,"내부 관찰 대상","내부 관찰일 이하")))))</x:f>
        <x:v>대상 아님</x:v>
      </x:c>
      <x:c r="AB2307" s="2"/>
    </x:row>
    <x:row r="2308" ht="42" customHeight="1">
      <x:c r="A2308" s="2" t="str">
        <x:v>5703360f5e0082a4caf2dbc9</x:v>
      </x:c>
      <x:c r="B2308" s="2" t="str">
        <x:v>감축량 인증</x:v>
      </x:c>
      <x:c r="C2308" s="2" t="str">
        <x:v>국내</x:v>
      </x:c>
      <x:c r="D2308" s="7" t="str">
        <x:v>고창솔라파크 14.98MW 태양광발전 사업</x:v>
      </x:c>
      <x:c r="E2308" s="2" t="str">
        <x:v>548</x:v>
      </x:c>
      <x:c r="F2308" s="2" t="str">
        <x:v>2022-12-27</x:v>
      </x:c>
      <x:c r="G2308" s="2" t="str">
        <x:v>2022</x:v>
      </x:c>
      <x:c r="H2308" s="2" t="str">
        <x:v>12</x:v>
      </x:c>
      <x:c r="I2308" s="2" t="str">
        <x:v>심의승인</x:v>
      </x:c>
      <x:c r="J2308" s="2" t="str">
        <x:v>심의승인</x:v>
      </x:c>
      <x:c r="K2308" s="2" t="str">
        <x:f>IF(OR(J2308="심의승인",J2308="반려",J2308="반려완료",J2308="심의완료"),"종결 표시",IF(OR(J2308="기후부협의",J2308="문서재제출요청",J2308="보류",J2308="보완요청",J2308="보완완료",J2308="평가중",J2308="반려요청",J2308="평가필요",LEFT(J2308,5)="보완요청("),"미종결 표시","상태 확인 필요"))</x:f>
        <x:v>종결 표시</x:v>
      </x:c>
      <x:c r="L2308" s="2"/>
      <x:c r="M2308" s="2"/>
      <x:c r="N2308" s="8" t="n">
        <x:f>DATE(2026,10,15)-DATE(2022,12,27)</x:f>
        <x:v>1388</x:v>
      </x:c>
      <x:c r="O2308" s="2"/>
      <x:c r="P2308" s="2" t="str">
        <x:v>사업이 일반으로 분류되어 해당 감축량, 해당 신청 시점(2022년 12월 31일까지)으로 인증 신청(시스템 상 감축량이 일반규모임)</x:v>
      </x:c>
      <x:c r="Q2308" s="2" t="str">
        <x:v>산업전환_외부사업관리Tool_260707_이너젠 수정_LJY_261013.xlsx</x:v>
      </x:c>
      <x:c r="R2308" s="2" t="str">
        <x:v>국내인증</x:v>
      </x:c>
      <x:c r="S2308" s="8" t="n">
        <x:v>626</x:v>
      </x:c>
      <x:c r="T2308" s="2" t="str">
        <x:v>(1/30),(3/13),(4/21)</x:v>
      </x:c>
      <x:c r="U2308" s="2" t="str">
        <x:v>2023 배정: (1/30),(3/13),(4/21)</x:v>
      </x:c>
      <x:c r="V2308" s="2" t="str">
        <x:v>2023-09-20</x:v>
      </x:c>
      <x:c r="W2308" s="2" t="str">
        <x:v>담당기관 확인</x:v>
      </x:c>
      <x:c r="X2308" s="2" t="str">
        <x:v>원본·배정 기록 확인</x:v>
      </x:c>
      <x:c r="Y2308" s="2" t="str">
        <x:v>ad210cd9ec132cfd447541c8984dc53d30aff0f4fb2dc92d254d49275cc55976</x:v>
      </x:c>
      <x:c r="Z2308" s="2" t="n">
        <x:f>SUBTOTAL(103,A2308)</x:f>
        <x:v>1</x:v>
      </x:c>
      <x:c r="AA2308" s="2" t="str">
        <x:f>IF(K2308&lt;&gt;"미종결 표시","대상 아님",IF(N2308="","신청일 확인",IF(NOT(ISNUMBER('종합 현황'!$H$5)),"관찰기준 확인",IF('종합 현황'!$H$5&lt;1,"관찰기준 확인",IF(N2308&gt;'종합 현황'!$H$5,"내부 관찰 대상","내부 관찰일 이하")))))</x:f>
        <x:v>대상 아님</x:v>
      </x:c>
      <x:c r="AB2308" s="2"/>
    </x:row>
    <x:row r="2309" ht="42" customHeight="1">
      <x:c r="A2309" s="2" t="str">
        <x:v>d68c1538ba5958cd6c530ce0</x:v>
      </x:c>
      <x:c r="B2309" s="2" t="str">
        <x:v>감축량 인증</x:v>
      </x:c>
      <x:c r="C2309" s="2" t="str">
        <x:v>국내</x:v>
      </x:c>
      <x:c r="D2309" s="7" t="str">
        <x:v>㈜서대구에너지의 집단에너지 열공급시설에서 목질계 바이오매스 연료를 이용하여</x:v>
      </x:c>
      <x:c r="E2309" s="2" t="str">
        <x:v>549</x:v>
      </x:c>
      <x:c r="F2309" s="2" t="str">
        <x:v>2022-12-27</x:v>
      </x:c>
      <x:c r="G2309" s="2" t="str">
        <x:v>2022</x:v>
      </x:c>
      <x:c r="H2309" s="2" t="str">
        <x:v>12</x:v>
      </x:c>
      <x:c r="I2309" s="2" t="str">
        <x:v>심의승인</x:v>
      </x:c>
      <x:c r="J2309" s="2" t="str">
        <x:v>심의승인</x:v>
      </x:c>
      <x:c r="K2309" s="2" t="str">
        <x:f>IF(OR(J2309="심의승인",J2309="반려",J2309="반려완료",J2309="심의완료"),"종결 표시",IF(OR(J2309="기후부협의",J2309="문서재제출요청",J2309="보류",J2309="보완요청",J2309="보완완료",J2309="평가중",J2309="반려요청",J2309="평가필요",LEFT(J2309,5)="보완요청("),"미종결 표시","상태 확인 필요"))</x:f>
        <x:v>종결 표시</x:v>
      </x:c>
      <x:c r="L2309" s="2" t="str">
        <x:v>KECM_이지연, 이태준</x:v>
      </x:c>
      <x:c r="M2309" s="2"/>
      <x:c r="N2309" s="8" t="n">
        <x:f>DATE(2026,10,15)-DATE(2022,12,27)</x:f>
        <x:v>1388</x:v>
      </x:c>
      <x:c r="O2309" s="2"/>
      <x:c r="P2309" s="2" t="str">
        <x:v>자료요청을 통해 사업자 보완 중, 사업자와 환경부 간 논의 예정(사업자 요청)</x:v>
      </x:c>
      <x:c r="Q2309" s="2" t="str">
        <x:v>산업전환_외부사업관리Tool_260707_이너젠 수정_LJY_261013.xlsx</x:v>
      </x:c>
      <x:c r="R2309" s="2" t="str">
        <x:v>국내인증</x:v>
      </x:c>
      <x:c r="S2309" s="8" t="n">
        <x:v>627</x:v>
      </x:c>
      <x:c r="T2309" s="2" t="str">
        <x:v>(1/30)</x:v>
      </x:c>
      <x:c r="U2309" s="2" t="str">
        <x:v>2023 배정: (1/30) / 2024 배정: 2024년 처리</x:v>
      </x:c>
      <x:c r="V2309" s="2" t="str">
        <x:v>2024-09-20</x:v>
      </x:c>
      <x:c r="W2309" s="2" t="str"/>
      <x:c r="X2309" s="2" t="str">
        <x:v>종결 근거 보관</x:v>
      </x:c>
      <x:c r="Y2309" s="2" t="str">
        <x:v>ad210cd9ec132cfd447541c8984dc53d30aff0f4fb2dc92d254d49275cc55976</x:v>
      </x:c>
      <x:c r="Z2309" s="2" t="n">
        <x:f>SUBTOTAL(103,A2309)</x:f>
        <x:v>1</x:v>
      </x:c>
      <x:c r="AA2309" s="2" t="str">
        <x:f>IF(K2309&lt;&gt;"미종결 표시","대상 아님",IF(N2309="","신청일 확인",IF(NOT(ISNUMBER('종합 현황'!$H$5)),"관찰기준 확인",IF('종합 현황'!$H$5&lt;1,"관찰기준 확인",IF(N2309&gt;'종합 현황'!$H$5,"내부 관찰 대상","내부 관찰일 이하")))))</x:f>
        <x:v>대상 아님</x:v>
      </x:c>
      <x:c r="AB2309" s="2"/>
    </x:row>
    <x:row r="2310" ht="42" customHeight="1">
      <x:c r="A2310" s="2" t="str">
        <x:v>e0be41f296ef2eeea341f493</x:v>
      </x:c>
      <x:c r="B2310" s="2" t="str">
        <x:v>감축량 인증</x:v>
      </x:c>
      <x:c r="C2310" s="2" t="str">
        <x:v>국내</x:v>
      </x:c>
      <x:c r="D2310" s="7" t="str">
        <x:v>㈜서대구에너지의 집단에너지 열공급시설에서 목질계 바이오매스 연료를 이용하여</x:v>
      </x:c>
      <x:c r="E2310" s="2" t="str">
        <x:v>550</x:v>
      </x:c>
      <x:c r="F2310" s="2" t="str">
        <x:v>2022-12-27</x:v>
      </x:c>
      <x:c r="G2310" s="2" t="str">
        <x:v>2022</x:v>
      </x:c>
      <x:c r="H2310" s="2" t="str">
        <x:v>12</x:v>
      </x:c>
      <x:c r="I2310" s="2" t="str">
        <x:v>심의승인</x:v>
      </x:c>
      <x:c r="J2310" s="2" t="str">
        <x:v>심의승인</x:v>
      </x:c>
      <x:c r="K2310" s="2" t="str">
        <x:f>IF(OR(J2310="심의승인",J2310="반려",J2310="반려완료",J2310="심의완료"),"종결 표시",IF(OR(J2310="기후부협의",J2310="문서재제출요청",J2310="보류",J2310="보완요청",J2310="보완완료",J2310="평가중",J2310="반려요청",J2310="평가필요",LEFT(J2310,5)="보완요청("),"미종결 표시","상태 확인 필요"))</x:f>
        <x:v>종결 표시</x:v>
      </x:c>
      <x:c r="L2310" s="2" t="str">
        <x:v>KECM_이지연, 이태준</x:v>
      </x:c>
      <x:c r="M2310" s="2"/>
      <x:c r="N2310" s="8" t="n">
        <x:f>DATE(2026,10,15)-DATE(2022,12,27)</x:f>
        <x:v>1388</x:v>
      </x:c>
      <x:c r="O2310" s="2"/>
      <x:c r="P2310" s="2" t="str">
        <x:v>자료요청을 통해 사업자 보완 중, 사업자와 환경부 간 논의 예정(사업자 요청)</x:v>
      </x:c>
      <x:c r="Q2310" s="2" t="str">
        <x:v>산업전환_외부사업관리Tool_260707_이너젠 수정_LJY_261013.xlsx</x:v>
      </x:c>
      <x:c r="R2310" s="2" t="str">
        <x:v>국내인증</x:v>
      </x:c>
      <x:c r="S2310" s="8" t="n">
        <x:v>628</x:v>
      </x:c>
      <x:c r="T2310" s="2" t="str">
        <x:v>(1/30)</x:v>
      </x:c>
      <x:c r="U2310" s="2" t="str">
        <x:v>2023 배정: (1/30) / 2024 배정: 2024년 처리</x:v>
      </x:c>
      <x:c r="V2310" s="2" t="str">
        <x:v>2024-09-20</x:v>
      </x:c>
      <x:c r="W2310" s="2" t="str"/>
      <x:c r="X2310" s="2" t="str">
        <x:v>종결 근거 보관</x:v>
      </x:c>
      <x:c r="Y2310" s="2" t="str">
        <x:v>ad210cd9ec132cfd447541c8984dc53d30aff0f4fb2dc92d254d49275cc55976</x:v>
      </x:c>
      <x:c r="Z2310" s="2" t="n">
        <x:f>SUBTOTAL(103,A2310)</x:f>
        <x:v>1</x:v>
      </x:c>
      <x:c r="AA2310" s="2" t="str">
        <x:f>IF(K2310&lt;&gt;"미종결 표시","대상 아님",IF(N2310="","신청일 확인",IF(NOT(ISNUMBER('종합 현황'!$H$5)),"관찰기준 확인",IF('종합 현황'!$H$5&lt;1,"관찰기준 확인",IF(N2310&gt;'종합 현황'!$H$5,"내부 관찰 대상","내부 관찰일 이하")))))</x:f>
        <x:v>대상 아님</x:v>
      </x:c>
      <x:c r="AB2310" s="2"/>
    </x:row>
    <x:row r="2311" ht="42" customHeight="1">
      <x:c r="A2311" s="2" t="str">
        <x:v>5f82f2969382f394e02394bb</x:v>
      </x:c>
      <x:c r="B2311" s="2" t="str">
        <x:v>감축량 인증</x:v>
      </x:c>
      <x:c r="C2311" s="2" t="str">
        <x:v>국내</x:v>
      </x:c>
      <x:c r="D2311" s="7" t="str">
        <x:v>㈜서대구에너지의 집단에너지 열공급시설에서 목질계 바이오매스 연료를 이용하여</x:v>
      </x:c>
      <x:c r="E2311" s="2" t="str">
        <x:v>551</x:v>
      </x:c>
      <x:c r="F2311" s="2" t="str">
        <x:v>2022-12-27</x:v>
      </x:c>
      <x:c r="G2311" s="2" t="str">
        <x:v>2022</x:v>
      </x:c>
      <x:c r="H2311" s="2" t="str">
        <x:v>12</x:v>
      </x:c>
      <x:c r="I2311" s="2" t="str">
        <x:v>심의승인</x:v>
      </x:c>
      <x:c r="J2311" s="2" t="str">
        <x:v>심의승인</x:v>
      </x:c>
      <x:c r="K2311" s="2" t="str">
        <x:f>IF(OR(J2311="심의승인",J2311="반려",J2311="반려완료",J2311="심의완료"),"종결 표시",IF(OR(J2311="기후부협의",J2311="문서재제출요청",J2311="보류",J2311="보완요청",J2311="보완완료",J2311="평가중",J2311="반려요청",J2311="평가필요",LEFT(J2311,5)="보완요청("),"미종결 표시","상태 확인 필요"))</x:f>
        <x:v>종결 표시</x:v>
      </x:c>
      <x:c r="L2311" s="2" t="str">
        <x:v>KECM_이지연, 이태준</x:v>
      </x:c>
      <x:c r="M2311" s="2"/>
      <x:c r="N2311" s="8" t="n">
        <x:f>DATE(2026,10,15)-DATE(2022,12,27)</x:f>
        <x:v>1388</x:v>
      </x:c>
      <x:c r="O2311" s="2"/>
      <x:c r="P2311" s="2" t="str">
        <x:v>자료요청을 통해 사업자 보완 중, 사업자와 환경부 간 논의 예정(사업자 요청)</x:v>
      </x:c>
      <x:c r="Q2311" s="2" t="str">
        <x:v>산업전환_외부사업관리Tool_260707_이너젠 수정_LJY_261013.xlsx</x:v>
      </x:c>
      <x:c r="R2311" s="2" t="str">
        <x:v>국내인증</x:v>
      </x:c>
      <x:c r="S2311" s="8" t="n">
        <x:v>629</x:v>
      </x:c>
      <x:c r="T2311" s="2" t="str">
        <x:v>(1/30)</x:v>
      </x:c>
      <x:c r="U2311" s="2" t="str">
        <x:v>2023 배정: (1/30) / 2024 배정: 2024년 처리</x:v>
      </x:c>
      <x:c r="V2311" s="2" t="str">
        <x:v>2024-09-20</x:v>
      </x:c>
      <x:c r="W2311" s="2" t="str"/>
      <x:c r="X2311" s="2" t="str">
        <x:v>종결 근거 보관</x:v>
      </x:c>
      <x:c r="Y2311" s="2" t="str">
        <x:v>ad210cd9ec132cfd447541c8984dc53d30aff0f4fb2dc92d254d49275cc55976</x:v>
      </x:c>
      <x:c r="Z2311" s="2" t="n">
        <x:f>SUBTOTAL(103,A2311)</x:f>
        <x:v>1</x:v>
      </x:c>
      <x:c r="AA2311" s="2" t="str">
        <x:f>IF(K2311&lt;&gt;"미종결 표시","대상 아님",IF(N2311="","신청일 확인",IF(NOT(ISNUMBER('종합 현황'!$H$5)),"관찰기준 확인",IF('종합 현황'!$H$5&lt;1,"관찰기준 확인",IF(N2311&gt;'종합 현황'!$H$5,"내부 관찰 대상","내부 관찰일 이하")))))</x:f>
        <x:v>대상 아님</x:v>
      </x:c>
      <x:c r="AB2311" s="2"/>
    </x:row>
    <x:row r="2312" ht="42" customHeight="1">
      <x:c r="A2312" s="2" t="str">
        <x:v>cc657a152058a7dedad73bb4</x:v>
      </x:c>
      <x:c r="B2312" s="2" t="str">
        <x:v>감축량 인증</x:v>
      </x:c>
      <x:c r="C2312" s="2" t="str">
        <x:v>국내</x:v>
      </x:c>
      <x:c r="D2312" s="7" t="str">
        <x:v>㈜서대구에너지의 집단에너지 열공급시설에서 목질계 바이오매스 연료를 이용하여</x:v>
      </x:c>
      <x:c r="E2312" s="2" t="str">
        <x:v>552</x:v>
      </x:c>
      <x:c r="F2312" s="2" t="str">
        <x:v>2022-12-27</x:v>
      </x:c>
      <x:c r="G2312" s="2" t="str">
        <x:v>2022</x:v>
      </x:c>
      <x:c r="H2312" s="2" t="str">
        <x:v>12</x:v>
      </x:c>
      <x:c r="I2312" s="2" t="str">
        <x:v>심의승인</x:v>
      </x:c>
      <x:c r="J2312" s="2" t="str">
        <x:v>심의승인</x:v>
      </x:c>
      <x:c r="K2312" s="2" t="str">
        <x:f>IF(OR(J2312="심의승인",J2312="반려",J2312="반려완료",J2312="심의완료"),"종결 표시",IF(OR(J2312="기후부협의",J2312="문서재제출요청",J2312="보류",J2312="보완요청",J2312="보완완료",J2312="평가중",J2312="반려요청",J2312="평가필요",LEFT(J2312,5)="보완요청("),"미종결 표시","상태 확인 필요"))</x:f>
        <x:v>종결 표시</x:v>
      </x:c>
      <x:c r="L2312" s="2" t="str">
        <x:v>KECM_이지연, 이태준</x:v>
      </x:c>
      <x:c r="M2312" s="2"/>
      <x:c r="N2312" s="8" t="n">
        <x:f>DATE(2026,10,15)-DATE(2022,12,27)</x:f>
        <x:v>1388</x:v>
      </x:c>
      <x:c r="O2312" s="2"/>
      <x:c r="P2312" s="2" t="str">
        <x:v>자료요청을 통해 사업자 보완 중, 사업자와 환경부 간 논의 예정(사업자 요청)</x:v>
      </x:c>
      <x:c r="Q2312" s="2" t="str">
        <x:v>산업전환_외부사업관리Tool_260707_이너젠 수정_LJY_261013.xlsx</x:v>
      </x:c>
      <x:c r="R2312" s="2" t="str">
        <x:v>국내인증</x:v>
      </x:c>
      <x:c r="S2312" s="8" t="n">
        <x:v>630</x:v>
      </x:c>
      <x:c r="T2312" s="2" t="str">
        <x:v>(1/30)</x:v>
      </x:c>
      <x:c r="U2312" s="2" t="str">
        <x:v>2023 배정: (1/30) / 2024 배정: 2024년 처리</x:v>
      </x:c>
      <x:c r="V2312" s="2" t="str">
        <x:v>2024-09-20</x:v>
      </x:c>
      <x:c r="W2312" s="2" t="str"/>
      <x:c r="X2312" s="2" t="str">
        <x:v>종결 근거 보관</x:v>
      </x:c>
      <x:c r="Y2312" s="2" t="str">
        <x:v>ad210cd9ec132cfd447541c8984dc53d30aff0f4fb2dc92d254d49275cc55976</x:v>
      </x:c>
      <x:c r="Z2312" s="2" t="n">
        <x:f>SUBTOTAL(103,A2312)</x:f>
        <x:v>1</x:v>
      </x:c>
      <x:c r="AA2312" s="2" t="str">
        <x:f>IF(K2312&lt;&gt;"미종결 표시","대상 아님",IF(N2312="","신청일 확인",IF(NOT(ISNUMBER('종합 현황'!$H$5)),"관찰기준 확인",IF('종합 현황'!$H$5&lt;1,"관찰기준 확인",IF(N2312&gt;'종합 현황'!$H$5,"내부 관찰 대상","내부 관찰일 이하")))))</x:f>
        <x:v>대상 아님</x:v>
      </x:c>
      <x:c r="AB2312" s="2"/>
    </x:row>
    <x:row r="2313" ht="42" customHeight="1">
      <x:c r="A2313" s="2" t="str">
        <x:v>276d62dcc3b41b27d451cbb4</x:v>
      </x:c>
      <x:c r="B2313" s="2" t="str">
        <x:v>감축량 인증</x:v>
      </x:c>
      <x:c r="C2313" s="2" t="str">
        <x:v>국내</x:v>
      </x:c>
      <x:c r="D2313" s="7" t="str">
        <x:v>코오롱바스프이노폼의 TX 생산공정에서의 폐열회수를 통한 온실가스 감축사업</x:v>
      </x:c>
      <x:c r="E2313" s="2" t="str">
        <x:v>553</x:v>
      </x:c>
      <x:c r="F2313" s="2" t="str">
        <x:v>2022-12-30</x:v>
      </x:c>
      <x:c r="G2313" s="2" t="str">
        <x:v>2022</x:v>
      </x:c>
      <x:c r="H2313" s="2" t="str">
        <x:v>12</x:v>
      </x:c>
      <x:c r="I2313" s="2" t="str">
        <x:v>심의승인</x:v>
      </x:c>
      <x:c r="J2313" s="2" t="str">
        <x:v>심의승인</x:v>
      </x:c>
      <x:c r="K2313" s="2" t="str">
        <x:f>IF(OR(J2313="심의승인",J2313="반려",J2313="반려완료",J2313="심의완료"),"종결 표시",IF(OR(J2313="기후부협의",J2313="문서재제출요청",J2313="보류",J2313="보완요청",J2313="보완완료",J2313="평가중",J2313="반려요청",J2313="평가필요",LEFT(J2313,5)="보완요청("),"미종결 표시","상태 확인 필요"))</x:f>
        <x:v>종결 표시</x:v>
      </x:c>
      <x:c r="L2313" s="2" t="str">
        <x:v>에코시안_권송화</x:v>
      </x:c>
      <x:c r="M2313" s="2"/>
      <x:c r="N2313" s="8" t="n">
        <x:f>DATE(2026,10,15)-DATE(2022,12,30)</x:f>
        <x:v>1385</x:v>
      </x:c>
      <x:c r="O2313" s="2"/>
      <x:c r="P2313" s="2"/>
      <x:c r="Q2313" s="2" t="str">
        <x:v>산업전환_외부사업관리Tool_260707_이너젠 수정_LJY_261013.xlsx</x:v>
      </x:c>
      <x:c r="R2313" s="2" t="str">
        <x:v>국내인증</x:v>
      </x:c>
      <x:c r="S2313" s="8" t="n">
        <x:v>631</x:v>
      </x:c>
      <x:c r="T2313" s="2" t="str">
        <x:v>(1/30),(4/3),(5/16),(8/7),(9/12)</x:v>
      </x:c>
      <x:c r="U2313" s="2" t="str">
        <x:v>2023 배정: (1/30),(4/3),(5/16),(8/7),(9/12)</x:v>
      </x:c>
      <x:c r="V2313" s="2" t="str">
        <x:v>2024-04-09</x:v>
      </x:c>
      <x:c r="W2313" s="2" t="str"/>
      <x:c r="X2313" s="2" t="str">
        <x:v>종결 근거 보관</x:v>
      </x:c>
      <x:c r="Y2313" s="2" t="str">
        <x:v>ad210cd9ec132cfd447541c8984dc53d30aff0f4fb2dc92d254d49275cc55976</x:v>
      </x:c>
      <x:c r="Z2313" s="2" t="n">
        <x:f>SUBTOTAL(103,A2313)</x:f>
        <x:v>1</x:v>
      </x:c>
      <x:c r="AA2313" s="2" t="str">
        <x:f>IF(K2313&lt;&gt;"미종결 표시","대상 아님",IF(N2313="","신청일 확인",IF(NOT(ISNUMBER('종합 현황'!$H$5)),"관찰기준 확인",IF('종합 현황'!$H$5&lt;1,"관찰기준 확인",IF(N2313&gt;'종합 현황'!$H$5,"내부 관찰 대상","내부 관찰일 이하")))))</x:f>
        <x:v>대상 아님</x:v>
      </x:c>
      <x:c r="AB2313" s="2"/>
    </x:row>
    <x:row r="2314" ht="42" customHeight="1">
      <x:c r="A2314" s="2" t="str">
        <x:v>2325f3afcd571408aeb60f52</x:v>
      </x:c>
      <x:c r="B2314" s="2" t="str">
        <x:v>감축량 인증</x:v>
      </x:c>
      <x:c r="C2314" s="2" t="str">
        <x:v>국내</x:v>
      </x:c>
      <x:c r="D2314" s="7" t="str">
        <x:v>코오롱바스프이노폼의 TX 생산공정에서의 폐열회수를 통한 온실가스 감축사업</x:v>
      </x:c>
      <x:c r="E2314" s="2" t="str">
        <x:v>554</x:v>
      </x:c>
      <x:c r="F2314" s="2" t="str">
        <x:v>2022-12-30</x:v>
      </x:c>
      <x:c r="G2314" s="2" t="str">
        <x:v>2022</x:v>
      </x:c>
      <x:c r="H2314" s="2" t="str">
        <x:v>12</x:v>
      </x:c>
      <x:c r="I2314" s="2" t="str">
        <x:v>심의승인</x:v>
      </x:c>
      <x:c r="J2314" s="2" t="str">
        <x:v>심의승인</x:v>
      </x:c>
      <x:c r="K2314" s="2" t="str">
        <x:f>IF(OR(J2314="심의승인",J2314="반려",J2314="반려완료",J2314="심의완료"),"종결 표시",IF(OR(J2314="기후부협의",J2314="문서재제출요청",J2314="보류",J2314="보완요청",J2314="보완완료",J2314="평가중",J2314="반려요청",J2314="평가필요",LEFT(J2314,5)="보완요청("),"미종결 표시","상태 확인 필요"))</x:f>
        <x:v>종결 표시</x:v>
      </x:c>
      <x:c r="L2314" s="2" t="str">
        <x:v>에코시안_권송화</x:v>
      </x:c>
      <x:c r="M2314" s="2"/>
      <x:c r="N2314" s="8" t="n">
        <x:f>DATE(2026,10,15)-DATE(2022,12,30)</x:f>
        <x:v>1385</x:v>
      </x:c>
      <x:c r="O2314" s="2"/>
      <x:c r="P2314" s="2"/>
      <x:c r="Q2314" s="2" t="str">
        <x:v>산업전환_외부사업관리Tool_260707_이너젠 수정_LJY_261013.xlsx</x:v>
      </x:c>
      <x:c r="R2314" s="2" t="str">
        <x:v>국내인증</x:v>
      </x:c>
      <x:c r="S2314" s="8" t="n">
        <x:v>632</x:v>
      </x:c>
      <x:c r="T2314" s="2" t="str">
        <x:v>(1/30),(4/3),(5/16),(8/7),(9/12)</x:v>
      </x:c>
      <x:c r="U2314" s="2" t="str">
        <x:v>2023 배정: (1/30),(4/3),(5/16),(8/7),(9/12)</x:v>
      </x:c>
      <x:c r="V2314" s="2" t="str">
        <x:v>2024-04-09</x:v>
      </x:c>
      <x:c r="W2314" s="2" t="str"/>
      <x:c r="X2314" s="2" t="str">
        <x:v>종결 근거 보관</x:v>
      </x:c>
      <x:c r="Y2314" s="2" t="str">
        <x:v>ad210cd9ec132cfd447541c8984dc53d30aff0f4fb2dc92d254d49275cc55976</x:v>
      </x:c>
      <x:c r="Z2314" s="2" t="n">
        <x:f>SUBTOTAL(103,A2314)</x:f>
        <x:v>1</x:v>
      </x:c>
      <x:c r="AA2314" s="2" t="str">
        <x:f>IF(K2314&lt;&gt;"미종결 표시","대상 아님",IF(N2314="","신청일 확인",IF(NOT(ISNUMBER('종합 현황'!$H$5)),"관찰기준 확인",IF('종합 현황'!$H$5&lt;1,"관찰기준 확인",IF(N2314&gt;'종합 현황'!$H$5,"내부 관찰 대상","내부 관찰일 이하")))))</x:f>
        <x:v>대상 아님</x:v>
      </x:c>
      <x:c r="AB2314" s="2"/>
    </x:row>
    <x:row r="2315" ht="42" customHeight="1">
      <x:c r="A2315" s="2" t="str">
        <x:v>a53a9e9c6ca4182647799fb3</x:v>
      </x:c>
      <x:c r="B2315" s="2" t="str">
        <x:v>감축량 인증</x:v>
      </x:c>
      <x:c r="C2315" s="2" t="str">
        <x:v>국내</x:v>
      </x:c>
      <x:c r="D2315" s="7" t="str">
        <x:v>공동주택 태양광 발전사업 2016-LH-001-05826</x:v>
      </x:c>
      <x:c r="E2315" s="2" t="str">
        <x:v>555</x:v>
      </x:c>
      <x:c r="F2315" s="2" t="str">
        <x:v>2022-12-31</x:v>
      </x:c>
      <x:c r="G2315" s="2" t="str">
        <x:v>2022</x:v>
      </x:c>
      <x:c r="H2315" s="2" t="str">
        <x:v>12</x:v>
      </x:c>
      <x:c r="I2315" s="2" t="str">
        <x:v>심의승인</x:v>
      </x:c>
      <x:c r="J2315" s="2" t="str">
        <x:v>심의승인</x:v>
      </x:c>
      <x:c r="K2315" s="2" t="str">
        <x:f>IF(OR(J2315="심의승인",J2315="반려",J2315="반려완료",J2315="심의완료"),"종결 표시",IF(OR(J2315="기후부협의",J2315="문서재제출요청",J2315="보류",J2315="보완요청",J2315="보완완료",J2315="평가중",J2315="반려요청",J2315="평가필요",LEFT(J2315,5)="보완요청("),"미종결 표시","상태 확인 필요"))</x:f>
        <x:v>종결 표시</x:v>
      </x:c>
      <x:c r="L2315" s="2" t="str">
        <x:v>KECM_이태준</x:v>
      </x:c>
      <x:c r="M2315" s="2"/>
      <x:c r="N2315" s="8" t="n">
        <x:f>DATE(2026,10,15)-DATE(2022,12,31)</x:f>
        <x:v>1384</x:v>
      </x:c>
      <x:c r="O2315" s="2"/>
      <x:c r="P2315" s="2" t="str">
        <x:v>사업이 일반으로 분류되어 해당 감축량, 해당 신청 시점(2022년 12월 31일까지)으로 인증 신청(시스템 상 감축량이 일반규모임)
23년 12월 협의</x:v>
      </x:c>
      <x:c r="Q2315" s="2" t="str">
        <x:v>산업전환_외부사업관리Tool_260707_이너젠 수정_LJY_261013.xlsx</x:v>
      </x:c>
      <x:c r="R2315" s="2" t="str">
        <x:v>국내인증</x:v>
      </x:c>
      <x:c r="S2315" s="8" t="n">
        <x:v>633</x:v>
      </x:c>
      <x:c r="T2315" s="2" t="str">
        <x:v>(1/30),(6/7),(8/7),(10/6),(10/27)</x:v>
      </x:c>
      <x:c r="U2315" s="2" t="str">
        <x:v>2023 배정: (1/30),(6/7),(8/7),(10/6),(10/27)</x:v>
      </x:c>
      <x:c r="V2315" s="2" t="str">
        <x:v>2024-04-09</x:v>
      </x:c>
      <x:c r="W2315" s="2" t="str"/>
      <x:c r="X2315" s="2" t="str">
        <x:v>종결 근거 보관</x:v>
      </x:c>
      <x:c r="Y2315" s="2" t="str">
        <x:v>ad210cd9ec132cfd447541c8984dc53d30aff0f4fb2dc92d254d49275cc55976</x:v>
      </x:c>
      <x:c r="Z2315" s="2" t="n">
        <x:f>SUBTOTAL(103,A2315)</x:f>
        <x:v>1</x:v>
      </x:c>
      <x:c r="AA2315" s="2" t="str">
        <x:f>IF(K2315&lt;&gt;"미종결 표시","대상 아님",IF(N2315="","신청일 확인",IF(NOT(ISNUMBER('종합 현황'!$H$5)),"관찰기준 확인",IF('종합 현황'!$H$5&lt;1,"관찰기준 확인",IF(N2315&gt;'종합 현황'!$H$5,"내부 관찰 대상","내부 관찰일 이하")))))</x:f>
        <x:v>대상 아님</x:v>
      </x:c>
      <x:c r="AB2315" s="2"/>
    </x:row>
    <x:row r="2316" ht="42" customHeight="1">
      <x:c r="A2316" s="2" t="str">
        <x:v>b85a4a61f8386c7c2fc3d931</x:v>
      </x:c>
      <x:c r="B2316" s="2" t="str">
        <x:v>감축량 인증</x:v>
      </x:c>
      <x:c r="C2316" s="2" t="str">
        <x:v>국내</x:v>
      </x:c>
      <x:c r="D2316" s="7" t="str">
        <x:v>2015년 춘천시 도로조명 LED 교체를 통한 묶음 감축사업</x:v>
      </x:c>
      <x:c r="E2316" s="2" t="str">
        <x:v>556</x:v>
      </x:c>
      <x:c r="F2316" s="2" t="str">
        <x:v>2023-01-11</x:v>
      </x:c>
      <x:c r="G2316" s="2" t="str">
        <x:v>2023</x:v>
      </x:c>
      <x:c r="H2316" s="2" t="str">
        <x:v>01</x:v>
      </x:c>
      <x:c r="I2316" s="2" t="str">
        <x:v>심의승인</x:v>
      </x:c>
      <x:c r="J2316" s="2" t="str">
        <x:v>심의승인</x:v>
      </x:c>
      <x:c r="K2316" s="2" t="str">
        <x:f>IF(OR(J2316="심의승인",J2316="반려",J2316="반려완료",J2316="심의완료"),"종결 표시",IF(OR(J2316="기후부협의",J2316="문서재제출요청",J2316="보류",J2316="보완요청",J2316="보완완료",J2316="평가중",J2316="반려요청",J2316="평가필요",LEFT(J2316,5)="보완요청("),"미종결 표시","상태 확인 필요"))</x:f>
        <x:v>종결 표시</x:v>
      </x:c>
      <x:c r="L2316" s="2" t="str">
        <x:v>에코시안_조영우</x:v>
      </x:c>
      <x:c r="M2316" s="2"/>
      <x:c r="N2316" s="8" t="n">
        <x:f>DATE(2026,10,15)-DATE(2023,1,11)</x:f>
        <x:v>1373</x:v>
      </x:c>
      <x:c r="O2316" s="2"/>
      <x:c r="P2316" s="2" t="str">
        <x:v>정보비공개 검토 완료</x:v>
      </x:c>
      <x:c r="Q2316" s="2" t="str">
        <x:v>산업전환_외부사업관리Tool_260707_이너젠 수정_LJY_261013.xlsx</x:v>
      </x:c>
      <x:c r="R2316" s="2" t="str">
        <x:v>국내인증</x:v>
      </x:c>
      <x:c r="S2316" s="8" t="n">
        <x:v>634</x:v>
      </x:c>
      <x:c r="T2316" s="2" t="str">
        <x:v>(1/30)</x:v>
      </x:c>
      <x:c r="U2316" s="2" t="str">
        <x:v>2023 배정: (1/30) / 2024 배정: (7/1),(7/23),(9/2) / 2025 배정: 2025년 처리</x:v>
      </x:c>
      <x:c r="V2316" s="2" t="str">
        <x:v>2025-06-13</x:v>
      </x:c>
      <x:c r="W2316" s="2" t="str"/>
      <x:c r="X2316" s="2" t="str">
        <x:v>종결 근거 보관</x:v>
      </x:c>
      <x:c r="Y2316" s="2" t="str">
        <x:v>ad210cd9ec132cfd447541c8984dc53d30aff0f4fb2dc92d254d49275cc55976</x:v>
      </x:c>
      <x:c r="Z2316" s="2" t="n">
        <x:f>SUBTOTAL(103,A2316)</x:f>
        <x:v>1</x:v>
      </x:c>
      <x:c r="AA2316" s="2" t="str">
        <x:f>IF(K2316&lt;&gt;"미종결 표시","대상 아님",IF(N2316="","신청일 확인",IF(NOT(ISNUMBER('종합 현황'!$H$5)),"관찰기준 확인",IF('종합 현황'!$H$5&lt;1,"관찰기준 확인",IF(N2316&gt;'종합 현황'!$H$5,"내부 관찰 대상","내부 관찰일 이하")))))</x:f>
        <x:v>대상 아님</x:v>
      </x:c>
      <x:c r="AB2316" s="2"/>
    </x:row>
    <x:row r="2317" ht="42" customHeight="1">
      <x:c r="A2317" s="2" t="str">
        <x:v>6c36c2371dbcf208bf59c68c</x:v>
      </x:c>
      <x:c r="B2317" s="2" t="str">
        <x:v>감축량 인증</x:v>
      </x:c>
      <x:c r="C2317" s="2" t="str">
        <x:v>국내</x:v>
      </x:c>
      <x:c r="D2317" s="7" t="str">
        <x:v>신흥 보일러 연료교체(B-C유 → LNG) 사업</x:v>
      </x:c>
      <x:c r="E2317" s="2" t="str">
        <x:v>557</x:v>
      </x:c>
      <x:c r="F2317" s="2" t="str">
        <x:v>2023-03-02</x:v>
      </x:c>
      <x:c r="G2317" s="2" t="str">
        <x:v>2023</x:v>
      </x:c>
      <x:c r="H2317" s="2" t="str">
        <x:v>03</x:v>
      </x:c>
      <x:c r="I2317" s="2" t="str">
        <x:v>심의승인</x:v>
      </x:c>
      <x:c r="J2317" s="2" t="str">
        <x:v>심의승인</x:v>
      </x:c>
      <x:c r="K2317" s="2" t="str">
        <x:f>IF(OR(J2317="심의승인",J2317="반려",J2317="반려완료",J2317="심의완료"),"종결 표시",IF(OR(J2317="기후부협의",J2317="문서재제출요청",J2317="보류",J2317="보완요청",J2317="보완완료",J2317="평가중",J2317="반려요청",J2317="평가필요",LEFT(J2317,5)="보완요청("),"미종결 표시","상태 확인 필요"))</x:f>
        <x:v>종결 표시</x:v>
      </x:c>
      <x:c r="L2317" s="2"/>
      <x:c r="M2317" s="2"/>
      <x:c r="N2317" s="8" t="n">
        <x:f>DATE(2026,10,15)-DATE(2023,3,2)</x:f>
        <x:v>1323</x:v>
      </x:c>
      <x:c r="O2317" s="2"/>
      <x:c r="P2317" s="2"/>
      <x:c r="Q2317" s="2" t="str">
        <x:v>산업전환_외부사업관리Tool_260707_이너젠 수정_LJY_261013.xlsx</x:v>
      </x:c>
      <x:c r="R2317" s="2" t="str">
        <x:v>국내인증</x:v>
      </x:c>
      <x:c r="S2317" s="8" t="n">
        <x:v>635</x:v>
      </x:c>
      <x:c r="T2317" s="2" t="str">
        <x:v>(3/13),(4/21)</x:v>
      </x:c>
      <x:c r="U2317" s="2" t="str">
        <x:v>2023 배정: (3/13),(4/21)</x:v>
      </x:c>
      <x:c r="V2317" s="2" t="str">
        <x:v>2023-09-20</x:v>
      </x:c>
      <x:c r="W2317" s="2" t="str">
        <x:v>담당기관 확인</x:v>
      </x:c>
      <x:c r="X2317" s="2" t="str">
        <x:v>원본·배정 기록 확인</x:v>
      </x:c>
      <x:c r="Y2317" s="2" t="str">
        <x:v>ad210cd9ec132cfd447541c8984dc53d30aff0f4fb2dc92d254d49275cc55976</x:v>
      </x:c>
      <x:c r="Z2317" s="2" t="n">
        <x:f>SUBTOTAL(103,A2317)</x:f>
        <x:v>1</x:v>
      </x:c>
      <x:c r="AA2317" s="2" t="str">
        <x:f>IF(K2317&lt;&gt;"미종결 표시","대상 아님",IF(N2317="","신청일 확인",IF(NOT(ISNUMBER('종합 현황'!$H$5)),"관찰기준 확인",IF('종합 현황'!$H$5&lt;1,"관찰기준 확인",IF(N2317&gt;'종합 현황'!$H$5,"내부 관찰 대상","내부 관찰일 이하")))))</x:f>
        <x:v>대상 아님</x:v>
      </x:c>
      <x:c r="AB2317" s="2"/>
    </x:row>
    <x:row r="2318" ht="42" customHeight="1">
      <x:c r="A2318" s="2" t="str">
        <x:v>b946f3309fb31e1cb4d7a2fc</x:v>
      </x:c>
      <x:c r="B2318" s="2" t="str">
        <x:v>감축량 인증</x:v>
      </x:c>
      <x:c r="C2318" s="2" t="str">
        <x:v>국내</x:v>
      </x:c>
      <x:c r="D2318" s="7" t="str">
        <x:v>휴켐스(주) 신설 5질산에서 발생하는 아산화질소 배출량 저감사업</x:v>
      </x:c>
      <x:c r="E2318" s="2" t="str">
        <x:v>558</x:v>
      </x:c>
      <x:c r="F2318" s="2" t="str">
        <x:v>2023-04-28</x:v>
      </x:c>
      <x:c r="G2318" s="2" t="str">
        <x:v>2023</x:v>
      </x:c>
      <x:c r="H2318" s="2" t="str">
        <x:v>04</x:v>
      </x:c>
      <x:c r="I2318" s="2" t="str">
        <x:v>심의승인</x:v>
      </x:c>
      <x:c r="J2318" s="2" t="str">
        <x:v>심의승인</x:v>
      </x:c>
      <x:c r="K2318" s="2" t="str">
        <x:f>IF(OR(J2318="심의승인",J2318="반려",J2318="반려완료",J2318="심의완료"),"종결 표시",IF(OR(J2318="기후부협의",J2318="문서재제출요청",J2318="보류",J2318="보완요청",J2318="보완완료",J2318="평가중",J2318="반려요청",J2318="평가필요",LEFT(J2318,5)="보완요청("),"미종결 표시","상태 확인 필요"))</x:f>
        <x:v>종결 표시</x:v>
      </x:c>
      <x:c r="L2318" s="2"/>
      <x:c r="M2318" s="2"/>
      <x:c r="N2318" s="8" t="n">
        <x:f>DATE(2026,10,15)-DATE(2023,4,28)</x:f>
        <x:v>1266</x:v>
      </x:c>
      <x:c r="O2318" s="2"/>
      <x:c r="P2318" s="2"/>
      <x:c r="Q2318" s="2" t="str">
        <x:v>산업전환_외부사업관리Tool_260707_이너젠 수정_LJY_261013.xlsx</x:v>
      </x:c>
      <x:c r="R2318" s="2" t="str">
        <x:v>국내인증</x:v>
      </x:c>
      <x:c r="S2318" s="8" t="n">
        <x:v>636</x:v>
      </x:c>
      <x:c r="T2318" s="2" t="str">
        <x:v>(5/16),(7/17),(10/6)</x:v>
      </x:c>
      <x:c r="U2318" s="2" t="str">
        <x:v>2023 배정: (5/16),(7/17),(10/6)</x:v>
      </x:c>
      <x:c r="V2318" s="2" t="str">
        <x:v>2023-12-15</x:v>
      </x:c>
      <x:c r="W2318" s="2" t="str">
        <x:v>담당기관 확인</x:v>
      </x:c>
      <x:c r="X2318" s="2" t="str">
        <x:v>원본·배정 기록 확인</x:v>
      </x:c>
      <x:c r="Y2318" s="2" t="str">
        <x:v>ad210cd9ec132cfd447541c8984dc53d30aff0f4fb2dc92d254d49275cc55976</x:v>
      </x:c>
      <x:c r="Z2318" s="2" t="n">
        <x:f>SUBTOTAL(103,A2318)</x:f>
        <x:v>1</x:v>
      </x:c>
      <x:c r="AA2318" s="2" t="str">
        <x:f>IF(K2318&lt;&gt;"미종결 표시","대상 아님",IF(N2318="","신청일 확인",IF(NOT(ISNUMBER('종합 현황'!$H$5)),"관찰기준 확인",IF('종합 현황'!$H$5&lt;1,"관찰기준 확인",IF(N2318&gt;'종합 현황'!$H$5,"내부 관찰 대상","내부 관찰일 이하")))))</x:f>
        <x:v>대상 아님</x:v>
      </x:c>
      <x:c r="AB2318" s="2"/>
    </x:row>
    <x:row r="2319" ht="42" customHeight="1">
      <x:c r="A2319" s="2" t="str">
        <x:v>efd3517c63de4b82c793d460</x:v>
      </x:c>
      <x:c r="B2319" s="2" t="str">
        <x:v>감축량 인증</x:v>
      </x:c>
      <x:c r="C2319" s="2" t="str">
        <x:v>국내</x:v>
      </x:c>
      <x:c r="D2319" s="7" t="str">
        <x:v>제일사료 주식회사 연료교체(B-C유 → LNG) 사업</x:v>
      </x:c>
      <x:c r="E2319" s="2" t="str">
        <x:v>559</x:v>
      </x:c>
      <x:c r="F2319" s="2" t="str">
        <x:v>2023-05-04</x:v>
      </x:c>
      <x:c r="G2319" s="2" t="str">
        <x:v>2023</x:v>
      </x:c>
      <x:c r="H2319" s="2" t="str">
        <x:v>05</x:v>
      </x:c>
      <x:c r="I2319" s="2" t="str">
        <x:v>심의승인</x:v>
      </x:c>
      <x:c r="J2319" s="2" t="str">
        <x:v>심의승인</x:v>
      </x:c>
      <x:c r="K2319" s="2" t="str">
        <x:f>IF(OR(J2319="심의승인",J2319="반려",J2319="반려완료",J2319="심의완료"),"종결 표시",IF(OR(J2319="기후부협의",J2319="문서재제출요청",J2319="보류",J2319="보완요청",J2319="보완완료",J2319="평가중",J2319="반려요청",J2319="평가필요",LEFT(J2319,5)="보완요청("),"미종결 표시","상태 확인 필요"))</x:f>
        <x:v>종결 표시</x:v>
      </x:c>
      <x:c r="L2319" s="2" t="str">
        <x:v>에코시안_조영우</x:v>
      </x:c>
      <x:c r="M2319" s="2"/>
      <x:c r="N2319" s="8" t="n">
        <x:f>DATE(2026,10,15)-DATE(2023,5,4)</x:f>
        <x:v>1260</x:v>
      </x:c>
      <x:c r="O2319" s="2"/>
      <x:c r="P2319" s="2"/>
      <x:c r="Q2319" s="2" t="str">
        <x:v>산업전환_외부사업관리Tool_260707_이너젠 수정_LJY_261013.xlsx</x:v>
      </x:c>
      <x:c r="R2319" s="2" t="str">
        <x:v>국내인증</x:v>
      </x:c>
      <x:c r="S2319" s="8" t="n">
        <x:v>637</x:v>
      </x:c>
      <x:c r="T2319" s="2" t="str">
        <x:v>(5/16),(10/6)</x:v>
      </x:c>
      <x:c r="U2319" s="2" t="str">
        <x:v>2023 배정: (5/16),(10/6) / 2024 배정: (2/5),(3/18)</x:v>
      </x:c>
      <x:c r="V2319" s="2" t="str">
        <x:v>2024-09-20</x:v>
      </x:c>
      <x:c r="W2319" s="2" t="str"/>
      <x:c r="X2319" s="2" t="str">
        <x:v>종결 근거 보관</x:v>
      </x:c>
      <x:c r="Y2319" s="2" t="str">
        <x:v>ad210cd9ec132cfd447541c8984dc53d30aff0f4fb2dc92d254d49275cc55976</x:v>
      </x:c>
      <x:c r="Z2319" s="2" t="n">
        <x:f>SUBTOTAL(103,A2319)</x:f>
        <x:v>1</x:v>
      </x:c>
      <x:c r="AA2319" s="2" t="str">
        <x:f>IF(K2319&lt;&gt;"미종결 표시","대상 아님",IF(N2319="","신청일 확인",IF(NOT(ISNUMBER('종합 현황'!$H$5)),"관찰기준 확인",IF('종합 현황'!$H$5&lt;1,"관찰기준 확인",IF(N2319&gt;'종합 현황'!$H$5,"내부 관찰 대상","내부 관찰일 이하")))))</x:f>
        <x:v>대상 아님</x:v>
      </x:c>
      <x:c r="AB2319" s="2"/>
    </x:row>
    <x:row r="2320" ht="42" customHeight="1">
      <x:c r="A2320" s="2" t="str">
        <x:v>2d71f6774887c8e9885ceb33</x:v>
      </x:c>
      <x:c r="B2320" s="2" t="str">
        <x:v>감축량 인증</x:v>
      </x:c>
      <x:c r="C2320" s="2" t="str">
        <x:v>국내</x:v>
      </x:c>
      <x:c r="D2320" s="7" t="str">
        <x:v>공동주택 태양광 발전사업 2011-LH-001-01457</x:v>
      </x:c>
      <x:c r="E2320" s="2" t="str">
        <x:v>560</x:v>
      </x:c>
      <x:c r="F2320" s="2" t="str">
        <x:v>2023-05-23</x:v>
      </x:c>
      <x:c r="G2320" s="2" t="str">
        <x:v>2023</x:v>
      </x:c>
      <x:c r="H2320" s="2" t="str">
        <x:v>05</x:v>
      </x:c>
      <x:c r="I2320" s="2" t="str">
        <x:v>심의승인</x:v>
      </x:c>
      <x:c r="J2320" s="2" t="str">
        <x:v>심의승인</x:v>
      </x:c>
      <x:c r="K2320" s="2" t="str">
        <x:f>IF(OR(J2320="심의승인",J2320="반려",J2320="반려완료",J2320="심의완료"),"종결 표시",IF(OR(J2320="기후부협의",J2320="문서재제출요청",J2320="보류",J2320="보완요청",J2320="보완완료",J2320="평가중",J2320="반려요청",J2320="평가필요",LEFT(J2320,5)="보완요청("),"미종결 표시","상태 확인 필요"))</x:f>
        <x:v>종결 표시</x:v>
      </x:c>
      <x:c r="L2320" s="2"/>
      <x:c r="M2320" s="2"/>
      <x:c r="N2320" s="8" t="n">
        <x:f>DATE(2026,10,15)-DATE(2023,5,23)</x:f>
        <x:v>1241</x:v>
      </x:c>
      <x:c r="O2320" s="2"/>
      <x:c r="P2320" s="2"/>
      <x:c r="Q2320" s="2" t="str">
        <x:v>산업전환_외부사업관리Tool_260707_이너젠 수정_LJY_261013.xlsx</x:v>
      </x:c>
      <x:c r="R2320" s="2" t="str">
        <x:v>국내인증</x:v>
      </x:c>
      <x:c r="S2320" s="8" t="n">
        <x:v>638</x:v>
      </x:c>
      <x:c r="T2320" s="2" t="str">
        <x:v>(6/7),(8/7)</x:v>
      </x:c>
      <x:c r="U2320" s="2" t="str">
        <x:v>2023 배정: (6/7),(8/7)</x:v>
      </x:c>
      <x:c r="V2320" s="2" t="str">
        <x:v>2023-12-15</x:v>
      </x:c>
      <x:c r="W2320" s="2" t="str">
        <x:v>담당기관 확인</x:v>
      </x:c>
      <x:c r="X2320" s="2" t="str">
        <x:v>원본·배정 기록 확인</x:v>
      </x:c>
      <x:c r="Y2320" s="2" t="str">
        <x:v>ad210cd9ec132cfd447541c8984dc53d30aff0f4fb2dc92d254d49275cc55976</x:v>
      </x:c>
      <x:c r="Z2320" s="2" t="n">
        <x:f>SUBTOTAL(103,A2320)</x:f>
        <x:v>1</x:v>
      </x:c>
      <x:c r="AA2320" s="2" t="str">
        <x:f>IF(K2320&lt;&gt;"미종결 표시","대상 아님",IF(N2320="","신청일 확인",IF(NOT(ISNUMBER('종합 현황'!$H$5)),"관찰기준 확인",IF('종합 현황'!$H$5&lt;1,"관찰기준 확인",IF(N2320&gt;'종합 현황'!$H$5,"내부 관찰 대상","내부 관찰일 이하")))))</x:f>
        <x:v>대상 아님</x:v>
      </x:c>
      <x:c r="AB2320" s="2"/>
    </x:row>
    <x:row r="2321" ht="42" customHeight="1">
      <x:c r="A2321" s="2" t="str">
        <x:v>2f604313fa8fb4c2a59eb60b</x:v>
      </x:c>
      <x:c r="B2321" s="2" t="str">
        <x:v>감축량 인증</x:v>
      </x:c>
      <x:c r="C2321" s="2" t="str">
        <x:v>국내</x:v>
      </x:c>
      <x:c r="D2321" s="7" t="str">
        <x:v>윤성아스콘 버너 연료전환(B-C유-&gt;LNG) 온실가스 감축사업</x:v>
      </x:c>
      <x:c r="E2321" s="2" t="str">
        <x:v>561</x:v>
      </x:c>
      <x:c r="F2321" s="2" t="str">
        <x:v>2023-06-05</x:v>
      </x:c>
      <x:c r="G2321" s="2" t="str">
        <x:v>2023</x:v>
      </x:c>
      <x:c r="H2321" s="2" t="str">
        <x:v>06</x:v>
      </x:c>
      <x:c r="I2321" s="2" t="str">
        <x:v>심의승인</x:v>
      </x:c>
      <x:c r="J2321" s="2" t="str">
        <x:v>심의승인</x:v>
      </x:c>
      <x:c r="K2321" s="2" t="str">
        <x:f>IF(OR(J2321="심의승인",J2321="반려",J2321="반려완료",J2321="심의완료"),"종결 표시",IF(OR(J2321="기후부협의",J2321="문서재제출요청",J2321="보류",J2321="보완요청",J2321="보완완료",J2321="평가중",J2321="반려요청",J2321="평가필요",LEFT(J2321,5)="보완요청("),"미종결 표시","상태 확인 필요"))</x:f>
        <x:v>종결 표시</x:v>
      </x:c>
      <x:c r="L2321" s="2" t="str">
        <x:v>KECM_이태준</x:v>
      </x:c>
      <x:c r="M2321" s="2"/>
      <x:c r="N2321" s="8" t="n">
        <x:f>DATE(2026,10,15)-DATE(2023,6,5)</x:f>
        <x:v>1228</x:v>
      </x:c>
      <x:c r="O2321" s="2"/>
      <x:c r="P2321" s="2"/>
      <x:c r="Q2321" s="2" t="str">
        <x:v>산업전환_외부사업관리Tool_260707_이너젠 수정_LJY_261013.xlsx</x:v>
      </x:c>
      <x:c r="R2321" s="2" t="str">
        <x:v>국내인증</x:v>
      </x:c>
      <x:c r="S2321" s="8" t="n">
        <x:v>639</x:v>
      </x:c>
      <x:c r="T2321" s="2" t="str">
        <x:v>(6/27),(7/17)</x:v>
      </x:c>
      <x:c r="U2321" s="2" t="str">
        <x:v>2023 배정: (6/27),(7/17) / 2024 배정: (1/12)</x:v>
      </x:c>
      <x:c r="V2321" s="2" t="str">
        <x:v>2024-06-27</x:v>
      </x:c>
      <x:c r="W2321" s="2" t="str"/>
      <x:c r="X2321" s="2" t="str">
        <x:v>종결 근거 보관</x:v>
      </x:c>
      <x:c r="Y2321" s="2" t="str">
        <x:v>ad210cd9ec132cfd447541c8984dc53d30aff0f4fb2dc92d254d49275cc55976</x:v>
      </x:c>
      <x:c r="Z2321" s="2" t="n">
        <x:f>SUBTOTAL(103,A2321)</x:f>
        <x:v>1</x:v>
      </x:c>
      <x:c r="AA2321" s="2" t="str">
        <x:f>IF(K2321&lt;&gt;"미종결 표시","대상 아님",IF(N2321="","신청일 확인",IF(NOT(ISNUMBER('종합 현황'!$H$5)),"관찰기준 확인",IF('종합 현황'!$H$5&lt;1,"관찰기준 확인",IF(N2321&gt;'종합 현황'!$H$5,"내부 관찰 대상","내부 관찰일 이하")))))</x:f>
        <x:v>대상 아님</x:v>
      </x:c>
      <x:c r="AB2321" s="2"/>
    </x:row>
    <x:row r="2322" ht="42" customHeight="1">
      <x:c r="A2322" s="2" t="str">
        <x:v>3a60ef76755bf07d61c20ff9</x:v>
      </x:c>
      <x:c r="B2322" s="2" t="str">
        <x:v>감축량 인증</x:v>
      </x:c>
      <x:c r="C2322" s="2" t="str">
        <x:v>국내</x:v>
      </x:c>
      <x:c r="D2322" s="7" t="str">
        <x:v>한국토지주택공사 국민임대주택 태양광 발전 번들링 CDM사업</x:v>
      </x:c>
      <x:c r="E2322" s="2" t="str">
        <x:v>562</x:v>
      </x:c>
      <x:c r="F2322" s="2" t="str">
        <x:v>2023-06-14</x:v>
      </x:c>
      <x:c r="G2322" s="2" t="str">
        <x:v>2023</x:v>
      </x:c>
      <x:c r="H2322" s="2" t="str">
        <x:v>06</x:v>
      </x:c>
      <x:c r="I2322" s="2" t="str">
        <x:v>심의승인</x:v>
      </x:c>
      <x:c r="J2322" s="2" t="str">
        <x:v>심의승인</x:v>
      </x:c>
      <x:c r="K2322" s="2" t="str">
        <x:f>IF(OR(J2322="심의승인",J2322="반려",J2322="반려완료",J2322="심의완료"),"종결 표시",IF(OR(J2322="기후부협의",J2322="문서재제출요청",J2322="보류",J2322="보완요청",J2322="보완완료",J2322="평가중",J2322="반려요청",J2322="평가필요",LEFT(J2322,5)="보완요청("),"미종결 표시","상태 확인 필요"))</x:f>
        <x:v>종결 표시</x:v>
      </x:c>
      <x:c r="L2322" s="2"/>
      <x:c r="M2322" s="2"/>
      <x:c r="N2322" s="8" t="n">
        <x:f>DATE(2026,10,15)-DATE(2023,6,14)</x:f>
        <x:v>1219</x:v>
      </x:c>
      <x:c r="O2322" s="2"/>
      <x:c r="P2322" s="2"/>
      <x:c r="Q2322" s="2" t="str">
        <x:v>산업전환_외부사업관리Tool_260707_이너젠 수정_LJY_261013.xlsx</x:v>
      </x:c>
      <x:c r="R2322" s="2" t="str">
        <x:v>국내인증</x:v>
      </x:c>
      <x:c r="S2322" s="8" t="n">
        <x:v>640</x:v>
      </x:c>
      <x:c r="T2322" s="2" t="str">
        <x:v>(6/27),(8/7)</x:v>
      </x:c>
      <x:c r="U2322" s="2" t="str">
        <x:v>2023 배정: (6/27),(8/7)</x:v>
      </x:c>
      <x:c r="V2322" s="2" t="str">
        <x:v>2023-12-15</x:v>
      </x:c>
      <x:c r="W2322" s="2" t="str">
        <x:v>담당기관 확인</x:v>
      </x:c>
      <x:c r="X2322" s="2" t="str">
        <x:v>원본·배정 기록 확인</x:v>
      </x:c>
      <x:c r="Y2322" s="2" t="str">
        <x:v>ad210cd9ec132cfd447541c8984dc53d30aff0f4fb2dc92d254d49275cc55976</x:v>
      </x:c>
      <x:c r="Z2322" s="2" t="n">
        <x:f>SUBTOTAL(103,A2322)</x:f>
        <x:v>1</x:v>
      </x:c>
      <x:c r="AA2322" s="2" t="str">
        <x:f>IF(K2322&lt;&gt;"미종결 표시","대상 아님",IF(N2322="","신청일 확인",IF(NOT(ISNUMBER('종합 현황'!$H$5)),"관찰기준 확인",IF('종합 현황'!$H$5&lt;1,"관찰기준 확인",IF(N2322&gt;'종합 현황'!$H$5,"내부 관찰 대상","내부 관찰일 이하")))))</x:f>
        <x:v>대상 아님</x:v>
      </x:c>
      <x:c r="AB2322" s="2"/>
    </x:row>
    <x:row r="2323" ht="42" customHeight="1">
      <x:c r="A2323" s="2" t="str">
        <x:v>eb3f9e91ce9523e3df3fb889</x:v>
      </x:c>
      <x:c r="B2323" s="2" t="str">
        <x:v>감축량 인증</x:v>
      </x:c>
      <x:c r="C2323" s="2" t="str">
        <x:v>국내</x:v>
      </x:c>
      <x:c r="D2323" s="7" t="str">
        <x:v>(주)대한이엔지 외 10개사의 고효율 공기압축기 교체를 통한 온실가스 감축사업</x:v>
      </x:c>
      <x:c r="E2323" s="2" t="str">
        <x:v>563</x:v>
      </x:c>
      <x:c r="F2323" s="2" t="str">
        <x:v>2023-06-28</x:v>
      </x:c>
      <x:c r="G2323" s="2" t="str">
        <x:v>2023</x:v>
      </x:c>
      <x:c r="H2323" s="2" t="str">
        <x:v>06</x:v>
      </x:c>
      <x:c r="I2323" s="2" t="str">
        <x:v>심의승인</x:v>
      </x:c>
      <x:c r="J2323" s="2" t="str">
        <x:v>심의승인</x:v>
      </x:c>
      <x:c r="K2323" s="2" t="str">
        <x:f>IF(OR(J2323="심의승인",J2323="반려",J2323="반려완료",J2323="심의완료"),"종결 표시",IF(OR(J2323="기후부협의",J2323="문서재제출요청",J2323="보류",J2323="보완요청",J2323="보완완료",J2323="평가중",J2323="반려요청",J2323="평가필요",LEFT(J2323,5)="보완요청("),"미종결 표시","상태 확인 필요"))</x:f>
        <x:v>종결 표시</x:v>
      </x:c>
      <x:c r="L2323" s="2" t="str">
        <x:v>KECM_최인호</x:v>
      </x:c>
      <x:c r="M2323" s="2"/>
      <x:c r="N2323" s="8" t="n">
        <x:f>DATE(2026,10,15)-DATE(2023,6,28)</x:f>
        <x:v>1205</x:v>
      </x:c>
      <x:c r="O2323" s="2"/>
      <x:c r="P2323" s="2" t="str">
        <x:v>25.4분기 상정 예정</x:v>
      </x:c>
      <x:c r="Q2323" s="2" t="str">
        <x:v>산업전환_외부사업관리Tool_260707_이너젠 수정_LJY_261013.xlsx</x:v>
      </x:c>
      <x:c r="R2323" s="2" t="str">
        <x:v>국내인증</x:v>
      </x:c>
      <x:c r="S2323" s="8" t="n">
        <x:v>641</x:v>
      </x:c>
      <x:c r="T2323" s="2" t="str">
        <x:v>(7/17)</x:v>
      </x:c>
      <x:c r="U2323" s="2" t="str">
        <x:v>2023 배정: (7/17) / 2024 배정: (6/10),(7/1),(11/8) / 2025 배정: (1/8),(3/5)</x:v>
      </x:c>
      <x:c r="V2323" s="2" t="str">
        <x:v>2025-12-09</x:v>
      </x:c>
      <x:c r="W2323" s="2" t="str"/>
      <x:c r="X2323" s="2" t="str">
        <x:v>종결 근거 보관</x:v>
      </x:c>
      <x:c r="Y2323" s="2" t="str">
        <x:v>ad210cd9ec132cfd447541c8984dc53d30aff0f4fb2dc92d254d49275cc55976</x:v>
      </x:c>
      <x:c r="Z2323" s="2" t="n">
        <x:f>SUBTOTAL(103,A2323)</x:f>
        <x:v>1</x:v>
      </x:c>
      <x:c r="AA2323" s="2" t="str">
        <x:f>IF(K2323&lt;&gt;"미종결 표시","대상 아님",IF(N2323="","신청일 확인",IF(NOT(ISNUMBER('종합 현황'!$H$5)),"관찰기준 확인",IF('종합 현황'!$H$5&lt;1,"관찰기준 확인",IF(N2323&gt;'종합 현황'!$H$5,"내부 관찰 대상","내부 관찰일 이하")))))</x:f>
        <x:v>대상 아님</x:v>
      </x:c>
      <x:c r="AB2323" s="2"/>
    </x:row>
    <x:row r="2324" ht="42" customHeight="1">
      <x:c r="A2324" s="2" t="str">
        <x:v>57d6990fe2d962f3c3468596</x:v>
      </x:c>
      <x:c r="B2324" s="2" t="str">
        <x:v>감축량 인증</x:v>
      </x:c>
      <x:c r="C2324" s="2" t="str">
        <x:v>국내</x:v>
      </x:c>
      <x:c r="D2324" s="7" t="str">
        <x:v>대전 판암 주공 4단지 아파트 연료전화을 통한 온실가스 단위감축사업</x:v>
      </x:c>
      <x:c r="E2324" s="2" t="str">
        <x:v>564</x:v>
      </x:c>
      <x:c r="F2324" s="2" t="str">
        <x:v>2023-08-04</x:v>
      </x:c>
      <x:c r="G2324" s="2" t="str">
        <x:v>2023</x:v>
      </x:c>
      <x:c r="H2324" s="2" t="str">
        <x:v>08</x:v>
      </x:c>
      <x:c r="I2324" s="2" t="str">
        <x:v>심의승인</x:v>
      </x:c>
      <x:c r="J2324" s="2" t="str">
        <x:v>심의승인</x:v>
      </x:c>
      <x:c r="K2324" s="2" t="str">
        <x:f>IF(OR(J2324="심의승인",J2324="반려",J2324="반려완료",J2324="심의완료"),"종결 표시",IF(OR(J2324="기후부협의",J2324="문서재제출요청",J2324="보류",J2324="보완요청",J2324="보완완료",J2324="평가중",J2324="반려요청",J2324="평가필요",LEFT(J2324,5)="보완요청("),"미종결 표시","상태 확인 필요"))</x:f>
        <x:v>종결 표시</x:v>
      </x:c>
      <x:c r="L2324" s="2" t="str">
        <x:v>에코시안_조영우</x:v>
      </x:c>
      <x:c r="M2324" s="2"/>
      <x:c r="N2324" s="8" t="n">
        <x:f>DATE(2026,10,15)-DATE(2023,8,4)</x:f>
        <x:v>1168</x:v>
      </x:c>
      <x:c r="O2324" s="2"/>
      <x:c r="P2324" s="2"/>
      <x:c r="Q2324" s="2" t="str">
        <x:v>산업전환_외부사업관리Tool_260707_이너젠 수정_LJY_261013.xlsx</x:v>
      </x:c>
      <x:c r="R2324" s="2" t="str">
        <x:v>국내인증</x:v>
      </x:c>
      <x:c r="S2324" s="8" t="n">
        <x:v>642</x:v>
      </x:c>
      <x:c r="T2324" s="2" t="str">
        <x:v>(8/7)</x:v>
      </x:c>
      <x:c r="U2324" s="2" t="str">
        <x:v>2023 배정: (8/7) / 2024 배정: (4/29),(5/20)</x:v>
      </x:c>
      <x:c r="V2324" s="2" t="str">
        <x:v>2024-09-20</x:v>
      </x:c>
      <x:c r="W2324" s="2" t="str"/>
      <x:c r="X2324" s="2" t="str">
        <x:v>종결 근거 보관</x:v>
      </x:c>
      <x:c r="Y2324" s="2" t="str">
        <x:v>ad210cd9ec132cfd447541c8984dc53d30aff0f4fb2dc92d254d49275cc55976</x:v>
      </x:c>
      <x:c r="Z2324" s="2" t="n">
        <x:f>SUBTOTAL(103,A2324)</x:f>
        <x:v>1</x:v>
      </x:c>
      <x:c r="AA2324" s="2" t="str">
        <x:f>IF(K2324&lt;&gt;"미종결 표시","대상 아님",IF(N2324="","신청일 확인",IF(NOT(ISNUMBER('종합 현황'!$H$5)),"관찰기준 확인",IF('종합 현황'!$H$5&lt;1,"관찰기준 확인",IF(N2324&gt;'종합 현황'!$H$5,"내부 관찰 대상","내부 관찰일 이하")))))</x:f>
        <x:v>대상 아님</x:v>
      </x:c>
      <x:c r="AB2324" s="2"/>
    </x:row>
    <x:row r="2325" ht="42" customHeight="1">
      <x:c r="A2325" s="2" t="str">
        <x:v>4f5078af5f4367a973ae7e12</x:v>
      </x:c>
      <x:c r="B2325" s="2" t="str">
        <x:v>감축량 인증</x:v>
      </x:c>
      <x:c r="C2325" s="2" t="str">
        <x:v>국내</x:v>
      </x:c>
      <x:c r="D2325" s="7" t="str">
        <x:v>덕성 인천사업장의 B-A유 및 B-C유에서 LNG로 연료전환을 통한 온실가스 배출 감축사업</x:v>
      </x:c>
      <x:c r="E2325" s="2" t="str">
        <x:v>565</x:v>
      </x:c>
      <x:c r="F2325" s="2" t="str">
        <x:v>2023-09-25</x:v>
      </x:c>
      <x:c r="G2325" s="2" t="str">
        <x:v>2023</x:v>
      </x:c>
      <x:c r="H2325" s="2" t="str">
        <x:v>09</x:v>
      </x:c>
      <x:c r="I2325" s="2" t="str">
        <x:v>심의승인</x:v>
      </x:c>
      <x:c r="J2325" s="2" t="str">
        <x:v>심의승인</x:v>
      </x:c>
      <x:c r="K2325" s="2" t="str">
        <x:f>IF(OR(J2325="심의승인",J2325="반려",J2325="반려완료",J2325="심의완료"),"종결 표시",IF(OR(J2325="기후부협의",J2325="문서재제출요청",J2325="보류",J2325="보완요청",J2325="보완완료",J2325="평가중",J2325="반려요청",J2325="평가필요",LEFT(J2325,5)="보완요청("),"미종결 표시","상태 확인 필요"))</x:f>
        <x:v>종결 표시</x:v>
      </x:c>
      <x:c r="L2325" s="2" t="str">
        <x:v>에코시안_조영우</x:v>
      </x:c>
      <x:c r="M2325" s="2"/>
      <x:c r="N2325" s="8" t="n">
        <x:f>DATE(2026,10,15)-DATE(2023,9,25)</x:f>
        <x:v>1116</x:v>
      </x:c>
      <x:c r="O2325" s="2"/>
      <x:c r="P2325" s="2"/>
      <x:c r="Q2325" s="2" t="str">
        <x:v>산업전환_외부사업관리Tool_260707_이너젠 수정_LJY_261013.xlsx</x:v>
      </x:c>
      <x:c r="R2325" s="2" t="str">
        <x:v>국내인증</x:v>
      </x:c>
      <x:c r="S2325" s="8" t="n">
        <x:v>643</x:v>
      </x:c>
      <x:c r="T2325" s="2" t="str">
        <x:v>(6/27),(8/7)</x:v>
      </x:c>
      <x:c r="U2325" s="2" t="str">
        <x:v>2021 배정: (6/27),(8/7) / 2023 배정: (10/6) / 2024 배정: (2/5)</x:v>
      </x:c>
      <x:c r="V2325" s="2" t="str">
        <x:v>2024-06-27</x:v>
      </x:c>
      <x:c r="W2325" s="2" t="str"/>
      <x:c r="X2325" s="2" t="str">
        <x:v>종결 근거 보관</x:v>
      </x:c>
      <x:c r="Y2325" s="2" t="str">
        <x:v>ad210cd9ec132cfd447541c8984dc53d30aff0f4fb2dc92d254d49275cc55976</x:v>
      </x:c>
      <x:c r="Z2325" s="2" t="n">
        <x:f>SUBTOTAL(103,A2325)</x:f>
        <x:v>1</x:v>
      </x:c>
      <x:c r="AA2325" s="2" t="str">
        <x:f>IF(K2325&lt;&gt;"미종결 표시","대상 아님",IF(N2325="","신청일 확인",IF(NOT(ISNUMBER('종합 현황'!$H$5)),"관찰기준 확인",IF('종합 현황'!$H$5&lt;1,"관찰기준 확인",IF(N2325&gt;'종합 현황'!$H$5,"내부 관찰 대상","내부 관찰일 이하")))))</x:f>
        <x:v>대상 아님</x:v>
      </x:c>
      <x:c r="AB2325" s="2"/>
    </x:row>
    <x:row r="2326" ht="42" customHeight="1">
      <x:c r="A2326" s="2" t="str">
        <x:v>e3f85987f36fe3e241233d37</x:v>
      </x:c>
      <x:c r="B2326" s="2" t="str">
        <x:v>감축량 인증</x:v>
      </x:c>
      <x:c r="C2326" s="2" t="str">
        <x:v>국내</x:v>
      </x:c>
      <x:c r="D2326" s="7" t="str">
        <x:v>카프로 N2O 저감 사업</x:v>
      </x:c>
      <x:c r="E2326" s="2" t="str">
        <x:v>566</x:v>
      </x:c>
      <x:c r="F2326" s="2" t="str">
        <x:v>2023-10-10</x:v>
      </x:c>
      <x:c r="G2326" s="2" t="str">
        <x:v>2023</x:v>
      </x:c>
      <x:c r="H2326" s="2" t="str">
        <x:v>10</x:v>
      </x:c>
      <x:c r="I2326" s="2" t="str">
        <x:v>검토반려</x:v>
      </x:c>
      <x:c r="J2326" s="2" t="str">
        <x:v>반려</x:v>
      </x:c>
      <x:c r="K2326" s="2" t="str">
        <x:f>IF(OR(J2326="심의승인",J2326="반려",J2326="반려완료",J2326="심의완료"),"종결 표시",IF(OR(J2326="기후부협의",J2326="문서재제출요청",J2326="보류",J2326="보완요청",J2326="보완완료",J2326="평가중",J2326="반려요청",J2326="평가필요",LEFT(J2326,5)="보완요청("),"미종결 표시","상태 확인 필요"))</x:f>
        <x:v>종결 표시</x:v>
      </x:c>
      <x:c r="L2326" s="2" t="str">
        <x:v>에코시안_박세은</x:v>
      </x:c>
      <x:c r="M2326" s="2"/>
      <x:c r="N2326" s="8" t="n">
        <x:f>DATE(2026,10,15)-DATE(2023,10,10)</x:f>
        <x:v>1101</x:v>
      </x:c>
      <x:c r="O2326" s="2"/>
      <x:c r="P2326" s="2" t="str">
        <x:v>사업자 반려 공문 제출 완료</x:v>
      </x:c>
      <x:c r="Q2326" s="2" t="str">
        <x:v>산업전환_외부사업관리Tool_260707_이너젠 수정_LJY_261013.xlsx</x:v>
      </x:c>
      <x:c r="R2326" s="2" t="str">
        <x:v>국내인증</x:v>
      </x:c>
      <x:c r="S2326" s="8" t="n">
        <x:v>644</x:v>
      </x:c>
      <x:c r="T2326" s="2" t="str">
        <x:v>(10/27)</x:v>
      </x:c>
      <x:c r="U2326" s="2" t="str">
        <x:v>2023 배정: (10/27)</x:v>
      </x:c>
      <x:c r="V2326" s="2" t="str">
        <x:v>2024-02-13</x:v>
      </x:c>
      <x:c r="W2326" s="2" t="str"/>
      <x:c r="X2326" s="2" t="str">
        <x:v>종결 근거 보관</x:v>
      </x:c>
      <x:c r="Y2326" s="2" t="str">
        <x:v>ad210cd9ec132cfd447541c8984dc53d30aff0f4fb2dc92d254d49275cc55976</x:v>
      </x:c>
      <x:c r="Z2326" s="2" t="n">
        <x:f>SUBTOTAL(103,A2326)</x:f>
        <x:v>1</x:v>
      </x:c>
      <x:c r="AA2326" s="2" t="str">
        <x:f>IF(K2326&lt;&gt;"미종결 표시","대상 아님",IF(N2326="","신청일 확인",IF(NOT(ISNUMBER('종합 현황'!$H$5)),"관찰기준 확인",IF('종합 현황'!$H$5&lt;1,"관찰기준 확인",IF(N2326&gt;'종합 현황'!$H$5,"내부 관찰 대상","내부 관찰일 이하")))))</x:f>
        <x:v>대상 아님</x:v>
      </x:c>
      <x:c r="AB2326" s="2"/>
    </x:row>
    <x:row r="2327" ht="42" customHeight="1">
      <x:c r="A2327" s="2" t="str">
        <x:v>7252b84469f2669c2416004b</x:v>
      </x:c>
      <x:c r="B2327" s="2" t="str">
        <x:v>감축량 인증</x:v>
      </x:c>
      <x:c r="C2327" s="2" t="str">
        <x:v>국내</x:v>
      </x:c>
      <x:c r="D2327" s="7" t="str">
        <x:v>황산공정 미활용 폐열 회수 및 공급을 통한 화석연료 사용 절감 및 온실가스 배출 감축사업</x:v>
      </x:c>
      <x:c r="E2327" s="2" t="str">
        <x:v>567</x:v>
      </x:c>
      <x:c r="F2327" s="2" t="str">
        <x:v>2023-11-06</x:v>
      </x:c>
      <x:c r="G2327" s="2" t="str">
        <x:v>2023</x:v>
      </x:c>
      <x:c r="H2327" s="2" t="str">
        <x:v>11</x:v>
      </x:c>
      <x:c r="I2327" s="2" t="str">
        <x:v>보완요청</x:v>
      </x:c>
      <x:c r="J2327" s="2" t="str">
        <x:v>보완요청</x:v>
      </x:c>
      <x:c r="K2327" s="2" t="str">
        <x:f>IF(OR(J2327="심의승인",J2327="반려",J2327="반려완료",J2327="심의완료"),"종결 표시",IF(OR(J2327="기후부협의",J2327="문서재제출요청",J2327="보류",J2327="보완요청",J2327="보완완료",J2327="평가중",J2327="반려요청",J2327="평가필요",LEFT(J2327,5)="보완요청("),"미종결 표시","상태 확인 필요"))</x:f>
        <x:v>미종결 표시</x:v>
      </x:c>
      <x:c r="L2327" s="2" t="str">
        <x:v>KECM_이태준</x:v>
      </x:c>
      <x:c r="M2327" s="2"/>
      <x:c r="N2327" s="8" t="n">
        <x:f>DATE(2026,10,15)-DATE(2023,11,6)</x:f>
        <x:v>1074</x:v>
      </x:c>
      <x:c r="O2327" s="2"/>
      <x:c r="P2327" s="2"/>
      <x:c r="Q2327" s="2" t="str">
        <x:v>산업전환_외부사업관리Tool_260707_이너젠 수정_LJY_261013.xlsx</x:v>
      </x:c>
      <x:c r="R2327" s="2" t="str">
        <x:v>국내인증</x:v>
      </x:c>
      <x:c r="S2327" s="8" t="n">
        <x:v>645</x:v>
      </x:c>
      <x:c r="T2327" s="2" t="str">
        <x:v>(11/17)</x:v>
      </x:c>
      <x:c r="U2327" s="2" t="str">
        <x:v>2023 배정: (11/17) / 2024 배정: (2/5),(4/29)</x:v>
      </x:c>
      <x:c r="V2327" s="2" t="str">
        <x:v>2024-05-30</x:v>
      </x:c>
      <x:c r="W2327" s="2" t="str"/>
      <x:c r="X2327" s="2" t="str">
        <x:v>보완 회신 일정 확인</x:v>
      </x:c>
      <x:c r="Y2327" s="2" t="str">
        <x:v>ad210cd9ec132cfd447541c8984dc53d30aff0f4fb2dc92d254d49275cc55976</x:v>
      </x:c>
      <x:c r="Z2327" s="2" t="n">
        <x:f>SUBTOTAL(103,A2327)</x:f>
        <x:v>1</x:v>
      </x:c>
      <x:c r="AA2327" s="2" t="str">
        <x:f>IF(K2327&lt;&gt;"미종결 표시","대상 아님",IF(N2327="","신청일 확인",IF(NOT(ISNUMBER('종합 현황'!$H$5)),"관찰기준 확인",IF('종합 현황'!$H$5&lt;1,"관찰기준 확인",IF(N2327&gt;'종합 현황'!$H$5,"내부 관찰 대상","내부 관찰일 이하")))))</x:f>
        <x:v>내부 관찰 대상</x:v>
      </x:c>
      <x:c r="AB2327" s="2"/>
    </x:row>
    <x:row r="2328" ht="42" customHeight="1">
      <x:c r="A2328" s="2" t="str">
        <x:v>bcee9103e017c32e1d073b1b</x:v>
      </x:c>
      <x:c r="B2328" s="2" t="str">
        <x:v>감축량 인증</x:v>
      </x:c>
      <x:c r="C2328" s="2" t="str">
        <x:v>국내</x:v>
      </x:c>
      <x:c r="D2328" s="7" t="str">
        <x:v>휴켐스(주) 신설 5질산에서 발생하는 아산화질소 배출량 저감사업</x:v>
      </x:c>
      <x:c r="E2328" s="2" t="str">
        <x:v>568</x:v>
      </x:c>
      <x:c r="F2328" s="2" t="str">
        <x:v>2023-12-27</x:v>
      </x:c>
      <x:c r="G2328" s="2" t="str">
        <x:v>2023</x:v>
      </x:c>
      <x:c r="H2328" s="2" t="str">
        <x:v>12</x:v>
      </x:c>
      <x:c r="I2328" s="2" t="str">
        <x:v>심의승인</x:v>
      </x:c>
      <x:c r="J2328" s="2" t="str">
        <x:v>심의승인</x:v>
      </x:c>
      <x:c r="K2328" s="2" t="str">
        <x:f>IF(OR(J2328="심의승인",J2328="반려",J2328="반려완료",J2328="심의완료"),"종결 표시",IF(OR(J2328="기후부협의",J2328="문서재제출요청",J2328="보류",J2328="보완요청",J2328="보완완료",J2328="평가중",J2328="반려요청",J2328="평가필요",LEFT(J2328,5)="보완요청("),"미종결 표시","상태 확인 필요"))</x:f>
        <x:v>종결 표시</x:v>
      </x:c>
      <x:c r="L2328" s="2" t="str">
        <x:v>KECM_이태준</x:v>
      </x:c>
      <x:c r="M2328" s="2"/>
      <x:c r="N2328" s="8" t="n">
        <x:f>DATE(2026,10,15)-DATE(2023,12,27)</x:f>
        <x:v>1023</x:v>
      </x:c>
      <x:c r="O2328" s="2"/>
      <x:c r="P2328" s="2"/>
      <x:c r="Q2328" s="2" t="str">
        <x:v>산업전환_외부사업관리Tool_260707_이너젠 수정_LJY_261013.xlsx</x:v>
      </x:c>
      <x:c r="R2328" s="2" t="str">
        <x:v>국내인증</x:v>
      </x:c>
      <x:c r="S2328" s="8" t="n">
        <x:v>646</x:v>
      </x:c>
      <x:c r="T2328" s="2" t="str">
        <x:v>(1/12),(4/29)</x:v>
      </x:c>
      <x:c r="U2328" s="2" t="str">
        <x:v>2024 배정: (1/12),(4/29)</x:v>
      </x:c>
      <x:c r="V2328" s="2" t="str">
        <x:v>2024-06-27</x:v>
      </x:c>
      <x:c r="W2328" s="2" t="str"/>
      <x:c r="X2328" s="2" t="str">
        <x:v>종결 근거 보관</x:v>
      </x:c>
      <x:c r="Y2328" s="2" t="str">
        <x:v>ad210cd9ec132cfd447541c8984dc53d30aff0f4fb2dc92d254d49275cc55976</x:v>
      </x:c>
      <x:c r="Z2328" s="2" t="n">
        <x:f>SUBTOTAL(103,A2328)</x:f>
        <x:v>1</x:v>
      </x:c>
      <x:c r="AA2328" s="2" t="str">
        <x:f>IF(K2328&lt;&gt;"미종결 표시","대상 아님",IF(N2328="","신청일 확인",IF(NOT(ISNUMBER('종합 현황'!$H$5)),"관찰기준 확인",IF('종합 현황'!$H$5&lt;1,"관찰기준 확인",IF(N2328&gt;'종합 현황'!$H$5,"내부 관찰 대상","내부 관찰일 이하")))))</x:f>
        <x:v>대상 아님</x:v>
      </x:c>
      <x:c r="AB2328" s="2"/>
    </x:row>
    <x:row r="2329" ht="42" customHeight="1">
      <x:c r="A2329" s="2" t="str">
        <x:v>93b979f485bdd33e4dbac8ca</x:v>
      </x:c>
      <x:c r="B2329" s="2" t="str">
        <x:v>감축량 인증</x:v>
      </x:c>
      <x:c r="C2329" s="2" t="str">
        <x:v>국내</x:v>
      </x:c>
      <x:c r="D2329" s="7" t="str">
        <x:v>우성TC의 보일러 연료전환(B-C유→ LNG)을 통한 온실가스(CO2) 배출 감축사업</x:v>
      </x:c>
      <x:c r="E2329" s="2" t="str">
        <x:v>569</x:v>
      </x:c>
      <x:c r="F2329" s="2" t="str">
        <x:v>2023-12-27</x:v>
      </x:c>
      <x:c r="G2329" s="2" t="str">
        <x:v>2023</x:v>
      </x:c>
      <x:c r="H2329" s="2" t="str">
        <x:v>12</x:v>
      </x:c>
      <x:c r="I2329" s="2" t="str">
        <x:v>심의승인</x:v>
      </x:c>
      <x:c r="J2329" s="2" t="str">
        <x:v>심의승인</x:v>
      </x:c>
      <x:c r="K2329" s="2" t="str">
        <x:f>IF(OR(J2329="심의승인",J2329="반려",J2329="반려완료",J2329="심의완료"),"종결 표시",IF(OR(J2329="기후부협의",J2329="문서재제출요청",J2329="보류",J2329="보완요청",J2329="보완완료",J2329="평가중",J2329="반려요청",J2329="평가필요",LEFT(J2329,5)="보완요청("),"미종결 표시","상태 확인 필요"))</x:f>
        <x:v>종결 표시</x:v>
      </x:c>
      <x:c r="L2329" s="2" t="str">
        <x:v>KECM_이지연</x:v>
      </x:c>
      <x:c r="M2329" s="2"/>
      <x:c r="N2329" s="8" t="n">
        <x:f>DATE(2026,10,15)-DATE(2023,12,27)</x:f>
        <x:v>1023</x:v>
      </x:c>
      <x:c r="O2329" s="2"/>
      <x:c r="P2329" s="2"/>
      <x:c r="Q2329" s="2" t="str">
        <x:v>산업전환_외부사업관리Tool_260707_이너젠 수정_LJY_261013.xlsx</x:v>
      </x:c>
      <x:c r="R2329" s="2" t="str">
        <x:v>국내인증</x:v>
      </x:c>
      <x:c r="S2329" s="8" t="n">
        <x:v>647</x:v>
      </x:c>
      <x:c r="T2329" s="2" t="str">
        <x:v>(1/12),(4/29),(7/1)</x:v>
      </x:c>
      <x:c r="U2329" s="2" t="str">
        <x:v>2024 배정: (1/12),(4/29),(7/1)</x:v>
      </x:c>
      <x:c r="V2329" s="2" t="str">
        <x:v>2024-12-18</x:v>
      </x:c>
      <x:c r="W2329" s="2" t="str"/>
      <x:c r="X2329" s="2" t="str">
        <x:v>종결 근거 보관</x:v>
      </x:c>
      <x:c r="Y2329" s="2" t="str">
        <x:v>ad210cd9ec132cfd447541c8984dc53d30aff0f4fb2dc92d254d49275cc55976</x:v>
      </x:c>
      <x:c r="Z2329" s="2" t="n">
        <x:f>SUBTOTAL(103,A2329)</x:f>
        <x:v>1</x:v>
      </x:c>
      <x:c r="AA2329" s="2" t="str">
        <x:f>IF(K2329&lt;&gt;"미종결 표시","대상 아님",IF(N2329="","신청일 확인",IF(NOT(ISNUMBER('종합 현황'!$H$5)),"관찰기준 확인",IF('종합 현황'!$H$5&lt;1,"관찰기준 확인",IF(N2329&gt;'종합 현황'!$H$5,"내부 관찰 대상","내부 관찰일 이하")))))</x:f>
        <x:v>대상 아님</x:v>
      </x:c>
      <x:c r="AB2329" s="2"/>
    </x:row>
    <x:row r="2330" ht="42" customHeight="1">
      <x:c r="A2330" s="2" t="str">
        <x:v>65e971f00508b001a5ae8ae3</x:v>
      </x:c>
      <x:c r="B2330" s="2" t="str">
        <x:v>감축량 인증</x:v>
      </x:c>
      <x:c r="C2330" s="2" t="str">
        <x:v>국내</x:v>
      </x:c>
      <x:c r="D2330" s="7" t="str">
        <x:v>에이스침대 중부공장의 B-C유에서 도시가스(LNG)로 연료전환을 통한 온실가스 배출 감축사업</x:v>
      </x:c>
      <x:c r="E2330" s="2" t="str">
        <x:v>570</x:v>
      </x:c>
      <x:c r="F2330" s="2" t="str">
        <x:v>2024-01-12</x:v>
      </x:c>
      <x:c r="G2330" s="2" t="str">
        <x:v>2024</x:v>
      </x:c>
      <x:c r="H2330" s="2" t="str">
        <x:v>01</x:v>
      </x:c>
      <x:c r="I2330" s="2" t="str">
        <x:v>심의승인</x:v>
      </x:c>
      <x:c r="J2330" s="2" t="str">
        <x:v>심의승인</x:v>
      </x:c>
      <x:c r="K2330" s="2" t="str">
        <x:f>IF(OR(J2330="심의승인",J2330="반려",J2330="반려완료",J2330="심의완료"),"종결 표시",IF(OR(J2330="기후부협의",J2330="문서재제출요청",J2330="보류",J2330="보완요청",J2330="보완완료",J2330="평가중",J2330="반려요청",J2330="평가필요",LEFT(J2330,5)="보완요청("),"미종결 표시","상태 확인 필요"))</x:f>
        <x:v>종결 표시</x:v>
      </x:c>
      <x:c r="L2330" s="2" t="str">
        <x:v>에코시안_조은지</x:v>
      </x:c>
      <x:c r="M2330" s="2"/>
      <x:c r="N2330" s="8" t="n">
        <x:f>DATE(2026,10,15)-DATE(2024,1,12)</x:f>
        <x:v>1007</x:v>
      </x:c>
      <x:c r="O2330" s="2"/>
      <x:c r="P2330" s="2"/>
      <x:c r="Q2330" s="2" t="str">
        <x:v>산업전환_외부사업관리Tool_260707_이너젠 수정_LJY_261013.xlsx</x:v>
      </x:c>
      <x:c r="R2330" s="2" t="str">
        <x:v>국내인증</x:v>
      </x:c>
      <x:c r="S2330" s="8" t="n">
        <x:v>648</x:v>
      </x:c>
      <x:c r="T2330" s="2" t="str">
        <x:v>(2/5),(4/29)</x:v>
      </x:c>
      <x:c r="U2330" s="2" t="str">
        <x:v>2024 배정: (2/5),(4/29)</x:v>
      </x:c>
      <x:c r="V2330" s="2" t="str">
        <x:v>2024-09-20</x:v>
      </x:c>
      <x:c r="W2330" s="2" t="str"/>
      <x:c r="X2330" s="2" t="str">
        <x:v>종결 근거 보관</x:v>
      </x:c>
      <x:c r="Y2330" s="2" t="str">
        <x:v>ad210cd9ec132cfd447541c8984dc53d30aff0f4fb2dc92d254d49275cc55976</x:v>
      </x:c>
      <x:c r="Z2330" s="2" t="n">
        <x:f>SUBTOTAL(103,A2330)</x:f>
        <x:v>1</x:v>
      </x:c>
      <x:c r="AA2330" s="2" t="str">
        <x:f>IF(K2330&lt;&gt;"미종결 표시","대상 아님",IF(N2330="","신청일 확인",IF(NOT(ISNUMBER('종합 현황'!$H$5)),"관찰기준 확인",IF('종합 현황'!$H$5&lt;1,"관찰기준 확인",IF(N2330&gt;'종합 현황'!$H$5,"내부 관찰 대상","내부 관찰일 이하")))))</x:f>
        <x:v>대상 아님</x:v>
      </x:c>
      <x:c r="AB2330" s="2"/>
    </x:row>
    <x:row r="2331" ht="42" customHeight="1">
      <x:c r="A2331" s="2" t="str">
        <x:v>83c89afbb77ec120af4ee619</x:v>
      </x:c>
      <x:c r="B2331" s="2" t="str">
        <x:v>감축량 인증</x:v>
      </x:c>
      <x:c r="C2331" s="2" t="str">
        <x:v>국내</x:v>
      </x:c>
      <x:c r="D2331" s="7" t="str">
        <x:v>공동주택 태양광 발전사업 2011-LH-001-01457</x:v>
      </x:c>
      <x:c r="E2331" s="2" t="str">
        <x:v>571</x:v>
      </x:c>
      <x:c r="F2331" s="2" t="str">
        <x:v>2024-03-13</x:v>
      </x:c>
      <x:c r="G2331" s="2" t="str">
        <x:v>2024</x:v>
      </x:c>
      <x:c r="H2331" s="2" t="str">
        <x:v>03</x:v>
      </x:c>
      <x:c r="I2331" s="2" t="str">
        <x:v>심의승인</x:v>
      </x:c>
      <x:c r="J2331" s="2" t="str">
        <x:v>심의승인</x:v>
      </x:c>
      <x:c r="K2331" s="2" t="str">
        <x:f>IF(OR(J2331="심의승인",J2331="반려",J2331="반려완료",J2331="심의완료"),"종결 표시",IF(OR(J2331="기후부협의",J2331="문서재제출요청",J2331="보류",J2331="보완요청",J2331="보완완료",J2331="평가중",J2331="반려요청",J2331="평가필요",LEFT(J2331,5)="보완요청("),"미종결 표시","상태 확인 필요"))</x:f>
        <x:v>종결 표시</x:v>
      </x:c>
      <x:c r="L2331" s="2" t="str">
        <x:v>KECM_이지연</x:v>
      </x:c>
      <x:c r="M2331" s="2"/>
      <x:c r="N2331" s="8" t="n">
        <x:f>DATE(2026,10,15)-DATE(2024,3,13)</x:f>
        <x:v>946</x:v>
      </x:c>
      <x:c r="O2331" s="2"/>
      <x:c r="P2331" s="2"/>
      <x:c r="Q2331" s="2" t="str">
        <x:v>산업전환_외부사업관리Tool_260707_이너젠 수정_LJY_261013.xlsx</x:v>
      </x:c>
      <x:c r="R2331" s="2" t="str">
        <x:v>국내인증</x:v>
      </x:c>
      <x:c r="S2331" s="8" t="n">
        <x:v>649</x:v>
      </x:c>
      <x:c r="T2331" s="2" t="str">
        <x:v>(3/18)</x:v>
      </x:c>
      <x:c r="U2331" s="2" t="str">
        <x:v>2024 배정: (3/18)</x:v>
      </x:c>
      <x:c r="V2331" s="2" t="str">
        <x:v>2024-06-27</x:v>
      </x:c>
      <x:c r="W2331" s="2" t="str"/>
      <x:c r="X2331" s="2" t="str">
        <x:v>종결 근거 보관</x:v>
      </x:c>
      <x:c r="Y2331" s="2" t="str">
        <x:v>ad210cd9ec132cfd447541c8984dc53d30aff0f4fb2dc92d254d49275cc55976</x:v>
      </x:c>
      <x:c r="Z2331" s="2" t="n">
        <x:f>SUBTOTAL(103,A2331)</x:f>
        <x:v>1</x:v>
      </x:c>
      <x:c r="AA2331" s="2" t="str">
        <x:f>IF(K2331&lt;&gt;"미종결 표시","대상 아님",IF(N2331="","신청일 확인",IF(NOT(ISNUMBER('종합 현황'!$H$5)),"관찰기준 확인",IF('종합 현황'!$H$5&lt;1,"관찰기준 확인",IF(N2331&gt;'종합 현황'!$H$5,"내부 관찰 대상","내부 관찰일 이하")))))</x:f>
        <x:v>대상 아님</x:v>
      </x:c>
      <x:c r="AB2331" s="2"/>
    </x:row>
    <x:row r="2332" ht="42" customHeight="1">
      <x:c r="A2332" s="2" t="str">
        <x:v>1a94bbf4983e598e33d77730</x:v>
      </x:c>
      <x:c r="B2332" s="2" t="str">
        <x:v>감축량 인증</x:v>
      </x:c>
      <x:c r="C2332" s="2" t="str">
        <x:v>국내</x:v>
      </x:c>
      <x:c r="D2332" s="7" t="str">
        <x:v>공동주택 태양광 발전사업 2019-LH-001-02396</x:v>
      </x:c>
      <x:c r="E2332" s="2" t="str">
        <x:v>572</x:v>
      </x:c>
      <x:c r="F2332" s="2" t="str">
        <x:v>2024-03-20</x:v>
      </x:c>
      <x:c r="G2332" s="2" t="str">
        <x:v>2024</x:v>
      </x:c>
      <x:c r="H2332" s="2" t="str">
        <x:v>03</x:v>
      </x:c>
      <x:c r="I2332" s="2" t="str">
        <x:v>심의승인</x:v>
      </x:c>
      <x:c r="J2332" s="2" t="str">
        <x:v>심의승인</x:v>
      </x:c>
      <x:c r="K2332" s="2" t="str">
        <x:f>IF(OR(J2332="심의승인",J2332="반려",J2332="반려완료",J2332="심의완료"),"종결 표시",IF(OR(J2332="기후부협의",J2332="문서재제출요청",J2332="보류",J2332="보완요청",J2332="보완완료",J2332="평가중",J2332="반려요청",J2332="평가필요",LEFT(J2332,5)="보완요청("),"미종결 표시","상태 확인 필요"))</x:f>
        <x:v>종결 표시</x:v>
      </x:c>
      <x:c r="L2332" s="2" t="str">
        <x:v>리저브카본_이주송</x:v>
      </x:c>
      <x:c r="M2332" s="2"/>
      <x:c r="N2332" s="8" t="n">
        <x:f>DATE(2026,10,15)-DATE(2024,3,20)</x:f>
        <x:v>939</x:v>
      </x:c>
      <x:c r="O2332" s="2"/>
      <x:c r="P2332" s="2"/>
      <x:c r="Q2332" s="2" t="str">
        <x:v>산업전환_외부사업관리Tool_260707_이너젠 수정_LJY_261013.xlsx</x:v>
      </x:c>
      <x:c r="R2332" s="2" t="str">
        <x:v>국내인증</x:v>
      </x:c>
      <x:c r="S2332" s="8" t="n">
        <x:v>650</x:v>
      </x:c>
      <x:c r="T2332" s="2" t="str">
        <x:v>(4/8)</x:v>
      </x:c>
      <x:c r="U2332" s="2" t="str">
        <x:v>2024 배정: (4/8)</x:v>
      </x:c>
      <x:c r="V2332" s="2" t="str">
        <x:v>2024-06-27</x:v>
      </x:c>
      <x:c r="W2332" s="2" t="str"/>
      <x:c r="X2332" s="2" t="str">
        <x:v>종결 근거 보관</x:v>
      </x:c>
      <x:c r="Y2332" s="2" t="str">
        <x:v>ad210cd9ec132cfd447541c8984dc53d30aff0f4fb2dc92d254d49275cc55976</x:v>
      </x:c>
      <x:c r="Z2332" s="2" t="n">
        <x:f>SUBTOTAL(103,A2332)</x:f>
        <x:v>1</x:v>
      </x:c>
      <x:c r="AA2332" s="2" t="str">
        <x:f>IF(K2332&lt;&gt;"미종결 표시","대상 아님",IF(N2332="","신청일 확인",IF(NOT(ISNUMBER('종합 현황'!$H$5)),"관찰기준 확인",IF('종합 현황'!$H$5&lt;1,"관찰기준 확인",IF(N2332&gt;'종합 현황'!$H$5,"내부 관찰 대상","내부 관찰일 이하")))))</x:f>
        <x:v>대상 아님</x:v>
      </x:c>
      <x:c r="AB2332" s="2"/>
    </x:row>
    <x:row r="2333" ht="42" customHeight="1">
      <x:c r="A2333" s="2" t="str">
        <x:v>a810c81bddac700a1b1c01d6</x:v>
      </x:c>
      <x:c r="B2333" s="2" t="str">
        <x:v>감축량 인증</x:v>
      </x:c>
      <x:c r="C2333" s="2" t="str">
        <x:v>국내</x:v>
      </x:c>
      <x:c r="D2333" s="7" t="str">
        <x:v>진주 가좌1단지아파트 연료전환을 통한 온실가스 단위감축사업</x:v>
      </x:c>
      <x:c r="E2333" s="2" t="str">
        <x:v>573</x:v>
      </x:c>
      <x:c r="F2333" s="2" t="str">
        <x:v>2024-05-13</x:v>
      </x:c>
      <x:c r="G2333" s="2" t="str">
        <x:v>2024</x:v>
      </x:c>
      <x:c r="H2333" s="2" t="str">
        <x:v>05</x:v>
      </x:c>
      <x:c r="I2333" s="2" t="str">
        <x:v>심의승인</x:v>
      </x:c>
      <x:c r="J2333" s="2" t="str">
        <x:v>심의승인</x:v>
      </x:c>
      <x:c r="K2333" s="2" t="str">
        <x:f>IF(OR(J2333="심의승인",J2333="반려",J2333="반려완료",J2333="심의완료"),"종결 표시",IF(OR(J2333="기후부협의",J2333="문서재제출요청",J2333="보류",J2333="보완요청",J2333="보완완료",J2333="평가중",J2333="반려요청",J2333="평가필요",LEFT(J2333,5)="보완요청("),"미종결 표시","상태 확인 필요"))</x:f>
        <x:v>종결 표시</x:v>
      </x:c>
      <x:c r="L2333" s="2" t="str">
        <x:v>리저브카본</x:v>
      </x:c>
      <x:c r="M2333" s="2"/>
      <x:c r="N2333" s="8" t="n">
        <x:f>DATE(2026,10,15)-DATE(2024,5,13)</x:f>
        <x:v>885</x:v>
      </x:c>
      <x:c r="O2333" s="2"/>
      <x:c r="P2333" s="2"/>
      <x:c r="Q2333" s="2" t="str">
        <x:v>산업전환_외부사업관리Tool_260707_이너젠 수정_LJY_261013.xlsx</x:v>
      </x:c>
      <x:c r="R2333" s="2" t="str">
        <x:v>국내인증</x:v>
      </x:c>
      <x:c r="S2333" s="8" t="n">
        <x:v>651</x:v>
      </x:c>
      <x:c r="T2333" s="2" t="str">
        <x:v>(5/20),(7/23)</x:v>
      </x:c>
      <x:c r="U2333" s="2" t="str">
        <x:v>2024 배정: (5/20),(7/23)</x:v>
      </x:c>
      <x:c r="V2333" s="2" t="str">
        <x:v>2024-12-18</x:v>
      </x:c>
      <x:c r="W2333" s="2" t="str"/>
      <x:c r="X2333" s="2" t="str">
        <x:v>종결 근거 보관</x:v>
      </x:c>
      <x:c r="Y2333" s="2" t="str">
        <x:v>ad210cd9ec132cfd447541c8984dc53d30aff0f4fb2dc92d254d49275cc55976</x:v>
      </x:c>
      <x:c r="Z2333" s="2" t="n">
        <x:f>SUBTOTAL(103,A2333)</x:f>
        <x:v>1</x:v>
      </x:c>
      <x:c r="AA2333" s="2" t="str">
        <x:f>IF(K2333&lt;&gt;"미종결 표시","대상 아님",IF(N2333="","신청일 확인",IF(NOT(ISNUMBER('종합 현황'!$H$5)),"관찰기준 확인",IF('종합 현황'!$H$5&lt;1,"관찰기준 확인",IF(N2333&gt;'종합 현황'!$H$5,"내부 관찰 대상","내부 관찰일 이하")))))</x:f>
        <x:v>대상 아님</x:v>
      </x:c>
      <x:c r="AB2333" s="2"/>
    </x:row>
    <x:row r="2334" ht="42" customHeight="1">
      <x:c r="A2334" s="2" t="str">
        <x:v>262c8541d321d2d3f5bf78a7</x:v>
      </x:c>
      <x:c r="B2334" s="2" t="str">
        <x:v>감축량 인증</x:v>
      </x:c>
      <x:c r="C2334" s="2" t="str">
        <x:v>국내</x:v>
      </x:c>
      <x:c r="D2334" s="7" t="str">
        <x:v>플루오린코리아 주식회사 육불화황 회수 및 플라즈마 분해를 통한 온실가스 배출 감축사업</x:v>
      </x:c>
      <x:c r="E2334" s="2" t="str">
        <x:v>574</x:v>
      </x:c>
      <x:c r="F2334" s="2" t="str">
        <x:v>2024-05-14</x:v>
      </x:c>
      <x:c r="G2334" s="2" t="str">
        <x:v>2024</x:v>
      </x:c>
      <x:c r="H2334" s="2" t="str">
        <x:v>05</x:v>
      </x:c>
      <x:c r="I2334" s="2" t="str">
        <x:v>심의승인</x:v>
      </x:c>
      <x:c r="J2334" s="2" t="str">
        <x:v>심의승인</x:v>
      </x:c>
      <x:c r="K2334" s="2" t="str">
        <x:f>IF(OR(J2334="심의승인",J2334="반려",J2334="반려완료",J2334="심의완료"),"종결 표시",IF(OR(J2334="기후부협의",J2334="문서재제출요청",J2334="보류",J2334="보완요청",J2334="보완완료",J2334="평가중",J2334="반려요청",J2334="평가필요",LEFT(J2334,5)="보완요청("),"미종결 표시","상태 확인 필요"))</x:f>
        <x:v>종결 표시</x:v>
      </x:c>
      <x:c r="L2334" s="2" t="str">
        <x:v>리저브카본</x:v>
      </x:c>
      <x:c r="M2334" s="2"/>
      <x:c r="N2334" s="8" t="n">
        <x:f>DATE(2026,10,15)-DATE(2024,5,14)</x:f>
        <x:v>884</x:v>
      </x:c>
      <x:c r="O2334" s="2"/>
      <x:c r="P2334" s="2"/>
      <x:c r="Q2334" s="2" t="str">
        <x:v>산업전환_외부사업관리Tool_260707_이너젠 수정_LJY_261013.xlsx</x:v>
      </x:c>
      <x:c r="R2334" s="2" t="str">
        <x:v>국내인증</x:v>
      </x:c>
      <x:c r="S2334" s="8" t="n">
        <x:v>652</x:v>
      </x:c>
      <x:c r="T2334" s="2" t="str">
        <x:v>(5/20),(7/23)</x:v>
      </x:c>
      <x:c r="U2334" s="2" t="str">
        <x:v>2024 배정: (5/20),(7/23)</x:v>
      </x:c>
      <x:c r="V2334" s="2" t="str">
        <x:v>2025-03-26</x:v>
      </x:c>
      <x:c r="W2334" s="2" t="str"/>
      <x:c r="X2334" s="2" t="str">
        <x:v>종결 근거 보관</x:v>
      </x:c>
      <x:c r="Y2334" s="2" t="str">
        <x:v>ad210cd9ec132cfd447541c8984dc53d30aff0f4fb2dc92d254d49275cc55976</x:v>
      </x:c>
      <x:c r="Z2334" s="2" t="n">
        <x:f>SUBTOTAL(103,A2334)</x:f>
        <x:v>1</x:v>
      </x:c>
      <x:c r="AA2334" s="2" t="str">
        <x:f>IF(K2334&lt;&gt;"미종결 표시","대상 아님",IF(N2334="","신청일 확인",IF(NOT(ISNUMBER('종합 현황'!$H$5)),"관찰기준 확인",IF('종합 현황'!$H$5&lt;1,"관찰기준 확인",IF(N2334&gt;'종합 현황'!$H$5,"내부 관찰 대상","내부 관찰일 이하")))))</x:f>
        <x:v>대상 아님</x:v>
      </x:c>
      <x:c r="AB2334" s="2"/>
    </x:row>
    <x:row r="2335" ht="42" customHeight="1">
      <x:c r="A2335" s="2" t="str">
        <x:v>817f7997e13848b2c6c7f169</x:v>
      </x:c>
      <x:c r="B2335" s="2" t="str">
        <x:v>감축량 인증</x:v>
      </x:c>
      <x:c r="C2335" s="2" t="str">
        <x:v>국내</x:v>
      </x:c>
      <x:c r="D2335" s="7" t="str">
        <x:v>괴산 증평 주공 3단지 아파트 연료전환을 통한 온실가스 단위감축사업</x:v>
      </x:c>
      <x:c r="E2335" s="2" t="str">
        <x:v>575</x:v>
      </x:c>
      <x:c r="F2335" s="2" t="str">
        <x:v>2024-05-22</x:v>
      </x:c>
      <x:c r="G2335" s="2" t="str">
        <x:v>2024</x:v>
      </x:c>
      <x:c r="H2335" s="2" t="str">
        <x:v>05</x:v>
      </x:c>
      <x:c r="I2335" s="2" t="str">
        <x:v>심의승인</x:v>
      </x:c>
      <x:c r="J2335" s="2" t="str">
        <x:v>심의승인</x:v>
      </x:c>
      <x:c r="K2335" s="2" t="str">
        <x:f>IF(OR(J2335="심의승인",J2335="반려",J2335="반려완료",J2335="심의완료"),"종결 표시",IF(OR(J2335="기후부협의",J2335="문서재제출요청",J2335="보류",J2335="보완요청",J2335="보완완료",J2335="평가중",J2335="반려요청",J2335="평가필요",LEFT(J2335,5)="보완요청("),"미종결 표시","상태 확인 필요"))</x:f>
        <x:v>종결 표시</x:v>
      </x:c>
      <x:c r="L2335" s="2" t="str">
        <x:v>리저브카본</x:v>
      </x:c>
      <x:c r="M2335" s="2"/>
      <x:c r="N2335" s="8" t="n">
        <x:f>DATE(2026,10,15)-DATE(2024,5,22)</x:f>
        <x:v>876</x:v>
      </x:c>
      <x:c r="O2335" s="2"/>
      <x:c r="P2335" s="2"/>
      <x:c r="Q2335" s="2" t="str">
        <x:v>산업전환_외부사업관리Tool_260707_이너젠 수정_LJY_261013.xlsx</x:v>
      </x:c>
      <x:c r="R2335" s="2" t="str">
        <x:v>국내인증</x:v>
      </x:c>
      <x:c r="S2335" s="8" t="n">
        <x:v>653</x:v>
      </x:c>
      <x:c r="T2335" s="2" t="str">
        <x:v>(6/10),(7/23)</x:v>
      </x:c>
      <x:c r="U2335" s="2" t="str">
        <x:v>2024 배정: (6/10),(7/23)</x:v>
      </x:c>
      <x:c r="V2335" s="2" t="str">
        <x:v>2024-12-18</x:v>
      </x:c>
      <x:c r="W2335" s="2" t="str"/>
      <x:c r="X2335" s="2" t="str">
        <x:v>종결 근거 보관</x:v>
      </x:c>
      <x:c r="Y2335" s="2" t="str">
        <x:v>ad210cd9ec132cfd447541c8984dc53d30aff0f4fb2dc92d254d49275cc55976</x:v>
      </x:c>
      <x:c r="Z2335" s="2" t="n">
        <x:f>SUBTOTAL(103,A2335)</x:f>
        <x:v>1</x:v>
      </x:c>
      <x:c r="AA2335" s="2" t="str">
        <x:f>IF(K2335&lt;&gt;"미종결 표시","대상 아님",IF(N2335="","신청일 확인",IF(NOT(ISNUMBER('종합 현황'!$H$5)),"관찰기준 확인",IF('종합 현황'!$H$5&lt;1,"관찰기준 확인",IF(N2335&gt;'종합 현황'!$H$5,"내부 관찰 대상","내부 관찰일 이하")))))</x:f>
        <x:v>대상 아님</x:v>
      </x:c>
      <x:c r="AB2335" s="2"/>
    </x:row>
    <x:row r="2336" ht="42" customHeight="1">
      <x:c r="A2336" s="2" t="str">
        <x:v>3ce89b227b05f4dd43f766d8</x:v>
      </x:c>
      <x:c r="B2336" s="2" t="str">
        <x:v>감축량 인증</x:v>
      </x:c>
      <x:c r="C2336" s="2" t="str">
        <x:v>국내</x:v>
      </x:c>
      <x:c r="D2336" s="7" t="str">
        <x:v>보령 명천 주공 2단지 아파트 연료전환을 통한 온실가스 단위감축사업</x:v>
      </x:c>
      <x:c r="E2336" s="2" t="str">
        <x:v>576</x:v>
      </x:c>
      <x:c r="F2336" s="2" t="str">
        <x:v>2024-05-30</x:v>
      </x:c>
      <x:c r="G2336" s="2" t="str">
        <x:v>2024</x:v>
      </x:c>
      <x:c r="H2336" s="2" t="str">
        <x:v>05</x:v>
      </x:c>
      <x:c r="I2336" s="2" t="str">
        <x:v>심의승인</x:v>
      </x:c>
      <x:c r="J2336" s="2" t="str">
        <x:v>심의승인</x:v>
      </x:c>
      <x:c r="K2336" s="2" t="str">
        <x:f>IF(OR(J2336="심의승인",J2336="반려",J2336="반려완료",J2336="심의완료"),"종결 표시",IF(OR(J2336="기후부협의",J2336="문서재제출요청",J2336="보류",J2336="보완요청",J2336="보완완료",J2336="평가중",J2336="반려요청",J2336="평가필요",LEFT(J2336,5)="보완요청("),"미종결 표시","상태 확인 필요"))</x:f>
        <x:v>종결 표시</x:v>
      </x:c>
      <x:c r="L2336" s="2" t="str">
        <x:v>KECM</x:v>
      </x:c>
      <x:c r="M2336" s="2"/>
      <x:c r="N2336" s="8" t="n">
        <x:f>DATE(2026,10,15)-DATE(2024,5,30)</x:f>
        <x:v>868</x:v>
      </x:c>
      <x:c r="O2336" s="2"/>
      <x:c r="P2336" s="2"/>
      <x:c r="Q2336" s="2" t="str">
        <x:v>산업전환_외부사업관리Tool_260707_이너젠 수정_LJY_261013.xlsx</x:v>
      </x:c>
      <x:c r="R2336" s="2" t="str">
        <x:v>국내인증</x:v>
      </x:c>
      <x:c r="S2336" s="8" t="n">
        <x:v>654</x:v>
      </x:c>
      <x:c r="T2336" s="2" t="str">
        <x:v>(6/10),(7/23),(9/2)</x:v>
      </x:c>
      <x:c r="U2336" s="2" t="str">
        <x:v>2024 배정: (6/10),(7/23),(9/2)</x:v>
      </x:c>
      <x:c r="V2336" s="2" t="str">
        <x:v>2025-03-26</x:v>
      </x:c>
      <x:c r="W2336" s="2" t="str"/>
      <x:c r="X2336" s="2" t="str">
        <x:v>종결 근거 보관</x:v>
      </x:c>
      <x:c r="Y2336" s="2" t="str">
        <x:v>ad210cd9ec132cfd447541c8984dc53d30aff0f4fb2dc92d254d49275cc55976</x:v>
      </x:c>
      <x:c r="Z2336" s="2" t="n">
        <x:f>SUBTOTAL(103,A2336)</x:f>
        <x:v>1</x:v>
      </x:c>
      <x:c r="AA2336" s="2" t="str">
        <x:f>IF(K2336&lt;&gt;"미종결 표시","대상 아님",IF(N2336="","신청일 확인",IF(NOT(ISNUMBER('종합 현황'!$H$5)),"관찰기준 확인",IF('종합 현황'!$H$5&lt;1,"관찰기준 확인",IF(N2336&gt;'종합 현황'!$H$5,"내부 관찰 대상","내부 관찰일 이하")))))</x:f>
        <x:v>대상 아님</x:v>
      </x:c>
      <x:c r="AB2336" s="2"/>
    </x:row>
    <x:row r="2337" ht="42" customHeight="1">
      <x:c r="A2337" s="2" t="str">
        <x:v>629f44a4f65d2a03fdabc27c</x:v>
      </x:c>
      <x:c r="B2337" s="2" t="str">
        <x:v>감축량 인증</x:v>
      </x:c>
      <x:c r="C2337" s="2" t="str">
        <x:v>국내</x:v>
      </x:c>
      <x:c r="D2337" s="7" t="str">
        <x:v>천안 쌍용 7단지 1차 아파트 연료전환을 통한 온실가스 단위감축사업</x:v>
      </x:c>
      <x:c r="E2337" s="2" t="str">
        <x:v>577</x:v>
      </x:c>
      <x:c r="F2337" s="2" t="str">
        <x:v>2024-05-30</x:v>
      </x:c>
      <x:c r="G2337" s="2" t="str">
        <x:v>2024</x:v>
      </x:c>
      <x:c r="H2337" s="2" t="str">
        <x:v>05</x:v>
      </x:c>
      <x:c r="I2337" s="2" t="str">
        <x:v>심의승인</x:v>
      </x:c>
      <x:c r="J2337" s="2" t="str">
        <x:v>심의승인</x:v>
      </x:c>
      <x:c r="K2337" s="2" t="str">
        <x:f>IF(OR(J2337="심의승인",J2337="반려",J2337="반려완료",J2337="심의완료"),"종결 표시",IF(OR(J2337="기후부협의",J2337="문서재제출요청",J2337="보류",J2337="보완요청",J2337="보완완료",J2337="평가중",J2337="반려요청",J2337="평가필요",LEFT(J2337,5)="보완요청("),"미종결 표시","상태 확인 필요"))</x:f>
        <x:v>종결 표시</x:v>
      </x:c>
      <x:c r="L2337" s="2" t="str">
        <x:v>에코시안_김명은</x:v>
      </x:c>
      <x:c r="M2337" s="2"/>
      <x:c r="N2337" s="8" t="n">
        <x:f>DATE(2026,10,15)-DATE(2024,5,30)</x:f>
        <x:v>868</x:v>
      </x:c>
      <x:c r="O2337" s="2"/>
      <x:c r="P2337" s="2"/>
      <x:c r="Q2337" s="2" t="str">
        <x:v>산업전환_외부사업관리Tool_260707_이너젠 수정_LJY_261013.xlsx</x:v>
      </x:c>
      <x:c r="R2337" s="2" t="str">
        <x:v>국내인증</x:v>
      </x:c>
      <x:c r="S2337" s="8" t="n">
        <x:v>655</x:v>
      </x:c>
      <x:c r="T2337" s="2" t="str">
        <x:v>(6/10),(7/23)</x:v>
      </x:c>
      <x:c r="U2337" s="2" t="str">
        <x:v>2024 배정: (6/10),(7/23)</x:v>
      </x:c>
      <x:c r="V2337" s="2" t="str">
        <x:v>2024-12-18</x:v>
      </x:c>
      <x:c r="W2337" s="2" t="str"/>
      <x:c r="X2337" s="2" t="str">
        <x:v>종결 근거 보관</x:v>
      </x:c>
      <x:c r="Y2337" s="2" t="str">
        <x:v>ad210cd9ec132cfd447541c8984dc53d30aff0f4fb2dc92d254d49275cc55976</x:v>
      </x:c>
      <x:c r="Z2337" s="2" t="n">
        <x:f>SUBTOTAL(103,A2337)</x:f>
        <x:v>1</x:v>
      </x:c>
      <x:c r="AA2337" s="2" t="str">
        <x:f>IF(K2337&lt;&gt;"미종결 표시","대상 아님",IF(N2337="","신청일 확인",IF(NOT(ISNUMBER('종합 현황'!$H$5)),"관찰기준 확인",IF('종합 현황'!$H$5&lt;1,"관찰기준 확인",IF(N2337&gt;'종합 현황'!$H$5,"내부 관찰 대상","내부 관찰일 이하")))))</x:f>
        <x:v>대상 아님</x:v>
      </x:c>
      <x:c r="AB2337" s="2"/>
    </x:row>
    <x:row r="2338" ht="42" customHeight="1">
      <x:c r="A2338" s="2" t="str">
        <x:v>5d03460b7ef1cdae5700ec61</x:v>
      </x:c>
      <x:c r="B2338" s="2" t="str">
        <x:v>감축량 인증</x:v>
      </x:c>
      <x:c r="C2338" s="2" t="str">
        <x:v>국내</x:v>
      </x:c>
      <x:c r="D2338" s="7" t="str">
        <x:v>군산 나운 주공 4단지 아파트 연료전환을 통한 온실가스 단위감축사업</x:v>
      </x:c>
      <x:c r="E2338" s="2" t="str">
        <x:v>578</x:v>
      </x:c>
      <x:c r="F2338" s="2" t="str">
        <x:v>2024-05-30</x:v>
      </x:c>
      <x:c r="G2338" s="2" t="str">
        <x:v>2024</x:v>
      </x:c>
      <x:c r="H2338" s="2" t="str">
        <x:v>05</x:v>
      </x:c>
      <x:c r="I2338" s="2" t="str">
        <x:v>심의승인</x:v>
      </x:c>
      <x:c r="J2338" s="2" t="str">
        <x:v>심의승인</x:v>
      </x:c>
      <x:c r="K2338" s="2" t="str">
        <x:f>IF(OR(J2338="심의승인",J2338="반려",J2338="반려완료",J2338="심의완료"),"종결 표시",IF(OR(J2338="기후부협의",J2338="문서재제출요청",J2338="보류",J2338="보완요청",J2338="보완완료",J2338="평가중",J2338="반려요청",J2338="평가필요",LEFT(J2338,5)="보완요청("),"미종결 표시","상태 확인 필요"))</x:f>
        <x:v>종결 표시</x:v>
      </x:c>
      <x:c r="L2338" s="2" t="str">
        <x:v>KECM</x:v>
      </x:c>
      <x:c r="M2338" s="2"/>
      <x:c r="N2338" s="8" t="n">
        <x:f>DATE(2026,10,15)-DATE(2024,5,30)</x:f>
        <x:v>868</x:v>
      </x:c>
      <x:c r="O2338" s="2"/>
      <x:c r="P2338" s="2"/>
      <x:c r="Q2338" s="2" t="str">
        <x:v>산업전환_외부사업관리Tool_260707_이너젠 수정_LJY_261013.xlsx</x:v>
      </x:c>
      <x:c r="R2338" s="2" t="str">
        <x:v>국내인증</x:v>
      </x:c>
      <x:c r="S2338" s="8" t="n">
        <x:v>656</x:v>
      </x:c>
      <x:c r="T2338" s="2" t="str">
        <x:v>(6/10),(7/23)</x:v>
      </x:c>
      <x:c r="U2338" s="2" t="str">
        <x:v>2024 배정: (6/10),(7/23)</x:v>
      </x:c>
      <x:c r="V2338" s="2" t="str">
        <x:v>2025-03-26</x:v>
      </x:c>
      <x:c r="W2338" s="2" t="str"/>
      <x:c r="X2338" s="2" t="str">
        <x:v>종결 근거 보관</x:v>
      </x:c>
      <x:c r="Y2338" s="2" t="str">
        <x:v>ad210cd9ec132cfd447541c8984dc53d30aff0f4fb2dc92d254d49275cc55976</x:v>
      </x:c>
      <x:c r="Z2338" s="2" t="n">
        <x:f>SUBTOTAL(103,A2338)</x:f>
        <x:v>1</x:v>
      </x:c>
      <x:c r="AA2338" s="2" t="str">
        <x:f>IF(K2338&lt;&gt;"미종결 표시","대상 아님",IF(N2338="","신청일 확인",IF(NOT(ISNUMBER('종합 현황'!$H$5)),"관찰기준 확인",IF('종합 현황'!$H$5&lt;1,"관찰기준 확인",IF(N2338&gt;'종합 현황'!$H$5,"내부 관찰 대상","내부 관찰일 이하")))))</x:f>
        <x:v>대상 아님</x:v>
      </x:c>
      <x:c r="AB2338" s="2"/>
    </x:row>
    <x:row r="2339" ht="42" customHeight="1">
      <x:c r="A2339" s="2" t="str">
        <x:v>70fbc712164fb14d8622a53a</x:v>
      </x:c>
      <x:c r="B2339" s="2" t="str">
        <x:v>감축량 인증</x:v>
      </x:c>
      <x:c r="C2339" s="2" t="str">
        <x:v>국내</x:v>
      </x:c>
      <x:c r="D2339" s="7" t="str">
        <x:v>원주명륜2관리소 연료전환을 통한 온실가스 단위감축사업</x:v>
      </x:c>
      <x:c r="E2339" s="2" t="str">
        <x:v>579</x:v>
      </x:c>
      <x:c r="F2339" s="2" t="str">
        <x:v>2024-05-22</x:v>
      </x:c>
      <x:c r="G2339" s="2" t="str">
        <x:v>2024</x:v>
      </x:c>
      <x:c r="H2339" s="2" t="str">
        <x:v>05</x:v>
      </x:c>
      <x:c r="I2339" s="2" t="str">
        <x:v>심의승인</x:v>
      </x:c>
      <x:c r="J2339" s="2" t="str">
        <x:v>심의승인</x:v>
      </x:c>
      <x:c r="K2339" s="2" t="str">
        <x:f>IF(OR(J2339="심의승인",J2339="반려",J2339="반려완료",J2339="심의완료"),"종결 표시",IF(OR(J2339="기후부협의",J2339="문서재제출요청",J2339="보류",J2339="보완요청",J2339="보완완료",J2339="평가중",J2339="반려요청",J2339="평가필요",LEFT(J2339,5)="보완요청("),"미종결 표시","상태 확인 필요"))</x:f>
        <x:v>종결 표시</x:v>
      </x:c>
      <x:c r="L2339" s="2" t="str">
        <x:v>리저브카본</x:v>
      </x:c>
      <x:c r="M2339" s="2"/>
      <x:c r="N2339" s="8" t="n">
        <x:f>DATE(2026,10,15)-DATE(2024,5,22)</x:f>
        <x:v>876</x:v>
      </x:c>
      <x:c r="O2339" s="2"/>
      <x:c r="P2339" s="2"/>
      <x:c r="Q2339" s="2" t="str">
        <x:v>산업전환_외부사업관리Tool_260707_이너젠 수정_LJY_261013.xlsx</x:v>
      </x:c>
      <x:c r="R2339" s="2" t="str">
        <x:v>국내인증</x:v>
      </x:c>
      <x:c r="S2339" s="8" t="n">
        <x:v>657</x:v>
      </x:c>
      <x:c r="T2339" s="2" t="str">
        <x:v>(6/10),(7/23)</x:v>
      </x:c>
      <x:c r="U2339" s="2" t="str">
        <x:v>2024 배정: (6/10),(7/23)</x:v>
      </x:c>
      <x:c r="V2339" s="2" t="str">
        <x:v>2024-12-18</x:v>
      </x:c>
      <x:c r="W2339" s="2" t="str"/>
      <x:c r="X2339" s="2" t="str">
        <x:v>종결 근거 보관</x:v>
      </x:c>
      <x:c r="Y2339" s="2" t="str">
        <x:v>ad210cd9ec132cfd447541c8984dc53d30aff0f4fb2dc92d254d49275cc55976</x:v>
      </x:c>
      <x:c r="Z2339" s="2" t="n">
        <x:f>SUBTOTAL(103,A2339)</x:f>
        <x:v>1</x:v>
      </x:c>
      <x:c r="AA2339" s="2" t="str">
        <x:f>IF(K2339&lt;&gt;"미종결 표시","대상 아님",IF(N2339="","신청일 확인",IF(NOT(ISNUMBER('종합 현황'!$H$5)),"관찰기준 확인",IF('종합 현황'!$H$5&lt;1,"관찰기준 확인",IF(N2339&gt;'종합 현황'!$H$5,"내부 관찰 대상","내부 관찰일 이하")))))</x:f>
        <x:v>대상 아님</x:v>
      </x:c>
      <x:c r="AB2339" s="2"/>
    </x:row>
    <x:row r="2340" ht="42" customHeight="1">
      <x:c r="A2340" s="2" t="str">
        <x:v>d56855197cd9cbc930791c3a</x:v>
      </x:c>
      <x:c r="B2340" s="2" t="str">
        <x:v>감축량 인증</x:v>
      </x:c>
      <x:c r="C2340" s="2" t="str">
        <x:v>국내</x:v>
      </x:c>
      <x:c r="D2340" s="7" t="str">
        <x:v>김제 검산아파트 연료전환을 통한 온실가스 단위감축사업</x:v>
      </x:c>
      <x:c r="E2340" s="2" t="str">
        <x:v>580</x:v>
      </x:c>
      <x:c r="F2340" s="2" t="str">
        <x:v>2024-05-30</x:v>
      </x:c>
      <x:c r="G2340" s="2" t="str">
        <x:v>2024</x:v>
      </x:c>
      <x:c r="H2340" s="2" t="str">
        <x:v>05</x:v>
      </x:c>
      <x:c r="I2340" s="2" t="str">
        <x:v>심의승인</x:v>
      </x:c>
      <x:c r="J2340" s="2" t="str">
        <x:v>심의승인</x:v>
      </x:c>
      <x:c r="K2340" s="2" t="str">
        <x:f>IF(OR(J2340="심의승인",J2340="반려",J2340="반려완료",J2340="심의완료"),"종결 표시",IF(OR(J2340="기후부협의",J2340="문서재제출요청",J2340="보류",J2340="보완요청",J2340="보완완료",J2340="평가중",J2340="반려요청",J2340="평가필요",LEFT(J2340,5)="보완요청("),"미종결 표시","상태 확인 필요"))</x:f>
        <x:v>종결 표시</x:v>
      </x:c>
      <x:c r="L2340" s="2" t="str">
        <x:v>에코시안_조영우</x:v>
      </x:c>
      <x:c r="M2340" s="2"/>
      <x:c r="N2340" s="8" t="n">
        <x:f>DATE(2026,10,15)-DATE(2024,5,30)</x:f>
        <x:v>868</x:v>
      </x:c>
      <x:c r="O2340" s="2"/>
      <x:c r="P2340" s="2"/>
      <x:c r="Q2340" s="2" t="str">
        <x:v>산업전환_외부사업관리Tool_260707_이너젠 수정_LJY_261013.xlsx</x:v>
      </x:c>
      <x:c r="R2340" s="2" t="str">
        <x:v>국내인증</x:v>
      </x:c>
      <x:c r="S2340" s="8" t="n">
        <x:v>658</x:v>
      </x:c>
      <x:c r="T2340" s="2" t="str">
        <x:v>(6/10),(7/23),(8/12)</x:v>
      </x:c>
      <x:c r="U2340" s="2" t="str">
        <x:v>2024 배정: (6/10),(7/23),(8/12)</x:v>
      </x:c>
      <x:c r="V2340" s="2" t="str">
        <x:v>2024-12-18</x:v>
      </x:c>
      <x:c r="W2340" s="2" t="str"/>
      <x:c r="X2340" s="2" t="str">
        <x:v>종결 근거 보관</x:v>
      </x:c>
      <x:c r="Y2340" s="2" t="str">
        <x:v>ad210cd9ec132cfd447541c8984dc53d30aff0f4fb2dc92d254d49275cc55976</x:v>
      </x:c>
      <x:c r="Z2340" s="2" t="n">
        <x:f>SUBTOTAL(103,A2340)</x:f>
        <x:v>1</x:v>
      </x:c>
      <x:c r="AA2340" s="2" t="str">
        <x:f>IF(K2340&lt;&gt;"미종결 표시","대상 아님",IF(N2340="","신청일 확인",IF(NOT(ISNUMBER('종합 현황'!$H$5)),"관찰기준 확인",IF('종합 현황'!$H$5&lt;1,"관찰기준 확인",IF(N2340&gt;'종합 현황'!$H$5,"내부 관찰 대상","내부 관찰일 이하")))))</x:f>
        <x:v>대상 아님</x:v>
      </x:c>
      <x:c r="AB2340" s="2"/>
    </x:row>
    <x:row r="2341" ht="42" customHeight="1">
      <x:c r="A2341" s="2" t="str">
        <x:v>20ff0f20fa9249e6e0432099</x:v>
      </x:c>
      <x:c r="B2341" s="2" t="str">
        <x:v>감축량 인증</x:v>
      </x:c>
      <x:c r="C2341" s="2" t="str">
        <x:v>국내</x:v>
      </x:c>
      <x:c r="D2341" s="7" t="str">
        <x:v>엠함안(주) 목질계 바이오매스 연료 이용 열 공급을 통한 수용가의 화석연료 절감 및 온실가스 감축사업</x:v>
      </x:c>
      <x:c r="E2341" s="2" t="str">
        <x:v>581</x:v>
      </x:c>
      <x:c r="F2341" s="2" t="str">
        <x:v>2024-07-15</x:v>
      </x:c>
      <x:c r="G2341" s="2" t="str">
        <x:v>2024</x:v>
      </x:c>
      <x:c r="H2341" s="2" t="str">
        <x:v>07</x:v>
      </x:c>
      <x:c r="I2341" s="2" t="str">
        <x:v>심의승인</x:v>
      </x:c>
      <x:c r="J2341" s="2" t="str">
        <x:v>심의승인</x:v>
      </x:c>
      <x:c r="K2341" s="2" t="str">
        <x:f>IF(OR(J2341="심의승인",J2341="반려",J2341="반려완료",J2341="심의완료"),"종결 표시",IF(OR(J2341="기후부협의",J2341="문서재제출요청",J2341="보류",J2341="보완요청",J2341="보완완료",J2341="평가중",J2341="반려요청",J2341="평가필요",LEFT(J2341,5)="보완요청("),"미종결 표시","상태 확인 필요"))</x:f>
        <x:v>종결 표시</x:v>
      </x:c>
      <x:c r="L2341" s="2" t="str">
        <x:v>에코시안_조영우</x:v>
      </x:c>
      <x:c r="M2341" s="2"/>
      <x:c r="N2341" s="8" t="n">
        <x:f>DATE(2026,10,15)-DATE(2024,7,15)</x:f>
        <x:v>822</x:v>
      </x:c>
      <x:c r="O2341" s="2"/>
      <x:c r="P2341" s="2" t="str">
        <x:v>중복성 평가 내용 수정 및 재협의 건</x:v>
      </x:c>
      <x:c r="Q2341" s="2" t="str">
        <x:v>산업전환_외부사업관리Tool_260707_이너젠 수정_LJY_261013.xlsx</x:v>
      </x:c>
      <x:c r="R2341" s="2" t="str">
        <x:v>국내인증</x:v>
      </x:c>
      <x:c r="S2341" s="8" t="n">
        <x:v>659</x:v>
      </x:c>
      <x:c r="T2341" s="2" t="str">
        <x:v>(7/23)</x:v>
      </x:c>
      <x:c r="U2341" s="2" t="str">
        <x:v>2024 배정: (7/23) / 2025 배정: 2025년 처리</x:v>
      </x:c>
      <x:c r="V2341" s="2" t="str">
        <x:v>2025-06-13</x:v>
      </x:c>
      <x:c r="W2341" s="2" t="str"/>
      <x:c r="X2341" s="2" t="str">
        <x:v>종결 근거 보관</x:v>
      </x:c>
      <x:c r="Y2341" s="2" t="str">
        <x:v>ad210cd9ec132cfd447541c8984dc53d30aff0f4fb2dc92d254d49275cc55976</x:v>
      </x:c>
      <x:c r="Z2341" s="2" t="n">
        <x:f>SUBTOTAL(103,A2341)</x:f>
        <x:v>1</x:v>
      </x:c>
      <x:c r="AA2341" s="2" t="str">
        <x:f>IF(K2341&lt;&gt;"미종결 표시","대상 아님",IF(N2341="","신청일 확인",IF(NOT(ISNUMBER('종합 현황'!$H$5)),"관찰기준 확인",IF('종합 현황'!$H$5&lt;1,"관찰기준 확인",IF(N2341&gt;'종합 현황'!$H$5,"내부 관찰 대상","내부 관찰일 이하")))))</x:f>
        <x:v>대상 아님</x:v>
      </x:c>
      <x:c r="AB2341" s="2"/>
    </x:row>
    <x:row r="2342" ht="42" customHeight="1">
      <x:c r="A2342" s="2" t="str">
        <x:v>e5fcdf1ecd72b42b81b1be56</x:v>
      </x:c>
      <x:c r="B2342" s="2" t="str">
        <x:v>감축량 인증</x:v>
      </x:c>
      <x:c r="C2342" s="2" t="str">
        <x:v>국내</x:v>
      </x:c>
      <x:c r="D2342" s="7" t="str">
        <x:v>㈜한화 울산소재 질산공장 N2O 감축 프로젝트</x:v>
      </x:c>
      <x:c r="E2342" s="2" t="str">
        <x:v>582</x:v>
      </x:c>
      <x:c r="F2342" s="2" t="str">
        <x:v>2024-08-30</x:v>
      </x:c>
      <x:c r="G2342" s="2" t="str">
        <x:v>2024</x:v>
      </x:c>
      <x:c r="H2342" s="2" t="str">
        <x:v>08</x:v>
      </x:c>
      <x:c r="I2342" s="2" t="str">
        <x:v>심의승인</x:v>
      </x:c>
      <x:c r="J2342" s="2" t="str">
        <x:v>심의승인</x:v>
      </x:c>
      <x:c r="K2342" s="2" t="str">
        <x:f>IF(OR(J2342="심의승인",J2342="반려",J2342="반려완료",J2342="심의완료"),"종결 표시",IF(OR(J2342="기후부협의",J2342="문서재제출요청",J2342="보류",J2342="보완요청",J2342="보완완료",J2342="평가중",J2342="반려요청",J2342="평가필요",LEFT(J2342,5)="보완요청("),"미종결 표시","상태 확인 필요"))</x:f>
        <x:v>종결 표시</x:v>
      </x:c>
      <x:c r="L2342" s="2" t="str">
        <x:v>리저브카본</x:v>
      </x:c>
      <x:c r="M2342" s="2"/>
      <x:c r="N2342" s="8" t="n">
        <x:f>DATE(2026,10,15)-DATE(2024,8,30)</x:f>
        <x:v>776</x:v>
      </x:c>
      <x:c r="O2342" s="2"/>
      <x:c r="P2342" s="2" t="str">
        <x:v>신청 지연에 대한 공문 제출</x:v>
      </x:c>
      <x:c r="Q2342" s="2" t="str">
        <x:v>산업전환_외부사업관리Tool_260707_이너젠 수정_LJY_261013.xlsx</x:v>
      </x:c>
      <x:c r="R2342" s="2" t="str">
        <x:v>국내인증</x:v>
      </x:c>
      <x:c r="S2342" s="8" t="n">
        <x:v>660</x:v>
      </x:c>
      <x:c r="T2342" s="2" t="str">
        <x:v>(9/2)</x:v>
      </x:c>
      <x:c r="U2342" s="2" t="str">
        <x:v>2024 배정: (9/2)</x:v>
      </x:c>
      <x:c r="V2342" s="2" t="str">
        <x:v>2024-12-18</x:v>
      </x:c>
      <x:c r="W2342" s="2" t="str"/>
      <x:c r="X2342" s="2" t="str">
        <x:v>종결 근거 보관</x:v>
      </x:c>
      <x:c r="Y2342" s="2" t="str">
        <x:v>ad210cd9ec132cfd447541c8984dc53d30aff0f4fb2dc92d254d49275cc55976</x:v>
      </x:c>
      <x:c r="Z2342" s="2" t="n">
        <x:f>SUBTOTAL(103,A2342)</x:f>
        <x:v>1</x:v>
      </x:c>
      <x:c r="AA2342" s="2" t="str">
        <x:f>IF(K2342&lt;&gt;"미종결 표시","대상 아님",IF(N2342="","신청일 확인",IF(NOT(ISNUMBER('종합 현황'!$H$5)),"관찰기준 확인",IF('종합 현황'!$H$5&lt;1,"관찰기준 확인",IF(N2342&gt;'종합 현황'!$H$5,"내부 관찰 대상","내부 관찰일 이하")))))</x:f>
        <x:v>대상 아님</x:v>
      </x:c>
      <x:c r="AB2342" s="2"/>
    </x:row>
    <x:row r="2343" ht="42" customHeight="1">
      <x:c r="A2343" s="2" t="str">
        <x:v>00fac7d4a16346477117e72b</x:v>
      </x:c>
      <x:c r="B2343" s="2" t="str">
        <x:v>감축량 인증</x:v>
      </x:c>
      <x:c r="C2343" s="2" t="str">
        <x:v>국내</x:v>
      </x:c>
      <x:c r="D2343" s="7" t="str">
        <x:v>시화호 조력발전 사업</x:v>
      </x:c>
      <x:c r="E2343" s="2" t="str">
        <x:v>583</x:v>
      </x:c>
      <x:c r="F2343" s="2" t="str">
        <x:v>2024-09-06</x:v>
      </x:c>
      <x:c r="G2343" s="2" t="str">
        <x:v>2024</x:v>
      </x:c>
      <x:c r="H2343" s="2" t="str">
        <x:v>09</x:v>
      </x:c>
      <x:c r="I2343" s="2" t="str">
        <x:v>심의승인</x:v>
      </x:c>
      <x:c r="J2343" s="2" t="str">
        <x:v>심의승인</x:v>
      </x:c>
      <x:c r="K2343" s="2" t="str">
        <x:f>IF(OR(J2343="심의승인",J2343="반려",J2343="반려완료",J2343="심의완료"),"종결 표시",IF(OR(J2343="기후부협의",J2343="문서재제출요청",J2343="보류",J2343="보완요청",J2343="보완완료",J2343="평가중",J2343="반려요청",J2343="평가필요",LEFT(J2343,5)="보완요청("),"미종결 표시","상태 확인 필요"))</x:f>
        <x:v>종결 표시</x:v>
      </x:c>
      <x:c r="L2343" s="2" t="str">
        <x:v>에코시안_조은지</x:v>
      </x:c>
      <x:c r="M2343" s="2"/>
      <x:c r="N2343" s="8" t="n">
        <x:f>DATE(2026,10,15)-DATE(2024,9,6)</x:f>
        <x:v>769</x:v>
      </x:c>
      <x:c r="O2343" s="2"/>
      <x:c r="P2343" s="2" t="str">
        <x:v>24.1 한국에너지공단에 유예 신청 및 승인 완료(유예 관련 증빙자료 없이 검토 진행)</x:v>
      </x:c>
      <x:c r="Q2343" s="2" t="str">
        <x:v>산업전환_외부사업관리Tool_260707_이너젠 수정_LJY_261013.xlsx</x:v>
      </x:c>
      <x:c r="R2343" s="2" t="str">
        <x:v>국내인증</x:v>
      </x:c>
      <x:c r="S2343" s="8" t="n">
        <x:v>661</x:v>
      </x:c>
      <x:c r="T2343" s="2" t="str">
        <x:v>(9/26)</x:v>
      </x:c>
      <x:c r="U2343" s="2" t="str">
        <x:v>2024 배정: (9/26)</x:v>
      </x:c>
      <x:c r="V2343" s="2" t="str">
        <x:v>2024-12-18</x:v>
      </x:c>
      <x:c r="W2343" s="2" t="str"/>
      <x:c r="X2343" s="2" t="str">
        <x:v>종결 근거 보관</x:v>
      </x:c>
      <x:c r="Y2343" s="2" t="str">
        <x:v>ad210cd9ec132cfd447541c8984dc53d30aff0f4fb2dc92d254d49275cc55976</x:v>
      </x:c>
      <x:c r="Z2343" s="2" t="n">
        <x:f>SUBTOTAL(103,A2343)</x:f>
        <x:v>1</x:v>
      </x:c>
      <x:c r="AA2343" s="2" t="str">
        <x:f>IF(K2343&lt;&gt;"미종결 표시","대상 아님",IF(N2343="","신청일 확인",IF(NOT(ISNUMBER('종합 현황'!$H$5)),"관찰기준 확인",IF('종합 현황'!$H$5&lt;1,"관찰기준 확인",IF(N2343&gt;'종합 현황'!$H$5,"내부 관찰 대상","내부 관찰일 이하")))))</x:f>
        <x:v>대상 아님</x:v>
      </x:c>
      <x:c r="AB2343" s="2"/>
    </x:row>
    <x:row r="2344" ht="42" customHeight="1">
      <x:c r="A2344" s="2" t="str">
        <x:v>526ee2b387979abe152aa58f</x:v>
      </x:c>
      <x:c r="B2344" s="2" t="str">
        <x:v>감축량 인증</x:v>
      </x:c>
      <x:c r="C2344" s="2" t="str">
        <x:v>국내</x:v>
      </x:c>
      <x:c r="D2344" s="7" t="str">
        <x:v>이연제약 진천공장의 B-C유에서 LNG로의 연료전환을 통한 온실가스 배출 감축사업</x:v>
      </x:c>
      <x:c r="E2344" s="2" t="str">
        <x:v>584</x:v>
      </x:c>
      <x:c r="F2344" s="2" t="str">
        <x:v>2024-09-06</x:v>
      </x:c>
      <x:c r="G2344" s="2" t="str">
        <x:v>2024</x:v>
      </x:c>
      <x:c r="H2344" s="2" t="str">
        <x:v>09</x:v>
      </x:c>
      <x:c r="I2344" s="2" t="str">
        <x:v>심의승인</x:v>
      </x:c>
      <x:c r="J2344" s="2" t="str">
        <x:v>심의승인</x:v>
      </x:c>
      <x:c r="K2344" s="2" t="str">
        <x:f>IF(OR(J2344="심의승인",J2344="반려",J2344="반려완료",J2344="심의완료"),"종결 표시",IF(OR(J2344="기후부협의",J2344="문서재제출요청",J2344="보류",J2344="보완요청",J2344="보완완료",J2344="평가중",J2344="반려요청",J2344="평가필요",LEFT(J2344,5)="보완요청("),"미종결 표시","상태 확인 필요"))</x:f>
        <x:v>종결 표시</x:v>
      </x:c>
      <x:c r="L2344" s="2" t="str">
        <x:v>리저브카본</x:v>
      </x:c>
      <x:c r="M2344" s="2"/>
      <x:c r="N2344" s="8" t="n">
        <x:f>DATE(2026,10,15)-DATE(2024,9,6)</x:f>
        <x:v>769</x:v>
      </x:c>
      <x:c r="O2344" s="2"/>
      <x:c r="P2344" s="2"/>
      <x:c r="Q2344" s="2" t="str">
        <x:v>산업전환_외부사업관리Tool_260707_이너젠 수정_LJY_261013.xlsx</x:v>
      </x:c>
      <x:c r="R2344" s="2" t="str">
        <x:v>국내인증</x:v>
      </x:c>
      <x:c r="S2344" s="8" t="n">
        <x:v>662</x:v>
      </x:c>
      <x:c r="T2344" s="2" t="str">
        <x:v>(9/26)</x:v>
      </x:c>
      <x:c r="U2344" s="2" t="str">
        <x:v>2024 배정: (9/26)</x:v>
      </x:c>
      <x:c r="V2344" s="2" t="str">
        <x:v>2025-03-26</x:v>
      </x:c>
      <x:c r="W2344" s="2" t="str"/>
      <x:c r="X2344" s="2" t="str">
        <x:v>종결 근거 보관</x:v>
      </x:c>
      <x:c r="Y2344" s="2" t="str">
        <x:v>ad210cd9ec132cfd447541c8984dc53d30aff0f4fb2dc92d254d49275cc55976</x:v>
      </x:c>
      <x:c r="Z2344" s="2" t="n">
        <x:f>SUBTOTAL(103,A2344)</x:f>
        <x:v>1</x:v>
      </x:c>
      <x:c r="AA2344" s="2" t="str">
        <x:f>IF(K2344&lt;&gt;"미종결 표시","대상 아님",IF(N2344="","신청일 확인",IF(NOT(ISNUMBER('종합 현황'!$H$5)),"관찰기준 확인",IF('종합 현황'!$H$5&lt;1,"관찰기준 확인",IF(N2344&gt;'종합 현황'!$H$5,"내부 관찰 대상","내부 관찰일 이하")))))</x:f>
        <x:v>대상 아님</x:v>
      </x:c>
      <x:c r="AB2344" s="2"/>
    </x:row>
    <x:row r="2345" ht="42" customHeight="1">
      <x:c r="A2345" s="2" t="str">
        <x:v>620f1805c27ee3421ebc7a0a</x:v>
      </x:c>
      <x:c r="B2345" s="2" t="str">
        <x:v>감축량 인증</x:v>
      </x:c>
      <x:c r="C2345" s="2" t="str">
        <x:v>국내</x:v>
      </x:c>
      <x:c r="D2345" s="7" t="str">
        <x:v>청라에너지(주) 미활용 소각폐열 회수를 통한 화석연료 사용 절감 및 온실가스 배출 감축사업</x:v>
      </x:c>
      <x:c r="E2345" s="2" t="str">
        <x:v>585</x:v>
      </x:c>
      <x:c r="F2345" s="2" t="str">
        <x:v>2022-08-11</x:v>
      </x:c>
      <x:c r="G2345" s="2" t="str">
        <x:v>2022</x:v>
      </x:c>
      <x:c r="H2345" s="2" t="str">
        <x:v>08</x:v>
      </x:c>
      <x:c r="I2345" s="2" t="str">
        <x:v>심의승인</x:v>
      </x:c>
      <x:c r="J2345" s="2" t="str">
        <x:v>심의승인</x:v>
      </x:c>
      <x:c r="K2345" s="2" t="str">
        <x:f>IF(OR(J2345="심의승인",J2345="반려",J2345="반려완료",J2345="심의완료"),"종결 표시",IF(OR(J2345="기후부협의",J2345="문서재제출요청",J2345="보류",J2345="보완요청",J2345="보완완료",J2345="평가중",J2345="반려요청",J2345="평가필요",LEFT(J2345,5)="보완요청("),"미종결 표시","상태 확인 필요"))</x:f>
        <x:v>종결 표시</x:v>
      </x:c>
      <x:c r="L2345" s="2" t="str">
        <x:v>KECM</x:v>
      </x:c>
      <x:c r="M2345" s="2"/>
      <x:c r="N2345" s="8" t="n">
        <x:f>DATE(2026,10,15)-DATE(2022,8,11)</x:f>
        <x:v>1526</x:v>
      </x:c>
      <x:c r="O2345" s="2"/>
      <x:c r="P2345" s="2"/>
      <x:c r="Q2345" s="2" t="str">
        <x:v>산업전환_외부사업관리Tool_260707_이너젠 수정_LJY_261013.xlsx</x:v>
      </x:c>
      <x:c r="R2345" s="2" t="str">
        <x:v>국내인증</x:v>
      </x:c>
      <x:c r="S2345" s="8" t="n">
        <x:v>663</x:v>
      </x:c>
      <x:c r="T2345" s="2" t="str">
        <x:v>2023년 처리</x:v>
      </x:c>
      <x:c r="U2345" s="2" t="str">
        <x:v>2023 배정: 2023년 처리 / 2024 배정: (9/26),(11/29)</x:v>
      </x:c>
      <x:c r="V2345" s="2" t="str">
        <x:v>2023-09-20</x:v>
      </x:c>
      <x:c r="W2345" s="2" t="str"/>
      <x:c r="X2345" s="2" t="str">
        <x:v>종결 근거 보관</x:v>
      </x:c>
      <x:c r="Y2345" s="2" t="str">
        <x:v>ad210cd9ec132cfd447541c8984dc53d30aff0f4fb2dc92d254d49275cc55976</x:v>
      </x:c>
      <x:c r="Z2345" s="2" t="n">
        <x:f>SUBTOTAL(103,A2345)</x:f>
        <x:v>1</x:v>
      </x:c>
      <x:c r="AA2345" s="2" t="str">
        <x:f>IF(K2345&lt;&gt;"미종결 표시","대상 아님",IF(N2345="","신청일 확인",IF(NOT(ISNUMBER('종합 현황'!$H$5)),"관찰기준 확인",IF('종합 현황'!$H$5&lt;1,"관찰기준 확인",IF(N2345&gt;'종합 현황'!$H$5,"내부 관찰 대상","내부 관찰일 이하")))))</x:f>
        <x:v>대상 아님</x:v>
      </x:c>
      <x:c r="AB2345" s="2"/>
    </x:row>
    <x:row r="2346" ht="42" customHeight="1">
      <x:c r="A2346" s="2" t="str">
        <x:v>d56009c0964448171a50f512</x:v>
      </x:c>
      <x:c r="B2346" s="2" t="str">
        <x:v>감축량 인증</x:v>
      </x:c>
      <x:c r="C2346" s="2" t="str">
        <x:v>국내</x:v>
      </x:c>
      <x:c r="D2346" s="7" t="str">
        <x:v>원주시 보안등 LED교체 ESCO용역사업</x:v>
      </x:c>
      <x:c r="E2346" s="2" t="str">
        <x:v>586</x:v>
      </x:c>
      <x:c r="F2346" s="2" t="str">
        <x:v>2024-10-30</x:v>
      </x:c>
      <x:c r="G2346" s="2" t="str">
        <x:v>2024</x:v>
      </x:c>
      <x:c r="H2346" s="2" t="str">
        <x:v>10</x:v>
      </x:c>
      <x:c r="I2346" s="2" t="str">
        <x:v>심의승인</x:v>
      </x:c>
      <x:c r="J2346" s="2" t="str">
        <x:v>기후부협의</x:v>
      </x:c>
      <x:c r="K2346" s="2" t="str">
        <x:f>IF(OR(J2346="심의승인",J2346="반려",J2346="반려완료",J2346="심의완료"),"종결 표시",IF(OR(J2346="기후부협의",J2346="문서재제출요청",J2346="보류",J2346="보완요청",J2346="보완완료",J2346="평가중",J2346="반려요청",J2346="평가필요",LEFT(J2346,5)="보완요청("),"미종결 표시","상태 확인 필요"))</x:f>
        <x:v>미종결 표시</x:v>
      </x:c>
      <x:c r="L2346" s="2" t="str">
        <x:v>리저브카본&gt;에코시안_남혜원</x:v>
      </x:c>
      <x:c r="M2346" s="2"/>
      <x:c r="N2346" s="8" t="n">
        <x:f>DATE(2026,10,15)-DATE(2024,10,30)</x:f>
        <x:v>715</x:v>
      </x:c>
      <x:c r="O2346" s="2"/>
      <x:c r="P2346" s="2"/>
      <x:c r="Q2346" s="2" t="str">
        <x:v>산업전환_외부사업관리Tool_260707_이너젠 수정_LJY_261013.xlsx</x:v>
      </x:c>
      <x:c r="R2346" s="2" t="str">
        <x:v>국내인증</x:v>
      </x:c>
      <x:c r="S2346" s="8" t="n">
        <x:v>664</x:v>
      </x:c>
      <x:c r="T2346" s="2" t="str">
        <x:v>(11/8)</x:v>
      </x:c>
      <x:c r="U2346" s="2" t="str">
        <x:v>2024 배정: (11/8) / 2025 배정: (1/8),(7/18),(11/10) / 2026(사전): (1/14),(3/19),(5/26)</x:v>
      </x:c>
      <x:c r="V2346" s="2" t="str">
        <x:v>2026-09-14</x:v>
      </x:c>
      <x:c r="W2346" s="2" t="str"/>
      <x:c r="X2346" s="2" t="str">
        <x:v>검토 진행 일정 확인</x:v>
      </x:c>
      <x:c r="Y2346" s="2" t="str">
        <x:v>ad210cd9ec132cfd447541c8984dc53d30aff0f4fb2dc92d254d49275cc55976</x:v>
      </x:c>
      <x:c r="Z2346" s="2" t="n">
        <x:f>SUBTOTAL(103,A2346)</x:f>
        <x:v>1</x:v>
      </x:c>
      <x:c r="AA2346" s="2" t="str">
        <x:f>IF(K2346&lt;&gt;"미종결 표시","대상 아님",IF(N2346="","신청일 확인",IF(NOT(ISNUMBER('종합 현황'!$H$5)),"관찰기준 확인",IF('종합 현황'!$H$5&lt;1,"관찰기준 확인",IF(N2346&gt;'종합 현황'!$H$5,"내부 관찰 대상","내부 관찰일 이하")))))</x:f>
        <x:v>내부 관찰 대상</x:v>
      </x:c>
      <x:c r="AB2346" s="2"/>
    </x:row>
    <x:row r="2347" ht="42" customHeight="1">
      <x:c r="A2347" s="2" t="str">
        <x:v>03601fb9a0ad8b752c2f1936</x:v>
      </x:c>
      <x:c r="B2347" s="2" t="str">
        <x:v>감축량 인증</x:v>
      </x:c>
      <x:c r="C2347" s="2" t="str">
        <x:v>국내</x:v>
      </x:c>
      <x:c r="D2347" s="7" t="str">
        <x:v>휴켐스 질산공장 N2O 감축사업(휴켐스 주식회사의 질산 공장 세 곳에서 tail gas에 포함된 아산화질소를 촉매를 사용하여 제거하는 프로젝트)</x:v>
      </x:c>
      <x:c r="E2347" s="2" t="str">
        <x:v>587</x:v>
      </x:c>
      <x:c r="F2347" s="2" t="str">
        <x:v>2024-12-12</x:v>
      </x:c>
      <x:c r="G2347" s="2" t="str">
        <x:v>2024</x:v>
      </x:c>
      <x:c r="H2347" s="2" t="str">
        <x:v>12</x:v>
      </x:c>
      <x:c r="I2347" s="2" t="str">
        <x:v>심의승인</x:v>
      </x:c>
      <x:c r="J2347" s="2" t="str">
        <x:v>심의승인</x:v>
      </x:c>
      <x:c r="K2347" s="2" t="str">
        <x:f>IF(OR(J2347="심의승인",J2347="반려",J2347="반려완료",J2347="심의완료"),"종결 표시",IF(OR(J2347="기후부협의",J2347="문서재제출요청",J2347="보류",J2347="보완요청",J2347="보완완료",J2347="평가중",J2347="반려요청",J2347="평가필요",LEFT(J2347,5)="보완요청("),"미종결 표시","상태 확인 필요"))</x:f>
        <x:v>종결 표시</x:v>
      </x:c>
      <x:c r="L2347" s="2" t="str">
        <x:v>에코시안_조은지</x:v>
      </x:c>
      <x:c r="M2347" s="2"/>
      <x:c r="N2347" s="8" t="n">
        <x:f>DATE(2026,10,15)-DATE(2024,12,12)</x:f>
        <x:v>672</x:v>
      </x:c>
      <x:c r="O2347" s="2"/>
      <x:c r="P2347" s="2" t="str">
        <x:v>24.6 갱신 사업계획서 승인. 제출 시점 무관</x:v>
      </x:c>
      <x:c r="Q2347" s="2" t="str">
        <x:v>산업전환_외부사업관리Tool_260707_이너젠 수정_LJY_261013.xlsx</x:v>
      </x:c>
      <x:c r="R2347" s="2" t="str">
        <x:v>국내인증</x:v>
      </x:c>
      <x:c r="S2347" s="8" t="n">
        <x:v>665</x:v>
      </x:c>
      <x:c r="T2347" s="2" t="str">
        <x:v>(1/8),(3/5)</x:v>
      </x:c>
      <x:c r="U2347" s="2" t="str">
        <x:v>2025 배정: (1/8),(3/5)</x:v>
      </x:c>
      <x:c r="V2347" s="2" t="str">
        <x:v>2025-06-13</x:v>
      </x:c>
      <x:c r="W2347" s="2" t="str"/>
      <x:c r="X2347" s="2" t="str">
        <x:v>종결 근거 보관</x:v>
      </x:c>
      <x:c r="Y2347" s="2" t="str">
        <x:v>ad210cd9ec132cfd447541c8984dc53d30aff0f4fb2dc92d254d49275cc55976</x:v>
      </x:c>
      <x:c r="Z2347" s="2" t="n">
        <x:f>SUBTOTAL(103,A2347)</x:f>
        <x:v>1</x:v>
      </x:c>
      <x:c r="AA2347" s="2" t="str">
        <x:f>IF(K2347&lt;&gt;"미종결 표시","대상 아님",IF(N2347="","신청일 확인",IF(NOT(ISNUMBER('종합 현황'!$H$5)),"관찰기준 확인",IF('종합 현황'!$H$5&lt;1,"관찰기준 확인",IF(N2347&gt;'종합 현황'!$H$5,"내부 관찰 대상","내부 관찰일 이하")))))</x:f>
        <x:v>대상 아님</x:v>
      </x:c>
      <x:c r="AB2347" s="2"/>
    </x:row>
    <x:row r="2348" ht="42" customHeight="1">
      <x:c r="A2348" s="2" t="str">
        <x:v>7e324d4e6e1750e450b8830d</x:v>
      </x:c>
      <x:c r="B2348" s="2" t="str">
        <x:v>감축량 인증</x:v>
      </x:c>
      <x:c r="C2348" s="2" t="str">
        <x:v>국내</x:v>
      </x:c>
      <x:c r="D2348" s="7" t="str">
        <x:v>웅진식품(주) 연료전환(B-B유, 감압정제유 → LNG)을 통한 온실가스 배출 감축사업</x:v>
      </x:c>
      <x:c r="E2348" s="2" t="str">
        <x:v>588</x:v>
      </x:c>
      <x:c r="F2348" s="2" t="str">
        <x:v>2025-02-11</x:v>
      </x:c>
      <x:c r="G2348" s="2" t="str">
        <x:v>2025</x:v>
      </x:c>
      <x:c r="H2348" s="2" t="str">
        <x:v>02</x:v>
      </x:c>
      <x:c r="I2348" s="2" t="str">
        <x:v>심의승인</x:v>
      </x:c>
      <x:c r="J2348" s="2" t="str">
        <x:v>심의승인</x:v>
      </x:c>
      <x:c r="K2348" s="2" t="str">
        <x:f>IF(OR(J2348="심의승인",J2348="반려",J2348="반려완료",J2348="심의완료"),"종결 표시",IF(OR(J2348="기후부협의",J2348="문서재제출요청",J2348="보류",J2348="보완요청",J2348="보완완료",J2348="평가중",J2348="반려요청",J2348="평가필요",LEFT(J2348,5)="보완요청("),"미종결 표시","상태 확인 필요"))</x:f>
        <x:v>종결 표시</x:v>
      </x:c>
      <x:c r="L2348" s="2" t="str">
        <x:v>KECM</x:v>
      </x:c>
      <x:c r="M2348" s="2"/>
      <x:c r="N2348" s="8" t="n">
        <x:f>DATE(2026,10,15)-DATE(2025,2,11)</x:f>
        <x:v>611</x:v>
      </x:c>
      <x:c r="O2348" s="2"/>
      <x:c r="P2348" s="2"/>
      <x:c r="Q2348" s="2" t="str">
        <x:v>산업전환_외부사업관리Tool_260707_이너젠 수정_LJY_261013.xlsx</x:v>
      </x:c>
      <x:c r="R2348" s="2" t="str">
        <x:v>국내인증</x:v>
      </x:c>
      <x:c r="S2348" s="8" t="n">
        <x:v>666</x:v>
      </x:c>
      <x:c r="T2348" s="2" t="str">
        <x:v>(3/5),(5/9),(6/26),(8/8)</x:v>
      </x:c>
      <x:c r="U2348" s="2" t="str">
        <x:v>2025 배정: (3/5),(5/9),(6/26),(8/8)</x:v>
      </x:c>
      <x:c r="V2348" s="2" t="str">
        <x:v>2025-12-09</x:v>
      </x:c>
      <x:c r="W2348" s="2" t="str"/>
      <x:c r="X2348" s="2" t="str">
        <x:v>종결 근거 보관</x:v>
      </x:c>
      <x:c r="Y2348" s="2" t="str">
        <x:v>ad210cd9ec132cfd447541c8984dc53d30aff0f4fb2dc92d254d49275cc55976</x:v>
      </x:c>
      <x:c r="Z2348" s="2" t="n">
        <x:f>SUBTOTAL(103,A2348)</x:f>
        <x:v>1</x:v>
      </x:c>
      <x:c r="AA2348" s="2" t="str">
        <x:f>IF(K2348&lt;&gt;"미종결 표시","대상 아님",IF(N2348="","신청일 확인",IF(NOT(ISNUMBER('종합 현황'!$H$5)),"관찰기준 확인",IF('종합 현황'!$H$5&lt;1,"관찰기준 확인",IF(N2348&gt;'종합 현황'!$H$5,"내부 관찰 대상","내부 관찰일 이하")))))</x:f>
        <x:v>대상 아님</x:v>
      </x:c>
      <x:c r="AB2348" s="2"/>
    </x:row>
    <x:row r="2349" ht="42" customHeight="1">
      <x:c r="A2349" s="2" t="str">
        <x:v>b7fa9ec3fdc9727be155f7de</x:v>
      </x:c>
      <x:c r="B2349" s="2" t="str">
        <x:v>감축량 인증</x:v>
      </x:c>
      <x:c r="C2349" s="2" t="str">
        <x:v>국내</x:v>
      </x:c>
      <x:c r="D2349" s="7" t="str">
        <x:v>휴켐스 질산공장 N2O 감축사업(휴켐스 주식회사의 질산 공장 세 곳에서 tail gas에 포함된 아산화질소를 촉매를 사용하여 제거하는 프로젝트)</x:v>
      </x:c>
      <x:c r="E2349" s="2" t="str">
        <x:v>589</x:v>
      </x:c>
      <x:c r="F2349" s="2" t="str">
        <x:v>2025-03-28</x:v>
      </x:c>
      <x:c r="G2349" s="2" t="str">
        <x:v>2025</x:v>
      </x:c>
      <x:c r="H2349" s="2" t="str">
        <x:v>03</x:v>
      </x:c>
      <x:c r="I2349" s="2" t="str">
        <x:v>심의승인</x:v>
      </x:c>
      <x:c r="J2349" s="2" t="str">
        <x:v>심의승인</x:v>
      </x:c>
      <x:c r="K2349" s="2" t="str">
        <x:f>IF(OR(J2349="심의승인",J2349="반려",J2349="반려완료",J2349="심의완료"),"종결 표시",IF(OR(J2349="기후부협의",J2349="문서재제출요청",J2349="보류",J2349="보완요청",J2349="보완완료",J2349="평가중",J2349="반려요청",J2349="평가필요",LEFT(J2349,5)="보완요청("),"미종결 표시","상태 확인 필요"))</x:f>
        <x:v>종결 표시</x:v>
      </x:c>
      <x:c r="L2349" s="2" t="str">
        <x:v>에코시안_조은지</x:v>
      </x:c>
      <x:c r="M2349" s="2"/>
      <x:c r="N2349" s="8" t="n">
        <x:f>DATE(2026,10,15)-DATE(2025,3,28)</x:f>
        <x:v>566</x:v>
      </x:c>
      <x:c r="O2349" s="2"/>
      <x:c r="P2349" s="2"/>
      <x:c r="Q2349" s="2" t="str">
        <x:v>산업전환_외부사업관리Tool_260707_이너젠 수정_LJY_261013.xlsx</x:v>
      </x:c>
      <x:c r="R2349" s="2" t="str">
        <x:v>국내인증</x:v>
      </x:c>
      <x:c r="S2349" s="8" t="n">
        <x:v>667</x:v>
      </x:c>
      <x:c r="T2349" s="2" t="str">
        <x:v>(4/9),(5/30)</x:v>
      </x:c>
      <x:c r="U2349" s="2" t="str">
        <x:v>2025 배정: (4/9),(5/30)</x:v>
      </x:c>
      <x:c r="V2349" s="2" t="str">
        <x:v>2025-09-10</x:v>
      </x:c>
      <x:c r="W2349" s="2" t="str"/>
      <x:c r="X2349" s="2" t="str">
        <x:v>종결 근거 보관</x:v>
      </x:c>
      <x:c r="Y2349" s="2" t="str">
        <x:v>ad210cd9ec132cfd447541c8984dc53d30aff0f4fb2dc92d254d49275cc55976</x:v>
      </x:c>
      <x:c r="Z2349" s="2" t="n">
        <x:f>SUBTOTAL(103,A2349)</x:f>
        <x:v>1</x:v>
      </x:c>
      <x:c r="AA2349" s="2" t="str">
        <x:f>IF(K2349&lt;&gt;"미종결 표시","대상 아님",IF(N2349="","신청일 확인",IF(NOT(ISNUMBER('종합 현황'!$H$5)),"관찰기준 확인",IF('종합 현황'!$H$5&lt;1,"관찰기준 확인",IF(N2349&gt;'종합 현황'!$H$5,"내부 관찰 대상","내부 관찰일 이하")))))</x:f>
        <x:v>대상 아님</x:v>
      </x:c>
      <x:c r="AB2349" s="2"/>
    </x:row>
    <x:row r="2350" ht="42" customHeight="1">
      <x:c r="A2350" s="2" t="str">
        <x:v>1792602967441cbddd6eafef</x:v>
      </x:c>
      <x:c r="B2350" s="2" t="str">
        <x:v>감축량 인증</x:v>
      </x:c>
      <x:c r="C2350" s="2" t="str">
        <x:v>국내</x:v>
      </x:c>
      <x:c r="D2350" s="7" t="str">
        <x:v>부산 금곡2단지 아파트 연료전환을 통한 온실가스 단위감축사업</x:v>
      </x:c>
      <x:c r="E2350" s="2" t="str">
        <x:v>590</x:v>
      </x:c>
      <x:c r="F2350" s="2" t="str">
        <x:v>2025-03-31</x:v>
      </x:c>
      <x:c r="G2350" s="2" t="str">
        <x:v>2025</x:v>
      </x:c>
      <x:c r="H2350" s="2" t="str">
        <x:v>03</x:v>
      </x:c>
      <x:c r="I2350" s="2" t="str">
        <x:v>심의승인</x:v>
      </x:c>
      <x:c r="J2350" s="2" t="str">
        <x:v>심의승인</x:v>
      </x:c>
      <x:c r="K2350" s="2" t="str">
        <x:f>IF(OR(J2350="심의승인",J2350="반려",J2350="반려완료",J2350="심의완료"),"종결 표시",IF(OR(J2350="기후부협의",J2350="문서재제출요청",J2350="보류",J2350="보완요청",J2350="보완완료",J2350="평가중",J2350="반려요청",J2350="평가필요",LEFT(J2350,5)="보완요청("),"미종결 표시","상태 확인 필요"))</x:f>
        <x:v>종결 표시</x:v>
      </x:c>
      <x:c r="L2350" s="2" t="str">
        <x:v>KECM</x:v>
      </x:c>
      <x:c r="M2350" s="2"/>
      <x:c r="N2350" s="8" t="n">
        <x:f>DATE(2026,10,15)-DATE(2025,3,31)</x:f>
        <x:v>563</x:v>
      </x:c>
      <x:c r="O2350" s="2"/>
      <x:c r="P2350" s="2"/>
      <x:c r="Q2350" s="2" t="str">
        <x:v>산업전환_외부사업관리Tool_260707_이너젠 수정_LJY_261013.xlsx</x:v>
      </x:c>
      <x:c r="R2350" s="2" t="str">
        <x:v>국내인증</x:v>
      </x:c>
      <x:c r="S2350" s="8" t="n">
        <x:v>668</x:v>
      </x:c>
      <x:c r="T2350" s="2" t="str">
        <x:v>(4/9),(5/30),(7/18),(9/16),(10/16)</x:v>
      </x:c>
      <x:c r="U2350" s="2" t="str">
        <x:v>2025 배정: (4/9),(5/30),(7/18),(9/16),(10/16)</x:v>
      </x:c>
      <x:c r="V2350" s="2" t="str">
        <x:v>2026-03-11</x:v>
      </x:c>
      <x:c r="W2350" s="2" t="str"/>
      <x:c r="X2350" s="2" t="str">
        <x:v>종결 근거 보관</x:v>
      </x:c>
      <x:c r="Y2350" s="2" t="str">
        <x:v>ad210cd9ec132cfd447541c8984dc53d30aff0f4fb2dc92d254d49275cc55976</x:v>
      </x:c>
      <x:c r="Z2350" s="2" t="n">
        <x:f>SUBTOTAL(103,A2350)</x:f>
        <x:v>1</x:v>
      </x:c>
      <x:c r="AA2350" s="2" t="str">
        <x:f>IF(K2350&lt;&gt;"미종결 표시","대상 아님",IF(N2350="","신청일 확인",IF(NOT(ISNUMBER('종합 현황'!$H$5)),"관찰기준 확인",IF('종합 현황'!$H$5&lt;1,"관찰기준 확인",IF(N2350&gt;'종합 현황'!$H$5,"내부 관찰 대상","내부 관찰일 이하")))))</x:f>
        <x:v>대상 아님</x:v>
      </x:c>
      <x:c r="AB2350" s="2"/>
    </x:row>
    <x:row r="2351" ht="42" customHeight="1">
      <x:c r="A2351" s="2" t="str">
        <x:v>cad362b6b6caf02f4a6bfb4d</x:v>
      </x:c>
      <x:c r="B2351" s="2" t="str">
        <x:v>감축량 인증</x:v>
      </x:c>
      <x:c r="C2351" s="2" t="str">
        <x:v>국내</x:v>
      </x:c>
      <x:c r="D2351" s="7" t="str">
        <x:v>부산 금곡4단지 아파트 연료전환을 통한 온실가스 단위감축사업</x:v>
      </x:c>
      <x:c r="E2351" s="2" t="str">
        <x:v>591</x:v>
      </x:c>
      <x:c r="F2351" s="2" t="str">
        <x:v>2025-03-31</x:v>
      </x:c>
      <x:c r="G2351" s="2" t="str">
        <x:v>2025</x:v>
      </x:c>
      <x:c r="H2351" s="2" t="str">
        <x:v>03</x:v>
      </x:c>
      <x:c r="I2351" s="2" t="str">
        <x:v>심의승인</x:v>
      </x:c>
      <x:c r="J2351" s="2" t="str">
        <x:v>심의승인</x:v>
      </x:c>
      <x:c r="K2351" s="2" t="str">
        <x:f>IF(OR(J2351="심의승인",J2351="반려",J2351="반려완료",J2351="심의완료"),"종결 표시",IF(OR(J2351="기후부협의",J2351="문서재제출요청",J2351="보류",J2351="보완요청",J2351="보완완료",J2351="평가중",J2351="반려요청",J2351="평가필요",LEFT(J2351,5)="보완요청("),"미종결 표시","상태 확인 필요"))</x:f>
        <x:v>종결 표시</x:v>
      </x:c>
      <x:c r="L2351" s="2" t="str">
        <x:v>KECM</x:v>
      </x:c>
      <x:c r="M2351" s="2"/>
      <x:c r="N2351" s="8" t="n">
        <x:f>DATE(2026,10,15)-DATE(2025,3,31)</x:f>
        <x:v>563</x:v>
      </x:c>
      <x:c r="O2351" s="2"/>
      <x:c r="P2351" s="2"/>
      <x:c r="Q2351" s="2" t="str">
        <x:v>산업전환_외부사업관리Tool_260707_이너젠 수정_LJY_261013.xlsx</x:v>
      </x:c>
      <x:c r="R2351" s="2" t="str">
        <x:v>국내인증</x:v>
      </x:c>
      <x:c r="S2351" s="8" t="n">
        <x:v>669</x:v>
      </x:c>
      <x:c r="T2351" s="2" t="str">
        <x:v>(4/9),(5/30),(6/26),(7/18)</x:v>
      </x:c>
      <x:c r="U2351" s="2" t="str">
        <x:v>2025 배정: (4/9),(5/30),(6/26),(7/18)</x:v>
      </x:c>
      <x:c r="V2351" s="2" t="str">
        <x:v>2025-12-09</x:v>
      </x:c>
      <x:c r="W2351" s="2" t="str"/>
      <x:c r="X2351" s="2" t="str">
        <x:v>종결 근거 보관</x:v>
      </x:c>
      <x:c r="Y2351" s="2" t="str">
        <x:v>ad210cd9ec132cfd447541c8984dc53d30aff0f4fb2dc92d254d49275cc55976</x:v>
      </x:c>
      <x:c r="Z2351" s="2" t="n">
        <x:f>SUBTOTAL(103,A2351)</x:f>
        <x:v>1</x:v>
      </x:c>
      <x:c r="AA2351" s="2" t="str">
        <x:f>IF(K2351&lt;&gt;"미종결 표시","대상 아님",IF(N2351="","신청일 확인",IF(NOT(ISNUMBER('종합 현황'!$H$5)),"관찰기준 확인",IF('종합 현황'!$H$5&lt;1,"관찰기준 확인",IF(N2351&gt;'종합 현황'!$H$5,"내부 관찰 대상","내부 관찰일 이하")))))</x:f>
        <x:v>대상 아님</x:v>
      </x:c>
      <x:c r="AB2351" s="2"/>
    </x:row>
    <x:row r="2352" ht="42" customHeight="1">
      <x:c r="A2352" s="2" t="str">
        <x:v>16e3a99d0741b6cd1f9e1b2f</x:v>
      </x:c>
      <x:c r="B2352" s="2" t="str">
        <x:v>감축량 인증</x:v>
      </x:c>
      <x:c r="C2352" s="2" t="str">
        <x:v>국내</x:v>
      </x:c>
      <x:c r="D2352" s="7" t="str">
        <x:v>안동 옥동2단지 아파트 연료전환을 통한 온실가스 단위감축사업</x:v>
      </x:c>
      <x:c r="E2352" s="2" t="str">
        <x:v>592</x:v>
      </x:c>
      <x:c r="F2352" s="2" t="str">
        <x:v>2025-03-31</x:v>
      </x:c>
      <x:c r="G2352" s="2" t="str">
        <x:v>2025</x:v>
      </x:c>
      <x:c r="H2352" s="2" t="str">
        <x:v>03</x:v>
      </x:c>
      <x:c r="I2352" s="2" t="str">
        <x:v>심의승인</x:v>
      </x:c>
      <x:c r="J2352" s="2" t="str">
        <x:v>심의승인</x:v>
      </x:c>
      <x:c r="K2352" s="2" t="str">
        <x:f>IF(OR(J2352="심의승인",J2352="반려",J2352="반려완료",J2352="심의완료"),"종결 표시",IF(OR(J2352="기후부협의",J2352="문서재제출요청",J2352="보류",J2352="보완요청",J2352="보완완료",J2352="평가중",J2352="반려요청",J2352="평가필요",LEFT(J2352,5)="보완요청("),"미종결 표시","상태 확인 필요"))</x:f>
        <x:v>종결 표시</x:v>
      </x:c>
      <x:c r="L2352" s="2" t="str">
        <x:v>KECM</x:v>
      </x:c>
      <x:c r="M2352" s="2"/>
      <x:c r="N2352" s="8" t="n">
        <x:f>DATE(2026,10,15)-DATE(2025,3,31)</x:f>
        <x:v>563</x:v>
      </x:c>
      <x:c r="O2352" s="2"/>
      <x:c r="P2352" s="2"/>
      <x:c r="Q2352" s="2" t="str">
        <x:v>산업전환_외부사업관리Tool_260707_이너젠 수정_LJY_261013.xlsx</x:v>
      </x:c>
      <x:c r="R2352" s="2" t="str">
        <x:v>국내인증</x:v>
      </x:c>
      <x:c r="S2352" s="8" t="n">
        <x:v>670</x:v>
      </x:c>
      <x:c r="T2352" s="2" t="str">
        <x:v>(4/9),(5/30)</x:v>
      </x:c>
      <x:c r="U2352" s="2" t="str">
        <x:v>2025 배정: (4/9),(5/30)</x:v>
      </x:c>
      <x:c r="V2352" s="2" t="str">
        <x:v>2025-09-10</x:v>
      </x:c>
      <x:c r="W2352" s="2" t="str"/>
      <x:c r="X2352" s="2" t="str">
        <x:v>종결 근거 보관</x:v>
      </x:c>
      <x:c r="Y2352" s="2" t="str">
        <x:v>ad210cd9ec132cfd447541c8984dc53d30aff0f4fb2dc92d254d49275cc55976</x:v>
      </x:c>
      <x:c r="Z2352" s="2" t="n">
        <x:f>SUBTOTAL(103,A2352)</x:f>
        <x:v>1</x:v>
      </x:c>
      <x:c r="AA2352" s="2" t="str">
        <x:f>IF(K2352&lt;&gt;"미종결 표시","대상 아님",IF(N2352="","신청일 확인",IF(NOT(ISNUMBER('종합 현황'!$H$5)),"관찰기준 확인",IF('종합 현황'!$H$5&lt;1,"관찰기준 확인",IF(N2352&gt;'종합 현황'!$H$5,"내부 관찰 대상","내부 관찰일 이하")))))</x:f>
        <x:v>대상 아님</x:v>
      </x:c>
      <x:c r="AB2352" s="2"/>
    </x:row>
    <x:row r="2353" ht="42" customHeight="1">
      <x:c r="A2353" s="2" t="str">
        <x:v>c2465d8858c99119cb4fbd54</x:v>
      </x:c>
      <x:c r="B2353" s="2" t="str">
        <x:v>감축량 인증</x:v>
      </x:c>
      <x:c r="C2353" s="2" t="str">
        <x:v>국내</x:v>
      </x:c>
      <x:c r="D2353" s="7" t="str">
        <x:v>영주 가흥1,2단지아파트 연료전환을 통한 온실가스 단위감축사업</x:v>
      </x:c>
      <x:c r="E2353" s="2" t="str">
        <x:v>593</x:v>
      </x:c>
      <x:c r="F2353" s="2" t="str">
        <x:v>2025-03-31</x:v>
      </x:c>
      <x:c r="G2353" s="2" t="str">
        <x:v>2025</x:v>
      </x:c>
      <x:c r="H2353" s="2" t="str">
        <x:v>03</x:v>
      </x:c>
      <x:c r="I2353" s="2" t="str">
        <x:v>심의승인</x:v>
      </x:c>
      <x:c r="J2353" s="2" t="str">
        <x:v>심의승인</x:v>
      </x:c>
      <x:c r="K2353" s="2" t="str">
        <x:f>IF(OR(J2353="심의승인",J2353="반려",J2353="반려완료",J2353="심의완료"),"종결 표시",IF(OR(J2353="기후부협의",J2353="문서재제출요청",J2353="보류",J2353="보완요청",J2353="보완완료",J2353="평가중",J2353="반려요청",J2353="평가필요",LEFT(J2353,5)="보완요청("),"미종결 표시","상태 확인 필요"))</x:f>
        <x:v>종결 표시</x:v>
      </x:c>
      <x:c r="L2353" s="2" t="str">
        <x:v>에코시안_조영우</x:v>
      </x:c>
      <x:c r="M2353" s="2"/>
      <x:c r="N2353" s="8" t="n">
        <x:f>DATE(2026,10,15)-DATE(2025,3,31)</x:f>
        <x:v>563</x:v>
      </x:c>
      <x:c r="O2353" s="2"/>
      <x:c r="P2353" s="2"/>
      <x:c r="Q2353" s="2" t="str">
        <x:v>산업전환_외부사업관리Tool_260707_이너젠 수정_LJY_261013.xlsx</x:v>
      </x:c>
      <x:c r="R2353" s="2" t="str">
        <x:v>국내인증</x:v>
      </x:c>
      <x:c r="S2353" s="8" t="n">
        <x:v>671</x:v>
      </x:c>
      <x:c r="T2353" s="2" t="str">
        <x:v>(4/9),(5/30)</x:v>
      </x:c>
      <x:c r="U2353" s="2" t="str">
        <x:v>2025 배정: (4/9),(5/30)</x:v>
      </x:c>
      <x:c r="V2353" s="2" t="str">
        <x:v>2025-09-10</x:v>
      </x:c>
      <x:c r="W2353" s="2" t="str"/>
      <x:c r="X2353" s="2" t="str">
        <x:v>종결 근거 보관</x:v>
      </x:c>
      <x:c r="Y2353" s="2" t="str">
        <x:v>ad210cd9ec132cfd447541c8984dc53d30aff0f4fb2dc92d254d49275cc55976</x:v>
      </x:c>
      <x:c r="Z2353" s="2" t="n">
        <x:f>SUBTOTAL(103,A2353)</x:f>
        <x:v>1</x:v>
      </x:c>
      <x:c r="AA2353" s="2" t="str">
        <x:f>IF(K2353&lt;&gt;"미종결 표시","대상 아님",IF(N2353="","신청일 확인",IF(NOT(ISNUMBER('종합 현황'!$H$5)),"관찰기준 확인",IF('종합 현황'!$H$5&lt;1,"관찰기준 확인",IF(N2353&gt;'종합 현황'!$H$5,"내부 관찰 대상","내부 관찰일 이하")))))</x:f>
        <x:v>대상 아님</x:v>
      </x:c>
      <x:c r="AB2353" s="2"/>
    </x:row>
    <x:row r="2354" ht="42" customHeight="1">
      <x:c r="A2354" s="2" t="str">
        <x:v>6cc757030ba75fd5ae84b7a1</x:v>
      </x:c>
      <x:c r="B2354" s="2" t="str">
        <x:v>감축량 인증</x:v>
      </x:c>
      <x:c r="C2354" s="2" t="str">
        <x:v>국내</x:v>
      </x:c>
      <x:c r="D2354" s="7" t="str">
        <x:v>플루오린코리아 주식회사 육불화황 회수 및 플라즈마 분해를 통한 온실가스 배출 감축사업</x:v>
      </x:c>
      <x:c r="E2354" s="2" t="str">
        <x:v>594</x:v>
      </x:c>
      <x:c r="F2354" s="2" t="str">
        <x:v>2025-04-01</x:v>
      </x:c>
      <x:c r="G2354" s="2" t="str">
        <x:v>2025</x:v>
      </x:c>
      <x:c r="H2354" s="2" t="str">
        <x:v>04</x:v>
      </x:c>
      <x:c r="I2354" s="2" t="str">
        <x:v>심의승인</x:v>
      </x:c>
      <x:c r="J2354" s="2" t="str">
        <x:v>심의승인</x:v>
      </x:c>
      <x:c r="K2354" s="2" t="str">
        <x:f>IF(OR(J2354="심의승인",J2354="반려",J2354="반려완료",J2354="심의완료"),"종결 표시",IF(OR(J2354="기후부협의",J2354="문서재제출요청",J2354="보류",J2354="보완요청",J2354="보완완료",J2354="평가중",J2354="반려요청",J2354="평가필요",LEFT(J2354,5)="보완요청("),"미종결 표시","상태 확인 필요"))</x:f>
        <x:v>종결 표시</x:v>
      </x:c>
      <x:c r="L2354" s="2" t="str">
        <x:v>KECM</x:v>
      </x:c>
      <x:c r="M2354" s="2"/>
      <x:c r="N2354" s="8" t="n">
        <x:f>DATE(2026,10,15)-DATE(2025,4,1)</x:f>
        <x:v>562</x:v>
      </x:c>
      <x:c r="O2354" s="2"/>
      <x:c r="P2354" s="2"/>
      <x:c r="Q2354" s="2" t="str">
        <x:v>산업전환_외부사업관리Tool_260707_이너젠 수정_LJY_261013.xlsx</x:v>
      </x:c>
      <x:c r="R2354" s="2" t="str">
        <x:v>국내인증</x:v>
      </x:c>
      <x:c r="S2354" s="8" t="n">
        <x:v>672</x:v>
      </x:c>
      <x:c r="T2354" s="2" t="str">
        <x:v>(4/17),(5/30)</x:v>
      </x:c>
      <x:c r="U2354" s="2" t="str">
        <x:v>2025 배정: (4/17),(5/30)</x:v>
      </x:c>
      <x:c r="V2354" s="2" t="str">
        <x:v>2025-09-10</x:v>
      </x:c>
      <x:c r="W2354" s="2" t="str"/>
      <x:c r="X2354" s="2" t="str">
        <x:v>종결 근거 보관</x:v>
      </x:c>
      <x:c r="Y2354" s="2" t="str">
        <x:v>ad210cd9ec132cfd447541c8984dc53d30aff0f4fb2dc92d254d49275cc55976</x:v>
      </x:c>
      <x:c r="Z2354" s="2" t="n">
        <x:f>SUBTOTAL(103,A2354)</x:f>
        <x:v>1</x:v>
      </x:c>
      <x:c r="AA2354" s="2" t="str">
        <x:f>IF(K2354&lt;&gt;"미종결 표시","대상 아님",IF(N2354="","신청일 확인",IF(NOT(ISNUMBER('종합 현황'!$H$5)),"관찰기준 확인",IF('종합 현황'!$H$5&lt;1,"관찰기준 확인",IF(N2354&gt;'종합 현황'!$H$5,"내부 관찰 대상","내부 관찰일 이하")))))</x:f>
        <x:v>대상 아님</x:v>
      </x:c>
      <x:c r="AB2354" s="2"/>
    </x:row>
    <x:row r="2355" ht="42" customHeight="1">
      <x:c r="A2355" s="2" t="str">
        <x:v>aa66e0a393f02d44ae1ed2d9</x:v>
      </x:c>
      <x:c r="B2355" s="2" t="str">
        <x:v>감축량 인증</x:v>
      </x:c>
      <x:c r="C2355" s="2" t="str">
        <x:v>국내</x:v>
      </x:c>
      <x:c r="D2355" s="7" t="str">
        <x:v>대전 법동 주공 3단지 아파트 연료전환을 통한 온실가스 단위감축사업</x:v>
      </x:c>
      <x:c r="E2355" s="2" t="str">
        <x:v>595</x:v>
      </x:c>
      <x:c r="F2355" s="2" t="str">
        <x:v>2025-04-15</x:v>
      </x:c>
      <x:c r="G2355" s="2" t="str">
        <x:v>2025</x:v>
      </x:c>
      <x:c r="H2355" s="2" t="str">
        <x:v>04</x:v>
      </x:c>
      <x:c r="I2355" s="2" t="str">
        <x:v>심의승인</x:v>
      </x:c>
      <x:c r="J2355" s="2" t="str">
        <x:v>심의승인</x:v>
      </x:c>
      <x:c r="K2355" s="2" t="str">
        <x:f>IF(OR(J2355="심의승인",J2355="반려",J2355="반려완료",J2355="심의완료"),"종결 표시",IF(OR(J2355="기후부협의",J2355="문서재제출요청",J2355="보류",J2355="보완요청",J2355="보완완료",J2355="평가중",J2355="반려요청",J2355="평가필요",LEFT(J2355,5)="보완요청("),"미종결 표시","상태 확인 필요"))</x:f>
        <x:v>종결 표시</x:v>
      </x:c>
      <x:c r="L2355" s="2" t="str">
        <x:v>KECM</x:v>
      </x:c>
      <x:c r="M2355" s="2"/>
      <x:c r="N2355" s="8" t="n">
        <x:f>DATE(2026,10,15)-DATE(2025,4,15)</x:f>
        <x:v>548</x:v>
      </x:c>
      <x:c r="O2355" s="2"/>
      <x:c r="P2355" s="2"/>
      <x:c r="Q2355" s="2" t="str">
        <x:v>산업전환_외부사업관리Tool_260707_이너젠 수정_LJY_261013.xlsx</x:v>
      </x:c>
      <x:c r="R2355" s="2" t="str">
        <x:v>국내인증</x:v>
      </x:c>
      <x:c r="S2355" s="8" t="n">
        <x:v>673</x:v>
      </x:c>
      <x:c r="T2355" s="2" t="str">
        <x:v>(4/17),(6/26),(8/8)</x:v>
      </x:c>
      <x:c r="U2355" s="2" t="str">
        <x:v>2025 배정: (4/17),(6/26),(8/8)</x:v>
      </x:c>
      <x:c r="V2355" s="2" t="str">
        <x:v>2025-12-09</x:v>
      </x:c>
      <x:c r="W2355" s="2" t="str"/>
      <x:c r="X2355" s="2" t="str">
        <x:v>종결 근거 보관</x:v>
      </x:c>
      <x:c r="Y2355" s="2" t="str">
        <x:v>ad210cd9ec132cfd447541c8984dc53d30aff0f4fb2dc92d254d49275cc55976</x:v>
      </x:c>
      <x:c r="Z2355" s="2" t="n">
        <x:f>SUBTOTAL(103,A2355)</x:f>
        <x:v>1</x:v>
      </x:c>
      <x:c r="AA2355" s="2" t="str">
        <x:f>IF(K2355&lt;&gt;"미종결 표시","대상 아님",IF(N2355="","신청일 확인",IF(NOT(ISNUMBER('종합 현황'!$H$5)),"관찰기준 확인",IF('종합 현황'!$H$5&lt;1,"관찰기준 확인",IF(N2355&gt;'종합 현황'!$H$5,"내부 관찰 대상","내부 관찰일 이하")))))</x:f>
        <x:v>대상 아님</x:v>
      </x:c>
      <x:c r="AB2355" s="2"/>
    </x:row>
    <x:row r="2356" ht="42" customHeight="1">
      <x:c r="A2356" s="2" t="str">
        <x:v>2ee15a6b8f03c134b3b70832</x:v>
      </x:c>
      <x:c r="B2356" s="2" t="str">
        <x:v>감축량 인증</x:v>
      </x:c>
      <x:c r="C2356" s="2" t="str">
        <x:v>국내</x:v>
      </x:c>
      <x:c r="D2356" s="7" t="str">
        <x:v>대전 중촌 2단지 아파트 연료전환을 통한 온실가스 단위감축사업</x:v>
      </x:c>
      <x:c r="E2356" s="2" t="str">
        <x:v>596</x:v>
      </x:c>
      <x:c r="F2356" s="2" t="str">
        <x:v>2025-04-15</x:v>
      </x:c>
      <x:c r="G2356" s="2" t="str">
        <x:v>2025</x:v>
      </x:c>
      <x:c r="H2356" s="2" t="str">
        <x:v>04</x:v>
      </x:c>
      <x:c r="I2356" s="2" t="str">
        <x:v>심의승인</x:v>
      </x:c>
      <x:c r="J2356" s="2" t="str">
        <x:v>심의승인</x:v>
      </x:c>
      <x:c r="K2356" s="2" t="str">
        <x:f>IF(OR(J2356="심의승인",J2356="반려",J2356="반려완료",J2356="심의완료"),"종결 표시",IF(OR(J2356="기후부협의",J2356="문서재제출요청",J2356="보류",J2356="보완요청",J2356="보완완료",J2356="평가중",J2356="반려요청",J2356="평가필요",LEFT(J2356,5)="보완요청("),"미종결 표시","상태 확인 필요"))</x:f>
        <x:v>종결 표시</x:v>
      </x:c>
      <x:c r="L2356" s="2" t="str">
        <x:v>KECM</x:v>
      </x:c>
      <x:c r="M2356" s="2"/>
      <x:c r="N2356" s="8" t="n">
        <x:f>DATE(2026,10,15)-DATE(2025,4,15)</x:f>
        <x:v>548</x:v>
      </x:c>
      <x:c r="O2356" s="2"/>
      <x:c r="P2356" s="2"/>
      <x:c r="Q2356" s="2" t="str">
        <x:v>산업전환_외부사업관리Tool_260707_이너젠 수정_LJY_261013.xlsx</x:v>
      </x:c>
      <x:c r="R2356" s="2" t="str">
        <x:v>국내인증</x:v>
      </x:c>
      <x:c r="S2356" s="8" t="n">
        <x:v>674</x:v>
      </x:c>
      <x:c r="T2356" s="2" t="str">
        <x:v>(4/17)</x:v>
      </x:c>
      <x:c r="U2356" s="2" t="str">
        <x:v>2025 배정: (4/17)</x:v>
      </x:c>
      <x:c r="V2356" s="2" t="str">
        <x:v>2025-09-10</x:v>
      </x:c>
      <x:c r="W2356" s="2" t="str"/>
      <x:c r="X2356" s="2" t="str">
        <x:v>종결 근거 보관</x:v>
      </x:c>
      <x:c r="Y2356" s="2" t="str">
        <x:v>ad210cd9ec132cfd447541c8984dc53d30aff0f4fb2dc92d254d49275cc55976</x:v>
      </x:c>
      <x:c r="Z2356" s="2" t="n">
        <x:f>SUBTOTAL(103,A2356)</x:f>
        <x:v>1</x:v>
      </x:c>
      <x:c r="AA2356" s="2" t="str">
        <x:f>IF(K2356&lt;&gt;"미종결 표시","대상 아님",IF(N2356="","신청일 확인",IF(NOT(ISNUMBER('종합 현황'!$H$5)),"관찰기준 확인",IF('종합 현황'!$H$5&lt;1,"관찰기준 확인",IF(N2356&gt;'종합 현황'!$H$5,"내부 관찰 대상","내부 관찰일 이하")))))</x:f>
        <x:v>대상 아님</x:v>
      </x:c>
      <x:c r="AB2356" s="2"/>
    </x:row>
    <x:row r="2357" ht="42" customHeight="1">
      <x:c r="A2357" s="2" t="str">
        <x:v>72071a7cc685db8e06f46707</x:v>
      </x:c>
      <x:c r="B2357" s="2" t="str">
        <x:v>감축량 인증</x:v>
      </x:c>
      <x:c r="C2357" s="2" t="str">
        <x:v>국내</x:v>
      </x:c>
      <x:c r="D2357" s="7" t="str">
        <x:v>서산 석림 주공3단지 아파트 연료전환을 통한 온실가스 단위감축사업</x:v>
      </x:c>
      <x:c r="E2357" s="2" t="str">
        <x:v>597</x:v>
      </x:c>
      <x:c r="F2357" s="2" t="str">
        <x:v>2025-04-15</x:v>
      </x:c>
      <x:c r="G2357" s="2" t="str">
        <x:v>2025</x:v>
      </x:c>
      <x:c r="H2357" s="2" t="str">
        <x:v>04</x:v>
      </x:c>
      <x:c r="I2357" s="2" t="str">
        <x:v>심의승인</x:v>
      </x:c>
      <x:c r="J2357" s="2" t="str">
        <x:v>심의승인</x:v>
      </x:c>
      <x:c r="K2357" s="2" t="str">
        <x:f>IF(OR(J2357="심의승인",J2357="반려",J2357="반려완료",J2357="심의완료"),"종결 표시",IF(OR(J2357="기후부협의",J2357="문서재제출요청",J2357="보류",J2357="보완요청",J2357="보완완료",J2357="평가중",J2357="반려요청",J2357="평가필요",LEFT(J2357,5)="보완요청("),"미종결 표시","상태 확인 필요"))</x:f>
        <x:v>종결 표시</x:v>
      </x:c>
      <x:c r="L2357" s="2" t="str">
        <x:v>에코시안_조은지</x:v>
      </x:c>
      <x:c r="M2357" s="2"/>
      <x:c r="N2357" s="8" t="n">
        <x:f>DATE(2026,10,15)-DATE(2025,4,15)</x:f>
        <x:v>548</x:v>
      </x:c>
      <x:c r="O2357" s="2"/>
      <x:c r="P2357" s="2"/>
      <x:c r="Q2357" s="2" t="str">
        <x:v>산업전환_외부사업관리Tool_260707_이너젠 수정_LJY_261013.xlsx</x:v>
      </x:c>
      <x:c r="R2357" s="2" t="str">
        <x:v>국내인증</x:v>
      </x:c>
      <x:c r="S2357" s="8" t="n">
        <x:v>675</x:v>
      </x:c>
      <x:c r="T2357" s="2" t="str">
        <x:v>(4/17)</x:v>
      </x:c>
      <x:c r="U2357" s="2" t="str">
        <x:v>2025 배정: (4/17)</x:v>
      </x:c>
      <x:c r="V2357" s="2" t="str">
        <x:v>2025-09-10</x:v>
      </x:c>
      <x:c r="W2357" s="2" t="str"/>
      <x:c r="X2357" s="2" t="str">
        <x:v>종결 근거 보관</x:v>
      </x:c>
      <x:c r="Y2357" s="2" t="str">
        <x:v>ad210cd9ec132cfd447541c8984dc53d30aff0f4fb2dc92d254d49275cc55976</x:v>
      </x:c>
      <x:c r="Z2357" s="2" t="n">
        <x:f>SUBTOTAL(103,A2357)</x:f>
        <x:v>1</x:v>
      </x:c>
      <x:c r="AA2357" s="2" t="str">
        <x:f>IF(K2357&lt;&gt;"미종결 표시","대상 아님",IF(N2357="","신청일 확인",IF(NOT(ISNUMBER('종합 현황'!$H$5)),"관찰기준 확인",IF('종합 현황'!$H$5&lt;1,"관찰기준 확인",IF(N2357&gt;'종합 현황'!$H$5,"내부 관찰 대상","내부 관찰일 이하")))))</x:f>
        <x:v>대상 아님</x:v>
      </x:c>
      <x:c r="AB2357" s="2"/>
    </x:row>
    <x:row r="2358" ht="42" customHeight="1">
      <x:c r="A2358" s="2" t="str">
        <x:v>5b7a3dc73e73f972121b1724</x:v>
      </x:c>
      <x:c r="B2358" s="2" t="str">
        <x:v>감축량 인증</x:v>
      </x:c>
      <x:c r="C2358" s="2" t="str">
        <x:v>국내</x:v>
      </x:c>
      <x:c r="D2358" s="7" t="str">
        <x:v>아산 읍내 주공 아파트 연료전환을 통한 온실가스 단위감축사업</x:v>
      </x:c>
      <x:c r="E2358" s="2" t="str">
        <x:v>598</x:v>
      </x:c>
      <x:c r="F2358" s="2" t="str">
        <x:v>2025-04-15</x:v>
      </x:c>
      <x:c r="G2358" s="2" t="str">
        <x:v>2025</x:v>
      </x:c>
      <x:c r="H2358" s="2" t="str">
        <x:v>04</x:v>
      </x:c>
      <x:c r="I2358" s="2" t="str">
        <x:v>심의승인</x:v>
      </x:c>
      <x:c r="J2358" s="2" t="str">
        <x:v>심의승인</x:v>
      </x:c>
      <x:c r="K2358" s="2" t="str">
        <x:f>IF(OR(J2358="심의승인",J2358="반려",J2358="반려완료",J2358="심의완료"),"종결 표시",IF(OR(J2358="기후부협의",J2358="문서재제출요청",J2358="보류",J2358="보완요청",J2358="보완완료",J2358="평가중",J2358="반려요청",J2358="평가필요",LEFT(J2358,5)="보완요청("),"미종결 표시","상태 확인 필요"))</x:f>
        <x:v>종결 표시</x:v>
      </x:c>
      <x:c r="L2358" s="2" t="str">
        <x:v>에코시안_남혜원</x:v>
      </x:c>
      <x:c r="M2358" s="2"/>
      <x:c r="N2358" s="8" t="n">
        <x:f>DATE(2026,10,15)-DATE(2025,4,15)</x:f>
        <x:v>548</x:v>
      </x:c>
      <x:c r="O2358" s="2"/>
      <x:c r="P2358" s="2"/>
      <x:c r="Q2358" s="2" t="str">
        <x:v>산업전환_외부사업관리Tool_260707_이너젠 수정_LJY_261013.xlsx</x:v>
      </x:c>
      <x:c r="R2358" s="2" t="str">
        <x:v>국내인증</x:v>
      </x:c>
      <x:c r="S2358" s="8" t="n">
        <x:v>676</x:v>
      </x:c>
      <x:c r="T2358" s="2" t="str">
        <x:v>(4/17),(5/30)</x:v>
      </x:c>
      <x:c r="U2358" s="2" t="str">
        <x:v>2025 배정: (4/17),(5/30)</x:v>
      </x:c>
      <x:c r="V2358" s="2" t="str">
        <x:v>2025-09-10</x:v>
      </x:c>
      <x:c r="W2358" s="2" t="str"/>
      <x:c r="X2358" s="2" t="str">
        <x:v>종결 근거 보관</x:v>
      </x:c>
      <x:c r="Y2358" s="2" t="str">
        <x:v>ad210cd9ec132cfd447541c8984dc53d30aff0f4fb2dc92d254d49275cc55976</x:v>
      </x:c>
      <x:c r="Z2358" s="2" t="n">
        <x:f>SUBTOTAL(103,A2358)</x:f>
        <x:v>1</x:v>
      </x:c>
      <x:c r="AA2358" s="2" t="str">
        <x:f>IF(K2358&lt;&gt;"미종결 표시","대상 아님",IF(N2358="","신청일 확인",IF(NOT(ISNUMBER('종합 현황'!$H$5)),"관찰기준 확인",IF('종합 현황'!$H$5&lt;1,"관찰기준 확인",IF(N2358&gt;'종합 현황'!$H$5,"내부 관찰 대상","내부 관찰일 이하")))))</x:f>
        <x:v>대상 아님</x:v>
      </x:c>
      <x:c r="AB2358" s="2"/>
    </x:row>
    <x:row r="2359" ht="42" customHeight="1">
      <x:c r="A2359" s="2" t="str">
        <x:v>278f3f178a15774eb2fcc18b</x:v>
      </x:c>
      <x:c r="B2359" s="2" t="str">
        <x:v>감축량 인증</x:v>
      </x:c>
      <x:c r="C2359" s="2" t="str">
        <x:v>국내</x:v>
      </x:c>
      <x:c r="D2359" s="7" t="str">
        <x:v>제천 장락 주공 1단지 아파트 연료전환을 통한 온실가스 감축사업</x:v>
      </x:c>
      <x:c r="E2359" s="2" t="str">
        <x:v>599</x:v>
      </x:c>
      <x:c r="F2359" s="2" t="str">
        <x:v>2025-04-15</x:v>
      </x:c>
      <x:c r="G2359" s="2" t="str">
        <x:v>2025</x:v>
      </x:c>
      <x:c r="H2359" s="2" t="str">
        <x:v>04</x:v>
      </x:c>
      <x:c r="I2359" s="2" t="str">
        <x:v>심의승인</x:v>
      </x:c>
      <x:c r="J2359" s="2" t="str">
        <x:v>심의승인</x:v>
      </x:c>
      <x:c r="K2359" s="2" t="str">
        <x:f>IF(OR(J2359="심의승인",J2359="반려",J2359="반려완료",J2359="심의완료"),"종결 표시",IF(OR(J2359="기후부협의",J2359="문서재제출요청",J2359="보류",J2359="보완요청",J2359="보완완료",J2359="평가중",J2359="반려요청",J2359="평가필요",LEFT(J2359,5)="보완요청("),"미종결 표시","상태 확인 필요"))</x:f>
        <x:v>종결 표시</x:v>
      </x:c>
      <x:c r="L2359" s="2" t="str">
        <x:v>에코시안_이혜연</x:v>
      </x:c>
      <x:c r="M2359" s="2"/>
      <x:c r="N2359" s="8" t="n">
        <x:f>DATE(2026,10,15)-DATE(2025,4,15)</x:f>
        <x:v>548</x:v>
      </x:c>
      <x:c r="O2359" s="2"/>
      <x:c r="P2359" s="2"/>
      <x:c r="Q2359" s="2" t="str">
        <x:v>산업전환_외부사업관리Tool_260707_이너젠 수정_LJY_261013.xlsx</x:v>
      </x:c>
      <x:c r="R2359" s="2" t="str">
        <x:v>국내인증</x:v>
      </x:c>
      <x:c r="S2359" s="8" t="n">
        <x:v>677</x:v>
      </x:c>
      <x:c r="T2359" s="2" t="str">
        <x:v>(4/17),(5/30)</x:v>
      </x:c>
      <x:c r="U2359" s="2" t="str">
        <x:v>2025 배정: (4/17),(5/30)</x:v>
      </x:c>
      <x:c r="V2359" s="2" t="str">
        <x:v>2025-09-10</x:v>
      </x:c>
      <x:c r="W2359" s="2" t="str"/>
      <x:c r="X2359" s="2" t="str">
        <x:v>종결 근거 보관</x:v>
      </x:c>
      <x:c r="Y2359" s="2" t="str">
        <x:v>ad210cd9ec132cfd447541c8984dc53d30aff0f4fb2dc92d254d49275cc55976</x:v>
      </x:c>
      <x:c r="Z2359" s="2" t="n">
        <x:f>SUBTOTAL(103,A2359)</x:f>
        <x:v>1</x:v>
      </x:c>
      <x:c r="AA2359" s="2" t="str">
        <x:f>IF(K2359&lt;&gt;"미종결 표시","대상 아님",IF(N2359="","신청일 확인",IF(NOT(ISNUMBER('종합 현황'!$H$5)),"관찰기준 확인",IF('종합 현황'!$H$5&lt;1,"관찰기준 확인",IF(N2359&gt;'종합 현황'!$H$5,"내부 관찰 대상","내부 관찰일 이하")))))</x:f>
        <x:v>대상 아님</x:v>
      </x:c>
      <x:c r="AB2359" s="2"/>
    </x:row>
    <x:row r="2360" ht="42" customHeight="1">
      <x:c r="A2360" s="2" t="str">
        <x:v>1f4aea3b000c313510be636c</x:v>
      </x:c>
      <x:c r="B2360" s="2" t="str">
        <x:v>감축량 인증</x:v>
      </x:c>
      <x:c r="C2360" s="2" t="str">
        <x:v>국내</x:v>
      </x:c>
      <x:c r="D2360" s="7" t="str">
        <x:v>제천 하소 주공 3단지 아파트 연료전환을 통한 온실가스 단위감축사업</x:v>
      </x:c>
      <x:c r="E2360" s="2" t="str">
        <x:v>600</x:v>
      </x:c>
      <x:c r="F2360" s="2" t="str">
        <x:v>2025-04-15</x:v>
      </x:c>
      <x:c r="G2360" s="2" t="str">
        <x:v>2025</x:v>
      </x:c>
      <x:c r="H2360" s="2" t="str">
        <x:v>04</x:v>
      </x:c>
      <x:c r="I2360" s="2" t="str">
        <x:v>심의승인</x:v>
      </x:c>
      <x:c r="J2360" s="2" t="str">
        <x:v>심의승인</x:v>
      </x:c>
      <x:c r="K2360" s="2" t="str">
        <x:f>IF(OR(J2360="심의승인",J2360="반려",J2360="반려완료",J2360="심의완료"),"종결 표시",IF(OR(J2360="기후부협의",J2360="문서재제출요청",J2360="보류",J2360="보완요청",J2360="보완완료",J2360="평가중",J2360="반려요청",J2360="평가필요",LEFT(J2360,5)="보완요청("),"미종결 표시","상태 확인 필요"))</x:f>
        <x:v>종결 표시</x:v>
      </x:c>
      <x:c r="L2360" s="2" t="str">
        <x:v>KECM</x:v>
      </x:c>
      <x:c r="M2360" s="2"/>
      <x:c r="N2360" s="8" t="n">
        <x:f>DATE(2026,10,15)-DATE(2025,4,15)</x:f>
        <x:v>548</x:v>
      </x:c>
      <x:c r="O2360" s="2"/>
      <x:c r="P2360" s="2"/>
      <x:c r="Q2360" s="2" t="str">
        <x:v>산업전환_외부사업관리Tool_260707_이너젠 수정_LJY_261013.xlsx</x:v>
      </x:c>
      <x:c r="R2360" s="2" t="str">
        <x:v>국내인증</x:v>
      </x:c>
      <x:c r="S2360" s="8" t="n">
        <x:v>678</x:v>
      </x:c>
      <x:c r="T2360" s="2" t="str">
        <x:v>(4/17),(5/30),(7/18)</x:v>
      </x:c>
      <x:c r="U2360" s="2" t="str">
        <x:v>2025 배정: (4/17),(5/30),(7/18)</x:v>
      </x:c>
      <x:c r="V2360" s="2" t="str">
        <x:v>2025-12-09</x:v>
      </x:c>
      <x:c r="W2360" s="2" t="str"/>
      <x:c r="X2360" s="2" t="str">
        <x:v>종결 근거 보관</x:v>
      </x:c>
      <x:c r="Y2360" s="2" t="str">
        <x:v>ad210cd9ec132cfd447541c8984dc53d30aff0f4fb2dc92d254d49275cc55976</x:v>
      </x:c>
      <x:c r="Z2360" s="2" t="n">
        <x:f>SUBTOTAL(103,A2360)</x:f>
        <x:v>1</x:v>
      </x:c>
      <x:c r="AA2360" s="2" t="str">
        <x:f>IF(K2360&lt;&gt;"미종결 표시","대상 아님",IF(N2360="","신청일 확인",IF(NOT(ISNUMBER('종합 현황'!$H$5)),"관찰기준 확인",IF('종합 현황'!$H$5&lt;1,"관찰기준 확인",IF(N2360&gt;'종합 현황'!$H$5,"내부 관찰 대상","내부 관찰일 이하")))))</x:f>
        <x:v>대상 아님</x:v>
      </x:c>
      <x:c r="AB2360" s="2"/>
    </x:row>
    <x:row r="2361" ht="42" customHeight="1">
      <x:c r="A2361" s="2" t="str">
        <x:v>fed2811fe6cb80bf811548a1</x:v>
      </x:c>
      <x:c r="B2361" s="2" t="str">
        <x:v>감축량 인증</x:v>
      </x:c>
      <x:c r="C2361" s="2" t="str">
        <x:v>국내</x:v>
      </x:c>
      <x:c r="D2361" s="7" t="str">
        <x:v>제천 하소 주공 4단지아파트 연료전환을 통한 온실가스 단위감축사업</x:v>
      </x:c>
      <x:c r="E2361" s="2" t="str">
        <x:v>601</x:v>
      </x:c>
      <x:c r="F2361" s="2" t="str">
        <x:v>2025-04-15</x:v>
      </x:c>
      <x:c r="G2361" s="2" t="str">
        <x:v>2025</x:v>
      </x:c>
      <x:c r="H2361" s="2" t="str">
        <x:v>04</x:v>
      </x:c>
      <x:c r="I2361" s="2" t="str">
        <x:v>심의승인</x:v>
      </x:c>
      <x:c r="J2361" s="2" t="str">
        <x:v>심의승인</x:v>
      </x:c>
      <x:c r="K2361" s="2" t="str">
        <x:f>IF(OR(J2361="심의승인",J2361="반려",J2361="반려완료",J2361="심의완료"),"종결 표시",IF(OR(J2361="기후부협의",J2361="문서재제출요청",J2361="보류",J2361="보완요청",J2361="보완완료",J2361="평가중",J2361="반려요청",J2361="평가필요",LEFT(J2361,5)="보완요청("),"미종결 표시","상태 확인 필요"))</x:f>
        <x:v>종결 표시</x:v>
      </x:c>
      <x:c r="L2361" s="2" t="str">
        <x:v>KECM</x:v>
      </x:c>
      <x:c r="M2361" s="2"/>
      <x:c r="N2361" s="8" t="n">
        <x:f>DATE(2026,10,15)-DATE(2025,4,15)</x:f>
        <x:v>548</x:v>
      </x:c>
      <x:c r="O2361" s="2"/>
      <x:c r="P2361" s="2"/>
      <x:c r="Q2361" s="2" t="str">
        <x:v>산업전환_외부사업관리Tool_260707_이너젠 수정_LJY_261013.xlsx</x:v>
      </x:c>
      <x:c r="R2361" s="2" t="str">
        <x:v>국내인증</x:v>
      </x:c>
      <x:c r="S2361" s="8" t="n">
        <x:v>679</x:v>
      </x:c>
      <x:c r="T2361" s="2" t="str">
        <x:v>(4/17),(5/30)</x:v>
      </x:c>
      <x:c r="U2361" s="2" t="str">
        <x:v>2025 배정: (4/17),(5/30)</x:v>
      </x:c>
      <x:c r="V2361" s="2" t="str">
        <x:v>2025-09-10</x:v>
      </x:c>
      <x:c r="W2361" s="2" t="str"/>
      <x:c r="X2361" s="2" t="str">
        <x:v>종결 근거 보관</x:v>
      </x:c>
      <x:c r="Y2361" s="2" t="str">
        <x:v>ad210cd9ec132cfd447541c8984dc53d30aff0f4fb2dc92d254d49275cc55976</x:v>
      </x:c>
      <x:c r="Z2361" s="2" t="n">
        <x:f>SUBTOTAL(103,A2361)</x:f>
        <x:v>1</x:v>
      </x:c>
      <x:c r="AA2361" s="2" t="str">
        <x:f>IF(K2361&lt;&gt;"미종결 표시","대상 아님",IF(N2361="","신청일 확인",IF(NOT(ISNUMBER('종합 현황'!$H$5)),"관찰기준 확인",IF('종합 현황'!$H$5&lt;1,"관찰기준 확인",IF(N2361&gt;'종합 현황'!$H$5,"내부 관찰 대상","내부 관찰일 이하")))))</x:f>
        <x:v>대상 아님</x:v>
      </x:c>
      <x:c r="AB2361" s="2"/>
    </x:row>
    <x:row r="2362" ht="42" customHeight="1">
      <x:c r="A2362" s="2" t="str">
        <x:v>df078a479aef0db1ba77be43</x:v>
      </x:c>
      <x:c r="B2362" s="2" t="str">
        <x:v>감축량 인증</x:v>
      </x:c>
      <x:c r="C2362" s="2" t="str">
        <x:v>국내</x:v>
      </x:c>
      <x:c r="D2362" s="7" t="str">
        <x:v>청주 산남2-1아파트 연료전환을 통한 온실가스 단위감축사업</x:v>
      </x:c>
      <x:c r="E2362" s="2" t="str">
        <x:v>602</x:v>
      </x:c>
      <x:c r="F2362" s="2" t="str">
        <x:v>2025-04-15</x:v>
      </x:c>
      <x:c r="G2362" s="2" t="str">
        <x:v>2025</x:v>
      </x:c>
      <x:c r="H2362" s="2" t="str">
        <x:v>04</x:v>
      </x:c>
      <x:c r="I2362" s="2" t="str">
        <x:v>심의승인</x:v>
      </x:c>
      <x:c r="J2362" s="2" t="str">
        <x:v>심의승인</x:v>
      </x:c>
      <x:c r="K2362" s="2" t="str">
        <x:f>IF(OR(J2362="심의승인",J2362="반려",J2362="반려완료",J2362="심의완료"),"종결 표시",IF(OR(J2362="기후부협의",J2362="문서재제출요청",J2362="보류",J2362="보완요청",J2362="보완완료",J2362="평가중",J2362="반려요청",J2362="평가필요",LEFT(J2362,5)="보완요청("),"미종결 표시","상태 확인 필요"))</x:f>
        <x:v>종결 표시</x:v>
      </x:c>
      <x:c r="L2362" s="2" t="str">
        <x:v>에코시안_조영우</x:v>
      </x:c>
      <x:c r="M2362" s="2"/>
      <x:c r="N2362" s="8" t="n">
        <x:f>DATE(2026,10,15)-DATE(2025,4,15)</x:f>
        <x:v>548</x:v>
      </x:c>
      <x:c r="O2362" s="2"/>
      <x:c r="P2362" s="2"/>
      <x:c r="Q2362" s="2" t="str">
        <x:v>산업전환_외부사업관리Tool_260707_이너젠 수정_LJY_261013.xlsx</x:v>
      </x:c>
      <x:c r="R2362" s="2" t="str">
        <x:v>국내인증</x:v>
      </x:c>
      <x:c r="S2362" s="8" t="n">
        <x:v>680</x:v>
      </x:c>
      <x:c r="T2362" s="2" t="str">
        <x:v>(4/17),(6/26),(7/18)</x:v>
      </x:c>
      <x:c r="U2362" s="2" t="str">
        <x:v>2025 배정: (4/17),(6/26),(7/18)</x:v>
      </x:c>
      <x:c r="V2362" s="2" t="str">
        <x:v>2025-12-09</x:v>
      </x:c>
      <x:c r="W2362" s="2" t="str"/>
      <x:c r="X2362" s="2" t="str">
        <x:v>종결 근거 보관</x:v>
      </x:c>
      <x:c r="Y2362" s="2" t="str">
        <x:v>ad210cd9ec132cfd447541c8984dc53d30aff0f4fb2dc92d254d49275cc55976</x:v>
      </x:c>
      <x:c r="Z2362" s="2" t="n">
        <x:f>SUBTOTAL(103,A2362)</x:f>
        <x:v>1</x:v>
      </x:c>
      <x:c r="AA2362" s="2" t="str">
        <x:f>IF(K2362&lt;&gt;"미종결 표시","대상 아님",IF(N2362="","신청일 확인",IF(NOT(ISNUMBER('종합 현황'!$H$5)),"관찰기준 확인",IF('종합 현황'!$H$5&lt;1,"관찰기준 확인",IF(N2362&gt;'종합 현황'!$H$5,"내부 관찰 대상","내부 관찰일 이하")))))</x:f>
        <x:v>대상 아님</x:v>
      </x:c>
      <x:c r="AB2362" s="2"/>
    </x:row>
    <x:row r="2363" ht="42" customHeight="1">
      <x:c r="A2363" s="2" t="str">
        <x:v>578664f07ad325fe5db6b0d3</x:v>
      </x:c>
      <x:c r="B2363" s="2" t="str">
        <x:v>감축량 인증</x:v>
      </x:c>
      <x:c r="C2363" s="2" t="str">
        <x:v>국내</x:v>
      </x:c>
      <x:c r="D2363" s="7" t="str">
        <x:v>청주 산남2-2아파트 연료전환을 통한 온실가스 단위감축사업</x:v>
      </x:c>
      <x:c r="E2363" s="2" t="str">
        <x:v>603</x:v>
      </x:c>
      <x:c r="F2363" s="2" t="str">
        <x:v>2025-04-15</x:v>
      </x:c>
      <x:c r="G2363" s="2" t="str">
        <x:v>2025</x:v>
      </x:c>
      <x:c r="H2363" s="2" t="str">
        <x:v>04</x:v>
      </x:c>
      <x:c r="I2363" s="2" t="str">
        <x:v>심의승인</x:v>
      </x:c>
      <x:c r="J2363" s="2" t="str">
        <x:v>심의승인</x:v>
      </x:c>
      <x:c r="K2363" s="2" t="str">
        <x:f>IF(OR(J2363="심의승인",J2363="반려",J2363="반려완료",J2363="심의완료"),"종결 표시",IF(OR(J2363="기후부협의",J2363="문서재제출요청",J2363="보류",J2363="보완요청",J2363="보완완료",J2363="평가중",J2363="반려요청",J2363="평가필요",LEFT(J2363,5)="보완요청("),"미종결 표시","상태 확인 필요"))</x:f>
        <x:v>종결 표시</x:v>
      </x:c>
      <x:c r="L2363" s="2" t="str">
        <x:v>에코시안_조은지</x:v>
      </x:c>
      <x:c r="M2363" s="2"/>
      <x:c r="N2363" s="8" t="n">
        <x:f>DATE(2026,10,15)-DATE(2025,4,15)</x:f>
        <x:v>548</x:v>
      </x:c>
      <x:c r="O2363" s="2"/>
      <x:c r="P2363" s="2"/>
      <x:c r="Q2363" s="2" t="str">
        <x:v>산업전환_외부사업관리Tool_260707_이너젠 수정_LJY_261013.xlsx</x:v>
      </x:c>
      <x:c r="R2363" s="2" t="str">
        <x:v>국내인증</x:v>
      </x:c>
      <x:c r="S2363" s="8" t="n">
        <x:v>681</x:v>
      </x:c>
      <x:c r="T2363" s="2" t="str">
        <x:v>(4/17),(6/26),(8/8)</x:v>
      </x:c>
      <x:c r="U2363" s="2" t="str">
        <x:v>2025 배정: (4/17),(6/26),(8/8)</x:v>
      </x:c>
      <x:c r="V2363" s="2" t="str">
        <x:v>2025-12-09</x:v>
      </x:c>
      <x:c r="W2363" s="2" t="str"/>
      <x:c r="X2363" s="2" t="str">
        <x:v>종결 근거 보관</x:v>
      </x:c>
      <x:c r="Y2363" s="2" t="str">
        <x:v>ad210cd9ec132cfd447541c8984dc53d30aff0f4fb2dc92d254d49275cc55976</x:v>
      </x:c>
      <x:c r="Z2363" s="2" t="n">
        <x:f>SUBTOTAL(103,A2363)</x:f>
        <x:v>1</x:v>
      </x:c>
      <x:c r="AA2363" s="2" t="str">
        <x:f>IF(K2363&lt;&gt;"미종결 표시","대상 아님",IF(N2363="","신청일 확인",IF(NOT(ISNUMBER('종합 현황'!$H$5)),"관찰기준 확인",IF('종합 현황'!$H$5&lt;1,"관찰기준 확인",IF(N2363&gt;'종합 현황'!$H$5,"내부 관찰 대상","내부 관찰일 이하")))))</x:f>
        <x:v>대상 아님</x:v>
      </x:c>
      <x:c r="AB2363" s="2"/>
    </x:row>
    <x:row r="2364" ht="42" customHeight="1">
      <x:c r="A2364" s="2" t="str">
        <x:v>7f5c573e49ae2e0f2bf698f4</x:v>
      </x:c>
      <x:c r="B2364" s="2" t="str">
        <x:v>감축량 인증</x:v>
      </x:c>
      <x:c r="C2364" s="2" t="str">
        <x:v>국내</x:v>
      </x:c>
      <x:c r="D2364" s="7" t="str">
        <x:v>충주 연수2단지아파트 연료전환을 통한 온실가스 단위감축사업</x:v>
      </x:c>
      <x:c r="E2364" s="2" t="str">
        <x:v>604</x:v>
      </x:c>
      <x:c r="F2364" s="2" t="str">
        <x:v>2025-04-15</x:v>
      </x:c>
      <x:c r="G2364" s="2" t="str">
        <x:v>2025</x:v>
      </x:c>
      <x:c r="H2364" s="2" t="str">
        <x:v>04</x:v>
      </x:c>
      <x:c r="I2364" s="2" t="str">
        <x:v>심의승인</x:v>
      </x:c>
      <x:c r="J2364" s="2" t="str">
        <x:v>심의승인</x:v>
      </x:c>
      <x:c r="K2364" s="2" t="str">
        <x:f>IF(OR(J2364="심의승인",J2364="반려",J2364="반려완료",J2364="심의완료"),"종결 표시",IF(OR(J2364="기후부협의",J2364="문서재제출요청",J2364="보류",J2364="보완요청",J2364="보완완료",J2364="평가중",J2364="반려요청",J2364="평가필요",LEFT(J2364,5)="보완요청("),"미종결 표시","상태 확인 필요"))</x:f>
        <x:v>종결 표시</x:v>
      </x:c>
      <x:c r="L2364" s="2" t="str">
        <x:v>KECM</x:v>
      </x:c>
      <x:c r="M2364" s="2"/>
      <x:c r="N2364" s="8" t="n">
        <x:f>DATE(2026,10,15)-DATE(2025,4,15)</x:f>
        <x:v>548</x:v>
      </x:c>
      <x:c r="O2364" s="2"/>
      <x:c r="P2364" s="2"/>
      <x:c r="Q2364" s="2" t="str">
        <x:v>산업전환_외부사업관리Tool_260707_이너젠 수정_LJY_261013.xlsx</x:v>
      </x:c>
      <x:c r="R2364" s="2" t="str">
        <x:v>국내인증</x:v>
      </x:c>
      <x:c r="S2364" s="8" t="n">
        <x:v>682</x:v>
      </x:c>
      <x:c r="T2364" s="2" t="str">
        <x:v>(4/17)</x:v>
      </x:c>
      <x:c r="U2364" s="2" t="str">
        <x:v>2025 배정: (4/17)</x:v>
      </x:c>
      <x:c r="V2364" s="2" t="str">
        <x:v>2025-09-10</x:v>
      </x:c>
      <x:c r="W2364" s="2" t="str"/>
      <x:c r="X2364" s="2" t="str">
        <x:v>종결 근거 보관</x:v>
      </x:c>
      <x:c r="Y2364" s="2" t="str">
        <x:v>ad210cd9ec132cfd447541c8984dc53d30aff0f4fb2dc92d254d49275cc55976</x:v>
      </x:c>
      <x:c r="Z2364" s="2" t="n">
        <x:f>SUBTOTAL(103,A2364)</x:f>
        <x:v>1</x:v>
      </x:c>
      <x:c r="AA2364" s="2" t="str">
        <x:f>IF(K2364&lt;&gt;"미종결 표시","대상 아님",IF(N2364="","신청일 확인",IF(NOT(ISNUMBER('종합 현황'!$H$5)),"관찰기준 확인",IF('종합 현황'!$H$5&lt;1,"관찰기준 확인",IF(N2364&gt;'종합 현황'!$H$5,"내부 관찰 대상","내부 관찰일 이하")))))</x:f>
        <x:v>대상 아님</x:v>
      </x:c>
      <x:c r="AB2364" s="2"/>
    </x:row>
    <x:row r="2365" ht="42" customHeight="1">
      <x:c r="A2365" s="2" t="str">
        <x:v>1cdc0759237127fab09c0507</x:v>
      </x:c>
      <x:c r="B2365" s="2" t="str">
        <x:v>감축량 인증</x:v>
      </x:c>
      <x:c r="C2365" s="2" t="str">
        <x:v>국내</x:v>
      </x:c>
      <x:c r="D2365" s="7" t="str">
        <x:v>부산 덕천 주공2단지 아파트 연료전환을 통한 온실가스 단위감축사업</x:v>
      </x:c>
      <x:c r="E2365" s="2" t="str">
        <x:v>605</x:v>
      </x:c>
      <x:c r="F2365" s="2" t="str">
        <x:v>2025-04-30</x:v>
      </x:c>
      <x:c r="G2365" s="2" t="str">
        <x:v>2025</x:v>
      </x:c>
      <x:c r="H2365" s="2" t="str">
        <x:v>04</x:v>
      </x:c>
      <x:c r="I2365" s="2" t="str">
        <x:v>심의승인</x:v>
      </x:c>
      <x:c r="J2365" s="2" t="str">
        <x:v>심의승인</x:v>
      </x:c>
      <x:c r="K2365" s="2" t="str">
        <x:f>IF(OR(J2365="심의승인",J2365="반려",J2365="반려완료",J2365="심의완료"),"종결 표시",IF(OR(J2365="기후부협의",J2365="문서재제출요청",J2365="보류",J2365="보완요청",J2365="보완완료",J2365="평가중",J2365="반려요청",J2365="평가필요",LEFT(J2365,5)="보완요청("),"미종결 표시","상태 확인 필요"))</x:f>
        <x:v>종결 표시</x:v>
      </x:c>
      <x:c r="L2365" s="2" t="str">
        <x:v>에코시안_이혜연</x:v>
      </x:c>
      <x:c r="M2365" s="2"/>
      <x:c r="N2365" s="8" t="n">
        <x:f>DATE(2026,10,15)-DATE(2025,4,30)</x:f>
        <x:v>533</x:v>
      </x:c>
      <x:c r="O2365" s="2"/>
      <x:c r="P2365" s="2"/>
      <x:c r="Q2365" s="2" t="str">
        <x:v>산업전환_외부사업관리Tool_260707_이너젠 수정_LJY_261013.xlsx</x:v>
      </x:c>
      <x:c r="R2365" s="2" t="str">
        <x:v>국내인증</x:v>
      </x:c>
      <x:c r="S2365" s="8" t="n">
        <x:v>683</x:v>
      </x:c>
      <x:c r="T2365" s="2" t="str">
        <x:v>(5/9),(6/26),(8/8),(9/16)</x:v>
      </x:c>
      <x:c r="U2365" s="2" t="str">
        <x:v>2025 배정: (5/9),(6/26),(8/8),(9/16)</x:v>
      </x:c>
      <x:c r="V2365" s="2" t="str">
        <x:v>2026-03-11</x:v>
      </x:c>
      <x:c r="W2365" s="2" t="str"/>
      <x:c r="X2365" s="2" t="str">
        <x:v>종결 근거 보관</x:v>
      </x:c>
      <x:c r="Y2365" s="2" t="str">
        <x:v>ad210cd9ec132cfd447541c8984dc53d30aff0f4fb2dc92d254d49275cc55976</x:v>
      </x:c>
      <x:c r="Z2365" s="2" t="n">
        <x:f>SUBTOTAL(103,A2365)</x:f>
        <x:v>1</x:v>
      </x:c>
      <x:c r="AA2365" s="2" t="str">
        <x:f>IF(K2365&lt;&gt;"미종결 표시","대상 아님",IF(N2365="","신청일 확인",IF(NOT(ISNUMBER('종합 현황'!$H$5)),"관찰기준 확인",IF('종합 현황'!$H$5&lt;1,"관찰기준 확인",IF(N2365&gt;'종합 현황'!$H$5,"내부 관찰 대상","내부 관찰일 이하")))))</x:f>
        <x:v>대상 아님</x:v>
      </x:c>
      <x:c r="AB2365" s="2"/>
    </x:row>
    <x:row r="2366" ht="42" customHeight="1">
      <x:c r="A2366" s="2" t="str">
        <x:v>b55a771f4fc7a9e95698bd42</x:v>
      </x:c>
      <x:c r="B2366" s="2" t="str">
        <x:v>감축량 인증</x:v>
      </x:c>
      <x:c r="C2366" s="2" t="str">
        <x:v>국내</x:v>
      </x:c>
      <x:c r="D2366" s="7" t="str">
        <x:v>전주평화 1단지아파트 연료전환을 통한 온실가스 단위감축사업</x:v>
      </x:c>
      <x:c r="E2366" s="2" t="str">
        <x:v>606</x:v>
      </x:c>
      <x:c r="F2366" s="2" t="str">
        <x:v>2025-04-30</x:v>
      </x:c>
      <x:c r="G2366" s="2" t="str">
        <x:v>2025</x:v>
      </x:c>
      <x:c r="H2366" s="2" t="str">
        <x:v>04</x:v>
      </x:c>
      <x:c r="I2366" s="2" t="str">
        <x:v>심의승인</x:v>
      </x:c>
      <x:c r="J2366" s="2" t="str">
        <x:v>심의승인</x:v>
      </x:c>
      <x:c r="K2366" s="2" t="str">
        <x:f>IF(OR(J2366="심의승인",J2366="반려",J2366="반려완료",J2366="심의완료"),"종결 표시",IF(OR(J2366="기후부협의",J2366="문서재제출요청",J2366="보류",J2366="보완요청",J2366="보완완료",J2366="평가중",J2366="반려요청",J2366="평가필요",LEFT(J2366,5)="보완요청("),"미종결 표시","상태 확인 필요"))</x:f>
        <x:v>종결 표시</x:v>
      </x:c>
      <x:c r="L2366" s="2" t="str">
        <x:v>에코시안_남혜원</x:v>
      </x:c>
      <x:c r="M2366" s="2"/>
      <x:c r="N2366" s="8" t="n">
        <x:f>DATE(2026,10,15)-DATE(2025,4,30)</x:f>
        <x:v>533</x:v>
      </x:c>
      <x:c r="O2366" s="2"/>
      <x:c r="P2366" s="2"/>
      <x:c r="Q2366" s="2" t="str">
        <x:v>산업전환_외부사업관리Tool_260707_이너젠 수정_LJY_261013.xlsx</x:v>
      </x:c>
      <x:c r="R2366" s="2" t="str">
        <x:v>국내인증</x:v>
      </x:c>
      <x:c r="S2366" s="8" t="n">
        <x:v>684</x:v>
      </x:c>
      <x:c r="T2366" s="2" t="str">
        <x:v>(5/9),(6/26),(8/8)</x:v>
      </x:c>
      <x:c r="U2366" s="2" t="str">
        <x:v>2025 배정: (5/9),(6/26),(8/8)</x:v>
      </x:c>
      <x:c r="V2366" s="2" t="str">
        <x:v>2025-12-09</x:v>
      </x:c>
      <x:c r="W2366" s="2" t="str"/>
      <x:c r="X2366" s="2" t="str">
        <x:v>종결 근거 보관</x:v>
      </x:c>
      <x:c r="Y2366" s="2" t="str">
        <x:v>ad210cd9ec132cfd447541c8984dc53d30aff0f4fb2dc92d254d49275cc55976</x:v>
      </x:c>
      <x:c r="Z2366" s="2" t="n">
        <x:f>SUBTOTAL(103,A2366)</x:f>
        <x:v>1</x:v>
      </x:c>
      <x:c r="AA2366" s="2" t="str">
        <x:f>IF(K2366&lt;&gt;"미종결 표시","대상 아님",IF(N2366="","신청일 확인",IF(NOT(ISNUMBER('종합 현황'!$H$5)),"관찰기준 확인",IF('종합 현황'!$H$5&lt;1,"관찰기준 확인",IF(N2366&gt;'종합 현황'!$H$5,"내부 관찰 대상","내부 관찰일 이하")))))</x:f>
        <x:v>대상 아님</x:v>
      </x:c>
      <x:c r="AB2366" s="2"/>
    </x:row>
    <x:row r="2367" ht="42" customHeight="1">
      <x:c r="A2367" s="2" t="str">
        <x:v>79239093dfffbc3c3449b052</x:v>
      </x:c>
      <x:c r="B2367" s="2" t="str">
        <x:v>감축량 인증</x:v>
      </x:c>
      <x:c r="C2367" s="2" t="str">
        <x:v>국내</x:v>
      </x:c>
      <x:c r="D2367" s="7" t="str">
        <x:v>전주평화 4단지아파트 연료전환을 통한 온실가스 단위감축사업</x:v>
      </x:c>
      <x:c r="E2367" s="2" t="str">
        <x:v>607</x:v>
      </x:c>
      <x:c r="F2367" s="2" t="str">
        <x:v>2025-04-30</x:v>
      </x:c>
      <x:c r="G2367" s="2" t="str">
        <x:v>2025</x:v>
      </x:c>
      <x:c r="H2367" s="2" t="str">
        <x:v>04</x:v>
      </x:c>
      <x:c r="I2367" s="2" t="str">
        <x:v>심의승인</x:v>
      </x:c>
      <x:c r="J2367" s="2" t="str">
        <x:v>심의승인</x:v>
      </x:c>
      <x:c r="K2367" s="2" t="str">
        <x:f>IF(OR(J2367="심의승인",J2367="반려",J2367="반려완료",J2367="심의완료"),"종결 표시",IF(OR(J2367="기후부협의",J2367="문서재제출요청",J2367="보류",J2367="보완요청",J2367="보완완료",J2367="평가중",J2367="반려요청",J2367="평가필요",LEFT(J2367,5)="보완요청("),"미종결 표시","상태 확인 필요"))</x:f>
        <x:v>종결 표시</x:v>
      </x:c>
      <x:c r="L2367" s="2" t="str">
        <x:v>에코시안_조영우</x:v>
      </x:c>
      <x:c r="M2367" s="2"/>
      <x:c r="N2367" s="8" t="n">
        <x:f>DATE(2026,10,15)-DATE(2025,4,30)</x:f>
        <x:v>533</x:v>
      </x:c>
      <x:c r="O2367" s="2"/>
      <x:c r="P2367" s="2"/>
      <x:c r="Q2367" s="2" t="str">
        <x:v>산업전환_외부사업관리Tool_260707_이너젠 수정_LJY_261013.xlsx</x:v>
      </x:c>
      <x:c r="R2367" s="2" t="str">
        <x:v>국내인증</x:v>
      </x:c>
      <x:c r="S2367" s="8" t="n">
        <x:v>685</x:v>
      </x:c>
      <x:c r="T2367" s="2" t="str">
        <x:v>(5/9),(6/26),(8/8)</x:v>
      </x:c>
      <x:c r="U2367" s="2" t="str">
        <x:v>2025 배정: (5/9),(6/26),(8/8)</x:v>
      </x:c>
      <x:c r="V2367" s="2" t="str">
        <x:v>2025-12-09</x:v>
      </x:c>
      <x:c r="W2367" s="2" t="str"/>
      <x:c r="X2367" s="2" t="str">
        <x:v>종결 근거 보관</x:v>
      </x:c>
      <x:c r="Y2367" s="2" t="str">
        <x:v>ad210cd9ec132cfd447541c8984dc53d30aff0f4fb2dc92d254d49275cc55976</x:v>
      </x:c>
      <x:c r="Z2367" s="2" t="n">
        <x:f>SUBTOTAL(103,A2367)</x:f>
        <x:v>1</x:v>
      </x:c>
      <x:c r="AA2367" s="2" t="str">
        <x:f>IF(K2367&lt;&gt;"미종결 표시","대상 아님",IF(N2367="","신청일 확인",IF(NOT(ISNUMBER('종합 현황'!$H$5)),"관찰기준 확인",IF('종합 현황'!$H$5&lt;1,"관찰기준 확인",IF(N2367&gt;'종합 현황'!$H$5,"내부 관찰 대상","내부 관찰일 이하")))))</x:f>
        <x:v>대상 아님</x:v>
      </x:c>
      <x:c r="AB2367" s="2"/>
    </x:row>
    <x:row r="2368" ht="42" customHeight="1">
      <x:c r="A2368" s="2" t="str">
        <x:v>5bea9b047cc5fdf1d7cd5b94</x:v>
      </x:c>
      <x:c r="B2368" s="2" t="str">
        <x:v>감축량 인증</x:v>
      </x:c>
      <x:c r="C2368" s="2" t="str">
        <x:v>국내</x:v>
      </x:c>
      <x:c r="D2368" s="7" t="str">
        <x:v>부산 모라 주공 1단지 아파트 연료전환을 통한 온실가스 단위감축사업</x:v>
      </x:c>
      <x:c r="E2368" s="2" t="str">
        <x:v>608</x:v>
      </x:c>
      <x:c r="F2368" s="2" t="str">
        <x:v>2025-05-23</x:v>
      </x:c>
      <x:c r="G2368" s="2" t="str">
        <x:v>2025</x:v>
      </x:c>
      <x:c r="H2368" s="2" t="str">
        <x:v>05</x:v>
      </x:c>
      <x:c r="I2368" s="2" t="str">
        <x:v>심의승인</x:v>
      </x:c>
      <x:c r="J2368" s="2" t="str">
        <x:v>심의승인</x:v>
      </x:c>
      <x:c r="K2368" s="2" t="str">
        <x:f>IF(OR(J2368="심의승인",J2368="반려",J2368="반려완료",J2368="심의완료"),"종결 표시",IF(OR(J2368="기후부협의",J2368="문서재제출요청",J2368="보류",J2368="보완요청",J2368="보완완료",J2368="평가중",J2368="반려요청",J2368="평가필요",LEFT(J2368,5)="보완요청("),"미종결 표시","상태 확인 필요"))</x:f>
        <x:v>종결 표시</x:v>
      </x:c>
      <x:c r="L2368" s="2" t="str">
        <x:v>에코시안_조은지</x:v>
      </x:c>
      <x:c r="M2368" s="2"/>
      <x:c r="N2368" s="8" t="n">
        <x:f>DATE(2026,10,15)-DATE(2025,5,23)</x:f>
        <x:v>510</x:v>
      </x:c>
      <x:c r="O2368" s="2"/>
      <x:c r="P2368" s="2"/>
      <x:c r="Q2368" s="2" t="str">
        <x:v>산업전환_외부사업관리Tool_260707_이너젠 수정_LJY_261013.xlsx</x:v>
      </x:c>
      <x:c r="R2368" s="2" t="str">
        <x:v>국내인증</x:v>
      </x:c>
      <x:c r="S2368" s="8" t="n">
        <x:v>686</x:v>
      </x:c>
      <x:c r="T2368" s="2" t="str">
        <x:v>(5/30),(8/8)</x:v>
      </x:c>
      <x:c r="U2368" s="2" t="str">
        <x:v>2025 배정: (5/30),(8/8)</x:v>
      </x:c>
      <x:c r="V2368" s="2" t="str">
        <x:v>2025-12-09</x:v>
      </x:c>
      <x:c r="W2368" s="2" t="str"/>
      <x:c r="X2368" s="2" t="str">
        <x:v>종결 근거 보관</x:v>
      </x:c>
      <x:c r="Y2368" s="2" t="str">
        <x:v>ad210cd9ec132cfd447541c8984dc53d30aff0f4fb2dc92d254d49275cc55976</x:v>
      </x:c>
      <x:c r="Z2368" s="2" t="n">
        <x:f>SUBTOTAL(103,A2368)</x:f>
        <x:v>1</x:v>
      </x:c>
      <x:c r="AA2368" s="2" t="str">
        <x:f>IF(K2368&lt;&gt;"미종결 표시","대상 아님",IF(N2368="","신청일 확인",IF(NOT(ISNUMBER('종합 현황'!$H$5)),"관찰기준 확인",IF('종합 현황'!$H$5&lt;1,"관찰기준 확인",IF(N2368&gt;'종합 현황'!$H$5,"내부 관찰 대상","내부 관찰일 이하")))))</x:f>
        <x:v>대상 아님</x:v>
      </x:c>
      <x:c r="AB2368" s="2"/>
    </x:row>
    <x:row r="2369" ht="42" customHeight="1">
      <x:c r="A2369" s="2" t="str">
        <x:v>da6658685401f33371a34388</x:v>
      </x:c>
      <x:c r="B2369" s="2" t="str">
        <x:v>감축량 인증</x:v>
      </x:c>
      <x:c r="C2369" s="2" t="str">
        <x:v>국내</x:v>
      </x:c>
      <x:c r="D2369" s="7" t="str">
        <x:v>부산 모라 주공3단지 아파트 연료전환을 통한 온실가스 단위감축사업</x:v>
      </x:c>
      <x:c r="E2369" s="2" t="str">
        <x:v>609</x:v>
      </x:c>
      <x:c r="F2369" s="2" t="str">
        <x:v>2025-05-23</x:v>
      </x:c>
      <x:c r="G2369" s="2" t="str">
        <x:v>2025</x:v>
      </x:c>
      <x:c r="H2369" s="2" t="str">
        <x:v>05</x:v>
      </x:c>
      <x:c r="I2369" s="2" t="str">
        <x:v>심의승인</x:v>
      </x:c>
      <x:c r="J2369" s="2" t="str">
        <x:v>심의승인</x:v>
      </x:c>
      <x:c r="K2369" s="2" t="str">
        <x:f>IF(OR(J2369="심의승인",J2369="반려",J2369="반려완료",J2369="심의완료"),"종결 표시",IF(OR(J2369="기후부협의",J2369="문서재제출요청",J2369="보류",J2369="보완요청",J2369="보완완료",J2369="평가중",J2369="반려요청",J2369="평가필요",LEFT(J2369,5)="보완요청("),"미종결 표시","상태 확인 필요"))</x:f>
        <x:v>종결 표시</x:v>
      </x:c>
      <x:c r="L2369" s="2" t="str">
        <x:v>에코시안_조은지</x:v>
      </x:c>
      <x:c r="M2369" s="2"/>
      <x:c r="N2369" s="8" t="n">
        <x:f>DATE(2026,10,15)-DATE(2025,5,23)</x:f>
        <x:v>510</x:v>
      </x:c>
      <x:c r="O2369" s="2"/>
      <x:c r="P2369" s="2"/>
      <x:c r="Q2369" s="2" t="str">
        <x:v>산업전환_외부사업관리Tool_260707_이너젠 수정_LJY_261013.xlsx</x:v>
      </x:c>
      <x:c r="R2369" s="2" t="str">
        <x:v>국내인증</x:v>
      </x:c>
      <x:c r="S2369" s="8" t="n">
        <x:v>687</x:v>
      </x:c>
      <x:c r="T2369" s="2" t="str">
        <x:v>(5/30),(7/18)</x:v>
      </x:c>
      <x:c r="U2369" s="2" t="str">
        <x:v>2025 배정: (5/30),(7/18)</x:v>
      </x:c>
      <x:c r="V2369" s="2" t="str">
        <x:v>2025-12-09</x:v>
      </x:c>
      <x:c r="W2369" s="2" t="str"/>
      <x:c r="X2369" s="2" t="str">
        <x:v>종결 근거 보관</x:v>
      </x:c>
      <x:c r="Y2369" s="2" t="str">
        <x:v>ad210cd9ec132cfd447541c8984dc53d30aff0f4fb2dc92d254d49275cc55976</x:v>
      </x:c>
      <x:c r="Z2369" s="2" t="n">
        <x:f>SUBTOTAL(103,A2369)</x:f>
        <x:v>1</x:v>
      </x:c>
      <x:c r="AA2369" s="2" t="str">
        <x:f>IF(K2369&lt;&gt;"미종결 표시","대상 아님",IF(N2369="","신청일 확인",IF(NOT(ISNUMBER('종합 현황'!$H$5)),"관찰기준 확인",IF('종합 현황'!$H$5&lt;1,"관찰기준 확인",IF(N2369&gt;'종합 현황'!$H$5,"내부 관찰 대상","내부 관찰일 이하")))))</x:f>
        <x:v>대상 아님</x:v>
      </x:c>
      <x:c r="AB2369" s="2"/>
    </x:row>
    <x:row r="2370" ht="42" customHeight="1">
      <x:c r="A2370" s="2" t="str">
        <x:v>a2723740ffcc3a52374dd8e7</x:v>
      </x:c>
      <x:c r="B2370" s="2" t="str">
        <x:v>감축량 인증</x:v>
      </x:c>
      <x:c r="C2370" s="2" t="str">
        <x:v>국내</x:v>
      </x:c>
      <x:c r="D2370" s="7" t="str">
        <x:v>부산 금곡1단지 아파트 연료전환을 통한 온실가스 단위감축사업</x:v>
      </x:c>
      <x:c r="E2370" s="2" t="str">
        <x:v>610</x:v>
      </x:c>
      <x:c r="F2370" s="2" t="str">
        <x:v>2025-05-23</x:v>
      </x:c>
      <x:c r="G2370" s="2" t="str">
        <x:v>2025</x:v>
      </x:c>
      <x:c r="H2370" s="2" t="str">
        <x:v>05</x:v>
      </x:c>
      <x:c r="I2370" s="2" t="str">
        <x:v>심의승인</x:v>
      </x:c>
      <x:c r="J2370" s="2" t="str">
        <x:v>심의승인</x:v>
      </x:c>
      <x:c r="K2370" s="2" t="str">
        <x:f>IF(OR(J2370="심의승인",J2370="반려",J2370="반려완료",J2370="심의완료"),"종결 표시",IF(OR(J2370="기후부협의",J2370="문서재제출요청",J2370="보류",J2370="보완요청",J2370="보완완료",J2370="평가중",J2370="반려요청",J2370="평가필요",LEFT(J2370,5)="보완요청("),"미종결 표시","상태 확인 필요"))</x:f>
        <x:v>종결 표시</x:v>
      </x:c>
      <x:c r="L2370" s="2" t="str">
        <x:v>에코시안_남혜원</x:v>
      </x:c>
      <x:c r="M2370" s="2"/>
      <x:c r="N2370" s="8" t="n">
        <x:f>DATE(2026,10,15)-DATE(2025,5,23)</x:f>
        <x:v>510</x:v>
      </x:c>
      <x:c r="O2370" s="2"/>
      <x:c r="P2370" s="2"/>
      <x:c r="Q2370" s="2" t="str">
        <x:v>산업전환_외부사업관리Tool_260707_이너젠 수정_LJY_261013.xlsx</x:v>
      </x:c>
      <x:c r="R2370" s="2" t="str">
        <x:v>국내인증</x:v>
      </x:c>
      <x:c r="S2370" s="8" t="n">
        <x:v>688</x:v>
      </x:c>
      <x:c r="T2370" s="2" t="str">
        <x:v>(5/30),(7/18),(9/16),(11/10)</x:v>
      </x:c>
      <x:c r="U2370" s="2" t="str">
        <x:v>2025 배정: (5/30),(7/18),(9/16),(11/10)</x:v>
      </x:c>
      <x:c r="V2370" s="2" t="str">
        <x:v>2026-03-11</x:v>
      </x:c>
      <x:c r="W2370" s="2" t="str"/>
      <x:c r="X2370" s="2" t="str">
        <x:v>종결 근거 보관</x:v>
      </x:c>
      <x:c r="Y2370" s="2" t="str">
        <x:v>ad210cd9ec132cfd447541c8984dc53d30aff0f4fb2dc92d254d49275cc55976</x:v>
      </x:c>
      <x:c r="Z2370" s="2" t="n">
        <x:f>SUBTOTAL(103,A2370)</x:f>
        <x:v>1</x:v>
      </x:c>
      <x:c r="AA2370" s="2" t="str">
        <x:f>IF(K2370&lt;&gt;"미종결 표시","대상 아님",IF(N2370="","신청일 확인",IF(NOT(ISNUMBER('종합 현황'!$H$5)),"관찰기준 확인",IF('종합 현황'!$H$5&lt;1,"관찰기준 확인",IF(N2370&gt;'종합 현황'!$H$5,"내부 관찰 대상","내부 관찰일 이하")))))</x:f>
        <x:v>대상 아님</x:v>
      </x:c>
      <x:c r="AB2370" s="2"/>
    </x:row>
    <x:row r="2371" ht="42" customHeight="1">
      <x:c r="A2371" s="2" t="str">
        <x:v>f241fca5408a46824b3c00ea</x:v>
      </x:c>
      <x:c r="B2371" s="2" t="str">
        <x:v>감축량 인증</x:v>
      </x:c>
      <x:c r="C2371" s="2" t="str">
        <x:v>국내</x:v>
      </x:c>
      <x:c r="D2371" s="7" t="str">
        <x:v>부산 동삼2단지 아파트 연료전환을 통한 온실가스 단위감축사업</x:v>
      </x:c>
      <x:c r="E2371" s="2" t="str">
        <x:v>611</x:v>
      </x:c>
      <x:c r="F2371" s="2" t="str">
        <x:v>2025-05-23</x:v>
      </x:c>
      <x:c r="G2371" s="2" t="str">
        <x:v>2025</x:v>
      </x:c>
      <x:c r="H2371" s="2" t="str">
        <x:v>05</x:v>
      </x:c>
      <x:c r="I2371" s="2" t="str">
        <x:v>심의승인</x:v>
      </x:c>
      <x:c r="J2371" s="2" t="str">
        <x:v>심의승인</x:v>
      </x:c>
      <x:c r="K2371" s="2" t="str">
        <x:f>IF(OR(J2371="심의승인",J2371="반려",J2371="반려완료",J2371="심의완료"),"종결 표시",IF(OR(J2371="기후부협의",J2371="문서재제출요청",J2371="보류",J2371="보완요청",J2371="보완완료",J2371="평가중",J2371="반려요청",J2371="평가필요",LEFT(J2371,5)="보완요청("),"미종결 표시","상태 확인 필요"))</x:f>
        <x:v>종결 표시</x:v>
      </x:c>
      <x:c r="L2371" s="2" t="str">
        <x:v>에코시안_이혜연</x:v>
      </x:c>
      <x:c r="M2371" s="2"/>
      <x:c r="N2371" s="8" t="n">
        <x:f>DATE(2026,10,15)-DATE(2025,5,23)</x:f>
        <x:v>510</x:v>
      </x:c>
      <x:c r="O2371" s="2"/>
      <x:c r="P2371" s="2"/>
      <x:c r="Q2371" s="2" t="str">
        <x:v>산업전환_외부사업관리Tool_260707_이너젠 수정_LJY_261013.xlsx</x:v>
      </x:c>
      <x:c r="R2371" s="2" t="str">
        <x:v>국내인증</x:v>
      </x:c>
      <x:c r="S2371" s="8" t="n">
        <x:v>689</x:v>
      </x:c>
      <x:c r="T2371" s="2" t="str">
        <x:v>(5/30),(7/18),(9/16)</x:v>
      </x:c>
      <x:c r="U2371" s="2" t="str">
        <x:v>2025 배정: (5/30),(7/18),(9/16)</x:v>
      </x:c>
      <x:c r="V2371" s="2" t="str">
        <x:v>2026-03-11</x:v>
      </x:c>
      <x:c r="W2371" s="2" t="str"/>
      <x:c r="X2371" s="2" t="str">
        <x:v>종결 근거 보관</x:v>
      </x:c>
      <x:c r="Y2371" s="2" t="str">
        <x:v>ad210cd9ec132cfd447541c8984dc53d30aff0f4fb2dc92d254d49275cc55976</x:v>
      </x:c>
      <x:c r="Z2371" s="2" t="n">
        <x:f>SUBTOTAL(103,A2371)</x:f>
        <x:v>1</x:v>
      </x:c>
      <x:c r="AA2371" s="2" t="str">
        <x:f>IF(K2371&lt;&gt;"미종결 표시","대상 아님",IF(N2371="","신청일 확인",IF(NOT(ISNUMBER('종합 현황'!$H$5)),"관찰기준 확인",IF('종합 현황'!$H$5&lt;1,"관찰기준 확인",IF(N2371&gt;'종합 현황'!$H$5,"내부 관찰 대상","내부 관찰일 이하")))))</x:f>
        <x:v>대상 아님</x:v>
      </x:c>
      <x:c r="AB2371" s="2"/>
    </x:row>
    <x:row r="2372" ht="42" customHeight="1">
      <x:c r="A2372" s="2" t="str">
        <x:v>df469f35ba13c222e548c50a</x:v>
      </x:c>
      <x:c r="B2372" s="2" t="str">
        <x:v>감축량 인증</x:v>
      </x:c>
      <x:c r="C2372" s="2" t="str">
        <x:v>국내</x:v>
      </x:c>
      <x:c r="D2372" s="7" t="str">
        <x:v>부산 반송아파트 연료전환을 통한 온실가스 단위감축사업</x:v>
      </x:c>
      <x:c r="E2372" s="2" t="str">
        <x:v>612</x:v>
      </x:c>
      <x:c r="F2372" s="2" t="str">
        <x:v>2025-05-23</x:v>
      </x:c>
      <x:c r="G2372" s="2" t="str">
        <x:v>2025</x:v>
      </x:c>
      <x:c r="H2372" s="2" t="str">
        <x:v>05</x:v>
      </x:c>
      <x:c r="I2372" s="2" t="str">
        <x:v>심의승인</x:v>
      </x:c>
      <x:c r="J2372" s="2" t="str">
        <x:v>심의승인</x:v>
      </x:c>
      <x:c r="K2372" s="2" t="str">
        <x:f>IF(OR(J2372="심의승인",J2372="반려",J2372="반려완료",J2372="심의완료"),"종결 표시",IF(OR(J2372="기후부협의",J2372="문서재제출요청",J2372="보류",J2372="보완요청",J2372="보완완료",J2372="평가중",J2372="반려요청",J2372="평가필요",LEFT(J2372,5)="보완요청("),"미종결 표시","상태 확인 필요"))</x:f>
        <x:v>종결 표시</x:v>
      </x:c>
      <x:c r="L2372" s="2" t="str">
        <x:v>KECM</x:v>
      </x:c>
      <x:c r="M2372" s="2"/>
      <x:c r="N2372" s="8" t="n">
        <x:f>DATE(2026,10,15)-DATE(2025,5,23)</x:f>
        <x:v>510</x:v>
      </x:c>
      <x:c r="O2372" s="2"/>
      <x:c r="P2372" s="2"/>
      <x:c r="Q2372" s="2" t="str">
        <x:v>산업전환_외부사업관리Tool_260707_이너젠 수정_LJY_261013.xlsx</x:v>
      </x:c>
      <x:c r="R2372" s="2" t="str">
        <x:v>국내인증</x:v>
      </x:c>
      <x:c r="S2372" s="8" t="n">
        <x:v>690</x:v>
      </x:c>
      <x:c r="T2372" s="2" t="str">
        <x:v>(5/30),(6/26),(8/8)</x:v>
      </x:c>
      <x:c r="U2372" s="2" t="str">
        <x:v>2025 배정: (5/30),(6/26),(8/8)</x:v>
      </x:c>
      <x:c r="V2372" s="2" t="str">
        <x:v>2025-12-09</x:v>
      </x:c>
      <x:c r="W2372" s="2" t="str"/>
      <x:c r="X2372" s="2" t="str">
        <x:v>종결 근거 보관</x:v>
      </x:c>
      <x:c r="Y2372" s="2" t="str">
        <x:v>ad210cd9ec132cfd447541c8984dc53d30aff0f4fb2dc92d254d49275cc55976</x:v>
      </x:c>
      <x:c r="Z2372" s="2" t="n">
        <x:f>SUBTOTAL(103,A2372)</x:f>
        <x:v>1</x:v>
      </x:c>
      <x:c r="AA2372" s="2" t="str">
        <x:f>IF(K2372&lt;&gt;"미종결 표시","대상 아님",IF(N2372="","신청일 확인",IF(NOT(ISNUMBER('종합 현황'!$H$5)),"관찰기준 확인",IF('종합 현황'!$H$5&lt;1,"관찰기준 확인",IF(N2372&gt;'종합 현황'!$H$5,"내부 관찰 대상","내부 관찰일 이하")))))</x:f>
        <x:v>대상 아님</x:v>
      </x:c>
      <x:c r="AB2372" s="2"/>
    </x:row>
    <x:row r="2373" ht="42" customHeight="1">
      <x:c r="A2373" s="2" t="str">
        <x:v>d2202c035b61475a6a6efa6e</x:v>
      </x:c>
      <x:c r="B2373" s="2" t="str">
        <x:v>감축량 인증</x:v>
      </x:c>
      <x:c r="C2373" s="2" t="str">
        <x:v>국내</x:v>
      </x:c>
      <x:c r="D2373" s="7" t="str">
        <x:v>㈜한화 울산소재 질산공장 N2O 감축 프로젝트</x:v>
      </x:c>
      <x:c r="E2373" s="2" t="str">
        <x:v>613</x:v>
      </x:c>
      <x:c r="F2373" s="2" t="str">
        <x:v>2025-05-26</x:v>
      </x:c>
      <x:c r="G2373" s="2" t="str">
        <x:v>2025</x:v>
      </x:c>
      <x:c r="H2373" s="2" t="str">
        <x:v>05</x:v>
      </x:c>
      <x:c r="I2373" s="2" t="str">
        <x:v>심의승인</x:v>
      </x:c>
      <x:c r="J2373" s="2" t="str">
        <x:v>심의승인</x:v>
      </x:c>
      <x:c r="K2373" s="2" t="str">
        <x:f>IF(OR(J2373="심의승인",J2373="반려",J2373="반려완료",J2373="심의완료"),"종결 표시",IF(OR(J2373="기후부협의",J2373="문서재제출요청",J2373="보류",J2373="보완요청",J2373="보완완료",J2373="평가중",J2373="반려요청",J2373="평가필요",LEFT(J2373,5)="보완요청("),"미종결 표시","상태 확인 필요"))</x:f>
        <x:v>종결 표시</x:v>
      </x:c>
      <x:c r="L2373" s="2" t="str">
        <x:v>KECM</x:v>
      </x:c>
      <x:c r="M2373" s="2"/>
      <x:c r="N2373" s="8" t="n">
        <x:f>DATE(2026,10,15)-DATE(2025,5,26)</x:f>
        <x:v>507</x:v>
      </x:c>
      <x:c r="O2373" s="2"/>
      <x:c r="P2373" s="2"/>
      <x:c r="Q2373" s="2" t="str">
        <x:v>산업전환_외부사업관리Tool_260707_이너젠 수정_LJY_261013.xlsx</x:v>
      </x:c>
      <x:c r="R2373" s="2" t="str">
        <x:v>국내인증</x:v>
      </x:c>
      <x:c r="S2373" s="8" t="n">
        <x:v>691</x:v>
      </x:c>
      <x:c r="T2373" s="2" t="str">
        <x:v>(5/30),(7/18)</x:v>
      </x:c>
      <x:c r="U2373" s="2" t="str">
        <x:v>2025 배정: (5/30),(7/18)</x:v>
      </x:c>
      <x:c r="V2373" s="2" t="str">
        <x:v>2025-09-10</x:v>
      </x:c>
      <x:c r="W2373" s="2" t="str"/>
      <x:c r="X2373" s="2" t="str">
        <x:v>종결 근거 보관</x:v>
      </x:c>
      <x:c r="Y2373" s="2" t="str">
        <x:v>ad210cd9ec132cfd447541c8984dc53d30aff0f4fb2dc92d254d49275cc55976</x:v>
      </x:c>
      <x:c r="Z2373" s="2" t="n">
        <x:f>SUBTOTAL(103,A2373)</x:f>
        <x:v>1</x:v>
      </x:c>
      <x:c r="AA2373" s="2" t="str">
        <x:f>IF(K2373&lt;&gt;"미종결 표시","대상 아님",IF(N2373="","신청일 확인",IF(NOT(ISNUMBER('종합 현황'!$H$5)),"관찰기준 확인",IF('종합 현황'!$H$5&lt;1,"관찰기준 확인",IF(N2373&gt;'종합 현황'!$H$5,"내부 관찰 대상","내부 관찰일 이하")))))</x:f>
        <x:v>대상 아님</x:v>
      </x:c>
      <x:c r="AB2373" s="2"/>
    </x:row>
    <x:row r="2374" ht="42" customHeight="1">
      <x:c r="A2374" s="2" t="str">
        <x:v>c95939b921dc5d105da3ed79</x:v>
      </x:c>
      <x:c r="B2374" s="2" t="str">
        <x:v>감축량 인증</x:v>
      </x:c>
      <x:c r="C2374" s="2" t="str">
        <x:v>국내</x:v>
      </x:c>
      <x:c r="D2374" s="7" t="str">
        <x:v>대구 산격아파트 연료전환을 통한 온실가스 단위감축사업</x:v>
      </x:c>
      <x:c r="E2374" s="2" t="str">
        <x:v>614</x:v>
      </x:c>
      <x:c r="F2374" s="2" t="str">
        <x:v>2025-06-19</x:v>
      </x:c>
      <x:c r="G2374" s="2" t="str">
        <x:v>2025</x:v>
      </x:c>
      <x:c r="H2374" s="2" t="str">
        <x:v>06</x:v>
      </x:c>
      <x:c r="I2374" s="2" t="str">
        <x:v>심의승인</x:v>
      </x:c>
      <x:c r="J2374" s="2" t="str">
        <x:v>심의승인</x:v>
      </x:c>
      <x:c r="K2374" s="2" t="str">
        <x:f>IF(OR(J2374="심의승인",J2374="반려",J2374="반려완료",J2374="심의완료"),"종결 표시",IF(OR(J2374="기후부협의",J2374="문서재제출요청",J2374="보류",J2374="보완요청",J2374="보완완료",J2374="평가중",J2374="반려요청",J2374="평가필요",LEFT(J2374,5)="보완요청("),"미종결 표시","상태 확인 필요"))</x:f>
        <x:v>종결 표시</x:v>
      </x:c>
      <x:c r="L2374" s="2" t="str">
        <x:v>KECM</x:v>
      </x:c>
      <x:c r="M2374" s="2"/>
      <x:c r="N2374" s="8" t="n">
        <x:f>DATE(2026,10,15)-DATE(2025,6,19)</x:f>
        <x:v>483</x:v>
      </x:c>
      <x:c r="O2374" s="2"/>
      <x:c r="P2374" s="2"/>
      <x:c r="Q2374" s="2" t="str">
        <x:v>산업전환_외부사업관리Tool_260707_이너젠 수정_LJY_261013.xlsx</x:v>
      </x:c>
      <x:c r="R2374" s="2" t="str">
        <x:v>국내인증</x:v>
      </x:c>
      <x:c r="S2374" s="8" t="n">
        <x:v>692</x:v>
      </x:c>
      <x:c r="T2374" s="2" t="str">
        <x:v>(6/26),(7/18),(9/1),(10/16)</x:v>
      </x:c>
      <x:c r="U2374" s="2" t="str">
        <x:v>2025 배정: (6/26),(7/18),(9/1),(10/16)</x:v>
      </x:c>
      <x:c r="V2374" s="2" t="str">
        <x:v>2026-03-11</x:v>
      </x:c>
      <x:c r="W2374" s="2" t="str"/>
      <x:c r="X2374" s="2" t="str">
        <x:v>종결 근거 보관</x:v>
      </x:c>
      <x:c r="Y2374" s="2" t="str">
        <x:v>ad210cd9ec132cfd447541c8984dc53d30aff0f4fb2dc92d254d49275cc55976</x:v>
      </x:c>
      <x:c r="Z2374" s="2" t="n">
        <x:f>SUBTOTAL(103,A2374)</x:f>
        <x:v>1</x:v>
      </x:c>
      <x:c r="AA2374" s="2" t="str">
        <x:f>IF(K2374&lt;&gt;"미종결 표시","대상 아님",IF(N2374="","신청일 확인",IF(NOT(ISNUMBER('종합 현황'!$H$5)),"관찰기준 확인",IF('종합 현황'!$H$5&lt;1,"관찰기준 확인",IF(N2374&gt;'종합 현황'!$H$5,"내부 관찰 대상","내부 관찰일 이하")))))</x:f>
        <x:v>대상 아님</x:v>
      </x:c>
      <x:c r="AB2374" s="2"/>
    </x:row>
    <x:row r="2375" ht="42" customHeight="1">
      <x:c r="A2375" s="2" t="str">
        <x:v>13ba35fa7eb0b5254e9064f1</x:v>
      </x:c>
      <x:c r="B2375" s="2" t="str">
        <x:v>감축량 인증</x:v>
      </x:c>
      <x:c r="C2375" s="2" t="str">
        <x:v>국내</x:v>
      </x:c>
      <x:c r="D2375" s="7" t="str">
        <x:v>부천 춘의단지 아파트 연료전환을 통한 온실가스 감축사업</x:v>
      </x:c>
      <x:c r="E2375" s="2" t="str">
        <x:v>615</x:v>
      </x:c>
      <x:c r="F2375" s="2" t="str">
        <x:v>2025-06-19</x:v>
      </x:c>
      <x:c r="G2375" s="2" t="str">
        <x:v>2025</x:v>
      </x:c>
      <x:c r="H2375" s="2" t="str">
        <x:v>06</x:v>
      </x:c>
      <x:c r="I2375" s="2" t="str">
        <x:v>심의승인</x:v>
      </x:c>
      <x:c r="J2375" s="2" t="str">
        <x:v>심의승인</x:v>
      </x:c>
      <x:c r="K2375" s="2" t="str">
        <x:f>IF(OR(J2375="심의승인",J2375="반려",J2375="반려완료",J2375="심의완료"),"종결 표시",IF(OR(J2375="기후부협의",J2375="문서재제출요청",J2375="보류",J2375="보완요청",J2375="보완완료",J2375="평가중",J2375="반려요청",J2375="평가필요",LEFT(J2375,5)="보완요청("),"미종결 표시","상태 확인 필요"))</x:f>
        <x:v>종결 표시</x:v>
      </x:c>
      <x:c r="L2375" s="2" t="str">
        <x:v>에코시안_조영우</x:v>
      </x:c>
      <x:c r="M2375" s="2"/>
      <x:c r="N2375" s="8" t="n">
        <x:f>DATE(2026,10,15)-DATE(2025,6,19)</x:f>
        <x:v>483</x:v>
      </x:c>
      <x:c r="O2375" s="2"/>
      <x:c r="P2375" s="2"/>
      <x:c r="Q2375" s="2" t="str">
        <x:v>산업전환_외부사업관리Tool_260707_이너젠 수정_LJY_261013.xlsx</x:v>
      </x:c>
      <x:c r="R2375" s="2" t="str">
        <x:v>국내인증</x:v>
      </x:c>
      <x:c r="S2375" s="8" t="n">
        <x:v>693</x:v>
      </x:c>
      <x:c r="T2375" s="2" t="str">
        <x:v>(6/26),(8/8)</x:v>
      </x:c>
      <x:c r="U2375" s="2" t="str">
        <x:v>2025 배정: (6/26),(8/8)</x:v>
      </x:c>
      <x:c r="V2375" s="2" t="str">
        <x:v>2025-12-09</x:v>
      </x:c>
      <x:c r="W2375" s="2" t="str"/>
      <x:c r="X2375" s="2" t="str">
        <x:v>종결 근거 보관</x:v>
      </x:c>
      <x:c r="Y2375" s="2" t="str">
        <x:v>ad210cd9ec132cfd447541c8984dc53d30aff0f4fb2dc92d254d49275cc55976</x:v>
      </x:c>
      <x:c r="Z2375" s="2" t="n">
        <x:f>SUBTOTAL(103,A2375)</x:f>
        <x:v>1</x:v>
      </x:c>
      <x:c r="AA2375" s="2" t="str">
        <x:f>IF(K2375&lt;&gt;"미종결 표시","대상 아님",IF(N2375="","신청일 확인",IF(NOT(ISNUMBER('종합 현황'!$H$5)),"관찰기준 확인",IF('종합 현황'!$H$5&lt;1,"관찰기준 확인",IF(N2375&gt;'종합 현황'!$H$5,"내부 관찰 대상","내부 관찰일 이하")))))</x:f>
        <x:v>대상 아님</x:v>
      </x:c>
      <x:c r="AB2375" s="2"/>
    </x:row>
    <x:row r="2376" ht="42" customHeight="1">
      <x:c r="A2376" s="2" t="str">
        <x:v>d99de533a2cbde1ef7025da2</x:v>
      </x:c>
      <x:c r="B2376" s="2" t="str">
        <x:v>감축량 인증</x:v>
      </x:c>
      <x:c r="C2376" s="2" t="str">
        <x:v>국내</x:v>
      </x:c>
      <x:c r="D2376" s="7" t="str">
        <x:v>울산 달동3단지 아파트 연료전환을 통한 온실가스 단위감축사업</x:v>
      </x:c>
      <x:c r="E2376" s="2" t="str">
        <x:v>616</x:v>
      </x:c>
      <x:c r="F2376" s="2" t="str">
        <x:v>2025-06-19</x:v>
      </x:c>
      <x:c r="G2376" s="2" t="str">
        <x:v>2025</x:v>
      </x:c>
      <x:c r="H2376" s="2" t="str">
        <x:v>06</x:v>
      </x:c>
      <x:c r="I2376" s="2" t="str">
        <x:v>심의승인</x:v>
      </x:c>
      <x:c r="J2376" s="2" t="str">
        <x:v>심의승인</x:v>
      </x:c>
      <x:c r="K2376" s="2" t="str">
        <x:f>IF(OR(J2376="심의승인",J2376="반려",J2376="반려완료",J2376="심의완료"),"종결 표시",IF(OR(J2376="기후부협의",J2376="문서재제출요청",J2376="보류",J2376="보완요청",J2376="보완완료",J2376="평가중",J2376="반려요청",J2376="평가필요",LEFT(J2376,5)="보완요청("),"미종결 표시","상태 확인 필요"))</x:f>
        <x:v>종결 표시</x:v>
      </x:c>
      <x:c r="L2376" s="2" t="str">
        <x:v>에코시안_조은지</x:v>
      </x:c>
      <x:c r="M2376" s="2"/>
      <x:c r="N2376" s="8" t="n">
        <x:f>DATE(2026,10,15)-DATE(2025,6,19)</x:f>
        <x:v>483</x:v>
      </x:c>
      <x:c r="O2376" s="2"/>
      <x:c r="P2376" s="2"/>
      <x:c r="Q2376" s="2" t="str">
        <x:v>산업전환_외부사업관리Tool_260707_이너젠 수정_LJY_261013.xlsx</x:v>
      </x:c>
      <x:c r="R2376" s="2" t="str">
        <x:v>국내인증</x:v>
      </x:c>
      <x:c r="S2376" s="8" t="n">
        <x:v>694</x:v>
      </x:c>
      <x:c r="T2376" s="2" t="str">
        <x:v>(6/26),(8/8)</x:v>
      </x:c>
      <x:c r="U2376" s="2" t="str">
        <x:v>2025 배정: (6/26),(8/8)</x:v>
      </x:c>
      <x:c r="V2376" s="2" t="str">
        <x:v>2025-12-09</x:v>
      </x:c>
      <x:c r="W2376" s="2" t="str"/>
      <x:c r="X2376" s="2" t="str">
        <x:v>종결 근거 보관</x:v>
      </x:c>
      <x:c r="Y2376" s="2" t="str">
        <x:v>ad210cd9ec132cfd447541c8984dc53d30aff0f4fb2dc92d254d49275cc55976</x:v>
      </x:c>
      <x:c r="Z2376" s="2" t="n">
        <x:f>SUBTOTAL(103,A2376)</x:f>
        <x:v>1</x:v>
      </x:c>
      <x:c r="AA2376" s="2" t="str">
        <x:f>IF(K2376&lt;&gt;"미종결 표시","대상 아님",IF(N2376="","신청일 확인",IF(NOT(ISNUMBER('종합 현황'!$H$5)),"관찰기준 확인",IF('종합 현황'!$H$5&lt;1,"관찰기준 확인",IF(N2376&gt;'종합 현황'!$H$5,"내부 관찰 대상","내부 관찰일 이하")))))</x:f>
        <x:v>대상 아님</x:v>
      </x:c>
      <x:c r="AB2376" s="2"/>
    </x:row>
    <x:row r="2377" ht="42" customHeight="1">
      <x:c r="A2377" s="2" t="str">
        <x:v>1958494f0882233943295530</x:v>
      </x:c>
      <x:c r="B2377" s="2" t="str">
        <x:v>감축량 인증</x:v>
      </x:c>
      <x:c r="C2377" s="2" t="str">
        <x:v>국내</x:v>
      </x:c>
      <x:c r="D2377" s="7" t="str">
        <x:v>공주 옥룡 주공 1단지 아파트 연료전환을 통한 온실가스 단위감축사업</x:v>
      </x:c>
      <x:c r="E2377" s="2" t="str">
        <x:v>617</x:v>
      </x:c>
      <x:c r="F2377" s="2" t="str">
        <x:v>2025-07-03</x:v>
      </x:c>
      <x:c r="G2377" s="2" t="str">
        <x:v>2025</x:v>
      </x:c>
      <x:c r="H2377" s="2" t="str">
        <x:v>07</x:v>
      </x:c>
      <x:c r="I2377" s="2" t="str">
        <x:v>심의승인</x:v>
      </x:c>
      <x:c r="J2377" s="2" t="str">
        <x:v>심의승인</x:v>
      </x:c>
      <x:c r="K2377" s="2" t="str">
        <x:f>IF(OR(J2377="심의승인",J2377="반려",J2377="반려완료",J2377="심의완료"),"종결 표시",IF(OR(J2377="기후부협의",J2377="문서재제출요청",J2377="보류",J2377="보완요청",J2377="보완완료",J2377="평가중",J2377="반려요청",J2377="평가필요",LEFT(J2377,5)="보완요청("),"미종결 표시","상태 확인 필요"))</x:f>
        <x:v>종결 표시</x:v>
      </x:c>
      <x:c r="L2377" s="2" t="str">
        <x:v>KECM</x:v>
      </x:c>
      <x:c r="M2377" s="2"/>
      <x:c r="N2377" s="8" t="n">
        <x:f>DATE(2026,10,15)-DATE(2025,7,3)</x:f>
        <x:v>469</x:v>
      </x:c>
      <x:c r="O2377" s="2"/>
      <x:c r="P2377" s="2"/>
      <x:c r="Q2377" s="2" t="str">
        <x:v>산업전환_외부사업관리Tool_260707_이너젠 수정_LJY_261013.xlsx</x:v>
      </x:c>
      <x:c r="R2377" s="2" t="str">
        <x:v>국내인증</x:v>
      </x:c>
      <x:c r="S2377" s="8" t="n">
        <x:v>695</x:v>
      </x:c>
      <x:c r="T2377" s="2" t="str">
        <x:v>(7/18),(9/1),(10/16)</x:v>
      </x:c>
      <x:c r="U2377" s="2" t="str">
        <x:v>2025 배정: (7/18),(9/1),(10/16)</x:v>
      </x:c>
      <x:c r="V2377" s="2" t="str">
        <x:v>2026-03-11</x:v>
      </x:c>
      <x:c r="W2377" s="2" t="str"/>
      <x:c r="X2377" s="2" t="str">
        <x:v>종결 근거 보관</x:v>
      </x:c>
      <x:c r="Y2377" s="2" t="str">
        <x:v>ad210cd9ec132cfd447541c8984dc53d30aff0f4fb2dc92d254d49275cc55976</x:v>
      </x:c>
      <x:c r="Z2377" s="2" t="n">
        <x:f>SUBTOTAL(103,A2377)</x:f>
        <x:v>1</x:v>
      </x:c>
      <x:c r="AA2377" s="2" t="str">
        <x:f>IF(K2377&lt;&gt;"미종결 표시","대상 아님",IF(N2377="","신청일 확인",IF(NOT(ISNUMBER('종합 현황'!$H$5)),"관찰기준 확인",IF('종합 현황'!$H$5&lt;1,"관찰기준 확인",IF(N2377&gt;'종합 현황'!$H$5,"내부 관찰 대상","내부 관찰일 이하")))))</x:f>
        <x:v>대상 아님</x:v>
      </x:c>
      <x:c r="AB2377" s="2"/>
    </x:row>
    <x:row r="2378" ht="42" customHeight="1">
      <x:c r="A2378" s="2" t="str">
        <x:v>d76b9c7a97a3e5867c90dee7</x:v>
      </x:c>
      <x:c r="B2378" s="2" t="str">
        <x:v>감축량 인증</x:v>
      </x:c>
      <x:c r="C2378" s="2" t="str">
        <x:v>국내</x:v>
      </x:c>
      <x:c r="D2378" s="7" t="str">
        <x:v>광주 하남 주공 1차 아파트 연료전환을 통한 온실가스 감축사업</x:v>
      </x:c>
      <x:c r="E2378" s="2" t="str">
        <x:v>618</x:v>
      </x:c>
      <x:c r="F2378" s="2" t="str">
        <x:v>2025-07-03</x:v>
      </x:c>
      <x:c r="G2378" s="2" t="str">
        <x:v>2025</x:v>
      </x:c>
      <x:c r="H2378" s="2" t="str">
        <x:v>07</x:v>
      </x:c>
      <x:c r="I2378" s="2" t="str">
        <x:v>심의승인</x:v>
      </x:c>
      <x:c r="J2378" s="2" t="str">
        <x:v>심의승인</x:v>
      </x:c>
      <x:c r="K2378" s="2" t="str">
        <x:f>IF(OR(J2378="심의승인",J2378="반려",J2378="반려완료",J2378="심의완료"),"종결 표시",IF(OR(J2378="기후부협의",J2378="문서재제출요청",J2378="보류",J2378="보완요청",J2378="보완완료",J2378="평가중",J2378="반려요청",J2378="평가필요",LEFT(J2378,5)="보완요청("),"미종결 표시","상태 확인 필요"))</x:f>
        <x:v>종결 표시</x:v>
      </x:c>
      <x:c r="L2378" s="2" t="str">
        <x:v>에코시안_조영우</x:v>
      </x:c>
      <x:c r="M2378" s="2"/>
      <x:c r="N2378" s="8" t="n">
        <x:f>DATE(2026,10,15)-DATE(2025,7,3)</x:f>
        <x:v>469</x:v>
      </x:c>
      <x:c r="O2378" s="2"/>
      <x:c r="P2378" s="2"/>
      <x:c r="Q2378" s="2" t="str">
        <x:v>산업전환_외부사업관리Tool_260707_이너젠 수정_LJY_261013.xlsx</x:v>
      </x:c>
      <x:c r="R2378" s="2" t="str">
        <x:v>국내인증</x:v>
      </x:c>
      <x:c r="S2378" s="8" t="n">
        <x:v>696</x:v>
      </x:c>
      <x:c r="T2378" s="2" t="str">
        <x:v>(7/18)</x:v>
      </x:c>
      <x:c r="U2378" s="2" t="str">
        <x:v>2025 배정: (7/18)</x:v>
      </x:c>
      <x:c r="V2378" s="2" t="str">
        <x:v>2025-12-09</x:v>
      </x:c>
      <x:c r="W2378" s="2" t="str"/>
      <x:c r="X2378" s="2" t="str">
        <x:v>종결 근거 보관</x:v>
      </x:c>
      <x:c r="Y2378" s="2" t="str">
        <x:v>ad210cd9ec132cfd447541c8984dc53d30aff0f4fb2dc92d254d49275cc55976</x:v>
      </x:c>
      <x:c r="Z2378" s="2" t="n">
        <x:f>SUBTOTAL(103,A2378)</x:f>
        <x:v>1</x:v>
      </x:c>
      <x:c r="AA2378" s="2" t="str">
        <x:f>IF(K2378&lt;&gt;"미종결 표시","대상 아님",IF(N2378="","신청일 확인",IF(NOT(ISNUMBER('종합 현황'!$H$5)),"관찰기준 확인",IF('종합 현황'!$H$5&lt;1,"관찰기준 확인",IF(N2378&gt;'종합 현황'!$H$5,"내부 관찰 대상","내부 관찰일 이하")))))</x:f>
        <x:v>대상 아님</x:v>
      </x:c>
      <x:c r="AB2378" s="2"/>
    </x:row>
    <x:row r="2379" ht="42" customHeight="1">
      <x:c r="A2379" s="2" t="str">
        <x:v>45f8ee24814ed415c6bae508</x:v>
      </x:c>
      <x:c r="B2379" s="2" t="str">
        <x:v>감축량 인증</x:v>
      </x:c>
      <x:c r="C2379" s="2" t="str">
        <x:v>국내</x:v>
      </x:c>
      <x:c r="D2379" s="7" t="str">
        <x:v>경주 용강 주공 1단지 아파트 연료전환을 통한 온실가스 단위감축사업</x:v>
      </x:c>
      <x:c r="E2379" s="2" t="str">
        <x:v>619</x:v>
      </x:c>
      <x:c r="F2379" s="2" t="str">
        <x:v>2025-07-05</x:v>
      </x:c>
      <x:c r="G2379" s="2" t="str">
        <x:v>2025</x:v>
      </x:c>
      <x:c r="H2379" s="2" t="str">
        <x:v>07</x:v>
      </x:c>
      <x:c r="I2379" s="2" t="str">
        <x:v>심의승인</x:v>
      </x:c>
      <x:c r="J2379" s="2" t="str">
        <x:v>심의승인</x:v>
      </x:c>
      <x:c r="K2379" s="2" t="str">
        <x:f>IF(OR(J2379="심의승인",J2379="반려",J2379="반려완료",J2379="심의완료"),"종결 표시",IF(OR(J2379="기후부협의",J2379="문서재제출요청",J2379="보류",J2379="보완요청",J2379="보완완료",J2379="평가중",J2379="반려요청",J2379="평가필요",LEFT(J2379,5)="보완요청("),"미종결 표시","상태 확인 필요"))</x:f>
        <x:v>종결 표시</x:v>
      </x:c>
      <x:c r="L2379" s="2" t="str">
        <x:v>KECM</x:v>
      </x:c>
      <x:c r="M2379" s="2"/>
      <x:c r="N2379" s="8" t="n">
        <x:f>DATE(2026,10,15)-DATE(2025,7,5)</x:f>
        <x:v>467</x:v>
      </x:c>
      <x:c r="O2379" s="2"/>
      <x:c r="P2379" s="2"/>
      <x:c r="Q2379" s="2" t="str">
        <x:v>산업전환_외부사업관리Tool_260707_이너젠 수정_LJY_261013.xlsx</x:v>
      </x:c>
      <x:c r="R2379" s="2" t="str">
        <x:v>국내인증</x:v>
      </x:c>
      <x:c r="S2379" s="8" t="n">
        <x:v>697</x:v>
      </x:c>
      <x:c r="T2379" s="2" t="str">
        <x:v>(7/18),(8/8),(9/16)</x:v>
      </x:c>
      <x:c r="U2379" s="2" t="str">
        <x:v>2025 배정: (7/18),(8/8),(9/16)</x:v>
      </x:c>
      <x:c r="V2379" s="2" t="str">
        <x:v>2026-03-11</x:v>
      </x:c>
      <x:c r="W2379" s="2" t="str"/>
      <x:c r="X2379" s="2" t="str">
        <x:v>종결 근거 보관</x:v>
      </x:c>
      <x:c r="Y2379" s="2" t="str">
        <x:v>ad210cd9ec132cfd447541c8984dc53d30aff0f4fb2dc92d254d49275cc55976</x:v>
      </x:c>
      <x:c r="Z2379" s="2" t="n">
        <x:f>SUBTOTAL(103,A2379)</x:f>
        <x:v>1</x:v>
      </x:c>
      <x:c r="AA2379" s="2" t="str">
        <x:f>IF(K2379&lt;&gt;"미종결 표시","대상 아님",IF(N2379="","신청일 확인",IF(NOT(ISNUMBER('종합 현황'!$H$5)),"관찰기준 확인",IF('종합 현황'!$H$5&lt;1,"관찰기준 확인",IF(N2379&gt;'종합 현황'!$H$5,"내부 관찰 대상","내부 관찰일 이하")))))</x:f>
        <x:v>대상 아님</x:v>
      </x:c>
      <x:c r="AB2379" s="2"/>
    </x:row>
    <x:row r="2380" ht="42" customHeight="1">
      <x:c r="A2380" s="2" t="str">
        <x:v>bbb2b705ca4f0d92f420639a</x:v>
      </x:c>
      <x:c r="B2380" s="2" t="str">
        <x:v>감축량 인증</x:v>
      </x:c>
      <x:c r="C2380" s="2" t="str">
        <x:v>국내</x:v>
      </x:c>
      <x:c r="D2380" s="7" t="str">
        <x:v>동해천곡5관리소 온수보일러 연료전환(B-C유-&gt;LNG)을 통한 온실가스 배출 감축사업</x:v>
      </x:c>
      <x:c r="E2380" s="2" t="str">
        <x:v>620</x:v>
      </x:c>
      <x:c r="F2380" s="2" t="str">
        <x:v>2025-07-05</x:v>
      </x:c>
      <x:c r="G2380" s="2" t="str">
        <x:v>2025</x:v>
      </x:c>
      <x:c r="H2380" s="2" t="str">
        <x:v>07</x:v>
      </x:c>
      <x:c r="I2380" s="2" t="str">
        <x:v>심의승인</x:v>
      </x:c>
      <x:c r="J2380" s="2" t="str">
        <x:v>심의승인</x:v>
      </x:c>
      <x:c r="K2380" s="2" t="str">
        <x:f>IF(OR(J2380="심의승인",J2380="반려",J2380="반려완료",J2380="심의완료"),"종결 표시",IF(OR(J2380="기후부협의",J2380="문서재제출요청",J2380="보류",J2380="보완요청",J2380="보완완료",J2380="평가중",J2380="반려요청",J2380="평가필요",LEFT(J2380,5)="보완요청("),"미종결 표시","상태 확인 필요"))</x:f>
        <x:v>종결 표시</x:v>
      </x:c>
      <x:c r="L2380" s="2" t="str">
        <x:v>에코시안_이혜연</x:v>
      </x:c>
      <x:c r="M2380" s="2"/>
      <x:c r="N2380" s="8" t="n">
        <x:f>DATE(2026,10,15)-DATE(2025,7,5)</x:f>
        <x:v>467</x:v>
      </x:c>
      <x:c r="O2380" s="2"/>
      <x:c r="P2380" s="2"/>
      <x:c r="Q2380" s="2" t="str">
        <x:v>산업전환_외부사업관리Tool_260707_이너젠 수정_LJY_261013.xlsx</x:v>
      </x:c>
      <x:c r="R2380" s="2" t="str">
        <x:v>국내인증</x:v>
      </x:c>
      <x:c r="S2380" s="8" t="n">
        <x:v>698</x:v>
      </x:c>
      <x:c r="T2380" s="2" t="str">
        <x:v>(7/18),(9/1),(10/16),(12/1)</x:v>
      </x:c>
      <x:c r="U2380" s="2" t="str">
        <x:v>2025 배정: (7/18),(9/1),(10/16),(12/1) / 2026(사전): (1/14)</x:v>
      </x:c>
      <x:c r="V2380" s="2" t="str">
        <x:v>2026-06-09</x:v>
      </x:c>
      <x:c r="W2380" s="2" t="str"/>
      <x:c r="X2380" s="2" t="str">
        <x:v>종결 근거 보관</x:v>
      </x:c>
      <x:c r="Y2380" s="2" t="str">
        <x:v>ad210cd9ec132cfd447541c8984dc53d30aff0f4fb2dc92d254d49275cc55976</x:v>
      </x:c>
      <x:c r="Z2380" s="2" t="n">
        <x:f>SUBTOTAL(103,A2380)</x:f>
        <x:v>1</x:v>
      </x:c>
      <x:c r="AA2380" s="2" t="str">
        <x:f>IF(K2380&lt;&gt;"미종결 표시","대상 아님",IF(N2380="","신청일 확인",IF(NOT(ISNUMBER('종합 현황'!$H$5)),"관찰기준 확인",IF('종합 현황'!$H$5&lt;1,"관찰기준 확인",IF(N2380&gt;'종합 현황'!$H$5,"내부 관찰 대상","내부 관찰일 이하")))))</x:f>
        <x:v>대상 아님</x:v>
      </x:c>
      <x:c r="AB2380" s="2"/>
    </x:row>
    <x:row r="2381" ht="42" customHeight="1">
      <x:c r="A2381" s="2" t="str">
        <x:v>6d61e116ac0b78577d62da9a</x:v>
      </x:c>
      <x:c r="B2381" s="2" t="str">
        <x:v>감축량 인증</x:v>
      </x:c>
      <x:c r="C2381" s="2" t="str">
        <x:v>국내</x:v>
      </x:c>
      <x:c r="D2381" s="7" t="str">
        <x:v>포항 창포 주공 1단지아파트 연료전환을 통한 온실가스 단위감축사업</x:v>
      </x:c>
      <x:c r="E2381" s="2" t="str">
        <x:v>621</x:v>
      </x:c>
      <x:c r="F2381" s="2" t="str">
        <x:v>2025-07-05</x:v>
      </x:c>
      <x:c r="G2381" s="2" t="str">
        <x:v>2025</x:v>
      </x:c>
      <x:c r="H2381" s="2" t="str">
        <x:v>07</x:v>
      </x:c>
      <x:c r="I2381" s="2" t="str">
        <x:v>심의승인</x:v>
      </x:c>
      <x:c r="J2381" s="2" t="str">
        <x:v>심의승인</x:v>
      </x:c>
      <x:c r="K2381" s="2" t="str">
        <x:f>IF(OR(J2381="심의승인",J2381="반려",J2381="반려완료",J2381="심의완료"),"종결 표시",IF(OR(J2381="기후부협의",J2381="문서재제출요청",J2381="보류",J2381="보완요청",J2381="보완완료",J2381="평가중",J2381="반려요청",J2381="평가필요",LEFT(J2381,5)="보완요청("),"미종결 표시","상태 확인 필요"))</x:f>
        <x:v>종결 표시</x:v>
      </x:c>
      <x:c r="L2381" s="2" t="str">
        <x:v>KECM</x:v>
      </x:c>
      <x:c r="M2381" s="2"/>
      <x:c r="N2381" s="8" t="n">
        <x:f>DATE(2026,10,15)-DATE(2025,7,5)</x:f>
        <x:v>467</x:v>
      </x:c>
      <x:c r="O2381" s="2"/>
      <x:c r="P2381" s="2"/>
      <x:c r="Q2381" s="2" t="str">
        <x:v>산업전환_외부사업관리Tool_260707_이너젠 수정_LJY_261013.xlsx</x:v>
      </x:c>
      <x:c r="R2381" s="2" t="str">
        <x:v>국내인증</x:v>
      </x:c>
      <x:c r="S2381" s="8" t="n">
        <x:v>699</x:v>
      </x:c>
      <x:c r="T2381" s="2" t="str">
        <x:v>(7/18),(8/8),(9/16),(10/16)</x:v>
      </x:c>
      <x:c r="U2381" s="2" t="str">
        <x:v>2025 배정: (7/18),(8/8),(9/16),(10/16)</x:v>
      </x:c>
      <x:c r="V2381" s="2" t="str">
        <x:v>2026-03-11</x:v>
      </x:c>
      <x:c r="W2381" s="2" t="str"/>
      <x:c r="X2381" s="2" t="str">
        <x:v>종결 근거 보관</x:v>
      </x:c>
      <x:c r="Y2381" s="2" t="str">
        <x:v>ad210cd9ec132cfd447541c8984dc53d30aff0f4fb2dc92d254d49275cc55976</x:v>
      </x:c>
      <x:c r="Z2381" s="2" t="n">
        <x:f>SUBTOTAL(103,A2381)</x:f>
        <x:v>1</x:v>
      </x:c>
      <x:c r="AA2381" s="2" t="str">
        <x:f>IF(K2381&lt;&gt;"미종결 표시","대상 아님",IF(N2381="","신청일 확인",IF(NOT(ISNUMBER('종합 현황'!$H$5)),"관찰기준 확인",IF('종합 현황'!$H$5&lt;1,"관찰기준 확인",IF(N2381&gt;'종합 현황'!$H$5,"내부 관찰 대상","내부 관찰일 이하")))))</x:f>
        <x:v>대상 아님</x:v>
      </x:c>
      <x:c r="AB2381" s="2"/>
    </x:row>
    <x:row r="2382" ht="42" customHeight="1">
      <x:c r="A2382" s="2" t="str">
        <x:v>e44893284388e7763890d342</x:v>
      </x:c>
      <x:c r="B2382" s="2" t="str">
        <x:v>감축량 인증</x:v>
      </x:c>
      <x:c r="C2382" s="2" t="str">
        <x:v>국내</x:v>
      </x:c>
      <x:c r="D2382" s="7" t="str">
        <x:v>경남하이웨이(주) 도로조명 LED 조명기기 교체를 통한 온실가스 감축 사업</x:v>
      </x:c>
      <x:c r="E2382" s="2" t="str">
        <x:v>622</x:v>
      </x:c>
      <x:c r="F2382" s="2" t="str">
        <x:v>2025-07-21</x:v>
      </x:c>
      <x:c r="G2382" s="2" t="str">
        <x:v>2025</x:v>
      </x:c>
      <x:c r="H2382" s="2" t="str">
        <x:v>07</x:v>
      </x:c>
      <x:c r="I2382" s="2" t="str">
        <x:v>심의승인</x:v>
      </x:c>
      <x:c r="J2382" s="2" t="str">
        <x:v>심의승인</x:v>
      </x:c>
      <x:c r="K2382" s="2" t="str">
        <x:f>IF(OR(J2382="심의승인",J2382="반려",J2382="반려완료",J2382="심의완료"),"종결 표시",IF(OR(J2382="기후부협의",J2382="문서재제출요청",J2382="보류",J2382="보완요청",J2382="보완완료",J2382="평가중",J2382="반려요청",J2382="평가필요",LEFT(J2382,5)="보완요청("),"미종결 표시","상태 확인 필요"))</x:f>
        <x:v>종결 표시</x:v>
      </x:c>
      <x:c r="L2382" s="2" t="str">
        <x:v>KECM</x:v>
      </x:c>
      <x:c r="M2382" s="2"/>
      <x:c r="N2382" s="8" t="n">
        <x:f>DATE(2026,10,15)-DATE(2025,7,21)</x:f>
        <x:v>451</x:v>
      </x:c>
      <x:c r="O2382" s="2"/>
      <x:c r="P2382" s="2"/>
      <x:c r="Q2382" s="2" t="str">
        <x:v>산업전환_외부사업관리Tool_260707_이너젠 수정_LJY_261013.xlsx</x:v>
      </x:c>
      <x:c r="R2382" s="2" t="str">
        <x:v>국내인증</x:v>
      </x:c>
      <x:c r="S2382" s="8" t="n">
        <x:v>700</x:v>
      </x:c>
      <x:c r="T2382" s="2" t="str">
        <x:v>(8/8)</x:v>
      </x:c>
      <x:c r="U2382" s="2" t="str">
        <x:v>2025 배정: (8/8)</x:v>
      </x:c>
      <x:c r="V2382" s="2" t="str">
        <x:v>2025-12-09</x:v>
      </x:c>
      <x:c r="W2382" s="2" t="str"/>
      <x:c r="X2382" s="2" t="str">
        <x:v>종결 근거 보관</x:v>
      </x:c>
      <x:c r="Y2382" s="2" t="str">
        <x:v>ad210cd9ec132cfd447541c8984dc53d30aff0f4fb2dc92d254d49275cc55976</x:v>
      </x:c>
      <x:c r="Z2382" s="2" t="n">
        <x:f>SUBTOTAL(103,A2382)</x:f>
        <x:v>1</x:v>
      </x:c>
      <x:c r="AA2382" s="2" t="str">
        <x:f>IF(K2382&lt;&gt;"미종결 표시","대상 아님",IF(N2382="","신청일 확인",IF(NOT(ISNUMBER('종합 현황'!$H$5)),"관찰기준 확인",IF('종합 현황'!$H$5&lt;1,"관찰기준 확인",IF(N2382&gt;'종합 현황'!$H$5,"내부 관찰 대상","내부 관찰일 이하")))))</x:f>
        <x:v>대상 아님</x:v>
      </x:c>
      <x:c r="AB2382" s="2"/>
    </x:row>
    <x:row r="2383" ht="42" customHeight="1">
      <x:c r="A2383" s="2" t="str">
        <x:v>d88063558a93ceda91c2b118</x:v>
      </x:c>
      <x:c r="B2383" s="2" t="str">
        <x:v>감축량 인증</x:v>
      </x:c>
      <x:c r="C2383" s="2" t="str">
        <x:v>국내</x:v>
      </x:c>
      <x:c r="D2383" s="7" t="str">
        <x:v>시화호 조력발전 사업</x:v>
      </x:c>
      <x:c r="E2383" s="2" t="str">
        <x:v>623</x:v>
      </x:c>
      <x:c r="F2383" s="2" t="str">
        <x:v>2025-07-30</x:v>
      </x:c>
      <x:c r="G2383" s="2" t="str">
        <x:v>2025</x:v>
      </x:c>
      <x:c r="H2383" s="2" t="str">
        <x:v>07</x:v>
      </x:c>
      <x:c r="I2383" s="2" t="str">
        <x:v>심의승인</x:v>
      </x:c>
      <x:c r="J2383" s="2" t="str">
        <x:v>심의승인</x:v>
      </x:c>
      <x:c r="K2383" s="2" t="str">
        <x:f>IF(OR(J2383="심의승인",J2383="반려",J2383="반려완료",J2383="심의완료"),"종결 표시",IF(OR(J2383="기후부협의",J2383="문서재제출요청",J2383="보류",J2383="보완요청",J2383="보완완료",J2383="평가중",J2383="반려요청",J2383="평가필요",LEFT(J2383,5)="보완요청("),"미종결 표시","상태 확인 필요"))</x:f>
        <x:v>종결 표시</x:v>
      </x:c>
      <x:c r="L2383" s="2" t="str">
        <x:v>에코시안_남혜원</x:v>
      </x:c>
      <x:c r="M2383" s="2"/>
      <x:c r="N2383" s="8" t="n">
        <x:f>DATE(2026,10,15)-DATE(2025,7,30)</x:f>
        <x:v>442</x:v>
      </x:c>
      <x:c r="O2383" s="2"/>
      <x:c r="P2383" s="2"/>
      <x:c r="Q2383" s="2" t="str">
        <x:v>산업전환_외부사업관리Tool_260707_이너젠 수정_LJY_261013.xlsx</x:v>
      </x:c>
      <x:c r="R2383" s="2" t="str">
        <x:v>국내인증</x:v>
      </x:c>
      <x:c r="S2383" s="8" t="n">
        <x:v>701</x:v>
      </x:c>
      <x:c r="T2383" s="2" t="str">
        <x:v>(8/8),(10/16)</x:v>
      </x:c>
      <x:c r="U2383" s="2" t="str">
        <x:v>2025 배정: (8/8),(10/16)</x:v>
      </x:c>
      <x:c r="V2383" s="2" t="str">
        <x:v>2025-12-09</x:v>
      </x:c>
      <x:c r="W2383" s="2" t="str"/>
      <x:c r="X2383" s="2" t="str">
        <x:v>종결 근거 보관</x:v>
      </x:c>
      <x:c r="Y2383" s="2" t="str">
        <x:v>ad210cd9ec132cfd447541c8984dc53d30aff0f4fb2dc92d254d49275cc55976</x:v>
      </x:c>
      <x:c r="Z2383" s="2" t="n">
        <x:f>SUBTOTAL(103,A2383)</x:f>
        <x:v>1</x:v>
      </x:c>
      <x:c r="AA2383" s="2" t="str">
        <x:f>IF(K2383&lt;&gt;"미종결 표시","대상 아님",IF(N2383="","신청일 확인",IF(NOT(ISNUMBER('종합 현황'!$H$5)),"관찰기준 확인",IF('종합 현황'!$H$5&lt;1,"관찰기준 확인",IF(N2383&gt;'종합 현황'!$H$5,"내부 관찰 대상","내부 관찰일 이하")))))</x:f>
        <x:v>대상 아님</x:v>
      </x:c>
      <x:c r="AB2383" s="2"/>
    </x:row>
    <x:row r="2384" ht="42" customHeight="1">
      <x:c r="A2384" s="2" t="str">
        <x:v>a9b40e9805b26e7c276e69f9</x:v>
      </x:c>
      <x:c r="B2384" s="2" t="str">
        <x:v>감축량 인증</x:v>
      </x:c>
      <x:c r="C2384" s="2" t="str">
        <x:v>국내</x:v>
      </x:c>
      <x:c r="D2384" s="7" t="str">
        <x:v>대구 황금 3단지 아파트 연료전환을 통한 온실가스 단위감축사업</x:v>
      </x:c>
      <x:c r="E2384" s="2" t="str">
        <x:v>624</x:v>
      </x:c>
      <x:c r="F2384" s="2" t="str">
        <x:v>2025-08-06</x:v>
      </x:c>
      <x:c r="G2384" s="2" t="str">
        <x:v>2025</x:v>
      </x:c>
      <x:c r="H2384" s="2" t="str">
        <x:v>08</x:v>
      </x:c>
      <x:c r="I2384" s="2" t="str">
        <x:v>심의승인</x:v>
      </x:c>
      <x:c r="J2384" s="2" t="str">
        <x:v>심의승인</x:v>
      </x:c>
      <x:c r="K2384" s="2" t="str">
        <x:f>IF(OR(J2384="심의승인",J2384="반려",J2384="반려완료",J2384="심의완료"),"종결 표시",IF(OR(J2384="기후부협의",J2384="문서재제출요청",J2384="보류",J2384="보완요청",J2384="보완완료",J2384="평가중",J2384="반려요청",J2384="평가필요",LEFT(J2384,5)="보완요청("),"미종결 표시","상태 확인 필요"))</x:f>
        <x:v>종결 표시</x:v>
      </x:c>
      <x:c r="L2384" s="2" t="str">
        <x:v>KECM</x:v>
      </x:c>
      <x:c r="M2384" s="2"/>
      <x:c r="N2384" s="8" t="n">
        <x:f>DATE(2026,10,15)-DATE(2025,8,6)</x:f>
        <x:v>435</x:v>
      </x:c>
      <x:c r="O2384" s="2"/>
      <x:c r="P2384" s="2"/>
      <x:c r="Q2384" s="2" t="str">
        <x:v>산업전환_외부사업관리Tool_260707_이너젠 수정_LJY_261013.xlsx</x:v>
      </x:c>
      <x:c r="R2384" s="2" t="str">
        <x:v>국내인증</x:v>
      </x:c>
      <x:c r="S2384" s="8" t="n">
        <x:v>702</x:v>
      </x:c>
      <x:c r="T2384" s="2" t="str">
        <x:v>(8/8),(9/16),(11/10)</x:v>
      </x:c>
      <x:c r="U2384" s="2" t="str">
        <x:v>2025 배정: (8/8),(9/16),(11/10)</x:v>
      </x:c>
      <x:c r="V2384" s="2" t="str">
        <x:v>2026-03-11</x:v>
      </x:c>
      <x:c r="W2384" s="2" t="str"/>
      <x:c r="X2384" s="2" t="str">
        <x:v>종결 근거 보관</x:v>
      </x:c>
      <x:c r="Y2384" s="2" t="str">
        <x:v>ad210cd9ec132cfd447541c8984dc53d30aff0f4fb2dc92d254d49275cc55976</x:v>
      </x:c>
      <x:c r="Z2384" s="2" t="n">
        <x:f>SUBTOTAL(103,A2384)</x:f>
        <x:v>1</x:v>
      </x:c>
      <x:c r="AA2384" s="2" t="str">
        <x:f>IF(K2384&lt;&gt;"미종결 표시","대상 아님",IF(N2384="","신청일 확인",IF(NOT(ISNUMBER('종합 현황'!$H$5)),"관찰기준 확인",IF('종합 현황'!$H$5&lt;1,"관찰기준 확인",IF(N2384&gt;'종합 현황'!$H$5,"내부 관찰 대상","내부 관찰일 이하")))))</x:f>
        <x:v>대상 아님</x:v>
      </x:c>
      <x:c r="AB2384" s="2"/>
    </x:row>
    <x:row r="2385" ht="42" customHeight="1">
      <x:c r="A2385" s="2" t="str">
        <x:v>31ca47676c2c9688f730698e</x:v>
      </x:c>
      <x:c r="B2385" s="2" t="str">
        <x:v>감축량 인증</x:v>
      </x:c>
      <x:c r="C2385" s="2" t="str">
        <x:v>국내</x:v>
      </x:c>
      <x:c r="D2385" s="7" t="str">
        <x:v>석사3관리소 온수보일러 연료전환(B-C유-&gt;LNG)을 통한 온실가스 배출 감축사업</x:v>
      </x:c>
      <x:c r="E2385" s="2" t="str">
        <x:v>625</x:v>
      </x:c>
      <x:c r="F2385" s="2" t="str">
        <x:v>2025-08-06</x:v>
      </x:c>
      <x:c r="G2385" s="2" t="str">
        <x:v>2025</x:v>
      </x:c>
      <x:c r="H2385" s="2" t="str">
        <x:v>08</x:v>
      </x:c>
      <x:c r="I2385" s="2" t="str">
        <x:v>심의승인</x:v>
      </x:c>
      <x:c r="J2385" s="2" t="str">
        <x:v>심의승인</x:v>
      </x:c>
      <x:c r="K2385" s="2" t="str">
        <x:f>IF(OR(J2385="심의승인",J2385="반려",J2385="반려완료",J2385="심의완료"),"종결 표시",IF(OR(J2385="기후부협의",J2385="문서재제출요청",J2385="보류",J2385="보완요청",J2385="보완완료",J2385="평가중",J2385="반려요청",J2385="평가필요",LEFT(J2385,5)="보완요청("),"미종결 표시","상태 확인 필요"))</x:f>
        <x:v>종결 표시</x:v>
      </x:c>
      <x:c r="L2385" s="2" t="str">
        <x:v>에코시안_이혜연</x:v>
      </x:c>
      <x:c r="M2385" s="2"/>
      <x:c r="N2385" s="8" t="n">
        <x:f>DATE(2026,10,15)-DATE(2025,8,6)</x:f>
        <x:v>435</x:v>
      </x:c>
      <x:c r="O2385" s="2"/>
      <x:c r="P2385" s="2" t="str">
        <x:v>1차 인증유효기간을 나누어 모니터링 신청(일부만 선 승인, 나머지 기간에 대해 금번 신청). 이후에 해당하는 갱신 사업계획서는 2021년 기승인</x:v>
      </x:c>
      <x:c r="Q2385" s="2" t="str">
        <x:v>산업전환_외부사업관리Tool_260707_이너젠 수정_LJY_261013.xlsx</x:v>
      </x:c>
      <x:c r="R2385" s="2" t="str">
        <x:v>국내인증</x:v>
      </x:c>
      <x:c r="S2385" s="8" t="n">
        <x:v>703</x:v>
      </x:c>
      <x:c r="T2385" s="2" t="str">
        <x:v>(8/8),(9/1),(10/16),(11/10),(12/1)</x:v>
      </x:c>
      <x:c r="U2385" s="2" t="str">
        <x:v>2025 배정: (8/8),(9/1),(10/16),(11/10),(12/1) / 2026(사전): (1/14)</x:v>
      </x:c>
      <x:c r="V2385" s="2" t="str">
        <x:v>2026-06-09</x:v>
      </x:c>
      <x:c r="W2385" s="2" t="str"/>
      <x:c r="X2385" s="2" t="str">
        <x:v>종결 근거 보관</x:v>
      </x:c>
      <x:c r="Y2385" s="2" t="str">
        <x:v>ad210cd9ec132cfd447541c8984dc53d30aff0f4fb2dc92d254d49275cc55976</x:v>
      </x:c>
      <x:c r="Z2385" s="2" t="n">
        <x:f>SUBTOTAL(103,A2385)</x:f>
        <x:v>1</x:v>
      </x:c>
      <x:c r="AA2385" s="2" t="str">
        <x:f>IF(K2385&lt;&gt;"미종결 표시","대상 아님",IF(N2385="","신청일 확인",IF(NOT(ISNUMBER('종합 현황'!$H$5)),"관찰기준 확인",IF('종합 현황'!$H$5&lt;1,"관찰기준 확인",IF(N2385&gt;'종합 현황'!$H$5,"내부 관찰 대상","내부 관찰일 이하")))))</x:f>
        <x:v>대상 아님</x:v>
      </x:c>
      <x:c r="AB2385" s="2"/>
    </x:row>
    <x:row r="2386" ht="42" customHeight="1">
      <x:c r="A2386" s="2" t="str">
        <x:v>dc20970cee889c416c73e868</x:v>
      </x:c>
      <x:c r="B2386" s="2" t="str">
        <x:v>감축량 인증</x:v>
      </x:c>
      <x:c r="C2386" s="2" t="str">
        <x:v>국내</x:v>
      </x:c>
      <x:c r="D2386" s="7" t="str">
        <x:v>청라에너지(주) 미활용 소각폐열 회수를 통한 화석연료 사용 절감 및 온실가스 배출 감축사업</x:v>
      </x:c>
      <x:c r="E2386" s="2" t="str">
        <x:v>626</x:v>
      </x:c>
      <x:c r="F2386" s="2" t="str">
        <x:v>2025-08-21</x:v>
      </x:c>
      <x:c r="G2386" s="2" t="str">
        <x:v>2025</x:v>
      </x:c>
      <x:c r="H2386" s="2" t="str">
        <x:v>08</x:v>
      </x:c>
      <x:c r="I2386" s="2" t="str">
        <x:v>심의승인</x:v>
      </x:c>
      <x:c r="J2386" s="2" t="str">
        <x:v>심의승인</x:v>
      </x:c>
      <x:c r="K2386" s="2" t="str">
        <x:f>IF(OR(J2386="심의승인",J2386="반려",J2386="반려완료",J2386="심의완료"),"종결 표시",IF(OR(J2386="기후부협의",J2386="문서재제출요청",J2386="보류",J2386="보완요청",J2386="보완완료",J2386="평가중",J2386="반려요청",J2386="평가필요",LEFT(J2386,5)="보완요청("),"미종결 표시","상태 확인 필요"))</x:f>
        <x:v>종결 표시</x:v>
      </x:c>
      <x:c r="L2386" s="2" t="str">
        <x:v>KECM</x:v>
      </x:c>
      <x:c r="M2386" s="2"/>
      <x:c r="N2386" s="8" t="n">
        <x:f>DATE(2026,10,15)-DATE(2025,8,21)</x:f>
        <x:v>420</x:v>
      </x:c>
      <x:c r="O2386" s="2"/>
      <x:c r="P2386" s="2"/>
      <x:c r="Q2386" s="2" t="str">
        <x:v>산업전환_외부사업관리Tool_260707_이너젠 수정_LJY_261013.xlsx</x:v>
      </x:c>
      <x:c r="R2386" s="2" t="str">
        <x:v>국내인증</x:v>
      </x:c>
      <x:c r="S2386" s="8" t="n">
        <x:v>704</x:v>
      </x:c>
      <x:c r="T2386" s="2" t="str">
        <x:v>(9/1)</x:v>
      </x:c>
      <x:c r="U2386" s="2" t="str">
        <x:v>2025 배정: (9/1)</x:v>
      </x:c>
      <x:c r="V2386" s="2" t="str">
        <x:v>2026-03-11</x:v>
      </x:c>
      <x:c r="W2386" s="2" t="str"/>
      <x:c r="X2386" s="2" t="str">
        <x:v>종결 근거 보관</x:v>
      </x:c>
      <x:c r="Y2386" s="2" t="str">
        <x:v>ad210cd9ec132cfd447541c8984dc53d30aff0f4fb2dc92d254d49275cc55976</x:v>
      </x:c>
      <x:c r="Z2386" s="2" t="n">
        <x:f>SUBTOTAL(103,A2386)</x:f>
        <x:v>1</x:v>
      </x:c>
      <x:c r="AA2386" s="2" t="str">
        <x:f>IF(K2386&lt;&gt;"미종결 표시","대상 아님",IF(N2386="","신청일 확인",IF(NOT(ISNUMBER('종합 현황'!$H$5)),"관찰기준 확인",IF('종합 현황'!$H$5&lt;1,"관찰기준 확인",IF(N2386&gt;'종합 현황'!$H$5,"내부 관찰 대상","내부 관찰일 이하")))))</x:f>
        <x:v>대상 아님</x:v>
      </x:c>
      <x:c r="AB2386" s="2"/>
    </x:row>
    <x:row r="2387" ht="42" customHeight="1">
      <x:c r="A2387" s="2" t="str">
        <x:v>0a58d7bc03b7a5921e3017c1</x:v>
      </x:c>
      <x:c r="B2387" s="2" t="str">
        <x:v>감축량 인증</x:v>
      </x:c>
      <x:c r="C2387" s="2" t="str">
        <x:v>국내</x:v>
      </x:c>
      <x:c r="D2387" s="7" t="str">
        <x:v>(주)윤성산업개발 버너 연료전환 (B-C유-&gt;LPG) 온실가스 감축사업</x:v>
      </x:c>
      <x:c r="E2387" s="2" t="str">
        <x:v>627</x:v>
      </x:c>
      <x:c r="F2387" s="2" t="str">
        <x:v>2025-09-18</x:v>
      </x:c>
      <x:c r="G2387" s="2" t="str">
        <x:v>2025</x:v>
      </x:c>
      <x:c r="H2387" s="2" t="str">
        <x:v>09</x:v>
      </x:c>
      <x:c r="I2387" s="2" t="str">
        <x:v>심의승인</x:v>
      </x:c>
      <x:c r="J2387" s="2" t="str">
        <x:v>심의승인</x:v>
      </x:c>
      <x:c r="K2387" s="2" t="str">
        <x:f>IF(OR(J2387="심의승인",J2387="반려",J2387="반려완료",J2387="심의완료"),"종결 표시",IF(OR(J2387="기후부협의",J2387="문서재제출요청",J2387="보류",J2387="보완요청",J2387="보완완료",J2387="평가중",J2387="반려요청",J2387="평가필요",LEFT(J2387,5)="보완요청("),"미종결 표시","상태 확인 필요"))</x:f>
        <x:v>종결 표시</x:v>
      </x:c>
      <x:c r="L2387" s="2" t="str">
        <x:v>에코시안_조영우</x:v>
      </x:c>
      <x:c r="M2387" s="2"/>
      <x:c r="N2387" s="8" t="n">
        <x:f>DATE(2026,10,15)-DATE(2025,9,18)</x:f>
        <x:v>392</x:v>
      </x:c>
      <x:c r="O2387" s="2"/>
      <x:c r="P2387" s="2"/>
      <x:c r="Q2387" s="2" t="str">
        <x:v>산업전환_외부사업관리Tool_260707_이너젠 수정_LJY_261013.xlsx</x:v>
      </x:c>
      <x:c r="R2387" s="2" t="str">
        <x:v>국내인증</x:v>
      </x:c>
      <x:c r="S2387" s="8" t="n">
        <x:v>705</x:v>
      </x:c>
      <x:c r="T2387" s="2" t="str">
        <x:v>(10/16),(12/1)</x:v>
      </x:c>
      <x:c r="U2387" s="2" t="str">
        <x:v>2025 배정: (10/16),(12/1) / 2026(사전): (1/14)</x:v>
      </x:c>
      <x:c r="V2387" s="2" t="str">
        <x:v>2026-06-09</x:v>
      </x:c>
      <x:c r="W2387" s="2" t="str"/>
      <x:c r="X2387" s="2" t="str">
        <x:v>종결 근거 보관</x:v>
      </x:c>
      <x:c r="Y2387" s="2" t="str">
        <x:v>ad210cd9ec132cfd447541c8984dc53d30aff0f4fb2dc92d254d49275cc55976</x:v>
      </x:c>
      <x:c r="Z2387" s="2" t="n">
        <x:f>SUBTOTAL(103,A2387)</x:f>
        <x:v>1</x:v>
      </x:c>
      <x:c r="AA2387" s="2" t="str">
        <x:f>IF(K2387&lt;&gt;"미종결 표시","대상 아님",IF(N2387="","신청일 확인",IF(NOT(ISNUMBER('종합 현황'!$H$5)),"관찰기준 확인",IF('종합 현황'!$H$5&lt;1,"관찰기준 확인",IF(N2387&gt;'종합 현황'!$H$5,"내부 관찰 대상","내부 관찰일 이하")))))</x:f>
        <x:v>대상 아님</x:v>
      </x:c>
      <x:c r="AB2387" s="2"/>
    </x:row>
    <x:row r="2388" ht="42" customHeight="1">
      <x:c r="A2388" s="2" t="str">
        <x:v>28a8172ed3fdf253f2c71bab</x:v>
      </x:c>
      <x:c r="B2388" s="2" t="str">
        <x:v>감축량 인증</x:v>
      </x:c>
      <x:c r="C2388" s="2" t="str">
        <x:v>국내</x:v>
      </x:c>
      <x:c r="D2388" s="7" t="str">
        <x:v>휴켐스 질산공장 N2O 감축사업(휴켐스 주식회사의 질산 공장 세 곳에서 tail gas에 포함된 아산화질소를 촉매를 사용하여 제거하는 프로젝트)</x:v>
      </x:c>
      <x:c r="E2388" s="2" t="str">
        <x:v>628</x:v>
      </x:c>
      <x:c r="F2388" s="2" t="str">
        <x:v>2025-12-01</x:v>
      </x:c>
      <x:c r="G2388" s="2" t="str">
        <x:v>2025</x:v>
      </x:c>
      <x:c r="H2388" s="2" t="str">
        <x:v>12</x:v>
      </x:c>
      <x:c r="I2388" s="2" t="str">
        <x:v>문서재제출요청</x:v>
      </x:c>
      <x:c r="J2388" s="2" t="str">
        <x:v>보완요청</x:v>
      </x:c>
      <x:c r="K2388" s="2" t="str">
        <x:f>IF(OR(J2388="심의승인",J2388="반려",J2388="반려완료",J2388="심의완료"),"종결 표시",IF(OR(J2388="기후부협의",J2388="문서재제출요청",J2388="보류",J2388="보완요청",J2388="보완완료",J2388="평가중",J2388="반려요청",J2388="평가필요",LEFT(J2388,5)="보완요청("),"미종결 표시","상태 확인 필요"))</x:f>
        <x:v>미종결 표시</x:v>
      </x:c>
      <x:c r="L2388" s="2" t="str">
        <x:v>KECM</x:v>
      </x:c>
      <x:c r="M2388" s="2"/>
      <x:c r="N2388" s="8" t="n">
        <x:f>DATE(2026,10,15)-DATE(2025,12,1)</x:f>
        <x:v>318</x:v>
      </x:c>
      <x:c r="O2388" s="2"/>
      <x:c r="P2388" s="2"/>
      <x:c r="Q2388" s="2" t="str">
        <x:v>산업전환_외부사업관리Tool_260707_이너젠 수정_LJY_261013.xlsx</x:v>
      </x:c>
      <x:c r="R2388" s="2" t="str">
        <x:v>국내인증</x:v>
      </x:c>
      <x:c r="S2388" s="8" t="n">
        <x:v>706</x:v>
      </x:c>
      <x:c r="T2388" s="2" t="str">
        <x:v>(1/14),(2/3),(4/9),(6/16)</x:v>
      </x:c>
      <x:c r="U2388" s="2" t="str">
        <x:v>2026(사전): (1/14),(2/3),(4/9),(6/16)</x:v>
      </x:c>
      <x:c r="V2388" s="2" t="str">
        <x:v>2026-06-25</x:v>
      </x:c>
      <x:c r="W2388" s="2" t="str"/>
      <x:c r="X2388" s="2" t="str">
        <x:v>보완 회신 일정 확인</x:v>
      </x:c>
      <x:c r="Y2388" s="2" t="str">
        <x:v>ad210cd9ec132cfd447541c8984dc53d30aff0f4fb2dc92d254d49275cc55976</x:v>
      </x:c>
      <x:c r="Z2388" s="2" t="n">
        <x:f>SUBTOTAL(103,A2388)</x:f>
        <x:v>1</x:v>
      </x:c>
      <x:c r="AA2388" s="2" t="str">
        <x:f>IF(K2388&lt;&gt;"미종결 표시","대상 아님",IF(N2388="","신청일 확인",IF(NOT(ISNUMBER('종합 현황'!$H$5)),"관찰기준 확인",IF('종합 현황'!$H$5&lt;1,"관찰기준 확인",IF(N2388&gt;'종합 현황'!$H$5,"내부 관찰 대상","내부 관찰일 이하")))))</x:f>
        <x:v>내부 관찰 대상</x:v>
      </x:c>
      <x:c r="AB2388" s="2"/>
    </x:row>
    <x:row r="2389" ht="42" customHeight="1">
      <x:c r="A2389" s="2" t="str">
        <x:v>e2862f5c3ffe566d32f26acc</x:v>
      </x:c>
      <x:c r="B2389" s="2" t="str">
        <x:v>감축량 인증</x:v>
      </x:c>
      <x:c r="C2389" s="2" t="str">
        <x:v>국내</x:v>
      </x:c>
      <x:c r="D2389" s="7" t="str">
        <x:v>휴켐스 질산공장 N2O 감축사업(휴켐스 주식회사의 질산 공장 세 곳에서 tail gas에 포함된 아산화질소를 촉매를 사용하여 제거하는 프로젝트)</x:v>
      </x:c>
      <x:c r="E2389" s="2" t="str">
        <x:v>629</x:v>
      </x:c>
      <x:c r="F2389" s="2" t="str">
        <x:v>2025-12-29</x:v>
      </x:c>
      <x:c r="G2389" s="2" t="str">
        <x:v>2025</x:v>
      </x:c>
      <x:c r="H2389" s="2" t="str">
        <x:v>12</x:v>
      </x:c>
      <x:c r="I2389" s="2" t="str">
        <x:v>심의승인</x:v>
      </x:c>
      <x:c r="J2389" s="2" t="str">
        <x:v>기후부협의</x:v>
      </x:c>
      <x:c r="K2389" s="2" t="str">
        <x:f>IF(OR(J2389="심의승인",J2389="반려",J2389="반려완료",J2389="심의완료"),"종결 표시",IF(OR(J2389="기후부협의",J2389="문서재제출요청",J2389="보류",J2389="보완요청",J2389="보완완료",J2389="평가중",J2389="반려요청",J2389="평가필요",LEFT(J2389,5)="보완요청("),"미종결 표시","상태 확인 필요"))</x:f>
        <x:v>미종결 표시</x:v>
      </x:c>
      <x:c r="L2389" s="2" t="str">
        <x:v>KECM</x:v>
      </x:c>
      <x:c r="M2389" s="2"/>
      <x:c r="N2389" s="8" t="n">
        <x:f>DATE(2026,10,15)-DATE(2025,12,29)</x:f>
        <x:v>290</x:v>
      </x:c>
      <x:c r="O2389" s="2"/>
      <x:c r="P2389" s="2"/>
      <x:c r="Q2389" s="2" t="str">
        <x:v>산업전환_외부사업관리Tool_260707_이너젠 수정_LJY_261013.xlsx</x:v>
      </x:c>
      <x:c r="R2389" s="2" t="str">
        <x:v>국내인증</x:v>
      </x:c>
      <x:c r="S2389" s="8" t="n">
        <x:v>707</x:v>
      </x:c>
      <x:c r="T2389" s="2" t="str">
        <x:v>(1/14),(3/19),(4/9)</x:v>
      </x:c>
      <x:c r="U2389" s="2" t="str">
        <x:v>2026(사전): (1/14),(3/19),(4/9)</x:v>
      </x:c>
      <x:c r="V2389" s="2" t="str">
        <x:v>2026-09-14</x:v>
      </x:c>
      <x:c r="W2389" s="2" t="str"/>
      <x:c r="X2389" s="2" t="str">
        <x:v>검토 진행 일정 확인</x:v>
      </x:c>
      <x:c r="Y2389" s="2" t="str">
        <x:v>ad210cd9ec132cfd447541c8984dc53d30aff0f4fb2dc92d254d49275cc55976</x:v>
      </x:c>
      <x:c r="Z2389" s="2" t="n">
        <x:f>SUBTOTAL(103,A2389)</x:f>
        <x:v>1</x:v>
      </x:c>
      <x:c r="AA2389" s="2" t="str">
        <x:f>IF(K2389&lt;&gt;"미종결 표시","대상 아님",IF(N2389="","신청일 확인",IF(NOT(ISNUMBER('종합 현황'!$H$5)),"관찰기준 확인",IF('종합 현황'!$H$5&lt;1,"관찰기준 확인",IF(N2389&gt;'종합 현황'!$H$5,"내부 관찰 대상","내부 관찰일 이하")))))</x:f>
        <x:v>내부 관찰 대상</x:v>
      </x:c>
      <x:c r="AB2389" s="2"/>
    </x:row>
    <x:row r="2390" ht="42" customHeight="1">
      <x:c r="A2390" s="2" t="str">
        <x:v>0e37a2234e171d819796eb10</x:v>
      </x:c>
      <x:c r="B2390" s="2" t="str">
        <x:v>감축량 인증</x:v>
      </x:c>
      <x:c r="C2390" s="2" t="str">
        <x:v>국내</x:v>
      </x:c>
      <x:c r="D2390" s="7" t="str">
        <x:v>㈜중앙벽돌 소성로 연료교체(B-C유→LPG)를 통한 온실가스(CO2) 배출 감축사업</x:v>
      </x:c>
      <x:c r="E2390" s="2" t="str">
        <x:v>630</x:v>
      </x:c>
      <x:c r="F2390" s="2" t="str">
        <x:v>2026-01-07</x:v>
      </x:c>
      <x:c r="G2390" s="2" t="str">
        <x:v>2026</x:v>
      </x:c>
      <x:c r="H2390" s="2" t="str">
        <x:v>01</x:v>
      </x:c>
      <x:c r="I2390" s="2" t="str">
        <x:v>보완요청</x:v>
      </x:c>
      <x:c r="J2390" s="2" t="str">
        <x:v>보완요청</x:v>
      </x:c>
      <x:c r="K2390" s="2" t="str">
        <x:f>IF(OR(J2390="심의승인",J2390="반려",J2390="반려완료",J2390="심의완료"),"종결 표시",IF(OR(J2390="기후부협의",J2390="문서재제출요청",J2390="보류",J2390="보완요청",J2390="보완완료",J2390="평가중",J2390="반려요청",J2390="평가필요",LEFT(J2390,5)="보완요청("),"미종결 표시","상태 확인 필요"))</x:f>
        <x:v>미종결 표시</x:v>
      </x:c>
      <x:c r="L2390" s="2" t="str">
        <x:v>KECM</x:v>
      </x:c>
      <x:c r="M2390" s="2"/>
      <x:c r="N2390" s="8" t="n">
        <x:f>DATE(2026,10,15)-DATE(2026,1,7)</x:f>
        <x:v>281</x:v>
      </x:c>
      <x:c r="O2390" s="2"/>
      <x:c r="P2390" s="2"/>
      <x:c r="Q2390" s="2" t="str">
        <x:v>산업전환_외부사업관리Tool_260707_이너젠 수정_LJY_261013.xlsx</x:v>
      </x:c>
      <x:c r="R2390" s="2" t="str">
        <x:v>국내인증</x:v>
      </x:c>
      <x:c r="S2390" s="8" t="n">
        <x:v>708</x:v>
      </x:c>
      <x:c r="T2390" s="2" t="str">
        <x:v>(1/4)</x:v>
      </x:c>
      <x:c r="U2390" s="2" t="str">
        <x:v>2026(사전): (1/4)</x:v>
      </x:c>
      <x:c r="V2390" s="2" t="str">
        <x:v>2026-02-10</x:v>
      </x:c>
      <x:c r="W2390" s="2" t="str"/>
      <x:c r="X2390" s="2" t="str">
        <x:v>보완 회신 일정 확인</x:v>
      </x:c>
      <x:c r="Y2390" s="2" t="str">
        <x:v>ad210cd9ec132cfd447541c8984dc53d30aff0f4fb2dc92d254d49275cc55976</x:v>
      </x:c>
      <x:c r="Z2390" s="2" t="n">
        <x:f>SUBTOTAL(103,A2390)</x:f>
        <x:v>1</x:v>
      </x:c>
      <x:c r="AA2390" s="2" t="str">
        <x:f>IF(K2390&lt;&gt;"미종결 표시","대상 아님",IF(N2390="","신청일 확인",IF(NOT(ISNUMBER('종합 현황'!$H$5)),"관찰기준 확인",IF('종합 현황'!$H$5&lt;1,"관찰기준 확인",IF(N2390&gt;'종합 현황'!$H$5,"내부 관찰 대상","내부 관찰일 이하")))))</x:f>
        <x:v>내부 관찰 대상</x:v>
      </x:c>
      <x:c r="AB2390" s="2"/>
    </x:row>
    <x:row r="2391" ht="42" customHeight="1">
      <x:c r="A2391" s="2" t="str">
        <x:v>7b1b494eae72e95b544452fb</x:v>
      </x:c>
      <x:c r="B2391" s="2" t="str">
        <x:v>감축량 인증</x:v>
      </x:c>
      <x:c r="C2391" s="2" t="str">
        <x:v>국내</x:v>
      </x:c>
      <x:c r="D2391" s="7" t="str">
        <x:v>태화기독교사회복지관 서울형 에너지복지 태양광 발전사업</x:v>
      </x:c>
      <x:c r="E2391" s="2" t="str">
        <x:v>631</x:v>
      </x:c>
      <x:c r="F2391" s="2" t="str">
        <x:v>2026-01-26</x:v>
      </x:c>
      <x:c r="G2391" s="2" t="str">
        <x:v>2026</x:v>
      </x:c>
      <x:c r="H2391" s="2" t="str">
        <x:v>01</x:v>
      </x:c>
      <x:c r="I2391" s="2" t="str">
        <x:v>보완요청</x:v>
      </x:c>
      <x:c r="J2391" s="2" t="str">
        <x:v>보완요청</x:v>
      </x:c>
      <x:c r="K2391" s="2" t="str">
        <x:f>IF(OR(J2391="심의승인",J2391="반려",J2391="반려완료",J2391="심의완료"),"종결 표시",IF(OR(J2391="기후부협의",J2391="문서재제출요청",J2391="보류",J2391="보완요청",J2391="보완완료",J2391="평가중",J2391="반려요청",J2391="평가필요",LEFT(J2391,5)="보완요청("),"미종결 표시","상태 확인 필요"))</x:f>
        <x:v>미종결 표시</x:v>
      </x:c>
      <x:c r="L2391" s="2" t="str">
        <x:v>에코시안_남혜원</x:v>
      </x:c>
      <x:c r="M2391" s="2"/>
      <x:c r="N2391" s="8" t="n">
        <x:f>DATE(2026,10,15)-DATE(2026,1,26)</x:f>
        <x:v>262</x:v>
      </x:c>
      <x:c r="O2391" s="2"/>
      <x:c r="P2391" s="2"/>
      <x:c r="Q2391" s="2" t="str">
        <x:v>산업전환_외부사업관리Tool_260707_이너젠 수정_LJY_261013.xlsx</x:v>
      </x:c>
      <x:c r="R2391" s="2" t="str">
        <x:v>국내인증</x:v>
      </x:c>
      <x:c r="S2391" s="8" t="n">
        <x:v>709</x:v>
      </x:c>
      <x:c r="T2391" s="2" t="str">
        <x:v>(2/3)</x:v>
      </x:c>
      <x:c r="U2391" s="2" t="str">
        <x:v>2026(사전): (2/3)</x:v>
      </x:c>
      <x:c r="V2391" s="2" t="str">
        <x:v>2026-02-27</x:v>
      </x:c>
      <x:c r="W2391" s="2" t="str"/>
      <x:c r="X2391" s="2" t="str">
        <x:v>보완 회신 일정 확인</x:v>
      </x:c>
      <x:c r="Y2391" s="2" t="str">
        <x:v>ad210cd9ec132cfd447541c8984dc53d30aff0f4fb2dc92d254d49275cc55976</x:v>
      </x:c>
      <x:c r="Z2391" s="2" t="n">
        <x:f>SUBTOTAL(103,A2391)</x:f>
        <x:v>1</x:v>
      </x:c>
      <x:c r="AA2391" s="2" t="str">
        <x:f>IF(K2391&lt;&gt;"미종결 표시","대상 아님",IF(N2391="","신청일 확인",IF(NOT(ISNUMBER('종합 현황'!$H$5)),"관찰기준 확인",IF('종합 현황'!$H$5&lt;1,"관찰기준 확인",IF(N2391&gt;'종합 현황'!$H$5,"내부 관찰 대상","내부 관찰일 이하")))))</x:f>
        <x:v>내부 관찰 대상</x:v>
      </x:c>
      <x:c r="AB2391" s="2"/>
    </x:row>
    <x:row r="2392" ht="42" customHeight="1">
      <x:c r="A2392" s="2" t="str">
        <x:v>97a8a89f4f82b2211f05091b</x:v>
      </x:c>
      <x:c r="B2392" s="2" t="str">
        <x:v>감축량 인증</x:v>
      </x:c>
      <x:c r="C2392" s="2" t="str">
        <x:v>국내</x:v>
      </x:c>
      <x:c r="D2392" s="7" t="str">
        <x:v>밀알학교 서울형 에너지복지 태양광 발전사업</x:v>
      </x:c>
      <x:c r="E2392" s="2" t="str">
        <x:v>632</x:v>
      </x:c>
      <x:c r="F2392" s="2" t="str">
        <x:v>2026-01-26</x:v>
      </x:c>
      <x:c r="G2392" s="2" t="str">
        <x:v>2026</x:v>
      </x:c>
      <x:c r="H2392" s="2" t="str">
        <x:v>01</x:v>
      </x:c>
      <x:c r="I2392" s="2" t="str">
        <x:v>보완요청</x:v>
      </x:c>
      <x:c r="J2392" s="2" t="str">
        <x:v>보완요청</x:v>
      </x:c>
      <x:c r="K2392" s="2" t="str">
        <x:f>IF(OR(J2392="심의승인",J2392="반려",J2392="반려완료",J2392="심의완료"),"종결 표시",IF(OR(J2392="기후부협의",J2392="문서재제출요청",J2392="보류",J2392="보완요청",J2392="보완완료",J2392="평가중",J2392="반려요청",J2392="평가필요",LEFT(J2392,5)="보완요청("),"미종결 표시","상태 확인 필요"))</x:f>
        <x:v>미종결 표시</x:v>
      </x:c>
      <x:c r="L2392" s="2" t="str">
        <x:v>에코시안_남혜원</x:v>
      </x:c>
      <x:c r="M2392" s="2"/>
      <x:c r="N2392" s="8" t="n">
        <x:f>DATE(2026,10,15)-DATE(2026,1,26)</x:f>
        <x:v>262</x:v>
      </x:c>
      <x:c r="O2392" s="2"/>
      <x:c r="P2392" s="2"/>
      <x:c r="Q2392" s="2" t="str">
        <x:v>산업전환_외부사업관리Tool_260707_이너젠 수정_LJY_261013.xlsx</x:v>
      </x:c>
      <x:c r="R2392" s="2" t="str">
        <x:v>국내인증</x:v>
      </x:c>
      <x:c r="S2392" s="8" t="n">
        <x:v>710</x:v>
      </x:c>
      <x:c r="T2392" s="2" t="str">
        <x:v>(2/3)</x:v>
      </x:c>
      <x:c r="U2392" s="2" t="str">
        <x:v>2026(사전): (2/3)</x:v>
      </x:c>
      <x:c r="V2392" s="2" t="str">
        <x:v>2026-02-27</x:v>
      </x:c>
      <x:c r="W2392" s="2" t="str"/>
      <x:c r="X2392" s="2" t="str">
        <x:v>보완 회신 일정 확인</x:v>
      </x:c>
      <x:c r="Y2392" s="2" t="str">
        <x:v>ad210cd9ec132cfd447541c8984dc53d30aff0f4fb2dc92d254d49275cc55976</x:v>
      </x:c>
      <x:c r="Z2392" s="2" t="n">
        <x:f>SUBTOTAL(103,A2392)</x:f>
        <x:v>1</x:v>
      </x:c>
      <x:c r="AA2392" s="2" t="str">
        <x:f>IF(K2392&lt;&gt;"미종결 표시","대상 아님",IF(N2392="","신청일 확인",IF(NOT(ISNUMBER('종합 현황'!$H$5)),"관찰기준 확인",IF('종합 현황'!$H$5&lt;1,"관찰기준 확인",IF(N2392&gt;'종합 현황'!$H$5,"내부 관찰 대상","내부 관찰일 이하")))))</x:f>
        <x:v>내부 관찰 대상</x:v>
      </x:c>
      <x:c r="AB2392" s="2"/>
    </x:row>
    <x:row r="2393" ht="42" customHeight="1">
      <x:c r="A2393" s="2" t="str">
        <x:v>2a3c902b24acd43cebbc97e9</x:v>
      </x:c>
      <x:c r="B2393" s="2" t="str">
        <x:v>감축량 인증</x:v>
      </x:c>
      <x:c r="C2393" s="2" t="str">
        <x:v>국내</x:v>
      </x:c>
      <x:c r="D2393" s="7" t="str">
        <x:v>동방사회복지회 서울형 에너지복지 태양광 발전사업</x:v>
      </x:c>
      <x:c r="E2393" s="2" t="str">
        <x:v>633</x:v>
      </x:c>
      <x:c r="F2393" s="2" t="str">
        <x:v>2026-01-26</x:v>
      </x:c>
      <x:c r="G2393" s="2" t="str">
        <x:v>2026</x:v>
      </x:c>
      <x:c r="H2393" s="2" t="str">
        <x:v>01</x:v>
      </x:c>
      <x:c r="I2393" s="2" t="str">
        <x:v>보완요청</x:v>
      </x:c>
      <x:c r="J2393" s="2" t="str">
        <x:v>보완요청</x:v>
      </x:c>
      <x:c r="K2393" s="2" t="str">
        <x:f>IF(OR(J2393="심의승인",J2393="반려",J2393="반려완료",J2393="심의완료"),"종결 표시",IF(OR(J2393="기후부협의",J2393="문서재제출요청",J2393="보류",J2393="보완요청",J2393="보완완료",J2393="평가중",J2393="반려요청",J2393="평가필요",LEFT(J2393,5)="보완요청("),"미종결 표시","상태 확인 필요"))</x:f>
        <x:v>미종결 표시</x:v>
      </x:c>
      <x:c r="L2393" s="2" t="str">
        <x:v>에코시안_조영우</x:v>
      </x:c>
      <x:c r="M2393" s="2"/>
      <x:c r="N2393" s="8" t="n">
        <x:f>DATE(2026,10,15)-DATE(2026,1,26)</x:f>
        <x:v>262</x:v>
      </x:c>
      <x:c r="O2393" s="2"/>
      <x:c r="P2393" s="2"/>
      <x:c r="Q2393" s="2" t="str">
        <x:v>산업전환_외부사업관리Tool_260707_이너젠 수정_LJY_261013.xlsx</x:v>
      </x:c>
      <x:c r="R2393" s="2" t="str">
        <x:v>국내인증</x:v>
      </x:c>
      <x:c r="S2393" s="8" t="n">
        <x:v>711</x:v>
      </x:c>
      <x:c r="T2393" s="2" t="str">
        <x:v>(2/3)</x:v>
      </x:c>
      <x:c r="U2393" s="2" t="str">
        <x:v>2026(사전): (2/3)</x:v>
      </x:c>
      <x:c r="V2393" s="2" t="str">
        <x:v>2026-02-27</x:v>
      </x:c>
      <x:c r="W2393" s="2" t="str"/>
      <x:c r="X2393" s="2" t="str">
        <x:v>보완 회신 일정 확인</x:v>
      </x:c>
      <x:c r="Y2393" s="2" t="str">
        <x:v>ad210cd9ec132cfd447541c8984dc53d30aff0f4fb2dc92d254d49275cc55976</x:v>
      </x:c>
      <x:c r="Z2393" s="2" t="n">
        <x:f>SUBTOTAL(103,A2393)</x:f>
        <x:v>1</x:v>
      </x:c>
      <x:c r="AA2393" s="2" t="str">
        <x:f>IF(K2393&lt;&gt;"미종결 표시","대상 아님",IF(N2393="","신청일 확인",IF(NOT(ISNUMBER('종합 현황'!$H$5)),"관찰기준 확인",IF('종합 현황'!$H$5&lt;1,"관찰기준 확인",IF(N2393&gt;'종합 현황'!$H$5,"내부 관찰 대상","내부 관찰일 이하")))))</x:f>
        <x:v>내부 관찰 대상</x:v>
      </x:c>
      <x:c r="AB2393" s="2"/>
    </x:row>
    <x:row r="2394" ht="42" customHeight="1">
      <x:c r="A2394" s="2" t="str">
        <x:v>0d9abcdf65a89381ed250099</x:v>
      </x:c>
      <x:c r="B2394" s="2" t="str">
        <x:v>감축량 인증</x:v>
      </x:c>
      <x:c r="C2394" s="2" t="str">
        <x:v>국내</x:v>
      </x:c>
      <x:c r="D2394" s="7" t="str">
        <x:v>한국국제기아대책기구 서울형 에너지복지 태양광 발전사업</x:v>
      </x:c>
      <x:c r="E2394" s="2" t="str">
        <x:v>634</x:v>
      </x:c>
      <x:c r="F2394" s="2" t="str">
        <x:v>2026-01-26</x:v>
      </x:c>
      <x:c r="G2394" s="2" t="str">
        <x:v>2026</x:v>
      </x:c>
      <x:c r="H2394" s="2" t="str">
        <x:v>01</x:v>
      </x:c>
      <x:c r="I2394" s="2" t="str">
        <x:v>보완요청</x:v>
      </x:c>
      <x:c r="J2394" s="2" t="str">
        <x:v>보완요청</x:v>
      </x:c>
      <x:c r="K2394" s="2" t="str">
        <x:f>IF(OR(J2394="심의승인",J2394="반려",J2394="반려완료",J2394="심의완료"),"종결 표시",IF(OR(J2394="기후부협의",J2394="문서재제출요청",J2394="보류",J2394="보완요청",J2394="보완완료",J2394="평가중",J2394="반려요청",J2394="평가필요",LEFT(J2394,5)="보완요청("),"미종결 표시","상태 확인 필요"))</x:f>
        <x:v>미종결 표시</x:v>
      </x:c>
      <x:c r="L2394" s="2" t="str">
        <x:v>에코시안_조영우</x:v>
      </x:c>
      <x:c r="M2394" s="2"/>
      <x:c r="N2394" s="8" t="n">
        <x:f>DATE(2026,10,15)-DATE(2026,1,26)</x:f>
        <x:v>262</x:v>
      </x:c>
      <x:c r="O2394" s="2"/>
      <x:c r="P2394" s="2"/>
      <x:c r="Q2394" s="2" t="str">
        <x:v>산업전환_외부사업관리Tool_260707_이너젠 수정_LJY_261013.xlsx</x:v>
      </x:c>
      <x:c r="R2394" s="2" t="str">
        <x:v>국내인증</x:v>
      </x:c>
      <x:c r="S2394" s="8" t="n">
        <x:v>712</x:v>
      </x:c>
      <x:c r="T2394" s="2" t="str">
        <x:v>(2/3)</x:v>
      </x:c>
      <x:c r="U2394" s="2" t="str">
        <x:v>2026(사전): (2/3)</x:v>
      </x:c>
      <x:c r="V2394" s="2" t="str">
        <x:v>2026-02-27</x:v>
      </x:c>
      <x:c r="W2394" s="2" t="str"/>
      <x:c r="X2394" s="2" t="str">
        <x:v>보완 회신 일정 확인</x:v>
      </x:c>
      <x:c r="Y2394" s="2" t="str">
        <x:v>ad210cd9ec132cfd447541c8984dc53d30aff0f4fb2dc92d254d49275cc55976</x:v>
      </x:c>
      <x:c r="Z2394" s="2" t="n">
        <x:f>SUBTOTAL(103,A2394)</x:f>
        <x:v>1</x:v>
      </x:c>
      <x:c r="AA2394" s="2" t="str">
        <x:f>IF(K2394&lt;&gt;"미종결 표시","대상 아님",IF(N2394="","신청일 확인",IF(NOT(ISNUMBER('종합 현황'!$H$5)),"관찰기준 확인",IF('종합 현황'!$H$5&lt;1,"관찰기준 확인",IF(N2394&gt;'종합 현황'!$H$5,"내부 관찰 대상","내부 관찰일 이하")))))</x:f>
        <x:v>내부 관찰 대상</x:v>
      </x:c>
      <x:c r="AB2394" s="2"/>
    </x:row>
    <x:row r="2395" ht="42" customHeight="1">
      <x:c r="A2395" s="2" t="str">
        <x:v>bfc68e52f770abd9f7953afa</x:v>
      </x:c>
      <x:c r="B2395" s="2" t="str">
        <x:v>감축량 인증</x:v>
      </x:c>
      <x:c r="C2395" s="2" t="str">
        <x:v>국내</x:v>
      </x:c>
      <x:c r="D2395" s="7" t="str">
        <x:v>혜명보육원 서울형 에너지복지 태양광 발전사업</x:v>
      </x:c>
      <x:c r="E2395" s="2" t="str">
        <x:v>635</x:v>
      </x:c>
      <x:c r="F2395" s="2" t="str">
        <x:v>2026-01-26</x:v>
      </x:c>
      <x:c r="G2395" s="2" t="str">
        <x:v>2026</x:v>
      </x:c>
      <x:c r="H2395" s="2" t="str">
        <x:v>01</x:v>
      </x:c>
      <x:c r="I2395" s="2" t="str">
        <x:v>보완요청</x:v>
      </x:c>
      <x:c r="J2395" s="2" t="str">
        <x:v>보완요청</x:v>
      </x:c>
      <x:c r="K2395" s="2" t="str">
        <x:f>IF(OR(J2395="심의승인",J2395="반려",J2395="반려완료",J2395="심의완료"),"종결 표시",IF(OR(J2395="기후부협의",J2395="문서재제출요청",J2395="보류",J2395="보완요청",J2395="보완완료",J2395="평가중",J2395="반려요청",J2395="평가필요",LEFT(J2395,5)="보완요청("),"미종결 표시","상태 확인 필요"))</x:f>
        <x:v>미종결 표시</x:v>
      </x:c>
      <x:c r="L2395" s="2" t="str">
        <x:v>에코시안_조은지</x:v>
      </x:c>
      <x:c r="M2395" s="2"/>
      <x:c r="N2395" s="8" t="n">
        <x:f>DATE(2026,10,15)-DATE(2026,1,26)</x:f>
        <x:v>262</x:v>
      </x:c>
      <x:c r="O2395" s="2"/>
      <x:c r="P2395" s="2"/>
      <x:c r="Q2395" s="2" t="str">
        <x:v>산업전환_외부사업관리Tool_260707_이너젠 수정_LJY_261013.xlsx</x:v>
      </x:c>
      <x:c r="R2395" s="2" t="str">
        <x:v>국내인증</x:v>
      </x:c>
      <x:c r="S2395" s="8" t="n">
        <x:v>713</x:v>
      </x:c>
      <x:c r="T2395" s="2" t="str">
        <x:v>(2/3)</x:v>
      </x:c>
      <x:c r="U2395" s="2" t="str">
        <x:v>2026(사전): (2/3)</x:v>
      </x:c>
      <x:c r="V2395" s="2" t="str">
        <x:v>2026-02-27</x:v>
      </x:c>
      <x:c r="W2395" s="2" t="str"/>
      <x:c r="X2395" s="2" t="str">
        <x:v>보완 회신 일정 확인</x:v>
      </x:c>
      <x:c r="Y2395" s="2" t="str">
        <x:v>ad210cd9ec132cfd447541c8984dc53d30aff0f4fb2dc92d254d49275cc55976</x:v>
      </x:c>
      <x:c r="Z2395" s="2" t="n">
        <x:f>SUBTOTAL(103,A2395)</x:f>
        <x:v>1</x:v>
      </x:c>
      <x:c r="AA2395" s="2" t="str">
        <x:f>IF(K2395&lt;&gt;"미종결 표시","대상 아님",IF(N2395="","신청일 확인",IF(NOT(ISNUMBER('종합 현황'!$H$5)),"관찰기준 확인",IF('종합 현황'!$H$5&lt;1,"관찰기준 확인",IF(N2395&gt;'종합 현황'!$H$5,"내부 관찰 대상","내부 관찰일 이하")))))</x:f>
        <x:v>내부 관찰 대상</x:v>
      </x:c>
      <x:c r="AB2395" s="2"/>
    </x:row>
    <x:row r="2396" ht="42" customHeight="1">
      <x:c r="A2396" s="2" t="str">
        <x:v>e6ba0410d5148cc119c7894f</x:v>
      </x:c>
      <x:c r="B2396" s="2" t="str">
        <x:v>감축량 인증</x:v>
      </x:c>
      <x:c r="C2396" s="2" t="str">
        <x:v>국내</x:v>
      </x:c>
      <x:c r="D2396" s="7" t="str">
        <x:v>교남소망의집2차 서울형 에너지복지 태양광 발전사업</x:v>
      </x:c>
      <x:c r="E2396" s="2" t="str">
        <x:v>636</x:v>
      </x:c>
      <x:c r="F2396" s="2" t="str">
        <x:v>2026-01-26</x:v>
      </x:c>
      <x:c r="G2396" s="2" t="str">
        <x:v>2026</x:v>
      </x:c>
      <x:c r="H2396" s="2" t="str">
        <x:v>01</x:v>
      </x:c>
      <x:c r="I2396" s="2" t="str">
        <x:v>보완요청</x:v>
      </x:c>
      <x:c r="J2396" s="2" t="str">
        <x:v>보완요청</x:v>
      </x:c>
      <x:c r="K2396" s="2" t="str">
        <x:f>IF(OR(J2396="심의승인",J2396="반려",J2396="반려완료",J2396="심의완료"),"종결 표시",IF(OR(J2396="기후부협의",J2396="문서재제출요청",J2396="보류",J2396="보완요청",J2396="보완완료",J2396="평가중",J2396="반려요청",J2396="평가필요",LEFT(J2396,5)="보완요청("),"미종결 표시","상태 확인 필요"))</x:f>
        <x:v>미종결 표시</x:v>
      </x:c>
      <x:c r="L2396" s="2" t="str">
        <x:v>에코시안_조은지</x:v>
      </x:c>
      <x:c r="M2396" s="2"/>
      <x:c r="N2396" s="8" t="n">
        <x:f>DATE(2026,10,15)-DATE(2026,1,26)</x:f>
        <x:v>262</x:v>
      </x:c>
      <x:c r="O2396" s="2"/>
      <x:c r="P2396" s="2"/>
      <x:c r="Q2396" s="2" t="str">
        <x:v>산업전환_외부사업관리Tool_260707_이너젠 수정_LJY_261013.xlsx</x:v>
      </x:c>
      <x:c r="R2396" s="2" t="str">
        <x:v>국내인증</x:v>
      </x:c>
      <x:c r="S2396" s="8" t="n">
        <x:v>714</x:v>
      </x:c>
      <x:c r="T2396" s="2" t="str">
        <x:v>(2/3)</x:v>
      </x:c>
      <x:c r="U2396" s="2" t="str">
        <x:v>2026(사전): (2/3)</x:v>
      </x:c>
      <x:c r="V2396" s="2" t="str">
        <x:v>2026-02-27</x:v>
      </x:c>
      <x:c r="W2396" s="2" t="str"/>
      <x:c r="X2396" s="2" t="str">
        <x:v>보완 회신 일정 확인</x:v>
      </x:c>
      <x:c r="Y2396" s="2" t="str">
        <x:v>ad210cd9ec132cfd447541c8984dc53d30aff0f4fb2dc92d254d49275cc55976</x:v>
      </x:c>
      <x:c r="Z2396" s="2" t="n">
        <x:f>SUBTOTAL(103,A2396)</x:f>
        <x:v>1</x:v>
      </x:c>
      <x:c r="AA2396" s="2" t="str">
        <x:f>IF(K2396&lt;&gt;"미종결 표시","대상 아님",IF(N2396="","신청일 확인",IF(NOT(ISNUMBER('종합 현황'!$H$5)),"관찰기준 확인",IF('종합 현황'!$H$5&lt;1,"관찰기준 확인",IF(N2396&gt;'종합 현황'!$H$5,"내부 관찰 대상","내부 관찰일 이하")))))</x:f>
        <x:v>내부 관찰 대상</x:v>
      </x:c>
      <x:c r="AB2396" s="2"/>
    </x:row>
    <x:row r="2397" ht="42" customHeight="1">
      <x:c r="A2397" s="2" t="str">
        <x:v>e13fb33222a5be329b55006b</x:v>
      </x:c>
      <x:c r="B2397" s="2" t="str">
        <x:v>감축량 인증</x:v>
      </x:c>
      <x:c r="C2397" s="2" t="str">
        <x:v>국내</x:v>
      </x:c>
      <x:c r="D2397" s="7" t="str">
        <x:v>인강원2차 서울형 에너지복지 태양광 발전사업</x:v>
      </x:c>
      <x:c r="E2397" s="2" t="str">
        <x:v>637</x:v>
      </x:c>
      <x:c r="F2397" s="2" t="str">
        <x:v>2026-01-26</x:v>
      </x:c>
      <x:c r="G2397" s="2" t="str">
        <x:v>2026</x:v>
      </x:c>
      <x:c r="H2397" s="2" t="str">
        <x:v>01</x:v>
      </x:c>
      <x:c r="I2397" s="2" t="str">
        <x:v>보완요청</x:v>
      </x:c>
      <x:c r="J2397" s="2" t="str">
        <x:v>보완요청</x:v>
      </x:c>
      <x:c r="K2397" s="2" t="str">
        <x:f>IF(OR(J2397="심의승인",J2397="반려",J2397="반려완료",J2397="심의완료"),"종결 표시",IF(OR(J2397="기후부협의",J2397="문서재제출요청",J2397="보류",J2397="보완요청",J2397="보완완료",J2397="평가중",J2397="반려요청",J2397="평가필요",LEFT(J2397,5)="보완요청("),"미종결 표시","상태 확인 필요"))</x:f>
        <x:v>미종결 표시</x:v>
      </x:c>
      <x:c r="L2397" s="2" t="str">
        <x:v>에코시안_이혜연</x:v>
      </x:c>
      <x:c r="M2397" s="2"/>
      <x:c r="N2397" s="8" t="n">
        <x:f>DATE(2026,10,15)-DATE(2026,1,26)</x:f>
        <x:v>262</x:v>
      </x:c>
      <x:c r="O2397" s="2"/>
      <x:c r="P2397" s="2"/>
      <x:c r="Q2397" s="2" t="str">
        <x:v>산업전환_외부사업관리Tool_260707_이너젠 수정_LJY_261013.xlsx</x:v>
      </x:c>
      <x:c r="R2397" s="2" t="str">
        <x:v>국내인증</x:v>
      </x:c>
      <x:c r="S2397" s="8" t="n">
        <x:v>715</x:v>
      </x:c>
      <x:c r="T2397" s="2" t="str">
        <x:v>(2/3)</x:v>
      </x:c>
      <x:c r="U2397" s="2" t="str">
        <x:v>2026(사전): (2/3)</x:v>
      </x:c>
      <x:c r="V2397" s="2" t="str">
        <x:v>2026-02-27</x:v>
      </x:c>
      <x:c r="W2397" s="2" t="str"/>
      <x:c r="X2397" s="2" t="str">
        <x:v>보완 회신 일정 확인</x:v>
      </x:c>
      <x:c r="Y2397" s="2" t="str">
        <x:v>ad210cd9ec132cfd447541c8984dc53d30aff0f4fb2dc92d254d49275cc55976</x:v>
      </x:c>
      <x:c r="Z2397" s="2" t="n">
        <x:f>SUBTOTAL(103,A2397)</x:f>
        <x:v>1</x:v>
      </x:c>
      <x:c r="AA2397" s="2" t="str">
        <x:f>IF(K2397&lt;&gt;"미종결 표시","대상 아님",IF(N2397="","신청일 확인",IF(NOT(ISNUMBER('종합 현황'!$H$5)),"관찰기준 확인",IF('종합 현황'!$H$5&lt;1,"관찰기준 확인",IF(N2397&gt;'종합 현황'!$H$5,"내부 관찰 대상","내부 관찰일 이하")))))</x:f>
        <x:v>내부 관찰 대상</x:v>
      </x:c>
      <x:c r="AB2397" s="2"/>
    </x:row>
    <x:row r="2398" ht="42" customHeight="1">
      <x:c r="A2398" s="2" t="str">
        <x:v>5dfac47630486534ed573347</x:v>
      </x:c>
      <x:c r="B2398" s="2" t="str">
        <x:v>감축량 인증</x:v>
      </x:c>
      <x:c r="C2398" s="2" t="str">
        <x:v>국내</x:v>
      </x:c>
      <x:c r="D2398" s="7" t="str">
        <x:v>암사재활원 서울형 에너지복지 태양광발전사업</x:v>
      </x:c>
      <x:c r="E2398" s="2" t="str">
        <x:v>638</x:v>
      </x:c>
      <x:c r="F2398" s="2" t="str">
        <x:v>2026-01-26</x:v>
      </x:c>
      <x:c r="G2398" s="2" t="str">
        <x:v>2026</x:v>
      </x:c>
      <x:c r="H2398" s="2" t="str">
        <x:v>01</x:v>
      </x:c>
      <x:c r="I2398" s="2" t="str">
        <x:v>보완요청</x:v>
      </x:c>
      <x:c r="J2398" s="2" t="str">
        <x:v>보완요청</x:v>
      </x:c>
      <x:c r="K2398" s="2" t="str">
        <x:f>IF(OR(J2398="심의승인",J2398="반려",J2398="반려완료",J2398="심의완료"),"종결 표시",IF(OR(J2398="기후부협의",J2398="문서재제출요청",J2398="보류",J2398="보완요청",J2398="보완완료",J2398="평가중",J2398="반려요청",J2398="평가필요",LEFT(J2398,5)="보완요청("),"미종결 표시","상태 확인 필요"))</x:f>
        <x:v>미종결 표시</x:v>
      </x:c>
      <x:c r="L2398" s="2" t="str">
        <x:v>에코시안_이혜연</x:v>
      </x:c>
      <x:c r="M2398" s="2"/>
      <x:c r="N2398" s="8" t="n">
        <x:f>DATE(2026,10,15)-DATE(2026,1,26)</x:f>
        <x:v>262</x:v>
      </x:c>
      <x:c r="O2398" s="2"/>
      <x:c r="P2398" s="2"/>
      <x:c r="Q2398" s="2" t="str">
        <x:v>산업전환_외부사업관리Tool_260707_이너젠 수정_LJY_261013.xlsx</x:v>
      </x:c>
      <x:c r="R2398" s="2" t="str">
        <x:v>국내인증</x:v>
      </x:c>
      <x:c r="S2398" s="8" t="n">
        <x:v>716</x:v>
      </x:c>
      <x:c r="T2398" s="2" t="str">
        <x:v>(2/3)</x:v>
      </x:c>
      <x:c r="U2398" s="2" t="str">
        <x:v>2026(사전): (2/3)</x:v>
      </x:c>
      <x:c r="V2398" s="2" t="str">
        <x:v>2026-02-27</x:v>
      </x:c>
      <x:c r="W2398" s="2" t="str"/>
      <x:c r="X2398" s="2" t="str">
        <x:v>보완 회신 일정 확인</x:v>
      </x:c>
      <x:c r="Y2398" s="2" t="str">
        <x:v>ad210cd9ec132cfd447541c8984dc53d30aff0f4fb2dc92d254d49275cc55976</x:v>
      </x:c>
      <x:c r="Z2398" s="2" t="n">
        <x:f>SUBTOTAL(103,A2398)</x:f>
        <x:v>1</x:v>
      </x:c>
      <x:c r="AA2398" s="2" t="str">
        <x:f>IF(K2398&lt;&gt;"미종결 표시","대상 아님",IF(N2398="","신청일 확인",IF(NOT(ISNUMBER('종합 현황'!$H$5)),"관찰기준 확인",IF('종합 현황'!$H$5&lt;1,"관찰기준 확인",IF(N2398&gt;'종합 현황'!$H$5,"내부 관찰 대상","내부 관찰일 이하")))))</x:f>
        <x:v>내부 관찰 대상</x:v>
      </x:c>
      <x:c r="AB2398" s="2"/>
    </x:row>
    <x:row r="2399" ht="42" customHeight="1">
      <x:c r="A2399" s="2" t="str">
        <x:v>8fdc977c8acfb214a5bac8e2</x:v>
      </x:c>
      <x:c r="B2399" s="2" t="str">
        <x:v>감축량 인증</x:v>
      </x:c>
      <x:c r="C2399" s="2" t="str">
        <x:v>국내</x:v>
      </x:c>
      <x:c r="D2399" s="7" t="str">
        <x:v>성모자애드림힐 태양광발전 자가사용 감축사업</x:v>
      </x:c>
      <x:c r="E2399" s="2" t="str">
        <x:v>639</x:v>
      </x:c>
      <x:c r="F2399" s="2" t="str">
        <x:v>2026-01-26</x:v>
      </x:c>
      <x:c r="G2399" s="2" t="str">
        <x:v>2026</x:v>
      </x:c>
      <x:c r="H2399" s="2" t="str">
        <x:v>01</x:v>
      </x:c>
      <x:c r="I2399" s="2" t="str">
        <x:v>보완요청</x:v>
      </x:c>
      <x:c r="J2399" s="2" t="str">
        <x:v>보완요청</x:v>
      </x:c>
      <x:c r="K2399" s="2" t="str">
        <x:f>IF(OR(J2399="심의승인",J2399="반려",J2399="반려완료",J2399="심의완료"),"종결 표시",IF(OR(J2399="기후부협의",J2399="문서재제출요청",J2399="보류",J2399="보완요청",J2399="보완완료",J2399="평가중",J2399="반려요청",J2399="평가필요",LEFT(J2399,5)="보완요청("),"미종결 표시","상태 확인 필요"))</x:f>
        <x:v>미종결 표시</x:v>
      </x:c>
      <x:c r="L2399" s="2" t="str">
        <x:v>KECM</x:v>
      </x:c>
      <x:c r="M2399" s="2"/>
      <x:c r="N2399" s="8" t="n">
        <x:f>DATE(2026,10,15)-DATE(2026,1,26)</x:f>
        <x:v>262</x:v>
      </x:c>
      <x:c r="O2399" s="2"/>
      <x:c r="P2399" s="2"/>
      <x:c r="Q2399" s="2" t="str">
        <x:v>산업전환_외부사업관리Tool_260707_이너젠 수정_LJY_261013.xlsx</x:v>
      </x:c>
      <x:c r="R2399" s="2" t="str">
        <x:v>국내인증</x:v>
      </x:c>
      <x:c r="S2399" s="8" t="n">
        <x:v>717</x:v>
      </x:c>
      <x:c r="T2399" s="2" t="str">
        <x:v>(2/3)</x:v>
      </x:c>
      <x:c r="U2399" s="2" t="str">
        <x:v>2026(사전): (2/3)</x:v>
      </x:c>
      <x:c r="V2399" s="2" t="str">
        <x:v>2026-02-27</x:v>
      </x:c>
      <x:c r="W2399" s="2" t="str"/>
      <x:c r="X2399" s="2" t="str">
        <x:v>보완 회신 일정 확인</x:v>
      </x:c>
      <x:c r="Y2399" s="2" t="str">
        <x:v>ad210cd9ec132cfd447541c8984dc53d30aff0f4fb2dc92d254d49275cc55976</x:v>
      </x:c>
      <x:c r="Z2399" s="2" t="n">
        <x:f>SUBTOTAL(103,A2399)</x:f>
        <x:v>1</x:v>
      </x:c>
      <x:c r="AA2399" s="2" t="str">
        <x:f>IF(K2399&lt;&gt;"미종결 표시","대상 아님",IF(N2399="","신청일 확인",IF(NOT(ISNUMBER('종합 현황'!$H$5)),"관찰기준 확인",IF('종합 현황'!$H$5&lt;1,"관찰기준 확인",IF(N2399&gt;'종합 현황'!$H$5,"내부 관찰 대상","내부 관찰일 이하")))))</x:f>
        <x:v>내부 관찰 대상</x:v>
      </x:c>
      <x:c r="AB2399" s="2"/>
    </x:row>
    <x:row r="2400" ht="42" customHeight="1">
      <x:c r="A2400" s="2" t="str">
        <x:v>055f83187243885a9dd4ecc7</x:v>
      </x:c>
      <x:c r="B2400" s="2" t="str">
        <x:v>감축량 인증</x:v>
      </x:c>
      <x:c r="C2400" s="2" t="str">
        <x:v>국내</x:v>
      </x:c>
      <x:c r="D2400" s="7" t="str">
        <x:v>교남소망의집 태양광발전 자가사용 감축사업</x:v>
      </x:c>
      <x:c r="E2400" s="2" t="str">
        <x:v>640</x:v>
      </x:c>
      <x:c r="F2400" s="2" t="str">
        <x:v>2026-01-26</x:v>
      </x:c>
      <x:c r="G2400" s="2" t="str">
        <x:v>2026</x:v>
      </x:c>
      <x:c r="H2400" s="2" t="str">
        <x:v>01</x:v>
      </x:c>
      <x:c r="I2400" s="2" t="str">
        <x:v>보완요청</x:v>
      </x:c>
      <x:c r="J2400" s="2" t="str">
        <x:v>보완요청</x:v>
      </x:c>
      <x:c r="K2400" s="2" t="str">
        <x:f>IF(OR(J2400="심의승인",J2400="반려",J2400="반려완료",J2400="심의완료"),"종결 표시",IF(OR(J2400="기후부협의",J2400="문서재제출요청",J2400="보류",J2400="보완요청",J2400="보완완료",J2400="평가중",J2400="반려요청",J2400="평가필요",LEFT(J2400,5)="보완요청("),"미종결 표시","상태 확인 필요"))</x:f>
        <x:v>미종결 표시</x:v>
      </x:c>
      <x:c r="L2400" s="2" t="str">
        <x:v>KECM</x:v>
      </x:c>
      <x:c r="M2400" s="2"/>
      <x:c r="N2400" s="8" t="n">
        <x:f>DATE(2026,10,15)-DATE(2026,1,26)</x:f>
        <x:v>262</x:v>
      </x:c>
      <x:c r="O2400" s="2"/>
      <x:c r="P2400" s="2"/>
      <x:c r="Q2400" s="2" t="str">
        <x:v>산업전환_외부사업관리Tool_260707_이너젠 수정_LJY_261013.xlsx</x:v>
      </x:c>
      <x:c r="R2400" s="2" t="str">
        <x:v>국내인증</x:v>
      </x:c>
      <x:c r="S2400" s="8" t="n">
        <x:v>718</x:v>
      </x:c>
      <x:c r="T2400" s="2" t="str">
        <x:v>(2/3)</x:v>
      </x:c>
      <x:c r="U2400" s="2" t="str">
        <x:v>2026(사전): (2/3)</x:v>
      </x:c>
      <x:c r="V2400" s="2" t="str">
        <x:v>2026-02-27</x:v>
      </x:c>
      <x:c r="W2400" s="2" t="str"/>
      <x:c r="X2400" s="2" t="str">
        <x:v>보완 회신 일정 확인</x:v>
      </x:c>
      <x:c r="Y2400" s="2" t="str">
        <x:v>ad210cd9ec132cfd447541c8984dc53d30aff0f4fb2dc92d254d49275cc55976</x:v>
      </x:c>
      <x:c r="Z2400" s="2" t="n">
        <x:f>SUBTOTAL(103,A2400)</x:f>
        <x:v>1</x:v>
      </x:c>
      <x:c r="AA2400" s="2" t="str">
        <x:f>IF(K2400&lt;&gt;"미종결 표시","대상 아님",IF(N2400="","신청일 확인",IF(NOT(ISNUMBER('종합 현황'!$H$5)),"관찰기준 확인",IF('종합 현황'!$H$5&lt;1,"관찰기준 확인",IF(N2400&gt;'종합 현황'!$H$5,"내부 관찰 대상","내부 관찰일 이하")))))</x:f>
        <x:v>내부 관찰 대상</x:v>
      </x:c>
      <x:c r="AB2400" s="2"/>
    </x:row>
    <x:row r="2401" ht="42" customHeight="1">
      <x:c r="A2401" s="2" t="str">
        <x:v>2c7d77258cd535536deaa034</x:v>
      </x:c>
      <x:c r="B2401" s="2" t="str">
        <x:v>감축량 인증</x:v>
      </x:c>
      <x:c r="C2401" s="2" t="str">
        <x:v>국내</x:v>
      </x:c>
      <x:c r="D2401" s="7" t="str">
        <x:v>돈보스코자립생활관 태양광발전 자가사용 감축사업</x:v>
      </x:c>
      <x:c r="E2401" s="2" t="str">
        <x:v>641</x:v>
      </x:c>
      <x:c r="F2401" s="2" t="str">
        <x:v>2026-01-26</x:v>
      </x:c>
      <x:c r="G2401" s="2" t="str">
        <x:v>2026</x:v>
      </x:c>
      <x:c r="H2401" s="2" t="str">
        <x:v>01</x:v>
      </x:c>
      <x:c r="I2401" s="2" t="str">
        <x:v>보완요청</x:v>
      </x:c>
      <x:c r="J2401" s="2" t="str">
        <x:v>보완요청</x:v>
      </x:c>
      <x:c r="K2401" s="2" t="str">
        <x:f>IF(OR(J2401="심의승인",J2401="반려",J2401="반려완료",J2401="심의완료"),"종결 표시",IF(OR(J2401="기후부협의",J2401="문서재제출요청",J2401="보류",J2401="보완요청",J2401="보완완료",J2401="평가중",J2401="반려요청",J2401="평가필요",LEFT(J2401,5)="보완요청("),"미종결 표시","상태 확인 필요"))</x:f>
        <x:v>미종결 표시</x:v>
      </x:c>
      <x:c r="L2401" s="2" t="str">
        <x:v>KECM</x:v>
      </x:c>
      <x:c r="M2401" s="2"/>
      <x:c r="N2401" s="8" t="n">
        <x:f>DATE(2026,10,15)-DATE(2026,1,26)</x:f>
        <x:v>262</x:v>
      </x:c>
      <x:c r="O2401" s="2"/>
      <x:c r="P2401" s="2"/>
      <x:c r="Q2401" s="2" t="str">
        <x:v>산업전환_외부사업관리Tool_260707_이너젠 수정_LJY_261013.xlsx</x:v>
      </x:c>
      <x:c r="R2401" s="2" t="str">
        <x:v>국내인증</x:v>
      </x:c>
      <x:c r="S2401" s="8" t="n">
        <x:v>719</x:v>
      </x:c>
      <x:c r="T2401" s="2" t="str">
        <x:v>(2/3)</x:v>
      </x:c>
      <x:c r="U2401" s="2" t="str">
        <x:v>2026(사전): (2/3)</x:v>
      </x:c>
      <x:c r="V2401" s="2" t="str">
        <x:v>2026-02-27</x:v>
      </x:c>
      <x:c r="W2401" s="2" t="str"/>
      <x:c r="X2401" s="2" t="str">
        <x:v>보완 회신 일정 확인</x:v>
      </x:c>
      <x:c r="Y2401" s="2" t="str">
        <x:v>ad210cd9ec132cfd447541c8984dc53d30aff0f4fb2dc92d254d49275cc55976</x:v>
      </x:c>
      <x:c r="Z2401" s="2" t="n">
        <x:f>SUBTOTAL(103,A2401)</x:f>
        <x:v>1</x:v>
      </x:c>
      <x:c r="AA2401" s="2" t="str">
        <x:f>IF(K2401&lt;&gt;"미종결 표시","대상 아님",IF(N2401="","신청일 확인",IF(NOT(ISNUMBER('종합 현황'!$H$5)),"관찰기준 확인",IF('종합 현황'!$H$5&lt;1,"관찰기준 확인",IF(N2401&gt;'종합 현황'!$H$5,"내부 관찰 대상","내부 관찰일 이하")))))</x:f>
        <x:v>내부 관찰 대상</x:v>
      </x:c>
      <x:c r="AB2401" s="2"/>
    </x:row>
    <x:row r="2402" ht="42" customHeight="1">
      <x:c r="A2402" s="2" t="str">
        <x:v>36f3ab3bf39d705b685c2c9e</x:v>
      </x:c>
      <x:c r="B2402" s="2" t="str">
        <x:v>감축량 인증</x:v>
      </x:c>
      <x:c r="C2402" s="2" t="str">
        <x:v>국내</x:v>
      </x:c>
      <x:c r="D2402" s="7" t="str">
        <x:v>청운보육원 태양광발전 자가사용 감축사업</x:v>
      </x:c>
      <x:c r="E2402" s="2" t="str">
        <x:v>642</x:v>
      </x:c>
      <x:c r="F2402" s="2" t="str">
        <x:v>2026-01-26</x:v>
      </x:c>
      <x:c r="G2402" s="2" t="str">
        <x:v>2026</x:v>
      </x:c>
      <x:c r="H2402" s="2" t="str">
        <x:v>01</x:v>
      </x:c>
      <x:c r="I2402" s="2" t="str">
        <x:v>보완요청</x:v>
      </x:c>
      <x:c r="J2402" s="2" t="str">
        <x:v>보완요청</x:v>
      </x:c>
      <x:c r="K2402" s="2" t="str">
        <x:f>IF(OR(J2402="심의승인",J2402="반려",J2402="반려완료",J2402="심의완료"),"종결 표시",IF(OR(J2402="기후부협의",J2402="문서재제출요청",J2402="보류",J2402="보완요청",J2402="보완완료",J2402="평가중",J2402="반려요청",J2402="평가필요",LEFT(J2402,5)="보완요청("),"미종결 표시","상태 확인 필요"))</x:f>
        <x:v>미종결 표시</x:v>
      </x:c>
      <x:c r="L2402" s="2" t="str">
        <x:v>KECM</x:v>
      </x:c>
      <x:c r="M2402" s="2"/>
      <x:c r="N2402" s="8" t="n">
        <x:f>DATE(2026,10,15)-DATE(2026,1,26)</x:f>
        <x:v>262</x:v>
      </x:c>
      <x:c r="O2402" s="2"/>
      <x:c r="P2402" s="2"/>
      <x:c r="Q2402" s="2" t="str">
        <x:v>산업전환_외부사업관리Tool_260707_이너젠 수정_LJY_261013.xlsx</x:v>
      </x:c>
      <x:c r="R2402" s="2" t="str">
        <x:v>국내인증</x:v>
      </x:c>
      <x:c r="S2402" s="8" t="n">
        <x:v>720</x:v>
      </x:c>
      <x:c r="T2402" s="2" t="str">
        <x:v>(2/3)</x:v>
      </x:c>
      <x:c r="U2402" s="2" t="str">
        <x:v>2026(사전): (2/3)</x:v>
      </x:c>
      <x:c r="V2402" s="2" t="str">
        <x:v>2026-02-27</x:v>
      </x:c>
      <x:c r="W2402" s="2" t="str"/>
      <x:c r="X2402" s="2" t="str">
        <x:v>보완 회신 일정 확인</x:v>
      </x:c>
      <x:c r="Y2402" s="2" t="str">
        <x:v>ad210cd9ec132cfd447541c8984dc53d30aff0f4fb2dc92d254d49275cc55976</x:v>
      </x:c>
      <x:c r="Z2402" s="2" t="n">
        <x:f>SUBTOTAL(103,A2402)</x:f>
        <x:v>1</x:v>
      </x:c>
      <x:c r="AA2402" s="2" t="str">
        <x:f>IF(K2402&lt;&gt;"미종결 표시","대상 아님",IF(N2402="","신청일 확인",IF(NOT(ISNUMBER('종합 현황'!$H$5)),"관찰기준 확인",IF('종합 현황'!$H$5&lt;1,"관찰기준 확인",IF(N2402&gt;'종합 현황'!$H$5,"내부 관찰 대상","내부 관찰일 이하")))))</x:f>
        <x:v>내부 관찰 대상</x:v>
      </x:c>
      <x:c r="AB2402" s="2"/>
    </x:row>
    <x:row r="2403" ht="42" customHeight="1">
      <x:c r="A2403" s="2" t="str">
        <x:v>2b762ab359bdd96bfb0a0291</x:v>
      </x:c>
      <x:c r="B2403" s="2" t="str">
        <x:v>감축량 인증</x:v>
      </x:c>
      <x:c r="C2403" s="2" t="str">
        <x:v>국내</x:v>
      </x:c>
      <x:c r="D2403" s="7" t="str">
        <x:v>남산원 태양광발전 자가사용 감축사업</x:v>
      </x:c>
      <x:c r="E2403" s="2" t="str">
        <x:v>643</x:v>
      </x:c>
      <x:c r="F2403" s="2" t="str">
        <x:v>2026-01-26</x:v>
      </x:c>
      <x:c r="G2403" s="2" t="str">
        <x:v>2026</x:v>
      </x:c>
      <x:c r="H2403" s="2" t="str">
        <x:v>01</x:v>
      </x:c>
      <x:c r="I2403" s="2" t="str">
        <x:v>보완요청</x:v>
      </x:c>
      <x:c r="J2403" s="2" t="str">
        <x:v>보완요청</x:v>
      </x:c>
      <x:c r="K2403" s="2" t="str">
        <x:f>IF(OR(J2403="심의승인",J2403="반려",J2403="반려완료",J2403="심의완료"),"종결 표시",IF(OR(J2403="기후부협의",J2403="문서재제출요청",J2403="보류",J2403="보완요청",J2403="보완완료",J2403="평가중",J2403="반려요청",J2403="평가필요",LEFT(J2403,5)="보완요청("),"미종결 표시","상태 확인 필요"))</x:f>
        <x:v>미종결 표시</x:v>
      </x:c>
      <x:c r="L2403" s="2" t="str">
        <x:v>KECM</x:v>
      </x:c>
      <x:c r="M2403" s="2"/>
      <x:c r="N2403" s="8" t="n">
        <x:f>DATE(2026,10,15)-DATE(2026,1,26)</x:f>
        <x:v>262</x:v>
      </x:c>
      <x:c r="O2403" s="2"/>
      <x:c r="P2403" s="2"/>
      <x:c r="Q2403" s="2" t="str">
        <x:v>산업전환_외부사업관리Tool_260707_이너젠 수정_LJY_261013.xlsx</x:v>
      </x:c>
      <x:c r="R2403" s="2" t="str">
        <x:v>국내인증</x:v>
      </x:c>
      <x:c r="S2403" s="8" t="n">
        <x:v>721</x:v>
      </x:c>
      <x:c r="T2403" s="2" t="str">
        <x:v>(2/3)</x:v>
      </x:c>
      <x:c r="U2403" s="2" t="str">
        <x:v>2026(사전): (2/3)</x:v>
      </x:c>
      <x:c r="V2403" s="2" t="str">
        <x:v>2026-02-27</x:v>
      </x:c>
      <x:c r="W2403" s="2" t="str"/>
      <x:c r="X2403" s="2" t="str">
        <x:v>보완 회신 일정 확인</x:v>
      </x:c>
      <x:c r="Y2403" s="2" t="str">
        <x:v>ad210cd9ec132cfd447541c8984dc53d30aff0f4fb2dc92d254d49275cc55976</x:v>
      </x:c>
      <x:c r="Z2403" s="2" t="n">
        <x:f>SUBTOTAL(103,A2403)</x:f>
        <x:v>1</x:v>
      </x:c>
      <x:c r="AA2403" s="2" t="str">
        <x:f>IF(K2403&lt;&gt;"미종결 표시","대상 아님",IF(N2403="","신청일 확인",IF(NOT(ISNUMBER('종합 현황'!$H$5)),"관찰기준 확인",IF('종합 현황'!$H$5&lt;1,"관찰기준 확인",IF(N2403&gt;'종합 현황'!$H$5,"내부 관찰 대상","내부 관찰일 이하")))))</x:f>
        <x:v>내부 관찰 대상</x:v>
      </x:c>
      <x:c r="AB2403" s="2"/>
    </x:row>
    <x:row r="2404" ht="42" customHeight="1">
      <x:c r="A2404" s="2" t="str">
        <x:v>b2870043db14d3ca29c992f2</x:v>
      </x:c>
      <x:c r="B2404" s="2" t="str">
        <x:v>감축량 인증</x:v>
      </x:c>
      <x:c r="C2404" s="2" t="str">
        <x:v>국내</x:v>
      </x:c>
      <x:c r="D2404" s="7" t="str">
        <x:v>H2빌 태양광발전 자가사용 감축사업</x:v>
      </x:c>
      <x:c r="E2404" s="2" t="str">
        <x:v>644</x:v>
      </x:c>
      <x:c r="F2404" s="2" t="str">
        <x:v>2026-01-26</x:v>
      </x:c>
      <x:c r="G2404" s="2" t="str">
        <x:v>2026</x:v>
      </x:c>
      <x:c r="H2404" s="2" t="str">
        <x:v>01</x:v>
      </x:c>
      <x:c r="I2404" s="2" t="str">
        <x:v>보완요청</x:v>
      </x:c>
      <x:c r="J2404" s="2" t="str">
        <x:v>보완요청</x:v>
      </x:c>
      <x:c r="K2404" s="2" t="str">
        <x:f>IF(OR(J2404="심의승인",J2404="반려",J2404="반려완료",J2404="심의완료"),"종결 표시",IF(OR(J2404="기후부협의",J2404="문서재제출요청",J2404="보류",J2404="보완요청",J2404="보완완료",J2404="평가중",J2404="반려요청",J2404="평가필요",LEFT(J2404,5)="보완요청("),"미종결 표시","상태 확인 필요"))</x:f>
        <x:v>미종결 표시</x:v>
      </x:c>
      <x:c r="L2404" s="2" t="str">
        <x:v>KECM</x:v>
      </x:c>
      <x:c r="M2404" s="2"/>
      <x:c r="N2404" s="8" t="n">
        <x:f>DATE(2026,10,15)-DATE(2026,1,26)</x:f>
        <x:v>262</x:v>
      </x:c>
      <x:c r="O2404" s="2"/>
      <x:c r="P2404" s="2"/>
      <x:c r="Q2404" s="2" t="str">
        <x:v>산업전환_외부사업관리Tool_260707_이너젠 수정_LJY_261013.xlsx</x:v>
      </x:c>
      <x:c r="R2404" s="2" t="str">
        <x:v>국내인증</x:v>
      </x:c>
      <x:c r="S2404" s="8" t="n">
        <x:v>722</x:v>
      </x:c>
      <x:c r="T2404" s="2" t="str">
        <x:v>(2/3)</x:v>
      </x:c>
      <x:c r="U2404" s="2" t="str">
        <x:v>2026(사전): (2/3)</x:v>
      </x:c>
      <x:c r="V2404" s="2" t="str">
        <x:v>2026-02-27</x:v>
      </x:c>
      <x:c r="W2404" s="2" t="str"/>
      <x:c r="X2404" s="2" t="str">
        <x:v>보완 회신 일정 확인</x:v>
      </x:c>
      <x:c r="Y2404" s="2" t="str">
        <x:v>ad210cd9ec132cfd447541c8984dc53d30aff0f4fb2dc92d254d49275cc55976</x:v>
      </x:c>
      <x:c r="Z2404" s="2" t="n">
        <x:f>SUBTOTAL(103,A2404)</x:f>
        <x:v>1</x:v>
      </x:c>
      <x:c r="AA2404" s="2" t="str">
        <x:f>IF(K2404&lt;&gt;"미종결 표시","대상 아님",IF(N2404="","신청일 확인",IF(NOT(ISNUMBER('종합 현황'!$H$5)),"관찰기준 확인",IF('종합 현황'!$H$5&lt;1,"관찰기준 확인",IF(N2404&gt;'종합 현황'!$H$5,"내부 관찰 대상","내부 관찰일 이하")))))</x:f>
        <x:v>내부 관찰 대상</x:v>
      </x:c>
      <x:c r="AB2404" s="2"/>
    </x:row>
    <x:row r="2405" ht="42" customHeight="1">
      <x:c r="A2405" s="2" t="str">
        <x:v>4816f49b32f52c48f61b248d</x:v>
      </x:c>
      <x:c r="B2405" s="2" t="str">
        <x:v>감축량 인증</x:v>
      </x:c>
      <x:c r="C2405" s="2" t="str">
        <x:v>국내</x:v>
      </x:c>
      <x:c r="D2405" s="7" t="str">
        <x:v>은평재활원 태양광발전 자가사용 감축사업</x:v>
      </x:c>
      <x:c r="E2405" s="2" t="str">
        <x:v>645</x:v>
      </x:c>
      <x:c r="F2405" s="2" t="str">
        <x:v>2026-01-26</x:v>
      </x:c>
      <x:c r="G2405" s="2" t="str">
        <x:v>2026</x:v>
      </x:c>
      <x:c r="H2405" s="2" t="str">
        <x:v>01</x:v>
      </x:c>
      <x:c r="I2405" s="2" t="str">
        <x:v>보완요청</x:v>
      </x:c>
      <x:c r="J2405" s="2" t="str">
        <x:v>보완요청</x:v>
      </x:c>
      <x:c r="K2405" s="2" t="str">
        <x:f>IF(OR(J2405="심의승인",J2405="반려",J2405="반려완료",J2405="심의완료"),"종결 표시",IF(OR(J2405="기후부협의",J2405="문서재제출요청",J2405="보류",J2405="보완요청",J2405="보완완료",J2405="평가중",J2405="반려요청",J2405="평가필요",LEFT(J2405,5)="보완요청("),"미종결 표시","상태 확인 필요"))</x:f>
        <x:v>미종결 표시</x:v>
      </x:c>
      <x:c r="L2405" s="2" t="str">
        <x:v>KECM</x:v>
      </x:c>
      <x:c r="M2405" s="2"/>
      <x:c r="N2405" s="8" t="n">
        <x:f>DATE(2026,10,15)-DATE(2026,1,26)</x:f>
        <x:v>262</x:v>
      </x:c>
      <x:c r="O2405" s="2"/>
      <x:c r="P2405" s="2"/>
      <x:c r="Q2405" s="2" t="str">
        <x:v>산업전환_외부사업관리Tool_260707_이너젠 수정_LJY_261013.xlsx</x:v>
      </x:c>
      <x:c r="R2405" s="2" t="str">
        <x:v>국내인증</x:v>
      </x:c>
      <x:c r="S2405" s="8" t="n">
        <x:v>723</x:v>
      </x:c>
      <x:c r="T2405" s="2" t="str">
        <x:v>(2/3)</x:v>
      </x:c>
      <x:c r="U2405" s="2" t="str">
        <x:v>2026(사전): (2/3)</x:v>
      </x:c>
      <x:c r="V2405" s="2" t="str">
        <x:v>2026-02-27</x:v>
      </x:c>
      <x:c r="W2405" s="2" t="str"/>
      <x:c r="X2405" s="2" t="str">
        <x:v>보완 회신 일정 확인</x:v>
      </x:c>
      <x:c r="Y2405" s="2" t="str">
        <x:v>ad210cd9ec132cfd447541c8984dc53d30aff0f4fb2dc92d254d49275cc55976</x:v>
      </x:c>
      <x:c r="Z2405" s="2" t="n">
        <x:f>SUBTOTAL(103,A2405)</x:f>
        <x:v>1</x:v>
      </x:c>
      <x:c r="AA2405" s="2" t="str">
        <x:f>IF(K2405&lt;&gt;"미종결 표시","대상 아님",IF(N2405="","신청일 확인",IF(NOT(ISNUMBER('종합 현황'!$H$5)),"관찰기준 확인",IF('종합 현황'!$H$5&lt;1,"관찰기준 확인",IF(N2405&gt;'종합 현황'!$H$5,"내부 관찰 대상","내부 관찰일 이하")))))</x:f>
        <x:v>내부 관찰 대상</x:v>
      </x:c>
      <x:c r="AB2405" s="2"/>
    </x:row>
    <x:row r="2406" ht="42" customHeight="1">
      <x:c r="A2406" s="2" t="str">
        <x:v>6dd81b0d975fa8d0043a3d60</x:v>
      </x:c>
      <x:c r="B2406" s="2" t="str">
        <x:v>감축량 인증</x:v>
      </x:c>
      <x:c r="C2406" s="2" t="str">
        <x:v>국내</x:v>
      </x:c>
      <x:c r="D2406" s="7" t="str">
        <x:v>명진들꽃사랑마을 태양광발전 자가사용 감축사업</x:v>
      </x:c>
      <x:c r="E2406" s="2" t="str">
        <x:v>646</x:v>
      </x:c>
      <x:c r="F2406" s="2" t="str">
        <x:v>2026-01-26</x:v>
      </x:c>
      <x:c r="G2406" s="2" t="str">
        <x:v>2026</x:v>
      </x:c>
      <x:c r="H2406" s="2" t="str">
        <x:v>01</x:v>
      </x:c>
      <x:c r="I2406" s="2" t="str">
        <x:v>보완요청</x:v>
      </x:c>
      <x:c r="J2406" s="2" t="str">
        <x:v>보완요청</x:v>
      </x:c>
      <x:c r="K2406" s="2" t="str">
        <x:f>IF(OR(J2406="심의승인",J2406="반려",J2406="반려완료",J2406="심의완료"),"종결 표시",IF(OR(J2406="기후부협의",J2406="문서재제출요청",J2406="보류",J2406="보완요청",J2406="보완완료",J2406="평가중",J2406="반려요청",J2406="평가필요",LEFT(J2406,5)="보완요청("),"미종결 표시","상태 확인 필요"))</x:f>
        <x:v>미종결 표시</x:v>
      </x:c>
      <x:c r="L2406" s="2" t="str">
        <x:v>KECM</x:v>
      </x:c>
      <x:c r="M2406" s="2"/>
      <x:c r="N2406" s="8" t="n">
        <x:f>DATE(2026,10,15)-DATE(2026,1,26)</x:f>
        <x:v>262</x:v>
      </x:c>
      <x:c r="O2406" s="2"/>
      <x:c r="P2406" s="2"/>
      <x:c r="Q2406" s="2" t="str">
        <x:v>산업전환_외부사업관리Tool_260707_이너젠 수정_LJY_261013.xlsx</x:v>
      </x:c>
      <x:c r="R2406" s="2" t="str">
        <x:v>국내인증</x:v>
      </x:c>
      <x:c r="S2406" s="8" t="n">
        <x:v>724</x:v>
      </x:c>
      <x:c r="T2406" s="2" t="str">
        <x:v>(2/3)</x:v>
      </x:c>
      <x:c r="U2406" s="2" t="str">
        <x:v>2026(사전): (2/3)</x:v>
      </x:c>
      <x:c r="V2406" s="2" t="str">
        <x:v>2026-02-27</x:v>
      </x:c>
      <x:c r="W2406" s="2" t="str"/>
      <x:c r="X2406" s="2" t="str">
        <x:v>보완 회신 일정 확인</x:v>
      </x:c>
      <x:c r="Y2406" s="2" t="str">
        <x:v>ad210cd9ec132cfd447541c8984dc53d30aff0f4fb2dc92d254d49275cc55976</x:v>
      </x:c>
      <x:c r="Z2406" s="2" t="n">
        <x:f>SUBTOTAL(103,A2406)</x:f>
        <x:v>1</x:v>
      </x:c>
      <x:c r="AA2406" s="2" t="str">
        <x:f>IF(K2406&lt;&gt;"미종결 표시","대상 아님",IF(N2406="","신청일 확인",IF(NOT(ISNUMBER('종합 현황'!$H$5)),"관찰기준 확인",IF('종합 현황'!$H$5&lt;1,"관찰기준 확인",IF(N2406&gt;'종합 현황'!$H$5,"내부 관찰 대상","내부 관찰일 이하")))))</x:f>
        <x:v>내부 관찰 대상</x:v>
      </x:c>
      <x:c r="AB2406" s="2"/>
    </x:row>
    <x:row r="2407" ht="42" customHeight="1">
      <x:c r="A2407" s="2" t="str">
        <x:v>417b073474981ce5bc4ba2d6</x:v>
      </x:c>
      <x:c r="B2407" s="2" t="str">
        <x:v>감축량 인증</x:v>
      </x:c>
      <x:c r="C2407" s="2" t="str">
        <x:v>국내</x:v>
      </x:c>
      <x:c r="D2407" s="7" t="str">
        <x:v>인강원 태양광발전 자가사용 감축사업</x:v>
      </x:c>
      <x:c r="E2407" s="2" t="str">
        <x:v>647</x:v>
      </x:c>
      <x:c r="F2407" s="2" t="str">
        <x:v>2026-01-26</x:v>
      </x:c>
      <x:c r="G2407" s="2" t="str">
        <x:v>2026</x:v>
      </x:c>
      <x:c r="H2407" s="2" t="str">
        <x:v>01</x:v>
      </x:c>
      <x:c r="I2407" s="2" t="str">
        <x:v>보완요청</x:v>
      </x:c>
      <x:c r="J2407" s="2" t="str">
        <x:v>보완요청</x:v>
      </x:c>
      <x:c r="K2407" s="2" t="str">
        <x:f>IF(OR(J2407="심의승인",J2407="반려",J2407="반려완료",J2407="심의완료"),"종결 표시",IF(OR(J2407="기후부협의",J2407="문서재제출요청",J2407="보류",J2407="보완요청",J2407="보완완료",J2407="평가중",J2407="반려요청",J2407="평가필요",LEFT(J2407,5)="보완요청("),"미종결 표시","상태 확인 필요"))</x:f>
        <x:v>미종결 표시</x:v>
      </x:c>
      <x:c r="L2407" s="2" t="str">
        <x:v>KECM</x:v>
      </x:c>
      <x:c r="M2407" s="2"/>
      <x:c r="N2407" s="8" t="n">
        <x:f>DATE(2026,10,15)-DATE(2026,1,26)</x:f>
        <x:v>262</x:v>
      </x:c>
      <x:c r="O2407" s="2"/>
      <x:c r="P2407" s="2"/>
      <x:c r="Q2407" s="2" t="str">
        <x:v>산업전환_외부사업관리Tool_260707_이너젠 수정_LJY_261013.xlsx</x:v>
      </x:c>
      <x:c r="R2407" s="2" t="str">
        <x:v>국내인증</x:v>
      </x:c>
      <x:c r="S2407" s="8" t="n">
        <x:v>725</x:v>
      </x:c>
      <x:c r="T2407" s="2" t="str">
        <x:v>(2/3)</x:v>
      </x:c>
      <x:c r="U2407" s="2" t="str">
        <x:v>2026(사전): (2/3)</x:v>
      </x:c>
      <x:c r="V2407" s="2" t="str">
        <x:v>2026-02-27</x:v>
      </x:c>
      <x:c r="W2407" s="2" t="str"/>
      <x:c r="X2407" s="2" t="str">
        <x:v>보완 회신 일정 확인</x:v>
      </x:c>
      <x:c r="Y2407" s="2" t="str">
        <x:v>ad210cd9ec132cfd447541c8984dc53d30aff0f4fb2dc92d254d49275cc55976</x:v>
      </x:c>
      <x:c r="Z2407" s="2" t="n">
        <x:f>SUBTOTAL(103,A2407)</x:f>
        <x:v>1</x:v>
      </x:c>
      <x:c r="AA2407" s="2" t="str">
        <x:f>IF(K2407&lt;&gt;"미종결 표시","대상 아님",IF(N2407="","신청일 확인",IF(NOT(ISNUMBER('종합 현황'!$H$5)),"관찰기준 확인",IF('종합 현황'!$H$5&lt;1,"관찰기준 확인",IF(N2407&gt;'종합 현황'!$H$5,"내부 관찰 대상","내부 관찰일 이하")))))</x:f>
        <x:v>내부 관찰 대상</x:v>
      </x:c>
      <x:c r="AB2407" s="2"/>
    </x:row>
    <x:row r="2408" ht="42" customHeight="1">
      <x:c r="A2408" s="2" t="str">
        <x:v>54bb35bf75d69c131d0b5c93</x:v>
      </x:c>
      <x:c r="B2408" s="2" t="str">
        <x:v>감축량 인증</x:v>
      </x:c>
      <x:c r="C2408" s="2" t="str">
        <x:v>국내</x:v>
      </x:c>
      <x:c r="D2408" s="7" t="str">
        <x:v>한빛맹아원 태양광발전 자가사용 감축사업</x:v>
      </x:c>
      <x:c r="E2408" s="2" t="str">
        <x:v>648</x:v>
      </x:c>
      <x:c r="F2408" s="2" t="str">
        <x:v>2026-01-26</x:v>
      </x:c>
      <x:c r="G2408" s="2" t="str">
        <x:v>2026</x:v>
      </x:c>
      <x:c r="H2408" s="2" t="str">
        <x:v>01</x:v>
      </x:c>
      <x:c r="I2408" s="2" t="str">
        <x:v>보완요청</x:v>
      </x:c>
      <x:c r="J2408" s="2" t="str">
        <x:v>보완요청</x:v>
      </x:c>
      <x:c r="K2408" s="2" t="str">
        <x:f>IF(OR(J2408="심의승인",J2408="반려",J2408="반려완료",J2408="심의완료"),"종결 표시",IF(OR(J2408="기후부협의",J2408="문서재제출요청",J2408="보류",J2408="보완요청",J2408="보완완료",J2408="평가중",J2408="반려요청",J2408="평가필요",LEFT(J2408,5)="보완요청("),"미종결 표시","상태 확인 필요"))</x:f>
        <x:v>미종결 표시</x:v>
      </x:c>
      <x:c r="L2408" s="2" t="str">
        <x:v>KECM</x:v>
      </x:c>
      <x:c r="M2408" s="2"/>
      <x:c r="N2408" s="8" t="n">
        <x:f>DATE(2026,10,15)-DATE(2026,1,26)</x:f>
        <x:v>262</x:v>
      </x:c>
      <x:c r="O2408" s="2"/>
      <x:c r="P2408" s="2"/>
      <x:c r="Q2408" s="2" t="str">
        <x:v>산업전환_외부사업관리Tool_260707_이너젠 수정_LJY_261013.xlsx</x:v>
      </x:c>
      <x:c r="R2408" s="2" t="str">
        <x:v>국내인증</x:v>
      </x:c>
      <x:c r="S2408" s="8" t="n">
        <x:v>726</x:v>
      </x:c>
      <x:c r="T2408" s="2" t="str">
        <x:v>(2/3)</x:v>
      </x:c>
      <x:c r="U2408" s="2" t="str">
        <x:v>2026(사전): (2/3)</x:v>
      </x:c>
      <x:c r="V2408" s="2" t="str">
        <x:v>2026-02-27</x:v>
      </x:c>
      <x:c r="W2408" s="2" t="str"/>
      <x:c r="X2408" s="2" t="str">
        <x:v>보완 회신 일정 확인</x:v>
      </x:c>
      <x:c r="Y2408" s="2" t="str">
        <x:v>ad210cd9ec132cfd447541c8984dc53d30aff0f4fb2dc92d254d49275cc55976</x:v>
      </x:c>
      <x:c r="Z2408" s="2" t="n">
        <x:f>SUBTOTAL(103,A2408)</x:f>
        <x:v>1</x:v>
      </x:c>
      <x:c r="AA2408" s="2" t="str">
        <x:f>IF(K2408&lt;&gt;"미종결 표시","대상 아님",IF(N2408="","신청일 확인",IF(NOT(ISNUMBER('종합 현황'!$H$5)),"관찰기준 확인",IF('종합 현황'!$H$5&lt;1,"관찰기준 확인",IF(N2408&gt;'종합 현황'!$H$5,"내부 관찰 대상","내부 관찰일 이하")))))</x:f>
        <x:v>내부 관찰 대상</x:v>
      </x:c>
      <x:c r="AB2408" s="2"/>
    </x:row>
    <x:row r="2409" ht="42" customHeight="1">
      <x:c r="A2409" s="2" t="str">
        <x:v>a68446a0a96feacb3b893d7f</x:v>
      </x:c>
      <x:c r="B2409" s="2" t="str">
        <x:v>감축량 인증</x:v>
      </x:c>
      <x:c r="C2409" s="2" t="str">
        <x:v>국내</x:v>
      </x:c>
      <x:c r="D2409" s="7" t="str">
        <x:v>플루오린코리아 주식회사 육불화황 회수 및 플라즈마 분해를 통한 온실가스 배출 감축사업</x:v>
      </x:c>
      <x:c r="E2409" s="2" t="str">
        <x:v>649</x:v>
      </x:c>
      <x:c r="F2409" s="2" t="str">
        <x:v>2026-03-16</x:v>
      </x:c>
      <x:c r="G2409" s="2" t="str">
        <x:v>2026</x:v>
      </x:c>
      <x:c r="H2409" s="2" t="str">
        <x:v>03</x:v>
      </x:c>
      <x:c r="I2409" s="2" t="str">
        <x:v>심의승인</x:v>
      </x:c>
      <x:c r="J2409" s="2" t="str">
        <x:v>기후부협의</x:v>
      </x:c>
      <x:c r="K2409" s="2" t="str">
        <x:f>IF(OR(J2409="심의승인",J2409="반려",J2409="반려완료",J2409="심의완료"),"종결 표시",IF(OR(J2409="기후부협의",J2409="문서재제출요청",J2409="보류",J2409="보완요청",J2409="보완완료",J2409="평가중",J2409="반려요청",J2409="평가필요",LEFT(J2409,5)="보완요청("),"미종결 표시","상태 확인 필요"))</x:f>
        <x:v>미종결 표시</x:v>
      </x:c>
      <x:c r="L2409" s="2" t="str">
        <x:v>KECM</x:v>
      </x:c>
      <x:c r="M2409" s="2"/>
      <x:c r="N2409" s="8" t="n">
        <x:f>DATE(2026,10,15)-DATE(2026,3,16)</x:f>
        <x:v>213</x:v>
      </x:c>
      <x:c r="O2409" s="2"/>
      <x:c r="P2409" s="2"/>
      <x:c r="Q2409" s="2" t="str">
        <x:v>산업전환_외부사업관리Tool_260707_이너젠 수정_LJY_261013.xlsx</x:v>
      </x:c>
      <x:c r="R2409" s="2" t="str">
        <x:v>국내인증</x:v>
      </x:c>
      <x:c r="S2409" s="8" t="n">
        <x:v>727</x:v>
      </x:c>
      <x:c r="T2409" s="2" t="str">
        <x:v>(3/19),(4/9)</x:v>
      </x:c>
      <x:c r="U2409" s="2" t="str">
        <x:v>2026(사전): (3/19),(4/9)</x:v>
      </x:c>
      <x:c r="V2409" s="2" t="str">
        <x:v>2026-09-14</x:v>
      </x:c>
      <x:c r="W2409" s="2" t="str"/>
      <x:c r="X2409" s="2" t="str">
        <x:v>검토 진행 일정 확인</x:v>
      </x:c>
      <x:c r="Y2409" s="2" t="str">
        <x:v>ad210cd9ec132cfd447541c8984dc53d30aff0f4fb2dc92d254d49275cc55976</x:v>
      </x:c>
      <x:c r="Z2409" s="2" t="n">
        <x:f>SUBTOTAL(103,A2409)</x:f>
        <x:v>1</x:v>
      </x:c>
      <x:c r="AA2409" s="2" t="str">
        <x:f>IF(K2409&lt;&gt;"미종결 표시","대상 아님",IF(N2409="","신청일 확인",IF(NOT(ISNUMBER('종합 현황'!$H$5)),"관찰기준 확인",IF('종합 현황'!$H$5&lt;1,"관찰기준 확인",IF(N2409&gt;'종합 현황'!$H$5,"내부 관찰 대상","내부 관찰일 이하")))))</x:f>
        <x:v>내부 관찰 대상</x:v>
      </x:c>
      <x:c r="AB2409" s="2"/>
    </x:row>
    <x:row r="2410" ht="42" customHeight="1">
      <x:c r="A2410" s="2" t="str">
        <x:v>2593c0aca0783828302e8ec6</x:v>
      </x:c>
      <x:c r="B2410" s="2" t="str">
        <x:v>감축량 인증</x:v>
      </x:c>
      <x:c r="C2410" s="2" t="str">
        <x:v>국내</x:v>
      </x:c>
      <x:c r="D2410" s="7" t="str">
        <x:v>휴켐스 질산공장 N2O 감축사업(휴켐스 주식회사의 질산 공장 세 곳에서 tail gas에 포함된 아산화질소를 촉매를 사용하여 제거하는 프로젝트)</x:v>
      </x:c>
      <x:c r="E2410" s="2" t="str">
        <x:v>650</x:v>
      </x:c>
      <x:c r="F2410" s="2" t="str">
        <x:v>2026-04-15</x:v>
      </x:c>
      <x:c r="G2410" s="2" t="str">
        <x:v>2026</x:v>
      </x:c>
      <x:c r="H2410" s="2" t="str">
        <x:v>04</x:v>
      </x:c>
      <x:c r="I2410" s="2" t="str">
        <x:v>보완요청</x:v>
      </x:c>
      <x:c r="J2410" s="2" t="str">
        <x:v>보완요청</x:v>
      </x:c>
      <x:c r="K2410" s="2" t="str">
        <x:f>IF(OR(J2410="심의승인",J2410="반려",J2410="반려완료",J2410="심의완료"),"종결 표시",IF(OR(J2410="기후부협의",J2410="문서재제출요청",J2410="보류",J2410="보완요청",J2410="보완완료",J2410="평가중",J2410="반려요청",J2410="평가필요",LEFT(J2410,5)="보완요청("),"미종결 표시","상태 확인 필요"))</x:f>
        <x:v>미종결 표시</x:v>
      </x:c>
      <x:c r="L2410" s="2" t="str">
        <x:v>KECM</x:v>
      </x:c>
      <x:c r="M2410" s="2"/>
      <x:c r="N2410" s="8" t="n">
        <x:f>DATE(2026,10,15)-DATE(2026,4,15)</x:f>
        <x:v>183</x:v>
      </x:c>
      <x:c r="O2410" s="2"/>
      <x:c r="P2410" s="2"/>
      <x:c r="Q2410" s="2" t="str">
        <x:v>산업전환_외부사업관리Tool_260707_이너젠 수정_LJY_261013.xlsx</x:v>
      </x:c>
      <x:c r="R2410" s="2" t="str">
        <x:v>국내인증</x:v>
      </x:c>
      <x:c r="S2410" s="8" t="n">
        <x:v>728</x:v>
      </x:c>
      <x:c r="T2410" s="2" t="str">
        <x:v>(4/29)</x:v>
      </x:c>
      <x:c r="U2410" s="2" t="str">
        <x:v>2026(사전): (4/29)</x:v>
      </x:c>
      <x:c r="V2410" s="2" t="str">
        <x:v>2026-05-13</x:v>
      </x:c>
      <x:c r="W2410" s="2" t="str"/>
      <x:c r="X2410" s="2" t="str">
        <x:v>보완 회신 일정 확인</x:v>
      </x:c>
      <x:c r="Y2410" s="2" t="str">
        <x:v>ad210cd9ec132cfd447541c8984dc53d30aff0f4fb2dc92d254d49275cc55976</x:v>
      </x:c>
      <x:c r="Z2410" s="2" t="n">
        <x:f>SUBTOTAL(103,A2410)</x:f>
        <x:v>1</x:v>
      </x:c>
      <x:c r="AA2410" s="2" t="str">
        <x:f>IF(K2410&lt;&gt;"미종결 표시","대상 아님",IF(N2410="","신청일 확인",IF(NOT(ISNUMBER('종합 현황'!$H$5)),"관찰기준 확인",IF('종합 현황'!$H$5&lt;1,"관찰기준 확인",IF(N2410&gt;'종합 현황'!$H$5,"내부 관찰 대상","내부 관찰일 이하")))))</x:f>
        <x:v>내부 관찰 대상</x:v>
      </x:c>
      <x:c r="AB2410" s="2"/>
    </x:row>
    <x:row r="2411" ht="42" customHeight="1">
      <x:c r="A2411" s="2" t="str">
        <x:v>4c2271fc6231dfe73b43945e</x:v>
      </x:c>
      <x:c r="B2411" s="2" t="str">
        <x:v>감축량 인증</x:v>
      </x:c>
      <x:c r="C2411" s="2" t="str">
        <x:v>국내</x:v>
      </x:c>
      <x:c r="D2411" s="7" t="str">
        <x:v>㈜한화 울산소재 질산공장 N2O 감축 프로젝트</x:v>
      </x:c>
      <x:c r="E2411" s="2" t="str">
        <x:v>651</x:v>
      </x:c>
      <x:c r="F2411" s="2" t="str">
        <x:v>2026-04-27</x:v>
      </x:c>
      <x:c r="G2411" s="2" t="str">
        <x:v>2026</x:v>
      </x:c>
      <x:c r="H2411" s="2" t="str">
        <x:v>04</x:v>
      </x:c>
      <x:c r="I2411" s="2" t="str">
        <x:v>신청</x:v>
      </x:c>
      <x:c r="J2411" s="2" t="str">
        <x:v>보완요청</x:v>
      </x:c>
      <x:c r="K2411" s="2" t="str">
        <x:f>IF(OR(J2411="심의승인",J2411="반려",J2411="반려완료",J2411="심의완료"),"종결 표시",IF(OR(J2411="기후부협의",J2411="문서재제출요청",J2411="보류",J2411="보완요청",J2411="보완완료",J2411="평가중",J2411="반려요청",J2411="평가필요",LEFT(J2411,5)="보완요청("),"미종결 표시","상태 확인 필요"))</x:f>
        <x:v>미종결 표시</x:v>
      </x:c>
      <x:c r="L2411" s="2" t="str">
        <x:v>KECM</x:v>
      </x:c>
      <x:c r="M2411" s="2"/>
      <x:c r="N2411" s="8" t="n">
        <x:f>DATE(2026,10,15)-DATE(2026,4,27)</x:f>
        <x:v>171</x:v>
      </x:c>
      <x:c r="O2411" s="2"/>
      <x:c r="P2411" s="2"/>
      <x:c r="Q2411" s="2" t="str">
        <x:v>산업전환_외부사업관리Tool_260707_이너젠 수정_LJY_261013.xlsx</x:v>
      </x:c>
      <x:c r="R2411" s="2" t="str">
        <x:v>국내인증</x:v>
      </x:c>
      <x:c r="S2411" s="8" t="n">
        <x:v>729</x:v>
      </x:c>
      <x:c r="T2411" s="2" t="str">
        <x:v>(4/29),(6/16)</x:v>
      </x:c>
      <x:c r="U2411" s="2" t="str">
        <x:v>2026(사전): (4/29),(6/16)</x:v>
      </x:c>
      <x:c r="V2411" s="2" t="str">
        <x:v>2026-07-07</x:v>
      </x:c>
      <x:c r="W2411" s="2" t="str"/>
      <x:c r="X2411" s="2" t="str">
        <x:v>보완 회신 일정 확인</x:v>
      </x:c>
      <x:c r="Y2411" s="2" t="str">
        <x:v>ad210cd9ec132cfd447541c8984dc53d30aff0f4fb2dc92d254d49275cc55976</x:v>
      </x:c>
      <x:c r="Z2411" s="2" t="n">
        <x:f>SUBTOTAL(103,A2411)</x:f>
        <x:v>1</x:v>
      </x:c>
      <x:c r="AA2411" s="2" t="str">
        <x:f>IF(K2411&lt;&gt;"미종결 표시","대상 아님",IF(N2411="","신청일 확인",IF(NOT(ISNUMBER('종합 현황'!$H$5)),"관찰기준 확인",IF('종합 현황'!$H$5&lt;1,"관찰기준 확인",IF(N2411&gt;'종합 현황'!$H$5,"내부 관찰 대상","내부 관찰일 이하")))))</x:f>
        <x:v>내부 관찰 대상</x:v>
      </x:c>
      <x:c r="AB2411" s="2"/>
    </x:row>
    <x:row r="2412" ht="42" customHeight="1">
      <x:c r="A2412" s="2" t="str">
        <x:v>b08b56f0eb9740afccb18db5</x:v>
      </x:c>
      <x:c r="B2412" s="2" t="str">
        <x:v>감축량 인증</x:v>
      </x:c>
      <x:c r="C2412" s="2" t="str">
        <x:v>국내</x:v>
      </x:c>
      <x:c r="D2412" s="7" t="str">
        <x:v>㈜규원이엔지 바이오매스 연료기반 열에너지 공급으로 수용가 화석연료 사용량 절감 사업</x:v>
      </x:c>
      <x:c r="E2412" s="2" t="str">
        <x:v>652</x:v>
      </x:c>
      <x:c r="F2412" s="2" t="str">
        <x:v>2026-05-18</x:v>
      </x:c>
      <x:c r="G2412" s="2" t="str">
        <x:v>2026</x:v>
      </x:c>
      <x:c r="H2412" s="2" t="str">
        <x:v>05</x:v>
      </x:c>
      <x:c r="I2412" s="2" t="str">
        <x:v>협의검토중</x:v>
      </x:c>
      <x:c r="J2412" s="2" t="str">
        <x:v>보완요청</x:v>
      </x:c>
      <x:c r="K2412" s="2" t="str">
        <x:f>IF(OR(J2412="심의승인",J2412="반려",J2412="반려완료",J2412="심의완료"),"종결 표시",IF(OR(J2412="기후부협의",J2412="문서재제출요청",J2412="보류",J2412="보완요청",J2412="보완완료",J2412="평가중",J2412="반려요청",J2412="평가필요",LEFT(J2412,5)="보완요청("),"미종결 표시","상태 확인 필요"))</x:f>
        <x:v>미종결 표시</x:v>
      </x:c>
      <x:c r="L2412" s="2" t="str">
        <x:v>에코시안_조영우</x:v>
      </x:c>
      <x:c r="M2412" s="2"/>
      <x:c r="N2412" s="8" t="n">
        <x:f>DATE(2026,10,15)-DATE(2026,5,18)</x:f>
        <x:v>150</x:v>
      </x:c>
      <x:c r="O2412" s="2"/>
      <x:c r="P2412" s="2"/>
      <x:c r="Q2412" s="2" t="str">
        <x:v>산업전환_외부사업관리Tool_260707_이너젠 수정_LJY_261013.xlsx</x:v>
      </x:c>
      <x:c r="R2412" s="2" t="str">
        <x:v>국내인증</x:v>
      </x:c>
      <x:c r="S2412" s="8" t="n">
        <x:v>730</x:v>
      </x:c>
      <x:c r="T2412" s="2" t="str">
        <x:v>(5/26)</x:v>
      </x:c>
      <x:c r="U2412" s="2" t="str">
        <x:v>2026(사전): (5/26)</x:v>
      </x:c>
      <x:c r="V2412" s="2" t="str">
        <x:v>2026-09-07</x:v>
      </x:c>
      <x:c r="W2412" s="2" t="str"/>
      <x:c r="X2412" s="2" t="str">
        <x:v>보완 회신 일정 확인</x:v>
      </x:c>
      <x:c r="Y2412" s="2" t="str">
        <x:v>ad210cd9ec132cfd447541c8984dc53d30aff0f4fb2dc92d254d49275cc55976</x:v>
      </x:c>
      <x:c r="Z2412" s="2" t="n">
        <x:f>SUBTOTAL(103,A2412)</x:f>
        <x:v>1</x:v>
      </x:c>
      <x:c r="AA2412" s="2" t="str">
        <x:f>IF(K2412&lt;&gt;"미종결 표시","대상 아님",IF(N2412="","신청일 확인",IF(NOT(ISNUMBER('종합 현황'!$H$5)),"관찰기준 확인",IF('종합 현황'!$H$5&lt;1,"관찰기준 확인",IF(N2412&gt;'종합 현황'!$H$5,"내부 관찰 대상","내부 관찰일 이하")))))</x:f>
        <x:v>내부 관찰 대상</x:v>
      </x:c>
      <x:c r="AB2412" s="2"/>
    </x:row>
    <x:row r="2413" ht="42" customHeight="1">
      <x:c r="A2413" s="2" t="str">
        <x:v>4d409687109350dc4d3f2999</x:v>
      </x:c>
      <x:c r="B2413" s="2" t="str">
        <x:v>감축량 인증</x:v>
      </x:c>
      <x:c r="C2413" s="2" t="str">
        <x:v>국내</x:v>
      </x:c>
      <x:c r="D2413" s="7" t="str">
        <x:v>공동주택 태양광 발전사업 2011-LH-001-01457</x:v>
      </x:c>
      <x:c r="E2413" s="2" t="str">
        <x:v>654</x:v>
      </x:c>
      <x:c r="F2413" s="2" t="str">
        <x:v>2026-07-29</x:v>
      </x:c>
      <x:c r="G2413" s="2" t="str">
        <x:v>2026</x:v>
      </x:c>
      <x:c r="H2413" s="2" t="str">
        <x:v>07</x:v>
      </x:c>
      <x:c r="I2413" s="2" t="str">
        <x:v>신청</x:v>
      </x:c>
      <x:c r="J2413" s="2"/>
      <x:c r="K2413" s="2" t="str">
        <x:f>IF(OR(J2413="심의승인",J2413="반려",J2413="반려완료",J2413="심의완료"),"종결 표시",IF(OR(J2413="기후부협의",J2413="문서재제출요청",J2413="보류",J2413="보완요청",J2413="보완완료",J2413="평가중",J2413="반려요청",J2413="평가필요",LEFT(J2413,5)="보완요청("),"미종결 표시","상태 확인 필요"))</x:f>
        <x:v>상태 확인 필요</x:v>
      </x:c>
      <x:c r="L2413" s="2"/>
      <x:c r="M2413" s="2"/>
      <x:c r="N2413" s="8" t="n">
        <x:f>DATE(2026,10,15)-DATE(2026,7,29)</x:f>
        <x:v>78</x:v>
      </x:c>
      <x:c r="O2413" s="2"/>
      <x:c r="P2413" s="2"/>
      <x:c r="Q2413" s="2" t="str">
        <x:v>산업전환_외부사업관리Tool_260707_이너젠 수정_LJY_261013.xlsx</x:v>
      </x:c>
      <x:c r="R2413" s="2" t="str">
        <x:v>국내인증</x:v>
      </x:c>
      <x:c r="S2413" s="8" t="n">
        <x:v>731</x:v>
      </x:c>
      <x:c r="T2413" s="2"/>
      <x:c r="U2413" s="2" t="str"/>
      <x:c r="V2413" s="2" t="str">
        <x:v>2026-07-29</x:v>
      </x:c>
      <x:c r="W2413" s="2" t="str">
        <x:v>담당기관 확인 / 종결 여부 확인</x:v>
      </x:c>
      <x:c r="X2413" s="2" t="str">
        <x:v>원본·배정 기록 확인</x:v>
      </x:c>
      <x:c r="Y2413" s="2" t="str">
        <x:v>ad210cd9ec132cfd447541c8984dc53d30aff0f4fb2dc92d254d49275cc55976</x:v>
      </x:c>
      <x:c r="Z2413" s="2" t="n">
        <x:f>SUBTOTAL(103,A2413)</x:f>
        <x:v>1</x:v>
      </x:c>
      <x:c r="AA2413" s="2" t="str">
        <x:f>IF(K2413&lt;&gt;"미종결 표시","대상 아님",IF(N2413="","신청일 확인",IF(NOT(ISNUMBER('종합 현황'!$H$5)),"관찰기준 확인",IF('종합 현황'!$H$5&lt;1,"관찰기준 확인",IF(N2413&gt;'종합 현황'!$H$5,"내부 관찰 대상","내부 관찰일 이하")))))</x:f>
        <x:v>대상 아님</x:v>
      </x:c>
      <x:c r="AB2413" s="2"/>
    </x:row>
    <x:row r="2414" ht="42" customHeight="1">
      <x:c r="A2414" s="2" t="str">
        <x:v>77e6d0cba530d6ae0a275ad0</x:v>
      </x:c>
      <x:c r="B2414" s="2" t="str">
        <x:v>감축량 인증</x:v>
      </x:c>
      <x:c r="C2414" s="2" t="str">
        <x:v>국내</x:v>
      </x:c>
      <x:c r="D2414" s="7" t="str">
        <x:v>공동주택 태양광 발전사업 2016-LH-001-05826</x:v>
      </x:c>
      <x:c r="E2414" s="2" t="str">
        <x:v>757</x:v>
      </x:c>
      <x:c r="F2414" s="2" t="str">
        <x:v>2026-09-04</x:v>
      </x:c>
      <x:c r="G2414" s="2" t="str">
        <x:v>2026</x:v>
      </x:c>
      <x:c r="H2414" s="2" t="str">
        <x:v>09</x:v>
      </x:c>
      <x:c r="I2414" s="2" t="str">
        <x:v>신청</x:v>
      </x:c>
      <x:c r="J2414" s="2"/>
      <x:c r="K2414" s="2" t="str">
        <x:f>IF(OR(J2414="심의승인",J2414="반려",J2414="반려완료",J2414="심의완료"),"종결 표시",IF(OR(J2414="기후부협의",J2414="문서재제출요청",J2414="보류",J2414="보완요청",J2414="보완완료",J2414="평가중",J2414="반려요청",J2414="평가필요",LEFT(J2414,5)="보완요청("),"미종결 표시","상태 확인 필요"))</x:f>
        <x:v>상태 확인 필요</x:v>
      </x:c>
      <x:c r="L2414" s="2"/>
      <x:c r="M2414" s="2"/>
      <x:c r="N2414" s="8" t="n">
        <x:f>DATE(2026,10,15)-DATE(2026,9,4)</x:f>
        <x:v>41</x:v>
      </x:c>
      <x:c r="O2414" s="2"/>
      <x:c r="P2414" s="2"/>
      <x:c r="Q2414" s="2" t="str">
        <x:v>산업전환_외부사업관리Tool_260707_이너젠 수정_LJY_261013.xlsx</x:v>
      </x:c>
      <x:c r="R2414" s="2" t="str">
        <x:v>국내인증</x:v>
      </x:c>
      <x:c r="S2414" s="8" t="n">
        <x:v>732</x:v>
      </x:c>
      <x:c r="T2414" s="2"/>
      <x:c r="U2414" s="2" t="str"/>
      <x:c r="V2414" s="2" t="str">
        <x:v>2026-09-04</x:v>
      </x:c>
      <x:c r="W2414" s="2" t="str">
        <x:v>담당기관 확인 / 종결 여부 확인</x:v>
      </x:c>
      <x:c r="X2414" s="2" t="str">
        <x:v>원본·배정 기록 확인</x:v>
      </x:c>
      <x:c r="Y2414" s="2" t="str">
        <x:v>ad210cd9ec132cfd447541c8984dc53d30aff0f4fb2dc92d254d49275cc55976</x:v>
      </x:c>
      <x:c r="Z2414" s="2" t="n">
        <x:f>SUBTOTAL(103,A2414)</x:f>
        <x:v>1</x:v>
      </x:c>
      <x:c r="AA2414" s="2" t="str">
        <x:f>IF(K2414&lt;&gt;"미종결 표시","대상 아님",IF(N2414="","신청일 확인",IF(NOT(ISNUMBER('종합 현황'!$H$5)),"관찰기준 확인",IF('종합 현황'!$H$5&lt;1,"관찰기준 확인",IF(N2414&gt;'종합 현황'!$H$5,"내부 관찰 대상","내부 관찰일 이하")))))</x:f>
        <x:v>대상 아님</x:v>
      </x:c>
      <x:c r="AB2414" s="2"/>
    </x:row>
    <x:row r="2415" ht="42" customHeight="1">
      <x:c r="A2415" s="2" t="str">
        <x:v>7c4515b27853ccf88c5edc8d</x:v>
      </x:c>
      <x:c r="B2415" s="2" t="str">
        <x:v>감축량 인증</x:v>
      </x:c>
      <x:c r="C2415" s="2" t="str">
        <x:v>국내</x:v>
      </x:c>
      <x:c r="D2415" s="7" t="str">
        <x:v>공동주택 태양광 발전사업 2019-LH-001-02396</x:v>
      </x:c>
      <x:c r="E2415" s="2" t="str">
        <x:v>760</x:v>
      </x:c>
      <x:c r="F2415" s="2" t="str">
        <x:v>2026-08-10</x:v>
      </x:c>
      <x:c r="G2415" s="2" t="str">
        <x:v>2026</x:v>
      </x:c>
      <x:c r="H2415" s="2" t="str">
        <x:v>08</x:v>
      </x:c>
      <x:c r="I2415" s="2" t="str">
        <x:v>신청</x:v>
      </x:c>
      <x:c r="J2415" s="2"/>
      <x:c r="K2415" s="2" t="str">
        <x:f>IF(OR(J2415="심의승인",J2415="반려",J2415="반려완료",J2415="심의완료"),"종결 표시",IF(OR(J2415="기후부협의",J2415="문서재제출요청",J2415="보류",J2415="보완요청",J2415="보완완료",J2415="평가중",J2415="반려요청",J2415="평가필요",LEFT(J2415,5)="보완요청("),"미종결 표시","상태 확인 필요"))</x:f>
        <x:v>상태 확인 필요</x:v>
      </x:c>
      <x:c r="L2415" s="2"/>
      <x:c r="M2415" s="2"/>
      <x:c r="N2415" s="8" t="n">
        <x:f>DATE(2026,10,15)-DATE(2026,8,10)</x:f>
        <x:v>66</x:v>
      </x:c>
      <x:c r="O2415" s="2"/>
      <x:c r="P2415" s="2"/>
      <x:c r="Q2415" s="2" t="str">
        <x:v>산업전환_외부사업관리Tool_260707_이너젠 수정_LJY_261013.xlsx</x:v>
      </x:c>
      <x:c r="R2415" s="2" t="str">
        <x:v>국내인증</x:v>
      </x:c>
      <x:c r="S2415" s="8" t="n">
        <x:v>733</x:v>
      </x:c>
      <x:c r="T2415" s="2"/>
      <x:c r="U2415" s="2" t="str"/>
      <x:c r="V2415" s="2" t="str">
        <x:v>2026-08-10</x:v>
      </x:c>
      <x:c r="W2415" s="2" t="str">
        <x:v>담당기관 확인 / 종결 여부 확인</x:v>
      </x:c>
      <x:c r="X2415" s="2" t="str">
        <x:v>원본·배정 기록 확인</x:v>
      </x:c>
      <x:c r="Y2415" s="2" t="str">
        <x:v>ad210cd9ec132cfd447541c8984dc53d30aff0f4fb2dc92d254d49275cc55976</x:v>
      </x:c>
      <x:c r="Z2415" s="2" t="n">
        <x:f>SUBTOTAL(103,A2415)</x:f>
        <x:v>1</x:v>
      </x:c>
      <x:c r="AA2415" s="2" t="str">
        <x:f>IF(K2415&lt;&gt;"미종결 표시","대상 아님",IF(N2415="","신청일 확인",IF(NOT(ISNUMBER('종합 현황'!$H$5)),"관찰기준 확인",IF('종합 현황'!$H$5&lt;1,"관찰기준 확인",IF(N2415&gt;'종합 현황'!$H$5,"내부 관찰 대상","내부 관찰일 이하")))))</x:f>
        <x:v>대상 아님</x:v>
      </x:c>
      <x:c r="AB2415" s="2"/>
    </x:row>
    <x:row r="2416" ht="42" customHeight="1">
      <x:c r="A2416" s="2" t="str">
        <x:v>391cbeeb5a0aee746009e2a9</x:v>
      </x:c>
      <x:c r="B2416" s="2" t="str">
        <x:v>감축량 인증</x:v>
      </x:c>
      <x:c r="C2416" s="2" t="str">
        <x:v>국외</x:v>
      </x:c>
      <x:c r="D2416" s="7" t="str">
        <x:v>가정 조리용 비재생연료의 온실가스 배출 저감 정책 감축사업</x:v>
      </x:c>
      <x:c r="E2416" s="2" t="str">
        <x:v>1</x:v>
      </x:c>
      <x:c r="F2416" s="2" t="str">
        <x:v>2020-03-02</x:v>
      </x:c>
      <x:c r="G2416" s="2" t="str">
        <x:v>2020</x:v>
      </x:c>
      <x:c r="H2416" s="2" t="str">
        <x:v>03</x:v>
      </x:c>
      <x:c r="I2416" s="2" t="str">
        <x:v>심의승인</x:v>
      </x:c>
      <x:c r="J2416" s="2" t="str">
        <x:v>심의승인</x:v>
      </x:c>
      <x:c r="K2416" s="2" t="str">
        <x:f>IF(OR(J2416="심의승인",J2416="반려",J2416="반려완료",J2416="심의완료"),"종결 표시",IF(OR(J2416="기후부협의",J2416="문서재제출요청",J2416="보류",J2416="보완요청",J2416="보완완료",J2416="평가중",J2416="반려요청",J2416="평가필요",LEFT(J2416,5)="보완요청("),"미종결 표시","상태 확인 필요"))</x:f>
        <x:v>종결 표시</x:v>
      </x:c>
      <x:c r="L2416" s="2"/>
      <x:c r="M2416" s="2"/>
      <x:c r="N2416" s="8" t="n">
        <x:f>DATE(2026,10,15)-DATE(2020,3,2)</x:f>
        <x:v>2418</x:v>
      </x:c>
      <x:c r="O2416" s="2"/>
      <x:c r="P2416" s="2"/>
      <x:c r="Q2416" s="2" t="str">
        <x:v>산업전환_외부사업관리Tool_260707_이너젠 수정_LJY_261013.xlsx</x:v>
      </x:c>
      <x:c r="R2416" s="2" t="str">
        <x:v>국외인증</x:v>
      </x:c>
      <x:c r="S2416" s="8" t="n">
        <x:v>3</x:v>
      </x:c>
      <x:c r="T2416" s="2"/>
      <x:c r="U2416" s="2" t="str"/>
      <x:c r="V2416" s="2" t="str">
        <x:v>2021-06-21</x:v>
      </x:c>
      <x:c r="W2416" s="2" t="str">
        <x:v>담당기관 확인</x:v>
      </x:c>
      <x:c r="X2416" s="2" t="str">
        <x:v>원본·배정 기록 확인</x:v>
      </x:c>
      <x:c r="Y2416" s="2" t="str">
        <x:v>ad210cd9ec132cfd447541c8984dc53d30aff0f4fb2dc92d254d49275cc55976</x:v>
      </x:c>
      <x:c r="Z2416" s="2" t="n">
        <x:f>SUBTOTAL(103,A2416)</x:f>
        <x:v>1</x:v>
      </x:c>
      <x:c r="AA2416" s="2" t="str">
        <x:f>IF(K2416&lt;&gt;"미종결 표시","대상 아님",IF(N2416="","신청일 확인",IF(NOT(ISNUMBER('종합 현황'!$H$5)),"관찰기준 확인",IF('종합 현황'!$H$5&lt;1,"관찰기준 확인",IF(N2416&gt;'종합 현황'!$H$5,"내부 관찰 대상","내부 관찰일 이하")))))</x:f>
        <x:v>대상 아님</x:v>
      </x:c>
      <x:c r="AB2416" s="2" t="str">
        <x:v>2020-03-02 13:30 - 신청
2020-03-09 09:10 - 문서재제출요청
2020-03-09 14:08 - 신청
2020-03-10 13:41 - 문서재제출요청
2020-03-10 14:06 - 신청
2020-05-29 17:07 - 문서재제출요청
2020-06-19 13:05 - 신청
2020-06-23 11:20 - 문서재제출요청
2020-06-23 14:50 - 신청
2020-09-11 16:22 - 문서재제출요청
2020-09-15 13:31 - 신청
2020-11-25 09:30 - 문서재제출요청
2020-12-03 15:05 - 신청
2021-01-25 13:29 - 문서재제출요청
2021-01-25 14:28 - 신청
2021-03-05 14:53 - 검토승인
2021-06-21 16:45 - 심의승인</x:v>
      </x:c>
    </x:row>
    <x:row r="2417" ht="42" customHeight="1">
      <x:c r="A2417" s="2" t="str">
        <x:v>970b28cdfba8deda36c92bb3</x:v>
      </x:c>
      <x:c r="B2417" s="2" t="str">
        <x:v>감축량 인증</x:v>
      </x:c>
      <x:c r="C2417" s="2" t="str">
        <x:v>국외</x:v>
      </x:c>
      <x:c r="D2417" s="7" t="str">
        <x:v>사하라 이남 아프리카 고효율 쿡스토브 보급 사업-나이지리아-CPA003(1)</x:v>
      </x:c>
      <x:c r="E2417" s="2" t="str">
        <x:v>2</x:v>
      </x:c>
      <x:c r="F2417" s="2" t="str">
        <x:v>2020-03-03</x:v>
      </x:c>
      <x:c r="G2417" s="2" t="str">
        <x:v>2020</x:v>
      </x:c>
      <x:c r="H2417" s="2" t="str">
        <x:v>03</x:v>
      </x:c>
      <x:c r="I2417" s="2" t="str">
        <x:v>검토반려</x:v>
      </x:c>
      <x:c r="J2417" s="2" t="str">
        <x:v>반려</x:v>
      </x:c>
      <x:c r="K2417" s="2" t="str">
        <x:f>IF(OR(J2417="심의승인",J2417="반려",J2417="반려완료",J2417="심의완료"),"종결 표시",IF(OR(J2417="기후부협의",J2417="문서재제출요청",J2417="보류",J2417="보완요청",J2417="보완완료",J2417="평가중",J2417="반려요청",J2417="평가필요",LEFT(J2417,5)="보완요청("),"미종결 표시","상태 확인 필요"))</x:f>
        <x:v>종결 표시</x:v>
      </x:c>
      <x:c r="L2417" s="2"/>
      <x:c r="M2417" s="2"/>
      <x:c r="N2417" s="8" t="n">
        <x:f>DATE(2026,10,15)-DATE(2020,3,3)</x:f>
        <x:v>2417</x:v>
      </x:c>
      <x:c r="O2417" s="2"/>
      <x:c r="P2417" s="2"/>
      <x:c r="Q2417" s="2" t="str">
        <x:v>산업전환_외부사업관리Tool_260707_이너젠 수정_LJY_261013.xlsx</x:v>
      </x:c>
      <x:c r="R2417" s="2" t="str">
        <x:v>국외인증</x:v>
      </x:c>
      <x:c r="S2417" s="8" t="n">
        <x:v>4</x:v>
      </x:c>
      <x:c r="T2417" s="2"/>
      <x:c r="U2417" s="2" t="str"/>
      <x:c r="V2417" s="2" t="str">
        <x:v>2021-07-21</x:v>
      </x:c>
      <x:c r="W2417" s="2" t="str">
        <x:v>담당기관 확인</x:v>
      </x:c>
      <x:c r="X2417" s="2" t="str">
        <x:v>원본·배정 기록 확인</x:v>
      </x:c>
      <x:c r="Y2417" s="2" t="str">
        <x:v>ad210cd9ec132cfd447541c8984dc53d30aff0f4fb2dc92d254d49275cc55976</x:v>
      </x:c>
      <x:c r="Z2417" s="2" t="n">
        <x:f>SUBTOTAL(103,A2417)</x:f>
        <x:v>1</x:v>
      </x:c>
      <x:c r="AA2417" s="2" t="str">
        <x:f>IF(K2417&lt;&gt;"미종결 표시","대상 아님",IF(N2417="","신청일 확인",IF(NOT(ISNUMBER('종합 현황'!$H$5)),"관찰기준 확인",IF('종합 현황'!$H$5&lt;1,"관찰기준 확인",IF(N2417&gt;'종합 현황'!$H$5,"내부 관찰 대상","내부 관찰일 이하")))))</x:f>
        <x:v>대상 아님</x:v>
      </x:c>
      <x:c r="AB2417" s="2" t="str">
        <x:v>2020-03-03 13:56 - 신청
2020-03-10 13:41 - 문서재제출요청
2020-03-10 14:06 - 신청
2020-05-29 17:00 - 문서재제출요청
2021-07-21 17:58 - 신청
2021-07-21 18:11 - 검토반려</x:v>
      </x:c>
    </x:row>
    <x:row r="2418" ht="42" customHeight="1">
      <x:c r="A2418" s="2" t="str">
        <x:v>aa17054625642167d01557e2</x:v>
      </x:c>
      <x:c r="B2418" s="2" t="str">
        <x:v>감축량 인증</x:v>
      </x:c>
      <x:c r="C2418" s="2" t="str">
        <x:v>국외</x:v>
      </x:c>
      <x:c r="D2418" s="7" t="str">
        <x:v>사하라 이남 아프리카 고효율 쿡스토브 보급 사업-말라위-CPA002</x:v>
      </x:c>
      <x:c r="E2418" s="2" t="str">
        <x:v>3</x:v>
      </x:c>
      <x:c r="F2418" s="2" t="str">
        <x:v>2020-03-03</x:v>
      </x:c>
      <x:c r="G2418" s="2" t="str">
        <x:v>2020</x:v>
      </x:c>
      <x:c r="H2418" s="2" t="str">
        <x:v>03</x:v>
      </x:c>
      <x:c r="I2418" s="2" t="str">
        <x:v>심의승인</x:v>
      </x:c>
      <x:c r="J2418" s="2" t="str">
        <x:v>심의승인</x:v>
      </x:c>
      <x:c r="K2418" s="2" t="str">
        <x:f>IF(OR(J2418="심의승인",J2418="반려",J2418="반려완료",J2418="심의완료"),"종결 표시",IF(OR(J2418="기후부협의",J2418="문서재제출요청",J2418="보류",J2418="보완요청",J2418="보완완료",J2418="평가중",J2418="반려요청",J2418="평가필요",LEFT(J2418,5)="보완요청("),"미종결 표시","상태 확인 필요"))</x:f>
        <x:v>종결 표시</x:v>
      </x:c>
      <x:c r="L2418" s="2" t="str">
        <x:v>KECM</x:v>
      </x:c>
      <x:c r="M2418" s="2"/>
      <x:c r="N2418" s="8" t="n">
        <x:f>DATE(2026,10,15)-DATE(2020,3,3)</x:f>
        <x:v>2417</x:v>
      </x:c>
      <x:c r="O2418" s="2"/>
      <x:c r="P2418" s="2"/>
      <x:c r="Q2418" s="2" t="str">
        <x:v>산업전환_외부사업관리Tool_260707_이너젠 수정_LJY_261013.xlsx</x:v>
      </x:c>
      <x:c r="R2418" s="2" t="str">
        <x:v>국외인증</x:v>
      </x:c>
      <x:c r="S2418" s="8" t="n">
        <x:v>5</x:v>
      </x:c>
      <x:c r="T2418" s="2"/>
      <x:c r="U2418" s="2" t="str"/>
      <x:c r="V2418" s="2" t="str">
        <x:v>2021-10-07</x:v>
      </x:c>
      <x:c r="W2418" s="2" t="str"/>
      <x:c r="X2418" s="2" t="str">
        <x:v>종결 근거 보관</x:v>
      </x:c>
      <x:c r="Y2418" s="2" t="str">
        <x:v>ad210cd9ec132cfd447541c8984dc53d30aff0f4fb2dc92d254d49275cc55976</x:v>
      </x:c>
      <x:c r="Z2418" s="2" t="n">
        <x:f>SUBTOTAL(103,A2418)</x:f>
        <x:v>1</x:v>
      </x:c>
      <x:c r="AA2418" s="2" t="str">
        <x:f>IF(K2418&lt;&gt;"미종결 표시","대상 아님",IF(N2418="","신청일 확인",IF(NOT(ISNUMBER('종합 현황'!$H$5)),"관찰기준 확인",IF('종합 현황'!$H$5&lt;1,"관찰기준 확인",IF(N2418&gt;'종합 현황'!$H$5,"내부 관찰 대상","내부 관찰일 이하")))))</x:f>
        <x:v>대상 아님</x:v>
      </x:c>
      <x:c r="AB2418" s="2" t="str">
        <x:v>2020-03-03 13:55 - 신청
2020-03-10 13:40 - 문서재제출요청
2020-03-10 14:05 - 신청
2020-05-29 16:59 - 문서재제출요청
2021-01-27 15:38 - 신청
2021-02-01 13:07 - 문서재제출요청
2021-03-11 14:49 - 신청
2021-03-30 13:37 - 문서재제출요청
2021-03-30 13:44 - 신청
2021-03-31 14:29 - 문서재제출요청
2021-04-02 13:04 - 신청
2021-06-09 16:03 - 문서재제출요청
2021-07-22 15:15 - 신청
2021-08-06 09:36 - 문서재제출요청
2021-08-06 11:55 - 신청
2021-08-24 10:21 - 문서재제출요청
2021-08-24 11:30 - 신청
2021-09-27 10:27 - 검토승인
2021-10-07 17:45 - 심의승인</x:v>
      </x:c>
    </x:row>
    <x:row r="2419" ht="42" customHeight="1">
      <x:c r="A2419" s="2" t="str">
        <x:v>8f089720d932ae8e02a7f1e8</x:v>
      </x:c>
      <x:c r="B2419" s="2" t="str">
        <x:v>감축량 인증</x:v>
      </x:c>
      <x:c r="C2419" s="2" t="str">
        <x:v>국외</x:v>
      </x:c>
      <x:c r="D2419" s="7" t="str">
        <x:v>과테말라 오닐 스토브 보급 사업 - CPA 003</x:v>
      </x:c>
      <x:c r="E2419" s="2" t="str">
        <x:v>4</x:v>
      </x:c>
      <x:c r="F2419" s="2" t="str">
        <x:v>2020-03-06</x:v>
      </x:c>
      <x:c r="G2419" s="2" t="str">
        <x:v>2020</x:v>
      </x:c>
      <x:c r="H2419" s="2" t="str">
        <x:v>03</x:v>
      </x:c>
      <x:c r="I2419" s="2" t="str">
        <x:v>심의승인</x:v>
      </x:c>
      <x:c r="J2419" s="2" t="str">
        <x:v>심의승인</x:v>
      </x:c>
      <x:c r="K2419" s="2" t="str">
        <x:f>IF(OR(J2419="심의승인",J2419="반려",J2419="반려완료",J2419="심의완료"),"종결 표시",IF(OR(J2419="기후부협의",J2419="문서재제출요청",J2419="보류",J2419="보완요청",J2419="보완완료",J2419="평가중",J2419="반려요청",J2419="평가필요",LEFT(J2419,5)="보완요청("),"미종결 표시","상태 확인 필요"))</x:f>
        <x:v>종결 표시</x:v>
      </x:c>
      <x:c r="L2419" s="2" t="str">
        <x:v>에코시안_배윤빈</x:v>
      </x:c>
      <x:c r="M2419" s="2"/>
      <x:c r="N2419" s="8" t="n">
        <x:f>DATE(2026,10,15)-DATE(2020,3,6)</x:f>
        <x:v>2414</x:v>
      </x:c>
      <x:c r="O2419" s="2"/>
      <x:c r="P2419" s="2"/>
      <x:c r="Q2419" s="2" t="str">
        <x:v>산업전환_외부사업관리Tool_260707_이너젠 수정_LJY_261013.xlsx</x:v>
      </x:c>
      <x:c r="R2419" s="2" t="str">
        <x:v>국외인증</x:v>
      </x:c>
      <x:c r="S2419" s="8" t="n">
        <x:v>6</x:v>
      </x:c>
      <x:c r="T2419" s="2"/>
      <x:c r="U2419" s="2" t="str"/>
      <x:c r="V2419" s="2" t="str">
        <x:v>2021-10-07</x:v>
      </x:c>
      <x:c r="W2419" s="2" t="str"/>
      <x:c r="X2419" s="2" t="str">
        <x:v>종결 근거 보관</x:v>
      </x:c>
      <x:c r="Y2419" s="2" t="str">
        <x:v>ad210cd9ec132cfd447541c8984dc53d30aff0f4fb2dc92d254d49275cc55976</x:v>
      </x:c>
      <x:c r="Z2419" s="2" t="n">
        <x:f>SUBTOTAL(103,A2419)</x:f>
        <x:v>1</x:v>
      </x:c>
      <x:c r="AA2419" s="2" t="str">
        <x:f>IF(K2419&lt;&gt;"미종결 표시","대상 아님",IF(N2419="","신청일 확인",IF(NOT(ISNUMBER('종합 현황'!$H$5)),"관찰기준 확인",IF('종합 현황'!$H$5&lt;1,"관찰기준 확인",IF(N2419&gt;'종합 현황'!$H$5,"내부 관찰 대상","내부 관찰일 이하")))))</x:f>
        <x:v>대상 아님</x:v>
      </x:c>
      <x:c r="AB2419" s="2" t="str">
        <x:v>2020-03-06 14:04 - 신청
2020-03-10 13:41 - 문서재제출요청
2020-03-10 14:06 - 신청
2020-05-29 17:06 - 문서재제출요청
2021-01-27 15:14 - 신청
2021-02-01 13:07 - 문서재제출요청
2021-04-01 13:28 - 신청
2021-04-19 10:04 - 문서재제출요청
2021-04-19 15:38 - 신청
2021-06-09 16:05 - 문서재제출요청
2021-07-23 11:43 - 신청
2021-08-24 10:20 - 문서재제출요청
2021-08-24 11:20 - 신청
2021-09-27 10:24 - 검토승인
2021-10-07 17:49 - 심의승인</x:v>
      </x:c>
    </x:row>
    <x:row r="2420" ht="42" customHeight="1">
      <x:c r="A2420" s="2" t="str">
        <x:v>a991783f13a2d859f97181a8</x:v>
      </x:c>
      <x:c r="B2420" s="2" t="str">
        <x:v>감축량 인증</x:v>
      </x:c>
      <x:c r="C2420" s="2" t="str">
        <x:v>국외</x:v>
      </x:c>
      <x:c r="D2420" s="7" t="str">
        <x:v>대한민국이 지원하는 방글라데시 고효율 쿡스토브 프로그램 - CPA01</x:v>
      </x:c>
      <x:c r="E2420" s="2" t="str">
        <x:v>5</x:v>
      </x:c>
      <x:c r="F2420" s="2" t="str">
        <x:v>2020-07-21</x:v>
      </x:c>
      <x:c r="G2420" s="2" t="str">
        <x:v>2020</x:v>
      </x:c>
      <x:c r="H2420" s="2" t="str">
        <x:v>07</x:v>
      </x:c>
      <x:c r="I2420" s="2" t="str">
        <x:v>심의승인</x:v>
      </x:c>
      <x:c r="J2420" s="2" t="str">
        <x:v>심의승인</x:v>
      </x:c>
      <x:c r="K2420" s="2" t="str">
        <x:f>IF(OR(J2420="심의승인",J2420="반려",J2420="반려완료",J2420="심의완료"),"종결 표시",IF(OR(J2420="기후부협의",J2420="문서재제출요청",J2420="보류",J2420="보완요청",J2420="보완완료",J2420="평가중",J2420="반려요청",J2420="평가필요",LEFT(J2420,5)="보완요청("),"미종결 표시","상태 확인 필요"))</x:f>
        <x:v>종결 표시</x:v>
      </x:c>
      <x:c r="L2420" s="2"/>
      <x:c r="M2420" s="2"/>
      <x:c r="N2420" s="8" t="n">
        <x:f>DATE(2026,10,15)-DATE(2020,7,21)</x:f>
        <x:v>2277</x:v>
      </x:c>
      <x:c r="O2420" s="2"/>
      <x:c r="P2420" s="2"/>
      <x:c r="Q2420" s="2" t="str">
        <x:v>산업전환_외부사업관리Tool_260707_이너젠 수정_LJY_261013.xlsx</x:v>
      </x:c>
      <x:c r="R2420" s="2" t="str">
        <x:v>국외인증</x:v>
      </x:c>
      <x:c r="S2420" s="8" t="n">
        <x:v>7</x:v>
      </x:c>
      <x:c r="T2420" s="2"/>
      <x:c r="U2420" s="2" t="str"/>
      <x:c r="V2420" s="2" t="str">
        <x:v>2021-06-21</x:v>
      </x:c>
      <x:c r="W2420" s="2" t="str">
        <x:v>담당기관 확인</x:v>
      </x:c>
      <x:c r="X2420" s="2" t="str">
        <x:v>원본·배정 기록 확인</x:v>
      </x:c>
      <x:c r="Y2420" s="2" t="str">
        <x:v>ad210cd9ec132cfd447541c8984dc53d30aff0f4fb2dc92d254d49275cc55976</x:v>
      </x:c>
      <x:c r="Z2420" s="2" t="n">
        <x:f>SUBTOTAL(103,A2420)</x:f>
        <x:v>1</x:v>
      </x:c>
      <x:c r="AA2420" s="2" t="str">
        <x:f>IF(K2420&lt;&gt;"미종결 표시","대상 아님",IF(N2420="","신청일 확인",IF(NOT(ISNUMBER('종합 현황'!$H$5)),"관찰기준 확인",IF('종합 현황'!$H$5&lt;1,"관찰기준 확인",IF(N2420&gt;'종합 현황'!$H$5,"내부 관찰 대상","내부 관찰일 이하")))))</x:f>
        <x:v>대상 아님</x:v>
      </x:c>
      <x:c r="AB2420" s="2" t="str">
        <x:v>2020-07-21 13:33 - 접수
2020-07-21 13:52 - 신청
2020-08-03 13:38 - 문서재제출요청
2020-08-03 13:45 - 접수
2020-08-03 13:51 - 신청
2020-08-04 13:45 - 문서재제출요청
2020-11-27 13:15 - 접수
2020-11-27 13:21 - 신청
2021-01-25 10:11 - 문서재제출요청
2021-01-25 15:31 - 접수
2021-01-25 15:32 - 신청
2021-03-05 14:56 - 검토승인
2021-06-21 16:49 - 심의승인</x:v>
      </x:c>
    </x:row>
    <x:row r="2421" ht="42" customHeight="1">
      <x:c r="A2421" s="2" t="str">
        <x:v>4cd8616b7b1acc94558fa1a2</x:v>
      </x:c>
      <x:c r="B2421" s="2" t="str">
        <x:v>감축량 인증</x:v>
      </x:c>
      <x:c r="C2421" s="2" t="str">
        <x:v>국외</x:v>
      </x:c>
      <x:c r="D2421" s="7" t="str">
        <x:v>청정 에너지 프로그램 CPA MM 02</x:v>
      </x:c>
      <x:c r="E2421" s="2" t="str">
        <x:v>6</x:v>
      </x:c>
      <x:c r="F2421" s="2" t="str">
        <x:v>2020-03-06</x:v>
      </x:c>
      <x:c r="G2421" s="2" t="str">
        <x:v>2020</x:v>
      </x:c>
      <x:c r="H2421" s="2" t="str">
        <x:v>03</x:v>
      </x:c>
      <x:c r="I2421" s="2" t="str">
        <x:v>심의승인</x:v>
      </x:c>
      <x:c r="J2421" s="2" t="str">
        <x:v>심의승인</x:v>
      </x:c>
      <x:c r="K2421" s="2" t="str">
        <x:f>IF(OR(J2421="심의승인",J2421="반려",J2421="반려완료",J2421="심의완료"),"종결 표시",IF(OR(J2421="기후부협의",J2421="문서재제출요청",J2421="보류",J2421="보완요청",J2421="보완완료",J2421="평가중",J2421="반려요청",J2421="평가필요",LEFT(J2421,5)="보완요청("),"미종결 표시","상태 확인 필요"))</x:f>
        <x:v>종결 표시</x:v>
      </x:c>
      <x:c r="L2421" s="2"/>
      <x:c r="M2421" s="2"/>
      <x:c r="N2421" s="8" t="n">
        <x:f>DATE(2026,10,15)-DATE(2020,3,6)</x:f>
        <x:v>2414</x:v>
      </x:c>
      <x:c r="O2421" s="2"/>
      <x:c r="P2421" s="2"/>
      <x:c r="Q2421" s="2" t="str">
        <x:v>산업전환_외부사업관리Tool_260707_이너젠 수정_LJY_261013.xlsx</x:v>
      </x:c>
      <x:c r="R2421" s="2" t="str">
        <x:v>국외인증</x:v>
      </x:c>
      <x:c r="S2421" s="8" t="n">
        <x:v>8</x:v>
      </x:c>
      <x:c r="T2421" s="2"/>
      <x:c r="U2421" s="2" t="str"/>
      <x:c r="V2421" s="2" t="str">
        <x:v>2021-06-21</x:v>
      </x:c>
      <x:c r="W2421" s="2" t="str">
        <x:v>담당기관 확인</x:v>
      </x:c>
      <x:c r="X2421" s="2" t="str">
        <x:v>원본·배정 기록 확인</x:v>
      </x:c>
      <x:c r="Y2421" s="2" t="str">
        <x:v>ad210cd9ec132cfd447541c8984dc53d30aff0f4fb2dc92d254d49275cc55976</x:v>
      </x:c>
      <x:c r="Z2421" s="2" t="n">
        <x:f>SUBTOTAL(103,A2421)</x:f>
        <x:v>1</x:v>
      </x:c>
      <x:c r="AA2421" s="2" t="str">
        <x:f>IF(K2421&lt;&gt;"미종결 표시","대상 아님",IF(N2421="","신청일 확인",IF(NOT(ISNUMBER('종합 현황'!$H$5)),"관찰기준 확인",IF('종합 현황'!$H$5&lt;1,"관찰기준 확인",IF(N2421&gt;'종합 현황'!$H$5,"내부 관찰 대상","내부 관찰일 이하")))))</x:f>
        <x:v>대상 아님</x:v>
      </x:c>
      <x:c r="AB2421" s="2" t="str">
        <x:v>2020-03-06 16:29 - 신청
2020-05-29 16:58 - 문서재제출요청
2020-06-17 14:16 - 신청
2020-06-23 11:19 - 문서재제출요청
2020-06-23 13:02 - 신청
2020-08-03 16:28 - 문서재제출요청
2020-08-05 13:00 - 신청
2020-09-11 16:23 - 문서재제출요청
2020-09-15 13:30 - 신청
2020-11-25 09:29 - 문서재제출요청
2020-11-27 13:16 - 신청
2021-01-25 10:32 - 문서재제출요청
2021-01-25 15:29 - 신청
2021-01-27 08:56 - 문서재제출요청
2021-01-27 09:11 - 신청
2021-03-05 14:57 - 검토승인
2021-06-21 16:51 - 심의승인</x:v>
      </x:c>
    </x:row>
    <x:row r="2422" ht="42" customHeight="1">
      <x:c r="A2422" s="2" t="str">
        <x:v>171d5d4e161b3331b4974a43</x:v>
      </x:c>
      <x:c r="B2422" s="2" t="str">
        <x:v>감축량 인증</x:v>
      </x:c>
      <x:c r="C2422" s="2" t="str">
        <x:v>국외</x:v>
      </x:c>
      <x:c r="D2422" s="7" t="str">
        <x:v>가정 조리용 비재생연료의 온실가스 배출 저감 정책 감축사업</x:v>
      </x:c>
      <x:c r="E2422" s="2" t="str">
        <x:v>7</x:v>
      </x:c>
      <x:c r="F2422" s="2" t="str">
        <x:v>2020-04-10</x:v>
      </x:c>
      <x:c r="G2422" s="2" t="str">
        <x:v>2020</x:v>
      </x:c>
      <x:c r="H2422" s="2" t="str">
        <x:v>04</x:v>
      </x:c>
      <x:c r="I2422" s="2" t="str">
        <x:v>심의승인</x:v>
      </x:c>
      <x:c r="J2422" s="2" t="str">
        <x:v>심의승인</x:v>
      </x:c>
      <x:c r="K2422" s="2" t="str">
        <x:f>IF(OR(J2422="심의승인",J2422="반려",J2422="반려완료",J2422="심의완료"),"종결 표시",IF(OR(J2422="기후부협의",J2422="문서재제출요청",J2422="보류",J2422="보완요청",J2422="보완완료",J2422="평가중",J2422="반려요청",J2422="평가필요",LEFT(J2422,5)="보완요청("),"미종결 표시","상태 확인 필요"))</x:f>
        <x:v>종결 표시</x:v>
      </x:c>
      <x:c r="L2422" s="2"/>
      <x:c r="M2422" s="2"/>
      <x:c r="N2422" s="8" t="n">
        <x:f>DATE(2026,10,15)-DATE(2020,4,10)</x:f>
        <x:v>2379</x:v>
      </x:c>
      <x:c r="O2422" s="2"/>
      <x:c r="P2422" s="2"/>
      <x:c r="Q2422" s="2" t="str">
        <x:v>산업전환_외부사업관리Tool_260707_이너젠 수정_LJY_261013.xlsx</x:v>
      </x:c>
      <x:c r="R2422" s="2" t="str">
        <x:v>국외인증</x:v>
      </x:c>
      <x:c r="S2422" s="8" t="n">
        <x:v>9</x:v>
      </x:c>
      <x:c r="T2422" s="2"/>
      <x:c r="U2422" s="2" t="str"/>
      <x:c r="V2422" s="2" t="str">
        <x:v>2021-06-21</x:v>
      </x:c>
      <x:c r="W2422" s="2" t="str">
        <x:v>담당기관 확인</x:v>
      </x:c>
      <x:c r="X2422" s="2" t="str">
        <x:v>원본·배정 기록 확인</x:v>
      </x:c>
      <x:c r="Y2422" s="2" t="str">
        <x:v>ad210cd9ec132cfd447541c8984dc53d30aff0f4fb2dc92d254d49275cc55976</x:v>
      </x:c>
      <x:c r="Z2422" s="2" t="n">
        <x:f>SUBTOTAL(103,A2422)</x:f>
        <x:v>1</x:v>
      </x:c>
      <x:c r="AA2422" s="2" t="str">
        <x:f>IF(K2422&lt;&gt;"미종결 표시","대상 아님",IF(N2422="","신청일 확인",IF(NOT(ISNUMBER('종합 현황'!$H$5)),"관찰기준 확인",IF('종합 현황'!$H$5&lt;1,"관찰기준 확인",IF(N2422&gt;'종합 현황'!$H$5,"내부 관찰 대상","내부 관찰일 이하")))))</x:f>
        <x:v>대상 아님</x:v>
      </x:c>
      <x:c r="AB2422" s="2" t="str">
        <x:v>2020-04-10 13:38 - 신청
2020-06-18 11:16 - 문서재제출요청
2020-06-23 15:35 - 신청
2020-09-11 16:22 - 문서재제출요청
2020-09-15 13:31 - 신청
2020-11-25 09:30 - 문서재제출요청
2020-12-03 15:05 - 신청
2021-01-25 13:29 - 문서재제출요청
2021-01-25 14:29 - 신청
2021-01-27 08:56 - 문서재제출요청
2021-01-27 09:12 - 신청
2021-03-05 14:53 - 검토승인
2021-06-21 16:46 - 심의승인</x:v>
      </x:c>
    </x:row>
    <x:row r="2423" ht="42" customHeight="1">
      <x:c r="A2423" s="2" t="str">
        <x:v>b8ef578294360172859176cc</x:v>
      </x:c>
      <x:c r="B2423" s="2" t="str">
        <x:v>감축량 인증</x:v>
      </x:c>
      <x:c r="C2423" s="2" t="str">
        <x:v>국외</x:v>
      </x:c>
      <x:c r="D2423" s="7" t="str">
        <x:v>청정 에너지 프로그램 CPA MM 02</x:v>
      </x:c>
      <x:c r="E2423" s="2" t="str">
        <x:v>8</x:v>
      </x:c>
      <x:c r="F2423" s="2" t="str">
        <x:v>2020-05-21</x:v>
      </x:c>
      <x:c r="G2423" s="2" t="str">
        <x:v>2020</x:v>
      </x:c>
      <x:c r="H2423" s="2" t="str">
        <x:v>05</x:v>
      </x:c>
      <x:c r="I2423" s="2" t="str">
        <x:v>심의승인</x:v>
      </x:c>
      <x:c r="J2423" s="2" t="str">
        <x:v>심의승인</x:v>
      </x:c>
      <x:c r="K2423" s="2" t="str">
        <x:f>IF(OR(J2423="심의승인",J2423="반려",J2423="반려완료",J2423="심의완료"),"종결 표시",IF(OR(J2423="기후부협의",J2423="문서재제출요청",J2423="보류",J2423="보완요청",J2423="보완완료",J2423="평가중",J2423="반려요청",J2423="평가필요",LEFT(J2423,5)="보완요청("),"미종결 표시","상태 확인 필요"))</x:f>
        <x:v>종결 표시</x:v>
      </x:c>
      <x:c r="L2423" s="2"/>
      <x:c r="M2423" s="2"/>
      <x:c r="N2423" s="8" t="n">
        <x:f>DATE(2026,10,15)-DATE(2020,5,21)</x:f>
        <x:v>2338</x:v>
      </x:c>
      <x:c r="O2423" s="2"/>
      <x:c r="P2423" s="2"/>
      <x:c r="Q2423" s="2" t="str">
        <x:v>산업전환_외부사업관리Tool_260707_이너젠 수정_LJY_261013.xlsx</x:v>
      </x:c>
      <x:c r="R2423" s="2" t="str">
        <x:v>국외인증</x:v>
      </x:c>
      <x:c r="S2423" s="8" t="n">
        <x:v>10</x:v>
      </x:c>
      <x:c r="T2423" s="2"/>
      <x:c r="U2423" s="2" t="str"/>
      <x:c r="V2423" s="2" t="str">
        <x:v>2021-06-21</x:v>
      </x:c>
      <x:c r="W2423" s="2" t="str">
        <x:v>담당기관 확인</x:v>
      </x:c>
      <x:c r="X2423" s="2" t="str">
        <x:v>원본·배정 기록 확인</x:v>
      </x:c>
      <x:c r="Y2423" s="2" t="str">
        <x:v>ad210cd9ec132cfd447541c8984dc53d30aff0f4fb2dc92d254d49275cc55976</x:v>
      </x:c>
      <x:c r="Z2423" s="2" t="n">
        <x:f>SUBTOTAL(103,A2423)</x:f>
        <x:v>1</x:v>
      </x:c>
      <x:c r="AA2423" s="2" t="str">
        <x:f>IF(K2423&lt;&gt;"미종결 표시","대상 아님",IF(N2423="","신청일 확인",IF(NOT(ISNUMBER('종합 현황'!$H$5)),"관찰기준 확인",IF('종합 현황'!$H$5&lt;1,"관찰기준 확인",IF(N2423&gt;'종합 현황'!$H$5,"내부 관찰 대상","내부 관찰일 이하")))))</x:f>
        <x:v>대상 아님</x:v>
      </x:c>
      <x:c r="AB2423" s="2" t="str">
        <x:v>2020-05-21 14:07 - 신청
2020-05-26 17:09 - 문서재제출요청
2020-05-28 14:31 - 신청
2020-06-18 11:27 - 문서재제출요청
2020-08-05 13:01 - 신청
2020-09-11 16:23 - 문서재제출요청
2020-09-15 13:30 - 신청
2020-11-25 09:30 - 문서재제출요청
2020-11-27 13:16 - 신청
2021-01-25 10:12 - 문서재제출요청
2021-01-25 15:30 - 신청
2021-03-05 14:57 - 검토승인
2021-06-21 16:52 - 심의승인</x:v>
      </x:c>
    </x:row>
    <x:row r="2424" ht="42" customHeight="1">
      <x:c r="A2424" s="2" t="str">
        <x:v>db1810fdc2793c82c7747622</x:v>
      </x:c>
      <x:c r="B2424" s="2" t="str">
        <x:v>감축량 인증</x:v>
      </x:c>
      <x:c r="C2424" s="2" t="str">
        <x:v>국외</x:v>
      </x:c>
      <x:c r="D2424" s="7" t="str">
        <x:v>대한민국이 지원하는 방글라데시 고효율 쿡스토브 프로그램 - CPA01</x:v>
      </x:c>
      <x:c r="E2424" s="2" t="str">
        <x:v>9</x:v>
      </x:c>
      <x:c r="F2424" s="2" t="str">
        <x:v>2020-03-06</x:v>
      </x:c>
      <x:c r="G2424" s="2" t="str">
        <x:v>2020</x:v>
      </x:c>
      <x:c r="H2424" s="2" t="str">
        <x:v>03</x:v>
      </x:c>
      <x:c r="I2424" s="2" t="str">
        <x:v>심의승인</x:v>
      </x:c>
      <x:c r="J2424" s="2" t="str">
        <x:v>심의승인</x:v>
      </x:c>
      <x:c r="K2424" s="2" t="str">
        <x:f>IF(OR(J2424="심의승인",J2424="반려",J2424="반려완료",J2424="심의완료"),"종결 표시",IF(OR(J2424="기후부협의",J2424="문서재제출요청",J2424="보류",J2424="보완요청",J2424="보완완료",J2424="평가중",J2424="반려요청",J2424="평가필요",LEFT(J2424,5)="보완요청("),"미종결 표시","상태 확인 필요"))</x:f>
        <x:v>종결 표시</x:v>
      </x:c>
      <x:c r="L2424" s="2"/>
      <x:c r="M2424" s="2"/>
      <x:c r="N2424" s="8" t="n">
        <x:f>DATE(2026,10,15)-DATE(2020,3,6)</x:f>
        <x:v>2414</x:v>
      </x:c>
      <x:c r="O2424" s="2"/>
      <x:c r="P2424" s="2"/>
      <x:c r="Q2424" s="2" t="str">
        <x:v>산업전환_외부사업관리Tool_260707_이너젠 수정_LJY_261013.xlsx</x:v>
      </x:c>
      <x:c r="R2424" s="2" t="str">
        <x:v>국외인증</x:v>
      </x:c>
      <x:c r="S2424" s="8" t="n">
        <x:v>11</x:v>
      </x:c>
      <x:c r="T2424" s="2"/>
      <x:c r="U2424" s="2" t="str"/>
      <x:c r="V2424" s="2" t="str">
        <x:v>2021-06-21</x:v>
      </x:c>
      <x:c r="W2424" s="2" t="str">
        <x:v>담당기관 확인</x:v>
      </x:c>
      <x:c r="X2424" s="2" t="str">
        <x:v>원본·배정 기록 확인</x:v>
      </x:c>
      <x:c r="Y2424" s="2" t="str">
        <x:v>ad210cd9ec132cfd447541c8984dc53d30aff0f4fb2dc92d254d49275cc55976</x:v>
      </x:c>
      <x:c r="Z2424" s="2" t="n">
        <x:f>SUBTOTAL(103,A2424)</x:f>
        <x:v>1</x:v>
      </x:c>
      <x:c r="AA2424" s="2" t="str">
        <x:f>IF(K2424&lt;&gt;"미종결 표시","대상 아님",IF(N2424="","신청일 확인",IF(NOT(ISNUMBER('종합 현황'!$H$5)),"관찰기준 확인",IF('종합 현황'!$H$5&lt;1,"관찰기준 확인",IF(N2424&gt;'종합 현황'!$H$5,"내부 관찰 대상","내부 관찰일 이하")))))</x:f>
        <x:v>대상 아님</x:v>
      </x:c>
      <x:c r="AB2424" s="2" t="str">
        <x:v>2020-03-06 16:30 - 접수
2020-03-06 16:34 - 신청
2020-05-29 16:59 - 문서재제출요청
2020-06-18 16:47 - 접수
2020-06-18 17:31 - 신청
2020-06-18 17:40 - 문서재제출요청
2020-06-19 13:04 - 접수
2020-06-19 13:21 - 신청
2020-06-23 11:20 - 문서재제출요청
2020-06-23 13:06 - 접수
2020-06-23 13:09 - 신청
2020-09-11 16:21 - 문서재제출요청
2020-09-15 13:31 - 접수
2020-09-15 13:54 - 신청
2020-11-25 09:30 - 문서재제출요청
2020-11-27 13:14 - 접수
2020-11-27 13:18 - 신청
2021-01-25 10:31 - 문서재제출요청
2021-01-25 15:30 - 접수
2021-01-25 15:32 - 신청
2021-03-05 14:55 - 검토승인
2021-06-21 16:48 - 심의승인</x:v>
      </x:c>
    </x:row>
    <x:row r="2425" ht="42" customHeight="1">
      <x:c r="A2425" s="2" t="str">
        <x:v>f22dbe7fefa9bb04ba9a6a3d</x:v>
      </x:c>
      <x:c r="B2425" s="2" t="str">
        <x:v>감축량 인증</x:v>
      </x:c>
      <x:c r="C2425" s="2" t="str">
        <x:v>국외</x:v>
      </x:c>
      <x:c r="D2425" s="7" t="str">
        <x:v>파트린드수력CDM</x:v>
      </x:c>
      <x:c r="E2425" s="2" t="str">
        <x:v>10</x:v>
      </x:c>
      <x:c r="F2425" s="2" t="str">
        <x:v>2020-08-06</x:v>
      </x:c>
      <x:c r="G2425" s="2" t="str">
        <x:v>2020</x:v>
      </x:c>
      <x:c r="H2425" s="2" t="str">
        <x:v>08</x:v>
      </x:c>
      <x:c r="I2425" s="2" t="str">
        <x:v>심의승인</x:v>
      </x:c>
      <x:c r="J2425" s="2" t="str">
        <x:v>심의승인</x:v>
      </x:c>
      <x:c r="K2425" s="2" t="str">
        <x:f>IF(OR(J2425="심의승인",J2425="반려",J2425="반려완료",J2425="심의완료"),"종결 표시",IF(OR(J2425="기후부협의",J2425="문서재제출요청",J2425="보류",J2425="보완요청",J2425="보완완료",J2425="평가중",J2425="반려요청",J2425="평가필요",LEFT(J2425,5)="보완요청("),"미종결 표시","상태 확인 필요"))</x:f>
        <x:v>종결 표시</x:v>
      </x:c>
      <x:c r="L2425" s="2"/>
      <x:c r="M2425" s="2"/>
      <x:c r="N2425" s="8" t="n">
        <x:f>DATE(2026,10,15)-DATE(2020,8,6)</x:f>
        <x:v>2261</x:v>
      </x:c>
      <x:c r="O2425" s="2"/>
      <x:c r="P2425" s="2"/>
      <x:c r="Q2425" s="2" t="str">
        <x:v>산업전환_외부사업관리Tool_260707_이너젠 수정_LJY_261013.xlsx</x:v>
      </x:c>
      <x:c r="R2425" s="2" t="str">
        <x:v>국외인증</x:v>
      </x:c>
      <x:c r="S2425" s="8" t="n">
        <x:v>12</x:v>
      </x:c>
      <x:c r="T2425" s="2"/>
      <x:c r="U2425" s="2" t="str"/>
      <x:c r="V2425" s="2" t="str">
        <x:v>2021-06-21</x:v>
      </x:c>
      <x:c r="W2425" s="2" t="str">
        <x:v>담당기관 확인</x:v>
      </x:c>
      <x:c r="X2425" s="2" t="str">
        <x:v>원본·배정 기록 확인</x:v>
      </x:c>
      <x:c r="Y2425" s="2" t="str">
        <x:v>ad210cd9ec132cfd447541c8984dc53d30aff0f4fb2dc92d254d49275cc55976</x:v>
      </x:c>
      <x:c r="Z2425" s="2" t="n">
        <x:f>SUBTOTAL(103,A2425)</x:f>
        <x:v>1</x:v>
      </x:c>
      <x:c r="AA2425" s="2" t="str">
        <x:f>IF(K2425&lt;&gt;"미종결 표시","대상 아님",IF(N2425="","신청일 확인",IF(NOT(ISNUMBER('종합 현황'!$H$5)),"관찰기준 확인",IF('종합 현황'!$H$5&lt;1,"관찰기준 확인",IF(N2425&gt;'종합 현황'!$H$5,"내부 관찰 대상","내부 관찰일 이하")))))</x:f>
        <x:v>대상 아님</x:v>
      </x:c>
      <x:c r="AB2425" s="2" t="str">
        <x:v>2020-08-06 13:54 - 신청
2020-08-20 15:53 - 문서재제출요청
2020-08-21 13:08 - 신청
2020-10-26 15:02 - 문서재제출요청
2021-01-14 13:00 - 신청
2021-03-05 14:44 - 검토승인
2021-06-21 16:40 - 심의승인</x:v>
      </x:c>
    </x:row>
    <x:row r="2426" ht="42" customHeight="1">
      <x:c r="A2426" s="2" t="str">
        <x:v>cb2c84ad3cd008fce055fece</x:v>
      </x:c>
      <x:c r="B2426" s="2" t="str">
        <x:v>감축량 인증</x:v>
      </x:c>
      <x:c r="C2426" s="2" t="str">
        <x:v>국외</x:v>
      </x:c>
      <x:c r="D2426" s="7" t="str">
        <x:v>파트린드수력CDM</x:v>
      </x:c>
      <x:c r="E2426" s="2" t="str">
        <x:v>11</x:v>
      </x:c>
      <x:c r="F2426" s="2" t="str">
        <x:v>2020-08-06</x:v>
      </x:c>
      <x:c r="G2426" s="2" t="str">
        <x:v>2020</x:v>
      </x:c>
      <x:c r="H2426" s="2" t="str">
        <x:v>08</x:v>
      </x:c>
      <x:c r="I2426" s="2" t="str">
        <x:v>심의승인</x:v>
      </x:c>
      <x:c r="J2426" s="2" t="str">
        <x:v>심의승인</x:v>
      </x:c>
      <x:c r="K2426" s="2" t="str">
        <x:f>IF(OR(J2426="심의승인",J2426="반려",J2426="반려완료",J2426="심의완료"),"종결 표시",IF(OR(J2426="기후부협의",J2426="문서재제출요청",J2426="보류",J2426="보완요청",J2426="보완완료",J2426="평가중",J2426="반려요청",J2426="평가필요",LEFT(J2426,5)="보완요청("),"미종결 표시","상태 확인 필요"))</x:f>
        <x:v>종결 표시</x:v>
      </x:c>
      <x:c r="L2426" s="2"/>
      <x:c r="M2426" s="2"/>
      <x:c r="N2426" s="8" t="n">
        <x:f>DATE(2026,10,15)-DATE(2020,8,6)</x:f>
        <x:v>2261</x:v>
      </x:c>
      <x:c r="O2426" s="2"/>
      <x:c r="P2426" s="2"/>
      <x:c r="Q2426" s="2" t="str">
        <x:v>산업전환_외부사업관리Tool_260707_이너젠 수정_LJY_261013.xlsx</x:v>
      </x:c>
      <x:c r="R2426" s="2" t="str">
        <x:v>국외인증</x:v>
      </x:c>
      <x:c r="S2426" s="8" t="n">
        <x:v>13</x:v>
      </x:c>
      <x:c r="T2426" s="2"/>
      <x:c r="U2426" s="2" t="str"/>
      <x:c r="V2426" s="2" t="str">
        <x:v>2021-06-21</x:v>
      </x:c>
      <x:c r="W2426" s="2" t="str">
        <x:v>담당기관 확인</x:v>
      </x:c>
      <x:c r="X2426" s="2" t="str">
        <x:v>원본·배정 기록 확인</x:v>
      </x:c>
      <x:c r="Y2426" s="2" t="str">
        <x:v>ad210cd9ec132cfd447541c8984dc53d30aff0f4fb2dc92d254d49275cc55976</x:v>
      </x:c>
      <x:c r="Z2426" s="2" t="n">
        <x:f>SUBTOTAL(103,A2426)</x:f>
        <x:v>1</x:v>
      </x:c>
      <x:c r="AA2426" s="2" t="str">
        <x:f>IF(K2426&lt;&gt;"미종결 표시","대상 아님",IF(N2426="","신청일 확인",IF(NOT(ISNUMBER('종합 현황'!$H$5)),"관찰기준 확인",IF('종합 현황'!$H$5&lt;1,"관찰기준 확인",IF(N2426&gt;'종합 현황'!$H$5,"내부 관찰 대상","내부 관찰일 이하")))))</x:f>
        <x:v>대상 아님</x:v>
      </x:c>
      <x:c r="AB2426" s="2" t="str">
        <x:v>2020-08-06 14:24 - 신청
2020-08-20 15:53 - 문서재제출요청
2020-08-21 13:09 - 신청
2020-09-02 16:30 - 문서재제출요청
2020-09-04 13:21 - 신청
2020-10-26 15:02 - 문서재제출요청
2021-01-21 16:51 - 신청
2021-03-05 14:44 - 검토승인
2021-06-21 16:43 - 심의승인</x:v>
      </x:c>
    </x:row>
    <x:row r="2427" ht="42" customHeight="1">
      <x:c r="A2427" s="2" t="str">
        <x:v>02ec28cf60240c527b39129f</x:v>
      </x:c>
      <x:c r="B2427" s="2" t="str">
        <x:v>감축량 인증</x:v>
      </x:c>
      <x:c r="C2427" s="2" t="str">
        <x:v>국외</x:v>
      </x:c>
      <x:c r="D2427" s="7" t="str">
        <x:v>안전한 식수 공급을 위한 정수기 보급 사업 : CPA 38(한국 지원)</x:v>
      </x:c>
      <x:c r="E2427" s="2" t="str">
        <x:v>12</x:v>
      </x:c>
      <x:c r="F2427" s="2" t="str">
        <x:v>2020-12-01</x:v>
      </x:c>
      <x:c r="G2427" s="2" t="str">
        <x:v>2020</x:v>
      </x:c>
      <x:c r="H2427" s="2" t="str">
        <x:v>12</x:v>
      </x:c>
      <x:c r="I2427" s="2" t="str">
        <x:v>검토반려</x:v>
      </x:c>
      <x:c r="J2427" s="2" t="str">
        <x:v>반려</x:v>
      </x:c>
      <x:c r="K2427" s="2" t="str">
        <x:f>IF(OR(J2427="심의승인",J2427="반려",J2427="반려완료",J2427="심의완료"),"종결 표시",IF(OR(J2427="기후부협의",J2427="문서재제출요청",J2427="보류",J2427="보완요청",J2427="보완완료",J2427="평가중",J2427="반려요청",J2427="평가필요",LEFT(J2427,5)="보완요청("),"미종결 표시","상태 확인 필요"))</x:f>
        <x:v>종결 표시</x:v>
      </x:c>
      <x:c r="L2427" s="2"/>
      <x:c r="M2427" s="2"/>
      <x:c r="N2427" s="8" t="n">
        <x:f>DATE(2026,10,15)-DATE(2020,12,1)</x:f>
        <x:v>2144</x:v>
      </x:c>
      <x:c r="O2427" s="2"/>
      <x:c r="P2427" s="2"/>
      <x:c r="Q2427" s="2" t="str">
        <x:v>산업전환_외부사업관리Tool_260707_이너젠 수정_LJY_261013.xlsx</x:v>
      </x:c>
      <x:c r="R2427" s="2" t="str">
        <x:v>국외인증</x:v>
      </x:c>
      <x:c r="S2427" s="8" t="n">
        <x:v>14</x:v>
      </x:c>
      <x:c r="T2427" s="2"/>
      <x:c r="U2427" s="2" t="str"/>
      <x:c r="V2427" s="2" t="str">
        <x:v>2022-04-01</x:v>
      </x:c>
      <x:c r="W2427" s="2" t="str">
        <x:v>담당기관 확인</x:v>
      </x:c>
      <x:c r="X2427" s="2" t="str">
        <x:v>원본·배정 기록 확인</x:v>
      </x:c>
      <x:c r="Y2427" s="2" t="str">
        <x:v>ad210cd9ec132cfd447541c8984dc53d30aff0f4fb2dc92d254d49275cc55976</x:v>
      </x:c>
      <x:c r="Z2427" s="2" t="n">
        <x:f>SUBTOTAL(103,A2427)</x:f>
        <x:v>1</x:v>
      </x:c>
      <x:c r="AA2427" s="2" t="str">
        <x:f>IF(K2427&lt;&gt;"미종결 표시","대상 아님",IF(N2427="","신청일 확인",IF(NOT(ISNUMBER('종합 현황'!$H$5)),"관찰기준 확인",IF('종합 현황'!$H$5&lt;1,"관찰기준 확인",IF(N2427&gt;'종합 현황'!$H$5,"내부 관찰 대상","내부 관찰일 이하")))))</x:f>
        <x:v>대상 아님</x:v>
      </x:c>
      <x:c r="AB2427" s="2" t="str">
        <x:v>2020-12-01 13:28 - 신청
2021-01-27 10:33 - 문서재제출요청
2021-01-28 13:13 - 신청
2021-03-10 09:43 - 문서재제출요청
2021-03-19 13:14 - 신청
2021-03-25 13:20 - 문서재제출요청
2021-03-25 14:49 - 신청
2021-05-18 11:29 - 문서재제출요청
2021-05-20 13:51 - 신청
2021-05-27 14:46 - 문서재제출요청
2022-03-31 14:06 - 신청
2022-04-01 16:55 - 검토반려</x:v>
      </x:c>
    </x:row>
    <x:row r="2428" ht="42" customHeight="1">
      <x:c r="A2428" s="2" t="str">
        <x:v>a53102d570091919acd9304c</x:v>
      </x:c>
      <x:c r="B2428" s="2" t="str">
        <x:v>감축량 인증</x:v>
      </x:c>
      <x:c r="C2428" s="2" t="str">
        <x:v>국외</x:v>
      </x:c>
      <x:c r="D2428" s="7" t="str">
        <x:v>안전한 식수 공급을 위한 정수기 보급 사업 : CPA 39(한국 지원)</x:v>
      </x:c>
      <x:c r="E2428" s="2" t="str">
        <x:v>13</x:v>
      </x:c>
      <x:c r="F2428" s="2" t="str">
        <x:v>2020-12-01</x:v>
      </x:c>
      <x:c r="G2428" s="2" t="str">
        <x:v>2020</x:v>
      </x:c>
      <x:c r="H2428" s="2" t="str">
        <x:v>12</x:v>
      </x:c>
      <x:c r="I2428" s="2" t="str">
        <x:v>검토반려</x:v>
      </x:c>
      <x:c r="J2428" s="2" t="str">
        <x:v>반려</x:v>
      </x:c>
      <x:c r="K2428" s="2" t="str">
        <x:f>IF(OR(J2428="심의승인",J2428="반려",J2428="반려완료",J2428="심의완료"),"종결 표시",IF(OR(J2428="기후부협의",J2428="문서재제출요청",J2428="보류",J2428="보완요청",J2428="보완완료",J2428="평가중",J2428="반려요청",J2428="평가필요",LEFT(J2428,5)="보완요청("),"미종결 표시","상태 확인 필요"))</x:f>
        <x:v>종결 표시</x:v>
      </x:c>
      <x:c r="L2428" s="2"/>
      <x:c r="M2428" s="2"/>
      <x:c r="N2428" s="8" t="n">
        <x:f>DATE(2026,10,15)-DATE(2020,12,1)</x:f>
        <x:v>2144</x:v>
      </x:c>
      <x:c r="O2428" s="2"/>
      <x:c r="P2428" s="2"/>
      <x:c r="Q2428" s="2" t="str">
        <x:v>산업전환_외부사업관리Tool_260707_이너젠 수정_LJY_261013.xlsx</x:v>
      </x:c>
      <x:c r="R2428" s="2" t="str">
        <x:v>국외인증</x:v>
      </x:c>
      <x:c r="S2428" s="8" t="n">
        <x:v>15</x:v>
      </x:c>
      <x:c r="T2428" s="2"/>
      <x:c r="U2428" s="2" t="str"/>
      <x:c r="V2428" s="2" t="str">
        <x:v>2022-04-01</x:v>
      </x:c>
      <x:c r="W2428" s="2" t="str">
        <x:v>담당기관 확인</x:v>
      </x:c>
      <x:c r="X2428" s="2" t="str">
        <x:v>원본·배정 기록 확인</x:v>
      </x:c>
      <x:c r="Y2428" s="2" t="str">
        <x:v>ad210cd9ec132cfd447541c8984dc53d30aff0f4fb2dc92d254d49275cc55976</x:v>
      </x:c>
      <x:c r="Z2428" s="2" t="n">
        <x:f>SUBTOTAL(103,A2428)</x:f>
        <x:v>1</x:v>
      </x:c>
      <x:c r="AA2428" s="2" t="str">
        <x:f>IF(K2428&lt;&gt;"미종결 표시","대상 아님",IF(N2428="","신청일 확인",IF(NOT(ISNUMBER('종합 현황'!$H$5)),"관찰기준 확인",IF('종합 현황'!$H$5&lt;1,"관찰기준 확인",IF(N2428&gt;'종합 현황'!$H$5,"내부 관찰 대상","내부 관찰일 이하")))))</x:f>
        <x:v>대상 아님</x:v>
      </x:c>
      <x:c r="AB2428" s="2" t="str">
        <x:v>2020-12-01 13:29 - 신청
2021-01-27 10:37 - 문서재제출요청
2021-01-28 13:14 - 신청
2021-03-10 09:43 - 문서재제출요청
2021-03-19 13:13 - 신청
2021-03-25 13:20 - 문서재제출요청
2021-03-25 14:49 - 신청
2021-05-18 11:30 - 문서재제출요청
2021-05-20 13:52 - 신청
2021-05-27 14:46 - 문서재제출요청
2022-03-31 14:08 - 신청
2022-04-01 16:54 - 검토반려</x:v>
      </x:c>
    </x:row>
    <x:row r="2429" ht="42" customHeight="1">
      <x:c r="A2429" s="2" t="str">
        <x:v>118ebae4a87df1568dd3aadc</x:v>
      </x:c>
      <x:c r="B2429" s="2" t="str">
        <x:v>감축량 인증</x:v>
      </x:c>
      <x:c r="C2429" s="2" t="str">
        <x:v>국외</x:v>
      </x:c>
      <x:c r="D2429" s="7" t="str">
        <x:v>안전한 식수 공급을 위한 정수기 보급 사업 : CPA 40(한국 지원)</x:v>
      </x:c>
      <x:c r="E2429" s="2" t="str">
        <x:v>14</x:v>
      </x:c>
      <x:c r="F2429" s="2" t="str">
        <x:v>2020-12-01</x:v>
      </x:c>
      <x:c r="G2429" s="2" t="str">
        <x:v>2020</x:v>
      </x:c>
      <x:c r="H2429" s="2" t="str">
        <x:v>12</x:v>
      </x:c>
      <x:c r="I2429" s="2" t="str">
        <x:v>검토반려</x:v>
      </x:c>
      <x:c r="J2429" s="2" t="str">
        <x:v>반려</x:v>
      </x:c>
      <x:c r="K2429" s="2" t="str">
        <x:f>IF(OR(J2429="심의승인",J2429="반려",J2429="반려완료",J2429="심의완료"),"종결 표시",IF(OR(J2429="기후부협의",J2429="문서재제출요청",J2429="보류",J2429="보완요청",J2429="보완완료",J2429="평가중",J2429="반려요청",J2429="평가필요",LEFT(J2429,5)="보완요청("),"미종결 표시","상태 확인 필요"))</x:f>
        <x:v>종결 표시</x:v>
      </x:c>
      <x:c r="L2429" s="2"/>
      <x:c r="M2429" s="2"/>
      <x:c r="N2429" s="8" t="n">
        <x:f>DATE(2026,10,15)-DATE(2020,12,1)</x:f>
        <x:v>2144</x:v>
      </x:c>
      <x:c r="O2429" s="2"/>
      <x:c r="P2429" s="2"/>
      <x:c r="Q2429" s="2" t="str">
        <x:v>산업전환_외부사업관리Tool_260707_이너젠 수정_LJY_261013.xlsx</x:v>
      </x:c>
      <x:c r="R2429" s="2" t="str">
        <x:v>국외인증</x:v>
      </x:c>
      <x:c r="S2429" s="8" t="n">
        <x:v>16</x:v>
      </x:c>
      <x:c r="T2429" s="2"/>
      <x:c r="U2429" s="2" t="str"/>
      <x:c r="V2429" s="2" t="str">
        <x:v>2022-04-01</x:v>
      </x:c>
      <x:c r="W2429" s="2" t="str">
        <x:v>담당기관 확인</x:v>
      </x:c>
      <x:c r="X2429" s="2" t="str">
        <x:v>원본·배정 기록 확인</x:v>
      </x:c>
      <x:c r="Y2429" s="2" t="str">
        <x:v>ad210cd9ec132cfd447541c8984dc53d30aff0f4fb2dc92d254d49275cc55976</x:v>
      </x:c>
      <x:c r="Z2429" s="2" t="n">
        <x:f>SUBTOTAL(103,A2429)</x:f>
        <x:v>1</x:v>
      </x:c>
      <x:c r="AA2429" s="2" t="str">
        <x:f>IF(K2429&lt;&gt;"미종결 표시","대상 아님",IF(N2429="","신청일 확인",IF(NOT(ISNUMBER('종합 현황'!$H$5)),"관찰기준 확인",IF('종합 현황'!$H$5&lt;1,"관찰기준 확인",IF(N2429&gt;'종합 현황'!$H$5,"내부 관찰 대상","내부 관찰일 이하")))))</x:f>
        <x:v>대상 아님</x:v>
      </x:c>
      <x:c r="AB2429" s="2" t="str">
        <x:v>2020-12-01 13:29 - 신청
2021-01-27 10:45 - 문서재제출요청
2021-01-28 13:14 - 신청
2021-03-10 09:43 - 문서재제출요청
2021-03-19 13:13 - 신청
2021-03-25 13:21 - 문서재제출요청
2021-03-25 14:49 - 신청
2021-05-18 11:30 - 문서재제출요청
2021-05-20 13:53 - 신청
2021-05-27 14:47 - 문서재제출요청
2022-03-31 14:08 - 신청
2022-04-01 16:53 - 검토반려</x:v>
      </x:c>
    </x:row>
    <x:row r="2430" ht="42" customHeight="1">
      <x:c r="A2430" s="2" t="str">
        <x:v>3dfc9c79f5d8b32a4553bb96</x:v>
      </x:c>
      <x:c r="B2430" s="2" t="str">
        <x:v>감축량 인증</x:v>
      </x:c>
      <x:c r="C2430" s="2" t="str">
        <x:v>국외</x:v>
      </x:c>
      <x:c r="D2430" s="7" t="str">
        <x:v>안전한 식수 공급을 위한 정수기 보급 사업 : CPA 41(한국 지원)</x:v>
      </x:c>
      <x:c r="E2430" s="2" t="str">
        <x:v>15</x:v>
      </x:c>
      <x:c r="F2430" s="2" t="str">
        <x:v>2020-12-01</x:v>
      </x:c>
      <x:c r="G2430" s="2" t="str">
        <x:v>2020</x:v>
      </x:c>
      <x:c r="H2430" s="2" t="str">
        <x:v>12</x:v>
      </x:c>
      <x:c r="I2430" s="2" t="str">
        <x:v>검토반려</x:v>
      </x:c>
      <x:c r="J2430" s="2" t="str">
        <x:v>반려</x:v>
      </x:c>
      <x:c r="K2430" s="2" t="str">
        <x:f>IF(OR(J2430="심의승인",J2430="반려",J2430="반려완료",J2430="심의완료"),"종결 표시",IF(OR(J2430="기후부협의",J2430="문서재제출요청",J2430="보류",J2430="보완요청",J2430="보완완료",J2430="평가중",J2430="반려요청",J2430="평가필요",LEFT(J2430,5)="보완요청("),"미종결 표시","상태 확인 필요"))</x:f>
        <x:v>종결 표시</x:v>
      </x:c>
      <x:c r="L2430" s="2"/>
      <x:c r="M2430" s="2"/>
      <x:c r="N2430" s="8" t="n">
        <x:f>DATE(2026,10,15)-DATE(2020,12,1)</x:f>
        <x:v>2144</x:v>
      </x:c>
      <x:c r="O2430" s="2"/>
      <x:c r="P2430" s="2"/>
      <x:c r="Q2430" s="2" t="str">
        <x:v>산업전환_외부사업관리Tool_260707_이너젠 수정_LJY_261013.xlsx</x:v>
      </x:c>
      <x:c r="R2430" s="2" t="str">
        <x:v>국외인증</x:v>
      </x:c>
      <x:c r="S2430" s="8" t="n">
        <x:v>17</x:v>
      </x:c>
      <x:c r="T2430" s="2"/>
      <x:c r="U2430" s="2" t="str"/>
      <x:c r="V2430" s="2" t="str">
        <x:v>2022-04-01</x:v>
      </x:c>
      <x:c r="W2430" s="2" t="str">
        <x:v>담당기관 확인</x:v>
      </x:c>
      <x:c r="X2430" s="2" t="str">
        <x:v>원본·배정 기록 확인</x:v>
      </x:c>
      <x:c r="Y2430" s="2" t="str">
        <x:v>ad210cd9ec132cfd447541c8984dc53d30aff0f4fb2dc92d254d49275cc55976</x:v>
      </x:c>
      <x:c r="Z2430" s="2" t="n">
        <x:f>SUBTOTAL(103,A2430)</x:f>
        <x:v>1</x:v>
      </x:c>
      <x:c r="AA2430" s="2" t="str">
        <x:f>IF(K2430&lt;&gt;"미종결 표시","대상 아님",IF(N2430="","신청일 확인",IF(NOT(ISNUMBER('종합 현황'!$H$5)),"관찰기준 확인",IF('종합 현황'!$H$5&lt;1,"관찰기준 확인",IF(N2430&gt;'종합 현황'!$H$5,"내부 관찰 대상","내부 관찰일 이하")))))</x:f>
        <x:v>대상 아님</x:v>
      </x:c>
      <x:c r="AB2430" s="2" t="str">
        <x:v>2020-12-01 13:29 - 신청
2021-01-27 10:45 - 문서재제출요청
2021-01-28 13:15 - 신청
2021-03-10 09:44 - 문서재제출요청
2021-03-19 13:13 - 신청
2021-03-25 13:23 - 문서재제출요청
2021-03-25 14:50 - 신청
2021-05-18 11:30 - 문서재제출요청
2021-05-20 13:53 - 신청
2021-05-27 14:47 - 문서재제출요청
2022-03-31 14:10 - 신청
2022-04-01 16:51 - 검토반려</x:v>
      </x:c>
    </x:row>
    <x:row r="2431" ht="42" customHeight="1">
      <x:c r="A2431" s="2" t="str">
        <x:v>3984192464421ed11bfcee43</x:v>
      </x:c>
      <x:c r="B2431" s="2" t="str">
        <x:v>감축량 인증</x:v>
      </x:c>
      <x:c r="C2431" s="2" t="str">
        <x:v>국외</x:v>
      </x:c>
      <x:c r="D2431" s="7" t="str">
        <x:v>안전한 식수 공급을 위한 정수기 보급 사업 : CPA 42(한국 지원)</x:v>
      </x:c>
      <x:c r="E2431" s="2" t="str">
        <x:v>16</x:v>
      </x:c>
      <x:c r="F2431" s="2" t="str">
        <x:v>2020-08-04</x:v>
      </x:c>
      <x:c r="G2431" s="2" t="str">
        <x:v>2020</x:v>
      </x:c>
      <x:c r="H2431" s="2" t="str">
        <x:v>08</x:v>
      </x:c>
      <x:c r="I2431" s="2" t="str">
        <x:v>검토반려</x:v>
      </x:c>
      <x:c r="J2431" s="2" t="str">
        <x:v>반려</x:v>
      </x:c>
      <x:c r="K2431" s="2" t="str">
        <x:f>IF(OR(J2431="심의승인",J2431="반려",J2431="반려완료",J2431="심의완료"),"종결 표시",IF(OR(J2431="기후부협의",J2431="문서재제출요청",J2431="보류",J2431="보완요청",J2431="보완완료",J2431="평가중",J2431="반려요청",J2431="평가필요",LEFT(J2431,5)="보완요청("),"미종결 표시","상태 확인 필요"))</x:f>
        <x:v>종결 표시</x:v>
      </x:c>
      <x:c r="L2431" s="2"/>
      <x:c r="M2431" s="2"/>
      <x:c r="N2431" s="8" t="n">
        <x:f>DATE(2026,10,15)-DATE(2020,8,4)</x:f>
        <x:v>2263</x:v>
      </x:c>
      <x:c r="O2431" s="2"/>
      <x:c r="P2431" s="2"/>
      <x:c r="Q2431" s="2" t="str">
        <x:v>산업전환_외부사업관리Tool_260707_이너젠 수정_LJY_261013.xlsx</x:v>
      </x:c>
      <x:c r="R2431" s="2" t="str">
        <x:v>국외인증</x:v>
      </x:c>
      <x:c r="S2431" s="8" t="n">
        <x:v>18</x:v>
      </x:c>
      <x:c r="T2431" s="2"/>
      <x:c r="U2431" s="2" t="str"/>
      <x:c r="V2431" s="2" t="str">
        <x:v>2022-04-01</x:v>
      </x:c>
      <x:c r="W2431" s="2" t="str">
        <x:v>담당기관 확인</x:v>
      </x:c>
      <x:c r="X2431" s="2" t="str">
        <x:v>원본·배정 기록 확인</x:v>
      </x:c>
      <x:c r="Y2431" s="2" t="str">
        <x:v>ad210cd9ec132cfd447541c8984dc53d30aff0f4fb2dc92d254d49275cc55976</x:v>
      </x:c>
      <x:c r="Z2431" s="2" t="n">
        <x:f>SUBTOTAL(103,A2431)</x:f>
        <x:v>1</x:v>
      </x:c>
      <x:c r="AA2431" s="2" t="str">
        <x:f>IF(K2431&lt;&gt;"미종결 표시","대상 아님",IF(N2431="","신청일 확인",IF(NOT(ISNUMBER('종합 현황'!$H$5)),"관찰기준 확인",IF('종합 현황'!$H$5&lt;1,"관찰기준 확인",IF(N2431&gt;'종합 현황'!$H$5,"내부 관찰 대상","내부 관찰일 이하")))))</x:f>
        <x:v>대상 아님</x:v>
      </x:c>
      <x:c r="AB2431" s="2" t="str">
        <x:v>2020-08-04 15:03 - 신청
2020-08-20 18:00 - 문서재제출요청
2020-09-07 13:54 - 신청
2020-09-23 10:08 - 보완요청
2020-11-30 16:22 - 신청
2021-01-27 10:30 - 문서재제출요청
2021-01-28 13:15 - 신청
2021-03-10 09:45 - 문서재제출요청
2021-03-19 13:12 - 신청
2021-03-25 13:23 - 문서재제출요청
2021-03-25 14:50 - 신청
2021-05-18 11:31 - 문서재제출요청
2021-05-20 13:54 - 신청
2021-05-27 14:47 - 문서재제출요청
2022-03-31 14:30 - 신청
2022-04-01 16:50 - 검토반려</x:v>
      </x:c>
    </x:row>
    <x:row r="2432" ht="42" customHeight="1">
      <x:c r="A2432" s="2" t="str">
        <x:v>0aa4266b7d1bf8ff18642be9</x:v>
      </x:c>
      <x:c r="B2432" s="2" t="str">
        <x:v>감축량 인증</x:v>
      </x:c>
      <x:c r="C2432" s="2" t="str">
        <x:v>국외</x:v>
      </x:c>
      <x:c r="D2432" s="7" t="str">
        <x:v>안전한 식수 공급을 위한 정수기 보급 사업 : CPA 43(한국 지원)</x:v>
      </x:c>
      <x:c r="E2432" s="2" t="str">
        <x:v>17</x:v>
      </x:c>
      <x:c r="F2432" s="2" t="str">
        <x:v>2020-12-01</x:v>
      </x:c>
      <x:c r="G2432" s="2" t="str">
        <x:v>2020</x:v>
      </x:c>
      <x:c r="H2432" s="2" t="str">
        <x:v>12</x:v>
      </x:c>
      <x:c r="I2432" s="2" t="str">
        <x:v>검토반려</x:v>
      </x:c>
      <x:c r="J2432" s="2" t="str">
        <x:v>반려</x:v>
      </x:c>
      <x:c r="K2432" s="2" t="str">
        <x:f>IF(OR(J2432="심의승인",J2432="반려",J2432="반려완료",J2432="심의완료"),"종결 표시",IF(OR(J2432="기후부협의",J2432="문서재제출요청",J2432="보류",J2432="보완요청",J2432="보완완료",J2432="평가중",J2432="반려요청",J2432="평가필요",LEFT(J2432,5)="보완요청("),"미종결 표시","상태 확인 필요"))</x:f>
        <x:v>종결 표시</x:v>
      </x:c>
      <x:c r="L2432" s="2"/>
      <x:c r="M2432" s="2"/>
      <x:c r="N2432" s="8" t="n">
        <x:f>DATE(2026,10,15)-DATE(2020,12,1)</x:f>
        <x:v>2144</x:v>
      </x:c>
      <x:c r="O2432" s="2"/>
      <x:c r="P2432" s="2"/>
      <x:c r="Q2432" s="2" t="str">
        <x:v>산업전환_외부사업관리Tool_260707_이너젠 수정_LJY_261013.xlsx</x:v>
      </x:c>
      <x:c r="R2432" s="2" t="str">
        <x:v>국외인증</x:v>
      </x:c>
      <x:c r="S2432" s="8" t="n">
        <x:v>19</x:v>
      </x:c>
      <x:c r="T2432" s="2"/>
      <x:c r="U2432" s="2" t="str"/>
      <x:c r="V2432" s="2" t="str">
        <x:v>2022-04-01</x:v>
      </x:c>
      <x:c r="W2432" s="2" t="str">
        <x:v>담당기관 확인</x:v>
      </x:c>
      <x:c r="X2432" s="2" t="str">
        <x:v>원본·배정 기록 확인</x:v>
      </x:c>
      <x:c r="Y2432" s="2" t="str">
        <x:v>ad210cd9ec132cfd447541c8984dc53d30aff0f4fb2dc92d254d49275cc55976</x:v>
      </x:c>
      <x:c r="Z2432" s="2" t="n">
        <x:f>SUBTOTAL(103,A2432)</x:f>
        <x:v>1</x:v>
      </x:c>
      <x:c r="AA2432" s="2" t="str">
        <x:f>IF(K2432&lt;&gt;"미종결 표시","대상 아님",IF(N2432="","신청일 확인",IF(NOT(ISNUMBER('종합 현황'!$H$5)),"관찰기준 확인",IF('종합 현황'!$H$5&lt;1,"관찰기준 확인",IF(N2432&gt;'종합 현황'!$H$5,"내부 관찰 대상","내부 관찰일 이하")))))</x:f>
        <x:v>대상 아님</x:v>
      </x:c>
      <x:c r="AB2432" s="2" t="str">
        <x:v>2020-12-01 13:31 - 신청
2021-01-27 10:45 - 문서재제출요청
2021-01-28 13:15 - 신청
2021-02-24 14:47 - 문서재제출요청
2021-03-19 13:12 - 신청
2021-05-18 13:43 - 문서재제출요청
2022-03-31 14:30 - 신청
2022-04-01 16:49 - 검토반려</x:v>
      </x:c>
    </x:row>
    <x:row r="2433" ht="42" customHeight="1">
      <x:c r="A2433" s="2" t="str">
        <x:v>f60f5143ab01b1b169fa2bcf</x:v>
      </x:c>
      <x:c r="B2433" s="2" t="str">
        <x:v>감축량 인증</x:v>
      </x:c>
      <x:c r="C2433" s="2" t="str">
        <x:v>국외</x:v>
      </x:c>
      <x:c r="D2433" s="7" t="str">
        <x:v>안전한 식수 공급을 위한 정수기 보급 사업 : CPA 44(한국 지원)</x:v>
      </x:c>
      <x:c r="E2433" s="2" t="str">
        <x:v>18</x:v>
      </x:c>
      <x:c r="F2433" s="2" t="str">
        <x:v>2020-12-01</x:v>
      </x:c>
      <x:c r="G2433" s="2" t="str">
        <x:v>2020</x:v>
      </x:c>
      <x:c r="H2433" s="2" t="str">
        <x:v>12</x:v>
      </x:c>
      <x:c r="I2433" s="2" t="str">
        <x:v>검토반려</x:v>
      </x:c>
      <x:c r="J2433" s="2" t="str">
        <x:v>반려</x:v>
      </x:c>
      <x:c r="K2433" s="2" t="str">
        <x:f>IF(OR(J2433="심의승인",J2433="반려",J2433="반려완료",J2433="심의완료"),"종결 표시",IF(OR(J2433="기후부협의",J2433="문서재제출요청",J2433="보류",J2433="보완요청",J2433="보완완료",J2433="평가중",J2433="반려요청",J2433="평가필요",LEFT(J2433,5)="보완요청("),"미종결 표시","상태 확인 필요"))</x:f>
        <x:v>종결 표시</x:v>
      </x:c>
      <x:c r="L2433" s="2"/>
      <x:c r="M2433" s="2"/>
      <x:c r="N2433" s="8" t="n">
        <x:f>DATE(2026,10,15)-DATE(2020,12,1)</x:f>
        <x:v>2144</x:v>
      </x:c>
      <x:c r="O2433" s="2"/>
      <x:c r="P2433" s="2"/>
      <x:c r="Q2433" s="2" t="str">
        <x:v>산업전환_외부사업관리Tool_260707_이너젠 수정_LJY_261013.xlsx</x:v>
      </x:c>
      <x:c r="R2433" s="2" t="str">
        <x:v>국외인증</x:v>
      </x:c>
      <x:c r="S2433" s="8" t="n">
        <x:v>20</x:v>
      </x:c>
      <x:c r="T2433" s="2"/>
      <x:c r="U2433" s="2" t="str"/>
      <x:c r="V2433" s="2" t="str">
        <x:v>2022-04-01</x:v>
      </x:c>
      <x:c r="W2433" s="2" t="str">
        <x:v>담당기관 확인</x:v>
      </x:c>
      <x:c r="X2433" s="2" t="str">
        <x:v>원본·배정 기록 확인</x:v>
      </x:c>
      <x:c r="Y2433" s="2" t="str">
        <x:v>ad210cd9ec132cfd447541c8984dc53d30aff0f4fb2dc92d254d49275cc55976</x:v>
      </x:c>
      <x:c r="Z2433" s="2" t="n">
        <x:f>SUBTOTAL(103,A2433)</x:f>
        <x:v>1</x:v>
      </x:c>
      <x:c r="AA2433" s="2" t="str">
        <x:f>IF(K2433&lt;&gt;"미종결 표시","대상 아님",IF(N2433="","신청일 확인",IF(NOT(ISNUMBER('종합 현황'!$H$5)),"관찰기준 확인",IF('종합 현황'!$H$5&lt;1,"관찰기준 확인",IF(N2433&gt;'종합 현황'!$H$5,"내부 관찰 대상","내부 관찰일 이하")))))</x:f>
        <x:v>대상 아님</x:v>
      </x:c>
      <x:c r="AB2433" s="2" t="str">
        <x:v>2020-12-01 13:31 - 신청
2021-01-27 10:45 - 문서재제출요청
2021-01-28 13:17 - 신청
2021-02-24 14:48 - 문서재제출요청
2021-03-19 13:12 - 신청
2021-05-18 13:42 - 문서재제출요청
2022-03-31 14:30 - 신청
2022-04-01 16:47 - 검토반려</x:v>
      </x:c>
    </x:row>
    <x:row r="2434" ht="42" customHeight="1">
      <x:c r="A2434" s="2" t="str">
        <x:v>68652b20b056b3ad30a3ce5a</x:v>
      </x:c>
      <x:c r="B2434" s="2" t="str">
        <x:v>감축량 인증</x:v>
      </x:c>
      <x:c r="C2434" s="2" t="str">
        <x:v>국외</x:v>
      </x:c>
      <x:c r="D2434" s="7" t="str">
        <x:v>안전한 식수 공급을 위한 정수기 보급 사업 : CPA 45(한국 지원)</x:v>
      </x:c>
      <x:c r="E2434" s="2" t="str">
        <x:v>19</x:v>
      </x:c>
      <x:c r="F2434" s="2" t="str">
        <x:v>2020-12-01</x:v>
      </x:c>
      <x:c r="G2434" s="2" t="str">
        <x:v>2020</x:v>
      </x:c>
      <x:c r="H2434" s="2" t="str">
        <x:v>12</x:v>
      </x:c>
      <x:c r="I2434" s="2" t="str">
        <x:v>검토반려</x:v>
      </x:c>
      <x:c r="J2434" s="2" t="str">
        <x:v>반려</x:v>
      </x:c>
      <x:c r="K2434" s="2" t="str">
        <x:f>IF(OR(J2434="심의승인",J2434="반려",J2434="반려완료",J2434="심의완료"),"종결 표시",IF(OR(J2434="기후부협의",J2434="문서재제출요청",J2434="보류",J2434="보완요청",J2434="보완완료",J2434="평가중",J2434="반려요청",J2434="평가필요",LEFT(J2434,5)="보완요청("),"미종결 표시","상태 확인 필요"))</x:f>
        <x:v>종결 표시</x:v>
      </x:c>
      <x:c r="L2434" s="2"/>
      <x:c r="M2434" s="2"/>
      <x:c r="N2434" s="8" t="n">
        <x:f>DATE(2026,10,15)-DATE(2020,12,1)</x:f>
        <x:v>2144</x:v>
      </x:c>
      <x:c r="O2434" s="2"/>
      <x:c r="P2434" s="2"/>
      <x:c r="Q2434" s="2" t="str">
        <x:v>산업전환_외부사업관리Tool_260707_이너젠 수정_LJY_261013.xlsx</x:v>
      </x:c>
      <x:c r="R2434" s="2" t="str">
        <x:v>국외인증</x:v>
      </x:c>
      <x:c r="S2434" s="8" t="n">
        <x:v>21</x:v>
      </x:c>
      <x:c r="T2434" s="2"/>
      <x:c r="U2434" s="2" t="str"/>
      <x:c r="V2434" s="2" t="str">
        <x:v>2022-04-01</x:v>
      </x:c>
      <x:c r="W2434" s="2" t="str">
        <x:v>담당기관 확인</x:v>
      </x:c>
      <x:c r="X2434" s="2" t="str">
        <x:v>원본·배정 기록 확인</x:v>
      </x:c>
      <x:c r="Y2434" s="2" t="str">
        <x:v>ad210cd9ec132cfd447541c8984dc53d30aff0f4fb2dc92d254d49275cc55976</x:v>
      </x:c>
      <x:c r="Z2434" s="2" t="n">
        <x:f>SUBTOTAL(103,A2434)</x:f>
        <x:v>1</x:v>
      </x:c>
      <x:c r="AA2434" s="2" t="str">
        <x:f>IF(K2434&lt;&gt;"미종결 표시","대상 아님",IF(N2434="","신청일 확인",IF(NOT(ISNUMBER('종합 현황'!$H$5)),"관찰기준 확인",IF('종합 현황'!$H$5&lt;1,"관찰기준 확인",IF(N2434&gt;'종합 현황'!$H$5,"내부 관찰 대상","내부 관찰일 이하")))))</x:f>
        <x:v>대상 아님</x:v>
      </x:c>
      <x:c r="AB2434" s="2" t="str">
        <x:v>2020-12-01 13:32 - 신청
2021-01-27 10:46 - 문서재제출요청
2021-01-28 13:18 - 신청
2021-02-24 14:48 - 문서재제출요청
2021-03-19 13:11 - 신청
2021-05-18 13:41 - 문서재제출요청
2022-03-31 14:30 - 신청
2022-04-01 16:46 - 검토반려</x:v>
      </x:c>
    </x:row>
    <x:row r="2435" ht="42" customHeight="1">
      <x:c r="A2435" s="2" t="str">
        <x:v>94e52fdad97c29c5cd27eb83</x:v>
      </x:c>
      <x:c r="B2435" s="2" t="str">
        <x:v>감축량 인증</x:v>
      </x:c>
      <x:c r="C2435" s="2" t="str">
        <x:v>국외</x:v>
      </x:c>
      <x:c r="D2435" s="7" t="str">
        <x:v>안전한 식수 공급을 위한 정수기 보급 사업 : CPA 46(한국 지원)</x:v>
      </x:c>
      <x:c r="E2435" s="2" t="str">
        <x:v>20</x:v>
      </x:c>
      <x:c r="F2435" s="2" t="str">
        <x:v>2020-12-01</x:v>
      </x:c>
      <x:c r="G2435" s="2" t="str">
        <x:v>2020</x:v>
      </x:c>
      <x:c r="H2435" s="2" t="str">
        <x:v>12</x:v>
      </x:c>
      <x:c r="I2435" s="2" t="str">
        <x:v>검토반려</x:v>
      </x:c>
      <x:c r="J2435" s="2" t="str">
        <x:v>반려</x:v>
      </x:c>
      <x:c r="K2435" s="2" t="str">
        <x:f>IF(OR(J2435="심의승인",J2435="반려",J2435="반려완료",J2435="심의완료"),"종결 표시",IF(OR(J2435="기후부협의",J2435="문서재제출요청",J2435="보류",J2435="보완요청",J2435="보완완료",J2435="평가중",J2435="반려요청",J2435="평가필요",LEFT(J2435,5)="보완요청("),"미종결 표시","상태 확인 필요"))</x:f>
        <x:v>종결 표시</x:v>
      </x:c>
      <x:c r="L2435" s="2"/>
      <x:c r="M2435" s="2"/>
      <x:c r="N2435" s="8" t="n">
        <x:f>DATE(2026,10,15)-DATE(2020,12,1)</x:f>
        <x:v>2144</x:v>
      </x:c>
      <x:c r="O2435" s="2"/>
      <x:c r="P2435" s="2"/>
      <x:c r="Q2435" s="2" t="str">
        <x:v>산업전환_외부사업관리Tool_260707_이너젠 수정_LJY_261013.xlsx</x:v>
      </x:c>
      <x:c r="R2435" s="2" t="str">
        <x:v>국외인증</x:v>
      </x:c>
      <x:c r="S2435" s="8" t="n">
        <x:v>22</x:v>
      </x:c>
      <x:c r="T2435" s="2"/>
      <x:c r="U2435" s="2" t="str"/>
      <x:c r="V2435" s="2" t="str">
        <x:v>2022-04-01</x:v>
      </x:c>
      <x:c r="W2435" s="2" t="str">
        <x:v>담당기관 확인</x:v>
      </x:c>
      <x:c r="X2435" s="2" t="str">
        <x:v>원본·배정 기록 확인</x:v>
      </x:c>
      <x:c r="Y2435" s="2" t="str">
        <x:v>ad210cd9ec132cfd447541c8984dc53d30aff0f4fb2dc92d254d49275cc55976</x:v>
      </x:c>
      <x:c r="Z2435" s="2" t="n">
        <x:f>SUBTOTAL(103,A2435)</x:f>
        <x:v>1</x:v>
      </x:c>
      <x:c r="AA2435" s="2" t="str">
        <x:f>IF(K2435&lt;&gt;"미종결 표시","대상 아님",IF(N2435="","신청일 확인",IF(NOT(ISNUMBER('종합 현황'!$H$5)),"관찰기준 확인",IF('종합 현황'!$H$5&lt;1,"관찰기준 확인",IF(N2435&gt;'종합 현황'!$H$5,"내부 관찰 대상","내부 관찰일 이하")))))</x:f>
        <x:v>대상 아님</x:v>
      </x:c>
      <x:c r="AB2435" s="2" t="str">
        <x:v>2020-12-01 13:32 - 신청
2021-01-27 10:46 - 문서재제출요청
2021-01-28 13:19 - 신청
2021-02-24 14:48 - 문서재제출요청
2021-03-19 13:11 - 신청
2021-05-18 13:20 - 문서재제출요청
2022-03-31 14:30 - 신청
2022-04-01 16:44 - 검토반려</x:v>
      </x:c>
    </x:row>
    <x:row r="2436" ht="42" customHeight="1">
      <x:c r="A2436" s="2" t="str">
        <x:v>add5e9d5886a157ab699aec6</x:v>
      </x:c>
      <x:c r="B2436" s="2" t="str">
        <x:v>감축량 인증</x:v>
      </x:c>
      <x:c r="C2436" s="2" t="str">
        <x:v>국외</x:v>
      </x:c>
      <x:c r="D2436" s="7" t="str">
        <x:v>안전한 식수 공급을 위한 정수기 보급 사업 : CPA 47(한국 지원)</x:v>
      </x:c>
      <x:c r="E2436" s="2" t="str">
        <x:v>21</x:v>
      </x:c>
      <x:c r="F2436" s="2" t="str">
        <x:v>2020-12-01</x:v>
      </x:c>
      <x:c r="G2436" s="2" t="str">
        <x:v>2020</x:v>
      </x:c>
      <x:c r="H2436" s="2" t="str">
        <x:v>12</x:v>
      </x:c>
      <x:c r="I2436" s="2" t="str">
        <x:v>검토반려</x:v>
      </x:c>
      <x:c r="J2436" s="2" t="str">
        <x:v>반려</x:v>
      </x:c>
      <x:c r="K2436" s="2" t="str">
        <x:f>IF(OR(J2436="심의승인",J2436="반려",J2436="반려완료",J2436="심의완료"),"종결 표시",IF(OR(J2436="기후부협의",J2436="문서재제출요청",J2436="보류",J2436="보완요청",J2436="보완완료",J2436="평가중",J2436="반려요청",J2436="평가필요",LEFT(J2436,5)="보완요청("),"미종결 표시","상태 확인 필요"))</x:f>
        <x:v>종결 표시</x:v>
      </x:c>
      <x:c r="L2436" s="2"/>
      <x:c r="M2436" s="2"/>
      <x:c r="N2436" s="8" t="n">
        <x:f>DATE(2026,10,15)-DATE(2020,12,1)</x:f>
        <x:v>2144</x:v>
      </x:c>
      <x:c r="O2436" s="2"/>
      <x:c r="P2436" s="2"/>
      <x:c r="Q2436" s="2" t="str">
        <x:v>산업전환_외부사업관리Tool_260707_이너젠 수정_LJY_261013.xlsx</x:v>
      </x:c>
      <x:c r="R2436" s="2" t="str">
        <x:v>국외인증</x:v>
      </x:c>
      <x:c r="S2436" s="8" t="n">
        <x:v>23</x:v>
      </x:c>
      <x:c r="T2436" s="2"/>
      <x:c r="U2436" s="2" t="str"/>
      <x:c r="V2436" s="2" t="str">
        <x:v>2022-04-01</x:v>
      </x:c>
      <x:c r="W2436" s="2" t="str">
        <x:v>담당기관 확인</x:v>
      </x:c>
      <x:c r="X2436" s="2" t="str">
        <x:v>원본·배정 기록 확인</x:v>
      </x:c>
      <x:c r="Y2436" s="2" t="str">
        <x:v>ad210cd9ec132cfd447541c8984dc53d30aff0f4fb2dc92d254d49275cc55976</x:v>
      </x:c>
      <x:c r="Z2436" s="2" t="n">
        <x:f>SUBTOTAL(103,A2436)</x:f>
        <x:v>1</x:v>
      </x:c>
      <x:c r="AA2436" s="2" t="str">
        <x:f>IF(K2436&lt;&gt;"미종결 표시","대상 아님",IF(N2436="","신청일 확인",IF(NOT(ISNUMBER('종합 현황'!$H$5)),"관찰기준 확인",IF('종합 현황'!$H$5&lt;1,"관찰기준 확인",IF(N2436&gt;'종합 현황'!$H$5,"내부 관찰 대상","내부 관찰일 이하")))))</x:f>
        <x:v>대상 아님</x:v>
      </x:c>
      <x:c r="AB2436" s="2" t="str">
        <x:v>2020-12-01 13:32 - 신청
2021-01-27 10:46 - 문서재제출요청
2021-01-28 13:19 - 신청
2021-02-24 14:49 - 문서재제출요청
2021-03-19 13:11 - 신청
2021-05-18 13:20 - 문서재제출요청
2022-03-31 14:31 - 신청
2022-04-01 16:44 - 검토반려</x:v>
      </x:c>
    </x:row>
    <x:row r="2437" ht="42" customHeight="1">
      <x:c r="A2437" s="2" t="str">
        <x:v>efcc7a87855ddf8afa7ea61f</x:v>
      </x:c>
      <x:c r="B2437" s="2" t="str">
        <x:v>감축량 인증</x:v>
      </x:c>
      <x:c r="C2437" s="2" t="str">
        <x:v>국외</x:v>
      </x:c>
      <x:c r="D2437" s="7" t="str">
        <x:v>안전한 식수 공급을 위한 정수기 보급 사업 : CPA 48(한국 지원)</x:v>
      </x:c>
      <x:c r="E2437" s="2" t="str">
        <x:v>22</x:v>
      </x:c>
      <x:c r="F2437" s="2" t="str">
        <x:v>2020-12-01</x:v>
      </x:c>
      <x:c r="G2437" s="2" t="str">
        <x:v>2020</x:v>
      </x:c>
      <x:c r="H2437" s="2" t="str">
        <x:v>12</x:v>
      </x:c>
      <x:c r="I2437" s="2" t="str">
        <x:v>검토반려</x:v>
      </x:c>
      <x:c r="J2437" s="2" t="str">
        <x:v>반려</x:v>
      </x:c>
      <x:c r="K2437" s="2" t="str">
        <x:f>IF(OR(J2437="심의승인",J2437="반려",J2437="반려완료",J2437="심의완료"),"종결 표시",IF(OR(J2437="기후부협의",J2437="문서재제출요청",J2437="보류",J2437="보완요청",J2437="보완완료",J2437="평가중",J2437="반려요청",J2437="평가필요",LEFT(J2437,5)="보완요청("),"미종결 표시","상태 확인 필요"))</x:f>
        <x:v>종결 표시</x:v>
      </x:c>
      <x:c r="L2437" s="2"/>
      <x:c r="M2437" s="2"/>
      <x:c r="N2437" s="8" t="n">
        <x:f>DATE(2026,10,15)-DATE(2020,12,1)</x:f>
        <x:v>2144</x:v>
      </x:c>
      <x:c r="O2437" s="2"/>
      <x:c r="P2437" s="2"/>
      <x:c r="Q2437" s="2" t="str">
        <x:v>산업전환_외부사업관리Tool_260707_이너젠 수정_LJY_261013.xlsx</x:v>
      </x:c>
      <x:c r="R2437" s="2" t="str">
        <x:v>국외인증</x:v>
      </x:c>
      <x:c r="S2437" s="8" t="n">
        <x:v>24</x:v>
      </x:c>
      <x:c r="T2437" s="2"/>
      <x:c r="U2437" s="2" t="str"/>
      <x:c r="V2437" s="2" t="str">
        <x:v>2022-04-01</x:v>
      </x:c>
      <x:c r="W2437" s="2" t="str">
        <x:v>담당기관 확인</x:v>
      </x:c>
      <x:c r="X2437" s="2" t="str">
        <x:v>원본·배정 기록 확인</x:v>
      </x:c>
      <x:c r="Y2437" s="2" t="str">
        <x:v>ad210cd9ec132cfd447541c8984dc53d30aff0f4fb2dc92d254d49275cc55976</x:v>
      </x:c>
      <x:c r="Z2437" s="2" t="n">
        <x:f>SUBTOTAL(103,A2437)</x:f>
        <x:v>1</x:v>
      </x:c>
      <x:c r="AA2437" s="2" t="str">
        <x:f>IF(K2437&lt;&gt;"미종결 표시","대상 아님",IF(N2437="","신청일 확인",IF(NOT(ISNUMBER('종합 현황'!$H$5)),"관찰기준 확인",IF('종합 현황'!$H$5&lt;1,"관찰기준 확인",IF(N2437&gt;'종합 현황'!$H$5,"내부 관찰 대상","내부 관찰일 이하")))))</x:f>
        <x:v>대상 아님</x:v>
      </x:c>
      <x:c r="AB2437" s="2" t="str">
        <x:v>2020-12-01 13:33 - 신청
2021-01-27 10:46 - 문서재제출요청
2021-01-28 13:19 - 신청
2021-02-24 14:49 - 문서재제출요청
2021-03-19 13:11 - 신청
2021-05-18 13:19 - 문서재제출요청
2022-03-31 14:31 - 신청
2022-04-01 16:43 - 검토반려</x:v>
      </x:c>
    </x:row>
    <x:row r="2438" ht="42" customHeight="1">
      <x:c r="A2438" s="2" t="str">
        <x:v>e602fe22f0bdd27a67d121d4</x:v>
      </x:c>
      <x:c r="B2438" s="2" t="str">
        <x:v>감축량 인증</x:v>
      </x:c>
      <x:c r="C2438" s="2" t="str">
        <x:v>국외</x:v>
      </x:c>
      <x:c r="D2438" s="7" t="str">
        <x:v>안전한 식수 공급을 위한 정수기 보급 사업 : CPA 49(한국 지원)</x:v>
      </x:c>
      <x:c r="E2438" s="2" t="str">
        <x:v>23</x:v>
      </x:c>
      <x:c r="F2438" s="2" t="str">
        <x:v>2020-12-01</x:v>
      </x:c>
      <x:c r="G2438" s="2" t="str">
        <x:v>2020</x:v>
      </x:c>
      <x:c r="H2438" s="2" t="str">
        <x:v>12</x:v>
      </x:c>
      <x:c r="I2438" s="2" t="str">
        <x:v>검토반려</x:v>
      </x:c>
      <x:c r="J2438" s="2" t="str">
        <x:v>반려</x:v>
      </x:c>
      <x:c r="K2438" s="2" t="str">
        <x:f>IF(OR(J2438="심의승인",J2438="반려",J2438="반려완료",J2438="심의완료"),"종결 표시",IF(OR(J2438="기후부협의",J2438="문서재제출요청",J2438="보류",J2438="보완요청",J2438="보완완료",J2438="평가중",J2438="반려요청",J2438="평가필요",LEFT(J2438,5)="보완요청("),"미종결 표시","상태 확인 필요"))</x:f>
        <x:v>종결 표시</x:v>
      </x:c>
      <x:c r="L2438" s="2"/>
      <x:c r="M2438" s="2"/>
      <x:c r="N2438" s="8" t="n">
        <x:f>DATE(2026,10,15)-DATE(2020,12,1)</x:f>
        <x:v>2144</x:v>
      </x:c>
      <x:c r="O2438" s="2"/>
      <x:c r="P2438" s="2"/>
      <x:c r="Q2438" s="2" t="str">
        <x:v>산업전환_외부사업관리Tool_260707_이너젠 수정_LJY_261013.xlsx</x:v>
      </x:c>
      <x:c r="R2438" s="2" t="str">
        <x:v>국외인증</x:v>
      </x:c>
      <x:c r="S2438" s="8" t="n">
        <x:v>25</x:v>
      </x:c>
      <x:c r="T2438" s="2"/>
      <x:c r="U2438" s="2" t="str"/>
      <x:c r="V2438" s="2" t="str">
        <x:v>2022-04-01</x:v>
      </x:c>
      <x:c r="W2438" s="2" t="str">
        <x:v>담당기관 확인</x:v>
      </x:c>
      <x:c r="X2438" s="2" t="str">
        <x:v>원본·배정 기록 확인</x:v>
      </x:c>
      <x:c r="Y2438" s="2" t="str">
        <x:v>ad210cd9ec132cfd447541c8984dc53d30aff0f4fb2dc92d254d49275cc55976</x:v>
      </x:c>
      <x:c r="Z2438" s="2" t="n">
        <x:f>SUBTOTAL(103,A2438)</x:f>
        <x:v>1</x:v>
      </x:c>
      <x:c r="AA2438" s="2" t="str">
        <x:f>IF(K2438&lt;&gt;"미종결 표시","대상 아님",IF(N2438="","신청일 확인",IF(NOT(ISNUMBER('종합 현황'!$H$5)),"관찰기준 확인",IF('종합 현황'!$H$5&lt;1,"관찰기준 확인",IF(N2438&gt;'종합 현황'!$H$5,"내부 관찰 대상","내부 관찰일 이하")))))</x:f>
        <x:v>대상 아님</x:v>
      </x:c>
      <x:c r="AB2438" s="2" t="str">
        <x:v>2020-12-01 13:33 - 신청
2021-01-27 10:47 - 문서재제출요청
2021-01-28 13:20 - 신청
2021-02-24 14:49 - 문서재제출요청
2021-03-19 13:10 - 신청
2021-05-18 13:19 - 문서재제출요청
2022-03-31 14:31 - 신청
2022-04-01 16:42 - 검토반려</x:v>
      </x:c>
    </x:row>
    <x:row r="2439" ht="42" customHeight="1">
      <x:c r="A2439" s="2" t="str">
        <x:v>100a3b73f7a5bed7e0276618</x:v>
      </x:c>
      <x:c r="B2439" s="2" t="str">
        <x:v>감축량 인증</x:v>
      </x:c>
      <x:c r="C2439" s="2" t="str">
        <x:v>국외</x:v>
      </x:c>
      <x:c r="D2439" s="7" t="str">
        <x:v>안전한 식수 공급을 위한 정수기 보급 사업 : CPA 50(한국 지원)</x:v>
      </x:c>
      <x:c r="E2439" s="2" t="str">
        <x:v>24</x:v>
      </x:c>
      <x:c r="F2439" s="2" t="str">
        <x:v>2020-12-01</x:v>
      </x:c>
      <x:c r="G2439" s="2" t="str">
        <x:v>2020</x:v>
      </x:c>
      <x:c r="H2439" s="2" t="str">
        <x:v>12</x:v>
      </x:c>
      <x:c r="I2439" s="2" t="str">
        <x:v>검토반려</x:v>
      </x:c>
      <x:c r="J2439" s="2" t="str">
        <x:v>반려</x:v>
      </x:c>
      <x:c r="K2439" s="2" t="str">
        <x:f>IF(OR(J2439="심의승인",J2439="반려",J2439="반려완료",J2439="심의완료"),"종결 표시",IF(OR(J2439="기후부협의",J2439="문서재제출요청",J2439="보류",J2439="보완요청",J2439="보완완료",J2439="평가중",J2439="반려요청",J2439="평가필요",LEFT(J2439,5)="보완요청("),"미종결 표시","상태 확인 필요"))</x:f>
        <x:v>종결 표시</x:v>
      </x:c>
      <x:c r="L2439" s="2"/>
      <x:c r="M2439" s="2"/>
      <x:c r="N2439" s="8" t="n">
        <x:f>DATE(2026,10,15)-DATE(2020,12,1)</x:f>
        <x:v>2144</x:v>
      </x:c>
      <x:c r="O2439" s="2"/>
      <x:c r="P2439" s="2"/>
      <x:c r="Q2439" s="2" t="str">
        <x:v>산업전환_외부사업관리Tool_260707_이너젠 수정_LJY_261013.xlsx</x:v>
      </x:c>
      <x:c r="R2439" s="2" t="str">
        <x:v>국외인증</x:v>
      </x:c>
      <x:c r="S2439" s="8" t="n">
        <x:v>26</x:v>
      </x:c>
      <x:c r="T2439" s="2"/>
      <x:c r="U2439" s="2" t="str"/>
      <x:c r="V2439" s="2" t="str">
        <x:v>2022-04-01</x:v>
      </x:c>
      <x:c r="W2439" s="2" t="str">
        <x:v>담당기관 확인</x:v>
      </x:c>
      <x:c r="X2439" s="2" t="str">
        <x:v>원본·배정 기록 확인</x:v>
      </x:c>
      <x:c r="Y2439" s="2" t="str">
        <x:v>ad210cd9ec132cfd447541c8984dc53d30aff0f4fb2dc92d254d49275cc55976</x:v>
      </x:c>
      <x:c r="Z2439" s="2" t="n">
        <x:f>SUBTOTAL(103,A2439)</x:f>
        <x:v>1</x:v>
      </x:c>
      <x:c r="AA2439" s="2" t="str">
        <x:f>IF(K2439&lt;&gt;"미종결 표시","대상 아님",IF(N2439="","신청일 확인",IF(NOT(ISNUMBER('종합 현황'!$H$5)),"관찰기준 확인",IF('종합 현황'!$H$5&lt;1,"관찰기준 확인",IF(N2439&gt;'종합 현황'!$H$5,"내부 관찰 대상","내부 관찰일 이하")))))</x:f>
        <x:v>대상 아님</x:v>
      </x:c>
      <x:c r="AB2439" s="2" t="str">
        <x:v>2020-12-01 13:33 - 신청
2021-01-27 10:47 - 문서재제출요청
2021-01-28 13:20 - 신청
2021-02-24 14:50 - 문서재제출요청
2021-03-19 13:10 - 신청
2021-05-18 13:18 - 문서재제출요청
2022-03-31 14:31 - 신청
2022-04-01 16:41 - 검토반려</x:v>
      </x:c>
    </x:row>
    <x:row r="2440" ht="42" customHeight="1">
      <x:c r="A2440" s="2" t="str">
        <x:v>6c3fbbec60e2ea5bdeb4c41c</x:v>
      </x:c>
      <x:c r="B2440" s="2" t="str">
        <x:v>감축량 인증</x:v>
      </x:c>
      <x:c r="C2440" s="2" t="str">
        <x:v>국외</x:v>
      </x:c>
      <x:c r="D2440" s="7" t="str">
        <x:v>안전한 식수 공급을 위한 정수기 보급 사업 : CPA 51(한국 지원)</x:v>
      </x:c>
      <x:c r="E2440" s="2" t="str">
        <x:v>25</x:v>
      </x:c>
      <x:c r="F2440" s="2" t="str">
        <x:v>2020-12-01</x:v>
      </x:c>
      <x:c r="G2440" s="2" t="str">
        <x:v>2020</x:v>
      </x:c>
      <x:c r="H2440" s="2" t="str">
        <x:v>12</x:v>
      </x:c>
      <x:c r="I2440" s="2" t="str">
        <x:v>검토반려</x:v>
      </x:c>
      <x:c r="J2440" s="2" t="str">
        <x:v>반려</x:v>
      </x:c>
      <x:c r="K2440" s="2" t="str">
        <x:f>IF(OR(J2440="심의승인",J2440="반려",J2440="반려완료",J2440="심의완료"),"종결 표시",IF(OR(J2440="기후부협의",J2440="문서재제출요청",J2440="보류",J2440="보완요청",J2440="보완완료",J2440="평가중",J2440="반려요청",J2440="평가필요",LEFT(J2440,5)="보완요청("),"미종결 표시","상태 확인 필요"))</x:f>
        <x:v>종결 표시</x:v>
      </x:c>
      <x:c r="L2440" s="2"/>
      <x:c r="M2440" s="2"/>
      <x:c r="N2440" s="8" t="n">
        <x:f>DATE(2026,10,15)-DATE(2020,12,1)</x:f>
        <x:v>2144</x:v>
      </x:c>
      <x:c r="O2440" s="2"/>
      <x:c r="P2440" s="2"/>
      <x:c r="Q2440" s="2" t="str">
        <x:v>산업전환_외부사업관리Tool_260707_이너젠 수정_LJY_261013.xlsx</x:v>
      </x:c>
      <x:c r="R2440" s="2" t="str">
        <x:v>국외인증</x:v>
      </x:c>
      <x:c r="S2440" s="8" t="n">
        <x:v>27</x:v>
      </x:c>
      <x:c r="T2440" s="2"/>
      <x:c r="U2440" s="2" t="str"/>
      <x:c r="V2440" s="2" t="str">
        <x:v>2022-04-01</x:v>
      </x:c>
      <x:c r="W2440" s="2" t="str">
        <x:v>담당기관 확인</x:v>
      </x:c>
      <x:c r="X2440" s="2" t="str">
        <x:v>원본·배정 기록 확인</x:v>
      </x:c>
      <x:c r="Y2440" s="2" t="str">
        <x:v>ad210cd9ec132cfd447541c8984dc53d30aff0f4fb2dc92d254d49275cc55976</x:v>
      </x:c>
      <x:c r="Z2440" s="2" t="n">
        <x:f>SUBTOTAL(103,A2440)</x:f>
        <x:v>1</x:v>
      </x:c>
      <x:c r="AA2440" s="2" t="str">
        <x:f>IF(K2440&lt;&gt;"미종결 표시","대상 아님",IF(N2440="","신청일 확인",IF(NOT(ISNUMBER('종합 현황'!$H$5)),"관찰기준 확인",IF('종합 현황'!$H$5&lt;1,"관찰기준 확인",IF(N2440&gt;'종합 현황'!$H$5,"내부 관찰 대상","내부 관찰일 이하")))))</x:f>
        <x:v>대상 아님</x:v>
      </x:c>
      <x:c r="AB2440" s="2" t="str">
        <x:v>2020-12-01 13:33 - 신청
2021-01-27 10:47 - 문서재제출요청
2021-01-28 13:20 - 신청
2021-02-24 14:50 - 문서재제출요청
2021-03-19 13:10 - 신청
2021-05-18 13:18 - 문서재제출요청
2022-03-31 14:32 - 신청
2022-04-01 16:39 - 검토반려</x:v>
      </x:c>
    </x:row>
    <x:row r="2441" ht="42" customHeight="1">
      <x:c r="A2441" s="2" t="str">
        <x:v>0bbcb273ccc1111edea0a1f4</x:v>
      </x:c>
      <x:c r="B2441" s="2" t="str">
        <x:v>감축량 인증</x:v>
      </x:c>
      <x:c r="C2441" s="2" t="str">
        <x:v>국외</x:v>
      </x:c>
      <x:c r="D2441" s="7" t="str">
        <x:v>안전한 식수 공급을 위한 정수기 보급 사업 : CPA 52(한국 지원)</x:v>
      </x:c>
      <x:c r="E2441" s="2" t="str">
        <x:v>26</x:v>
      </x:c>
      <x:c r="F2441" s="2" t="str">
        <x:v>2020-12-01</x:v>
      </x:c>
      <x:c r="G2441" s="2" t="str">
        <x:v>2020</x:v>
      </x:c>
      <x:c r="H2441" s="2" t="str">
        <x:v>12</x:v>
      </x:c>
      <x:c r="I2441" s="2" t="str">
        <x:v>검토반려</x:v>
      </x:c>
      <x:c r="J2441" s="2" t="str">
        <x:v>반려</x:v>
      </x:c>
      <x:c r="K2441" s="2" t="str">
        <x:f>IF(OR(J2441="심의승인",J2441="반려",J2441="반려완료",J2441="심의완료"),"종결 표시",IF(OR(J2441="기후부협의",J2441="문서재제출요청",J2441="보류",J2441="보완요청",J2441="보완완료",J2441="평가중",J2441="반려요청",J2441="평가필요",LEFT(J2441,5)="보완요청("),"미종결 표시","상태 확인 필요"))</x:f>
        <x:v>종결 표시</x:v>
      </x:c>
      <x:c r="L2441" s="2"/>
      <x:c r="M2441" s="2"/>
      <x:c r="N2441" s="8" t="n">
        <x:f>DATE(2026,10,15)-DATE(2020,12,1)</x:f>
        <x:v>2144</x:v>
      </x:c>
      <x:c r="O2441" s="2"/>
      <x:c r="P2441" s="2"/>
      <x:c r="Q2441" s="2" t="str">
        <x:v>산업전환_외부사업관리Tool_260707_이너젠 수정_LJY_261013.xlsx</x:v>
      </x:c>
      <x:c r="R2441" s="2" t="str">
        <x:v>국외인증</x:v>
      </x:c>
      <x:c r="S2441" s="8" t="n">
        <x:v>28</x:v>
      </x:c>
      <x:c r="T2441" s="2"/>
      <x:c r="U2441" s="2" t="str"/>
      <x:c r="V2441" s="2" t="str">
        <x:v>2022-04-01</x:v>
      </x:c>
      <x:c r="W2441" s="2" t="str">
        <x:v>담당기관 확인</x:v>
      </x:c>
      <x:c r="X2441" s="2" t="str">
        <x:v>원본·배정 기록 확인</x:v>
      </x:c>
      <x:c r="Y2441" s="2" t="str">
        <x:v>ad210cd9ec132cfd447541c8984dc53d30aff0f4fb2dc92d254d49275cc55976</x:v>
      </x:c>
      <x:c r="Z2441" s="2" t="n">
        <x:f>SUBTOTAL(103,A2441)</x:f>
        <x:v>1</x:v>
      </x:c>
      <x:c r="AA2441" s="2" t="str">
        <x:f>IF(K2441&lt;&gt;"미종결 표시","대상 아님",IF(N2441="","신청일 확인",IF(NOT(ISNUMBER('종합 현황'!$H$5)),"관찰기준 확인",IF('종합 현황'!$H$5&lt;1,"관찰기준 확인",IF(N2441&gt;'종합 현황'!$H$5,"내부 관찰 대상","내부 관찰일 이하")))))</x:f>
        <x:v>대상 아님</x:v>
      </x:c>
      <x:c r="AB2441" s="2" t="str">
        <x:v>2020-12-01 13:34 - 신청
2021-01-27 10:47 - 문서재제출요청
2021-01-28 13:20 - 신청
2021-02-24 14:50 - 문서재제출요청
2021-03-19 13:09 - 신청
2021-05-18 13:17 - 문서재제출요청
2022-03-31 14:32 - 신청
2022-04-01 16:39 - 검토반려</x:v>
      </x:c>
    </x:row>
    <x:row r="2442" ht="42" customHeight="1">
      <x:c r="A2442" s="2" t="str">
        <x:v>6957defe79de0d8bed7822ce</x:v>
      </x:c>
      <x:c r="B2442" s="2" t="str">
        <x:v>감축량 인증</x:v>
      </x:c>
      <x:c r="C2442" s="2" t="str">
        <x:v>국외</x:v>
      </x:c>
      <x:c r="D2442" s="7" t="str">
        <x:v>안전한 식수 공급을 위한 정수기 보급 사업 : CPA 53(한국 지원)</x:v>
      </x:c>
      <x:c r="E2442" s="2" t="str">
        <x:v>27</x:v>
      </x:c>
      <x:c r="F2442" s="2" t="str">
        <x:v>2020-12-01</x:v>
      </x:c>
      <x:c r="G2442" s="2" t="str">
        <x:v>2020</x:v>
      </x:c>
      <x:c r="H2442" s="2" t="str">
        <x:v>12</x:v>
      </x:c>
      <x:c r="I2442" s="2" t="str">
        <x:v>검토반려</x:v>
      </x:c>
      <x:c r="J2442" s="2" t="str">
        <x:v>반려</x:v>
      </x:c>
      <x:c r="K2442" s="2" t="str">
        <x:f>IF(OR(J2442="심의승인",J2442="반려",J2442="반려완료",J2442="심의완료"),"종결 표시",IF(OR(J2442="기후부협의",J2442="문서재제출요청",J2442="보류",J2442="보완요청",J2442="보완완료",J2442="평가중",J2442="반려요청",J2442="평가필요",LEFT(J2442,5)="보완요청("),"미종결 표시","상태 확인 필요"))</x:f>
        <x:v>종결 표시</x:v>
      </x:c>
      <x:c r="L2442" s="2"/>
      <x:c r="M2442" s="2"/>
      <x:c r="N2442" s="8" t="n">
        <x:f>DATE(2026,10,15)-DATE(2020,12,1)</x:f>
        <x:v>2144</x:v>
      </x:c>
      <x:c r="O2442" s="2"/>
      <x:c r="P2442" s="2"/>
      <x:c r="Q2442" s="2" t="str">
        <x:v>산업전환_외부사업관리Tool_260707_이너젠 수정_LJY_261013.xlsx</x:v>
      </x:c>
      <x:c r="R2442" s="2" t="str">
        <x:v>국외인증</x:v>
      </x:c>
      <x:c r="S2442" s="8" t="n">
        <x:v>29</x:v>
      </x:c>
      <x:c r="T2442" s="2"/>
      <x:c r="U2442" s="2" t="str"/>
      <x:c r="V2442" s="2" t="str">
        <x:v>2022-04-01</x:v>
      </x:c>
      <x:c r="W2442" s="2" t="str">
        <x:v>담당기관 확인</x:v>
      </x:c>
      <x:c r="X2442" s="2" t="str">
        <x:v>원본·배정 기록 확인</x:v>
      </x:c>
      <x:c r="Y2442" s="2" t="str">
        <x:v>ad210cd9ec132cfd447541c8984dc53d30aff0f4fb2dc92d254d49275cc55976</x:v>
      </x:c>
      <x:c r="Z2442" s="2" t="n">
        <x:f>SUBTOTAL(103,A2442)</x:f>
        <x:v>1</x:v>
      </x:c>
      <x:c r="AA2442" s="2" t="str">
        <x:f>IF(K2442&lt;&gt;"미종결 표시","대상 아님",IF(N2442="","신청일 확인",IF(NOT(ISNUMBER('종합 현황'!$H$5)),"관찰기준 확인",IF('종합 현황'!$H$5&lt;1,"관찰기준 확인",IF(N2442&gt;'종합 현황'!$H$5,"내부 관찰 대상","내부 관찰일 이하")))))</x:f>
        <x:v>대상 아님</x:v>
      </x:c>
      <x:c r="AB2442" s="2" t="str">
        <x:v>2020-12-01 13:34 - 신청
2021-01-27 10:47 - 문서재제출요청
2021-01-28 13:21 - 신청
2021-02-24 14:51 - 문서재제출요청
2021-03-19 13:09 - 신청
2021-05-18 13:17 - 문서재제출요청
2022-03-31 14:32 - 신청
2022-04-01 16:38 - 검토반려</x:v>
      </x:c>
    </x:row>
    <x:row r="2443" ht="42" customHeight="1">
      <x:c r="A2443" s="2" t="str">
        <x:v>29c8e93a56e40689081bec60</x:v>
      </x:c>
      <x:c r="B2443" s="2" t="str">
        <x:v>감축량 인증</x:v>
      </x:c>
      <x:c r="C2443" s="2" t="str">
        <x:v>국외</x:v>
      </x:c>
      <x:c r="D2443" s="7" t="str">
        <x:v>안전한 식수 공급을 위한 정수기 보급 사업 : CPA 54(한국 지원)</x:v>
      </x:c>
      <x:c r="E2443" s="2" t="str">
        <x:v>28</x:v>
      </x:c>
      <x:c r="F2443" s="2" t="str">
        <x:v>2020-12-01</x:v>
      </x:c>
      <x:c r="G2443" s="2" t="str">
        <x:v>2020</x:v>
      </x:c>
      <x:c r="H2443" s="2" t="str">
        <x:v>12</x:v>
      </x:c>
      <x:c r="I2443" s="2" t="str">
        <x:v>검토반려</x:v>
      </x:c>
      <x:c r="J2443" s="2" t="str">
        <x:v>반려</x:v>
      </x:c>
      <x:c r="K2443" s="2" t="str">
        <x:f>IF(OR(J2443="심의승인",J2443="반려",J2443="반려완료",J2443="심의완료"),"종결 표시",IF(OR(J2443="기후부협의",J2443="문서재제출요청",J2443="보류",J2443="보완요청",J2443="보완완료",J2443="평가중",J2443="반려요청",J2443="평가필요",LEFT(J2443,5)="보완요청("),"미종결 표시","상태 확인 필요"))</x:f>
        <x:v>종결 표시</x:v>
      </x:c>
      <x:c r="L2443" s="2"/>
      <x:c r="M2443" s="2"/>
      <x:c r="N2443" s="8" t="n">
        <x:f>DATE(2026,10,15)-DATE(2020,12,1)</x:f>
        <x:v>2144</x:v>
      </x:c>
      <x:c r="O2443" s="2"/>
      <x:c r="P2443" s="2"/>
      <x:c r="Q2443" s="2" t="str">
        <x:v>산업전환_외부사업관리Tool_260707_이너젠 수정_LJY_261013.xlsx</x:v>
      </x:c>
      <x:c r="R2443" s="2" t="str">
        <x:v>국외인증</x:v>
      </x:c>
      <x:c r="S2443" s="8" t="n">
        <x:v>30</x:v>
      </x:c>
      <x:c r="T2443" s="2"/>
      <x:c r="U2443" s="2" t="str"/>
      <x:c r="V2443" s="2" t="str">
        <x:v>2022-04-01</x:v>
      </x:c>
      <x:c r="W2443" s="2" t="str">
        <x:v>담당기관 확인</x:v>
      </x:c>
      <x:c r="X2443" s="2" t="str">
        <x:v>원본·배정 기록 확인</x:v>
      </x:c>
      <x:c r="Y2443" s="2" t="str">
        <x:v>ad210cd9ec132cfd447541c8984dc53d30aff0f4fb2dc92d254d49275cc55976</x:v>
      </x:c>
      <x:c r="Z2443" s="2" t="n">
        <x:f>SUBTOTAL(103,A2443)</x:f>
        <x:v>1</x:v>
      </x:c>
      <x:c r="AA2443" s="2" t="str">
        <x:f>IF(K2443&lt;&gt;"미종결 표시","대상 아님",IF(N2443="","신청일 확인",IF(NOT(ISNUMBER('종합 현황'!$H$5)),"관찰기준 확인",IF('종합 현황'!$H$5&lt;1,"관찰기준 확인",IF(N2443&gt;'종합 현황'!$H$5,"내부 관찰 대상","내부 관찰일 이하")))))</x:f>
        <x:v>대상 아님</x:v>
      </x:c>
      <x:c r="AB2443" s="2" t="str">
        <x:v>2020-12-01 13:34 - 신청
2021-01-27 10:48 - 문서재제출요청
2021-01-28 13:21 - 신청
2021-02-24 14:51 - 문서재제출요청
2021-03-19 13:09 - 신청
2021-05-18 13:16 - 문서재제출요청
2022-03-31 14:32 - 신청
2022-04-01 16:37 - 검토반려</x:v>
      </x:c>
    </x:row>
    <x:row r="2444" ht="42" customHeight="1">
      <x:c r="A2444" s="2" t="str">
        <x:v>0c08aa3fde5390e9249a0a63</x:v>
      </x:c>
      <x:c r="B2444" s="2" t="str">
        <x:v>감축량 인증</x:v>
      </x:c>
      <x:c r="C2444" s="2" t="str">
        <x:v>국외</x:v>
      </x:c>
      <x:c r="D2444" s="7" t="str">
        <x:v>안전한 식수 공급을 위한 정수기 보급 사업 : CPA 55(한국 지원)</x:v>
      </x:c>
      <x:c r="E2444" s="2" t="str">
        <x:v>29</x:v>
      </x:c>
      <x:c r="F2444" s="2" t="str">
        <x:v>2020-12-01</x:v>
      </x:c>
      <x:c r="G2444" s="2" t="str">
        <x:v>2020</x:v>
      </x:c>
      <x:c r="H2444" s="2" t="str">
        <x:v>12</x:v>
      </x:c>
      <x:c r="I2444" s="2" t="str">
        <x:v>검토반려</x:v>
      </x:c>
      <x:c r="J2444" s="2" t="str">
        <x:v>반려</x:v>
      </x:c>
      <x:c r="K2444" s="2" t="str">
        <x:f>IF(OR(J2444="심의승인",J2444="반려",J2444="반려완료",J2444="심의완료"),"종결 표시",IF(OR(J2444="기후부협의",J2444="문서재제출요청",J2444="보류",J2444="보완요청",J2444="보완완료",J2444="평가중",J2444="반려요청",J2444="평가필요",LEFT(J2444,5)="보완요청("),"미종결 표시","상태 확인 필요"))</x:f>
        <x:v>종결 표시</x:v>
      </x:c>
      <x:c r="L2444" s="2"/>
      <x:c r="M2444" s="2"/>
      <x:c r="N2444" s="8" t="n">
        <x:f>DATE(2026,10,15)-DATE(2020,12,1)</x:f>
        <x:v>2144</x:v>
      </x:c>
      <x:c r="O2444" s="2"/>
      <x:c r="P2444" s="2"/>
      <x:c r="Q2444" s="2" t="str">
        <x:v>산업전환_외부사업관리Tool_260707_이너젠 수정_LJY_261013.xlsx</x:v>
      </x:c>
      <x:c r="R2444" s="2" t="str">
        <x:v>국외인증</x:v>
      </x:c>
      <x:c r="S2444" s="8" t="n">
        <x:v>31</x:v>
      </x:c>
      <x:c r="T2444" s="2"/>
      <x:c r="U2444" s="2" t="str"/>
      <x:c r="V2444" s="2" t="str">
        <x:v>2022-04-01</x:v>
      </x:c>
      <x:c r="W2444" s="2" t="str">
        <x:v>담당기관 확인</x:v>
      </x:c>
      <x:c r="X2444" s="2" t="str">
        <x:v>원본·배정 기록 확인</x:v>
      </x:c>
      <x:c r="Y2444" s="2" t="str">
        <x:v>ad210cd9ec132cfd447541c8984dc53d30aff0f4fb2dc92d254d49275cc55976</x:v>
      </x:c>
      <x:c r="Z2444" s="2" t="n">
        <x:f>SUBTOTAL(103,A2444)</x:f>
        <x:v>1</x:v>
      </x:c>
      <x:c r="AA2444" s="2" t="str">
        <x:f>IF(K2444&lt;&gt;"미종결 표시","대상 아님",IF(N2444="","신청일 확인",IF(NOT(ISNUMBER('종합 현황'!$H$5)),"관찰기준 확인",IF('종합 현황'!$H$5&lt;1,"관찰기준 확인",IF(N2444&gt;'종합 현황'!$H$5,"내부 관찰 대상","내부 관찰일 이하")))))</x:f>
        <x:v>대상 아님</x:v>
      </x:c>
      <x:c r="AB2444" s="2" t="str">
        <x:v>2020-12-01 13:35 - 신청
2021-01-27 10:48 - 문서재제출요청
2021-01-28 13:21 - 신청
2021-02-24 14:51 - 문서재제출요청
2021-03-19 13:09 - 신청
2021-05-18 13:16 - 문서재제출요청
2022-03-31 14:32 - 신청
2022-04-01 16:31 - 검토반려</x:v>
      </x:c>
    </x:row>
    <x:row r="2445" ht="42" customHeight="1">
      <x:c r="A2445" s="2" t="str">
        <x:v>7285564a3e2de17948cdacc7</x:v>
      </x:c>
      <x:c r="B2445" s="2" t="str">
        <x:v>감축량 인증</x:v>
      </x:c>
      <x:c r="C2445" s="2" t="str">
        <x:v>국외</x:v>
      </x:c>
      <x:c r="D2445" s="7" t="str">
        <x:v>안전한 식수 공급을 위한 정수기 보급 사업 : CPA 56(한국 지원)</x:v>
      </x:c>
      <x:c r="E2445" s="2" t="str">
        <x:v>30</x:v>
      </x:c>
      <x:c r="F2445" s="2" t="str">
        <x:v>2020-12-01</x:v>
      </x:c>
      <x:c r="G2445" s="2" t="str">
        <x:v>2020</x:v>
      </x:c>
      <x:c r="H2445" s="2" t="str">
        <x:v>12</x:v>
      </x:c>
      <x:c r="I2445" s="2" t="str">
        <x:v>검토반려</x:v>
      </x:c>
      <x:c r="J2445" s="2" t="str">
        <x:v>반려</x:v>
      </x:c>
      <x:c r="K2445" s="2" t="str">
        <x:f>IF(OR(J2445="심의승인",J2445="반려",J2445="반려완료",J2445="심의완료"),"종결 표시",IF(OR(J2445="기후부협의",J2445="문서재제출요청",J2445="보류",J2445="보완요청",J2445="보완완료",J2445="평가중",J2445="반려요청",J2445="평가필요",LEFT(J2445,5)="보완요청("),"미종결 표시","상태 확인 필요"))</x:f>
        <x:v>종결 표시</x:v>
      </x:c>
      <x:c r="L2445" s="2"/>
      <x:c r="M2445" s="2"/>
      <x:c r="N2445" s="8" t="n">
        <x:f>DATE(2026,10,15)-DATE(2020,12,1)</x:f>
        <x:v>2144</x:v>
      </x:c>
      <x:c r="O2445" s="2"/>
      <x:c r="P2445" s="2"/>
      <x:c r="Q2445" s="2" t="str">
        <x:v>산업전환_외부사업관리Tool_260707_이너젠 수정_LJY_261013.xlsx</x:v>
      </x:c>
      <x:c r="R2445" s="2" t="str">
        <x:v>국외인증</x:v>
      </x:c>
      <x:c r="S2445" s="8" t="n">
        <x:v>32</x:v>
      </x:c>
      <x:c r="T2445" s="2"/>
      <x:c r="U2445" s="2" t="str"/>
      <x:c r="V2445" s="2" t="str">
        <x:v>2022-04-01</x:v>
      </x:c>
      <x:c r="W2445" s="2" t="str">
        <x:v>담당기관 확인</x:v>
      </x:c>
      <x:c r="X2445" s="2" t="str">
        <x:v>원본·배정 기록 확인</x:v>
      </x:c>
      <x:c r="Y2445" s="2" t="str">
        <x:v>ad210cd9ec132cfd447541c8984dc53d30aff0f4fb2dc92d254d49275cc55976</x:v>
      </x:c>
      <x:c r="Z2445" s="2" t="n">
        <x:f>SUBTOTAL(103,A2445)</x:f>
        <x:v>1</x:v>
      </x:c>
      <x:c r="AA2445" s="2" t="str">
        <x:f>IF(K2445&lt;&gt;"미종결 표시","대상 아님",IF(N2445="","신청일 확인",IF(NOT(ISNUMBER('종합 현황'!$H$5)),"관찰기준 확인",IF('종합 현황'!$H$5&lt;1,"관찰기준 확인",IF(N2445&gt;'종합 현황'!$H$5,"내부 관찰 대상","내부 관찰일 이하")))))</x:f>
        <x:v>대상 아님</x:v>
      </x:c>
      <x:c r="AB2445" s="2" t="str">
        <x:v>2020-12-01 13:35 - 신청
2021-01-27 10:48 - 문서재제출요청
2021-01-28 13:22 - 신청
2021-02-24 14:51 - 문서재제출요청
2021-03-19 13:08 - 신청
2021-05-18 13:15 - 문서재제출요청
2022-03-31 14:33 - 신청
2022-04-01 16:31 - 검토반려</x:v>
      </x:c>
    </x:row>
    <x:row r="2446" ht="42" customHeight="1">
      <x:c r="A2446" s="2" t="str">
        <x:v>b95b1c490ca9dd6aee07d83d</x:v>
      </x:c>
      <x:c r="B2446" s="2" t="str">
        <x:v>감축량 인증</x:v>
      </x:c>
      <x:c r="C2446" s="2" t="str">
        <x:v>국외</x:v>
      </x:c>
      <x:c r="D2446" s="7" t="str">
        <x:v>안전한 식수 공급을 위한 정수기 보급 사업 : CPA 57(한국 지원)</x:v>
      </x:c>
      <x:c r="E2446" s="2" t="str">
        <x:v>31</x:v>
      </x:c>
      <x:c r="F2446" s="2" t="str">
        <x:v>2020-12-01</x:v>
      </x:c>
      <x:c r="G2446" s="2" t="str">
        <x:v>2020</x:v>
      </x:c>
      <x:c r="H2446" s="2" t="str">
        <x:v>12</x:v>
      </x:c>
      <x:c r="I2446" s="2" t="str">
        <x:v>검토반려</x:v>
      </x:c>
      <x:c r="J2446" s="2" t="str">
        <x:v>반려</x:v>
      </x:c>
      <x:c r="K2446" s="2" t="str">
        <x:f>IF(OR(J2446="심의승인",J2446="반려",J2446="반려완료",J2446="심의완료"),"종결 표시",IF(OR(J2446="기후부협의",J2446="문서재제출요청",J2446="보류",J2446="보완요청",J2446="보완완료",J2446="평가중",J2446="반려요청",J2446="평가필요",LEFT(J2446,5)="보완요청("),"미종결 표시","상태 확인 필요"))</x:f>
        <x:v>종결 표시</x:v>
      </x:c>
      <x:c r="L2446" s="2"/>
      <x:c r="M2446" s="2"/>
      <x:c r="N2446" s="8" t="n">
        <x:f>DATE(2026,10,15)-DATE(2020,12,1)</x:f>
        <x:v>2144</x:v>
      </x:c>
      <x:c r="O2446" s="2"/>
      <x:c r="P2446" s="2"/>
      <x:c r="Q2446" s="2" t="str">
        <x:v>산업전환_외부사업관리Tool_260707_이너젠 수정_LJY_261013.xlsx</x:v>
      </x:c>
      <x:c r="R2446" s="2" t="str">
        <x:v>국외인증</x:v>
      </x:c>
      <x:c r="S2446" s="8" t="n">
        <x:v>33</x:v>
      </x:c>
      <x:c r="T2446" s="2"/>
      <x:c r="U2446" s="2" t="str"/>
      <x:c r="V2446" s="2" t="str">
        <x:v>2022-04-01</x:v>
      </x:c>
      <x:c r="W2446" s="2" t="str">
        <x:v>담당기관 확인</x:v>
      </x:c>
      <x:c r="X2446" s="2" t="str">
        <x:v>원본·배정 기록 확인</x:v>
      </x:c>
      <x:c r="Y2446" s="2" t="str">
        <x:v>ad210cd9ec132cfd447541c8984dc53d30aff0f4fb2dc92d254d49275cc55976</x:v>
      </x:c>
      <x:c r="Z2446" s="2" t="n">
        <x:f>SUBTOTAL(103,A2446)</x:f>
        <x:v>1</x:v>
      </x:c>
      <x:c r="AA2446" s="2" t="str">
        <x:f>IF(K2446&lt;&gt;"미종결 표시","대상 아님",IF(N2446="","신청일 확인",IF(NOT(ISNUMBER('종합 현황'!$H$5)),"관찰기준 확인",IF('종합 현황'!$H$5&lt;1,"관찰기준 확인",IF(N2446&gt;'종합 현황'!$H$5,"내부 관찰 대상","내부 관찰일 이하")))))</x:f>
        <x:v>대상 아님</x:v>
      </x:c>
      <x:c r="AB2446" s="2" t="str">
        <x:v>2020-12-01 13:35 - 신청
2021-01-27 10:48 - 문서재제출요청
2021-01-28 13:22 - 신청
2021-02-24 14:52 - 문서재제출요청
2021-03-19 13:08 - 신청
2021-05-18 13:15 - 문서재제출요청
2022-03-31 14:33 - 신청
2022-04-01 16:30 - 검토반려</x:v>
      </x:c>
    </x:row>
    <x:row r="2447" ht="42" customHeight="1">
      <x:c r="A2447" s="2" t="str">
        <x:v>c30668a8b5e683e7ae3a32b9</x:v>
      </x:c>
      <x:c r="B2447" s="2" t="str">
        <x:v>감축량 인증</x:v>
      </x:c>
      <x:c r="C2447" s="2" t="str">
        <x:v>국외</x:v>
      </x:c>
      <x:c r="D2447" s="7" t="str">
        <x:v>안전한 식수 공급을 위한 정수기 보급 사업 : CPA 58(한국 지원)</x:v>
      </x:c>
      <x:c r="E2447" s="2" t="str">
        <x:v>32</x:v>
      </x:c>
      <x:c r="F2447" s="2" t="str">
        <x:v>2020-12-01</x:v>
      </x:c>
      <x:c r="G2447" s="2" t="str">
        <x:v>2020</x:v>
      </x:c>
      <x:c r="H2447" s="2" t="str">
        <x:v>12</x:v>
      </x:c>
      <x:c r="I2447" s="2" t="str">
        <x:v>검토반려</x:v>
      </x:c>
      <x:c r="J2447" s="2" t="str">
        <x:v>반려</x:v>
      </x:c>
      <x:c r="K2447" s="2" t="str">
        <x:f>IF(OR(J2447="심의승인",J2447="반려",J2447="반려완료",J2447="심의완료"),"종결 표시",IF(OR(J2447="기후부협의",J2447="문서재제출요청",J2447="보류",J2447="보완요청",J2447="보완완료",J2447="평가중",J2447="반려요청",J2447="평가필요",LEFT(J2447,5)="보완요청("),"미종결 표시","상태 확인 필요"))</x:f>
        <x:v>종결 표시</x:v>
      </x:c>
      <x:c r="L2447" s="2"/>
      <x:c r="M2447" s="2"/>
      <x:c r="N2447" s="8" t="n">
        <x:f>DATE(2026,10,15)-DATE(2020,12,1)</x:f>
        <x:v>2144</x:v>
      </x:c>
      <x:c r="O2447" s="2"/>
      <x:c r="P2447" s="2"/>
      <x:c r="Q2447" s="2" t="str">
        <x:v>산업전환_외부사업관리Tool_260707_이너젠 수정_LJY_261013.xlsx</x:v>
      </x:c>
      <x:c r="R2447" s="2" t="str">
        <x:v>국외인증</x:v>
      </x:c>
      <x:c r="S2447" s="8" t="n">
        <x:v>34</x:v>
      </x:c>
      <x:c r="T2447" s="2"/>
      <x:c r="U2447" s="2" t="str"/>
      <x:c r="V2447" s="2" t="str">
        <x:v>2022-04-01</x:v>
      </x:c>
      <x:c r="W2447" s="2" t="str">
        <x:v>담당기관 확인</x:v>
      </x:c>
      <x:c r="X2447" s="2" t="str">
        <x:v>원본·배정 기록 확인</x:v>
      </x:c>
      <x:c r="Y2447" s="2" t="str">
        <x:v>ad210cd9ec132cfd447541c8984dc53d30aff0f4fb2dc92d254d49275cc55976</x:v>
      </x:c>
      <x:c r="Z2447" s="2" t="n">
        <x:f>SUBTOTAL(103,A2447)</x:f>
        <x:v>1</x:v>
      </x:c>
      <x:c r="AA2447" s="2" t="str">
        <x:f>IF(K2447&lt;&gt;"미종결 표시","대상 아님",IF(N2447="","신청일 확인",IF(NOT(ISNUMBER('종합 현황'!$H$5)),"관찰기준 확인",IF('종합 현황'!$H$5&lt;1,"관찰기준 확인",IF(N2447&gt;'종합 현황'!$H$5,"내부 관찰 대상","내부 관찰일 이하")))))</x:f>
        <x:v>대상 아님</x:v>
      </x:c>
      <x:c r="AB2447" s="2" t="str">
        <x:v>2020-12-01 13:36 - 신청
2021-01-27 10:49 - 문서재제출요청
2021-01-28 13:22 - 신청
2021-02-24 14:53 - 문서재제출요청
2021-03-19 13:08 - 신청
2021-05-18 13:14 - 문서재제출요청
2022-03-31 14:33 - 신청
2022-04-01 16:29 - 검토반려</x:v>
      </x:c>
    </x:row>
    <x:row r="2448" ht="42" customHeight="1">
      <x:c r="A2448" s="2" t="str">
        <x:v>1ae7a9a272064bdf322ea724</x:v>
      </x:c>
      <x:c r="B2448" s="2" t="str">
        <x:v>감축량 인증</x:v>
      </x:c>
      <x:c r="C2448" s="2" t="str">
        <x:v>국외</x:v>
      </x:c>
      <x:c r="D2448" s="7" t="str">
        <x:v>안전한 식수 공급을 위한 정수기 보급 사업 : CPA 59(한국 지원)</x:v>
      </x:c>
      <x:c r="E2448" s="2" t="str">
        <x:v>33</x:v>
      </x:c>
      <x:c r="F2448" s="2" t="str">
        <x:v>2020-12-01</x:v>
      </x:c>
      <x:c r="G2448" s="2" t="str">
        <x:v>2020</x:v>
      </x:c>
      <x:c r="H2448" s="2" t="str">
        <x:v>12</x:v>
      </x:c>
      <x:c r="I2448" s="2" t="str">
        <x:v>검토반려</x:v>
      </x:c>
      <x:c r="J2448" s="2" t="str">
        <x:v>반려</x:v>
      </x:c>
      <x:c r="K2448" s="2" t="str">
        <x:f>IF(OR(J2448="심의승인",J2448="반려",J2448="반려완료",J2448="심의완료"),"종결 표시",IF(OR(J2448="기후부협의",J2448="문서재제출요청",J2448="보류",J2448="보완요청",J2448="보완완료",J2448="평가중",J2448="반려요청",J2448="평가필요",LEFT(J2448,5)="보완요청("),"미종결 표시","상태 확인 필요"))</x:f>
        <x:v>종결 표시</x:v>
      </x:c>
      <x:c r="L2448" s="2"/>
      <x:c r="M2448" s="2"/>
      <x:c r="N2448" s="8" t="n">
        <x:f>DATE(2026,10,15)-DATE(2020,12,1)</x:f>
        <x:v>2144</x:v>
      </x:c>
      <x:c r="O2448" s="2"/>
      <x:c r="P2448" s="2"/>
      <x:c r="Q2448" s="2" t="str">
        <x:v>산업전환_외부사업관리Tool_260707_이너젠 수정_LJY_261013.xlsx</x:v>
      </x:c>
      <x:c r="R2448" s="2" t="str">
        <x:v>국외인증</x:v>
      </x:c>
      <x:c r="S2448" s="8" t="n">
        <x:v>35</x:v>
      </x:c>
      <x:c r="T2448" s="2"/>
      <x:c r="U2448" s="2" t="str"/>
      <x:c r="V2448" s="2" t="str">
        <x:v>2022-04-01</x:v>
      </x:c>
      <x:c r="W2448" s="2" t="str">
        <x:v>담당기관 확인</x:v>
      </x:c>
      <x:c r="X2448" s="2" t="str">
        <x:v>원본·배정 기록 확인</x:v>
      </x:c>
      <x:c r="Y2448" s="2" t="str">
        <x:v>ad210cd9ec132cfd447541c8984dc53d30aff0f4fb2dc92d254d49275cc55976</x:v>
      </x:c>
      <x:c r="Z2448" s="2" t="n">
        <x:f>SUBTOTAL(103,A2448)</x:f>
        <x:v>1</x:v>
      </x:c>
      <x:c r="AA2448" s="2" t="str">
        <x:f>IF(K2448&lt;&gt;"미종결 표시","대상 아님",IF(N2448="","신청일 확인",IF(NOT(ISNUMBER('종합 현황'!$H$5)),"관찰기준 확인",IF('종합 현황'!$H$5&lt;1,"관찰기준 확인",IF(N2448&gt;'종합 현황'!$H$5,"내부 관찰 대상","내부 관찰일 이하")))))</x:f>
        <x:v>대상 아님</x:v>
      </x:c>
      <x:c r="AB2448" s="2" t="str">
        <x:v>2020-12-01 13:36 - 신청
2021-01-27 10:49 - 문서재제출요청
2021-01-28 13:23 - 신청
2021-02-24 14:53 - 문서재제출요청
2021-03-19 13:08 - 신청
2021-05-18 13:14 - 문서재제출요청
2022-03-31 14:33 - 신청
2022-04-01 16:29 - 검토반려</x:v>
      </x:c>
    </x:row>
    <x:row r="2449" ht="42" customHeight="1">
      <x:c r="A2449" s="2" t="str">
        <x:v>07730abb910534bc08156b46</x:v>
      </x:c>
      <x:c r="B2449" s="2" t="str">
        <x:v>감축량 인증</x:v>
      </x:c>
      <x:c r="C2449" s="2" t="str">
        <x:v>국외</x:v>
      </x:c>
      <x:c r="D2449" s="7" t="str">
        <x:v>안전한 식수 공급을 위한 정수기 보급 사업 : CPA 60(한국 지원)</x:v>
      </x:c>
      <x:c r="E2449" s="2" t="str">
        <x:v>34</x:v>
      </x:c>
      <x:c r="F2449" s="2" t="str">
        <x:v>2020-12-01</x:v>
      </x:c>
      <x:c r="G2449" s="2" t="str">
        <x:v>2020</x:v>
      </x:c>
      <x:c r="H2449" s="2" t="str">
        <x:v>12</x:v>
      </x:c>
      <x:c r="I2449" s="2" t="str">
        <x:v>검토반려</x:v>
      </x:c>
      <x:c r="J2449" s="2" t="str">
        <x:v>반려</x:v>
      </x:c>
      <x:c r="K2449" s="2" t="str">
        <x:f>IF(OR(J2449="심의승인",J2449="반려",J2449="반려완료",J2449="심의완료"),"종결 표시",IF(OR(J2449="기후부협의",J2449="문서재제출요청",J2449="보류",J2449="보완요청",J2449="보완완료",J2449="평가중",J2449="반려요청",J2449="평가필요",LEFT(J2449,5)="보완요청("),"미종결 표시","상태 확인 필요"))</x:f>
        <x:v>종결 표시</x:v>
      </x:c>
      <x:c r="L2449" s="2"/>
      <x:c r="M2449" s="2"/>
      <x:c r="N2449" s="8" t="n">
        <x:f>DATE(2026,10,15)-DATE(2020,12,1)</x:f>
        <x:v>2144</x:v>
      </x:c>
      <x:c r="O2449" s="2"/>
      <x:c r="P2449" s="2"/>
      <x:c r="Q2449" s="2" t="str">
        <x:v>산업전환_외부사업관리Tool_260707_이너젠 수정_LJY_261013.xlsx</x:v>
      </x:c>
      <x:c r="R2449" s="2" t="str">
        <x:v>국외인증</x:v>
      </x:c>
      <x:c r="S2449" s="8" t="n">
        <x:v>36</x:v>
      </x:c>
      <x:c r="T2449" s="2"/>
      <x:c r="U2449" s="2" t="str"/>
      <x:c r="V2449" s="2" t="str">
        <x:v>2022-04-01</x:v>
      </x:c>
      <x:c r="W2449" s="2" t="str">
        <x:v>담당기관 확인</x:v>
      </x:c>
      <x:c r="X2449" s="2" t="str">
        <x:v>원본·배정 기록 확인</x:v>
      </x:c>
      <x:c r="Y2449" s="2" t="str">
        <x:v>ad210cd9ec132cfd447541c8984dc53d30aff0f4fb2dc92d254d49275cc55976</x:v>
      </x:c>
      <x:c r="Z2449" s="2" t="n">
        <x:f>SUBTOTAL(103,A2449)</x:f>
        <x:v>1</x:v>
      </x:c>
      <x:c r="AA2449" s="2" t="str">
        <x:f>IF(K2449&lt;&gt;"미종결 표시","대상 아님",IF(N2449="","신청일 확인",IF(NOT(ISNUMBER('종합 현황'!$H$5)),"관찰기준 확인",IF('종합 현황'!$H$5&lt;1,"관찰기준 확인",IF(N2449&gt;'종합 현황'!$H$5,"내부 관찰 대상","내부 관찰일 이하")))))</x:f>
        <x:v>대상 아님</x:v>
      </x:c>
      <x:c r="AB2449" s="2" t="str">
        <x:v>2020-12-01 13:36 - 신청
2021-01-27 10:49 - 문서재제출요청
2021-01-28 13:23 - 신청
2021-02-24 14:54 - 문서재제출요청
2021-03-19 13:07 - 신청
2021-05-18 13:13 - 문서재제출요청
2022-03-31 14:34 - 신청
2022-04-01 16:28 - 검토반려</x:v>
      </x:c>
    </x:row>
    <x:row r="2450" ht="42" customHeight="1">
      <x:c r="A2450" s="2" t="str">
        <x:v>2d8debe77639d299bde06c8d</x:v>
      </x:c>
      <x:c r="B2450" s="2" t="str">
        <x:v>감축량 인증</x:v>
      </x:c>
      <x:c r="C2450" s="2" t="str">
        <x:v>국외</x:v>
      </x:c>
      <x:c r="D2450" s="7" t="str">
        <x:v>안전한 식수 공급을 위한 정수기 보급 사업 : CPA 61(한국 지원)</x:v>
      </x:c>
      <x:c r="E2450" s="2" t="str">
        <x:v>35</x:v>
      </x:c>
      <x:c r="F2450" s="2" t="str">
        <x:v>2020-12-01</x:v>
      </x:c>
      <x:c r="G2450" s="2" t="str">
        <x:v>2020</x:v>
      </x:c>
      <x:c r="H2450" s="2" t="str">
        <x:v>12</x:v>
      </x:c>
      <x:c r="I2450" s="2" t="str">
        <x:v>검토반려</x:v>
      </x:c>
      <x:c r="J2450" s="2" t="str">
        <x:v>반려</x:v>
      </x:c>
      <x:c r="K2450" s="2" t="str">
        <x:f>IF(OR(J2450="심의승인",J2450="반려",J2450="반려완료",J2450="심의완료"),"종결 표시",IF(OR(J2450="기후부협의",J2450="문서재제출요청",J2450="보류",J2450="보완요청",J2450="보완완료",J2450="평가중",J2450="반려요청",J2450="평가필요",LEFT(J2450,5)="보완요청("),"미종결 표시","상태 확인 필요"))</x:f>
        <x:v>종결 표시</x:v>
      </x:c>
      <x:c r="L2450" s="2"/>
      <x:c r="M2450" s="2"/>
      <x:c r="N2450" s="8" t="n">
        <x:f>DATE(2026,10,15)-DATE(2020,12,1)</x:f>
        <x:v>2144</x:v>
      </x:c>
      <x:c r="O2450" s="2"/>
      <x:c r="P2450" s="2"/>
      <x:c r="Q2450" s="2" t="str">
        <x:v>산업전환_외부사업관리Tool_260707_이너젠 수정_LJY_261013.xlsx</x:v>
      </x:c>
      <x:c r="R2450" s="2" t="str">
        <x:v>국외인증</x:v>
      </x:c>
      <x:c r="S2450" s="8" t="n">
        <x:v>37</x:v>
      </x:c>
      <x:c r="T2450" s="2"/>
      <x:c r="U2450" s="2" t="str"/>
      <x:c r="V2450" s="2" t="str">
        <x:v>2022-04-01</x:v>
      </x:c>
      <x:c r="W2450" s="2" t="str">
        <x:v>담당기관 확인</x:v>
      </x:c>
      <x:c r="X2450" s="2" t="str">
        <x:v>원본·배정 기록 확인</x:v>
      </x:c>
      <x:c r="Y2450" s="2" t="str">
        <x:v>ad210cd9ec132cfd447541c8984dc53d30aff0f4fb2dc92d254d49275cc55976</x:v>
      </x:c>
      <x:c r="Z2450" s="2" t="n">
        <x:f>SUBTOTAL(103,A2450)</x:f>
        <x:v>1</x:v>
      </x:c>
      <x:c r="AA2450" s="2" t="str">
        <x:f>IF(K2450&lt;&gt;"미종결 표시","대상 아님",IF(N2450="","신청일 확인",IF(NOT(ISNUMBER('종합 현황'!$H$5)),"관찰기준 확인",IF('종합 현황'!$H$5&lt;1,"관찰기준 확인",IF(N2450&gt;'종합 현황'!$H$5,"내부 관찰 대상","내부 관찰일 이하")))))</x:f>
        <x:v>대상 아님</x:v>
      </x:c>
      <x:c r="AB2450" s="2" t="str">
        <x:v>2020-12-01 13:36 - 신청
2021-01-27 10:49 - 문서재제출요청
2021-01-28 13:23 - 신청
2021-02-24 14:53 - 문서재제출요청
2021-03-19 13:07 - 신청
2021-05-18 13:13 - 문서재제출요청
2022-03-31 14:34 - 신청
2022-04-01 16:28 - 검토반려</x:v>
      </x:c>
    </x:row>
    <x:row r="2451" ht="42" customHeight="1">
      <x:c r="A2451" s="2" t="str">
        <x:v>a3c30116e18febfb9cbd1029</x:v>
      </x:c>
      <x:c r="B2451" s="2" t="str">
        <x:v>감축량 인증</x:v>
      </x:c>
      <x:c r="C2451" s="2" t="str">
        <x:v>국외</x:v>
      </x:c>
      <x:c r="D2451" s="7" t="str">
        <x:v>안전한 식수 공급을 위한 정수기 보급 사업 : CPA 62(한국 지원)</x:v>
      </x:c>
      <x:c r="E2451" s="2" t="str">
        <x:v>36</x:v>
      </x:c>
      <x:c r="F2451" s="2" t="str">
        <x:v>2020-12-01</x:v>
      </x:c>
      <x:c r="G2451" s="2" t="str">
        <x:v>2020</x:v>
      </x:c>
      <x:c r="H2451" s="2" t="str">
        <x:v>12</x:v>
      </x:c>
      <x:c r="I2451" s="2" t="str">
        <x:v>검토반려</x:v>
      </x:c>
      <x:c r="J2451" s="2" t="str">
        <x:v>반려</x:v>
      </x:c>
      <x:c r="K2451" s="2" t="str">
        <x:f>IF(OR(J2451="심의승인",J2451="반려",J2451="반려완료",J2451="심의완료"),"종결 표시",IF(OR(J2451="기후부협의",J2451="문서재제출요청",J2451="보류",J2451="보완요청",J2451="보완완료",J2451="평가중",J2451="반려요청",J2451="평가필요",LEFT(J2451,5)="보완요청("),"미종결 표시","상태 확인 필요"))</x:f>
        <x:v>종결 표시</x:v>
      </x:c>
      <x:c r="L2451" s="2"/>
      <x:c r="M2451" s="2"/>
      <x:c r="N2451" s="8" t="n">
        <x:f>DATE(2026,10,15)-DATE(2020,12,1)</x:f>
        <x:v>2144</x:v>
      </x:c>
      <x:c r="O2451" s="2"/>
      <x:c r="P2451" s="2"/>
      <x:c r="Q2451" s="2" t="str">
        <x:v>산업전환_외부사업관리Tool_260707_이너젠 수정_LJY_261013.xlsx</x:v>
      </x:c>
      <x:c r="R2451" s="2" t="str">
        <x:v>국외인증</x:v>
      </x:c>
      <x:c r="S2451" s="8" t="n">
        <x:v>38</x:v>
      </x:c>
      <x:c r="T2451" s="2"/>
      <x:c r="U2451" s="2" t="str"/>
      <x:c r="V2451" s="2" t="str">
        <x:v>2022-04-01</x:v>
      </x:c>
      <x:c r="W2451" s="2" t="str">
        <x:v>담당기관 확인</x:v>
      </x:c>
      <x:c r="X2451" s="2" t="str">
        <x:v>원본·배정 기록 확인</x:v>
      </x:c>
      <x:c r="Y2451" s="2" t="str">
        <x:v>ad210cd9ec132cfd447541c8984dc53d30aff0f4fb2dc92d254d49275cc55976</x:v>
      </x:c>
      <x:c r="Z2451" s="2" t="n">
        <x:f>SUBTOTAL(103,A2451)</x:f>
        <x:v>1</x:v>
      </x:c>
      <x:c r="AA2451" s="2" t="str">
        <x:f>IF(K2451&lt;&gt;"미종결 표시","대상 아님",IF(N2451="","신청일 확인",IF(NOT(ISNUMBER('종합 현황'!$H$5)),"관찰기준 확인",IF('종합 현황'!$H$5&lt;1,"관찰기준 확인",IF(N2451&gt;'종합 현황'!$H$5,"내부 관찰 대상","내부 관찰일 이하")))))</x:f>
        <x:v>대상 아님</x:v>
      </x:c>
      <x:c r="AB2451" s="2" t="str">
        <x:v>2020-12-01 13:37 - 신청
2021-01-27 10:49 - 문서재제출요청
2021-01-28 13:24 - 신청
2021-02-24 14:54 - 문서재제출요청
2021-03-19 13:07 - 신청
2021-05-18 13:13 - 문서재제출요청
2022-03-31 14:34 - 신청
2022-04-01 16:27 - 검토반려</x:v>
      </x:c>
    </x:row>
    <x:row r="2452" ht="42" customHeight="1">
      <x:c r="A2452" s="2" t="str">
        <x:v>771dcb71d7fce6e91b43f4e6</x:v>
      </x:c>
      <x:c r="B2452" s="2" t="str">
        <x:v>감축량 인증</x:v>
      </x:c>
      <x:c r="C2452" s="2" t="str">
        <x:v>국외</x:v>
      </x:c>
      <x:c r="D2452" s="7" t="str">
        <x:v>안전한 식수 공급을 위한 정수기 보급 사업 : CPA 63(한국 지원)</x:v>
      </x:c>
      <x:c r="E2452" s="2" t="str">
        <x:v>37</x:v>
      </x:c>
      <x:c r="F2452" s="2" t="str">
        <x:v>2020-12-01</x:v>
      </x:c>
      <x:c r="G2452" s="2" t="str">
        <x:v>2020</x:v>
      </x:c>
      <x:c r="H2452" s="2" t="str">
        <x:v>12</x:v>
      </x:c>
      <x:c r="I2452" s="2" t="str">
        <x:v>검토반려</x:v>
      </x:c>
      <x:c r="J2452" s="2" t="str">
        <x:v>반려</x:v>
      </x:c>
      <x:c r="K2452" s="2" t="str">
        <x:f>IF(OR(J2452="심의승인",J2452="반려",J2452="반려완료",J2452="심의완료"),"종결 표시",IF(OR(J2452="기후부협의",J2452="문서재제출요청",J2452="보류",J2452="보완요청",J2452="보완완료",J2452="평가중",J2452="반려요청",J2452="평가필요",LEFT(J2452,5)="보완요청("),"미종결 표시","상태 확인 필요"))</x:f>
        <x:v>종결 표시</x:v>
      </x:c>
      <x:c r="L2452" s="2"/>
      <x:c r="M2452" s="2"/>
      <x:c r="N2452" s="8" t="n">
        <x:f>DATE(2026,10,15)-DATE(2020,12,1)</x:f>
        <x:v>2144</x:v>
      </x:c>
      <x:c r="O2452" s="2"/>
      <x:c r="P2452" s="2"/>
      <x:c r="Q2452" s="2" t="str">
        <x:v>산업전환_외부사업관리Tool_260707_이너젠 수정_LJY_261013.xlsx</x:v>
      </x:c>
      <x:c r="R2452" s="2" t="str">
        <x:v>국외인증</x:v>
      </x:c>
      <x:c r="S2452" s="8" t="n">
        <x:v>39</x:v>
      </x:c>
      <x:c r="T2452" s="2"/>
      <x:c r="U2452" s="2" t="str"/>
      <x:c r="V2452" s="2" t="str">
        <x:v>2022-04-01</x:v>
      </x:c>
      <x:c r="W2452" s="2" t="str">
        <x:v>담당기관 확인</x:v>
      </x:c>
      <x:c r="X2452" s="2" t="str">
        <x:v>원본·배정 기록 확인</x:v>
      </x:c>
      <x:c r="Y2452" s="2" t="str">
        <x:v>ad210cd9ec132cfd447541c8984dc53d30aff0f4fb2dc92d254d49275cc55976</x:v>
      </x:c>
      <x:c r="Z2452" s="2" t="n">
        <x:f>SUBTOTAL(103,A2452)</x:f>
        <x:v>1</x:v>
      </x:c>
      <x:c r="AA2452" s="2" t="str">
        <x:f>IF(K2452&lt;&gt;"미종결 표시","대상 아님",IF(N2452="","신청일 확인",IF(NOT(ISNUMBER('종합 현황'!$H$5)),"관찰기준 확인",IF('종합 현황'!$H$5&lt;1,"관찰기준 확인",IF(N2452&gt;'종합 현황'!$H$5,"내부 관찰 대상","내부 관찰일 이하")))))</x:f>
        <x:v>대상 아님</x:v>
      </x:c>
      <x:c r="AB2452" s="2" t="str">
        <x:v>2020-12-01 13:37 - 신청
2021-01-27 10:50 - 문서재제출요청
2021-01-28 13:24 - 신청
2021-02-24 14:54 - 문서재제출요청
2021-03-19 13:06 - 신청
2021-05-18 13:12 - 문서재제출요청
2022-03-31 14:34 - 신청
2022-04-01 16:26 - 검토반려</x:v>
      </x:c>
    </x:row>
    <x:row r="2453" ht="42" customHeight="1">
      <x:c r="A2453" s="2" t="str">
        <x:v>83601dc838f4946cde0881d2</x:v>
      </x:c>
      <x:c r="B2453" s="2" t="str">
        <x:v>감축량 인증</x:v>
      </x:c>
      <x:c r="C2453" s="2" t="str">
        <x:v>국외</x:v>
      </x:c>
      <x:c r="D2453" s="7" t="str">
        <x:v>안전한 식수 공급을 위한 정수기 보급 사업 : CPA 64(한국 지원)</x:v>
      </x:c>
      <x:c r="E2453" s="2" t="str">
        <x:v>38</x:v>
      </x:c>
      <x:c r="F2453" s="2" t="str">
        <x:v>2020-12-01</x:v>
      </x:c>
      <x:c r="G2453" s="2" t="str">
        <x:v>2020</x:v>
      </x:c>
      <x:c r="H2453" s="2" t="str">
        <x:v>12</x:v>
      </x:c>
      <x:c r="I2453" s="2" t="str">
        <x:v>검토반려</x:v>
      </x:c>
      <x:c r="J2453" s="2" t="str">
        <x:v>반려</x:v>
      </x:c>
      <x:c r="K2453" s="2" t="str">
        <x:f>IF(OR(J2453="심의승인",J2453="반려",J2453="반려완료",J2453="심의완료"),"종결 표시",IF(OR(J2453="기후부협의",J2453="문서재제출요청",J2453="보류",J2453="보완요청",J2453="보완완료",J2453="평가중",J2453="반려요청",J2453="평가필요",LEFT(J2453,5)="보완요청("),"미종결 표시","상태 확인 필요"))</x:f>
        <x:v>종결 표시</x:v>
      </x:c>
      <x:c r="L2453" s="2"/>
      <x:c r="M2453" s="2"/>
      <x:c r="N2453" s="8" t="n">
        <x:f>DATE(2026,10,15)-DATE(2020,12,1)</x:f>
        <x:v>2144</x:v>
      </x:c>
      <x:c r="O2453" s="2"/>
      <x:c r="P2453" s="2"/>
      <x:c r="Q2453" s="2" t="str">
        <x:v>산업전환_외부사업관리Tool_260707_이너젠 수정_LJY_261013.xlsx</x:v>
      </x:c>
      <x:c r="R2453" s="2" t="str">
        <x:v>국외인증</x:v>
      </x:c>
      <x:c r="S2453" s="8" t="n">
        <x:v>40</x:v>
      </x:c>
      <x:c r="T2453" s="2"/>
      <x:c r="U2453" s="2" t="str"/>
      <x:c r="V2453" s="2" t="str">
        <x:v>2022-04-01</x:v>
      </x:c>
      <x:c r="W2453" s="2" t="str">
        <x:v>담당기관 확인</x:v>
      </x:c>
      <x:c r="X2453" s="2" t="str">
        <x:v>원본·배정 기록 확인</x:v>
      </x:c>
      <x:c r="Y2453" s="2" t="str">
        <x:v>ad210cd9ec132cfd447541c8984dc53d30aff0f4fb2dc92d254d49275cc55976</x:v>
      </x:c>
      <x:c r="Z2453" s="2" t="n">
        <x:f>SUBTOTAL(103,A2453)</x:f>
        <x:v>1</x:v>
      </x:c>
      <x:c r="AA2453" s="2" t="str">
        <x:f>IF(K2453&lt;&gt;"미종결 표시","대상 아님",IF(N2453="","신청일 확인",IF(NOT(ISNUMBER('종합 현황'!$H$5)),"관찰기준 확인",IF('종합 현황'!$H$5&lt;1,"관찰기준 확인",IF(N2453&gt;'종합 현황'!$H$5,"내부 관찰 대상","내부 관찰일 이하")))))</x:f>
        <x:v>대상 아님</x:v>
      </x:c>
      <x:c r="AB2453" s="2" t="str">
        <x:v>2020-12-01 13:37 - 신청
2021-01-27 10:50 - 문서재제출요청
2021-01-28 13:24 - 신청
2021-02-24 14:55 - 문서재제출요청
2021-03-19 13:06 - 신청
2021-05-18 13:12 - 문서재제출요청
2022-03-31 14:35 - 신청
2022-04-01 16:26 - 검토반려</x:v>
      </x:c>
    </x:row>
    <x:row r="2454" ht="42" customHeight="1">
      <x:c r="A2454" s="2" t="str">
        <x:v>5036f395cfcf539ad54070a3</x:v>
      </x:c>
      <x:c r="B2454" s="2" t="str">
        <x:v>감축량 인증</x:v>
      </x:c>
      <x:c r="C2454" s="2" t="str">
        <x:v>국외</x:v>
      </x:c>
      <x:c r="D2454" s="7" t="str">
        <x:v>안전한 식수 공급을 위한 정수기 보급 사업 : CPA 65(한국 지원)</x:v>
      </x:c>
      <x:c r="E2454" s="2" t="str">
        <x:v>39</x:v>
      </x:c>
      <x:c r="F2454" s="2" t="str">
        <x:v>2020-12-01</x:v>
      </x:c>
      <x:c r="G2454" s="2" t="str">
        <x:v>2020</x:v>
      </x:c>
      <x:c r="H2454" s="2" t="str">
        <x:v>12</x:v>
      </x:c>
      <x:c r="I2454" s="2" t="str">
        <x:v>검토반려</x:v>
      </x:c>
      <x:c r="J2454" s="2" t="str">
        <x:v>반려</x:v>
      </x:c>
      <x:c r="K2454" s="2" t="str">
        <x:f>IF(OR(J2454="심의승인",J2454="반려",J2454="반려완료",J2454="심의완료"),"종결 표시",IF(OR(J2454="기후부협의",J2454="문서재제출요청",J2454="보류",J2454="보완요청",J2454="보완완료",J2454="평가중",J2454="반려요청",J2454="평가필요",LEFT(J2454,5)="보완요청("),"미종결 표시","상태 확인 필요"))</x:f>
        <x:v>종결 표시</x:v>
      </x:c>
      <x:c r="L2454" s="2"/>
      <x:c r="M2454" s="2"/>
      <x:c r="N2454" s="8" t="n">
        <x:f>DATE(2026,10,15)-DATE(2020,12,1)</x:f>
        <x:v>2144</x:v>
      </x:c>
      <x:c r="O2454" s="2"/>
      <x:c r="P2454" s="2"/>
      <x:c r="Q2454" s="2" t="str">
        <x:v>산업전환_외부사업관리Tool_260707_이너젠 수정_LJY_261013.xlsx</x:v>
      </x:c>
      <x:c r="R2454" s="2" t="str">
        <x:v>국외인증</x:v>
      </x:c>
      <x:c r="S2454" s="8" t="n">
        <x:v>41</x:v>
      </x:c>
      <x:c r="T2454" s="2"/>
      <x:c r="U2454" s="2" t="str"/>
      <x:c r="V2454" s="2" t="str">
        <x:v>2022-04-01</x:v>
      </x:c>
      <x:c r="W2454" s="2" t="str">
        <x:v>담당기관 확인</x:v>
      </x:c>
      <x:c r="X2454" s="2" t="str">
        <x:v>원본·배정 기록 확인</x:v>
      </x:c>
      <x:c r="Y2454" s="2" t="str">
        <x:v>ad210cd9ec132cfd447541c8984dc53d30aff0f4fb2dc92d254d49275cc55976</x:v>
      </x:c>
      <x:c r="Z2454" s="2" t="n">
        <x:f>SUBTOTAL(103,A2454)</x:f>
        <x:v>1</x:v>
      </x:c>
      <x:c r="AA2454" s="2" t="str">
        <x:f>IF(K2454&lt;&gt;"미종결 표시","대상 아님",IF(N2454="","신청일 확인",IF(NOT(ISNUMBER('종합 현황'!$H$5)),"관찰기준 확인",IF('종합 현황'!$H$5&lt;1,"관찰기준 확인",IF(N2454&gt;'종합 현황'!$H$5,"내부 관찰 대상","내부 관찰일 이하")))))</x:f>
        <x:v>대상 아님</x:v>
      </x:c>
      <x:c r="AB2454" s="2" t="str">
        <x:v>2020-12-01 13:38 - 신청
2021-01-27 10:50 - 문서재제출요청
2021-01-28 13:25 - 신청
2021-02-24 14:55 - 문서재제출요청
2021-03-19 13:06 - 신청
2021-05-18 13:12 - 문서재제출요청
2022-03-31 14:35 - 신청
2022-04-01 16:25 - 검토반려</x:v>
      </x:c>
    </x:row>
    <x:row r="2455" ht="42" customHeight="1">
      <x:c r="A2455" s="2" t="str">
        <x:v>accc075bdb8e47f6a5c03b56</x:v>
      </x:c>
      <x:c r="B2455" s="2" t="str">
        <x:v>감축량 인증</x:v>
      </x:c>
      <x:c r="C2455" s="2" t="str">
        <x:v>국외</x:v>
      </x:c>
      <x:c r="D2455" s="7" t="str">
        <x:v>안전한 식수 공급을 위한 정수기 보급 사업 : CPA 66(한국 지원)</x:v>
      </x:c>
      <x:c r="E2455" s="2" t="str">
        <x:v>40</x:v>
      </x:c>
      <x:c r="F2455" s="2" t="str">
        <x:v>2020-12-01</x:v>
      </x:c>
      <x:c r="G2455" s="2" t="str">
        <x:v>2020</x:v>
      </x:c>
      <x:c r="H2455" s="2" t="str">
        <x:v>12</x:v>
      </x:c>
      <x:c r="I2455" s="2" t="str">
        <x:v>검토반려</x:v>
      </x:c>
      <x:c r="J2455" s="2" t="str">
        <x:v>반려</x:v>
      </x:c>
      <x:c r="K2455" s="2" t="str">
        <x:f>IF(OR(J2455="심의승인",J2455="반려",J2455="반려완료",J2455="심의완료"),"종결 표시",IF(OR(J2455="기후부협의",J2455="문서재제출요청",J2455="보류",J2455="보완요청",J2455="보완완료",J2455="평가중",J2455="반려요청",J2455="평가필요",LEFT(J2455,5)="보완요청("),"미종결 표시","상태 확인 필요"))</x:f>
        <x:v>종결 표시</x:v>
      </x:c>
      <x:c r="L2455" s="2"/>
      <x:c r="M2455" s="2"/>
      <x:c r="N2455" s="8" t="n">
        <x:f>DATE(2026,10,15)-DATE(2020,12,1)</x:f>
        <x:v>2144</x:v>
      </x:c>
      <x:c r="O2455" s="2"/>
      <x:c r="P2455" s="2"/>
      <x:c r="Q2455" s="2" t="str">
        <x:v>산업전환_외부사업관리Tool_260707_이너젠 수정_LJY_261013.xlsx</x:v>
      </x:c>
      <x:c r="R2455" s="2" t="str">
        <x:v>국외인증</x:v>
      </x:c>
      <x:c r="S2455" s="8" t="n">
        <x:v>42</x:v>
      </x:c>
      <x:c r="T2455" s="2"/>
      <x:c r="U2455" s="2" t="str"/>
      <x:c r="V2455" s="2" t="str">
        <x:v>2022-04-01</x:v>
      </x:c>
      <x:c r="W2455" s="2" t="str">
        <x:v>담당기관 확인</x:v>
      </x:c>
      <x:c r="X2455" s="2" t="str">
        <x:v>원본·배정 기록 확인</x:v>
      </x:c>
      <x:c r="Y2455" s="2" t="str">
        <x:v>ad210cd9ec132cfd447541c8984dc53d30aff0f4fb2dc92d254d49275cc55976</x:v>
      </x:c>
      <x:c r="Z2455" s="2" t="n">
        <x:f>SUBTOTAL(103,A2455)</x:f>
        <x:v>1</x:v>
      </x:c>
      <x:c r="AA2455" s="2" t="str">
        <x:f>IF(K2455&lt;&gt;"미종결 표시","대상 아님",IF(N2455="","신청일 확인",IF(NOT(ISNUMBER('종합 현황'!$H$5)),"관찰기준 확인",IF('종합 현황'!$H$5&lt;1,"관찰기준 확인",IF(N2455&gt;'종합 현황'!$H$5,"내부 관찰 대상","내부 관찰일 이하")))))</x:f>
        <x:v>대상 아님</x:v>
      </x:c>
      <x:c r="AB2455" s="2" t="str">
        <x:v>2020-12-01 13:38 - 신청
2021-01-27 10:50 - 문서재제출요청
2021-01-28 13:25 - 신청
2021-02-24 14:55 - 문서재제출요청
2021-03-19 13:05 - 신청
2021-05-18 13:11 - 문서재제출요청
2022-03-31 14:35 - 신청
2022-04-01 16:24 - 검토반려</x:v>
      </x:c>
    </x:row>
    <x:row r="2456" ht="42" customHeight="1">
      <x:c r="A2456" s="2" t="str">
        <x:v>37329356e1d4ffe49950acee</x:v>
      </x:c>
      <x:c r="B2456" s="2" t="str">
        <x:v>감축량 인증</x:v>
      </x:c>
      <x:c r="C2456" s="2" t="str">
        <x:v>국외</x:v>
      </x:c>
      <x:c r="D2456" s="7" t="str">
        <x:v>안전한 식수 공급을 위한 정수기 보급 사업 : CPA 67(한국 지원)</x:v>
      </x:c>
      <x:c r="E2456" s="2" t="str">
        <x:v>41</x:v>
      </x:c>
      <x:c r="F2456" s="2" t="str">
        <x:v>2020-12-01</x:v>
      </x:c>
      <x:c r="G2456" s="2" t="str">
        <x:v>2020</x:v>
      </x:c>
      <x:c r="H2456" s="2" t="str">
        <x:v>12</x:v>
      </x:c>
      <x:c r="I2456" s="2" t="str">
        <x:v>검토반려</x:v>
      </x:c>
      <x:c r="J2456" s="2" t="str">
        <x:v>반려</x:v>
      </x:c>
      <x:c r="K2456" s="2" t="str">
        <x:f>IF(OR(J2456="심의승인",J2456="반려",J2456="반려완료",J2456="심의완료"),"종결 표시",IF(OR(J2456="기후부협의",J2456="문서재제출요청",J2456="보류",J2456="보완요청",J2456="보완완료",J2456="평가중",J2456="반려요청",J2456="평가필요",LEFT(J2456,5)="보완요청("),"미종결 표시","상태 확인 필요"))</x:f>
        <x:v>종결 표시</x:v>
      </x:c>
      <x:c r="L2456" s="2"/>
      <x:c r="M2456" s="2"/>
      <x:c r="N2456" s="8" t="n">
        <x:f>DATE(2026,10,15)-DATE(2020,12,1)</x:f>
        <x:v>2144</x:v>
      </x:c>
      <x:c r="O2456" s="2"/>
      <x:c r="P2456" s="2"/>
      <x:c r="Q2456" s="2" t="str">
        <x:v>산업전환_외부사업관리Tool_260707_이너젠 수정_LJY_261013.xlsx</x:v>
      </x:c>
      <x:c r="R2456" s="2" t="str">
        <x:v>국외인증</x:v>
      </x:c>
      <x:c r="S2456" s="8" t="n">
        <x:v>43</x:v>
      </x:c>
      <x:c r="T2456" s="2"/>
      <x:c r="U2456" s="2" t="str"/>
      <x:c r="V2456" s="2" t="str">
        <x:v>2022-04-01</x:v>
      </x:c>
      <x:c r="W2456" s="2" t="str">
        <x:v>담당기관 확인</x:v>
      </x:c>
      <x:c r="X2456" s="2" t="str">
        <x:v>원본·배정 기록 확인</x:v>
      </x:c>
      <x:c r="Y2456" s="2" t="str">
        <x:v>ad210cd9ec132cfd447541c8984dc53d30aff0f4fb2dc92d254d49275cc55976</x:v>
      </x:c>
      <x:c r="Z2456" s="2" t="n">
        <x:f>SUBTOTAL(103,A2456)</x:f>
        <x:v>1</x:v>
      </x:c>
      <x:c r="AA2456" s="2" t="str">
        <x:f>IF(K2456&lt;&gt;"미종결 표시","대상 아님",IF(N2456="","신청일 확인",IF(NOT(ISNUMBER('종합 현황'!$H$5)),"관찰기준 확인",IF('종합 현황'!$H$5&lt;1,"관찰기준 확인",IF(N2456&gt;'종합 현황'!$H$5,"내부 관찰 대상","내부 관찰일 이하")))))</x:f>
        <x:v>대상 아님</x:v>
      </x:c>
      <x:c r="AB2456" s="2" t="str">
        <x:v>2020-12-01 13:38 - 신청
2021-01-27 10:51 - 문서재제출요청
2021-01-27 10:51 - 문서재제출요청
2021-01-28 13:25 - 신청
2021-02-24 14:56 - 문서재제출요청
2021-03-19 13:05 - 신청
2021-05-18 13:11 - 문서재제출요청
2022-03-31 14:35 - 신청
2022-04-01 16:23 - 검토반려</x:v>
      </x:c>
    </x:row>
    <x:row r="2457" ht="42" customHeight="1">
      <x:c r="A2457" s="2" t="str">
        <x:v>fb463aed4648ded142da3c14</x:v>
      </x:c>
      <x:c r="B2457" s="2" t="str">
        <x:v>감축량 인증</x:v>
      </x:c>
      <x:c r="C2457" s="2" t="str">
        <x:v>국외</x:v>
      </x:c>
      <x:c r="D2457" s="7" t="str">
        <x:v>안전한 식수 공급을 위한 정수기 보급 사업 : CPA 68(한국 지원)</x:v>
      </x:c>
      <x:c r="E2457" s="2" t="str">
        <x:v>42</x:v>
      </x:c>
      <x:c r="F2457" s="2" t="str">
        <x:v>2020-12-01</x:v>
      </x:c>
      <x:c r="G2457" s="2" t="str">
        <x:v>2020</x:v>
      </x:c>
      <x:c r="H2457" s="2" t="str">
        <x:v>12</x:v>
      </x:c>
      <x:c r="I2457" s="2" t="str">
        <x:v>검토반려</x:v>
      </x:c>
      <x:c r="J2457" s="2" t="str">
        <x:v>반려</x:v>
      </x:c>
      <x:c r="K2457" s="2" t="str">
        <x:f>IF(OR(J2457="심의승인",J2457="반려",J2457="반려완료",J2457="심의완료"),"종결 표시",IF(OR(J2457="기후부협의",J2457="문서재제출요청",J2457="보류",J2457="보완요청",J2457="보완완료",J2457="평가중",J2457="반려요청",J2457="평가필요",LEFT(J2457,5)="보완요청("),"미종결 표시","상태 확인 필요"))</x:f>
        <x:v>종결 표시</x:v>
      </x:c>
      <x:c r="L2457" s="2"/>
      <x:c r="M2457" s="2"/>
      <x:c r="N2457" s="8" t="n">
        <x:f>DATE(2026,10,15)-DATE(2020,12,1)</x:f>
        <x:v>2144</x:v>
      </x:c>
      <x:c r="O2457" s="2"/>
      <x:c r="P2457" s="2"/>
      <x:c r="Q2457" s="2" t="str">
        <x:v>산업전환_외부사업관리Tool_260707_이너젠 수정_LJY_261013.xlsx</x:v>
      </x:c>
      <x:c r="R2457" s="2" t="str">
        <x:v>국외인증</x:v>
      </x:c>
      <x:c r="S2457" s="8" t="n">
        <x:v>44</x:v>
      </x:c>
      <x:c r="T2457" s="2"/>
      <x:c r="U2457" s="2" t="str"/>
      <x:c r="V2457" s="2" t="str">
        <x:v>2022-04-01</x:v>
      </x:c>
      <x:c r="W2457" s="2" t="str">
        <x:v>담당기관 확인</x:v>
      </x:c>
      <x:c r="X2457" s="2" t="str">
        <x:v>원본·배정 기록 확인</x:v>
      </x:c>
      <x:c r="Y2457" s="2" t="str">
        <x:v>ad210cd9ec132cfd447541c8984dc53d30aff0f4fb2dc92d254d49275cc55976</x:v>
      </x:c>
      <x:c r="Z2457" s="2" t="n">
        <x:f>SUBTOTAL(103,A2457)</x:f>
        <x:v>1</x:v>
      </x:c>
      <x:c r="AA2457" s="2" t="str">
        <x:f>IF(K2457&lt;&gt;"미종결 표시","대상 아님",IF(N2457="","신청일 확인",IF(NOT(ISNUMBER('종합 현황'!$H$5)),"관찰기준 확인",IF('종합 현황'!$H$5&lt;1,"관찰기준 확인",IF(N2457&gt;'종합 현황'!$H$5,"내부 관찰 대상","내부 관찰일 이하")))))</x:f>
        <x:v>대상 아님</x:v>
      </x:c>
      <x:c r="AB2457" s="2" t="str">
        <x:v>2020-12-01 13:38 - 신청
2021-01-27 10:40 - 문서재제출요청
2021-01-28 13:26 - 신청
2021-02-24 14:56 - 문서재제출요청
2021-03-19 13:05 - 신청
2021-05-18 13:11 - 문서재제출요청
2022-03-31 14:35 - 신청
2022-04-01 16:03 - 검토반려</x:v>
      </x:c>
    </x:row>
    <x:row r="2458" ht="42" customHeight="1">
      <x:c r="A2458" s="2" t="str">
        <x:v>c640ee9da2a80b6493e4dc72</x:v>
      </x:c>
      <x:c r="B2458" s="2" t="str">
        <x:v>감축량 인증</x:v>
      </x:c>
      <x:c r="C2458" s="2" t="str">
        <x:v>국외</x:v>
      </x:c>
      <x:c r="D2458" s="7" t="str">
        <x:v>안전한 식수 공급을 위한 정수기 보급 사업 : CPA 69(한국 지원)</x:v>
      </x:c>
      <x:c r="E2458" s="2" t="str">
        <x:v>43</x:v>
      </x:c>
      <x:c r="F2458" s="2" t="str">
        <x:v>2020-12-01</x:v>
      </x:c>
      <x:c r="G2458" s="2" t="str">
        <x:v>2020</x:v>
      </x:c>
      <x:c r="H2458" s="2" t="str">
        <x:v>12</x:v>
      </x:c>
      <x:c r="I2458" s="2" t="str">
        <x:v>검토반려</x:v>
      </x:c>
      <x:c r="J2458" s="2" t="str">
        <x:v>반려</x:v>
      </x:c>
      <x:c r="K2458" s="2" t="str">
        <x:f>IF(OR(J2458="심의승인",J2458="반려",J2458="반려완료",J2458="심의완료"),"종결 표시",IF(OR(J2458="기후부협의",J2458="문서재제출요청",J2458="보류",J2458="보완요청",J2458="보완완료",J2458="평가중",J2458="반려요청",J2458="평가필요",LEFT(J2458,5)="보완요청("),"미종결 표시","상태 확인 필요"))</x:f>
        <x:v>종결 표시</x:v>
      </x:c>
      <x:c r="L2458" s="2"/>
      <x:c r="M2458" s="2"/>
      <x:c r="N2458" s="8" t="n">
        <x:f>DATE(2026,10,15)-DATE(2020,12,1)</x:f>
        <x:v>2144</x:v>
      </x:c>
      <x:c r="O2458" s="2"/>
      <x:c r="P2458" s="2"/>
      <x:c r="Q2458" s="2" t="str">
        <x:v>산업전환_외부사업관리Tool_260707_이너젠 수정_LJY_261013.xlsx</x:v>
      </x:c>
      <x:c r="R2458" s="2" t="str">
        <x:v>국외인증</x:v>
      </x:c>
      <x:c r="S2458" s="8" t="n">
        <x:v>45</x:v>
      </x:c>
      <x:c r="T2458" s="2"/>
      <x:c r="U2458" s="2" t="str"/>
      <x:c r="V2458" s="2" t="str">
        <x:v>2022-04-01</x:v>
      </x:c>
      <x:c r="W2458" s="2" t="str">
        <x:v>담당기관 확인</x:v>
      </x:c>
      <x:c r="X2458" s="2" t="str">
        <x:v>원본·배정 기록 확인</x:v>
      </x:c>
      <x:c r="Y2458" s="2" t="str">
        <x:v>ad210cd9ec132cfd447541c8984dc53d30aff0f4fb2dc92d254d49275cc55976</x:v>
      </x:c>
      <x:c r="Z2458" s="2" t="n">
        <x:f>SUBTOTAL(103,A2458)</x:f>
        <x:v>1</x:v>
      </x:c>
      <x:c r="AA2458" s="2" t="str">
        <x:f>IF(K2458&lt;&gt;"미종결 표시","대상 아님",IF(N2458="","신청일 확인",IF(NOT(ISNUMBER('종합 현황'!$H$5)),"관찰기준 확인",IF('종합 현황'!$H$5&lt;1,"관찰기준 확인",IF(N2458&gt;'종합 현황'!$H$5,"내부 관찰 대상","내부 관찰일 이하")))))</x:f>
        <x:v>대상 아님</x:v>
      </x:c>
      <x:c r="AB2458" s="2" t="str">
        <x:v>2020-12-01 13:39 - 신청
2021-01-27 10:41 - 문서재제출요청
2021-01-28 13:26 - 신청
2021-02-24 14:56 - 문서재제출요청
2021-03-19 13:05 - 신청
2021-05-18 13:10 - 문서재제출요청
2022-03-31 14:36 - 신청
2022-04-01 09:52 - 검토반려</x:v>
      </x:c>
    </x:row>
    <x:row r="2459" ht="42" customHeight="1">
      <x:c r="A2459" s="2" t="str">
        <x:v>42d36e87937bb695eab2278f</x:v>
      </x:c>
      <x:c r="B2459" s="2" t="str">
        <x:v>감축량 인증</x:v>
      </x:c>
      <x:c r="C2459" s="2" t="str">
        <x:v>국외</x:v>
      </x:c>
      <x:c r="D2459" s="7" t="str">
        <x:v>안전한 식수 공급을 위한 정수기 보급 사업 : CPA 70(한국 지원)</x:v>
      </x:c>
      <x:c r="E2459" s="2" t="str">
        <x:v>44</x:v>
      </x:c>
      <x:c r="F2459" s="2" t="str">
        <x:v>2020-12-01</x:v>
      </x:c>
      <x:c r="G2459" s="2" t="str">
        <x:v>2020</x:v>
      </x:c>
      <x:c r="H2459" s="2" t="str">
        <x:v>12</x:v>
      </x:c>
      <x:c r="I2459" s="2" t="str">
        <x:v>검토반려</x:v>
      </x:c>
      <x:c r="J2459" s="2" t="str">
        <x:v>반려</x:v>
      </x:c>
      <x:c r="K2459" s="2" t="str">
        <x:f>IF(OR(J2459="심의승인",J2459="반려",J2459="반려완료",J2459="심의완료"),"종결 표시",IF(OR(J2459="기후부협의",J2459="문서재제출요청",J2459="보류",J2459="보완요청",J2459="보완완료",J2459="평가중",J2459="반려요청",J2459="평가필요",LEFT(J2459,5)="보완요청("),"미종결 표시","상태 확인 필요"))</x:f>
        <x:v>종결 표시</x:v>
      </x:c>
      <x:c r="L2459" s="2"/>
      <x:c r="M2459" s="2"/>
      <x:c r="N2459" s="8" t="n">
        <x:f>DATE(2026,10,15)-DATE(2020,12,1)</x:f>
        <x:v>2144</x:v>
      </x:c>
      <x:c r="O2459" s="2"/>
      <x:c r="P2459" s="2"/>
      <x:c r="Q2459" s="2" t="str">
        <x:v>산업전환_외부사업관리Tool_260707_이너젠 수정_LJY_261013.xlsx</x:v>
      </x:c>
      <x:c r="R2459" s="2" t="str">
        <x:v>국외인증</x:v>
      </x:c>
      <x:c r="S2459" s="8" t="n">
        <x:v>46</x:v>
      </x:c>
      <x:c r="T2459" s="2"/>
      <x:c r="U2459" s="2" t="str"/>
      <x:c r="V2459" s="2" t="str">
        <x:v>2022-04-01</x:v>
      </x:c>
      <x:c r="W2459" s="2" t="str">
        <x:v>담당기관 확인</x:v>
      </x:c>
      <x:c r="X2459" s="2" t="str">
        <x:v>원본·배정 기록 확인</x:v>
      </x:c>
      <x:c r="Y2459" s="2" t="str">
        <x:v>ad210cd9ec132cfd447541c8984dc53d30aff0f4fb2dc92d254d49275cc55976</x:v>
      </x:c>
      <x:c r="Z2459" s="2" t="n">
        <x:f>SUBTOTAL(103,A2459)</x:f>
        <x:v>1</x:v>
      </x:c>
      <x:c r="AA2459" s="2" t="str">
        <x:f>IF(K2459&lt;&gt;"미종결 표시","대상 아님",IF(N2459="","신청일 확인",IF(NOT(ISNUMBER('종합 현황'!$H$5)),"관찰기준 확인",IF('종합 현황'!$H$5&lt;1,"관찰기준 확인",IF(N2459&gt;'종합 현황'!$H$5,"내부 관찰 대상","내부 관찰일 이하")))))</x:f>
        <x:v>대상 아님</x:v>
      </x:c>
      <x:c r="AB2459" s="2" t="str">
        <x:v>2020-12-01 13:39 - 신청
2021-01-27 10:50 - 문서재제출요청
2021-01-28 13:27 - 신청
2021-02-24 14:56 - 문서재제출요청
2021-03-19 13:04 - 신청
2021-05-18 13:10 - 문서재제출요청
2022-03-31 14:36 - 신청
2022-04-01 09:52 - 검토반려</x:v>
      </x:c>
    </x:row>
    <x:row r="2460" ht="42" customHeight="1">
      <x:c r="A2460" s="2" t="str">
        <x:v>cb58682448c053fbe241e3ce</x:v>
      </x:c>
      <x:c r="B2460" s="2" t="str">
        <x:v>감축량 인증</x:v>
      </x:c>
      <x:c r="C2460" s="2" t="str">
        <x:v>국외</x:v>
      </x:c>
      <x:c r="D2460" s="7" t="str">
        <x:v>안전한 식수 공급을 위한 정수기 보급 사업 : CPA 71(한국 지원)</x:v>
      </x:c>
      <x:c r="E2460" s="2" t="str">
        <x:v>45</x:v>
      </x:c>
      <x:c r="F2460" s="2" t="str">
        <x:v>2020-12-01</x:v>
      </x:c>
      <x:c r="G2460" s="2" t="str">
        <x:v>2020</x:v>
      </x:c>
      <x:c r="H2460" s="2" t="str">
        <x:v>12</x:v>
      </x:c>
      <x:c r="I2460" s="2" t="str">
        <x:v>검토반려</x:v>
      </x:c>
      <x:c r="J2460" s="2" t="str">
        <x:v>반려</x:v>
      </x:c>
      <x:c r="K2460" s="2" t="str">
        <x:f>IF(OR(J2460="심의승인",J2460="반려",J2460="반려완료",J2460="심의완료"),"종결 표시",IF(OR(J2460="기후부협의",J2460="문서재제출요청",J2460="보류",J2460="보완요청",J2460="보완완료",J2460="평가중",J2460="반려요청",J2460="평가필요",LEFT(J2460,5)="보완요청("),"미종결 표시","상태 확인 필요"))</x:f>
        <x:v>종결 표시</x:v>
      </x:c>
      <x:c r="L2460" s="2"/>
      <x:c r="M2460" s="2"/>
      <x:c r="N2460" s="8" t="n">
        <x:f>DATE(2026,10,15)-DATE(2020,12,1)</x:f>
        <x:v>2144</x:v>
      </x:c>
      <x:c r="O2460" s="2"/>
      <x:c r="P2460" s="2"/>
      <x:c r="Q2460" s="2" t="str">
        <x:v>산업전환_외부사업관리Tool_260707_이너젠 수정_LJY_261013.xlsx</x:v>
      </x:c>
      <x:c r="R2460" s="2" t="str">
        <x:v>국외인증</x:v>
      </x:c>
      <x:c r="S2460" s="8" t="n">
        <x:v>47</x:v>
      </x:c>
      <x:c r="T2460" s="2"/>
      <x:c r="U2460" s="2" t="str"/>
      <x:c r="V2460" s="2" t="str">
        <x:v>2022-04-01</x:v>
      </x:c>
      <x:c r="W2460" s="2" t="str">
        <x:v>담당기관 확인</x:v>
      </x:c>
      <x:c r="X2460" s="2" t="str">
        <x:v>원본·배정 기록 확인</x:v>
      </x:c>
      <x:c r="Y2460" s="2" t="str">
        <x:v>ad210cd9ec132cfd447541c8984dc53d30aff0f4fb2dc92d254d49275cc55976</x:v>
      </x:c>
      <x:c r="Z2460" s="2" t="n">
        <x:f>SUBTOTAL(103,A2460)</x:f>
        <x:v>1</x:v>
      </x:c>
      <x:c r="AA2460" s="2" t="str">
        <x:f>IF(K2460&lt;&gt;"미종결 표시","대상 아님",IF(N2460="","신청일 확인",IF(NOT(ISNUMBER('종합 현황'!$H$5)),"관찰기준 확인",IF('종합 현황'!$H$5&lt;1,"관찰기준 확인",IF(N2460&gt;'종합 현황'!$H$5,"내부 관찰 대상","내부 관찰일 이하")))))</x:f>
        <x:v>대상 아님</x:v>
      </x:c>
      <x:c r="AB2460" s="2" t="str">
        <x:v>2020-12-01 13:39 - 신청
2021-01-27 10:50 - 문서재제출요청
2021-01-28 13:27 - 신청
2021-02-24 14:57 - 문서재제출요청
2021-03-19 13:04 - 신청
2021-05-18 13:10 - 문서재제출요청
2022-03-31 14:37 - 신청
2022-04-01 09:49 - 검토반려</x:v>
      </x:c>
    </x:row>
    <x:row r="2461" ht="42" customHeight="1">
      <x:c r="A2461" s="2" t="str">
        <x:v>caee942697090bae246748c2</x:v>
      </x:c>
      <x:c r="B2461" s="2" t="str">
        <x:v>감축량 인증</x:v>
      </x:c>
      <x:c r="C2461" s="2" t="str">
        <x:v>국외</x:v>
      </x:c>
      <x:c r="D2461" s="7" t="str">
        <x:v>안전한 식수 공급을 위한 정수기 보급 사업 : CPA 72(한국 지원)</x:v>
      </x:c>
      <x:c r="E2461" s="2" t="str">
        <x:v>46</x:v>
      </x:c>
      <x:c r="F2461" s="2" t="str">
        <x:v>2020-12-01</x:v>
      </x:c>
      <x:c r="G2461" s="2" t="str">
        <x:v>2020</x:v>
      </x:c>
      <x:c r="H2461" s="2" t="str">
        <x:v>12</x:v>
      </x:c>
      <x:c r="I2461" s="2" t="str">
        <x:v>검토반려</x:v>
      </x:c>
      <x:c r="J2461" s="2" t="str">
        <x:v>반려</x:v>
      </x:c>
      <x:c r="K2461" s="2" t="str">
        <x:f>IF(OR(J2461="심의승인",J2461="반려",J2461="반려완료",J2461="심의완료"),"종결 표시",IF(OR(J2461="기후부협의",J2461="문서재제출요청",J2461="보류",J2461="보완요청",J2461="보완완료",J2461="평가중",J2461="반려요청",J2461="평가필요",LEFT(J2461,5)="보완요청("),"미종결 표시","상태 확인 필요"))</x:f>
        <x:v>종결 표시</x:v>
      </x:c>
      <x:c r="L2461" s="2"/>
      <x:c r="M2461" s="2"/>
      <x:c r="N2461" s="8" t="n">
        <x:f>DATE(2026,10,15)-DATE(2020,12,1)</x:f>
        <x:v>2144</x:v>
      </x:c>
      <x:c r="O2461" s="2"/>
      <x:c r="P2461" s="2"/>
      <x:c r="Q2461" s="2" t="str">
        <x:v>산업전환_외부사업관리Tool_260707_이너젠 수정_LJY_261013.xlsx</x:v>
      </x:c>
      <x:c r="R2461" s="2" t="str">
        <x:v>국외인증</x:v>
      </x:c>
      <x:c r="S2461" s="8" t="n">
        <x:v>48</x:v>
      </x:c>
      <x:c r="T2461" s="2"/>
      <x:c r="U2461" s="2" t="str"/>
      <x:c r="V2461" s="2" t="str">
        <x:v>2022-04-01</x:v>
      </x:c>
      <x:c r="W2461" s="2" t="str">
        <x:v>담당기관 확인</x:v>
      </x:c>
      <x:c r="X2461" s="2" t="str">
        <x:v>원본·배정 기록 확인</x:v>
      </x:c>
      <x:c r="Y2461" s="2" t="str">
        <x:v>ad210cd9ec132cfd447541c8984dc53d30aff0f4fb2dc92d254d49275cc55976</x:v>
      </x:c>
      <x:c r="Z2461" s="2" t="n">
        <x:f>SUBTOTAL(103,A2461)</x:f>
        <x:v>1</x:v>
      </x:c>
      <x:c r="AA2461" s="2" t="str">
        <x:f>IF(K2461&lt;&gt;"미종결 표시","대상 아님",IF(N2461="","신청일 확인",IF(NOT(ISNUMBER('종합 현황'!$H$5)),"관찰기준 확인",IF('종합 현황'!$H$5&lt;1,"관찰기준 확인",IF(N2461&gt;'종합 현황'!$H$5,"내부 관찰 대상","내부 관찰일 이하")))))</x:f>
        <x:v>대상 아님</x:v>
      </x:c>
      <x:c r="AB2461" s="2" t="str">
        <x:v>2020-12-01 13:40 - 신청
2021-01-27 10:50 - 문서재제출요청
2021-01-28 13:27 - 신청
2021-02-24 14:57 - 문서재제출요청
2021-03-19 13:04 - 신청
2021-05-18 11:33 - 문서재제출요청
2022-03-31 14:37 - 신청
2022-04-01 09:48 - 검토반려</x:v>
      </x:c>
    </x:row>
    <x:row r="2462" ht="42" customHeight="1">
      <x:c r="A2462" s="2" t="str">
        <x:v>5fdcacf30f8ed6e22b42c975</x:v>
      </x:c>
      <x:c r="B2462" s="2" t="str">
        <x:v>감축량 인증</x:v>
      </x:c>
      <x:c r="C2462" s="2" t="str">
        <x:v>국외</x:v>
      </x:c>
      <x:c r="D2462" s="7" t="str">
        <x:v>안전한 식수 공급을 위한 정수기 보급 사업 : CPA 73(한국 지원)</x:v>
      </x:c>
      <x:c r="E2462" s="2" t="str">
        <x:v>47</x:v>
      </x:c>
      <x:c r="F2462" s="2" t="str">
        <x:v>2020-12-01</x:v>
      </x:c>
      <x:c r="G2462" s="2" t="str">
        <x:v>2020</x:v>
      </x:c>
      <x:c r="H2462" s="2" t="str">
        <x:v>12</x:v>
      </x:c>
      <x:c r="I2462" s="2" t="str">
        <x:v>검토반려</x:v>
      </x:c>
      <x:c r="J2462" s="2" t="str">
        <x:v>반려</x:v>
      </x:c>
      <x:c r="K2462" s="2" t="str">
        <x:f>IF(OR(J2462="심의승인",J2462="반려",J2462="반려완료",J2462="심의완료"),"종결 표시",IF(OR(J2462="기후부협의",J2462="문서재제출요청",J2462="보류",J2462="보완요청",J2462="보완완료",J2462="평가중",J2462="반려요청",J2462="평가필요",LEFT(J2462,5)="보완요청("),"미종결 표시","상태 확인 필요"))</x:f>
        <x:v>종결 표시</x:v>
      </x:c>
      <x:c r="L2462" s="2"/>
      <x:c r="M2462" s="2"/>
      <x:c r="N2462" s="8" t="n">
        <x:f>DATE(2026,10,15)-DATE(2020,12,1)</x:f>
        <x:v>2144</x:v>
      </x:c>
      <x:c r="O2462" s="2"/>
      <x:c r="P2462" s="2"/>
      <x:c r="Q2462" s="2" t="str">
        <x:v>산업전환_외부사업관리Tool_260707_이너젠 수정_LJY_261013.xlsx</x:v>
      </x:c>
      <x:c r="R2462" s="2" t="str">
        <x:v>국외인증</x:v>
      </x:c>
      <x:c r="S2462" s="8" t="n">
        <x:v>49</x:v>
      </x:c>
      <x:c r="T2462" s="2"/>
      <x:c r="U2462" s="2" t="str"/>
      <x:c r="V2462" s="2" t="str">
        <x:v>2022-04-01</x:v>
      </x:c>
      <x:c r="W2462" s="2" t="str">
        <x:v>담당기관 확인</x:v>
      </x:c>
      <x:c r="X2462" s="2" t="str">
        <x:v>원본·배정 기록 확인</x:v>
      </x:c>
      <x:c r="Y2462" s="2" t="str">
        <x:v>ad210cd9ec132cfd447541c8984dc53d30aff0f4fb2dc92d254d49275cc55976</x:v>
      </x:c>
      <x:c r="Z2462" s="2" t="n">
        <x:f>SUBTOTAL(103,A2462)</x:f>
        <x:v>1</x:v>
      </x:c>
      <x:c r="AA2462" s="2" t="str">
        <x:f>IF(K2462&lt;&gt;"미종결 표시","대상 아님",IF(N2462="","신청일 확인",IF(NOT(ISNUMBER('종합 현황'!$H$5)),"관찰기준 확인",IF('종합 현황'!$H$5&lt;1,"관찰기준 확인",IF(N2462&gt;'종합 현황'!$H$5,"내부 관찰 대상","내부 관찰일 이하")))))</x:f>
        <x:v>대상 아님</x:v>
      </x:c>
      <x:c r="AB2462" s="2" t="str">
        <x:v>2020-12-01 13:40 - 신청
2021-01-27 10:48 - 문서재제출요청
2021-01-28 13:28 - 신청
2021-02-24 14:57 - 문서재제출요청
2021-03-19 13:03 - 신청
2021-05-18 11:32 - 문서재제출요청
2022-03-31 14:38 - 신청
2022-04-01 09:47 - 검토반려</x:v>
      </x:c>
    </x:row>
    <x:row r="2463" ht="42" customHeight="1">
      <x:c r="A2463" s="2" t="str">
        <x:v>952df5e67eaad453509edc94</x:v>
      </x:c>
      <x:c r="B2463" s="2" t="str">
        <x:v>감축량 인증</x:v>
      </x:c>
      <x:c r="C2463" s="2" t="str">
        <x:v>국외</x:v>
      </x:c>
      <x:c r="D2463" s="7" t="str">
        <x:v>안전한 식수 공급을 위한 정수기 보급 사업 : CPA 74(한국 지원)</x:v>
      </x:c>
      <x:c r="E2463" s="2" t="str">
        <x:v>48</x:v>
      </x:c>
      <x:c r="F2463" s="2" t="str">
        <x:v>2020-12-01</x:v>
      </x:c>
      <x:c r="G2463" s="2" t="str">
        <x:v>2020</x:v>
      </x:c>
      <x:c r="H2463" s="2" t="str">
        <x:v>12</x:v>
      </x:c>
      <x:c r="I2463" s="2" t="str">
        <x:v>검토반려</x:v>
      </x:c>
      <x:c r="J2463" s="2" t="str">
        <x:v>반려</x:v>
      </x:c>
      <x:c r="K2463" s="2" t="str">
        <x:f>IF(OR(J2463="심의승인",J2463="반려",J2463="반려완료",J2463="심의완료"),"종결 표시",IF(OR(J2463="기후부협의",J2463="문서재제출요청",J2463="보류",J2463="보완요청",J2463="보완완료",J2463="평가중",J2463="반려요청",J2463="평가필요",LEFT(J2463,5)="보완요청("),"미종결 표시","상태 확인 필요"))</x:f>
        <x:v>종결 표시</x:v>
      </x:c>
      <x:c r="L2463" s="2"/>
      <x:c r="M2463" s="2"/>
      <x:c r="N2463" s="8" t="n">
        <x:f>DATE(2026,10,15)-DATE(2020,12,1)</x:f>
        <x:v>2144</x:v>
      </x:c>
      <x:c r="O2463" s="2"/>
      <x:c r="P2463" s="2"/>
      <x:c r="Q2463" s="2" t="str">
        <x:v>산업전환_외부사업관리Tool_260707_이너젠 수정_LJY_261013.xlsx</x:v>
      </x:c>
      <x:c r="R2463" s="2" t="str">
        <x:v>국외인증</x:v>
      </x:c>
      <x:c r="S2463" s="8" t="n">
        <x:v>50</x:v>
      </x:c>
      <x:c r="T2463" s="2"/>
      <x:c r="U2463" s="2" t="str"/>
      <x:c r="V2463" s="2" t="str">
        <x:v>2022-04-01</x:v>
      </x:c>
      <x:c r="W2463" s="2" t="str">
        <x:v>담당기관 확인</x:v>
      </x:c>
      <x:c r="X2463" s="2" t="str">
        <x:v>원본·배정 기록 확인</x:v>
      </x:c>
      <x:c r="Y2463" s="2" t="str">
        <x:v>ad210cd9ec132cfd447541c8984dc53d30aff0f4fb2dc92d254d49275cc55976</x:v>
      </x:c>
      <x:c r="Z2463" s="2" t="n">
        <x:f>SUBTOTAL(103,A2463)</x:f>
        <x:v>1</x:v>
      </x:c>
      <x:c r="AA2463" s="2" t="str">
        <x:f>IF(K2463&lt;&gt;"미종결 표시","대상 아님",IF(N2463="","신청일 확인",IF(NOT(ISNUMBER('종합 현황'!$H$5)),"관찰기준 확인",IF('종합 현황'!$H$5&lt;1,"관찰기준 확인",IF(N2463&gt;'종합 현황'!$H$5,"내부 관찰 대상","내부 관찰일 이하")))))</x:f>
        <x:v>대상 아님</x:v>
      </x:c>
      <x:c r="AB2463" s="2" t="str">
        <x:v>2020-12-01 13:40 - 신청
2021-01-27 10:34 - 문서재제출요청
2021-01-28 13:28 - 신청
2021-02-24 14:58 - 문서재제출요청
2021-03-19 13:03 - 신청
2021-05-18 11:32 - 문서재제출요청
2022-03-31 14:38 - 신청
2022-04-01 09:45 - 검토반려</x:v>
      </x:c>
    </x:row>
    <x:row r="2464" ht="42" customHeight="1">
      <x:c r="A2464" s="2" t="str">
        <x:v>5521d664b3f4f200f977ad3d</x:v>
      </x:c>
      <x:c r="B2464" s="2" t="str">
        <x:v>감축량 인증</x:v>
      </x:c>
      <x:c r="C2464" s="2" t="str">
        <x:v>국외</x:v>
      </x:c>
      <x:c r="D2464" s="7" t="str">
        <x:v>안전한 식수 공급을 위한 정수기 보급 사업 : CPA 75(한국 지원)</x:v>
      </x:c>
      <x:c r="E2464" s="2" t="str">
        <x:v>49</x:v>
      </x:c>
      <x:c r="F2464" s="2" t="str">
        <x:v>2020-12-01</x:v>
      </x:c>
      <x:c r="G2464" s="2" t="str">
        <x:v>2020</x:v>
      </x:c>
      <x:c r="H2464" s="2" t="str">
        <x:v>12</x:v>
      </x:c>
      <x:c r="I2464" s="2" t="str">
        <x:v>검토반려</x:v>
      </x:c>
      <x:c r="J2464" s="2" t="str">
        <x:v>반려</x:v>
      </x:c>
      <x:c r="K2464" s="2" t="str">
        <x:f>IF(OR(J2464="심의승인",J2464="반려",J2464="반려완료",J2464="심의완료"),"종결 표시",IF(OR(J2464="기후부협의",J2464="문서재제출요청",J2464="보류",J2464="보완요청",J2464="보완완료",J2464="평가중",J2464="반려요청",J2464="평가필요",LEFT(J2464,5)="보완요청("),"미종결 표시","상태 확인 필요"))</x:f>
        <x:v>종결 표시</x:v>
      </x:c>
      <x:c r="L2464" s="2"/>
      <x:c r="M2464" s="2"/>
      <x:c r="N2464" s="8" t="n">
        <x:f>DATE(2026,10,15)-DATE(2020,12,1)</x:f>
        <x:v>2144</x:v>
      </x:c>
      <x:c r="O2464" s="2"/>
      <x:c r="P2464" s="2"/>
      <x:c r="Q2464" s="2" t="str">
        <x:v>산업전환_외부사업관리Tool_260707_이너젠 수정_LJY_261013.xlsx</x:v>
      </x:c>
      <x:c r="R2464" s="2" t="str">
        <x:v>국외인증</x:v>
      </x:c>
      <x:c r="S2464" s="8" t="n">
        <x:v>51</x:v>
      </x:c>
      <x:c r="T2464" s="2"/>
      <x:c r="U2464" s="2" t="str"/>
      <x:c r="V2464" s="2" t="str">
        <x:v>2022-04-01</x:v>
      </x:c>
      <x:c r="W2464" s="2" t="str">
        <x:v>담당기관 확인</x:v>
      </x:c>
      <x:c r="X2464" s="2" t="str">
        <x:v>원본·배정 기록 확인</x:v>
      </x:c>
      <x:c r="Y2464" s="2" t="str">
        <x:v>ad210cd9ec132cfd447541c8984dc53d30aff0f4fb2dc92d254d49275cc55976</x:v>
      </x:c>
      <x:c r="Z2464" s="2" t="n">
        <x:f>SUBTOTAL(103,A2464)</x:f>
        <x:v>1</x:v>
      </x:c>
      <x:c r="AA2464" s="2" t="str">
        <x:f>IF(K2464&lt;&gt;"미종결 표시","대상 아님",IF(N2464="","신청일 확인",IF(NOT(ISNUMBER('종합 현황'!$H$5)),"관찰기준 확인",IF('종합 현황'!$H$5&lt;1,"관찰기준 확인",IF(N2464&gt;'종합 현황'!$H$5,"내부 관찰 대상","내부 관찰일 이하")))))</x:f>
        <x:v>대상 아님</x:v>
      </x:c>
      <x:c r="AB2464" s="2" t="str">
        <x:v>2020-12-01 13:41 - 신청
2021-01-27 10:48 - 문서재제출요청
2021-01-28 13:28 - 신청
2021-02-24 14:58 - 문서재제출요청
2021-03-19 13:02 - 신청
2021-05-18 11:32 - 문서재제출요청
2022-03-31 14:38 - 신청
2022-04-01 09:44 - 검토반려</x:v>
      </x:c>
    </x:row>
    <x:row r="2465" ht="42" customHeight="1">
      <x:c r="A2465" s="2" t="str">
        <x:v>8014fb724692d6c336167737</x:v>
      </x:c>
      <x:c r="B2465" s="2" t="str">
        <x:v>감축량 인증</x:v>
      </x:c>
      <x:c r="C2465" s="2" t="str">
        <x:v>국외</x:v>
      </x:c>
      <x:c r="D2465" s="7" t="str">
        <x:v>안전한 식수 공급을 위한 정수기 보급 사업 : CPA 76(한국 지원)</x:v>
      </x:c>
      <x:c r="E2465" s="2" t="str">
        <x:v>50</x:v>
      </x:c>
      <x:c r="F2465" s="2" t="str">
        <x:v>2020-12-01</x:v>
      </x:c>
      <x:c r="G2465" s="2" t="str">
        <x:v>2020</x:v>
      </x:c>
      <x:c r="H2465" s="2" t="str">
        <x:v>12</x:v>
      </x:c>
      <x:c r="I2465" s="2" t="str">
        <x:v>검토반려</x:v>
      </x:c>
      <x:c r="J2465" s="2" t="str">
        <x:v>반려</x:v>
      </x:c>
      <x:c r="K2465" s="2" t="str">
        <x:f>IF(OR(J2465="심의승인",J2465="반려",J2465="반려완료",J2465="심의완료"),"종결 표시",IF(OR(J2465="기후부협의",J2465="문서재제출요청",J2465="보류",J2465="보완요청",J2465="보완완료",J2465="평가중",J2465="반려요청",J2465="평가필요",LEFT(J2465,5)="보완요청("),"미종결 표시","상태 확인 필요"))</x:f>
        <x:v>종결 표시</x:v>
      </x:c>
      <x:c r="L2465" s="2"/>
      <x:c r="M2465" s="2"/>
      <x:c r="N2465" s="8" t="n">
        <x:f>DATE(2026,10,15)-DATE(2020,12,1)</x:f>
        <x:v>2144</x:v>
      </x:c>
      <x:c r="O2465" s="2"/>
      <x:c r="P2465" s="2"/>
      <x:c r="Q2465" s="2" t="str">
        <x:v>산업전환_외부사업관리Tool_260707_이너젠 수정_LJY_261013.xlsx</x:v>
      </x:c>
      <x:c r="R2465" s="2" t="str">
        <x:v>국외인증</x:v>
      </x:c>
      <x:c r="S2465" s="8" t="n">
        <x:v>52</x:v>
      </x:c>
      <x:c r="T2465" s="2"/>
      <x:c r="U2465" s="2" t="str"/>
      <x:c r="V2465" s="2" t="str">
        <x:v>2022-04-01</x:v>
      </x:c>
      <x:c r="W2465" s="2" t="str">
        <x:v>담당기관 확인</x:v>
      </x:c>
      <x:c r="X2465" s="2" t="str">
        <x:v>원본·배정 기록 확인</x:v>
      </x:c>
      <x:c r="Y2465" s="2" t="str">
        <x:v>ad210cd9ec132cfd447541c8984dc53d30aff0f4fb2dc92d254d49275cc55976</x:v>
      </x:c>
      <x:c r="Z2465" s="2" t="n">
        <x:f>SUBTOTAL(103,A2465)</x:f>
        <x:v>1</x:v>
      </x:c>
      <x:c r="AA2465" s="2" t="str">
        <x:f>IF(K2465&lt;&gt;"미종결 표시","대상 아님",IF(N2465="","신청일 확인",IF(NOT(ISNUMBER('종합 현황'!$H$5)),"관찰기준 확인",IF('종합 현황'!$H$5&lt;1,"관찰기준 확인",IF(N2465&gt;'종합 현황'!$H$5,"내부 관찰 대상","내부 관찰일 이하")))))</x:f>
        <x:v>대상 아님</x:v>
      </x:c>
      <x:c r="AB2465" s="2" t="str">
        <x:v>2020-12-01 13:41 - 신청
2021-01-27 10:48 - 문서재제출요청
2021-01-28 13:29 - 신청
2021-02-24 14:58 - 문서재제출요청
2021-03-19 13:01 - 신청
2021-05-18 11:31 - 문서재제출요청
2022-03-31 14:38 - 신청
2022-04-01 09:42 - 검토반려</x:v>
      </x:c>
    </x:row>
    <x:row r="2466" ht="42" customHeight="1">
      <x:c r="A2466" s="2" t="str">
        <x:v>44b2c3690566ea4af97dfc14</x:v>
      </x:c>
      <x:c r="B2466" s="2" t="str">
        <x:v>감축량 인증</x:v>
      </x:c>
      <x:c r="C2466" s="2" t="str">
        <x:v>국외</x:v>
      </x:c>
      <x:c r="D2466" s="7" t="str">
        <x:v>안전한 식수 공급을 위한 정수기 보급 사업 : CPA 77(한국 지원)</x:v>
      </x:c>
      <x:c r="E2466" s="2" t="str">
        <x:v>51</x:v>
      </x:c>
      <x:c r="F2466" s="2" t="str">
        <x:v>2020-08-04</x:v>
      </x:c>
      <x:c r="G2466" s="2" t="str">
        <x:v>2020</x:v>
      </x:c>
      <x:c r="H2466" s="2" t="str">
        <x:v>08</x:v>
      </x:c>
      <x:c r="I2466" s="2" t="str">
        <x:v>검토반려</x:v>
      </x:c>
      <x:c r="J2466" s="2" t="str">
        <x:v>반려</x:v>
      </x:c>
      <x:c r="K2466" s="2" t="str">
        <x:f>IF(OR(J2466="심의승인",J2466="반려",J2466="반려완료",J2466="심의완료"),"종결 표시",IF(OR(J2466="기후부협의",J2466="문서재제출요청",J2466="보류",J2466="보완요청",J2466="보완완료",J2466="평가중",J2466="반려요청",J2466="평가필요",LEFT(J2466,5)="보완요청("),"미종결 표시","상태 확인 필요"))</x:f>
        <x:v>종결 표시</x:v>
      </x:c>
      <x:c r="L2466" s="2"/>
      <x:c r="M2466" s="2"/>
      <x:c r="N2466" s="8" t="n">
        <x:f>DATE(2026,10,15)-DATE(2020,8,4)</x:f>
        <x:v>2263</x:v>
      </x:c>
      <x:c r="O2466" s="2"/>
      <x:c r="P2466" s="2"/>
      <x:c r="Q2466" s="2" t="str">
        <x:v>산업전환_외부사업관리Tool_260707_이너젠 수정_LJY_261013.xlsx</x:v>
      </x:c>
      <x:c r="R2466" s="2" t="str">
        <x:v>국외인증</x:v>
      </x:c>
      <x:c r="S2466" s="8" t="n">
        <x:v>53</x:v>
      </x:c>
      <x:c r="T2466" s="2"/>
      <x:c r="U2466" s="2" t="str"/>
      <x:c r="V2466" s="2" t="str">
        <x:v>2022-04-01</x:v>
      </x:c>
      <x:c r="W2466" s="2" t="str">
        <x:v>담당기관 확인</x:v>
      </x:c>
      <x:c r="X2466" s="2" t="str">
        <x:v>원본·배정 기록 확인</x:v>
      </x:c>
      <x:c r="Y2466" s="2" t="str">
        <x:v>ad210cd9ec132cfd447541c8984dc53d30aff0f4fb2dc92d254d49275cc55976</x:v>
      </x:c>
      <x:c r="Z2466" s="2" t="n">
        <x:f>SUBTOTAL(103,A2466)</x:f>
        <x:v>1</x:v>
      </x:c>
      <x:c r="AA2466" s="2" t="str">
        <x:f>IF(K2466&lt;&gt;"미종결 표시","대상 아님",IF(N2466="","신청일 확인",IF(NOT(ISNUMBER('종합 현황'!$H$5)),"관찰기준 확인",IF('종합 현황'!$H$5&lt;1,"관찰기준 확인",IF(N2466&gt;'종합 현황'!$H$5,"내부 관찰 대상","내부 관찰일 이하")))))</x:f>
        <x:v>대상 아님</x:v>
      </x:c>
      <x:c r="AB2466" s="2" t="str">
        <x:v>2020-08-04 15:03 - 신청
2020-08-20 18:00 - 문서재제출요청
2020-09-07 13:57 - 신청
2020-09-23 10:08 - 보완요청
2020-11-30 16:23 - 신청
2020-12-01 10:12 - 문서재제출요청
2020-12-01 13:41 - 신청
2021-01-27 10:48 - 문서재제출요청
2021-01-28 13:29 - 신청
2021-02-24 14:58 - 문서재제출요청
2021-03-19 13:01 - 신청
2021-05-18 11:29 - 문서재제출요청
2022-03-31 14:39 - 신청
2022-04-01 09:42 - 검토반려</x:v>
      </x:c>
    </x:row>
    <x:row r="2467" ht="42" customHeight="1">
      <x:c r="A2467" s="2" t="str">
        <x:v>c13f738604373eee82b23e10</x:v>
      </x:c>
      <x:c r="B2467" s="2" t="str">
        <x:v>감축량 인증</x:v>
      </x:c>
      <x:c r="C2467" s="2" t="str">
        <x:v>국외</x:v>
      </x:c>
      <x:c r="D2467" s="7" t="str">
        <x:v>안전한 식수 공급을 위한 정수기 보급 사업 : CPA 78(한국 지원)</x:v>
      </x:c>
      <x:c r="E2467" s="2" t="str">
        <x:v>52</x:v>
      </x:c>
      <x:c r="F2467" s="2" t="str">
        <x:v>2020-12-01</x:v>
      </x:c>
      <x:c r="G2467" s="2" t="str">
        <x:v>2020</x:v>
      </x:c>
      <x:c r="H2467" s="2" t="str">
        <x:v>12</x:v>
      </x:c>
      <x:c r="I2467" s="2" t="str">
        <x:v>검토반려</x:v>
      </x:c>
      <x:c r="J2467" s="2" t="str">
        <x:v>반려</x:v>
      </x:c>
      <x:c r="K2467" s="2" t="str">
        <x:f>IF(OR(J2467="심의승인",J2467="반려",J2467="반려완료",J2467="심의완료"),"종결 표시",IF(OR(J2467="기후부협의",J2467="문서재제출요청",J2467="보류",J2467="보완요청",J2467="보완완료",J2467="평가중",J2467="반려요청",J2467="평가필요",LEFT(J2467,5)="보완요청("),"미종결 표시","상태 확인 필요"))</x:f>
        <x:v>종결 표시</x:v>
      </x:c>
      <x:c r="L2467" s="2"/>
      <x:c r="M2467" s="2"/>
      <x:c r="N2467" s="8" t="n">
        <x:f>DATE(2026,10,15)-DATE(2020,12,1)</x:f>
        <x:v>2144</x:v>
      </x:c>
      <x:c r="O2467" s="2"/>
      <x:c r="P2467" s="2"/>
      <x:c r="Q2467" s="2" t="str">
        <x:v>산업전환_외부사업관리Tool_260707_이너젠 수정_LJY_261013.xlsx</x:v>
      </x:c>
      <x:c r="R2467" s="2" t="str">
        <x:v>국외인증</x:v>
      </x:c>
      <x:c r="S2467" s="8" t="n">
        <x:v>54</x:v>
      </x:c>
      <x:c r="T2467" s="2"/>
      <x:c r="U2467" s="2" t="str"/>
      <x:c r="V2467" s="2" t="str">
        <x:v>2022-04-01</x:v>
      </x:c>
      <x:c r="W2467" s="2" t="str">
        <x:v>담당기관 확인</x:v>
      </x:c>
      <x:c r="X2467" s="2" t="str">
        <x:v>원본·배정 기록 확인</x:v>
      </x:c>
      <x:c r="Y2467" s="2" t="str">
        <x:v>ad210cd9ec132cfd447541c8984dc53d30aff0f4fb2dc92d254d49275cc55976</x:v>
      </x:c>
      <x:c r="Z2467" s="2" t="n">
        <x:f>SUBTOTAL(103,A2467)</x:f>
        <x:v>1</x:v>
      </x:c>
      <x:c r="AA2467" s="2" t="str">
        <x:f>IF(K2467&lt;&gt;"미종결 표시","대상 아님",IF(N2467="","신청일 확인",IF(NOT(ISNUMBER('종합 현황'!$H$5)),"관찰기준 확인",IF('종합 현황'!$H$5&lt;1,"관찰기준 확인",IF(N2467&gt;'종합 현황'!$H$5,"내부 관찰 대상","내부 관찰일 이하")))))</x:f>
        <x:v>대상 아님</x:v>
      </x:c>
      <x:c r="AB2467" s="2" t="str">
        <x:v>2020-12-01 15:26 - 신청
2021-01-27 10:47 - 문서재제출요청
2021-01-28 13:29 - 신청
2021-03-30 14:52 - 문서재제출요청
2021-04-22 10:32 - 신청
2021-06-09 16:29 - 문서재제출요청
2022-03-31 14:39 - 신청
2022-04-01 09:41 - 검토반려</x:v>
      </x:c>
    </x:row>
    <x:row r="2468" ht="42" customHeight="1">
      <x:c r="A2468" s="2" t="str">
        <x:v>19b196a4c272f739802f4947</x:v>
      </x:c>
      <x:c r="B2468" s="2" t="str">
        <x:v>감축량 인증</x:v>
      </x:c>
      <x:c r="C2468" s="2" t="str">
        <x:v>국외</x:v>
      </x:c>
      <x:c r="D2468" s="7" t="str">
        <x:v>안전한 식수 공급을 위한 정수기 보급 사업 : CPA 79(한국 지원)</x:v>
      </x:c>
      <x:c r="E2468" s="2" t="str">
        <x:v>53</x:v>
      </x:c>
      <x:c r="F2468" s="2" t="str">
        <x:v>2020-12-01</x:v>
      </x:c>
      <x:c r="G2468" s="2" t="str">
        <x:v>2020</x:v>
      </x:c>
      <x:c r="H2468" s="2" t="str">
        <x:v>12</x:v>
      </x:c>
      <x:c r="I2468" s="2" t="str">
        <x:v>검토반려</x:v>
      </x:c>
      <x:c r="J2468" s="2" t="str">
        <x:v>반려</x:v>
      </x:c>
      <x:c r="K2468" s="2" t="str">
        <x:f>IF(OR(J2468="심의승인",J2468="반려",J2468="반려완료",J2468="심의완료"),"종결 표시",IF(OR(J2468="기후부협의",J2468="문서재제출요청",J2468="보류",J2468="보완요청",J2468="보완완료",J2468="평가중",J2468="반려요청",J2468="평가필요",LEFT(J2468,5)="보완요청("),"미종결 표시","상태 확인 필요"))</x:f>
        <x:v>종결 표시</x:v>
      </x:c>
      <x:c r="L2468" s="2"/>
      <x:c r="M2468" s="2"/>
      <x:c r="N2468" s="8" t="n">
        <x:f>DATE(2026,10,15)-DATE(2020,12,1)</x:f>
        <x:v>2144</x:v>
      </x:c>
      <x:c r="O2468" s="2"/>
      <x:c r="P2468" s="2"/>
      <x:c r="Q2468" s="2" t="str">
        <x:v>산업전환_외부사업관리Tool_260707_이너젠 수정_LJY_261013.xlsx</x:v>
      </x:c>
      <x:c r="R2468" s="2" t="str">
        <x:v>국외인증</x:v>
      </x:c>
      <x:c r="S2468" s="8" t="n">
        <x:v>55</x:v>
      </x:c>
      <x:c r="T2468" s="2"/>
      <x:c r="U2468" s="2" t="str"/>
      <x:c r="V2468" s="2" t="str">
        <x:v>2022-04-01</x:v>
      </x:c>
      <x:c r="W2468" s="2" t="str">
        <x:v>담당기관 확인</x:v>
      </x:c>
      <x:c r="X2468" s="2" t="str">
        <x:v>원본·배정 기록 확인</x:v>
      </x:c>
      <x:c r="Y2468" s="2" t="str">
        <x:v>ad210cd9ec132cfd447541c8984dc53d30aff0f4fb2dc92d254d49275cc55976</x:v>
      </x:c>
      <x:c r="Z2468" s="2" t="n">
        <x:f>SUBTOTAL(103,A2468)</x:f>
        <x:v>1</x:v>
      </x:c>
      <x:c r="AA2468" s="2" t="str">
        <x:f>IF(K2468&lt;&gt;"미종결 표시","대상 아님",IF(N2468="","신청일 확인",IF(NOT(ISNUMBER('종합 현황'!$H$5)),"관찰기준 확인",IF('종합 현황'!$H$5&lt;1,"관찰기준 확인",IF(N2468&gt;'종합 현황'!$H$5,"내부 관찰 대상","내부 관찰일 이하")))))</x:f>
        <x:v>대상 아님</x:v>
      </x:c>
      <x:c r="AB2468" s="2" t="str">
        <x:v>2020-12-01 15:27 - 신청
2021-01-27 10:47 - 문서재제출요청
2021-01-28 13:30 - 신청
2021-03-30 14:53 - 문서재제출요청
2021-04-22 10:33 - 신청
2021-06-09 16:28 - 문서재제출요청
2022-03-31 14:39 - 신청
2022-04-01 09:41 - 검토반려</x:v>
      </x:c>
    </x:row>
    <x:row r="2469" ht="42" customHeight="1">
      <x:c r="A2469" s="2" t="str">
        <x:v>45cc74f9a08cf65ee69dee7a</x:v>
      </x:c>
      <x:c r="B2469" s="2" t="str">
        <x:v>감축량 인증</x:v>
      </x:c>
      <x:c r="C2469" s="2" t="str">
        <x:v>국외</x:v>
      </x:c>
      <x:c r="D2469" s="7" t="str">
        <x:v>안전한 식수 공급을 위한 정수기 보급 사업 : CPA 80(한국 지원)</x:v>
      </x:c>
      <x:c r="E2469" s="2" t="str">
        <x:v>54</x:v>
      </x:c>
      <x:c r="F2469" s="2" t="str">
        <x:v>2020-12-01</x:v>
      </x:c>
      <x:c r="G2469" s="2" t="str">
        <x:v>2020</x:v>
      </x:c>
      <x:c r="H2469" s="2" t="str">
        <x:v>12</x:v>
      </x:c>
      <x:c r="I2469" s="2" t="str">
        <x:v>검토반려</x:v>
      </x:c>
      <x:c r="J2469" s="2" t="str">
        <x:v>반려</x:v>
      </x:c>
      <x:c r="K2469" s="2" t="str">
        <x:f>IF(OR(J2469="심의승인",J2469="반려",J2469="반려완료",J2469="심의완료"),"종결 표시",IF(OR(J2469="기후부협의",J2469="문서재제출요청",J2469="보류",J2469="보완요청",J2469="보완완료",J2469="평가중",J2469="반려요청",J2469="평가필요",LEFT(J2469,5)="보완요청("),"미종결 표시","상태 확인 필요"))</x:f>
        <x:v>종결 표시</x:v>
      </x:c>
      <x:c r="L2469" s="2"/>
      <x:c r="M2469" s="2"/>
      <x:c r="N2469" s="8" t="n">
        <x:f>DATE(2026,10,15)-DATE(2020,12,1)</x:f>
        <x:v>2144</x:v>
      </x:c>
      <x:c r="O2469" s="2"/>
      <x:c r="P2469" s="2"/>
      <x:c r="Q2469" s="2" t="str">
        <x:v>산업전환_외부사업관리Tool_260707_이너젠 수정_LJY_261013.xlsx</x:v>
      </x:c>
      <x:c r="R2469" s="2" t="str">
        <x:v>국외인증</x:v>
      </x:c>
      <x:c r="S2469" s="8" t="n">
        <x:v>56</x:v>
      </x:c>
      <x:c r="T2469" s="2"/>
      <x:c r="U2469" s="2" t="str"/>
      <x:c r="V2469" s="2" t="str">
        <x:v>2022-04-01</x:v>
      </x:c>
      <x:c r="W2469" s="2" t="str">
        <x:v>담당기관 확인</x:v>
      </x:c>
      <x:c r="X2469" s="2" t="str">
        <x:v>원본·배정 기록 확인</x:v>
      </x:c>
      <x:c r="Y2469" s="2" t="str">
        <x:v>ad210cd9ec132cfd447541c8984dc53d30aff0f4fb2dc92d254d49275cc55976</x:v>
      </x:c>
      <x:c r="Z2469" s="2" t="n">
        <x:f>SUBTOTAL(103,A2469)</x:f>
        <x:v>1</x:v>
      </x:c>
      <x:c r="AA2469" s="2" t="str">
        <x:f>IF(K2469&lt;&gt;"미종결 표시","대상 아님",IF(N2469="","신청일 확인",IF(NOT(ISNUMBER('종합 현황'!$H$5)),"관찰기준 확인",IF('종합 현황'!$H$5&lt;1,"관찰기준 확인",IF(N2469&gt;'종합 현황'!$H$5,"내부 관찰 대상","내부 관찰일 이하")))))</x:f>
        <x:v>대상 아님</x:v>
      </x:c>
      <x:c r="AB2469" s="2" t="str">
        <x:v>2020-12-01 15:27 - 신청
2021-01-27 10:47 - 문서재제출요청
2021-01-28 13:30 - 신청
2021-03-30 14:53 - 문서재제출요청
2021-04-22 10:34 - 신청
2021-06-09 16:28 - 문서재제출요청
2022-03-31 14:39 - 신청
2022-04-01 09:41 - 검토반려</x:v>
      </x:c>
    </x:row>
    <x:row r="2470" ht="42" customHeight="1">
      <x:c r="A2470" s="2" t="str">
        <x:v>f3946ce9a3805dcdad02dad3</x:v>
      </x:c>
      <x:c r="B2470" s="2" t="str">
        <x:v>감축량 인증</x:v>
      </x:c>
      <x:c r="C2470" s="2" t="str">
        <x:v>국외</x:v>
      </x:c>
      <x:c r="D2470" s="7" t="str">
        <x:v>안전한 식수 공급을 위한 정수기 보급 사업 : CPA 81(한국 지원)</x:v>
      </x:c>
      <x:c r="E2470" s="2" t="str">
        <x:v>55</x:v>
      </x:c>
      <x:c r="F2470" s="2" t="str">
        <x:v>2020-12-01</x:v>
      </x:c>
      <x:c r="G2470" s="2" t="str">
        <x:v>2020</x:v>
      </x:c>
      <x:c r="H2470" s="2" t="str">
        <x:v>12</x:v>
      </x:c>
      <x:c r="I2470" s="2" t="str">
        <x:v>검토반려</x:v>
      </x:c>
      <x:c r="J2470" s="2" t="str">
        <x:v>반려</x:v>
      </x:c>
      <x:c r="K2470" s="2" t="str">
        <x:f>IF(OR(J2470="심의승인",J2470="반려",J2470="반려완료",J2470="심의완료"),"종결 표시",IF(OR(J2470="기후부협의",J2470="문서재제출요청",J2470="보류",J2470="보완요청",J2470="보완완료",J2470="평가중",J2470="반려요청",J2470="평가필요",LEFT(J2470,5)="보완요청("),"미종결 표시","상태 확인 필요"))</x:f>
        <x:v>종결 표시</x:v>
      </x:c>
      <x:c r="L2470" s="2"/>
      <x:c r="M2470" s="2"/>
      <x:c r="N2470" s="8" t="n">
        <x:f>DATE(2026,10,15)-DATE(2020,12,1)</x:f>
        <x:v>2144</x:v>
      </x:c>
      <x:c r="O2470" s="2"/>
      <x:c r="P2470" s="2"/>
      <x:c r="Q2470" s="2" t="str">
        <x:v>산업전환_외부사업관리Tool_260707_이너젠 수정_LJY_261013.xlsx</x:v>
      </x:c>
      <x:c r="R2470" s="2" t="str">
        <x:v>국외인증</x:v>
      </x:c>
      <x:c r="S2470" s="8" t="n">
        <x:v>57</x:v>
      </x:c>
      <x:c r="T2470" s="2"/>
      <x:c r="U2470" s="2" t="str"/>
      <x:c r="V2470" s="2" t="str">
        <x:v>2022-04-01</x:v>
      </x:c>
      <x:c r="W2470" s="2" t="str">
        <x:v>담당기관 확인</x:v>
      </x:c>
      <x:c r="X2470" s="2" t="str">
        <x:v>원본·배정 기록 확인</x:v>
      </x:c>
      <x:c r="Y2470" s="2" t="str">
        <x:v>ad210cd9ec132cfd447541c8984dc53d30aff0f4fb2dc92d254d49275cc55976</x:v>
      </x:c>
      <x:c r="Z2470" s="2" t="n">
        <x:f>SUBTOTAL(103,A2470)</x:f>
        <x:v>1</x:v>
      </x:c>
      <x:c r="AA2470" s="2" t="str">
        <x:f>IF(K2470&lt;&gt;"미종결 표시","대상 아님",IF(N2470="","신청일 확인",IF(NOT(ISNUMBER('종합 현황'!$H$5)),"관찰기준 확인",IF('종합 현황'!$H$5&lt;1,"관찰기준 확인",IF(N2470&gt;'종합 현황'!$H$5,"내부 관찰 대상","내부 관찰일 이하")))))</x:f>
        <x:v>대상 아님</x:v>
      </x:c>
      <x:c r="AB2470" s="2" t="str">
        <x:v>2020-12-01 15:28 - 신청
2021-01-27 10:45 - 문서재제출요청
2021-01-28 13:30 - 신청
2021-03-30 14:54 - 문서재제출요청
2021-04-22 10:34 - 신청
2021-06-09 16:28 - 문서재제출요청
2022-03-31 14:39 - 신청
2022-04-01 09:40 - 검토반려</x:v>
      </x:c>
    </x:row>
    <x:row r="2471" ht="42" customHeight="1">
      <x:c r="A2471" s="2" t="str">
        <x:v>75ae3f2be78c78a203ea60a6</x:v>
      </x:c>
      <x:c r="B2471" s="2" t="str">
        <x:v>감축량 인증</x:v>
      </x:c>
      <x:c r="C2471" s="2" t="str">
        <x:v>국외</x:v>
      </x:c>
      <x:c r="D2471" s="7" t="str">
        <x:v>안전한 식수 공급을 위한 정수기 보급 사업 : CPA 82(한국 지원)</x:v>
      </x:c>
      <x:c r="E2471" s="2" t="str">
        <x:v>56</x:v>
      </x:c>
      <x:c r="F2471" s="2" t="str">
        <x:v>2020-12-01</x:v>
      </x:c>
      <x:c r="G2471" s="2" t="str">
        <x:v>2020</x:v>
      </x:c>
      <x:c r="H2471" s="2" t="str">
        <x:v>12</x:v>
      </x:c>
      <x:c r="I2471" s="2" t="str">
        <x:v>검토반려</x:v>
      </x:c>
      <x:c r="J2471" s="2" t="str">
        <x:v>반려</x:v>
      </x:c>
      <x:c r="K2471" s="2" t="str">
        <x:f>IF(OR(J2471="심의승인",J2471="반려",J2471="반려완료",J2471="심의완료"),"종결 표시",IF(OR(J2471="기후부협의",J2471="문서재제출요청",J2471="보류",J2471="보완요청",J2471="보완완료",J2471="평가중",J2471="반려요청",J2471="평가필요",LEFT(J2471,5)="보완요청("),"미종결 표시","상태 확인 필요"))</x:f>
        <x:v>종결 표시</x:v>
      </x:c>
      <x:c r="L2471" s="2"/>
      <x:c r="M2471" s="2"/>
      <x:c r="N2471" s="8" t="n">
        <x:f>DATE(2026,10,15)-DATE(2020,12,1)</x:f>
        <x:v>2144</x:v>
      </x:c>
      <x:c r="O2471" s="2"/>
      <x:c r="P2471" s="2"/>
      <x:c r="Q2471" s="2" t="str">
        <x:v>산업전환_외부사업관리Tool_260707_이너젠 수정_LJY_261013.xlsx</x:v>
      </x:c>
      <x:c r="R2471" s="2" t="str">
        <x:v>국외인증</x:v>
      </x:c>
      <x:c r="S2471" s="8" t="n">
        <x:v>58</x:v>
      </x:c>
      <x:c r="T2471" s="2"/>
      <x:c r="U2471" s="2" t="str"/>
      <x:c r="V2471" s="2" t="str">
        <x:v>2022-04-01</x:v>
      </x:c>
      <x:c r="W2471" s="2" t="str">
        <x:v>담당기관 확인</x:v>
      </x:c>
      <x:c r="X2471" s="2" t="str">
        <x:v>원본·배정 기록 확인</x:v>
      </x:c>
      <x:c r="Y2471" s="2" t="str">
        <x:v>ad210cd9ec132cfd447541c8984dc53d30aff0f4fb2dc92d254d49275cc55976</x:v>
      </x:c>
      <x:c r="Z2471" s="2" t="n">
        <x:f>SUBTOTAL(103,A2471)</x:f>
        <x:v>1</x:v>
      </x:c>
      <x:c r="AA2471" s="2" t="str">
        <x:f>IF(K2471&lt;&gt;"미종결 표시","대상 아님",IF(N2471="","신청일 확인",IF(NOT(ISNUMBER('종합 현황'!$H$5)),"관찰기준 확인",IF('종합 현황'!$H$5&lt;1,"관찰기준 확인",IF(N2471&gt;'종합 현황'!$H$5,"내부 관찰 대상","내부 관찰일 이하")))))</x:f>
        <x:v>대상 아님</x:v>
      </x:c>
      <x:c r="AB2471" s="2" t="str">
        <x:v>2020-12-01 15:28 - 신청
2021-01-27 10:45 - 문서재제출요청
2021-01-28 13:31 - 신청
2021-03-30 14:55 - 문서재제출요청
2021-04-22 10:34 - 신청
2021-06-09 16:28 - 문서재제출요청
2022-03-31 14:40 - 신청
2022-04-01 09:40 - 검토반려</x:v>
      </x:c>
    </x:row>
    <x:row r="2472" ht="42" customHeight="1">
      <x:c r="A2472" s="2" t="str">
        <x:v>66ba6d42fa70e7379bf2490b</x:v>
      </x:c>
      <x:c r="B2472" s="2" t="str">
        <x:v>감축량 인증</x:v>
      </x:c>
      <x:c r="C2472" s="2" t="str">
        <x:v>국외</x:v>
      </x:c>
      <x:c r="D2472" s="7" t="str">
        <x:v>안전한 식수 공급을 위한 정수기 보급 사업 : CPA 83(한국 지원)</x:v>
      </x:c>
      <x:c r="E2472" s="2" t="str">
        <x:v>57</x:v>
      </x:c>
      <x:c r="F2472" s="2" t="str">
        <x:v>2020-12-01</x:v>
      </x:c>
      <x:c r="G2472" s="2" t="str">
        <x:v>2020</x:v>
      </x:c>
      <x:c r="H2472" s="2" t="str">
        <x:v>12</x:v>
      </x:c>
      <x:c r="I2472" s="2" t="str">
        <x:v>검토반려</x:v>
      </x:c>
      <x:c r="J2472" s="2" t="str">
        <x:v>반려</x:v>
      </x:c>
      <x:c r="K2472" s="2" t="str">
        <x:f>IF(OR(J2472="심의승인",J2472="반려",J2472="반려완료",J2472="심의완료"),"종결 표시",IF(OR(J2472="기후부협의",J2472="문서재제출요청",J2472="보류",J2472="보완요청",J2472="보완완료",J2472="평가중",J2472="반려요청",J2472="평가필요",LEFT(J2472,5)="보완요청("),"미종결 표시","상태 확인 필요"))</x:f>
        <x:v>종결 표시</x:v>
      </x:c>
      <x:c r="L2472" s="2"/>
      <x:c r="M2472" s="2"/>
      <x:c r="N2472" s="8" t="n">
        <x:f>DATE(2026,10,15)-DATE(2020,12,1)</x:f>
        <x:v>2144</x:v>
      </x:c>
      <x:c r="O2472" s="2"/>
      <x:c r="P2472" s="2"/>
      <x:c r="Q2472" s="2" t="str">
        <x:v>산업전환_외부사업관리Tool_260707_이너젠 수정_LJY_261013.xlsx</x:v>
      </x:c>
      <x:c r="R2472" s="2" t="str">
        <x:v>국외인증</x:v>
      </x:c>
      <x:c r="S2472" s="8" t="n">
        <x:v>59</x:v>
      </x:c>
      <x:c r="T2472" s="2"/>
      <x:c r="U2472" s="2" t="str"/>
      <x:c r="V2472" s="2" t="str">
        <x:v>2022-04-01</x:v>
      </x:c>
      <x:c r="W2472" s="2" t="str">
        <x:v>담당기관 확인</x:v>
      </x:c>
      <x:c r="X2472" s="2" t="str">
        <x:v>원본·배정 기록 확인</x:v>
      </x:c>
      <x:c r="Y2472" s="2" t="str">
        <x:v>ad210cd9ec132cfd447541c8984dc53d30aff0f4fb2dc92d254d49275cc55976</x:v>
      </x:c>
      <x:c r="Z2472" s="2" t="n">
        <x:f>SUBTOTAL(103,A2472)</x:f>
        <x:v>1</x:v>
      </x:c>
      <x:c r="AA2472" s="2" t="str">
        <x:f>IF(K2472&lt;&gt;"미종결 표시","대상 아님",IF(N2472="","신청일 확인",IF(NOT(ISNUMBER('종합 현황'!$H$5)),"관찰기준 확인",IF('종합 현황'!$H$5&lt;1,"관찰기준 확인",IF(N2472&gt;'종합 현황'!$H$5,"내부 관찰 대상","내부 관찰일 이하")))))</x:f>
        <x:v>대상 아님</x:v>
      </x:c>
      <x:c r="AB2472" s="2" t="str">
        <x:v>2020-12-01 15:29 - 신청
2021-01-27 10:43 - 문서재제출요청
2021-01-28 13:31 - 신청
2021-03-30 14:56 - 문서재제출요청
2021-04-22 10:35 - 신청
2021-06-09 16:27 - 문서재제출요청
2022-03-31 14:40 - 신청
2022-04-01 09:39 - 검토반려</x:v>
      </x:c>
    </x:row>
    <x:row r="2473" ht="42" customHeight="1">
      <x:c r="A2473" s="2" t="str">
        <x:v>bf8424a1434b657fa5455d28</x:v>
      </x:c>
      <x:c r="B2473" s="2" t="str">
        <x:v>감축량 인증</x:v>
      </x:c>
      <x:c r="C2473" s="2" t="str">
        <x:v>국외</x:v>
      </x:c>
      <x:c r="D2473" s="7" t="str">
        <x:v>안전한 식수 공급을 위한 정수기 보급 사업 : CPA 84(한국 지원)</x:v>
      </x:c>
      <x:c r="E2473" s="2" t="str">
        <x:v>58</x:v>
      </x:c>
      <x:c r="F2473" s="2" t="str">
        <x:v>2020-12-01</x:v>
      </x:c>
      <x:c r="G2473" s="2" t="str">
        <x:v>2020</x:v>
      </x:c>
      <x:c r="H2473" s="2" t="str">
        <x:v>12</x:v>
      </x:c>
      <x:c r="I2473" s="2" t="str">
        <x:v>검토반려</x:v>
      </x:c>
      <x:c r="J2473" s="2" t="str">
        <x:v>반려</x:v>
      </x:c>
      <x:c r="K2473" s="2" t="str">
        <x:f>IF(OR(J2473="심의승인",J2473="반려",J2473="반려완료",J2473="심의완료"),"종결 표시",IF(OR(J2473="기후부협의",J2473="문서재제출요청",J2473="보류",J2473="보완요청",J2473="보완완료",J2473="평가중",J2473="반려요청",J2473="평가필요",LEFT(J2473,5)="보완요청("),"미종결 표시","상태 확인 필요"))</x:f>
        <x:v>종결 표시</x:v>
      </x:c>
      <x:c r="L2473" s="2"/>
      <x:c r="M2473" s="2"/>
      <x:c r="N2473" s="8" t="n">
        <x:f>DATE(2026,10,15)-DATE(2020,12,1)</x:f>
        <x:v>2144</x:v>
      </x:c>
      <x:c r="O2473" s="2"/>
      <x:c r="P2473" s="2"/>
      <x:c r="Q2473" s="2" t="str">
        <x:v>산업전환_외부사업관리Tool_260707_이너젠 수정_LJY_261013.xlsx</x:v>
      </x:c>
      <x:c r="R2473" s="2" t="str">
        <x:v>국외인증</x:v>
      </x:c>
      <x:c r="S2473" s="8" t="n">
        <x:v>60</x:v>
      </x:c>
      <x:c r="T2473" s="2"/>
      <x:c r="U2473" s="2" t="str"/>
      <x:c r="V2473" s="2" t="str">
        <x:v>2022-04-01</x:v>
      </x:c>
      <x:c r="W2473" s="2" t="str">
        <x:v>담당기관 확인</x:v>
      </x:c>
      <x:c r="X2473" s="2" t="str">
        <x:v>원본·배정 기록 확인</x:v>
      </x:c>
      <x:c r="Y2473" s="2" t="str">
        <x:v>ad210cd9ec132cfd447541c8984dc53d30aff0f4fb2dc92d254d49275cc55976</x:v>
      </x:c>
      <x:c r="Z2473" s="2" t="n">
        <x:f>SUBTOTAL(103,A2473)</x:f>
        <x:v>1</x:v>
      </x:c>
      <x:c r="AA2473" s="2" t="str">
        <x:f>IF(K2473&lt;&gt;"미종결 표시","대상 아님",IF(N2473="","신청일 확인",IF(NOT(ISNUMBER('종합 현황'!$H$5)),"관찰기준 확인",IF('종합 현황'!$H$5&lt;1,"관찰기준 확인",IF(N2473&gt;'종합 현황'!$H$5,"내부 관찰 대상","내부 관찰일 이하")))))</x:f>
        <x:v>대상 아님</x:v>
      </x:c>
      <x:c r="AB2473" s="2" t="str">
        <x:v>2020-12-01 15:29 - 신청
2021-01-27 10:42 - 문서재제출요청
2021-01-28 13:31 - 신청
2021-03-30 14:56 - 문서재제출요청
2021-04-22 10:36 - 신청
2021-06-09 16:27 - 문서재제출요청
2022-03-31 14:40 - 신청
2022-04-01 09:39 - 검토반려</x:v>
      </x:c>
    </x:row>
    <x:row r="2474" ht="42" customHeight="1">
      <x:c r="A2474" s="2" t="str">
        <x:v>ae1e4df943451b31c4cdc72b</x:v>
      </x:c>
      <x:c r="B2474" s="2" t="str">
        <x:v>감축량 인증</x:v>
      </x:c>
      <x:c r="C2474" s="2" t="str">
        <x:v>국외</x:v>
      </x:c>
      <x:c r="D2474" s="7" t="str">
        <x:v>안전한 식수 공급을 위한 정수기 보급 사업 : CPA 85(한국 지원)</x:v>
      </x:c>
      <x:c r="E2474" s="2" t="str">
        <x:v>59</x:v>
      </x:c>
      <x:c r="F2474" s="2" t="str">
        <x:v>2020-12-01</x:v>
      </x:c>
      <x:c r="G2474" s="2" t="str">
        <x:v>2020</x:v>
      </x:c>
      <x:c r="H2474" s="2" t="str">
        <x:v>12</x:v>
      </x:c>
      <x:c r="I2474" s="2" t="str">
        <x:v>검토반려</x:v>
      </x:c>
      <x:c r="J2474" s="2" t="str">
        <x:v>반려</x:v>
      </x:c>
      <x:c r="K2474" s="2" t="str">
        <x:f>IF(OR(J2474="심의승인",J2474="반려",J2474="반려완료",J2474="심의완료"),"종결 표시",IF(OR(J2474="기후부협의",J2474="문서재제출요청",J2474="보류",J2474="보완요청",J2474="보완완료",J2474="평가중",J2474="반려요청",J2474="평가필요",LEFT(J2474,5)="보완요청("),"미종결 표시","상태 확인 필요"))</x:f>
        <x:v>종결 표시</x:v>
      </x:c>
      <x:c r="L2474" s="2"/>
      <x:c r="M2474" s="2"/>
      <x:c r="N2474" s="8" t="n">
        <x:f>DATE(2026,10,15)-DATE(2020,12,1)</x:f>
        <x:v>2144</x:v>
      </x:c>
      <x:c r="O2474" s="2"/>
      <x:c r="P2474" s="2"/>
      <x:c r="Q2474" s="2" t="str">
        <x:v>산업전환_외부사업관리Tool_260707_이너젠 수정_LJY_261013.xlsx</x:v>
      </x:c>
      <x:c r="R2474" s="2" t="str">
        <x:v>국외인증</x:v>
      </x:c>
      <x:c r="S2474" s="8" t="n">
        <x:v>61</x:v>
      </x:c>
      <x:c r="T2474" s="2"/>
      <x:c r="U2474" s="2" t="str"/>
      <x:c r="V2474" s="2" t="str">
        <x:v>2022-04-01</x:v>
      </x:c>
      <x:c r="W2474" s="2" t="str">
        <x:v>담당기관 확인</x:v>
      </x:c>
      <x:c r="X2474" s="2" t="str">
        <x:v>원본·배정 기록 확인</x:v>
      </x:c>
      <x:c r="Y2474" s="2" t="str">
        <x:v>ad210cd9ec132cfd447541c8984dc53d30aff0f4fb2dc92d254d49275cc55976</x:v>
      </x:c>
      <x:c r="Z2474" s="2" t="n">
        <x:f>SUBTOTAL(103,A2474)</x:f>
        <x:v>1</x:v>
      </x:c>
      <x:c r="AA2474" s="2" t="str">
        <x:f>IF(K2474&lt;&gt;"미종결 표시","대상 아님",IF(N2474="","신청일 확인",IF(NOT(ISNUMBER('종합 현황'!$H$5)),"관찰기준 확인",IF('종합 현황'!$H$5&lt;1,"관찰기준 확인",IF(N2474&gt;'종합 현황'!$H$5,"내부 관찰 대상","내부 관찰일 이하")))))</x:f>
        <x:v>대상 아님</x:v>
      </x:c>
      <x:c r="AB2474" s="2" t="str">
        <x:v>2020-12-01 15:30 - 신청
2021-01-27 10:39 - 문서재제출요청
2021-01-28 13:31 - 신청
2021-03-30 14:57 - 문서재제출요청
2021-04-22 10:37 - 신청
2021-06-09 16:27 - 문서재제출요청
2022-03-31 14:40 - 신청
2022-04-01 09:39 - 검토반려</x:v>
      </x:c>
    </x:row>
    <x:row r="2475" ht="42" customHeight="1">
      <x:c r="A2475" s="2" t="str">
        <x:v>120106b788bad16669a99806</x:v>
      </x:c>
      <x:c r="B2475" s="2" t="str">
        <x:v>감축량 인증</x:v>
      </x:c>
      <x:c r="C2475" s="2" t="str">
        <x:v>국외</x:v>
      </x:c>
      <x:c r="D2475" s="7" t="str">
        <x:v>안전한 식수 공급을 위한 정수기 보급 사업 : CPA 86(한국 지원)</x:v>
      </x:c>
      <x:c r="E2475" s="2" t="str">
        <x:v>60</x:v>
      </x:c>
      <x:c r="F2475" s="2" t="str">
        <x:v>2020-12-01</x:v>
      </x:c>
      <x:c r="G2475" s="2" t="str">
        <x:v>2020</x:v>
      </x:c>
      <x:c r="H2475" s="2" t="str">
        <x:v>12</x:v>
      </x:c>
      <x:c r="I2475" s="2" t="str">
        <x:v>검토반려</x:v>
      </x:c>
      <x:c r="J2475" s="2" t="str">
        <x:v>반려</x:v>
      </x:c>
      <x:c r="K2475" s="2" t="str">
        <x:f>IF(OR(J2475="심의승인",J2475="반려",J2475="반려완료",J2475="심의완료"),"종결 표시",IF(OR(J2475="기후부협의",J2475="문서재제출요청",J2475="보류",J2475="보완요청",J2475="보완완료",J2475="평가중",J2475="반려요청",J2475="평가필요",LEFT(J2475,5)="보완요청("),"미종결 표시","상태 확인 필요"))</x:f>
        <x:v>종결 표시</x:v>
      </x:c>
      <x:c r="L2475" s="2"/>
      <x:c r="M2475" s="2"/>
      <x:c r="N2475" s="8" t="n">
        <x:f>DATE(2026,10,15)-DATE(2020,12,1)</x:f>
        <x:v>2144</x:v>
      </x:c>
      <x:c r="O2475" s="2"/>
      <x:c r="P2475" s="2"/>
      <x:c r="Q2475" s="2" t="str">
        <x:v>산업전환_외부사업관리Tool_260707_이너젠 수정_LJY_261013.xlsx</x:v>
      </x:c>
      <x:c r="R2475" s="2" t="str">
        <x:v>국외인증</x:v>
      </x:c>
      <x:c r="S2475" s="8" t="n">
        <x:v>62</x:v>
      </x:c>
      <x:c r="T2475" s="2"/>
      <x:c r="U2475" s="2" t="str"/>
      <x:c r="V2475" s="2" t="str">
        <x:v>2022-04-01</x:v>
      </x:c>
      <x:c r="W2475" s="2" t="str">
        <x:v>담당기관 확인</x:v>
      </x:c>
      <x:c r="X2475" s="2" t="str">
        <x:v>원본·배정 기록 확인</x:v>
      </x:c>
      <x:c r="Y2475" s="2" t="str">
        <x:v>ad210cd9ec132cfd447541c8984dc53d30aff0f4fb2dc92d254d49275cc55976</x:v>
      </x:c>
      <x:c r="Z2475" s="2" t="n">
        <x:f>SUBTOTAL(103,A2475)</x:f>
        <x:v>1</x:v>
      </x:c>
      <x:c r="AA2475" s="2" t="str">
        <x:f>IF(K2475&lt;&gt;"미종결 표시","대상 아님",IF(N2475="","신청일 확인",IF(NOT(ISNUMBER('종합 현황'!$H$5)),"관찰기준 확인",IF('종합 현황'!$H$5&lt;1,"관찰기준 확인",IF(N2475&gt;'종합 현황'!$H$5,"내부 관찰 대상","내부 관찰일 이하")))))</x:f>
        <x:v>대상 아님</x:v>
      </x:c>
      <x:c r="AB2475" s="2" t="str">
        <x:v>2020-12-01 15:30 - 신청
2021-01-27 10:42 - 문서재제출요청
2021-01-28 13:32 - 신청
2021-03-30 14:57 - 문서재제출요청
2021-04-22 10:37 - 신청
2021-06-09 16:26 - 문서재제출요청
2022-03-31 14:41 - 신청
2022-04-01 09:38 - 검토반려</x:v>
      </x:c>
    </x:row>
    <x:row r="2476" ht="42" customHeight="1">
      <x:c r="A2476" s="2" t="str">
        <x:v>18b0b4dbf47322543c6f8db6</x:v>
      </x:c>
      <x:c r="B2476" s="2" t="str">
        <x:v>감축량 인증</x:v>
      </x:c>
      <x:c r="C2476" s="2" t="str">
        <x:v>국외</x:v>
      </x:c>
      <x:c r="D2476" s="7" t="str">
        <x:v>안전한 식수 공급을 위한 정수기 보급 사업 : CPA 87(한국 지원)</x:v>
      </x:c>
      <x:c r="E2476" s="2" t="str">
        <x:v>61</x:v>
      </x:c>
      <x:c r="F2476" s="2" t="str">
        <x:v>2020-12-01</x:v>
      </x:c>
      <x:c r="G2476" s="2" t="str">
        <x:v>2020</x:v>
      </x:c>
      <x:c r="H2476" s="2" t="str">
        <x:v>12</x:v>
      </x:c>
      <x:c r="I2476" s="2" t="str">
        <x:v>검토반려</x:v>
      </x:c>
      <x:c r="J2476" s="2" t="str">
        <x:v>반려</x:v>
      </x:c>
      <x:c r="K2476" s="2" t="str">
        <x:f>IF(OR(J2476="심의승인",J2476="반려",J2476="반려완료",J2476="심의완료"),"종결 표시",IF(OR(J2476="기후부협의",J2476="문서재제출요청",J2476="보류",J2476="보완요청",J2476="보완완료",J2476="평가중",J2476="반려요청",J2476="평가필요",LEFT(J2476,5)="보완요청("),"미종결 표시","상태 확인 필요"))</x:f>
        <x:v>종결 표시</x:v>
      </x:c>
      <x:c r="L2476" s="2"/>
      <x:c r="M2476" s="2"/>
      <x:c r="N2476" s="8" t="n">
        <x:f>DATE(2026,10,15)-DATE(2020,12,1)</x:f>
        <x:v>2144</x:v>
      </x:c>
      <x:c r="O2476" s="2"/>
      <x:c r="P2476" s="2"/>
      <x:c r="Q2476" s="2" t="str">
        <x:v>산업전환_외부사업관리Tool_260707_이너젠 수정_LJY_261013.xlsx</x:v>
      </x:c>
      <x:c r="R2476" s="2" t="str">
        <x:v>국외인증</x:v>
      </x:c>
      <x:c r="S2476" s="8" t="n">
        <x:v>63</x:v>
      </x:c>
      <x:c r="T2476" s="2"/>
      <x:c r="U2476" s="2" t="str"/>
      <x:c r="V2476" s="2" t="str">
        <x:v>2022-04-01</x:v>
      </x:c>
      <x:c r="W2476" s="2" t="str">
        <x:v>담당기관 확인</x:v>
      </x:c>
      <x:c r="X2476" s="2" t="str">
        <x:v>원본·배정 기록 확인</x:v>
      </x:c>
      <x:c r="Y2476" s="2" t="str">
        <x:v>ad210cd9ec132cfd447541c8984dc53d30aff0f4fb2dc92d254d49275cc55976</x:v>
      </x:c>
      <x:c r="Z2476" s="2" t="n">
        <x:f>SUBTOTAL(103,A2476)</x:f>
        <x:v>1</x:v>
      </x:c>
      <x:c r="AA2476" s="2" t="str">
        <x:f>IF(K2476&lt;&gt;"미종결 표시","대상 아님",IF(N2476="","신청일 확인",IF(NOT(ISNUMBER('종합 현황'!$H$5)),"관찰기준 확인",IF('종합 현황'!$H$5&lt;1,"관찰기준 확인",IF(N2476&gt;'종합 현황'!$H$5,"내부 관찰 대상","내부 관찰일 이하")))))</x:f>
        <x:v>대상 아님</x:v>
      </x:c>
      <x:c r="AB2476" s="2" t="str">
        <x:v>2020-12-01 15:30 - 신청
2021-01-27 10:42 - 문서재제출요청
2021-01-28 13:32 - 신청
2021-03-30 14:58 - 문서재제출요청
2021-04-22 10:38 - 신청
2021-06-09 16:26 - 문서재제출요청
2022-03-31 14:41 - 신청
2022-04-01 09:38 - 검토반려</x:v>
      </x:c>
    </x:row>
    <x:row r="2477" ht="42" customHeight="1">
      <x:c r="A2477" s="2" t="str">
        <x:v>ed887185cafe91fd1eceb896</x:v>
      </x:c>
      <x:c r="B2477" s="2" t="str">
        <x:v>감축량 인증</x:v>
      </x:c>
      <x:c r="C2477" s="2" t="str">
        <x:v>국외</x:v>
      </x:c>
      <x:c r="D2477" s="7" t="str">
        <x:v>안전한 식수 공급을 위한 정수기 보급 사업 : CPA 88(한국 지원)</x:v>
      </x:c>
      <x:c r="E2477" s="2" t="str">
        <x:v>62</x:v>
      </x:c>
      <x:c r="F2477" s="2" t="str">
        <x:v>2020-12-01</x:v>
      </x:c>
      <x:c r="G2477" s="2" t="str">
        <x:v>2020</x:v>
      </x:c>
      <x:c r="H2477" s="2" t="str">
        <x:v>12</x:v>
      </x:c>
      <x:c r="I2477" s="2" t="str">
        <x:v>검토반려</x:v>
      </x:c>
      <x:c r="J2477" s="2" t="str">
        <x:v>반려</x:v>
      </x:c>
      <x:c r="K2477" s="2" t="str">
        <x:f>IF(OR(J2477="심의승인",J2477="반려",J2477="반려완료",J2477="심의완료"),"종결 표시",IF(OR(J2477="기후부협의",J2477="문서재제출요청",J2477="보류",J2477="보완요청",J2477="보완완료",J2477="평가중",J2477="반려요청",J2477="평가필요",LEFT(J2477,5)="보완요청("),"미종결 표시","상태 확인 필요"))</x:f>
        <x:v>종결 표시</x:v>
      </x:c>
      <x:c r="L2477" s="2"/>
      <x:c r="M2477" s="2"/>
      <x:c r="N2477" s="8" t="n">
        <x:f>DATE(2026,10,15)-DATE(2020,12,1)</x:f>
        <x:v>2144</x:v>
      </x:c>
      <x:c r="O2477" s="2"/>
      <x:c r="P2477" s="2"/>
      <x:c r="Q2477" s="2" t="str">
        <x:v>산업전환_외부사업관리Tool_260707_이너젠 수정_LJY_261013.xlsx</x:v>
      </x:c>
      <x:c r="R2477" s="2" t="str">
        <x:v>국외인증</x:v>
      </x:c>
      <x:c r="S2477" s="8" t="n">
        <x:v>64</x:v>
      </x:c>
      <x:c r="T2477" s="2"/>
      <x:c r="U2477" s="2" t="str"/>
      <x:c r="V2477" s="2" t="str">
        <x:v>2022-04-01</x:v>
      </x:c>
      <x:c r="W2477" s="2" t="str">
        <x:v>담당기관 확인</x:v>
      </x:c>
      <x:c r="X2477" s="2" t="str">
        <x:v>원본·배정 기록 확인</x:v>
      </x:c>
      <x:c r="Y2477" s="2" t="str">
        <x:v>ad210cd9ec132cfd447541c8984dc53d30aff0f4fb2dc92d254d49275cc55976</x:v>
      </x:c>
      <x:c r="Z2477" s="2" t="n">
        <x:f>SUBTOTAL(103,A2477)</x:f>
        <x:v>1</x:v>
      </x:c>
      <x:c r="AA2477" s="2" t="str">
        <x:f>IF(K2477&lt;&gt;"미종결 표시","대상 아님",IF(N2477="","신청일 확인",IF(NOT(ISNUMBER('종합 현황'!$H$5)),"관찰기준 확인",IF('종합 현황'!$H$5&lt;1,"관찰기준 확인",IF(N2477&gt;'종합 현황'!$H$5,"내부 관찰 대상","내부 관찰일 이하")))))</x:f>
        <x:v>대상 아님</x:v>
      </x:c>
      <x:c r="AB2477" s="2" t="str">
        <x:v>2020-12-01 15:31 - 신청
2021-01-27 10:42 - 문서재제출요청
2021-01-28 13:33 - 신청
2021-03-30 14:58 - 문서재제출요청
2021-04-22 10:38 - 신청
2021-06-09 16:26 - 문서재제출요청
2022-03-31 14:41 - 신청
2022-04-01 09:38 - 검토반려</x:v>
      </x:c>
    </x:row>
    <x:row r="2478" ht="42" customHeight="1">
      <x:c r="A2478" s="2" t="str">
        <x:v>a42125b72ffc811c72dc6033</x:v>
      </x:c>
      <x:c r="B2478" s="2" t="str">
        <x:v>감축량 인증</x:v>
      </x:c>
      <x:c r="C2478" s="2" t="str">
        <x:v>국외</x:v>
      </x:c>
      <x:c r="D2478" s="7" t="str">
        <x:v>안전한 식수 공급을 위한 정수기 보급 사업 : CPA 89(한국 지원)</x:v>
      </x:c>
      <x:c r="E2478" s="2" t="str">
        <x:v>63</x:v>
      </x:c>
      <x:c r="F2478" s="2" t="str">
        <x:v>2020-12-01</x:v>
      </x:c>
      <x:c r="G2478" s="2" t="str">
        <x:v>2020</x:v>
      </x:c>
      <x:c r="H2478" s="2" t="str">
        <x:v>12</x:v>
      </x:c>
      <x:c r="I2478" s="2" t="str">
        <x:v>검토반려</x:v>
      </x:c>
      <x:c r="J2478" s="2" t="str">
        <x:v>반려</x:v>
      </x:c>
      <x:c r="K2478" s="2" t="str">
        <x:f>IF(OR(J2478="심의승인",J2478="반려",J2478="반려완료",J2478="심의완료"),"종결 표시",IF(OR(J2478="기후부협의",J2478="문서재제출요청",J2478="보류",J2478="보완요청",J2478="보완완료",J2478="평가중",J2478="반려요청",J2478="평가필요",LEFT(J2478,5)="보완요청("),"미종결 표시","상태 확인 필요"))</x:f>
        <x:v>종결 표시</x:v>
      </x:c>
      <x:c r="L2478" s="2"/>
      <x:c r="M2478" s="2"/>
      <x:c r="N2478" s="8" t="n">
        <x:f>DATE(2026,10,15)-DATE(2020,12,1)</x:f>
        <x:v>2144</x:v>
      </x:c>
      <x:c r="O2478" s="2"/>
      <x:c r="P2478" s="2"/>
      <x:c r="Q2478" s="2" t="str">
        <x:v>산업전환_외부사업관리Tool_260707_이너젠 수정_LJY_261013.xlsx</x:v>
      </x:c>
      <x:c r="R2478" s="2" t="str">
        <x:v>국외인증</x:v>
      </x:c>
      <x:c r="S2478" s="8" t="n">
        <x:v>65</x:v>
      </x:c>
      <x:c r="T2478" s="2"/>
      <x:c r="U2478" s="2" t="str"/>
      <x:c r="V2478" s="2" t="str">
        <x:v>2022-04-01</x:v>
      </x:c>
      <x:c r="W2478" s="2" t="str">
        <x:v>담당기관 확인</x:v>
      </x:c>
      <x:c r="X2478" s="2" t="str">
        <x:v>원본·배정 기록 확인</x:v>
      </x:c>
      <x:c r="Y2478" s="2" t="str">
        <x:v>ad210cd9ec132cfd447541c8984dc53d30aff0f4fb2dc92d254d49275cc55976</x:v>
      </x:c>
      <x:c r="Z2478" s="2" t="n">
        <x:f>SUBTOTAL(103,A2478)</x:f>
        <x:v>1</x:v>
      </x:c>
      <x:c r="AA2478" s="2" t="str">
        <x:f>IF(K2478&lt;&gt;"미종결 표시","대상 아님",IF(N2478="","신청일 확인",IF(NOT(ISNUMBER('종합 현황'!$H$5)),"관찰기준 확인",IF('종합 현황'!$H$5&lt;1,"관찰기준 확인",IF(N2478&gt;'종합 현황'!$H$5,"내부 관찰 대상","내부 관찰일 이하")))))</x:f>
        <x:v>대상 아님</x:v>
      </x:c>
      <x:c r="AB2478" s="2" t="str">
        <x:v>2020-12-01 15:31 - 신청
2021-01-27 10:41 - 문서재제출요청
2021-01-28 13:33 - 신청
2021-03-30 14:59 - 문서재제출요청
2021-04-22 10:39 - 신청
2021-06-09 16:25 - 문서재제출요청
2022-03-31 14:41 - 신청
2022-04-01 09:35 - 검토반려</x:v>
      </x:c>
    </x:row>
    <x:row r="2479" ht="42" customHeight="1">
      <x:c r="A2479" s="2" t="str">
        <x:v>2c5aad658d711da7ac572f65</x:v>
      </x:c>
      <x:c r="B2479" s="2" t="str">
        <x:v>감축량 인증</x:v>
      </x:c>
      <x:c r="C2479" s="2" t="str">
        <x:v>국외</x:v>
      </x:c>
      <x:c r="D2479" s="7" t="str">
        <x:v>안전한 식수 공급을 위한 정수기 보급 사업 : CPA 90(한국 지원)</x:v>
      </x:c>
      <x:c r="E2479" s="2" t="str">
        <x:v>64</x:v>
      </x:c>
      <x:c r="F2479" s="2" t="str">
        <x:v>2020-12-01</x:v>
      </x:c>
      <x:c r="G2479" s="2" t="str">
        <x:v>2020</x:v>
      </x:c>
      <x:c r="H2479" s="2" t="str">
        <x:v>12</x:v>
      </x:c>
      <x:c r="I2479" s="2" t="str">
        <x:v>검토반려</x:v>
      </x:c>
      <x:c r="J2479" s="2" t="str">
        <x:v>반려</x:v>
      </x:c>
      <x:c r="K2479" s="2" t="str">
        <x:f>IF(OR(J2479="심의승인",J2479="반려",J2479="반려완료",J2479="심의완료"),"종결 표시",IF(OR(J2479="기후부협의",J2479="문서재제출요청",J2479="보류",J2479="보완요청",J2479="보완완료",J2479="평가중",J2479="반려요청",J2479="평가필요",LEFT(J2479,5)="보완요청("),"미종결 표시","상태 확인 필요"))</x:f>
        <x:v>종결 표시</x:v>
      </x:c>
      <x:c r="L2479" s="2"/>
      <x:c r="M2479" s="2"/>
      <x:c r="N2479" s="8" t="n">
        <x:f>DATE(2026,10,15)-DATE(2020,12,1)</x:f>
        <x:v>2144</x:v>
      </x:c>
      <x:c r="O2479" s="2"/>
      <x:c r="P2479" s="2"/>
      <x:c r="Q2479" s="2" t="str">
        <x:v>산업전환_외부사업관리Tool_260707_이너젠 수정_LJY_261013.xlsx</x:v>
      </x:c>
      <x:c r="R2479" s="2" t="str">
        <x:v>국외인증</x:v>
      </x:c>
      <x:c r="S2479" s="8" t="n">
        <x:v>66</x:v>
      </x:c>
      <x:c r="T2479" s="2"/>
      <x:c r="U2479" s="2" t="str"/>
      <x:c r="V2479" s="2" t="str">
        <x:v>2022-04-01</x:v>
      </x:c>
      <x:c r="W2479" s="2" t="str">
        <x:v>담당기관 확인</x:v>
      </x:c>
      <x:c r="X2479" s="2" t="str">
        <x:v>원본·배정 기록 확인</x:v>
      </x:c>
      <x:c r="Y2479" s="2" t="str">
        <x:v>ad210cd9ec132cfd447541c8984dc53d30aff0f4fb2dc92d254d49275cc55976</x:v>
      </x:c>
      <x:c r="Z2479" s="2" t="n">
        <x:f>SUBTOTAL(103,A2479)</x:f>
        <x:v>1</x:v>
      </x:c>
      <x:c r="AA2479" s="2" t="str">
        <x:f>IF(K2479&lt;&gt;"미종결 표시","대상 아님",IF(N2479="","신청일 확인",IF(NOT(ISNUMBER('종합 현황'!$H$5)),"관찰기준 확인",IF('종합 현황'!$H$5&lt;1,"관찰기준 확인",IF(N2479&gt;'종합 현황'!$H$5,"내부 관찰 대상","내부 관찰일 이하")))))</x:f>
        <x:v>대상 아님</x:v>
      </x:c>
      <x:c r="AB2479" s="2" t="str">
        <x:v>2020-12-01 15:31 -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0" ht="42" customHeight="1">
      <x:c r="A2480" s="2" t="str">
        <x:v>e17c37860e811245af574dc7</x:v>
      </x:c>
      <x:c r="B2480" s="2" t="str">
        <x:v>감축량 인증</x:v>
      </x:c>
      <x:c r="C2480" s="2" t="str">
        <x:v>국외</x:v>
      </x:c>
      <x:c r="D2480" s="7" t="str">
        <x:v>안전한 식수 공급을 위한 정수기 보급 사업 : CPA 91(한국 지원)</x:v>
      </x:c>
      <x:c r="E2480" s="2" t="str">
        <x:v>65</x:v>
      </x:c>
      <x:c r="F2480" s="2" t="str">
        <x:v>2020-12-01</x:v>
      </x:c>
      <x:c r="G2480" s="2" t="str">
        <x:v>2020</x:v>
      </x:c>
      <x:c r="H2480" s="2" t="str">
        <x:v>12</x:v>
      </x:c>
      <x:c r="I2480" s="2" t="str">
        <x:v>검토반려</x:v>
      </x:c>
      <x:c r="J2480" s="2" t="str">
        <x:v>반려</x:v>
      </x:c>
      <x:c r="K2480" s="2" t="str">
        <x:f>IF(OR(J2480="심의승인",J2480="반려",J2480="반려완료",J2480="심의완료"),"종결 표시",IF(OR(J2480="기후부협의",J2480="문서재제출요청",J2480="보류",J2480="보완요청",J2480="보완완료",J2480="평가중",J2480="반려요청",J2480="평가필요",LEFT(J2480,5)="보완요청("),"미종결 표시","상태 확인 필요"))</x:f>
        <x:v>종결 표시</x:v>
      </x:c>
      <x:c r="L2480" s="2"/>
      <x:c r="M2480" s="2"/>
      <x:c r="N2480" s="8" t="n">
        <x:f>DATE(2026,10,15)-DATE(2020,12,1)</x:f>
        <x:v>2144</x:v>
      </x:c>
      <x:c r="O2480" s="2"/>
      <x:c r="P2480" s="2"/>
      <x:c r="Q2480" s="2" t="str">
        <x:v>산업전환_외부사업관리Tool_260707_이너젠 수정_LJY_261013.xlsx</x:v>
      </x:c>
      <x:c r="R2480" s="2" t="str">
        <x:v>국외인증</x:v>
      </x:c>
      <x:c r="S2480" s="8" t="n">
        <x:v>67</x:v>
      </x:c>
      <x:c r="T2480" s="2"/>
      <x:c r="U2480" s="2" t="str"/>
      <x:c r="V2480" s="2" t="str">
        <x:v>2022-04-01</x:v>
      </x:c>
      <x:c r="W2480" s="2" t="str">
        <x:v>담당기관 확인</x:v>
      </x:c>
      <x:c r="X2480" s="2" t="str">
        <x:v>원본·배정 기록 확인</x:v>
      </x:c>
      <x:c r="Y2480" s="2" t="str">
        <x:v>ad210cd9ec132cfd447541c8984dc53d30aff0f4fb2dc92d254d49275cc55976</x:v>
      </x:c>
      <x:c r="Z2480" s="2" t="n">
        <x:f>SUBTOTAL(103,A2480)</x:f>
        <x:v>1</x:v>
      </x:c>
      <x:c r="AA2480" s="2" t="str">
        <x:f>IF(K2480&lt;&gt;"미종결 표시","대상 아님",IF(N2480="","신청일 확인",IF(NOT(ISNUMBER('종합 현황'!$H$5)),"관찰기준 확인",IF('종합 현황'!$H$5&lt;1,"관찰기준 확인",IF(N2480&gt;'종합 현황'!$H$5,"내부 관찰 대상","내부 관찰일 이하")))))</x:f>
        <x:v>대상 아님</x:v>
      </x:c>
      <x:c r="AB2480" s="2" t="str">
        <x:v>2020-12-01 15:32 - 신청
2021-01-27 10:41 - 문서재제출요청
2021-01-28 13:33 - 신청
2021-03-30 15:00 - 문서재제출요청
2021-04-22 10:39 - 신청
2021-06-09 16:25 - 문서재제출요청
2022-03-31 14:42 - 신청
2022-04-01 09:35 - 검토반려</x:v>
      </x:c>
    </x:row>
    <x:row r="2481" ht="42" customHeight="1">
      <x:c r="A2481" s="2" t="str">
        <x:v>3f415aa8aeb9592aa284d720</x:v>
      </x:c>
      <x:c r="B2481" s="2" t="str">
        <x:v>감축량 인증</x:v>
      </x:c>
      <x:c r="C2481" s="2" t="str">
        <x:v>국외</x:v>
      </x:c>
      <x:c r="D2481" s="7" t="str">
        <x:v>안전한 식수 공급을 위한 정수기 보급 사업 : CPA 92(한국 지원)</x:v>
      </x:c>
      <x:c r="E2481" s="2" t="str">
        <x:v>66</x:v>
      </x:c>
      <x:c r="F2481" s="2" t="str">
        <x:v>2020-12-01</x:v>
      </x:c>
      <x:c r="G2481" s="2" t="str">
        <x:v>2020</x:v>
      </x:c>
      <x:c r="H2481" s="2" t="str">
        <x:v>12</x:v>
      </x:c>
      <x:c r="I2481" s="2" t="str">
        <x:v>검토반려</x:v>
      </x:c>
      <x:c r="J2481" s="2" t="str">
        <x:v>반려</x:v>
      </x:c>
      <x:c r="K2481" s="2" t="str">
        <x:f>IF(OR(J2481="심의승인",J2481="반려",J2481="반려완료",J2481="심의완료"),"종결 표시",IF(OR(J2481="기후부협의",J2481="문서재제출요청",J2481="보류",J2481="보완요청",J2481="보완완료",J2481="평가중",J2481="반려요청",J2481="평가필요",LEFT(J2481,5)="보완요청("),"미종결 표시","상태 확인 필요"))</x:f>
        <x:v>종결 표시</x:v>
      </x:c>
      <x:c r="L2481" s="2"/>
      <x:c r="M2481" s="2"/>
      <x:c r="N2481" s="8" t="n">
        <x:f>DATE(2026,10,15)-DATE(2020,12,1)</x:f>
        <x:v>2144</x:v>
      </x:c>
      <x:c r="O2481" s="2"/>
      <x:c r="P2481" s="2"/>
      <x:c r="Q2481" s="2" t="str">
        <x:v>산업전환_외부사업관리Tool_260707_이너젠 수정_LJY_261013.xlsx</x:v>
      </x:c>
      <x:c r="R2481" s="2" t="str">
        <x:v>국외인증</x:v>
      </x:c>
      <x:c r="S2481" s="8" t="n">
        <x:v>68</x:v>
      </x:c>
      <x:c r="T2481" s="2"/>
      <x:c r="U2481" s="2" t="str"/>
      <x:c r="V2481" s="2" t="str">
        <x:v>2022-04-01</x:v>
      </x:c>
      <x:c r="W2481" s="2" t="str">
        <x:v>담당기관 확인</x:v>
      </x:c>
      <x:c r="X2481" s="2" t="str">
        <x:v>원본·배정 기록 확인</x:v>
      </x:c>
      <x:c r="Y2481" s="2" t="str">
        <x:v>ad210cd9ec132cfd447541c8984dc53d30aff0f4fb2dc92d254d49275cc55976</x:v>
      </x:c>
      <x:c r="Z2481" s="2" t="n">
        <x:f>SUBTOTAL(103,A2481)</x:f>
        <x:v>1</x:v>
      </x:c>
      <x:c r="AA2481" s="2" t="str">
        <x:f>IF(K2481&lt;&gt;"미종결 표시","대상 아님",IF(N2481="","신청일 확인",IF(NOT(ISNUMBER('종합 현황'!$H$5)),"관찰기준 확인",IF('종합 현황'!$H$5&lt;1,"관찰기준 확인",IF(N2481&gt;'종합 현황'!$H$5,"내부 관찰 대상","내부 관찰일 이하")))))</x:f>
        <x:v>대상 아님</x:v>
      </x:c>
      <x:c r="AB2481" s="2" t="str">
        <x:v>2020-12-01 15:32 - 신청
2021-01-27 10:40 - 문서재제출요청
2021-01-28 13:34 - 신청
2021-03-30 15:01 - 문서재제출요청
2021-04-22 10:39 - 신청
2021-06-09 16:24 - 문서재제출요청
2022-03-31 14:42 - 신청
2022-04-01 09:34 - 검토반려</x:v>
      </x:c>
    </x:row>
    <x:row r="2482" ht="42" customHeight="1">
      <x:c r="A2482" s="2" t="str">
        <x:v>d2db509515d0d00785638836</x:v>
      </x:c>
      <x:c r="B2482" s="2" t="str">
        <x:v>감축량 인증</x:v>
      </x:c>
      <x:c r="C2482" s="2" t="str">
        <x:v>국외</x:v>
      </x:c>
      <x:c r="D2482" s="7" t="str">
        <x:v>안전한 식수 공급을 위한 정수기 보급 사업 : CPA 93(한국 지원)</x:v>
      </x:c>
      <x:c r="E2482" s="2" t="str">
        <x:v>67</x:v>
      </x:c>
      <x:c r="F2482" s="2" t="str">
        <x:v>2020-12-01</x:v>
      </x:c>
      <x:c r="G2482" s="2" t="str">
        <x:v>2020</x:v>
      </x:c>
      <x:c r="H2482" s="2" t="str">
        <x:v>12</x:v>
      </x:c>
      <x:c r="I2482" s="2" t="str">
        <x:v>검토반려</x:v>
      </x:c>
      <x:c r="J2482" s="2" t="str">
        <x:v>반려</x:v>
      </x:c>
      <x:c r="K2482" s="2" t="str">
        <x:f>IF(OR(J2482="심의승인",J2482="반려",J2482="반려완료",J2482="심의완료"),"종결 표시",IF(OR(J2482="기후부협의",J2482="문서재제출요청",J2482="보류",J2482="보완요청",J2482="보완완료",J2482="평가중",J2482="반려요청",J2482="평가필요",LEFT(J2482,5)="보완요청("),"미종결 표시","상태 확인 필요"))</x:f>
        <x:v>종결 표시</x:v>
      </x:c>
      <x:c r="L2482" s="2"/>
      <x:c r="M2482" s="2"/>
      <x:c r="N2482" s="8" t="n">
        <x:f>DATE(2026,10,15)-DATE(2020,12,1)</x:f>
        <x:v>2144</x:v>
      </x:c>
      <x:c r="O2482" s="2"/>
      <x:c r="P2482" s="2"/>
      <x:c r="Q2482" s="2" t="str">
        <x:v>산업전환_외부사업관리Tool_260707_이너젠 수정_LJY_261013.xlsx</x:v>
      </x:c>
      <x:c r="R2482" s="2" t="str">
        <x:v>국외인증</x:v>
      </x:c>
      <x:c r="S2482" s="8" t="n">
        <x:v>69</x:v>
      </x:c>
      <x:c r="T2482" s="2"/>
      <x:c r="U2482" s="2" t="str"/>
      <x:c r="V2482" s="2" t="str">
        <x:v>2022-04-01</x:v>
      </x:c>
      <x:c r="W2482" s="2" t="str">
        <x:v>담당기관 확인</x:v>
      </x:c>
      <x:c r="X2482" s="2" t="str">
        <x:v>원본·배정 기록 확인</x:v>
      </x:c>
      <x:c r="Y2482" s="2" t="str">
        <x:v>ad210cd9ec132cfd447541c8984dc53d30aff0f4fb2dc92d254d49275cc55976</x:v>
      </x:c>
      <x:c r="Z2482" s="2" t="n">
        <x:f>SUBTOTAL(103,A2482)</x:f>
        <x:v>1</x:v>
      </x:c>
      <x:c r="AA2482" s="2" t="str">
        <x:f>IF(K2482&lt;&gt;"미종결 표시","대상 아님",IF(N2482="","신청일 확인",IF(NOT(ISNUMBER('종합 현황'!$H$5)),"관찰기준 확인",IF('종합 현황'!$H$5&lt;1,"관찰기준 확인",IF(N2482&gt;'종합 현황'!$H$5,"내부 관찰 대상","내부 관찰일 이하")))))</x:f>
        <x:v>대상 아님</x:v>
      </x:c>
      <x:c r="AB2482" s="2" t="str">
        <x:v>2020-12-01 15:32 - 신청
2021-01-27 10:40 - 문서재제출요청
2021-01-28 13:34 - 신청
2021-03-30 15:01 - 문서재제출요청
2021-04-22 10:40 - 신청
2021-06-09 16:24 - 문서재제출요청
2022-03-31 14:42 - 신청
2022-04-01 09:32 - 검토반려</x:v>
      </x:c>
    </x:row>
    <x:row r="2483" ht="42" customHeight="1">
      <x:c r="A2483" s="2" t="str">
        <x:v>16e9349159ab6b7129317bbc</x:v>
      </x:c>
      <x:c r="B2483" s="2" t="str">
        <x:v>감축량 인증</x:v>
      </x:c>
      <x:c r="C2483" s="2" t="str">
        <x:v>국외</x:v>
      </x:c>
      <x:c r="D2483" s="7" t="str">
        <x:v>안전한 식수 공급을 위한 정수기 보급 사업 : CPA 94(한국 지원)</x:v>
      </x:c>
      <x:c r="E2483" s="2" t="str">
        <x:v>68</x:v>
      </x:c>
      <x:c r="F2483" s="2" t="str">
        <x:v>2020-12-01</x:v>
      </x:c>
      <x:c r="G2483" s="2" t="str">
        <x:v>2020</x:v>
      </x:c>
      <x:c r="H2483" s="2" t="str">
        <x:v>12</x:v>
      </x:c>
      <x:c r="I2483" s="2" t="str">
        <x:v>검토반려</x:v>
      </x:c>
      <x:c r="J2483" s="2" t="str">
        <x:v>반려</x:v>
      </x:c>
      <x:c r="K2483" s="2" t="str">
        <x:f>IF(OR(J2483="심의승인",J2483="반려",J2483="반려완료",J2483="심의완료"),"종결 표시",IF(OR(J2483="기후부협의",J2483="문서재제출요청",J2483="보류",J2483="보완요청",J2483="보완완료",J2483="평가중",J2483="반려요청",J2483="평가필요",LEFT(J2483,5)="보완요청("),"미종결 표시","상태 확인 필요"))</x:f>
        <x:v>종결 표시</x:v>
      </x:c>
      <x:c r="L2483" s="2"/>
      <x:c r="M2483" s="2"/>
      <x:c r="N2483" s="8" t="n">
        <x:f>DATE(2026,10,15)-DATE(2020,12,1)</x:f>
        <x:v>2144</x:v>
      </x:c>
      <x:c r="O2483" s="2"/>
      <x:c r="P2483" s="2"/>
      <x:c r="Q2483" s="2" t="str">
        <x:v>산업전환_외부사업관리Tool_260707_이너젠 수정_LJY_261013.xlsx</x:v>
      </x:c>
      <x:c r="R2483" s="2" t="str">
        <x:v>국외인증</x:v>
      </x:c>
      <x:c r="S2483" s="8" t="n">
        <x:v>70</x:v>
      </x:c>
      <x:c r="T2483" s="2"/>
      <x:c r="U2483" s="2" t="str"/>
      <x:c r="V2483" s="2" t="str">
        <x:v>2022-04-01</x:v>
      </x:c>
      <x:c r="W2483" s="2" t="str">
        <x:v>담당기관 확인</x:v>
      </x:c>
      <x:c r="X2483" s="2" t="str">
        <x:v>원본·배정 기록 확인</x:v>
      </x:c>
      <x:c r="Y2483" s="2" t="str">
        <x:v>ad210cd9ec132cfd447541c8984dc53d30aff0f4fb2dc92d254d49275cc55976</x:v>
      </x:c>
      <x:c r="Z2483" s="2" t="n">
        <x:f>SUBTOTAL(103,A2483)</x:f>
        <x:v>1</x:v>
      </x:c>
      <x:c r="AA2483" s="2" t="str">
        <x:f>IF(K2483&lt;&gt;"미종결 표시","대상 아님",IF(N2483="","신청일 확인",IF(NOT(ISNUMBER('종합 현황'!$H$5)),"관찰기준 확인",IF('종합 현황'!$H$5&lt;1,"관찰기준 확인",IF(N2483&gt;'종합 현황'!$H$5,"내부 관찰 대상","내부 관찰일 이하")))))</x:f>
        <x:v>대상 아님</x:v>
      </x:c>
      <x:c r="AB2483" s="2" t="str">
        <x:v>2020-12-01 15:32 - 신청
2021-01-27 10:40 - 문서재제출요청
2021-01-28 13:34 - 신청
2021-03-30 15:02 - 문서재제출요청
2021-04-22 10:40 - 신청
2021-06-09 16:24 - 문서재제출요청
2022-03-31 14:42 - 신청
2022-04-01 09:31 - 검토반려</x:v>
      </x:c>
    </x:row>
    <x:row r="2484" ht="42" customHeight="1">
      <x:c r="A2484" s="2" t="str">
        <x:v>a530b51848f7086aae8d9f78</x:v>
      </x:c>
      <x:c r="B2484" s="2" t="str">
        <x:v>감축량 인증</x:v>
      </x:c>
      <x:c r="C2484" s="2" t="str">
        <x:v>국외</x:v>
      </x:c>
      <x:c r="D2484" s="7" t="str">
        <x:v>안전한 식수 공급을 위한 정수기 보급 사업 : CPA 95(한국 지원)</x:v>
      </x:c>
      <x:c r="E2484" s="2" t="str">
        <x:v>69</x:v>
      </x:c>
      <x:c r="F2484" s="2" t="str">
        <x:v>2020-12-01</x:v>
      </x:c>
      <x:c r="G2484" s="2" t="str">
        <x:v>2020</x:v>
      </x:c>
      <x:c r="H2484" s="2" t="str">
        <x:v>12</x:v>
      </x:c>
      <x:c r="I2484" s="2" t="str">
        <x:v>검토반려</x:v>
      </x:c>
      <x:c r="J2484" s="2" t="str">
        <x:v>반려</x:v>
      </x:c>
      <x:c r="K2484" s="2" t="str">
        <x:f>IF(OR(J2484="심의승인",J2484="반려",J2484="반려완료",J2484="심의완료"),"종결 표시",IF(OR(J2484="기후부협의",J2484="문서재제출요청",J2484="보류",J2484="보완요청",J2484="보완완료",J2484="평가중",J2484="반려요청",J2484="평가필요",LEFT(J2484,5)="보완요청("),"미종결 표시","상태 확인 필요"))</x:f>
        <x:v>종결 표시</x:v>
      </x:c>
      <x:c r="L2484" s="2"/>
      <x:c r="M2484" s="2"/>
      <x:c r="N2484" s="8" t="n">
        <x:f>DATE(2026,10,15)-DATE(2020,12,1)</x:f>
        <x:v>2144</x:v>
      </x:c>
      <x:c r="O2484" s="2"/>
      <x:c r="P2484" s="2"/>
      <x:c r="Q2484" s="2" t="str">
        <x:v>산업전환_외부사업관리Tool_260707_이너젠 수정_LJY_261013.xlsx</x:v>
      </x:c>
      <x:c r="R2484" s="2" t="str">
        <x:v>국외인증</x:v>
      </x:c>
      <x:c r="S2484" s="8" t="n">
        <x:v>71</x:v>
      </x:c>
      <x:c r="T2484" s="2"/>
      <x:c r="U2484" s="2" t="str"/>
      <x:c r="V2484" s="2" t="str">
        <x:v>2022-04-01</x:v>
      </x:c>
      <x:c r="W2484" s="2" t="str">
        <x:v>담당기관 확인</x:v>
      </x:c>
      <x:c r="X2484" s="2" t="str">
        <x:v>원본·배정 기록 확인</x:v>
      </x:c>
      <x:c r="Y2484" s="2" t="str">
        <x:v>ad210cd9ec132cfd447541c8984dc53d30aff0f4fb2dc92d254d49275cc55976</x:v>
      </x:c>
      <x:c r="Z2484" s="2" t="n">
        <x:f>SUBTOTAL(103,A2484)</x:f>
        <x:v>1</x:v>
      </x:c>
      <x:c r="AA2484" s="2" t="str">
        <x:f>IF(K2484&lt;&gt;"미종결 표시","대상 아님",IF(N2484="","신청일 확인",IF(NOT(ISNUMBER('종합 현황'!$H$5)),"관찰기준 확인",IF('종합 현황'!$H$5&lt;1,"관찰기준 확인",IF(N2484&gt;'종합 현황'!$H$5,"내부 관찰 대상","내부 관찰일 이하")))))</x:f>
        <x:v>대상 아님</x:v>
      </x:c>
      <x:c r="AB2484" s="2" t="str">
        <x:v>2020-12-01 15:33 - 신청
2021-01-27 10:40 - 문서재제출요청
2021-01-28 13:35 - 신청
2021-03-30 15:03 - 문서재제출요청
2021-04-22 10:41 - 신청
2021-06-09 16:23 - 문서재제출요청
2022-03-31 14:43 - 신청
2022-04-01 09:30 - 검토반려</x:v>
      </x:c>
    </x:row>
    <x:row r="2485" ht="42" customHeight="1">
      <x:c r="A2485" s="2" t="str">
        <x:v>505112a7f407c43be48db9a2</x:v>
      </x:c>
      <x:c r="B2485" s="2" t="str">
        <x:v>감축량 인증</x:v>
      </x:c>
      <x:c r="C2485" s="2" t="str">
        <x:v>국외</x:v>
      </x:c>
      <x:c r="D2485" s="7" t="str">
        <x:v>안전한 식수 공급을 위한 정수기 보급 사업 : CPA 96(한국 지원)</x:v>
      </x:c>
      <x:c r="E2485" s="2" t="str">
        <x:v>70</x:v>
      </x:c>
      <x:c r="F2485" s="2" t="str">
        <x:v>2020-12-01</x:v>
      </x:c>
      <x:c r="G2485" s="2" t="str">
        <x:v>2020</x:v>
      </x:c>
      <x:c r="H2485" s="2" t="str">
        <x:v>12</x:v>
      </x:c>
      <x:c r="I2485" s="2" t="str">
        <x:v>검토반려</x:v>
      </x:c>
      <x:c r="J2485" s="2" t="str">
        <x:v>반려</x:v>
      </x:c>
      <x:c r="K2485" s="2" t="str">
        <x:f>IF(OR(J2485="심의승인",J2485="반려",J2485="반려완료",J2485="심의완료"),"종결 표시",IF(OR(J2485="기후부협의",J2485="문서재제출요청",J2485="보류",J2485="보완요청",J2485="보완완료",J2485="평가중",J2485="반려요청",J2485="평가필요",LEFT(J2485,5)="보완요청("),"미종결 표시","상태 확인 필요"))</x:f>
        <x:v>종결 표시</x:v>
      </x:c>
      <x:c r="L2485" s="2"/>
      <x:c r="M2485" s="2"/>
      <x:c r="N2485" s="8" t="n">
        <x:f>DATE(2026,10,15)-DATE(2020,12,1)</x:f>
        <x:v>2144</x:v>
      </x:c>
      <x:c r="O2485" s="2"/>
      <x:c r="P2485" s="2"/>
      <x:c r="Q2485" s="2" t="str">
        <x:v>산업전환_외부사업관리Tool_260707_이너젠 수정_LJY_261013.xlsx</x:v>
      </x:c>
      <x:c r="R2485" s="2" t="str">
        <x:v>국외인증</x:v>
      </x:c>
      <x:c r="S2485" s="8" t="n">
        <x:v>72</x:v>
      </x:c>
      <x:c r="T2485" s="2"/>
      <x:c r="U2485" s="2" t="str"/>
      <x:c r="V2485" s="2" t="str">
        <x:v>2022-04-01</x:v>
      </x:c>
      <x:c r="W2485" s="2" t="str">
        <x:v>담당기관 확인</x:v>
      </x:c>
      <x:c r="X2485" s="2" t="str">
        <x:v>원본·배정 기록 확인</x:v>
      </x:c>
      <x:c r="Y2485" s="2" t="str">
        <x:v>ad210cd9ec132cfd447541c8984dc53d30aff0f4fb2dc92d254d49275cc55976</x:v>
      </x:c>
      <x:c r="Z2485" s="2" t="n">
        <x:f>SUBTOTAL(103,A2485)</x:f>
        <x:v>1</x:v>
      </x:c>
      <x:c r="AA2485" s="2" t="str">
        <x:f>IF(K2485&lt;&gt;"미종결 표시","대상 아님",IF(N2485="","신청일 확인",IF(NOT(ISNUMBER('종합 현황'!$H$5)),"관찰기준 확인",IF('종합 현황'!$H$5&lt;1,"관찰기준 확인",IF(N2485&gt;'종합 현황'!$H$5,"내부 관찰 대상","내부 관찰일 이하")))))</x:f>
        <x:v>대상 아님</x:v>
      </x:c>
      <x:c r="AB2485" s="2" t="str">
        <x:v>2020-12-01 15:33 - 신청
2021-01-27 10:39 - 문서재제출요청
2021-01-28 13:35 - 신청
2021-03-30 15:03 - 문서재제출요청
2021-04-22 10:43 - 신청
2021-06-09 16:23 - 문서재제출요청
2022-03-31 14:43 - 신청
2022-04-01 09:29 - 검토반려</x:v>
      </x:c>
    </x:row>
    <x:row r="2486" ht="42" customHeight="1">
      <x:c r="A2486" s="2" t="str">
        <x:v>89bba33853c7de5ad1735813</x:v>
      </x:c>
      <x:c r="B2486" s="2" t="str">
        <x:v>감축량 인증</x:v>
      </x:c>
      <x:c r="C2486" s="2" t="str">
        <x:v>국외</x:v>
      </x:c>
      <x:c r="D2486" s="7" t="str">
        <x:v>안전한 식수 공급을 위한 정수기 보급 사업 : CPA 97(한국 지원)</x:v>
      </x:c>
      <x:c r="E2486" s="2" t="str">
        <x:v>71</x:v>
      </x:c>
      <x:c r="F2486" s="2" t="str">
        <x:v>2020-12-01</x:v>
      </x:c>
      <x:c r="G2486" s="2" t="str">
        <x:v>2020</x:v>
      </x:c>
      <x:c r="H2486" s="2" t="str">
        <x:v>12</x:v>
      </x:c>
      <x:c r="I2486" s="2" t="str">
        <x:v>검토반려</x:v>
      </x:c>
      <x:c r="J2486" s="2" t="str">
        <x:v>반려</x:v>
      </x:c>
      <x:c r="K2486" s="2" t="str">
        <x:f>IF(OR(J2486="심의승인",J2486="반려",J2486="반려완료",J2486="심의완료"),"종결 표시",IF(OR(J2486="기후부협의",J2486="문서재제출요청",J2486="보류",J2486="보완요청",J2486="보완완료",J2486="평가중",J2486="반려요청",J2486="평가필요",LEFT(J2486,5)="보완요청("),"미종결 표시","상태 확인 필요"))</x:f>
        <x:v>종결 표시</x:v>
      </x:c>
      <x:c r="L2486" s="2"/>
      <x:c r="M2486" s="2"/>
      <x:c r="N2486" s="8" t="n">
        <x:f>DATE(2026,10,15)-DATE(2020,12,1)</x:f>
        <x:v>2144</x:v>
      </x:c>
      <x:c r="O2486" s="2"/>
      <x:c r="P2486" s="2"/>
      <x:c r="Q2486" s="2" t="str">
        <x:v>산업전환_외부사업관리Tool_260707_이너젠 수정_LJY_261013.xlsx</x:v>
      </x:c>
      <x:c r="R2486" s="2" t="str">
        <x:v>국외인증</x:v>
      </x:c>
      <x:c r="S2486" s="8" t="n">
        <x:v>73</x:v>
      </x:c>
      <x:c r="T2486" s="2"/>
      <x:c r="U2486" s="2" t="str"/>
      <x:c r="V2486" s="2" t="str">
        <x:v>2022-04-01</x:v>
      </x:c>
      <x:c r="W2486" s="2" t="str">
        <x:v>담당기관 확인</x:v>
      </x:c>
      <x:c r="X2486" s="2" t="str">
        <x:v>원본·배정 기록 확인</x:v>
      </x:c>
      <x:c r="Y2486" s="2" t="str">
        <x:v>ad210cd9ec132cfd447541c8984dc53d30aff0f4fb2dc92d254d49275cc55976</x:v>
      </x:c>
      <x:c r="Z2486" s="2" t="n">
        <x:f>SUBTOTAL(103,A2486)</x:f>
        <x:v>1</x:v>
      </x:c>
      <x:c r="AA2486" s="2" t="str">
        <x:f>IF(K2486&lt;&gt;"미종결 표시","대상 아님",IF(N2486="","신청일 확인",IF(NOT(ISNUMBER('종합 현황'!$H$5)),"관찰기준 확인",IF('종합 현황'!$H$5&lt;1,"관찰기준 확인",IF(N2486&gt;'종합 현황'!$H$5,"내부 관찰 대상","내부 관찰일 이하")))))</x:f>
        <x:v>대상 아님</x:v>
      </x:c>
      <x:c r="AB2486" s="2" t="str">
        <x:v>2020-12-01 15:33 - 신청
2021-01-27 10:38 - 문서재제출요청
2021-01-28 13:35 - 신청
2021-03-30 15:04 - 문서재제출요청
2021-04-22 10:43 - 신청
2021-06-09 16:22 - 문서재제출요청
2022-03-31 14:43 - 신청
2022-04-01 09:29 - 검토반려</x:v>
      </x:c>
    </x:row>
    <x:row r="2487" ht="42" customHeight="1">
      <x:c r="A2487" s="2" t="str">
        <x:v>f668cce8e4454ca56038ff07</x:v>
      </x:c>
      <x:c r="B2487" s="2" t="str">
        <x:v>감축량 인증</x:v>
      </x:c>
      <x:c r="C2487" s="2" t="str">
        <x:v>국외</x:v>
      </x:c>
      <x:c r="D2487" s="7" t="str">
        <x:v>안전한 식수 공급을 위한 정수기 보급 사업 : CPA 98(한국 지원)</x:v>
      </x:c>
      <x:c r="E2487" s="2" t="str">
        <x:v>72</x:v>
      </x:c>
      <x:c r="F2487" s="2" t="str">
        <x:v>2020-12-01</x:v>
      </x:c>
      <x:c r="G2487" s="2" t="str">
        <x:v>2020</x:v>
      </x:c>
      <x:c r="H2487" s="2" t="str">
        <x:v>12</x:v>
      </x:c>
      <x:c r="I2487" s="2" t="str">
        <x:v>검토반려</x:v>
      </x:c>
      <x:c r="J2487" s="2" t="str">
        <x:v>반려</x:v>
      </x:c>
      <x:c r="K2487" s="2" t="str">
        <x:f>IF(OR(J2487="심의승인",J2487="반려",J2487="반려완료",J2487="심의완료"),"종결 표시",IF(OR(J2487="기후부협의",J2487="문서재제출요청",J2487="보류",J2487="보완요청",J2487="보완완료",J2487="평가중",J2487="반려요청",J2487="평가필요",LEFT(J2487,5)="보완요청("),"미종결 표시","상태 확인 필요"))</x:f>
        <x:v>종결 표시</x:v>
      </x:c>
      <x:c r="L2487" s="2"/>
      <x:c r="M2487" s="2"/>
      <x:c r="N2487" s="8" t="n">
        <x:f>DATE(2026,10,15)-DATE(2020,12,1)</x:f>
        <x:v>2144</x:v>
      </x:c>
      <x:c r="O2487" s="2"/>
      <x:c r="P2487" s="2"/>
      <x:c r="Q2487" s="2" t="str">
        <x:v>산업전환_외부사업관리Tool_260707_이너젠 수정_LJY_261013.xlsx</x:v>
      </x:c>
      <x:c r="R2487" s="2" t="str">
        <x:v>국외인증</x:v>
      </x:c>
      <x:c r="S2487" s="8" t="n">
        <x:v>74</x:v>
      </x:c>
      <x:c r="T2487" s="2"/>
      <x:c r="U2487" s="2" t="str"/>
      <x:c r="V2487" s="2" t="str">
        <x:v>2022-04-01</x:v>
      </x:c>
      <x:c r="W2487" s="2" t="str">
        <x:v>담당기관 확인</x:v>
      </x:c>
      <x:c r="X2487" s="2" t="str">
        <x:v>원본·배정 기록 확인</x:v>
      </x:c>
      <x:c r="Y2487" s="2" t="str">
        <x:v>ad210cd9ec132cfd447541c8984dc53d30aff0f4fb2dc92d254d49275cc55976</x:v>
      </x:c>
      <x:c r="Z2487" s="2" t="n">
        <x:f>SUBTOTAL(103,A2487)</x:f>
        <x:v>1</x:v>
      </x:c>
      <x:c r="AA2487" s="2" t="str">
        <x:f>IF(K2487&lt;&gt;"미종결 표시","대상 아님",IF(N2487="","신청일 확인",IF(NOT(ISNUMBER('종합 현황'!$H$5)),"관찰기준 확인",IF('종합 현황'!$H$5&lt;1,"관찰기준 확인",IF(N2487&gt;'종합 현황'!$H$5,"내부 관찰 대상","내부 관찰일 이하")))))</x:f>
        <x:v>대상 아님</x:v>
      </x:c>
      <x:c r="AB2487" s="2" t="str">
        <x:v>2020-12-01 15:34 - 신청
2021-01-27 10:16 - 문서재제출요청
2021-01-28 13:35 - 신청
2021-03-30 15:04 - 문서재제출요청
2021-04-22 10:43 - 신청
2021-06-09 16:22 - 문서재제출요청
2022-03-31 14:43 - 신청
2022-04-01 09:28 - 검토반려</x:v>
      </x:c>
    </x:row>
    <x:row r="2488" ht="42" customHeight="1">
      <x:c r="A2488" s="2" t="str">
        <x:v>bc9d2ea6f8702226a3443433</x:v>
      </x:c>
      <x:c r="B2488" s="2" t="str">
        <x:v>감축량 인증</x:v>
      </x:c>
      <x:c r="C2488" s="2" t="str">
        <x:v>국외</x:v>
      </x:c>
      <x:c r="D2488" s="7" t="str">
        <x:v>안전한 식수 공급을 위한 정수기 보급 사업 : CPA 99(한국 지원)</x:v>
      </x:c>
      <x:c r="E2488" s="2" t="str">
        <x:v>73</x:v>
      </x:c>
      <x:c r="F2488" s="2" t="str">
        <x:v>2020-12-01</x:v>
      </x:c>
      <x:c r="G2488" s="2" t="str">
        <x:v>2020</x:v>
      </x:c>
      <x:c r="H2488" s="2" t="str">
        <x:v>12</x:v>
      </x:c>
      <x:c r="I2488" s="2" t="str">
        <x:v>검토반려</x:v>
      </x:c>
      <x:c r="J2488" s="2" t="str">
        <x:v>반려</x:v>
      </x:c>
      <x:c r="K2488" s="2" t="str">
        <x:f>IF(OR(J2488="심의승인",J2488="반려",J2488="반려완료",J2488="심의완료"),"종결 표시",IF(OR(J2488="기후부협의",J2488="문서재제출요청",J2488="보류",J2488="보완요청",J2488="보완완료",J2488="평가중",J2488="반려요청",J2488="평가필요",LEFT(J2488,5)="보완요청("),"미종결 표시","상태 확인 필요"))</x:f>
        <x:v>종결 표시</x:v>
      </x:c>
      <x:c r="L2488" s="2"/>
      <x:c r="M2488" s="2"/>
      <x:c r="N2488" s="8" t="n">
        <x:f>DATE(2026,10,15)-DATE(2020,12,1)</x:f>
        <x:v>2144</x:v>
      </x:c>
      <x:c r="O2488" s="2"/>
      <x:c r="P2488" s="2"/>
      <x:c r="Q2488" s="2" t="str">
        <x:v>산업전환_외부사업관리Tool_260707_이너젠 수정_LJY_261013.xlsx</x:v>
      </x:c>
      <x:c r="R2488" s="2" t="str">
        <x:v>국외인증</x:v>
      </x:c>
      <x:c r="S2488" s="8" t="n">
        <x:v>75</x:v>
      </x:c>
      <x:c r="T2488" s="2"/>
      <x:c r="U2488" s="2" t="str"/>
      <x:c r="V2488" s="2" t="str">
        <x:v>2022-04-01</x:v>
      </x:c>
      <x:c r="W2488" s="2" t="str">
        <x:v>담당기관 확인</x:v>
      </x:c>
      <x:c r="X2488" s="2" t="str">
        <x:v>원본·배정 기록 확인</x:v>
      </x:c>
      <x:c r="Y2488" s="2" t="str">
        <x:v>ad210cd9ec132cfd447541c8984dc53d30aff0f4fb2dc92d254d49275cc55976</x:v>
      </x:c>
      <x:c r="Z2488" s="2" t="n">
        <x:f>SUBTOTAL(103,A2488)</x:f>
        <x:v>1</x:v>
      </x:c>
      <x:c r="AA2488" s="2" t="str">
        <x:f>IF(K2488&lt;&gt;"미종결 표시","대상 아님",IF(N2488="","신청일 확인",IF(NOT(ISNUMBER('종합 현황'!$H$5)),"관찰기준 확인",IF('종합 현황'!$H$5&lt;1,"관찰기준 확인",IF(N2488&gt;'종합 현황'!$H$5,"내부 관찰 대상","내부 관찰일 이하")))))</x:f>
        <x:v>대상 아님</x:v>
      </x:c>
      <x:c r="AB2488" s="2" t="str">
        <x:v>2020-12-01 15:34 - 신청
2021-01-27 10:17 - 문서재제출요청
2021-01-28 13:36 - 신청
2021-03-30 15:05 - 문서재제출요청
2021-04-22 10:44 - 신청
2021-06-09 16:22 - 문서재제출요청
2022-03-31 14:43 - 신청
2022-04-01 09:27 - 검토반려</x:v>
      </x:c>
    </x:row>
    <x:row r="2489" ht="42" customHeight="1">
      <x:c r="A2489" s="2" t="str">
        <x:v>f3f4cd400186fd0febb8dc2f</x:v>
      </x:c>
      <x:c r="B2489" s="2" t="str">
        <x:v>감축량 인증</x:v>
      </x:c>
      <x:c r="C2489" s="2" t="str">
        <x:v>국외</x:v>
      </x:c>
      <x:c r="D2489" s="7" t="str">
        <x:v>안전한 식수 공급을 위한 정수기 보급 사업 : CPA 100(한국 지원)</x:v>
      </x:c>
      <x:c r="E2489" s="2" t="str">
        <x:v>74</x:v>
      </x:c>
      <x:c r="F2489" s="2" t="str">
        <x:v>2020-12-01</x:v>
      </x:c>
      <x:c r="G2489" s="2" t="str">
        <x:v>2020</x:v>
      </x:c>
      <x:c r="H2489" s="2" t="str">
        <x:v>12</x:v>
      </x:c>
      <x:c r="I2489" s="2" t="str">
        <x:v>검토반려</x:v>
      </x:c>
      <x:c r="J2489" s="2" t="str">
        <x:v>반려</x:v>
      </x:c>
      <x:c r="K2489" s="2" t="str">
        <x:f>IF(OR(J2489="심의승인",J2489="반려",J2489="반려완료",J2489="심의완료"),"종결 표시",IF(OR(J2489="기후부협의",J2489="문서재제출요청",J2489="보류",J2489="보완요청",J2489="보완완료",J2489="평가중",J2489="반려요청",J2489="평가필요",LEFT(J2489,5)="보완요청("),"미종결 표시","상태 확인 필요"))</x:f>
        <x:v>종결 표시</x:v>
      </x:c>
      <x:c r="L2489" s="2"/>
      <x:c r="M2489" s="2"/>
      <x:c r="N2489" s="8" t="n">
        <x:f>DATE(2026,10,15)-DATE(2020,12,1)</x:f>
        <x:v>2144</x:v>
      </x:c>
      <x:c r="O2489" s="2"/>
      <x:c r="P2489" s="2"/>
      <x:c r="Q2489" s="2" t="str">
        <x:v>산업전환_외부사업관리Tool_260707_이너젠 수정_LJY_261013.xlsx</x:v>
      </x:c>
      <x:c r="R2489" s="2" t="str">
        <x:v>국외인증</x:v>
      </x:c>
      <x:c r="S2489" s="8" t="n">
        <x:v>76</x:v>
      </x:c>
      <x:c r="T2489" s="2"/>
      <x:c r="U2489" s="2" t="str"/>
      <x:c r="V2489" s="2" t="str">
        <x:v>2022-04-01</x:v>
      </x:c>
      <x:c r="W2489" s="2" t="str">
        <x:v>담당기관 확인</x:v>
      </x:c>
      <x:c r="X2489" s="2" t="str">
        <x:v>원본·배정 기록 확인</x:v>
      </x:c>
      <x:c r="Y2489" s="2" t="str">
        <x:v>ad210cd9ec132cfd447541c8984dc53d30aff0f4fb2dc92d254d49275cc55976</x:v>
      </x:c>
      <x:c r="Z2489" s="2" t="n">
        <x:f>SUBTOTAL(103,A2489)</x:f>
        <x:v>1</x:v>
      </x:c>
      <x:c r="AA2489" s="2" t="str">
        <x:f>IF(K2489&lt;&gt;"미종결 표시","대상 아님",IF(N2489="","신청일 확인",IF(NOT(ISNUMBER('종합 현황'!$H$5)),"관찰기준 확인",IF('종합 현황'!$H$5&lt;1,"관찰기준 확인",IF(N2489&gt;'종합 현황'!$H$5,"내부 관찰 대상","내부 관찰일 이하")))))</x:f>
        <x:v>대상 아님</x:v>
      </x:c>
      <x:c r="AB2489" s="2" t="str">
        <x:v>2020-12-01 15:35 - 신청
2021-01-27 10:29 - 문서재제출요청
2021-01-28 13:36 - 신청
2021-03-30 15:05 - 문서재제출요청
2021-04-22 10:44 - 신청
2021-06-09 16:21 - 문서재제출요청
2022-03-31 14:44 - 신청
2022-04-01 09:27 - 검토반려</x:v>
      </x:c>
    </x:row>
    <x:row r="2490" ht="42" customHeight="1">
      <x:c r="A2490" s="2" t="str">
        <x:v>80f4616aae1363816f8f8bd9</x:v>
      </x:c>
      <x:c r="B2490" s="2" t="str">
        <x:v>감축량 인증</x:v>
      </x:c>
      <x:c r="C2490" s="2" t="str">
        <x:v>국외</x:v>
      </x:c>
      <x:c r="D2490" s="7" t="str">
        <x:v>안전한 식수 공급을 위한 정수기 보급 사업 : CPA 101(한국 지원)</x:v>
      </x:c>
      <x:c r="E2490" s="2" t="str">
        <x:v>75</x:v>
      </x:c>
      <x:c r="F2490" s="2" t="str">
        <x:v>2020-12-01</x:v>
      </x:c>
      <x:c r="G2490" s="2" t="str">
        <x:v>2020</x:v>
      </x:c>
      <x:c r="H2490" s="2" t="str">
        <x:v>12</x:v>
      </x:c>
      <x:c r="I2490" s="2" t="str">
        <x:v>검토반려</x:v>
      </x:c>
      <x:c r="J2490" s="2" t="str">
        <x:v>반려</x:v>
      </x:c>
      <x:c r="K2490" s="2" t="str">
        <x:f>IF(OR(J2490="심의승인",J2490="반려",J2490="반려완료",J2490="심의완료"),"종결 표시",IF(OR(J2490="기후부협의",J2490="문서재제출요청",J2490="보류",J2490="보완요청",J2490="보완완료",J2490="평가중",J2490="반려요청",J2490="평가필요",LEFT(J2490,5)="보완요청("),"미종결 표시","상태 확인 필요"))</x:f>
        <x:v>종결 표시</x:v>
      </x:c>
      <x:c r="L2490" s="2"/>
      <x:c r="M2490" s="2"/>
      <x:c r="N2490" s="8" t="n">
        <x:f>DATE(2026,10,15)-DATE(2020,12,1)</x:f>
        <x:v>2144</x:v>
      </x:c>
      <x:c r="O2490" s="2"/>
      <x:c r="P2490" s="2"/>
      <x:c r="Q2490" s="2" t="str">
        <x:v>산업전환_외부사업관리Tool_260707_이너젠 수정_LJY_261013.xlsx</x:v>
      </x:c>
      <x:c r="R2490" s="2" t="str">
        <x:v>국외인증</x:v>
      </x:c>
      <x:c r="S2490" s="8" t="n">
        <x:v>77</x:v>
      </x:c>
      <x:c r="T2490" s="2"/>
      <x:c r="U2490" s="2" t="str"/>
      <x:c r="V2490" s="2" t="str">
        <x:v>2022-04-01</x:v>
      </x:c>
      <x:c r="W2490" s="2" t="str">
        <x:v>담당기관 확인</x:v>
      </x:c>
      <x:c r="X2490" s="2" t="str">
        <x:v>원본·배정 기록 확인</x:v>
      </x:c>
      <x:c r="Y2490" s="2" t="str">
        <x:v>ad210cd9ec132cfd447541c8984dc53d30aff0f4fb2dc92d254d49275cc55976</x:v>
      </x:c>
      <x:c r="Z2490" s="2" t="n">
        <x:f>SUBTOTAL(103,A2490)</x:f>
        <x:v>1</x:v>
      </x:c>
      <x:c r="AA2490" s="2" t="str">
        <x:f>IF(K2490&lt;&gt;"미종결 표시","대상 아님",IF(N2490="","신청일 확인",IF(NOT(ISNUMBER('종합 현황'!$H$5)),"관찰기준 확인",IF('종합 현황'!$H$5&lt;1,"관찰기준 확인",IF(N2490&gt;'종합 현황'!$H$5,"내부 관찰 대상","내부 관찰일 이하")))))</x:f>
        <x:v>대상 아님</x:v>
      </x:c>
      <x:c r="AB2490" s="2" t="str">
        <x:v>2020-12-01 15:35 - 신청
2021-01-27 10:19 - 문서재제출요청
2021-01-28 13:36 - 신청
2021-03-30 15:06 - 문서재제출요청
2021-04-22 10:44 - 신청
2021-06-09 16:21 - 문서재제출요청
2022-03-31 14:44 - 신청
2022-04-01 09:26 - 검토반려</x:v>
      </x:c>
    </x:row>
    <x:row r="2491" ht="42" customHeight="1">
      <x:c r="A2491" s="2" t="str">
        <x:v>08007523d6b00e8beba27f23</x:v>
      </x:c>
      <x:c r="B2491" s="2" t="str">
        <x:v>감축량 인증</x:v>
      </x:c>
      <x:c r="C2491" s="2" t="str">
        <x:v>국외</x:v>
      </x:c>
      <x:c r="D2491" s="7" t="str">
        <x:v>안전한 식수 공급을 위한 정수기 보급 사업 : CPA 102(한국 지원)</x:v>
      </x:c>
      <x:c r="E2491" s="2" t="str">
        <x:v>76</x:v>
      </x:c>
      <x:c r="F2491" s="2" t="str">
        <x:v>2020-08-04</x:v>
      </x:c>
      <x:c r="G2491" s="2" t="str">
        <x:v>2020</x:v>
      </x:c>
      <x:c r="H2491" s="2" t="str">
        <x:v>08</x:v>
      </x:c>
      <x:c r="I2491" s="2" t="str">
        <x:v>검토반려</x:v>
      </x:c>
      <x:c r="J2491" s="2" t="str">
        <x:v>반려</x:v>
      </x:c>
      <x:c r="K2491" s="2" t="str">
        <x:f>IF(OR(J2491="심의승인",J2491="반려",J2491="반려완료",J2491="심의완료"),"종결 표시",IF(OR(J2491="기후부협의",J2491="문서재제출요청",J2491="보류",J2491="보완요청",J2491="보완완료",J2491="평가중",J2491="반려요청",J2491="평가필요",LEFT(J2491,5)="보완요청("),"미종결 표시","상태 확인 필요"))</x:f>
        <x:v>종결 표시</x:v>
      </x:c>
      <x:c r="L2491" s="2"/>
      <x:c r="M2491" s="2"/>
      <x:c r="N2491" s="8" t="n">
        <x:f>DATE(2026,10,15)-DATE(2020,8,4)</x:f>
        <x:v>2263</x:v>
      </x:c>
      <x:c r="O2491" s="2"/>
      <x:c r="P2491" s="2"/>
      <x:c r="Q2491" s="2" t="str">
        <x:v>산업전환_외부사업관리Tool_260707_이너젠 수정_LJY_261013.xlsx</x:v>
      </x:c>
      <x:c r="R2491" s="2" t="str">
        <x:v>국외인증</x:v>
      </x:c>
      <x:c r="S2491" s="8" t="n">
        <x:v>78</x:v>
      </x:c>
      <x:c r="T2491" s="2"/>
      <x:c r="U2491" s="2" t="str"/>
      <x:c r="V2491" s="2" t="str">
        <x:v>2022-04-01</x:v>
      </x:c>
      <x:c r="W2491" s="2" t="str">
        <x:v>담당기관 확인</x:v>
      </x:c>
      <x:c r="X2491" s="2" t="str">
        <x:v>원본·배정 기록 확인</x:v>
      </x:c>
      <x:c r="Y2491" s="2" t="str">
        <x:v>ad210cd9ec132cfd447541c8984dc53d30aff0f4fb2dc92d254d49275cc55976</x:v>
      </x:c>
      <x:c r="Z2491" s="2" t="n">
        <x:f>SUBTOTAL(103,A2491)</x:f>
        <x:v>1</x:v>
      </x:c>
      <x:c r="AA2491" s="2" t="str">
        <x:f>IF(K2491&lt;&gt;"미종결 표시","대상 아님",IF(N2491="","신청일 확인",IF(NOT(ISNUMBER('종합 현황'!$H$5)),"관찰기준 확인",IF('종합 현황'!$H$5&lt;1,"관찰기준 확인",IF(N2491&gt;'종합 현황'!$H$5,"내부 관찰 대상","내부 관찰일 이하")))))</x:f>
        <x:v>대상 아님</x:v>
      </x:c>
      <x:c r="AB2491" s="2" t="str">
        <x:v>2020-08-04 15:02 - 신청
2020-08-20 18:00 - 문서재제출요청
2020-09-07 13:59 - 신청
2020-09-23 10:08 - 보완요청
2020-12-01 15:35 - 신청
2021-01-27 10:38 - 문서재제출요청
2021-01-28 13:37 - 신청
2021-03-30 15:06 - 문서재제출요청
2021-04-22 10:45 - 신청
2021-06-09 16:21 - 문서재제출요청
2022-03-31 14:44 - 신청
2022-04-01 09:25 - 검토반려</x:v>
      </x:c>
    </x:row>
    <x:row r="2492" ht="42" customHeight="1">
      <x:c r="A2492" s="2" t="str">
        <x:v>4ae5f1972694e82e449cec94</x:v>
      </x:c>
      <x:c r="B2492" s="2" t="str">
        <x:v>감축량 인증</x:v>
      </x:c>
      <x:c r="C2492" s="2" t="str">
        <x:v>국외</x:v>
      </x:c>
      <x:c r="D2492" s="7" t="str">
        <x:v>안전한 식수 공급을 위한 정수기 보급 사업 : CPA 43(한국 지원)</x:v>
      </x:c>
      <x:c r="E2492" s="2" t="str">
        <x:v>77</x:v>
      </x:c>
      <x:c r="F2492" s="2" t="str">
        <x:v>2020-12-07</x:v>
      </x:c>
      <x:c r="G2492" s="2" t="str">
        <x:v>2020</x:v>
      </x:c>
      <x:c r="H2492" s="2" t="str">
        <x:v>12</x:v>
      </x:c>
      <x:c r="I2492" s="2" t="str">
        <x:v>심의승인</x:v>
      </x:c>
      <x:c r="J2492" s="2" t="str">
        <x:v>심의승인</x:v>
      </x:c>
      <x:c r="K2492" s="2" t="str">
        <x:f>IF(OR(J2492="심의승인",J2492="반려",J2492="반려완료",J2492="심의완료"),"종결 표시",IF(OR(J2492="기후부협의",J2492="문서재제출요청",J2492="보류",J2492="보완요청",J2492="보완완료",J2492="평가중",J2492="반려요청",J2492="평가필요",LEFT(J2492,5)="보완요청("),"미종결 표시","상태 확인 필요"))</x:f>
        <x:v>종결 표시</x:v>
      </x:c>
      <x:c r="L2492" s="2" t="str">
        <x:v>KECM</x:v>
      </x:c>
      <x:c r="M2492" s="2"/>
      <x:c r="N2492" s="8" t="n">
        <x:f>DATE(2026,10,15)-DATE(2020,12,7)</x:f>
        <x:v>2138</x:v>
      </x:c>
      <x:c r="O2492" s="2"/>
      <x:c r="P2492" s="2"/>
      <x:c r="Q2492" s="2" t="str">
        <x:v>산업전환_외부사업관리Tool_260707_이너젠 수정_LJY_261013.xlsx</x:v>
      </x:c>
      <x:c r="R2492" s="2" t="str">
        <x:v>국외인증</x:v>
      </x:c>
      <x:c r="S2492" s="8" t="n">
        <x:v>79</x:v>
      </x:c>
      <x:c r="T2492" s="2"/>
      <x:c r="U2492" s="2" t="str"/>
      <x:c r="V2492" s="2" t="str">
        <x:v>2021-10-08</x:v>
      </x:c>
      <x:c r="W2492" s="2" t="str"/>
      <x:c r="X2492" s="2" t="str">
        <x:v>종결 근거 보관</x:v>
      </x:c>
      <x:c r="Y2492" s="2" t="str">
        <x:v>ad210cd9ec132cfd447541c8984dc53d30aff0f4fb2dc92d254d49275cc55976</x:v>
      </x:c>
      <x:c r="Z2492" s="2" t="n">
        <x:f>SUBTOTAL(103,A2492)</x:f>
        <x:v>1</x:v>
      </x:c>
      <x:c r="AA2492" s="2" t="str">
        <x:f>IF(K2492&lt;&gt;"미종결 표시","대상 아님",IF(N2492="","신청일 확인",IF(NOT(ISNUMBER('종합 현황'!$H$5)),"관찰기준 확인",IF('종합 현황'!$H$5&lt;1,"관찰기준 확인",IF(N2492&gt;'종합 현황'!$H$5,"내부 관찰 대상","내부 관찰일 이하")))))</x:f>
        <x:v>대상 아님</x:v>
      </x:c>
      <x:c r="AB2492" s="2" t="str">
        <x:v>2020-12-07 15:57 - 신청
2021-01-27 10:20 - 문서재제출요청
2021-01-28 13:39 - 신청
2021-03-25 13:26 - 문서재제출요청
2021-03-25 14:50 - 신청
2021-05-18 13:44 - 문서재제출요청
2021-05-20 13:57 - 신청
2021-05-27 14:48 - 문서재제출요청
2021-05-27 15:15 - 신청
2021-07-08 17:35 - 보완요청
2021-07-13 16:15 - 신청
2021-07-28 16:30 - 문서재제출요청
2021-08-19 10:01 - 신청
2021-09-27 10:57 - 검토승인
2021-10-08 16:26 - 심의승인</x:v>
      </x:c>
    </x:row>
    <x:row r="2493" ht="42" customHeight="1">
      <x:c r="A2493" s="2" t="str">
        <x:v>163daee41389c548226e914d</x:v>
      </x:c>
      <x:c r="B2493" s="2" t="str">
        <x:v>감축량 인증</x:v>
      </x:c>
      <x:c r="C2493" s="2" t="str">
        <x:v>국외</x:v>
      </x:c>
      <x:c r="D2493" s="7" t="str">
        <x:v>안전한 식수 공급을 위한 정수기 보급 사업 : CPA 44(한국 지원)</x:v>
      </x:c>
      <x:c r="E2493" s="2" t="str">
        <x:v>78</x:v>
      </x:c>
      <x:c r="F2493" s="2" t="str">
        <x:v>2020-12-07</x:v>
      </x:c>
      <x:c r="G2493" s="2" t="str">
        <x:v>2020</x:v>
      </x:c>
      <x:c r="H2493" s="2" t="str">
        <x:v>12</x:v>
      </x:c>
      <x:c r="I2493" s="2" t="str">
        <x:v>심의승인</x:v>
      </x:c>
      <x:c r="J2493" s="2" t="str">
        <x:v>심의승인</x:v>
      </x:c>
      <x:c r="K2493" s="2" t="str">
        <x:f>IF(OR(J2493="심의승인",J2493="반려",J2493="반려완료",J2493="심의완료"),"종결 표시",IF(OR(J2493="기후부협의",J2493="문서재제출요청",J2493="보류",J2493="보완요청",J2493="보완완료",J2493="평가중",J2493="반려요청",J2493="평가필요",LEFT(J2493,5)="보완요청("),"미종결 표시","상태 확인 필요"))</x:f>
        <x:v>종결 표시</x:v>
      </x:c>
      <x:c r="L2493" s="2" t="str">
        <x:v>KECM</x:v>
      </x:c>
      <x:c r="M2493" s="2"/>
      <x:c r="N2493" s="8" t="n">
        <x:f>DATE(2026,10,15)-DATE(2020,12,7)</x:f>
        <x:v>2138</x:v>
      </x:c>
      <x:c r="O2493" s="2"/>
      <x:c r="P2493" s="2"/>
      <x:c r="Q2493" s="2" t="str">
        <x:v>산업전환_외부사업관리Tool_260707_이너젠 수정_LJY_261013.xlsx</x:v>
      </x:c>
      <x:c r="R2493" s="2" t="str">
        <x:v>국외인증</x:v>
      </x:c>
      <x:c r="S2493" s="8" t="n">
        <x:v>80</x:v>
      </x:c>
      <x:c r="T2493" s="2"/>
      <x:c r="U2493" s="2" t="str"/>
      <x:c r="V2493" s="2" t="str">
        <x:v>2021-10-08</x:v>
      </x:c>
      <x:c r="W2493" s="2" t="str"/>
      <x:c r="X2493" s="2" t="str">
        <x:v>종결 근거 보관</x:v>
      </x:c>
      <x:c r="Y2493" s="2" t="str">
        <x:v>ad210cd9ec132cfd447541c8984dc53d30aff0f4fb2dc92d254d49275cc55976</x:v>
      </x:c>
      <x:c r="Z2493" s="2" t="n">
        <x:f>SUBTOTAL(103,A2493)</x:f>
        <x:v>1</x:v>
      </x:c>
      <x:c r="AA2493" s="2" t="str">
        <x:f>IF(K2493&lt;&gt;"미종결 표시","대상 아님",IF(N2493="","신청일 확인",IF(NOT(ISNUMBER('종합 현황'!$H$5)),"관찰기준 확인",IF('종합 현황'!$H$5&lt;1,"관찰기준 확인",IF(N2493&gt;'종합 현황'!$H$5,"내부 관찰 대상","내부 관찰일 이하")))))</x:f>
        <x:v>대상 아님</x:v>
      </x:c>
      <x:c r="AB2493" s="2" t="str">
        <x:v>2020-12-07 15:57 - 신청
2021-01-27 10:20 - 문서재제출요청
2021-01-28 13:39 - 신청
2021-03-25 13:26 - 문서재제출요청
2021-03-25 14:51 - 신청
2021-05-18 13:44 - 문서재제출요청
2021-05-20 13:58 - 신청
2021-05-27 14:48 - 문서재제출요청
2021-05-27 15:16 - 신청
2021-07-08 17:35 - 보완요청
2021-07-13 16:15 - 신청
2021-08-03 16:43 - 문서재제출요청
2021-08-19 10:01 - 신청
2021-09-27 10:56 - 검토승인
2021-10-08 16:28 - 심의승인</x:v>
      </x:c>
    </x:row>
    <x:row r="2494" ht="42" customHeight="1">
      <x:c r="A2494" s="2" t="str">
        <x:v>7947f06ea68edda46007f693</x:v>
      </x:c>
      <x:c r="B2494" s="2" t="str">
        <x:v>감축량 인증</x:v>
      </x:c>
      <x:c r="C2494" s="2" t="str">
        <x:v>국외</x:v>
      </x:c>
      <x:c r="D2494" s="7" t="str">
        <x:v>안전한 식수 공급을 위한 정수기 보급 사업 : CPA 45(한국 지원)</x:v>
      </x:c>
      <x:c r="E2494" s="2" t="str">
        <x:v>79</x:v>
      </x:c>
      <x:c r="F2494" s="2" t="str">
        <x:v>2020-12-07</x:v>
      </x:c>
      <x:c r="G2494" s="2" t="str">
        <x:v>2020</x:v>
      </x:c>
      <x:c r="H2494" s="2" t="str">
        <x:v>12</x:v>
      </x:c>
      <x:c r="I2494" s="2" t="str">
        <x:v>심의승인</x:v>
      </x:c>
      <x:c r="J2494" s="2" t="str">
        <x:v>심의승인</x:v>
      </x:c>
      <x:c r="K2494" s="2" t="str">
        <x:f>IF(OR(J2494="심의승인",J2494="반려",J2494="반려완료",J2494="심의완료"),"종결 표시",IF(OR(J2494="기후부협의",J2494="문서재제출요청",J2494="보류",J2494="보완요청",J2494="보완완료",J2494="평가중",J2494="반려요청",J2494="평가필요",LEFT(J2494,5)="보완요청("),"미종결 표시","상태 확인 필요"))</x:f>
        <x:v>종결 표시</x:v>
      </x:c>
      <x:c r="L2494" s="2" t="str">
        <x:v>KECM</x:v>
      </x:c>
      <x:c r="M2494" s="2"/>
      <x:c r="N2494" s="8" t="n">
        <x:f>DATE(2026,10,15)-DATE(2020,12,7)</x:f>
        <x:v>2138</x:v>
      </x:c>
      <x:c r="O2494" s="2"/>
      <x:c r="P2494" s="2"/>
      <x:c r="Q2494" s="2" t="str">
        <x:v>산업전환_외부사업관리Tool_260707_이너젠 수정_LJY_261013.xlsx</x:v>
      </x:c>
      <x:c r="R2494" s="2" t="str">
        <x:v>국외인증</x:v>
      </x:c>
      <x:c r="S2494" s="8" t="n">
        <x:v>81</x:v>
      </x:c>
      <x:c r="T2494" s="2"/>
      <x:c r="U2494" s="2" t="str"/>
      <x:c r="V2494" s="2" t="str">
        <x:v>2021-10-08</x:v>
      </x:c>
      <x:c r="W2494" s="2" t="str"/>
      <x:c r="X2494" s="2" t="str">
        <x:v>종결 근거 보관</x:v>
      </x:c>
      <x:c r="Y2494" s="2" t="str">
        <x:v>ad210cd9ec132cfd447541c8984dc53d30aff0f4fb2dc92d254d49275cc55976</x:v>
      </x:c>
      <x:c r="Z2494" s="2" t="n">
        <x:f>SUBTOTAL(103,A2494)</x:f>
        <x:v>1</x:v>
      </x:c>
      <x:c r="AA2494" s="2" t="str">
        <x:f>IF(K2494&lt;&gt;"미종결 표시","대상 아님",IF(N2494="","신청일 확인",IF(NOT(ISNUMBER('종합 현황'!$H$5)),"관찰기준 확인",IF('종합 현황'!$H$5&lt;1,"관찰기준 확인",IF(N2494&gt;'종합 현황'!$H$5,"내부 관찰 대상","내부 관찰일 이하")))))</x:f>
        <x:v>대상 아님</x:v>
      </x:c>
      <x:c r="AB2494" s="2" t="str">
        <x:v>2020-12-07 15:58 - 신청
2021-01-27 10:20 - 문서재제출요청
2021-01-28 13:42 - 신청
2021-03-25 13:27 - 문서재제출요청
2021-03-25 14:51 - 신청
2021-05-18 13:45 - 문서재제출요청
2021-05-20 13:58 - 신청
2021-05-27 14:48 - 문서재제출요청
2021-05-27 15:19 - 신청
2021-07-08 17:36 - 보완요청
2021-07-13 16:15 - 신청
2021-08-03 16:43 - 문서재제출요청
2021-08-19 10:01 - 신청
2021-08-31 13:09 - 문서재제출요청
2021-08-31 13:14 - 신청
2021-09-27 10:00 - 검토승인
2021-10-08 16:30 - 심의승인</x:v>
      </x:c>
    </x:row>
    <x:row r="2495" ht="42" customHeight="1">
      <x:c r="A2495" s="2" t="str">
        <x:v>2a44a4aed1a6b438eafc6b57</x:v>
      </x:c>
      <x:c r="B2495" s="2" t="str">
        <x:v>감축량 인증</x:v>
      </x:c>
      <x:c r="C2495" s="2" t="str">
        <x:v>국외</x:v>
      </x:c>
      <x:c r="D2495" s="7" t="str">
        <x:v>안전한 식수 공급을 위한 정수기 보급 사업 : CPA 46(한국 지원)</x:v>
      </x:c>
      <x:c r="E2495" s="2" t="str">
        <x:v>80</x:v>
      </x:c>
      <x:c r="F2495" s="2" t="str">
        <x:v>2020-12-07</x:v>
      </x:c>
      <x:c r="G2495" s="2" t="str">
        <x:v>2020</x:v>
      </x:c>
      <x:c r="H2495" s="2" t="str">
        <x:v>12</x:v>
      </x:c>
      <x:c r="I2495" s="2" t="str">
        <x:v>심의승인</x:v>
      </x:c>
      <x:c r="J2495" s="2" t="str">
        <x:v>심의승인</x:v>
      </x:c>
      <x:c r="K2495" s="2" t="str">
        <x:f>IF(OR(J2495="심의승인",J2495="반려",J2495="반려완료",J2495="심의완료"),"종결 표시",IF(OR(J2495="기후부협의",J2495="문서재제출요청",J2495="보류",J2495="보완요청",J2495="보완완료",J2495="평가중",J2495="반려요청",J2495="평가필요",LEFT(J2495,5)="보완요청("),"미종결 표시","상태 확인 필요"))</x:f>
        <x:v>종결 표시</x:v>
      </x:c>
      <x:c r="L2495" s="2" t="str">
        <x:v>KECM</x:v>
      </x:c>
      <x:c r="M2495" s="2"/>
      <x:c r="N2495" s="8" t="n">
        <x:f>DATE(2026,10,15)-DATE(2020,12,7)</x:f>
        <x:v>2138</x:v>
      </x:c>
      <x:c r="O2495" s="2"/>
      <x:c r="P2495" s="2"/>
      <x:c r="Q2495" s="2" t="str">
        <x:v>산업전환_외부사업관리Tool_260707_이너젠 수정_LJY_261013.xlsx</x:v>
      </x:c>
      <x:c r="R2495" s="2" t="str">
        <x:v>국외인증</x:v>
      </x:c>
      <x:c r="S2495" s="8" t="n">
        <x:v>82</x:v>
      </x:c>
      <x:c r="T2495" s="2"/>
      <x:c r="U2495" s="2" t="str"/>
      <x:c r="V2495" s="2" t="str">
        <x:v>2021-10-08</x:v>
      </x:c>
      <x:c r="W2495" s="2" t="str"/>
      <x:c r="X2495" s="2" t="str">
        <x:v>종결 근거 보관</x:v>
      </x:c>
      <x:c r="Y2495" s="2" t="str">
        <x:v>ad210cd9ec132cfd447541c8984dc53d30aff0f4fb2dc92d254d49275cc55976</x:v>
      </x:c>
      <x:c r="Z2495" s="2" t="n">
        <x:f>SUBTOTAL(103,A2495)</x:f>
        <x:v>1</x:v>
      </x:c>
      <x:c r="AA2495" s="2" t="str">
        <x:f>IF(K2495&lt;&gt;"미종결 표시","대상 아님",IF(N2495="","신청일 확인",IF(NOT(ISNUMBER('종합 현황'!$H$5)),"관찰기준 확인",IF('종합 현황'!$H$5&lt;1,"관찰기준 확인",IF(N2495&gt;'종합 현황'!$H$5,"내부 관찰 대상","내부 관찰일 이하")))))</x:f>
        <x:v>대상 아님</x:v>
      </x:c>
      <x:c r="AB2495" s="2" t="str">
        <x:v>2020-12-07 15:58 - 신청
2021-01-27 10:19 - 문서재제출요청
2021-01-28 13:42 - 신청
2021-03-25 13:27 - 문서재제출요청
2021-03-25 14:51 - 신청
2021-05-18 13:45 - 문서재제출요청
2021-05-20 13:58 - 신청
2021-05-27 14:48 - 문서재제출요청
2021-05-27 15:28 - 신청
2021-07-08 17:36 - 보완요청
2021-07-13 16:14 - 신청
2021-08-03 16:44 - 문서재제출요청
2021-08-19 10:01 - 신청
2021-09-27 10:56 - 검토승인
2021-10-08 16:32 - 심의승인</x:v>
      </x:c>
    </x:row>
    <x:row r="2496" ht="42" customHeight="1">
      <x:c r="A2496" s="2" t="str">
        <x:v>e4be33235a943be519434792</x:v>
      </x:c>
      <x:c r="B2496" s="2" t="str">
        <x:v>감축량 인증</x:v>
      </x:c>
      <x:c r="C2496" s="2" t="str">
        <x:v>국외</x:v>
      </x:c>
      <x:c r="D2496" s="7" t="str">
        <x:v>안전한 식수 공급을 위한 정수기 보급 사업 : CPA 47(한국 지원)</x:v>
      </x:c>
      <x:c r="E2496" s="2" t="str">
        <x:v>81</x:v>
      </x:c>
      <x:c r="F2496" s="2" t="str">
        <x:v>2020-12-07</x:v>
      </x:c>
      <x:c r="G2496" s="2" t="str">
        <x:v>2020</x:v>
      </x:c>
      <x:c r="H2496" s="2" t="str">
        <x:v>12</x:v>
      </x:c>
      <x:c r="I2496" s="2" t="str">
        <x:v>심의승인</x:v>
      </x:c>
      <x:c r="J2496" s="2" t="str">
        <x:v>심의승인</x:v>
      </x:c>
      <x:c r="K2496" s="2" t="str">
        <x:f>IF(OR(J2496="심의승인",J2496="반려",J2496="반려완료",J2496="심의완료"),"종결 표시",IF(OR(J2496="기후부협의",J2496="문서재제출요청",J2496="보류",J2496="보완요청",J2496="보완완료",J2496="평가중",J2496="반려요청",J2496="평가필요",LEFT(J2496,5)="보완요청("),"미종결 표시","상태 확인 필요"))</x:f>
        <x:v>종결 표시</x:v>
      </x:c>
      <x:c r="L2496" s="2" t="str">
        <x:v>KECM</x:v>
      </x:c>
      <x:c r="M2496" s="2"/>
      <x:c r="N2496" s="8" t="n">
        <x:f>DATE(2026,10,15)-DATE(2020,12,7)</x:f>
        <x:v>2138</x:v>
      </x:c>
      <x:c r="O2496" s="2"/>
      <x:c r="P2496" s="2"/>
      <x:c r="Q2496" s="2" t="str">
        <x:v>산업전환_외부사업관리Tool_260707_이너젠 수정_LJY_261013.xlsx</x:v>
      </x:c>
      <x:c r="R2496" s="2" t="str">
        <x:v>국외인증</x:v>
      </x:c>
      <x:c r="S2496" s="8" t="n">
        <x:v>83</x:v>
      </x:c>
      <x:c r="T2496" s="2"/>
      <x:c r="U2496" s="2" t="str"/>
      <x:c r="V2496" s="2" t="str">
        <x:v>2021-10-08</x:v>
      </x:c>
      <x:c r="W2496" s="2" t="str"/>
      <x:c r="X2496" s="2" t="str">
        <x:v>종결 근거 보관</x:v>
      </x:c>
      <x:c r="Y2496" s="2" t="str">
        <x:v>ad210cd9ec132cfd447541c8984dc53d30aff0f4fb2dc92d254d49275cc55976</x:v>
      </x:c>
      <x:c r="Z2496" s="2" t="n">
        <x:f>SUBTOTAL(103,A2496)</x:f>
        <x:v>1</x:v>
      </x:c>
      <x:c r="AA2496" s="2" t="str">
        <x:f>IF(K2496&lt;&gt;"미종결 표시","대상 아님",IF(N2496="","신청일 확인",IF(NOT(ISNUMBER('종합 현황'!$H$5)),"관찰기준 확인",IF('종합 현황'!$H$5&lt;1,"관찰기준 확인",IF(N2496&gt;'종합 현황'!$H$5,"내부 관찰 대상","내부 관찰일 이하")))))</x:f>
        <x:v>대상 아님</x:v>
      </x:c>
      <x:c r="AB2496" s="2" t="str">
        <x:v>2020-12-07 15:59 - 신청
2021-01-27 10:19 - 문서재제출요청
2021-01-28 13:43 - 신청
2021-03-25 13:28 - 문서재제출요청
2021-03-25 14:51 - 신청
2021-05-18 13:46 - 문서재제출요청
2021-05-20 13:59 - 신청
2021-05-27 14:49 - 문서재제출요청
2021-05-27 15:28 - 신청
2021-07-08 17:37 - 보완요청
2021-07-13 16:14 - 신청
2021-08-03 16:44 - 문서재제출요청
2021-08-19 10:01 - 신청
2021-09-27 10:56 - 검토승인
2021-10-08 16:34 - 심의승인</x:v>
      </x:c>
    </x:row>
    <x:row r="2497" ht="42" customHeight="1">
      <x:c r="A2497" s="2" t="str">
        <x:v>bccad0d9613dea2bb9e0b6f5</x:v>
      </x:c>
      <x:c r="B2497" s="2" t="str">
        <x:v>감축량 인증</x:v>
      </x:c>
      <x:c r="C2497" s="2" t="str">
        <x:v>국외</x:v>
      </x:c>
      <x:c r="D2497" s="7" t="str">
        <x:v>안전한 식수 공급을 위한 정수기 보급 사업 : CPA 48(한국 지원)</x:v>
      </x:c>
      <x:c r="E2497" s="2" t="str">
        <x:v>82</x:v>
      </x:c>
      <x:c r="F2497" s="2" t="str">
        <x:v>2020-12-07</x:v>
      </x:c>
      <x:c r="G2497" s="2" t="str">
        <x:v>2020</x:v>
      </x:c>
      <x:c r="H2497" s="2" t="str">
        <x:v>12</x:v>
      </x:c>
      <x:c r="I2497" s="2" t="str">
        <x:v>심의승인</x:v>
      </x:c>
      <x:c r="J2497" s="2" t="str">
        <x:v>심의승인</x:v>
      </x:c>
      <x:c r="K2497" s="2" t="str">
        <x:f>IF(OR(J2497="심의승인",J2497="반려",J2497="반려완료",J2497="심의완료"),"종결 표시",IF(OR(J2497="기후부협의",J2497="문서재제출요청",J2497="보류",J2497="보완요청",J2497="보완완료",J2497="평가중",J2497="반려요청",J2497="평가필요",LEFT(J2497,5)="보완요청("),"미종결 표시","상태 확인 필요"))</x:f>
        <x:v>종결 표시</x:v>
      </x:c>
      <x:c r="L2497" s="2" t="str">
        <x:v>KECM</x:v>
      </x:c>
      <x:c r="M2497" s="2"/>
      <x:c r="N2497" s="8" t="n">
        <x:f>DATE(2026,10,15)-DATE(2020,12,7)</x:f>
        <x:v>2138</x:v>
      </x:c>
      <x:c r="O2497" s="2"/>
      <x:c r="P2497" s="2"/>
      <x:c r="Q2497" s="2" t="str">
        <x:v>산업전환_외부사업관리Tool_260707_이너젠 수정_LJY_261013.xlsx</x:v>
      </x:c>
      <x:c r="R2497" s="2" t="str">
        <x:v>국외인증</x:v>
      </x:c>
      <x:c r="S2497" s="8" t="n">
        <x:v>84</x:v>
      </x:c>
      <x:c r="T2497" s="2"/>
      <x:c r="U2497" s="2" t="str"/>
      <x:c r="V2497" s="2" t="str">
        <x:v>2021-10-08</x:v>
      </x:c>
      <x:c r="W2497" s="2" t="str"/>
      <x:c r="X2497" s="2" t="str">
        <x:v>종결 근거 보관</x:v>
      </x:c>
      <x:c r="Y2497" s="2" t="str">
        <x:v>ad210cd9ec132cfd447541c8984dc53d30aff0f4fb2dc92d254d49275cc55976</x:v>
      </x:c>
      <x:c r="Z2497" s="2" t="n">
        <x:f>SUBTOTAL(103,A2497)</x:f>
        <x:v>1</x:v>
      </x:c>
      <x:c r="AA2497" s="2" t="str">
        <x:f>IF(K2497&lt;&gt;"미종결 표시","대상 아님",IF(N2497="","신청일 확인",IF(NOT(ISNUMBER('종합 현황'!$H$5)),"관찰기준 확인",IF('종합 현황'!$H$5&lt;1,"관찰기준 확인",IF(N2497&gt;'종합 현황'!$H$5,"내부 관찰 대상","내부 관찰일 이하")))))</x:f>
        <x:v>대상 아님</x:v>
      </x:c>
      <x:c r="AB2497" s="2" t="str">
        <x:v>2020-12-07 15:59 - 신청
2021-01-27 10:19 - 문서재제출요청
2021-01-28 13:43 - 신청
2021-03-25 13:28 - 문서재제출요청
2021-03-25 14:52 - 신청
2021-05-18 13:46 - 문서재제출요청
2021-05-20 13:59 - 신청
2021-05-27 14:49 - 문서재제출요청
2021-05-27 15:29 - 신청
2021-07-08 17:37 - 보완요청
2021-07-13 16:13 - 신청
2021-08-03 16:47 - 문서재제출요청
2021-08-19 10:02 - 신청
2021-09-27 10:55 - 검토승인
2021-10-08 16:44 - 심의승인</x:v>
      </x:c>
    </x:row>
    <x:row r="2498" ht="42" customHeight="1">
      <x:c r="A2498" s="2" t="str">
        <x:v>fdf14c12c3dc7691a53f6937</x:v>
      </x:c>
      <x:c r="B2498" s="2" t="str">
        <x:v>감축량 인증</x:v>
      </x:c>
      <x:c r="C2498" s="2" t="str">
        <x:v>국외</x:v>
      </x:c>
      <x:c r="D2498" s="7" t="str">
        <x:v>안전한 식수 공급을 위한 정수기 보급 사업 : CPA 49(한국 지원)</x:v>
      </x:c>
      <x:c r="E2498" s="2" t="str">
        <x:v>83</x:v>
      </x:c>
      <x:c r="F2498" s="2" t="str">
        <x:v>2020-12-07</x:v>
      </x:c>
      <x:c r="G2498" s="2" t="str">
        <x:v>2020</x:v>
      </x:c>
      <x:c r="H2498" s="2" t="str">
        <x:v>12</x:v>
      </x:c>
      <x:c r="I2498" s="2" t="str">
        <x:v>심의승인</x:v>
      </x:c>
      <x:c r="J2498" s="2" t="str">
        <x:v>심의승인</x:v>
      </x:c>
      <x:c r="K2498" s="2" t="str">
        <x:f>IF(OR(J2498="심의승인",J2498="반려",J2498="반려완료",J2498="심의완료"),"종결 표시",IF(OR(J2498="기후부협의",J2498="문서재제출요청",J2498="보류",J2498="보완요청",J2498="보완완료",J2498="평가중",J2498="반려요청",J2498="평가필요",LEFT(J2498,5)="보완요청("),"미종결 표시","상태 확인 필요"))</x:f>
        <x:v>종결 표시</x:v>
      </x:c>
      <x:c r="L2498" s="2" t="str">
        <x:v>KECM</x:v>
      </x:c>
      <x:c r="M2498" s="2"/>
      <x:c r="N2498" s="8" t="n">
        <x:f>DATE(2026,10,15)-DATE(2020,12,7)</x:f>
        <x:v>2138</x:v>
      </x:c>
      <x:c r="O2498" s="2"/>
      <x:c r="P2498" s="2"/>
      <x:c r="Q2498" s="2" t="str">
        <x:v>산업전환_외부사업관리Tool_260707_이너젠 수정_LJY_261013.xlsx</x:v>
      </x:c>
      <x:c r="R2498" s="2" t="str">
        <x:v>국외인증</x:v>
      </x:c>
      <x:c r="S2498" s="8" t="n">
        <x:v>85</x:v>
      </x:c>
      <x:c r="T2498" s="2"/>
      <x:c r="U2498" s="2" t="str"/>
      <x:c r="V2498" s="2" t="str">
        <x:v>2021-10-08</x:v>
      </x:c>
      <x:c r="W2498" s="2" t="str"/>
      <x:c r="X2498" s="2" t="str">
        <x:v>종결 근거 보관</x:v>
      </x:c>
      <x:c r="Y2498" s="2" t="str">
        <x:v>ad210cd9ec132cfd447541c8984dc53d30aff0f4fb2dc92d254d49275cc55976</x:v>
      </x:c>
      <x:c r="Z2498" s="2" t="n">
        <x:f>SUBTOTAL(103,A2498)</x:f>
        <x:v>1</x:v>
      </x:c>
      <x:c r="AA2498" s="2" t="str">
        <x:f>IF(K2498&lt;&gt;"미종결 표시","대상 아님",IF(N2498="","신청일 확인",IF(NOT(ISNUMBER('종합 현황'!$H$5)),"관찰기준 확인",IF('종합 현황'!$H$5&lt;1,"관찰기준 확인",IF(N2498&gt;'종합 현황'!$H$5,"내부 관찰 대상","내부 관찰일 이하")))))</x:f>
        <x:v>대상 아님</x:v>
      </x:c>
      <x:c r="AB2498" s="2" t="str">
        <x:v>2020-12-07 16:00 - 신청
2021-01-27 10:18 - 문서재제출요청
2021-01-28 13:44 - 신청
2021-03-25 13:29 - 문서재제출요청
2021-03-25 14:52 - 신청
2021-05-18 13:58 - 문서재제출요청
2021-05-20 14:01 - 신청
2021-05-27 14:49 - 문서재제출요청
2021-05-27 15:29 - 신청
2021-07-08 17:37 - 보완요청
2021-07-13 16:13 - 신청
2021-08-03 17:02 - 문서재제출요청
2021-08-19 10:02 - 신청
2021-09-27 10:55 - 검토승인
2021-10-08 16:45 - 심의승인</x:v>
      </x:c>
    </x:row>
    <x:row r="2499" ht="42" customHeight="1">
      <x:c r="A2499" s="2" t="str">
        <x:v>1ec10383b1a99d2cc9913d6c</x:v>
      </x:c>
      <x:c r="B2499" s="2" t="str">
        <x:v>감축량 인증</x:v>
      </x:c>
      <x:c r="C2499" s="2" t="str">
        <x:v>국외</x:v>
      </x:c>
      <x:c r="D2499" s="7" t="str">
        <x:v>안전한 식수 공급을 위한 정수기 보급 사업 : CPA 50(한국 지원)</x:v>
      </x:c>
      <x:c r="E2499" s="2" t="str">
        <x:v>84</x:v>
      </x:c>
      <x:c r="F2499" s="2" t="str">
        <x:v>2020-12-07</x:v>
      </x:c>
      <x:c r="G2499" s="2" t="str">
        <x:v>2020</x:v>
      </x:c>
      <x:c r="H2499" s="2" t="str">
        <x:v>12</x:v>
      </x:c>
      <x:c r="I2499" s="2" t="str">
        <x:v>심의승인</x:v>
      </x:c>
      <x:c r="J2499" s="2" t="str">
        <x:v>심의승인</x:v>
      </x:c>
      <x:c r="K2499" s="2" t="str">
        <x:f>IF(OR(J2499="심의승인",J2499="반려",J2499="반려완료",J2499="심의완료"),"종결 표시",IF(OR(J2499="기후부협의",J2499="문서재제출요청",J2499="보류",J2499="보완요청",J2499="보완완료",J2499="평가중",J2499="반려요청",J2499="평가필요",LEFT(J2499,5)="보완요청("),"미종결 표시","상태 확인 필요"))</x:f>
        <x:v>종결 표시</x:v>
      </x:c>
      <x:c r="L2499" s="2" t="str">
        <x:v>KECM</x:v>
      </x:c>
      <x:c r="M2499" s="2"/>
      <x:c r="N2499" s="8" t="n">
        <x:f>DATE(2026,10,15)-DATE(2020,12,7)</x:f>
        <x:v>2138</x:v>
      </x:c>
      <x:c r="O2499" s="2"/>
      <x:c r="P2499" s="2"/>
      <x:c r="Q2499" s="2" t="str">
        <x:v>산업전환_외부사업관리Tool_260707_이너젠 수정_LJY_261013.xlsx</x:v>
      </x:c>
      <x:c r="R2499" s="2" t="str">
        <x:v>국외인증</x:v>
      </x:c>
      <x:c r="S2499" s="8" t="n">
        <x:v>86</x:v>
      </x:c>
      <x:c r="T2499" s="2"/>
      <x:c r="U2499" s="2" t="str"/>
      <x:c r="V2499" s="2" t="str">
        <x:v>2021-10-08</x:v>
      </x:c>
      <x:c r="W2499" s="2" t="str"/>
      <x:c r="X2499" s="2" t="str">
        <x:v>종결 근거 보관</x:v>
      </x:c>
      <x:c r="Y2499" s="2" t="str">
        <x:v>ad210cd9ec132cfd447541c8984dc53d30aff0f4fb2dc92d254d49275cc55976</x:v>
      </x:c>
      <x:c r="Z2499" s="2" t="n">
        <x:f>SUBTOTAL(103,A2499)</x:f>
        <x:v>1</x:v>
      </x:c>
      <x:c r="AA2499" s="2" t="str">
        <x:f>IF(K2499&lt;&gt;"미종결 표시","대상 아님",IF(N2499="","신청일 확인",IF(NOT(ISNUMBER('종합 현황'!$H$5)),"관찰기준 확인",IF('종합 현황'!$H$5&lt;1,"관찰기준 확인",IF(N2499&gt;'종합 현황'!$H$5,"내부 관찰 대상","내부 관찰일 이하")))))</x:f>
        <x:v>대상 아님</x:v>
      </x:c>
      <x:c r="AB2499" s="2" t="str">
        <x:v>2020-12-07 16:00 - 신청
2021-01-27 10:18 - 문서재제출요청
2021-01-28 13:44 - 신청
2021-03-25 13:29 - 문서재제출요청
2021-03-25 14:52 - 신청
2021-05-18 13:59 - 문서재제출요청
2021-05-20 14:01 - 신청
2021-05-27 14:50 - 문서재제출요청
2021-05-27 15:30 - 신청
2021-07-08 17:38 - 보완요청
2021-07-13 16:12 - 신청
2021-08-03 17:02 - 문서재제출요청
2021-08-19 10:03 - 신청
2021-09-27 10:55 - 검토승인
2021-10-08 16:47 - 심의승인</x:v>
      </x:c>
    </x:row>
    <x:row r="2500" ht="42" customHeight="1">
      <x:c r="A2500" s="2" t="str">
        <x:v>178a42a03b5b4e0bd25c9e49</x:v>
      </x:c>
      <x:c r="B2500" s="2" t="str">
        <x:v>감축량 인증</x:v>
      </x:c>
      <x:c r="C2500" s="2" t="str">
        <x:v>국외</x:v>
      </x:c>
      <x:c r="D2500" s="7" t="str">
        <x:v>안전한 식수 공급을 위한 정수기 보급 사업 : CPA 51(한국 지원)</x:v>
      </x:c>
      <x:c r="E2500" s="2" t="str">
        <x:v>85</x:v>
      </x:c>
      <x:c r="F2500" s="2" t="str">
        <x:v>2020-12-07</x:v>
      </x:c>
      <x:c r="G2500" s="2" t="str">
        <x:v>2020</x:v>
      </x:c>
      <x:c r="H2500" s="2" t="str">
        <x:v>12</x:v>
      </x:c>
      <x:c r="I2500" s="2" t="str">
        <x:v>심의승인</x:v>
      </x:c>
      <x:c r="J2500" s="2" t="str">
        <x:v>심의승인</x:v>
      </x:c>
      <x:c r="K2500" s="2" t="str">
        <x:f>IF(OR(J2500="심의승인",J2500="반려",J2500="반려완료",J2500="심의완료"),"종결 표시",IF(OR(J2500="기후부협의",J2500="문서재제출요청",J2500="보류",J2500="보완요청",J2500="보완완료",J2500="평가중",J2500="반려요청",J2500="평가필요",LEFT(J2500,5)="보완요청("),"미종결 표시","상태 확인 필요"))</x:f>
        <x:v>종결 표시</x:v>
      </x:c>
      <x:c r="L2500" s="2" t="str">
        <x:v>KECM</x:v>
      </x:c>
      <x:c r="M2500" s="2"/>
      <x:c r="N2500" s="8" t="n">
        <x:f>DATE(2026,10,15)-DATE(2020,12,7)</x:f>
        <x:v>2138</x:v>
      </x:c>
      <x:c r="O2500" s="2"/>
      <x:c r="P2500" s="2"/>
      <x:c r="Q2500" s="2" t="str">
        <x:v>산업전환_외부사업관리Tool_260707_이너젠 수정_LJY_261013.xlsx</x:v>
      </x:c>
      <x:c r="R2500" s="2" t="str">
        <x:v>국외인증</x:v>
      </x:c>
      <x:c r="S2500" s="8" t="n">
        <x:v>87</x:v>
      </x:c>
      <x:c r="T2500" s="2"/>
      <x:c r="U2500" s="2" t="str"/>
      <x:c r="V2500" s="2" t="str">
        <x:v>2021-10-08</x:v>
      </x:c>
      <x:c r="W2500" s="2" t="str"/>
      <x:c r="X2500" s="2" t="str">
        <x:v>종결 근거 보관</x:v>
      </x:c>
      <x:c r="Y2500" s="2" t="str">
        <x:v>ad210cd9ec132cfd447541c8984dc53d30aff0f4fb2dc92d254d49275cc55976</x:v>
      </x:c>
      <x:c r="Z2500" s="2" t="n">
        <x:f>SUBTOTAL(103,A2500)</x:f>
        <x:v>1</x:v>
      </x:c>
      <x:c r="AA2500" s="2" t="str">
        <x:f>IF(K2500&lt;&gt;"미종결 표시","대상 아님",IF(N2500="","신청일 확인",IF(NOT(ISNUMBER('종합 현황'!$H$5)),"관찰기준 확인",IF('종합 현황'!$H$5&lt;1,"관찰기준 확인",IF(N2500&gt;'종합 현황'!$H$5,"내부 관찰 대상","내부 관찰일 이하")))))</x:f>
        <x:v>대상 아님</x:v>
      </x:c>
      <x:c r="AB2500" s="2" t="str">
        <x:v>2020-12-07 16:01 - 신청
2021-01-27 10:18 - 문서재제출요청
2021-01-28 13:44 - 신청
2021-03-25 13:30 - 문서재제출요청
2021-03-25 14:52 - 신청
2021-05-18 13:59 - 문서재제출요청
2021-05-20 14:01 - 신청
2021-05-27 14:50 - 문서재제출요청
2021-05-27 15:31 - 신청
2021-07-08 17:38 - 보완요청
2021-07-13 16:12 - 신청
2021-08-03 17:02 - 문서재제출요청
2021-08-19 10:03 - 신청
2021-09-27 10:55 - 검토승인
2021-10-08 16:48 - 심의승인</x:v>
      </x:c>
    </x:row>
    <x:row r="2501" ht="42" customHeight="1">
      <x:c r="A2501" s="2" t="str">
        <x:v>eace3d988e32ed8fa75f6242</x:v>
      </x:c>
      <x:c r="B2501" s="2" t="str">
        <x:v>감축량 인증</x:v>
      </x:c>
      <x:c r="C2501" s="2" t="str">
        <x:v>국외</x:v>
      </x:c>
      <x:c r="D2501" s="7" t="str">
        <x:v>안전한 식수 공급을 위한 정수기 보급 사업 : CPA 52(한국 지원)</x:v>
      </x:c>
      <x:c r="E2501" s="2" t="str">
        <x:v>86</x:v>
      </x:c>
      <x:c r="F2501" s="2" t="str">
        <x:v>2020-12-07</x:v>
      </x:c>
      <x:c r="G2501" s="2" t="str">
        <x:v>2020</x:v>
      </x:c>
      <x:c r="H2501" s="2" t="str">
        <x:v>12</x:v>
      </x:c>
      <x:c r="I2501" s="2" t="str">
        <x:v>심의승인</x:v>
      </x:c>
      <x:c r="J2501" s="2" t="str">
        <x:v>심의승인</x:v>
      </x:c>
      <x:c r="K2501" s="2" t="str">
        <x:f>IF(OR(J2501="심의승인",J2501="반려",J2501="반려완료",J2501="심의완료"),"종결 표시",IF(OR(J2501="기후부협의",J2501="문서재제출요청",J2501="보류",J2501="보완요청",J2501="보완완료",J2501="평가중",J2501="반려요청",J2501="평가필요",LEFT(J2501,5)="보완요청("),"미종결 표시","상태 확인 필요"))</x:f>
        <x:v>종결 표시</x:v>
      </x:c>
      <x:c r="L2501" s="2" t="str">
        <x:v>KECM</x:v>
      </x:c>
      <x:c r="M2501" s="2"/>
      <x:c r="N2501" s="8" t="n">
        <x:f>DATE(2026,10,15)-DATE(2020,12,7)</x:f>
        <x:v>2138</x:v>
      </x:c>
      <x:c r="O2501" s="2"/>
      <x:c r="P2501" s="2"/>
      <x:c r="Q2501" s="2" t="str">
        <x:v>산업전환_외부사업관리Tool_260707_이너젠 수정_LJY_261013.xlsx</x:v>
      </x:c>
      <x:c r="R2501" s="2" t="str">
        <x:v>국외인증</x:v>
      </x:c>
      <x:c r="S2501" s="8" t="n">
        <x:v>88</x:v>
      </x:c>
      <x:c r="T2501" s="2"/>
      <x:c r="U2501" s="2" t="str"/>
      <x:c r="V2501" s="2" t="str">
        <x:v>2021-10-08</x:v>
      </x:c>
      <x:c r="W2501" s="2" t="str"/>
      <x:c r="X2501" s="2" t="str">
        <x:v>종결 근거 보관</x:v>
      </x:c>
      <x:c r="Y2501" s="2" t="str">
        <x:v>ad210cd9ec132cfd447541c8984dc53d30aff0f4fb2dc92d254d49275cc55976</x:v>
      </x:c>
      <x:c r="Z2501" s="2" t="n">
        <x:f>SUBTOTAL(103,A2501)</x:f>
        <x:v>1</x:v>
      </x:c>
      <x:c r="AA2501" s="2" t="str">
        <x:f>IF(K2501&lt;&gt;"미종결 표시","대상 아님",IF(N2501="","신청일 확인",IF(NOT(ISNUMBER('종합 현황'!$H$5)),"관찰기준 확인",IF('종합 현황'!$H$5&lt;1,"관찰기준 확인",IF(N2501&gt;'종합 현황'!$H$5,"내부 관찰 대상","내부 관찰일 이하")))))</x:f>
        <x:v>대상 아님</x:v>
      </x:c>
      <x:c r="AB2501" s="2" t="str">
        <x:v>2020-12-07 16:02 - 신청
2021-01-27 10:18 - 문서재제출요청
2021-01-28 13:45 - 신청
2021-03-25 13:30 - 문서재제출요청
2021-03-25 14:53 - 신청
2021-05-18 14:00 - 문서재제출요청
2021-05-20 14:02 - 신청
2021-05-27 14:50 - 문서재제출요청
2021-05-27 15:31 - 신청
2021-07-08 17:38 - 보완요청
2021-07-13 16:11 - 신청
2021-08-03 17:02 - 문서재제출요청
2021-08-19 10:04 - 신청
2021-09-27 10:54 - 검토승인
2021-10-08 16:49 - 심의승인</x:v>
      </x:c>
    </x:row>
    <x:row r="2502" ht="42" customHeight="1">
      <x:c r="A2502" s="2" t="str">
        <x:v>cbc90be8d412e5c315795e1c</x:v>
      </x:c>
      <x:c r="B2502" s="2" t="str">
        <x:v>감축량 인증</x:v>
      </x:c>
      <x:c r="C2502" s="2" t="str">
        <x:v>국외</x:v>
      </x:c>
      <x:c r="D2502" s="7" t="str">
        <x:v>안전한 식수 공급을 위한 정수기 보급 사업 : CPA 53(한국 지원)</x:v>
      </x:c>
      <x:c r="E2502" s="2" t="str">
        <x:v>87</x:v>
      </x:c>
      <x:c r="F2502" s="2" t="str">
        <x:v>2020-12-07</x:v>
      </x:c>
      <x:c r="G2502" s="2" t="str">
        <x:v>2020</x:v>
      </x:c>
      <x:c r="H2502" s="2" t="str">
        <x:v>12</x:v>
      </x:c>
      <x:c r="I2502" s="2" t="str">
        <x:v>심의승인</x:v>
      </x:c>
      <x:c r="J2502" s="2" t="str">
        <x:v>심의승인</x:v>
      </x:c>
      <x:c r="K2502" s="2" t="str">
        <x:f>IF(OR(J2502="심의승인",J2502="반려",J2502="반려완료",J2502="심의완료"),"종결 표시",IF(OR(J2502="기후부협의",J2502="문서재제출요청",J2502="보류",J2502="보완요청",J2502="보완완료",J2502="평가중",J2502="반려요청",J2502="평가필요",LEFT(J2502,5)="보완요청("),"미종결 표시","상태 확인 필요"))</x:f>
        <x:v>종결 표시</x:v>
      </x:c>
      <x:c r="L2502" s="2" t="str">
        <x:v>KECM</x:v>
      </x:c>
      <x:c r="M2502" s="2"/>
      <x:c r="N2502" s="8" t="n">
        <x:f>DATE(2026,10,15)-DATE(2020,12,7)</x:f>
        <x:v>2138</x:v>
      </x:c>
      <x:c r="O2502" s="2"/>
      <x:c r="P2502" s="2"/>
      <x:c r="Q2502" s="2" t="str">
        <x:v>산업전환_외부사업관리Tool_260707_이너젠 수정_LJY_261013.xlsx</x:v>
      </x:c>
      <x:c r="R2502" s="2" t="str">
        <x:v>국외인증</x:v>
      </x:c>
      <x:c r="S2502" s="8" t="n">
        <x:v>89</x:v>
      </x:c>
      <x:c r="T2502" s="2"/>
      <x:c r="U2502" s="2" t="str"/>
      <x:c r="V2502" s="2" t="str">
        <x:v>2021-10-08</x:v>
      </x:c>
      <x:c r="W2502" s="2" t="str"/>
      <x:c r="X2502" s="2" t="str">
        <x:v>종결 근거 보관</x:v>
      </x:c>
      <x:c r="Y2502" s="2" t="str">
        <x:v>ad210cd9ec132cfd447541c8984dc53d30aff0f4fb2dc92d254d49275cc55976</x:v>
      </x:c>
      <x:c r="Z2502" s="2" t="n">
        <x:f>SUBTOTAL(103,A2502)</x:f>
        <x:v>1</x:v>
      </x:c>
      <x:c r="AA2502" s="2" t="str">
        <x:f>IF(K2502&lt;&gt;"미종결 표시","대상 아님",IF(N2502="","신청일 확인",IF(NOT(ISNUMBER('종합 현황'!$H$5)),"관찰기준 확인",IF('종합 현황'!$H$5&lt;1,"관찰기준 확인",IF(N2502&gt;'종합 현황'!$H$5,"내부 관찰 대상","내부 관찰일 이하")))))</x:f>
        <x:v>대상 아님</x:v>
      </x:c>
      <x:c r="AB2502" s="2" t="str">
        <x:v>2020-12-07 16:02 - 신청
2021-01-27 10:17 - 문서재제출요청
2021-01-28 13:45 - 신청
2021-03-25 13:31 - 문서재제출요청
2021-03-25 14:53 - 신청
2021-05-18 14:00 - 문서재제출요청
2021-05-20 14:02 - 신청
2021-05-27 14:53 - 문서재제출요청
2021-05-27 15:36 - 신청
2021-07-08 17:39 - 보완요청
2021-07-13 16:11 - 신청
2021-08-03 17:03 - 문서재제출요청
2021-08-19 10:04 - 신청
2021-09-27 10:54 - 검토승인
2021-10-08 16:51 - 심의승인</x:v>
      </x:c>
    </x:row>
    <x:row r="2503" ht="42" customHeight="1">
      <x:c r="A2503" s="2" t="str">
        <x:v>022a228c002541db0f677153</x:v>
      </x:c>
      <x:c r="B2503" s="2" t="str">
        <x:v>감축량 인증</x:v>
      </x:c>
      <x:c r="C2503" s="2" t="str">
        <x:v>국외</x:v>
      </x:c>
      <x:c r="D2503" s="7" t="str">
        <x:v>안전한 식수 공급을 위한 정수기 보급 사업 : CPA 54(한국 지원)</x:v>
      </x:c>
      <x:c r="E2503" s="2" t="str">
        <x:v>88</x:v>
      </x:c>
      <x:c r="F2503" s="2" t="str">
        <x:v>2020-12-07</x:v>
      </x:c>
      <x:c r="G2503" s="2" t="str">
        <x:v>2020</x:v>
      </x:c>
      <x:c r="H2503" s="2" t="str">
        <x:v>12</x:v>
      </x:c>
      <x:c r="I2503" s="2" t="str">
        <x:v>심의승인</x:v>
      </x:c>
      <x:c r="J2503" s="2" t="str">
        <x:v>심의승인</x:v>
      </x:c>
      <x:c r="K2503" s="2" t="str">
        <x:f>IF(OR(J2503="심의승인",J2503="반려",J2503="반려완료",J2503="심의완료"),"종결 표시",IF(OR(J2503="기후부협의",J2503="문서재제출요청",J2503="보류",J2503="보완요청",J2503="보완완료",J2503="평가중",J2503="반려요청",J2503="평가필요",LEFT(J2503,5)="보완요청("),"미종결 표시","상태 확인 필요"))</x:f>
        <x:v>종결 표시</x:v>
      </x:c>
      <x:c r="L2503" s="2" t="str">
        <x:v>KECM</x:v>
      </x:c>
      <x:c r="M2503" s="2"/>
      <x:c r="N2503" s="8" t="n">
        <x:f>DATE(2026,10,15)-DATE(2020,12,7)</x:f>
        <x:v>2138</x:v>
      </x:c>
      <x:c r="O2503" s="2"/>
      <x:c r="P2503" s="2"/>
      <x:c r="Q2503" s="2" t="str">
        <x:v>산업전환_외부사업관리Tool_260707_이너젠 수정_LJY_261013.xlsx</x:v>
      </x:c>
      <x:c r="R2503" s="2" t="str">
        <x:v>국외인증</x:v>
      </x:c>
      <x:c r="S2503" s="8" t="n">
        <x:v>90</x:v>
      </x:c>
      <x:c r="T2503" s="2"/>
      <x:c r="U2503" s="2" t="str"/>
      <x:c r="V2503" s="2" t="str">
        <x:v>2021-10-08</x:v>
      </x:c>
      <x:c r="W2503" s="2" t="str"/>
      <x:c r="X2503" s="2" t="str">
        <x:v>종결 근거 보관</x:v>
      </x:c>
      <x:c r="Y2503" s="2" t="str">
        <x:v>ad210cd9ec132cfd447541c8984dc53d30aff0f4fb2dc92d254d49275cc55976</x:v>
      </x:c>
      <x:c r="Z2503" s="2" t="n">
        <x:f>SUBTOTAL(103,A2503)</x:f>
        <x:v>1</x:v>
      </x:c>
      <x:c r="AA2503" s="2" t="str">
        <x:f>IF(K2503&lt;&gt;"미종결 표시","대상 아님",IF(N2503="","신청일 확인",IF(NOT(ISNUMBER('종합 현황'!$H$5)),"관찰기준 확인",IF('종합 현황'!$H$5&lt;1,"관찰기준 확인",IF(N2503&gt;'종합 현황'!$H$5,"내부 관찰 대상","내부 관찰일 이하")))))</x:f>
        <x:v>대상 아님</x:v>
      </x:c>
      <x:c r="AB2503" s="2" t="str">
        <x:v>2020-12-07 16:03 - 신청
2021-01-27 10:17 - 문서재제출요청
2021-01-28 13:46 - 신청
2021-03-25 13:31 - 문서재제출요청
2021-03-25 14:53 - 신청
2021-05-18 14:01 - 문서재제출요청
2021-05-20 14:02 - 신청
2021-05-26 20:25 - 문서재제출요청
2021-05-26 20:51 - 신청
2021-05-27 14:54 - 문서재제출요청
2021-05-27 15:36 - 신청
2021-07-08 17:39 - 보완요청
2021-07-13 16:10 - 신청
2021-08-03 17:03 - 문서재제출요청
2021-08-19 10:04 - 신청
2021-09-27 10:53 - 검토승인
2021-10-08 16:52 - 심의승인</x:v>
      </x:c>
    </x:row>
    <x:row r="2504" ht="42" customHeight="1">
      <x:c r="A2504" s="2" t="str">
        <x:v>4d890f3946f10de079326a9e</x:v>
      </x:c>
      <x:c r="B2504" s="2" t="str">
        <x:v>감축량 인증</x:v>
      </x:c>
      <x:c r="C2504" s="2" t="str">
        <x:v>국외</x:v>
      </x:c>
      <x:c r="D2504" s="7" t="str">
        <x:v>안전한 식수 공급을 위한 정수기 보급 사업 : CPA 55(한국 지원)</x:v>
      </x:c>
      <x:c r="E2504" s="2" t="str">
        <x:v>89</x:v>
      </x:c>
      <x:c r="F2504" s="2" t="str">
        <x:v>2020-12-07</x:v>
      </x:c>
      <x:c r="G2504" s="2" t="str">
        <x:v>2020</x:v>
      </x:c>
      <x:c r="H2504" s="2" t="str">
        <x:v>12</x:v>
      </x:c>
      <x:c r="I2504" s="2" t="str">
        <x:v>심의승인</x:v>
      </x:c>
      <x:c r="J2504" s="2" t="str">
        <x:v>심의승인</x:v>
      </x:c>
      <x:c r="K2504" s="2" t="str">
        <x:f>IF(OR(J2504="심의승인",J2504="반려",J2504="반려완료",J2504="심의완료"),"종결 표시",IF(OR(J2504="기후부협의",J2504="문서재제출요청",J2504="보류",J2504="보완요청",J2504="보완완료",J2504="평가중",J2504="반려요청",J2504="평가필요",LEFT(J2504,5)="보완요청("),"미종결 표시","상태 확인 필요"))</x:f>
        <x:v>종결 표시</x:v>
      </x:c>
      <x:c r="L2504" s="2" t="str">
        <x:v>KECM</x:v>
      </x:c>
      <x:c r="M2504" s="2"/>
      <x:c r="N2504" s="8" t="n">
        <x:f>DATE(2026,10,15)-DATE(2020,12,7)</x:f>
        <x:v>2138</x:v>
      </x:c>
      <x:c r="O2504" s="2"/>
      <x:c r="P2504" s="2"/>
      <x:c r="Q2504" s="2" t="str">
        <x:v>산업전환_외부사업관리Tool_260707_이너젠 수정_LJY_261013.xlsx</x:v>
      </x:c>
      <x:c r="R2504" s="2" t="str">
        <x:v>국외인증</x:v>
      </x:c>
      <x:c r="S2504" s="8" t="n">
        <x:v>91</x:v>
      </x:c>
      <x:c r="T2504" s="2"/>
      <x:c r="U2504" s="2" t="str"/>
      <x:c r="V2504" s="2" t="str">
        <x:v>2021-10-08</x:v>
      </x:c>
      <x:c r="W2504" s="2" t="str"/>
      <x:c r="X2504" s="2" t="str">
        <x:v>종결 근거 보관</x:v>
      </x:c>
      <x:c r="Y2504" s="2" t="str">
        <x:v>ad210cd9ec132cfd447541c8984dc53d30aff0f4fb2dc92d254d49275cc55976</x:v>
      </x:c>
      <x:c r="Z2504" s="2" t="n">
        <x:f>SUBTOTAL(103,A2504)</x:f>
        <x:v>1</x:v>
      </x:c>
      <x:c r="AA2504" s="2" t="str">
        <x:f>IF(K2504&lt;&gt;"미종결 표시","대상 아님",IF(N2504="","신청일 확인",IF(NOT(ISNUMBER('종합 현황'!$H$5)),"관찰기준 확인",IF('종합 현황'!$H$5&lt;1,"관찰기준 확인",IF(N2504&gt;'종합 현황'!$H$5,"내부 관찰 대상","내부 관찰일 이하")))))</x:f>
        <x:v>대상 아님</x:v>
      </x:c>
      <x:c r="AB2504" s="2" t="str">
        <x:v>2020-12-07 16:03 - 신청
2021-01-27 10:17 - 문서재제출요청
2021-01-28 13:46 - 신청
2021-03-25 13:32 - 문서재제출요청
2021-03-25 14:53 - 신청
2021-05-18 14:01 - 문서재제출요청
2021-05-20 14:03 - 신청
2021-05-27 14:53 - 문서재제출요청
2021-05-27 15:37 - 신청
2021-07-08 17:39 - 보완요청
2021-07-13 16:10 - 신청
2021-08-03 17:04 - 문서재제출요청
2021-08-19 10:04 - 신청
2021-09-27 10:53 - 검토승인
2021-10-08 16:53 - 심의승인</x:v>
      </x:c>
    </x:row>
    <x:row r="2505" ht="42" customHeight="1">
      <x:c r="A2505" s="2" t="str">
        <x:v>5f68493d6a5c299b94465241</x:v>
      </x:c>
      <x:c r="B2505" s="2" t="str">
        <x:v>감축량 인증</x:v>
      </x:c>
      <x:c r="C2505" s="2" t="str">
        <x:v>국외</x:v>
      </x:c>
      <x:c r="D2505" s="7" t="str">
        <x:v>안전한 식수 공급을 위한 정수기 보급 사업 : CPA 56(한국 지원)</x:v>
      </x:c>
      <x:c r="E2505" s="2" t="str">
        <x:v>90</x:v>
      </x:c>
      <x:c r="F2505" s="2" t="str">
        <x:v>2020-12-07</x:v>
      </x:c>
      <x:c r="G2505" s="2" t="str">
        <x:v>2020</x:v>
      </x:c>
      <x:c r="H2505" s="2" t="str">
        <x:v>12</x:v>
      </x:c>
      <x:c r="I2505" s="2" t="str">
        <x:v>심의승인</x:v>
      </x:c>
      <x:c r="J2505" s="2" t="str">
        <x:v>심의승인</x:v>
      </x:c>
      <x:c r="K2505" s="2" t="str">
        <x:f>IF(OR(J2505="심의승인",J2505="반려",J2505="반려완료",J2505="심의완료"),"종결 표시",IF(OR(J2505="기후부협의",J2505="문서재제출요청",J2505="보류",J2505="보완요청",J2505="보완완료",J2505="평가중",J2505="반려요청",J2505="평가필요",LEFT(J2505,5)="보완요청("),"미종결 표시","상태 확인 필요"))</x:f>
        <x:v>종결 표시</x:v>
      </x:c>
      <x:c r="L2505" s="2" t="str">
        <x:v>KECM</x:v>
      </x:c>
      <x:c r="M2505" s="2"/>
      <x:c r="N2505" s="8" t="n">
        <x:f>DATE(2026,10,15)-DATE(2020,12,7)</x:f>
        <x:v>2138</x:v>
      </x:c>
      <x:c r="O2505" s="2"/>
      <x:c r="P2505" s="2"/>
      <x:c r="Q2505" s="2" t="str">
        <x:v>산업전환_외부사업관리Tool_260707_이너젠 수정_LJY_261013.xlsx</x:v>
      </x:c>
      <x:c r="R2505" s="2" t="str">
        <x:v>국외인증</x:v>
      </x:c>
      <x:c r="S2505" s="8" t="n">
        <x:v>92</x:v>
      </x:c>
      <x:c r="T2505" s="2"/>
      <x:c r="U2505" s="2" t="str"/>
      <x:c r="V2505" s="2" t="str">
        <x:v>2021-10-08</x:v>
      </x:c>
      <x:c r="W2505" s="2" t="str"/>
      <x:c r="X2505" s="2" t="str">
        <x:v>종결 근거 보관</x:v>
      </x:c>
      <x:c r="Y2505" s="2" t="str">
        <x:v>ad210cd9ec132cfd447541c8984dc53d30aff0f4fb2dc92d254d49275cc55976</x:v>
      </x:c>
      <x:c r="Z2505" s="2" t="n">
        <x:f>SUBTOTAL(103,A2505)</x:f>
        <x:v>1</x:v>
      </x:c>
      <x:c r="AA2505" s="2" t="str">
        <x:f>IF(K2505&lt;&gt;"미종결 표시","대상 아님",IF(N2505="","신청일 확인",IF(NOT(ISNUMBER('종합 현황'!$H$5)),"관찰기준 확인",IF('종합 현황'!$H$5&lt;1,"관찰기준 확인",IF(N2505&gt;'종합 현황'!$H$5,"내부 관찰 대상","내부 관찰일 이하")))))</x:f>
        <x:v>대상 아님</x:v>
      </x:c>
      <x:c r="AB2505" s="2" t="str">
        <x:v>2020-12-07 16:04 - 신청
2021-01-27 10:16 - 문서재제출요청
2021-01-28 13:46 - 신청
2021-03-25 13:32 - 문서재제출요청
2021-03-25 14:53 - 신청
2021-05-18 14:03 - 문서재제출요청
2021-05-20 14:03 - 신청
2021-05-27 14:54 - 문서재제출요청
2021-05-27 15:38 - 신청
2021-07-08 17:40 - 보완요청
2021-07-13 16:10 - 신청
2021-08-03 17:04 - 문서재제출요청
2021-08-19 10:04 - 신청
2021-09-27 10:52 - 검토승인
2021-10-08 16:54 - 심의승인</x:v>
      </x:c>
    </x:row>
    <x:row r="2506" ht="42" customHeight="1">
      <x:c r="A2506" s="2" t="str">
        <x:v>95c0a0b05764083573f9590e</x:v>
      </x:c>
      <x:c r="B2506" s="2" t="str">
        <x:v>감축량 인증</x:v>
      </x:c>
      <x:c r="C2506" s="2" t="str">
        <x:v>국외</x:v>
      </x:c>
      <x:c r="D2506" s="7" t="str">
        <x:v>안전한 식수 공급을 위한 정수기 보급 사업 : CPA 57(한국 지원)</x:v>
      </x:c>
      <x:c r="E2506" s="2" t="str">
        <x:v>91</x:v>
      </x:c>
      <x:c r="F2506" s="2" t="str">
        <x:v>2020-12-07</x:v>
      </x:c>
      <x:c r="G2506" s="2" t="str">
        <x:v>2020</x:v>
      </x:c>
      <x:c r="H2506" s="2" t="str">
        <x:v>12</x:v>
      </x:c>
      <x:c r="I2506" s="2" t="str">
        <x:v>심의승인</x:v>
      </x:c>
      <x:c r="J2506" s="2" t="str">
        <x:v>심의승인</x:v>
      </x:c>
      <x:c r="K2506" s="2" t="str">
        <x:f>IF(OR(J2506="심의승인",J2506="반려",J2506="반려완료",J2506="심의완료"),"종결 표시",IF(OR(J2506="기후부협의",J2506="문서재제출요청",J2506="보류",J2506="보완요청",J2506="보완완료",J2506="평가중",J2506="반려요청",J2506="평가필요",LEFT(J2506,5)="보완요청("),"미종결 표시","상태 확인 필요"))</x:f>
        <x:v>종결 표시</x:v>
      </x:c>
      <x:c r="L2506" s="2" t="str">
        <x:v>KECM</x:v>
      </x:c>
      <x:c r="M2506" s="2"/>
      <x:c r="N2506" s="8" t="n">
        <x:f>DATE(2026,10,15)-DATE(2020,12,7)</x:f>
        <x:v>2138</x:v>
      </x:c>
      <x:c r="O2506" s="2"/>
      <x:c r="P2506" s="2"/>
      <x:c r="Q2506" s="2" t="str">
        <x:v>산업전환_외부사업관리Tool_260707_이너젠 수정_LJY_261013.xlsx</x:v>
      </x:c>
      <x:c r="R2506" s="2" t="str">
        <x:v>국외인증</x:v>
      </x:c>
      <x:c r="S2506" s="8" t="n">
        <x:v>93</x:v>
      </x:c>
      <x:c r="T2506" s="2"/>
      <x:c r="U2506" s="2" t="str"/>
      <x:c r="V2506" s="2" t="str">
        <x:v>2021-10-08</x:v>
      </x:c>
      <x:c r="W2506" s="2" t="str"/>
      <x:c r="X2506" s="2" t="str">
        <x:v>종결 근거 보관</x:v>
      </x:c>
      <x:c r="Y2506" s="2" t="str">
        <x:v>ad210cd9ec132cfd447541c8984dc53d30aff0f4fb2dc92d254d49275cc55976</x:v>
      </x:c>
      <x:c r="Z2506" s="2" t="n">
        <x:f>SUBTOTAL(103,A2506)</x:f>
        <x:v>1</x:v>
      </x:c>
      <x:c r="AA2506" s="2" t="str">
        <x:f>IF(K2506&lt;&gt;"미종결 표시","대상 아님",IF(N2506="","신청일 확인",IF(NOT(ISNUMBER('종합 현황'!$H$5)),"관찰기준 확인",IF('종합 현황'!$H$5&lt;1,"관찰기준 확인",IF(N2506&gt;'종합 현황'!$H$5,"내부 관찰 대상","내부 관찰일 이하")))))</x:f>
        <x:v>대상 아님</x:v>
      </x:c>
      <x:c r="AB2506" s="2" t="str">
        <x:v>2020-12-07 16:04 - 신청
2021-01-27 10:16 - 문서재제출요청
2021-01-28 13:46 - 신청
2021-03-25 13:32 - 문서재제출요청
2021-03-25 14:54 - 신청
2021-05-18 14:09 - 문서재제출요청
2021-05-20 14:03 - 신청
2021-05-27 14:54 - 문서재제출요청
2021-05-27 15:38 - 신청
2021-07-08 17:40 - 보완요청
2021-07-13 16:09 - 신청
2021-08-03 17:05 - 문서재제출요청
2021-08-19 10:04 - 신청
2021-09-27 10:52 - 검토승인
2021-10-08 16:55 - 심의승인</x:v>
      </x:c>
    </x:row>
    <x:row r="2507" ht="42" customHeight="1">
      <x:c r="A2507" s="2" t="str">
        <x:v>e49493e132dee7841928e311</x:v>
      </x:c>
      <x:c r="B2507" s="2" t="str">
        <x:v>감축량 인증</x:v>
      </x:c>
      <x:c r="C2507" s="2" t="str">
        <x:v>국외</x:v>
      </x:c>
      <x:c r="D2507" s="7" t="str">
        <x:v>안전한 식수 공급을 위한 정수기 보급 사업 : CPA 58(한국 지원)</x:v>
      </x:c>
      <x:c r="E2507" s="2" t="str">
        <x:v>92</x:v>
      </x:c>
      <x:c r="F2507" s="2" t="str">
        <x:v>2020-12-07</x:v>
      </x:c>
      <x:c r="G2507" s="2" t="str">
        <x:v>2020</x:v>
      </x:c>
      <x:c r="H2507" s="2" t="str">
        <x:v>12</x:v>
      </x:c>
      <x:c r="I2507" s="2" t="str">
        <x:v>심의승인</x:v>
      </x:c>
      <x:c r="J2507" s="2" t="str">
        <x:v>심의승인</x:v>
      </x:c>
      <x:c r="K2507" s="2" t="str">
        <x:f>IF(OR(J2507="심의승인",J2507="반려",J2507="반려완료",J2507="심의완료"),"종결 표시",IF(OR(J2507="기후부협의",J2507="문서재제출요청",J2507="보류",J2507="보완요청",J2507="보완완료",J2507="평가중",J2507="반려요청",J2507="평가필요",LEFT(J2507,5)="보완요청("),"미종결 표시","상태 확인 필요"))</x:f>
        <x:v>종결 표시</x:v>
      </x:c>
      <x:c r="L2507" s="2" t="str">
        <x:v>KECM</x:v>
      </x:c>
      <x:c r="M2507" s="2"/>
      <x:c r="N2507" s="8" t="n">
        <x:f>DATE(2026,10,15)-DATE(2020,12,7)</x:f>
        <x:v>2138</x:v>
      </x:c>
      <x:c r="O2507" s="2"/>
      <x:c r="P2507" s="2"/>
      <x:c r="Q2507" s="2" t="str">
        <x:v>산업전환_외부사업관리Tool_260707_이너젠 수정_LJY_261013.xlsx</x:v>
      </x:c>
      <x:c r="R2507" s="2" t="str">
        <x:v>국외인증</x:v>
      </x:c>
      <x:c r="S2507" s="8" t="n">
        <x:v>94</x:v>
      </x:c>
      <x:c r="T2507" s="2"/>
      <x:c r="U2507" s="2" t="str"/>
      <x:c r="V2507" s="2" t="str">
        <x:v>2021-10-08</x:v>
      </x:c>
      <x:c r="W2507" s="2" t="str"/>
      <x:c r="X2507" s="2" t="str">
        <x:v>종결 근거 보관</x:v>
      </x:c>
      <x:c r="Y2507" s="2" t="str">
        <x:v>ad210cd9ec132cfd447541c8984dc53d30aff0f4fb2dc92d254d49275cc55976</x:v>
      </x:c>
      <x:c r="Z2507" s="2" t="n">
        <x:f>SUBTOTAL(103,A2507)</x:f>
        <x:v>1</x:v>
      </x:c>
      <x:c r="AA2507" s="2" t="str">
        <x:f>IF(K2507&lt;&gt;"미종결 표시","대상 아님",IF(N2507="","신청일 확인",IF(NOT(ISNUMBER('종합 현황'!$H$5)),"관찰기준 확인",IF('종합 현황'!$H$5&lt;1,"관찰기준 확인",IF(N2507&gt;'종합 현황'!$H$5,"내부 관찰 대상","내부 관찰일 이하")))))</x:f>
        <x:v>대상 아님</x:v>
      </x:c>
      <x:c r="AB2507" s="2" t="str">
        <x:v>2020-12-07 16:05 - 신청
2021-01-27 10:15 - 문서재제출요청
2021-01-28 13:47 - 신청
2021-03-25 13:33 - 문서재제출요청
2021-03-25 14:54 - 신청
2021-05-18 14:10 - 문서재제출요청
2021-05-20 14:04 - 신청
2021-05-27 14:45 - 문서재제출요청
2021-05-27 15:39 - 신청
2021-07-08 17:40 - 보완요청
2021-07-13 16:09 - 신청
2021-08-03 17:05 - 문서재제출요청
2021-08-19 10:05 - 신청
2021-09-27 10:52 - 검토승인
2021-10-08 16:56 - 심의승인</x:v>
      </x:c>
    </x:row>
    <x:row r="2508" ht="42" customHeight="1">
      <x:c r="A2508" s="2" t="str">
        <x:v>734dd8e39189a052eb1e1d7b</x:v>
      </x:c>
      <x:c r="B2508" s="2" t="str">
        <x:v>감축량 인증</x:v>
      </x:c>
      <x:c r="C2508" s="2" t="str">
        <x:v>국외</x:v>
      </x:c>
      <x:c r="D2508" s="7" t="str">
        <x:v>안전한 식수 공급을 위한 정수기 보급 사업 : CPA 59(한국 지원)</x:v>
      </x:c>
      <x:c r="E2508" s="2" t="str">
        <x:v>93</x:v>
      </x:c>
      <x:c r="F2508" s="2" t="str">
        <x:v>2020-12-02</x:v>
      </x:c>
      <x:c r="G2508" s="2" t="str">
        <x:v>2020</x:v>
      </x:c>
      <x:c r="H2508" s="2" t="str">
        <x:v>12</x:v>
      </x:c>
      <x:c r="I2508" s="2" t="str">
        <x:v>심의승인</x:v>
      </x:c>
      <x:c r="J2508" s="2" t="str">
        <x:v>심의승인</x:v>
      </x:c>
      <x:c r="K2508" s="2" t="str">
        <x:f>IF(OR(J2508="심의승인",J2508="반려",J2508="반려완료",J2508="심의완료"),"종결 표시",IF(OR(J2508="기후부협의",J2508="문서재제출요청",J2508="보류",J2508="보완요청",J2508="보완완료",J2508="평가중",J2508="반려요청",J2508="평가필요",LEFT(J2508,5)="보완요청("),"미종결 표시","상태 확인 필요"))</x:f>
        <x:v>종결 표시</x:v>
      </x:c>
      <x:c r="L2508" s="2" t="str">
        <x:v>KECM</x:v>
      </x:c>
      <x:c r="M2508" s="2"/>
      <x:c r="N2508" s="8" t="n">
        <x:f>DATE(2026,10,15)-DATE(2020,12,2)</x:f>
        <x:v>2143</x:v>
      </x:c>
      <x:c r="O2508" s="2"/>
      <x:c r="P2508" s="2"/>
      <x:c r="Q2508" s="2" t="str">
        <x:v>산업전환_외부사업관리Tool_260707_이너젠 수정_LJY_261013.xlsx</x:v>
      </x:c>
      <x:c r="R2508" s="2" t="str">
        <x:v>국외인증</x:v>
      </x:c>
      <x:c r="S2508" s="8" t="n">
        <x:v>95</x:v>
      </x:c>
      <x:c r="T2508" s="2"/>
      <x:c r="U2508" s="2" t="str"/>
      <x:c r="V2508" s="2" t="str">
        <x:v>2021-10-08</x:v>
      </x:c>
      <x:c r="W2508" s="2" t="str"/>
      <x:c r="X2508" s="2" t="str">
        <x:v>종결 근거 보관</x:v>
      </x:c>
      <x:c r="Y2508" s="2" t="str">
        <x:v>ad210cd9ec132cfd447541c8984dc53d30aff0f4fb2dc92d254d49275cc55976</x:v>
      </x:c>
      <x:c r="Z2508" s="2" t="n">
        <x:f>SUBTOTAL(103,A2508)</x:f>
        <x:v>1</x:v>
      </x:c>
      <x:c r="AA2508" s="2" t="str">
        <x:f>IF(K2508&lt;&gt;"미종결 표시","대상 아님",IF(N2508="","신청일 확인",IF(NOT(ISNUMBER('종합 현황'!$H$5)),"관찰기준 확인",IF('종합 현황'!$H$5&lt;1,"관찰기준 확인",IF(N2508&gt;'종합 현황'!$H$5,"내부 관찰 대상","내부 관찰일 이하")))))</x:f>
        <x:v>대상 아님</x:v>
      </x:c>
      <x:c r="AB2508" s="2" t="str">
        <x:v>2020-12-02 15:32 - 신청
2021-01-27 10:19 - 문서재제출요청
2021-01-28 13:47 - 신청
2021-03-25 13:33 - 문서재제출요청
2021-03-25 14:54 - 신청
2021-05-18 14:13 - 문서재제출요청
2021-05-20 14:04 - 신청
2021-05-26 20:26 - 문서재제출요청
2021-05-26 21:00 - 신청
2021-05-27 14:45 - 문서재제출요청
2021-05-27 15:40 - 신청
2021-07-08 17:41 - 보완요청
2021-07-13 16:08 - 신청
2021-08-03 17:06 - 문서재제출요청
2021-08-19 10:05 - 신청
2021-09-27 10:51 - 검토승인
2021-10-08 16:57 - 심의승인</x:v>
      </x:c>
    </x:row>
    <x:row r="2509" ht="42" customHeight="1">
      <x:c r="A2509" s="2" t="str">
        <x:v>b262f34e3e3f1339defdd97d</x:v>
      </x:c>
      <x:c r="B2509" s="2" t="str">
        <x:v>감축량 인증</x:v>
      </x:c>
      <x:c r="C2509" s="2" t="str">
        <x:v>국외</x:v>
      </x:c>
      <x:c r="D2509" s="7" t="str">
        <x:v>안전한 식수 공급을 위한 정수기 보급 사업 : CPA 60(한국 지원)</x:v>
      </x:c>
      <x:c r="E2509" s="2" t="str">
        <x:v>94</x:v>
      </x:c>
      <x:c r="F2509" s="2" t="str">
        <x:v>2020-12-02</x:v>
      </x:c>
      <x:c r="G2509" s="2" t="str">
        <x:v>2020</x:v>
      </x:c>
      <x:c r="H2509" s="2" t="str">
        <x:v>12</x:v>
      </x:c>
      <x:c r="I2509" s="2" t="str">
        <x:v>심의승인</x:v>
      </x:c>
      <x:c r="J2509" s="2" t="str">
        <x:v>심의승인</x:v>
      </x:c>
      <x:c r="K2509" s="2" t="str">
        <x:f>IF(OR(J2509="심의승인",J2509="반려",J2509="반려완료",J2509="심의완료"),"종결 표시",IF(OR(J2509="기후부협의",J2509="문서재제출요청",J2509="보류",J2509="보완요청",J2509="보완완료",J2509="평가중",J2509="반려요청",J2509="평가필요",LEFT(J2509,5)="보완요청("),"미종결 표시","상태 확인 필요"))</x:f>
        <x:v>종결 표시</x:v>
      </x:c>
      <x:c r="L2509" s="2" t="str">
        <x:v>KECM</x:v>
      </x:c>
      <x:c r="M2509" s="2"/>
      <x:c r="N2509" s="8" t="n">
        <x:f>DATE(2026,10,15)-DATE(2020,12,2)</x:f>
        <x:v>2143</x:v>
      </x:c>
      <x:c r="O2509" s="2"/>
      <x:c r="P2509" s="2"/>
      <x:c r="Q2509" s="2" t="str">
        <x:v>산업전환_외부사업관리Tool_260707_이너젠 수정_LJY_261013.xlsx</x:v>
      </x:c>
      <x:c r="R2509" s="2" t="str">
        <x:v>국외인증</x:v>
      </x:c>
      <x:c r="S2509" s="8" t="n">
        <x:v>96</x:v>
      </x:c>
      <x:c r="T2509" s="2"/>
      <x:c r="U2509" s="2" t="str"/>
      <x:c r="V2509" s="2" t="str">
        <x:v>2021-10-08</x:v>
      </x:c>
      <x:c r="W2509" s="2" t="str"/>
      <x:c r="X2509" s="2" t="str">
        <x:v>종결 근거 보관</x:v>
      </x:c>
      <x:c r="Y2509" s="2" t="str">
        <x:v>ad210cd9ec132cfd447541c8984dc53d30aff0f4fb2dc92d254d49275cc55976</x:v>
      </x:c>
      <x:c r="Z2509" s="2" t="n">
        <x:f>SUBTOTAL(103,A2509)</x:f>
        <x:v>1</x:v>
      </x:c>
      <x:c r="AA2509" s="2" t="str">
        <x:f>IF(K2509&lt;&gt;"미종결 표시","대상 아님",IF(N2509="","신청일 확인",IF(NOT(ISNUMBER('종합 현황'!$H$5)),"관찰기준 확인",IF('종합 현황'!$H$5&lt;1,"관찰기준 확인",IF(N2509&gt;'종합 현황'!$H$5,"내부 관찰 대상","내부 관찰일 이하")))))</x:f>
        <x:v>대상 아님</x:v>
      </x:c>
      <x:c r="AB2509" s="2" t="str">
        <x:v>2020-12-02 15:33 - 신청
2021-01-27 10:39 - 문서재제출요청
2021-01-28 13:47 - 신청
2021-03-25 13:34 - 문서재제출요청
2021-03-25 14:54 - 신청
2021-05-18 14:18 - 문서재제출요청
2021-05-20 14:05 - 신청
2021-05-27 14:46 - 문서재제출요청
2021-05-27 15:40 - 신청
2021-07-08 17:41 - 보완요청
2021-07-13 16:08 - 신청
2021-08-03 17:06 - 문서재제출요청
2021-08-19 10:05 - 신청
2021-09-27 10:45 - 검토승인
2021-10-08 16:58 - 심의승인</x:v>
      </x:c>
    </x:row>
    <x:row r="2510" ht="42" customHeight="1">
      <x:c r="A2510" s="2" t="str">
        <x:v>80fbd5482b3621ec806d3524</x:v>
      </x:c>
      <x:c r="B2510" s="2" t="str">
        <x:v>감축량 인증</x:v>
      </x:c>
      <x:c r="C2510" s="2" t="str">
        <x:v>국외</x:v>
      </x:c>
      <x:c r="D2510" s="7" t="str">
        <x:v>안전한 식수 공급을 위한 정수기 보급 사업 : CPA 61(한국 지원)</x:v>
      </x:c>
      <x:c r="E2510" s="2" t="str">
        <x:v>95</x:v>
      </x:c>
      <x:c r="F2510" s="2" t="str">
        <x:v>2020-12-02</x:v>
      </x:c>
      <x:c r="G2510" s="2" t="str">
        <x:v>2020</x:v>
      </x:c>
      <x:c r="H2510" s="2" t="str">
        <x:v>12</x:v>
      </x:c>
      <x:c r="I2510" s="2" t="str">
        <x:v>심의승인</x:v>
      </x:c>
      <x:c r="J2510" s="2" t="str">
        <x:v>심의승인</x:v>
      </x:c>
      <x:c r="K2510" s="2" t="str">
        <x:f>IF(OR(J2510="심의승인",J2510="반려",J2510="반려완료",J2510="심의완료"),"종결 표시",IF(OR(J2510="기후부협의",J2510="문서재제출요청",J2510="보류",J2510="보완요청",J2510="보완완료",J2510="평가중",J2510="반려요청",J2510="평가필요",LEFT(J2510,5)="보완요청("),"미종결 표시","상태 확인 필요"))</x:f>
        <x:v>종결 표시</x:v>
      </x:c>
      <x:c r="L2510" s="2" t="str">
        <x:v>KECM</x:v>
      </x:c>
      <x:c r="M2510" s="2"/>
      <x:c r="N2510" s="8" t="n">
        <x:f>DATE(2026,10,15)-DATE(2020,12,2)</x:f>
        <x:v>2143</x:v>
      </x:c>
      <x:c r="O2510" s="2"/>
      <x:c r="P2510" s="2"/>
      <x:c r="Q2510" s="2" t="str">
        <x:v>산업전환_외부사업관리Tool_260707_이너젠 수정_LJY_261013.xlsx</x:v>
      </x:c>
      <x:c r="R2510" s="2" t="str">
        <x:v>국외인증</x:v>
      </x:c>
      <x:c r="S2510" s="8" t="n">
        <x:v>97</x:v>
      </x:c>
      <x:c r="T2510" s="2"/>
      <x:c r="U2510" s="2" t="str"/>
      <x:c r="V2510" s="2" t="str">
        <x:v>2021-10-08</x:v>
      </x:c>
      <x:c r="W2510" s="2" t="str"/>
      <x:c r="X2510" s="2" t="str">
        <x:v>종결 근거 보관</x:v>
      </x:c>
      <x:c r="Y2510" s="2" t="str">
        <x:v>ad210cd9ec132cfd447541c8984dc53d30aff0f4fb2dc92d254d49275cc55976</x:v>
      </x:c>
      <x:c r="Z2510" s="2" t="n">
        <x:f>SUBTOTAL(103,A2510)</x:f>
        <x:v>1</x:v>
      </x:c>
      <x:c r="AA2510" s="2" t="str">
        <x:f>IF(K2510&lt;&gt;"미종결 표시","대상 아님",IF(N2510="","신청일 확인",IF(NOT(ISNUMBER('종합 현황'!$H$5)),"관찰기준 확인",IF('종합 현황'!$H$5&lt;1,"관찰기준 확인",IF(N2510&gt;'종합 현황'!$H$5,"내부 관찰 대상","내부 관찰일 이하")))))</x:f>
        <x:v>대상 아님</x:v>
      </x:c>
      <x:c r="AB2510" s="2" t="str">
        <x:v>2020-12-02 15:35 - 신청
2021-01-27 10:20 - 문서재제출요청
2021-01-28 13:48 - 신청
2021-03-25 13:34 - 문서재제출요청
2021-03-25 14:54 - 신청
2021-05-18 14:18 - 문서재제출요청
2021-05-20 14:05 - 신청
2021-05-27 14:46 - 문서재제출요청
2021-05-27 15:41 - 신청
2021-07-08 17:41 - 보완요청
2021-07-13 16:08 - 신청
2021-08-03 17:07 - 문서재제출요청
2021-08-19 10:05 - 신청
2021-09-27 10:44 - 검토승인
2021-10-08 16:59 - 심의승인</x:v>
      </x:c>
    </x:row>
    <x:row r="2511" ht="42" customHeight="1">
      <x:c r="A2511" s="2" t="str">
        <x:v>504801fa79fdcb2a9ae6abb5</x:v>
      </x:c>
      <x:c r="B2511" s="2" t="str">
        <x:v>감축량 인증</x:v>
      </x:c>
      <x:c r="C2511" s="2" t="str">
        <x:v>국외</x:v>
      </x:c>
      <x:c r="D2511" s="7" t="str">
        <x:v>안전한 식수 공급을 위한 정수기 보급 사업 : CPA 62(한국 지원)</x:v>
      </x:c>
      <x:c r="E2511" s="2" t="str">
        <x:v>96</x:v>
      </x:c>
      <x:c r="F2511" s="2" t="str">
        <x:v>2020-12-02</x:v>
      </x:c>
      <x:c r="G2511" s="2" t="str">
        <x:v>2020</x:v>
      </x:c>
      <x:c r="H2511" s="2" t="str">
        <x:v>12</x:v>
      </x:c>
      <x:c r="I2511" s="2" t="str">
        <x:v>심의승인</x:v>
      </x:c>
      <x:c r="J2511" s="2" t="str">
        <x:v>심의승인</x:v>
      </x:c>
      <x:c r="K2511" s="2" t="str">
        <x:f>IF(OR(J2511="심의승인",J2511="반려",J2511="반려완료",J2511="심의완료"),"종결 표시",IF(OR(J2511="기후부협의",J2511="문서재제출요청",J2511="보류",J2511="보완요청",J2511="보완완료",J2511="평가중",J2511="반려요청",J2511="평가필요",LEFT(J2511,5)="보완요청("),"미종결 표시","상태 확인 필요"))</x:f>
        <x:v>종결 표시</x:v>
      </x:c>
      <x:c r="L2511" s="2" t="str">
        <x:v>KECM</x:v>
      </x:c>
      <x:c r="M2511" s="2"/>
      <x:c r="N2511" s="8" t="n">
        <x:f>DATE(2026,10,15)-DATE(2020,12,2)</x:f>
        <x:v>2143</x:v>
      </x:c>
      <x:c r="O2511" s="2"/>
      <x:c r="P2511" s="2"/>
      <x:c r="Q2511" s="2" t="str">
        <x:v>산업전환_외부사업관리Tool_260707_이너젠 수정_LJY_261013.xlsx</x:v>
      </x:c>
      <x:c r="R2511" s="2" t="str">
        <x:v>국외인증</x:v>
      </x:c>
      <x:c r="S2511" s="8" t="n">
        <x:v>98</x:v>
      </x:c>
      <x:c r="T2511" s="2"/>
      <x:c r="U2511" s="2" t="str"/>
      <x:c r="V2511" s="2" t="str">
        <x:v>2021-10-08</x:v>
      </x:c>
      <x:c r="W2511" s="2" t="str"/>
      <x:c r="X2511" s="2" t="str">
        <x:v>종결 근거 보관</x:v>
      </x:c>
      <x:c r="Y2511" s="2" t="str">
        <x:v>ad210cd9ec132cfd447541c8984dc53d30aff0f4fb2dc92d254d49275cc55976</x:v>
      </x:c>
      <x:c r="Z2511" s="2" t="n">
        <x:f>SUBTOTAL(103,A2511)</x:f>
        <x:v>1</x:v>
      </x:c>
      <x:c r="AA2511" s="2" t="str">
        <x:f>IF(K2511&lt;&gt;"미종결 표시","대상 아님",IF(N2511="","신청일 확인",IF(NOT(ISNUMBER('종합 현황'!$H$5)),"관찰기준 확인",IF('종합 현황'!$H$5&lt;1,"관찰기준 확인",IF(N2511&gt;'종합 현황'!$H$5,"내부 관찰 대상","내부 관찰일 이하")))))</x:f>
        <x:v>대상 아님</x:v>
      </x:c>
      <x:c r="AB2511" s="2" t="str">
        <x:v>2020-12-02 15:36 - 신청
2021-01-27 10:39 - 문서재제출요청
2021-01-28 13:48 - 신청
2021-03-25 13:35 - 문서재제출요청
2021-03-25 14:55 - 신청
2021-05-18 14:19 - 문서재제출요청
2021-05-20 14:05 - 신청
2021-05-26 20:26 - 문서재제출요청
2021-05-26 21:01 - 신청
2021-05-27 14:47 - 문서재제출요청
2021-05-27 15:42 - 신청
2021-07-08 17:42 - 보완요청
2021-07-13 16:07 - 신청
2021-08-03 17:07 - 문서재제출요청
2021-08-19 10:05 - 신청
2021-09-27 10:44 - 검토승인
2021-10-08 17:01 - 심의승인</x:v>
      </x:c>
    </x:row>
    <x:row r="2512" ht="42" customHeight="1">
      <x:c r="A2512" s="2" t="str">
        <x:v>25bab5dc6c2cceac156f88bb</x:v>
      </x:c>
      <x:c r="B2512" s="2" t="str">
        <x:v>감축량 인증</x:v>
      </x:c>
      <x:c r="C2512" s="2" t="str">
        <x:v>국외</x:v>
      </x:c>
      <x:c r="D2512" s="7" t="str">
        <x:v>안전한 식수 공급을 위한 정수기 보급 사업 : CPA 63(한국 지원)</x:v>
      </x:c>
      <x:c r="E2512" s="2" t="str">
        <x:v>97</x:v>
      </x:c>
      <x:c r="F2512" s="2" t="str">
        <x:v>2020-12-02</x:v>
      </x:c>
      <x:c r="G2512" s="2" t="str">
        <x:v>2020</x:v>
      </x:c>
      <x:c r="H2512" s="2" t="str">
        <x:v>12</x:v>
      </x:c>
      <x:c r="I2512" s="2" t="str">
        <x:v>심의승인</x:v>
      </x:c>
      <x:c r="J2512" s="2" t="str">
        <x:v>심의승인</x:v>
      </x:c>
      <x:c r="K2512" s="2" t="str">
        <x:f>IF(OR(J2512="심의승인",J2512="반려",J2512="반려완료",J2512="심의완료"),"종결 표시",IF(OR(J2512="기후부협의",J2512="문서재제출요청",J2512="보류",J2512="보완요청",J2512="보완완료",J2512="평가중",J2512="반려요청",J2512="평가필요",LEFT(J2512,5)="보완요청("),"미종결 표시","상태 확인 필요"))</x:f>
        <x:v>종결 표시</x:v>
      </x:c>
      <x:c r="L2512" s="2" t="str">
        <x:v>KECM</x:v>
      </x:c>
      <x:c r="M2512" s="2"/>
      <x:c r="N2512" s="8" t="n">
        <x:f>DATE(2026,10,15)-DATE(2020,12,2)</x:f>
        <x:v>2143</x:v>
      </x:c>
      <x:c r="O2512" s="2"/>
      <x:c r="P2512" s="2"/>
      <x:c r="Q2512" s="2" t="str">
        <x:v>산업전환_외부사업관리Tool_260707_이너젠 수정_LJY_261013.xlsx</x:v>
      </x:c>
      <x:c r="R2512" s="2" t="str">
        <x:v>국외인증</x:v>
      </x:c>
      <x:c r="S2512" s="8" t="n">
        <x:v>99</x:v>
      </x:c>
      <x:c r="T2512" s="2"/>
      <x:c r="U2512" s="2" t="str"/>
      <x:c r="V2512" s="2" t="str">
        <x:v>2021-10-08</x:v>
      </x:c>
      <x:c r="W2512" s="2" t="str"/>
      <x:c r="X2512" s="2" t="str">
        <x:v>종결 근거 보관</x:v>
      </x:c>
      <x:c r="Y2512" s="2" t="str">
        <x:v>ad210cd9ec132cfd447541c8984dc53d30aff0f4fb2dc92d254d49275cc55976</x:v>
      </x:c>
      <x:c r="Z2512" s="2" t="n">
        <x:f>SUBTOTAL(103,A2512)</x:f>
        <x:v>1</x:v>
      </x:c>
      <x:c r="AA2512" s="2" t="str">
        <x:f>IF(K2512&lt;&gt;"미종결 표시","대상 아님",IF(N2512="","신청일 확인",IF(NOT(ISNUMBER('종합 현황'!$H$5)),"관찰기준 확인",IF('종합 현황'!$H$5&lt;1,"관찰기준 확인",IF(N2512&gt;'종합 현황'!$H$5,"내부 관찰 대상","내부 관찰일 이하")))))</x:f>
        <x:v>대상 아님</x:v>
      </x:c>
      <x:c r="AB2512" s="2" t="str">
        <x:v>2020-12-02 15:36 - 신청
2021-01-27 10:21 - 문서재제출요청
2021-01-28 13:49 - 신청
2021-03-25 13:35 - 문서재제출요청
2021-03-25 14:55 - 신청
2021-05-18 14:19 - 문서재제출요청
2021-05-20 14:05 - 신청
2021-05-26 20:27 - 문서재제출요청
2021-05-26 21:01 - 신청
2021-05-27 14:48 - 문서재제출요청
2021-05-27 15:42 - 신청
2021-07-08 17:42 - 보완요청
2021-07-13 16:07 - 신청
2021-08-03 17:07 - 문서재제출요청
2021-08-19 10:06 - 신청
2021-09-27 10:44 - 검토승인
2021-10-08 17:02 - 심의승인</x:v>
      </x:c>
    </x:row>
    <x:row r="2513" ht="42" customHeight="1">
      <x:c r="A2513" s="2" t="str">
        <x:v>5af27404099b38ec6ef1b789</x:v>
      </x:c>
      <x:c r="B2513" s="2" t="str">
        <x:v>감축량 인증</x:v>
      </x:c>
      <x:c r="C2513" s="2" t="str">
        <x:v>국외</x:v>
      </x:c>
      <x:c r="D2513" s="7" t="str">
        <x:v>안전한 식수 공급을 위한 정수기 보급 사업 : CPA 64(한국 지원)</x:v>
      </x:c>
      <x:c r="E2513" s="2" t="str">
        <x:v>98</x:v>
      </x:c>
      <x:c r="F2513" s="2" t="str">
        <x:v>2020-12-02</x:v>
      </x:c>
      <x:c r="G2513" s="2" t="str">
        <x:v>2020</x:v>
      </x:c>
      <x:c r="H2513" s="2" t="str">
        <x:v>12</x:v>
      </x:c>
      <x:c r="I2513" s="2" t="str">
        <x:v>심의승인</x:v>
      </x:c>
      <x:c r="J2513" s="2" t="str">
        <x:v>심의승인</x:v>
      </x:c>
      <x:c r="K2513" s="2" t="str">
        <x:f>IF(OR(J2513="심의승인",J2513="반려",J2513="반려완료",J2513="심의완료"),"종결 표시",IF(OR(J2513="기후부협의",J2513="문서재제출요청",J2513="보류",J2513="보완요청",J2513="보완완료",J2513="평가중",J2513="반려요청",J2513="평가필요",LEFT(J2513,5)="보완요청("),"미종결 표시","상태 확인 필요"))</x:f>
        <x:v>종결 표시</x:v>
      </x:c>
      <x:c r="L2513" s="2" t="str">
        <x:v>KECM</x:v>
      </x:c>
      <x:c r="M2513" s="2"/>
      <x:c r="N2513" s="8" t="n">
        <x:f>DATE(2026,10,15)-DATE(2020,12,2)</x:f>
        <x:v>2143</x:v>
      </x:c>
      <x:c r="O2513" s="2"/>
      <x:c r="P2513" s="2"/>
      <x:c r="Q2513" s="2" t="str">
        <x:v>산업전환_외부사업관리Tool_260707_이너젠 수정_LJY_261013.xlsx</x:v>
      </x:c>
      <x:c r="R2513" s="2" t="str">
        <x:v>국외인증</x:v>
      </x:c>
      <x:c r="S2513" s="8" t="n">
        <x:v>100</x:v>
      </x:c>
      <x:c r="T2513" s="2"/>
      <x:c r="U2513" s="2" t="str"/>
      <x:c r="V2513" s="2" t="str">
        <x:v>2021-10-08</x:v>
      </x:c>
      <x:c r="W2513" s="2" t="str"/>
      <x:c r="X2513" s="2" t="str">
        <x:v>종결 근거 보관</x:v>
      </x:c>
      <x:c r="Y2513" s="2" t="str">
        <x:v>ad210cd9ec132cfd447541c8984dc53d30aff0f4fb2dc92d254d49275cc55976</x:v>
      </x:c>
      <x:c r="Z2513" s="2" t="n">
        <x:f>SUBTOTAL(103,A2513)</x:f>
        <x:v>1</x:v>
      </x:c>
      <x:c r="AA2513" s="2" t="str">
        <x:f>IF(K2513&lt;&gt;"미종결 표시","대상 아님",IF(N2513="","신청일 확인",IF(NOT(ISNUMBER('종합 현황'!$H$5)),"관찰기준 확인",IF('종합 현황'!$H$5&lt;1,"관찰기준 확인",IF(N2513&gt;'종합 현황'!$H$5,"내부 관찰 대상","내부 관찰일 이하")))))</x:f>
        <x:v>대상 아님</x:v>
      </x:c>
      <x:c r="AB2513" s="2" t="str">
        <x:v>2020-12-02 15:36 - 신청
2021-01-27 10:38 - 문서재제출요청
2021-01-28 13:49 - 신청
2021-03-25 13:36 - 문서재제출요청
2021-03-25 14:55 - 신청
2021-05-18 14:20 - 문서재제출요청
2021-05-20 14:06 - 신청
2021-05-27 14:48 - 문서재제출요청
2021-05-27 15:43 - 신청
2021-07-08 17:42 - 보완요청
2021-07-13 16:06 - 신청
2021-08-03 17:08 - 문서재제출요청
2021-08-19 10:06 - 신청
2021-09-27 10:43 - 검토승인
2021-10-08 17:03 - 심의승인</x:v>
      </x:c>
    </x:row>
    <x:row r="2514" ht="42" customHeight="1">
      <x:c r="A2514" s="2" t="str">
        <x:v>5e62b1e249f44f0c8aa84b5b</x:v>
      </x:c>
      <x:c r="B2514" s="2" t="str">
        <x:v>감축량 인증</x:v>
      </x:c>
      <x:c r="C2514" s="2" t="str">
        <x:v>국외</x:v>
      </x:c>
      <x:c r="D2514" s="7" t="str">
        <x:v>안전한 식수 공급을 위한 정수기 보급 사업 : CPA 65(한국 지원)</x:v>
      </x:c>
      <x:c r="E2514" s="2" t="str">
        <x:v>99</x:v>
      </x:c>
      <x:c r="F2514" s="2" t="str">
        <x:v>2020-12-02</x:v>
      </x:c>
      <x:c r="G2514" s="2" t="str">
        <x:v>2020</x:v>
      </x:c>
      <x:c r="H2514" s="2" t="str">
        <x:v>12</x:v>
      </x:c>
      <x:c r="I2514" s="2" t="str">
        <x:v>심의승인</x:v>
      </x:c>
      <x:c r="J2514" s="2" t="str">
        <x:v>심의승인</x:v>
      </x:c>
      <x:c r="K2514" s="2" t="str">
        <x:f>IF(OR(J2514="심의승인",J2514="반려",J2514="반려완료",J2514="심의완료"),"종결 표시",IF(OR(J2514="기후부협의",J2514="문서재제출요청",J2514="보류",J2514="보완요청",J2514="보완완료",J2514="평가중",J2514="반려요청",J2514="평가필요",LEFT(J2514,5)="보완요청("),"미종결 표시","상태 확인 필요"))</x:f>
        <x:v>종결 표시</x:v>
      </x:c>
      <x:c r="L2514" s="2" t="str">
        <x:v>KECM</x:v>
      </x:c>
      <x:c r="M2514" s="2"/>
      <x:c r="N2514" s="8" t="n">
        <x:f>DATE(2026,10,15)-DATE(2020,12,2)</x:f>
        <x:v>2143</x:v>
      </x:c>
      <x:c r="O2514" s="2"/>
      <x:c r="P2514" s="2"/>
      <x:c r="Q2514" s="2" t="str">
        <x:v>산업전환_외부사업관리Tool_260707_이너젠 수정_LJY_261013.xlsx</x:v>
      </x:c>
      <x:c r="R2514" s="2" t="str">
        <x:v>국외인증</x:v>
      </x:c>
      <x:c r="S2514" s="8" t="n">
        <x:v>101</x:v>
      </x:c>
      <x:c r="T2514" s="2"/>
      <x:c r="U2514" s="2" t="str"/>
      <x:c r="V2514" s="2" t="str">
        <x:v>2021-10-08</x:v>
      </x:c>
      <x:c r="W2514" s="2" t="str"/>
      <x:c r="X2514" s="2" t="str">
        <x:v>종결 근거 보관</x:v>
      </x:c>
      <x:c r="Y2514" s="2" t="str">
        <x:v>ad210cd9ec132cfd447541c8984dc53d30aff0f4fb2dc92d254d49275cc55976</x:v>
      </x:c>
      <x:c r="Z2514" s="2" t="n">
        <x:f>SUBTOTAL(103,A2514)</x:f>
        <x:v>1</x:v>
      </x:c>
      <x:c r="AA2514" s="2" t="str">
        <x:f>IF(K2514&lt;&gt;"미종결 표시","대상 아님",IF(N2514="","신청일 확인",IF(NOT(ISNUMBER('종합 현황'!$H$5)),"관찰기준 확인",IF('종합 현황'!$H$5&lt;1,"관찰기준 확인",IF(N2514&gt;'종합 현황'!$H$5,"내부 관찰 대상","내부 관찰일 이하")))))</x:f>
        <x:v>대상 아님</x:v>
      </x:c>
      <x:c r="AB2514" s="2" t="str">
        <x:v>2020-12-02 15:36 - 신청
2021-01-27 10:21 - 문서재제출요청
2021-01-28 13:49 - 신청
2021-03-25 13:41 - 문서재제출요청
2021-03-25 14:55 - 신청
2021-05-18 14:22 - 문서재제출요청
2021-05-20 14:06 - 신청
2021-05-27 14:48 - 문서재제출요청
2021-05-27 15:45 - 신청
2021-07-08 17:43 - 보완요청
2021-07-13 16:06 - 신청
2021-08-03 17:08 - 문서재제출요청
2021-08-19 10:06 - 신청
2021-09-27 10:43 - 검토승인
2021-10-08 17:04 - 심의승인</x:v>
      </x:c>
    </x:row>
    <x:row r="2515" ht="42" customHeight="1">
      <x:c r="A2515" s="2" t="str">
        <x:v>3245269ef87f7fbab96f3aa9</x:v>
      </x:c>
      <x:c r="B2515" s="2" t="str">
        <x:v>감축량 인증</x:v>
      </x:c>
      <x:c r="C2515" s="2" t="str">
        <x:v>국외</x:v>
      </x:c>
      <x:c r="D2515" s="7" t="str">
        <x:v>안전한 식수 공급을 위한 정수기 보급 사업 : CPA 66(한국 지원)</x:v>
      </x:c>
      <x:c r="E2515" s="2" t="str">
        <x:v>100</x:v>
      </x:c>
      <x:c r="F2515" s="2" t="str">
        <x:v>2020-12-02</x:v>
      </x:c>
      <x:c r="G2515" s="2" t="str">
        <x:v>2020</x:v>
      </x:c>
      <x:c r="H2515" s="2" t="str">
        <x:v>12</x:v>
      </x:c>
      <x:c r="I2515" s="2" t="str">
        <x:v>심의승인</x:v>
      </x:c>
      <x:c r="J2515" s="2" t="str">
        <x:v>심의승인</x:v>
      </x:c>
      <x:c r="K2515" s="2" t="str">
        <x:f>IF(OR(J2515="심의승인",J2515="반려",J2515="반려완료",J2515="심의완료"),"종결 표시",IF(OR(J2515="기후부협의",J2515="문서재제출요청",J2515="보류",J2515="보완요청",J2515="보완완료",J2515="평가중",J2515="반려요청",J2515="평가필요",LEFT(J2515,5)="보완요청("),"미종결 표시","상태 확인 필요"))</x:f>
        <x:v>종결 표시</x:v>
      </x:c>
      <x:c r="L2515" s="2" t="str">
        <x:v>KECM</x:v>
      </x:c>
      <x:c r="M2515" s="2"/>
      <x:c r="N2515" s="8" t="n">
        <x:f>DATE(2026,10,15)-DATE(2020,12,2)</x:f>
        <x:v>2143</x:v>
      </x:c>
      <x:c r="O2515" s="2"/>
      <x:c r="P2515" s="2"/>
      <x:c r="Q2515" s="2" t="str">
        <x:v>산업전환_외부사업관리Tool_260707_이너젠 수정_LJY_261013.xlsx</x:v>
      </x:c>
      <x:c r="R2515" s="2" t="str">
        <x:v>국외인증</x:v>
      </x:c>
      <x:c r="S2515" s="8" t="n">
        <x:v>102</x:v>
      </x:c>
      <x:c r="T2515" s="2"/>
      <x:c r="U2515" s="2" t="str"/>
      <x:c r="V2515" s="2" t="str">
        <x:v>2021-10-08</x:v>
      </x:c>
      <x:c r="W2515" s="2" t="str"/>
      <x:c r="X2515" s="2" t="str">
        <x:v>종결 근거 보관</x:v>
      </x:c>
      <x:c r="Y2515" s="2" t="str">
        <x:v>ad210cd9ec132cfd447541c8984dc53d30aff0f4fb2dc92d254d49275cc55976</x:v>
      </x:c>
      <x:c r="Z2515" s="2" t="n">
        <x:f>SUBTOTAL(103,A2515)</x:f>
        <x:v>1</x:v>
      </x:c>
      <x:c r="AA2515" s="2" t="str">
        <x:f>IF(K2515&lt;&gt;"미종결 표시","대상 아님",IF(N2515="","신청일 확인",IF(NOT(ISNUMBER('종합 현황'!$H$5)),"관찰기준 확인",IF('종합 현황'!$H$5&lt;1,"관찰기준 확인",IF(N2515&gt;'종합 현황'!$H$5,"내부 관찰 대상","내부 관찰일 이하")))))</x:f>
        <x:v>대상 아님</x:v>
      </x:c>
      <x:c r="AB2515" s="2" t="str">
        <x:v>2020-12-02 15:37 - 신청
2021-01-27 10:38 - 문서재제출요청
2021-01-28 13:49 - 신청
2021-03-25 13:41 - 문서재제출요청
2021-03-25 14:56 - 신청
2021-05-18 14:23 - 문서재제출요청
2021-05-20 14:06 - 신청
2021-05-27 14:54 - 문서재제출요청
2021-05-27 14:54 - 문서재제출요청
2021-05-27 15:45 - 신청
2021-07-08 17:43 - 보완요청
2021-07-13 16:05 - 신청
2021-08-03 17:08 - 문서재제출요청
2021-08-19 10:07 - 신청
2021-08-19 14:12 - 문서재제출요청
2021-08-19 14:25 - 신청
2021-09-27 10:08 - 검토승인
2021-10-08 17:05 - 심의승인</x:v>
      </x:c>
    </x:row>
    <x:row r="2516" ht="42" customHeight="1">
      <x:c r="A2516" s="2" t="str">
        <x:v>645fa82b13dbf216a3fc3a91</x:v>
      </x:c>
      <x:c r="B2516" s="2" t="str">
        <x:v>감축량 인증</x:v>
      </x:c>
      <x:c r="C2516" s="2" t="str">
        <x:v>국외</x:v>
      </x:c>
      <x:c r="D2516" s="7" t="str">
        <x:v>안전한 식수 공급을 위한 정수기 보급 사업 : CPA 67(한국 지원)</x:v>
      </x:c>
      <x:c r="E2516" s="2" t="str">
        <x:v>101</x:v>
      </x:c>
      <x:c r="F2516" s="2" t="str">
        <x:v>2020-12-02</x:v>
      </x:c>
      <x:c r="G2516" s="2" t="str">
        <x:v>2020</x:v>
      </x:c>
      <x:c r="H2516" s="2" t="str">
        <x:v>12</x:v>
      </x:c>
      <x:c r="I2516" s="2" t="str">
        <x:v>심의승인</x:v>
      </x:c>
      <x:c r="J2516" s="2" t="str">
        <x:v>심의승인</x:v>
      </x:c>
      <x:c r="K2516" s="2" t="str">
        <x:f>IF(OR(J2516="심의승인",J2516="반려",J2516="반려완료",J2516="심의완료"),"종결 표시",IF(OR(J2516="기후부협의",J2516="문서재제출요청",J2516="보류",J2516="보완요청",J2516="보완완료",J2516="평가중",J2516="반려요청",J2516="평가필요",LEFT(J2516,5)="보완요청("),"미종결 표시","상태 확인 필요"))</x:f>
        <x:v>종결 표시</x:v>
      </x:c>
      <x:c r="L2516" s="2" t="str">
        <x:v>KECM</x:v>
      </x:c>
      <x:c r="M2516" s="2"/>
      <x:c r="N2516" s="8" t="n">
        <x:f>DATE(2026,10,15)-DATE(2020,12,2)</x:f>
        <x:v>2143</x:v>
      </x:c>
      <x:c r="O2516" s="2"/>
      <x:c r="P2516" s="2"/>
      <x:c r="Q2516" s="2" t="str">
        <x:v>산업전환_외부사업관리Tool_260707_이너젠 수정_LJY_261013.xlsx</x:v>
      </x:c>
      <x:c r="R2516" s="2" t="str">
        <x:v>국외인증</x:v>
      </x:c>
      <x:c r="S2516" s="8" t="n">
        <x:v>103</x:v>
      </x:c>
      <x:c r="T2516" s="2"/>
      <x:c r="U2516" s="2" t="str"/>
      <x:c r="V2516" s="2" t="str">
        <x:v>2021-10-08</x:v>
      </x:c>
      <x:c r="W2516" s="2" t="str"/>
      <x:c r="X2516" s="2" t="str">
        <x:v>종결 근거 보관</x:v>
      </x:c>
      <x:c r="Y2516" s="2" t="str">
        <x:v>ad210cd9ec132cfd447541c8984dc53d30aff0f4fb2dc92d254d49275cc55976</x:v>
      </x:c>
      <x:c r="Z2516" s="2" t="n">
        <x:f>SUBTOTAL(103,A2516)</x:f>
        <x:v>1</x:v>
      </x:c>
      <x:c r="AA2516" s="2" t="str">
        <x:f>IF(K2516&lt;&gt;"미종결 표시","대상 아님",IF(N2516="","신청일 확인",IF(NOT(ISNUMBER('종합 현황'!$H$5)),"관찰기준 확인",IF('종합 현황'!$H$5&lt;1,"관찰기준 확인",IF(N2516&gt;'종합 현황'!$H$5,"내부 관찰 대상","내부 관찰일 이하")))))</x:f>
        <x:v>대상 아님</x:v>
      </x:c>
      <x:c r="AB2516" s="2" t="str">
        <x:v>2020-12-02 15:37 - 신청
2021-01-27 10:21 - 문서재제출요청
2021-01-28 13:50 - 신청
2021-03-25 13:42 - 문서재제출요청
2021-03-25 14:56 - 신청
2021-05-18 14:23 - 문서재제출요청
2021-05-20 14:07 - 신청
2021-05-26 20:28 - 문서재제출요청
2021-05-26 21:02 - 신청
2021-05-27 14:54 - 문서재제출요청
2021-05-27 15:46 - 신청
2021-07-08 17:43 - 보완요청
2021-07-13 16:05 - 신청
2021-08-03 17:08 - 문서재제출요청
2021-08-19 10:07 - 신청
2021-09-27 10:40 - 검토승인
2021-10-08 17:06 - 심의승인</x:v>
      </x:c>
    </x:row>
    <x:row r="2517" ht="42" customHeight="1">
      <x:c r="A2517" s="2" t="str">
        <x:v>e71eae197f982ddfa8b1c912</x:v>
      </x:c>
      <x:c r="B2517" s="2" t="str">
        <x:v>감축량 인증</x:v>
      </x:c>
      <x:c r="C2517" s="2" t="str">
        <x:v>국외</x:v>
      </x:c>
      <x:c r="D2517" s="7" t="str">
        <x:v>안전한 식수 공급을 위한 정수기 보급 사업 : CPA 68(한국 지원)</x:v>
      </x:c>
      <x:c r="E2517" s="2" t="str">
        <x:v>102</x:v>
      </x:c>
      <x:c r="F2517" s="2" t="str">
        <x:v>2020-12-02</x:v>
      </x:c>
      <x:c r="G2517" s="2" t="str">
        <x:v>2020</x:v>
      </x:c>
      <x:c r="H2517" s="2" t="str">
        <x:v>12</x:v>
      </x:c>
      <x:c r="I2517" s="2" t="str">
        <x:v>심의승인</x:v>
      </x:c>
      <x:c r="J2517" s="2" t="str">
        <x:v>심의승인</x:v>
      </x:c>
      <x:c r="K2517" s="2" t="str">
        <x:f>IF(OR(J2517="심의승인",J2517="반려",J2517="반려완료",J2517="심의완료"),"종결 표시",IF(OR(J2517="기후부협의",J2517="문서재제출요청",J2517="보류",J2517="보완요청",J2517="보완완료",J2517="평가중",J2517="반려요청",J2517="평가필요",LEFT(J2517,5)="보완요청("),"미종결 표시","상태 확인 필요"))</x:f>
        <x:v>종결 표시</x:v>
      </x:c>
      <x:c r="L2517" s="2" t="str">
        <x:v>KECM</x:v>
      </x:c>
      <x:c r="M2517" s="2"/>
      <x:c r="N2517" s="8" t="n">
        <x:f>DATE(2026,10,15)-DATE(2020,12,2)</x:f>
        <x:v>2143</x:v>
      </x:c>
      <x:c r="O2517" s="2"/>
      <x:c r="P2517" s="2"/>
      <x:c r="Q2517" s="2" t="str">
        <x:v>산업전환_외부사업관리Tool_260707_이너젠 수정_LJY_261013.xlsx</x:v>
      </x:c>
      <x:c r="R2517" s="2" t="str">
        <x:v>국외인증</x:v>
      </x:c>
      <x:c r="S2517" s="8" t="n">
        <x:v>104</x:v>
      </x:c>
      <x:c r="T2517" s="2"/>
      <x:c r="U2517" s="2" t="str"/>
      <x:c r="V2517" s="2" t="str">
        <x:v>2021-10-08</x:v>
      </x:c>
      <x:c r="W2517" s="2" t="str"/>
      <x:c r="X2517" s="2" t="str">
        <x:v>종결 근거 보관</x:v>
      </x:c>
      <x:c r="Y2517" s="2" t="str">
        <x:v>ad210cd9ec132cfd447541c8984dc53d30aff0f4fb2dc92d254d49275cc55976</x:v>
      </x:c>
      <x:c r="Z2517" s="2" t="n">
        <x:f>SUBTOTAL(103,A2517)</x:f>
        <x:v>1</x:v>
      </x:c>
      <x:c r="AA2517" s="2" t="str">
        <x:f>IF(K2517&lt;&gt;"미종결 표시","대상 아님",IF(N2517="","신청일 확인",IF(NOT(ISNUMBER('종합 현황'!$H$5)),"관찰기준 확인",IF('종합 현황'!$H$5&lt;1,"관찰기준 확인",IF(N2517&gt;'종합 현황'!$H$5,"내부 관찰 대상","내부 관찰일 이하")))))</x:f>
        <x:v>대상 아님</x:v>
      </x:c>
      <x:c r="AB2517" s="2" t="str">
        <x:v>2020-12-02 15:37 - 신청
2021-01-27 10:37 - 문서재제출요청
2021-01-28 13:51 - 신청
2021-03-25 13:42 - 문서재제출요청
2021-03-25 14:56 - 신청
2021-05-18 14:24 - 문서재제출요청
2021-05-20 14:07 - 신청
2021-05-27 14:53 - 문서재제출요청
2021-05-27 15:46 - 신청
2021-07-08 17:44 - 보완요청
2021-07-13 16:04 - 신청
2021-08-03 17:09 - 문서재제출요청
2021-08-19 10:07 - 신청
2021-09-27 10:39 - 검토승인
2021-10-08 17:07 - 심의승인</x:v>
      </x:c>
    </x:row>
    <x:row r="2518" ht="42" customHeight="1">
      <x:c r="A2518" s="2" t="str">
        <x:v>b99dfd47e583d15f7a8bd3ca</x:v>
      </x:c>
      <x:c r="B2518" s="2" t="str">
        <x:v>감축량 인증</x:v>
      </x:c>
      <x:c r="C2518" s="2" t="str">
        <x:v>국외</x:v>
      </x:c>
      <x:c r="D2518" s="7" t="str">
        <x:v>안전한 식수 공급을 위한 정수기 보급 사업 : CPA 69(한국 지원)</x:v>
      </x:c>
      <x:c r="E2518" s="2" t="str">
        <x:v>103</x:v>
      </x:c>
      <x:c r="F2518" s="2" t="str">
        <x:v>2020-12-02</x:v>
      </x:c>
      <x:c r="G2518" s="2" t="str">
        <x:v>2020</x:v>
      </x:c>
      <x:c r="H2518" s="2" t="str">
        <x:v>12</x:v>
      </x:c>
      <x:c r="I2518" s="2" t="str">
        <x:v>심의승인</x:v>
      </x:c>
      <x:c r="J2518" s="2" t="str">
        <x:v>심의승인</x:v>
      </x:c>
      <x:c r="K2518" s="2" t="str">
        <x:f>IF(OR(J2518="심의승인",J2518="반려",J2518="반려완료",J2518="심의완료"),"종결 표시",IF(OR(J2518="기후부협의",J2518="문서재제출요청",J2518="보류",J2518="보완요청",J2518="보완완료",J2518="평가중",J2518="반려요청",J2518="평가필요",LEFT(J2518,5)="보완요청("),"미종결 표시","상태 확인 필요"))</x:f>
        <x:v>종결 표시</x:v>
      </x:c>
      <x:c r="L2518" s="2" t="str">
        <x:v>KECM</x:v>
      </x:c>
      <x:c r="M2518" s="2"/>
      <x:c r="N2518" s="8" t="n">
        <x:f>DATE(2026,10,15)-DATE(2020,12,2)</x:f>
        <x:v>2143</x:v>
      </x:c>
      <x:c r="O2518" s="2"/>
      <x:c r="P2518" s="2"/>
      <x:c r="Q2518" s="2" t="str">
        <x:v>산업전환_외부사업관리Tool_260707_이너젠 수정_LJY_261013.xlsx</x:v>
      </x:c>
      <x:c r="R2518" s="2" t="str">
        <x:v>국외인증</x:v>
      </x:c>
      <x:c r="S2518" s="8" t="n">
        <x:v>105</x:v>
      </x:c>
      <x:c r="T2518" s="2"/>
      <x:c r="U2518" s="2" t="str"/>
      <x:c r="V2518" s="2" t="str">
        <x:v>2021-10-08</x:v>
      </x:c>
      <x:c r="W2518" s="2" t="str"/>
      <x:c r="X2518" s="2" t="str">
        <x:v>종결 근거 보관</x:v>
      </x:c>
      <x:c r="Y2518" s="2" t="str">
        <x:v>ad210cd9ec132cfd447541c8984dc53d30aff0f4fb2dc92d254d49275cc55976</x:v>
      </x:c>
      <x:c r="Z2518" s="2" t="n">
        <x:f>SUBTOTAL(103,A2518)</x:f>
        <x:v>1</x:v>
      </x:c>
      <x:c r="AA2518" s="2" t="str">
        <x:f>IF(K2518&lt;&gt;"미종결 표시","대상 아님",IF(N2518="","신청일 확인",IF(NOT(ISNUMBER('종합 현황'!$H$5)),"관찰기준 확인",IF('종합 현황'!$H$5&lt;1,"관찰기준 확인",IF(N2518&gt;'종합 현황'!$H$5,"내부 관찰 대상","내부 관찰일 이하")))))</x:f>
        <x:v>대상 아님</x:v>
      </x:c>
      <x:c r="AB2518" s="2" t="str">
        <x:v>2020-12-02 15:38 - 신청
2021-01-27 10:22 - 문서재제출요청
2021-01-28 13:51 - 신청
2021-03-25 13:42 - 문서재제출요청
2021-03-25 14:56 - 신청
2021-05-18 14:25 - 문서재제출요청
2021-05-20 14:07 - 신청
2021-05-27 14:53 - 문서재제출요청
2021-05-27 15:46 - 신청
2021-07-08 17:44 - 보완요청
2021-07-13 16:03 - 신청
2021-08-03 17:09 - 문서재제출요청
2021-08-19 10:07 - 신청
2021-09-27 10:28 - 검토승인
2021-10-08 17:08 - 심의승인</x:v>
      </x:c>
    </x:row>
    <x:row r="2519" ht="42" customHeight="1">
      <x:c r="A2519" s="2" t="str">
        <x:v>3c718faeb38518f3606df036</x:v>
      </x:c>
      <x:c r="B2519" s="2" t="str">
        <x:v>감축량 인증</x:v>
      </x:c>
      <x:c r="C2519" s="2" t="str">
        <x:v>국외</x:v>
      </x:c>
      <x:c r="D2519" s="7" t="str">
        <x:v>안전한 식수 공급을 위한 정수기 보급 사업 : CPA 70(한국 지원)</x:v>
      </x:c>
      <x:c r="E2519" s="2" t="str">
        <x:v>104</x:v>
      </x:c>
      <x:c r="F2519" s="2" t="str">
        <x:v>2020-12-02</x:v>
      </x:c>
      <x:c r="G2519" s="2" t="str">
        <x:v>2020</x:v>
      </x:c>
      <x:c r="H2519" s="2" t="str">
        <x:v>12</x:v>
      </x:c>
      <x:c r="I2519" s="2" t="str">
        <x:v>심의승인</x:v>
      </x:c>
      <x:c r="J2519" s="2" t="str">
        <x:v>심의승인</x:v>
      </x:c>
      <x:c r="K2519" s="2" t="str">
        <x:f>IF(OR(J2519="심의승인",J2519="반려",J2519="반려완료",J2519="심의완료"),"종결 표시",IF(OR(J2519="기후부협의",J2519="문서재제출요청",J2519="보류",J2519="보완요청",J2519="보완완료",J2519="평가중",J2519="반려요청",J2519="평가필요",LEFT(J2519,5)="보완요청("),"미종결 표시","상태 확인 필요"))</x:f>
        <x:v>종결 표시</x:v>
      </x:c>
      <x:c r="L2519" s="2" t="str">
        <x:v>KECM</x:v>
      </x:c>
      <x:c r="M2519" s="2"/>
      <x:c r="N2519" s="8" t="n">
        <x:f>DATE(2026,10,15)-DATE(2020,12,2)</x:f>
        <x:v>2143</x:v>
      </x:c>
      <x:c r="O2519" s="2"/>
      <x:c r="P2519" s="2"/>
      <x:c r="Q2519" s="2" t="str">
        <x:v>산업전환_외부사업관리Tool_260707_이너젠 수정_LJY_261013.xlsx</x:v>
      </x:c>
      <x:c r="R2519" s="2" t="str">
        <x:v>국외인증</x:v>
      </x:c>
      <x:c r="S2519" s="8" t="n">
        <x:v>106</x:v>
      </x:c>
      <x:c r="T2519" s="2"/>
      <x:c r="U2519" s="2" t="str"/>
      <x:c r="V2519" s="2" t="str">
        <x:v>2021-10-08</x:v>
      </x:c>
      <x:c r="W2519" s="2" t="str"/>
      <x:c r="X2519" s="2" t="str">
        <x:v>종결 근거 보관</x:v>
      </x:c>
      <x:c r="Y2519" s="2" t="str">
        <x:v>ad210cd9ec132cfd447541c8984dc53d30aff0f4fb2dc92d254d49275cc55976</x:v>
      </x:c>
      <x:c r="Z2519" s="2" t="n">
        <x:f>SUBTOTAL(103,A2519)</x:f>
        <x:v>1</x:v>
      </x:c>
      <x:c r="AA2519" s="2" t="str">
        <x:f>IF(K2519&lt;&gt;"미종결 표시","대상 아님",IF(N2519="","신청일 확인",IF(NOT(ISNUMBER('종합 현황'!$H$5)),"관찰기준 확인",IF('종합 현황'!$H$5&lt;1,"관찰기준 확인",IF(N2519&gt;'종합 현황'!$H$5,"내부 관찰 대상","내부 관찰일 이하")))))</x:f>
        <x:v>대상 아님</x:v>
      </x:c>
      <x:c r="AB2519" s="2" t="str">
        <x:v>2020-12-02 15:38 - 신청
2021-01-27 10:24 - 문서재제출요청
2021-01-28 13:51 - 신청
2021-03-25 13:43 - 문서재제출요청
2021-03-25 14:57 - 신청
2021-05-18 14:26 - 문서재제출요청
2021-05-20 14:08 - 신청
2021-05-27 14:52 - 문서재제출요청
2021-05-27 15:48 - 신청
2021-07-08 17:44 - 보완요청
2021-07-13 16:02 - 신청
2021-08-03 17:09 - 문서재제출요청
2021-08-19 10:07 - 신청
2021-09-27 10:28 - 검토승인
2021-10-08 17:09 - 심의승인</x:v>
      </x:c>
    </x:row>
    <x:row r="2520" ht="42" customHeight="1">
      <x:c r="A2520" s="2" t="str">
        <x:v>32ac9067f901d6e7608e18d6</x:v>
      </x:c>
      <x:c r="B2520" s="2" t="str">
        <x:v>감축량 인증</x:v>
      </x:c>
      <x:c r="C2520" s="2" t="str">
        <x:v>국외</x:v>
      </x:c>
      <x:c r="D2520" s="7" t="str">
        <x:v>안전한 식수 공급을 위한 정수기 보급 사업 : CPA 71(한국 지원)</x:v>
      </x:c>
      <x:c r="E2520" s="2" t="str">
        <x:v>105</x:v>
      </x:c>
      <x:c r="F2520" s="2" t="str">
        <x:v>2020-12-02</x:v>
      </x:c>
      <x:c r="G2520" s="2" t="str">
        <x:v>2020</x:v>
      </x:c>
      <x:c r="H2520" s="2" t="str">
        <x:v>12</x:v>
      </x:c>
      <x:c r="I2520" s="2" t="str">
        <x:v>심의승인</x:v>
      </x:c>
      <x:c r="J2520" s="2" t="str">
        <x:v>심의승인</x:v>
      </x:c>
      <x:c r="K2520" s="2" t="str">
        <x:f>IF(OR(J2520="심의승인",J2520="반려",J2520="반려완료",J2520="심의완료"),"종결 표시",IF(OR(J2520="기후부협의",J2520="문서재제출요청",J2520="보류",J2520="보완요청",J2520="보완완료",J2520="평가중",J2520="반려요청",J2520="평가필요",LEFT(J2520,5)="보완요청("),"미종결 표시","상태 확인 필요"))</x:f>
        <x:v>종결 표시</x:v>
      </x:c>
      <x:c r="L2520" s="2" t="str">
        <x:v>KECM</x:v>
      </x:c>
      <x:c r="M2520" s="2"/>
      <x:c r="N2520" s="8" t="n">
        <x:f>DATE(2026,10,15)-DATE(2020,12,2)</x:f>
        <x:v>2143</x:v>
      </x:c>
      <x:c r="O2520" s="2"/>
      <x:c r="P2520" s="2"/>
      <x:c r="Q2520" s="2" t="str">
        <x:v>산업전환_외부사업관리Tool_260707_이너젠 수정_LJY_261013.xlsx</x:v>
      </x:c>
      <x:c r="R2520" s="2" t="str">
        <x:v>국외인증</x:v>
      </x:c>
      <x:c r="S2520" s="8" t="n">
        <x:v>107</x:v>
      </x:c>
      <x:c r="T2520" s="2"/>
      <x:c r="U2520" s="2" t="str"/>
      <x:c r="V2520" s="2" t="str">
        <x:v>2021-10-08</x:v>
      </x:c>
      <x:c r="W2520" s="2" t="str"/>
      <x:c r="X2520" s="2" t="str">
        <x:v>종결 근거 보관</x:v>
      </x:c>
      <x:c r="Y2520" s="2" t="str">
        <x:v>ad210cd9ec132cfd447541c8984dc53d30aff0f4fb2dc92d254d49275cc55976</x:v>
      </x:c>
      <x:c r="Z2520" s="2" t="n">
        <x:f>SUBTOTAL(103,A2520)</x:f>
        <x:v>1</x:v>
      </x:c>
      <x:c r="AA2520" s="2" t="str">
        <x:f>IF(K2520&lt;&gt;"미종결 표시","대상 아님",IF(N2520="","신청일 확인",IF(NOT(ISNUMBER('종합 현황'!$H$5)),"관찰기준 확인",IF('종합 현황'!$H$5&lt;1,"관찰기준 확인",IF(N2520&gt;'종합 현황'!$H$5,"내부 관찰 대상","내부 관찰일 이하")))))</x:f>
        <x:v>대상 아님</x:v>
      </x:c>
      <x:c r="AB2520" s="2" t="str">
        <x:v>2020-12-02 15:40 - 신청
2021-01-27 10:38 - 문서재제출요청
2021-01-28 13:51 - 신청
2021-03-25 13:43 - 문서재제출요청
2021-03-25 14:57 - 신청
2021-05-18 14:26 - 문서재제출요청
2021-05-20 14:08 - 신청
2021-05-27 14:52 - 문서재제출요청
2021-05-27 15:49 - 신청
2021-05-27 16:39 - 문서재제출요청
2021-05-27 16:40 - 신청
2021-07-08 17:45 - 보완요청
2021-07-13 16:01 - 신청
2021-08-03 17:10 - 문서재제출요청
2021-08-19 10:08 - 신청
2021-09-27 10:28 - 검토승인
2021-10-08 17:10 - 심의승인</x:v>
      </x:c>
    </x:row>
    <x:row r="2521" ht="42" customHeight="1">
      <x:c r="A2521" s="2" t="str">
        <x:v>41b2a652106bcce548d75346</x:v>
      </x:c>
      <x:c r="B2521" s="2" t="str">
        <x:v>감축량 인증</x:v>
      </x:c>
      <x:c r="C2521" s="2" t="str">
        <x:v>국외</x:v>
      </x:c>
      <x:c r="D2521" s="7" t="str">
        <x:v>안전한 식수 공급을 위한 정수기 보급 사업 : CPA 72(한국 지원)</x:v>
      </x:c>
      <x:c r="E2521" s="2" t="str">
        <x:v>106</x:v>
      </x:c>
      <x:c r="F2521" s="2" t="str">
        <x:v>2020-12-02</x:v>
      </x:c>
      <x:c r="G2521" s="2" t="str">
        <x:v>2020</x:v>
      </x:c>
      <x:c r="H2521" s="2" t="str">
        <x:v>12</x:v>
      </x:c>
      <x:c r="I2521" s="2" t="str">
        <x:v>심의승인</x:v>
      </x:c>
      <x:c r="J2521" s="2" t="str">
        <x:v>심의승인</x:v>
      </x:c>
      <x:c r="K2521" s="2" t="str">
        <x:f>IF(OR(J2521="심의승인",J2521="반려",J2521="반려완료",J2521="심의완료"),"종결 표시",IF(OR(J2521="기후부협의",J2521="문서재제출요청",J2521="보류",J2521="보완요청",J2521="보완완료",J2521="평가중",J2521="반려요청",J2521="평가필요",LEFT(J2521,5)="보완요청("),"미종결 표시","상태 확인 필요"))</x:f>
        <x:v>종결 표시</x:v>
      </x:c>
      <x:c r="L2521" s="2" t="str">
        <x:v>KECM</x:v>
      </x:c>
      <x:c r="M2521" s="2"/>
      <x:c r="N2521" s="8" t="n">
        <x:f>DATE(2026,10,15)-DATE(2020,12,2)</x:f>
        <x:v>2143</x:v>
      </x:c>
      <x:c r="O2521" s="2"/>
      <x:c r="P2521" s="2"/>
      <x:c r="Q2521" s="2" t="str">
        <x:v>산업전환_외부사업관리Tool_260707_이너젠 수정_LJY_261013.xlsx</x:v>
      </x:c>
      <x:c r="R2521" s="2" t="str">
        <x:v>국외인증</x:v>
      </x:c>
      <x:c r="S2521" s="8" t="n">
        <x:v>108</x:v>
      </x:c>
      <x:c r="T2521" s="2"/>
      <x:c r="U2521" s="2" t="str"/>
      <x:c r="V2521" s="2" t="str">
        <x:v>2021-10-08</x:v>
      </x:c>
      <x:c r="W2521" s="2" t="str"/>
      <x:c r="X2521" s="2" t="str">
        <x:v>종결 근거 보관</x:v>
      </x:c>
      <x:c r="Y2521" s="2" t="str">
        <x:v>ad210cd9ec132cfd447541c8984dc53d30aff0f4fb2dc92d254d49275cc55976</x:v>
      </x:c>
      <x:c r="Z2521" s="2" t="n">
        <x:f>SUBTOTAL(103,A2521)</x:f>
        <x:v>1</x:v>
      </x:c>
      <x:c r="AA2521" s="2" t="str">
        <x:f>IF(K2521&lt;&gt;"미종결 표시","대상 아님",IF(N2521="","신청일 확인",IF(NOT(ISNUMBER('종합 현황'!$H$5)),"관찰기준 확인",IF('종합 현황'!$H$5&lt;1,"관찰기준 확인",IF(N2521&gt;'종합 현황'!$H$5,"내부 관찰 대상","내부 관찰일 이하")))))</x:f>
        <x:v>대상 아님</x:v>
      </x:c>
      <x:c r="AB2521" s="2" t="str">
        <x:v>2020-12-02 15:50 - 신청
2021-01-27 10:24 - 문서재제출요청
2021-01-28 13:52 - 신청
2021-03-25 13:44 - 문서재제출요청
2021-03-25 14:57 - 신청
2021-05-18 14:27 - 문서재제출요청
2021-05-20 14:08 - 신청
2021-05-27 14:51 - 문서재제출요청
2021-05-27 15:50 - 신청
2021-07-08 17:45 - 보완요청
2021-07-13 16:00 - 신청
2021-08-03 17:10 - 문서재제출요청
2021-08-19 10:08 - 신청
2021-09-27 10:27 - 검토승인
2021-10-08 17:11 - 심의승인</x:v>
      </x:c>
    </x:row>
    <x:row r="2522" ht="42" customHeight="1">
      <x:c r="A2522" s="2" t="str">
        <x:v>41f8cc070620c0dfac2a78b5</x:v>
      </x:c>
      <x:c r="B2522" s="2" t="str">
        <x:v>감축량 인증</x:v>
      </x:c>
      <x:c r="C2522" s="2" t="str">
        <x:v>국외</x:v>
      </x:c>
      <x:c r="D2522" s="7" t="str">
        <x:v>안전한 식수 공급을 위한 정수기 보급 사업 : CPA 73(한국 지원)</x:v>
      </x:c>
      <x:c r="E2522" s="2" t="str">
        <x:v>107</x:v>
      </x:c>
      <x:c r="F2522" s="2" t="str">
        <x:v>2020-12-02</x:v>
      </x:c>
      <x:c r="G2522" s="2" t="str">
        <x:v>2020</x:v>
      </x:c>
      <x:c r="H2522" s="2" t="str">
        <x:v>12</x:v>
      </x:c>
      <x:c r="I2522" s="2" t="str">
        <x:v>심의승인</x:v>
      </x:c>
      <x:c r="J2522" s="2" t="str">
        <x:v>심의승인</x:v>
      </x:c>
      <x:c r="K2522" s="2" t="str">
        <x:f>IF(OR(J2522="심의승인",J2522="반려",J2522="반려완료",J2522="심의완료"),"종결 표시",IF(OR(J2522="기후부협의",J2522="문서재제출요청",J2522="보류",J2522="보완요청",J2522="보완완료",J2522="평가중",J2522="반려요청",J2522="평가필요",LEFT(J2522,5)="보완요청("),"미종결 표시","상태 확인 필요"))</x:f>
        <x:v>종결 표시</x:v>
      </x:c>
      <x:c r="L2522" s="2" t="str">
        <x:v>KECM</x:v>
      </x:c>
      <x:c r="M2522" s="2"/>
      <x:c r="N2522" s="8" t="n">
        <x:f>DATE(2026,10,15)-DATE(2020,12,2)</x:f>
        <x:v>2143</x:v>
      </x:c>
      <x:c r="O2522" s="2"/>
      <x:c r="P2522" s="2"/>
      <x:c r="Q2522" s="2" t="str">
        <x:v>산업전환_외부사업관리Tool_260707_이너젠 수정_LJY_261013.xlsx</x:v>
      </x:c>
      <x:c r="R2522" s="2" t="str">
        <x:v>국외인증</x:v>
      </x:c>
      <x:c r="S2522" s="8" t="n">
        <x:v>109</x:v>
      </x:c>
      <x:c r="T2522" s="2"/>
      <x:c r="U2522" s="2" t="str"/>
      <x:c r="V2522" s="2" t="str">
        <x:v>2021-10-08</x:v>
      </x:c>
      <x:c r="W2522" s="2" t="str"/>
      <x:c r="X2522" s="2" t="str">
        <x:v>종결 근거 보관</x:v>
      </x:c>
      <x:c r="Y2522" s="2" t="str">
        <x:v>ad210cd9ec132cfd447541c8984dc53d30aff0f4fb2dc92d254d49275cc55976</x:v>
      </x:c>
      <x:c r="Z2522" s="2" t="n">
        <x:f>SUBTOTAL(103,A2522)</x:f>
        <x:v>1</x:v>
      </x:c>
      <x:c r="AA2522" s="2" t="str">
        <x:f>IF(K2522&lt;&gt;"미종결 표시","대상 아님",IF(N2522="","신청일 확인",IF(NOT(ISNUMBER('종합 현황'!$H$5)),"관찰기준 확인",IF('종합 현황'!$H$5&lt;1,"관찰기준 확인",IF(N2522&gt;'종합 현황'!$H$5,"내부 관찰 대상","내부 관찰일 이하")))))</x:f>
        <x:v>대상 아님</x:v>
      </x:c>
      <x:c r="AB2522" s="2" t="str">
        <x:v>2020-12-02 15:50 - 신청
2021-01-27 10:38 - 문서재제출요청
2021-01-28 13:53 - 신청
2021-03-25 13:44 - 문서재제출요청
2021-03-25 14:57 - 신청
2021-05-18 14:28 - 문서재제출요청
2021-05-20 14:09 - 신청
2021-05-27 14:51 - 문서재제출요청
2021-05-27 15:51 - 신청
2021-07-08 17:45 - 보완요청
2021-07-13 16:00 - 신청
2021-08-03 17:10 - 문서재제출요청
2021-08-19 10:08 - 신청
2021-09-27 10:27 - 검토승인
2021-10-08 17:12 - 심의승인</x:v>
      </x:c>
    </x:row>
    <x:row r="2523" ht="42" customHeight="1">
      <x:c r="A2523" s="2" t="str">
        <x:v>adaf7a960a69a250d1209f2c</x:v>
      </x:c>
      <x:c r="B2523" s="2" t="str">
        <x:v>감축량 인증</x:v>
      </x:c>
      <x:c r="C2523" s="2" t="str">
        <x:v>국외</x:v>
      </x:c>
      <x:c r="D2523" s="7" t="str">
        <x:v>안전한 식수 공급을 위한 정수기 보급 사업 : CPA 74(한국 지원)</x:v>
      </x:c>
      <x:c r="E2523" s="2" t="str">
        <x:v>108</x:v>
      </x:c>
      <x:c r="F2523" s="2" t="str">
        <x:v>2020-12-02</x:v>
      </x:c>
      <x:c r="G2523" s="2" t="str">
        <x:v>2020</x:v>
      </x:c>
      <x:c r="H2523" s="2" t="str">
        <x:v>12</x:v>
      </x:c>
      <x:c r="I2523" s="2" t="str">
        <x:v>심의승인</x:v>
      </x:c>
      <x:c r="J2523" s="2" t="str">
        <x:v>심의승인</x:v>
      </x:c>
      <x:c r="K2523" s="2" t="str">
        <x:f>IF(OR(J2523="심의승인",J2523="반려",J2523="반려완료",J2523="심의완료"),"종결 표시",IF(OR(J2523="기후부협의",J2523="문서재제출요청",J2523="보류",J2523="보완요청",J2523="보완완료",J2523="평가중",J2523="반려요청",J2523="평가필요",LEFT(J2523,5)="보완요청("),"미종결 표시","상태 확인 필요"))</x:f>
        <x:v>종결 표시</x:v>
      </x:c>
      <x:c r="L2523" s="2" t="str">
        <x:v>KECM</x:v>
      </x:c>
      <x:c r="M2523" s="2"/>
      <x:c r="N2523" s="8" t="n">
        <x:f>DATE(2026,10,15)-DATE(2020,12,2)</x:f>
        <x:v>2143</x:v>
      </x:c>
      <x:c r="O2523" s="2"/>
      <x:c r="P2523" s="2"/>
      <x:c r="Q2523" s="2" t="str">
        <x:v>산업전환_외부사업관리Tool_260707_이너젠 수정_LJY_261013.xlsx</x:v>
      </x:c>
      <x:c r="R2523" s="2" t="str">
        <x:v>국외인증</x:v>
      </x:c>
      <x:c r="S2523" s="8" t="n">
        <x:v>110</x:v>
      </x:c>
      <x:c r="T2523" s="2"/>
      <x:c r="U2523" s="2" t="str"/>
      <x:c r="V2523" s="2" t="str">
        <x:v>2021-10-08</x:v>
      </x:c>
      <x:c r="W2523" s="2" t="str"/>
      <x:c r="X2523" s="2" t="str">
        <x:v>종결 근거 보관</x:v>
      </x:c>
      <x:c r="Y2523" s="2" t="str">
        <x:v>ad210cd9ec132cfd447541c8984dc53d30aff0f4fb2dc92d254d49275cc55976</x:v>
      </x:c>
      <x:c r="Z2523" s="2" t="n">
        <x:f>SUBTOTAL(103,A2523)</x:f>
        <x:v>1</x:v>
      </x:c>
      <x:c r="AA2523" s="2" t="str">
        <x:f>IF(K2523&lt;&gt;"미종결 표시","대상 아님",IF(N2523="","신청일 확인",IF(NOT(ISNUMBER('종합 현황'!$H$5)),"관찰기준 확인",IF('종합 현황'!$H$5&lt;1,"관찰기준 확인",IF(N2523&gt;'종합 현황'!$H$5,"내부 관찰 대상","내부 관찰일 이하")))))</x:f>
        <x:v>대상 아님</x:v>
      </x:c>
      <x:c r="AB2523" s="2" t="str">
        <x:v>2020-12-02 15:50 - 신청
2021-01-27 10:25 - 문서재제출요청
2021-01-28 13:53 - 신청
2021-03-25 13:44 - 문서재제출요청
2021-03-25 14:58 - 신청
2021-05-18 15:01 - 문서재제출요청
2021-05-20 14:09 - 신청
2021-05-27 14:50 - 문서재제출요청
2021-05-27 15:51 - 신청
2021-07-08 17:46 - 보완요청
2021-07-13 15:59 - 신청
2021-08-03 17:11 - 문서재제출요청
2021-08-19 10:08 - 신청
2021-09-27 10:27 - 검토승인
2021-10-08 17:13 - 심의승인</x:v>
      </x:c>
    </x:row>
    <x:row r="2524" ht="42" customHeight="1">
      <x:c r="A2524" s="2" t="str">
        <x:v>3ca5bc965272dcc4d570224a</x:v>
      </x:c>
      <x:c r="B2524" s="2" t="str">
        <x:v>감축량 인증</x:v>
      </x:c>
      <x:c r="C2524" s="2" t="str">
        <x:v>국외</x:v>
      </x:c>
      <x:c r="D2524" s="7" t="str">
        <x:v>안전한 식수 공급을 위한 정수기 보급 사업 : CPA 75(한국 지원)</x:v>
      </x:c>
      <x:c r="E2524" s="2" t="str">
        <x:v>109</x:v>
      </x:c>
      <x:c r="F2524" s="2" t="str">
        <x:v>2020-12-02</x:v>
      </x:c>
      <x:c r="G2524" s="2" t="str">
        <x:v>2020</x:v>
      </x:c>
      <x:c r="H2524" s="2" t="str">
        <x:v>12</x:v>
      </x:c>
      <x:c r="I2524" s="2" t="str">
        <x:v>심의승인</x:v>
      </x:c>
      <x:c r="J2524" s="2" t="str">
        <x:v>심의승인</x:v>
      </x:c>
      <x:c r="K2524" s="2" t="str">
        <x:f>IF(OR(J2524="심의승인",J2524="반려",J2524="반려완료",J2524="심의완료"),"종결 표시",IF(OR(J2524="기후부협의",J2524="문서재제출요청",J2524="보류",J2524="보완요청",J2524="보완완료",J2524="평가중",J2524="반려요청",J2524="평가필요",LEFT(J2524,5)="보완요청("),"미종결 표시","상태 확인 필요"))</x:f>
        <x:v>종결 표시</x:v>
      </x:c>
      <x:c r="L2524" s="2" t="str">
        <x:v>KECM</x:v>
      </x:c>
      <x:c r="M2524" s="2"/>
      <x:c r="N2524" s="8" t="n">
        <x:f>DATE(2026,10,15)-DATE(2020,12,2)</x:f>
        <x:v>2143</x:v>
      </x:c>
      <x:c r="O2524" s="2"/>
      <x:c r="P2524" s="2"/>
      <x:c r="Q2524" s="2" t="str">
        <x:v>산업전환_외부사업관리Tool_260707_이너젠 수정_LJY_261013.xlsx</x:v>
      </x:c>
      <x:c r="R2524" s="2" t="str">
        <x:v>국외인증</x:v>
      </x:c>
      <x:c r="S2524" s="8" t="n">
        <x:v>111</x:v>
      </x:c>
      <x:c r="T2524" s="2"/>
      <x:c r="U2524" s="2" t="str"/>
      <x:c r="V2524" s="2" t="str">
        <x:v>2021-10-08</x:v>
      </x:c>
      <x:c r="W2524" s="2" t="str"/>
      <x:c r="X2524" s="2" t="str">
        <x:v>종결 근거 보관</x:v>
      </x:c>
      <x:c r="Y2524" s="2" t="str">
        <x:v>ad210cd9ec132cfd447541c8984dc53d30aff0f4fb2dc92d254d49275cc55976</x:v>
      </x:c>
      <x:c r="Z2524" s="2" t="n">
        <x:f>SUBTOTAL(103,A2524)</x:f>
        <x:v>1</x:v>
      </x:c>
      <x:c r="AA2524" s="2" t="str">
        <x:f>IF(K2524&lt;&gt;"미종결 표시","대상 아님",IF(N2524="","신청일 확인",IF(NOT(ISNUMBER('종합 현황'!$H$5)),"관찰기준 확인",IF('종합 현황'!$H$5&lt;1,"관찰기준 확인",IF(N2524&gt;'종합 현황'!$H$5,"내부 관찰 대상","내부 관찰일 이하")))))</x:f>
        <x:v>대상 아님</x:v>
      </x:c>
      <x:c r="AB2524" s="2" t="str">
        <x:v>2020-12-02 15:50 - 신청
2021-01-27 10:36 - 문서재제출요청
2021-01-28 13:54 - 신청
2021-03-25 13:45 - 문서재제출요청
2021-03-25 14:58 - 신청
2021-05-18 15:02 - 문서재제출요청
2021-05-20 14:09 - 신청
2021-05-27 14:50 - 문서재제출요청
2021-05-27 15:52 - 신청
2021-05-27 16:27 - 문서재제출요청
2021-05-27 16:29 - 신청
2021-07-08 17:46 - 보완요청
2021-07-13 15:58 - 신청
2021-08-03 17:11 - 문서재제출요청
2021-08-19 10:08 - 신청
2021-09-27 10:27 - 검토승인
2021-10-08 17:14 - 심의승인</x:v>
      </x:c>
    </x:row>
    <x:row r="2525" ht="42" customHeight="1">
      <x:c r="A2525" s="2" t="str">
        <x:v>6d5e69e4d75b383b912820e6</x:v>
      </x:c>
      <x:c r="B2525" s="2" t="str">
        <x:v>감축량 인증</x:v>
      </x:c>
      <x:c r="C2525" s="2" t="str">
        <x:v>국외</x:v>
      </x:c>
      <x:c r="D2525" s="7" t="str">
        <x:v>안전한 식수 공급을 위한 정수기 보급 사업 : CPA 76(한국 지원)</x:v>
      </x:c>
      <x:c r="E2525" s="2" t="str">
        <x:v>110</x:v>
      </x:c>
      <x:c r="F2525" s="2" t="str">
        <x:v>2020-12-02</x:v>
      </x:c>
      <x:c r="G2525" s="2" t="str">
        <x:v>2020</x:v>
      </x:c>
      <x:c r="H2525" s="2" t="str">
        <x:v>12</x:v>
      </x:c>
      <x:c r="I2525" s="2" t="str">
        <x:v>심의승인</x:v>
      </x:c>
      <x:c r="J2525" s="2" t="str">
        <x:v>심의승인</x:v>
      </x:c>
      <x:c r="K2525" s="2" t="str">
        <x:f>IF(OR(J2525="심의승인",J2525="반려",J2525="반려완료",J2525="심의완료"),"종결 표시",IF(OR(J2525="기후부협의",J2525="문서재제출요청",J2525="보류",J2525="보완요청",J2525="보완완료",J2525="평가중",J2525="반려요청",J2525="평가필요",LEFT(J2525,5)="보완요청("),"미종결 표시","상태 확인 필요"))</x:f>
        <x:v>종결 표시</x:v>
      </x:c>
      <x:c r="L2525" s="2" t="str">
        <x:v>KECM</x:v>
      </x:c>
      <x:c r="M2525" s="2"/>
      <x:c r="N2525" s="8" t="n">
        <x:f>DATE(2026,10,15)-DATE(2020,12,2)</x:f>
        <x:v>2143</x:v>
      </x:c>
      <x:c r="O2525" s="2"/>
      <x:c r="P2525" s="2"/>
      <x:c r="Q2525" s="2" t="str">
        <x:v>산업전환_외부사업관리Tool_260707_이너젠 수정_LJY_261013.xlsx</x:v>
      </x:c>
      <x:c r="R2525" s="2" t="str">
        <x:v>국외인증</x:v>
      </x:c>
      <x:c r="S2525" s="8" t="n">
        <x:v>112</x:v>
      </x:c>
      <x:c r="T2525" s="2"/>
      <x:c r="U2525" s="2" t="str"/>
      <x:c r="V2525" s="2" t="str">
        <x:v>2021-10-08</x:v>
      </x:c>
      <x:c r="W2525" s="2" t="str"/>
      <x:c r="X2525" s="2" t="str">
        <x:v>종결 근거 보관</x:v>
      </x:c>
      <x:c r="Y2525" s="2" t="str">
        <x:v>ad210cd9ec132cfd447541c8984dc53d30aff0f4fb2dc92d254d49275cc55976</x:v>
      </x:c>
      <x:c r="Z2525" s="2" t="n">
        <x:f>SUBTOTAL(103,A2525)</x:f>
        <x:v>1</x:v>
      </x:c>
      <x:c r="AA2525" s="2" t="str">
        <x:f>IF(K2525&lt;&gt;"미종결 표시","대상 아님",IF(N2525="","신청일 확인",IF(NOT(ISNUMBER('종합 현황'!$H$5)),"관찰기준 확인",IF('종합 현황'!$H$5&lt;1,"관찰기준 확인",IF(N2525&gt;'종합 현황'!$H$5,"내부 관찰 대상","내부 관찰일 이하")))))</x:f>
        <x:v>대상 아님</x:v>
      </x:c>
      <x:c r="AB2525" s="2" t="str">
        <x:v>2020-12-02 15:51 - 신청
2021-01-27 10:25 - 문서재제출요청
2021-01-28 13:55 - 신청
2021-03-25 13:45 - 문서재제출요청
2021-03-25 14:58 - 신청
2021-05-18 15:02 - 문서재제출요청
2021-05-20 14:10 - 신청
2021-05-26 20:28 - 문서재제출요청
2021-05-26 21:02 - 신청
2021-05-27 14:49 - 문서재제출요청
2021-05-27 15:56 - 신청
2021-07-08 17:46 - 보완요청
2021-07-13 15:57 - 신청
2021-08-03 17:11 - 문서재제출요청
2021-08-19 10:08 - 신청
2021-09-27 10:26 - 검토승인
2021-10-08 17:15 - 심의승인</x:v>
      </x:c>
    </x:row>
    <x:row r="2526" ht="42" customHeight="1">
      <x:c r="A2526" s="2" t="str">
        <x:v>93f7f3f3a1edb0977541bea4</x:v>
      </x:c>
      <x:c r="B2526" s="2" t="str">
        <x:v>감축량 인증</x:v>
      </x:c>
      <x:c r="C2526" s="2" t="str">
        <x:v>국외</x:v>
      </x:c>
      <x:c r="D2526" s="7" t="str">
        <x:v>안전한 식수 공급을 위한 정수기 보급 사업 : CPA 77(한국 지원)</x:v>
      </x:c>
      <x:c r="E2526" s="2" t="str">
        <x:v>111</x:v>
      </x:c>
      <x:c r="F2526" s="2" t="str">
        <x:v>2020-12-02</x:v>
      </x:c>
      <x:c r="G2526" s="2" t="str">
        <x:v>2020</x:v>
      </x:c>
      <x:c r="H2526" s="2" t="str">
        <x:v>12</x:v>
      </x:c>
      <x:c r="I2526" s="2" t="str">
        <x:v>심의승인</x:v>
      </x:c>
      <x:c r="J2526" s="2" t="str">
        <x:v>심의승인</x:v>
      </x:c>
      <x:c r="K2526" s="2" t="str">
        <x:f>IF(OR(J2526="심의승인",J2526="반려",J2526="반려완료",J2526="심의완료"),"종결 표시",IF(OR(J2526="기후부협의",J2526="문서재제출요청",J2526="보류",J2526="보완요청",J2526="보완완료",J2526="평가중",J2526="반려요청",J2526="평가필요",LEFT(J2526,5)="보완요청("),"미종결 표시","상태 확인 필요"))</x:f>
        <x:v>종결 표시</x:v>
      </x:c>
      <x:c r="L2526" s="2" t="str">
        <x:v>KECM</x:v>
      </x:c>
      <x:c r="M2526" s="2"/>
      <x:c r="N2526" s="8" t="n">
        <x:f>DATE(2026,10,15)-DATE(2020,12,2)</x:f>
        <x:v>2143</x:v>
      </x:c>
      <x:c r="O2526" s="2"/>
      <x:c r="P2526" s="2"/>
      <x:c r="Q2526" s="2" t="str">
        <x:v>산업전환_외부사업관리Tool_260707_이너젠 수정_LJY_261013.xlsx</x:v>
      </x:c>
      <x:c r="R2526" s="2" t="str">
        <x:v>국외인증</x:v>
      </x:c>
      <x:c r="S2526" s="8" t="n">
        <x:v>113</x:v>
      </x:c>
      <x:c r="T2526" s="2"/>
      <x:c r="U2526" s="2" t="str"/>
      <x:c r="V2526" s="2" t="str">
        <x:v>2021-10-08</x:v>
      </x:c>
      <x:c r="W2526" s="2" t="str"/>
      <x:c r="X2526" s="2" t="str">
        <x:v>종결 근거 보관</x:v>
      </x:c>
      <x:c r="Y2526" s="2" t="str">
        <x:v>ad210cd9ec132cfd447541c8984dc53d30aff0f4fb2dc92d254d49275cc55976</x:v>
      </x:c>
      <x:c r="Z2526" s="2" t="n">
        <x:f>SUBTOTAL(103,A2526)</x:f>
        <x:v>1</x:v>
      </x:c>
      <x:c r="AA2526" s="2" t="str">
        <x:f>IF(K2526&lt;&gt;"미종결 표시","대상 아님",IF(N2526="","신청일 확인",IF(NOT(ISNUMBER('종합 현황'!$H$5)),"관찰기준 확인",IF('종합 현황'!$H$5&lt;1,"관찰기준 확인",IF(N2526&gt;'종합 현황'!$H$5,"내부 관찰 대상","내부 관찰일 이하")))))</x:f>
        <x:v>대상 아님</x:v>
      </x:c>
      <x:c r="AB2526" s="2" t="str">
        <x:v>2020-12-02 15:51 - 신청
2021-01-27 10:35 - 문서재제출요청
2021-01-28 13:55 - 신청
2021-03-25 13:34 - 문서재제출요청
2021-03-25 14:58 - 신청
2021-03-25 17:19 - 문서재제출요청
2021-03-25 17:27 - 신청
2021-05-18 15:03 - 문서재제출요청
2021-05-20 14:10 - 신청
2021-05-26 20:28 - 문서재제출요청
2021-05-26 21:02 - 신청
2021-05-27 14:49 - 문서재제출요청
2021-05-27 15:56 - 신청
2021-05-27 16:23 - 문서재제출요청
2021-05-27 16:29 - 신청
2021-07-08 17:46 - 보완요청
2021-07-13 15:56 - 신청
2021-08-03 17:06 - 문서재제출요청
2021-08-19 10:09 - 신청
2021-08-31 13:10 - 문서재제출요청
2021-08-31 13:24 - 신청
2021-09-27 09:59 - 검토승인
2021-10-08 17:16 - 심의승인</x:v>
      </x:c>
    </x:row>
    <x:row r="2527" ht="42" customHeight="1">
      <x:c r="A2527" s="2" t="str">
        <x:v>fe7561bb882a1d4372fb02f7</x:v>
      </x:c>
      <x:c r="B2527" s="2" t="str">
        <x:v>감축량 인증</x:v>
      </x:c>
      <x:c r="C2527" s="2" t="str">
        <x:v>국외</x:v>
      </x:c>
      <x:c r="D2527" s="7" t="str">
        <x:v>안전한 식수 공급을 위한 정수기 보급 사업 : CPA 78(한국 지원)</x:v>
      </x:c>
      <x:c r="E2527" s="2" t="str">
        <x:v>112</x:v>
      </x:c>
      <x:c r="F2527" s="2" t="str">
        <x:v>2020-12-04</x:v>
      </x:c>
      <x:c r="G2527" s="2" t="str">
        <x:v>2020</x:v>
      </x:c>
      <x:c r="H2527" s="2" t="str">
        <x:v>12</x:v>
      </x:c>
      <x:c r="I2527" s="2" t="str">
        <x:v>심의승인</x:v>
      </x:c>
      <x:c r="J2527" s="2" t="str">
        <x:v>심의승인</x:v>
      </x:c>
      <x:c r="K2527" s="2" t="str">
        <x:f>IF(OR(J2527="심의승인",J2527="반려",J2527="반려완료",J2527="심의완료"),"종결 표시",IF(OR(J2527="기후부협의",J2527="문서재제출요청",J2527="보류",J2527="보완요청",J2527="보완완료",J2527="평가중",J2527="반려요청",J2527="평가필요",LEFT(J2527,5)="보완요청("),"미종결 표시","상태 확인 필요"))</x:f>
        <x:v>종결 표시</x:v>
      </x:c>
      <x:c r="L2527" s="2" t="str">
        <x:v>KECM</x:v>
      </x:c>
      <x:c r="M2527" s="2"/>
      <x:c r="N2527" s="8" t="n">
        <x:f>DATE(2026,10,15)-DATE(2020,12,4)</x:f>
        <x:v>2141</x:v>
      </x:c>
      <x:c r="O2527" s="2"/>
      <x:c r="P2527" s="2"/>
      <x:c r="Q2527" s="2" t="str">
        <x:v>산업전환_외부사업관리Tool_260707_이너젠 수정_LJY_261013.xlsx</x:v>
      </x:c>
      <x:c r="R2527" s="2" t="str">
        <x:v>국외인증</x:v>
      </x:c>
      <x:c r="S2527" s="8" t="n">
        <x:v>114</x:v>
      </x:c>
      <x:c r="T2527" s="2"/>
      <x:c r="U2527" s="2" t="str"/>
      <x:c r="V2527" s="2" t="str">
        <x:v>2021-10-08</x:v>
      </x:c>
      <x:c r="W2527" s="2" t="str"/>
      <x:c r="X2527" s="2" t="str">
        <x:v>종결 근거 보관</x:v>
      </x:c>
      <x:c r="Y2527" s="2" t="str">
        <x:v>ad210cd9ec132cfd447541c8984dc53d30aff0f4fb2dc92d254d49275cc55976</x:v>
      </x:c>
      <x:c r="Z2527" s="2" t="n">
        <x:f>SUBTOTAL(103,A2527)</x:f>
        <x:v>1</x:v>
      </x:c>
      <x:c r="AA2527" s="2" t="str">
        <x:f>IF(K2527&lt;&gt;"미종결 표시","대상 아님",IF(N2527="","신청일 확인",IF(NOT(ISNUMBER('종합 현황'!$H$5)),"관찰기준 확인",IF('종합 현황'!$H$5&lt;1,"관찰기준 확인",IF(N2527&gt;'종합 현황'!$H$5,"내부 관찰 대상","내부 관찰일 이하")))))</x:f>
        <x:v>대상 아님</x:v>
      </x:c>
      <x:c r="AB2527" s="2" t="str">
        <x:v>2020-12-04 15:52 - 신청
2021-01-27 10:25 - 문서재제출요청
2021-01-28 13:57 - 신청
2021-03-30 14:52 - 문서재제출요청
2021-04-02 14:51 - 신청
2021-04-19 13:44 - 문서재제출요청
2021-04-19 14:06 - 신청
2021-06-09 16:54 - 문서재제출요청
2021-07-13 15:55 - 신청
2021-08-06 17:00 - 문서재제출요청
2021-08-19 10:10 - 신청
2021-09-27 10:26 - 검토승인
2021-10-08 17:18 - 심의승인</x:v>
      </x:c>
    </x:row>
    <x:row r="2528" ht="42" customHeight="1">
      <x:c r="A2528" s="2" t="str">
        <x:v>71bc525728fc0ef84d728c0f</x:v>
      </x:c>
      <x:c r="B2528" s="2" t="str">
        <x:v>감축량 인증</x:v>
      </x:c>
      <x:c r="C2528" s="2" t="str">
        <x:v>국외</x:v>
      </x:c>
      <x:c r="D2528" s="7" t="str">
        <x:v>안전한 식수 공급을 위한 정수기 보급 사업 : CPA 79(한국 지원)</x:v>
      </x:c>
      <x:c r="E2528" s="2" t="str">
        <x:v>113</x:v>
      </x:c>
      <x:c r="F2528" s="2" t="str">
        <x:v>2020-12-04</x:v>
      </x:c>
      <x:c r="G2528" s="2" t="str">
        <x:v>2020</x:v>
      </x:c>
      <x:c r="H2528" s="2" t="str">
        <x:v>12</x:v>
      </x:c>
      <x:c r="I2528" s="2" t="str">
        <x:v>심의승인</x:v>
      </x:c>
      <x:c r="J2528" s="2" t="str">
        <x:v>심의승인</x:v>
      </x:c>
      <x:c r="K2528" s="2" t="str">
        <x:f>IF(OR(J2528="심의승인",J2528="반려",J2528="반려완료",J2528="심의완료"),"종결 표시",IF(OR(J2528="기후부협의",J2528="문서재제출요청",J2528="보류",J2528="보완요청",J2528="보완완료",J2528="평가중",J2528="반려요청",J2528="평가필요",LEFT(J2528,5)="보완요청("),"미종결 표시","상태 확인 필요"))</x:f>
        <x:v>종결 표시</x:v>
      </x:c>
      <x:c r="L2528" s="2" t="str">
        <x:v>KECM</x:v>
      </x:c>
      <x:c r="M2528" s="2"/>
      <x:c r="N2528" s="8" t="n">
        <x:f>DATE(2026,10,15)-DATE(2020,12,4)</x:f>
        <x:v>2141</x:v>
      </x:c>
      <x:c r="O2528" s="2"/>
      <x:c r="P2528" s="2"/>
      <x:c r="Q2528" s="2" t="str">
        <x:v>산업전환_외부사업관리Tool_260707_이너젠 수정_LJY_261013.xlsx</x:v>
      </x:c>
      <x:c r="R2528" s="2" t="str">
        <x:v>국외인증</x:v>
      </x:c>
      <x:c r="S2528" s="8" t="n">
        <x:v>115</x:v>
      </x:c>
      <x:c r="T2528" s="2"/>
      <x:c r="U2528" s="2" t="str"/>
      <x:c r="V2528" s="2" t="str">
        <x:v>2021-10-08</x:v>
      </x:c>
      <x:c r="W2528" s="2" t="str"/>
      <x:c r="X2528" s="2" t="str">
        <x:v>종결 근거 보관</x:v>
      </x:c>
      <x:c r="Y2528" s="2" t="str">
        <x:v>ad210cd9ec132cfd447541c8984dc53d30aff0f4fb2dc92d254d49275cc55976</x:v>
      </x:c>
      <x:c r="Z2528" s="2" t="n">
        <x:f>SUBTOTAL(103,A2528)</x:f>
        <x:v>1</x:v>
      </x:c>
      <x:c r="AA2528" s="2" t="str">
        <x:f>IF(K2528&lt;&gt;"미종결 표시","대상 아님",IF(N2528="","신청일 확인",IF(NOT(ISNUMBER('종합 현황'!$H$5)),"관찰기준 확인",IF('종합 현황'!$H$5&lt;1,"관찰기준 확인",IF(N2528&gt;'종합 현황'!$H$5,"내부 관찰 대상","내부 관찰일 이하")))))</x:f>
        <x:v>대상 아님</x:v>
      </x:c>
      <x:c r="AB2528" s="2" t="str">
        <x:v>2020-12-04 15:54 - 신청
2021-01-27 10:30 - 문서재제출요청
2021-01-28 13:57 - 신청
2021-03-30 14:52 - 문서재제출요청
2021-04-02 14:50 - 신청
2021-04-19 13:44 - 문서재제출요청
2021-04-19 14:07 - 신청
2021-06-09 16:44 - 문서재제출요청
2021-07-13 15:55 - 신청
2021-08-06 17:00 - 문서재제출요청
2021-08-19 10:10 - 신청
2021-09-27 10:26 - 검토승인
2021-10-08 17:19 - 심의승인</x:v>
      </x:c>
    </x:row>
    <x:row r="2529" ht="42" customHeight="1">
      <x:c r="A2529" s="2" t="str">
        <x:v>dbb520e68d8808522cd9d121</x:v>
      </x:c>
      <x:c r="B2529" s="2" t="str">
        <x:v>감축량 인증</x:v>
      </x:c>
      <x:c r="C2529" s="2" t="str">
        <x:v>국외</x:v>
      </x:c>
      <x:c r="D2529" s="7" t="str">
        <x:v>안전한 식수 공급을 위한 정수기 보급 사업 : CPA 80(한국 지원)</x:v>
      </x:c>
      <x:c r="E2529" s="2" t="str">
        <x:v>114</x:v>
      </x:c>
      <x:c r="F2529" s="2" t="str">
        <x:v>2020-12-04</x:v>
      </x:c>
      <x:c r="G2529" s="2" t="str">
        <x:v>2020</x:v>
      </x:c>
      <x:c r="H2529" s="2" t="str">
        <x:v>12</x:v>
      </x:c>
      <x:c r="I2529" s="2" t="str">
        <x:v>심의승인</x:v>
      </x:c>
      <x:c r="J2529" s="2" t="str">
        <x:v>심의승인</x:v>
      </x:c>
      <x:c r="K2529" s="2" t="str">
        <x:f>IF(OR(J2529="심의승인",J2529="반려",J2529="반려완료",J2529="심의완료"),"종결 표시",IF(OR(J2529="기후부협의",J2529="문서재제출요청",J2529="보류",J2529="보완요청",J2529="보완완료",J2529="평가중",J2529="반려요청",J2529="평가필요",LEFT(J2529,5)="보완요청("),"미종결 표시","상태 확인 필요"))</x:f>
        <x:v>종결 표시</x:v>
      </x:c>
      <x:c r="L2529" s="2" t="str">
        <x:v>KECM</x:v>
      </x:c>
      <x:c r="M2529" s="2"/>
      <x:c r="N2529" s="8" t="n">
        <x:f>DATE(2026,10,15)-DATE(2020,12,4)</x:f>
        <x:v>2141</x:v>
      </x:c>
      <x:c r="O2529" s="2"/>
      <x:c r="P2529" s="2"/>
      <x:c r="Q2529" s="2" t="str">
        <x:v>산업전환_외부사업관리Tool_260707_이너젠 수정_LJY_261013.xlsx</x:v>
      </x:c>
      <x:c r="R2529" s="2" t="str">
        <x:v>국외인증</x:v>
      </x:c>
      <x:c r="S2529" s="8" t="n">
        <x:v>116</x:v>
      </x:c>
      <x:c r="T2529" s="2"/>
      <x:c r="U2529" s="2" t="str"/>
      <x:c r="V2529" s="2" t="str">
        <x:v>2021-10-08</x:v>
      </x:c>
      <x:c r="W2529" s="2" t="str"/>
      <x:c r="X2529" s="2" t="str">
        <x:v>종결 근거 보관</x:v>
      </x:c>
      <x:c r="Y2529" s="2" t="str">
        <x:v>ad210cd9ec132cfd447541c8984dc53d30aff0f4fb2dc92d254d49275cc55976</x:v>
      </x:c>
      <x:c r="Z2529" s="2" t="n">
        <x:f>SUBTOTAL(103,A2529)</x:f>
        <x:v>1</x:v>
      </x:c>
      <x:c r="AA2529" s="2" t="str">
        <x:f>IF(K2529&lt;&gt;"미종결 표시","대상 아님",IF(N2529="","신청일 확인",IF(NOT(ISNUMBER('종합 현황'!$H$5)),"관찰기준 확인",IF('종합 현황'!$H$5&lt;1,"관찰기준 확인",IF(N2529&gt;'종합 현황'!$H$5,"내부 관찰 대상","내부 관찰일 이하")))))</x:f>
        <x:v>대상 아님</x:v>
      </x:c>
      <x:c r="AB2529" s="2" t="str">
        <x:v>2020-12-04 15:57 - 신청
2021-01-27 10:25 - 문서재제출요청
2021-01-28 13:58 - 신청
2021-03-30 14:53 - 문서재제출요청
2021-04-02 14:50 - 신청
2021-04-19 13:44 - 문서재제출요청
2021-04-19 14:08 - 신청
2021-06-09 16:44 - 문서재제출요청
2021-07-13 15:54 - 신청
2021-08-06 17:01 - 문서재제출요청
2021-08-19 10:11 - 신청
2021-09-27 10:26 - 검토승인
2021-10-08 17:20 - 심의승인</x:v>
      </x:c>
    </x:row>
    <x:row r="2530" ht="42" customHeight="1">
      <x:c r="A2530" s="2" t="str">
        <x:v>5094226800221c157196a303</x:v>
      </x:c>
      <x:c r="B2530" s="2" t="str">
        <x:v>감축량 인증</x:v>
      </x:c>
      <x:c r="C2530" s="2" t="str">
        <x:v>국외</x:v>
      </x:c>
      <x:c r="D2530" s="7" t="str">
        <x:v>안전한 식수 공급을 위한 정수기 보급 사업 : CPA 81(한국 지원)</x:v>
      </x:c>
      <x:c r="E2530" s="2" t="str">
        <x:v>115</x:v>
      </x:c>
      <x:c r="F2530" s="2" t="str">
        <x:v>2020-12-04</x:v>
      </x:c>
      <x:c r="G2530" s="2" t="str">
        <x:v>2020</x:v>
      </x:c>
      <x:c r="H2530" s="2" t="str">
        <x:v>12</x:v>
      </x:c>
      <x:c r="I2530" s="2" t="str">
        <x:v>심의승인</x:v>
      </x:c>
      <x:c r="J2530" s="2" t="str">
        <x:v>심의승인</x:v>
      </x:c>
      <x:c r="K2530" s="2" t="str">
        <x:f>IF(OR(J2530="심의승인",J2530="반려",J2530="반려완료",J2530="심의완료"),"종결 표시",IF(OR(J2530="기후부협의",J2530="문서재제출요청",J2530="보류",J2530="보완요청",J2530="보완완료",J2530="평가중",J2530="반려요청",J2530="평가필요",LEFT(J2530,5)="보완요청("),"미종결 표시","상태 확인 필요"))</x:f>
        <x:v>종결 표시</x:v>
      </x:c>
      <x:c r="L2530" s="2" t="str">
        <x:v>KECM</x:v>
      </x:c>
      <x:c r="M2530" s="2"/>
      <x:c r="N2530" s="8" t="n">
        <x:f>DATE(2026,10,15)-DATE(2020,12,4)</x:f>
        <x:v>2141</x:v>
      </x:c>
      <x:c r="O2530" s="2"/>
      <x:c r="P2530" s="2"/>
      <x:c r="Q2530" s="2" t="str">
        <x:v>산업전환_외부사업관리Tool_260707_이너젠 수정_LJY_261013.xlsx</x:v>
      </x:c>
      <x:c r="R2530" s="2" t="str">
        <x:v>국외인증</x:v>
      </x:c>
      <x:c r="S2530" s="8" t="n">
        <x:v>117</x:v>
      </x:c>
      <x:c r="T2530" s="2"/>
      <x:c r="U2530" s="2" t="str"/>
      <x:c r="V2530" s="2" t="str">
        <x:v>2021-10-08</x:v>
      </x:c>
      <x:c r="W2530" s="2" t="str"/>
      <x:c r="X2530" s="2" t="str">
        <x:v>종결 근거 보관</x:v>
      </x:c>
      <x:c r="Y2530" s="2" t="str">
        <x:v>ad210cd9ec132cfd447541c8984dc53d30aff0f4fb2dc92d254d49275cc55976</x:v>
      </x:c>
      <x:c r="Z2530" s="2" t="n">
        <x:f>SUBTOTAL(103,A2530)</x:f>
        <x:v>1</x:v>
      </x:c>
      <x:c r="AA2530" s="2" t="str">
        <x:f>IF(K2530&lt;&gt;"미종결 표시","대상 아님",IF(N2530="","신청일 확인",IF(NOT(ISNUMBER('종합 현황'!$H$5)),"관찰기준 확인",IF('종합 현황'!$H$5&lt;1,"관찰기준 확인",IF(N2530&gt;'종합 현황'!$H$5,"내부 관찰 대상","내부 관찰일 이하")))))</x:f>
        <x:v>대상 아님</x:v>
      </x:c>
      <x:c r="AB2530" s="2" t="str">
        <x:v>2020-12-04 15:58 - 신청
2021-01-27 10:28 - 문서재제출요청
2021-01-28 13:58 - 신청
2021-03-30 14:54 - 문서재제출요청
2021-04-02 14:50 - 신청
2021-04-19 13:45 - 문서재제출요청
2021-04-19 14:08 - 신청
2021-06-09 16:43 - 문서재제출요청
2021-07-13 15:54 - 신청
2021-08-06 17:01 - 문서재제출요청
2021-08-19 10:11 - 신청
2021-09-27 10:25 - 검토승인
2021-10-08 17:22 - 심의승인</x:v>
      </x:c>
    </x:row>
    <x:row r="2531" ht="42" customHeight="1">
      <x:c r="A2531" s="2" t="str">
        <x:v>d4a343e366a3b977b6ce50fe</x:v>
      </x:c>
      <x:c r="B2531" s="2" t="str">
        <x:v>감축량 인증</x:v>
      </x:c>
      <x:c r="C2531" s="2" t="str">
        <x:v>국외</x:v>
      </x:c>
      <x:c r="D2531" s="7" t="str">
        <x:v>안전한 식수 공급을 위한 정수기 보급 사업 : CPA 82(한국 지원)</x:v>
      </x:c>
      <x:c r="E2531" s="2" t="str">
        <x:v>116</x:v>
      </x:c>
      <x:c r="F2531" s="2" t="str">
        <x:v>2020-12-04</x:v>
      </x:c>
      <x:c r="G2531" s="2" t="str">
        <x:v>2020</x:v>
      </x:c>
      <x:c r="H2531" s="2" t="str">
        <x:v>12</x:v>
      </x:c>
      <x:c r="I2531" s="2" t="str">
        <x:v>심의승인</x:v>
      </x:c>
      <x:c r="J2531" s="2" t="str">
        <x:v>심의승인</x:v>
      </x:c>
      <x:c r="K2531" s="2" t="str">
        <x:f>IF(OR(J2531="심의승인",J2531="반려",J2531="반려완료",J2531="심의완료"),"종결 표시",IF(OR(J2531="기후부협의",J2531="문서재제출요청",J2531="보류",J2531="보완요청",J2531="보완완료",J2531="평가중",J2531="반려요청",J2531="평가필요",LEFT(J2531,5)="보완요청("),"미종결 표시","상태 확인 필요"))</x:f>
        <x:v>종결 표시</x:v>
      </x:c>
      <x:c r="L2531" s="2" t="str">
        <x:v>KECM</x:v>
      </x:c>
      <x:c r="M2531" s="2"/>
      <x:c r="N2531" s="8" t="n">
        <x:f>DATE(2026,10,15)-DATE(2020,12,4)</x:f>
        <x:v>2141</x:v>
      </x:c>
      <x:c r="O2531" s="2"/>
      <x:c r="P2531" s="2"/>
      <x:c r="Q2531" s="2" t="str">
        <x:v>산업전환_외부사업관리Tool_260707_이너젠 수정_LJY_261013.xlsx</x:v>
      </x:c>
      <x:c r="R2531" s="2" t="str">
        <x:v>국외인증</x:v>
      </x:c>
      <x:c r="S2531" s="8" t="n">
        <x:v>118</x:v>
      </x:c>
      <x:c r="T2531" s="2"/>
      <x:c r="U2531" s="2" t="str"/>
      <x:c r="V2531" s="2" t="str">
        <x:v>2021-10-08</x:v>
      </x:c>
      <x:c r="W2531" s="2" t="str"/>
      <x:c r="X2531" s="2" t="str">
        <x:v>종결 근거 보관</x:v>
      </x:c>
      <x:c r="Y2531" s="2" t="str">
        <x:v>ad210cd9ec132cfd447541c8984dc53d30aff0f4fb2dc92d254d49275cc55976</x:v>
      </x:c>
      <x:c r="Z2531" s="2" t="n">
        <x:f>SUBTOTAL(103,A2531)</x:f>
        <x:v>1</x:v>
      </x:c>
      <x:c r="AA2531" s="2" t="str">
        <x:f>IF(K2531&lt;&gt;"미종결 표시","대상 아님",IF(N2531="","신청일 확인",IF(NOT(ISNUMBER('종합 현황'!$H$5)),"관찰기준 확인",IF('종합 현황'!$H$5&lt;1,"관찰기준 확인",IF(N2531&gt;'종합 현황'!$H$5,"내부 관찰 대상","내부 관찰일 이하")))))</x:f>
        <x:v>대상 아님</x:v>
      </x:c>
      <x:c r="AB2531" s="2" t="str">
        <x:v>2020-12-04 15:59 - 신청
2021-01-27 10:26 -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17:23 - 심의승인</x:v>
      </x:c>
    </x:row>
    <x:row r="2532" ht="42" customHeight="1">
      <x:c r="A2532" s="2" t="str">
        <x:v>6d99b12a4333dcb140911a8e</x:v>
      </x:c>
      <x:c r="B2532" s="2" t="str">
        <x:v>감축량 인증</x:v>
      </x:c>
      <x:c r="C2532" s="2" t="str">
        <x:v>국외</x:v>
      </x:c>
      <x:c r="D2532" s="7" t="str">
        <x:v>안전한 식수 공급을 위한 정수기 보급 사업 : CPA 83(한국 지원)</x:v>
      </x:c>
      <x:c r="E2532" s="2" t="str">
        <x:v>117</x:v>
      </x:c>
      <x:c r="F2532" s="2" t="str">
        <x:v>2020-12-04</x:v>
      </x:c>
      <x:c r="G2532" s="2" t="str">
        <x:v>2020</x:v>
      </x:c>
      <x:c r="H2532" s="2" t="str">
        <x:v>12</x:v>
      </x:c>
      <x:c r="I2532" s="2" t="str">
        <x:v>심의승인</x:v>
      </x:c>
      <x:c r="J2532" s="2" t="str">
        <x:v>심의승인</x:v>
      </x:c>
      <x:c r="K2532" s="2" t="str">
        <x:f>IF(OR(J2532="심의승인",J2532="반려",J2532="반려완료",J2532="심의완료"),"종결 표시",IF(OR(J2532="기후부협의",J2532="문서재제출요청",J2532="보류",J2532="보완요청",J2532="보완완료",J2532="평가중",J2532="반려요청",J2532="평가필요",LEFT(J2532,5)="보완요청("),"미종결 표시","상태 확인 필요"))</x:f>
        <x:v>종결 표시</x:v>
      </x:c>
      <x:c r="L2532" s="2" t="str">
        <x:v>KECM</x:v>
      </x:c>
      <x:c r="M2532" s="2"/>
      <x:c r="N2532" s="8" t="n">
        <x:f>DATE(2026,10,15)-DATE(2020,12,4)</x:f>
        <x:v>2141</x:v>
      </x:c>
      <x:c r="O2532" s="2"/>
      <x:c r="P2532" s="2"/>
      <x:c r="Q2532" s="2" t="str">
        <x:v>산업전환_외부사업관리Tool_260707_이너젠 수정_LJY_261013.xlsx</x:v>
      </x:c>
      <x:c r="R2532" s="2" t="str">
        <x:v>국외인증</x:v>
      </x:c>
      <x:c r="S2532" s="8" t="n">
        <x:v>119</x:v>
      </x:c>
      <x:c r="T2532" s="2"/>
      <x:c r="U2532" s="2" t="str"/>
      <x:c r="V2532" s="2" t="str">
        <x:v>2021-10-08</x:v>
      </x:c>
      <x:c r="W2532" s="2" t="str"/>
      <x:c r="X2532" s="2" t="str">
        <x:v>종결 근거 보관</x:v>
      </x:c>
      <x:c r="Y2532" s="2" t="str">
        <x:v>ad210cd9ec132cfd447541c8984dc53d30aff0f4fb2dc92d254d49275cc55976</x:v>
      </x:c>
      <x:c r="Z2532" s="2" t="n">
        <x:f>SUBTOTAL(103,A2532)</x:f>
        <x:v>1</x:v>
      </x:c>
      <x:c r="AA2532" s="2" t="str">
        <x:f>IF(K2532&lt;&gt;"미종결 표시","대상 아님",IF(N2532="","신청일 확인",IF(NOT(ISNUMBER('종합 현황'!$H$5)),"관찰기준 확인",IF('종합 현황'!$H$5&lt;1,"관찰기준 확인",IF(N2532&gt;'종합 현황'!$H$5,"내부 관찰 대상","내부 관찰일 이하")))))</x:f>
        <x:v>대상 아님</x:v>
      </x:c>
      <x:c r="AB2532" s="2" t="str">
        <x:v>2020-12-04 15:59 - 신청
2021-01-27 10:28 - 문서재제출요청
2021-01-28 13:59 - 신청
2021-03-30 14:55 - 문서재제출요청
2021-04-02 14:49 - 신청
2021-04-19 13:45 - 문서재제출요청
2021-04-19 14:08 - 신청
2021-06-09 16:43 - 문서재제출요청
2021-07-13 15:53 - 신청
2021-08-06 17:01 - 문서재제출요청
2021-08-19 10:11 - 신청
2021-09-27 10:24 - 검토승인
2021-10-08 17:24 - 심의승인</x:v>
      </x:c>
    </x:row>
    <x:row r="2533" ht="42" customHeight="1">
      <x:c r="A2533" s="2" t="str">
        <x:v>5ebece4803edfc4793a130d1</x:v>
      </x:c>
      <x:c r="B2533" s="2" t="str">
        <x:v>감축량 인증</x:v>
      </x:c>
      <x:c r="C2533" s="2" t="str">
        <x:v>국외</x:v>
      </x:c>
      <x:c r="D2533" s="7" t="str">
        <x:v>안전한 식수 공급을 위한 정수기 보급 사업 : CPA 84(한국 지원)</x:v>
      </x:c>
      <x:c r="E2533" s="2" t="str">
        <x:v>118</x:v>
      </x:c>
      <x:c r="F2533" s="2" t="str">
        <x:v>2020-12-04</x:v>
      </x:c>
      <x:c r="G2533" s="2" t="str">
        <x:v>2020</x:v>
      </x:c>
      <x:c r="H2533" s="2" t="str">
        <x:v>12</x:v>
      </x:c>
      <x:c r="I2533" s="2" t="str">
        <x:v>심의승인</x:v>
      </x:c>
      <x:c r="J2533" s="2" t="str">
        <x:v>심의승인</x:v>
      </x:c>
      <x:c r="K2533" s="2" t="str">
        <x:f>IF(OR(J2533="심의승인",J2533="반려",J2533="반려완료",J2533="심의완료"),"종결 표시",IF(OR(J2533="기후부협의",J2533="문서재제출요청",J2533="보류",J2533="보완요청",J2533="보완완료",J2533="평가중",J2533="반려요청",J2533="평가필요",LEFT(J2533,5)="보완요청("),"미종결 표시","상태 확인 필요"))</x:f>
        <x:v>종결 표시</x:v>
      </x:c>
      <x:c r="L2533" s="2" t="str">
        <x:v>KECM</x:v>
      </x:c>
      <x:c r="M2533" s="2"/>
      <x:c r="N2533" s="8" t="n">
        <x:f>DATE(2026,10,15)-DATE(2020,12,4)</x:f>
        <x:v>2141</x:v>
      </x:c>
      <x:c r="O2533" s="2"/>
      <x:c r="P2533" s="2"/>
      <x:c r="Q2533" s="2" t="str">
        <x:v>산업전환_외부사업관리Tool_260707_이너젠 수정_LJY_261013.xlsx</x:v>
      </x:c>
      <x:c r="R2533" s="2" t="str">
        <x:v>국외인증</x:v>
      </x:c>
      <x:c r="S2533" s="8" t="n">
        <x:v>120</x:v>
      </x:c>
      <x:c r="T2533" s="2"/>
      <x:c r="U2533" s="2" t="str"/>
      <x:c r="V2533" s="2" t="str">
        <x:v>2021-10-08</x:v>
      </x:c>
      <x:c r="W2533" s="2" t="str"/>
      <x:c r="X2533" s="2" t="str">
        <x:v>종결 근거 보관</x:v>
      </x:c>
      <x:c r="Y2533" s="2" t="str">
        <x:v>ad210cd9ec132cfd447541c8984dc53d30aff0f4fb2dc92d254d49275cc55976</x:v>
      </x:c>
      <x:c r="Z2533" s="2" t="n">
        <x:f>SUBTOTAL(103,A2533)</x:f>
        <x:v>1</x:v>
      </x:c>
      <x:c r="AA2533" s="2" t="str">
        <x:f>IF(K2533&lt;&gt;"미종결 표시","대상 아님",IF(N2533="","신청일 확인",IF(NOT(ISNUMBER('종합 현황'!$H$5)),"관찰기준 확인",IF('종합 현황'!$H$5&lt;1,"관찰기준 확인",IF(N2533&gt;'종합 현황'!$H$5,"내부 관찰 대상","내부 관찰일 이하")))))</x:f>
        <x:v>대상 아님</x:v>
      </x:c>
      <x:c r="AB2533" s="2" t="str">
        <x:v>2020-12-04 16:02 - 신청
2021-01-27 10:26 - 문서재제출요청
2021-01-28 13:59 - 신청
2021-03-30 14:56 - 문서재제출요청
2021-04-02 14:48 - 신청
2021-04-19 13:46 - 문서재제출요청
2021-04-19 14:09 - 신청
2021-06-09 16:43 - 문서재제출요청
2021-07-13 15:52 - 신청
2021-08-06 17:02 - 문서재제출요청
2021-08-19 10:12 - 신청
2021-09-27 10:24 - 검토승인
2021-10-08 17:25 - 심의승인</x:v>
      </x:c>
    </x:row>
    <x:row r="2534" ht="42" customHeight="1">
      <x:c r="A2534" s="2" t="str">
        <x:v>e69b05628d3cba8f5fc4a93b</x:v>
      </x:c>
      <x:c r="B2534" s="2" t="str">
        <x:v>감축량 인증</x:v>
      </x:c>
      <x:c r="C2534" s="2" t="str">
        <x:v>국외</x:v>
      </x:c>
      <x:c r="D2534" s="7" t="str">
        <x:v>안전한 식수 공급을 위한 정수기 보급 사업 : CPA 85(한국 지원)</x:v>
      </x:c>
      <x:c r="E2534" s="2" t="str">
        <x:v>119</x:v>
      </x:c>
      <x:c r="F2534" s="2" t="str">
        <x:v>2020-12-04</x:v>
      </x:c>
      <x:c r="G2534" s="2" t="str">
        <x:v>2020</x:v>
      </x:c>
      <x:c r="H2534" s="2" t="str">
        <x:v>12</x:v>
      </x:c>
      <x:c r="I2534" s="2" t="str">
        <x:v>심의승인</x:v>
      </x:c>
      <x:c r="J2534" s="2" t="str">
        <x:v>심의승인</x:v>
      </x:c>
      <x:c r="K2534" s="2" t="str">
        <x:f>IF(OR(J2534="심의승인",J2534="반려",J2534="반려완료",J2534="심의완료"),"종결 표시",IF(OR(J2534="기후부협의",J2534="문서재제출요청",J2534="보류",J2534="보완요청",J2534="보완완료",J2534="평가중",J2534="반려요청",J2534="평가필요",LEFT(J2534,5)="보완요청("),"미종결 표시","상태 확인 필요"))</x:f>
        <x:v>종결 표시</x:v>
      </x:c>
      <x:c r="L2534" s="2" t="str">
        <x:v>KECM</x:v>
      </x:c>
      <x:c r="M2534" s="2"/>
      <x:c r="N2534" s="8" t="n">
        <x:f>DATE(2026,10,15)-DATE(2020,12,4)</x:f>
        <x:v>2141</x:v>
      </x:c>
      <x:c r="O2534" s="2"/>
      <x:c r="P2534" s="2"/>
      <x:c r="Q2534" s="2" t="str">
        <x:v>산업전환_외부사업관리Tool_260707_이너젠 수정_LJY_261013.xlsx</x:v>
      </x:c>
      <x:c r="R2534" s="2" t="str">
        <x:v>국외인증</x:v>
      </x:c>
      <x:c r="S2534" s="8" t="n">
        <x:v>121</x:v>
      </x:c>
      <x:c r="T2534" s="2"/>
      <x:c r="U2534" s="2" t="str"/>
      <x:c r="V2534" s="2" t="str">
        <x:v>2021-10-08</x:v>
      </x:c>
      <x:c r="W2534" s="2" t="str"/>
      <x:c r="X2534" s="2" t="str">
        <x:v>종결 근거 보관</x:v>
      </x:c>
      <x:c r="Y2534" s="2" t="str">
        <x:v>ad210cd9ec132cfd447541c8984dc53d30aff0f4fb2dc92d254d49275cc55976</x:v>
      </x:c>
      <x:c r="Z2534" s="2" t="n">
        <x:f>SUBTOTAL(103,A2534)</x:f>
        <x:v>1</x:v>
      </x:c>
      <x:c r="AA2534" s="2" t="str">
        <x:f>IF(K2534&lt;&gt;"미종결 표시","대상 아님",IF(N2534="","신청일 확인",IF(NOT(ISNUMBER('종합 현황'!$H$5)),"관찰기준 확인",IF('종합 현황'!$H$5&lt;1,"관찰기준 확인",IF(N2534&gt;'종합 현황'!$H$5,"내부 관찰 대상","내부 관찰일 이하")))))</x:f>
        <x:v>대상 아님</x:v>
      </x:c>
      <x:c r="AB2534" s="2" t="str">
        <x:v>2020-12-04 16:04 - 신청
2021-01-27 10:28 - 문서재제출요청
2021-01-28 14:00 - 신청
2021-03-30 14:57 - 문서재제출요청
2021-04-02 14:48 - 신청
2021-04-19 13:46 - 문서재제출요청
2021-04-19 14:09 - 신청
2021-06-09 16:39 - 문서재제출요청
2021-07-13 15:52 - 신청
2021-08-06 17:02 - 문서재제출요청
2021-08-19 10:12 - 신청
2021-09-27 10:24 - 검토승인
2021-10-08 17:26 - 심의승인</x:v>
      </x:c>
    </x:row>
    <x:row r="2535" ht="42" customHeight="1">
      <x:c r="A2535" s="2" t="str">
        <x:v>cf82136360447e17da3c9ca2</x:v>
      </x:c>
      <x:c r="B2535" s="2" t="str">
        <x:v>감축량 인증</x:v>
      </x:c>
      <x:c r="C2535" s="2" t="str">
        <x:v>국외</x:v>
      </x:c>
      <x:c r="D2535" s="7" t="str">
        <x:v>안전한 식수 공급을 위한 정수기 보급 사업 : CPA 86(한국 지원)</x:v>
      </x:c>
      <x:c r="E2535" s="2" t="str">
        <x:v>120</x:v>
      </x:c>
      <x:c r="F2535" s="2" t="str">
        <x:v>2020-12-04</x:v>
      </x:c>
      <x:c r="G2535" s="2" t="str">
        <x:v>2020</x:v>
      </x:c>
      <x:c r="H2535" s="2" t="str">
        <x:v>12</x:v>
      </x:c>
      <x:c r="I2535" s="2" t="str">
        <x:v>심의승인</x:v>
      </x:c>
      <x:c r="J2535" s="2" t="str">
        <x:v>심의승인</x:v>
      </x:c>
      <x:c r="K2535" s="2" t="str">
        <x:f>IF(OR(J2535="심의승인",J2535="반려",J2535="반려완료",J2535="심의완료"),"종결 표시",IF(OR(J2535="기후부협의",J2535="문서재제출요청",J2535="보류",J2535="보완요청",J2535="보완완료",J2535="평가중",J2535="반려요청",J2535="평가필요",LEFT(J2535,5)="보완요청("),"미종결 표시","상태 확인 필요"))</x:f>
        <x:v>종결 표시</x:v>
      </x:c>
      <x:c r="L2535" s="2" t="str">
        <x:v>KECM</x:v>
      </x:c>
      <x:c r="M2535" s="2"/>
      <x:c r="N2535" s="8" t="n">
        <x:f>DATE(2026,10,15)-DATE(2020,12,4)</x:f>
        <x:v>2141</x:v>
      </x:c>
      <x:c r="O2535" s="2"/>
      <x:c r="P2535" s="2"/>
      <x:c r="Q2535" s="2" t="str">
        <x:v>산업전환_외부사업관리Tool_260707_이너젠 수정_LJY_261013.xlsx</x:v>
      </x:c>
      <x:c r="R2535" s="2" t="str">
        <x:v>국외인증</x:v>
      </x:c>
      <x:c r="S2535" s="8" t="n">
        <x:v>122</x:v>
      </x:c>
      <x:c r="T2535" s="2"/>
      <x:c r="U2535" s="2" t="str"/>
      <x:c r="V2535" s="2" t="str">
        <x:v>2021-10-08</x:v>
      </x:c>
      <x:c r="W2535" s="2" t="str"/>
      <x:c r="X2535" s="2" t="str">
        <x:v>종결 근거 보관</x:v>
      </x:c>
      <x:c r="Y2535" s="2" t="str">
        <x:v>ad210cd9ec132cfd447541c8984dc53d30aff0f4fb2dc92d254d49275cc55976</x:v>
      </x:c>
      <x:c r="Z2535" s="2" t="n">
        <x:f>SUBTOTAL(103,A2535)</x:f>
        <x:v>1</x:v>
      </x:c>
      <x:c r="AA2535" s="2" t="str">
        <x:f>IF(K2535&lt;&gt;"미종결 표시","대상 아님",IF(N2535="","신청일 확인",IF(NOT(ISNUMBER('종합 현황'!$H$5)),"관찰기준 확인",IF('종합 현황'!$H$5&lt;1,"관찰기준 확인",IF(N2535&gt;'종합 현황'!$H$5,"내부 관찰 대상","내부 관찰일 이하")))))</x:f>
        <x:v>대상 아님</x:v>
      </x:c>
      <x:c r="AB2535" s="2" t="str">
        <x:v>2020-12-04 16:04 - 신청
2021-01-27 10:26 - 문서재제출요청
2021-01-28 14:00 - 신청
2021-03-30 14:57 - 문서재제출요청
2021-04-02 14:48 - 신청
2021-04-19 13:46 - 문서재제출요청
2021-04-19 14:09 - 신청
2021-06-09 16:36 - 문서재제출요청
2021-07-13 15:46 - 신청
2021-08-06 17:02 - 문서재제출요청
2021-08-19 10:12 - 신청
2021-09-27 10:18 - 검토승인
2021-10-08 17:28 - 심의승인</x:v>
      </x:c>
    </x:row>
    <x:row r="2536" ht="42" customHeight="1">
      <x:c r="A2536" s="2" t="str">
        <x:v>0c85d3815dd793f9479d9064</x:v>
      </x:c>
      <x:c r="B2536" s="2" t="str">
        <x:v>감축량 인증</x:v>
      </x:c>
      <x:c r="C2536" s="2" t="str">
        <x:v>국외</x:v>
      </x:c>
      <x:c r="D2536" s="7" t="str">
        <x:v>안전한 식수 공급을 위한 정수기 보급 사업 : CPA 87(한국 지원)</x:v>
      </x:c>
      <x:c r="E2536" s="2" t="str">
        <x:v>121</x:v>
      </x:c>
      <x:c r="F2536" s="2" t="str">
        <x:v>2020-12-04</x:v>
      </x:c>
      <x:c r="G2536" s="2" t="str">
        <x:v>2020</x:v>
      </x:c>
      <x:c r="H2536" s="2" t="str">
        <x:v>12</x:v>
      </x:c>
      <x:c r="I2536" s="2" t="str">
        <x:v>심의승인</x:v>
      </x:c>
      <x:c r="J2536" s="2" t="str">
        <x:v>심의승인</x:v>
      </x:c>
      <x:c r="K2536" s="2" t="str">
        <x:f>IF(OR(J2536="심의승인",J2536="반려",J2536="반려완료",J2536="심의완료"),"종결 표시",IF(OR(J2536="기후부협의",J2536="문서재제출요청",J2536="보류",J2536="보완요청",J2536="보완완료",J2536="평가중",J2536="반려요청",J2536="평가필요",LEFT(J2536,5)="보완요청("),"미종결 표시","상태 확인 필요"))</x:f>
        <x:v>종결 표시</x:v>
      </x:c>
      <x:c r="L2536" s="2" t="str">
        <x:v>KECM</x:v>
      </x:c>
      <x:c r="M2536" s="2"/>
      <x:c r="N2536" s="8" t="n">
        <x:f>DATE(2026,10,15)-DATE(2020,12,4)</x:f>
        <x:v>2141</x:v>
      </x:c>
      <x:c r="O2536" s="2"/>
      <x:c r="P2536" s="2"/>
      <x:c r="Q2536" s="2" t="str">
        <x:v>산업전환_외부사업관리Tool_260707_이너젠 수정_LJY_261013.xlsx</x:v>
      </x:c>
      <x:c r="R2536" s="2" t="str">
        <x:v>국외인증</x:v>
      </x:c>
      <x:c r="S2536" s="8" t="n">
        <x:v>123</x:v>
      </x:c>
      <x:c r="T2536" s="2"/>
      <x:c r="U2536" s="2" t="str"/>
      <x:c r="V2536" s="2" t="str">
        <x:v>2021-10-08</x:v>
      </x:c>
      <x:c r="W2536" s="2" t="str"/>
      <x:c r="X2536" s="2" t="str">
        <x:v>종결 근거 보관</x:v>
      </x:c>
      <x:c r="Y2536" s="2" t="str">
        <x:v>ad210cd9ec132cfd447541c8984dc53d30aff0f4fb2dc92d254d49275cc55976</x:v>
      </x:c>
      <x:c r="Z2536" s="2" t="n">
        <x:f>SUBTOTAL(103,A2536)</x:f>
        <x:v>1</x:v>
      </x:c>
      <x:c r="AA2536" s="2" t="str">
        <x:f>IF(K2536&lt;&gt;"미종결 표시","대상 아님",IF(N2536="","신청일 확인",IF(NOT(ISNUMBER('종합 현황'!$H$5)),"관찰기준 확인",IF('종합 현황'!$H$5&lt;1,"관찰기준 확인",IF(N2536&gt;'종합 현황'!$H$5,"내부 관찰 대상","내부 관찰일 이하")))))</x:f>
        <x:v>대상 아님</x:v>
      </x:c>
      <x:c r="AB2536" s="2" t="str">
        <x:v>2020-12-04 16:05 - 신청
2021-01-27 10:26 - 문서재제출요청
2021-01-28 14:00 - 신청
2021-03-30 14:58 - 문서재제출요청
2021-04-02 14:47 - 신청
2021-04-19 13:47 - 문서재제출요청
2021-04-19 14:09 - 신청
2021-06-09 16:35 - 문서재제출요청
2021-07-13 15:46 - 신청
2021-08-06 17:03 - 문서재제출요청
2021-08-19 10:12 - 신청
2021-09-27 10:18 - 검토승인
2021-10-08 17:29 - 심의승인</x:v>
      </x:c>
    </x:row>
    <x:row r="2537" ht="42" customHeight="1">
      <x:c r="A2537" s="2" t="str">
        <x:v>3d019ffa789c44094c4bd65b</x:v>
      </x:c>
      <x:c r="B2537" s="2" t="str">
        <x:v>감축량 인증</x:v>
      </x:c>
      <x:c r="C2537" s="2" t="str">
        <x:v>국외</x:v>
      </x:c>
      <x:c r="D2537" s="7" t="str">
        <x:v>안전한 식수 공급을 위한 정수기 보급 사업 : CPA 88(한국 지원)</x:v>
      </x:c>
      <x:c r="E2537" s="2" t="str">
        <x:v>122</x:v>
      </x:c>
      <x:c r="F2537" s="2" t="str">
        <x:v>2020-12-04</x:v>
      </x:c>
      <x:c r="G2537" s="2" t="str">
        <x:v>2020</x:v>
      </x:c>
      <x:c r="H2537" s="2" t="str">
        <x:v>12</x:v>
      </x:c>
      <x:c r="I2537" s="2" t="str">
        <x:v>심의승인</x:v>
      </x:c>
      <x:c r="J2537" s="2" t="str">
        <x:v>심의승인</x:v>
      </x:c>
      <x:c r="K2537" s="2" t="str">
        <x:f>IF(OR(J2537="심의승인",J2537="반려",J2537="반려완료",J2537="심의완료"),"종결 표시",IF(OR(J2537="기후부협의",J2537="문서재제출요청",J2537="보류",J2537="보완요청",J2537="보완완료",J2537="평가중",J2537="반려요청",J2537="평가필요",LEFT(J2537,5)="보완요청("),"미종결 표시","상태 확인 필요"))</x:f>
        <x:v>종결 표시</x:v>
      </x:c>
      <x:c r="L2537" s="2" t="str">
        <x:v>KECM</x:v>
      </x:c>
      <x:c r="M2537" s="2"/>
      <x:c r="N2537" s="8" t="n">
        <x:f>DATE(2026,10,15)-DATE(2020,12,4)</x:f>
        <x:v>2141</x:v>
      </x:c>
      <x:c r="O2537" s="2"/>
      <x:c r="P2537" s="2"/>
      <x:c r="Q2537" s="2" t="str">
        <x:v>산업전환_외부사업관리Tool_260707_이너젠 수정_LJY_261013.xlsx</x:v>
      </x:c>
      <x:c r="R2537" s="2" t="str">
        <x:v>국외인증</x:v>
      </x:c>
      <x:c r="S2537" s="8" t="n">
        <x:v>124</x:v>
      </x:c>
      <x:c r="T2537" s="2"/>
      <x:c r="U2537" s="2" t="str"/>
      <x:c r="V2537" s="2" t="str">
        <x:v>2021-10-08</x:v>
      </x:c>
      <x:c r="W2537" s="2" t="str"/>
      <x:c r="X2537" s="2" t="str">
        <x:v>종결 근거 보관</x:v>
      </x:c>
      <x:c r="Y2537" s="2" t="str">
        <x:v>ad210cd9ec132cfd447541c8984dc53d30aff0f4fb2dc92d254d49275cc55976</x:v>
      </x:c>
      <x:c r="Z2537" s="2" t="n">
        <x:f>SUBTOTAL(103,A2537)</x:f>
        <x:v>1</x:v>
      </x:c>
      <x:c r="AA2537" s="2" t="str">
        <x:f>IF(K2537&lt;&gt;"미종결 표시","대상 아님",IF(N2537="","신청일 확인",IF(NOT(ISNUMBER('종합 현황'!$H$5)),"관찰기준 확인",IF('종합 현황'!$H$5&lt;1,"관찰기준 확인",IF(N2537&gt;'종합 현황'!$H$5,"내부 관찰 대상","내부 관찰일 이하")))))</x:f>
        <x:v>대상 아님</x:v>
      </x:c>
      <x:c r="AB2537" s="2" t="str">
        <x:v>2020-12-04 16:07 - 신청
2021-01-27 10:26 - 문서재제출요청
2021-01-28 14:01 - 신청
2021-03-30 14:58 - 문서재제출요청
2021-04-02 14:47 - 신청
2021-04-19 13:48 - 문서재제출요청
2021-04-19 14:10 - 신청
2021-06-09 16:35 - 문서재제출요청
2021-07-13 15:44 - 신청
2021-08-06 17:03 - 문서재제출요청
2021-08-19 10:12 - 신청
2021-09-27 10:17 - 검토승인
2021-10-08 17:30 - 심의승인</x:v>
      </x:c>
    </x:row>
    <x:row r="2538" ht="42" customHeight="1">
      <x:c r="A2538" s="2" t="str">
        <x:v>d7eb055dcdd783a70d5e83b8</x:v>
      </x:c>
      <x:c r="B2538" s="2" t="str">
        <x:v>감축량 인증</x:v>
      </x:c>
      <x:c r="C2538" s="2" t="str">
        <x:v>국외</x:v>
      </x:c>
      <x:c r="D2538" s="7" t="str">
        <x:v>안전한 식수 공급을 위한 정수기 보급 사업 : CPA 89(한국 지원)</x:v>
      </x:c>
      <x:c r="E2538" s="2" t="str">
        <x:v>123</x:v>
      </x:c>
      <x:c r="F2538" s="2" t="str">
        <x:v>2020-12-04</x:v>
      </x:c>
      <x:c r="G2538" s="2" t="str">
        <x:v>2020</x:v>
      </x:c>
      <x:c r="H2538" s="2" t="str">
        <x:v>12</x:v>
      </x:c>
      <x:c r="I2538" s="2" t="str">
        <x:v>심의승인</x:v>
      </x:c>
      <x:c r="J2538" s="2" t="str">
        <x:v>심의승인</x:v>
      </x:c>
      <x:c r="K2538" s="2" t="str">
        <x:f>IF(OR(J2538="심의승인",J2538="반려",J2538="반려완료",J2538="심의완료"),"종결 표시",IF(OR(J2538="기후부협의",J2538="문서재제출요청",J2538="보류",J2538="보완요청",J2538="보완완료",J2538="평가중",J2538="반려요청",J2538="평가필요",LEFT(J2538,5)="보완요청("),"미종결 표시","상태 확인 필요"))</x:f>
        <x:v>종결 표시</x:v>
      </x:c>
      <x:c r="L2538" s="2" t="str">
        <x:v>KECM</x:v>
      </x:c>
      <x:c r="M2538" s="2"/>
      <x:c r="N2538" s="8" t="n">
        <x:f>DATE(2026,10,15)-DATE(2020,12,4)</x:f>
        <x:v>2141</x:v>
      </x:c>
      <x:c r="O2538" s="2"/>
      <x:c r="P2538" s="2"/>
      <x:c r="Q2538" s="2" t="str">
        <x:v>산업전환_외부사업관리Tool_260707_이너젠 수정_LJY_261013.xlsx</x:v>
      </x:c>
      <x:c r="R2538" s="2" t="str">
        <x:v>국외인증</x:v>
      </x:c>
      <x:c r="S2538" s="8" t="n">
        <x:v>125</x:v>
      </x:c>
      <x:c r="T2538" s="2"/>
      <x:c r="U2538" s="2" t="str"/>
      <x:c r="V2538" s="2" t="str">
        <x:v>2021-10-08</x:v>
      </x:c>
      <x:c r="W2538" s="2" t="str"/>
      <x:c r="X2538" s="2" t="str">
        <x:v>종결 근거 보관</x:v>
      </x:c>
      <x:c r="Y2538" s="2" t="str">
        <x:v>ad210cd9ec132cfd447541c8984dc53d30aff0f4fb2dc92d254d49275cc55976</x:v>
      </x:c>
      <x:c r="Z2538" s="2" t="n">
        <x:f>SUBTOTAL(103,A2538)</x:f>
        <x:v>1</x:v>
      </x:c>
      <x:c r="AA2538" s="2" t="str">
        <x:f>IF(K2538&lt;&gt;"미종결 표시","대상 아님",IF(N2538="","신청일 확인",IF(NOT(ISNUMBER('종합 현황'!$H$5)),"관찰기준 확인",IF('종합 현황'!$H$5&lt;1,"관찰기준 확인",IF(N2538&gt;'종합 현황'!$H$5,"내부 관찰 대상","내부 관찰일 이하")))))</x:f>
        <x:v>대상 아님</x:v>
      </x:c>
      <x:c r="AB2538" s="2" t="str">
        <x:v>2020-12-04 16:07 - 신청
2021-01-27 10:26 - 문서재제출요청
2021-01-28 14:01 - 신청
2021-03-30 14:59 - 문서재제출요청
2021-04-02 14:46 - 신청
2021-04-19 13:48 - 문서재제출요청
2021-04-19 14:10 - 신청
2021-06-09 16:35 - 문서재제출요청
2021-07-13 15:44 - 신청
2021-08-06 17:03 - 문서재제출요청
2021-08-19 10:13 - 신청
2021-09-27 10:17 - 검토승인
2021-10-08 17:31 - 심의승인</x:v>
      </x:c>
    </x:row>
    <x:row r="2539" ht="42" customHeight="1">
      <x:c r="A2539" s="2" t="str">
        <x:v>fdae501af86278c6be3fcae3</x:v>
      </x:c>
      <x:c r="B2539" s="2" t="str">
        <x:v>감축량 인증</x:v>
      </x:c>
      <x:c r="C2539" s="2" t="str">
        <x:v>국외</x:v>
      </x:c>
      <x:c r="D2539" s="7" t="str">
        <x:v>안전한 식수 공급을 위한 정수기 보급 사업 : CPA 90(한국 지원)</x:v>
      </x:c>
      <x:c r="E2539" s="2" t="str">
        <x:v>124</x:v>
      </x:c>
      <x:c r="F2539" s="2" t="str">
        <x:v>2020-12-04</x:v>
      </x:c>
      <x:c r="G2539" s="2" t="str">
        <x:v>2020</x:v>
      </x:c>
      <x:c r="H2539" s="2" t="str">
        <x:v>12</x:v>
      </x:c>
      <x:c r="I2539" s="2" t="str">
        <x:v>심의승인</x:v>
      </x:c>
      <x:c r="J2539" s="2" t="str">
        <x:v>심의승인</x:v>
      </x:c>
      <x:c r="K2539" s="2" t="str">
        <x:f>IF(OR(J2539="심의승인",J2539="반려",J2539="반려완료",J2539="심의완료"),"종결 표시",IF(OR(J2539="기후부협의",J2539="문서재제출요청",J2539="보류",J2539="보완요청",J2539="보완완료",J2539="평가중",J2539="반려요청",J2539="평가필요",LEFT(J2539,5)="보완요청("),"미종결 표시","상태 확인 필요"))</x:f>
        <x:v>종결 표시</x:v>
      </x:c>
      <x:c r="L2539" s="2" t="str">
        <x:v>KECM</x:v>
      </x:c>
      <x:c r="M2539" s="2"/>
      <x:c r="N2539" s="8" t="n">
        <x:f>DATE(2026,10,15)-DATE(2020,12,4)</x:f>
        <x:v>2141</x:v>
      </x:c>
      <x:c r="O2539" s="2"/>
      <x:c r="P2539" s="2"/>
      <x:c r="Q2539" s="2" t="str">
        <x:v>산업전환_외부사업관리Tool_260707_이너젠 수정_LJY_261013.xlsx</x:v>
      </x:c>
      <x:c r="R2539" s="2" t="str">
        <x:v>국외인증</x:v>
      </x:c>
      <x:c r="S2539" s="8" t="n">
        <x:v>126</x:v>
      </x:c>
      <x:c r="T2539" s="2"/>
      <x:c r="U2539" s="2" t="str"/>
      <x:c r="V2539" s="2" t="str">
        <x:v>2021-10-08</x:v>
      </x:c>
      <x:c r="W2539" s="2" t="str"/>
      <x:c r="X2539" s="2" t="str">
        <x:v>종결 근거 보관</x:v>
      </x:c>
      <x:c r="Y2539" s="2" t="str">
        <x:v>ad210cd9ec132cfd447541c8984dc53d30aff0f4fb2dc92d254d49275cc55976</x:v>
      </x:c>
      <x:c r="Z2539" s="2" t="n">
        <x:f>SUBTOTAL(103,A2539)</x:f>
        <x:v>1</x:v>
      </x:c>
      <x:c r="AA2539" s="2" t="str">
        <x:f>IF(K2539&lt;&gt;"미종결 표시","대상 아님",IF(N2539="","신청일 확인",IF(NOT(ISNUMBER('종합 현황'!$H$5)),"관찰기준 확인",IF('종합 현황'!$H$5&lt;1,"관찰기준 확인",IF(N2539&gt;'종합 현황'!$H$5,"내부 관찰 대상","내부 관찰일 이하")))))</x:f>
        <x:v>대상 아님</x:v>
      </x:c>
      <x:c r="AB2539" s="2" t="str">
        <x:v>2020-12-04 16:08 - 신청
2021-01-27 10:26 - 문서재제출요청
2021-01-28 14:02 - 신청
2021-03-30 15:00 - 문서재제출요청
2021-04-02 14:46 - 신청
2021-04-19 13:49 - 문서재제출요청
2021-04-19 14:11 - 신청
2021-06-09 16:35 - 문서재제출요청
2021-07-13 15:43 - 신청
2021-08-06 17:03 - 문서재제출요청
2021-08-19 10:13 - 신청
2021-09-27 10:17 - 검토승인
2021-10-08 17:32 - 심의승인</x:v>
      </x:c>
    </x:row>
    <x:row r="2540" ht="42" customHeight="1">
      <x:c r="A2540" s="2" t="str">
        <x:v>a470cc7abf80cad0f42e4a96</x:v>
      </x:c>
      <x:c r="B2540" s="2" t="str">
        <x:v>감축량 인증</x:v>
      </x:c>
      <x:c r="C2540" s="2" t="str">
        <x:v>국외</x:v>
      </x:c>
      <x:c r="D2540" s="7" t="str">
        <x:v>안전한 식수 공급을 위한 정수기 보급 사업 : CPA 91(한국 지원)</x:v>
      </x:c>
      <x:c r="E2540" s="2" t="str">
        <x:v>125</x:v>
      </x:c>
      <x:c r="F2540" s="2" t="str">
        <x:v>2020-12-04</x:v>
      </x:c>
      <x:c r="G2540" s="2" t="str">
        <x:v>2020</x:v>
      </x:c>
      <x:c r="H2540" s="2" t="str">
        <x:v>12</x:v>
      </x:c>
      <x:c r="I2540" s="2" t="str">
        <x:v>심의승인</x:v>
      </x:c>
      <x:c r="J2540" s="2" t="str">
        <x:v>심의승인</x:v>
      </x:c>
      <x:c r="K2540" s="2" t="str">
        <x:f>IF(OR(J2540="심의승인",J2540="반려",J2540="반려완료",J2540="심의완료"),"종결 표시",IF(OR(J2540="기후부협의",J2540="문서재제출요청",J2540="보류",J2540="보완요청",J2540="보완완료",J2540="평가중",J2540="반려요청",J2540="평가필요",LEFT(J2540,5)="보완요청("),"미종결 표시","상태 확인 필요"))</x:f>
        <x:v>종결 표시</x:v>
      </x:c>
      <x:c r="L2540" s="2" t="str">
        <x:v>KECM</x:v>
      </x:c>
      <x:c r="M2540" s="2"/>
      <x:c r="N2540" s="8" t="n">
        <x:f>DATE(2026,10,15)-DATE(2020,12,4)</x:f>
        <x:v>2141</x:v>
      </x:c>
      <x:c r="O2540" s="2"/>
      <x:c r="P2540" s="2"/>
      <x:c r="Q2540" s="2" t="str">
        <x:v>산업전환_외부사업관리Tool_260707_이너젠 수정_LJY_261013.xlsx</x:v>
      </x:c>
      <x:c r="R2540" s="2" t="str">
        <x:v>국외인증</x:v>
      </x:c>
      <x:c r="S2540" s="8" t="n">
        <x:v>127</x:v>
      </x:c>
      <x:c r="T2540" s="2"/>
      <x:c r="U2540" s="2" t="str"/>
      <x:c r="V2540" s="2" t="str">
        <x:v>2021-10-08</x:v>
      </x:c>
      <x:c r="W2540" s="2" t="str"/>
      <x:c r="X2540" s="2" t="str">
        <x:v>종결 근거 보관</x:v>
      </x:c>
      <x:c r="Y2540" s="2" t="str">
        <x:v>ad210cd9ec132cfd447541c8984dc53d30aff0f4fb2dc92d254d49275cc55976</x:v>
      </x:c>
      <x:c r="Z2540" s="2" t="n">
        <x:f>SUBTOTAL(103,A2540)</x:f>
        <x:v>1</x:v>
      </x:c>
      <x:c r="AA2540" s="2" t="str">
        <x:f>IF(K2540&lt;&gt;"미종결 표시","대상 아님",IF(N2540="","신청일 확인",IF(NOT(ISNUMBER('종합 현황'!$H$5)),"관찰기준 확인",IF('종합 현황'!$H$5&lt;1,"관찰기준 확인",IF(N2540&gt;'종합 현황'!$H$5,"내부 관찰 대상","내부 관찰일 이하")))))</x:f>
        <x:v>대상 아님</x:v>
      </x:c>
      <x:c r="AB2540" s="2" t="str">
        <x:v>2020-12-04 16:09 - 신청
2021-01-27 10:25 - 문서재제출요청
2021-01-28 14:06 - 신청
2021-03-30 15:00 - 문서재제출요청
2021-04-02 14:46 - 신청
2021-04-19 13:49 - 문서재제출요청
2021-04-19 14:11 - 신청
2021-06-09 16:34 - 문서재제출요청
2021-07-13 15:43 - 신청
2021-08-06 17:04 - 문서재제출요청
2021-08-19 10:13 - 신청
2021-09-27 10:16 - 검토승인
2021-10-08 17:33 - 심의승인</x:v>
      </x:c>
    </x:row>
    <x:row r="2541" ht="42" customHeight="1">
      <x:c r="A2541" s="2" t="str">
        <x:v>96fa037ae7d03ce22b3a255b</x:v>
      </x:c>
      <x:c r="B2541" s="2" t="str">
        <x:v>감축량 인증</x:v>
      </x:c>
      <x:c r="C2541" s="2" t="str">
        <x:v>국외</x:v>
      </x:c>
      <x:c r="D2541" s="7" t="str">
        <x:v>안전한 식수 공급을 위한 정수기 보급 사업 : CPA 92(한국 지원)</x:v>
      </x:c>
      <x:c r="E2541" s="2" t="str">
        <x:v>126</x:v>
      </x:c>
      <x:c r="F2541" s="2" t="str">
        <x:v>2020-12-04</x:v>
      </x:c>
      <x:c r="G2541" s="2" t="str">
        <x:v>2020</x:v>
      </x:c>
      <x:c r="H2541" s="2" t="str">
        <x:v>12</x:v>
      </x:c>
      <x:c r="I2541" s="2" t="str">
        <x:v>심의승인</x:v>
      </x:c>
      <x:c r="J2541" s="2" t="str">
        <x:v>심의승인</x:v>
      </x:c>
      <x:c r="K2541" s="2" t="str">
        <x:f>IF(OR(J2541="심의승인",J2541="반려",J2541="반려완료",J2541="심의완료"),"종결 표시",IF(OR(J2541="기후부협의",J2541="문서재제출요청",J2541="보류",J2541="보완요청",J2541="보완완료",J2541="평가중",J2541="반려요청",J2541="평가필요",LEFT(J2541,5)="보완요청("),"미종결 표시","상태 확인 필요"))</x:f>
        <x:v>종결 표시</x:v>
      </x:c>
      <x:c r="L2541" s="2" t="str">
        <x:v>KECM</x:v>
      </x:c>
      <x:c r="M2541" s="2"/>
      <x:c r="N2541" s="8" t="n">
        <x:f>DATE(2026,10,15)-DATE(2020,12,4)</x:f>
        <x:v>2141</x:v>
      </x:c>
      <x:c r="O2541" s="2"/>
      <x:c r="P2541" s="2"/>
      <x:c r="Q2541" s="2" t="str">
        <x:v>산업전환_외부사업관리Tool_260707_이너젠 수정_LJY_261013.xlsx</x:v>
      </x:c>
      <x:c r="R2541" s="2" t="str">
        <x:v>국외인증</x:v>
      </x:c>
      <x:c r="S2541" s="8" t="n">
        <x:v>128</x:v>
      </x:c>
      <x:c r="T2541" s="2"/>
      <x:c r="U2541" s="2" t="str"/>
      <x:c r="V2541" s="2" t="str">
        <x:v>2021-10-08</x:v>
      </x:c>
      <x:c r="W2541" s="2" t="str"/>
      <x:c r="X2541" s="2" t="str">
        <x:v>종결 근거 보관</x:v>
      </x:c>
      <x:c r="Y2541" s="2" t="str">
        <x:v>ad210cd9ec132cfd447541c8984dc53d30aff0f4fb2dc92d254d49275cc55976</x:v>
      </x:c>
      <x:c r="Z2541" s="2" t="n">
        <x:f>SUBTOTAL(103,A2541)</x:f>
        <x:v>1</x:v>
      </x:c>
      <x:c r="AA2541" s="2" t="str">
        <x:f>IF(K2541&lt;&gt;"미종결 표시","대상 아님",IF(N2541="","신청일 확인",IF(NOT(ISNUMBER('종합 현황'!$H$5)),"관찰기준 확인",IF('종합 현황'!$H$5&lt;1,"관찰기준 확인",IF(N2541&gt;'종합 현황'!$H$5,"내부 관찰 대상","내부 관찰일 이하")))))</x:f>
        <x:v>대상 아님</x:v>
      </x:c>
      <x:c r="AB2541" s="2" t="str">
        <x:v>2020-12-04 16:09 - 신청
2021-01-27 10:25 - 문서재제출요청
2021-01-28 14:06 - 신청
2021-03-30 15:01 - 문서재제출요청
2021-04-02 14:45 - 신청
2021-04-19 13:49 - 문서재제출요청
2021-04-19 14:11 - 신청
2021-06-09 16:34 - 문서재제출요청
2021-07-13 15:42 - 신청
2021-08-06 17:04 - 문서재제출요청
2021-08-19 10:13 - 신청
2021-09-27 10:16 - 검토승인
2021-10-08 17:34 - 심의승인</x:v>
      </x:c>
    </x:row>
    <x:row r="2542" ht="42" customHeight="1">
      <x:c r="A2542" s="2" t="str">
        <x:v>faf94638de6a46b92215356c</x:v>
      </x:c>
      <x:c r="B2542" s="2" t="str">
        <x:v>감축량 인증</x:v>
      </x:c>
      <x:c r="C2542" s="2" t="str">
        <x:v>국외</x:v>
      </x:c>
      <x:c r="D2542" s="7" t="str">
        <x:v>안전한 식수 공급을 위한 정수기 보급 사업 : CPA 93(한국 지원)</x:v>
      </x:c>
      <x:c r="E2542" s="2" t="str">
        <x:v>127</x:v>
      </x:c>
      <x:c r="F2542" s="2" t="str">
        <x:v>2020-12-04</x:v>
      </x:c>
      <x:c r="G2542" s="2" t="str">
        <x:v>2020</x:v>
      </x:c>
      <x:c r="H2542" s="2" t="str">
        <x:v>12</x:v>
      </x:c>
      <x:c r="I2542" s="2" t="str">
        <x:v>심의승인</x:v>
      </x:c>
      <x:c r="J2542" s="2" t="str">
        <x:v>심의승인</x:v>
      </x:c>
      <x:c r="K2542" s="2" t="str">
        <x:f>IF(OR(J2542="심의승인",J2542="반려",J2542="반려완료",J2542="심의완료"),"종결 표시",IF(OR(J2542="기후부협의",J2542="문서재제출요청",J2542="보류",J2542="보완요청",J2542="보완완료",J2542="평가중",J2542="반려요청",J2542="평가필요",LEFT(J2542,5)="보완요청("),"미종결 표시","상태 확인 필요"))</x:f>
        <x:v>종결 표시</x:v>
      </x:c>
      <x:c r="L2542" s="2" t="str">
        <x:v>KECM</x:v>
      </x:c>
      <x:c r="M2542" s="2"/>
      <x:c r="N2542" s="8" t="n">
        <x:f>DATE(2026,10,15)-DATE(2020,12,4)</x:f>
        <x:v>2141</x:v>
      </x:c>
      <x:c r="O2542" s="2"/>
      <x:c r="P2542" s="2"/>
      <x:c r="Q2542" s="2" t="str">
        <x:v>산업전환_외부사업관리Tool_260707_이너젠 수정_LJY_261013.xlsx</x:v>
      </x:c>
      <x:c r="R2542" s="2" t="str">
        <x:v>국외인증</x:v>
      </x:c>
      <x:c r="S2542" s="8" t="n">
        <x:v>129</x:v>
      </x:c>
      <x:c r="T2542" s="2"/>
      <x:c r="U2542" s="2" t="str"/>
      <x:c r="V2542" s="2" t="str">
        <x:v>2021-10-08</x:v>
      </x:c>
      <x:c r="W2542" s="2" t="str"/>
      <x:c r="X2542" s="2" t="str">
        <x:v>종결 근거 보관</x:v>
      </x:c>
      <x:c r="Y2542" s="2" t="str">
        <x:v>ad210cd9ec132cfd447541c8984dc53d30aff0f4fb2dc92d254d49275cc55976</x:v>
      </x:c>
      <x:c r="Z2542" s="2" t="n">
        <x:f>SUBTOTAL(103,A2542)</x:f>
        <x:v>1</x:v>
      </x:c>
      <x:c r="AA2542" s="2" t="str">
        <x:f>IF(K2542&lt;&gt;"미종결 표시","대상 아님",IF(N2542="","신청일 확인",IF(NOT(ISNUMBER('종합 현황'!$H$5)),"관찰기준 확인",IF('종합 현황'!$H$5&lt;1,"관찰기준 확인",IF(N2542&gt;'종합 현황'!$H$5,"내부 관찰 대상","내부 관찰일 이하")))))</x:f>
        <x:v>대상 아님</x:v>
      </x:c>
      <x:c r="AB2542" s="2" t="str">
        <x:v>2020-12-04 16:11 - 신청
2021-01-27 10:25 - 문서재제출요청
2021-01-28 14:07 - 신청
2021-03-30 15:01 - 문서재제출요청
2021-04-02 14:45 - 신청
2021-04-19 13:50 - 문서재제출요청
2021-04-19 14:12 - 신청
2021-06-09 16:33 - 문서재제출요청
2021-07-13 15:41 - 신청
2021-08-06 17:04 - 문서재제출요청
2021-08-19 10:13 - 신청
2021-09-27 10:16 - 검토승인
2021-10-08 17:35 - 심의승인</x:v>
      </x:c>
    </x:row>
    <x:row r="2543" ht="42" customHeight="1">
      <x:c r="A2543" s="2" t="str">
        <x:v>d1aa006fae269fadefce62b2</x:v>
      </x:c>
      <x:c r="B2543" s="2" t="str">
        <x:v>감축량 인증</x:v>
      </x:c>
      <x:c r="C2543" s="2" t="str">
        <x:v>국외</x:v>
      </x:c>
      <x:c r="D2543" s="7" t="str">
        <x:v>안전한 식수 공급을 위한 정수기 보급 사업 : CPA 94(한국 지원)</x:v>
      </x:c>
      <x:c r="E2543" s="2" t="str">
        <x:v>128</x:v>
      </x:c>
      <x:c r="F2543" s="2" t="str">
        <x:v>2020-12-04</x:v>
      </x:c>
      <x:c r="G2543" s="2" t="str">
        <x:v>2020</x:v>
      </x:c>
      <x:c r="H2543" s="2" t="str">
        <x:v>12</x:v>
      </x:c>
      <x:c r="I2543" s="2" t="str">
        <x:v>심의승인</x:v>
      </x:c>
      <x:c r="J2543" s="2" t="str">
        <x:v>심의승인</x:v>
      </x:c>
      <x:c r="K2543" s="2" t="str">
        <x:f>IF(OR(J2543="심의승인",J2543="반려",J2543="반려완료",J2543="심의완료"),"종결 표시",IF(OR(J2543="기후부협의",J2543="문서재제출요청",J2543="보류",J2543="보완요청",J2543="보완완료",J2543="평가중",J2543="반려요청",J2543="평가필요",LEFT(J2543,5)="보완요청("),"미종결 표시","상태 확인 필요"))</x:f>
        <x:v>종결 표시</x:v>
      </x:c>
      <x:c r="L2543" s="2" t="str">
        <x:v>KECM</x:v>
      </x:c>
      <x:c r="M2543" s="2"/>
      <x:c r="N2543" s="8" t="n">
        <x:f>DATE(2026,10,15)-DATE(2020,12,4)</x:f>
        <x:v>2141</x:v>
      </x:c>
      <x:c r="O2543" s="2"/>
      <x:c r="P2543" s="2"/>
      <x:c r="Q2543" s="2" t="str">
        <x:v>산업전환_외부사업관리Tool_260707_이너젠 수정_LJY_261013.xlsx</x:v>
      </x:c>
      <x:c r="R2543" s="2" t="str">
        <x:v>국외인증</x:v>
      </x:c>
      <x:c r="S2543" s="8" t="n">
        <x:v>130</x:v>
      </x:c>
      <x:c r="T2543" s="2"/>
      <x:c r="U2543" s="2" t="str"/>
      <x:c r="V2543" s="2" t="str">
        <x:v>2021-10-08</x:v>
      </x:c>
      <x:c r="W2543" s="2" t="str"/>
      <x:c r="X2543" s="2" t="str">
        <x:v>종결 근거 보관</x:v>
      </x:c>
      <x:c r="Y2543" s="2" t="str">
        <x:v>ad210cd9ec132cfd447541c8984dc53d30aff0f4fb2dc92d254d49275cc55976</x:v>
      </x:c>
      <x:c r="Z2543" s="2" t="n">
        <x:f>SUBTOTAL(103,A2543)</x:f>
        <x:v>1</x:v>
      </x:c>
      <x:c r="AA2543" s="2" t="str">
        <x:f>IF(K2543&lt;&gt;"미종결 표시","대상 아님",IF(N2543="","신청일 확인",IF(NOT(ISNUMBER('종합 현황'!$H$5)),"관찰기준 확인",IF('종합 현황'!$H$5&lt;1,"관찰기준 확인",IF(N2543&gt;'종합 현황'!$H$5,"내부 관찰 대상","내부 관찰일 이하")))))</x:f>
        <x:v>대상 아님</x:v>
      </x:c>
      <x:c r="AB2543" s="2" t="str">
        <x:v>2020-12-04 16:12 - 신청
2021-01-27 10:24 - 문서재제출요청
2021-01-28 14:07 - 신청
2021-03-30 15:02 - 문서재제출요청
2021-04-02 14:44 - 신청
2021-04-19 13:50 - 문서재제출요청
2021-04-19 14:12 - 신청
2021-06-09 16:33 - 문서재제출요청
2021-07-13 15:40 - 신청
2021-08-06 17:04 - 문서재제출요청
2021-08-19 10:13 - 신청
2021-09-27 10:15 - 검토승인
2021-10-08 17:36 - 심의승인</x:v>
      </x:c>
    </x:row>
    <x:row r="2544" ht="42" customHeight="1">
      <x:c r="A2544" s="2" t="str">
        <x:v>c9390ae16ab0dd02b285c146</x:v>
      </x:c>
      <x:c r="B2544" s="2" t="str">
        <x:v>감축량 인증</x:v>
      </x:c>
      <x:c r="C2544" s="2" t="str">
        <x:v>국외</x:v>
      </x:c>
      <x:c r="D2544" s="7" t="str">
        <x:v>안전한 식수 공급을 위한 정수기 보급 사업 : CPA 95(한국 지원)</x:v>
      </x:c>
      <x:c r="E2544" s="2" t="str">
        <x:v>129</x:v>
      </x:c>
      <x:c r="F2544" s="2" t="str">
        <x:v>2020-12-04</x:v>
      </x:c>
      <x:c r="G2544" s="2" t="str">
        <x:v>2020</x:v>
      </x:c>
      <x:c r="H2544" s="2" t="str">
        <x:v>12</x:v>
      </x:c>
      <x:c r="I2544" s="2" t="str">
        <x:v>심의승인</x:v>
      </x:c>
      <x:c r="J2544" s="2" t="str">
        <x:v>심의승인</x:v>
      </x:c>
      <x:c r="K2544" s="2" t="str">
        <x:f>IF(OR(J2544="심의승인",J2544="반려",J2544="반려완료",J2544="심의완료"),"종결 표시",IF(OR(J2544="기후부협의",J2544="문서재제출요청",J2544="보류",J2544="보완요청",J2544="보완완료",J2544="평가중",J2544="반려요청",J2544="평가필요",LEFT(J2544,5)="보완요청("),"미종결 표시","상태 확인 필요"))</x:f>
        <x:v>종결 표시</x:v>
      </x:c>
      <x:c r="L2544" s="2" t="str">
        <x:v>KECM</x:v>
      </x:c>
      <x:c r="M2544" s="2"/>
      <x:c r="N2544" s="8" t="n">
        <x:f>DATE(2026,10,15)-DATE(2020,12,4)</x:f>
        <x:v>2141</x:v>
      </x:c>
      <x:c r="O2544" s="2"/>
      <x:c r="P2544" s="2"/>
      <x:c r="Q2544" s="2" t="str">
        <x:v>산업전환_외부사업관리Tool_260707_이너젠 수정_LJY_261013.xlsx</x:v>
      </x:c>
      <x:c r="R2544" s="2" t="str">
        <x:v>국외인증</x:v>
      </x:c>
      <x:c r="S2544" s="8" t="n">
        <x:v>131</x:v>
      </x:c>
      <x:c r="T2544" s="2"/>
      <x:c r="U2544" s="2" t="str"/>
      <x:c r="V2544" s="2" t="str">
        <x:v>2021-10-08</x:v>
      </x:c>
      <x:c r="W2544" s="2" t="str"/>
      <x:c r="X2544" s="2" t="str">
        <x:v>종결 근거 보관</x:v>
      </x:c>
      <x:c r="Y2544" s="2" t="str">
        <x:v>ad210cd9ec132cfd447541c8984dc53d30aff0f4fb2dc92d254d49275cc55976</x:v>
      </x:c>
      <x:c r="Z2544" s="2" t="n">
        <x:f>SUBTOTAL(103,A2544)</x:f>
        <x:v>1</x:v>
      </x:c>
      <x:c r="AA2544" s="2" t="str">
        <x:f>IF(K2544&lt;&gt;"미종결 표시","대상 아님",IF(N2544="","신청일 확인",IF(NOT(ISNUMBER('종합 현황'!$H$5)),"관찰기준 확인",IF('종합 현황'!$H$5&lt;1,"관찰기준 확인",IF(N2544&gt;'종합 현황'!$H$5,"내부 관찰 대상","내부 관찰일 이하")))))</x:f>
        <x:v>대상 아님</x:v>
      </x:c>
      <x:c r="AB2544" s="2" t="str">
        <x:v>2020-12-04 16:13 - 신청
2021-01-27 10:24 - 문서재제출요청
2021-01-28 14:07 - 신청
2021-03-30 15:02 - 문서재제출요청
2021-04-02 14:44 - 신청
2021-04-19 13:50 - 문서재제출요청
2021-04-19 14:12 - 신청
2021-06-09 16:33 - 문서재제출요청
2021-07-13 15:39 - 신청
2021-08-06 17:05 - 문서재제출요청
2021-08-19 10:14 - 신청
2021-09-27 10:15 - 검토승인
2021-10-08 17:37 - 심의승인</x:v>
      </x:c>
    </x:row>
    <x:row r="2545" ht="42" customHeight="1">
      <x:c r="A2545" s="2" t="str">
        <x:v>9869c6c4647f46f4ea061b80</x:v>
      </x:c>
      <x:c r="B2545" s="2" t="str">
        <x:v>감축량 인증</x:v>
      </x:c>
      <x:c r="C2545" s="2" t="str">
        <x:v>국외</x:v>
      </x:c>
      <x:c r="D2545" s="7" t="str">
        <x:v>안전한 식수 공급을 위한 정수기 보급 사업 : CPA 96(한국 지원)</x:v>
      </x:c>
      <x:c r="E2545" s="2" t="str">
        <x:v>130</x:v>
      </x:c>
      <x:c r="F2545" s="2" t="str">
        <x:v>2020-12-04</x:v>
      </x:c>
      <x:c r="G2545" s="2" t="str">
        <x:v>2020</x:v>
      </x:c>
      <x:c r="H2545" s="2" t="str">
        <x:v>12</x:v>
      </x:c>
      <x:c r="I2545" s="2" t="str">
        <x:v>심의승인</x:v>
      </x:c>
      <x:c r="J2545" s="2" t="str">
        <x:v>심의승인</x:v>
      </x:c>
      <x:c r="K2545" s="2" t="str">
        <x:f>IF(OR(J2545="심의승인",J2545="반려",J2545="반려완료",J2545="심의완료"),"종결 표시",IF(OR(J2545="기후부협의",J2545="문서재제출요청",J2545="보류",J2545="보완요청",J2545="보완완료",J2545="평가중",J2545="반려요청",J2545="평가필요",LEFT(J2545,5)="보완요청("),"미종결 표시","상태 확인 필요"))</x:f>
        <x:v>종결 표시</x:v>
      </x:c>
      <x:c r="L2545" s="2" t="str">
        <x:v>KECM</x:v>
      </x:c>
      <x:c r="M2545" s="2"/>
      <x:c r="N2545" s="8" t="n">
        <x:f>DATE(2026,10,15)-DATE(2020,12,4)</x:f>
        <x:v>2141</x:v>
      </x:c>
      <x:c r="O2545" s="2"/>
      <x:c r="P2545" s="2"/>
      <x:c r="Q2545" s="2" t="str">
        <x:v>산업전환_외부사업관리Tool_260707_이너젠 수정_LJY_261013.xlsx</x:v>
      </x:c>
      <x:c r="R2545" s="2" t="str">
        <x:v>국외인증</x:v>
      </x:c>
      <x:c r="S2545" s="8" t="n">
        <x:v>132</x:v>
      </x:c>
      <x:c r="T2545" s="2"/>
      <x:c r="U2545" s="2" t="str"/>
      <x:c r="V2545" s="2" t="str">
        <x:v>2021-10-08</x:v>
      </x:c>
      <x:c r="W2545" s="2" t="str"/>
      <x:c r="X2545" s="2" t="str">
        <x:v>종결 근거 보관</x:v>
      </x:c>
      <x:c r="Y2545" s="2" t="str">
        <x:v>ad210cd9ec132cfd447541c8984dc53d30aff0f4fb2dc92d254d49275cc55976</x:v>
      </x:c>
      <x:c r="Z2545" s="2" t="n">
        <x:f>SUBTOTAL(103,A2545)</x:f>
        <x:v>1</x:v>
      </x:c>
      <x:c r="AA2545" s="2" t="str">
        <x:f>IF(K2545&lt;&gt;"미종결 표시","대상 아님",IF(N2545="","신청일 확인",IF(NOT(ISNUMBER('종합 현황'!$H$5)),"관찰기준 확인",IF('종합 현황'!$H$5&lt;1,"관찰기준 확인",IF(N2545&gt;'종합 현황'!$H$5,"내부 관찰 대상","내부 관찰일 이하")))))</x:f>
        <x:v>대상 아님</x:v>
      </x:c>
      <x:c r="AB2545" s="2" t="str">
        <x:v>2020-12-04 16:13 - 신청
2021-01-27 10:24 - 문서재제출요청
2021-01-28 14:08 - 신청
2021-03-30 15:03 - 문서재제출요청
2021-04-02 14:43 - 신청
2021-04-19 13:51 - 문서재제출요청
2021-04-19 14:13 - 신청
2021-06-09 16:32 - 문서재제출요청
2021-07-13 15:39 - 신청
2021-08-06 17:05 - 문서재제출요청
2021-08-19 10:14 - 신청
2021-09-27 10:15 - 검토승인
2021-10-08 17:38 - 심의승인</x:v>
      </x:c>
    </x:row>
    <x:row r="2546" ht="42" customHeight="1">
      <x:c r="A2546" s="2" t="str">
        <x:v>bb7cd8ee27cbbb96bd714567</x:v>
      </x:c>
      <x:c r="B2546" s="2" t="str">
        <x:v>감축량 인증</x:v>
      </x:c>
      <x:c r="C2546" s="2" t="str">
        <x:v>국외</x:v>
      </x:c>
      <x:c r="D2546" s="7" t="str">
        <x:v>안전한 식수 공급을 위한 정수기 보급 사업 : CPA 97(한국 지원)</x:v>
      </x:c>
      <x:c r="E2546" s="2" t="str">
        <x:v>131</x:v>
      </x:c>
      <x:c r="F2546" s="2" t="str">
        <x:v>2020-12-04</x:v>
      </x:c>
      <x:c r="G2546" s="2" t="str">
        <x:v>2020</x:v>
      </x:c>
      <x:c r="H2546" s="2" t="str">
        <x:v>12</x:v>
      </x:c>
      <x:c r="I2546" s="2" t="str">
        <x:v>심의승인</x:v>
      </x:c>
      <x:c r="J2546" s="2" t="str">
        <x:v>심의승인</x:v>
      </x:c>
      <x:c r="K2546" s="2" t="str">
        <x:f>IF(OR(J2546="심의승인",J2546="반려",J2546="반려완료",J2546="심의완료"),"종결 표시",IF(OR(J2546="기후부협의",J2546="문서재제출요청",J2546="보류",J2546="보완요청",J2546="보완완료",J2546="평가중",J2546="반려요청",J2546="평가필요",LEFT(J2546,5)="보완요청("),"미종결 표시","상태 확인 필요"))</x:f>
        <x:v>종결 표시</x:v>
      </x:c>
      <x:c r="L2546" s="2" t="str">
        <x:v>KECM</x:v>
      </x:c>
      <x:c r="M2546" s="2"/>
      <x:c r="N2546" s="8" t="n">
        <x:f>DATE(2026,10,15)-DATE(2020,12,4)</x:f>
        <x:v>2141</x:v>
      </x:c>
      <x:c r="O2546" s="2"/>
      <x:c r="P2546" s="2"/>
      <x:c r="Q2546" s="2" t="str">
        <x:v>산업전환_외부사업관리Tool_260707_이너젠 수정_LJY_261013.xlsx</x:v>
      </x:c>
      <x:c r="R2546" s="2" t="str">
        <x:v>국외인증</x:v>
      </x:c>
      <x:c r="S2546" s="8" t="n">
        <x:v>133</x:v>
      </x:c>
      <x:c r="T2546" s="2"/>
      <x:c r="U2546" s="2" t="str"/>
      <x:c r="V2546" s="2" t="str">
        <x:v>2021-10-08</x:v>
      </x:c>
      <x:c r="W2546" s="2" t="str"/>
      <x:c r="X2546" s="2" t="str">
        <x:v>종결 근거 보관</x:v>
      </x:c>
      <x:c r="Y2546" s="2" t="str">
        <x:v>ad210cd9ec132cfd447541c8984dc53d30aff0f4fb2dc92d254d49275cc55976</x:v>
      </x:c>
      <x:c r="Z2546" s="2" t="n">
        <x:f>SUBTOTAL(103,A2546)</x:f>
        <x:v>1</x:v>
      </x:c>
      <x:c r="AA2546" s="2" t="str">
        <x:f>IF(K2546&lt;&gt;"미종결 표시","대상 아님",IF(N2546="","신청일 확인",IF(NOT(ISNUMBER('종합 현황'!$H$5)),"관찰기준 확인",IF('종합 현황'!$H$5&lt;1,"관찰기준 확인",IF(N2546&gt;'종합 현황'!$H$5,"내부 관찰 대상","내부 관찰일 이하")))))</x:f>
        <x:v>대상 아님</x:v>
      </x:c>
      <x:c r="AB2546" s="2" t="str">
        <x:v>2020-12-04 16:14 - 신청
2021-01-27 10:24 - 문서재제출요청
2021-01-28 14:08 - 신청
2021-03-30 15:04 - 문서재제출요청
2021-04-02 14:42 - 신청
2021-04-19 13:51 - 문서재제출요청
2021-04-19 14:13 - 신청
2021-06-09 16:32 - 문서재제출요청
2021-07-13 15:38 - 신청
2021-08-06 17:05 - 문서재제출요청
2021-08-19 10:14 - 신청
2021-09-27 10:14 - 검토승인
2021-10-08 17:39 - 심의승인</x:v>
      </x:c>
    </x:row>
    <x:row r="2547" ht="42" customHeight="1">
      <x:c r="A2547" s="2" t="str">
        <x:v>38aa0f903fbb5dabcac6dbe1</x:v>
      </x:c>
      <x:c r="B2547" s="2" t="str">
        <x:v>감축량 인증</x:v>
      </x:c>
      <x:c r="C2547" s="2" t="str">
        <x:v>국외</x:v>
      </x:c>
      <x:c r="D2547" s="7" t="str">
        <x:v>안전한 식수 공급을 위한 정수기 보급 사업 : CPA 98(한국 지원)</x:v>
      </x:c>
      <x:c r="E2547" s="2" t="str">
        <x:v>132</x:v>
      </x:c>
      <x:c r="F2547" s="2" t="str">
        <x:v>2020-12-04</x:v>
      </x:c>
      <x:c r="G2547" s="2" t="str">
        <x:v>2020</x:v>
      </x:c>
      <x:c r="H2547" s="2" t="str">
        <x:v>12</x:v>
      </x:c>
      <x:c r="I2547" s="2" t="str">
        <x:v>심의승인</x:v>
      </x:c>
      <x:c r="J2547" s="2" t="str">
        <x:v>심의승인</x:v>
      </x:c>
      <x:c r="K2547" s="2" t="str">
        <x:f>IF(OR(J2547="심의승인",J2547="반려",J2547="반려완료",J2547="심의완료"),"종결 표시",IF(OR(J2547="기후부협의",J2547="문서재제출요청",J2547="보류",J2547="보완요청",J2547="보완완료",J2547="평가중",J2547="반려요청",J2547="평가필요",LEFT(J2547,5)="보완요청("),"미종결 표시","상태 확인 필요"))</x:f>
        <x:v>종결 표시</x:v>
      </x:c>
      <x:c r="L2547" s="2" t="str">
        <x:v>KECM</x:v>
      </x:c>
      <x:c r="M2547" s="2"/>
      <x:c r="N2547" s="8" t="n">
        <x:f>DATE(2026,10,15)-DATE(2020,12,4)</x:f>
        <x:v>2141</x:v>
      </x:c>
      <x:c r="O2547" s="2"/>
      <x:c r="P2547" s="2"/>
      <x:c r="Q2547" s="2" t="str">
        <x:v>산업전환_외부사업관리Tool_260707_이너젠 수정_LJY_261013.xlsx</x:v>
      </x:c>
      <x:c r="R2547" s="2" t="str">
        <x:v>국외인증</x:v>
      </x:c>
      <x:c r="S2547" s="8" t="n">
        <x:v>134</x:v>
      </x:c>
      <x:c r="T2547" s="2"/>
      <x:c r="U2547" s="2" t="str"/>
      <x:c r="V2547" s="2" t="str">
        <x:v>2021-10-08</x:v>
      </x:c>
      <x:c r="W2547" s="2" t="str"/>
      <x:c r="X2547" s="2" t="str">
        <x:v>종결 근거 보관</x:v>
      </x:c>
      <x:c r="Y2547" s="2" t="str">
        <x:v>ad210cd9ec132cfd447541c8984dc53d30aff0f4fb2dc92d254d49275cc55976</x:v>
      </x:c>
      <x:c r="Z2547" s="2" t="n">
        <x:f>SUBTOTAL(103,A2547)</x:f>
        <x:v>1</x:v>
      </x:c>
      <x:c r="AA2547" s="2" t="str">
        <x:f>IF(K2547&lt;&gt;"미종결 표시","대상 아님",IF(N2547="","신청일 확인",IF(NOT(ISNUMBER('종합 현황'!$H$5)),"관찰기준 확인",IF('종합 현황'!$H$5&lt;1,"관찰기준 확인",IF(N2547&gt;'종합 현황'!$H$5,"내부 관찰 대상","내부 관찰일 이하")))))</x:f>
        <x:v>대상 아님</x:v>
      </x:c>
      <x:c r="AB2547" s="2" t="str">
        <x:v>2020-12-04 16:14 - 신청
2021-01-27 10:22 - 문서재제출요청
2021-01-28 14:09 - 신청
2021-03-30 15:04 - 문서재제출요청
2021-04-02 14:41 - 신청
2021-04-19 13:51 - 문서재제출요청
2021-04-19 14:13 - 신청
2021-06-09 16:32 - 문서재제출요청
2021-07-13 15:38 - 신청
2021-08-06 17:06 - 문서재제출요청
2021-08-19 10:14 - 신청
2021-09-27 10:10 - 검토승인
2021-10-08 17:40 - 심의승인</x:v>
      </x:c>
    </x:row>
    <x:row r="2548" ht="42" customHeight="1">
      <x:c r="A2548" s="2" t="str">
        <x:v>af40a4285d17d3ccbe8db11a</x:v>
      </x:c>
      <x:c r="B2548" s="2" t="str">
        <x:v>감축량 인증</x:v>
      </x:c>
      <x:c r="C2548" s="2" t="str">
        <x:v>국외</x:v>
      </x:c>
      <x:c r="D2548" s="7" t="str">
        <x:v>안전한 식수 공급을 위한 정수기 보급 사업 : CPA 99(한국 지원)</x:v>
      </x:c>
      <x:c r="E2548" s="2" t="str">
        <x:v>133</x:v>
      </x:c>
      <x:c r="F2548" s="2" t="str">
        <x:v>2020-12-04</x:v>
      </x:c>
      <x:c r="G2548" s="2" t="str">
        <x:v>2020</x:v>
      </x:c>
      <x:c r="H2548" s="2" t="str">
        <x:v>12</x:v>
      </x:c>
      <x:c r="I2548" s="2" t="str">
        <x:v>심의승인</x:v>
      </x:c>
      <x:c r="J2548" s="2" t="str">
        <x:v>심의승인</x:v>
      </x:c>
      <x:c r="K2548" s="2" t="str">
        <x:f>IF(OR(J2548="심의승인",J2548="반려",J2548="반려완료",J2548="심의완료"),"종결 표시",IF(OR(J2548="기후부협의",J2548="문서재제출요청",J2548="보류",J2548="보완요청",J2548="보완완료",J2548="평가중",J2548="반려요청",J2548="평가필요",LEFT(J2548,5)="보완요청("),"미종결 표시","상태 확인 필요"))</x:f>
        <x:v>종결 표시</x:v>
      </x:c>
      <x:c r="L2548" s="2" t="str">
        <x:v>KECM</x:v>
      </x:c>
      <x:c r="M2548" s="2"/>
      <x:c r="N2548" s="8" t="n">
        <x:f>DATE(2026,10,15)-DATE(2020,12,4)</x:f>
        <x:v>2141</x:v>
      </x:c>
      <x:c r="O2548" s="2"/>
      <x:c r="P2548" s="2"/>
      <x:c r="Q2548" s="2" t="str">
        <x:v>산업전환_외부사업관리Tool_260707_이너젠 수정_LJY_261013.xlsx</x:v>
      </x:c>
      <x:c r="R2548" s="2" t="str">
        <x:v>국외인증</x:v>
      </x:c>
      <x:c r="S2548" s="8" t="n">
        <x:v>135</x:v>
      </x:c>
      <x:c r="T2548" s="2"/>
      <x:c r="U2548" s="2" t="str"/>
      <x:c r="V2548" s="2" t="str">
        <x:v>2021-10-08</x:v>
      </x:c>
      <x:c r="W2548" s="2" t="str"/>
      <x:c r="X2548" s="2" t="str">
        <x:v>종결 근거 보관</x:v>
      </x:c>
      <x:c r="Y2548" s="2" t="str">
        <x:v>ad210cd9ec132cfd447541c8984dc53d30aff0f4fb2dc92d254d49275cc55976</x:v>
      </x:c>
      <x:c r="Z2548" s="2" t="n">
        <x:f>SUBTOTAL(103,A2548)</x:f>
        <x:v>1</x:v>
      </x:c>
      <x:c r="AA2548" s="2" t="str">
        <x:f>IF(K2548&lt;&gt;"미종결 표시","대상 아님",IF(N2548="","신청일 확인",IF(NOT(ISNUMBER('종합 현황'!$H$5)),"관찰기준 확인",IF('종합 현황'!$H$5&lt;1,"관찰기준 확인",IF(N2548&gt;'종합 현황'!$H$5,"내부 관찰 대상","내부 관찰일 이하")))))</x:f>
        <x:v>대상 아님</x:v>
      </x:c>
      <x:c r="AB2548" s="2" t="str">
        <x:v>2020-12-04 16:15 - 신청
2021-01-27 10:22 - 문서재제출요청
2021-01-28 14:09 - 신청
2021-03-30 15:05 - 문서재제출요청
2021-04-02 14:41 - 신청
2021-04-19 13:52 - 문서재제출요청
2021-04-19 14:13 - 신청
2021-06-09 16:32 - 문서재제출요청
2021-07-13 15:38 - 신청
2021-08-06 17:06 - 문서재제출요청
2021-08-19 10:14 - 신청
2021-09-27 10:09 - 검토승인
2021-10-08 17:41 - 심의승인</x:v>
      </x:c>
    </x:row>
    <x:row r="2549" ht="42" customHeight="1">
      <x:c r="A2549" s="2" t="str">
        <x:v>a75a8d03228cf0719a3c155b</x:v>
      </x:c>
      <x:c r="B2549" s="2" t="str">
        <x:v>감축량 인증</x:v>
      </x:c>
      <x:c r="C2549" s="2" t="str">
        <x:v>국외</x:v>
      </x:c>
      <x:c r="D2549" s="7" t="str">
        <x:v>안전한 식수 공급을 위한 정수기 보급 사업 : CPA 100(한국 지원)</x:v>
      </x:c>
      <x:c r="E2549" s="2" t="str">
        <x:v>134</x:v>
      </x:c>
      <x:c r="F2549" s="2" t="str">
        <x:v>2020-12-04</x:v>
      </x:c>
      <x:c r="G2549" s="2" t="str">
        <x:v>2020</x:v>
      </x:c>
      <x:c r="H2549" s="2" t="str">
        <x:v>12</x:v>
      </x:c>
      <x:c r="I2549" s="2" t="str">
        <x:v>심의승인</x:v>
      </x:c>
      <x:c r="J2549" s="2" t="str">
        <x:v>심의승인</x:v>
      </x:c>
      <x:c r="K2549" s="2" t="str">
        <x:f>IF(OR(J2549="심의승인",J2549="반려",J2549="반려완료",J2549="심의완료"),"종결 표시",IF(OR(J2549="기후부협의",J2549="문서재제출요청",J2549="보류",J2549="보완요청",J2549="보완완료",J2549="평가중",J2549="반려요청",J2549="평가필요",LEFT(J2549,5)="보완요청("),"미종결 표시","상태 확인 필요"))</x:f>
        <x:v>종결 표시</x:v>
      </x:c>
      <x:c r="L2549" s="2" t="str">
        <x:v>KECM</x:v>
      </x:c>
      <x:c r="M2549" s="2"/>
      <x:c r="N2549" s="8" t="n">
        <x:f>DATE(2026,10,15)-DATE(2020,12,4)</x:f>
        <x:v>2141</x:v>
      </x:c>
      <x:c r="O2549" s="2"/>
      <x:c r="P2549" s="2"/>
      <x:c r="Q2549" s="2" t="str">
        <x:v>산업전환_외부사업관리Tool_260707_이너젠 수정_LJY_261013.xlsx</x:v>
      </x:c>
      <x:c r="R2549" s="2" t="str">
        <x:v>국외인증</x:v>
      </x:c>
      <x:c r="S2549" s="8" t="n">
        <x:v>136</x:v>
      </x:c>
      <x:c r="T2549" s="2"/>
      <x:c r="U2549" s="2" t="str"/>
      <x:c r="V2549" s="2" t="str">
        <x:v>2021-10-08</x:v>
      </x:c>
      <x:c r="W2549" s="2" t="str"/>
      <x:c r="X2549" s="2" t="str">
        <x:v>종결 근거 보관</x:v>
      </x:c>
      <x:c r="Y2549" s="2" t="str">
        <x:v>ad210cd9ec132cfd447541c8984dc53d30aff0f4fb2dc92d254d49275cc55976</x:v>
      </x:c>
      <x:c r="Z2549" s="2" t="n">
        <x:f>SUBTOTAL(103,A2549)</x:f>
        <x:v>1</x:v>
      </x:c>
      <x:c r="AA2549" s="2" t="str">
        <x:f>IF(K2549&lt;&gt;"미종결 표시","대상 아님",IF(N2549="","신청일 확인",IF(NOT(ISNUMBER('종합 현황'!$H$5)),"관찰기준 확인",IF('종합 현황'!$H$5&lt;1,"관찰기준 확인",IF(N2549&gt;'종합 현황'!$H$5,"내부 관찰 대상","내부 관찰일 이하")))))</x:f>
        <x:v>대상 아님</x:v>
      </x:c>
      <x:c r="AB2549" s="2" t="str">
        <x:v>2020-12-04 16:15 - 신청
2021-01-27 10:21 - 문서재제출요청
2021-01-28 14:10 - 신청
2021-03-30 15:05 - 문서재제출요청
2021-04-02 14:40 - 신청
2021-04-19 13:52 - 문서재제출요청
2021-04-19 14:14 - 신청
2021-06-09 16:31 - 문서재제출요청
2021-07-13 15:37 - 신청
2021-08-06 17:06 - 문서재제출요청
2021-08-19 10:14 - 신청
2021-09-27 10:09 - 검토승인
2021-10-08 17:42 - 심의승인</x:v>
      </x:c>
    </x:row>
    <x:row r="2550" ht="42" customHeight="1">
      <x:c r="A2550" s="2" t="str">
        <x:v>6771696c1f5ebff18e84874e</x:v>
      </x:c>
      <x:c r="B2550" s="2" t="str">
        <x:v>감축량 인증</x:v>
      </x:c>
      <x:c r="C2550" s="2" t="str">
        <x:v>국외</x:v>
      </x:c>
      <x:c r="D2550" s="7" t="str">
        <x:v>안전한 식수 공급을 위한 정수기 보급 사업 : CPA 101(한국 지원)</x:v>
      </x:c>
      <x:c r="E2550" s="2" t="str">
        <x:v>135</x:v>
      </x:c>
      <x:c r="F2550" s="2" t="str">
        <x:v>2020-12-04</x:v>
      </x:c>
      <x:c r="G2550" s="2" t="str">
        <x:v>2020</x:v>
      </x:c>
      <x:c r="H2550" s="2" t="str">
        <x:v>12</x:v>
      </x:c>
      <x:c r="I2550" s="2" t="str">
        <x:v>심의승인</x:v>
      </x:c>
      <x:c r="J2550" s="2" t="str">
        <x:v>심의승인</x:v>
      </x:c>
      <x:c r="K2550" s="2" t="str">
        <x:f>IF(OR(J2550="심의승인",J2550="반려",J2550="반려완료",J2550="심의완료"),"종결 표시",IF(OR(J2550="기후부협의",J2550="문서재제출요청",J2550="보류",J2550="보완요청",J2550="보완완료",J2550="평가중",J2550="반려요청",J2550="평가필요",LEFT(J2550,5)="보완요청("),"미종결 표시","상태 확인 필요"))</x:f>
        <x:v>종결 표시</x:v>
      </x:c>
      <x:c r="L2550" s="2" t="str">
        <x:v>KECM</x:v>
      </x:c>
      <x:c r="M2550" s="2"/>
      <x:c r="N2550" s="8" t="n">
        <x:f>DATE(2026,10,15)-DATE(2020,12,4)</x:f>
        <x:v>2141</x:v>
      </x:c>
      <x:c r="O2550" s="2"/>
      <x:c r="P2550" s="2"/>
      <x:c r="Q2550" s="2" t="str">
        <x:v>산업전환_외부사업관리Tool_260707_이너젠 수정_LJY_261013.xlsx</x:v>
      </x:c>
      <x:c r="R2550" s="2" t="str">
        <x:v>국외인증</x:v>
      </x:c>
      <x:c r="S2550" s="8" t="n">
        <x:v>137</x:v>
      </x:c>
      <x:c r="T2550" s="2"/>
      <x:c r="U2550" s="2" t="str"/>
      <x:c r="V2550" s="2" t="str">
        <x:v>2021-10-08</x:v>
      </x:c>
      <x:c r="W2550" s="2" t="str"/>
      <x:c r="X2550" s="2" t="str">
        <x:v>종결 근거 보관</x:v>
      </x:c>
      <x:c r="Y2550" s="2" t="str">
        <x:v>ad210cd9ec132cfd447541c8984dc53d30aff0f4fb2dc92d254d49275cc55976</x:v>
      </x:c>
      <x:c r="Z2550" s="2" t="n">
        <x:f>SUBTOTAL(103,A2550)</x:f>
        <x:v>1</x:v>
      </x:c>
      <x:c r="AA2550" s="2" t="str">
        <x:f>IF(K2550&lt;&gt;"미종결 표시","대상 아님",IF(N2550="","신청일 확인",IF(NOT(ISNUMBER('종합 현황'!$H$5)),"관찰기준 확인",IF('종합 현황'!$H$5&lt;1,"관찰기준 확인",IF(N2550&gt;'종합 현황'!$H$5,"내부 관찰 대상","내부 관찰일 이하")))))</x:f>
        <x:v>대상 아님</x:v>
      </x:c>
      <x:c r="AB2550" s="2" t="str">
        <x:v>2020-12-04 16:17 - 신청
2021-01-27 10:21 - 문서재제출요청
2021-01-28 14:10 - 신청
2021-03-30 15:06 - 문서재제출요청
2021-04-02 14:39 - 신청
2021-04-19 13:52 - 문서재제출요청
2021-04-19 14:14 - 신청
2021-06-09 16:31 - 문서재제출요청
2021-07-13 15:36 - 신청
2021-08-06 17:06 - 문서재제출요청
2021-08-19 10:15 - 신청
2021-09-27 10:09 - 검토승인
2021-10-08 17:43 - 심의승인</x:v>
      </x:c>
    </x:row>
    <x:row r="2551" ht="42" customHeight="1">
      <x:c r="A2551" s="2" t="str">
        <x:v>ef323b7579b5bed73310aa0c</x:v>
      </x:c>
      <x:c r="B2551" s="2" t="str">
        <x:v>감축량 인증</x:v>
      </x:c>
      <x:c r="C2551" s="2" t="str">
        <x:v>국외</x:v>
      </x:c>
      <x:c r="D2551" s="7" t="str">
        <x:v>안전한 식수 공급을 위한 정수기 보급 사업 : CPA 102(한국 지원)</x:v>
      </x:c>
      <x:c r="E2551" s="2" t="str">
        <x:v>136</x:v>
      </x:c>
      <x:c r="F2551" s="2" t="str">
        <x:v>2020-12-04</x:v>
      </x:c>
      <x:c r="G2551" s="2" t="str">
        <x:v>2020</x:v>
      </x:c>
      <x:c r="H2551" s="2" t="str">
        <x:v>12</x:v>
      </x:c>
      <x:c r="I2551" s="2" t="str">
        <x:v>심의승인</x:v>
      </x:c>
      <x:c r="J2551" s="2" t="str">
        <x:v>심의승인</x:v>
      </x:c>
      <x:c r="K2551" s="2" t="str">
        <x:f>IF(OR(J2551="심의승인",J2551="반려",J2551="반려완료",J2551="심의완료"),"종결 표시",IF(OR(J2551="기후부협의",J2551="문서재제출요청",J2551="보류",J2551="보완요청",J2551="보완완료",J2551="평가중",J2551="반려요청",J2551="평가필요",LEFT(J2551,5)="보완요청("),"미종결 표시","상태 확인 필요"))</x:f>
        <x:v>종결 표시</x:v>
      </x:c>
      <x:c r="L2551" s="2" t="str">
        <x:v>KECM</x:v>
      </x:c>
      <x:c r="M2551" s="2"/>
      <x:c r="N2551" s="8" t="n">
        <x:f>DATE(2026,10,15)-DATE(2020,12,4)</x:f>
        <x:v>2141</x:v>
      </x:c>
      <x:c r="O2551" s="2"/>
      <x:c r="P2551" s="2"/>
      <x:c r="Q2551" s="2" t="str">
        <x:v>산업전환_외부사업관리Tool_260707_이너젠 수정_LJY_261013.xlsx</x:v>
      </x:c>
      <x:c r="R2551" s="2" t="str">
        <x:v>국외인증</x:v>
      </x:c>
      <x:c r="S2551" s="8" t="n">
        <x:v>138</x:v>
      </x:c>
      <x:c r="T2551" s="2"/>
      <x:c r="U2551" s="2" t="str"/>
      <x:c r="V2551" s="2" t="str">
        <x:v>2021-10-08</x:v>
      </x:c>
      <x:c r="W2551" s="2" t="str"/>
      <x:c r="X2551" s="2" t="str">
        <x:v>종결 근거 보관</x:v>
      </x:c>
      <x:c r="Y2551" s="2" t="str">
        <x:v>ad210cd9ec132cfd447541c8984dc53d30aff0f4fb2dc92d254d49275cc55976</x:v>
      </x:c>
      <x:c r="Z2551" s="2" t="n">
        <x:f>SUBTOTAL(103,A2551)</x:f>
        <x:v>1</x:v>
      </x:c>
      <x:c r="AA2551" s="2" t="str">
        <x:f>IF(K2551&lt;&gt;"미종결 표시","대상 아님",IF(N2551="","신청일 확인",IF(NOT(ISNUMBER('종합 현황'!$H$5)),"관찰기준 확인",IF('종합 현황'!$H$5&lt;1,"관찰기준 확인",IF(N2551&gt;'종합 현황'!$H$5,"내부 관찰 대상","내부 관찰일 이하")))))</x:f>
        <x:v>대상 아님</x:v>
      </x:c>
      <x:c r="AB2551" s="2" t="str">
        <x:v>2020-12-04 16:18 - 신청
2021-01-27 10:21 - 문서재제출요청
2021-01-28 14:11 - 신청
2021-03-30 15:06 - 문서재제출요청
2021-04-02 14:39 - 신청
2021-04-19 13:53 - 문서재제출요청
2021-04-19 14:14 - 신청
2021-06-09 16:31 - 문서재제출요청
2021-07-13 15:34 - 신청
2021-08-06 17:07 - 문서재제출요청
2021-08-19 10:15 - 신청
2021-09-27 10:08 - 검토승인
2021-10-08 17:44 - 심의승인</x:v>
      </x:c>
    </x:row>
    <x:row r="2552" ht="42" customHeight="1">
      <x:c r="A2552" s="2" t="str">
        <x:v>ef8795e5def639315a8b3339</x:v>
      </x:c>
      <x:c r="B2552" s="2" t="str">
        <x:v>감축량 인증</x:v>
      </x:c>
      <x:c r="C2552" s="2" t="str">
        <x:v>국외</x:v>
      </x:c>
      <x:c r="D2552" s="7" t="str">
        <x:v>Grid connected natural gas based power project in Raigad District, Maharastra, India</x:v>
      </x:c>
      <x:c r="E2552" s="2" t="str">
        <x:v>137</x:v>
      </x:c>
      <x:c r="F2552" s="2" t="str">
        <x:v>2020-12-18</x:v>
      </x:c>
      <x:c r="G2552" s="2" t="str">
        <x:v>2020</x:v>
      </x:c>
      <x:c r="H2552" s="2" t="str">
        <x:v>12</x:v>
      </x:c>
      <x:c r="I2552" s="2" t="str">
        <x:v>심의승인</x:v>
      </x:c>
      <x:c r="J2552" s="2" t="str">
        <x:v>심의승인</x:v>
      </x:c>
      <x:c r="K2552" s="2" t="str">
        <x:f>IF(OR(J2552="심의승인",J2552="반려",J2552="반려완료",J2552="심의완료"),"종결 표시",IF(OR(J2552="기후부협의",J2552="문서재제출요청",J2552="보류",J2552="보완요청",J2552="보완완료",J2552="평가중",J2552="반려요청",J2552="평가필요",LEFT(J2552,5)="보완요청("),"미종결 표시","상태 확인 필요"))</x:f>
        <x:v>종결 표시</x:v>
      </x:c>
      <x:c r="L2552" s="2"/>
      <x:c r="M2552" s="2"/>
      <x:c r="N2552" s="8" t="n">
        <x:f>DATE(2026,10,15)-DATE(2020,12,18)</x:f>
        <x:v>2127</x:v>
      </x:c>
      <x:c r="O2552" s="2"/>
      <x:c r="P2552" s="2"/>
      <x:c r="Q2552" s="2" t="str">
        <x:v>산업전환_외부사업관리Tool_260707_이너젠 수정_LJY_261013.xlsx</x:v>
      </x:c>
      <x:c r="R2552" s="2" t="str">
        <x:v>국외인증</x:v>
      </x:c>
      <x:c r="S2552" s="8" t="n">
        <x:v>139</x:v>
      </x:c>
      <x:c r="T2552" s="2"/>
      <x:c r="U2552" s="2" t="str"/>
      <x:c r="V2552" s="2" t="str">
        <x:v>2021-10-07</x:v>
      </x:c>
      <x:c r="W2552" s="2" t="str">
        <x:v>담당기관 확인</x:v>
      </x:c>
      <x:c r="X2552" s="2" t="str">
        <x:v>원본·배정 기록 확인</x:v>
      </x:c>
      <x:c r="Y2552" s="2" t="str">
        <x:v>ad210cd9ec132cfd447541c8984dc53d30aff0f4fb2dc92d254d49275cc55976</x:v>
      </x:c>
      <x:c r="Z2552" s="2" t="n">
        <x:f>SUBTOTAL(103,A2552)</x:f>
        <x:v>1</x:v>
      </x:c>
      <x:c r="AA2552" s="2" t="str">
        <x:f>IF(K2552&lt;&gt;"미종결 표시","대상 아님",IF(N2552="","신청일 확인",IF(NOT(ISNUMBER('종합 현황'!$H$5)),"관찰기준 확인",IF('종합 현황'!$H$5&lt;1,"관찰기준 확인",IF(N2552&gt;'종합 현황'!$H$5,"내부 관찰 대상","내부 관찰일 이하")))))</x:f>
        <x:v>대상 아님</x:v>
      </x:c>
      <x:c r="AB2552" s="2" t="str">
        <x:v>2020-12-18 13:11 - 신청
2021-03-15 13:27 - 문서재제출요청
2021-03-26 14:36 - 신청
2021-04-19 16:45 - 문서재제출요청
2021-04-20 13:03 - 신청
2021-04-20 14:50 - 문서재제출요청
2021-04-20 14:52 - 신청
2021-06-09 16:09 - 검토승인
2021-10-07 17:43 - 심의승인</x:v>
      </x:c>
    </x:row>
    <x:row r="2553" ht="42" customHeight="1">
      <x:c r="A2553" s="2" t="str">
        <x:v>758ef8d4c1e11b5e3fcf39bb</x:v>
      </x:c>
      <x:c r="B2553" s="2" t="str">
        <x:v>감축량 인증</x:v>
      </x:c>
      <x:c r="C2553" s="2" t="str">
        <x:v>국외</x:v>
      </x:c>
      <x:c r="D2553" s="7" t="str">
        <x:v>과테말라 오닐 스토브 보급 사업 - CPA 003</x:v>
      </x:c>
      <x:c r="E2553" s="2" t="str">
        <x:v>138</x:v>
      </x:c>
      <x:c r="F2553" s="2" t="str">
        <x:v>2021-01-27</x:v>
      </x:c>
      <x:c r="G2553" s="2" t="str">
        <x:v>2021</x:v>
      </x:c>
      <x:c r="H2553" s="2" t="str">
        <x:v>01</x:v>
      </x:c>
      <x:c r="I2553" s="2" t="str">
        <x:v>심의승인</x:v>
      </x:c>
      <x:c r="J2553" s="2" t="str">
        <x:v>심의승인</x:v>
      </x:c>
      <x:c r="K2553" s="2" t="str">
        <x:f>IF(OR(J2553="심의승인",J2553="반려",J2553="반려완료",J2553="심의완료"),"종결 표시",IF(OR(J2553="기후부협의",J2553="문서재제출요청",J2553="보류",J2553="보완요청",J2553="보완완료",J2553="평가중",J2553="반려요청",J2553="평가필요",LEFT(J2553,5)="보완요청("),"미종결 표시","상태 확인 필요"))</x:f>
        <x:v>종결 표시</x:v>
      </x:c>
      <x:c r="L2553" s="2" t="str">
        <x:v>에코시안_배윤빈</x:v>
      </x:c>
      <x:c r="M2553" s="2"/>
      <x:c r="N2553" s="8" t="n">
        <x:f>DATE(2026,10,15)-DATE(2021,1,27)</x:f>
        <x:v>2087</x:v>
      </x:c>
      <x:c r="O2553" s="2"/>
      <x:c r="P2553" s="2"/>
      <x:c r="Q2553" s="2" t="str">
        <x:v>산업전환_외부사업관리Tool_260707_이너젠 수정_LJY_261013.xlsx</x:v>
      </x:c>
      <x:c r="R2553" s="2" t="str">
        <x:v>국외인증</x:v>
      </x:c>
      <x:c r="S2553" s="8" t="n">
        <x:v>140</x:v>
      </x:c>
      <x:c r="T2553" s="2"/>
      <x:c r="U2553" s="2" t="str"/>
      <x:c r="V2553" s="2" t="str">
        <x:v>2021-10-07</x:v>
      </x:c>
      <x:c r="W2553" s="2" t="str"/>
      <x:c r="X2553" s="2" t="str">
        <x:v>종결 근거 보관</x:v>
      </x:c>
      <x:c r="Y2553" s="2" t="str">
        <x:v>ad210cd9ec132cfd447541c8984dc53d30aff0f4fb2dc92d254d49275cc55976</x:v>
      </x:c>
      <x:c r="Z2553" s="2" t="n">
        <x:f>SUBTOTAL(103,A2553)</x:f>
        <x:v>1</x:v>
      </x:c>
      <x:c r="AA2553" s="2" t="str">
        <x:f>IF(K2553&lt;&gt;"미종결 표시","대상 아님",IF(N2553="","신청일 확인",IF(NOT(ISNUMBER('종합 현황'!$H$5)),"관찰기준 확인",IF('종합 현황'!$H$5&lt;1,"관찰기준 확인",IF(N2553&gt;'종합 현황'!$H$5,"내부 관찰 대상","내부 관찰일 이하")))))</x:f>
        <x:v>대상 아님</x:v>
      </x:c>
      <x:c r="AB2553" s="2" t="str">
        <x:v>2021-01-27 16:18 - 신청
2021-02-01 13:06 - 문서재제출요청
2021-04-01 13:31 - 신청
2021-04-19 10:04 - 문서재제출요청
2021-04-19 15:38 - 신청
2021-06-09 16:06 - 문서재제출요청
2021-07-23 14:13 - 신청
2021-08-10 11:29 - 문서재제출요청
2021-08-10 11:32 - 신청
2021-08-17 17:40 - 문서재제출요청
2021-08-18 10:23 - 신청
2021-08-24 10:20 - 문서재제출요청
2021-08-24 11:21 - 신청
2021-09-27 10:25 - 검토승인
2021-10-07 17:50 - 심의승인</x:v>
      </x:c>
    </x:row>
    <x:row r="2554" ht="42" customHeight="1">
      <x:c r="A2554" s="2" t="str">
        <x:v>bcfc49e3ccc2d0a7568d2b1d</x:v>
      </x:c>
      <x:c r="B2554" s="2" t="str">
        <x:v>감축량 인증</x:v>
      </x:c>
      <x:c r="C2554" s="2" t="str">
        <x:v>국외</x:v>
      </x:c>
      <x:c r="D2554" s="7" t="str">
        <x:v>사하라 이남 아프리카 고효율 쿡스토브 보급 사업-말라위-CPA002</x:v>
      </x:c>
      <x:c r="E2554" s="2" t="str">
        <x:v>139</x:v>
      </x:c>
      <x:c r="F2554" s="2" t="str">
        <x:v>2021-01-27</x:v>
      </x:c>
      <x:c r="G2554" s="2" t="str">
        <x:v>2021</x:v>
      </x:c>
      <x:c r="H2554" s="2" t="str">
        <x:v>01</x:v>
      </x:c>
      <x:c r="I2554" s="2" t="str">
        <x:v>심의승인</x:v>
      </x:c>
      <x:c r="J2554" s="2" t="str">
        <x:v>심의승인</x:v>
      </x:c>
      <x:c r="K2554" s="2" t="str">
        <x:f>IF(OR(J2554="심의승인",J2554="반려",J2554="반려완료",J2554="심의완료"),"종결 표시",IF(OR(J2554="기후부협의",J2554="문서재제출요청",J2554="보류",J2554="보완요청",J2554="보완완료",J2554="평가중",J2554="반려요청",J2554="평가필요",LEFT(J2554,5)="보완요청("),"미종결 표시","상태 확인 필요"))</x:f>
        <x:v>종결 표시</x:v>
      </x:c>
      <x:c r="L2554" s="2" t="str">
        <x:v>KECM</x:v>
      </x:c>
      <x:c r="M2554" s="2"/>
      <x:c r="N2554" s="8" t="n">
        <x:f>DATE(2026,10,15)-DATE(2021,1,27)</x:f>
        <x:v>2087</x:v>
      </x:c>
      <x:c r="O2554" s="2"/>
      <x:c r="P2554" s="2"/>
      <x:c r="Q2554" s="2" t="str">
        <x:v>산업전환_외부사업관리Tool_260707_이너젠 수정_LJY_261013.xlsx</x:v>
      </x:c>
      <x:c r="R2554" s="2" t="str">
        <x:v>국외인증</x:v>
      </x:c>
      <x:c r="S2554" s="8" t="n">
        <x:v>141</x:v>
      </x:c>
      <x:c r="T2554" s="2"/>
      <x:c r="U2554" s="2" t="str"/>
      <x:c r="V2554" s="2" t="str">
        <x:v>2021-10-07</x:v>
      </x:c>
      <x:c r="W2554" s="2" t="str"/>
      <x:c r="X2554" s="2" t="str">
        <x:v>종결 근거 보관</x:v>
      </x:c>
      <x:c r="Y2554" s="2" t="str">
        <x:v>ad210cd9ec132cfd447541c8984dc53d30aff0f4fb2dc92d254d49275cc55976</x:v>
      </x:c>
      <x:c r="Z2554" s="2" t="n">
        <x:f>SUBTOTAL(103,A2554)</x:f>
        <x:v>1</x:v>
      </x:c>
      <x:c r="AA2554" s="2" t="str">
        <x:f>IF(K2554&lt;&gt;"미종결 표시","대상 아님",IF(N2554="","신청일 확인",IF(NOT(ISNUMBER('종합 현황'!$H$5)),"관찰기준 확인",IF('종합 현황'!$H$5&lt;1,"관찰기준 확인",IF(N2554&gt;'종합 현황'!$H$5,"내부 관찰 대상","내부 관찰일 이하")))))</x:f>
        <x:v>대상 아님</x:v>
      </x:c>
      <x:c r="AB2554" s="2" t="str">
        <x:v>2021-01-27 15:45 - 신청
2021-02-01 13:07 - 문서재제출요청
2021-03-11 14:46 - 신청
2021-03-30 13:37 - 문서재제출요청
2021-03-30 13:42 - 신청
2021-03-31 15:55 - 문서재제출요청
2021-04-02 13:02 - 신청
2021-06-09 16:04 - 문서재제출요청
2021-07-22 15:18 - 신청
2021-08-06 09:37 - 문서재제출요청
2021-08-06 11:53 - 신청
2021-08-11 13:10 - 문서재제출요청
2021-08-11 13:16 - 신청
2021-08-17 14:26 - 문서재제출요청
2021-08-19 14:23 - 신청
2021-08-24 10:21 - 문서재제출요청
2021-08-24 11:30 - 신청
2021-09-27 10:27 - 검토승인
2021-10-07 17:47 - 심의승인</x:v>
      </x:c>
    </x:row>
    <x:row r="2555" ht="42" customHeight="1">
      <x:c r="A2555" s="2" t="str">
        <x:v>5c07a825ba8d9fb0b30579a5</x:v>
      </x:c>
      <x:c r="B2555" s="2" t="str">
        <x:v>감축량 인증</x:v>
      </x:c>
      <x:c r="C2555" s="2" t="str">
        <x:v>국외</x:v>
      </x:c>
      <x:c r="D2555" s="7" t="str">
        <x:v>대한민국이 지원하는 방글라데시 고효율 쿡스토브 프로그램 - CPA01</x:v>
      </x:c>
      <x:c r="E2555" s="2" t="str">
        <x:v>140</x:v>
      </x:c>
      <x:c r="F2555" s="2" t="str">
        <x:v>2021-03-31</x:v>
      </x:c>
      <x:c r="G2555" s="2" t="str">
        <x:v>2021</x:v>
      </x:c>
      <x:c r="H2555" s="2" t="str">
        <x:v>03</x:v>
      </x:c>
      <x:c r="I2555" s="2" t="str">
        <x:v>심의승인</x:v>
      </x:c>
      <x:c r="J2555" s="2" t="str">
        <x:v>심의승인</x:v>
      </x:c>
      <x:c r="K2555" s="2" t="str">
        <x:f>IF(OR(J2555="심의승인",J2555="반려",J2555="반려완료",J2555="심의완료"),"종결 표시",IF(OR(J2555="기후부협의",J2555="문서재제출요청",J2555="보류",J2555="보완요청",J2555="보완완료",J2555="평가중",J2555="반려요청",J2555="평가필요",LEFT(J2555,5)="보완요청("),"미종결 표시","상태 확인 필요"))</x:f>
        <x:v>종결 표시</x:v>
      </x:c>
      <x:c r="L2555" s="2" t="str">
        <x:v>KECM</x:v>
      </x:c>
      <x:c r="M2555" s="2"/>
      <x:c r="N2555" s="8" t="n">
        <x:f>DATE(2026,10,15)-DATE(2021,3,31)</x:f>
        <x:v>2024</x:v>
      </x:c>
      <x:c r="O2555" s="2"/>
      <x:c r="P2555" s="2"/>
      <x:c r="Q2555" s="2" t="str">
        <x:v>산업전환_외부사업관리Tool_260707_이너젠 수정_LJY_261013.xlsx</x:v>
      </x:c>
      <x:c r="R2555" s="2" t="str">
        <x:v>국외인증</x:v>
      </x:c>
      <x:c r="S2555" s="8" t="n">
        <x:v>142</x:v>
      </x:c>
      <x:c r="T2555" s="2"/>
      <x:c r="U2555" s="2" t="str"/>
      <x:c r="V2555" s="2" t="str">
        <x:v>2021-10-07</x:v>
      </x:c>
      <x:c r="W2555" s="2" t="str"/>
      <x:c r="X2555" s="2" t="str">
        <x:v>종결 근거 보관</x:v>
      </x:c>
      <x:c r="Y2555" s="2" t="str">
        <x:v>ad210cd9ec132cfd447541c8984dc53d30aff0f4fb2dc92d254d49275cc55976</x:v>
      </x:c>
      <x:c r="Z2555" s="2" t="n">
        <x:f>SUBTOTAL(103,A2555)</x:f>
        <x:v>1</x:v>
      </x:c>
      <x:c r="AA2555" s="2" t="str">
        <x:f>IF(K2555&lt;&gt;"미종결 표시","대상 아님",IF(N2555="","신청일 확인",IF(NOT(ISNUMBER('종합 현황'!$H$5)),"관찰기준 확인",IF('종합 현황'!$H$5&lt;1,"관찰기준 확인",IF(N2555&gt;'종합 현황'!$H$5,"내부 관찰 대상","내부 관찰일 이하")))))</x:f>
        <x:v>대상 아님</x:v>
      </x:c>
      <x:c r="AB2555" s="2" t="str">
        <x:v>2021-03-31 15:02 - 접수
2021-04-01 09:41 - 신청
2021-04-01 16:57 - 문서재제출요청
2021-04-02 13:59 - 접수
2021-04-02 14:57 - 신청
2021-06-09 16:07 - 문서재제출요청
2021-07-15 17:05 - 접수
2021-07-16 13:52 - 신청
2021-08-13 13:13 - 문서재제출요청
2021-08-13 14:16 - 접수
2021-08-13 15:36 - 신청
2021-08-13 16:02 - 문서재제출요청
2021-08-13 16:57 - 접수
2021-08-13 17:29 - 신청
2021-08-19 09:54 - 문서재제출요청
2021-08-19 11:10 - 접수
2021-08-19 11:24 - 신청
2021-09-27 10:26 - 검토승인
2021-10-07 17:55 - 심의승인</x:v>
      </x:c>
    </x:row>
    <x:row r="2556" ht="42" customHeight="1">
      <x:c r="A2556" s="2" t="str">
        <x:v>2a6f0fd7f20c460290879d2c</x:v>
      </x:c>
      <x:c r="B2556" s="2" t="str">
        <x:v>감축량 인증</x:v>
      </x:c>
      <x:c r="C2556" s="2" t="str">
        <x:v>국외</x:v>
      </x:c>
      <x:c r="D2556" s="7" t="str">
        <x:v>대한민국이 지원하는  가나 맨 앤 맨 고효율 쿡스토브 프로그램-CPA01</x:v>
      </x:c>
      <x:c r="E2556" s="2" t="str">
        <x:v>141</x:v>
      </x:c>
      <x:c r="F2556" s="2" t="str">
        <x:v>2021-04-21</x:v>
      </x:c>
      <x:c r="G2556" s="2" t="str">
        <x:v>2021</x:v>
      </x:c>
      <x:c r="H2556" s="2" t="str">
        <x:v>04</x:v>
      </x:c>
      <x:c r="I2556" s="2" t="str">
        <x:v>심의승인</x:v>
      </x:c>
      <x:c r="J2556" s="2" t="str">
        <x:v>심의승인</x:v>
      </x:c>
      <x:c r="K2556" s="2" t="str">
        <x:f>IF(OR(J2556="심의승인",J2556="반려",J2556="반려완료",J2556="심의완료"),"종결 표시",IF(OR(J2556="기후부협의",J2556="문서재제출요청",J2556="보류",J2556="보완요청",J2556="보완완료",J2556="평가중",J2556="반려요청",J2556="평가필요",LEFT(J2556,5)="보완요청("),"미종결 표시","상태 확인 필요"))</x:f>
        <x:v>종결 표시</x:v>
      </x:c>
      <x:c r="L2556" s="2" t="str">
        <x:v>에코시안_배윤빈</x:v>
      </x:c>
      <x:c r="M2556" s="2"/>
      <x:c r="N2556" s="8" t="n">
        <x:f>DATE(2026,10,15)-DATE(2021,4,21)</x:f>
        <x:v>2003</x:v>
      </x:c>
      <x:c r="O2556" s="2"/>
      <x:c r="P2556" s="2"/>
      <x:c r="Q2556" s="2" t="str">
        <x:v>산업전환_외부사업관리Tool_260707_이너젠 수정_LJY_261013.xlsx</x:v>
      </x:c>
      <x:c r="R2556" s="2" t="str">
        <x:v>국외인증</x:v>
      </x:c>
      <x:c r="S2556" s="8" t="n">
        <x:v>143</x:v>
      </x:c>
      <x:c r="T2556" s="2"/>
      <x:c r="U2556" s="2" t="str"/>
      <x:c r="V2556" s="2" t="str">
        <x:v>2021-10-07</x:v>
      </x:c>
      <x:c r="W2556" s="2" t="str"/>
      <x:c r="X2556" s="2" t="str">
        <x:v>종결 근거 보관</x:v>
      </x:c>
      <x:c r="Y2556" s="2" t="str">
        <x:v>ad210cd9ec132cfd447541c8984dc53d30aff0f4fb2dc92d254d49275cc55976</x:v>
      </x:c>
      <x:c r="Z2556" s="2" t="n">
        <x:f>SUBTOTAL(103,A2556)</x:f>
        <x:v>1</x:v>
      </x:c>
      <x:c r="AA2556" s="2" t="str">
        <x:f>IF(K2556&lt;&gt;"미종결 표시","대상 아님",IF(N2556="","신청일 확인",IF(NOT(ISNUMBER('종합 현황'!$H$5)),"관찰기준 확인",IF('종합 현황'!$H$5&lt;1,"관찰기준 확인",IF(N2556&gt;'종합 현황'!$H$5,"내부 관찰 대상","내부 관찰일 이하")))))</x:f>
        <x:v>대상 아님</x:v>
      </x:c>
      <x:c r="AB2556" s="2" t="str">
        <x:v>2021-04-21 13:23 - 접수
2021-04-21 13:42 - 신청
2021-05-28 11:22 - 문서재제출요청
2021-05-28 16:05 - 접수
2021-05-28 16:45 - 신청
2021-07-13 13:29 - 보완요청
2021-07-23 08:46 - 접수
2021-07-23 09:55 - 신청
2021-08-13 13:13 - 문서재제출요청
2021-08-13 13:38 - 접수
2021-08-13 13:40 - 신청
2021-09-27 10:25 - 검토승인
2021-10-07 17:52 - 심의승인</x:v>
      </x:c>
    </x:row>
    <x:row r="2557" ht="42" customHeight="1">
      <x:c r="A2557" s="2" t="str">
        <x:v>5fae963183f160a4a977795a</x:v>
      </x:c>
      <x:c r="B2557" s="2" t="str">
        <x:v>감축량 인증</x:v>
      </x:c>
      <x:c r="C2557" s="2" t="str">
        <x:v>국외</x:v>
      </x:c>
      <x:c r="D2557" s="7" t="str">
        <x:v>70MW 태양광 발전 프로젝트(Ba Ria - Vung Tau, Vietnam)</x:v>
      </x:c>
      <x:c r="E2557" s="2" t="str">
        <x:v>142</x:v>
      </x:c>
      <x:c r="F2557" s="2" t="str">
        <x:v>2021-06-30</x:v>
      </x:c>
      <x:c r="G2557" s="2" t="str">
        <x:v>2021</x:v>
      </x:c>
      <x:c r="H2557" s="2" t="str">
        <x:v>06</x:v>
      </x:c>
      <x:c r="I2557" s="2" t="str">
        <x:v>심의승인</x:v>
      </x:c>
      <x:c r="J2557" s="2" t="str">
        <x:v>심의승인</x:v>
      </x:c>
      <x:c r="K2557" s="2" t="str">
        <x:f>IF(OR(J2557="심의승인",J2557="반려",J2557="반려완료",J2557="심의완료"),"종결 표시",IF(OR(J2557="기후부협의",J2557="문서재제출요청",J2557="보류",J2557="보완요청",J2557="보완완료",J2557="평가중",J2557="반려요청",J2557="평가필요",LEFT(J2557,5)="보완요청("),"미종결 표시","상태 확인 필요"))</x:f>
        <x:v>종결 표시</x:v>
      </x:c>
      <x:c r="L2557" s="2" t="str">
        <x:v>KECM</x:v>
      </x:c>
      <x:c r="M2557" s="2"/>
      <x:c r="N2557" s="8" t="n">
        <x:f>DATE(2026,10,15)-DATE(2021,6,30)</x:f>
        <x:v>1933</x:v>
      </x:c>
      <x:c r="O2557" s="2"/>
      <x:c r="P2557" s="2"/>
      <x:c r="Q2557" s="2" t="str">
        <x:v>산업전환_외부사업관리Tool_260707_이너젠 수정_LJY_261013.xlsx</x:v>
      </x:c>
      <x:c r="R2557" s="2" t="str">
        <x:v>국외인증</x:v>
      </x:c>
      <x:c r="S2557" s="8" t="n">
        <x:v>144</x:v>
      </x:c>
      <x:c r="T2557" s="2" t="str">
        <x:v>(7/6, 10/20)</x:v>
      </x:c>
      <x:c r="U2557" s="2" t="str">
        <x:v>2021 지정: (7/6, 10/20)</x:v>
      </x:c>
      <x:c r="V2557" s="2" t="str">
        <x:v>2022-01-17</x:v>
      </x:c>
      <x:c r="W2557" s="2" t="str"/>
      <x:c r="X2557" s="2" t="str">
        <x:v>종결 근거 보관</x:v>
      </x:c>
      <x:c r="Y2557" s="2" t="str">
        <x:v>ad210cd9ec132cfd447541c8984dc53d30aff0f4fb2dc92d254d49275cc55976</x:v>
      </x:c>
      <x:c r="Z2557" s="2" t="n">
        <x:f>SUBTOTAL(103,A2557)</x:f>
        <x:v>1</x:v>
      </x:c>
      <x:c r="AA2557" s="2" t="str">
        <x:f>IF(K2557&lt;&gt;"미종결 표시","대상 아님",IF(N2557="","신청일 확인",IF(NOT(ISNUMBER('종합 현황'!$H$5)),"관찰기준 확인",IF('종합 현황'!$H$5&lt;1,"관찰기준 확인",IF(N2557&gt;'종합 현황'!$H$5,"내부 관찰 대상","내부 관찰일 이하")))))</x:f>
        <x:v>대상 아님</x:v>
      </x:c>
      <x:c r="AB2557" s="2" t="str">
        <x:v>2021-06-30 18:25 - 신청
2021-07-22 13:56 - 보완요청
2021-07-22 16:54 - 신청
2021-09-13 15:02 - 문서재제출요청
2021-09-17 11:16 - 신청
2022-01-07 16:53 - 검토승인
2022-01-17 17:27 - 심의승인</x:v>
      </x:c>
    </x:row>
    <x:row r="2558" ht="42" customHeight="1">
      <x:c r="A2558" s="2" t="str">
        <x:v>4dbaca62dae8519eac9a5caf</x:v>
      </x:c>
      <x:c r="B2558" s="2" t="str">
        <x:v>감축량 인증</x:v>
      </x:c>
      <x:c r="C2558" s="2" t="str">
        <x:v>국외</x:v>
      </x:c>
      <x:c r="D2558" s="7" t="str">
        <x:v>70MW 태양광 발전 프로젝트(Ba Ria - Vung Tau, Vietnam)</x:v>
      </x:c>
      <x:c r="E2558" s="2" t="str">
        <x:v>143</x:v>
      </x:c>
      <x:c r="F2558" s="2" t="str">
        <x:v>2021-06-30</x:v>
      </x:c>
      <x:c r="G2558" s="2" t="str">
        <x:v>2021</x:v>
      </x:c>
      <x:c r="H2558" s="2" t="str">
        <x:v>06</x:v>
      </x:c>
      <x:c r="I2558" s="2" t="str">
        <x:v>심의승인</x:v>
      </x:c>
      <x:c r="J2558" s="2" t="str">
        <x:v>심의승인</x:v>
      </x:c>
      <x:c r="K2558" s="2" t="str">
        <x:f>IF(OR(J2558="심의승인",J2558="반려",J2558="반려완료",J2558="심의완료"),"종결 표시",IF(OR(J2558="기후부협의",J2558="문서재제출요청",J2558="보류",J2558="보완요청",J2558="보완완료",J2558="평가중",J2558="반려요청",J2558="평가필요",LEFT(J2558,5)="보완요청("),"미종결 표시","상태 확인 필요"))</x:f>
        <x:v>종결 표시</x:v>
      </x:c>
      <x:c r="L2558" s="2" t="str">
        <x:v>KECM</x:v>
      </x:c>
      <x:c r="M2558" s="2"/>
      <x:c r="N2558" s="8" t="n">
        <x:f>DATE(2026,10,15)-DATE(2021,6,30)</x:f>
        <x:v>1933</x:v>
      </x:c>
      <x:c r="O2558" s="2"/>
      <x:c r="P2558" s="2"/>
      <x:c r="Q2558" s="2" t="str">
        <x:v>산업전환_외부사업관리Tool_260707_이너젠 수정_LJY_261013.xlsx</x:v>
      </x:c>
      <x:c r="R2558" s="2" t="str">
        <x:v>국외인증</x:v>
      </x:c>
      <x:c r="S2558" s="8" t="n">
        <x:v>145</x:v>
      </x:c>
      <x:c r="T2558" s="2" t="str">
        <x:v>(7/12, 10/20)</x:v>
      </x:c>
      <x:c r="U2558" s="2" t="str">
        <x:v>2021 지정: (7/12, 10/20)</x:v>
      </x:c>
      <x:c r="V2558" s="2" t="str">
        <x:v>2022-01-17</x:v>
      </x:c>
      <x:c r="W2558" s="2" t="str"/>
      <x:c r="X2558" s="2" t="str">
        <x:v>종결 근거 보관</x:v>
      </x:c>
      <x:c r="Y2558" s="2" t="str">
        <x:v>ad210cd9ec132cfd447541c8984dc53d30aff0f4fb2dc92d254d49275cc55976</x:v>
      </x:c>
      <x:c r="Z2558" s="2" t="n">
        <x:f>SUBTOTAL(103,A2558)</x:f>
        <x:v>1</x:v>
      </x:c>
      <x:c r="AA2558" s="2" t="str">
        <x:f>IF(K2558&lt;&gt;"미종결 표시","대상 아님",IF(N2558="","신청일 확인",IF(NOT(ISNUMBER('종합 현황'!$H$5)),"관찰기준 확인",IF('종합 현황'!$H$5&lt;1,"관찰기준 확인",IF(N2558&gt;'종합 현황'!$H$5,"내부 관찰 대상","내부 관찰일 이하")))))</x:f>
        <x:v>대상 아님</x:v>
      </x:c>
      <x:c r="AB2558" s="2" t="str">
        <x:v>2021-06-30 18:34 - 신청
2021-07-22 13:56 - 보완요청
2021-07-22 16:55 - 신청
2021-09-13 15:02 - 문서재제출요청
2021-09-17 11:17 - 신청
2022-01-07 16:56 - 검토승인
2022-01-17 17:30 - 심의승인</x:v>
      </x:c>
    </x:row>
    <x:row r="2559" ht="42" customHeight="1">
      <x:c r="A2559" s="2" t="str">
        <x:v>78220ece54f2392b59aaa062</x:v>
      </x:c>
      <x:c r="B2559" s="2" t="str">
        <x:v>감축량 인증</x:v>
      </x:c>
      <x:c r="C2559" s="2" t="str">
        <x:v>국외</x:v>
      </x:c>
      <x:c r="D2559" s="7" t="str">
        <x:v>가정 조리용 비재생연료의 온실가스 배출 저감 정책 감축사업</x:v>
      </x:c>
      <x:c r="E2559" s="2" t="str">
        <x:v>144</x:v>
      </x:c>
      <x:c r="F2559" s="2" t="str">
        <x:v>2021-06-30</x:v>
      </x:c>
      <x:c r="G2559" s="2" t="str">
        <x:v>2021</x:v>
      </x:c>
      <x:c r="H2559" s="2" t="str">
        <x:v>06</x:v>
      </x:c>
      <x:c r="I2559" s="2" t="str">
        <x:v>심의승인</x:v>
      </x:c>
      <x:c r="J2559" s="2" t="str">
        <x:v>심의승인</x:v>
      </x:c>
      <x:c r="K2559" s="2" t="str">
        <x:f>IF(OR(J2559="심의승인",J2559="반려",J2559="반려완료",J2559="심의완료"),"종결 표시",IF(OR(J2559="기후부협의",J2559="문서재제출요청",J2559="보류",J2559="보완요청",J2559="보완완료",J2559="평가중",J2559="반려요청",J2559="평가필요",LEFT(J2559,5)="보완요청("),"미종결 표시","상태 확인 필요"))</x:f>
        <x:v>종결 표시</x:v>
      </x:c>
      <x:c r="L2559" s="2" t="str">
        <x:v>KECM</x:v>
      </x:c>
      <x:c r="M2559" s="2"/>
      <x:c r="N2559" s="8" t="n">
        <x:f>DATE(2026,10,15)-DATE(2021,6,30)</x:f>
        <x:v>1933</x:v>
      </x:c>
      <x:c r="O2559" s="2"/>
      <x:c r="P2559" s="2"/>
      <x:c r="Q2559" s="2" t="str">
        <x:v>산업전환_외부사업관리Tool_260707_이너젠 수정_LJY_261013.xlsx</x:v>
      </x:c>
      <x:c r="R2559" s="2" t="str">
        <x:v>국외인증</x:v>
      </x:c>
      <x:c r="S2559" s="8" t="n">
        <x:v>146</x:v>
      </x:c>
      <x:c r="T2559" s="2" t="str">
        <x:v>(7/6, 10/20)</x:v>
      </x:c>
      <x:c r="U2559" s="2" t="str">
        <x:v>2021 지정: (7/6, 10/20)</x:v>
      </x:c>
      <x:c r="V2559" s="2" t="str">
        <x:v>2022-04-21</x:v>
      </x:c>
      <x:c r="W2559" s="2" t="str"/>
      <x:c r="X2559" s="2" t="str">
        <x:v>종결 근거 보관</x:v>
      </x:c>
      <x:c r="Y2559" s="2" t="str">
        <x:v>ad210cd9ec132cfd447541c8984dc53d30aff0f4fb2dc92d254d49275cc55976</x:v>
      </x:c>
      <x:c r="Z2559" s="2" t="n">
        <x:f>SUBTOTAL(103,A2559)</x:f>
        <x:v>1</x:v>
      </x:c>
      <x:c r="AA2559" s="2" t="str">
        <x:f>IF(K2559&lt;&gt;"미종결 표시","대상 아님",IF(N2559="","신청일 확인",IF(NOT(ISNUMBER('종합 현황'!$H$5)),"관찰기준 확인",IF('종합 현황'!$H$5&lt;1,"관찰기준 확인",IF(N2559&gt;'종합 현황'!$H$5,"내부 관찰 대상","내부 관찰일 이하")))))</x:f>
        <x:v>대상 아님</x:v>
      </x:c>
      <x:c r="AB2559" s="2" t="str">
        <x:v>2021-06-30 16:55 - 신청
2021-07-29 15:11 - 보완요청
2021-10-25 13:42 - 신청
2021-11-30 14:49 - 보완요청
2021-12-21 13:42 - 신청
2022-01-11 11:12 - 문서재제출요청
2022-01-11 13:32 - 신청
2022-01-11 16:37 - 문서재제출요청
2022-01-11 16:46 - 신청
2022-02-18 17:57 - 문서재제출요청
2022-02-22 08:27 - 신청
2022-03-04 15:59 - 문서재제출요청
2022-03-04 18:37 - 신청
2022-03-07 10:08 - 문서재제출요청
2022-03-07 10:28 - 신청
2022-03-07 11:26 - 문서재제출요청
2022-03-07 11:34 - 신청
2022-04-14 12:28 - 검토승인
2022-04-21 15:42 - 심의승인</x:v>
      </x:c>
    </x:row>
    <x:row r="2560" ht="42" customHeight="1">
      <x:c r="A2560" s="2" t="str">
        <x:v>f73dbcde82e0e58e65994f6e</x:v>
      </x:c>
      <x:c r="B2560" s="2" t="str">
        <x:v>감축량 인증</x:v>
      </x:c>
      <x:c r="C2560" s="2" t="str">
        <x:v>국외</x:v>
      </x:c>
      <x:c r="D2560" s="7" t="str">
        <x:v>대한민국이 지원하는  가나 맨 앤 맨 고효율 쿡스토브 프로그램-CPA01</x:v>
      </x:c>
      <x:c r="E2560" s="2" t="str">
        <x:v>145</x:v>
      </x:c>
      <x:c r="F2560" s="2" t="str">
        <x:v>2021-06-30</x:v>
      </x:c>
      <x:c r="G2560" s="2" t="str">
        <x:v>2021</x:v>
      </x:c>
      <x:c r="H2560" s="2" t="str">
        <x:v>06</x:v>
      </x:c>
      <x:c r="I2560" s="2" t="str">
        <x:v>심의승인</x:v>
      </x:c>
      <x:c r="J2560" s="2" t="str">
        <x:v>심의승인</x:v>
      </x:c>
      <x:c r="K2560" s="2" t="str">
        <x:f>IF(OR(J2560="심의승인",J2560="반려",J2560="반려완료",J2560="심의완료"),"종결 표시",IF(OR(J2560="기후부협의",J2560="문서재제출요청",J2560="보류",J2560="보완요청",J2560="보완완료",J2560="평가중",J2560="반려요청",J2560="평가필요",LEFT(J2560,5)="보완요청("),"미종결 표시","상태 확인 필요"))</x:f>
        <x:v>종결 표시</x:v>
      </x:c>
      <x:c r="L2560" s="2" t="str">
        <x:v>에코시안_조혜민</x:v>
      </x:c>
      <x:c r="M2560" s="2"/>
      <x:c r="N2560" s="8" t="n">
        <x:f>DATE(2026,10,15)-DATE(2021,6,30)</x:f>
        <x:v>1933</x:v>
      </x:c>
      <x:c r="O2560" s="2"/>
      <x:c r="P2560" s="2"/>
      <x:c r="Q2560" s="2" t="str">
        <x:v>산업전환_외부사업관리Tool_260707_이너젠 수정_LJY_261013.xlsx</x:v>
      </x:c>
      <x:c r="R2560" s="2" t="str">
        <x:v>국외인증</x:v>
      </x:c>
      <x:c r="S2560" s="8" t="n">
        <x:v>147</x:v>
      </x:c>
      <x:c r="T2560" s="2" t="str">
        <x:v>(7/6, 10/20)</x:v>
      </x:c>
      <x:c r="U2560" s="2" t="str">
        <x:v>2021 지정: (7/6, 10/20)</x:v>
      </x:c>
      <x:c r="V2560" s="2" t="str">
        <x:v>2022-01-17</x:v>
      </x:c>
      <x:c r="W2560" s="2" t="str"/>
      <x:c r="X2560" s="2" t="str">
        <x:v>종결 근거 보관</x:v>
      </x:c>
      <x:c r="Y2560" s="2" t="str">
        <x:v>ad210cd9ec132cfd447541c8984dc53d30aff0f4fb2dc92d254d49275cc55976</x:v>
      </x:c>
      <x:c r="Z2560" s="2" t="n">
        <x:f>SUBTOTAL(103,A2560)</x:f>
        <x:v>1</x:v>
      </x:c>
      <x:c r="AA2560" s="2" t="str">
        <x:f>IF(K2560&lt;&gt;"미종결 표시","대상 아님",IF(N2560="","신청일 확인",IF(NOT(ISNUMBER('종합 현황'!$H$5)),"관찰기준 확인",IF('종합 현황'!$H$5&lt;1,"관찰기준 확인",IF(N2560&gt;'종합 현황'!$H$5,"내부 관찰 대상","내부 관찰일 이하")))))</x:f>
        <x:v>대상 아님</x:v>
      </x:c>
      <x:c r="AB2560" s="2" t="str">
        <x:v>2021-06-30 14:18 - 접수
2021-06-30 14:58 - 신청
2021-07-27 15:45 - 보완요청
2021-07-28 14:33 - 접수
2021-07-28 14:52 - 신청
2021-09-13 15:03 - 문서재제출요청
2021-10-01 16:49 - 접수
2021-10-01 16:53 - 신청
2022-01-07 17:01 - 검토승인
2022-01-17 17:32 - 심의승인</x:v>
      </x:c>
    </x:row>
    <x:row r="2561" ht="42" customHeight="1">
      <x:c r="A2561" s="2" t="str">
        <x:v>0b7db2d26c2e74806efa6fd4</x:v>
      </x:c>
      <x:c r="B2561" s="2" t="str">
        <x:v>감축량 인증</x:v>
      </x:c>
      <x:c r="C2561" s="2" t="str">
        <x:v>국외</x:v>
      </x:c>
      <x:c r="D2561" s="7" t="str">
        <x:v>CPA-0001: KOKO 케냐 에탄올 쿡스토브 프로그램</x:v>
      </x:c>
      <x:c r="E2561" s="2" t="str">
        <x:v>146</x:v>
      </x:c>
      <x:c r="F2561" s="2" t="str">
        <x:v>2021-07-02</x:v>
      </x:c>
      <x:c r="G2561" s="2" t="str">
        <x:v>2021</x:v>
      </x:c>
      <x:c r="H2561" s="2" t="str">
        <x:v>07</x:v>
      </x:c>
      <x:c r="I2561" s="2" t="str">
        <x:v>심의승인</x:v>
      </x:c>
      <x:c r="J2561" s="2" t="str">
        <x:v>심의승인</x:v>
      </x:c>
      <x:c r="K2561" s="2" t="str">
        <x:f>IF(OR(J2561="심의승인",J2561="반려",J2561="반려완료",J2561="심의완료"),"종결 표시",IF(OR(J2561="기후부협의",J2561="문서재제출요청",J2561="보류",J2561="보완요청",J2561="보완완료",J2561="평가중",J2561="반려요청",J2561="평가필요",LEFT(J2561,5)="보완요청("),"미종결 표시","상태 확인 필요"))</x:f>
        <x:v>종결 표시</x:v>
      </x:c>
      <x:c r="L2561" s="2" t="str">
        <x:v>에코시안_조혜민</x:v>
      </x:c>
      <x:c r="M2561" s="2"/>
      <x:c r="N2561" s="8" t="n">
        <x:f>DATE(2026,10,15)-DATE(2021,7,2)</x:f>
        <x:v>1931</x:v>
      </x:c>
      <x:c r="O2561" s="2"/>
      <x:c r="P2561" s="2"/>
      <x:c r="Q2561" s="2" t="str">
        <x:v>산업전환_외부사업관리Tool_260707_이너젠 수정_LJY_261013.xlsx</x:v>
      </x:c>
      <x:c r="R2561" s="2" t="str">
        <x:v>국외인증</x:v>
      </x:c>
      <x:c r="S2561" s="8" t="n">
        <x:v>148</x:v>
      </x:c>
      <x:c r="T2561" s="2" t="str">
        <x:v>(7/12, 10/20)</x:v>
      </x:c>
      <x:c r="U2561" s="2" t="str">
        <x:v>2021 지정: (7/12, 10/20)</x:v>
      </x:c>
      <x:c r="V2561" s="2" t="str">
        <x:v>2022-01-17</x:v>
      </x:c>
      <x:c r="W2561" s="2" t="str"/>
      <x:c r="X2561" s="2" t="str">
        <x:v>종결 근거 보관</x:v>
      </x:c>
      <x:c r="Y2561" s="2" t="str">
        <x:v>ad210cd9ec132cfd447541c8984dc53d30aff0f4fb2dc92d254d49275cc55976</x:v>
      </x:c>
      <x:c r="Z2561" s="2" t="n">
        <x:f>SUBTOTAL(103,A2561)</x:f>
        <x:v>1</x:v>
      </x:c>
      <x:c r="AA2561" s="2" t="str">
        <x:f>IF(K2561&lt;&gt;"미종결 표시","대상 아님",IF(N2561="","신청일 확인",IF(NOT(ISNUMBER('종합 현황'!$H$5)),"관찰기준 확인",IF('종합 현황'!$H$5&lt;1,"관찰기준 확인",IF(N2561&gt;'종합 현황'!$H$5,"내부 관찰 대상","내부 관찰일 이하")))))</x:f>
        <x:v>대상 아님</x:v>
      </x:c>
      <x:c r="AB2561" s="2" t="str">
        <x:v>2021-07-02 14:46 - 신청
2021-07-27 15:46 - 보완요청
2021-07-28 14:22 - 신청
2021-09-13 15:03 - 문서재제출요청
2021-09-29 08:27 - 신청
2022-01-07 17:04 - 검토승인
2022-01-17 17:34 - 심의승인</x:v>
      </x:c>
    </x:row>
    <x:row r="2562" ht="42" customHeight="1">
      <x:c r="A2562" s="2" t="str">
        <x:v>2d77f26053ab232e1061802f</x:v>
      </x:c>
      <x:c r="B2562" s="2" t="str">
        <x:v>감축량 인증</x:v>
      </x:c>
      <x:c r="C2562" s="2" t="str">
        <x:v>국외</x:v>
      </x:c>
      <x:c r="D2562" s="7" t="str">
        <x:v>대한민국이 지원하는 부룬디 고효율 쿡스토브 프로그램 - CPA1</x:v>
      </x:c>
      <x:c r="E2562" s="2" t="str">
        <x:v>153</x:v>
      </x:c>
      <x:c r="F2562" s="2" t="str">
        <x:v>2021-08-30</x:v>
      </x:c>
      <x:c r="G2562" s="2" t="str">
        <x:v>2021</x:v>
      </x:c>
      <x:c r="H2562" s="2" t="str">
        <x:v>08</x:v>
      </x:c>
      <x:c r="I2562" s="2" t="str">
        <x:v>심의승인</x:v>
      </x:c>
      <x:c r="J2562" s="2" t="str">
        <x:v>심의승인</x:v>
      </x:c>
      <x:c r="K2562" s="2" t="str">
        <x:f>IF(OR(J2562="심의승인",J2562="반려",J2562="반려완료",J2562="심의완료"),"종결 표시",IF(OR(J2562="기후부협의",J2562="문서재제출요청",J2562="보류",J2562="보완요청",J2562="보완완료",J2562="평가중",J2562="반려요청",J2562="평가필요",LEFT(J2562,5)="보완요청("),"미종결 표시","상태 확인 필요"))</x:f>
        <x:v>종결 표시</x:v>
      </x:c>
      <x:c r="L2562" s="2" t="str">
        <x:v>KECM_황순현 &gt; KRIC</x:v>
      </x:c>
      <x:c r="M2562" s="2"/>
      <x:c r="N2562" s="8" t="n">
        <x:f>DATE(2026,10,15)-DATE(2021,8,30)</x:f>
        <x:v>1872</x:v>
      </x:c>
      <x:c r="O2562" s="2"/>
      <x:c r="P2562" s="2"/>
      <x:c r="Q2562" s="2" t="str">
        <x:v>산업전환_외부사업관리Tool_260707_이너젠 수정_LJY_261013.xlsx</x:v>
      </x:c>
      <x:c r="R2562" s="2" t="str">
        <x:v>국외인증</x:v>
      </x:c>
      <x:c r="S2562" s="8" t="n">
        <x:v>149</x:v>
      </x:c>
      <x:c r="T2562" s="2" t="str">
        <x:v>(9/14)</x:v>
      </x:c>
      <x:c r="U2562" s="2" t="str">
        <x:v>2021 지정: (9/14) / 2022 지정: (6/10),(8/16)</x:v>
      </x:c>
      <x:c r="V2562" s="2" t="str">
        <x:v>2023-03-24</x:v>
      </x:c>
      <x:c r="W2562" s="2" t="str"/>
      <x:c r="X2562" s="2" t="str">
        <x:v>종결 근거 보관</x:v>
      </x:c>
      <x:c r="Y2562" s="2" t="str">
        <x:v>ad210cd9ec132cfd447541c8984dc53d30aff0f4fb2dc92d254d49275cc55976</x:v>
      </x:c>
      <x:c r="Z2562" s="2" t="n">
        <x:f>SUBTOTAL(103,A2562)</x:f>
        <x:v>1</x:v>
      </x:c>
      <x:c r="AA2562" s="2" t="str">
        <x:f>IF(K2562&lt;&gt;"미종결 표시","대상 아님",IF(N2562="","신청일 확인",IF(NOT(ISNUMBER('종합 현황'!$H$5)),"관찰기준 확인",IF('종합 현황'!$H$5&lt;1,"관찰기준 확인",IF(N2562&gt;'종합 현황'!$H$5,"내부 관찰 대상","내부 관찰일 이하")))))</x:f>
        <x:v>대상 아님</x:v>
      </x:c>
      <x:c r="AB2562" s="2" t="str">
        <x:v>2021-08-30 08:36 - 신청
2021-09-29 15:03 - 보완요청
2021-09-29 15:20 - 신청
2021-09-29 15:35 - 문서재제출요청
2022-05-26 08:47 - 신청
2022-07-18 09:13 - 보완요청
2022-08-05 10:49 - 신청
2023-03-15 11:16 - 검토승인
2023-03-24 14:35 - 심의승인</x:v>
      </x:c>
    </x:row>
    <x:row r="2563" ht="42" customHeight="1">
      <x:c r="A2563" s="2" t="str">
        <x:v>24e35d919b30308789767847</x:v>
      </x:c>
      <x:c r="B2563" s="2" t="str">
        <x:v>감축량 인증</x:v>
      </x:c>
      <x:c r="C2563" s="2" t="str">
        <x:v>국외</x:v>
      </x:c>
      <x:c r="D2563" s="7" t="str">
        <x:v>마다가스카르의 개선된 쿡스토브 프로젝트 by KCM - Wood#CPA-W-001</x:v>
      </x:c>
      <x:c r="E2563" s="2" t="str">
        <x:v>391</x:v>
      </x:c>
      <x:c r="F2563" s="2" t="str">
        <x:v>2022-01-14</x:v>
      </x:c>
      <x:c r="G2563" s="2" t="str">
        <x:v>2022</x:v>
      </x:c>
      <x:c r="H2563" s="2" t="str">
        <x:v>01</x:v>
      </x:c>
      <x:c r="I2563" s="2" t="str">
        <x:v>심의승인</x:v>
      </x:c>
      <x:c r="J2563" s="2" t="str">
        <x:v>심의승인</x:v>
      </x:c>
      <x:c r="K2563" s="2" t="str">
        <x:f>IF(OR(J2563="심의승인",J2563="반려",J2563="반려완료",J2563="심의완료"),"종결 표시",IF(OR(J2563="기후부협의",J2563="문서재제출요청",J2563="보류",J2563="보완요청",J2563="보완완료",J2563="평가중",J2563="반려요청",J2563="평가필요",LEFT(J2563,5)="보완요청("),"미종결 표시","상태 확인 필요"))</x:f>
        <x:v>종결 표시</x:v>
      </x:c>
      <x:c r="L2563" s="2" t="str">
        <x:v>에코시안_기샛별 &gt; KRIC</x:v>
      </x:c>
      <x:c r="M2563" s="2"/>
      <x:c r="N2563" s="8" t="n">
        <x:f>DATE(2026,10,15)-DATE(2022,1,14)</x:f>
        <x:v>1735</x:v>
      </x:c>
      <x:c r="O2563" s="2"/>
      <x:c r="P2563" s="2"/>
      <x:c r="Q2563" s="2" t="str">
        <x:v>산업전환_외부사업관리Tool_260707_이너젠 수정_LJY_261013.xlsx</x:v>
      </x:c>
      <x:c r="R2563" s="2" t="str">
        <x:v>국외인증</x:v>
      </x:c>
      <x:c r="S2563" s="8" t="n">
        <x:v>150</x:v>
      </x:c>
      <x:c r="T2563" s="2" t="str">
        <x:v>(1/18),(4/19),(9/19)</x:v>
      </x:c>
      <x:c r="U2563" s="2" t="str">
        <x:v>2022 지정: (1/18),(4/19),(9/19)</x:v>
      </x:c>
      <x:c r="V2563" s="2" t="str">
        <x:v>2023-12-13</x:v>
      </x:c>
      <x:c r="W2563" s="2" t="str"/>
      <x:c r="X2563" s="2" t="str">
        <x:v>종결 근거 보관</x:v>
      </x:c>
      <x:c r="Y2563" s="2" t="str">
        <x:v>ad210cd9ec132cfd447541c8984dc53d30aff0f4fb2dc92d254d49275cc55976</x:v>
      </x:c>
      <x:c r="Z2563" s="2" t="n">
        <x:f>SUBTOTAL(103,A2563)</x:f>
        <x:v>1</x:v>
      </x:c>
      <x:c r="AA2563" s="2" t="str">
        <x:f>IF(K2563&lt;&gt;"미종결 표시","대상 아님",IF(N2563="","신청일 확인",IF(NOT(ISNUMBER('종합 현황'!$H$5)),"관찰기준 확인",IF('종합 현황'!$H$5&lt;1,"관찰기준 확인",IF(N2563&gt;'종합 현황'!$H$5,"내부 관찰 대상","내부 관찰일 이하")))))</x:f>
        <x:v>대상 아님</x:v>
      </x:c>
      <x:c r="AB2563" s="2" t="str">
        <x:v>2022-01-14 17:43 - 신청
2022-03-22 14:19 - 문서재제출요청
2022-03-25 15:23 - 신청
2022-07-29 16:50 - 보완요청
2022-08-29 17:42 - 신청
2023-03-15 12:58 - 검토승인
2023-03-24 14:36 - 심의승인</x:v>
      </x:c>
    </x:row>
    <x:row r="2564" ht="42" customHeight="1">
      <x:c r="A2564" s="2" t="str">
        <x:v>ae9f23bf4525aec94699e825</x:v>
      </x:c>
      <x:c r="B2564" s="2" t="str">
        <x:v>감축량 인증</x:v>
      </x:c>
      <x:c r="C2564" s="2" t="str">
        <x:v>국외</x:v>
      </x:c>
      <x:c r="D2564" s="7" t="str">
        <x:v>마다가스카르의 개선된 쿡스토브 프로젝트 by KCM - Wood#CPA-W-002</x:v>
      </x:c>
      <x:c r="E2564" s="2" t="str">
        <x:v>392</x:v>
      </x:c>
      <x:c r="F2564" s="2" t="str">
        <x:v>2022-01-14</x:v>
      </x:c>
      <x:c r="G2564" s="2" t="str">
        <x:v>2022</x:v>
      </x:c>
      <x:c r="H2564" s="2" t="str">
        <x:v>01</x:v>
      </x:c>
      <x:c r="I2564" s="2" t="str">
        <x:v>심의승인</x:v>
      </x:c>
      <x:c r="J2564" s="2" t="str">
        <x:v>심의승인</x:v>
      </x:c>
      <x:c r="K2564" s="2" t="str">
        <x:f>IF(OR(J2564="심의승인",J2564="반려",J2564="반려완료",J2564="심의완료"),"종결 표시",IF(OR(J2564="기후부협의",J2564="문서재제출요청",J2564="보류",J2564="보완요청",J2564="보완완료",J2564="평가중",J2564="반려요청",J2564="평가필요",LEFT(J2564,5)="보완요청("),"미종결 표시","상태 확인 필요"))</x:f>
        <x:v>종결 표시</x:v>
      </x:c>
      <x:c r="L2564" s="2" t="str">
        <x:v>에코시안_기샛별 &gt; KRIC</x:v>
      </x:c>
      <x:c r="M2564" s="2"/>
      <x:c r="N2564" s="8" t="n">
        <x:f>DATE(2026,10,15)-DATE(2022,1,14)</x:f>
        <x:v>1735</x:v>
      </x:c>
      <x:c r="O2564" s="2"/>
      <x:c r="P2564" s="2"/>
      <x:c r="Q2564" s="2" t="str">
        <x:v>산업전환_외부사업관리Tool_260707_이너젠 수정_LJY_261013.xlsx</x:v>
      </x:c>
      <x:c r="R2564" s="2" t="str">
        <x:v>국외인증</x:v>
      </x:c>
      <x:c r="S2564" s="8" t="n">
        <x:v>151</x:v>
      </x:c>
      <x:c r="T2564" s="2" t="str">
        <x:v>(1/18),(4/19),(9/19)</x:v>
      </x:c>
      <x:c r="U2564" s="2" t="str">
        <x:v>2022 지정: (1/18),(4/19),(9/19)</x:v>
      </x:c>
      <x:c r="V2564" s="2" t="str">
        <x:v>2023-12-13</x:v>
      </x:c>
      <x:c r="W2564" s="2" t="str"/>
      <x:c r="X2564" s="2" t="str">
        <x:v>종결 근거 보관</x:v>
      </x:c>
      <x:c r="Y2564" s="2" t="str">
        <x:v>ad210cd9ec132cfd447541c8984dc53d30aff0f4fb2dc92d254d49275cc55976</x:v>
      </x:c>
      <x:c r="Z2564" s="2" t="n">
        <x:f>SUBTOTAL(103,A2564)</x:f>
        <x:v>1</x:v>
      </x:c>
      <x:c r="AA2564" s="2" t="str">
        <x:f>IF(K2564&lt;&gt;"미종결 표시","대상 아님",IF(N2564="","신청일 확인",IF(NOT(ISNUMBER('종합 현황'!$H$5)),"관찰기준 확인",IF('종합 현황'!$H$5&lt;1,"관찰기준 확인",IF(N2564&gt;'종합 현황'!$H$5,"내부 관찰 대상","내부 관찰일 이하")))))</x:f>
        <x:v>대상 아님</x:v>
      </x:c>
      <x:c r="AB2564" s="2" t="str">
        <x:v>2022-01-14 17:44 - 신청
2022-03-22 14:19 - 문서재제출요청
2022-03-25 15:23 - 신청
2022-07-29 16:52 - 보완요청
2022-08-29 17:43 - 신청
2022-11-15 09:25 - 문서재제출요청
2022-11-15 10:59 - 신청
2023-03-15 13:08 - 검토승인
2023-03-24 14:39 - 심의승인</x:v>
      </x:c>
    </x:row>
    <x:row r="2565" ht="42" customHeight="1">
      <x:c r="A2565" s="2" t="str">
        <x:v>37f067a962a95ac6829049eb</x:v>
      </x:c>
      <x:c r="B2565" s="2" t="str">
        <x:v>감축량 인증</x:v>
      </x:c>
      <x:c r="C2565" s="2" t="str">
        <x:v>국외</x:v>
      </x:c>
      <x:c r="D2565" s="7" t="str">
        <x:v>마다가스카르의 개선된 쿡스토브 프로젝트 by KCM - Wood#CPA-W-001</x:v>
      </x:c>
      <x:c r="E2565" s="2" t="str">
        <x:v>414</x:v>
      </x:c>
      <x:c r="F2565" s="2" t="str">
        <x:v>2022-02-25</x:v>
      </x:c>
      <x:c r="G2565" s="2" t="str">
        <x:v>2022</x:v>
      </x:c>
      <x:c r="H2565" s="2" t="str">
        <x:v>02</x:v>
      </x:c>
      <x:c r="I2565" s="2" t="str">
        <x:v>심의승인</x:v>
      </x:c>
      <x:c r="J2565" s="2" t="str">
        <x:v>심의승인</x:v>
      </x:c>
      <x:c r="K2565" s="2" t="str">
        <x:f>IF(OR(J2565="심의승인",J2565="반려",J2565="반려완료",J2565="심의완료"),"종결 표시",IF(OR(J2565="기후부협의",J2565="문서재제출요청",J2565="보류",J2565="보완요청",J2565="보완완료",J2565="평가중",J2565="반려요청",J2565="평가필요",LEFT(J2565,5)="보완요청("),"미종결 표시","상태 확인 필요"))</x:f>
        <x:v>종결 표시</x:v>
      </x:c>
      <x:c r="L2565" s="2" t="str">
        <x:v>에코시안_기샛별&gt;KRIC</x:v>
      </x:c>
      <x:c r="M2565" s="2"/>
      <x:c r="N2565" s="8" t="n">
        <x:f>DATE(2026,10,15)-DATE(2022,2,25)</x:f>
        <x:v>1693</x:v>
      </x:c>
      <x:c r="O2565" s="2"/>
      <x:c r="P2565" s="2"/>
      <x:c r="Q2565" s="2" t="str">
        <x:v>산업전환_외부사업관리Tool_260707_이너젠 수정_LJY_261013.xlsx</x:v>
      </x:c>
      <x:c r="R2565" s="2" t="str">
        <x:v>국외인증</x:v>
      </x:c>
      <x:c r="S2565" s="8" t="n">
        <x:v>152</x:v>
      </x:c>
      <x:c r="T2565" s="2" t="str">
        <x:v>(3/16)(5/18)(9/19)</x:v>
      </x:c>
      <x:c r="U2565" s="2" t="str">
        <x:v>2022 지정: (3/16)(5/18)(9/19)</x:v>
      </x:c>
      <x:c r="V2565" s="2" t="str">
        <x:v>2023-12-13</x:v>
      </x:c>
      <x:c r="W2565" s="2" t="str"/>
      <x:c r="X2565" s="2" t="str">
        <x:v>종결 근거 보관</x:v>
      </x:c>
      <x:c r="Y2565" s="2" t="str">
        <x:v>ad210cd9ec132cfd447541c8984dc53d30aff0f4fb2dc92d254d49275cc55976</x:v>
      </x:c>
      <x:c r="Z2565" s="2" t="n">
        <x:f>SUBTOTAL(103,A2565)</x:f>
        <x:v>1</x:v>
      </x:c>
      <x:c r="AA2565" s="2" t="str">
        <x:f>IF(K2565&lt;&gt;"미종결 표시","대상 아님",IF(N2565="","신청일 확인",IF(NOT(ISNUMBER('종합 현황'!$H$5)),"관찰기준 확인",IF('종합 현황'!$H$5&lt;1,"관찰기준 확인",IF(N2565&gt;'종합 현황'!$H$5,"내부 관찰 대상","내부 관찰일 이하")))))</x:f>
        <x:v>대상 아님</x:v>
      </x:c>
      <x:c r="AB2565" s="2" t="str">
        <x:v>2022-02-25 14:21 - 신청
2022-04-20 15:15 - 문서재제출요청
2022-04-27 16:33 - 신청
2022-07-29 16:51 - 보완요청
2022-08-29 17:43 - 신청
2023-03-15 12:59 - 검토승인
2023-03-24 14:37 - 심의승인</x:v>
      </x:c>
    </x:row>
    <x:row r="2566" ht="42" customHeight="1">
      <x:c r="A2566" s="2" t="str">
        <x:v>2edecb57134e10110fcb4644</x:v>
      </x:c>
      <x:c r="B2566" s="2" t="str">
        <x:v>감축량 인증</x:v>
      </x:c>
      <x:c r="C2566" s="2" t="str">
        <x:v>국외</x:v>
      </x:c>
      <x:c r="D2566" s="7" t="str">
        <x:v>마다가스카르의 개선된 쿡스토브 프로젝트 by KCM - Wood#CPA-W-002</x:v>
      </x:c>
      <x:c r="E2566" s="2" t="str">
        <x:v>415</x:v>
      </x:c>
      <x:c r="F2566" s="2" t="str">
        <x:v>2022-02-25</x:v>
      </x:c>
      <x:c r="G2566" s="2" t="str">
        <x:v>2022</x:v>
      </x:c>
      <x:c r="H2566" s="2" t="str">
        <x:v>02</x:v>
      </x:c>
      <x:c r="I2566" s="2" t="str">
        <x:v>심의승인</x:v>
      </x:c>
      <x:c r="J2566" s="2" t="str">
        <x:v>심의승인</x:v>
      </x:c>
      <x:c r="K2566" s="2" t="str">
        <x:f>IF(OR(J2566="심의승인",J2566="반려",J2566="반려완료",J2566="심의완료"),"종결 표시",IF(OR(J2566="기후부협의",J2566="문서재제출요청",J2566="보류",J2566="보완요청",J2566="보완완료",J2566="평가중",J2566="반려요청",J2566="평가필요",LEFT(J2566,5)="보완요청("),"미종결 표시","상태 확인 필요"))</x:f>
        <x:v>종결 표시</x:v>
      </x:c>
      <x:c r="L2566" s="2" t="str">
        <x:v>에코시안_기샛별&gt;KRIC</x:v>
      </x:c>
      <x:c r="M2566" s="2"/>
      <x:c r="N2566" s="8" t="n">
        <x:f>DATE(2026,10,15)-DATE(2022,2,25)</x:f>
        <x:v>1693</x:v>
      </x:c>
      <x:c r="O2566" s="2"/>
      <x:c r="P2566" s="2"/>
      <x:c r="Q2566" s="2" t="str">
        <x:v>산업전환_외부사업관리Tool_260707_이너젠 수정_LJY_261013.xlsx</x:v>
      </x:c>
      <x:c r="R2566" s="2" t="str">
        <x:v>국외인증</x:v>
      </x:c>
      <x:c r="S2566" s="8" t="n">
        <x:v>153</x:v>
      </x:c>
      <x:c r="T2566" s="2" t="str">
        <x:v>(3/16)(5/18)(9/19)</x:v>
      </x:c>
      <x:c r="U2566" s="2" t="str">
        <x:v>2022 지정: (3/16)(5/18)(9/19)</x:v>
      </x:c>
      <x:c r="V2566" s="2" t="str">
        <x:v>2023-12-13</x:v>
      </x:c>
      <x:c r="W2566" s="2" t="str"/>
      <x:c r="X2566" s="2" t="str">
        <x:v>종결 근거 보관</x:v>
      </x:c>
      <x:c r="Y2566" s="2" t="str">
        <x:v>ad210cd9ec132cfd447541c8984dc53d30aff0f4fb2dc92d254d49275cc55976</x:v>
      </x:c>
      <x:c r="Z2566" s="2" t="n">
        <x:f>SUBTOTAL(103,A2566)</x:f>
        <x:v>1</x:v>
      </x:c>
      <x:c r="AA2566" s="2" t="str">
        <x:f>IF(K2566&lt;&gt;"미종결 표시","대상 아님",IF(N2566="","신청일 확인",IF(NOT(ISNUMBER('종합 현황'!$H$5)),"관찰기준 확인",IF('종합 현황'!$H$5&lt;1,"관찰기준 확인",IF(N2566&gt;'종합 현황'!$H$5,"내부 관찰 대상","내부 관찰일 이하")))))</x:f>
        <x:v>대상 아님</x:v>
      </x:c>
      <x:c r="AB2566" s="2" t="str">
        <x:v>2022-02-25 14:21 - 신청
2022-04-20 15:15 - 문서재제출요청
2022-04-27 16:34 - 신청
2022-07-29 16:53 - 보완요청
2022-08-29 17:43 - 신청
2023-03-15 13:09 - 검토승인
2023-03-24 14:40 - 심의승인</x:v>
      </x:c>
    </x:row>
    <x:row r="2567" ht="42" customHeight="1">
      <x:c r="A2567" s="2" t="str">
        <x:v>7a4cc91ecf88379a5ef59572</x:v>
      </x:c>
      <x:c r="B2567" s="2" t="str">
        <x:v>감축량 인증</x:v>
      </x:c>
      <x:c r="C2567" s="2" t="str">
        <x:v>국외</x:v>
      </x:c>
      <x:c r="D2567" s="7" t="str">
        <x:v>마다가스카르의 개선된 쿡스토브 프로젝트 by KCM - Wood#CPA-W-001</x:v>
      </x:c>
      <x:c r="E2567" s="2" t="str">
        <x:v>423</x:v>
      </x:c>
      <x:c r="F2567" s="2" t="str">
        <x:v>2022-02-25</x:v>
      </x:c>
      <x:c r="G2567" s="2" t="str">
        <x:v>2022</x:v>
      </x:c>
      <x:c r="H2567" s="2" t="str">
        <x:v>02</x:v>
      </x:c>
      <x:c r="I2567" s="2" t="str">
        <x:v>심의승인</x:v>
      </x:c>
      <x:c r="J2567" s="2" t="str">
        <x:v>심의승인</x:v>
      </x:c>
      <x:c r="K2567" s="2" t="str">
        <x:f>IF(OR(J2567="심의승인",J2567="반려",J2567="반려완료",J2567="심의완료"),"종결 표시",IF(OR(J2567="기후부협의",J2567="문서재제출요청",J2567="보류",J2567="보완요청",J2567="보완완료",J2567="평가중",J2567="반려요청",J2567="평가필요",LEFT(J2567,5)="보완요청("),"미종결 표시","상태 확인 필요"))</x:f>
        <x:v>종결 표시</x:v>
      </x:c>
      <x:c r="L2567" s="2" t="str">
        <x:v>에코시안_조혜민&gt;KRIC</x:v>
      </x:c>
      <x:c r="M2567" s="2"/>
      <x:c r="N2567" s="8" t="n">
        <x:f>DATE(2026,10,15)-DATE(2022,2,25)</x:f>
        <x:v>1693</x:v>
      </x:c>
      <x:c r="O2567" s="2"/>
      <x:c r="P2567" s="2"/>
      <x:c r="Q2567" s="2" t="str">
        <x:v>산업전환_외부사업관리Tool_260707_이너젠 수정_LJY_261013.xlsx</x:v>
      </x:c>
      <x:c r="R2567" s="2" t="str">
        <x:v>국외인증</x:v>
      </x:c>
      <x:c r="S2567" s="8" t="n">
        <x:v>154</x:v>
      </x:c>
      <x:c r="T2567" s="2" t="str">
        <x:v>(3/16)(5/18)(9/19)</x:v>
      </x:c>
      <x:c r="U2567" s="2" t="str">
        <x:v>2022 지정: (3/16)(5/18)(9/19)</x:v>
      </x:c>
      <x:c r="V2567" s="2" t="str">
        <x:v>2023-12-13</x:v>
      </x:c>
      <x:c r="W2567" s="2" t="str"/>
      <x:c r="X2567" s="2" t="str">
        <x:v>종결 근거 보관</x:v>
      </x:c>
      <x:c r="Y2567" s="2" t="str">
        <x:v>ad210cd9ec132cfd447541c8984dc53d30aff0f4fb2dc92d254d49275cc55976</x:v>
      </x:c>
      <x:c r="Z2567" s="2" t="n">
        <x:f>SUBTOTAL(103,A2567)</x:f>
        <x:v>1</x:v>
      </x:c>
      <x:c r="AA2567" s="2" t="str">
        <x:f>IF(K2567&lt;&gt;"미종결 표시","대상 아님",IF(N2567="","신청일 확인",IF(NOT(ISNUMBER('종합 현황'!$H$5)),"관찰기준 확인",IF('종합 현황'!$H$5&lt;1,"관찰기준 확인",IF(N2567&gt;'종합 현황'!$H$5,"내부 관찰 대상","내부 관찰일 이하")))))</x:f>
        <x:v>대상 아님</x:v>
      </x:c>
      <x:c r="AB2567" s="2" t="str">
        <x:v>2022-02-25 17:04 - 신청
2022-04-21 08:32 - 문서재제출요청
2022-04-27 17:22 - 신청
2022-07-29 16:48 - 보완요청
2022-08-29 17:43 - 신청
2023-03-15 12:59 - 검토승인
2023-03-24 14:37 - 심의승인</x:v>
      </x:c>
    </x:row>
    <x:row r="2568" ht="42" customHeight="1">
      <x:c r="A2568" s="2" t="str">
        <x:v>a4a41762956e758ebb67a533</x:v>
      </x:c>
      <x:c r="B2568" s="2" t="str">
        <x:v>감축량 인증</x:v>
      </x:c>
      <x:c r="C2568" s="2" t="str">
        <x:v>국외</x:v>
      </x:c>
      <x:c r="D2568" s="7" t="str">
        <x:v>마다가스카르의 개선된 쿡스토브 프로젝트 by KCM - Wood#CPA-W-002</x:v>
      </x:c>
      <x:c r="E2568" s="2" t="str">
        <x:v>424</x:v>
      </x:c>
      <x:c r="F2568" s="2" t="str">
        <x:v>2022-02-25</x:v>
      </x:c>
      <x:c r="G2568" s="2" t="str">
        <x:v>2022</x:v>
      </x:c>
      <x:c r="H2568" s="2" t="str">
        <x:v>02</x:v>
      </x:c>
      <x:c r="I2568" s="2" t="str">
        <x:v>심의승인</x:v>
      </x:c>
      <x:c r="J2568" s="2" t="str">
        <x:v>심의승인</x:v>
      </x:c>
      <x:c r="K2568" s="2" t="str">
        <x:f>IF(OR(J2568="심의승인",J2568="반려",J2568="반려완료",J2568="심의완료"),"종결 표시",IF(OR(J2568="기후부협의",J2568="문서재제출요청",J2568="보류",J2568="보완요청",J2568="보완완료",J2568="평가중",J2568="반려요청",J2568="평가필요",LEFT(J2568,5)="보완요청("),"미종결 표시","상태 확인 필요"))</x:f>
        <x:v>종결 표시</x:v>
      </x:c>
      <x:c r="L2568" s="2" t="str">
        <x:v>에코시안_기샛별&gt;KRIC</x:v>
      </x:c>
      <x:c r="M2568" s="2"/>
      <x:c r="N2568" s="8" t="n">
        <x:f>DATE(2026,10,15)-DATE(2022,2,25)</x:f>
        <x:v>1693</x:v>
      </x:c>
      <x:c r="O2568" s="2"/>
      <x:c r="P2568" s="2"/>
      <x:c r="Q2568" s="2" t="str">
        <x:v>산업전환_외부사업관리Tool_260707_이너젠 수정_LJY_261013.xlsx</x:v>
      </x:c>
      <x:c r="R2568" s="2" t="str">
        <x:v>국외인증</x:v>
      </x:c>
      <x:c r="S2568" s="8" t="n">
        <x:v>155</x:v>
      </x:c>
      <x:c r="T2568" s="2" t="str">
        <x:v>(3/16)(5/18)(9/19)</x:v>
      </x:c>
      <x:c r="U2568" s="2" t="str">
        <x:v>2022 지정: (3/16)(5/18)(9/19)</x:v>
      </x:c>
      <x:c r="V2568" s="2" t="str">
        <x:v>2023-12-13</x:v>
      </x:c>
      <x:c r="W2568" s="2" t="str"/>
      <x:c r="X2568" s="2" t="str">
        <x:v>종결 근거 보관</x:v>
      </x:c>
      <x:c r="Y2568" s="2" t="str">
        <x:v>ad210cd9ec132cfd447541c8984dc53d30aff0f4fb2dc92d254d49275cc55976</x:v>
      </x:c>
      <x:c r="Z2568" s="2" t="n">
        <x:f>SUBTOTAL(103,A2568)</x:f>
        <x:v>1</x:v>
      </x:c>
      <x:c r="AA2568" s="2" t="str">
        <x:f>IF(K2568&lt;&gt;"미종결 표시","대상 아님",IF(N2568="","신청일 확인",IF(NOT(ISNUMBER('종합 현황'!$H$5)),"관찰기준 확인",IF('종합 현황'!$H$5&lt;1,"관찰기준 확인",IF(N2568&gt;'종합 현황'!$H$5,"내부 관찰 대상","내부 관찰일 이하")))))</x:f>
        <x:v>대상 아님</x:v>
      </x:c>
      <x:c r="AB2568" s="2" t="str">
        <x:v>2022-02-25 17:05 - 신청
2022-04-20 17:24 - 문서재제출요청
2022-04-27 17:22 - 신청
2022-07-29 16:54 - 보완요청
2022-08-29 17:43 - 신청
2023-03-15 13:09 - 검토승인
2023-03-24 14:41 - 심의승인</x:v>
      </x:c>
    </x:row>
    <x:row r="2569" ht="42" customHeight="1">
      <x:c r="A2569" s="2" t="str">
        <x:v>ac4bf6fc6f10cd59fb8a2b76</x:v>
      </x:c>
      <x:c r="B2569" s="2" t="str">
        <x:v>감축량 인증</x:v>
      </x:c>
      <x:c r="C2569" s="2" t="str">
        <x:v>국외</x:v>
      </x:c>
      <x:c r="D2569" s="7" t="str">
        <x:v>파트린드수력CDM</x:v>
      </x:c>
      <x:c r="E2569" s="2" t="str">
        <x:v>154</x:v>
      </x:c>
      <x:c r="F2569" s="2" t="str">
        <x:v>2021-08-31</x:v>
      </x:c>
      <x:c r="G2569" s="2" t="str">
        <x:v>2021</x:v>
      </x:c>
      <x:c r="H2569" s="2" t="str">
        <x:v>08</x:v>
      </x:c>
      <x:c r="I2569" s="2" t="str">
        <x:v>심의승인</x:v>
      </x:c>
      <x:c r="J2569" s="2" t="str">
        <x:v>심의승인</x:v>
      </x:c>
      <x:c r="K2569" s="2" t="str">
        <x:f>IF(OR(J2569="심의승인",J2569="반려",J2569="반려완료",J2569="심의완료"),"종결 표시",IF(OR(J2569="기후부협의",J2569="문서재제출요청",J2569="보류",J2569="보완요청",J2569="보완완료",J2569="평가중",J2569="반려요청",J2569="평가필요",LEFT(J2569,5)="보완요청("),"미종결 표시","상태 확인 필요"))</x:f>
        <x:v>종결 표시</x:v>
      </x:c>
      <x:c r="L2569" s="2" t="str">
        <x:v>KECM_정우진</x:v>
      </x:c>
      <x:c r="M2569" s="2"/>
      <x:c r="N2569" s="8" t="n">
        <x:f>DATE(2026,10,15)-DATE(2021,8,31)</x:f>
        <x:v>1871</x:v>
      </x:c>
      <x:c r="O2569" s="2"/>
      <x:c r="P2569" s="2"/>
      <x:c r="Q2569" s="2" t="str">
        <x:v>산업전환_외부사업관리Tool_260707_이너젠 수정_LJY_261013.xlsx</x:v>
      </x:c>
      <x:c r="R2569" s="2" t="str">
        <x:v>국외인증</x:v>
      </x:c>
      <x:c r="S2569" s="8" t="n">
        <x:v>156</x:v>
      </x:c>
      <x:c r="T2569" s="2"/>
      <x:c r="U2569" s="2" t="str"/>
      <x:c r="V2569" s="2" t="str">
        <x:v>2022-01-17</x:v>
      </x:c>
      <x:c r="W2569" s="2" t="str"/>
      <x:c r="X2569" s="2" t="str">
        <x:v>종결 근거 보관</x:v>
      </x:c>
      <x:c r="Y2569" s="2" t="str">
        <x:v>ad210cd9ec132cfd447541c8984dc53d30aff0f4fb2dc92d254d49275cc55976</x:v>
      </x:c>
      <x:c r="Z2569" s="2" t="n">
        <x:f>SUBTOTAL(103,A2569)</x:f>
        <x:v>1</x:v>
      </x:c>
      <x:c r="AA2569" s="2" t="str">
        <x:f>IF(K2569&lt;&gt;"미종결 표시","대상 아님",IF(N2569="","신청일 확인",IF(NOT(ISNUMBER('종합 현황'!$H$5)),"관찰기준 확인",IF('종합 현황'!$H$5&lt;1,"관찰기준 확인",IF(N2569&gt;'종합 현황'!$H$5,"내부 관찰 대상","내부 관찰일 이하")))))</x:f>
        <x:v>대상 아님</x:v>
      </x:c>
      <x:c r="AB2569" s="2" t="str">
        <x:v>2021-08-31 09:59 - 신청
2021-09-13 13:13 - 보완요청
2021-09-14 11:30 - 신청
2022-01-07 15:56 - 검토승인
2022-01-17 17:39 - 심의승인</x:v>
      </x:c>
    </x:row>
    <x:row r="2570" ht="42" customHeight="1">
      <x:c r="A2570" s="2" t="str">
        <x:v>4599cff31a34c95ea5b93aef</x:v>
      </x:c>
      <x:c r="B2570" s="2" t="str">
        <x:v>감축량 인증</x:v>
      </x:c>
      <x:c r="C2570" s="2" t="str">
        <x:v>국외</x:v>
      </x:c>
      <x:c r="D2570" s="7" t="str">
        <x:v>대한민국이 지원하는 방글라데시 고효율 쿡스토브 프로그램 - CPA01</x:v>
      </x:c>
      <x:c r="E2570" s="2" t="str">
        <x:v>155</x:v>
      </x:c>
      <x:c r="F2570" s="2" t="str">
        <x:v>2021-08-31</x:v>
      </x:c>
      <x:c r="G2570" s="2" t="str">
        <x:v>2021</x:v>
      </x:c>
      <x:c r="H2570" s="2" t="str">
        <x:v>08</x:v>
      </x:c>
      <x:c r="I2570" s="2" t="str">
        <x:v>심의승인</x:v>
      </x:c>
      <x:c r="J2570" s="2" t="str">
        <x:v>심의승인</x:v>
      </x:c>
      <x:c r="K2570" s="2" t="str">
        <x:f>IF(OR(J2570="심의승인",J2570="반려",J2570="반려완료",J2570="심의완료"),"종결 표시",IF(OR(J2570="기후부협의",J2570="문서재제출요청",J2570="보류",J2570="보완요청",J2570="보완완료",J2570="평가중",J2570="반려요청",J2570="평가필요",LEFT(J2570,5)="보완요청("),"미종결 표시","상태 확인 필요"))</x:f>
        <x:v>종결 표시</x:v>
      </x:c>
      <x:c r="L2570" s="2" t="str">
        <x:v>KECM_정우진</x:v>
      </x:c>
      <x:c r="M2570" s="2"/>
      <x:c r="N2570" s="8" t="n">
        <x:f>DATE(2026,10,15)-DATE(2021,8,31)</x:f>
        <x:v>1871</x:v>
      </x:c>
      <x:c r="O2570" s="2"/>
      <x:c r="P2570" s="2"/>
      <x:c r="Q2570" s="2" t="str">
        <x:v>산업전환_외부사업관리Tool_260707_이너젠 수정_LJY_261013.xlsx</x:v>
      </x:c>
      <x:c r="R2570" s="2" t="str">
        <x:v>국외인증</x:v>
      </x:c>
      <x:c r="S2570" s="8" t="n">
        <x:v>157</x:v>
      </x:c>
      <x:c r="T2570" s="2" t="str">
        <x:v>(9/14)</x:v>
      </x:c>
      <x:c r="U2570" s="2" t="str">
        <x:v>2021 지정: (9/14)</x:v>
      </x:c>
      <x:c r="V2570" s="2" t="str">
        <x:v>2022-01-17</x:v>
      </x:c>
      <x:c r="W2570" s="2" t="str"/>
      <x:c r="X2570" s="2" t="str">
        <x:v>종결 근거 보관</x:v>
      </x:c>
      <x:c r="Y2570" s="2" t="str">
        <x:v>ad210cd9ec132cfd447541c8984dc53d30aff0f4fb2dc92d254d49275cc55976</x:v>
      </x:c>
      <x:c r="Z2570" s="2" t="n">
        <x:f>SUBTOTAL(103,A2570)</x:f>
        <x:v>1</x:v>
      </x:c>
      <x:c r="AA2570" s="2" t="str">
        <x:f>IF(K2570&lt;&gt;"미종결 표시","대상 아님",IF(N2570="","신청일 확인",IF(NOT(ISNUMBER('종합 현황'!$H$5)),"관찰기준 확인",IF('종합 현황'!$H$5&lt;1,"관찰기준 확인",IF(N2570&gt;'종합 현황'!$H$5,"내부 관찰 대상","내부 관찰일 이하")))))</x:f>
        <x:v>대상 아님</x:v>
      </x:c>
      <x:c r="AB2570" s="2" t="str">
        <x:v>2021-08-31 16:01 - 접수
2021-08-31 17:25 - 신청
2021-09-10 16:25 - 문서재제출요청
2021-09-13 17:13 - 접수
2021-09-14 10:59 - 신청
2021-11-29 15:47 - 문서재제출요청
2021-11-30 17:06 - 접수
2021-12-01 08:04 - 신청
2022-01-07 15:55 - 검토승인
2022-01-17 17:37 - 심의승인</x:v>
      </x:c>
    </x:row>
    <x:row r="2571" ht="42" customHeight="1">
      <x:c r="A2571" s="2" t="str">
        <x:v>1656b791ee690eb4ba10c4fb</x:v>
      </x:c>
      <x:c r="B2571" s="2" t="str">
        <x:v>감축량 인증</x:v>
      </x:c>
      <x:c r="C2571" s="2" t="str">
        <x:v>국외</x:v>
      </x:c>
      <x:c r="D2571" s="7" t="str">
        <x:v>과테말라 오닐 스토브 보급 사업 - CPA 003</x:v>
      </x:c>
      <x:c r="E2571" s="2" t="str">
        <x:v>156</x:v>
      </x:c>
      <x:c r="F2571" s="2" t="str">
        <x:v>2021-08-31</x:v>
      </x:c>
      <x:c r="G2571" s="2" t="str">
        <x:v>2021</x:v>
      </x:c>
      <x:c r="H2571" s="2" t="str">
        <x:v>08</x:v>
      </x:c>
      <x:c r="I2571" s="2" t="str">
        <x:v>심의승인</x:v>
      </x:c>
      <x:c r="J2571" s="2" t="str">
        <x:v>심의승인</x:v>
      </x:c>
      <x:c r="K2571" s="2" t="str">
        <x:f>IF(OR(J2571="심의승인",J2571="반려",J2571="반려완료",J2571="심의완료"),"종결 표시",IF(OR(J2571="기후부협의",J2571="문서재제출요청",J2571="보류",J2571="보완요청",J2571="보완완료",J2571="평가중",J2571="반려요청",J2571="평가필요",LEFT(J2571,5)="보완요청("),"미종결 표시","상태 확인 필요"))</x:f>
        <x:v>종결 표시</x:v>
      </x:c>
      <x:c r="L2571" s="2" t="str">
        <x:v>에코시안_배윤빈</x:v>
      </x:c>
      <x:c r="M2571" s="2"/>
      <x:c r="N2571" s="8" t="n">
        <x:f>DATE(2026,10,15)-DATE(2021,8,31)</x:f>
        <x:v>1871</x:v>
      </x:c>
      <x:c r="O2571" s="2"/>
      <x:c r="P2571" s="2"/>
      <x:c r="Q2571" s="2" t="str">
        <x:v>산업전환_외부사업관리Tool_260707_이너젠 수정_LJY_261013.xlsx</x:v>
      </x:c>
      <x:c r="R2571" s="2" t="str">
        <x:v>국외인증</x:v>
      </x:c>
      <x:c r="S2571" s="8" t="n">
        <x:v>158</x:v>
      </x:c>
      <x:c r="T2571" s="2" t="str">
        <x:v>(9/14)</x:v>
      </x:c>
      <x:c r="U2571" s="2" t="str">
        <x:v>2021 지정: (9/14)</x:v>
      </x:c>
      <x:c r="V2571" s="2" t="str">
        <x:v>2022-01-17</x:v>
      </x:c>
      <x:c r="W2571" s="2" t="str"/>
      <x:c r="X2571" s="2" t="str">
        <x:v>종결 근거 보관</x:v>
      </x:c>
      <x:c r="Y2571" s="2" t="str">
        <x:v>ad210cd9ec132cfd447541c8984dc53d30aff0f4fb2dc92d254d49275cc55976</x:v>
      </x:c>
      <x:c r="Z2571" s="2" t="n">
        <x:f>SUBTOTAL(103,A2571)</x:f>
        <x:v>1</x:v>
      </x:c>
      <x:c r="AA2571" s="2" t="str">
        <x:f>IF(K2571&lt;&gt;"미종결 표시","대상 아님",IF(N2571="","신청일 확인",IF(NOT(ISNUMBER('종합 현황'!$H$5)),"관찰기준 확인",IF('종합 현황'!$H$5&lt;1,"관찰기준 확인",IF(N2571&gt;'종합 현황'!$H$5,"내부 관찰 대상","내부 관찰일 이하")))))</x:f>
        <x:v>대상 아님</x:v>
      </x:c>
      <x:c r="AB2571" s="2" t="str">
        <x:v>2021-08-31 21:46 - 신청
2021-09-13 11:28 - 문서재제출요청
2021-09-14 08:25 - 신청
2021-11-29 15:42 - 문서재제출요청
2021-11-30 17:32 - 신청
2021-12-02 14:22 - 문서재제출요청
2021-12-06 10:12 - 신청
2022-01-07 15:55 - 검토승인
2022-01-17 17:36 - 심의승인</x:v>
      </x:c>
    </x:row>
    <x:row r="2572" ht="42" customHeight="1">
      <x:c r="A2572" s="2" t="str">
        <x:v>f9036e22e79dd27d2baab416</x:v>
      </x:c>
      <x:c r="B2572" s="2" t="str">
        <x:v>감축량 인증</x:v>
      </x:c>
      <x:c r="C2572" s="2" t="str">
        <x:v>국외</x:v>
      </x:c>
      <x:c r="D2572" s="7" t="str">
        <x:v>마다가스카르의 개선된 쿡스토브 프로젝트 by KCM - Wood#CPA-W-003</x:v>
      </x:c>
      <x:c r="E2572" s="2" t="str">
        <x:v>393</x:v>
      </x:c>
      <x:c r="F2572" s="2" t="str">
        <x:v>2022-01-14</x:v>
      </x:c>
      <x:c r="G2572" s="2" t="str">
        <x:v>2022</x:v>
      </x:c>
      <x:c r="H2572" s="2" t="str">
        <x:v>01</x:v>
      </x:c>
      <x:c r="I2572" s="2" t="str">
        <x:v>심의승인</x:v>
      </x:c>
      <x:c r="J2572" s="2" t="str">
        <x:v>심의승인</x:v>
      </x:c>
      <x:c r="K2572" s="2" t="str">
        <x:f>IF(OR(J2572="심의승인",J2572="반려",J2572="반려완료",J2572="심의완료"),"종결 표시",IF(OR(J2572="기후부협의",J2572="문서재제출요청",J2572="보류",J2572="보완요청",J2572="보완완료",J2572="평가중",J2572="반려요청",J2572="평가필요",LEFT(J2572,5)="보완요청("),"미종결 표시","상태 확인 필요"))</x:f>
        <x:v>종결 표시</x:v>
      </x:c>
      <x:c r="L2572" s="2" t="str">
        <x:v>에코시안_기샛별 &gt; KRIC</x:v>
      </x:c>
      <x:c r="M2572" s="2"/>
      <x:c r="N2572" s="8" t="n">
        <x:f>DATE(2026,10,15)-DATE(2022,1,14)</x:f>
        <x:v>1735</x:v>
      </x:c>
      <x:c r="O2572" s="2"/>
      <x:c r="P2572" s="2"/>
      <x:c r="Q2572" s="2" t="str">
        <x:v>산업전환_외부사업관리Tool_260707_이너젠 수정_LJY_261013.xlsx</x:v>
      </x:c>
      <x:c r="R2572" s="2" t="str">
        <x:v>국외인증</x:v>
      </x:c>
      <x:c r="S2572" s="8" t="n">
        <x:v>159</x:v>
      </x:c>
      <x:c r="T2572" s="2" t="str">
        <x:v>(1/18),(4/19),(9/19)</x:v>
      </x:c>
      <x:c r="U2572" s="2" t="str">
        <x:v>2022 지정: (1/18),(4/19),(9/19)</x:v>
      </x:c>
      <x:c r="V2572" s="2" t="str">
        <x:v>2023-12-13</x:v>
      </x:c>
      <x:c r="W2572" s="2" t="str"/>
      <x:c r="X2572" s="2" t="str">
        <x:v>종결 근거 보관</x:v>
      </x:c>
      <x:c r="Y2572" s="2" t="str">
        <x:v>ad210cd9ec132cfd447541c8984dc53d30aff0f4fb2dc92d254d49275cc55976</x:v>
      </x:c>
      <x:c r="Z2572" s="2" t="n">
        <x:f>SUBTOTAL(103,A2572)</x:f>
        <x:v>1</x:v>
      </x:c>
      <x:c r="AA2572" s="2" t="str">
        <x:f>IF(K2572&lt;&gt;"미종결 표시","대상 아님",IF(N2572="","신청일 확인",IF(NOT(ISNUMBER('종합 현황'!$H$5)),"관찰기준 확인",IF('종합 현황'!$H$5&lt;1,"관찰기준 확인",IF(N2572&gt;'종합 현황'!$H$5,"내부 관찰 대상","내부 관찰일 이하")))))</x:f>
        <x:v>대상 아님</x:v>
      </x:c>
      <x:c r="AB2572" s="2" t="str">
        <x:v>2022-01-14 17:44 - 신청
2022-03-22 14:20 - 문서재제출요청
2022-03-25 15:24 - 신청
2022-07-29 16:55 - 보완요청
2022-08-30 16:28 - 신청
2022-11-15 09:26 - 문서재제출요청
2022-11-15 10:59 - 신청
2023-03-15 13:12 - 검토승인
2023-03-24 14:42 - 심의승인</x:v>
      </x:c>
    </x:row>
    <x:row r="2573" ht="42" customHeight="1">
      <x:c r="A2573" s="2" t="str">
        <x:v>fa12d811a0ae6b3e072593ed</x:v>
      </x:c>
      <x:c r="B2573" s="2" t="str">
        <x:v>감축량 인증</x:v>
      </x:c>
      <x:c r="C2573" s="2" t="str">
        <x:v>국외</x:v>
      </x:c>
      <x:c r="D2573" s="7" t="str">
        <x:v>사하라 이남 아프리카 고효율 쿡스토브 보급 사업-말라위-CPA002</x:v>
      </x:c>
      <x:c r="E2573" s="2" t="str">
        <x:v>158</x:v>
      </x:c>
      <x:c r="F2573" s="2" t="str">
        <x:v>2021-09-10</x:v>
      </x:c>
      <x:c r="G2573" s="2" t="str">
        <x:v>2021</x:v>
      </x:c>
      <x:c r="H2573" s="2" t="str">
        <x:v>09</x:v>
      </x:c>
      <x:c r="I2573" s="2" t="str">
        <x:v>심의승인</x:v>
      </x:c>
      <x:c r="J2573" s="2" t="str">
        <x:v>심의승인</x:v>
      </x:c>
      <x:c r="K2573" s="2" t="str">
        <x:f>IF(OR(J2573="심의승인",J2573="반려",J2573="반려완료",J2573="심의완료"),"종결 표시",IF(OR(J2573="기후부협의",J2573="문서재제출요청",J2573="보류",J2573="보완요청",J2573="보완완료",J2573="평가중",J2573="반려요청",J2573="평가필요",LEFT(J2573,5)="보완요청("),"미종결 표시","상태 확인 필요"))</x:f>
        <x:v>종결 표시</x:v>
      </x:c>
      <x:c r="L2573" s="2" t="str">
        <x:v>KECM_정우진</x:v>
      </x:c>
      <x:c r="M2573" s="2"/>
      <x:c r="N2573" s="8" t="n">
        <x:f>DATE(2026,10,15)-DATE(2021,9,10)</x:f>
        <x:v>1861</x:v>
      </x:c>
      <x:c r="O2573" s="2"/>
      <x:c r="P2573" s="2"/>
      <x:c r="Q2573" s="2" t="str">
        <x:v>산업전환_외부사업관리Tool_260707_이너젠 수정_LJY_261013.xlsx</x:v>
      </x:c>
      <x:c r="R2573" s="2" t="str">
        <x:v>국외인증</x:v>
      </x:c>
      <x:c r="S2573" s="8" t="n">
        <x:v>160</x:v>
      </x:c>
      <x:c r="T2573" s="2" t="str">
        <x:v>(9/14, 10/20, 12/10)</x:v>
      </x:c>
      <x:c r="U2573" s="2" t="str">
        <x:v>2021 지정: (9/14, 10/20, 12/10)</x:v>
      </x:c>
      <x:c r="V2573" s="2" t="str">
        <x:v>2022-04-21</x:v>
      </x:c>
      <x:c r="W2573" s="2" t="str"/>
      <x:c r="X2573" s="2" t="str">
        <x:v>종결 근거 보관</x:v>
      </x:c>
      <x:c r="Y2573" s="2" t="str">
        <x:v>ad210cd9ec132cfd447541c8984dc53d30aff0f4fb2dc92d254d49275cc55976</x:v>
      </x:c>
      <x:c r="Z2573" s="2" t="n">
        <x:f>SUBTOTAL(103,A2573)</x:f>
        <x:v>1</x:v>
      </x:c>
      <x:c r="AA2573" s="2" t="str">
        <x:f>IF(K2573&lt;&gt;"미종결 표시","대상 아님",IF(N2573="","신청일 확인",IF(NOT(ISNUMBER('종합 현황'!$H$5)),"관찰기준 확인",IF('종합 현황'!$H$5&lt;1,"관찰기준 확인",IF(N2573&gt;'종합 현황'!$H$5,"내부 관찰 대상","내부 관찰일 이하")))))</x:f>
        <x:v>대상 아님</x:v>
      </x:c>
      <x:c r="AB2573" s="2" t="str">
        <x:v>2021-09-10 08:23 - 신청
2021-10-12 17:17 - 문서재제출요청
2021-10-12 17:58 - 신청
2021-11-03 13:20 - 문서재제출요청
2021-11-03 14:23 - 신청
2021-12-08 11:08 - 보완요청
2021-12-08 11:29 - 신청
2022-02-23 15:14 - 문서재제출요청
2022-02-23 17:43 - 신청
2022-04-14 12:41 - 검토승인
2022-04-21 16:16 - 심의승인</x:v>
      </x:c>
    </x:row>
    <x:row r="2574" ht="42" customHeight="1">
      <x:c r="A2574" s="2" t="str">
        <x:v>209d4fa145a1093d836cfc7e</x:v>
      </x:c>
      <x:c r="B2574" s="2" t="str">
        <x:v>감축량 인증</x:v>
      </x:c>
      <x:c r="C2574" s="2" t="str">
        <x:v>국외</x:v>
      </x:c>
      <x:c r="D2574" s="7" t="str">
        <x:v>베트남 VN Cam Lam 태양광 발전 사업을 통한 온실가스 배출 감축사업</x:v>
      </x:c>
      <x:c r="E2574" s="2" t="str">
        <x:v>159</x:v>
      </x:c>
      <x:c r="F2574" s="2" t="str">
        <x:v>2021-10-05</x:v>
      </x:c>
      <x:c r="G2574" s="2" t="str">
        <x:v>2021</x:v>
      </x:c>
      <x:c r="H2574" s="2" t="str">
        <x:v>10</x:v>
      </x:c>
      <x:c r="I2574" s="2" t="str">
        <x:v>심의승인</x:v>
      </x:c>
      <x:c r="J2574" s="2" t="str">
        <x:v>심의승인</x:v>
      </x:c>
      <x:c r="K2574" s="2" t="str">
        <x:f>IF(OR(J2574="심의승인",J2574="반려",J2574="반려완료",J2574="심의완료"),"종결 표시",IF(OR(J2574="기후부협의",J2574="문서재제출요청",J2574="보류",J2574="보완요청",J2574="보완완료",J2574="평가중",J2574="반려요청",J2574="평가필요",LEFT(J2574,5)="보완요청("),"미종결 표시","상태 확인 필요"))</x:f>
        <x:v>종결 표시</x:v>
      </x:c>
      <x:c r="L2574" s="2" t="str">
        <x:v>KECM</x:v>
      </x:c>
      <x:c r="M2574" s="2"/>
      <x:c r="N2574" s="8" t="n">
        <x:f>DATE(2026,10,15)-DATE(2021,10,5)</x:f>
        <x:v>1836</x:v>
      </x:c>
      <x:c r="O2574" s="2"/>
      <x:c r="P2574" s="2"/>
      <x:c r="Q2574" s="2" t="str">
        <x:v>산업전환_외부사업관리Tool_260707_이너젠 수정_LJY_261013.xlsx</x:v>
      </x:c>
      <x:c r="R2574" s="2" t="str">
        <x:v>국외인증</x:v>
      </x:c>
      <x:c r="S2574" s="8" t="n">
        <x:v>161</x:v>
      </x:c>
      <x:c r="T2574" s="2" t="str">
        <x:v>(10/20, 12/10)</x:v>
      </x:c>
      <x:c r="U2574" s="2" t="str">
        <x:v>2021 지정: (10/20, 12/10)</x:v>
      </x:c>
      <x:c r="V2574" s="2" t="str">
        <x:v>2022-04-21</x:v>
      </x:c>
      <x:c r="W2574" s="2" t="str"/>
      <x:c r="X2574" s="2" t="str">
        <x:v>종결 근거 보관</x:v>
      </x:c>
      <x:c r="Y2574" s="2" t="str">
        <x:v>ad210cd9ec132cfd447541c8984dc53d30aff0f4fb2dc92d254d49275cc55976</x:v>
      </x:c>
      <x:c r="Z2574" s="2" t="n">
        <x:f>SUBTOTAL(103,A2574)</x:f>
        <x:v>1</x:v>
      </x:c>
      <x:c r="AA2574" s="2" t="str">
        <x:f>IF(K2574&lt;&gt;"미종결 표시","대상 아님",IF(N2574="","신청일 확인",IF(NOT(ISNUMBER('종합 현황'!$H$5)),"관찰기준 확인",IF('종합 현황'!$H$5&lt;1,"관찰기준 확인",IF(N2574&gt;'종합 현황'!$H$5,"내부 관찰 대상","내부 관찰일 이하")))))</x:f>
        <x:v>대상 아님</x:v>
      </x:c>
      <x:c r="AB2574" s="2" t="str">
        <x:v>2021-10-05 16:23 - 신청
2021-11-03 16:39 - 문서재제출요청
2021-11-04 16:17 - 신청
2021-12-07 13:48 - 보완요청
2021-12-08 15:21 - 신청
2022-04-14 12:29 - 검토승인
2022-04-21 16:07 - 심의승인</x:v>
      </x:c>
    </x:row>
    <x:row r="2575" ht="42" customHeight="1">
      <x:c r="A2575" s="2" t="str">
        <x:v>47d2e4440a964705e4c77b18</x:v>
      </x:c>
      <x:c r="B2575" s="2" t="str">
        <x:v>감축량 인증</x:v>
      </x:c>
      <x:c r="C2575" s="2" t="str">
        <x:v>국외</x:v>
      </x:c>
      <x:c r="D2575" s="7" t="str">
        <x:v>베트남 VN Cam Lam 태양광 발전 사업을 통한 온실가스 배출 감축사업</x:v>
      </x:c>
      <x:c r="E2575" s="2" t="str">
        <x:v>160</x:v>
      </x:c>
      <x:c r="F2575" s="2" t="str">
        <x:v>2021-10-05</x:v>
      </x:c>
      <x:c r="G2575" s="2" t="str">
        <x:v>2021</x:v>
      </x:c>
      <x:c r="H2575" s="2" t="str">
        <x:v>10</x:v>
      </x:c>
      <x:c r="I2575" s="2" t="str">
        <x:v>심의승인</x:v>
      </x:c>
      <x:c r="J2575" s="2" t="str">
        <x:v>심의승인</x:v>
      </x:c>
      <x:c r="K2575" s="2" t="str">
        <x:f>IF(OR(J2575="심의승인",J2575="반려",J2575="반려완료",J2575="심의완료"),"종결 표시",IF(OR(J2575="기후부협의",J2575="문서재제출요청",J2575="보류",J2575="보완요청",J2575="보완완료",J2575="평가중",J2575="반려요청",J2575="평가필요",LEFT(J2575,5)="보완요청("),"미종결 표시","상태 확인 필요"))</x:f>
        <x:v>종결 표시</x:v>
      </x:c>
      <x:c r="L2575" s="2" t="str">
        <x:v>KECM</x:v>
      </x:c>
      <x:c r="M2575" s="2"/>
      <x:c r="N2575" s="8" t="n">
        <x:f>DATE(2026,10,15)-DATE(2021,10,5)</x:f>
        <x:v>1836</x:v>
      </x:c>
      <x:c r="O2575" s="2"/>
      <x:c r="P2575" s="2"/>
      <x:c r="Q2575" s="2" t="str">
        <x:v>산업전환_외부사업관리Tool_260707_이너젠 수정_LJY_261013.xlsx</x:v>
      </x:c>
      <x:c r="R2575" s="2" t="str">
        <x:v>국외인증</x:v>
      </x:c>
      <x:c r="S2575" s="8" t="n">
        <x:v>162</x:v>
      </x:c>
      <x:c r="T2575" s="2" t="str">
        <x:v>(10/20, 12/10)</x:v>
      </x:c>
      <x:c r="U2575" s="2" t="str">
        <x:v>2021 지정: (10/20, 12/10)</x:v>
      </x:c>
      <x:c r="V2575" s="2" t="str">
        <x:v>2022-04-21</x:v>
      </x:c>
      <x:c r="W2575" s="2" t="str"/>
      <x:c r="X2575" s="2" t="str">
        <x:v>종결 근거 보관</x:v>
      </x:c>
      <x:c r="Y2575" s="2" t="str">
        <x:v>ad210cd9ec132cfd447541c8984dc53d30aff0f4fb2dc92d254d49275cc55976</x:v>
      </x:c>
      <x:c r="Z2575" s="2" t="n">
        <x:f>SUBTOTAL(103,A2575)</x:f>
        <x:v>1</x:v>
      </x:c>
      <x:c r="AA2575" s="2" t="str">
        <x:f>IF(K2575&lt;&gt;"미종결 표시","대상 아님",IF(N2575="","신청일 확인",IF(NOT(ISNUMBER('종합 현황'!$H$5)),"관찰기준 확인",IF('종합 현황'!$H$5&lt;1,"관찰기준 확인",IF(N2575&gt;'종합 현황'!$H$5,"내부 관찰 대상","내부 관찰일 이하")))))</x:f>
        <x:v>대상 아님</x:v>
      </x:c>
      <x:c r="AB2575" s="2" t="str">
        <x:v>2021-10-05 17:08 - 신청
2021-11-03 16:38 - 문서재제출요청
2021-11-04 16:17 - 신청
2021-12-07 13:49 - 보완요청
2021-12-08 15:18 - 신청
2022-04-14 12:31 - 검토승인
2022-04-21 16:10 - 심의승인</x:v>
      </x:c>
    </x:row>
    <x:row r="2576" ht="42" customHeight="1">
      <x:c r="A2576" s="2" t="str">
        <x:v>76c62955d81092b3b8d71470</x:v>
      </x:c>
      <x:c r="B2576" s="2" t="str">
        <x:v>감축량 인증</x:v>
      </x:c>
      <x:c r="C2576" s="2" t="str">
        <x:v>국외</x:v>
      </x:c>
      <x:c r="D2576" s="7" t="str">
        <x:v>서하남 사막 이남의 아프리카-말라위에 향상된 쿡스토브 보급 CPA-006사업</x:v>
      </x:c>
      <x:c r="E2576" s="2" t="str">
        <x:v>161</x:v>
      </x:c>
      <x:c r="F2576" s="2" t="str">
        <x:v>2021-10-06</x:v>
      </x:c>
      <x:c r="G2576" s="2" t="str">
        <x:v>2021</x:v>
      </x:c>
      <x:c r="H2576" s="2" t="str">
        <x:v>10</x:v>
      </x:c>
      <x:c r="I2576" s="2" t="str">
        <x:v>심의승인</x:v>
      </x:c>
      <x:c r="J2576" s="2" t="str">
        <x:v>심의승인</x:v>
      </x:c>
      <x:c r="K2576" s="2" t="str">
        <x:f>IF(OR(J2576="심의승인",J2576="반려",J2576="반려완료",J2576="심의완료"),"종결 표시",IF(OR(J2576="기후부협의",J2576="문서재제출요청",J2576="보류",J2576="보완요청",J2576="보완완료",J2576="평가중",J2576="반려요청",J2576="평가필요",LEFT(J2576,5)="보완요청("),"미종결 표시","상태 확인 필요"))</x:f>
        <x:v>종결 표시</x:v>
      </x:c>
      <x:c r="L2576" s="2" t="str">
        <x:v>KECM</x:v>
      </x:c>
      <x:c r="M2576" s="2"/>
      <x:c r="N2576" s="8" t="n">
        <x:f>DATE(2026,10,15)-DATE(2021,10,6)</x:f>
        <x:v>1835</x:v>
      </x:c>
      <x:c r="O2576" s="2"/>
      <x:c r="P2576" s="2"/>
      <x:c r="Q2576" s="2" t="str">
        <x:v>산업전환_외부사업관리Tool_260707_이너젠 수정_LJY_261013.xlsx</x:v>
      </x:c>
      <x:c r="R2576" s="2" t="str">
        <x:v>국외인증</x:v>
      </x:c>
      <x:c r="S2576" s="8" t="n">
        <x:v>163</x:v>
      </x:c>
      <x:c r="T2576" s="2" t="str">
        <x:v>(10/20, 12/10)</x:v>
      </x:c>
      <x:c r="U2576" s="2" t="str">
        <x:v>2021 지정: (10/20, 12/10) / 2022 지정: (1/18)</x:v>
      </x:c>
      <x:c r="V2576" s="2" t="str">
        <x:v>2022-07-14</x:v>
      </x:c>
      <x:c r="W2576" s="2" t="str"/>
      <x:c r="X2576" s="2" t="str">
        <x:v>종결 근거 보관</x:v>
      </x:c>
      <x:c r="Y2576" s="2" t="str">
        <x:v>ad210cd9ec132cfd447541c8984dc53d30aff0f4fb2dc92d254d49275cc55976</x:v>
      </x:c>
      <x:c r="Z2576" s="2" t="n">
        <x:f>SUBTOTAL(103,A2576)</x:f>
        <x:v>1</x:v>
      </x:c>
      <x:c r="AA2576" s="2" t="str">
        <x:f>IF(K2576&lt;&gt;"미종결 표시","대상 아님",IF(N2576="","신청일 확인",IF(NOT(ISNUMBER('종합 현황'!$H$5)),"관찰기준 확인",IF('종합 현황'!$H$5&lt;1,"관찰기준 확인",IF(N2576&gt;'종합 현황'!$H$5,"내부 관찰 대상","내부 관찰일 이하")))))</x:f>
        <x:v>대상 아님</x:v>
      </x:c>
      <x:c r="AB2576" s="2" t="str">
        <x:v>2021-10-06 20:23 - 신청
2021-11-17 13:23 - 보완요청
2021-11-24 16:26 - 신청
2021-12-21 13:39 - 보완요청
2022-01-05 15:48 - 신청
2022-03-16 11:15 - 문서재제출요청
2022-03-16 15:47 - 신청
2022-07-05 15:46 - 검토승인
2022-07-14 14:54 - 심의승인</x:v>
      </x:c>
    </x:row>
    <x:row r="2577" ht="42" customHeight="1">
      <x:c r="A2577" s="2" t="str">
        <x:v>1fd65a0746ef0a73d62a8adc</x:v>
      </x:c>
      <x:c r="B2577" s="2" t="str">
        <x:v>감축량 인증</x:v>
      </x:c>
      <x:c r="C2577" s="2" t="str">
        <x:v>국외</x:v>
      </x:c>
      <x:c r="D2577" s="7" t="str">
        <x:v>사하라 이남 아프리카 고효율 쿡스토브 보급 사업-말라위-CPA004</x:v>
      </x:c>
      <x:c r="E2577" s="2" t="str">
        <x:v>162</x:v>
      </x:c>
      <x:c r="F2577" s="2" t="str">
        <x:v>2021-10-26</x:v>
      </x:c>
      <x:c r="G2577" s="2" t="str">
        <x:v>2021</x:v>
      </x:c>
      <x:c r="H2577" s="2" t="str">
        <x:v>10</x:v>
      </x:c>
      <x:c r="I2577" s="2" t="str">
        <x:v>심의승인</x:v>
      </x:c>
      <x:c r="J2577" s="2" t="str">
        <x:v>심의승인</x:v>
      </x:c>
      <x:c r="K2577" s="2" t="str">
        <x:f>IF(OR(J2577="심의승인",J2577="반려",J2577="반려완료",J2577="심의완료"),"종결 표시",IF(OR(J2577="기후부협의",J2577="문서재제출요청",J2577="보류",J2577="보완요청",J2577="보완완료",J2577="평가중",J2577="반려요청",J2577="평가필요",LEFT(J2577,5)="보완요청("),"미종결 표시","상태 확인 필요"))</x:f>
        <x:v>종결 표시</x:v>
      </x:c>
      <x:c r="L2577" s="2" t="str">
        <x:v>KECM</x:v>
      </x:c>
      <x:c r="M2577" s="2"/>
      <x:c r="N2577" s="8" t="n">
        <x:f>DATE(2026,10,15)-DATE(2021,10,26)</x:f>
        <x:v>1815</x:v>
      </x:c>
      <x:c r="O2577" s="2"/>
      <x:c r="P2577" s="2"/>
      <x:c r="Q2577" s="2" t="str">
        <x:v>산업전환_외부사업관리Tool_260707_이너젠 수정_LJY_261013.xlsx</x:v>
      </x:c>
      <x:c r="R2577" s="2" t="str">
        <x:v>국외인증</x:v>
      </x:c>
      <x:c r="S2577" s="8" t="n">
        <x:v>164</x:v>
      </x:c>
      <x:c r="T2577" s="2" t="str">
        <x:v>(11/2),(12/1)</x:v>
      </x:c>
      <x:c r="U2577" s="2" t="str">
        <x:v>2021 지정: (11/2),(12/1)</x:v>
      </x:c>
      <x:c r="V2577" s="2" t="str">
        <x:v>2022-04-21</x:v>
      </x:c>
      <x:c r="W2577" s="2" t="str"/>
      <x:c r="X2577" s="2" t="str">
        <x:v>종결 근거 보관</x:v>
      </x:c>
      <x:c r="Y2577" s="2" t="str">
        <x:v>ad210cd9ec132cfd447541c8984dc53d30aff0f4fb2dc92d254d49275cc55976</x:v>
      </x:c>
      <x:c r="Z2577" s="2" t="n">
        <x:f>SUBTOTAL(103,A2577)</x:f>
        <x:v>1</x:v>
      </x:c>
      <x:c r="AA2577" s="2" t="str">
        <x:f>IF(K2577&lt;&gt;"미종결 표시","대상 아님",IF(N2577="","신청일 확인",IF(NOT(ISNUMBER('종합 현황'!$H$5)),"관찰기준 확인",IF('종합 현황'!$H$5&lt;1,"관찰기준 확인",IF(N2577&gt;'종합 현황'!$H$5,"내부 관찰 대상","내부 관찰일 이하")))))</x:f>
        <x:v>대상 아님</x:v>
      </x:c>
      <x:c r="AB2577" s="2" t="str">
        <x:v>2021-10-26 17:59 - 신청
2021-11-30 14:39 - 보완요청
2021-11-30 17:40 - 신청
2021-12-31 11:31 - 문서재제출요청
2021-12-31 12:31 - 신청
2022-02-18 18:00 - 문서재제출요청
2022-02-21 17:06 - 신청
2022-02-21 17:27 - 문서재제출요청
2022-02-21 18:15 - 신청
2022-02-22 16:59 - 문서재제출요청
2022-02-23 17:41 - 신청
2022-04-14 12:42 - 검토승인
2022-04-21 16:36 - 심의승인</x:v>
      </x:c>
    </x:row>
    <x:row r="2578" ht="42" customHeight="1">
      <x:c r="A2578" s="2" t="str">
        <x:v>020f4297352f581a283a2a3e</x:v>
      </x:c>
      <x:c r="B2578" s="2" t="str">
        <x:v>감축량 인증</x:v>
      </x:c>
      <x:c r="C2578" s="2" t="str">
        <x:v>국외</x:v>
      </x:c>
      <x:c r="D2578" s="7" t="str">
        <x:v>사하라 이남 아프리카 고효율 쿡스토브 보급 사업-잠비아-CPA005</x:v>
      </x:c>
      <x:c r="E2578" s="2" t="str">
        <x:v>163</x:v>
      </x:c>
      <x:c r="F2578" s="2" t="str">
        <x:v>2021-10-26</x:v>
      </x:c>
      <x:c r="G2578" s="2" t="str">
        <x:v>2021</x:v>
      </x:c>
      <x:c r="H2578" s="2" t="str">
        <x:v>10</x:v>
      </x:c>
      <x:c r="I2578" s="2" t="str">
        <x:v>심의승인</x:v>
      </x:c>
      <x:c r="J2578" s="2" t="str">
        <x:v>심의승인</x:v>
      </x:c>
      <x:c r="K2578" s="2" t="str">
        <x:f>IF(OR(J2578="심의승인",J2578="반려",J2578="반려완료",J2578="심의완료"),"종결 표시",IF(OR(J2578="기후부협의",J2578="문서재제출요청",J2578="보류",J2578="보완요청",J2578="보완완료",J2578="평가중",J2578="반려요청",J2578="평가필요",LEFT(J2578,5)="보완요청("),"미종결 표시","상태 확인 필요"))</x:f>
        <x:v>종결 표시</x:v>
      </x:c>
      <x:c r="L2578" s="2" t="str">
        <x:v>KECM</x:v>
      </x:c>
      <x:c r="M2578" s="2"/>
      <x:c r="N2578" s="8" t="n">
        <x:f>DATE(2026,10,15)-DATE(2021,10,26)</x:f>
        <x:v>1815</x:v>
      </x:c>
      <x:c r="O2578" s="2"/>
      <x:c r="P2578" s="2"/>
      <x:c r="Q2578" s="2" t="str">
        <x:v>산업전환_외부사업관리Tool_260707_이너젠 수정_LJY_261013.xlsx</x:v>
      </x:c>
      <x:c r="R2578" s="2" t="str">
        <x:v>국외인증</x:v>
      </x:c>
      <x:c r="S2578" s="8" t="n">
        <x:v>165</x:v>
      </x:c>
      <x:c r="T2578" s="2" t="str">
        <x:v>(11/2),(12/1)</x:v>
      </x:c>
      <x:c r="U2578" s="2" t="str">
        <x:v>2021 지정: (11/2),(12/1)</x:v>
      </x:c>
      <x:c r="V2578" s="2" t="str">
        <x:v>2022-04-21</x:v>
      </x:c>
      <x:c r="W2578" s="2" t="str"/>
      <x:c r="X2578" s="2" t="str">
        <x:v>종결 근거 보관</x:v>
      </x:c>
      <x:c r="Y2578" s="2" t="str">
        <x:v>ad210cd9ec132cfd447541c8984dc53d30aff0f4fb2dc92d254d49275cc55976</x:v>
      </x:c>
      <x:c r="Z2578" s="2" t="n">
        <x:f>SUBTOTAL(103,A2578)</x:f>
        <x:v>1</x:v>
      </x:c>
      <x:c r="AA2578" s="2" t="str">
        <x:f>IF(K2578&lt;&gt;"미종결 표시","대상 아님",IF(N2578="","신청일 확인",IF(NOT(ISNUMBER('종합 현황'!$H$5)),"관찰기준 확인",IF('종합 현황'!$H$5&lt;1,"관찰기준 확인",IF(N2578&gt;'종합 현황'!$H$5,"내부 관찰 대상","내부 관찰일 이하")))))</x:f>
        <x:v>대상 아님</x:v>
      </x:c>
      <x:c r="AB2578" s="2" t="str">
        <x:v>2021-10-26 18:00 - 신청
2021-11-30 14:40 - 보완요청
2021-11-30 17:43 - 신청
2021-12-31 11:32 - 문서재제출요청
2021-12-31 12:31 - 신청
2022-02-18 18:02 - 문서재제출요청
2022-02-21 18:34 - 신청
2022-02-22 16:59 - 문서재제출요청
2022-02-23 17:41 - 신청
2022-04-14 12:46 - 검토승인
2022-04-21 16:42 - 심의승인</x:v>
      </x:c>
    </x:row>
    <x:row r="2579" ht="42" customHeight="1">
      <x:c r="A2579" s="2" t="str">
        <x:v>be544f991dc761790b35dc86</x:v>
      </x:c>
      <x:c r="B2579" s="2" t="str">
        <x:v>감축량 인증</x:v>
      </x:c>
      <x:c r="C2579" s="2" t="str">
        <x:v>국외</x:v>
      </x:c>
      <x:c r="D2579" s="7" t="str">
        <x:v>안전한 식수 공급을 위한 정수기 보급 사업 : CPA 43(한국 지원)</x:v>
      </x:c>
      <x:c r="E2579" s="2" t="str">
        <x:v>164</x:v>
      </x:c>
      <x:c r="F2579" s="2" t="str">
        <x:v>2021-10-27</x:v>
      </x:c>
      <x:c r="G2579" s="2" t="str">
        <x:v>2021</x:v>
      </x:c>
      <x:c r="H2579" s="2" t="str">
        <x:v>10</x:v>
      </x:c>
      <x:c r="I2579" s="2" t="str">
        <x:v>심의승인</x:v>
      </x:c>
      <x:c r="J2579" s="2" t="str">
        <x:v>심의승인</x:v>
      </x:c>
      <x:c r="K2579" s="2" t="str">
        <x:f>IF(OR(J2579="심의승인",J2579="반려",J2579="반려완료",J2579="심의완료"),"종결 표시",IF(OR(J2579="기후부협의",J2579="문서재제출요청",J2579="보류",J2579="보완요청",J2579="보완완료",J2579="평가중",J2579="반려요청",J2579="평가필요",LEFT(J2579,5)="보완요청("),"미종결 표시","상태 확인 필요"))</x:f>
        <x:v>종결 표시</x:v>
      </x:c>
      <x:c r="L2579" s="2" t="str">
        <x:v>KECM</x:v>
      </x:c>
      <x:c r="M2579" s="2"/>
      <x:c r="N2579" s="8" t="n">
        <x:f>DATE(2026,10,15)-DATE(2021,10,27)</x:f>
        <x:v>1814</x:v>
      </x:c>
      <x:c r="O2579" s="2"/>
      <x:c r="P2579" s="2"/>
      <x:c r="Q2579" s="2" t="str">
        <x:v>산업전환_외부사업관리Tool_260707_이너젠 수정_LJY_261013.xlsx</x:v>
      </x:c>
      <x:c r="R2579" s="2" t="str">
        <x:v>국외인증</x:v>
      </x:c>
      <x:c r="S2579" s="8" t="n">
        <x:v>166</x:v>
      </x:c>
      <x:c r="T2579" s="2" t="str">
        <x:v>(11/2),(12/1)</x:v>
      </x:c>
      <x:c r="U2579" s="2" t="str">
        <x:v>2021 지정: (11/2),(12/1) / 2022 지정: (1/18)(5/18)</x:v>
      </x:c>
      <x:c r="V2579" s="2" t="str">
        <x:v>2022-07-14</x:v>
      </x:c>
      <x:c r="W2579" s="2" t="str"/>
      <x:c r="X2579" s="2" t="str">
        <x:v>종결 근거 보관</x:v>
      </x:c>
      <x:c r="Y2579" s="2" t="str">
        <x:v>ad210cd9ec132cfd447541c8984dc53d30aff0f4fb2dc92d254d49275cc55976</x:v>
      </x:c>
      <x:c r="Z2579" s="2" t="n">
        <x:f>SUBTOTAL(103,A2579)</x:f>
        <x:v>1</x:v>
      </x:c>
      <x:c r="AA2579" s="2" t="str">
        <x:f>IF(K2579&lt;&gt;"미종결 표시","대상 아님",IF(N2579="","신청일 확인",IF(NOT(ISNUMBER('종합 현황'!$H$5)),"관찰기준 확인",IF('종합 현황'!$H$5&lt;1,"관찰기준 확인",IF(N2579&gt;'종합 현황'!$H$5,"내부 관찰 대상","내부 관찰일 이하")))))</x:f>
        <x:v>대상 아님</x:v>
      </x:c>
      <x:c r="AB2579" s="2" t="str">
        <x:v>2021-10-27 13:09 - 신청
2021-11-24 11:33 - 보완요청
2021-11-26 11:50 - 신청
2021-12-29 09:55 - 문서재제출요청
2021-12-30 18:01 - 신청
2022-01-18 09:26 - 문서재제출요청
2022-01-18 11:08 - 신청
2022-02-23 15:52 - 문서재제출요청
2022-02-24 10:01 - 신청
2022-04-21 15:24 - 문서재제출요청
2022-04-22 16:01 - 신청
2022-07-05 17:58 - 검토승인
2022-07-14 16:13 - 심의승인</x:v>
      </x:c>
    </x:row>
    <x:row r="2580" ht="42" customHeight="1">
      <x:c r="A2580" s="2" t="str">
        <x:v>c882625e2efe4ae99e1fbe0b</x:v>
      </x:c>
      <x:c r="B2580" s="2" t="str">
        <x:v>감축량 인증</x:v>
      </x:c>
      <x:c r="C2580" s="2" t="str">
        <x:v>국외</x:v>
      </x:c>
      <x:c r="D2580" s="7" t="str">
        <x:v>안전한 식수 공급을 위한 정수기 보급 사업 : CPA 44(한국 지원)</x:v>
      </x:c>
      <x:c r="E2580" s="2" t="str">
        <x:v>165</x:v>
      </x:c>
      <x:c r="F2580" s="2" t="str">
        <x:v>2021-10-27</x:v>
      </x:c>
      <x:c r="G2580" s="2" t="str">
        <x:v>2021</x:v>
      </x:c>
      <x:c r="H2580" s="2" t="str">
        <x:v>10</x:v>
      </x:c>
      <x:c r="I2580" s="2" t="str">
        <x:v>심의승인</x:v>
      </x:c>
      <x:c r="J2580" s="2" t="str">
        <x:v>심의승인</x:v>
      </x:c>
      <x:c r="K2580" s="2" t="str">
        <x:f>IF(OR(J2580="심의승인",J2580="반려",J2580="반려완료",J2580="심의완료"),"종결 표시",IF(OR(J2580="기후부협의",J2580="문서재제출요청",J2580="보류",J2580="보완요청",J2580="보완완료",J2580="평가중",J2580="반려요청",J2580="평가필요",LEFT(J2580,5)="보완요청("),"미종결 표시","상태 확인 필요"))</x:f>
        <x:v>종결 표시</x:v>
      </x:c>
      <x:c r="L2580" s="2" t="str">
        <x:v>KECM</x:v>
      </x:c>
      <x:c r="M2580" s="2"/>
      <x:c r="N2580" s="8" t="n">
        <x:f>DATE(2026,10,15)-DATE(2021,10,27)</x:f>
        <x:v>1814</x:v>
      </x:c>
      <x:c r="O2580" s="2"/>
      <x:c r="P2580" s="2"/>
      <x:c r="Q2580" s="2" t="str">
        <x:v>산업전환_외부사업관리Tool_260707_이너젠 수정_LJY_261013.xlsx</x:v>
      </x:c>
      <x:c r="R2580" s="2" t="str">
        <x:v>국외인증</x:v>
      </x:c>
      <x:c r="S2580" s="8" t="n">
        <x:v>167</x:v>
      </x:c>
      <x:c r="T2580" s="2" t="str">
        <x:v>(11/2),(12/1)</x:v>
      </x:c>
      <x:c r="U2580" s="2" t="str">
        <x:v>2021 지정: (11/2),(12/1) / 2022 지정: (1/18)(5/18)</x:v>
      </x:c>
      <x:c r="V2580" s="2" t="str">
        <x:v>2022-07-14</x:v>
      </x:c>
      <x:c r="W2580" s="2" t="str"/>
      <x:c r="X2580" s="2" t="str">
        <x:v>종결 근거 보관</x:v>
      </x:c>
      <x:c r="Y2580" s="2" t="str">
        <x:v>ad210cd9ec132cfd447541c8984dc53d30aff0f4fb2dc92d254d49275cc55976</x:v>
      </x:c>
      <x:c r="Z2580" s="2" t="n">
        <x:f>SUBTOTAL(103,A2580)</x:f>
        <x:v>1</x:v>
      </x:c>
      <x:c r="AA2580" s="2" t="str">
        <x:f>IF(K2580&lt;&gt;"미종결 표시","대상 아님",IF(N2580="","신청일 확인",IF(NOT(ISNUMBER('종합 현황'!$H$5)),"관찰기준 확인",IF('종합 현황'!$H$5&lt;1,"관찰기준 확인",IF(N2580&gt;'종합 현황'!$H$5,"내부 관찰 대상","내부 관찰일 이하")))))</x:f>
        <x:v>대상 아님</x:v>
      </x:c>
      <x:c r="AB2580" s="2" t="str">
        <x:v>2021-10-27 13:09 - 신청
2021-11-24 10:42 - 보완요청
2021-11-26 11:51 - 신청
2021-12-29 09:55 - 문서재제출요청
2021-12-30 18:01 - 신청
2022-01-18 09:26 - 문서재제출요청
2022-01-18 11:08 - 신청
2022-02-23 15:52 - 문서재제출요청
2022-02-24 10:02 - 신청
2022-04-21 15:24 - 문서재제출요청
2022-04-22 16:02 - 신청
2022-07-05 17:58 - 검토승인
2022-07-14 16:15 - 심의승인</x:v>
      </x:c>
    </x:row>
    <x:row r="2581" ht="42" customHeight="1">
      <x:c r="A2581" s="2" t="str">
        <x:v>99a03f658aae9f82af5c4ed1</x:v>
      </x:c>
      <x:c r="B2581" s="2" t="str">
        <x:v>감축량 인증</x:v>
      </x:c>
      <x:c r="C2581" s="2" t="str">
        <x:v>국외</x:v>
      </x:c>
      <x:c r="D2581" s="7" t="str">
        <x:v>안전한 식수 공급을 위한 정수기 보급 사업 : CPA 45(한국 지원)</x:v>
      </x:c>
      <x:c r="E2581" s="2" t="str">
        <x:v>166</x:v>
      </x:c>
      <x:c r="F2581" s="2" t="str">
        <x:v>2021-10-27</x:v>
      </x:c>
      <x:c r="G2581" s="2" t="str">
        <x:v>2021</x:v>
      </x:c>
      <x:c r="H2581" s="2" t="str">
        <x:v>10</x:v>
      </x:c>
      <x:c r="I2581" s="2" t="str">
        <x:v>심의승인</x:v>
      </x:c>
      <x:c r="J2581" s="2" t="str">
        <x:v>심의승인</x:v>
      </x:c>
      <x:c r="K2581" s="2" t="str">
        <x:f>IF(OR(J2581="심의승인",J2581="반려",J2581="반려완료",J2581="심의완료"),"종결 표시",IF(OR(J2581="기후부협의",J2581="문서재제출요청",J2581="보류",J2581="보완요청",J2581="보완완료",J2581="평가중",J2581="반려요청",J2581="평가필요",LEFT(J2581,5)="보완요청("),"미종결 표시","상태 확인 필요"))</x:f>
        <x:v>종결 표시</x:v>
      </x:c>
      <x:c r="L2581" s="2" t="str">
        <x:v>KECM</x:v>
      </x:c>
      <x:c r="M2581" s="2"/>
      <x:c r="N2581" s="8" t="n">
        <x:f>DATE(2026,10,15)-DATE(2021,10,27)</x:f>
        <x:v>1814</x:v>
      </x:c>
      <x:c r="O2581" s="2"/>
      <x:c r="P2581" s="2"/>
      <x:c r="Q2581" s="2" t="str">
        <x:v>산업전환_외부사업관리Tool_260707_이너젠 수정_LJY_261013.xlsx</x:v>
      </x:c>
      <x:c r="R2581" s="2" t="str">
        <x:v>국외인증</x:v>
      </x:c>
      <x:c r="S2581" s="8" t="n">
        <x:v>168</x:v>
      </x:c>
      <x:c r="T2581" s="2" t="str">
        <x:v>(11/2),(12/1)</x:v>
      </x:c>
      <x:c r="U2581" s="2" t="str">
        <x:v>2021 지정: (11/2),(12/1) / 2022 지정: (1/18)(5/18)</x:v>
      </x:c>
      <x:c r="V2581" s="2" t="str">
        <x:v>2022-07-14</x:v>
      </x:c>
      <x:c r="W2581" s="2" t="str"/>
      <x:c r="X2581" s="2" t="str">
        <x:v>종결 근거 보관</x:v>
      </x:c>
      <x:c r="Y2581" s="2" t="str">
        <x:v>ad210cd9ec132cfd447541c8984dc53d30aff0f4fb2dc92d254d49275cc55976</x:v>
      </x:c>
      <x:c r="Z2581" s="2" t="n">
        <x:f>SUBTOTAL(103,A2581)</x:f>
        <x:v>1</x:v>
      </x:c>
      <x:c r="AA2581" s="2" t="str">
        <x:f>IF(K2581&lt;&gt;"미종결 표시","대상 아님",IF(N2581="","신청일 확인",IF(NOT(ISNUMBER('종합 현황'!$H$5)),"관찰기준 확인",IF('종합 현황'!$H$5&lt;1,"관찰기준 확인",IF(N2581&gt;'종합 현황'!$H$5,"내부 관찰 대상","내부 관찰일 이하")))))</x:f>
        <x:v>대상 아님</x:v>
      </x:c>
      <x:c r="AB2581" s="2" t="str">
        <x:v>2021-10-27 13:10 - 신청
2021-11-24 10:46 - 보완요청
2021-11-26 11:51 - 신청
2021-12-29 09:56 - 문서재제출요청
2021-12-30 18:01 - 신청
2022-01-18 09:27 - 문서재제출요청
2022-01-18 11:11 - 신청
2022-02-23 15:53 - 문서재제출요청
2022-02-24 10:03 - 신청
2022-04-21 15:24 - 문서재제출요청
2022-04-22 16:03 - 신청
2022-07-05 17:58 - 검토승인
2022-07-14 16:17 - 심의승인</x:v>
      </x:c>
    </x:row>
    <x:row r="2582" ht="42" customHeight="1">
      <x:c r="A2582" s="2" t="str">
        <x:v>4a79b091571c916a62e64112</x:v>
      </x:c>
      <x:c r="B2582" s="2" t="str">
        <x:v>감축량 인증</x:v>
      </x:c>
      <x:c r="C2582" s="2" t="str">
        <x:v>국외</x:v>
      </x:c>
      <x:c r="D2582" s="7" t="str">
        <x:v>안전한 식수 공급을 위한 정수기 보급 사업 : CPA 46(한국 지원)</x:v>
      </x:c>
      <x:c r="E2582" s="2" t="str">
        <x:v>167</x:v>
      </x:c>
      <x:c r="F2582" s="2" t="str">
        <x:v>2021-10-27</x:v>
      </x:c>
      <x:c r="G2582" s="2" t="str">
        <x:v>2021</x:v>
      </x:c>
      <x:c r="H2582" s="2" t="str">
        <x:v>10</x:v>
      </x:c>
      <x:c r="I2582" s="2" t="str">
        <x:v>심의승인</x:v>
      </x:c>
      <x:c r="J2582" s="2" t="str">
        <x:v>심의승인</x:v>
      </x:c>
      <x:c r="K2582" s="2" t="str">
        <x:f>IF(OR(J2582="심의승인",J2582="반려",J2582="반려완료",J2582="심의완료"),"종결 표시",IF(OR(J2582="기후부협의",J2582="문서재제출요청",J2582="보류",J2582="보완요청",J2582="보완완료",J2582="평가중",J2582="반려요청",J2582="평가필요",LEFT(J2582,5)="보완요청("),"미종결 표시","상태 확인 필요"))</x:f>
        <x:v>종결 표시</x:v>
      </x:c>
      <x:c r="L2582" s="2" t="str">
        <x:v>KECM</x:v>
      </x:c>
      <x:c r="M2582" s="2"/>
      <x:c r="N2582" s="8" t="n">
        <x:f>DATE(2026,10,15)-DATE(2021,10,27)</x:f>
        <x:v>1814</x:v>
      </x:c>
      <x:c r="O2582" s="2"/>
      <x:c r="P2582" s="2"/>
      <x:c r="Q2582" s="2" t="str">
        <x:v>산업전환_외부사업관리Tool_260707_이너젠 수정_LJY_261013.xlsx</x:v>
      </x:c>
      <x:c r="R2582" s="2" t="str">
        <x:v>국외인증</x:v>
      </x:c>
      <x:c r="S2582" s="8" t="n">
        <x:v>169</x:v>
      </x:c>
      <x:c r="T2582" s="2" t="str">
        <x:v>(11/2),(12/1)</x:v>
      </x:c>
      <x:c r="U2582" s="2" t="str">
        <x:v>2021 지정: (11/2),(12/1) / 2022 지정: (1/18)(5/18)</x:v>
      </x:c>
      <x:c r="V2582" s="2" t="str">
        <x:v>2022-07-14</x:v>
      </x:c>
      <x:c r="W2582" s="2" t="str"/>
      <x:c r="X2582" s="2" t="str">
        <x:v>종결 근거 보관</x:v>
      </x:c>
      <x:c r="Y2582" s="2" t="str">
        <x:v>ad210cd9ec132cfd447541c8984dc53d30aff0f4fb2dc92d254d49275cc55976</x:v>
      </x:c>
      <x:c r="Z2582" s="2" t="n">
        <x:f>SUBTOTAL(103,A2582)</x:f>
        <x:v>1</x:v>
      </x:c>
      <x:c r="AA2582" s="2" t="str">
        <x:f>IF(K2582&lt;&gt;"미종결 표시","대상 아님",IF(N2582="","신청일 확인",IF(NOT(ISNUMBER('종합 현황'!$H$5)),"관찰기준 확인",IF('종합 현황'!$H$5&lt;1,"관찰기준 확인",IF(N2582&gt;'종합 현황'!$H$5,"내부 관찰 대상","내부 관찰일 이하")))))</x:f>
        <x:v>대상 아님</x:v>
      </x:c>
      <x:c r="AB2582" s="2" t="str">
        <x:v>2021-10-27 13:10 - 신청
2021-11-24 10:46 - 보완요청
2021-11-26 11:52 - 신청
2021-12-29 09:56 - 문서재제출요청
2021-12-30 18:01 - 신청
2022-01-18 09:27 - 문서재제출요청
2022-01-18 11:11 - 신청
2022-02-23 15:53 - 문서재제출요청
2022-02-24 10:03 - 신청
2022-04-21 15:25 - 문서재제출요청
2022-04-22 16:03 - 신청
2022-07-05 17:58 - 검토승인
2022-07-14 16:19 - 심의승인</x:v>
      </x:c>
    </x:row>
    <x:row r="2583" ht="42" customHeight="1">
      <x:c r="A2583" s="2" t="str">
        <x:v>b178dff1f77d33b68abe94f4</x:v>
      </x:c>
      <x:c r="B2583" s="2" t="str">
        <x:v>감축량 인증</x:v>
      </x:c>
      <x:c r="C2583" s="2" t="str">
        <x:v>국외</x:v>
      </x:c>
      <x:c r="D2583" s="7" t="str">
        <x:v>안전한 식수 공급을 위한 정수기 보급 사업 : CPA 47(한국 지원)</x:v>
      </x:c>
      <x:c r="E2583" s="2" t="str">
        <x:v>168</x:v>
      </x:c>
      <x:c r="F2583" s="2" t="str">
        <x:v>2021-10-27</x:v>
      </x:c>
      <x:c r="G2583" s="2" t="str">
        <x:v>2021</x:v>
      </x:c>
      <x:c r="H2583" s="2" t="str">
        <x:v>10</x:v>
      </x:c>
      <x:c r="I2583" s="2" t="str">
        <x:v>심의승인</x:v>
      </x:c>
      <x:c r="J2583" s="2" t="str">
        <x:v>심의승인</x:v>
      </x:c>
      <x:c r="K2583" s="2" t="str">
        <x:f>IF(OR(J2583="심의승인",J2583="반려",J2583="반려완료",J2583="심의완료"),"종결 표시",IF(OR(J2583="기후부협의",J2583="문서재제출요청",J2583="보류",J2583="보완요청",J2583="보완완료",J2583="평가중",J2583="반려요청",J2583="평가필요",LEFT(J2583,5)="보완요청("),"미종결 표시","상태 확인 필요"))</x:f>
        <x:v>종결 표시</x:v>
      </x:c>
      <x:c r="L2583" s="2" t="str">
        <x:v>KECM</x:v>
      </x:c>
      <x:c r="M2583" s="2"/>
      <x:c r="N2583" s="8" t="n">
        <x:f>DATE(2026,10,15)-DATE(2021,10,27)</x:f>
        <x:v>1814</x:v>
      </x:c>
      <x:c r="O2583" s="2"/>
      <x:c r="P2583" s="2"/>
      <x:c r="Q2583" s="2" t="str">
        <x:v>산업전환_외부사업관리Tool_260707_이너젠 수정_LJY_261013.xlsx</x:v>
      </x:c>
      <x:c r="R2583" s="2" t="str">
        <x:v>국외인증</x:v>
      </x:c>
      <x:c r="S2583" s="8" t="n">
        <x:v>170</x:v>
      </x:c>
      <x:c r="T2583" s="2" t="str">
        <x:v>(11/2),(12/1)</x:v>
      </x:c>
      <x:c r="U2583" s="2" t="str">
        <x:v>2021 지정: (11/2),(12/1) / 2022 지정: (1/18)(5/18)</x:v>
      </x:c>
      <x:c r="V2583" s="2" t="str">
        <x:v>2022-07-14</x:v>
      </x:c>
      <x:c r="W2583" s="2" t="str"/>
      <x:c r="X2583" s="2" t="str">
        <x:v>종결 근거 보관</x:v>
      </x:c>
      <x:c r="Y2583" s="2" t="str">
        <x:v>ad210cd9ec132cfd447541c8984dc53d30aff0f4fb2dc92d254d49275cc55976</x:v>
      </x:c>
      <x:c r="Z2583" s="2" t="n">
        <x:f>SUBTOTAL(103,A2583)</x:f>
        <x:v>1</x:v>
      </x:c>
      <x:c r="AA2583" s="2" t="str">
        <x:f>IF(K2583&lt;&gt;"미종결 표시","대상 아님",IF(N2583="","신청일 확인",IF(NOT(ISNUMBER('종합 현황'!$H$5)),"관찰기준 확인",IF('종합 현황'!$H$5&lt;1,"관찰기준 확인",IF(N2583&gt;'종합 현황'!$H$5,"내부 관찰 대상","내부 관찰일 이하")))))</x:f>
        <x:v>대상 아님</x:v>
      </x:c>
      <x:c r="AB2583" s="2" t="str">
        <x:v>2021-10-27 13:10 - 신청
2021-11-24 10:48 - 보완요청
2021-11-26 11:52 - 신청
2021-12-29 09:56 - 문서재제출요청
2021-12-30 18:02 - 신청
2022-01-18 09:27 - 문서재제출요청
2022-01-18 11:12 - 신청
2022-02-23 15:54 - 문서재제출요청
2022-02-24 10:04 - 신청
2022-04-21 15:25 - 문서재제출요청
2022-04-22 16:03 - 신청
2022-07-05 17:57 - 검토승인
2022-07-14 16:21 - 심의승인</x:v>
      </x:c>
    </x:row>
    <x:row r="2584" ht="42" customHeight="1">
      <x:c r="A2584" s="2" t="str">
        <x:v>2445910c61be352b981990e5</x:v>
      </x:c>
      <x:c r="B2584" s="2" t="str">
        <x:v>감축량 인증</x:v>
      </x:c>
      <x:c r="C2584" s="2" t="str">
        <x:v>국외</x:v>
      </x:c>
      <x:c r="D2584" s="7" t="str">
        <x:v>안전한 식수 공급을 위한 정수기 보급 사업 : CPA 48(한국 지원)</x:v>
      </x:c>
      <x:c r="E2584" s="2" t="str">
        <x:v>169</x:v>
      </x:c>
      <x:c r="F2584" s="2" t="str">
        <x:v>2021-10-27</x:v>
      </x:c>
      <x:c r="G2584" s="2" t="str">
        <x:v>2021</x:v>
      </x:c>
      <x:c r="H2584" s="2" t="str">
        <x:v>10</x:v>
      </x:c>
      <x:c r="I2584" s="2" t="str">
        <x:v>심의승인</x:v>
      </x:c>
      <x:c r="J2584" s="2" t="str">
        <x:v>심의승인</x:v>
      </x:c>
      <x:c r="K2584" s="2" t="str">
        <x:f>IF(OR(J2584="심의승인",J2584="반려",J2584="반려완료",J2584="심의완료"),"종결 표시",IF(OR(J2584="기후부협의",J2584="문서재제출요청",J2584="보류",J2584="보완요청",J2584="보완완료",J2584="평가중",J2584="반려요청",J2584="평가필요",LEFT(J2584,5)="보완요청("),"미종결 표시","상태 확인 필요"))</x:f>
        <x:v>종결 표시</x:v>
      </x:c>
      <x:c r="L2584" s="2" t="str">
        <x:v>KECM</x:v>
      </x:c>
      <x:c r="M2584" s="2"/>
      <x:c r="N2584" s="8" t="n">
        <x:f>DATE(2026,10,15)-DATE(2021,10,27)</x:f>
        <x:v>1814</x:v>
      </x:c>
      <x:c r="O2584" s="2"/>
      <x:c r="P2584" s="2"/>
      <x:c r="Q2584" s="2" t="str">
        <x:v>산업전환_외부사업관리Tool_260707_이너젠 수정_LJY_261013.xlsx</x:v>
      </x:c>
      <x:c r="R2584" s="2" t="str">
        <x:v>국외인증</x:v>
      </x:c>
      <x:c r="S2584" s="8" t="n">
        <x:v>171</x:v>
      </x:c>
      <x:c r="T2584" s="2" t="str">
        <x:v>(11/2),(12/1)</x:v>
      </x:c>
      <x:c r="U2584" s="2" t="str">
        <x:v>2021 지정: (11/2),(12/1) / 2022 지정: (1/18)(5/18)</x:v>
      </x:c>
      <x:c r="V2584" s="2" t="str">
        <x:v>2022-07-14</x:v>
      </x:c>
      <x:c r="W2584" s="2" t="str"/>
      <x:c r="X2584" s="2" t="str">
        <x:v>종결 근거 보관</x:v>
      </x:c>
      <x:c r="Y2584" s="2" t="str">
        <x:v>ad210cd9ec132cfd447541c8984dc53d30aff0f4fb2dc92d254d49275cc55976</x:v>
      </x:c>
      <x:c r="Z2584" s="2" t="n">
        <x:f>SUBTOTAL(103,A2584)</x:f>
        <x:v>1</x:v>
      </x:c>
      <x:c r="AA2584" s="2" t="str">
        <x:f>IF(K2584&lt;&gt;"미종결 표시","대상 아님",IF(N2584="","신청일 확인",IF(NOT(ISNUMBER('종합 현황'!$H$5)),"관찰기준 확인",IF('종합 현황'!$H$5&lt;1,"관찰기준 확인",IF(N2584&gt;'종합 현황'!$H$5,"내부 관찰 대상","내부 관찰일 이하")))))</x:f>
        <x:v>대상 아님</x:v>
      </x:c>
      <x:c r="AB2584" s="2" t="str">
        <x:v>2021-10-27 13:10 - 신청
2021-11-24 10:49 - 보완요청
2021-11-26 11:53 - 신청
2021-12-29 09:56 - 문서재제출요청
2021-12-30 18:02 - 신청
2022-01-18 09:28 - 문서재제출요청
2022-01-18 11:12 - 신청
2022-02-23 15:54 - 문서재제출요청
2022-02-24 10:04 - 신청
2022-04-21 15:25 - 문서재제출요청
2022-04-22 16:03 - 신청
2022-07-05 17:57 - 검토승인
2022-07-14 16:22 - 심의승인</x:v>
      </x:c>
    </x:row>
    <x:row r="2585" ht="42" customHeight="1">
      <x:c r="A2585" s="2" t="str">
        <x:v>f0414e604cf372ae95d65b37</x:v>
      </x:c>
      <x:c r="B2585" s="2" t="str">
        <x:v>감축량 인증</x:v>
      </x:c>
      <x:c r="C2585" s="2" t="str">
        <x:v>국외</x:v>
      </x:c>
      <x:c r="D2585" s="7" t="str">
        <x:v>안전한 식수 공급을 위한 정수기 보급 사업 : CPA 49(한국 지원)</x:v>
      </x:c>
      <x:c r="E2585" s="2" t="str">
        <x:v>170</x:v>
      </x:c>
      <x:c r="F2585" s="2" t="str">
        <x:v>2021-10-27</x:v>
      </x:c>
      <x:c r="G2585" s="2" t="str">
        <x:v>2021</x:v>
      </x:c>
      <x:c r="H2585" s="2" t="str">
        <x:v>10</x:v>
      </x:c>
      <x:c r="I2585" s="2" t="str">
        <x:v>심의승인</x:v>
      </x:c>
      <x:c r="J2585" s="2" t="str">
        <x:v>심의승인</x:v>
      </x:c>
      <x:c r="K2585" s="2" t="str">
        <x:f>IF(OR(J2585="심의승인",J2585="반려",J2585="반려완료",J2585="심의완료"),"종결 표시",IF(OR(J2585="기후부협의",J2585="문서재제출요청",J2585="보류",J2585="보완요청",J2585="보완완료",J2585="평가중",J2585="반려요청",J2585="평가필요",LEFT(J2585,5)="보완요청("),"미종결 표시","상태 확인 필요"))</x:f>
        <x:v>종결 표시</x:v>
      </x:c>
      <x:c r="L2585" s="2" t="str">
        <x:v>KECM</x:v>
      </x:c>
      <x:c r="M2585" s="2"/>
      <x:c r="N2585" s="8" t="n">
        <x:f>DATE(2026,10,15)-DATE(2021,10,27)</x:f>
        <x:v>1814</x:v>
      </x:c>
      <x:c r="O2585" s="2"/>
      <x:c r="P2585" s="2"/>
      <x:c r="Q2585" s="2" t="str">
        <x:v>산업전환_외부사업관리Tool_260707_이너젠 수정_LJY_261013.xlsx</x:v>
      </x:c>
      <x:c r="R2585" s="2" t="str">
        <x:v>국외인증</x:v>
      </x:c>
      <x:c r="S2585" s="8" t="n">
        <x:v>172</x:v>
      </x:c>
      <x:c r="T2585" s="2" t="str">
        <x:v>(11/2),(12/1)</x:v>
      </x:c>
      <x:c r="U2585" s="2" t="str">
        <x:v>2021 지정: (11/2),(12/1) / 2022 지정: (1/18)(5/18)</x:v>
      </x:c>
      <x:c r="V2585" s="2" t="str">
        <x:v>2022-07-14</x:v>
      </x:c>
      <x:c r="W2585" s="2" t="str"/>
      <x:c r="X2585" s="2" t="str">
        <x:v>종결 근거 보관</x:v>
      </x:c>
      <x:c r="Y2585" s="2" t="str">
        <x:v>ad210cd9ec132cfd447541c8984dc53d30aff0f4fb2dc92d254d49275cc55976</x:v>
      </x:c>
      <x:c r="Z2585" s="2" t="n">
        <x:f>SUBTOTAL(103,A2585)</x:f>
        <x:v>1</x:v>
      </x:c>
      <x:c r="AA2585" s="2" t="str">
        <x:f>IF(K2585&lt;&gt;"미종결 표시","대상 아님",IF(N2585="","신청일 확인",IF(NOT(ISNUMBER('종합 현황'!$H$5)),"관찰기준 확인",IF('종합 현황'!$H$5&lt;1,"관찰기준 확인",IF(N2585&gt;'종합 현황'!$H$5,"내부 관찰 대상","내부 관찰일 이하")))))</x:f>
        <x:v>대상 아님</x:v>
      </x:c>
      <x:c r="AB2585" s="2" t="str">
        <x:v>2021-10-27 13:10 - 신청
2021-11-24 10:49 - 보완요청
2021-11-26 11:53 - 신청
2021-12-29 09:57 - 문서재제출요청
2021-12-30 18:02 - 신청
2022-01-18 09:28 - 문서재제출요청
2022-01-18 11:13 - 신청
2022-02-23 15:54 - 문서재제출요청
2022-02-24 10:05 - 신청
2022-04-21 15:26 - 문서재제출요청
2022-04-22 16:03 - 신청
2022-07-05 17:57 - 검토승인
2022-07-14 16:26 - 심의승인</x:v>
      </x:c>
    </x:row>
    <x:row r="2586" ht="42" customHeight="1">
      <x:c r="A2586" s="2" t="str">
        <x:v>8ea0808f98e86f083784b398</x:v>
      </x:c>
      <x:c r="B2586" s="2" t="str">
        <x:v>감축량 인증</x:v>
      </x:c>
      <x:c r="C2586" s="2" t="str">
        <x:v>국외</x:v>
      </x:c>
      <x:c r="D2586" s="7" t="str">
        <x:v>안전한 식수 공급을 위한 정수기 보급 사업 : CPA 50(한국 지원)</x:v>
      </x:c>
      <x:c r="E2586" s="2" t="str">
        <x:v>171</x:v>
      </x:c>
      <x:c r="F2586" s="2" t="str">
        <x:v>2021-10-27</x:v>
      </x:c>
      <x:c r="G2586" s="2" t="str">
        <x:v>2021</x:v>
      </x:c>
      <x:c r="H2586" s="2" t="str">
        <x:v>10</x:v>
      </x:c>
      <x:c r="I2586" s="2" t="str">
        <x:v>심의승인</x:v>
      </x:c>
      <x:c r="J2586" s="2" t="str">
        <x:v>심의승인</x:v>
      </x:c>
      <x:c r="K2586" s="2" t="str">
        <x:f>IF(OR(J2586="심의승인",J2586="반려",J2586="반려완료",J2586="심의완료"),"종결 표시",IF(OR(J2586="기후부협의",J2586="문서재제출요청",J2586="보류",J2586="보완요청",J2586="보완완료",J2586="평가중",J2586="반려요청",J2586="평가필요",LEFT(J2586,5)="보완요청("),"미종결 표시","상태 확인 필요"))</x:f>
        <x:v>종결 표시</x:v>
      </x:c>
      <x:c r="L2586" s="2" t="str">
        <x:v>KECM</x:v>
      </x:c>
      <x:c r="M2586" s="2"/>
      <x:c r="N2586" s="8" t="n">
        <x:f>DATE(2026,10,15)-DATE(2021,10,27)</x:f>
        <x:v>1814</x:v>
      </x:c>
      <x:c r="O2586" s="2"/>
      <x:c r="P2586" s="2"/>
      <x:c r="Q2586" s="2" t="str">
        <x:v>산업전환_외부사업관리Tool_260707_이너젠 수정_LJY_261013.xlsx</x:v>
      </x:c>
      <x:c r="R2586" s="2" t="str">
        <x:v>국외인증</x:v>
      </x:c>
      <x:c r="S2586" s="8" t="n">
        <x:v>173</x:v>
      </x:c>
      <x:c r="T2586" s="2" t="str">
        <x:v>(11/2),(12/1)</x:v>
      </x:c>
      <x:c r="U2586" s="2" t="str">
        <x:v>2021 지정: (11/2),(12/1) / 2022 지정: (1/18)(5/18)</x:v>
      </x:c>
      <x:c r="V2586" s="2" t="str">
        <x:v>2022-07-14</x:v>
      </x:c>
      <x:c r="W2586" s="2" t="str"/>
      <x:c r="X2586" s="2" t="str">
        <x:v>종결 근거 보관</x:v>
      </x:c>
      <x:c r="Y2586" s="2" t="str">
        <x:v>ad210cd9ec132cfd447541c8984dc53d30aff0f4fb2dc92d254d49275cc55976</x:v>
      </x:c>
      <x:c r="Z2586" s="2" t="n">
        <x:f>SUBTOTAL(103,A2586)</x:f>
        <x:v>1</x:v>
      </x:c>
      <x:c r="AA2586" s="2" t="str">
        <x:f>IF(K2586&lt;&gt;"미종결 표시","대상 아님",IF(N2586="","신청일 확인",IF(NOT(ISNUMBER('종합 현황'!$H$5)),"관찰기준 확인",IF('종합 현황'!$H$5&lt;1,"관찰기준 확인",IF(N2586&gt;'종합 현황'!$H$5,"내부 관찰 대상","내부 관찰일 이하")))))</x:f>
        <x:v>대상 아님</x:v>
      </x:c>
      <x:c r="AB2586" s="2" t="str">
        <x:v>2021-10-27 13:10 - 신청
2021-11-24 10:51 - 보완요청
2021-11-26 11:53 - 신청
2021-12-29 09:59 - 문서재제출요청
2021-12-30 18:03 - 신청
2022-01-18 09:28 - 문서재제출요청
2022-01-18 11:13 - 신청
2022-02-23 15:55 - 문서재제출요청
2022-02-24 10:05 - 신청
2022-04-21 15:26 - 문서재제출요청
2022-04-22 16:04 - 신청
2022-07-05 17:56 - 검토승인
2022-07-14 16:27 - 심의승인</x:v>
      </x:c>
    </x:row>
    <x:row r="2587" ht="42" customHeight="1">
      <x:c r="A2587" s="2" t="str">
        <x:v>cd7f068ec97427c6093d9367</x:v>
      </x:c>
      <x:c r="B2587" s="2" t="str">
        <x:v>감축량 인증</x:v>
      </x:c>
      <x:c r="C2587" s="2" t="str">
        <x:v>국외</x:v>
      </x:c>
      <x:c r="D2587" s="7" t="str">
        <x:v>안전한 식수 공급을 위한 정수기 보급 사업 : CPA 51(한국 지원)</x:v>
      </x:c>
      <x:c r="E2587" s="2" t="str">
        <x:v>172</x:v>
      </x:c>
      <x:c r="F2587" s="2" t="str">
        <x:v>2021-10-27</x:v>
      </x:c>
      <x:c r="G2587" s="2" t="str">
        <x:v>2021</x:v>
      </x:c>
      <x:c r="H2587" s="2" t="str">
        <x:v>10</x:v>
      </x:c>
      <x:c r="I2587" s="2" t="str">
        <x:v>심의승인</x:v>
      </x:c>
      <x:c r="J2587" s="2" t="str">
        <x:v>심의승인</x:v>
      </x:c>
      <x:c r="K2587" s="2" t="str">
        <x:f>IF(OR(J2587="심의승인",J2587="반려",J2587="반려완료",J2587="심의완료"),"종결 표시",IF(OR(J2587="기후부협의",J2587="문서재제출요청",J2587="보류",J2587="보완요청",J2587="보완완료",J2587="평가중",J2587="반려요청",J2587="평가필요",LEFT(J2587,5)="보완요청("),"미종결 표시","상태 확인 필요"))</x:f>
        <x:v>종결 표시</x:v>
      </x:c>
      <x:c r="L2587" s="2" t="str">
        <x:v>KECM</x:v>
      </x:c>
      <x:c r="M2587" s="2"/>
      <x:c r="N2587" s="8" t="n">
        <x:f>DATE(2026,10,15)-DATE(2021,10,27)</x:f>
        <x:v>1814</x:v>
      </x:c>
      <x:c r="O2587" s="2"/>
      <x:c r="P2587" s="2"/>
      <x:c r="Q2587" s="2" t="str">
        <x:v>산업전환_외부사업관리Tool_260707_이너젠 수정_LJY_261013.xlsx</x:v>
      </x:c>
      <x:c r="R2587" s="2" t="str">
        <x:v>국외인증</x:v>
      </x:c>
      <x:c r="S2587" s="8" t="n">
        <x:v>174</x:v>
      </x:c>
      <x:c r="T2587" s="2" t="str">
        <x:v>(11/2),(12/1)</x:v>
      </x:c>
      <x:c r="U2587" s="2" t="str">
        <x:v>2021 지정: (11/2),(12/1) / 2022 지정: (1/18)(5/18)</x:v>
      </x:c>
      <x:c r="V2587" s="2" t="str">
        <x:v>2022-07-14</x:v>
      </x:c>
      <x:c r="W2587" s="2" t="str"/>
      <x:c r="X2587" s="2" t="str">
        <x:v>종결 근거 보관</x:v>
      </x:c>
      <x:c r="Y2587" s="2" t="str">
        <x:v>ad210cd9ec132cfd447541c8984dc53d30aff0f4fb2dc92d254d49275cc55976</x:v>
      </x:c>
      <x:c r="Z2587" s="2" t="n">
        <x:f>SUBTOTAL(103,A2587)</x:f>
        <x:v>1</x:v>
      </x:c>
      <x:c r="AA2587" s="2" t="str">
        <x:f>IF(K2587&lt;&gt;"미종결 표시","대상 아님",IF(N2587="","신청일 확인",IF(NOT(ISNUMBER('종합 현황'!$H$5)),"관찰기준 확인",IF('종합 현황'!$H$5&lt;1,"관찰기준 확인",IF(N2587&gt;'종합 현황'!$H$5,"내부 관찰 대상","내부 관찰일 이하")))))</x:f>
        <x:v>대상 아님</x:v>
      </x:c>
      <x:c r="AB2587" s="2" t="str">
        <x:v>2021-10-27 13:10 - 신청
2021-11-24 10:53 - 보완요청
2021-11-26 11:54 - 신청
2021-12-29 09:57 - 문서재제출요청
2021-12-30 18:03 - 신청
2022-01-18 09:30 - 문서재제출요청
2022-01-18 11:14 - 신청
2022-02-23 15:55 - 문서재제출요청
2022-02-24 10:06 - 신청
2022-04-21 15:26 - 문서재제출요청
2022-04-22 16:04 - 신청
2022-07-05 17:56 - 검토승인
2022-07-14 16:28 - 심의승인</x:v>
      </x:c>
    </x:row>
    <x:row r="2588" ht="42" customHeight="1">
      <x:c r="A2588" s="2" t="str">
        <x:v>111a33e6bd10d1c9c9e51662</x:v>
      </x:c>
      <x:c r="B2588" s="2" t="str">
        <x:v>감축량 인증</x:v>
      </x:c>
      <x:c r="C2588" s="2" t="str">
        <x:v>국외</x:v>
      </x:c>
      <x:c r="D2588" s="7" t="str">
        <x:v>안전한 식수 공급을 위한 정수기 보급 사업 : CPA 52(한국 지원)</x:v>
      </x:c>
      <x:c r="E2588" s="2" t="str">
        <x:v>173</x:v>
      </x:c>
      <x:c r="F2588" s="2" t="str">
        <x:v>2021-10-27</x:v>
      </x:c>
      <x:c r="G2588" s="2" t="str">
        <x:v>2021</x:v>
      </x:c>
      <x:c r="H2588" s="2" t="str">
        <x:v>10</x:v>
      </x:c>
      <x:c r="I2588" s="2" t="str">
        <x:v>심의승인</x:v>
      </x:c>
      <x:c r="J2588" s="2" t="str">
        <x:v>심의승인</x:v>
      </x:c>
      <x:c r="K2588" s="2" t="str">
        <x:f>IF(OR(J2588="심의승인",J2588="반려",J2588="반려완료",J2588="심의완료"),"종결 표시",IF(OR(J2588="기후부협의",J2588="문서재제출요청",J2588="보류",J2588="보완요청",J2588="보완완료",J2588="평가중",J2588="반려요청",J2588="평가필요",LEFT(J2588,5)="보완요청("),"미종결 표시","상태 확인 필요"))</x:f>
        <x:v>종결 표시</x:v>
      </x:c>
      <x:c r="L2588" s="2" t="str">
        <x:v>KECM</x:v>
      </x:c>
      <x:c r="M2588" s="2"/>
      <x:c r="N2588" s="8" t="n">
        <x:f>DATE(2026,10,15)-DATE(2021,10,27)</x:f>
        <x:v>1814</x:v>
      </x:c>
      <x:c r="O2588" s="2"/>
      <x:c r="P2588" s="2"/>
      <x:c r="Q2588" s="2" t="str">
        <x:v>산업전환_외부사업관리Tool_260707_이너젠 수정_LJY_261013.xlsx</x:v>
      </x:c>
      <x:c r="R2588" s="2" t="str">
        <x:v>국외인증</x:v>
      </x:c>
      <x:c r="S2588" s="8" t="n">
        <x:v>175</x:v>
      </x:c>
      <x:c r="T2588" s="2" t="str">
        <x:v>(11/2),(12/1)</x:v>
      </x:c>
      <x:c r="U2588" s="2" t="str">
        <x:v>2021 지정: (11/2),(12/1) / 2022 지정: (1/18)(5/18)</x:v>
      </x:c>
      <x:c r="V2588" s="2" t="str">
        <x:v>2022-07-14</x:v>
      </x:c>
      <x:c r="W2588" s="2" t="str"/>
      <x:c r="X2588" s="2" t="str">
        <x:v>종결 근거 보관</x:v>
      </x:c>
      <x:c r="Y2588" s="2" t="str">
        <x:v>ad210cd9ec132cfd447541c8984dc53d30aff0f4fb2dc92d254d49275cc55976</x:v>
      </x:c>
      <x:c r="Z2588" s="2" t="n">
        <x:f>SUBTOTAL(103,A2588)</x:f>
        <x:v>1</x:v>
      </x:c>
      <x:c r="AA2588" s="2" t="str">
        <x:f>IF(K2588&lt;&gt;"미종결 표시","대상 아님",IF(N2588="","신청일 확인",IF(NOT(ISNUMBER('종합 현황'!$H$5)),"관찰기준 확인",IF('종합 현황'!$H$5&lt;1,"관찰기준 확인",IF(N2588&gt;'종합 현황'!$H$5,"내부 관찰 대상","내부 관찰일 이하")))))</x:f>
        <x:v>대상 아님</x:v>
      </x:c>
      <x:c r="AB2588" s="2" t="str">
        <x:v>2021-10-27 13:13 - 신청
2021-11-24 10:54 - 보완요청
2021-11-26 11:54 - 신청
2021-12-29 09:58 - 문서재제출요청
2021-12-30 18:03 - 신청
2022-01-18 09:30 - 문서재제출요청
2022-01-18 11:15 - 신청
2022-02-23 15:55 - 문서재제출요청
2022-02-24 10:06 - 신청
2022-04-21 15:26 - 문서재제출요청
2022-04-22 16:04 - 신청
2022-07-05 17:56 - 검토승인
2022-07-14 16:29 - 심의승인</x:v>
      </x:c>
    </x:row>
    <x:row r="2589" ht="42" customHeight="1">
      <x:c r="A2589" s="2" t="str">
        <x:v>10e790efdd0bb37f84517fd7</x:v>
      </x:c>
      <x:c r="B2589" s="2" t="str">
        <x:v>감축량 인증</x:v>
      </x:c>
      <x:c r="C2589" s="2" t="str">
        <x:v>국외</x:v>
      </x:c>
      <x:c r="D2589" s="7" t="str">
        <x:v>안전한 식수 공급을 위한 정수기 보급 사업 : CPA 53(한국 지원)</x:v>
      </x:c>
      <x:c r="E2589" s="2" t="str">
        <x:v>174</x:v>
      </x:c>
      <x:c r="F2589" s="2" t="str">
        <x:v>2021-10-27</x:v>
      </x:c>
      <x:c r="G2589" s="2" t="str">
        <x:v>2021</x:v>
      </x:c>
      <x:c r="H2589" s="2" t="str">
        <x:v>10</x:v>
      </x:c>
      <x:c r="I2589" s="2" t="str">
        <x:v>심의승인</x:v>
      </x:c>
      <x:c r="J2589" s="2" t="str">
        <x:v>심의승인</x:v>
      </x:c>
      <x:c r="K2589" s="2" t="str">
        <x:f>IF(OR(J2589="심의승인",J2589="반려",J2589="반려완료",J2589="심의완료"),"종결 표시",IF(OR(J2589="기후부협의",J2589="문서재제출요청",J2589="보류",J2589="보완요청",J2589="보완완료",J2589="평가중",J2589="반려요청",J2589="평가필요",LEFT(J2589,5)="보완요청("),"미종결 표시","상태 확인 필요"))</x:f>
        <x:v>종결 표시</x:v>
      </x:c>
      <x:c r="L2589" s="2" t="str">
        <x:v>KECM</x:v>
      </x:c>
      <x:c r="M2589" s="2"/>
      <x:c r="N2589" s="8" t="n">
        <x:f>DATE(2026,10,15)-DATE(2021,10,27)</x:f>
        <x:v>1814</x:v>
      </x:c>
      <x:c r="O2589" s="2"/>
      <x:c r="P2589" s="2"/>
      <x:c r="Q2589" s="2" t="str">
        <x:v>산업전환_외부사업관리Tool_260707_이너젠 수정_LJY_261013.xlsx</x:v>
      </x:c>
      <x:c r="R2589" s="2" t="str">
        <x:v>국외인증</x:v>
      </x:c>
      <x:c r="S2589" s="8" t="n">
        <x:v>176</x:v>
      </x:c>
      <x:c r="T2589" s="2" t="str">
        <x:v>(11/2),(12/1)</x:v>
      </x:c>
      <x:c r="U2589" s="2" t="str">
        <x:v>2021 지정: (11/2),(12/1) / 2022 지정: (1/18)(5/18)</x:v>
      </x:c>
      <x:c r="V2589" s="2" t="str">
        <x:v>2022-07-14</x:v>
      </x:c>
      <x:c r="W2589" s="2" t="str"/>
      <x:c r="X2589" s="2" t="str">
        <x:v>종결 근거 보관</x:v>
      </x:c>
      <x:c r="Y2589" s="2" t="str">
        <x:v>ad210cd9ec132cfd447541c8984dc53d30aff0f4fb2dc92d254d49275cc55976</x:v>
      </x:c>
      <x:c r="Z2589" s="2" t="n">
        <x:f>SUBTOTAL(103,A2589)</x:f>
        <x:v>1</x:v>
      </x:c>
      <x:c r="AA2589" s="2" t="str">
        <x:f>IF(K2589&lt;&gt;"미종결 표시","대상 아님",IF(N2589="","신청일 확인",IF(NOT(ISNUMBER('종합 현황'!$H$5)),"관찰기준 확인",IF('종합 현황'!$H$5&lt;1,"관찰기준 확인",IF(N2589&gt;'종합 현황'!$H$5,"내부 관찰 대상","내부 관찰일 이하")))))</x:f>
        <x:v>대상 아님</x:v>
      </x:c>
      <x:c r="AB2589" s="2" t="str">
        <x:v>2021-10-27 13:15 - 신청
2021-11-24 10:55 - 보완요청
2021-11-26 11:54 - 신청
2021-12-29 09:59 - 문서재제출요청
2021-12-30 18:03 - 신청
2022-01-18 09:31 - 문서재제출요청
2022-01-18 11:15 - 신청
2022-02-23 15:56 - 문서재제출요청
2022-02-24 10:07 - 신청
2022-04-21 15:27 - 문서재제출요청
2022-04-22 16:04 - 신청
2022-07-05 17:56 - 검토승인
2022-07-14 16:31 - 심의승인</x:v>
      </x:c>
    </x:row>
    <x:row r="2590" ht="42" customHeight="1">
      <x:c r="A2590" s="2" t="str">
        <x:v>de2123499448c9308c9e9c6d</x:v>
      </x:c>
      <x:c r="B2590" s="2" t="str">
        <x:v>감축량 인증</x:v>
      </x:c>
      <x:c r="C2590" s="2" t="str">
        <x:v>국외</x:v>
      </x:c>
      <x:c r="D2590" s="7" t="str">
        <x:v>안전한 식수 공급을 위한 정수기 보급 사업 : CPA 54(한국 지원)</x:v>
      </x:c>
      <x:c r="E2590" s="2" t="str">
        <x:v>175</x:v>
      </x:c>
      <x:c r="F2590" s="2" t="str">
        <x:v>2021-10-27</x:v>
      </x:c>
      <x:c r="G2590" s="2" t="str">
        <x:v>2021</x:v>
      </x:c>
      <x:c r="H2590" s="2" t="str">
        <x:v>10</x:v>
      </x:c>
      <x:c r="I2590" s="2" t="str">
        <x:v>심의승인</x:v>
      </x:c>
      <x:c r="J2590" s="2" t="str">
        <x:v>심의승인</x:v>
      </x:c>
      <x:c r="K2590" s="2" t="str">
        <x:f>IF(OR(J2590="심의승인",J2590="반려",J2590="반려완료",J2590="심의완료"),"종결 표시",IF(OR(J2590="기후부협의",J2590="문서재제출요청",J2590="보류",J2590="보완요청",J2590="보완완료",J2590="평가중",J2590="반려요청",J2590="평가필요",LEFT(J2590,5)="보완요청("),"미종결 표시","상태 확인 필요"))</x:f>
        <x:v>종결 표시</x:v>
      </x:c>
      <x:c r="L2590" s="2" t="str">
        <x:v>KECM</x:v>
      </x:c>
      <x:c r="M2590" s="2"/>
      <x:c r="N2590" s="8" t="n">
        <x:f>DATE(2026,10,15)-DATE(2021,10,27)</x:f>
        <x:v>1814</x:v>
      </x:c>
      <x:c r="O2590" s="2"/>
      <x:c r="P2590" s="2"/>
      <x:c r="Q2590" s="2" t="str">
        <x:v>산업전환_외부사업관리Tool_260707_이너젠 수정_LJY_261013.xlsx</x:v>
      </x:c>
      <x:c r="R2590" s="2" t="str">
        <x:v>국외인증</x:v>
      </x:c>
      <x:c r="S2590" s="8" t="n">
        <x:v>177</x:v>
      </x:c>
      <x:c r="T2590" s="2" t="str">
        <x:v>(11/2),(12/1)</x:v>
      </x:c>
      <x:c r="U2590" s="2" t="str">
        <x:v>2021 지정: (11/2),(12/1) / 2022 지정: (1/18)(5/18)</x:v>
      </x:c>
      <x:c r="V2590" s="2" t="str">
        <x:v>2022-07-14</x:v>
      </x:c>
      <x:c r="W2590" s="2" t="str"/>
      <x:c r="X2590" s="2" t="str">
        <x:v>종결 근거 보관</x:v>
      </x:c>
      <x:c r="Y2590" s="2" t="str">
        <x:v>ad210cd9ec132cfd447541c8984dc53d30aff0f4fb2dc92d254d49275cc55976</x:v>
      </x:c>
      <x:c r="Z2590" s="2" t="n">
        <x:f>SUBTOTAL(103,A2590)</x:f>
        <x:v>1</x:v>
      </x:c>
      <x:c r="AA2590" s="2" t="str">
        <x:f>IF(K2590&lt;&gt;"미종결 표시","대상 아님",IF(N2590="","신청일 확인",IF(NOT(ISNUMBER('종합 현황'!$H$5)),"관찰기준 확인",IF('종합 현황'!$H$5&lt;1,"관찰기준 확인",IF(N2590&gt;'종합 현황'!$H$5,"내부 관찰 대상","내부 관찰일 이하")))))</x:f>
        <x:v>대상 아님</x:v>
      </x:c>
      <x:c r="AB2590" s="2" t="str">
        <x:v>2021-10-27 13:17 - 신청
2021-11-24 10:56 - 보완요청
2021-11-26 11:54 - 신청
2021-12-29 09:59 - 문서재제출요청
2021-12-30 18:04 - 신청
2022-01-18 09:31 - 문서재제출요청
2022-01-18 11:16 - 신청
2022-02-23 15:56 - 문서재제출요청
2022-02-24 10:07 - 신청
2022-04-21 15:27 - 문서재제출요청
2022-04-22 16:04 - 신청
2022-07-05 17:55 - 검토승인
2022-07-14 16:32 - 심의승인</x:v>
      </x:c>
    </x:row>
    <x:row r="2591" ht="42" customHeight="1">
      <x:c r="A2591" s="2" t="str">
        <x:v>a9119432a157ec914509885c</x:v>
      </x:c>
      <x:c r="B2591" s="2" t="str">
        <x:v>감축량 인증</x:v>
      </x:c>
      <x:c r="C2591" s="2" t="str">
        <x:v>국외</x:v>
      </x:c>
      <x:c r="D2591" s="7" t="str">
        <x:v>안전한 식수 공급을 위한 정수기 보급 사업 : CPA 55(한국 지원)</x:v>
      </x:c>
      <x:c r="E2591" s="2" t="str">
        <x:v>176</x:v>
      </x:c>
      <x:c r="F2591" s="2" t="str">
        <x:v>2021-10-27</x:v>
      </x:c>
      <x:c r="G2591" s="2" t="str">
        <x:v>2021</x:v>
      </x:c>
      <x:c r="H2591" s="2" t="str">
        <x:v>10</x:v>
      </x:c>
      <x:c r="I2591" s="2" t="str">
        <x:v>심의승인</x:v>
      </x:c>
      <x:c r="J2591" s="2" t="str">
        <x:v>심의승인</x:v>
      </x:c>
      <x:c r="K2591" s="2" t="str">
        <x:f>IF(OR(J2591="심의승인",J2591="반려",J2591="반려완료",J2591="심의완료"),"종결 표시",IF(OR(J2591="기후부협의",J2591="문서재제출요청",J2591="보류",J2591="보완요청",J2591="보완완료",J2591="평가중",J2591="반려요청",J2591="평가필요",LEFT(J2591,5)="보완요청("),"미종결 표시","상태 확인 필요"))</x:f>
        <x:v>종결 표시</x:v>
      </x:c>
      <x:c r="L2591" s="2" t="str">
        <x:v>KECM</x:v>
      </x:c>
      <x:c r="M2591" s="2"/>
      <x:c r="N2591" s="8" t="n">
        <x:f>DATE(2026,10,15)-DATE(2021,10,27)</x:f>
        <x:v>1814</x:v>
      </x:c>
      <x:c r="O2591" s="2"/>
      <x:c r="P2591" s="2"/>
      <x:c r="Q2591" s="2" t="str">
        <x:v>산업전환_외부사업관리Tool_260707_이너젠 수정_LJY_261013.xlsx</x:v>
      </x:c>
      <x:c r="R2591" s="2" t="str">
        <x:v>국외인증</x:v>
      </x:c>
      <x:c r="S2591" s="8" t="n">
        <x:v>178</x:v>
      </x:c>
      <x:c r="T2591" s="2" t="str">
        <x:v>(11/2),(12/1)</x:v>
      </x:c>
      <x:c r="U2591" s="2" t="str">
        <x:v>2021 지정: (11/2),(12/1) / 2022 지정: (1/18)(5/18)</x:v>
      </x:c>
      <x:c r="V2591" s="2" t="str">
        <x:v>2022-07-14</x:v>
      </x:c>
      <x:c r="W2591" s="2" t="str"/>
      <x:c r="X2591" s="2" t="str">
        <x:v>종결 근거 보관</x:v>
      </x:c>
      <x:c r="Y2591" s="2" t="str">
        <x:v>ad210cd9ec132cfd447541c8984dc53d30aff0f4fb2dc92d254d49275cc55976</x:v>
      </x:c>
      <x:c r="Z2591" s="2" t="n">
        <x:f>SUBTOTAL(103,A2591)</x:f>
        <x:v>1</x:v>
      </x:c>
      <x:c r="AA2591" s="2" t="str">
        <x:f>IF(K2591&lt;&gt;"미종결 표시","대상 아님",IF(N2591="","신청일 확인",IF(NOT(ISNUMBER('종합 현황'!$H$5)),"관찰기준 확인",IF('종합 현황'!$H$5&lt;1,"관찰기준 확인",IF(N2591&gt;'종합 현황'!$H$5,"내부 관찰 대상","내부 관찰일 이하")))))</x:f>
        <x:v>대상 아님</x:v>
      </x:c>
      <x:c r="AB2591" s="2" t="str">
        <x:v>2021-10-27 13:19 - 신청
2021-11-24 10:57 - 보완요청
2021-11-26 11:54 - 신청
2021-12-29 10:00 - 문서재제출요청
2021-12-30 18:04 - 신청
2022-01-18 09:31 - 문서재제출요청
2022-01-18 11:16 - 신청
2022-02-23 15:56 - 문서재제출요청
2022-02-24 10:08 - 신청
2022-04-21 15:27 - 문서재제출요청
2022-04-22 16:04 - 신청
2022-07-05 17:55 - 검토승인
2022-07-14 16:33 - 심의승인</x:v>
      </x:c>
    </x:row>
    <x:row r="2592" ht="42" customHeight="1">
      <x:c r="A2592" s="2" t="str">
        <x:v>33dce0eb09b265d189801605</x:v>
      </x:c>
      <x:c r="B2592" s="2" t="str">
        <x:v>감축량 인증</x:v>
      </x:c>
      <x:c r="C2592" s="2" t="str">
        <x:v>국외</x:v>
      </x:c>
      <x:c r="D2592" s="7" t="str">
        <x:v>안전한 식수 공급을 위한 정수기 보급 사업 : CPA 56(한국 지원)</x:v>
      </x:c>
      <x:c r="E2592" s="2" t="str">
        <x:v>177</x:v>
      </x:c>
      <x:c r="F2592" s="2" t="str">
        <x:v>2021-10-27</x:v>
      </x:c>
      <x:c r="G2592" s="2" t="str">
        <x:v>2021</x:v>
      </x:c>
      <x:c r="H2592" s="2" t="str">
        <x:v>10</x:v>
      </x:c>
      <x:c r="I2592" s="2" t="str">
        <x:v>심의승인</x:v>
      </x:c>
      <x:c r="J2592" s="2" t="str">
        <x:v>심의승인</x:v>
      </x:c>
      <x:c r="K2592" s="2" t="str">
        <x:f>IF(OR(J2592="심의승인",J2592="반려",J2592="반려완료",J2592="심의완료"),"종결 표시",IF(OR(J2592="기후부협의",J2592="문서재제출요청",J2592="보류",J2592="보완요청",J2592="보완완료",J2592="평가중",J2592="반려요청",J2592="평가필요",LEFT(J2592,5)="보완요청("),"미종결 표시","상태 확인 필요"))</x:f>
        <x:v>종결 표시</x:v>
      </x:c>
      <x:c r="L2592" s="2" t="str">
        <x:v>KECM</x:v>
      </x:c>
      <x:c r="M2592" s="2"/>
      <x:c r="N2592" s="8" t="n">
        <x:f>DATE(2026,10,15)-DATE(2021,10,27)</x:f>
        <x:v>1814</x:v>
      </x:c>
      <x:c r="O2592" s="2"/>
      <x:c r="P2592" s="2"/>
      <x:c r="Q2592" s="2" t="str">
        <x:v>산업전환_외부사업관리Tool_260707_이너젠 수정_LJY_261013.xlsx</x:v>
      </x:c>
      <x:c r="R2592" s="2" t="str">
        <x:v>국외인증</x:v>
      </x:c>
      <x:c r="S2592" s="8" t="n">
        <x:v>179</x:v>
      </x:c>
      <x:c r="T2592" s="2" t="str">
        <x:v>(11/2),(12/1)</x:v>
      </x:c>
      <x:c r="U2592" s="2" t="str">
        <x:v>2021 지정: (11/2),(12/1) / 2022 지정: (1/18)(5/18)</x:v>
      </x:c>
      <x:c r="V2592" s="2" t="str">
        <x:v>2022-07-14</x:v>
      </x:c>
      <x:c r="W2592" s="2" t="str"/>
      <x:c r="X2592" s="2" t="str">
        <x:v>종결 근거 보관</x:v>
      </x:c>
      <x:c r="Y2592" s="2" t="str">
        <x:v>ad210cd9ec132cfd447541c8984dc53d30aff0f4fb2dc92d254d49275cc55976</x:v>
      </x:c>
      <x:c r="Z2592" s="2" t="n">
        <x:f>SUBTOTAL(103,A2592)</x:f>
        <x:v>1</x:v>
      </x:c>
      <x:c r="AA2592" s="2" t="str">
        <x:f>IF(K2592&lt;&gt;"미종결 표시","대상 아님",IF(N2592="","신청일 확인",IF(NOT(ISNUMBER('종합 현황'!$H$5)),"관찰기준 확인",IF('종합 현황'!$H$5&lt;1,"관찰기준 확인",IF(N2592&gt;'종합 현황'!$H$5,"내부 관찰 대상","내부 관찰일 이하")))))</x:f>
        <x:v>대상 아님</x:v>
      </x:c>
      <x:c r="AB2592" s="2" t="str">
        <x:v>2021-10-27 13:21 - 신청
2021-11-24 10:57 - 보완요청
2021-11-26 11:54 - 신청
2021-12-29 10:00 - 문서재제출요청
2021-12-30 18:04 - 신청
2022-01-18 09:32 - 문서재제출요청
2022-01-18 11:17 - 신청
2022-02-23 15:57 - 문서재제출요청
2022-02-24 10:08 - 신청
2022-04-21 15:27 - 문서재제출요청
2022-04-22 16:04 - 신청
2022-07-05 17:55 - 검토승인
2022-07-14 16:34 - 심의승인</x:v>
      </x:c>
    </x:row>
    <x:row r="2593" ht="42" customHeight="1">
      <x:c r="A2593" s="2" t="str">
        <x:v>7d23da6d4fbd3a5ce62d963b</x:v>
      </x:c>
      <x:c r="B2593" s="2" t="str">
        <x:v>감축량 인증</x:v>
      </x:c>
      <x:c r="C2593" s="2" t="str">
        <x:v>국외</x:v>
      </x:c>
      <x:c r="D2593" s="7" t="str">
        <x:v>안전한 식수 공급을 위한 정수기 보급 사업 : CPA 57(한국 지원)</x:v>
      </x:c>
      <x:c r="E2593" s="2" t="str">
        <x:v>178</x:v>
      </x:c>
      <x:c r="F2593" s="2" t="str">
        <x:v>2021-10-27</x:v>
      </x:c>
      <x:c r="G2593" s="2" t="str">
        <x:v>2021</x:v>
      </x:c>
      <x:c r="H2593" s="2" t="str">
        <x:v>10</x:v>
      </x:c>
      <x:c r="I2593" s="2" t="str">
        <x:v>심의승인</x:v>
      </x:c>
      <x:c r="J2593" s="2" t="str">
        <x:v>심의승인</x:v>
      </x:c>
      <x:c r="K2593" s="2" t="str">
        <x:f>IF(OR(J2593="심의승인",J2593="반려",J2593="반려완료",J2593="심의완료"),"종결 표시",IF(OR(J2593="기후부협의",J2593="문서재제출요청",J2593="보류",J2593="보완요청",J2593="보완완료",J2593="평가중",J2593="반려요청",J2593="평가필요",LEFT(J2593,5)="보완요청("),"미종결 표시","상태 확인 필요"))</x:f>
        <x:v>종결 표시</x:v>
      </x:c>
      <x:c r="L2593" s="2" t="str">
        <x:v>KECM</x:v>
      </x:c>
      <x:c r="M2593" s="2"/>
      <x:c r="N2593" s="8" t="n">
        <x:f>DATE(2026,10,15)-DATE(2021,10,27)</x:f>
        <x:v>1814</x:v>
      </x:c>
      <x:c r="O2593" s="2"/>
      <x:c r="P2593" s="2"/>
      <x:c r="Q2593" s="2" t="str">
        <x:v>산업전환_외부사업관리Tool_260707_이너젠 수정_LJY_261013.xlsx</x:v>
      </x:c>
      <x:c r="R2593" s="2" t="str">
        <x:v>국외인증</x:v>
      </x:c>
      <x:c r="S2593" s="8" t="n">
        <x:v>180</x:v>
      </x:c>
      <x:c r="T2593" s="2" t="str">
        <x:v>(11/2),(12/1)</x:v>
      </x:c>
      <x:c r="U2593" s="2" t="str">
        <x:v>2021 지정: (11/2),(12/1) / 2022 지정: (1/18)(5/18)</x:v>
      </x:c>
      <x:c r="V2593" s="2" t="str">
        <x:v>2022-07-14</x:v>
      </x:c>
      <x:c r="W2593" s="2" t="str"/>
      <x:c r="X2593" s="2" t="str">
        <x:v>종결 근거 보관</x:v>
      </x:c>
      <x:c r="Y2593" s="2" t="str">
        <x:v>ad210cd9ec132cfd447541c8984dc53d30aff0f4fb2dc92d254d49275cc55976</x:v>
      </x:c>
      <x:c r="Z2593" s="2" t="n">
        <x:f>SUBTOTAL(103,A2593)</x:f>
        <x:v>1</x:v>
      </x:c>
      <x:c r="AA2593" s="2" t="str">
        <x:f>IF(K2593&lt;&gt;"미종결 표시","대상 아님",IF(N2593="","신청일 확인",IF(NOT(ISNUMBER('종합 현황'!$H$5)),"관찰기준 확인",IF('종합 현황'!$H$5&lt;1,"관찰기준 확인",IF(N2593&gt;'종합 현황'!$H$5,"내부 관찰 대상","내부 관찰일 이하")))))</x:f>
        <x:v>대상 아님</x:v>
      </x:c>
      <x:c r="AB2593" s="2" t="str">
        <x:v>2021-10-27 13:23 - 신청
2021-11-24 10:58 - 보완요청
2021-11-26 11:55 - 신청
2021-12-29 10:00 - 문서재제출요청
2021-12-30 18:05 - 신청
2022-01-18 09:32 - 문서재제출요청
2022-01-18 11:19 - 신청
2022-02-23 15:57 - 문서재제출요청
2022-02-24 10:09 - 신청
2022-04-21 15:28 - 문서재제출요청
2022-04-22 16:05 - 신청
2022-07-05 17:55 - 검토승인
2022-07-14 16:35 - 심의승인</x:v>
      </x:c>
    </x:row>
    <x:row r="2594" ht="42" customHeight="1">
      <x:c r="A2594" s="2" t="str">
        <x:v>26d27a7ace801aad1bbe25b8</x:v>
      </x:c>
      <x:c r="B2594" s="2" t="str">
        <x:v>감축량 인증</x:v>
      </x:c>
      <x:c r="C2594" s="2" t="str">
        <x:v>국외</x:v>
      </x:c>
      <x:c r="D2594" s="7" t="str">
        <x:v>안전한 식수 공급을 위한 정수기 보급 사업 : CPA 58(한국 지원)</x:v>
      </x:c>
      <x:c r="E2594" s="2" t="str">
        <x:v>179</x:v>
      </x:c>
      <x:c r="F2594" s="2" t="str">
        <x:v>2021-10-27</x:v>
      </x:c>
      <x:c r="G2594" s="2" t="str">
        <x:v>2021</x:v>
      </x:c>
      <x:c r="H2594" s="2" t="str">
        <x:v>10</x:v>
      </x:c>
      <x:c r="I2594" s="2" t="str">
        <x:v>심의승인</x:v>
      </x:c>
      <x:c r="J2594" s="2" t="str">
        <x:v>심의승인</x:v>
      </x:c>
      <x:c r="K2594" s="2" t="str">
        <x:f>IF(OR(J2594="심의승인",J2594="반려",J2594="반려완료",J2594="심의완료"),"종결 표시",IF(OR(J2594="기후부협의",J2594="문서재제출요청",J2594="보류",J2594="보완요청",J2594="보완완료",J2594="평가중",J2594="반려요청",J2594="평가필요",LEFT(J2594,5)="보완요청("),"미종결 표시","상태 확인 필요"))</x:f>
        <x:v>종결 표시</x:v>
      </x:c>
      <x:c r="L2594" s="2" t="str">
        <x:v>KECM</x:v>
      </x:c>
      <x:c r="M2594" s="2"/>
      <x:c r="N2594" s="8" t="n">
        <x:f>DATE(2026,10,15)-DATE(2021,10,27)</x:f>
        <x:v>1814</x:v>
      </x:c>
      <x:c r="O2594" s="2"/>
      <x:c r="P2594" s="2"/>
      <x:c r="Q2594" s="2" t="str">
        <x:v>산업전환_외부사업관리Tool_260707_이너젠 수정_LJY_261013.xlsx</x:v>
      </x:c>
      <x:c r="R2594" s="2" t="str">
        <x:v>국외인증</x:v>
      </x:c>
      <x:c r="S2594" s="8" t="n">
        <x:v>181</x:v>
      </x:c>
      <x:c r="T2594" s="2" t="str">
        <x:v>(11/2),(12/1)</x:v>
      </x:c>
      <x:c r="U2594" s="2" t="str">
        <x:v>2021 지정: (11/2),(12/1) / 2022 지정: (1/18)(5/18)</x:v>
      </x:c>
      <x:c r="V2594" s="2" t="str">
        <x:v>2022-07-14</x:v>
      </x:c>
      <x:c r="W2594" s="2" t="str"/>
      <x:c r="X2594" s="2" t="str">
        <x:v>종결 근거 보관</x:v>
      </x:c>
      <x:c r="Y2594" s="2" t="str">
        <x:v>ad210cd9ec132cfd447541c8984dc53d30aff0f4fb2dc92d254d49275cc55976</x:v>
      </x:c>
      <x:c r="Z2594" s="2" t="n">
        <x:f>SUBTOTAL(103,A2594)</x:f>
        <x:v>1</x:v>
      </x:c>
      <x:c r="AA2594" s="2" t="str">
        <x:f>IF(K2594&lt;&gt;"미종결 표시","대상 아님",IF(N2594="","신청일 확인",IF(NOT(ISNUMBER('종합 현황'!$H$5)),"관찰기준 확인",IF('종합 현황'!$H$5&lt;1,"관찰기준 확인",IF(N2594&gt;'종합 현황'!$H$5,"내부 관찰 대상","내부 관찰일 이하")))))</x:f>
        <x:v>대상 아님</x:v>
      </x:c>
      <x:c r="AB2594" s="2" t="str">
        <x:v>2021-10-27 13:25 - 신청
2021-11-24 10:59 - 보완요청
2021-11-26 11:55 - 신청
2021-12-29 10:00 - 문서재제출요청
2021-12-30 18:05 - 신청
2022-01-18 09:32 - 문서재제출요청
2022-01-18 11:20 - 신청
2022-02-23 15:57 - 문서재제출요청
2022-02-24 10:10 - 신청
2022-04-21 15:28 - 문서재제출요청
2022-04-22 16:05 - 신청
2022-07-05 17:54 - 검토승인
2022-07-14 16:36 - 심의승인</x:v>
      </x:c>
    </x:row>
    <x:row r="2595" ht="42" customHeight="1">
      <x:c r="A2595" s="2" t="str">
        <x:v>3c8aa5e6bd60d322af52734e</x:v>
      </x:c>
      <x:c r="B2595" s="2" t="str">
        <x:v>감축량 인증</x:v>
      </x:c>
      <x:c r="C2595" s="2" t="str">
        <x:v>국외</x:v>
      </x:c>
      <x:c r="D2595" s="7" t="str">
        <x:v>안전한 식수 공급을 위한 정수기 보급 사업 : CPA 59(한국 지원)</x:v>
      </x:c>
      <x:c r="E2595" s="2" t="str">
        <x:v>180</x:v>
      </x:c>
      <x:c r="F2595" s="2" t="str">
        <x:v>2021-10-27</x:v>
      </x:c>
      <x:c r="G2595" s="2" t="str">
        <x:v>2021</x:v>
      </x:c>
      <x:c r="H2595" s="2" t="str">
        <x:v>10</x:v>
      </x:c>
      <x:c r="I2595" s="2" t="str">
        <x:v>심의승인</x:v>
      </x:c>
      <x:c r="J2595" s="2" t="str">
        <x:v>심의승인</x:v>
      </x:c>
      <x:c r="K2595" s="2" t="str">
        <x:f>IF(OR(J2595="심의승인",J2595="반려",J2595="반려완료",J2595="심의완료"),"종결 표시",IF(OR(J2595="기후부협의",J2595="문서재제출요청",J2595="보류",J2595="보완요청",J2595="보완완료",J2595="평가중",J2595="반려요청",J2595="평가필요",LEFT(J2595,5)="보완요청("),"미종결 표시","상태 확인 필요"))</x:f>
        <x:v>종결 표시</x:v>
      </x:c>
      <x:c r="L2595" s="2" t="str">
        <x:v>KECM</x:v>
      </x:c>
      <x:c r="M2595" s="2"/>
      <x:c r="N2595" s="8" t="n">
        <x:f>DATE(2026,10,15)-DATE(2021,10,27)</x:f>
        <x:v>1814</x:v>
      </x:c>
      <x:c r="O2595" s="2"/>
      <x:c r="P2595" s="2"/>
      <x:c r="Q2595" s="2" t="str">
        <x:v>산업전환_외부사업관리Tool_260707_이너젠 수정_LJY_261013.xlsx</x:v>
      </x:c>
      <x:c r="R2595" s="2" t="str">
        <x:v>국외인증</x:v>
      </x:c>
      <x:c r="S2595" s="8" t="n">
        <x:v>182</x:v>
      </x:c>
      <x:c r="T2595" s="2" t="str">
        <x:v>(11/2),(12/1)</x:v>
      </x:c>
      <x:c r="U2595" s="2" t="str">
        <x:v>2021 지정: (11/2),(12/1) / 2022 지정: (1/18)(5/18)</x:v>
      </x:c>
      <x:c r="V2595" s="2" t="str">
        <x:v>2022-07-14</x:v>
      </x:c>
      <x:c r="W2595" s="2" t="str"/>
      <x:c r="X2595" s="2" t="str">
        <x:v>종결 근거 보관</x:v>
      </x:c>
      <x:c r="Y2595" s="2" t="str">
        <x:v>ad210cd9ec132cfd447541c8984dc53d30aff0f4fb2dc92d254d49275cc55976</x:v>
      </x:c>
      <x:c r="Z2595" s="2" t="n">
        <x:f>SUBTOTAL(103,A2595)</x:f>
        <x:v>1</x:v>
      </x:c>
      <x:c r="AA2595" s="2" t="str">
        <x:f>IF(K2595&lt;&gt;"미종결 표시","대상 아님",IF(N2595="","신청일 확인",IF(NOT(ISNUMBER('종합 현황'!$H$5)),"관찰기준 확인",IF('종합 현황'!$H$5&lt;1,"관찰기준 확인",IF(N2595&gt;'종합 현황'!$H$5,"내부 관찰 대상","내부 관찰일 이하")))))</x:f>
        <x:v>대상 아님</x:v>
      </x:c>
      <x:c r="AB2595" s="2" t="str">
        <x:v>2021-10-27 13:27 - 신청
2021-11-24 11:00 - 보완요청
2021-11-26 11:55 - 신청
2021-12-29 10:01 - 문서재제출요청
2021-12-30 18:05 - 신청
2022-01-18 09:33 - 문서재제출요청
2022-01-18 11:20 - 신청
2022-02-23 15:58 - 문서재제출요청
2022-02-24 10:10 - 신청
2022-04-21 15:29 - 문서재제출요청
2022-04-22 16:05 - 신청
2022-07-05 17:53 - 검토승인
2022-07-14 16:37 - 심의승인</x:v>
      </x:c>
    </x:row>
    <x:row r="2596" ht="42" customHeight="1">
      <x:c r="A2596" s="2" t="str">
        <x:v>ec3a5774d0a12751b60a5415</x:v>
      </x:c>
      <x:c r="B2596" s="2" t="str">
        <x:v>감축량 인증</x:v>
      </x:c>
      <x:c r="C2596" s="2" t="str">
        <x:v>국외</x:v>
      </x:c>
      <x:c r="D2596" s="7" t="str">
        <x:v>안전한 식수 공급을 위한 정수기 보급 사업 : CPA 60(한국 지원)</x:v>
      </x:c>
      <x:c r="E2596" s="2" t="str">
        <x:v>181</x:v>
      </x:c>
      <x:c r="F2596" s="2" t="str">
        <x:v>2021-10-27</x:v>
      </x:c>
      <x:c r="G2596" s="2" t="str">
        <x:v>2021</x:v>
      </x:c>
      <x:c r="H2596" s="2" t="str">
        <x:v>10</x:v>
      </x:c>
      <x:c r="I2596" s="2" t="str">
        <x:v>심의승인</x:v>
      </x:c>
      <x:c r="J2596" s="2" t="str">
        <x:v>심의승인</x:v>
      </x:c>
      <x:c r="K2596" s="2" t="str">
        <x:f>IF(OR(J2596="심의승인",J2596="반려",J2596="반려완료",J2596="심의완료"),"종결 표시",IF(OR(J2596="기후부협의",J2596="문서재제출요청",J2596="보류",J2596="보완요청",J2596="보완완료",J2596="평가중",J2596="반려요청",J2596="평가필요",LEFT(J2596,5)="보완요청("),"미종결 표시","상태 확인 필요"))</x:f>
        <x:v>종결 표시</x:v>
      </x:c>
      <x:c r="L2596" s="2" t="str">
        <x:v>KECM</x:v>
      </x:c>
      <x:c r="M2596" s="2"/>
      <x:c r="N2596" s="8" t="n">
        <x:f>DATE(2026,10,15)-DATE(2021,10,27)</x:f>
        <x:v>1814</x:v>
      </x:c>
      <x:c r="O2596" s="2"/>
      <x:c r="P2596" s="2"/>
      <x:c r="Q2596" s="2" t="str">
        <x:v>산업전환_외부사업관리Tool_260707_이너젠 수정_LJY_261013.xlsx</x:v>
      </x:c>
      <x:c r="R2596" s="2" t="str">
        <x:v>국외인증</x:v>
      </x:c>
      <x:c r="S2596" s="8" t="n">
        <x:v>183</x:v>
      </x:c>
      <x:c r="T2596" s="2" t="str">
        <x:v>(11/2),(12/1)</x:v>
      </x:c>
      <x:c r="U2596" s="2" t="str">
        <x:v>2021 지정: (11/2),(12/1) / 2022 지정: (1/18)(5/18)</x:v>
      </x:c>
      <x:c r="V2596" s="2" t="str">
        <x:v>2022-07-14</x:v>
      </x:c>
      <x:c r="W2596" s="2" t="str"/>
      <x:c r="X2596" s="2" t="str">
        <x:v>종결 근거 보관</x:v>
      </x:c>
      <x:c r="Y2596" s="2" t="str">
        <x:v>ad210cd9ec132cfd447541c8984dc53d30aff0f4fb2dc92d254d49275cc55976</x:v>
      </x:c>
      <x:c r="Z2596" s="2" t="n">
        <x:f>SUBTOTAL(103,A2596)</x:f>
        <x:v>1</x:v>
      </x:c>
      <x:c r="AA2596" s="2" t="str">
        <x:f>IF(K2596&lt;&gt;"미종결 표시","대상 아님",IF(N2596="","신청일 확인",IF(NOT(ISNUMBER('종합 현황'!$H$5)),"관찰기준 확인",IF('종합 현황'!$H$5&lt;1,"관찰기준 확인",IF(N2596&gt;'종합 현황'!$H$5,"내부 관찰 대상","내부 관찰일 이하")))))</x:f>
        <x:v>대상 아님</x:v>
      </x:c>
      <x:c r="AB2596" s="2" t="str">
        <x:v>2021-10-27 13:29 - 신청
2021-11-24 11:00 - 보완요청
2021-11-26 11:55 - 신청
2021-12-29 10:01 - 문서재제출요청
2021-12-30 18:05 - 신청
2022-01-18 09:33 - 문서재제출요청
2022-01-18 11:25 - 신청
2022-02-23 15:58 - 문서재제출요청
2022-02-24 10:13 - 신청
2022-04-21 15:30 - 문서재제출요청
2022-04-22 16:05 - 신청
2022-07-05 17:53 - 검토승인
2022-07-14 17:06 - 심의승인</x:v>
      </x:c>
    </x:row>
    <x:row r="2597" ht="42" customHeight="1">
      <x:c r="A2597" s="2" t="str">
        <x:v>77c3e247c624cbc94c7c77ce</x:v>
      </x:c>
      <x:c r="B2597" s="2" t="str">
        <x:v>감축량 인증</x:v>
      </x:c>
      <x:c r="C2597" s="2" t="str">
        <x:v>국외</x:v>
      </x:c>
      <x:c r="D2597" s="7" t="str">
        <x:v>안전한 식수 공급을 위한 정수기 보급 사업 : CPA 61(한국 지원)</x:v>
      </x:c>
      <x:c r="E2597" s="2" t="str">
        <x:v>182</x:v>
      </x:c>
      <x:c r="F2597" s="2" t="str">
        <x:v>2021-10-27</x:v>
      </x:c>
      <x:c r="G2597" s="2" t="str">
        <x:v>2021</x:v>
      </x:c>
      <x:c r="H2597" s="2" t="str">
        <x:v>10</x:v>
      </x:c>
      <x:c r="I2597" s="2" t="str">
        <x:v>심의승인</x:v>
      </x:c>
      <x:c r="J2597" s="2" t="str">
        <x:v>심의승인</x:v>
      </x:c>
      <x:c r="K2597" s="2" t="str">
        <x:f>IF(OR(J2597="심의승인",J2597="반려",J2597="반려완료",J2597="심의완료"),"종결 표시",IF(OR(J2597="기후부협의",J2597="문서재제출요청",J2597="보류",J2597="보완요청",J2597="보완완료",J2597="평가중",J2597="반려요청",J2597="평가필요",LEFT(J2597,5)="보완요청("),"미종결 표시","상태 확인 필요"))</x:f>
        <x:v>종결 표시</x:v>
      </x:c>
      <x:c r="L2597" s="2" t="str">
        <x:v>KECM</x:v>
      </x:c>
      <x:c r="M2597" s="2"/>
      <x:c r="N2597" s="8" t="n">
        <x:f>DATE(2026,10,15)-DATE(2021,10,27)</x:f>
        <x:v>1814</x:v>
      </x:c>
      <x:c r="O2597" s="2"/>
      <x:c r="P2597" s="2"/>
      <x:c r="Q2597" s="2" t="str">
        <x:v>산업전환_외부사업관리Tool_260707_이너젠 수정_LJY_261013.xlsx</x:v>
      </x:c>
      <x:c r="R2597" s="2" t="str">
        <x:v>국외인증</x:v>
      </x:c>
      <x:c r="S2597" s="8" t="n">
        <x:v>184</x:v>
      </x:c>
      <x:c r="T2597" s="2" t="str">
        <x:v>(11/2),(12/1)</x:v>
      </x:c>
      <x:c r="U2597" s="2" t="str">
        <x:v>2021 지정: (11/2),(12/1) / 2022 지정: (1/18)(5/18)</x:v>
      </x:c>
      <x:c r="V2597" s="2" t="str">
        <x:v>2022-07-14</x:v>
      </x:c>
      <x:c r="W2597" s="2" t="str"/>
      <x:c r="X2597" s="2" t="str">
        <x:v>종결 근거 보관</x:v>
      </x:c>
      <x:c r="Y2597" s="2" t="str">
        <x:v>ad210cd9ec132cfd447541c8984dc53d30aff0f4fb2dc92d254d49275cc55976</x:v>
      </x:c>
      <x:c r="Z2597" s="2" t="n">
        <x:f>SUBTOTAL(103,A2597)</x:f>
        <x:v>1</x:v>
      </x:c>
      <x:c r="AA2597" s="2" t="str">
        <x:f>IF(K2597&lt;&gt;"미종결 표시","대상 아님",IF(N2597="","신청일 확인",IF(NOT(ISNUMBER('종합 현황'!$H$5)),"관찰기준 확인",IF('종합 현황'!$H$5&lt;1,"관찰기준 확인",IF(N2597&gt;'종합 현황'!$H$5,"내부 관찰 대상","내부 관찰일 이하")))))</x:f>
        <x:v>대상 아님</x:v>
      </x:c>
      <x:c r="AB2597" s="2" t="str">
        <x:v>2021-10-27 13:31 - 신청
2021-11-24 11:02 - 보완요청
2021-11-26 11:56 - 신청
2021-12-29 10:01 - 문서재제출요청
2021-12-30 18:06 - 신청
2022-01-18 09:33 - 문서재제출요청
2022-01-18 11:26 - 신청
2022-02-23 15:58 - 문서재제출요청
2022-02-24 10:16 - 신청
2022-04-21 15:30 - 문서재제출요청
2022-04-22 16:05 - 신청
2022-07-05 17:53 - 검토승인
2022-07-14 17:07 - 심의승인</x:v>
      </x:c>
    </x:row>
    <x:row r="2598" ht="42" customHeight="1">
      <x:c r="A2598" s="2" t="str">
        <x:v>2e9c8c53285f537dd3502071</x:v>
      </x:c>
      <x:c r="B2598" s="2" t="str">
        <x:v>감축량 인증</x:v>
      </x:c>
      <x:c r="C2598" s="2" t="str">
        <x:v>국외</x:v>
      </x:c>
      <x:c r="D2598" s="7" t="str">
        <x:v>안전한 식수 공급을 위한 정수기 보급 사업 : CPA 62(한국 지원)</x:v>
      </x:c>
      <x:c r="E2598" s="2" t="str">
        <x:v>183</x:v>
      </x:c>
      <x:c r="F2598" s="2" t="str">
        <x:v>2021-10-27</x:v>
      </x:c>
      <x:c r="G2598" s="2" t="str">
        <x:v>2021</x:v>
      </x:c>
      <x:c r="H2598" s="2" t="str">
        <x:v>10</x:v>
      </x:c>
      <x:c r="I2598" s="2" t="str">
        <x:v>심의승인</x:v>
      </x:c>
      <x:c r="J2598" s="2" t="str">
        <x:v>심의승인</x:v>
      </x:c>
      <x:c r="K2598" s="2" t="str">
        <x:f>IF(OR(J2598="심의승인",J2598="반려",J2598="반려완료",J2598="심의완료"),"종결 표시",IF(OR(J2598="기후부협의",J2598="문서재제출요청",J2598="보류",J2598="보완요청",J2598="보완완료",J2598="평가중",J2598="반려요청",J2598="평가필요",LEFT(J2598,5)="보완요청("),"미종결 표시","상태 확인 필요"))</x:f>
        <x:v>종결 표시</x:v>
      </x:c>
      <x:c r="L2598" s="2" t="str">
        <x:v>KECM</x:v>
      </x:c>
      <x:c r="M2598" s="2"/>
      <x:c r="N2598" s="8" t="n">
        <x:f>DATE(2026,10,15)-DATE(2021,10,27)</x:f>
        <x:v>1814</x:v>
      </x:c>
      <x:c r="O2598" s="2"/>
      <x:c r="P2598" s="2"/>
      <x:c r="Q2598" s="2" t="str">
        <x:v>산업전환_외부사업관리Tool_260707_이너젠 수정_LJY_261013.xlsx</x:v>
      </x:c>
      <x:c r="R2598" s="2" t="str">
        <x:v>국외인증</x:v>
      </x:c>
      <x:c r="S2598" s="8" t="n">
        <x:v>185</x:v>
      </x:c>
      <x:c r="T2598" s="2" t="str">
        <x:v>(11/2),(12/1)</x:v>
      </x:c>
      <x:c r="U2598" s="2" t="str">
        <x:v>2021 지정: (11/2),(12/1) / 2022 지정: (1/18)(5/18)</x:v>
      </x:c>
      <x:c r="V2598" s="2" t="str">
        <x:v>2022-07-14</x:v>
      </x:c>
      <x:c r="W2598" s="2" t="str"/>
      <x:c r="X2598" s="2" t="str">
        <x:v>종결 근거 보관</x:v>
      </x:c>
      <x:c r="Y2598" s="2" t="str">
        <x:v>ad210cd9ec132cfd447541c8984dc53d30aff0f4fb2dc92d254d49275cc55976</x:v>
      </x:c>
      <x:c r="Z2598" s="2" t="n">
        <x:f>SUBTOTAL(103,A2598)</x:f>
        <x:v>1</x:v>
      </x:c>
      <x:c r="AA2598" s="2" t="str">
        <x:f>IF(K2598&lt;&gt;"미종결 표시","대상 아님",IF(N2598="","신청일 확인",IF(NOT(ISNUMBER('종합 현황'!$H$5)),"관찰기준 확인",IF('종합 현황'!$H$5&lt;1,"관찰기준 확인",IF(N2598&gt;'종합 현황'!$H$5,"내부 관찰 대상","내부 관찰일 이하")))))</x:f>
        <x:v>대상 아님</x:v>
      </x:c>
      <x:c r="AB2598" s="2" t="str">
        <x:v>2021-10-27 13:33 - 신청
2021-11-24 11:03 - 보완요청
2021-11-26 11:56 - 신청
2021-12-29 10:01 - 문서재제출요청
2021-12-30 18:06 - 신청
2022-01-18 09:33 - 문서재제출요청
2022-01-18 11:27 - 신청
2022-02-23 15:59 - 문서재제출요청
2022-02-24 10:17 - 신청
2022-04-21 15:30 - 문서재제출요청
2022-04-22 16:05 - 신청
2022-07-05 17:52 - 검토승인
2022-07-14 17:08 - 심의승인</x:v>
      </x:c>
    </x:row>
    <x:row r="2599" ht="42" customHeight="1">
      <x:c r="A2599" s="2" t="str">
        <x:v>822eee732d6ab21aa5242d5b</x:v>
      </x:c>
      <x:c r="B2599" s="2" t="str">
        <x:v>감축량 인증</x:v>
      </x:c>
      <x:c r="C2599" s="2" t="str">
        <x:v>국외</x:v>
      </x:c>
      <x:c r="D2599" s="7" t="str">
        <x:v>안전한 식수 공급을 위한 정수기 보급 사업 : CPA 63(한국 지원)</x:v>
      </x:c>
      <x:c r="E2599" s="2" t="str">
        <x:v>184</x:v>
      </x:c>
      <x:c r="F2599" s="2" t="str">
        <x:v>2021-10-27</x:v>
      </x:c>
      <x:c r="G2599" s="2" t="str">
        <x:v>2021</x:v>
      </x:c>
      <x:c r="H2599" s="2" t="str">
        <x:v>10</x:v>
      </x:c>
      <x:c r="I2599" s="2" t="str">
        <x:v>심의승인</x:v>
      </x:c>
      <x:c r="J2599" s="2" t="str">
        <x:v>심의승인</x:v>
      </x:c>
      <x:c r="K2599" s="2" t="str">
        <x:f>IF(OR(J2599="심의승인",J2599="반려",J2599="반려완료",J2599="심의완료"),"종결 표시",IF(OR(J2599="기후부협의",J2599="문서재제출요청",J2599="보류",J2599="보완요청",J2599="보완완료",J2599="평가중",J2599="반려요청",J2599="평가필요",LEFT(J2599,5)="보완요청("),"미종결 표시","상태 확인 필요"))</x:f>
        <x:v>종결 표시</x:v>
      </x:c>
      <x:c r="L2599" s="2" t="str">
        <x:v>KECM</x:v>
      </x:c>
      <x:c r="M2599" s="2"/>
      <x:c r="N2599" s="8" t="n">
        <x:f>DATE(2026,10,15)-DATE(2021,10,27)</x:f>
        <x:v>1814</x:v>
      </x:c>
      <x:c r="O2599" s="2"/>
      <x:c r="P2599" s="2"/>
      <x:c r="Q2599" s="2" t="str">
        <x:v>산업전환_외부사업관리Tool_260707_이너젠 수정_LJY_261013.xlsx</x:v>
      </x:c>
      <x:c r="R2599" s="2" t="str">
        <x:v>국외인증</x:v>
      </x:c>
      <x:c r="S2599" s="8" t="n">
        <x:v>186</x:v>
      </x:c>
      <x:c r="T2599" s="2" t="str">
        <x:v>(11/2),(12/1)</x:v>
      </x:c>
      <x:c r="U2599" s="2" t="str">
        <x:v>2021 지정: (11/2),(12/1) / 2022 지정: (1/18)(5/18)</x:v>
      </x:c>
      <x:c r="V2599" s="2" t="str">
        <x:v>2022-07-14</x:v>
      </x:c>
      <x:c r="W2599" s="2" t="str"/>
      <x:c r="X2599" s="2" t="str">
        <x:v>종결 근거 보관</x:v>
      </x:c>
      <x:c r="Y2599" s="2" t="str">
        <x:v>ad210cd9ec132cfd447541c8984dc53d30aff0f4fb2dc92d254d49275cc55976</x:v>
      </x:c>
      <x:c r="Z2599" s="2" t="n">
        <x:f>SUBTOTAL(103,A2599)</x:f>
        <x:v>1</x:v>
      </x:c>
      <x:c r="AA2599" s="2" t="str">
        <x:f>IF(K2599&lt;&gt;"미종결 표시","대상 아님",IF(N2599="","신청일 확인",IF(NOT(ISNUMBER('종합 현황'!$H$5)),"관찰기준 확인",IF('종합 현황'!$H$5&lt;1,"관찰기준 확인",IF(N2599&gt;'종합 현황'!$H$5,"내부 관찰 대상","내부 관찰일 이하")))))</x:f>
        <x:v>대상 아님</x:v>
      </x:c>
      <x:c r="AB2599" s="2" t="str">
        <x:v>2021-10-27 13:35 - 신청
2021-11-24 11:05 - 보완요청
2021-11-26 11:56 - 신청
2021-12-29 10:02 - 문서재제출요청
2021-12-30 18:06 - 신청
2022-01-18 09:34 - 문서재제출요청
2022-01-18 11:27 - 신청
2022-02-23 15:59 - 문서재제출요청
2022-02-24 10:17 - 신청
2022-04-21 15:31 - 문서재제출요청
2022-04-22 16:05 - 신청
2022-07-05 17:52 - 검토승인
2022-07-14 17:09 - 심의승인</x:v>
      </x:c>
    </x:row>
    <x:row r="2600" ht="42" customHeight="1">
      <x:c r="A2600" s="2" t="str">
        <x:v>63e8fdaed3af3ee23fe86c8e</x:v>
      </x:c>
      <x:c r="B2600" s="2" t="str">
        <x:v>감축량 인증</x:v>
      </x:c>
      <x:c r="C2600" s="2" t="str">
        <x:v>국외</x:v>
      </x:c>
      <x:c r="D2600" s="7" t="str">
        <x:v>안전한 식수 공급을 위한 정수기 보급 사업 : CPA 64(한국 지원)</x:v>
      </x:c>
      <x:c r="E2600" s="2" t="str">
        <x:v>185</x:v>
      </x:c>
      <x:c r="F2600" s="2" t="str">
        <x:v>2021-10-27</x:v>
      </x:c>
      <x:c r="G2600" s="2" t="str">
        <x:v>2021</x:v>
      </x:c>
      <x:c r="H2600" s="2" t="str">
        <x:v>10</x:v>
      </x:c>
      <x:c r="I2600" s="2" t="str">
        <x:v>심의승인</x:v>
      </x:c>
      <x:c r="J2600" s="2" t="str">
        <x:v>심의승인</x:v>
      </x:c>
      <x:c r="K2600" s="2" t="str">
        <x:f>IF(OR(J2600="심의승인",J2600="반려",J2600="반려완료",J2600="심의완료"),"종결 표시",IF(OR(J2600="기후부협의",J2600="문서재제출요청",J2600="보류",J2600="보완요청",J2600="보완완료",J2600="평가중",J2600="반려요청",J2600="평가필요",LEFT(J2600,5)="보완요청("),"미종결 표시","상태 확인 필요"))</x:f>
        <x:v>종결 표시</x:v>
      </x:c>
      <x:c r="L2600" s="2" t="str">
        <x:v>KECM</x:v>
      </x:c>
      <x:c r="M2600" s="2"/>
      <x:c r="N2600" s="8" t="n">
        <x:f>DATE(2026,10,15)-DATE(2021,10,27)</x:f>
        <x:v>1814</x:v>
      </x:c>
      <x:c r="O2600" s="2"/>
      <x:c r="P2600" s="2"/>
      <x:c r="Q2600" s="2" t="str">
        <x:v>산업전환_외부사업관리Tool_260707_이너젠 수정_LJY_261013.xlsx</x:v>
      </x:c>
      <x:c r="R2600" s="2" t="str">
        <x:v>국외인증</x:v>
      </x:c>
      <x:c r="S2600" s="8" t="n">
        <x:v>187</x:v>
      </x:c>
      <x:c r="T2600" s="2" t="str">
        <x:v>(11/2),(12/1)</x:v>
      </x:c>
      <x:c r="U2600" s="2" t="str">
        <x:v>2021 지정: (11/2),(12/1) / 2022 지정: (1/18)(5/18)</x:v>
      </x:c>
      <x:c r="V2600" s="2" t="str">
        <x:v>2022-07-14</x:v>
      </x:c>
      <x:c r="W2600" s="2" t="str"/>
      <x:c r="X2600" s="2" t="str">
        <x:v>종결 근거 보관</x:v>
      </x:c>
      <x:c r="Y2600" s="2" t="str">
        <x:v>ad210cd9ec132cfd447541c8984dc53d30aff0f4fb2dc92d254d49275cc55976</x:v>
      </x:c>
      <x:c r="Z2600" s="2" t="n">
        <x:f>SUBTOTAL(103,A2600)</x:f>
        <x:v>1</x:v>
      </x:c>
      <x:c r="AA2600" s="2" t="str">
        <x:f>IF(K2600&lt;&gt;"미종결 표시","대상 아님",IF(N2600="","신청일 확인",IF(NOT(ISNUMBER('종합 현황'!$H$5)),"관찰기준 확인",IF('종합 현황'!$H$5&lt;1,"관찰기준 확인",IF(N2600&gt;'종합 현황'!$H$5,"내부 관찰 대상","내부 관찰일 이하")))))</x:f>
        <x:v>대상 아님</x:v>
      </x:c>
      <x:c r="AB2600" s="2" t="str">
        <x:v>2021-10-27 13:37 - 신청
2021-11-24 11:05 - 보완요청
2021-11-26 11:56 - 신청
2021-12-29 10:02 - 문서재제출요청
2021-12-30 18:07 - 신청
2022-01-18 09:34 - 문서재제출요청
2022-01-18 11:28 - 신청
2022-02-23 15:59 - 문서재제출요청
2022-02-24 10:18 - 신청
2022-04-21 15:31 - 문서재제출요청
2022-04-22 16:06 - 신청
2022-07-05 17:52 - 검토승인
2022-07-14 17:10 - 심의승인</x:v>
      </x:c>
    </x:row>
    <x:row r="2601" ht="42" customHeight="1">
      <x:c r="A2601" s="2" t="str">
        <x:v>fcc6b17b0767795731f53ef9</x:v>
      </x:c>
      <x:c r="B2601" s="2" t="str">
        <x:v>감축량 인증</x:v>
      </x:c>
      <x:c r="C2601" s="2" t="str">
        <x:v>국외</x:v>
      </x:c>
      <x:c r="D2601" s="7" t="str">
        <x:v>안전한 식수 공급을 위한 정수기 보급 사업 : CPA 65(한국 지원)</x:v>
      </x:c>
      <x:c r="E2601" s="2" t="str">
        <x:v>186</x:v>
      </x:c>
      <x:c r="F2601" s="2" t="str">
        <x:v>2021-10-27</x:v>
      </x:c>
      <x:c r="G2601" s="2" t="str">
        <x:v>2021</x:v>
      </x:c>
      <x:c r="H2601" s="2" t="str">
        <x:v>10</x:v>
      </x:c>
      <x:c r="I2601" s="2" t="str">
        <x:v>심의승인</x:v>
      </x:c>
      <x:c r="J2601" s="2" t="str">
        <x:v>심의승인</x:v>
      </x:c>
      <x:c r="K2601" s="2" t="str">
        <x:f>IF(OR(J2601="심의승인",J2601="반려",J2601="반려완료",J2601="심의완료"),"종결 표시",IF(OR(J2601="기후부협의",J2601="문서재제출요청",J2601="보류",J2601="보완요청",J2601="보완완료",J2601="평가중",J2601="반려요청",J2601="평가필요",LEFT(J2601,5)="보완요청("),"미종결 표시","상태 확인 필요"))</x:f>
        <x:v>종결 표시</x:v>
      </x:c>
      <x:c r="L2601" s="2" t="str">
        <x:v>KECM</x:v>
      </x:c>
      <x:c r="M2601" s="2"/>
      <x:c r="N2601" s="8" t="n">
        <x:f>DATE(2026,10,15)-DATE(2021,10,27)</x:f>
        <x:v>1814</x:v>
      </x:c>
      <x:c r="O2601" s="2"/>
      <x:c r="P2601" s="2"/>
      <x:c r="Q2601" s="2" t="str">
        <x:v>산업전환_외부사업관리Tool_260707_이너젠 수정_LJY_261013.xlsx</x:v>
      </x:c>
      <x:c r="R2601" s="2" t="str">
        <x:v>국외인증</x:v>
      </x:c>
      <x:c r="S2601" s="8" t="n">
        <x:v>188</x:v>
      </x:c>
      <x:c r="T2601" s="2" t="str">
        <x:v>(11/2),(12/1)</x:v>
      </x:c>
      <x:c r="U2601" s="2" t="str">
        <x:v>2021 지정: (11/2),(12/1) / 2022 지정: (1/18)(5/18)</x:v>
      </x:c>
      <x:c r="V2601" s="2" t="str">
        <x:v>2022-07-14</x:v>
      </x:c>
      <x:c r="W2601" s="2" t="str"/>
      <x:c r="X2601" s="2" t="str">
        <x:v>종결 근거 보관</x:v>
      </x:c>
      <x:c r="Y2601" s="2" t="str">
        <x:v>ad210cd9ec132cfd447541c8984dc53d30aff0f4fb2dc92d254d49275cc55976</x:v>
      </x:c>
      <x:c r="Z2601" s="2" t="n">
        <x:f>SUBTOTAL(103,A2601)</x:f>
        <x:v>1</x:v>
      </x:c>
      <x:c r="AA2601" s="2" t="str">
        <x:f>IF(K2601&lt;&gt;"미종결 표시","대상 아님",IF(N2601="","신청일 확인",IF(NOT(ISNUMBER('종합 현황'!$H$5)),"관찰기준 확인",IF('종합 현황'!$H$5&lt;1,"관찰기준 확인",IF(N2601&gt;'종합 현황'!$H$5,"내부 관찰 대상","내부 관찰일 이하")))))</x:f>
        <x:v>대상 아님</x:v>
      </x:c>
      <x:c r="AB2601" s="2" t="str">
        <x:v>2021-10-27 13:39 - 신청
2021-11-24 11:06 - 보완요청
2021-11-26 11:56 - 신청
2021-12-29 10:02 - 문서재제출요청
2021-12-30 18:07 - 신청
2022-01-18 09:34 - 문서재제출요청
2022-01-18 11:29 - 신청
2022-02-23 16:00 - 문서재제출요청
2022-02-24 10:19 - 신청
2022-04-21 15:32 - 문서재제출요청
2022-04-22 16:06 - 신청
2022-07-05 17:51 - 검토승인
2022-07-14 17:14 - 심의승인</x:v>
      </x:c>
    </x:row>
    <x:row r="2602" ht="42" customHeight="1">
      <x:c r="A2602" s="2" t="str">
        <x:v>65bfa3cbc1dbf8cdfc2c6273</x:v>
      </x:c>
      <x:c r="B2602" s="2" t="str">
        <x:v>감축량 인증</x:v>
      </x:c>
      <x:c r="C2602" s="2" t="str">
        <x:v>국외</x:v>
      </x:c>
      <x:c r="D2602" s="7" t="str">
        <x:v>안전한 식수 공급을 위한 정수기 보급 사업 : CPA 66(한국 지원)</x:v>
      </x:c>
      <x:c r="E2602" s="2" t="str">
        <x:v>187</x:v>
      </x:c>
      <x:c r="F2602" s="2" t="str">
        <x:v>2021-10-27</x:v>
      </x:c>
      <x:c r="G2602" s="2" t="str">
        <x:v>2021</x:v>
      </x:c>
      <x:c r="H2602" s="2" t="str">
        <x:v>10</x:v>
      </x:c>
      <x:c r="I2602" s="2" t="str">
        <x:v>심의승인</x:v>
      </x:c>
      <x:c r="J2602" s="2" t="str">
        <x:v>심의승인</x:v>
      </x:c>
      <x:c r="K2602" s="2" t="str">
        <x:f>IF(OR(J2602="심의승인",J2602="반려",J2602="반려완료",J2602="심의완료"),"종결 표시",IF(OR(J2602="기후부협의",J2602="문서재제출요청",J2602="보류",J2602="보완요청",J2602="보완완료",J2602="평가중",J2602="반려요청",J2602="평가필요",LEFT(J2602,5)="보완요청("),"미종결 표시","상태 확인 필요"))</x:f>
        <x:v>종결 표시</x:v>
      </x:c>
      <x:c r="L2602" s="2" t="str">
        <x:v>KECM</x:v>
      </x:c>
      <x:c r="M2602" s="2"/>
      <x:c r="N2602" s="8" t="n">
        <x:f>DATE(2026,10,15)-DATE(2021,10,27)</x:f>
        <x:v>1814</x:v>
      </x:c>
      <x:c r="O2602" s="2"/>
      <x:c r="P2602" s="2"/>
      <x:c r="Q2602" s="2" t="str">
        <x:v>산업전환_외부사업관리Tool_260707_이너젠 수정_LJY_261013.xlsx</x:v>
      </x:c>
      <x:c r="R2602" s="2" t="str">
        <x:v>국외인증</x:v>
      </x:c>
      <x:c r="S2602" s="8" t="n">
        <x:v>189</x:v>
      </x:c>
      <x:c r="T2602" s="2" t="str">
        <x:v>(11/2),(12/1)</x:v>
      </x:c>
      <x:c r="U2602" s="2" t="str">
        <x:v>2021 지정: (11/2),(12/1) / 2022 지정: (1/18)(5/18)</x:v>
      </x:c>
      <x:c r="V2602" s="2" t="str">
        <x:v>2022-07-14</x:v>
      </x:c>
      <x:c r="W2602" s="2" t="str"/>
      <x:c r="X2602" s="2" t="str">
        <x:v>종결 근거 보관</x:v>
      </x:c>
      <x:c r="Y2602" s="2" t="str">
        <x:v>ad210cd9ec132cfd447541c8984dc53d30aff0f4fb2dc92d254d49275cc55976</x:v>
      </x:c>
      <x:c r="Z2602" s="2" t="n">
        <x:f>SUBTOTAL(103,A2602)</x:f>
        <x:v>1</x:v>
      </x:c>
      <x:c r="AA2602" s="2" t="str">
        <x:f>IF(K2602&lt;&gt;"미종결 표시","대상 아님",IF(N2602="","신청일 확인",IF(NOT(ISNUMBER('종합 현황'!$H$5)),"관찰기준 확인",IF('종합 현황'!$H$5&lt;1,"관찰기준 확인",IF(N2602&gt;'종합 현황'!$H$5,"내부 관찰 대상","내부 관찰일 이하")))))</x:f>
        <x:v>대상 아님</x:v>
      </x:c>
      <x:c r="AB2602" s="2" t="str">
        <x:v>2021-10-27 13:41 - 신청
2021-11-24 11:07 - 보완요청
2021-11-26 11:57 - 신청
2021-12-29 10:03 - 문서재제출요청
2021-12-30 18:07 - 신청
2022-01-18 09:35 - 문서재제출요청
2022-01-18 11:29 - 신청
2022-02-23 16:00 - 문서재제출요청
2022-02-24 10:20 - 신청
2022-04-21 15:33 - 문서재제출요청
2022-04-22 16:06 - 신청
2022-07-05 17:51 - 검토승인
2022-07-14 17:12 - 심의승인</x:v>
      </x:c>
    </x:row>
    <x:row r="2603" ht="42" customHeight="1">
      <x:c r="A2603" s="2" t="str">
        <x:v>88015c69661a3e15676a4bd1</x:v>
      </x:c>
      <x:c r="B2603" s="2" t="str">
        <x:v>감축량 인증</x:v>
      </x:c>
      <x:c r="C2603" s="2" t="str">
        <x:v>국외</x:v>
      </x:c>
      <x:c r="D2603" s="7" t="str">
        <x:v>안전한 식수 공급을 위한 정수기 보급 사업 : CPA 67(한국 지원)</x:v>
      </x:c>
      <x:c r="E2603" s="2" t="str">
        <x:v>188</x:v>
      </x:c>
      <x:c r="F2603" s="2" t="str">
        <x:v>2021-10-27</x:v>
      </x:c>
      <x:c r="G2603" s="2" t="str">
        <x:v>2021</x:v>
      </x:c>
      <x:c r="H2603" s="2" t="str">
        <x:v>10</x:v>
      </x:c>
      <x:c r="I2603" s="2" t="str">
        <x:v>심의승인</x:v>
      </x:c>
      <x:c r="J2603" s="2" t="str">
        <x:v>심의승인</x:v>
      </x:c>
      <x:c r="K2603" s="2" t="str">
        <x:f>IF(OR(J2603="심의승인",J2603="반려",J2603="반려완료",J2603="심의완료"),"종결 표시",IF(OR(J2603="기후부협의",J2603="문서재제출요청",J2603="보류",J2603="보완요청",J2603="보완완료",J2603="평가중",J2603="반려요청",J2603="평가필요",LEFT(J2603,5)="보완요청("),"미종결 표시","상태 확인 필요"))</x:f>
        <x:v>종결 표시</x:v>
      </x:c>
      <x:c r="L2603" s="2" t="str">
        <x:v>KECM</x:v>
      </x:c>
      <x:c r="M2603" s="2"/>
      <x:c r="N2603" s="8" t="n">
        <x:f>DATE(2026,10,15)-DATE(2021,10,27)</x:f>
        <x:v>1814</x:v>
      </x:c>
      <x:c r="O2603" s="2"/>
      <x:c r="P2603" s="2"/>
      <x:c r="Q2603" s="2" t="str">
        <x:v>산업전환_외부사업관리Tool_260707_이너젠 수정_LJY_261013.xlsx</x:v>
      </x:c>
      <x:c r="R2603" s="2" t="str">
        <x:v>국외인증</x:v>
      </x:c>
      <x:c r="S2603" s="8" t="n">
        <x:v>190</x:v>
      </x:c>
      <x:c r="T2603" s="2" t="str">
        <x:v>(11/2),(12/1)</x:v>
      </x:c>
      <x:c r="U2603" s="2" t="str">
        <x:v>2021 지정: (11/2),(12/1) / 2022 지정: (1/18)(5/18)</x:v>
      </x:c>
      <x:c r="V2603" s="2" t="str">
        <x:v>2022-07-14</x:v>
      </x:c>
      <x:c r="W2603" s="2" t="str"/>
      <x:c r="X2603" s="2" t="str">
        <x:v>종결 근거 보관</x:v>
      </x:c>
      <x:c r="Y2603" s="2" t="str">
        <x:v>ad210cd9ec132cfd447541c8984dc53d30aff0f4fb2dc92d254d49275cc55976</x:v>
      </x:c>
      <x:c r="Z2603" s="2" t="n">
        <x:f>SUBTOTAL(103,A2603)</x:f>
        <x:v>1</x:v>
      </x:c>
      <x:c r="AA2603" s="2" t="str">
        <x:f>IF(K2603&lt;&gt;"미종결 표시","대상 아님",IF(N2603="","신청일 확인",IF(NOT(ISNUMBER('종합 현황'!$H$5)),"관찰기준 확인",IF('종합 현황'!$H$5&lt;1,"관찰기준 확인",IF(N2603&gt;'종합 현황'!$H$5,"내부 관찰 대상","내부 관찰일 이하")))))</x:f>
        <x:v>대상 아님</x:v>
      </x:c>
      <x:c r="AB2603" s="2" t="str">
        <x:v>2021-10-27 13:43 - 신청
2021-11-24 11:08 - 보완요청
2021-11-26 11:57 - 신청
2021-12-29 10:03 - 문서재제출요청
2021-12-30 18:08 - 신청
2022-01-18 09:35 - 문서재제출요청
2022-01-18 11:30 - 신청
2022-02-23 16:00 - 문서재제출요청
2022-02-24 10:21 - 신청
2022-04-21 15:33 - 문서재제출요청
2022-04-22 16:06 - 신청
2022-07-05 17:51 - 검토승인
2022-07-14 17:16 - 심의승인</x:v>
      </x:c>
    </x:row>
    <x:row r="2604" ht="42" customHeight="1">
      <x:c r="A2604" s="2" t="str">
        <x:v>f27460b3d69f52ab736c04f5</x:v>
      </x:c>
      <x:c r="B2604" s="2" t="str">
        <x:v>감축량 인증</x:v>
      </x:c>
      <x:c r="C2604" s="2" t="str">
        <x:v>국외</x:v>
      </x:c>
      <x:c r="D2604" s="7" t="str">
        <x:v>안전한 식수 공급을 위한 정수기 보급 사업 : CPA 68(한국 지원)</x:v>
      </x:c>
      <x:c r="E2604" s="2" t="str">
        <x:v>189</x:v>
      </x:c>
      <x:c r="F2604" s="2" t="str">
        <x:v>2021-10-27</x:v>
      </x:c>
      <x:c r="G2604" s="2" t="str">
        <x:v>2021</x:v>
      </x:c>
      <x:c r="H2604" s="2" t="str">
        <x:v>10</x:v>
      </x:c>
      <x:c r="I2604" s="2" t="str">
        <x:v>심의승인</x:v>
      </x:c>
      <x:c r="J2604" s="2" t="str">
        <x:v>심의승인</x:v>
      </x:c>
      <x:c r="K2604" s="2" t="str">
        <x:f>IF(OR(J2604="심의승인",J2604="반려",J2604="반려완료",J2604="심의완료"),"종결 표시",IF(OR(J2604="기후부협의",J2604="문서재제출요청",J2604="보류",J2604="보완요청",J2604="보완완료",J2604="평가중",J2604="반려요청",J2604="평가필요",LEFT(J2604,5)="보완요청("),"미종결 표시","상태 확인 필요"))</x:f>
        <x:v>종결 표시</x:v>
      </x:c>
      <x:c r="L2604" s="2" t="str">
        <x:v>KECM</x:v>
      </x:c>
      <x:c r="M2604" s="2"/>
      <x:c r="N2604" s="8" t="n">
        <x:f>DATE(2026,10,15)-DATE(2021,10,27)</x:f>
        <x:v>1814</x:v>
      </x:c>
      <x:c r="O2604" s="2"/>
      <x:c r="P2604" s="2"/>
      <x:c r="Q2604" s="2" t="str">
        <x:v>산업전환_외부사업관리Tool_260707_이너젠 수정_LJY_261013.xlsx</x:v>
      </x:c>
      <x:c r="R2604" s="2" t="str">
        <x:v>국외인증</x:v>
      </x:c>
      <x:c r="S2604" s="8" t="n">
        <x:v>191</x:v>
      </x:c>
      <x:c r="T2604" s="2" t="str">
        <x:v>(11/2),(12/1)</x:v>
      </x:c>
      <x:c r="U2604" s="2" t="str">
        <x:v>2021 지정: (11/2),(12/1) / 2022 지정: (1/18)(5/18)</x:v>
      </x:c>
      <x:c r="V2604" s="2" t="str">
        <x:v>2022-07-14</x:v>
      </x:c>
      <x:c r="W2604" s="2" t="str"/>
      <x:c r="X2604" s="2" t="str">
        <x:v>종결 근거 보관</x:v>
      </x:c>
      <x:c r="Y2604" s="2" t="str">
        <x:v>ad210cd9ec132cfd447541c8984dc53d30aff0f4fb2dc92d254d49275cc55976</x:v>
      </x:c>
      <x:c r="Z2604" s="2" t="n">
        <x:f>SUBTOTAL(103,A2604)</x:f>
        <x:v>1</x:v>
      </x:c>
      <x:c r="AA2604" s="2" t="str">
        <x:f>IF(K2604&lt;&gt;"미종결 표시","대상 아님",IF(N2604="","신청일 확인",IF(NOT(ISNUMBER('종합 현황'!$H$5)),"관찰기준 확인",IF('종합 현황'!$H$5&lt;1,"관찰기준 확인",IF(N2604&gt;'종합 현황'!$H$5,"내부 관찰 대상","내부 관찰일 이하")))))</x:f>
        <x:v>대상 아님</x:v>
      </x:c>
      <x:c r="AB2604" s="2" t="str">
        <x:v>2021-10-27 13:45 - 신청
2021-11-24 11:08 - 보완요청
2021-11-26 11:57 - 신청
2021-12-29 10:03 - 문서재제출요청
2021-12-30 18:08 - 신청
2022-01-18 09:35 - 문서재제출요청
2022-01-18 11:30 - 신청
2022-02-23 16:01 - 문서재제출요청
2022-02-24 10:21 - 신청
2022-04-21 15:33 - 문서재제출요청
2022-04-22 16:06 - 신청
2022-07-05 17:50 - 검토승인
2022-07-14 17:17 - 심의승인</x:v>
      </x:c>
    </x:row>
    <x:row r="2605" ht="42" customHeight="1">
      <x:c r="A2605" s="2" t="str">
        <x:v>9f904601cc2f465816576743</x:v>
      </x:c>
      <x:c r="B2605" s="2" t="str">
        <x:v>감축량 인증</x:v>
      </x:c>
      <x:c r="C2605" s="2" t="str">
        <x:v>국외</x:v>
      </x:c>
      <x:c r="D2605" s="7" t="str">
        <x:v>안전한 식수 공급을 위한 정수기 보급 사업 : CPA 69(한국 지원)</x:v>
      </x:c>
      <x:c r="E2605" s="2" t="str">
        <x:v>190</x:v>
      </x:c>
      <x:c r="F2605" s="2" t="str">
        <x:v>2021-10-27</x:v>
      </x:c>
      <x:c r="G2605" s="2" t="str">
        <x:v>2021</x:v>
      </x:c>
      <x:c r="H2605" s="2" t="str">
        <x:v>10</x:v>
      </x:c>
      <x:c r="I2605" s="2" t="str">
        <x:v>심의승인</x:v>
      </x:c>
      <x:c r="J2605" s="2" t="str">
        <x:v>심의승인</x:v>
      </x:c>
      <x:c r="K2605" s="2" t="str">
        <x:f>IF(OR(J2605="심의승인",J2605="반려",J2605="반려완료",J2605="심의완료"),"종결 표시",IF(OR(J2605="기후부협의",J2605="문서재제출요청",J2605="보류",J2605="보완요청",J2605="보완완료",J2605="평가중",J2605="반려요청",J2605="평가필요",LEFT(J2605,5)="보완요청("),"미종결 표시","상태 확인 필요"))</x:f>
        <x:v>종결 표시</x:v>
      </x:c>
      <x:c r="L2605" s="2" t="str">
        <x:v>KECM</x:v>
      </x:c>
      <x:c r="M2605" s="2"/>
      <x:c r="N2605" s="8" t="n">
        <x:f>DATE(2026,10,15)-DATE(2021,10,27)</x:f>
        <x:v>1814</x:v>
      </x:c>
      <x:c r="O2605" s="2"/>
      <x:c r="P2605" s="2"/>
      <x:c r="Q2605" s="2" t="str">
        <x:v>산업전환_외부사업관리Tool_260707_이너젠 수정_LJY_261013.xlsx</x:v>
      </x:c>
      <x:c r="R2605" s="2" t="str">
        <x:v>국외인증</x:v>
      </x:c>
      <x:c r="S2605" s="8" t="n">
        <x:v>192</x:v>
      </x:c>
      <x:c r="T2605" s="2" t="str">
        <x:v>(11/2),(12/1)</x:v>
      </x:c>
      <x:c r="U2605" s="2" t="str">
        <x:v>2021 지정: (11/2),(12/1) / 2022 지정: (1/18)(5/18)</x:v>
      </x:c>
      <x:c r="V2605" s="2" t="str">
        <x:v>2022-07-14</x:v>
      </x:c>
      <x:c r="W2605" s="2" t="str"/>
      <x:c r="X2605" s="2" t="str">
        <x:v>종결 근거 보관</x:v>
      </x:c>
      <x:c r="Y2605" s="2" t="str">
        <x:v>ad210cd9ec132cfd447541c8984dc53d30aff0f4fb2dc92d254d49275cc55976</x:v>
      </x:c>
      <x:c r="Z2605" s="2" t="n">
        <x:f>SUBTOTAL(103,A2605)</x:f>
        <x:v>1</x:v>
      </x:c>
      <x:c r="AA2605" s="2" t="str">
        <x:f>IF(K2605&lt;&gt;"미종결 표시","대상 아님",IF(N2605="","신청일 확인",IF(NOT(ISNUMBER('종합 현황'!$H$5)),"관찰기준 확인",IF('종합 현황'!$H$5&lt;1,"관찰기준 확인",IF(N2605&gt;'종합 현황'!$H$5,"내부 관찰 대상","내부 관찰일 이하")))))</x:f>
        <x:v>대상 아님</x:v>
      </x:c>
      <x:c r="AB2605" s="2" t="str">
        <x:v>2021-10-27 13:48 - 신청
2021-11-24 11:09 - 보완요청
2021-11-26 11:57 - 신청
2021-12-29 10:04 - 문서재제출요청
2021-12-30 18:08 - 신청
2022-01-18 09:35 - 문서재제출요청
2022-01-18 11:31 - 신청
2022-02-23 16:01 - 문서재제출요청
2022-02-24 10:22 - 신청
2022-04-21 15:34 - 문서재제출요청
2022-04-22 16:06 - 신청
2022-07-05 17:50 - 검토승인
2022-07-14 17:18 - 심의승인</x:v>
      </x:c>
    </x:row>
    <x:row r="2606" ht="42" customHeight="1">
      <x:c r="A2606" s="2" t="str">
        <x:v>cb58f92aa4d45dc5a509fa29</x:v>
      </x:c>
      <x:c r="B2606" s="2" t="str">
        <x:v>감축량 인증</x:v>
      </x:c>
      <x:c r="C2606" s="2" t="str">
        <x:v>국외</x:v>
      </x:c>
      <x:c r="D2606" s="7" t="str">
        <x:v>안전한 식수 공급을 위한 정수기 보급 사업 : CPA 70(한국 지원)</x:v>
      </x:c>
      <x:c r="E2606" s="2" t="str">
        <x:v>191</x:v>
      </x:c>
      <x:c r="F2606" s="2" t="str">
        <x:v>2021-10-27</x:v>
      </x:c>
      <x:c r="G2606" s="2" t="str">
        <x:v>2021</x:v>
      </x:c>
      <x:c r="H2606" s="2" t="str">
        <x:v>10</x:v>
      </x:c>
      <x:c r="I2606" s="2" t="str">
        <x:v>심의승인</x:v>
      </x:c>
      <x:c r="J2606" s="2" t="str">
        <x:v>심의승인</x:v>
      </x:c>
      <x:c r="K2606" s="2" t="str">
        <x:f>IF(OR(J2606="심의승인",J2606="반려",J2606="반려완료",J2606="심의완료"),"종결 표시",IF(OR(J2606="기후부협의",J2606="문서재제출요청",J2606="보류",J2606="보완요청",J2606="보완완료",J2606="평가중",J2606="반려요청",J2606="평가필요",LEFT(J2606,5)="보완요청("),"미종결 표시","상태 확인 필요"))</x:f>
        <x:v>종결 표시</x:v>
      </x:c>
      <x:c r="L2606" s="2" t="str">
        <x:v>KECM</x:v>
      </x:c>
      <x:c r="M2606" s="2"/>
      <x:c r="N2606" s="8" t="n">
        <x:f>DATE(2026,10,15)-DATE(2021,10,27)</x:f>
        <x:v>1814</x:v>
      </x:c>
      <x:c r="O2606" s="2"/>
      <x:c r="P2606" s="2"/>
      <x:c r="Q2606" s="2" t="str">
        <x:v>산업전환_외부사업관리Tool_260707_이너젠 수정_LJY_261013.xlsx</x:v>
      </x:c>
      <x:c r="R2606" s="2" t="str">
        <x:v>국외인증</x:v>
      </x:c>
      <x:c r="S2606" s="8" t="n">
        <x:v>193</x:v>
      </x:c>
      <x:c r="T2606" s="2" t="str">
        <x:v>(11/2),(12/1)</x:v>
      </x:c>
      <x:c r="U2606" s="2" t="str">
        <x:v>2021 지정: (11/2),(12/1) / 2022 지정: (1/18)(5/18)</x:v>
      </x:c>
      <x:c r="V2606" s="2" t="str">
        <x:v>2022-07-14</x:v>
      </x:c>
      <x:c r="W2606" s="2" t="str"/>
      <x:c r="X2606" s="2" t="str">
        <x:v>종결 근거 보관</x:v>
      </x:c>
      <x:c r="Y2606" s="2" t="str">
        <x:v>ad210cd9ec132cfd447541c8984dc53d30aff0f4fb2dc92d254d49275cc55976</x:v>
      </x:c>
      <x:c r="Z2606" s="2" t="n">
        <x:f>SUBTOTAL(103,A2606)</x:f>
        <x:v>1</x:v>
      </x:c>
      <x:c r="AA2606" s="2" t="str">
        <x:f>IF(K2606&lt;&gt;"미종결 표시","대상 아님",IF(N2606="","신청일 확인",IF(NOT(ISNUMBER('종합 현황'!$H$5)),"관찰기준 확인",IF('종합 현황'!$H$5&lt;1,"관찰기준 확인",IF(N2606&gt;'종합 현황'!$H$5,"내부 관찰 대상","내부 관찰일 이하")))))</x:f>
        <x:v>대상 아님</x:v>
      </x:c>
      <x:c r="AB2606" s="2" t="str">
        <x:v>2021-10-27 13:50 - 신청
2021-11-24 11:10 - 보완요청
2021-11-26 11:57 - 신청
2021-12-29 10:04 - 문서재제출요청
2021-12-30 18:09 - 신청
2022-01-18 09:36 - 문서재제출요청
2022-01-18 11:31 - 신청
2022-02-23 16:01 - 문서재제출요청
2022-02-24 10:22 - 신청
2022-04-21 15:34 - 문서재제출요청
2022-04-22 16:06 - 신청
2022-07-05 17:50 - 검토승인
2022-07-14 17:20 - 심의승인</x:v>
      </x:c>
    </x:row>
    <x:row r="2607" ht="42" customHeight="1">
      <x:c r="A2607" s="2" t="str">
        <x:v>3e594aebb7f64f91af67edbc</x:v>
      </x:c>
      <x:c r="B2607" s="2" t="str">
        <x:v>감축량 인증</x:v>
      </x:c>
      <x:c r="C2607" s="2" t="str">
        <x:v>국외</x:v>
      </x:c>
      <x:c r="D2607" s="7" t="str">
        <x:v>안전한 식수 공급을 위한 정수기 보급 사업 : CPA 71(한국 지원)</x:v>
      </x:c>
      <x:c r="E2607" s="2" t="str">
        <x:v>192</x:v>
      </x:c>
      <x:c r="F2607" s="2" t="str">
        <x:v>2021-10-27</x:v>
      </x:c>
      <x:c r="G2607" s="2" t="str">
        <x:v>2021</x:v>
      </x:c>
      <x:c r="H2607" s="2" t="str">
        <x:v>10</x:v>
      </x:c>
      <x:c r="I2607" s="2" t="str">
        <x:v>심의승인</x:v>
      </x:c>
      <x:c r="J2607" s="2" t="str">
        <x:v>심의승인</x:v>
      </x:c>
      <x:c r="K2607" s="2" t="str">
        <x:f>IF(OR(J2607="심의승인",J2607="반려",J2607="반려완료",J2607="심의완료"),"종결 표시",IF(OR(J2607="기후부협의",J2607="문서재제출요청",J2607="보류",J2607="보완요청",J2607="보완완료",J2607="평가중",J2607="반려요청",J2607="평가필요",LEFT(J2607,5)="보완요청("),"미종결 표시","상태 확인 필요"))</x:f>
        <x:v>종결 표시</x:v>
      </x:c>
      <x:c r="L2607" s="2" t="str">
        <x:v>KECM</x:v>
      </x:c>
      <x:c r="M2607" s="2"/>
      <x:c r="N2607" s="8" t="n">
        <x:f>DATE(2026,10,15)-DATE(2021,10,27)</x:f>
        <x:v>1814</x:v>
      </x:c>
      <x:c r="O2607" s="2"/>
      <x:c r="P2607" s="2"/>
      <x:c r="Q2607" s="2" t="str">
        <x:v>산업전환_외부사업관리Tool_260707_이너젠 수정_LJY_261013.xlsx</x:v>
      </x:c>
      <x:c r="R2607" s="2" t="str">
        <x:v>국외인증</x:v>
      </x:c>
      <x:c r="S2607" s="8" t="n">
        <x:v>194</x:v>
      </x:c>
      <x:c r="T2607" s="2" t="str">
        <x:v>(11/2),(12/1)</x:v>
      </x:c>
      <x:c r="U2607" s="2" t="str">
        <x:v>2021 지정: (11/2),(12/1) / 2022 지정: (1/18)(5/18)</x:v>
      </x:c>
      <x:c r="V2607" s="2" t="str">
        <x:v>2022-07-14</x:v>
      </x:c>
      <x:c r="W2607" s="2" t="str"/>
      <x:c r="X2607" s="2" t="str">
        <x:v>종결 근거 보관</x:v>
      </x:c>
      <x:c r="Y2607" s="2" t="str">
        <x:v>ad210cd9ec132cfd447541c8984dc53d30aff0f4fb2dc92d254d49275cc55976</x:v>
      </x:c>
      <x:c r="Z2607" s="2" t="n">
        <x:f>SUBTOTAL(103,A2607)</x:f>
        <x:v>1</x:v>
      </x:c>
      <x:c r="AA2607" s="2" t="str">
        <x:f>IF(K2607&lt;&gt;"미종결 표시","대상 아님",IF(N2607="","신청일 확인",IF(NOT(ISNUMBER('종합 현황'!$H$5)),"관찰기준 확인",IF('종합 현황'!$H$5&lt;1,"관찰기준 확인",IF(N2607&gt;'종합 현황'!$H$5,"내부 관찰 대상","내부 관찰일 이하")))))</x:f>
        <x:v>대상 아님</x:v>
      </x:c>
      <x:c r="AB2607" s="2" t="str">
        <x:v>2021-10-27 13:52 - 신청
2021-11-24 10:46 - 보완요청
2021-11-26 11:58 - 신청
2021-12-29 10:04 - 문서재제출요청
2021-12-30 18:09 - 신청
2022-01-18 09:36 - 문서재제출요청
2022-01-18 11:33 - 신청
2022-02-23 16:02 - 문서재제출요청
2022-02-24 10:23 - 신청
2022-04-21 15:35 - 문서재제출요청
2022-04-22 16:07 - 신청
2022-07-05 17:50 - 검토승인
2022-07-14 17:21 - 심의승인</x:v>
      </x:c>
    </x:row>
    <x:row r="2608" ht="42" customHeight="1">
      <x:c r="A2608" s="2" t="str">
        <x:v>b8b03c9a449253af67fad190</x:v>
      </x:c>
      <x:c r="B2608" s="2" t="str">
        <x:v>감축량 인증</x:v>
      </x:c>
      <x:c r="C2608" s="2" t="str">
        <x:v>국외</x:v>
      </x:c>
      <x:c r="D2608" s="7" t="str">
        <x:v>안전한 식수 공급을 위한 정수기 보급 사업 : CPA 72(한국 지원)</x:v>
      </x:c>
      <x:c r="E2608" s="2" t="str">
        <x:v>193</x:v>
      </x:c>
      <x:c r="F2608" s="2" t="str">
        <x:v>2021-10-27</x:v>
      </x:c>
      <x:c r="G2608" s="2" t="str">
        <x:v>2021</x:v>
      </x:c>
      <x:c r="H2608" s="2" t="str">
        <x:v>10</x:v>
      </x:c>
      <x:c r="I2608" s="2" t="str">
        <x:v>심의승인</x:v>
      </x:c>
      <x:c r="J2608" s="2" t="str">
        <x:v>심의승인</x:v>
      </x:c>
      <x:c r="K2608" s="2" t="str">
        <x:f>IF(OR(J2608="심의승인",J2608="반려",J2608="반려완료",J2608="심의완료"),"종결 표시",IF(OR(J2608="기후부협의",J2608="문서재제출요청",J2608="보류",J2608="보완요청",J2608="보완완료",J2608="평가중",J2608="반려요청",J2608="평가필요",LEFT(J2608,5)="보완요청("),"미종결 표시","상태 확인 필요"))</x:f>
        <x:v>종결 표시</x:v>
      </x:c>
      <x:c r="L2608" s="2" t="str">
        <x:v>KECM</x:v>
      </x:c>
      <x:c r="M2608" s="2"/>
      <x:c r="N2608" s="8" t="n">
        <x:f>DATE(2026,10,15)-DATE(2021,10,27)</x:f>
        <x:v>1814</x:v>
      </x:c>
      <x:c r="O2608" s="2"/>
      <x:c r="P2608" s="2"/>
      <x:c r="Q2608" s="2" t="str">
        <x:v>산업전환_외부사업관리Tool_260707_이너젠 수정_LJY_261013.xlsx</x:v>
      </x:c>
      <x:c r="R2608" s="2" t="str">
        <x:v>국외인증</x:v>
      </x:c>
      <x:c r="S2608" s="8" t="n">
        <x:v>195</x:v>
      </x:c>
      <x:c r="T2608" s="2" t="str">
        <x:v>(11/2),(12/1)</x:v>
      </x:c>
      <x:c r="U2608" s="2" t="str">
        <x:v>2021 지정: (11/2),(12/1) / 2022 지정: (1/18)(5/18)</x:v>
      </x:c>
      <x:c r="V2608" s="2" t="str">
        <x:v>2022-07-14</x:v>
      </x:c>
      <x:c r="W2608" s="2" t="str"/>
      <x:c r="X2608" s="2" t="str">
        <x:v>종결 근거 보관</x:v>
      </x:c>
      <x:c r="Y2608" s="2" t="str">
        <x:v>ad210cd9ec132cfd447541c8984dc53d30aff0f4fb2dc92d254d49275cc55976</x:v>
      </x:c>
      <x:c r="Z2608" s="2" t="n">
        <x:f>SUBTOTAL(103,A2608)</x:f>
        <x:v>1</x:v>
      </x:c>
      <x:c r="AA2608" s="2" t="str">
        <x:f>IF(K2608&lt;&gt;"미종결 표시","대상 아님",IF(N2608="","신청일 확인",IF(NOT(ISNUMBER('종합 현황'!$H$5)),"관찰기준 확인",IF('종합 현황'!$H$5&lt;1,"관찰기준 확인",IF(N2608&gt;'종합 현황'!$H$5,"내부 관찰 대상","내부 관찰일 이하")))))</x:f>
        <x:v>대상 아님</x:v>
      </x:c>
      <x:c r="AB2608" s="2" t="str">
        <x:v>2021-10-27 13:54 - 신청
2021-11-24 10:48 - 보완요청
2021-11-26 11:58 - 신청
2021-12-29 10:04 - 문서재제출요청
2021-12-30 18:09 - 신청
2022-01-18 09:36 - 문서재제출요청
2022-01-18 11:33 - 신청
2022-02-23 16:02 - 문서재제출요청
2022-02-24 10:23 - 신청
2022-04-21 15:36 - 문서재제출요청
2022-04-22 16:07 - 신청
2022-07-05 17:49 - 검토승인
2022-07-14 17:22 - 심의승인</x:v>
      </x:c>
    </x:row>
    <x:row r="2609" ht="42" customHeight="1">
      <x:c r="A2609" s="2" t="str">
        <x:v>42ff3ab2e01abe0d511eb2b2</x:v>
      </x:c>
      <x:c r="B2609" s="2" t="str">
        <x:v>감축량 인증</x:v>
      </x:c>
      <x:c r="C2609" s="2" t="str">
        <x:v>국외</x:v>
      </x:c>
      <x:c r="D2609" s="7" t="str">
        <x:v>안전한 식수 공급을 위한 정수기 보급 사업 : CPA 73(한국 지원)</x:v>
      </x:c>
      <x:c r="E2609" s="2" t="str">
        <x:v>194</x:v>
      </x:c>
      <x:c r="F2609" s="2" t="str">
        <x:v>2021-10-27</x:v>
      </x:c>
      <x:c r="G2609" s="2" t="str">
        <x:v>2021</x:v>
      </x:c>
      <x:c r="H2609" s="2" t="str">
        <x:v>10</x:v>
      </x:c>
      <x:c r="I2609" s="2" t="str">
        <x:v>심의승인</x:v>
      </x:c>
      <x:c r="J2609" s="2" t="str">
        <x:v>심의승인</x:v>
      </x:c>
      <x:c r="K2609" s="2" t="str">
        <x:f>IF(OR(J2609="심의승인",J2609="반려",J2609="반려완료",J2609="심의완료"),"종결 표시",IF(OR(J2609="기후부협의",J2609="문서재제출요청",J2609="보류",J2609="보완요청",J2609="보완완료",J2609="평가중",J2609="반려요청",J2609="평가필요",LEFT(J2609,5)="보완요청("),"미종결 표시","상태 확인 필요"))</x:f>
        <x:v>종결 표시</x:v>
      </x:c>
      <x:c r="L2609" s="2" t="str">
        <x:v>KECM</x:v>
      </x:c>
      <x:c r="M2609" s="2"/>
      <x:c r="N2609" s="8" t="n">
        <x:f>DATE(2026,10,15)-DATE(2021,10,27)</x:f>
        <x:v>1814</x:v>
      </x:c>
      <x:c r="O2609" s="2"/>
      <x:c r="P2609" s="2"/>
      <x:c r="Q2609" s="2" t="str">
        <x:v>산업전환_외부사업관리Tool_260707_이너젠 수정_LJY_261013.xlsx</x:v>
      </x:c>
      <x:c r="R2609" s="2" t="str">
        <x:v>국외인증</x:v>
      </x:c>
      <x:c r="S2609" s="8" t="n">
        <x:v>196</x:v>
      </x:c>
      <x:c r="T2609" s="2" t="str">
        <x:v>(11/2),(12/1)</x:v>
      </x:c>
      <x:c r="U2609" s="2" t="str">
        <x:v>2021 지정: (11/2),(12/1) / 2022 지정: (1/18)(5/18)</x:v>
      </x:c>
      <x:c r="V2609" s="2" t="str">
        <x:v>2022-07-14</x:v>
      </x:c>
      <x:c r="W2609" s="2" t="str"/>
      <x:c r="X2609" s="2" t="str">
        <x:v>종결 근거 보관</x:v>
      </x:c>
      <x:c r="Y2609" s="2" t="str">
        <x:v>ad210cd9ec132cfd447541c8984dc53d30aff0f4fb2dc92d254d49275cc55976</x:v>
      </x:c>
      <x:c r="Z2609" s="2" t="n">
        <x:f>SUBTOTAL(103,A2609)</x:f>
        <x:v>1</x:v>
      </x:c>
      <x:c r="AA2609" s="2" t="str">
        <x:f>IF(K2609&lt;&gt;"미종결 표시","대상 아님",IF(N2609="","신청일 확인",IF(NOT(ISNUMBER('종합 현황'!$H$5)),"관찰기준 확인",IF('종합 현황'!$H$5&lt;1,"관찰기준 확인",IF(N2609&gt;'종합 현황'!$H$5,"내부 관찰 대상","내부 관찰일 이하")))))</x:f>
        <x:v>대상 아님</x:v>
      </x:c>
      <x:c r="AB2609" s="2" t="str">
        <x:v>2021-10-27 13:56 - 신청
2021-11-24 10:49 - 보완요청
2021-11-26 11:58 - 신청
2021-12-29 10:04 - 문서재제출요청
2021-12-30 18:09 - 신청
2022-01-18 09:37 - 문서재제출요청
2022-01-18 11:34 - 신청
2022-02-23 16:02 - 문서재제출요청
2022-02-24 10:24 - 신청
2022-04-21 15:36 - 문서재제출요청
2022-04-22 16:07 - 신청
2022-07-05 17:49 - 검토승인
2022-07-14 17:24 - 심의승인</x:v>
      </x:c>
    </x:row>
    <x:row r="2610" ht="42" customHeight="1">
      <x:c r="A2610" s="2" t="str">
        <x:v>1cc7450c783ecd7857f4f6a0</x:v>
      </x:c>
      <x:c r="B2610" s="2" t="str">
        <x:v>감축량 인증</x:v>
      </x:c>
      <x:c r="C2610" s="2" t="str">
        <x:v>국외</x:v>
      </x:c>
      <x:c r="D2610" s="7" t="str">
        <x:v>안전한 식수 공급을 위한 정수기 보급 사업 : CPA 74(한국 지원)</x:v>
      </x:c>
      <x:c r="E2610" s="2" t="str">
        <x:v>195</x:v>
      </x:c>
      <x:c r="F2610" s="2" t="str">
        <x:v>2021-10-27</x:v>
      </x:c>
      <x:c r="G2610" s="2" t="str">
        <x:v>2021</x:v>
      </x:c>
      <x:c r="H2610" s="2" t="str">
        <x:v>10</x:v>
      </x:c>
      <x:c r="I2610" s="2" t="str">
        <x:v>심의승인</x:v>
      </x:c>
      <x:c r="J2610" s="2" t="str">
        <x:v>심의승인</x:v>
      </x:c>
      <x:c r="K2610" s="2" t="str">
        <x:f>IF(OR(J2610="심의승인",J2610="반려",J2610="반려완료",J2610="심의완료"),"종결 표시",IF(OR(J2610="기후부협의",J2610="문서재제출요청",J2610="보류",J2610="보완요청",J2610="보완완료",J2610="평가중",J2610="반려요청",J2610="평가필요",LEFT(J2610,5)="보완요청("),"미종결 표시","상태 확인 필요"))</x:f>
        <x:v>종결 표시</x:v>
      </x:c>
      <x:c r="L2610" s="2" t="str">
        <x:v>KECM</x:v>
      </x:c>
      <x:c r="M2610" s="2"/>
      <x:c r="N2610" s="8" t="n">
        <x:f>DATE(2026,10,15)-DATE(2021,10,27)</x:f>
        <x:v>1814</x:v>
      </x:c>
      <x:c r="O2610" s="2"/>
      <x:c r="P2610" s="2"/>
      <x:c r="Q2610" s="2" t="str">
        <x:v>산업전환_외부사업관리Tool_260707_이너젠 수정_LJY_261013.xlsx</x:v>
      </x:c>
      <x:c r="R2610" s="2" t="str">
        <x:v>국외인증</x:v>
      </x:c>
      <x:c r="S2610" s="8" t="n">
        <x:v>197</x:v>
      </x:c>
      <x:c r="T2610" s="2" t="str">
        <x:v>(11/2),(12/1)</x:v>
      </x:c>
      <x:c r="U2610" s="2" t="str">
        <x:v>2021 지정: (11/2),(12/1) / 2022 지정: (1/18)(5/18)</x:v>
      </x:c>
      <x:c r="V2610" s="2" t="str">
        <x:v>2022-07-14</x:v>
      </x:c>
      <x:c r="W2610" s="2" t="str"/>
      <x:c r="X2610" s="2" t="str">
        <x:v>종결 근거 보관</x:v>
      </x:c>
      <x:c r="Y2610" s="2" t="str">
        <x:v>ad210cd9ec132cfd447541c8984dc53d30aff0f4fb2dc92d254d49275cc55976</x:v>
      </x:c>
      <x:c r="Z2610" s="2" t="n">
        <x:f>SUBTOTAL(103,A2610)</x:f>
        <x:v>1</x:v>
      </x:c>
      <x:c r="AA2610" s="2" t="str">
        <x:f>IF(K2610&lt;&gt;"미종결 표시","대상 아님",IF(N2610="","신청일 확인",IF(NOT(ISNUMBER('종합 현황'!$H$5)),"관찰기준 확인",IF('종합 현황'!$H$5&lt;1,"관찰기준 확인",IF(N2610&gt;'종합 현황'!$H$5,"내부 관찰 대상","내부 관찰일 이하")))))</x:f>
        <x:v>대상 아님</x:v>
      </x:c>
      <x:c r="AB2610" s="2" t="str">
        <x:v>2021-10-27 13:58 - 신청
2021-11-24 10:51 - 보완요청
2021-11-26 11:58 - 신청
2021-12-29 10:05 - 문서재제출요청
2021-12-30 18:10 - 신청
2022-01-18 09:37 - 문서재제출요청
2022-01-18 11:34 - 신청
2022-02-23 16:03 - 문서재제출요청
2022-02-24 10:24 - 신청
2022-04-21 15:36 - 문서재제출요청
2022-04-22 16:07 - 신청
2022-07-05 17:48 - 검토승인
2022-07-14 17:25 - 심의승인</x:v>
      </x:c>
    </x:row>
    <x:row r="2611" ht="42" customHeight="1">
      <x:c r="A2611" s="2" t="str">
        <x:v>842e58954bf38a10edd633e5</x:v>
      </x:c>
      <x:c r="B2611" s="2" t="str">
        <x:v>감축량 인증</x:v>
      </x:c>
      <x:c r="C2611" s="2" t="str">
        <x:v>국외</x:v>
      </x:c>
      <x:c r="D2611" s="7" t="str">
        <x:v>안전한 식수 공급을 위한 정수기 보급 사업 : CPA 75(한국 지원)</x:v>
      </x:c>
      <x:c r="E2611" s="2" t="str">
        <x:v>196</x:v>
      </x:c>
      <x:c r="F2611" s="2" t="str">
        <x:v>2021-10-27</x:v>
      </x:c>
      <x:c r="G2611" s="2" t="str">
        <x:v>2021</x:v>
      </x:c>
      <x:c r="H2611" s="2" t="str">
        <x:v>10</x:v>
      </x:c>
      <x:c r="I2611" s="2" t="str">
        <x:v>심의승인</x:v>
      </x:c>
      <x:c r="J2611" s="2" t="str">
        <x:v>심의승인</x:v>
      </x:c>
      <x:c r="K2611" s="2" t="str">
        <x:f>IF(OR(J2611="심의승인",J2611="반려",J2611="반려완료",J2611="심의완료"),"종결 표시",IF(OR(J2611="기후부협의",J2611="문서재제출요청",J2611="보류",J2611="보완요청",J2611="보완완료",J2611="평가중",J2611="반려요청",J2611="평가필요",LEFT(J2611,5)="보완요청("),"미종결 표시","상태 확인 필요"))</x:f>
        <x:v>종결 표시</x:v>
      </x:c>
      <x:c r="L2611" s="2" t="str">
        <x:v>KECM</x:v>
      </x:c>
      <x:c r="M2611" s="2"/>
      <x:c r="N2611" s="8" t="n">
        <x:f>DATE(2026,10,15)-DATE(2021,10,27)</x:f>
        <x:v>1814</x:v>
      </x:c>
      <x:c r="O2611" s="2"/>
      <x:c r="P2611" s="2"/>
      <x:c r="Q2611" s="2" t="str">
        <x:v>산업전환_외부사업관리Tool_260707_이너젠 수정_LJY_261013.xlsx</x:v>
      </x:c>
      <x:c r="R2611" s="2" t="str">
        <x:v>국외인증</x:v>
      </x:c>
      <x:c r="S2611" s="8" t="n">
        <x:v>198</x:v>
      </x:c>
      <x:c r="T2611" s="2" t="str">
        <x:v>(11/2),(12/1)</x:v>
      </x:c>
      <x:c r="U2611" s="2" t="str">
        <x:v>2021 지정: (11/2),(12/1) / 2022 지정: (1/18)(5/18)</x:v>
      </x:c>
      <x:c r="V2611" s="2" t="str">
        <x:v>2022-07-14</x:v>
      </x:c>
      <x:c r="W2611" s="2" t="str"/>
      <x:c r="X2611" s="2" t="str">
        <x:v>종결 근거 보관</x:v>
      </x:c>
      <x:c r="Y2611" s="2" t="str">
        <x:v>ad210cd9ec132cfd447541c8984dc53d30aff0f4fb2dc92d254d49275cc55976</x:v>
      </x:c>
      <x:c r="Z2611" s="2" t="n">
        <x:f>SUBTOTAL(103,A2611)</x:f>
        <x:v>1</x:v>
      </x:c>
      <x:c r="AA2611" s="2" t="str">
        <x:f>IF(K2611&lt;&gt;"미종결 표시","대상 아님",IF(N2611="","신청일 확인",IF(NOT(ISNUMBER('종합 현황'!$H$5)),"관찰기준 확인",IF('종합 현황'!$H$5&lt;1,"관찰기준 확인",IF(N2611&gt;'종합 현황'!$H$5,"내부 관찰 대상","내부 관찰일 이하")))))</x:f>
        <x:v>대상 아님</x:v>
      </x:c>
      <x:c r="AB2611" s="2" t="str">
        <x:v>2021-10-27 14:00 - 신청
2021-11-24 10:52 - 보완요청
2021-11-26 11:58 - 신청
2021-12-29 10:05 - 문서재제출요청
2021-12-30 18:10 - 신청
2022-01-18 09:37 - 문서재제출요청
2022-01-18 11:35 - 신청
2022-02-23 16:03 - 문서재제출요청
2022-02-24 10:25 - 신청
2022-04-21 15:36 - 문서재제출요청
2022-04-22 16:07 - 신청
2022-07-05 17:48 - 검토승인
2022-07-14 17:26 - 심의승인</x:v>
      </x:c>
    </x:row>
    <x:row r="2612" ht="42" customHeight="1">
      <x:c r="A2612" s="2" t="str">
        <x:v>61e58d4ee496160ab9e9ee71</x:v>
      </x:c>
      <x:c r="B2612" s="2" t="str">
        <x:v>감축량 인증</x:v>
      </x:c>
      <x:c r="C2612" s="2" t="str">
        <x:v>국외</x:v>
      </x:c>
      <x:c r="D2612" s="7" t="str">
        <x:v>안전한 식수 공급을 위한 정수기 보급 사업 : CPA 76(한국 지원)</x:v>
      </x:c>
      <x:c r="E2612" s="2" t="str">
        <x:v>197</x:v>
      </x:c>
      <x:c r="F2612" s="2" t="str">
        <x:v>2021-10-27</x:v>
      </x:c>
      <x:c r="G2612" s="2" t="str">
        <x:v>2021</x:v>
      </x:c>
      <x:c r="H2612" s="2" t="str">
        <x:v>10</x:v>
      </x:c>
      <x:c r="I2612" s="2" t="str">
        <x:v>심의승인</x:v>
      </x:c>
      <x:c r="J2612" s="2" t="str">
        <x:v>심의승인</x:v>
      </x:c>
      <x:c r="K2612" s="2" t="str">
        <x:f>IF(OR(J2612="심의승인",J2612="반려",J2612="반려완료",J2612="심의완료"),"종결 표시",IF(OR(J2612="기후부협의",J2612="문서재제출요청",J2612="보류",J2612="보완요청",J2612="보완완료",J2612="평가중",J2612="반려요청",J2612="평가필요",LEFT(J2612,5)="보완요청("),"미종결 표시","상태 확인 필요"))</x:f>
        <x:v>종결 표시</x:v>
      </x:c>
      <x:c r="L2612" s="2" t="str">
        <x:v>KECM</x:v>
      </x:c>
      <x:c r="M2612" s="2"/>
      <x:c r="N2612" s="8" t="n">
        <x:f>DATE(2026,10,15)-DATE(2021,10,27)</x:f>
        <x:v>1814</x:v>
      </x:c>
      <x:c r="O2612" s="2"/>
      <x:c r="P2612" s="2"/>
      <x:c r="Q2612" s="2" t="str">
        <x:v>산업전환_외부사업관리Tool_260707_이너젠 수정_LJY_261013.xlsx</x:v>
      </x:c>
      <x:c r="R2612" s="2" t="str">
        <x:v>국외인증</x:v>
      </x:c>
      <x:c r="S2612" s="8" t="n">
        <x:v>199</x:v>
      </x:c>
      <x:c r="T2612" s="2" t="str">
        <x:v>(11/2),(12/1)</x:v>
      </x:c>
      <x:c r="U2612" s="2" t="str">
        <x:v>2021 지정: (11/2),(12/1) / 2022 지정: (1/18)(5/18)</x:v>
      </x:c>
      <x:c r="V2612" s="2" t="str">
        <x:v>2022-07-14</x:v>
      </x:c>
      <x:c r="W2612" s="2" t="str"/>
      <x:c r="X2612" s="2" t="str">
        <x:v>종결 근거 보관</x:v>
      </x:c>
      <x:c r="Y2612" s="2" t="str">
        <x:v>ad210cd9ec132cfd447541c8984dc53d30aff0f4fb2dc92d254d49275cc55976</x:v>
      </x:c>
      <x:c r="Z2612" s="2" t="n">
        <x:f>SUBTOTAL(103,A2612)</x:f>
        <x:v>1</x:v>
      </x:c>
      <x:c r="AA2612" s="2" t="str">
        <x:f>IF(K2612&lt;&gt;"미종결 표시","대상 아님",IF(N2612="","신청일 확인",IF(NOT(ISNUMBER('종합 현황'!$H$5)),"관찰기준 확인",IF('종합 현황'!$H$5&lt;1,"관찰기준 확인",IF(N2612&gt;'종합 현황'!$H$5,"내부 관찰 대상","내부 관찰일 이하")))))</x:f>
        <x:v>대상 아님</x:v>
      </x:c>
      <x:c r="AB2612" s="2" t="str">
        <x:v>2021-10-27 14:02 - 신청
2021-11-24 10:53 - 보완요청
2021-11-26 11:59 - 신청
2021-12-29 10:06 - 문서재제출요청
2021-12-30 18:10 - 신청
2022-01-18 09:37 - 문서재제출요청
2022-01-18 11:35 - 신청
2022-02-23 16:03 - 문서재제출요청
2022-02-24 10:26 - 신청
2022-04-21 15:37 - 문서재제출요청
2022-04-22 16:07 - 신청
2022-07-05 17:48 - 검토승인
2022-07-14 17:27 - 심의승인</x:v>
      </x:c>
    </x:row>
    <x:row r="2613" ht="42" customHeight="1">
      <x:c r="A2613" s="2" t="str">
        <x:v>d6b189289800c7c0fb8fbd47</x:v>
      </x:c>
      <x:c r="B2613" s="2" t="str">
        <x:v>감축량 인증</x:v>
      </x:c>
      <x:c r="C2613" s="2" t="str">
        <x:v>국외</x:v>
      </x:c>
      <x:c r="D2613" s="7" t="str">
        <x:v>안전한 식수 공급을 위한 정수기 보급 사업 : CPA 77(한국 지원)</x:v>
      </x:c>
      <x:c r="E2613" s="2" t="str">
        <x:v>198</x:v>
      </x:c>
      <x:c r="F2613" s="2" t="str">
        <x:v>2021-10-27</x:v>
      </x:c>
      <x:c r="G2613" s="2" t="str">
        <x:v>2021</x:v>
      </x:c>
      <x:c r="H2613" s="2" t="str">
        <x:v>10</x:v>
      </x:c>
      <x:c r="I2613" s="2" t="str">
        <x:v>심의승인</x:v>
      </x:c>
      <x:c r="J2613" s="2" t="str">
        <x:v>심의승인</x:v>
      </x:c>
      <x:c r="K2613" s="2" t="str">
        <x:f>IF(OR(J2613="심의승인",J2613="반려",J2613="반려완료",J2613="심의완료"),"종결 표시",IF(OR(J2613="기후부협의",J2613="문서재제출요청",J2613="보류",J2613="보완요청",J2613="보완완료",J2613="평가중",J2613="반려요청",J2613="평가필요",LEFT(J2613,5)="보완요청("),"미종결 표시","상태 확인 필요"))</x:f>
        <x:v>종결 표시</x:v>
      </x:c>
      <x:c r="L2613" s="2" t="str">
        <x:v>KECM</x:v>
      </x:c>
      <x:c r="M2613" s="2"/>
      <x:c r="N2613" s="8" t="n">
        <x:f>DATE(2026,10,15)-DATE(2021,10,27)</x:f>
        <x:v>1814</x:v>
      </x:c>
      <x:c r="O2613" s="2"/>
      <x:c r="P2613" s="2"/>
      <x:c r="Q2613" s="2" t="str">
        <x:v>산업전환_외부사업관리Tool_260707_이너젠 수정_LJY_261013.xlsx</x:v>
      </x:c>
      <x:c r="R2613" s="2" t="str">
        <x:v>국외인증</x:v>
      </x:c>
      <x:c r="S2613" s="8" t="n">
        <x:v>200</x:v>
      </x:c>
      <x:c r="T2613" s="2" t="str">
        <x:v>(11/2),(12/1)</x:v>
      </x:c>
      <x:c r="U2613" s="2" t="str">
        <x:v>2021 지정: (11/2),(12/1) / 2022 지정: (1/18)(5/18)</x:v>
      </x:c>
      <x:c r="V2613" s="2" t="str">
        <x:v>2022-07-14</x:v>
      </x:c>
      <x:c r="W2613" s="2" t="str"/>
      <x:c r="X2613" s="2" t="str">
        <x:v>종결 근거 보관</x:v>
      </x:c>
      <x:c r="Y2613" s="2" t="str">
        <x:v>ad210cd9ec132cfd447541c8984dc53d30aff0f4fb2dc92d254d49275cc55976</x:v>
      </x:c>
      <x:c r="Z2613" s="2" t="n">
        <x:f>SUBTOTAL(103,A2613)</x:f>
        <x:v>1</x:v>
      </x:c>
      <x:c r="AA2613" s="2" t="str">
        <x:f>IF(K2613&lt;&gt;"미종결 표시","대상 아님",IF(N2613="","신청일 확인",IF(NOT(ISNUMBER('종합 현황'!$H$5)),"관찰기준 확인",IF('종합 현황'!$H$5&lt;1,"관찰기준 확인",IF(N2613&gt;'종합 현황'!$H$5,"내부 관찰 대상","내부 관찰일 이하")))))</x:f>
        <x:v>대상 아님</x:v>
      </x:c>
      <x:c r="AB2613" s="2" t="str">
        <x:v>2021-10-27 14:04 - 신청
2021-11-24 10:54 - 보완요청
2021-11-26 11:59 - 신청
2021-12-29 10:06 - 문서재제출요청
2021-12-30 18:11 - 신청
2022-01-18 09:38 - 문서재제출요청
2022-01-18 11:36 - 신청
2022-02-23 16:04 - 문서재제출요청
2022-02-24 10:26 - 신청
2022-04-21 15:39 - 문서재제출요청
2022-04-22 16:07 - 신청
2022-07-05 17:47 - 검토승인
2022-07-14 17:28 - 심의승인</x:v>
      </x:c>
    </x:row>
    <x:row r="2614" ht="42" customHeight="1">
      <x:c r="A2614" s="2" t="str">
        <x:v>c7c563f94e9fe90464773c3f</x:v>
      </x:c>
      <x:c r="B2614" s="2" t="str">
        <x:v>감축량 인증</x:v>
      </x:c>
      <x:c r="C2614" s="2" t="str">
        <x:v>국외</x:v>
      </x:c>
      <x:c r="D2614" s="7" t="str">
        <x:v>안전한 식수 공급을 위한 정수기 보급 사업 : CPA 78(한국 지원)</x:v>
      </x:c>
      <x:c r="E2614" s="2" t="str">
        <x:v>199</x:v>
      </x:c>
      <x:c r="F2614" s="2" t="str">
        <x:v>2021-10-27</x:v>
      </x:c>
      <x:c r="G2614" s="2" t="str">
        <x:v>2021</x:v>
      </x:c>
      <x:c r="H2614" s="2" t="str">
        <x:v>10</x:v>
      </x:c>
      <x:c r="I2614" s="2" t="str">
        <x:v>심의승인</x:v>
      </x:c>
      <x:c r="J2614" s="2" t="str">
        <x:v>심의승인</x:v>
      </x:c>
      <x:c r="K2614" s="2" t="str">
        <x:f>IF(OR(J2614="심의승인",J2614="반려",J2614="반려완료",J2614="심의완료"),"종결 표시",IF(OR(J2614="기후부협의",J2614="문서재제출요청",J2614="보류",J2614="보완요청",J2614="보완완료",J2614="평가중",J2614="반려요청",J2614="평가필요",LEFT(J2614,5)="보완요청("),"미종결 표시","상태 확인 필요"))</x:f>
        <x:v>종결 표시</x:v>
      </x:c>
      <x:c r="L2614" s="2" t="str">
        <x:v>KECM</x:v>
      </x:c>
      <x:c r="M2614" s="2"/>
      <x:c r="N2614" s="8" t="n">
        <x:f>DATE(2026,10,15)-DATE(2021,10,27)</x:f>
        <x:v>1814</x:v>
      </x:c>
      <x:c r="O2614" s="2"/>
      <x:c r="P2614" s="2"/>
      <x:c r="Q2614" s="2" t="str">
        <x:v>산업전환_외부사업관리Tool_260707_이너젠 수정_LJY_261013.xlsx</x:v>
      </x:c>
      <x:c r="R2614" s="2" t="str">
        <x:v>국외인증</x:v>
      </x:c>
      <x:c r="S2614" s="8" t="n">
        <x:v>201</x:v>
      </x:c>
      <x:c r="T2614" s="2" t="str">
        <x:v>(11/2),(12/1)</x:v>
      </x:c>
      <x:c r="U2614" s="2" t="str">
        <x:v>2021 지정: (11/2),(12/1) / 2022 지정: (1/18)(5/18)</x:v>
      </x:c>
      <x:c r="V2614" s="2" t="str">
        <x:v>2022-07-15</x:v>
      </x:c>
      <x:c r="W2614" s="2" t="str"/>
      <x:c r="X2614" s="2" t="str">
        <x:v>종결 근거 보관</x:v>
      </x:c>
      <x:c r="Y2614" s="2" t="str">
        <x:v>ad210cd9ec132cfd447541c8984dc53d30aff0f4fb2dc92d254d49275cc55976</x:v>
      </x:c>
      <x:c r="Z2614" s="2" t="n">
        <x:f>SUBTOTAL(103,A2614)</x:f>
        <x:v>1</x:v>
      </x:c>
      <x:c r="AA2614" s="2" t="str">
        <x:f>IF(K2614&lt;&gt;"미종결 표시","대상 아님",IF(N2614="","신청일 확인",IF(NOT(ISNUMBER('종합 현황'!$H$5)),"관찰기준 확인",IF('종합 현황'!$H$5&lt;1,"관찰기준 확인",IF(N2614&gt;'종합 현황'!$H$5,"내부 관찰 대상","내부 관찰일 이하")))))</x:f>
        <x:v>대상 아님</x:v>
      </x:c>
      <x:c r="AB2614" s="2" t="str">
        <x:v>2021-10-27 14:18 - 신청
2021-11-24 10:55 - 보완요청
2021-11-26 11:59 - 신청
2021-12-29 10:06 - 문서재제출요청
2021-12-30 18:25 - 신청
2022-01-18 09:38 - 문서재제출요청
2022-01-18 11:37 - 신청
2022-02-23 16:04 - 문서재제출요청
2022-02-24 10:28 - 신청
2022-04-21 15:39 - 문서재제출요청
2022-04-22 16:08 - 신청
2022-07-05 17:46 - 검토승인
2022-07-15 15:14 - 심의승인</x:v>
      </x:c>
    </x:row>
    <x:row r="2615" ht="42" customHeight="1">
      <x:c r="A2615" s="2" t="str">
        <x:v>edc7584cd52906f62f0d59b7</x:v>
      </x:c>
      <x:c r="B2615" s="2" t="str">
        <x:v>감축량 인증</x:v>
      </x:c>
      <x:c r="C2615" s="2" t="str">
        <x:v>국외</x:v>
      </x:c>
      <x:c r="D2615" s="7" t="str">
        <x:v>안전한 식수 공급을 위한 정수기 보급 사업 : CPA 79(한국 지원)</x:v>
      </x:c>
      <x:c r="E2615" s="2" t="str">
        <x:v>200</x:v>
      </x:c>
      <x:c r="F2615" s="2" t="str">
        <x:v>2021-10-27</x:v>
      </x:c>
      <x:c r="G2615" s="2" t="str">
        <x:v>2021</x:v>
      </x:c>
      <x:c r="H2615" s="2" t="str">
        <x:v>10</x:v>
      </x:c>
      <x:c r="I2615" s="2" t="str">
        <x:v>심의승인</x:v>
      </x:c>
      <x:c r="J2615" s="2" t="str">
        <x:v>심의승인</x:v>
      </x:c>
      <x:c r="K2615" s="2" t="str">
        <x:f>IF(OR(J2615="심의승인",J2615="반려",J2615="반려완료",J2615="심의완료"),"종결 표시",IF(OR(J2615="기후부협의",J2615="문서재제출요청",J2615="보류",J2615="보완요청",J2615="보완완료",J2615="평가중",J2615="반려요청",J2615="평가필요",LEFT(J2615,5)="보완요청("),"미종결 표시","상태 확인 필요"))</x:f>
        <x:v>종결 표시</x:v>
      </x:c>
      <x:c r="L2615" s="2" t="str">
        <x:v>KECM</x:v>
      </x:c>
      <x:c r="M2615" s="2"/>
      <x:c r="N2615" s="8" t="n">
        <x:f>DATE(2026,10,15)-DATE(2021,10,27)</x:f>
        <x:v>1814</x:v>
      </x:c>
      <x:c r="O2615" s="2"/>
      <x:c r="P2615" s="2"/>
      <x:c r="Q2615" s="2" t="str">
        <x:v>산업전환_외부사업관리Tool_260707_이너젠 수정_LJY_261013.xlsx</x:v>
      </x:c>
      <x:c r="R2615" s="2" t="str">
        <x:v>국외인증</x:v>
      </x:c>
      <x:c r="S2615" s="8" t="n">
        <x:v>202</x:v>
      </x:c>
      <x:c r="T2615" s="2" t="str">
        <x:v>(11/2),(12/1)</x:v>
      </x:c>
      <x:c r="U2615" s="2" t="str">
        <x:v>2021 지정: (11/2),(12/1) / 2022 지정: (1/18)(5/18)</x:v>
      </x:c>
      <x:c r="V2615" s="2" t="str">
        <x:v>2022-07-15</x:v>
      </x:c>
      <x:c r="W2615" s="2" t="str"/>
      <x:c r="X2615" s="2" t="str">
        <x:v>종결 근거 보관</x:v>
      </x:c>
      <x:c r="Y2615" s="2" t="str">
        <x:v>ad210cd9ec132cfd447541c8984dc53d30aff0f4fb2dc92d254d49275cc55976</x:v>
      </x:c>
      <x:c r="Z2615" s="2" t="n">
        <x:f>SUBTOTAL(103,A2615)</x:f>
        <x:v>1</x:v>
      </x:c>
      <x:c r="AA2615" s="2" t="str">
        <x:f>IF(K2615&lt;&gt;"미종결 표시","대상 아님",IF(N2615="","신청일 확인",IF(NOT(ISNUMBER('종합 현황'!$H$5)),"관찰기준 확인",IF('종합 현황'!$H$5&lt;1,"관찰기준 확인",IF(N2615&gt;'종합 현황'!$H$5,"내부 관찰 대상","내부 관찰일 이하")))))</x:f>
        <x:v>대상 아님</x:v>
      </x:c>
      <x:c r="AB2615" s="2" t="str">
        <x:v>2021-10-27 14:21 - 신청
2021-11-24 10:56 - 보완요청
2021-11-26 12:00 - 신청
2021-12-29 10:07 - 문서재제출요청
2021-12-30 18:26 - 신청
2022-01-18 09:38 - 문서재제출요청
2022-01-18 11:37 - 신청
2022-02-23 16:04 - 문서재제출요청
2022-02-24 10:31 - 신청
2022-04-21 15:40 - 문서재제출요청
2022-04-22 16:08 - 신청
2022-07-05 17:46 - 검토승인
2022-07-15 15:15 - 심의승인</x:v>
      </x:c>
    </x:row>
    <x:row r="2616" ht="42" customHeight="1">
      <x:c r="A2616" s="2" t="str">
        <x:v>d2ffb0da723763a02e229d9a</x:v>
      </x:c>
      <x:c r="B2616" s="2" t="str">
        <x:v>감축량 인증</x:v>
      </x:c>
      <x:c r="C2616" s="2" t="str">
        <x:v>국외</x:v>
      </x:c>
      <x:c r="D2616" s="7" t="str">
        <x:v>안전한 식수 공급을 위한 정수기 보급 사업 : CPA 80(한국 지원)</x:v>
      </x:c>
      <x:c r="E2616" s="2" t="str">
        <x:v>201</x:v>
      </x:c>
      <x:c r="F2616" s="2" t="str">
        <x:v>2021-10-27</x:v>
      </x:c>
      <x:c r="G2616" s="2" t="str">
        <x:v>2021</x:v>
      </x:c>
      <x:c r="H2616" s="2" t="str">
        <x:v>10</x:v>
      </x:c>
      <x:c r="I2616" s="2" t="str">
        <x:v>심의승인</x:v>
      </x:c>
      <x:c r="J2616" s="2" t="str">
        <x:v>심의승인</x:v>
      </x:c>
      <x:c r="K2616" s="2" t="str">
        <x:f>IF(OR(J2616="심의승인",J2616="반려",J2616="반려완료",J2616="심의완료"),"종결 표시",IF(OR(J2616="기후부협의",J2616="문서재제출요청",J2616="보류",J2616="보완요청",J2616="보완완료",J2616="평가중",J2616="반려요청",J2616="평가필요",LEFT(J2616,5)="보완요청("),"미종결 표시","상태 확인 필요"))</x:f>
        <x:v>종결 표시</x:v>
      </x:c>
      <x:c r="L2616" s="2" t="str">
        <x:v>KECM</x:v>
      </x:c>
      <x:c r="M2616" s="2"/>
      <x:c r="N2616" s="8" t="n">
        <x:f>DATE(2026,10,15)-DATE(2021,10,27)</x:f>
        <x:v>1814</x:v>
      </x:c>
      <x:c r="O2616" s="2"/>
      <x:c r="P2616" s="2"/>
      <x:c r="Q2616" s="2" t="str">
        <x:v>산업전환_외부사업관리Tool_260707_이너젠 수정_LJY_261013.xlsx</x:v>
      </x:c>
      <x:c r="R2616" s="2" t="str">
        <x:v>국외인증</x:v>
      </x:c>
      <x:c r="S2616" s="8" t="n">
        <x:v>203</x:v>
      </x:c>
      <x:c r="T2616" s="2" t="str">
        <x:v>(11/2),(12/1)</x:v>
      </x:c>
      <x:c r="U2616" s="2" t="str">
        <x:v>2021 지정: (11/2),(12/1) / 2022 지정: (1/18)(5/18)</x:v>
      </x:c>
      <x:c r="V2616" s="2" t="str">
        <x:v>2022-07-15</x:v>
      </x:c>
      <x:c r="W2616" s="2" t="str"/>
      <x:c r="X2616" s="2" t="str">
        <x:v>종결 근거 보관</x:v>
      </x:c>
      <x:c r="Y2616" s="2" t="str">
        <x:v>ad210cd9ec132cfd447541c8984dc53d30aff0f4fb2dc92d254d49275cc55976</x:v>
      </x:c>
      <x:c r="Z2616" s="2" t="n">
        <x:f>SUBTOTAL(103,A2616)</x:f>
        <x:v>1</x:v>
      </x:c>
      <x:c r="AA2616" s="2" t="str">
        <x:f>IF(K2616&lt;&gt;"미종결 표시","대상 아님",IF(N2616="","신청일 확인",IF(NOT(ISNUMBER('종합 현황'!$H$5)),"관찰기준 확인",IF('종합 현황'!$H$5&lt;1,"관찰기준 확인",IF(N2616&gt;'종합 현황'!$H$5,"내부 관찰 대상","내부 관찰일 이하")))))</x:f>
        <x:v>대상 아님</x:v>
      </x:c>
      <x:c r="AB2616" s="2" t="str">
        <x:v>2021-10-27 14:24 - 신청
2021-11-24 10:57 - 보완요청
2021-11-26 12:00 - 신청
2021-12-29 10:07 - 문서재제출요청
2021-12-30 18:26 - 신청
2022-01-17 10:01 - 문서재제출요청
2022-01-18 11:37 - 신청
2022-02-23 16:05 - 문서재제출요청
2022-02-24 10:31 - 신청
2022-04-21 15:41 - 문서재제출요청
2022-04-22 16:08 - 신청
2022-07-05 17:45 - 검토승인
2022-07-15 15:19 - 심의승인</x:v>
      </x:c>
    </x:row>
    <x:row r="2617" ht="42" customHeight="1">
      <x:c r="A2617" s="2" t="str">
        <x:v>09ab46600ad3f5385a40b906</x:v>
      </x:c>
      <x:c r="B2617" s="2" t="str">
        <x:v>감축량 인증</x:v>
      </x:c>
      <x:c r="C2617" s="2" t="str">
        <x:v>국외</x:v>
      </x:c>
      <x:c r="D2617" s="7" t="str">
        <x:v>안전한 식수 공급을 위한 정수기 보급 사업 : CPA 81(한국 지원)</x:v>
      </x:c>
      <x:c r="E2617" s="2" t="str">
        <x:v>202</x:v>
      </x:c>
      <x:c r="F2617" s="2" t="str">
        <x:v>2021-10-27</x:v>
      </x:c>
      <x:c r="G2617" s="2" t="str">
        <x:v>2021</x:v>
      </x:c>
      <x:c r="H2617" s="2" t="str">
        <x:v>10</x:v>
      </x:c>
      <x:c r="I2617" s="2" t="str">
        <x:v>심의승인</x:v>
      </x:c>
      <x:c r="J2617" s="2" t="str">
        <x:v>심의승인</x:v>
      </x:c>
      <x:c r="K2617" s="2" t="str">
        <x:f>IF(OR(J2617="심의승인",J2617="반려",J2617="반려완료",J2617="심의완료"),"종결 표시",IF(OR(J2617="기후부협의",J2617="문서재제출요청",J2617="보류",J2617="보완요청",J2617="보완완료",J2617="평가중",J2617="반려요청",J2617="평가필요",LEFT(J2617,5)="보완요청("),"미종결 표시","상태 확인 필요"))</x:f>
        <x:v>종결 표시</x:v>
      </x:c>
      <x:c r="L2617" s="2" t="str">
        <x:v>KECM</x:v>
      </x:c>
      <x:c r="M2617" s="2"/>
      <x:c r="N2617" s="8" t="n">
        <x:f>DATE(2026,10,15)-DATE(2021,10,27)</x:f>
        <x:v>1814</x:v>
      </x:c>
      <x:c r="O2617" s="2"/>
      <x:c r="P2617" s="2"/>
      <x:c r="Q2617" s="2" t="str">
        <x:v>산업전환_외부사업관리Tool_260707_이너젠 수정_LJY_261013.xlsx</x:v>
      </x:c>
      <x:c r="R2617" s="2" t="str">
        <x:v>국외인증</x:v>
      </x:c>
      <x:c r="S2617" s="8" t="n">
        <x:v>204</x:v>
      </x:c>
      <x:c r="T2617" s="2" t="str">
        <x:v>(11/2),(12/1)</x:v>
      </x:c>
      <x:c r="U2617" s="2" t="str">
        <x:v>2021 지정: (11/2),(12/1) / 2022 지정: (1/18)(5/18)</x:v>
      </x:c>
      <x:c r="V2617" s="2" t="str">
        <x:v>2022-07-15</x:v>
      </x:c>
      <x:c r="W2617" s="2" t="str"/>
      <x:c r="X2617" s="2" t="str">
        <x:v>종결 근거 보관</x:v>
      </x:c>
      <x:c r="Y2617" s="2" t="str">
        <x:v>ad210cd9ec132cfd447541c8984dc53d30aff0f4fb2dc92d254d49275cc55976</x:v>
      </x:c>
      <x:c r="Z2617" s="2" t="n">
        <x:f>SUBTOTAL(103,A2617)</x:f>
        <x:v>1</x:v>
      </x:c>
      <x:c r="AA2617" s="2" t="str">
        <x:f>IF(K2617&lt;&gt;"미종결 표시","대상 아님",IF(N2617="","신청일 확인",IF(NOT(ISNUMBER('종합 현황'!$H$5)),"관찰기준 확인",IF('종합 현황'!$H$5&lt;1,"관찰기준 확인",IF(N2617&gt;'종합 현황'!$H$5,"내부 관찰 대상","내부 관찰일 이하")))))</x:f>
        <x:v>대상 아님</x:v>
      </x:c>
      <x:c r="AB2617" s="2" t="str">
        <x:v>2021-10-27 14:28 - 신청
2021-11-24 10:59 - 보완요청
2021-11-26 12:00 - 신청
2021-12-29 10:08 - 문서재제출요청
2021-12-30 18:26 - 신청
2022-01-18 09:39 - 문서재제출요청
2022-01-18 11:38 - 신청
2022-02-23 16:05 - 문서재제출요청
2022-02-24 10:32 - 신청
2022-04-21 15:42 - 문서재제출요청
2022-04-22 16:08 - 신청
2022-07-05 17:45 - 검토승인
2022-07-15 16:51 - 심의승인</x:v>
      </x:c>
    </x:row>
    <x:row r="2618" ht="42" customHeight="1">
      <x:c r="A2618" s="2" t="str">
        <x:v>0603616838b56d43d86e9749</x:v>
      </x:c>
      <x:c r="B2618" s="2" t="str">
        <x:v>감축량 인증</x:v>
      </x:c>
      <x:c r="C2618" s="2" t="str">
        <x:v>국외</x:v>
      </x:c>
      <x:c r="D2618" s="7" t="str">
        <x:v>안전한 식수 공급을 위한 정수기 보급 사업 : CPA 82(한국 지원)</x:v>
      </x:c>
      <x:c r="E2618" s="2" t="str">
        <x:v>203</x:v>
      </x:c>
      <x:c r="F2618" s="2" t="str">
        <x:v>2021-10-27</x:v>
      </x:c>
      <x:c r="G2618" s="2" t="str">
        <x:v>2021</x:v>
      </x:c>
      <x:c r="H2618" s="2" t="str">
        <x:v>10</x:v>
      </x:c>
      <x:c r="I2618" s="2" t="str">
        <x:v>심의승인</x:v>
      </x:c>
      <x:c r="J2618" s="2" t="str">
        <x:v>심의승인</x:v>
      </x:c>
      <x:c r="K2618" s="2" t="str">
        <x:f>IF(OR(J2618="심의승인",J2618="반려",J2618="반려완료",J2618="심의완료"),"종결 표시",IF(OR(J2618="기후부협의",J2618="문서재제출요청",J2618="보류",J2618="보완요청",J2618="보완완료",J2618="평가중",J2618="반려요청",J2618="평가필요",LEFT(J2618,5)="보완요청("),"미종결 표시","상태 확인 필요"))</x:f>
        <x:v>종결 표시</x:v>
      </x:c>
      <x:c r="L2618" s="2" t="str">
        <x:v>KECM</x:v>
      </x:c>
      <x:c r="M2618" s="2"/>
      <x:c r="N2618" s="8" t="n">
        <x:f>DATE(2026,10,15)-DATE(2021,10,27)</x:f>
        <x:v>1814</x:v>
      </x:c>
      <x:c r="O2618" s="2"/>
      <x:c r="P2618" s="2"/>
      <x:c r="Q2618" s="2" t="str">
        <x:v>산업전환_외부사업관리Tool_260707_이너젠 수정_LJY_261013.xlsx</x:v>
      </x:c>
      <x:c r="R2618" s="2" t="str">
        <x:v>국외인증</x:v>
      </x:c>
      <x:c r="S2618" s="8" t="n">
        <x:v>205</x:v>
      </x:c>
      <x:c r="T2618" s="2" t="str">
        <x:v>(11/2),(12/1)</x:v>
      </x:c>
      <x:c r="U2618" s="2" t="str">
        <x:v>2021 지정: (11/2),(12/1) / 2022 지정: (1/18)(5/18)</x:v>
      </x:c>
      <x:c r="V2618" s="2" t="str">
        <x:v>2022-07-15</x:v>
      </x:c>
      <x:c r="W2618" s="2" t="str"/>
      <x:c r="X2618" s="2" t="str">
        <x:v>종결 근거 보관</x:v>
      </x:c>
      <x:c r="Y2618" s="2" t="str">
        <x:v>ad210cd9ec132cfd447541c8984dc53d30aff0f4fb2dc92d254d49275cc55976</x:v>
      </x:c>
      <x:c r="Z2618" s="2" t="n">
        <x:f>SUBTOTAL(103,A2618)</x:f>
        <x:v>1</x:v>
      </x:c>
      <x:c r="AA2618" s="2" t="str">
        <x:f>IF(K2618&lt;&gt;"미종결 표시","대상 아님",IF(N2618="","신청일 확인",IF(NOT(ISNUMBER('종합 현황'!$H$5)),"관찰기준 확인",IF('종합 현황'!$H$5&lt;1,"관찰기준 확인",IF(N2618&gt;'종합 현황'!$H$5,"내부 관찰 대상","내부 관찰일 이하")))))</x:f>
        <x:v>대상 아님</x:v>
      </x:c>
      <x:c r="AB2618" s="2" t="str">
        <x:v>2021-10-27 14:31 - 신청
2021-11-24 11:00 - 보완요청
2021-11-26 12:00 - 신청
2021-12-29 10:08 - 문서재제출요청
2021-12-30 18:26 - 신청
2022-01-18 09:39 - 문서재제출요청
2022-01-18 11:38 - 신청
2022-02-23 16:05 - 문서재제출요청
2022-02-24 10:32 - 신청
2022-04-21 15:43 - 문서재제출요청
2022-04-22 16:08 - 신청
2022-07-05 17:45 - 검토승인
2022-07-15 16:52 - 심의승인</x:v>
      </x:c>
    </x:row>
    <x:row r="2619" ht="42" customHeight="1">
      <x:c r="A2619" s="2" t="str">
        <x:v>b8867578cafeb54cae87b7d9</x:v>
      </x:c>
      <x:c r="B2619" s="2" t="str">
        <x:v>감축량 인증</x:v>
      </x:c>
      <x:c r="C2619" s="2" t="str">
        <x:v>국외</x:v>
      </x:c>
      <x:c r="D2619" s="7" t="str">
        <x:v>안전한 식수 공급을 위한 정수기 보급 사업 : CPA 83(한국 지원)</x:v>
      </x:c>
      <x:c r="E2619" s="2" t="str">
        <x:v>204</x:v>
      </x:c>
      <x:c r="F2619" s="2" t="str">
        <x:v>2021-10-27</x:v>
      </x:c>
      <x:c r="G2619" s="2" t="str">
        <x:v>2021</x:v>
      </x:c>
      <x:c r="H2619" s="2" t="str">
        <x:v>10</x:v>
      </x:c>
      <x:c r="I2619" s="2" t="str">
        <x:v>심의승인</x:v>
      </x:c>
      <x:c r="J2619" s="2" t="str">
        <x:v>심의승인</x:v>
      </x:c>
      <x:c r="K2619" s="2" t="str">
        <x:f>IF(OR(J2619="심의승인",J2619="반려",J2619="반려완료",J2619="심의완료"),"종결 표시",IF(OR(J2619="기후부협의",J2619="문서재제출요청",J2619="보류",J2619="보완요청",J2619="보완완료",J2619="평가중",J2619="반려요청",J2619="평가필요",LEFT(J2619,5)="보완요청("),"미종결 표시","상태 확인 필요"))</x:f>
        <x:v>종결 표시</x:v>
      </x:c>
      <x:c r="L2619" s="2" t="str">
        <x:v>KECM</x:v>
      </x:c>
      <x:c r="M2619" s="2"/>
      <x:c r="N2619" s="8" t="n">
        <x:f>DATE(2026,10,15)-DATE(2021,10,27)</x:f>
        <x:v>1814</x:v>
      </x:c>
      <x:c r="O2619" s="2"/>
      <x:c r="P2619" s="2"/>
      <x:c r="Q2619" s="2" t="str">
        <x:v>산업전환_외부사업관리Tool_260707_이너젠 수정_LJY_261013.xlsx</x:v>
      </x:c>
      <x:c r="R2619" s="2" t="str">
        <x:v>국외인증</x:v>
      </x:c>
      <x:c r="S2619" s="8" t="n">
        <x:v>206</x:v>
      </x:c>
      <x:c r="T2619" s="2" t="str">
        <x:v>(11/2),(12/1)</x:v>
      </x:c>
      <x:c r="U2619" s="2" t="str">
        <x:v>2021 지정: (11/2),(12/1) / 2022 지정: (1/18)(5/18)</x:v>
      </x:c>
      <x:c r="V2619" s="2" t="str">
        <x:v>2022-07-15</x:v>
      </x:c>
      <x:c r="W2619" s="2" t="str"/>
      <x:c r="X2619" s="2" t="str">
        <x:v>종결 근거 보관</x:v>
      </x:c>
      <x:c r="Y2619" s="2" t="str">
        <x:v>ad210cd9ec132cfd447541c8984dc53d30aff0f4fb2dc92d254d49275cc55976</x:v>
      </x:c>
      <x:c r="Z2619" s="2" t="n">
        <x:f>SUBTOTAL(103,A2619)</x:f>
        <x:v>1</x:v>
      </x:c>
      <x:c r="AA2619" s="2" t="str">
        <x:f>IF(K2619&lt;&gt;"미종결 표시","대상 아님",IF(N2619="","신청일 확인",IF(NOT(ISNUMBER('종합 현황'!$H$5)),"관찰기준 확인",IF('종합 현황'!$H$5&lt;1,"관찰기준 확인",IF(N2619&gt;'종합 현황'!$H$5,"내부 관찰 대상","내부 관찰일 이하")))))</x:f>
        <x:v>대상 아님</x:v>
      </x:c>
      <x:c r="AB2619" s="2" t="str">
        <x:v>2021-10-27 14:34 - 신청
2021-11-24 11:01 - 보완요청
2021-11-26 12:00 - 신청
2021-12-29 10:08 - 문서재제출요청
2021-12-30 18:27 - 신청
2022-01-18 09:39 - 문서재제출요청
2022-01-18 11:38 - 신청
2022-02-23 16:05 - 문서재제출요청
2022-02-24 10:33 - 신청
2022-04-21 15:43 - 보완요청
2022-04-22 16:08 - 신청
2022-07-05 17:44 - 검토승인
2022-07-15 16:53 - 심의승인</x:v>
      </x:c>
    </x:row>
    <x:row r="2620" ht="42" customHeight="1">
      <x:c r="A2620" s="2" t="str">
        <x:v>e7c2f389013975bff0a970b5</x:v>
      </x:c>
      <x:c r="B2620" s="2" t="str">
        <x:v>감축량 인증</x:v>
      </x:c>
      <x:c r="C2620" s="2" t="str">
        <x:v>국외</x:v>
      </x:c>
      <x:c r="D2620" s="7" t="str">
        <x:v>안전한 식수 공급을 위한 정수기 보급 사업 : CPA 84(한국 지원)</x:v>
      </x:c>
      <x:c r="E2620" s="2" t="str">
        <x:v>205</x:v>
      </x:c>
      <x:c r="F2620" s="2" t="str">
        <x:v>2021-10-27</x:v>
      </x:c>
      <x:c r="G2620" s="2" t="str">
        <x:v>2021</x:v>
      </x:c>
      <x:c r="H2620" s="2" t="str">
        <x:v>10</x:v>
      </x:c>
      <x:c r="I2620" s="2" t="str">
        <x:v>심의승인</x:v>
      </x:c>
      <x:c r="J2620" s="2" t="str">
        <x:v>심의승인</x:v>
      </x:c>
      <x:c r="K2620" s="2" t="str">
        <x:f>IF(OR(J2620="심의승인",J2620="반려",J2620="반려완료",J2620="심의완료"),"종결 표시",IF(OR(J2620="기후부협의",J2620="문서재제출요청",J2620="보류",J2620="보완요청",J2620="보완완료",J2620="평가중",J2620="반려요청",J2620="평가필요",LEFT(J2620,5)="보완요청("),"미종결 표시","상태 확인 필요"))</x:f>
        <x:v>종결 표시</x:v>
      </x:c>
      <x:c r="L2620" s="2" t="str">
        <x:v>KECM</x:v>
      </x:c>
      <x:c r="M2620" s="2"/>
      <x:c r="N2620" s="8" t="n">
        <x:f>DATE(2026,10,15)-DATE(2021,10,27)</x:f>
        <x:v>1814</x:v>
      </x:c>
      <x:c r="O2620" s="2"/>
      <x:c r="P2620" s="2"/>
      <x:c r="Q2620" s="2" t="str">
        <x:v>산업전환_외부사업관리Tool_260707_이너젠 수정_LJY_261013.xlsx</x:v>
      </x:c>
      <x:c r="R2620" s="2" t="str">
        <x:v>국외인증</x:v>
      </x:c>
      <x:c r="S2620" s="8" t="n">
        <x:v>207</x:v>
      </x:c>
      <x:c r="T2620" s="2" t="str">
        <x:v>(11/2),(12/1)</x:v>
      </x:c>
      <x:c r="U2620" s="2" t="str">
        <x:v>2021 지정: (11/2),(12/1) / 2022 지정: (1/18)(5/18)</x:v>
      </x:c>
      <x:c r="V2620" s="2" t="str">
        <x:v>2022-07-15</x:v>
      </x:c>
      <x:c r="W2620" s="2" t="str"/>
      <x:c r="X2620" s="2" t="str">
        <x:v>종결 근거 보관</x:v>
      </x:c>
      <x:c r="Y2620" s="2" t="str">
        <x:v>ad210cd9ec132cfd447541c8984dc53d30aff0f4fb2dc92d254d49275cc55976</x:v>
      </x:c>
      <x:c r="Z2620" s="2" t="n">
        <x:f>SUBTOTAL(103,A2620)</x:f>
        <x:v>1</x:v>
      </x:c>
      <x:c r="AA2620" s="2" t="str">
        <x:f>IF(K2620&lt;&gt;"미종결 표시","대상 아님",IF(N2620="","신청일 확인",IF(NOT(ISNUMBER('종합 현황'!$H$5)),"관찰기준 확인",IF('종합 현황'!$H$5&lt;1,"관찰기준 확인",IF(N2620&gt;'종합 현황'!$H$5,"내부 관찰 대상","내부 관찰일 이하")))))</x:f>
        <x:v>대상 아님</x:v>
      </x:c>
      <x:c r="AB2620" s="2" t="str">
        <x:v>2021-10-27 14:36 - 신청
2021-11-24 11:02 - 보완요청
2021-11-26 12:01 - 신청
2021-12-29 10:09 - 문서재제출요청
2021-12-30 18:27 - 신청
2022-01-17 10:02 - 문서재제출요청
2022-01-18 11:39 - 신청
2022-02-23 16:06 - 문서재제출요청
2022-02-24 10:33 - 신청
2022-04-21 15:44 - 문서재제출요청
2022-04-22 16:08 - 신청
2022-07-05 17:44 - 검토승인
2022-07-15 16:54 - 심의승인</x:v>
      </x:c>
    </x:row>
    <x:row r="2621" ht="42" customHeight="1">
      <x:c r="A2621" s="2" t="str">
        <x:v>3a20ffd498271151e1f62175</x:v>
      </x:c>
      <x:c r="B2621" s="2" t="str">
        <x:v>감축량 인증</x:v>
      </x:c>
      <x:c r="C2621" s="2" t="str">
        <x:v>국외</x:v>
      </x:c>
      <x:c r="D2621" s="7" t="str">
        <x:v>안전한 식수 공급을 위한 정수기 보급 사업 : CPA 85(한국 지원)</x:v>
      </x:c>
      <x:c r="E2621" s="2" t="str">
        <x:v>206</x:v>
      </x:c>
      <x:c r="F2621" s="2" t="str">
        <x:v>2021-10-27</x:v>
      </x:c>
      <x:c r="G2621" s="2" t="str">
        <x:v>2021</x:v>
      </x:c>
      <x:c r="H2621" s="2" t="str">
        <x:v>10</x:v>
      </x:c>
      <x:c r="I2621" s="2" t="str">
        <x:v>심의승인</x:v>
      </x:c>
      <x:c r="J2621" s="2" t="str">
        <x:v>심의승인</x:v>
      </x:c>
      <x:c r="K2621" s="2" t="str">
        <x:f>IF(OR(J2621="심의승인",J2621="반려",J2621="반려완료",J2621="심의완료"),"종결 표시",IF(OR(J2621="기후부협의",J2621="문서재제출요청",J2621="보류",J2621="보완요청",J2621="보완완료",J2621="평가중",J2621="반려요청",J2621="평가필요",LEFT(J2621,5)="보완요청("),"미종결 표시","상태 확인 필요"))</x:f>
        <x:v>종결 표시</x:v>
      </x:c>
      <x:c r="L2621" s="2" t="str">
        <x:v>KECM</x:v>
      </x:c>
      <x:c r="M2621" s="2"/>
      <x:c r="N2621" s="8" t="n">
        <x:f>DATE(2026,10,15)-DATE(2021,10,27)</x:f>
        <x:v>1814</x:v>
      </x:c>
      <x:c r="O2621" s="2"/>
      <x:c r="P2621" s="2"/>
      <x:c r="Q2621" s="2" t="str">
        <x:v>산업전환_외부사업관리Tool_260707_이너젠 수정_LJY_261013.xlsx</x:v>
      </x:c>
      <x:c r="R2621" s="2" t="str">
        <x:v>국외인증</x:v>
      </x:c>
      <x:c r="S2621" s="8" t="n">
        <x:v>208</x:v>
      </x:c>
      <x:c r="T2621" s="2" t="str">
        <x:v>(11/2),(12/1)</x:v>
      </x:c>
      <x:c r="U2621" s="2" t="str">
        <x:v>2021 지정: (11/2),(12/1) / 2022 지정: (1/18)(5/18)</x:v>
      </x:c>
      <x:c r="V2621" s="2" t="str">
        <x:v>2022-07-15</x:v>
      </x:c>
      <x:c r="W2621" s="2" t="str"/>
      <x:c r="X2621" s="2" t="str">
        <x:v>종결 근거 보관</x:v>
      </x:c>
      <x:c r="Y2621" s="2" t="str">
        <x:v>ad210cd9ec132cfd447541c8984dc53d30aff0f4fb2dc92d254d49275cc55976</x:v>
      </x:c>
      <x:c r="Z2621" s="2" t="n">
        <x:f>SUBTOTAL(103,A2621)</x:f>
        <x:v>1</x:v>
      </x:c>
      <x:c r="AA2621" s="2" t="str">
        <x:f>IF(K2621&lt;&gt;"미종결 표시","대상 아님",IF(N2621="","신청일 확인",IF(NOT(ISNUMBER('종합 현황'!$H$5)),"관찰기준 확인",IF('종합 현황'!$H$5&lt;1,"관찰기준 확인",IF(N2621&gt;'종합 현황'!$H$5,"내부 관찰 대상","내부 관찰일 이하")))))</x:f>
        <x:v>대상 아님</x:v>
      </x:c>
      <x:c r="AB2621" s="2" t="str">
        <x:v>2021-10-27 14:40 - 신청
2021-11-24 11:02 - 보완요청
2021-11-26 12:01 - 신청
2021-12-29 10:09 - 문서재제출요청
2021-12-30 18:27 - 신청
2022-01-18 09:39 - 문서재제출요청
2022-01-18 11:39 - 신청
2022-02-23 16:06 - 문서재제출요청
2022-02-24 10:34 - 신청
2022-04-21 15:44 - 문서재제출요청
2022-04-22 16:08 - 신청
2022-07-05 17:44 - 검토승인
2022-07-15 16:55 - 심의승인</x:v>
      </x:c>
    </x:row>
    <x:row r="2622" ht="42" customHeight="1">
      <x:c r="A2622" s="2" t="str">
        <x:v>bd99a023a2ace1dc3ee36697</x:v>
      </x:c>
      <x:c r="B2622" s="2" t="str">
        <x:v>감축량 인증</x:v>
      </x:c>
      <x:c r="C2622" s="2" t="str">
        <x:v>국외</x:v>
      </x:c>
      <x:c r="D2622" s="7" t="str">
        <x:v>안전한 식수 공급을 위한 정수기 보급 사업 : CPA 86(한국 지원)</x:v>
      </x:c>
      <x:c r="E2622" s="2" t="str">
        <x:v>207</x:v>
      </x:c>
      <x:c r="F2622" s="2" t="str">
        <x:v>2021-10-27</x:v>
      </x:c>
      <x:c r="G2622" s="2" t="str">
        <x:v>2021</x:v>
      </x:c>
      <x:c r="H2622" s="2" t="str">
        <x:v>10</x:v>
      </x:c>
      <x:c r="I2622" s="2" t="str">
        <x:v>심의승인</x:v>
      </x:c>
      <x:c r="J2622" s="2" t="str">
        <x:v>심의승인</x:v>
      </x:c>
      <x:c r="K2622" s="2" t="str">
        <x:f>IF(OR(J2622="심의승인",J2622="반려",J2622="반려완료",J2622="심의완료"),"종결 표시",IF(OR(J2622="기후부협의",J2622="문서재제출요청",J2622="보류",J2622="보완요청",J2622="보완완료",J2622="평가중",J2622="반려요청",J2622="평가필요",LEFT(J2622,5)="보완요청("),"미종결 표시","상태 확인 필요"))</x:f>
        <x:v>종결 표시</x:v>
      </x:c>
      <x:c r="L2622" s="2" t="str">
        <x:v>KECM</x:v>
      </x:c>
      <x:c r="M2622" s="2"/>
      <x:c r="N2622" s="8" t="n">
        <x:f>DATE(2026,10,15)-DATE(2021,10,27)</x:f>
        <x:v>1814</x:v>
      </x:c>
      <x:c r="O2622" s="2"/>
      <x:c r="P2622" s="2"/>
      <x:c r="Q2622" s="2" t="str">
        <x:v>산업전환_외부사업관리Tool_260707_이너젠 수정_LJY_261013.xlsx</x:v>
      </x:c>
      <x:c r="R2622" s="2" t="str">
        <x:v>국외인증</x:v>
      </x:c>
      <x:c r="S2622" s="8" t="n">
        <x:v>209</x:v>
      </x:c>
      <x:c r="T2622" s="2" t="str">
        <x:v>(11/2),(12/1)</x:v>
      </x:c>
      <x:c r="U2622" s="2" t="str">
        <x:v>2021 지정: (11/2),(12/1) / 2022 지정: (1/18)(5/18)</x:v>
      </x:c>
      <x:c r="V2622" s="2" t="str">
        <x:v>2022-07-15</x:v>
      </x:c>
      <x:c r="W2622" s="2" t="str"/>
      <x:c r="X2622" s="2" t="str">
        <x:v>종결 근거 보관</x:v>
      </x:c>
      <x:c r="Y2622" s="2" t="str">
        <x:v>ad210cd9ec132cfd447541c8984dc53d30aff0f4fb2dc92d254d49275cc55976</x:v>
      </x:c>
      <x:c r="Z2622" s="2" t="n">
        <x:f>SUBTOTAL(103,A2622)</x:f>
        <x:v>1</x:v>
      </x:c>
      <x:c r="AA2622" s="2" t="str">
        <x:f>IF(K2622&lt;&gt;"미종결 표시","대상 아님",IF(N2622="","신청일 확인",IF(NOT(ISNUMBER('종합 현황'!$H$5)),"관찰기준 확인",IF('종합 현황'!$H$5&lt;1,"관찰기준 확인",IF(N2622&gt;'종합 현황'!$H$5,"내부 관찰 대상","내부 관찰일 이하")))))</x:f>
        <x:v>대상 아님</x:v>
      </x:c>
      <x:c r="AB2622" s="2" t="str">
        <x:v>2021-10-27 14:43 - 신청
2021-11-24 11:04 - 보완요청
2021-11-26 12:01 - 신청
2021-12-29 10:09 - 문서재제출요청
2021-12-30 18:27 - 신청
2022-01-18 09:40 - 문서재제출요청
2022-01-18 11:40 - 신청
2022-02-23 16:06 - 문서재제출요청
2022-02-24 10:34 - 신청
2022-04-21 15:45 - 문서재제출요청
2022-04-22 16:09 - 신청
2022-07-05 17:43 - 검토승인
2022-07-15 16:56 - 심의승인</x:v>
      </x:c>
    </x:row>
    <x:row r="2623" ht="42" customHeight="1">
      <x:c r="A2623" s="2" t="str">
        <x:v>d59df7e4b6dac3ec3dd142d5</x:v>
      </x:c>
      <x:c r="B2623" s="2" t="str">
        <x:v>감축량 인증</x:v>
      </x:c>
      <x:c r="C2623" s="2" t="str">
        <x:v>국외</x:v>
      </x:c>
      <x:c r="D2623" s="7" t="str">
        <x:v>안전한 식수 공급을 위한 정수기 보급 사업 : CPA 87(한국 지원)</x:v>
      </x:c>
      <x:c r="E2623" s="2" t="str">
        <x:v>208</x:v>
      </x:c>
      <x:c r="F2623" s="2" t="str">
        <x:v>2021-10-27</x:v>
      </x:c>
      <x:c r="G2623" s="2" t="str">
        <x:v>2021</x:v>
      </x:c>
      <x:c r="H2623" s="2" t="str">
        <x:v>10</x:v>
      </x:c>
      <x:c r="I2623" s="2" t="str">
        <x:v>심의승인</x:v>
      </x:c>
      <x:c r="J2623" s="2" t="str">
        <x:v>심의승인</x:v>
      </x:c>
      <x:c r="K2623" s="2" t="str">
        <x:f>IF(OR(J2623="심의승인",J2623="반려",J2623="반려완료",J2623="심의완료"),"종결 표시",IF(OR(J2623="기후부협의",J2623="문서재제출요청",J2623="보류",J2623="보완요청",J2623="보완완료",J2623="평가중",J2623="반려요청",J2623="평가필요",LEFT(J2623,5)="보완요청("),"미종결 표시","상태 확인 필요"))</x:f>
        <x:v>종결 표시</x:v>
      </x:c>
      <x:c r="L2623" s="2" t="str">
        <x:v>KECM</x:v>
      </x:c>
      <x:c r="M2623" s="2"/>
      <x:c r="N2623" s="8" t="n">
        <x:f>DATE(2026,10,15)-DATE(2021,10,27)</x:f>
        <x:v>1814</x:v>
      </x:c>
      <x:c r="O2623" s="2"/>
      <x:c r="P2623" s="2"/>
      <x:c r="Q2623" s="2" t="str">
        <x:v>산업전환_외부사업관리Tool_260707_이너젠 수정_LJY_261013.xlsx</x:v>
      </x:c>
      <x:c r="R2623" s="2" t="str">
        <x:v>국외인증</x:v>
      </x:c>
      <x:c r="S2623" s="8" t="n">
        <x:v>210</x:v>
      </x:c>
      <x:c r="T2623" s="2" t="str">
        <x:v>(11/2),(12/1)</x:v>
      </x:c>
      <x:c r="U2623" s="2" t="str">
        <x:v>2021 지정: (11/2),(12/1) / 2022 지정: (1/18)(5/18)</x:v>
      </x:c>
      <x:c r="V2623" s="2" t="str">
        <x:v>2022-07-15</x:v>
      </x:c>
      <x:c r="W2623" s="2" t="str"/>
      <x:c r="X2623" s="2" t="str">
        <x:v>종결 근거 보관</x:v>
      </x:c>
      <x:c r="Y2623" s="2" t="str">
        <x:v>ad210cd9ec132cfd447541c8984dc53d30aff0f4fb2dc92d254d49275cc55976</x:v>
      </x:c>
      <x:c r="Z2623" s="2" t="n">
        <x:f>SUBTOTAL(103,A2623)</x:f>
        <x:v>1</x:v>
      </x:c>
      <x:c r="AA2623" s="2" t="str">
        <x:f>IF(K2623&lt;&gt;"미종결 표시","대상 아님",IF(N2623="","신청일 확인",IF(NOT(ISNUMBER('종합 현황'!$H$5)),"관찰기준 확인",IF('종합 현황'!$H$5&lt;1,"관찰기준 확인",IF(N2623&gt;'종합 현황'!$H$5,"내부 관찰 대상","내부 관찰일 이하")))))</x:f>
        <x:v>대상 아님</x:v>
      </x:c>
      <x:c r="AB2623" s="2" t="str">
        <x:v>2021-10-27 14:47 - 신청
2021-11-24 11:04 - 보완요청
2021-11-26 12:01 - 신청
2021-12-29 10:09 - 문서재제출요청
2021-12-30 18:28 - 신청
2022-01-18 09:40 - 문서재제출요청
2022-01-18 11:40 - 신청
2022-02-23 16:07 - 문서재제출요청
2022-02-24 10:35 - 신청
2022-04-21 15:45 - 문서재제출요청
2022-04-22 16:09 - 신청
2022-07-05 17:43 - 검토승인
2022-07-15 16:57 - 심의승인</x:v>
      </x:c>
    </x:row>
    <x:row r="2624" ht="42" customHeight="1">
      <x:c r="A2624" s="2" t="str">
        <x:v>60ef3dec0238f851e76733f9</x:v>
      </x:c>
      <x:c r="B2624" s="2" t="str">
        <x:v>감축량 인증</x:v>
      </x:c>
      <x:c r="C2624" s="2" t="str">
        <x:v>국외</x:v>
      </x:c>
      <x:c r="D2624" s="7" t="str">
        <x:v>안전한 식수 공급을 위한 정수기 보급 사업 : CPA 88(한국 지원)</x:v>
      </x:c>
      <x:c r="E2624" s="2" t="str">
        <x:v>209</x:v>
      </x:c>
      <x:c r="F2624" s="2" t="str">
        <x:v>2021-10-27</x:v>
      </x:c>
      <x:c r="G2624" s="2" t="str">
        <x:v>2021</x:v>
      </x:c>
      <x:c r="H2624" s="2" t="str">
        <x:v>10</x:v>
      </x:c>
      <x:c r="I2624" s="2" t="str">
        <x:v>심의승인</x:v>
      </x:c>
      <x:c r="J2624" s="2" t="str">
        <x:v>심의승인</x:v>
      </x:c>
      <x:c r="K2624" s="2" t="str">
        <x:f>IF(OR(J2624="심의승인",J2624="반려",J2624="반려완료",J2624="심의완료"),"종결 표시",IF(OR(J2624="기후부협의",J2624="문서재제출요청",J2624="보류",J2624="보완요청",J2624="보완완료",J2624="평가중",J2624="반려요청",J2624="평가필요",LEFT(J2624,5)="보완요청("),"미종결 표시","상태 확인 필요"))</x:f>
        <x:v>종결 표시</x:v>
      </x:c>
      <x:c r="L2624" s="2" t="str">
        <x:v>KECM</x:v>
      </x:c>
      <x:c r="M2624" s="2"/>
      <x:c r="N2624" s="8" t="n">
        <x:f>DATE(2026,10,15)-DATE(2021,10,27)</x:f>
        <x:v>1814</x:v>
      </x:c>
      <x:c r="O2624" s="2"/>
      <x:c r="P2624" s="2"/>
      <x:c r="Q2624" s="2" t="str">
        <x:v>산업전환_외부사업관리Tool_260707_이너젠 수정_LJY_261013.xlsx</x:v>
      </x:c>
      <x:c r="R2624" s="2" t="str">
        <x:v>국외인증</x:v>
      </x:c>
      <x:c r="S2624" s="8" t="n">
        <x:v>211</x:v>
      </x:c>
      <x:c r="T2624" s="2" t="str">
        <x:v>(11/2),(12/1)</x:v>
      </x:c>
      <x:c r="U2624" s="2" t="str">
        <x:v>2021 지정: (11/2),(12/1) / 2022 지정: (1/18)(5/18)</x:v>
      </x:c>
      <x:c r="V2624" s="2" t="str">
        <x:v>2022-07-15</x:v>
      </x:c>
      <x:c r="W2624" s="2" t="str"/>
      <x:c r="X2624" s="2" t="str">
        <x:v>종결 근거 보관</x:v>
      </x:c>
      <x:c r="Y2624" s="2" t="str">
        <x:v>ad210cd9ec132cfd447541c8984dc53d30aff0f4fb2dc92d254d49275cc55976</x:v>
      </x:c>
      <x:c r="Z2624" s="2" t="n">
        <x:f>SUBTOTAL(103,A2624)</x:f>
        <x:v>1</x:v>
      </x:c>
      <x:c r="AA2624" s="2" t="str">
        <x:f>IF(K2624&lt;&gt;"미종결 표시","대상 아님",IF(N2624="","신청일 확인",IF(NOT(ISNUMBER('종합 현황'!$H$5)),"관찰기준 확인",IF('종합 현황'!$H$5&lt;1,"관찰기준 확인",IF(N2624&gt;'종합 현황'!$H$5,"내부 관찰 대상","내부 관찰일 이하")))))</x:f>
        <x:v>대상 아님</x:v>
      </x:c>
      <x:c r="AB2624" s="2" t="str">
        <x:v>2021-10-27 14:50 - 신청
2021-11-24 11:05 - 보완요청
2021-11-26 12:01 - 신청
2021-12-29 10:09 - 문서재제출요청
2021-12-30 18:28 - 신청
2022-01-18 09:40 - 문서재제출요청
2022-01-18 11:40 - 신청
2022-02-23 16:07 - 문서재제출요청
2022-02-24 10:36 - 신청
2022-04-21 15:45 - 문서재제출요청
2022-04-22 16:09 - 신청
2022-07-05 17:43 - 검토승인
2022-07-15 16:57 - 심의승인</x:v>
      </x:c>
    </x:row>
    <x:row r="2625" ht="42" customHeight="1">
      <x:c r="A2625" s="2" t="str">
        <x:v>72e6358b57b89950ab530bcf</x:v>
      </x:c>
      <x:c r="B2625" s="2" t="str">
        <x:v>감축량 인증</x:v>
      </x:c>
      <x:c r="C2625" s="2" t="str">
        <x:v>국외</x:v>
      </x:c>
      <x:c r="D2625" s="7" t="str">
        <x:v>안전한 식수 공급을 위한 정수기 보급 사업 : CPA 89(한국 지원)</x:v>
      </x:c>
      <x:c r="E2625" s="2" t="str">
        <x:v>210</x:v>
      </x:c>
      <x:c r="F2625" s="2" t="str">
        <x:v>2021-10-27</x:v>
      </x:c>
      <x:c r="G2625" s="2" t="str">
        <x:v>2021</x:v>
      </x:c>
      <x:c r="H2625" s="2" t="str">
        <x:v>10</x:v>
      </x:c>
      <x:c r="I2625" s="2" t="str">
        <x:v>심의승인</x:v>
      </x:c>
      <x:c r="J2625" s="2" t="str">
        <x:v>심의승인</x:v>
      </x:c>
      <x:c r="K2625" s="2" t="str">
        <x:f>IF(OR(J2625="심의승인",J2625="반려",J2625="반려완료",J2625="심의완료"),"종결 표시",IF(OR(J2625="기후부협의",J2625="문서재제출요청",J2625="보류",J2625="보완요청",J2625="보완완료",J2625="평가중",J2625="반려요청",J2625="평가필요",LEFT(J2625,5)="보완요청("),"미종결 표시","상태 확인 필요"))</x:f>
        <x:v>종결 표시</x:v>
      </x:c>
      <x:c r="L2625" s="2" t="str">
        <x:v>KECM</x:v>
      </x:c>
      <x:c r="M2625" s="2"/>
      <x:c r="N2625" s="8" t="n">
        <x:f>DATE(2026,10,15)-DATE(2021,10,27)</x:f>
        <x:v>1814</x:v>
      </x:c>
      <x:c r="O2625" s="2"/>
      <x:c r="P2625" s="2"/>
      <x:c r="Q2625" s="2" t="str">
        <x:v>산업전환_외부사업관리Tool_260707_이너젠 수정_LJY_261013.xlsx</x:v>
      </x:c>
      <x:c r="R2625" s="2" t="str">
        <x:v>국외인증</x:v>
      </x:c>
      <x:c r="S2625" s="8" t="n">
        <x:v>212</x:v>
      </x:c>
      <x:c r="T2625" s="2" t="str">
        <x:v>(11/2),(12/1)</x:v>
      </x:c>
      <x:c r="U2625" s="2" t="str">
        <x:v>2021 지정: (11/2),(12/1) / 2022 지정: (1/18)(5/18)</x:v>
      </x:c>
      <x:c r="V2625" s="2" t="str">
        <x:v>2022-07-15</x:v>
      </x:c>
      <x:c r="W2625" s="2" t="str"/>
      <x:c r="X2625" s="2" t="str">
        <x:v>종결 근거 보관</x:v>
      </x:c>
      <x:c r="Y2625" s="2" t="str">
        <x:v>ad210cd9ec132cfd447541c8984dc53d30aff0f4fb2dc92d254d49275cc55976</x:v>
      </x:c>
      <x:c r="Z2625" s="2" t="n">
        <x:f>SUBTOTAL(103,A2625)</x:f>
        <x:v>1</x:v>
      </x:c>
      <x:c r="AA2625" s="2" t="str">
        <x:f>IF(K2625&lt;&gt;"미종결 표시","대상 아님",IF(N2625="","신청일 확인",IF(NOT(ISNUMBER('종합 현황'!$H$5)),"관찰기준 확인",IF('종합 현황'!$H$5&lt;1,"관찰기준 확인",IF(N2625&gt;'종합 현황'!$H$5,"내부 관찰 대상","내부 관찰일 이하")))))</x:f>
        <x:v>대상 아님</x:v>
      </x:c>
      <x:c r="AB2625" s="2" t="str">
        <x:v>2021-10-27 14:53 - 신청
2021-11-24 11:06 - 보완요청
2021-11-26 12:02 - 신청
2021-12-29 10:10 - 문서재제출요청
2021-12-30 18:28 - 신청
2022-01-18 09:40 - 문서재제출요청
2022-01-18 11:41 - 신청
2022-02-23 16:10 - 문서재제출요청
2022-02-24 10:36 - 신청
2022-04-21 15:46 - 문서재제출요청
2022-04-22 16:09 - 신청
2022-07-05 17:42 - 검토승인
2022-07-15 16:57 - 심의승인</x:v>
      </x:c>
    </x:row>
    <x:row r="2626" ht="42" customHeight="1">
      <x:c r="A2626" s="2" t="str">
        <x:v>8f26529e5245e252835611e8</x:v>
      </x:c>
      <x:c r="B2626" s="2" t="str">
        <x:v>감축량 인증</x:v>
      </x:c>
      <x:c r="C2626" s="2" t="str">
        <x:v>국외</x:v>
      </x:c>
      <x:c r="D2626" s="7" t="str">
        <x:v>안전한 식수 공급을 위한 정수기 보급 사업 : CPA 90(한국 지원)</x:v>
      </x:c>
      <x:c r="E2626" s="2" t="str">
        <x:v>211</x:v>
      </x:c>
      <x:c r="F2626" s="2" t="str">
        <x:v>2021-10-27</x:v>
      </x:c>
      <x:c r="G2626" s="2" t="str">
        <x:v>2021</x:v>
      </x:c>
      <x:c r="H2626" s="2" t="str">
        <x:v>10</x:v>
      </x:c>
      <x:c r="I2626" s="2" t="str">
        <x:v>심의승인</x:v>
      </x:c>
      <x:c r="J2626" s="2" t="str">
        <x:v>심의승인</x:v>
      </x:c>
      <x:c r="K2626" s="2" t="str">
        <x:f>IF(OR(J2626="심의승인",J2626="반려",J2626="반려완료",J2626="심의완료"),"종결 표시",IF(OR(J2626="기후부협의",J2626="문서재제출요청",J2626="보류",J2626="보완요청",J2626="보완완료",J2626="평가중",J2626="반려요청",J2626="평가필요",LEFT(J2626,5)="보완요청("),"미종결 표시","상태 확인 필요"))</x:f>
        <x:v>종결 표시</x:v>
      </x:c>
      <x:c r="L2626" s="2" t="str">
        <x:v>KECM</x:v>
      </x:c>
      <x:c r="M2626" s="2"/>
      <x:c r="N2626" s="8" t="n">
        <x:f>DATE(2026,10,15)-DATE(2021,10,27)</x:f>
        <x:v>1814</x:v>
      </x:c>
      <x:c r="O2626" s="2"/>
      <x:c r="P2626" s="2"/>
      <x:c r="Q2626" s="2" t="str">
        <x:v>산업전환_외부사업관리Tool_260707_이너젠 수정_LJY_261013.xlsx</x:v>
      </x:c>
      <x:c r="R2626" s="2" t="str">
        <x:v>국외인증</x:v>
      </x:c>
      <x:c r="S2626" s="8" t="n">
        <x:v>213</x:v>
      </x:c>
      <x:c r="T2626" s="2" t="str">
        <x:v>(11/2),(12/1)</x:v>
      </x:c>
      <x:c r="U2626" s="2" t="str">
        <x:v>2021 지정: (11/2),(12/1) / 2022 지정: (1/18)(5/18)</x:v>
      </x:c>
      <x:c r="V2626" s="2" t="str">
        <x:v>2022-07-15</x:v>
      </x:c>
      <x:c r="W2626" s="2" t="str"/>
      <x:c r="X2626" s="2" t="str">
        <x:v>종결 근거 보관</x:v>
      </x:c>
      <x:c r="Y2626" s="2" t="str">
        <x:v>ad210cd9ec132cfd447541c8984dc53d30aff0f4fb2dc92d254d49275cc55976</x:v>
      </x:c>
      <x:c r="Z2626" s="2" t="n">
        <x:f>SUBTOTAL(103,A2626)</x:f>
        <x:v>1</x:v>
      </x:c>
      <x:c r="AA2626" s="2" t="str">
        <x:f>IF(K2626&lt;&gt;"미종결 표시","대상 아님",IF(N2626="","신청일 확인",IF(NOT(ISNUMBER('종합 현황'!$H$5)),"관찰기준 확인",IF('종합 현황'!$H$5&lt;1,"관찰기준 확인",IF(N2626&gt;'종합 현황'!$H$5,"내부 관찰 대상","내부 관찰일 이하")))))</x:f>
        <x:v>대상 아님</x:v>
      </x:c>
      <x:c r="AB2626" s="2" t="str">
        <x:v>2021-10-27 14:56 - 신청
2021-11-24 11:07 - 보완요청
2021-11-26 12:02 - 신청
2021-12-29 10:10 - 문서재제출요청
2021-12-30 18:28 - 신청
2022-01-18 09:41 - 문서재제출요청
2022-01-18 11:41 - 신청
2022-02-23 16:10 - 문서재제출요청
2022-02-24 10:37 - 신청
2022-04-21 15:46 - 문서재제출요청
2022-04-22 16:09 - 신청
2022-07-05 17:42 - 검토승인
2022-07-15 16:58 - 심의승인</x:v>
      </x:c>
    </x:row>
    <x:row r="2627" ht="42" customHeight="1">
      <x:c r="A2627" s="2" t="str">
        <x:v>a1136135fe047c0a3ae72a3e</x:v>
      </x:c>
      <x:c r="B2627" s="2" t="str">
        <x:v>감축량 인증</x:v>
      </x:c>
      <x:c r="C2627" s="2" t="str">
        <x:v>국외</x:v>
      </x:c>
      <x:c r="D2627" s="7" t="str">
        <x:v>안전한 식수 공급을 위한 정수기 보급 사업 : CPA 91(한국 지원)</x:v>
      </x:c>
      <x:c r="E2627" s="2" t="str">
        <x:v>212</x:v>
      </x:c>
      <x:c r="F2627" s="2" t="str">
        <x:v>2021-10-27</x:v>
      </x:c>
      <x:c r="G2627" s="2" t="str">
        <x:v>2021</x:v>
      </x:c>
      <x:c r="H2627" s="2" t="str">
        <x:v>10</x:v>
      </x:c>
      <x:c r="I2627" s="2" t="str">
        <x:v>심의승인</x:v>
      </x:c>
      <x:c r="J2627" s="2" t="str">
        <x:v>심의승인</x:v>
      </x:c>
      <x:c r="K2627" s="2" t="str">
        <x:f>IF(OR(J2627="심의승인",J2627="반려",J2627="반려완료",J2627="심의완료"),"종결 표시",IF(OR(J2627="기후부협의",J2627="문서재제출요청",J2627="보류",J2627="보완요청",J2627="보완완료",J2627="평가중",J2627="반려요청",J2627="평가필요",LEFT(J2627,5)="보완요청("),"미종결 표시","상태 확인 필요"))</x:f>
        <x:v>종결 표시</x:v>
      </x:c>
      <x:c r="L2627" s="2" t="str">
        <x:v>KECM</x:v>
      </x:c>
      <x:c r="M2627" s="2"/>
      <x:c r="N2627" s="8" t="n">
        <x:f>DATE(2026,10,15)-DATE(2021,10,27)</x:f>
        <x:v>1814</x:v>
      </x:c>
      <x:c r="O2627" s="2"/>
      <x:c r="P2627" s="2"/>
      <x:c r="Q2627" s="2" t="str">
        <x:v>산업전환_외부사업관리Tool_260707_이너젠 수정_LJY_261013.xlsx</x:v>
      </x:c>
      <x:c r="R2627" s="2" t="str">
        <x:v>국외인증</x:v>
      </x:c>
      <x:c r="S2627" s="8" t="n">
        <x:v>214</x:v>
      </x:c>
      <x:c r="T2627" s="2" t="str">
        <x:v>(11/2),(12/1)</x:v>
      </x:c>
      <x:c r="U2627" s="2" t="str">
        <x:v>2021 지정: (11/2),(12/1) / 2022 지정: (1/18)(5/18)</x:v>
      </x:c>
      <x:c r="V2627" s="2" t="str">
        <x:v>2022-07-15</x:v>
      </x:c>
      <x:c r="W2627" s="2" t="str"/>
      <x:c r="X2627" s="2" t="str">
        <x:v>종결 근거 보관</x:v>
      </x:c>
      <x:c r="Y2627" s="2" t="str">
        <x:v>ad210cd9ec132cfd447541c8984dc53d30aff0f4fb2dc92d254d49275cc55976</x:v>
      </x:c>
      <x:c r="Z2627" s="2" t="n">
        <x:f>SUBTOTAL(103,A2627)</x:f>
        <x:v>1</x:v>
      </x:c>
      <x:c r="AA2627" s="2" t="str">
        <x:f>IF(K2627&lt;&gt;"미종결 표시","대상 아님",IF(N2627="","신청일 확인",IF(NOT(ISNUMBER('종합 현황'!$H$5)),"관찰기준 확인",IF('종합 현황'!$H$5&lt;1,"관찰기준 확인",IF(N2627&gt;'종합 현황'!$H$5,"내부 관찰 대상","내부 관찰일 이하")))))</x:f>
        <x:v>대상 아님</x:v>
      </x:c>
      <x:c r="AB2627" s="2" t="str">
        <x:v>2021-10-27 15:00 - 신청
2021-11-24 11:08 - 보완요청
2021-11-26 12:02 - 신청
2021-12-29 10:10 - 문서재제출요청
2021-12-30 18:28 - 신청
2022-01-18 09:41 - 문서재제출요청
2022-01-18 11:41 - 신청
2022-02-23 16:10 - 문서재제출요청
2022-02-24 10:38 - 신청
2022-04-21 15:53 - 문서재제출요청
2022-04-22 16:09 - 신청
2022-07-05 17:42 - 검토승인
2022-07-15 16:58 - 심의승인</x:v>
      </x:c>
    </x:row>
    <x:row r="2628" ht="42" customHeight="1">
      <x:c r="A2628" s="2" t="str">
        <x:v>ca83754465767c4da90ea3e5</x:v>
      </x:c>
      <x:c r="B2628" s="2" t="str">
        <x:v>감축량 인증</x:v>
      </x:c>
      <x:c r="C2628" s="2" t="str">
        <x:v>국외</x:v>
      </x:c>
      <x:c r="D2628" s="7" t="str">
        <x:v>안전한 식수 공급을 위한 정수기 보급 사업 : CPA 92(한국 지원)</x:v>
      </x:c>
      <x:c r="E2628" s="2" t="str">
        <x:v>213</x:v>
      </x:c>
      <x:c r="F2628" s="2" t="str">
        <x:v>2021-10-27</x:v>
      </x:c>
      <x:c r="G2628" s="2" t="str">
        <x:v>2021</x:v>
      </x:c>
      <x:c r="H2628" s="2" t="str">
        <x:v>10</x:v>
      </x:c>
      <x:c r="I2628" s="2" t="str">
        <x:v>심의승인</x:v>
      </x:c>
      <x:c r="J2628" s="2" t="str">
        <x:v>심의승인</x:v>
      </x:c>
      <x:c r="K2628" s="2" t="str">
        <x:f>IF(OR(J2628="심의승인",J2628="반려",J2628="반려완료",J2628="심의완료"),"종결 표시",IF(OR(J2628="기후부협의",J2628="문서재제출요청",J2628="보류",J2628="보완요청",J2628="보완완료",J2628="평가중",J2628="반려요청",J2628="평가필요",LEFT(J2628,5)="보완요청("),"미종결 표시","상태 확인 필요"))</x:f>
        <x:v>종결 표시</x:v>
      </x:c>
      <x:c r="L2628" s="2" t="str">
        <x:v>KECM</x:v>
      </x:c>
      <x:c r="M2628" s="2"/>
      <x:c r="N2628" s="8" t="n">
        <x:f>DATE(2026,10,15)-DATE(2021,10,27)</x:f>
        <x:v>1814</x:v>
      </x:c>
      <x:c r="O2628" s="2"/>
      <x:c r="P2628" s="2"/>
      <x:c r="Q2628" s="2" t="str">
        <x:v>산업전환_외부사업관리Tool_260707_이너젠 수정_LJY_261013.xlsx</x:v>
      </x:c>
      <x:c r="R2628" s="2" t="str">
        <x:v>국외인증</x:v>
      </x:c>
      <x:c r="S2628" s="8" t="n">
        <x:v>215</x:v>
      </x:c>
      <x:c r="T2628" s="2" t="str">
        <x:v>(11/2),(12/1)</x:v>
      </x:c>
      <x:c r="U2628" s="2" t="str">
        <x:v>2021 지정: (11/2),(12/1) / 2022 지정: (1/18)(5/18)</x:v>
      </x:c>
      <x:c r="V2628" s="2" t="str">
        <x:v>2022-07-15</x:v>
      </x:c>
      <x:c r="W2628" s="2" t="str"/>
      <x:c r="X2628" s="2" t="str">
        <x:v>종결 근거 보관</x:v>
      </x:c>
      <x:c r="Y2628" s="2" t="str">
        <x:v>ad210cd9ec132cfd447541c8984dc53d30aff0f4fb2dc92d254d49275cc55976</x:v>
      </x:c>
      <x:c r="Z2628" s="2" t="n">
        <x:f>SUBTOTAL(103,A2628)</x:f>
        <x:v>1</x:v>
      </x:c>
      <x:c r="AA2628" s="2" t="str">
        <x:f>IF(K2628&lt;&gt;"미종결 표시","대상 아님",IF(N2628="","신청일 확인",IF(NOT(ISNUMBER('종합 현황'!$H$5)),"관찰기준 확인",IF('종합 현황'!$H$5&lt;1,"관찰기준 확인",IF(N2628&gt;'종합 현황'!$H$5,"내부 관찰 대상","내부 관찰일 이하")))))</x:f>
        <x:v>대상 아님</x:v>
      </x:c>
      <x:c r="AB2628" s="2" t="str">
        <x:v>2021-10-27 15:03 - 신청
2021-11-24 11:09 - 보완요청
2021-11-26 12:02 - 신청
2021-12-29 10:10 - 문서재제출요청
2021-12-30 18:29 - 신청
2022-01-18 09:41 - 문서재제출요청
2022-01-18 11:42 - 신청
2022-02-23 16:11 - 문서재제출요청
2022-02-24 10:39 - 신청
2022-04-21 15:53 - 문서재제출요청
2022-04-22 16:09 - 신청
2022-07-05 17:41 - 검토승인
2022-07-15 16:59 - 심의승인</x:v>
      </x:c>
    </x:row>
    <x:row r="2629" ht="42" customHeight="1">
      <x:c r="A2629" s="2" t="str">
        <x:v>7f5fad9cc56736af3907e4af</x:v>
      </x:c>
      <x:c r="B2629" s="2" t="str">
        <x:v>감축량 인증</x:v>
      </x:c>
      <x:c r="C2629" s="2" t="str">
        <x:v>국외</x:v>
      </x:c>
      <x:c r="D2629" s="7" t="str">
        <x:v>안전한 식수 공급을 위한 정수기 보급 사업 : CPA 93(한국 지원)</x:v>
      </x:c>
      <x:c r="E2629" s="2" t="str">
        <x:v>214</x:v>
      </x:c>
      <x:c r="F2629" s="2" t="str">
        <x:v>2021-10-27</x:v>
      </x:c>
      <x:c r="G2629" s="2" t="str">
        <x:v>2021</x:v>
      </x:c>
      <x:c r="H2629" s="2" t="str">
        <x:v>10</x:v>
      </x:c>
      <x:c r="I2629" s="2" t="str">
        <x:v>심의승인</x:v>
      </x:c>
      <x:c r="J2629" s="2" t="str">
        <x:v>심의승인</x:v>
      </x:c>
      <x:c r="K2629" s="2" t="str">
        <x:f>IF(OR(J2629="심의승인",J2629="반려",J2629="반려완료",J2629="심의완료"),"종결 표시",IF(OR(J2629="기후부협의",J2629="문서재제출요청",J2629="보류",J2629="보완요청",J2629="보완완료",J2629="평가중",J2629="반려요청",J2629="평가필요",LEFT(J2629,5)="보완요청("),"미종결 표시","상태 확인 필요"))</x:f>
        <x:v>종결 표시</x:v>
      </x:c>
      <x:c r="L2629" s="2" t="str">
        <x:v>KECM</x:v>
      </x:c>
      <x:c r="M2629" s="2"/>
      <x:c r="N2629" s="8" t="n">
        <x:f>DATE(2026,10,15)-DATE(2021,10,27)</x:f>
        <x:v>1814</x:v>
      </x:c>
      <x:c r="O2629" s="2"/>
      <x:c r="P2629" s="2"/>
      <x:c r="Q2629" s="2" t="str">
        <x:v>산업전환_외부사업관리Tool_260707_이너젠 수정_LJY_261013.xlsx</x:v>
      </x:c>
      <x:c r="R2629" s="2" t="str">
        <x:v>국외인증</x:v>
      </x:c>
      <x:c r="S2629" s="8" t="n">
        <x:v>216</x:v>
      </x:c>
      <x:c r="T2629" s="2" t="str">
        <x:v>(11/2),(12/1)</x:v>
      </x:c>
      <x:c r="U2629" s="2" t="str">
        <x:v>2021 지정: (11/2),(12/1) / 2022 지정: (1/18)(5/18)</x:v>
      </x:c>
      <x:c r="V2629" s="2" t="str">
        <x:v>2022-07-15</x:v>
      </x:c>
      <x:c r="W2629" s="2" t="str"/>
      <x:c r="X2629" s="2" t="str">
        <x:v>종결 근거 보관</x:v>
      </x:c>
      <x:c r="Y2629" s="2" t="str">
        <x:v>ad210cd9ec132cfd447541c8984dc53d30aff0f4fb2dc92d254d49275cc55976</x:v>
      </x:c>
      <x:c r="Z2629" s="2" t="n">
        <x:f>SUBTOTAL(103,A2629)</x:f>
        <x:v>1</x:v>
      </x:c>
      <x:c r="AA2629" s="2" t="str">
        <x:f>IF(K2629&lt;&gt;"미종결 표시","대상 아님",IF(N2629="","신청일 확인",IF(NOT(ISNUMBER('종합 현황'!$H$5)),"관찰기준 확인",IF('종합 현황'!$H$5&lt;1,"관찰기준 확인",IF(N2629&gt;'종합 현황'!$H$5,"내부 관찰 대상","내부 관찰일 이하")))))</x:f>
        <x:v>대상 아님</x:v>
      </x:c>
      <x:c r="AB2629" s="2" t="str">
        <x:v>2021-10-27 15:07 - 신청
2021-11-24 11:11 - 보완요청
2021-11-26 12:02 - 신청
2021-12-29 10:11 - 문서재제출요청
2021-12-30 18:29 - 신청
2022-01-18 09:41 - 문서재제출요청
2022-01-18 11:42 - 신청
2022-02-23 16:11 - 문서재제출요청
2022-02-24 10:40 - 신청
2022-04-21 15:53 - 문서재제출요청
2022-04-22 16:09 - 신청
2022-07-05 17:41 - 검토승인
2022-07-15 16:59 - 심의승인</x:v>
      </x:c>
    </x:row>
    <x:row r="2630" ht="42" customHeight="1">
      <x:c r="A2630" s="2" t="str">
        <x:v>1a8008ddae6e089b0f99e946</x:v>
      </x:c>
      <x:c r="B2630" s="2" t="str">
        <x:v>감축량 인증</x:v>
      </x:c>
      <x:c r="C2630" s="2" t="str">
        <x:v>국외</x:v>
      </x:c>
      <x:c r="D2630" s="7" t="str">
        <x:v>안전한 식수 공급을 위한 정수기 보급 사업 : CPA 94(한국 지원)</x:v>
      </x:c>
      <x:c r="E2630" s="2" t="str">
        <x:v>215</x:v>
      </x:c>
      <x:c r="F2630" s="2" t="str">
        <x:v>2021-10-27</x:v>
      </x:c>
      <x:c r="G2630" s="2" t="str">
        <x:v>2021</x:v>
      </x:c>
      <x:c r="H2630" s="2" t="str">
        <x:v>10</x:v>
      </x:c>
      <x:c r="I2630" s="2" t="str">
        <x:v>심의승인</x:v>
      </x:c>
      <x:c r="J2630" s="2" t="str">
        <x:v>심의승인</x:v>
      </x:c>
      <x:c r="K2630" s="2" t="str">
        <x:f>IF(OR(J2630="심의승인",J2630="반려",J2630="반려완료",J2630="심의완료"),"종결 표시",IF(OR(J2630="기후부협의",J2630="문서재제출요청",J2630="보류",J2630="보완요청",J2630="보완완료",J2630="평가중",J2630="반려요청",J2630="평가필요",LEFT(J2630,5)="보완요청("),"미종결 표시","상태 확인 필요"))</x:f>
        <x:v>종결 표시</x:v>
      </x:c>
      <x:c r="L2630" s="2" t="str">
        <x:v>KECM</x:v>
      </x:c>
      <x:c r="M2630" s="2"/>
      <x:c r="N2630" s="8" t="n">
        <x:f>DATE(2026,10,15)-DATE(2021,10,27)</x:f>
        <x:v>1814</x:v>
      </x:c>
      <x:c r="O2630" s="2"/>
      <x:c r="P2630" s="2"/>
      <x:c r="Q2630" s="2" t="str">
        <x:v>산업전환_외부사업관리Tool_260707_이너젠 수정_LJY_261013.xlsx</x:v>
      </x:c>
      <x:c r="R2630" s="2" t="str">
        <x:v>국외인증</x:v>
      </x:c>
      <x:c r="S2630" s="8" t="n">
        <x:v>217</x:v>
      </x:c>
      <x:c r="T2630" s="2" t="str">
        <x:v>(11/2),(12/1)</x:v>
      </x:c>
      <x:c r="U2630" s="2" t="str">
        <x:v>2021 지정: (11/2),(12/1) / 2022 지정: (1/18)(5/18)</x:v>
      </x:c>
      <x:c r="V2630" s="2" t="str">
        <x:v>2022-07-15</x:v>
      </x:c>
      <x:c r="W2630" s="2" t="str"/>
      <x:c r="X2630" s="2" t="str">
        <x:v>종결 근거 보관</x:v>
      </x:c>
      <x:c r="Y2630" s="2" t="str">
        <x:v>ad210cd9ec132cfd447541c8984dc53d30aff0f4fb2dc92d254d49275cc55976</x:v>
      </x:c>
      <x:c r="Z2630" s="2" t="n">
        <x:f>SUBTOTAL(103,A2630)</x:f>
        <x:v>1</x:v>
      </x:c>
      <x:c r="AA2630" s="2" t="str">
        <x:f>IF(K2630&lt;&gt;"미종결 표시","대상 아님",IF(N2630="","신청일 확인",IF(NOT(ISNUMBER('종합 현황'!$H$5)),"관찰기준 확인",IF('종합 현황'!$H$5&lt;1,"관찰기준 확인",IF(N2630&gt;'종합 현황'!$H$5,"내부 관찰 대상","내부 관찰일 이하")))))</x:f>
        <x:v>대상 아님</x:v>
      </x:c>
      <x:c r="AB2630" s="2" t="str">
        <x:v>2021-10-27 15:10 - 신청
2021-11-24 11:12 - 보완요청
2021-11-26 12:03 - 신청
2021-12-29 10:11 - 문서재제출요청
2021-12-30 18:29 - 신청
2022-01-18 09:42 - 문서재제출요청
2022-01-18 11:43 - 신청
2022-02-23 16:11 - 문서재제출요청
2022-02-24 10:40 - 신청
2022-04-21 15:54 - 문서재제출요청
2022-04-22 16:10 - 신청
2022-07-05 17:41 - 검토승인
2022-07-15 17:00 - 심의승인</x:v>
      </x:c>
    </x:row>
    <x:row r="2631" ht="42" customHeight="1">
      <x:c r="A2631" s="2" t="str">
        <x:v>88275fe089f1055d8e304f10</x:v>
      </x:c>
      <x:c r="B2631" s="2" t="str">
        <x:v>감축량 인증</x:v>
      </x:c>
      <x:c r="C2631" s="2" t="str">
        <x:v>국외</x:v>
      </x:c>
      <x:c r="D2631" s="7" t="str">
        <x:v>안전한 식수 공급을 위한 정수기 보급 사업 : CPA 95(한국 지원)</x:v>
      </x:c>
      <x:c r="E2631" s="2" t="str">
        <x:v>216</x:v>
      </x:c>
      <x:c r="F2631" s="2" t="str">
        <x:v>2021-10-27</x:v>
      </x:c>
      <x:c r="G2631" s="2" t="str">
        <x:v>2021</x:v>
      </x:c>
      <x:c r="H2631" s="2" t="str">
        <x:v>10</x:v>
      </x:c>
      <x:c r="I2631" s="2" t="str">
        <x:v>심의승인</x:v>
      </x:c>
      <x:c r="J2631" s="2" t="str">
        <x:v>심의승인</x:v>
      </x:c>
      <x:c r="K2631" s="2" t="str">
        <x:f>IF(OR(J2631="심의승인",J2631="반려",J2631="반려완료",J2631="심의완료"),"종결 표시",IF(OR(J2631="기후부협의",J2631="문서재제출요청",J2631="보류",J2631="보완요청",J2631="보완완료",J2631="평가중",J2631="반려요청",J2631="평가필요",LEFT(J2631,5)="보완요청("),"미종결 표시","상태 확인 필요"))</x:f>
        <x:v>종결 표시</x:v>
      </x:c>
      <x:c r="L2631" s="2" t="str">
        <x:v>KECM</x:v>
      </x:c>
      <x:c r="M2631" s="2"/>
      <x:c r="N2631" s="8" t="n">
        <x:f>DATE(2026,10,15)-DATE(2021,10,27)</x:f>
        <x:v>1814</x:v>
      </x:c>
      <x:c r="O2631" s="2"/>
      <x:c r="P2631" s="2"/>
      <x:c r="Q2631" s="2" t="str">
        <x:v>산업전환_외부사업관리Tool_260707_이너젠 수정_LJY_261013.xlsx</x:v>
      </x:c>
      <x:c r="R2631" s="2" t="str">
        <x:v>국외인증</x:v>
      </x:c>
      <x:c r="S2631" s="8" t="n">
        <x:v>218</x:v>
      </x:c>
      <x:c r="T2631" s="2" t="str">
        <x:v>(11/2),(12/1)</x:v>
      </x:c>
      <x:c r="U2631" s="2" t="str">
        <x:v>2021 지정: (11/2),(12/1) / 2022 지정: (1/18)(5/18)</x:v>
      </x:c>
      <x:c r="V2631" s="2" t="str">
        <x:v>2022-07-15</x:v>
      </x:c>
      <x:c r="W2631" s="2" t="str"/>
      <x:c r="X2631" s="2" t="str">
        <x:v>종결 근거 보관</x:v>
      </x:c>
      <x:c r="Y2631" s="2" t="str">
        <x:v>ad210cd9ec132cfd447541c8984dc53d30aff0f4fb2dc92d254d49275cc55976</x:v>
      </x:c>
      <x:c r="Z2631" s="2" t="n">
        <x:f>SUBTOTAL(103,A2631)</x:f>
        <x:v>1</x:v>
      </x:c>
      <x:c r="AA2631" s="2" t="str">
        <x:f>IF(K2631&lt;&gt;"미종결 표시","대상 아님",IF(N2631="","신청일 확인",IF(NOT(ISNUMBER('종합 현황'!$H$5)),"관찰기준 확인",IF('종합 현황'!$H$5&lt;1,"관찰기준 확인",IF(N2631&gt;'종합 현황'!$H$5,"내부 관찰 대상","내부 관찰일 이하")))))</x:f>
        <x:v>대상 아님</x:v>
      </x:c>
      <x:c r="AB2631" s="2" t="str">
        <x:v>2021-10-27 15:13 - 신청
2021-11-24 11:13 - 보완요청
2021-11-26 12:03 - 신청
2021-12-29 10:11 - 문서재제출요청
2021-12-30 18:30 - 신청
2022-01-18 09:42 - 문서재제출요청
2022-01-18 11:43 - 신청
2022-02-23 16:12 - 문서재제출요청
2022-02-24 10:41 - 신청
2022-04-21 15:54 - 문서재제출요청
2022-04-22 16:10 - 신청
2022-07-05 17:40 - 검토승인
2022-07-15 17:00 - 심의승인</x:v>
      </x:c>
    </x:row>
    <x:row r="2632" ht="42" customHeight="1">
      <x:c r="A2632" s="2" t="str">
        <x:v>2cf69cfaa09dec806048d777</x:v>
      </x:c>
      <x:c r="B2632" s="2" t="str">
        <x:v>감축량 인증</x:v>
      </x:c>
      <x:c r="C2632" s="2" t="str">
        <x:v>국외</x:v>
      </x:c>
      <x:c r="D2632" s="7" t="str">
        <x:v>안전한 식수 공급을 위한 정수기 보급 사업 : CPA 96(한국 지원)</x:v>
      </x:c>
      <x:c r="E2632" s="2" t="str">
        <x:v>217</x:v>
      </x:c>
      <x:c r="F2632" s="2" t="str">
        <x:v>2021-10-27</x:v>
      </x:c>
      <x:c r="G2632" s="2" t="str">
        <x:v>2021</x:v>
      </x:c>
      <x:c r="H2632" s="2" t="str">
        <x:v>10</x:v>
      </x:c>
      <x:c r="I2632" s="2" t="str">
        <x:v>심의승인</x:v>
      </x:c>
      <x:c r="J2632" s="2" t="str">
        <x:v>심의승인</x:v>
      </x:c>
      <x:c r="K2632" s="2" t="str">
        <x:f>IF(OR(J2632="심의승인",J2632="반려",J2632="반려완료",J2632="심의완료"),"종결 표시",IF(OR(J2632="기후부협의",J2632="문서재제출요청",J2632="보류",J2632="보완요청",J2632="보완완료",J2632="평가중",J2632="반려요청",J2632="평가필요",LEFT(J2632,5)="보완요청("),"미종결 표시","상태 확인 필요"))</x:f>
        <x:v>종결 표시</x:v>
      </x:c>
      <x:c r="L2632" s="2" t="str">
        <x:v>KECM</x:v>
      </x:c>
      <x:c r="M2632" s="2"/>
      <x:c r="N2632" s="8" t="n">
        <x:f>DATE(2026,10,15)-DATE(2021,10,27)</x:f>
        <x:v>1814</x:v>
      </x:c>
      <x:c r="O2632" s="2"/>
      <x:c r="P2632" s="2"/>
      <x:c r="Q2632" s="2" t="str">
        <x:v>산업전환_외부사업관리Tool_260707_이너젠 수정_LJY_261013.xlsx</x:v>
      </x:c>
      <x:c r="R2632" s="2" t="str">
        <x:v>국외인증</x:v>
      </x:c>
      <x:c r="S2632" s="8" t="n">
        <x:v>219</x:v>
      </x:c>
      <x:c r="T2632" s="2" t="str">
        <x:v>(11/2),(12/1)</x:v>
      </x:c>
      <x:c r="U2632" s="2" t="str">
        <x:v>2021 지정: (11/2),(12/1) / 2022 지정: (1/18)(5/18)</x:v>
      </x:c>
      <x:c r="V2632" s="2" t="str">
        <x:v>2022-07-15</x:v>
      </x:c>
      <x:c r="W2632" s="2" t="str"/>
      <x:c r="X2632" s="2" t="str">
        <x:v>종결 근거 보관</x:v>
      </x:c>
      <x:c r="Y2632" s="2" t="str">
        <x:v>ad210cd9ec132cfd447541c8984dc53d30aff0f4fb2dc92d254d49275cc55976</x:v>
      </x:c>
      <x:c r="Z2632" s="2" t="n">
        <x:f>SUBTOTAL(103,A2632)</x:f>
        <x:v>1</x:v>
      </x:c>
      <x:c r="AA2632" s="2" t="str">
        <x:f>IF(K2632&lt;&gt;"미종결 표시","대상 아님",IF(N2632="","신청일 확인",IF(NOT(ISNUMBER('종합 현황'!$H$5)),"관찰기준 확인",IF('종합 현황'!$H$5&lt;1,"관찰기준 확인",IF(N2632&gt;'종합 현황'!$H$5,"내부 관찰 대상","내부 관찰일 이하")))))</x:f>
        <x:v>대상 아님</x:v>
      </x:c>
      <x:c r="AB2632" s="2" t="str">
        <x:v>2021-10-27 15:17 - 신청
2021-11-24 11:13 -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3" ht="42" customHeight="1">
      <x:c r="A2633" s="2" t="str">
        <x:v>87280a8ac0432493647260ec</x:v>
      </x:c>
      <x:c r="B2633" s="2" t="str">
        <x:v>감축량 인증</x:v>
      </x:c>
      <x:c r="C2633" s="2" t="str">
        <x:v>국외</x:v>
      </x:c>
      <x:c r="D2633" s="7" t="str">
        <x:v>안전한 식수 공급을 위한 정수기 보급 사업 : CPA 97(한국 지원)</x:v>
      </x:c>
      <x:c r="E2633" s="2" t="str">
        <x:v>218</x:v>
      </x:c>
      <x:c r="F2633" s="2" t="str">
        <x:v>2021-10-27</x:v>
      </x:c>
      <x:c r="G2633" s="2" t="str">
        <x:v>2021</x:v>
      </x:c>
      <x:c r="H2633" s="2" t="str">
        <x:v>10</x:v>
      </x:c>
      <x:c r="I2633" s="2" t="str">
        <x:v>심의승인</x:v>
      </x:c>
      <x:c r="J2633" s="2" t="str">
        <x:v>심의승인</x:v>
      </x:c>
      <x:c r="K2633" s="2" t="str">
        <x:f>IF(OR(J2633="심의승인",J2633="반려",J2633="반려완료",J2633="심의완료"),"종결 표시",IF(OR(J2633="기후부협의",J2633="문서재제출요청",J2633="보류",J2633="보완요청",J2633="보완완료",J2633="평가중",J2633="반려요청",J2633="평가필요",LEFT(J2633,5)="보완요청("),"미종결 표시","상태 확인 필요"))</x:f>
        <x:v>종결 표시</x:v>
      </x:c>
      <x:c r="L2633" s="2" t="str">
        <x:v>KECM</x:v>
      </x:c>
      <x:c r="M2633" s="2"/>
      <x:c r="N2633" s="8" t="n">
        <x:f>DATE(2026,10,15)-DATE(2021,10,27)</x:f>
        <x:v>1814</x:v>
      </x:c>
      <x:c r="O2633" s="2"/>
      <x:c r="P2633" s="2"/>
      <x:c r="Q2633" s="2" t="str">
        <x:v>산업전환_외부사업관리Tool_260707_이너젠 수정_LJY_261013.xlsx</x:v>
      </x:c>
      <x:c r="R2633" s="2" t="str">
        <x:v>국외인증</x:v>
      </x:c>
      <x:c r="S2633" s="8" t="n">
        <x:v>220</x:v>
      </x:c>
      <x:c r="T2633" s="2" t="str">
        <x:v>(11/2),(12/1)</x:v>
      </x:c>
      <x:c r="U2633" s="2" t="str">
        <x:v>2021 지정: (11/2),(12/1) / 2022 지정: (1/18)(5/18)</x:v>
      </x:c>
      <x:c r="V2633" s="2" t="str">
        <x:v>2022-07-15</x:v>
      </x:c>
      <x:c r="W2633" s="2" t="str"/>
      <x:c r="X2633" s="2" t="str">
        <x:v>종결 근거 보관</x:v>
      </x:c>
      <x:c r="Y2633" s="2" t="str">
        <x:v>ad210cd9ec132cfd447541c8984dc53d30aff0f4fb2dc92d254d49275cc55976</x:v>
      </x:c>
      <x:c r="Z2633" s="2" t="n">
        <x:f>SUBTOTAL(103,A2633)</x:f>
        <x:v>1</x:v>
      </x:c>
      <x:c r="AA2633" s="2" t="str">
        <x:f>IF(K2633&lt;&gt;"미종결 표시","대상 아님",IF(N2633="","신청일 확인",IF(NOT(ISNUMBER('종합 현황'!$H$5)),"관찰기준 확인",IF('종합 현황'!$H$5&lt;1,"관찰기준 확인",IF(N2633&gt;'종합 현황'!$H$5,"내부 관찰 대상","내부 관찰일 이하")))))</x:f>
        <x:v>대상 아님</x:v>
      </x:c>
      <x:c r="AB2633" s="2" t="str">
        <x:v>2021-10-27 15:19 - 신청
2021-11-24 11:14 - 보완요청
2021-11-26 12:03 - 신청
2021-12-29 10:11 - 문서재제출요청
2021-12-30 18:30 - 신청
2022-01-18 09:42 - 문서재제출요청
2022-01-18 11:44 - 신청
2022-02-23 16:12 - 문서재제출요청
2022-02-24 10:43 - 신청
2022-04-21 15:54 - 문서재제출요청
2022-04-22 16:10 - 신청
2022-07-05 17:40 - 검토승인
2022-07-15 17:01 - 심의승인</x:v>
      </x:c>
    </x:row>
    <x:row r="2634" ht="42" customHeight="1">
      <x:c r="A2634" s="2" t="str">
        <x:v>d34ffb2ebe095acecec9a958</x:v>
      </x:c>
      <x:c r="B2634" s="2" t="str">
        <x:v>감축량 인증</x:v>
      </x:c>
      <x:c r="C2634" s="2" t="str">
        <x:v>국외</x:v>
      </x:c>
      <x:c r="D2634" s="7" t="str">
        <x:v>안전한 식수 공급을 위한 정수기 보급 사업 : CPA 98(한국 지원)</x:v>
      </x:c>
      <x:c r="E2634" s="2" t="str">
        <x:v>219</x:v>
      </x:c>
      <x:c r="F2634" s="2" t="str">
        <x:v>2021-10-27</x:v>
      </x:c>
      <x:c r="G2634" s="2" t="str">
        <x:v>2021</x:v>
      </x:c>
      <x:c r="H2634" s="2" t="str">
        <x:v>10</x:v>
      </x:c>
      <x:c r="I2634" s="2" t="str">
        <x:v>심의승인</x:v>
      </x:c>
      <x:c r="J2634" s="2" t="str">
        <x:v>심의승인</x:v>
      </x:c>
      <x:c r="K2634" s="2" t="str">
        <x:f>IF(OR(J2634="심의승인",J2634="반려",J2634="반려완료",J2634="심의완료"),"종결 표시",IF(OR(J2634="기후부협의",J2634="문서재제출요청",J2634="보류",J2634="보완요청",J2634="보완완료",J2634="평가중",J2634="반려요청",J2634="평가필요",LEFT(J2634,5)="보완요청("),"미종결 표시","상태 확인 필요"))</x:f>
        <x:v>종결 표시</x:v>
      </x:c>
      <x:c r="L2634" s="2" t="str">
        <x:v>KECM</x:v>
      </x:c>
      <x:c r="M2634" s="2"/>
      <x:c r="N2634" s="8" t="n">
        <x:f>DATE(2026,10,15)-DATE(2021,10,27)</x:f>
        <x:v>1814</x:v>
      </x:c>
      <x:c r="O2634" s="2"/>
      <x:c r="P2634" s="2"/>
      <x:c r="Q2634" s="2" t="str">
        <x:v>산업전환_외부사업관리Tool_260707_이너젠 수정_LJY_261013.xlsx</x:v>
      </x:c>
      <x:c r="R2634" s="2" t="str">
        <x:v>국외인증</x:v>
      </x:c>
      <x:c r="S2634" s="8" t="n">
        <x:v>221</x:v>
      </x:c>
      <x:c r="T2634" s="2" t="str">
        <x:v>(11/2),(12/1)</x:v>
      </x:c>
      <x:c r="U2634" s="2" t="str">
        <x:v>2021 지정: (11/2),(12/1) / 2022 지정: (1/18)(5/18)</x:v>
      </x:c>
      <x:c r="V2634" s="2" t="str">
        <x:v>2022-07-15</x:v>
      </x:c>
      <x:c r="W2634" s="2" t="str"/>
      <x:c r="X2634" s="2" t="str">
        <x:v>종결 근거 보관</x:v>
      </x:c>
      <x:c r="Y2634" s="2" t="str">
        <x:v>ad210cd9ec132cfd447541c8984dc53d30aff0f4fb2dc92d254d49275cc55976</x:v>
      </x:c>
      <x:c r="Z2634" s="2" t="n">
        <x:f>SUBTOTAL(103,A2634)</x:f>
        <x:v>1</x:v>
      </x:c>
      <x:c r="AA2634" s="2" t="str">
        <x:f>IF(K2634&lt;&gt;"미종결 표시","대상 아님",IF(N2634="","신청일 확인",IF(NOT(ISNUMBER('종합 현황'!$H$5)),"관찰기준 확인",IF('종합 현황'!$H$5&lt;1,"관찰기준 확인",IF(N2634&gt;'종합 현황'!$H$5,"내부 관찰 대상","내부 관찰일 이하")))))</x:f>
        <x:v>대상 아님</x:v>
      </x:c>
      <x:c r="AB2634" s="2" t="str">
        <x:v>2021-10-27 15:23 - 신청
2021-11-24 11:15 - 보완요청
2021-11-26 12:03 - 신청
2021-12-29 10:12 - 문서재제출요청
2021-12-30 18:30 - 신청
2022-01-18 09:43 - 문서재제출요청
2022-01-18 11:45 - 신청
2022-02-23 16:12 - 문서재제출요청
2022-02-24 10:44 - 신청
2022-04-21 15:55 - 문서재제출요청
2022-04-22 16:10 - 신청
2022-07-05 17:39 - 검토승인
2022-07-15 17:02 - 심의승인</x:v>
      </x:c>
    </x:row>
    <x:row r="2635" ht="42" customHeight="1">
      <x:c r="A2635" s="2" t="str">
        <x:v>827873c0026f86d44b777e5c</x:v>
      </x:c>
      <x:c r="B2635" s="2" t="str">
        <x:v>감축량 인증</x:v>
      </x:c>
      <x:c r="C2635" s="2" t="str">
        <x:v>국외</x:v>
      </x:c>
      <x:c r="D2635" s="7" t="str">
        <x:v>안전한 식수 공급을 위한 정수기 보급 사업 : CPA 99(한국 지원)</x:v>
      </x:c>
      <x:c r="E2635" s="2" t="str">
        <x:v>220</x:v>
      </x:c>
      <x:c r="F2635" s="2" t="str">
        <x:v>2021-10-27</x:v>
      </x:c>
      <x:c r="G2635" s="2" t="str">
        <x:v>2021</x:v>
      </x:c>
      <x:c r="H2635" s="2" t="str">
        <x:v>10</x:v>
      </x:c>
      <x:c r="I2635" s="2" t="str">
        <x:v>심의승인</x:v>
      </x:c>
      <x:c r="J2635" s="2" t="str">
        <x:v>심의승인</x:v>
      </x:c>
      <x:c r="K2635" s="2" t="str">
        <x:f>IF(OR(J2635="심의승인",J2635="반려",J2635="반려완료",J2635="심의완료"),"종결 표시",IF(OR(J2635="기후부협의",J2635="문서재제출요청",J2635="보류",J2635="보완요청",J2635="보완완료",J2635="평가중",J2635="반려요청",J2635="평가필요",LEFT(J2635,5)="보완요청("),"미종결 표시","상태 확인 필요"))</x:f>
        <x:v>종결 표시</x:v>
      </x:c>
      <x:c r="L2635" s="2" t="str">
        <x:v>KECM</x:v>
      </x:c>
      <x:c r="M2635" s="2"/>
      <x:c r="N2635" s="8" t="n">
        <x:f>DATE(2026,10,15)-DATE(2021,10,27)</x:f>
        <x:v>1814</x:v>
      </x:c>
      <x:c r="O2635" s="2"/>
      <x:c r="P2635" s="2"/>
      <x:c r="Q2635" s="2" t="str">
        <x:v>산업전환_외부사업관리Tool_260707_이너젠 수정_LJY_261013.xlsx</x:v>
      </x:c>
      <x:c r="R2635" s="2" t="str">
        <x:v>국외인증</x:v>
      </x:c>
      <x:c r="S2635" s="8" t="n">
        <x:v>222</x:v>
      </x:c>
      <x:c r="T2635" s="2" t="str">
        <x:v>(11/2),(12/1)</x:v>
      </x:c>
      <x:c r="U2635" s="2" t="str">
        <x:v>2021 지정: (11/2),(12/1) / 2022 지정: (1/18)(5/18)</x:v>
      </x:c>
      <x:c r="V2635" s="2" t="str">
        <x:v>2022-07-15</x:v>
      </x:c>
      <x:c r="W2635" s="2" t="str"/>
      <x:c r="X2635" s="2" t="str">
        <x:v>종결 근거 보관</x:v>
      </x:c>
      <x:c r="Y2635" s="2" t="str">
        <x:v>ad210cd9ec132cfd447541c8984dc53d30aff0f4fb2dc92d254d49275cc55976</x:v>
      </x:c>
      <x:c r="Z2635" s="2" t="n">
        <x:f>SUBTOTAL(103,A2635)</x:f>
        <x:v>1</x:v>
      </x:c>
      <x:c r="AA2635" s="2" t="str">
        <x:f>IF(K2635&lt;&gt;"미종결 표시","대상 아님",IF(N2635="","신청일 확인",IF(NOT(ISNUMBER('종합 현황'!$H$5)),"관찰기준 확인",IF('종합 현황'!$H$5&lt;1,"관찰기준 확인",IF(N2635&gt;'종합 현황'!$H$5,"내부 관찰 대상","내부 관찰일 이하")))))</x:f>
        <x:v>대상 아님</x:v>
      </x:c>
      <x:c r="AB2635" s="2" t="str">
        <x:v>2021-10-27 15:26 - 신청
2021-11-24 11:16 - 보완요청
2021-11-26 12:03 -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17:39 - 검토승인
2022-07-15 17:02 - 심의승인</x:v>
      </x:c>
    </x:row>
    <x:row r="2636" ht="42" customHeight="1">
      <x:c r="A2636" s="2" t="str">
        <x:v>6e7f4a77711edb5c53031137</x:v>
      </x:c>
      <x:c r="B2636" s="2" t="str">
        <x:v>감축량 인증</x:v>
      </x:c>
      <x:c r="C2636" s="2" t="str">
        <x:v>국외</x:v>
      </x:c>
      <x:c r="D2636" s="7" t="str">
        <x:v>안전한 식수 공급을 위한 정수기 보급 사업 : CPA 100(한국 지원)</x:v>
      </x:c>
      <x:c r="E2636" s="2" t="str">
        <x:v>221</x:v>
      </x:c>
      <x:c r="F2636" s="2" t="str">
        <x:v>2021-10-27</x:v>
      </x:c>
      <x:c r="G2636" s="2" t="str">
        <x:v>2021</x:v>
      </x:c>
      <x:c r="H2636" s="2" t="str">
        <x:v>10</x:v>
      </x:c>
      <x:c r="I2636" s="2" t="str">
        <x:v>심의승인</x:v>
      </x:c>
      <x:c r="J2636" s="2" t="str">
        <x:v>심의승인</x:v>
      </x:c>
      <x:c r="K2636" s="2" t="str">
        <x:f>IF(OR(J2636="심의승인",J2636="반려",J2636="반려완료",J2636="심의완료"),"종결 표시",IF(OR(J2636="기후부협의",J2636="문서재제출요청",J2636="보류",J2636="보완요청",J2636="보완완료",J2636="평가중",J2636="반려요청",J2636="평가필요",LEFT(J2636,5)="보완요청("),"미종결 표시","상태 확인 필요"))</x:f>
        <x:v>종결 표시</x:v>
      </x:c>
      <x:c r="L2636" s="2" t="str">
        <x:v>KECM</x:v>
      </x:c>
      <x:c r="M2636" s="2"/>
      <x:c r="N2636" s="8" t="n">
        <x:f>DATE(2026,10,15)-DATE(2021,10,27)</x:f>
        <x:v>1814</x:v>
      </x:c>
      <x:c r="O2636" s="2"/>
      <x:c r="P2636" s="2"/>
      <x:c r="Q2636" s="2" t="str">
        <x:v>산업전환_외부사업관리Tool_260707_이너젠 수정_LJY_261013.xlsx</x:v>
      </x:c>
      <x:c r="R2636" s="2" t="str">
        <x:v>국외인증</x:v>
      </x:c>
      <x:c r="S2636" s="8" t="n">
        <x:v>223</x:v>
      </x:c>
      <x:c r="T2636" s="2" t="str">
        <x:v>(11/2),(12/1)</x:v>
      </x:c>
      <x:c r="U2636" s="2" t="str">
        <x:v>2021 지정: (11/2),(12/1) / 2022 지정: (1/18)(5/18)</x:v>
      </x:c>
      <x:c r="V2636" s="2" t="str">
        <x:v>2022-07-15</x:v>
      </x:c>
      <x:c r="W2636" s="2" t="str"/>
      <x:c r="X2636" s="2" t="str">
        <x:v>종결 근거 보관</x:v>
      </x:c>
      <x:c r="Y2636" s="2" t="str">
        <x:v>ad210cd9ec132cfd447541c8984dc53d30aff0f4fb2dc92d254d49275cc55976</x:v>
      </x:c>
      <x:c r="Z2636" s="2" t="n">
        <x:f>SUBTOTAL(103,A2636)</x:f>
        <x:v>1</x:v>
      </x:c>
      <x:c r="AA2636" s="2" t="str">
        <x:f>IF(K2636&lt;&gt;"미종결 표시","대상 아님",IF(N2636="","신청일 확인",IF(NOT(ISNUMBER('종합 현황'!$H$5)),"관찰기준 확인",IF('종합 현황'!$H$5&lt;1,"관찰기준 확인",IF(N2636&gt;'종합 현황'!$H$5,"내부 관찰 대상","내부 관찰일 이하")))))</x:f>
        <x:v>대상 아님</x:v>
      </x:c>
      <x:c r="AB2636" s="2" t="str">
        <x:v>2021-10-27 15:29 - 신청
2021-11-24 11:17 - 보완요청
2021-11-26 12:04 - 신청
2021-12-29 10:12 - 문서재제출요청
2021-12-30 18:31 - 신청
2022-01-18 09:43 - 문서재제출요청
2022-01-18 11:45 - 신청
2022-02-23 16:13 - 문서재제출요청
2022-02-24 10:45 - 신청
2022-04-21 15:55 - 문서재제출요청
2022-04-22 16:10 - 신청
2022-07-05 17:37 - 검토승인
2022-07-15 17:03 - 심의승인</x:v>
      </x:c>
    </x:row>
    <x:row r="2637" ht="42" customHeight="1">
      <x:c r="A2637" s="2" t="str">
        <x:v>3c3f626c29aa14b3b0e11eab</x:v>
      </x:c>
      <x:c r="B2637" s="2" t="str">
        <x:v>감축량 인증</x:v>
      </x:c>
      <x:c r="C2637" s="2" t="str">
        <x:v>국외</x:v>
      </x:c>
      <x:c r="D2637" s="7" t="str">
        <x:v>안전한 식수 공급을 위한 정수기 보급 사업 : CPA 101(한국 지원)</x:v>
      </x:c>
      <x:c r="E2637" s="2" t="str">
        <x:v>222</x:v>
      </x:c>
      <x:c r="F2637" s="2" t="str">
        <x:v>2021-10-27</x:v>
      </x:c>
      <x:c r="G2637" s="2" t="str">
        <x:v>2021</x:v>
      </x:c>
      <x:c r="H2637" s="2" t="str">
        <x:v>10</x:v>
      </x:c>
      <x:c r="I2637" s="2" t="str">
        <x:v>심의승인</x:v>
      </x:c>
      <x:c r="J2637" s="2" t="str">
        <x:v>심의승인</x:v>
      </x:c>
      <x:c r="K2637" s="2" t="str">
        <x:f>IF(OR(J2637="심의승인",J2637="반려",J2637="반려완료",J2637="심의완료"),"종결 표시",IF(OR(J2637="기후부협의",J2637="문서재제출요청",J2637="보류",J2637="보완요청",J2637="보완완료",J2637="평가중",J2637="반려요청",J2637="평가필요",LEFT(J2637,5)="보완요청("),"미종결 표시","상태 확인 필요"))</x:f>
        <x:v>종결 표시</x:v>
      </x:c>
      <x:c r="L2637" s="2" t="str">
        <x:v>KECM</x:v>
      </x:c>
      <x:c r="M2637" s="2"/>
      <x:c r="N2637" s="8" t="n">
        <x:f>DATE(2026,10,15)-DATE(2021,10,27)</x:f>
        <x:v>1814</x:v>
      </x:c>
      <x:c r="O2637" s="2"/>
      <x:c r="P2637" s="2"/>
      <x:c r="Q2637" s="2" t="str">
        <x:v>산업전환_외부사업관리Tool_260707_이너젠 수정_LJY_261013.xlsx</x:v>
      </x:c>
      <x:c r="R2637" s="2" t="str">
        <x:v>국외인증</x:v>
      </x:c>
      <x:c r="S2637" s="8" t="n">
        <x:v>224</x:v>
      </x:c>
      <x:c r="T2637" s="2" t="str">
        <x:v>(11/2),(12/1)</x:v>
      </x:c>
      <x:c r="U2637" s="2" t="str">
        <x:v>2021 지정: (11/2),(12/1) / 2022 지정: (1/18)(5/18)</x:v>
      </x:c>
      <x:c r="V2637" s="2" t="str">
        <x:v>2022-07-15</x:v>
      </x:c>
      <x:c r="W2637" s="2" t="str"/>
      <x:c r="X2637" s="2" t="str">
        <x:v>종결 근거 보관</x:v>
      </x:c>
      <x:c r="Y2637" s="2" t="str">
        <x:v>ad210cd9ec132cfd447541c8984dc53d30aff0f4fb2dc92d254d49275cc55976</x:v>
      </x:c>
      <x:c r="Z2637" s="2" t="n">
        <x:f>SUBTOTAL(103,A2637)</x:f>
        <x:v>1</x:v>
      </x:c>
      <x:c r="AA2637" s="2" t="str">
        <x:f>IF(K2637&lt;&gt;"미종결 표시","대상 아님",IF(N2637="","신청일 확인",IF(NOT(ISNUMBER('종합 현황'!$H$5)),"관찰기준 확인",IF('종합 현황'!$H$5&lt;1,"관찰기준 확인",IF(N2637&gt;'종합 현황'!$H$5,"내부 관찰 대상","내부 관찰일 이하")))))</x:f>
        <x:v>대상 아님</x:v>
      </x:c>
      <x:c r="AB2637" s="2" t="str">
        <x:v>2021-10-27 15:32 - 신청
2021-11-24 11:17 - 보완요청
2021-11-26 12:04 - 신청
2021-12-29 10:12 - 문서재제출요청
2021-12-30 18:31 - 신청
2022-01-18 09:43 - 문서재제출요청
2022-01-18 11:46 - 신청
2022-02-23 16:13 - 문서재제출요청
2022-02-24 10:46 - 신청
2022-04-21 15:56 - 문서재제출요청
2022-04-22 16:11 - 신청
2022-07-05 17:37 - 검토승인
2022-07-15 17:03 - 심의승인</x:v>
      </x:c>
    </x:row>
    <x:row r="2638" ht="42" customHeight="1">
      <x:c r="A2638" s="2" t="str">
        <x:v>085db6220cd015142d2f4d50</x:v>
      </x:c>
      <x:c r="B2638" s="2" t="str">
        <x:v>감축량 인증</x:v>
      </x:c>
      <x:c r="C2638" s="2" t="str">
        <x:v>국외</x:v>
      </x:c>
      <x:c r="D2638" s="7" t="str">
        <x:v>안전한 식수 공급을 위한 정수기 보급 사업 : CPA 102(한국 지원)</x:v>
      </x:c>
      <x:c r="E2638" s="2" t="str">
        <x:v>223</x:v>
      </x:c>
      <x:c r="F2638" s="2" t="str">
        <x:v>2021-10-27</x:v>
      </x:c>
      <x:c r="G2638" s="2" t="str">
        <x:v>2021</x:v>
      </x:c>
      <x:c r="H2638" s="2" t="str">
        <x:v>10</x:v>
      </x:c>
      <x:c r="I2638" s="2" t="str">
        <x:v>심의승인</x:v>
      </x:c>
      <x:c r="J2638" s="2" t="str">
        <x:v>심의승인</x:v>
      </x:c>
      <x:c r="K2638" s="2" t="str">
        <x:f>IF(OR(J2638="심의승인",J2638="반려",J2638="반려완료",J2638="심의완료"),"종결 표시",IF(OR(J2638="기후부협의",J2638="문서재제출요청",J2638="보류",J2638="보완요청",J2638="보완완료",J2638="평가중",J2638="반려요청",J2638="평가필요",LEFT(J2638,5)="보완요청("),"미종결 표시","상태 확인 필요"))</x:f>
        <x:v>종결 표시</x:v>
      </x:c>
      <x:c r="L2638" s="2" t="str">
        <x:v>KECM</x:v>
      </x:c>
      <x:c r="M2638" s="2"/>
      <x:c r="N2638" s="8" t="n">
        <x:f>DATE(2026,10,15)-DATE(2021,10,27)</x:f>
        <x:v>1814</x:v>
      </x:c>
      <x:c r="O2638" s="2"/>
      <x:c r="P2638" s="2"/>
      <x:c r="Q2638" s="2" t="str">
        <x:v>산업전환_외부사업관리Tool_260707_이너젠 수정_LJY_261013.xlsx</x:v>
      </x:c>
      <x:c r="R2638" s="2" t="str">
        <x:v>국외인증</x:v>
      </x:c>
      <x:c r="S2638" s="8" t="n">
        <x:v>225</x:v>
      </x:c>
      <x:c r="T2638" s="2" t="str">
        <x:v>(11/2),(12/1)</x:v>
      </x:c>
      <x:c r="U2638" s="2" t="str">
        <x:v>2021 지정: (11/2),(12/1) / 2022 지정: (1/18)(5/18)</x:v>
      </x:c>
      <x:c r="V2638" s="2" t="str">
        <x:v>2022-07-15</x:v>
      </x:c>
      <x:c r="W2638" s="2" t="str"/>
      <x:c r="X2638" s="2" t="str">
        <x:v>종결 근거 보관</x:v>
      </x:c>
      <x:c r="Y2638" s="2" t="str">
        <x:v>ad210cd9ec132cfd447541c8984dc53d30aff0f4fb2dc92d254d49275cc55976</x:v>
      </x:c>
      <x:c r="Z2638" s="2" t="n">
        <x:f>SUBTOTAL(103,A2638)</x:f>
        <x:v>1</x:v>
      </x:c>
      <x:c r="AA2638" s="2" t="str">
        <x:f>IF(K2638&lt;&gt;"미종결 표시","대상 아님",IF(N2638="","신청일 확인",IF(NOT(ISNUMBER('종합 현황'!$H$5)),"관찰기준 확인",IF('종합 현황'!$H$5&lt;1,"관찰기준 확인",IF(N2638&gt;'종합 현황'!$H$5,"내부 관찰 대상","내부 관찰일 이하")))))</x:f>
        <x:v>대상 아님</x:v>
      </x:c>
      <x:c r="AB2638" s="2" t="str">
        <x:v>2021-10-27 15:35 - 신청
2021-11-24 11:18 - 보완요청
2021-11-26 12:04 - 신청
2021-12-29 10:13 - 문서재제출요청
2021-12-30 18:32 - 신청
2022-01-17 10:01 - 문서재제출요청
2022-01-18 11:46 - 신청
2022-02-23 16:14 - 문서재제출요청
2022-02-24 10:46 - 신청
2022-04-21 15:56 - 문서재제출요청
2022-04-22 16:16 - 신청
2022-07-05 17:36 - 검토승인
2022-07-15 17:04 - 심의승인</x:v>
      </x:c>
    </x:row>
    <x:row r="2639" ht="42" customHeight="1">
      <x:c r="A2639" s="2" t="str">
        <x:v>aa0373fe1a9b98eac8d502a8</x:v>
      </x:c>
      <x:c r="B2639" s="2" t="str">
        <x:v>감축량 인증</x:v>
      </x:c>
      <x:c r="C2639" s="2" t="str">
        <x:v>국외</x:v>
      </x:c>
      <x:c r="D2639" s="7" t="str">
        <x:v>대한민국이 지원하는 가나 맨 앤 맨 고효율 쿡스토브 프로그램-CPA02</x:v>
      </x:c>
      <x:c r="E2639" s="2" t="str">
        <x:v>224</x:v>
      </x:c>
      <x:c r="F2639" s="2" t="str">
        <x:v>2021-10-27</x:v>
      </x:c>
      <x:c r="G2639" s="2" t="str">
        <x:v>2021</x:v>
      </x:c>
      <x:c r="H2639" s="2" t="str">
        <x:v>10</x:v>
      </x:c>
      <x:c r="I2639" s="2" t="str">
        <x:v>심의승인</x:v>
      </x:c>
      <x:c r="J2639" s="2" t="str">
        <x:v>심의승인</x:v>
      </x:c>
      <x:c r="K2639" s="2" t="str">
        <x:f>IF(OR(J2639="심의승인",J2639="반려",J2639="반려완료",J2639="심의완료"),"종결 표시",IF(OR(J2639="기후부협의",J2639="문서재제출요청",J2639="보류",J2639="보완요청",J2639="보완완료",J2639="평가중",J2639="반려요청",J2639="평가필요",LEFT(J2639,5)="보완요청("),"미종결 표시","상태 확인 필요"))</x:f>
        <x:v>종결 표시</x:v>
      </x:c>
      <x:c r="L2639" s="2" t="str">
        <x:v>에코시안_조혜민</x:v>
      </x:c>
      <x:c r="M2639" s="2"/>
      <x:c r="N2639" s="8" t="n">
        <x:f>DATE(2026,10,15)-DATE(2021,10,27)</x:f>
        <x:v>1814</x:v>
      </x:c>
      <x:c r="O2639" s="2"/>
      <x:c r="P2639" s="2"/>
      <x:c r="Q2639" s="2" t="str">
        <x:v>산업전환_외부사업관리Tool_260707_이너젠 수정_LJY_261013.xlsx</x:v>
      </x:c>
      <x:c r="R2639" s="2" t="str">
        <x:v>국외인증</x:v>
      </x:c>
      <x:c r="S2639" s="8" t="n">
        <x:v>226</x:v>
      </x:c>
      <x:c r="T2639" s="2" t="str">
        <x:v>(11/2, 12/10)</x:v>
      </x:c>
      <x:c r="U2639" s="2" t="str">
        <x:v>2021 지정: (11/2, 12/10) / 2022 지정: (1/18)(5/18)</x:v>
      </x:c>
      <x:c r="V2639" s="2" t="str">
        <x:v>2022-07-14</x:v>
      </x:c>
      <x:c r="W2639" s="2" t="str"/>
      <x:c r="X2639" s="2" t="str">
        <x:v>종결 근거 보관</x:v>
      </x:c>
      <x:c r="Y2639" s="2" t="str">
        <x:v>ad210cd9ec132cfd447541c8984dc53d30aff0f4fb2dc92d254d49275cc55976</x:v>
      </x:c>
      <x:c r="Z2639" s="2" t="n">
        <x:f>SUBTOTAL(103,A2639)</x:f>
        <x:v>1</x:v>
      </x:c>
      <x:c r="AA2639" s="2" t="str">
        <x:f>IF(K2639&lt;&gt;"미종결 표시","대상 아님",IF(N2639="","신청일 확인",IF(NOT(ISNUMBER('종합 현황'!$H$5)),"관찰기준 확인",IF('종합 현황'!$H$5&lt;1,"관찰기준 확인",IF(N2639&gt;'종합 현황'!$H$5,"내부 관찰 대상","내부 관찰일 이하")))))</x:f>
        <x:v>대상 아님</x:v>
      </x:c>
      <x:c r="AB2639" s="2" t="str">
        <x:v>2021-10-27 15:16 - 접수
2021-10-28 10:50 - 신청
2021-12-07 15:25 - 문서재제출요청
2021-12-07 19:00 - 접수
2021-12-08 10:52 - 신청
2022-01-18 10:42 - 문서재제출요청
2022-01-18 14:11 - 접수
2022-01-20 09:08 - 신청
2022-02-22 09:26 - 문서재제출요청
2022-02-22 09:49 - 접수
2022-02-22 09:54 - 신청
2022-02-22 15:12 - 문서재제출요청
2022-02-22 15:21 - 접수
2022-02-22 16:03 - 신청
2022-02-22 16:58 - 문서재제출요청
2022-02-22 17:01 - 접수
2022-02-22 17:08 - 신청
2022-02-25 10:50 - 문서재제출요청
2022-02-25 11:17 - 접수
2022-02-25 11:44 - 신청
2022-04-21 15:20 - 문서재제출요청
2022-04-25 13:34 - 접수
2022-04-25 14:09 - 신청
2022-07-05 16:20 - 검토승인
2022-07-14 15:00 - 심의승인</x:v>
      </x:c>
    </x:row>
    <x:row r="2640" ht="42" customHeight="1">
      <x:c r="A2640" s="2" t="str">
        <x:v>33ead30c2a3ea5e802fc5a64</x:v>
      </x:c>
      <x:c r="B2640" s="2" t="str">
        <x:v>감축량 인증</x:v>
      </x:c>
      <x:c r="C2640" s="2" t="str">
        <x:v>국외</x:v>
      </x:c>
      <x:c r="D2640" s="7" t="str">
        <x:v>캄보디아 가정용 스토브 보급-CPA004</x:v>
      </x:c>
      <x:c r="E2640" s="2" t="str">
        <x:v>225</x:v>
      </x:c>
      <x:c r="F2640" s="2" t="str">
        <x:v>2021-10-27</x:v>
      </x:c>
      <x:c r="G2640" s="2" t="str">
        <x:v>2021</x:v>
      </x:c>
      <x:c r="H2640" s="2" t="str">
        <x:v>10</x:v>
      </x:c>
      <x:c r="I2640" s="2" t="str">
        <x:v>심의승인</x:v>
      </x:c>
      <x:c r="J2640" s="2" t="str">
        <x:v>심의승인</x:v>
      </x:c>
      <x:c r="K2640" s="2" t="str">
        <x:f>IF(OR(J2640="심의승인",J2640="반려",J2640="반려완료",J2640="심의완료"),"종결 표시",IF(OR(J2640="기후부협의",J2640="문서재제출요청",J2640="보류",J2640="보완요청",J2640="보완완료",J2640="평가중",J2640="반려요청",J2640="평가필요",LEFT(J2640,5)="보완요청("),"미종결 표시","상태 확인 필요"))</x:f>
        <x:v>종결 표시</x:v>
      </x:c>
      <x:c r="L2640" s="2" t="str">
        <x:v>에코시안_조혜민</x:v>
      </x:c>
      <x:c r="M2640" s="2"/>
      <x:c r="N2640" s="8" t="n">
        <x:f>DATE(2026,10,15)-DATE(2021,10,27)</x:f>
        <x:v>1814</x:v>
      </x:c>
      <x:c r="O2640" s="2"/>
      <x:c r="P2640" s="2"/>
      <x:c r="Q2640" s="2" t="str">
        <x:v>산업전환_외부사업관리Tool_260707_이너젠 수정_LJY_261013.xlsx</x:v>
      </x:c>
      <x:c r="R2640" s="2" t="str">
        <x:v>국외인증</x:v>
      </x:c>
      <x:c r="S2640" s="8" t="n">
        <x:v>227</x:v>
      </x:c>
      <x:c r="T2640" s="2" t="str">
        <x:v>(11/2, 12/10)</x:v>
      </x:c>
      <x:c r="U2640" s="2" t="str">
        <x:v>2021 지정: (11/2, 12/10) / 2022 지정: (1/18)</x:v>
      </x:c>
      <x:c r="V2640" s="2" t="str">
        <x:v>2022-04-20</x:v>
      </x:c>
      <x:c r="W2640" s="2" t="str"/>
      <x:c r="X2640" s="2" t="str">
        <x:v>종결 근거 보관</x:v>
      </x:c>
      <x:c r="Y2640" s="2" t="str">
        <x:v>ad210cd9ec132cfd447541c8984dc53d30aff0f4fb2dc92d254d49275cc55976</x:v>
      </x:c>
      <x:c r="Z2640" s="2" t="n">
        <x:f>SUBTOTAL(103,A2640)</x:f>
        <x:v>1</x:v>
      </x:c>
      <x:c r="AA2640" s="2" t="str">
        <x:f>IF(K2640&lt;&gt;"미종결 표시","대상 아님",IF(N2640="","신청일 확인",IF(NOT(ISNUMBER('종합 현황'!$H$5)),"관찰기준 확인",IF('종합 현황'!$H$5&lt;1,"관찰기준 확인",IF(N2640&gt;'종합 현황'!$H$5,"내부 관찰 대상","내부 관찰일 이하")))))</x:f>
        <x:v>대상 아님</x:v>
      </x:c>
      <x:c r="AB2640" s="2" t="str">
        <x:v>2021-10-27 15:26 - 접수
2021-10-28 10:50 - 신청
2021-12-08 15:27 - 문서재제출요청
2021-12-09 18:34 - 접수
2021-12-10 10:49 - 신청
2022-02-18 17:56 - 문서재제출요청
2022-02-21 16:32 - 접수
2022-02-21 17:01 - 신청
2022-02-22 17:01 - 문서재제출요청
2022-02-23 15:29 - 접수
2022-02-23 15:33 - 신청
2022-04-14 12:26 - 검토승인
2022-04-20 16:56 - 심의승인</x:v>
      </x:c>
    </x:row>
    <x:row r="2641" ht="42" customHeight="1">
      <x:c r="A2641" s="2" t="str">
        <x:v>128bae123f2efb3c98492531</x:v>
      </x:c>
      <x:c r="B2641" s="2" t="str">
        <x:v>감축량 인증</x:v>
      </x:c>
      <x:c r="C2641" s="2" t="str">
        <x:v>국외</x:v>
      </x:c>
      <x:c r="D2641" s="7" t="str">
        <x:v>라오스 가정용 스토브 보급-CPA003</x:v>
      </x:c>
      <x:c r="E2641" s="2" t="str">
        <x:v>226</x:v>
      </x:c>
      <x:c r="F2641" s="2" t="str">
        <x:v>2021-10-27</x:v>
      </x:c>
      <x:c r="G2641" s="2" t="str">
        <x:v>2021</x:v>
      </x:c>
      <x:c r="H2641" s="2" t="str">
        <x:v>10</x:v>
      </x:c>
      <x:c r="I2641" s="2" t="str">
        <x:v>심의승인</x:v>
      </x:c>
      <x:c r="J2641" s="2" t="str">
        <x:v>심의승인</x:v>
      </x:c>
      <x:c r="K2641" s="2" t="str">
        <x:f>IF(OR(J2641="심의승인",J2641="반려",J2641="반려완료",J2641="심의완료"),"종결 표시",IF(OR(J2641="기후부협의",J2641="문서재제출요청",J2641="보류",J2641="보완요청",J2641="보완완료",J2641="평가중",J2641="반려요청",J2641="평가필요",LEFT(J2641,5)="보완요청("),"미종결 표시","상태 확인 필요"))</x:f>
        <x:v>종결 표시</x:v>
      </x:c>
      <x:c r="L2641" s="2" t="str">
        <x:v>에코시안_조혜민</x:v>
      </x:c>
      <x:c r="M2641" s="2"/>
      <x:c r="N2641" s="8" t="n">
        <x:f>DATE(2026,10,15)-DATE(2021,10,27)</x:f>
        <x:v>1814</x:v>
      </x:c>
      <x:c r="O2641" s="2"/>
      <x:c r="P2641" s="2"/>
      <x:c r="Q2641" s="2" t="str">
        <x:v>산업전환_외부사업관리Tool_260707_이너젠 수정_LJY_261013.xlsx</x:v>
      </x:c>
      <x:c r="R2641" s="2" t="str">
        <x:v>국외인증</x:v>
      </x:c>
      <x:c r="S2641" s="8" t="n">
        <x:v>228</x:v>
      </x:c>
      <x:c r="T2641" s="2" t="str">
        <x:v>(11/2, 12/10)</x:v>
      </x:c>
      <x:c r="U2641" s="2" t="str">
        <x:v>2021 지정: (11/2, 12/10) / 2022 지정: (1/18)</x:v>
      </x:c>
      <x:c r="V2641" s="2" t="str">
        <x:v>2022-04-21</x:v>
      </x:c>
      <x:c r="W2641" s="2" t="str"/>
      <x:c r="X2641" s="2" t="str">
        <x:v>종결 근거 보관</x:v>
      </x:c>
      <x:c r="Y2641" s="2" t="str">
        <x:v>ad210cd9ec132cfd447541c8984dc53d30aff0f4fb2dc92d254d49275cc55976</x:v>
      </x:c>
      <x:c r="Z2641" s="2" t="n">
        <x:f>SUBTOTAL(103,A2641)</x:f>
        <x:v>1</x:v>
      </x:c>
      <x:c r="AA2641" s="2" t="str">
        <x:f>IF(K2641&lt;&gt;"미종결 표시","대상 아님",IF(N2641="","신청일 확인",IF(NOT(ISNUMBER('종합 현황'!$H$5)),"관찰기준 확인",IF('종합 현황'!$H$5&lt;1,"관찰기준 확인",IF(N2641&gt;'종합 현황'!$H$5,"내부 관찰 대상","내부 관찰일 이하")))))</x:f>
        <x:v>대상 아님</x:v>
      </x:c>
      <x:c r="AB2641" s="2" t="str">
        <x:v>2021-10-27 15:24 - 접수
2021-10-28 10:55 - 신청
2021-12-08 15:26 - 문서재제출요청
2021-12-09 18:34 - 접수
2021-12-10 10:49 - 신청
2022-02-18 17:59 - 문서재제출요청
2022-02-21 16:32 - 접수
2022-02-21 17:02 - 신청
2022-02-22 17:00 - 문서재제출요청
2022-02-23 15:28 - 접수
2022-02-23 15:32 - 신청
2022-04-14 12:19 - 검토승인
2022-04-21 15:41 - 심의승인</x:v>
      </x:c>
    </x:row>
    <x:row r="2642" ht="42" customHeight="1">
      <x:c r="A2642" s="2" t="str">
        <x:v>cf339205c977d6f2174acbee</x:v>
      </x:c>
      <x:c r="B2642" s="2" t="str">
        <x:v>감축량 인증</x:v>
      </x:c>
      <x:c r="C2642" s="2" t="str">
        <x:v>국외</x:v>
      </x:c>
      <x:c r="D2642" s="7" t="str">
        <x:v>대한민국이 지원한 우간다 UpEnergy 고효율 쿡스토브 사업-CPA0024</x:v>
      </x:c>
      <x:c r="E2642" s="2" t="str">
        <x:v>227</x:v>
      </x:c>
      <x:c r="F2642" s="2" t="str">
        <x:v>2021-10-28</x:v>
      </x:c>
      <x:c r="G2642" s="2" t="str">
        <x:v>2021</x:v>
      </x:c>
      <x:c r="H2642" s="2" t="str">
        <x:v>10</x:v>
      </x:c>
      <x:c r="I2642" s="2" t="str">
        <x:v>심의승인</x:v>
      </x:c>
      <x:c r="J2642" s="2" t="str">
        <x:v>심의승인</x:v>
      </x:c>
      <x:c r="K2642" s="2" t="str">
        <x:f>IF(OR(J2642="심의승인",J2642="반려",J2642="반려완료",J2642="심의완료"),"종결 표시",IF(OR(J2642="기후부협의",J2642="문서재제출요청",J2642="보류",J2642="보완요청",J2642="보완완료",J2642="평가중",J2642="반려요청",J2642="평가필요",LEFT(J2642,5)="보완요청("),"미종결 표시","상태 확인 필요"))</x:f>
        <x:v>종결 표시</x:v>
      </x:c>
      <x:c r="L2642" s="2" t="str">
        <x:v>에코시안_조혜민</x:v>
      </x:c>
      <x:c r="M2642" s="2"/>
      <x:c r="N2642" s="8" t="n">
        <x:f>DATE(2026,10,15)-DATE(2021,10,28)</x:f>
        <x:v>1813</x:v>
      </x:c>
      <x:c r="O2642" s="2"/>
      <x:c r="P2642" s="2"/>
      <x:c r="Q2642" s="2" t="str">
        <x:v>산업전환_외부사업관리Tool_260707_이너젠 수정_LJY_261013.xlsx</x:v>
      </x:c>
      <x:c r="R2642" s="2" t="str">
        <x:v>국외인증</x:v>
      </x:c>
      <x:c r="S2642" s="8" t="n">
        <x:v>229</x:v>
      </x:c>
      <x:c r="T2642" s="2" t="str">
        <x:v>(11/2)</x:v>
      </x:c>
      <x:c r="U2642" s="2" t="str">
        <x:v>2021 지정: (11/2) / 2022 지정: (1/18)</x:v>
      </x:c>
      <x:c r="V2642" s="2" t="str">
        <x:v>2022-04-20</x:v>
      </x:c>
      <x:c r="W2642" s="2" t="str"/>
      <x:c r="X2642" s="2" t="str">
        <x:v>종결 근거 보관</x:v>
      </x:c>
      <x:c r="Y2642" s="2" t="str">
        <x:v>ad210cd9ec132cfd447541c8984dc53d30aff0f4fb2dc92d254d49275cc55976</x:v>
      </x:c>
      <x:c r="Z2642" s="2" t="n">
        <x:f>SUBTOTAL(103,A2642)</x:f>
        <x:v>1</x:v>
      </x:c>
      <x:c r="AA2642" s="2" t="str">
        <x:f>IF(K2642&lt;&gt;"미종결 표시","대상 아님",IF(N2642="","신청일 확인",IF(NOT(ISNUMBER('종합 현황'!$H$5)),"관찰기준 확인",IF('종합 현황'!$H$5&lt;1,"관찰기준 확인",IF(N2642&gt;'종합 현황'!$H$5,"내부 관찰 대상","내부 관찰일 이하")))))</x:f>
        <x:v>대상 아님</x:v>
      </x:c>
      <x:c r="AB2642" s="2" t="str">
        <x:v>2021-10-28 08:50 - 신청
2021-12-07 15:11 - 문서재제출요청
2021-12-21 14:22 - 신청
2022-02-18 18:13 - 문서재제출요청
2022-02-23 10:21 - 신청
2022-04-14 10:16 - 검토승인
2022-04-20 14:36 - 심의승인</x:v>
      </x:c>
    </x:row>
    <x:row r="2643" ht="42" customHeight="1">
      <x:c r="A2643" s="2" t="str">
        <x:v>1f96b7179335b127699e1be6</x:v>
      </x:c>
      <x:c r="B2643" s="2" t="str">
        <x:v>감축량 인증</x:v>
      </x:c>
      <x:c r="C2643" s="2" t="str">
        <x:v>국외</x:v>
      </x:c>
      <x:c r="D2643" s="7" t="str">
        <x:v>대한민국이 지원한 우간다 UpEnergy 고효율 쿡스토브 사업-CPA0025</x:v>
      </x:c>
      <x:c r="E2643" s="2" t="str">
        <x:v>228</x:v>
      </x:c>
      <x:c r="F2643" s="2" t="str">
        <x:v>2021-10-28</x:v>
      </x:c>
      <x:c r="G2643" s="2" t="str">
        <x:v>2021</x:v>
      </x:c>
      <x:c r="H2643" s="2" t="str">
        <x:v>10</x:v>
      </x:c>
      <x:c r="I2643" s="2" t="str">
        <x:v>심의승인</x:v>
      </x:c>
      <x:c r="J2643" s="2" t="str">
        <x:v>심의승인</x:v>
      </x:c>
      <x:c r="K2643" s="2" t="str">
        <x:f>IF(OR(J2643="심의승인",J2643="반려",J2643="반려완료",J2643="심의완료"),"종결 표시",IF(OR(J2643="기후부협의",J2643="문서재제출요청",J2643="보류",J2643="보완요청",J2643="보완완료",J2643="평가중",J2643="반려요청",J2643="평가필요",LEFT(J2643,5)="보완요청("),"미종결 표시","상태 확인 필요"))</x:f>
        <x:v>종결 표시</x:v>
      </x:c>
      <x:c r="L2643" s="2" t="str">
        <x:v>에코시안_조혜민</x:v>
      </x:c>
      <x:c r="M2643" s="2"/>
      <x:c r="N2643" s="8" t="n">
        <x:f>DATE(2026,10,15)-DATE(2021,10,28)</x:f>
        <x:v>1813</x:v>
      </x:c>
      <x:c r="O2643" s="2"/>
      <x:c r="P2643" s="2"/>
      <x:c r="Q2643" s="2" t="str">
        <x:v>산업전환_외부사업관리Tool_260707_이너젠 수정_LJY_261013.xlsx</x:v>
      </x:c>
      <x:c r="R2643" s="2" t="str">
        <x:v>국외인증</x:v>
      </x:c>
      <x:c r="S2643" s="8" t="n">
        <x:v>230</x:v>
      </x:c>
      <x:c r="T2643" s="2" t="str">
        <x:v>(11/2)</x:v>
      </x:c>
      <x:c r="U2643" s="2" t="str">
        <x:v>2021 지정: (11/2) / 2022 지정: (1/18)</x:v>
      </x:c>
      <x:c r="V2643" s="2" t="str">
        <x:v>2022-04-20</x:v>
      </x:c>
      <x:c r="W2643" s="2" t="str"/>
      <x:c r="X2643" s="2" t="str">
        <x:v>종결 근거 보관</x:v>
      </x:c>
      <x:c r="Y2643" s="2" t="str">
        <x:v>ad210cd9ec132cfd447541c8984dc53d30aff0f4fb2dc92d254d49275cc55976</x:v>
      </x:c>
      <x:c r="Z2643" s="2" t="n">
        <x:f>SUBTOTAL(103,A2643)</x:f>
        <x:v>1</x:v>
      </x:c>
      <x:c r="AA2643" s="2" t="str">
        <x:f>IF(K2643&lt;&gt;"미종결 표시","대상 아님",IF(N2643="","신청일 확인",IF(NOT(ISNUMBER('종합 현황'!$H$5)),"관찰기준 확인",IF('종합 현황'!$H$5&lt;1,"관찰기준 확인",IF(N2643&gt;'종합 현황'!$H$5,"내부 관찰 대상","내부 관찰일 이하")))))</x:f>
        <x:v>대상 아님</x:v>
      </x:c>
      <x:c r="AB2643" s="2" t="str">
        <x:v>2021-10-28 08:53 - 신청
2021-12-07 15:11 - 문서재제출요청
2021-12-21 14:26 - 신청
2022-02-18 18:14 - 문서재제출요청
2022-02-23 10:24 - 신청
2022-04-14 10:16 - 검토승인
2022-04-20 14:47 - 심의승인</x:v>
      </x:c>
    </x:row>
    <x:row r="2644" ht="42" customHeight="1">
      <x:c r="A2644" s="2" t="str">
        <x:v>9a2b9687c536147f80015744</x:v>
      </x:c>
      <x:c r="B2644" s="2" t="str">
        <x:v>감축량 인증</x:v>
      </x:c>
      <x:c r="C2644" s="2" t="str">
        <x:v>국외</x:v>
      </x:c>
      <x:c r="D2644" s="7" t="str">
        <x:v>대한민국이 지원한 우간다 UpEnergy 고효율 쿡스토브 사업-CPA0026</x:v>
      </x:c>
      <x:c r="E2644" s="2" t="str">
        <x:v>229</x:v>
      </x:c>
      <x:c r="F2644" s="2" t="str">
        <x:v>2021-10-28</x:v>
      </x:c>
      <x:c r="G2644" s="2" t="str">
        <x:v>2021</x:v>
      </x:c>
      <x:c r="H2644" s="2" t="str">
        <x:v>10</x:v>
      </x:c>
      <x:c r="I2644" s="2" t="str">
        <x:v>심의승인</x:v>
      </x:c>
      <x:c r="J2644" s="2" t="str">
        <x:v>심의승인</x:v>
      </x:c>
      <x:c r="K2644" s="2" t="str">
        <x:f>IF(OR(J2644="심의승인",J2644="반려",J2644="반려완료",J2644="심의완료"),"종결 표시",IF(OR(J2644="기후부협의",J2644="문서재제출요청",J2644="보류",J2644="보완요청",J2644="보완완료",J2644="평가중",J2644="반려요청",J2644="평가필요",LEFT(J2644,5)="보완요청("),"미종결 표시","상태 확인 필요"))</x:f>
        <x:v>종결 표시</x:v>
      </x:c>
      <x:c r="L2644" s="2" t="str">
        <x:v>에코시안_조혜민</x:v>
      </x:c>
      <x:c r="M2644" s="2"/>
      <x:c r="N2644" s="8" t="n">
        <x:f>DATE(2026,10,15)-DATE(2021,10,28)</x:f>
        <x:v>1813</x:v>
      </x:c>
      <x:c r="O2644" s="2"/>
      <x:c r="P2644" s="2"/>
      <x:c r="Q2644" s="2" t="str">
        <x:v>산업전환_외부사업관리Tool_260707_이너젠 수정_LJY_261013.xlsx</x:v>
      </x:c>
      <x:c r="R2644" s="2" t="str">
        <x:v>국외인증</x:v>
      </x:c>
      <x:c r="S2644" s="8" t="n">
        <x:v>231</x:v>
      </x:c>
      <x:c r="T2644" s="2" t="str">
        <x:v>(11/2)</x:v>
      </x:c>
      <x:c r="U2644" s="2" t="str">
        <x:v>2021 지정: (11/2) / 2022 지정: (1/18)</x:v>
      </x:c>
      <x:c r="V2644" s="2" t="str">
        <x:v>2022-04-20</x:v>
      </x:c>
      <x:c r="W2644" s="2" t="str"/>
      <x:c r="X2644" s="2" t="str">
        <x:v>종결 근거 보관</x:v>
      </x:c>
      <x:c r="Y2644" s="2" t="str">
        <x:v>ad210cd9ec132cfd447541c8984dc53d30aff0f4fb2dc92d254d49275cc55976</x:v>
      </x:c>
      <x:c r="Z2644" s="2" t="n">
        <x:f>SUBTOTAL(103,A2644)</x:f>
        <x:v>1</x:v>
      </x:c>
      <x:c r="AA2644" s="2" t="str">
        <x:f>IF(K2644&lt;&gt;"미종결 표시","대상 아님",IF(N2644="","신청일 확인",IF(NOT(ISNUMBER('종합 현황'!$H$5)),"관찰기준 확인",IF('종합 현황'!$H$5&lt;1,"관찰기준 확인",IF(N2644&gt;'종합 현황'!$H$5,"내부 관찰 대상","내부 관찰일 이하")))))</x:f>
        <x:v>대상 아님</x:v>
      </x:c>
      <x:c r="AB2644" s="2" t="str">
        <x:v>2021-10-28 08:56 - 신청
2021-12-07 15:11 - 문서재제출요청
2021-12-21 14:29 - 신청
2022-02-22 13:06 - 문서재제출요청
2022-02-23 10:26 - 신청
2022-04-14 10:18 - 검토승인
2022-04-20 14:50 - 심의승인</x:v>
      </x:c>
    </x:row>
    <x:row r="2645" ht="42" customHeight="1">
      <x:c r="A2645" s="2" t="str">
        <x:v>d9ba566d1f2442d2252b0ac6</x:v>
      </x:c>
      <x:c r="B2645" s="2" t="str">
        <x:v>감축량 인증</x:v>
      </x:c>
      <x:c r="C2645" s="2" t="str">
        <x:v>국외</x:v>
      </x:c>
      <x:c r="D2645" s="7" t="str">
        <x:v>대한민국이 지원한 우간다 UpEnergy 고효율 쿡스토브 사업-CPA0027</x:v>
      </x:c>
      <x:c r="E2645" s="2" t="str">
        <x:v>230</x:v>
      </x:c>
      <x:c r="F2645" s="2" t="str">
        <x:v>2021-10-28</x:v>
      </x:c>
      <x:c r="G2645" s="2" t="str">
        <x:v>2021</x:v>
      </x:c>
      <x:c r="H2645" s="2" t="str">
        <x:v>10</x:v>
      </x:c>
      <x:c r="I2645" s="2" t="str">
        <x:v>심의승인</x:v>
      </x:c>
      <x:c r="J2645" s="2" t="str">
        <x:v>심의승인</x:v>
      </x:c>
      <x:c r="K2645" s="2" t="str">
        <x:f>IF(OR(J2645="심의승인",J2645="반려",J2645="반려완료",J2645="심의완료"),"종결 표시",IF(OR(J2645="기후부협의",J2645="문서재제출요청",J2645="보류",J2645="보완요청",J2645="보완완료",J2645="평가중",J2645="반려요청",J2645="평가필요",LEFT(J2645,5)="보완요청("),"미종결 표시","상태 확인 필요"))</x:f>
        <x:v>종결 표시</x:v>
      </x:c>
      <x:c r="L2645" s="2" t="str">
        <x:v>에코시안_조혜민</x:v>
      </x:c>
      <x:c r="M2645" s="2"/>
      <x:c r="N2645" s="8" t="n">
        <x:f>DATE(2026,10,15)-DATE(2021,10,28)</x:f>
        <x:v>1813</x:v>
      </x:c>
      <x:c r="O2645" s="2"/>
      <x:c r="P2645" s="2"/>
      <x:c r="Q2645" s="2" t="str">
        <x:v>산업전환_외부사업관리Tool_260707_이너젠 수정_LJY_261013.xlsx</x:v>
      </x:c>
      <x:c r="R2645" s="2" t="str">
        <x:v>국외인증</x:v>
      </x:c>
      <x:c r="S2645" s="8" t="n">
        <x:v>232</x:v>
      </x:c>
      <x:c r="T2645" s="2" t="str">
        <x:v>(11/2)</x:v>
      </x:c>
      <x:c r="U2645" s="2" t="str">
        <x:v>2021 지정: (11/2) / 2022 지정: (1/18)</x:v>
      </x:c>
      <x:c r="V2645" s="2" t="str">
        <x:v>2022-04-20</x:v>
      </x:c>
      <x:c r="W2645" s="2" t="str"/>
      <x:c r="X2645" s="2" t="str">
        <x:v>종결 근거 보관</x:v>
      </x:c>
      <x:c r="Y2645" s="2" t="str">
        <x:v>ad210cd9ec132cfd447541c8984dc53d30aff0f4fb2dc92d254d49275cc55976</x:v>
      </x:c>
      <x:c r="Z2645" s="2" t="n">
        <x:f>SUBTOTAL(103,A2645)</x:f>
        <x:v>1</x:v>
      </x:c>
      <x:c r="AA2645" s="2" t="str">
        <x:f>IF(K2645&lt;&gt;"미종결 표시","대상 아님",IF(N2645="","신청일 확인",IF(NOT(ISNUMBER('종합 현황'!$H$5)),"관찰기준 확인",IF('종합 현황'!$H$5&lt;1,"관찰기준 확인",IF(N2645&gt;'종합 현황'!$H$5,"내부 관찰 대상","내부 관찰일 이하")))))</x:f>
        <x:v>대상 아님</x:v>
      </x:c>
      <x:c r="AB2645" s="2" t="str">
        <x:v>2021-10-28 08:58 - 신청
2021-12-07 15:12 - 문서재제출요청
2021-12-21 14:31 - 신청
2022-02-22 13:07 - 문서재제출요청
2022-02-23 10:28 - 신청
2022-04-14 10:19 - 검토승인
2022-04-20 15:14 - 심의승인</x:v>
      </x:c>
    </x:row>
    <x:row r="2646" ht="42" customHeight="1">
      <x:c r="A2646" s="2" t="str">
        <x:v>fd2ceef5356366b58fe3c3e3</x:v>
      </x:c>
      <x:c r="B2646" s="2" t="str">
        <x:v>감축량 인증</x:v>
      </x:c>
      <x:c r="C2646" s="2" t="str">
        <x:v>국외</x:v>
      </x:c>
      <x:c r="D2646" s="7" t="str">
        <x:v>대한민국이 지원한 우간다 UpEnergy 고효율 쿡스토브 사업-CPA0028</x:v>
      </x:c>
      <x:c r="E2646" s="2" t="str">
        <x:v>231</x:v>
      </x:c>
      <x:c r="F2646" s="2" t="str">
        <x:v>2021-10-28</x:v>
      </x:c>
      <x:c r="G2646" s="2" t="str">
        <x:v>2021</x:v>
      </x:c>
      <x:c r="H2646" s="2" t="str">
        <x:v>10</x:v>
      </x:c>
      <x:c r="I2646" s="2" t="str">
        <x:v>심의승인</x:v>
      </x:c>
      <x:c r="J2646" s="2" t="str">
        <x:v>심의승인</x:v>
      </x:c>
      <x:c r="K2646" s="2" t="str">
        <x:f>IF(OR(J2646="심의승인",J2646="반려",J2646="반려완료",J2646="심의완료"),"종결 표시",IF(OR(J2646="기후부협의",J2646="문서재제출요청",J2646="보류",J2646="보완요청",J2646="보완완료",J2646="평가중",J2646="반려요청",J2646="평가필요",LEFT(J2646,5)="보완요청("),"미종결 표시","상태 확인 필요"))</x:f>
        <x:v>종결 표시</x:v>
      </x:c>
      <x:c r="L2646" s="2" t="str">
        <x:v>에코시안_조혜민</x:v>
      </x:c>
      <x:c r="M2646" s="2"/>
      <x:c r="N2646" s="8" t="n">
        <x:f>DATE(2026,10,15)-DATE(2021,10,28)</x:f>
        <x:v>1813</x:v>
      </x:c>
      <x:c r="O2646" s="2"/>
      <x:c r="P2646" s="2"/>
      <x:c r="Q2646" s="2" t="str">
        <x:v>산업전환_외부사업관리Tool_260707_이너젠 수정_LJY_261013.xlsx</x:v>
      </x:c>
      <x:c r="R2646" s="2" t="str">
        <x:v>국외인증</x:v>
      </x:c>
      <x:c r="S2646" s="8" t="n">
        <x:v>233</x:v>
      </x:c>
      <x:c r="T2646" s="2" t="str">
        <x:v>(11/2)</x:v>
      </x:c>
      <x:c r="U2646" s="2" t="str">
        <x:v>2021 지정: (11/2) / 2022 지정: (1/18)</x:v>
      </x:c>
      <x:c r="V2646" s="2" t="str">
        <x:v>2022-04-20</x:v>
      </x:c>
      <x:c r="W2646" s="2" t="str"/>
      <x:c r="X2646" s="2" t="str">
        <x:v>종결 근거 보관</x:v>
      </x:c>
      <x:c r="Y2646" s="2" t="str">
        <x:v>ad210cd9ec132cfd447541c8984dc53d30aff0f4fb2dc92d254d49275cc55976</x:v>
      </x:c>
      <x:c r="Z2646" s="2" t="n">
        <x:f>SUBTOTAL(103,A2646)</x:f>
        <x:v>1</x:v>
      </x:c>
      <x:c r="AA2646" s="2" t="str">
        <x:f>IF(K2646&lt;&gt;"미종결 표시","대상 아님",IF(N2646="","신청일 확인",IF(NOT(ISNUMBER('종합 현황'!$H$5)),"관찰기준 확인",IF('종합 현황'!$H$5&lt;1,"관찰기준 확인",IF(N2646&gt;'종합 현황'!$H$5,"내부 관찰 대상","내부 관찰일 이하")))))</x:f>
        <x:v>대상 아님</x:v>
      </x:c>
      <x:c r="AB2646" s="2" t="str">
        <x:v>2021-10-28 09:06 - 신청
2021-12-07 15:12 - 문서재제출요청
2021-12-21 14:32 - 신청
2022-02-22 13:08 - 문서재제출요청
2022-02-23 10:42 - 신청
2022-04-14 10:21 - 검토승인
2022-04-20 15:18 - 심의승인</x:v>
      </x:c>
    </x:row>
    <x:row r="2647" ht="42" customHeight="1">
      <x:c r="A2647" s="2" t="str">
        <x:v>c12ee39de69d86751daae842</x:v>
      </x:c>
      <x:c r="B2647" s="2" t="str">
        <x:v>감축량 인증</x:v>
      </x:c>
      <x:c r="C2647" s="2" t="str">
        <x:v>국외</x:v>
      </x:c>
      <x:c r="D2647" s="7" t="str">
        <x:v>대한민국이 지원한 우간다 UpEnergy 고효율 쿡스토브 사업-CPA0029</x:v>
      </x:c>
      <x:c r="E2647" s="2" t="str">
        <x:v>232</x:v>
      </x:c>
      <x:c r="F2647" s="2" t="str">
        <x:v>2021-10-28</x:v>
      </x:c>
      <x:c r="G2647" s="2" t="str">
        <x:v>2021</x:v>
      </x:c>
      <x:c r="H2647" s="2" t="str">
        <x:v>10</x:v>
      </x:c>
      <x:c r="I2647" s="2" t="str">
        <x:v>심의승인</x:v>
      </x:c>
      <x:c r="J2647" s="2" t="str">
        <x:v>심의승인</x:v>
      </x:c>
      <x:c r="K2647" s="2" t="str">
        <x:f>IF(OR(J2647="심의승인",J2647="반려",J2647="반려완료",J2647="심의완료"),"종결 표시",IF(OR(J2647="기후부협의",J2647="문서재제출요청",J2647="보류",J2647="보완요청",J2647="보완완료",J2647="평가중",J2647="반려요청",J2647="평가필요",LEFT(J2647,5)="보완요청("),"미종결 표시","상태 확인 필요"))</x:f>
        <x:v>종결 표시</x:v>
      </x:c>
      <x:c r="L2647" s="2" t="str">
        <x:v>에코시안_조혜민</x:v>
      </x:c>
      <x:c r="M2647" s="2"/>
      <x:c r="N2647" s="8" t="n">
        <x:f>DATE(2026,10,15)-DATE(2021,10,28)</x:f>
        <x:v>1813</x:v>
      </x:c>
      <x:c r="O2647" s="2"/>
      <x:c r="P2647" s="2"/>
      <x:c r="Q2647" s="2" t="str">
        <x:v>산업전환_외부사업관리Tool_260707_이너젠 수정_LJY_261013.xlsx</x:v>
      </x:c>
      <x:c r="R2647" s="2" t="str">
        <x:v>국외인증</x:v>
      </x:c>
      <x:c r="S2647" s="8" t="n">
        <x:v>234</x:v>
      </x:c>
      <x:c r="T2647" s="2" t="str">
        <x:v>(11/2)</x:v>
      </x:c>
      <x:c r="U2647" s="2" t="str">
        <x:v>2021 지정: (11/2) / 2022 지정: (1/18)</x:v>
      </x:c>
      <x:c r="V2647" s="2" t="str">
        <x:v>2022-04-20</x:v>
      </x:c>
      <x:c r="W2647" s="2" t="str"/>
      <x:c r="X2647" s="2" t="str">
        <x:v>종결 근거 보관</x:v>
      </x:c>
      <x:c r="Y2647" s="2" t="str">
        <x:v>ad210cd9ec132cfd447541c8984dc53d30aff0f4fb2dc92d254d49275cc55976</x:v>
      </x:c>
      <x:c r="Z2647" s="2" t="n">
        <x:f>SUBTOTAL(103,A2647)</x:f>
        <x:v>1</x:v>
      </x:c>
      <x:c r="AA2647" s="2" t="str">
        <x:f>IF(K2647&lt;&gt;"미종결 표시","대상 아님",IF(N2647="","신청일 확인",IF(NOT(ISNUMBER('종합 현황'!$H$5)),"관찰기준 확인",IF('종합 현황'!$H$5&lt;1,"관찰기준 확인",IF(N2647&gt;'종합 현황'!$H$5,"내부 관찰 대상","내부 관찰일 이하")))))</x:f>
        <x:v>대상 아님</x:v>
      </x:c>
      <x:c r="AB2647" s="2" t="str">
        <x:v>2021-10-28 09:09 - 신청
2021-12-07 15:12 - 문서재제출요청
2021-12-21 14:34 - 신청
2022-02-22 13:08 - 문서재제출요청
2022-02-23 10:45 - 신청
2022-04-14 10:22 - 검토승인
2022-04-20 15:45 - 심의승인</x:v>
      </x:c>
    </x:row>
    <x:row r="2648" ht="42" customHeight="1">
      <x:c r="A2648" s="2" t="str">
        <x:v>4c19a7e52983f86485f9928d</x:v>
      </x:c>
      <x:c r="B2648" s="2" t="str">
        <x:v>감축량 인증</x:v>
      </x:c>
      <x:c r="C2648" s="2" t="str">
        <x:v>국외</x:v>
      </x:c>
      <x:c r="D2648" s="7" t="str">
        <x:v>대한민국이 지원한 우간다 UpEnergy 고효율 쿡스토브 사업-CPA0030</x:v>
      </x:c>
      <x:c r="E2648" s="2" t="str">
        <x:v>233</x:v>
      </x:c>
      <x:c r="F2648" s="2" t="str">
        <x:v>2021-10-28</x:v>
      </x:c>
      <x:c r="G2648" s="2" t="str">
        <x:v>2021</x:v>
      </x:c>
      <x:c r="H2648" s="2" t="str">
        <x:v>10</x:v>
      </x:c>
      <x:c r="I2648" s="2" t="str">
        <x:v>심의승인</x:v>
      </x:c>
      <x:c r="J2648" s="2" t="str">
        <x:v>심의승인</x:v>
      </x:c>
      <x:c r="K2648" s="2" t="str">
        <x:f>IF(OR(J2648="심의승인",J2648="반려",J2648="반려완료",J2648="심의완료"),"종결 표시",IF(OR(J2648="기후부협의",J2648="문서재제출요청",J2648="보류",J2648="보완요청",J2648="보완완료",J2648="평가중",J2648="반려요청",J2648="평가필요",LEFT(J2648,5)="보완요청("),"미종결 표시","상태 확인 필요"))</x:f>
        <x:v>종결 표시</x:v>
      </x:c>
      <x:c r="L2648" s="2" t="str">
        <x:v>에코시안_조혜민</x:v>
      </x:c>
      <x:c r="M2648" s="2"/>
      <x:c r="N2648" s="8" t="n">
        <x:f>DATE(2026,10,15)-DATE(2021,10,28)</x:f>
        <x:v>1813</x:v>
      </x:c>
      <x:c r="O2648" s="2"/>
      <x:c r="P2648" s="2"/>
      <x:c r="Q2648" s="2" t="str">
        <x:v>산업전환_외부사업관리Tool_260707_이너젠 수정_LJY_261013.xlsx</x:v>
      </x:c>
      <x:c r="R2648" s="2" t="str">
        <x:v>국외인증</x:v>
      </x:c>
      <x:c r="S2648" s="8" t="n">
        <x:v>235</x:v>
      </x:c>
      <x:c r="T2648" s="2" t="str">
        <x:v>(11/2)</x:v>
      </x:c>
      <x:c r="U2648" s="2" t="str">
        <x:v>2021 지정: (11/2) / 2022 지정: (1/18)</x:v>
      </x:c>
      <x:c r="V2648" s="2" t="str">
        <x:v>2022-04-20</x:v>
      </x:c>
      <x:c r="W2648" s="2" t="str"/>
      <x:c r="X2648" s="2" t="str">
        <x:v>종결 근거 보관</x:v>
      </x:c>
      <x:c r="Y2648" s="2" t="str">
        <x:v>ad210cd9ec132cfd447541c8984dc53d30aff0f4fb2dc92d254d49275cc55976</x:v>
      </x:c>
      <x:c r="Z2648" s="2" t="n">
        <x:f>SUBTOTAL(103,A2648)</x:f>
        <x:v>1</x:v>
      </x:c>
      <x:c r="AA2648" s="2" t="str">
        <x:f>IF(K2648&lt;&gt;"미종결 표시","대상 아님",IF(N2648="","신청일 확인",IF(NOT(ISNUMBER('종합 현황'!$H$5)),"관찰기준 확인",IF('종합 현황'!$H$5&lt;1,"관찰기준 확인",IF(N2648&gt;'종합 현황'!$H$5,"내부 관찰 대상","내부 관찰일 이하")))))</x:f>
        <x:v>대상 아님</x:v>
      </x:c>
      <x:c r="AB2648" s="2" t="str">
        <x:v>2021-10-28 10:32 - 신청
2021-12-07 15:15 - 문서재제출요청
2021-12-21 14:36 - 신청
2022-02-22 13:09 - 문서재제출요청
2022-02-23 10:50 - 신청
2022-04-14 10:22 - 검토승인
2022-04-20 15:47 - 심의승인</x:v>
      </x:c>
    </x:row>
    <x:row r="2649" ht="42" customHeight="1">
      <x:c r="A2649" s="2" t="str">
        <x:v>e3bde89e42fd60bc59569a13</x:v>
      </x:c>
      <x:c r="B2649" s="2" t="str">
        <x:v>감축량 인증</x:v>
      </x:c>
      <x:c r="C2649" s="2" t="str">
        <x:v>국외</x:v>
      </x:c>
      <x:c r="D2649" s="7" t="str">
        <x:v>대한민국이 지원한 우간다 UpEnergy 고효율 쿡스토브 사업-CPA0031</x:v>
      </x:c>
      <x:c r="E2649" s="2" t="str">
        <x:v>234</x:v>
      </x:c>
      <x:c r="F2649" s="2" t="str">
        <x:v>2021-10-28</x:v>
      </x:c>
      <x:c r="G2649" s="2" t="str">
        <x:v>2021</x:v>
      </x:c>
      <x:c r="H2649" s="2" t="str">
        <x:v>10</x:v>
      </x:c>
      <x:c r="I2649" s="2" t="str">
        <x:v>심의승인</x:v>
      </x:c>
      <x:c r="J2649" s="2" t="str">
        <x:v>심의승인</x:v>
      </x:c>
      <x:c r="K2649" s="2" t="str">
        <x:f>IF(OR(J2649="심의승인",J2649="반려",J2649="반려완료",J2649="심의완료"),"종결 표시",IF(OR(J2649="기후부협의",J2649="문서재제출요청",J2649="보류",J2649="보완요청",J2649="보완완료",J2649="평가중",J2649="반려요청",J2649="평가필요",LEFT(J2649,5)="보완요청("),"미종결 표시","상태 확인 필요"))</x:f>
        <x:v>종결 표시</x:v>
      </x:c>
      <x:c r="L2649" s="2" t="str">
        <x:v>에코시안_조혜민</x:v>
      </x:c>
      <x:c r="M2649" s="2"/>
      <x:c r="N2649" s="8" t="n">
        <x:f>DATE(2026,10,15)-DATE(2021,10,28)</x:f>
        <x:v>1813</x:v>
      </x:c>
      <x:c r="O2649" s="2"/>
      <x:c r="P2649" s="2"/>
      <x:c r="Q2649" s="2" t="str">
        <x:v>산업전환_외부사업관리Tool_260707_이너젠 수정_LJY_261013.xlsx</x:v>
      </x:c>
      <x:c r="R2649" s="2" t="str">
        <x:v>국외인증</x:v>
      </x:c>
      <x:c r="S2649" s="8" t="n">
        <x:v>236</x:v>
      </x:c>
      <x:c r="T2649" s="2" t="str">
        <x:v>(11/2)</x:v>
      </x:c>
      <x:c r="U2649" s="2" t="str">
        <x:v>2021 지정: (11/2) / 2022 지정: (1/18)</x:v>
      </x:c>
      <x:c r="V2649" s="2" t="str">
        <x:v>2022-04-20</x:v>
      </x:c>
      <x:c r="W2649" s="2" t="str"/>
      <x:c r="X2649" s="2" t="str">
        <x:v>종결 근거 보관</x:v>
      </x:c>
      <x:c r="Y2649" s="2" t="str">
        <x:v>ad210cd9ec132cfd447541c8984dc53d30aff0f4fb2dc92d254d49275cc55976</x:v>
      </x:c>
      <x:c r="Z2649" s="2" t="n">
        <x:f>SUBTOTAL(103,A2649)</x:f>
        <x:v>1</x:v>
      </x:c>
      <x:c r="AA2649" s="2" t="str">
        <x:f>IF(K2649&lt;&gt;"미종결 표시","대상 아님",IF(N2649="","신청일 확인",IF(NOT(ISNUMBER('종합 현황'!$H$5)),"관찰기준 확인",IF('종합 현황'!$H$5&lt;1,"관찰기준 확인",IF(N2649&gt;'종합 현황'!$H$5,"내부 관찰 대상","내부 관찰일 이하")))))</x:f>
        <x:v>대상 아님</x:v>
      </x:c>
      <x:c r="AB2649" s="2" t="str">
        <x:v>2021-10-28 12:35 - 신청
2021-12-07 15:15 - 문서재제출요청
2021-12-21 14:41 - 신청
2022-02-22 13:09 - 문서재제출요청
2022-02-23 10:52 - 신청
2022-04-14 10:23 - 검토승인
2022-04-20 15:49 - 심의승인</x:v>
      </x:c>
    </x:row>
    <x:row r="2650" ht="42" customHeight="1">
      <x:c r="A2650" s="2" t="str">
        <x:v>91cd9075d417a1458df55a50</x:v>
      </x:c>
      <x:c r="B2650" s="2" t="str">
        <x:v>감축량 인증</x:v>
      </x:c>
      <x:c r="C2650" s="2" t="str">
        <x:v>국외</x:v>
      </x:c>
      <x:c r="D2650" s="7" t="str">
        <x:v>대한민국이 지원한 우간다 UpEnergy 고효율 쿡스토브 사업-CPA0032</x:v>
      </x:c>
      <x:c r="E2650" s="2" t="str">
        <x:v>235</x:v>
      </x:c>
      <x:c r="F2650" s="2" t="str">
        <x:v>2021-10-28</x:v>
      </x:c>
      <x:c r="G2650" s="2" t="str">
        <x:v>2021</x:v>
      </x:c>
      <x:c r="H2650" s="2" t="str">
        <x:v>10</x:v>
      </x:c>
      <x:c r="I2650" s="2" t="str">
        <x:v>심의승인</x:v>
      </x:c>
      <x:c r="J2650" s="2" t="str">
        <x:v>심의승인</x:v>
      </x:c>
      <x:c r="K2650" s="2" t="str">
        <x:f>IF(OR(J2650="심의승인",J2650="반려",J2650="반려완료",J2650="심의완료"),"종결 표시",IF(OR(J2650="기후부협의",J2650="문서재제출요청",J2650="보류",J2650="보완요청",J2650="보완완료",J2650="평가중",J2650="반려요청",J2650="평가필요",LEFT(J2650,5)="보완요청("),"미종결 표시","상태 확인 필요"))</x:f>
        <x:v>종결 표시</x:v>
      </x:c>
      <x:c r="L2650" s="2" t="str">
        <x:v>에코시안_조혜민</x:v>
      </x:c>
      <x:c r="M2650" s="2"/>
      <x:c r="N2650" s="8" t="n">
        <x:f>DATE(2026,10,15)-DATE(2021,10,28)</x:f>
        <x:v>1813</x:v>
      </x:c>
      <x:c r="O2650" s="2"/>
      <x:c r="P2650" s="2"/>
      <x:c r="Q2650" s="2" t="str">
        <x:v>산업전환_외부사업관리Tool_260707_이너젠 수정_LJY_261013.xlsx</x:v>
      </x:c>
      <x:c r="R2650" s="2" t="str">
        <x:v>국외인증</x:v>
      </x:c>
      <x:c r="S2650" s="8" t="n">
        <x:v>237</x:v>
      </x:c>
      <x:c r="T2650" s="2" t="str">
        <x:v>(11/2)</x:v>
      </x:c>
      <x:c r="U2650" s="2" t="str">
        <x:v>2021 지정: (11/2) / 2022 지정: (1/18)</x:v>
      </x:c>
      <x:c r="V2650" s="2" t="str">
        <x:v>2022-04-21</x:v>
      </x:c>
      <x:c r="W2650" s="2" t="str"/>
      <x:c r="X2650" s="2" t="str">
        <x:v>종결 근거 보관</x:v>
      </x:c>
      <x:c r="Y2650" s="2" t="str">
        <x:v>ad210cd9ec132cfd447541c8984dc53d30aff0f4fb2dc92d254d49275cc55976</x:v>
      </x:c>
      <x:c r="Z2650" s="2" t="n">
        <x:f>SUBTOTAL(103,A2650)</x:f>
        <x:v>1</x:v>
      </x:c>
      <x:c r="AA2650" s="2" t="str">
        <x:f>IF(K2650&lt;&gt;"미종결 표시","대상 아님",IF(N2650="","신청일 확인",IF(NOT(ISNUMBER('종합 현황'!$H$5)),"관찰기준 확인",IF('종합 현황'!$H$5&lt;1,"관찰기준 확인",IF(N2650&gt;'종합 현황'!$H$5,"내부 관찰 대상","내부 관찰일 이하")))))</x:f>
        <x:v>대상 아님</x:v>
      </x:c>
      <x:c r="AB2650" s="2" t="str">
        <x:v>2021-10-28 12:38 - 신청
2021-12-07 15:16 - 문서재제출요청
2021-12-21 14:45 - 신청
2022-02-22 13:10 - 문서재제출요청
2022-02-23 10:54 - 신청
2022-04-14 10:24 - 검토승인
2022-04-21 15:39 - 심의승인</x:v>
      </x:c>
    </x:row>
    <x:row r="2651" ht="42" customHeight="1">
      <x:c r="A2651" s="2" t="str">
        <x:v>6bfadda3440962f837a34e84</x:v>
      </x:c>
      <x:c r="B2651" s="2" t="str">
        <x:v>감축량 인증</x:v>
      </x:c>
      <x:c r="C2651" s="2" t="str">
        <x:v>국외</x:v>
      </x:c>
      <x:c r="D2651" s="7" t="str">
        <x:v>대한민국이 지원한 우간다 UpEnergy 고효율 쿡스토브 사업-CPA0033</x:v>
      </x:c>
      <x:c r="E2651" s="2" t="str">
        <x:v>236</x:v>
      </x:c>
      <x:c r="F2651" s="2" t="str">
        <x:v>2021-10-28</x:v>
      </x:c>
      <x:c r="G2651" s="2" t="str">
        <x:v>2021</x:v>
      </x:c>
      <x:c r="H2651" s="2" t="str">
        <x:v>10</x:v>
      </x:c>
      <x:c r="I2651" s="2" t="str">
        <x:v>심의승인</x:v>
      </x:c>
      <x:c r="J2651" s="2" t="str">
        <x:v>심의승인</x:v>
      </x:c>
      <x:c r="K2651" s="2" t="str">
        <x:f>IF(OR(J2651="심의승인",J2651="반려",J2651="반려완료",J2651="심의완료"),"종결 표시",IF(OR(J2651="기후부협의",J2651="문서재제출요청",J2651="보류",J2651="보완요청",J2651="보완완료",J2651="평가중",J2651="반려요청",J2651="평가필요",LEFT(J2651,5)="보완요청("),"미종결 표시","상태 확인 필요"))</x:f>
        <x:v>종결 표시</x:v>
      </x:c>
      <x:c r="L2651" s="2" t="str">
        <x:v>에코시안_조혜민</x:v>
      </x:c>
      <x:c r="M2651" s="2"/>
      <x:c r="N2651" s="8" t="n">
        <x:f>DATE(2026,10,15)-DATE(2021,10,28)</x:f>
        <x:v>1813</x:v>
      </x:c>
      <x:c r="O2651" s="2"/>
      <x:c r="P2651" s="2"/>
      <x:c r="Q2651" s="2" t="str">
        <x:v>산업전환_외부사업관리Tool_260707_이너젠 수정_LJY_261013.xlsx</x:v>
      </x:c>
      <x:c r="R2651" s="2" t="str">
        <x:v>국외인증</x:v>
      </x:c>
      <x:c r="S2651" s="8" t="n">
        <x:v>238</x:v>
      </x:c>
      <x:c r="T2651" s="2" t="str">
        <x:v>(11/2)</x:v>
      </x:c>
      <x:c r="U2651" s="2" t="str">
        <x:v>2021 지정: (11/2) / 2022 지정: (1/18)</x:v>
      </x:c>
      <x:c r="V2651" s="2" t="str">
        <x:v>2022-04-20</x:v>
      </x:c>
      <x:c r="W2651" s="2" t="str"/>
      <x:c r="X2651" s="2" t="str">
        <x:v>종결 근거 보관</x:v>
      </x:c>
      <x:c r="Y2651" s="2" t="str">
        <x:v>ad210cd9ec132cfd447541c8984dc53d30aff0f4fb2dc92d254d49275cc55976</x:v>
      </x:c>
      <x:c r="Z2651" s="2" t="n">
        <x:f>SUBTOTAL(103,A2651)</x:f>
        <x:v>1</x:v>
      </x:c>
      <x:c r="AA2651" s="2" t="str">
        <x:f>IF(K2651&lt;&gt;"미종결 표시","대상 아님",IF(N2651="","신청일 확인",IF(NOT(ISNUMBER('종합 현황'!$H$5)),"관찰기준 확인",IF('종합 현황'!$H$5&lt;1,"관찰기준 확인",IF(N2651&gt;'종합 현황'!$H$5,"내부 관찰 대상","내부 관찰일 이하")))))</x:f>
        <x:v>대상 아님</x:v>
      </x:c>
      <x:c r="AB2651" s="2" t="str">
        <x:v>2021-10-28 12:40 - 신청
2021-12-07 15:16 - 문서재제출요청
2021-12-21 14:47 - 신청
2022-02-22 13:11 - 문서재제출요청
2022-02-23 10:55 - 신청
2022-04-14 10:24 - 검토승인
2022-04-20 16:13 - 심의승인</x:v>
      </x:c>
    </x:row>
    <x:row r="2652" ht="42" customHeight="1">
      <x:c r="A2652" s="2" t="str">
        <x:v>149a5c4c210d174775eecb42</x:v>
      </x:c>
      <x:c r="B2652" s="2" t="str">
        <x:v>감축량 인증</x:v>
      </x:c>
      <x:c r="C2652" s="2" t="str">
        <x:v>국외</x:v>
      </x:c>
      <x:c r="D2652" s="7" t="str">
        <x:v>대한민국이 지원한 우간다 UpEnergy 고효율 쿡스토브 사업-CPA0034</x:v>
      </x:c>
      <x:c r="E2652" s="2" t="str">
        <x:v>237</x:v>
      </x:c>
      <x:c r="F2652" s="2" t="str">
        <x:v>2021-10-28</x:v>
      </x:c>
      <x:c r="G2652" s="2" t="str">
        <x:v>2021</x:v>
      </x:c>
      <x:c r="H2652" s="2" t="str">
        <x:v>10</x:v>
      </x:c>
      <x:c r="I2652" s="2" t="str">
        <x:v>심의승인</x:v>
      </x:c>
      <x:c r="J2652" s="2" t="str">
        <x:v>심의승인</x:v>
      </x:c>
      <x:c r="K2652" s="2" t="str">
        <x:f>IF(OR(J2652="심의승인",J2652="반려",J2652="반려완료",J2652="심의완료"),"종결 표시",IF(OR(J2652="기후부협의",J2652="문서재제출요청",J2652="보류",J2652="보완요청",J2652="보완완료",J2652="평가중",J2652="반려요청",J2652="평가필요",LEFT(J2652,5)="보완요청("),"미종결 표시","상태 확인 필요"))</x:f>
        <x:v>종결 표시</x:v>
      </x:c>
      <x:c r="L2652" s="2" t="str">
        <x:v>에코시안_조혜민</x:v>
      </x:c>
      <x:c r="M2652" s="2"/>
      <x:c r="N2652" s="8" t="n">
        <x:f>DATE(2026,10,15)-DATE(2021,10,28)</x:f>
        <x:v>1813</x:v>
      </x:c>
      <x:c r="O2652" s="2"/>
      <x:c r="P2652" s="2"/>
      <x:c r="Q2652" s="2" t="str">
        <x:v>산업전환_외부사업관리Tool_260707_이너젠 수정_LJY_261013.xlsx</x:v>
      </x:c>
      <x:c r="R2652" s="2" t="str">
        <x:v>국외인증</x:v>
      </x:c>
      <x:c r="S2652" s="8" t="n">
        <x:v>239</x:v>
      </x:c>
      <x:c r="T2652" s="2" t="str">
        <x:v>(11/2)</x:v>
      </x:c>
      <x:c r="U2652" s="2" t="str">
        <x:v>2021 지정: (11/2) / 2022 지정: (1/18)</x:v>
      </x:c>
      <x:c r="V2652" s="2" t="str">
        <x:v>2022-04-20</x:v>
      </x:c>
      <x:c r="W2652" s="2" t="str"/>
      <x:c r="X2652" s="2" t="str">
        <x:v>종결 근거 보관</x:v>
      </x:c>
      <x:c r="Y2652" s="2" t="str">
        <x:v>ad210cd9ec132cfd447541c8984dc53d30aff0f4fb2dc92d254d49275cc55976</x:v>
      </x:c>
      <x:c r="Z2652" s="2" t="n">
        <x:f>SUBTOTAL(103,A2652)</x:f>
        <x:v>1</x:v>
      </x:c>
      <x:c r="AA2652" s="2" t="str">
        <x:f>IF(K2652&lt;&gt;"미종결 표시","대상 아님",IF(N2652="","신청일 확인",IF(NOT(ISNUMBER('종합 현황'!$H$5)),"관찰기준 확인",IF('종합 현황'!$H$5&lt;1,"관찰기준 확인",IF(N2652&gt;'종합 현황'!$H$5,"내부 관찰 대상","내부 관찰일 이하")))))</x:f>
        <x:v>대상 아님</x:v>
      </x:c>
      <x:c r="AB2652" s="2" t="str">
        <x:v>2021-10-28 12:41 - 신청
2021-12-07 15:16 - 문서재제출요청
2021-12-21 14:49 - 신청
2022-02-22 13:11 - 문서재제출요청
2022-02-23 10:56 - 신청
2022-04-14 10:25 - 검토승인
2022-04-20 16:16 - 심의승인</x:v>
      </x:c>
    </x:row>
    <x:row r="2653" ht="42" customHeight="1">
      <x:c r="A2653" s="2" t="str">
        <x:v>642bc1419be064c2f411847e</x:v>
      </x:c>
      <x:c r="B2653" s="2" t="str">
        <x:v>감축량 인증</x:v>
      </x:c>
      <x:c r="C2653" s="2" t="str">
        <x:v>국외</x:v>
      </x:c>
      <x:c r="D2653" s="7" t="str">
        <x:v>대한민국이 지원한 우간다 UpEnergy 고효율 쿡스토브 사업-CPA0035</x:v>
      </x:c>
      <x:c r="E2653" s="2" t="str">
        <x:v>238</x:v>
      </x:c>
      <x:c r="F2653" s="2" t="str">
        <x:v>2021-10-28</x:v>
      </x:c>
      <x:c r="G2653" s="2" t="str">
        <x:v>2021</x:v>
      </x:c>
      <x:c r="H2653" s="2" t="str">
        <x:v>10</x:v>
      </x:c>
      <x:c r="I2653" s="2" t="str">
        <x:v>심의승인</x:v>
      </x:c>
      <x:c r="J2653" s="2" t="str">
        <x:v>심의승인</x:v>
      </x:c>
      <x:c r="K2653" s="2" t="str">
        <x:f>IF(OR(J2653="심의승인",J2653="반려",J2653="반려완료",J2653="심의완료"),"종결 표시",IF(OR(J2653="기후부협의",J2653="문서재제출요청",J2653="보류",J2653="보완요청",J2653="보완완료",J2653="평가중",J2653="반려요청",J2653="평가필요",LEFT(J2653,5)="보완요청("),"미종결 표시","상태 확인 필요"))</x:f>
        <x:v>종결 표시</x:v>
      </x:c>
      <x:c r="L2653" s="2" t="str">
        <x:v>에코시안_조혜민</x:v>
      </x:c>
      <x:c r="M2653" s="2"/>
      <x:c r="N2653" s="8" t="n">
        <x:f>DATE(2026,10,15)-DATE(2021,10,28)</x:f>
        <x:v>1813</x:v>
      </x:c>
      <x:c r="O2653" s="2"/>
      <x:c r="P2653" s="2"/>
      <x:c r="Q2653" s="2" t="str">
        <x:v>산업전환_외부사업관리Tool_260707_이너젠 수정_LJY_261013.xlsx</x:v>
      </x:c>
      <x:c r="R2653" s="2" t="str">
        <x:v>국외인증</x:v>
      </x:c>
      <x:c r="S2653" s="8" t="n">
        <x:v>240</x:v>
      </x:c>
      <x:c r="T2653" s="2" t="str">
        <x:v>(11/2)</x:v>
      </x:c>
      <x:c r="U2653" s="2" t="str">
        <x:v>2021 지정: (11/2) / 2022 지정: (1/18)</x:v>
      </x:c>
      <x:c r="V2653" s="2" t="str">
        <x:v>2022-04-20</x:v>
      </x:c>
      <x:c r="W2653" s="2" t="str"/>
      <x:c r="X2653" s="2" t="str">
        <x:v>종결 근거 보관</x:v>
      </x:c>
      <x:c r="Y2653" s="2" t="str">
        <x:v>ad210cd9ec132cfd447541c8984dc53d30aff0f4fb2dc92d254d49275cc55976</x:v>
      </x:c>
      <x:c r="Z2653" s="2" t="n">
        <x:f>SUBTOTAL(103,A2653)</x:f>
        <x:v>1</x:v>
      </x:c>
      <x:c r="AA2653" s="2" t="str">
        <x:f>IF(K2653&lt;&gt;"미종결 표시","대상 아님",IF(N2653="","신청일 확인",IF(NOT(ISNUMBER('종합 현황'!$H$5)),"관찰기준 확인",IF('종합 현황'!$H$5&lt;1,"관찰기준 확인",IF(N2653&gt;'종합 현황'!$H$5,"내부 관찰 대상","내부 관찰일 이하")))))</x:f>
        <x:v>대상 아님</x:v>
      </x:c>
      <x:c r="AB2653" s="2" t="str">
        <x:v>2021-10-28 12:44 - 신청
2021-12-07 15:16 - 문서재제출요청
2021-12-21 14:50 - 신청
2022-02-22 13:12 - 문서재제출요청
2022-02-23 10:58 - 신청
2022-04-14 10:26 - 검토승인
2022-04-20 16:18 - 심의승인</x:v>
      </x:c>
    </x:row>
    <x:row r="2654" ht="42" customHeight="1">
      <x:c r="A2654" s="2" t="str">
        <x:v>d602553ed3e1b74feec9a6d7</x:v>
      </x:c>
      <x:c r="B2654" s="2" t="str">
        <x:v>감축량 인증</x:v>
      </x:c>
      <x:c r="C2654" s="2" t="str">
        <x:v>국외</x:v>
      </x:c>
      <x:c r="D2654" s="7" t="str">
        <x:v>대한민국이 지원한 우간다 UpEnergy 고효율 쿡스토브 사업-CPA0036</x:v>
      </x:c>
      <x:c r="E2654" s="2" t="str">
        <x:v>239</x:v>
      </x:c>
      <x:c r="F2654" s="2" t="str">
        <x:v>2021-10-28</x:v>
      </x:c>
      <x:c r="G2654" s="2" t="str">
        <x:v>2021</x:v>
      </x:c>
      <x:c r="H2654" s="2" t="str">
        <x:v>10</x:v>
      </x:c>
      <x:c r="I2654" s="2" t="str">
        <x:v>심의승인</x:v>
      </x:c>
      <x:c r="J2654" s="2" t="str">
        <x:v>심의승인</x:v>
      </x:c>
      <x:c r="K2654" s="2" t="str">
        <x:f>IF(OR(J2654="심의승인",J2654="반려",J2654="반려완료",J2654="심의완료"),"종결 표시",IF(OR(J2654="기후부협의",J2654="문서재제출요청",J2654="보류",J2654="보완요청",J2654="보완완료",J2654="평가중",J2654="반려요청",J2654="평가필요",LEFT(J2654,5)="보완요청("),"미종결 표시","상태 확인 필요"))</x:f>
        <x:v>종결 표시</x:v>
      </x:c>
      <x:c r="L2654" s="2" t="str">
        <x:v>에코시안_조혜민</x:v>
      </x:c>
      <x:c r="M2654" s="2"/>
      <x:c r="N2654" s="8" t="n">
        <x:f>DATE(2026,10,15)-DATE(2021,10,28)</x:f>
        <x:v>1813</x:v>
      </x:c>
      <x:c r="O2654" s="2"/>
      <x:c r="P2654" s="2"/>
      <x:c r="Q2654" s="2" t="str">
        <x:v>산업전환_외부사업관리Tool_260707_이너젠 수정_LJY_261013.xlsx</x:v>
      </x:c>
      <x:c r="R2654" s="2" t="str">
        <x:v>국외인증</x:v>
      </x:c>
      <x:c r="S2654" s="8" t="n">
        <x:v>241</x:v>
      </x:c>
      <x:c r="T2654" s="2" t="str">
        <x:v>(11/2)</x:v>
      </x:c>
      <x:c r="U2654" s="2" t="str">
        <x:v>2021 지정: (11/2) / 2022 지정: (1/18)</x:v>
      </x:c>
      <x:c r="V2654" s="2" t="str">
        <x:v>2022-04-20</x:v>
      </x:c>
      <x:c r="W2654" s="2" t="str"/>
      <x:c r="X2654" s="2" t="str">
        <x:v>종결 근거 보관</x:v>
      </x:c>
      <x:c r="Y2654" s="2" t="str">
        <x:v>ad210cd9ec132cfd447541c8984dc53d30aff0f4fb2dc92d254d49275cc55976</x:v>
      </x:c>
      <x:c r="Z2654" s="2" t="n">
        <x:f>SUBTOTAL(103,A2654)</x:f>
        <x:v>1</x:v>
      </x:c>
      <x:c r="AA2654" s="2" t="str">
        <x:f>IF(K2654&lt;&gt;"미종결 표시","대상 아님",IF(N2654="","신청일 확인",IF(NOT(ISNUMBER('종합 현황'!$H$5)),"관찰기준 확인",IF('종합 현황'!$H$5&lt;1,"관찰기준 확인",IF(N2654&gt;'종합 현황'!$H$5,"내부 관찰 대상","내부 관찰일 이하")))))</x:f>
        <x:v>대상 아님</x:v>
      </x:c>
      <x:c r="AB2654" s="2" t="str">
        <x:v>2021-10-28 12:46 - 신청
2021-12-07 15:12 - 문서재제출요청
2021-12-21 14:52 - 신청
2022-02-22 13:12 - 문서재제출요청
2022-02-23 10:59 - 신청
2022-04-14 10:27 - 검토승인
2022-04-20 16:21 - 심의승인</x:v>
      </x:c>
    </x:row>
    <x:row r="2655" ht="42" customHeight="1">
      <x:c r="A2655" s="2" t="str">
        <x:v>d10fdfd64c92ade86bbf852d</x:v>
      </x:c>
      <x:c r="B2655" s="2" t="str">
        <x:v>감축량 인증</x:v>
      </x:c>
      <x:c r="C2655" s="2" t="str">
        <x:v>국외</x:v>
      </x:c>
      <x:c r="D2655" s="7" t="str">
        <x:v>대한민국이 지원한 우간다 UpEnergy 고효율 쿡스토브 사업-CPA0037</x:v>
      </x:c>
      <x:c r="E2655" s="2" t="str">
        <x:v>240</x:v>
      </x:c>
      <x:c r="F2655" s="2" t="str">
        <x:v>2021-10-28</x:v>
      </x:c>
      <x:c r="G2655" s="2" t="str">
        <x:v>2021</x:v>
      </x:c>
      <x:c r="H2655" s="2" t="str">
        <x:v>10</x:v>
      </x:c>
      <x:c r="I2655" s="2" t="str">
        <x:v>심의승인</x:v>
      </x:c>
      <x:c r="J2655" s="2" t="str">
        <x:v>심의승인</x:v>
      </x:c>
      <x:c r="K2655" s="2" t="str">
        <x:f>IF(OR(J2655="심의승인",J2655="반려",J2655="반려완료",J2655="심의완료"),"종결 표시",IF(OR(J2655="기후부협의",J2655="문서재제출요청",J2655="보류",J2655="보완요청",J2655="보완완료",J2655="평가중",J2655="반려요청",J2655="평가필요",LEFT(J2655,5)="보완요청("),"미종결 표시","상태 확인 필요"))</x:f>
        <x:v>종결 표시</x:v>
      </x:c>
      <x:c r="L2655" s="2" t="str">
        <x:v>에코시안_조혜민</x:v>
      </x:c>
      <x:c r="M2655" s="2"/>
      <x:c r="N2655" s="8" t="n">
        <x:f>DATE(2026,10,15)-DATE(2021,10,28)</x:f>
        <x:v>1813</x:v>
      </x:c>
      <x:c r="O2655" s="2"/>
      <x:c r="P2655" s="2"/>
      <x:c r="Q2655" s="2" t="str">
        <x:v>산업전환_외부사업관리Tool_260707_이너젠 수정_LJY_261013.xlsx</x:v>
      </x:c>
      <x:c r="R2655" s="2" t="str">
        <x:v>국외인증</x:v>
      </x:c>
      <x:c r="S2655" s="8" t="n">
        <x:v>242</x:v>
      </x:c>
      <x:c r="T2655" s="2" t="str">
        <x:v>(11/2)</x:v>
      </x:c>
      <x:c r="U2655" s="2" t="str">
        <x:v>2021 지정: (11/2) / 2022 지정: (1/18)</x:v>
      </x:c>
      <x:c r="V2655" s="2" t="str">
        <x:v>2022-04-20</x:v>
      </x:c>
      <x:c r="W2655" s="2" t="str"/>
      <x:c r="X2655" s="2" t="str">
        <x:v>종결 근거 보관</x:v>
      </x:c>
      <x:c r="Y2655" s="2" t="str">
        <x:v>ad210cd9ec132cfd447541c8984dc53d30aff0f4fb2dc92d254d49275cc55976</x:v>
      </x:c>
      <x:c r="Z2655" s="2" t="n">
        <x:f>SUBTOTAL(103,A2655)</x:f>
        <x:v>1</x:v>
      </x:c>
      <x:c r="AA2655" s="2" t="str">
        <x:f>IF(K2655&lt;&gt;"미종결 표시","대상 아님",IF(N2655="","신청일 확인",IF(NOT(ISNUMBER('종합 현황'!$H$5)),"관찰기준 확인",IF('종합 현황'!$H$5&lt;1,"관찰기준 확인",IF(N2655&gt;'종합 현황'!$H$5,"내부 관찰 대상","내부 관찰일 이하")))))</x:f>
        <x:v>대상 아님</x:v>
      </x:c>
      <x:c r="AB2655" s="2" t="str">
        <x:v>2021-10-28 12:48 - 신청
2021-12-07 15:13 - 문서재제출요청
2021-12-21 14:54 - 신청
2022-02-22 13:13 - 문서재제출요청
2022-02-23 11:00 - 신청
2022-04-14 10:27 - 검토승인
2022-04-20 16:23 - 심의승인</x:v>
      </x:c>
    </x:row>
    <x:row r="2656" ht="42" customHeight="1">
      <x:c r="A2656" s="2" t="str">
        <x:v>90711bdd47341d11582af397</x:v>
      </x:c>
      <x:c r="B2656" s="2" t="str">
        <x:v>감축량 인증</x:v>
      </x:c>
      <x:c r="C2656" s="2" t="str">
        <x:v>국외</x:v>
      </x:c>
      <x:c r="D2656" s="7" t="str">
        <x:v>대한민국이 지원한 우간다 UpEnergy 고효율 쿡스토브 사업-CPA0038</x:v>
      </x:c>
      <x:c r="E2656" s="2" t="str">
        <x:v>241</x:v>
      </x:c>
      <x:c r="F2656" s="2" t="str">
        <x:v>2021-10-28</x:v>
      </x:c>
      <x:c r="G2656" s="2" t="str">
        <x:v>2021</x:v>
      </x:c>
      <x:c r="H2656" s="2" t="str">
        <x:v>10</x:v>
      </x:c>
      <x:c r="I2656" s="2" t="str">
        <x:v>심의승인</x:v>
      </x:c>
      <x:c r="J2656" s="2" t="str">
        <x:v>심의승인</x:v>
      </x:c>
      <x:c r="K2656" s="2" t="str">
        <x:f>IF(OR(J2656="심의승인",J2656="반려",J2656="반려완료",J2656="심의완료"),"종결 표시",IF(OR(J2656="기후부협의",J2656="문서재제출요청",J2656="보류",J2656="보완요청",J2656="보완완료",J2656="평가중",J2656="반려요청",J2656="평가필요",LEFT(J2656,5)="보완요청("),"미종결 표시","상태 확인 필요"))</x:f>
        <x:v>종결 표시</x:v>
      </x:c>
      <x:c r="L2656" s="2" t="str">
        <x:v>에코시안_조혜민</x:v>
      </x:c>
      <x:c r="M2656" s="2"/>
      <x:c r="N2656" s="8" t="n">
        <x:f>DATE(2026,10,15)-DATE(2021,10,28)</x:f>
        <x:v>1813</x:v>
      </x:c>
      <x:c r="O2656" s="2"/>
      <x:c r="P2656" s="2"/>
      <x:c r="Q2656" s="2" t="str">
        <x:v>산업전환_외부사업관리Tool_260707_이너젠 수정_LJY_261013.xlsx</x:v>
      </x:c>
      <x:c r="R2656" s="2" t="str">
        <x:v>국외인증</x:v>
      </x:c>
      <x:c r="S2656" s="8" t="n">
        <x:v>243</x:v>
      </x:c>
      <x:c r="T2656" s="2" t="str">
        <x:v>(11/2)</x:v>
      </x:c>
      <x:c r="U2656" s="2" t="str">
        <x:v>2021 지정: (11/2) / 2022 지정: (1/18)</x:v>
      </x:c>
      <x:c r="V2656" s="2" t="str">
        <x:v>2022-04-20</x:v>
      </x:c>
      <x:c r="W2656" s="2" t="str"/>
      <x:c r="X2656" s="2" t="str">
        <x:v>종결 근거 보관</x:v>
      </x:c>
      <x:c r="Y2656" s="2" t="str">
        <x:v>ad210cd9ec132cfd447541c8984dc53d30aff0f4fb2dc92d254d49275cc55976</x:v>
      </x:c>
      <x:c r="Z2656" s="2" t="n">
        <x:f>SUBTOTAL(103,A2656)</x:f>
        <x:v>1</x:v>
      </x:c>
      <x:c r="AA2656" s="2" t="str">
        <x:f>IF(K2656&lt;&gt;"미종결 표시","대상 아님",IF(N2656="","신청일 확인",IF(NOT(ISNUMBER('종합 현황'!$H$5)),"관찰기준 확인",IF('종합 현황'!$H$5&lt;1,"관찰기준 확인",IF(N2656&gt;'종합 현황'!$H$5,"내부 관찰 대상","내부 관찰일 이하")))))</x:f>
        <x:v>대상 아님</x:v>
      </x:c>
      <x:c r="AB2656" s="2" t="str">
        <x:v>2021-10-28 12:50 - 신청
2021-12-07 15:17 - 문서재제출요청
2021-12-21 14:56 - 신청
2022-02-22 13:14 - 문서재제출요청
2022-02-23 11:02 - 신청
2022-04-14 10:28 - 검토승인
2022-04-20 16:25 - 심의승인</x:v>
      </x:c>
    </x:row>
    <x:row r="2657" ht="42" customHeight="1">
      <x:c r="A2657" s="2" t="str">
        <x:v>d9c004596e5720427b68059c</x:v>
      </x:c>
      <x:c r="B2657" s="2" t="str">
        <x:v>감축량 인증</x:v>
      </x:c>
      <x:c r="C2657" s="2" t="str">
        <x:v>국외</x:v>
      </x:c>
      <x:c r="D2657" s="7" t="str">
        <x:v>대한민국이 지원한 우간다 UpEnergy 고효율 쿡스토브 사업-CPA0039</x:v>
      </x:c>
      <x:c r="E2657" s="2" t="str">
        <x:v>242</x:v>
      </x:c>
      <x:c r="F2657" s="2" t="str">
        <x:v>2021-10-28</x:v>
      </x:c>
      <x:c r="G2657" s="2" t="str">
        <x:v>2021</x:v>
      </x:c>
      <x:c r="H2657" s="2" t="str">
        <x:v>10</x:v>
      </x:c>
      <x:c r="I2657" s="2" t="str">
        <x:v>심의승인</x:v>
      </x:c>
      <x:c r="J2657" s="2" t="str">
        <x:v>심의승인</x:v>
      </x:c>
      <x:c r="K2657" s="2" t="str">
        <x:f>IF(OR(J2657="심의승인",J2657="반려",J2657="반려완료",J2657="심의완료"),"종결 표시",IF(OR(J2657="기후부협의",J2657="문서재제출요청",J2657="보류",J2657="보완요청",J2657="보완완료",J2657="평가중",J2657="반려요청",J2657="평가필요",LEFT(J2657,5)="보완요청("),"미종결 표시","상태 확인 필요"))</x:f>
        <x:v>종결 표시</x:v>
      </x:c>
      <x:c r="L2657" s="2" t="str">
        <x:v>에코시안_조혜민</x:v>
      </x:c>
      <x:c r="M2657" s="2"/>
      <x:c r="N2657" s="8" t="n">
        <x:f>DATE(2026,10,15)-DATE(2021,10,28)</x:f>
        <x:v>1813</x:v>
      </x:c>
      <x:c r="O2657" s="2"/>
      <x:c r="P2657" s="2"/>
      <x:c r="Q2657" s="2" t="str">
        <x:v>산업전환_외부사업관리Tool_260707_이너젠 수정_LJY_261013.xlsx</x:v>
      </x:c>
      <x:c r="R2657" s="2" t="str">
        <x:v>국외인증</x:v>
      </x:c>
      <x:c r="S2657" s="8" t="n">
        <x:v>244</x:v>
      </x:c>
      <x:c r="T2657" s="2" t="str">
        <x:v>(11/2)</x:v>
      </x:c>
      <x:c r="U2657" s="2" t="str">
        <x:v>2021 지정: (11/2) / 2022 지정: (1/18)</x:v>
      </x:c>
      <x:c r="V2657" s="2" t="str">
        <x:v>2022-04-20</x:v>
      </x:c>
      <x:c r="W2657" s="2" t="str"/>
      <x:c r="X2657" s="2" t="str">
        <x:v>종결 근거 보관</x:v>
      </x:c>
      <x:c r="Y2657" s="2" t="str">
        <x:v>ad210cd9ec132cfd447541c8984dc53d30aff0f4fb2dc92d254d49275cc55976</x:v>
      </x:c>
      <x:c r="Z2657" s="2" t="n">
        <x:f>SUBTOTAL(103,A2657)</x:f>
        <x:v>1</x:v>
      </x:c>
      <x:c r="AA2657" s="2" t="str">
        <x:f>IF(K2657&lt;&gt;"미종결 표시","대상 아님",IF(N2657="","신청일 확인",IF(NOT(ISNUMBER('종합 현황'!$H$5)),"관찰기준 확인",IF('종합 현황'!$H$5&lt;1,"관찰기준 확인",IF(N2657&gt;'종합 현황'!$H$5,"내부 관찰 대상","내부 관찰일 이하")))))</x:f>
        <x:v>대상 아님</x:v>
      </x:c>
      <x:c r="AB2657" s="2" t="str">
        <x:v>2021-10-28 12:52 - 신청
2021-12-07 15:18 - 문서재제출요청
2021-12-21 14:58 - 신청
2022-02-22 13:14 - 문서재제출요청
2022-02-23 11:03 - 신청
2022-04-14 10:28 - 검토승인
2022-04-20 16:28 - 심의승인</x:v>
      </x:c>
    </x:row>
    <x:row r="2658" ht="42" customHeight="1">
      <x:c r="A2658" s="2" t="str">
        <x:v>22b0a6b7566bde062fbf247b</x:v>
      </x:c>
      <x:c r="B2658" s="2" t="str">
        <x:v>감축량 인증</x:v>
      </x:c>
      <x:c r="C2658" s="2" t="str">
        <x:v>국외</x:v>
      </x:c>
      <x:c r="D2658" s="7" t="str">
        <x:v>대한민국이 지원한 우간다 UpEnergy 고효율 쿡스토브 사업-CPA0040</x:v>
      </x:c>
      <x:c r="E2658" s="2" t="str">
        <x:v>243</x:v>
      </x:c>
      <x:c r="F2658" s="2" t="str">
        <x:v>2021-10-28</x:v>
      </x:c>
      <x:c r="G2658" s="2" t="str">
        <x:v>2021</x:v>
      </x:c>
      <x:c r="H2658" s="2" t="str">
        <x:v>10</x:v>
      </x:c>
      <x:c r="I2658" s="2" t="str">
        <x:v>심의승인</x:v>
      </x:c>
      <x:c r="J2658" s="2" t="str">
        <x:v>심의승인</x:v>
      </x:c>
      <x:c r="K2658" s="2" t="str">
        <x:f>IF(OR(J2658="심의승인",J2658="반려",J2658="반려완료",J2658="심의완료"),"종결 표시",IF(OR(J2658="기후부협의",J2658="문서재제출요청",J2658="보류",J2658="보완요청",J2658="보완완료",J2658="평가중",J2658="반려요청",J2658="평가필요",LEFT(J2658,5)="보완요청("),"미종결 표시","상태 확인 필요"))</x:f>
        <x:v>종결 표시</x:v>
      </x:c>
      <x:c r="L2658" s="2" t="str">
        <x:v>에코시안_조혜민</x:v>
      </x:c>
      <x:c r="M2658" s="2"/>
      <x:c r="N2658" s="8" t="n">
        <x:f>DATE(2026,10,15)-DATE(2021,10,28)</x:f>
        <x:v>1813</x:v>
      </x:c>
      <x:c r="O2658" s="2"/>
      <x:c r="P2658" s="2"/>
      <x:c r="Q2658" s="2" t="str">
        <x:v>산업전환_외부사업관리Tool_260707_이너젠 수정_LJY_261013.xlsx</x:v>
      </x:c>
      <x:c r="R2658" s="2" t="str">
        <x:v>국외인증</x:v>
      </x:c>
      <x:c r="S2658" s="8" t="n">
        <x:v>245</x:v>
      </x:c>
      <x:c r="T2658" s="2" t="str">
        <x:v>(11/2)</x:v>
      </x:c>
      <x:c r="U2658" s="2" t="str">
        <x:v>2021 지정: (11/2) / 2022 지정: (1/18)</x:v>
      </x:c>
      <x:c r="V2658" s="2" t="str">
        <x:v>2022-04-20</x:v>
      </x:c>
      <x:c r="W2658" s="2" t="str"/>
      <x:c r="X2658" s="2" t="str">
        <x:v>종결 근거 보관</x:v>
      </x:c>
      <x:c r="Y2658" s="2" t="str">
        <x:v>ad210cd9ec132cfd447541c8984dc53d30aff0f4fb2dc92d254d49275cc55976</x:v>
      </x:c>
      <x:c r="Z2658" s="2" t="n">
        <x:f>SUBTOTAL(103,A2658)</x:f>
        <x:v>1</x:v>
      </x:c>
      <x:c r="AA2658" s="2" t="str">
        <x:f>IF(K2658&lt;&gt;"미종결 표시","대상 아님",IF(N2658="","신청일 확인",IF(NOT(ISNUMBER('종합 현황'!$H$5)),"관찰기준 확인",IF('종합 현황'!$H$5&lt;1,"관찰기준 확인",IF(N2658&gt;'종합 현황'!$H$5,"내부 관찰 대상","내부 관찰일 이하")))))</x:f>
        <x:v>대상 아님</x:v>
      </x:c>
      <x:c r="AB2658" s="2" t="str">
        <x:v>2021-10-28 12:54 - 신청
2021-12-07 15:18 - 문서재제출요청
2021-12-21 14:59 - 신청
2022-02-22 13:15 - 문서재제출요청
2022-02-23 11:05 - 신청
2022-04-14 10:29 - 검토승인
2022-04-20 16:30 - 심의승인</x:v>
      </x:c>
    </x:row>
    <x:row r="2659" ht="42" customHeight="1">
      <x:c r="A2659" s="2" t="str">
        <x:v>c5f3a2f7889ac498f6684e9c</x:v>
      </x:c>
      <x:c r="B2659" s="2" t="str">
        <x:v>감축량 인증</x:v>
      </x:c>
      <x:c r="C2659" s="2" t="str">
        <x:v>국외</x:v>
      </x:c>
      <x:c r="D2659" s="7" t="str">
        <x:v>대한민국이 지원한 우간다 UpEnergy 고효율 쿡스토브 사업-CPA0041</x:v>
      </x:c>
      <x:c r="E2659" s="2" t="str">
        <x:v>244</x:v>
      </x:c>
      <x:c r="F2659" s="2" t="str">
        <x:v>2021-10-28</x:v>
      </x:c>
      <x:c r="G2659" s="2" t="str">
        <x:v>2021</x:v>
      </x:c>
      <x:c r="H2659" s="2" t="str">
        <x:v>10</x:v>
      </x:c>
      <x:c r="I2659" s="2" t="str">
        <x:v>심의승인</x:v>
      </x:c>
      <x:c r="J2659" s="2" t="str">
        <x:v>심의승인</x:v>
      </x:c>
      <x:c r="K2659" s="2" t="str">
        <x:f>IF(OR(J2659="심의승인",J2659="반려",J2659="반려완료",J2659="심의완료"),"종결 표시",IF(OR(J2659="기후부협의",J2659="문서재제출요청",J2659="보류",J2659="보완요청",J2659="보완완료",J2659="평가중",J2659="반려요청",J2659="평가필요",LEFT(J2659,5)="보완요청("),"미종결 표시","상태 확인 필요"))</x:f>
        <x:v>종결 표시</x:v>
      </x:c>
      <x:c r="L2659" s="2" t="str">
        <x:v>에코시안_조혜민</x:v>
      </x:c>
      <x:c r="M2659" s="2"/>
      <x:c r="N2659" s="8" t="n">
        <x:f>DATE(2026,10,15)-DATE(2021,10,28)</x:f>
        <x:v>1813</x:v>
      </x:c>
      <x:c r="O2659" s="2"/>
      <x:c r="P2659" s="2"/>
      <x:c r="Q2659" s="2" t="str">
        <x:v>산업전환_외부사업관리Tool_260707_이너젠 수정_LJY_261013.xlsx</x:v>
      </x:c>
      <x:c r="R2659" s="2" t="str">
        <x:v>국외인증</x:v>
      </x:c>
      <x:c r="S2659" s="8" t="n">
        <x:v>246</x:v>
      </x:c>
      <x:c r="T2659" s="2" t="str">
        <x:v>(11/2)</x:v>
      </x:c>
      <x:c r="U2659" s="2" t="str">
        <x:v>2021 지정: (11/2) / 2022 지정: (1/18)</x:v>
      </x:c>
      <x:c r="V2659" s="2" t="str">
        <x:v>2022-04-20</x:v>
      </x:c>
      <x:c r="W2659" s="2" t="str"/>
      <x:c r="X2659" s="2" t="str">
        <x:v>종결 근거 보관</x:v>
      </x:c>
      <x:c r="Y2659" s="2" t="str">
        <x:v>ad210cd9ec132cfd447541c8984dc53d30aff0f4fb2dc92d254d49275cc55976</x:v>
      </x:c>
      <x:c r="Z2659" s="2" t="n">
        <x:f>SUBTOTAL(103,A2659)</x:f>
        <x:v>1</x:v>
      </x:c>
      <x:c r="AA2659" s="2" t="str">
        <x:f>IF(K2659&lt;&gt;"미종결 표시","대상 아님",IF(N2659="","신청일 확인",IF(NOT(ISNUMBER('종합 현황'!$H$5)),"관찰기준 확인",IF('종합 현황'!$H$5&lt;1,"관찰기준 확인",IF(N2659&gt;'종합 현황'!$H$5,"내부 관찰 대상","내부 관찰일 이하")))))</x:f>
        <x:v>대상 아님</x:v>
      </x:c>
      <x:c r="AB2659" s="2" t="str">
        <x:v>2021-10-28 12:57 - 신청
2021-12-07 15:18 - 문서재제출요청
2021-12-21 15:02 - 신청
2022-02-22 13:15 - 문서재제출요청
2022-02-23 11:06 - 신청
2022-04-14 10:29 - 검토승인
2022-04-20 16:33 - 심의승인</x:v>
      </x:c>
    </x:row>
    <x:row r="2660" ht="42" customHeight="1">
      <x:c r="A2660" s="2" t="str">
        <x:v>52e3d31996f76593c749b875</x:v>
      </x:c>
      <x:c r="B2660" s="2" t="str">
        <x:v>감축량 인증</x:v>
      </x:c>
      <x:c r="C2660" s="2" t="str">
        <x:v>국외</x:v>
      </x:c>
      <x:c r="D2660" s="7" t="str">
        <x:v>대한민국이 지원한 우간다 UpEnergy 고효율 쿡스토브 사업-CPA0042</x:v>
      </x:c>
      <x:c r="E2660" s="2" t="str">
        <x:v>245</x:v>
      </x:c>
      <x:c r="F2660" s="2" t="str">
        <x:v>2021-10-28</x:v>
      </x:c>
      <x:c r="G2660" s="2" t="str">
        <x:v>2021</x:v>
      </x:c>
      <x:c r="H2660" s="2" t="str">
        <x:v>10</x:v>
      </x:c>
      <x:c r="I2660" s="2" t="str">
        <x:v>심의승인</x:v>
      </x:c>
      <x:c r="J2660" s="2" t="str">
        <x:v>심의승인</x:v>
      </x:c>
      <x:c r="K2660" s="2" t="str">
        <x:f>IF(OR(J2660="심의승인",J2660="반려",J2660="반려완료",J2660="심의완료"),"종결 표시",IF(OR(J2660="기후부협의",J2660="문서재제출요청",J2660="보류",J2660="보완요청",J2660="보완완료",J2660="평가중",J2660="반려요청",J2660="평가필요",LEFT(J2660,5)="보완요청("),"미종결 표시","상태 확인 필요"))</x:f>
        <x:v>종결 표시</x:v>
      </x:c>
      <x:c r="L2660" s="2" t="str">
        <x:v>에코시안_조혜민</x:v>
      </x:c>
      <x:c r="M2660" s="2"/>
      <x:c r="N2660" s="8" t="n">
        <x:f>DATE(2026,10,15)-DATE(2021,10,28)</x:f>
        <x:v>1813</x:v>
      </x:c>
      <x:c r="O2660" s="2"/>
      <x:c r="P2660" s="2"/>
      <x:c r="Q2660" s="2" t="str">
        <x:v>산업전환_외부사업관리Tool_260707_이너젠 수정_LJY_261013.xlsx</x:v>
      </x:c>
      <x:c r="R2660" s="2" t="str">
        <x:v>국외인증</x:v>
      </x:c>
      <x:c r="S2660" s="8" t="n">
        <x:v>247</x:v>
      </x:c>
      <x:c r="T2660" s="2" t="str">
        <x:v>(11/2)</x:v>
      </x:c>
      <x:c r="U2660" s="2" t="str">
        <x:v>2021 지정: (11/2) / 2022 지정: (1/18)</x:v>
      </x:c>
      <x:c r="V2660" s="2" t="str">
        <x:v>2022-04-20</x:v>
      </x:c>
      <x:c r="W2660" s="2" t="str"/>
      <x:c r="X2660" s="2" t="str">
        <x:v>종결 근거 보관</x:v>
      </x:c>
      <x:c r="Y2660" s="2" t="str">
        <x:v>ad210cd9ec132cfd447541c8984dc53d30aff0f4fb2dc92d254d49275cc55976</x:v>
      </x:c>
      <x:c r="Z2660" s="2" t="n">
        <x:f>SUBTOTAL(103,A2660)</x:f>
        <x:v>1</x:v>
      </x:c>
      <x:c r="AA2660" s="2" t="str">
        <x:f>IF(K2660&lt;&gt;"미종결 표시","대상 아님",IF(N2660="","신청일 확인",IF(NOT(ISNUMBER('종합 현황'!$H$5)),"관찰기준 확인",IF('종합 현황'!$H$5&lt;1,"관찰기준 확인",IF(N2660&gt;'종합 현황'!$H$5,"내부 관찰 대상","내부 관찰일 이하")))))</x:f>
        <x:v>대상 아님</x:v>
      </x:c>
      <x:c r="AB2660" s="2" t="str">
        <x:v>2021-10-28 12:59 - 신청
2021-12-07 15:19 - 문서재제출요청
2021-12-21 15:03 - 신청
2022-02-22 13:16 - 문서재제출요청
2022-02-23 11:08 - 신청
2022-04-14 10:30 - 검토승인
2022-04-20 16:34 - 심의승인</x:v>
      </x:c>
    </x:row>
    <x:row r="2661" ht="42" customHeight="1">
      <x:c r="A2661" s="2" t="str">
        <x:v>80a6a658d9772abbd0203ec7</x:v>
      </x:c>
      <x:c r="B2661" s="2" t="str">
        <x:v>감축량 인증</x:v>
      </x:c>
      <x:c r="C2661" s="2" t="str">
        <x:v>국외</x:v>
      </x:c>
      <x:c r="D2661" s="7" t="str">
        <x:v>대한민국이 지원한 우간다 UpEnergy 고효율 쿡스토브 사업-CPA0043</x:v>
      </x:c>
      <x:c r="E2661" s="2" t="str">
        <x:v>246</x:v>
      </x:c>
      <x:c r="F2661" s="2" t="str">
        <x:v>2021-10-28</x:v>
      </x:c>
      <x:c r="G2661" s="2" t="str">
        <x:v>2021</x:v>
      </x:c>
      <x:c r="H2661" s="2" t="str">
        <x:v>10</x:v>
      </x:c>
      <x:c r="I2661" s="2" t="str">
        <x:v>심의승인</x:v>
      </x:c>
      <x:c r="J2661" s="2" t="str">
        <x:v>심의승인</x:v>
      </x:c>
      <x:c r="K2661" s="2" t="str">
        <x:f>IF(OR(J2661="심의승인",J2661="반려",J2661="반려완료",J2661="심의완료"),"종결 표시",IF(OR(J2661="기후부협의",J2661="문서재제출요청",J2661="보류",J2661="보완요청",J2661="보완완료",J2661="평가중",J2661="반려요청",J2661="평가필요",LEFT(J2661,5)="보완요청("),"미종결 표시","상태 확인 필요"))</x:f>
        <x:v>종결 표시</x:v>
      </x:c>
      <x:c r="L2661" s="2" t="str">
        <x:v>에코시안_조혜민</x:v>
      </x:c>
      <x:c r="M2661" s="2"/>
      <x:c r="N2661" s="8" t="n">
        <x:f>DATE(2026,10,15)-DATE(2021,10,28)</x:f>
        <x:v>1813</x:v>
      </x:c>
      <x:c r="O2661" s="2"/>
      <x:c r="P2661" s="2"/>
      <x:c r="Q2661" s="2" t="str">
        <x:v>산업전환_외부사업관리Tool_260707_이너젠 수정_LJY_261013.xlsx</x:v>
      </x:c>
      <x:c r="R2661" s="2" t="str">
        <x:v>국외인증</x:v>
      </x:c>
      <x:c r="S2661" s="8" t="n">
        <x:v>248</x:v>
      </x:c>
      <x:c r="T2661" s="2" t="str">
        <x:v>(11/2)</x:v>
      </x:c>
      <x:c r="U2661" s="2" t="str">
        <x:v>2021 지정: (11/2) / 2022 지정: (1/18)</x:v>
      </x:c>
      <x:c r="V2661" s="2" t="str">
        <x:v>2022-04-20</x:v>
      </x:c>
      <x:c r="W2661" s="2" t="str"/>
      <x:c r="X2661" s="2" t="str">
        <x:v>종결 근거 보관</x:v>
      </x:c>
      <x:c r="Y2661" s="2" t="str">
        <x:v>ad210cd9ec132cfd447541c8984dc53d30aff0f4fb2dc92d254d49275cc55976</x:v>
      </x:c>
      <x:c r="Z2661" s="2" t="n">
        <x:f>SUBTOTAL(103,A2661)</x:f>
        <x:v>1</x:v>
      </x:c>
      <x:c r="AA2661" s="2" t="str">
        <x:f>IF(K2661&lt;&gt;"미종결 표시","대상 아님",IF(N2661="","신청일 확인",IF(NOT(ISNUMBER('종합 현황'!$H$5)),"관찰기준 확인",IF('종합 현황'!$H$5&lt;1,"관찰기준 확인",IF(N2661&gt;'종합 현황'!$H$5,"내부 관찰 대상","내부 관찰일 이하")))))</x:f>
        <x:v>대상 아님</x:v>
      </x:c>
      <x:c r="AB2661" s="2" t="str">
        <x:v>2021-10-28 13:02 - 신청
2021-12-07 15:19 - 문서재제출요청
2021-12-21 15:05 - 신청
2022-02-22 13:16 - 문서재제출요청
2022-02-23 11:10 - 신청
2022-04-14 10:30 - 검토승인
2022-04-20 16:39 - 심의승인</x:v>
      </x:c>
    </x:row>
    <x:row r="2662" ht="42" customHeight="1">
      <x:c r="A2662" s="2" t="str">
        <x:v>291edcd2c23d12ad46e7d01c</x:v>
      </x:c>
      <x:c r="B2662" s="2" t="str">
        <x:v>감축량 인증</x:v>
      </x:c>
      <x:c r="C2662" s="2" t="str">
        <x:v>국외</x:v>
      </x:c>
      <x:c r="D2662" s="7" t="str">
        <x:v>대한민국이 지원한 우간다 UpEnergy 고효율 쿡스토브 사업-CPA0044</x:v>
      </x:c>
      <x:c r="E2662" s="2" t="str">
        <x:v>247</x:v>
      </x:c>
      <x:c r="F2662" s="2" t="str">
        <x:v>2021-10-28</x:v>
      </x:c>
      <x:c r="G2662" s="2" t="str">
        <x:v>2021</x:v>
      </x:c>
      <x:c r="H2662" s="2" t="str">
        <x:v>10</x:v>
      </x:c>
      <x:c r="I2662" s="2" t="str">
        <x:v>심의승인</x:v>
      </x:c>
      <x:c r="J2662" s="2" t="str">
        <x:v>심의승인</x:v>
      </x:c>
      <x:c r="K2662" s="2" t="str">
        <x:f>IF(OR(J2662="심의승인",J2662="반려",J2662="반려완료",J2662="심의완료"),"종결 표시",IF(OR(J2662="기후부협의",J2662="문서재제출요청",J2662="보류",J2662="보완요청",J2662="보완완료",J2662="평가중",J2662="반려요청",J2662="평가필요",LEFT(J2662,5)="보완요청("),"미종결 표시","상태 확인 필요"))</x:f>
        <x:v>종결 표시</x:v>
      </x:c>
      <x:c r="L2662" s="2" t="str">
        <x:v>에코시안_조혜민</x:v>
      </x:c>
      <x:c r="M2662" s="2"/>
      <x:c r="N2662" s="8" t="n">
        <x:f>DATE(2026,10,15)-DATE(2021,10,28)</x:f>
        <x:v>1813</x:v>
      </x:c>
      <x:c r="O2662" s="2"/>
      <x:c r="P2662" s="2"/>
      <x:c r="Q2662" s="2" t="str">
        <x:v>산업전환_외부사업관리Tool_260707_이너젠 수정_LJY_261013.xlsx</x:v>
      </x:c>
      <x:c r="R2662" s="2" t="str">
        <x:v>국외인증</x:v>
      </x:c>
      <x:c r="S2662" s="8" t="n">
        <x:v>249</x:v>
      </x:c>
      <x:c r="T2662" s="2" t="str">
        <x:v>(11/2)</x:v>
      </x:c>
      <x:c r="U2662" s="2" t="str">
        <x:v>2021 지정: (11/2) / 2022 지정: (1/18)</x:v>
      </x:c>
      <x:c r="V2662" s="2" t="str">
        <x:v>2022-04-20</x:v>
      </x:c>
      <x:c r="W2662" s="2" t="str"/>
      <x:c r="X2662" s="2" t="str">
        <x:v>종결 근거 보관</x:v>
      </x:c>
      <x:c r="Y2662" s="2" t="str">
        <x:v>ad210cd9ec132cfd447541c8984dc53d30aff0f4fb2dc92d254d49275cc55976</x:v>
      </x:c>
      <x:c r="Z2662" s="2" t="n">
        <x:f>SUBTOTAL(103,A2662)</x:f>
        <x:v>1</x:v>
      </x:c>
      <x:c r="AA2662" s="2" t="str">
        <x:f>IF(K2662&lt;&gt;"미종결 표시","대상 아님",IF(N2662="","신청일 확인",IF(NOT(ISNUMBER('종합 현황'!$H$5)),"관찰기준 확인",IF('종합 현황'!$H$5&lt;1,"관찰기준 확인",IF(N2662&gt;'종합 현황'!$H$5,"내부 관찰 대상","내부 관찰일 이하")))))</x:f>
        <x:v>대상 아님</x:v>
      </x:c>
      <x:c r="AB2662" s="2" t="str">
        <x:v>2021-10-28 13:04 - 신청
2021-12-07 15:19 - 문서재제출요청
2021-12-21 15:07 - 신청
2022-02-22 13:17 - 문서재제출요청
2022-02-23 11:11 - 신청
2022-04-14 10:31 - 검토승인
2022-04-20 16:42 - 심의승인</x:v>
      </x:c>
    </x:row>
    <x:row r="2663" ht="42" customHeight="1">
      <x:c r="A2663" s="2" t="str">
        <x:v>1a93ca01198fb3f7193cf300</x:v>
      </x:c>
      <x:c r="B2663" s="2" t="str">
        <x:v>감축량 인증</x:v>
      </x:c>
      <x:c r="C2663" s="2" t="str">
        <x:v>국외</x:v>
      </x:c>
      <x:c r="D2663" s="7" t="str">
        <x:v>대한민국이 지원한 우간다 UpEnergy 고효율 쿡스토브 사업-CPA0045</x:v>
      </x:c>
      <x:c r="E2663" s="2" t="str">
        <x:v>248</x:v>
      </x:c>
      <x:c r="F2663" s="2" t="str">
        <x:v>2021-10-28</x:v>
      </x:c>
      <x:c r="G2663" s="2" t="str">
        <x:v>2021</x:v>
      </x:c>
      <x:c r="H2663" s="2" t="str">
        <x:v>10</x:v>
      </x:c>
      <x:c r="I2663" s="2" t="str">
        <x:v>심의승인</x:v>
      </x:c>
      <x:c r="J2663" s="2" t="str">
        <x:v>심의승인</x:v>
      </x:c>
      <x:c r="K2663" s="2" t="str">
        <x:f>IF(OR(J2663="심의승인",J2663="반려",J2663="반려완료",J2663="심의완료"),"종결 표시",IF(OR(J2663="기후부협의",J2663="문서재제출요청",J2663="보류",J2663="보완요청",J2663="보완완료",J2663="평가중",J2663="반려요청",J2663="평가필요",LEFT(J2663,5)="보완요청("),"미종결 표시","상태 확인 필요"))</x:f>
        <x:v>종결 표시</x:v>
      </x:c>
      <x:c r="L2663" s="2" t="str">
        <x:v>에코시안_조혜민</x:v>
      </x:c>
      <x:c r="M2663" s="2"/>
      <x:c r="N2663" s="8" t="n">
        <x:f>DATE(2026,10,15)-DATE(2021,10,28)</x:f>
        <x:v>1813</x:v>
      </x:c>
      <x:c r="O2663" s="2"/>
      <x:c r="P2663" s="2"/>
      <x:c r="Q2663" s="2" t="str">
        <x:v>산업전환_외부사업관리Tool_260707_이너젠 수정_LJY_261013.xlsx</x:v>
      </x:c>
      <x:c r="R2663" s="2" t="str">
        <x:v>국외인증</x:v>
      </x:c>
      <x:c r="S2663" s="8" t="n">
        <x:v>250</x:v>
      </x:c>
      <x:c r="T2663" s="2" t="str">
        <x:v>(11/2)</x:v>
      </x:c>
      <x:c r="U2663" s="2" t="str">
        <x:v>2021 지정: (11/2) / 2022 지정: (1/18)</x:v>
      </x:c>
      <x:c r="V2663" s="2" t="str">
        <x:v>2022-04-20</x:v>
      </x:c>
      <x:c r="W2663" s="2" t="str"/>
      <x:c r="X2663" s="2" t="str">
        <x:v>종결 근거 보관</x:v>
      </x:c>
      <x:c r="Y2663" s="2" t="str">
        <x:v>ad210cd9ec132cfd447541c8984dc53d30aff0f4fb2dc92d254d49275cc55976</x:v>
      </x:c>
      <x:c r="Z2663" s="2" t="n">
        <x:f>SUBTOTAL(103,A2663)</x:f>
        <x:v>1</x:v>
      </x:c>
      <x:c r="AA2663" s="2" t="str">
        <x:f>IF(K2663&lt;&gt;"미종결 표시","대상 아님",IF(N2663="","신청일 확인",IF(NOT(ISNUMBER('종합 현황'!$H$5)),"관찰기준 확인",IF('종합 현황'!$H$5&lt;1,"관찰기준 확인",IF(N2663&gt;'종합 현황'!$H$5,"내부 관찰 대상","내부 관찰일 이하")))))</x:f>
        <x:v>대상 아님</x:v>
      </x:c>
      <x:c r="AB2663" s="2" t="str">
        <x:v>2021-10-28 13:06 - 신청
2021-12-07 15:19 - 문서재제출요청
2021-12-21 15:09 - 신청
2022-02-22 13:17 - 문서재제출요청
2022-02-23 11:12 - 신청
2022-04-14 10:31 - 검토승인
2022-04-20 16:43 - 심의승인</x:v>
      </x:c>
    </x:row>
    <x:row r="2664" ht="42" customHeight="1">
      <x:c r="A2664" s="2" t="str">
        <x:v>bf3f61b4691a8d8864a7d3fa</x:v>
      </x:c>
      <x:c r="B2664" s="2" t="str">
        <x:v>감축량 인증</x:v>
      </x:c>
      <x:c r="C2664" s="2" t="str">
        <x:v>국외</x:v>
      </x:c>
      <x:c r="D2664" s="7" t="str">
        <x:v>대한민국이 지원한 우간다 UpEnergy 고효율 쿡스토브 사업-CPA0024</x:v>
      </x:c>
      <x:c r="E2664" s="2" t="str">
        <x:v>249</x:v>
      </x:c>
      <x:c r="F2664" s="2" t="str">
        <x:v>2021-10-28</x:v>
      </x:c>
      <x:c r="G2664" s="2" t="str">
        <x:v>2021</x:v>
      </x:c>
      <x:c r="H2664" s="2" t="str">
        <x:v>10</x:v>
      </x:c>
      <x:c r="I2664" s="2" t="str">
        <x:v>심의승인</x:v>
      </x:c>
      <x:c r="J2664" s="2" t="str">
        <x:v>심의승인</x:v>
      </x:c>
      <x:c r="K2664" s="2" t="str">
        <x:f>IF(OR(J2664="심의승인",J2664="반려",J2664="반려완료",J2664="심의완료"),"종결 표시",IF(OR(J2664="기후부협의",J2664="문서재제출요청",J2664="보류",J2664="보완요청",J2664="보완완료",J2664="평가중",J2664="반려요청",J2664="평가필요",LEFT(J2664,5)="보완요청("),"미종결 표시","상태 확인 필요"))</x:f>
        <x:v>종결 표시</x:v>
      </x:c>
      <x:c r="L2664" s="2" t="str">
        <x:v>에코시안_기샛별</x:v>
      </x:c>
      <x:c r="M2664" s="2"/>
      <x:c r="N2664" s="8" t="n">
        <x:f>DATE(2026,10,15)-DATE(2021,10,28)</x:f>
        <x:v>1813</x:v>
      </x:c>
      <x:c r="O2664" s="2"/>
      <x:c r="P2664" s="2"/>
      <x:c r="Q2664" s="2" t="str">
        <x:v>산업전환_외부사업관리Tool_260707_이너젠 수정_LJY_261013.xlsx</x:v>
      </x:c>
      <x:c r="R2664" s="2" t="str">
        <x:v>국외인증</x:v>
      </x:c>
      <x:c r="S2664" s="8" t="n">
        <x:v>251</x:v>
      </x:c>
      <x:c r="T2664" s="2" t="str">
        <x:v>(11/2)</x:v>
      </x:c>
      <x:c r="U2664" s="2" t="str">
        <x:v>2021 지정: (11/2) / 2022 지정: (1/18)</x:v>
      </x:c>
      <x:c r="V2664" s="2" t="str">
        <x:v>2022-04-22</x:v>
      </x:c>
      <x:c r="W2664" s="2" t="str"/>
      <x:c r="X2664" s="2" t="str">
        <x:v>종결 근거 보관</x:v>
      </x:c>
      <x:c r="Y2664" s="2" t="str">
        <x:v>ad210cd9ec132cfd447541c8984dc53d30aff0f4fb2dc92d254d49275cc55976</x:v>
      </x:c>
      <x:c r="Z2664" s="2" t="n">
        <x:f>SUBTOTAL(103,A2664)</x:f>
        <x:v>1</x:v>
      </x:c>
      <x:c r="AA2664" s="2" t="str">
        <x:f>IF(K2664&lt;&gt;"미종결 표시","대상 아님",IF(N2664="","신청일 확인",IF(NOT(ISNUMBER('종합 현황'!$H$5)),"관찰기준 확인",IF('종합 현황'!$H$5&lt;1,"관찰기준 확인",IF(N2664&gt;'종합 현황'!$H$5,"내부 관찰 대상","내부 관찰일 이하")))))</x:f>
        <x:v>대상 아님</x:v>
      </x:c>
      <x:c r="AB2664" s="2" t="str">
        <x:v>2021-10-28 15:10 - 신청
2021-12-07 13:40 - 문서재제출요청
2021-12-21 15:14 - 신청
2022-02-18 18:14 - 문서재제출요청
2022-02-23 11:21 - 신청
2022-04-14 10:32 - 검토승인
2022-04-22 16:01 - 심의승인</x:v>
      </x:c>
    </x:row>
    <x:row r="2665" ht="42" customHeight="1">
      <x:c r="A2665" s="2" t="str">
        <x:v>bf1f61b3f1c6cf44c852f11a</x:v>
      </x:c>
      <x:c r="B2665" s="2" t="str">
        <x:v>감축량 인증</x:v>
      </x:c>
      <x:c r="C2665" s="2" t="str">
        <x:v>국외</x:v>
      </x:c>
      <x:c r="D2665" s="7" t="str">
        <x:v>대한민국이 지원한 우간다 UpEnergy 고효율 쿡스토브 사업-CPA0025</x:v>
      </x:c>
      <x:c r="E2665" s="2" t="str">
        <x:v>250</x:v>
      </x:c>
      <x:c r="F2665" s="2" t="str">
        <x:v>2021-10-28</x:v>
      </x:c>
      <x:c r="G2665" s="2" t="str">
        <x:v>2021</x:v>
      </x:c>
      <x:c r="H2665" s="2" t="str">
        <x:v>10</x:v>
      </x:c>
      <x:c r="I2665" s="2" t="str">
        <x:v>심의승인</x:v>
      </x:c>
      <x:c r="J2665" s="2" t="str">
        <x:v>심의승인</x:v>
      </x:c>
      <x:c r="K2665" s="2" t="str">
        <x:f>IF(OR(J2665="심의승인",J2665="반려",J2665="반려완료",J2665="심의완료"),"종결 표시",IF(OR(J2665="기후부협의",J2665="문서재제출요청",J2665="보류",J2665="보완요청",J2665="보완완료",J2665="평가중",J2665="반려요청",J2665="평가필요",LEFT(J2665,5)="보완요청("),"미종결 표시","상태 확인 필요"))</x:f>
        <x:v>종결 표시</x:v>
      </x:c>
      <x:c r="L2665" s="2" t="str">
        <x:v>에코시안_기샛별</x:v>
      </x:c>
      <x:c r="M2665" s="2"/>
      <x:c r="N2665" s="8" t="n">
        <x:f>DATE(2026,10,15)-DATE(2021,10,28)</x:f>
        <x:v>1813</x:v>
      </x:c>
      <x:c r="O2665" s="2"/>
      <x:c r="P2665" s="2"/>
      <x:c r="Q2665" s="2" t="str">
        <x:v>산업전환_외부사업관리Tool_260707_이너젠 수정_LJY_261013.xlsx</x:v>
      </x:c>
      <x:c r="R2665" s="2" t="str">
        <x:v>국외인증</x:v>
      </x:c>
      <x:c r="S2665" s="8" t="n">
        <x:v>252</x:v>
      </x:c>
      <x:c r="T2665" s="2" t="str">
        <x:v>(11/2)</x:v>
      </x:c>
      <x:c r="U2665" s="2" t="str">
        <x:v>2021 지정: (11/2) / 2022 지정: (1/18)</x:v>
      </x:c>
      <x:c r="V2665" s="2" t="str">
        <x:v>2022-04-22</x:v>
      </x:c>
      <x:c r="W2665" s="2" t="str"/>
      <x:c r="X2665" s="2" t="str">
        <x:v>종결 근거 보관</x:v>
      </x:c>
      <x:c r="Y2665" s="2" t="str">
        <x:v>ad210cd9ec132cfd447541c8984dc53d30aff0f4fb2dc92d254d49275cc55976</x:v>
      </x:c>
      <x:c r="Z2665" s="2" t="n">
        <x:f>SUBTOTAL(103,A2665)</x:f>
        <x:v>1</x:v>
      </x:c>
      <x:c r="AA2665" s="2" t="str">
        <x:f>IF(K2665&lt;&gt;"미종결 표시","대상 아님",IF(N2665="","신청일 확인",IF(NOT(ISNUMBER('종합 현황'!$H$5)),"관찰기준 확인",IF('종합 현황'!$H$5&lt;1,"관찰기준 확인",IF(N2665&gt;'종합 현황'!$H$5,"내부 관찰 대상","내부 관찰일 이하")))))</x:f>
        <x:v>대상 아님</x:v>
      </x:c>
      <x:c r="AB2665" s="2" t="str">
        <x:v>2021-10-28 15:13 - 신청
2021-12-07 13:42 - 문서재제출요청
2021-12-21 15:17 - 신청
2022-02-18 18:14 - 문서재제출요청
2022-02-23 11:22 - 신청
2022-04-14 10:33 - 검토승인
2022-04-22 16:02 - 심의승인</x:v>
      </x:c>
    </x:row>
    <x:row r="2666" ht="42" customHeight="1">
      <x:c r="A2666" s="2" t="str">
        <x:v>4fe70c857a2bc739f643b784</x:v>
      </x:c>
      <x:c r="B2666" s="2" t="str">
        <x:v>감축량 인증</x:v>
      </x:c>
      <x:c r="C2666" s="2" t="str">
        <x:v>국외</x:v>
      </x:c>
      <x:c r="D2666" s="7" t="str">
        <x:v>대한민국이 지원한 우간다 UpEnergy 고효율 쿡스토브 사업-CPA0026</x:v>
      </x:c>
      <x:c r="E2666" s="2" t="str">
        <x:v>251</x:v>
      </x:c>
      <x:c r="F2666" s="2" t="str">
        <x:v>2021-10-28</x:v>
      </x:c>
      <x:c r="G2666" s="2" t="str">
        <x:v>2021</x:v>
      </x:c>
      <x:c r="H2666" s="2" t="str">
        <x:v>10</x:v>
      </x:c>
      <x:c r="I2666" s="2" t="str">
        <x:v>심의승인</x:v>
      </x:c>
      <x:c r="J2666" s="2" t="str">
        <x:v>심의승인</x:v>
      </x:c>
      <x:c r="K2666" s="2" t="str">
        <x:f>IF(OR(J2666="심의승인",J2666="반려",J2666="반려완료",J2666="심의완료"),"종결 표시",IF(OR(J2666="기후부협의",J2666="문서재제출요청",J2666="보류",J2666="보완요청",J2666="보완완료",J2666="평가중",J2666="반려요청",J2666="평가필요",LEFT(J2666,5)="보완요청("),"미종결 표시","상태 확인 필요"))</x:f>
        <x:v>종결 표시</x:v>
      </x:c>
      <x:c r="L2666" s="2" t="str">
        <x:v>에코시안_기샛별</x:v>
      </x:c>
      <x:c r="M2666" s="2"/>
      <x:c r="N2666" s="8" t="n">
        <x:f>DATE(2026,10,15)-DATE(2021,10,28)</x:f>
        <x:v>1813</x:v>
      </x:c>
      <x:c r="O2666" s="2"/>
      <x:c r="P2666" s="2"/>
      <x:c r="Q2666" s="2" t="str">
        <x:v>산업전환_외부사업관리Tool_260707_이너젠 수정_LJY_261013.xlsx</x:v>
      </x:c>
      <x:c r="R2666" s="2" t="str">
        <x:v>국외인증</x:v>
      </x:c>
      <x:c r="S2666" s="8" t="n">
        <x:v>253</x:v>
      </x:c>
      <x:c r="T2666" s="2" t="str">
        <x:v>(11/2)</x:v>
      </x:c>
      <x:c r="U2666" s="2" t="str">
        <x:v>2021 지정: (11/2) / 2022 지정: (1/18)</x:v>
      </x:c>
      <x:c r="V2666" s="2" t="str">
        <x:v>2022-04-22</x:v>
      </x:c>
      <x:c r="W2666" s="2" t="str"/>
      <x:c r="X2666" s="2" t="str">
        <x:v>종결 근거 보관</x:v>
      </x:c>
      <x:c r="Y2666" s="2" t="str">
        <x:v>ad210cd9ec132cfd447541c8984dc53d30aff0f4fb2dc92d254d49275cc55976</x:v>
      </x:c>
      <x:c r="Z2666" s="2" t="n">
        <x:f>SUBTOTAL(103,A2666)</x:f>
        <x:v>1</x:v>
      </x:c>
      <x:c r="AA2666" s="2" t="str">
        <x:f>IF(K2666&lt;&gt;"미종결 표시","대상 아님",IF(N2666="","신청일 확인",IF(NOT(ISNUMBER('종합 현황'!$H$5)),"관찰기준 확인",IF('종합 현황'!$H$5&lt;1,"관찰기준 확인",IF(N2666&gt;'종합 현황'!$H$5,"내부 관찰 대상","내부 관찰일 이하")))))</x:f>
        <x:v>대상 아님</x:v>
      </x:c>
      <x:c r="AB2666" s="2" t="str">
        <x:v>2021-10-28 15:17 - 신청
2021-12-07 13:43 - 문서재제출요청
2021-12-21 15:20 - 신청
2022-02-22 13:06 - 문서재제출요청
2022-02-23 11:24 - 신청
2022-04-14 10:33 - 검토승인
2022-04-22 16:10 - 심의승인</x:v>
      </x:c>
    </x:row>
    <x:row r="2667" ht="42" customHeight="1">
      <x:c r="A2667" s="2" t="str">
        <x:v>8457c6229c2f65cbb61290d2</x:v>
      </x:c>
      <x:c r="B2667" s="2" t="str">
        <x:v>감축량 인증</x:v>
      </x:c>
      <x:c r="C2667" s="2" t="str">
        <x:v>국외</x:v>
      </x:c>
      <x:c r="D2667" s="7" t="str">
        <x:v>대한민국이 지원한 우간다 UpEnergy 고효율 쿡스토브 사업-CPA0027</x:v>
      </x:c>
      <x:c r="E2667" s="2" t="str">
        <x:v>252</x:v>
      </x:c>
      <x:c r="F2667" s="2" t="str">
        <x:v>2021-10-28</x:v>
      </x:c>
      <x:c r="G2667" s="2" t="str">
        <x:v>2021</x:v>
      </x:c>
      <x:c r="H2667" s="2" t="str">
        <x:v>10</x:v>
      </x:c>
      <x:c r="I2667" s="2" t="str">
        <x:v>심의승인</x:v>
      </x:c>
      <x:c r="J2667" s="2" t="str">
        <x:v>심의승인</x:v>
      </x:c>
      <x:c r="K2667" s="2" t="str">
        <x:f>IF(OR(J2667="심의승인",J2667="반려",J2667="반려완료",J2667="심의완료"),"종결 표시",IF(OR(J2667="기후부협의",J2667="문서재제출요청",J2667="보류",J2667="보완요청",J2667="보완완료",J2667="평가중",J2667="반려요청",J2667="평가필요",LEFT(J2667,5)="보완요청("),"미종결 표시","상태 확인 필요"))</x:f>
        <x:v>종결 표시</x:v>
      </x:c>
      <x:c r="L2667" s="2" t="str">
        <x:v>에코시안_기샛별</x:v>
      </x:c>
      <x:c r="M2667" s="2"/>
      <x:c r="N2667" s="8" t="n">
        <x:f>DATE(2026,10,15)-DATE(2021,10,28)</x:f>
        <x:v>1813</x:v>
      </x:c>
      <x:c r="O2667" s="2"/>
      <x:c r="P2667" s="2"/>
      <x:c r="Q2667" s="2" t="str">
        <x:v>산업전환_외부사업관리Tool_260707_이너젠 수정_LJY_261013.xlsx</x:v>
      </x:c>
      <x:c r="R2667" s="2" t="str">
        <x:v>국외인증</x:v>
      </x:c>
      <x:c r="S2667" s="8" t="n">
        <x:v>254</x:v>
      </x:c>
      <x:c r="T2667" s="2" t="str">
        <x:v>(11/2)</x:v>
      </x:c>
      <x:c r="U2667" s="2" t="str">
        <x:v>2021 지정: (11/2) / 2022 지정: (1/18)</x:v>
      </x:c>
      <x:c r="V2667" s="2" t="str">
        <x:v>2022-04-22</x:v>
      </x:c>
      <x:c r="W2667" s="2" t="str"/>
      <x:c r="X2667" s="2" t="str">
        <x:v>종결 근거 보관</x:v>
      </x:c>
      <x:c r="Y2667" s="2" t="str">
        <x:v>ad210cd9ec132cfd447541c8984dc53d30aff0f4fb2dc92d254d49275cc55976</x:v>
      </x:c>
      <x:c r="Z2667" s="2" t="n">
        <x:f>SUBTOTAL(103,A2667)</x:f>
        <x:v>1</x:v>
      </x:c>
      <x:c r="AA2667" s="2" t="str">
        <x:f>IF(K2667&lt;&gt;"미종결 표시","대상 아님",IF(N2667="","신청일 확인",IF(NOT(ISNUMBER('종합 현황'!$H$5)),"관찰기준 확인",IF('종합 현황'!$H$5&lt;1,"관찰기준 확인",IF(N2667&gt;'종합 현황'!$H$5,"내부 관찰 대상","내부 관찰일 이하")))))</x:f>
        <x:v>대상 아님</x:v>
      </x:c>
      <x:c r="AB2667" s="2" t="str">
        <x:v>2021-10-28 15:19 - 신청
2021-12-07 13:43 - 문서재제출요청
2021-12-21 15:23 - 신청
2022-02-22 13:07 - 문서재제출요청
2022-02-23 11:25 - 신청
2022-04-14 10:57 - 검토승인
2022-04-22 16:12 - 심의승인</x:v>
      </x:c>
    </x:row>
    <x:row r="2668" ht="42" customHeight="1">
      <x:c r="A2668" s="2" t="str">
        <x:v>68a84828aa90a5dafc44b581</x:v>
      </x:c>
      <x:c r="B2668" s="2" t="str">
        <x:v>감축량 인증</x:v>
      </x:c>
      <x:c r="C2668" s="2" t="str">
        <x:v>국외</x:v>
      </x:c>
      <x:c r="D2668" s="7" t="str">
        <x:v>대한민국이 지원한 우간다 UpEnergy 고효율 쿡스토브 사업-CPA0028</x:v>
      </x:c>
      <x:c r="E2668" s="2" t="str">
        <x:v>253</x:v>
      </x:c>
      <x:c r="F2668" s="2" t="str">
        <x:v>2021-10-28</x:v>
      </x:c>
      <x:c r="G2668" s="2" t="str">
        <x:v>2021</x:v>
      </x:c>
      <x:c r="H2668" s="2" t="str">
        <x:v>10</x:v>
      </x:c>
      <x:c r="I2668" s="2" t="str">
        <x:v>심의승인</x:v>
      </x:c>
      <x:c r="J2668" s="2" t="str">
        <x:v>심의승인</x:v>
      </x:c>
      <x:c r="K2668" s="2" t="str">
        <x:f>IF(OR(J2668="심의승인",J2668="반려",J2668="반려완료",J2668="심의완료"),"종결 표시",IF(OR(J2668="기후부협의",J2668="문서재제출요청",J2668="보류",J2668="보완요청",J2668="보완완료",J2668="평가중",J2668="반려요청",J2668="평가필요",LEFT(J2668,5)="보완요청("),"미종결 표시","상태 확인 필요"))</x:f>
        <x:v>종결 표시</x:v>
      </x:c>
      <x:c r="L2668" s="2" t="str">
        <x:v>에코시안_기샛별</x:v>
      </x:c>
      <x:c r="M2668" s="2"/>
      <x:c r="N2668" s="8" t="n">
        <x:f>DATE(2026,10,15)-DATE(2021,10,28)</x:f>
        <x:v>1813</x:v>
      </x:c>
      <x:c r="O2668" s="2"/>
      <x:c r="P2668" s="2"/>
      <x:c r="Q2668" s="2" t="str">
        <x:v>산업전환_외부사업관리Tool_260707_이너젠 수정_LJY_261013.xlsx</x:v>
      </x:c>
      <x:c r="R2668" s="2" t="str">
        <x:v>국외인증</x:v>
      </x:c>
      <x:c r="S2668" s="8" t="n">
        <x:v>255</x:v>
      </x:c>
      <x:c r="T2668" s="2" t="str">
        <x:v>(11/2)</x:v>
      </x:c>
      <x:c r="U2668" s="2" t="str">
        <x:v>2021 지정: (11/2) / 2022 지정: (1/18)</x:v>
      </x:c>
      <x:c r="V2668" s="2" t="str">
        <x:v>2022-04-22</x:v>
      </x:c>
      <x:c r="W2668" s="2" t="str"/>
      <x:c r="X2668" s="2" t="str">
        <x:v>종결 근거 보관</x:v>
      </x:c>
      <x:c r="Y2668" s="2" t="str">
        <x:v>ad210cd9ec132cfd447541c8984dc53d30aff0f4fb2dc92d254d49275cc55976</x:v>
      </x:c>
      <x:c r="Z2668" s="2" t="n">
        <x:f>SUBTOTAL(103,A2668)</x:f>
        <x:v>1</x:v>
      </x:c>
      <x:c r="AA2668" s="2" t="str">
        <x:f>IF(K2668&lt;&gt;"미종결 표시","대상 아님",IF(N2668="","신청일 확인",IF(NOT(ISNUMBER('종합 현황'!$H$5)),"관찰기준 확인",IF('종합 현황'!$H$5&lt;1,"관찰기준 확인",IF(N2668&gt;'종합 현황'!$H$5,"내부 관찰 대상","내부 관찰일 이하")))))</x:f>
        <x:v>대상 아님</x:v>
      </x:c>
      <x:c r="AB2668" s="2" t="str">
        <x:v>2021-10-28 15:22 - 신청
2021-12-07 13:44 - 문서재제출요청
2021-12-21 15:26 - 신청
2022-02-22 13:08 - 문서재제출요청
2022-02-23 11:26 - 신청
2022-04-14 10:58 - 검토승인
2022-04-22 16:13 - 심의승인</x:v>
      </x:c>
    </x:row>
    <x:row r="2669" ht="42" customHeight="1">
      <x:c r="A2669" s="2" t="str">
        <x:v>022634b47e517f6865e0dfd6</x:v>
      </x:c>
      <x:c r="B2669" s="2" t="str">
        <x:v>감축량 인증</x:v>
      </x:c>
      <x:c r="C2669" s="2" t="str">
        <x:v>국외</x:v>
      </x:c>
      <x:c r="D2669" s="7" t="str">
        <x:v>대한민국이 지원한 우간다 UpEnergy 고효율 쿡스토브 사업-CPA0029</x:v>
      </x:c>
      <x:c r="E2669" s="2" t="str">
        <x:v>254</x:v>
      </x:c>
      <x:c r="F2669" s="2" t="str">
        <x:v>2021-10-28</x:v>
      </x:c>
      <x:c r="G2669" s="2" t="str">
        <x:v>2021</x:v>
      </x:c>
      <x:c r="H2669" s="2" t="str">
        <x:v>10</x:v>
      </x:c>
      <x:c r="I2669" s="2" t="str">
        <x:v>심의승인</x:v>
      </x:c>
      <x:c r="J2669" s="2" t="str">
        <x:v>심의승인</x:v>
      </x:c>
      <x:c r="K2669" s="2" t="str">
        <x:f>IF(OR(J2669="심의승인",J2669="반려",J2669="반려완료",J2669="심의완료"),"종결 표시",IF(OR(J2669="기후부협의",J2669="문서재제출요청",J2669="보류",J2669="보완요청",J2669="보완완료",J2669="평가중",J2669="반려요청",J2669="평가필요",LEFT(J2669,5)="보완요청("),"미종결 표시","상태 확인 필요"))</x:f>
        <x:v>종결 표시</x:v>
      </x:c>
      <x:c r="L2669" s="2" t="str">
        <x:v>에코시안_기샛별</x:v>
      </x:c>
      <x:c r="M2669" s="2"/>
      <x:c r="N2669" s="8" t="n">
        <x:f>DATE(2026,10,15)-DATE(2021,10,28)</x:f>
        <x:v>1813</x:v>
      </x:c>
      <x:c r="O2669" s="2"/>
      <x:c r="P2669" s="2"/>
      <x:c r="Q2669" s="2" t="str">
        <x:v>산업전환_외부사업관리Tool_260707_이너젠 수정_LJY_261013.xlsx</x:v>
      </x:c>
      <x:c r="R2669" s="2" t="str">
        <x:v>국외인증</x:v>
      </x:c>
      <x:c r="S2669" s="8" t="n">
        <x:v>256</x:v>
      </x:c>
      <x:c r="T2669" s="2" t="str">
        <x:v>(11/2)</x:v>
      </x:c>
      <x:c r="U2669" s="2" t="str">
        <x:v>2021 지정: (11/2) / 2022 지정: (1/18)</x:v>
      </x:c>
      <x:c r="V2669" s="2" t="str">
        <x:v>2022-04-22</x:v>
      </x:c>
      <x:c r="W2669" s="2" t="str"/>
      <x:c r="X2669" s="2" t="str">
        <x:v>종결 근거 보관</x:v>
      </x:c>
      <x:c r="Y2669" s="2" t="str">
        <x:v>ad210cd9ec132cfd447541c8984dc53d30aff0f4fb2dc92d254d49275cc55976</x:v>
      </x:c>
      <x:c r="Z2669" s="2" t="n">
        <x:f>SUBTOTAL(103,A2669)</x:f>
        <x:v>1</x:v>
      </x:c>
      <x:c r="AA2669" s="2" t="str">
        <x:f>IF(K2669&lt;&gt;"미종결 표시","대상 아님",IF(N2669="","신청일 확인",IF(NOT(ISNUMBER('종합 현황'!$H$5)),"관찰기준 확인",IF('종합 현황'!$H$5&lt;1,"관찰기준 확인",IF(N2669&gt;'종합 현황'!$H$5,"내부 관찰 대상","내부 관찰일 이하")))))</x:f>
        <x:v>대상 아님</x:v>
      </x:c>
      <x:c r="AB2669" s="2" t="str">
        <x:v>2021-10-28 15:25 - 신청
2021-12-07 13:44 - 문서재제출요청
2021-12-21 15:29 - 신청
2022-02-22 13:08 - 문서재제출요청
2022-02-23 11:27 - 신청
2022-04-14 10:59 - 검토승인
2022-04-22 16:14 - 심의승인</x:v>
      </x:c>
    </x:row>
    <x:row r="2670" ht="42" customHeight="1">
      <x:c r="A2670" s="2" t="str">
        <x:v>e872d7c3165b47b861979abb</x:v>
      </x:c>
      <x:c r="B2670" s="2" t="str">
        <x:v>감축량 인증</x:v>
      </x:c>
      <x:c r="C2670" s="2" t="str">
        <x:v>국외</x:v>
      </x:c>
      <x:c r="D2670" s="7" t="str">
        <x:v>대한민국이 지원한 우간다 UpEnergy 고효율 쿡스토브 사업-CPA0030</x:v>
      </x:c>
      <x:c r="E2670" s="2" t="str">
        <x:v>255</x:v>
      </x:c>
      <x:c r="F2670" s="2" t="str">
        <x:v>2021-10-28</x:v>
      </x:c>
      <x:c r="G2670" s="2" t="str">
        <x:v>2021</x:v>
      </x:c>
      <x:c r="H2670" s="2" t="str">
        <x:v>10</x:v>
      </x:c>
      <x:c r="I2670" s="2" t="str">
        <x:v>심의승인</x:v>
      </x:c>
      <x:c r="J2670" s="2" t="str">
        <x:v>심의승인</x:v>
      </x:c>
      <x:c r="K2670" s="2" t="str">
        <x:f>IF(OR(J2670="심의승인",J2670="반려",J2670="반려완료",J2670="심의완료"),"종결 표시",IF(OR(J2670="기후부협의",J2670="문서재제출요청",J2670="보류",J2670="보완요청",J2670="보완완료",J2670="평가중",J2670="반려요청",J2670="평가필요",LEFT(J2670,5)="보완요청("),"미종결 표시","상태 확인 필요"))</x:f>
        <x:v>종결 표시</x:v>
      </x:c>
      <x:c r="L2670" s="2" t="str">
        <x:v>에코시안_기샛별</x:v>
      </x:c>
      <x:c r="M2670" s="2"/>
      <x:c r="N2670" s="8" t="n">
        <x:f>DATE(2026,10,15)-DATE(2021,10,28)</x:f>
        <x:v>1813</x:v>
      </x:c>
      <x:c r="O2670" s="2"/>
      <x:c r="P2670" s="2"/>
      <x:c r="Q2670" s="2" t="str">
        <x:v>산업전환_외부사업관리Tool_260707_이너젠 수정_LJY_261013.xlsx</x:v>
      </x:c>
      <x:c r="R2670" s="2" t="str">
        <x:v>국외인증</x:v>
      </x:c>
      <x:c r="S2670" s="8" t="n">
        <x:v>257</x:v>
      </x:c>
      <x:c r="T2670" s="2" t="str">
        <x:v>(11/2)</x:v>
      </x:c>
      <x:c r="U2670" s="2" t="str">
        <x:v>2021 지정: (11/2) / 2022 지정: (1/18)</x:v>
      </x:c>
      <x:c r="V2670" s="2" t="str">
        <x:v>2022-04-22</x:v>
      </x:c>
      <x:c r="W2670" s="2" t="str"/>
      <x:c r="X2670" s="2" t="str">
        <x:v>종결 근거 보관</x:v>
      </x:c>
      <x:c r="Y2670" s="2" t="str">
        <x:v>ad210cd9ec132cfd447541c8984dc53d30aff0f4fb2dc92d254d49275cc55976</x:v>
      </x:c>
      <x:c r="Z2670" s="2" t="n">
        <x:f>SUBTOTAL(103,A2670)</x:f>
        <x:v>1</x:v>
      </x:c>
      <x:c r="AA2670" s="2" t="str">
        <x:f>IF(K2670&lt;&gt;"미종결 표시","대상 아님",IF(N2670="","신청일 확인",IF(NOT(ISNUMBER('종합 현황'!$H$5)),"관찰기준 확인",IF('종합 현황'!$H$5&lt;1,"관찰기준 확인",IF(N2670&gt;'종합 현황'!$H$5,"내부 관찰 대상","내부 관찰일 이하")))))</x:f>
        <x:v>대상 아님</x:v>
      </x:c>
      <x:c r="AB2670" s="2" t="str">
        <x:v>2021-10-28 15:30 - 신청
2021-12-07 13:44 - 문서재제출요청
2021-12-21 15:32 - 신청
2022-02-22 13:09 - 문서재제출요청
2022-02-23 11:29 - 신청
2022-04-14 10:59 - 검토승인
2022-04-22 16:15 - 심의승인</x:v>
      </x:c>
    </x:row>
    <x:row r="2671" ht="42" customHeight="1">
      <x:c r="A2671" s="2" t="str">
        <x:v>12c4350c639e74cb66c53494</x:v>
      </x:c>
      <x:c r="B2671" s="2" t="str">
        <x:v>감축량 인증</x:v>
      </x:c>
      <x:c r="C2671" s="2" t="str">
        <x:v>국외</x:v>
      </x:c>
      <x:c r="D2671" s="7" t="str">
        <x:v>대한민국이 지원한 우간다 UpEnergy 고효율 쿡스토브 사업-CPA0031</x:v>
      </x:c>
      <x:c r="E2671" s="2" t="str">
        <x:v>256</x:v>
      </x:c>
      <x:c r="F2671" s="2" t="str">
        <x:v>2021-10-28</x:v>
      </x:c>
      <x:c r="G2671" s="2" t="str">
        <x:v>2021</x:v>
      </x:c>
      <x:c r="H2671" s="2" t="str">
        <x:v>10</x:v>
      </x:c>
      <x:c r="I2671" s="2" t="str">
        <x:v>심의승인</x:v>
      </x:c>
      <x:c r="J2671" s="2" t="str">
        <x:v>심의승인</x:v>
      </x:c>
      <x:c r="K2671" s="2" t="str">
        <x:f>IF(OR(J2671="심의승인",J2671="반려",J2671="반려완료",J2671="심의완료"),"종결 표시",IF(OR(J2671="기후부협의",J2671="문서재제출요청",J2671="보류",J2671="보완요청",J2671="보완완료",J2671="평가중",J2671="반려요청",J2671="평가필요",LEFT(J2671,5)="보완요청("),"미종결 표시","상태 확인 필요"))</x:f>
        <x:v>종결 표시</x:v>
      </x:c>
      <x:c r="L2671" s="2" t="str">
        <x:v>에코시안_기샛별</x:v>
      </x:c>
      <x:c r="M2671" s="2"/>
      <x:c r="N2671" s="8" t="n">
        <x:f>DATE(2026,10,15)-DATE(2021,10,28)</x:f>
        <x:v>1813</x:v>
      </x:c>
      <x:c r="O2671" s="2"/>
      <x:c r="P2671" s="2"/>
      <x:c r="Q2671" s="2" t="str">
        <x:v>산업전환_외부사업관리Tool_260707_이너젠 수정_LJY_261013.xlsx</x:v>
      </x:c>
      <x:c r="R2671" s="2" t="str">
        <x:v>국외인증</x:v>
      </x:c>
      <x:c r="S2671" s="8" t="n">
        <x:v>258</x:v>
      </x:c>
      <x:c r="T2671" s="2" t="str">
        <x:v>(11/2)</x:v>
      </x:c>
      <x:c r="U2671" s="2" t="str">
        <x:v>2021 지정: (11/2) / 2022 지정: (1/18)</x:v>
      </x:c>
      <x:c r="V2671" s="2" t="str">
        <x:v>2022-04-22</x:v>
      </x:c>
      <x:c r="W2671" s="2" t="str"/>
      <x:c r="X2671" s="2" t="str">
        <x:v>종결 근거 보관</x:v>
      </x:c>
      <x:c r="Y2671" s="2" t="str">
        <x:v>ad210cd9ec132cfd447541c8984dc53d30aff0f4fb2dc92d254d49275cc55976</x:v>
      </x:c>
      <x:c r="Z2671" s="2" t="n">
        <x:f>SUBTOTAL(103,A2671)</x:f>
        <x:v>1</x:v>
      </x:c>
      <x:c r="AA2671" s="2" t="str">
        <x:f>IF(K2671&lt;&gt;"미종결 표시","대상 아님",IF(N2671="","신청일 확인",IF(NOT(ISNUMBER('종합 현황'!$H$5)),"관찰기준 확인",IF('종합 현황'!$H$5&lt;1,"관찰기준 확인",IF(N2671&gt;'종합 현황'!$H$5,"내부 관찰 대상","내부 관찰일 이하")))))</x:f>
        <x:v>대상 아님</x:v>
      </x:c>
      <x:c r="AB2671" s="2" t="str">
        <x:v>2021-10-28 15:37 - 신청
2021-12-07 13:45 - 문서재제출요청
2021-12-21 15:35 - 신청
2022-02-22 13:10 - 문서재제출요청
2022-02-23 11:30 - 신청
2022-04-14 11:00 - 검토승인
2022-04-22 16:16 - 심의승인</x:v>
      </x:c>
    </x:row>
    <x:row r="2672" ht="42" customHeight="1">
      <x:c r="A2672" s="2" t="str">
        <x:v>2a184ce58fe5b71021ffab97</x:v>
      </x:c>
      <x:c r="B2672" s="2" t="str">
        <x:v>감축량 인증</x:v>
      </x:c>
      <x:c r="C2672" s="2" t="str">
        <x:v>국외</x:v>
      </x:c>
      <x:c r="D2672" s="7" t="str">
        <x:v>대한민국이 지원한 우간다 UpEnergy 고효율 쿡스토브 사업-CPA0032</x:v>
      </x:c>
      <x:c r="E2672" s="2" t="str">
        <x:v>257</x:v>
      </x:c>
      <x:c r="F2672" s="2" t="str">
        <x:v>2021-10-28</x:v>
      </x:c>
      <x:c r="G2672" s="2" t="str">
        <x:v>2021</x:v>
      </x:c>
      <x:c r="H2672" s="2" t="str">
        <x:v>10</x:v>
      </x:c>
      <x:c r="I2672" s="2" t="str">
        <x:v>심의승인</x:v>
      </x:c>
      <x:c r="J2672" s="2" t="str">
        <x:v>심의승인</x:v>
      </x:c>
      <x:c r="K2672" s="2" t="str">
        <x:f>IF(OR(J2672="심의승인",J2672="반려",J2672="반려완료",J2672="심의완료"),"종결 표시",IF(OR(J2672="기후부협의",J2672="문서재제출요청",J2672="보류",J2672="보완요청",J2672="보완완료",J2672="평가중",J2672="반려요청",J2672="평가필요",LEFT(J2672,5)="보완요청("),"미종결 표시","상태 확인 필요"))</x:f>
        <x:v>종결 표시</x:v>
      </x:c>
      <x:c r="L2672" s="2" t="str">
        <x:v>에코시안_기샛별</x:v>
      </x:c>
      <x:c r="M2672" s="2"/>
      <x:c r="N2672" s="8" t="n">
        <x:f>DATE(2026,10,15)-DATE(2021,10,28)</x:f>
        <x:v>1813</x:v>
      </x:c>
      <x:c r="O2672" s="2"/>
      <x:c r="P2672" s="2"/>
      <x:c r="Q2672" s="2" t="str">
        <x:v>산업전환_외부사업관리Tool_260707_이너젠 수정_LJY_261013.xlsx</x:v>
      </x:c>
      <x:c r="R2672" s="2" t="str">
        <x:v>국외인증</x:v>
      </x:c>
      <x:c r="S2672" s="8" t="n">
        <x:v>259</x:v>
      </x:c>
      <x:c r="T2672" s="2" t="str">
        <x:v>(11/2)</x:v>
      </x:c>
      <x:c r="U2672" s="2" t="str">
        <x:v>2021 지정: (11/2) / 2022 지정: (1/18)</x:v>
      </x:c>
      <x:c r="V2672" s="2" t="str">
        <x:v>2022-04-22</x:v>
      </x:c>
      <x:c r="W2672" s="2" t="str"/>
      <x:c r="X2672" s="2" t="str">
        <x:v>종결 근거 보관</x:v>
      </x:c>
      <x:c r="Y2672" s="2" t="str">
        <x:v>ad210cd9ec132cfd447541c8984dc53d30aff0f4fb2dc92d254d49275cc55976</x:v>
      </x:c>
      <x:c r="Z2672" s="2" t="n">
        <x:f>SUBTOTAL(103,A2672)</x:f>
        <x:v>1</x:v>
      </x:c>
      <x:c r="AA2672" s="2" t="str">
        <x:f>IF(K2672&lt;&gt;"미종결 표시","대상 아님",IF(N2672="","신청일 확인",IF(NOT(ISNUMBER('종합 현황'!$H$5)),"관찰기준 확인",IF('종합 현황'!$H$5&lt;1,"관찰기준 확인",IF(N2672&gt;'종합 현황'!$H$5,"내부 관찰 대상","내부 관찰일 이하")))))</x:f>
        <x:v>대상 아님</x:v>
      </x:c>
      <x:c r="AB2672" s="2" t="str">
        <x:v>2021-10-28 15:54 - 신청
2021-12-07 13:45 - 문서재제출요청
2021-12-21 15:38 - 신청
2022-02-22 13:10 - 문서재제출요청
2022-02-23 11:32 - 신청
2022-04-14 11:01 - 검토승인
2022-04-22 16:18 - 심의승인</x:v>
      </x:c>
    </x:row>
    <x:row r="2673" ht="42" customHeight="1">
      <x:c r="A2673" s="2" t="str">
        <x:v>a27805fa7e86bf1654e7a2a8</x:v>
      </x:c>
      <x:c r="B2673" s="2" t="str">
        <x:v>감축량 인증</x:v>
      </x:c>
      <x:c r="C2673" s="2" t="str">
        <x:v>국외</x:v>
      </x:c>
      <x:c r="D2673" s="7" t="str">
        <x:v>대한민국이 지원한 우간다 UpEnergy 고효율 쿡스토브 사업-CPA0033</x:v>
      </x:c>
      <x:c r="E2673" s="2" t="str">
        <x:v>258</x:v>
      </x:c>
      <x:c r="F2673" s="2" t="str">
        <x:v>2021-10-28</x:v>
      </x:c>
      <x:c r="G2673" s="2" t="str">
        <x:v>2021</x:v>
      </x:c>
      <x:c r="H2673" s="2" t="str">
        <x:v>10</x:v>
      </x:c>
      <x:c r="I2673" s="2" t="str">
        <x:v>심의승인</x:v>
      </x:c>
      <x:c r="J2673" s="2" t="str">
        <x:v>심의승인</x:v>
      </x:c>
      <x:c r="K2673" s="2" t="str">
        <x:f>IF(OR(J2673="심의승인",J2673="반려",J2673="반려완료",J2673="심의완료"),"종결 표시",IF(OR(J2673="기후부협의",J2673="문서재제출요청",J2673="보류",J2673="보완요청",J2673="보완완료",J2673="평가중",J2673="반려요청",J2673="평가필요",LEFT(J2673,5)="보완요청("),"미종결 표시","상태 확인 필요"))</x:f>
        <x:v>종결 표시</x:v>
      </x:c>
      <x:c r="L2673" s="2" t="str">
        <x:v>에코시안_기샛별</x:v>
      </x:c>
      <x:c r="M2673" s="2"/>
      <x:c r="N2673" s="8" t="n">
        <x:f>DATE(2026,10,15)-DATE(2021,10,28)</x:f>
        <x:v>1813</x:v>
      </x:c>
      <x:c r="O2673" s="2"/>
      <x:c r="P2673" s="2"/>
      <x:c r="Q2673" s="2" t="str">
        <x:v>산업전환_외부사업관리Tool_260707_이너젠 수정_LJY_261013.xlsx</x:v>
      </x:c>
      <x:c r="R2673" s="2" t="str">
        <x:v>국외인증</x:v>
      </x:c>
      <x:c r="S2673" s="8" t="n">
        <x:v>260</x:v>
      </x:c>
      <x:c r="T2673" s="2" t="str">
        <x:v>(11/2)</x:v>
      </x:c>
      <x:c r="U2673" s="2" t="str">
        <x:v>2021 지정: (11/2) / 2022 지정: (1/18)</x:v>
      </x:c>
      <x:c r="V2673" s="2" t="str">
        <x:v>2022-04-22</x:v>
      </x:c>
      <x:c r="W2673" s="2" t="str"/>
      <x:c r="X2673" s="2" t="str">
        <x:v>종결 근거 보관</x:v>
      </x:c>
      <x:c r="Y2673" s="2" t="str">
        <x:v>ad210cd9ec132cfd447541c8984dc53d30aff0f4fb2dc92d254d49275cc55976</x:v>
      </x:c>
      <x:c r="Z2673" s="2" t="n">
        <x:f>SUBTOTAL(103,A2673)</x:f>
        <x:v>1</x:v>
      </x:c>
      <x:c r="AA2673" s="2" t="str">
        <x:f>IF(K2673&lt;&gt;"미종결 표시","대상 아님",IF(N2673="","신청일 확인",IF(NOT(ISNUMBER('종합 현황'!$H$5)),"관찰기준 확인",IF('종합 현황'!$H$5&lt;1,"관찰기준 확인",IF(N2673&gt;'종합 현황'!$H$5,"내부 관찰 대상","내부 관찰일 이하")))))</x:f>
        <x:v>대상 아님</x:v>
      </x:c>
      <x:c r="AB2673" s="2" t="str">
        <x:v>2021-10-28 15:56 - 신청
2021-12-07 13:46 - 문서재제출요청
2021-12-21 15:41 - 신청
2022-02-22 13:11 - 문서재제출요청
2022-02-23 11:33 - 신청
2022-04-14 11:01 - 검토승인
2022-04-22 16:19 - 심의승인</x:v>
      </x:c>
    </x:row>
    <x:row r="2674" ht="42" customHeight="1">
      <x:c r="A2674" s="2" t="str">
        <x:v>15e3c1989e9dd7611b22963b</x:v>
      </x:c>
      <x:c r="B2674" s="2" t="str">
        <x:v>감축량 인증</x:v>
      </x:c>
      <x:c r="C2674" s="2" t="str">
        <x:v>국외</x:v>
      </x:c>
      <x:c r="D2674" s="7" t="str">
        <x:v>대한민국이 지원한 우간다 UpEnergy 고효율 쿡스토브 사업-CPA0034</x:v>
      </x:c>
      <x:c r="E2674" s="2" t="str">
        <x:v>259</x:v>
      </x:c>
      <x:c r="F2674" s="2" t="str">
        <x:v>2021-10-28</x:v>
      </x:c>
      <x:c r="G2674" s="2" t="str">
        <x:v>2021</x:v>
      </x:c>
      <x:c r="H2674" s="2" t="str">
        <x:v>10</x:v>
      </x:c>
      <x:c r="I2674" s="2" t="str">
        <x:v>심의승인</x:v>
      </x:c>
      <x:c r="J2674" s="2" t="str">
        <x:v>심의승인</x:v>
      </x:c>
      <x:c r="K2674" s="2" t="str">
        <x:f>IF(OR(J2674="심의승인",J2674="반려",J2674="반려완료",J2674="심의완료"),"종결 표시",IF(OR(J2674="기후부협의",J2674="문서재제출요청",J2674="보류",J2674="보완요청",J2674="보완완료",J2674="평가중",J2674="반려요청",J2674="평가필요",LEFT(J2674,5)="보완요청("),"미종결 표시","상태 확인 필요"))</x:f>
        <x:v>종결 표시</x:v>
      </x:c>
      <x:c r="L2674" s="2" t="str">
        <x:v>에코시안_기샛별</x:v>
      </x:c>
      <x:c r="M2674" s="2"/>
      <x:c r="N2674" s="8" t="n">
        <x:f>DATE(2026,10,15)-DATE(2021,10,28)</x:f>
        <x:v>1813</x:v>
      </x:c>
      <x:c r="O2674" s="2"/>
      <x:c r="P2674" s="2"/>
      <x:c r="Q2674" s="2" t="str">
        <x:v>산업전환_외부사업관리Tool_260707_이너젠 수정_LJY_261013.xlsx</x:v>
      </x:c>
      <x:c r="R2674" s="2" t="str">
        <x:v>국외인증</x:v>
      </x:c>
      <x:c r="S2674" s="8" t="n">
        <x:v>261</x:v>
      </x:c>
      <x:c r="T2674" s="2" t="str">
        <x:v>(11/2)</x:v>
      </x:c>
      <x:c r="U2674" s="2" t="str">
        <x:v>2021 지정: (11/2) / 2022 지정: (1/18)</x:v>
      </x:c>
      <x:c r="V2674" s="2" t="str">
        <x:v>2022-04-22</x:v>
      </x:c>
      <x:c r="W2674" s="2" t="str"/>
      <x:c r="X2674" s="2" t="str">
        <x:v>종결 근거 보관</x:v>
      </x:c>
      <x:c r="Y2674" s="2" t="str">
        <x:v>ad210cd9ec132cfd447541c8984dc53d30aff0f4fb2dc92d254d49275cc55976</x:v>
      </x:c>
      <x:c r="Z2674" s="2" t="n">
        <x:f>SUBTOTAL(103,A2674)</x:f>
        <x:v>1</x:v>
      </x:c>
      <x:c r="AA2674" s="2" t="str">
        <x:f>IF(K2674&lt;&gt;"미종결 표시","대상 아님",IF(N2674="","신청일 확인",IF(NOT(ISNUMBER('종합 현황'!$H$5)),"관찰기준 확인",IF('종합 현황'!$H$5&lt;1,"관찰기준 확인",IF(N2674&gt;'종합 현황'!$H$5,"내부 관찰 대상","내부 관찰일 이하")))))</x:f>
        <x:v>대상 아님</x:v>
      </x:c>
      <x:c r="AB2674" s="2" t="str">
        <x:v>2021-10-28 15:58 - 신청
2021-12-07 13:46 - 문서재제출요청
2021-12-21 15:44 - 신청
2022-02-22 13:11 - 문서재제출요청
2022-02-23 11:34 - 신청
2022-04-14 11:01 - 검토승인
2022-04-22 16:21 - 심의승인</x:v>
      </x:c>
    </x:row>
    <x:row r="2675" ht="42" customHeight="1">
      <x:c r="A2675" s="2" t="str">
        <x:v>186ec38143b388b3d342c64c</x:v>
      </x:c>
      <x:c r="B2675" s="2" t="str">
        <x:v>감축량 인증</x:v>
      </x:c>
      <x:c r="C2675" s="2" t="str">
        <x:v>국외</x:v>
      </x:c>
      <x:c r="D2675" s="7" t="str">
        <x:v>대한민국이 지원한 우간다 UpEnergy 고효율 쿡스토브 사업-CPA0035</x:v>
      </x:c>
      <x:c r="E2675" s="2" t="str">
        <x:v>260</x:v>
      </x:c>
      <x:c r="F2675" s="2" t="str">
        <x:v>2021-10-28</x:v>
      </x:c>
      <x:c r="G2675" s="2" t="str">
        <x:v>2021</x:v>
      </x:c>
      <x:c r="H2675" s="2" t="str">
        <x:v>10</x:v>
      </x:c>
      <x:c r="I2675" s="2" t="str">
        <x:v>심의승인</x:v>
      </x:c>
      <x:c r="J2675" s="2" t="str">
        <x:v>심의승인</x:v>
      </x:c>
      <x:c r="K2675" s="2" t="str">
        <x:f>IF(OR(J2675="심의승인",J2675="반려",J2675="반려완료",J2675="심의완료"),"종결 표시",IF(OR(J2675="기후부협의",J2675="문서재제출요청",J2675="보류",J2675="보완요청",J2675="보완완료",J2675="평가중",J2675="반려요청",J2675="평가필요",LEFT(J2675,5)="보완요청("),"미종결 표시","상태 확인 필요"))</x:f>
        <x:v>종결 표시</x:v>
      </x:c>
      <x:c r="L2675" s="2" t="str">
        <x:v>에코시안_기샛별</x:v>
      </x:c>
      <x:c r="M2675" s="2"/>
      <x:c r="N2675" s="8" t="n">
        <x:f>DATE(2026,10,15)-DATE(2021,10,28)</x:f>
        <x:v>1813</x:v>
      </x:c>
      <x:c r="O2675" s="2"/>
      <x:c r="P2675" s="2"/>
      <x:c r="Q2675" s="2" t="str">
        <x:v>산업전환_외부사업관리Tool_260707_이너젠 수정_LJY_261013.xlsx</x:v>
      </x:c>
      <x:c r="R2675" s="2" t="str">
        <x:v>국외인증</x:v>
      </x:c>
      <x:c r="S2675" s="8" t="n">
        <x:v>262</x:v>
      </x:c>
      <x:c r="T2675" s="2" t="str">
        <x:v>(11/2)</x:v>
      </x:c>
      <x:c r="U2675" s="2" t="str">
        <x:v>2021 지정: (11/2) / 2022 지정: (1/18)</x:v>
      </x:c>
      <x:c r="V2675" s="2" t="str">
        <x:v>2022-04-22</x:v>
      </x:c>
      <x:c r="W2675" s="2" t="str"/>
      <x:c r="X2675" s="2" t="str">
        <x:v>종결 근거 보관</x:v>
      </x:c>
      <x:c r="Y2675" s="2" t="str">
        <x:v>ad210cd9ec132cfd447541c8984dc53d30aff0f4fb2dc92d254d49275cc55976</x:v>
      </x:c>
      <x:c r="Z2675" s="2" t="n">
        <x:f>SUBTOTAL(103,A2675)</x:f>
        <x:v>1</x:v>
      </x:c>
      <x:c r="AA2675" s="2" t="str">
        <x:f>IF(K2675&lt;&gt;"미종결 표시","대상 아님",IF(N2675="","신청일 확인",IF(NOT(ISNUMBER('종합 현황'!$H$5)),"관찰기준 확인",IF('종합 현황'!$H$5&lt;1,"관찰기준 확인",IF(N2675&gt;'종합 현황'!$H$5,"내부 관찰 대상","내부 관찰일 이하")))))</x:f>
        <x:v>대상 아님</x:v>
      </x:c>
      <x:c r="AB2675" s="2" t="str">
        <x:v>2021-10-28 16:01 - 신청
2021-12-07 13:48 - 문서재제출요청
2021-12-21 15:47 - 신청
2022-02-22 13:12 - 문서재제출요청
2022-02-23 11:36 - 신청
2022-04-14 11:02 - 검토승인
2022-04-22 16:22 - 심의승인</x:v>
      </x:c>
    </x:row>
    <x:row r="2676" ht="42" customHeight="1">
      <x:c r="A2676" s="2" t="str">
        <x:v>93f5f4c671964197736fd03b</x:v>
      </x:c>
      <x:c r="B2676" s="2" t="str">
        <x:v>감축량 인증</x:v>
      </x:c>
      <x:c r="C2676" s="2" t="str">
        <x:v>국외</x:v>
      </x:c>
      <x:c r="D2676" s="7" t="str">
        <x:v>대한민국이 지원한 우간다 UpEnergy 고효율 쿡스토브 사업-CPA0036</x:v>
      </x:c>
      <x:c r="E2676" s="2" t="str">
        <x:v>261</x:v>
      </x:c>
      <x:c r="F2676" s="2" t="str">
        <x:v>2021-10-28</x:v>
      </x:c>
      <x:c r="G2676" s="2" t="str">
        <x:v>2021</x:v>
      </x:c>
      <x:c r="H2676" s="2" t="str">
        <x:v>10</x:v>
      </x:c>
      <x:c r="I2676" s="2" t="str">
        <x:v>심의승인</x:v>
      </x:c>
      <x:c r="J2676" s="2" t="str">
        <x:v>심의승인</x:v>
      </x:c>
      <x:c r="K2676" s="2" t="str">
        <x:f>IF(OR(J2676="심의승인",J2676="반려",J2676="반려완료",J2676="심의완료"),"종결 표시",IF(OR(J2676="기후부협의",J2676="문서재제출요청",J2676="보류",J2676="보완요청",J2676="보완완료",J2676="평가중",J2676="반려요청",J2676="평가필요",LEFT(J2676,5)="보완요청("),"미종결 표시","상태 확인 필요"))</x:f>
        <x:v>종결 표시</x:v>
      </x:c>
      <x:c r="L2676" s="2" t="str">
        <x:v>에코시안_기샛별</x:v>
      </x:c>
      <x:c r="M2676" s="2"/>
      <x:c r="N2676" s="8" t="n">
        <x:f>DATE(2026,10,15)-DATE(2021,10,28)</x:f>
        <x:v>1813</x:v>
      </x:c>
      <x:c r="O2676" s="2"/>
      <x:c r="P2676" s="2"/>
      <x:c r="Q2676" s="2" t="str">
        <x:v>산업전환_외부사업관리Tool_260707_이너젠 수정_LJY_261013.xlsx</x:v>
      </x:c>
      <x:c r="R2676" s="2" t="str">
        <x:v>국외인증</x:v>
      </x:c>
      <x:c r="S2676" s="8" t="n">
        <x:v>263</x:v>
      </x:c>
      <x:c r="T2676" s="2" t="str">
        <x:v>(11/2)</x:v>
      </x:c>
      <x:c r="U2676" s="2" t="str">
        <x:v>2021 지정: (11/2) / 2022 지정: (1/18)</x:v>
      </x:c>
      <x:c r="V2676" s="2" t="str">
        <x:v>2022-04-22</x:v>
      </x:c>
      <x:c r="W2676" s="2" t="str"/>
      <x:c r="X2676" s="2" t="str">
        <x:v>종결 근거 보관</x:v>
      </x:c>
      <x:c r="Y2676" s="2" t="str">
        <x:v>ad210cd9ec132cfd447541c8984dc53d30aff0f4fb2dc92d254d49275cc55976</x:v>
      </x:c>
      <x:c r="Z2676" s="2" t="n">
        <x:f>SUBTOTAL(103,A2676)</x:f>
        <x:v>1</x:v>
      </x:c>
      <x:c r="AA2676" s="2" t="str">
        <x:f>IF(K2676&lt;&gt;"미종결 표시","대상 아님",IF(N2676="","신청일 확인",IF(NOT(ISNUMBER('종합 현황'!$H$5)),"관찰기준 확인",IF('종합 현황'!$H$5&lt;1,"관찰기준 확인",IF(N2676&gt;'종합 현황'!$H$5,"내부 관찰 대상","내부 관찰일 이하")))))</x:f>
        <x:v>대상 아님</x:v>
      </x:c>
      <x:c r="AB2676" s="2" t="str">
        <x:v>2021-10-28 16:04 - 신청
2021-12-07 13:48 - 문서재제출요청
2021-12-21 15:49 - 신청
2022-02-22 13:13 - 문서재제출요청
2022-02-23 11:37 - 신청
2022-04-14 11:03 - 검토승인
2022-04-22 16:24 - 심의승인</x:v>
      </x:c>
    </x:row>
    <x:row r="2677" ht="42" customHeight="1">
      <x:c r="A2677" s="2" t="str">
        <x:v>2fc1af3f4eaf32bf0f4ee740</x:v>
      </x:c>
      <x:c r="B2677" s="2" t="str">
        <x:v>감축량 인증</x:v>
      </x:c>
      <x:c r="C2677" s="2" t="str">
        <x:v>국외</x:v>
      </x:c>
      <x:c r="D2677" s="7" t="str">
        <x:v>대한민국이 지원한 우간다 UpEnergy 고효율 쿡스토브 사업-CPA0037</x:v>
      </x:c>
      <x:c r="E2677" s="2" t="str">
        <x:v>262</x:v>
      </x:c>
      <x:c r="F2677" s="2" t="str">
        <x:v>2021-10-28</x:v>
      </x:c>
      <x:c r="G2677" s="2" t="str">
        <x:v>2021</x:v>
      </x:c>
      <x:c r="H2677" s="2" t="str">
        <x:v>10</x:v>
      </x:c>
      <x:c r="I2677" s="2" t="str">
        <x:v>심의승인</x:v>
      </x:c>
      <x:c r="J2677" s="2" t="str">
        <x:v>심의승인</x:v>
      </x:c>
      <x:c r="K2677" s="2" t="str">
        <x:f>IF(OR(J2677="심의승인",J2677="반려",J2677="반려완료",J2677="심의완료"),"종결 표시",IF(OR(J2677="기후부협의",J2677="문서재제출요청",J2677="보류",J2677="보완요청",J2677="보완완료",J2677="평가중",J2677="반려요청",J2677="평가필요",LEFT(J2677,5)="보완요청("),"미종결 표시","상태 확인 필요"))</x:f>
        <x:v>종결 표시</x:v>
      </x:c>
      <x:c r="L2677" s="2" t="str">
        <x:v>에코시안_기샛별</x:v>
      </x:c>
      <x:c r="M2677" s="2"/>
      <x:c r="N2677" s="8" t="n">
        <x:f>DATE(2026,10,15)-DATE(2021,10,28)</x:f>
        <x:v>1813</x:v>
      </x:c>
      <x:c r="O2677" s="2"/>
      <x:c r="P2677" s="2"/>
      <x:c r="Q2677" s="2" t="str">
        <x:v>산업전환_외부사업관리Tool_260707_이너젠 수정_LJY_261013.xlsx</x:v>
      </x:c>
      <x:c r="R2677" s="2" t="str">
        <x:v>국외인증</x:v>
      </x:c>
      <x:c r="S2677" s="8" t="n">
        <x:v>264</x:v>
      </x:c>
      <x:c r="T2677" s="2" t="str">
        <x:v>(11/2)</x:v>
      </x:c>
      <x:c r="U2677" s="2" t="str">
        <x:v>2021 지정: (11/2) / 2022 지정: (1/18)</x:v>
      </x:c>
      <x:c r="V2677" s="2" t="str">
        <x:v>2022-04-22</x:v>
      </x:c>
      <x:c r="W2677" s="2" t="str"/>
      <x:c r="X2677" s="2" t="str">
        <x:v>종결 근거 보관</x:v>
      </x:c>
      <x:c r="Y2677" s="2" t="str">
        <x:v>ad210cd9ec132cfd447541c8984dc53d30aff0f4fb2dc92d254d49275cc55976</x:v>
      </x:c>
      <x:c r="Z2677" s="2" t="n">
        <x:f>SUBTOTAL(103,A2677)</x:f>
        <x:v>1</x:v>
      </x:c>
      <x:c r="AA2677" s="2" t="str">
        <x:f>IF(K2677&lt;&gt;"미종결 표시","대상 아님",IF(N2677="","신청일 확인",IF(NOT(ISNUMBER('종합 현황'!$H$5)),"관찰기준 확인",IF('종합 현황'!$H$5&lt;1,"관찰기준 확인",IF(N2677&gt;'종합 현황'!$H$5,"내부 관찰 대상","내부 관찰일 이하")))))</x:f>
        <x:v>대상 아님</x:v>
      </x:c>
      <x:c r="AB2677" s="2" t="str">
        <x:v>2021-10-28 16:06 - 신청
2021-12-07 13:48 - 문서재제출요청
2021-12-21 15:52 - 신청
2022-02-22 13:13 - 문서재제출요청
2022-02-23 11:38 - 신청
2022-04-14 11:03 - 검토승인
2022-04-22 16:25 - 심의승인</x:v>
      </x:c>
    </x:row>
    <x:row r="2678" ht="42" customHeight="1">
      <x:c r="A2678" s="2" t="str">
        <x:v>ab9b3899620eaa6af2ff001b</x:v>
      </x:c>
      <x:c r="B2678" s="2" t="str">
        <x:v>감축량 인증</x:v>
      </x:c>
      <x:c r="C2678" s="2" t="str">
        <x:v>국외</x:v>
      </x:c>
      <x:c r="D2678" s="7" t="str">
        <x:v>대한민국이 지원한 우간다 UpEnergy 고효율 쿡스토브 사업-CPA0038</x:v>
      </x:c>
      <x:c r="E2678" s="2" t="str">
        <x:v>263</x:v>
      </x:c>
      <x:c r="F2678" s="2" t="str">
        <x:v>2021-10-28</x:v>
      </x:c>
      <x:c r="G2678" s="2" t="str">
        <x:v>2021</x:v>
      </x:c>
      <x:c r="H2678" s="2" t="str">
        <x:v>10</x:v>
      </x:c>
      <x:c r="I2678" s="2" t="str">
        <x:v>심의승인</x:v>
      </x:c>
      <x:c r="J2678" s="2" t="str">
        <x:v>심의승인</x:v>
      </x:c>
      <x:c r="K2678" s="2" t="str">
        <x:f>IF(OR(J2678="심의승인",J2678="반려",J2678="반려완료",J2678="심의완료"),"종결 표시",IF(OR(J2678="기후부협의",J2678="문서재제출요청",J2678="보류",J2678="보완요청",J2678="보완완료",J2678="평가중",J2678="반려요청",J2678="평가필요",LEFT(J2678,5)="보완요청("),"미종결 표시","상태 확인 필요"))</x:f>
        <x:v>종결 표시</x:v>
      </x:c>
      <x:c r="L2678" s="2" t="str">
        <x:v>에코시안_기샛별</x:v>
      </x:c>
      <x:c r="M2678" s="2"/>
      <x:c r="N2678" s="8" t="n">
        <x:f>DATE(2026,10,15)-DATE(2021,10,28)</x:f>
        <x:v>1813</x:v>
      </x:c>
      <x:c r="O2678" s="2"/>
      <x:c r="P2678" s="2"/>
      <x:c r="Q2678" s="2" t="str">
        <x:v>산업전환_외부사업관리Tool_260707_이너젠 수정_LJY_261013.xlsx</x:v>
      </x:c>
      <x:c r="R2678" s="2" t="str">
        <x:v>국외인증</x:v>
      </x:c>
      <x:c r="S2678" s="8" t="n">
        <x:v>265</x:v>
      </x:c>
      <x:c r="T2678" s="2" t="str">
        <x:v>(11/2)</x:v>
      </x:c>
      <x:c r="U2678" s="2" t="str">
        <x:v>2021 지정: (11/2) / 2022 지정: (1/18)</x:v>
      </x:c>
      <x:c r="V2678" s="2" t="str">
        <x:v>2022-04-22</x:v>
      </x:c>
      <x:c r="W2678" s="2" t="str"/>
      <x:c r="X2678" s="2" t="str">
        <x:v>종결 근거 보관</x:v>
      </x:c>
      <x:c r="Y2678" s="2" t="str">
        <x:v>ad210cd9ec132cfd447541c8984dc53d30aff0f4fb2dc92d254d49275cc55976</x:v>
      </x:c>
      <x:c r="Z2678" s="2" t="n">
        <x:f>SUBTOTAL(103,A2678)</x:f>
        <x:v>1</x:v>
      </x:c>
      <x:c r="AA2678" s="2" t="str">
        <x:f>IF(K2678&lt;&gt;"미종결 표시","대상 아님",IF(N2678="","신청일 확인",IF(NOT(ISNUMBER('종합 현황'!$H$5)),"관찰기준 확인",IF('종합 현황'!$H$5&lt;1,"관찰기준 확인",IF(N2678&gt;'종합 현황'!$H$5,"내부 관찰 대상","내부 관찰일 이하")))))</x:f>
        <x:v>대상 아님</x:v>
      </x:c>
      <x:c r="AB2678" s="2" t="str">
        <x:v>2021-10-28 16:08 - 신청
2021-12-07 13:49 - 문서재제출요청
2021-12-21 15:55 - 신청
2022-02-22 13:14 - 문서재제출요청
2022-02-23 11:40 - 신청
2022-04-14 11:05 - 검토승인
2022-04-22 16:29 - 심의승인</x:v>
      </x:c>
    </x:row>
    <x:row r="2679" ht="42" customHeight="1">
      <x:c r="A2679" s="2" t="str">
        <x:v>1b1aef78a904d44179cbaef3</x:v>
      </x:c>
      <x:c r="B2679" s="2" t="str">
        <x:v>감축량 인증</x:v>
      </x:c>
      <x:c r="C2679" s="2" t="str">
        <x:v>국외</x:v>
      </x:c>
      <x:c r="D2679" s="7" t="str">
        <x:v>대한민국이 지원한 우간다 UpEnergy 고효율 쿡스토브 사업-CPA0039</x:v>
      </x:c>
      <x:c r="E2679" s="2" t="str">
        <x:v>264</x:v>
      </x:c>
      <x:c r="F2679" s="2" t="str">
        <x:v>2021-10-28</x:v>
      </x:c>
      <x:c r="G2679" s="2" t="str">
        <x:v>2021</x:v>
      </x:c>
      <x:c r="H2679" s="2" t="str">
        <x:v>10</x:v>
      </x:c>
      <x:c r="I2679" s="2" t="str">
        <x:v>심의승인</x:v>
      </x:c>
      <x:c r="J2679" s="2" t="str">
        <x:v>심의승인</x:v>
      </x:c>
      <x:c r="K2679" s="2" t="str">
        <x:f>IF(OR(J2679="심의승인",J2679="반려",J2679="반려완료",J2679="심의완료"),"종결 표시",IF(OR(J2679="기후부협의",J2679="문서재제출요청",J2679="보류",J2679="보완요청",J2679="보완완료",J2679="평가중",J2679="반려요청",J2679="평가필요",LEFT(J2679,5)="보완요청("),"미종결 표시","상태 확인 필요"))</x:f>
        <x:v>종결 표시</x:v>
      </x:c>
      <x:c r="L2679" s="2" t="str">
        <x:v>에코시안_기샛별</x:v>
      </x:c>
      <x:c r="M2679" s="2"/>
      <x:c r="N2679" s="8" t="n">
        <x:f>DATE(2026,10,15)-DATE(2021,10,28)</x:f>
        <x:v>1813</x:v>
      </x:c>
      <x:c r="O2679" s="2"/>
      <x:c r="P2679" s="2"/>
      <x:c r="Q2679" s="2" t="str">
        <x:v>산업전환_외부사업관리Tool_260707_이너젠 수정_LJY_261013.xlsx</x:v>
      </x:c>
      <x:c r="R2679" s="2" t="str">
        <x:v>국외인증</x:v>
      </x:c>
      <x:c r="S2679" s="8" t="n">
        <x:v>266</x:v>
      </x:c>
      <x:c r="T2679" s="2" t="str">
        <x:v>(11/2)</x:v>
      </x:c>
      <x:c r="U2679" s="2" t="str">
        <x:v>2021 지정: (11/2) / 2022 지정: (1/18)</x:v>
      </x:c>
      <x:c r="V2679" s="2" t="str">
        <x:v>2022-04-22</x:v>
      </x:c>
      <x:c r="W2679" s="2" t="str"/>
      <x:c r="X2679" s="2" t="str">
        <x:v>종결 근거 보관</x:v>
      </x:c>
      <x:c r="Y2679" s="2" t="str">
        <x:v>ad210cd9ec132cfd447541c8984dc53d30aff0f4fb2dc92d254d49275cc55976</x:v>
      </x:c>
      <x:c r="Z2679" s="2" t="n">
        <x:f>SUBTOTAL(103,A2679)</x:f>
        <x:v>1</x:v>
      </x:c>
      <x:c r="AA2679" s="2" t="str">
        <x:f>IF(K2679&lt;&gt;"미종결 표시","대상 아님",IF(N2679="","신청일 확인",IF(NOT(ISNUMBER('종합 현황'!$H$5)),"관찰기준 확인",IF('종합 현황'!$H$5&lt;1,"관찰기준 확인",IF(N2679&gt;'종합 현황'!$H$5,"내부 관찰 대상","내부 관찰일 이하")))))</x:f>
        <x:v>대상 아님</x:v>
      </x:c>
      <x:c r="AB2679" s="2" t="str">
        <x:v>2021-10-28 16:11 - 신청
2021-12-07 13:49 - 문서재제출요청
2021-12-21 15:58 - 신청
2022-02-22 13:14 - 문서재제출요청
2022-02-23 11:41 - 신청
2022-04-14 11:05 - 검토승인
2022-04-22 16:30 - 심의승인</x:v>
      </x:c>
    </x:row>
    <x:row r="2680" ht="42" customHeight="1">
      <x:c r="A2680" s="2" t="str">
        <x:v>72465a947bbe9469ad5fc9ea</x:v>
      </x:c>
      <x:c r="B2680" s="2" t="str">
        <x:v>감축량 인증</x:v>
      </x:c>
      <x:c r="C2680" s="2" t="str">
        <x:v>국외</x:v>
      </x:c>
      <x:c r="D2680" s="7" t="str">
        <x:v>대한민국이 지원한 우간다 UpEnergy 고효율 쿡스토브 사업-CPA0040</x:v>
      </x:c>
      <x:c r="E2680" s="2" t="str">
        <x:v>265</x:v>
      </x:c>
      <x:c r="F2680" s="2" t="str">
        <x:v>2021-10-28</x:v>
      </x:c>
      <x:c r="G2680" s="2" t="str">
        <x:v>2021</x:v>
      </x:c>
      <x:c r="H2680" s="2" t="str">
        <x:v>10</x:v>
      </x:c>
      <x:c r="I2680" s="2" t="str">
        <x:v>심의승인</x:v>
      </x:c>
      <x:c r="J2680" s="2" t="str">
        <x:v>심의승인</x:v>
      </x:c>
      <x:c r="K2680" s="2" t="str">
        <x:f>IF(OR(J2680="심의승인",J2680="반려",J2680="반려완료",J2680="심의완료"),"종결 표시",IF(OR(J2680="기후부협의",J2680="문서재제출요청",J2680="보류",J2680="보완요청",J2680="보완완료",J2680="평가중",J2680="반려요청",J2680="평가필요",LEFT(J2680,5)="보완요청("),"미종결 표시","상태 확인 필요"))</x:f>
        <x:v>종결 표시</x:v>
      </x:c>
      <x:c r="L2680" s="2" t="str">
        <x:v>에코시안_기샛별</x:v>
      </x:c>
      <x:c r="M2680" s="2"/>
      <x:c r="N2680" s="8" t="n">
        <x:f>DATE(2026,10,15)-DATE(2021,10,28)</x:f>
        <x:v>1813</x:v>
      </x:c>
      <x:c r="O2680" s="2"/>
      <x:c r="P2680" s="2"/>
      <x:c r="Q2680" s="2" t="str">
        <x:v>산업전환_외부사업관리Tool_260707_이너젠 수정_LJY_261013.xlsx</x:v>
      </x:c>
      <x:c r="R2680" s="2" t="str">
        <x:v>국외인증</x:v>
      </x:c>
      <x:c r="S2680" s="8" t="n">
        <x:v>267</x:v>
      </x:c>
      <x:c r="T2680" s="2" t="str">
        <x:v>(11/2)</x:v>
      </x:c>
      <x:c r="U2680" s="2" t="str">
        <x:v>2021 지정: (11/2) / 2022 지정: (1/18)</x:v>
      </x:c>
      <x:c r="V2680" s="2" t="str">
        <x:v>2022-04-22</x:v>
      </x:c>
      <x:c r="W2680" s="2" t="str"/>
      <x:c r="X2680" s="2" t="str">
        <x:v>종결 근거 보관</x:v>
      </x:c>
      <x:c r="Y2680" s="2" t="str">
        <x:v>ad210cd9ec132cfd447541c8984dc53d30aff0f4fb2dc92d254d49275cc55976</x:v>
      </x:c>
      <x:c r="Z2680" s="2" t="n">
        <x:f>SUBTOTAL(103,A2680)</x:f>
        <x:v>1</x:v>
      </x:c>
      <x:c r="AA2680" s="2" t="str">
        <x:f>IF(K2680&lt;&gt;"미종결 표시","대상 아님",IF(N2680="","신청일 확인",IF(NOT(ISNUMBER('종합 현황'!$H$5)),"관찰기준 확인",IF('종합 현황'!$H$5&lt;1,"관찰기준 확인",IF(N2680&gt;'종합 현황'!$H$5,"내부 관찰 대상","내부 관찰일 이하")))))</x:f>
        <x:v>대상 아님</x:v>
      </x:c>
      <x:c r="AB2680" s="2" t="str">
        <x:v>2021-10-28 16:13 - 신청
2021-12-07 13:49 - 문서재제출요청
2021-12-21 16:07 - 신청
2022-02-22 13:15 - 문서재제출요청
2022-02-23 11:42 - 신청
2022-04-14 11:06 - 검토승인
2022-04-22 16:32 - 심의승인</x:v>
      </x:c>
    </x:row>
    <x:row r="2681" ht="42" customHeight="1">
      <x:c r="A2681" s="2" t="str">
        <x:v>c2faa4f5b1b3ac1fa7a9f8ad</x:v>
      </x:c>
      <x:c r="B2681" s="2" t="str">
        <x:v>감축량 인증</x:v>
      </x:c>
      <x:c r="C2681" s="2" t="str">
        <x:v>국외</x:v>
      </x:c>
      <x:c r="D2681" s="7" t="str">
        <x:v>대한민국이 지원한 우간다 UpEnergy 고효율 쿡스토브 사업-CPA0041</x:v>
      </x:c>
      <x:c r="E2681" s="2" t="str">
        <x:v>266</x:v>
      </x:c>
      <x:c r="F2681" s="2" t="str">
        <x:v>2021-10-28</x:v>
      </x:c>
      <x:c r="G2681" s="2" t="str">
        <x:v>2021</x:v>
      </x:c>
      <x:c r="H2681" s="2" t="str">
        <x:v>10</x:v>
      </x:c>
      <x:c r="I2681" s="2" t="str">
        <x:v>심의승인</x:v>
      </x:c>
      <x:c r="J2681" s="2" t="str">
        <x:v>심의승인</x:v>
      </x:c>
      <x:c r="K2681" s="2" t="str">
        <x:f>IF(OR(J2681="심의승인",J2681="반려",J2681="반려완료",J2681="심의완료"),"종결 표시",IF(OR(J2681="기후부협의",J2681="문서재제출요청",J2681="보류",J2681="보완요청",J2681="보완완료",J2681="평가중",J2681="반려요청",J2681="평가필요",LEFT(J2681,5)="보완요청("),"미종결 표시","상태 확인 필요"))</x:f>
        <x:v>종결 표시</x:v>
      </x:c>
      <x:c r="L2681" s="2" t="str">
        <x:v>에코시안_기샛별</x:v>
      </x:c>
      <x:c r="M2681" s="2"/>
      <x:c r="N2681" s="8" t="n">
        <x:f>DATE(2026,10,15)-DATE(2021,10,28)</x:f>
        <x:v>1813</x:v>
      </x:c>
      <x:c r="O2681" s="2"/>
      <x:c r="P2681" s="2"/>
      <x:c r="Q2681" s="2" t="str">
        <x:v>산업전환_외부사업관리Tool_260707_이너젠 수정_LJY_261013.xlsx</x:v>
      </x:c>
      <x:c r="R2681" s="2" t="str">
        <x:v>국외인증</x:v>
      </x:c>
      <x:c r="S2681" s="8" t="n">
        <x:v>268</x:v>
      </x:c>
      <x:c r="T2681" s="2" t="str">
        <x:v>(11/2)</x:v>
      </x:c>
      <x:c r="U2681" s="2" t="str">
        <x:v>2021 지정: (11/2) / 2022 지정: (1/18)</x:v>
      </x:c>
      <x:c r="V2681" s="2" t="str">
        <x:v>2022-04-22</x:v>
      </x:c>
      <x:c r="W2681" s="2" t="str"/>
      <x:c r="X2681" s="2" t="str">
        <x:v>종결 근거 보관</x:v>
      </x:c>
      <x:c r="Y2681" s="2" t="str">
        <x:v>ad210cd9ec132cfd447541c8984dc53d30aff0f4fb2dc92d254d49275cc55976</x:v>
      </x:c>
      <x:c r="Z2681" s="2" t="n">
        <x:f>SUBTOTAL(103,A2681)</x:f>
        <x:v>1</x:v>
      </x:c>
      <x:c r="AA2681" s="2" t="str">
        <x:f>IF(K2681&lt;&gt;"미종결 표시","대상 아님",IF(N2681="","신청일 확인",IF(NOT(ISNUMBER('종합 현황'!$H$5)),"관찰기준 확인",IF('종합 현황'!$H$5&lt;1,"관찰기준 확인",IF(N2681&gt;'종합 현황'!$H$5,"내부 관찰 대상","내부 관찰일 이하")))))</x:f>
        <x:v>대상 아님</x:v>
      </x:c>
      <x:c r="AB2681" s="2" t="str">
        <x:v>2021-10-28 16:16 - 신청
2021-12-07 13:50 - 문서재제출요청
2021-12-21 16:10 - 신청
2022-02-22 13:15 - 문서재제출요청
2022-02-23 11:44 - 신청
2022-04-14 11:07 - 검토승인
2022-04-22 16:33 - 심의승인</x:v>
      </x:c>
    </x:row>
    <x:row r="2682" ht="42" customHeight="1">
      <x:c r="A2682" s="2" t="str">
        <x:v>688f5f49fac21acb05464e18</x:v>
      </x:c>
      <x:c r="B2682" s="2" t="str">
        <x:v>감축량 인증</x:v>
      </x:c>
      <x:c r="C2682" s="2" t="str">
        <x:v>국외</x:v>
      </x:c>
      <x:c r="D2682" s="7" t="str">
        <x:v>대한민국이 지원한 우간다 UpEnergy 고효율 쿡스토브 사업-CPA0042</x:v>
      </x:c>
      <x:c r="E2682" s="2" t="str">
        <x:v>267</x:v>
      </x:c>
      <x:c r="F2682" s="2" t="str">
        <x:v>2021-10-28</x:v>
      </x:c>
      <x:c r="G2682" s="2" t="str">
        <x:v>2021</x:v>
      </x:c>
      <x:c r="H2682" s="2" t="str">
        <x:v>10</x:v>
      </x:c>
      <x:c r="I2682" s="2" t="str">
        <x:v>심의승인</x:v>
      </x:c>
      <x:c r="J2682" s="2" t="str">
        <x:v>심의승인</x:v>
      </x:c>
      <x:c r="K2682" s="2" t="str">
        <x:f>IF(OR(J2682="심의승인",J2682="반려",J2682="반려완료",J2682="심의완료"),"종결 표시",IF(OR(J2682="기후부협의",J2682="문서재제출요청",J2682="보류",J2682="보완요청",J2682="보완완료",J2682="평가중",J2682="반려요청",J2682="평가필요",LEFT(J2682,5)="보완요청("),"미종결 표시","상태 확인 필요"))</x:f>
        <x:v>종결 표시</x:v>
      </x:c>
      <x:c r="L2682" s="2" t="str">
        <x:v>에코시안_기샛별</x:v>
      </x:c>
      <x:c r="M2682" s="2"/>
      <x:c r="N2682" s="8" t="n">
        <x:f>DATE(2026,10,15)-DATE(2021,10,28)</x:f>
        <x:v>1813</x:v>
      </x:c>
      <x:c r="O2682" s="2"/>
      <x:c r="P2682" s="2"/>
      <x:c r="Q2682" s="2" t="str">
        <x:v>산업전환_외부사업관리Tool_260707_이너젠 수정_LJY_261013.xlsx</x:v>
      </x:c>
      <x:c r="R2682" s="2" t="str">
        <x:v>국외인증</x:v>
      </x:c>
      <x:c r="S2682" s="8" t="n">
        <x:v>269</x:v>
      </x:c>
      <x:c r="T2682" s="2" t="str">
        <x:v>(11/2)</x:v>
      </x:c>
      <x:c r="U2682" s="2" t="str">
        <x:v>2021 지정: (11/2) / 2022 지정: (1/18)</x:v>
      </x:c>
      <x:c r="V2682" s="2" t="str">
        <x:v>2022-04-22</x:v>
      </x:c>
      <x:c r="W2682" s="2" t="str"/>
      <x:c r="X2682" s="2" t="str">
        <x:v>종결 근거 보관</x:v>
      </x:c>
      <x:c r="Y2682" s="2" t="str">
        <x:v>ad210cd9ec132cfd447541c8984dc53d30aff0f4fb2dc92d254d49275cc55976</x:v>
      </x:c>
      <x:c r="Z2682" s="2" t="n">
        <x:f>SUBTOTAL(103,A2682)</x:f>
        <x:v>1</x:v>
      </x:c>
      <x:c r="AA2682" s="2" t="str">
        <x:f>IF(K2682&lt;&gt;"미종결 표시","대상 아님",IF(N2682="","신청일 확인",IF(NOT(ISNUMBER('종합 현황'!$H$5)),"관찰기준 확인",IF('종합 현황'!$H$5&lt;1,"관찰기준 확인",IF(N2682&gt;'종합 현황'!$H$5,"내부 관찰 대상","내부 관찰일 이하")))))</x:f>
        <x:v>대상 아님</x:v>
      </x:c>
      <x:c r="AB2682" s="2" t="str">
        <x:v>2021-10-28 16:18 - 신청
2021-12-07 13:50 - 문서재제출요청
2021-12-21 16:13 - 신청
2022-02-22 13:16 - 문서재제출요청
2022-02-23 11:45 - 신청
2022-04-14 11:08 - 검토승인
2022-04-22 16:34 - 심의승인</x:v>
      </x:c>
    </x:row>
    <x:row r="2683" ht="42" customHeight="1">
      <x:c r="A2683" s="2" t="str">
        <x:v>18c0b202c72254a96d7e34f1</x:v>
      </x:c>
      <x:c r="B2683" s="2" t="str">
        <x:v>감축량 인증</x:v>
      </x:c>
      <x:c r="C2683" s="2" t="str">
        <x:v>국외</x:v>
      </x:c>
      <x:c r="D2683" s="7" t="str">
        <x:v>대한민국이 지원한 우간다 UpEnergy 고효율 쿡스토브 사업-CPA0043</x:v>
      </x:c>
      <x:c r="E2683" s="2" t="str">
        <x:v>268</x:v>
      </x:c>
      <x:c r="F2683" s="2" t="str">
        <x:v>2021-10-28</x:v>
      </x:c>
      <x:c r="G2683" s="2" t="str">
        <x:v>2021</x:v>
      </x:c>
      <x:c r="H2683" s="2" t="str">
        <x:v>10</x:v>
      </x:c>
      <x:c r="I2683" s="2" t="str">
        <x:v>심의승인</x:v>
      </x:c>
      <x:c r="J2683" s="2" t="str">
        <x:v>심의승인</x:v>
      </x:c>
      <x:c r="K2683" s="2" t="str">
        <x:f>IF(OR(J2683="심의승인",J2683="반려",J2683="반려완료",J2683="심의완료"),"종결 표시",IF(OR(J2683="기후부협의",J2683="문서재제출요청",J2683="보류",J2683="보완요청",J2683="보완완료",J2683="평가중",J2683="반려요청",J2683="평가필요",LEFT(J2683,5)="보완요청("),"미종결 표시","상태 확인 필요"))</x:f>
        <x:v>종결 표시</x:v>
      </x:c>
      <x:c r="L2683" s="2" t="str">
        <x:v>에코시안_기샛별</x:v>
      </x:c>
      <x:c r="M2683" s="2"/>
      <x:c r="N2683" s="8" t="n">
        <x:f>DATE(2026,10,15)-DATE(2021,10,28)</x:f>
        <x:v>1813</x:v>
      </x:c>
      <x:c r="O2683" s="2"/>
      <x:c r="P2683" s="2"/>
      <x:c r="Q2683" s="2" t="str">
        <x:v>산업전환_외부사업관리Tool_260707_이너젠 수정_LJY_261013.xlsx</x:v>
      </x:c>
      <x:c r="R2683" s="2" t="str">
        <x:v>국외인증</x:v>
      </x:c>
      <x:c r="S2683" s="8" t="n">
        <x:v>270</x:v>
      </x:c>
      <x:c r="T2683" s="2" t="str">
        <x:v>(11/2)</x:v>
      </x:c>
      <x:c r="U2683" s="2" t="str">
        <x:v>2021 지정: (11/2) / 2022 지정: (1/18)</x:v>
      </x:c>
      <x:c r="V2683" s="2" t="str">
        <x:v>2022-04-22</x:v>
      </x:c>
      <x:c r="W2683" s="2" t="str"/>
      <x:c r="X2683" s="2" t="str">
        <x:v>종결 근거 보관</x:v>
      </x:c>
      <x:c r="Y2683" s="2" t="str">
        <x:v>ad210cd9ec132cfd447541c8984dc53d30aff0f4fb2dc92d254d49275cc55976</x:v>
      </x:c>
      <x:c r="Z2683" s="2" t="n">
        <x:f>SUBTOTAL(103,A2683)</x:f>
        <x:v>1</x:v>
      </x:c>
      <x:c r="AA2683" s="2" t="str">
        <x:f>IF(K2683&lt;&gt;"미종결 표시","대상 아님",IF(N2683="","신청일 확인",IF(NOT(ISNUMBER('종합 현황'!$H$5)),"관찰기준 확인",IF('종합 현황'!$H$5&lt;1,"관찰기준 확인",IF(N2683&gt;'종합 현황'!$H$5,"내부 관찰 대상","내부 관찰일 이하")))))</x:f>
        <x:v>대상 아님</x:v>
      </x:c>
      <x:c r="AB2683" s="2" t="str">
        <x:v>2021-10-28 16:20 - 신청
2021-12-07 13:51 - 문서재제출요청
2021-12-21 16:16 - 신청
2022-02-22 13:17 - 문서재제출요청
2022-02-23 11:46 - 신청
2022-04-14 11:08 - 검토승인
2022-04-22 16:35 - 심의승인</x:v>
      </x:c>
    </x:row>
    <x:row r="2684" ht="42" customHeight="1">
      <x:c r="A2684" s="2" t="str">
        <x:v>cce33b5fd99f2737b8f00584</x:v>
      </x:c>
      <x:c r="B2684" s="2" t="str">
        <x:v>감축량 인증</x:v>
      </x:c>
      <x:c r="C2684" s="2" t="str">
        <x:v>국외</x:v>
      </x:c>
      <x:c r="D2684" s="7" t="str">
        <x:v>대한민국이 지원한 우간다 UpEnergy 고효율 쿡스토브 사업-CPA0044</x:v>
      </x:c>
      <x:c r="E2684" s="2" t="str">
        <x:v>269</x:v>
      </x:c>
      <x:c r="F2684" s="2" t="str">
        <x:v>2021-10-28</x:v>
      </x:c>
      <x:c r="G2684" s="2" t="str">
        <x:v>2021</x:v>
      </x:c>
      <x:c r="H2684" s="2" t="str">
        <x:v>10</x:v>
      </x:c>
      <x:c r="I2684" s="2" t="str">
        <x:v>심의승인</x:v>
      </x:c>
      <x:c r="J2684" s="2" t="str">
        <x:v>심의승인</x:v>
      </x:c>
      <x:c r="K2684" s="2" t="str">
        <x:f>IF(OR(J2684="심의승인",J2684="반려",J2684="반려완료",J2684="심의완료"),"종결 표시",IF(OR(J2684="기후부협의",J2684="문서재제출요청",J2684="보류",J2684="보완요청",J2684="보완완료",J2684="평가중",J2684="반려요청",J2684="평가필요",LEFT(J2684,5)="보완요청("),"미종결 표시","상태 확인 필요"))</x:f>
        <x:v>종결 표시</x:v>
      </x:c>
      <x:c r="L2684" s="2" t="str">
        <x:v>에코시안_기샛별</x:v>
      </x:c>
      <x:c r="M2684" s="2"/>
      <x:c r="N2684" s="8" t="n">
        <x:f>DATE(2026,10,15)-DATE(2021,10,28)</x:f>
        <x:v>1813</x:v>
      </x:c>
      <x:c r="O2684" s="2"/>
      <x:c r="P2684" s="2"/>
      <x:c r="Q2684" s="2" t="str">
        <x:v>산업전환_외부사업관리Tool_260707_이너젠 수정_LJY_261013.xlsx</x:v>
      </x:c>
      <x:c r="R2684" s="2" t="str">
        <x:v>국외인증</x:v>
      </x:c>
      <x:c r="S2684" s="8" t="n">
        <x:v>271</x:v>
      </x:c>
      <x:c r="T2684" s="2" t="str">
        <x:v>(11/2)</x:v>
      </x:c>
      <x:c r="U2684" s="2" t="str">
        <x:v>2021 지정: (11/2) / 2022 지정: (1/18)</x:v>
      </x:c>
      <x:c r="V2684" s="2" t="str">
        <x:v>2022-04-22</x:v>
      </x:c>
      <x:c r="W2684" s="2" t="str"/>
      <x:c r="X2684" s="2" t="str">
        <x:v>종결 근거 보관</x:v>
      </x:c>
      <x:c r="Y2684" s="2" t="str">
        <x:v>ad210cd9ec132cfd447541c8984dc53d30aff0f4fb2dc92d254d49275cc55976</x:v>
      </x:c>
      <x:c r="Z2684" s="2" t="n">
        <x:f>SUBTOTAL(103,A2684)</x:f>
        <x:v>1</x:v>
      </x:c>
      <x:c r="AA2684" s="2" t="str">
        <x:f>IF(K2684&lt;&gt;"미종결 표시","대상 아님",IF(N2684="","신청일 확인",IF(NOT(ISNUMBER('종합 현황'!$H$5)),"관찰기준 확인",IF('종합 현황'!$H$5&lt;1,"관찰기준 확인",IF(N2684&gt;'종합 현황'!$H$5,"내부 관찰 대상","내부 관찰일 이하")))))</x:f>
        <x:v>대상 아님</x:v>
      </x:c>
      <x:c r="AB2684" s="2" t="str">
        <x:v>2021-10-28 16:23 - 신청
2021-12-07 13:51 - 문서재제출요청
2021-12-21 16:21 - 신청
2022-02-22 13:17 - 문서재제출요청
2022-02-23 11:48 - 신청
2022-04-14 11:09 - 검토승인
2022-04-22 16:36 - 심의승인</x:v>
      </x:c>
    </x:row>
    <x:row r="2685" ht="42" customHeight="1">
      <x:c r="A2685" s="2" t="str">
        <x:v>d0288c2f4ed72be436bc2f43</x:v>
      </x:c>
      <x:c r="B2685" s="2" t="str">
        <x:v>감축량 인증</x:v>
      </x:c>
      <x:c r="C2685" s="2" t="str">
        <x:v>국외</x:v>
      </x:c>
      <x:c r="D2685" s="7" t="str">
        <x:v>대한민국이 지원한 우간다 UpEnergy 고효율 쿡스토브 사업-CPA0045</x:v>
      </x:c>
      <x:c r="E2685" s="2" t="str">
        <x:v>270</x:v>
      </x:c>
      <x:c r="F2685" s="2" t="str">
        <x:v>2021-10-28</x:v>
      </x:c>
      <x:c r="G2685" s="2" t="str">
        <x:v>2021</x:v>
      </x:c>
      <x:c r="H2685" s="2" t="str">
        <x:v>10</x:v>
      </x:c>
      <x:c r="I2685" s="2" t="str">
        <x:v>심의승인</x:v>
      </x:c>
      <x:c r="J2685" s="2" t="str">
        <x:v>심의승인</x:v>
      </x:c>
      <x:c r="K2685" s="2" t="str">
        <x:f>IF(OR(J2685="심의승인",J2685="반려",J2685="반려완료",J2685="심의완료"),"종결 표시",IF(OR(J2685="기후부협의",J2685="문서재제출요청",J2685="보류",J2685="보완요청",J2685="보완완료",J2685="평가중",J2685="반려요청",J2685="평가필요",LEFT(J2685,5)="보완요청("),"미종결 표시","상태 확인 필요"))</x:f>
        <x:v>종결 표시</x:v>
      </x:c>
      <x:c r="L2685" s="2" t="str">
        <x:v>에코시안_기샛별</x:v>
      </x:c>
      <x:c r="M2685" s="2"/>
      <x:c r="N2685" s="8" t="n">
        <x:f>DATE(2026,10,15)-DATE(2021,10,28)</x:f>
        <x:v>1813</x:v>
      </x:c>
      <x:c r="O2685" s="2"/>
      <x:c r="P2685" s="2"/>
      <x:c r="Q2685" s="2" t="str">
        <x:v>산업전환_외부사업관리Tool_260707_이너젠 수정_LJY_261013.xlsx</x:v>
      </x:c>
      <x:c r="R2685" s="2" t="str">
        <x:v>국외인증</x:v>
      </x:c>
      <x:c r="S2685" s="8" t="n">
        <x:v>272</x:v>
      </x:c>
      <x:c r="T2685" s="2" t="str">
        <x:v>(11/2)</x:v>
      </x:c>
      <x:c r="U2685" s="2" t="str">
        <x:v>2021 지정: (11/2) / 2022 지정: (1/18)</x:v>
      </x:c>
      <x:c r="V2685" s="2" t="str">
        <x:v>2022-04-22</x:v>
      </x:c>
      <x:c r="W2685" s="2" t="str"/>
      <x:c r="X2685" s="2" t="str">
        <x:v>종결 근거 보관</x:v>
      </x:c>
      <x:c r="Y2685" s="2" t="str">
        <x:v>ad210cd9ec132cfd447541c8984dc53d30aff0f4fb2dc92d254d49275cc55976</x:v>
      </x:c>
      <x:c r="Z2685" s="2" t="n">
        <x:f>SUBTOTAL(103,A2685)</x:f>
        <x:v>1</x:v>
      </x:c>
      <x:c r="AA2685" s="2" t="str">
        <x:f>IF(K2685&lt;&gt;"미종결 표시","대상 아님",IF(N2685="","신청일 확인",IF(NOT(ISNUMBER('종합 현황'!$H$5)),"관찰기준 확인",IF('종합 현황'!$H$5&lt;1,"관찰기준 확인",IF(N2685&gt;'종합 현황'!$H$5,"내부 관찰 대상","내부 관찰일 이하")))))</x:f>
        <x:v>대상 아님</x:v>
      </x:c>
      <x:c r="AB2685" s="2" t="str">
        <x:v>2021-10-28 16:25 - 신청
2021-12-07 13:53 - 문서재제출요청
2021-12-21 16:24 - 신청
2022-02-22 13:18 - 문서재제출요청
2022-02-23 11:49 - 신청
2022-04-14 11:10 - 검토승인
2022-04-22 16:38 - 심의승인</x:v>
      </x:c>
    </x:row>
    <x:row r="2686" ht="42" customHeight="1">
      <x:c r="A2686" s="2" t="str">
        <x:v>3fe7a262273986ae20984cc5</x:v>
      </x:c>
      <x:c r="B2686" s="2" t="str">
        <x:v>감축량 인증</x:v>
      </x:c>
      <x:c r="C2686" s="2" t="str">
        <x:v>국외</x:v>
      </x:c>
      <x:c r="D2686" s="7" t="str">
        <x:v>대한민국이 지원한 우간다 UpEnergy 고효율 쿡스토브 사업-CPA0024</x:v>
      </x:c>
      <x:c r="E2686" s="2" t="str">
        <x:v>271</x:v>
      </x:c>
      <x:c r="F2686" s="2" t="str">
        <x:v>2021-10-28</x:v>
      </x:c>
      <x:c r="G2686" s="2" t="str">
        <x:v>2021</x:v>
      </x:c>
      <x:c r="H2686" s="2" t="str">
        <x:v>10</x:v>
      </x:c>
      <x:c r="I2686" s="2" t="str">
        <x:v>심의승인</x:v>
      </x:c>
      <x:c r="J2686" s="2" t="str">
        <x:v>심의승인</x:v>
      </x:c>
      <x:c r="K2686" s="2" t="str">
        <x:f>IF(OR(J2686="심의승인",J2686="반려",J2686="반려완료",J2686="심의완료"),"종결 표시",IF(OR(J2686="기후부협의",J2686="문서재제출요청",J2686="보류",J2686="보완요청",J2686="보완완료",J2686="평가중",J2686="반려요청",J2686="평가필요",LEFT(J2686,5)="보완요청("),"미종결 표시","상태 확인 필요"))</x:f>
        <x:v>종결 표시</x:v>
      </x:c>
      <x:c r="L2686" s="2" t="str">
        <x:v>에코시안_기샛별</x:v>
      </x:c>
      <x:c r="M2686" s="2"/>
      <x:c r="N2686" s="8" t="n">
        <x:f>DATE(2026,10,15)-DATE(2021,10,28)</x:f>
        <x:v>1813</x:v>
      </x:c>
      <x:c r="O2686" s="2"/>
      <x:c r="P2686" s="2"/>
      <x:c r="Q2686" s="2" t="str">
        <x:v>산업전환_외부사업관리Tool_260707_이너젠 수정_LJY_261013.xlsx</x:v>
      </x:c>
      <x:c r="R2686" s="2" t="str">
        <x:v>국외인증</x:v>
      </x:c>
      <x:c r="S2686" s="8" t="n">
        <x:v>273</x:v>
      </x:c>
      <x:c r="T2686" s="2" t="str">
        <x:v>(11/2)</x:v>
      </x:c>
      <x:c r="U2686" s="2" t="str">
        <x:v>2021 지정: (11/2) / 2022 지정: (1/18)</x:v>
      </x:c>
      <x:c r="V2686" s="2" t="str">
        <x:v>2022-04-22</x:v>
      </x:c>
      <x:c r="W2686" s="2" t="str"/>
      <x:c r="X2686" s="2" t="str">
        <x:v>종결 근거 보관</x:v>
      </x:c>
      <x:c r="Y2686" s="2" t="str">
        <x:v>ad210cd9ec132cfd447541c8984dc53d30aff0f4fb2dc92d254d49275cc55976</x:v>
      </x:c>
      <x:c r="Z2686" s="2" t="n">
        <x:f>SUBTOTAL(103,A2686)</x:f>
        <x:v>1</x:v>
      </x:c>
      <x:c r="AA2686" s="2" t="str">
        <x:f>IF(K2686&lt;&gt;"미종결 표시","대상 아님",IF(N2686="","신청일 확인",IF(NOT(ISNUMBER('종합 현황'!$H$5)),"관찰기준 확인",IF('종합 현황'!$H$5&lt;1,"관찰기준 확인",IF(N2686&gt;'종합 현황'!$H$5,"내부 관찰 대상","내부 관찰일 이하")))))</x:f>
        <x:v>대상 아님</x:v>
      </x:c>
      <x:c r="AB2686" s="2" t="str">
        <x:v>2021-10-28 19:21 - 신청
2021-12-07 13:54 - 문서재제출요청
2021-12-21 16:29 - 신청
2022-02-18 18:14 - 문서재제출요청
2022-02-23 11:54 - 신청
2022-04-14 11:11 - 검토승인
2022-04-22 16:48 - 심의승인</x:v>
      </x:c>
    </x:row>
    <x:row r="2687" ht="42" customHeight="1">
      <x:c r="A2687" s="2" t="str">
        <x:v>d87af1ee6c72471e3b8aef26</x:v>
      </x:c>
      <x:c r="B2687" s="2" t="str">
        <x:v>감축량 인증</x:v>
      </x:c>
      <x:c r="C2687" s="2" t="str">
        <x:v>국외</x:v>
      </x:c>
      <x:c r="D2687" s="7" t="str">
        <x:v>대한민국이 지원한 우간다 UpEnergy 고효율 쿡스토브 사업-CPA0025</x:v>
      </x:c>
      <x:c r="E2687" s="2" t="str">
        <x:v>272</x:v>
      </x:c>
      <x:c r="F2687" s="2" t="str">
        <x:v>2021-10-28</x:v>
      </x:c>
      <x:c r="G2687" s="2" t="str">
        <x:v>2021</x:v>
      </x:c>
      <x:c r="H2687" s="2" t="str">
        <x:v>10</x:v>
      </x:c>
      <x:c r="I2687" s="2" t="str">
        <x:v>심의승인</x:v>
      </x:c>
      <x:c r="J2687" s="2" t="str">
        <x:v>심의승인</x:v>
      </x:c>
      <x:c r="K2687" s="2" t="str">
        <x:f>IF(OR(J2687="심의승인",J2687="반려",J2687="반려완료",J2687="심의완료"),"종결 표시",IF(OR(J2687="기후부협의",J2687="문서재제출요청",J2687="보류",J2687="보완요청",J2687="보완완료",J2687="평가중",J2687="반려요청",J2687="평가필요",LEFT(J2687,5)="보완요청("),"미종결 표시","상태 확인 필요"))</x:f>
        <x:v>종결 표시</x:v>
      </x:c>
      <x:c r="L2687" s="2" t="str">
        <x:v>에코시안_기샛별</x:v>
      </x:c>
      <x:c r="M2687" s="2"/>
      <x:c r="N2687" s="8" t="n">
        <x:f>DATE(2026,10,15)-DATE(2021,10,28)</x:f>
        <x:v>1813</x:v>
      </x:c>
      <x:c r="O2687" s="2"/>
      <x:c r="P2687" s="2"/>
      <x:c r="Q2687" s="2" t="str">
        <x:v>산업전환_외부사업관리Tool_260707_이너젠 수정_LJY_261013.xlsx</x:v>
      </x:c>
      <x:c r="R2687" s="2" t="str">
        <x:v>국외인증</x:v>
      </x:c>
      <x:c r="S2687" s="8" t="n">
        <x:v>274</x:v>
      </x:c>
      <x:c r="T2687" s="2" t="str">
        <x:v>(11/2)</x:v>
      </x:c>
      <x:c r="U2687" s="2" t="str">
        <x:v>2021 지정: (11/2) / 2022 지정: (1/18)</x:v>
      </x:c>
      <x:c r="V2687" s="2" t="str">
        <x:v>2022-04-22</x:v>
      </x:c>
      <x:c r="W2687" s="2" t="str"/>
      <x:c r="X2687" s="2" t="str">
        <x:v>종결 근거 보관</x:v>
      </x:c>
      <x:c r="Y2687" s="2" t="str">
        <x:v>ad210cd9ec132cfd447541c8984dc53d30aff0f4fb2dc92d254d49275cc55976</x:v>
      </x:c>
      <x:c r="Z2687" s="2" t="n">
        <x:f>SUBTOTAL(103,A2687)</x:f>
        <x:v>1</x:v>
      </x:c>
      <x:c r="AA2687" s="2" t="str">
        <x:f>IF(K2687&lt;&gt;"미종결 표시","대상 아님",IF(N2687="","신청일 확인",IF(NOT(ISNUMBER('종합 현황'!$H$5)),"관찰기준 확인",IF('종합 현황'!$H$5&lt;1,"관찰기준 확인",IF(N2687&gt;'종합 현황'!$H$5,"내부 관찰 대상","내부 관찰일 이하")))))</x:f>
        <x:v>대상 아님</x:v>
      </x:c>
      <x:c r="AB2687" s="2" t="str">
        <x:v>2021-10-28 19:24 - 신청
2021-12-07 13:54 - 문서재제출요청
2021-12-21 16:34 - 신청
2022-02-18 18:15 - 문서재제출요청
2022-02-23 11:55 - 신청
2022-04-14 11:12 - 검토승인
2022-04-22 16:49 - 심의승인</x:v>
      </x:c>
    </x:row>
    <x:row r="2688" ht="42" customHeight="1">
      <x:c r="A2688" s="2" t="str">
        <x:v>10054a39a6ecf2d8e9296f1d</x:v>
      </x:c>
      <x:c r="B2688" s="2" t="str">
        <x:v>감축량 인증</x:v>
      </x:c>
      <x:c r="C2688" s="2" t="str">
        <x:v>국외</x:v>
      </x:c>
      <x:c r="D2688" s="7" t="str">
        <x:v>대한민국이 지원한 우간다 UpEnergy 고효율 쿡스토브 사업-CPA0026</x:v>
      </x:c>
      <x:c r="E2688" s="2" t="str">
        <x:v>273</x:v>
      </x:c>
      <x:c r="F2688" s="2" t="str">
        <x:v>2021-10-28</x:v>
      </x:c>
      <x:c r="G2688" s="2" t="str">
        <x:v>2021</x:v>
      </x:c>
      <x:c r="H2688" s="2" t="str">
        <x:v>10</x:v>
      </x:c>
      <x:c r="I2688" s="2" t="str">
        <x:v>심의승인</x:v>
      </x:c>
      <x:c r="J2688" s="2" t="str">
        <x:v>심의승인</x:v>
      </x:c>
      <x:c r="K2688" s="2" t="str">
        <x:f>IF(OR(J2688="심의승인",J2688="반려",J2688="반려완료",J2688="심의완료"),"종결 표시",IF(OR(J2688="기후부협의",J2688="문서재제출요청",J2688="보류",J2688="보완요청",J2688="보완완료",J2688="평가중",J2688="반려요청",J2688="평가필요",LEFT(J2688,5)="보완요청("),"미종결 표시","상태 확인 필요"))</x:f>
        <x:v>종결 표시</x:v>
      </x:c>
      <x:c r="L2688" s="2" t="str">
        <x:v>에코시안_기샛별</x:v>
      </x:c>
      <x:c r="M2688" s="2"/>
      <x:c r="N2688" s="8" t="n">
        <x:f>DATE(2026,10,15)-DATE(2021,10,28)</x:f>
        <x:v>1813</x:v>
      </x:c>
      <x:c r="O2688" s="2"/>
      <x:c r="P2688" s="2"/>
      <x:c r="Q2688" s="2" t="str">
        <x:v>산업전환_외부사업관리Tool_260707_이너젠 수정_LJY_261013.xlsx</x:v>
      </x:c>
      <x:c r="R2688" s="2" t="str">
        <x:v>국외인증</x:v>
      </x:c>
      <x:c r="S2688" s="8" t="n">
        <x:v>275</x:v>
      </x:c>
      <x:c r="T2688" s="2" t="str">
        <x:v>(11/2)</x:v>
      </x:c>
      <x:c r="U2688" s="2" t="str">
        <x:v>2021 지정: (11/2) / 2022 지정: (1/18)</x:v>
      </x:c>
      <x:c r="V2688" s="2" t="str">
        <x:v>2022-04-22</x:v>
      </x:c>
      <x:c r="W2688" s="2" t="str"/>
      <x:c r="X2688" s="2" t="str">
        <x:v>종결 근거 보관</x:v>
      </x:c>
      <x:c r="Y2688" s="2" t="str">
        <x:v>ad210cd9ec132cfd447541c8984dc53d30aff0f4fb2dc92d254d49275cc55976</x:v>
      </x:c>
      <x:c r="Z2688" s="2" t="n">
        <x:f>SUBTOTAL(103,A2688)</x:f>
        <x:v>1</x:v>
      </x:c>
      <x:c r="AA2688" s="2" t="str">
        <x:f>IF(K2688&lt;&gt;"미종결 표시","대상 아님",IF(N2688="","신청일 확인",IF(NOT(ISNUMBER('종합 현황'!$H$5)),"관찰기준 확인",IF('종합 현황'!$H$5&lt;1,"관찰기준 확인",IF(N2688&gt;'종합 현황'!$H$5,"내부 관찰 대상","내부 관찰일 이하")))))</x:f>
        <x:v>대상 아님</x:v>
      </x:c>
      <x:c r="AB2688" s="2" t="str">
        <x:v>2021-10-28 19:27 - 신청
2021-12-07 13:55 - 문서재제출요청
2021-12-21 16:45 - 신청
2022-02-22 13:06 - 문서재제출요청
2022-02-23 11:57 - 신청
2022-04-14 11:13 - 검토승인
2022-04-22 16:50 - 심의승인</x:v>
      </x:c>
    </x:row>
    <x:row r="2689" ht="42" customHeight="1">
      <x:c r="A2689" s="2" t="str">
        <x:v>7225e6fdfb377354947fb88d</x:v>
      </x:c>
      <x:c r="B2689" s="2" t="str">
        <x:v>감축량 인증</x:v>
      </x:c>
      <x:c r="C2689" s="2" t="str">
        <x:v>국외</x:v>
      </x:c>
      <x:c r="D2689" s="7" t="str">
        <x:v>대한민국이 지원한 우간다 UpEnergy 고효율 쿡스토브 사업-CPA0027</x:v>
      </x:c>
      <x:c r="E2689" s="2" t="str">
        <x:v>274</x:v>
      </x:c>
      <x:c r="F2689" s="2" t="str">
        <x:v>2021-10-28</x:v>
      </x:c>
      <x:c r="G2689" s="2" t="str">
        <x:v>2021</x:v>
      </x:c>
      <x:c r="H2689" s="2" t="str">
        <x:v>10</x:v>
      </x:c>
      <x:c r="I2689" s="2" t="str">
        <x:v>심의승인</x:v>
      </x:c>
      <x:c r="J2689" s="2" t="str">
        <x:v>심의승인</x:v>
      </x:c>
      <x:c r="K2689" s="2" t="str">
        <x:f>IF(OR(J2689="심의승인",J2689="반려",J2689="반려완료",J2689="심의완료"),"종결 표시",IF(OR(J2689="기후부협의",J2689="문서재제출요청",J2689="보류",J2689="보완요청",J2689="보완완료",J2689="평가중",J2689="반려요청",J2689="평가필요",LEFT(J2689,5)="보완요청("),"미종결 표시","상태 확인 필요"))</x:f>
        <x:v>종결 표시</x:v>
      </x:c>
      <x:c r="L2689" s="2" t="str">
        <x:v>에코시안_기샛별</x:v>
      </x:c>
      <x:c r="M2689" s="2"/>
      <x:c r="N2689" s="8" t="n">
        <x:f>DATE(2026,10,15)-DATE(2021,10,28)</x:f>
        <x:v>1813</x:v>
      </x:c>
      <x:c r="O2689" s="2"/>
      <x:c r="P2689" s="2"/>
      <x:c r="Q2689" s="2" t="str">
        <x:v>산업전환_외부사업관리Tool_260707_이너젠 수정_LJY_261013.xlsx</x:v>
      </x:c>
      <x:c r="R2689" s="2" t="str">
        <x:v>국외인증</x:v>
      </x:c>
      <x:c r="S2689" s="8" t="n">
        <x:v>276</x:v>
      </x:c>
      <x:c r="T2689" s="2" t="str">
        <x:v>(11/2)</x:v>
      </x:c>
      <x:c r="U2689" s="2" t="str">
        <x:v>2021 지정: (11/2) / 2022 지정: (1/18)</x:v>
      </x:c>
      <x:c r="V2689" s="2" t="str">
        <x:v>2022-04-22</x:v>
      </x:c>
      <x:c r="W2689" s="2" t="str"/>
      <x:c r="X2689" s="2" t="str">
        <x:v>종결 근거 보관</x:v>
      </x:c>
      <x:c r="Y2689" s="2" t="str">
        <x:v>ad210cd9ec132cfd447541c8984dc53d30aff0f4fb2dc92d254d49275cc55976</x:v>
      </x:c>
      <x:c r="Z2689" s="2" t="n">
        <x:f>SUBTOTAL(103,A2689)</x:f>
        <x:v>1</x:v>
      </x:c>
      <x:c r="AA2689" s="2" t="str">
        <x:f>IF(K2689&lt;&gt;"미종결 표시","대상 아님",IF(N2689="","신청일 확인",IF(NOT(ISNUMBER('종합 현황'!$H$5)),"관찰기준 확인",IF('종합 현황'!$H$5&lt;1,"관찰기준 확인",IF(N2689&gt;'종합 현황'!$H$5,"내부 관찰 대상","내부 관찰일 이하")))))</x:f>
        <x:v>대상 아님</x:v>
      </x:c>
      <x:c r="AB2689" s="2" t="str">
        <x:v>2021-10-28 19:29 - 신청
2021-12-07 13:55 - 문서재제출요청
2021-12-21 16:48 - 신청
2022-02-22 13:07 - 문서재제출요청
2022-02-23 11:58 - 신청
2022-04-14 11:16 - 검토승인
2022-04-22 16:51 - 심의승인</x:v>
      </x:c>
    </x:row>
    <x:row r="2690" ht="42" customHeight="1">
      <x:c r="A2690" s="2" t="str">
        <x:v>5ee393b36faf238882ba508f</x:v>
      </x:c>
      <x:c r="B2690" s="2" t="str">
        <x:v>감축량 인증</x:v>
      </x:c>
      <x:c r="C2690" s="2" t="str">
        <x:v>국외</x:v>
      </x:c>
      <x:c r="D2690" s="7" t="str">
        <x:v>대한민국이 지원한 우간다 UpEnergy 고효율 쿡스토브 사업-CPA0028</x:v>
      </x:c>
      <x:c r="E2690" s="2" t="str">
        <x:v>275</x:v>
      </x:c>
      <x:c r="F2690" s="2" t="str">
        <x:v>2021-10-28</x:v>
      </x:c>
      <x:c r="G2690" s="2" t="str">
        <x:v>2021</x:v>
      </x:c>
      <x:c r="H2690" s="2" t="str">
        <x:v>10</x:v>
      </x:c>
      <x:c r="I2690" s="2" t="str">
        <x:v>심의승인</x:v>
      </x:c>
      <x:c r="J2690" s="2" t="str">
        <x:v>심의승인</x:v>
      </x:c>
      <x:c r="K2690" s="2" t="str">
        <x:f>IF(OR(J2690="심의승인",J2690="반려",J2690="반려완료",J2690="심의완료"),"종결 표시",IF(OR(J2690="기후부협의",J2690="문서재제출요청",J2690="보류",J2690="보완요청",J2690="보완완료",J2690="평가중",J2690="반려요청",J2690="평가필요",LEFT(J2690,5)="보완요청("),"미종결 표시","상태 확인 필요"))</x:f>
        <x:v>종결 표시</x:v>
      </x:c>
      <x:c r="L2690" s="2" t="str">
        <x:v>에코시안_기샛별</x:v>
      </x:c>
      <x:c r="M2690" s="2"/>
      <x:c r="N2690" s="8" t="n">
        <x:f>DATE(2026,10,15)-DATE(2021,10,28)</x:f>
        <x:v>1813</x:v>
      </x:c>
      <x:c r="O2690" s="2"/>
      <x:c r="P2690" s="2"/>
      <x:c r="Q2690" s="2" t="str">
        <x:v>산업전환_외부사업관리Tool_260707_이너젠 수정_LJY_261013.xlsx</x:v>
      </x:c>
      <x:c r="R2690" s="2" t="str">
        <x:v>국외인증</x:v>
      </x:c>
      <x:c r="S2690" s="8" t="n">
        <x:v>277</x:v>
      </x:c>
      <x:c r="T2690" s="2" t="str">
        <x:v>(11/2)</x:v>
      </x:c>
      <x:c r="U2690" s="2" t="str">
        <x:v>2021 지정: (11/2) / 2022 지정: (1/18)</x:v>
      </x:c>
      <x:c r="V2690" s="2" t="str">
        <x:v>2022-04-22</x:v>
      </x:c>
      <x:c r="W2690" s="2" t="str"/>
      <x:c r="X2690" s="2" t="str">
        <x:v>종결 근거 보관</x:v>
      </x:c>
      <x:c r="Y2690" s="2" t="str">
        <x:v>ad210cd9ec132cfd447541c8984dc53d30aff0f4fb2dc92d254d49275cc55976</x:v>
      </x:c>
      <x:c r="Z2690" s="2" t="n">
        <x:f>SUBTOTAL(103,A2690)</x:f>
        <x:v>1</x:v>
      </x:c>
      <x:c r="AA2690" s="2" t="str">
        <x:f>IF(K2690&lt;&gt;"미종결 표시","대상 아님",IF(N2690="","신청일 확인",IF(NOT(ISNUMBER('종합 현황'!$H$5)),"관찰기준 확인",IF('종합 현황'!$H$5&lt;1,"관찰기준 확인",IF(N2690&gt;'종합 현황'!$H$5,"내부 관찰 대상","내부 관찰일 이하")))))</x:f>
        <x:v>대상 아님</x:v>
      </x:c>
      <x:c r="AB2690" s="2" t="str">
        <x:v>2021-10-28 19:36 - 신청
2021-12-07 13:55 - 문서재제출요청
2021-12-21 16:51 - 신청
2022-02-22 13:08 - 문서재제출요청
2022-02-23 12:00 - 신청
2022-04-14 11:16 - 검토승인
2022-04-22 16:52 - 심의승인</x:v>
      </x:c>
    </x:row>
    <x:row r="2691" ht="42" customHeight="1">
      <x:c r="A2691" s="2" t="str">
        <x:v>ec2f6b98df540a7124af6305</x:v>
      </x:c>
      <x:c r="B2691" s="2" t="str">
        <x:v>감축량 인증</x:v>
      </x:c>
      <x:c r="C2691" s="2" t="str">
        <x:v>국외</x:v>
      </x:c>
      <x:c r="D2691" s="7" t="str">
        <x:v>대한민국이 지원한 우간다 UpEnergy 고효율 쿡스토브 사업-CPA0029</x:v>
      </x:c>
      <x:c r="E2691" s="2" t="str">
        <x:v>276</x:v>
      </x:c>
      <x:c r="F2691" s="2" t="str">
        <x:v>2021-10-28</x:v>
      </x:c>
      <x:c r="G2691" s="2" t="str">
        <x:v>2021</x:v>
      </x:c>
      <x:c r="H2691" s="2" t="str">
        <x:v>10</x:v>
      </x:c>
      <x:c r="I2691" s="2" t="str">
        <x:v>심의승인</x:v>
      </x:c>
      <x:c r="J2691" s="2" t="str">
        <x:v>심의승인</x:v>
      </x:c>
      <x:c r="K2691" s="2" t="str">
        <x:f>IF(OR(J2691="심의승인",J2691="반려",J2691="반려완료",J2691="심의완료"),"종결 표시",IF(OR(J2691="기후부협의",J2691="문서재제출요청",J2691="보류",J2691="보완요청",J2691="보완완료",J2691="평가중",J2691="반려요청",J2691="평가필요",LEFT(J2691,5)="보완요청("),"미종결 표시","상태 확인 필요"))</x:f>
        <x:v>종결 표시</x:v>
      </x:c>
      <x:c r="L2691" s="2" t="str">
        <x:v>에코시안_기샛별</x:v>
      </x:c>
      <x:c r="M2691" s="2"/>
      <x:c r="N2691" s="8" t="n">
        <x:f>DATE(2026,10,15)-DATE(2021,10,28)</x:f>
        <x:v>1813</x:v>
      </x:c>
      <x:c r="O2691" s="2"/>
      <x:c r="P2691" s="2"/>
      <x:c r="Q2691" s="2" t="str">
        <x:v>산업전환_외부사업관리Tool_260707_이너젠 수정_LJY_261013.xlsx</x:v>
      </x:c>
      <x:c r="R2691" s="2" t="str">
        <x:v>국외인증</x:v>
      </x:c>
      <x:c r="S2691" s="8" t="n">
        <x:v>278</x:v>
      </x:c>
      <x:c r="T2691" s="2" t="str">
        <x:v>(11/2)</x:v>
      </x:c>
      <x:c r="U2691" s="2" t="str">
        <x:v>2021 지정: (11/2) / 2022 지정: (1/18)</x:v>
      </x:c>
      <x:c r="V2691" s="2" t="str">
        <x:v>2022-04-22</x:v>
      </x:c>
      <x:c r="W2691" s="2" t="str"/>
      <x:c r="X2691" s="2" t="str">
        <x:v>종결 근거 보관</x:v>
      </x:c>
      <x:c r="Y2691" s="2" t="str">
        <x:v>ad210cd9ec132cfd447541c8984dc53d30aff0f4fb2dc92d254d49275cc55976</x:v>
      </x:c>
      <x:c r="Z2691" s="2" t="n">
        <x:f>SUBTOTAL(103,A2691)</x:f>
        <x:v>1</x:v>
      </x:c>
      <x:c r="AA2691" s="2" t="str">
        <x:f>IF(K2691&lt;&gt;"미종결 표시","대상 아님",IF(N2691="","신청일 확인",IF(NOT(ISNUMBER('종합 현황'!$H$5)),"관찰기준 확인",IF('종합 현황'!$H$5&lt;1,"관찰기준 확인",IF(N2691&gt;'종합 현황'!$H$5,"내부 관찰 대상","내부 관찰일 이하")))))</x:f>
        <x:v>대상 아님</x:v>
      </x:c>
      <x:c r="AB2691" s="2" t="str">
        <x:v>2021-10-28 19:43 - 신청
2021-12-07 13:56 - 문서재제출요청
2021-12-21 16:54 - 신청
2022-02-22 13:09 - 문서재제출요청
2022-02-23 12:01 - 신청
2022-04-14 11:17 - 검토승인
2022-04-22 16:55 - 심의승인</x:v>
      </x:c>
    </x:row>
    <x:row r="2692" ht="42" customHeight="1">
      <x:c r="A2692" s="2" t="str">
        <x:v>9e3c1e528a1d148b8bcea691</x:v>
      </x:c>
      <x:c r="B2692" s="2" t="str">
        <x:v>감축량 인증</x:v>
      </x:c>
      <x:c r="C2692" s="2" t="str">
        <x:v>국외</x:v>
      </x:c>
      <x:c r="D2692" s="7" t="str">
        <x:v>대한민국이 지원한 우간다 UpEnergy 고효율 쿡스토브 사업-CPA0030</x:v>
      </x:c>
      <x:c r="E2692" s="2" t="str">
        <x:v>277</x:v>
      </x:c>
      <x:c r="F2692" s="2" t="str">
        <x:v>2021-10-28</x:v>
      </x:c>
      <x:c r="G2692" s="2" t="str">
        <x:v>2021</x:v>
      </x:c>
      <x:c r="H2692" s="2" t="str">
        <x:v>10</x:v>
      </x:c>
      <x:c r="I2692" s="2" t="str">
        <x:v>심의승인</x:v>
      </x:c>
      <x:c r="J2692" s="2" t="str">
        <x:v>심의승인</x:v>
      </x:c>
      <x:c r="K2692" s="2" t="str">
        <x:f>IF(OR(J2692="심의승인",J2692="반려",J2692="반려완료",J2692="심의완료"),"종결 표시",IF(OR(J2692="기후부협의",J2692="문서재제출요청",J2692="보류",J2692="보완요청",J2692="보완완료",J2692="평가중",J2692="반려요청",J2692="평가필요",LEFT(J2692,5)="보완요청("),"미종결 표시","상태 확인 필요"))</x:f>
        <x:v>종결 표시</x:v>
      </x:c>
      <x:c r="L2692" s="2" t="str">
        <x:v>에코시안_기샛별</x:v>
      </x:c>
      <x:c r="M2692" s="2"/>
      <x:c r="N2692" s="8" t="n">
        <x:f>DATE(2026,10,15)-DATE(2021,10,28)</x:f>
        <x:v>1813</x:v>
      </x:c>
      <x:c r="O2692" s="2"/>
      <x:c r="P2692" s="2"/>
      <x:c r="Q2692" s="2" t="str">
        <x:v>산업전환_외부사업관리Tool_260707_이너젠 수정_LJY_261013.xlsx</x:v>
      </x:c>
      <x:c r="R2692" s="2" t="str">
        <x:v>국외인증</x:v>
      </x:c>
      <x:c r="S2692" s="8" t="n">
        <x:v>279</x:v>
      </x:c>
      <x:c r="T2692" s="2" t="str">
        <x:v>(11/2)</x:v>
      </x:c>
      <x:c r="U2692" s="2" t="str">
        <x:v>2021 지정: (11/2) / 2022 지정: (1/18)</x:v>
      </x:c>
      <x:c r="V2692" s="2" t="str">
        <x:v>2022-04-22</x:v>
      </x:c>
      <x:c r="W2692" s="2" t="str"/>
      <x:c r="X2692" s="2" t="str">
        <x:v>종결 근거 보관</x:v>
      </x:c>
      <x:c r="Y2692" s="2" t="str">
        <x:v>ad210cd9ec132cfd447541c8984dc53d30aff0f4fb2dc92d254d49275cc55976</x:v>
      </x:c>
      <x:c r="Z2692" s="2" t="n">
        <x:f>SUBTOTAL(103,A2692)</x:f>
        <x:v>1</x:v>
      </x:c>
      <x:c r="AA2692" s="2" t="str">
        <x:f>IF(K2692&lt;&gt;"미종결 표시","대상 아님",IF(N2692="","신청일 확인",IF(NOT(ISNUMBER('종합 현황'!$H$5)),"관찰기준 확인",IF('종합 현황'!$H$5&lt;1,"관찰기준 확인",IF(N2692&gt;'종합 현황'!$H$5,"내부 관찰 대상","내부 관찰일 이하")))))</x:f>
        <x:v>대상 아님</x:v>
      </x:c>
      <x:c r="AB2692" s="2" t="str">
        <x:v>2021-10-28 19:48 - 신청
2021-12-07 13:56 - 문서재제출요청
2021-12-21 16:56 - 신청
2022-02-22 13:09 - 문서재제출요청
2022-02-23 12:02 - 신청
2022-04-14 11:18 - 검토승인
2022-04-22 16:55 - 심의승인</x:v>
      </x:c>
    </x:row>
    <x:row r="2693" ht="42" customHeight="1">
      <x:c r="A2693" s="2" t="str">
        <x:v>da498f83901df38b6df210b8</x:v>
      </x:c>
      <x:c r="B2693" s="2" t="str">
        <x:v>감축량 인증</x:v>
      </x:c>
      <x:c r="C2693" s="2" t="str">
        <x:v>국외</x:v>
      </x:c>
      <x:c r="D2693" s="7" t="str">
        <x:v>대한민국이 지원한 우간다 UpEnergy 고효율 쿡스토브 사업-CPA0031</x:v>
      </x:c>
      <x:c r="E2693" s="2" t="str">
        <x:v>278</x:v>
      </x:c>
      <x:c r="F2693" s="2" t="str">
        <x:v>2021-10-28</x:v>
      </x:c>
      <x:c r="G2693" s="2" t="str">
        <x:v>2021</x:v>
      </x:c>
      <x:c r="H2693" s="2" t="str">
        <x:v>10</x:v>
      </x:c>
      <x:c r="I2693" s="2" t="str">
        <x:v>심의승인</x:v>
      </x:c>
      <x:c r="J2693" s="2" t="str">
        <x:v>심의승인</x:v>
      </x:c>
      <x:c r="K2693" s="2" t="str">
        <x:f>IF(OR(J2693="심의승인",J2693="반려",J2693="반려완료",J2693="심의완료"),"종결 표시",IF(OR(J2693="기후부협의",J2693="문서재제출요청",J2693="보류",J2693="보완요청",J2693="보완완료",J2693="평가중",J2693="반려요청",J2693="평가필요",LEFT(J2693,5)="보완요청("),"미종결 표시","상태 확인 필요"))</x:f>
        <x:v>종결 표시</x:v>
      </x:c>
      <x:c r="L2693" s="2" t="str">
        <x:v>에코시안_기샛별</x:v>
      </x:c>
      <x:c r="M2693" s="2"/>
      <x:c r="N2693" s="8" t="n">
        <x:f>DATE(2026,10,15)-DATE(2021,10,28)</x:f>
        <x:v>1813</x:v>
      </x:c>
      <x:c r="O2693" s="2"/>
      <x:c r="P2693" s="2"/>
      <x:c r="Q2693" s="2" t="str">
        <x:v>산업전환_외부사업관리Tool_260707_이너젠 수정_LJY_261013.xlsx</x:v>
      </x:c>
      <x:c r="R2693" s="2" t="str">
        <x:v>국외인증</x:v>
      </x:c>
      <x:c r="S2693" s="8" t="n">
        <x:v>280</x:v>
      </x:c>
      <x:c r="T2693" s="2" t="str">
        <x:v>(11/2)</x:v>
      </x:c>
      <x:c r="U2693" s="2" t="str">
        <x:v>2021 지정: (11/2) / 2022 지정: (1/18)</x:v>
      </x:c>
      <x:c r="V2693" s="2" t="str">
        <x:v>2022-04-22</x:v>
      </x:c>
      <x:c r="W2693" s="2" t="str"/>
      <x:c r="X2693" s="2" t="str">
        <x:v>종결 근거 보관</x:v>
      </x:c>
      <x:c r="Y2693" s="2" t="str">
        <x:v>ad210cd9ec132cfd447541c8984dc53d30aff0f4fb2dc92d254d49275cc55976</x:v>
      </x:c>
      <x:c r="Z2693" s="2" t="n">
        <x:f>SUBTOTAL(103,A2693)</x:f>
        <x:v>1</x:v>
      </x:c>
      <x:c r="AA2693" s="2" t="str">
        <x:f>IF(K2693&lt;&gt;"미종결 표시","대상 아님",IF(N2693="","신청일 확인",IF(NOT(ISNUMBER('종합 현황'!$H$5)),"관찰기준 확인",IF('종합 현황'!$H$5&lt;1,"관찰기준 확인",IF(N2693&gt;'종합 현황'!$H$5,"내부 관찰 대상","내부 관찰일 이하")))))</x:f>
        <x:v>대상 아님</x:v>
      </x:c>
      <x:c r="AB2693" s="2" t="str">
        <x:v>2021-10-28 19:50 - 신청
2021-12-07 13:56 - 문서재제출요청
2021-12-21 16:59 - 신청
2022-02-22 13:10 - 문서재제출요청
2022-02-23 12:04 - 신청
2022-04-14 11:22 - 검토승인
2022-04-22 16:57 - 심의승인</x:v>
      </x:c>
    </x:row>
    <x:row r="2694" ht="42" customHeight="1">
      <x:c r="A2694" s="2" t="str">
        <x:v>c879c068c360c1d79371ee98</x:v>
      </x:c>
      <x:c r="B2694" s="2" t="str">
        <x:v>감축량 인증</x:v>
      </x:c>
      <x:c r="C2694" s="2" t="str">
        <x:v>국외</x:v>
      </x:c>
      <x:c r="D2694" s="7" t="str">
        <x:v>대한민국이 지원한 우간다 UpEnergy 고효율 쿡스토브 사업-CPA0032</x:v>
      </x:c>
      <x:c r="E2694" s="2" t="str">
        <x:v>279</x:v>
      </x:c>
      <x:c r="F2694" s="2" t="str">
        <x:v>2021-10-28</x:v>
      </x:c>
      <x:c r="G2694" s="2" t="str">
        <x:v>2021</x:v>
      </x:c>
      <x:c r="H2694" s="2" t="str">
        <x:v>10</x:v>
      </x:c>
      <x:c r="I2694" s="2" t="str">
        <x:v>심의승인</x:v>
      </x:c>
      <x:c r="J2694" s="2" t="str">
        <x:v>심의승인</x:v>
      </x:c>
      <x:c r="K2694" s="2" t="str">
        <x:f>IF(OR(J2694="심의승인",J2694="반려",J2694="반려완료",J2694="심의완료"),"종결 표시",IF(OR(J2694="기후부협의",J2694="문서재제출요청",J2694="보류",J2694="보완요청",J2694="보완완료",J2694="평가중",J2694="반려요청",J2694="평가필요",LEFT(J2694,5)="보완요청("),"미종결 표시","상태 확인 필요"))</x:f>
        <x:v>종결 표시</x:v>
      </x:c>
      <x:c r="L2694" s="2" t="str">
        <x:v>에코시안_기샛별</x:v>
      </x:c>
      <x:c r="M2694" s="2"/>
      <x:c r="N2694" s="8" t="n">
        <x:f>DATE(2026,10,15)-DATE(2021,10,28)</x:f>
        <x:v>1813</x:v>
      </x:c>
      <x:c r="O2694" s="2"/>
      <x:c r="P2694" s="2"/>
      <x:c r="Q2694" s="2" t="str">
        <x:v>산업전환_외부사업관리Tool_260707_이너젠 수정_LJY_261013.xlsx</x:v>
      </x:c>
      <x:c r="R2694" s="2" t="str">
        <x:v>국외인증</x:v>
      </x:c>
      <x:c r="S2694" s="8" t="n">
        <x:v>281</x:v>
      </x:c>
      <x:c r="T2694" s="2" t="str">
        <x:v>(11/2)</x:v>
      </x:c>
      <x:c r="U2694" s="2" t="str">
        <x:v>2021 지정: (11/2) / 2022 지정: (1/18)</x:v>
      </x:c>
      <x:c r="V2694" s="2" t="str">
        <x:v>2022-04-22</x:v>
      </x:c>
      <x:c r="W2694" s="2" t="str"/>
      <x:c r="X2694" s="2" t="str">
        <x:v>종결 근거 보관</x:v>
      </x:c>
      <x:c r="Y2694" s="2" t="str">
        <x:v>ad210cd9ec132cfd447541c8984dc53d30aff0f4fb2dc92d254d49275cc55976</x:v>
      </x:c>
      <x:c r="Z2694" s="2" t="n">
        <x:f>SUBTOTAL(103,A2694)</x:f>
        <x:v>1</x:v>
      </x:c>
      <x:c r="AA2694" s="2" t="str">
        <x:f>IF(K2694&lt;&gt;"미종결 표시","대상 아님",IF(N2694="","신청일 확인",IF(NOT(ISNUMBER('종합 현황'!$H$5)),"관찰기준 확인",IF('종합 현황'!$H$5&lt;1,"관찰기준 확인",IF(N2694&gt;'종합 현황'!$H$5,"내부 관찰 대상","내부 관찰일 이하")))))</x:f>
        <x:v>대상 아님</x:v>
      </x:c>
      <x:c r="AB2694" s="2" t="str">
        <x:v>2021-10-28 19:53 - 신청
2021-12-07 13:56 - 문서재제출요청
2021-12-21 17:02 - 신청
2022-02-22 13:10 - 문서재제출요청
2022-02-23 12:05 - 신청
2022-04-14 11:23 - 검토승인
2022-04-22 16:59 - 심의승인</x:v>
      </x:c>
    </x:row>
    <x:row r="2695" ht="42" customHeight="1">
      <x:c r="A2695" s="2" t="str">
        <x:v>bb999685182856c48f379600</x:v>
      </x:c>
      <x:c r="B2695" s="2" t="str">
        <x:v>감축량 인증</x:v>
      </x:c>
      <x:c r="C2695" s="2" t="str">
        <x:v>국외</x:v>
      </x:c>
      <x:c r="D2695" s="7" t="str">
        <x:v>대한민국이 지원한 우간다 UpEnergy 고효율 쿡스토브 사업-CPA0033</x:v>
      </x:c>
      <x:c r="E2695" s="2" t="str">
        <x:v>280</x:v>
      </x:c>
      <x:c r="F2695" s="2" t="str">
        <x:v>2021-10-28</x:v>
      </x:c>
      <x:c r="G2695" s="2" t="str">
        <x:v>2021</x:v>
      </x:c>
      <x:c r="H2695" s="2" t="str">
        <x:v>10</x:v>
      </x:c>
      <x:c r="I2695" s="2" t="str">
        <x:v>심의승인</x:v>
      </x:c>
      <x:c r="J2695" s="2" t="str">
        <x:v>심의승인</x:v>
      </x:c>
      <x:c r="K2695" s="2" t="str">
        <x:f>IF(OR(J2695="심의승인",J2695="반려",J2695="반려완료",J2695="심의완료"),"종결 표시",IF(OR(J2695="기후부협의",J2695="문서재제출요청",J2695="보류",J2695="보완요청",J2695="보완완료",J2695="평가중",J2695="반려요청",J2695="평가필요",LEFT(J2695,5)="보완요청("),"미종결 표시","상태 확인 필요"))</x:f>
        <x:v>종결 표시</x:v>
      </x:c>
      <x:c r="L2695" s="2" t="str">
        <x:v>에코시안_기샛별</x:v>
      </x:c>
      <x:c r="M2695" s="2"/>
      <x:c r="N2695" s="8" t="n">
        <x:f>DATE(2026,10,15)-DATE(2021,10,28)</x:f>
        <x:v>1813</x:v>
      </x:c>
      <x:c r="O2695" s="2"/>
      <x:c r="P2695" s="2"/>
      <x:c r="Q2695" s="2" t="str">
        <x:v>산업전환_외부사업관리Tool_260707_이너젠 수정_LJY_261013.xlsx</x:v>
      </x:c>
      <x:c r="R2695" s="2" t="str">
        <x:v>국외인증</x:v>
      </x:c>
      <x:c r="S2695" s="8" t="n">
        <x:v>282</x:v>
      </x:c>
      <x:c r="T2695" s="2" t="str">
        <x:v>(11/2)</x:v>
      </x:c>
      <x:c r="U2695" s="2" t="str">
        <x:v>2021 지정: (11/2) / 2022 지정: (1/18)</x:v>
      </x:c>
      <x:c r="V2695" s="2" t="str">
        <x:v>2022-04-22</x:v>
      </x:c>
      <x:c r="W2695" s="2" t="str"/>
      <x:c r="X2695" s="2" t="str">
        <x:v>종결 근거 보관</x:v>
      </x:c>
      <x:c r="Y2695" s="2" t="str">
        <x:v>ad210cd9ec132cfd447541c8984dc53d30aff0f4fb2dc92d254d49275cc55976</x:v>
      </x:c>
      <x:c r="Z2695" s="2" t="n">
        <x:f>SUBTOTAL(103,A2695)</x:f>
        <x:v>1</x:v>
      </x:c>
      <x:c r="AA2695" s="2" t="str">
        <x:f>IF(K2695&lt;&gt;"미종결 표시","대상 아님",IF(N2695="","신청일 확인",IF(NOT(ISNUMBER('종합 현황'!$H$5)),"관찰기준 확인",IF('종합 현황'!$H$5&lt;1,"관찰기준 확인",IF(N2695&gt;'종합 현황'!$H$5,"내부 관찰 대상","내부 관찰일 이하")))))</x:f>
        <x:v>대상 아님</x:v>
      </x:c>
      <x:c r="AB2695" s="2" t="str">
        <x:v>2021-10-28 19:56 - 신청
2021-12-07 13:57 - 문서재제출요청
2021-12-21 17:04 - 신청
2022-02-22 13:11 - 문서재제출요청
2022-02-23 12:06 - 신청
2022-04-14 11:23 - 검토승인
2022-04-22 17:00 - 심의승인</x:v>
      </x:c>
    </x:row>
    <x:row r="2696" ht="42" customHeight="1">
      <x:c r="A2696" s="2" t="str">
        <x:v>fedd7ca24c5866e533f6fc08</x:v>
      </x:c>
      <x:c r="B2696" s="2" t="str">
        <x:v>감축량 인증</x:v>
      </x:c>
      <x:c r="C2696" s="2" t="str">
        <x:v>국외</x:v>
      </x:c>
      <x:c r="D2696" s="7" t="str">
        <x:v>대한민국이 지원한 우간다 UpEnergy 고효율 쿡스토브 사업-CPA0034</x:v>
      </x:c>
      <x:c r="E2696" s="2" t="str">
        <x:v>281</x:v>
      </x:c>
      <x:c r="F2696" s="2" t="str">
        <x:v>2021-10-28</x:v>
      </x:c>
      <x:c r="G2696" s="2" t="str">
        <x:v>2021</x:v>
      </x:c>
      <x:c r="H2696" s="2" t="str">
        <x:v>10</x:v>
      </x:c>
      <x:c r="I2696" s="2" t="str">
        <x:v>심의승인</x:v>
      </x:c>
      <x:c r="J2696" s="2" t="str">
        <x:v>심의승인</x:v>
      </x:c>
      <x:c r="K2696" s="2" t="str">
        <x:f>IF(OR(J2696="심의승인",J2696="반려",J2696="반려완료",J2696="심의완료"),"종결 표시",IF(OR(J2696="기후부협의",J2696="문서재제출요청",J2696="보류",J2696="보완요청",J2696="보완완료",J2696="평가중",J2696="반려요청",J2696="평가필요",LEFT(J2696,5)="보완요청("),"미종결 표시","상태 확인 필요"))</x:f>
        <x:v>종결 표시</x:v>
      </x:c>
      <x:c r="L2696" s="2" t="str">
        <x:v>에코시안_기샛별</x:v>
      </x:c>
      <x:c r="M2696" s="2"/>
      <x:c r="N2696" s="8" t="n">
        <x:f>DATE(2026,10,15)-DATE(2021,10,28)</x:f>
        <x:v>1813</x:v>
      </x:c>
      <x:c r="O2696" s="2"/>
      <x:c r="P2696" s="2"/>
      <x:c r="Q2696" s="2" t="str">
        <x:v>산업전환_외부사업관리Tool_260707_이너젠 수정_LJY_261013.xlsx</x:v>
      </x:c>
      <x:c r="R2696" s="2" t="str">
        <x:v>국외인증</x:v>
      </x:c>
      <x:c r="S2696" s="8" t="n">
        <x:v>283</x:v>
      </x:c>
      <x:c r="T2696" s="2" t="str">
        <x:v>(11/2)</x:v>
      </x:c>
      <x:c r="U2696" s="2" t="str">
        <x:v>2021 지정: (11/2) / 2022 지정: (1/18)</x:v>
      </x:c>
      <x:c r="V2696" s="2" t="str">
        <x:v>2022-04-22</x:v>
      </x:c>
      <x:c r="W2696" s="2" t="str"/>
      <x:c r="X2696" s="2" t="str">
        <x:v>종결 근거 보관</x:v>
      </x:c>
      <x:c r="Y2696" s="2" t="str">
        <x:v>ad210cd9ec132cfd447541c8984dc53d30aff0f4fb2dc92d254d49275cc55976</x:v>
      </x:c>
      <x:c r="Z2696" s="2" t="n">
        <x:f>SUBTOTAL(103,A2696)</x:f>
        <x:v>1</x:v>
      </x:c>
      <x:c r="AA2696" s="2" t="str">
        <x:f>IF(K2696&lt;&gt;"미종결 표시","대상 아님",IF(N2696="","신청일 확인",IF(NOT(ISNUMBER('종합 현황'!$H$5)),"관찰기준 확인",IF('종합 현황'!$H$5&lt;1,"관찰기준 확인",IF(N2696&gt;'종합 현황'!$H$5,"내부 관찰 대상","내부 관찰일 이하")))))</x:f>
        <x:v>대상 아님</x:v>
      </x:c>
      <x:c r="AB2696" s="2" t="str">
        <x:v>2021-10-28 20:03 - 신청
2021-12-07 13:57 - 문서재제출요청
2021-12-21 17:07 - 신청
2022-02-22 13:12 - 문서재제출요청
2022-02-23 12:08 - 신청
2022-04-14 11:24 - 검토승인
2022-04-22 17:01 - 심의승인</x:v>
      </x:c>
    </x:row>
    <x:row r="2697" ht="42" customHeight="1">
      <x:c r="A2697" s="2" t="str">
        <x:v>997f20a0e78706c976068745</x:v>
      </x:c>
      <x:c r="B2697" s="2" t="str">
        <x:v>감축량 인증</x:v>
      </x:c>
      <x:c r="C2697" s="2" t="str">
        <x:v>국외</x:v>
      </x:c>
      <x:c r="D2697" s="7" t="str">
        <x:v>대한민국이 지원한 우간다 UpEnergy 고효율 쿡스토브 사업-CPA0035</x:v>
      </x:c>
      <x:c r="E2697" s="2" t="str">
        <x:v>282</x:v>
      </x:c>
      <x:c r="F2697" s="2" t="str">
        <x:v>2021-10-28</x:v>
      </x:c>
      <x:c r="G2697" s="2" t="str">
        <x:v>2021</x:v>
      </x:c>
      <x:c r="H2697" s="2" t="str">
        <x:v>10</x:v>
      </x:c>
      <x:c r="I2697" s="2" t="str">
        <x:v>심의승인</x:v>
      </x:c>
      <x:c r="J2697" s="2" t="str">
        <x:v>심의승인</x:v>
      </x:c>
      <x:c r="K2697" s="2" t="str">
        <x:f>IF(OR(J2697="심의승인",J2697="반려",J2697="반려완료",J2697="심의완료"),"종결 표시",IF(OR(J2697="기후부협의",J2697="문서재제출요청",J2697="보류",J2697="보완요청",J2697="보완완료",J2697="평가중",J2697="반려요청",J2697="평가필요",LEFT(J2697,5)="보완요청("),"미종결 표시","상태 확인 필요"))</x:f>
        <x:v>종결 표시</x:v>
      </x:c>
      <x:c r="L2697" s="2" t="str">
        <x:v>에코시안_기샛별</x:v>
      </x:c>
      <x:c r="M2697" s="2"/>
      <x:c r="N2697" s="8" t="n">
        <x:f>DATE(2026,10,15)-DATE(2021,10,28)</x:f>
        <x:v>1813</x:v>
      </x:c>
      <x:c r="O2697" s="2"/>
      <x:c r="P2697" s="2"/>
      <x:c r="Q2697" s="2" t="str">
        <x:v>산업전환_외부사업관리Tool_260707_이너젠 수정_LJY_261013.xlsx</x:v>
      </x:c>
      <x:c r="R2697" s="2" t="str">
        <x:v>국외인증</x:v>
      </x:c>
      <x:c r="S2697" s="8" t="n">
        <x:v>284</x:v>
      </x:c>
      <x:c r="T2697" s="2" t="str">
        <x:v>(11/2)</x:v>
      </x:c>
      <x:c r="U2697" s="2" t="str">
        <x:v>2021 지정: (11/2) / 2022 지정: (1/18)</x:v>
      </x:c>
      <x:c r="V2697" s="2" t="str">
        <x:v>2022-04-22</x:v>
      </x:c>
      <x:c r="W2697" s="2" t="str"/>
      <x:c r="X2697" s="2" t="str">
        <x:v>종결 근거 보관</x:v>
      </x:c>
      <x:c r="Y2697" s="2" t="str">
        <x:v>ad210cd9ec132cfd447541c8984dc53d30aff0f4fb2dc92d254d49275cc55976</x:v>
      </x:c>
      <x:c r="Z2697" s="2" t="n">
        <x:f>SUBTOTAL(103,A2697)</x:f>
        <x:v>1</x:v>
      </x:c>
      <x:c r="AA2697" s="2" t="str">
        <x:f>IF(K2697&lt;&gt;"미종결 표시","대상 아님",IF(N2697="","신청일 확인",IF(NOT(ISNUMBER('종합 현황'!$H$5)),"관찰기준 확인",IF('종합 현황'!$H$5&lt;1,"관찰기준 확인",IF(N2697&gt;'종합 현황'!$H$5,"내부 관찰 대상","내부 관찰일 이하")))))</x:f>
        <x:v>대상 아님</x:v>
      </x:c>
      <x:c r="AB2697" s="2" t="str">
        <x:v>2021-10-28 20:05 - 신청
2021-12-07 13:57 - 문서재제출요청
2021-12-21 17:09 - 신청
2022-02-22 13:12 - 문서재제출요청
2022-02-23 12:09 - 신청
2022-04-14 11:24 - 검토승인
2022-04-22 17:02 - 심의승인</x:v>
      </x:c>
    </x:row>
    <x:row r="2698" ht="42" customHeight="1">
      <x:c r="A2698" s="2" t="str">
        <x:v>0e8a53abe2f6fa2eca239d0a</x:v>
      </x:c>
      <x:c r="B2698" s="2" t="str">
        <x:v>감축량 인증</x:v>
      </x:c>
      <x:c r="C2698" s="2" t="str">
        <x:v>국외</x:v>
      </x:c>
      <x:c r="D2698" s="7" t="str">
        <x:v>대한민국이 지원한 우간다 UpEnergy 고효율 쿡스토브 사업-CPA0036</x:v>
      </x:c>
      <x:c r="E2698" s="2" t="str">
        <x:v>283</x:v>
      </x:c>
      <x:c r="F2698" s="2" t="str">
        <x:v>2021-10-28</x:v>
      </x:c>
      <x:c r="G2698" s="2" t="str">
        <x:v>2021</x:v>
      </x:c>
      <x:c r="H2698" s="2" t="str">
        <x:v>10</x:v>
      </x:c>
      <x:c r="I2698" s="2" t="str">
        <x:v>심의승인</x:v>
      </x:c>
      <x:c r="J2698" s="2" t="str">
        <x:v>심의승인</x:v>
      </x:c>
      <x:c r="K2698" s="2" t="str">
        <x:f>IF(OR(J2698="심의승인",J2698="반려",J2698="반려완료",J2698="심의완료"),"종결 표시",IF(OR(J2698="기후부협의",J2698="문서재제출요청",J2698="보류",J2698="보완요청",J2698="보완완료",J2698="평가중",J2698="반려요청",J2698="평가필요",LEFT(J2698,5)="보완요청("),"미종결 표시","상태 확인 필요"))</x:f>
        <x:v>종결 표시</x:v>
      </x:c>
      <x:c r="L2698" s="2" t="str">
        <x:v>에코시안_기샛별</x:v>
      </x:c>
      <x:c r="M2698" s="2"/>
      <x:c r="N2698" s="8" t="n">
        <x:f>DATE(2026,10,15)-DATE(2021,10,28)</x:f>
        <x:v>1813</x:v>
      </x:c>
      <x:c r="O2698" s="2"/>
      <x:c r="P2698" s="2"/>
      <x:c r="Q2698" s="2" t="str">
        <x:v>산업전환_외부사업관리Tool_260707_이너젠 수정_LJY_261013.xlsx</x:v>
      </x:c>
      <x:c r="R2698" s="2" t="str">
        <x:v>국외인증</x:v>
      </x:c>
      <x:c r="S2698" s="8" t="n">
        <x:v>285</x:v>
      </x:c>
      <x:c r="T2698" s="2" t="str">
        <x:v>(11/2)</x:v>
      </x:c>
      <x:c r="U2698" s="2" t="str">
        <x:v>2021 지정: (11/2) / 2022 지정: (1/18)</x:v>
      </x:c>
      <x:c r="V2698" s="2" t="str">
        <x:v>2022-04-22</x:v>
      </x:c>
      <x:c r="W2698" s="2" t="str"/>
      <x:c r="X2698" s="2" t="str">
        <x:v>종결 근거 보관</x:v>
      </x:c>
      <x:c r="Y2698" s="2" t="str">
        <x:v>ad210cd9ec132cfd447541c8984dc53d30aff0f4fb2dc92d254d49275cc55976</x:v>
      </x:c>
      <x:c r="Z2698" s="2" t="n">
        <x:f>SUBTOTAL(103,A2698)</x:f>
        <x:v>1</x:v>
      </x:c>
      <x:c r="AA2698" s="2" t="str">
        <x:f>IF(K2698&lt;&gt;"미종결 표시","대상 아님",IF(N2698="","신청일 확인",IF(NOT(ISNUMBER('종합 현황'!$H$5)),"관찰기준 확인",IF('종합 현황'!$H$5&lt;1,"관찰기준 확인",IF(N2698&gt;'종합 현황'!$H$5,"내부 관찰 대상","내부 관찰일 이하")))))</x:f>
        <x:v>대상 아님</x:v>
      </x:c>
      <x:c r="AB2698" s="2" t="str">
        <x:v>2021-10-28 20:08 - 신청
2021-12-07 13:58 - 문서재제출요청
2021-12-21 17:12 - 신청
2022-02-22 13:13 - 문서재제출요청
2022-02-23 12:10 - 신청
2022-04-14 11:25 - 검토승인
2022-04-22 17:03 - 심의승인</x:v>
      </x:c>
    </x:row>
    <x:row r="2699" ht="42" customHeight="1">
      <x:c r="A2699" s="2" t="str">
        <x:v>316f0d29c0abf619945e457f</x:v>
      </x:c>
      <x:c r="B2699" s="2" t="str">
        <x:v>감축량 인증</x:v>
      </x:c>
      <x:c r="C2699" s="2" t="str">
        <x:v>국외</x:v>
      </x:c>
      <x:c r="D2699" s="7" t="str">
        <x:v>대한민국이 지원한 우간다 UpEnergy 고효율 쿡스토브 사업-CPA0037</x:v>
      </x:c>
      <x:c r="E2699" s="2" t="str">
        <x:v>284</x:v>
      </x:c>
      <x:c r="F2699" s="2" t="str">
        <x:v>2021-10-28</x:v>
      </x:c>
      <x:c r="G2699" s="2" t="str">
        <x:v>2021</x:v>
      </x:c>
      <x:c r="H2699" s="2" t="str">
        <x:v>10</x:v>
      </x:c>
      <x:c r="I2699" s="2" t="str">
        <x:v>심의승인</x:v>
      </x:c>
      <x:c r="J2699" s="2" t="str">
        <x:v>심의승인</x:v>
      </x:c>
      <x:c r="K2699" s="2" t="str">
        <x:f>IF(OR(J2699="심의승인",J2699="반려",J2699="반려완료",J2699="심의완료"),"종결 표시",IF(OR(J2699="기후부협의",J2699="문서재제출요청",J2699="보류",J2699="보완요청",J2699="보완완료",J2699="평가중",J2699="반려요청",J2699="평가필요",LEFT(J2699,5)="보완요청("),"미종결 표시","상태 확인 필요"))</x:f>
        <x:v>종결 표시</x:v>
      </x:c>
      <x:c r="L2699" s="2" t="str">
        <x:v>에코시안_기샛별</x:v>
      </x:c>
      <x:c r="M2699" s="2"/>
      <x:c r="N2699" s="8" t="n">
        <x:f>DATE(2026,10,15)-DATE(2021,10,28)</x:f>
        <x:v>1813</x:v>
      </x:c>
      <x:c r="O2699" s="2"/>
      <x:c r="P2699" s="2"/>
      <x:c r="Q2699" s="2" t="str">
        <x:v>산업전환_외부사업관리Tool_260707_이너젠 수정_LJY_261013.xlsx</x:v>
      </x:c>
      <x:c r="R2699" s="2" t="str">
        <x:v>국외인증</x:v>
      </x:c>
      <x:c r="S2699" s="8" t="n">
        <x:v>286</x:v>
      </x:c>
      <x:c r="T2699" s="2" t="str">
        <x:v>(11/2)</x:v>
      </x:c>
      <x:c r="U2699" s="2" t="str">
        <x:v>2021 지정: (11/2) / 2022 지정: (1/18)</x:v>
      </x:c>
      <x:c r="V2699" s="2" t="str">
        <x:v>2022-04-22</x:v>
      </x:c>
      <x:c r="W2699" s="2" t="str"/>
      <x:c r="X2699" s="2" t="str">
        <x:v>종결 근거 보관</x:v>
      </x:c>
      <x:c r="Y2699" s="2" t="str">
        <x:v>ad210cd9ec132cfd447541c8984dc53d30aff0f4fb2dc92d254d49275cc55976</x:v>
      </x:c>
      <x:c r="Z2699" s="2" t="n">
        <x:f>SUBTOTAL(103,A2699)</x:f>
        <x:v>1</x:v>
      </x:c>
      <x:c r="AA2699" s="2" t="str">
        <x:f>IF(K2699&lt;&gt;"미종결 표시","대상 아님",IF(N2699="","신청일 확인",IF(NOT(ISNUMBER('종합 현황'!$H$5)),"관찰기준 확인",IF('종합 현황'!$H$5&lt;1,"관찰기준 확인",IF(N2699&gt;'종합 현황'!$H$5,"내부 관찰 대상","내부 관찰일 이하")))))</x:f>
        <x:v>대상 아님</x:v>
      </x:c>
      <x:c r="AB2699" s="2" t="str">
        <x:v>2021-10-28 20:11 - 신청
2021-12-07 13:58 - 문서재제출요청
2021-12-21 17:14 - 신청
2022-02-22 13:13 - 문서재제출요청
2022-02-23 12:11 - 신청
2022-04-14 11:26 - 검토승인
2022-04-22 17:05 - 심의승인</x:v>
      </x:c>
    </x:row>
    <x:row r="2700" ht="42" customHeight="1">
      <x:c r="A2700" s="2" t="str">
        <x:v>0ed953322e3ab55796963179</x:v>
      </x:c>
      <x:c r="B2700" s="2" t="str">
        <x:v>감축량 인증</x:v>
      </x:c>
      <x:c r="C2700" s="2" t="str">
        <x:v>국외</x:v>
      </x:c>
      <x:c r="D2700" s="7" t="str">
        <x:v>대한민국이 지원한 우간다 UpEnergy 고효율 쿡스토브 사업-CPA0038</x:v>
      </x:c>
      <x:c r="E2700" s="2" t="str">
        <x:v>285</x:v>
      </x:c>
      <x:c r="F2700" s="2" t="str">
        <x:v>2021-10-28</x:v>
      </x:c>
      <x:c r="G2700" s="2" t="str">
        <x:v>2021</x:v>
      </x:c>
      <x:c r="H2700" s="2" t="str">
        <x:v>10</x:v>
      </x:c>
      <x:c r="I2700" s="2" t="str">
        <x:v>심의승인</x:v>
      </x:c>
      <x:c r="J2700" s="2" t="str">
        <x:v>심의승인</x:v>
      </x:c>
      <x:c r="K2700" s="2" t="str">
        <x:f>IF(OR(J2700="심의승인",J2700="반려",J2700="반려완료",J2700="심의완료"),"종결 표시",IF(OR(J2700="기후부협의",J2700="문서재제출요청",J2700="보류",J2700="보완요청",J2700="보완완료",J2700="평가중",J2700="반려요청",J2700="평가필요",LEFT(J2700,5)="보완요청("),"미종결 표시","상태 확인 필요"))</x:f>
        <x:v>종결 표시</x:v>
      </x:c>
      <x:c r="L2700" s="2" t="str">
        <x:v>에코시안_기샛별</x:v>
      </x:c>
      <x:c r="M2700" s="2"/>
      <x:c r="N2700" s="8" t="n">
        <x:f>DATE(2026,10,15)-DATE(2021,10,28)</x:f>
        <x:v>1813</x:v>
      </x:c>
      <x:c r="O2700" s="2"/>
      <x:c r="P2700" s="2"/>
      <x:c r="Q2700" s="2" t="str">
        <x:v>산업전환_외부사업관리Tool_260707_이너젠 수정_LJY_261013.xlsx</x:v>
      </x:c>
      <x:c r="R2700" s="2" t="str">
        <x:v>국외인증</x:v>
      </x:c>
      <x:c r="S2700" s="8" t="n">
        <x:v>287</x:v>
      </x:c>
      <x:c r="T2700" s="2" t="str">
        <x:v>(11/2)</x:v>
      </x:c>
      <x:c r="U2700" s="2" t="str">
        <x:v>2021 지정: (11/2) / 2022 지정: (1/18)</x:v>
      </x:c>
      <x:c r="V2700" s="2" t="str">
        <x:v>2022-04-22</x:v>
      </x:c>
      <x:c r="W2700" s="2" t="str"/>
      <x:c r="X2700" s="2" t="str">
        <x:v>종결 근거 보관</x:v>
      </x:c>
      <x:c r="Y2700" s="2" t="str">
        <x:v>ad210cd9ec132cfd447541c8984dc53d30aff0f4fb2dc92d254d49275cc55976</x:v>
      </x:c>
      <x:c r="Z2700" s="2" t="n">
        <x:f>SUBTOTAL(103,A2700)</x:f>
        <x:v>1</x:v>
      </x:c>
      <x:c r="AA2700" s="2" t="str">
        <x:f>IF(K2700&lt;&gt;"미종결 표시","대상 아님",IF(N2700="","신청일 확인",IF(NOT(ISNUMBER('종합 현황'!$H$5)),"관찰기준 확인",IF('종합 현황'!$H$5&lt;1,"관찰기준 확인",IF(N2700&gt;'종합 현황'!$H$5,"내부 관찰 대상","내부 관찰일 이하")))))</x:f>
        <x:v>대상 아님</x:v>
      </x:c>
      <x:c r="AB2700" s="2" t="str">
        <x:v>2021-10-28 20:14 - 신청
2021-12-07 13:58 - 문서재제출요청
2021-12-21 17:16 - 신청
2022-02-22 13:14 - 문서재제출요청
2022-02-23 12:13 - 신청
2022-04-14 11:27 - 검토승인
2022-04-22 17:06 - 심의승인</x:v>
      </x:c>
    </x:row>
    <x:row r="2701" ht="42" customHeight="1">
      <x:c r="A2701" s="2" t="str">
        <x:v>a2aadfad8491b226db8c1296</x:v>
      </x:c>
      <x:c r="B2701" s="2" t="str">
        <x:v>감축량 인증</x:v>
      </x:c>
      <x:c r="C2701" s="2" t="str">
        <x:v>국외</x:v>
      </x:c>
      <x:c r="D2701" s="7" t="str">
        <x:v>대한민국이 지원한 우간다 UpEnergy 고효율 쿡스토브 사업-CPA0039</x:v>
      </x:c>
      <x:c r="E2701" s="2" t="str">
        <x:v>286</x:v>
      </x:c>
      <x:c r="F2701" s="2" t="str">
        <x:v>2021-10-28</x:v>
      </x:c>
      <x:c r="G2701" s="2" t="str">
        <x:v>2021</x:v>
      </x:c>
      <x:c r="H2701" s="2" t="str">
        <x:v>10</x:v>
      </x:c>
      <x:c r="I2701" s="2" t="str">
        <x:v>심의승인</x:v>
      </x:c>
      <x:c r="J2701" s="2" t="str">
        <x:v>심의승인</x:v>
      </x:c>
      <x:c r="K2701" s="2" t="str">
        <x:f>IF(OR(J2701="심의승인",J2701="반려",J2701="반려완료",J2701="심의완료"),"종결 표시",IF(OR(J2701="기후부협의",J2701="문서재제출요청",J2701="보류",J2701="보완요청",J2701="보완완료",J2701="평가중",J2701="반려요청",J2701="평가필요",LEFT(J2701,5)="보완요청("),"미종결 표시","상태 확인 필요"))</x:f>
        <x:v>종결 표시</x:v>
      </x:c>
      <x:c r="L2701" s="2" t="str">
        <x:v>에코시안_기샛별</x:v>
      </x:c>
      <x:c r="M2701" s="2"/>
      <x:c r="N2701" s="8" t="n">
        <x:f>DATE(2026,10,15)-DATE(2021,10,28)</x:f>
        <x:v>1813</x:v>
      </x:c>
      <x:c r="O2701" s="2"/>
      <x:c r="P2701" s="2"/>
      <x:c r="Q2701" s="2" t="str">
        <x:v>산업전환_외부사업관리Tool_260707_이너젠 수정_LJY_261013.xlsx</x:v>
      </x:c>
      <x:c r="R2701" s="2" t="str">
        <x:v>국외인증</x:v>
      </x:c>
      <x:c r="S2701" s="8" t="n">
        <x:v>288</x:v>
      </x:c>
      <x:c r="T2701" s="2" t="str">
        <x:v>(11/2)</x:v>
      </x:c>
      <x:c r="U2701" s="2" t="str">
        <x:v>2021 지정: (11/2) / 2022 지정: (1/18)</x:v>
      </x:c>
      <x:c r="V2701" s="2" t="str">
        <x:v>2022-04-22</x:v>
      </x:c>
      <x:c r="W2701" s="2" t="str"/>
      <x:c r="X2701" s="2" t="str">
        <x:v>종결 근거 보관</x:v>
      </x:c>
      <x:c r="Y2701" s="2" t="str">
        <x:v>ad210cd9ec132cfd447541c8984dc53d30aff0f4fb2dc92d254d49275cc55976</x:v>
      </x:c>
      <x:c r="Z2701" s="2" t="n">
        <x:f>SUBTOTAL(103,A2701)</x:f>
        <x:v>1</x:v>
      </x:c>
      <x:c r="AA2701" s="2" t="str">
        <x:f>IF(K2701&lt;&gt;"미종결 표시","대상 아님",IF(N2701="","신청일 확인",IF(NOT(ISNUMBER('종합 현황'!$H$5)),"관찰기준 확인",IF('종합 현황'!$H$5&lt;1,"관찰기준 확인",IF(N2701&gt;'종합 현황'!$H$5,"내부 관찰 대상","내부 관찰일 이하")))))</x:f>
        <x:v>대상 아님</x:v>
      </x:c>
      <x:c r="AB2701" s="2" t="str">
        <x:v>2021-10-28 20:16 - 신청
2021-12-07 13:59 - 문서재제출요청
2021-12-21 17:19 - 신청
2022-02-22 13:14 - 문서재제출요청
2022-02-23 12:14 - 신청
2022-04-14 12:13 - 검토승인
2022-04-22 17:08 - 심의승인</x:v>
      </x:c>
    </x:row>
    <x:row r="2702" ht="42" customHeight="1">
      <x:c r="A2702" s="2" t="str">
        <x:v>fdeb094ca51cab93a7d3293f</x:v>
      </x:c>
      <x:c r="B2702" s="2" t="str">
        <x:v>감축량 인증</x:v>
      </x:c>
      <x:c r="C2702" s="2" t="str">
        <x:v>국외</x:v>
      </x:c>
      <x:c r="D2702" s="7" t="str">
        <x:v>대한민국이 지원한 우간다 UpEnergy 고효율 쿡스토브 사업-CPA0040</x:v>
      </x:c>
      <x:c r="E2702" s="2" t="str">
        <x:v>287</x:v>
      </x:c>
      <x:c r="F2702" s="2" t="str">
        <x:v>2021-10-28</x:v>
      </x:c>
      <x:c r="G2702" s="2" t="str">
        <x:v>2021</x:v>
      </x:c>
      <x:c r="H2702" s="2" t="str">
        <x:v>10</x:v>
      </x:c>
      <x:c r="I2702" s="2" t="str">
        <x:v>심의승인</x:v>
      </x:c>
      <x:c r="J2702" s="2" t="str">
        <x:v>심의승인</x:v>
      </x:c>
      <x:c r="K2702" s="2" t="str">
        <x:f>IF(OR(J2702="심의승인",J2702="반려",J2702="반려완료",J2702="심의완료"),"종결 표시",IF(OR(J2702="기후부협의",J2702="문서재제출요청",J2702="보류",J2702="보완요청",J2702="보완완료",J2702="평가중",J2702="반려요청",J2702="평가필요",LEFT(J2702,5)="보완요청("),"미종결 표시","상태 확인 필요"))</x:f>
        <x:v>종결 표시</x:v>
      </x:c>
      <x:c r="L2702" s="2" t="str">
        <x:v>에코시안_기샛별</x:v>
      </x:c>
      <x:c r="M2702" s="2"/>
      <x:c r="N2702" s="8" t="n">
        <x:f>DATE(2026,10,15)-DATE(2021,10,28)</x:f>
        <x:v>1813</x:v>
      </x:c>
      <x:c r="O2702" s="2"/>
      <x:c r="P2702" s="2"/>
      <x:c r="Q2702" s="2" t="str">
        <x:v>산업전환_외부사업관리Tool_260707_이너젠 수정_LJY_261013.xlsx</x:v>
      </x:c>
      <x:c r="R2702" s="2" t="str">
        <x:v>국외인증</x:v>
      </x:c>
      <x:c r="S2702" s="8" t="n">
        <x:v>289</x:v>
      </x:c>
      <x:c r="T2702" s="2" t="str">
        <x:v>(11/2)</x:v>
      </x:c>
      <x:c r="U2702" s="2" t="str">
        <x:v>2021 지정: (11/2) / 2022 지정: (1/18)</x:v>
      </x:c>
      <x:c r="V2702" s="2" t="str">
        <x:v>2022-04-22</x:v>
      </x:c>
      <x:c r="W2702" s="2" t="str"/>
      <x:c r="X2702" s="2" t="str">
        <x:v>종결 근거 보관</x:v>
      </x:c>
      <x:c r="Y2702" s="2" t="str">
        <x:v>ad210cd9ec132cfd447541c8984dc53d30aff0f4fb2dc92d254d49275cc55976</x:v>
      </x:c>
      <x:c r="Z2702" s="2" t="n">
        <x:f>SUBTOTAL(103,A2702)</x:f>
        <x:v>1</x:v>
      </x:c>
      <x:c r="AA2702" s="2" t="str">
        <x:f>IF(K2702&lt;&gt;"미종결 표시","대상 아님",IF(N2702="","신청일 확인",IF(NOT(ISNUMBER('종합 현황'!$H$5)),"관찰기준 확인",IF('종합 현황'!$H$5&lt;1,"관찰기준 확인",IF(N2702&gt;'종합 현황'!$H$5,"내부 관찰 대상","내부 관찰일 이하")))))</x:f>
        <x:v>대상 아님</x:v>
      </x:c>
      <x:c r="AB2702" s="2" t="str">
        <x:v>2021-10-28 20:19 - 신청
2021-12-07 13:59 - 문서재제출요청
2021-12-21 17:21 - 신청
2022-02-22 13:15 - 문서재제출요청
2022-02-23 12:16 - 신청
2022-04-14 12:14 - 검토승인
2022-04-22 17:08 - 심의승인</x:v>
      </x:c>
    </x:row>
    <x:row r="2703" ht="42" customHeight="1">
      <x:c r="A2703" s="2" t="str">
        <x:v>0509859394646795292237ab</x:v>
      </x:c>
      <x:c r="B2703" s="2" t="str">
        <x:v>감축량 인증</x:v>
      </x:c>
      <x:c r="C2703" s="2" t="str">
        <x:v>국외</x:v>
      </x:c>
      <x:c r="D2703" s="7" t="str">
        <x:v>대한민국이 지원한 우간다 UpEnergy 고효율 쿡스토브 사업-CPA0041</x:v>
      </x:c>
      <x:c r="E2703" s="2" t="str">
        <x:v>288</x:v>
      </x:c>
      <x:c r="F2703" s="2" t="str">
        <x:v>2021-10-28</x:v>
      </x:c>
      <x:c r="G2703" s="2" t="str">
        <x:v>2021</x:v>
      </x:c>
      <x:c r="H2703" s="2" t="str">
        <x:v>10</x:v>
      </x:c>
      <x:c r="I2703" s="2" t="str">
        <x:v>심의승인</x:v>
      </x:c>
      <x:c r="J2703" s="2" t="str">
        <x:v>심의승인</x:v>
      </x:c>
      <x:c r="K2703" s="2" t="str">
        <x:f>IF(OR(J2703="심의승인",J2703="반려",J2703="반려완료",J2703="심의완료"),"종결 표시",IF(OR(J2703="기후부협의",J2703="문서재제출요청",J2703="보류",J2703="보완요청",J2703="보완완료",J2703="평가중",J2703="반려요청",J2703="평가필요",LEFT(J2703,5)="보완요청("),"미종결 표시","상태 확인 필요"))</x:f>
        <x:v>종결 표시</x:v>
      </x:c>
      <x:c r="L2703" s="2" t="str">
        <x:v>에코시안_기샛별</x:v>
      </x:c>
      <x:c r="M2703" s="2"/>
      <x:c r="N2703" s="8" t="n">
        <x:f>DATE(2026,10,15)-DATE(2021,10,28)</x:f>
        <x:v>1813</x:v>
      </x:c>
      <x:c r="O2703" s="2"/>
      <x:c r="P2703" s="2"/>
      <x:c r="Q2703" s="2" t="str">
        <x:v>산업전환_외부사업관리Tool_260707_이너젠 수정_LJY_261013.xlsx</x:v>
      </x:c>
      <x:c r="R2703" s="2" t="str">
        <x:v>국외인증</x:v>
      </x:c>
      <x:c r="S2703" s="8" t="n">
        <x:v>290</x:v>
      </x:c>
      <x:c r="T2703" s="2" t="str">
        <x:v>(11/2)</x:v>
      </x:c>
      <x:c r="U2703" s="2" t="str">
        <x:v>2021 지정: (11/2) / 2022 지정: (1/18)</x:v>
      </x:c>
      <x:c r="V2703" s="2" t="str">
        <x:v>2022-04-22</x:v>
      </x:c>
      <x:c r="W2703" s="2" t="str"/>
      <x:c r="X2703" s="2" t="str">
        <x:v>종결 근거 보관</x:v>
      </x:c>
      <x:c r="Y2703" s="2" t="str">
        <x:v>ad210cd9ec132cfd447541c8984dc53d30aff0f4fb2dc92d254d49275cc55976</x:v>
      </x:c>
      <x:c r="Z2703" s="2" t="n">
        <x:f>SUBTOTAL(103,A2703)</x:f>
        <x:v>1</x:v>
      </x:c>
      <x:c r="AA2703" s="2" t="str">
        <x:f>IF(K2703&lt;&gt;"미종결 표시","대상 아님",IF(N2703="","신청일 확인",IF(NOT(ISNUMBER('종합 현황'!$H$5)),"관찰기준 확인",IF('종합 현황'!$H$5&lt;1,"관찰기준 확인",IF(N2703&gt;'종합 현황'!$H$5,"내부 관찰 대상","내부 관찰일 이하")))))</x:f>
        <x:v>대상 아님</x:v>
      </x:c>
      <x:c r="AB2703" s="2" t="str">
        <x:v>2021-10-28 20:21 - 신청
2021-12-07 13:59 - 문서재제출요청
2021-12-21 17:24 - 신청
2022-02-22 13:16 - 문서재제출요청
2022-02-23 12:17 - 신청
2022-04-14 12:14 - 검토승인
2022-04-22 17:10 - 심의승인</x:v>
      </x:c>
    </x:row>
    <x:row r="2704" ht="42" customHeight="1">
      <x:c r="A2704" s="2" t="str">
        <x:v>bcd023967b48e3cfdadc3f04</x:v>
      </x:c>
      <x:c r="B2704" s="2" t="str">
        <x:v>감축량 인증</x:v>
      </x:c>
      <x:c r="C2704" s="2" t="str">
        <x:v>국외</x:v>
      </x:c>
      <x:c r="D2704" s="7" t="str">
        <x:v>대한민국이 지원한 우간다 UpEnergy 고효율 쿡스토브 사업-CPA0042</x:v>
      </x:c>
      <x:c r="E2704" s="2" t="str">
        <x:v>289</x:v>
      </x:c>
      <x:c r="F2704" s="2" t="str">
        <x:v>2021-10-28</x:v>
      </x:c>
      <x:c r="G2704" s="2" t="str">
        <x:v>2021</x:v>
      </x:c>
      <x:c r="H2704" s="2" t="str">
        <x:v>10</x:v>
      </x:c>
      <x:c r="I2704" s="2" t="str">
        <x:v>심의승인</x:v>
      </x:c>
      <x:c r="J2704" s="2" t="str">
        <x:v>심의승인</x:v>
      </x:c>
      <x:c r="K2704" s="2" t="str">
        <x:f>IF(OR(J2704="심의승인",J2704="반려",J2704="반려완료",J2704="심의완료"),"종결 표시",IF(OR(J2704="기후부협의",J2704="문서재제출요청",J2704="보류",J2704="보완요청",J2704="보완완료",J2704="평가중",J2704="반려요청",J2704="평가필요",LEFT(J2704,5)="보완요청("),"미종결 표시","상태 확인 필요"))</x:f>
        <x:v>종결 표시</x:v>
      </x:c>
      <x:c r="L2704" s="2" t="str">
        <x:v>에코시안_기샛별</x:v>
      </x:c>
      <x:c r="M2704" s="2"/>
      <x:c r="N2704" s="8" t="n">
        <x:f>DATE(2026,10,15)-DATE(2021,10,28)</x:f>
        <x:v>1813</x:v>
      </x:c>
      <x:c r="O2704" s="2"/>
      <x:c r="P2704" s="2"/>
      <x:c r="Q2704" s="2" t="str">
        <x:v>산업전환_외부사업관리Tool_260707_이너젠 수정_LJY_261013.xlsx</x:v>
      </x:c>
      <x:c r="R2704" s="2" t="str">
        <x:v>국외인증</x:v>
      </x:c>
      <x:c r="S2704" s="8" t="n">
        <x:v>291</x:v>
      </x:c>
      <x:c r="T2704" s="2" t="str">
        <x:v>(11/2)</x:v>
      </x:c>
      <x:c r="U2704" s="2" t="str">
        <x:v>2021 지정: (11/2) / 2022 지정: (1/18)</x:v>
      </x:c>
      <x:c r="V2704" s="2" t="str">
        <x:v>2022-04-22</x:v>
      </x:c>
      <x:c r="W2704" s="2" t="str"/>
      <x:c r="X2704" s="2" t="str">
        <x:v>종결 근거 보관</x:v>
      </x:c>
      <x:c r="Y2704" s="2" t="str">
        <x:v>ad210cd9ec132cfd447541c8984dc53d30aff0f4fb2dc92d254d49275cc55976</x:v>
      </x:c>
      <x:c r="Z2704" s="2" t="n">
        <x:f>SUBTOTAL(103,A2704)</x:f>
        <x:v>1</x:v>
      </x:c>
      <x:c r="AA2704" s="2" t="str">
        <x:f>IF(K2704&lt;&gt;"미종결 표시","대상 아님",IF(N2704="","신청일 확인",IF(NOT(ISNUMBER('종합 현황'!$H$5)),"관찰기준 확인",IF('종합 현황'!$H$5&lt;1,"관찰기준 확인",IF(N2704&gt;'종합 현황'!$H$5,"내부 관찰 대상","내부 관찰일 이하")))))</x:f>
        <x:v>대상 아님</x:v>
      </x:c>
      <x:c r="AB2704" s="2" t="str">
        <x:v>2021-10-28 20:23 - 신청
2021-12-07 14:00 - 문서재제출요청
2021-12-21 17:28 - 신청
2022-02-22 13:16 - 문서재제출요청
2022-02-23 12:18 - 신청
2022-04-14 12:15 - 검토승인
2022-04-22 17:12 - 심의승인</x:v>
      </x:c>
    </x:row>
    <x:row r="2705" ht="42" customHeight="1">
      <x:c r="A2705" s="2" t="str">
        <x:v>8d560f7d6033e0a8ec7448f5</x:v>
      </x:c>
      <x:c r="B2705" s="2" t="str">
        <x:v>감축량 인증</x:v>
      </x:c>
      <x:c r="C2705" s="2" t="str">
        <x:v>국외</x:v>
      </x:c>
      <x:c r="D2705" s="7" t="str">
        <x:v>대한민국이 지원한 우간다 UpEnergy 고효율 쿡스토브 사업-CPA0043</x:v>
      </x:c>
      <x:c r="E2705" s="2" t="str">
        <x:v>290</x:v>
      </x:c>
      <x:c r="F2705" s="2" t="str">
        <x:v>2021-10-28</x:v>
      </x:c>
      <x:c r="G2705" s="2" t="str">
        <x:v>2021</x:v>
      </x:c>
      <x:c r="H2705" s="2" t="str">
        <x:v>10</x:v>
      </x:c>
      <x:c r="I2705" s="2" t="str">
        <x:v>심의승인</x:v>
      </x:c>
      <x:c r="J2705" s="2" t="str">
        <x:v>심의승인</x:v>
      </x:c>
      <x:c r="K2705" s="2" t="str">
        <x:f>IF(OR(J2705="심의승인",J2705="반려",J2705="반려완료",J2705="심의완료"),"종결 표시",IF(OR(J2705="기후부협의",J2705="문서재제출요청",J2705="보류",J2705="보완요청",J2705="보완완료",J2705="평가중",J2705="반려요청",J2705="평가필요",LEFT(J2705,5)="보완요청("),"미종결 표시","상태 확인 필요"))</x:f>
        <x:v>종결 표시</x:v>
      </x:c>
      <x:c r="L2705" s="2" t="str">
        <x:v>에코시안_기샛별</x:v>
      </x:c>
      <x:c r="M2705" s="2"/>
      <x:c r="N2705" s="8" t="n">
        <x:f>DATE(2026,10,15)-DATE(2021,10,28)</x:f>
        <x:v>1813</x:v>
      </x:c>
      <x:c r="O2705" s="2"/>
      <x:c r="P2705" s="2"/>
      <x:c r="Q2705" s="2" t="str">
        <x:v>산업전환_외부사업관리Tool_260707_이너젠 수정_LJY_261013.xlsx</x:v>
      </x:c>
      <x:c r="R2705" s="2" t="str">
        <x:v>국외인증</x:v>
      </x:c>
      <x:c r="S2705" s="8" t="n">
        <x:v>292</x:v>
      </x:c>
      <x:c r="T2705" s="2" t="str">
        <x:v>(11/2)</x:v>
      </x:c>
      <x:c r="U2705" s="2" t="str">
        <x:v>2021 지정: (11/2) / 2022 지정: (1/18)</x:v>
      </x:c>
      <x:c r="V2705" s="2" t="str">
        <x:v>2022-04-22</x:v>
      </x:c>
      <x:c r="W2705" s="2" t="str"/>
      <x:c r="X2705" s="2" t="str">
        <x:v>종결 근거 보관</x:v>
      </x:c>
      <x:c r="Y2705" s="2" t="str">
        <x:v>ad210cd9ec132cfd447541c8984dc53d30aff0f4fb2dc92d254d49275cc55976</x:v>
      </x:c>
      <x:c r="Z2705" s="2" t="n">
        <x:f>SUBTOTAL(103,A2705)</x:f>
        <x:v>1</x:v>
      </x:c>
      <x:c r="AA2705" s="2" t="str">
        <x:f>IF(K2705&lt;&gt;"미종결 표시","대상 아님",IF(N2705="","신청일 확인",IF(NOT(ISNUMBER('종합 현황'!$H$5)),"관찰기준 확인",IF('종합 현황'!$H$5&lt;1,"관찰기준 확인",IF(N2705&gt;'종합 현황'!$H$5,"내부 관찰 대상","내부 관찰일 이하")))))</x:f>
        <x:v>대상 아님</x:v>
      </x:c>
      <x:c r="AB2705" s="2" t="str">
        <x:v>2021-10-28 20:26 - 신청
2021-12-07 14:00 - 문서재제출요청
2021-12-21 17:30 - 신청
2022-02-22 13:17 - 문서재제출요청
2022-02-23 12:19 - 신청
2022-04-14 12:16 - 검토승인
2022-04-22 17:12 - 심의승인</x:v>
      </x:c>
    </x:row>
    <x:row r="2706" ht="42" customHeight="1">
      <x:c r="A2706" s="2" t="str">
        <x:v>f16b464d98f84ecfe61ac862</x:v>
      </x:c>
      <x:c r="B2706" s="2" t="str">
        <x:v>감축량 인증</x:v>
      </x:c>
      <x:c r="C2706" s="2" t="str">
        <x:v>국외</x:v>
      </x:c>
      <x:c r="D2706" s="7" t="str">
        <x:v>대한민국이 지원한 우간다 UpEnergy 고효율 쿡스토브 사업-CPA0044</x:v>
      </x:c>
      <x:c r="E2706" s="2" t="str">
        <x:v>291</x:v>
      </x:c>
      <x:c r="F2706" s="2" t="str">
        <x:v>2021-10-28</x:v>
      </x:c>
      <x:c r="G2706" s="2" t="str">
        <x:v>2021</x:v>
      </x:c>
      <x:c r="H2706" s="2" t="str">
        <x:v>10</x:v>
      </x:c>
      <x:c r="I2706" s="2" t="str">
        <x:v>심의승인</x:v>
      </x:c>
      <x:c r="J2706" s="2" t="str">
        <x:v>심의승인</x:v>
      </x:c>
      <x:c r="K2706" s="2" t="str">
        <x:f>IF(OR(J2706="심의승인",J2706="반려",J2706="반려완료",J2706="심의완료"),"종결 표시",IF(OR(J2706="기후부협의",J2706="문서재제출요청",J2706="보류",J2706="보완요청",J2706="보완완료",J2706="평가중",J2706="반려요청",J2706="평가필요",LEFT(J2706,5)="보완요청("),"미종결 표시","상태 확인 필요"))</x:f>
        <x:v>종결 표시</x:v>
      </x:c>
      <x:c r="L2706" s="2" t="str">
        <x:v>에코시안_기샛별</x:v>
      </x:c>
      <x:c r="M2706" s="2"/>
      <x:c r="N2706" s="8" t="n">
        <x:f>DATE(2026,10,15)-DATE(2021,10,28)</x:f>
        <x:v>1813</x:v>
      </x:c>
      <x:c r="O2706" s="2"/>
      <x:c r="P2706" s="2"/>
      <x:c r="Q2706" s="2" t="str">
        <x:v>산업전환_외부사업관리Tool_260707_이너젠 수정_LJY_261013.xlsx</x:v>
      </x:c>
      <x:c r="R2706" s="2" t="str">
        <x:v>국외인증</x:v>
      </x:c>
      <x:c r="S2706" s="8" t="n">
        <x:v>293</x:v>
      </x:c>
      <x:c r="T2706" s="2" t="str">
        <x:v>(11/2)</x:v>
      </x:c>
      <x:c r="U2706" s="2" t="str">
        <x:v>2021 지정: (11/2) / 2022 지정: (1/18)</x:v>
      </x:c>
      <x:c r="V2706" s="2" t="str">
        <x:v>2022-04-22</x:v>
      </x:c>
      <x:c r="W2706" s="2" t="str"/>
      <x:c r="X2706" s="2" t="str">
        <x:v>종결 근거 보관</x:v>
      </x:c>
      <x:c r="Y2706" s="2" t="str">
        <x:v>ad210cd9ec132cfd447541c8984dc53d30aff0f4fb2dc92d254d49275cc55976</x:v>
      </x:c>
      <x:c r="Z2706" s="2" t="n">
        <x:f>SUBTOTAL(103,A2706)</x:f>
        <x:v>1</x:v>
      </x:c>
      <x:c r="AA2706" s="2" t="str">
        <x:f>IF(K2706&lt;&gt;"미종결 표시","대상 아님",IF(N2706="","신청일 확인",IF(NOT(ISNUMBER('종합 현황'!$H$5)),"관찰기준 확인",IF('종합 현황'!$H$5&lt;1,"관찰기준 확인",IF(N2706&gt;'종합 현황'!$H$5,"내부 관찰 대상","내부 관찰일 이하")))))</x:f>
        <x:v>대상 아님</x:v>
      </x:c>
      <x:c r="AB2706" s="2" t="str">
        <x:v>2021-10-28 20:28 - 신청
2021-12-07 14:00 - 문서재제출요청
2021-12-21 17:32 - 신청
2022-02-22 13:17 - 문서재제출요청
2022-02-23 12:20 - 신청
2022-04-14 12:17 - 검토승인
2022-04-22 17:13 - 심의승인</x:v>
      </x:c>
    </x:row>
    <x:row r="2707" ht="42" customHeight="1">
      <x:c r="A2707" s="2" t="str">
        <x:v>e8e94d58942b45bc26d49d71</x:v>
      </x:c>
      <x:c r="B2707" s="2" t="str">
        <x:v>감축량 인증</x:v>
      </x:c>
      <x:c r="C2707" s="2" t="str">
        <x:v>국외</x:v>
      </x:c>
      <x:c r="D2707" s="7" t="str">
        <x:v>대한민국이 지원한 우간다 UpEnergy 고효율 쿡스토브 사업-CPA0045</x:v>
      </x:c>
      <x:c r="E2707" s="2" t="str">
        <x:v>292</x:v>
      </x:c>
      <x:c r="F2707" s="2" t="str">
        <x:v>2021-10-28</x:v>
      </x:c>
      <x:c r="G2707" s="2" t="str">
        <x:v>2021</x:v>
      </x:c>
      <x:c r="H2707" s="2" t="str">
        <x:v>10</x:v>
      </x:c>
      <x:c r="I2707" s="2" t="str">
        <x:v>심의승인</x:v>
      </x:c>
      <x:c r="J2707" s="2" t="str">
        <x:v>심의승인</x:v>
      </x:c>
      <x:c r="K2707" s="2" t="str">
        <x:f>IF(OR(J2707="심의승인",J2707="반려",J2707="반려완료",J2707="심의완료"),"종결 표시",IF(OR(J2707="기후부협의",J2707="문서재제출요청",J2707="보류",J2707="보완요청",J2707="보완완료",J2707="평가중",J2707="반려요청",J2707="평가필요",LEFT(J2707,5)="보완요청("),"미종결 표시","상태 확인 필요"))</x:f>
        <x:v>종결 표시</x:v>
      </x:c>
      <x:c r="L2707" s="2" t="str">
        <x:v>에코시안_기샛별</x:v>
      </x:c>
      <x:c r="M2707" s="2"/>
      <x:c r="N2707" s="8" t="n">
        <x:f>DATE(2026,10,15)-DATE(2021,10,28)</x:f>
        <x:v>1813</x:v>
      </x:c>
      <x:c r="O2707" s="2"/>
      <x:c r="P2707" s="2"/>
      <x:c r="Q2707" s="2" t="str">
        <x:v>산업전환_외부사업관리Tool_260707_이너젠 수정_LJY_261013.xlsx</x:v>
      </x:c>
      <x:c r="R2707" s="2" t="str">
        <x:v>국외인증</x:v>
      </x:c>
      <x:c r="S2707" s="8" t="n">
        <x:v>294</x:v>
      </x:c>
      <x:c r="T2707" s="2" t="str">
        <x:v>(11/2)</x:v>
      </x:c>
      <x:c r="U2707" s="2" t="str">
        <x:v>2021 지정: (11/2) / 2022 지정: (1/18)</x:v>
      </x:c>
      <x:c r="V2707" s="2" t="str">
        <x:v>2022-04-22</x:v>
      </x:c>
      <x:c r="W2707" s="2" t="str"/>
      <x:c r="X2707" s="2" t="str">
        <x:v>종결 근거 보관</x:v>
      </x:c>
      <x:c r="Y2707" s="2" t="str">
        <x:v>ad210cd9ec132cfd447541c8984dc53d30aff0f4fb2dc92d254d49275cc55976</x:v>
      </x:c>
      <x:c r="Z2707" s="2" t="n">
        <x:f>SUBTOTAL(103,A2707)</x:f>
        <x:v>1</x:v>
      </x:c>
      <x:c r="AA2707" s="2" t="str">
        <x:f>IF(K2707&lt;&gt;"미종결 표시","대상 아님",IF(N2707="","신청일 확인",IF(NOT(ISNUMBER('종합 현황'!$H$5)),"관찰기준 확인",IF('종합 현황'!$H$5&lt;1,"관찰기준 확인",IF(N2707&gt;'종합 현황'!$H$5,"내부 관찰 대상","내부 관찰일 이하")))))</x:f>
        <x:v>대상 아님</x:v>
      </x:c>
      <x:c r="AB2707" s="2" t="str">
        <x:v>2021-10-28 20:31 - 신청
2021-12-07 14:01 - 문서재제출요청
2021-12-21 17:34 - 신청
2022-02-22 13:18 - 문서재제출요청
2022-02-23 12:22 - 신청
2022-04-14 12:17 - 검토승인
2022-04-22 17:14 - 심의승인</x:v>
      </x:c>
    </x:row>
    <x:row r="2708" ht="42" customHeight="1">
      <x:c r="A2708" s="2" t="str">
        <x:v>feb0664a6f403c43bd1d8a51</x:v>
      </x:c>
      <x:c r="B2708" s="2" t="str">
        <x:v>감축량 인증</x:v>
      </x:c>
      <x:c r="C2708" s="2" t="str">
        <x:v>국외</x:v>
      </x:c>
      <x:c r="D2708" s="7" t="str">
        <x:v>안전한 식수 공급을 위한 정수기 보급 사업 : CPA 43(한국 지원)</x:v>
      </x:c>
      <x:c r="E2708" s="2" t="str">
        <x:v>293</x:v>
      </x:c>
      <x:c r="F2708" s="2" t="str">
        <x:v>2021-10-29</x:v>
      </x:c>
      <x:c r="G2708" s="2" t="str">
        <x:v>2021</x:v>
      </x:c>
      <x:c r="H2708" s="2" t="str">
        <x:v>10</x:v>
      </x:c>
      <x:c r="I2708" s="2" t="str">
        <x:v>심의승인</x:v>
      </x:c>
      <x:c r="J2708" s="2" t="str">
        <x:v>심의승인</x:v>
      </x:c>
      <x:c r="K2708" s="2" t="str">
        <x:f>IF(OR(J2708="심의승인",J2708="반려",J2708="반려완료",J2708="심의완료"),"종결 표시",IF(OR(J2708="기후부협의",J2708="문서재제출요청",J2708="보류",J2708="보완요청",J2708="보완완료",J2708="평가중",J2708="반려요청",J2708="평가필요",LEFT(J2708,5)="보완요청("),"미종결 표시","상태 확인 필요"))</x:f>
        <x:v>종결 표시</x:v>
      </x:c>
      <x:c r="L2708" s="2" t="str">
        <x:v>KECM</x:v>
      </x:c>
      <x:c r="M2708" s="2"/>
      <x:c r="N2708" s="8" t="n">
        <x:f>DATE(2026,10,15)-DATE(2021,10,29)</x:f>
        <x:v>1812</x:v>
      </x:c>
      <x:c r="O2708" s="2"/>
      <x:c r="P2708" s="2"/>
      <x:c r="Q2708" s="2" t="str">
        <x:v>산업전환_외부사업관리Tool_260707_이너젠 수정_LJY_261013.xlsx</x:v>
      </x:c>
      <x:c r="R2708" s="2" t="str">
        <x:v>국외인증</x:v>
      </x:c>
      <x:c r="S2708" s="8" t="n">
        <x:v>295</x:v>
      </x:c>
      <x:c r="T2708" s="2" t="str">
        <x:v>(11/2),(12/1)</x:v>
      </x:c>
      <x:c r="U2708" s="2" t="str">
        <x:v>2021 지정: (11/2),(12/1) / 2022 지정: (1/18)(5/18)</x:v>
      </x:c>
      <x:c r="V2708" s="2" t="str">
        <x:v>2022-07-15</x:v>
      </x:c>
      <x:c r="W2708" s="2" t="str"/>
      <x:c r="X2708" s="2" t="str">
        <x:v>종결 근거 보관</x:v>
      </x:c>
      <x:c r="Y2708" s="2" t="str">
        <x:v>ad210cd9ec132cfd447541c8984dc53d30aff0f4fb2dc92d254d49275cc55976</x:v>
      </x:c>
      <x:c r="Z2708" s="2" t="n">
        <x:f>SUBTOTAL(103,A2708)</x:f>
        <x:v>1</x:v>
      </x:c>
      <x:c r="AA2708" s="2" t="str">
        <x:f>IF(K2708&lt;&gt;"미종결 표시","대상 아님",IF(N2708="","신청일 확인",IF(NOT(ISNUMBER('종합 현황'!$H$5)),"관찰기준 확인",IF('종합 현황'!$H$5&lt;1,"관찰기준 확인",IF(N2708&gt;'종합 현황'!$H$5,"내부 관찰 대상","내부 관찰일 이하")))))</x:f>
        <x:v>대상 아님</x:v>
      </x:c>
      <x:c r="AB2708" s="2" t="str">
        <x:v>2021-10-29 17:27 - 신청
2021-11-24 11:34 - 보완요청
2021-11-26 12:04 - 신청
2021-12-29 09:59 - 문서재제출요청
2021-12-30 18:11 - 신청
2022-01-18 09:38 - 문서재제출요청
2022-01-18 13:00 - 신청
2022-02-23 15:52 - 문서재제출요청
2022-02-24 10:47 - 신청
2022-04-21 15:56 - 문서재제출요청
2022-04-22 16:17 - 신청
2022-07-05 16:58 - 검토승인
2022-07-15 17:13 - 심의승인</x:v>
      </x:c>
    </x:row>
    <x:row r="2709" ht="42" customHeight="1">
      <x:c r="A2709" s="2" t="str">
        <x:v>44d2956cdb1786f3231478c6</x:v>
      </x:c>
      <x:c r="B2709" s="2" t="str">
        <x:v>감축량 인증</x:v>
      </x:c>
      <x:c r="C2709" s="2" t="str">
        <x:v>국외</x:v>
      </x:c>
      <x:c r="D2709" s="7" t="str">
        <x:v>안전한 식수 공급을 위한 정수기 보급 사업 : CPA 44(한국 지원)</x:v>
      </x:c>
      <x:c r="E2709" s="2" t="str">
        <x:v>294</x:v>
      </x:c>
      <x:c r="F2709" s="2" t="str">
        <x:v>2021-10-29</x:v>
      </x:c>
      <x:c r="G2709" s="2" t="str">
        <x:v>2021</x:v>
      </x:c>
      <x:c r="H2709" s="2" t="str">
        <x:v>10</x:v>
      </x:c>
      <x:c r="I2709" s="2" t="str">
        <x:v>심의승인</x:v>
      </x:c>
      <x:c r="J2709" s="2" t="str">
        <x:v>심의승인</x:v>
      </x:c>
      <x:c r="K2709" s="2" t="str">
        <x:f>IF(OR(J2709="심의승인",J2709="반려",J2709="반려완료",J2709="심의완료"),"종결 표시",IF(OR(J2709="기후부협의",J2709="문서재제출요청",J2709="보류",J2709="보완요청",J2709="보완완료",J2709="평가중",J2709="반려요청",J2709="평가필요",LEFT(J2709,5)="보완요청("),"미종결 표시","상태 확인 필요"))</x:f>
        <x:v>종결 표시</x:v>
      </x:c>
      <x:c r="L2709" s="2" t="str">
        <x:v>KECM</x:v>
      </x:c>
      <x:c r="M2709" s="2"/>
      <x:c r="N2709" s="8" t="n">
        <x:f>DATE(2026,10,15)-DATE(2021,10,29)</x:f>
        <x:v>1812</x:v>
      </x:c>
      <x:c r="O2709" s="2"/>
      <x:c r="P2709" s="2"/>
      <x:c r="Q2709" s="2" t="str">
        <x:v>산업전환_외부사업관리Tool_260707_이너젠 수정_LJY_261013.xlsx</x:v>
      </x:c>
      <x:c r="R2709" s="2" t="str">
        <x:v>국외인증</x:v>
      </x:c>
      <x:c r="S2709" s="8" t="n">
        <x:v>296</x:v>
      </x:c>
      <x:c r="T2709" s="2" t="str">
        <x:v>(11/2),(12/1)</x:v>
      </x:c>
      <x:c r="U2709" s="2" t="str">
        <x:v>2021 지정: (11/2),(12/1) / 2022 지정: (1/18)(5/18)</x:v>
      </x:c>
      <x:c r="V2709" s="2" t="str">
        <x:v>2022-07-15</x:v>
      </x:c>
      <x:c r="W2709" s="2" t="str"/>
      <x:c r="X2709" s="2" t="str">
        <x:v>종결 근거 보관</x:v>
      </x:c>
      <x:c r="Y2709" s="2" t="str">
        <x:v>ad210cd9ec132cfd447541c8984dc53d30aff0f4fb2dc92d254d49275cc55976</x:v>
      </x:c>
      <x:c r="Z2709" s="2" t="n">
        <x:f>SUBTOTAL(103,A2709)</x:f>
        <x:v>1</x:v>
      </x:c>
      <x:c r="AA2709" s="2" t="str">
        <x:f>IF(K2709&lt;&gt;"미종결 표시","대상 아님",IF(N2709="","신청일 확인",IF(NOT(ISNUMBER('종합 현황'!$H$5)),"관찰기준 확인",IF('종합 현황'!$H$5&lt;1,"관찰기준 확인",IF(N2709&gt;'종합 현황'!$H$5,"내부 관찰 대상","내부 관찰일 이하")))))</x:f>
        <x:v>대상 아님</x:v>
      </x:c>
      <x:c r="AB2709" s="2" t="str">
        <x:v>2021-10-29 17:27 - 신청
2021-11-24 10:44 - 보완요청
2021-11-26 12:04 - 신청
2021-12-29 10:00 - 문서재제출요청
2021-12-30 18:12 - 신청
2022-01-18 09:39 - 문서재제출요청
2022-01-18 13:02 - 신청
2022-02-23 15:53 - 문서재제출요청
2022-02-24 10:48 - 신청
2022-04-21 15:56 - 문서재제출요청
2022-04-22 16:17 - 신청
2022-07-05 16:57 - 검토승인
2022-07-15 17:13 - 심의승인</x:v>
      </x:c>
    </x:row>
    <x:row r="2710" ht="42" customHeight="1">
      <x:c r="A2710" s="2" t="str">
        <x:v>708c0056b98c84fdedaaef9b</x:v>
      </x:c>
      <x:c r="B2710" s="2" t="str">
        <x:v>감축량 인증</x:v>
      </x:c>
      <x:c r="C2710" s="2" t="str">
        <x:v>국외</x:v>
      </x:c>
      <x:c r="D2710" s="7" t="str">
        <x:v>안전한 식수 공급을 위한 정수기 보급 사업 : CPA 45(한국 지원)</x:v>
      </x:c>
      <x:c r="E2710" s="2" t="str">
        <x:v>295</x:v>
      </x:c>
      <x:c r="F2710" s="2" t="str">
        <x:v>2021-10-29</x:v>
      </x:c>
      <x:c r="G2710" s="2" t="str">
        <x:v>2021</x:v>
      </x:c>
      <x:c r="H2710" s="2" t="str">
        <x:v>10</x:v>
      </x:c>
      <x:c r="I2710" s="2" t="str">
        <x:v>심의승인</x:v>
      </x:c>
      <x:c r="J2710" s="2" t="str">
        <x:v>심의승인</x:v>
      </x:c>
      <x:c r="K2710" s="2" t="str">
        <x:f>IF(OR(J2710="심의승인",J2710="반려",J2710="반려완료",J2710="심의완료"),"종결 표시",IF(OR(J2710="기후부협의",J2710="문서재제출요청",J2710="보류",J2710="보완요청",J2710="보완완료",J2710="평가중",J2710="반려요청",J2710="평가필요",LEFT(J2710,5)="보완요청("),"미종결 표시","상태 확인 필요"))</x:f>
        <x:v>종결 표시</x:v>
      </x:c>
      <x:c r="L2710" s="2" t="str">
        <x:v>KECM</x:v>
      </x:c>
      <x:c r="M2710" s="2"/>
      <x:c r="N2710" s="8" t="n">
        <x:f>DATE(2026,10,15)-DATE(2021,10,29)</x:f>
        <x:v>1812</x:v>
      </x:c>
      <x:c r="O2710" s="2"/>
      <x:c r="P2710" s="2"/>
      <x:c r="Q2710" s="2" t="str">
        <x:v>산업전환_외부사업관리Tool_260707_이너젠 수정_LJY_261013.xlsx</x:v>
      </x:c>
      <x:c r="R2710" s="2" t="str">
        <x:v>국외인증</x:v>
      </x:c>
      <x:c r="S2710" s="8" t="n">
        <x:v>297</x:v>
      </x:c>
      <x:c r="T2710" s="2" t="str">
        <x:v>(11/2),(12/1)</x:v>
      </x:c>
      <x:c r="U2710" s="2" t="str">
        <x:v>2021 지정: (11/2),(12/1) / 2022 지정: (1/18)(5/18)</x:v>
      </x:c>
      <x:c r="V2710" s="2" t="str">
        <x:v>2022-07-15</x:v>
      </x:c>
      <x:c r="W2710" s="2" t="str"/>
      <x:c r="X2710" s="2" t="str">
        <x:v>종결 근거 보관</x:v>
      </x:c>
      <x:c r="Y2710" s="2" t="str">
        <x:v>ad210cd9ec132cfd447541c8984dc53d30aff0f4fb2dc92d254d49275cc55976</x:v>
      </x:c>
      <x:c r="Z2710" s="2" t="n">
        <x:f>SUBTOTAL(103,A2710)</x:f>
        <x:v>1</x:v>
      </x:c>
      <x:c r="AA2710" s="2" t="str">
        <x:f>IF(K2710&lt;&gt;"미종결 표시","대상 아님",IF(N2710="","신청일 확인",IF(NOT(ISNUMBER('종합 현황'!$H$5)),"관찰기준 확인",IF('종합 현황'!$H$5&lt;1,"관찰기준 확인",IF(N2710&gt;'종합 현황'!$H$5,"내부 관찰 대상","내부 관찰일 이하")))))</x:f>
        <x:v>대상 아님</x:v>
      </x:c>
      <x:c r="AB2710" s="2" t="str">
        <x:v>2021-10-29 17:27 - 신청
2021-11-24 10:46 - 보완요청
2021-11-26 12:04 - 신청
2021-12-29 10:02 - 문서재제출요청
2021-12-30 18:12 - 신청
2022-01-18 09:42 - 문서재제출요청
2022-01-18 13:02 - 신청
2022-02-23 15:53 - 문서재제출요청
2022-02-24 10:49 - 신청
2022-04-21 15:57 - 문서재제출요청
2022-04-22 16:17 - 신청
2022-07-05 16:57 - 검토승인
2022-07-15 17:14 - 심의승인</x:v>
      </x:c>
    </x:row>
    <x:row r="2711" ht="42" customHeight="1">
      <x:c r="A2711" s="2" t="str">
        <x:v>8bf538e39597ad66b468240d</x:v>
      </x:c>
      <x:c r="B2711" s="2" t="str">
        <x:v>감축량 인증</x:v>
      </x:c>
      <x:c r="C2711" s="2" t="str">
        <x:v>국외</x:v>
      </x:c>
      <x:c r="D2711" s="7" t="str">
        <x:v>안전한 식수 공급을 위한 정수기 보급 사업 : CPA 46(한국 지원)</x:v>
      </x:c>
      <x:c r="E2711" s="2" t="str">
        <x:v>296</x:v>
      </x:c>
      <x:c r="F2711" s="2" t="str">
        <x:v>2021-10-29</x:v>
      </x:c>
      <x:c r="G2711" s="2" t="str">
        <x:v>2021</x:v>
      </x:c>
      <x:c r="H2711" s="2" t="str">
        <x:v>10</x:v>
      </x:c>
      <x:c r="I2711" s="2" t="str">
        <x:v>심의승인</x:v>
      </x:c>
      <x:c r="J2711" s="2" t="str">
        <x:v>심의승인</x:v>
      </x:c>
      <x:c r="K2711" s="2" t="str">
        <x:f>IF(OR(J2711="심의승인",J2711="반려",J2711="반려완료",J2711="심의완료"),"종결 표시",IF(OR(J2711="기후부협의",J2711="문서재제출요청",J2711="보류",J2711="보완요청",J2711="보완완료",J2711="평가중",J2711="반려요청",J2711="평가필요",LEFT(J2711,5)="보완요청("),"미종결 표시","상태 확인 필요"))</x:f>
        <x:v>종결 표시</x:v>
      </x:c>
      <x:c r="L2711" s="2" t="str">
        <x:v>KECM</x:v>
      </x:c>
      <x:c r="M2711" s="2"/>
      <x:c r="N2711" s="8" t="n">
        <x:f>DATE(2026,10,15)-DATE(2021,10,29)</x:f>
        <x:v>1812</x:v>
      </x:c>
      <x:c r="O2711" s="2"/>
      <x:c r="P2711" s="2"/>
      <x:c r="Q2711" s="2" t="str">
        <x:v>산업전환_외부사업관리Tool_260707_이너젠 수정_LJY_261013.xlsx</x:v>
      </x:c>
      <x:c r="R2711" s="2" t="str">
        <x:v>국외인증</x:v>
      </x:c>
      <x:c r="S2711" s="8" t="n">
        <x:v>298</x:v>
      </x:c>
      <x:c r="T2711" s="2" t="str">
        <x:v>(11/2),(12/1)</x:v>
      </x:c>
      <x:c r="U2711" s="2" t="str">
        <x:v>2021 지정: (11/2),(12/1) / 2022 지정: (1/18)(5/18)</x:v>
      </x:c>
      <x:c r="V2711" s="2" t="str">
        <x:v>2022-07-15</x:v>
      </x:c>
      <x:c r="W2711" s="2" t="str"/>
      <x:c r="X2711" s="2" t="str">
        <x:v>종결 근거 보관</x:v>
      </x:c>
      <x:c r="Y2711" s="2" t="str">
        <x:v>ad210cd9ec132cfd447541c8984dc53d30aff0f4fb2dc92d254d49275cc55976</x:v>
      </x:c>
      <x:c r="Z2711" s="2" t="n">
        <x:f>SUBTOTAL(103,A2711)</x:f>
        <x:v>1</x:v>
      </x:c>
      <x:c r="AA2711" s="2" t="str">
        <x:f>IF(K2711&lt;&gt;"미종결 표시","대상 아님",IF(N2711="","신청일 확인",IF(NOT(ISNUMBER('종합 현황'!$H$5)),"관찰기준 확인",IF('종합 현황'!$H$5&lt;1,"관찰기준 확인",IF(N2711&gt;'종합 현황'!$H$5,"내부 관찰 대상","내부 관찰일 이하")))))</x:f>
        <x:v>대상 아님</x:v>
      </x:c>
      <x:c r="AB2711" s="2" t="str">
        <x:v>2021-10-29 17:27 - 신청
2021-11-24 10:47 - 보완요청
2021-11-26 12:05 - 신청
2021-12-29 09:57 - 문서재제출요청
2021-12-30 18:12 - 신청
2022-01-18 09:40 - 문서재제출요청
2022-01-18 13:02 - 신청
2022-02-23 15:53 - 문서재제출요청
2022-02-24 10:50 - 신청
2022-04-21 15:57 - 문서재제출요청
2022-04-22 16:17 - 신청
2022-07-05 16:57 - 검토승인
2022-07-15 17:14 - 심의승인</x:v>
      </x:c>
    </x:row>
    <x:row r="2712" ht="42" customHeight="1">
      <x:c r="A2712" s="2" t="str">
        <x:v>ae555b4c9ffb60947dd63ee0</x:v>
      </x:c>
      <x:c r="B2712" s="2" t="str">
        <x:v>감축량 인증</x:v>
      </x:c>
      <x:c r="C2712" s="2" t="str">
        <x:v>국외</x:v>
      </x:c>
      <x:c r="D2712" s="7" t="str">
        <x:v>안전한 식수 공급을 위한 정수기 보급 사업 : CPA 47(한국 지원)</x:v>
      </x:c>
      <x:c r="E2712" s="2" t="str">
        <x:v>297</x:v>
      </x:c>
      <x:c r="F2712" s="2" t="str">
        <x:v>2021-10-29</x:v>
      </x:c>
      <x:c r="G2712" s="2" t="str">
        <x:v>2021</x:v>
      </x:c>
      <x:c r="H2712" s="2" t="str">
        <x:v>10</x:v>
      </x:c>
      <x:c r="I2712" s="2" t="str">
        <x:v>심의승인</x:v>
      </x:c>
      <x:c r="J2712" s="2" t="str">
        <x:v>심의승인</x:v>
      </x:c>
      <x:c r="K2712" s="2" t="str">
        <x:f>IF(OR(J2712="심의승인",J2712="반려",J2712="반려완료",J2712="심의완료"),"종결 표시",IF(OR(J2712="기후부협의",J2712="문서재제출요청",J2712="보류",J2712="보완요청",J2712="보완완료",J2712="평가중",J2712="반려요청",J2712="평가필요",LEFT(J2712,5)="보완요청("),"미종결 표시","상태 확인 필요"))</x:f>
        <x:v>종결 표시</x:v>
      </x:c>
      <x:c r="L2712" s="2" t="str">
        <x:v>KECM</x:v>
      </x:c>
      <x:c r="M2712" s="2"/>
      <x:c r="N2712" s="8" t="n">
        <x:f>DATE(2026,10,15)-DATE(2021,10,29)</x:f>
        <x:v>1812</x:v>
      </x:c>
      <x:c r="O2712" s="2"/>
      <x:c r="P2712" s="2"/>
      <x:c r="Q2712" s="2" t="str">
        <x:v>산업전환_외부사업관리Tool_260707_이너젠 수정_LJY_261013.xlsx</x:v>
      </x:c>
      <x:c r="R2712" s="2" t="str">
        <x:v>국외인증</x:v>
      </x:c>
      <x:c r="S2712" s="8" t="n">
        <x:v>299</x:v>
      </x:c>
      <x:c r="T2712" s="2" t="str">
        <x:v>(11/2),(12/1)</x:v>
      </x:c>
      <x:c r="U2712" s="2" t="str">
        <x:v>2021 지정: (11/2),(12/1) / 2022 지정: (1/18)(5/18)</x:v>
      </x:c>
      <x:c r="V2712" s="2" t="str">
        <x:v>2022-07-15</x:v>
      </x:c>
      <x:c r="W2712" s="2" t="str"/>
      <x:c r="X2712" s="2" t="str">
        <x:v>종결 근거 보관</x:v>
      </x:c>
      <x:c r="Y2712" s="2" t="str">
        <x:v>ad210cd9ec132cfd447541c8984dc53d30aff0f4fb2dc92d254d49275cc55976</x:v>
      </x:c>
      <x:c r="Z2712" s="2" t="n">
        <x:f>SUBTOTAL(103,A2712)</x:f>
        <x:v>1</x:v>
      </x:c>
      <x:c r="AA2712" s="2" t="str">
        <x:f>IF(K2712&lt;&gt;"미종결 표시","대상 아님",IF(N2712="","신청일 확인",IF(NOT(ISNUMBER('종합 현황'!$H$5)),"관찰기준 확인",IF('종합 현황'!$H$5&lt;1,"관찰기준 확인",IF(N2712&gt;'종합 현황'!$H$5,"내부 관찰 대상","내부 관찰일 이하")))))</x:f>
        <x:v>대상 아님</x:v>
      </x:c>
      <x:c r="AB2712" s="2" t="str">
        <x:v>2021-10-29 17:27 - 신청
2021-11-24 10:48 - 보완요청
2021-11-26 12:05 - 신청
2021-12-29 10:02 - 문서재제출요청
2021-12-30 18:13 - 신청
2022-01-18 09:40 - 문서재제출요청
2022-01-18 13:03 - 신청
2022-02-23 15:54 - 문서재제출요청
2022-02-24 10:50 - 신청
2022-04-21 15:57 - 문서재제출요청
2022-04-22 16:17 - 신청
2022-07-05 16:57 - 검토승인
2022-07-15 17:15 - 심의승인</x:v>
      </x:c>
    </x:row>
    <x:row r="2713" ht="42" customHeight="1">
      <x:c r="A2713" s="2" t="str">
        <x:v>58975251b7eed32b41411690</x:v>
      </x:c>
      <x:c r="B2713" s="2" t="str">
        <x:v>감축량 인증</x:v>
      </x:c>
      <x:c r="C2713" s="2" t="str">
        <x:v>국외</x:v>
      </x:c>
      <x:c r="D2713" s="7" t="str">
        <x:v>안전한 식수 공급을 위한 정수기 보급 사업 : CPA 48(한국 지원)</x:v>
      </x:c>
      <x:c r="E2713" s="2" t="str">
        <x:v>298</x:v>
      </x:c>
      <x:c r="F2713" s="2" t="str">
        <x:v>2021-10-29</x:v>
      </x:c>
      <x:c r="G2713" s="2" t="str">
        <x:v>2021</x:v>
      </x:c>
      <x:c r="H2713" s="2" t="str">
        <x:v>10</x:v>
      </x:c>
      <x:c r="I2713" s="2" t="str">
        <x:v>심의승인</x:v>
      </x:c>
      <x:c r="J2713" s="2" t="str">
        <x:v>심의승인</x:v>
      </x:c>
      <x:c r="K2713" s="2" t="str">
        <x:f>IF(OR(J2713="심의승인",J2713="반려",J2713="반려완료",J2713="심의완료"),"종결 표시",IF(OR(J2713="기후부협의",J2713="문서재제출요청",J2713="보류",J2713="보완요청",J2713="보완완료",J2713="평가중",J2713="반려요청",J2713="평가필요",LEFT(J2713,5)="보완요청("),"미종결 표시","상태 확인 필요"))</x:f>
        <x:v>종결 표시</x:v>
      </x:c>
      <x:c r="L2713" s="2" t="str">
        <x:v>KECM</x:v>
      </x:c>
      <x:c r="M2713" s="2"/>
      <x:c r="N2713" s="8" t="n">
        <x:f>DATE(2026,10,15)-DATE(2021,10,29)</x:f>
        <x:v>1812</x:v>
      </x:c>
      <x:c r="O2713" s="2"/>
      <x:c r="P2713" s="2"/>
      <x:c r="Q2713" s="2" t="str">
        <x:v>산업전환_외부사업관리Tool_260707_이너젠 수정_LJY_261013.xlsx</x:v>
      </x:c>
      <x:c r="R2713" s="2" t="str">
        <x:v>국외인증</x:v>
      </x:c>
      <x:c r="S2713" s="8" t="n">
        <x:v>300</x:v>
      </x:c>
      <x:c r="T2713" s="2" t="str">
        <x:v>(11/2),(12/1)</x:v>
      </x:c>
      <x:c r="U2713" s="2" t="str">
        <x:v>2021 지정: (11/2),(12/1) / 2022 지정: (1/18)(5/18)</x:v>
      </x:c>
      <x:c r="V2713" s="2" t="str">
        <x:v>2022-07-15</x:v>
      </x:c>
      <x:c r="W2713" s="2" t="str"/>
      <x:c r="X2713" s="2" t="str">
        <x:v>종결 근거 보관</x:v>
      </x:c>
      <x:c r="Y2713" s="2" t="str">
        <x:v>ad210cd9ec132cfd447541c8984dc53d30aff0f4fb2dc92d254d49275cc55976</x:v>
      </x:c>
      <x:c r="Z2713" s="2" t="n">
        <x:f>SUBTOTAL(103,A2713)</x:f>
        <x:v>1</x:v>
      </x:c>
      <x:c r="AA2713" s="2" t="str">
        <x:f>IF(K2713&lt;&gt;"미종결 표시","대상 아님",IF(N2713="","신청일 확인",IF(NOT(ISNUMBER('종합 현황'!$H$5)),"관찰기준 확인",IF('종합 현황'!$H$5&lt;1,"관찰기준 확인",IF(N2713&gt;'종합 현황'!$H$5,"내부 관찰 대상","내부 관찰일 이하")))))</x:f>
        <x:v>대상 아님</x:v>
      </x:c>
      <x:c r="AB2713" s="2" t="str">
        <x:v>2021-10-29 17:27 - 신청
2021-11-24 10:49 - 보완요청
2021-11-26 12:05 - 신청
2021-12-29 10:03 - 문서재제출요청
2021-12-30 18:13 - 신청
2022-01-18 09:40 - 문서재제출요청
2022-01-18 13:03 - 신청
2022-02-23 15:54 - 문서재제출요청
2022-02-24 10:51 - 신청
2022-04-21 15:58 - 문서재제출요청
2022-04-22 16:17 - 신청
2022-07-05 16:56 - 검토승인
2022-07-15 17:16 - 심의승인</x:v>
      </x:c>
    </x:row>
    <x:row r="2714" ht="42" customHeight="1">
      <x:c r="A2714" s="2" t="str">
        <x:v>abecc33a6ee12ecc0abe6587</x:v>
      </x:c>
      <x:c r="B2714" s="2" t="str">
        <x:v>감축량 인증</x:v>
      </x:c>
      <x:c r="C2714" s="2" t="str">
        <x:v>국외</x:v>
      </x:c>
      <x:c r="D2714" s="7" t="str">
        <x:v>안전한 식수 공급을 위한 정수기 보급 사업 : CPA 49(한국 지원)</x:v>
      </x:c>
      <x:c r="E2714" s="2" t="str">
        <x:v>299</x:v>
      </x:c>
      <x:c r="F2714" s="2" t="str">
        <x:v>2021-10-29</x:v>
      </x:c>
      <x:c r="G2714" s="2" t="str">
        <x:v>2021</x:v>
      </x:c>
      <x:c r="H2714" s="2" t="str">
        <x:v>10</x:v>
      </x:c>
      <x:c r="I2714" s="2" t="str">
        <x:v>심의승인</x:v>
      </x:c>
      <x:c r="J2714" s="2" t="str">
        <x:v>심의승인</x:v>
      </x:c>
      <x:c r="K2714" s="2" t="str">
        <x:f>IF(OR(J2714="심의승인",J2714="반려",J2714="반려완료",J2714="심의완료"),"종결 표시",IF(OR(J2714="기후부협의",J2714="문서재제출요청",J2714="보류",J2714="보완요청",J2714="보완완료",J2714="평가중",J2714="반려요청",J2714="평가필요",LEFT(J2714,5)="보완요청("),"미종결 표시","상태 확인 필요"))</x:f>
        <x:v>종결 표시</x:v>
      </x:c>
      <x:c r="L2714" s="2" t="str">
        <x:v>KECM</x:v>
      </x:c>
      <x:c r="M2714" s="2"/>
      <x:c r="N2714" s="8" t="n">
        <x:f>DATE(2026,10,15)-DATE(2021,10,29)</x:f>
        <x:v>1812</x:v>
      </x:c>
      <x:c r="O2714" s="2"/>
      <x:c r="P2714" s="2"/>
      <x:c r="Q2714" s="2" t="str">
        <x:v>산업전환_외부사업관리Tool_260707_이너젠 수정_LJY_261013.xlsx</x:v>
      </x:c>
      <x:c r="R2714" s="2" t="str">
        <x:v>국외인증</x:v>
      </x:c>
      <x:c r="S2714" s="8" t="n">
        <x:v>301</x:v>
      </x:c>
      <x:c r="T2714" s="2" t="str">
        <x:v>(11/2),(12/1)</x:v>
      </x:c>
      <x:c r="U2714" s="2" t="str">
        <x:v>2021 지정: (11/2),(12/1) / 2022 지정: (1/18)(5/18)</x:v>
      </x:c>
      <x:c r="V2714" s="2" t="str">
        <x:v>2022-07-15</x:v>
      </x:c>
      <x:c r="W2714" s="2" t="str"/>
      <x:c r="X2714" s="2" t="str">
        <x:v>종결 근거 보관</x:v>
      </x:c>
      <x:c r="Y2714" s="2" t="str">
        <x:v>ad210cd9ec132cfd447541c8984dc53d30aff0f4fb2dc92d254d49275cc55976</x:v>
      </x:c>
      <x:c r="Z2714" s="2" t="n">
        <x:f>SUBTOTAL(103,A2714)</x:f>
        <x:v>1</x:v>
      </x:c>
      <x:c r="AA2714" s="2" t="str">
        <x:f>IF(K2714&lt;&gt;"미종결 표시","대상 아님",IF(N2714="","신청일 확인",IF(NOT(ISNUMBER('종합 현황'!$H$5)),"관찰기준 확인",IF('종합 현황'!$H$5&lt;1,"관찰기준 확인",IF(N2714&gt;'종합 현황'!$H$5,"내부 관찰 대상","내부 관찰일 이하")))))</x:f>
        <x:v>대상 아님</x:v>
      </x:c>
      <x:c r="AB2714" s="2" t="str">
        <x:v>2021-10-29 17:27 - 신청
2021-11-24 10:50 - 보완요청
2021-11-26 12:05 - 신청
2021-12-29 10:03 - 문서재제출요청
2021-12-30 18:14 - 신청
2022-01-18 09:40 - 문서재제출요청
2022-01-18 13:03 - 신청
2022-02-23 15:55 - 문서재제출요청
2022-02-24 10:51 - 신청
2022-04-21 15:58 - 문서재제출요청
2022-04-22 16:17 - 신청
2022-07-05 16:56 - 검토승인
2022-07-15 17:16 - 심의승인</x:v>
      </x:c>
    </x:row>
    <x:row r="2715" ht="42" customHeight="1">
      <x:c r="A2715" s="2" t="str">
        <x:v>08d69540aa353469fae27945</x:v>
      </x:c>
      <x:c r="B2715" s="2" t="str">
        <x:v>감축량 인증</x:v>
      </x:c>
      <x:c r="C2715" s="2" t="str">
        <x:v>국외</x:v>
      </x:c>
      <x:c r="D2715" s="7" t="str">
        <x:v>안전한 식수 공급을 위한 정수기 보급 사업 : CPA 50(한국 지원)</x:v>
      </x:c>
      <x:c r="E2715" s="2" t="str">
        <x:v>300</x:v>
      </x:c>
      <x:c r="F2715" s="2" t="str">
        <x:v>2021-10-29</x:v>
      </x:c>
      <x:c r="G2715" s="2" t="str">
        <x:v>2021</x:v>
      </x:c>
      <x:c r="H2715" s="2" t="str">
        <x:v>10</x:v>
      </x:c>
      <x:c r="I2715" s="2" t="str">
        <x:v>심의승인</x:v>
      </x:c>
      <x:c r="J2715" s="2" t="str">
        <x:v>심의승인</x:v>
      </x:c>
      <x:c r="K2715" s="2" t="str">
        <x:f>IF(OR(J2715="심의승인",J2715="반려",J2715="반려완료",J2715="심의완료"),"종결 표시",IF(OR(J2715="기후부협의",J2715="문서재제출요청",J2715="보류",J2715="보완요청",J2715="보완완료",J2715="평가중",J2715="반려요청",J2715="평가필요",LEFT(J2715,5)="보완요청("),"미종결 표시","상태 확인 필요"))</x:f>
        <x:v>종결 표시</x:v>
      </x:c>
      <x:c r="L2715" s="2" t="str">
        <x:v>KECM</x:v>
      </x:c>
      <x:c r="M2715" s="2"/>
      <x:c r="N2715" s="8" t="n">
        <x:f>DATE(2026,10,15)-DATE(2021,10,29)</x:f>
        <x:v>1812</x:v>
      </x:c>
      <x:c r="O2715" s="2"/>
      <x:c r="P2715" s="2"/>
      <x:c r="Q2715" s="2" t="str">
        <x:v>산업전환_외부사업관리Tool_260707_이너젠 수정_LJY_261013.xlsx</x:v>
      </x:c>
      <x:c r="R2715" s="2" t="str">
        <x:v>국외인증</x:v>
      </x:c>
      <x:c r="S2715" s="8" t="n">
        <x:v>302</x:v>
      </x:c>
      <x:c r="T2715" s="2" t="str">
        <x:v>(11/2),(12/1)</x:v>
      </x:c>
      <x:c r="U2715" s="2" t="str">
        <x:v>2021 지정: (11/2),(12/1) / 2022 지정: (1/18)(5/18)</x:v>
      </x:c>
      <x:c r="V2715" s="2" t="str">
        <x:v>2022-07-15</x:v>
      </x:c>
      <x:c r="W2715" s="2" t="str"/>
      <x:c r="X2715" s="2" t="str">
        <x:v>종결 근거 보관</x:v>
      </x:c>
      <x:c r="Y2715" s="2" t="str">
        <x:v>ad210cd9ec132cfd447541c8984dc53d30aff0f4fb2dc92d254d49275cc55976</x:v>
      </x:c>
      <x:c r="Z2715" s="2" t="n">
        <x:f>SUBTOTAL(103,A2715)</x:f>
        <x:v>1</x:v>
      </x:c>
      <x:c r="AA2715" s="2" t="str">
        <x:f>IF(K2715&lt;&gt;"미종결 표시","대상 아님",IF(N2715="","신청일 확인",IF(NOT(ISNUMBER('종합 현황'!$H$5)),"관찰기준 확인",IF('종합 현황'!$H$5&lt;1,"관찰기준 확인",IF(N2715&gt;'종합 현황'!$H$5,"내부 관찰 대상","내부 관찰일 이하")))))</x:f>
        <x:v>대상 아님</x:v>
      </x:c>
      <x:c r="AB2715" s="2" t="str">
        <x:v>2021-10-29 17:26 - 신청
2021-11-24 10:51 - 보완요청
2021-11-26 12:05 - 신청
2021-12-29 10:03 - 문서재제출요청
2021-12-30 18:14 - 신청
2022-01-18 09:41 - 문서재제출요청
2022-01-18 13:03 - 신청
2022-02-23 15:55 - 문서재제출요청
2022-02-24 10:52 - 신청
2022-04-21 15:58 - 문서재제출요청
2022-04-22 16:17 - 신청
2022-07-05 16:55 - 검토승인
2022-07-15 17:17 - 심의승인</x:v>
      </x:c>
    </x:row>
    <x:row r="2716" ht="42" customHeight="1">
      <x:c r="A2716" s="2" t="str">
        <x:v>32651ead4bd90c3ba89d4ac7</x:v>
      </x:c>
      <x:c r="B2716" s="2" t="str">
        <x:v>감축량 인증</x:v>
      </x:c>
      <x:c r="C2716" s="2" t="str">
        <x:v>국외</x:v>
      </x:c>
      <x:c r="D2716" s="7" t="str">
        <x:v>안전한 식수 공급을 위한 정수기 보급 사업 : CPA 51(한국 지원)</x:v>
      </x:c>
      <x:c r="E2716" s="2" t="str">
        <x:v>301</x:v>
      </x:c>
      <x:c r="F2716" s="2" t="str">
        <x:v>2021-10-29</x:v>
      </x:c>
      <x:c r="G2716" s="2" t="str">
        <x:v>2021</x:v>
      </x:c>
      <x:c r="H2716" s="2" t="str">
        <x:v>10</x:v>
      </x:c>
      <x:c r="I2716" s="2" t="str">
        <x:v>심의승인</x:v>
      </x:c>
      <x:c r="J2716" s="2" t="str">
        <x:v>심의승인</x:v>
      </x:c>
      <x:c r="K2716" s="2" t="str">
        <x:f>IF(OR(J2716="심의승인",J2716="반려",J2716="반려완료",J2716="심의완료"),"종결 표시",IF(OR(J2716="기후부협의",J2716="문서재제출요청",J2716="보류",J2716="보완요청",J2716="보완완료",J2716="평가중",J2716="반려요청",J2716="평가필요",LEFT(J2716,5)="보완요청("),"미종결 표시","상태 확인 필요"))</x:f>
        <x:v>종결 표시</x:v>
      </x:c>
      <x:c r="L2716" s="2" t="str">
        <x:v>KECM</x:v>
      </x:c>
      <x:c r="M2716" s="2"/>
      <x:c r="N2716" s="8" t="n">
        <x:f>DATE(2026,10,15)-DATE(2021,10,29)</x:f>
        <x:v>1812</x:v>
      </x:c>
      <x:c r="O2716" s="2"/>
      <x:c r="P2716" s="2"/>
      <x:c r="Q2716" s="2" t="str">
        <x:v>산업전환_외부사업관리Tool_260707_이너젠 수정_LJY_261013.xlsx</x:v>
      </x:c>
      <x:c r="R2716" s="2" t="str">
        <x:v>국외인증</x:v>
      </x:c>
      <x:c r="S2716" s="8" t="n">
        <x:v>303</x:v>
      </x:c>
      <x:c r="T2716" s="2" t="str">
        <x:v>(11/2),(12/1)</x:v>
      </x:c>
      <x:c r="U2716" s="2" t="str">
        <x:v>2021 지정: (11/2),(12/1) / 2022 지정: (1/18)(5/18)</x:v>
      </x:c>
      <x:c r="V2716" s="2" t="str">
        <x:v>2022-07-15</x:v>
      </x:c>
      <x:c r="W2716" s="2" t="str"/>
      <x:c r="X2716" s="2" t="str">
        <x:v>종결 근거 보관</x:v>
      </x:c>
      <x:c r="Y2716" s="2" t="str">
        <x:v>ad210cd9ec132cfd447541c8984dc53d30aff0f4fb2dc92d254d49275cc55976</x:v>
      </x:c>
      <x:c r="Z2716" s="2" t="n">
        <x:f>SUBTOTAL(103,A2716)</x:f>
        <x:v>1</x:v>
      </x:c>
      <x:c r="AA2716" s="2" t="str">
        <x:f>IF(K2716&lt;&gt;"미종결 표시","대상 아님",IF(N2716="","신청일 확인",IF(NOT(ISNUMBER('종합 현황'!$H$5)),"관찰기준 확인",IF('종합 현황'!$H$5&lt;1,"관찰기준 확인",IF(N2716&gt;'종합 현황'!$H$5,"내부 관찰 대상","내부 관찰일 이하")))))</x:f>
        <x:v>대상 아님</x:v>
      </x:c>
      <x:c r="AB2716" s="2" t="str">
        <x:v>2021-10-29 17:26 - 신청
2021-11-24 10:53 - 보완요청
2021-11-26 12:06 - 신청
2021-12-29 10:03 - 문서재제출요청
2021-12-30 18:14 - 신청
2022-01-18 09:40 - 문서재제출요청
2022-01-18 13:04 - 신청
2022-02-23 15:55 - 문서재제출요청
2022-02-24 10:52 - 신청
2022-04-21 15:58 - 문서재제출요청
2022-04-22 16:18 - 신청
2022-07-05 16:55 - 검토승인
2022-07-15 17:17 - 심의승인</x:v>
      </x:c>
    </x:row>
    <x:row r="2717" ht="42" customHeight="1">
      <x:c r="A2717" s="2" t="str">
        <x:v>d8c315c96e951779590c2450</x:v>
      </x:c>
      <x:c r="B2717" s="2" t="str">
        <x:v>감축량 인증</x:v>
      </x:c>
      <x:c r="C2717" s="2" t="str">
        <x:v>국외</x:v>
      </x:c>
      <x:c r="D2717" s="7" t="str">
        <x:v>안전한 식수 공급을 위한 정수기 보급 사업 : CPA 52(한국 지원)</x:v>
      </x:c>
      <x:c r="E2717" s="2" t="str">
        <x:v>302</x:v>
      </x:c>
      <x:c r="F2717" s="2" t="str">
        <x:v>2021-10-29</x:v>
      </x:c>
      <x:c r="G2717" s="2" t="str">
        <x:v>2021</x:v>
      </x:c>
      <x:c r="H2717" s="2" t="str">
        <x:v>10</x:v>
      </x:c>
      <x:c r="I2717" s="2" t="str">
        <x:v>심의승인</x:v>
      </x:c>
      <x:c r="J2717" s="2" t="str">
        <x:v>심의승인</x:v>
      </x:c>
      <x:c r="K2717" s="2" t="str">
        <x:f>IF(OR(J2717="심의승인",J2717="반려",J2717="반려완료",J2717="심의완료"),"종결 표시",IF(OR(J2717="기후부협의",J2717="문서재제출요청",J2717="보류",J2717="보완요청",J2717="보완완료",J2717="평가중",J2717="반려요청",J2717="평가필요",LEFT(J2717,5)="보완요청("),"미종결 표시","상태 확인 필요"))</x:f>
        <x:v>종결 표시</x:v>
      </x:c>
      <x:c r="L2717" s="2" t="str">
        <x:v>KECM</x:v>
      </x:c>
      <x:c r="M2717" s="2"/>
      <x:c r="N2717" s="8" t="n">
        <x:f>DATE(2026,10,15)-DATE(2021,10,29)</x:f>
        <x:v>1812</x:v>
      </x:c>
      <x:c r="O2717" s="2"/>
      <x:c r="P2717" s="2"/>
      <x:c r="Q2717" s="2" t="str">
        <x:v>산업전환_외부사업관리Tool_260707_이너젠 수정_LJY_261013.xlsx</x:v>
      </x:c>
      <x:c r="R2717" s="2" t="str">
        <x:v>국외인증</x:v>
      </x:c>
      <x:c r="S2717" s="8" t="n">
        <x:v>304</x:v>
      </x:c>
      <x:c r="T2717" s="2" t="str">
        <x:v>(11/2),(12/1)</x:v>
      </x:c>
      <x:c r="U2717" s="2" t="str">
        <x:v>2021 지정: (11/2),(12/1) / 2022 지정: (1/18)(5/18)</x:v>
      </x:c>
      <x:c r="V2717" s="2" t="str">
        <x:v>2022-07-15</x:v>
      </x:c>
      <x:c r="W2717" s="2" t="str"/>
      <x:c r="X2717" s="2" t="str">
        <x:v>종결 근거 보관</x:v>
      </x:c>
      <x:c r="Y2717" s="2" t="str">
        <x:v>ad210cd9ec132cfd447541c8984dc53d30aff0f4fb2dc92d254d49275cc55976</x:v>
      </x:c>
      <x:c r="Z2717" s="2" t="n">
        <x:f>SUBTOTAL(103,A2717)</x:f>
        <x:v>1</x:v>
      </x:c>
      <x:c r="AA2717" s="2" t="str">
        <x:f>IF(K2717&lt;&gt;"미종결 표시","대상 아님",IF(N2717="","신청일 확인",IF(NOT(ISNUMBER('종합 현황'!$H$5)),"관찰기준 확인",IF('종합 현황'!$H$5&lt;1,"관찰기준 확인",IF(N2717&gt;'종합 현황'!$H$5,"내부 관찰 대상","내부 관찰일 이하")))))</x:f>
        <x:v>대상 아님</x:v>
      </x:c>
      <x:c r="AB2717" s="2" t="str">
        <x:v>2021-10-29 17:26 - 신청
2021-11-24 10:54 - 보완요청
2021-11-26 12:06 - 신청
2021-12-29 10:03 - 문서재제출요청
2021-12-30 18:15 - 신청
2022-01-18 09:43 - 문서재제출요청
2022-01-18 13:04 - 신청
2022-02-23 15:55 - 문서재제출요청
2022-02-24 10:53 - 신청
2022-04-21 15:59 - 문서재제출요청
2022-04-22 16:18 - 신청
2022-07-05 16:54 - 검토승인
2022-07-15 17:17 - 심의승인</x:v>
      </x:c>
    </x:row>
    <x:row r="2718" ht="42" customHeight="1">
      <x:c r="A2718" s="2" t="str">
        <x:v>efd0b2cd49000435d223f0a0</x:v>
      </x:c>
      <x:c r="B2718" s="2" t="str">
        <x:v>감축량 인증</x:v>
      </x:c>
      <x:c r="C2718" s="2" t="str">
        <x:v>국외</x:v>
      </x:c>
      <x:c r="D2718" s="7" t="str">
        <x:v>안전한 식수 공급을 위한 정수기 보급 사업 : CPA 53(한국 지원)</x:v>
      </x:c>
      <x:c r="E2718" s="2" t="str">
        <x:v>303</x:v>
      </x:c>
      <x:c r="F2718" s="2" t="str">
        <x:v>2021-10-29</x:v>
      </x:c>
      <x:c r="G2718" s="2" t="str">
        <x:v>2021</x:v>
      </x:c>
      <x:c r="H2718" s="2" t="str">
        <x:v>10</x:v>
      </x:c>
      <x:c r="I2718" s="2" t="str">
        <x:v>심의승인</x:v>
      </x:c>
      <x:c r="J2718" s="2" t="str">
        <x:v>심의승인</x:v>
      </x:c>
      <x:c r="K2718" s="2" t="str">
        <x:f>IF(OR(J2718="심의승인",J2718="반려",J2718="반려완료",J2718="심의완료"),"종결 표시",IF(OR(J2718="기후부협의",J2718="문서재제출요청",J2718="보류",J2718="보완요청",J2718="보완완료",J2718="평가중",J2718="반려요청",J2718="평가필요",LEFT(J2718,5)="보완요청("),"미종결 표시","상태 확인 필요"))</x:f>
        <x:v>종결 표시</x:v>
      </x:c>
      <x:c r="L2718" s="2" t="str">
        <x:v>KECM</x:v>
      </x:c>
      <x:c r="M2718" s="2"/>
      <x:c r="N2718" s="8" t="n">
        <x:f>DATE(2026,10,15)-DATE(2021,10,29)</x:f>
        <x:v>1812</x:v>
      </x:c>
      <x:c r="O2718" s="2"/>
      <x:c r="P2718" s="2"/>
      <x:c r="Q2718" s="2" t="str">
        <x:v>산업전환_외부사업관리Tool_260707_이너젠 수정_LJY_261013.xlsx</x:v>
      </x:c>
      <x:c r="R2718" s="2" t="str">
        <x:v>국외인증</x:v>
      </x:c>
      <x:c r="S2718" s="8" t="n">
        <x:v>305</x:v>
      </x:c>
      <x:c r="T2718" s="2" t="str">
        <x:v>(11/2),(12/1)</x:v>
      </x:c>
      <x:c r="U2718" s="2" t="str">
        <x:v>2021 지정: (11/2),(12/1) / 2022 지정: (1/18)(5/18)</x:v>
      </x:c>
      <x:c r="V2718" s="2" t="str">
        <x:v>2022-07-15</x:v>
      </x:c>
      <x:c r="W2718" s="2" t="str"/>
      <x:c r="X2718" s="2" t="str">
        <x:v>종결 근거 보관</x:v>
      </x:c>
      <x:c r="Y2718" s="2" t="str">
        <x:v>ad210cd9ec132cfd447541c8984dc53d30aff0f4fb2dc92d254d49275cc55976</x:v>
      </x:c>
      <x:c r="Z2718" s="2" t="n">
        <x:f>SUBTOTAL(103,A2718)</x:f>
        <x:v>1</x:v>
      </x:c>
      <x:c r="AA2718" s="2" t="str">
        <x:f>IF(K2718&lt;&gt;"미종결 표시","대상 아님",IF(N2718="","신청일 확인",IF(NOT(ISNUMBER('종합 현황'!$H$5)),"관찰기준 확인",IF('종합 현황'!$H$5&lt;1,"관찰기준 확인",IF(N2718&gt;'종합 현황'!$H$5,"내부 관찰 대상","내부 관찰일 이하")))))</x:f>
        <x:v>대상 아님</x:v>
      </x:c>
      <x:c r="AB2718" s="2" t="str">
        <x:v>2021-10-29 17:26 - 신청
2021-11-24 10:55 - 보완요청
2021-11-26 12:06 - 신청
2021-12-29 10:05 - 문서재제출요청
2021-12-30 18:15 - 신청
2022-01-17 17:44 -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19" ht="42" customHeight="1">
      <x:c r="A2719" s="2" t="str">
        <x:v>13475346402192feeaa1cbeb</x:v>
      </x:c>
      <x:c r="B2719" s="2" t="str">
        <x:v>감축량 인증</x:v>
      </x:c>
      <x:c r="C2719" s="2" t="str">
        <x:v>국외</x:v>
      </x:c>
      <x:c r="D2719" s="7" t="str">
        <x:v>안전한 식수 공급을 위한 정수기 보급 사업 : CPA 54(한국 지원)</x:v>
      </x:c>
      <x:c r="E2719" s="2" t="str">
        <x:v>304</x:v>
      </x:c>
      <x:c r="F2719" s="2" t="str">
        <x:v>2021-10-29</x:v>
      </x:c>
      <x:c r="G2719" s="2" t="str">
        <x:v>2021</x:v>
      </x:c>
      <x:c r="H2719" s="2" t="str">
        <x:v>10</x:v>
      </x:c>
      <x:c r="I2719" s="2" t="str">
        <x:v>심의승인</x:v>
      </x:c>
      <x:c r="J2719" s="2" t="str">
        <x:v>심의승인</x:v>
      </x:c>
      <x:c r="K2719" s="2" t="str">
        <x:f>IF(OR(J2719="심의승인",J2719="반려",J2719="반려완료",J2719="심의완료"),"종결 표시",IF(OR(J2719="기후부협의",J2719="문서재제출요청",J2719="보류",J2719="보완요청",J2719="보완완료",J2719="평가중",J2719="반려요청",J2719="평가필요",LEFT(J2719,5)="보완요청("),"미종결 표시","상태 확인 필요"))</x:f>
        <x:v>종결 표시</x:v>
      </x:c>
      <x:c r="L2719" s="2" t="str">
        <x:v>KECM</x:v>
      </x:c>
      <x:c r="M2719" s="2"/>
      <x:c r="N2719" s="8" t="n">
        <x:f>DATE(2026,10,15)-DATE(2021,10,29)</x:f>
        <x:v>1812</x:v>
      </x:c>
      <x:c r="O2719" s="2"/>
      <x:c r="P2719" s="2"/>
      <x:c r="Q2719" s="2" t="str">
        <x:v>산업전환_외부사업관리Tool_260707_이너젠 수정_LJY_261013.xlsx</x:v>
      </x:c>
      <x:c r="R2719" s="2" t="str">
        <x:v>국외인증</x:v>
      </x:c>
      <x:c r="S2719" s="8" t="n">
        <x:v>306</x:v>
      </x:c>
      <x:c r="T2719" s="2" t="str">
        <x:v>(11/2),(12/1)</x:v>
      </x:c>
      <x:c r="U2719" s="2" t="str">
        <x:v>2021 지정: (11/2),(12/1) / 2022 지정: (1/18)(5/18)</x:v>
      </x:c>
      <x:c r="V2719" s="2" t="str">
        <x:v>2022-07-15</x:v>
      </x:c>
      <x:c r="W2719" s="2" t="str"/>
      <x:c r="X2719" s="2" t="str">
        <x:v>종결 근거 보관</x:v>
      </x:c>
      <x:c r="Y2719" s="2" t="str">
        <x:v>ad210cd9ec132cfd447541c8984dc53d30aff0f4fb2dc92d254d49275cc55976</x:v>
      </x:c>
      <x:c r="Z2719" s="2" t="n">
        <x:f>SUBTOTAL(103,A2719)</x:f>
        <x:v>1</x:v>
      </x:c>
      <x:c r="AA2719" s="2" t="str">
        <x:f>IF(K2719&lt;&gt;"미종결 표시","대상 아님",IF(N2719="","신청일 확인",IF(NOT(ISNUMBER('종합 현황'!$H$5)),"관찰기준 확인",IF('종합 현황'!$H$5&lt;1,"관찰기준 확인",IF(N2719&gt;'종합 현황'!$H$5,"내부 관찰 대상","내부 관찰일 이하")))))</x:f>
        <x:v>대상 아님</x:v>
      </x:c>
      <x:c r="AB2719" s="2" t="str">
        <x:v>2021-10-29 17:26 - 신청
2021-11-24 10:56 - 보완요청
2021-11-26 12:06 - 신청
2021-12-29 10:03 - 문서재제출요청
2021-12-30 18:15 - 신청
2022-01-18 09:43 - 문서재제출요청
2022-01-18 13:04 - 신청
2022-02-23 15:56 - 문서재제출요청
2022-02-24 10:54 - 신청
2022-04-21 15:59 - 문서재제출요청
2022-04-22 16:18 - 신청
2022-07-05 16:54 - 검토승인
2022-07-15 17:19 - 심의승인</x:v>
      </x:c>
    </x:row>
    <x:row r="2720" ht="42" customHeight="1">
      <x:c r="A2720" s="2" t="str">
        <x:v>9b9be8e63167fbed1ef82edc</x:v>
      </x:c>
      <x:c r="B2720" s="2" t="str">
        <x:v>감축량 인증</x:v>
      </x:c>
      <x:c r="C2720" s="2" t="str">
        <x:v>국외</x:v>
      </x:c>
      <x:c r="D2720" s="7" t="str">
        <x:v>안전한 식수 공급을 위한 정수기 보급 사업 : CPA 55(한국 지원)</x:v>
      </x:c>
      <x:c r="E2720" s="2" t="str">
        <x:v>305</x:v>
      </x:c>
      <x:c r="F2720" s="2" t="str">
        <x:v>2021-10-29</x:v>
      </x:c>
      <x:c r="G2720" s="2" t="str">
        <x:v>2021</x:v>
      </x:c>
      <x:c r="H2720" s="2" t="str">
        <x:v>10</x:v>
      </x:c>
      <x:c r="I2720" s="2" t="str">
        <x:v>심의승인</x:v>
      </x:c>
      <x:c r="J2720" s="2" t="str">
        <x:v>심의승인</x:v>
      </x:c>
      <x:c r="K2720" s="2" t="str">
        <x:f>IF(OR(J2720="심의승인",J2720="반려",J2720="반려완료",J2720="심의완료"),"종결 표시",IF(OR(J2720="기후부협의",J2720="문서재제출요청",J2720="보류",J2720="보완요청",J2720="보완완료",J2720="평가중",J2720="반려요청",J2720="평가필요",LEFT(J2720,5)="보완요청("),"미종결 표시","상태 확인 필요"))</x:f>
        <x:v>종결 표시</x:v>
      </x:c>
      <x:c r="L2720" s="2" t="str">
        <x:v>KECM</x:v>
      </x:c>
      <x:c r="M2720" s="2"/>
      <x:c r="N2720" s="8" t="n">
        <x:f>DATE(2026,10,15)-DATE(2021,10,29)</x:f>
        <x:v>1812</x:v>
      </x:c>
      <x:c r="O2720" s="2"/>
      <x:c r="P2720" s="2"/>
      <x:c r="Q2720" s="2" t="str">
        <x:v>산업전환_외부사업관리Tool_260707_이너젠 수정_LJY_261013.xlsx</x:v>
      </x:c>
      <x:c r="R2720" s="2" t="str">
        <x:v>국외인증</x:v>
      </x:c>
      <x:c r="S2720" s="8" t="n">
        <x:v>307</x:v>
      </x:c>
      <x:c r="T2720" s="2" t="str">
        <x:v>(11/2),(12/1)</x:v>
      </x:c>
      <x:c r="U2720" s="2" t="str">
        <x:v>2021 지정: (11/2),(12/1) / 2022 지정: (1/18)(5/18)</x:v>
      </x:c>
      <x:c r="V2720" s="2" t="str">
        <x:v>2022-07-15</x:v>
      </x:c>
      <x:c r="W2720" s="2" t="str"/>
      <x:c r="X2720" s="2" t="str">
        <x:v>종결 근거 보관</x:v>
      </x:c>
      <x:c r="Y2720" s="2" t="str">
        <x:v>ad210cd9ec132cfd447541c8984dc53d30aff0f4fb2dc92d254d49275cc55976</x:v>
      </x:c>
      <x:c r="Z2720" s="2" t="n">
        <x:f>SUBTOTAL(103,A2720)</x:f>
        <x:v>1</x:v>
      </x:c>
      <x:c r="AA2720" s="2" t="str">
        <x:f>IF(K2720&lt;&gt;"미종결 표시","대상 아님",IF(N2720="","신청일 확인",IF(NOT(ISNUMBER('종합 현황'!$H$5)),"관찰기준 확인",IF('종합 현황'!$H$5&lt;1,"관찰기준 확인",IF(N2720&gt;'종합 현황'!$H$5,"내부 관찰 대상","내부 관찰일 이하")))))</x:f>
        <x:v>대상 아님</x:v>
      </x:c>
      <x:c r="AB2720" s="2" t="str">
        <x:v>2021-10-29 17:25 - 신청
2021-11-24 10:57 - 보완요청
2021-11-26 12:06 - 신청
2021-12-29 10:03 - 문서재제출요청
2021-12-30 18:16 - 신청
2022-01-18 09:43 - 문서재제출요청
2022-01-18 13:04 - 신청
2022-02-23 15:56 - 문서재제출요청
2022-02-24 10:55 - 신청
2022-04-21 15:59 - 문서재제출요청
2022-04-22 16:18 - 신청
2022-07-05 16:53 - 검토승인
2022-07-15 17:19 - 심의승인</x:v>
      </x:c>
    </x:row>
    <x:row r="2721" ht="42" customHeight="1">
      <x:c r="A2721" s="2" t="str">
        <x:v>9e127d5cf98ef5df0878ddf1</x:v>
      </x:c>
      <x:c r="B2721" s="2" t="str">
        <x:v>감축량 인증</x:v>
      </x:c>
      <x:c r="C2721" s="2" t="str">
        <x:v>국외</x:v>
      </x:c>
      <x:c r="D2721" s="7" t="str">
        <x:v>안전한 식수 공급을 위한 정수기 보급 사업 : CPA 56(한국 지원)</x:v>
      </x:c>
      <x:c r="E2721" s="2" t="str">
        <x:v>306</x:v>
      </x:c>
      <x:c r="F2721" s="2" t="str">
        <x:v>2021-10-29</x:v>
      </x:c>
      <x:c r="G2721" s="2" t="str">
        <x:v>2021</x:v>
      </x:c>
      <x:c r="H2721" s="2" t="str">
        <x:v>10</x:v>
      </x:c>
      <x:c r="I2721" s="2" t="str">
        <x:v>심의승인</x:v>
      </x:c>
      <x:c r="J2721" s="2" t="str">
        <x:v>심의승인</x:v>
      </x:c>
      <x:c r="K2721" s="2" t="str">
        <x:f>IF(OR(J2721="심의승인",J2721="반려",J2721="반려완료",J2721="심의완료"),"종결 표시",IF(OR(J2721="기후부협의",J2721="문서재제출요청",J2721="보류",J2721="보완요청",J2721="보완완료",J2721="평가중",J2721="반려요청",J2721="평가필요",LEFT(J2721,5)="보완요청("),"미종결 표시","상태 확인 필요"))</x:f>
        <x:v>종결 표시</x:v>
      </x:c>
      <x:c r="L2721" s="2" t="str">
        <x:v>KECM</x:v>
      </x:c>
      <x:c r="M2721" s="2"/>
      <x:c r="N2721" s="8" t="n">
        <x:f>DATE(2026,10,15)-DATE(2021,10,29)</x:f>
        <x:v>1812</x:v>
      </x:c>
      <x:c r="O2721" s="2"/>
      <x:c r="P2721" s="2"/>
      <x:c r="Q2721" s="2" t="str">
        <x:v>산업전환_외부사업관리Tool_260707_이너젠 수정_LJY_261013.xlsx</x:v>
      </x:c>
      <x:c r="R2721" s="2" t="str">
        <x:v>국외인증</x:v>
      </x:c>
      <x:c r="S2721" s="8" t="n">
        <x:v>308</x:v>
      </x:c>
      <x:c r="T2721" s="2" t="str">
        <x:v>(11/2),(12/1)</x:v>
      </x:c>
      <x:c r="U2721" s="2" t="str">
        <x:v>2021 지정: (11/2),(12/1) / 2022 지정: (1/18)(5/18)</x:v>
      </x:c>
      <x:c r="V2721" s="2" t="str">
        <x:v>2022-07-15</x:v>
      </x:c>
      <x:c r="W2721" s="2" t="str"/>
      <x:c r="X2721" s="2" t="str">
        <x:v>종결 근거 보관</x:v>
      </x:c>
      <x:c r="Y2721" s="2" t="str">
        <x:v>ad210cd9ec132cfd447541c8984dc53d30aff0f4fb2dc92d254d49275cc55976</x:v>
      </x:c>
      <x:c r="Z2721" s="2" t="n">
        <x:f>SUBTOTAL(103,A2721)</x:f>
        <x:v>1</x:v>
      </x:c>
      <x:c r="AA2721" s="2" t="str">
        <x:f>IF(K2721&lt;&gt;"미종결 표시","대상 아님",IF(N2721="","신청일 확인",IF(NOT(ISNUMBER('종합 현황'!$H$5)),"관찰기준 확인",IF('종합 현황'!$H$5&lt;1,"관찰기준 확인",IF(N2721&gt;'종합 현황'!$H$5,"내부 관찰 대상","내부 관찰일 이하")))))</x:f>
        <x:v>대상 아님</x:v>
      </x:c>
      <x:c r="AB2721" s="2" t="str">
        <x:v>2021-10-29 17:25 - 신청
2021-11-24 10:58 - 보완요청
2021-11-26 12:06 - 신청
2021-12-29 10:05 - 문서재제출요청
2021-12-30 18:16 - 신청
2022-01-18 09:43 - 문서재제출요청
2022-01-18 13:05 - 신청
2022-02-23 15:57 - 문서재제출요청
2022-02-24 10:56 - 신청
2022-04-21 15:59 - 문서재제출요청
2022-04-22 16:18 - 신청
2022-07-05 16:53 - 검토승인
2022-07-15 17:20 - 심의승인</x:v>
      </x:c>
    </x:row>
    <x:row r="2722" ht="42" customHeight="1">
      <x:c r="A2722" s="2" t="str">
        <x:v>13ec97e20df48a4987373634</x:v>
      </x:c>
      <x:c r="B2722" s="2" t="str">
        <x:v>감축량 인증</x:v>
      </x:c>
      <x:c r="C2722" s="2" t="str">
        <x:v>국외</x:v>
      </x:c>
      <x:c r="D2722" s="7" t="str">
        <x:v>안전한 식수 공급을 위한 정수기 보급 사업 : CPA 57(한국 지원)</x:v>
      </x:c>
      <x:c r="E2722" s="2" t="str">
        <x:v>307</x:v>
      </x:c>
      <x:c r="F2722" s="2" t="str">
        <x:v>2021-10-29</x:v>
      </x:c>
      <x:c r="G2722" s="2" t="str">
        <x:v>2021</x:v>
      </x:c>
      <x:c r="H2722" s="2" t="str">
        <x:v>10</x:v>
      </x:c>
      <x:c r="I2722" s="2" t="str">
        <x:v>심의승인</x:v>
      </x:c>
      <x:c r="J2722" s="2" t="str">
        <x:v>심의승인</x:v>
      </x:c>
      <x:c r="K2722" s="2" t="str">
        <x:f>IF(OR(J2722="심의승인",J2722="반려",J2722="반려완료",J2722="심의완료"),"종결 표시",IF(OR(J2722="기후부협의",J2722="문서재제출요청",J2722="보류",J2722="보완요청",J2722="보완완료",J2722="평가중",J2722="반려요청",J2722="평가필요",LEFT(J2722,5)="보완요청("),"미종결 표시","상태 확인 필요"))</x:f>
        <x:v>종결 표시</x:v>
      </x:c>
      <x:c r="L2722" s="2" t="str">
        <x:v>KECM</x:v>
      </x:c>
      <x:c r="M2722" s="2"/>
      <x:c r="N2722" s="8" t="n">
        <x:f>DATE(2026,10,15)-DATE(2021,10,29)</x:f>
        <x:v>1812</x:v>
      </x:c>
      <x:c r="O2722" s="2"/>
      <x:c r="P2722" s="2"/>
      <x:c r="Q2722" s="2" t="str">
        <x:v>산업전환_외부사업관리Tool_260707_이너젠 수정_LJY_261013.xlsx</x:v>
      </x:c>
      <x:c r="R2722" s="2" t="str">
        <x:v>국외인증</x:v>
      </x:c>
      <x:c r="S2722" s="8" t="n">
        <x:v>309</x:v>
      </x:c>
      <x:c r="T2722" s="2" t="str">
        <x:v>(11/2),(12/1)</x:v>
      </x:c>
      <x:c r="U2722" s="2" t="str">
        <x:v>2021 지정: (11/2),(12/1) / 2022 지정: (1/18)(5/18)</x:v>
      </x:c>
      <x:c r="V2722" s="2" t="str">
        <x:v>2022-07-15</x:v>
      </x:c>
      <x:c r="W2722" s="2" t="str"/>
      <x:c r="X2722" s="2" t="str">
        <x:v>종결 근거 보관</x:v>
      </x:c>
      <x:c r="Y2722" s="2" t="str">
        <x:v>ad210cd9ec132cfd447541c8984dc53d30aff0f4fb2dc92d254d49275cc55976</x:v>
      </x:c>
      <x:c r="Z2722" s="2" t="n">
        <x:f>SUBTOTAL(103,A2722)</x:f>
        <x:v>1</x:v>
      </x:c>
      <x:c r="AA2722" s="2" t="str">
        <x:f>IF(K2722&lt;&gt;"미종결 표시","대상 아님",IF(N2722="","신청일 확인",IF(NOT(ISNUMBER('종합 현황'!$H$5)),"관찰기준 확인",IF('종합 현황'!$H$5&lt;1,"관찰기준 확인",IF(N2722&gt;'종합 현황'!$H$5,"내부 관찰 대상","내부 관찰일 이하")))))</x:f>
        <x:v>대상 아님</x:v>
      </x:c>
      <x:c r="AB2722" s="2" t="str">
        <x:v>2021-10-29 17:25 - 신청
2021-11-24 10:58 - 보완요청
2021-11-26 12:07 - 신청
2021-12-29 10:05 - 문서재제출요청
2021-12-30 18:17 - 신청
2022-01-18 09:43 - 문서재제출요청
2022-01-18 13:05 - 신청
2022-02-23 15:57 - 문서재제출요청
2022-02-24 10:56 - 신청
2022-04-21 16:00 - 문서재제출요청
2022-04-22 16:18 - 신청
2022-07-05 16:53 - 검토승인
2022-07-15 17:21 - 심의승인</x:v>
      </x:c>
    </x:row>
    <x:row r="2723" ht="42" customHeight="1">
      <x:c r="A2723" s="2" t="str">
        <x:v>c7a1453557fd5c9da0792731</x:v>
      </x:c>
      <x:c r="B2723" s="2" t="str">
        <x:v>감축량 인증</x:v>
      </x:c>
      <x:c r="C2723" s="2" t="str">
        <x:v>국외</x:v>
      </x:c>
      <x:c r="D2723" s="7" t="str">
        <x:v>안전한 식수 공급을 위한 정수기 보급 사업 : CPA 58(한국 지원)</x:v>
      </x:c>
      <x:c r="E2723" s="2" t="str">
        <x:v>308</x:v>
      </x:c>
      <x:c r="F2723" s="2" t="str">
        <x:v>2021-10-29</x:v>
      </x:c>
      <x:c r="G2723" s="2" t="str">
        <x:v>2021</x:v>
      </x:c>
      <x:c r="H2723" s="2" t="str">
        <x:v>10</x:v>
      </x:c>
      <x:c r="I2723" s="2" t="str">
        <x:v>심의승인</x:v>
      </x:c>
      <x:c r="J2723" s="2" t="str">
        <x:v>심의승인</x:v>
      </x:c>
      <x:c r="K2723" s="2" t="str">
        <x:f>IF(OR(J2723="심의승인",J2723="반려",J2723="반려완료",J2723="심의완료"),"종결 표시",IF(OR(J2723="기후부협의",J2723="문서재제출요청",J2723="보류",J2723="보완요청",J2723="보완완료",J2723="평가중",J2723="반려요청",J2723="평가필요",LEFT(J2723,5)="보완요청("),"미종결 표시","상태 확인 필요"))</x:f>
        <x:v>종결 표시</x:v>
      </x:c>
      <x:c r="L2723" s="2" t="str">
        <x:v>KECM</x:v>
      </x:c>
      <x:c r="M2723" s="2"/>
      <x:c r="N2723" s="8" t="n">
        <x:f>DATE(2026,10,15)-DATE(2021,10,29)</x:f>
        <x:v>1812</x:v>
      </x:c>
      <x:c r="O2723" s="2"/>
      <x:c r="P2723" s="2"/>
      <x:c r="Q2723" s="2" t="str">
        <x:v>산업전환_외부사업관리Tool_260707_이너젠 수정_LJY_261013.xlsx</x:v>
      </x:c>
      <x:c r="R2723" s="2" t="str">
        <x:v>국외인증</x:v>
      </x:c>
      <x:c r="S2723" s="8" t="n">
        <x:v>310</x:v>
      </x:c>
      <x:c r="T2723" s="2" t="str">
        <x:v>(11/2),(12/1)</x:v>
      </x:c>
      <x:c r="U2723" s="2" t="str">
        <x:v>2021 지정: (11/2),(12/1) / 2022 지정: (1/18)(5/18)</x:v>
      </x:c>
      <x:c r="V2723" s="2" t="str">
        <x:v>2022-07-15</x:v>
      </x:c>
      <x:c r="W2723" s="2" t="str"/>
      <x:c r="X2723" s="2" t="str">
        <x:v>종결 근거 보관</x:v>
      </x:c>
      <x:c r="Y2723" s="2" t="str">
        <x:v>ad210cd9ec132cfd447541c8984dc53d30aff0f4fb2dc92d254d49275cc55976</x:v>
      </x:c>
      <x:c r="Z2723" s="2" t="n">
        <x:f>SUBTOTAL(103,A2723)</x:f>
        <x:v>1</x:v>
      </x:c>
      <x:c r="AA2723" s="2" t="str">
        <x:f>IF(K2723&lt;&gt;"미종결 표시","대상 아님",IF(N2723="","신청일 확인",IF(NOT(ISNUMBER('종합 현황'!$H$5)),"관찰기준 확인",IF('종합 현황'!$H$5&lt;1,"관찰기준 확인",IF(N2723&gt;'종합 현황'!$H$5,"내부 관찰 대상","내부 관찰일 이하")))))</x:f>
        <x:v>대상 아님</x:v>
      </x:c>
      <x:c r="AB2723" s="2" t="str">
        <x:v>2021-10-29 17:25 - 신청
2021-11-24 10:59 - 보완요청
2021-11-26 12:07 - 신청
2021-12-29 10:05 - 문서재제출요청
2021-12-30 18:17 - 신청
2022-01-18 09:43 - 문서재제출요청
2022-01-18 13:05 - 신청
2022-02-23 15:58 - 문서재제출요청
2022-02-24 10:57 - 신청
2022-04-21 16:00 - 문서재제출요청
2022-04-22 16:18 - 신청
2022-07-05 16:52 - 검토승인
2022-07-15 17:23 - 심의승인</x:v>
      </x:c>
    </x:row>
    <x:row r="2724" ht="42" customHeight="1">
      <x:c r="A2724" s="2" t="str">
        <x:v>0e7241c5b596dd26369d06c6</x:v>
      </x:c>
      <x:c r="B2724" s="2" t="str">
        <x:v>감축량 인증</x:v>
      </x:c>
      <x:c r="C2724" s="2" t="str">
        <x:v>국외</x:v>
      </x:c>
      <x:c r="D2724" s="7" t="str">
        <x:v>안전한 식수 공급을 위한 정수기 보급 사업 : CPA 59(한국 지원)</x:v>
      </x:c>
      <x:c r="E2724" s="2" t="str">
        <x:v>309</x:v>
      </x:c>
      <x:c r="F2724" s="2" t="str">
        <x:v>2021-10-29</x:v>
      </x:c>
      <x:c r="G2724" s="2" t="str">
        <x:v>2021</x:v>
      </x:c>
      <x:c r="H2724" s="2" t="str">
        <x:v>10</x:v>
      </x:c>
      <x:c r="I2724" s="2" t="str">
        <x:v>심의승인</x:v>
      </x:c>
      <x:c r="J2724" s="2" t="str">
        <x:v>심의승인</x:v>
      </x:c>
      <x:c r="K2724" s="2" t="str">
        <x:f>IF(OR(J2724="심의승인",J2724="반려",J2724="반려완료",J2724="심의완료"),"종결 표시",IF(OR(J2724="기후부협의",J2724="문서재제출요청",J2724="보류",J2724="보완요청",J2724="보완완료",J2724="평가중",J2724="반려요청",J2724="평가필요",LEFT(J2724,5)="보완요청("),"미종결 표시","상태 확인 필요"))</x:f>
        <x:v>종결 표시</x:v>
      </x:c>
      <x:c r="L2724" s="2" t="str">
        <x:v>KECM</x:v>
      </x:c>
      <x:c r="M2724" s="2"/>
      <x:c r="N2724" s="8" t="n">
        <x:f>DATE(2026,10,15)-DATE(2021,10,29)</x:f>
        <x:v>1812</x:v>
      </x:c>
      <x:c r="O2724" s="2"/>
      <x:c r="P2724" s="2"/>
      <x:c r="Q2724" s="2" t="str">
        <x:v>산업전환_외부사업관리Tool_260707_이너젠 수정_LJY_261013.xlsx</x:v>
      </x:c>
      <x:c r="R2724" s="2" t="str">
        <x:v>국외인증</x:v>
      </x:c>
      <x:c r="S2724" s="8" t="n">
        <x:v>311</x:v>
      </x:c>
      <x:c r="T2724" s="2" t="str">
        <x:v>(11/2),(12/1)</x:v>
      </x:c>
      <x:c r="U2724" s="2" t="str">
        <x:v>2021 지정: (11/2),(12/1) / 2022 지정: (1/18)(5/18)</x:v>
      </x:c>
      <x:c r="V2724" s="2" t="str">
        <x:v>2022-07-15</x:v>
      </x:c>
      <x:c r="W2724" s="2" t="str"/>
      <x:c r="X2724" s="2" t="str">
        <x:v>종결 근거 보관</x:v>
      </x:c>
      <x:c r="Y2724" s="2" t="str">
        <x:v>ad210cd9ec132cfd447541c8984dc53d30aff0f4fb2dc92d254d49275cc55976</x:v>
      </x:c>
      <x:c r="Z2724" s="2" t="n">
        <x:f>SUBTOTAL(103,A2724)</x:f>
        <x:v>1</x:v>
      </x:c>
      <x:c r="AA2724" s="2" t="str">
        <x:f>IF(K2724&lt;&gt;"미종결 표시","대상 아님",IF(N2724="","신청일 확인",IF(NOT(ISNUMBER('종합 현황'!$H$5)),"관찰기준 확인",IF('종합 현황'!$H$5&lt;1,"관찰기준 확인",IF(N2724&gt;'종합 현황'!$H$5,"내부 관찰 대상","내부 관찰일 이하")))))</x:f>
        <x:v>대상 아님</x:v>
      </x:c>
      <x:c r="AB2724" s="2" t="str">
        <x:v>2021-10-29 17:25 - 신청
2021-11-24 11:00 - 보완요청
2021-11-26 12:07 - 신청
2021-12-29 10:06 - 문서재제출요청
2021-12-30 18:18 - 신청
2022-01-18 09:43 - 문서재제출요청
2022-01-18 13:05 - 신청
2022-02-23 15:58 - 문서재제출요청
2022-02-24 10:57 - 신청
2022-04-21 16:01 - 문서재제출요청
2022-04-22 16:19 - 신청
2022-07-05 16:52 - 검토승인
2022-07-15 17:23 - 심의승인</x:v>
      </x:c>
    </x:row>
    <x:row r="2725" ht="42" customHeight="1">
      <x:c r="A2725" s="2" t="str">
        <x:v>65fab9f1d0de33ee7275c5e5</x:v>
      </x:c>
      <x:c r="B2725" s="2" t="str">
        <x:v>감축량 인증</x:v>
      </x:c>
      <x:c r="C2725" s="2" t="str">
        <x:v>국외</x:v>
      </x:c>
      <x:c r="D2725" s="7" t="str">
        <x:v>안전한 식수 공급을 위한 정수기 보급 사업 : CPA 60(한국 지원)</x:v>
      </x:c>
      <x:c r="E2725" s="2" t="str">
        <x:v>310</x:v>
      </x:c>
      <x:c r="F2725" s="2" t="str">
        <x:v>2021-10-29</x:v>
      </x:c>
      <x:c r="G2725" s="2" t="str">
        <x:v>2021</x:v>
      </x:c>
      <x:c r="H2725" s="2" t="str">
        <x:v>10</x:v>
      </x:c>
      <x:c r="I2725" s="2" t="str">
        <x:v>심의승인</x:v>
      </x:c>
      <x:c r="J2725" s="2" t="str">
        <x:v>심의승인</x:v>
      </x:c>
      <x:c r="K2725" s="2" t="str">
        <x:f>IF(OR(J2725="심의승인",J2725="반려",J2725="반려완료",J2725="심의완료"),"종결 표시",IF(OR(J2725="기후부협의",J2725="문서재제출요청",J2725="보류",J2725="보완요청",J2725="보완완료",J2725="평가중",J2725="반려요청",J2725="평가필요",LEFT(J2725,5)="보완요청("),"미종결 표시","상태 확인 필요"))</x:f>
        <x:v>종결 표시</x:v>
      </x:c>
      <x:c r="L2725" s="2" t="str">
        <x:v>KECM</x:v>
      </x:c>
      <x:c r="M2725" s="2"/>
      <x:c r="N2725" s="8" t="n">
        <x:f>DATE(2026,10,15)-DATE(2021,10,29)</x:f>
        <x:v>1812</x:v>
      </x:c>
      <x:c r="O2725" s="2"/>
      <x:c r="P2725" s="2"/>
      <x:c r="Q2725" s="2" t="str">
        <x:v>산업전환_외부사업관리Tool_260707_이너젠 수정_LJY_261013.xlsx</x:v>
      </x:c>
      <x:c r="R2725" s="2" t="str">
        <x:v>국외인증</x:v>
      </x:c>
      <x:c r="S2725" s="8" t="n">
        <x:v>312</x:v>
      </x:c>
      <x:c r="T2725" s="2" t="str">
        <x:v>(11/2),(12/1)</x:v>
      </x:c>
      <x:c r="U2725" s="2" t="str">
        <x:v>2021 지정: (11/2),(12/1) / 2022 지정: (1/18)(5/18)</x:v>
      </x:c>
      <x:c r="V2725" s="2" t="str">
        <x:v>2022-07-15</x:v>
      </x:c>
      <x:c r="W2725" s="2" t="str"/>
      <x:c r="X2725" s="2" t="str">
        <x:v>종결 근거 보관</x:v>
      </x:c>
      <x:c r="Y2725" s="2" t="str">
        <x:v>ad210cd9ec132cfd447541c8984dc53d30aff0f4fb2dc92d254d49275cc55976</x:v>
      </x:c>
      <x:c r="Z2725" s="2" t="n">
        <x:f>SUBTOTAL(103,A2725)</x:f>
        <x:v>1</x:v>
      </x:c>
      <x:c r="AA2725" s="2" t="str">
        <x:f>IF(K2725&lt;&gt;"미종결 표시","대상 아님",IF(N2725="","신청일 확인",IF(NOT(ISNUMBER('종합 현황'!$H$5)),"관찰기준 확인",IF('종합 현황'!$H$5&lt;1,"관찰기준 확인",IF(N2725&gt;'종합 현황'!$H$5,"내부 관찰 대상","내부 관찰일 이하")))))</x:f>
        <x:v>대상 아님</x:v>
      </x:c>
      <x:c r="AB2725" s="2" t="str">
        <x:v>2021-10-29 17:25 - 신청
2021-11-24 11:01 - 보완요청
2021-11-26 12:07 - 신청
2021-12-29 10:06 - 문서재제출요청
2021-12-30 18:18 - 신청
2022-01-18 09:44 - 문서재제출요청
2022-01-18 13:05 - 신청
2022-02-23 15:58 - 문서재제출요청
2022-02-24 10:58 - 신청
2022-04-21 16:01 - 문서재제출요청
2022-04-22 16:19 - 신청
2022-07-05 16:52 - 검토승인
2022-07-15 17:24 - 심의승인</x:v>
      </x:c>
    </x:row>
    <x:row r="2726" ht="42" customHeight="1">
      <x:c r="A2726" s="2" t="str">
        <x:v>a871488dc6db2f7c5ba4a856</x:v>
      </x:c>
      <x:c r="B2726" s="2" t="str">
        <x:v>감축량 인증</x:v>
      </x:c>
      <x:c r="C2726" s="2" t="str">
        <x:v>국외</x:v>
      </x:c>
      <x:c r="D2726" s="7" t="str">
        <x:v>안전한 식수 공급을 위한 정수기 보급 사업 : CPA 61(한국 지원)</x:v>
      </x:c>
      <x:c r="E2726" s="2" t="str">
        <x:v>311</x:v>
      </x:c>
      <x:c r="F2726" s="2" t="str">
        <x:v>2021-10-29</x:v>
      </x:c>
      <x:c r="G2726" s="2" t="str">
        <x:v>2021</x:v>
      </x:c>
      <x:c r="H2726" s="2" t="str">
        <x:v>10</x:v>
      </x:c>
      <x:c r="I2726" s="2" t="str">
        <x:v>심의승인</x:v>
      </x:c>
      <x:c r="J2726" s="2" t="str">
        <x:v>심의승인</x:v>
      </x:c>
      <x:c r="K2726" s="2" t="str">
        <x:f>IF(OR(J2726="심의승인",J2726="반려",J2726="반려완료",J2726="심의완료"),"종결 표시",IF(OR(J2726="기후부협의",J2726="문서재제출요청",J2726="보류",J2726="보완요청",J2726="보완완료",J2726="평가중",J2726="반려요청",J2726="평가필요",LEFT(J2726,5)="보완요청("),"미종결 표시","상태 확인 필요"))</x:f>
        <x:v>종결 표시</x:v>
      </x:c>
      <x:c r="L2726" s="2" t="str">
        <x:v>KECM</x:v>
      </x:c>
      <x:c r="M2726" s="2"/>
      <x:c r="N2726" s="8" t="n">
        <x:f>DATE(2026,10,15)-DATE(2021,10,29)</x:f>
        <x:v>1812</x:v>
      </x:c>
      <x:c r="O2726" s="2"/>
      <x:c r="P2726" s="2"/>
      <x:c r="Q2726" s="2" t="str">
        <x:v>산업전환_외부사업관리Tool_260707_이너젠 수정_LJY_261013.xlsx</x:v>
      </x:c>
      <x:c r="R2726" s="2" t="str">
        <x:v>국외인증</x:v>
      </x:c>
      <x:c r="S2726" s="8" t="n">
        <x:v>313</x:v>
      </x:c>
      <x:c r="T2726" s="2" t="str">
        <x:v>(11/2),(12/1)</x:v>
      </x:c>
      <x:c r="U2726" s="2" t="str">
        <x:v>2021 지정: (11/2),(12/1) / 2022 지정: (1/18)(5/18)</x:v>
      </x:c>
      <x:c r="V2726" s="2" t="str">
        <x:v>2022-07-15</x:v>
      </x:c>
      <x:c r="W2726" s="2" t="str"/>
      <x:c r="X2726" s="2" t="str">
        <x:v>종결 근거 보관</x:v>
      </x:c>
      <x:c r="Y2726" s="2" t="str">
        <x:v>ad210cd9ec132cfd447541c8984dc53d30aff0f4fb2dc92d254d49275cc55976</x:v>
      </x:c>
      <x:c r="Z2726" s="2" t="n">
        <x:f>SUBTOTAL(103,A2726)</x:f>
        <x:v>1</x:v>
      </x:c>
      <x:c r="AA2726" s="2" t="str">
        <x:f>IF(K2726&lt;&gt;"미종결 표시","대상 아님",IF(N2726="","신청일 확인",IF(NOT(ISNUMBER('종합 현황'!$H$5)),"관찰기준 확인",IF('종합 현황'!$H$5&lt;1,"관찰기준 확인",IF(N2726&gt;'종합 현황'!$H$5,"내부 관찰 대상","내부 관찰일 이하")))))</x:f>
        <x:v>대상 아님</x:v>
      </x:c>
      <x:c r="AB2726" s="2" t="str">
        <x:v>2021-10-29 17:25 - 신청
2021-11-24 11:02 - 보완요청
2021-11-26 12:07 - 신청
2021-12-29 10:06 - 문서재제출요청
2021-12-30 18:18 - 신청
2022-01-18 09:44 - 문서재제출요청
2022-01-18 13:06 - 신청
2022-02-23 15:59 - 문서재제출요청
2022-02-24 10:58 - 신청
2022-04-21 16:01 - 문서재제출요청
2022-04-22 16:19 - 신청
2022-07-05 16:51 - 검토승인
2022-07-15 17:24 - 심의승인</x:v>
      </x:c>
    </x:row>
    <x:row r="2727" ht="42" customHeight="1">
      <x:c r="A2727" s="2" t="str">
        <x:v>00abfc767f6dc55dd2f9f7eb</x:v>
      </x:c>
      <x:c r="B2727" s="2" t="str">
        <x:v>감축량 인증</x:v>
      </x:c>
      <x:c r="C2727" s="2" t="str">
        <x:v>국외</x:v>
      </x:c>
      <x:c r="D2727" s="7" t="str">
        <x:v>안전한 식수 공급을 위한 정수기 보급 사업 : CPA 62(한국 지원)</x:v>
      </x:c>
      <x:c r="E2727" s="2" t="str">
        <x:v>312</x:v>
      </x:c>
      <x:c r="F2727" s="2" t="str">
        <x:v>2021-10-29</x:v>
      </x:c>
      <x:c r="G2727" s="2" t="str">
        <x:v>2021</x:v>
      </x:c>
      <x:c r="H2727" s="2" t="str">
        <x:v>10</x:v>
      </x:c>
      <x:c r="I2727" s="2" t="str">
        <x:v>심의승인</x:v>
      </x:c>
      <x:c r="J2727" s="2" t="str">
        <x:v>심의승인</x:v>
      </x:c>
      <x:c r="K2727" s="2" t="str">
        <x:f>IF(OR(J2727="심의승인",J2727="반려",J2727="반려완료",J2727="심의완료"),"종결 표시",IF(OR(J2727="기후부협의",J2727="문서재제출요청",J2727="보류",J2727="보완요청",J2727="보완완료",J2727="평가중",J2727="반려요청",J2727="평가필요",LEFT(J2727,5)="보완요청("),"미종결 표시","상태 확인 필요"))</x:f>
        <x:v>종결 표시</x:v>
      </x:c>
      <x:c r="L2727" s="2" t="str">
        <x:v>KECM</x:v>
      </x:c>
      <x:c r="M2727" s="2"/>
      <x:c r="N2727" s="8" t="n">
        <x:f>DATE(2026,10,15)-DATE(2021,10,29)</x:f>
        <x:v>1812</x:v>
      </x:c>
      <x:c r="O2727" s="2"/>
      <x:c r="P2727" s="2"/>
      <x:c r="Q2727" s="2" t="str">
        <x:v>산업전환_외부사업관리Tool_260707_이너젠 수정_LJY_261013.xlsx</x:v>
      </x:c>
      <x:c r="R2727" s="2" t="str">
        <x:v>국외인증</x:v>
      </x:c>
      <x:c r="S2727" s="8" t="n">
        <x:v>314</x:v>
      </x:c>
      <x:c r="T2727" s="2" t="str">
        <x:v>(11/2),(12/1)</x:v>
      </x:c>
      <x:c r="U2727" s="2" t="str">
        <x:v>2021 지정: (11/2),(12/1) / 2022 지정: (1/18)(5/18)</x:v>
      </x:c>
      <x:c r="V2727" s="2" t="str">
        <x:v>2022-07-15</x:v>
      </x:c>
      <x:c r="W2727" s="2" t="str"/>
      <x:c r="X2727" s="2" t="str">
        <x:v>종결 근거 보관</x:v>
      </x:c>
      <x:c r="Y2727" s="2" t="str">
        <x:v>ad210cd9ec132cfd447541c8984dc53d30aff0f4fb2dc92d254d49275cc55976</x:v>
      </x:c>
      <x:c r="Z2727" s="2" t="n">
        <x:f>SUBTOTAL(103,A2727)</x:f>
        <x:v>1</x:v>
      </x:c>
      <x:c r="AA2727" s="2" t="str">
        <x:f>IF(K2727&lt;&gt;"미종결 표시","대상 아님",IF(N2727="","신청일 확인",IF(NOT(ISNUMBER('종합 현황'!$H$5)),"관찰기준 확인",IF('종합 현황'!$H$5&lt;1,"관찰기준 확인",IF(N2727&gt;'종합 현황'!$H$5,"내부 관찰 대상","내부 관찰일 이하")))))</x:f>
        <x:v>대상 아님</x:v>
      </x:c>
      <x:c r="AB2727" s="2" t="str">
        <x:v>2021-10-29 17:24 - 신청
2021-11-24 11:03 - 보완요청
2021-11-26 12:07 - 신청
2021-12-29 10:09 - 문서재제출요청
2021-12-30 18:19 - 신청
2022-01-18 09:45 - 문서재제출요청
2022-01-18 13:06 - 신청
2022-02-23 15:59 - 문서재제출요청
2022-02-24 10:59 - 신청
2022-04-21 16:01 - 문서재제출요청
2022-04-22 16:19 - 신청
2022-07-05 16:51 - 검토승인
2022-07-15 17:25 - 심의승인</x:v>
      </x:c>
    </x:row>
    <x:row r="2728" ht="42" customHeight="1">
      <x:c r="A2728" s="2" t="str">
        <x:v>9c23c904859f9eb170568da2</x:v>
      </x:c>
      <x:c r="B2728" s="2" t="str">
        <x:v>감축량 인증</x:v>
      </x:c>
      <x:c r="C2728" s="2" t="str">
        <x:v>국외</x:v>
      </x:c>
      <x:c r="D2728" s="7" t="str">
        <x:v>안전한 식수 공급을 위한 정수기 보급 사업 : CPA 63(한국 지원)</x:v>
      </x:c>
      <x:c r="E2728" s="2" t="str">
        <x:v>313</x:v>
      </x:c>
      <x:c r="F2728" s="2" t="str">
        <x:v>2021-10-29</x:v>
      </x:c>
      <x:c r="G2728" s="2" t="str">
        <x:v>2021</x:v>
      </x:c>
      <x:c r="H2728" s="2" t="str">
        <x:v>10</x:v>
      </x:c>
      <x:c r="I2728" s="2" t="str">
        <x:v>심의승인</x:v>
      </x:c>
      <x:c r="J2728" s="2" t="str">
        <x:v>심의승인</x:v>
      </x:c>
      <x:c r="K2728" s="2" t="str">
        <x:f>IF(OR(J2728="심의승인",J2728="반려",J2728="반려완료",J2728="심의완료"),"종결 표시",IF(OR(J2728="기후부협의",J2728="문서재제출요청",J2728="보류",J2728="보완요청",J2728="보완완료",J2728="평가중",J2728="반려요청",J2728="평가필요",LEFT(J2728,5)="보완요청("),"미종결 표시","상태 확인 필요"))</x:f>
        <x:v>종결 표시</x:v>
      </x:c>
      <x:c r="L2728" s="2" t="str">
        <x:v>KECM</x:v>
      </x:c>
      <x:c r="M2728" s="2"/>
      <x:c r="N2728" s="8" t="n">
        <x:f>DATE(2026,10,15)-DATE(2021,10,29)</x:f>
        <x:v>1812</x:v>
      </x:c>
      <x:c r="O2728" s="2"/>
      <x:c r="P2728" s="2"/>
      <x:c r="Q2728" s="2" t="str">
        <x:v>산업전환_외부사업관리Tool_260707_이너젠 수정_LJY_261013.xlsx</x:v>
      </x:c>
      <x:c r="R2728" s="2" t="str">
        <x:v>국외인증</x:v>
      </x:c>
      <x:c r="S2728" s="8" t="n">
        <x:v>315</x:v>
      </x:c>
      <x:c r="T2728" s="2" t="str">
        <x:v>(11/2),(12/1)</x:v>
      </x:c>
      <x:c r="U2728" s="2" t="str">
        <x:v>2021 지정: (11/2),(12/1) / 2022 지정: (1/18)(5/18)</x:v>
      </x:c>
      <x:c r="V2728" s="2" t="str">
        <x:v>2022-07-15</x:v>
      </x:c>
      <x:c r="W2728" s="2" t="str"/>
      <x:c r="X2728" s="2" t="str">
        <x:v>종결 근거 보관</x:v>
      </x:c>
      <x:c r="Y2728" s="2" t="str">
        <x:v>ad210cd9ec132cfd447541c8984dc53d30aff0f4fb2dc92d254d49275cc55976</x:v>
      </x:c>
      <x:c r="Z2728" s="2" t="n">
        <x:f>SUBTOTAL(103,A2728)</x:f>
        <x:v>1</x:v>
      </x:c>
      <x:c r="AA2728" s="2" t="str">
        <x:f>IF(K2728&lt;&gt;"미종결 표시","대상 아님",IF(N2728="","신청일 확인",IF(NOT(ISNUMBER('종합 현황'!$H$5)),"관찰기준 확인",IF('종합 현황'!$H$5&lt;1,"관찰기준 확인",IF(N2728&gt;'종합 현황'!$H$5,"내부 관찰 대상","내부 관찰일 이하")))))</x:f>
        <x:v>대상 아님</x:v>
      </x:c>
      <x:c r="AB2728" s="2" t="str">
        <x:v>2021-10-29 17:24 - 신청
2021-11-24 11:05 - 보완요청
2021-11-26 12:08 - 신청
2021-12-29 10:09 - 문서재제출요청
2021-12-30 18:19 - 신청
2022-01-18 09:45 - 문서재제출요청
2022-01-18 13:06 - 신청
2022-02-23 15:59 - 문서재제출요청
2022-02-24 10:59 - 신청
2022-04-21 16:02 - 문서재제출요청
2022-04-22 16:19 - 신청
2022-07-05 16:50 - 검토승인
2022-07-15 17:26 - 심의승인</x:v>
      </x:c>
    </x:row>
    <x:row r="2729" ht="42" customHeight="1">
      <x:c r="A2729" s="2" t="str">
        <x:v>3ea8fca15999604714a568a3</x:v>
      </x:c>
      <x:c r="B2729" s="2" t="str">
        <x:v>감축량 인증</x:v>
      </x:c>
      <x:c r="C2729" s="2" t="str">
        <x:v>국외</x:v>
      </x:c>
      <x:c r="D2729" s="7" t="str">
        <x:v>안전한 식수 공급을 위한 정수기 보급 사업 : CPA 64(한국 지원)</x:v>
      </x:c>
      <x:c r="E2729" s="2" t="str">
        <x:v>314</x:v>
      </x:c>
      <x:c r="F2729" s="2" t="str">
        <x:v>2021-10-29</x:v>
      </x:c>
      <x:c r="G2729" s="2" t="str">
        <x:v>2021</x:v>
      </x:c>
      <x:c r="H2729" s="2" t="str">
        <x:v>10</x:v>
      </x:c>
      <x:c r="I2729" s="2" t="str">
        <x:v>심의승인</x:v>
      </x:c>
      <x:c r="J2729" s="2" t="str">
        <x:v>심의승인</x:v>
      </x:c>
      <x:c r="K2729" s="2" t="str">
        <x:f>IF(OR(J2729="심의승인",J2729="반려",J2729="반려완료",J2729="심의완료"),"종결 표시",IF(OR(J2729="기후부협의",J2729="문서재제출요청",J2729="보류",J2729="보완요청",J2729="보완완료",J2729="평가중",J2729="반려요청",J2729="평가필요",LEFT(J2729,5)="보완요청("),"미종결 표시","상태 확인 필요"))</x:f>
        <x:v>종결 표시</x:v>
      </x:c>
      <x:c r="L2729" s="2" t="str">
        <x:v>KECM</x:v>
      </x:c>
      <x:c r="M2729" s="2"/>
      <x:c r="N2729" s="8" t="n">
        <x:f>DATE(2026,10,15)-DATE(2021,10,29)</x:f>
        <x:v>1812</x:v>
      </x:c>
      <x:c r="O2729" s="2"/>
      <x:c r="P2729" s="2"/>
      <x:c r="Q2729" s="2" t="str">
        <x:v>산업전환_외부사업관리Tool_260707_이너젠 수정_LJY_261013.xlsx</x:v>
      </x:c>
      <x:c r="R2729" s="2" t="str">
        <x:v>국외인증</x:v>
      </x:c>
      <x:c r="S2729" s="8" t="n">
        <x:v>316</x:v>
      </x:c>
      <x:c r="T2729" s="2" t="str">
        <x:v>(11/2),(12/1)</x:v>
      </x:c>
      <x:c r="U2729" s="2" t="str">
        <x:v>2021 지정: (11/2),(12/1) / 2022 지정: (1/18)(5/18)</x:v>
      </x:c>
      <x:c r="V2729" s="2" t="str">
        <x:v>2022-07-15</x:v>
      </x:c>
      <x:c r="W2729" s="2" t="str"/>
      <x:c r="X2729" s="2" t="str">
        <x:v>종결 근거 보관</x:v>
      </x:c>
      <x:c r="Y2729" s="2" t="str">
        <x:v>ad210cd9ec132cfd447541c8984dc53d30aff0f4fb2dc92d254d49275cc55976</x:v>
      </x:c>
      <x:c r="Z2729" s="2" t="n">
        <x:f>SUBTOTAL(103,A2729)</x:f>
        <x:v>1</x:v>
      </x:c>
      <x:c r="AA2729" s="2" t="str">
        <x:f>IF(K2729&lt;&gt;"미종결 표시","대상 아님",IF(N2729="","신청일 확인",IF(NOT(ISNUMBER('종합 현황'!$H$5)),"관찰기준 확인",IF('종합 현황'!$H$5&lt;1,"관찰기준 확인",IF(N2729&gt;'종합 현황'!$H$5,"내부 관찰 대상","내부 관찰일 이하")))))</x:f>
        <x:v>대상 아님</x:v>
      </x:c>
      <x:c r="AB2729" s="2" t="str">
        <x:v>2021-10-29 17:24 - 신청
2021-11-24 11:06 - 보완요청
2021-11-26 12:08 - 신청
2021-12-29 10:06 - 문서재제출요청
2021-12-30 18:19 - 신청
2022-01-18 09:45 - 문서재제출요청
2022-01-18 13:06 - 신청
2022-02-23 16:00 - 문서재제출요청
2022-02-24 11:00 - 신청
2022-04-21 16:02 - 문서재제출요청
2022-04-22 16:19 - 신청
2022-07-05 16:50 - 검토승인
2022-07-15 17:26 - 심의승인</x:v>
      </x:c>
    </x:row>
    <x:row r="2730" ht="42" customHeight="1">
      <x:c r="A2730" s="2" t="str">
        <x:v>70f2d679aac267c3e2128df5</x:v>
      </x:c>
      <x:c r="B2730" s="2" t="str">
        <x:v>감축량 인증</x:v>
      </x:c>
      <x:c r="C2730" s="2" t="str">
        <x:v>국외</x:v>
      </x:c>
      <x:c r="D2730" s="7" t="str">
        <x:v>안전한 식수 공급을 위한 정수기 보급 사업 : CPA 65(한국 지원)</x:v>
      </x:c>
      <x:c r="E2730" s="2" t="str">
        <x:v>315</x:v>
      </x:c>
      <x:c r="F2730" s="2" t="str">
        <x:v>2021-10-29</x:v>
      </x:c>
      <x:c r="G2730" s="2" t="str">
        <x:v>2021</x:v>
      </x:c>
      <x:c r="H2730" s="2" t="str">
        <x:v>10</x:v>
      </x:c>
      <x:c r="I2730" s="2" t="str">
        <x:v>심의승인</x:v>
      </x:c>
      <x:c r="J2730" s="2" t="str">
        <x:v>심의승인</x:v>
      </x:c>
      <x:c r="K2730" s="2" t="str">
        <x:f>IF(OR(J2730="심의승인",J2730="반려",J2730="반려완료",J2730="심의완료"),"종결 표시",IF(OR(J2730="기후부협의",J2730="문서재제출요청",J2730="보류",J2730="보완요청",J2730="보완완료",J2730="평가중",J2730="반려요청",J2730="평가필요",LEFT(J2730,5)="보완요청("),"미종결 표시","상태 확인 필요"))</x:f>
        <x:v>종결 표시</x:v>
      </x:c>
      <x:c r="L2730" s="2" t="str">
        <x:v>KECM</x:v>
      </x:c>
      <x:c r="M2730" s="2"/>
      <x:c r="N2730" s="8" t="n">
        <x:f>DATE(2026,10,15)-DATE(2021,10,29)</x:f>
        <x:v>1812</x:v>
      </x:c>
      <x:c r="O2730" s="2"/>
      <x:c r="P2730" s="2"/>
      <x:c r="Q2730" s="2" t="str">
        <x:v>산업전환_외부사업관리Tool_260707_이너젠 수정_LJY_261013.xlsx</x:v>
      </x:c>
      <x:c r="R2730" s="2" t="str">
        <x:v>국외인증</x:v>
      </x:c>
      <x:c r="S2730" s="8" t="n">
        <x:v>317</x:v>
      </x:c>
      <x:c r="T2730" s="2" t="str">
        <x:v>(11/2),(12/1)</x:v>
      </x:c>
      <x:c r="U2730" s="2" t="str">
        <x:v>2021 지정: (11/2),(12/1) / 2022 지정: (1/18)(5/18)</x:v>
      </x:c>
      <x:c r="V2730" s="2" t="str">
        <x:v>2022-07-15</x:v>
      </x:c>
      <x:c r="W2730" s="2" t="str"/>
      <x:c r="X2730" s="2" t="str">
        <x:v>종결 근거 보관</x:v>
      </x:c>
      <x:c r="Y2730" s="2" t="str">
        <x:v>ad210cd9ec132cfd447541c8984dc53d30aff0f4fb2dc92d254d49275cc55976</x:v>
      </x:c>
      <x:c r="Z2730" s="2" t="n">
        <x:f>SUBTOTAL(103,A2730)</x:f>
        <x:v>1</x:v>
      </x:c>
      <x:c r="AA2730" s="2" t="str">
        <x:f>IF(K2730&lt;&gt;"미종결 표시","대상 아님",IF(N2730="","신청일 확인",IF(NOT(ISNUMBER('종합 현황'!$H$5)),"관찰기준 확인",IF('종합 현황'!$H$5&lt;1,"관찰기준 확인",IF(N2730&gt;'종합 현황'!$H$5,"내부 관찰 대상","내부 관찰일 이하")))))</x:f>
        <x:v>대상 아님</x:v>
      </x:c>
      <x:c r="AB2730" s="2" t="str">
        <x:v>2021-10-29 17:24 - 신청
2021-11-24 11:06 - 보완요청
2021-11-26 12:08 - 신청
2021-12-29 10:06 - 문서재제출요청
2021-12-30 18:20 - 신청
2022-01-18 09:45 - 문서재제출요청
2022-01-18 13:07 - 신청
2022-02-23 16:00 - 문서재제출요청
2022-02-24 11:00 - 신청
2022-04-21 16:02 - 문서재제출요청
2022-04-22 16:19 - 신청
2022-07-05 16:50 - 검토승인
2022-07-15 17:26 - 심의승인</x:v>
      </x:c>
    </x:row>
    <x:row r="2731" ht="42" customHeight="1">
      <x:c r="A2731" s="2" t="str">
        <x:v>8ea36c2d4a0aa86a2d962759</x:v>
      </x:c>
      <x:c r="B2731" s="2" t="str">
        <x:v>감축량 인증</x:v>
      </x:c>
      <x:c r="C2731" s="2" t="str">
        <x:v>국외</x:v>
      </x:c>
      <x:c r="D2731" s="7" t="str">
        <x:v>안전한 식수 공급을 위한 정수기 보급 사업 : CPA 66(한국 지원)</x:v>
      </x:c>
      <x:c r="E2731" s="2" t="str">
        <x:v>316</x:v>
      </x:c>
      <x:c r="F2731" s="2" t="str">
        <x:v>2021-10-29</x:v>
      </x:c>
      <x:c r="G2731" s="2" t="str">
        <x:v>2021</x:v>
      </x:c>
      <x:c r="H2731" s="2" t="str">
        <x:v>10</x:v>
      </x:c>
      <x:c r="I2731" s="2" t="str">
        <x:v>심의승인</x:v>
      </x:c>
      <x:c r="J2731" s="2" t="str">
        <x:v>심의승인</x:v>
      </x:c>
      <x:c r="K2731" s="2" t="str">
        <x:f>IF(OR(J2731="심의승인",J2731="반려",J2731="반려완료",J2731="심의완료"),"종결 표시",IF(OR(J2731="기후부협의",J2731="문서재제출요청",J2731="보류",J2731="보완요청",J2731="보완완료",J2731="평가중",J2731="반려요청",J2731="평가필요",LEFT(J2731,5)="보완요청("),"미종결 표시","상태 확인 필요"))</x:f>
        <x:v>종결 표시</x:v>
      </x:c>
      <x:c r="L2731" s="2" t="str">
        <x:v>KECM</x:v>
      </x:c>
      <x:c r="M2731" s="2"/>
      <x:c r="N2731" s="8" t="n">
        <x:f>DATE(2026,10,15)-DATE(2021,10,29)</x:f>
        <x:v>1812</x:v>
      </x:c>
      <x:c r="O2731" s="2"/>
      <x:c r="P2731" s="2"/>
      <x:c r="Q2731" s="2" t="str">
        <x:v>산업전환_외부사업관리Tool_260707_이너젠 수정_LJY_261013.xlsx</x:v>
      </x:c>
      <x:c r="R2731" s="2" t="str">
        <x:v>국외인증</x:v>
      </x:c>
      <x:c r="S2731" s="8" t="n">
        <x:v>318</x:v>
      </x:c>
      <x:c r="T2731" s="2" t="str">
        <x:v>(11/2),(12/1)</x:v>
      </x:c>
      <x:c r="U2731" s="2" t="str">
        <x:v>2021 지정: (11/2),(12/1) / 2022 지정: (1/18)(5/18)</x:v>
      </x:c>
      <x:c r="V2731" s="2" t="str">
        <x:v>2022-07-15</x:v>
      </x:c>
      <x:c r="W2731" s="2" t="str"/>
      <x:c r="X2731" s="2" t="str">
        <x:v>종결 근거 보관</x:v>
      </x:c>
      <x:c r="Y2731" s="2" t="str">
        <x:v>ad210cd9ec132cfd447541c8984dc53d30aff0f4fb2dc92d254d49275cc55976</x:v>
      </x:c>
      <x:c r="Z2731" s="2" t="n">
        <x:f>SUBTOTAL(103,A2731)</x:f>
        <x:v>1</x:v>
      </x:c>
      <x:c r="AA2731" s="2" t="str">
        <x:f>IF(K2731&lt;&gt;"미종결 표시","대상 아님",IF(N2731="","신청일 확인",IF(NOT(ISNUMBER('종합 현황'!$H$5)),"관찰기준 확인",IF('종합 현황'!$H$5&lt;1,"관찰기준 확인",IF(N2731&gt;'종합 현황'!$H$5,"내부 관찰 대상","내부 관찰일 이하")))))</x:f>
        <x:v>대상 아님</x:v>
      </x:c>
      <x:c r="AB2731" s="2" t="str">
        <x:v>2021-10-29 17:24 - 신청
2021-11-24 11:07 - 보완요청
2021-11-26 12:08 - 신청
2021-12-29 10:01 - 문서재제출요청
2021-12-30 18:20 - 신청
2022-01-18 09:45 - 문서재제출요청
2022-01-18 13:07 - 신청
2022-02-23 16:00 - 문서재제출요청
2022-02-24 11:01 - 신청
2022-04-21 16:02 - 문서재제출요청
2022-04-22 16:19 - 신청
2022-07-05 16:50 - 검토승인
2022-07-15 17:27 - 심의승인</x:v>
      </x:c>
    </x:row>
    <x:row r="2732" ht="42" customHeight="1">
      <x:c r="A2732" s="2" t="str">
        <x:v>4961bea59d85598bf0e9bfa6</x:v>
      </x:c>
      <x:c r="B2732" s="2" t="str">
        <x:v>감축량 인증</x:v>
      </x:c>
      <x:c r="C2732" s="2" t="str">
        <x:v>국외</x:v>
      </x:c>
      <x:c r="D2732" s="7" t="str">
        <x:v>안전한 식수 공급을 위한 정수기 보급 사업 : CPA 67(한국 지원)</x:v>
      </x:c>
      <x:c r="E2732" s="2" t="str">
        <x:v>317</x:v>
      </x:c>
      <x:c r="F2732" s="2" t="str">
        <x:v>2021-10-29</x:v>
      </x:c>
      <x:c r="G2732" s="2" t="str">
        <x:v>2021</x:v>
      </x:c>
      <x:c r="H2732" s="2" t="str">
        <x:v>10</x:v>
      </x:c>
      <x:c r="I2732" s="2" t="str">
        <x:v>심의승인</x:v>
      </x:c>
      <x:c r="J2732" s="2" t="str">
        <x:v>심의승인</x:v>
      </x:c>
      <x:c r="K2732" s="2" t="str">
        <x:f>IF(OR(J2732="심의승인",J2732="반려",J2732="반려완료",J2732="심의완료"),"종결 표시",IF(OR(J2732="기후부협의",J2732="문서재제출요청",J2732="보류",J2732="보완요청",J2732="보완완료",J2732="평가중",J2732="반려요청",J2732="평가필요",LEFT(J2732,5)="보완요청("),"미종결 표시","상태 확인 필요"))</x:f>
        <x:v>종결 표시</x:v>
      </x:c>
      <x:c r="L2732" s="2" t="str">
        <x:v>KECM</x:v>
      </x:c>
      <x:c r="M2732" s="2"/>
      <x:c r="N2732" s="8" t="n">
        <x:f>DATE(2026,10,15)-DATE(2021,10,29)</x:f>
        <x:v>1812</x:v>
      </x:c>
      <x:c r="O2732" s="2"/>
      <x:c r="P2732" s="2"/>
      <x:c r="Q2732" s="2" t="str">
        <x:v>산업전환_외부사업관리Tool_260707_이너젠 수정_LJY_261013.xlsx</x:v>
      </x:c>
      <x:c r="R2732" s="2" t="str">
        <x:v>국외인증</x:v>
      </x:c>
      <x:c r="S2732" s="8" t="n">
        <x:v>319</x:v>
      </x:c>
      <x:c r="T2732" s="2" t="str">
        <x:v>(11/2),(12/1)</x:v>
      </x:c>
      <x:c r="U2732" s="2" t="str">
        <x:v>2021 지정: (11/2),(12/1) / 2022 지정: (1/18)(5/18)</x:v>
      </x:c>
      <x:c r="V2732" s="2" t="str">
        <x:v>2022-07-15</x:v>
      </x:c>
      <x:c r="W2732" s="2" t="str"/>
      <x:c r="X2732" s="2" t="str">
        <x:v>종결 근거 보관</x:v>
      </x:c>
      <x:c r="Y2732" s="2" t="str">
        <x:v>ad210cd9ec132cfd447541c8984dc53d30aff0f4fb2dc92d254d49275cc55976</x:v>
      </x:c>
      <x:c r="Z2732" s="2" t="n">
        <x:f>SUBTOTAL(103,A2732)</x:f>
        <x:v>1</x:v>
      </x:c>
      <x:c r="AA2732" s="2" t="str">
        <x:f>IF(K2732&lt;&gt;"미종결 표시","대상 아님",IF(N2732="","신청일 확인",IF(NOT(ISNUMBER('종합 현황'!$H$5)),"관찰기준 확인",IF('종합 현황'!$H$5&lt;1,"관찰기준 확인",IF(N2732&gt;'종합 현황'!$H$5,"내부 관찰 대상","내부 관찰일 이하")))))</x:f>
        <x:v>대상 아님</x:v>
      </x:c>
      <x:c r="AB2732" s="2" t="str">
        <x:v>2021-10-29 17:24 - 신청
2021-11-24 11:08 - 보완요청
2021-11-26 12:08 - 신청
2021-12-29 10:01 - 문서재제출요청
2021-12-30 18:20 - 신청
2022-01-18 09:45 - 문서재제출요청
2022-01-18 13:07 - 신청
2022-02-23 16:01 - 문서재제출요청
2022-02-24 11:01 - 신청
2022-04-21 16:03 - 문서재제출요청
2022-04-22 16:20 - 신청
2022-07-05 16:49 - 검토승인
2022-07-15 17:27 - 심의승인</x:v>
      </x:c>
    </x:row>
    <x:row r="2733" ht="42" customHeight="1">
      <x:c r="A2733" s="2" t="str">
        <x:v>c54fa8189ce2f44fde3619ab</x:v>
      </x:c>
      <x:c r="B2733" s="2" t="str">
        <x:v>감축량 인증</x:v>
      </x:c>
      <x:c r="C2733" s="2" t="str">
        <x:v>국외</x:v>
      </x:c>
      <x:c r="D2733" s="7" t="str">
        <x:v>안전한 식수 공급을 위한 정수기 보급 사업 : CPA 68(한국 지원)</x:v>
      </x:c>
      <x:c r="E2733" s="2" t="str">
        <x:v>318</x:v>
      </x:c>
      <x:c r="F2733" s="2" t="str">
        <x:v>2021-10-29</x:v>
      </x:c>
      <x:c r="G2733" s="2" t="str">
        <x:v>2021</x:v>
      </x:c>
      <x:c r="H2733" s="2" t="str">
        <x:v>10</x:v>
      </x:c>
      <x:c r="I2733" s="2" t="str">
        <x:v>심의승인</x:v>
      </x:c>
      <x:c r="J2733" s="2" t="str">
        <x:v>심의승인</x:v>
      </x:c>
      <x:c r="K2733" s="2" t="str">
        <x:f>IF(OR(J2733="심의승인",J2733="반려",J2733="반려완료",J2733="심의완료"),"종결 표시",IF(OR(J2733="기후부협의",J2733="문서재제출요청",J2733="보류",J2733="보완요청",J2733="보완완료",J2733="평가중",J2733="반려요청",J2733="평가필요",LEFT(J2733,5)="보완요청("),"미종결 표시","상태 확인 필요"))</x:f>
        <x:v>종결 표시</x:v>
      </x:c>
      <x:c r="L2733" s="2" t="str">
        <x:v>KECM</x:v>
      </x:c>
      <x:c r="M2733" s="2"/>
      <x:c r="N2733" s="8" t="n">
        <x:f>DATE(2026,10,15)-DATE(2021,10,29)</x:f>
        <x:v>1812</x:v>
      </x:c>
      <x:c r="O2733" s="2"/>
      <x:c r="P2733" s="2"/>
      <x:c r="Q2733" s="2" t="str">
        <x:v>산업전환_외부사업관리Tool_260707_이너젠 수정_LJY_261013.xlsx</x:v>
      </x:c>
      <x:c r="R2733" s="2" t="str">
        <x:v>국외인증</x:v>
      </x:c>
      <x:c r="S2733" s="8" t="n">
        <x:v>320</x:v>
      </x:c>
      <x:c r="T2733" s="2" t="str">
        <x:v>(11/2),(12/1)</x:v>
      </x:c>
      <x:c r="U2733" s="2" t="str">
        <x:v>2021 지정: (11/2),(12/1) / 2022 지정: (1/18)(5/18)</x:v>
      </x:c>
      <x:c r="V2733" s="2" t="str">
        <x:v>2022-07-15</x:v>
      </x:c>
      <x:c r="W2733" s="2" t="str"/>
      <x:c r="X2733" s="2" t="str">
        <x:v>종결 근거 보관</x:v>
      </x:c>
      <x:c r="Y2733" s="2" t="str">
        <x:v>ad210cd9ec132cfd447541c8984dc53d30aff0f4fb2dc92d254d49275cc55976</x:v>
      </x:c>
      <x:c r="Z2733" s="2" t="n">
        <x:f>SUBTOTAL(103,A2733)</x:f>
        <x:v>1</x:v>
      </x:c>
      <x:c r="AA2733" s="2" t="str">
        <x:f>IF(K2733&lt;&gt;"미종결 표시","대상 아님",IF(N2733="","신청일 확인",IF(NOT(ISNUMBER('종합 현황'!$H$5)),"관찰기준 확인",IF('종합 현황'!$H$5&lt;1,"관찰기준 확인",IF(N2733&gt;'종합 현황'!$H$5,"내부 관찰 대상","내부 관찰일 이하")))))</x:f>
        <x:v>대상 아님</x:v>
      </x:c>
      <x:c r="AB2733" s="2" t="str">
        <x:v>2021-10-29 17:24 - 신청
2021-11-24 11:08 - 보완요청
2021-11-26 12:08 - 신청
2021-12-29 10:06 - 문서재제출요청
2021-12-30 18:21 - 신청
2022-01-18 09:45 -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4" ht="42" customHeight="1">
      <x:c r="A2734" s="2" t="str">
        <x:v>a6cabeeee3dcd82f649b5fec</x:v>
      </x:c>
      <x:c r="B2734" s="2" t="str">
        <x:v>감축량 인증</x:v>
      </x:c>
      <x:c r="C2734" s="2" t="str">
        <x:v>국외</x:v>
      </x:c>
      <x:c r="D2734" s="7" t="str">
        <x:v>안전한 식수 공급을 위한 정수기 보급 사업 : CPA 69(한국 지원)</x:v>
      </x:c>
      <x:c r="E2734" s="2" t="str">
        <x:v>319</x:v>
      </x:c>
      <x:c r="F2734" s="2" t="str">
        <x:v>2021-10-29</x:v>
      </x:c>
      <x:c r="G2734" s="2" t="str">
        <x:v>2021</x:v>
      </x:c>
      <x:c r="H2734" s="2" t="str">
        <x:v>10</x:v>
      </x:c>
      <x:c r="I2734" s="2" t="str">
        <x:v>심의승인</x:v>
      </x:c>
      <x:c r="J2734" s="2" t="str">
        <x:v>심의승인</x:v>
      </x:c>
      <x:c r="K2734" s="2" t="str">
        <x:f>IF(OR(J2734="심의승인",J2734="반려",J2734="반려완료",J2734="심의완료"),"종결 표시",IF(OR(J2734="기후부협의",J2734="문서재제출요청",J2734="보류",J2734="보완요청",J2734="보완완료",J2734="평가중",J2734="반려요청",J2734="평가필요",LEFT(J2734,5)="보완요청("),"미종결 표시","상태 확인 필요"))</x:f>
        <x:v>종결 표시</x:v>
      </x:c>
      <x:c r="L2734" s="2" t="str">
        <x:v>KECM</x:v>
      </x:c>
      <x:c r="M2734" s="2"/>
      <x:c r="N2734" s="8" t="n">
        <x:f>DATE(2026,10,15)-DATE(2021,10,29)</x:f>
        <x:v>1812</x:v>
      </x:c>
      <x:c r="O2734" s="2"/>
      <x:c r="P2734" s="2"/>
      <x:c r="Q2734" s="2" t="str">
        <x:v>산업전환_외부사업관리Tool_260707_이너젠 수정_LJY_261013.xlsx</x:v>
      </x:c>
      <x:c r="R2734" s="2" t="str">
        <x:v>국외인증</x:v>
      </x:c>
      <x:c r="S2734" s="8" t="n">
        <x:v>321</x:v>
      </x:c>
      <x:c r="T2734" s="2" t="str">
        <x:v>(11/2),(12/1)</x:v>
      </x:c>
      <x:c r="U2734" s="2" t="str">
        <x:v>2021 지정: (11/2),(12/1) / 2022 지정: (1/18)(5/18)</x:v>
      </x:c>
      <x:c r="V2734" s="2" t="str">
        <x:v>2022-07-15</x:v>
      </x:c>
      <x:c r="W2734" s="2" t="str"/>
      <x:c r="X2734" s="2" t="str">
        <x:v>종결 근거 보관</x:v>
      </x:c>
      <x:c r="Y2734" s="2" t="str">
        <x:v>ad210cd9ec132cfd447541c8984dc53d30aff0f4fb2dc92d254d49275cc55976</x:v>
      </x:c>
      <x:c r="Z2734" s="2" t="n">
        <x:f>SUBTOTAL(103,A2734)</x:f>
        <x:v>1</x:v>
      </x:c>
      <x:c r="AA2734" s="2" t="str">
        <x:f>IF(K2734&lt;&gt;"미종결 표시","대상 아님",IF(N2734="","신청일 확인",IF(NOT(ISNUMBER('종합 현황'!$H$5)),"관찰기준 확인",IF('종합 현황'!$H$5&lt;1,"관찰기준 확인",IF(N2734&gt;'종합 현황'!$H$5,"내부 관찰 대상","내부 관찰일 이하")))))</x:f>
        <x:v>대상 아님</x:v>
      </x:c>
      <x:c r="AB2734" s="2" t="str">
        <x:v>2021-10-29 17:23 - 신청
2021-11-24 11:09 - 보완요청
2021-11-26 12:09 - 신청
2021-12-29 10:01 - 문서재제출요청
2021-12-30 18:21 - 신청
2022-01-18 09:46 - 문서재제출요청
2022-01-18 13:07 - 신청
2022-02-23 16:01 - 문서재제출요청
2022-02-24 11:02 - 신청
2022-04-21 16:03 - 문서재제출요청
2022-04-22 16:20 - 신청
2022-07-05 16:49 - 검토승인
2022-07-15 17:28 - 심의승인</x:v>
      </x:c>
    </x:row>
    <x:row r="2735" ht="42" customHeight="1">
      <x:c r="A2735" s="2" t="str">
        <x:v>b78faefd86c65efdd793fa7d</x:v>
      </x:c>
      <x:c r="B2735" s="2" t="str">
        <x:v>감축량 인증</x:v>
      </x:c>
      <x:c r="C2735" s="2" t="str">
        <x:v>국외</x:v>
      </x:c>
      <x:c r="D2735" s="7" t="str">
        <x:v>안전한 식수 공급을 위한 정수기 보급 사업 : CPA 70(한국 지원)</x:v>
      </x:c>
      <x:c r="E2735" s="2" t="str">
        <x:v>320</x:v>
      </x:c>
      <x:c r="F2735" s="2" t="str">
        <x:v>2021-10-29</x:v>
      </x:c>
      <x:c r="G2735" s="2" t="str">
        <x:v>2021</x:v>
      </x:c>
      <x:c r="H2735" s="2" t="str">
        <x:v>10</x:v>
      </x:c>
      <x:c r="I2735" s="2" t="str">
        <x:v>심의승인</x:v>
      </x:c>
      <x:c r="J2735" s="2" t="str">
        <x:v>심의승인</x:v>
      </x:c>
      <x:c r="K2735" s="2" t="str">
        <x:f>IF(OR(J2735="심의승인",J2735="반려",J2735="반려완료",J2735="심의완료"),"종결 표시",IF(OR(J2735="기후부협의",J2735="문서재제출요청",J2735="보류",J2735="보완요청",J2735="보완완료",J2735="평가중",J2735="반려요청",J2735="평가필요",LEFT(J2735,5)="보완요청("),"미종결 표시","상태 확인 필요"))</x:f>
        <x:v>종결 표시</x:v>
      </x:c>
      <x:c r="L2735" s="2" t="str">
        <x:v>KECM</x:v>
      </x:c>
      <x:c r="M2735" s="2"/>
      <x:c r="N2735" s="8" t="n">
        <x:f>DATE(2026,10,15)-DATE(2021,10,29)</x:f>
        <x:v>1812</x:v>
      </x:c>
      <x:c r="O2735" s="2"/>
      <x:c r="P2735" s="2"/>
      <x:c r="Q2735" s="2" t="str">
        <x:v>산업전환_외부사업관리Tool_260707_이너젠 수정_LJY_261013.xlsx</x:v>
      </x:c>
      <x:c r="R2735" s="2" t="str">
        <x:v>국외인증</x:v>
      </x:c>
      <x:c r="S2735" s="8" t="n">
        <x:v>322</x:v>
      </x:c>
      <x:c r="T2735" s="2" t="str">
        <x:v>(11/2),(12/1)</x:v>
      </x:c>
      <x:c r="U2735" s="2" t="str">
        <x:v>2021 지정: (11/2),(12/1) / 2022 지정: (1/18)(5/18)</x:v>
      </x:c>
      <x:c r="V2735" s="2" t="str">
        <x:v>2022-07-15</x:v>
      </x:c>
      <x:c r="W2735" s="2" t="str"/>
      <x:c r="X2735" s="2" t="str">
        <x:v>종결 근거 보관</x:v>
      </x:c>
      <x:c r="Y2735" s="2" t="str">
        <x:v>ad210cd9ec132cfd447541c8984dc53d30aff0f4fb2dc92d254d49275cc55976</x:v>
      </x:c>
      <x:c r="Z2735" s="2" t="n">
        <x:f>SUBTOTAL(103,A2735)</x:f>
        <x:v>1</x:v>
      </x:c>
      <x:c r="AA2735" s="2" t="str">
        <x:f>IF(K2735&lt;&gt;"미종결 표시","대상 아님",IF(N2735="","신청일 확인",IF(NOT(ISNUMBER('종합 현황'!$H$5)),"관찰기준 확인",IF('종합 현황'!$H$5&lt;1,"관찰기준 확인",IF(N2735&gt;'종합 현황'!$H$5,"내부 관찰 대상","내부 관찰일 이하")))))</x:f>
        <x:v>대상 아님</x:v>
      </x:c>
      <x:c r="AB2735" s="2" t="str">
        <x:v>2021-10-29 17:23 - 신청
2021-11-24 11:10 - 보완요청
2021-11-26 12:09 - 신청
2021-12-29 10:00 - 문서재제출요청
2021-12-30 18:21 - 신청
2022-01-18 09:46 - 문서재제출요청
2022-01-18 13:08 - 신청
2022-02-23 16:01 - 문서재제출요청
2022-02-24 11:03 - 신청
2022-04-21 16:03 - 문서재제출요청
2022-04-22 16:20 - 신청
2022-07-05 16:48 - 검토승인
2022-07-15 17:29 - 심의승인</x:v>
      </x:c>
    </x:row>
    <x:row r="2736" ht="42" customHeight="1">
      <x:c r="A2736" s="2" t="str">
        <x:v>043817c9ba33278de6cf4b01</x:v>
      </x:c>
      <x:c r="B2736" s="2" t="str">
        <x:v>감축량 인증</x:v>
      </x:c>
      <x:c r="C2736" s="2" t="str">
        <x:v>국외</x:v>
      </x:c>
      <x:c r="D2736" s="7" t="str">
        <x:v>안전한 식수 공급을 위한 정수기 보급 사업 : CPA 71(한국 지원)</x:v>
      </x:c>
      <x:c r="E2736" s="2" t="str">
        <x:v>321</x:v>
      </x:c>
      <x:c r="F2736" s="2" t="str">
        <x:v>2021-10-29</x:v>
      </x:c>
      <x:c r="G2736" s="2" t="str">
        <x:v>2021</x:v>
      </x:c>
      <x:c r="H2736" s="2" t="str">
        <x:v>10</x:v>
      </x:c>
      <x:c r="I2736" s="2" t="str">
        <x:v>심의승인</x:v>
      </x:c>
      <x:c r="J2736" s="2" t="str">
        <x:v>심의승인</x:v>
      </x:c>
      <x:c r="K2736" s="2" t="str">
        <x:f>IF(OR(J2736="심의승인",J2736="반려",J2736="반려완료",J2736="심의완료"),"종결 표시",IF(OR(J2736="기후부협의",J2736="문서재제출요청",J2736="보류",J2736="보완요청",J2736="보완완료",J2736="평가중",J2736="반려요청",J2736="평가필요",LEFT(J2736,5)="보완요청("),"미종결 표시","상태 확인 필요"))</x:f>
        <x:v>종결 표시</x:v>
      </x:c>
      <x:c r="L2736" s="2" t="str">
        <x:v>KECM</x:v>
      </x:c>
      <x:c r="M2736" s="2"/>
      <x:c r="N2736" s="8" t="n">
        <x:f>DATE(2026,10,15)-DATE(2021,10,29)</x:f>
        <x:v>1812</x:v>
      </x:c>
      <x:c r="O2736" s="2"/>
      <x:c r="P2736" s="2"/>
      <x:c r="Q2736" s="2" t="str">
        <x:v>산업전환_외부사업관리Tool_260707_이너젠 수정_LJY_261013.xlsx</x:v>
      </x:c>
      <x:c r="R2736" s="2" t="str">
        <x:v>국외인증</x:v>
      </x:c>
      <x:c r="S2736" s="8" t="n">
        <x:v>323</x:v>
      </x:c>
      <x:c r="T2736" s="2" t="str">
        <x:v>(11/2),(12/1)</x:v>
      </x:c>
      <x:c r="U2736" s="2" t="str">
        <x:v>2021 지정: (11/2),(12/1) / 2022 지정: (1/18)(5/18)</x:v>
      </x:c>
      <x:c r="V2736" s="2" t="str">
        <x:v>2022-07-15</x:v>
      </x:c>
      <x:c r="W2736" s="2" t="str"/>
      <x:c r="X2736" s="2" t="str">
        <x:v>종결 근거 보관</x:v>
      </x:c>
      <x:c r="Y2736" s="2" t="str">
        <x:v>ad210cd9ec132cfd447541c8984dc53d30aff0f4fb2dc92d254d49275cc55976</x:v>
      </x:c>
      <x:c r="Z2736" s="2" t="n">
        <x:f>SUBTOTAL(103,A2736)</x:f>
        <x:v>1</x:v>
      </x:c>
      <x:c r="AA2736" s="2" t="str">
        <x:f>IF(K2736&lt;&gt;"미종결 표시","대상 아님",IF(N2736="","신청일 확인",IF(NOT(ISNUMBER('종합 현황'!$H$5)),"관찰기준 확인",IF('종합 현황'!$H$5&lt;1,"관찰기준 확인",IF(N2736&gt;'종합 현황'!$H$5,"내부 관찰 대상","내부 관찰일 이하")))))</x:f>
        <x:v>대상 아님</x:v>
      </x:c>
      <x:c r="AB2736" s="2" t="str">
        <x:v>2021-10-29 17:23 - 신청
2021-11-24 10:47 - 보완요청
2021-11-26 12:09 - 신청
2021-12-29 10:07 - 문서재제출요청
2021-12-30 18:22 - 신청
2022-01-18 09:46 - 문서재제출요청
2022-01-18 13:08 - 신청
2022-02-23 16:02 - 문서재제출요청
2022-02-24 11:03 - 신청
2022-04-21 16:04 - 문서재제출요청
2022-04-22 16:20 - 신청
2022-07-05 16:48 - 검토승인
2022-07-15 17:29 - 심의승인</x:v>
      </x:c>
    </x:row>
    <x:row r="2737" ht="42" customHeight="1">
      <x:c r="A2737" s="2" t="str">
        <x:v>8013f674181e39dbb530f467</x:v>
      </x:c>
      <x:c r="B2737" s="2" t="str">
        <x:v>감축량 인증</x:v>
      </x:c>
      <x:c r="C2737" s="2" t="str">
        <x:v>국외</x:v>
      </x:c>
      <x:c r="D2737" s="7" t="str">
        <x:v>안전한 식수 공급을 위한 정수기 보급 사업 : CPA 72(한국 지원)</x:v>
      </x:c>
      <x:c r="E2737" s="2" t="str">
        <x:v>322</x:v>
      </x:c>
      <x:c r="F2737" s="2" t="str">
        <x:v>2021-10-29</x:v>
      </x:c>
      <x:c r="G2737" s="2" t="str">
        <x:v>2021</x:v>
      </x:c>
      <x:c r="H2737" s="2" t="str">
        <x:v>10</x:v>
      </x:c>
      <x:c r="I2737" s="2" t="str">
        <x:v>심의승인</x:v>
      </x:c>
      <x:c r="J2737" s="2" t="str">
        <x:v>심의승인</x:v>
      </x:c>
      <x:c r="K2737" s="2" t="str">
        <x:f>IF(OR(J2737="심의승인",J2737="반려",J2737="반려완료",J2737="심의완료"),"종결 표시",IF(OR(J2737="기후부협의",J2737="문서재제출요청",J2737="보류",J2737="보완요청",J2737="보완완료",J2737="평가중",J2737="반려요청",J2737="평가필요",LEFT(J2737,5)="보완요청("),"미종결 표시","상태 확인 필요"))</x:f>
        <x:v>종결 표시</x:v>
      </x:c>
      <x:c r="L2737" s="2" t="str">
        <x:v>KECM</x:v>
      </x:c>
      <x:c r="M2737" s="2"/>
      <x:c r="N2737" s="8" t="n">
        <x:f>DATE(2026,10,15)-DATE(2021,10,29)</x:f>
        <x:v>1812</x:v>
      </x:c>
      <x:c r="O2737" s="2"/>
      <x:c r="P2737" s="2"/>
      <x:c r="Q2737" s="2" t="str">
        <x:v>산업전환_외부사업관리Tool_260707_이너젠 수정_LJY_261013.xlsx</x:v>
      </x:c>
      <x:c r="R2737" s="2" t="str">
        <x:v>국외인증</x:v>
      </x:c>
      <x:c r="S2737" s="8" t="n">
        <x:v>324</x:v>
      </x:c>
      <x:c r="T2737" s="2" t="str">
        <x:v>(11/2),(12/1)</x:v>
      </x:c>
      <x:c r="U2737" s="2" t="str">
        <x:v>2021 지정: (11/2),(12/1) / 2022 지정: (1/18)(5/18)</x:v>
      </x:c>
      <x:c r="V2737" s="2" t="str">
        <x:v>2022-07-15</x:v>
      </x:c>
      <x:c r="W2737" s="2" t="str"/>
      <x:c r="X2737" s="2" t="str">
        <x:v>종결 근거 보관</x:v>
      </x:c>
      <x:c r="Y2737" s="2" t="str">
        <x:v>ad210cd9ec132cfd447541c8984dc53d30aff0f4fb2dc92d254d49275cc55976</x:v>
      </x:c>
      <x:c r="Z2737" s="2" t="n">
        <x:f>SUBTOTAL(103,A2737)</x:f>
        <x:v>1</x:v>
      </x:c>
      <x:c r="AA2737" s="2" t="str">
        <x:f>IF(K2737&lt;&gt;"미종결 표시","대상 아님",IF(N2737="","신청일 확인",IF(NOT(ISNUMBER('종합 현황'!$H$5)),"관찰기준 확인",IF('종합 현황'!$H$5&lt;1,"관찰기준 확인",IF(N2737&gt;'종합 현황'!$H$5,"내부 관찰 대상","내부 관찰일 이하")))))</x:f>
        <x:v>대상 아님</x:v>
      </x:c>
      <x:c r="AB2737" s="2" t="str">
        <x:v>2021-10-29 17:23 - 신청
2021-11-24 10:48 - 보완요청
2021-11-26 12:09 - 신청
2021-12-29 10:07 - 문서재제출요청
2021-12-30 18:22 - 신청
2022-01-18 09:47 - 문서재제출요청
2022-01-18 13:08 - 신청
2022-02-23 16:02 - 문서재제출요청
2022-02-24 11:03 - 신청
2022-04-21 16:04 - 문서재제출요청
2022-04-22 16:20 - 신청
2022-07-05 16:48 - 검토승인
2022-07-15 17:30 - 심의승인</x:v>
      </x:c>
    </x:row>
    <x:row r="2738" ht="42" customHeight="1">
      <x:c r="A2738" s="2" t="str">
        <x:v>a6ac74ffbaefe3903bc01450</x:v>
      </x:c>
      <x:c r="B2738" s="2" t="str">
        <x:v>감축량 인증</x:v>
      </x:c>
      <x:c r="C2738" s="2" t="str">
        <x:v>국외</x:v>
      </x:c>
      <x:c r="D2738" s="7" t="str">
        <x:v>안전한 식수 공급을 위한 정수기 보급 사업 : CPA 73(한국 지원)</x:v>
      </x:c>
      <x:c r="E2738" s="2" t="str">
        <x:v>323</x:v>
      </x:c>
      <x:c r="F2738" s="2" t="str">
        <x:v>2021-10-29</x:v>
      </x:c>
      <x:c r="G2738" s="2" t="str">
        <x:v>2021</x:v>
      </x:c>
      <x:c r="H2738" s="2" t="str">
        <x:v>10</x:v>
      </x:c>
      <x:c r="I2738" s="2" t="str">
        <x:v>심의승인</x:v>
      </x:c>
      <x:c r="J2738" s="2" t="str">
        <x:v>심의승인</x:v>
      </x:c>
      <x:c r="K2738" s="2" t="str">
        <x:f>IF(OR(J2738="심의승인",J2738="반려",J2738="반려완료",J2738="심의완료"),"종결 표시",IF(OR(J2738="기후부협의",J2738="문서재제출요청",J2738="보류",J2738="보완요청",J2738="보완완료",J2738="평가중",J2738="반려요청",J2738="평가필요",LEFT(J2738,5)="보완요청("),"미종결 표시","상태 확인 필요"))</x:f>
        <x:v>종결 표시</x:v>
      </x:c>
      <x:c r="L2738" s="2" t="str">
        <x:v>KECM</x:v>
      </x:c>
      <x:c r="M2738" s="2"/>
      <x:c r="N2738" s="8" t="n">
        <x:f>DATE(2026,10,15)-DATE(2021,10,29)</x:f>
        <x:v>1812</x:v>
      </x:c>
      <x:c r="O2738" s="2"/>
      <x:c r="P2738" s="2"/>
      <x:c r="Q2738" s="2" t="str">
        <x:v>산업전환_외부사업관리Tool_260707_이너젠 수정_LJY_261013.xlsx</x:v>
      </x:c>
      <x:c r="R2738" s="2" t="str">
        <x:v>국외인증</x:v>
      </x:c>
      <x:c r="S2738" s="8" t="n">
        <x:v>325</x:v>
      </x:c>
      <x:c r="T2738" s="2" t="str">
        <x:v>(11/2),(12/1)</x:v>
      </x:c>
      <x:c r="U2738" s="2" t="str">
        <x:v>2021 지정: (11/2),(12/1) / 2022 지정: (1/18)(5/18)</x:v>
      </x:c>
      <x:c r="V2738" s="2" t="str">
        <x:v>2022-07-15</x:v>
      </x:c>
      <x:c r="W2738" s="2" t="str"/>
      <x:c r="X2738" s="2" t="str">
        <x:v>종결 근거 보관</x:v>
      </x:c>
      <x:c r="Y2738" s="2" t="str">
        <x:v>ad210cd9ec132cfd447541c8984dc53d30aff0f4fb2dc92d254d49275cc55976</x:v>
      </x:c>
      <x:c r="Z2738" s="2" t="n">
        <x:f>SUBTOTAL(103,A2738)</x:f>
        <x:v>1</x:v>
      </x:c>
      <x:c r="AA2738" s="2" t="str">
        <x:f>IF(K2738&lt;&gt;"미종결 표시","대상 아님",IF(N2738="","신청일 확인",IF(NOT(ISNUMBER('종합 현황'!$H$5)),"관찰기준 확인",IF('종합 현황'!$H$5&lt;1,"관찰기준 확인",IF(N2738&gt;'종합 현황'!$H$5,"내부 관찰 대상","내부 관찰일 이하")))))</x:f>
        <x:v>대상 아님</x:v>
      </x:c>
      <x:c r="AB2738" s="2" t="str">
        <x:v>2021-10-29 17:23 - 신청
2021-11-24 10:50 - 보완요청
2021-11-26 12:09 - 신청
2021-12-29 10:07 - 문서재제출요청
2021-12-30 18:23 - 신청
2022-01-18 09:47 - 문서재제출요청
2022-01-18 13:09 - 신청
2022-02-23 16:02 - 문서재제출요청
2022-02-24 11:04 - 신청
2022-04-21 16:04 - 문서재제출요청
2022-04-22 16:20 - 신청
2022-07-05 16:47 - 검토승인
2022-07-15 17:30 - 심의승인</x:v>
      </x:c>
    </x:row>
    <x:row r="2739" ht="42" customHeight="1">
      <x:c r="A2739" s="2" t="str">
        <x:v>988c6acd2f07471379f1226c</x:v>
      </x:c>
      <x:c r="B2739" s="2" t="str">
        <x:v>감축량 인증</x:v>
      </x:c>
      <x:c r="C2739" s="2" t="str">
        <x:v>국외</x:v>
      </x:c>
      <x:c r="D2739" s="7" t="str">
        <x:v>안전한 식수 공급을 위한 정수기 보급 사업 : CPA 74(한국 지원)</x:v>
      </x:c>
      <x:c r="E2739" s="2" t="str">
        <x:v>324</x:v>
      </x:c>
      <x:c r="F2739" s="2" t="str">
        <x:v>2021-10-29</x:v>
      </x:c>
      <x:c r="G2739" s="2" t="str">
        <x:v>2021</x:v>
      </x:c>
      <x:c r="H2739" s="2" t="str">
        <x:v>10</x:v>
      </x:c>
      <x:c r="I2739" s="2" t="str">
        <x:v>심의승인</x:v>
      </x:c>
      <x:c r="J2739" s="2" t="str">
        <x:v>심의승인</x:v>
      </x:c>
      <x:c r="K2739" s="2" t="str">
        <x:f>IF(OR(J2739="심의승인",J2739="반려",J2739="반려완료",J2739="심의완료"),"종결 표시",IF(OR(J2739="기후부협의",J2739="문서재제출요청",J2739="보류",J2739="보완요청",J2739="보완완료",J2739="평가중",J2739="반려요청",J2739="평가필요",LEFT(J2739,5)="보완요청("),"미종결 표시","상태 확인 필요"))</x:f>
        <x:v>종결 표시</x:v>
      </x:c>
      <x:c r="L2739" s="2" t="str">
        <x:v>KECM</x:v>
      </x:c>
      <x:c r="M2739" s="2"/>
      <x:c r="N2739" s="8" t="n">
        <x:f>DATE(2026,10,15)-DATE(2021,10,29)</x:f>
        <x:v>1812</x:v>
      </x:c>
      <x:c r="O2739" s="2"/>
      <x:c r="P2739" s="2"/>
      <x:c r="Q2739" s="2" t="str">
        <x:v>산업전환_외부사업관리Tool_260707_이너젠 수정_LJY_261013.xlsx</x:v>
      </x:c>
      <x:c r="R2739" s="2" t="str">
        <x:v>국외인증</x:v>
      </x:c>
      <x:c r="S2739" s="8" t="n">
        <x:v>326</x:v>
      </x:c>
      <x:c r="T2739" s="2" t="str">
        <x:v>(11/2),(12/1)</x:v>
      </x:c>
      <x:c r="U2739" s="2" t="str">
        <x:v>2021 지정: (11/2),(12/1) / 2022 지정: (1/18)(5/18)</x:v>
      </x:c>
      <x:c r="V2739" s="2" t="str">
        <x:v>2022-07-15</x:v>
      </x:c>
      <x:c r="W2739" s="2" t="str"/>
      <x:c r="X2739" s="2" t="str">
        <x:v>종결 근거 보관</x:v>
      </x:c>
      <x:c r="Y2739" s="2" t="str">
        <x:v>ad210cd9ec132cfd447541c8984dc53d30aff0f4fb2dc92d254d49275cc55976</x:v>
      </x:c>
      <x:c r="Z2739" s="2" t="n">
        <x:f>SUBTOTAL(103,A2739)</x:f>
        <x:v>1</x:v>
      </x:c>
      <x:c r="AA2739" s="2" t="str">
        <x:f>IF(K2739&lt;&gt;"미종결 표시","대상 아님",IF(N2739="","신청일 확인",IF(NOT(ISNUMBER('종합 현황'!$H$5)),"관찰기준 확인",IF('종합 현황'!$H$5&lt;1,"관찰기준 확인",IF(N2739&gt;'종합 현황'!$H$5,"내부 관찰 대상","내부 관찰일 이하")))))</x:f>
        <x:v>대상 아님</x:v>
      </x:c>
      <x:c r="AB2739" s="2" t="str">
        <x:v>2021-10-29 17:23 - 신청
2021-11-24 10:51 - 보완요청
2021-11-26 12:09 - 신청
2021-12-29 10:07 - 문서재제출요청
2021-12-30 18:23 - 신청
2022-01-18 09:47 - 문서재제출요청
2022-01-18 13:09 - 신청
2022-02-23 16:03 - 문서재제출요청
2022-02-24 11:04 - 신청
2022-04-21 16:04 - 문서재제출요청
2022-04-22 16:20 - 신청
2022-07-05 16:46 - 검토승인
2022-07-15 17:30 - 심의승인</x:v>
      </x:c>
    </x:row>
    <x:row r="2740" ht="42" customHeight="1">
      <x:c r="A2740" s="2" t="str">
        <x:v>3c2ebd3a61e6eb00c1ef7b26</x:v>
      </x:c>
      <x:c r="B2740" s="2" t="str">
        <x:v>감축량 인증</x:v>
      </x:c>
      <x:c r="C2740" s="2" t="str">
        <x:v>국외</x:v>
      </x:c>
      <x:c r="D2740" s="7" t="str">
        <x:v>안전한 식수 공급을 위한 정수기 보급 사업 : CPA 75(한국 지원)</x:v>
      </x:c>
      <x:c r="E2740" s="2" t="str">
        <x:v>325</x:v>
      </x:c>
      <x:c r="F2740" s="2" t="str">
        <x:v>2021-10-29</x:v>
      </x:c>
      <x:c r="G2740" s="2" t="str">
        <x:v>2021</x:v>
      </x:c>
      <x:c r="H2740" s="2" t="str">
        <x:v>10</x:v>
      </x:c>
      <x:c r="I2740" s="2" t="str">
        <x:v>심의승인</x:v>
      </x:c>
      <x:c r="J2740" s="2" t="str">
        <x:v>심의승인</x:v>
      </x:c>
      <x:c r="K2740" s="2" t="str">
        <x:f>IF(OR(J2740="심의승인",J2740="반려",J2740="반려완료",J2740="심의완료"),"종결 표시",IF(OR(J2740="기후부협의",J2740="문서재제출요청",J2740="보류",J2740="보완요청",J2740="보완완료",J2740="평가중",J2740="반려요청",J2740="평가필요",LEFT(J2740,5)="보완요청("),"미종결 표시","상태 확인 필요"))</x:f>
        <x:v>종결 표시</x:v>
      </x:c>
      <x:c r="L2740" s="2" t="str">
        <x:v>KECM</x:v>
      </x:c>
      <x:c r="M2740" s="2"/>
      <x:c r="N2740" s="8" t="n">
        <x:f>DATE(2026,10,15)-DATE(2021,10,29)</x:f>
        <x:v>1812</x:v>
      </x:c>
      <x:c r="O2740" s="2"/>
      <x:c r="P2740" s="2"/>
      <x:c r="Q2740" s="2" t="str">
        <x:v>산업전환_외부사업관리Tool_260707_이너젠 수정_LJY_261013.xlsx</x:v>
      </x:c>
      <x:c r="R2740" s="2" t="str">
        <x:v>국외인증</x:v>
      </x:c>
      <x:c r="S2740" s="8" t="n">
        <x:v>327</x:v>
      </x:c>
      <x:c r="T2740" s="2" t="str">
        <x:v>(11/2),(12/1)</x:v>
      </x:c>
      <x:c r="U2740" s="2" t="str">
        <x:v>2021 지정: (11/2),(12/1) / 2022 지정: (1/18)(5/18)</x:v>
      </x:c>
      <x:c r="V2740" s="2" t="str">
        <x:v>2022-07-15</x:v>
      </x:c>
      <x:c r="W2740" s="2" t="str"/>
      <x:c r="X2740" s="2" t="str">
        <x:v>종결 근거 보관</x:v>
      </x:c>
      <x:c r="Y2740" s="2" t="str">
        <x:v>ad210cd9ec132cfd447541c8984dc53d30aff0f4fb2dc92d254d49275cc55976</x:v>
      </x:c>
      <x:c r="Z2740" s="2" t="n">
        <x:f>SUBTOTAL(103,A2740)</x:f>
        <x:v>1</x:v>
      </x:c>
      <x:c r="AA2740" s="2" t="str">
        <x:f>IF(K2740&lt;&gt;"미종결 표시","대상 아님",IF(N2740="","신청일 확인",IF(NOT(ISNUMBER('종합 현황'!$H$5)),"관찰기준 확인",IF('종합 현황'!$H$5&lt;1,"관찰기준 확인",IF(N2740&gt;'종합 현황'!$H$5,"내부 관찰 대상","내부 관찰일 이하")))))</x:f>
        <x:v>대상 아님</x:v>
      </x:c>
      <x:c r="AB2740" s="2" t="str">
        <x:v>2021-10-29 17:22 - 신청
2021-11-24 10:52 - 보완요청
2021-11-26 12:10 - 신청
2021-12-29 10:07 - 문서재제출요청
2021-12-30 18:23 -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1" ht="42" customHeight="1">
      <x:c r="A2741" s="2" t="str">
        <x:v>c7dc7a695545eff4c78e7e93</x:v>
      </x:c>
      <x:c r="B2741" s="2" t="str">
        <x:v>감축량 인증</x:v>
      </x:c>
      <x:c r="C2741" s="2" t="str">
        <x:v>국외</x:v>
      </x:c>
      <x:c r="D2741" s="7" t="str">
        <x:v>안전한 식수 공급을 위한 정수기 보급 사업 : CPA 76(한국 지원)</x:v>
      </x:c>
      <x:c r="E2741" s="2" t="str">
        <x:v>326</x:v>
      </x:c>
      <x:c r="F2741" s="2" t="str">
        <x:v>2021-10-29</x:v>
      </x:c>
      <x:c r="G2741" s="2" t="str">
        <x:v>2021</x:v>
      </x:c>
      <x:c r="H2741" s="2" t="str">
        <x:v>10</x:v>
      </x:c>
      <x:c r="I2741" s="2" t="str">
        <x:v>심의승인</x:v>
      </x:c>
      <x:c r="J2741" s="2" t="str">
        <x:v>심의승인</x:v>
      </x:c>
      <x:c r="K2741" s="2" t="str">
        <x:f>IF(OR(J2741="심의승인",J2741="반려",J2741="반려완료",J2741="심의완료"),"종결 표시",IF(OR(J2741="기후부협의",J2741="문서재제출요청",J2741="보류",J2741="보완요청",J2741="보완완료",J2741="평가중",J2741="반려요청",J2741="평가필요",LEFT(J2741,5)="보완요청("),"미종결 표시","상태 확인 필요"))</x:f>
        <x:v>종결 표시</x:v>
      </x:c>
      <x:c r="L2741" s="2" t="str">
        <x:v>KECM</x:v>
      </x:c>
      <x:c r="M2741" s="2"/>
      <x:c r="N2741" s="8" t="n">
        <x:f>DATE(2026,10,15)-DATE(2021,10,29)</x:f>
        <x:v>1812</x:v>
      </x:c>
      <x:c r="O2741" s="2"/>
      <x:c r="P2741" s="2"/>
      <x:c r="Q2741" s="2" t="str">
        <x:v>산업전환_외부사업관리Tool_260707_이너젠 수정_LJY_261013.xlsx</x:v>
      </x:c>
      <x:c r="R2741" s="2" t="str">
        <x:v>국외인증</x:v>
      </x:c>
      <x:c r="S2741" s="8" t="n">
        <x:v>328</x:v>
      </x:c>
      <x:c r="T2741" s="2" t="str">
        <x:v>(11/2),(12/1)</x:v>
      </x:c>
      <x:c r="U2741" s="2" t="str">
        <x:v>2021 지정: (11/2),(12/1) / 2022 지정: (1/18)(5/18)</x:v>
      </x:c>
      <x:c r="V2741" s="2" t="str">
        <x:v>2022-07-15</x:v>
      </x:c>
      <x:c r="W2741" s="2" t="str"/>
      <x:c r="X2741" s="2" t="str">
        <x:v>종결 근거 보관</x:v>
      </x:c>
      <x:c r="Y2741" s="2" t="str">
        <x:v>ad210cd9ec132cfd447541c8984dc53d30aff0f4fb2dc92d254d49275cc55976</x:v>
      </x:c>
      <x:c r="Z2741" s="2" t="n">
        <x:f>SUBTOTAL(103,A2741)</x:f>
        <x:v>1</x:v>
      </x:c>
      <x:c r="AA2741" s="2" t="str">
        <x:f>IF(K2741&lt;&gt;"미종결 표시","대상 아님",IF(N2741="","신청일 확인",IF(NOT(ISNUMBER('종합 현황'!$H$5)),"관찰기준 확인",IF('종합 현황'!$H$5&lt;1,"관찰기준 확인",IF(N2741&gt;'종합 현황'!$H$5,"내부 관찰 대상","내부 관찰일 이하")))))</x:f>
        <x:v>대상 아님</x:v>
      </x:c>
      <x:c r="AB2741" s="2" t="str">
        <x:v>2021-10-29 17:22 - 신청
2021-11-24 10:54 - 보완요청
2021-11-26 12:10 - 신청
2021-12-29 10:07 - 문서재제출요청
2021-12-30 18:24 - 신청
2022-01-18 09:48 - 문서재제출요청
2022-01-18 13:09 - 신청
2022-02-23 16:03 - 문서재제출요청
2022-02-24 11:05 - 신청
2022-04-21 16:05 - 문서재제출요청
2022-04-22 16:21 - 신청
2022-07-05 16:46 - 검토승인
2022-07-15 17:31 - 심의승인</x:v>
      </x:c>
    </x:row>
    <x:row r="2742" ht="42" customHeight="1">
      <x:c r="A2742" s="2" t="str">
        <x:v>048ee305d7dd56e809b203a8</x:v>
      </x:c>
      <x:c r="B2742" s="2" t="str">
        <x:v>감축량 인증</x:v>
      </x:c>
      <x:c r="C2742" s="2" t="str">
        <x:v>국외</x:v>
      </x:c>
      <x:c r="D2742" s="7" t="str">
        <x:v>안전한 식수 공급을 위한 정수기 보급 사업 : CPA 77(한국 지원)</x:v>
      </x:c>
      <x:c r="E2742" s="2" t="str">
        <x:v>327</x:v>
      </x:c>
      <x:c r="F2742" s="2" t="str">
        <x:v>2021-10-29</x:v>
      </x:c>
      <x:c r="G2742" s="2" t="str">
        <x:v>2021</x:v>
      </x:c>
      <x:c r="H2742" s="2" t="str">
        <x:v>10</x:v>
      </x:c>
      <x:c r="I2742" s="2" t="str">
        <x:v>심의승인</x:v>
      </x:c>
      <x:c r="J2742" s="2" t="str">
        <x:v>심의승인</x:v>
      </x:c>
      <x:c r="K2742" s="2" t="str">
        <x:f>IF(OR(J2742="심의승인",J2742="반려",J2742="반려완료",J2742="심의완료"),"종결 표시",IF(OR(J2742="기후부협의",J2742="문서재제출요청",J2742="보류",J2742="보완요청",J2742="보완완료",J2742="평가중",J2742="반려요청",J2742="평가필요",LEFT(J2742,5)="보완요청("),"미종결 표시","상태 확인 필요"))</x:f>
        <x:v>종결 표시</x:v>
      </x:c>
      <x:c r="L2742" s="2" t="str">
        <x:v>KECM</x:v>
      </x:c>
      <x:c r="M2742" s="2"/>
      <x:c r="N2742" s="8" t="n">
        <x:f>DATE(2026,10,15)-DATE(2021,10,29)</x:f>
        <x:v>1812</x:v>
      </x:c>
      <x:c r="O2742" s="2"/>
      <x:c r="P2742" s="2"/>
      <x:c r="Q2742" s="2" t="str">
        <x:v>산업전환_외부사업관리Tool_260707_이너젠 수정_LJY_261013.xlsx</x:v>
      </x:c>
      <x:c r="R2742" s="2" t="str">
        <x:v>국외인증</x:v>
      </x:c>
      <x:c r="S2742" s="8" t="n">
        <x:v>329</x:v>
      </x:c>
      <x:c r="T2742" s="2" t="str">
        <x:v>(11/2),(12/1)</x:v>
      </x:c>
      <x:c r="U2742" s="2" t="str">
        <x:v>2021 지정: (11/2),(12/1) / 2022 지정: (1/18)(5/18)</x:v>
      </x:c>
      <x:c r="V2742" s="2" t="str">
        <x:v>2022-07-15</x:v>
      </x:c>
      <x:c r="W2742" s="2" t="str"/>
      <x:c r="X2742" s="2" t="str">
        <x:v>종결 근거 보관</x:v>
      </x:c>
      <x:c r="Y2742" s="2" t="str">
        <x:v>ad210cd9ec132cfd447541c8984dc53d30aff0f4fb2dc92d254d49275cc55976</x:v>
      </x:c>
      <x:c r="Z2742" s="2" t="n">
        <x:f>SUBTOTAL(103,A2742)</x:f>
        <x:v>1</x:v>
      </x:c>
      <x:c r="AA2742" s="2" t="str">
        <x:f>IF(K2742&lt;&gt;"미종결 표시","대상 아님",IF(N2742="","신청일 확인",IF(NOT(ISNUMBER('종합 현황'!$H$5)),"관찰기준 확인",IF('종합 현황'!$H$5&lt;1,"관찰기준 확인",IF(N2742&gt;'종합 현황'!$H$5,"내부 관찰 대상","내부 관찰일 이하")))))</x:f>
        <x:v>대상 아님</x:v>
      </x:c>
      <x:c r="AB2742" s="2" t="str">
        <x:v>2021-10-29 17:22 - 신청
2021-11-24 10:55 - 보완요청
2021-11-26 12:10 - 신청
2021-12-29 10:08 - 문서재제출요청
2021-12-30 18:25 - 신청
2022-01-18 09:48 - 문서재제출요청
2022-01-18 13:10 - 신청
2022-02-23 16:04 - 문서재제출요청
2022-02-24 11:06 - 신청
2022-04-21 16:05 - 문서재제출요청
2022-04-22 16:22 - 신청
2022-07-05 16:45 - 검토승인
2022-07-15 17:32 - 심의승인</x:v>
      </x:c>
    </x:row>
    <x:row r="2743" ht="42" customHeight="1">
      <x:c r="A2743" s="2" t="str">
        <x:v>2a79da53320816717d468fa5</x:v>
      </x:c>
      <x:c r="B2743" s="2" t="str">
        <x:v>감축량 인증</x:v>
      </x:c>
      <x:c r="C2743" s="2" t="str">
        <x:v>국외</x:v>
      </x:c>
      <x:c r="D2743" s="7" t="str">
        <x:v>안전한 식수 공급을 위한 정수기 보급 사업 : CPA 78(한국 지원)</x:v>
      </x:c>
      <x:c r="E2743" s="2" t="str">
        <x:v>328</x:v>
      </x:c>
      <x:c r="F2743" s="2" t="str">
        <x:v>2021-10-29</x:v>
      </x:c>
      <x:c r="G2743" s="2" t="str">
        <x:v>2021</x:v>
      </x:c>
      <x:c r="H2743" s="2" t="str">
        <x:v>10</x:v>
      </x:c>
      <x:c r="I2743" s="2" t="str">
        <x:v>심의승인</x:v>
      </x:c>
      <x:c r="J2743" s="2" t="str">
        <x:v>심의승인</x:v>
      </x:c>
      <x:c r="K2743" s="2" t="str">
        <x:f>IF(OR(J2743="심의승인",J2743="반려",J2743="반려완료",J2743="심의완료"),"종결 표시",IF(OR(J2743="기후부협의",J2743="문서재제출요청",J2743="보류",J2743="보완요청",J2743="보완완료",J2743="평가중",J2743="반려요청",J2743="평가필요",LEFT(J2743,5)="보완요청("),"미종결 표시","상태 확인 필요"))</x:f>
        <x:v>종결 표시</x:v>
      </x:c>
      <x:c r="L2743" s="2" t="str">
        <x:v>KECM</x:v>
      </x:c>
      <x:c r="M2743" s="2"/>
      <x:c r="N2743" s="8" t="n">
        <x:f>DATE(2026,10,15)-DATE(2021,10,29)</x:f>
        <x:v>1812</x:v>
      </x:c>
      <x:c r="O2743" s="2"/>
      <x:c r="P2743" s="2"/>
      <x:c r="Q2743" s="2" t="str">
        <x:v>산업전환_외부사업관리Tool_260707_이너젠 수정_LJY_261013.xlsx</x:v>
      </x:c>
      <x:c r="R2743" s="2" t="str">
        <x:v>국외인증</x:v>
      </x:c>
      <x:c r="S2743" s="8" t="n">
        <x:v>330</x:v>
      </x:c>
      <x:c r="T2743" s="2" t="str">
        <x:v>(11/2),(12/1)</x:v>
      </x:c>
      <x:c r="U2743" s="2" t="str">
        <x:v>2021 지정: (11/2),(12/1) / 2022 지정: (1/18)(5/18)</x:v>
      </x:c>
      <x:c r="V2743" s="2" t="str">
        <x:v>2022-07-15</x:v>
      </x:c>
      <x:c r="W2743" s="2" t="str"/>
      <x:c r="X2743" s="2" t="str">
        <x:v>종결 근거 보관</x:v>
      </x:c>
      <x:c r="Y2743" s="2" t="str">
        <x:v>ad210cd9ec132cfd447541c8984dc53d30aff0f4fb2dc92d254d49275cc55976</x:v>
      </x:c>
      <x:c r="Z2743" s="2" t="n">
        <x:f>SUBTOTAL(103,A2743)</x:f>
        <x:v>1</x:v>
      </x:c>
      <x:c r="AA2743" s="2" t="str">
        <x:f>IF(K2743&lt;&gt;"미종결 표시","대상 아님",IF(N2743="","신청일 확인",IF(NOT(ISNUMBER('종합 현황'!$H$5)),"관찰기준 확인",IF('종합 현황'!$H$5&lt;1,"관찰기준 확인",IF(N2743&gt;'종합 현황'!$H$5,"내부 관찰 대상","내부 관찰일 이하")))))</x:f>
        <x:v>대상 아님</x:v>
      </x:c>
      <x:c r="AB2743" s="2" t="str">
        <x:v>2021-10-29 17:22 - 신청
2021-11-24 10:56 - 보완요청
2021-11-26 12:10 - 신청
2021-12-29 10:09 - 문서재제출요청
2021-12-30 18:31 - 신청
2022-01-18 09:48 - 문서재제출요청
2022-01-18 13:11 - 신청
2022-02-23 16:04 - 문서재제출요청
2022-02-24 11:09 - 신청
2022-04-21 16:06 - 문서재제출요청
2022-04-22 16:22 - 신청
2022-07-05 16:45 - 검토승인
2022-07-15 17:34 - 심의승인</x:v>
      </x:c>
    </x:row>
    <x:row r="2744" ht="42" customHeight="1">
      <x:c r="A2744" s="2" t="str">
        <x:v>d1ace098bee4ca72d6621e4b</x:v>
      </x:c>
      <x:c r="B2744" s="2" t="str">
        <x:v>감축량 인증</x:v>
      </x:c>
      <x:c r="C2744" s="2" t="str">
        <x:v>국외</x:v>
      </x:c>
      <x:c r="D2744" s="7" t="str">
        <x:v>안전한 식수 공급을 위한 정수기 보급 사업 : CPA 79(한국 지원)</x:v>
      </x:c>
      <x:c r="E2744" s="2" t="str">
        <x:v>329</x:v>
      </x:c>
      <x:c r="F2744" s="2" t="str">
        <x:v>2021-10-29</x:v>
      </x:c>
      <x:c r="G2744" s="2" t="str">
        <x:v>2021</x:v>
      </x:c>
      <x:c r="H2744" s="2" t="str">
        <x:v>10</x:v>
      </x:c>
      <x:c r="I2744" s="2" t="str">
        <x:v>심의승인</x:v>
      </x:c>
      <x:c r="J2744" s="2" t="str">
        <x:v>심의승인</x:v>
      </x:c>
      <x:c r="K2744" s="2" t="str">
        <x:f>IF(OR(J2744="심의승인",J2744="반려",J2744="반려완료",J2744="심의완료"),"종결 표시",IF(OR(J2744="기후부협의",J2744="문서재제출요청",J2744="보류",J2744="보완요청",J2744="보완완료",J2744="평가중",J2744="반려요청",J2744="평가필요",LEFT(J2744,5)="보완요청("),"미종결 표시","상태 확인 필요"))</x:f>
        <x:v>종결 표시</x:v>
      </x:c>
      <x:c r="L2744" s="2" t="str">
        <x:v>KECM</x:v>
      </x:c>
      <x:c r="M2744" s="2"/>
      <x:c r="N2744" s="8" t="n">
        <x:f>DATE(2026,10,15)-DATE(2021,10,29)</x:f>
        <x:v>1812</x:v>
      </x:c>
      <x:c r="O2744" s="2"/>
      <x:c r="P2744" s="2"/>
      <x:c r="Q2744" s="2" t="str">
        <x:v>산업전환_외부사업관리Tool_260707_이너젠 수정_LJY_261013.xlsx</x:v>
      </x:c>
      <x:c r="R2744" s="2" t="str">
        <x:v>국외인증</x:v>
      </x:c>
      <x:c r="S2744" s="8" t="n">
        <x:v>331</x:v>
      </x:c>
      <x:c r="T2744" s="2" t="str">
        <x:v>(11/2),(12/1)</x:v>
      </x:c>
      <x:c r="U2744" s="2" t="str">
        <x:v>2021 지정: (11/2),(12/1) / 2022 지정: (1/18)(5/18)</x:v>
      </x:c>
      <x:c r="V2744" s="2" t="str">
        <x:v>2022-07-15</x:v>
      </x:c>
      <x:c r="W2744" s="2" t="str"/>
      <x:c r="X2744" s="2" t="str">
        <x:v>종결 근거 보관</x:v>
      </x:c>
      <x:c r="Y2744" s="2" t="str">
        <x:v>ad210cd9ec132cfd447541c8984dc53d30aff0f4fb2dc92d254d49275cc55976</x:v>
      </x:c>
      <x:c r="Z2744" s="2" t="n">
        <x:f>SUBTOTAL(103,A2744)</x:f>
        <x:v>1</x:v>
      </x:c>
      <x:c r="AA2744" s="2" t="str">
        <x:f>IF(K2744&lt;&gt;"미종결 표시","대상 아님",IF(N2744="","신청일 확인",IF(NOT(ISNUMBER('종합 현황'!$H$5)),"관찰기준 확인",IF('종합 현황'!$H$5&lt;1,"관찰기준 확인",IF(N2744&gt;'종합 현황'!$H$5,"내부 관찰 대상","내부 관찰일 이하")))))</x:f>
        <x:v>대상 아님</x:v>
      </x:c>
      <x:c r="AB2744" s="2" t="str">
        <x:v>2021-10-29 17:22 - 신청
2021-11-24 10:57 - 보완요청
2021-11-26 12:10 - 신청
2021-12-29 10:09 - 문서재제출요청
2021-12-30 18:31 - 신청
2022-01-18 09:48 - 문서재제출요청
2022-01-18 13:11 - 신청
2022-02-23 16:04 - 문서재제출요청
2022-02-24 11:10 - 신청
2022-04-21 16:06 - 문서재제출요청
2022-04-22 16:22 - 신청
2022-07-05 16:45 - 검토승인
2022-07-15 17:35 - 심의승인</x:v>
      </x:c>
    </x:row>
    <x:row r="2745" ht="42" customHeight="1">
      <x:c r="A2745" s="2" t="str">
        <x:v>a6833a3bd61a1af7a3333435</x:v>
      </x:c>
      <x:c r="B2745" s="2" t="str">
        <x:v>감축량 인증</x:v>
      </x:c>
      <x:c r="C2745" s="2" t="str">
        <x:v>국외</x:v>
      </x:c>
      <x:c r="D2745" s="7" t="str">
        <x:v>안전한 식수 공급을 위한 정수기 보급 사업 : CPA 80(한국 지원)</x:v>
      </x:c>
      <x:c r="E2745" s="2" t="str">
        <x:v>330</x:v>
      </x:c>
      <x:c r="F2745" s="2" t="str">
        <x:v>2021-10-29</x:v>
      </x:c>
      <x:c r="G2745" s="2" t="str">
        <x:v>2021</x:v>
      </x:c>
      <x:c r="H2745" s="2" t="str">
        <x:v>10</x:v>
      </x:c>
      <x:c r="I2745" s="2" t="str">
        <x:v>심의승인</x:v>
      </x:c>
      <x:c r="J2745" s="2" t="str">
        <x:v>심의승인</x:v>
      </x:c>
      <x:c r="K2745" s="2" t="str">
        <x:f>IF(OR(J2745="심의승인",J2745="반려",J2745="반려완료",J2745="심의완료"),"종결 표시",IF(OR(J2745="기후부협의",J2745="문서재제출요청",J2745="보류",J2745="보완요청",J2745="보완완료",J2745="평가중",J2745="반려요청",J2745="평가필요",LEFT(J2745,5)="보완요청("),"미종결 표시","상태 확인 필요"))</x:f>
        <x:v>종결 표시</x:v>
      </x:c>
      <x:c r="L2745" s="2" t="str">
        <x:v>KECM</x:v>
      </x:c>
      <x:c r="M2745" s="2"/>
      <x:c r="N2745" s="8" t="n">
        <x:f>DATE(2026,10,15)-DATE(2021,10,29)</x:f>
        <x:v>1812</x:v>
      </x:c>
      <x:c r="O2745" s="2"/>
      <x:c r="P2745" s="2"/>
      <x:c r="Q2745" s="2" t="str">
        <x:v>산업전환_외부사업관리Tool_260707_이너젠 수정_LJY_261013.xlsx</x:v>
      </x:c>
      <x:c r="R2745" s="2" t="str">
        <x:v>국외인증</x:v>
      </x:c>
      <x:c r="S2745" s="8" t="n">
        <x:v>332</x:v>
      </x:c>
      <x:c r="T2745" s="2" t="str">
        <x:v>(11/2),(12/1)</x:v>
      </x:c>
      <x:c r="U2745" s="2" t="str">
        <x:v>2021 지정: (11/2),(12/1) / 2022 지정: (1/18)(5/18)</x:v>
      </x:c>
      <x:c r="V2745" s="2" t="str">
        <x:v>2022-07-15</x:v>
      </x:c>
      <x:c r="W2745" s="2" t="str"/>
      <x:c r="X2745" s="2" t="str">
        <x:v>종결 근거 보관</x:v>
      </x:c>
      <x:c r="Y2745" s="2" t="str">
        <x:v>ad210cd9ec132cfd447541c8984dc53d30aff0f4fb2dc92d254d49275cc55976</x:v>
      </x:c>
      <x:c r="Z2745" s="2" t="n">
        <x:f>SUBTOTAL(103,A2745)</x:f>
        <x:v>1</x:v>
      </x:c>
      <x:c r="AA2745" s="2" t="str">
        <x:f>IF(K2745&lt;&gt;"미종결 표시","대상 아님",IF(N2745="","신청일 확인",IF(NOT(ISNUMBER('종합 현황'!$H$5)),"관찰기준 확인",IF('종합 현황'!$H$5&lt;1,"관찰기준 확인",IF(N2745&gt;'종합 현황'!$H$5,"내부 관찰 대상","내부 관찰일 이하")))))</x:f>
        <x:v>대상 아님</x:v>
      </x:c>
      <x:c r="AB2745" s="2" t="str">
        <x:v>2021-10-29 17:21 - 신청
2021-11-24 10:58 - 보완요청
2021-11-26 12:10 - 신청
2021-12-29 10:11 - 문서재제출요청
2021-12-30 18:31 - 신청
2022-01-18 09:48 - 문서재제출요청
2022-01-18 13:12 - 신청
2022-02-23 16:05 - 문서재제출요청
2022-02-24 11:10 - 신청
2022-04-21 16:07 - 문서재제출요청
2022-04-22 16:22 - 신청
2022-07-05 16:44 - 검토승인
2022-07-15 17:35 - 심의승인</x:v>
      </x:c>
    </x:row>
    <x:row r="2746" ht="42" customHeight="1">
      <x:c r="A2746" s="2" t="str">
        <x:v>126333778e8a39113bb51e81</x:v>
      </x:c>
      <x:c r="B2746" s="2" t="str">
        <x:v>감축량 인증</x:v>
      </x:c>
      <x:c r="C2746" s="2" t="str">
        <x:v>국외</x:v>
      </x:c>
      <x:c r="D2746" s="7" t="str">
        <x:v>안전한 식수 공급을 위한 정수기 보급 사업 : CPA 81(한국 지원)</x:v>
      </x:c>
      <x:c r="E2746" s="2" t="str">
        <x:v>331</x:v>
      </x:c>
      <x:c r="F2746" s="2" t="str">
        <x:v>2021-10-29</x:v>
      </x:c>
      <x:c r="G2746" s="2" t="str">
        <x:v>2021</x:v>
      </x:c>
      <x:c r="H2746" s="2" t="str">
        <x:v>10</x:v>
      </x:c>
      <x:c r="I2746" s="2" t="str">
        <x:v>심의승인</x:v>
      </x:c>
      <x:c r="J2746" s="2" t="str">
        <x:v>심의승인</x:v>
      </x:c>
      <x:c r="K2746" s="2" t="str">
        <x:f>IF(OR(J2746="심의승인",J2746="반려",J2746="반려완료",J2746="심의완료"),"종결 표시",IF(OR(J2746="기후부협의",J2746="문서재제출요청",J2746="보류",J2746="보완요청",J2746="보완완료",J2746="평가중",J2746="반려요청",J2746="평가필요",LEFT(J2746,5)="보완요청("),"미종결 표시","상태 확인 필요"))</x:f>
        <x:v>종결 표시</x:v>
      </x:c>
      <x:c r="L2746" s="2" t="str">
        <x:v>KECM</x:v>
      </x:c>
      <x:c r="M2746" s="2"/>
      <x:c r="N2746" s="8" t="n">
        <x:f>DATE(2026,10,15)-DATE(2021,10,29)</x:f>
        <x:v>1812</x:v>
      </x:c>
      <x:c r="O2746" s="2"/>
      <x:c r="P2746" s="2"/>
      <x:c r="Q2746" s="2" t="str">
        <x:v>산업전환_외부사업관리Tool_260707_이너젠 수정_LJY_261013.xlsx</x:v>
      </x:c>
      <x:c r="R2746" s="2" t="str">
        <x:v>국외인증</x:v>
      </x:c>
      <x:c r="S2746" s="8" t="n">
        <x:v>333</x:v>
      </x:c>
      <x:c r="T2746" s="2" t="str">
        <x:v>(11/2),(12/1)</x:v>
      </x:c>
      <x:c r="U2746" s="2" t="str">
        <x:v>2021 지정: (11/2),(12/1) / 2022 지정: (1/18)(5/18)</x:v>
      </x:c>
      <x:c r="V2746" s="2" t="str">
        <x:v>2022-07-15</x:v>
      </x:c>
      <x:c r="W2746" s="2" t="str"/>
      <x:c r="X2746" s="2" t="str">
        <x:v>종결 근거 보관</x:v>
      </x:c>
      <x:c r="Y2746" s="2" t="str">
        <x:v>ad210cd9ec132cfd447541c8984dc53d30aff0f4fb2dc92d254d49275cc55976</x:v>
      </x:c>
      <x:c r="Z2746" s="2" t="n">
        <x:f>SUBTOTAL(103,A2746)</x:f>
        <x:v>1</x:v>
      </x:c>
      <x:c r="AA2746" s="2" t="str">
        <x:f>IF(K2746&lt;&gt;"미종결 표시","대상 아님",IF(N2746="","신청일 확인",IF(NOT(ISNUMBER('종합 현황'!$H$5)),"관찰기준 확인",IF('종합 현황'!$H$5&lt;1,"관찰기준 확인",IF(N2746&gt;'종합 현황'!$H$5,"내부 관찰 대상","내부 관찰일 이하")))))</x:f>
        <x:v>대상 아님</x:v>
      </x:c>
      <x:c r="AB2746" s="2" t="str">
        <x:v>2021-10-29 17:21 - 신청
2021-11-24 10:59 - 보완요청
2021-11-26 12:10 - 신청
2021-12-29 10:12 - 문서재제출요청
2021-12-30 18:31 - 신청
2022-01-18 09:49 - 문서재제출요청
2022-01-18 13:12 - 신청
2022-02-23 16:05 - 문서재제출요청
2022-02-24 11:11 - 신청
2022-04-21 16:07 - 문서재제출요청
2022-04-22 16:22 - 신청
2022-07-05 16:44 - 검토승인
2022-07-15 17:36 - 심의승인</x:v>
      </x:c>
    </x:row>
    <x:row r="2747" ht="42" customHeight="1">
      <x:c r="A2747" s="2" t="str">
        <x:v>80045498144f55b88031b573</x:v>
      </x:c>
      <x:c r="B2747" s="2" t="str">
        <x:v>감축량 인증</x:v>
      </x:c>
      <x:c r="C2747" s="2" t="str">
        <x:v>국외</x:v>
      </x:c>
      <x:c r="D2747" s="7" t="str">
        <x:v>안전한 식수 공급을 위한 정수기 보급 사업 : CPA 82(한국 지원)</x:v>
      </x:c>
      <x:c r="E2747" s="2" t="str">
        <x:v>332</x:v>
      </x:c>
      <x:c r="F2747" s="2" t="str">
        <x:v>2021-10-29</x:v>
      </x:c>
      <x:c r="G2747" s="2" t="str">
        <x:v>2021</x:v>
      </x:c>
      <x:c r="H2747" s="2" t="str">
        <x:v>10</x:v>
      </x:c>
      <x:c r="I2747" s="2" t="str">
        <x:v>심의승인</x:v>
      </x:c>
      <x:c r="J2747" s="2" t="str">
        <x:v>심의승인</x:v>
      </x:c>
      <x:c r="K2747" s="2" t="str">
        <x:f>IF(OR(J2747="심의승인",J2747="반려",J2747="반려완료",J2747="심의완료"),"종결 표시",IF(OR(J2747="기후부협의",J2747="문서재제출요청",J2747="보류",J2747="보완요청",J2747="보완완료",J2747="평가중",J2747="반려요청",J2747="평가필요",LEFT(J2747,5)="보완요청("),"미종결 표시","상태 확인 필요"))</x:f>
        <x:v>종결 표시</x:v>
      </x:c>
      <x:c r="L2747" s="2" t="str">
        <x:v>KECM</x:v>
      </x:c>
      <x:c r="M2747" s="2"/>
      <x:c r="N2747" s="8" t="n">
        <x:f>DATE(2026,10,15)-DATE(2021,10,29)</x:f>
        <x:v>1812</x:v>
      </x:c>
      <x:c r="O2747" s="2"/>
      <x:c r="P2747" s="2"/>
      <x:c r="Q2747" s="2" t="str">
        <x:v>산업전환_외부사업관리Tool_260707_이너젠 수정_LJY_261013.xlsx</x:v>
      </x:c>
      <x:c r="R2747" s="2" t="str">
        <x:v>국외인증</x:v>
      </x:c>
      <x:c r="S2747" s="8" t="n">
        <x:v>334</x:v>
      </x:c>
      <x:c r="T2747" s="2" t="str">
        <x:v>(11/2),(12/1)</x:v>
      </x:c>
      <x:c r="U2747" s="2" t="str">
        <x:v>2021 지정: (11/2),(12/1) / 2022 지정: (1/18)(5/18)</x:v>
      </x:c>
      <x:c r="V2747" s="2" t="str">
        <x:v>2022-07-15</x:v>
      </x:c>
      <x:c r="W2747" s="2" t="str"/>
      <x:c r="X2747" s="2" t="str">
        <x:v>종결 근거 보관</x:v>
      </x:c>
      <x:c r="Y2747" s="2" t="str">
        <x:v>ad210cd9ec132cfd447541c8984dc53d30aff0f4fb2dc92d254d49275cc55976</x:v>
      </x:c>
      <x:c r="Z2747" s="2" t="n">
        <x:f>SUBTOTAL(103,A2747)</x:f>
        <x:v>1</x:v>
      </x:c>
      <x:c r="AA2747" s="2" t="str">
        <x:f>IF(K2747&lt;&gt;"미종결 표시","대상 아님",IF(N2747="","신청일 확인",IF(NOT(ISNUMBER('종합 현황'!$H$5)),"관찰기준 확인",IF('종합 현황'!$H$5&lt;1,"관찰기준 확인",IF(N2747&gt;'종합 현황'!$H$5,"내부 관찰 대상","내부 관찰일 이하")))))</x:f>
        <x:v>대상 아님</x:v>
      </x:c>
      <x:c r="AB2747" s="2" t="str">
        <x:v>2021-10-29 17:21 - 신청
2021-11-24 11:00 - 보완요청
2021-11-26 12:11 - 신청
2021-12-29 10:12 - 문서재제출요청
2021-12-30 18:31 - 신청
2022-01-18 09:49 - 문서재제출요청
2022-01-18 13:13 - 신청
2022-02-23 16:05 - 문서재제출요청
2022-02-24 11:11 - 신청
2022-04-21 16:08 - 문서재제출요청
2022-04-22 16:23 - 신청
2022-07-05 16:44 - 검토승인
2022-07-15 17:36 - 심의승인</x:v>
      </x:c>
    </x:row>
    <x:row r="2748" ht="42" customHeight="1">
      <x:c r="A2748" s="2" t="str">
        <x:v>180d6a8324d4495f0686f1c6</x:v>
      </x:c>
      <x:c r="B2748" s="2" t="str">
        <x:v>감축량 인증</x:v>
      </x:c>
      <x:c r="C2748" s="2" t="str">
        <x:v>국외</x:v>
      </x:c>
      <x:c r="D2748" s="7" t="str">
        <x:v>안전한 식수 공급을 위한 정수기 보급 사업 : CPA 83(한국 지원)</x:v>
      </x:c>
      <x:c r="E2748" s="2" t="str">
        <x:v>333</x:v>
      </x:c>
      <x:c r="F2748" s="2" t="str">
        <x:v>2021-10-29</x:v>
      </x:c>
      <x:c r="G2748" s="2" t="str">
        <x:v>2021</x:v>
      </x:c>
      <x:c r="H2748" s="2" t="str">
        <x:v>10</x:v>
      </x:c>
      <x:c r="I2748" s="2" t="str">
        <x:v>심의승인</x:v>
      </x:c>
      <x:c r="J2748" s="2" t="str">
        <x:v>심의승인</x:v>
      </x:c>
      <x:c r="K2748" s="2" t="str">
        <x:f>IF(OR(J2748="심의승인",J2748="반려",J2748="반려완료",J2748="심의완료"),"종결 표시",IF(OR(J2748="기후부협의",J2748="문서재제출요청",J2748="보류",J2748="보완요청",J2748="보완완료",J2748="평가중",J2748="반려요청",J2748="평가필요",LEFT(J2748,5)="보완요청("),"미종결 표시","상태 확인 필요"))</x:f>
        <x:v>종결 표시</x:v>
      </x:c>
      <x:c r="L2748" s="2" t="str">
        <x:v>KECM</x:v>
      </x:c>
      <x:c r="M2748" s="2"/>
      <x:c r="N2748" s="8" t="n">
        <x:f>DATE(2026,10,15)-DATE(2021,10,29)</x:f>
        <x:v>1812</x:v>
      </x:c>
      <x:c r="O2748" s="2"/>
      <x:c r="P2748" s="2"/>
      <x:c r="Q2748" s="2" t="str">
        <x:v>산업전환_외부사업관리Tool_260707_이너젠 수정_LJY_261013.xlsx</x:v>
      </x:c>
      <x:c r="R2748" s="2" t="str">
        <x:v>국외인증</x:v>
      </x:c>
      <x:c r="S2748" s="8" t="n">
        <x:v>335</x:v>
      </x:c>
      <x:c r="T2748" s="2" t="str">
        <x:v>(11/2),(12/1)</x:v>
      </x:c>
      <x:c r="U2748" s="2" t="str">
        <x:v>2021 지정: (11/2),(12/1) / 2022 지정: (1/18)(5/18)</x:v>
      </x:c>
      <x:c r="V2748" s="2" t="str">
        <x:v>2022-07-15</x:v>
      </x:c>
      <x:c r="W2748" s="2" t="str"/>
      <x:c r="X2748" s="2" t="str">
        <x:v>종결 근거 보관</x:v>
      </x:c>
      <x:c r="Y2748" s="2" t="str">
        <x:v>ad210cd9ec132cfd447541c8984dc53d30aff0f4fb2dc92d254d49275cc55976</x:v>
      </x:c>
      <x:c r="Z2748" s="2" t="n">
        <x:f>SUBTOTAL(103,A2748)</x:f>
        <x:v>1</x:v>
      </x:c>
      <x:c r="AA2748" s="2" t="str">
        <x:f>IF(K2748&lt;&gt;"미종결 표시","대상 아님",IF(N2748="","신청일 확인",IF(NOT(ISNUMBER('종합 현황'!$H$5)),"관찰기준 확인",IF('종합 현황'!$H$5&lt;1,"관찰기준 확인",IF(N2748&gt;'종합 현황'!$H$5,"내부 관찰 대상","내부 관찰일 이하")))))</x:f>
        <x:v>대상 아님</x:v>
      </x:c>
      <x:c r="AB2748" s="2" t="str">
        <x:v>2021-10-29 17:21 - 신청
2021-11-24 11:01 - 보완요청
2021-11-26 12:11 - 신청
2021-12-29 10:12 - 문서재제출요청
2021-12-30 18:31 - 신청
2022-01-18 09:49 - 문서재제출요청
2022-01-18 13:13 - 신청
2022-02-23 16:06 - 문서재제출요청
2022-02-24 11:12 - 신청
2022-04-21 16:08 - 문서재제출요청
2022-04-22 16:23 - 신청
2022-07-05 16:44 - 검토승인
2022-07-15 17:37 - 심의승인</x:v>
      </x:c>
    </x:row>
    <x:row r="2749" ht="42" customHeight="1">
      <x:c r="A2749" s="2" t="str">
        <x:v>d57cd80f598c4c9018593074</x:v>
      </x:c>
      <x:c r="B2749" s="2" t="str">
        <x:v>감축량 인증</x:v>
      </x:c>
      <x:c r="C2749" s="2" t="str">
        <x:v>국외</x:v>
      </x:c>
      <x:c r="D2749" s="7" t="str">
        <x:v>안전한 식수 공급을 위한 정수기 보급 사업 : CPA 84(한국 지원)</x:v>
      </x:c>
      <x:c r="E2749" s="2" t="str">
        <x:v>334</x:v>
      </x:c>
      <x:c r="F2749" s="2" t="str">
        <x:v>2021-10-29</x:v>
      </x:c>
      <x:c r="G2749" s="2" t="str">
        <x:v>2021</x:v>
      </x:c>
      <x:c r="H2749" s="2" t="str">
        <x:v>10</x:v>
      </x:c>
      <x:c r="I2749" s="2" t="str">
        <x:v>심의승인</x:v>
      </x:c>
      <x:c r="J2749" s="2" t="str">
        <x:v>심의승인</x:v>
      </x:c>
      <x:c r="K2749" s="2" t="str">
        <x:f>IF(OR(J2749="심의승인",J2749="반려",J2749="반려완료",J2749="심의완료"),"종결 표시",IF(OR(J2749="기후부협의",J2749="문서재제출요청",J2749="보류",J2749="보완요청",J2749="보완완료",J2749="평가중",J2749="반려요청",J2749="평가필요",LEFT(J2749,5)="보완요청("),"미종결 표시","상태 확인 필요"))</x:f>
        <x:v>종결 표시</x:v>
      </x:c>
      <x:c r="L2749" s="2" t="str">
        <x:v>KECM</x:v>
      </x:c>
      <x:c r="M2749" s="2"/>
      <x:c r="N2749" s="8" t="n">
        <x:f>DATE(2026,10,15)-DATE(2021,10,29)</x:f>
        <x:v>1812</x:v>
      </x:c>
      <x:c r="O2749" s="2"/>
      <x:c r="P2749" s="2"/>
      <x:c r="Q2749" s="2" t="str">
        <x:v>산업전환_외부사업관리Tool_260707_이너젠 수정_LJY_261013.xlsx</x:v>
      </x:c>
      <x:c r="R2749" s="2" t="str">
        <x:v>국외인증</x:v>
      </x:c>
      <x:c r="S2749" s="8" t="n">
        <x:v>336</x:v>
      </x:c>
      <x:c r="T2749" s="2" t="str">
        <x:v>(11/2),(12/1)</x:v>
      </x:c>
      <x:c r="U2749" s="2" t="str">
        <x:v>2021 지정: (11/2),(12/1) / 2022 지정: (1/18)(5/18)</x:v>
      </x:c>
      <x:c r="V2749" s="2" t="str">
        <x:v>2022-07-15</x:v>
      </x:c>
      <x:c r="W2749" s="2" t="str"/>
      <x:c r="X2749" s="2" t="str">
        <x:v>종결 근거 보관</x:v>
      </x:c>
      <x:c r="Y2749" s="2" t="str">
        <x:v>ad210cd9ec132cfd447541c8984dc53d30aff0f4fb2dc92d254d49275cc55976</x:v>
      </x:c>
      <x:c r="Z2749" s="2" t="n">
        <x:f>SUBTOTAL(103,A2749)</x:f>
        <x:v>1</x:v>
      </x:c>
      <x:c r="AA2749" s="2" t="str">
        <x:f>IF(K2749&lt;&gt;"미종결 표시","대상 아님",IF(N2749="","신청일 확인",IF(NOT(ISNUMBER('종합 현황'!$H$5)),"관찰기준 확인",IF('종합 현황'!$H$5&lt;1,"관찰기준 확인",IF(N2749&gt;'종합 현황'!$H$5,"내부 관찰 대상","내부 관찰일 이하")))))</x:f>
        <x:v>대상 아님</x:v>
      </x:c>
      <x:c r="AB2749" s="2" t="str">
        <x:v>2021-10-29 17:21 - 신청
2021-11-24 11:02 - 보완요청
2021-11-26 12:11 - 신청
2021-12-29 10:12 - 문서재제출요청
2021-12-30 18:32 - 신청
2022-01-18 09:49 - 문서재제출요청
2022-01-18 13:13 - 신청
2022-02-23 16:06 - 문서재제출요청
2022-02-24 11:12 - 신청
2022-04-21 16:09 - 문서재제출요청
2022-04-22 16:23 - 신청
2022-07-05 16:43 - 검토승인
2022-07-15 17:38 - 심의승인</x:v>
      </x:c>
    </x:row>
    <x:row r="2750" ht="42" customHeight="1">
      <x:c r="A2750" s="2" t="str">
        <x:v>5a342cbd421523d0aa34602b</x:v>
      </x:c>
      <x:c r="B2750" s="2" t="str">
        <x:v>감축량 인증</x:v>
      </x:c>
      <x:c r="C2750" s="2" t="str">
        <x:v>국외</x:v>
      </x:c>
      <x:c r="D2750" s="7" t="str">
        <x:v>안전한 식수 공급을 위한 정수기 보급 사업 : CPA 85(한국 지원)</x:v>
      </x:c>
      <x:c r="E2750" s="2" t="str">
        <x:v>335</x:v>
      </x:c>
      <x:c r="F2750" s="2" t="str">
        <x:v>2021-10-29</x:v>
      </x:c>
      <x:c r="G2750" s="2" t="str">
        <x:v>2021</x:v>
      </x:c>
      <x:c r="H2750" s="2" t="str">
        <x:v>10</x:v>
      </x:c>
      <x:c r="I2750" s="2" t="str">
        <x:v>심의승인</x:v>
      </x:c>
      <x:c r="J2750" s="2" t="str">
        <x:v>심의승인</x:v>
      </x:c>
      <x:c r="K2750" s="2" t="str">
        <x:f>IF(OR(J2750="심의승인",J2750="반려",J2750="반려완료",J2750="심의완료"),"종결 표시",IF(OR(J2750="기후부협의",J2750="문서재제출요청",J2750="보류",J2750="보완요청",J2750="보완완료",J2750="평가중",J2750="반려요청",J2750="평가필요",LEFT(J2750,5)="보완요청("),"미종결 표시","상태 확인 필요"))</x:f>
        <x:v>종결 표시</x:v>
      </x:c>
      <x:c r="L2750" s="2" t="str">
        <x:v>KECM</x:v>
      </x:c>
      <x:c r="M2750" s="2"/>
      <x:c r="N2750" s="8" t="n">
        <x:f>DATE(2026,10,15)-DATE(2021,10,29)</x:f>
        <x:v>1812</x:v>
      </x:c>
      <x:c r="O2750" s="2"/>
      <x:c r="P2750" s="2"/>
      <x:c r="Q2750" s="2" t="str">
        <x:v>산업전환_외부사업관리Tool_260707_이너젠 수정_LJY_261013.xlsx</x:v>
      </x:c>
      <x:c r="R2750" s="2" t="str">
        <x:v>국외인증</x:v>
      </x:c>
      <x:c r="S2750" s="8" t="n">
        <x:v>337</x:v>
      </x:c>
      <x:c r="T2750" s="2" t="str">
        <x:v>(11/2),(12/1)</x:v>
      </x:c>
      <x:c r="U2750" s="2" t="str">
        <x:v>2021 지정: (11/2),(12/1) / 2022 지정: (1/18)(5/18)</x:v>
      </x:c>
      <x:c r="V2750" s="2" t="str">
        <x:v>2022-07-15</x:v>
      </x:c>
      <x:c r="W2750" s="2" t="str"/>
      <x:c r="X2750" s="2" t="str">
        <x:v>종결 근거 보관</x:v>
      </x:c>
      <x:c r="Y2750" s="2" t="str">
        <x:v>ad210cd9ec132cfd447541c8984dc53d30aff0f4fb2dc92d254d49275cc55976</x:v>
      </x:c>
      <x:c r="Z2750" s="2" t="n">
        <x:f>SUBTOTAL(103,A2750)</x:f>
        <x:v>1</x:v>
      </x:c>
      <x:c r="AA2750" s="2" t="str">
        <x:f>IF(K2750&lt;&gt;"미종결 표시","대상 아님",IF(N2750="","신청일 확인",IF(NOT(ISNUMBER('종합 현황'!$H$5)),"관찰기준 확인",IF('종합 현황'!$H$5&lt;1,"관찰기준 확인",IF(N2750&gt;'종합 현황'!$H$5,"내부 관찰 대상","내부 관찰일 이하")))))</x:f>
        <x:v>대상 아님</x:v>
      </x:c>
      <x:c r="AB2750" s="2" t="str">
        <x:v>2021-10-29 17:21 - 신청
2021-11-24 11:03 - 보완요청
2021-11-26 12:11 - 신청
2021-12-29 10:13 - 문서재제출요청
2021-12-30 18:32 - 신청
2022-01-18 09:49 - 문서재제출요청
2022-01-18 13:13 - 신청
2022-02-23 16:06 - 문서재제출요청
2022-02-24 11:13 - 신청
2022-04-21 16:09 - 문서재제출요청
2022-04-22 16:23 - 신청
2022-07-05 16:43 - 검토승인
2022-07-15 17:38 - 심의승인</x:v>
      </x:c>
    </x:row>
    <x:row r="2751" ht="42" customHeight="1">
      <x:c r="A2751" s="2" t="str">
        <x:v>b3d279bca874f6898fe8b41b</x:v>
      </x:c>
      <x:c r="B2751" s="2" t="str">
        <x:v>감축량 인증</x:v>
      </x:c>
      <x:c r="C2751" s="2" t="str">
        <x:v>국외</x:v>
      </x:c>
      <x:c r="D2751" s="7" t="str">
        <x:v>안전한 식수 공급을 위한 정수기 보급 사업 : CPA 86(한국 지원)</x:v>
      </x:c>
      <x:c r="E2751" s="2" t="str">
        <x:v>336</x:v>
      </x:c>
      <x:c r="F2751" s="2" t="str">
        <x:v>2021-10-29</x:v>
      </x:c>
      <x:c r="G2751" s="2" t="str">
        <x:v>2021</x:v>
      </x:c>
      <x:c r="H2751" s="2" t="str">
        <x:v>10</x:v>
      </x:c>
      <x:c r="I2751" s="2" t="str">
        <x:v>심의승인</x:v>
      </x:c>
      <x:c r="J2751" s="2" t="str">
        <x:v>심의승인</x:v>
      </x:c>
      <x:c r="K2751" s="2" t="str">
        <x:f>IF(OR(J2751="심의승인",J2751="반려",J2751="반려완료",J2751="심의완료"),"종결 표시",IF(OR(J2751="기후부협의",J2751="문서재제출요청",J2751="보류",J2751="보완요청",J2751="보완완료",J2751="평가중",J2751="반려요청",J2751="평가필요",LEFT(J2751,5)="보완요청("),"미종결 표시","상태 확인 필요"))</x:f>
        <x:v>종결 표시</x:v>
      </x:c>
      <x:c r="L2751" s="2" t="str">
        <x:v>KECM</x:v>
      </x:c>
      <x:c r="M2751" s="2"/>
      <x:c r="N2751" s="8" t="n">
        <x:f>DATE(2026,10,15)-DATE(2021,10,29)</x:f>
        <x:v>1812</x:v>
      </x:c>
      <x:c r="O2751" s="2"/>
      <x:c r="P2751" s="2"/>
      <x:c r="Q2751" s="2" t="str">
        <x:v>산업전환_외부사업관리Tool_260707_이너젠 수정_LJY_261013.xlsx</x:v>
      </x:c>
      <x:c r="R2751" s="2" t="str">
        <x:v>국외인증</x:v>
      </x:c>
      <x:c r="S2751" s="8" t="n">
        <x:v>338</x:v>
      </x:c>
      <x:c r="T2751" s="2" t="str">
        <x:v>(11/2),(12/1)</x:v>
      </x:c>
      <x:c r="U2751" s="2" t="str">
        <x:v>2021 지정: (11/2),(12/1) / 2022 지정: (1/18)(5/18)</x:v>
      </x:c>
      <x:c r="V2751" s="2" t="str">
        <x:v>2022-07-15</x:v>
      </x:c>
      <x:c r="W2751" s="2" t="str"/>
      <x:c r="X2751" s="2" t="str">
        <x:v>종결 근거 보관</x:v>
      </x:c>
      <x:c r="Y2751" s="2" t="str">
        <x:v>ad210cd9ec132cfd447541c8984dc53d30aff0f4fb2dc92d254d49275cc55976</x:v>
      </x:c>
      <x:c r="Z2751" s="2" t="n">
        <x:f>SUBTOTAL(103,A2751)</x:f>
        <x:v>1</x:v>
      </x:c>
      <x:c r="AA2751" s="2" t="str">
        <x:f>IF(K2751&lt;&gt;"미종결 표시","대상 아님",IF(N2751="","신청일 확인",IF(NOT(ISNUMBER('종합 현황'!$H$5)),"관찰기준 확인",IF('종합 현황'!$H$5&lt;1,"관찰기준 확인",IF(N2751&gt;'종합 현황'!$H$5,"내부 관찰 대상","내부 관찰일 이하")))))</x:f>
        <x:v>대상 아님</x:v>
      </x:c>
      <x:c r="AB2751" s="2" t="str">
        <x:v>2021-10-29 17:20 - 신청
2021-11-24 11:04 - 보완요청
2021-11-26 12:11 - 신청
2021-12-29 10:13 - 문서재제출요청
2021-12-30 18:32 - 신청
2022-01-18 09:50 - 문서재제출요청
2022-01-18 13:14 - 신청
2022-02-23 16:07 - 문서재제출요청
2022-02-24 11:14 - 신청
2022-04-21 16:10 - 문서재제출요청
2022-04-22 16:23 - 신청
2022-07-05 16:43 - 검토승인
2022-07-15 17:39 - 심의승인</x:v>
      </x:c>
    </x:row>
    <x:row r="2752" ht="42" customHeight="1">
      <x:c r="A2752" s="2" t="str">
        <x:v>63cf75b37f1fa70c6027826c</x:v>
      </x:c>
      <x:c r="B2752" s="2" t="str">
        <x:v>감축량 인증</x:v>
      </x:c>
      <x:c r="C2752" s="2" t="str">
        <x:v>국외</x:v>
      </x:c>
      <x:c r="D2752" s="7" t="str">
        <x:v>안전한 식수 공급을 위한 정수기 보급 사업 : CPA 87(한국 지원)</x:v>
      </x:c>
      <x:c r="E2752" s="2" t="str">
        <x:v>337</x:v>
      </x:c>
      <x:c r="F2752" s="2" t="str">
        <x:v>2021-10-29</x:v>
      </x:c>
      <x:c r="G2752" s="2" t="str">
        <x:v>2021</x:v>
      </x:c>
      <x:c r="H2752" s="2" t="str">
        <x:v>10</x:v>
      </x:c>
      <x:c r="I2752" s="2" t="str">
        <x:v>심의승인</x:v>
      </x:c>
      <x:c r="J2752" s="2" t="str">
        <x:v>심의승인</x:v>
      </x:c>
      <x:c r="K2752" s="2" t="str">
        <x:f>IF(OR(J2752="심의승인",J2752="반려",J2752="반려완료",J2752="심의완료"),"종결 표시",IF(OR(J2752="기후부협의",J2752="문서재제출요청",J2752="보류",J2752="보완요청",J2752="보완완료",J2752="평가중",J2752="반려요청",J2752="평가필요",LEFT(J2752,5)="보완요청("),"미종결 표시","상태 확인 필요"))</x:f>
        <x:v>종결 표시</x:v>
      </x:c>
      <x:c r="L2752" s="2" t="str">
        <x:v>KECM</x:v>
      </x:c>
      <x:c r="M2752" s="2"/>
      <x:c r="N2752" s="8" t="n">
        <x:f>DATE(2026,10,15)-DATE(2021,10,29)</x:f>
        <x:v>1812</x:v>
      </x:c>
      <x:c r="O2752" s="2"/>
      <x:c r="P2752" s="2"/>
      <x:c r="Q2752" s="2" t="str">
        <x:v>산업전환_외부사업관리Tool_260707_이너젠 수정_LJY_261013.xlsx</x:v>
      </x:c>
      <x:c r="R2752" s="2" t="str">
        <x:v>국외인증</x:v>
      </x:c>
      <x:c r="S2752" s="8" t="n">
        <x:v>339</x:v>
      </x:c>
      <x:c r="T2752" s="2" t="str">
        <x:v>(11/2),(12/1)</x:v>
      </x:c>
      <x:c r="U2752" s="2" t="str">
        <x:v>2021 지정: (11/2),(12/1) / 2022 지정: (1/18)(5/18)</x:v>
      </x:c>
      <x:c r="V2752" s="2" t="str">
        <x:v>2022-07-15</x:v>
      </x:c>
      <x:c r="W2752" s="2" t="str"/>
      <x:c r="X2752" s="2" t="str">
        <x:v>종결 근거 보관</x:v>
      </x:c>
      <x:c r="Y2752" s="2" t="str">
        <x:v>ad210cd9ec132cfd447541c8984dc53d30aff0f4fb2dc92d254d49275cc55976</x:v>
      </x:c>
      <x:c r="Z2752" s="2" t="n">
        <x:f>SUBTOTAL(103,A2752)</x:f>
        <x:v>1</x:v>
      </x:c>
      <x:c r="AA2752" s="2" t="str">
        <x:f>IF(K2752&lt;&gt;"미종결 표시","대상 아님",IF(N2752="","신청일 확인",IF(NOT(ISNUMBER('종합 현황'!$H$5)),"관찰기준 확인",IF('종합 현황'!$H$5&lt;1,"관찰기준 확인",IF(N2752&gt;'종합 현황'!$H$5,"내부 관찰 대상","내부 관찰일 이하")))))</x:f>
        <x:v>대상 아님</x:v>
      </x:c>
      <x:c r="AB2752" s="2" t="str">
        <x:v>2021-10-29 17:20 - 신청
2021-11-24 11:05 - 보완요청
2021-11-26 12:11 - 신청
2021-12-29 10:18 - 문서재제출요청
2021-12-30 18:32 - 신청
2022-01-18 09:50 - 문서재제출요청
2022-01-18 13:14 - 신청
2022-02-23 16:07 - 문서재제출요청
2022-02-24 11:14 - 신청
2022-04-21 16:10 - 문서재제출요청
2022-04-22 16:23 - 신청
2022-07-05 16:42 - 검토승인
2022-07-15 17:39 - 심의승인</x:v>
      </x:c>
    </x:row>
    <x:row r="2753" ht="42" customHeight="1">
      <x:c r="A2753" s="2" t="str">
        <x:v>60e692a9c3cf475f0eb2cf7d</x:v>
      </x:c>
      <x:c r="B2753" s="2" t="str">
        <x:v>감축량 인증</x:v>
      </x:c>
      <x:c r="C2753" s="2" t="str">
        <x:v>국외</x:v>
      </x:c>
      <x:c r="D2753" s="7" t="str">
        <x:v>안전한 식수 공급을 위한 정수기 보급 사업 : CPA 88(한국 지원)</x:v>
      </x:c>
      <x:c r="E2753" s="2" t="str">
        <x:v>338</x:v>
      </x:c>
      <x:c r="F2753" s="2" t="str">
        <x:v>2021-10-29</x:v>
      </x:c>
      <x:c r="G2753" s="2" t="str">
        <x:v>2021</x:v>
      </x:c>
      <x:c r="H2753" s="2" t="str">
        <x:v>10</x:v>
      </x:c>
      <x:c r="I2753" s="2" t="str">
        <x:v>심의승인</x:v>
      </x:c>
      <x:c r="J2753" s="2" t="str">
        <x:v>심의승인</x:v>
      </x:c>
      <x:c r="K2753" s="2" t="str">
        <x:f>IF(OR(J2753="심의승인",J2753="반려",J2753="반려완료",J2753="심의완료"),"종결 표시",IF(OR(J2753="기후부협의",J2753="문서재제출요청",J2753="보류",J2753="보완요청",J2753="보완완료",J2753="평가중",J2753="반려요청",J2753="평가필요",LEFT(J2753,5)="보완요청("),"미종결 표시","상태 확인 필요"))</x:f>
        <x:v>종결 표시</x:v>
      </x:c>
      <x:c r="L2753" s="2" t="str">
        <x:v>KECM</x:v>
      </x:c>
      <x:c r="M2753" s="2"/>
      <x:c r="N2753" s="8" t="n">
        <x:f>DATE(2026,10,15)-DATE(2021,10,29)</x:f>
        <x:v>1812</x:v>
      </x:c>
      <x:c r="O2753" s="2"/>
      <x:c r="P2753" s="2"/>
      <x:c r="Q2753" s="2" t="str">
        <x:v>산업전환_외부사업관리Tool_260707_이너젠 수정_LJY_261013.xlsx</x:v>
      </x:c>
      <x:c r="R2753" s="2" t="str">
        <x:v>국외인증</x:v>
      </x:c>
      <x:c r="S2753" s="8" t="n">
        <x:v>340</x:v>
      </x:c>
      <x:c r="T2753" s="2" t="str">
        <x:v>(11/2),(12/1)</x:v>
      </x:c>
      <x:c r="U2753" s="2" t="str">
        <x:v>2021 지정: (11/2),(12/1) / 2022 지정: (1/18)(5/18)</x:v>
      </x:c>
      <x:c r="V2753" s="2" t="str">
        <x:v>2022-07-15</x:v>
      </x:c>
      <x:c r="W2753" s="2" t="str"/>
      <x:c r="X2753" s="2" t="str">
        <x:v>종결 근거 보관</x:v>
      </x:c>
      <x:c r="Y2753" s="2" t="str">
        <x:v>ad210cd9ec132cfd447541c8984dc53d30aff0f4fb2dc92d254d49275cc55976</x:v>
      </x:c>
      <x:c r="Z2753" s="2" t="n">
        <x:f>SUBTOTAL(103,A2753)</x:f>
        <x:v>1</x:v>
      </x:c>
      <x:c r="AA2753" s="2" t="str">
        <x:f>IF(K2753&lt;&gt;"미종결 표시","대상 아님",IF(N2753="","신청일 확인",IF(NOT(ISNUMBER('종합 현황'!$H$5)),"관찰기준 확인",IF('종합 현황'!$H$5&lt;1,"관찰기준 확인",IF(N2753&gt;'종합 현황'!$H$5,"내부 관찰 대상","내부 관찰일 이하")))))</x:f>
        <x:v>대상 아님</x:v>
      </x:c>
      <x:c r="AB2753" s="2" t="str">
        <x:v>2021-10-29 17:20 - 신청
2021-11-24 11:06 - 보완요청
2021-11-26 12:11 - 신청
2021-12-29 10:15 - 문서재제출요청
2021-12-30 18:32 - 신청
2022-01-18 09:50 - 문서재제출요청
2022-01-18 13:14 - 신청
2022-02-23 16:07 - 문서재제출요청
2022-02-24 11:15 - 신청
2022-04-21 16:11 - 문서재제출요청
2022-04-22 16:23 - 신청
2022-07-05 16:42 - 검토승인
2022-07-15 17:40 - 심의승인</x:v>
      </x:c>
    </x:row>
    <x:row r="2754" ht="42" customHeight="1">
      <x:c r="A2754" s="2" t="str">
        <x:v>6ba9c0a68f9bb0e81923cd28</x:v>
      </x:c>
      <x:c r="B2754" s="2" t="str">
        <x:v>감축량 인증</x:v>
      </x:c>
      <x:c r="C2754" s="2" t="str">
        <x:v>국외</x:v>
      </x:c>
      <x:c r="D2754" s="7" t="str">
        <x:v>안전한 식수 공급을 위한 정수기 보급 사업 : CPA 89(한국 지원)</x:v>
      </x:c>
      <x:c r="E2754" s="2" t="str">
        <x:v>339</x:v>
      </x:c>
      <x:c r="F2754" s="2" t="str">
        <x:v>2021-10-29</x:v>
      </x:c>
      <x:c r="G2754" s="2" t="str">
        <x:v>2021</x:v>
      </x:c>
      <x:c r="H2754" s="2" t="str">
        <x:v>10</x:v>
      </x:c>
      <x:c r="I2754" s="2" t="str">
        <x:v>심의승인</x:v>
      </x:c>
      <x:c r="J2754" s="2" t="str">
        <x:v>심의승인</x:v>
      </x:c>
      <x:c r="K2754" s="2" t="str">
        <x:f>IF(OR(J2754="심의승인",J2754="반려",J2754="반려완료",J2754="심의완료"),"종결 표시",IF(OR(J2754="기후부협의",J2754="문서재제출요청",J2754="보류",J2754="보완요청",J2754="보완완료",J2754="평가중",J2754="반려요청",J2754="평가필요",LEFT(J2754,5)="보완요청("),"미종결 표시","상태 확인 필요"))</x:f>
        <x:v>종결 표시</x:v>
      </x:c>
      <x:c r="L2754" s="2" t="str">
        <x:v>KECM</x:v>
      </x:c>
      <x:c r="M2754" s="2"/>
      <x:c r="N2754" s="8" t="n">
        <x:f>DATE(2026,10,15)-DATE(2021,10,29)</x:f>
        <x:v>1812</x:v>
      </x:c>
      <x:c r="O2754" s="2"/>
      <x:c r="P2754" s="2"/>
      <x:c r="Q2754" s="2" t="str">
        <x:v>산업전환_외부사업관리Tool_260707_이너젠 수정_LJY_261013.xlsx</x:v>
      </x:c>
      <x:c r="R2754" s="2" t="str">
        <x:v>국외인증</x:v>
      </x:c>
      <x:c r="S2754" s="8" t="n">
        <x:v>341</x:v>
      </x:c>
      <x:c r="T2754" s="2" t="str">
        <x:v>(11/2),(12/1)</x:v>
      </x:c>
      <x:c r="U2754" s="2" t="str">
        <x:v>2021 지정: (11/2),(12/1) / 2022 지정: (1/18)(5/18)</x:v>
      </x:c>
      <x:c r="V2754" s="2" t="str">
        <x:v>2022-07-15</x:v>
      </x:c>
      <x:c r="W2754" s="2" t="str"/>
      <x:c r="X2754" s="2" t="str">
        <x:v>종결 근거 보관</x:v>
      </x:c>
      <x:c r="Y2754" s="2" t="str">
        <x:v>ad210cd9ec132cfd447541c8984dc53d30aff0f4fb2dc92d254d49275cc55976</x:v>
      </x:c>
      <x:c r="Z2754" s="2" t="n">
        <x:f>SUBTOTAL(103,A2754)</x:f>
        <x:v>1</x:v>
      </x:c>
      <x:c r="AA2754" s="2" t="str">
        <x:f>IF(K2754&lt;&gt;"미종결 표시","대상 아님",IF(N2754="","신청일 확인",IF(NOT(ISNUMBER('종합 현황'!$H$5)),"관찰기준 확인",IF('종합 현황'!$H$5&lt;1,"관찰기준 확인",IF(N2754&gt;'종합 현황'!$H$5,"내부 관찰 대상","내부 관찰일 이하")))))</x:f>
        <x:v>대상 아님</x:v>
      </x:c>
      <x:c r="AB2754" s="2" t="str">
        <x:v>2021-10-29 17:20 - 신청
2021-11-24 11:07 - 보완요청
2021-11-26 12:12 - 신청
2021-12-29 10:16 - 문서재제출요청
2021-12-30 18:32 - 신청
2022-01-17 17:45 - 문서재제출요청
2022-01-18 13:15 - 신청
2022-02-23 16:10 - 문서재제출요청
2022-02-24 11:16 - 신청
2022-04-21 16:11 - 문서재제출요청
2022-04-22 16:23 - 신청
2022-07-05 16:41 - 검토승인
2022-07-15 17:40 - 심의승인</x:v>
      </x:c>
    </x:row>
    <x:row r="2755" ht="42" customHeight="1">
      <x:c r="A2755" s="2" t="str">
        <x:v>378eb63790d73d9fce01e6ce</x:v>
      </x:c>
      <x:c r="B2755" s="2" t="str">
        <x:v>감축량 인증</x:v>
      </x:c>
      <x:c r="C2755" s="2" t="str">
        <x:v>국외</x:v>
      </x:c>
      <x:c r="D2755" s="7" t="str">
        <x:v>안전한 식수 공급을 위한 정수기 보급 사업 : CPA 90(한국 지원)</x:v>
      </x:c>
      <x:c r="E2755" s="2" t="str">
        <x:v>340</x:v>
      </x:c>
      <x:c r="F2755" s="2" t="str">
        <x:v>2021-10-29</x:v>
      </x:c>
      <x:c r="G2755" s="2" t="str">
        <x:v>2021</x:v>
      </x:c>
      <x:c r="H2755" s="2" t="str">
        <x:v>10</x:v>
      </x:c>
      <x:c r="I2755" s="2" t="str">
        <x:v>심의승인</x:v>
      </x:c>
      <x:c r="J2755" s="2" t="str">
        <x:v>심의승인</x:v>
      </x:c>
      <x:c r="K2755" s="2" t="str">
        <x:f>IF(OR(J2755="심의승인",J2755="반려",J2755="반려완료",J2755="심의완료"),"종결 표시",IF(OR(J2755="기후부협의",J2755="문서재제출요청",J2755="보류",J2755="보완요청",J2755="보완완료",J2755="평가중",J2755="반려요청",J2755="평가필요",LEFT(J2755,5)="보완요청("),"미종결 표시","상태 확인 필요"))</x:f>
        <x:v>종결 표시</x:v>
      </x:c>
      <x:c r="L2755" s="2" t="str">
        <x:v>KECM</x:v>
      </x:c>
      <x:c r="M2755" s="2"/>
      <x:c r="N2755" s="8" t="n">
        <x:f>DATE(2026,10,15)-DATE(2021,10,29)</x:f>
        <x:v>1812</x:v>
      </x:c>
      <x:c r="O2755" s="2"/>
      <x:c r="P2755" s="2"/>
      <x:c r="Q2755" s="2" t="str">
        <x:v>산업전환_외부사업관리Tool_260707_이너젠 수정_LJY_261013.xlsx</x:v>
      </x:c>
      <x:c r="R2755" s="2" t="str">
        <x:v>국외인증</x:v>
      </x:c>
      <x:c r="S2755" s="8" t="n">
        <x:v>342</x:v>
      </x:c>
      <x:c r="T2755" s="2" t="str">
        <x:v>(11/2),(12/1)</x:v>
      </x:c>
      <x:c r="U2755" s="2" t="str">
        <x:v>2021 지정: (11/2),(12/1) / 2022 지정: (1/18)(5/18)</x:v>
      </x:c>
      <x:c r="V2755" s="2" t="str">
        <x:v>2022-07-15</x:v>
      </x:c>
      <x:c r="W2755" s="2" t="str"/>
      <x:c r="X2755" s="2" t="str">
        <x:v>종결 근거 보관</x:v>
      </x:c>
      <x:c r="Y2755" s="2" t="str">
        <x:v>ad210cd9ec132cfd447541c8984dc53d30aff0f4fb2dc92d254d49275cc55976</x:v>
      </x:c>
      <x:c r="Z2755" s="2" t="n">
        <x:f>SUBTOTAL(103,A2755)</x:f>
        <x:v>1</x:v>
      </x:c>
      <x:c r="AA2755" s="2" t="str">
        <x:f>IF(K2755&lt;&gt;"미종결 표시","대상 아님",IF(N2755="","신청일 확인",IF(NOT(ISNUMBER('종합 현황'!$H$5)),"관찰기준 확인",IF('종합 현황'!$H$5&lt;1,"관찰기준 확인",IF(N2755&gt;'종합 현황'!$H$5,"내부 관찰 대상","내부 관찰일 이하")))))</x:f>
        <x:v>대상 아님</x:v>
      </x:c>
      <x:c r="AB2755" s="2" t="str">
        <x:v>2021-10-29 17:20 - 신청
2021-11-24 11:07 - 보완요청
2021-11-26 12:12 - 신청
2021-12-29 10:16 - 문서재제출요청
2021-12-30 18:32 - 신청
2022-01-18 09:50 - 문서재제출요청
2022-01-18 13:15 - 신청
2022-02-23 16:10 - 문서재제출요청
2022-02-24 11:16 - 신청
2022-04-21 16:11 - 문서재제출요청
2022-04-22 16:24 - 신청
2022-07-05 16:41 - 검토승인
2022-07-15 17:41 - 심의승인</x:v>
      </x:c>
    </x:row>
    <x:row r="2756" ht="42" customHeight="1">
      <x:c r="A2756" s="2" t="str">
        <x:v>50f12b6151c24bdd44187fbf</x:v>
      </x:c>
      <x:c r="B2756" s="2" t="str">
        <x:v>감축량 인증</x:v>
      </x:c>
      <x:c r="C2756" s="2" t="str">
        <x:v>국외</x:v>
      </x:c>
      <x:c r="D2756" s="7" t="str">
        <x:v>안전한 식수 공급을 위한 정수기 보급 사업 : CPA 91(한국 지원)</x:v>
      </x:c>
      <x:c r="E2756" s="2" t="str">
        <x:v>341</x:v>
      </x:c>
      <x:c r="F2756" s="2" t="str">
        <x:v>2021-10-29</x:v>
      </x:c>
      <x:c r="G2756" s="2" t="str">
        <x:v>2021</x:v>
      </x:c>
      <x:c r="H2756" s="2" t="str">
        <x:v>10</x:v>
      </x:c>
      <x:c r="I2756" s="2" t="str">
        <x:v>심의승인</x:v>
      </x:c>
      <x:c r="J2756" s="2" t="str">
        <x:v>심의승인</x:v>
      </x:c>
      <x:c r="K2756" s="2" t="str">
        <x:f>IF(OR(J2756="심의승인",J2756="반려",J2756="반려완료",J2756="심의완료"),"종결 표시",IF(OR(J2756="기후부협의",J2756="문서재제출요청",J2756="보류",J2756="보완요청",J2756="보완완료",J2756="평가중",J2756="반려요청",J2756="평가필요",LEFT(J2756,5)="보완요청("),"미종결 표시","상태 확인 필요"))</x:f>
        <x:v>종결 표시</x:v>
      </x:c>
      <x:c r="L2756" s="2" t="str">
        <x:v>KECM</x:v>
      </x:c>
      <x:c r="M2756" s="2"/>
      <x:c r="N2756" s="8" t="n">
        <x:f>DATE(2026,10,15)-DATE(2021,10,29)</x:f>
        <x:v>1812</x:v>
      </x:c>
      <x:c r="O2756" s="2"/>
      <x:c r="P2756" s="2"/>
      <x:c r="Q2756" s="2" t="str">
        <x:v>산업전환_외부사업관리Tool_260707_이너젠 수정_LJY_261013.xlsx</x:v>
      </x:c>
      <x:c r="R2756" s="2" t="str">
        <x:v>국외인증</x:v>
      </x:c>
      <x:c r="S2756" s="8" t="n">
        <x:v>343</x:v>
      </x:c>
      <x:c r="T2756" s="2" t="str">
        <x:v>(11/2),(12/1)</x:v>
      </x:c>
      <x:c r="U2756" s="2" t="str">
        <x:v>2021 지정: (11/2),(12/1) / 2022 지정: (1/18)(5/18)</x:v>
      </x:c>
      <x:c r="V2756" s="2" t="str">
        <x:v>2022-07-15</x:v>
      </x:c>
      <x:c r="W2756" s="2" t="str"/>
      <x:c r="X2756" s="2" t="str">
        <x:v>종결 근거 보관</x:v>
      </x:c>
      <x:c r="Y2756" s="2" t="str">
        <x:v>ad210cd9ec132cfd447541c8984dc53d30aff0f4fb2dc92d254d49275cc55976</x:v>
      </x:c>
      <x:c r="Z2756" s="2" t="n">
        <x:f>SUBTOTAL(103,A2756)</x:f>
        <x:v>1</x:v>
      </x:c>
      <x:c r="AA2756" s="2" t="str">
        <x:f>IF(K2756&lt;&gt;"미종결 표시","대상 아님",IF(N2756="","신청일 확인",IF(NOT(ISNUMBER('종합 현황'!$H$5)),"관찰기준 확인",IF('종합 현황'!$H$5&lt;1,"관찰기준 확인",IF(N2756&gt;'종합 현황'!$H$5,"내부 관찰 대상","내부 관찰일 이하")))))</x:f>
        <x:v>대상 아님</x:v>
      </x:c>
      <x:c r="AB2756" s="2" t="str">
        <x:v>2021-10-29 17:19 - 신청
2021-11-24 11:08 - 보완요청
2021-11-26 12:12 - 신청
2021-12-29 10:16 - 문서재제출요청
2021-12-30 18:33 - 신청
2022-01-18 09:51 - 문서재제출요청
2022-01-18 13:15 - 신청
2022-02-23 16:10 - 문서재제출요청
2022-02-24 11:17 - 신청
2022-04-21 16:12 - 문서재제출요청
2022-04-22 16:24 - 신청
2022-07-05 16:41 - 검토승인
2022-07-15 17:41 - 심의승인</x:v>
      </x:c>
    </x:row>
    <x:row r="2757" ht="42" customHeight="1">
      <x:c r="A2757" s="2" t="str">
        <x:v>7ba0e6fec1a76bfe0cff74fd</x:v>
      </x:c>
      <x:c r="B2757" s="2" t="str">
        <x:v>감축량 인증</x:v>
      </x:c>
      <x:c r="C2757" s="2" t="str">
        <x:v>국외</x:v>
      </x:c>
      <x:c r="D2757" s="7" t="str">
        <x:v>안전한 식수 공급을 위한 정수기 보급 사업 : CPA 92(한국 지원)</x:v>
      </x:c>
      <x:c r="E2757" s="2" t="str">
        <x:v>342</x:v>
      </x:c>
      <x:c r="F2757" s="2" t="str">
        <x:v>2021-10-29</x:v>
      </x:c>
      <x:c r="G2757" s="2" t="str">
        <x:v>2021</x:v>
      </x:c>
      <x:c r="H2757" s="2" t="str">
        <x:v>10</x:v>
      </x:c>
      <x:c r="I2757" s="2" t="str">
        <x:v>심의승인</x:v>
      </x:c>
      <x:c r="J2757" s="2" t="str">
        <x:v>심의승인</x:v>
      </x:c>
      <x:c r="K2757" s="2" t="str">
        <x:f>IF(OR(J2757="심의승인",J2757="반려",J2757="반려완료",J2757="심의완료"),"종결 표시",IF(OR(J2757="기후부협의",J2757="문서재제출요청",J2757="보류",J2757="보완요청",J2757="보완완료",J2757="평가중",J2757="반려요청",J2757="평가필요",LEFT(J2757,5)="보완요청("),"미종결 표시","상태 확인 필요"))</x:f>
        <x:v>종결 표시</x:v>
      </x:c>
      <x:c r="L2757" s="2" t="str">
        <x:v>KECM</x:v>
      </x:c>
      <x:c r="M2757" s="2"/>
      <x:c r="N2757" s="8" t="n">
        <x:f>DATE(2026,10,15)-DATE(2021,10,29)</x:f>
        <x:v>1812</x:v>
      </x:c>
      <x:c r="O2757" s="2"/>
      <x:c r="P2757" s="2"/>
      <x:c r="Q2757" s="2" t="str">
        <x:v>산업전환_외부사업관리Tool_260707_이너젠 수정_LJY_261013.xlsx</x:v>
      </x:c>
      <x:c r="R2757" s="2" t="str">
        <x:v>국외인증</x:v>
      </x:c>
      <x:c r="S2757" s="8" t="n">
        <x:v>344</x:v>
      </x:c>
      <x:c r="T2757" s="2" t="str">
        <x:v>(11/2),(12/1)</x:v>
      </x:c>
      <x:c r="U2757" s="2" t="str">
        <x:v>2021 지정: (11/2),(12/1) / 2022 지정: (1/18)(5/18)</x:v>
      </x:c>
      <x:c r="V2757" s="2" t="str">
        <x:v>2022-07-15</x:v>
      </x:c>
      <x:c r="W2757" s="2" t="str"/>
      <x:c r="X2757" s="2" t="str">
        <x:v>종결 근거 보관</x:v>
      </x:c>
      <x:c r="Y2757" s="2" t="str">
        <x:v>ad210cd9ec132cfd447541c8984dc53d30aff0f4fb2dc92d254d49275cc55976</x:v>
      </x:c>
      <x:c r="Z2757" s="2" t="n">
        <x:f>SUBTOTAL(103,A2757)</x:f>
        <x:v>1</x:v>
      </x:c>
      <x:c r="AA2757" s="2" t="str">
        <x:f>IF(K2757&lt;&gt;"미종결 표시","대상 아님",IF(N2757="","신청일 확인",IF(NOT(ISNUMBER('종합 현황'!$H$5)),"관찰기준 확인",IF('종합 현황'!$H$5&lt;1,"관찰기준 확인",IF(N2757&gt;'종합 현황'!$H$5,"내부 관찰 대상","내부 관찰일 이하")))))</x:f>
        <x:v>대상 아님</x:v>
      </x:c>
      <x:c r="AB2757" s="2" t="str">
        <x:v>2021-10-29 17:19 - 신청
2021-11-24 11:11 - 보완요청
2021-11-26 12:12 - 신청
2021-12-29 10:16 - 문서재제출요청
2021-12-30 18:33 - 신청
2022-01-18 09:51 - 문서재제출요청
2022-01-18 13:16 - 신청
2022-02-23 16:11 - 문서재제출요청
2022-02-24 11:17 - 신청
2022-04-21 16:12 - 문서재제출요청
2022-04-22 16:24 - 신청
2022-07-05 16:40 - 검토승인
2022-07-15 17:42 - 심의승인</x:v>
      </x:c>
    </x:row>
    <x:row r="2758" ht="42" customHeight="1">
      <x:c r="A2758" s="2" t="str">
        <x:v>79a07786973847e19676d5c0</x:v>
      </x:c>
      <x:c r="B2758" s="2" t="str">
        <x:v>감축량 인증</x:v>
      </x:c>
      <x:c r="C2758" s="2" t="str">
        <x:v>국외</x:v>
      </x:c>
      <x:c r="D2758" s="7" t="str">
        <x:v>안전한 식수 공급을 위한 정수기 보급 사업 : CPA 93(한국 지원)</x:v>
      </x:c>
      <x:c r="E2758" s="2" t="str">
        <x:v>343</x:v>
      </x:c>
      <x:c r="F2758" s="2" t="str">
        <x:v>2021-10-29</x:v>
      </x:c>
      <x:c r="G2758" s="2" t="str">
        <x:v>2021</x:v>
      </x:c>
      <x:c r="H2758" s="2" t="str">
        <x:v>10</x:v>
      </x:c>
      <x:c r="I2758" s="2" t="str">
        <x:v>심의승인</x:v>
      </x:c>
      <x:c r="J2758" s="2" t="str">
        <x:v>심의승인</x:v>
      </x:c>
      <x:c r="K2758" s="2" t="str">
        <x:f>IF(OR(J2758="심의승인",J2758="반려",J2758="반려완료",J2758="심의완료"),"종결 표시",IF(OR(J2758="기후부협의",J2758="문서재제출요청",J2758="보류",J2758="보완요청",J2758="보완완료",J2758="평가중",J2758="반려요청",J2758="평가필요",LEFT(J2758,5)="보완요청("),"미종결 표시","상태 확인 필요"))</x:f>
        <x:v>종결 표시</x:v>
      </x:c>
      <x:c r="L2758" s="2" t="str">
        <x:v>KECM</x:v>
      </x:c>
      <x:c r="M2758" s="2"/>
      <x:c r="N2758" s="8" t="n">
        <x:f>DATE(2026,10,15)-DATE(2021,10,29)</x:f>
        <x:v>1812</x:v>
      </x:c>
      <x:c r="O2758" s="2"/>
      <x:c r="P2758" s="2"/>
      <x:c r="Q2758" s="2" t="str">
        <x:v>산업전환_외부사업관리Tool_260707_이너젠 수정_LJY_261013.xlsx</x:v>
      </x:c>
      <x:c r="R2758" s="2" t="str">
        <x:v>국외인증</x:v>
      </x:c>
      <x:c r="S2758" s="8" t="n">
        <x:v>345</x:v>
      </x:c>
      <x:c r="T2758" s="2" t="str">
        <x:v>(11/2),(12/1)</x:v>
      </x:c>
      <x:c r="U2758" s="2" t="str">
        <x:v>2021 지정: (11/2),(12/1) / 2022 지정: (1/18)(5/18)</x:v>
      </x:c>
      <x:c r="V2758" s="2" t="str">
        <x:v>2022-07-15</x:v>
      </x:c>
      <x:c r="W2758" s="2" t="str"/>
      <x:c r="X2758" s="2" t="str">
        <x:v>종결 근거 보관</x:v>
      </x:c>
      <x:c r="Y2758" s="2" t="str">
        <x:v>ad210cd9ec132cfd447541c8984dc53d30aff0f4fb2dc92d254d49275cc55976</x:v>
      </x:c>
      <x:c r="Z2758" s="2" t="n">
        <x:f>SUBTOTAL(103,A2758)</x:f>
        <x:v>1</x:v>
      </x:c>
      <x:c r="AA2758" s="2" t="str">
        <x:f>IF(K2758&lt;&gt;"미종결 표시","대상 아님",IF(N2758="","신청일 확인",IF(NOT(ISNUMBER('종합 현황'!$H$5)),"관찰기준 확인",IF('종합 현황'!$H$5&lt;1,"관찰기준 확인",IF(N2758&gt;'종합 현황'!$H$5,"내부 관찰 대상","내부 관찰일 이하")))))</x:f>
        <x:v>대상 아님</x:v>
      </x:c>
      <x:c r="AB2758" s="2" t="str">
        <x:v>2021-10-29 17:19 - 신청
2021-11-24 11:12 - 보완요청
2021-11-26 12:12 - 신청
2021-12-29 10:17 - 문서재제출요청
2021-12-30 18:33 - 신청
2022-01-18 09:52 - 문서재제출요청
2022-01-18 13:16 - 신청
2022-02-23 16:11 - 문서재제출요청
2022-02-24 11:18 - 신청
2022-04-21 16:12 - 문서재제출요청
2022-04-22 16:24 - 신청
2022-07-05 16:40 - 검토승인
2022-07-15 17:42 - 심의승인</x:v>
      </x:c>
    </x:row>
    <x:row r="2759" ht="42" customHeight="1">
      <x:c r="A2759" s="2" t="str">
        <x:v>6ddea11bc676389a5e8346af</x:v>
      </x:c>
      <x:c r="B2759" s="2" t="str">
        <x:v>감축량 인증</x:v>
      </x:c>
      <x:c r="C2759" s="2" t="str">
        <x:v>국외</x:v>
      </x:c>
      <x:c r="D2759" s="7" t="str">
        <x:v>안전한 식수 공급을 위한 정수기 보급 사업 : CPA 94(한국 지원)</x:v>
      </x:c>
      <x:c r="E2759" s="2" t="str">
        <x:v>344</x:v>
      </x:c>
      <x:c r="F2759" s="2" t="str">
        <x:v>2021-10-29</x:v>
      </x:c>
      <x:c r="G2759" s="2" t="str">
        <x:v>2021</x:v>
      </x:c>
      <x:c r="H2759" s="2" t="str">
        <x:v>10</x:v>
      </x:c>
      <x:c r="I2759" s="2" t="str">
        <x:v>심의승인</x:v>
      </x:c>
      <x:c r="J2759" s="2" t="str">
        <x:v>심의승인</x:v>
      </x:c>
      <x:c r="K2759" s="2" t="str">
        <x:f>IF(OR(J2759="심의승인",J2759="반려",J2759="반려완료",J2759="심의완료"),"종결 표시",IF(OR(J2759="기후부협의",J2759="문서재제출요청",J2759="보류",J2759="보완요청",J2759="보완완료",J2759="평가중",J2759="반려요청",J2759="평가필요",LEFT(J2759,5)="보완요청("),"미종결 표시","상태 확인 필요"))</x:f>
        <x:v>종결 표시</x:v>
      </x:c>
      <x:c r="L2759" s="2" t="str">
        <x:v>KECM</x:v>
      </x:c>
      <x:c r="M2759" s="2"/>
      <x:c r="N2759" s="8" t="n">
        <x:f>DATE(2026,10,15)-DATE(2021,10,29)</x:f>
        <x:v>1812</x:v>
      </x:c>
      <x:c r="O2759" s="2"/>
      <x:c r="P2759" s="2"/>
      <x:c r="Q2759" s="2" t="str">
        <x:v>산업전환_외부사업관리Tool_260707_이너젠 수정_LJY_261013.xlsx</x:v>
      </x:c>
      <x:c r="R2759" s="2" t="str">
        <x:v>국외인증</x:v>
      </x:c>
      <x:c r="S2759" s="8" t="n">
        <x:v>346</x:v>
      </x:c>
      <x:c r="T2759" s="2" t="str">
        <x:v>(11/2),(12/1)</x:v>
      </x:c>
      <x:c r="U2759" s="2" t="str">
        <x:v>2021 지정: (11/2),(12/1) / 2022 지정: (1/18)(5/18)</x:v>
      </x:c>
      <x:c r="V2759" s="2" t="str">
        <x:v>2022-07-15</x:v>
      </x:c>
      <x:c r="W2759" s="2" t="str"/>
      <x:c r="X2759" s="2" t="str">
        <x:v>종결 근거 보관</x:v>
      </x:c>
      <x:c r="Y2759" s="2" t="str">
        <x:v>ad210cd9ec132cfd447541c8984dc53d30aff0f4fb2dc92d254d49275cc55976</x:v>
      </x:c>
      <x:c r="Z2759" s="2" t="n">
        <x:f>SUBTOTAL(103,A2759)</x:f>
        <x:v>1</x:v>
      </x:c>
      <x:c r="AA2759" s="2" t="str">
        <x:f>IF(K2759&lt;&gt;"미종결 표시","대상 아님",IF(N2759="","신청일 확인",IF(NOT(ISNUMBER('종합 현황'!$H$5)),"관찰기준 확인",IF('종합 현황'!$H$5&lt;1,"관찰기준 확인",IF(N2759&gt;'종합 현황'!$H$5,"내부 관찰 대상","내부 관찰일 이하")))))</x:f>
        <x:v>대상 아님</x:v>
      </x:c>
      <x:c r="AB2759" s="2" t="str">
        <x:v>2021-10-29 17:19 - 신청
2021-11-24 11:12 - 보완요청
2021-11-26 12:12 - 신청
2021-12-29 10:17 - 문서재제출요청
2021-12-30 18:33 - 신청
2022-01-17 17:46 - 문서재제출요청
2022-01-18 13:17 - 신청
2022-02-23 16:11 - 문서재제출요청
2022-02-24 11:18 - 신청
2022-04-21 16:13 - 문서재제출요청
2022-04-22 16:24 - 신청
2022-07-05 16:39 - 검토승인
2022-07-15 17:43 - 심의승인</x:v>
      </x:c>
    </x:row>
    <x:row r="2760" ht="42" customHeight="1">
      <x:c r="A2760" s="2" t="str">
        <x:v>64782d70b155610b6cdfd33c</x:v>
      </x:c>
      <x:c r="B2760" s="2" t="str">
        <x:v>감축량 인증</x:v>
      </x:c>
      <x:c r="C2760" s="2" t="str">
        <x:v>국외</x:v>
      </x:c>
      <x:c r="D2760" s="7" t="str">
        <x:v>안전한 식수 공급을 위한 정수기 보급 사업 : CPA 95(한국 지원)</x:v>
      </x:c>
      <x:c r="E2760" s="2" t="str">
        <x:v>345</x:v>
      </x:c>
      <x:c r="F2760" s="2" t="str">
        <x:v>2021-10-29</x:v>
      </x:c>
      <x:c r="G2760" s="2" t="str">
        <x:v>2021</x:v>
      </x:c>
      <x:c r="H2760" s="2" t="str">
        <x:v>10</x:v>
      </x:c>
      <x:c r="I2760" s="2" t="str">
        <x:v>심의승인</x:v>
      </x:c>
      <x:c r="J2760" s="2" t="str">
        <x:v>심의승인</x:v>
      </x:c>
      <x:c r="K2760" s="2" t="str">
        <x:f>IF(OR(J2760="심의승인",J2760="반려",J2760="반려완료",J2760="심의완료"),"종결 표시",IF(OR(J2760="기후부협의",J2760="문서재제출요청",J2760="보류",J2760="보완요청",J2760="보완완료",J2760="평가중",J2760="반려요청",J2760="평가필요",LEFT(J2760,5)="보완요청("),"미종결 표시","상태 확인 필요"))</x:f>
        <x:v>종결 표시</x:v>
      </x:c>
      <x:c r="L2760" s="2" t="str">
        <x:v>KECM</x:v>
      </x:c>
      <x:c r="M2760" s="2"/>
      <x:c r="N2760" s="8" t="n">
        <x:f>DATE(2026,10,15)-DATE(2021,10,29)</x:f>
        <x:v>1812</x:v>
      </x:c>
      <x:c r="O2760" s="2"/>
      <x:c r="P2760" s="2"/>
      <x:c r="Q2760" s="2" t="str">
        <x:v>산업전환_외부사업관리Tool_260707_이너젠 수정_LJY_261013.xlsx</x:v>
      </x:c>
      <x:c r="R2760" s="2" t="str">
        <x:v>국외인증</x:v>
      </x:c>
      <x:c r="S2760" s="8" t="n">
        <x:v>347</x:v>
      </x:c>
      <x:c r="T2760" s="2" t="str">
        <x:v>(11/2),(12/1)</x:v>
      </x:c>
      <x:c r="U2760" s="2" t="str">
        <x:v>2021 지정: (11/2),(12/1) / 2022 지정: (1/18)(5/18)</x:v>
      </x:c>
      <x:c r="V2760" s="2" t="str">
        <x:v>2022-07-15</x:v>
      </x:c>
      <x:c r="W2760" s="2" t="str"/>
      <x:c r="X2760" s="2" t="str">
        <x:v>종결 근거 보관</x:v>
      </x:c>
      <x:c r="Y2760" s="2" t="str">
        <x:v>ad210cd9ec132cfd447541c8984dc53d30aff0f4fb2dc92d254d49275cc55976</x:v>
      </x:c>
      <x:c r="Z2760" s="2" t="n">
        <x:f>SUBTOTAL(103,A2760)</x:f>
        <x:v>1</x:v>
      </x:c>
      <x:c r="AA2760" s="2" t="str">
        <x:f>IF(K2760&lt;&gt;"미종결 표시","대상 아님",IF(N2760="","신청일 확인",IF(NOT(ISNUMBER('종합 현황'!$H$5)),"관찰기준 확인",IF('종합 현황'!$H$5&lt;1,"관찰기준 확인",IF(N2760&gt;'종합 현황'!$H$5,"내부 관찰 대상","내부 관찰일 이하")))))</x:f>
        <x:v>대상 아님</x:v>
      </x:c>
      <x:c r="AB2760" s="2" t="str">
        <x:v>2021-10-29 17:19 - 신청
2021-11-24 11:13 - 보완요청
2021-11-26 12:13 - 신청
2021-12-29 10:17 -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17:43 - 심의승인</x:v>
      </x:c>
    </x:row>
    <x:row r="2761" ht="42" customHeight="1">
      <x:c r="A2761" s="2" t="str">
        <x:v>6a5c758e2fa15e861326bab4</x:v>
      </x:c>
      <x:c r="B2761" s="2" t="str">
        <x:v>감축량 인증</x:v>
      </x:c>
      <x:c r="C2761" s="2" t="str">
        <x:v>국외</x:v>
      </x:c>
      <x:c r="D2761" s="7" t="str">
        <x:v>안전한 식수 공급을 위한 정수기 보급 사업 : CPA 96(한국 지원)</x:v>
      </x:c>
      <x:c r="E2761" s="2" t="str">
        <x:v>346</x:v>
      </x:c>
      <x:c r="F2761" s="2" t="str">
        <x:v>2021-10-29</x:v>
      </x:c>
      <x:c r="G2761" s="2" t="str">
        <x:v>2021</x:v>
      </x:c>
      <x:c r="H2761" s="2" t="str">
        <x:v>10</x:v>
      </x:c>
      <x:c r="I2761" s="2" t="str">
        <x:v>심의승인</x:v>
      </x:c>
      <x:c r="J2761" s="2" t="str">
        <x:v>심의승인</x:v>
      </x:c>
      <x:c r="K2761" s="2" t="str">
        <x:f>IF(OR(J2761="심의승인",J2761="반려",J2761="반려완료",J2761="심의완료"),"종결 표시",IF(OR(J2761="기후부협의",J2761="문서재제출요청",J2761="보류",J2761="보완요청",J2761="보완완료",J2761="평가중",J2761="반려요청",J2761="평가필요",LEFT(J2761,5)="보완요청("),"미종결 표시","상태 확인 필요"))</x:f>
        <x:v>종결 표시</x:v>
      </x:c>
      <x:c r="L2761" s="2" t="str">
        <x:v>KECM</x:v>
      </x:c>
      <x:c r="M2761" s="2"/>
      <x:c r="N2761" s="8" t="n">
        <x:f>DATE(2026,10,15)-DATE(2021,10,29)</x:f>
        <x:v>1812</x:v>
      </x:c>
      <x:c r="O2761" s="2"/>
      <x:c r="P2761" s="2"/>
      <x:c r="Q2761" s="2" t="str">
        <x:v>산업전환_외부사업관리Tool_260707_이너젠 수정_LJY_261013.xlsx</x:v>
      </x:c>
      <x:c r="R2761" s="2" t="str">
        <x:v>국외인증</x:v>
      </x:c>
      <x:c r="S2761" s="8" t="n">
        <x:v>348</x:v>
      </x:c>
      <x:c r="T2761" s="2" t="str">
        <x:v>(11/2),(12/1)</x:v>
      </x:c>
      <x:c r="U2761" s="2" t="str">
        <x:v>2021 지정: (11/2),(12/1) / 2022 지정: (1/18)(5/18)</x:v>
      </x:c>
      <x:c r="V2761" s="2" t="str">
        <x:v>2022-07-15</x:v>
      </x:c>
      <x:c r="W2761" s="2" t="str"/>
      <x:c r="X2761" s="2" t="str">
        <x:v>종결 근거 보관</x:v>
      </x:c>
      <x:c r="Y2761" s="2" t="str">
        <x:v>ad210cd9ec132cfd447541c8984dc53d30aff0f4fb2dc92d254d49275cc55976</x:v>
      </x:c>
      <x:c r="Z2761" s="2" t="n">
        <x:f>SUBTOTAL(103,A2761)</x:f>
        <x:v>1</x:v>
      </x:c>
      <x:c r="AA2761" s="2" t="str">
        <x:f>IF(K2761&lt;&gt;"미종결 표시","대상 아님",IF(N2761="","신청일 확인",IF(NOT(ISNUMBER('종합 현황'!$H$5)),"관찰기준 확인",IF('종합 현황'!$H$5&lt;1,"관찰기준 확인",IF(N2761&gt;'종합 현황'!$H$5,"내부 관찰 대상","내부 관찰일 이하")))))</x:f>
        <x:v>대상 아님</x:v>
      </x:c>
      <x:c r="AB2761" s="2" t="str">
        <x:v>2021-10-29 17:19 - 신청
2021-11-24 11:14 - 보완요청
2021-11-26 12:13 - 신청
2021-12-29 10:18 - 문서재제출요청
2021-12-30 18:33 - 신청
2022-01-18 09:52 - 문서재제출요청
2022-01-18 13:17 - 신청
2022-02-23 16:12 - 문서재제출요청
2022-02-24 11:19 - 신청
2022-04-21 16:13 - 문서재제출요청
2022-04-22 16:24 - 신청
2022-07-05 16:39 - 검토승인
2022-07-15 17:44 - 심의승인</x:v>
      </x:c>
    </x:row>
    <x:row r="2762" ht="42" customHeight="1">
      <x:c r="A2762" s="2" t="str">
        <x:v>7187122f5c41b76c1f3fca14</x:v>
      </x:c>
      <x:c r="B2762" s="2" t="str">
        <x:v>감축량 인증</x:v>
      </x:c>
      <x:c r="C2762" s="2" t="str">
        <x:v>국외</x:v>
      </x:c>
      <x:c r="D2762" s="7" t="str">
        <x:v>안전한 식수 공급을 위한 정수기 보급 사업 : CPA 97(한국 지원)</x:v>
      </x:c>
      <x:c r="E2762" s="2" t="str">
        <x:v>347</x:v>
      </x:c>
      <x:c r="F2762" s="2" t="str">
        <x:v>2021-10-29</x:v>
      </x:c>
      <x:c r="G2762" s="2" t="str">
        <x:v>2021</x:v>
      </x:c>
      <x:c r="H2762" s="2" t="str">
        <x:v>10</x:v>
      </x:c>
      <x:c r="I2762" s="2" t="str">
        <x:v>심의승인</x:v>
      </x:c>
      <x:c r="J2762" s="2" t="str">
        <x:v>심의승인</x:v>
      </x:c>
      <x:c r="K2762" s="2" t="str">
        <x:f>IF(OR(J2762="심의승인",J2762="반려",J2762="반려완료",J2762="심의완료"),"종결 표시",IF(OR(J2762="기후부협의",J2762="문서재제출요청",J2762="보류",J2762="보완요청",J2762="보완완료",J2762="평가중",J2762="반려요청",J2762="평가필요",LEFT(J2762,5)="보완요청("),"미종결 표시","상태 확인 필요"))</x:f>
        <x:v>종결 표시</x:v>
      </x:c>
      <x:c r="L2762" s="2" t="str">
        <x:v>KECM</x:v>
      </x:c>
      <x:c r="M2762" s="2"/>
      <x:c r="N2762" s="8" t="n">
        <x:f>DATE(2026,10,15)-DATE(2021,10,29)</x:f>
        <x:v>1812</x:v>
      </x:c>
      <x:c r="O2762" s="2"/>
      <x:c r="P2762" s="2"/>
      <x:c r="Q2762" s="2" t="str">
        <x:v>산업전환_외부사업관리Tool_260707_이너젠 수정_LJY_261013.xlsx</x:v>
      </x:c>
      <x:c r="R2762" s="2" t="str">
        <x:v>국외인증</x:v>
      </x:c>
      <x:c r="S2762" s="8" t="n">
        <x:v>349</x:v>
      </x:c>
      <x:c r="T2762" s="2" t="str">
        <x:v>(11/2),(12/1)</x:v>
      </x:c>
      <x:c r="U2762" s="2" t="str">
        <x:v>2021 지정: (11/2),(12/1) / 2022 지정: (1/18)(5/18)</x:v>
      </x:c>
      <x:c r="V2762" s="2" t="str">
        <x:v>2022-07-15</x:v>
      </x:c>
      <x:c r="W2762" s="2" t="str"/>
      <x:c r="X2762" s="2" t="str">
        <x:v>종결 근거 보관</x:v>
      </x:c>
      <x:c r="Y2762" s="2" t="str">
        <x:v>ad210cd9ec132cfd447541c8984dc53d30aff0f4fb2dc92d254d49275cc55976</x:v>
      </x:c>
      <x:c r="Z2762" s="2" t="n">
        <x:f>SUBTOTAL(103,A2762)</x:f>
        <x:v>1</x:v>
      </x:c>
      <x:c r="AA2762" s="2" t="str">
        <x:f>IF(K2762&lt;&gt;"미종결 표시","대상 아님",IF(N2762="","신청일 확인",IF(NOT(ISNUMBER('종합 현황'!$H$5)),"관찰기준 확인",IF('종합 현황'!$H$5&lt;1,"관찰기준 확인",IF(N2762&gt;'종합 현황'!$H$5,"내부 관찰 대상","내부 관찰일 이하")))))</x:f>
        <x:v>대상 아님</x:v>
      </x:c>
      <x:c r="AB2762" s="2" t="str">
        <x:v>2021-10-29 17:18 - 신청
2021-11-24 11:15 - 보완요청
2021-11-26 12:13 - 신청
2021-12-29 10:18 - 문서재제출요청
2021-12-30 18:34 - 신청
2022-01-18 09:52 - 문서재제출요청
2022-01-18 13:18 - 신청
2022-02-23 16:12 - 문서재제출요청
2022-02-24 11:20 - 신청
2022-04-21 16:13 - 문서재제출요청
2022-04-22 16:24 - 신청
2022-07-05 16:39 - 검토승인
2022-07-15 17:44 - 심의승인</x:v>
      </x:c>
    </x:row>
    <x:row r="2763" ht="42" customHeight="1">
      <x:c r="A2763" s="2" t="str">
        <x:v>805c542b61a869ea8aa3989d</x:v>
      </x:c>
      <x:c r="B2763" s="2" t="str">
        <x:v>감축량 인증</x:v>
      </x:c>
      <x:c r="C2763" s="2" t="str">
        <x:v>국외</x:v>
      </x:c>
      <x:c r="D2763" s="7" t="str">
        <x:v>안전한 식수 공급을 위한 정수기 보급 사업 : CPA 98(한국 지원)</x:v>
      </x:c>
      <x:c r="E2763" s="2" t="str">
        <x:v>348</x:v>
      </x:c>
      <x:c r="F2763" s="2" t="str">
        <x:v>2021-10-29</x:v>
      </x:c>
      <x:c r="G2763" s="2" t="str">
        <x:v>2021</x:v>
      </x:c>
      <x:c r="H2763" s="2" t="str">
        <x:v>10</x:v>
      </x:c>
      <x:c r="I2763" s="2" t="str">
        <x:v>심의승인</x:v>
      </x:c>
      <x:c r="J2763" s="2" t="str">
        <x:v>심의승인</x:v>
      </x:c>
      <x:c r="K2763" s="2" t="str">
        <x:f>IF(OR(J2763="심의승인",J2763="반려",J2763="반려완료",J2763="심의완료"),"종결 표시",IF(OR(J2763="기후부협의",J2763="문서재제출요청",J2763="보류",J2763="보완요청",J2763="보완완료",J2763="평가중",J2763="반려요청",J2763="평가필요",LEFT(J2763,5)="보완요청("),"미종결 표시","상태 확인 필요"))</x:f>
        <x:v>종결 표시</x:v>
      </x:c>
      <x:c r="L2763" s="2" t="str">
        <x:v>KECM</x:v>
      </x:c>
      <x:c r="M2763" s="2"/>
      <x:c r="N2763" s="8" t="n">
        <x:f>DATE(2026,10,15)-DATE(2021,10,29)</x:f>
        <x:v>1812</x:v>
      </x:c>
      <x:c r="O2763" s="2"/>
      <x:c r="P2763" s="2"/>
      <x:c r="Q2763" s="2" t="str">
        <x:v>산업전환_외부사업관리Tool_260707_이너젠 수정_LJY_261013.xlsx</x:v>
      </x:c>
      <x:c r="R2763" s="2" t="str">
        <x:v>국외인증</x:v>
      </x:c>
      <x:c r="S2763" s="8" t="n">
        <x:v>350</x:v>
      </x:c>
      <x:c r="T2763" s="2" t="str">
        <x:v>(11/2),(12/1)</x:v>
      </x:c>
      <x:c r="U2763" s="2" t="str">
        <x:v>2021 지정: (11/2),(12/1) / 2022 지정: (1/18)(5/18)</x:v>
      </x:c>
      <x:c r="V2763" s="2" t="str">
        <x:v>2022-07-15</x:v>
      </x:c>
      <x:c r="W2763" s="2" t="str"/>
      <x:c r="X2763" s="2" t="str">
        <x:v>종결 근거 보관</x:v>
      </x:c>
      <x:c r="Y2763" s="2" t="str">
        <x:v>ad210cd9ec132cfd447541c8984dc53d30aff0f4fb2dc92d254d49275cc55976</x:v>
      </x:c>
      <x:c r="Z2763" s="2" t="n">
        <x:f>SUBTOTAL(103,A2763)</x:f>
        <x:v>1</x:v>
      </x:c>
      <x:c r="AA2763" s="2" t="str">
        <x:f>IF(K2763&lt;&gt;"미종결 표시","대상 아님",IF(N2763="","신청일 확인",IF(NOT(ISNUMBER('종합 현황'!$H$5)),"관찰기준 확인",IF('종합 현황'!$H$5&lt;1,"관찰기준 확인",IF(N2763&gt;'종합 현황'!$H$5,"내부 관찰 대상","내부 관찰일 이하")))))</x:f>
        <x:v>대상 아님</x:v>
      </x:c>
      <x:c r="AB2763" s="2" t="str">
        <x:v>2021-10-29 17:18 - 신청
2021-11-24 11:15 - 보완요청
2021-11-26 12:13 - 신청
2021-12-29 10:18 - 문서재제출요청
2021-12-30 18:34 - 신청
2022-01-18 09:52 - 문서재제출요청
2022-01-18 13:18 - 신청
2022-02-23 16:13 - 문서재제출요청
2022-02-24 11:21 - 신청
2022-04-21 16:13 - 문서재제출요청
2022-04-22 16:25 - 신청
2022-07-05 16:38 - 검토승인
2022-07-15 17:45 - 심의승인</x:v>
      </x:c>
    </x:row>
    <x:row r="2764" ht="42" customHeight="1">
      <x:c r="A2764" s="2" t="str">
        <x:v>328d24eeeda8e44f97b575b7</x:v>
      </x:c>
      <x:c r="B2764" s="2" t="str">
        <x:v>감축량 인증</x:v>
      </x:c>
      <x:c r="C2764" s="2" t="str">
        <x:v>국외</x:v>
      </x:c>
      <x:c r="D2764" s="7" t="str">
        <x:v>안전한 식수 공급을 위한 정수기 보급 사업 : CPA 99(한국 지원)</x:v>
      </x:c>
      <x:c r="E2764" s="2" t="str">
        <x:v>349</x:v>
      </x:c>
      <x:c r="F2764" s="2" t="str">
        <x:v>2021-10-29</x:v>
      </x:c>
      <x:c r="G2764" s="2" t="str">
        <x:v>2021</x:v>
      </x:c>
      <x:c r="H2764" s="2" t="str">
        <x:v>10</x:v>
      </x:c>
      <x:c r="I2764" s="2" t="str">
        <x:v>심의승인</x:v>
      </x:c>
      <x:c r="J2764" s="2" t="str">
        <x:v>심의승인</x:v>
      </x:c>
      <x:c r="K2764" s="2" t="str">
        <x:f>IF(OR(J2764="심의승인",J2764="반려",J2764="반려완료",J2764="심의완료"),"종결 표시",IF(OR(J2764="기후부협의",J2764="문서재제출요청",J2764="보류",J2764="보완요청",J2764="보완완료",J2764="평가중",J2764="반려요청",J2764="평가필요",LEFT(J2764,5)="보완요청("),"미종결 표시","상태 확인 필요"))</x:f>
        <x:v>종결 표시</x:v>
      </x:c>
      <x:c r="L2764" s="2" t="str">
        <x:v>KECM</x:v>
      </x:c>
      <x:c r="M2764" s="2"/>
      <x:c r="N2764" s="8" t="n">
        <x:f>DATE(2026,10,15)-DATE(2021,10,29)</x:f>
        <x:v>1812</x:v>
      </x:c>
      <x:c r="O2764" s="2"/>
      <x:c r="P2764" s="2"/>
      <x:c r="Q2764" s="2" t="str">
        <x:v>산업전환_외부사업관리Tool_260707_이너젠 수정_LJY_261013.xlsx</x:v>
      </x:c>
      <x:c r="R2764" s="2" t="str">
        <x:v>국외인증</x:v>
      </x:c>
      <x:c r="S2764" s="8" t="n">
        <x:v>351</x:v>
      </x:c>
      <x:c r="T2764" s="2" t="str">
        <x:v>(11/2),(12/1)</x:v>
      </x:c>
      <x:c r="U2764" s="2" t="str">
        <x:v>2021 지정: (11/2),(12/1) / 2022 지정: (1/18)(5/18)</x:v>
      </x:c>
      <x:c r="V2764" s="2" t="str">
        <x:v>2022-07-15</x:v>
      </x:c>
      <x:c r="W2764" s="2" t="str"/>
      <x:c r="X2764" s="2" t="str">
        <x:v>종결 근거 보관</x:v>
      </x:c>
      <x:c r="Y2764" s="2" t="str">
        <x:v>ad210cd9ec132cfd447541c8984dc53d30aff0f4fb2dc92d254d49275cc55976</x:v>
      </x:c>
      <x:c r="Z2764" s="2" t="n">
        <x:f>SUBTOTAL(103,A2764)</x:f>
        <x:v>1</x:v>
      </x:c>
      <x:c r="AA2764" s="2" t="str">
        <x:f>IF(K2764&lt;&gt;"미종결 표시","대상 아님",IF(N2764="","신청일 확인",IF(NOT(ISNUMBER('종합 현황'!$H$5)),"관찰기준 확인",IF('종합 현황'!$H$5&lt;1,"관찰기준 확인",IF(N2764&gt;'종합 현황'!$H$5,"내부 관찰 대상","내부 관찰일 이하")))))</x:f>
        <x:v>대상 아님</x:v>
      </x:c>
      <x:c r="AB2764" s="2" t="str">
        <x:v>2021-10-29 17:18 - 신청
2021-11-24 11:16 - 보완요청
2021-11-26 12:13 - 신청
2021-12-29 10:19 - 문서재제출요청
2021-12-30 18:34 - 신청
2022-01-18 09:53 - 문서재제출요청
2022-01-18 13:18 - 신청
2022-02-23 16:13 - 문서재제출요청
2022-02-24 11:21 - 신청
2022-04-21 16:14 - 문서재제출요청
2022-04-22 16:25 - 신청
2022-07-05 16:38 - 검토승인
2022-07-15 17:45 - 심의승인</x:v>
      </x:c>
    </x:row>
    <x:row r="2765" ht="42" customHeight="1">
      <x:c r="A2765" s="2" t="str">
        <x:v>50a45e7397746f731e6da62e</x:v>
      </x:c>
      <x:c r="B2765" s="2" t="str">
        <x:v>감축량 인증</x:v>
      </x:c>
      <x:c r="C2765" s="2" t="str">
        <x:v>국외</x:v>
      </x:c>
      <x:c r="D2765" s="7" t="str">
        <x:v>안전한 식수 공급을 위한 정수기 보급 사업 : CPA 100(한국 지원)</x:v>
      </x:c>
      <x:c r="E2765" s="2" t="str">
        <x:v>350</x:v>
      </x:c>
      <x:c r="F2765" s="2" t="str">
        <x:v>2021-10-29</x:v>
      </x:c>
      <x:c r="G2765" s="2" t="str">
        <x:v>2021</x:v>
      </x:c>
      <x:c r="H2765" s="2" t="str">
        <x:v>10</x:v>
      </x:c>
      <x:c r="I2765" s="2" t="str">
        <x:v>심의승인</x:v>
      </x:c>
      <x:c r="J2765" s="2" t="str">
        <x:v>심의승인</x:v>
      </x:c>
      <x:c r="K2765" s="2" t="str">
        <x:f>IF(OR(J2765="심의승인",J2765="반려",J2765="반려완료",J2765="심의완료"),"종결 표시",IF(OR(J2765="기후부협의",J2765="문서재제출요청",J2765="보류",J2765="보완요청",J2765="보완완료",J2765="평가중",J2765="반려요청",J2765="평가필요",LEFT(J2765,5)="보완요청("),"미종결 표시","상태 확인 필요"))</x:f>
        <x:v>종결 표시</x:v>
      </x:c>
      <x:c r="L2765" s="2" t="str">
        <x:v>KECM</x:v>
      </x:c>
      <x:c r="M2765" s="2"/>
      <x:c r="N2765" s="8" t="n">
        <x:f>DATE(2026,10,15)-DATE(2021,10,29)</x:f>
        <x:v>1812</x:v>
      </x:c>
      <x:c r="O2765" s="2"/>
      <x:c r="P2765" s="2"/>
      <x:c r="Q2765" s="2" t="str">
        <x:v>산업전환_외부사업관리Tool_260707_이너젠 수정_LJY_261013.xlsx</x:v>
      </x:c>
      <x:c r="R2765" s="2" t="str">
        <x:v>국외인증</x:v>
      </x:c>
      <x:c r="S2765" s="8" t="n">
        <x:v>352</x:v>
      </x:c>
      <x:c r="T2765" s="2" t="str">
        <x:v>(11/2),(12/1)</x:v>
      </x:c>
      <x:c r="U2765" s="2" t="str">
        <x:v>2021 지정: (11/2),(12/1) / 2022 지정: (1/18)(5/18)</x:v>
      </x:c>
      <x:c r="V2765" s="2" t="str">
        <x:v>2022-07-15</x:v>
      </x:c>
      <x:c r="W2765" s="2" t="str"/>
      <x:c r="X2765" s="2" t="str">
        <x:v>종결 근거 보관</x:v>
      </x:c>
      <x:c r="Y2765" s="2" t="str">
        <x:v>ad210cd9ec132cfd447541c8984dc53d30aff0f4fb2dc92d254d49275cc55976</x:v>
      </x:c>
      <x:c r="Z2765" s="2" t="n">
        <x:f>SUBTOTAL(103,A2765)</x:f>
        <x:v>1</x:v>
      </x:c>
      <x:c r="AA2765" s="2" t="str">
        <x:f>IF(K2765&lt;&gt;"미종결 표시","대상 아님",IF(N2765="","신청일 확인",IF(NOT(ISNUMBER('종합 현황'!$H$5)),"관찰기준 확인",IF('종합 현황'!$H$5&lt;1,"관찰기준 확인",IF(N2765&gt;'종합 현황'!$H$5,"내부 관찰 대상","내부 관찰일 이하")))))</x:f>
        <x:v>대상 아님</x:v>
      </x:c>
      <x:c r="AB2765" s="2" t="str">
        <x:v>2021-10-29 17:18 -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16:37 - 검토승인
2022-07-15 17:45 - 심의승인</x:v>
      </x:c>
    </x:row>
    <x:row r="2766" ht="42" customHeight="1">
      <x:c r="A2766" s="2" t="str">
        <x:v>8b9bff455922d9077b1bf215</x:v>
      </x:c>
      <x:c r="B2766" s="2" t="str">
        <x:v>감축량 인증</x:v>
      </x:c>
      <x:c r="C2766" s="2" t="str">
        <x:v>국외</x:v>
      </x:c>
      <x:c r="D2766" s="7" t="str">
        <x:v>안전한 식수 공급을 위한 정수기 보급 사업 : CPA 101(한국 지원)</x:v>
      </x:c>
      <x:c r="E2766" s="2" t="str">
        <x:v>351</x:v>
      </x:c>
      <x:c r="F2766" s="2" t="str">
        <x:v>2021-10-29</x:v>
      </x:c>
      <x:c r="G2766" s="2" t="str">
        <x:v>2021</x:v>
      </x:c>
      <x:c r="H2766" s="2" t="str">
        <x:v>10</x:v>
      </x:c>
      <x:c r="I2766" s="2" t="str">
        <x:v>심의승인</x:v>
      </x:c>
      <x:c r="J2766" s="2" t="str">
        <x:v>심의승인</x:v>
      </x:c>
      <x:c r="K2766" s="2" t="str">
        <x:f>IF(OR(J2766="심의승인",J2766="반려",J2766="반려완료",J2766="심의완료"),"종결 표시",IF(OR(J2766="기후부협의",J2766="문서재제출요청",J2766="보류",J2766="보완요청",J2766="보완완료",J2766="평가중",J2766="반려요청",J2766="평가필요",LEFT(J2766,5)="보완요청("),"미종결 표시","상태 확인 필요"))</x:f>
        <x:v>종결 표시</x:v>
      </x:c>
      <x:c r="L2766" s="2" t="str">
        <x:v>KECM</x:v>
      </x:c>
      <x:c r="M2766" s="2"/>
      <x:c r="N2766" s="8" t="n">
        <x:f>DATE(2026,10,15)-DATE(2021,10,29)</x:f>
        <x:v>1812</x:v>
      </x:c>
      <x:c r="O2766" s="2"/>
      <x:c r="P2766" s="2"/>
      <x:c r="Q2766" s="2" t="str">
        <x:v>산업전환_외부사업관리Tool_260707_이너젠 수정_LJY_261013.xlsx</x:v>
      </x:c>
      <x:c r="R2766" s="2" t="str">
        <x:v>국외인증</x:v>
      </x:c>
      <x:c r="S2766" s="8" t="n">
        <x:v>353</x:v>
      </x:c>
      <x:c r="T2766" s="2" t="str">
        <x:v>(11/2),(12/1)</x:v>
      </x:c>
      <x:c r="U2766" s="2" t="str">
        <x:v>2021 지정: (11/2),(12/1) / 2022 지정: (1/18)(5/18)</x:v>
      </x:c>
      <x:c r="V2766" s="2" t="str">
        <x:v>2022-07-15</x:v>
      </x:c>
      <x:c r="W2766" s="2" t="str"/>
      <x:c r="X2766" s="2" t="str">
        <x:v>종결 근거 보관</x:v>
      </x:c>
      <x:c r="Y2766" s="2" t="str">
        <x:v>ad210cd9ec132cfd447541c8984dc53d30aff0f4fb2dc92d254d49275cc55976</x:v>
      </x:c>
      <x:c r="Z2766" s="2" t="n">
        <x:f>SUBTOTAL(103,A2766)</x:f>
        <x:v>1</x:v>
      </x:c>
      <x:c r="AA2766" s="2" t="str">
        <x:f>IF(K2766&lt;&gt;"미종결 표시","대상 아님",IF(N2766="","신청일 확인",IF(NOT(ISNUMBER('종합 현황'!$H$5)),"관찰기준 확인",IF('종합 현황'!$H$5&lt;1,"관찰기준 확인",IF(N2766&gt;'종합 현황'!$H$5,"내부 관찰 대상","내부 관찰일 이하")))))</x:f>
        <x:v>대상 아님</x:v>
      </x:c>
      <x:c r="AB2766" s="2" t="str">
        <x:v>2021-10-29 11:21 - 신청
2021-11-24 11:17 - 보완요청
2021-11-26 12:13 - 신청
2021-12-29 10:19 - 문서재제출요청
2021-12-30 18:34 - 신청
2022-01-18 09:53 - 문서재제출요청
2022-01-18 13:19 - 신청
2022-02-23 16:13 - 문서재제출요청
2022-02-24 11:22 - 신청
2022-04-21 16:14 - 문서재제출요청
2022-04-22 16:25 - 신청
2022-07-05 16:36 - 검토승인
2022-07-15 17:46 - 심의승인</x:v>
      </x:c>
    </x:row>
    <x:row r="2767" ht="42" customHeight="1">
      <x:c r="A2767" s="2" t="str">
        <x:v>aeb671bb236a8965bc8b5f9c</x:v>
      </x:c>
      <x:c r="B2767" s="2" t="str">
        <x:v>감축량 인증</x:v>
      </x:c>
      <x:c r="C2767" s="2" t="str">
        <x:v>국외</x:v>
      </x:c>
      <x:c r="D2767" s="7" t="str">
        <x:v>안전한 식수 공급을 위한 정수기 보급 사업 : CPA 102(한국 지원)</x:v>
      </x:c>
      <x:c r="E2767" s="2" t="str">
        <x:v>352</x:v>
      </x:c>
      <x:c r="F2767" s="2" t="str">
        <x:v>2021-10-29</x:v>
      </x:c>
      <x:c r="G2767" s="2" t="str">
        <x:v>2021</x:v>
      </x:c>
      <x:c r="H2767" s="2" t="str">
        <x:v>10</x:v>
      </x:c>
      <x:c r="I2767" s="2" t="str">
        <x:v>심의승인</x:v>
      </x:c>
      <x:c r="J2767" s="2" t="str">
        <x:v>심의승인</x:v>
      </x:c>
      <x:c r="K2767" s="2" t="str">
        <x:f>IF(OR(J2767="심의승인",J2767="반려",J2767="반려완료",J2767="심의완료"),"종결 표시",IF(OR(J2767="기후부협의",J2767="문서재제출요청",J2767="보류",J2767="보완요청",J2767="보완완료",J2767="평가중",J2767="반려요청",J2767="평가필요",LEFT(J2767,5)="보완요청("),"미종결 표시","상태 확인 필요"))</x:f>
        <x:v>종결 표시</x:v>
      </x:c>
      <x:c r="L2767" s="2" t="str">
        <x:v>KECM</x:v>
      </x:c>
      <x:c r="M2767" s="2"/>
      <x:c r="N2767" s="8" t="n">
        <x:f>DATE(2026,10,15)-DATE(2021,10,29)</x:f>
        <x:v>1812</x:v>
      </x:c>
      <x:c r="O2767" s="2"/>
      <x:c r="P2767" s="2"/>
      <x:c r="Q2767" s="2" t="str">
        <x:v>산업전환_외부사업관리Tool_260707_이너젠 수정_LJY_261013.xlsx</x:v>
      </x:c>
      <x:c r="R2767" s="2" t="str">
        <x:v>국외인증</x:v>
      </x:c>
      <x:c r="S2767" s="8" t="n">
        <x:v>354</x:v>
      </x:c>
      <x:c r="T2767" s="2" t="str">
        <x:v>(11/2),(12/1)</x:v>
      </x:c>
      <x:c r="U2767" s="2" t="str">
        <x:v>2021 지정: (11/2),(12/1) / 2022 지정: (1/18)(5/18)</x:v>
      </x:c>
      <x:c r="V2767" s="2" t="str">
        <x:v>2022-07-15</x:v>
      </x:c>
      <x:c r="W2767" s="2" t="str"/>
      <x:c r="X2767" s="2" t="str">
        <x:v>종결 근거 보관</x:v>
      </x:c>
      <x:c r="Y2767" s="2" t="str">
        <x:v>ad210cd9ec132cfd447541c8984dc53d30aff0f4fb2dc92d254d49275cc55976</x:v>
      </x:c>
      <x:c r="Z2767" s="2" t="n">
        <x:f>SUBTOTAL(103,A2767)</x:f>
        <x:v>1</x:v>
      </x:c>
      <x:c r="AA2767" s="2" t="str">
        <x:f>IF(K2767&lt;&gt;"미종결 표시","대상 아님",IF(N2767="","신청일 확인",IF(NOT(ISNUMBER('종합 현황'!$H$5)),"관찰기준 확인",IF('종합 현황'!$H$5&lt;1,"관찰기준 확인",IF(N2767&gt;'종합 현황'!$H$5,"내부 관찰 대상","내부 관찰일 이하")))))</x:f>
        <x:v>대상 아님</x:v>
      </x:c>
      <x:c r="AB2767" s="2" t="str">
        <x:v>2021-10-29 11:17 - 신청
2021-11-24 11:18 - 보완요청
2021-11-26 12:14 - 신청
2021-12-29 10:19 - 문서재제출요청
2021-12-30 18:34 - 신청
2022-01-18 09:53 - 문서재제출요청
2022-01-18 13:20 - 신청
2022-02-23 16:14 - 문서재제출요청
2022-02-24 11:23 - 신청
2022-04-21 16:15 - 문서재제출요청
2022-04-22 16:26 - 신청
2022-07-05 16:36 - 검토승인
2022-07-15 17:46 - 심의승인</x:v>
      </x:c>
    </x:row>
    <x:row r="2768" ht="42" customHeight="1">
      <x:c r="A2768" s="2" t="str">
        <x:v>d5dca53b8c42c6e1ef57e68d</x:v>
      </x:c>
      <x:c r="B2768" s="2" t="str">
        <x:v>감축량 인증</x:v>
      </x:c>
      <x:c r="C2768" s="2" t="str">
        <x:v>국외</x:v>
      </x:c>
      <x:c r="D2768" s="7" t="str">
        <x:v>아프리카 고효율 쿡스토브 보급 PoA 사업 : CPA 00007(가나)(한국 지원)</x:v>
      </x:c>
      <x:c r="E2768" s="2" t="str">
        <x:v>353</x:v>
      </x:c>
      <x:c r="F2768" s="2" t="str">
        <x:v>2021-11-01</x:v>
      </x:c>
      <x:c r="G2768" s="2" t="str">
        <x:v>2021</x:v>
      </x:c>
      <x:c r="H2768" s="2" t="str">
        <x:v>11</x:v>
      </x:c>
      <x:c r="I2768" s="2" t="str">
        <x:v>심의승인</x:v>
      </x:c>
      <x:c r="J2768" s="2" t="str">
        <x:v>심의승인</x:v>
      </x:c>
      <x:c r="K2768" s="2" t="str">
        <x:f>IF(OR(J2768="심의승인",J2768="반려",J2768="반려완료",J2768="심의완료"),"종결 표시",IF(OR(J2768="기후부협의",J2768="문서재제출요청",J2768="보류",J2768="보완요청",J2768="보완완료",J2768="평가중",J2768="반려요청",J2768="평가필요",LEFT(J2768,5)="보완요청("),"미종결 표시","상태 확인 필요"))</x:f>
        <x:v>종결 표시</x:v>
      </x:c>
      <x:c r="L2768" s="2" t="str">
        <x:v>에코시안_기샛별</x:v>
      </x:c>
      <x:c r="M2768" s="2"/>
      <x:c r="N2768" s="8" t="n">
        <x:f>DATE(2026,10,15)-DATE(2021,11,1)</x:f>
        <x:v>1809</x:v>
      </x:c>
      <x:c r="O2768" s="2"/>
      <x:c r="P2768" s="2"/>
      <x:c r="Q2768" s="2" t="str">
        <x:v>산업전환_외부사업관리Tool_260707_이너젠 수정_LJY_261013.xlsx</x:v>
      </x:c>
      <x:c r="R2768" s="2" t="str">
        <x:v>국외인증</x:v>
      </x:c>
      <x:c r="S2768" s="8" t="n">
        <x:v>355</x:v>
      </x:c>
      <x:c r="T2768" s="2" t="str">
        <x:v>(12/1)</x:v>
      </x:c>
      <x:c r="U2768" s="2" t="str">
        <x:v>2021 지정: (12/1) / 2022 지정: (1/18)</x:v>
      </x:c>
      <x:c r="V2768" s="2" t="str">
        <x:v>2022-04-22</x:v>
      </x:c>
      <x:c r="W2768" s="2" t="str"/>
      <x:c r="X2768" s="2" t="str">
        <x:v>종결 근거 보관</x:v>
      </x:c>
      <x:c r="Y2768" s="2" t="str">
        <x:v>ad210cd9ec132cfd447541c8984dc53d30aff0f4fb2dc92d254d49275cc55976</x:v>
      </x:c>
      <x:c r="Z2768" s="2" t="n">
        <x:f>SUBTOTAL(103,A2768)</x:f>
        <x:v>1</x:v>
      </x:c>
      <x:c r="AA2768" s="2" t="str">
        <x:f>IF(K2768&lt;&gt;"미종결 표시","대상 아님",IF(N2768="","신청일 확인",IF(NOT(ISNUMBER('종합 현황'!$H$5)),"관찰기준 확인",IF('종합 현황'!$H$5&lt;1,"관찰기준 확인",IF(N2768&gt;'종합 현황'!$H$5,"내부 관찰 대상","내부 관찰일 이하")))))</x:f>
        <x:v>대상 아님</x:v>
      </x:c>
      <x:c r="AB2768" s="2" t="str">
        <x:v>2021-11-01 18:02 - 신청
2021-12-10 10:18 - 문서재제출요청
2021-12-21 17:26 - 신청
2022-01-06 13:37 - 문서재제출요청
2022-01-06 14:32 - 신청
2022-02-18 18:05 - 문서재제출요청
2022-02-22 11:34 - 신청
2022-04-14 12:21 - 검토승인
2022-04-22 15:37 - 심의승인</x:v>
      </x:c>
    </x:row>
    <x:row r="2769" ht="42" customHeight="1">
      <x:c r="A2769" s="2" t="str">
        <x:v>fa887d1561fd1445f01091fe</x:v>
      </x:c>
      <x:c r="B2769" s="2" t="str">
        <x:v>감축량 인증</x:v>
      </x:c>
      <x:c r="C2769" s="2" t="str">
        <x:v>국외</x:v>
      </x:c>
      <x:c r="D2769" s="7" t="str">
        <x:v>아프리카 고효율 쿡스토브 보급 PoA 사업 : CPA 00008(가나)(한국 지원)</x:v>
      </x:c>
      <x:c r="E2769" s="2" t="str">
        <x:v>354</x:v>
      </x:c>
      <x:c r="F2769" s="2" t="str">
        <x:v>2021-11-01</x:v>
      </x:c>
      <x:c r="G2769" s="2" t="str">
        <x:v>2021</x:v>
      </x:c>
      <x:c r="H2769" s="2" t="str">
        <x:v>11</x:v>
      </x:c>
      <x:c r="I2769" s="2" t="str">
        <x:v>심의승인</x:v>
      </x:c>
      <x:c r="J2769" s="2" t="str">
        <x:v>심의승인</x:v>
      </x:c>
      <x:c r="K2769" s="2" t="str">
        <x:f>IF(OR(J2769="심의승인",J2769="반려",J2769="반려완료",J2769="심의완료"),"종결 표시",IF(OR(J2769="기후부협의",J2769="문서재제출요청",J2769="보류",J2769="보완요청",J2769="보완완료",J2769="평가중",J2769="반려요청",J2769="평가필요",LEFT(J2769,5)="보완요청("),"미종결 표시","상태 확인 필요"))</x:f>
        <x:v>종결 표시</x:v>
      </x:c>
      <x:c r="L2769" s="2" t="str">
        <x:v>에코시안_기샛별</x:v>
      </x:c>
      <x:c r="M2769" s="2"/>
      <x:c r="N2769" s="8" t="n">
        <x:f>DATE(2026,10,15)-DATE(2021,11,1)</x:f>
        <x:v>1809</x:v>
      </x:c>
      <x:c r="O2769" s="2"/>
      <x:c r="P2769" s="2"/>
      <x:c r="Q2769" s="2" t="str">
        <x:v>산업전환_외부사업관리Tool_260707_이너젠 수정_LJY_261013.xlsx</x:v>
      </x:c>
      <x:c r="R2769" s="2" t="str">
        <x:v>국외인증</x:v>
      </x:c>
      <x:c r="S2769" s="8" t="n">
        <x:v>356</x:v>
      </x:c>
      <x:c r="T2769" s="2" t="str">
        <x:v>(12/1)</x:v>
      </x:c>
      <x:c r="U2769" s="2" t="str">
        <x:v>2021 지정: (12/1) / 2022 지정: (1/18)</x:v>
      </x:c>
      <x:c r="V2769" s="2" t="str">
        <x:v>2022-04-22</x:v>
      </x:c>
      <x:c r="W2769" s="2" t="str"/>
      <x:c r="X2769" s="2" t="str">
        <x:v>종결 근거 보관</x:v>
      </x:c>
      <x:c r="Y2769" s="2" t="str">
        <x:v>ad210cd9ec132cfd447541c8984dc53d30aff0f4fb2dc92d254d49275cc55976</x:v>
      </x:c>
      <x:c r="Z2769" s="2" t="n">
        <x:f>SUBTOTAL(103,A2769)</x:f>
        <x:v>1</x:v>
      </x:c>
      <x:c r="AA2769" s="2" t="str">
        <x:f>IF(K2769&lt;&gt;"미종결 표시","대상 아님",IF(N2769="","신청일 확인",IF(NOT(ISNUMBER('종합 현황'!$H$5)),"관찰기준 확인",IF('종합 현황'!$H$5&lt;1,"관찰기준 확인",IF(N2769&gt;'종합 현황'!$H$5,"내부 관찰 대상","내부 관찰일 이하")))))</x:f>
        <x:v>대상 아님</x:v>
      </x:c>
      <x:c r="AB2769" s="2" t="str">
        <x:v>2021-11-01 18:02 - 신청
2021-12-10 10:19 - 문서재제출요청
2021-12-21 17:29 - 신청
2022-01-06 13:37 - 문서재제출요청
2022-01-06 14:33 - 신청
2022-02-18 18:05 - 문서재제출요청
2022-02-22 11:35 - 신청
2022-04-14 12:21 - 검토승인
2022-04-22 15:38 - 심의승인</x:v>
      </x:c>
    </x:row>
    <x:row r="2770" ht="42" customHeight="1">
      <x:c r="A2770" s="2" t="str">
        <x:v>f9a83b05757fa1bc5a28486b</x:v>
      </x:c>
      <x:c r="B2770" s="2" t="str">
        <x:v>감축량 인증</x:v>
      </x:c>
      <x:c r="C2770" s="2" t="str">
        <x:v>국외</x:v>
      </x:c>
      <x:c r="D2770" s="7" t="str">
        <x:v>아프리카 고효율 쿡스토브 보급 PoA 사업 : CPA 00009(가나)(한국 지원)</x:v>
      </x:c>
      <x:c r="E2770" s="2" t="str">
        <x:v>355</x:v>
      </x:c>
      <x:c r="F2770" s="2" t="str">
        <x:v>2021-11-01</x:v>
      </x:c>
      <x:c r="G2770" s="2" t="str">
        <x:v>2021</x:v>
      </x:c>
      <x:c r="H2770" s="2" t="str">
        <x:v>11</x:v>
      </x:c>
      <x:c r="I2770" s="2" t="str">
        <x:v>심의승인</x:v>
      </x:c>
      <x:c r="J2770" s="2" t="str">
        <x:v>심의승인</x:v>
      </x:c>
      <x:c r="K2770" s="2" t="str">
        <x:f>IF(OR(J2770="심의승인",J2770="반려",J2770="반려완료",J2770="심의완료"),"종결 표시",IF(OR(J2770="기후부협의",J2770="문서재제출요청",J2770="보류",J2770="보완요청",J2770="보완완료",J2770="평가중",J2770="반려요청",J2770="평가필요",LEFT(J2770,5)="보완요청("),"미종결 표시","상태 확인 필요"))</x:f>
        <x:v>종결 표시</x:v>
      </x:c>
      <x:c r="L2770" s="2" t="str">
        <x:v>에코시안_기샛별</x:v>
      </x:c>
      <x:c r="M2770" s="2"/>
      <x:c r="N2770" s="8" t="n">
        <x:f>DATE(2026,10,15)-DATE(2021,11,1)</x:f>
        <x:v>1809</x:v>
      </x:c>
      <x:c r="O2770" s="2"/>
      <x:c r="P2770" s="2"/>
      <x:c r="Q2770" s="2" t="str">
        <x:v>산업전환_외부사업관리Tool_260707_이너젠 수정_LJY_261013.xlsx</x:v>
      </x:c>
      <x:c r="R2770" s="2" t="str">
        <x:v>국외인증</x:v>
      </x:c>
      <x:c r="S2770" s="8" t="n">
        <x:v>357</x:v>
      </x:c>
      <x:c r="T2770" s="2" t="str">
        <x:v>(12/1)</x:v>
      </x:c>
      <x:c r="U2770" s="2" t="str">
        <x:v>2021 지정: (12/1) / 2022 지정: (1/18)</x:v>
      </x:c>
      <x:c r="V2770" s="2" t="str">
        <x:v>2022-04-22</x:v>
      </x:c>
      <x:c r="W2770" s="2" t="str"/>
      <x:c r="X2770" s="2" t="str">
        <x:v>종결 근거 보관</x:v>
      </x:c>
      <x:c r="Y2770" s="2" t="str">
        <x:v>ad210cd9ec132cfd447541c8984dc53d30aff0f4fb2dc92d254d49275cc55976</x:v>
      </x:c>
      <x:c r="Z2770" s="2" t="n">
        <x:f>SUBTOTAL(103,A2770)</x:f>
        <x:v>1</x:v>
      </x:c>
      <x:c r="AA2770" s="2" t="str">
        <x:f>IF(K2770&lt;&gt;"미종결 표시","대상 아님",IF(N2770="","신청일 확인",IF(NOT(ISNUMBER('종합 현황'!$H$5)),"관찰기준 확인",IF('종합 현황'!$H$5&lt;1,"관찰기준 확인",IF(N2770&gt;'종합 현황'!$H$5,"내부 관찰 대상","내부 관찰일 이하")))))</x:f>
        <x:v>대상 아님</x:v>
      </x:c>
      <x:c r="AB2770" s="2" t="str">
        <x:v>2021-11-01 18:03 - 신청
2021-12-10 10:19 - 문서재제출요청
2021-12-21 17:29 - 신청
2022-01-06 13:38 - 문서재제출요청
2022-01-06 14:33 - 신청
2022-02-18 18:05 - 문서재제출요청
2022-02-22 11:35 - 신청
2022-04-14 12:22 - 검토승인
2022-04-22 15:40 - 심의승인</x:v>
      </x:c>
    </x:row>
    <x:row r="2771" ht="42" customHeight="1">
      <x:c r="A2771" s="2" t="str">
        <x:v>4df6a22c678e3e17b02ecc01</x:v>
      </x:c>
      <x:c r="B2771" s="2" t="str">
        <x:v>감축량 인증</x:v>
      </x:c>
      <x:c r="C2771" s="2" t="str">
        <x:v>국외</x:v>
      </x:c>
      <x:c r="D2771" s="7" t="str">
        <x:v>아프리카 고효율 쿡스토브 보급 PoA 사업 : CPA 00010(나이지리아)(한국 지원)</x:v>
      </x:c>
      <x:c r="E2771" s="2" t="str">
        <x:v>356</x:v>
      </x:c>
      <x:c r="F2771" s="2" t="str">
        <x:v>2021-11-01</x:v>
      </x:c>
      <x:c r="G2771" s="2" t="str">
        <x:v>2021</x:v>
      </x:c>
      <x:c r="H2771" s="2" t="str">
        <x:v>11</x:v>
      </x:c>
      <x:c r="I2771" s="2" t="str">
        <x:v>심의승인</x:v>
      </x:c>
      <x:c r="J2771" s="2" t="str">
        <x:v>심의승인</x:v>
      </x:c>
      <x:c r="K2771" s="2" t="str">
        <x:f>IF(OR(J2771="심의승인",J2771="반려",J2771="반려완료",J2771="심의완료"),"종결 표시",IF(OR(J2771="기후부협의",J2771="문서재제출요청",J2771="보류",J2771="보완요청",J2771="보완완료",J2771="평가중",J2771="반려요청",J2771="평가필요",LEFT(J2771,5)="보완요청("),"미종결 표시","상태 확인 필요"))</x:f>
        <x:v>종결 표시</x:v>
      </x:c>
      <x:c r="L2771" s="2" t="str">
        <x:v>KECM</x:v>
      </x:c>
      <x:c r="M2771" s="2"/>
      <x:c r="N2771" s="8" t="n">
        <x:f>DATE(2026,10,15)-DATE(2021,11,1)</x:f>
        <x:v>1809</x:v>
      </x:c>
      <x:c r="O2771" s="2"/>
      <x:c r="P2771" s="2"/>
      <x:c r="Q2771" s="2" t="str">
        <x:v>산업전환_외부사업관리Tool_260707_이너젠 수정_LJY_261013.xlsx</x:v>
      </x:c>
      <x:c r="R2771" s="2" t="str">
        <x:v>국외인증</x:v>
      </x:c>
      <x:c r="S2771" s="8" t="n">
        <x:v>358</x:v>
      </x:c>
      <x:c r="T2771" s="2" t="str">
        <x:v>(12/1)</x:v>
      </x:c>
      <x:c r="U2771" s="2" t="str">
        <x:v>2021 지정: (12/1) / 2022 지정: (1/18)</x:v>
      </x:c>
      <x:c r="V2771" s="2" t="str">
        <x:v>2022-04-21</x:v>
      </x:c>
      <x:c r="W2771" s="2" t="str"/>
      <x:c r="X2771" s="2" t="str">
        <x:v>종결 근거 보관</x:v>
      </x:c>
      <x:c r="Y2771" s="2" t="str">
        <x:v>ad210cd9ec132cfd447541c8984dc53d30aff0f4fb2dc92d254d49275cc55976</x:v>
      </x:c>
      <x:c r="Z2771" s="2" t="n">
        <x:f>SUBTOTAL(103,A2771)</x:f>
        <x:v>1</x:v>
      </x:c>
      <x:c r="AA2771" s="2" t="str">
        <x:f>IF(K2771&lt;&gt;"미종결 표시","대상 아님",IF(N2771="","신청일 확인",IF(NOT(ISNUMBER('종합 현황'!$H$5)),"관찰기준 확인",IF('종합 현황'!$H$5&lt;1,"관찰기준 확인",IF(N2771&gt;'종합 현황'!$H$5,"내부 관찰 대상","내부 관찰일 이하")))))</x:f>
        <x:v>대상 아님</x:v>
      </x:c>
      <x:c r="AB2771" s="2" t="str">
        <x:v>2021-11-01 18:03 - 신청
2021-12-06 13:50 - 보완요청
2021-12-21 17:31 - 신청
2022-01-06 14:20 - 문서재제출요청
2022-01-06 17:15 - 신청
2022-02-18 18:11 - 문서재제출요청
2022-02-22 11:35 - 신청
2022-04-14 13:04 - 검토승인
2022-04-21 17:18 - 심의승인</x:v>
      </x:c>
    </x:row>
    <x:row r="2772" ht="42" customHeight="1">
      <x:c r="A2772" s="2" t="str">
        <x:v>89a28894bd3f72ebf51344c6</x:v>
      </x:c>
      <x:c r="B2772" s="2" t="str">
        <x:v>감축량 인증</x:v>
      </x:c>
      <x:c r="C2772" s="2" t="str">
        <x:v>국외</x:v>
      </x:c>
      <x:c r="D2772" s="7" t="str">
        <x:v>아프리카 고효율 쿡스토브 보급 PoA 사업 : CPA 00011(나이지리아)(한국 지원)</x:v>
      </x:c>
      <x:c r="E2772" s="2" t="str">
        <x:v>357</x:v>
      </x:c>
      <x:c r="F2772" s="2" t="str">
        <x:v>2021-11-01</x:v>
      </x:c>
      <x:c r="G2772" s="2" t="str">
        <x:v>2021</x:v>
      </x:c>
      <x:c r="H2772" s="2" t="str">
        <x:v>11</x:v>
      </x:c>
      <x:c r="I2772" s="2" t="str">
        <x:v>심의승인</x:v>
      </x:c>
      <x:c r="J2772" s="2" t="str">
        <x:v>심의승인</x:v>
      </x:c>
      <x:c r="K2772" s="2" t="str">
        <x:f>IF(OR(J2772="심의승인",J2772="반려",J2772="반려완료",J2772="심의완료"),"종결 표시",IF(OR(J2772="기후부협의",J2772="문서재제출요청",J2772="보류",J2772="보완요청",J2772="보완완료",J2772="평가중",J2772="반려요청",J2772="평가필요",LEFT(J2772,5)="보완요청("),"미종결 표시","상태 확인 필요"))</x:f>
        <x:v>종결 표시</x:v>
      </x:c>
      <x:c r="L2772" s="2" t="str">
        <x:v>KECM</x:v>
      </x:c>
      <x:c r="M2772" s="2"/>
      <x:c r="N2772" s="8" t="n">
        <x:f>DATE(2026,10,15)-DATE(2021,11,1)</x:f>
        <x:v>1809</x:v>
      </x:c>
      <x:c r="O2772" s="2"/>
      <x:c r="P2772" s="2"/>
      <x:c r="Q2772" s="2" t="str">
        <x:v>산업전환_외부사업관리Tool_260707_이너젠 수정_LJY_261013.xlsx</x:v>
      </x:c>
      <x:c r="R2772" s="2" t="str">
        <x:v>국외인증</x:v>
      </x:c>
      <x:c r="S2772" s="8" t="n">
        <x:v>359</x:v>
      </x:c>
      <x:c r="T2772" s="2" t="str">
        <x:v>(12/1)</x:v>
      </x:c>
      <x:c r="U2772" s="2" t="str">
        <x:v>2021 지정: (12/1) / 2022 지정: (1/18)</x:v>
      </x:c>
      <x:c r="V2772" s="2" t="str">
        <x:v>2022-04-21</x:v>
      </x:c>
      <x:c r="W2772" s="2" t="str"/>
      <x:c r="X2772" s="2" t="str">
        <x:v>종결 근거 보관</x:v>
      </x:c>
      <x:c r="Y2772" s="2" t="str">
        <x:v>ad210cd9ec132cfd447541c8984dc53d30aff0f4fb2dc92d254d49275cc55976</x:v>
      </x:c>
      <x:c r="Z2772" s="2" t="n">
        <x:f>SUBTOTAL(103,A2772)</x:f>
        <x:v>1</x:v>
      </x:c>
      <x:c r="AA2772" s="2" t="str">
        <x:f>IF(K2772&lt;&gt;"미종결 표시","대상 아님",IF(N2772="","신청일 확인",IF(NOT(ISNUMBER('종합 현황'!$H$5)),"관찰기준 확인",IF('종합 현황'!$H$5&lt;1,"관찰기준 확인",IF(N2772&gt;'종합 현황'!$H$5,"내부 관찰 대상","내부 관찰일 이하")))))</x:f>
        <x:v>대상 아님</x:v>
      </x:c>
      <x:c r="AB2772" s="2" t="str">
        <x:v>2021-11-01 18:03 - 신청
2021-12-06 13:50 - 보완요청
2021-12-21 17:32 - 신청
2022-01-06 14:20 - 문서재제출요청
2022-01-06 17:16 - 신청
2022-02-18 18:12 - 문서재제출요청
2022-02-22 11:35 - 신청
2022-04-14 13:04 - 검토승인
2022-04-21 17:20 - 심의승인</x:v>
      </x:c>
    </x:row>
    <x:row r="2773" ht="42" customHeight="1">
      <x:c r="A2773" s="2" t="str">
        <x:v>77ca57793c3f0b1abb408a90</x:v>
      </x:c>
      <x:c r="B2773" s="2" t="str">
        <x:v>감축량 인증</x:v>
      </x:c>
      <x:c r="C2773" s="2" t="str">
        <x:v>국외</x:v>
      </x:c>
      <x:c r="D2773" s="7" t="str">
        <x:v>아프리카 고효율 쿡스토브 보급 PoA 사업 : CPA 00012(나이지리아)(한국 지원)</x:v>
      </x:c>
      <x:c r="E2773" s="2" t="str">
        <x:v>358</x:v>
      </x:c>
      <x:c r="F2773" s="2" t="str">
        <x:v>2021-11-01</x:v>
      </x:c>
      <x:c r="G2773" s="2" t="str">
        <x:v>2021</x:v>
      </x:c>
      <x:c r="H2773" s="2" t="str">
        <x:v>11</x:v>
      </x:c>
      <x:c r="I2773" s="2" t="str">
        <x:v>심의승인</x:v>
      </x:c>
      <x:c r="J2773" s="2" t="str">
        <x:v>심의승인</x:v>
      </x:c>
      <x:c r="K2773" s="2" t="str">
        <x:f>IF(OR(J2773="심의승인",J2773="반려",J2773="반려완료",J2773="심의완료"),"종결 표시",IF(OR(J2773="기후부협의",J2773="문서재제출요청",J2773="보류",J2773="보완요청",J2773="보완완료",J2773="평가중",J2773="반려요청",J2773="평가필요",LEFT(J2773,5)="보완요청("),"미종결 표시","상태 확인 필요"))</x:f>
        <x:v>종결 표시</x:v>
      </x:c>
      <x:c r="L2773" s="2" t="str">
        <x:v>KECM</x:v>
      </x:c>
      <x:c r="M2773" s="2"/>
      <x:c r="N2773" s="8" t="n">
        <x:f>DATE(2026,10,15)-DATE(2021,11,1)</x:f>
        <x:v>1809</x:v>
      </x:c>
      <x:c r="O2773" s="2"/>
      <x:c r="P2773" s="2"/>
      <x:c r="Q2773" s="2" t="str">
        <x:v>산업전환_외부사업관리Tool_260707_이너젠 수정_LJY_261013.xlsx</x:v>
      </x:c>
      <x:c r="R2773" s="2" t="str">
        <x:v>국외인증</x:v>
      </x:c>
      <x:c r="S2773" s="8" t="n">
        <x:v>360</x:v>
      </x:c>
      <x:c r="T2773" s="2" t="str">
        <x:v>(12/1)</x:v>
      </x:c>
      <x:c r="U2773" s="2" t="str">
        <x:v>2021 지정: (12/1) / 2022 지정: (1/18)</x:v>
      </x:c>
      <x:c r="V2773" s="2" t="str">
        <x:v>2022-04-21</x:v>
      </x:c>
      <x:c r="W2773" s="2" t="str"/>
      <x:c r="X2773" s="2" t="str">
        <x:v>종결 근거 보관</x:v>
      </x:c>
      <x:c r="Y2773" s="2" t="str">
        <x:v>ad210cd9ec132cfd447541c8984dc53d30aff0f4fb2dc92d254d49275cc55976</x:v>
      </x:c>
      <x:c r="Z2773" s="2" t="n">
        <x:f>SUBTOTAL(103,A2773)</x:f>
        <x:v>1</x:v>
      </x:c>
      <x:c r="AA2773" s="2" t="str">
        <x:f>IF(K2773&lt;&gt;"미종결 표시","대상 아님",IF(N2773="","신청일 확인",IF(NOT(ISNUMBER('종합 현황'!$H$5)),"관찰기준 확인",IF('종합 현황'!$H$5&lt;1,"관찰기준 확인",IF(N2773&gt;'종합 현황'!$H$5,"내부 관찰 대상","내부 관찰일 이하")))))</x:f>
        <x:v>대상 아님</x:v>
      </x:c>
      <x:c r="AB2773" s="2" t="str">
        <x:v>2021-11-01 18:04 - 신청
2021-12-06 13:50 - 보완요청
2021-12-21 17:33 - 신청
2022-01-06 14:20 - 문서재제출요청
2022-01-06 17:16 - 신청
2022-02-18 18:12 - 문서재제출요청
2022-02-22 11:35 - 신청
2022-04-14 13:05 - 검토승인
2022-04-21 17:21 - 심의승인</x:v>
      </x:c>
    </x:row>
    <x:row r="2774" ht="42" customHeight="1">
      <x:c r="A2774" s="2" t="str">
        <x:v>840cdad588762fe2863e4e1c</x:v>
      </x:c>
      <x:c r="B2774" s="2" t="str">
        <x:v>감축량 인증</x:v>
      </x:c>
      <x:c r="C2774" s="2" t="str">
        <x:v>국외</x:v>
      </x:c>
      <x:c r="D2774" s="7" t="str">
        <x:v>아프리카 고효율 쿡스토브 보급 PoA 사업 : CPA0008(케냐)</x:v>
      </x:c>
      <x:c r="E2774" s="2" t="str">
        <x:v>359</x:v>
      </x:c>
      <x:c r="F2774" s="2" t="str">
        <x:v>2021-11-01</x:v>
      </x:c>
      <x:c r="G2774" s="2" t="str">
        <x:v>2021</x:v>
      </x:c>
      <x:c r="H2774" s="2" t="str">
        <x:v>11</x:v>
      </x:c>
      <x:c r="I2774" s="2" t="str">
        <x:v>심의승인</x:v>
      </x:c>
      <x:c r="J2774" s="2" t="str">
        <x:v>심의승인</x:v>
      </x:c>
      <x:c r="K2774" s="2" t="str">
        <x:f>IF(OR(J2774="심의승인",J2774="반려",J2774="반려완료",J2774="심의완료"),"종결 표시",IF(OR(J2774="기후부협의",J2774="문서재제출요청",J2774="보류",J2774="보완요청",J2774="보완완료",J2774="평가중",J2774="반려요청",J2774="평가필요",LEFT(J2774,5)="보완요청("),"미종결 표시","상태 확인 필요"))</x:f>
        <x:v>종결 표시</x:v>
      </x:c>
      <x:c r="L2774" s="2" t="str">
        <x:v>KECM</x:v>
      </x:c>
      <x:c r="M2774" s="2"/>
      <x:c r="N2774" s="8" t="n">
        <x:f>DATE(2026,10,15)-DATE(2021,11,1)</x:f>
        <x:v>1809</x:v>
      </x:c>
      <x:c r="O2774" s="2"/>
      <x:c r="P2774" s="2"/>
      <x:c r="Q2774" s="2" t="str">
        <x:v>산업전환_외부사업관리Tool_260707_이너젠 수정_LJY_261013.xlsx</x:v>
      </x:c>
      <x:c r="R2774" s="2" t="str">
        <x:v>국외인증</x:v>
      </x:c>
      <x:c r="S2774" s="8" t="n">
        <x:v>361</x:v>
      </x:c>
      <x:c r="T2774" s="2" t="str">
        <x:v>(12/1)</x:v>
      </x:c>
      <x:c r="U2774" s="2" t="str">
        <x:v>2021 지정: (12/1) / 2022 지정: (1/18)</x:v>
      </x:c>
      <x:c r="V2774" s="2" t="str">
        <x:v>2022-04-21</x:v>
      </x:c>
      <x:c r="W2774" s="2" t="str"/>
      <x:c r="X2774" s="2" t="str">
        <x:v>종결 근거 보관</x:v>
      </x:c>
      <x:c r="Y2774" s="2" t="str">
        <x:v>ad210cd9ec132cfd447541c8984dc53d30aff0f4fb2dc92d254d49275cc55976</x:v>
      </x:c>
      <x:c r="Z2774" s="2" t="n">
        <x:f>SUBTOTAL(103,A2774)</x:f>
        <x:v>1</x:v>
      </x:c>
      <x:c r="AA2774" s="2" t="str">
        <x:f>IF(K2774&lt;&gt;"미종결 표시","대상 아님",IF(N2774="","신청일 확인",IF(NOT(ISNUMBER('종합 현황'!$H$5)),"관찰기준 확인",IF('종합 현황'!$H$5&lt;1,"관찰기준 확인",IF(N2774&gt;'종합 현황'!$H$5,"내부 관찰 대상","내부 관찰일 이하")))))</x:f>
        <x:v>대상 아님</x:v>
      </x:c>
      <x:c r="AB2774" s="2" t="str">
        <x:v>2021-11-01 18:04 - 신청
2021-12-06 13:56 - 보완요청
2021-12-21 17:37 - 신청
2022-01-06 16:59 - 문서재제출요청
2022-01-06 17:17 - 신청
2022-02-18 18:08 - 문서재제출요청
2022-02-22 11:35 - 신청
2022-04-14 12:58 - 검토승인
2022-04-21 17:02 - 심의승인</x:v>
      </x:c>
    </x:row>
    <x:row r="2775" ht="42" customHeight="1">
      <x:c r="A2775" s="2" t="str">
        <x:v>f7b95649c6ce8347beee4e4c</x:v>
      </x:c>
      <x:c r="B2775" s="2" t="str">
        <x:v>감축량 인증</x:v>
      </x:c>
      <x:c r="C2775" s="2" t="str">
        <x:v>국외</x:v>
      </x:c>
      <x:c r="D2775" s="7" t="str">
        <x:v>아프리카 고효율 쿡스토브 보급 PoA 사업 : CPA0009(케냐)</x:v>
      </x:c>
      <x:c r="E2775" s="2" t="str">
        <x:v>360</x:v>
      </x:c>
      <x:c r="F2775" s="2" t="str">
        <x:v>2021-11-01</x:v>
      </x:c>
      <x:c r="G2775" s="2" t="str">
        <x:v>2021</x:v>
      </x:c>
      <x:c r="H2775" s="2" t="str">
        <x:v>11</x:v>
      </x:c>
      <x:c r="I2775" s="2" t="str">
        <x:v>심의승인</x:v>
      </x:c>
      <x:c r="J2775" s="2" t="str">
        <x:v>심의승인</x:v>
      </x:c>
      <x:c r="K2775" s="2" t="str">
        <x:f>IF(OR(J2775="심의승인",J2775="반려",J2775="반려완료",J2775="심의완료"),"종결 표시",IF(OR(J2775="기후부협의",J2775="문서재제출요청",J2775="보류",J2775="보완요청",J2775="보완완료",J2775="평가중",J2775="반려요청",J2775="평가필요",LEFT(J2775,5)="보완요청("),"미종결 표시","상태 확인 필요"))</x:f>
        <x:v>종결 표시</x:v>
      </x:c>
      <x:c r="L2775" s="2" t="str">
        <x:v>KECM</x:v>
      </x:c>
      <x:c r="M2775" s="2"/>
      <x:c r="N2775" s="8" t="n">
        <x:f>DATE(2026,10,15)-DATE(2021,11,1)</x:f>
        <x:v>1809</x:v>
      </x:c>
      <x:c r="O2775" s="2"/>
      <x:c r="P2775" s="2"/>
      <x:c r="Q2775" s="2" t="str">
        <x:v>산업전환_외부사업관리Tool_260707_이너젠 수정_LJY_261013.xlsx</x:v>
      </x:c>
      <x:c r="R2775" s="2" t="str">
        <x:v>국외인증</x:v>
      </x:c>
      <x:c r="S2775" s="8" t="n">
        <x:v>362</x:v>
      </x:c>
      <x:c r="T2775" s="2" t="str">
        <x:v>(12/1)</x:v>
      </x:c>
      <x:c r="U2775" s="2" t="str">
        <x:v>2021 지정: (12/1) / 2022 지정: (1/18)</x:v>
      </x:c>
      <x:c r="V2775" s="2" t="str">
        <x:v>2022-04-21</x:v>
      </x:c>
      <x:c r="W2775" s="2" t="str"/>
      <x:c r="X2775" s="2" t="str">
        <x:v>종결 근거 보관</x:v>
      </x:c>
      <x:c r="Y2775" s="2" t="str">
        <x:v>ad210cd9ec132cfd447541c8984dc53d30aff0f4fb2dc92d254d49275cc55976</x:v>
      </x:c>
      <x:c r="Z2775" s="2" t="n">
        <x:f>SUBTOTAL(103,A2775)</x:f>
        <x:v>1</x:v>
      </x:c>
      <x:c r="AA2775" s="2" t="str">
        <x:f>IF(K2775&lt;&gt;"미종결 표시","대상 아님",IF(N2775="","신청일 확인",IF(NOT(ISNUMBER('종합 현황'!$H$5)),"관찰기준 확인",IF('종합 현황'!$H$5&lt;1,"관찰기준 확인",IF(N2775&gt;'종합 현황'!$H$5,"내부 관찰 대상","내부 관찰일 이하")))))</x:f>
        <x:v>대상 아님</x:v>
      </x:c>
      <x:c r="AB2775" s="2" t="str">
        <x:v>2021-11-01 18:04 - 신청
2021-12-06 13:56 - 보완요청
2021-12-21 17:38 - 신청
2022-01-06 17:00 - 문서재제출요청
2022-01-06 17:19 - 신청
2022-02-18 18:09 - 문서재제출요청
2022-02-22 11:36 - 신청
2022-04-14 12:59 - 검토승인
2022-04-21 17:04 - 심의승인</x:v>
      </x:c>
    </x:row>
    <x:row r="2776" ht="42" customHeight="1">
      <x:c r="A2776" s="2" t="str">
        <x:v>84b851abd14a9d2f23c85b24</x:v>
      </x:c>
      <x:c r="B2776" s="2" t="str">
        <x:v>감축량 인증</x:v>
      </x:c>
      <x:c r="C2776" s="2" t="str">
        <x:v>국외</x:v>
      </x:c>
      <x:c r="D2776" s="7" t="str">
        <x:v>아프리카 고효율 쿡스토브 보급 PoA 사업 : CPA0010(케냐)</x:v>
      </x:c>
      <x:c r="E2776" s="2" t="str">
        <x:v>361</x:v>
      </x:c>
      <x:c r="F2776" s="2" t="str">
        <x:v>2021-11-01</x:v>
      </x:c>
      <x:c r="G2776" s="2" t="str">
        <x:v>2021</x:v>
      </x:c>
      <x:c r="H2776" s="2" t="str">
        <x:v>11</x:v>
      </x:c>
      <x:c r="I2776" s="2" t="str">
        <x:v>심의승인</x:v>
      </x:c>
      <x:c r="J2776" s="2" t="str">
        <x:v>심의승인</x:v>
      </x:c>
      <x:c r="K2776" s="2" t="str">
        <x:f>IF(OR(J2776="심의승인",J2776="반려",J2776="반려완료",J2776="심의완료"),"종결 표시",IF(OR(J2776="기후부협의",J2776="문서재제출요청",J2776="보류",J2776="보완요청",J2776="보완완료",J2776="평가중",J2776="반려요청",J2776="평가필요",LEFT(J2776,5)="보완요청("),"미종결 표시","상태 확인 필요"))</x:f>
        <x:v>종결 표시</x:v>
      </x:c>
      <x:c r="L2776" s="2" t="str">
        <x:v>KECM</x:v>
      </x:c>
      <x:c r="M2776" s="2"/>
      <x:c r="N2776" s="8" t="n">
        <x:f>DATE(2026,10,15)-DATE(2021,11,1)</x:f>
        <x:v>1809</x:v>
      </x:c>
      <x:c r="O2776" s="2"/>
      <x:c r="P2776" s="2"/>
      <x:c r="Q2776" s="2" t="str">
        <x:v>산업전환_외부사업관리Tool_260707_이너젠 수정_LJY_261013.xlsx</x:v>
      </x:c>
      <x:c r="R2776" s="2" t="str">
        <x:v>국외인증</x:v>
      </x:c>
      <x:c r="S2776" s="8" t="n">
        <x:v>363</x:v>
      </x:c>
      <x:c r="T2776" s="2" t="str">
        <x:v>(12/1)</x:v>
      </x:c>
      <x:c r="U2776" s="2" t="str">
        <x:v>2021 지정: (12/1) / 2022 지정: (1/18)</x:v>
      </x:c>
      <x:c r="V2776" s="2" t="str">
        <x:v>2022-04-21</x:v>
      </x:c>
      <x:c r="W2776" s="2" t="str"/>
      <x:c r="X2776" s="2" t="str">
        <x:v>종결 근거 보관</x:v>
      </x:c>
      <x:c r="Y2776" s="2" t="str">
        <x:v>ad210cd9ec132cfd447541c8984dc53d30aff0f4fb2dc92d254d49275cc55976</x:v>
      </x:c>
      <x:c r="Z2776" s="2" t="n">
        <x:f>SUBTOTAL(103,A2776)</x:f>
        <x:v>1</x:v>
      </x:c>
      <x:c r="AA2776" s="2" t="str">
        <x:f>IF(K2776&lt;&gt;"미종결 표시","대상 아님",IF(N2776="","신청일 확인",IF(NOT(ISNUMBER('종합 현황'!$H$5)),"관찰기준 확인",IF('종합 현황'!$H$5&lt;1,"관찰기준 확인",IF(N2776&gt;'종합 현황'!$H$5,"내부 관찰 대상","내부 관찰일 이하")))))</x:f>
        <x:v>대상 아님</x:v>
      </x:c>
      <x:c r="AB2776" s="2" t="str">
        <x:v>2021-11-01 18:04 - 신청
2021-12-06 13:57 - 보완요청
2021-12-21 17:39 - 신청
2022-01-06 17:00 - 문서재제출요청
2022-01-06 17:20 - 신청
2022-02-18 18:10 - 문서재제출요청
2022-02-22 11:36 - 신청
2022-04-14 13:00 - 검토승인
2022-04-21 17:06 - 심의승인</x:v>
      </x:c>
    </x:row>
    <x:row r="2777" ht="42" customHeight="1">
      <x:c r="A2777" s="2" t="str">
        <x:v>ae711ce564f43fc213fb5160</x:v>
      </x:c>
      <x:c r="B2777" s="2" t="str">
        <x:v>감축량 인증</x:v>
      </x:c>
      <x:c r="C2777" s="2" t="str">
        <x:v>국외</x:v>
      </x:c>
      <x:c r="D2777" s="7" t="str">
        <x:v>CPA-0001: KOKO 케냐 에탄올 쿡스토브 프로그램</x:v>
      </x:c>
      <x:c r="E2777" s="2" t="str">
        <x:v>362</x:v>
      </x:c>
      <x:c r="F2777" s="2" t="str">
        <x:v>2021-11-02</x:v>
      </x:c>
      <x:c r="G2777" s="2" t="str">
        <x:v>2021</x:v>
      </x:c>
      <x:c r="H2777" s="2" t="str">
        <x:v>11</x:v>
      </x:c>
      <x:c r="I2777" s="2" t="str">
        <x:v>심의승인</x:v>
      </x:c>
      <x:c r="J2777" s="2" t="str">
        <x:v>심의승인</x:v>
      </x:c>
      <x:c r="K2777" s="2" t="str">
        <x:f>IF(OR(J2777="심의승인",J2777="반려",J2777="반려완료",J2777="심의완료"),"종결 표시",IF(OR(J2777="기후부협의",J2777="문서재제출요청",J2777="보류",J2777="보완요청",J2777="보완완료",J2777="평가중",J2777="반려요청",J2777="평가필요",LEFT(J2777,5)="보완요청("),"미종결 표시","상태 확인 필요"))</x:f>
        <x:v>종결 표시</x:v>
      </x:c>
      <x:c r="L2777" s="2" t="str">
        <x:v>에코시안_조혜민</x:v>
      </x:c>
      <x:c r="M2777" s="2"/>
      <x:c r="N2777" s="8" t="n">
        <x:f>DATE(2026,10,15)-DATE(2021,11,2)</x:f>
        <x:v>1808</x:v>
      </x:c>
      <x:c r="O2777" s="2"/>
      <x:c r="P2777" s="2"/>
      <x:c r="Q2777" s="2" t="str">
        <x:v>산업전환_외부사업관리Tool_260707_이너젠 수정_LJY_261013.xlsx</x:v>
      </x:c>
      <x:c r="R2777" s="2" t="str">
        <x:v>국외인증</x:v>
      </x:c>
      <x:c r="S2777" s="8" t="n">
        <x:v>364</x:v>
      </x:c>
      <x:c r="T2777" s="2" t="str">
        <x:v>(12/1)</x:v>
      </x:c>
      <x:c r="U2777" s="2" t="str">
        <x:v>2021 지정: (12/1) / 2022 지정: (1/18),(5/18)</x:v>
      </x:c>
      <x:c r="V2777" s="2" t="str">
        <x:v>2022-07-14</x:v>
      </x:c>
      <x:c r="W2777" s="2" t="str"/>
      <x:c r="X2777" s="2" t="str">
        <x:v>종결 근거 보관</x:v>
      </x:c>
      <x:c r="Y2777" s="2" t="str">
        <x:v>ad210cd9ec132cfd447541c8984dc53d30aff0f4fb2dc92d254d49275cc55976</x:v>
      </x:c>
      <x:c r="Z2777" s="2" t="n">
        <x:f>SUBTOTAL(103,A2777)</x:f>
        <x:v>1</x:v>
      </x:c>
      <x:c r="AA2777" s="2" t="str">
        <x:f>IF(K2777&lt;&gt;"미종결 표시","대상 아님",IF(N2777="","신청일 확인",IF(NOT(ISNUMBER('종합 현황'!$H$5)),"관찰기준 확인",IF('종합 현황'!$H$5&lt;1,"관찰기준 확인",IF(N2777&gt;'종합 현황'!$H$5,"내부 관찰 대상","내부 관찰일 이하")))))</x:f>
        <x:v>대상 아님</x:v>
      </x:c>
      <x:c r="AB2777" s="2" t="str">
        <x:v>2021-11-02 15:59 - 신청
2021-12-10 10:22 - 문서재제출요청
2021-12-21 13:38 - 신청
2022-02-23 11:29 - 문서재제출요청
2022-02-23 13:24 - 신청
2022-04-21 15:19 - 문서재제출요청
2022-04-21 15:33 - 신청
2022-05-03 14:48 - 문서재제출요청
2022-05-03 18:58 - 신청
2022-07-05 16:22 - 검토승인
2022-07-14 15:04 - 심의승인</x:v>
      </x:c>
    </x:row>
    <x:row r="2778" ht="42" customHeight="1">
      <x:c r="A2778" s="2" t="str">
        <x:v>4d35d7619933937e626e3ff0</x:v>
      </x:c>
      <x:c r="B2778" s="2" t="str">
        <x:v>감축량 인증</x:v>
      </x:c>
      <x:c r="C2778" s="2" t="str">
        <x:v>국외</x:v>
      </x:c>
      <x:c r="D2778" s="7" t="str">
        <x:v>아프리카 고효율 쿡스토브 보급 PoA 사업 : CPA 00007(가나)(한국 지원)</x:v>
      </x:c>
      <x:c r="E2778" s="2" t="str">
        <x:v>363</x:v>
      </x:c>
      <x:c r="F2778" s="2" t="str">
        <x:v>2021-11-02</x:v>
      </x:c>
      <x:c r="G2778" s="2" t="str">
        <x:v>2021</x:v>
      </x:c>
      <x:c r="H2778" s="2" t="str">
        <x:v>11</x:v>
      </x:c>
      <x:c r="I2778" s="2" t="str">
        <x:v>심의승인</x:v>
      </x:c>
      <x:c r="J2778" s="2" t="str">
        <x:v>심의승인</x:v>
      </x:c>
      <x:c r="K2778" s="2" t="str">
        <x:f>IF(OR(J2778="심의승인",J2778="반려",J2778="반려완료",J2778="심의완료"),"종결 표시",IF(OR(J2778="기후부협의",J2778="문서재제출요청",J2778="보류",J2778="보완요청",J2778="보완완료",J2778="평가중",J2778="반려요청",J2778="평가필요",LEFT(J2778,5)="보완요청("),"미종결 표시","상태 확인 필요"))</x:f>
        <x:v>종결 표시</x:v>
      </x:c>
      <x:c r="L2778" s="2" t="str">
        <x:v>에코시안_기샛별</x:v>
      </x:c>
      <x:c r="M2778" s="2"/>
      <x:c r="N2778" s="8" t="n">
        <x:f>DATE(2026,10,15)-DATE(2021,11,2)</x:f>
        <x:v>1808</x:v>
      </x:c>
      <x:c r="O2778" s="2"/>
      <x:c r="P2778" s="2"/>
      <x:c r="Q2778" s="2" t="str">
        <x:v>산업전환_외부사업관리Tool_260707_이너젠 수정_LJY_261013.xlsx</x:v>
      </x:c>
      <x:c r="R2778" s="2" t="str">
        <x:v>국외인증</x:v>
      </x:c>
      <x:c r="S2778" s="8" t="n">
        <x:v>365</x:v>
      </x:c>
      <x:c r="T2778" s="2" t="str">
        <x:v>(12/1)</x:v>
      </x:c>
      <x:c r="U2778" s="2" t="str">
        <x:v>2021 지정: (12/1) / 2022 지정: (1/18)</x:v>
      </x:c>
      <x:c r="V2778" s="2" t="str">
        <x:v>2022-04-22</x:v>
      </x:c>
      <x:c r="W2778" s="2" t="str"/>
      <x:c r="X2778" s="2" t="str">
        <x:v>종결 근거 보관</x:v>
      </x:c>
      <x:c r="Y2778" s="2" t="str">
        <x:v>ad210cd9ec132cfd447541c8984dc53d30aff0f4fb2dc92d254d49275cc55976</x:v>
      </x:c>
      <x:c r="Z2778" s="2" t="n">
        <x:f>SUBTOTAL(103,A2778)</x:f>
        <x:v>1</x:v>
      </x:c>
      <x:c r="AA2778" s="2" t="str">
        <x:f>IF(K2778&lt;&gt;"미종결 표시","대상 아님",IF(N2778="","신청일 확인",IF(NOT(ISNUMBER('종합 현황'!$H$5)),"관찰기준 확인",IF('종합 현황'!$H$5&lt;1,"관찰기준 확인",IF(N2778&gt;'종합 현황'!$H$5,"내부 관찰 대상","내부 관찰일 이하")))))</x:f>
        <x:v>대상 아님</x:v>
      </x:c>
      <x:c r="AB2778" s="2" t="str">
        <x:v>2021-11-02 17:30 - 신청
2021-12-13 16:39 - 문서재제출요청
2021-12-21 17:30 - 신청
2022-01-06 13:39 - 문서재제출요청
2022-01-06 14:34 - 신청
2022-02-18 18:07 - 문서재제출요청
2022-02-22 11:36 - 신청
2022-04-14 12:23 - 검토승인
2022-04-22 15:44 - 심의승인</x:v>
      </x:c>
    </x:row>
    <x:row r="2779" ht="42" customHeight="1">
      <x:c r="A2779" s="2" t="str">
        <x:v>6d93dc77e43716b3d4a8694c</x:v>
      </x:c>
      <x:c r="B2779" s="2" t="str">
        <x:v>감축량 인증</x:v>
      </x:c>
      <x:c r="C2779" s="2" t="str">
        <x:v>국외</x:v>
      </x:c>
      <x:c r="D2779" s="7" t="str">
        <x:v>아프리카 고효율 쿡스토브 보급 PoA 사업 : CPA 00008(가나)(한국 지원)</x:v>
      </x:c>
      <x:c r="E2779" s="2" t="str">
        <x:v>364</x:v>
      </x:c>
      <x:c r="F2779" s="2" t="str">
        <x:v>2021-11-02</x:v>
      </x:c>
      <x:c r="G2779" s="2" t="str">
        <x:v>2021</x:v>
      </x:c>
      <x:c r="H2779" s="2" t="str">
        <x:v>11</x:v>
      </x:c>
      <x:c r="I2779" s="2" t="str">
        <x:v>심의승인</x:v>
      </x:c>
      <x:c r="J2779" s="2" t="str">
        <x:v>심의승인</x:v>
      </x:c>
      <x:c r="K2779" s="2" t="str">
        <x:f>IF(OR(J2779="심의승인",J2779="반려",J2779="반려완료",J2779="심의완료"),"종결 표시",IF(OR(J2779="기후부협의",J2779="문서재제출요청",J2779="보류",J2779="보완요청",J2779="보완완료",J2779="평가중",J2779="반려요청",J2779="평가필요",LEFT(J2779,5)="보완요청("),"미종결 표시","상태 확인 필요"))</x:f>
        <x:v>종결 표시</x:v>
      </x:c>
      <x:c r="L2779" s="2" t="str">
        <x:v>에코시안_기샛별</x:v>
      </x:c>
      <x:c r="M2779" s="2"/>
      <x:c r="N2779" s="8" t="n">
        <x:f>DATE(2026,10,15)-DATE(2021,11,2)</x:f>
        <x:v>1808</x:v>
      </x:c>
      <x:c r="O2779" s="2"/>
      <x:c r="P2779" s="2"/>
      <x:c r="Q2779" s="2" t="str">
        <x:v>산업전환_외부사업관리Tool_260707_이너젠 수정_LJY_261013.xlsx</x:v>
      </x:c>
      <x:c r="R2779" s="2" t="str">
        <x:v>국외인증</x:v>
      </x:c>
      <x:c r="S2779" s="8" t="n">
        <x:v>366</x:v>
      </x:c>
      <x:c r="T2779" s="2" t="str">
        <x:v>(12/1)</x:v>
      </x:c>
      <x:c r="U2779" s="2" t="str">
        <x:v>2021 지정: (12/1) / 2022 지정: (1/18)</x:v>
      </x:c>
      <x:c r="V2779" s="2" t="str">
        <x:v>2022-04-22</x:v>
      </x:c>
      <x:c r="W2779" s="2" t="str"/>
      <x:c r="X2779" s="2" t="str">
        <x:v>종결 근거 보관</x:v>
      </x:c>
      <x:c r="Y2779" s="2" t="str">
        <x:v>ad210cd9ec132cfd447541c8984dc53d30aff0f4fb2dc92d254d49275cc55976</x:v>
      </x:c>
      <x:c r="Z2779" s="2" t="n">
        <x:f>SUBTOTAL(103,A2779)</x:f>
        <x:v>1</x:v>
      </x:c>
      <x:c r="AA2779" s="2" t="str">
        <x:f>IF(K2779&lt;&gt;"미종결 표시","대상 아님",IF(N2779="","신청일 확인",IF(NOT(ISNUMBER('종합 현황'!$H$5)),"관찰기준 확인",IF('종합 현황'!$H$5&lt;1,"관찰기준 확인",IF(N2779&gt;'종합 현황'!$H$5,"내부 관찰 대상","내부 관찰일 이하")))))</x:f>
        <x:v>대상 아님</x:v>
      </x:c>
      <x:c r="AB2779" s="2" t="str">
        <x:v>2021-11-02 17:30 - 신청
2021-12-13 16:51 - 문서재제출요청
2021-12-21 17:30 - 신청
2022-01-06 13:39 - 문서재제출요청
2022-01-06 14:35 - 신청
2022-02-18 18:06 - 문서재제출요청
2022-02-22 11:36 - 신청
2022-04-14 12:24 - 검토승인
2022-04-22 15:46 - 심의승인</x:v>
      </x:c>
    </x:row>
    <x:row r="2780" ht="42" customHeight="1">
      <x:c r="A2780" s="2" t="str">
        <x:v>a0225f55af5a8da3fa40e9c9</x:v>
      </x:c>
      <x:c r="B2780" s="2" t="str">
        <x:v>감축량 인증</x:v>
      </x:c>
      <x:c r="C2780" s="2" t="str">
        <x:v>국외</x:v>
      </x:c>
      <x:c r="D2780" s="7" t="str">
        <x:v>아프리카 고효율 쿡스토브 보급 PoA 사업 : CPA 00009(가나)(한국 지원)</x:v>
      </x:c>
      <x:c r="E2780" s="2" t="str">
        <x:v>365</x:v>
      </x:c>
      <x:c r="F2780" s="2" t="str">
        <x:v>2021-11-02</x:v>
      </x:c>
      <x:c r="G2780" s="2" t="str">
        <x:v>2021</x:v>
      </x:c>
      <x:c r="H2780" s="2" t="str">
        <x:v>11</x:v>
      </x:c>
      <x:c r="I2780" s="2" t="str">
        <x:v>심의승인</x:v>
      </x:c>
      <x:c r="J2780" s="2" t="str">
        <x:v>심의승인</x:v>
      </x:c>
      <x:c r="K2780" s="2" t="str">
        <x:f>IF(OR(J2780="심의승인",J2780="반려",J2780="반려완료",J2780="심의완료"),"종결 표시",IF(OR(J2780="기후부협의",J2780="문서재제출요청",J2780="보류",J2780="보완요청",J2780="보완완료",J2780="평가중",J2780="반려요청",J2780="평가필요",LEFT(J2780,5)="보완요청("),"미종결 표시","상태 확인 필요"))</x:f>
        <x:v>종결 표시</x:v>
      </x:c>
      <x:c r="L2780" s="2" t="str">
        <x:v>에코시안_기샛별</x:v>
      </x:c>
      <x:c r="M2780" s="2"/>
      <x:c r="N2780" s="8" t="n">
        <x:f>DATE(2026,10,15)-DATE(2021,11,2)</x:f>
        <x:v>1808</x:v>
      </x:c>
      <x:c r="O2780" s="2"/>
      <x:c r="P2780" s="2"/>
      <x:c r="Q2780" s="2" t="str">
        <x:v>산업전환_외부사업관리Tool_260707_이너젠 수정_LJY_261013.xlsx</x:v>
      </x:c>
      <x:c r="R2780" s="2" t="str">
        <x:v>국외인증</x:v>
      </x:c>
      <x:c r="S2780" s="8" t="n">
        <x:v>367</x:v>
      </x:c>
      <x:c r="T2780" s="2" t="str">
        <x:v>(12/1)</x:v>
      </x:c>
      <x:c r="U2780" s="2" t="str">
        <x:v>2021 지정: (12/1) / 2022 지정: (1/18)</x:v>
      </x:c>
      <x:c r="V2780" s="2" t="str">
        <x:v>2022-04-22</x:v>
      </x:c>
      <x:c r="W2780" s="2" t="str"/>
      <x:c r="X2780" s="2" t="str">
        <x:v>종결 근거 보관</x:v>
      </x:c>
      <x:c r="Y2780" s="2" t="str">
        <x:v>ad210cd9ec132cfd447541c8984dc53d30aff0f4fb2dc92d254d49275cc55976</x:v>
      </x:c>
      <x:c r="Z2780" s="2" t="n">
        <x:f>SUBTOTAL(103,A2780)</x:f>
        <x:v>1</x:v>
      </x:c>
      <x:c r="AA2780" s="2" t="str">
        <x:f>IF(K2780&lt;&gt;"미종결 표시","대상 아님",IF(N2780="","신청일 확인",IF(NOT(ISNUMBER('종합 현황'!$H$5)),"관찰기준 확인",IF('종합 현황'!$H$5&lt;1,"관찰기준 확인",IF(N2780&gt;'종합 현황'!$H$5,"내부 관찰 대상","내부 관찰일 이하")))))</x:f>
        <x:v>대상 아님</x:v>
      </x:c>
      <x:c r="AB2780" s="2" t="str">
        <x:v>2021-11-02 17:31 - 신청
2021-12-13 16:52 - 문서재제출요청
2021-12-21 17:31 - 신청
2022-01-06 13:39 - 문서재제출요청
2022-01-06 14:35 - 신청
2022-02-18 18:06 - 문서재제출요청
2022-02-22 11:36 - 신청
2022-04-14 12:25 - 검토승인
2022-04-22 15:49 - 심의승인</x:v>
      </x:c>
    </x:row>
    <x:row r="2781" ht="42" customHeight="1">
      <x:c r="A2781" s="2" t="str">
        <x:v>f0a258ebacc0170aa8c391a0</x:v>
      </x:c>
      <x:c r="B2781" s="2" t="str">
        <x:v>감축량 인증</x:v>
      </x:c>
      <x:c r="C2781" s="2" t="str">
        <x:v>국외</x:v>
      </x:c>
      <x:c r="D2781" s="7" t="str">
        <x:v>아프리카 고효율 쿡스토브 보급 PoA 사업 : CPA0008(케냐)</x:v>
      </x:c>
      <x:c r="E2781" s="2" t="str">
        <x:v>366</x:v>
      </x:c>
      <x:c r="F2781" s="2" t="str">
        <x:v>2021-11-03</x:v>
      </x:c>
      <x:c r="G2781" s="2" t="str">
        <x:v>2021</x:v>
      </x:c>
      <x:c r="H2781" s="2" t="str">
        <x:v>11</x:v>
      </x:c>
      <x:c r="I2781" s="2" t="str">
        <x:v>심의승인</x:v>
      </x:c>
      <x:c r="J2781" s="2" t="str">
        <x:v>심의승인</x:v>
      </x:c>
      <x:c r="K2781" s="2" t="str">
        <x:f>IF(OR(J2781="심의승인",J2781="반려",J2781="반려완료",J2781="심의완료"),"종결 표시",IF(OR(J2781="기후부협의",J2781="문서재제출요청",J2781="보류",J2781="보완요청",J2781="보완완료",J2781="평가중",J2781="반려요청",J2781="평가필요",LEFT(J2781,5)="보완요청("),"미종결 표시","상태 확인 필요"))</x:f>
        <x:v>종결 표시</x:v>
      </x:c>
      <x:c r="L2781" s="2" t="str">
        <x:v>KECM</x:v>
      </x:c>
      <x:c r="M2781" s="2"/>
      <x:c r="N2781" s="8" t="n">
        <x:f>DATE(2026,10,15)-DATE(2021,11,3)</x:f>
        <x:v>1807</x:v>
      </x:c>
      <x:c r="O2781" s="2"/>
      <x:c r="P2781" s="2"/>
      <x:c r="Q2781" s="2" t="str">
        <x:v>산업전환_외부사업관리Tool_260707_이너젠 수정_LJY_261013.xlsx</x:v>
      </x:c>
      <x:c r="R2781" s="2" t="str">
        <x:v>국외인증</x:v>
      </x:c>
      <x:c r="S2781" s="8" t="n">
        <x:v>368</x:v>
      </x:c>
      <x:c r="T2781" s="2" t="str">
        <x:v>(12/1)</x:v>
      </x:c>
      <x:c r="U2781" s="2" t="str">
        <x:v>2021 지정: (12/1) / 2022 지정: (1/18)</x:v>
      </x:c>
      <x:c r="V2781" s="2" t="str">
        <x:v>2022-04-21</x:v>
      </x:c>
      <x:c r="W2781" s="2" t="str"/>
      <x:c r="X2781" s="2" t="str">
        <x:v>종결 근거 보관</x:v>
      </x:c>
      <x:c r="Y2781" s="2" t="str">
        <x:v>ad210cd9ec132cfd447541c8984dc53d30aff0f4fb2dc92d254d49275cc55976</x:v>
      </x:c>
      <x:c r="Z2781" s="2" t="n">
        <x:f>SUBTOTAL(103,A2781)</x:f>
        <x:v>1</x:v>
      </x:c>
      <x:c r="AA2781" s="2" t="str">
        <x:f>IF(K2781&lt;&gt;"미종결 표시","대상 아님",IF(N2781="","신청일 확인",IF(NOT(ISNUMBER('종합 현황'!$H$5)),"관찰기준 확인",IF('종합 현황'!$H$5&lt;1,"관찰기준 확인",IF(N2781&gt;'종합 현황'!$H$5,"내부 관찰 대상","내부 관찰일 이하")))))</x:f>
        <x:v>대상 아님</x:v>
      </x:c>
      <x:c r="AB2781" s="2" t="str">
        <x:v>2021-11-03 16:45 - 신청
2021-12-06 13:57 - 보완요청
2021-12-21 17:39 - 신청
2022-01-06 10:24 - 문서재제출요청
2022-01-06 11:04 - 신청
2022-01-06 17:00 - 문서재제출요청
2022-01-06 17:23 - 신청
2022-02-18 18:08 - 문서재제출요청
2022-02-22 11:37 - 신청
2022-04-14 13:01 - 검토승인
2022-04-21 17:11 - 심의승인</x:v>
      </x:c>
    </x:row>
    <x:row r="2782" ht="42" customHeight="1">
      <x:c r="A2782" s="2" t="str">
        <x:v>abbe759b100c23fe5baed225</x:v>
      </x:c>
      <x:c r="B2782" s="2" t="str">
        <x:v>감축량 인증</x:v>
      </x:c>
      <x:c r="C2782" s="2" t="str">
        <x:v>국외</x:v>
      </x:c>
      <x:c r="D2782" s="7" t="str">
        <x:v>아프리카 고효율 쿡스토브 보급 PoA 사업 : CPA0009(케냐)</x:v>
      </x:c>
      <x:c r="E2782" s="2" t="str">
        <x:v>367</x:v>
      </x:c>
      <x:c r="F2782" s="2" t="str">
        <x:v>2021-11-03</x:v>
      </x:c>
      <x:c r="G2782" s="2" t="str">
        <x:v>2021</x:v>
      </x:c>
      <x:c r="H2782" s="2" t="str">
        <x:v>11</x:v>
      </x:c>
      <x:c r="I2782" s="2" t="str">
        <x:v>심의승인</x:v>
      </x:c>
      <x:c r="J2782" s="2" t="str">
        <x:v>심의승인</x:v>
      </x:c>
      <x:c r="K2782" s="2" t="str">
        <x:f>IF(OR(J2782="심의승인",J2782="반려",J2782="반려완료",J2782="심의완료"),"종결 표시",IF(OR(J2782="기후부협의",J2782="문서재제출요청",J2782="보류",J2782="보완요청",J2782="보완완료",J2782="평가중",J2782="반려요청",J2782="평가필요",LEFT(J2782,5)="보완요청("),"미종결 표시","상태 확인 필요"))</x:f>
        <x:v>종결 표시</x:v>
      </x:c>
      <x:c r="L2782" s="2" t="str">
        <x:v>KECM</x:v>
      </x:c>
      <x:c r="M2782" s="2"/>
      <x:c r="N2782" s="8" t="n">
        <x:f>DATE(2026,10,15)-DATE(2021,11,3)</x:f>
        <x:v>1807</x:v>
      </x:c>
      <x:c r="O2782" s="2"/>
      <x:c r="P2782" s="2"/>
      <x:c r="Q2782" s="2" t="str">
        <x:v>산업전환_외부사업관리Tool_260707_이너젠 수정_LJY_261013.xlsx</x:v>
      </x:c>
      <x:c r="R2782" s="2" t="str">
        <x:v>국외인증</x:v>
      </x:c>
      <x:c r="S2782" s="8" t="n">
        <x:v>369</x:v>
      </x:c>
      <x:c r="T2782" s="2" t="str">
        <x:v>(12/1)</x:v>
      </x:c>
      <x:c r="U2782" s="2" t="str">
        <x:v>2021 지정: (12/1) / 2022 지정: (1/18)</x:v>
      </x:c>
      <x:c r="V2782" s="2" t="str">
        <x:v>2022-04-21</x:v>
      </x:c>
      <x:c r="W2782" s="2" t="str"/>
      <x:c r="X2782" s="2" t="str">
        <x:v>종결 근거 보관</x:v>
      </x:c>
      <x:c r="Y2782" s="2" t="str">
        <x:v>ad210cd9ec132cfd447541c8984dc53d30aff0f4fb2dc92d254d49275cc55976</x:v>
      </x:c>
      <x:c r="Z2782" s="2" t="n">
        <x:f>SUBTOTAL(103,A2782)</x:f>
        <x:v>1</x:v>
      </x:c>
      <x:c r="AA2782" s="2" t="str">
        <x:f>IF(K2782&lt;&gt;"미종결 표시","대상 아님",IF(N2782="","신청일 확인",IF(NOT(ISNUMBER('종합 현황'!$H$5)),"관찰기준 확인",IF('종합 현황'!$H$5&lt;1,"관찰기준 확인",IF(N2782&gt;'종합 현황'!$H$5,"내부 관찰 대상","내부 관찰일 이하")))))</x:f>
        <x:v>대상 아님</x:v>
      </x:c>
      <x:c r="AB2782" s="2" t="str">
        <x:v>2021-11-03 16:45 - 신청
2021-12-06 13:57 - 보완요청
2021-12-21 17:40 - 신청
2022-01-06 10:25 - 문서재제출요청
2022-01-06 11:04 - 신청
2022-01-06 17:00 - 문서재제출요청
2022-01-06 17:25 - 신청
2022-02-18 18:10 - 문서재제출요청
2022-02-22 11:37 - 신청
2022-04-14 13:02 - 검토승인
2022-04-21 17:12 - 심의승인</x:v>
      </x:c>
    </x:row>
    <x:row r="2783" ht="42" customHeight="1">
      <x:c r="A2783" s="2" t="str">
        <x:v>21cb53bad829a50e4ce59784</x:v>
      </x:c>
      <x:c r="B2783" s="2" t="str">
        <x:v>감축량 인증</x:v>
      </x:c>
      <x:c r="C2783" s="2" t="str">
        <x:v>국외</x:v>
      </x:c>
      <x:c r="D2783" s="7" t="str">
        <x:v>아프리카 고효율 쿡스토브 보급 PoA 사업 : CPA0010(케냐)</x:v>
      </x:c>
      <x:c r="E2783" s="2" t="str">
        <x:v>368</x:v>
      </x:c>
      <x:c r="F2783" s="2" t="str">
        <x:v>2021-11-03</x:v>
      </x:c>
      <x:c r="G2783" s="2" t="str">
        <x:v>2021</x:v>
      </x:c>
      <x:c r="H2783" s="2" t="str">
        <x:v>11</x:v>
      </x:c>
      <x:c r="I2783" s="2" t="str">
        <x:v>심의승인</x:v>
      </x:c>
      <x:c r="J2783" s="2" t="str">
        <x:v>심의승인</x:v>
      </x:c>
      <x:c r="K2783" s="2" t="str">
        <x:f>IF(OR(J2783="심의승인",J2783="반려",J2783="반려완료",J2783="심의완료"),"종결 표시",IF(OR(J2783="기후부협의",J2783="문서재제출요청",J2783="보류",J2783="보완요청",J2783="보완완료",J2783="평가중",J2783="반려요청",J2783="평가필요",LEFT(J2783,5)="보완요청("),"미종결 표시","상태 확인 필요"))</x:f>
        <x:v>종결 표시</x:v>
      </x:c>
      <x:c r="L2783" s="2" t="str">
        <x:v>KECM</x:v>
      </x:c>
      <x:c r="M2783" s="2"/>
      <x:c r="N2783" s="8" t="n">
        <x:f>DATE(2026,10,15)-DATE(2021,11,3)</x:f>
        <x:v>1807</x:v>
      </x:c>
      <x:c r="O2783" s="2"/>
      <x:c r="P2783" s="2"/>
      <x:c r="Q2783" s="2" t="str">
        <x:v>산업전환_외부사업관리Tool_260707_이너젠 수정_LJY_261013.xlsx</x:v>
      </x:c>
      <x:c r="R2783" s="2" t="str">
        <x:v>국외인증</x:v>
      </x:c>
      <x:c r="S2783" s="8" t="n">
        <x:v>370</x:v>
      </x:c>
      <x:c r="T2783" s="2" t="str">
        <x:v>(12/1)</x:v>
      </x:c>
      <x:c r="U2783" s="2" t="str">
        <x:v>2021 지정: (12/1) / 2022 지정: (1/18)</x:v>
      </x:c>
      <x:c r="V2783" s="2" t="str">
        <x:v>2022-04-21</x:v>
      </x:c>
      <x:c r="W2783" s="2" t="str"/>
      <x:c r="X2783" s="2" t="str">
        <x:v>종결 근거 보관</x:v>
      </x:c>
      <x:c r="Y2783" s="2" t="str">
        <x:v>ad210cd9ec132cfd447541c8984dc53d30aff0f4fb2dc92d254d49275cc55976</x:v>
      </x:c>
      <x:c r="Z2783" s="2" t="n">
        <x:f>SUBTOTAL(103,A2783)</x:f>
        <x:v>1</x:v>
      </x:c>
      <x:c r="AA2783" s="2" t="str">
        <x:f>IF(K2783&lt;&gt;"미종결 표시","대상 아님",IF(N2783="","신청일 확인",IF(NOT(ISNUMBER('종합 현황'!$H$5)),"관찰기준 확인",IF('종합 현황'!$H$5&lt;1,"관찰기준 확인",IF(N2783&gt;'종합 현황'!$H$5,"내부 관찰 대상","내부 관찰일 이하")))))</x:f>
        <x:v>대상 아님</x:v>
      </x:c>
      <x:c r="AB2783" s="2" t="str">
        <x:v>2021-11-03 16:45 - 신청
2021-12-06 13:58 - 보완요청
2021-12-21 17:41 - 신청
2022-01-06 10:25 - 문서재제출요청
2022-01-06 11:05 - 신청
2022-01-06 17:00 - 문서재제출요청
2022-01-06 17:26 - 신청
2022-02-18 18:10 - 문서재제출요청
2022-02-22 11:37 - 신청
2022-04-14 13:02 - 검토승인
2022-04-21 17:14 - 심의승인</x:v>
      </x:c>
    </x:row>
    <x:row r="2784" ht="42" customHeight="1">
      <x:c r="A2784" s="2" t="str">
        <x:v>b77cea67fed3466e2d7e6a67</x:v>
      </x:c>
      <x:c r="B2784" s="2" t="str">
        <x:v>감축량 인증</x:v>
      </x:c>
      <x:c r="C2784" s="2" t="str">
        <x:v>국외</x:v>
      </x:c>
      <x:c r="D2784" s="7" t="str">
        <x:v>아프리카 고효율 쿡스토브 보급 PoA 사업 : CPA 00010(나이지리아)(한국 지원)</x:v>
      </x:c>
      <x:c r="E2784" s="2" t="str">
        <x:v>369</x:v>
      </x:c>
      <x:c r="F2784" s="2" t="str">
        <x:v>2021-11-03</x:v>
      </x:c>
      <x:c r="G2784" s="2" t="str">
        <x:v>2021</x:v>
      </x:c>
      <x:c r="H2784" s="2" t="str">
        <x:v>11</x:v>
      </x:c>
      <x:c r="I2784" s="2" t="str">
        <x:v>심의승인</x:v>
      </x:c>
      <x:c r="J2784" s="2" t="str">
        <x:v>심의승인</x:v>
      </x:c>
      <x:c r="K2784" s="2" t="str">
        <x:f>IF(OR(J2784="심의승인",J2784="반려",J2784="반려완료",J2784="심의완료"),"종결 표시",IF(OR(J2784="기후부협의",J2784="문서재제출요청",J2784="보류",J2784="보완요청",J2784="보완완료",J2784="평가중",J2784="반려요청",J2784="평가필요",LEFT(J2784,5)="보완요청("),"미종결 표시","상태 확인 필요"))</x:f>
        <x:v>종결 표시</x:v>
      </x:c>
      <x:c r="L2784" s="2" t="str">
        <x:v>KECM</x:v>
      </x:c>
      <x:c r="M2784" s="2"/>
      <x:c r="N2784" s="8" t="n">
        <x:f>DATE(2026,10,15)-DATE(2021,11,3)</x:f>
        <x:v>1807</x:v>
      </x:c>
      <x:c r="O2784" s="2"/>
      <x:c r="P2784" s="2"/>
      <x:c r="Q2784" s="2" t="str">
        <x:v>산업전환_외부사업관리Tool_260707_이너젠 수정_LJY_261013.xlsx</x:v>
      </x:c>
      <x:c r="R2784" s="2" t="str">
        <x:v>국외인증</x:v>
      </x:c>
      <x:c r="S2784" s="8" t="n">
        <x:v>371</x:v>
      </x:c>
      <x:c r="T2784" s="2" t="str">
        <x:v>(12/1)</x:v>
      </x:c>
      <x:c r="U2784" s="2" t="str">
        <x:v>2021 지정: (12/1) / 2022 지정: (1/18)</x:v>
      </x:c>
      <x:c r="V2784" s="2" t="str">
        <x:v>2022-04-21</x:v>
      </x:c>
      <x:c r="W2784" s="2" t="str"/>
      <x:c r="X2784" s="2" t="str">
        <x:v>종결 근거 보관</x:v>
      </x:c>
      <x:c r="Y2784" s="2" t="str">
        <x:v>ad210cd9ec132cfd447541c8984dc53d30aff0f4fb2dc92d254d49275cc55976</x:v>
      </x:c>
      <x:c r="Z2784" s="2" t="n">
        <x:f>SUBTOTAL(103,A2784)</x:f>
        <x:v>1</x:v>
      </x:c>
      <x:c r="AA2784" s="2" t="str">
        <x:f>IF(K2784&lt;&gt;"미종결 표시","대상 아님",IF(N2784="","신청일 확인",IF(NOT(ISNUMBER('종합 현황'!$H$5)),"관찰기준 확인",IF('종합 현황'!$H$5&lt;1,"관찰기준 확인",IF(N2784&gt;'종합 현황'!$H$5,"내부 관찰 대상","내부 관찰일 이하")))))</x:f>
        <x:v>대상 아님</x:v>
      </x:c>
      <x:c r="AB2784" s="2" t="str">
        <x:v>2021-11-03 16:45 - 신청
2021-12-10 09:38 - 보완요청
2021-12-21 17:34 - 신청
2022-01-06 14:20 - 문서재제출요청
2022-01-06 14:29 - 신청
2022-01-06 17:02 - 문서재제출요청
2022-01-06 17:17 - 신청
2022-01-10 09:20 - 문서재제출요청
2022-01-10 09:58 - 신청
2022-02-18 18:12 - 문서재제출요청
2022-02-22 11:36 - 신청
2022-04-14 13:06 - 검토승인
2022-04-21 17:23 - 심의승인</x:v>
      </x:c>
    </x:row>
    <x:row r="2785" ht="42" customHeight="1">
      <x:c r="A2785" s="2" t="str">
        <x:v>d5755477e9401905695647d6</x:v>
      </x:c>
      <x:c r="B2785" s="2" t="str">
        <x:v>감축량 인증</x:v>
      </x:c>
      <x:c r="C2785" s="2" t="str">
        <x:v>국외</x:v>
      </x:c>
      <x:c r="D2785" s="7" t="str">
        <x:v>아프리카 고효율 쿡스토브 보급 PoA 사업 : CPA 00011(나이지리아)(한국 지원)</x:v>
      </x:c>
      <x:c r="E2785" s="2" t="str">
        <x:v>370</x:v>
      </x:c>
      <x:c r="F2785" s="2" t="str">
        <x:v>2021-11-03</x:v>
      </x:c>
      <x:c r="G2785" s="2" t="str">
        <x:v>2021</x:v>
      </x:c>
      <x:c r="H2785" s="2" t="str">
        <x:v>11</x:v>
      </x:c>
      <x:c r="I2785" s="2" t="str">
        <x:v>심의승인</x:v>
      </x:c>
      <x:c r="J2785" s="2" t="str">
        <x:v>심의승인</x:v>
      </x:c>
      <x:c r="K2785" s="2" t="str">
        <x:f>IF(OR(J2785="심의승인",J2785="반려",J2785="반려완료",J2785="심의완료"),"종결 표시",IF(OR(J2785="기후부협의",J2785="문서재제출요청",J2785="보류",J2785="보완요청",J2785="보완완료",J2785="평가중",J2785="반려요청",J2785="평가필요",LEFT(J2785,5)="보완요청("),"미종결 표시","상태 확인 필요"))</x:f>
        <x:v>종결 표시</x:v>
      </x:c>
      <x:c r="L2785" s="2" t="str">
        <x:v>KECM</x:v>
      </x:c>
      <x:c r="M2785" s="2"/>
      <x:c r="N2785" s="8" t="n">
        <x:f>DATE(2026,10,15)-DATE(2021,11,3)</x:f>
        <x:v>1807</x:v>
      </x:c>
      <x:c r="O2785" s="2"/>
      <x:c r="P2785" s="2"/>
      <x:c r="Q2785" s="2" t="str">
        <x:v>산업전환_외부사업관리Tool_260707_이너젠 수정_LJY_261013.xlsx</x:v>
      </x:c>
      <x:c r="R2785" s="2" t="str">
        <x:v>국외인증</x:v>
      </x:c>
      <x:c r="S2785" s="8" t="n">
        <x:v>372</x:v>
      </x:c>
      <x:c r="T2785" s="2" t="str">
        <x:v>(12/1)</x:v>
      </x:c>
      <x:c r="U2785" s="2" t="str">
        <x:v>2021 지정: (12/1) / 2022 지정: (1/18)</x:v>
      </x:c>
      <x:c r="V2785" s="2" t="str">
        <x:v>2022-04-21</x:v>
      </x:c>
      <x:c r="W2785" s="2" t="str"/>
      <x:c r="X2785" s="2" t="str">
        <x:v>종결 근거 보관</x:v>
      </x:c>
      <x:c r="Y2785" s="2" t="str">
        <x:v>ad210cd9ec132cfd447541c8984dc53d30aff0f4fb2dc92d254d49275cc55976</x:v>
      </x:c>
      <x:c r="Z2785" s="2" t="n">
        <x:f>SUBTOTAL(103,A2785)</x:f>
        <x:v>1</x:v>
      </x:c>
      <x:c r="AA2785" s="2" t="str">
        <x:f>IF(K2785&lt;&gt;"미종결 표시","대상 아님",IF(N2785="","신청일 확인",IF(NOT(ISNUMBER('종합 현황'!$H$5)),"관찰기준 확인",IF('종합 현황'!$H$5&lt;1,"관찰기준 확인",IF(N2785&gt;'종합 현황'!$H$5,"내부 관찰 대상","내부 관찰일 이하")))))</x:f>
        <x:v>대상 아님</x:v>
      </x:c>
      <x:c r="AB2785" s="2" t="str">
        <x:v>2021-11-03 16:46 - 신청
2021-12-06 13:51 - 보완요청
2021-12-21 17:34 - 신청
2022-01-06 14:20 - 문서재제출요청
2022-01-06 17:17 - 신청
2022-01-10 09:22 - 문서재제출요청
2022-01-10 09:58 - 신청
2022-02-18 18:12 - 문서재제출요청
2022-02-22 11:37 - 신청
2022-04-14 13:18 - 검토승인
2022-04-21 17:24 - 심의승인</x:v>
      </x:c>
    </x:row>
    <x:row r="2786" ht="42" customHeight="1">
      <x:c r="A2786" s="2" t="str">
        <x:v>27fb9935102a2c608920d536</x:v>
      </x:c>
      <x:c r="B2786" s="2" t="str">
        <x:v>감축량 인증</x:v>
      </x:c>
      <x:c r="C2786" s="2" t="str">
        <x:v>국외</x:v>
      </x:c>
      <x:c r="D2786" s="7" t="str">
        <x:v>아프리카 고효율 쿡스토브 보급 PoA 사업 : CPA 00012(나이지리아)(한국 지원)</x:v>
      </x:c>
      <x:c r="E2786" s="2" t="str">
        <x:v>371</x:v>
      </x:c>
      <x:c r="F2786" s="2" t="str">
        <x:v>2021-11-03</x:v>
      </x:c>
      <x:c r="G2786" s="2" t="str">
        <x:v>2021</x:v>
      </x:c>
      <x:c r="H2786" s="2" t="str">
        <x:v>11</x:v>
      </x:c>
      <x:c r="I2786" s="2" t="str">
        <x:v>심의승인</x:v>
      </x:c>
      <x:c r="J2786" s="2" t="str">
        <x:v>심의승인</x:v>
      </x:c>
      <x:c r="K2786" s="2" t="str">
        <x:f>IF(OR(J2786="심의승인",J2786="반려",J2786="반려완료",J2786="심의완료"),"종결 표시",IF(OR(J2786="기후부협의",J2786="문서재제출요청",J2786="보류",J2786="보완요청",J2786="보완완료",J2786="평가중",J2786="반려요청",J2786="평가필요",LEFT(J2786,5)="보완요청("),"미종결 표시","상태 확인 필요"))</x:f>
        <x:v>종결 표시</x:v>
      </x:c>
      <x:c r="L2786" s="2" t="str">
        <x:v>KECM</x:v>
      </x:c>
      <x:c r="M2786" s="2"/>
      <x:c r="N2786" s="8" t="n">
        <x:f>DATE(2026,10,15)-DATE(2021,11,3)</x:f>
        <x:v>1807</x:v>
      </x:c>
      <x:c r="O2786" s="2"/>
      <x:c r="P2786" s="2"/>
      <x:c r="Q2786" s="2" t="str">
        <x:v>산업전환_외부사업관리Tool_260707_이너젠 수정_LJY_261013.xlsx</x:v>
      </x:c>
      <x:c r="R2786" s="2" t="str">
        <x:v>국외인증</x:v>
      </x:c>
      <x:c r="S2786" s="8" t="n">
        <x:v>373</x:v>
      </x:c>
      <x:c r="T2786" s="2" t="str">
        <x:v>(12/1)</x:v>
      </x:c>
      <x:c r="U2786" s="2" t="str">
        <x:v>2021 지정: (12/1) / 2022 지정: (1/18)</x:v>
      </x:c>
      <x:c r="V2786" s="2" t="str">
        <x:v>2022-04-21</x:v>
      </x:c>
      <x:c r="W2786" s="2" t="str"/>
      <x:c r="X2786" s="2" t="str">
        <x:v>종결 근거 보관</x:v>
      </x:c>
      <x:c r="Y2786" s="2" t="str">
        <x:v>ad210cd9ec132cfd447541c8984dc53d30aff0f4fb2dc92d254d49275cc55976</x:v>
      </x:c>
      <x:c r="Z2786" s="2" t="n">
        <x:f>SUBTOTAL(103,A2786)</x:f>
        <x:v>1</x:v>
      </x:c>
      <x:c r="AA2786" s="2" t="str">
        <x:f>IF(K2786&lt;&gt;"미종결 표시","대상 아님",IF(N2786="","신청일 확인",IF(NOT(ISNUMBER('종합 현황'!$H$5)),"관찰기준 확인",IF('종합 현황'!$H$5&lt;1,"관찰기준 확인",IF(N2786&gt;'종합 현황'!$H$5,"내부 관찰 대상","내부 관찰일 이하")))))</x:f>
        <x:v>대상 아님</x:v>
      </x:c>
      <x:c r="AB2786" s="2" t="str">
        <x:v>2021-11-03 16:46 - 신청
2021-12-06 13:52 - 보완요청
2021-12-21 17:35 - 신청
2022-01-06 14:21 - 문서재제출요청
2022-01-06 17:18 - 신청
2022-01-10 09:21 - 문서재제출요청
2022-01-10 09:59 - 신청
2022-02-18 18:13 - 문서재제출요청
2022-02-22 11:37 - 신청
2022-04-14 13:19 - 검토승인
2022-04-21 17:26 - 심의승인</x:v>
      </x:c>
    </x:row>
    <x:row r="2787" ht="42" customHeight="1">
      <x:c r="A2787" s="2" t="str">
        <x:v>8993bc7ae8c1fb0b1b44fb0d</x:v>
      </x:c>
      <x:c r="B2787" s="2" t="str">
        <x:v>감축량 인증</x:v>
      </x:c>
      <x:c r="C2787" s="2" t="str">
        <x:v>국외</x:v>
      </x:c>
      <x:c r="D2787" s="7" t="str">
        <x:v>사하라 이남 아프리카 고효율 쿡스토브 보급 사업-말라위-CPA004</x:v>
      </x:c>
      <x:c r="E2787" s="2" t="str">
        <x:v>372</x:v>
      </x:c>
      <x:c r="F2787" s="2" t="str">
        <x:v>2021-11-08</x:v>
      </x:c>
      <x:c r="G2787" s="2" t="str">
        <x:v>2021</x:v>
      </x:c>
      <x:c r="H2787" s="2" t="str">
        <x:v>11</x:v>
      </x:c>
      <x:c r="I2787" s="2" t="str">
        <x:v>심의승인</x:v>
      </x:c>
      <x:c r="J2787" s="2" t="str">
        <x:v>심의승인</x:v>
      </x:c>
      <x:c r="K2787" s="2" t="str">
        <x:f>IF(OR(J2787="심의승인",J2787="반려",J2787="반려완료",J2787="심의완료"),"종결 표시",IF(OR(J2787="기후부협의",J2787="문서재제출요청",J2787="보류",J2787="보완요청",J2787="보완완료",J2787="평가중",J2787="반려요청",J2787="평가필요",LEFT(J2787,5)="보완요청("),"미종결 표시","상태 확인 필요"))</x:f>
        <x:v>종결 표시</x:v>
      </x:c>
      <x:c r="L2787" s="2" t="str">
        <x:v>KECM</x:v>
      </x:c>
      <x:c r="M2787" s="2"/>
      <x:c r="N2787" s="8" t="n">
        <x:f>DATE(2026,10,15)-DATE(2021,11,8)</x:f>
        <x:v>1802</x:v>
      </x:c>
      <x:c r="O2787" s="2"/>
      <x:c r="P2787" s="2"/>
      <x:c r="Q2787" s="2" t="str">
        <x:v>산업전환_외부사업관리Tool_260707_이너젠 수정_LJY_261013.xlsx</x:v>
      </x:c>
      <x:c r="R2787" s="2" t="str">
        <x:v>국외인증</x:v>
      </x:c>
      <x:c r="S2787" s="8" t="n">
        <x:v>374</x:v>
      </x:c>
      <x:c r="T2787" s="2" t="str">
        <x:v>(12/1)</x:v>
      </x:c>
      <x:c r="U2787" s="2" t="str">
        <x:v>2021 지정: (12/1) / 2022 지정: (1/18)</x:v>
      </x:c>
      <x:c r="V2787" s="2" t="str">
        <x:v>2022-04-21</x:v>
      </x:c>
      <x:c r="W2787" s="2" t="str"/>
      <x:c r="X2787" s="2" t="str">
        <x:v>종결 근거 보관</x:v>
      </x:c>
      <x:c r="Y2787" s="2" t="str">
        <x:v>ad210cd9ec132cfd447541c8984dc53d30aff0f4fb2dc92d254d49275cc55976</x:v>
      </x:c>
      <x:c r="Z2787" s="2" t="n">
        <x:f>SUBTOTAL(103,A2787)</x:f>
        <x:v>1</x:v>
      </x:c>
      <x:c r="AA2787" s="2" t="str">
        <x:f>IF(K2787&lt;&gt;"미종결 표시","대상 아님",IF(N2787="","신청일 확인",IF(NOT(ISNUMBER('종합 현황'!$H$5)),"관찰기준 확인",IF('종합 현황'!$H$5&lt;1,"관찰기준 확인",IF(N2787&gt;'종합 현황'!$H$5,"내부 관찰 대상","내부 관찰일 이하")))))</x:f>
        <x:v>대상 아님</x:v>
      </x:c>
      <x:c r="AB2787" s="2" t="str">
        <x:v>2021-11-08 17:44 - 신청
2021-11-12 13:46 - 문서재제출요청
2021-11-12 16:08 - 신청
2021-12-14 16:31 - 보완요청
2021-12-21 11:04 - 신청
2022-02-18 18:01 - 문서재제출요청
2022-02-21 18:32 - 신청
2022-02-22 16:59 - 문서재제출요청
2022-02-23 17:41 - 신청
2022-04-14 12:43 - 검토승인
2022-04-21 16:39 - 심의승인</x:v>
      </x:c>
    </x:row>
    <x:row r="2788" ht="42" customHeight="1">
      <x:c r="A2788" s="2" t="str">
        <x:v>cff0244c01c5cc9846d69ea4</x:v>
      </x:c>
      <x:c r="B2788" s="2" t="str">
        <x:v>감축량 인증</x:v>
      </x:c>
      <x:c r="C2788" s="2" t="str">
        <x:v>국외</x:v>
      </x:c>
      <x:c r="D2788" s="7" t="str">
        <x:v>사하라 이남 아프리카 고효율 쿡스토브 보급 사업-잠비아-CPA005</x:v>
      </x:c>
      <x:c r="E2788" s="2" t="str">
        <x:v>373</x:v>
      </x:c>
      <x:c r="F2788" s="2" t="str">
        <x:v>2021-11-08</x:v>
      </x:c>
      <x:c r="G2788" s="2" t="str">
        <x:v>2021</x:v>
      </x:c>
      <x:c r="H2788" s="2" t="str">
        <x:v>11</x:v>
      </x:c>
      <x:c r="I2788" s="2" t="str">
        <x:v>심의승인</x:v>
      </x:c>
      <x:c r="J2788" s="2" t="str">
        <x:v>심의승인</x:v>
      </x:c>
      <x:c r="K2788" s="2" t="str">
        <x:f>IF(OR(J2788="심의승인",J2788="반려",J2788="반려완료",J2788="심의완료"),"종결 표시",IF(OR(J2788="기후부협의",J2788="문서재제출요청",J2788="보류",J2788="보완요청",J2788="보완완료",J2788="평가중",J2788="반려요청",J2788="평가필요",LEFT(J2788,5)="보완요청("),"미종결 표시","상태 확인 필요"))</x:f>
        <x:v>종결 표시</x:v>
      </x:c>
      <x:c r="L2788" s="2" t="str">
        <x:v>KECM</x:v>
      </x:c>
      <x:c r="M2788" s="2"/>
      <x:c r="N2788" s="8" t="n">
        <x:f>DATE(2026,10,15)-DATE(2021,11,8)</x:f>
        <x:v>1802</x:v>
      </x:c>
      <x:c r="O2788" s="2"/>
      <x:c r="P2788" s="2"/>
      <x:c r="Q2788" s="2" t="str">
        <x:v>산업전환_외부사업관리Tool_260707_이너젠 수정_LJY_261013.xlsx</x:v>
      </x:c>
      <x:c r="R2788" s="2" t="str">
        <x:v>국외인증</x:v>
      </x:c>
      <x:c r="S2788" s="8" t="n">
        <x:v>375</x:v>
      </x:c>
      <x:c r="T2788" s="2" t="str">
        <x:v>(12/1)</x:v>
      </x:c>
      <x:c r="U2788" s="2" t="str">
        <x:v>2021 지정: (12/1) / 2022 지정: (1/18)</x:v>
      </x:c>
      <x:c r="V2788" s="2" t="str">
        <x:v>2022-04-21</x:v>
      </x:c>
      <x:c r="W2788" s="2" t="str"/>
      <x:c r="X2788" s="2" t="str">
        <x:v>종결 근거 보관</x:v>
      </x:c>
      <x:c r="Y2788" s="2" t="str">
        <x:v>ad210cd9ec132cfd447541c8984dc53d30aff0f4fb2dc92d254d49275cc55976</x:v>
      </x:c>
      <x:c r="Z2788" s="2" t="n">
        <x:f>SUBTOTAL(103,A2788)</x:f>
        <x:v>1</x:v>
      </x:c>
      <x:c r="AA2788" s="2" t="str">
        <x:f>IF(K2788&lt;&gt;"미종결 표시","대상 아님",IF(N2788="","신청일 확인",IF(NOT(ISNUMBER('종합 현황'!$H$5)),"관찰기준 확인",IF('종합 현황'!$H$5&lt;1,"관찰기준 확인",IF(N2788&gt;'종합 현황'!$H$5,"내부 관찰 대상","내부 관찰일 이하")))))</x:f>
        <x:v>대상 아님</x:v>
      </x:c>
      <x:c r="AB2788" s="2" t="str">
        <x:v>2021-11-08 17:45 - 신청
2021-11-12 13:46 - 문서재제출요청
2021-11-12 16:17 - 신청
2021-12-14 16:33 - 보완요청
2021-12-21 11:05 - 신청
2022-02-18 18:02 - 문서재제출요청
2022-02-21 18:39 - 신청
2022-02-22 17:00 - 문서재제출요청
2022-02-23 17:42 - 신청
2022-04-14 12:47 - 검토승인
2022-04-21 16:45 - 심의승인</x:v>
      </x:c>
    </x:row>
    <x:row r="2789" ht="42" customHeight="1">
      <x:c r="A2789" s="2" t="str">
        <x:v>f43cbf2fd80bae2d733514b9</x:v>
      </x:c>
      <x:c r="B2789" s="2" t="str">
        <x:v>감축량 인증</x:v>
      </x:c>
      <x:c r="C2789" s="2" t="str">
        <x:v>국외</x:v>
      </x:c>
      <x:c r="D2789" s="7" t="str">
        <x:v>캄보디아 가정용 스토브 보급-CPA004</x:v>
      </x:c>
      <x:c r="E2789" s="2" t="str">
        <x:v>374</x:v>
      </x:c>
      <x:c r="F2789" s="2" t="str">
        <x:v>2021-11-09</x:v>
      </x:c>
      <x:c r="G2789" s="2" t="str">
        <x:v>2021</x:v>
      </x:c>
      <x:c r="H2789" s="2" t="str">
        <x:v>11</x:v>
      </x:c>
      <x:c r="I2789" s="2" t="str">
        <x:v>심의승인</x:v>
      </x:c>
      <x:c r="J2789" s="2" t="str">
        <x:v>심의승인</x:v>
      </x:c>
      <x:c r="K2789" s="2" t="str">
        <x:f>IF(OR(J2789="심의승인",J2789="반려",J2789="반려완료",J2789="심의완료"),"종결 표시",IF(OR(J2789="기후부협의",J2789="문서재제출요청",J2789="보류",J2789="보완요청",J2789="보완완료",J2789="평가중",J2789="반려요청",J2789="평가필요",LEFT(J2789,5)="보완요청("),"미종결 표시","상태 확인 필요"))</x:f>
        <x:v>종결 표시</x:v>
      </x:c>
      <x:c r="L2789" s="2" t="str">
        <x:v>에코시안_조혜민</x:v>
      </x:c>
      <x:c r="M2789" s="2"/>
      <x:c r="N2789" s="8" t="n">
        <x:f>DATE(2026,10,15)-DATE(2021,11,9)</x:f>
        <x:v>1801</x:v>
      </x:c>
      <x:c r="O2789" s="2"/>
      <x:c r="P2789" s="2"/>
      <x:c r="Q2789" s="2" t="str">
        <x:v>산업전환_외부사업관리Tool_260707_이너젠 수정_LJY_261013.xlsx</x:v>
      </x:c>
      <x:c r="R2789" s="2" t="str">
        <x:v>국외인증</x:v>
      </x:c>
      <x:c r="S2789" s="8" t="n">
        <x:v>376</x:v>
      </x:c>
      <x:c r="T2789" s="2" t="str">
        <x:v>(12/1)</x:v>
      </x:c>
      <x:c r="U2789" s="2" t="str">
        <x:v>2021 지정: (12/1) / 2022 지정: (1/18),(3/16),(4/19),(8/16)</x:v>
      </x:c>
      <x:c r="V2789" s="2" t="str">
        <x:v>2022-10-17</x:v>
      </x:c>
      <x:c r="W2789" s="2" t="str"/>
      <x:c r="X2789" s="2" t="str">
        <x:v>종결 근거 보관</x:v>
      </x:c>
      <x:c r="Y2789" s="2" t="str">
        <x:v>ad210cd9ec132cfd447541c8984dc53d30aff0f4fb2dc92d254d49275cc55976</x:v>
      </x:c>
      <x:c r="Z2789" s="2" t="n">
        <x:f>SUBTOTAL(103,A2789)</x:f>
        <x:v>1</x:v>
      </x:c>
      <x:c r="AA2789" s="2" t="str">
        <x:f>IF(K2789&lt;&gt;"미종결 표시","대상 아님",IF(N2789="","신청일 확인",IF(NOT(ISNUMBER('종합 현황'!$H$5)),"관찰기준 확인",IF('종합 현황'!$H$5&lt;1,"관찰기준 확인",IF(N2789&gt;'종합 현황'!$H$5,"내부 관찰 대상","내부 관찰일 이하")))))</x:f>
        <x:v>대상 아님</x:v>
      </x:c>
      <x:c r="AB2789" s="2" t="str">
        <x:v>2021-11-09 11:17 - 접수
2021-11-09 11:50 - 신청
2021-12-30 13:50 - 문서재제출요청
2022-02-15 16:54 - 접수
2022-02-16 17:26 - 신청
2022-02-22 17:01 - 문서재제출요청
2022-02-23 15:29 - 접수
2022-02-23 15:33 - 신청
2022-04-13 10:37 - 문서재제출요청
2022-04-15 09:59 - 접수
2022-04-18 14:19 - 신청
2022-07-29 16:37 - 문서재제출요청
2022-08-05 09:28 - 접수
2022-08-08 09:56 - 신청
2022-10-11 15:49 - 검토승인
2022-10-17 15:14 - 심의승인</x:v>
      </x:c>
    </x:row>
    <x:row r="2790" ht="42" customHeight="1">
      <x:c r="A2790" s="2" t="str">
        <x:v>ba55d19ebdf9b68bdfbb07ca</x:v>
      </x:c>
      <x:c r="B2790" s="2" t="str">
        <x:v>감축량 인증</x:v>
      </x:c>
      <x:c r="C2790" s="2" t="str">
        <x:v>국외</x:v>
      </x:c>
      <x:c r="D2790" s="7" t="str">
        <x:v>라오스 가정용 스토브 보급-CPA003</x:v>
      </x:c>
      <x:c r="E2790" s="2" t="str">
        <x:v>375</x:v>
      </x:c>
      <x:c r="F2790" s="2" t="str">
        <x:v>2021-11-09</x:v>
      </x:c>
      <x:c r="G2790" s="2" t="str">
        <x:v>2021</x:v>
      </x:c>
      <x:c r="H2790" s="2" t="str">
        <x:v>11</x:v>
      </x:c>
      <x:c r="I2790" s="2" t="str">
        <x:v>심의승인</x:v>
      </x:c>
      <x:c r="J2790" s="2" t="str">
        <x:v>심의승인</x:v>
      </x:c>
      <x:c r="K2790" s="2" t="str">
        <x:f>IF(OR(J2790="심의승인",J2790="반려",J2790="반려완료",J2790="심의완료"),"종결 표시",IF(OR(J2790="기후부협의",J2790="문서재제출요청",J2790="보류",J2790="보완요청",J2790="보완완료",J2790="평가중",J2790="반려요청",J2790="평가필요",LEFT(J2790,5)="보완요청("),"미종결 표시","상태 확인 필요"))</x:f>
        <x:v>종결 표시</x:v>
      </x:c>
      <x:c r="L2790" s="2" t="str">
        <x:v>에코시안_조혜민</x:v>
      </x:c>
      <x:c r="M2790" s="2"/>
      <x:c r="N2790" s="8" t="n">
        <x:f>DATE(2026,10,15)-DATE(2021,11,9)</x:f>
        <x:v>1801</x:v>
      </x:c>
      <x:c r="O2790" s="2"/>
      <x:c r="P2790" s="2"/>
      <x:c r="Q2790" s="2" t="str">
        <x:v>산업전환_외부사업관리Tool_260707_이너젠 수정_LJY_261013.xlsx</x:v>
      </x:c>
      <x:c r="R2790" s="2" t="str">
        <x:v>국외인증</x:v>
      </x:c>
      <x:c r="S2790" s="8" t="n">
        <x:v>377</x:v>
      </x:c>
      <x:c r="T2790" s="2" t="str">
        <x:v>(12/1)</x:v>
      </x:c>
      <x:c r="U2790" s="2" t="str">
        <x:v>2021 지정: (12/1) / 2022 지정: (1/18),(3/16),(4/19)</x:v>
      </x:c>
      <x:c r="V2790" s="2" t="str">
        <x:v>2022-10-17</x:v>
      </x:c>
      <x:c r="W2790" s="2" t="str"/>
      <x:c r="X2790" s="2" t="str">
        <x:v>종결 근거 보관</x:v>
      </x:c>
      <x:c r="Y2790" s="2" t="str">
        <x:v>ad210cd9ec132cfd447541c8984dc53d30aff0f4fb2dc92d254d49275cc55976</x:v>
      </x:c>
      <x:c r="Z2790" s="2" t="n">
        <x:f>SUBTOTAL(103,A2790)</x:f>
        <x:v>1</x:v>
      </x:c>
      <x:c r="AA2790" s="2" t="str">
        <x:f>IF(K2790&lt;&gt;"미종결 표시","대상 아님",IF(N2790="","신청일 확인",IF(NOT(ISNUMBER('종합 현황'!$H$5)),"관찰기준 확인",IF('종합 현황'!$H$5&lt;1,"관찰기준 확인",IF(N2790&gt;'종합 현황'!$H$5,"내부 관찰 대상","내부 관찰일 이하")))))</x:f>
        <x:v>대상 아님</x:v>
      </x:c>
      <x:c r="AB2790" s="2" t="str">
        <x:v>2021-11-09 11:19 - 접수
2021-11-09 11:50 - 신청
2021-12-30 13:51 - 문서재제출요청
2022-02-15 16:53 - 접수
2022-02-16 17:26 - 신청
2022-02-22 17:01 - 문서재제출요청
2022-02-23 15:29 - 접수
2022-02-23 15:34 - 신청
2022-04-13 10:37 - 문서재제출요청
2022-04-15 09:59 - 접수
2022-04-18 14:19 - 신청
2022-10-11 15:48 - 검토승인
2022-10-17 15:12 - 심의승인</x:v>
      </x:c>
    </x:row>
    <x:row r="2791" ht="42" customHeight="1">
      <x:c r="A2791" s="2" t="str">
        <x:v>6cce8c5fc1ab8b7120de9e24</x:v>
      </x:c>
      <x:c r="B2791" s="2" t="str">
        <x:v>감축량 인증</x:v>
      </x:c>
      <x:c r="C2791" s="2" t="str">
        <x:v>국외</x:v>
      </x:c>
      <x:c r="D2791" s="7" t="str">
        <x:v>청정 에너지 프로그램 CPA MM 02</x:v>
      </x:c>
      <x:c r="E2791" s="2" t="str">
        <x:v>376</x:v>
      </x:c>
      <x:c r="F2791" s="2" t="str">
        <x:v>2021-11-26</x:v>
      </x:c>
      <x:c r="G2791" s="2" t="str">
        <x:v>2021</x:v>
      </x:c>
      <x:c r="H2791" s="2" t="str">
        <x:v>11</x:v>
      </x:c>
      <x:c r="I2791" s="2" t="str">
        <x:v>심의승인</x:v>
      </x:c>
      <x:c r="J2791" s="2" t="str">
        <x:v>심의승인</x:v>
      </x:c>
      <x:c r="K2791" s="2" t="str">
        <x:f>IF(OR(J2791="심의승인",J2791="반려",J2791="반려완료",J2791="심의완료"),"종결 표시",IF(OR(J2791="기후부협의",J2791="문서재제출요청",J2791="보류",J2791="보완요청",J2791="보완완료",J2791="평가중",J2791="반려요청",J2791="평가필요",LEFT(J2791,5)="보완요청("),"미종결 표시","상태 확인 필요"))</x:f>
        <x:v>종결 표시</x:v>
      </x:c>
      <x:c r="L2791" s="2" t="str">
        <x:v>에코시안_조혜민</x:v>
      </x:c>
      <x:c r="M2791" s="2"/>
      <x:c r="N2791" s="8" t="n">
        <x:f>DATE(2026,10,15)-DATE(2021,11,26)</x:f>
        <x:v>1784</x:v>
      </x:c>
      <x:c r="O2791" s="2"/>
      <x:c r="P2791" s="2"/>
      <x:c r="Q2791" s="2" t="str">
        <x:v>산업전환_외부사업관리Tool_260707_이너젠 수정_LJY_261013.xlsx</x:v>
      </x:c>
      <x:c r="R2791" s="2" t="str">
        <x:v>국외인증</x:v>
      </x:c>
      <x:c r="S2791" s="8" t="n">
        <x:v>378</x:v>
      </x:c>
      <x:c r="T2791" s="2" t="str">
        <x:v>(12/10)</x:v>
      </x:c>
      <x:c r="U2791" s="2" t="str">
        <x:v>2021 지정: (12/10) / 2022 지정: (1/18)</x:v>
      </x:c>
      <x:c r="V2791" s="2" t="str">
        <x:v>2022-07-14</x:v>
      </x:c>
      <x:c r="W2791" s="2" t="str"/>
      <x:c r="X2791" s="2" t="str">
        <x:v>종결 근거 보관</x:v>
      </x:c>
      <x:c r="Y2791" s="2" t="str">
        <x:v>ad210cd9ec132cfd447541c8984dc53d30aff0f4fb2dc92d254d49275cc55976</x:v>
      </x:c>
      <x:c r="Z2791" s="2" t="n">
        <x:f>SUBTOTAL(103,A2791)</x:f>
        <x:v>1</x:v>
      </x:c>
      <x:c r="AA2791" s="2" t="str">
        <x:f>IF(K2791&lt;&gt;"미종결 표시","대상 아님",IF(N2791="","신청일 확인",IF(NOT(ISNUMBER('종합 현황'!$H$5)),"관찰기준 확인",IF('종합 현황'!$H$5&lt;1,"관찰기준 확인",IF(N2791&gt;'종합 현황'!$H$5,"내부 관찰 대상","내부 관찰일 이하")))))</x:f>
        <x:v>대상 아님</x:v>
      </x:c>
      <x:c r="AB2791" s="2" t="str">
        <x:v>2021-11-26 13:17 - 신청
2021-12-06 16:24 - 문서재제출요청
2021-12-06 16:43 - 신청
2022-01-14 16:47 - 문서재제출요청
2022-01-18 13:55 - 신청
2022-02-22 15:07 - 문서재제출요청
2022-02-22 15:47 - 신청
2022-02-22 16:58 - 문서재제출요청
2022-02-22 17:06 - 신청
2022-02-25 16:49 - 문서재제출요청
2022-02-25 16:58 - 신청
2022-02-28 15:51 - 문서재제출요청
2022-02-28 16:23 - 신청
2022-07-05 16:24 - 검토승인
2022-07-14 15:08 - 심의승인</x:v>
      </x:c>
    </x:row>
    <x:row r="2792" ht="42" customHeight="1">
      <x:c r="A2792" s="2" t="str">
        <x:v>aba0974cda1fba123f9d41ee</x:v>
      </x:c>
      <x:c r="B2792" s="2" t="str">
        <x:v>감축량 인증</x:v>
      </x:c>
      <x:c r="C2792" s="2" t="str">
        <x:v>국외</x:v>
      </x:c>
      <x:c r="D2792" s="7" t="str">
        <x:v>청정 에너지 프로그램 CPA MM 02</x:v>
      </x:c>
      <x:c r="E2792" s="2" t="str">
        <x:v>377</x:v>
      </x:c>
      <x:c r="F2792" s="2" t="str">
        <x:v>2021-12-07</x:v>
      </x:c>
      <x:c r="G2792" s="2" t="str">
        <x:v>2021</x:v>
      </x:c>
      <x:c r="H2792" s="2" t="str">
        <x:v>12</x:v>
      </x:c>
      <x:c r="I2792" s="2" t="str">
        <x:v>심의승인</x:v>
      </x:c>
      <x:c r="J2792" s="2" t="str">
        <x:v>심의승인</x:v>
      </x:c>
      <x:c r="K2792" s="2" t="str">
        <x:f>IF(OR(J2792="심의승인",J2792="반려",J2792="반려완료",J2792="심의완료"),"종결 표시",IF(OR(J2792="기후부협의",J2792="문서재제출요청",J2792="보류",J2792="보완요청",J2792="보완완료",J2792="평가중",J2792="반려요청",J2792="평가필요",LEFT(J2792,5)="보완요청("),"미종결 표시","상태 확인 필요"))</x:f>
        <x:v>종결 표시</x:v>
      </x:c>
      <x:c r="L2792" s="2" t="str">
        <x:v>에코시안_조혜민</x:v>
      </x:c>
      <x:c r="M2792" s="2"/>
      <x:c r="N2792" s="8" t="n">
        <x:f>DATE(2026,10,15)-DATE(2021,12,7)</x:f>
        <x:v>1773</x:v>
      </x:c>
      <x:c r="O2792" s="2"/>
      <x:c r="P2792" s="2"/>
      <x:c r="Q2792" s="2" t="str">
        <x:v>산업전환_외부사업관리Tool_260707_이너젠 수정_LJY_261013.xlsx</x:v>
      </x:c>
      <x:c r="R2792" s="2" t="str">
        <x:v>국외인증</x:v>
      </x:c>
      <x:c r="S2792" s="8" t="n">
        <x:v>379</x:v>
      </x:c>
      <x:c r="T2792" s="2" t="str">
        <x:v>(12/10)</x:v>
      </x:c>
      <x:c r="U2792" s="2" t="str">
        <x:v>2021 지정: (12/10) / 2022 지정: (1/18)</x:v>
      </x:c>
      <x:c r="V2792" s="2" t="str">
        <x:v>2022-07-14</x:v>
      </x:c>
      <x:c r="W2792" s="2" t="str"/>
      <x:c r="X2792" s="2" t="str">
        <x:v>종결 근거 보관</x:v>
      </x:c>
      <x:c r="Y2792" s="2" t="str">
        <x:v>ad210cd9ec132cfd447541c8984dc53d30aff0f4fb2dc92d254d49275cc55976</x:v>
      </x:c>
      <x:c r="Z2792" s="2" t="n">
        <x:f>SUBTOTAL(103,A2792)</x:f>
        <x:v>1</x:v>
      </x:c>
      <x:c r="AA2792" s="2" t="str">
        <x:f>IF(K2792&lt;&gt;"미종결 표시","대상 아님",IF(N2792="","신청일 확인",IF(NOT(ISNUMBER('종합 현황'!$H$5)),"관찰기준 확인",IF('종합 현황'!$H$5&lt;1,"관찰기준 확인",IF(N2792&gt;'종합 현황'!$H$5,"내부 관찰 대상","내부 관찰일 이하")))))</x:f>
        <x:v>대상 아님</x:v>
      </x:c>
      <x:c r="AB2792" s="2" t="str">
        <x:v>2021-12-07 13:42 - 신청
2022-01-14 16:47 - 문서재제출요청
2022-01-18 13:59 - 신청
2022-02-22 15:07 - 문서재제출요청
2022-02-22 15:50 - 신청
2022-02-22 16:58 - 문서재제출요청
2022-02-22 17:01 - 신청
2022-02-25 16:46 - 문서재제출요청
2022-02-25 16:52 - 신청
2022-02-28 15:51 - 문서재제출요청
2022-02-28 16:24 - 신청
2022-07-05 16:22 - 검토승인
2022-07-14 15:33 - 심의승인</x:v>
      </x:c>
    </x:row>
    <x:row r="2793" ht="42" customHeight="1">
      <x:c r="A2793" s="2" t="str">
        <x:v>463e0cb4df168672f15de6c9</x:v>
      </x:c>
      <x:c r="B2793" s="2" t="str">
        <x:v>감축량 인증</x:v>
      </x:c>
      <x:c r="C2793" s="2" t="str">
        <x:v>국외</x:v>
      </x:c>
      <x:c r="D2793" s="7" t="str">
        <x:v>서하남 사막 이남의 아프리카-말라위에 향상된 쿡스토브 보급 CPA-006사업</x:v>
      </x:c>
      <x:c r="E2793" s="2" t="str">
        <x:v>378</x:v>
      </x:c>
      <x:c r="F2793" s="2" t="str">
        <x:v>2021-12-14</x:v>
      </x:c>
      <x:c r="G2793" s="2" t="str">
        <x:v>2021</x:v>
      </x:c>
      <x:c r="H2793" s="2" t="str">
        <x:v>12</x:v>
      </x:c>
      <x:c r="I2793" s="2" t="str">
        <x:v>심의승인</x:v>
      </x:c>
      <x:c r="J2793" s="2" t="str">
        <x:v>심의승인</x:v>
      </x:c>
      <x:c r="K2793" s="2" t="str">
        <x:f>IF(OR(J2793="심의승인",J2793="반려",J2793="반려완료",J2793="심의완료"),"종결 표시",IF(OR(J2793="기후부협의",J2793="문서재제출요청",J2793="보류",J2793="보완요청",J2793="보완완료",J2793="평가중",J2793="반려요청",J2793="평가필요",LEFT(J2793,5)="보완요청("),"미종결 표시","상태 확인 필요"))</x:f>
        <x:v>종결 표시</x:v>
      </x:c>
      <x:c r="L2793" s="2" t="str">
        <x:v>KECM &gt; KRIC</x:v>
      </x:c>
      <x:c r="M2793" s="2"/>
      <x:c r="N2793" s="8" t="n">
        <x:f>DATE(2026,10,15)-DATE(2021,12,14)</x:f>
        <x:v>1766</x:v>
      </x:c>
      <x:c r="O2793" s="2"/>
      <x:c r="P2793" s="2"/>
      <x:c r="Q2793" s="2" t="str">
        <x:v>산업전환_외부사업관리Tool_260707_이너젠 수정_LJY_261013.xlsx</x:v>
      </x:c>
      <x:c r="R2793" s="2" t="str">
        <x:v>국외인증</x:v>
      </x:c>
      <x:c r="S2793" s="8" t="n">
        <x:v>380</x:v>
      </x:c>
      <x:c r="T2793" s="2" t="str">
        <x:v>(1/18),(4/19)</x:v>
      </x:c>
      <x:c r="U2793" s="2" t="str">
        <x:v>2022 지정: (1/18),(4/19)</x:v>
      </x:c>
      <x:c r="V2793" s="2" t="str">
        <x:v>2022-12-28</x:v>
      </x:c>
      <x:c r="W2793" s="2" t="str"/>
      <x:c r="X2793" s="2" t="str">
        <x:v>종결 근거 보관</x:v>
      </x:c>
      <x:c r="Y2793" s="2" t="str">
        <x:v>ad210cd9ec132cfd447541c8984dc53d30aff0f4fb2dc92d254d49275cc55976</x:v>
      </x:c>
      <x:c r="Z2793" s="2" t="n">
        <x:f>SUBTOTAL(103,A2793)</x:f>
        <x:v>1</x:v>
      </x:c>
      <x:c r="AA2793" s="2" t="str">
        <x:f>IF(K2793&lt;&gt;"미종결 표시","대상 아님",IF(N2793="","신청일 확인",IF(NOT(ISNUMBER('종합 현황'!$H$5)),"관찰기준 확인",IF('종합 현황'!$H$5&lt;1,"관찰기준 확인",IF(N2793&gt;'종합 현황'!$H$5,"내부 관찰 대상","내부 관찰일 이하")))))</x:f>
        <x:v>대상 아님</x:v>
      </x:c>
      <x:c r="AB2793" s="2" t="str">
        <x:v>2021-12-14 16:35 - 신청
2022-01-20 11:20 - 보완요청
2022-03-29 14:33 - 신청
2022-07-18 15:53 - 보완요청
2022-08-12 14:38 - 신청
2022-08-22 16:27 - 문서재제출요청
2022-08-22 16:35 - 신청
2022-08-24 13:13 - 문서재제출요청
2022-08-24 16:21 - 신청
2022-08-30 10:05 - 문서재제출요청
2022-08-31 08:49 - 신청
2022-09-19 17:06 - 문서재제출요청
2022-09-19 17:20 - 신청
2022-12-21 17:38 - 검토승인
2022-12-28 16:17 - 심의승인</x:v>
      </x:c>
    </x:row>
    <x:row r="2794" ht="42" customHeight="1">
      <x:c r="A2794" s="2" t="str">
        <x:v>ccc6062777bcb4d7bc498300</x:v>
      </x:c>
      <x:c r="B2794" s="2" t="str">
        <x:v>감축량 인증</x:v>
      </x:c>
      <x:c r="C2794" s="2" t="str">
        <x:v>국외</x:v>
      </x:c>
      <x:c r="D2794" s="7" t="str">
        <x:v>스망까 수력 CDM 사업</x:v>
      </x:c>
      <x:c r="E2794" s="2" t="str">
        <x:v>379</x:v>
      </x:c>
      <x:c r="F2794" s="2" t="str">
        <x:v>2021-12-16</x:v>
      </x:c>
      <x:c r="G2794" s="2" t="str">
        <x:v>2021</x:v>
      </x:c>
      <x:c r="H2794" s="2" t="str">
        <x:v>12</x:v>
      </x:c>
      <x:c r="I2794" s="2" t="str">
        <x:v>심의승인</x:v>
      </x:c>
      <x:c r="J2794" s="2" t="str">
        <x:v>심의승인</x:v>
      </x:c>
      <x:c r="K2794" s="2" t="str">
        <x:f>IF(OR(J2794="심의승인",J2794="반려",J2794="반려완료",J2794="심의완료"),"종결 표시",IF(OR(J2794="기후부협의",J2794="문서재제출요청",J2794="보류",J2794="보완요청",J2794="보완완료",J2794="평가중",J2794="반려요청",J2794="평가필요",LEFT(J2794,5)="보완요청("),"미종결 표시","상태 확인 필요"))</x:f>
        <x:v>종결 표시</x:v>
      </x:c>
      <x:c r="L2794" s="2" t="str">
        <x:v>KECM&gt;KRIC</x:v>
      </x:c>
      <x:c r="M2794" s="2"/>
      <x:c r="N2794" s="8" t="n">
        <x:f>DATE(2026,10,15)-DATE(2021,12,16)</x:f>
        <x:v>1764</x:v>
      </x:c>
      <x:c r="O2794" s="2"/>
      <x:c r="P2794" s="2"/>
      <x:c r="Q2794" s="2" t="str">
        <x:v>산업전환_외부사업관리Tool_260707_이너젠 수정_LJY_261013.xlsx</x:v>
      </x:c>
      <x:c r="R2794" s="2" t="str">
        <x:v>국외인증</x:v>
      </x:c>
      <x:c r="S2794" s="8" t="n">
        <x:v>381</x:v>
      </x:c>
      <x:c r="T2794" s="2" t="str">
        <x:v>(1/18),(3/16),(5/18)</x:v>
      </x:c>
      <x:c r="U2794" s="2" t="str">
        <x:v>2022 지정: (1/18),(3/16),(5/18)</x:v>
      </x:c>
      <x:c r="V2794" s="2" t="str">
        <x:v>2022-12-28</x:v>
      </x:c>
      <x:c r="W2794" s="2" t="str"/>
      <x:c r="X2794" s="2" t="str">
        <x:v>종결 근거 보관</x:v>
      </x:c>
      <x:c r="Y2794" s="2" t="str">
        <x:v>ad210cd9ec132cfd447541c8984dc53d30aff0f4fb2dc92d254d49275cc55976</x:v>
      </x:c>
      <x:c r="Z2794" s="2" t="n">
        <x:f>SUBTOTAL(103,A2794)</x:f>
        <x:v>1</x:v>
      </x:c>
      <x:c r="AA2794" s="2" t="str">
        <x:f>IF(K2794&lt;&gt;"미종결 표시","대상 아님",IF(N2794="","신청일 확인",IF(NOT(ISNUMBER('종합 현황'!$H$5)),"관찰기준 확인",IF('종합 현황'!$H$5&lt;1,"관찰기준 확인",IF(N2794&gt;'종합 현황'!$H$5,"내부 관찰 대상","내부 관찰일 이하")))))</x:f>
        <x:v>대상 아님</x:v>
      </x:c>
      <x:c r="AB2794" s="2" t="str">
        <x:v>2021-12-16 15:46 - 접수
2021-12-16 16:38 - 신청
2022-01-24 18:41 - 보완요청
2022-02-18 12:59 - 접수
2022-02-21 09:32 - 신청
2022-04-01 17:32 - 보완요청
2022-05-02 15:03 - 접수
2022-05-04 08:19 - 신청
2022-07-18 15:57 - 보완요청
2022-08-24 10:37 - 접수
2022-08-24 10:40 - 신청
2022-09-13 15:28 - 문서재제출요청
2022-09-16 15:20 - 접수
2022-09-19 10:46 - 신청
2022-12-21 17:43 - 검토승인
2022-12-28 16:05 - 심의승인</x:v>
      </x:c>
    </x:row>
    <x:row r="2795" ht="42" customHeight="1">
      <x:c r="A2795" s="2" t="str">
        <x:v>951ddf9ffdc8b7385d770813</x:v>
      </x:c>
      <x:c r="B2795" s="2" t="str">
        <x:v>감축량 인증</x:v>
      </x:c>
      <x:c r="C2795" s="2" t="str">
        <x:v>국외</x:v>
      </x:c>
      <x:c r="D2795" s="7" t="str">
        <x:v>마다가스카르의 개선된 쿡스토브 프로젝트 by KCM - Wood#CPA-W-004</x:v>
      </x:c>
      <x:c r="E2795" s="2" t="str">
        <x:v>394</x:v>
      </x:c>
      <x:c r="F2795" s="2" t="str">
        <x:v>2022-01-14</x:v>
      </x:c>
      <x:c r="G2795" s="2" t="str">
        <x:v>2022</x:v>
      </x:c>
      <x:c r="H2795" s="2" t="str">
        <x:v>01</x:v>
      </x:c>
      <x:c r="I2795" s="2" t="str">
        <x:v>심의승인</x:v>
      </x:c>
      <x:c r="J2795" s="2" t="str">
        <x:v>심의승인</x:v>
      </x:c>
      <x:c r="K2795" s="2" t="str">
        <x:f>IF(OR(J2795="심의승인",J2795="반려",J2795="반려완료",J2795="심의완료"),"종결 표시",IF(OR(J2795="기후부협의",J2795="문서재제출요청",J2795="보류",J2795="보완요청",J2795="보완완료",J2795="평가중",J2795="반려요청",J2795="평가필요",LEFT(J2795,5)="보완요청("),"미종결 표시","상태 확인 필요"))</x:f>
        <x:v>종결 표시</x:v>
      </x:c>
      <x:c r="L2795" s="2" t="str">
        <x:v>에코시안_기샛별 &gt; KRIC</x:v>
      </x:c>
      <x:c r="M2795" s="2"/>
      <x:c r="N2795" s="8" t="n">
        <x:f>DATE(2026,10,15)-DATE(2022,1,14)</x:f>
        <x:v>1735</x:v>
      </x:c>
      <x:c r="O2795" s="2"/>
      <x:c r="P2795" s="2"/>
      <x:c r="Q2795" s="2" t="str">
        <x:v>산업전환_외부사업관리Tool_260707_이너젠 수정_LJY_261013.xlsx</x:v>
      </x:c>
      <x:c r="R2795" s="2" t="str">
        <x:v>국외인증</x:v>
      </x:c>
      <x:c r="S2795" s="8" t="n">
        <x:v>382</x:v>
      </x:c>
      <x:c r="T2795" s="2" t="str">
        <x:v>(1/18),(4/19),(9/19)</x:v>
      </x:c>
      <x:c r="U2795" s="2" t="str">
        <x:v>2022 지정: (1/18),(4/19),(9/19)</x:v>
      </x:c>
      <x:c r="V2795" s="2" t="str">
        <x:v>2023-12-13</x:v>
      </x:c>
      <x:c r="W2795" s="2" t="str"/>
      <x:c r="X2795" s="2" t="str">
        <x:v>종결 근거 보관</x:v>
      </x:c>
      <x:c r="Y2795" s="2" t="str">
        <x:v>ad210cd9ec132cfd447541c8984dc53d30aff0f4fb2dc92d254d49275cc55976</x:v>
      </x:c>
      <x:c r="Z2795" s="2" t="n">
        <x:f>SUBTOTAL(103,A2795)</x:f>
        <x:v>1</x:v>
      </x:c>
      <x:c r="AA2795" s="2" t="str">
        <x:f>IF(K2795&lt;&gt;"미종결 표시","대상 아님",IF(N2795="","신청일 확인",IF(NOT(ISNUMBER('종합 현황'!$H$5)),"관찰기준 확인",IF('종합 현황'!$H$5&lt;1,"관찰기준 확인",IF(N2795&gt;'종합 현황'!$H$5,"내부 관찰 대상","내부 관찰일 이하")))))</x:f>
        <x:v>대상 아님</x:v>
      </x:c>
      <x:c r="AB2795" s="2" t="str">
        <x:v>2022-01-14 17:44 - 신청
2022-03-22 14:20 - 문서재제출요청
2022-03-25 15:24 - 신청
2022-07-29 16:57 - 보완요청
2022-08-30 16:29 - 신청
2022-11-15 09:26 - 문서재제출요청
2022-11-15 10:59 - 신청
2023-03-15 13:13 - 검토승인
2023-03-24 14:44 - 심의승인</x:v>
      </x:c>
    </x:row>
    <x:row r="2796" ht="42" customHeight="1">
      <x:c r="A2796" s="2" t="str">
        <x:v>ce2bda4126ab3a1b0cc3cd8f</x:v>
      </x:c>
      <x:c r="B2796" s="2" t="str">
        <x:v>감축량 인증</x:v>
      </x:c>
      <x:c r="C2796" s="2" t="str">
        <x:v>국외</x:v>
      </x:c>
      <x:c r="D2796" s="7" t="str">
        <x:v>마다가스카르의 개선된 쿡스토브 프로젝트 by KCM - Wood#CPA-W-005</x:v>
      </x:c>
      <x:c r="E2796" s="2" t="str">
        <x:v>395</x:v>
      </x:c>
      <x:c r="F2796" s="2" t="str">
        <x:v>2022-01-14</x:v>
      </x:c>
      <x:c r="G2796" s="2" t="str">
        <x:v>2022</x:v>
      </x:c>
      <x:c r="H2796" s="2" t="str">
        <x:v>01</x:v>
      </x:c>
      <x:c r="I2796" s="2" t="str">
        <x:v>심의승인</x:v>
      </x:c>
      <x:c r="J2796" s="2" t="str">
        <x:v>심의승인</x:v>
      </x:c>
      <x:c r="K2796" s="2" t="str">
        <x:f>IF(OR(J2796="심의승인",J2796="반려",J2796="반려완료",J2796="심의완료"),"종결 표시",IF(OR(J2796="기후부협의",J2796="문서재제출요청",J2796="보류",J2796="보완요청",J2796="보완완료",J2796="평가중",J2796="반려요청",J2796="평가필요",LEFT(J2796,5)="보완요청("),"미종결 표시","상태 확인 필요"))</x:f>
        <x:v>종결 표시</x:v>
      </x:c>
      <x:c r="L2796" s="2" t="str">
        <x:v>에코시안_기샛별 &gt; KRIC</x:v>
      </x:c>
      <x:c r="M2796" s="2"/>
      <x:c r="N2796" s="8" t="n">
        <x:f>DATE(2026,10,15)-DATE(2022,1,14)</x:f>
        <x:v>1735</x:v>
      </x:c>
      <x:c r="O2796" s="2"/>
      <x:c r="P2796" s="2"/>
      <x:c r="Q2796" s="2" t="str">
        <x:v>산업전환_외부사업관리Tool_260707_이너젠 수정_LJY_261013.xlsx</x:v>
      </x:c>
      <x:c r="R2796" s="2" t="str">
        <x:v>국외인증</x:v>
      </x:c>
      <x:c r="S2796" s="8" t="n">
        <x:v>383</x:v>
      </x:c>
      <x:c r="T2796" s="2" t="str">
        <x:v>(1/18),(4/19),(9/19)</x:v>
      </x:c>
      <x:c r="U2796" s="2" t="str">
        <x:v>2022 지정: (1/18),(4/19),(9/19)</x:v>
      </x:c>
      <x:c r="V2796" s="2" t="str">
        <x:v>2023-12-13</x:v>
      </x:c>
      <x:c r="W2796" s="2" t="str"/>
      <x:c r="X2796" s="2" t="str">
        <x:v>종결 근거 보관</x:v>
      </x:c>
      <x:c r="Y2796" s="2" t="str">
        <x:v>ad210cd9ec132cfd447541c8984dc53d30aff0f4fb2dc92d254d49275cc55976</x:v>
      </x:c>
      <x:c r="Z2796" s="2" t="n">
        <x:f>SUBTOTAL(103,A2796)</x:f>
        <x:v>1</x:v>
      </x:c>
      <x:c r="AA2796" s="2" t="str">
        <x:f>IF(K2796&lt;&gt;"미종결 표시","대상 아님",IF(N2796="","신청일 확인",IF(NOT(ISNUMBER('종합 현황'!$H$5)),"관찰기준 확인",IF('종합 현황'!$H$5&lt;1,"관찰기준 확인",IF(N2796&gt;'종합 현황'!$H$5,"내부 관찰 대상","내부 관찰일 이하")))))</x:f>
        <x:v>대상 아님</x:v>
      </x:c>
      <x:c r="AB2796" s="2" t="str">
        <x:v>2022-01-14 17:44 - 신청
2022-03-22 14:21 - 문서재제출요청
2022-03-25 15:24 - 신청
2022-07-29 16:59 - 보완요청
2022-08-30 16:29 - 신청
2022-11-15 09:26 - 문서재제출요청
2022-11-15 10:59 - 신청
2023-03-15 13:15 - 검토승인
2023-03-24 14:45 - 심의승인</x:v>
      </x:c>
    </x:row>
    <x:row r="2797" ht="42" customHeight="1">
      <x:c r="A2797" s="2" t="str">
        <x:v>8e02837df112435945708531</x:v>
      </x:c>
      <x:c r="B2797" s="2" t="str">
        <x:v>감축량 인증</x:v>
      </x:c>
      <x:c r="C2797" s="2" t="str">
        <x:v>국외</x:v>
      </x:c>
      <x:c r="D2797" s="7" t="str">
        <x:v>마다가스카르의 개선된 쿡스토브 프로젝트 by KCM - Wood#CPA-W-006</x:v>
      </x:c>
      <x:c r="E2797" s="2" t="str">
        <x:v>396</x:v>
      </x:c>
      <x:c r="F2797" s="2" t="str">
        <x:v>2022-01-14</x:v>
      </x:c>
      <x:c r="G2797" s="2" t="str">
        <x:v>2022</x:v>
      </x:c>
      <x:c r="H2797" s="2" t="str">
        <x:v>01</x:v>
      </x:c>
      <x:c r="I2797" s="2" t="str">
        <x:v>심의승인</x:v>
      </x:c>
      <x:c r="J2797" s="2" t="str">
        <x:v>심의승인</x:v>
      </x:c>
      <x:c r="K2797" s="2" t="str">
        <x:f>IF(OR(J2797="심의승인",J2797="반려",J2797="반려완료",J2797="심의완료"),"종결 표시",IF(OR(J2797="기후부협의",J2797="문서재제출요청",J2797="보류",J2797="보완요청",J2797="보완완료",J2797="평가중",J2797="반려요청",J2797="평가필요",LEFT(J2797,5)="보완요청("),"미종결 표시","상태 확인 필요"))</x:f>
        <x:v>종결 표시</x:v>
      </x:c>
      <x:c r="L2797" s="2" t="str">
        <x:v>에코시안_기샛별 &gt; KRIC</x:v>
      </x:c>
      <x:c r="M2797" s="2"/>
      <x:c r="N2797" s="8" t="n">
        <x:f>DATE(2026,10,15)-DATE(2022,1,14)</x:f>
        <x:v>1735</x:v>
      </x:c>
      <x:c r="O2797" s="2"/>
      <x:c r="P2797" s="2"/>
      <x:c r="Q2797" s="2" t="str">
        <x:v>산업전환_외부사업관리Tool_260707_이너젠 수정_LJY_261013.xlsx</x:v>
      </x:c>
      <x:c r="R2797" s="2" t="str">
        <x:v>국외인증</x:v>
      </x:c>
      <x:c r="S2797" s="8" t="n">
        <x:v>384</x:v>
      </x:c>
      <x:c r="T2797" s="2" t="str">
        <x:v>(1/18),(4/19),(9/19)</x:v>
      </x:c>
      <x:c r="U2797" s="2" t="str">
        <x:v>2022 지정: (1/18),(4/19),(9/19)</x:v>
      </x:c>
      <x:c r="V2797" s="2" t="str">
        <x:v>2023-12-13</x:v>
      </x:c>
      <x:c r="W2797" s="2" t="str"/>
      <x:c r="X2797" s="2" t="str">
        <x:v>종결 근거 보관</x:v>
      </x:c>
      <x:c r="Y2797" s="2" t="str">
        <x:v>ad210cd9ec132cfd447541c8984dc53d30aff0f4fb2dc92d254d49275cc55976</x:v>
      </x:c>
      <x:c r="Z2797" s="2" t="n">
        <x:f>SUBTOTAL(103,A2797)</x:f>
        <x:v>1</x:v>
      </x:c>
      <x:c r="AA2797" s="2" t="str">
        <x:f>IF(K2797&lt;&gt;"미종결 표시","대상 아님",IF(N2797="","신청일 확인",IF(NOT(ISNUMBER('종합 현황'!$H$5)),"관찰기준 확인",IF('종합 현황'!$H$5&lt;1,"관찰기준 확인",IF(N2797&gt;'종합 현황'!$H$5,"내부 관찰 대상","내부 관찰일 이하")))))</x:f>
        <x:v>대상 아님</x:v>
      </x:c>
      <x:c r="AB2797" s="2" t="str">
        <x:v>2022-01-14 17:44 - 신청
2022-03-22 14:21 - 문서재제출요청
2022-03-25 15:24 - 신청
2022-07-29 17:00 - 보완요청
2022-08-30 16:30 - 신청
2022-11-15 09:27 - 문서재제출요청
2022-11-15 11:00 - 신청
2023-03-15 13:16 - 검토승인
2023-03-24 14:47 - 심의승인</x:v>
      </x:c>
    </x:row>
    <x:row r="2798" ht="42" customHeight="1">
      <x:c r="A2798" s="2" t="str">
        <x:v>9e2e477fdefa890f3f7cc18a</x:v>
      </x:c>
      <x:c r="B2798" s="2" t="str">
        <x:v>감축량 인증</x:v>
      </x:c>
      <x:c r="C2798" s="2" t="str">
        <x:v>국외</x:v>
      </x:c>
      <x:c r="D2798" s="7" t="str">
        <x:v>사하라 이남 아프리카 고효율 쿡스토브 보급 사업-말라위-CPA004</x:v>
      </x:c>
      <x:c r="E2798" s="2" t="str">
        <x:v>383</x:v>
      </x:c>
      <x:c r="F2798" s="2" t="str">
        <x:v>2021-12-21</x:v>
      </x:c>
      <x:c r="G2798" s="2" t="str">
        <x:v>2021</x:v>
      </x:c>
      <x:c r="H2798" s="2" t="str">
        <x:v>12</x:v>
      </x:c>
      <x:c r="I2798" s="2" t="str">
        <x:v>심의승인</x:v>
      </x:c>
      <x:c r="J2798" s="2" t="str">
        <x:v>심의승인</x:v>
      </x:c>
      <x:c r="K2798" s="2" t="str">
        <x:f>IF(OR(J2798="심의승인",J2798="반려",J2798="반려완료",J2798="심의완료"),"종결 표시",IF(OR(J2798="기후부협의",J2798="문서재제출요청",J2798="보류",J2798="보완요청",J2798="보완완료",J2798="평가중",J2798="반려요청",J2798="평가필요",LEFT(J2798,5)="보완요청("),"미종결 표시","상태 확인 필요"))</x:f>
        <x:v>종결 표시</x:v>
      </x:c>
      <x:c r="L2798" s="2" t="str">
        <x:v>KECM</x:v>
      </x:c>
      <x:c r="M2798" s="2"/>
      <x:c r="N2798" s="8" t="n">
        <x:f>DATE(2026,10,15)-DATE(2021,12,21)</x:f>
        <x:v>1759</x:v>
      </x:c>
      <x:c r="O2798" s="2"/>
      <x:c r="P2798" s="2"/>
      <x:c r="Q2798" s="2" t="str">
        <x:v>산업전환_외부사업관리Tool_260707_이너젠 수정_LJY_261013.xlsx</x:v>
      </x:c>
      <x:c r="R2798" s="2" t="str">
        <x:v>국외인증</x:v>
      </x:c>
      <x:c r="S2798" s="8" t="n">
        <x:v>385</x:v>
      </x:c>
      <x:c r="T2798" s="2" t="str">
        <x:v>(1/18),(3/16)</x:v>
      </x:c>
      <x:c r="U2798" s="2" t="str">
        <x:v>2022 지정: (1/18),(3/16)</x:v>
      </x:c>
      <x:c r="V2798" s="2" t="str">
        <x:v>2022-07-14</x:v>
      </x:c>
      <x:c r="W2798" s="2" t="str"/>
      <x:c r="X2798" s="2" t="str">
        <x:v>종결 근거 보관</x:v>
      </x:c>
      <x:c r="Y2798" s="2" t="str">
        <x:v>ad210cd9ec132cfd447541c8984dc53d30aff0f4fb2dc92d254d49275cc55976</x:v>
      </x:c>
      <x:c r="Z2798" s="2" t="n">
        <x:f>SUBTOTAL(103,A2798)</x:f>
        <x:v>1</x:v>
      </x:c>
      <x:c r="AA2798" s="2" t="str">
        <x:f>IF(K2798&lt;&gt;"미종결 표시","대상 아님",IF(N2798="","신청일 확인",IF(NOT(ISNUMBER('종합 현황'!$H$5)),"관찰기준 확인",IF('종합 현황'!$H$5&lt;1,"관찰기준 확인",IF(N2798&gt;'종합 현황'!$H$5,"내부 관찰 대상","내부 관찰일 이하")))))</x:f>
        <x:v>대상 아님</x:v>
      </x:c>
      <x:c r="AB2798" s="2" t="str">
        <x:v>2021-12-21 11:21 - 신청
2022-03-10 11:03 - 문서재제출요청
2022-03-10 11:41 - 신청
2022-03-16 15:39 - 문서재제출요청
2022-03-17 10:44 - 신청
2022-03-17 14:57 - 문서재제출요청
2022-03-17 15:40 - 신청
2022-04-21 09:54 - 문서재제출요청
2022-04-21 10:32 - 신청
2022-04-21 14:28 - 문서재제출요청
2022-04-21 15:04 - 신청
2022-05-20 14:03 - 문서재제출요청
2022-05-23 08:41 - 신청
2022-07-05 16:25 - 검토승인
2022-07-14 15:39 - 심의승인</x:v>
      </x:c>
    </x:row>
    <x:row r="2799" ht="42" customHeight="1">
      <x:c r="A2799" s="2" t="str">
        <x:v>ef7ee911fe64e1235aba3324</x:v>
      </x:c>
      <x:c r="B2799" s="2" t="str">
        <x:v>감축량 인증</x:v>
      </x:c>
      <x:c r="C2799" s="2" t="str">
        <x:v>국외</x:v>
      </x:c>
      <x:c r="D2799" s="7" t="str">
        <x:v>왐푸 수력발전사업</x:v>
      </x:c>
      <x:c r="E2799" s="2" t="str">
        <x:v>384</x:v>
      </x:c>
      <x:c r="F2799" s="2" t="str">
        <x:v>2021-12-20</x:v>
      </x:c>
      <x:c r="G2799" s="2" t="str">
        <x:v>2021</x:v>
      </x:c>
      <x:c r="H2799" s="2" t="str">
        <x:v>12</x:v>
      </x:c>
      <x:c r="I2799" s="2" t="str">
        <x:v>심의승인</x:v>
      </x:c>
      <x:c r="J2799" s="2" t="str">
        <x:v>심의승인</x:v>
      </x:c>
      <x:c r="K2799" s="2" t="str">
        <x:f>IF(OR(J2799="심의승인",J2799="반려",J2799="반려완료",J2799="심의완료"),"종결 표시",IF(OR(J2799="기후부협의",J2799="문서재제출요청",J2799="보류",J2799="보완요청",J2799="보완완료",J2799="평가중",J2799="반려요청",J2799="평가필요",LEFT(J2799,5)="보완요청("),"미종결 표시","상태 확인 필요"))</x:f>
        <x:v>종결 표시</x:v>
      </x:c>
      <x:c r="L2799" s="2" t="str">
        <x:v>KECM &gt; KRIC</x:v>
      </x:c>
      <x:c r="M2799" s="2"/>
      <x:c r="N2799" s="8" t="n">
        <x:f>DATE(2026,10,15)-DATE(2021,12,20)</x:f>
        <x:v>1760</x:v>
      </x:c>
      <x:c r="O2799" s="2"/>
      <x:c r="P2799" s="2"/>
      <x:c r="Q2799" s="2" t="str">
        <x:v>산업전환_외부사업관리Tool_260707_이너젠 수정_LJY_261013.xlsx</x:v>
      </x:c>
      <x:c r="R2799" s="2" t="str">
        <x:v>국외인증</x:v>
      </x:c>
      <x:c r="S2799" s="8" t="n">
        <x:v>386</x:v>
      </x:c>
      <x:c r="T2799" s="2" t="str">
        <x:v>(1/18),(2/9),(4/19),(12/27)</x:v>
      </x:c>
      <x:c r="U2799" s="2" t="str">
        <x:v>2022 지정: (1/18),(2/9),(4/19),(12/27) / 2023 지정: (4/21)</x:v>
      </x:c>
      <x:c r="V2799" s="2" t="str">
        <x:v>2023-12-15</x:v>
      </x:c>
      <x:c r="W2799" s="2" t="str"/>
      <x:c r="X2799" s="2" t="str">
        <x:v>종결 근거 보관</x:v>
      </x:c>
      <x:c r="Y2799" s="2" t="str">
        <x:v>ad210cd9ec132cfd447541c8984dc53d30aff0f4fb2dc92d254d49275cc55976</x:v>
      </x:c>
      <x:c r="Z2799" s="2" t="n">
        <x:f>SUBTOTAL(103,A2799)</x:f>
        <x:v>1</x:v>
      </x:c>
      <x:c r="AA2799" s="2" t="str">
        <x:f>IF(K2799&lt;&gt;"미종결 표시","대상 아님",IF(N2799="","신청일 확인",IF(NOT(ISNUMBER('종합 현황'!$H$5)),"관찰기준 확인",IF('종합 현황'!$H$5&lt;1,"관찰기준 확인",IF(N2799&gt;'종합 현황'!$H$5,"내부 관찰 대상","내부 관찰일 이하")))))</x:f>
        <x:v>대상 아님</x:v>
      </x:c>
      <x:c r="AB2799" s="2" t="str">
        <x:v>2021-12-20 11:03 - 접수
2021-12-21 11:24 - 신청
2022-01-24 16:09 - 보완요청
2022-01-28 14:34 - 접수
2022-01-28 15:50 - 신청
2022-03-17 10:58 - 보완요청
2022-04-06 12:44 - 접수
2022-04-06 14:28 - 신청
2022-07-18 17:12 - 문서재제출요청
2022-07-21 17:48 - 접수
2022-07-22 16:29 - 신청
2022-08-09 08:57 - 문서재제출요청
2022-08-09 13:22 - 접수
2022-08-09 14:04 - 신청
2022-08-30 14:29 - 문서재제출요청
2022-12-09 17:10 - 접수
2022-12-13 15:36 - 신청
2023-03-14 15:33 - 문서재제출요청
2023-04-06 14:03 - 접수
2023-04-07 08:20 - 신청
2023-06-02 15:07 - 문서재제출요청
2023-06-02 16:43 - 접수
2023-06-02 23:13 - 신청
2023-06-13 13:29 - 문서재제출요청
2023-06-13 16:06 - 접수
2023-06-13 16:28 - 신청
2023-06-14 14:00 - 검토승인
2023-06-28 11:24 - 협의검토중
2023-07-28 15:00 - 협의통보
2023-12-15 16:29 - 심의승인</x:v>
      </x:c>
    </x:row>
    <x:row r="2800" ht="42" customHeight="1">
      <x:c r="A2800" s="2" t="str">
        <x:v>054d8db24f08432e5e879b7e</x:v>
      </x:c>
      <x:c r="B2800" s="2" t="str">
        <x:v>감축량 인증</x:v>
      </x:c>
      <x:c r="C2800" s="2" t="str">
        <x:v>국외</x:v>
      </x:c>
      <x:c r="D2800" s="7" t="str">
        <x:v>왐푸 수력발전사업</x:v>
      </x:c>
      <x:c r="E2800" s="2" t="str">
        <x:v>385</x:v>
      </x:c>
      <x:c r="F2800" s="2" t="str">
        <x:v>2021-12-20</x:v>
      </x:c>
      <x:c r="G2800" s="2" t="str">
        <x:v>2021</x:v>
      </x:c>
      <x:c r="H2800" s="2" t="str">
        <x:v>12</x:v>
      </x:c>
      <x:c r="I2800" s="2" t="str">
        <x:v>심의승인</x:v>
      </x:c>
      <x:c r="J2800" s="2" t="str">
        <x:v>심의승인</x:v>
      </x:c>
      <x:c r="K2800" s="2" t="str">
        <x:f>IF(OR(J2800="심의승인",J2800="반려",J2800="반려완료",J2800="심의완료"),"종결 표시",IF(OR(J2800="기후부협의",J2800="문서재제출요청",J2800="보류",J2800="보완요청",J2800="보완완료",J2800="평가중",J2800="반려요청",J2800="평가필요",LEFT(J2800,5)="보완요청("),"미종결 표시","상태 확인 필요"))</x:f>
        <x:v>종결 표시</x:v>
      </x:c>
      <x:c r="L2800" s="2" t="str">
        <x:v>KECM &gt; KRIC</x:v>
      </x:c>
      <x:c r="M2800" s="2"/>
      <x:c r="N2800" s="8" t="n">
        <x:f>DATE(2026,10,15)-DATE(2021,12,20)</x:f>
        <x:v>1760</x:v>
      </x:c>
      <x:c r="O2800" s="2"/>
      <x:c r="P2800" s="2"/>
      <x:c r="Q2800" s="2" t="str">
        <x:v>산업전환_외부사업관리Tool_260707_이너젠 수정_LJY_261013.xlsx</x:v>
      </x:c>
      <x:c r="R2800" s="2" t="str">
        <x:v>국외인증</x:v>
      </x:c>
      <x:c r="S2800" s="8" t="n">
        <x:v>387</x:v>
      </x:c>
      <x:c r="T2800" s="2" t="str">
        <x:v>(1/18),(2/9),(4/19),(12/27)</x:v>
      </x:c>
      <x:c r="U2800" s="2" t="str">
        <x:v>2022 지정: (1/18),(2/9),(4/19),(12/27) / 2023 지정: (4/21)</x:v>
      </x:c>
      <x:c r="V2800" s="2" t="str">
        <x:v>2023-12-15</x:v>
      </x:c>
      <x:c r="W2800" s="2" t="str"/>
      <x:c r="X2800" s="2" t="str">
        <x:v>종결 근거 보관</x:v>
      </x:c>
      <x:c r="Y2800" s="2" t="str">
        <x:v>ad210cd9ec132cfd447541c8984dc53d30aff0f4fb2dc92d254d49275cc55976</x:v>
      </x:c>
      <x:c r="Z2800" s="2" t="n">
        <x:f>SUBTOTAL(103,A2800)</x:f>
        <x:v>1</x:v>
      </x:c>
      <x:c r="AA2800" s="2" t="str">
        <x:f>IF(K2800&lt;&gt;"미종결 표시","대상 아님",IF(N2800="","신청일 확인",IF(NOT(ISNUMBER('종합 현황'!$H$5)),"관찰기준 확인",IF('종합 현황'!$H$5&lt;1,"관찰기준 확인",IF(N2800&gt;'종합 현황'!$H$5,"내부 관찰 대상","내부 관찰일 이하")))))</x:f>
        <x:v>대상 아님</x:v>
      </x:c>
      <x:c r="AB2800" s="2" t="str">
        <x:v>2021-12-20 11:13 - 접수
2021-12-21 11:24 - 신청
2022-01-24 16:09 - 보완요청
2022-01-28 14:35 - 접수
2022-01-28 15:50 - 신청
2022-03-17 11:00 - 보완요청
2022-04-06 12:42 - 접수
2022-04-06 14:28 - 신청
2022-07-18 20:59 - 보완요청
2022-07-21 17:47 - 접수
2022-07-22 16:29 - 신청
2022-08-09 08:57 - 문서재제출요청
2022-08-09 13:22 - 접수
2022-08-09 14:04 - 신청
2022-08-30 14:29 - 문서재제출요청
2022-12-09 17:13 - 접수
2022-12-13 15:37 - 신청
2023-03-14 15:34 - 문서재제출요청
2023-04-06 14:04 - 접수
2023-04-07 08:20 - 신청
2023-06-02 15:07 - 문서재제출요청
2023-06-02 16:40 - 접수
2023-06-02 23:14 - 신청
2023-06-13 11:03 - 검토승인
2023-06-28 11:25 - 협의검토중
2023-07-28 15:00 - 협의통보
2023-12-15 16:30 - 심의승인</x:v>
      </x:c>
    </x:row>
    <x:row r="2801" ht="42" customHeight="1">
      <x:c r="A2801" s="2" t="str">
        <x:v>9523b73534b79064ff13b4ae</x:v>
      </x:c>
      <x:c r="B2801" s="2" t="str">
        <x:v>감축량 인증</x:v>
      </x:c>
      <x:c r="C2801" s="2" t="str">
        <x:v>국외</x:v>
      </x:c>
      <x:c r="D2801" s="7" t="str">
        <x:v>스망까 수력 CDM 사업</x:v>
      </x:c>
      <x:c r="E2801" s="2" t="str">
        <x:v>386</x:v>
      </x:c>
      <x:c r="F2801" s="2" t="str">
        <x:v>2021-12-20</x:v>
      </x:c>
      <x:c r="G2801" s="2" t="str">
        <x:v>2021</x:v>
      </x:c>
      <x:c r="H2801" s="2" t="str">
        <x:v>12</x:v>
      </x:c>
      <x:c r="I2801" s="2" t="str">
        <x:v>심의승인</x:v>
      </x:c>
      <x:c r="J2801" s="2" t="str">
        <x:v>심의승인</x:v>
      </x:c>
      <x:c r="K2801" s="2" t="str">
        <x:f>IF(OR(J2801="심의승인",J2801="반려",J2801="반려완료",J2801="심의완료"),"종결 표시",IF(OR(J2801="기후부협의",J2801="문서재제출요청",J2801="보류",J2801="보완요청",J2801="보완완료",J2801="평가중",J2801="반려요청",J2801="평가필요",LEFT(J2801,5)="보완요청("),"미종결 표시","상태 확인 필요"))</x:f>
        <x:v>종결 표시</x:v>
      </x:c>
      <x:c r="L2801" s="2" t="str">
        <x:v>KECM &gt; KRIC</x:v>
      </x:c>
      <x:c r="M2801" s="2"/>
      <x:c r="N2801" s="8" t="n">
        <x:f>DATE(2026,10,15)-DATE(2021,12,20)</x:f>
        <x:v>1760</x:v>
      </x:c>
      <x:c r="O2801" s="2"/>
      <x:c r="P2801" s="2"/>
      <x:c r="Q2801" s="2" t="str">
        <x:v>산업전환_외부사업관리Tool_260707_이너젠 수정_LJY_261013.xlsx</x:v>
      </x:c>
      <x:c r="R2801" s="2" t="str">
        <x:v>국외인증</x:v>
      </x:c>
      <x:c r="S2801" s="8" t="n">
        <x:v>388</x:v>
      </x:c>
      <x:c r="T2801" s="2" t="str">
        <x:v>(1/18),(2/9),(4/19)</x:v>
      </x:c>
      <x:c r="U2801" s="2" t="str">
        <x:v>2022 지정: (1/18),(2/9),(4/19)</x:v>
      </x:c>
      <x:c r="V2801" s="2" t="str">
        <x:v>2022-12-28</x:v>
      </x:c>
      <x:c r="W2801" s="2" t="str"/>
      <x:c r="X2801" s="2" t="str">
        <x:v>종결 근거 보관</x:v>
      </x:c>
      <x:c r="Y2801" s="2" t="str">
        <x:v>ad210cd9ec132cfd447541c8984dc53d30aff0f4fb2dc92d254d49275cc55976</x:v>
      </x:c>
      <x:c r="Z2801" s="2" t="n">
        <x:f>SUBTOTAL(103,A2801)</x:f>
        <x:v>1</x:v>
      </x:c>
      <x:c r="AA2801" s="2" t="str">
        <x:f>IF(K2801&lt;&gt;"미종결 표시","대상 아님",IF(N2801="","신청일 확인",IF(NOT(ISNUMBER('종합 현황'!$H$5)),"관찰기준 확인",IF('종합 현황'!$H$5&lt;1,"관찰기준 확인",IF(N2801&gt;'종합 현황'!$H$5,"내부 관찰 대상","내부 관찰일 이하")))))</x:f>
        <x:v>대상 아님</x:v>
      </x:c>
      <x:c r="AB2801" s="2" t="str">
        <x:v>2021-12-20 11:00 - 접수
2021-12-21 11:25 - 신청
2022-01-25 17:00 - 보완요청
2022-01-28 14:33 - 접수
2022-01-28 15:49 - 신청
2022-03-16 16:33 - 보완요청
2022-04-06 12:40 - 접수
2022-04-06 14:28 - 신청
2022-07-18 15:58 - 보완요청
2022-07-21 17:49 - 접수
2022-07-22 16:29 - 신청
2022-08-09 08:57 - 문서재제출요청
2022-08-09 13:26 - 접수
2022-08-09 14:04 - 신청
2022-09-14 16:09 - 문서재제출요청
2022-09-15 21:29 - 접수
2022-09-16 09:00 - 신청
2022-09-19 13:53 - 문서재제출요청
2022-09-19 14:00 - 접수
2022-09-19 14:08 - 신청
2022-12-21 17:44 - 검토승인
2022-12-28 16:06 - 심의승인</x:v>
      </x:c>
    </x:row>
    <x:row r="2802" ht="42" customHeight="1">
      <x:c r="A2802" s="2" t="str">
        <x:v>75571bcdea673378ff90fcce</x:v>
      </x:c>
      <x:c r="B2802" s="2" t="str">
        <x:v>감축량 인증</x:v>
      </x:c>
      <x:c r="C2802" s="2" t="str">
        <x:v>국외</x:v>
      </x:c>
      <x:c r="D2802" s="7" t="str">
        <x:v>사하라 이남 아프리카 고효율 쿡스토브 보급 사업-잠비아-CPA005</x:v>
      </x:c>
      <x:c r="E2802" s="2" t="str">
        <x:v>387</x:v>
      </x:c>
      <x:c r="F2802" s="2" t="str">
        <x:v>2021-12-21</x:v>
      </x:c>
      <x:c r="G2802" s="2" t="str">
        <x:v>2021</x:v>
      </x:c>
      <x:c r="H2802" s="2" t="str">
        <x:v>12</x:v>
      </x:c>
      <x:c r="I2802" s="2" t="str">
        <x:v>심의승인</x:v>
      </x:c>
      <x:c r="J2802" s="2" t="str">
        <x:v>심의승인</x:v>
      </x:c>
      <x:c r="K2802" s="2" t="str">
        <x:f>IF(OR(J2802="심의승인",J2802="반려",J2802="반려완료",J2802="심의완료"),"종결 표시",IF(OR(J2802="기후부협의",J2802="문서재제출요청",J2802="보류",J2802="보완요청",J2802="보완완료",J2802="평가중",J2802="반려요청",J2802="평가필요",LEFT(J2802,5)="보완요청("),"미종결 표시","상태 확인 필요"))</x:f>
        <x:v>종결 표시</x:v>
      </x:c>
      <x:c r="L2802" s="2" t="str">
        <x:v>KECM</x:v>
      </x:c>
      <x:c r="M2802" s="2"/>
      <x:c r="N2802" s="8" t="n">
        <x:f>DATE(2026,10,15)-DATE(2021,12,21)</x:f>
        <x:v>1759</x:v>
      </x:c>
      <x:c r="O2802" s="2"/>
      <x:c r="P2802" s="2"/>
      <x:c r="Q2802" s="2" t="str">
        <x:v>산업전환_외부사업관리Tool_260707_이너젠 수정_LJY_261013.xlsx</x:v>
      </x:c>
      <x:c r="R2802" s="2" t="str">
        <x:v>국외인증</x:v>
      </x:c>
      <x:c r="S2802" s="8" t="n">
        <x:v>389</x:v>
      </x:c>
      <x:c r="T2802" s="2" t="str">
        <x:v>(1/18),(3/16)</x:v>
      </x:c>
      <x:c r="U2802" s="2" t="str">
        <x:v>2022 지정: (1/18),(3/16)</x:v>
      </x:c>
      <x:c r="V2802" s="2" t="str">
        <x:v>2022-07-14</x:v>
      </x:c>
      <x:c r="W2802" s="2" t="str"/>
      <x:c r="X2802" s="2" t="str">
        <x:v>종결 근거 보관</x:v>
      </x:c>
      <x:c r="Y2802" s="2" t="str">
        <x:v>ad210cd9ec132cfd447541c8984dc53d30aff0f4fb2dc92d254d49275cc55976</x:v>
      </x:c>
      <x:c r="Z2802" s="2" t="n">
        <x:f>SUBTOTAL(103,A2802)</x:f>
        <x:v>1</x:v>
      </x:c>
      <x:c r="AA2802" s="2" t="str">
        <x:f>IF(K2802&lt;&gt;"미종결 표시","대상 아님",IF(N2802="","신청일 확인",IF(NOT(ISNUMBER('종합 현황'!$H$5)),"관찰기준 확인",IF('종합 현황'!$H$5&lt;1,"관찰기준 확인",IF(N2802&gt;'종합 현황'!$H$5,"내부 관찰 대상","내부 관찰일 이하")))))</x:f>
        <x:v>대상 아님</x:v>
      </x:c>
      <x:c r="AB2802" s="2" t="str">
        <x:v>2021-12-21 11:44 - 신청
2022-03-10 11:04 - 문서재제출요청
2022-03-10 11:42 - 신청
2022-04-21 09:55 - 문서재제출요청
2022-04-21 10:33 - 신청
2022-04-21 14:27 - 문서재제출요청
2022-04-21 15:03 - 신청
2022-05-20 14:04 - 문서재제출요청
2022-05-23 08:41 - 신청
2022-07-05 16:26 - 검토승인
2022-07-14 15:47 - 심의승인</x:v>
      </x:c>
    </x:row>
    <x:row r="2803" ht="42" customHeight="1">
      <x:c r="A2803" s="2" t="str">
        <x:v>a0de7acf29e355e4f6eb660d</x:v>
      </x:c>
      <x:c r="B2803" s="2" t="str">
        <x:v>감축량 인증</x:v>
      </x:c>
      <x:c r="C2803" s="2" t="str">
        <x:v>국외</x:v>
      </x:c>
      <x:c r="D2803" s="7" t="str">
        <x:v>사하라 이남 아프리카 고효율 쿡스토브 보급 사업-말라위-CPA002</x:v>
      </x:c>
      <x:c r="E2803" s="2" t="str">
        <x:v>388</x:v>
      </x:c>
      <x:c r="F2803" s="2" t="str">
        <x:v>2021-12-21</x:v>
      </x:c>
      <x:c r="G2803" s="2" t="str">
        <x:v>2021</x:v>
      </x:c>
      <x:c r="H2803" s="2" t="str">
        <x:v>12</x:v>
      </x:c>
      <x:c r="I2803" s="2" t="str">
        <x:v>심의승인</x:v>
      </x:c>
      <x:c r="J2803" s="2" t="str">
        <x:v>심의승인</x:v>
      </x:c>
      <x:c r="K2803" s="2" t="str">
        <x:f>IF(OR(J2803="심의승인",J2803="반려",J2803="반려완료",J2803="심의완료"),"종결 표시",IF(OR(J2803="기후부협의",J2803="문서재제출요청",J2803="보류",J2803="보완요청",J2803="보완완료",J2803="평가중",J2803="반려요청",J2803="평가필요",LEFT(J2803,5)="보완요청("),"미종결 표시","상태 확인 필요"))</x:f>
        <x:v>종결 표시</x:v>
      </x:c>
      <x:c r="L2803" s="2" t="str">
        <x:v>KECM</x:v>
      </x:c>
      <x:c r="M2803" s="2"/>
      <x:c r="N2803" s="8" t="n">
        <x:f>DATE(2026,10,15)-DATE(2021,12,21)</x:f>
        <x:v>1759</x:v>
      </x:c>
      <x:c r="O2803" s="2"/>
      <x:c r="P2803" s="2"/>
      <x:c r="Q2803" s="2" t="str">
        <x:v>산업전환_외부사업관리Tool_260707_이너젠 수정_LJY_261013.xlsx</x:v>
      </x:c>
      <x:c r="R2803" s="2" t="str">
        <x:v>국외인증</x:v>
      </x:c>
      <x:c r="S2803" s="8" t="n">
        <x:v>390</x:v>
      </x:c>
      <x:c r="T2803" s="2" t="str">
        <x:v>(1/18),(3/16)</x:v>
      </x:c>
      <x:c r="U2803" s="2" t="str">
        <x:v>2022 지정: (1/18),(3/16)</x:v>
      </x:c>
      <x:c r="V2803" s="2" t="str">
        <x:v>2022-07-14</x:v>
      </x:c>
      <x:c r="W2803" s="2" t="str"/>
      <x:c r="X2803" s="2" t="str">
        <x:v>종결 근거 보관</x:v>
      </x:c>
      <x:c r="Y2803" s="2" t="str">
        <x:v>ad210cd9ec132cfd447541c8984dc53d30aff0f4fb2dc92d254d49275cc55976</x:v>
      </x:c>
      <x:c r="Z2803" s="2" t="n">
        <x:f>SUBTOTAL(103,A2803)</x:f>
        <x:v>1</x:v>
      </x:c>
      <x:c r="AA2803" s="2" t="str">
        <x:f>IF(K2803&lt;&gt;"미종결 표시","대상 아님",IF(N2803="","신청일 확인",IF(NOT(ISNUMBER('종합 현황'!$H$5)),"관찰기준 확인",IF('종합 현황'!$H$5&lt;1,"관찰기준 확인",IF(N2803&gt;'종합 현황'!$H$5,"내부 관찰 대상","내부 관찰일 이하")))))</x:f>
        <x:v>대상 아님</x:v>
      </x:c>
      <x:c r="AB2803" s="2" t="str">
        <x:v>2021-12-21 14:09 - 신청
2022-01-26 16:10 - 문서재제출요청
2022-01-26 16:36 - 신청
2022-03-16 13:59 - 문서재제출요청
2022-03-17 10:47 - 신청
2022-04-21 09:53 - 문서재제출요청
2022-04-21 10:33 - 신청
2022-04-21 14:28 - 문서재제출요청
2022-04-21 15:03 - 신청
2022-07-05 16:28 - 검토승인
2022-07-14 15:52 - 심의승인</x:v>
      </x:c>
    </x:row>
    <x:row r="2804" ht="42" customHeight="1">
      <x:c r="A2804" s="2" t="str">
        <x:v>1c2c437b4674906c485512ab</x:v>
      </x:c>
      <x:c r="B2804" s="2" t="str">
        <x:v>감축량 인증</x:v>
      </x:c>
      <x:c r="C2804" s="2" t="str">
        <x:v>국외</x:v>
      </x:c>
      <x:c r="D2804" s="7" t="str">
        <x:v>왐푸 수력발전사업</x:v>
      </x:c>
      <x:c r="E2804" s="2" t="str">
        <x:v>389</x:v>
      </x:c>
      <x:c r="F2804" s="2" t="str">
        <x:v>2021-12-29</x:v>
      </x:c>
      <x:c r="G2804" s="2" t="str">
        <x:v>2021</x:v>
      </x:c>
      <x:c r="H2804" s="2" t="str">
        <x:v>12</x:v>
      </x:c>
      <x:c r="I2804" s="2" t="str">
        <x:v>심의승인</x:v>
      </x:c>
      <x:c r="J2804" s="2" t="str">
        <x:v>심의승인</x:v>
      </x:c>
      <x:c r="K2804" s="2" t="str">
        <x:f>IF(OR(J2804="심의승인",J2804="반려",J2804="반려완료",J2804="심의완료"),"종결 표시",IF(OR(J2804="기후부협의",J2804="문서재제출요청",J2804="보류",J2804="보완요청",J2804="보완완료",J2804="평가중",J2804="반려요청",J2804="평가필요",LEFT(J2804,5)="보완요청("),"미종결 표시","상태 확인 필요"))</x:f>
        <x:v>종결 표시</x:v>
      </x:c>
      <x:c r="L2804" s="2" t="str">
        <x:v>KECM &gt; KRIC</x:v>
      </x:c>
      <x:c r="M2804" s="2"/>
      <x:c r="N2804" s="8" t="n">
        <x:f>DATE(2026,10,15)-DATE(2021,12,29)</x:f>
        <x:v>1751</x:v>
      </x:c>
      <x:c r="O2804" s="2"/>
      <x:c r="P2804" s="2"/>
      <x:c r="Q2804" s="2" t="str">
        <x:v>산업전환_외부사업관리Tool_260707_이너젠 수정_LJY_261013.xlsx</x:v>
      </x:c>
      <x:c r="R2804" s="2" t="str">
        <x:v>국외인증</x:v>
      </x:c>
      <x:c r="S2804" s="8" t="n">
        <x:v>391</x:v>
      </x:c>
      <x:c r="T2804" s="2" t="str">
        <x:v>(1/18),(2/9),(4/19),(12/27)</x:v>
      </x:c>
      <x:c r="U2804" s="2" t="str">
        <x:v>2022 지정: (1/18),(2/9),(4/19),(12/27) / 2023 지정: (4/21)</x:v>
      </x:c>
      <x:c r="V2804" s="2" t="str">
        <x:v>2023-12-15</x:v>
      </x:c>
      <x:c r="W2804" s="2" t="str"/>
      <x:c r="X2804" s="2" t="str">
        <x:v>종결 근거 보관</x:v>
      </x:c>
      <x:c r="Y2804" s="2" t="str">
        <x:v>ad210cd9ec132cfd447541c8984dc53d30aff0f4fb2dc92d254d49275cc55976</x:v>
      </x:c>
      <x:c r="Z2804" s="2" t="n">
        <x:f>SUBTOTAL(103,A2804)</x:f>
        <x:v>1</x:v>
      </x:c>
      <x:c r="AA2804" s="2" t="str">
        <x:f>IF(K2804&lt;&gt;"미종결 표시","대상 아님",IF(N2804="","신청일 확인",IF(NOT(ISNUMBER('종합 현황'!$H$5)),"관찰기준 확인",IF('종합 현황'!$H$5&lt;1,"관찰기준 확인",IF(N2804&gt;'종합 현황'!$H$5,"내부 관찰 대상","내부 관찰일 이하")))))</x:f>
        <x:v>대상 아님</x:v>
      </x:c>
      <x:c r="AB2804" s="2" t="str">
        <x:v>2021-12-29 15:42 - 접수
2021-12-30 08:33 - 신청
2022-01-24 16:09 - 보완요청
2022-02-07 10:55 - 접수
2022-02-08 13:24 - 신청
2022-03-21 17:21 - 보완요청
2022-04-06 12:41 - 접수
2022-04-06 14:28 - 신청
2022-07-18 20:58 - 보완요청
2022-07-21 17:47 - 접수
2022-07-22 16:29 - 신청
2022-08-09 08:57 - 문서재제출요청
2022-08-09 13:21 - 접수
2022-08-09 14:04 - 신청
2022-08-30 14:30 - 문서재제출요청
2022-12-09 17:15 - 접수
2022-12-13 15:37 - 신청
2023-03-14 15:35 - 문서재제출요청
2023-04-06 14:04 - 접수
2023-04-07 08:20 - 신청
2023-06-02 15:07 - 문서재제출요청
2023-06-02 16:42 - 접수
2023-06-02 23:14 - 신청
2023-06-13 11:04 - 검토승인
2023-06-28 11:25 - 협의검토중
2023-07-28 15:00 - 협의통보
2023-12-15 16:31 - 심의승인</x:v>
      </x:c>
    </x:row>
    <x:row r="2805" ht="42" customHeight="1">
      <x:c r="A2805" s="2" t="str">
        <x:v>c444d358ec8aed593d90f0a8</x:v>
      </x:c>
      <x:c r="B2805" s="2" t="str">
        <x:v>감축량 인증</x:v>
      </x:c>
      <x:c r="C2805" s="2" t="str">
        <x:v>국외</x:v>
      </x:c>
      <x:c r="D2805" s="7" t="str">
        <x:v>베트남 호아빈의 개선된 쿡스토브 사업 - CPA 001</x:v>
      </x:c>
      <x:c r="E2805" s="2" t="str">
        <x:v>390</x:v>
      </x:c>
      <x:c r="F2805" s="2" t="str">
        <x:v>2022-01-14</x:v>
      </x:c>
      <x:c r="G2805" s="2" t="str">
        <x:v>2022</x:v>
      </x:c>
      <x:c r="H2805" s="2" t="str">
        <x:v>01</x:v>
      </x:c>
      <x:c r="I2805" s="2" t="str">
        <x:v>심의승인</x:v>
      </x:c>
      <x:c r="J2805" s="2" t="str">
        <x:v>심의승인</x:v>
      </x:c>
      <x:c r="K2805" s="2" t="str">
        <x:f>IF(OR(J2805="심의승인",J2805="반려",J2805="반려완료",J2805="심의완료"),"종결 표시",IF(OR(J2805="기후부협의",J2805="문서재제출요청",J2805="보류",J2805="보완요청",J2805="보완완료",J2805="평가중",J2805="반려요청",J2805="평가필요",LEFT(J2805,5)="보완요청("),"미종결 표시","상태 확인 필요"))</x:f>
        <x:v>종결 표시</x:v>
      </x:c>
      <x:c r="L2805" s="2" t="str">
        <x:v>에코시안_조혜민 &gt; KRIC</x:v>
      </x:c>
      <x:c r="M2805" s="2"/>
      <x:c r="N2805" s="8" t="n">
        <x:f>DATE(2026,10,15)-DATE(2022,1,14)</x:f>
        <x:v>1735</x:v>
      </x:c>
      <x:c r="O2805" s="2"/>
      <x:c r="P2805" s="2"/>
      <x:c r="Q2805" s="2" t="str">
        <x:v>산업전환_외부사업관리Tool_260707_이너젠 수정_LJY_261013.xlsx</x:v>
      </x:c>
      <x:c r="R2805" s="2" t="str">
        <x:v>국외인증</x:v>
      </x:c>
      <x:c r="S2805" s="8" t="n">
        <x:v>392</x:v>
      </x:c>
      <x:c r="T2805" s="2" t="str">
        <x:v>(1/18),(4/19),(8/16)</x:v>
      </x:c>
      <x:c r="U2805" s="2" t="str">
        <x:v>2022 지정: (1/18),(4/19),(8/16)</x:v>
      </x:c>
      <x:c r="V2805" s="2" t="str">
        <x:v>2022-12-28</x:v>
      </x:c>
      <x:c r="W2805" s="2" t="str"/>
      <x:c r="X2805" s="2" t="str">
        <x:v>종결 근거 보관</x:v>
      </x:c>
      <x:c r="Y2805" s="2" t="str">
        <x:v>ad210cd9ec132cfd447541c8984dc53d30aff0f4fb2dc92d254d49275cc55976</x:v>
      </x:c>
      <x:c r="Z2805" s="2" t="n">
        <x:f>SUBTOTAL(103,A2805)</x:f>
        <x:v>1</x:v>
      </x:c>
      <x:c r="AA2805" s="2" t="str">
        <x:f>IF(K2805&lt;&gt;"미종결 표시","대상 아님",IF(N2805="","신청일 확인",IF(NOT(ISNUMBER('종합 현황'!$H$5)),"관찰기준 확인",IF('종합 현황'!$H$5&lt;1,"관찰기준 확인",IF(N2805&gt;'종합 현황'!$H$5,"내부 관찰 대상","내부 관찰일 이하")))))</x:f>
        <x:v>대상 아님</x:v>
      </x:c>
      <x:c r="AB2805" s="2" t="str">
        <x:v>2022-01-14 17:43 - 신청
2022-04-08 10:25 - 보완요청
2022-04-15 16:38 - 신청
2022-04-15 16:47 - 문서재제출요청
2022-04-15 17:10 - 신청
2022-07-25 09:13 - 문서재제출요청
2022-08-04 13:32 - 신청
2022-08-05 16:29 - 문서재제출요청
2022-08-05 17:34 - 신청
2022-10-17 15:56 - 문서재제출요청
2022-10-18 10:20 - 신청
2022-12-21 17:33 - 검토승인
2022-12-28 15:55 - 심의승인</x:v>
      </x:c>
    </x:row>
    <x:row r="2806" ht="42" customHeight="1">
      <x:c r="A2806" s="2" t="str">
        <x:v>4f6a100e9c3dffb910864e37</x:v>
      </x:c>
      <x:c r="B2806" s="2" t="str">
        <x:v>감축량 인증</x:v>
      </x:c>
      <x:c r="C2806" s="2" t="str">
        <x:v>국외</x:v>
      </x:c>
      <x:c r="D2806" s="7" t="str">
        <x:v>마다가스카르의 개선된 쿡스토브 프로젝트 by KCM - Wood#CPA-W-007</x:v>
      </x:c>
      <x:c r="E2806" s="2" t="str">
        <x:v>397</x:v>
      </x:c>
      <x:c r="F2806" s="2" t="str">
        <x:v>2022-01-14</x:v>
      </x:c>
      <x:c r="G2806" s="2" t="str">
        <x:v>2022</x:v>
      </x:c>
      <x:c r="H2806" s="2" t="str">
        <x:v>01</x:v>
      </x:c>
      <x:c r="I2806" s="2" t="str">
        <x:v>심의승인</x:v>
      </x:c>
      <x:c r="J2806" s="2" t="str">
        <x:v>심의승인</x:v>
      </x:c>
      <x:c r="K2806" s="2" t="str">
        <x:f>IF(OR(J2806="심의승인",J2806="반려",J2806="반려완료",J2806="심의완료"),"종결 표시",IF(OR(J2806="기후부협의",J2806="문서재제출요청",J2806="보류",J2806="보완요청",J2806="보완완료",J2806="평가중",J2806="반려요청",J2806="평가필요",LEFT(J2806,5)="보완요청("),"미종결 표시","상태 확인 필요"))</x:f>
        <x:v>종결 표시</x:v>
      </x:c>
      <x:c r="L2806" s="2" t="str">
        <x:v>에코시안_기샛별 &gt; KRIC</x:v>
      </x:c>
      <x:c r="M2806" s="2"/>
      <x:c r="N2806" s="8" t="n">
        <x:f>DATE(2026,10,15)-DATE(2022,1,14)</x:f>
        <x:v>1735</x:v>
      </x:c>
      <x:c r="O2806" s="2"/>
      <x:c r="P2806" s="2"/>
      <x:c r="Q2806" s="2" t="str">
        <x:v>산업전환_외부사업관리Tool_260707_이너젠 수정_LJY_261013.xlsx</x:v>
      </x:c>
      <x:c r="R2806" s="2" t="str">
        <x:v>국외인증</x:v>
      </x:c>
      <x:c r="S2806" s="8" t="n">
        <x:v>393</x:v>
      </x:c>
      <x:c r="T2806" s="2" t="str">
        <x:v>(1/18),(4/19),(9/19)</x:v>
      </x:c>
      <x:c r="U2806" s="2" t="str">
        <x:v>2022 지정: (1/18),(4/19),(9/19)</x:v>
      </x:c>
      <x:c r="V2806" s="2" t="str">
        <x:v>2023-12-13</x:v>
      </x:c>
      <x:c r="W2806" s="2" t="str"/>
      <x:c r="X2806" s="2" t="str">
        <x:v>종결 근거 보관</x:v>
      </x:c>
      <x:c r="Y2806" s="2" t="str">
        <x:v>ad210cd9ec132cfd447541c8984dc53d30aff0f4fb2dc92d254d49275cc55976</x:v>
      </x:c>
      <x:c r="Z2806" s="2" t="n">
        <x:f>SUBTOTAL(103,A2806)</x:f>
        <x:v>1</x:v>
      </x:c>
      <x:c r="AA2806" s="2" t="str">
        <x:f>IF(K2806&lt;&gt;"미종결 표시","대상 아님",IF(N2806="","신청일 확인",IF(NOT(ISNUMBER('종합 현황'!$H$5)),"관찰기준 확인",IF('종합 현황'!$H$5&lt;1,"관찰기준 확인",IF(N2806&gt;'종합 현황'!$H$5,"내부 관찰 대상","내부 관찰일 이하")))))</x:f>
        <x:v>대상 아님</x:v>
      </x:c>
      <x:c r="AB2806" s="2" t="str">
        <x:v>2022-01-14 17:45 - 신청
2022-03-22 14:21 - 문서재제출요청
2022-03-25 15:25 - 신청
2022-07-29 17:02 - 보완요청
2022-08-30 16:31 - 신청
2023-03-15 13:17 - 검토승인
2023-03-24 14:49 - 심의승인</x:v>
      </x:c>
    </x:row>
    <x:row r="2807" ht="42" customHeight="1">
      <x:c r="A2807" s="2" t="str">
        <x:v>1a9213360374a17c3fe2d85b</x:v>
      </x:c>
      <x:c r="B2807" s="2" t="str">
        <x:v>감축량 인증</x:v>
      </x:c>
      <x:c r="C2807" s="2" t="str">
        <x:v>국외</x:v>
      </x:c>
      <x:c r="D2807" s="7" t="str">
        <x:v>마다가스카르의 개선된 쿡스토브 프로젝트 by KCM - Wood#CPA-W008</x:v>
      </x:c>
      <x:c r="E2807" s="2" t="str">
        <x:v>398</x:v>
      </x:c>
      <x:c r="F2807" s="2" t="str">
        <x:v>2022-01-14</x:v>
      </x:c>
      <x:c r="G2807" s="2" t="str">
        <x:v>2022</x:v>
      </x:c>
      <x:c r="H2807" s="2" t="str">
        <x:v>01</x:v>
      </x:c>
      <x:c r="I2807" s="2" t="str">
        <x:v>심의승인</x:v>
      </x:c>
      <x:c r="J2807" s="2" t="str">
        <x:v>심의승인</x:v>
      </x:c>
      <x:c r="K2807" s="2" t="str">
        <x:f>IF(OR(J2807="심의승인",J2807="반려",J2807="반려완료",J2807="심의완료"),"종결 표시",IF(OR(J2807="기후부협의",J2807="문서재제출요청",J2807="보류",J2807="보완요청",J2807="보완완료",J2807="평가중",J2807="반려요청",J2807="평가필요",LEFT(J2807,5)="보완요청("),"미종결 표시","상태 확인 필요"))</x:f>
        <x:v>종결 표시</x:v>
      </x:c>
      <x:c r="L2807" s="2" t="str">
        <x:v>에코시안_기샛별 &gt; KRIC</x:v>
      </x:c>
      <x:c r="M2807" s="2"/>
      <x:c r="N2807" s="8" t="n">
        <x:f>DATE(2026,10,15)-DATE(2022,1,14)</x:f>
        <x:v>1735</x:v>
      </x:c>
      <x:c r="O2807" s="2"/>
      <x:c r="P2807" s="2"/>
      <x:c r="Q2807" s="2" t="str">
        <x:v>산업전환_외부사업관리Tool_260707_이너젠 수정_LJY_261013.xlsx</x:v>
      </x:c>
      <x:c r="R2807" s="2" t="str">
        <x:v>국외인증</x:v>
      </x:c>
      <x:c r="S2807" s="8" t="n">
        <x:v>394</x:v>
      </x:c>
      <x:c r="T2807" s="2" t="str">
        <x:v>(1/18),(4/19),(9/19)</x:v>
      </x:c>
      <x:c r="U2807" s="2" t="str">
        <x:v>2022 지정: (1/18),(4/19),(9/19)</x:v>
      </x:c>
      <x:c r="V2807" s="2" t="str">
        <x:v>2023-12-13</x:v>
      </x:c>
      <x:c r="W2807" s="2" t="str"/>
      <x:c r="X2807" s="2" t="str">
        <x:v>종결 근거 보관</x:v>
      </x:c>
      <x:c r="Y2807" s="2" t="str">
        <x:v>ad210cd9ec132cfd447541c8984dc53d30aff0f4fb2dc92d254d49275cc55976</x:v>
      </x:c>
      <x:c r="Z2807" s="2" t="n">
        <x:f>SUBTOTAL(103,A2807)</x:f>
        <x:v>1</x:v>
      </x:c>
      <x:c r="AA2807" s="2" t="str">
        <x:f>IF(K2807&lt;&gt;"미종결 표시","대상 아님",IF(N2807="","신청일 확인",IF(NOT(ISNUMBER('종합 현황'!$H$5)),"관찰기준 확인",IF('종합 현황'!$H$5&lt;1,"관찰기준 확인",IF(N2807&gt;'종합 현황'!$H$5,"내부 관찰 대상","내부 관찰일 이하")))))</x:f>
        <x:v>대상 아님</x:v>
      </x:c>
      <x:c r="AB2807" s="2" t="str">
        <x:v>2022-01-14 17:45 - 신청
2022-03-22 14:22 - 문서재제출요청
2022-03-25 15:26 - 신청
2022-07-29 17:03 - 보완요청
2022-08-30 16:31 - 신청
2022-11-15 09:27 - 문서재제출요청
2022-11-15 11:00 - 신청
2023-03-15 13:17 - 검토승인
2023-03-24 14:50 - 심의승인</x:v>
      </x:c>
    </x:row>
    <x:row r="2808" ht="42" customHeight="1">
      <x:c r="A2808" s="2" t="str">
        <x:v>42c8571fe09c30d1f222b10d</x:v>
      </x:c>
      <x:c r="B2808" s="2" t="str">
        <x:v>감축량 인증</x:v>
      </x:c>
      <x:c r="C2808" s="2" t="str">
        <x:v>국외</x:v>
      </x:c>
      <x:c r="D2808" s="7" t="str">
        <x:v>마다가스카르의 개선된 쿡스토브 프로젝트 by KCM - Wood#CPA-W009</x:v>
      </x:c>
      <x:c r="E2808" s="2" t="str">
        <x:v>399</x:v>
      </x:c>
      <x:c r="F2808" s="2" t="str">
        <x:v>2022-01-14</x:v>
      </x:c>
      <x:c r="G2808" s="2" t="str">
        <x:v>2022</x:v>
      </x:c>
      <x:c r="H2808" s="2" t="str">
        <x:v>01</x:v>
      </x:c>
      <x:c r="I2808" s="2" t="str">
        <x:v>심의승인</x:v>
      </x:c>
      <x:c r="J2808" s="2" t="str">
        <x:v>심의승인</x:v>
      </x:c>
      <x:c r="K2808" s="2" t="str">
        <x:f>IF(OR(J2808="심의승인",J2808="반려",J2808="반려완료",J2808="심의완료"),"종결 표시",IF(OR(J2808="기후부협의",J2808="문서재제출요청",J2808="보류",J2808="보완요청",J2808="보완완료",J2808="평가중",J2808="반려요청",J2808="평가필요",LEFT(J2808,5)="보완요청("),"미종결 표시","상태 확인 필요"))</x:f>
        <x:v>종결 표시</x:v>
      </x:c>
      <x:c r="L2808" s="2" t="str">
        <x:v>에코시안_기샛별 &gt; KRIC</x:v>
      </x:c>
      <x:c r="M2808" s="2"/>
      <x:c r="N2808" s="8" t="n">
        <x:f>DATE(2026,10,15)-DATE(2022,1,14)</x:f>
        <x:v>1735</x:v>
      </x:c>
      <x:c r="O2808" s="2"/>
      <x:c r="P2808" s="2"/>
      <x:c r="Q2808" s="2" t="str">
        <x:v>산업전환_외부사업관리Tool_260707_이너젠 수정_LJY_261013.xlsx</x:v>
      </x:c>
      <x:c r="R2808" s="2" t="str">
        <x:v>국외인증</x:v>
      </x:c>
      <x:c r="S2808" s="8" t="n">
        <x:v>395</x:v>
      </x:c>
      <x:c r="T2808" s="2" t="str">
        <x:v>(1/18),(4/19),(9/19)</x:v>
      </x:c>
      <x:c r="U2808" s="2" t="str">
        <x:v>2022 지정: (1/18),(4/19),(9/19)</x:v>
      </x:c>
      <x:c r="V2808" s="2" t="str">
        <x:v>2023-12-13</x:v>
      </x:c>
      <x:c r="W2808" s="2" t="str"/>
      <x:c r="X2808" s="2" t="str">
        <x:v>종결 근거 보관</x:v>
      </x:c>
      <x:c r="Y2808" s="2" t="str">
        <x:v>ad210cd9ec132cfd447541c8984dc53d30aff0f4fb2dc92d254d49275cc55976</x:v>
      </x:c>
      <x:c r="Z2808" s="2" t="n">
        <x:f>SUBTOTAL(103,A2808)</x:f>
        <x:v>1</x:v>
      </x:c>
      <x:c r="AA2808" s="2" t="str">
        <x:f>IF(K2808&lt;&gt;"미종결 표시","대상 아님",IF(N2808="","신청일 확인",IF(NOT(ISNUMBER('종합 현황'!$H$5)),"관찰기준 확인",IF('종합 현황'!$H$5&lt;1,"관찰기준 확인",IF(N2808&gt;'종합 현황'!$H$5,"내부 관찰 대상","내부 관찰일 이하")))))</x:f>
        <x:v>대상 아님</x:v>
      </x:c>
      <x:c r="AB2808" s="2" t="str">
        <x:v>2022-01-14 17:45 - 신청
2022-03-22 14:22 - 문서재제출요청
2022-03-25 15:26 - 신청
2022-07-29 17:03 - 보완요청
2022-08-30 16:32 - 신청
2022-11-15 09:27 - 문서재제출요청
2022-11-15 11:00 - 신청
2023-03-15 13:17 - 검토승인
2023-03-24 14:51 - 심의승인</x:v>
      </x:c>
    </x:row>
    <x:row r="2809" ht="42" customHeight="1">
      <x:c r="A2809" s="2" t="str">
        <x:v>b9d3f559e8e4fda125c77dcc</x:v>
      </x:c>
      <x:c r="B2809" s="2" t="str">
        <x:v>감축량 인증</x:v>
      </x:c>
      <x:c r="C2809" s="2" t="str">
        <x:v>국외</x:v>
      </x:c>
      <x:c r="D2809" s="7" t="str">
        <x:v>DelAgua 르완다 보건 프로그램: 르완다 남부 지역 CPA 18</x:v>
      </x:c>
      <x:c r="E2809" s="2" t="str">
        <x:v>405</x:v>
      </x:c>
      <x:c r="F2809" s="2" t="str">
        <x:v>2022-01-28</x:v>
      </x:c>
      <x:c r="G2809" s="2" t="str">
        <x:v>2022</x:v>
      </x:c>
      <x:c r="H2809" s="2" t="str">
        <x:v>01</x:v>
      </x:c>
      <x:c r="I2809" s="2" t="str">
        <x:v>심의승인</x:v>
      </x:c>
      <x:c r="J2809" s="2" t="str">
        <x:v>심의승인</x:v>
      </x:c>
      <x:c r="K2809" s="2" t="str">
        <x:f>IF(OR(J2809="심의승인",J2809="반려",J2809="반려완료",J2809="심의완료"),"종결 표시",IF(OR(J2809="기후부협의",J2809="문서재제출요청",J2809="보류",J2809="보완요청",J2809="보완완료",J2809="평가중",J2809="반려요청",J2809="평가필요",LEFT(J2809,5)="보완요청("),"미종결 표시","상태 확인 필요"))</x:f>
        <x:v>종결 표시</x:v>
      </x:c>
      <x:c r="L2809" s="2" t="str">
        <x:v>에코시안_기샛별&gt;KRIC</x:v>
      </x:c>
      <x:c r="M2809" s="2"/>
      <x:c r="N2809" s="8" t="n">
        <x:f>DATE(2026,10,15)-DATE(2022,1,28)</x:f>
        <x:v>1721</x:v>
      </x:c>
      <x:c r="O2809" s="2"/>
      <x:c r="P2809" s="2"/>
      <x:c r="Q2809" s="2" t="str">
        <x:v>산업전환_외부사업관리Tool_260707_이너젠 수정_LJY_261013.xlsx</x:v>
      </x:c>
      <x:c r="R2809" s="2" t="str">
        <x:v>국외인증</x:v>
      </x:c>
      <x:c r="S2809" s="8" t="n">
        <x:v>396</x:v>
      </x:c>
      <x:c r="T2809" s="2" t="str">
        <x:v>(2/9)(5/18),(9/19)</x:v>
      </x:c>
      <x:c r="U2809" s="2" t="str">
        <x:v>2022 지정: (2/9)(5/18),(9/19)</x:v>
      </x:c>
      <x:c r="V2809" s="2" t="str">
        <x:v>2023-03-24</x:v>
      </x:c>
      <x:c r="W2809" s="2" t="str"/>
      <x:c r="X2809" s="2" t="str">
        <x:v>종결 근거 보관</x:v>
      </x:c>
      <x:c r="Y2809" s="2" t="str">
        <x:v>ad210cd9ec132cfd447541c8984dc53d30aff0f4fb2dc92d254d49275cc55976</x:v>
      </x:c>
      <x:c r="Z2809" s="2" t="n">
        <x:f>SUBTOTAL(103,A2809)</x:f>
        <x:v>1</x:v>
      </x:c>
      <x:c r="AA2809" s="2" t="str">
        <x:f>IF(K2809&lt;&gt;"미종결 표시","대상 아님",IF(N2809="","신청일 확인",IF(NOT(ISNUMBER('종합 현황'!$H$5)),"관찰기준 확인",IF('종합 현황'!$H$5&lt;1,"관찰기준 확인",IF(N2809&gt;'종합 현황'!$H$5,"내부 관찰 대상","내부 관찰일 이하")))))</x:f>
        <x:v>대상 아님</x:v>
      </x:c>
      <x:c r="AB2809" s="2" t="str">
        <x:v>2022-01-28 08:24 - 신청
2022-04-12 13:21 - 문서재제출요청
2022-04-18 17:51 - 신청
2022-08-11 17:38 - 문서재제출요청
2022-08-30 16:30 - 신청
2022-11-23 11:53 - 문서재제출요청
2022-11-24 10:19 - 신청
2023-03-15 10:50 - 검토승인
2023-03-24 14:52 - 심의승인</x:v>
      </x:c>
    </x:row>
    <x:row r="2810" ht="42" customHeight="1">
      <x:c r="A2810" s="2" t="str">
        <x:v>1fab7583d510e6246fa2b3a6</x:v>
      </x:c>
      <x:c r="B2810" s="2" t="str">
        <x:v>감축량 인증</x:v>
      </x:c>
      <x:c r="C2810" s="2" t="str">
        <x:v>국외</x:v>
      </x:c>
      <x:c r="D2810" s="7" t="str">
        <x:v>DelAgua 르완다 보건 프로그램: 르완다 남부 지역 CPA 19</x:v>
      </x:c>
      <x:c r="E2810" s="2" t="str">
        <x:v>406</x:v>
      </x:c>
      <x:c r="F2810" s="2" t="str">
        <x:v>2022-01-28</x:v>
      </x:c>
      <x:c r="G2810" s="2" t="str">
        <x:v>2022</x:v>
      </x:c>
      <x:c r="H2810" s="2" t="str">
        <x:v>01</x:v>
      </x:c>
      <x:c r="I2810" s="2" t="str">
        <x:v>심의승인</x:v>
      </x:c>
      <x:c r="J2810" s="2" t="str">
        <x:v>심의승인</x:v>
      </x:c>
      <x:c r="K2810" s="2" t="str">
        <x:f>IF(OR(J2810="심의승인",J2810="반려",J2810="반려완료",J2810="심의완료"),"종결 표시",IF(OR(J2810="기후부협의",J2810="문서재제출요청",J2810="보류",J2810="보완요청",J2810="보완완료",J2810="평가중",J2810="반려요청",J2810="평가필요",LEFT(J2810,5)="보완요청("),"미종결 표시","상태 확인 필요"))</x:f>
        <x:v>종결 표시</x:v>
      </x:c>
      <x:c r="L2810" s="2" t="str">
        <x:v>에코시안_기샛별&gt;KRIC</x:v>
      </x:c>
      <x:c r="M2810" s="2"/>
      <x:c r="N2810" s="8" t="n">
        <x:f>DATE(2026,10,15)-DATE(2022,1,28)</x:f>
        <x:v>1721</x:v>
      </x:c>
      <x:c r="O2810" s="2"/>
      <x:c r="P2810" s="2"/>
      <x:c r="Q2810" s="2" t="str">
        <x:v>산업전환_외부사업관리Tool_260707_이너젠 수정_LJY_261013.xlsx</x:v>
      </x:c>
      <x:c r="R2810" s="2" t="str">
        <x:v>국외인증</x:v>
      </x:c>
      <x:c r="S2810" s="8" t="n">
        <x:v>397</x:v>
      </x:c>
      <x:c r="T2810" s="2" t="str">
        <x:v>(2/9)(5/18),(9/19)</x:v>
      </x:c>
      <x:c r="U2810" s="2" t="str">
        <x:v>2022 지정: (2/9)(5/18),(9/19)</x:v>
      </x:c>
      <x:c r="V2810" s="2" t="str">
        <x:v>2023-03-24</x:v>
      </x:c>
      <x:c r="W2810" s="2" t="str"/>
      <x:c r="X2810" s="2" t="str">
        <x:v>종결 근거 보관</x:v>
      </x:c>
      <x:c r="Y2810" s="2" t="str">
        <x:v>ad210cd9ec132cfd447541c8984dc53d30aff0f4fb2dc92d254d49275cc55976</x:v>
      </x:c>
      <x:c r="Z2810" s="2" t="n">
        <x:f>SUBTOTAL(103,A2810)</x:f>
        <x:v>1</x:v>
      </x:c>
      <x:c r="AA2810" s="2" t="str">
        <x:f>IF(K2810&lt;&gt;"미종결 표시","대상 아님",IF(N2810="","신청일 확인",IF(NOT(ISNUMBER('종합 현황'!$H$5)),"관찰기준 확인",IF('종합 현황'!$H$5&lt;1,"관찰기준 확인",IF(N2810&gt;'종합 현황'!$H$5,"내부 관찰 대상","내부 관찰일 이하")))))</x:f>
        <x:v>대상 아님</x:v>
      </x:c>
      <x:c r="AB2810" s="2" t="str">
        <x:v>2022-01-28 08:25 - 신청
2022-04-12 13:22 - 문서재제출요청
2022-04-18 17:51 - 신청
2022-08-11 17:38 - 문서재제출요청
2022-08-30 16:30 - 신청
2022-11-23 11:53 - 문서재제출요청
2022-11-24 10:20 - 신청
2023-03-15 10:51 - 검토승인
2023-03-24 14:53 - 심의승인</x:v>
      </x:c>
    </x:row>
    <x:row r="2811" ht="42" customHeight="1">
      <x:c r="A2811" s="2" t="str">
        <x:v>5d444307800fa0dcf98e6e84</x:v>
      </x:c>
      <x:c r="B2811" s="2" t="str">
        <x:v>감축량 인증</x:v>
      </x:c>
      <x:c r="C2811" s="2" t="str">
        <x:v>국외</x:v>
      </x:c>
      <x:c r="D2811" s="7" t="str">
        <x:v>DelAgua 르완다 보건 프로그램: 르완다 남부 지역 CPA 20</x:v>
      </x:c>
      <x:c r="E2811" s="2" t="str">
        <x:v>407</x:v>
      </x:c>
      <x:c r="F2811" s="2" t="str">
        <x:v>2022-01-28</x:v>
      </x:c>
      <x:c r="G2811" s="2" t="str">
        <x:v>2022</x:v>
      </x:c>
      <x:c r="H2811" s="2" t="str">
        <x:v>01</x:v>
      </x:c>
      <x:c r="I2811" s="2" t="str">
        <x:v>심의승인</x:v>
      </x:c>
      <x:c r="J2811" s="2" t="str">
        <x:v>심의승인</x:v>
      </x:c>
      <x:c r="K2811" s="2" t="str">
        <x:f>IF(OR(J2811="심의승인",J2811="반려",J2811="반려완료",J2811="심의완료"),"종결 표시",IF(OR(J2811="기후부협의",J2811="문서재제출요청",J2811="보류",J2811="보완요청",J2811="보완완료",J2811="평가중",J2811="반려요청",J2811="평가필요",LEFT(J2811,5)="보완요청("),"미종결 표시","상태 확인 필요"))</x:f>
        <x:v>종결 표시</x:v>
      </x:c>
      <x:c r="L2811" s="2" t="str">
        <x:v>에코시안_기샛별&gt;KRIC</x:v>
      </x:c>
      <x:c r="M2811" s="2"/>
      <x:c r="N2811" s="8" t="n">
        <x:f>DATE(2026,10,15)-DATE(2022,1,28)</x:f>
        <x:v>1721</x:v>
      </x:c>
      <x:c r="O2811" s="2"/>
      <x:c r="P2811" s="2"/>
      <x:c r="Q2811" s="2" t="str">
        <x:v>산업전환_외부사업관리Tool_260707_이너젠 수정_LJY_261013.xlsx</x:v>
      </x:c>
      <x:c r="R2811" s="2" t="str">
        <x:v>국외인증</x:v>
      </x:c>
      <x:c r="S2811" s="8" t="n">
        <x:v>398</x:v>
      </x:c>
      <x:c r="T2811" s="2" t="str">
        <x:v>(2/9)(5/18),(9/19)</x:v>
      </x:c>
      <x:c r="U2811" s="2" t="str">
        <x:v>2022 지정: (2/9)(5/18),(9/19)</x:v>
      </x:c>
      <x:c r="V2811" s="2" t="str">
        <x:v>2023-03-24</x:v>
      </x:c>
      <x:c r="W2811" s="2" t="str"/>
      <x:c r="X2811" s="2" t="str">
        <x:v>종결 근거 보관</x:v>
      </x:c>
      <x:c r="Y2811" s="2" t="str">
        <x:v>ad210cd9ec132cfd447541c8984dc53d30aff0f4fb2dc92d254d49275cc55976</x:v>
      </x:c>
      <x:c r="Z2811" s="2" t="n">
        <x:f>SUBTOTAL(103,A2811)</x:f>
        <x:v>1</x:v>
      </x:c>
      <x:c r="AA2811" s="2" t="str">
        <x:f>IF(K2811&lt;&gt;"미종결 표시","대상 아님",IF(N2811="","신청일 확인",IF(NOT(ISNUMBER('종합 현황'!$H$5)),"관찰기준 확인",IF('종합 현황'!$H$5&lt;1,"관찰기준 확인",IF(N2811&gt;'종합 현황'!$H$5,"내부 관찰 대상","내부 관찰일 이하")))))</x:f>
        <x:v>대상 아님</x:v>
      </x:c>
      <x:c r="AB2811" s="2" t="str">
        <x:v>2022-01-28 08:27 - 신청
2022-04-12 13:22 - 문서재제출요청
2022-04-18 17:51 - 신청
2022-08-11 17:39 - 문서재제출요청
2022-08-30 16:30 - 신청
2022-11-23 11:54 - 문서재제출요청
2022-11-24 10:22 - 신청
2023-03-15 10:51 - 검토승인
2023-03-24 14:53 - 심의승인</x:v>
      </x:c>
    </x:row>
    <x:row r="2812" ht="42" customHeight="1">
      <x:c r="A2812" s="2" t="str">
        <x:v>213579d198159c1be3dc0959</x:v>
      </x:c>
      <x:c r="B2812" s="2" t="str">
        <x:v>감축량 인증</x:v>
      </x:c>
      <x:c r="C2812" s="2" t="str">
        <x:v>국외</x:v>
      </x:c>
      <x:c r="D2812" s="7" t="str">
        <x:v>DelAgua 르완다 보건 프로그램: 르완다 남부 지역 CPA 21</x:v>
      </x:c>
      <x:c r="E2812" s="2" t="str">
        <x:v>408</x:v>
      </x:c>
      <x:c r="F2812" s="2" t="str">
        <x:v>2022-01-28</x:v>
      </x:c>
      <x:c r="G2812" s="2" t="str">
        <x:v>2022</x:v>
      </x:c>
      <x:c r="H2812" s="2" t="str">
        <x:v>01</x:v>
      </x:c>
      <x:c r="I2812" s="2" t="str">
        <x:v>심의승인</x:v>
      </x:c>
      <x:c r="J2812" s="2" t="str">
        <x:v>심의승인</x:v>
      </x:c>
      <x:c r="K2812" s="2" t="str">
        <x:f>IF(OR(J2812="심의승인",J2812="반려",J2812="반려완료",J2812="심의완료"),"종결 표시",IF(OR(J2812="기후부협의",J2812="문서재제출요청",J2812="보류",J2812="보완요청",J2812="보완완료",J2812="평가중",J2812="반려요청",J2812="평가필요",LEFT(J2812,5)="보완요청("),"미종결 표시","상태 확인 필요"))</x:f>
        <x:v>종결 표시</x:v>
      </x:c>
      <x:c r="L2812" s="2" t="str">
        <x:v>에코시안_기샛별&gt;KRIC</x:v>
      </x:c>
      <x:c r="M2812" s="2"/>
      <x:c r="N2812" s="8" t="n">
        <x:f>DATE(2026,10,15)-DATE(2022,1,28)</x:f>
        <x:v>1721</x:v>
      </x:c>
      <x:c r="O2812" s="2"/>
      <x:c r="P2812" s="2"/>
      <x:c r="Q2812" s="2" t="str">
        <x:v>산업전환_외부사업관리Tool_260707_이너젠 수정_LJY_261013.xlsx</x:v>
      </x:c>
      <x:c r="R2812" s="2" t="str">
        <x:v>국외인증</x:v>
      </x:c>
      <x:c r="S2812" s="8" t="n">
        <x:v>399</x:v>
      </x:c>
      <x:c r="T2812" s="2" t="str">
        <x:v>(2/9)(5/18),(9/19)</x:v>
      </x:c>
      <x:c r="U2812" s="2" t="str">
        <x:v>2022 지정: (2/9)(5/18),(9/19)</x:v>
      </x:c>
      <x:c r="V2812" s="2" t="str">
        <x:v>2023-03-24</x:v>
      </x:c>
      <x:c r="W2812" s="2" t="str"/>
      <x:c r="X2812" s="2" t="str">
        <x:v>종결 근거 보관</x:v>
      </x:c>
      <x:c r="Y2812" s="2" t="str">
        <x:v>ad210cd9ec132cfd447541c8984dc53d30aff0f4fb2dc92d254d49275cc55976</x:v>
      </x:c>
      <x:c r="Z2812" s="2" t="n">
        <x:f>SUBTOTAL(103,A2812)</x:f>
        <x:v>1</x:v>
      </x:c>
      <x:c r="AA2812" s="2" t="str">
        <x:f>IF(K2812&lt;&gt;"미종결 표시","대상 아님",IF(N2812="","신청일 확인",IF(NOT(ISNUMBER('종합 현황'!$H$5)),"관찰기준 확인",IF('종합 현황'!$H$5&lt;1,"관찰기준 확인",IF(N2812&gt;'종합 현황'!$H$5,"내부 관찰 대상","내부 관찰일 이하")))))</x:f>
        <x:v>대상 아님</x:v>
      </x:c>
      <x:c r="AB2812" s="2" t="str">
        <x:v>2022-01-28 08:29 - 신청
2022-04-12 13:22 - 문서재제출요청
2022-04-18 17:51 - 신청
2022-08-11 17:41 - 문서재제출요청
2022-08-30 16:31 - 신청
2022-11-23 11:54 - 문서재제출요청
2022-11-24 10:24 - 신청
2023-03-15 10:52 - 검토승인
2023-03-24 14:54 - 심의승인</x:v>
      </x:c>
    </x:row>
    <x:row r="2813" ht="42" customHeight="1">
      <x:c r="A2813" s="2" t="str">
        <x:v>c3fc06450b4f4d097775f459</x:v>
      </x:c>
      <x:c r="B2813" s="2" t="str">
        <x:v>감축량 인증</x:v>
      </x:c>
      <x:c r="C2813" s="2" t="str">
        <x:v>국외</x:v>
      </x:c>
      <x:c r="D2813" s="7" t="str">
        <x:v>DelAgua 르완다 보건 프로그램: 르완다 남부 지역 CPA 22</x:v>
      </x:c>
      <x:c r="E2813" s="2" t="str">
        <x:v>409</x:v>
      </x:c>
      <x:c r="F2813" s="2" t="str">
        <x:v>2022-01-28</x:v>
      </x:c>
      <x:c r="G2813" s="2" t="str">
        <x:v>2022</x:v>
      </x:c>
      <x:c r="H2813" s="2" t="str">
        <x:v>01</x:v>
      </x:c>
      <x:c r="I2813" s="2" t="str">
        <x:v>심의승인</x:v>
      </x:c>
      <x:c r="J2813" s="2" t="str">
        <x:v>심의승인</x:v>
      </x:c>
      <x:c r="K2813" s="2" t="str">
        <x:f>IF(OR(J2813="심의승인",J2813="반려",J2813="반려완료",J2813="심의완료"),"종결 표시",IF(OR(J2813="기후부협의",J2813="문서재제출요청",J2813="보류",J2813="보완요청",J2813="보완완료",J2813="평가중",J2813="반려요청",J2813="평가필요",LEFT(J2813,5)="보완요청("),"미종결 표시","상태 확인 필요"))</x:f>
        <x:v>종결 표시</x:v>
      </x:c>
      <x:c r="L2813" s="2" t="str">
        <x:v>에코시안_기샛별&gt;KRIC</x:v>
      </x:c>
      <x:c r="M2813" s="2"/>
      <x:c r="N2813" s="8" t="n">
        <x:f>DATE(2026,10,15)-DATE(2022,1,28)</x:f>
        <x:v>1721</x:v>
      </x:c>
      <x:c r="O2813" s="2"/>
      <x:c r="P2813" s="2"/>
      <x:c r="Q2813" s="2" t="str">
        <x:v>산업전환_외부사업관리Tool_260707_이너젠 수정_LJY_261013.xlsx</x:v>
      </x:c>
      <x:c r="R2813" s="2" t="str">
        <x:v>국외인증</x:v>
      </x:c>
      <x:c r="S2813" s="8" t="n">
        <x:v>400</x:v>
      </x:c>
      <x:c r="T2813" s="2" t="str">
        <x:v>(2/9)(5/18),(9/19)</x:v>
      </x:c>
      <x:c r="U2813" s="2" t="str">
        <x:v>2022 지정: (2/9)(5/18),(9/19)</x:v>
      </x:c>
      <x:c r="V2813" s="2" t="str">
        <x:v>2023-03-24</x:v>
      </x:c>
      <x:c r="W2813" s="2" t="str"/>
      <x:c r="X2813" s="2" t="str">
        <x:v>종결 근거 보관</x:v>
      </x:c>
      <x:c r="Y2813" s="2" t="str">
        <x:v>ad210cd9ec132cfd447541c8984dc53d30aff0f4fb2dc92d254d49275cc55976</x:v>
      </x:c>
      <x:c r="Z2813" s="2" t="n">
        <x:f>SUBTOTAL(103,A2813)</x:f>
        <x:v>1</x:v>
      </x:c>
      <x:c r="AA2813" s="2" t="str">
        <x:f>IF(K2813&lt;&gt;"미종결 표시","대상 아님",IF(N2813="","신청일 확인",IF(NOT(ISNUMBER('종합 현황'!$H$5)),"관찰기준 확인",IF('종합 현황'!$H$5&lt;1,"관찰기준 확인",IF(N2813&gt;'종합 현황'!$H$5,"내부 관찰 대상","내부 관찰일 이하")))))</x:f>
        <x:v>대상 아님</x:v>
      </x:c>
      <x:c r="AB2813" s="2" t="str">
        <x:v>2022-01-28 08:32 - 신청
2022-04-12 13:23 - 문서재제출요청
2022-04-18 17:52 - 신청
2022-08-11 17:41 - 문서재제출요청
2022-08-30 16:31 - 신청
2022-11-23 11:54 - 문서재제출요청
2022-11-24 10:25 - 신청
2023-03-15 10:53 - 검토승인
2023-03-24 14:54 - 심의승인</x:v>
      </x:c>
    </x:row>
    <x:row r="2814" ht="42" customHeight="1">
      <x:c r="A2814" s="2" t="str">
        <x:v>b4948d30429b41567573b52b</x:v>
      </x:c>
      <x:c r="B2814" s="2" t="str">
        <x:v>감축량 인증</x:v>
      </x:c>
      <x:c r="C2814" s="2" t="str">
        <x:v>국외</x:v>
      </x:c>
      <x:c r="D2814" s="7" t="str">
        <x:v>DelAgua 르완다 보건 프로그램: 르완다 남부 지역 CPA 23</x:v>
      </x:c>
      <x:c r="E2814" s="2" t="str">
        <x:v>410</x:v>
      </x:c>
      <x:c r="F2814" s="2" t="str">
        <x:v>2022-01-28</x:v>
      </x:c>
      <x:c r="G2814" s="2" t="str">
        <x:v>2022</x:v>
      </x:c>
      <x:c r="H2814" s="2" t="str">
        <x:v>01</x:v>
      </x:c>
      <x:c r="I2814" s="2" t="str">
        <x:v>심의승인</x:v>
      </x:c>
      <x:c r="J2814" s="2" t="str">
        <x:v>심의승인</x:v>
      </x:c>
      <x:c r="K2814" s="2" t="str">
        <x:f>IF(OR(J2814="심의승인",J2814="반려",J2814="반려완료",J2814="심의완료"),"종결 표시",IF(OR(J2814="기후부협의",J2814="문서재제출요청",J2814="보류",J2814="보완요청",J2814="보완완료",J2814="평가중",J2814="반려요청",J2814="평가필요",LEFT(J2814,5)="보완요청("),"미종결 표시","상태 확인 필요"))</x:f>
        <x:v>종결 표시</x:v>
      </x:c>
      <x:c r="L2814" s="2" t="str">
        <x:v>에코시안_기샛별&gt;KRIC</x:v>
      </x:c>
      <x:c r="M2814" s="2"/>
      <x:c r="N2814" s="8" t="n">
        <x:f>DATE(2026,10,15)-DATE(2022,1,28)</x:f>
        <x:v>1721</x:v>
      </x:c>
      <x:c r="O2814" s="2"/>
      <x:c r="P2814" s="2"/>
      <x:c r="Q2814" s="2" t="str">
        <x:v>산업전환_외부사업관리Tool_260707_이너젠 수정_LJY_261013.xlsx</x:v>
      </x:c>
      <x:c r="R2814" s="2" t="str">
        <x:v>국외인증</x:v>
      </x:c>
      <x:c r="S2814" s="8" t="n">
        <x:v>401</x:v>
      </x:c>
      <x:c r="T2814" s="2" t="str">
        <x:v>(2/9)(5/18),(9/19)</x:v>
      </x:c>
      <x:c r="U2814" s="2" t="str">
        <x:v>2022 지정: (2/9)(5/18),(9/19)</x:v>
      </x:c>
      <x:c r="V2814" s="2" t="str">
        <x:v>2023-03-24</x:v>
      </x:c>
      <x:c r="W2814" s="2" t="str"/>
      <x:c r="X2814" s="2" t="str">
        <x:v>종결 근거 보관</x:v>
      </x:c>
      <x:c r="Y2814" s="2" t="str">
        <x:v>ad210cd9ec132cfd447541c8984dc53d30aff0f4fb2dc92d254d49275cc55976</x:v>
      </x:c>
      <x:c r="Z2814" s="2" t="n">
        <x:f>SUBTOTAL(103,A2814)</x:f>
        <x:v>1</x:v>
      </x:c>
      <x:c r="AA2814" s="2" t="str">
        <x:f>IF(K2814&lt;&gt;"미종결 표시","대상 아님",IF(N2814="","신청일 확인",IF(NOT(ISNUMBER('종합 현황'!$H$5)),"관찰기준 확인",IF('종합 현황'!$H$5&lt;1,"관찰기준 확인",IF(N2814&gt;'종합 현황'!$H$5,"내부 관찰 대상","내부 관찰일 이하")))))</x:f>
        <x:v>대상 아님</x:v>
      </x:c>
      <x:c r="AB2814" s="2" t="str">
        <x:v>2022-01-28 08:32 - 신청
2022-04-12 13:23 - 문서재제출요청
2022-04-18 17:52 - 신청
2022-08-11 17:42 - 문서재제출요청
2022-08-30 16:31 - 신청
2022-11-23 11:54 - 문서재제출요청
2022-11-24 10:28 - 신청
2023-03-15 10:54 - 검토승인
2023-03-24 14:55 - 심의승인</x:v>
      </x:c>
    </x:row>
    <x:row r="2815" ht="42" customHeight="1">
      <x:c r="A2815" s="2" t="str">
        <x:v>295d9656013353862770d845</x:v>
      </x:c>
      <x:c r="B2815" s="2" t="str">
        <x:v>감축량 인증</x:v>
      </x:c>
      <x:c r="C2815" s="2" t="str">
        <x:v>국외</x:v>
      </x:c>
      <x:c r="D2815" s="7" t="str">
        <x:v>서하남 사막 이남의 아프리카-잠비아에 향상된 쿡스토브 보급 CPA-007 사업</x:v>
      </x:c>
      <x:c r="E2815" s="2" t="str">
        <x:v>400</x:v>
      </x:c>
      <x:c r="F2815" s="2" t="str">
        <x:v>2022-01-18</x:v>
      </x:c>
      <x:c r="G2815" s="2" t="str">
        <x:v>2022</x:v>
      </x:c>
      <x:c r="H2815" s="2" t="str">
        <x:v>01</x:v>
      </x:c>
      <x:c r="I2815" s="2" t="str">
        <x:v>심의승인</x:v>
      </x:c>
      <x:c r="J2815" s="2" t="str">
        <x:v>심의승인</x:v>
      </x:c>
      <x:c r="K2815" s="2" t="str">
        <x:f>IF(OR(J2815="심의승인",J2815="반려",J2815="반려완료",J2815="심의완료"),"종결 표시",IF(OR(J2815="기후부협의",J2815="문서재제출요청",J2815="보류",J2815="보완요청",J2815="보완완료",J2815="평가중",J2815="반려요청",J2815="평가필요",LEFT(J2815,5)="보완요청("),"미종결 표시","상태 확인 필요"))</x:f>
        <x:v>종결 표시</x:v>
      </x:c>
      <x:c r="L2815" s="2" t="str">
        <x:v>KECM &gt; KRIC</x:v>
      </x:c>
      <x:c r="M2815" s="2"/>
      <x:c r="N2815" s="8" t="n">
        <x:f>DATE(2026,10,15)-DATE(2022,1,18)</x:f>
        <x:v>1731</x:v>
      </x:c>
      <x:c r="O2815" s="2"/>
      <x:c r="P2815" s="2"/>
      <x:c r="Q2815" s="2" t="str">
        <x:v>산업전환_외부사업관리Tool_260707_이너젠 수정_LJY_261013.xlsx</x:v>
      </x:c>
      <x:c r="R2815" s="2" t="str">
        <x:v>국외인증</x:v>
      </x:c>
      <x:c r="S2815" s="8" t="n">
        <x:v>402</x:v>
      </x:c>
      <x:c r="T2815" s="2" t="str">
        <x:v>(2/9),(4/19),(9/19)</x:v>
      </x:c>
      <x:c r="U2815" s="2" t="str">
        <x:v>2022 지정: (2/9),(4/19),(9/19)</x:v>
      </x:c>
      <x:c r="V2815" s="2" t="str">
        <x:v>2022-12-28</x:v>
      </x:c>
      <x:c r="W2815" s="2" t="str"/>
      <x:c r="X2815" s="2" t="str">
        <x:v>종결 근거 보관</x:v>
      </x:c>
      <x:c r="Y2815" s="2" t="str">
        <x:v>ad210cd9ec132cfd447541c8984dc53d30aff0f4fb2dc92d254d49275cc55976</x:v>
      </x:c>
      <x:c r="Z2815" s="2" t="n">
        <x:f>SUBTOTAL(103,A2815)</x:f>
        <x:v>1</x:v>
      </x:c>
      <x:c r="AA2815" s="2" t="str">
        <x:f>IF(K2815&lt;&gt;"미종결 표시","대상 아님",IF(N2815="","신청일 확인",IF(NOT(ISNUMBER('종합 현황'!$H$5)),"관찰기준 확인",IF('종합 현황'!$H$5&lt;1,"관찰기준 확인",IF(N2815&gt;'종합 현황'!$H$5,"내부 관찰 대상","내부 관찰일 이하")))))</x:f>
        <x:v>대상 아님</x:v>
      </x:c>
      <x:c r="AB2815" s="2" t="str">
        <x:v>2022-01-18 19:11 - 신청
2022-03-03 17:10 - 보완요청
2022-03-29 09:47 - 신청
2022-08-11 17:48 - 문서재제출요청
2022-08-12 16:37 - 신청
2022-08-24 13:10 - 문서재제출요청
2022-08-24 16:17 - 신청
2022-11-15 08:43 - 문서재제출요청
2022-11-16 09:37 - 신청
2022-11-17 16:28 - 문서재제출요청
2022-11-17 16:37 - 신청
2022-12-21 17:39 - 검토승인
2022-12-28 16:07 - 심의승인</x:v>
      </x:c>
    </x:row>
    <x:row r="2816" ht="42" customHeight="1">
      <x:c r="A2816" s="2" t="str">
        <x:v>e76b0195be3c9ec0adb91f09</x:v>
      </x:c>
      <x:c r="B2816" s="2" t="str">
        <x:v>감축량 인증</x:v>
      </x:c>
      <x:c r="C2816" s="2" t="str">
        <x:v>국외</x:v>
      </x:c>
      <x:c r="D2816" s="7" t="str">
        <x:v>대한민국이 지원하는 방글라데시 고효율 쿡스토브 프로그램 - CPA02</x:v>
      </x:c>
      <x:c r="E2816" s="2" t="str">
        <x:v>401</x:v>
      </x:c>
      <x:c r="F2816" s="2" t="str">
        <x:v>2022-01-18</x:v>
      </x:c>
      <x:c r="G2816" s="2" t="str">
        <x:v>2022</x:v>
      </x:c>
      <x:c r="H2816" s="2" t="str">
        <x:v>01</x:v>
      </x:c>
      <x:c r="I2816" s="2" t="str">
        <x:v>심의승인</x:v>
      </x:c>
      <x:c r="J2816" s="2" t="str">
        <x:v>심의승인</x:v>
      </x:c>
      <x:c r="K2816" s="2" t="str">
        <x:f>IF(OR(J2816="심의승인",J2816="반려",J2816="반려완료",J2816="심의완료"),"종결 표시",IF(OR(J2816="기후부협의",J2816="문서재제출요청",J2816="보류",J2816="보완요청",J2816="보완완료",J2816="평가중",J2816="반려요청",J2816="평가필요",LEFT(J2816,5)="보완요청("),"미종결 표시","상태 확인 필요"))</x:f>
        <x:v>종결 표시</x:v>
      </x:c>
      <x:c r="L2816" s="2" t="str">
        <x:v>KECM &gt; KRIC</x:v>
      </x:c>
      <x:c r="M2816" s="2"/>
      <x:c r="N2816" s="8" t="n">
        <x:f>DATE(2026,10,15)-DATE(2022,1,18)</x:f>
        <x:v>1731</x:v>
      </x:c>
      <x:c r="O2816" s="2"/>
      <x:c r="P2816" s="2"/>
      <x:c r="Q2816" s="2" t="str">
        <x:v>산업전환_외부사업관리Tool_260707_이너젠 수정_LJY_261013.xlsx</x:v>
      </x:c>
      <x:c r="R2816" s="2" t="str">
        <x:v>국외인증</x:v>
      </x:c>
      <x:c r="S2816" s="8" t="n">
        <x:v>403</x:v>
      </x:c>
      <x:c r="T2816" s="2" t="str">
        <x:v>(2/9),(4/19),(9/19)</x:v>
      </x:c>
      <x:c r="U2816" s="2" t="str">
        <x:v>2022 지정: (2/9),(4/19),(9/19)</x:v>
      </x:c>
      <x:c r="V2816" s="2" t="str">
        <x:v>2022-12-28</x:v>
      </x:c>
      <x:c r="W2816" s="2" t="str"/>
      <x:c r="X2816" s="2" t="str">
        <x:v>종결 근거 보관</x:v>
      </x:c>
      <x:c r="Y2816" s="2" t="str">
        <x:v>ad210cd9ec132cfd447541c8984dc53d30aff0f4fb2dc92d254d49275cc55976</x:v>
      </x:c>
      <x:c r="Z2816" s="2" t="n">
        <x:f>SUBTOTAL(103,A2816)</x:f>
        <x:v>1</x:v>
      </x:c>
      <x:c r="AA2816" s="2" t="str">
        <x:f>IF(K2816&lt;&gt;"미종결 표시","대상 아님",IF(N2816="","신청일 확인",IF(NOT(ISNUMBER('종합 현황'!$H$5)),"관찰기준 확인",IF('종합 현황'!$H$5&lt;1,"관찰기준 확인",IF(N2816&gt;'종합 현황'!$H$5,"내부 관찰 대상","내부 관찰일 이하")))))</x:f>
        <x:v>대상 아님</x:v>
      </x:c>
      <x:c r="AB2816" s="2" t="str">
        <x:v>2022-01-18 19:29 - 신청
2022-03-04 15:57 - 보완요청
2022-03-22 13:53 - 신청
2022-04-01 11:35 - 문서재제출요청
2022-04-05 16:36 - 신청
2022-08-11 17:58 - 문서재제출요청
2022-08-22 08:58 - 신청
2022-08-24 14:17 - 문서재제출요청
2022-08-24 16:31 - 신청
2022-12-21 17:31 - 검토승인
2022-12-28 16:20 - 심의승인</x:v>
      </x:c>
    </x:row>
    <x:row r="2817" ht="42" customHeight="1">
      <x:c r="A2817" s="2" t="str">
        <x:v>9b4d7e60b7f80f905bc09175</x:v>
      </x:c>
      <x:c r="B2817" s="2" t="str">
        <x:v>감축량 인증</x:v>
      </x:c>
      <x:c r="C2817" s="2" t="str">
        <x:v>국외</x:v>
      </x:c>
      <x:c r="D2817" s="7" t="str">
        <x:v>대한민국이 지원하는 방글라데시 고효율 쿡스토브 프로그램 - CPA03</x:v>
      </x:c>
      <x:c r="E2817" s="2" t="str">
        <x:v>402</x:v>
      </x:c>
      <x:c r="F2817" s="2" t="str">
        <x:v>2022-01-18</x:v>
      </x:c>
      <x:c r="G2817" s="2" t="str">
        <x:v>2022</x:v>
      </x:c>
      <x:c r="H2817" s="2" t="str">
        <x:v>01</x:v>
      </x:c>
      <x:c r="I2817" s="2" t="str">
        <x:v>심의승인</x:v>
      </x:c>
      <x:c r="J2817" s="2" t="str">
        <x:v>심의승인</x:v>
      </x:c>
      <x:c r="K2817" s="2" t="str">
        <x:f>IF(OR(J2817="심의승인",J2817="반려",J2817="반려완료",J2817="심의완료"),"종결 표시",IF(OR(J2817="기후부협의",J2817="문서재제출요청",J2817="보류",J2817="보완요청",J2817="보완완료",J2817="평가중",J2817="반려요청",J2817="평가필요",LEFT(J2817,5)="보완요청("),"미종결 표시","상태 확인 필요"))</x:f>
        <x:v>종결 표시</x:v>
      </x:c>
      <x:c r="L2817" s="2" t="str">
        <x:v>KECM &gt; KRIC</x:v>
      </x:c>
      <x:c r="M2817" s="2"/>
      <x:c r="N2817" s="8" t="n">
        <x:f>DATE(2026,10,15)-DATE(2022,1,18)</x:f>
        <x:v>1731</x:v>
      </x:c>
      <x:c r="O2817" s="2"/>
      <x:c r="P2817" s="2"/>
      <x:c r="Q2817" s="2" t="str">
        <x:v>산업전환_외부사업관리Tool_260707_이너젠 수정_LJY_261013.xlsx</x:v>
      </x:c>
      <x:c r="R2817" s="2" t="str">
        <x:v>국외인증</x:v>
      </x:c>
      <x:c r="S2817" s="8" t="n">
        <x:v>404</x:v>
      </x:c>
      <x:c r="T2817" s="2" t="str">
        <x:v>(2/9),(4/19),(9/19)</x:v>
      </x:c>
      <x:c r="U2817" s="2" t="str">
        <x:v>2022 지정: (2/9),(4/19),(9/19)</x:v>
      </x:c>
      <x:c r="V2817" s="2" t="str">
        <x:v>2022-12-28</x:v>
      </x:c>
      <x:c r="W2817" s="2" t="str"/>
      <x:c r="X2817" s="2" t="str">
        <x:v>종결 근거 보관</x:v>
      </x:c>
      <x:c r="Y2817" s="2" t="str">
        <x:v>ad210cd9ec132cfd447541c8984dc53d30aff0f4fb2dc92d254d49275cc55976</x:v>
      </x:c>
      <x:c r="Z2817" s="2" t="n">
        <x:f>SUBTOTAL(103,A2817)</x:f>
        <x:v>1</x:v>
      </x:c>
      <x:c r="AA2817" s="2" t="str">
        <x:f>IF(K2817&lt;&gt;"미종결 표시","대상 아님",IF(N2817="","신청일 확인",IF(NOT(ISNUMBER('종합 현황'!$H$5)),"관찰기준 확인",IF('종합 현황'!$H$5&lt;1,"관찰기준 확인",IF(N2817&gt;'종합 현황'!$H$5,"내부 관찰 대상","내부 관찰일 이하")))))</x:f>
        <x:v>대상 아님</x:v>
      </x:c>
      <x:c r="AB2817" s="2" t="str">
        <x:v>2022-01-18 19:38 - 신청
2022-03-04 15:58 - 보완요청
2022-03-22 13:55 - 신청
2022-04-01 11:35 - 문서재제출요청
2022-04-05 16:36 - 신청
2022-08-11 18:00 - 문서재제출요청
2022-08-23 11:02 - 신청
2022-11-15 08:42 - 문서재제출요청
2022-11-16 09:41 - 신청
2022-12-21 17:31 - 검토승인
2022-12-28 16:24 - 심의승인</x:v>
      </x:c>
    </x:row>
    <x:row r="2818" ht="42" customHeight="1">
      <x:c r="A2818" s="2" t="str">
        <x:v>112c5799044df497625669d7</x:v>
      </x:c>
      <x:c r="B2818" s="2" t="str">
        <x:v>감축량 인증</x:v>
      </x:c>
      <x:c r="C2818" s="2" t="str">
        <x:v>국외</x:v>
      </x:c>
      <x:c r="D2818" s="7" t="str">
        <x:v>대한민국이 지원하는 방글라데시 고효율 쿡스토브 프로그램 - CPA02</x:v>
      </x:c>
      <x:c r="E2818" s="2" t="str">
        <x:v>403</x:v>
      </x:c>
      <x:c r="F2818" s="2" t="str">
        <x:v>2022-01-18</x:v>
      </x:c>
      <x:c r="G2818" s="2" t="str">
        <x:v>2022</x:v>
      </x:c>
      <x:c r="H2818" s="2" t="str">
        <x:v>01</x:v>
      </x:c>
      <x:c r="I2818" s="2" t="str">
        <x:v>심의승인</x:v>
      </x:c>
      <x:c r="J2818" s="2" t="str">
        <x:v>심의승인</x:v>
      </x:c>
      <x:c r="K2818" s="2" t="str">
        <x:f>IF(OR(J2818="심의승인",J2818="반려",J2818="반려완료",J2818="심의완료"),"종결 표시",IF(OR(J2818="기후부협의",J2818="문서재제출요청",J2818="보류",J2818="보완요청",J2818="보완완료",J2818="평가중",J2818="반려요청",J2818="평가필요",LEFT(J2818,5)="보완요청("),"미종결 표시","상태 확인 필요"))</x:f>
        <x:v>종결 표시</x:v>
      </x:c>
      <x:c r="L2818" s="2" t="str">
        <x:v>KECM &gt; KRIC</x:v>
      </x:c>
      <x:c r="M2818" s="2"/>
      <x:c r="N2818" s="8" t="n">
        <x:f>DATE(2026,10,15)-DATE(2022,1,18)</x:f>
        <x:v>1731</x:v>
      </x:c>
      <x:c r="O2818" s="2"/>
      <x:c r="P2818" s="2"/>
      <x:c r="Q2818" s="2" t="str">
        <x:v>산업전환_외부사업관리Tool_260707_이너젠 수정_LJY_261013.xlsx</x:v>
      </x:c>
      <x:c r="R2818" s="2" t="str">
        <x:v>국외인증</x:v>
      </x:c>
      <x:c r="S2818" s="8" t="n">
        <x:v>405</x:v>
      </x:c>
      <x:c r="T2818" s="2" t="str">
        <x:v>(2/9),(4/19),(9/19)</x:v>
      </x:c>
      <x:c r="U2818" s="2" t="str">
        <x:v>2022 지정: (2/9),(4/19),(9/19)</x:v>
      </x:c>
      <x:c r="V2818" s="2" t="str">
        <x:v>2022-12-28</x:v>
      </x:c>
      <x:c r="W2818" s="2" t="str"/>
      <x:c r="X2818" s="2" t="str">
        <x:v>종결 근거 보관</x:v>
      </x:c>
      <x:c r="Y2818" s="2" t="str">
        <x:v>ad210cd9ec132cfd447541c8984dc53d30aff0f4fb2dc92d254d49275cc55976</x:v>
      </x:c>
      <x:c r="Z2818" s="2" t="n">
        <x:f>SUBTOTAL(103,A2818)</x:f>
        <x:v>1</x:v>
      </x:c>
      <x:c r="AA2818" s="2" t="str">
        <x:f>IF(K2818&lt;&gt;"미종결 표시","대상 아님",IF(N2818="","신청일 확인",IF(NOT(ISNUMBER('종합 현황'!$H$5)),"관찰기준 확인",IF('종합 현황'!$H$5&lt;1,"관찰기준 확인",IF(N2818&gt;'종합 현황'!$H$5,"내부 관찰 대상","내부 관찰일 이하")))))</x:f>
        <x:v>대상 아님</x:v>
      </x:c>
      <x:c r="AB2818" s="2" t="str">
        <x:v>2022-01-18 20:24 - 신청
2022-03-04 15:57 - 보완요청
2022-03-22 13:59 - 신청
2022-04-01 11:35 - 문서재제출요청
2022-04-05 16:37 - 신청
2022-08-11 17:57 - 문서재제출요청
2022-08-22 13:27 - 신청
2022-12-21 17:30 - 검토승인
2022-12-28 16:21 - 심의승인</x:v>
      </x:c>
    </x:row>
    <x:row r="2819" ht="42" customHeight="1">
      <x:c r="A2819" s="2" t="str">
        <x:v>4321da3d1f2ef18d5e082d46</x:v>
      </x:c>
      <x:c r="B2819" s="2" t="str">
        <x:v>감축량 인증</x:v>
      </x:c>
      <x:c r="C2819" s="2" t="str">
        <x:v>국외</x:v>
      </x:c>
      <x:c r="D2819" s="7" t="str">
        <x:v>대한민국이 지원하는 방글라데시 고효율 쿡스토브 프로그램 - CPA03</x:v>
      </x:c>
      <x:c r="E2819" s="2" t="str">
        <x:v>404</x:v>
      </x:c>
      <x:c r="F2819" s="2" t="str">
        <x:v>2022-01-18</x:v>
      </x:c>
      <x:c r="G2819" s="2" t="str">
        <x:v>2022</x:v>
      </x:c>
      <x:c r="H2819" s="2" t="str">
        <x:v>01</x:v>
      </x:c>
      <x:c r="I2819" s="2" t="str">
        <x:v>심의승인</x:v>
      </x:c>
      <x:c r="J2819" s="2" t="str">
        <x:v>심의승인</x:v>
      </x:c>
      <x:c r="K2819" s="2" t="str">
        <x:f>IF(OR(J2819="심의승인",J2819="반려",J2819="반려완료",J2819="심의완료"),"종결 표시",IF(OR(J2819="기후부협의",J2819="문서재제출요청",J2819="보류",J2819="보완요청",J2819="보완완료",J2819="평가중",J2819="반려요청",J2819="평가필요",LEFT(J2819,5)="보완요청("),"미종결 표시","상태 확인 필요"))</x:f>
        <x:v>종결 표시</x:v>
      </x:c>
      <x:c r="L2819" s="2" t="str">
        <x:v>KECM &gt; KRIC</x:v>
      </x:c>
      <x:c r="M2819" s="2"/>
      <x:c r="N2819" s="8" t="n">
        <x:f>DATE(2026,10,15)-DATE(2022,1,18)</x:f>
        <x:v>1731</x:v>
      </x:c>
      <x:c r="O2819" s="2"/>
      <x:c r="P2819" s="2"/>
      <x:c r="Q2819" s="2" t="str">
        <x:v>산업전환_외부사업관리Tool_260707_이너젠 수정_LJY_261013.xlsx</x:v>
      </x:c>
      <x:c r="R2819" s="2" t="str">
        <x:v>국외인증</x:v>
      </x:c>
      <x:c r="S2819" s="8" t="n">
        <x:v>406</x:v>
      </x:c>
      <x:c r="T2819" s="2" t="str">
        <x:v>(2/9),(4/19),(9/19)</x:v>
      </x:c>
      <x:c r="U2819" s="2" t="str">
        <x:v>2022 지정: (2/9),(4/19),(9/19)</x:v>
      </x:c>
      <x:c r="V2819" s="2" t="str">
        <x:v>2022-12-28</x:v>
      </x:c>
      <x:c r="W2819" s="2" t="str"/>
      <x:c r="X2819" s="2" t="str">
        <x:v>종결 근거 보관</x:v>
      </x:c>
      <x:c r="Y2819" s="2" t="str">
        <x:v>ad210cd9ec132cfd447541c8984dc53d30aff0f4fb2dc92d254d49275cc55976</x:v>
      </x:c>
      <x:c r="Z2819" s="2" t="n">
        <x:f>SUBTOTAL(103,A2819)</x:f>
        <x:v>1</x:v>
      </x:c>
      <x:c r="AA2819" s="2" t="str">
        <x:f>IF(K2819&lt;&gt;"미종결 표시","대상 아님",IF(N2819="","신청일 확인",IF(NOT(ISNUMBER('종합 현황'!$H$5)),"관찰기준 확인",IF('종합 현황'!$H$5&lt;1,"관찰기준 확인",IF(N2819&gt;'종합 현황'!$H$5,"내부 관찰 대상","내부 관찰일 이하")))))</x:f>
        <x:v>대상 아님</x:v>
      </x:c>
      <x:c r="AB2819" s="2" t="str">
        <x:v>2022-01-18 20:28 - 신청
2022-03-04 15:58 - 보완요청
2022-03-22 14:01 - 신청
2022-04-01 11:35 - 문서재제출요청
2022-04-05 16:37 - 신청
2022-08-11 18:01 - 문서재제출요청
2022-08-23 11:02 - 신청
2022-11-15 08:43 - 문서재제출요청
2022-11-16 09:42 - 신청
2022-12-21 17:31 - 검토승인
2022-12-28 16:25 - 심의승인</x:v>
      </x:c>
    </x:row>
    <x:row r="2820" ht="42" customHeight="1">
      <x:c r="A2820" s="2" t="str">
        <x:v>c105f36c0d1b11458f7b4918</x:v>
      </x:c>
      <x:c r="B2820" s="2" t="str">
        <x:v>감축량 인증</x:v>
      </x:c>
      <x:c r="C2820" s="2" t="str">
        <x:v>국외</x:v>
      </x:c>
      <x:c r="D2820" s="7" t="str">
        <x:v>DelAgua 르완다 보건 프로그램: 르완다 남부 지역 CPA 24</x:v>
      </x:c>
      <x:c r="E2820" s="2" t="str">
        <x:v>411</x:v>
      </x:c>
      <x:c r="F2820" s="2" t="str">
        <x:v>2022-01-28</x:v>
      </x:c>
      <x:c r="G2820" s="2" t="str">
        <x:v>2022</x:v>
      </x:c>
      <x:c r="H2820" s="2" t="str">
        <x:v>01</x:v>
      </x:c>
      <x:c r="I2820" s="2" t="str">
        <x:v>심의승인</x:v>
      </x:c>
      <x:c r="J2820" s="2" t="str">
        <x:v>심의승인</x:v>
      </x:c>
      <x:c r="K2820" s="2" t="str">
        <x:f>IF(OR(J2820="심의승인",J2820="반려",J2820="반려완료",J2820="심의완료"),"종결 표시",IF(OR(J2820="기후부협의",J2820="문서재제출요청",J2820="보류",J2820="보완요청",J2820="보완완료",J2820="평가중",J2820="반려요청",J2820="평가필요",LEFT(J2820,5)="보완요청("),"미종결 표시","상태 확인 필요"))</x:f>
        <x:v>종결 표시</x:v>
      </x:c>
      <x:c r="L2820" s="2" t="str">
        <x:v>에코시안_기샛별&gt;KRIC</x:v>
      </x:c>
      <x:c r="M2820" s="2"/>
      <x:c r="N2820" s="8" t="n">
        <x:f>DATE(2026,10,15)-DATE(2022,1,28)</x:f>
        <x:v>1721</x:v>
      </x:c>
      <x:c r="O2820" s="2"/>
      <x:c r="P2820" s="2"/>
      <x:c r="Q2820" s="2" t="str">
        <x:v>산업전환_외부사업관리Tool_260707_이너젠 수정_LJY_261013.xlsx</x:v>
      </x:c>
      <x:c r="R2820" s="2" t="str">
        <x:v>국외인증</x:v>
      </x:c>
      <x:c r="S2820" s="8" t="n">
        <x:v>407</x:v>
      </x:c>
      <x:c r="T2820" s="2" t="str">
        <x:v>(2/9)(5/18),(9/19)</x:v>
      </x:c>
      <x:c r="U2820" s="2" t="str">
        <x:v>2022 지정: (2/9)(5/18),(9/19)</x:v>
      </x:c>
      <x:c r="V2820" s="2" t="str">
        <x:v>2023-03-24</x:v>
      </x:c>
      <x:c r="W2820" s="2" t="str"/>
      <x:c r="X2820" s="2" t="str">
        <x:v>종결 근거 보관</x:v>
      </x:c>
      <x:c r="Y2820" s="2" t="str">
        <x:v>ad210cd9ec132cfd447541c8984dc53d30aff0f4fb2dc92d254d49275cc55976</x:v>
      </x:c>
      <x:c r="Z2820" s="2" t="n">
        <x:f>SUBTOTAL(103,A2820)</x:f>
        <x:v>1</x:v>
      </x:c>
      <x:c r="AA2820" s="2" t="str">
        <x:f>IF(K2820&lt;&gt;"미종결 표시","대상 아님",IF(N2820="","신청일 확인",IF(NOT(ISNUMBER('종합 현황'!$H$5)),"관찰기준 확인",IF('종합 현황'!$H$5&lt;1,"관찰기준 확인",IF(N2820&gt;'종합 현황'!$H$5,"내부 관찰 대상","내부 관찰일 이하")))))</x:f>
        <x:v>대상 아님</x:v>
      </x:c>
      <x:c r="AB2820" s="2" t="str">
        <x:v>2022-01-28 08:34 - 신청
2022-04-12 13:23 - 문서재제출요청
2022-04-18 17:52 - 신청
2022-08-11 17:43 - 문서재제출요청
2022-08-30 16:31 - 신청
2022-11-23 11:54 - 문서재제출요청
2022-11-24 10:29 - 신청
2023-03-15 10:55 - 검토승인
2023-03-24 14:56 - 심의승인</x:v>
      </x:c>
    </x:row>
    <x:row r="2821" ht="42" customHeight="1">
      <x:c r="A2821" s="2" t="str">
        <x:v>1052b14df86e23301545030a</x:v>
      </x:c>
      <x:c r="B2821" s="2" t="str">
        <x:v>감축량 인증</x:v>
      </x:c>
      <x:c r="C2821" s="2" t="str">
        <x:v>국외</x:v>
      </x:c>
      <x:c r="D2821" s="7" t="str">
        <x:v>DelAgua 르완다 보건 프로그램: 르완다 남부 지역 CPA 25</x:v>
      </x:c>
      <x:c r="E2821" s="2" t="str">
        <x:v>412</x:v>
      </x:c>
      <x:c r="F2821" s="2" t="str">
        <x:v>2022-01-28</x:v>
      </x:c>
      <x:c r="G2821" s="2" t="str">
        <x:v>2022</x:v>
      </x:c>
      <x:c r="H2821" s="2" t="str">
        <x:v>01</x:v>
      </x:c>
      <x:c r="I2821" s="2" t="str">
        <x:v>심의승인</x:v>
      </x:c>
      <x:c r="J2821" s="2" t="str">
        <x:v>심의승인</x:v>
      </x:c>
      <x:c r="K2821" s="2" t="str">
        <x:f>IF(OR(J2821="심의승인",J2821="반려",J2821="반려완료",J2821="심의완료"),"종결 표시",IF(OR(J2821="기후부협의",J2821="문서재제출요청",J2821="보류",J2821="보완요청",J2821="보완완료",J2821="평가중",J2821="반려요청",J2821="평가필요",LEFT(J2821,5)="보완요청("),"미종결 표시","상태 확인 필요"))</x:f>
        <x:v>종결 표시</x:v>
      </x:c>
      <x:c r="L2821" s="2" t="str">
        <x:v>에코시안_기샛별&gt;KRIC</x:v>
      </x:c>
      <x:c r="M2821" s="2"/>
      <x:c r="N2821" s="8" t="n">
        <x:f>DATE(2026,10,15)-DATE(2022,1,28)</x:f>
        <x:v>1721</x:v>
      </x:c>
      <x:c r="O2821" s="2"/>
      <x:c r="P2821" s="2"/>
      <x:c r="Q2821" s="2" t="str">
        <x:v>산업전환_외부사업관리Tool_260707_이너젠 수정_LJY_261013.xlsx</x:v>
      </x:c>
      <x:c r="R2821" s="2" t="str">
        <x:v>국외인증</x:v>
      </x:c>
      <x:c r="S2821" s="8" t="n">
        <x:v>408</x:v>
      </x:c>
      <x:c r="T2821" s="2" t="str">
        <x:v>(2/9)(5/18),(9/19)</x:v>
      </x:c>
      <x:c r="U2821" s="2" t="str">
        <x:v>2022 지정: (2/9)(5/18),(9/19)</x:v>
      </x:c>
      <x:c r="V2821" s="2" t="str">
        <x:v>2023-03-24</x:v>
      </x:c>
      <x:c r="W2821" s="2" t="str"/>
      <x:c r="X2821" s="2" t="str">
        <x:v>종결 근거 보관</x:v>
      </x:c>
      <x:c r="Y2821" s="2" t="str">
        <x:v>ad210cd9ec132cfd447541c8984dc53d30aff0f4fb2dc92d254d49275cc55976</x:v>
      </x:c>
      <x:c r="Z2821" s="2" t="n">
        <x:f>SUBTOTAL(103,A2821)</x:f>
        <x:v>1</x:v>
      </x:c>
      <x:c r="AA2821" s="2" t="str">
        <x:f>IF(K2821&lt;&gt;"미종결 표시","대상 아님",IF(N2821="","신청일 확인",IF(NOT(ISNUMBER('종합 현황'!$H$5)),"관찰기준 확인",IF('종합 현황'!$H$5&lt;1,"관찰기준 확인",IF(N2821&gt;'종합 현황'!$H$5,"내부 관찰 대상","내부 관찰일 이하")))))</x:f>
        <x:v>대상 아님</x:v>
      </x:c>
      <x:c r="AB2821" s="2" t="str">
        <x:v>2022-01-28 08:40 - 신청
2022-04-12 13:24 - 문서재제출요청
2022-04-18 17:52 - 신청
2022-08-11 17:43 - 문서재제출요청
2022-08-30 16:31 - 신청
2022-11-23 11:53 - 문서재제출요청
2022-11-24 10:31 - 신청
2023-03-15 10:55 - 검토승인
2023-03-24 14:56 - 심의승인</x:v>
      </x:c>
    </x:row>
    <x:row r="2822" ht="42" customHeight="1">
      <x:c r="A2822" s="2" t="str">
        <x:v>c0f5eb8ef23762902eb708c9</x:v>
      </x:c>
      <x:c r="B2822" s="2" t="str">
        <x:v>감축량 인증</x:v>
      </x:c>
      <x:c r="C2822" s="2" t="str">
        <x:v>국외</x:v>
      </x:c>
      <x:c r="D2822" s="7" t="str">
        <x:v>마다가스카르의 개선된 쿡스토브 프로젝트 by KCM - Wood#CPA-W-003</x:v>
      </x:c>
      <x:c r="E2822" s="2" t="str">
        <x:v>416</x:v>
      </x:c>
      <x:c r="F2822" s="2" t="str">
        <x:v>2022-02-25</x:v>
      </x:c>
      <x:c r="G2822" s="2" t="str">
        <x:v>2022</x:v>
      </x:c>
      <x:c r="H2822" s="2" t="str">
        <x:v>02</x:v>
      </x:c>
      <x:c r="I2822" s="2" t="str">
        <x:v>심의승인</x:v>
      </x:c>
      <x:c r="J2822" s="2" t="str">
        <x:v>심의승인</x:v>
      </x:c>
      <x:c r="K2822" s="2" t="str">
        <x:f>IF(OR(J2822="심의승인",J2822="반려",J2822="반려완료",J2822="심의완료"),"종결 표시",IF(OR(J2822="기후부협의",J2822="문서재제출요청",J2822="보류",J2822="보완요청",J2822="보완완료",J2822="평가중",J2822="반려요청",J2822="평가필요",LEFT(J2822,5)="보완요청("),"미종결 표시","상태 확인 필요"))</x:f>
        <x:v>종결 표시</x:v>
      </x:c>
      <x:c r="L2822" s="2" t="str">
        <x:v>에코시안_기샛별&gt;KRIC</x:v>
      </x:c>
      <x:c r="M2822" s="2"/>
      <x:c r="N2822" s="8" t="n">
        <x:f>DATE(2026,10,15)-DATE(2022,2,25)</x:f>
        <x:v>1693</x:v>
      </x:c>
      <x:c r="O2822" s="2"/>
      <x:c r="P2822" s="2"/>
      <x:c r="Q2822" s="2" t="str">
        <x:v>산업전환_외부사업관리Tool_260707_이너젠 수정_LJY_261013.xlsx</x:v>
      </x:c>
      <x:c r="R2822" s="2" t="str">
        <x:v>국외인증</x:v>
      </x:c>
      <x:c r="S2822" s="8" t="n">
        <x:v>409</x:v>
      </x:c>
      <x:c r="T2822" s="2" t="str">
        <x:v>(3/16)(5/18)(9/19)</x:v>
      </x:c>
      <x:c r="U2822" s="2" t="str">
        <x:v>2022 지정: (3/16)(5/18)(9/19)</x:v>
      </x:c>
      <x:c r="V2822" s="2" t="str">
        <x:v>2023-12-13</x:v>
      </x:c>
      <x:c r="W2822" s="2" t="str"/>
      <x:c r="X2822" s="2" t="str">
        <x:v>종결 근거 보관</x:v>
      </x:c>
      <x:c r="Y2822" s="2" t="str">
        <x:v>ad210cd9ec132cfd447541c8984dc53d30aff0f4fb2dc92d254d49275cc55976</x:v>
      </x:c>
      <x:c r="Z2822" s="2" t="n">
        <x:f>SUBTOTAL(103,A2822)</x:f>
        <x:v>1</x:v>
      </x:c>
      <x:c r="AA2822" s="2" t="str">
        <x:f>IF(K2822&lt;&gt;"미종결 표시","대상 아님",IF(N2822="","신청일 확인",IF(NOT(ISNUMBER('종합 현황'!$H$5)),"관찰기준 확인",IF('종합 현황'!$H$5&lt;1,"관찰기준 확인",IF(N2822&gt;'종합 현황'!$H$5,"내부 관찰 대상","내부 관찰일 이하")))))</x:f>
        <x:v>대상 아님</x:v>
      </x:c>
      <x:c r="AB2822" s="2" t="str">
        <x:v>2022-02-25 14:21 - 신청
2022-04-20 15:16 - 문서재제출요청
2022-04-27 16:35 - 신청
2022-07-29 16:56 - 문서재제출요청
2022-08-30 16:29 - 신청
2023-03-15 13:12 - 검토승인
2023-03-24 14:42 - 심의승인</x:v>
      </x:c>
    </x:row>
    <x:row r="2823" ht="42" customHeight="1">
      <x:c r="A2823" s="2" t="str">
        <x:v>7e7a90e04c9a0c3cbbe2db19</x:v>
      </x:c>
      <x:c r="B2823" s="2" t="str">
        <x:v>감축량 인증</x:v>
      </x:c>
      <x:c r="C2823" s="2" t="str">
        <x:v>국외</x:v>
      </x:c>
      <x:c r="D2823" s="7" t="str">
        <x:v>마다가스카르의 개선된 쿡스토브 프로젝트 by KCM - Wood#CPA-W-004</x:v>
      </x:c>
      <x:c r="E2823" s="2" t="str">
        <x:v>420</x:v>
      </x:c>
      <x:c r="F2823" s="2" t="str">
        <x:v>2022-02-25</x:v>
      </x:c>
      <x:c r="G2823" s="2" t="str">
        <x:v>2022</x:v>
      </x:c>
      <x:c r="H2823" s="2" t="str">
        <x:v>02</x:v>
      </x:c>
      <x:c r="I2823" s="2" t="str">
        <x:v>심의승인</x:v>
      </x:c>
      <x:c r="J2823" s="2" t="str">
        <x:v>심의승인</x:v>
      </x:c>
      <x:c r="K2823" s="2" t="str">
        <x:f>IF(OR(J2823="심의승인",J2823="반려",J2823="반려완료",J2823="심의완료"),"종결 표시",IF(OR(J2823="기후부협의",J2823="문서재제출요청",J2823="보류",J2823="보완요청",J2823="보완완료",J2823="평가중",J2823="반려요청",J2823="평가필요",LEFT(J2823,5)="보완요청("),"미종결 표시","상태 확인 필요"))</x:f>
        <x:v>종결 표시</x:v>
      </x:c>
      <x:c r="L2823" s="2" t="str">
        <x:v>에코시안_기샛별&gt;KRIC</x:v>
      </x:c>
      <x:c r="M2823" s="2"/>
      <x:c r="N2823" s="8" t="n">
        <x:f>DATE(2026,10,15)-DATE(2022,2,25)</x:f>
        <x:v>1693</x:v>
      </x:c>
      <x:c r="O2823" s="2"/>
      <x:c r="P2823" s="2"/>
      <x:c r="Q2823" s="2" t="str">
        <x:v>산업전환_외부사업관리Tool_260707_이너젠 수정_LJY_261013.xlsx</x:v>
      </x:c>
      <x:c r="R2823" s="2" t="str">
        <x:v>국외인증</x:v>
      </x:c>
      <x:c r="S2823" s="8" t="n">
        <x:v>410</x:v>
      </x:c>
      <x:c r="T2823" s="2" t="str">
        <x:v>(3/16)(5/18)(9/19)</x:v>
      </x:c>
      <x:c r="U2823" s="2" t="str">
        <x:v>2022 지정: (3/16)(5/18)(9/19)</x:v>
      </x:c>
      <x:c r="V2823" s="2" t="str">
        <x:v>2023-12-13</x:v>
      </x:c>
      <x:c r="W2823" s="2" t="str"/>
      <x:c r="X2823" s="2" t="str">
        <x:v>종결 근거 보관</x:v>
      </x:c>
      <x:c r="Y2823" s="2" t="str">
        <x:v>ad210cd9ec132cfd447541c8984dc53d30aff0f4fb2dc92d254d49275cc55976</x:v>
      </x:c>
      <x:c r="Z2823" s="2" t="n">
        <x:f>SUBTOTAL(103,A2823)</x:f>
        <x:v>1</x:v>
      </x:c>
      <x:c r="AA2823" s="2" t="str">
        <x:f>IF(K2823&lt;&gt;"미종결 표시","대상 아님",IF(N2823="","신청일 확인",IF(NOT(ISNUMBER('종합 현황'!$H$5)),"관찰기준 확인",IF('종합 현황'!$H$5&lt;1,"관찰기준 확인",IF(N2823&gt;'종합 현황'!$H$5,"내부 관찰 대상","내부 관찰일 이하")))))</x:f>
        <x:v>대상 아님</x:v>
      </x:c>
      <x:c r="AB2823" s="2" t="str">
        <x:v>2022-02-25 17:04 - 신청
2022-04-20 15:16 - 문서재제출요청
2022-04-27 16:35 - 신청
2022-07-29 16:58 - 보완요청
2022-08-30 16:29 - 신청
2023-03-15 13:13 - 검토승인
2023-03-24 14:45 - 심의승인</x:v>
      </x:c>
    </x:row>
    <x:row r="2824" ht="42" customHeight="1">
      <x:c r="A2824" s="2" t="str">
        <x:v>5aef9da31bddd898451466c1</x:v>
      </x:c>
      <x:c r="B2824" s="2" t="str">
        <x:v>감축량 인증</x:v>
      </x:c>
      <x:c r="C2824" s="2" t="str">
        <x:v>국외</x:v>
      </x:c>
      <x:c r="D2824" s="7" t="str">
        <x:v>마다가스카르의 개선된 쿡스토브 프로젝트 by KCM - Wood#CPA-W-005</x:v>
      </x:c>
      <x:c r="E2824" s="2" t="str">
        <x:v>421</x:v>
      </x:c>
      <x:c r="F2824" s="2" t="str">
        <x:v>2022-02-25</x:v>
      </x:c>
      <x:c r="G2824" s="2" t="str">
        <x:v>2022</x:v>
      </x:c>
      <x:c r="H2824" s="2" t="str">
        <x:v>02</x:v>
      </x:c>
      <x:c r="I2824" s="2" t="str">
        <x:v>심의승인</x:v>
      </x:c>
      <x:c r="J2824" s="2" t="str">
        <x:v>심의승인</x:v>
      </x:c>
      <x:c r="K2824" s="2" t="str">
        <x:f>IF(OR(J2824="심의승인",J2824="반려",J2824="반려완료",J2824="심의완료"),"종결 표시",IF(OR(J2824="기후부협의",J2824="문서재제출요청",J2824="보류",J2824="보완요청",J2824="보완완료",J2824="평가중",J2824="반려요청",J2824="평가필요",LEFT(J2824,5)="보완요청("),"미종결 표시","상태 확인 필요"))</x:f>
        <x:v>종결 표시</x:v>
      </x:c>
      <x:c r="L2824" s="2" t="str">
        <x:v>에코시안_기샛별&gt;KRIC</x:v>
      </x:c>
      <x:c r="M2824" s="2"/>
      <x:c r="N2824" s="8" t="n">
        <x:f>DATE(2026,10,15)-DATE(2022,2,25)</x:f>
        <x:v>1693</x:v>
      </x:c>
      <x:c r="O2824" s="2"/>
      <x:c r="P2824" s="2"/>
      <x:c r="Q2824" s="2" t="str">
        <x:v>산업전환_외부사업관리Tool_260707_이너젠 수정_LJY_261013.xlsx</x:v>
      </x:c>
      <x:c r="R2824" s="2" t="str">
        <x:v>국외인증</x:v>
      </x:c>
      <x:c r="S2824" s="8" t="n">
        <x:v>411</x:v>
      </x:c>
      <x:c r="T2824" s="2" t="str">
        <x:v>(3/16)(5/18)(9/19)</x:v>
      </x:c>
      <x:c r="U2824" s="2" t="str">
        <x:v>2022 지정: (3/16)(5/18)(9/19)</x:v>
      </x:c>
      <x:c r="V2824" s="2" t="str">
        <x:v>2023-12-13</x:v>
      </x:c>
      <x:c r="W2824" s="2" t="str"/>
      <x:c r="X2824" s="2" t="str">
        <x:v>종결 근거 보관</x:v>
      </x:c>
      <x:c r="Y2824" s="2" t="str">
        <x:v>ad210cd9ec132cfd447541c8984dc53d30aff0f4fb2dc92d254d49275cc55976</x:v>
      </x:c>
      <x:c r="Z2824" s="2" t="n">
        <x:f>SUBTOTAL(103,A2824)</x:f>
        <x:v>1</x:v>
      </x:c>
      <x:c r="AA2824" s="2" t="str">
        <x:f>IF(K2824&lt;&gt;"미종결 표시","대상 아님",IF(N2824="","신청일 확인",IF(NOT(ISNUMBER('종합 현황'!$H$5)),"관찰기준 확인",IF('종합 현황'!$H$5&lt;1,"관찰기준 확인",IF(N2824&gt;'종합 현황'!$H$5,"내부 관찰 대상","내부 관찰일 이하")))))</x:f>
        <x:v>대상 아님</x:v>
      </x:c>
      <x:c r="AB2824" s="2" t="str">
        <x:v>2022-02-25 17:04 - 신청
2022-04-20 15:17 - 문서재제출요청
2022-04-27 16:36 - 신청
2022-07-29 17:00 - 보완요청
2022-08-30 16:30 - 신청
2023-03-15 13:14 - 검토승인
2023-03-24 14:46 - 심의승인</x:v>
      </x:c>
    </x:row>
    <x:row r="2825" ht="42" customHeight="1">
      <x:c r="A2825" s="2" t="str">
        <x:v>1296dfe18234bcc6153787a3</x:v>
      </x:c>
      <x:c r="B2825" s="2" t="str">
        <x:v>감축량 인증</x:v>
      </x:c>
      <x:c r="C2825" s="2" t="str">
        <x:v>국외</x:v>
      </x:c>
      <x:c r="D2825" s="7" t="str">
        <x:v>마다가스카르의 개선된 쿡스토브 프로젝트 by KCM - Wood#CPA-W-003</x:v>
      </x:c>
      <x:c r="E2825" s="2" t="str">
        <x:v>425</x:v>
      </x:c>
      <x:c r="F2825" s="2" t="str">
        <x:v>2022-02-25</x:v>
      </x:c>
      <x:c r="G2825" s="2" t="str">
        <x:v>2022</x:v>
      </x:c>
      <x:c r="H2825" s="2" t="str">
        <x:v>02</x:v>
      </x:c>
      <x:c r="I2825" s="2" t="str">
        <x:v>심의승인</x:v>
      </x:c>
      <x:c r="J2825" s="2" t="str">
        <x:v>심의승인</x:v>
      </x:c>
      <x:c r="K2825" s="2" t="str">
        <x:f>IF(OR(J2825="심의승인",J2825="반려",J2825="반려완료",J2825="심의완료"),"종결 표시",IF(OR(J2825="기후부협의",J2825="문서재제출요청",J2825="보류",J2825="보완요청",J2825="보완완료",J2825="평가중",J2825="반려요청",J2825="평가필요",LEFT(J2825,5)="보완요청("),"미종결 표시","상태 확인 필요"))</x:f>
        <x:v>종결 표시</x:v>
      </x:c>
      <x:c r="L2825" s="2" t="str">
        <x:v>에코시안_기샛별&gt;KRIC</x:v>
      </x:c>
      <x:c r="M2825" s="2"/>
      <x:c r="N2825" s="8" t="n">
        <x:f>DATE(2026,10,15)-DATE(2022,2,25)</x:f>
        <x:v>1693</x:v>
      </x:c>
      <x:c r="O2825" s="2"/>
      <x:c r="P2825" s="2"/>
      <x:c r="Q2825" s="2" t="str">
        <x:v>산업전환_외부사업관리Tool_260707_이너젠 수정_LJY_261013.xlsx</x:v>
      </x:c>
      <x:c r="R2825" s="2" t="str">
        <x:v>국외인증</x:v>
      </x:c>
      <x:c r="S2825" s="8" t="n">
        <x:v>412</x:v>
      </x:c>
      <x:c r="T2825" s="2" t="str">
        <x:v>(3/16)(5/18)(9/19)</x:v>
      </x:c>
      <x:c r="U2825" s="2" t="str">
        <x:v>2022 지정: (3/16)(5/18)(9/19)</x:v>
      </x:c>
      <x:c r="V2825" s="2" t="str">
        <x:v>2023-12-13</x:v>
      </x:c>
      <x:c r="W2825" s="2" t="str"/>
      <x:c r="X2825" s="2" t="str">
        <x:v>종결 근거 보관</x:v>
      </x:c>
      <x:c r="Y2825" s="2" t="str">
        <x:v>ad210cd9ec132cfd447541c8984dc53d30aff0f4fb2dc92d254d49275cc55976</x:v>
      </x:c>
      <x:c r="Z2825" s="2" t="n">
        <x:f>SUBTOTAL(103,A2825)</x:f>
        <x:v>1</x:v>
      </x:c>
      <x:c r="AA2825" s="2" t="str">
        <x:f>IF(K2825&lt;&gt;"미종결 표시","대상 아님",IF(N2825="","신청일 확인",IF(NOT(ISNUMBER('종합 현황'!$H$5)),"관찰기준 확인",IF('종합 현황'!$H$5&lt;1,"관찰기준 확인",IF(N2825&gt;'종합 현황'!$H$5,"내부 관찰 대상","내부 관찰일 이하")))))</x:f>
        <x:v>대상 아님</x:v>
      </x:c>
      <x:c r="AB2825" s="2" t="str">
        <x:v>2022-02-25 17:05 - 신청
2022-04-20 17:25 - 문서재제출요청
2022-04-27 17:22 - 신청
2022-07-29 16:56 - 보완요청
2022-08-30 16:29 - 신청
2023-03-15 13:13 - 검토승인
2023-03-24 14:43 - 심의승인</x:v>
      </x:c>
    </x:row>
    <x:row r="2826" ht="42" customHeight="1">
      <x:c r="A2826" s="2" t="str">
        <x:v>8d9b944ff04fb522495fdda8</x:v>
      </x:c>
      <x:c r="B2826" s="2" t="str">
        <x:v>감축량 인증</x:v>
      </x:c>
      <x:c r="C2826" s="2" t="str">
        <x:v>국외</x:v>
      </x:c>
      <x:c r="D2826" s="7" t="str">
        <x:v>마다가스카르의 개선된 쿡스토브 프로젝트 by KCM - Wood#CPA-W-006</x:v>
      </x:c>
      <x:c r="E2826" s="2" t="str">
        <x:v>427</x:v>
      </x:c>
      <x:c r="F2826" s="2" t="str">
        <x:v>2022-03-30</x:v>
      </x:c>
      <x:c r="G2826" s="2" t="str">
        <x:v>2022</x:v>
      </x:c>
      <x:c r="H2826" s="2" t="str">
        <x:v>03</x:v>
      </x:c>
      <x:c r="I2826" s="2" t="str">
        <x:v>심의승인</x:v>
      </x:c>
      <x:c r="J2826" s="2" t="str">
        <x:v>심의승인</x:v>
      </x:c>
      <x:c r="K2826" s="2" t="str">
        <x:f>IF(OR(J2826="심의승인",J2826="반려",J2826="반려완료",J2826="심의완료"),"종결 표시",IF(OR(J2826="기후부협의",J2826="문서재제출요청",J2826="보류",J2826="보완요청",J2826="보완완료",J2826="평가중",J2826="반려요청",J2826="평가필요",LEFT(J2826,5)="보완요청("),"미종결 표시","상태 확인 필요"))</x:f>
        <x:v>종결 표시</x:v>
      </x:c>
      <x:c r="L2826" s="2" t="str">
        <x:v>KRIC</x:v>
      </x:c>
      <x:c r="M2826" s="2"/>
      <x:c r="N2826" s="8" t="n">
        <x:f>DATE(2026,10,15)-DATE(2022,3,30)</x:f>
        <x:v>1660</x:v>
      </x:c>
      <x:c r="O2826" s="2"/>
      <x:c r="P2826" s="2"/>
      <x:c r="Q2826" s="2" t="str">
        <x:v>산업전환_외부사업관리Tool_260707_이너젠 수정_LJY_261013.xlsx</x:v>
      </x:c>
      <x:c r="R2826" s="2" t="str">
        <x:v>국외인증</x:v>
      </x:c>
      <x:c r="S2826" s="8" t="n">
        <x:v>413</x:v>
      </x:c>
      <x:c r="T2826" s="2" t="str">
        <x:v>(4/19)(9/19)</x:v>
      </x:c>
      <x:c r="U2826" s="2" t="str">
        <x:v>2022 지정: (4/19)(9/19)</x:v>
      </x:c>
      <x:c r="V2826" s="2" t="str">
        <x:v>2023-12-13</x:v>
      </x:c>
      <x:c r="W2826" s="2" t="str"/>
      <x:c r="X2826" s="2" t="str">
        <x:v>종결 근거 보관</x:v>
      </x:c>
      <x:c r="Y2826" s="2" t="str">
        <x:v>ad210cd9ec132cfd447541c8984dc53d30aff0f4fb2dc92d254d49275cc55976</x:v>
      </x:c>
      <x:c r="Z2826" s="2" t="n">
        <x:f>SUBTOTAL(103,A2826)</x:f>
        <x:v>1</x:v>
      </x:c>
      <x:c r="AA2826" s="2" t="str">
        <x:f>IF(K2826&lt;&gt;"미종결 표시","대상 아님",IF(N2826="","신청일 확인",IF(NOT(ISNUMBER('종합 현황'!$H$5)),"관찰기준 확인",IF('종합 현황'!$H$5&lt;1,"관찰기준 확인",IF(N2826&gt;'종합 현황'!$H$5,"내부 관찰 대상","내부 관찰일 이하")))))</x:f>
        <x:v>대상 아님</x:v>
      </x:c>
      <x:c r="AB2826" s="2" t="str">
        <x:v>2022-03-30 11:42 - 신청
2022-07-29 17:01 - 보완요청
2022-08-30 16:30 - 신청
2023-03-15 13:16 - 검토승인
2023-03-24 14:48 - 심의승인</x:v>
      </x:c>
    </x:row>
    <x:row r="2827" ht="42" customHeight="1">
      <x:c r="A2827" s="2" t="str">
        <x:v>c321d795c162be17f3cb2c57</x:v>
      </x:c>
      <x:c r="B2827" s="2" t="str">
        <x:v>감축량 인증</x:v>
      </x:c>
      <x:c r="C2827" s="2" t="str">
        <x:v>국외</x:v>
      </x:c>
      <x:c r="D2827" s="7" t="str">
        <x:v>가정 조리용 비재생연료의 온실가스 배출 저감 정책 감축사업</x:v>
      </x:c>
      <x:c r="E2827" s="2" t="str">
        <x:v>426</x:v>
      </x:c>
      <x:c r="F2827" s="2" t="str">
        <x:v>2022-03-23</x:v>
      </x:c>
      <x:c r="G2827" s="2" t="str">
        <x:v>2022</x:v>
      </x:c>
      <x:c r="H2827" s="2" t="str">
        <x:v>03</x:v>
      </x:c>
      <x:c r="I2827" s="2" t="str">
        <x:v>심의승인</x:v>
      </x:c>
      <x:c r="J2827" s="2" t="str">
        <x:v>심의승인</x:v>
      </x:c>
      <x:c r="K2827" s="2" t="str">
        <x:f>IF(OR(J2827="심의승인",J2827="반려",J2827="반려완료",J2827="심의완료"),"종결 표시",IF(OR(J2827="기후부협의",J2827="문서재제출요청",J2827="보류",J2827="보완요청",J2827="보완완료",J2827="평가중",J2827="반려요청",J2827="평가필요",LEFT(J2827,5)="보완요청("),"미종결 표시","상태 확인 필요"))</x:f>
        <x:v>종결 표시</x:v>
      </x:c>
      <x:c r="L2827" s="2" t="str">
        <x:v>KRIC</x:v>
      </x:c>
      <x:c r="M2827" s="2"/>
      <x:c r="N2827" s="8" t="n">
        <x:f>DATE(2026,10,15)-DATE(2022,3,23)</x:f>
        <x:v>1667</x:v>
      </x:c>
      <x:c r="O2827" s="2"/>
      <x:c r="P2827" s="2"/>
      <x:c r="Q2827" s="2" t="str">
        <x:v>산업전환_외부사업관리Tool_260707_이너젠 수정_LJY_261013.xlsx</x:v>
      </x:c>
      <x:c r="R2827" s="2" t="str">
        <x:v>국외인증</x:v>
      </x:c>
      <x:c r="S2827" s="8" t="n">
        <x:v>414</x:v>
      </x:c>
      <x:c r="T2827" s="2" t="str">
        <x:v>(4/19)(9/19)</x:v>
      </x:c>
      <x:c r="U2827" s="2" t="str">
        <x:v>2022 지정: (4/19)(9/19) / 2023 지정: (1/30)</x:v>
      </x:c>
      <x:c r="V2827" s="2" t="str">
        <x:v>2023-06-22</x:v>
      </x:c>
      <x:c r="W2827" s="2" t="str"/>
      <x:c r="X2827" s="2" t="str">
        <x:v>종결 근거 보관</x:v>
      </x:c>
      <x:c r="Y2827" s="2" t="str">
        <x:v>ad210cd9ec132cfd447541c8984dc53d30aff0f4fb2dc92d254d49275cc55976</x:v>
      </x:c>
      <x:c r="Z2827" s="2" t="n">
        <x:f>SUBTOTAL(103,A2827)</x:f>
        <x:v>1</x:v>
      </x:c>
      <x:c r="AA2827" s="2" t="str">
        <x:f>IF(K2827&lt;&gt;"미종결 표시","대상 아님",IF(N2827="","신청일 확인",IF(NOT(ISNUMBER('종합 현황'!$H$5)),"관찰기준 확인",IF('종합 현황'!$H$5&lt;1,"관찰기준 확인",IF(N2827&gt;'종합 현황'!$H$5,"내부 관찰 대상","내부 관찰일 이하")))))</x:f>
        <x:v>대상 아님</x:v>
      </x:c>
      <x:c r="AB2827" s="2" t="str">
        <x:v>2022-03-23 18:31 - 신청
2022-08-11 18:03 - 문서재제출요청
2022-08-31 11:12 - 신청
2023-01-06 15:45 - 문서재제출요청
2023-01-10 09:19 - 신청
2023-02-22 10:32 - 문서재제출요청
2023-02-22 13:52 - 신청
2023-03-29 15:21 - 검토승인
2023-03-29 15:21 - 협의검토중
2023-03-29 15:21 - 협의검토중
2023-04-10 18:07 - 협의통보
2023-06-22 16:05 - 심의승인</x:v>
      </x:c>
    </x:row>
    <x:row r="2828" ht="42" customHeight="1">
      <x:c r="A2828" s="2" t="str">
        <x:v>1779243ac0b7d6b6bd78c90c</x:v>
      </x:c>
      <x:c r="B2828" s="2" t="str">
        <x:v>감축량 인증</x:v>
      </x:c>
      <x:c r="C2828" s="2" t="str">
        <x:v>국외</x:v>
      </x:c>
      <x:c r="D2828" s="7" t="str">
        <x:v>DelAgua 르완다 보건 프로그램: 르완다 남부 지역 CPA 26</x:v>
      </x:c>
      <x:c r="E2828" s="2" t="str">
        <x:v>413</x:v>
      </x:c>
      <x:c r="F2828" s="2" t="str">
        <x:v>2022-01-28</x:v>
      </x:c>
      <x:c r="G2828" s="2" t="str">
        <x:v>2022</x:v>
      </x:c>
      <x:c r="H2828" s="2" t="str">
        <x:v>01</x:v>
      </x:c>
      <x:c r="I2828" s="2" t="str">
        <x:v>심의승인</x:v>
      </x:c>
      <x:c r="J2828" s="2" t="str">
        <x:v>심의승인</x:v>
      </x:c>
      <x:c r="K2828" s="2" t="str">
        <x:f>IF(OR(J2828="심의승인",J2828="반려",J2828="반려완료",J2828="심의완료"),"종결 표시",IF(OR(J2828="기후부협의",J2828="문서재제출요청",J2828="보류",J2828="보완요청",J2828="보완완료",J2828="평가중",J2828="반려요청",J2828="평가필요",LEFT(J2828,5)="보완요청("),"미종결 표시","상태 확인 필요"))</x:f>
        <x:v>종결 표시</x:v>
      </x:c>
      <x:c r="L2828" s="2" t="str">
        <x:v>에코시안_기샛별&gt;KRIC</x:v>
      </x:c>
      <x:c r="M2828" s="2"/>
      <x:c r="N2828" s="8" t="n">
        <x:f>DATE(2026,10,15)-DATE(2022,1,28)</x:f>
        <x:v>1721</x:v>
      </x:c>
      <x:c r="O2828" s="2"/>
      <x:c r="P2828" s="2"/>
      <x:c r="Q2828" s="2" t="str">
        <x:v>산업전환_외부사업관리Tool_260707_이너젠 수정_LJY_261013.xlsx</x:v>
      </x:c>
      <x:c r="R2828" s="2" t="str">
        <x:v>국외인증</x:v>
      </x:c>
      <x:c r="S2828" s="8" t="n">
        <x:v>415</x:v>
      </x:c>
      <x:c r="T2828" s="2" t="str">
        <x:v>(2/9)(5/18),(9/19)</x:v>
      </x:c>
      <x:c r="U2828" s="2" t="str">
        <x:v>2022 지정: (2/9)(5/18),(9/19)</x:v>
      </x:c>
      <x:c r="V2828" s="2" t="str">
        <x:v>2023-03-24</x:v>
      </x:c>
      <x:c r="W2828" s="2" t="str"/>
      <x:c r="X2828" s="2" t="str">
        <x:v>종결 근거 보관</x:v>
      </x:c>
      <x:c r="Y2828" s="2" t="str">
        <x:v>ad210cd9ec132cfd447541c8984dc53d30aff0f4fb2dc92d254d49275cc55976</x:v>
      </x:c>
      <x:c r="Z2828" s="2" t="n">
        <x:f>SUBTOTAL(103,A2828)</x:f>
        <x:v>1</x:v>
      </x:c>
      <x:c r="AA2828" s="2" t="str">
        <x:f>IF(K2828&lt;&gt;"미종결 표시","대상 아님",IF(N2828="","신청일 확인",IF(NOT(ISNUMBER('종합 현황'!$H$5)),"관찰기준 확인",IF('종합 현황'!$H$5&lt;1,"관찰기준 확인",IF(N2828&gt;'종합 현황'!$H$5,"내부 관찰 대상","내부 관찰일 이하")))))</x:f>
        <x:v>대상 아님</x:v>
      </x:c>
      <x:c r="AB2828" s="2" t="str">
        <x:v>2022-01-28 08:40 - 신청
2022-04-12 13:24 - 문서재제출요청
2022-04-18 17:52 - 신청
2022-05-11 09:20 - 문서재제출요청
2022-05-11 09:26 - 신청
2022-08-11 17:44 - 문서재제출요청
2022-08-30 16:32 - 신청
2022-09-06 15:40 - 문서재제출요청
2022-09-06 15:56 - 신청
2022-11-23 11:53 - 문서재제출요청
2022-11-24 10:34 - 신청
2023-01-13 09:40 - 문서재제출요청
2023-01-13 13:42 - 신청
2023-03-15 11:06 - 검토승인
2023-03-24 14:57 - 심의승인</x:v>
      </x:c>
    </x:row>
    <x:row r="2829" ht="42" customHeight="1">
      <x:c r="A2829" s="2" t="str">
        <x:v>c6bf97af35f59523a7204679</x:v>
      </x:c>
      <x:c r="B2829" s="2" t="str">
        <x:v>감축량 인증</x:v>
      </x:c>
      <x:c r="C2829" s="2" t="str">
        <x:v>국외</x:v>
      </x:c>
      <x:c r="D2829" s="7" t="str">
        <x:v>SHINE – 인도 LED 보급 CPA03 사업</x:v>
      </x:c>
      <x:c r="E2829" s="2" t="str">
        <x:v>430</x:v>
      </x:c>
      <x:c r="F2829" s="2" t="str">
        <x:v>2022-04-19</x:v>
      </x:c>
      <x:c r="G2829" s="2" t="str">
        <x:v>2022</x:v>
      </x:c>
      <x:c r="H2829" s="2" t="str">
        <x:v>04</x:v>
      </x:c>
      <x:c r="I2829" s="2" t="str">
        <x:v>심의승인</x:v>
      </x:c>
      <x:c r="J2829" s="2" t="str">
        <x:v>심의승인</x:v>
      </x:c>
      <x:c r="K2829" s="2" t="str">
        <x:f>IF(OR(J2829="심의승인",J2829="반려",J2829="반려완료",J2829="심의완료"),"종결 표시",IF(OR(J2829="기후부협의",J2829="문서재제출요청",J2829="보류",J2829="보완요청",J2829="보완완료",J2829="평가중",J2829="반려요청",J2829="평가필요",LEFT(J2829,5)="보완요청("),"미종결 표시","상태 확인 필요"))</x:f>
        <x:v>종결 표시</x:v>
      </x:c>
      <x:c r="L2829" s="2" t="str">
        <x:v>KRIC</x:v>
      </x:c>
      <x:c r="M2829" s="2"/>
      <x:c r="N2829" s="8" t="n">
        <x:f>DATE(2026,10,15)-DATE(2022,4,19)</x:f>
        <x:v>1640</x:v>
      </x:c>
      <x:c r="O2829" s="2"/>
      <x:c r="P2829" s="2"/>
      <x:c r="Q2829" s="2" t="str">
        <x:v>산업전환_외부사업관리Tool_260707_이너젠 수정_LJY_261013.xlsx</x:v>
      </x:c>
      <x:c r="R2829" s="2" t="str">
        <x:v>국외인증</x:v>
      </x:c>
      <x:c r="S2829" s="8" t="n">
        <x:v>416</x:v>
      </x:c>
      <x:c r="T2829" s="2" t="str">
        <x:v>(5/18)(9/19)</x:v>
      </x:c>
      <x:c r="U2829" s="2" t="str">
        <x:v>2022 지정: (5/18)(9/19)</x:v>
      </x:c>
      <x:c r="V2829" s="2" t="str">
        <x:v>2023-03-24</x:v>
      </x:c>
      <x:c r="W2829" s="2" t="str"/>
      <x:c r="X2829" s="2" t="str">
        <x:v>종결 근거 보관</x:v>
      </x:c>
      <x:c r="Y2829" s="2" t="str">
        <x:v>ad210cd9ec132cfd447541c8984dc53d30aff0f4fb2dc92d254d49275cc55976</x:v>
      </x:c>
      <x:c r="Z2829" s="2" t="n">
        <x:f>SUBTOTAL(103,A2829)</x:f>
        <x:v>1</x:v>
      </x:c>
      <x:c r="AA2829" s="2" t="str">
        <x:f>IF(K2829&lt;&gt;"미종결 표시","대상 아님",IF(N2829="","신청일 확인",IF(NOT(ISNUMBER('종합 현황'!$H$5)),"관찰기준 확인",IF('종합 현황'!$H$5&lt;1,"관찰기준 확인",IF(N2829&gt;'종합 현황'!$H$5,"내부 관찰 대상","내부 관찰일 이하")))))</x:f>
        <x:v>대상 아님</x:v>
      </x:c>
      <x:c r="AB2829" s="2" t="str">
        <x:v>2022-04-19 09:34 - 신청
2022-09-03 14:28 - 문서재제출요청
2022-09-07 13:45 - 신청
2023-03-15 13:20 - 검토승인
2023-03-24 14:58 - 심의승인</x:v>
      </x:c>
    </x:row>
    <x:row r="2830" ht="42" customHeight="1">
      <x:c r="A2830" s="2" t="str">
        <x:v>a35b61e159936c8a78706f30</x:v>
      </x:c>
      <x:c r="B2830" s="2" t="str">
        <x:v>감축량 인증</x:v>
      </x:c>
      <x:c r="C2830" s="2" t="str">
        <x:v>국외</x:v>
      </x:c>
      <x:c r="D2830" s="7" t="str">
        <x:v>Top Third Ventures사의 스토브 프로그램 CPA KE0002 -한국에서 케냐에 지원하는 BURN사의 효율적인 쿡스토</x:v>
      </x:c>
      <x:c r="E2830" s="2" t="str">
        <x:v>431</x:v>
      </x:c>
      <x:c r="F2830" s="2" t="str">
        <x:v>2022-04-21</x:v>
      </x:c>
      <x:c r="G2830" s="2" t="str">
        <x:v>2022</x:v>
      </x:c>
      <x:c r="H2830" s="2" t="str">
        <x:v>04</x:v>
      </x:c>
      <x:c r="I2830" s="2" t="str">
        <x:v>심의승인</x:v>
      </x:c>
      <x:c r="J2830" s="2" t="str">
        <x:v>심의승인</x:v>
      </x:c>
      <x:c r="K2830" s="2" t="str">
        <x:f>IF(OR(J2830="심의승인",J2830="반려",J2830="반려완료",J2830="심의완료"),"종결 표시",IF(OR(J2830="기후부협의",J2830="문서재제출요청",J2830="보류",J2830="보완요청",J2830="보완완료",J2830="평가중",J2830="반려요청",J2830="평가필요",LEFT(J2830,5)="보완요청("),"미종결 표시","상태 확인 필요"))</x:f>
        <x:v>종결 표시</x:v>
      </x:c>
      <x:c r="L2830" s="2" t="str">
        <x:v>KRIC</x:v>
      </x:c>
      <x:c r="M2830" s="2"/>
      <x:c r="N2830" s="8" t="n">
        <x:f>DATE(2026,10,15)-DATE(2022,4,21)</x:f>
        <x:v>1638</x:v>
      </x:c>
      <x:c r="O2830" s="2"/>
      <x:c r="P2830" s="2"/>
      <x:c r="Q2830" s="2" t="str">
        <x:v>산업전환_외부사업관리Tool_260707_이너젠 수정_LJY_261013.xlsx</x:v>
      </x:c>
      <x:c r="R2830" s="2" t="str">
        <x:v>국외인증</x:v>
      </x:c>
      <x:c r="S2830" s="8" t="n">
        <x:v>417</x:v>
      </x:c>
      <x:c r="T2830" s="2" t="str">
        <x:v>(5/18)(9/19)</x:v>
      </x:c>
      <x:c r="U2830" s="2" t="str">
        <x:v>2022 지정: (5/18)(9/19)</x:v>
      </x:c>
      <x:c r="V2830" s="2" t="str">
        <x:v>2023-03-24</x:v>
      </x:c>
      <x:c r="W2830" s="2" t="str"/>
      <x:c r="X2830" s="2" t="str">
        <x:v>종결 근거 보관</x:v>
      </x:c>
      <x:c r="Y2830" s="2" t="str">
        <x:v>ad210cd9ec132cfd447541c8984dc53d30aff0f4fb2dc92d254d49275cc55976</x:v>
      </x:c>
      <x:c r="Z2830" s="2" t="n">
        <x:f>SUBTOTAL(103,A2830)</x:f>
        <x:v>1</x:v>
      </x:c>
      <x:c r="AA2830" s="2" t="str">
        <x:f>IF(K2830&lt;&gt;"미종결 표시","대상 아님",IF(N2830="","신청일 확인",IF(NOT(ISNUMBER('종합 현황'!$H$5)),"관찰기준 확인",IF('종합 현황'!$H$5&lt;1,"관찰기준 확인",IF(N2830&gt;'종합 현황'!$H$5,"내부 관찰 대상","내부 관찰일 이하")))))</x:f>
        <x:v>대상 아님</x:v>
      </x:c>
      <x:c r="AB2830" s="2" t="str">
        <x:v>2022-04-21 13:57 - 신청
2022-08-22 11:24 - 문서재제출요청
2022-09-07 13:44 - 신청
2022-12-23 14:29 - 문서재제출요청
2022-12-23 16:13 - 신청
2023-02-02 10:03 - 문서재제출요청
2023-02-02 10:22 - 신청
2023-03-15 11:23 - 검토승인
2023-03-24 15:15 - 심의승인</x:v>
      </x:c>
    </x:row>
    <x:row r="2831" ht="42" customHeight="1">
      <x:c r="A2831" s="2" t="str">
        <x:v>3329021214cfdeec2889fb18</x:v>
      </x:c>
      <x:c r="B2831" s="2" t="str">
        <x:v>감축량 인증</x:v>
      </x:c>
      <x:c r="C2831" s="2" t="str">
        <x:v>국외</x:v>
      </x:c>
      <x:c r="D2831" s="7" t="str">
        <x:v>Top Third Ventures사의 스토브 프로그램 CPA KE0003 -한국에서 케냐에 지원하는 BURN사의 효율적인 쿡스토</x:v>
      </x:c>
      <x:c r="E2831" s="2" t="str">
        <x:v>432</x:v>
      </x:c>
      <x:c r="F2831" s="2" t="str">
        <x:v>2022-04-21</x:v>
      </x:c>
      <x:c r="G2831" s="2" t="str">
        <x:v>2022</x:v>
      </x:c>
      <x:c r="H2831" s="2" t="str">
        <x:v>04</x:v>
      </x:c>
      <x:c r="I2831" s="2" t="str">
        <x:v>심의승인</x:v>
      </x:c>
      <x:c r="J2831" s="2" t="str">
        <x:v>심의승인</x:v>
      </x:c>
      <x:c r="K2831" s="2" t="str">
        <x:f>IF(OR(J2831="심의승인",J2831="반려",J2831="반려완료",J2831="심의완료"),"종결 표시",IF(OR(J2831="기후부협의",J2831="문서재제출요청",J2831="보류",J2831="보완요청",J2831="보완완료",J2831="평가중",J2831="반려요청",J2831="평가필요",LEFT(J2831,5)="보완요청("),"미종결 표시","상태 확인 필요"))</x:f>
        <x:v>종결 표시</x:v>
      </x:c>
      <x:c r="L2831" s="2" t="str">
        <x:v>KRIC</x:v>
      </x:c>
      <x:c r="M2831" s="2"/>
      <x:c r="N2831" s="8" t="n">
        <x:f>DATE(2026,10,15)-DATE(2022,4,21)</x:f>
        <x:v>1638</x:v>
      </x:c>
      <x:c r="O2831" s="2"/>
      <x:c r="P2831" s="2"/>
      <x:c r="Q2831" s="2" t="str">
        <x:v>산업전환_외부사업관리Tool_260707_이너젠 수정_LJY_261013.xlsx</x:v>
      </x:c>
      <x:c r="R2831" s="2" t="str">
        <x:v>국외인증</x:v>
      </x:c>
      <x:c r="S2831" s="8" t="n">
        <x:v>418</x:v>
      </x:c>
      <x:c r="T2831" s="2" t="str">
        <x:v>(5/18)(9/19)</x:v>
      </x:c>
      <x:c r="U2831" s="2" t="str">
        <x:v>2022 지정: (5/18)(9/19)</x:v>
      </x:c>
      <x:c r="V2831" s="2" t="str">
        <x:v>2023-03-24</x:v>
      </x:c>
      <x:c r="W2831" s="2" t="str"/>
      <x:c r="X2831" s="2" t="str">
        <x:v>종결 근거 보관</x:v>
      </x:c>
      <x:c r="Y2831" s="2" t="str">
        <x:v>ad210cd9ec132cfd447541c8984dc53d30aff0f4fb2dc92d254d49275cc55976</x:v>
      </x:c>
      <x:c r="Z2831" s="2" t="n">
        <x:f>SUBTOTAL(103,A2831)</x:f>
        <x:v>1</x:v>
      </x:c>
      <x:c r="AA2831" s="2" t="str">
        <x:f>IF(K2831&lt;&gt;"미종결 표시","대상 아님",IF(N2831="","신청일 확인",IF(NOT(ISNUMBER('종합 현황'!$H$5)),"관찰기준 확인",IF('종합 현황'!$H$5&lt;1,"관찰기준 확인",IF(N2831&gt;'종합 현황'!$H$5,"내부 관찰 대상","내부 관찰일 이하")))))</x:f>
        <x:v>대상 아님</x:v>
      </x:c>
      <x:c r="AB2831" s="2" t="str">
        <x:v>2022-04-21 13:59 - 신청
2022-08-22 11:26 - 문서재제출요청
2022-09-07 13:45 - 신청
2022-12-23 14:28 - 문서재제출요청
2022-12-23 16:15 - 신청
2023-02-02 10:03 - 문서재제출요청
2023-02-02 10:24 - 신청
2023-03-15 11:26 - 검토승인
2023-03-24 15:16 - 심의승인</x:v>
      </x:c>
    </x:row>
    <x:row r="2832" ht="42" customHeight="1">
      <x:c r="A2832" s="2" t="str">
        <x:v>1a8aacb8dd9e05f1aeb1268f</x:v>
      </x:c>
      <x:c r="B2832" s="2" t="str">
        <x:v>감축량 인증</x:v>
      </x:c>
      <x:c r="C2832" s="2" t="str">
        <x:v>국외</x:v>
      </x:c>
      <x:c r="D2832" s="7" t="str">
        <x:v>SHINE - 인도 LED 전구 보급사업-1</x:v>
      </x:c>
      <x:c r="E2832" s="2" t="str">
        <x:v>417</x:v>
      </x:c>
      <x:c r="F2832" s="2" t="str">
        <x:v>2022-02-25</x:v>
      </x:c>
      <x:c r="G2832" s="2" t="str">
        <x:v>2022</x:v>
      </x:c>
      <x:c r="H2832" s="2" t="str">
        <x:v>02</x:v>
      </x:c>
      <x:c r="I2832" s="2" t="str">
        <x:v>심의승인</x:v>
      </x:c>
      <x:c r="J2832" s="2" t="str">
        <x:v>심의승인</x:v>
      </x:c>
      <x:c r="K2832" s="2" t="str">
        <x:f>IF(OR(J2832="심의승인",J2832="반려",J2832="반려완료",J2832="심의완료"),"종결 표시",IF(OR(J2832="기후부협의",J2832="문서재제출요청",J2832="보류",J2832="보완요청",J2832="보완완료",J2832="평가중",J2832="반려요청",J2832="평가필요",LEFT(J2832,5)="보완요청("),"미종결 표시","상태 확인 필요"))</x:f>
        <x:v>종결 표시</x:v>
      </x:c>
      <x:c r="L2832" s="2" t="str">
        <x:v>에코시안_조혜민</x:v>
      </x:c>
      <x:c r="M2832" s="2"/>
      <x:c r="N2832" s="8" t="n">
        <x:f>DATE(2026,10,15)-DATE(2022,2,25)</x:f>
        <x:v>1693</x:v>
      </x:c>
      <x:c r="O2832" s="2"/>
      <x:c r="P2832" s="2"/>
      <x:c r="Q2832" s="2" t="str">
        <x:v>산업전환_외부사업관리Tool_260707_이너젠 수정_LJY_261013.xlsx</x:v>
      </x:c>
      <x:c r="R2832" s="2" t="str">
        <x:v>국외인증</x:v>
      </x:c>
      <x:c r="S2832" s="8" t="n">
        <x:v>419</x:v>
      </x:c>
      <x:c r="T2832" s="2" t="str">
        <x:v>(3/16)</x:v>
      </x:c>
      <x:c r="U2832" s="2" t="str">
        <x:v>2022 지정: (3/16)</x:v>
      </x:c>
      <x:c r="V2832" s="2" t="str">
        <x:v>2022-07-14</x:v>
      </x:c>
      <x:c r="W2832" s="2" t="str"/>
      <x:c r="X2832" s="2" t="str">
        <x:v>종결 근거 보관</x:v>
      </x:c>
      <x:c r="Y2832" s="2" t="str">
        <x:v>ad210cd9ec132cfd447541c8984dc53d30aff0f4fb2dc92d254d49275cc55976</x:v>
      </x:c>
      <x:c r="Z2832" s="2" t="n">
        <x:f>SUBTOTAL(103,A2832)</x:f>
        <x:v>1</x:v>
      </x:c>
      <x:c r="AA2832" s="2" t="str">
        <x:f>IF(K2832&lt;&gt;"미종결 표시","대상 아님",IF(N2832="","신청일 확인",IF(NOT(ISNUMBER('종합 현황'!$H$5)),"관찰기준 확인",IF('종합 현황'!$H$5&lt;1,"관찰기준 확인",IF(N2832&gt;'종합 현황'!$H$5,"내부 관찰 대상","내부 관찰일 이하")))))</x:f>
        <x:v>대상 아님</x:v>
      </x:c>
      <x:c r="AB2832" s="2" t="str">
        <x:v>2022-02-25 17:01 - 신청
2022-03-28 16:19 - 문서재제출요청
2022-03-31 15:44 - 신청
2022-04-07 08:57 - 문서재제출요청
2022-04-07 11:46 - 신청
2022-07-05 16:28 - 검토승인
2022-07-14 15:55 - 심의승인</x:v>
      </x:c>
    </x:row>
    <x:row r="2833" ht="42" customHeight="1">
      <x:c r="A2833" s="2" t="str">
        <x:v>5373fbb2bdc803e685f0ac23</x:v>
      </x:c>
      <x:c r="B2833" s="2" t="str">
        <x:v>감축량 인증</x:v>
      </x:c>
      <x:c r="C2833" s="2" t="str">
        <x:v>국외</x:v>
      </x:c>
      <x:c r="D2833" s="7" t="str">
        <x:v>SHINE - 인도 LED 전구 보급사업-2</x:v>
      </x:c>
      <x:c r="E2833" s="2" t="str">
        <x:v>418</x:v>
      </x:c>
      <x:c r="F2833" s="2" t="str">
        <x:v>2022-02-25</x:v>
      </x:c>
      <x:c r="G2833" s="2" t="str">
        <x:v>2022</x:v>
      </x:c>
      <x:c r="H2833" s="2" t="str">
        <x:v>02</x:v>
      </x:c>
      <x:c r="I2833" s="2" t="str">
        <x:v>심의승인</x:v>
      </x:c>
      <x:c r="J2833" s="2" t="str">
        <x:v>심의승인</x:v>
      </x:c>
      <x:c r="K2833" s="2" t="str">
        <x:f>IF(OR(J2833="심의승인",J2833="반려",J2833="반려완료",J2833="심의완료"),"종결 표시",IF(OR(J2833="기후부협의",J2833="문서재제출요청",J2833="보류",J2833="보완요청",J2833="보완완료",J2833="평가중",J2833="반려요청",J2833="평가필요",LEFT(J2833,5)="보완요청("),"미종결 표시","상태 확인 필요"))</x:f>
        <x:v>종결 표시</x:v>
      </x:c>
      <x:c r="L2833" s="2" t="str">
        <x:v>에코시안_조혜민</x:v>
      </x:c>
      <x:c r="M2833" s="2"/>
      <x:c r="N2833" s="8" t="n">
        <x:f>DATE(2026,10,15)-DATE(2022,2,25)</x:f>
        <x:v>1693</x:v>
      </x:c>
      <x:c r="O2833" s="2"/>
      <x:c r="P2833" s="2"/>
      <x:c r="Q2833" s="2" t="str">
        <x:v>산업전환_외부사업관리Tool_260707_이너젠 수정_LJY_261013.xlsx</x:v>
      </x:c>
      <x:c r="R2833" s="2" t="str">
        <x:v>국외인증</x:v>
      </x:c>
      <x:c r="S2833" s="8" t="n">
        <x:v>420</x:v>
      </x:c>
      <x:c r="T2833" s="2" t="str">
        <x:v>(3/16),(4/19)</x:v>
      </x:c>
      <x:c r="U2833" s="2" t="str">
        <x:v>2022 지정: (3/16),(4/19)</x:v>
      </x:c>
      <x:c r="V2833" s="2" t="str">
        <x:v>2022-10-17</x:v>
      </x:c>
      <x:c r="W2833" s="2" t="str"/>
      <x:c r="X2833" s="2" t="str">
        <x:v>종결 근거 보관</x:v>
      </x:c>
      <x:c r="Y2833" s="2" t="str">
        <x:v>ad210cd9ec132cfd447541c8984dc53d30aff0f4fb2dc92d254d49275cc55976</x:v>
      </x:c>
      <x:c r="Z2833" s="2" t="n">
        <x:f>SUBTOTAL(103,A2833)</x:f>
        <x:v>1</x:v>
      </x:c>
      <x:c r="AA2833" s="2" t="str">
        <x:f>IF(K2833&lt;&gt;"미종결 표시","대상 아님",IF(N2833="","신청일 확인",IF(NOT(ISNUMBER('종합 현황'!$H$5)),"관찰기준 확인",IF('종합 현황'!$H$5&lt;1,"관찰기준 확인",IF(N2833&gt;'종합 현황'!$H$5,"내부 관찰 대상","내부 관찰일 이하")))))</x:f>
        <x:v>대상 아님</x:v>
      </x:c>
      <x:c r="AB2833" s="2" t="str">
        <x:v>2022-02-25 17:03 - 신청
2022-03-28 16:19 - 문서재제출요청
2022-03-31 15:44 - 신청
2022-04-07 08:57 - 문서재제출요청
2022-04-07 16:53 - 신청
2022-05-09 16:35 - 문서재제출요청
2022-05-10 08:08 - 신청
2022-10-11 15:45 - 검토승인
2022-10-17 15:06 - 심의승인</x:v>
      </x:c>
    </x:row>
    <x:row r="2834" ht="42" customHeight="1">
      <x:c r="A2834" s="2" t="str">
        <x:v>7b266636738675de1ee6dcc3</x:v>
      </x:c>
      <x:c r="B2834" s="2" t="str">
        <x:v>감축량 인증</x:v>
      </x:c>
      <x:c r="C2834" s="2" t="str">
        <x:v>국외</x:v>
      </x:c>
      <x:c r="D2834" s="7" t="str">
        <x:v>SHINE - 인도 LED 전구 보급사업-3</x:v>
      </x:c>
      <x:c r="E2834" s="2" t="str">
        <x:v>419</x:v>
      </x:c>
      <x:c r="F2834" s="2" t="str">
        <x:v>2022-02-25</x:v>
      </x:c>
      <x:c r="G2834" s="2" t="str">
        <x:v>2022</x:v>
      </x:c>
      <x:c r="H2834" s="2" t="str">
        <x:v>02</x:v>
      </x:c>
      <x:c r="I2834" s="2" t="str">
        <x:v>심의승인</x:v>
      </x:c>
      <x:c r="J2834" s="2" t="str">
        <x:v>심의승인</x:v>
      </x:c>
      <x:c r="K2834" s="2" t="str">
        <x:f>IF(OR(J2834="심의승인",J2834="반려",J2834="반려완료",J2834="심의완료"),"종결 표시",IF(OR(J2834="기후부협의",J2834="문서재제출요청",J2834="보류",J2834="보완요청",J2834="보완완료",J2834="평가중",J2834="반려요청",J2834="평가필요",LEFT(J2834,5)="보완요청("),"미종결 표시","상태 확인 필요"))</x:f>
        <x:v>종결 표시</x:v>
      </x:c>
      <x:c r="L2834" s="2" t="str">
        <x:v>에코시안_조혜민</x:v>
      </x:c>
      <x:c r="M2834" s="2"/>
      <x:c r="N2834" s="8" t="n">
        <x:f>DATE(2026,10,15)-DATE(2022,2,25)</x:f>
        <x:v>1693</x:v>
      </x:c>
      <x:c r="O2834" s="2"/>
      <x:c r="P2834" s="2"/>
      <x:c r="Q2834" s="2" t="str">
        <x:v>산업전환_외부사업관리Tool_260707_이너젠 수정_LJY_261013.xlsx</x:v>
      </x:c>
      <x:c r="R2834" s="2" t="str">
        <x:v>국외인증</x:v>
      </x:c>
      <x:c r="S2834" s="8" t="n">
        <x:v>421</x:v>
      </x:c>
      <x:c r="T2834" s="2" t="str">
        <x:v>(3/16)</x:v>
      </x:c>
      <x:c r="U2834" s="2" t="str">
        <x:v>2022 지정: (3/16)</x:v>
      </x:c>
      <x:c r="V2834" s="2" t="str">
        <x:v>2022-10-17</x:v>
      </x:c>
      <x:c r="W2834" s="2" t="str"/>
      <x:c r="X2834" s="2" t="str">
        <x:v>종결 근거 보관</x:v>
      </x:c>
      <x:c r="Y2834" s="2" t="str">
        <x:v>ad210cd9ec132cfd447541c8984dc53d30aff0f4fb2dc92d254d49275cc55976</x:v>
      </x:c>
      <x:c r="Z2834" s="2" t="n">
        <x:f>SUBTOTAL(103,A2834)</x:f>
        <x:v>1</x:v>
      </x:c>
      <x:c r="AA2834" s="2" t="str">
        <x:f>IF(K2834&lt;&gt;"미종결 표시","대상 아님",IF(N2834="","신청일 확인",IF(NOT(ISNUMBER('종합 현황'!$H$5)),"관찰기준 확인",IF('종합 현황'!$H$5&lt;1,"관찰기준 확인",IF(N2834&gt;'종합 현황'!$H$5,"내부 관찰 대상","내부 관찰일 이하")))))</x:f>
        <x:v>대상 아님</x:v>
      </x:c>
      <x:c r="AB2834" s="2" t="str">
        <x:v>2022-02-25 17:03 - 신청
2022-03-28 16:19 - 문서재제출요청
2022-03-31 15:44 - 신청
2022-04-07 08:57 - 문서재제출요청
2022-04-07 16:54 - 신청
2022-04-18 09:34 - 문서재제출요청
2022-04-19 09:23 - 신청
2022-05-09 16:36 - 문서재제출요청
2022-05-10 08:09 - 신청
2022-10-11 15:47 - 검토승인
2022-10-17 15:07 - 심의승인</x:v>
      </x:c>
    </x:row>
    <x:row r="2835" ht="42" customHeight="1">
      <x:c r="A2835" s="2" t="str">
        <x:v>5cfdb3bfc18de36e320e7ce0</x:v>
      </x:c>
      <x:c r="B2835" s="2" t="str">
        <x:v>감축량 인증</x:v>
      </x:c>
      <x:c r="C2835" s="2" t="str">
        <x:v>국외</x:v>
      </x:c>
      <x:c r="D2835" s="7" t="str">
        <x:v>Top Third Ventures사의 스토브 프로그램 CPA KE0004 -한국에서 케냐에 지원하는 BURN사의 효율적인 쿡스토</x:v>
      </x:c>
      <x:c r="E2835" s="2" t="str">
        <x:v>433</x:v>
      </x:c>
      <x:c r="F2835" s="2" t="str">
        <x:v>2022-04-21</x:v>
      </x:c>
      <x:c r="G2835" s="2" t="str">
        <x:v>2022</x:v>
      </x:c>
      <x:c r="H2835" s="2" t="str">
        <x:v>04</x:v>
      </x:c>
      <x:c r="I2835" s="2" t="str">
        <x:v>심의승인</x:v>
      </x:c>
      <x:c r="J2835" s="2" t="str">
        <x:v>심의승인</x:v>
      </x:c>
      <x:c r="K2835" s="2" t="str">
        <x:f>IF(OR(J2835="심의승인",J2835="반려",J2835="반려완료",J2835="심의완료"),"종결 표시",IF(OR(J2835="기후부협의",J2835="문서재제출요청",J2835="보류",J2835="보완요청",J2835="보완완료",J2835="평가중",J2835="반려요청",J2835="평가필요",LEFT(J2835,5)="보완요청("),"미종결 표시","상태 확인 필요"))</x:f>
        <x:v>종결 표시</x:v>
      </x:c>
      <x:c r="L2835" s="2" t="str">
        <x:v>KRIC</x:v>
      </x:c>
      <x:c r="M2835" s="2"/>
      <x:c r="N2835" s="8" t="n">
        <x:f>DATE(2026,10,15)-DATE(2022,4,21)</x:f>
        <x:v>1638</x:v>
      </x:c>
      <x:c r="O2835" s="2"/>
      <x:c r="P2835" s="2"/>
      <x:c r="Q2835" s="2" t="str">
        <x:v>산업전환_외부사업관리Tool_260707_이너젠 수정_LJY_261013.xlsx</x:v>
      </x:c>
      <x:c r="R2835" s="2" t="str">
        <x:v>국외인증</x:v>
      </x:c>
      <x:c r="S2835" s="8" t="n">
        <x:v>422</x:v>
      </x:c>
      <x:c r="T2835" s="2" t="str">
        <x:v>(5/18)(9/19)</x:v>
      </x:c>
      <x:c r="U2835" s="2" t="str">
        <x:v>2022 지정: (5/18)(9/19)</x:v>
      </x:c>
      <x:c r="V2835" s="2" t="str">
        <x:v>2023-03-24</x:v>
      </x:c>
      <x:c r="W2835" s="2" t="str"/>
      <x:c r="X2835" s="2" t="str">
        <x:v>종결 근거 보관</x:v>
      </x:c>
      <x:c r="Y2835" s="2" t="str">
        <x:v>ad210cd9ec132cfd447541c8984dc53d30aff0f4fb2dc92d254d49275cc55976</x:v>
      </x:c>
      <x:c r="Z2835" s="2" t="n">
        <x:f>SUBTOTAL(103,A2835)</x:f>
        <x:v>1</x:v>
      </x:c>
      <x:c r="AA2835" s="2" t="str">
        <x:f>IF(K2835&lt;&gt;"미종결 표시","대상 아님",IF(N2835="","신청일 확인",IF(NOT(ISNUMBER('종합 현황'!$H$5)),"관찰기준 확인",IF('종합 현황'!$H$5&lt;1,"관찰기준 확인",IF(N2835&gt;'종합 현황'!$H$5,"내부 관찰 대상","내부 관찰일 이하")))))</x:f>
        <x:v>대상 아님</x:v>
      </x:c>
      <x:c r="AB2835" s="2" t="str">
        <x:v>2022-04-21 14:01 - 신청
2022-08-22 11:28 - 문서재제출요청
2022-09-07 13:46 - 신청
2022-12-23 14:27 - 문서재제출요청
2022-12-23 16:18 - 신청
2023-02-02 10:04 - 문서재제출요청
2023-02-02 10:25 - 신청
2023-03-15 11:28 - 검토승인
2023-03-24 15:17 - 심의승인</x:v>
      </x:c>
    </x:row>
    <x:row r="2836" ht="42" customHeight="1">
      <x:c r="A2836" s="2" t="str">
        <x:v>f282315bada195cf25c82a66</x:v>
      </x:c>
      <x:c r="B2836" s="2" t="str">
        <x:v>감축량 인증</x:v>
      </x:c>
      <x:c r="C2836" s="2" t="str">
        <x:v>국외</x:v>
      </x:c>
      <x:c r="D2836" s="7" t="str">
        <x:v>Top Third Ventures사의 스토브 프로그램 CPA KE0005 -한국에서 케냐에 지원하는 BURN사의 효율적인 쿡스토</x:v>
      </x:c>
      <x:c r="E2836" s="2" t="str">
        <x:v>434</x:v>
      </x:c>
      <x:c r="F2836" s="2" t="str">
        <x:v>2022-04-21</x:v>
      </x:c>
      <x:c r="G2836" s="2" t="str">
        <x:v>2022</x:v>
      </x:c>
      <x:c r="H2836" s="2" t="str">
        <x:v>04</x:v>
      </x:c>
      <x:c r="I2836" s="2" t="str">
        <x:v>심의승인</x:v>
      </x:c>
      <x:c r="J2836" s="2" t="str">
        <x:v>심의승인</x:v>
      </x:c>
      <x:c r="K2836" s="2" t="str">
        <x:f>IF(OR(J2836="심의승인",J2836="반려",J2836="반려완료",J2836="심의완료"),"종결 표시",IF(OR(J2836="기후부협의",J2836="문서재제출요청",J2836="보류",J2836="보완요청",J2836="보완완료",J2836="평가중",J2836="반려요청",J2836="평가필요",LEFT(J2836,5)="보완요청("),"미종결 표시","상태 확인 필요"))</x:f>
        <x:v>종결 표시</x:v>
      </x:c>
      <x:c r="L2836" s="2" t="str">
        <x:v>KRIC</x:v>
      </x:c>
      <x:c r="M2836" s="2"/>
      <x:c r="N2836" s="8" t="n">
        <x:f>DATE(2026,10,15)-DATE(2022,4,21)</x:f>
        <x:v>1638</x:v>
      </x:c>
      <x:c r="O2836" s="2"/>
      <x:c r="P2836" s="2"/>
      <x:c r="Q2836" s="2" t="str">
        <x:v>산업전환_외부사업관리Tool_260707_이너젠 수정_LJY_261013.xlsx</x:v>
      </x:c>
      <x:c r="R2836" s="2" t="str">
        <x:v>국외인증</x:v>
      </x:c>
      <x:c r="S2836" s="8" t="n">
        <x:v>423</x:v>
      </x:c>
      <x:c r="T2836" s="2" t="str">
        <x:v>(5/18)(9/19)</x:v>
      </x:c>
      <x:c r="U2836" s="2" t="str">
        <x:v>2022 지정: (5/18)(9/19)</x:v>
      </x:c>
      <x:c r="V2836" s="2" t="str">
        <x:v>2023-03-24</x:v>
      </x:c>
      <x:c r="W2836" s="2" t="str"/>
      <x:c r="X2836" s="2" t="str">
        <x:v>종결 근거 보관</x:v>
      </x:c>
      <x:c r="Y2836" s="2" t="str">
        <x:v>ad210cd9ec132cfd447541c8984dc53d30aff0f4fb2dc92d254d49275cc55976</x:v>
      </x:c>
      <x:c r="Z2836" s="2" t="n">
        <x:f>SUBTOTAL(103,A2836)</x:f>
        <x:v>1</x:v>
      </x:c>
      <x:c r="AA2836" s="2" t="str">
        <x:f>IF(K2836&lt;&gt;"미종결 표시","대상 아님",IF(N2836="","신청일 확인",IF(NOT(ISNUMBER('종합 현황'!$H$5)),"관찰기준 확인",IF('종합 현황'!$H$5&lt;1,"관찰기준 확인",IF(N2836&gt;'종합 현황'!$H$5,"내부 관찰 대상","내부 관찰일 이하")))))</x:f>
        <x:v>대상 아님</x:v>
      </x:c>
      <x:c r="AB2836" s="2" t="str">
        <x:v>2022-04-21 14:03 - 신청
2022-08-22 11:30 - 문서재제출요청
2022-09-07 13:47 - 신청
2022-12-23 14:26 - 문서재제출요청
2022-12-23 16:21 - 신청
2023-02-02 10:04 - 문서재제출요청
2023-02-02 10:27 - 신청
2023-03-15 11:31 - 검토승인
2023-03-24 15:17 - 심의승인</x:v>
      </x:c>
    </x:row>
    <x:row r="2837" ht="42" customHeight="1">
      <x:c r="A2837" s="2" t="str">
        <x:v>ce5b7f6e0c7cf45f75521acc</x:v>
      </x:c>
      <x:c r="B2837" s="2" t="str">
        <x:v>감축량 인증</x:v>
      </x:c>
      <x:c r="C2837" s="2" t="str">
        <x:v>국외</x:v>
      </x:c>
      <x:c r="D2837" s="7" t="str">
        <x:v>SHINE - 인도 LED 전구 보급사업-4</x:v>
      </x:c>
      <x:c r="E2837" s="2" t="str">
        <x:v>422</x:v>
      </x:c>
      <x:c r="F2837" s="2" t="str">
        <x:v>2022-02-25</x:v>
      </x:c>
      <x:c r="G2837" s="2" t="str">
        <x:v>2022</x:v>
      </x:c>
      <x:c r="H2837" s="2" t="str">
        <x:v>02</x:v>
      </x:c>
      <x:c r="I2837" s="2" t="str">
        <x:v>심의승인</x:v>
      </x:c>
      <x:c r="J2837" s="2" t="str">
        <x:v>심의승인</x:v>
      </x:c>
      <x:c r="K2837" s="2" t="str">
        <x:f>IF(OR(J2837="심의승인",J2837="반려",J2837="반려완료",J2837="심의완료"),"종결 표시",IF(OR(J2837="기후부협의",J2837="문서재제출요청",J2837="보류",J2837="보완요청",J2837="보완완료",J2837="평가중",J2837="반려요청",J2837="평가필요",LEFT(J2837,5)="보완요청("),"미종결 표시","상태 확인 필요"))</x:f>
        <x:v>종결 표시</x:v>
      </x:c>
      <x:c r="L2837" s="2" t="str">
        <x:v>에코시안_조혜민</x:v>
      </x:c>
      <x:c r="M2837" s="2"/>
      <x:c r="N2837" s="8" t="n">
        <x:f>DATE(2026,10,15)-DATE(2022,2,25)</x:f>
        <x:v>1693</x:v>
      </x:c>
      <x:c r="O2837" s="2"/>
      <x:c r="P2837" s="2"/>
      <x:c r="Q2837" s="2" t="str">
        <x:v>산업전환_외부사업관리Tool_260707_이너젠 수정_LJY_261013.xlsx</x:v>
      </x:c>
      <x:c r="R2837" s="2" t="str">
        <x:v>국외인증</x:v>
      </x:c>
      <x:c r="S2837" s="8" t="n">
        <x:v>424</x:v>
      </x:c>
      <x:c r="T2837" s="2" t="str">
        <x:v>(3/16)</x:v>
      </x:c>
      <x:c r="U2837" s="2" t="str">
        <x:v>2022 지정: (3/16)</x:v>
      </x:c>
      <x:c r="V2837" s="2" t="str">
        <x:v>2022-10-17</x:v>
      </x:c>
      <x:c r="W2837" s="2" t="str"/>
      <x:c r="X2837" s="2" t="str">
        <x:v>종결 근거 보관</x:v>
      </x:c>
      <x:c r="Y2837" s="2" t="str">
        <x:v>ad210cd9ec132cfd447541c8984dc53d30aff0f4fb2dc92d254d49275cc55976</x:v>
      </x:c>
      <x:c r="Z2837" s="2" t="n">
        <x:f>SUBTOTAL(103,A2837)</x:f>
        <x:v>1</x:v>
      </x:c>
      <x:c r="AA2837" s="2" t="str">
        <x:f>IF(K2837&lt;&gt;"미종결 표시","대상 아님",IF(N2837="","신청일 확인",IF(NOT(ISNUMBER('종합 현황'!$H$5)),"관찰기준 확인",IF('종합 현황'!$H$5&lt;1,"관찰기준 확인",IF(N2837&gt;'종합 현황'!$H$5,"내부 관찰 대상","내부 관찰일 이하")))))</x:f>
        <x:v>대상 아님</x:v>
      </x:c>
      <x:c r="AB2837" s="2" t="str">
        <x:v>2022-02-25 17:04 - 신청
2022-03-28 16:19 - 문서재제출요청
2022-03-31 15:44 - 신청
2022-04-07 08:57 - 문서재제출요청
2022-04-07 16:54 - 신청
2022-04-18 09:35 - 문서재제출요청
2022-04-19 09:24 - 신청
2022-05-09 16:36 - 문서재제출요청
2022-05-10 08:10 - 신청
2022-10-11 15:47 - 검토승인
2022-10-17 15:08 - 심의승인</x:v>
      </x:c>
    </x:row>
    <x:row r="2838" ht="42" customHeight="1">
      <x:c r="A2838" s="2" t="str">
        <x:v>6aae6fce0cd53417bbfd098e</x:v>
      </x:c>
      <x:c r="B2838" s="2" t="str">
        <x:v>감축량 인증</x:v>
      </x:c>
      <x:c r="C2838" s="2" t="str">
        <x:v>국외</x:v>
      </x:c>
      <x:c r="D2838" s="7" t="str">
        <x:v>Top Third Ventures사의 스토브 프로그램 CPA KE0006 -한국에서 케냐에 지원하는 BURN사의 효율적인 쿡스토</x:v>
      </x:c>
      <x:c r="E2838" s="2" t="str">
        <x:v>435</x:v>
      </x:c>
      <x:c r="F2838" s="2" t="str">
        <x:v>2022-04-21</x:v>
      </x:c>
      <x:c r="G2838" s="2" t="str">
        <x:v>2022</x:v>
      </x:c>
      <x:c r="H2838" s="2" t="str">
        <x:v>04</x:v>
      </x:c>
      <x:c r="I2838" s="2" t="str">
        <x:v>심의승인</x:v>
      </x:c>
      <x:c r="J2838" s="2" t="str">
        <x:v>심의승인</x:v>
      </x:c>
      <x:c r="K2838" s="2" t="str">
        <x:f>IF(OR(J2838="심의승인",J2838="반려",J2838="반려완료",J2838="심의완료"),"종결 표시",IF(OR(J2838="기후부협의",J2838="문서재제출요청",J2838="보류",J2838="보완요청",J2838="보완완료",J2838="평가중",J2838="반려요청",J2838="평가필요",LEFT(J2838,5)="보완요청("),"미종결 표시","상태 확인 필요"))</x:f>
        <x:v>종결 표시</x:v>
      </x:c>
      <x:c r="L2838" s="2" t="str">
        <x:v>KRIC</x:v>
      </x:c>
      <x:c r="M2838" s="2"/>
      <x:c r="N2838" s="8" t="n">
        <x:f>DATE(2026,10,15)-DATE(2022,4,21)</x:f>
        <x:v>1638</x:v>
      </x:c>
      <x:c r="O2838" s="2"/>
      <x:c r="P2838" s="2"/>
      <x:c r="Q2838" s="2" t="str">
        <x:v>산업전환_외부사업관리Tool_260707_이너젠 수정_LJY_261013.xlsx</x:v>
      </x:c>
      <x:c r="R2838" s="2" t="str">
        <x:v>국외인증</x:v>
      </x:c>
      <x:c r="S2838" s="8" t="n">
        <x:v>425</x:v>
      </x:c>
      <x:c r="T2838" s="2" t="str">
        <x:v>(5/18)(9/19)</x:v>
      </x:c>
      <x:c r="U2838" s="2" t="str">
        <x:v>2022 지정: (5/18)(9/19)</x:v>
      </x:c>
      <x:c r="V2838" s="2" t="str">
        <x:v>2023-03-24</x:v>
      </x:c>
      <x:c r="W2838" s="2" t="str"/>
      <x:c r="X2838" s="2" t="str">
        <x:v>종결 근거 보관</x:v>
      </x:c>
      <x:c r="Y2838" s="2" t="str">
        <x:v>ad210cd9ec132cfd447541c8984dc53d30aff0f4fb2dc92d254d49275cc55976</x:v>
      </x:c>
      <x:c r="Z2838" s="2" t="n">
        <x:f>SUBTOTAL(103,A2838)</x:f>
        <x:v>1</x:v>
      </x:c>
      <x:c r="AA2838" s="2" t="str">
        <x:f>IF(K2838&lt;&gt;"미종결 표시","대상 아님",IF(N2838="","신청일 확인",IF(NOT(ISNUMBER('종합 현황'!$H$5)),"관찰기준 확인",IF('종합 현황'!$H$5&lt;1,"관찰기준 확인",IF(N2838&gt;'종합 현황'!$H$5,"내부 관찰 대상","내부 관찰일 이하")))))</x:f>
        <x:v>대상 아님</x:v>
      </x:c>
      <x:c r="AB2838" s="2" t="str">
        <x:v>2022-04-21 14:05 - 신청
2022-08-22 13:08 - 문서재제출요청
2022-09-07 13:49 - 신청
2022-12-23 14:25 - 문서재제출요청
2022-12-23 16:24 - 신청
2023-02-02 10:04 - 문서재제출요청
2023-02-02 10:29 - 신청
2023-03-15 11:33 - 검토승인
2023-03-24 15:18 - 심의승인</x:v>
      </x:c>
    </x:row>
    <x:row r="2839" ht="42" customHeight="1">
      <x:c r="A2839" s="2" t="str">
        <x:v>325608a3581ffff7b2bccf47</x:v>
      </x:c>
      <x:c r="B2839" s="2" t="str">
        <x:v>감축량 인증</x:v>
      </x:c>
      <x:c r="C2839" s="2" t="str">
        <x:v>국외</x:v>
      </x:c>
      <x:c r="D2839" s="7" t="str">
        <x:v>Top Third Ventures사의 스토브 프로그램 CPA KE0007 -한국에서 케냐에 지원하는 BURN사의 효율적인 쿡스토</x:v>
      </x:c>
      <x:c r="E2839" s="2" t="str">
        <x:v>436</x:v>
      </x:c>
      <x:c r="F2839" s="2" t="str">
        <x:v>2022-04-21</x:v>
      </x:c>
      <x:c r="G2839" s="2" t="str">
        <x:v>2022</x:v>
      </x:c>
      <x:c r="H2839" s="2" t="str">
        <x:v>04</x:v>
      </x:c>
      <x:c r="I2839" s="2" t="str">
        <x:v>심의승인</x:v>
      </x:c>
      <x:c r="J2839" s="2" t="str">
        <x:v>심의승인</x:v>
      </x:c>
      <x:c r="K2839" s="2" t="str">
        <x:f>IF(OR(J2839="심의승인",J2839="반려",J2839="반려완료",J2839="심의완료"),"종결 표시",IF(OR(J2839="기후부협의",J2839="문서재제출요청",J2839="보류",J2839="보완요청",J2839="보완완료",J2839="평가중",J2839="반려요청",J2839="평가필요",LEFT(J2839,5)="보완요청("),"미종결 표시","상태 확인 필요"))</x:f>
        <x:v>종결 표시</x:v>
      </x:c>
      <x:c r="L2839" s="2" t="str">
        <x:v>KRIC</x:v>
      </x:c>
      <x:c r="M2839" s="2"/>
      <x:c r="N2839" s="8" t="n">
        <x:f>DATE(2026,10,15)-DATE(2022,4,21)</x:f>
        <x:v>1638</x:v>
      </x:c>
      <x:c r="O2839" s="2"/>
      <x:c r="P2839" s="2"/>
      <x:c r="Q2839" s="2" t="str">
        <x:v>산업전환_외부사업관리Tool_260707_이너젠 수정_LJY_261013.xlsx</x:v>
      </x:c>
      <x:c r="R2839" s="2" t="str">
        <x:v>국외인증</x:v>
      </x:c>
      <x:c r="S2839" s="8" t="n">
        <x:v>426</x:v>
      </x:c>
      <x:c r="T2839" s="2" t="str">
        <x:v>(5/18)(9/19)</x:v>
      </x:c>
      <x:c r="U2839" s="2" t="str">
        <x:v>2022 지정: (5/18)(9/19)</x:v>
      </x:c>
      <x:c r="V2839" s="2" t="str">
        <x:v>2023-03-24</x:v>
      </x:c>
      <x:c r="W2839" s="2" t="str"/>
      <x:c r="X2839" s="2" t="str">
        <x:v>종결 근거 보관</x:v>
      </x:c>
      <x:c r="Y2839" s="2" t="str">
        <x:v>ad210cd9ec132cfd447541c8984dc53d30aff0f4fb2dc92d254d49275cc55976</x:v>
      </x:c>
      <x:c r="Z2839" s="2" t="n">
        <x:f>SUBTOTAL(103,A2839)</x:f>
        <x:v>1</x:v>
      </x:c>
      <x:c r="AA2839" s="2" t="str">
        <x:f>IF(K2839&lt;&gt;"미종결 표시","대상 아님",IF(N2839="","신청일 확인",IF(NOT(ISNUMBER('종합 현황'!$H$5)),"관찰기준 확인",IF('종합 현황'!$H$5&lt;1,"관찰기준 확인",IF(N2839&gt;'종합 현황'!$H$5,"내부 관찰 대상","내부 관찰일 이하")))))</x:f>
        <x:v>대상 아님</x:v>
      </x:c>
      <x:c r="AB2839" s="2" t="str">
        <x:v>2022-04-21 14:06 - 신청
2022-08-22 13:10 - 문서재제출요청
2022-09-07 13:49 - 신청
2022-12-23 14:23 - 문서재제출요청
2022-12-23 16:26 - 신청
2023-02-02 10:00 - 문서재제출요청
2023-02-02 10:30 - 신청
2023-03-15 12:52 - 검토승인
2023-03-24 15:29 - 심의승인</x:v>
      </x:c>
    </x:row>
    <x:row r="2840" ht="42" customHeight="1">
      <x:c r="A2840" s="2" t="str">
        <x:v>cc1951fb234c0f98d4d41169</x:v>
      </x:c>
      <x:c r="B2840" s="2" t="str">
        <x:v>감축량 인증</x:v>
      </x:c>
      <x:c r="C2840" s="2" t="str">
        <x:v>국외</x:v>
      </x:c>
      <x:c r="D2840" s="7" t="str">
        <x:v>Top Third Ventures사의 스토브 프로그램 CPA KE0008 -한국에서 케냐에 지원하는 BURN사의 효율적인 쿡스토</x:v>
      </x:c>
      <x:c r="E2840" s="2" t="str">
        <x:v>437</x:v>
      </x:c>
      <x:c r="F2840" s="2" t="str">
        <x:v>2022-04-21</x:v>
      </x:c>
      <x:c r="G2840" s="2" t="str">
        <x:v>2022</x:v>
      </x:c>
      <x:c r="H2840" s="2" t="str">
        <x:v>04</x:v>
      </x:c>
      <x:c r="I2840" s="2" t="str">
        <x:v>심의승인</x:v>
      </x:c>
      <x:c r="J2840" s="2" t="str">
        <x:v>심의승인</x:v>
      </x:c>
      <x:c r="K2840" s="2" t="str">
        <x:f>IF(OR(J2840="심의승인",J2840="반려",J2840="반려완료",J2840="심의완료"),"종결 표시",IF(OR(J2840="기후부협의",J2840="문서재제출요청",J2840="보류",J2840="보완요청",J2840="보완완료",J2840="평가중",J2840="반려요청",J2840="평가필요",LEFT(J2840,5)="보완요청("),"미종결 표시","상태 확인 필요"))</x:f>
        <x:v>종결 표시</x:v>
      </x:c>
      <x:c r="L2840" s="2" t="str">
        <x:v>KRIC</x:v>
      </x:c>
      <x:c r="M2840" s="2"/>
      <x:c r="N2840" s="8" t="n">
        <x:f>DATE(2026,10,15)-DATE(2022,4,21)</x:f>
        <x:v>1638</x:v>
      </x:c>
      <x:c r="O2840" s="2"/>
      <x:c r="P2840" s="2"/>
      <x:c r="Q2840" s="2" t="str">
        <x:v>산업전환_외부사업관리Tool_260707_이너젠 수정_LJY_261013.xlsx</x:v>
      </x:c>
      <x:c r="R2840" s="2" t="str">
        <x:v>국외인증</x:v>
      </x:c>
      <x:c r="S2840" s="8" t="n">
        <x:v>427</x:v>
      </x:c>
      <x:c r="T2840" s="2" t="str">
        <x:v>(5/18)(9/19)</x:v>
      </x:c>
      <x:c r="U2840" s="2" t="str">
        <x:v>2022 지정: (5/18)(9/19)</x:v>
      </x:c>
      <x:c r="V2840" s="2" t="str">
        <x:v>2023-03-24</x:v>
      </x:c>
      <x:c r="W2840" s="2" t="str"/>
      <x:c r="X2840" s="2" t="str">
        <x:v>종결 근거 보관</x:v>
      </x:c>
      <x:c r="Y2840" s="2" t="str">
        <x:v>ad210cd9ec132cfd447541c8984dc53d30aff0f4fb2dc92d254d49275cc55976</x:v>
      </x:c>
      <x:c r="Z2840" s="2" t="n">
        <x:f>SUBTOTAL(103,A2840)</x:f>
        <x:v>1</x:v>
      </x:c>
      <x:c r="AA2840" s="2" t="str">
        <x:f>IF(K2840&lt;&gt;"미종결 표시","대상 아님",IF(N2840="","신청일 확인",IF(NOT(ISNUMBER('종합 현황'!$H$5)),"관찰기준 확인",IF('종합 현황'!$H$5&lt;1,"관찰기준 확인",IF(N2840&gt;'종합 현황'!$H$5,"내부 관찰 대상","내부 관찰일 이하")))))</x:f>
        <x:v>대상 아님</x:v>
      </x:c>
      <x:c r="AB2840" s="2" t="str">
        <x:v>2022-04-21 14:08 - 신청
2022-08-22 13:11 - 문서재제출요청
2022-09-07 13:50 - 신청
2022-12-23 14:20 - 문서재제출요청
2022-12-23 16:29 - 신청
2023-02-02 10:00 - 문서재제출요청
2023-02-02 10:32 - 신청
2023-03-15 12:53 - 검토승인
2023-03-24 15:30 - 심의승인</x:v>
      </x:c>
    </x:row>
    <x:row r="2841" ht="42" customHeight="1">
      <x:c r="A2841" s="2" t="str">
        <x:v>ad97ef5aba8c0a5f939a0931</x:v>
      </x:c>
      <x:c r="B2841" s="2" t="str">
        <x:v>감축량 인증</x:v>
      </x:c>
      <x:c r="C2841" s="2" t="str">
        <x:v>국외</x:v>
      </x:c>
      <x:c r="D2841" s="7" t="str">
        <x:v>Top Third Ventures사의 스토브 프로그램 CPA KE0002 -한국에서 케냐에 지원하는 BURN사의 효율적인 쿡스토</x:v>
      </x:c>
      <x:c r="E2841" s="2" t="str">
        <x:v>442</x:v>
      </x:c>
      <x:c r="F2841" s="2" t="str">
        <x:v>2022-05-06</x:v>
      </x:c>
      <x:c r="G2841" s="2" t="str">
        <x:v>2022</x:v>
      </x:c>
      <x:c r="H2841" s="2" t="str">
        <x:v>05</x:v>
      </x:c>
      <x:c r="I2841" s="2" t="str">
        <x:v>심의승인</x:v>
      </x:c>
      <x:c r="J2841" s="2" t="str">
        <x:v>심의승인</x:v>
      </x:c>
      <x:c r="K2841" s="2" t="str">
        <x:f>IF(OR(J2841="심의승인",J2841="반려",J2841="반려완료",J2841="심의완료"),"종결 표시",IF(OR(J2841="기후부협의",J2841="문서재제출요청",J2841="보류",J2841="보완요청",J2841="보완완료",J2841="평가중",J2841="반려요청",J2841="평가필요",LEFT(J2841,5)="보완요청("),"미종결 표시","상태 확인 필요"))</x:f>
        <x:v>종결 표시</x:v>
      </x:c>
      <x:c r="L2841" s="2" t="str">
        <x:v>KRIC</x:v>
      </x:c>
      <x:c r="M2841" s="2"/>
      <x:c r="N2841" s="8" t="n">
        <x:f>DATE(2026,10,15)-DATE(2022,5,6)</x:f>
        <x:v>1623</x:v>
      </x:c>
      <x:c r="O2841" s="2"/>
      <x:c r="P2841" s="2"/>
      <x:c r="Q2841" s="2" t="str">
        <x:v>산업전환_외부사업관리Tool_260707_이너젠 수정_LJY_261013.xlsx</x:v>
      </x:c>
      <x:c r="R2841" s="2" t="str">
        <x:v>국외인증</x:v>
      </x:c>
      <x:c r="S2841" s="8" t="n">
        <x:v>428</x:v>
      </x:c>
      <x:c r="T2841" s="2" t="str">
        <x:v>(5/18)(9/19)</x:v>
      </x:c>
      <x:c r="U2841" s="2" t="str">
        <x:v>2022 지정: (5/18)(9/19)</x:v>
      </x:c>
      <x:c r="V2841" s="2" t="str">
        <x:v>2023-03-24</x:v>
      </x:c>
      <x:c r="W2841" s="2" t="str"/>
      <x:c r="X2841" s="2" t="str">
        <x:v>종결 근거 보관</x:v>
      </x:c>
      <x:c r="Y2841" s="2" t="str">
        <x:v>ad210cd9ec132cfd447541c8984dc53d30aff0f4fb2dc92d254d49275cc55976</x:v>
      </x:c>
      <x:c r="Z2841" s="2" t="n">
        <x:f>SUBTOTAL(103,A2841)</x:f>
        <x:v>1</x:v>
      </x:c>
      <x:c r="AA2841" s="2" t="str">
        <x:f>IF(K2841&lt;&gt;"미종결 표시","대상 아님",IF(N2841="","신청일 확인",IF(NOT(ISNUMBER('종합 현황'!$H$5)),"관찰기준 확인",IF('종합 현황'!$H$5&lt;1,"관찰기준 확인",IF(N2841&gt;'종합 현황'!$H$5,"내부 관찰 대상","내부 관찰일 이하")))))</x:f>
        <x:v>대상 아님</x:v>
      </x:c>
      <x:c r="AB2841" s="2" t="str">
        <x:v>2022-05-06 13:23 - 신청
2022-08-22 11:25 - 문서재제출요청
2022-09-07 13:45 - 신청
2022-12-23 14:29 - 문서재제출요청
2022-12-23 16:33 - 신청
2023-02-02 10:05 - 문서재제출요청
2023-02-02 10:40 - 신청
2023-03-15 11:24 - 검토승인
2023-03-24 15:19 - 심의승인</x:v>
      </x:c>
    </x:row>
    <x:row r="2842" ht="42" customHeight="1">
      <x:c r="A2842" s="2" t="str">
        <x:v>028baca51fad1eb1b47b53cc</x:v>
      </x:c>
      <x:c r="B2842" s="2" t="str">
        <x:v>감축량 인증</x:v>
      </x:c>
      <x:c r="C2842" s="2" t="str">
        <x:v>국외</x:v>
      </x:c>
      <x:c r="D2842" s="7" t="str">
        <x:v>Top Third Ventures사의 스토브 프로그램 CPA KE0003 -한국에서 케냐에 지원하는 BURN사의 효율적인 쿡스토</x:v>
      </x:c>
      <x:c r="E2842" s="2" t="str">
        <x:v>443</x:v>
      </x:c>
      <x:c r="F2842" s="2" t="str">
        <x:v>2022-05-06</x:v>
      </x:c>
      <x:c r="G2842" s="2" t="str">
        <x:v>2022</x:v>
      </x:c>
      <x:c r="H2842" s="2" t="str">
        <x:v>05</x:v>
      </x:c>
      <x:c r="I2842" s="2" t="str">
        <x:v>심의승인</x:v>
      </x:c>
      <x:c r="J2842" s="2" t="str">
        <x:v>심의승인</x:v>
      </x:c>
      <x:c r="K2842" s="2" t="str">
        <x:f>IF(OR(J2842="심의승인",J2842="반려",J2842="반려완료",J2842="심의완료"),"종결 표시",IF(OR(J2842="기후부협의",J2842="문서재제출요청",J2842="보류",J2842="보완요청",J2842="보완완료",J2842="평가중",J2842="반려요청",J2842="평가필요",LEFT(J2842,5)="보완요청("),"미종결 표시","상태 확인 필요"))</x:f>
        <x:v>종결 표시</x:v>
      </x:c>
      <x:c r="L2842" s="2" t="str">
        <x:v>KRIC</x:v>
      </x:c>
      <x:c r="M2842" s="2"/>
      <x:c r="N2842" s="8" t="n">
        <x:f>DATE(2026,10,15)-DATE(2022,5,6)</x:f>
        <x:v>1623</x:v>
      </x:c>
      <x:c r="O2842" s="2"/>
      <x:c r="P2842" s="2"/>
      <x:c r="Q2842" s="2" t="str">
        <x:v>산업전환_외부사업관리Tool_260707_이너젠 수정_LJY_261013.xlsx</x:v>
      </x:c>
      <x:c r="R2842" s="2" t="str">
        <x:v>국외인증</x:v>
      </x:c>
      <x:c r="S2842" s="8" t="n">
        <x:v>429</x:v>
      </x:c>
      <x:c r="T2842" s="2" t="str">
        <x:v>(5/18)(9/19)</x:v>
      </x:c>
      <x:c r="U2842" s="2" t="str">
        <x:v>2022 지정: (5/18)(9/19)</x:v>
      </x:c>
      <x:c r="V2842" s="2" t="str">
        <x:v>2023-03-24</x:v>
      </x:c>
      <x:c r="W2842" s="2" t="str"/>
      <x:c r="X2842" s="2" t="str">
        <x:v>종결 근거 보관</x:v>
      </x:c>
      <x:c r="Y2842" s="2" t="str">
        <x:v>ad210cd9ec132cfd447541c8984dc53d30aff0f4fb2dc92d254d49275cc55976</x:v>
      </x:c>
      <x:c r="Z2842" s="2" t="n">
        <x:f>SUBTOTAL(103,A2842)</x:f>
        <x:v>1</x:v>
      </x:c>
      <x:c r="AA2842" s="2" t="str">
        <x:f>IF(K2842&lt;&gt;"미종결 표시","대상 아님",IF(N2842="","신청일 확인",IF(NOT(ISNUMBER('종합 현황'!$H$5)),"관찰기준 확인",IF('종합 현황'!$H$5&lt;1,"관찰기준 확인",IF(N2842&gt;'종합 현황'!$H$5,"내부 관찰 대상","내부 관찰일 이하")))))</x:f>
        <x:v>대상 아님</x:v>
      </x:c>
      <x:c r="AB2842" s="2" t="str">
        <x:v>2022-05-06 13:25 - 신청
2022-08-22 11:27 - 문서재제출요청
2022-09-07 13:45 - 신청
2022-12-23 14:28 - 문서재제출요청
2022-12-23 16:36 - 신청
2023-02-02 10:05 - 문서재제출요청
2023-02-02 10:41 - 신청
2023-03-15 11:26 - 검토승인
2023-03-24 15:20 - 심의승인</x:v>
      </x:c>
    </x:row>
    <x:row r="2843" ht="42" customHeight="1">
      <x:c r="A2843" s="2" t="str">
        <x:v>31448a0a4ce81ffc5ce137f7</x:v>
      </x:c>
      <x:c r="B2843" s="2" t="str">
        <x:v>감축량 인증</x:v>
      </x:c>
      <x:c r="C2843" s="2" t="str">
        <x:v>국외</x:v>
      </x:c>
      <x:c r="D2843" s="7" t="str">
        <x:v>과테말라 오닐 스토브 보급 사업 - CPA 003</x:v>
      </x:c>
      <x:c r="E2843" s="2" t="str">
        <x:v>428</x:v>
      </x:c>
      <x:c r="F2843" s="2" t="str">
        <x:v>2022-03-30</x:v>
      </x:c>
      <x:c r="G2843" s="2" t="str">
        <x:v>2022</x:v>
      </x:c>
      <x:c r="H2843" s="2" t="str">
        <x:v>03</x:v>
      </x:c>
      <x:c r="I2843" s="2" t="str">
        <x:v>심의승인</x:v>
      </x:c>
      <x:c r="J2843" s="2" t="str">
        <x:v>심의승인</x:v>
      </x:c>
      <x:c r="K2843" s="2" t="str">
        <x:f>IF(OR(J2843="심의승인",J2843="반려",J2843="반려완료",J2843="심의완료"),"종결 표시",IF(OR(J2843="기후부협의",J2843="문서재제출요청",J2843="보류",J2843="보완요청",J2843="보완완료",J2843="평가중",J2843="반려요청",J2843="평가필요",LEFT(J2843,5)="보완요청("),"미종결 표시","상태 확인 필요"))</x:f>
        <x:v>종결 표시</x:v>
      </x:c>
      <x:c r="L2843" s="2" t="str">
        <x:v>KRIC</x:v>
      </x:c>
      <x:c r="M2843" s="2"/>
      <x:c r="N2843" s="8" t="n">
        <x:f>DATE(2026,10,15)-DATE(2022,3,30)</x:f>
        <x:v>1660</x:v>
      </x:c>
      <x:c r="O2843" s="2"/>
      <x:c r="P2843" s="2"/>
      <x:c r="Q2843" s="2" t="str">
        <x:v>산업전환_외부사업관리Tool_260707_이너젠 수정_LJY_261013.xlsx</x:v>
      </x:c>
      <x:c r="R2843" s="2" t="str">
        <x:v>국외인증</x:v>
      </x:c>
      <x:c r="S2843" s="8" t="n">
        <x:v>430</x:v>
      </x:c>
      <x:c r="T2843" s="2" t="str">
        <x:v>(4/19)</x:v>
      </x:c>
      <x:c r="U2843" s="2" t="str">
        <x:v>2022 지정: (4/19)</x:v>
      </x:c>
      <x:c r="V2843" s="2" t="str">
        <x:v>2022-12-28</x:v>
      </x:c>
      <x:c r="W2843" s="2" t="str"/>
      <x:c r="X2843" s="2" t="str">
        <x:v>종결 근거 보관</x:v>
      </x:c>
      <x:c r="Y2843" s="2" t="str">
        <x:v>ad210cd9ec132cfd447541c8984dc53d30aff0f4fb2dc92d254d49275cc55976</x:v>
      </x:c>
      <x:c r="Z2843" s="2" t="n">
        <x:f>SUBTOTAL(103,A2843)</x:f>
        <x:v>1</x:v>
      </x:c>
      <x:c r="AA2843" s="2" t="str">
        <x:f>IF(K2843&lt;&gt;"미종결 표시","대상 아님",IF(N2843="","신청일 확인",IF(NOT(ISNUMBER('종합 현황'!$H$5)),"관찰기준 확인",IF('종합 현황'!$H$5&lt;1,"관찰기준 확인",IF(N2843&gt;'종합 현황'!$H$5,"내부 관찰 대상","내부 관찰일 이하")))))</x:f>
        <x:v>대상 아님</x:v>
      </x:c>
      <x:c r="AB2843" s="2" t="str">
        <x:v>2022-03-30 08:57 - 신청
2022-04-11 14:37 - 문서재제출요청
2022-04-11 14:54 - 신청
2022-08-11 17:52 - 문서재제출요청
2022-08-26 09:07 - 신청
2022-08-29 10:25 - 문서재제출요청
2022-08-29 10:34 - 신청
2022-12-27 09:13 - 문서재제출요청
2022-12-27 09:15 - 신청
2022-12-27 09:24 - 검토승인
2022-12-28 16:26 - 심의승인</x:v>
      </x:c>
    </x:row>
    <x:row r="2844" ht="42" customHeight="1">
      <x:c r="A2844" s="2" t="str">
        <x:v>453b859b4a18e7247d3d96da</x:v>
      </x:c>
      <x:c r="B2844" s="2" t="str">
        <x:v>감축량 인증</x:v>
      </x:c>
      <x:c r="C2844" s="2" t="str">
        <x:v>국외</x:v>
      </x:c>
      <x:c r="D2844" s="7" t="str">
        <x:v>서하남 사막 이남의 아프리카-잠비아에 향상된 쿡스토브 보급 CPA-007 사업</x:v>
      </x:c>
      <x:c r="E2844" s="2" t="str">
        <x:v>429</x:v>
      </x:c>
      <x:c r="F2844" s="2" t="str">
        <x:v>2022-04-11</x:v>
      </x:c>
      <x:c r="G2844" s="2" t="str">
        <x:v>2022</x:v>
      </x:c>
      <x:c r="H2844" s="2" t="str">
        <x:v>04</x:v>
      </x:c>
      <x:c r="I2844" s="2" t="str">
        <x:v>심의승인</x:v>
      </x:c>
      <x:c r="J2844" s="2" t="str">
        <x:v>심의승인</x:v>
      </x:c>
      <x:c r="K2844" s="2" t="str">
        <x:f>IF(OR(J2844="심의승인",J2844="반려",J2844="반려완료",J2844="심의완료"),"종결 표시",IF(OR(J2844="기후부협의",J2844="문서재제출요청",J2844="보류",J2844="보완요청",J2844="보완완료",J2844="평가중",J2844="반려요청",J2844="평가필요",LEFT(J2844,5)="보완요청("),"미종결 표시","상태 확인 필요"))</x:f>
        <x:v>종결 표시</x:v>
      </x:c>
      <x:c r="L2844" s="2" t="str">
        <x:v>KRIC</x:v>
      </x:c>
      <x:c r="M2844" s="2"/>
      <x:c r="N2844" s="8" t="n">
        <x:f>DATE(2026,10,15)-DATE(2022,4,11)</x:f>
        <x:v>1648</x:v>
      </x:c>
      <x:c r="O2844" s="2"/>
      <x:c r="P2844" s="2"/>
      <x:c r="Q2844" s="2" t="str">
        <x:v>산업전환_외부사업관리Tool_260707_이너젠 수정_LJY_261013.xlsx</x:v>
      </x:c>
      <x:c r="R2844" s="2" t="str">
        <x:v>국외인증</x:v>
      </x:c>
      <x:c r="S2844" s="8" t="n">
        <x:v>431</x:v>
      </x:c>
      <x:c r="T2844" s="2" t="str">
        <x:v>(4/19)(9/19)</x:v>
      </x:c>
      <x:c r="U2844" s="2" t="str">
        <x:v>2022 지정: (4/19)(9/19)</x:v>
      </x:c>
      <x:c r="V2844" s="2" t="str">
        <x:v>2022-12-28</x:v>
      </x:c>
      <x:c r="W2844" s="2" t="str"/>
      <x:c r="X2844" s="2" t="str">
        <x:v>종결 근거 보관</x:v>
      </x:c>
      <x:c r="Y2844" s="2" t="str">
        <x:v>ad210cd9ec132cfd447541c8984dc53d30aff0f4fb2dc92d254d49275cc55976</x:v>
      </x:c>
      <x:c r="Z2844" s="2" t="n">
        <x:f>SUBTOTAL(103,A2844)</x:f>
        <x:v>1</x:v>
      </x:c>
      <x:c r="AA2844" s="2" t="str">
        <x:f>IF(K2844&lt;&gt;"미종결 표시","대상 아님",IF(N2844="","신청일 확인",IF(NOT(ISNUMBER('종합 현황'!$H$5)),"관찰기준 확인",IF('종합 현황'!$H$5&lt;1,"관찰기준 확인",IF(N2844&gt;'종합 현황'!$H$5,"내부 관찰 대상","내부 관찰일 이하")))))</x:f>
        <x:v>대상 아님</x:v>
      </x:c>
      <x:c r="AB2844" s="2" t="str">
        <x:v>2022-04-11 14:56 - 신청
2022-08-11 17:49 - 문서재제출요청
2022-08-12 17:48 - 신청
2022-08-24 13:11 - 문서재제출요청
2022-08-24 16:18 - 신청
2022-11-15 08:43 - 문서재제출요청
2022-11-16 09:33 - 신청
2022-12-21 17:41 - 검토승인
2022-12-28 16:13 - 심의승인</x:v>
      </x:c>
    </x:row>
    <x:row r="2845" ht="42" customHeight="1">
      <x:c r="A2845" s="2" t="str">
        <x:v>43b84c720eebfbd57b3662dc</x:v>
      </x:c>
      <x:c r="B2845" s="2" t="str">
        <x:v>감축량 인증</x:v>
      </x:c>
      <x:c r="C2845" s="2" t="str">
        <x:v>국외</x:v>
      </x:c>
      <x:c r="D2845" s="7" t="str">
        <x:v>Top Third Ventures사의 스토브 프로그램 CPA KE0004 -한국에서 케냐에 지원하는 BURN사의 효율적인 쿡스토</x:v>
      </x:c>
      <x:c r="E2845" s="2" t="str">
        <x:v>444</x:v>
      </x:c>
      <x:c r="F2845" s="2" t="str">
        <x:v>2022-05-06</x:v>
      </x:c>
      <x:c r="G2845" s="2" t="str">
        <x:v>2022</x:v>
      </x:c>
      <x:c r="H2845" s="2" t="str">
        <x:v>05</x:v>
      </x:c>
      <x:c r="I2845" s="2" t="str">
        <x:v>심의승인</x:v>
      </x:c>
      <x:c r="J2845" s="2" t="str">
        <x:v>심의승인</x:v>
      </x:c>
      <x:c r="K2845" s="2" t="str">
        <x:f>IF(OR(J2845="심의승인",J2845="반려",J2845="반려완료",J2845="심의완료"),"종결 표시",IF(OR(J2845="기후부협의",J2845="문서재제출요청",J2845="보류",J2845="보완요청",J2845="보완완료",J2845="평가중",J2845="반려요청",J2845="평가필요",LEFT(J2845,5)="보완요청("),"미종결 표시","상태 확인 필요"))</x:f>
        <x:v>종결 표시</x:v>
      </x:c>
      <x:c r="L2845" s="2" t="str">
        <x:v>KRIC</x:v>
      </x:c>
      <x:c r="M2845" s="2"/>
      <x:c r="N2845" s="8" t="n">
        <x:f>DATE(2026,10,15)-DATE(2022,5,6)</x:f>
        <x:v>1623</x:v>
      </x:c>
      <x:c r="O2845" s="2"/>
      <x:c r="P2845" s="2"/>
      <x:c r="Q2845" s="2" t="str">
        <x:v>산업전환_외부사업관리Tool_260707_이너젠 수정_LJY_261013.xlsx</x:v>
      </x:c>
      <x:c r="R2845" s="2" t="str">
        <x:v>국외인증</x:v>
      </x:c>
      <x:c r="S2845" s="8" t="n">
        <x:v>432</x:v>
      </x:c>
      <x:c r="T2845" s="2" t="str">
        <x:v>(5/18)(9/19)</x:v>
      </x:c>
      <x:c r="U2845" s="2" t="str">
        <x:v>2022 지정: (5/18)(9/19)</x:v>
      </x:c>
      <x:c r="V2845" s="2" t="str">
        <x:v>2023-03-24</x:v>
      </x:c>
      <x:c r="W2845" s="2" t="str"/>
      <x:c r="X2845" s="2" t="str">
        <x:v>종결 근거 보관</x:v>
      </x:c>
      <x:c r="Y2845" s="2" t="str">
        <x:v>ad210cd9ec132cfd447541c8984dc53d30aff0f4fb2dc92d254d49275cc55976</x:v>
      </x:c>
      <x:c r="Z2845" s="2" t="n">
        <x:f>SUBTOTAL(103,A2845)</x:f>
        <x:v>1</x:v>
      </x:c>
      <x:c r="AA2845" s="2" t="str">
        <x:f>IF(K2845&lt;&gt;"미종결 표시","대상 아님",IF(N2845="","신청일 확인",IF(NOT(ISNUMBER('종합 현황'!$H$5)),"관찰기준 확인",IF('종합 현황'!$H$5&lt;1,"관찰기준 확인",IF(N2845&gt;'종합 현황'!$H$5,"내부 관찰 대상","내부 관찰일 이하")))))</x:f>
        <x:v>대상 아님</x:v>
      </x:c>
      <x:c r="AB2845" s="2" t="str">
        <x:v>2022-05-06 13:28 - 신청
2022-08-22 11:29 - 문서재제출요청
2022-09-07 13:46 - 신청
2022-12-23 14:27 - 문서재제출요청
2022-12-23 16:39 - 신청
2023-02-02 10:05 - 문서재제출요청
2023-02-02 10:41 - 신청
2023-03-15 11:28 - 검토승인
2023-03-24 15:21 - 심의승인</x:v>
      </x:c>
    </x:row>
    <x:row r="2846" ht="42" customHeight="1">
      <x:c r="A2846" s="2" t="str">
        <x:v>38bae23a262d8564bf85913e</x:v>
      </x:c>
      <x:c r="B2846" s="2" t="str">
        <x:v>감축량 인증</x:v>
      </x:c>
      <x:c r="C2846" s="2" t="str">
        <x:v>국외</x:v>
      </x:c>
      <x:c r="D2846" s="7" t="str">
        <x:v>Top Third Ventures사의 스토브 프로그램 CPA KE0005 -한국에서 케냐에 지원하는 BURN사의 효율적인 쿡스토</x:v>
      </x:c>
      <x:c r="E2846" s="2" t="str">
        <x:v>445</x:v>
      </x:c>
      <x:c r="F2846" s="2" t="str">
        <x:v>2022-05-06</x:v>
      </x:c>
      <x:c r="G2846" s="2" t="str">
        <x:v>2022</x:v>
      </x:c>
      <x:c r="H2846" s="2" t="str">
        <x:v>05</x:v>
      </x:c>
      <x:c r="I2846" s="2" t="str">
        <x:v>심의승인</x:v>
      </x:c>
      <x:c r="J2846" s="2" t="str">
        <x:v>심의승인</x:v>
      </x:c>
      <x:c r="K2846" s="2" t="str">
        <x:f>IF(OR(J2846="심의승인",J2846="반려",J2846="반려완료",J2846="심의완료"),"종결 표시",IF(OR(J2846="기후부협의",J2846="문서재제출요청",J2846="보류",J2846="보완요청",J2846="보완완료",J2846="평가중",J2846="반려요청",J2846="평가필요",LEFT(J2846,5)="보완요청("),"미종결 표시","상태 확인 필요"))</x:f>
        <x:v>종결 표시</x:v>
      </x:c>
      <x:c r="L2846" s="2" t="str">
        <x:v>KRIC</x:v>
      </x:c>
      <x:c r="M2846" s="2"/>
      <x:c r="N2846" s="8" t="n">
        <x:f>DATE(2026,10,15)-DATE(2022,5,6)</x:f>
        <x:v>1623</x:v>
      </x:c>
      <x:c r="O2846" s="2"/>
      <x:c r="P2846" s="2"/>
      <x:c r="Q2846" s="2" t="str">
        <x:v>산업전환_외부사업관리Tool_260707_이너젠 수정_LJY_261013.xlsx</x:v>
      </x:c>
      <x:c r="R2846" s="2" t="str">
        <x:v>국외인증</x:v>
      </x:c>
      <x:c r="S2846" s="8" t="n">
        <x:v>433</x:v>
      </x:c>
      <x:c r="T2846" s="2" t="str">
        <x:v>(5/18)(9/19)</x:v>
      </x:c>
      <x:c r="U2846" s="2" t="str">
        <x:v>2022 지정: (5/18)(9/19)</x:v>
      </x:c>
      <x:c r="V2846" s="2" t="str">
        <x:v>2023-03-24</x:v>
      </x:c>
      <x:c r="W2846" s="2" t="str"/>
      <x:c r="X2846" s="2" t="str">
        <x:v>종결 근거 보관</x:v>
      </x:c>
      <x:c r="Y2846" s="2" t="str">
        <x:v>ad210cd9ec132cfd447541c8984dc53d30aff0f4fb2dc92d254d49275cc55976</x:v>
      </x:c>
      <x:c r="Z2846" s="2" t="n">
        <x:f>SUBTOTAL(103,A2846)</x:f>
        <x:v>1</x:v>
      </x:c>
      <x:c r="AA2846" s="2" t="str">
        <x:f>IF(K2846&lt;&gt;"미종결 표시","대상 아님",IF(N2846="","신청일 확인",IF(NOT(ISNUMBER('종합 현황'!$H$5)),"관찰기준 확인",IF('종합 현황'!$H$5&lt;1,"관찰기준 확인",IF(N2846&gt;'종합 현황'!$H$5,"내부 관찰 대상","내부 관찰일 이하")))))</x:f>
        <x:v>대상 아님</x:v>
      </x:c>
      <x:c r="AB2846" s="2" t="str">
        <x:v>2022-05-06 13:34 - 신청
2022-08-22 11:30 - 문서재제출요청
2022-09-07 13:48 - 신청
2022-12-23 14:26 - 문서재제출요청
2022-12-23 16:42 - 신청
2023-02-02 10:06 - 문서재제출요청
2023-02-02 10:43 - 신청
2023-03-15 11:32 - 검토승인
2023-03-24 15:21 - 심의승인</x:v>
      </x:c>
    </x:row>
    <x:row r="2847" ht="42" customHeight="1">
      <x:c r="A2847" s="2" t="str">
        <x:v>c85b10799c30f836490cc995</x:v>
      </x:c>
      <x:c r="B2847" s="2" t="str">
        <x:v>감축량 인증</x:v>
      </x:c>
      <x:c r="C2847" s="2" t="str">
        <x:v>국외</x:v>
      </x:c>
      <x:c r="D2847" s="7" t="str">
        <x:v>Top Third Ventures사의 스토브 프로그램 CPA KE0006 -한국에서 케냐에 지원하는 BURN사의 효율적인 쿡스토</x:v>
      </x:c>
      <x:c r="E2847" s="2" t="str">
        <x:v>446</x:v>
      </x:c>
      <x:c r="F2847" s="2" t="str">
        <x:v>2022-05-06</x:v>
      </x:c>
      <x:c r="G2847" s="2" t="str">
        <x:v>2022</x:v>
      </x:c>
      <x:c r="H2847" s="2" t="str">
        <x:v>05</x:v>
      </x:c>
      <x:c r="I2847" s="2" t="str">
        <x:v>심의승인</x:v>
      </x:c>
      <x:c r="J2847" s="2" t="str">
        <x:v>심의승인</x:v>
      </x:c>
      <x:c r="K2847" s="2" t="str">
        <x:f>IF(OR(J2847="심의승인",J2847="반려",J2847="반려완료",J2847="심의완료"),"종결 표시",IF(OR(J2847="기후부협의",J2847="문서재제출요청",J2847="보류",J2847="보완요청",J2847="보완완료",J2847="평가중",J2847="반려요청",J2847="평가필요",LEFT(J2847,5)="보완요청("),"미종결 표시","상태 확인 필요"))</x:f>
        <x:v>종결 표시</x:v>
      </x:c>
      <x:c r="L2847" s="2" t="str">
        <x:v>KRIC</x:v>
      </x:c>
      <x:c r="M2847" s="2"/>
      <x:c r="N2847" s="8" t="n">
        <x:f>DATE(2026,10,15)-DATE(2022,5,6)</x:f>
        <x:v>1623</x:v>
      </x:c>
      <x:c r="O2847" s="2"/>
      <x:c r="P2847" s="2"/>
      <x:c r="Q2847" s="2" t="str">
        <x:v>산업전환_외부사업관리Tool_260707_이너젠 수정_LJY_261013.xlsx</x:v>
      </x:c>
      <x:c r="R2847" s="2" t="str">
        <x:v>국외인증</x:v>
      </x:c>
      <x:c r="S2847" s="8" t="n">
        <x:v>434</x:v>
      </x:c>
      <x:c r="T2847" s="2" t="str">
        <x:v>(5/18)(9/19)</x:v>
      </x:c>
      <x:c r="U2847" s="2" t="str">
        <x:v>2022 지정: (5/18)(9/19)</x:v>
      </x:c>
      <x:c r="V2847" s="2" t="str">
        <x:v>2023-03-24</x:v>
      </x:c>
      <x:c r="W2847" s="2" t="str"/>
      <x:c r="X2847" s="2" t="str">
        <x:v>종결 근거 보관</x:v>
      </x:c>
      <x:c r="Y2847" s="2" t="str">
        <x:v>ad210cd9ec132cfd447541c8984dc53d30aff0f4fb2dc92d254d49275cc55976</x:v>
      </x:c>
      <x:c r="Z2847" s="2" t="n">
        <x:f>SUBTOTAL(103,A2847)</x:f>
        <x:v>1</x:v>
      </x:c>
      <x:c r="AA2847" s="2" t="str">
        <x:f>IF(K2847&lt;&gt;"미종결 표시","대상 아님",IF(N2847="","신청일 확인",IF(NOT(ISNUMBER('종합 현황'!$H$5)),"관찰기준 확인",IF('종합 현황'!$H$5&lt;1,"관찰기준 확인",IF(N2847&gt;'종합 현황'!$H$5,"내부 관찰 대상","내부 관찰일 이하")))))</x:f>
        <x:v>대상 아님</x:v>
      </x:c>
      <x:c r="AB2847" s="2" t="str">
        <x:v>2022-05-06 13:36 - 신청
2022-08-22 13:09 - 문서재제출요청
2022-09-07 13:49 - 신청
2022-12-23 14:24 - 문서재제출요청
2022-12-23 16:47 - 신청
2023-02-02 10:06 - 문서재제출요청
2023-02-02 10:44 - 신청
2023-03-15 11:33 - 검토승인
2023-03-24 15:23 - 심의승인</x:v>
      </x:c>
    </x:row>
    <x:row r="2848" ht="42" customHeight="1">
      <x:c r="A2848" s="2" t="str">
        <x:v>2951e4c1d8988327f41fd027</x:v>
      </x:c>
      <x:c r="B2848" s="2" t="str">
        <x:v>감축량 인증</x:v>
      </x:c>
      <x:c r="C2848" s="2" t="str">
        <x:v>국외</x:v>
      </x:c>
      <x:c r="D2848" s="7" t="str">
        <x:v>Top Third Ventures사의 스토브 프로그램 CPA KE0007 -한국에서 케냐에 지원하는 BURN사의 효율적인 쿡스토</x:v>
      </x:c>
      <x:c r="E2848" s="2" t="str">
        <x:v>447</x:v>
      </x:c>
      <x:c r="F2848" s="2" t="str">
        <x:v>2022-05-06</x:v>
      </x:c>
      <x:c r="G2848" s="2" t="str">
        <x:v>2022</x:v>
      </x:c>
      <x:c r="H2848" s="2" t="str">
        <x:v>05</x:v>
      </x:c>
      <x:c r="I2848" s="2" t="str">
        <x:v>심의승인</x:v>
      </x:c>
      <x:c r="J2848" s="2" t="str">
        <x:v>심의승인</x:v>
      </x:c>
      <x:c r="K2848" s="2" t="str">
        <x:f>IF(OR(J2848="심의승인",J2848="반려",J2848="반려완료",J2848="심의완료"),"종결 표시",IF(OR(J2848="기후부협의",J2848="문서재제출요청",J2848="보류",J2848="보완요청",J2848="보완완료",J2848="평가중",J2848="반려요청",J2848="평가필요",LEFT(J2848,5)="보완요청("),"미종결 표시","상태 확인 필요"))</x:f>
        <x:v>종결 표시</x:v>
      </x:c>
      <x:c r="L2848" s="2" t="str">
        <x:v>KRIC</x:v>
      </x:c>
      <x:c r="M2848" s="2"/>
      <x:c r="N2848" s="8" t="n">
        <x:f>DATE(2026,10,15)-DATE(2022,5,6)</x:f>
        <x:v>1623</x:v>
      </x:c>
      <x:c r="O2848" s="2"/>
      <x:c r="P2848" s="2"/>
      <x:c r="Q2848" s="2" t="str">
        <x:v>산업전환_외부사업관리Tool_260707_이너젠 수정_LJY_261013.xlsx</x:v>
      </x:c>
      <x:c r="R2848" s="2" t="str">
        <x:v>국외인증</x:v>
      </x:c>
      <x:c r="S2848" s="8" t="n">
        <x:v>435</x:v>
      </x:c>
      <x:c r="T2848" s="2" t="str">
        <x:v>(5/18)(9/19)</x:v>
      </x:c>
      <x:c r="U2848" s="2" t="str">
        <x:v>2022 지정: (5/18)(9/19)</x:v>
      </x:c>
      <x:c r="V2848" s="2" t="str">
        <x:v>2023-03-24</x:v>
      </x:c>
      <x:c r="W2848" s="2" t="str"/>
      <x:c r="X2848" s="2" t="str">
        <x:v>종결 근거 보관</x:v>
      </x:c>
      <x:c r="Y2848" s="2" t="str">
        <x:v>ad210cd9ec132cfd447541c8984dc53d30aff0f4fb2dc92d254d49275cc55976</x:v>
      </x:c>
      <x:c r="Z2848" s="2" t="n">
        <x:f>SUBTOTAL(103,A2848)</x:f>
        <x:v>1</x:v>
      </x:c>
      <x:c r="AA2848" s="2" t="str">
        <x:f>IF(K2848&lt;&gt;"미종결 표시","대상 아님",IF(N2848="","신청일 확인",IF(NOT(ISNUMBER('종합 현황'!$H$5)),"관찰기준 확인",IF('종합 현황'!$H$5&lt;1,"관찰기준 확인",IF(N2848&gt;'종합 현황'!$H$5,"내부 관찰 대상","내부 관찰일 이하")))))</x:f>
        <x:v>대상 아님</x:v>
      </x:c>
      <x:c r="AB2848" s="2" t="str">
        <x:v>2022-05-06 13:39 - 신청
2022-08-22 13:10 - 문서재제출요청
2022-09-07 13:50 - 신청
2022-12-23 14:22 - 문서재제출요청
2022-12-23 16:50 - 신청
2023-02-02 10:02 - 문서재제출요청
2023-02-02 10:45 - 신청
2023-03-15 12:52 - 검토승인
2023-03-24 15:31 - 심의승인</x:v>
      </x:c>
    </x:row>
    <x:row r="2849" ht="42" customHeight="1">
      <x:c r="A2849" s="2" t="str">
        <x:v>862f902ad1c07330a184f13b</x:v>
      </x:c>
      <x:c r="B2849" s="2" t="str">
        <x:v>감축량 인증</x:v>
      </x:c>
      <x:c r="C2849" s="2" t="str">
        <x:v>국외</x:v>
      </x:c>
      <x:c r="D2849" s="7" t="str">
        <x:v>Top Third Ventures사의 스토브 프로그램 CPA KE0008 -한국에서 케냐에 지원하는 BURN사의 효율적인 쿡스토</x:v>
      </x:c>
      <x:c r="E2849" s="2" t="str">
        <x:v>448</x:v>
      </x:c>
      <x:c r="F2849" s="2" t="str">
        <x:v>2022-05-06</x:v>
      </x:c>
      <x:c r="G2849" s="2" t="str">
        <x:v>2022</x:v>
      </x:c>
      <x:c r="H2849" s="2" t="str">
        <x:v>05</x:v>
      </x:c>
      <x:c r="I2849" s="2" t="str">
        <x:v>심의승인</x:v>
      </x:c>
      <x:c r="J2849" s="2" t="str">
        <x:v>심의승인</x:v>
      </x:c>
      <x:c r="K2849" s="2" t="str">
        <x:f>IF(OR(J2849="심의승인",J2849="반려",J2849="반려완료",J2849="심의완료"),"종결 표시",IF(OR(J2849="기후부협의",J2849="문서재제출요청",J2849="보류",J2849="보완요청",J2849="보완완료",J2849="평가중",J2849="반려요청",J2849="평가필요",LEFT(J2849,5)="보완요청("),"미종결 표시","상태 확인 필요"))</x:f>
        <x:v>종결 표시</x:v>
      </x:c>
      <x:c r="L2849" s="2" t="str">
        <x:v>KRIC</x:v>
      </x:c>
      <x:c r="M2849" s="2"/>
      <x:c r="N2849" s="8" t="n">
        <x:f>DATE(2026,10,15)-DATE(2022,5,6)</x:f>
        <x:v>1623</x:v>
      </x:c>
      <x:c r="O2849" s="2"/>
      <x:c r="P2849" s="2"/>
      <x:c r="Q2849" s="2" t="str">
        <x:v>산업전환_외부사업관리Tool_260707_이너젠 수정_LJY_261013.xlsx</x:v>
      </x:c>
      <x:c r="R2849" s="2" t="str">
        <x:v>국외인증</x:v>
      </x:c>
      <x:c r="S2849" s="8" t="n">
        <x:v>436</x:v>
      </x:c>
      <x:c r="T2849" s="2" t="str">
        <x:v>(5/18)(9/19)</x:v>
      </x:c>
      <x:c r="U2849" s="2" t="str">
        <x:v>2022 지정: (5/18)(9/19)</x:v>
      </x:c>
      <x:c r="V2849" s="2" t="str">
        <x:v>2023-03-24</x:v>
      </x:c>
      <x:c r="W2849" s="2" t="str"/>
      <x:c r="X2849" s="2" t="str">
        <x:v>종결 근거 보관</x:v>
      </x:c>
      <x:c r="Y2849" s="2" t="str">
        <x:v>ad210cd9ec132cfd447541c8984dc53d30aff0f4fb2dc92d254d49275cc55976</x:v>
      </x:c>
      <x:c r="Z2849" s="2" t="n">
        <x:f>SUBTOTAL(103,A2849)</x:f>
        <x:v>1</x:v>
      </x:c>
      <x:c r="AA2849" s="2" t="str">
        <x:f>IF(K2849&lt;&gt;"미종결 표시","대상 아님",IF(N2849="","신청일 확인",IF(NOT(ISNUMBER('종합 현황'!$H$5)),"관찰기준 확인",IF('종합 현황'!$H$5&lt;1,"관찰기준 확인",IF(N2849&gt;'종합 현황'!$H$5,"내부 관찰 대상","내부 관찰일 이하")))))</x:f>
        <x:v>대상 아님</x:v>
      </x:c>
      <x:c r="AB2849" s="2" t="str">
        <x:v>2022-05-06 13:44 - 신청
2022-08-22 13:11 - 문서재제출요청
2022-09-07 13:51 - 신청
2022-12-23 14:20 - 문서재제출요청
2022-12-23 16:53 - 신청
2023-02-02 10:03 - 문서재제출요청
2023-02-02 10:46 - 신청
2023-03-15 12:54 - 검토승인
2023-03-24 15:32 - 심의승인</x:v>
      </x:c>
    </x:row>
    <x:row r="2850" ht="42" customHeight="1">
      <x:c r="A2850" s="2" t="str">
        <x:v>5fec52ac2de5e15230db1b89</x:v>
      </x:c>
      <x:c r="B2850" s="2" t="str">
        <x:v>감축량 인증</x:v>
      </x:c>
      <x:c r="C2850" s="2" t="str">
        <x:v>국외</x:v>
      </x:c>
      <x:c r="D2850" s="7" t="str">
        <x:v>Top Third Ventures사의 스토브 프로그램 CPA KE0002 -한국에서 케냐에 지원하는 BURN사의 효율적인 쿡스토</x:v>
      </x:c>
      <x:c r="E2850" s="2" t="str">
        <x:v>449</x:v>
      </x:c>
      <x:c r="F2850" s="2" t="str">
        <x:v>2022-05-06</x:v>
      </x:c>
      <x:c r="G2850" s="2" t="str">
        <x:v>2022</x:v>
      </x:c>
      <x:c r="H2850" s="2" t="str">
        <x:v>05</x:v>
      </x:c>
      <x:c r="I2850" s="2" t="str">
        <x:v>심의승인</x:v>
      </x:c>
      <x:c r="J2850" s="2" t="str">
        <x:v>심의승인</x:v>
      </x:c>
      <x:c r="K2850" s="2" t="str">
        <x:f>IF(OR(J2850="심의승인",J2850="반려",J2850="반려완료",J2850="심의완료"),"종결 표시",IF(OR(J2850="기후부협의",J2850="문서재제출요청",J2850="보류",J2850="보완요청",J2850="보완완료",J2850="평가중",J2850="반려요청",J2850="평가필요",LEFT(J2850,5)="보완요청("),"미종결 표시","상태 확인 필요"))</x:f>
        <x:v>종결 표시</x:v>
      </x:c>
      <x:c r="L2850" s="2" t="str">
        <x:v>KRIC</x:v>
      </x:c>
      <x:c r="M2850" s="2"/>
      <x:c r="N2850" s="8" t="n">
        <x:f>DATE(2026,10,15)-DATE(2022,5,6)</x:f>
        <x:v>1623</x:v>
      </x:c>
      <x:c r="O2850" s="2"/>
      <x:c r="P2850" s="2"/>
      <x:c r="Q2850" s="2" t="str">
        <x:v>산업전환_외부사업관리Tool_260707_이너젠 수정_LJY_261013.xlsx</x:v>
      </x:c>
      <x:c r="R2850" s="2" t="str">
        <x:v>국외인증</x:v>
      </x:c>
      <x:c r="S2850" s="8" t="n">
        <x:v>437</x:v>
      </x:c>
      <x:c r="T2850" s="2" t="str">
        <x:v>(5/18)(9/19)</x:v>
      </x:c>
      <x:c r="U2850" s="2" t="str">
        <x:v>2022 지정: (5/18)(9/19)</x:v>
      </x:c>
      <x:c r="V2850" s="2" t="str">
        <x:v>2023-03-24</x:v>
      </x:c>
      <x:c r="W2850" s="2" t="str"/>
      <x:c r="X2850" s="2" t="str">
        <x:v>종결 근거 보관</x:v>
      </x:c>
      <x:c r="Y2850" s="2" t="str">
        <x:v>ad210cd9ec132cfd447541c8984dc53d30aff0f4fb2dc92d254d49275cc55976</x:v>
      </x:c>
      <x:c r="Z2850" s="2" t="n">
        <x:f>SUBTOTAL(103,A2850)</x:f>
        <x:v>1</x:v>
      </x:c>
      <x:c r="AA2850" s="2" t="str">
        <x:f>IF(K2850&lt;&gt;"미종결 표시","대상 아님",IF(N2850="","신청일 확인",IF(NOT(ISNUMBER('종합 현황'!$H$5)),"관찰기준 확인",IF('종합 현황'!$H$5&lt;1,"관찰기준 확인",IF(N2850&gt;'종합 현황'!$H$5,"내부 관찰 대상","내부 관찰일 이하")))))</x:f>
        <x:v>대상 아님</x:v>
      </x:c>
      <x:c r="AB2850" s="2" t="str">
        <x:v>2022-05-06 17:30 - 신청
2022-08-22 11:26 - 문서재제출요청
2022-09-07 13:45 - 신청
2022-12-23 14:28 - 문서재제출요청
2022-12-23 17:00 - 신청
2023-02-02 10:06 - 문서재제출요청
2023-02-02 10:59 - 신청
2023-03-15 11:25 - 검토승인
2023-03-24 15:26 - 심의승인</x:v>
      </x:c>
    </x:row>
    <x:row r="2851" ht="42" customHeight="1">
      <x:c r="A2851" s="2" t="str">
        <x:v>53c4ebae9dbcd3a4dffe7005</x:v>
      </x:c>
      <x:c r="B2851" s="2" t="str">
        <x:v>감축량 인증</x:v>
      </x:c>
      <x:c r="C2851" s="2" t="str">
        <x:v>국외</x:v>
      </x:c>
      <x:c r="D2851" s="7" t="str">
        <x:v>Top Third Ventures사의 스토브 프로그램 CPA KE0003 -한국에서 케냐에 지원하는 BURN사의 효율적인 쿡스토</x:v>
      </x:c>
      <x:c r="E2851" s="2" t="str">
        <x:v>450</x:v>
      </x:c>
      <x:c r="F2851" s="2" t="str">
        <x:v>2022-05-06</x:v>
      </x:c>
      <x:c r="G2851" s="2" t="str">
        <x:v>2022</x:v>
      </x:c>
      <x:c r="H2851" s="2" t="str">
        <x:v>05</x:v>
      </x:c>
      <x:c r="I2851" s="2" t="str">
        <x:v>심의승인</x:v>
      </x:c>
      <x:c r="J2851" s="2" t="str">
        <x:v>심의승인</x:v>
      </x:c>
      <x:c r="K2851" s="2" t="str">
        <x:f>IF(OR(J2851="심의승인",J2851="반려",J2851="반려완료",J2851="심의완료"),"종결 표시",IF(OR(J2851="기후부협의",J2851="문서재제출요청",J2851="보류",J2851="보완요청",J2851="보완완료",J2851="평가중",J2851="반려요청",J2851="평가필요",LEFT(J2851,5)="보완요청("),"미종결 표시","상태 확인 필요"))</x:f>
        <x:v>종결 표시</x:v>
      </x:c>
      <x:c r="L2851" s="2" t="str">
        <x:v>KRIC</x:v>
      </x:c>
      <x:c r="M2851" s="2"/>
      <x:c r="N2851" s="8" t="n">
        <x:f>DATE(2026,10,15)-DATE(2022,5,6)</x:f>
        <x:v>1623</x:v>
      </x:c>
      <x:c r="O2851" s="2"/>
      <x:c r="P2851" s="2"/>
      <x:c r="Q2851" s="2" t="str">
        <x:v>산업전환_외부사업관리Tool_260707_이너젠 수정_LJY_261013.xlsx</x:v>
      </x:c>
      <x:c r="R2851" s="2" t="str">
        <x:v>국외인증</x:v>
      </x:c>
      <x:c r="S2851" s="8" t="n">
        <x:v>438</x:v>
      </x:c>
      <x:c r="T2851" s="2" t="str">
        <x:v>(5/18)(9/19)</x:v>
      </x:c>
      <x:c r="U2851" s="2" t="str">
        <x:v>2022 지정: (5/18)(9/19)</x:v>
      </x:c>
      <x:c r="V2851" s="2" t="str">
        <x:v>2023-03-24</x:v>
      </x:c>
      <x:c r="W2851" s="2" t="str"/>
      <x:c r="X2851" s="2" t="str">
        <x:v>종결 근거 보관</x:v>
      </x:c>
      <x:c r="Y2851" s="2" t="str">
        <x:v>ad210cd9ec132cfd447541c8984dc53d30aff0f4fb2dc92d254d49275cc55976</x:v>
      </x:c>
      <x:c r="Z2851" s="2" t="n">
        <x:f>SUBTOTAL(103,A2851)</x:f>
        <x:v>1</x:v>
      </x:c>
      <x:c r="AA2851" s="2" t="str">
        <x:f>IF(K2851&lt;&gt;"미종결 표시","대상 아님",IF(N2851="","신청일 확인",IF(NOT(ISNUMBER('종합 현황'!$H$5)),"관찰기준 확인",IF('종합 현황'!$H$5&lt;1,"관찰기준 확인",IF(N2851&gt;'종합 현황'!$H$5,"내부 관찰 대상","내부 관찰일 이하")))))</x:f>
        <x:v>대상 아님</x:v>
      </x:c>
      <x:c r="AB2851" s="2" t="str">
        <x:v>2022-05-06 17:31 - 신청
2022-08-22 11:28 - 문서재제출요청
2022-09-07 13:46 - 신청
2022-12-20 09:35 - 문서재제출요청
2022-12-20 10:00 - 신청
2022-12-23 14:18 - 문서재제출요청
2022-12-23 17:03 - 신청
2023-02-02 09:56 - 문서재제출요청
2023-02-02 11:01 - 신청
2023-03-15 11:27 - 검토승인
2023-03-24 15:27 - 심의승인</x:v>
      </x:c>
    </x:row>
    <x:row r="2852" ht="42" customHeight="1">
      <x:c r="A2852" s="2" t="str">
        <x:v>5795d897737607e2e30d8f32</x:v>
      </x:c>
      <x:c r="B2852" s="2" t="str">
        <x:v>감축량 인증</x:v>
      </x:c>
      <x:c r="C2852" s="2" t="str">
        <x:v>국외</x:v>
      </x:c>
      <x:c r="D2852" s="7" t="str">
        <x:v>Top Third Ventures사의 스토브 프로그램 CPA KE0004 -한국에서 케냐에 지원하는 BURN사의 효율적인 쿡스토</x:v>
      </x:c>
      <x:c r="E2852" s="2" t="str">
        <x:v>451</x:v>
      </x:c>
      <x:c r="F2852" s="2" t="str">
        <x:v>2022-05-06</x:v>
      </x:c>
      <x:c r="G2852" s="2" t="str">
        <x:v>2022</x:v>
      </x:c>
      <x:c r="H2852" s="2" t="str">
        <x:v>05</x:v>
      </x:c>
      <x:c r="I2852" s="2" t="str">
        <x:v>심의승인</x:v>
      </x:c>
      <x:c r="J2852" s="2" t="str">
        <x:v>심의승인</x:v>
      </x:c>
      <x:c r="K2852" s="2" t="str">
        <x:f>IF(OR(J2852="심의승인",J2852="반려",J2852="반려완료",J2852="심의완료"),"종결 표시",IF(OR(J2852="기후부협의",J2852="문서재제출요청",J2852="보류",J2852="보완요청",J2852="보완완료",J2852="평가중",J2852="반려요청",J2852="평가필요",LEFT(J2852,5)="보완요청("),"미종결 표시","상태 확인 필요"))</x:f>
        <x:v>종결 표시</x:v>
      </x:c>
      <x:c r="L2852" s="2" t="str">
        <x:v>KRIC</x:v>
      </x:c>
      <x:c r="M2852" s="2"/>
      <x:c r="N2852" s="8" t="n">
        <x:f>DATE(2026,10,15)-DATE(2022,5,6)</x:f>
        <x:v>1623</x:v>
      </x:c>
      <x:c r="O2852" s="2"/>
      <x:c r="P2852" s="2"/>
      <x:c r="Q2852" s="2" t="str">
        <x:v>산업전환_외부사업관리Tool_260707_이너젠 수정_LJY_261013.xlsx</x:v>
      </x:c>
      <x:c r="R2852" s="2" t="str">
        <x:v>국외인증</x:v>
      </x:c>
      <x:c r="S2852" s="8" t="n">
        <x:v>439</x:v>
      </x:c>
      <x:c r="T2852" s="2" t="str">
        <x:v>(5/18)(9/19)</x:v>
      </x:c>
      <x:c r="U2852" s="2" t="str">
        <x:v>2022 지정: (5/18)(9/19)</x:v>
      </x:c>
      <x:c r="V2852" s="2" t="str">
        <x:v>2023-03-24</x:v>
      </x:c>
      <x:c r="W2852" s="2" t="str"/>
      <x:c r="X2852" s="2" t="str">
        <x:v>종결 근거 보관</x:v>
      </x:c>
      <x:c r="Y2852" s="2" t="str">
        <x:v>ad210cd9ec132cfd447541c8984dc53d30aff0f4fb2dc92d254d49275cc55976</x:v>
      </x:c>
      <x:c r="Z2852" s="2" t="n">
        <x:f>SUBTOTAL(103,A2852)</x:f>
        <x:v>1</x:v>
      </x:c>
      <x:c r="AA2852" s="2" t="str">
        <x:f>IF(K2852&lt;&gt;"미종결 표시","대상 아님",IF(N2852="","신청일 확인",IF(NOT(ISNUMBER('종합 현황'!$H$5)),"관찰기준 확인",IF('종합 현황'!$H$5&lt;1,"관찰기준 확인",IF(N2852&gt;'종합 현황'!$H$5,"내부 관찰 대상","내부 관찰일 이하")))))</x:f>
        <x:v>대상 아님</x:v>
      </x:c>
      <x:c r="AB2852" s="2" t="str">
        <x:v>2022-05-06 17:32 - 신청
2022-08-22 11:29 - 문서재제출요청
2022-09-07 13:47 - 신청
2022-12-23 14:26 - 문서재제출요청
2022-12-23 17:06 - 신청
2023-02-02 09:57 - 문서재제출요청
2023-02-02 11:02 - 신청
2023-03-15 11:30 - 검토승인
2023-03-24 15:27 - 심의승인</x:v>
      </x:c>
    </x:row>
    <x:row r="2853" ht="42" customHeight="1">
      <x:c r="A2853" s="2" t="str">
        <x:v>c87aa4eab36c186ccb115115</x:v>
      </x:c>
      <x:c r="B2853" s="2" t="str">
        <x:v>감축량 인증</x:v>
      </x:c>
      <x:c r="C2853" s="2" t="str">
        <x:v>국외</x:v>
      </x:c>
      <x:c r="D2853" s="7" t="str">
        <x:v>서하남 사막 이남의 아프리카-말라위에 향상된 쿡스토브 보급 CPA-006사업</x:v>
      </x:c>
      <x:c r="E2853" s="2" t="str">
        <x:v>438</x:v>
      </x:c>
      <x:c r="F2853" s="2" t="str">
        <x:v>2022-04-26</x:v>
      </x:c>
      <x:c r="G2853" s="2" t="str">
        <x:v>2022</x:v>
      </x:c>
      <x:c r="H2853" s="2" t="str">
        <x:v>04</x:v>
      </x:c>
      <x:c r="I2853" s="2" t="str">
        <x:v>심의승인</x:v>
      </x:c>
      <x:c r="J2853" s="2" t="str">
        <x:v>심의승인</x:v>
      </x:c>
      <x:c r="K2853" s="2" t="str">
        <x:f>IF(OR(J2853="심의승인",J2853="반려",J2853="반려완료",J2853="심의완료"),"종결 표시",IF(OR(J2853="기후부협의",J2853="문서재제출요청",J2853="보류",J2853="보완요청",J2853="보완완료",J2853="평가중",J2853="반려요청",J2853="평가필요",LEFT(J2853,5)="보완요청("),"미종결 표시","상태 확인 필요"))</x:f>
        <x:v>종결 표시</x:v>
      </x:c>
      <x:c r="L2853" s="2" t="str">
        <x:v>KRIC</x:v>
      </x:c>
      <x:c r="M2853" s="2"/>
      <x:c r="N2853" s="8" t="n">
        <x:f>DATE(2026,10,15)-DATE(2022,4,26)</x:f>
        <x:v>1633</x:v>
      </x:c>
      <x:c r="O2853" s="2"/>
      <x:c r="P2853" s="2"/>
      <x:c r="Q2853" s="2" t="str">
        <x:v>산업전환_외부사업관리Tool_260707_이너젠 수정_LJY_261013.xlsx</x:v>
      </x:c>
      <x:c r="R2853" s="2" t="str">
        <x:v>국외인증</x:v>
      </x:c>
      <x:c r="S2853" s="8" t="n">
        <x:v>440</x:v>
      </x:c>
      <x:c r="T2853" s="2" t="str">
        <x:v>(5/18)</x:v>
      </x:c>
      <x:c r="U2853" s="2" t="str">
        <x:v>2022 지정: (5/18)</x:v>
      </x:c>
      <x:c r="V2853" s="2" t="str">
        <x:v>2022-12-28</x:v>
      </x:c>
      <x:c r="W2853" s="2" t="str"/>
      <x:c r="X2853" s="2" t="str">
        <x:v>종결 근거 보관</x:v>
      </x:c>
      <x:c r="Y2853" s="2" t="str">
        <x:v>ad210cd9ec132cfd447541c8984dc53d30aff0f4fb2dc92d254d49275cc55976</x:v>
      </x:c>
      <x:c r="Z2853" s="2" t="n">
        <x:f>SUBTOTAL(103,A2853)</x:f>
        <x:v>1</x:v>
      </x:c>
      <x:c r="AA2853" s="2" t="str">
        <x:f>IF(K2853&lt;&gt;"미종결 표시","대상 아님",IF(N2853="","신청일 확인",IF(NOT(ISNUMBER('종합 현황'!$H$5)),"관찰기준 확인",IF('종합 현황'!$H$5&lt;1,"관찰기준 확인",IF(N2853&gt;'종합 현황'!$H$5,"내부 관찰 대상","내부 관찰일 이하")))))</x:f>
        <x:v>대상 아님</x:v>
      </x:c>
      <x:c r="AB2853" s="2" t="str">
        <x:v>2022-04-26 18:53 - 신청
2022-07-18 15:55 - 보완요청
2022-08-12 14:38 - 신청
2022-08-22 16:32 - 문서재제출요청
2022-08-22 16:41 - 신청
2022-08-24 13:11 - 문서재제출요청
2022-08-24 16:27 - 신청
2022-08-30 11:35 - 문서재제출요청
2022-08-31 09:11 - 신청
2022-08-31 09:34 - 문서재제출요청
2022-08-31 09:39 - 신청
2022-09-19 17:05 - 문서재제출요청
2022-09-19 17:27 - 신청
2022-12-21 17:38 - 검토승인
2022-12-28 16:18 - 심의승인</x:v>
      </x:c>
    </x:row>
    <x:row r="2854" ht="42" customHeight="1">
      <x:c r="A2854" s="2" t="str">
        <x:v>8fa70d2aec366af732adb755</x:v>
      </x:c>
      <x:c r="B2854" s="2" t="str">
        <x:v>감축량 인증</x:v>
      </x:c>
      <x:c r="C2854" s="2" t="str">
        <x:v>국외</x:v>
      </x:c>
      <x:c r="D2854" s="7" t="str">
        <x:v>라오스 가정용 스토브 보급-CPA003</x:v>
      </x:c>
      <x:c r="E2854" s="2" t="str">
        <x:v>439</x:v>
      </x:c>
      <x:c r="F2854" s="2" t="str">
        <x:v>2022-04-28</x:v>
      </x:c>
      <x:c r="G2854" s="2" t="str">
        <x:v>2022</x:v>
      </x:c>
      <x:c r="H2854" s="2" t="str">
        <x:v>04</x:v>
      </x:c>
      <x:c r="I2854" s="2" t="str">
        <x:v>심의승인</x:v>
      </x:c>
      <x:c r="J2854" s="2" t="str">
        <x:v>심의승인</x:v>
      </x:c>
      <x:c r="K2854" s="2" t="str">
        <x:f>IF(OR(J2854="심의승인",J2854="반려",J2854="반려완료",J2854="심의완료"),"종결 표시",IF(OR(J2854="기후부협의",J2854="문서재제출요청",J2854="보류",J2854="보완요청",J2854="보완완료",J2854="평가중",J2854="반려요청",J2854="평가필요",LEFT(J2854,5)="보완요청("),"미종결 표시","상태 확인 필요"))</x:f>
        <x:v>종결 표시</x:v>
      </x:c>
      <x:c r="L2854" s="2" t="str">
        <x:v>KRIC</x:v>
      </x:c>
      <x:c r="M2854" s="2"/>
      <x:c r="N2854" s="8" t="n">
        <x:f>DATE(2026,10,15)-DATE(2022,4,28)</x:f>
        <x:v>1631</x:v>
      </x:c>
      <x:c r="O2854" s="2"/>
      <x:c r="P2854" s="2"/>
      <x:c r="Q2854" s="2" t="str">
        <x:v>산업전환_외부사업관리Tool_260707_이너젠 수정_LJY_261013.xlsx</x:v>
      </x:c>
      <x:c r="R2854" s="2" t="str">
        <x:v>국외인증</x:v>
      </x:c>
      <x:c r="S2854" s="8" t="n">
        <x:v>441</x:v>
      </x:c>
      <x:c r="T2854" s="2" t="str">
        <x:v>(5/18)</x:v>
      </x:c>
      <x:c r="U2854" s="2" t="str">
        <x:v>2022 지정: (5/18)</x:v>
      </x:c>
      <x:c r="V2854" s="2" t="str">
        <x:v>2022-12-28</x:v>
      </x:c>
      <x:c r="W2854" s="2" t="str"/>
      <x:c r="X2854" s="2" t="str">
        <x:v>종결 근거 보관</x:v>
      </x:c>
      <x:c r="Y2854" s="2" t="str">
        <x:v>ad210cd9ec132cfd447541c8984dc53d30aff0f4fb2dc92d254d49275cc55976</x:v>
      </x:c>
      <x:c r="Z2854" s="2" t="n">
        <x:f>SUBTOTAL(103,A2854)</x:f>
        <x:v>1</x:v>
      </x:c>
      <x:c r="AA2854" s="2" t="str">
        <x:f>IF(K2854&lt;&gt;"미종결 표시","대상 아님",IF(N2854="","신청일 확인",IF(NOT(ISNUMBER('종합 현황'!$H$5)),"관찰기준 확인",IF('종합 현황'!$H$5&lt;1,"관찰기준 확인",IF(N2854&gt;'종합 현황'!$H$5,"내부 관찰 대상","내부 관찰일 이하")))))</x:f>
        <x:v>대상 아님</x:v>
      </x:c>
      <x:c r="AB2854" s="2" t="str">
        <x:v>2022-04-28 09:21 - 접수
2022-04-28 10:35 - 신청
2022-08-22 09:10 - 문서재제출요청
2022-08-22 13:44 - 접수
2022-08-22 17:22 - 신청
2022-12-21 17:32 - 검토승인
2022-12-28 16:19 - 심의승인</x:v>
      </x:c>
    </x:row>
    <x:row r="2855" ht="42" customHeight="1">
      <x:c r="A2855" s="2" t="str">
        <x:v>ba286989cd17153589f1580a</x:v>
      </x:c>
      <x:c r="B2855" s="2" t="str">
        <x:v>감축량 인증</x:v>
      </x:c>
      <x:c r="C2855" s="2" t="str">
        <x:v>국외</x:v>
      </x:c>
      <x:c r="D2855" s="7" t="str">
        <x:v>캄보디아 가정용 스토브 보급-CPA004</x:v>
      </x:c>
      <x:c r="E2855" s="2" t="str">
        <x:v>440</x:v>
      </x:c>
      <x:c r="F2855" s="2" t="str">
        <x:v>2022-04-28</x:v>
      </x:c>
      <x:c r="G2855" s="2" t="str">
        <x:v>2022</x:v>
      </x:c>
      <x:c r="H2855" s="2" t="str">
        <x:v>04</x:v>
      </x:c>
      <x:c r="I2855" s="2" t="str">
        <x:v>심의승인</x:v>
      </x:c>
      <x:c r="J2855" s="2" t="str">
        <x:v>심의승인</x:v>
      </x:c>
      <x:c r="K2855" s="2" t="str">
        <x:f>IF(OR(J2855="심의승인",J2855="반려",J2855="반려완료",J2855="심의완료"),"종결 표시",IF(OR(J2855="기후부협의",J2855="문서재제출요청",J2855="보류",J2855="보완요청",J2855="보완완료",J2855="평가중",J2855="반려요청",J2855="평가필요",LEFT(J2855,5)="보완요청("),"미종결 표시","상태 확인 필요"))</x:f>
        <x:v>종결 표시</x:v>
      </x:c>
      <x:c r="L2855" s="2" t="str">
        <x:v>KRIC</x:v>
      </x:c>
      <x:c r="M2855" s="2"/>
      <x:c r="N2855" s="8" t="n">
        <x:f>DATE(2026,10,15)-DATE(2022,4,28)</x:f>
        <x:v>1631</x:v>
      </x:c>
      <x:c r="O2855" s="2"/>
      <x:c r="P2855" s="2"/>
      <x:c r="Q2855" s="2" t="str">
        <x:v>산업전환_외부사업관리Tool_260707_이너젠 수정_LJY_261013.xlsx</x:v>
      </x:c>
      <x:c r="R2855" s="2" t="str">
        <x:v>국외인증</x:v>
      </x:c>
      <x:c r="S2855" s="8" t="n">
        <x:v>442</x:v>
      </x:c>
      <x:c r="T2855" s="2" t="str">
        <x:v>(5/18)</x:v>
      </x:c>
      <x:c r="U2855" s="2" t="str">
        <x:v>2022 지정: (5/18)</x:v>
      </x:c>
      <x:c r="V2855" s="2" t="str">
        <x:v>2022-12-28</x:v>
      </x:c>
      <x:c r="W2855" s="2" t="str"/>
      <x:c r="X2855" s="2" t="str">
        <x:v>종결 근거 보관</x:v>
      </x:c>
      <x:c r="Y2855" s="2" t="str">
        <x:v>ad210cd9ec132cfd447541c8984dc53d30aff0f4fb2dc92d254d49275cc55976</x:v>
      </x:c>
      <x:c r="Z2855" s="2" t="n">
        <x:f>SUBTOTAL(103,A2855)</x:f>
        <x:v>1</x:v>
      </x:c>
      <x:c r="AA2855" s="2" t="str">
        <x:f>IF(K2855&lt;&gt;"미종결 표시","대상 아님",IF(N2855="","신청일 확인",IF(NOT(ISNUMBER('종합 현황'!$H$5)),"관찰기준 확인",IF('종합 현황'!$H$5&lt;1,"관찰기준 확인",IF(N2855&gt;'종합 현황'!$H$5,"내부 관찰 대상","내부 관찰일 이하")))))</x:f>
        <x:v>대상 아님</x:v>
      </x:c>
      <x:c r="AB2855" s="2" t="str">
        <x:v>2022-04-28 09:22 - 접수
2022-04-28 10:35 - 신청
2022-08-22 09:12 - 문서재제출요청
2022-08-22 13:45 - 접수
2022-08-22 17:22 - 신청
2022-12-21 17:47 - 검토승인
2022-12-28 16:03 - 심의승인</x:v>
      </x:c>
    </x:row>
    <x:row r="2856" ht="42" customHeight="1">
      <x:c r="A2856" s="2" t="str">
        <x:v>43cf3406cae9e1c7a352a1aa</x:v>
      </x:c>
      <x:c r="B2856" s="2" t="str">
        <x:v>감축량 인증</x:v>
      </x:c>
      <x:c r="C2856" s="2" t="str">
        <x:v>국외</x:v>
      </x:c>
      <x:c r="D2856" s="7" t="str">
        <x:v>서하남 사막 이남의 아프리카-잠비아에 향상된 쿡스토브 보급 CPA-007 사업</x:v>
      </x:c>
      <x:c r="E2856" s="2" t="str">
        <x:v>441</x:v>
      </x:c>
      <x:c r="F2856" s="2" t="str">
        <x:v>2022-04-29</x:v>
      </x:c>
      <x:c r="G2856" s="2" t="str">
        <x:v>2022</x:v>
      </x:c>
      <x:c r="H2856" s="2" t="str">
        <x:v>04</x:v>
      </x:c>
      <x:c r="I2856" s="2" t="str">
        <x:v>심의승인</x:v>
      </x:c>
      <x:c r="J2856" s="2" t="str">
        <x:v>심의승인</x:v>
      </x:c>
      <x:c r="K2856" s="2" t="str">
        <x:f>IF(OR(J2856="심의승인",J2856="반려",J2856="반려완료",J2856="심의완료"),"종결 표시",IF(OR(J2856="기후부협의",J2856="문서재제출요청",J2856="보류",J2856="보완요청",J2856="보완완료",J2856="평가중",J2856="반려요청",J2856="평가필요",LEFT(J2856,5)="보완요청("),"미종결 표시","상태 확인 필요"))</x:f>
        <x:v>종결 표시</x:v>
      </x:c>
      <x:c r="L2856" s="2" t="str">
        <x:v>KRIC</x:v>
      </x:c>
      <x:c r="M2856" s="2"/>
      <x:c r="N2856" s="8" t="n">
        <x:f>DATE(2026,10,15)-DATE(2022,4,29)</x:f>
        <x:v>1630</x:v>
      </x:c>
      <x:c r="O2856" s="2"/>
      <x:c r="P2856" s="2"/>
      <x:c r="Q2856" s="2" t="str">
        <x:v>산업전환_외부사업관리Tool_260707_이너젠 수정_LJY_261013.xlsx</x:v>
      </x:c>
      <x:c r="R2856" s="2" t="str">
        <x:v>국외인증</x:v>
      </x:c>
      <x:c r="S2856" s="8" t="n">
        <x:v>443</x:v>
      </x:c>
      <x:c r="T2856" s="2" t="str">
        <x:v>(5/18)(9/19)</x:v>
      </x:c>
      <x:c r="U2856" s="2" t="str">
        <x:v>2022 지정: (5/18)(9/19)</x:v>
      </x:c>
      <x:c r="V2856" s="2" t="str">
        <x:v>2022-12-28</x:v>
      </x:c>
      <x:c r="W2856" s="2" t="str"/>
      <x:c r="X2856" s="2" t="str">
        <x:v>종결 근거 보관</x:v>
      </x:c>
      <x:c r="Y2856" s="2" t="str">
        <x:v>ad210cd9ec132cfd447541c8984dc53d30aff0f4fb2dc92d254d49275cc55976</x:v>
      </x:c>
      <x:c r="Z2856" s="2" t="n">
        <x:f>SUBTOTAL(103,A2856)</x:f>
        <x:v>1</x:v>
      </x:c>
      <x:c r="AA2856" s="2" t="str">
        <x:f>IF(K2856&lt;&gt;"미종결 표시","대상 아님",IF(N2856="","신청일 확인",IF(NOT(ISNUMBER('종합 현황'!$H$5)),"관찰기준 확인",IF('종합 현황'!$H$5&lt;1,"관찰기준 확인",IF(N2856&gt;'종합 현황'!$H$5,"내부 관찰 대상","내부 관찰일 이하")))))</x:f>
        <x:v>대상 아님</x:v>
      </x:c>
      <x:c r="AB2856" s="2" t="str">
        <x:v>2022-04-29 00:28 - 신청
2022-08-11 17:50 - 문서재제출요청
2022-08-16 11:07 - 신청
2022-08-24 13:12 - 문서재제출요청
2022-08-24 16:18 - 신청
2022-11-15 08:44 - 문서재제출요청
2022-11-16 09:29 - 신청
2022-11-16 09:31 - 문서재제출요청
2022-11-16 09:33 - 신청
2022-11-16 19:15 - 문서재제출요청
2022-11-16 19:33 - 신청
2022-12-21 17:41 - 검토승인
2022-12-28 16:15 - 심의승인</x:v>
      </x:c>
    </x:row>
    <x:row r="2857" ht="42" customHeight="1">
      <x:c r="A2857" s="2" t="str">
        <x:v>cb03a560cc9c3e381c973c23</x:v>
      </x:c>
      <x:c r="B2857" s="2" t="str">
        <x:v>감축량 인증</x:v>
      </x:c>
      <x:c r="C2857" s="2" t="str">
        <x:v>국외</x:v>
      </x:c>
      <x:c r="D2857" s="7" t="str">
        <x:v>Top Third Ventures사의 스토브 프로그램 CPA KE0005 -한국에서 케냐에 지원하는 BURN사의 효율적인 쿡스토</x:v>
      </x:c>
      <x:c r="E2857" s="2" t="str">
        <x:v>452</x:v>
      </x:c>
      <x:c r="F2857" s="2" t="str">
        <x:v>2022-05-06</x:v>
      </x:c>
      <x:c r="G2857" s="2" t="str">
        <x:v>2022</x:v>
      </x:c>
      <x:c r="H2857" s="2" t="str">
        <x:v>05</x:v>
      </x:c>
      <x:c r="I2857" s="2" t="str">
        <x:v>심의승인</x:v>
      </x:c>
      <x:c r="J2857" s="2" t="str">
        <x:v>심의승인</x:v>
      </x:c>
      <x:c r="K2857" s="2" t="str">
        <x:f>IF(OR(J2857="심의승인",J2857="반려",J2857="반려완료",J2857="심의완료"),"종결 표시",IF(OR(J2857="기후부협의",J2857="문서재제출요청",J2857="보류",J2857="보완요청",J2857="보완완료",J2857="평가중",J2857="반려요청",J2857="평가필요",LEFT(J2857,5)="보완요청("),"미종결 표시","상태 확인 필요"))</x:f>
        <x:v>종결 표시</x:v>
      </x:c>
      <x:c r="L2857" s="2" t="str">
        <x:v>KRIC</x:v>
      </x:c>
      <x:c r="M2857" s="2"/>
      <x:c r="N2857" s="8" t="n">
        <x:f>DATE(2026,10,15)-DATE(2022,5,6)</x:f>
        <x:v>1623</x:v>
      </x:c>
      <x:c r="O2857" s="2"/>
      <x:c r="P2857" s="2"/>
      <x:c r="Q2857" s="2" t="str">
        <x:v>산업전환_외부사업관리Tool_260707_이너젠 수정_LJY_261013.xlsx</x:v>
      </x:c>
      <x:c r="R2857" s="2" t="str">
        <x:v>국외인증</x:v>
      </x:c>
      <x:c r="S2857" s="8" t="n">
        <x:v>444</x:v>
      </x:c>
      <x:c r="T2857" s="2" t="str">
        <x:v>(5/18)(9/19)</x:v>
      </x:c>
      <x:c r="U2857" s="2" t="str">
        <x:v>2022 지정: (5/18)(9/19)</x:v>
      </x:c>
      <x:c r="V2857" s="2" t="str">
        <x:v>2023-03-24</x:v>
      </x:c>
      <x:c r="W2857" s="2" t="str"/>
      <x:c r="X2857" s="2" t="str">
        <x:v>종결 근거 보관</x:v>
      </x:c>
      <x:c r="Y2857" s="2" t="str">
        <x:v>ad210cd9ec132cfd447541c8984dc53d30aff0f4fb2dc92d254d49275cc55976</x:v>
      </x:c>
      <x:c r="Z2857" s="2" t="n">
        <x:f>SUBTOTAL(103,A2857)</x:f>
        <x:v>1</x:v>
      </x:c>
      <x:c r="AA2857" s="2" t="str">
        <x:f>IF(K2857&lt;&gt;"미종결 표시","대상 아님",IF(N2857="","신청일 확인",IF(NOT(ISNUMBER('종합 현황'!$H$5)),"관찰기준 확인",IF('종합 현황'!$H$5&lt;1,"관찰기준 확인",IF(N2857&gt;'종합 현황'!$H$5,"내부 관찰 대상","내부 관찰일 이하")))))</x:f>
        <x:v>대상 아님</x:v>
      </x:c>
      <x:c r="AB2857" s="2" t="str">
        <x:v>2022-05-06 17:33 - 신청
2022-08-22 11:30 - 문서재제출요청
2022-09-07 13:48 - 신청
2022-12-23 14:25 - 문서재제출요청
2022-12-23 17:08 - 신청
2023-02-02 09:58 - 문서재제출요청
2023-02-02 11:03 - 신청
2023-03-15 11:32 - 검토승인
2023-03-24 15:28 - 심의승인</x:v>
      </x:c>
    </x:row>
    <x:row r="2858" ht="42" customHeight="1">
      <x:c r="A2858" s="2" t="str">
        <x:v>0f4ef96c8928fb60b32b74ce</x:v>
      </x:c>
      <x:c r="B2858" s="2" t="str">
        <x:v>감축량 인증</x:v>
      </x:c>
      <x:c r="C2858" s="2" t="str">
        <x:v>국외</x:v>
      </x:c>
      <x:c r="D2858" s="7" t="str">
        <x:v>Top Third Ventures사의 스토브 프로그램 CPA KE0006 -한국에서 케냐에 지원하는 BURN사의 효율적인 쿡스토</x:v>
      </x:c>
      <x:c r="E2858" s="2" t="str">
        <x:v>453</x:v>
      </x:c>
      <x:c r="F2858" s="2" t="str">
        <x:v>2022-05-06</x:v>
      </x:c>
      <x:c r="G2858" s="2" t="str">
        <x:v>2022</x:v>
      </x:c>
      <x:c r="H2858" s="2" t="str">
        <x:v>05</x:v>
      </x:c>
      <x:c r="I2858" s="2" t="str">
        <x:v>심의승인</x:v>
      </x:c>
      <x:c r="J2858" s="2" t="str">
        <x:v>심의승인</x:v>
      </x:c>
      <x:c r="K2858" s="2" t="str">
        <x:f>IF(OR(J2858="심의승인",J2858="반려",J2858="반려완료",J2858="심의완료"),"종결 표시",IF(OR(J2858="기후부협의",J2858="문서재제출요청",J2858="보류",J2858="보완요청",J2858="보완완료",J2858="평가중",J2858="반려요청",J2858="평가필요",LEFT(J2858,5)="보완요청("),"미종결 표시","상태 확인 필요"))</x:f>
        <x:v>종결 표시</x:v>
      </x:c>
      <x:c r="L2858" s="2" t="str">
        <x:v>KRIC</x:v>
      </x:c>
      <x:c r="M2858" s="2"/>
      <x:c r="N2858" s="8" t="n">
        <x:f>DATE(2026,10,15)-DATE(2022,5,6)</x:f>
        <x:v>1623</x:v>
      </x:c>
      <x:c r="O2858" s="2"/>
      <x:c r="P2858" s="2"/>
      <x:c r="Q2858" s="2" t="str">
        <x:v>산업전환_외부사업관리Tool_260707_이너젠 수정_LJY_261013.xlsx</x:v>
      </x:c>
      <x:c r="R2858" s="2" t="str">
        <x:v>국외인증</x:v>
      </x:c>
      <x:c r="S2858" s="8" t="n">
        <x:v>445</x:v>
      </x:c>
      <x:c r="T2858" s="2" t="str">
        <x:v>(5/18)(9/19)</x:v>
      </x:c>
      <x:c r="U2858" s="2" t="str">
        <x:v>2022 지정: (5/18)(9/19)</x:v>
      </x:c>
      <x:c r="V2858" s="2" t="str">
        <x:v>2023-03-24</x:v>
      </x:c>
      <x:c r="W2858" s="2" t="str"/>
      <x:c r="X2858" s="2" t="str">
        <x:v>종결 근거 보관</x:v>
      </x:c>
      <x:c r="Y2858" s="2" t="str">
        <x:v>ad210cd9ec132cfd447541c8984dc53d30aff0f4fb2dc92d254d49275cc55976</x:v>
      </x:c>
      <x:c r="Z2858" s="2" t="n">
        <x:f>SUBTOTAL(103,A2858)</x:f>
        <x:v>1</x:v>
      </x:c>
      <x:c r="AA2858" s="2" t="str">
        <x:f>IF(K2858&lt;&gt;"미종결 표시","대상 아님",IF(N2858="","신청일 확인",IF(NOT(ISNUMBER('종합 현황'!$H$5)),"관찰기준 확인",IF('종합 현황'!$H$5&lt;1,"관찰기준 확인",IF(N2858&gt;'종합 현황'!$H$5,"내부 관찰 대상","내부 관찰일 이하")))))</x:f>
        <x:v>대상 아님</x:v>
      </x:c>
      <x:c r="AB2858" s="2" t="str">
        <x:v>2022-05-06 17:34 - 신청
2022-08-22 13:09 - 문서재제출요청
2022-09-07 13:49 - 신청
2022-12-23 14:23 - 문서재제출요청
2022-12-23 17:11 - 신청
2023-02-02 09:59 - 문서재제출요청
2023-02-02 11:04 - 신청
2023-03-15 12:51 - 검토승인
2023-03-24 15:28 - 심의승인</x:v>
      </x:c>
    </x:row>
    <x:row r="2859" ht="42" customHeight="1">
      <x:c r="A2859" s="2" t="str">
        <x:v>9b2671e714270daee623f656</x:v>
      </x:c>
      <x:c r="B2859" s="2" t="str">
        <x:v>감축량 인증</x:v>
      </x:c>
      <x:c r="C2859" s="2" t="str">
        <x:v>국외</x:v>
      </x:c>
      <x:c r="D2859" s="7" t="str">
        <x:v>Top Third Ventures사의 스토브 프로그램 CPA KE0007 -한국에서 케냐에 지원하는 BURN사의 효율적인 쿡스토</x:v>
      </x:c>
      <x:c r="E2859" s="2" t="str">
        <x:v>454</x:v>
      </x:c>
      <x:c r="F2859" s="2" t="str">
        <x:v>2022-05-06</x:v>
      </x:c>
      <x:c r="G2859" s="2" t="str">
        <x:v>2022</x:v>
      </x:c>
      <x:c r="H2859" s="2" t="str">
        <x:v>05</x:v>
      </x:c>
      <x:c r="I2859" s="2" t="str">
        <x:v>심의승인</x:v>
      </x:c>
      <x:c r="J2859" s="2" t="str">
        <x:v>심의승인</x:v>
      </x:c>
      <x:c r="K2859" s="2" t="str">
        <x:f>IF(OR(J2859="심의승인",J2859="반려",J2859="반려완료",J2859="심의완료"),"종결 표시",IF(OR(J2859="기후부협의",J2859="문서재제출요청",J2859="보류",J2859="보완요청",J2859="보완완료",J2859="평가중",J2859="반려요청",J2859="평가필요",LEFT(J2859,5)="보완요청("),"미종결 표시","상태 확인 필요"))</x:f>
        <x:v>종결 표시</x:v>
      </x:c>
      <x:c r="L2859" s="2" t="str">
        <x:v>KRIC</x:v>
      </x:c>
      <x:c r="M2859" s="2"/>
      <x:c r="N2859" s="8" t="n">
        <x:f>DATE(2026,10,15)-DATE(2022,5,6)</x:f>
        <x:v>1623</x:v>
      </x:c>
      <x:c r="O2859" s="2"/>
      <x:c r="P2859" s="2"/>
      <x:c r="Q2859" s="2" t="str">
        <x:v>산업전환_외부사업관리Tool_260707_이너젠 수정_LJY_261013.xlsx</x:v>
      </x:c>
      <x:c r="R2859" s="2" t="str">
        <x:v>국외인증</x:v>
      </x:c>
      <x:c r="S2859" s="8" t="n">
        <x:v>446</x:v>
      </x:c>
      <x:c r="T2859" s="2" t="str">
        <x:v>(5/18)(9/19)</x:v>
      </x:c>
      <x:c r="U2859" s="2" t="str">
        <x:v>2022 지정: (5/18)(9/19)</x:v>
      </x:c>
      <x:c r="V2859" s="2" t="str">
        <x:v>2023-03-24</x:v>
      </x:c>
      <x:c r="W2859" s="2" t="str"/>
      <x:c r="X2859" s="2" t="str">
        <x:v>종결 근거 보관</x:v>
      </x:c>
      <x:c r="Y2859" s="2" t="str">
        <x:v>ad210cd9ec132cfd447541c8984dc53d30aff0f4fb2dc92d254d49275cc55976</x:v>
      </x:c>
      <x:c r="Z2859" s="2" t="n">
        <x:f>SUBTOTAL(103,A2859)</x:f>
        <x:v>1</x:v>
      </x:c>
      <x:c r="AA2859" s="2" t="str">
        <x:f>IF(K2859&lt;&gt;"미종결 표시","대상 아님",IF(N2859="","신청일 확인",IF(NOT(ISNUMBER('종합 현황'!$H$5)),"관찰기준 확인",IF('종합 현황'!$H$5&lt;1,"관찰기준 확인",IF(N2859&gt;'종합 현황'!$H$5,"내부 관찰 대상","내부 관찰일 이하")))))</x:f>
        <x:v>대상 아님</x:v>
      </x:c>
      <x:c r="AB2859" s="2" t="str">
        <x:v>2022-05-06 17:34 - 신청
2022-08-22 13:11 - 문서재제출요청
2022-09-07 13:50 - 신청
2022-12-23 14:21 - 문서재제출요청
2022-12-23 17:13 - 신청
2023-02-02 10:03 - 문서재제출요청
2023-02-02 11:05 - 신청
2023-03-15 12:53 - 검토승인
2023-03-24 15:32 - 심의승인</x:v>
      </x:c>
    </x:row>
    <x:row r="2860" ht="42" customHeight="1">
      <x:c r="A2860" s="2" t="str">
        <x:v>ef034e1e026ec3b445610981</x:v>
      </x:c>
      <x:c r="B2860" s="2" t="str">
        <x:v>감축량 인증</x:v>
      </x:c>
      <x:c r="C2860" s="2" t="str">
        <x:v>국외</x:v>
      </x:c>
      <x:c r="D2860" s="7" t="str">
        <x:v>Top Third Ventures사의 스토브 프로그램 CPA KE0008 -한국에서 케냐에 지원하는 BURN사의 효율적인 쿡스토</x:v>
      </x:c>
      <x:c r="E2860" s="2" t="str">
        <x:v>455</x:v>
      </x:c>
      <x:c r="F2860" s="2" t="str">
        <x:v>2022-05-06</x:v>
      </x:c>
      <x:c r="G2860" s="2" t="str">
        <x:v>2022</x:v>
      </x:c>
      <x:c r="H2860" s="2" t="str">
        <x:v>05</x:v>
      </x:c>
      <x:c r="I2860" s="2" t="str">
        <x:v>심의승인</x:v>
      </x:c>
      <x:c r="J2860" s="2" t="str">
        <x:v>심의승인</x:v>
      </x:c>
      <x:c r="K2860" s="2" t="str">
        <x:f>IF(OR(J2860="심의승인",J2860="반려",J2860="반려완료",J2860="심의완료"),"종결 표시",IF(OR(J2860="기후부협의",J2860="문서재제출요청",J2860="보류",J2860="보완요청",J2860="보완완료",J2860="평가중",J2860="반려요청",J2860="평가필요",LEFT(J2860,5)="보완요청("),"미종결 표시","상태 확인 필요"))</x:f>
        <x:v>종결 표시</x:v>
      </x:c>
      <x:c r="L2860" s="2" t="str">
        <x:v>KRIC</x:v>
      </x:c>
      <x:c r="M2860" s="2"/>
      <x:c r="N2860" s="8" t="n">
        <x:f>DATE(2026,10,15)-DATE(2022,5,6)</x:f>
        <x:v>1623</x:v>
      </x:c>
      <x:c r="O2860" s="2"/>
      <x:c r="P2860" s="2"/>
      <x:c r="Q2860" s="2" t="str">
        <x:v>산업전환_외부사업관리Tool_260707_이너젠 수정_LJY_261013.xlsx</x:v>
      </x:c>
      <x:c r="R2860" s="2" t="str">
        <x:v>국외인증</x:v>
      </x:c>
      <x:c r="S2860" s="8" t="n">
        <x:v>447</x:v>
      </x:c>
      <x:c r="T2860" s="2" t="str">
        <x:v>(5/18)(9/19)</x:v>
      </x:c>
      <x:c r="U2860" s="2" t="str">
        <x:v>2022 지정: (5/18)(9/19)</x:v>
      </x:c>
      <x:c r="V2860" s="2" t="str">
        <x:v>2023-03-24</x:v>
      </x:c>
      <x:c r="W2860" s="2" t="str"/>
      <x:c r="X2860" s="2" t="str">
        <x:v>종결 근거 보관</x:v>
      </x:c>
      <x:c r="Y2860" s="2" t="str">
        <x:v>ad210cd9ec132cfd447541c8984dc53d30aff0f4fb2dc92d254d49275cc55976</x:v>
      </x:c>
      <x:c r="Z2860" s="2" t="n">
        <x:f>SUBTOTAL(103,A2860)</x:f>
        <x:v>1</x:v>
      </x:c>
      <x:c r="AA2860" s="2" t="str">
        <x:f>IF(K2860&lt;&gt;"미종결 표시","대상 아님",IF(N2860="","신청일 확인",IF(NOT(ISNUMBER('종합 현황'!$H$5)),"관찰기준 확인",IF('종합 현황'!$H$5&lt;1,"관찰기준 확인",IF(N2860&gt;'종합 현황'!$H$5,"내부 관찰 대상","내부 관찰일 이하")))))</x:f>
        <x:v>대상 아님</x:v>
      </x:c>
      <x:c r="AB2860" s="2" t="str">
        <x:v>2022-05-06 17:35 - 신청
2022-08-22 13:12 - 문서재제출요청
2022-09-07 13:51 - 신청
2022-12-23 14:20 - 문서재제출요청
2022-12-23 17:16 - 신청
2023-02-02 10:04 - 문서재제출요청
2023-02-02 11:06 - 신청
2023-03-15 12:55 - 검토승인
2023-03-24 15:33 - 심의승인</x:v>
      </x:c>
    </x:row>
    <x:row r="2861" ht="42" customHeight="1">
      <x:c r="A2861" s="2" t="str">
        <x:v>bb5579d4b9417b371b8ecb6f</x:v>
      </x:c>
      <x:c r="B2861" s="2" t="str">
        <x:v>감축량 인증</x:v>
      </x:c>
      <x:c r="C2861" s="2" t="str">
        <x:v>국외</x:v>
      </x:c>
      <x:c r="D2861" s="7" t="str">
        <x:v>SHINE – 인도 LED 보급 CPA03 사업</x:v>
      </x:c>
      <x:c r="E2861" s="2" t="str">
        <x:v>464</x:v>
      </x:c>
      <x:c r="F2861" s="2" t="str">
        <x:v>2022-06-28</x:v>
      </x:c>
      <x:c r="G2861" s="2" t="str">
        <x:v>2022</x:v>
      </x:c>
      <x:c r="H2861" s="2" t="str">
        <x:v>06</x:v>
      </x:c>
      <x:c r="I2861" s="2" t="str">
        <x:v>심의승인</x:v>
      </x:c>
      <x:c r="J2861" s="2" t="str">
        <x:v>심의승인</x:v>
      </x:c>
      <x:c r="K2861" s="2" t="str">
        <x:f>IF(OR(J2861="심의승인",J2861="반려",J2861="반려완료",J2861="심의완료"),"종결 표시",IF(OR(J2861="기후부협의",J2861="문서재제출요청",J2861="보류",J2861="보완요청",J2861="보완완료",J2861="평가중",J2861="반려요청",J2861="평가필요",LEFT(J2861,5)="보완요청("),"미종결 표시","상태 확인 필요"))</x:f>
        <x:v>종결 표시</x:v>
      </x:c>
      <x:c r="L2861" s="2" t="str">
        <x:v>KRIC</x:v>
      </x:c>
      <x:c r="M2861" s="2"/>
      <x:c r="N2861" s="8" t="n">
        <x:f>DATE(2026,10,15)-DATE(2022,6,28)</x:f>
        <x:v>1570</x:v>
      </x:c>
      <x:c r="O2861" s="2"/>
      <x:c r="P2861" s="2"/>
      <x:c r="Q2861" s="2" t="str">
        <x:v>산업전환_외부사업관리Tool_260707_이너젠 수정_LJY_261013.xlsx</x:v>
      </x:c>
      <x:c r="R2861" s="2" t="str">
        <x:v>국외인증</x:v>
      </x:c>
      <x:c r="S2861" s="8" t="n">
        <x:v>448</x:v>
      </x:c>
      <x:c r="T2861" s="2" t="str">
        <x:v>(7/13)(9/19)</x:v>
      </x:c>
      <x:c r="U2861" s="2" t="str">
        <x:v>2022 지정: (7/13)(9/19)</x:v>
      </x:c>
      <x:c r="V2861" s="2" t="str">
        <x:v>2023-03-24</x:v>
      </x:c>
      <x:c r="W2861" s="2" t="str"/>
      <x:c r="X2861" s="2" t="str">
        <x:v>종결 근거 보관</x:v>
      </x:c>
      <x:c r="Y2861" s="2" t="str">
        <x:v>ad210cd9ec132cfd447541c8984dc53d30aff0f4fb2dc92d254d49275cc55976</x:v>
      </x:c>
      <x:c r="Z2861" s="2" t="n">
        <x:f>SUBTOTAL(103,A2861)</x:f>
        <x:v>1</x:v>
      </x:c>
      <x:c r="AA2861" s="2" t="str">
        <x:f>IF(K2861&lt;&gt;"미종결 표시","대상 아님",IF(N2861="","신청일 확인",IF(NOT(ISNUMBER('종합 현황'!$H$5)),"관찰기준 확인",IF('종합 현황'!$H$5&lt;1,"관찰기준 확인",IF(N2861&gt;'종합 현황'!$H$5,"내부 관찰 대상","내부 관찰일 이하")))))</x:f>
        <x:v>대상 아님</x:v>
      </x:c>
      <x:c r="AB2861" s="2" t="str">
        <x:v>2022-06-28 13:55 - 신청
2022-09-03 14:29 - 문서재제출요청
2022-09-07 13:45 - 신청
2023-03-15 15:23 - 검토승인
2023-03-24 14:59 - 심의승인</x:v>
      </x:c>
    </x:row>
    <x:row r="2862" ht="42" customHeight="1">
      <x:c r="A2862" s="2" t="str">
        <x:v>09b50aff912ce497ab181c0c</x:v>
      </x:c>
      <x:c r="B2862" s="2" t="str">
        <x:v>감축량 인증</x:v>
      </x:c>
      <x:c r="C2862" s="2" t="str">
        <x:v>국외</x:v>
      </x:c>
      <x:c r="D2862" s="7" t="str">
        <x:v>SHINE – 인도 LED 보급 CPA03 사업</x:v>
      </x:c>
      <x:c r="E2862" s="2" t="str">
        <x:v>465</x:v>
      </x:c>
      <x:c r="F2862" s="2" t="str">
        <x:v>2022-07-01</x:v>
      </x:c>
      <x:c r="G2862" s="2" t="str">
        <x:v>2022</x:v>
      </x:c>
      <x:c r="H2862" s="2" t="str">
        <x:v>07</x:v>
      </x:c>
      <x:c r="I2862" s="2" t="str">
        <x:v>심의승인</x:v>
      </x:c>
      <x:c r="J2862" s="2" t="str">
        <x:v>심의승인</x:v>
      </x:c>
      <x:c r="K2862" s="2" t="str">
        <x:f>IF(OR(J2862="심의승인",J2862="반려",J2862="반려완료",J2862="심의완료"),"종결 표시",IF(OR(J2862="기후부협의",J2862="문서재제출요청",J2862="보류",J2862="보완요청",J2862="보완완료",J2862="평가중",J2862="반려요청",J2862="평가필요",LEFT(J2862,5)="보완요청("),"미종결 표시","상태 확인 필요"))</x:f>
        <x:v>종결 표시</x:v>
      </x:c>
      <x:c r="L2862" s="2" t="str">
        <x:v>KRIC</x:v>
      </x:c>
      <x:c r="M2862" s="2"/>
      <x:c r="N2862" s="8" t="n">
        <x:f>DATE(2026,10,15)-DATE(2022,7,1)</x:f>
        <x:v>1567</x:v>
      </x:c>
      <x:c r="O2862" s="2"/>
      <x:c r="P2862" s="2"/>
      <x:c r="Q2862" s="2" t="str">
        <x:v>산업전환_외부사업관리Tool_260707_이너젠 수정_LJY_261013.xlsx</x:v>
      </x:c>
      <x:c r="R2862" s="2" t="str">
        <x:v>국외인증</x:v>
      </x:c>
      <x:c r="S2862" s="8" t="n">
        <x:v>449</x:v>
      </x:c>
      <x:c r="T2862" s="2" t="str">
        <x:v>(7/13)(9/19)</x:v>
      </x:c>
      <x:c r="U2862" s="2" t="str">
        <x:v>2022 지정: (7/13)(9/19)</x:v>
      </x:c>
      <x:c r="V2862" s="2" t="str">
        <x:v>2023-03-24</x:v>
      </x:c>
      <x:c r="W2862" s="2" t="str"/>
      <x:c r="X2862" s="2" t="str">
        <x:v>종결 근거 보관</x:v>
      </x:c>
      <x:c r="Y2862" s="2" t="str">
        <x:v>ad210cd9ec132cfd447541c8984dc53d30aff0f4fb2dc92d254d49275cc55976</x:v>
      </x:c>
      <x:c r="Z2862" s="2" t="n">
        <x:f>SUBTOTAL(103,A2862)</x:f>
        <x:v>1</x:v>
      </x:c>
      <x:c r="AA2862" s="2" t="str">
        <x:f>IF(K2862&lt;&gt;"미종결 표시","대상 아님",IF(N2862="","신청일 확인",IF(NOT(ISNUMBER('종합 현황'!$H$5)),"관찰기준 확인",IF('종합 현황'!$H$5&lt;1,"관찰기준 확인",IF(N2862&gt;'종합 현황'!$H$5,"내부 관찰 대상","내부 관찰일 이하")))))</x:f>
        <x:v>대상 아님</x:v>
      </x:c>
      <x:c r="AB2862" s="2" t="str">
        <x:v>2022-07-01 09:40 - 신청
2022-09-03 14:30 - 문서재제출요청
2022-09-07 13:45 - 신청
2023-01-12 16:54 - 문서재제출요청
2023-01-16 17:54 - 신청
2023-01-31 09:13 - 문서재제출요청
2023-01-31 09:21 - 신청
2023-02-02 15:04 - 문서재제출요청
2023-02-02 15:10 - 신청
2023-02-02 17:10 - 문서재제출요청
2023-02-02 17:16 - 신청
2023-03-15 15:24 - 검토승인
2023-03-24 14:59 - 심의승인</x:v>
      </x:c>
    </x:row>
    <x:row r="2863" ht="42" customHeight="1">
      <x:c r="A2863" s="2" t="str">
        <x:v>4115025ec356844b6583d369</x:v>
      </x:c>
      <x:c r="B2863" s="2" t="str">
        <x:v>감축량 인증</x:v>
      </x:c>
      <x:c r="C2863" s="2" t="str">
        <x:v>국외</x:v>
      </x:c>
      <x:c r="D2863" s="7" t="str">
        <x:v>SHINE - 인도 LED 전구 보급사업-1</x:v>
      </x:c>
      <x:c r="E2863" s="2" t="str">
        <x:v>460</x:v>
      </x:c>
      <x:c r="F2863" s="2" t="str">
        <x:v>2022-06-24</x:v>
      </x:c>
      <x:c r="G2863" s="2" t="str">
        <x:v>2022</x:v>
      </x:c>
      <x:c r="H2863" s="2" t="str">
        <x:v>06</x:v>
      </x:c>
      <x:c r="I2863" s="2" t="str">
        <x:v>심의승인</x:v>
      </x:c>
      <x:c r="J2863" s="2" t="str">
        <x:v>심의승인</x:v>
      </x:c>
      <x:c r="K2863" s="2" t="str">
        <x:f>IF(OR(J2863="심의승인",J2863="반려",J2863="반려완료",J2863="심의완료"),"종결 표시",IF(OR(J2863="기후부협의",J2863="문서재제출요청",J2863="보류",J2863="보완요청",J2863="보완완료",J2863="평가중",J2863="반려요청",J2863="평가필요",LEFT(J2863,5)="보완요청("),"미종결 표시","상태 확인 필요"))</x:f>
        <x:v>종결 표시</x:v>
      </x:c>
      <x:c r="L2863" s="2" t="str">
        <x:v>KRIC</x:v>
      </x:c>
      <x:c r="M2863" s="2"/>
      <x:c r="N2863" s="8" t="n">
        <x:f>DATE(2026,10,15)-DATE(2022,6,24)</x:f>
        <x:v>1574</x:v>
      </x:c>
      <x:c r="O2863" s="2"/>
      <x:c r="P2863" s="2"/>
      <x:c r="Q2863" s="2" t="str">
        <x:v>산업전환_외부사업관리Tool_260707_이너젠 수정_LJY_261013.xlsx</x:v>
      </x:c>
      <x:c r="R2863" s="2" t="str">
        <x:v>국외인증</x:v>
      </x:c>
      <x:c r="S2863" s="8" t="n">
        <x:v>450</x:v>
      </x:c>
      <x:c r="T2863" s="2" t="str">
        <x:v>(7/13)(9/19)</x:v>
      </x:c>
      <x:c r="U2863" s="2" t="str">
        <x:v>2022 지정: (7/13)(9/19)</x:v>
      </x:c>
      <x:c r="V2863" s="2" t="str">
        <x:v>2023-03-24</x:v>
      </x:c>
      <x:c r="W2863" s="2" t="str"/>
      <x:c r="X2863" s="2" t="str">
        <x:v>종결 근거 보관</x:v>
      </x:c>
      <x:c r="Y2863" s="2" t="str">
        <x:v>ad210cd9ec132cfd447541c8984dc53d30aff0f4fb2dc92d254d49275cc55976</x:v>
      </x:c>
      <x:c r="Z2863" s="2" t="n">
        <x:f>SUBTOTAL(103,A2863)</x:f>
        <x:v>1</x:v>
      </x:c>
      <x:c r="AA2863" s="2" t="str">
        <x:f>IF(K2863&lt;&gt;"미종결 표시","대상 아님",IF(N2863="","신청일 확인",IF(NOT(ISNUMBER('종합 현황'!$H$5)),"관찰기준 확인",IF('종합 현황'!$H$5&lt;1,"관찰기준 확인",IF(N2863&gt;'종합 현황'!$H$5,"내부 관찰 대상","내부 관찰일 이하")))))</x:f>
        <x:v>대상 아님</x:v>
      </x:c>
      <x:c r="AB2863" s="2" t="str">
        <x:v>2022-06-24 11:01 - 신청
2022-09-03 14:21 - 문서재제출요청
2022-09-05 13:15 - 신청
2022-09-19 10:16 - 문서재제출요청
2022-09-19 11:10 - 신청
2023-02-02 15:02 - 문서재제출요청
2023-02-02 15:25 - 신청
2023-03-15 11:08 - 검토승인
2023-03-24 15:00 - 심의승인</x:v>
      </x:c>
    </x:row>
    <x:row r="2864" ht="42" customHeight="1">
      <x:c r="A2864" s="2" t="str">
        <x:v>6c6e76bb4462fb0dd9d2288d</x:v>
      </x:c>
      <x:c r="B2864" s="2" t="str">
        <x:v>감축량 인증</x:v>
      </x:c>
      <x:c r="C2864" s="2" t="str">
        <x:v>국외</x:v>
      </x:c>
      <x:c r="D2864" s="7" t="str">
        <x:v>SHINE - 인도 LED 전구 보급사업-3</x:v>
      </x:c>
      <x:c r="E2864" s="2" t="str">
        <x:v>461</x:v>
      </x:c>
      <x:c r="F2864" s="2" t="str">
        <x:v>2022-06-24</x:v>
      </x:c>
      <x:c r="G2864" s="2" t="str">
        <x:v>2022</x:v>
      </x:c>
      <x:c r="H2864" s="2" t="str">
        <x:v>06</x:v>
      </x:c>
      <x:c r="I2864" s="2" t="str">
        <x:v>심의승인</x:v>
      </x:c>
      <x:c r="J2864" s="2" t="str">
        <x:v>심의승인</x:v>
      </x:c>
      <x:c r="K2864" s="2" t="str">
        <x:f>IF(OR(J2864="심의승인",J2864="반려",J2864="반려완료",J2864="심의완료"),"종결 표시",IF(OR(J2864="기후부협의",J2864="문서재제출요청",J2864="보류",J2864="보완요청",J2864="보완완료",J2864="평가중",J2864="반려요청",J2864="평가필요",LEFT(J2864,5)="보완요청("),"미종결 표시","상태 확인 필요"))</x:f>
        <x:v>종결 표시</x:v>
      </x:c>
      <x:c r="L2864" s="2" t="str">
        <x:v>KRIC</x:v>
      </x:c>
      <x:c r="M2864" s="2"/>
      <x:c r="N2864" s="8" t="n">
        <x:f>DATE(2026,10,15)-DATE(2022,6,24)</x:f>
        <x:v>1574</x:v>
      </x:c>
      <x:c r="O2864" s="2"/>
      <x:c r="P2864" s="2"/>
      <x:c r="Q2864" s="2" t="str">
        <x:v>산업전환_외부사업관리Tool_260707_이너젠 수정_LJY_261013.xlsx</x:v>
      </x:c>
      <x:c r="R2864" s="2" t="str">
        <x:v>국외인증</x:v>
      </x:c>
      <x:c r="S2864" s="8" t="n">
        <x:v>451</x:v>
      </x:c>
      <x:c r="T2864" s="2" t="str">
        <x:v>(7/13)(9/19)</x:v>
      </x:c>
      <x:c r="U2864" s="2" t="str">
        <x:v>2022 지정: (7/13)(9/19)</x:v>
      </x:c>
      <x:c r="V2864" s="2" t="str">
        <x:v>2023-03-24</x:v>
      </x:c>
      <x:c r="W2864" s="2" t="str"/>
      <x:c r="X2864" s="2" t="str">
        <x:v>종결 근거 보관</x:v>
      </x:c>
      <x:c r="Y2864" s="2" t="str">
        <x:v>ad210cd9ec132cfd447541c8984dc53d30aff0f4fb2dc92d254d49275cc55976</x:v>
      </x:c>
      <x:c r="Z2864" s="2" t="n">
        <x:f>SUBTOTAL(103,A2864)</x:f>
        <x:v>1</x:v>
      </x:c>
      <x:c r="AA2864" s="2" t="str">
        <x:f>IF(K2864&lt;&gt;"미종결 표시","대상 아님",IF(N2864="","신청일 확인",IF(NOT(ISNUMBER('종합 현황'!$H$5)),"관찰기준 확인",IF('종합 현황'!$H$5&lt;1,"관찰기준 확인",IF(N2864&gt;'종합 현황'!$H$5,"내부 관찰 대상","내부 관찰일 이하")))))</x:f>
        <x:v>대상 아님</x:v>
      </x:c>
      <x:c r="AB2864" s="2" t="str">
        <x:v>2022-06-24 11:04 - 신청
2022-09-03 14:24 - 문서재제출요청
2022-09-06 09:40 - 신청
2022-09-19 10:17 - 문서재제출요청
2022-09-19 11:11 - 신청
2022-11-24 13:43 - 문서재제출요청
2022-11-24 14:19 - 신청
2023-01-31 09:19 - 문서재제출요청
2023-02-02 15:23 - 신청
2023-03-15 11:12 - 검토승인
2023-03-24 15:03 - 심의승인</x:v>
      </x:c>
    </x:row>
    <x:row r="2865" ht="42" customHeight="1">
      <x:c r="A2865" s="2" t="str">
        <x:v>6f5a5621109b713af1db332a</x:v>
      </x:c>
      <x:c r="B2865" s="2" t="str">
        <x:v>감축량 인증</x:v>
      </x:c>
      <x:c r="C2865" s="2" t="str">
        <x:v>국외</x:v>
      </x:c>
      <x:c r="D2865" s="7" t="str">
        <x:v>SHINE - 인도 LED 전구 보급사업-2</x:v>
      </x:c>
      <x:c r="E2865" s="2" t="str">
        <x:v>462</x:v>
      </x:c>
      <x:c r="F2865" s="2" t="str">
        <x:v>2022-06-24</x:v>
      </x:c>
      <x:c r="G2865" s="2" t="str">
        <x:v>2022</x:v>
      </x:c>
      <x:c r="H2865" s="2" t="str">
        <x:v>06</x:v>
      </x:c>
      <x:c r="I2865" s="2" t="str">
        <x:v>심의승인</x:v>
      </x:c>
      <x:c r="J2865" s="2" t="str">
        <x:v>심의승인</x:v>
      </x:c>
      <x:c r="K2865" s="2" t="str">
        <x:f>IF(OR(J2865="심의승인",J2865="반려",J2865="반려완료",J2865="심의완료"),"종결 표시",IF(OR(J2865="기후부협의",J2865="문서재제출요청",J2865="보류",J2865="보완요청",J2865="보완완료",J2865="평가중",J2865="반려요청",J2865="평가필요",LEFT(J2865,5)="보완요청("),"미종결 표시","상태 확인 필요"))</x:f>
        <x:v>종결 표시</x:v>
      </x:c>
      <x:c r="L2865" s="2" t="str">
        <x:v>KRIC</x:v>
      </x:c>
      <x:c r="M2865" s="2"/>
      <x:c r="N2865" s="8" t="n">
        <x:f>DATE(2026,10,15)-DATE(2022,6,24)</x:f>
        <x:v>1574</x:v>
      </x:c>
      <x:c r="O2865" s="2"/>
      <x:c r="P2865" s="2"/>
      <x:c r="Q2865" s="2" t="str">
        <x:v>산업전환_외부사업관리Tool_260707_이너젠 수정_LJY_261013.xlsx</x:v>
      </x:c>
      <x:c r="R2865" s="2" t="str">
        <x:v>국외인증</x:v>
      </x:c>
      <x:c r="S2865" s="8" t="n">
        <x:v>452</x:v>
      </x:c>
      <x:c r="T2865" s="2" t="str">
        <x:v>(7/13)(9/19)</x:v>
      </x:c>
      <x:c r="U2865" s="2" t="str">
        <x:v>2022 지정: (7/13)(9/19)</x:v>
      </x:c>
      <x:c r="V2865" s="2" t="str">
        <x:v>2023-03-24</x:v>
      </x:c>
      <x:c r="W2865" s="2" t="str"/>
      <x:c r="X2865" s="2" t="str">
        <x:v>종결 근거 보관</x:v>
      </x:c>
      <x:c r="Y2865" s="2" t="str">
        <x:v>ad210cd9ec132cfd447541c8984dc53d30aff0f4fb2dc92d254d49275cc55976</x:v>
      </x:c>
      <x:c r="Z2865" s="2" t="n">
        <x:f>SUBTOTAL(103,A2865)</x:f>
        <x:v>1</x:v>
      </x:c>
      <x:c r="AA2865" s="2" t="str">
        <x:f>IF(K2865&lt;&gt;"미종결 표시","대상 아님",IF(N2865="","신청일 확인",IF(NOT(ISNUMBER('종합 현황'!$H$5)),"관찰기준 확인",IF('종합 현황'!$H$5&lt;1,"관찰기준 확인",IF(N2865&gt;'종합 현황'!$H$5,"내부 관찰 대상","내부 관찰일 이하")))))</x:f>
        <x:v>대상 아님</x:v>
      </x:c>
      <x:c r="AB2865" s="2" t="str">
        <x:v>2022-06-24 11:04 - 신청
2022-09-03 14:22 - 문서재제출요청
2022-09-06 09:21 - 신청
2022-09-19 10:17 - 문서재제출요청
2022-09-19 11:10 - 신청
2023-02-02 15:03 - 문서재제출요청
2023-02-02 15:27 - 신청
2023-03-15 11:10 - 검토승인
2023-03-24 15:02 - 심의승인</x:v>
      </x:c>
    </x:row>
    <x:row r="2866" ht="42" customHeight="1">
      <x:c r="A2866" s="2" t="str">
        <x:v>e84aac6fce5073bde70c106c</x:v>
      </x:c>
      <x:c r="B2866" s="2" t="str">
        <x:v>감축량 인증</x:v>
      </x:c>
      <x:c r="C2866" s="2" t="str">
        <x:v>국외</x:v>
      </x:c>
      <x:c r="D2866" s="7" t="str">
        <x:v>SHINE - 인도 LED 전구 보급사업-4</x:v>
      </x:c>
      <x:c r="E2866" s="2" t="str">
        <x:v>463</x:v>
      </x:c>
      <x:c r="F2866" s="2" t="str">
        <x:v>2022-06-24</x:v>
      </x:c>
      <x:c r="G2866" s="2" t="str">
        <x:v>2022</x:v>
      </x:c>
      <x:c r="H2866" s="2" t="str">
        <x:v>06</x:v>
      </x:c>
      <x:c r="I2866" s="2" t="str">
        <x:v>심의승인</x:v>
      </x:c>
      <x:c r="J2866" s="2" t="str">
        <x:v>심의승인</x:v>
      </x:c>
      <x:c r="K2866" s="2" t="str">
        <x:f>IF(OR(J2866="심의승인",J2866="반려",J2866="반려완료",J2866="심의완료"),"종결 표시",IF(OR(J2866="기후부협의",J2866="문서재제출요청",J2866="보류",J2866="보완요청",J2866="보완완료",J2866="평가중",J2866="반려요청",J2866="평가필요",LEFT(J2866,5)="보완요청("),"미종결 표시","상태 확인 필요"))</x:f>
        <x:v>종결 표시</x:v>
      </x:c>
      <x:c r="L2866" s="2" t="str">
        <x:v>KRIC</x:v>
      </x:c>
      <x:c r="M2866" s="2"/>
      <x:c r="N2866" s="8" t="n">
        <x:f>DATE(2026,10,15)-DATE(2022,6,24)</x:f>
        <x:v>1574</x:v>
      </x:c>
      <x:c r="O2866" s="2"/>
      <x:c r="P2866" s="2"/>
      <x:c r="Q2866" s="2" t="str">
        <x:v>산업전환_외부사업관리Tool_260707_이너젠 수정_LJY_261013.xlsx</x:v>
      </x:c>
      <x:c r="R2866" s="2" t="str">
        <x:v>국외인증</x:v>
      </x:c>
      <x:c r="S2866" s="8" t="n">
        <x:v>453</x:v>
      </x:c>
      <x:c r="T2866" s="2" t="str">
        <x:v>(7/13)(9/19)</x:v>
      </x:c>
      <x:c r="U2866" s="2" t="str">
        <x:v>2022 지정: (7/13)(9/19)</x:v>
      </x:c>
      <x:c r="V2866" s="2" t="str">
        <x:v>2023-03-24</x:v>
      </x:c>
      <x:c r="W2866" s="2" t="str"/>
      <x:c r="X2866" s="2" t="str">
        <x:v>종결 근거 보관</x:v>
      </x:c>
      <x:c r="Y2866" s="2" t="str">
        <x:v>ad210cd9ec132cfd447541c8984dc53d30aff0f4fb2dc92d254d49275cc55976</x:v>
      </x:c>
      <x:c r="Z2866" s="2" t="n">
        <x:f>SUBTOTAL(103,A2866)</x:f>
        <x:v>1</x:v>
      </x:c>
      <x:c r="AA2866" s="2" t="str">
        <x:f>IF(K2866&lt;&gt;"미종결 표시","대상 아님",IF(N2866="","신청일 확인",IF(NOT(ISNUMBER('종합 현황'!$H$5)),"관찰기준 확인",IF('종합 현황'!$H$5&lt;1,"관찰기준 확인",IF(N2866&gt;'종합 현황'!$H$5,"내부 관찰 대상","내부 관찰일 이하")))))</x:f>
        <x:v>대상 아님</x:v>
      </x:c>
      <x:c r="AB2866" s="2" t="str">
        <x:v>2022-06-24 11:02 - 신청
2022-06-24 11:09 - 문서재제출요청
2022-06-24 11:11 - 신청
2022-09-03 14:25 - 문서재제출요청
2022-09-06 09:45 - 신청
2022-09-19 10:16 - 문서재제출요청
2022-09-19 11:12 - 신청
2023-02-02 15:03 - 문서재제출요청
2023-02-02 15:30 - 신청
2023-03-15 11:13 - 검토승인
2023-03-24 15:04 - 심의승인</x:v>
      </x:c>
    </x:row>
    <x:row r="2867" ht="42" customHeight="1">
      <x:c r="A2867" s="2" t="str">
        <x:v>72e8471b74fc7ccc4ed26c93</x:v>
      </x:c>
      <x:c r="B2867" s="2" t="str">
        <x:v>감축량 인증</x:v>
      </x:c>
      <x:c r="C2867" s="2" t="str">
        <x:v>국외</x:v>
      </x:c>
      <x:c r="D2867" s="7" t="str">
        <x:v>SHINE - 인도 LED 전구 보급사업-4</x:v>
      </x:c>
      <x:c r="E2867" s="2" t="str">
        <x:v>466</x:v>
      </x:c>
      <x:c r="F2867" s="2" t="str">
        <x:v>2022-07-01</x:v>
      </x:c>
      <x:c r="G2867" s="2" t="str">
        <x:v>2022</x:v>
      </x:c>
      <x:c r="H2867" s="2" t="str">
        <x:v>07</x:v>
      </x:c>
      <x:c r="I2867" s="2" t="str">
        <x:v>심의승인</x:v>
      </x:c>
      <x:c r="J2867" s="2" t="str">
        <x:v>심의승인</x:v>
      </x:c>
      <x:c r="K2867" s="2" t="str">
        <x:f>IF(OR(J2867="심의승인",J2867="반려",J2867="반려완료",J2867="심의완료"),"종결 표시",IF(OR(J2867="기후부협의",J2867="문서재제출요청",J2867="보류",J2867="보완요청",J2867="보완완료",J2867="평가중",J2867="반려요청",J2867="평가필요",LEFT(J2867,5)="보완요청("),"미종결 표시","상태 확인 필요"))</x:f>
        <x:v>종결 표시</x:v>
      </x:c>
      <x:c r="L2867" s="2" t="str">
        <x:v>KRIC</x:v>
      </x:c>
      <x:c r="M2867" s="2"/>
      <x:c r="N2867" s="8" t="n">
        <x:f>DATE(2026,10,15)-DATE(2022,7,1)</x:f>
        <x:v>1567</x:v>
      </x:c>
      <x:c r="O2867" s="2"/>
      <x:c r="P2867" s="2"/>
      <x:c r="Q2867" s="2" t="str">
        <x:v>산업전환_외부사업관리Tool_260707_이너젠 수정_LJY_261013.xlsx</x:v>
      </x:c>
      <x:c r="R2867" s="2" t="str">
        <x:v>국외인증</x:v>
      </x:c>
      <x:c r="S2867" s="8" t="n">
        <x:v>454</x:v>
      </x:c>
      <x:c r="T2867" s="2" t="str">
        <x:v>(7/13)(9/19)</x:v>
      </x:c>
      <x:c r="U2867" s="2" t="str">
        <x:v>2022 지정: (7/13)(9/19)</x:v>
      </x:c>
      <x:c r="V2867" s="2" t="str">
        <x:v>2023-03-24</x:v>
      </x:c>
      <x:c r="W2867" s="2" t="str"/>
      <x:c r="X2867" s="2" t="str">
        <x:v>종결 근거 보관</x:v>
      </x:c>
      <x:c r="Y2867" s="2" t="str">
        <x:v>ad210cd9ec132cfd447541c8984dc53d30aff0f4fb2dc92d254d49275cc55976</x:v>
      </x:c>
      <x:c r="Z2867" s="2" t="n">
        <x:f>SUBTOTAL(103,A2867)</x:f>
        <x:v>1</x:v>
      </x:c>
      <x:c r="AA2867" s="2" t="str">
        <x:f>IF(K2867&lt;&gt;"미종결 표시","대상 아님",IF(N2867="","신청일 확인",IF(NOT(ISNUMBER('종합 현황'!$H$5)),"관찰기준 확인",IF('종합 현황'!$H$5&lt;1,"관찰기준 확인",IF(N2867&gt;'종합 현황'!$H$5,"내부 관찰 대상","내부 관찰일 이하")))))</x:f>
        <x:v>대상 아님</x:v>
      </x:c>
      <x:c r="AB2867" s="2" t="str">
        <x:v>2022-07-01 11:43 - 신청
2022-09-03 14:26 - 문서재제출요청
2022-09-06 09:46 - 신청
2022-09-19 10:16 - 문서재제출요청
2022-09-19 11:16 - 신청
2023-03-15 11:13 - 검토승인
2023-03-24 15:05 - 심의승인</x:v>
      </x:c>
    </x:row>
    <x:row r="2868" ht="42" customHeight="1">
      <x:c r="A2868" s="2" t="str">
        <x:v>361f522ba1d7130574b1d2c5</x:v>
      </x:c>
      <x:c r="B2868" s="2" t="str">
        <x:v>감축량 인증</x:v>
      </x:c>
      <x:c r="C2868" s="2" t="str">
        <x:v>국외</x:v>
      </x:c>
      <x:c r="D2868" s="7" t="str">
        <x:v>SHINE - 인도 LED 전구 보급사업-3</x:v>
      </x:c>
      <x:c r="E2868" s="2" t="str">
        <x:v>467</x:v>
      </x:c>
      <x:c r="F2868" s="2" t="str">
        <x:v>2022-07-01</x:v>
      </x:c>
      <x:c r="G2868" s="2" t="str">
        <x:v>2022</x:v>
      </x:c>
      <x:c r="H2868" s="2" t="str">
        <x:v>07</x:v>
      </x:c>
      <x:c r="I2868" s="2" t="str">
        <x:v>심의승인</x:v>
      </x:c>
      <x:c r="J2868" s="2" t="str">
        <x:v>심의승인</x:v>
      </x:c>
      <x:c r="K2868" s="2" t="str">
        <x:f>IF(OR(J2868="심의승인",J2868="반려",J2868="반려완료",J2868="심의완료"),"종결 표시",IF(OR(J2868="기후부협의",J2868="문서재제출요청",J2868="보류",J2868="보완요청",J2868="보완완료",J2868="평가중",J2868="반려요청",J2868="평가필요",LEFT(J2868,5)="보완요청("),"미종결 표시","상태 확인 필요"))</x:f>
        <x:v>종결 표시</x:v>
      </x:c>
      <x:c r="L2868" s="2" t="str">
        <x:v>KRIC</x:v>
      </x:c>
      <x:c r="M2868" s="2"/>
      <x:c r="N2868" s="8" t="n">
        <x:f>DATE(2026,10,15)-DATE(2022,7,1)</x:f>
        <x:v>1567</x:v>
      </x:c>
      <x:c r="O2868" s="2"/>
      <x:c r="P2868" s="2"/>
      <x:c r="Q2868" s="2" t="str">
        <x:v>산업전환_외부사업관리Tool_260707_이너젠 수정_LJY_261013.xlsx</x:v>
      </x:c>
      <x:c r="R2868" s="2" t="str">
        <x:v>국외인증</x:v>
      </x:c>
      <x:c r="S2868" s="8" t="n">
        <x:v>455</x:v>
      </x:c>
      <x:c r="T2868" s="2" t="str">
        <x:v>(7/13)(9/19)</x:v>
      </x:c>
      <x:c r="U2868" s="2" t="str">
        <x:v>2022 지정: (7/13)(9/19)</x:v>
      </x:c>
      <x:c r="V2868" s="2" t="str">
        <x:v>2023-03-24</x:v>
      </x:c>
      <x:c r="W2868" s="2" t="str"/>
      <x:c r="X2868" s="2" t="str">
        <x:v>종결 근거 보관</x:v>
      </x:c>
      <x:c r="Y2868" s="2" t="str">
        <x:v>ad210cd9ec132cfd447541c8984dc53d30aff0f4fb2dc92d254d49275cc55976</x:v>
      </x:c>
      <x:c r="Z2868" s="2" t="n">
        <x:f>SUBTOTAL(103,A2868)</x:f>
        <x:v>1</x:v>
      </x:c>
      <x:c r="AA2868" s="2" t="str">
        <x:f>IF(K2868&lt;&gt;"미종결 표시","대상 아님",IF(N2868="","신청일 확인",IF(NOT(ISNUMBER('종합 현황'!$H$5)),"관찰기준 확인",IF('종합 현황'!$H$5&lt;1,"관찰기준 확인",IF(N2868&gt;'종합 현황'!$H$5,"내부 관찰 대상","내부 관찰일 이하")))))</x:f>
        <x:v>대상 아님</x:v>
      </x:c>
      <x:c r="AB2868" s="2" t="str">
        <x:v>2022-07-01 11:43 - 신청
2022-09-03 14:25 - 문서재제출요청
2022-09-06 09:41 - 신청
2022-09-19 10:16 - 문서재제출요청
2022-09-19 11:14 - 신청
2023-01-12 16:49 - 문서재제출요청
2023-01-16 10:24 - 신청
2023-02-02 15:05 - 문서재제출요청
2023-02-02 15:32 - 신청
2023-03-15 11:12 - 검토승인
2023-03-24 15:03 - 심의승인</x:v>
      </x:c>
    </x:row>
    <x:row r="2869" ht="42" customHeight="1">
      <x:c r="A2869" s="2" t="str">
        <x:v>b2d48c99f98f22315b0d1fde</x:v>
      </x:c>
      <x:c r="B2869" s="2" t="str">
        <x:v>감축량 인증</x:v>
      </x:c>
      <x:c r="C2869" s="2" t="str">
        <x:v>국외</x:v>
      </x:c>
      <x:c r="D2869" s="7" t="str">
        <x:v>SHINE - 인도 LED 전구 보급사업-2</x:v>
      </x:c>
      <x:c r="E2869" s="2" t="str">
        <x:v>468</x:v>
      </x:c>
      <x:c r="F2869" s="2" t="str">
        <x:v>2022-07-01</x:v>
      </x:c>
      <x:c r="G2869" s="2" t="str">
        <x:v>2022</x:v>
      </x:c>
      <x:c r="H2869" s="2" t="str">
        <x:v>07</x:v>
      </x:c>
      <x:c r="I2869" s="2" t="str">
        <x:v>심의승인</x:v>
      </x:c>
      <x:c r="J2869" s="2" t="str">
        <x:v>심의승인</x:v>
      </x:c>
      <x:c r="K2869" s="2" t="str">
        <x:f>IF(OR(J2869="심의승인",J2869="반려",J2869="반려완료",J2869="심의완료"),"종결 표시",IF(OR(J2869="기후부협의",J2869="문서재제출요청",J2869="보류",J2869="보완요청",J2869="보완완료",J2869="평가중",J2869="반려요청",J2869="평가필요",LEFT(J2869,5)="보완요청("),"미종결 표시","상태 확인 필요"))</x:f>
        <x:v>종결 표시</x:v>
      </x:c>
      <x:c r="L2869" s="2" t="str">
        <x:v>KRIC</x:v>
      </x:c>
      <x:c r="M2869" s="2"/>
      <x:c r="N2869" s="8" t="n">
        <x:f>DATE(2026,10,15)-DATE(2022,7,1)</x:f>
        <x:v>1567</x:v>
      </x:c>
      <x:c r="O2869" s="2"/>
      <x:c r="P2869" s="2"/>
      <x:c r="Q2869" s="2" t="str">
        <x:v>산업전환_외부사업관리Tool_260707_이너젠 수정_LJY_261013.xlsx</x:v>
      </x:c>
      <x:c r="R2869" s="2" t="str">
        <x:v>국외인증</x:v>
      </x:c>
      <x:c r="S2869" s="8" t="n">
        <x:v>456</x:v>
      </x:c>
      <x:c r="T2869" s="2" t="str">
        <x:v>(7/13)(9/19)</x:v>
      </x:c>
      <x:c r="U2869" s="2" t="str">
        <x:v>2022 지정: (7/13)(9/19)</x:v>
      </x:c>
      <x:c r="V2869" s="2" t="str">
        <x:v>2023-03-24</x:v>
      </x:c>
      <x:c r="W2869" s="2" t="str"/>
      <x:c r="X2869" s="2" t="str">
        <x:v>종결 근거 보관</x:v>
      </x:c>
      <x:c r="Y2869" s="2" t="str">
        <x:v>ad210cd9ec132cfd447541c8984dc53d30aff0f4fb2dc92d254d49275cc55976</x:v>
      </x:c>
      <x:c r="Z2869" s="2" t="n">
        <x:f>SUBTOTAL(103,A2869)</x:f>
        <x:v>1</x:v>
      </x:c>
      <x:c r="AA2869" s="2" t="str">
        <x:f>IF(K2869&lt;&gt;"미종결 표시","대상 아님",IF(N2869="","신청일 확인",IF(NOT(ISNUMBER('종합 현황'!$H$5)),"관찰기준 확인",IF('종합 현황'!$H$5&lt;1,"관찰기준 확인",IF(N2869&gt;'종합 현황'!$H$5,"내부 관찰 대상","내부 관찰일 이하")))))</x:f>
        <x:v>대상 아님</x:v>
      </x:c>
      <x:c r="AB2869" s="2" t="str">
        <x:v>2022-07-01 11:44 - 신청
2022-09-03 14:23 - 문서재제출요청
2022-09-06 09:34 - 신청
2022-09-19 10:17 - 문서재제출요청
2022-09-19 11:14 - 신청
2023-03-15 11:10 - 검토승인
2023-03-24 15:02 - 심의승인</x:v>
      </x:c>
    </x:row>
    <x:row r="2870" ht="42" customHeight="1">
      <x:c r="A2870" s="2" t="str">
        <x:v>6befc275e9c18bb6e9a4cd3a</x:v>
      </x:c>
      <x:c r="B2870" s="2" t="str">
        <x:v>감축량 인증</x:v>
      </x:c>
      <x:c r="C2870" s="2" t="str">
        <x:v>국외</x:v>
      </x:c>
      <x:c r="D2870" s="7" t="str">
        <x:v>SHINE - 인도 LED 전구 보급사업-1</x:v>
      </x:c>
      <x:c r="E2870" s="2" t="str">
        <x:v>469</x:v>
      </x:c>
      <x:c r="F2870" s="2" t="str">
        <x:v>2022-07-01</x:v>
      </x:c>
      <x:c r="G2870" s="2" t="str">
        <x:v>2022</x:v>
      </x:c>
      <x:c r="H2870" s="2" t="str">
        <x:v>07</x:v>
      </x:c>
      <x:c r="I2870" s="2" t="str">
        <x:v>심의승인</x:v>
      </x:c>
      <x:c r="J2870" s="2" t="str">
        <x:v>심의승인</x:v>
      </x:c>
      <x:c r="K2870" s="2" t="str">
        <x:f>IF(OR(J2870="심의승인",J2870="반려",J2870="반려완료",J2870="심의완료"),"종결 표시",IF(OR(J2870="기후부협의",J2870="문서재제출요청",J2870="보류",J2870="보완요청",J2870="보완완료",J2870="평가중",J2870="반려요청",J2870="평가필요",LEFT(J2870,5)="보완요청("),"미종결 표시","상태 확인 필요"))</x:f>
        <x:v>종결 표시</x:v>
      </x:c>
      <x:c r="L2870" s="2" t="str">
        <x:v>KRIC</x:v>
      </x:c>
      <x:c r="M2870" s="2"/>
      <x:c r="N2870" s="8" t="n">
        <x:f>DATE(2026,10,15)-DATE(2022,7,1)</x:f>
        <x:v>1567</x:v>
      </x:c>
      <x:c r="O2870" s="2"/>
      <x:c r="P2870" s="2"/>
      <x:c r="Q2870" s="2" t="str">
        <x:v>산업전환_외부사업관리Tool_260707_이너젠 수정_LJY_261013.xlsx</x:v>
      </x:c>
      <x:c r="R2870" s="2" t="str">
        <x:v>국외인증</x:v>
      </x:c>
      <x:c r="S2870" s="8" t="n">
        <x:v>457</x:v>
      </x:c>
      <x:c r="T2870" s="2" t="str">
        <x:v>(7/13)(9/19)</x:v>
      </x:c>
      <x:c r="U2870" s="2" t="str">
        <x:v>2022 지정: (7/13)(9/19)</x:v>
      </x:c>
      <x:c r="V2870" s="2" t="str">
        <x:v>2023-03-24</x:v>
      </x:c>
      <x:c r="W2870" s="2" t="str"/>
      <x:c r="X2870" s="2" t="str">
        <x:v>종결 근거 보관</x:v>
      </x:c>
      <x:c r="Y2870" s="2" t="str">
        <x:v>ad210cd9ec132cfd447541c8984dc53d30aff0f4fb2dc92d254d49275cc55976</x:v>
      </x:c>
      <x:c r="Z2870" s="2" t="n">
        <x:f>SUBTOTAL(103,A2870)</x:f>
        <x:v>1</x:v>
      </x:c>
      <x:c r="AA2870" s="2" t="str">
        <x:f>IF(K2870&lt;&gt;"미종결 표시","대상 아님",IF(N2870="","신청일 확인",IF(NOT(ISNUMBER('종합 현황'!$H$5)),"관찰기준 확인",IF('종합 현황'!$H$5&lt;1,"관찰기준 확인",IF(N2870&gt;'종합 현황'!$H$5,"내부 관찰 대상","내부 관찰일 이하")))))</x:f>
        <x:v>대상 아님</x:v>
      </x:c>
      <x:c r="AB2870" s="2" t="str">
        <x:v>2022-07-01 11:44 - 신청
2022-09-03 14:21 - 문서재제출요청
2022-09-06 09:09 - 신청
2022-09-19 10:18 - 문서재제출요청
2022-09-19 11:13 - 신청
2023-03-15 11:09 - 검토승인
2023-03-24 15:01 - 심의승인</x:v>
      </x:c>
    </x:row>
    <x:row r="2871" ht="42" customHeight="1">
      <x:c r="A2871" s="2" t="str">
        <x:v>6ac049c6f06780be6c013da3</x:v>
      </x:c>
      <x:c r="B2871" s="2" t="str">
        <x:v>감축량 인증</x:v>
      </x:c>
      <x:c r="C2871" s="2" t="str">
        <x:v>국외</x:v>
      </x:c>
      <x:c r="D2871" s="7" t="str">
        <x:v>베트남 호아빈의 개선된 쿡스토브 사업 - CPA 001</x:v>
      </x:c>
      <x:c r="E2871" s="2" t="str">
        <x:v>456</x:v>
      </x:c>
      <x:c r="F2871" s="2" t="str">
        <x:v>2022-05-09</x:v>
      </x:c>
      <x:c r="G2871" s="2" t="str">
        <x:v>2022</x:v>
      </x:c>
      <x:c r="H2871" s="2" t="str">
        <x:v>05</x:v>
      </x:c>
      <x:c r="I2871" s="2" t="str">
        <x:v>심의승인</x:v>
      </x:c>
      <x:c r="J2871" s="2" t="str">
        <x:v>심의승인</x:v>
      </x:c>
      <x:c r="K2871" s="2" t="str">
        <x:f>IF(OR(J2871="심의승인",J2871="반려",J2871="반려완료",J2871="심의완료"),"종결 표시",IF(OR(J2871="기후부협의",J2871="문서재제출요청",J2871="보류",J2871="보완요청",J2871="보완완료",J2871="평가중",J2871="반려요청",J2871="평가필요",LEFT(J2871,5)="보완요청("),"미종결 표시","상태 확인 필요"))</x:f>
        <x:v>종결 표시</x:v>
      </x:c>
      <x:c r="L2871" s="2" t="str">
        <x:v>KRIC</x:v>
      </x:c>
      <x:c r="M2871" s="2"/>
      <x:c r="N2871" s="8" t="n">
        <x:f>DATE(2026,10,15)-DATE(2022,5,9)</x:f>
        <x:v>1620</x:v>
      </x:c>
      <x:c r="O2871" s="2"/>
      <x:c r="P2871" s="2"/>
      <x:c r="Q2871" s="2" t="str">
        <x:v>산업전환_외부사업관리Tool_260707_이너젠 수정_LJY_261013.xlsx</x:v>
      </x:c>
      <x:c r="R2871" s="2" t="str">
        <x:v>국외인증</x:v>
      </x:c>
      <x:c r="S2871" s="8" t="n">
        <x:v>458</x:v>
      </x:c>
      <x:c r="T2871" s="2" t="str">
        <x:v>(5/18),(8/16)</x:v>
      </x:c>
      <x:c r="U2871" s="2" t="str">
        <x:v>2022 지정: (5/18),(8/16)</x:v>
      </x:c>
      <x:c r="V2871" s="2" t="str">
        <x:v>2022-12-28</x:v>
      </x:c>
      <x:c r="W2871" s="2" t="str"/>
      <x:c r="X2871" s="2" t="str">
        <x:v>종결 근거 보관</x:v>
      </x:c>
      <x:c r="Y2871" s="2" t="str">
        <x:v>ad210cd9ec132cfd447541c8984dc53d30aff0f4fb2dc92d254d49275cc55976</x:v>
      </x:c>
      <x:c r="Z2871" s="2" t="n">
        <x:f>SUBTOTAL(103,A2871)</x:f>
        <x:v>1</x:v>
      </x:c>
      <x:c r="AA2871" s="2" t="str">
        <x:f>IF(K2871&lt;&gt;"미종결 표시","대상 아님",IF(N2871="","신청일 확인",IF(NOT(ISNUMBER('종합 현황'!$H$5)),"관찰기준 확인",IF('종합 현황'!$H$5&lt;1,"관찰기준 확인",IF(N2871&gt;'종합 현황'!$H$5,"내부 관찰 대상","내부 관찰일 이하")))))</x:f>
        <x:v>대상 아님</x:v>
      </x:c>
      <x:c r="AB2871" s="2" t="str">
        <x:v>2022-05-09 17:49 - 신청
2022-07-25 09:13 - 문서재제출요청
2022-08-04 14:06 - 신청
2022-08-05 16:30 - 문서재제출요청
2022-08-05 17:37 - 신청
2022-10-17 15:56 - 문서재제출요청
2022-10-18 10:21 - 신청
2022-12-21 17:33 - 검토승인
2022-12-28 15:56 - 심의승인</x:v>
      </x:c>
    </x:row>
    <x:row r="2872" ht="42" customHeight="1">
      <x:c r="A2872" s="2" t="str">
        <x:v>6b5828d20abce05ccbbae843</x:v>
      </x:c>
      <x:c r="B2872" s="2" t="str">
        <x:v>감축량 인증</x:v>
      </x:c>
      <x:c r="C2872" s="2" t="str">
        <x:v>국외</x:v>
      </x:c>
      <x:c r="D2872" s="7" t="str">
        <x:v>베트남 호아빈의 개선된 쿡스토브 사업 - CPA 001</x:v>
      </x:c>
      <x:c r="E2872" s="2" t="str">
        <x:v>457</x:v>
      </x:c>
      <x:c r="F2872" s="2" t="str">
        <x:v>2022-05-11</x:v>
      </x:c>
      <x:c r="G2872" s="2" t="str">
        <x:v>2022</x:v>
      </x:c>
      <x:c r="H2872" s="2" t="str">
        <x:v>05</x:v>
      </x:c>
      <x:c r="I2872" s="2" t="str">
        <x:v>심의승인</x:v>
      </x:c>
      <x:c r="J2872" s="2" t="str">
        <x:v>심의승인</x:v>
      </x:c>
      <x:c r="K2872" s="2" t="str">
        <x:f>IF(OR(J2872="심의승인",J2872="반려",J2872="반려완료",J2872="심의완료"),"종결 표시",IF(OR(J2872="기후부협의",J2872="문서재제출요청",J2872="보류",J2872="보완요청",J2872="보완완료",J2872="평가중",J2872="반려요청",J2872="평가필요",LEFT(J2872,5)="보완요청("),"미종결 표시","상태 확인 필요"))</x:f>
        <x:v>종결 표시</x:v>
      </x:c>
      <x:c r="L2872" s="2" t="str">
        <x:v>KRIC</x:v>
      </x:c>
      <x:c r="M2872" s="2"/>
      <x:c r="N2872" s="8" t="n">
        <x:f>DATE(2026,10,15)-DATE(2022,5,11)</x:f>
        <x:v>1618</x:v>
      </x:c>
      <x:c r="O2872" s="2"/>
      <x:c r="P2872" s="2"/>
      <x:c r="Q2872" s="2" t="str">
        <x:v>산업전환_외부사업관리Tool_260707_이너젠 수정_LJY_261013.xlsx</x:v>
      </x:c>
      <x:c r="R2872" s="2" t="str">
        <x:v>국외인증</x:v>
      </x:c>
      <x:c r="S2872" s="8" t="n">
        <x:v>459</x:v>
      </x:c>
      <x:c r="T2872" s="2" t="str">
        <x:v>(5/18),(8/16)</x:v>
      </x:c>
      <x:c r="U2872" s="2" t="str">
        <x:v>2022 지정: (5/18),(8/16)</x:v>
      </x:c>
      <x:c r="V2872" s="2" t="str">
        <x:v>2022-12-28</x:v>
      </x:c>
      <x:c r="W2872" s="2" t="str"/>
      <x:c r="X2872" s="2" t="str">
        <x:v>종결 근거 보관</x:v>
      </x:c>
      <x:c r="Y2872" s="2" t="str">
        <x:v>ad210cd9ec132cfd447541c8984dc53d30aff0f4fb2dc92d254d49275cc55976</x:v>
      </x:c>
      <x:c r="Z2872" s="2" t="n">
        <x:f>SUBTOTAL(103,A2872)</x:f>
        <x:v>1</x:v>
      </x:c>
      <x:c r="AA2872" s="2" t="str">
        <x:f>IF(K2872&lt;&gt;"미종결 표시","대상 아님",IF(N2872="","신청일 확인",IF(NOT(ISNUMBER('종합 현황'!$H$5)),"관찰기준 확인",IF('종합 현황'!$H$5&lt;1,"관찰기준 확인",IF(N2872&gt;'종합 현황'!$H$5,"내부 관찰 대상","내부 관찰일 이하")))))</x:f>
        <x:v>대상 아님</x:v>
      </x:c>
      <x:c r="AB2872" s="2" t="str">
        <x:v>2022-05-11 17:05 - 신청
2022-07-25 09:14 - 문서재제출요청
2022-08-04 14:35 - 신청
2022-08-05 16:30 - 문서재제출요청
2022-08-05 17:43 - 신청
2022-10-17 15:56 - 문서재제출요청
2022-10-18 10:22 - 신청
2022-12-21 17:34 - 검토승인
2022-12-28 15:58 - 심의승인</x:v>
      </x:c>
    </x:row>
    <x:row r="2873" ht="42" customHeight="1">
      <x:c r="A2873" s="2" t="str">
        <x:v>f4862b2e0c8f4171ce398994</x:v>
      </x:c>
      <x:c r="B2873" s="2" t="str">
        <x:v>감축량 인증</x:v>
      </x:c>
      <x:c r="C2873" s="2" t="str">
        <x:v>국외</x:v>
      </x:c>
      <x:c r="D2873" s="7" t="str">
        <x:v>대한민국이 지원하는  가나 맨 앤 맨 고효율 쿡스토브 프로그램-CPA01</x:v>
      </x:c>
      <x:c r="E2873" s="2" t="str">
        <x:v>458</x:v>
      </x:c>
      <x:c r="F2873" s="2" t="str">
        <x:v>2022-05-26</x:v>
      </x:c>
      <x:c r="G2873" s="2" t="str">
        <x:v>2022</x:v>
      </x:c>
      <x:c r="H2873" s="2" t="str">
        <x:v>05</x:v>
      </x:c>
      <x:c r="I2873" s="2" t="str">
        <x:v>심의승인</x:v>
      </x:c>
      <x:c r="J2873" s="2" t="str">
        <x:v>심의승인</x:v>
      </x:c>
      <x:c r="K2873" s="2" t="str">
        <x:f>IF(OR(J2873="심의승인",J2873="반려",J2873="반려완료",J2873="심의완료"),"종결 표시",IF(OR(J2873="기후부협의",J2873="문서재제출요청",J2873="보류",J2873="보완요청",J2873="보완완료",J2873="평가중",J2873="반려요청",J2873="평가필요",LEFT(J2873,5)="보완요청("),"미종결 표시","상태 확인 필요"))</x:f>
        <x:v>종결 표시</x:v>
      </x:c>
      <x:c r="L2873" s="2" t="str">
        <x:v>KRIC</x:v>
      </x:c>
      <x:c r="M2873" s="2"/>
      <x:c r="N2873" s="8" t="n">
        <x:f>DATE(2026,10,15)-DATE(2022,5,26)</x:f>
        <x:v>1603</x:v>
      </x:c>
      <x:c r="O2873" s="2"/>
      <x:c r="P2873" s="2"/>
      <x:c r="Q2873" s="2" t="str">
        <x:v>산업전환_외부사업관리Tool_260707_이너젠 수정_LJY_261013.xlsx</x:v>
      </x:c>
      <x:c r="R2873" s="2" t="str">
        <x:v>국외인증</x:v>
      </x:c>
      <x:c r="S2873" s="8" t="n">
        <x:v>460</x:v>
      </x:c>
      <x:c r="T2873" s="2" t="str">
        <x:v>(6/10)(9/19)(11/18)</x:v>
      </x:c>
      <x:c r="U2873" s="2" t="str">
        <x:v>2022 지정: (6/10)(9/19)(11/18)</x:v>
      </x:c>
      <x:c r="V2873" s="2" t="str">
        <x:v>2023-03-24</x:v>
      </x:c>
      <x:c r="W2873" s="2" t="str"/>
      <x:c r="X2873" s="2" t="str">
        <x:v>종결 근거 보관</x:v>
      </x:c>
      <x:c r="Y2873" s="2" t="str">
        <x:v>ad210cd9ec132cfd447541c8984dc53d30aff0f4fb2dc92d254d49275cc55976</x:v>
      </x:c>
      <x:c r="Z2873" s="2" t="n">
        <x:f>SUBTOTAL(103,A2873)</x:f>
        <x:v>1</x:v>
      </x:c>
      <x:c r="AA2873" s="2" t="str">
        <x:f>IF(K2873&lt;&gt;"미종결 표시","대상 아님",IF(N2873="","신청일 확인",IF(NOT(ISNUMBER('종합 현황'!$H$5)),"관찰기준 확인",IF('종합 현황'!$H$5&lt;1,"관찰기준 확인",IF(N2873&gt;'종합 현황'!$H$5,"내부 관찰 대상","내부 관찰일 이하")))))</x:f>
        <x:v>대상 아님</x:v>
      </x:c>
      <x:c r="AB2873" s="2" t="str">
        <x:v>2022-05-26 14:00 - 접수
2022-05-30 08:46 - 신청
2022-10-04 20:49 - 문서재제출요청
2022-10-21 17:27 - 접수
2022-10-24 11:18 - 신청
2022-12-23 14:14 - 문서재제출요청
2022-12-23 15:46 - 접수
2022-12-27 15:56 - 신청
2023-03-15 10:06 - 검토승인
2023-03-24 15:35 - 심의승인</x:v>
      </x:c>
    </x:row>
    <x:row r="2874" ht="42" customHeight="1">
      <x:c r="A2874" s="2" t="str">
        <x:v>54f1521689c7319e7c378576</x:v>
      </x:c>
      <x:c r="B2874" s="2" t="str">
        <x:v>감축량 인증</x:v>
      </x:c>
      <x:c r="C2874" s="2" t="str">
        <x:v>국외</x:v>
      </x:c>
      <x:c r="D2874" s="7" t="str">
        <x:v>대한민국이 지원하는 가나 맨 앤 맨 고효율 쿡스토브 프로그램-CPA02</x:v>
      </x:c>
      <x:c r="E2874" s="2" t="str">
        <x:v>459</x:v>
      </x:c>
      <x:c r="F2874" s="2" t="str">
        <x:v>2022-05-26</x:v>
      </x:c>
      <x:c r="G2874" s="2" t="str">
        <x:v>2022</x:v>
      </x:c>
      <x:c r="H2874" s="2" t="str">
        <x:v>05</x:v>
      </x:c>
      <x:c r="I2874" s="2" t="str">
        <x:v>심의승인</x:v>
      </x:c>
      <x:c r="J2874" s="2" t="str">
        <x:v>심의승인</x:v>
      </x:c>
      <x:c r="K2874" s="2" t="str">
        <x:f>IF(OR(J2874="심의승인",J2874="반려",J2874="반려완료",J2874="심의완료"),"종결 표시",IF(OR(J2874="기후부협의",J2874="문서재제출요청",J2874="보류",J2874="보완요청",J2874="보완완료",J2874="평가중",J2874="반려요청",J2874="평가필요",LEFT(J2874,5)="보완요청("),"미종결 표시","상태 확인 필요"))</x:f>
        <x:v>종결 표시</x:v>
      </x:c>
      <x:c r="L2874" s="2" t="str">
        <x:v>KRIC</x:v>
      </x:c>
      <x:c r="M2874" s="2"/>
      <x:c r="N2874" s="8" t="n">
        <x:f>DATE(2026,10,15)-DATE(2022,5,26)</x:f>
        <x:v>1603</x:v>
      </x:c>
      <x:c r="O2874" s="2"/>
      <x:c r="P2874" s="2"/>
      <x:c r="Q2874" s="2" t="str">
        <x:v>산업전환_외부사업관리Tool_260707_이너젠 수정_LJY_261013.xlsx</x:v>
      </x:c>
      <x:c r="R2874" s="2" t="str">
        <x:v>국외인증</x:v>
      </x:c>
      <x:c r="S2874" s="8" t="n">
        <x:v>461</x:v>
      </x:c>
      <x:c r="T2874" s="2" t="str">
        <x:v>(6/10)(9/19)(11/18)</x:v>
      </x:c>
      <x:c r="U2874" s="2" t="str">
        <x:v>2022 지정: (6/10)(9/19)(11/18)</x:v>
      </x:c>
      <x:c r="V2874" s="2" t="str">
        <x:v>2023-03-24</x:v>
      </x:c>
      <x:c r="W2874" s="2" t="str"/>
      <x:c r="X2874" s="2" t="str">
        <x:v>종결 근거 보관</x:v>
      </x:c>
      <x:c r="Y2874" s="2" t="str">
        <x:v>ad210cd9ec132cfd447541c8984dc53d30aff0f4fb2dc92d254d49275cc55976</x:v>
      </x:c>
      <x:c r="Z2874" s="2" t="n">
        <x:f>SUBTOTAL(103,A2874)</x:f>
        <x:v>1</x:v>
      </x:c>
      <x:c r="AA2874" s="2" t="str">
        <x:f>IF(K2874&lt;&gt;"미종결 표시","대상 아님",IF(N2874="","신청일 확인",IF(NOT(ISNUMBER('종합 현황'!$H$5)),"관찰기준 확인",IF('종합 현황'!$H$5&lt;1,"관찰기준 확인",IF(N2874&gt;'종합 현황'!$H$5,"내부 관찰 대상","내부 관찰일 이하")))))</x:f>
        <x:v>대상 아님</x:v>
      </x:c>
      <x:c r="AB2874" s="2" t="str">
        <x:v>2022-05-26 14:05 - 접수
2022-05-30 08:47 - 신청
2022-10-04 20:50 - 문서재제출요청
2022-10-21 17:27 - 접수
2022-10-24 11:17 - 신청
2022-12-23 14:15 - 문서재제출요청
2022-12-23 15:44 - 접수
2022-12-27 15:55 - 신청
2023-03-15 10:06 - 검토승인
2023-03-24 15:35 - 심의승인</x:v>
      </x:c>
    </x:row>
    <x:row r="2875" ht="42" customHeight="1">
      <x:c r="A2875" s="2" t="str">
        <x:v>0ee6c4c179ed06c24df52bef</x:v>
      </x:c>
      <x:c r="B2875" s="2" t="str">
        <x:v>감축량 인증</x:v>
      </x:c>
      <x:c r="C2875" s="2" t="str">
        <x:v>국외</x:v>
      </x:c>
      <x:c r="D2875" s="7" t="str">
        <x:v>DelAgua 르완다 보건 프로그램: 르완다 남부 지역 CPA 18</x:v>
      </x:c>
      <x:c r="E2875" s="2" t="str">
        <x:v>599</x:v>
      </x:c>
      <x:c r="F2875" s="2" t="str">
        <x:v>2022-11-12</x:v>
      </x:c>
      <x:c r="G2875" s="2" t="str">
        <x:v>2022</x:v>
      </x:c>
      <x:c r="H2875" s="2" t="str">
        <x:v>11</x:v>
      </x:c>
      <x:c r="I2875" s="2" t="str">
        <x:v>심의승인</x:v>
      </x:c>
      <x:c r="J2875" s="2" t="str">
        <x:v>심의승인</x:v>
      </x:c>
      <x:c r="K2875" s="2" t="str">
        <x:f>IF(OR(J2875="심의승인",J2875="반려",J2875="반려완료",J2875="심의완료"),"종결 표시",IF(OR(J2875="기후부협의",J2875="문서재제출요청",J2875="보류",J2875="보완요청",J2875="보완완료",J2875="평가중",J2875="반려요청",J2875="평가필요",LEFT(J2875,5)="보완요청("),"미종결 표시","상태 확인 필요"))</x:f>
        <x:v>종결 표시</x:v>
      </x:c>
      <x:c r="L2875" s="2" t="str">
        <x:v>KRIC</x:v>
      </x:c>
      <x:c r="M2875" s="2"/>
      <x:c r="N2875" s="8" t="n">
        <x:f>DATE(2026,10,15)-DATE(2022,11,12)</x:f>
        <x:v>1433</x:v>
      </x:c>
      <x:c r="O2875" s="2"/>
      <x:c r="P2875" s="2"/>
      <x:c r="Q2875" s="2" t="str">
        <x:v>산업전환_외부사업관리Tool_260707_이너젠 수정_LJY_261013.xlsx</x:v>
      </x:c>
      <x:c r="R2875" s="2" t="str">
        <x:v>국외인증</x:v>
      </x:c>
      <x:c r="S2875" s="8" t="n">
        <x:v>462</x:v>
      </x:c>
      <x:c r="T2875" s="2" t="str">
        <x:v>(11/18)</x:v>
      </x:c>
      <x:c r="U2875" s="2" t="str">
        <x:v>2022 지정: (11/18)</x:v>
      </x:c>
      <x:c r="V2875" s="2" t="str">
        <x:v>2023-03-24</x:v>
      </x:c>
      <x:c r="W2875" s="2" t="str"/>
      <x:c r="X2875" s="2" t="str">
        <x:v>종결 근거 보관</x:v>
      </x:c>
      <x:c r="Y2875" s="2" t="str">
        <x:v>ad210cd9ec132cfd447541c8984dc53d30aff0f4fb2dc92d254d49275cc55976</x:v>
      </x:c>
      <x:c r="Z2875" s="2" t="n">
        <x:f>SUBTOTAL(103,A2875)</x:f>
        <x:v>1</x:v>
      </x:c>
      <x:c r="AA2875" s="2" t="str">
        <x:f>IF(K2875&lt;&gt;"미종결 표시","대상 아님",IF(N2875="","신청일 확인",IF(NOT(ISNUMBER('종합 현황'!$H$5)),"관찰기준 확인",IF('종합 현황'!$H$5&lt;1,"관찰기준 확인",IF(N2875&gt;'종합 현황'!$H$5,"내부 관찰 대상","내부 관찰일 이하")))))</x:f>
        <x:v>대상 아님</x:v>
      </x:c>
      <x:c r="AB2875" s="2" t="str">
        <x:v>2022-11-12 16:06 - 신청
2022-11-23 11:50 - 문서재제출요청
2022-11-28 08:56 - 신청
2022-12-07 13:17 - 문서재제출요청
2022-12-09 14:15 - 신청
2022-12-23 14:13 - 문서재제출요청
2022-12-26 08:43 - 신청
2022-12-26 11:21 - 문서재제출요청
2022-12-26 11:45 - 신청
2023-03-15 10:50 - 검토승인
2023-03-24 15:37 - 심의승인</x:v>
      </x:c>
    </x:row>
    <x:row r="2876" ht="42" customHeight="1">
      <x:c r="A2876" s="2" t="str">
        <x:v>f9c8419c469d59cc4448f29b</x:v>
      </x:c>
      <x:c r="B2876" s="2" t="str">
        <x:v>감축량 인증</x:v>
      </x:c>
      <x:c r="C2876" s="2" t="str">
        <x:v>국외</x:v>
      </x:c>
      <x:c r="D2876" s="7" t="str">
        <x:v>DelAgua 르완다 보건 프로그램: 르완다 남부 지역 CPA 19</x:v>
      </x:c>
      <x:c r="E2876" s="2" t="str">
        <x:v>495</x:v>
      </x:c>
      <x:c r="F2876" s="2" t="str">
        <x:v>2022-09-20</x:v>
      </x:c>
      <x:c r="G2876" s="2" t="str">
        <x:v>2022</x:v>
      </x:c>
      <x:c r="H2876" s="2" t="str">
        <x:v>09</x:v>
      </x:c>
      <x:c r="I2876" s="2" t="str">
        <x:v>심의승인</x:v>
      </x:c>
      <x:c r="J2876" s="2" t="str">
        <x:v>심의승인</x:v>
      </x:c>
      <x:c r="K2876" s="2" t="str">
        <x:f>IF(OR(J2876="심의승인",J2876="반려",J2876="반려완료",J2876="심의완료"),"종결 표시",IF(OR(J2876="기후부협의",J2876="문서재제출요청",J2876="보류",J2876="보완요청",J2876="보완완료",J2876="평가중",J2876="반려요청",J2876="평가필요",LEFT(J2876,5)="보완요청("),"미종결 표시","상태 확인 필요"))</x:f>
        <x:v>종결 표시</x:v>
      </x:c>
      <x:c r="L2876" s="2" t="str">
        <x:v>KRIC</x:v>
      </x:c>
      <x:c r="M2876" s="2"/>
      <x:c r="N2876" s="8" t="n">
        <x:f>DATE(2026,10,15)-DATE(2022,9,20)</x:f>
        <x:v>1486</x:v>
      </x:c>
      <x:c r="O2876" s="2"/>
      <x:c r="P2876" s="2"/>
      <x:c r="Q2876" s="2" t="str">
        <x:v>산업전환_외부사업관리Tool_260707_이너젠 수정_LJY_261013.xlsx</x:v>
      </x:c>
      <x:c r="R2876" s="2" t="str">
        <x:v>국외인증</x:v>
      </x:c>
      <x:c r="S2876" s="8" t="n">
        <x:v>463</x:v>
      </x:c>
      <x:c r="T2876" s="2" t="str">
        <x:v>(10/19),(12/8)</x:v>
      </x:c>
      <x:c r="U2876" s="2" t="str">
        <x:v>2022 지정: (10/19),(12/8)</x:v>
      </x:c>
      <x:c r="V2876" s="2" t="str">
        <x:v>2023-03-24</x:v>
      </x:c>
      <x:c r="W2876" s="2" t="str"/>
      <x:c r="X2876" s="2" t="str">
        <x:v>종결 근거 보관</x:v>
      </x:c>
      <x:c r="Y2876" s="2" t="str">
        <x:v>ad210cd9ec132cfd447541c8984dc53d30aff0f4fb2dc92d254d49275cc55976</x:v>
      </x:c>
      <x:c r="Z2876" s="2" t="n">
        <x:f>SUBTOTAL(103,A2876)</x:f>
        <x:v>1</x:v>
      </x:c>
      <x:c r="AA2876" s="2" t="str">
        <x:f>IF(K2876&lt;&gt;"미종결 표시","대상 아님",IF(N2876="","신청일 확인",IF(NOT(ISNUMBER('종합 현황'!$H$5)),"관찰기준 확인",IF('종합 현황'!$H$5&lt;1,"관찰기준 확인",IF(N2876&gt;'종합 현황'!$H$5,"내부 관찰 대상","내부 관찰일 이하")))))</x:f>
        <x:v>대상 아님</x:v>
      </x:c>
      <x:c r="AB2876" s="2" t="str">
        <x:v>2022-09-20 14:35 - 신청
2022-11-23 11:53 - 문서재제출요청
2022-11-28 08:59 - 신청
2022-11-28 10:03 - 문서재제출요청
2022-11-28 10:23 - 신청
2022-12-07 13:18 - 문서재제출요청
2022-12-09 14:27 - 신청
2022-12-23 14:13 - 문서재제출요청
2022-12-26 08:47 - 신청
2022-12-26 11:20 - 문서재제출요청
2022-12-26 11:48 - 신청
2023-03-15 10:51 - 검토승인
2023-03-24 15:37 - 심의승인</x:v>
      </x:c>
    </x:row>
    <x:row r="2877" ht="42" customHeight="1">
      <x:c r="A2877" s="2" t="str">
        <x:v>d80d7e99d745b998cc71e8f2</x:v>
      </x:c>
      <x:c r="B2877" s="2" t="str">
        <x:v>감축량 인증</x:v>
      </x:c>
      <x:c r="C2877" s="2" t="str">
        <x:v>국외</x:v>
      </x:c>
      <x:c r="D2877" s="7" t="str">
        <x:v>DelAgua 르완다 보건 프로그램: 르완다 남부 지역 CPA 20</x:v>
      </x:c>
      <x:c r="E2877" s="2" t="str">
        <x:v>496</x:v>
      </x:c>
      <x:c r="F2877" s="2" t="str">
        <x:v>2022-09-20</x:v>
      </x:c>
      <x:c r="G2877" s="2" t="str">
        <x:v>2022</x:v>
      </x:c>
      <x:c r="H2877" s="2" t="str">
        <x:v>09</x:v>
      </x:c>
      <x:c r="I2877" s="2" t="str">
        <x:v>심의승인</x:v>
      </x:c>
      <x:c r="J2877" s="2" t="str">
        <x:v>심의승인</x:v>
      </x:c>
      <x:c r="K2877" s="2" t="str">
        <x:f>IF(OR(J2877="심의승인",J2877="반려",J2877="반려완료",J2877="심의완료"),"종결 표시",IF(OR(J2877="기후부협의",J2877="문서재제출요청",J2877="보류",J2877="보완요청",J2877="보완완료",J2877="평가중",J2877="반려요청",J2877="평가필요",LEFT(J2877,5)="보완요청("),"미종결 표시","상태 확인 필요"))</x:f>
        <x:v>종결 표시</x:v>
      </x:c>
      <x:c r="L2877" s="2" t="str">
        <x:v>KRIC</x:v>
      </x:c>
      <x:c r="M2877" s="2"/>
      <x:c r="N2877" s="8" t="n">
        <x:f>DATE(2026,10,15)-DATE(2022,9,20)</x:f>
        <x:v>1486</x:v>
      </x:c>
      <x:c r="O2877" s="2"/>
      <x:c r="P2877" s="2"/>
      <x:c r="Q2877" s="2" t="str">
        <x:v>산업전환_외부사업관리Tool_260707_이너젠 수정_LJY_261013.xlsx</x:v>
      </x:c>
      <x:c r="R2877" s="2" t="str">
        <x:v>국외인증</x:v>
      </x:c>
      <x:c r="S2877" s="8" t="n">
        <x:v>464</x:v>
      </x:c>
      <x:c r="T2877" s="2" t="str">
        <x:v>(10/19),(12/8)</x:v>
      </x:c>
      <x:c r="U2877" s="2" t="str">
        <x:v>2022 지정: (10/19),(12/8)</x:v>
      </x:c>
      <x:c r="V2877" s="2" t="str">
        <x:v>2023-03-24</x:v>
      </x:c>
      <x:c r="W2877" s="2" t="str"/>
      <x:c r="X2877" s="2" t="str">
        <x:v>종결 근거 보관</x:v>
      </x:c>
      <x:c r="Y2877" s="2" t="str">
        <x:v>ad210cd9ec132cfd447541c8984dc53d30aff0f4fb2dc92d254d49275cc55976</x:v>
      </x:c>
      <x:c r="Z2877" s="2" t="n">
        <x:f>SUBTOTAL(103,A2877)</x:f>
        <x:v>1</x:v>
      </x:c>
      <x:c r="AA2877" s="2" t="str">
        <x:f>IF(K2877&lt;&gt;"미종결 표시","대상 아님",IF(N2877="","신청일 확인",IF(NOT(ISNUMBER('종합 현황'!$H$5)),"관찰기준 확인",IF('종합 현황'!$H$5&lt;1,"관찰기준 확인",IF(N2877&gt;'종합 현황'!$H$5,"내부 관찰 대상","내부 관찰일 이하")))))</x:f>
        <x:v>대상 아님</x:v>
      </x:c>
      <x:c r="AB2877" s="2" t="str">
        <x:v>2022-09-20 14:35 - 신청
2022-11-23 11:52 - 문서재제출요청
2022-11-28 09:04 - 신청
2022-11-28 10:05 - 문서재제출요청
2022-11-28 10:25 - 신청
2022-12-07 13:18 - 문서재제출요청
2022-12-09 14:31 - 신청
2022-12-23 14:13 - 문서재제출요청
2022-12-26 08:54 - 신청
2022-12-26 11:19 - 문서재제출요청
2022-12-26 11:52 - 신청
2023-03-15 10:52 - 검토승인
2023-03-24 15:38 - 심의승인</x:v>
      </x:c>
    </x:row>
    <x:row r="2878" ht="42" customHeight="1">
      <x:c r="A2878" s="2" t="str">
        <x:v>f9adb84be4a687eb0ad06fc8</x:v>
      </x:c>
      <x:c r="B2878" s="2" t="str">
        <x:v>감축량 인증</x:v>
      </x:c>
      <x:c r="C2878" s="2" t="str">
        <x:v>국외</x:v>
      </x:c>
      <x:c r="D2878" s="7" t="str">
        <x:v>DelAgua 르완다 보건 프로그램: 르완다 남부 지역 CPA 21</x:v>
      </x:c>
      <x:c r="E2878" s="2" t="str">
        <x:v>497</x:v>
      </x:c>
      <x:c r="F2878" s="2" t="str">
        <x:v>2022-09-20</x:v>
      </x:c>
      <x:c r="G2878" s="2" t="str">
        <x:v>2022</x:v>
      </x:c>
      <x:c r="H2878" s="2" t="str">
        <x:v>09</x:v>
      </x:c>
      <x:c r="I2878" s="2" t="str">
        <x:v>심의승인</x:v>
      </x:c>
      <x:c r="J2878" s="2" t="str">
        <x:v>심의승인</x:v>
      </x:c>
      <x:c r="K2878" s="2" t="str">
        <x:f>IF(OR(J2878="심의승인",J2878="반려",J2878="반려완료",J2878="심의완료"),"종결 표시",IF(OR(J2878="기후부협의",J2878="문서재제출요청",J2878="보류",J2878="보완요청",J2878="보완완료",J2878="평가중",J2878="반려요청",J2878="평가필요",LEFT(J2878,5)="보완요청("),"미종결 표시","상태 확인 필요"))</x:f>
        <x:v>종결 표시</x:v>
      </x:c>
      <x:c r="L2878" s="2" t="str">
        <x:v>KRIC</x:v>
      </x:c>
      <x:c r="M2878" s="2"/>
      <x:c r="N2878" s="8" t="n">
        <x:f>DATE(2026,10,15)-DATE(2022,9,20)</x:f>
        <x:v>1486</x:v>
      </x:c>
      <x:c r="O2878" s="2"/>
      <x:c r="P2878" s="2"/>
      <x:c r="Q2878" s="2" t="str">
        <x:v>산업전환_외부사업관리Tool_260707_이너젠 수정_LJY_261013.xlsx</x:v>
      </x:c>
      <x:c r="R2878" s="2" t="str">
        <x:v>국외인증</x:v>
      </x:c>
      <x:c r="S2878" s="8" t="n">
        <x:v>465</x:v>
      </x:c>
      <x:c r="T2878" s="2" t="str">
        <x:v>(10/19),(12/8)</x:v>
      </x:c>
      <x:c r="U2878" s="2" t="str">
        <x:v>2022 지정: (10/19),(12/8)</x:v>
      </x:c>
      <x:c r="V2878" s="2" t="str">
        <x:v>2023-03-24</x:v>
      </x:c>
      <x:c r="W2878" s="2" t="str"/>
      <x:c r="X2878" s="2" t="str">
        <x:v>종결 근거 보관</x:v>
      </x:c>
      <x:c r="Y2878" s="2" t="str">
        <x:v>ad210cd9ec132cfd447541c8984dc53d30aff0f4fb2dc92d254d49275cc55976</x:v>
      </x:c>
      <x:c r="Z2878" s="2" t="n">
        <x:f>SUBTOTAL(103,A2878)</x:f>
        <x:v>1</x:v>
      </x:c>
      <x:c r="AA2878" s="2" t="str">
        <x:f>IF(K2878&lt;&gt;"미종결 표시","대상 아님",IF(N2878="","신청일 확인",IF(NOT(ISNUMBER('종합 현황'!$H$5)),"관찰기준 확인",IF('종합 현황'!$H$5&lt;1,"관찰기준 확인",IF(N2878&gt;'종합 현황'!$H$5,"내부 관찰 대상","내부 관찰일 이하")))))</x:f>
        <x:v>대상 아님</x:v>
      </x:c>
      <x:c r="AB2878" s="2" t="str">
        <x:v>2022-09-20 14:35 - 신청
2022-11-23 11:52 - 문서재제출요청
2022-11-28 09:17 - 신청
2022-12-07 13:18 - 문서재제출요청
2022-12-07 16:08 - 신청
2022-12-07 17:52 - 문서재제출요청
2022-12-09 14:34 - 신청
2022-12-23 14:12 - 문서재제출요청
2022-12-26 08:59 - 신청
2022-12-26 11:18 - 문서재제출요청
2022-12-26 11:53 - 신청
2023-03-15 10:53 - 검토승인
2023-03-24 15:38 - 심의승인</x:v>
      </x:c>
    </x:row>
    <x:row r="2879" ht="42" customHeight="1">
      <x:c r="A2879" s="2" t="str">
        <x:v>e5b4ae6cc838d0bb68d2b32a</x:v>
      </x:c>
      <x:c r="B2879" s="2" t="str">
        <x:v>감축량 인증</x:v>
      </x:c>
      <x:c r="C2879" s="2" t="str">
        <x:v>국외</x:v>
      </x:c>
      <x:c r="D2879" s="7" t="str">
        <x:v>DelAgua 르완다 보건 프로그램: 르완다 남부 지역 CPA 22</x:v>
      </x:c>
      <x:c r="E2879" s="2" t="str">
        <x:v>498</x:v>
      </x:c>
      <x:c r="F2879" s="2" t="str">
        <x:v>2022-09-20</x:v>
      </x:c>
      <x:c r="G2879" s="2" t="str">
        <x:v>2022</x:v>
      </x:c>
      <x:c r="H2879" s="2" t="str">
        <x:v>09</x:v>
      </x:c>
      <x:c r="I2879" s="2" t="str">
        <x:v>심의승인</x:v>
      </x:c>
      <x:c r="J2879" s="2" t="str">
        <x:v>심의승인</x:v>
      </x:c>
      <x:c r="K2879" s="2" t="str">
        <x:f>IF(OR(J2879="심의승인",J2879="반려",J2879="반려완료",J2879="심의완료"),"종결 표시",IF(OR(J2879="기후부협의",J2879="문서재제출요청",J2879="보류",J2879="보완요청",J2879="보완완료",J2879="평가중",J2879="반려요청",J2879="평가필요",LEFT(J2879,5)="보완요청("),"미종결 표시","상태 확인 필요"))</x:f>
        <x:v>종결 표시</x:v>
      </x:c>
      <x:c r="L2879" s="2" t="str">
        <x:v>KRIC</x:v>
      </x:c>
      <x:c r="M2879" s="2"/>
      <x:c r="N2879" s="8" t="n">
        <x:f>DATE(2026,10,15)-DATE(2022,9,20)</x:f>
        <x:v>1486</x:v>
      </x:c>
      <x:c r="O2879" s="2"/>
      <x:c r="P2879" s="2"/>
      <x:c r="Q2879" s="2" t="str">
        <x:v>산업전환_외부사업관리Tool_260707_이너젠 수정_LJY_261013.xlsx</x:v>
      </x:c>
      <x:c r="R2879" s="2" t="str">
        <x:v>국외인증</x:v>
      </x:c>
      <x:c r="S2879" s="8" t="n">
        <x:v>466</x:v>
      </x:c>
      <x:c r="T2879" s="2" t="str">
        <x:v>(10/19),(12/8)</x:v>
      </x:c>
      <x:c r="U2879" s="2" t="str">
        <x:v>2022 지정: (10/19),(12/8)</x:v>
      </x:c>
      <x:c r="V2879" s="2" t="str">
        <x:v>2023-03-24</x:v>
      </x:c>
      <x:c r="W2879" s="2" t="str"/>
      <x:c r="X2879" s="2" t="str">
        <x:v>종결 근거 보관</x:v>
      </x:c>
      <x:c r="Y2879" s="2" t="str">
        <x:v>ad210cd9ec132cfd447541c8984dc53d30aff0f4fb2dc92d254d49275cc55976</x:v>
      </x:c>
      <x:c r="Z2879" s="2" t="n">
        <x:f>SUBTOTAL(103,A2879)</x:f>
        <x:v>1</x:v>
      </x:c>
      <x:c r="AA2879" s="2" t="str">
        <x:f>IF(K2879&lt;&gt;"미종결 표시","대상 아님",IF(N2879="","신청일 확인",IF(NOT(ISNUMBER('종합 현황'!$H$5)),"관찰기준 확인",IF('종합 현황'!$H$5&lt;1,"관찰기준 확인",IF(N2879&gt;'종합 현황'!$H$5,"내부 관찰 대상","내부 관찰일 이하")))))</x:f>
        <x:v>대상 아님</x:v>
      </x:c>
      <x:c r="AB2879" s="2" t="str">
        <x:v>2022-09-20 14:35 - 신청
2022-11-23 11:52 - 문서재제출요청
2022-11-28 09:20 - 신청
2022-12-07 13:19 - 문서재제출요청
2022-12-09 14:37 - 신청
2022-12-23 14:12 - 문서재제출요청
2022-12-26 09:02 - 신청
2022-12-26 11:18 - 문서재제출요청
2022-12-26 11:56 - 신청
2023-03-15 10:53 - 검토승인
2023-03-24 15:39 - 심의승인</x:v>
      </x:c>
    </x:row>
    <x:row r="2880" ht="42" customHeight="1">
      <x:c r="A2880" s="2" t="str">
        <x:v>2952efba5ecfcc32c6e779ea</x:v>
      </x:c>
      <x:c r="B2880" s="2" t="str">
        <x:v>감축량 인증</x:v>
      </x:c>
      <x:c r="C2880" s="2" t="str">
        <x:v>국외</x:v>
      </x:c>
      <x:c r="D2880" s="7" t="str">
        <x:v>DelAgua 르완다 보건 프로그램: 르완다 남부 지역 CPA 23</x:v>
      </x:c>
      <x:c r="E2880" s="2" t="str">
        <x:v>499</x:v>
      </x:c>
      <x:c r="F2880" s="2" t="str">
        <x:v>2022-09-20</x:v>
      </x:c>
      <x:c r="G2880" s="2" t="str">
        <x:v>2022</x:v>
      </x:c>
      <x:c r="H2880" s="2" t="str">
        <x:v>09</x:v>
      </x:c>
      <x:c r="I2880" s="2" t="str">
        <x:v>심의승인</x:v>
      </x:c>
      <x:c r="J2880" s="2" t="str">
        <x:v>심의승인</x:v>
      </x:c>
      <x:c r="K2880" s="2" t="str">
        <x:f>IF(OR(J2880="심의승인",J2880="반려",J2880="반려완료",J2880="심의완료"),"종결 표시",IF(OR(J2880="기후부협의",J2880="문서재제출요청",J2880="보류",J2880="보완요청",J2880="보완완료",J2880="평가중",J2880="반려요청",J2880="평가필요",LEFT(J2880,5)="보완요청("),"미종결 표시","상태 확인 필요"))</x:f>
        <x:v>종결 표시</x:v>
      </x:c>
      <x:c r="L2880" s="2" t="str">
        <x:v>KRIC</x:v>
      </x:c>
      <x:c r="M2880" s="2"/>
      <x:c r="N2880" s="8" t="n">
        <x:f>DATE(2026,10,15)-DATE(2022,9,20)</x:f>
        <x:v>1486</x:v>
      </x:c>
      <x:c r="O2880" s="2"/>
      <x:c r="P2880" s="2"/>
      <x:c r="Q2880" s="2" t="str">
        <x:v>산업전환_외부사업관리Tool_260707_이너젠 수정_LJY_261013.xlsx</x:v>
      </x:c>
      <x:c r="R2880" s="2" t="str">
        <x:v>국외인증</x:v>
      </x:c>
      <x:c r="S2880" s="8" t="n">
        <x:v>467</x:v>
      </x:c>
      <x:c r="T2880" s="2" t="str">
        <x:v>(10/19),(12/8)</x:v>
      </x:c>
      <x:c r="U2880" s="2" t="str">
        <x:v>2022 지정: (10/19),(12/8)</x:v>
      </x:c>
      <x:c r="V2880" s="2" t="str">
        <x:v>2023-03-24</x:v>
      </x:c>
      <x:c r="W2880" s="2" t="str"/>
      <x:c r="X2880" s="2" t="str">
        <x:v>종결 근거 보관</x:v>
      </x:c>
      <x:c r="Y2880" s="2" t="str">
        <x:v>ad210cd9ec132cfd447541c8984dc53d30aff0f4fb2dc92d254d49275cc55976</x:v>
      </x:c>
      <x:c r="Z2880" s="2" t="n">
        <x:f>SUBTOTAL(103,A2880)</x:f>
        <x:v>1</x:v>
      </x:c>
      <x:c r="AA2880" s="2" t="str">
        <x:f>IF(K2880&lt;&gt;"미종결 표시","대상 아님",IF(N2880="","신청일 확인",IF(NOT(ISNUMBER('종합 현황'!$H$5)),"관찰기준 확인",IF('종합 현황'!$H$5&lt;1,"관찰기준 확인",IF(N2880&gt;'종합 현황'!$H$5,"내부 관찰 대상","내부 관찰일 이하")))))</x:f>
        <x:v>대상 아님</x:v>
      </x:c>
      <x:c r="AB2880" s="2" t="str">
        <x:v>2022-09-20 14:35 - 신청
2022-11-23 11:52 - 문서재제출요청
2022-11-28 09:24 - 신청
2022-12-07 13:19 - 문서재제출요청
2022-12-09 14:41 - 신청
2022-12-23 14:12 - 문서재제출요청
2022-12-26 09:06 - 신청
2022-12-26 11:18 - 문서재제출요청
2022-12-26 11:58 - 신청
2023-03-15 10:54 - 검토승인
2023-03-24 15:39 - 심의승인</x:v>
      </x:c>
    </x:row>
    <x:row r="2881" ht="42" customHeight="1">
      <x:c r="A2881" s="2" t="str">
        <x:v>140da4fd41df532f2ac0df3b</x:v>
      </x:c>
      <x:c r="B2881" s="2" t="str">
        <x:v>감축량 인증</x:v>
      </x:c>
      <x:c r="C2881" s="2" t="str">
        <x:v>국외</x:v>
      </x:c>
      <x:c r="D2881" s="7" t="str">
        <x:v>DelAgua 르완다 보건 프로그램: 르완다 남부 지역 CPA 24</x:v>
      </x:c>
      <x:c r="E2881" s="2" t="str">
        <x:v>500</x:v>
      </x:c>
      <x:c r="F2881" s="2" t="str">
        <x:v>2022-09-20</x:v>
      </x:c>
      <x:c r="G2881" s="2" t="str">
        <x:v>2022</x:v>
      </x:c>
      <x:c r="H2881" s="2" t="str">
        <x:v>09</x:v>
      </x:c>
      <x:c r="I2881" s="2" t="str">
        <x:v>심의승인</x:v>
      </x:c>
      <x:c r="J2881" s="2" t="str">
        <x:v>심의승인</x:v>
      </x:c>
      <x:c r="K2881" s="2" t="str">
        <x:f>IF(OR(J2881="심의승인",J2881="반려",J2881="반려완료",J2881="심의완료"),"종결 표시",IF(OR(J2881="기후부협의",J2881="문서재제출요청",J2881="보류",J2881="보완요청",J2881="보완완료",J2881="평가중",J2881="반려요청",J2881="평가필요",LEFT(J2881,5)="보완요청("),"미종결 표시","상태 확인 필요"))</x:f>
        <x:v>종결 표시</x:v>
      </x:c>
      <x:c r="L2881" s="2" t="str">
        <x:v>KRIC</x:v>
      </x:c>
      <x:c r="M2881" s="2"/>
      <x:c r="N2881" s="8" t="n">
        <x:f>DATE(2026,10,15)-DATE(2022,9,20)</x:f>
        <x:v>1486</x:v>
      </x:c>
      <x:c r="O2881" s="2"/>
      <x:c r="P2881" s="2"/>
      <x:c r="Q2881" s="2" t="str">
        <x:v>산업전환_외부사업관리Tool_260707_이너젠 수정_LJY_261013.xlsx</x:v>
      </x:c>
      <x:c r="R2881" s="2" t="str">
        <x:v>국외인증</x:v>
      </x:c>
      <x:c r="S2881" s="8" t="n">
        <x:v>468</x:v>
      </x:c>
      <x:c r="T2881" s="2" t="str">
        <x:v>(10/19),(12/8)</x:v>
      </x:c>
      <x:c r="U2881" s="2" t="str">
        <x:v>2022 지정: (10/19),(12/8)</x:v>
      </x:c>
      <x:c r="V2881" s="2" t="str">
        <x:v>2023-03-24</x:v>
      </x:c>
      <x:c r="W2881" s="2" t="str"/>
      <x:c r="X2881" s="2" t="str">
        <x:v>종결 근거 보관</x:v>
      </x:c>
      <x:c r="Y2881" s="2" t="str">
        <x:v>ad210cd9ec132cfd447541c8984dc53d30aff0f4fb2dc92d254d49275cc55976</x:v>
      </x:c>
      <x:c r="Z2881" s="2" t="n">
        <x:f>SUBTOTAL(103,A2881)</x:f>
        <x:v>1</x:v>
      </x:c>
      <x:c r="AA2881" s="2" t="str">
        <x:f>IF(K2881&lt;&gt;"미종결 표시","대상 아님",IF(N2881="","신청일 확인",IF(NOT(ISNUMBER('종합 현황'!$H$5)),"관찰기준 확인",IF('종합 현황'!$H$5&lt;1,"관찰기준 확인",IF(N2881&gt;'종합 현황'!$H$5,"내부 관찰 대상","내부 관찰일 이하")))))</x:f>
        <x:v>대상 아님</x:v>
      </x:c>
      <x:c r="AB2881" s="2" t="str">
        <x:v>2022-09-20 14:35 - 신청
2022-11-23 11:51 - 문서재제출요청
2022-11-28 09:27 - 신청
2022-12-07 13:20 - 문서재제출요청
2022-12-09 14:44 - 신청
2022-12-23 14:11 - 문서재제출요청
2022-12-26 09:10 - 신청
2022-12-26 11:17 - 문서재제출요청
2022-12-26 11:59 - 신청
2023-03-15 10:55 - 검토승인
2023-03-24 15:40 - 심의승인</x:v>
      </x:c>
    </x:row>
    <x:row r="2882" ht="42" customHeight="1">
      <x:c r="A2882" s="2" t="str">
        <x:v>d2ea436e18685c3a5063b2d4</x:v>
      </x:c>
      <x:c r="B2882" s="2" t="str">
        <x:v>감축량 인증</x:v>
      </x:c>
      <x:c r="C2882" s="2" t="str">
        <x:v>국외</x:v>
      </x:c>
      <x:c r="D2882" s="7" t="str">
        <x:v>DelAgua 르완다 보건 프로그램: 르완다 남부 지역 CPA 25</x:v>
      </x:c>
      <x:c r="E2882" s="2" t="str">
        <x:v>501</x:v>
      </x:c>
      <x:c r="F2882" s="2" t="str">
        <x:v>2022-09-20</x:v>
      </x:c>
      <x:c r="G2882" s="2" t="str">
        <x:v>2022</x:v>
      </x:c>
      <x:c r="H2882" s="2" t="str">
        <x:v>09</x:v>
      </x:c>
      <x:c r="I2882" s="2" t="str">
        <x:v>심의승인</x:v>
      </x:c>
      <x:c r="J2882" s="2" t="str">
        <x:v>심의승인</x:v>
      </x:c>
      <x:c r="K2882" s="2" t="str">
        <x:f>IF(OR(J2882="심의승인",J2882="반려",J2882="반려완료",J2882="심의완료"),"종결 표시",IF(OR(J2882="기후부협의",J2882="문서재제출요청",J2882="보류",J2882="보완요청",J2882="보완완료",J2882="평가중",J2882="반려요청",J2882="평가필요",LEFT(J2882,5)="보완요청("),"미종결 표시","상태 확인 필요"))</x:f>
        <x:v>종결 표시</x:v>
      </x:c>
      <x:c r="L2882" s="2" t="str">
        <x:v>KRIC</x:v>
      </x:c>
      <x:c r="M2882" s="2"/>
      <x:c r="N2882" s="8" t="n">
        <x:f>DATE(2026,10,15)-DATE(2022,9,20)</x:f>
        <x:v>1486</x:v>
      </x:c>
      <x:c r="O2882" s="2"/>
      <x:c r="P2882" s="2"/>
      <x:c r="Q2882" s="2" t="str">
        <x:v>산업전환_외부사업관리Tool_260707_이너젠 수정_LJY_261013.xlsx</x:v>
      </x:c>
      <x:c r="R2882" s="2" t="str">
        <x:v>국외인증</x:v>
      </x:c>
      <x:c r="S2882" s="8" t="n">
        <x:v>469</x:v>
      </x:c>
      <x:c r="T2882" s="2" t="str">
        <x:v>(10/19),(12/8)</x:v>
      </x:c>
      <x:c r="U2882" s="2" t="str">
        <x:v>2022 지정: (10/19),(12/8)</x:v>
      </x:c>
      <x:c r="V2882" s="2" t="str">
        <x:v>2023-03-24</x:v>
      </x:c>
      <x:c r="W2882" s="2" t="str"/>
      <x:c r="X2882" s="2" t="str">
        <x:v>종결 근거 보관</x:v>
      </x:c>
      <x:c r="Y2882" s="2" t="str">
        <x:v>ad210cd9ec132cfd447541c8984dc53d30aff0f4fb2dc92d254d49275cc55976</x:v>
      </x:c>
      <x:c r="Z2882" s="2" t="n">
        <x:f>SUBTOTAL(103,A2882)</x:f>
        <x:v>1</x:v>
      </x:c>
      <x:c r="AA2882" s="2" t="str">
        <x:f>IF(K2882&lt;&gt;"미종결 표시","대상 아님",IF(N2882="","신청일 확인",IF(NOT(ISNUMBER('종합 현황'!$H$5)),"관찰기준 확인",IF('종합 현황'!$H$5&lt;1,"관찰기준 확인",IF(N2882&gt;'종합 현황'!$H$5,"내부 관찰 대상","내부 관찰일 이하")))))</x:f>
        <x:v>대상 아님</x:v>
      </x:c>
      <x:c r="AB2882" s="2" t="str">
        <x:v>2022-09-20 14:37 - 신청
2022-11-23 11:51 - 문서재제출요청
2022-11-28 09:29 - 신청
2022-12-07 13:20 - 문서재제출요청
2022-12-09 14:47 - 신청
2022-12-23 14:11 - 문서재제출요청
2022-12-26 09:17 - 신청
2022-12-26 11:17 - 문서재제출요청
2022-12-26 12:01 - 신청
2023-03-15 10:56 - 검토승인
2023-03-24 15:40 - 심의승인</x:v>
      </x:c>
    </x:row>
    <x:row r="2883" ht="42" customHeight="1">
      <x:c r="A2883" s="2" t="str">
        <x:v>19a1cfab7dec94d8e440ff2c</x:v>
      </x:c>
      <x:c r="B2883" s="2" t="str">
        <x:v>감축량 인증</x:v>
      </x:c>
      <x:c r="C2883" s="2" t="str">
        <x:v>국외</x:v>
      </x:c>
      <x:c r="D2883" s="7" t="str">
        <x:v>왐푸 수력 CDM 사업</x:v>
      </x:c>
      <x:c r="E2883" s="2" t="str">
        <x:v>380</x:v>
      </x:c>
      <x:c r="F2883" s="2" t="str">
        <x:v>2021-12-16</x:v>
      </x:c>
      <x:c r="G2883" s="2" t="str">
        <x:v>2021</x:v>
      </x:c>
      <x:c r="H2883" s="2" t="str">
        <x:v>12</x:v>
      </x:c>
      <x:c r="I2883" s="2" t="str">
        <x:v>심의승인</x:v>
      </x:c>
      <x:c r="J2883" s="2" t="str">
        <x:v>심의승인</x:v>
      </x:c>
      <x:c r="K2883" s="2" t="str">
        <x:f>IF(OR(J2883="심의승인",J2883="반려",J2883="반려완료",J2883="심의완료"),"종결 표시",IF(OR(J2883="기후부협의",J2883="문서재제출요청",J2883="보류",J2883="보완요청",J2883="보완완료",J2883="평가중",J2883="반려요청",J2883="평가필요",LEFT(J2883,5)="보완요청("),"미종결 표시","상태 확인 필요"))</x:f>
        <x:v>종결 표시</x:v>
      </x:c>
      <x:c r="L2883" s="2" t="str">
        <x:v>KECM&gt;KRIC</x:v>
      </x:c>
      <x:c r="M2883" s="2"/>
      <x:c r="N2883" s="8" t="n">
        <x:f>DATE(2026,10,15)-DATE(2021,12,16)</x:f>
        <x:v>1764</x:v>
      </x:c>
      <x:c r="O2883" s="2"/>
      <x:c r="P2883" s="2"/>
      <x:c r="Q2883" s="2" t="str">
        <x:v>산업전환_외부사업관리Tool_260707_이너젠 수정_LJY_261013.xlsx</x:v>
      </x:c>
      <x:c r="R2883" s="2" t="str">
        <x:v>국외인증</x:v>
      </x:c>
      <x:c r="S2883" s="8" t="n">
        <x:v>470</x:v>
      </x:c>
      <x:c r="T2883" s="2" t="str">
        <x:v>(1/18),(3/16),(5/18),(10/19)</x:v>
      </x:c>
      <x:c r="U2883" s="2" t="str">
        <x:v>2022 지정: (1/18),(3/16),(5/18),(10/19)</x:v>
      </x:c>
      <x:c r="V2883" s="2" t="str">
        <x:v>2023-12-15</x:v>
      </x:c>
      <x:c r="W2883" s="2" t="str"/>
      <x:c r="X2883" s="2" t="str">
        <x:v>종결 근거 보관</x:v>
      </x:c>
      <x:c r="Y2883" s="2" t="str">
        <x:v>ad210cd9ec132cfd447541c8984dc53d30aff0f4fb2dc92d254d49275cc55976</x:v>
      </x:c>
      <x:c r="Z2883" s="2" t="n">
        <x:f>SUBTOTAL(103,A2883)</x:f>
        <x:v>1</x:v>
      </x:c>
      <x:c r="AA2883" s="2" t="str">
        <x:f>IF(K2883&lt;&gt;"미종결 표시","대상 아님",IF(N2883="","신청일 확인",IF(NOT(ISNUMBER('종합 현황'!$H$5)),"관찰기준 확인",IF('종합 현황'!$H$5&lt;1,"관찰기준 확인",IF(N2883&gt;'종합 현황'!$H$5,"내부 관찰 대상","내부 관찰일 이하")))))</x:f>
        <x:v>대상 아님</x:v>
      </x:c>
      <x:c r="AB2883" s="2" t="str">
        <x:v>2021-12-16 15:59 - 접수
2021-12-16 16:39 - 신청
2022-01-25 15:01 - 보완요청
2022-02-18 13:00 - 접수
2022-02-21 09:31 - 신청
2022-04-01 16:12 - 보완요청
2022-05-02 15:11 - 접수
2022-05-04 08:18 - 신청
2022-07-18 16:00 - 보완요청
2022-09-20 10:17 - 접수
2022-09-21 09:01 - 신청
2023-03-14 15:20 - 문서재제출요청
2023-06-01 11:10 - 접수
2023-06-02 10:57 - 신청
2023-06-13 13:30 - 문서재제출요청
2023-06-14 10:16 - 접수
2023-06-14 10:21 - 신청
2023-06-14 13:58 - 검토승인
2023-06-28 11:25 - 협의검토중
2023-07-28 15:00 - 협의통보
2023-12-15 16:33 - 심의승인</x:v>
      </x:c>
    </x:row>
    <x:row r="2884" ht="42" customHeight="1">
      <x:c r="A2884" s="2" t="str">
        <x:v>d2fe8d5de05625d31686182c</x:v>
      </x:c>
      <x:c r="B2884" s="2" t="str">
        <x:v>감축량 인증</x:v>
      </x:c>
      <x:c r="C2884" s="2" t="str">
        <x:v>국외</x:v>
      </x:c>
      <x:c r="D2884" s="7" t="str">
        <x:v>왐푸 수력 CDM 사업</x:v>
      </x:c>
      <x:c r="E2884" s="2" t="str">
        <x:v>381</x:v>
      </x:c>
      <x:c r="F2884" s="2" t="str">
        <x:v>2021-12-16</x:v>
      </x:c>
      <x:c r="G2884" s="2" t="str">
        <x:v>2021</x:v>
      </x:c>
      <x:c r="H2884" s="2" t="str">
        <x:v>12</x:v>
      </x:c>
      <x:c r="I2884" s="2" t="str">
        <x:v>심의승인</x:v>
      </x:c>
      <x:c r="J2884" s="2" t="str">
        <x:v>심의승인</x:v>
      </x:c>
      <x:c r="K2884" s="2" t="str">
        <x:f>IF(OR(J2884="심의승인",J2884="반려",J2884="반려완료",J2884="심의완료"),"종결 표시",IF(OR(J2884="기후부협의",J2884="문서재제출요청",J2884="보류",J2884="보완요청",J2884="보완완료",J2884="평가중",J2884="반려요청",J2884="평가필요",LEFT(J2884,5)="보완요청("),"미종결 표시","상태 확인 필요"))</x:f>
        <x:v>종결 표시</x:v>
      </x:c>
      <x:c r="L2884" s="2" t="str">
        <x:v>KECM&gt;KRIC</x:v>
      </x:c>
      <x:c r="M2884" s="2"/>
      <x:c r="N2884" s="8" t="n">
        <x:f>DATE(2026,10,15)-DATE(2021,12,16)</x:f>
        <x:v>1764</x:v>
      </x:c>
      <x:c r="O2884" s="2"/>
      <x:c r="P2884" s="2"/>
      <x:c r="Q2884" s="2" t="str">
        <x:v>산업전환_외부사업관리Tool_260707_이너젠 수정_LJY_261013.xlsx</x:v>
      </x:c>
      <x:c r="R2884" s="2" t="str">
        <x:v>국외인증</x:v>
      </x:c>
      <x:c r="S2884" s="8" t="n">
        <x:v>471</x:v>
      </x:c>
      <x:c r="T2884" s="2" t="str">
        <x:v>(1/18),(3/16),(5/18),(10/19)</x:v>
      </x:c>
      <x:c r="U2884" s="2" t="str">
        <x:v>2022 지정: (1/18),(3/16),(5/18),(10/19)</x:v>
      </x:c>
      <x:c r="V2884" s="2" t="str">
        <x:v>2023-12-15</x:v>
      </x:c>
      <x:c r="W2884" s="2" t="str"/>
      <x:c r="X2884" s="2" t="str">
        <x:v>종결 근거 보관</x:v>
      </x:c>
      <x:c r="Y2884" s="2" t="str">
        <x:v>ad210cd9ec132cfd447541c8984dc53d30aff0f4fb2dc92d254d49275cc55976</x:v>
      </x:c>
      <x:c r="Z2884" s="2" t="n">
        <x:f>SUBTOTAL(103,A2884)</x:f>
        <x:v>1</x:v>
      </x:c>
      <x:c r="AA2884" s="2" t="str">
        <x:f>IF(K2884&lt;&gt;"미종결 표시","대상 아님",IF(N2884="","신청일 확인",IF(NOT(ISNUMBER('종합 현황'!$H$5)),"관찰기준 확인",IF('종합 현황'!$H$5&lt;1,"관찰기준 확인",IF(N2884&gt;'종합 현황'!$H$5,"내부 관찰 대상","내부 관찰일 이하")))))</x:f>
        <x:v>대상 아님</x:v>
      </x:c>
      <x:c r="AB2884" s="2" t="str">
        <x:v>2021-12-16 16:28 - 접수
2021-12-16 16:39 - 신청
2022-01-25 17:58 - 보완요청
2022-02-18 13:02 - 접수
2022-02-21 09:31 - 신청
2022-04-01 16:41 - 보완요청
2022-05-02 15:12 - 접수
2022-05-04 08:18 - 신청
2022-07-18 16:02 - 문서재제출요청
2022-09-20 10:15 - 접수
2022-09-21 09:01 - 신청
2023-03-14 15:23 - 문서재제출요청
2023-06-01 11:12 - 접수
2023-06-02 10:57 - 신청
2023-06-13 11:02 - 검토승인
2023-06-28 11:25 - 협의검토중
2023-07-28 15:00 - 협의통보
2023-12-15 16:34 - 심의승인</x:v>
      </x:c>
    </x:row>
    <x:row r="2885" ht="42" customHeight="1">
      <x:c r="A2885" s="2" t="str">
        <x:v>b9e7a7936bc953f63028a3d2</x:v>
      </x:c>
      <x:c r="B2885" s="2" t="str">
        <x:v>감축량 인증</x:v>
      </x:c>
      <x:c r="C2885" s="2" t="str">
        <x:v>국외</x:v>
      </x:c>
      <x:c r="D2885" s="7" t="str">
        <x:v>왐푸 수력 CDM 사업</x:v>
      </x:c>
      <x:c r="E2885" s="2" t="str">
        <x:v>382</x:v>
      </x:c>
      <x:c r="F2885" s="2" t="str">
        <x:v>2021-12-16</x:v>
      </x:c>
      <x:c r="G2885" s="2" t="str">
        <x:v>2021</x:v>
      </x:c>
      <x:c r="H2885" s="2" t="str">
        <x:v>12</x:v>
      </x:c>
      <x:c r="I2885" s="2" t="str">
        <x:v>심의승인</x:v>
      </x:c>
      <x:c r="J2885" s="2" t="str">
        <x:v>심의승인</x:v>
      </x:c>
      <x:c r="K2885" s="2" t="str">
        <x:f>IF(OR(J2885="심의승인",J2885="반려",J2885="반려완료",J2885="심의완료"),"종결 표시",IF(OR(J2885="기후부협의",J2885="문서재제출요청",J2885="보류",J2885="보완요청",J2885="보완완료",J2885="평가중",J2885="반려요청",J2885="평가필요",LEFT(J2885,5)="보완요청("),"미종결 표시","상태 확인 필요"))</x:f>
        <x:v>종결 표시</x:v>
      </x:c>
      <x:c r="L2885" s="2" t="str">
        <x:v>KECM&gt;KRIC</x:v>
      </x:c>
      <x:c r="M2885" s="2"/>
      <x:c r="N2885" s="8" t="n">
        <x:f>DATE(2026,10,15)-DATE(2021,12,16)</x:f>
        <x:v>1764</x:v>
      </x:c>
      <x:c r="O2885" s="2"/>
      <x:c r="P2885" s="2"/>
      <x:c r="Q2885" s="2" t="str">
        <x:v>산업전환_외부사업관리Tool_260707_이너젠 수정_LJY_261013.xlsx</x:v>
      </x:c>
      <x:c r="R2885" s="2" t="str">
        <x:v>국외인증</x:v>
      </x:c>
      <x:c r="S2885" s="8" t="n">
        <x:v>472</x:v>
      </x:c>
      <x:c r="T2885" s="2" t="str">
        <x:v>(1/18),(3/16),(5/18),(10/19)</x:v>
      </x:c>
      <x:c r="U2885" s="2" t="str">
        <x:v>2022 지정: (1/18),(3/16),(5/18),(10/19)</x:v>
      </x:c>
      <x:c r="V2885" s="2" t="str">
        <x:v>2023-12-15</x:v>
      </x:c>
      <x:c r="W2885" s="2" t="str"/>
      <x:c r="X2885" s="2" t="str">
        <x:v>종결 근거 보관</x:v>
      </x:c>
      <x:c r="Y2885" s="2" t="str">
        <x:v>ad210cd9ec132cfd447541c8984dc53d30aff0f4fb2dc92d254d49275cc55976</x:v>
      </x:c>
      <x:c r="Z2885" s="2" t="n">
        <x:f>SUBTOTAL(103,A2885)</x:f>
        <x:v>1</x:v>
      </x:c>
      <x:c r="AA2885" s="2" t="str">
        <x:f>IF(K2885&lt;&gt;"미종결 표시","대상 아님",IF(N2885="","신청일 확인",IF(NOT(ISNUMBER('종합 현황'!$H$5)),"관찰기준 확인",IF('종합 현황'!$H$5&lt;1,"관찰기준 확인",IF(N2885&gt;'종합 현황'!$H$5,"내부 관찰 대상","내부 관찰일 이하")))))</x:f>
        <x:v>대상 아님</x:v>
      </x:c>
      <x:c r="AB2885" s="2" t="str">
        <x:v>2021-12-16 16:07 - 접수
2021-12-16 16:40 - 신청
2022-01-25 17:29 - 보완요청
2022-02-18 13:01 - 접수
2022-02-21 09:31 - 신청
2022-04-01 16:14 - 보완요청
2022-05-02 15:11 - 접수
2022-05-04 08:18 - 신청
2022-07-18 16:02 - 보완요청
2022-09-20 10:16 - 접수
2022-09-21 09:02 - 신청
2023-03-14 15:22 - 문서재제출요청
2023-06-01 11:11 - 접수
2023-06-02 10:57 - 신청
2023-06-13 11:01 - 검토승인
2023-06-28 11:25 - 협의검토중
2023-07-28 15:00 - 협의통보
2023-12-15 16:33 - 심의승인</x:v>
      </x:c>
    </x:row>
    <x:row r="2886" ht="42" customHeight="1">
      <x:c r="A2886" s="2" t="str">
        <x:v>6b513fa72b186f4543af13b6</x:v>
      </x:c>
      <x:c r="B2886" s="2" t="str">
        <x:v>감축량 인증</x:v>
      </x:c>
      <x:c r="C2886" s="2" t="str">
        <x:v>국외</x:v>
      </x:c>
      <x:c r="D2886" s="7" t="str">
        <x:v>CPA 041 - 케나에 설치하는 BioLite의 홈스토브</x:v>
      </x:c>
      <x:c r="E2886" s="2" t="str">
        <x:v>481</x:v>
      </x:c>
      <x:c r="F2886" s="2" t="str">
        <x:v>2022-07-19</x:v>
      </x:c>
      <x:c r="G2886" s="2" t="str">
        <x:v>2022</x:v>
      </x:c>
      <x:c r="H2886" s="2" t="str">
        <x:v>07</x:v>
      </x:c>
      <x:c r="I2886" s="2" t="str">
        <x:v>심의승인</x:v>
      </x:c>
      <x:c r="J2886" s="2" t="str">
        <x:v>심의승인</x:v>
      </x:c>
      <x:c r="K2886" s="2" t="str">
        <x:f>IF(OR(J2886="심의승인",J2886="반려",J2886="반려완료",J2886="심의완료"),"종결 표시",IF(OR(J2886="기후부협의",J2886="문서재제출요청",J2886="보류",J2886="보완요청",J2886="보완완료",J2886="평가중",J2886="반려요청",J2886="평가필요",LEFT(J2886,5)="보완요청("),"미종결 표시","상태 확인 필요"))</x:f>
        <x:v>종결 표시</x:v>
      </x:c>
      <x:c r="L2886" s="2" t="str">
        <x:v>KRIC</x:v>
      </x:c>
      <x:c r="M2886" s="2"/>
      <x:c r="N2886" s="8" t="n">
        <x:f>DATE(2026,10,15)-DATE(2022,7,19)</x:f>
        <x:v>1549</x:v>
      </x:c>
      <x:c r="O2886" s="2"/>
      <x:c r="P2886" s="2"/>
      <x:c r="Q2886" s="2" t="str">
        <x:v>산업전환_외부사업관리Tool_260707_이너젠 수정_LJY_261013.xlsx</x:v>
      </x:c>
      <x:c r="R2886" s="2" t="str">
        <x:v>국외인증</x:v>
      </x:c>
      <x:c r="S2886" s="8" t="n">
        <x:v>473</x:v>
      </x:c>
      <x:c r="T2886" s="2" t="str">
        <x:v>(8/16),(10/19)</x:v>
      </x:c>
      <x:c r="U2886" s="2" t="str">
        <x:v>2022 지정: (8/16),(10/19)</x:v>
      </x:c>
      <x:c r="V2886" s="2" t="str">
        <x:v>2023-06-22</x:v>
      </x:c>
      <x:c r="W2886" s="2" t="str"/>
      <x:c r="X2886" s="2" t="str">
        <x:v>종결 근거 보관</x:v>
      </x:c>
      <x:c r="Y2886" s="2" t="str">
        <x:v>ad210cd9ec132cfd447541c8984dc53d30aff0f4fb2dc92d254d49275cc55976</x:v>
      </x:c>
      <x:c r="Z2886" s="2" t="n">
        <x:f>SUBTOTAL(103,A2886)</x:f>
        <x:v>1</x:v>
      </x:c>
      <x:c r="AA2886" s="2" t="str">
        <x:f>IF(K2886&lt;&gt;"미종결 표시","대상 아님",IF(N2886="","신청일 확인",IF(NOT(ISNUMBER('종합 현황'!$H$5)),"관찰기준 확인",IF('종합 현황'!$H$5&lt;1,"관찰기준 확인",IF(N2886&gt;'종합 현황'!$H$5,"내부 관찰 대상","내부 관찰일 이하")))))</x:f>
        <x:v>대상 아님</x:v>
      </x:c>
      <x:c r="AB2886" s="2" t="str">
        <x:v>2022-07-19 16:59 - 신청
2022-09-16 10:28 - 문서재제출요청
2022-09-26 14:43 - 신청
2023-02-07 15:50 - 문서재제출요청
2023-02-08 13:39 - 신청
2023-02-17 14:32 - 문서재제출요청
2023-02-17 14:54 - 신청
2023-02-23 10:08 - 문서재제출요청
2023-02-23 10:49 - 신청
2023-03-29 13:51 - 검토승인
2023-03-29 14:08 - 협의검토중
2023-04-10 18:06 - 협의통보
2023-06-22 16:02 - 심의승인</x:v>
      </x:c>
    </x:row>
    <x:row r="2887" ht="42" customHeight="1">
      <x:c r="A2887" s="2" t="str">
        <x:v>8c3f766235763178c33918e7</x:v>
      </x:c>
      <x:c r="B2887" s="2" t="str">
        <x:v>감축량 인증</x:v>
      </x:c>
      <x:c r="C2887" s="2" t="str">
        <x:v>국외</x:v>
      </x:c>
      <x:c r="D2887" s="7" t="str">
        <x:v>하상 수력발전 사업</x:v>
      </x:c>
      <x:c r="E2887" s="2" t="str">
        <x:v>472</x:v>
      </x:c>
      <x:c r="F2887" s="2" t="str">
        <x:v>2022-07-06</x:v>
      </x:c>
      <x:c r="G2887" s="2" t="str">
        <x:v>2022</x:v>
      </x:c>
      <x:c r="H2887" s="2" t="str">
        <x:v>07</x:v>
      </x:c>
      <x:c r="I2887" s="2" t="str">
        <x:v>심의승인</x:v>
      </x:c>
      <x:c r="J2887" s="2" t="str">
        <x:v>심의승인</x:v>
      </x:c>
      <x:c r="K2887" s="2" t="str">
        <x:f>IF(OR(J2887="심의승인",J2887="반려",J2887="반려완료",J2887="심의완료"),"종결 표시",IF(OR(J2887="기후부협의",J2887="문서재제출요청",J2887="보류",J2887="보완요청",J2887="보완완료",J2887="평가중",J2887="반려요청",J2887="평가필요",LEFT(J2887,5)="보완요청("),"미종결 표시","상태 확인 필요"))</x:f>
        <x:v>종결 표시</x:v>
      </x:c>
      <x:c r="L2887" s="2" t="str">
        <x:v>KRIC</x:v>
      </x:c>
      <x:c r="M2887" s="2"/>
      <x:c r="N2887" s="8" t="n">
        <x:f>DATE(2026,10,15)-DATE(2022,7,6)</x:f>
        <x:v>1562</x:v>
      </x:c>
      <x:c r="O2887" s="2"/>
      <x:c r="P2887" s="2"/>
      <x:c r="Q2887" s="2" t="str">
        <x:v>산업전환_외부사업관리Tool_260707_이너젠 수정_LJY_261013.xlsx</x:v>
      </x:c>
      <x:c r="R2887" s="2" t="str">
        <x:v>국외인증</x:v>
      </x:c>
      <x:c r="S2887" s="8" t="n">
        <x:v>474</x:v>
      </x:c>
      <x:c r="T2887" s="2" t="str">
        <x:v>(7/13)</x:v>
      </x:c>
      <x:c r="U2887" s="2" t="str">
        <x:v>2022 지정: (7/13)</x:v>
      </x:c>
      <x:c r="V2887" s="2" t="str">
        <x:v>2022-12-28</x:v>
      </x:c>
      <x:c r="W2887" s="2" t="str"/>
      <x:c r="X2887" s="2" t="str">
        <x:v>종결 근거 보관</x:v>
      </x:c>
      <x:c r="Y2887" s="2" t="str">
        <x:v>ad210cd9ec132cfd447541c8984dc53d30aff0f4fb2dc92d254d49275cc55976</x:v>
      </x:c>
      <x:c r="Z2887" s="2" t="n">
        <x:f>SUBTOTAL(103,A2887)</x:f>
        <x:v>1</x:v>
      </x:c>
      <x:c r="AA2887" s="2" t="str">
        <x:f>IF(K2887&lt;&gt;"미종결 표시","대상 아님",IF(N2887="","신청일 확인",IF(NOT(ISNUMBER('종합 현황'!$H$5)),"관찰기준 확인",IF('종합 현황'!$H$5&lt;1,"관찰기준 확인",IF(N2887&gt;'종합 현황'!$H$5,"내부 관찰 대상","내부 관찰일 이하")))))</x:f>
        <x:v>대상 아님</x:v>
      </x:c>
      <x:c r="AB2887" s="2" t="str">
        <x:v>2022-07-06 13:08 - 신청
2022-09-03 14:17 - 문서재제출요청
2022-09-16 12:59 - 신청
2022-09-22 10:33 - 문서재제출요청
2022-09-22 10:46 - 신청
2022-11-15 08:44 - 문서재제출요청
2022-11-15 19:22 - 신청
2022-12-21 17:48 - 검토승인
2022-12-28 16:00 - 심의승인</x:v>
      </x:c>
    </x:row>
    <x:row r="2888" ht="42" customHeight="1">
      <x:c r="A2888" s="2" t="str">
        <x:v>f31c6956ab4b1d72c843b683</x:v>
      </x:c>
      <x:c r="B2888" s="2" t="str">
        <x:v>감축량 인증</x:v>
      </x:c>
      <x:c r="C2888" s="2" t="str">
        <x:v>국외</x:v>
      </x:c>
      <x:c r="D2888" s="7" t="str">
        <x:v>잠비아의 연료사용이 효율적인 스토브 (Korea Carbon Offsets Ltd. CPA No.01)</x:v>
      </x:c>
      <x:c r="E2888" s="2" t="str">
        <x:v>473</x:v>
      </x:c>
      <x:c r="F2888" s="2" t="str">
        <x:v>2022-07-06</x:v>
      </x:c>
      <x:c r="G2888" s="2" t="str">
        <x:v>2022</x:v>
      </x:c>
      <x:c r="H2888" s="2" t="str">
        <x:v>07</x:v>
      </x:c>
      <x:c r="I2888" s="2" t="str">
        <x:v>심의승인</x:v>
      </x:c>
      <x:c r="J2888" s="2" t="str">
        <x:v>심의승인</x:v>
      </x:c>
      <x:c r="K2888" s="2" t="str">
        <x:f>IF(OR(J2888="심의승인",J2888="반려",J2888="반려완료",J2888="심의완료"),"종결 표시",IF(OR(J2888="기후부협의",J2888="문서재제출요청",J2888="보류",J2888="보완요청",J2888="보완완료",J2888="평가중",J2888="반려요청",J2888="평가필요",LEFT(J2888,5)="보완요청("),"미종결 표시","상태 확인 필요"))</x:f>
        <x:v>종결 표시</x:v>
      </x:c>
      <x:c r="L2888" s="2" t="str">
        <x:v>KRIC</x:v>
      </x:c>
      <x:c r="M2888" s="2"/>
      <x:c r="N2888" s="8" t="n">
        <x:f>DATE(2026,10,15)-DATE(2022,7,6)</x:f>
        <x:v>1562</x:v>
      </x:c>
      <x:c r="O2888" s="2"/>
      <x:c r="P2888" s="2"/>
      <x:c r="Q2888" s="2" t="str">
        <x:v>산업전환_외부사업관리Tool_260707_이너젠 수정_LJY_261013.xlsx</x:v>
      </x:c>
      <x:c r="R2888" s="2" t="str">
        <x:v>국외인증</x:v>
      </x:c>
      <x:c r="S2888" s="8" t="n">
        <x:v>475</x:v>
      </x:c>
      <x:c r="T2888" s="2" t="str">
        <x:v>(7/13)(9/19)(11/18)</x:v>
      </x:c>
      <x:c r="U2888" s="2" t="str">
        <x:v>2022 지정: (7/13)(9/19)(11/18)</x:v>
      </x:c>
      <x:c r="V2888" s="2" t="str">
        <x:v>2023-03-24</x:v>
      </x:c>
      <x:c r="W2888" s="2" t="str"/>
      <x:c r="X2888" s="2" t="str">
        <x:v>종결 근거 보관</x:v>
      </x:c>
      <x:c r="Y2888" s="2" t="str">
        <x:v>ad210cd9ec132cfd447541c8984dc53d30aff0f4fb2dc92d254d49275cc55976</x:v>
      </x:c>
      <x:c r="Z2888" s="2" t="n">
        <x:f>SUBTOTAL(103,A2888)</x:f>
        <x:v>1</x:v>
      </x:c>
      <x:c r="AA2888" s="2" t="str">
        <x:f>IF(K2888&lt;&gt;"미종결 표시","대상 아님",IF(N2888="","신청일 확인",IF(NOT(ISNUMBER('종합 현황'!$H$5)),"관찰기준 확인",IF('종합 현황'!$H$5&lt;1,"관찰기준 확인",IF(N2888&gt;'종합 현황'!$H$5,"내부 관찰 대상","내부 관찰일 이하")))))</x:f>
        <x:v>대상 아님</x:v>
      </x:c>
      <x:c r="AB2888" s="2" t="str">
        <x:v>2022-07-06 11:16 - 신청
2022-07-06 13:08 - 문서재제출요청
2022-07-06 13:14 - 신청
2022-09-26 19:45 - 문서재제출요청
2022-11-03 13:27 - 신청
2022-12-20 14:39 - 문서재제출요청
2022-12-20 14:48 - 신청
2022-12-20 15:53 - 문서재제출요청
2022-12-20 16:00 - 신청
2022-12-23 14:49 - 문서재제출요청
2022-12-23 17:40 - 신청
2023-03-15 10:00 - 검토승인
2023-03-24 15:50 - 심의승인</x:v>
      </x:c>
    </x:row>
    <x:row r="2889" ht="42" customHeight="1">
      <x:c r="A2889" s="2" t="str">
        <x:v>c675a9b8a433c003f0991da1</x:v>
      </x:c>
      <x:c r="B2889" s="2" t="str">
        <x:v>감축량 인증</x:v>
      </x:c>
      <x:c r="C2889" s="2" t="str">
        <x:v>국외</x:v>
      </x:c>
      <x:c r="D2889" s="7" t="str">
        <x:v>CPA 051 - 케나에 설치하는 석탄 스토브</x:v>
      </x:c>
      <x:c r="E2889" s="2" t="str">
        <x:v>482</x:v>
      </x:c>
      <x:c r="F2889" s="2" t="str">
        <x:v>2022-07-19</x:v>
      </x:c>
      <x:c r="G2889" s="2" t="str">
        <x:v>2022</x:v>
      </x:c>
      <x:c r="H2889" s="2" t="str">
        <x:v>07</x:v>
      </x:c>
      <x:c r="I2889" s="2" t="str">
        <x:v>심의승인</x:v>
      </x:c>
      <x:c r="J2889" s="2" t="str">
        <x:v>심의승인</x:v>
      </x:c>
      <x:c r="K2889" s="2" t="str">
        <x:f>IF(OR(J2889="심의승인",J2889="반려",J2889="반려완료",J2889="심의완료"),"종결 표시",IF(OR(J2889="기후부협의",J2889="문서재제출요청",J2889="보류",J2889="보완요청",J2889="보완완료",J2889="평가중",J2889="반려요청",J2889="평가필요",LEFT(J2889,5)="보완요청("),"미종결 표시","상태 확인 필요"))</x:f>
        <x:v>종결 표시</x:v>
      </x:c>
      <x:c r="L2889" s="2" t="str">
        <x:v>KRIC</x:v>
      </x:c>
      <x:c r="M2889" s="2"/>
      <x:c r="N2889" s="8" t="n">
        <x:f>DATE(2026,10,15)-DATE(2022,7,19)</x:f>
        <x:v>1549</x:v>
      </x:c>
      <x:c r="O2889" s="2"/>
      <x:c r="P2889" s="2"/>
      <x:c r="Q2889" s="2" t="str">
        <x:v>산업전환_외부사업관리Tool_260707_이너젠 수정_LJY_261013.xlsx</x:v>
      </x:c>
      <x:c r="R2889" s="2" t="str">
        <x:v>국외인증</x:v>
      </x:c>
      <x:c r="S2889" s="8" t="n">
        <x:v>476</x:v>
      </x:c>
      <x:c r="T2889" s="2" t="str">
        <x:v>(8/16),(10/19)</x:v>
      </x:c>
      <x:c r="U2889" s="2" t="str">
        <x:v>2022 지정: (8/16),(10/19)</x:v>
      </x:c>
      <x:c r="V2889" s="2" t="str">
        <x:v>2023-06-22</x:v>
      </x:c>
      <x:c r="W2889" s="2" t="str"/>
      <x:c r="X2889" s="2" t="str">
        <x:v>종결 근거 보관</x:v>
      </x:c>
      <x:c r="Y2889" s="2" t="str">
        <x:v>ad210cd9ec132cfd447541c8984dc53d30aff0f4fb2dc92d254d49275cc55976</x:v>
      </x:c>
      <x:c r="Z2889" s="2" t="n">
        <x:f>SUBTOTAL(103,A2889)</x:f>
        <x:v>1</x:v>
      </x:c>
      <x:c r="AA2889" s="2" t="str">
        <x:f>IF(K2889&lt;&gt;"미종결 표시","대상 아님",IF(N2889="","신청일 확인",IF(NOT(ISNUMBER('종합 현황'!$H$5)),"관찰기준 확인",IF('종합 현황'!$H$5&lt;1,"관찰기준 확인",IF(N2889&gt;'종합 현황'!$H$5,"내부 관찰 대상","내부 관찰일 이하")))))</x:f>
        <x:v>대상 아님</x:v>
      </x:c>
      <x:c r="AB2889" s="2" t="str">
        <x:v>2022-07-19 16:59 - 신청
2022-09-16 10:29 - 문서재제출요청
2022-09-26 14:43 - 신청
2023-02-07 15:51 - 문서재제출요청
2023-02-08 13:46 - 신청
2023-02-17 14:32 - 문서재제출요청
2023-02-17 14:56 - 신청
2023-02-23 10:09 - 문서재제출요청
2023-02-23 10:49 - 신청
2023-03-29 13:54 - 검토승인
2023-03-29 14:08 - 협의검토중
2023-04-10 18:06 - 협의통보
2023-06-22 16:02 - 심의승인</x:v>
      </x:c>
    </x:row>
    <x:row r="2890" ht="42" customHeight="1">
      <x:c r="A2890" s="2" t="str">
        <x:v>9d9490c942af0d83ce1abf9d</x:v>
      </x:c>
      <x:c r="B2890" s="2" t="str">
        <x:v>감축량 인증</x:v>
      </x:c>
      <x:c r="C2890" s="2" t="str">
        <x:v>국외</x:v>
      </x:c>
      <x:c r="D2890" s="7" t="str">
        <x:v>CPA 052 – 케나에 설치하는 석탄 스토브</x:v>
      </x:c>
      <x:c r="E2890" s="2" t="str">
        <x:v>483</x:v>
      </x:c>
      <x:c r="F2890" s="2" t="str">
        <x:v>2022-07-19</x:v>
      </x:c>
      <x:c r="G2890" s="2" t="str">
        <x:v>2022</x:v>
      </x:c>
      <x:c r="H2890" s="2" t="str">
        <x:v>07</x:v>
      </x:c>
      <x:c r="I2890" s="2" t="str">
        <x:v>심의승인</x:v>
      </x:c>
      <x:c r="J2890" s="2" t="str">
        <x:v>심의승인</x:v>
      </x:c>
      <x:c r="K2890" s="2" t="str">
        <x:f>IF(OR(J2890="심의승인",J2890="반려",J2890="반려완료",J2890="심의완료"),"종결 표시",IF(OR(J2890="기후부협의",J2890="문서재제출요청",J2890="보류",J2890="보완요청",J2890="보완완료",J2890="평가중",J2890="반려요청",J2890="평가필요",LEFT(J2890,5)="보완요청("),"미종결 표시","상태 확인 필요"))</x:f>
        <x:v>종결 표시</x:v>
      </x:c>
      <x:c r="L2890" s="2" t="str">
        <x:v>KRIC</x:v>
      </x:c>
      <x:c r="M2890" s="2"/>
      <x:c r="N2890" s="8" t="n">
        <x:f>DATE(2026,10,15)-DATE(2022,7,19)</x:f>
        <x:v>1549</x:v>
      </x:c>
      <x:c r="O2890" s="2"/>
      <x:c r="P2890" s="2"/>
      <x:c r="Q2890" s="2" t="str">
        <x:v>산업전환_외부사업관리Tool_260707_이너젠 수정_LJY_261013.xlsx</x:v>
      </x:c>
      <x:c r="R2890" s="2" t="str">
        <x:v>국외인증</x:v>
      </x:c>
      <x:c r="S2890" s="8" t="n">
        <x:v>477</x:v>
      </x:c>
      <x:c r="T2890" s="2" t="str">
        <x:v>(8/16),(10/19)</x:v>
      </x:c>
      <x:c r="U2890" s="2" t="str">
        <x:v>2022 지정: (8/16),(10/19)</x:v>
      </x:c>
      <x:c r="V2890" s="2" t="str">
        <x:v>2023-06-22</x:v>
      </x:c>
      <x:c r="W2890" s="2" t="str"/>
      <x:c r="X2890" s="2" t="str">
        <x:v>종결 근거 보관</x:v>
      </x:c>
      <x:c r="Y2890" s="2" t="str">
        <x:v>ad210cd9ec132cfd447541c8984dc53d30aff0f4fb2dc92d254d49275cc55976</x:v>
      </x:c>
      <x:c r="Z2890" s="2" t="n">
        <x:f>SUBTOTAL(103,A2890)</x:f>
        <x:v>1</x:v>
      </x:c>
      <x:c r="AA2890" s="2" t="str">
        <x:f>IF(K2890&lt;&gt;"미종결 표시","대상 아님",IF(N2890="","신청일 확인",IF(NOT(ISNUMBER('종합 현황'!$H$5)),"관찰기준 확인",IF('종합 현황'!$H$5&lt;1,"관찰기준 확인",IF(N2890&gt;'종합 현황'!$H$5,"내부 관찰 대상","내부 관찰일 이하")))))</x:f>
        <x:v>대상 아님</x:v>
      </x:c>
      <x:c r="AB2890" s="2" t="str">
        <x:v>2022-07-19 16:59 - 신청
2022-09-16 10:30 - 문서재제출요청
2022-09-26 14:43 - 신청
2023-02-07 15:53 - 문서재제출요청
2023-02-08 13:52 - 신청
2023-02-17 14:32 - 문서재제출요청
2023-02-17 15:01 - 신청
2023-02-23 10:09 - 문서재제출요청
2023-02-23 10:51 - 신청
2023-03-29 14:07 - 검토승인
2023-03-29 14:08 - 협의검토중
2023-04-10 18:06 - 협의통보
2023-06-22 16:03 - 심의승인</x:v>
      </x:c>
    </x:row>
    <x:row r="2891" ht="42" customHeight="1">
      <x:c r="A2891" s="2" t="str">
        <x:v>0e8b1c7d806f19bcd3b030c5</x:v>
      </x:c>
      <x:c r="B2891" s="2" t="str">
        <x:v>감축량 인증</x:v>
      </x:c>
      <x:c r="C2891" s="2" t="str">
        <x:v>국외</x:v>
      </x:c>
      <x:c r="D2891" s="7" t="str">
        <x:v>대한민국이 지원하는 부룬디 고효율 쿡스토브 프로그램 - CPA1</x:v>
      </x:c>
      <x:c r="E2891" s="2" t="str">
        <x:v>157</x:v>
      </x:c>
      <x:c r="F2891" s="2" t="str">
        <x:v>2021-08-31</x:v>
      </x:c>
      <x:c r="G2891" s="2" t="str">
        <x:v>2021</x:v>
      </x:c>
      <x:c r="H2891" s="2" t="str">
        <x:v>08</x:v>
      </x:c>
      <x:c r="I2891" s="2" t="str">
        <x:v>심의승인</x:v>
      </x:c>
      <x:c r="J2891" s="2" t="str">
        <x:v>심의승인</x:v>
      </x:c>
      <x:c r="K2891" s="2" t="str">
        <x:f>IF(OR(J2891="심의승인",J2891="반려",J2891="반려완료",J2891="심의완료"),"종결 표시",IF(OR(J2891="기후부협의",J2891="문서재제출요청",J2891="보류",J2891="보완요청",J2891="보완완료",J2891="평가중",J2891="반려요청",J2891="평가필요",LEFT(J2891,5)="보완요청("),"미종결 표시","상태 확인 필요"))</x:f>
        <x:v>종결 표시</x:v>
      </x:c>
      <x:c r="L2891" s="2" t="str">
        <x:v>KECM_황순현 &gt; KRIC</x:v>
      </x:c>
      <x:c r="M2891" s="2"/>
      <x:c r="N2891" s="8" t="n">
        <x:f>DATE(2026,10,15)-DATE(2021,8,31)</x:f>
        <x:v>1871</x:v>
      </x:c>
      <x:c r="O2891" s="2"/>
      <x:c r="P2891" s="2"/>
      <x:c r="Q2891" s="2" t="str">
        <x:v>산업전환_외부사업관리Tool_260707_이너젠 수정_LJY_261013.xlsx</x:v>
      </x:c>
      <x:c r="R2891" s="2" t="str">
        <x:v>국외인증</x:v>
      </x:c>
      <x:c r="S2891" s="8" t="n">
        <x:v>478</x:v>
      </x:c>
      <x:c r="T2891" s="2" t="str">
        <x:v>(9/14)</x:v>
      </x:c>
      <x:c r="U2891" s="2" t="str">
        <x:v>2021 지정: (9/14) / 2022 지정: (10/19)</x:v>
      </x:c>
      <x:c r="V2891" s="2" t="str">
        <x:v>2023-03-24</x:v>
      </x:c>
      <x:c r="W2891" s="2" t="str"/>
      <x:c r="X2891" s="2" t="str">
        <x:v>종결 근거 보관</x:v>
      </x:c>
      <x:c r="Y2891" s="2" t="str">
        <x:v>ad210cd9ec132cfd447541c8984dc53d30aff0f4fb2dc92d254d49275cc55976</x:v>
      </x:c>
      <x:c r="Z2891" s="2" t="n">
        <x:f>SUBTOTAL(103,A2891)</x:f>
        <x:v>1</x:v>
      </x:c>
      <x:c r="AA2891" s="2" t="str">
        <x:f>IF(K2891&lt;&gt;"미종결 표시","대상 아님",IF(N2891="","신청일 확인",IF(NOT(ISNUMBER('종합 현황'!$H$5)),"관찰기준 확인",IF('종합 현황'!$H$5&lt;1,"관찰기준 확인",IF(N2891&gt;'종합 현황'!$H$5,"내부 관찰 대상","내부 관찰일 이하")))))</x:f>
        <x:v>대상 아님</x:v>
      </x:c>
      <x:c r="AB2891" s="2" t="str">
        <x:v>2021-08-31 23:48 - 신청
2021-09-29 15:36 - 보완요청
2022-09-28 16:14 - 신청
2022-12-23 14:16 - 문서재제출요청
2022-12-26 08:28 - 신청
2023-02-01 14:05 - 문서재제출요청
2023-02-01 15:28 - 신청
2023-02-02 10:05 - 문서재제출요청
2023-02-02 11:38 - 신청
2023-03-15 11:17 - 검토승인
2023-03-24 15:52 - 심의승인</x:v>
      </x:c>
    </x:row>
    <x:row r="2892" ht="42" customHeight="1">
      <x:c r="A2892" s="2" t="str">
        <x:v>99840ae1e8e91e084ea498d0</x:v>
      </x:c>
      <x:c r="B2892" s="2" t="str">
        <x:v>감축량 인증</x:v>
      </x:c>
      <x:c r="C2892" s="2" t="str">
        <x:v>국외</x:v>
      </x:c>
      <x:c r="D2892" s="7" t="str">
        <x:v>잠비아의 연료사용이 효율적인 스토브 (Korea Carbon Offsets Ltd. CPA No.01)</x:v>
      </x:c>
      <x:c r="E2892" s="2" t="str">
        <x:v>477</x:v>
      </x:c>
      <x:c r="F2892" s="2" t="str">
        <x:v>2022-07-07</x:v>
      </x:c>
      <x:c r="G2892" s="2" t="str">
        <x:v>2022</x:v>
      </x:c>
      <x:c r="H2892" s="2" t="str">
        <x:v>07</x:v>
      </x:c>
      <x:c r="I2892" s="2" t="str">
        <x:v>심의승인</x:v>
      </x:c>
      <x:c r="J2892" s="2" t="str">
        <x:v>심의승인</x:v>
      </x:c>
      <x:c r="K2892" s="2" t="str">
        <x:f>IF(OR(J2892="심의승인",J2892="반려",J2892="반려완료",J2892="심의완료"),"종결 표시",IF(OR(J2892="기후부협의",J2892="문서재제출요청",J2892="보류",J2892="보완요청",J2892="보완완료",J2892="평가중",J2892="반려요청",J2892="평가필요",LEFT(J2892,5)="보완요청("),"미종결 표시","상태 확인 필요"))</x:f>
        <x:v>종결 표시</x:v>
      </x:c>
      <x:c r="L2892" s="2" t="str">
        <x:v>KRIC</x:v>
      </x:c>
      <x:c r="M2892" s="2"/>
      <x:c r="N2892" s="8" t="n">
        <x:f>DATE(2026,10,15)-DATE(2022,7,7)</x:f>
        <x:v>1561</x:v>
      </x:c>
      <x:c r="O2892" s="2"/>
      <x:c r="P2892" s="2"/>
      <x:c r="Q2892" s="2" t="str">
        <x:v>산업전환_외부사업관리Tool_260707_이너젠 수정_LJY_261013.xlsx</x:v>
      </x:c>
      <x:c r="R2892" s="2" t="str">
        <x:v>국외인증</x:v>
      </x:c>
      <x:c r="S2892" s="8" t="n">
        <x:v>479</x:v>
      </x:c>
      <x:c r="T2892" s="2" t="str">
        <x:v>(7/13)(9/19)(11/18)</x:v>
      </x:c>
      <x:c r="U2892" s="2" t="str">
        <x:v>2022 지정: (7/13)(9/19)(11/18)</x:v>
      </x:c>
      <x:c r="V2892" s="2" t="str">
        <x:v>2023-03-24</x:v>
      </x:c>
      <x:c r="W2892" s="2" t="str"/>
      <x:c r="X2892" s="2" t="str">
        <x:v>종결 근거 보관</x:v>
      </x:c>
      <x:c r="Y2892" s="2" t="str">
        <x:v>ad210cd9ec132cfd447541c8984dc53d30aff0f4fb2dc92d254d49275cc55976</x:v>
      </x:c>
      <x:c r="Z2892" s="2" t="n">
        <x:f>SUBTOTAL(103,A2892)</x:f>
        <x:v>1</x:v>
      </x:c>
      <x:c r="AA2892" s="2" t="str">
        <x:f>IF(K2892&lt;&gt;"미종결 표시","대상 아님",IF(N2892="","신청일 확인",IF(NOT(ISNUMBER('종합 현황'!$H$5)),"관찰기준 확인",IF('종합 현황'!$H$5&lt;1,"관찰기준 확인",IF(N2892&gt;'종합 현황'!$H$5,"내부 관찰 대상","내부 관찰일 이하")))))</x:f>
        <x:v>대상 아님</x:v>
      </x:c>
      <x:c r="AB2892" s="2" t="str">
        <x:v>2022-07-07 09:53 - 신청
2022-09-26 19:45 - 문서재제출요청
2022-11-03 13:27 - 신청
2022-12-20 14:39 - 문서재제출요청
2022-12-20 14:49 - 신청
2022-12-20 15:53 - 문서재제출요청
2022-12-20 16:06 - 신청
2022-12-23 14:49 - 문서재제출요청
2022-12-23 17:41 - 신청
2023-03-15 10:01 - 검토승인
2023-03-24 15:51 - 심의승인</x:v>
      </x:c>
    </x:row>
    <x:row r="2893" ht="42" customHeight="1">
      <x:c r="A2893" s="2" t="str">
        <x:v>f70d4d448b0ce2b6be40f951</x:v>
      </x:c>
      <x:c r="B2893" s="2" t="str">
        <x:v>감축량 인증</x:v>
      </x:c>
      <x:c r="C2893" s="2" t="str">
        <x:v>국외</x:v>
      </x:c>
      <x:c r="D2893" s="7" t="str">
        <x:v>베트남 KN Cam Lam 태양광 발전 사업을 통한 온실가스 배출 감축사업</x:v>
      </x:c>
      <x:c r="E2893" s="2" t="str">
        <x:v>470</x:v>
      </x:c>
      <x:c r="F2893" s="2" t="str">
        <x:v>2022-07-01</x:v>
      </x:c>
      <x:c r="G2893" s="2" t="str">
        <x:v>2022</x:v>
      </x:c>
      <x:c r="H2893" s="2" t="str">
        <x:v>07</x:v>
      </x:c>
      <x:c r="I2893" s="2" t="str">
        <x:v>심의승인</x:v>
      </x:c>
      <x:c r="J2893" s="2" t="str">
        <x:v>심의승인</x:v>
      </x:c>
      <x:c r="K2893" s="2" t="str">
        <x:f>IF(OR(J2893="심의승인",J2893="반려",J2893="반려완료",J2893="심의완료"),"종결 표시",IF(OR(J2893="기후부협의",J2893="문서재제출요청",J2893="보류",J2893="보완요청",J2893="보완완료",J2893="평가중",J2893="반려요청",J2893="평가필요",LEFT(J2893,5)="보완요청("),"미종결 표시","상태 확인 필요"))</x:f>
        <x:v>종결 표시</x:v>
      </x:c>
      <x:c r="L2893" s="2" t="str">
        <x:v>KRIC</x:v>
      </x:c>
      <x:c r="M2893" s="2"/>
      <x:c r="N2893" s="8" t="n">
        <x:f>DATE(2026,10,15)-DATE(2022,7,1)</x:f>
        <x:v>1567</x:v>
      </x:c>
      <x:c r="O2893" s="2"/>
      <x:c r="P2893" s="2"/>
      <x:c r="Q2893" s="2" t="str">
        <x:v>산업전환_외부사업관리Tool_260707_이너젠 수정_LJY_261013.xlsx</x:v>
      </x:c>
      <x:c r="R2893" s="2" t="str">
        <x:v>국외인증</x:v>
      </x:c>
      <x:c r="S2893" s="8" t="n">
        <x:v>480</x:v>
      </x:c>
      <x:c r="T2893" s="2" t="str">
        <x:v>(7/13)(9/19),(10/19)</x:v>
      </x:c>
      <x:c r="U2893" s="2" t="str">
        <x:v>2022 지정: (7/13)(9/19),(10/19) / 2023 지정: (2/17)</x:v>
      </x:c>
      <x:c r="V2893" s="2" t="str">
        <x:v>2023-06-22</x:v>
      </x:c>
      <x:c r="W2893" s="2" t="str"/>
      <x:c r="X2893" s="2" t="str">
        <x:v>종결 근거 보관</x:v>
      </x:c>
      <x:c r="Y2893" s="2" t="str">
        <x:v>ad210cd9ec132cfd447541c8984dc53d30aff0f4fb2dc92d254d49275cc55976</x:v>
      </x:c>
      <x:c r="Z2893" s="2" t="n">
        <x:f>SUBTOTAL(103,A2893)</x:f>
        <x:v>1</x:v>
      </x:c>
      <x:c r="AA2893" s="2" t="str">
        <x:f>IF(K2893&lt;&gt;"미종결 표시","대상 아님",IF(N2893="","신청일 확인",IF(NOT(ISNUMBER('종합 현황'!$H$5)),"관찰기준 확인",IF('종합 현황'!$H$5&lt;1,"관찰기준 확인",IF(N2893&gt;'종합 현황'!$H$5,"내부 관찰 대상","내부 관찰일 이하")))))</x:f>
        <x:v>대상 아님</x:v>
      </x:c>
      <x:c r="AB2893" s="2" t="str">
        <x:v>2022-07-01 16:52 - 신청
2022-09-03 14:13 - 문서재제출요청
2022-09-07 16:09 - 신청
2022-09-27 11:15 - 문서재제출요청
2022-09-29 17:05 - 신청
2023-02-07 15:55 - 문서재제출요청
2023-02-14 13:21 - 신청
2023-02-23 22:51 - 문서재제출요청
2023-02-24 10:35 - 신청
2023-03-29 16:03 - 검토승인
2023-03-29 16:30 - 협의검토중
2023-05-04 11:13 - 협의통보
2023-06-22 16:14 - 심의승인</x:v>
      </x:c>
    </x:row>
    <x:row r="2894" ht="42" customHeight="1">
      <x:c r="A2894" s="2" t="str">
        <x:v>23131af573346bcca3f583eb</x:v>
      </x:c>
      <x:c r="B2894" s="2" t="str">
        <x:v>감축량 인증</x:v>
      </x:c>
      <x:c r="C2894" s="2" t="str">
        <x:v>국외</x:v>
      </x:c>
      <x:c r="D2894" s="7" t="str">
        <x:v>잠비아의 연료사용이 효율적인 스토브 (Korea Carbon Offsets Ltd. CPA No.01)</x:v>
      </x:c>
      <x:c r="E2894" s="2" t="str">
        <x:v>479</x:v>
      </x:c>
      <x:c r="F2894" s="2" t="str">
        <x:v>2022-07-07</x:v>
      </x:c>
      <x:c r="G2894" s="2" t="str">
        <x:v>2022</x:v>
      </x:c>
      <x:c r="H2894" s="2" t="str">
        <x:v>07</x:v>
      </x:c>
      <x:c r="I2894" s="2" t="str">
        <x:v>심의승인</x:v>
      </x:c>
      <x:c r="J2894" s="2" t="str">
        <x:v>심의승인</x:v>
      </x:c>
      <x:c r="K2894" s="2" t="str">
        <x:f>IF(OR(J2894="심의승인",J2894="반려",J2894="반려완료",J2894="심의완료"),"종결 표시",IF(OR(J2894="기후부협의",J2894="문서재제출요청",J2894="보류",J2894="보완요청",J2894="보완완료",J2894="평가중",J2894="반려요청",J2894="평가필요",LEFT(J2894,5)="보완요청("),"미종결 표시","상태 확인 필요"))</x:f>
        <x:v>종결 표시</x:v>
      </x:c>
      <x:c r="L2894" s="2" t="str">
        <x:v>KRIC</x:v>
      </x:c>
      <x:c r="M2894" s="2"/>
      <x:c r="N2894" s="8" t="n">
        <x:f>DATE(2026,10,15)-DATE(2022,7,7)</x:f>
        <x:v>1561</x:v>
      </x:c>
      <x:c r="O2894" s="2"/>
      <x:c r="P2894" s="2"/>
      <x:c r="Q2894" s="2" t="str">
        <x:v>산업전환_외부사업관리Tool_260707_이너젠 수정_LJY_261013.xlsx</x:v>
      </x:c>
      <x:c r="R2894" s="2" t="str">
        <x:v>국외인증</x:v>
      </x:c>
      <x:c r="S2894" s="8" t="n">
        <x:v>481</x:v>
      </x:c>
      <x:c r="T2894" s="2" t="str">
        <x:v>(7/13)(9/19)(11/18)</x:v>
      </x:c>
      <x:c r="U2894" s="2" t="str">
        <x:v>2022 지정: (7/13)(9/19)(11/18)</x:v>
      </x:c>
      <x:c r="V2894" s="2" t="str">
        <x:v>2023-03-24</x:v>
      </x:c>
      <x:c r="W2894" s="2" t="str"/>
      <x:c r="X2894" s="2" t="str">
        <x:v>종결 근거 보관</x:v>
      </x:c>
      <x:c r="Y2894" s="2" t="str">
        <x:v>ad210cd9ec132cfd447541c8984dc53d30aff0f4fb2dc92d254d49275cc55976</x:v>
      </x:c>
      <x:c r="Z2894" s="2" t="n">
        <x:f>SUBTOTAL(103,A2894)</x:f>
        <x:v>1</x:v>
      </x:c>
      <x:c r="AA2894" s="2" t="str">
        <x:f>IF(K2894&lt;&gt;"미종결 표시","대상 아님",IF(N2894="","신청일 확인",IF(NOT(ISNUMBER('종합 현황'!$H$5)),"관찰기준 확인",IF('종합 현황'!$H$5&lt;1,"관찰기준 확인",IF(N2894&gt;'종합 현황'!$H$5,"내부 관찰 대상","내부 관찰일 이하")))))</x:f>
        <x:v>대상 아님</x:v>
      </x:c>
      <x:c r="AB2894" s="2" t="str">
        <x:v>2022-07-07 17:38 - 신청
2022-09-26 19:46 - 문서재제출요청
2022-11-03 13:28 - 신청
2022-12-20 14:39 - 문서재제출요청
2022-12-20 14:49 - 신청
2022-12-20 15:53 - 문서재제출요청
2022-12-20 16:11 - 신청
2022-12-23 14:49 - 문서재제출요청
2022-12-23 17:43 - 신청
2023-03-15 10:02 - 검토승인
2023-03-24 15:51 - 심의승인</x:v>
      </x:c>
    </x:row>
    <x:row r="2895" ht="42" customHeight="1">
      <x:c r="A2895" s="2" t="str">
        <x:v>8efa6204012be8fa5f3c7ed3</x:v>
      </x:c>
      <x:c r="B2895" s="2" t="str">
        <x:v>감축량 인증</x:v>
      </x:c>
      <x:c r="C2895" s="2" t="str">
        <x:v>국외</x:v>
      </x:c>
      <x:c r="D2895" s="7" t="str">
        <x:v>방글라데시 바크라바드 지역 가스배관 누설 방지를 통한 온실가스 감축사업</x:v>
      </x:c>
      <x:c r="E2895" s="2" t="str">
        <x:v>484</x:v>
      </x:c>
      <x:c r="F2895" s="2" t="str">
        <x:v>2022-07-22</x:v>
      </x:c>
      <x:c r="G2895" s="2" t="str">
        <x:v>2022</x:v>
      </x:c>
      <x:c r="H2895" s="2" t="str">
        <x:v>07</x:v>
      </x:c>
      <x:c r="I2895" s="2" t="str">
        <x:v>심의승인</x:v>
      </x:c>
      <x:c r="J2895" s="2" t="str">
        <x:v>심의승인</x:v>
      </x:c>
      <x:c r="K2895" s="2" t="str">
        <x:f>IF(OR(J2895="심의승인",J2895="반려",J2895="반려완료",J2895="심의완료"),"종결 표시",IF(OR(J2895="기후부협의",J2895="문서재제출요청",J2895="보류",J2895="보완요청",J2895="보완완료",J2895="평가중",J2895="반려요청",J2895="평가필요",LEFT(J2895,5)="보완요청("),"미종결 표시","상태 확인 필요"))</x:f>
        <x:v>종결 표시</x:v>
      </x:c>
      <x:c r="L2895" s="2" t="str">
        <x:v>KRIC</x:v>
      </x:c>
      <x:c r="M2895" s="2"/>
      <x:c r="N2895" s="8" t="n">
        <x:f>DATE(2026,10,15)-DATE(2022,7,22)</x:f>
        <x:v>1546</x:v>
      </x:c>
      <x:c r="O2895" s="2"/>
      <x:c r="P2895" s="2"/>
      <x:c r="Q2895" s="2" t="str">
        <x:v>산업전환_외부사업관리Tool_260707_이너젠 수정_LJY_261013.xlsx</x:v>
      </x:c>
      <x:c r="R2895" s="2" t="str">
        <x:v>국외인증</x:v>
      </x:c>
      <x:c r="S2895" s="8" t="n">
        <x:v>482</x:v>
      </x:c>
      <x:c r="T2895" s="2" t="str">
        <x:v>(8/16),(10/19)</x:v>
      </x:c>
      <x:c r="U2895" s="2" t="str">
        <x:v>2022 지정: (8/16),(10/19)</x:v>
      </x:c>
      <x:c r="V2895" s="2" t="str">
        <x:v>2023-03-24</x:v>
      </x:c>
      <x:c r="W2895" s="2" t="str"/>
      <x:c r="X2895" s="2" t="str">
        <x:v>종결 근거 보관</x:v>
      </x:c>
      <x:c r="Y2895" s="2" t="str">
        <x:v>ad210cd9ec132cfd447541c8984dc53d30aff0f4fb2dc92d254d49275cc55976</x:v>
      </x:c>
      <x:c r="Z2895" s="2" t="n">
        <x:f>SUBTOTAL(103,A2895)</x:f>
        <x:v>1</x:v>
      </x:c>
      <x:c r="AA2895" s="2" t="str">
        <x:f>IF(K2895&lt;&gt;"미종결 표시","대상 아님",IF(N2895="","신청일 확인",IF(NOT(ISNUMBER('종합 현황'!$H$5)),"관찰기준 확인",IF('종합 현황'!$H$5&lt;1,"관찰기준 확인",IF(N2895&gt;'종합 현황'!$H$5,"내부 관찰 대상","내부 관찰일 이하")))))</x:f>
        <x:v>대상 아님</x:v>
      </x:c>
      <x:c r="AB2895" s="2" t="str">
        <x:v>2022-07-22 10:31 - 신청
2022-09-26 11:02 - 문서재제출요청
2022-10-05 14:01 - 신청
2023-03-15 11:18 - 검토승인
2023-03-24 15:06 - 심의승인</x:v>
      </x:c>
    </x:row>
    <x:row r="2896" ht="42" customHeight="1">
      <x:c r="A2896" s="2" t="str">
        <x:v>afb69b14ae6d31f7dd145664</x:v>
      </x:c>
      <x:c r="B2896" s="2" t="str">
        <x:v>감축량 인증</x:v>
      </x:c>
      <x:c r="C2896" s="2" t="str">
        <x:v>국외</x:v>
      </x:c>
      <x:c r="D2896" s="7" t="str">
        <x:v>방글라데시 카나풀리 지역 가스배관 누설 방지를 통한 온실가스 감축사업</x:v>
      </x:c>
      <x:c r="E2896" s="2" t="str">
        <x:v>485</x:v>
      </x:c>
      <x:c r="F2896" s="2" t="str">
        <x:v>2022-07-22</x:v>
      </x:c>
      <x:c r="G2896" s="2" t="str">
        <x:v>2022</x:v>
      </x:c>
      <x:c r="H2896" s="2" t="str">
        <x:v>07</x:v>
      </x:c>
      <x:c r="I2896" s="2" t="str">
        <x:v>심의승인</x:v>
      </x:c>
      <x:c r="J2896" s="2" t="str">
        <x:v>심의승인</x:v>
      </x:c>
      <x:c r="K2896" s="2" t="str">
        <x:f>IF(OR(J2896="심의승인",J2896="반려",J2896="반려완료",J2896="심의완료"),"종결 표시",IF(OR(J2896="기후부협의",J2896="문서재제출요청",J2896="보류",J2896="보완요청",J2896="보완완료",J2896="평가중",J2896="반려요청",J2896="평가필요",LEFT(J2896,5)="보완요청("),"미종결 표시","상태 확인 필요"))</x:f>
        <x:v>종결 표시</x:v>
      </x:c>
      <x:c r="L2896" s="2" t="str">
        <x:v>KRIC</x:v>
      </x:c>
      <x:c r="M2896" s="2"/>
      <x:c r="N2896" s="8" t="n">
        <x:f>DATE(2026,10,15)-DATE(2022,7,22)</x:f>
        <x:v>1546</x:v>
      </x:c>
      <x:c r="O2896" s="2"/>
      <x:c r="P2896" s="2"/>
      <x:c r="Q2896" s="2" t="str">
        <x:v>산업전환_외부사업관리Tool_260707_이너젠 수정_LJY_261013.xlsx</x:v>
      </x:c>
      <x:c r="R2896" s="2" t="str">
        <x:v>국외인증</x:v>
      </x:c>
      <x:c r="S2896" s="8" t="n">
        <x:v>483</x:v>
      </x:c>
      <x:c r="T2896" s="2" t="str">
        <x:v>(8/16),(10/19)</x:v>
      </x:c>
      <x:c r="U2896" s="2" t="str">
        <x:v>2022 지정: (8/16),(10/19)</x:v>
      </x:c>
      <x:c r="V2896" s="2" t="str">
        <x:v>2023-03-24</x:v>
      </x:c>
      <x:c r="W2896" s="2" t="str"/>
      <x:c r="X2896" s="2" t="str">
        <x:v>종결 근거 보관</x:v>
      </x:c>
      <x:c r="Y2896" s="2" t="str">
        <x:v>ad210cd9ec132cfd447541c8984dc53d30aff0f4fb2dc92d254d49275cc55976</x:v>
      </x:c>
      <x:c r="Z2896" s="2" t="n">
        <x:f>SUBTOTAL(103,A2896)</x:f>
        <x:v>1</x:v>
      </x:c>
      <x:c r="AA2896" s="2" t="str">
        <x:f>IF(K2896&lt;&gt;"미종결 표시","대상 아님",IF(N2896="","신청일 확인",IF(NOT(ISNUMBER('종합 현황'!$H$5)),"관찰기준 확인",IF('종합 현황'!$H$5&lt;1,"관찰기준 확인",IF(N2896&gt;'종합 현황'!$H$5,"내부 관찰 대상","내부 관찰일 이하")))))</x:f>
        <x:v>대상 아님</x:v>
      </x:c>
      <x:c r="AB2896" s="2" t="str">
        <x:v>2022-07-22 10:37 - 신청
2022-09-26 19:34 - 문서재제출요청
2022-10-05 14:06 - 신청
2023-03-15 11:20 - 검토승인
2023-03-24 15:08 - 심의승인</x:v>
      </x:c>
    </x:row>
    <x:row r="2897" ht="42" customHeight="1">
      <x:c r="A2897" s="2" t="str">
        <x:v>ad2b068d894b232091786bc7</x:v>
      </x:c>
      <x:c r="B2897" s="2" t="str">
        <x:v>감축량 인증</x:v>
      </x:c>
      <x:c r="C2897" s="2" t="str">
        <x:v>국외</x:v>
      </x:c>
      <x:c r="D2897" s="7" t="str">
        <x:v>방글라데시 자라라바드 지역 가스배관 누설 방지를 통한 온실가스 감축사업</x:v>
      </x:c>
      <x:c r="E2897" s="2" t="str">
        <x:v>486</x:v>
      </x:c>
      <x:c r="F2897" s="2" t="str">
        <x:v>2022-07-22</x:v>
      </x:c>
      <x:c r="G2897" s="2" t="str">
        <x:v>2022</x:v>
      </x:c>
      <x:c r="H2897" s="2" t="str">
        <x:v>07</x:v>
      </x:c>
      <x:c r="I2897" s="2" t="str">
        <x:v>심의승인</x:v>
      </x:c>
      <x:c r="J2897" s="2" t="str">
        <x:v>심의승인</x:v>
      </x:c>
      <x:c r="K2897" s="2" t="str">
        <x:f>IF(OR(J2897="심의승인",J2897="반려",J2897="반려완료",J2897="심의완료"),"종결 표시",IF(OR(J2897="기후부협의",J2897="문서재제출요청",J2897="보류",J2897="보완요청",J2897="보완완료",J2897="평가중",J2897="반려요청",J2897="평가필요",LEFT(J2897,5)="보완요청("),"미종결 표시","상태 확인 필요"))</x:f>
        <x:v>종결 표시</x:v>
      </x:c>
      <x:c r="L2897" s="2" t="str">
        <x:v>KRIC</x:v>
      </x:c>
      <x:c r="M2897" s="2"/>
      <x:c r="N2897" s="8" t="n">
        <x:f>DATE(2026,10,15)-DATE(2022,7,22)</x:f>
        <x:v>1546</x:v>
      </x:c>
      <x:c r="O2897" s="2"/>
      <x:c r="P2897" s="2"/>
      <x:c r="Q2897" s="2" t="str">
        <x:v>산업전환_외부사업관리Tool_260707_이너젠 수정_LJY_261013.xlsx</x:v>
      </x:c>
      <x:c r="R2897" s="2" t="str">
        <x:v>국외인증</x:v>
      </x:c>
      <x:c r="S2897" s="8" t="n">
        <x:v>484</x:v>
      </x:c>
      <x:c r="T2897" s="2" t="str">
        <x:v>(8/16),(10/19)</x:v>
      </x:c>
      <x:c r="U2897" s="2" t="str">
        <x:v>2022 지정: (8/16),(10/19)</x:v>
      </x:c>
      <x:c r="V2897" s="2" t="str">
        <x:v>2023-03-24</x:v>
      </x:c>
      <x:c r="W2897" s="2" t="str"/>
      <x:c r="X2897" s="2" t="str">
        <x:v>종결 근거 보관</x:v>
      </x:c>
      <x:c r="Y2897" s="2" t="str">
        <x:v>ad210cd9ec132cfd447541c8984dc53d30aff0f4fb2dc92d254d49275cc55976</x:v>
      </x:c>
      <x:c r="Z2897" s="2" t="n">
        <x:f>SUBTOTAL(103,A2897)</x:f>
        <x:v>1</x:v>
      </x:c>
      <x:c r="AA2897" s="2" t="str">
        <x:f>IF(K2897&lt;&gt;"미종결 표시","대상 아님",IF(N2897="","신청일 확인",IF(NOT(ISNUMBER('종합 현황'!$H$5)),"관찰기준 확인",IF('종합 현황'!$H$5&lt;1,"관찰기준 확인",IF(N2897&gt;'종합 현황'!$H$5,"내부 관찰 대상","내부 관찰일 이하")))))</x:f>
        <x:v>대상 아님</x:v>
      </x:c>
      <x:c r="AB2897" s="2" t="str">
        <x:v>2022-07-22 10:42 - 신청
2022-09-26 11:03 - 문서재제출요청
2022-10-05 14:10 - 신청
2023-03-15 11:19 - 검토승인
2023-03-24 15:07 - 심의승인</x:v>
      </x:c>
    </x:row>
    <x:row r="2898" ht="42" customHeight="1">
      <x:c r="A2898" s="2" t="str">
        <x:v>973b39275ab8a99fa7bcd02b</x:v>
      </x:c>
      <x:c r="B2898" s="2" t="str">
        <x:v>감축량 인증</x:v>
      </x:c>
      <x:c r="C2898" s="2" t="str">
        <x:v>국외</x:v>
      </x:c>
      <x:c r="D2898" s="7" t="str">
        <x:v>방글라데시 파시만찰 지역 가스배관 누설 방지를 통한 온실가스 감축사업</x:v>
      </x:c>
      <x:c r="E2898" s="2" t="str">
        <x:v>487</x:v>
      </x:c>
      <x:c r="F2898" s="2" t="str">
        <x:v>2022-07-22</x:v>
      </x:c>
      <x:c r="G2898" s="2" t="str">
        <x:v>2022</x:v>
      </x:c>
      <x:c r="H2898" s="2" t="str">
        <x:v>07</x:v>
      </x:c>
      <x:c r="I2898" s="2" t="str">
        <x:v>심의승인</x:v>
      </x:c>
      <x:c r="J2898" s="2" t="str">
        <x:v>심의승인</x:v>
      </x:c>
      <x:c r="K2898" s="2" t="str">
        <x:f>IF(OR(J2898="심의승인",J2898="반려",J2898="반려완료",J2898="심의완료"),"종결 표시",IF(OR(J2898="기후부협의",J2898="문서재제출요청",J2898="보류",J2898="보완요청",J2898="보완완료",J2898="평가중",J2898="반려요청",J2898="평가필요",LEFT(J2898,5)="보완요청("),"미종결 표시","상태 확인 필요"))</x:f>
        <x:v>종결 표시</x:v>
      </x:c>
      <x:c r="L2898" s="2" t="str">
        <x:v>KRIC</x:v>
      </x:c>
      <x:c r="M2898" s="2"/>
      <x:c r="N2898" s="8" t="n">
        <x:f>DATE(2026,10,15)-DATE(2022,7,22)</x:f>
        <x:v>1546</x:v>
      </x:c>
      <x:c r="O2898" s="2"/>
      <x:c r="P2898" s="2"/>
      <x:c r="Q2898" s="2" t="str">
        <x:v>산업전환_외부사업관리Tool_260707_이너젠 수정_LJY_261013.xlsx</x:v>
      </x:c>
      <x:c r="R2898" s="2" t="str">
        <x:v>국외인증</x:v>
      </x:c>
      <x:c r="S2898" s="8" t="n">
        <x:v>485</x:v>
      </x:c>
      <x:c r="T2898" s="2" t="str">
        <x:v>(8/16),(10/19)</x:v>
      </x:c>
      <x:c r="U2898" s="2" t="str">
        <x:v>2022 지정: (8/16),(10/19)</x:v>
      </x:c>
      <x:c r="V2898" s="2" t="str">
        <x:v>2023-03-24</x:v>
      </x:c>
      <x:c r="W2898" s="2" t="str"/>
      <x:c r="X2898" s="2" t="str">
        <x:v>종결 근거 보관</x:v>
      </x:c>
      <x:c r="Y2898" s="2" t="str">
        <x:v>ad210cd9ec132cfd447541c8984dc53d30aff0f4fb2dc92d254d49275cc55976</x:v>
      </x:c>
      <x:c r="Z2898" s="2" t="n">
        <x:f>SUBTOTAL(103,A2898)</x:f>
        <x:v>1</x:v>
      </x:c>
      <x:c r="AA2898" s="2" t="str">
        <x:f>IF(K2898&lt;&gt;"미종결 표시","대상 아님",IF(N2898="","신청일 확인",IF(NOT(ISNUMBER('종합 현황'!$H$5)),"관찰기준 확인",IF('종합 현황'!$H$5&lt;1,"관찰기준 확인",IF(N2898&gt;'종합 현황'!$H$5,"내부 관찰 대상","내부 관찰일 이하")))))</x:f>
        <x:v>대상 아님</x:v>
      </x:c>
      <x:c r="AB2898" s="2" t="str">
        <x:v>2022-07-22 10:47 - 신청
2022-09-26 19:35 - 문서재제출요청
2022-10-05 14:15 - 신청
2023-03-15 11:21 - 검토승인
2023-03-24 15:10 - 심의승인</x:v>
      </x:c>
    </x:row>
    <x:row r="2899" ht="42" customHeight="1">
      <x:c r="A2899" s="2" t="str">
        <x:v>4633d7d138a497869485db70</x:v>
      </x:c>
      <x:c r="B2899" s="2" t="str">
        <x:v>감축량 인증</x:v>
      </x:c>
      <x:c r="C2899" s="2" t="str">
        <x:v>국외</x:v>
      </x:c>
      <x:c r="D2899" s="7" t="str">
        <x:v>방글라데시 바크라바드 지역 가스배관 누설 방지를 통한 온실가스 감축사업</x:v>
      </x:c>
      <x:c r="E2899" s="2" t="str">
        <x:v>488</x:v>
      </x:c>
      <x:c r="F2899" s="2" t="str">
        <x:v>2022-07-22</x:v>
      </x:c>
      <x:c r="G2899" s="2" t="str">
        <x:v>2022</x:v>
      </x:c>
      <x:c r="H2899" s="2" t="str">
        <x:v>07</x:v>
      </x:c>
      <x:c r="I2899" s="2" t="str">
        <x:v>심의승인</x:v>
      </x:c>
      <x:c r="J2899" s="2" t="str">
        <x:v>심의승인</x:v>
      </x:c>
      <x:c r="K2899" s="2" t="str">
        <x:f>IF(OR(J2899="심의승인",J2899="반려",J2899="반려완료",J2899="심의완료"),"종결 표시",IF(OR(J2899="기후부협의",J2899="문서재제출요청",J2899="보류",J2899="보완요청",J2899="보완완료",J2899="평가중",J2899="반려요청",J2899="평가필요",LEFT(J2899,5)="보완요청("),"미종결 표시","상태 확인 필요"))</x:f>
        <x:v>종결 표시</x:v>
      </x:c>
      <x:c r="L2899" s="2" t="str">
        <x:v>KRIC</x:v>
      </x:c>
      <x:c r="M2899" s="2"/>
      <x:c r="N2899" s="8" t="n">
        <x:f>DATE(2026,10,15)-DATE(2022,7,22)</x:f>
        <x:v>1546</x:v>
      </x:c>
      <x:c r="O2899" s="2"/>
      <x:c r="P2899" s="2"/>
      <x:c r="Q2899" s="2" t="str">
        <x:v>산업전환_외부사업관리Tool_260707_이너젠 수정_LJY_261013.xlsx</x:v>
      </x:c>
      <x:c r="R2899" s="2" t="str">
        <x:v>국외인증</x:v>
      </x:c>
      <x:c r="S2899" s="8" t="n">
        <x:v>486</x:v>
      </x:c>
      <x:c r="T2899" s="2" t="str">
        <x:v>(8/16),(10/19)</x:v>
      </x:c>
      <x:c r="U2899" s="2" t="str">
        <x:v>2022 지정: (8/16),(10/19)</x:v>
      </x:c>
      <x:c r="V2899" s="2" t="str">
        <x:v>2023-03-24</x:v>
      </x:c>
      <x:c r="W2899" s="2" t="str"/>
      <x:c r="X2899" s="2" t="str">
        <x:v>종결 근거 보관</x:v>
      </x:c>
      <x:c r="Y2899" s="2" t="str">
        <x:v>ad210cd9ec132cfd447541c8984dc53d30aff0f4fb2dc92d254d49275cc55976</x:v>
      </x:c>
      <x:c r="Z2899" s="2" t="n">
        <x:f>SUBTOTAL(103,A2899)</x:f>
        <x:v>1</x:v>
      </x:c>
      <x:c r="AA2899" s="2" t="str">
        <x:f>IF(K2899&lt;&gt;"미종결 표시","대상 아님",IF(N2899="","신청일 확인",IF(NOT(ISNUMBER('종합 현황'!$H$5)),"관찰기준 확인",IF('종합 현황'!$H$5&lt;1,"관찰기준 확인",IF(N2899&gt;'종합 현황'!$H$5,"내부 관찰 대상","내부 관찰일 이하")))))</x:f>
        <x:v>대상 아님</x:v>
      </x:c>
      <x:c r="AB2899" s="2" t="str">
        <x:v>2022-07-22 10:52 - 신청
2022-09-26 11:02 - 문서재제출요청
2022-10-05 14:20 - 신청
2023-03-15 11:18 - 검토승인
2023-03-24 15:06 - 심의승인</x:v>
      </x:c>
    </x:row>
    <x:row r="2900" ht="42" customHeight="1">
      <x:c r="A2900" s="2" t="str">
        <x:v>c0188627d07d05c363dd7091</x:v>
      </x:c>
      <x:c r="B2900" s="2" t="str">
        <x:v>감축량 인증</x:v>
      </x:c>
      <x:c r="C2900" s="2" t="str">
        <x:v>국외</x:v>
      </x:c>
      <x:c r="D2900" s="7" t="str">
        <x:v>방글라데시 카나풀리 지역 가스배관 누설 방지를 통한 온실가스 감축사업</x:v>
      </x:c>
      <x:c r="E2900" s="2" t="str">
        <x:v>489</x:v>
      </x:c>
      <x:c r="F2900" s="2" t="str">
        <x:v>2022-07-22</x:v>
      </x:c>
      <x:c r="G2900" s="2" t="str">
        <x:v>2022</x:v>
      </x:c>
      <x:c r="H2900" s="2" t="str">
        <x:v>07</x:v>
      </x:c>
      <x:c r="I2900" s="2" t="str">
        <x:v>심의승인</x:v>
      </x:c>
      <x:c r="J2900" s="2" t="str">
        <x:v>심의승인</x:v>
      </x:c>
      <x:c r="K2900" s="2" t="str">
        <x:f>IF(OR(J2900="심의승인",J2900="반려",J2900="반려완료",J2900="심의완료"),"종결 표시",IF(OR(J2900="기후부협의",J2900="문서재제출요청",J2900="보류",J2900="보완요청",J2900="보완완료",J2900="평가중",J2900="반려요청",J2900="평가필요",LEFT(J2900,5)="보완요청("),"미종결 표시","상태 확인 필요"))</x:f>
        <x:v>종결 표시</x:v>
      </x:c>
      <x:c r="L2900" s="2" t="str">
        <x:v>KRIC</x:v>
      </x:c>
      <x:c r="M2900" s="2"/>
      <x:c r="N2900" s="8" t="n">
        <x:f>DATE(2026,10,15)-DATE(2022,7,22)</x:f>
        <x:v>1546</x:v>
      </x:c>
      <x:c r="O2900" s="2"/>
      <x:c r="P2900" s="2"/>
      <x:c r="Q2900" s="2" t="str">
        <x:v>산업전환_외부사업관리Tool_260707_이너젠 수정_LJY_261013.xlsx</x:v>
      </x:c>
      <x:c r="R2900" s="2" t="str">
        <x:v>국외인증</x:v>
      </x:c>
      <x:c r="S2900" s="8" t="n">
        <x:v>487</x:v>
      </x:c>
      <x:c r="T2900" s="2" t="str">
        <x:v>(8/16),(10/19)</x:v>
      </x:c>
      <x:c r="U2900" s="2" t="str">
        <x:v>2022 지정: (8/16),(10/19)</x:v>
      </x:c>
      <x:c r="V2900" s="2" t="str">
        <x:v>2023-03-24</x:v>
      </x:c>
      <x:c r="W2900" s="2" t="str"/>
      <x:c r="X2900" s="2" t="str">
        <x:v>종결 근거 보관</x:v>
      </x:c>
      <x:c r="Y2900" s="2" t="str">
        <x:v>ad210cd9ec132cfd447541c8984dc53d30aff0f4fb2dc92d254d49275cc55976</x:v>
      </x:c>
      <x:c r="Z2900" s="2" t="n">
        <x:f>SUBTOTAL(103,A2900)</x:f>
        <x:v>1</x:v>
      </x:c>
      <x:c r="AA2900" s="2" t="str">
        <x:f>IF(K2900&lt;&gt;"미종결 표시","대상 아님",IF(N2900="","신청일 확인",IF(NOT(ISNUMBER('종합 현황'!$H$5)),"관찰기준 확인",IF('종합 현황'!$H$5&lt;1,"관찰기준 확인",IF(N2900&gt;'종합 현황'!$H$5,"내부 관찰 대상","내부 관찰일 이하")))))</x:f>
        <x:v>대상 아님</x:v>
      </x:c>
      <x:c r="AB2900" s="2" t="str">
        <x:v>2022-07-22 10:57 - 신청
2022-09-26 19:35 - 문서재제출요청
2022-10-05 14:23 - 신청
2023-01-12 16:50 - 문서재제출요청
2023-01-13 09:17 - 신청
2023-03-15 11:21 - 검토승인
2023-03-24 15:09 - 심의승인</x:v>
      </x:c>
    </x:row>
    <x:row r="2901" ht="42" customHeight="1">
      <x:c r="A2901" s="2" t="str">
        <x:v>d55bf78945c1d0a562e837cc</x:v>
      </x:c>
      <x:c r="B2901" s="2" t="str">
        <x:v>감축량 인증</x:v>
      </x:c>
      <x:c r="C2901" s="2" t="str">
        <x:v>국외</x:v>
      </x:c>
      <x:c r="D2901" s="7" t="str">
        <x:v>방글라데시 자라라바드 지역 가스배관 누설 방지를 통한 온실가스 감축사업</x:v>
      </x:c>
      <x:c r="E2901" s="2" t="str">
        <x:v>490</x:v>
      </x:c>
      <x:c r="F2901" s="2" t="str">
        <x:v>2022-07-22</x:v>
      </x:c>
      <x:c r="G2901" s="2" t="str">
        <x:v>2022</x:v>
      </x:c>
      <x:c r="H2901" s="2" t="str">
        <x:v>07</x:v>
      </x:c>
      <x:c r="I2901" s="2" t="str">
        <x:v>심의승인</x:v>
      </x:c>
      <x:c r="J2901" s="2" t="str">
        <x:v>심의승인</x:v>
      </x:c>
      <x:c r="K2901" s="2" t="str">
        <x:f>IF(OR(J2901="심의승인",J2901="반려",J2901="반려완료",J2901="심의완료"),"종결 표시",IF(OR(J2901="기후부협의",J2901="문서재제출요청",J2901="보류",J2901="보완요청",J2901="보완완료",J2901="평가중",J2901="반려요청",J2901="평가필요",LEFT(J2901,5)="보완요청("),"미종결 표시","상태 확인 필요"))</x:f>
        <x:v>종결 표시</x:v>
      </x:c>
      <x:c r="L2901" s="2" t="str">
        <x:v>KRIC</x:v>
      </x:c>
      <x:c r="M2901" s="2"/>
      <x:c r="N2901" s="8" t="n">
        <x:f>DATE(2026,10,15)-DATE(2022,7,22)</x:f>
        <x:v>1546</x:v>
      </x:c>
      <x:c r="O2901" s="2"/>
      <x:c r="P2901" s="2"/>
      <x:c r="Q2901" s="2" t="str">
        <x:v>산업전환_외부사업관리Tool_260707_이너젠 수정_LJY_261013.xlsx</x:v>
      </x:c>
      <x:c r="R2901" s="2" t="str">
        <x:v>국외인증</x:v>
      </x:c>
      <x:c r="S2901" s="8" t="n">
        <x:v>488</x:v>
      </x:c>
      <x:c r="T2901" s="2" t="str">
        <x:v>(8/16),(10/19)</x:v>
      </x:c>
      <x:c r="U2901" s="2" t="str">
        <x:v>2022 지정: (8/16),(10/19)</x:v>
      </x:c>
      <x:c r="V2901" s="2" t="str">
        <x:v>2023-03-24</x:v>
      </x:c>
      <x:c r="W2901" s="2" t="str"/>
      <x:c r="X2901" s="2" t="str">
        <x:v>종결 근거 보관</x:v>
      </x:c>
      <x:c r="Y2901" s="2" t="str">
        <x:v>ad210cd9ec132cfd447541c8984dc53d30aff0f4fb2dc92d254d49275cc55976</x:v>
      </x:c>
      <x:c r="Z2901" s="2" t="n">
        <x:f>SUBTOTAL(103,A2901)</x:f>
        <x:v>1</x:v>
      </x:c>
      <x:c r="AA2901" s="2" t="str">
        <x:f>IF(K2901&lt;&gt;"미종결 표시","대상 아님",IF(N2901="","신청일 확인",IF(NOT(ISNUMBER('종합 현황'!$H$5)),"관찰기준 확인",IF('종합 현황'!$H$5&lt;1,"관찰기준 확인",IF(N2901&gt;'종합 현황'!$H$5,"내부 관찰 대상","내부 관찰일 이하")))))</x:f>
        <x:v>대상 아님</x:v>
      </x:c>
      <x:c r="AB2901" s="2" t="str">
        <x:v>2022-07-22 11:01 - 신청
2022-09-26 19:08 - 문서재제출요청
2022-10-05 14:27 - 신청
2023-03-15 11:19 - 검토승인
2023-03-24 15:08 - 심의승인</x:v>
      </x:c>
    </x:row>
    <x:row r="2902" ht="42" customHeight="1">
      <x:c r="A2902" s="2" t="str">
        <x:v>8ce1b245f6db37314bb81439</x:v>
      </x:c>
      <x:c r="B2902" s="2" t="str">
        <x:v>감축량 인증</x:v>
      </x:c>
      <x:c r="C2902" s="2" t="str">
        <x:v>국외</x:v>
      </x:c>
      <x:c r="D2902" s="7" t="str">
        <x:v>방글라데시 파시만찰 지역 가스배관 누설 방지를 통한 온실가스 감축사업</x:v>
      </x:c>
      <x:c r="E2902" s="2" t="str">
        <x:v>491</x:v>
      </x:c>
      <x:c r="F2902" s="2" t="str">
        <x:v>2022-07-22</x:v>
      </x:c>
      <x:c r="G2902" s="2" t="str">
        <x:v>2022</x:v>
      </x:c>
      <x:c r="H2902" s="2" t="str">
        <x:v>07</x:v>
      </x:c>
      <x:c r="I2902" s="2" t="str">
        <x:v>심의승인</x:v>
      </x:c>
      <x:c r="J2902" s="2" t="str">
        <x:v>심의승인</x:v>
      </x:c>
      <x:c r="K2902" s="2" t="str">
        <x:f>IF(OR(J2902="심의승인",J2902="반려",J2902="반려완료",J2902="심의완료"),"종결 표시",IF(OR(J2902="기후부협의",J2902="문서재제출요청",J2902="보류",J2902="보완요청",J2902="보완완료",J2902="평가중",J2902="반려요청",J2902="평가필요",LEFT(J2902,5)="보완요청("),"미종결 표시","상태 확인 필요"))</x:f>
        <x:v>종결 표시</x:v>
      </x:c>
      <x:c r="L2902" s="2" t="str">
        <x:v>KRIC</x:v>
      </x:c>
      <x:c r="M2902" s="2"/>
      <x:c r="N2902" s="8" t="n">
        <x:f>DATE(2026,10,15)-DATE(2022,7,22)</x:f>
        <x:v>1546</x:v>
      </x:c>
      <x:c r="O2902" s="2"/>
      <x:c r="P2902" s="2"/>
      <x:c r="Q2902" s="2" t="str">
        <x:v>산업전환_외부사업관리Tool_260707_이너젠 수정_LJY_261013.xlsx</x:v>
      </x:c>
      <x:c r="R2902" s="2" t="str">
        <x:v>국외인증</x:v>
      </x:c>
      <x:c r="S2902" s="8" t="n">
        <x:v>489</x:v>
      </x:c>
      <x:c r="T2902" s="2" t="str">
        <x:v>(8/16),(10/19)</x:v>
      </x:c>
      <x:c r="U2902" s="2" t="str">
        <x:v>2022 지정: (8/16),(10/19)</x:v>
      </x:c>
      <x:c r="V2902" s="2" t="str">
        <x:v>2023-03-24</x:v>
      </x:c>
      <x:c r="W2902" s="2" t="str"/>
      <x:c r="X2902" s="2" t="str">
        <x:v>종결 근거 보관</x:v>
      </x:c>
      <x:c r="Y2902" s="2" t="str">
        <x:v>ad210cd9ec132cfd447541c8984dc53d30aff0f4fb2dc92d254d49275cc55976</x:v>
      </x:c>
      <x:c r="Z2902" s="2" t="n">
        <x:f>SUBTOTAL(103,A2902)</x:f>
        <x:v>1</x:v>
      </x:c>
      <x:c r="AA2902" s="2" t="str">
        <x:f>IF(K2902&lt;&gt;"미종결 표시","대상 아님",IF(N2902="","신청일 확인",IF(NOT(ISNUMBER('종합 현황'!$H$5)),"관찰기준 확인",IF('종합 현황'!$H$5&lt;1,"관찰기준 확인",IF(N2902&gt;'종합 현황'!$H$5,"내부 관찰 대상","내부 관찰일 이하")))))</x:f>
        <x:v>대상 아님</x:v>
      </x:c>
      <x:c r="AB2902" s="2" t="str">
        <x:v>2022-07-22 11:06 - 신청
2022-09-26 19:36 - 문서재제출요청
2022-10-05 14:30 - 신청
2023-03-15 11:22 - 검토승인
2023-03-24 15:10 - 심의승인</x:v>
      </x:c>
    </x:row>
    <x:row r="2903" ht="42" customHeight="1">
      <x:c r="A2903" s="2" t="str">
        <x:v>3948e562b8318c87e46fefe6</x:v>
      </x:c>
      <x:c r="B2903" s="2" t="str">
        <x:v>감축량 인증</x:v>
      </x:c>
      <x:c r="C2903" s="2" t="str">
        <x:v>국외</x:v>
      </x:c>
      <x:c r="D2903" s="7" t="str">
        <x:v>70MW 태양광 발전 프로젝트(Ba Ria - Vung Tau, Vietnam)</x:v>
      </x:c>
      <x:c r="E2903" s="2" t="str">
        <x:v>492</x:v>
      </x:c>
      <x:c r="F2903" s="2" t="str">
        <x:v>2022-08-05</x:v>
      </x:c>
      <x:c r="G2903" s="2" t="str">
        <x:v>2022</x:v>
      </x:c>
      <x:c r="H2903" s="2" t="str">
        <x:v>08</x:v>
      </x:c>
      <x:c r="I2903" s="2" t="str">
        <x:v>심의승인</x:v>
      </x:c>
      <x:c r="J2903" s="2" t="str">
        <x:v>심의승인</x:v>
      </x:c>
      <x:c r="K2903" s="2" t="str">
        <x:f>IF(OR(J2903="심의승인",J2903="반려",J2903="반려완료",J2903="심의완료"),"종결 표시",IF(OR(J2903="기후부협의",J2903="문서재제출요청",J2903="보류",J2903="보완요청",J2903="보완완료",J2903="평가중",J2903="반려요청",J2903="평가필요",LEFT(J2903,5)="보완요청("),"미종결 표시","상태 확인 필요"))</x:f>
        <x:v>종결 표시</x:v>
      </x:c>
      <x:c r="L2903" s="2" t="str">
        <x:v>KRIC</x:v>
      </x:c>
      <x:c r="M2903" s="2"/>
      <x:c r="N2903" s="8" t="n">
        <x:f>DATE(2026,10,15)-DATE(2022,8,5)</x:f>
        <x:v>1532</x:v>
      </x:c>
      <x:c r="O2903" s="2"/>
      <x:c r="P2903" s="2"/>
      <x:c r="Q2903" s="2" t="str">
        <x:v>산업전환_외부사업관리Tool_260707_이너젠 수정_LJY_261013.xlsx</x:v>
      </x:c>
      <x:c r="R2903" s="2" t="str">
        <x:v>국외인증</x:v>
      </x:c>
      <x:c r="S2903" s="8" t="n">
        <x:v>490</x:v>
      </x:c>
      <x:c r="T2903" s="2" t="str">
        <x:v>(8/16),(10/19),(11/18)</x:v>
      </x:c>
      <x:c r="U2903" s="2" t="str">
        <x:v>2022 지정: (8/16),(10/19),(11/18)</x:v>
      </x:c>
      <x:c r="V2903" s="2" t="str">
        <x:v>2023-06-22</x:v>
      </x:c>
      <x:c r="W2903" s="2" t="str"/>
      <x:c r="X2903" s="2" t="str">
        <x:v>종결 근거 보관</x:v>
      </x:c>
      <x:c r="Y2903" s="2" t="str">
        <x:v>ad210cd9ec132cfd447541c8984dc53d30aff0f4fb2dc92d254d49275cc55976</x:v>
      </x:c>
      <x:c r="Z2903" s="2" t="n">
        <x:f>SUBTOTAL(103,A2903)</x:f>
        <x:v>1</x:v>
      </x:c>
      <x:c r="AA2903" s="2" t="str">
        <x:f>IF(K2903&lt;&gt;"미종결 표시","대상 아님",IF(N2903="","신청일 확인",IF(NOT(ISNUMBER('종합 현황'!$H$5)),"관찰기준 확인",IF('종합 현황'!$H$5&lt;1,"관찰기준 확인",IF(N2903&gt;'종합 현황'!$H$5,"내부 관찰 대상","내부 관찰일 이하")))))</x:f>
        <x:v>대상 아님</x:v>
      </x:c>
      <x:c r="AB2903" s="2" t="str">
        <x:v>2022-08-05 22:08 - 신청
2022-09-27 11:06 - 문서재제출요청
2022-10-06 20:57 - 신청
2022-11-07 13:41 - 문서재제출요청
2022-11-09 17:05 - 신청
2023-02-21 16:49 - 문서재제출요청
2023-02-24 17:32 - 신청
2023-03-07 09:40 - 문서재제출요청
2023-03-13 13:56 - 신청
2023-03-14 09:10 - 문서재제출요청
2023-03-14 11:35 - 신청
2023-03-29 10:50 - 검토승인
2023-03-29 10:51 - 협의검토중
2023-05-04 11:09 - 협의통보
2023-06-22 16:26 - 심의승인</x:v>
      </x:c>
    </x:row>
    <x:row r="2904" ht="42" customHeight="1">
      <x:c r="A2904" s="2" t="str">
        <x:v>5144acf73c13d1d018e03ec7</x:v>
      </x:c>
      <x:c r="B2904" s="2" t="str">
        <x:v>감축량 인증</x:v>
      </x:c>
      <x:c r="C2904" s="2" t="str">
        <x:v>국외</x:v>
      </x:c>
      <x:c r="D2904" s="7" t="str">
        <x:v>베트남 KN Cam Lam 태양광 발전 사업을 통한 온실가스 배출 감축사업</x:v>
      </x:c>
      <x:c r="E2904" s="2" t="str">
        <x:v>471</x:v>
      </x:c>
      <x:c r="F2904" s="2" t="str">
        <x:v>2022-07-01</x:v>
      </x:c>
      <x:c r="G2904" s="2" t="str">
        <x:v>2022</x:v>
      </x:c>
      <x:c r="H2904" s="2" t="str">
        <x:v>07</x:v>
      </x:c>
      <x:c r="I2904" s="2" t="str">
        <x:v>심의승인</x:v>
      </x:c>
      <x:c r="J2904" s="2" t="str">
        <x:v>심의승인</x:v>
      </x:c>
      <x:c r="K2904" s="2" t="str">
        <x:f>IF(OR(J2904="심의승인",J2904="반려",J2904="반려완료",J2904="심의완료"),"종결 표시",IF(OR(J2904="기후부협의",J2904="문서재제출요청",J2904="보류",J2904="보완요청",J2904="보완완료",J2904="평가중",J2904="반려요청",J2904="평가필요",LEFT(J2904,5)="보완요청("),"미종결 표시","상태 확인 필요"))</x:f>
        <x:v>종결 표시</x:v>
      </x:c>
      <x:c r="L2904" s="2" t="str">
        <x:v>KRIC</x:v>
      </x:c>
      <x:c r="M2904" s="2"/>
      <x:c r="N2904" s="8" t="n">
        <x:f>DATE(2026,10,15)-DATE(2022,7,1)</x:f>
        <x:v>1567</x:v>
      </x:c>
      <x:c r="O2904" s="2"/>
      <x:c r="P2904" s="2"/>
      <x:c r="Q2904" s="2" t="str">
        <x:v>산업전환_외부사업관리Tool_260707_이너젠 수정_LJY_261013.xlsx</x:v>
      </x:c>
      <x:c r="R2904" s="2" t="str">
        <x:v>국외인증</x:v>
      </x:c>
      <x:c r="S2904" s="8" t="n">
        <x:v>491</x:v>
      </x:c>
      <x:c r="T2904" s="2" t="str">
        <x:v>(7/13)(9/19),(10/19)</x:v>
      </x:c>
      <x:c r="U2904" s="2" t="str">
        <x:v>2022 지정: (7/13)(9/19),(10/19) / 2023 지정: (2/17)</x:v>
      </x:c>
      <x:c r="V2904" s="2" t="str">
        <x:v>2023-06-22</x:v>
      </x:c>
      <x:c r="W2904" s="2" t="str"/>
      <x:c r="X2904" s="2" t="str">
        <x:v>종결 근거 보관</x:v>
      </x:c>
      <x:c r="Y2904" s="2" t="str">
        <x:v>ad210cd9ec132cfd447541c8984dc53d30aff0f4fb2dc92d254d49275cc55976</x:v>
      </x:c>
      <x:c r="Z2904" s="2" t="n">
        <x:f>SUBTOTAL(103,A2904)</x:f>
        <x:v>1</x:v>
      </x:c>
      <x:c r="AA2904" s="2" t="str">
        <x:f>IF(K2904&lt;&gt;"미종결 표시","대상 아님",IF(N2904="","신청일 확인",IF(NOT(ISNUMBER('종합 현황'!$H$5)),"관찰기준 확인",IF('종합 현황'!$H$5&lt;1,"관찰기준 확인",IF(N2904&gt;'종합 현황'!$H$5,"내부 관찰 대상","내부 관찰일 이하")))))</x:f>
        <x:v>대상 아님</x:v>
      </x:c>
      <x:c r="AB2904" s="2" t="str">
        <x:v>2022-07-01 17:05 - 신청
2022-09-03 14:13 - 문서재제출요청
2022-09-07 16:10 - 신청
2022-09-27 11:15 - 문서재제출요청
2022-10-04 08:06 - 신청
2022-10-06 09:39 - 문서재제출요청
2022-10-12 16:46 - 신청
2023-02-07 15:56 - 문서재제출요청
2023-02-14 13:27 - 신청
2023-02-23 22:52 - 문서재제출요청
2023-02-24 10:37 - 신청
2023-03-29 16:30 - 검토승인
2023-03-29 16:30 - 협의검토중
2023-05-04 11:13 - 협의통보
2023-06-22 16:14 - 심의승인</x:v>
      </x:c>
    </x:row>
    <x:row r="2905" ht="42" customHeight="1">
      <x:c r="A2905" s="2" t="str">
        <x:v>b5bf64c29822ebe838b26d64</x:v>
      </x:c>
      <x:c r="B2905" s="2" t="str">
        <x:v>감축량 인증</x:v>
      </x:c>
      <x:c r="C2905" s="2" t="str">
        <x:v>국외</x:v>
      </x:c>
      <x:c r="D2905" s="7" t="str">
        <x:v>인도 LED 보급 CPA02 사업</x:v>
      </x:c>
      <x:c r="E2905" s="2" t="str">
        <x:v>503</x:v>
      </x:c>
      <x:c r="F2905" s="2" t="str">
        <x:v>2022-10-12</x:v>
      </x:c>
      <x:c r="G2905" s="2" t="str">
        <x:v>2022</x:v>
      </x:c>
      <x:c r="H2905" s="2" t="str">
        <x:v>10</x:v>
      </x:c>
      <x:c r="I2905" s="2" t="str">
        <x:v>심의승인</x:v>
      </x:c>
      <x:c r="J2905" s="2" t="str">
        <x:v>심의승인</x:v>
      </x:c>
      <x:c r="K2905" s="2" t="str">
        <x:f>IF(OR(J2905="심의승인",J2905="반려",J2905="반려완료",J2905="심의완료"),"종결 표시",IF(OR(J2905="기후부협의",J2905="문서재제출요청",J2905="보류",J2905="보완요청",J2905="보완완료",J2905="평가중",J2905="반려요청",J2905="평가필요",LEFT(J2905,5)="보완요청("),"미종결 표시","상태 확인 필요"))</x:f>
        <x:v>종결 표시</x:v>
      </x:c>
      <x:c r="L2905" s="2" t="str">
        <x:v>KRIC</x:v>
      </x:c>
      <x:c r="M2905" s="2"/>
      <x:c r="N2905" s="8" t="n">
        <x:f>DATE(2026,10,15)-DATE(2022,10,12)</x:f>
        <x:v>1464</x:v>
      </x:c>
      <x:c r="O2905" s="2"/>
      <x:c r="P2905" s="2"/>
      <x:c r="Q2905" s="2" t="str">
        <x:v>산업전환_외부사업관리Tool_260707_이너젠 수정_LJY_261013.xlsx</x:v>
      </x:c>
      <x:c r="R2905" s="2" t="str">
        <x:v>국외인증</x:v>
      </x:c>
      <x:c r="S2905" s="8" t="n">
        <x:v>492</x:v>
      </x:c>
      <x:c r="T2905" s="2" t="str">
        <x:v>(10/19),(12/27)</x:v>
      </x:c>
      <x:c r="U2905" s="2" t="str">
        <x:v>2022 지정: (10/19),(12/27) / 2023 지정: (2/17)</x:v>
      </x:c>
      <x:c r="V2905" s="2" t="str">
        <x:v>2023-06-22</x:v>
      </x:c>
      <x:c r="W2905" s="2" t="str"/>
      <x:c r="X2905" s="2" t="str">
        <x:v>종결 근거 보관</x:v>
      </x:c>
      <x:c r="Y2905" s="2" t="str">
        <x:v>ad210cd9ec132cfd447541c8984dc53d30aff0f4fb2dc92d254d49275cc55976</x:v>
      </x:c>
      <x:c r="Z2905" s="2" t="n">
        <x:f>SUBTOTAL(103,A2905)</x:f>
        <x:v>1</x:v>
      </x:c>
      <x:c r="AA2905" s="2" t="str">
        <x:f>IF(K2905&lt;&gt;"미종결 표시","대상 아님",IF(N2905="","신청일 확인",IF(NOT(ISNUMBER('종합 현황'!$H$5)),"관찰기준 확인",IF('종합 현황'!$H$5&lt;1,"관찰기준 확인",IF(N2905&gt;'종합 현황'!$H$5,"내부 관찰 대상","내부 관찰일 이하")))))</x:f>
        <x:v>대상 아님</x:v>
      </x:c>
      <x:c r="AB2905" s="2" t="str">
        <x:v>2022-10-12 10:34 - 신청
2022-12-07 09:59 - 문서재제출요청
2022-12-08 14:45 - 신청
2022-12-20 09:37 - 문서재제출요청
2022-12-20 09:50 - 신청
2023-02-07 19:12 - 문서재제출요청
2023-02-09 11:21 - 신청
2023-02-15 11:25 - 문서재제출요청
2023-02-17 10:51 - 신청
2023-03-29 17:10 - 검토승인
2023-03-29 17:11 - 협의검토중
2023-05-04 11:11 - 협의통보
2023-06-22 16:25 - 심의승인</x:v>
      </x:c>
    </x:row>
    <x:row r="2906" ht="42" customHeight="1">
      <x:c r="A2906" s="2" t="str">
        <x:v>6b7a7906da565d675e28c637</x:v>
      </x:c>
      <x:c r="B2906" s="2" t="str">
        <x:v>감축량 인증</x:v>
      </x:c>
      <x:c r="C2906" s="2" t="str">
        <x:v>국외</x:v>
      </x:c>
      <x:c r="D2906" s="7" t="str">
        <x:v>인도 LED 보급 CPA02 사업</x:v>
      </x:c>
      <x:c r="E2906" s="2" t="str">
        <x:v>504</x:v>
      </x:c>
      <x:c r="F2906" s="2" t="str">
        <x:v>2022-10-12</x:v>
      </x:c>
      <x:c r="G2906" s="2" t="str">
        <x:v>2022</x:v>
      </x:c>
      <x:c r="H2906" s="2" t="str">
        <x:v>10</x:v>
      </x:c>
      <x:c r="I2906" s="2" t="str">
        <x:v>심의승인</x:v>
      </x:c>
      <x:c r="J2906" s="2" t="str">
        <x:v>심의승인</x:v>
      </x:c>
      <x:c r="K2906" s="2" t="str">
        <x:f>IF(OR(J2906="심의승인",J2906="반려",J2906="반려완료",J2906="심의완료"),"종결 표시",IF(OR(J2906="기후부협의",J2906="문서재제출요청",J2906="보류",J2906="보완요청",J2906="보완완료",J2906="평가중",J2906="반려요청",J2906="평가필요",LEFT(J2906,5)="보완요청("),"미종결 표시","상태 확인 필요"))</x:f>
        <x:v>종결 표시</x:v>
      </x:c>
      <x:c r="L2906" s="2" t="str">
        <x:v>KRIC</x:v>
      </x:c>
      <x:c r="M2906" s="2"/>
      <x:c r="N2906" s="8" t="n">
        <x:f>DATE(2026,10,15)-DATE(2022,10,12)</x:f>
        <x:v>1464</x:v>
      </x:c>
      <x:c r="O2906" s="2"/>
      <x:c r="P2906" s="2"/>
      <x:c r="Q2906" s="2" t="str">
        <x:v>산업전환_외부사업관리Tool_260707_이너젠 수정_LJY_261013.xlsx</x:v>
      </x:c>
      <x:c r="R2906" s="2" t="str">
        <x:v>국외인증</x:v>
      </x:c>
      <x:c r="S2906" s="8" t="n">
        <x:v>493</x:v>
      </x:c>
      <x:c r="T2906" s="2" t="str">
        <x:v>(10/19),(12/27)</x:v>
      </x:c>
      <x:c r="U2906" s="2" t="str">
        <x:v>2022 지정: (10/19),(12/27) / 2023 지정: (2/17)</x:v>
      </x:c>
      <x:c r="V2906" s="2" t="str">
        <x:v>2023-06-22</x:v>
      </x:c>
      <x:c r="W2906" s="2" t="str"/>
      <x:c r="X2906" s="2" t="str">
        <x:v>종결 근거 보관</x:v>
      </x:c>
      <x:c r="Y2906" s="2" t="str">
        <x:v>ad210cd9ec132cfd447541c8984dc53d30aff0f4fb2dc92d254d49275cc55976</x:v>
      </x:c>
      <x:c r="Z2906" s="2" t="n">
        <x:f>SUBTOTAL(103,A2906)</x:f>
        <x:v>1</x:v>
      </x:c>
      <x:c r="AA2906" s="2" t="str">
        <x:f>IF(K2906&lt;&gt;"미종결 표시","대상 아님",IF(N2906="","신청일 확인",IF(NOT(ISNUMBER('종합 현황'!$H$5)),"관찰기준 확인",IF('종합 현황'!$H$5&lt;1,"관찰기준 확인",IF(N2906&gt;'종합 현황'!$H$5,"내부 관찰 대상","내부 관찰일 이하")))))</x:f>
        <x:v>대상 아님</x:v>
      </x:c>
      <x:c r="AB2906" s="2" t="str">
        <x:v>2022-10-12 10:39 - 신청
2022-12-07 10:00 - 문서재제출요청
2022-12-08 14:47 - 신청
2023-02-07 19:13 - 문서재제출요청
2023-02-09 11:21 - 신청
2023-02-15 11:25 - 문서재제출요청
2023-02-17 10:51 - 신청
2023-03-29 17:11 - 검토승인
2023-03-29 17:11 - 협의검토중
2023-05-04 11:11 - 협의통보
2023-06-22 16:26 - 심의승인</x:v>
      </x:c>
    </x:row>
    <x:row r="2907" ht="42" customHeight="1">
      <x:c r="A2907" s="2" t="str">
        <x:v>49b369911cc4cdc5894d2ba0</x:v>
      </x:c>
      <x:c r="B2907" s="2" t="str">
        <x:v>감축량 인증</x:v>
      </x:c>
      <x:c r="C2907" s="2" t="str">
        <x:v>국외</x:v>
      </x:c>
      <x:c r="D2907" s="7" t="str">
        <x:v>CPA-KE-010 케냐 삼성 몸바사 사업</x:v>
      </x:c>
      <x:c r="E2907" s="2" t="str">
        <x:v>147</x:v>
      </x:c>
      <x:c r="F2907" s="2" t="str">
        <x:v>2021-07-02</x:v>
      </x:c>
      <x:c r="G2907" s="2" t="str">
        <x:v>2021</x:v>
      </x:c>
      <x:c r="H2907" s="2" t="str">
        <x:v>07</x:v>
      </x:c>
      <x:c r="I2907" s="2" t="str">
        <x:v>심의승인</x:v>
      </x:c>
      <x:c r="J2907" s="2" t="str">
        <x:v>심의승인</x:v>
      </x:c>
      <x:c r="K2907" s="2" t="str">
        <x:f>IF(OR(J2907="심의승인",J2907="반려",J2907="반려완료",J2907="심의완료"),"종결 표시",IF(OR(J2907="기후부협의",J2907="문서재제출요청",J2907="보류",J2907="보완요청",J2907="보완완료",J2907="평가중",J2907="반려요청",J2907="평가필요",LEFT(J2907,5)="보완요청("),"미종결 표시","상태 확인 필요"))</x:f>
        <x:v>종결 표시</x:v>
      </x:c>
      <x:c r="L2907" s="2" t="str">
        <x:v>KECM&gt; KRIC</x:v>
      </x:c>
      <x:c r="M2907" s="2"/>
      <x:c r="N2907" s="8" t="n">
        <x:f>DATE(2026,10,15)-DATE(2021,7,2)</x:f>
        <x:v>1931</x:v>
      </x:c>
      <x:c r="O2907" s="2"/>
      <x:c r="P2907" s="2" t="str">
        <x:v>케냐 코로나로 현장방문 어려움</x:v>
      </x:c>
      <x:c r="Q2907" s="2" t="str">
        <x:v>산업전환_외부사업관리Tool_260707_이너젠 수정_LJY_261013.xlsx</x:v>
      </x:c>
      <x:c r="R2907" s="2" t="str">
        <x:v>국외인증</x:v>
      </x:c>
      <x:c r="S2907" s="8" t="n">
        <x:v>494</x:v>
      </x:c>
      <x:c r="T2907" s="2" t="str">
        <x:v>(9/19),(10/19)</x:v>
      </x:c>
      <x:c r="U2907" s="2" t="str">
        <x:v>2022 지정: (9/19),(10/19)</x:v>
      </x:c>
      <x:c r="V2907" s="2" t="str">
        <x:v>2023-06-22</x:v>
      </x:c>
      <x:c r="W2907" s="2" t="str"/>
      <x:c r="X2907" s="2" t="str">
        <x:v>종결 근거 보관</x:v>
      </x:c>
      <x:c r="Y2907" s="2" t="str">
        <x:v>ad210cd9ec132cfd447541c8984dc53d30aff0f4fb2dc92d254d49275cc55976</x:v>
      </x:c>
      <x:c r="Z2907" s="2" t="n">
        <x:f>SUBTOTAL(103,A2907)</x:f>
        <x:v>1</x:v>
      </x:c>
      <x:c r="AA2907" s="2" t="str">
        <x:f>IF(K2907&lt;&gt;"미종결 표시","대상 아님",IF(N2907="","신청일 확인",IF(NOT(ISNUMBER('종합 현황'!$H$5)),"관찰기준 확인",IF('종합 현황'!$H$5&lt;1,"관찰기준 확인",IF(N2907&gt;'종합 현황'!$H$5,"내부 관찰 대상","내부 관찰일 이하")))))</x:f>
        <x:v>대상 아님</x:v>
      </x:c>
      <x:c r="AB2907" s="2" t="str">
        <x:v>2021-07-02 13:34 - 신청
2021-07-29 15:15 - 보완요청
2022-07-25 12:51 - 신청
2022-09-26 19:28 - 문서재제출요청
2022-10-13 11:10 - 신청
2023-02-07 16:31 - 문서재제출요청
2023-02-21 13:29 - 신청
2023-02-23 14:07 - 문서재제출요청
2023-02-28 10:04 - 신청
2023-03-14 09:37 - 문서재제출요청
2023-03-14 12:27 - 신청
2023-03-29 14:33 - 검토승인
2023-03-29 15:13 - 협의검토중
2023-05-04 11:10 - 협의통보
2023-06-22 16:28 - 심의승인</x:v>
      </x:c>
    </x:row>
    <x:row r="2908" ht="42" customHeight="1">
      <x:c r="A2908" s="2" t="str">
        <x:v>24a78eef04a95d5251ce07ec</x:v>
      </x:c>
      <x:c r="B2908" s="2" t="str">
        <x:v>감축량 인증</x:v>
      </x:c>
      <x:c r="C2908" s="2" t="str">
        <x:v>국외</x:v>
      </x:c>
      <x:c r="D2908" s="7" t="str">
        <x:v>CPA-KE-012 케냐 삼성 사업</x:v>
      </x:c>
      <x:c r="E2908" s="2" t="str">
        <x:v>148</x:v>
      </x:c>
      <x:c r="F2908" s="2" t="str">
        <x:v>2021-07-02</x:v>
      </x:c>
      <x:c r="G2908" s="2" t="str">
        <x:v>2021</x:v>
      </x:c>
      <x:c r="H2908" s="2" t="str">
        <x:v>07</x:v>
      </x:c>
      <x:c r="I2908" s="2" t="str">
        <x:v>심의승인</x:v>
      </x:c>
      <x:c r="J2908" s="2" t="str">
        <x:v>심의승인</x:v>
      </x:c>
      <x:c r="K2908" s="2" t="str">
        <x:f>IF(OR(J2908="심의승인",J2908="반려",J2908="반려완료",J2908="심의완료"),"종결 표시",IF(OR(J2908="기후부협의",J2908="문서재제출요청",J2908="보류",J2908="보완요청",J2908="보완완료",J2908="평가중",J2908="반려요청",J2908="평가필요",LEFT(J2908,5)="보완요청("),"미종결 표시","상태 확인 필요"))</x:f>
        <x:v>종결 표시</x:v>
      </x:c>
      <x:c r="L2908" s="2" t="str">
        <x:v>에코시안_배윤빈&gt; KRIC</x:v>
      </x:c>
      <x:c r="M2908" s="2"/>
      <x:c r="N2908" s="8" t="n">
        <x:f>DATE(2026,10,15)-DATE(2021,7,2)</x:f>
        <x:v>1931</x:v>
      </x:c>
      <x:c r="O2908" s="2"/>
      <x:c r="P2908" s="2" t="str">
        <x:v>케냐 코로나로 현장방문 어려움</x:v>
      </x:c>
      <x:c r="Q2908" s="2" t="str">
        <x:v>산업전환_외부사업관리Tool_260707_이너젠 수정_LJY_261013.xlsx</x:v>
      </x:c>
      <x:c r="R2908" s="2" t="str">
        <x:v>국외인증</x:v>
      </x:c>
      <x:c r="S2908" s="8" t="n">
        <x:v>495</x:v>
      </x:c>
      <x:c r="T2908" s="2" t="str">
        <x:v>(9/19),(10/19)</x:v>
      </x:c>
      <x:c r="U2908" s="2" t="str">
        <x:v>2022 지정: (9/19),(10/19)</x:v>
      </x:c>
      <x:c r="V2908" s="2" t="str">
        <x:v>2023-06-22</x:v>
      </x:c>
      <x:c r="W2908" s="2" t="str"/>
      <x:c r="X2908" s="2" t="str">
        <x:v>종결 근거 보관</x:v>
      </x:c>
      <x:c r="Y2908" s="2" t="str">
        <x:v>ad210cd9ec132cfd447541c8984dc53d30aff0f4fb2dc92d254d49275cc55976</x:v>
      </x:c>
      <x:c r="Z2908" s="2" t="n">
        <x:f>SUBTOTAL(103,A2908)</x:f>
        <x:v>1</x:v>
      </x:c>
      <x:c r="AA2908" s="2" t="str">
        <x:f>IF(K2908&lt;&gt;"미종결 표시","대상 아님",IF(N2908="","신청일 확인",IF(NOT(ISNUMBER('종합 현황'!$H$5)),"관찰기준 확인",IF('종합 현황'!$H$5&lt;1,"관찰기준 확인",IF(N2908&gt;'종합 현황'!$H$5,"내부 관찰 대상","내부 관찰일 이하")))))</x:f>
        <x:v>대상 아님</x:v>
      </x:c>
      <x:c r="AB2908" s="2" t="str">
        <x:v>2021-07-02 13:33 - 신청
2021-07-29 13:53 - 보완요청
2022-07-25 12:52 - 신청
2022-09-26 19:26 - 문서재제출요청
2022-10-13 14:19 - 신청
2023-02-07 19:05 - 문서재제출요청
2023-02-22 17:15 - 신청
2023-02-23 14:08 - 문서재제출요청
2023-03-13 12:50 - 신청
2023-03-14 10:34 - 문서재제출요청
2023-03-14 12:36 - 신청
2023-03-29 15:04 - 검토승인
2023-03-29 15:13 - 협의검토중
2023-05-04 11:09 - 협의통보
2023-06-22 16:31 - 심의승인</x:v>
      </x:c>
    </x:row>
    <x:row r="2909" ht="42" customHeight="1">
      <x:c r="A2909" s="2" t="str">
        <x:v>6f8ba959d5f5f34b29c58c07</x:v>
      </x:c>
      <x:c r="B2909" s="2" t="str">
        <x:v>감축량 인증</x:v>
      </x:c>
      <x:c r="C2909" s="2" t="str">
        <x:v>국외</x:v>
      </x:c>
      <x:c r="D2909" s="7" t="str">
        <x:v>CPA-KE-010 케냐 삼성 몸바사 사업</x:v>
      </x:c>
      <x:c r="E2909" s="2" t="str">
        <x:v>149</x:v>
      </x:c>
      <x:c r="F2909" s="2" t="str">
        <x:v>2021-07-05</x:v>
      </x:c>
      <x:c r="G2909" s="2" t="str">
        <x:v>2021</x:v>
      </x:c>
      <x:c r="H2909" s="2" t="str">
        <x:v>07</x:v>
      </x:c>
      <x:c r="I2909" s="2" t="str">
        <x:v>심의승인</x:v>
      </x:c>
      <x:c r="J2909" s="2" t="str">
        <x:v>심의승인</x:v>
      </x:c>
      <x:c r="K2909" s="2" t="str">
        <x:f>IF(OR(J2909="심의승인",J2909="반려",J2909="반려완료",J2909="심의완료"),"종결 표시",IF(OR(J2909="기후부협의",J2909="문서재제출요청",J2909="보류",J2909="보완요청",J2909="보완완료",J2909="평가중",J2909="반려요청",J2909="평가필요",LEFT(J2909,5)="보완요청("),"미종결 표시","상태 확인 필요"))</x:f>
        <x:v>종결 표시</x:v>
      </x:c>
      <x:c r="L2909" s="2" t="str">
        <x:v>KECM&gt; KRIC</x:v>
      </x:c>
      <x:c r="M2909" s="2"/>
      <x:c r="N2909" s="8" t="n">
        <x:f>DATE(2026,10,15)-DATE(2021,7,5)</x:f>
        <x:v>1928</x:v>
      </x:c>
      <x:c r="O2909" s="2"/>
      <x:c r="P2909" s="2" t="str">
        <x:v>케냐 코로나로 현장방문 어려움</x:v>
      </x:c>
      <x:c r="Q2909" s="2" t="str">
        <x:v>산업전환_외부사업관리Tool_260707_이너젠 수정_LJY_261013.xlsx</x:v>
      </x:c>
      <x:c r="R2909" s="2" t="str">
        <x:v>국외인증</x:v>
      </x:c>
      <x:c r="S2909" s="8" t="n">
        <x:v>496</x:v>
      </x:c>
      <x:c r="T2909" s="2" t="str">
        <x:v>(9/19),(10/19)</x:v>
      </x:c>
      <x:c r="U2909" s="2" t="str">
        <x:v>2022 지정: (9/19),(10/19)</x:v>
      </x:c>
      <x:c r="V2909" s="2" t="str">
        <x:v>2023-06-22</x:v>
      </x:c>
      <x:c r="W2909" s="2" t="str"/>
      <x:c r="X2909" s="2" t="str">
        <x:v>종결 근거 보관</x:v>
      </x:c>
      <x:c r="Y2909" s="2" t="str">
        <x:v>ad210cd9ec132cfd447541c8984dc53d30aff0f4fb2dc92d254d49275cc55976</x:v>
      </x:c>
      <x:c r="Z2909" s="2" t="n">
        <x:f>SUBTOTAL(103,A2909)</x:f>
        <x:v>1</x:v>
      </x:c>
      <x:c r="AA2909" s="2" t="str">
        <x:f>IF(K2909&lt;&gt;"미종결 표시","대상 아님",IF(N2909="","신청일 확인",IF(NOT(ISNUMBER('종합 현황'!$H$5)),"관찰기준 확인",IF('종합 현황'!$H$5&lt;1,"관찰기준 확인",IF(N2909&gt;'종합 현황'!$H$5,"내부 관찰 대상","내부 관찰일 이하")))))</x:f>
        <x:v>대상 아님</x:v>
      </x:c>
      <x:c r="AB2909" s="2" t="str">
        <x:v>2021-07-05 15:42 - 신청
2021-07-29 15:15 - 문서재제출요청
2022-07-25 12:51 - 신청
2022-09-26 19:28 - 문서재제출요청
2022-10-13 12:15 - 신청
2023-02-07 16:32 - 문서재제출요청
2023-02-21 13:30 - 신청
2023-02-23 14:07 - 문서재제출요청
2023-02-28 10:30 - 신청
2023-03-14 09:38 - 문서재제출요청
2023-03-14 12:28 - 신청
2023-03-29 14:37 - 검토승인
2023-03-29 15:13 - 협의검토중
2023-05-04 11:10 - 협의통보
2023-06-22 16:29 - 심의승인</x:v>
      </x:c>
    </x:row>
    <x:row r="2910" ht="42" customHeight="1">
      <x:c r="A2910" s="2" t="str">
        <x:v>1ac53d155ac8784181bc4597</x:v>
      </x:c>
      <x:c r="B2910" s="2" t="str">
        <x:v>감축량 인증</x:v>
      </x:c>
      <x:c r="C2910" s="2" t="str">
        <x:v>국외</x:v>
      </x:c>
      <x:c r="D2910" s="7" t="str">
        <x:v>CPA-KE-012 케냐 삼성 사업</x:v>
      </x:c>
      <x:c r="E2910" s="2" t="str">
        <x:v>150</x:v>
      </x:c>
      <x:c r="F2910" s="2" t="str">
        <x:v>2021-07-05</x:v>
      </x:c>
      <x:c r="G2910" s="2" t="str">
        <x:v>2021</x:v>
      </x:c>
      <x:c r="H2910" s="2" t="str">
        <x:v>07</x:v>
      </x:c>
      <x:c r="I2910" s="2" t="str">
        <x:v>심의승인</x:v>
      </x:c>
      <x:c r="J2910" s="2" t="str">
        <x:v>심의승인</x:v>
      </x:c>
      <x:c r="K2910" s="2" t="str">
        <x:f>IF(OR(J2910="심의승인",J2910="반려",J2910="반려완료",J2910="심의완료"),"종결 표시",IF(OR(J2910="기후부협의",J2910="문서재제출요청",J2910="보류",J2910="보완요청",J2910="보완완료",J2910="평가중",J2910="반려요청",J2910="평가필요",LEFT(J2910,5)="보완요청("),"미종결 표시","상태 확인 필요"))</x:f>
        <x:v>종결 표시</x:v>
      </x:c>
      <x:c r="L2910" s="2" t="str">
        <x:v>에코시안_배윤빈&gt; KRIC</x:v>
      </x:c>
      <x:c r="M2910" s="2"/>
      <x:c r="N2910" s="8" t="n">
        <x:f>DATE(2026,10,15)-DATE(2021,7,5)</x:f>
        <x:v>1928</x:v>
      </x:c>
      <x:c r="O2910" s="2"/>
      <x:c r="P2910" s="2" t="str">
        <x:v>케냐 코로나로 현장방문 어려움</x:v>
      </x:c>
      <x:c r="Q2910" s="2" t="str">
        <x:v>산업전환_외부사업관리Tool_260707_이너젠 수정_LJY_261013.xlsx</x:v>
      </x:c>
      <x:c r="R2910" s="2" t="str">
        <x:v>국외인증</x:v>
      </x:c>
      <x:c r="S2910" s="8" t="n">
        <x:v>497</x:v>
      </x:c>
      <x:c r="T2910" s="2" t="str">
        <x:v>(9/19),(10/19)</x:v>
      </x:c>
      <x:c r="U2910" s="2" t="str">
        <x:v>2022 지정: (9/19),(10/19)</x:v>
      </x:c>
      <x:c r="V2910" s="2" t="str">
        <x:v>2023-06-22</x:v>
      </x:c>
      <x:c r="W2910" s="2" t="str"/>
      <x:c r="X2910" s="2" t="str">
        <x:v>종결 근거 보관</x:v>
      </x:c>
      <x:c r="Y2910" s="2" t="str">
        <x:v>ad210cd9ec132cfd447541c8984dc53d30aff0f4fb2dc92d254d49275cc55976</x:v>
      </x:c>
      <x:c r="Z2910" s="2" t="n">
        <x:f>SUBTOTAL(103,A2910)</x:f>
        <x:v>1</x:v>
      </x:c>
      <x:c r="AA2910" s="2" t="str">
        <x:f>IF(K2910&lt;&gt;"미종결 표시","대상 아님",IF(N2910="","신청일 확인",IF(NOT(ISNUMBER('종합 현황'!$H$5)),"관찰기준 확인",IF('종합 현황'!$H$5&lt;1,"관찰기준 확인",IF(N2910&gt;'종합 현황'!$H$5,"내부 관찰 대상","내부 관찰일 이하")))))</x:f>
        <x:v>대상 아님</x:v>
      </x:c>
      <x:c r="AB2910" s="2" t="str">
        <x:v>2021-07-05 16:06 - 신청
2021-07-29 13:53 - 보완요청
2022-07-25 12:52 - 신청
2022-09-26 19:25 - 문서재제출요청
2022-10-13 14:46 - 신청
2023-02-07 19:06 - 문서재제출요청
2023-02-22 17:15 - 신청
2023-02-23 14:09 - 문서재제출요청
2023-03-13 12:51 - 신청
2023-03-14 10:34 - 문서재제출요청
2023-03-14 12:38 - 신청
2023-03-29 15:07 - 검토승인
2023-03-29 15:13 - 협의검토중
2023-05-04 11:09 - 협의통보
2023-06-22 16:31 - 심의승인</x:v>
      </x:c>
    </x:row>
    <x:row r="2911" ht="42" customHeight="1">
      <x:c r="A2911" s="2" t="str">
        <x:v>090b34f688f604eaa9b0d054</x:v>
      </x:c>
      <x:c r="B2911" s="2" t="str">
        <x:v>감축량 인증</x:v>
      </x:c>
      <x:c r="C2911" s="2" t="str">
        <x:v>국외</x:v>
      </x:c>
      <x:c r="D2911" s="7" t="str">
        <x:v>CPA-KE-010 케냐 삼성 몸바사 사업</x:v>
      </x:c>
      <x:c r="E2911" s="2" t="str">
        <x:v>151</x:v>
      </x:c>
      <x:c r="F2911" s="2" t="str">
        <x:v>2021-07-07</x:v>
      </x:c>
      <x:c r="G2911" s="2" t="str">
        <x:v>2021</x:v>
      </x:c>
      <x:c r="H2911" s="2" t="str">
        <x:v>07</x:v>
      </x:c>
      <x:c r="I2911" s="2" t="str">
        <x:v>심의승인</x:v>
      </x:c>
      <x:c r="J2911" s="2" t="str">
        <x:v>심의승인</x:v>
      </x:c>
      <x:c r="K2911" s="2" t="str">
        <x:f>IF(OR(J2911="심의승인",J2911="반려",J2911="반려완료",J2911="심의완료"),"종결 표시",IF(OR(J2911="기후부협의",J2911="문서재제출요청",J2911="보류",J2911="보완요청",J2911="보완완료",J2911="평가중",J2911="반려요청",J2911="평가필요",LEFT(J2911,5)="보완요청("),"미종결 표시","상태 확인 필요"))</x:f>
        <x:v>종결 표시</x:v>
      </x:c>
      <x:c r="L2911" s="2" t="str">
        <x:v>KECM&gt; KRIC</x:v>
      </x:c>
      <x:c r="M2911" s="2"/>
      <x:c r="N2911" s="8" t="n">
        <x:f>DATE(2026,10,15)-DATE(2021,7,7)</x:f>
        <x:v>1926</x:v>
      </x:c>
      <x:c r="O2911" s="2"/>
      <x:c r="P2911" s="2" t="str">
        <x:v>케냐 코로나로 현장방문 어려움</x:v>
      </x:c>
      <x:c r="Q2911" s="2" t="str">
        <x:v>산업전환_외부사업관리Tool_260707_이너젠 수정_LJY_261013.xlsx</x:v>
      </x:c>
      <x:c r="R2911" s="2" t="str">
        <x:v>국외인증</x:v>
      </x:c>
      <x:c r="S2911" s="8" t="n">
        <x:v>498</x:v>
      </x:c>
      <x:c r="T2911" s="2" t="str">
        <x:v>(9/19),(10/19)</x:v>
      </x:c>
      <x:c r="U2911" s="2" t="str">
        <x:v>2022 지정: (9/19),(10/19)</x:v>
      </x:c>
      <x:c r="V2911" s="2" t="str">
        <x:v>2023-06-22</x:v>
      </x:c>
      <x:c r="W2911" s="2" t="str"/>
      <x:c r="X2911" s="2" t="str">
        <x:v>종결 근거 보관</x:v>
      </x:c>
      <x:c r="Y2911" s="2" t="str">
        <x:v>ad210cd9ec132cfd447541c8984dc53d30aff0f4fb2dc92d254d49275cc55976</x:v>
      </x:c>
      <x:c r="Z2911" s="2" t="n">
        <x:f>SUBTOTAL(103,A2911)</x:f>
        <x:v>1</x:v>
      </x:c>
      <x:c r="AA2911" s="2" t="str">
        <x:f>IF(K2911&lt;&gt;"미종결 표시","대상 아님",IF(N2911="","신청일 확인",IF(NOT(ISNUMBER('종합 현황'!$H$5)),"관찰기준 확인",IF('종합 현황'!$H$5&lt;1,"관찰기준 확인",IF(N2911&gt;'종합 현황'!$H$5,"내부 관찰 대상","내부 관찰일 이하")))))</x:f>
        <x:v>대상 아님</x:v>
      </x:c>
      <x:c r="AB2911" s="2" t="str">
        <x:v>2021-07-07 12:17 - 신청
2021-07-29 15:15 - 문서재제출요청
2022-07-25 12:52 - 신청
2022-09-26 19:29 - 문서재제출요청
2022-10-13 12:48 - 신청
2023-02-07 16:33 - 문서재제출요청
2023-02-21 13:30 - 신청
2023-02-23 14:08 - 문서재제출요청
2023-02-28 10:44 - 신청
2023-03-14 09:38 - 문서재제출요청
2023-03-14 12:28 - 신청
2023-03-29 14:57 - 검토승인
2023-03-29 15:13 - 협의검토중
2023-05-04 11:10 - 협의통보
2023-06-22 16:29 - 심의승인</x:v>
      </x:c>
    </x:row>
    <x:row r="2912" ht="42" customHeight="1">
      <x:c r="A2912" s="2" t="str">
        <x:v>6512d0adc29b2b4b47a439ec</x:v>
      </x:c>
      <x:c r="B2912" s="2" t="str">
        <x:v>감축량 인증</x:v>
      </x:c>
      <x:c r="C2912" s="2" t="str">
        <x:v>국외</x:v>
      </x:c>
      <x:c r="D2912" s="7" t="str">
        <x:v>CPA-KE-012 케냐 삼성 사업</x:v>
      </x:c>
      <x:c r="E2912" s="2" t="str">
        <x:v>152</x:v>
      </x:c>
      <x:c r="F2912" s="2" t="str">
        <x:v>2021-07-07</x:v>
      </x:c>
      <x:c r="G2912" s="2" t="str">
        <x:v>2021</x:v>
      </x:c>
      <x:c r="H2912" s="2" t="str">
        <x:v>07</x:v>
      </x:c>
      <x:c r="I2912" s="2" t="str">
        <x:v>심의승인</x:v>
      </x:c>
      <x:c r="J2912" s="2" t="str">
        <x:v>심의승인</x:v>
      </x:c>
      <x:c r="K2912" s="2" t="str">
        <x:f>IF(OR(J2912="심의승인",J2912="반려",J2912="반려완료",J2912="심의완료"),"종결 표시",IF(OR(J2912="기후부협의",J2912="문서재제출요청",J2912="보류",J2912="보완요청",J2912="보완완료",J2912="평가중",J2912="반려요청",J2912="평가필요",LEFT(J2912,5)="보완요청("),"미종결 표시","상태 확인 필요"))</x:f>
        <x:v>종결 표시</x:v>
      </x:c>
      <x:c r="L2912" s="2" t="str">
        <x:v>에코시안_배윤빈&gt; KRIC</x:v>
      </x:c>
      <x:c r="M2912" s="2"/>
      <x:c r="N2912" s="8" t="n">
        <x:f>DATE(2026,10,15)-DATE(2021,7,7)</x:f>
        <x:v>1926</x:v>
      </x:c>
      <x:c r="O2912" s="2"/>
      <x:c r="P2912" s="2" t="str">
        <x:v>케냐 코로나로 현장방문 어려움</x:v>
      </x:c>
      <x:c r="Q2912" s="2" t="str">
        <x:v>산업전환_외부사업관리Tool_260707_이너젠 수정_LJY_261013.xlsx</x:v>
      </x:c>
      <x:c r="R2912" s="2" t="str">
        <x:v>국외인증</x:v>
      </x:c>
      <x:c r="S2912" s="8" t="n">
        <x:v>499</x:v>
      </x:c>
      <x:c r="T2912" s="2" t="str">
        <x:v>(9/19),(10/19)</x:v>
      </x:c>
      <x:c r="U2912" s="2" t="str">
        <x:v>2022 지정: (9/19),(10/19)</x:v>
      </x:c>
      <x:c r="V2912" s="2" t="str">
        <x:v>2023-06-22</x:v>
      </x:c>
      <x:c r="W2912" s="2" t="str"/>
      <x:c r="X2912" s="2" t="str">
        <x:v>종결 근거 보관</x:v>
      </x:c>
      <x:c r="Y2912" s="2" t="str">
        <x:v>ad210cd9ec132cfd447541c8984dc53d30aff0f4fb2dc92d254d49275cc55976</x:v>
      </x:c>
      <x:c r="Z2912" s="2" t="n">
        <x:f>SUBTOTAL(103,A2912)</x:f>
        <x:v>1</x:v>
      </x:c>
      <x:c r="AA2912" s="2" t="str">
        <x:f>IF(K2912&lt;&gt;"미종결 표시","대상 아님",IF(N2912="","신청일 확인",IF(NOT(ISNUMBER('종합 현황'!$H$5)),"관찰기준 확인",IF('종합 현황'!$H$5&lt;1,"관찰기준 확인",IF(N2912&gt;'종합 현황'!$H$5,"내부 관찰 대상","내부 관찰일 이하")))))</x:f>
        <x:v>대상 아님</x:v>
      </x:c>
      <x:c r="AB2912" s="2" t="str">
        <x:v>2021-07-07 12:22 - 신청
2021-07-29 13:54 - 보완요청
2022-07-25 12:52 - 신청
2022-09-26 19:25 - 문서재제출요청
2022-10-13 15:30 - 신청
2023-02-07 19:07 - 문서재제출요청
2023-02-22 17:15 - 신청
2023-02-23 14:09 - 문서재제출요청
2023-03-13 12:51 - 신청
2023-03-14 10:34 - 문서재제출요청
2023-03-14 12:39 - 신청
2023-03-29 15:11 - 검토승인
2023-03-29 15:13 - 협의검토중
2023-05-04 11:09 - 협의통보
2023-06-22 16:32 - 심의승인</x:v>
      </x:c>
    </x:row>
    <x:row r="2913" ht="42" customHeight="1">
      <x:c r="A2913" s="2" t="str">
        <x:v>65117a2736e27ec25e4fef1d</x:v>
      </x:c>
      <x:c r="B2913" s="2" t="str">
        <x:v>감축량 인증</x:v>
      </x:c>
      <x:c r="C2913" s="2" t="str">
        <x:v>국외</x:v>
      </x:c>
      <x:c r="D2913" s="7" t="str">
        <x:v>미얀마 트완테, 양곤 지역의 에너지 효율을 높인 쿡스토브 설치 : CPA 002</x:v>
      </x:c>
      <x:c r="E2913" s="2" t="str">
        <x:v>474</x:v>
      </x:c>
      <x:c r="F2913" s="2" t="str">
        <x:v>2022-07-06</x:v>
      </x:c>
      <x:c r="G2913" s="2" t="str">
        <x:v>2022</x:v>
      </x:c>
      <x:c r="H2913" s="2" t="str">
        <x:v>07</x:v>
      </x:c>
      <x:c r="I2913" s="2" t="str">
        <x:v>심의승인</x:v>
      </x:c>
      <x:c r="J2913" s="2" t="str">
        <x:v>심의승인</x:v>
      </x:c>
      <x:c r="K2913" s="2" t="str">
        <x:f>IF(OR(J2913="심의승인",J2913="반려",J2913="반려완료",J2913="심의완료"),"종결 표시",IF(OR(J2913="기후부협의",J2913="문서재제출요청",J2913="보류",J2913="보완요청",J2913="보완완료",J2913="평가중",J2913="반려요청",J2913="평가필요",LEFT(J2913,5)="보완요청("),"미종결 표시","상태 확인 필요"))</x:f>
        <x:v>종결 표시</x:v>
      </x:c>
      <x:c r="L2913" s="2" t="str">
        <x:v>KRIC</x:v>
      </x:c>
      <x:c r="M2913" s="2"/>
      <x:c r="N2913" s="8" t="n">
        <x:f>DATE(2026,10,15)-DATE(2022,7,6)</x:f>
        <x:v>1562</x:v>
      </x:c>
      <x:c r="O2913" s="2"/>
      <x:c r="P2913" s="2"/>
      <x:c r="Q2913" s="2" t="str">
        <x:v>산업전환_외부사업관리Tool_260707_이너젠 수정_LJY_261013.xlsx</x:v>
      </x:c>
      <x:c r="R2913" s="2" t="str">
        <x:v>국외인증</x:v>
      </x:c>
      <x:c r="S2913" s="8" t="n">
        <x:v>500</x:v>
      </x:c>
      <x:c r="T2913" s="2" t="str">
        <x:v>(7/13)(9/19),(10/19)</x:v>
      </x:c>
      <x:c r="U2913" s="2" t="str">
        <x:v>2022 지정: (7/13)(9/19),(10/19)</x:v>
      </x:c>
      <x:c r="V2913" s="2" t="str">
        <x:v>2023-03-24</x:v>
      </x:c>
      <x:c r="W2913" s="2" t="str"/>
      <x:c r="X2913" s="2" t="str">
        <x:v>종결 근거 보관</x:v>
      </x:c>
      <x:c r="Y2913" s="2" t="str">
        <x:v>ad210cd9ec132cfd447541c8984dc53d30aff0f4fb2dc92d254d49275cc55976</x:v>
      </x:c>
      <x:c r="Z2913" s="2" t="n">
        <x:f>SUBTOTAL(103,A2913)</x:f>
        <x:v>1</x:v>
      </x:c>
      <x:c r="AA2913" s="2" t="str">
        <x:f>IF(K2913&lt;&gt;"미종결 표시","대상 아님",IF(N2913="","신청일 확인",IF(NOT(ISNUMBER('종합 현황'!$H$5)),"관찰기준 확인",IF('종합 현황'!$H$5&lt;1,"관찰기준 확인",IF(N2913&gt;'종합 현황'!$H$5,"내부 관찰 대상","내부 관찰일 이하")))))</x:f>
        <x:v>대상 아님</x:v>
      </x:c>
      <x:c r="AB2913" s="2" t="str">
        <x:v>2022-07-06 13:56 - 신청
2022-09-16 10:26 - 문서재제출요청
2022-10-13 09:32 - 신청
2022-12-07 17:51 - 문서재제출요청
2022-12-07 17:53 - 신청
2022-12-23 14:31 - 문서재제출요청
2022-12-23 17:32 - 신청
2023-03-15 10:21 - 검토승인
2023-03-24 15:45 - 심의승인</x:v>
      </x:c>
    </x:row>
    <x:row r="2914" ht="42" customHeight="1">
      <x:c r="A2914" s="2" t="str">
        <x:v>b95e4b8f74d698b701682ac7</x:v>
      </x:c>
      <x:c r="B2914" s="2" t="str">
        <x:v>감축량 인증</x:v>
      </x:c>
      <x:c r="C2914" s="2" t="str">
        <x:v>국외</x:v>
      </x:c>
      <x:c r="D2914" s="7" t="str">
        <x:v>잠비아의 연료사용이 효율적인 스토브 - Korea Carbon Management Ltd. CPA No.01)</x:v>
      </x:c>
      <x:c r="E2914" s="2" t="str">
        <x:v>475</x:v>
      </x:c>
      <x:c r="F2914" s="2" t="str">
        <x:v>2022-07-06</x:v>
      </x:c>
      <x:c r="G2914" s="2" t="str">
        <x:v>2022</x:v>
      </x:c>
      <x:c r="H2914" s="2" t="str">
        <x:v>07</x:v>
      </x:c>
      <x:c r="I2914" s="2" t="str">
        <x:v>심의승인</x:v>
      </x:c>
      <x:c r="J2914" s="2" t="str">
        <x:v>심의승인</x:v>
      </x:c>
      <x:c r="K2914" s="2" t="str">
        <x:f>IF(OR(J2914="심의승인",J2914="반려",J2914="반려완료",J2914="심의완료"),"종결 표시",IF(OR(J2914="기후부협의",J2914="문서재제출요청",J2914="보류",J2914="보완요청",J2914="보완완료",J2914="평가중",J2914="반려요청",J2914="평가필요",LEFT(J2914,5)="보완요청("),"미종결 표시","상태 확인 필요"))</x:f>
        <x:v>종결 표시</x:v>
      </x:c>
      <x:c r="L2914" s="2" t="str">
        <x:v>KRIC</x:v>
      </x:c>
      <x:c r="M2914" s="2"/>
      <x:c r="N2914" s="8" t="n">
        <x:f>DATE(2026,10,15)-DATE(2022,7,6)</x:f>
        <x:v>1562</x:v>
      </x:c>
      <x:c r="O2914" s="2"/>
      <x:c r="P2914" s="2"/>
      <x:c r="Q2914" s="2" t="str">
        <x:v>산업전환_외부사업관리Tool_260707_이너젠 수정_LJY_261013.xlsx</x:v>
      </x:c>
      <x:c r="R2914" s="2" t="str">
        <x:v>국외인증</x:v>
      </x:c>
      <x:c r="S2914" s="8" t="n">
        <x:v>501</x:v>
      </x:c>
      <x:c r="T2914" s="2" t="str">
        <x:v>(7/13)(9/19),(10/19)(11/18)</x:v>
      </x:c>
      <x:c r="U2914" s="2" t="str">
        <x:v>2022 지정: (7/13)(9/19),(10/19)(11/18)</x:v>
      </x:c>
      <x:c r="V2914" s="2" t="str">
        <x:v>2023-03-24</x:v>
      </x:c>
      <x:c r="W2914" s="2" t="str"/>
      <x:c r="X2914" s="2" t="str">
        <x:v>종결 근거 보관</x:v>
      </x:c>
      <x:c r="Y2914" s="2" t="str">
        <x:v>ad210cd9ec132cfd447541c8984dc53d30aff0f4fb2dc92d254d49275cc55976</x:v>
      </x:c>
      <x:c r="Z2914" s="2" t="n">
        <x:f>SUBTOTAL(103,A2914)</x:f>
        <x:v>1</x:v>
      </x:c>
      <x:c r="AA2914" s="2" t="str">
        <x:f>IF(K2914&lt;&gt;"미종결 표시","대상 아님",IF(N2914="","신청일 확인",IF(NOT(ISNUMBER('종합 현황'!$H$5)),"관찰기준 확인",IF('종합 현황'!$H$5&lt;1,"관찰기준 확인",IF(N2914&gt;'종합 현황'!$H$5,"내부 관찰 대상","내부 관찰일 이하")))))</x:f>
        <x:v>대상 아님</x:v>
      </x:c>
      <x:c r="AB2914" s="2" t="str">
        <x:v>2022-07-06 16:24 - 신청
2022-09-26 19:41 - 문서재제출요청
2022-10-13 10:08 - 신청
2022-11-08 09:12 - 문서재제출요청
2022-11-10 09:36 - 신청
2022-12-23 14:50 - 문서재제출요청
2022-12-23 17:20 - 신청
2023-03-15 13:19 - 검토승인
2023-03-24 15:48 - 심의승인</x:v>
      </x:c>
    </x:row>
    <x:row r="2915" ht="42" customHeight="1">
      <x:c r="A2915" s="2" t="str">
        <x:v>619f788abc022da83ed81dc4</x:v>
      </x:c>
      <x:c r="B2915" s="2" t="str">
        <x:v>감축량 인증</x:v>
      </x:c>
      <x:c r="C2915" s="2" t="str">
        <x:v>국외</x:v>
      </x:c>
      <x:c r="D2915" s="7" t="str">
        <x:v>잠비아의 연료사용이 효율적인 스토브 (Korea Carbon Management Ltd. CPA No.02)</x:v>
      </x:c>
      <x:c r="E2915" s="2" t="str">
        <x:v>476</x:v>
      </x:c>
      <x:c r="F2915" s="2" t="str">
        <x:v>2022-07-06</x:v>
      </x:c>
      <x:c r="G2915" s="2" t="str">
        <x:v>2022</x:v>
      </x:c>
      <x:c r="H2915" s="2" t="str">
        <x:v>07</x:v>
      </x:c>
      <x:c r="I2915" s="2" t="str">
        <x:v>심의승인</x:v>
      </x:c>
      <x:c r="J2915" s="2" t="str">
        <x:v>심의승인</x:v>
      </x:c>
      <x:c r="K2915" s="2" t="str">
        <x:f>IF(OR(J2915="심의승인",J2915="반려",J2915="반려완료",J2915="심의완료"),"종결 표시",IF(OR(J2915="기후부협의",J2915="문서재제출요청",J2915="보류",J2915="보완요청",J2915="보완완료",J2915="평가중",J2915="반려요청",J2915="평가필요",LEFT(J2915,5)="보완요청("),"미종결 표시","상태 확인 필요"))</x:f>
        <x:v>종결 표시</x:v>
      </x:c>
      <x:c r="L2915" s="2" t="str">
        <x:v>KRIC</x:v>
      </x:c>
      <x:c r="M2915" s="2"/>
      <x:c r="N2915" s="8" t="n">
        <x:f>DATE(2026,10,15)-DATE(2022,7,6)</x:f>
        <x:v>1562</x:v>
      </x:c>
      <x:c r="O2915" s="2"/>
      <x:c r="P2915" s="2"/>
      <x:c r="Q2915" s="2" t="str">
        <x:v>산업전환_외부사업관리Tool_260707_이너젠 수정_LJY_261013.xlsx</x:v>
      </x:c>
      <x:c r="R2915" s="2" t="str">
        <x:v>국외인증</x:v>
      </x:c>
      <x:c r="S2915" s="8" t="n">
        <x:v>502</x:v>
      </x:c>
      <x:c r="T2915" s="2" t="str">
        <x:v>(7/13)(9/19),(10/19)</x:v>
      </x:c>
      <x:c r="U2915" s="2" t="str">
        <x:v>2022 지정: (7/13)(9/19),(10/19)</x:v>
      </x:c>
      <x:c r="V2915" s="2" t="str">
        <x:v>2023-03-24</x:v>
      </x:c>
      <x:c r="W2915" s="2" t="str"/>
      <x:c r="X2915" s="2" t="str">
        <x:v>종결 근거 보관</x:v>
      </x:c>
      <x:c r="Y2915" s="2" t="str">
        <x:v>ad210cd9ec132cfd447541c8984dc53d30aff0f4fb2dc92d254d49275cc55976</x:v>
      </x:c>
      <x:c r="Z2915" s="2" t="n">
        <x:f>SUBTOTAL(103,A2915)</x:f>
        <x:v>1</x:v>
      </x:c>
      <x:c r="AA2915" s="2" t="str">
        <x:f>IF(K2915&lt;&gt;"미종결 표시","대상 아님",IF(N2915="","신청일 확인",IF(NOT(ISNUMBER('종합 현황'!$H$5)),"관찰기준 확인",IF('종합 현황'!$H$5&lt;1,"관찰기준 확인",IF(N2915&gt;'종합 현황'!$H$5,"내부 관찰 대상","내부 관찰일 이하")))))</x:f>
        <x:v>대상 아님</x:v>
      </x:c>
      <x:c r="AB2915" s="2" t="str">
        <x:v>2022-07-06 16:37 - 신청
2022-09-26 19:42 - 문서재제출요청
2022-10-13 10:47 - 신청
2022-12-23 14:50 - 문서재제출요청
2022-12-23 17:26 - 신청
2023-03-15 13:19 - 검토승인
2023-03-24 15:49 - 심의승인</x:v>
      </x:c>
    </x:row>
    <x:row r="2916" ht="42" customHeight="1">
      <x:c r="A2916" s="2" t="str">
        <x:v>2fd948f9c388e20ceb291097</x:v>
      </x:c>
      <x:c r="B2916" s="2" t="str">
        <x:v>감축량 인증</x:v>
      </x:c>
      <x:c r="C2916" s="2" t="str">
        <x:v>국외</x:v>
      </x:c>
      <x:c r="D2916" s="7" t="str">
        <x:v>잠비아의 연료사용이 효율적인 스토브 - Korea Carbon Management Ltd. CPA No.01)</x:v>
      </x:c>
      <x:c r="E2916" s="2" t="str">
        <x:v>478</x:v>
      </x:c>
      <x:c r="F2916" s="2" t="str">
        <x:v>2022-07-07</x:v>
      </x:c>
      <x:c r="G2916" s="2" t="str">
        <x:v>2022</x:v>
      </x:c>
      <x:c r="H2916" s="2" t="str">
        <x:v>07</x:v>
      </x:c>
      <x:c r="I2916" s="2" t="str">
        <x:v>심의승인</x:v>
      </x:c>
      <x:c r="J2916" s="2" t="str">
        <x:v>심의승인</x:v>
      </x:c>
      <x:c r="K2916" s="2" t="str">
        <x:f>IF(OR(J2916="심의승인",J2916="반려",J2916="반려완료",J2916="심의완료"),"종결 표시",IF(OR(J2916="기후부협의",J2916="문서재제출요청",J2916="보류",J2916="보완요청",J2916="보완완료",J2916="평가중",J2916="반려요청",J2916="평가필요",LEFT(J2916,5)="보완요청("),"미종결 표시","상태 확인 필요"))</x:f>
        <x:v>종결 표시</x:v>
      </x:c>
      <x:c r="L2916" s="2" t="str">
        <x:v>KRIC</x:v>
      </x:c>
      <x:c r="M2916" s="2"/>
      <x:c r="N2916" s="8" t="n">
        <x:f>DATE(2026,10,15)-DATE(2022,7,7)</x:f>
        <x:v>1561</x:v>
      </x:c>
      <x:c r="O2916" s="2"/>
      <x:c r="P2916" s="2"/>
      <x:c r="Q2916" s="2" t="str">
        <x:v>산업전환_외부사업관리Tool_260707_이너젠 수정_LJY_261013.xlsx</x:v>
      </x:c>
      <x:c r="R2916" s="2" t="str">
        <x:v>국외인증</x:v>
      </x:c>
      <x:c r="S2916" s="8" t="n">
        <x:v>503</x:v>
      </x:c>
      <x:c r="T2916" s="2" t="str">
        <x:v>(7/13)(9/19),(10/19)(11/18)</x:v>
      </x:c>
      <x:c r="U2916" s="2" t="str">
        <x:v>2022 지정: (7/13)(9/19),(10/19)(11/18)</x:v>
      </x:c>
      <x:c r="V2916" s="2" t="str">
        <x:v>2023-03-24</x:v>
      </x:c>
      <x:c r="W2916" s="2" t="str"/>
      <x:c r="X2916" s="2" t="str">
        <x:v>종결 근거 보관</x:v>
      </x:c>
      <x:c r="Y2916" s="2" t="str">
        <x:v>ad210cd9ec132cfd447541c8984dc53d30aff0f4fb2dc92d254d49275cc55976</x:v>
      </x:c>
      <x:c r="Z2916" s="2" t="n">
        <x:f>SUBTOTAL(103,A2916)</x:f>
        <x:v>1</x:v>
      </x:c>
      <x:c r="AA2916" s="2" t="str">
        <x:f>IF(K2916&lt;&gt;"미종결 표시","대상 아님",IF(N2916="","신청일 확인",IF(NOT(ISNUMBER('종합 현황'!$H$5)),"관찰기준 확인",IF('종합 현황'!$H$5&lt;1,"관찰기준 확인",IF(N2916&gt;'종합 현황'!$H$5,"내부 관찰 대상","내부 관찰일 이하")))))</x:f>
        <x:v>대상 아님</x:v>
      </x:c>
      <x:c r="AB2916" s="2" t="str">
        <x:v>2022-07-07 17:37 - 신청
2022-09-26 19:41 - 문서재제출요청
2022-10-13 10:45 - 신청
2022-11-08 09:14 - 문서재제출요청
2022-11-10 09:38 - 신청
2022-12-07 13:03 - 문서재제출요청
2022-12-07 13:08 - 신청
2022-12-07 13:57 - 문서재제출요청
2022-12-07 13:58 - 신청
2022-12-23 14:49 - 문서재제출요청
2022-12-23 17:23 - 신청
2023-03-15 13:19 - 검토승인
2023-03-24 15:48 - 심의승인</x:v>
      </x:c>
    </x:row>
    <x:row r="2917" ht="42" customHeight="1">
      <x:c r="A2917" s="2" t="str">
        <x:v>2a25a714f1d1c5805b286635</x:v>
      </x:c>
      <x:c r="B2917" s="2" t="str">
        <x:v>감축량 인증</x:v>
      </x:c>
      <x:c r="C2917" s="2" t="str">
        <x:v>국외</x:v>
      </x:c>
      <x:c r="D2917" s="7" t="str">
        <x:v>미얀마 트완테, 양곤 지역의 에너지 효율을 높인 쿡스토브 설치 : CPA 002</x:v>
      </x:c>
      <x:c r="E2917" s="2" t="str">
        <x:v>480</x:v>
      </x:c>
      <x:c r="F2917" s="2" t="str">
        <x:v>2022-07-08</x:v>
      </x:c>
      <x:c r="G2917" s="2" t="str">
        <x:v>2022</x:v>
      </x:c>
      <x:c r="H2917" s="2" t="str">
        <x:v>07</x:v>
      </x:c>
      <x:c r="I2917" s="2" t="str">
        <x:v>심의승인</x:v>
      </x:c>
      <x:c r="J2917" s="2" t="str">
        <x:v>심의승인</x:v>
      </x:c>
      <x:c r="K2917" s="2" t="str">
        <x:f>IF(OR(J2917="심의승인",J2917="반려",J2917="반려완료",J2917="심의완료"),"종결 표시",IF(OR(J2917="기후부협의",J2917="문서재제출요청",J2917="보류",J2917="보완요청",J2917="보완완료",J2917="평가중",J2917="반려요청",J2917="평가필요",LEFT(J2917,5)="보완요청("),"미종결 표시","상태 확인 필요"))</x:f>
        <x:v>종결 표시</x:v>
      </x:c>
      <x:c r="L2917" s="2" t="str">
        <x:v>KRIC</x:v>
      </x:c>
      <x:c r="M2917" s="2"/>
      <x:c r="N2917" s="8" t="n">
        <x:f>DATE(2026,10,15)-DATE(2022,7,8)</x:f>
        <x:v>1560</x:v>
      </x:c>
      <x:c r="O2917" s="2"/>
      <x:c r="P2917" s="2"/>
      <x:c r="Q2917" s="2" t="str">
        <x:v>산업전환_외부사업관리Tool_260707_이너젠 수정_LJY_261013.xlsx</x:v>
      </x:c>
      <x:c r="R2917" s="2" t="str">
        <x:v>국외인증</x:v>
      </x:c>
      <x:c r="S2917" s="8" t="n">
        <x:v>504</x:v>
      </x:c>
      <x:c r="T2917" s="2" t="str">
        <x:v>(7/13)(9/19),(10/19)</x:v>
      </x:c>
      <x:c r="U2917" s="2" t="str">
        <x:v>2022 지정: (7/13)(9/19),(10/19)</x:v>
      </x:c>
      <x:c r="V2917" s="2" t="str">
        <x:v>2023-03-24</x:v>
      </x:c>
      <x:c r="W2917" s="2" t="str"/>
      <x:c r="X2917" s="2" t="str">
        <x:v>종결 근거 보관</x:v>
      </x:c>
      <x:c r="Y2917" s="2" t="str">
        <x:v>ad210cd9ec132cfd447541c8984dc53d30aff0f4fb2dc92d254d49275cc55976</x:v>
      </x:c>
      <x:c r="Z2917" s="2" t="n">
        <x:f>SUBTOTAL(103,A2917)</x:f>
        <x:v>1</x:v>
      </x:c>
      <x:c r="AA2917" s="2" t="str">
        <x:f>IF(K2917&lt;&gt;"미종결 표시","대상 아님",IF(N2917="","신청일 확인",IF(NOT(ISNUMBER('종합 현황'!$H$5)),"관찰기준 확인",IF('종합 현황'!$H$5&lt;1,"관찰기준 확인",IF(N2917&gt;'종합 현황'!$H$5,"내부 관찰 대상","내부 관찰일 이하")))))</x:f>
        <x:v>대상 아님</x:v>
      </x:c>
      <x:c r="AB2917" s="2" t="str">
        <x:v>2022-07-08 12:41 - 신청
2022-09-16 10:26 - 문서재제출요청
2022-10-13 09:47 - 신청
2022-12-07 17:51 - 문서재제출요청
2022-12-07 17:55 - 신청
2022-12-23 14:30 - 문서재제출요청
2022-12-23 17:34 - 신청
2023-03-15 10:22 - 검토승인
2023-03-24 15:46 - 심의승인</x:v>
      </x:c>
    </x:row>
    <x:row r="2918" ht="42" customHeight="1">
      <x:c r="A2918" s="2" t="str">
        <x:v>db3261073a27bd73ffb28c4d</x:v>
      </x:c>
      <x:c r="B2918" s="2" t="str">
        <x:v>감축량 인증</x:v>
      </x:c>
      <x:c r="C2918" s="2" t="str">
        <x:v>국외</x:v>
      </x:c>
      <x:c r="D2918" s="7" t="str">
        <x:v>CPA-KE-012 케냐 삼성 사업</x:v>
      </x:c>
      <x:c r="E2918" s="2" t="str">
        <x:v>493</x:v>
      </x:c>
      <x:c r="F2918" s="2" t="str">
        <x:v>2022-08-18</x:v>
      </x:c>
      <x:c r="G2918" s="2" t="str">
        <x:v>2022</x:v>
      </x:c>
      <x:c r="H2918" s="2" t="str">
        <x:v>08</x:v>
      </x:c>
      <x:c r="I2918" s="2" t="str">
        <x:v>심의승인</x:v>
      </x:c>
      <x:c r="J2918" s="2" t="str">
        <x:v>심의승인</x:v>
      </x:c>
      <x:c r="K2918" s="2" t="str">
        <x:f>IF(OR(J2918="심의승인",J2918="반려",J2918="반려완료",J2918="심의완료"),"종결 표시",IF(OR(J2918="기후부협의",J2918="문서재제출요청",J2918="보류",J2918="보완요청",J2918="보완완료",J2918="평가중",J2918="반려요청",J2918="평가필요",LEFT(J2918,5)="보완요청("),"미종결 표시","상태 확인 필요"))</x:f>
        <x:v>종결 표시</x:v>
      </x:c>
      <x:c r="L2918" s="2" t="str">
        <x:v>KRIC</x:v>
      </x:c>
      <x:c r="M2918" s="2"/>
      <x:c r="N2918" s="8" t="n">
        <x:f>DATE(2026,10,15)-DATE(2022,8,18)</x:f>
        <x:v>1519</x:v>
      </x:c>
      <x:c r="O2918" s="2"/>
      <x:c r="P2918" s="2"/>
      <x:c r="Q2918" s="2" t="str">
        <x:v>산업전환_외부사업관리Tool_260707_이너젠 수정_LJY_261013.xlsx</x:v>
      </x:c>
      <x:c r="R2918" s="2" t="str">
        <x:v>국외인증</x:v>
      </x:c>
      <x:c r="S2918" s="8" t="n">
        <x:v>505</x:v>
      </x:c>
      <x:c r="T2918" s="2" t="str">
        <x:v>(9/19),(10/19)</x:v>
      </x:c>
      <x:c r="U2918" s="2" t="str">
        <x:v>2022 지정: (9/19),(10/19)</x:v>
      </x:c>
      <x:c r="V2918" s="2" t="str">
        <x:v>2023-06-22</x:v>
      </x:c>
      <x:c r="W2918" s="2" t="str"/>
      <x:c r="X2918" s="2" t="str">
        <x:v>종결 근거 보관</x:v>
      </x:c>
      <x:c r="Y2918" s="2" t="str">
        <x:v>ad210cd9ec132cfd447541c8984dc53d30aff0f4fb2dc92d254d49275cc55976</x:v>
      </x:c>
      <x:c r="Z2918" s="2" t="n">
        <x:f>SUBTOTAL(103,A2918)</x:f>
        <x:v>1</x:v>
      </x:c>
      <x:c r="AA2918" s="2" t="str">
        <x:f>IF(K2918&lt;&gt;"미종결 표시","대상 아님",IF(N2918="","신청일 확인",IF(NOT(ISNUMBER('종합 현황'!$H$5)),"관찰기준 확인",IF('종합 현황'!$H$5&lt;1,"관찰기준 확인",IF(N2918&gt;'종합 현황'!$H$5,"내부 관찰 대상","내부 관찰일 이하")))))</x:f>
        <x:v>대상 아님</x:v>
      </x:c>
      <x:c r="AB2918" s="2" t="str">
        <x:v>2022-08-18 09:35 - 신청
2022-09-26 19:27 - 문서재제출요청
2022-10-13 16:37 - 신청
2023-02-07 19:07 - 문서재제출요청
2023-02-22 17:15 - 신청
2023-02-23 14:09 - 문서재제출요청
2023-03-13 12:51 - 신청
2023-03-14 10:35 - 문서재제출요청
2023-03-14 12:40 - 신청
2023-03-29 15:12 - 검토승인
2023-03-29 15:13 - 협의검토중
2023-05-04 11:10 - 협의통보
2023-06-22 16:32 - 심의승인</x:v>
      </x:c>
    </x:row>
    <x:row r="2919" ht="42" customHeight="1">
      <x:c r="A2919" s="2" t="str">
        <x:v>bafd2f4e33fa1ebe7e903d97</x:v>
      </x:c>
      <x:c r="B2919" s="2" t="str">
        <x:v>감축량 인증</x:v>
      </x:c>
      <x:c r="C2919" s="2" t="str">
        <x:v>국외</x:v>
      </x:c>
      <x:c r="D2919" s="7" t="str">
        <x:v>CPA-KE-010 케냐 삼성 몸바사 사업</x:v>
      </x:c>
      <x:c r="E2919" s="2" t="str">
        <x:v>494</x:v>
      </x:c>
      <x:c r="F2919" s="2" t="str">
        <x:v>2022-08-18</x:v>
      </x:c>
      <x:c r="G2919" s="2" t="str">
        <x:v>2022</x:v>
      </x:c>
      <x:c r="H2919" s="2" t="str">
        <x:v>08</x:v>
      </x:c>
      <x:c r="I2919" s="2" t="str">
        <x:v>심의승인</x:v>
      </x:c>
      <x:c r="J2919" s="2" t="str">
        <x:v>심의승인</x:v>
      </x:c>
      <x:c r="K2919" s="2" t="str">
        <x:f>IF(OR(J2919="심의승인",J2919="반려",J2919="반려완료",J2919="심의완료"),"종결 표시",IF(OR(J2919="기후부협의",J2919="문서재제출요청",J2919="보류",J2919="보완요청",J2919="보완완료",J2919="평가중",J2919="반려요청",J2919="평가필요",LEFT(J2919,5)="보완요청("),"미종결 표시","상태 확인 필요"))</x:f>
        <x:v>종결 표시</x:v>
      </x:c>
      <x:c r="L2919" s="2" t="str">
        <x:v>KRIC</x:v>
      </x:c>
      <x:c r="M2919" s="2"/>
      <x:c r="N2919" s="8" t="n">
        <x:f>DATE(2026,10,15)-DATE(2022,8,18)</x:f>
        <x:v>1519</x:v>
      </x:c>
      <x:c r="O2919" s="2"/>
      <x:c r="P2919" s="2"/>
      <x:c r="Q2919" s="2" t="str">
        <x:v>산업전환_외부사업관리Tool_260707_이너젠 수정_LJY_261013.xlsx</x:v>
      </x:c>
      <x:c r="R2919" s="2" t="str">
        <x:v>국외인증</x:v>
      </x:c>
      <x:c r="S2919" s="8" t="n">
        <x:v>506</x:v>
      </x:c>
      <x:c r="T2919" s="2" t="str">
        <x:v>(9/19),(10/19)</x:v>
      </x:c>
      <x:c r="U2919" s="2" t="str">
        <x:v>2022 지정: (9/19),(10/19)</x:v>
      </x:c>
      <x:c r="V2919" s="2" t="str">
        <x:v>2023-06-22</x:v>
      </x:c>
      <x:c r="W2919" s="2" t="str"/>
      <x:c r="X2919" s="2" t="str">
        <x:v>종결 근거 보관</x:v>
      </x:c>
      <x:c r="Y2919" s="2" t="str">
        <x:v>ad210cd9ec132cfd447541c8984dc53d30aff0f4fb2dc92d254d49275cc55976</x:v>
      </x:c>
      <x:c r="Z2919" s="2" t="n">
        <x:f>SUBTOTAL(103,A2919)</x:f>
        <x:v>1</x:v>
      </x:c>
      <x:c r="AA2919" s="2" t="str">
        <x:f>IF(K2919&lt;&gt;"미종결 표시","대상 아님",IF(N2919="","신청일 확인",IF(NOT(ISNUMBER('종합 현황'!$H$5)),"관찰기준 확인",IF('종합 현황'!$H$5&lt;1,"관찰기준 확인",IF(N2919&gt;'종합 현황'!$H$5,"내부 관찰 대상","내부 관찰일 이하")))))</x:f>
        <x:v>대상 아님</x:v>
      </x:c>
      <x:c r="AB2919" s="2" t="str">
        <x:v>2022-08-18 09:36 - 신청
2022-09-26 19:29 - 문서재제출요청
2022-10-13 16:39 - 신청
2023-02-07 16:34 - 문서재제출요청
2023-02-21 13:31 - 신청
2023-02-23 14:08 - 문서재제출요청
2023-02-28 11:04 - 신청
2023-03-14 09:38 - 문서재제출요청
2023-03-14 12:35 - 신청
2023-03-29 15:03 - 검토승인
2023-03-29 15:13 - 협의검토중
2023-05-04 11:10 - 협의통보
2023-06-22 16:30 - 심의승인</x:v>
      </x:c>
    </x:row>
    <x:row r="2920" ht="42" customHeight="1">
      <x:c r="A2920" s="2" t="str">
        <x:v>d2ab09ca4dea2855347a1ead</x:v>
      </x:c>
      <x:c r="B2920" s="2" t="str">
        <x:v>감축량 인증</x:v>
      </x:c>
      <x:c r="C2920" s="2" t="str">
        <x:v>국외</x:v>
      </x:c>
      <x:c r="D2920" s="7" t="str">
        <x:v>한국동서발전을 통한 가나 고효율 쿡스토브 사업 CPA-002</x:v>
      </x:c>
      <x:c r="E2920" s="2" t="str">
        <x:v>505</x:v>
      </x:c>
      <x:c r="F2920" s="2" t="str">
        <x:v>2022-10-14</x:v>
      </x:c>
      <x:c r="G2920" s="2" t="str">
        <x:v>2022</x:v>
      </x:c>
      <x:c r="H2920" s="2" t="str">
        <x:v>10</x:v>
      </x:c>
      <x:c r="I2920" s="2" t="str">
        <x:v>심의승인</x:v>
      </x:c>
      <x:c r="J2920" s="2" t="str">
        <x:v>심의승인</x:v>
      </x:c>
      <x:c r="K2920" s="2" t="str">
        <x:f>IF(OR(J2920="심의승인",J2920="반려",J2920="반려완료",J2920="심의완료"),"종결 표시",IF(OR(J2920="기후부협의",J2920="문서재제출요청",J2920="보류",J2920="보완요청",J2920="보완완료",J2920="평가중",J2920="반려요청",J2920="평가필요",LEFT(J2920,5)="보완요청("),"미종결 표시","상태 확인 필요"))</x:f>
        <x:v>종결 표시</x:v>
      </x:c>
      <x:c r="L2920" s="2" t="str">
        <x:v>KRIC</x:v>
      </x:c>
      <x:c r="M2920" s="2"/>
      <x:c r="N2920" s="8" t="n">
        <x:f>DATE(2026,10,15)-DATE(2022,10,14)</x:f>
        <x:v>1462</x:v>
      </x:c>
      <x:c r="O2920" s="2"/>
      <x:c r="P2920" s="2"/>
      <x:c r="Q2920" s="2" t="str">
        <x:v>산업전환_외부사업관리Tool_260707_이너젠 수정_LJY_261013.xlsx</x:v>
      </x:c>
      <x:c r="R2920" s="2" t="str">
        <x:v>국외인증</x:v>
      </x:c>
      <x:c r="S2920" s="8" t="n">
        <x:v>507</x:v>
      </x:c>
      <x:c r="T2920" s="2" t="str">
        <x:v>(10/19)</x:v>
      </x:c>
      <x:c r="U2920" s="2" t="str">
        <x:v>2022 지정: (10/19)</x:v>
      </x:c>
      <x:c r="V2920" s="2" t="str">
        <x:v>2023-03-24</x:v>
      </x:c>
      <x:c r="W2920" s="2" t="str"/>
      <x:c r="X2920" s="2" t="str">
        <x:v>종결 근거 보관</x:v>
      </x:c>
      <x:c r="Y2920" s="2" t="str">
        <x:v>ad210cd9ec132cfd447541c8984dc53d30aff0f4fb2dc92d254d49275cc55976</x:v>
      </x:c>
      <x:c r="Z2920" s="2" t="n">
        <x:f>SUBTOTAL(103,A2920)</x:f>
        <x:v>1</x:v>
      </x:c>
      <x:c r="AA2920" s="2" t="str">
        <x:f>IF(K2920&lt;&gt;"미종결 표시","대상 아님",IF(N2920="","신청일 확인",IF(NOT(ISNUMBER('종합 현황'!$H$5)),"관찰기준 확인",IF('종합 현황'!$H$5&lt;1,"관찰기준 확인",IF(N2920&gt;'종합 현황'!$H$5,"내부 관찰 대상","내부 관찰일 이하")))))</x:f>
        <x:v>대상 아님</x:v>
      </x:c>
      <x:c r="AB2920" s="2" t="str">
        <x:v>2022-10-14 17:29 - 신청
2022-11-11 09:52 - 문서재제출요청
2022-11-24 14:39 - 신청
2022-12-20 17:07 - 문서재제출요청
2022-12-20 19:10 - 신청
2022-12-23 14:54 - 문서재제출요청
2022-12-26 16:15 - 신청
2023-03-15 13:21 - 검토승인
2023-03-24 15:42 - 심의승인</x:v>
      </x:c>
    </x:row>
    <x:row r="2921" ht="42" customHeight="1">
      <x:c r="A2921" s="2" t="str">
        <x:v>4a2755ec97c115b21115ba7f</x:v>
      </x:c>
      <x:c r="B2921" s="2" t="str">
        <x:v>감축량 인증</x:v>
      </x:c>
      <x:c r="C2921" s="2" t="str">
        <x:v>국외</x:v>
      </x:c>
      <x:c r="D2921" s="7" t="str">
        <x:v>한국동서발전을 통한 가나 고효율 쿡스토브 사업 CPA-007</x:v>
      </x:c>
      <x:c r="E2921" s="2" t="str">
        <x:v>506</x:v>
      </x:c>
      <x:c r="F2921" s="2" t="str">
        <x:v>2022-10-14</x:v>
      </x:c>
      <x:c r="G2921" s="2" t="str">
        <x:v>2022</x:v>
      </x:c>
      <x:c r="H2921" s="2" t="str">
        <x:v>10</x:v>
      </x:c>
      <x:c r="I2921" s="2" t="str">
        <x:v>심의승인</x:v>
      </x:c>
      <x:c r="J2921" s="2" t="str">
        <x:v>심의승인</x:v>
      </x:c>
      <x:c r="K2921" s="2" t="str">
        <x:f>IF(OR(J2921="심의승인",J2921="반려",J2921="반려완료",J2921="심의완료"),"종결 표시",IF(OR(J2921="기후부협의",J2921="문서재제출요청",J2921="보류",J2921="보완요청",J2921="보완완료",J2921="평가중",J2921="반려요청",J2921="평가필요",LEFT(J2921,5)="보완요청("),"미종결 표시","상태 확인 필요"))</x:f>
        <x:v>종결 표시</x:v>
      </x:c>
      <x:c r="L2921" s="2" t="str">
        <x:v>KRIC</x:v>
      </x:c>
      <x:c r="M2921" s="2"/>
      <x:c r="N2921" s="8" t="n">
        <x:f>DATE(2026,10,15)-DATE(2022,10,14)</x:f>
        <x:v>1462</x:v>
      </x:c>
      <x:c r="O2921" s="2"/>
      <x:c r="P2921" s="2"/>
      <x:c r="Q2921" s="2" t="str">
        <x:v>산업전환_외부사업관리Tool_260707_이너젠 수정_LJY_261013.xlsx</x:v>
      </x:c>
      <x:c r="R2921" s="2" t="str">
        <x:v>국외인증</x:v>
      </x:c>
      <x:c r="S2921" s="8" t="n">
        <x:v>508</x:v>
      </x:c>
      <x:c r="T2921" s="2" t="str">
        <x:v>(10/19)</x:v>
      </x:c>
      <x:c r="U2921" s="2" t="str">
        <x:v>2022 지정: (10/19)</x:v>
      </x:c>
      <x:c r="V2921" s="2" t="str">
        <x:v>2023-03-24</x:v>
      </x:c>
      <x:c r="W2921" s="2" t="str"/>
      <x:c r="X2921" s="2" t="str">
        <x:v>종결 근거 보관</x:v>
      </x:c>
      <x:c r="Y2921" s="2" t="str">
        <x:v>ad210cd9ec132cfd447541c8984dc53d30aff0f4fb2dc92d254d49275cc55976</x:v>
      </x:c>
      <x:c r="Z2921" s="2" t="n">
        <x:f>SUBTOTAL(103,A2921)</x:f>
        <x:v>1</x:v>
      </x:c>
      <x:c r="AA2921" s="2" t="str">
        <x:f>IF(K2921&lt;&gt;"미종결 표시","대상 아님",IF(N2921="","신청일 확인",IF(NOT(ISNUMBER('종합 현황'!$H$5)),"관찰기준 확인",IF('종합 현황'!$H$5&lt;1,"관찰기준 확인",IF(N2921&gt;'종합 현황'!$H$5,"내부 관찰 대상","내부 관찰일 이하")))))</x:f>
        <x:v>대상 아님</x:v>
      </x:c>
      <x:c r="AB2921" s="2" t="str">
        <x:v>2022-10-14 17:36 - 신청
2022-11-11 09:52 - 문서재제출요청
2022-11-24 14:41 - 신청
2022-12-20 17:07 - 문서재제출요청
2022-12-20 19:10 - 신청
2022-12-23 14:54 - 문서재제출요청
2022-12-26 16:17 - 신청
2023-03-15 13:21 - 검토승인
2023-03-24 15:42 - 심의승인</x:v>
      </x:c>
    </x:row>
    <x:row r="2922" ht="42" customHeight="1">
      <x:c r="A2922" s="2" t="str">
        <x:v>cb9222ece212f7e7d90e971a</x:v>
      </x:c>
      <x:c r="B2922" s="2" t="str">
        <x:v>감축량 인증</x:v>
      </x:c>
      <x:c r="C2922" s="2" t="str">
        <x:v>국외</x:v>
      </x:c>
      <x:c r="D2922" s="7" t="str">
        <x:v>한국동서발전을 통한 가나 고효율 쿡스토브 사업 CPA-009</x:v>
      </x:c>
      <x:c r="E2922" s="2" t="str">
        <x:v>507</x:v>
      </x:c>
      <x:c r="F2922" s="2" t="str">
        <x:v>2022-10-14</x:v>
      </x:c>
      <x:c r="G2922" s="2" t="str">
        <x:v>2022</x:v>
      </x:c>
      <x:c r="H2922" s="2" t="str">
        <x:v>10</x:v>
      </x:c>
      <x:c r="I2922" s="2" t="str">
        <x:v>심의승인</x:v>
      </x:c>
      <x:c r="J2922" s="2" t="str">
        <x:v>심의승인</x:v>
      </x:c>
      <x:c r="K2922" s="2" t="str">
        <x:f>IF(OR(J2922="심의승인",J2922="반려",J2922="반려완료",J2922="심의완료"),"종결 표시",IF(OR(J2922="기후부협의",J2922="문서재제출요청",J2922="보류",J2922="보완요청",J2922="보완완료",J2922="평가중",J2922="반려요청",J2922="평가필요",LEFT(J2922,5)="보완요청("),"미종결 표시","상태 확인 필요"))</x:f>
        <x:v>종결 표시</x:v>
      </x:c>
      <x:c r="L2922" s="2" t="str">
        <x:v>KRIC</x:v>
      </x:c>
      <x:c r="M2922" s="2"/>
      <x:c r="N2922" s="8" t="n">
        <x:f>DATE(2026,10,15)-DATE(2022,10,14)</x:f>
        <x:v>1462</x:v>
      </x:c>
      <x:c r="O2922" s="2"/>
      <x:c r="P2922" s="2"/>
      <x:c r="Q2922" s="2" t="str">
        <x:v>산업전환_외부사업관리Tool_260707_이너젠 수정_LJY_261013.xlsx</x:v>
      </x:c>
      <x:c r="R2922" s="2" t="str">
        <x:v>국외인증</x:v>
      </x:c>
      <x:c r="S2922" s="8" t="n">
        <x:v>509</x:v>
      </x:c>
      <x:c r="T2922" s="2" t="str">
        <x:v>(10/19)</x:v>
      </x:c>
      <x:c r="U2922" s="2" t="str">
        <x:v>2022 지정: (10/19)</x:v>
      </x:c>
      <x:c r="V2922" s="2" t="str">
        <x:v>2023-03-24</x:v>
      </x:c>
      <x:c r="W2922" s="2" t="str"/>
      <x:c r="X2922" s="2" t="str">
        <x:v>종결 근거 보관</x:v>
      </x:c>
      <x:c r="Y2922" s="2" t="str">
        <x:v>ad210cd9ec132cfd447541c8984dc53d30aff0f4fb2dc92d254d49275cc55976</x:v>
      </x:c>
      <x:c r="Z2922" s="2" t="n">
        <x:f>SUBTOTAL(103,A2922)</x:f>
        <x:v>1</x:v>
      </x:c>
      <x:c r="AA2922" s="2" t="str">
        <x:f>IF(K2922&lt;&gt;"미종결 표시","대상 아님",IF(N2922="","신청일 확인",IF(NOT(ISNUMBER('종합 현황'!$H$5)),"관찰기준 확인",IF('종합 현황'!$H$5&lt;1,"관찰기준 확인",IF(N2922&gt;'종합 현황'!$H$5,"내부 관찰 대상","내부 관찰일 이하")))))</x:f>
        <x:v>대상 아님</x:v>
      </x:c>
      <x:c r="AB2922" s="2" t="str">
        <x:v>2022-10-14 17:38 - 신청
2022-11-11 09:52 - 문서재제출요청
2022-11-24 14:44 - 신청
2022-12-20 17:08 - 문서재제출요청
2022-12-20 19:10 - 신청
2022-12-23 14:54 - 문서재제출요청
2022-12-26 16:19 - 신청
2023-03-15 13:21 - 검토승인
2023-03-24 15:43 - 심의승인</x:v>
      </x:c>
    </x:row>
    <x:row r="2923" ht="42" customHeight="1">
      <x:c r="A2923" s="2" t="str">
        <x:v>3d96e7f8212558e4b2930a3c</x:v>
      </x:c>
      <x:c r="B2923" s="2" t="str">
        <x:v>감축량 인증</x:v>
      </x:c>
      <x:c r="C2923" s="2" t="str">
        <x:v>국외</x:v>
      </x:c>
      <x:c r="D2923" s="7" t="str">
        <x:v>한국동서발전을 통한 가나 고효율 쿡스토브 사업 CPA-013</x:v>
      </x:c>
      <x:c r="E2923" s="2" t="str">
        <x:v>508</x:v>
      </x:c>
      <x:c r="F2923" s="2" t="str">
        <x:v>2022-10-14</x:v>
      </x:c>
      <x:c r="G2923" s="2" t="str">
        <x:v>2022</x:v>
      </x:c>
      <x:c r="H2923" s="2" t="str">
        <x:v>10</x:v>
      </x:c>
      <x:c r="I2923" s="2" t="str">
        <x:v>심의승인</x:v>
      </x:c>
      <x:c r="J2923" s="2" t="str">
        <x:v>심의승인</x:v>
      </x:c>
      <x:c r="K2923" s="2" t="str">
        <x:f>IF(OR(J2923="심의승인",J2923="반려",J2923="반려완료",J2923="심의완료"),"종결 표시",IF(OR(J2923="기후부협의",J2923="문서재제출요청",J2923="보류",J2923="보완요청",J2923="보완완료",J2923="평가중",J2923="반려요청",J2923="평가필요",LEFT(J2923,5)="보완요청("),"미종결 표시","상태 확인 필요"))</x:f>
        <x:v>종결 표시</x:v>
      </x:c>
      <x:c r="L2923" s="2" t="str">
        <x:v>KRIC</x:v>
      </x:c>
      <x:c r="M2923" s="2"/>
      <x:c r="N2923" s="8" t="n">
        <x:f>DATE(2026,10,15)-DATE(2022,10,14)</x:f>
        <x:v>1462</x:v>
      </x:c>
      <x:c r="O2923" s="2"/>
      <x:c r="P2923" s="2"/>
      <x:c r="Q2923" s="2" t="str">
        <x:v>산업전환_외부사업관리Tool_260707_이너젠 수정_LJY_261013.xlsx</x:v>
      </x:c>
      <x:c r="R2923" s="2" t="str">
        <x:v>국외인증</x:v>
      </x:c>
      <x:c r="S2923" s="8" t="n">
        <x:v>510</x:v>
      </x:c>
      <x:c r="T2923" s="2" t="str">
        <x:v>(10/19)</x:v>
      </x:c>
      <x:c r="U2923" s="2" t="str">
        <x:v>2022 지정: (10/19)</x:v>
      </x:c>
      <x:c r="V2923" s="2" t="str">
        <x:v>2023-03-24</x:v>
      </x:c>
      <x:c r="W2923" s="2" t="str"/>
      <x:c r="X2923" s="2" t="str">
        <x:v>종결 근거 보관</x:v>
      </x:c>
      <x:c r="Y2923" s="2" t="str">
        <x:v>ad210cd9ec132cfd447541c8984dc53d30aff0f4fb2dc92d254d49275cc55976</x:v>
      </x:c>
      <x:c r="Z2923" s="2" t="n">
        <x:f>SUBTOTAL(103,A2923)</x:f>
        <x:v>1</x:v>
      </x:c>
      <x:c r="AA2923" s="2" t="str">
        <x:f>IF(K2923&lt;&gt;"미종결 표시","대상 아님",IF(N2923="","신청일 확인",IF(NOT(ISNUMBER('종합 현황'!$H$5)),"관찰기준 확인",IF('종합 현황'!$H$5&lt;1,"관찰기준 확인",IF(N2923&gt;'종합 현황'!$H$5,"내부 관찰 대상","내부 관찰일 이하")))))</x:f>
        <x:v>대상 아님</x:v>
      </x:c>
      <x:c r="AB2923" s="2" t="str">
        <x:v>2022-10-14 17:40 - 신청
2022-11-11 09:53 - 문서재제출요청
2022-11-24 14:45 - 신청
2022-12-20 17:08 - 문서재제출요청
2022-12-20 19:11 - 신청
2022-12-23 14:55 - 문서재제출요청
2022-12-26 16:24 - 신청
2023-03-15 13:22 - 검토승인
2023-03-24 15:43 - 심의승인</x:v>
      </x:c>
    </x:row>
    <x:row r="2924" ht="42" customHeight="1">
      <x:c r="A2924" s="2" t="str">
        <x:v>305d59d7e20871a33cc49808</x:v>
      </x:c>
      <x:c r="B2924" s="2" t="str">
        <x:v>감축량 인증</x:v>
      </x:c>
      <x:c r="C2924" s="2" t="str">
        <x:v>국외</x:v>
      </x:c>
      <x:c r="D2924" s="7" t="str">
        <x:v>한국동서발전을 통한 가나 고효율 쿡스토브 사업 CPA-014</x:v>
      </x:c>
      <x:c r="E2924" s="2" t="str">
        <x:v>509</x:v>
      </x:c>
      <x:c r="F2924" s="2" t="str">
        <x:v>2022-10-14</x:v>
      </x:c>
      <x:c r="G2924" s="2" t="str">
        <x:v>2022</x:v>
      </x:c>
      <x:c r="H2924" s="2" t="str">
        <x:v>10</x:v>
      </x:c>
      <x:c r="I2924" s="2" t="str">
        <x:v>심의승인</x:v>
      </x:c>
      <x:c r="J2924" s="2" t="str">
        <x:v>심의승인</x:v>
      </x:c>
      <x:c r="K2924" s="2" t="str">
        <x:f>IF(OR(J2924="심의승인",J2924="반려",J2924="반려완료",J2924="심의완료"),"종결 표시",IF(OR(J2924="기후부협의",J2924="문서재제출요청",J2924="보류",J2924="보완요청",J2924="보완완료",J2924="평가중",J2924="반려요청",J2924="평가필요",LEFT(J2924,5)="보완요청("),"미종결 표시","상태 확인 필요"))</x:f>
        <x:v>종결 표시</x:v>
      </x:c>
      <x:c r="L2924" s="2" t="str">
        <x:v>KRIC</x:v>
      </x:c>
      <x:c r="M2924" s="2"/>
      <x:c r="N2924" s="8" t="n">
        <x:f>DATE(2026,10,15)-DATE(2022,10,14)</x:f>
        <x:v>1462</x:v>
      </x:c>
      <x:c r="O2924" s="2"/>
      <x:c r="P2924" s="2"/>
      <x:c r="Q2924" s="2" t="str">
        <x:v>산업전환_외부사업관리Tool_260707_이너젠 수정_LJY_261013.xlsx</x:v>
      </x:c>
      <x:c r="R2924" s="2" t="str">
        <x:v>국외인증</x:v>
      </x:c>
      <x:c r="S2924" s="8" t="n">
        <x:v>511</x:v>
      </x:c>
      <x:c r="T2924" s="2" t="str">
        <x:v>(10/19)</x:v>
      </x:c>
      <x:c r="U2924" s="2" t="str">
        <x:v>2022 지정: (10/19)</x:v>
      </x:c>
      <x:c r="V2924" s="2" t="str">
        <x:v>2023-03-24</x:v>
      </x:c>
      <x:c r="W2924" s="2" t="str"/>
      <x:c r="X2924" s="2" t="str">
        <x:v>종결 근거 보관</x:v>
      </x:c>
      <x:c r="Y2924" s="2" t="str">
        <x:v>ad210cd9ec132cfd447541c8984dc53d30aff0f4fb2dc92d254d49275cc55976</x:v>
      </x:c>
      <x:c r="Z2924" s="2" t="n">
        <x:f>SUBTOTAL(103,A2924)</x:f>
        <x:v>1</x:v>
      </x:c>
      <x:c r="AA2924" s="2" t="str">
        <x:f>IF(K2924&lt;&gt;"미종결 표시","대상 아님",IF(N2924="","신청일 확인",IF(NOT(ISNUMBER('종합 현황'!$H$5)),"관찰기준 확인",IF('종합 현황'!$H$5&lt;1,"관찰기준 확인",IF(N2924&gt;'종합 현황'!$H$5,"내부 관찰 대상","내부 관찰일 이하")))))</x:f>
        <x:v>대상 아님</x:v>
      </x:c>
      <x:c r="AB2924" s="2" t="str">
        <x:v>2022-10-14 17:41 - 신청
2022-11-11 09:53 - 문서재제출요청
2022-11-24 14:46 - 신청
2022-12-20 17:08 - 문서재제출요청
2022-12-20 19:11 - 신청
2022-12-23 14:55 - 문서재제출요청
2022-12-26 16:25 - 신청
2023-03-15 13:22 - 검토승인
2023-03-24 15:44 - 심의승인</x:v>
      </x:c>
    </x:row>
    <x:row r="2925" ht="42" customHeight="1">
      <x:c r="A2925" s="2" t="str">
        <x:v>29dbafc75899b8cf1b34bb16</x:v>
      </x:c>
      <x:c r="B2925" s="2" t="str">
        <x:v>감축량 인증</x:v>
      </x:c>
      <x:c r="C2925" s="2" t="str">
        <x:v>국외</x:v>
      </x:c>
      <x:c r="D2925" s="7" t="str">
        <x:v>한국동서발전을 통한 가나 고효율 쿡스토브 사업 CPA-017</x:v>
      </x:c>
      <x:c r="E2925" s="2" t="str">
        <x:v>510</x:v>
      </x:c>
      <x:c r="F2925" s="2" t="str">
        <x:v>2022-10-14</x:v>
      </x:c>
      <x:c r="G2925" s="2" t="str">
        <x:v>2022</x:v>
      </x:c>
      <x:c r="H2925" s="2" t="str">
        <x:v>10</x:v>
      </x:c>
      <x:c r="I2925" s="2" t="str">
        <x:v>심의승인</x:v>
      </x:c>
      <x:c r="J2925" s="2" t="str">
        <x:v>심의승인</x:v>
      </x:c>
      <x:c r="K2925" s="2" t="str">
        <x:f>IF(OR(J2925="심의승인",J2925="반려",J2925="반려완료",J2925="심의완료"),"종결 표시",IF(OR(J2925="기후부협의",J2925="문서재제출요청",J2925="보류",J2925="보완요청",J2925="보완완료",J2925="평가중",J2925="반려요청",J2925="평가필요",LEFT(J2925,5)="보완요청("),"미종결 표시","상태 확인 필요"))</x:f>
        <x:v>종결 표시</x:v>
      </x:c>
      <x:c r="L2925" s="2" t="str">
        <x:v>KRIC</x:v>
      </x:c>
      <x:c r="M2925" s="2"/>
      <x:c r="N2925" s="8" t="n">
        <x:f>DATE(2026,10,15)-DATE(2022,10,14)</x:f>
        <x:v>1462</x:v>
      </x:c>
      <x:c r="O2925" s="2"/>
      <x:c r="P2925" s="2"/>
      <x:c r="Q2925" s="2" t="str">
        <x:v>산업전환_외부사업관리Tool_260707_이너젠 수정_LJY_261013.xlsx</x:v>
      </x:c>
      <x:c r="R2925" s="2" t="str">
        <x:v>국외인증</x:v>
      </x:c>
      <x:c r="S2925" s="8" t="n">
        <x:v>512</x:v>
      </x:c>
      <x:c r="T2925" s="2" t="str">
        <x:v>(10/19)</x:v>
      </x:c>
      <x:c r="U2925" s="2" t="str">
        <x:v>2022 지정: (10/19)</x:v>
      </x:c>
      <x:c r="V2925" s="2" t="str">
        <x:v>2023-03-24</x:v>
      </x:c>
      <x:c r="W2925" s="2" t="str"/>
      <x:c r="X2925" s="2" t="str">
        <x:v>종결 근거 보관</x:v>
      </x:c>
      <x:c r="Y2925" s="2" t="str">
        <x:v>ad210cd9ec132cfd447541c8984dc53d30aff0f4fb2dc92d254d49275cc55976</x:v>
      </x:c>
      <x:c r="Z2925" s="2" t="n">
        <x:f>SUBTOTAL(103,A2925)</x:f>
        <x:v>1</x:v>
      </x:c>
      <x:c r="AA2925" s="2" t="str">
        <x:f>IF(K2925&lt;&gt;"미종결 표시","대상 아님",IF(N2925="","신청일 확인",IF(NOT(ISNUMBER('종합 현황'!$H$5)),"관찰기준 확인",IF('종합 현황'!$H$5&lt;1,"관찰기준 확인",IF(N2925&gt;'종합 현황'!$H$5,"내부 관찰 대상","내부 관찰일 이하")))))</x:f>
        <x:v>대상 아님</x:v>
      </x:c>
      <x:c r="AB2925" s="2" t="str">
        <x:v>2022-10-14 17:43 - 신청
2022-11-11 09:54 - 문서재제출요청
2022-11-24 14:48 - 신청
2022-12-20 17:09 - 문서재제출요청
2022-12-20 19:11 - 신청
2022-12-23 14:56 - 문서재제출요청
2022-12-26 16:27 - 신청
2023-03-15 13:22 - 검토승인
2023-03-24 15:44 - 심의승인</x:v>
      </x:c>
    </x:row>
    <x:row r="2926" ht="42" customHeight="1">
      <x:c r="A2926" s="2" t="str">
        <x:v>41f6900636ea1aaac6525fe4</x:v>
      </x:c>
      <x:c r="B2926" s="2" t="str">
        <x:v>감축량 인증</x:v>
      </x:c>
      <x:c r="C2926" s="2" t="str">
        <x:v>국외</x:v>
      </x:c>
      <x:c r="D2926" s="7" t="str">
        <x:v>한국동서발전을 통한 가나 고효율 쿡스토브 사업 CPA-018</x:v>
      </x:c>
      <x:c r="E2926" s="2" t="str">
        <x:v>511</x:v>
      </x:c>
      <x:c r="F2926" s="2" t="str">
        <x:v>2022-10-14</x:v>
      </x:c>
      <x:c r="G2926" s="2" t="str">
        <x:v>2022</x:v>
      </x:c>
      <x:c r="H2926" s="2" t="str">
        <x:v>10</x:v>
      </x:c>
      <x:c r="I2926" s="2" t="str">
        <x:v>심의승인</x:v>
      </x:c>
      <x:c r="J2926" s="2" t="str">
        <x:v>심의승인</x:v>
      </x:c>
      <x:c r="K2926" s="2" t="str">
        <x:f>IF(OR(J2926="심의승인",J2926="반려",J2926="반려완료",J2926="심의완료"),"종결 표시",IF(OR(J2926="기후부협의",J2926="문서재제출요청",J2926="보류",J2926="보완요청",J2926="보완완료",J2926="평가중",J2926="반려요청",J2926="평가필요",LEFT(J2926,5)="보완요청("),"미종결 표시","상태 확인 필요"))</x:f>
        <x:v>종결 표시</x:v>
      </x:c>
      <x:c r="L2926" s="2" t="str">
        <x:v>KRIC</x:v>
      </x:c>
      <x:c r="M2926" s="2"/>
      <x:c r="N2926" s="8" t="n">
        <x:f>DATE(2026,10,15)-DATE(2022,10,14)</x:f>
        <x:v>1462</x:v>
      </x:c>
      <x:c r="O2926" s="2"/>
      <x:c r="P2926" s="2"/>
      <x:c r="Q2926" s="2" t="str">
        <x:v>산업전환_외부사업관리Tool_260707_이너젠 수정_LJY_261013.xlsx</x:v>
      </x:c>
      <x:c r="R2926" s="2" t="str">
        <x:v>국외인증</x:v>
      </x:c>
      <x:c r="S2926" s="8" t="n">
        <x:v>513</x:v>
      </x:c>
      <x:c r="T2926" s="2" t="str">
        <x:v>(10/19)</x:v>
      </x:c>
      <x:c r="U2926" s="2" t="str">
        <x:v>2022 지정: (10/19)</x:v>
      </x:c>
      <x:c r="V2926" s="2" t="str">
        <x:v>2023-03-24</x:v>
      </x:c>
      <x:c r="W2926" s="2" t="str"/>
      <x:c r="X2926" s="2" t="str">
        <x:v>종결 근거 보관</x:v>
      </x:c>
      <x:c r="Y2926" s="2" t="str">
        <x:v>ad210cd9ec132cfd447541c8984dc53d30aff0f4fb2dc92d254d49275cc55976</x:v>
      </x:c>
      <x:c r="Z2926" s="2" t="n">
        <x:f>SUBTOTAL(103,A2926)</x:f>
        <x:v>1</x:v>
      </x:c>
      <x:c r="AA2926" s="2" t="str">
        <x:f>IF(K2926&lt;&gt;"미종결 표시","대상 아님",IF(N2926="","신청일 확인",IF(NOT(ISNUMBER('종합 현황'!$H$5)),"관찰기준 확인",IF('종합 현황'!$H$5&lt;1,"관찰기준 확인",IF(N2926&gt;'종합 현황'!$H$5,"내부 관찰 대상","내부 관찰일 이하")))))</x:f>
        <x:v>대상 아님</x:v>
      </x:c>
      <x:c r="AB2926" s="2" t="str">
        <x:v>2022-10-14 17:44 - 신청
2022-11-11 09:54 - 문서재제출요청
2022-11-24 14:49 - 신청
2022-12-20 17:09 - 문서재제출요청
2022-12-20 19:11 - 신청
2022-12-23 14:55 - 문서재제출요청
2022-12-26 16:28 - 신청
2023-03-15 13:22 - 검토승인
2023-03-24 15:44 - 심의승인</x:v>
      </x:c>
    </x:row>
    <x:row r="2927" ht="42" customHeight="1">
      <x:c r="A2927" s="2" t="str">
        <x:v>ee917f41022d1bc55e5a1d9a</x:v>
      </x:c>
      <x:c r="B2927" s="2" t="str">
        <x:v>감축량 인증</x:v>
      </x:c>
      <x:c r="C2927" s="2" t="str">
        <x:v>국외</x:v>
      </x:c>
      <x:c r="D2927" s="7" t="str">
        <x:v>기후변화센터의 동남아시아 개발도상국(미얀마) 내 고효율 쿡스토브 보급 사업 CPA-001</x:v>
      </x:c>
      <x:c r="E2927" s="2" t="str">
        <x:v>512</x:v>
      </x:c>
      <x:c r="F2927" s="2" t="str">
        <x:v>2022-10-17</x:v>
      </x:c>
      <x:c r="G2927" s="2" t="str">
        <x:v>2022</x:v>
      </x:c>
      <x:c r="H2927" s="2" t="str">
        <x:v>10</x:v>
      </x:c>
      <x:c r="I2927" s="2" t="str">
        <x:v>심의승인</x:v>
      </x:c>
      <x:c r="J2927" s="2" t="str">
        <x:v>심의승인</x:v>
      </x:c>
      <x:c r="K2927" s="2" t="str">
        <x:f>IF(OR(J2927="심의승인",J2927="반려",J2927="반려완료",J2927="심의완료"),"종결 표시",IF(OR(J2927="기후부협의",J2927="문서재제출요청",J2927="보류",J2927="보완요청",J2927="보완완료",J2927="평가중",J2927="반려요청",J2927="평가필요",LEFT(J2927,5)="보완요청("),"미종결 표시","상태 확인 필요"))</x:f>
        <x:v>종결 표시</x:v>
      </x:c>
      <x:c r="L2927" s="2" t="str">
        <x:v>KRIC</x:v>
      </x:c>
      <x:c r="M2927" s="2"/>
      <x:c r="N2927" s="8" t="n">
        <x:f>DATE(2026,10,15)-DATE(2022,10,17)</x:f>
        <x:v>1459</x:v>
      </x:c>
      <x:c r="O2927" s="2"/>
      <x:c r="P2927" s="2"/>
      <x:c r="Q2927" s="2" t="str">
        <x:v>산업전환_외부사업관리Tool_260707_이너젠 수정_LJY_261013.xlsx</x:v>
      </x:c>
      <x:c r="R2927" s="2" t="str">
        <x:v>국외인증</x:v>
      </x:c>
      <x:c r="S2927" s="8" t="n">
        <x:v>514</x:v>
      </x:c>
      <x:c r="T2927" s="2" t="str">
        <x:v>(10/19)</x:v>
      </x:c>
      <x:c r="U2927" s="2" t="str">
        <x:v>2022 지정: (10/19)</x:v>
      </x:c>
      <x:c r="V2927" s="2" t="str">
        <x:v>2023-03-24</x:v>
      </x:c>
      <x:c r="W2927" s="2" t="str"/>
      <x:c r="X2927" s="2" t="str">
        <x:v>종결 근거 보관</x:v>
      </x:c>
      <x:c r="Y2927" s="2" t="str">
        <x:v>ad210cd9ec132cfd447541c8984dc53d30aff0f4fb2dc92d254d49275cc55976</x:v>
      </x:c>
      <x:c r="Z2927" s="2" t="n">
        <x:f>SUBTOTAL(103,A2927)</x:f>
        <x:v>1</x:v>
      </x:c>
      <x:c r="AA2927" s="2" t="str">
        <x:f>IF(K2927&lt;&gt;"미종결 표시","대상 아님",IF(N2927="","신청일 확인",IF(NOT(ISNUMBER('종합 현황'!$H$5)),"관찰기준 확인",IF('종합 현황'!$H$5&lt;1,"관찰기준 확인",IF(N2927&gt;'종합 현황'!$H$5,"내부 관찰 대상","내부 관찰일 이하")))))</x:f>
        <x:v>대상 아님</x:v>
      </x:c>
      <x:c r="AB2927" s="2" t="str">
        <x:v>2022-10-17 13:37 - 신청
2022-11-11 09:59 - 문서재제출요청
2022-11-24 10:31 - 신청
2022-12-23 14:47 - 문서재제출요청
2022-12-23 19:23 - 신청
2023-03-15 10:25 - 검토승인
2023-03-24 15:53 - 심의승인</x:v>
      </x:c>
    </x:row>
    <x:row r="2928" ht="42" customHeight="1">
      <x:c r="A2928" s="2" t="str">
        <x:v>74c043cdc650bcbc521e6d04</x:v>
      </x:c>
      <x:c r="B2928" s="2" t="str">
        <x:v>감축량 인증</x:v>
      </x:c>
      <x:c r="C2928" s="2" t="str">
        <x:v>국외</x:v>
      </x:c>
      <x:c r="D2928" s="7" t="str">
        <x:v>기후변화센터의 동남아시아 개발도상국(미얀마) 내 고효율 쿡스토브 보급 사업 CPA-002</x:v>
      </x:c>
      <x:c r="E2928" s="2" t="str">
        <x:v>513</x:v>
      </x:c>
      <x:c r="F2928" s="2" t="str">
        <x:v>2022-10-17</x:v>
      </x:c>
      <x:c r="G2928" s="2" t="str">
        <x:v>2022</x:v>
      </x:c>
      <x:c r="H2928" s="2" t="str">
        <x:v>10</x:v>
      </x:c>
      <x:c r="I2928" s="2" t="str">
        <x:v>심의승인</x:v>
      </x:c>
      <x:c r="J2928" s="2" t="str">
        <x:v>심의승인</x:v>
      </x:c>
      <x:c r="K2928" s="2" t="str">
        <x:f>IF(OR(J2928="심의승인",J2928="반려",J2928="반려완료",J2928="심의완료"),"종결 표시",IF(OR(J2928="기후부협의",J2928="문서재제출요청",J2928="보류",J2928="보완요청",J2928="보완완료",J2928="평가중",J2928="반려요청",J2928="평가필요",LEFT(J2928,5)="보완요청("),"미종결 표시","상태 확인 필요"))</x:f>
        <x:v>종결 표시</x:v>
      </x:c>
      <x:c r="L2928" s="2" t="str">
        <x:v>KRIC</x:v>
      </x:c>
      <x:c r="M2928" s="2"/>
      <x:c r="N2928" s="8" t="n">
        <x:f>DATE(2026,10,15)-DATE(2022,10,17)</x:f>
        <x:v>1459</x:v>
      </x:c>
      <x:c r="O2928" s="2"/>
      <x:c r="P2928" s="2"/>
      <x:c r="Q2928" s="2" t="str">
        <x:v>산업전환_외부사업관리Tool_260707_이너젠 수정_LJY_261013.xlsx</x:v>
      </x:c>
      <x:c r="R2928" s="2" t="str">
        <x:v>국외인증</x:v>
      </x:c>
      <x:c r="S2928" s="8" t="n">
        <x:v>515</x:v>
      </x:c>
      <x:c r="T2928" s="2" t="str">
        <x:v>(10/19)</x:v>
      </x:c>
      <x:c r="U2928" s="2" t="str">
        <x:v>2022 지정: (10/19)</x:v>
      </x:c>
      <x:c r="V2928" s="2" t="str">
        <x:v>2023-03-24</x:v>
      </x:c>
      <x:c r="W2928" s="2" t="str"/>
      <x:c r="X2928" s="2" t="str">
        <x:v>종결 근거 보관</x:v>
      </x:c>
      <x:c r="Y2928" s="2" t="str">
        <x:v>ad210cd9ec132cfd447541c8984dc53d30aff0f4fb2dc92d254d49275cc55976</x:v>
      </x:c>
      <x:c r="Z2928" s="2" t="n">
        <x:f>SUBTOTAL(103,A2928)</x:f>
        <x:v>1</x:v>
      </x:c>
      <x:c r="AA2928" s="2" t="str">
        <x:f>IF(K2928&lt;&gt;"미종결 표시","대상 아님",IF(N2928="","신청일 확인",IF(NOT(ISNUMBER('종합 현황'!$H$5)),"관찰기준 확인",IF('종합 현황'!$H$5&lt;1,"관찰기준 확인",IF(N2928&gt;'종합 현황'!$H$5,"내부 관찰 대상","내부 관찰일 이하")))))</x:f>
        <x:v>대상 아님</x:v>
      </x:c>
      <x:c r="AB2928" s="2" t="str">
        <x:v>2022-10-17 13:39 - 신청
2022-11-11 09:59 - 문서재제출요청
2022-11-24 10:31 - 신청
2022-12-23 14:47 - 문서재제출요청
2022-12-23 19:25 - 신청
2023-03-15 10:26 - 검토승인
2023-03-24 15:54 - 심의승인</x:v>
      </x:c>
    </x:row>
    <x:row r="2929" ht="42" customHeight="1">
      <x:c r="A2929" s="2" t="str">
        <x:v>c8585401f52b60d99b938db6</x:v>
      </x:c>
      <x:c r="B2929" s="2" t="str">
        <x:v>감축량 인증</x:v>
      </x:c>
      <x:c r="C2929" s="2" t="str">
        <x:v>국외</x:v>
      </x:c>
      <x:c r="D2929" s="7" t="str">
        <x:v>기후변화센터의 동남아시아 개발도상국(미얀마) 내 고효율 쿡스토브 보급 사업 CPA-003</x:v>
      </x:c>
      <x:c r="E2929" s="2" t="str">
        <x:v>514</x:v>
      </x:c>
      <x:c r="F2929" s="2" t="str">
        <x:v>2022-10-17</x:v>
      </x:c>
      <x:c r="G2929" s="2" t="str">
        <x:v>2022</x:v>
      </x:c>
      <x:c r="H2929" s="2" t="str">
        <x:v>10</x:v>
      </x:c>
      <x:c r="I2929" s="2" t="str">
        <x:v>심의승인</x:v>
      </x:c>
      <x:c r="J2929" s="2" t="str">
        <x:v>심의승인</x:v>
      </x:c>
      <x:c r="K2929" s="2" t="str">
        <x:f>IF(OR(J2929="심의승인",J2929="반려",J2929="반려완료",J2929="심의완료"),"종결 표시",IF(OR(J2929="기후부협의",J2929="문서재제출요청",J2929="보류",J2929="보완요청",J2929="보완완료",J2929="평가중",J2929="반려요청",J2929="평가필요",LEFT(J2929,5)="보완요청("),"미종결 표시","상태 확인 필요"))</x:f>
        <x:v>종결 표시</x:v>
      </x:c>
      <x:c r="L2929" s="2" t="str">
        <x:v>KRIC</x:v>
      </x:c>
      <x:c r="M2929" s="2"/>
      <x:c r="N2929" s="8" t="n">
        <x:f>DATE(2026,10,15)-DATE(2022,10,17)</x:f>
        <x:v>1459</x:v>
      </x:c>
      <x:c r="O2929" s="2"/>
      <x:c r="P2929" s="2"/>
      <x:c r="Q2929" s="2" t="str">
        <x:v>산업전환_외부사업관리Tool_260707_이너젠 수정_LJY_261013.xlsx</x:v>
      </x:c>
      <x:c r="R2929" s="2" t="str">
        <x:v>국외인증</x:v>
      </x:c>
      <x:c r="S2929" s="8" t="n">
        <x:v>516</x:v>
      </x:c>
      <x:c r="T2929" s="2" t="str">
        <x:v>(10/19)</x:v>
      </x:c>
      <x:c r="U2929" s="2" t="str">
        <x:v>2022 지정: (10/19)</x:v>
      </x:c>
      <x:c r="V2929" s="2" t="str">
        <x:v>2023-03-24</x:v>
      </x:c>
      <x:c r="W2929" s="2" t="str"/>
      <x:c r="X2929" s="2" t="str">
        <x:v>종결 근거 보관</x:v>
      </x:c>
      <x:c r="Y2929" s="2" t="str">
        <x:v>ad210cd9ec132cfd447541c8984dc53d30aff0f4fb2dc92d254d49275cc55976</x:v>
      </x:c>
      <x:c r="Z2929" s="2" t="n">
        <x:f>SUBTOTAL(103,A2929)</x:f>
        <x:v>1</x:v>
      </x:c>
      <x:c r="AA2929" s="2" t="str">
        <x:f>IF(K2929&lt;&gt;"미종결 표시","대상 아님",IF(N2929="","신청일 확인",IF(NOT(ISNUMBER('종합 현황'!$H$5)),"관찰기준 확인",IF('종합 현황'!$H$5&lt;1,"관찰기준 확인",IF(N2929&gt;'종합 현황'!$H$5,"내부 관찰 대상","내부 관찰일 이하")))))</x:f>
        <x:v>대상 아님</x:v>
      </x:c>
      <x:c r="AB2929" s="2" t="str">
        <x:v>2022-10-17 13:39 - 신청
2022-11-11 10:00 - 문서재제출요청
2022-11-24 10:32 - 신청
2022-12-23 14:47 - 문서재제출요청
2022-12-23 19:26 - 신청
2023-03-15 10:27 - 검토승인
2023-03-24 15:54 - 심의승인</x:v>
      </x:c>
    </x:row>
    <x:row r="2930" ht="42" customHeight="1">
      <x:c r="A2930" s="2" t="str">
        <x:v>d8d545da3a42dd52b3eba51c</x:v>
      </x:c>
      <x:c r="B2930" s="2" t="str">
        <x:v>감축량 인증</x:v>
      </x:c>
      <x:c r="C2930" s="2" t="str">
        <x:v>국외</x:v>
      </x:c>
      <x:c r="D2930" s="7" t="str">
        <x:v>기후변화센터의 동남아시아 개발도상국(미얀마) 내 고효율 쿡스토브 보급 사업 CPA-004</x:v>
      </x:c>
      <x:c r="E2930" s="2" t="str">
        <x:v>515</x:v>
      </x:c>
      <x:c r="F2930" s="2" t="str">
        <x:v>2022-10-17</x:v>
      </x:c>
      <x:c r="G2930" s="2" t="str">
        <x:v>2022</x:v>
      </x:c>
      <x:c r="H2930" s="2" t="str">
        <x:v>10</x:v>
      </x:c>
      <x:c r="I2930" s="2" t="str">
        <x:v>심의승인</x:v>
      </x:c>
      <x:c r="J2930" s="2" t="str">
        <x:v>심의승인</x:v>
      </x:c>
      <x:c r="K2930" s="2" t="str">
        <x:f>IF(OR(J2930="심의승인",J2930="반려",J2930="반려완료",J2930="심의완료"),"종결 표시",IF(OR(J2930="기후부협의",J2930="문서재제출요청",J2930="보류",J2930="보완요청",J2930="보완완료",J2930="평가중",J2930="반려요청",J2930="평가필요",LEFT(J2930,5)="보완요청("),"미종결 표시","상태 확인 필요"))</x:f>
        <x:v>종결 표시</x:v>
      </x:c>
      <x:c r="L2930" s="2" t="str">
        <x:v>KRIC</x:v>
      </x:c>
      <x:c r="M2930" s="2"/>
      <x:c r="N2930" s="8" t="n">
        <x:f>DATE(2026,10,15)-DATE(2022,10,17)</x:f>
        <x:v>1459</x:v>
      </x:c>
      <x:c r="O2930" s="2"/>
      <x:c r="P2930" s="2"/>
      <x:c r="Q2930" s="2" t="str">
        <x:v>산업전환_외부사업관리Tool_260707_이너젠 수정_LJY_261013.xlsx</x:v>
      </x:c>
      <x:c r="R2930" s="2" t="str">
        <x:v>국외인증</x:v>
      </x:c>
      <x:c r="S2930" s="8" t="n">
        <x:v>517</x:v>
      </x:c>
      <x:c r="T2930" s="2" t="str">
        <x:v>(10/19)</x:v>
      </x:c>
      <x:c r="U2930" s="2" t="str">
        <x:v>2022 지정: (10/19)</x:v>
      </x:c>
      <x:c r="V2930" s="2" t="str">
        <x:v>2023-03-24</x:v>
      </x:c>
      <x:c r="W2930" s="2" t="str"/>
      <x:c r="X2930" s="2" t="str">
        <x:v>종결 근거 보관</x:v>
      </x:c>
      <x:c r="Y2930" s="2" t="str">
        <x:v>ad210cd9ec132cfd447541c8984dc53d30aff0f4fb2dc92d254d49275cc55976</x:v>
      </x:c>
      <x:c r="Z2930" s="2" t="n">
        <x:f>SUBTOTAL(103,A2930)</x:f>
        <x:v>1</x:v>
      </x:c>
      <x:c r="AA2930" s="2" t="str">
        <x:f>IF(K2930&lt;&gt;"미종결 표시","대상 아님",IF(N2930="","신청일 확인",IF(NOT(ISNUMBER('종합 현황'!$H$5)),"관찰기준 확인",IF('종합 현황'!$H$5&lt;1,"관찰기준 확인",IF(N2930&gt;'종합 현황'!$H$5,"내부 관찰 대상","내부 관찰일 이하")))))</x:f>
        <x:v>대상 아님</x:v>
      </x:c>
      <x:c r="AB2930" s="2" t="str">
        <x:v>2022-10-17 13:39 - 신청
2022-11-11 10:00 - 문서재제출요청
2022-11-24 10:32 - 신청
2022-12-23 14:47 - 문서재제출요청
2022-12-23 19:26 - 신청
2023-03-15 10:28 - 검토승인
2023-03-24 15:55 - 심의승인</x:v>
      </x:c>
    </x:row>
    <x:row r="2931" ht="42" customHeight="1">
      <x:c r="A2931" s="2" t="str">
        <x:v>996a09026d76f9c925e5f8fb</x:v>
      </x:c>
      <x:c r="B2931" s="2" t="str">
        <x:v>감축량 인증</x:v>
      </x:c>
      <x:c r="C2931" s="2" t="str">
        <x:v>국외</x:v>
      </x:c>
      <x:c r="D2931" s="7" t="str">
        <x:v>기후변화센터의 동남아시아 개발도상국(미얀마) 내 고효율 쿡스토브 보급 사업 CPA-005</x:v>
      </x:c>
      <x:c r="E2931" s="2" t="str">
        <x:v>516</x:v>
      </x:c>
      <x:c r="F2931" s="2" t="str">
        <x:v>2022-10-17</x:v>
      </x:c>
      <x:c r="G2931" s="2" t="str">
        <x:v>2022</x:v>
      </x:c>
      <x:c r="H2931" s="2" t="str">
        <x:v>10</x:v>
      </x:c>
      <x:c r="I2931" s="2" t="str">
        <x:v>심의승인</x:v>
      </x:c>
      <x:c r="J2931" s="2" t="str">
        <x:v>심의승인</x:v>
      </x:c>
      <x:c r="K2931" s="2" t="str">
        <x:f>IF(OR(J2931="심의승인",J2931="반려",J2931="반려완료",J2931="심의완료"),"종결 표시",IF(OR(J2931="기후부협의",J2931="문서재제출요청",J2931="보류",J2931="보완요청",J2931="보완완료",J2931="평가중",J2931="반려요청",J2931="평가필요",LEFT(J2931,5)="보완요청("),"미종결 표시","상태 확인 필요"))</x:f>
        <x:v>종결 표시</x:v>
      </x:c>
      <x:c r="L2931" s="2" t="str">
        <x:v>KRIC</x:v>
      </x:c>
      <x:c r="M2931" s="2"/>
      <x:c r="N2931" s="8" t="n">
        <x:f>DATE(2026,10,15)-DATE(2022,10,17)</x:f>
        <x:v>1459</x:v>
      </x:c>
      <x:c r="O2931" s="2"/>
      <x:c r="P2931" s="2"/>
      <x:c r="Q2931" s="2" t="str">
        <x:v>산업전환_외부사업관리Tool_260707_이너젠 수정_LJY_261013.xlsx</x:v>
      </x:c>
      <x:c r="R2931" s="2" t="str">
        <x:v>국외인증</x:v>
      </x:c>
      <x:c r="S2931" s="8" t="n">
        <x:v>518</x:v>
      </x:c>
      <x:c r="T2931" s="2" t="str">
        <x:v>(10/19)</x:v>
      </x:c>
      <x:c r="U2931" s="2" t="str">
        <x:v>2022 지정: (10/19)</x:v>
      </x:c>
      <x:c r="V2931" s="2" t="str">
        <x:v>2023-03-24</x:v>
      </x:c>
      <x:c r="W2931" s="2" t="str"/>
      <x:c r="X2931" s="2" t="str">
        <x:v>종결 근거 보관</x:v>
      </x:c>
      <x:c r="Y2931" s="2" t="str">
        <x:v>ad210cd9ec132cfd447541c8984dc53d30aff0f4fb2dc92d254d49275cc55976</x:v>
      </x:c>
      <x:c r="Z2931" s="2" t="n">
        <x:f>SUBTOTAL(103,A2931)</x:f>
        <x:v>1</x:v>
      </x:c>
      <x:c r="AA2931" s="2" t="str">
        <x:f>IF(K2931&lt;&gt;"미종결 표시","대상 아님",IF(N2931="","신청일 확인",IF(NOT(ISNUMBER('종합 현황'!$H$5)),"관찰기준 확인",IF('종합 현황'!$H$5&lt;1,"관찰기준 확인",IF(N2931&gt;'종합 현황'!$H$5,"내부 관찰 대상","내부 관찰일 이하")))))</x:f>
        <x:v>대상 아님</x:v>
      </x:c>
      <x:c r="AB2931" s="2" t="str">
        <x:v>2022-10-17 13:39 - 신청
2022-11-11 10:00 - 문서재제출요청
2022-11-24 10:32 - 신청
2022-12-23 14:46 - 문서재제출요청
2022-12-23 19:27 - 신청
2023-03-15 10:28 - 검토승인
2023-03-24 15:55 - 심의승인</x:v>
      </x:c>
    </x:row>
    <x:row r="2932" ht="42" customHeight="1">
      <x:c r="A2932" s="2" t="str">
        <x:v>1c5a1f56c8d2ee2e83bcb173</x:v>
      </x:c>
      <x:c r="B2932" s="2" t="str">
        <x:v>감축량 인증</x:v>
      </x:c>
      <x:c r="C2932" s="2" t="str">
        <x:v>국외</x:v>
      </x:c>
      <x:c r="D2932" s="7" t="str">
        <x:v>기후변화센터의 동남아시아 개발도상국(미얀마) 내 고효율 쿡스토브 보급 사업 CPA-006</x:v>
      </x:c>
      <x:c r="E2932" s="2" t="str">
        <x:v>518</x:v>
      </x:c>
      <x:c r="F2932" s="2" t="str">
        <x:v>2022-10-17</x:v>
      </x:c>
      <x:c r="G2932" s="2" t="str">
        <x:v>2022</x:v>
      </x:c>
      <x:c r="H2932" s="2" t="str">
        <x:v>10</x:v>
      </x:c>
      <x:c r="I2932" s="2" t="str">
        <x:v>심의승인</x:v>
      </x:c>
      <x:c r="J2932" s="2" t="str">
        <x:v>심의승인</x:v>
      </x:c>
      <x:c r="K2932" s="2" t="str">
        <x:f>IF(OR(J2932="심의승인",J2932="반려",J2932="반려완료",J2932="심의완료"),"종결 표시",IF(OR(J2932="기후부협의",J2932="문서재제출요청",J2932="보류",J2932="보완요청",J2932="보완완료",J2932="평가중",J2932="반려요청",J2932="평가필요",LEFT(J2932,5)="보완요청("),"미종결 표시","상태 확인 필요"))</x:f>
        <x:v>종결 표시</x:v>
      </x:c>
      <x:c r="L2932" s="2" t="str">
        <x:v>KRIC</x:v>
      </x:c>
      <x:c r="M2932" s="2"/>
      <x:c r="N2932" s="8" t="n">
        <x:f>DATE(2026,10,15)-DATE(2022,10,17)</x:f>
        <x:v>1459</x:v>
      </x:c>
      <x:c r="O2932" s="2"/>
      <x:c r="P2932" s="2"/>
      <x:c r="Q2932" s="2" t="str">
        <x:v>산업전환_외부사업관리Tool_260707_이너젠 수정_LJY_261013.xlsx</x:v>
      </x:c>
      <x:c r="R2932" s="2" t="str">
        <x:v>국외인증</x:v>
      </x:c>
      <x:c r="S2932" s="8" t="n">
        <x:v>519</x:v>
      </x:c>
      <x:c r="T2932" s="2" t="str">
        <x:v>(10/19)</x:v>
      </x:c>
      <x:c r="U2932" s="2" t="str">
        <x:v>2022 지정: (10/19)</x:v>
      </x:c>
      <x:c r="V2932" s="2" t="str">
        <x:v>2023-03-24</x:v>
      </x:c>
      <x:c r="W2932" s="2" t="str"/>
      <x:c r="X2932" s="2" t="str">
        <x:v>종결 근거 보관</x:v>
      </x:c>
      <x:c r="Y2932" s="2" t="str">
        <x:v>ad210cd9ec132cfd447541c8984dc53d30aff0f4fb2dc92d254d49275cc55976</x:v>
      </x:c>
      <x:c r="Z2932" s="2" t="n">
        <x:f>SUBTOTAL(103,A2932)</x:f>
        <x:v>1</x:v>
      </x:c>
      <x:c r="AA2932" s="2" t="str">
        <x:f>IF(K2932&lt;&gt;"미종결 표시","대상 아님",IF(N2932="","신청일 확인",IF(NOT(ISNUMBER('종합 현황'!$H$5)),"관찰기준 확인",IF('종합 현황'!$H$5&lt;1,"관찰기준 확인",IF(N2932&gt;'종합 현황'!$H$5,"내부 관찰 대상","내부 관찰일 이하")))))</x:f>
        <x:v>대상 아님</x:v>
      </x:c>
      <x:c r="AB2932" s="2" t="str">
        <x:v>2022-10-17 13:40 - 신청
2022-11-11 10:01 - 문서재제출요청
2022-11-24 10:32 - 신청
2022-12-23 14:46 - 문서재제출요청
2022-12-23 19:27 - 신청
2023-03-15 10:29 - 검토승인
2023-03-24 15:56 - 심의승인</x:v>
      </x:c>
    </x:row>
    <x:row r="2933" ht="42" customHeight="1">
      <x:c r="A2933" s="2" t="str">
        <x:v>5265b17933de760c5614485f</x:v>
      </x:c>
      <x:c r="B2933" s="2" t="str">
        <x:v>감축량 인증</x:v>
      </x:c>
      <x:c r="C2933" s="2" t="str">
        <x:v>국외</x:v>
      </x:c>
      <x:c r="D2933" s="7" t="str">
        <x:v>기후변화센터의 동남아시아 개발도상국(미얀마) 내 고효율 쿡스토브 보급 사업 CPA-011</x:v>
      </x:c>
      <x:c r="E2933" s="2" t="str">
        <x:v>519</x:v>
      </x:c>
      <x:c r="F2933" s="2" t="str">
        <x:v>2022-10-17</x:v>
      </x:c>
      <x:c r="G2933" s="2" t="str">
        <x:v>2022</x:v>
      </x:c>
      <x:c r="H2933" s="2" t="str">
        <x:v>10</x:v>
      </x:c>
      <x:c r="I2933" s="2" t="str">
        <x:v>심의승인</x:v>
      </x:c>
      <x:c r="J2933" s="2" t="str">
        <x:v>심의승인</x:v>
      </x:c>
      <x:c r="K2933" s="2" t="str">
        <x:f>IF(OR(J2933="심의승인",J2933="반려",J2933="반려완료",J2933="심의완료"),"종결 표시",IF(OR(J2933="기후부협의",J2933="문서재제출요청",J2933="보류",J2933="보완요청",J2933="보완완료",J2933="평가중",J2933="반려요청",J2933="평가필요",LEFT(J2933,5)="보완요청("),"미종결 표시","상태 확인 필요"))</x:f>
        <x:v>종결 표시</x:v>
      </x:c>
      <x:c r="L2933" s="2" t="str">
        <x:v>KRIC</x:v>
      </x:c>
      <x:c r="M2933" s="2"/>
      <x:c r="N2933" s="8" t="n">
        <x:f>DATE(2026,10,15)-DATE(2022,10,17)</x:f>
        <x:v>1459</x:v>
      </x:c>
      <x:c r="O2933" s="2"/>
      <x:c r="P2933" s="2"/>
      <x:c r="Q2933" s="2" t="str">
        <x:v>산업전환_외부사업관리Tool_260707_이너젠 수정_LJY_261013.xlsx</x:v>
      </x:c>
      <x:c r="R2933" s="2" t="str">
        <x:v>국외인증</x:v>
      </x:c>
      <x:c r="S2933" s="8" t="n">
        <x:v>520</x:v>
      </x:c>
      <x:c r="T2933" s="2" t="str">
        <x:v>(10/19)</x:v>
      </x:c>
      <x:c r="U2933" s="2" t="str">
        <x:v>2022 지정: (10/19)</x:v>
      </x:c>
      <x:c r="V2933" s="2" t="str">
        <x:v>2023-03-24</x:v>
      </x:c>
      <x:c r="W2933" s="2" t="str"/>
      <x:c r="X2933" s="2" t="str">
        <x:v>종결 근거 보관</x:v>
      </x:c>
      <x:c r="Y2933" s="2" t="str">
        <x:v>ad210cd9ec132cfd447541c8984dc53d30aff0f4fb2dc92d254d49275cc55976</x:v>
      </x:c>
      <x:c r="Z2933" s="2" t="n">
        <x:f>SUBTOTAL(103,A2933)</x:f>
        <x:v>1</x:v>
      </x:c>
      <x:c r="AA2933" s="2" t="str">
        <x:f>IF(K2933&lt;&gt;"미종결 표시","대상 아님",IF(N2933="","신청일 확인",IF(NOT(ISNUMBER('종합 현황'!$H$5)),"관찰기준 확인",IF('종합 현황'!$H$5&lt;1,"관찰기준 확인",IF(N2933&gt;'종합 현황'!$H$5,"내부 관찰 대상","내부 관찰일 이하")))))</x:f>
        <x:v>대상 아님</x:v>
      </x:c>
      <x:c r="AB2933" s="2" t="str">
        <x:v>2022-10-17 13:40 - 신청
2022-11-11 10:03 - 문서재제출요청
2022-11-24 10:33 - 신청
2022-12-23 14:45 - 문서재제출요청
2022-12-23 19:28 - 신청
2023-03-15 10:29 - 검토승인
2023-03-24 15:57 - 심의승인</x:v>
      </x:c>
    </x:row>
    <x:row r="2934" ht="42" customHeight="1">
      <x:c r="A2934" s="2" t="str">
        <x:v>6f009fcfe58625da1251b9cb</x:v>
      </x:c>
      <x:c r="B2934" s="2" t="str">
        <x:v>감축량 인증</x:v>
      </x:c>
      <x:c r="C2934" s="2" t="str">
        <x:v>국외</x:v>
      </x:c>
      <x:c r="D2934" s="7" t="str">
        <x:v>기후변화센터의 동남아시아 개발도상국(미얀마) 내 고효율 쿡스토브 보급 사업 CPA-012</x:v>
      </x:c>
      <x:c r="E2934" s="2" t="str">
        <x:v>520</x:v>
      </x:c>
      <x:c r="F2934" s="2" t="str">
        <x:v>2022-10-17</x:v>
      </x:c>
      <x:c r="G2934" s="2" t="str">
        <x:v>2022</x:v>
      </x:c>
      <x:c r="H2934" s="2" t="str">
        <x:v>10</x:v>
      </x:c>
      <x:c r="I2934" s="2" t="str">
        <x:v>심의승인</x:v>
      </x:c>
      <x:c r="J2934" s="2" t="str">
        <x:v>심의승인</x:v>
      </x:c>
      <x:c r="K2934" s="2" t="str">
        <x:f>IF(OR(J2934="심의승인",J2934="반려",J2934="반려완료",J2934="심의완료"),"종결 표시",IF(OR(J2934="기후부협의",J2934="문서재제출요청",J2934="보류",J2934="보완요청",J2934="보완완료",J2934="평가중",J2934="반려요청",J2934="평가필요",LEFT(J2934,5)="보완요청("),"미종결 표시","상태 확인 필요"))</x:f>
        <x:v>종결 표시</x:v>
      </x:c>
      <x:c r="L2934" s="2" t="str">
        <x:v>KRIC</x:v>
      </x:c>
      <x:c r="M2934" s="2"/>
      <x:c r="N2934" s="8" t="n">
        <x:f>DATE(2026,10,15)-DATE(2022,10,17)</x:f>
        <x:v>1459</x:v>
      </x:c>
      <x:c r="O2934" s="2"/>
      <x:c r="P2934" s="2"/>
      <x:c r="Q2934" s="2" t="str">
        <x:v>산업전환_외부사업관리Tool_260707_이너젠 수정_LJY_261013.xlsx</x:v>
      </x:c>
      <x:c r="R2934" s="2" t="str">
        <x:v>국외인증</x:v>
      </x:c>
      <x:c r="S2934" s="8" t="n">
        <x:v>521</x:v>
      </x:c>
      <x:c r="T2934" s="2" t="str">
        <x:v>(10/19)</x:v>
      </x:c>
      <x:c r="U2934" s="2" t="str">
        <x:v>2022 지정: (10/19)</x:v>
      </x:c>
      <x:c r="V2934" s="2" t="str">
        <x:v>2023-03-24</x:v>
      </x:c>
      <x:c r="W2934" s="2" t="str"/>
      <x:c r="X2934" s="2" t="str">
        <x:v>종결 근거 보관</x:v>
      </x:c>
      <x:c r="Y2934" s="2" t="str">
        <x:v>ad210cd9ec132cfd447541c8984dc53d30aff0f4fb2dc92d254d49275cc55976</x:v>
      </x:c>
      <x:c r="Z2934" s="2" t="n">
        <x:f>SUBTOTAL(103,A2934)</x:f>
        <x:v>1</x:v>
      </x:c>
      <x:c r="AA2934" s="2" t="str">
        <x:f>IF(K2934&lt;&gt;"미종결 표시","대상 아님",IF(N2934="","신청일 확인",IF(NOT(ISNUMBER('종합 현황'!$H$5)),"관찰기준 확인",IF('종합 현황'!$H$5&lt;1,"관찰기준 확인",IF(N2934&gt;'종합 현황'!$H$5,"내부 관찰 대상","내부 관찰일 이하")))))</x:f>
        <x:v>대상 아님</x:v>
      </x:c>
      <x:c r="AB2934" s="2" t="str">
        <x:v>2022-10-17 13:40 - 신청
2022-11-11 10:04 - 문서재제출요청
2022-11-24 10:33 - 신청
2022-12-23 14:45 - 문서재제출요청
2022-12-23 19:29 - 신청
2023-03-15 10:30 - 검토승인
2023-03-24 15:58 - 심의승인</x:v>
      </x:c>
    </x:row>
    <x:row r="2935" ht="42" customHeight="1">
      <x:c r="A2935" s="2" t="str">
        <x:v>62c570a1e0508004a25aa493</x:v>
      </x:c>
      <x:c r="B2935" s="2" t="str">
        <x:v>감축량 인증</x:v>
      </x:c>
      <x:c r="C2935" s="2" t="str">
        <x:v>국외</x:v>
      </x:c>
      <x:c r="D2935" s="7" t="str">
        <x:v>기후변화센터의 동남아시아 개발도상국(미얀마) 내 고효율 쿡스토브 보급 사업 CPA-013</x:v>
      </x:c>
      <x:c r="E2935" s="2" t="str">
        <x:v>521</x:v>
      </x:c>
      <x:c r="F2935" s="2" t="str">
        <x:v>2022-10-17</x:v>
      </x:c>
      <x:c r="G2935" s="2" t="str">
        <x:v>2022</x:v>
      </x:c>
      <x:c r="H2935" s="2" t="str">
        <x:v>10</x:v>
      </x:c>
      <x:c r="I2935" s="2" t="str">
        <x:v>심의승인</x:v>
      </x:c>
      <x:c r="J2935" s="2" t="str">
        <x:v>심의승인</x:v>
      </x:c>
      <x:c r="K2935" s="2" t="str">
        <x:f>IF(OR(J2935="심의승인",J2935="반려",J2935="반려완료",J2935="심의완료"),"종결 표시",IF(OR(J2935="기후부협의",J2935="문서재제출요청",J2935="보류",J2935="보완요청",J2935="보완완료",J2935="평가중",J2935="반려요청",J2935="평가필요",LEFT(J2935,5)="보완요청("),"미종결 표시","상태 확인 필요"))</x:f>
        <x:v>종결 표시</x:v>
      </x:c>
      <x:c r="L2935" s="2" t="str">
        <x:v>KRIC</x:v>
      </x:c>
      <x:c r="M2935" s="2"/>
      <x:c r="N2935" s="8" t="n">
        <x:f>DATE(2026,10,15)-DATE(2022,10,17)</x:f>
        <x:v>1459</x:v>
      </x:c>
      <x:c r="O2935" s="2"/>
      <x:c r="P2935" s="2"/>
      <x:c r="Q2935" s="2" t="str">
        <x:v>산업전환_외부사업관리Tool_260707_이너젠 수정_LJY_261013.xlsx</x:v>
      </x:c>
      <x:c r="R2935" s="2" t="str">
        <x:v>국외인증</x:v>
      </x:c>
      <x:c r="S2935" s="8" t="n">
        <x:v>522</x:v>
      </x:c>
      <x:c r="T2935" s="2" t="str">
        <x:v>(10/19)</x:v>
      </x:c>
      <x:c r="U2935" s="2" t="str">
        <x:v>2022 지정: (10/19)</x:v>
      </x:c>
      <x:c r="V2935" s="2" t="str">
        <x:v>2023-03-24</x:v>
      </x:c>
      <x:c r="W2935" s="2" t="str"/>
      <x:c r="X2935" s="2" t="str">
        <x:v>종결 근거 보관</x:v>
      </x:c>
      <x:c r="Y2935" s="2" t="str">
        <x:v>ad210cd9ec132cfd447541c8984dc53d30aff0f4fb2dc92d254d49275cc55976</x:v>
      </x:c>
      <x:c r="Z2935" s="2" t="n">
        <x:f>SUBTOTAL(103,A2935)</x:f>
        <x:v>1</x:v>
      </x:c>
      <x:c r="AA2935" s="2" t="str">
        <x:f>IF(K2935&lt;&gt;"미종결 표시","대상 아님",IF(N2935="","신청일 확인",IF(NOT(ISNUMBER('종합 현황'!$H$5)),"관찰기준 확인",IF('종합 현황'!$H$5&lt;1,"관찰기준 확인",IF(N2935&gt;'종합 현황'!$H$5,"내부 관찰 대상","내부 관찰일 이하")))))</x:f>
        <x:v>대상 아님</x:v>
      </x:c>
      <x:c r="AB2935" s="2" t="str">
        <x:v>2022-10-17 13:41 - 신청
2022-11-11 10:05 - 문서재제출요청
2022-11-24 10:33 - 신청
2022-12-23 14:45 - 문서재제출요청
2022-12-23 19:29 - 신청
2023-03-15 10:30 - 검토승인
2023-03-24 15:58 - 심의승인</x:v>
      </x:c>
    </x:row>
    <x:row r="2936" ht="42" customHeight="1">
      <x:c r="A2936" s="2" t="str">
        <x:v>e1abaccc15154fecee4fcc62</x:v>
      </x:c>
      <x:c r="B2936" s="2" t="str">
        <x:v>감축량 인증</x:v>
      </x:c>
      <x:c r="C2936" s="2" t="str">
        <x:v>국외</x:v>
      </x:c>
      <x:c r="D2936" s="7" t="str">
        <x:v>기후변화센터의 동남아시아 개발도상국(미얀마) 내 고효율 쿡스토브 보급 사업 CPA-014</x:v>
      </x:c>
      <x:c r="E2936" s="2" t="str">
        <x:v>522</x:v>
      </x:c>
      <x:c r="F2936" s="2" t="str">
        <x:v>2022-10-17</x:v>
      </x:c>
      <x:c r="G2936" s="2" t="str">
        <x:v>2022</x:v>
      </x:c>
      <x:c r="H2936" s="2" t="str">
        <x:v>10</x:v>
      </x:c>
      <x:c r="I2936" s="2" t="str">
        <x:v>심의승인</x:v>
      </x:c>
      <x:c r="J2936" s="2" t="str">
        <x:v>심의승인</x:v>
      </x:c>
      <x:c r="K2936" s="2" t="str">
        <x:f>IF(OR(J2936="심의승인",J2936="반려",J2936="반려완료",J2936="심의완료"),"종결 표시",IF(OR(J2936="기후부협의",J2936="문서재제출요청",J2936="보류",J2936="보완요청",J2936="보완완료",J2936="평가중",J2936="반려요청",J2936="평가필요",LEFT(J2936,5)="보완요청("),"미종결 표시","상태 확인 필요"))</x:f>
        <x:v>종결 표시</x:v>
      </x:c>
      <x:c r="L2936" s="2" t="str">
        <x:v>KRIC</x:v>
      </x:c>
      <x:c r="M2936" s="2"/>
      <x:c r="N2936" s="8" t="n">
        <x:f>DATE(2026,10,15)-DATE(2022,10,17)</x:f>
        <x:v>1459</x:v>
      </x:c>
      <x:c r="O2936" s="2"/>
      <x:c r="P2936" s="2"/>
      <x:c r="Q2936" s="2" t="str">
        <x:v>산업전환_외부사업관리Tool_260707_이너젠 수정_LJY_261013.xlsx</x:v>
      </x:c>
      <x:c r="R2936" s="2" t="str">
        <x:v>국외인증</x:v>
      </x:c>
      <x:c r="S2936" s="8" t="n">
        <x:v>523</x:v>
      </x:c>
      <x:c r="T2936" s="2" t="str">
        <x:v>(10/19)</x:v>
      </x:c>
      <x:c r="U2936" s="2" t="str">
        <x:v>2022 지정: (10/19)</x:v>
      </x:c>
      <x:c r="V2936" s="2" t="str">
        <x:v>2023-03-24</x:v>
      </x:c>
      <x:c r="W2936" s="2" t="str"/>
      <x:c r="X2936" s="2" t="str">
        <x:v>종결 근거 보관</x:v>
      </x:c>
      <x:c r="Y2936" s="2" t="str">
        <x:v>ad210cd9ec132cfd447541c8984dc53d30aff0f4fb2dc92d254d49275cc55976</x:v>
      </x:c>
      <x:c r="Z2936" s="2" t="n">
        <x:f>SUBTOTAL(103,A2936)</x:f>
        <x:v>1</x:v>
      </x:c>
      <x:c r="AA2936" s="2" t="str">
        <x:f>IF(K2936&lt;&gt;"미종결 표시","대상 아님",IF(N2936="","신청일 확인",IF(NOT(ISNUMBER('종합 현황'!$H$5)),"관찰기준 확인",IF('종합 현황'!$H$5&lt;1,"관찰기준 확인",IF(N2936&gt;'종합 현황'!$H$5,"내부 관찰 대상","내부 관찰일 이하")))))</x:f>
        <x:v>대상 아님</x:v>
      </x:c>
      <x:c r="AB2936" s="2" t="str">
        <x:v>2022-10-17 13:41 - 신청
2022-11-11 10:05 - 문서재제출요청
2022-11-24 10:33 - 신청
2022-12-23 14:44 - 문서재제출요청
2022-12-23 19:32 - 신청
2023-03-15 10:30 - 검토승인
2023-03-24 15:58 - 심의승인</x:v>
      </x:c>
    </x:row>
    <x:row r="2937" ht="42" customHeight="1">
      <x:c r="A2937" s="2" t="str">
        <x:v>91bf6f608dcc912ae6f8b727</x:v>
      </x:c>
      <x:c r="B2937" s="2" t="str">
        <x:v>감축량 인증</x:v>
      </x:c>
      <x:c r="C2937" s="2" t="str">
        <x:v>국외</x:v>
      </x:c>
      <x:c r="D2937" s="7" t="str">
        <x:v>기후변화센터의 동남아시아 개발도상국(미얀마) 내 고효율 쿡스토브 보급 사업 CPA-015</x:v>
      </x:c>
      <x:c r="E2937" s="2" t="str">
        <x:v>523</x:v>
      </x:c>
      <x:c r="F2937" s="2" t="str">
        <x:v>2022-10-17</x:v>
      </x:c>
      <x:c r="G2937" s="2" t="str">
        <x:v>2022</x:v>
      </x:c>
      <x:c r="H2937" s="2" t="str">
        <x:v>10</x:v>
      </x:c>
      <x:c r="I2937" s="2" t="str">
        <x:v>심의승인</x:v>
      </x:c>
      <x:c r="J2937" s="2" t="str">
        <x:v>심의승인</x:v>
      </x:c>
      <x:c r="K2937" s="2" t="str">
        <x:f>IF(OR(J2937="심의승인",J2937="반려",J2937="반려완료",J2937="심의완료"),"종결 표시",IF(OR(J2937="기후부협의",J2937="문서재제출요청",J2937="보류",J2937="보완요청",J2937="보완완료",J2937="평가중",J2937="반려요청",J2937="평가필요",LEFT(J2937,5)="보완요청("),"미종결 표시","상태 확인 필요"))</x:f>
        <x:v>종결 표시</x:v>
      </x:c>
      <x:c r="L2937" s="2" t="str">
        <x:v>KRIC</x:v>
      </x:c>
      <x:c r="M2937" s="2"/>
      <x:c r="N2937" s="8" t="n">
        <x:f>DATE(2026,10,15)-DATE(2022,10,17)</x:f>
        <x:v>1459</x:v>
      </x:c>
      <x:c r="O2937" s="2"/>
      <x:c r="P2937" s="2"/>
      <x:c r="Q2937" s="2" t="str">
        <x:v>산업전환_외부사업관리Tool_260707_이너젠 수정_LJY_261013.xlsx</x:v>
      </x:c>
      <x:c r="R2937" s="2" t="str">
        <x:v>국외인증</x:v>
      </x:c>
      <x:c r="S2937" s="8" t="n">
        <x:v>524</x:v>
      </x:c>
      <x:c r="T2937" s="2" t="str">
        <x:v>(10/19)</x:v>
      </x:c>
      <x:c r="U2937" s="2" t="str">
        <x:v>2022 지정: (10/19)</x:v>
      </x:c>
      <x:c r="V2937" s="2" t="str">
        <x:v>2023-03-24</x:v>
      </x:c>
      <x:c r="W2937" s="2" t="str"/>
      <x:c r="X2937" s="2" t="str">
        <x:v>종결 근거 보관</x:v>
      </x:c>
      <x:c r="Y2937" s="2" t="str">
        <x:v>ad210cd9ec132cfd447541c8984dc53d30aff0f4fb2dc92d254d49275cc55976</x:v>
      </x:c>
      <x:c r="Z2937" s="2" t="n">
        <x:f>SUBTOTAL(103,A2937)</x:f>
        <x:v>1</x:v>
      </x:c>
      <x:c r="AA2937" s="2" t="str">
        <x:f>IF(K2937&lt;&gt;"미종결 표시","대상 아님",IF(N2937="","신청일 확인",IF(NOT(ISNUMBER('종합 현황'!$H$5)),"관찰기준 확인",IF('종합 현황'!$H$5&lt;1,"관찰기준 확인",IF(N2937&gt;'종합 현황'!$H$5,"내부 관찰 대상","내부 관찰일 이하")))))</x:f>
        <x:v>대상 아님</x:v>
      </x:c>
      <x:c r="AB2937" s="2" t="str">
        <x:v>2022-10-17 13:41 - 신청
2022-11-11 10:06 - 문서재제출요청
2022-11-24 10:34 - 신청
2022-12-23 14:44 - 문서재제출요청
2022-12-23 19:32 - 신청
2023-03-15 10:31 - 검토승인
2023-03-24 15:59 - 심의승인</x:v>
      </x:c>
    </x:row>
    <x:row r="2938" ht="42" customHeight="1">
      <x:c r="A2938" s="2" t="str">
        <x:v>2c90f18165bc4f9dc627d4fe</x:v>
      </x:c>
      <x:c r="B2938" s="2" t="str">
        <x:v>감축량 인증</x:v>
      </x:c>
      <x:c r="C2938" s="2" t="str">
        <x:v>국외</x:v>
      </x:c>
      <x:c r="D2938" s="7" t="str">
        <x:v>기후변화센터의 동남아시아 개발도상국(미얀마) 내 고효율 쿡스토브 보급 사업 CPA-016</x:v>
      </x:c>
      <x:c r="E2938" s="2" t="str">
        <x:v>524</x:v>
      </x:c>
      <x:c r="F2938" s="2" t="str">
        <x:v>2022-10-17</x:v>
      </x:c>
      <x:c r="G2938" s="2" t="str">
        <x:v>2022</x:v>
      </x:c>
      <x:c r="H2938" s="2" t="str">
        <x:v>10</x:v>
      </x:c>
      <x:c r="I2938" s="2" t="str">
        <x:v>심의승인</x:v>
      </x:c>
      <x:c r="J2938" s="2" t="str">
        <x:v>심의승인</x:v>
      </x:c>
      <x:c r="K2938" s="2" t="str">
        <x:f>IF(OR(J2938="심의승인",J2938="반려",J2938="반려완료",J2938="심의완료"),"종결 표시",IF(OR(J2938="기후부협의",J2938="문서재제출요청",J2938="보류",J2938="보완요청",J2938="보완완료",J2938="평가중",J2938="반려요청",J2938="평가필요",LEFT(J2938,5)="보완요청("),"미종결 표시","상태 확인 필요"))</x:f>
        <x:v>종결 표시</x:v>
      </x:c>
      <x:c r="L2938" s="2" t="str">
        <x:v>KRIC</x:v>
      </x:c>
      <x:c r="M2938" s="2"/>
      <x:c r="N2938" s="8" t="n">
        <x:f>DATE(2026,10,15)-DATE(2022,10,17)</x:f>
        <x:v>1459</x:v>
      </x:c>
      <x:c r="O2938" s="2"/>
      <x:c r="P2938" s="2"/>
      <x:c r="Q2938" s="2" t="str">
        <x:v>산업전환_외부사업관리Tool_260707_이너젠 수정_LJY_261013.xlsx</x:v>
      </x:c>
      <x:c r="R2938" s="2" t="str">
        <x:v>국외인증</x:v>
      </x:c>
      <x:c r="S2938" s="8" t="n">
        <x:v>525</x:v>
      </x:c>
      <x:c r="T2938" s="2" t="str">
        <x:v>(10/19)</x:v>
      </x:c>
      <x:c r="U2938" s="2" t="str">
        <x:v>2022 지정: (10/19)</x:v>
      </x:c>
      <x:c r="V2938" s="2" t="str">
        <x:v>2023-03-24</x:v>
      </x:c>
      <x:c r="W2938" s="2" t="str"/>
      <x:c r="X2938" s="2" t="str">
        <x:v>종결 근거 보관</x:v>
      </x:c>
      <x:c r="Y2938" s="2" t="str">
        <x:v>ad210cd9ec132cfd447541c8984dc53d30aff0f4fb2dc92d254d49275cc55976</x:v>
      </x:c>
      <x:c r="Z2938" s="2" t="n">
        <x:f>SUBTOTAL(103,A2938)</x:f>
        <x:v>1</x:v>
      </x:c>
      <x:c r="AA2938" s="2" t="str">
        <x:f>IF(K2938&lt;&gt;"미종결 표시","대상 아님",IF(N2938="","신청일 확인",IF(NOT(ISNUMBER('종합 현황'!$H$5)),"관찰기준 확인",IF('종합 현황'!$H$5&lt;1,"관찰기준 확인",IF(N2938&gt;'종합 현황'!$H$5,"내부 관찰 대상","내부 관찰일 이하")))))</x:f>
        <x:v>대상 아님</x:v>
      </x:c>
      <x:c r="AB2938" s="2" t="str">
        <x:v>2022-10-17 13:41 - 신청
2022-11-11 10:06 - 문서재제출요청
2022-11-24 10:34 - 신청
2022-12-23 14:44 - 문서재제출요청
2022-12-23 19:33 - 신청
2023-03-15 10:31 - 검토승인
2023-03-24 15:59 - 심의승인</x:v>
      </x:c>
    </x:row>
    <x:row r="2939" ht="42" customHeight="1">
      <x:c r="A2939" s="2" t="str">
        <x:v>61b7e2dcf2d9f36b90c1b3de</x:v>
      </x:c>
      <x:c r="B2939" s="2" t="str">
        <x:v>감축량 인증</x:v>
      </x:c>
      <x:c r="C2939" s="2" t="str">
        <x:v>국외</x:v>
      </x:c>
      <x:c r="D2939" s="7" t="str">
        <x:v>기후변화센터의 동남아시아 개발도상국(미얀마) 내 고효율 쿡스토브 보급 사업 CPA-017</x:v>
      </x:c>
      <x:c r="E2939" s="2" t="str">
        <x:v>525</x:v>
      </x:c>
      <x:c r="F2939" s="2" t="str">
        <x:v>2022-10-17</x:v>
      </x:c>
      <x:c r="G2939" s="2" t="str">
        <x:v>2022</x:v>
      </x:c>
      <x:c r="H2939" s="2" t="str">
        <x:v>10</x:v>
      </x:c>
      <x:c r="I2939" s="2" t="str">
        <x:v>심의승인</x:v>
      </x:c>
      <x:c r="J2939" s="2" t="str">
        <x:v>심의승인</x:v>
      </x:c>
      <x:c r="K2939" s="2" t="str">
        <x:f>IF(OR(J2939="심의승인",J2939="반려",J2939="반려완료",J2939="심의완료"),"종결 표시",IF(OR(J2939="기후부협의",J2939="문서재제출요청",J2939="보류",J2939="보완요청",J2939="보완완료",J2939="평가중",J2939="반려요청",J2939="평가필요",LEFT(J2939,5)="보완요청("),"미종결 표시","상태 확인 필요"))</x:f>
        <x:v>종결 표시</x:v>
      </x:c>
      <x:c r="L2939" s="2" t="str">
        <x:v>KRIC</x:v>
      </x:c>
      <x:c r="M2939" s="2"/>
      <x:c r="N2939" s="8" t="n">
        <x:f>DATE(2026,10,15)-DATE(2022,10,17)</x:f>
        <x:v>1459</x:v>
      </x:c>
      <x:c r="O2939" s="2"/>
      <x:c r="P2939" s="2"/>
      <x:c r="Q2939" s="2" t="str">
        <x:v>산업전환_외부사업관리Tool_260707_이너젠 수정_LJY_261013.xlsx</x:v>
      </x:c>
      <x:c r="R2939" s="2" t="str">
        <x:v>국외인증</x:v>
      </x:c>
      <x:c r="S2939" s="8" t="n">
        <x:v>526</x:v>
      </x:c>
      <x:c r="T2939" s="2" t="str">
        <x:v>(10/19)</x:v>
      </x:c>
      <x:c r="U2939" s="2" t="str">
        <x:v>2022 지정: (10/19)</x:v>
      </x:c>
      <x:c r="V2939" s="2" t="str">
        <x:v>2023-03-24</x:v>
      </x:c>
      <x:c r="W2939" s="2" t="str"/>
      <x:c r="X2939" s="2" t="str">
        <x:v>종결 근거 보관</x:v>
      </x:c>
      <x:c r="Y2939" s="2" t="str">
        <x:v>ad210cd9ec132cfd447541c8984dc53d30aff0f4fb2dc92d254d49275cc55976</x:v>
      </x:c>
      <x:c r="Z2939" s="2" t="n">
        <x:f>SUBTOTAL(103,A2939)</x:f>
        <x:v>1</x:v>
      </x:c>
      <x:c r="AA2939" s="2" t="str">
        <x:f>IF(K2939&lt;&gt;"미종결 표시","대상 아님",IF(N2939="","신청일 확인",IF(NOT(ISNUMBER('종합 현황'!$H$5)),"관찰기준 확인",IF('종합 현황'!$H$5&lt;1,"관찰기준 확인",IF(N2939&gt;'종합 현황'!$H$5,"내부 관찰 대상","내부 관찰일 이하")))))</x:f>
        <x:v>대상 아님</x:v>
      </x:c>
      <x:c r="AB2939" s="2" t="str">
        <x:v>2022-10-17 13:42 - 신청
2022-11-11 10:07 - 문서재제출요청
2022-11-24 10:34 - 신청
2022-12-23 14:44 - 문서재제출요청
2022-12-23 19:33 - 신청
2023-03-15 10:32 - 검토승인
2023-03-24 16:00 - 심의승인</x:v>
      </x:c>
    </x:row>
    <x:row r="2940" ht="42" customHeight="1">
      <x:c r="A2940" s="2" t="str">
        <x:v>066bfededbaebcfdd63f3fde</x:v>
      </x:c>
      <x:c r="B2940" s="2" t="str">
        <x:v>감축량 인증</x:v>
      </x:c>
      <x:c r="C2940" s="2" t="str">
        <x:v>국외</x:v>
      </x:c>
      <x:c r="D2940" s="7" t="str">
        <x:v>기후변화센터의 동남아시아 개발도상국(미얀마) 내 고효율 쿡스토브 보급 사업 CPA-018</x:v>
      </x:c>
      <x:c r="E2940" s="2" t="str">
        <x:v>526</x:v>
      </x:c>
      <x:c r="F2940" s="2" t="str">
        <x:v>2022-10-17</x:v>
      </x:c>
      <x:c r="G2940" s="2" t="str">
        <x:v>2022</x:v>
      </x:c>
      <x:c r="H2940" s="2" t="str">
        <x:v>10</x:v>
      </x:c>
      <x:c r="I2940" s="2" t="str">
        <x:v>심의승인</x:v>
      </x:c>
      <x:c r="J2940" s="2" t="str">
        <x:v>심의승인</x:v>
      </x:c>
      <x:c r="K2940" s="2" t="str">
        <x:f>IF(OR(J2940="심의승인",J2940="반려",J2940="반려완료",J2940="심의완료"),"종결 표시",IF(OR(J2940="기후부협의",J2940="문서재제출요청",J2940="보류",J2940="보완요청",J2940="보완완료",J2940="평가중",J2940="반려요청",J2940="평가필요",LEFT(J2940,5)="보완요청("),"미종결 표시","상태 확인 필요"))</x:f>
        <x:v>종결 표시</x:v>
      </x:c>
      <x:c r="L2940" s="2" t="str">
        <x:v>KRIC</x:v>
      </x:c>
      <x:c r="M2940" s="2"/>
      <x:c r="N2940" s="8" t="n">
        <x:f>DATE(2026,10,15)-DATE(2022,10,17)</x:f>
        <x:v>1459</x:v>
      </x:c>
      <x:c r="O2940" s="2"/>
      <x:c r="P2940" s="2"/>
      <x:c r="Q2940" s="2" t="str">
        <x:v>산업전환_외부사업관리Tool_260707_이너젠 수정_LJY_261013.xlsx</x:v>
      </x:c>
      <x:c r="R2940" s="2" t="str">
        <x:v>국외인증</x:v>
      </x:c>
      <x:c r="S2940" s="8" t="n">
        <x:v>527</x:v>
      </x:c>
      <x:c r="T2940" s="2" t="str">
        <x:v>(10/19)</x:v>
      </x:c>
      <x:c r="U2940" s="2" t="str">
        <x:v>2022 지정: (10/19)</x:v>
      </x:c>
      <x:c r="V2940" s="2" t="str">
        <x:v>2023-03-24</x:v>
      </x:c>
      <x:c r="W2940" s="2" t="str"/>
      <x:c r="X2940" s="2" t="str">
        <x:v>종결 근거 보관</x:v>
      </x:c>
      <x:c r="Y2940" s="2" t="str">
        <x:v>ad210cd9ec132cfd447541c8984dc53d30aff0f4fb2dc92d254d49275cc55976</x:v>
      </x:c>
      <x:c r="Z2940" s="2" t="n">
        <x:f>SUBTOTAL(103,A2940)</x:f>
        <x:v>1</x:v>
      </x:c>
      <x:c r="AA2940" s="2" t="str">
        <x:f>IF(K2940&lt;&gt;"미종결 표시","대상 아님",IF(N2940="","신청일 확인",IF(NOT(ISNUMBER('종합 현황'!$H$5)),"관찰기준 확인",IF('종합 현황'!$H$5&lt;1,"관찰기준 확인",IF(N2940&gt;'종합 현황'!$H$5,"내부 관찰 대상","내부 관찰일 이하")))))</x:f>
        <x:v>대상 아님</x:v>
      </x:c>
      <x:c r="AB2940" s="2" t="str">
        <x:v>2022-10-17 13:42 - 신청
2022-11-11 10:07 - 문서재제출요청
2022-11-24 10:34 - 신청
2022-12-23 14:43 - 문서재제출요청
2022-12-23 19:34 - 신청
2023-03-15 10:32 - 검토승인
2023-03-24 16:01 - 심의승인</x:v>
      </x:c>
    </x:row>
    <x:row r="2941" ht="42" customHeight="1">
      <x:c r="A2941" s="2" t="str">
        <x:v>67318ac2c25c0b24fb29622d</x:v>
      </x:c>
      <x:c r="B2941" s="2" t="str">
        <x:v>감축량 인증</x:v>
      </x:c>
      <x:c r="C2941" s="2" t="str">
        <x:v>국외</x:v>
      </x:c>
      <x:c r="D2941" s="7" t="str">
        <x:v>기후변화센터의 동남아시아 개발도상국(미얀마) 내 고효율 쿡스토브 보급 사업 CPA-019</x:v>
      </x:c>
      <x:c r="E2941" s="2" t="str">
        <x:v>527</x:v>
      </x:c>
      <x:c r="F2941" s="2" t="str">
        <x:v>2022-10-17</x:v>
      </x:c>
      <x:c r="G2941" s="2" t="str">
        <x:v>2022</x:v>
      </x:c>
      <x:c r="H2941" s="2" t="str">
        <x:v>10</x:v>
      </x:c>
      <x:c r="I2941" s="2" t="str">
        <x:v>심의승인</x:v>
      </x:c>
      <x:c r="J2941" s="2" t="str">
        <x:v>심의승인</x:v>
      </x:c>
      <x:c r="K2941" s="2" t="str">
        <x:f>IF(OR(J2941="심의승인",J2941="반려",J2941="반려완료",J2941="심의완료"),"종결 표시",IF(OR(J2941="기후부협의",J2941="문서재제출요청",J2941="보류",J2941="보완요청",J2941="보완완료",J2941="평가중",J2941="반려요청",J2941="평가필요",LEFT(J2941,5)="보완요청("),"미종결 표시","상태 확인 필요"))</x:f>
        <x:v>종결 표시</x:v>
      </x:c>
      <x:c r="L2941" s="2" t="str">
        <x:v>KRIC</x:v>
      </x:c>
      <x:c r="M2941" s="2"/>
      <x:c r="N2941" s="8" t="n">
        <x:f>DATE(2026,10,15)-DATE(2022,10,17)</x:f>
        <x:v>1459</x:v>
      </x:c>
      <x:c r="O2941" s="2"/>
      <x:c r="P2941" s="2"/>
      <x:c r="Q2941" s="2" t="str">
        <x:v>산업전환_외부사업관리Tool_260707_이너젠 수정_LJY_261013.xlsx</x:v>
      </x:c>
      <x:c r="R2941" s="2" t="str">
        <x:v>국외인증</x:v>
      </x:c>
      <x:c r="S2941" s="8" t="n">
        <x:v>528</x:v>
      </x:c>
      <x:c r="T2941" s="2" t="str">
        <x:v>(10/19)</x:v>
      </x:c>
      <x:c r="U2941" s="2" t="str">
        <x:v>2022 지정: (10/19)</x:v>
      </x:c>
      <x:c r="V2941" s="2" t="str">
        <x:v>2023-03-24</x:v>
      </x:c>
      <x:c r="W2941" s="2" t="str"/>
      <x:c r="X2941" s="2" t="str">
        <x:v>종결 근거 보관</x:v>
      </x:c>
      <x:c r="Y2941" s="2" t="str">
        <x:v>ad210cd9ec132cfd447541c8984dc53d30aff0f4fb2dc92d254d49275cc55976</x:v>
      </x:c>
      <x:c r="Z2941" s="2" t="n">
        <x:f>SUBTOTAL(103,A2941)</x:f>
        <x:v>1</x:v>
      </x:c>
      <x:c r="AA2941" s="2" t="str">
        <x:f>IF(K2941&lt;&gt;"미종결 표시","대상 아님",IF(N2941="","신청일 확인",IF(NOT(ISNUMBER('종합 현황'!$H$5)),"관찰기준 확인",IF('종합 현황'!$H$5&lt;1,"관찰기준 확인",IF(N2941&gt;'종합 현황'!$H$5,"내부 관찰 대상","내부 관찰일 이하")))))</x:f>
        <x:v>대상 아님</x:v>
      </x:c>
      <x:c r="AB2941" s="2" t="str">
        <x:v>2022-10-17 13:42 - 신청
2022-11-11 10:08 - 문서재제출요청
2022-11-24 10:35 - 신청
2022-12-23 14:43 - 문서재제출요청
2022-12-23 19:35 - 신청
2023-03-15 10:33 - 검토승인
2023-03-24 16:01 - 심의승인</x:v>
      </x:c>
    </x:row>
    <x:row r="2942" ht="42" customHeight="1">
      <x:c r="A2942" s="2" t="str">
        <x:v>f40bf12c8d2946fd0262de0f</x:v>
      </x:c>
      <x:c r="B2942" s="2" t="str">
        <x:v>감축량 인증</x:v>
      </x:c>
      <x:c r="C2942" s="2" t="str">
        <x:v>국외</x:v>
      </x:c>
      <x:c r="D2942" s="7" t="str">
        <x:v>기후변화센터의 동남아시아 개발도상국(미얀마) 내 고효율 쿡스토브 보급 사업 CPA-020</x:v>
      </x:c>
      <x:c r="E2942" s="2" t="str">
        <x:v>528</x:v>
      </x:c>
      <x:c r="F2942" s="2" t="str">
        <x:v>2022-10-17</x:v>
      </x:c>
      <x:c r="G2942" s="2" t="str">
        <x:v>2022</x:v>
      </x:c>
      <x:c r="H2942" s="2" t="str">
        <x:v>10</x:v>
      </x:c>
      <x:c r="I2942" s="2" t="str">
        <x:v>심의승인</x:v>
      </x:c>
      <x:c r="J2942" s="2" t="str">
        <x:v>심의승인</x:v>
      </x:c>
      <x:c r="K2942" s="2" t="str">
        <x:f>IF(OR(J2942="심의승인",J2942="반려",J2942="반려완료",J2942="심의완료"),"종결 표시",IF(OR(J2942="기후부협의",J2942="문서재제출요청",J2942="보류",J2942="보완요청",J2942="보완완료",J2942="평가중",J2942="반려요청",J2942="평가필요",LEFT(J2942,5)="보완요청("),"미종결 표시","상태 확인 필요"))</x:f>
        <x:v>종결 표시</x:v>
      </x:c>
      <x:c r="L2942" s="2" t="str">
        <x:v>KRIC</x:v>
      </x:c>
      <x:c r="M2942" s="2"/>
      <x:c r="N2942" s="8" t="n">
        <x:f>DATE(2026,10,15)-DATE(2022,10,17)</x:f>
        <x:v>1459</x:v>
      </x:c>
      <x:c r="O2942" s="2"/>
      <x:c r="P2942" s="2"/>
      <x:c r="Q2942" s="2" t="str">
        <x:v>산업전환_외부사업관리Tool_260707_이너젠 수정_LJY_261013.xlsx</x:v>
      </x:c>
      <x:c r="R2942" s="2" t="str">
        <x:v>국외인증</x:v>
      </x:c>
      <x:c r="S2942" s="8" t="n">
        <x:v>529</x:v>
      </x:c>
      <x:c r="T2942" s="2" t="str">
        <x:v>(10/19)</x:v>
      </x:c>
      <x:c r="U2942" s="2" t="str">
        <x:v>2022 지정: (10/19)</x:v>
      </x:c>
      <x:c r="V2942" s="2" t="str">
        <x:v>2023-03-24</x:v>
      </x:c>
      <x:c r="W2942" s="2" t="str"/>
      <x:c r="X2942" s="2" t="str">
        <x:v>종결 근거 보관</x:v>
      </x:c>
      <x:c r="Y2942" s="2" t="str">
        <x:v>ad210cd9ec132cfd447541c8984dc53d30aff0f4fb2dc92d254d49275cc55976</x:v>
      </x:c>
      <x:c r="Z2942" s="2" t="n">
        <x:f>SUBTOTAL(103,A2942)</x:f>
        <x:v>1</x:v>
      </x:c>
      <x:c r="AA2942" s="2" t="str">
        <x:f>IF(K2942&lt;&gt;"미종결 표시","대상 아님",IF(N2942="","신청일 확인",IF(NOT(ISNUMBER('종합 현황'!$H$5)),"관찰기준 확인",IF('종합 현황'!$H$5&lt;1,"관찰기준 확인",IF(N2942&gt;'종합 현황'!$H$5,"내부 관찰 대상","내부 관찰일 이하")))))</x:f>
        <x:v>대상 아님</x:v>
      </x:c>
      <x:c r="AB2942" s="2" t="str">
        <x:v>2022-10-17 13:42 - 신청
2022-11-11 10:08 - 문서재제출요청
2022-11-24 10:35 - 신청
2022-12-23 14:43 - 문서재제출요청
2022-12-23 19:36 - 신청
2023-03-15 10:33 - 검토승인
2023-03-24 16:02 - 심의승인</x:v>
      </x:c>
    </x:row>
    <x:row r="2943" ht="42" customHeight="1">
      <x:c r="A2943" s="2" t="str">
        <x:v>615b197f087f1186357b1ccb</x:v>
      </x:c>
      <x:c r="B2943" s="2" t="str">
        <x:v>감축량 인증</x:v>
      </x:c>
      <x:c r="C2943" s="2" t="str">
        <x:v>국외</x:v>
      </x:c>
      <x:c r="D2943" s="7" t="str">
        <x:v>기후변화센터의 동남아시아 개발도상국(미얀마) 내 고효율 쿡스토브 보급 사업 CPA-021</x:v>
      </x:c>
      <x:c r="E2943" s="2" t="str">
        <x:v>529</x:v>
      </x:c>
      <x:c r="F2943" s="2" t="str">
        <x:v>2022-10-17</x:v>
      </x:c>
      <x:c r="G2943" s="2" t="str">
        <x:v>2022</x:v>
      </x:c>
      <x:c r="H2943" s="2" t="str">
        <x:v>10</x:v>
      </x:c>
      <x:c r="I2943" s="2" t="str">
        <x:v>심의승인</x:v>
      </x:c>
      <x:c r="J2943" s="2" t="str">
        <x:v>심의승인</x:v>
      </x:c>
      <x:c r="K2943" s="2" t="str">
        <x:f>IF(OR(J2943="심의승인",J2943="반려",J2943="반려완료",J2943="심의완료"),"종결 표시",IF(OR(J2943="기후부협의",J2943="문서재제출요청",J2943="보류",J2943="보완요청",J2943="보완완료",J2943="평가중",J2943="반려요청",J2943="평가필요",LEFT(J2943,5)="보완요청("),"미종결 표시","상태 확인 필요"))</x:f>
        <x:v>종결 표시</x:v>
      </x:c>
      <x:c r="L2943" s="2" t="str">
        <x:v>KRIC</x:v>
      </x:c>
      <x:c r="M2943" s="2"/>
      <x:c r="N2943" s="8" t="n">
        <x:f>DATE(2026,10,15)-DATE(2022,10,17)</x:f>
        <x:v>1459</x:v>
      </x:c>
      <x:c r="O2943" s="2"/>
      <x:c r="P2943" s="2"/>
      <x:c r="Q2943" s="2" t="str">
        <x:v>산업전환_외부사업관리Tool_260707_이너젠 수정_LJY_261013.xlsx</x:v>
      </x:c>
      <x:c r="R2943" s="2" t="str">
        <x:v>국외인증</x:v>
      </x:c>
      <x:c r="S2943" s="8" t="n">
        <x:v>530</x:v>
      </x:c>
      <x:c r="T2943" s="2" t="str">
        <x:v>(10/19)</x:v>
      </x:c>
      <x:c r="U2943" s="2" t="str">
        <x:v>2022 지정: (10/19)</x:v>
      </x:c>
      <x:c r="V2943" s="2" t="str">
        <x:v>2023-03-24</x:v>
      </x:c>
      <x:c r="W2943" s="2" t="str"/>
      <x:c r="X2943" s="2" t="str">
        <x:v>종결 근거 보관</x:v>
      </x:c>
      <x:c r="Y2943" s="2" t="str">
        <x:v>ad210cd9ec132cfd447541c8984dc53d30aff0f4fb2dc92d254d49275cc55976</x:v>
      </x:c>
      <x:c r="Z2943" s="2" t="n">
        <x:f>SUBTOTAL(103,A2943)</x:f>
        <x:v>1</x:v>
      </x:c>
      <x:c r="AA2943" s="2" t="str">
        <x:f>IF(K2943&lt;&gt;"미종결 표시","대상 아님",IF(N2943="","신청일 확인",IF(NOT(ISNUMBER('종합 현황'!$H$5)),"관찰기준 확인",IF('종합 현황'!$H$5&lt;1,"관찰기준 확인",IF(N2943&gt;'종합 현황'!$H$5,"내부 관찰 대상","내부 관찰일 이하")))))</x:f>
        <x:v>대상 아님</x:v>
      </x:c>
      <x:c r="AB2943" s="2" t="str">
        <x:v>2022-10-17 13:42 - 신청
2022-11-11 10:09 - 문서재제출요청
2022-11-24 10:35 - 신청
2022-12-23 14:42 - 문서재제출요청
2022-12-23 19:37 - 신청
2023-03-15 10:34 - 검토승인
2023-03-24 16:02 - 심의승인</x:v>
      </x:c>
    </x:row>
    <x:row r="2944" ht="42" customHeight="1">
      <x:c r="A2944" s="2" t="str">
        <x:v>ca45ec0a9bd275d14e6e3016</x:v>
      </x:c>
      <x:c r="B2944" s="2" t="str">
        <x:v>감축량 인증</x:v>
      </x:c>
      <x:c r="C2944" s="2" t="str">
        <x:v>국외</x:v>
      </x:c>
      <x:c r="D2944" s="7" t="str">
        <x:v>기후변화센터의 동남아시아 개발도상국(미얀마) 내 고효율 쿡스토브 보급 사업 CPA-022</x:v>
      </x:c>
      <x:c r="E2944" s="2" t="str">
        <x:v>530</x:v>
      </x:c>
      <x:c r="F2944" s="2" t="str">
        <x:v>2022-10-17</x:v>
      </x:c>
      <x:c r="G2944" s="2" t="str">
        <x:v>2022</x:v>
      </x:c>
      <x:c r="H2944" s="2" t="str">
        <x:v>10</x:v>
      </x:c>
      <x:c r="I2944" s="2" t="str">
        <x:v>심의승인</x:v>
      </x:c>
      <x:c r="J2944" s="2" t="str">
        <x:v>심의승인</x:v>
      </x:c>
      <x:c r="K2944" s="2" t="str">
        <x:f>IF(OR(J2944="심의승인",J2944="반려",J2944="반려완료",J2944="심의완료"),"종결 표시",IF(OR(J2944="기후부협의",J2944="문서재제출요청",J2944="보류",J2944="보완요청",J2944="보완완료",J2944="평가중",J2944="반려요청",J2944="평가필요",LEFT(J2944,5)="보완요청("),"미종결 표시","상태 확인 필요"))</x:f>
        <x:v>종결 표시</x:v>
      </x:c>
      <x:c r="L2944" s="2" t="str">
        <x:v>KRIC</x:v>
      </x:c>
      <x:c r="M2944" s="2"/>
      <x:c r="N2944" s="8" t="n">
        <x:f>DATE(2026,10,15)-DATE(2022,10,17)</x:f>
        <x:v>1459</x:v>
      </x:c>
      <x:c r="O2944" s="2"/>
      <x:c r="P2944" s="2"/>
      <x:c r="Q2944" s="2" t="str">
        <x:v>산업전환_외부사업관리Tool_260707_이너젠 수정_LJY_261013.xlsx</x:v>
      </x:c>
      <x:c r="R2944" s="2" t="str">
        <x:v>국외인증</x:v>
      </x:c>
      <x:c r="S2944" s="8" t="n">
        <x:v>531</x:v>
      </x:c>
      <x:c r="T2944" s="2" t="str">
        <x:v>(10/19)</x:v>
      </x:c>
      <x:c r="U2944" s="2" t="str">
        <x:v>2022 지정: (10/19)</x:v>
      </x:c>
      <x:c r="V2944" s="2" t="str">
        <x:v>2023-03-24</x:v>
      </x:c>
      <x:c r="W2944" s="2" t="str"/>
      <x:c r="X2944" s="2" t="str">
        <x:v>종결 근거 보관</x:v>
      </x:c>
      <x:c r="Y2944" s="2" t="str">
        <x:v>ad210cd9ec132cfd447541c8984dc53d30aff0f4fb2dc92d254d49275cc55976</x:v>
      </x:c>
      <x:c r="Z2944" s="2" t="n">
        <x:f>SUBTOTAL(103,A2944)</x:f>
        <x:v>1</x:v>
      </x:c>
      <x:c r="AA2944" s="2" t="str">
        <x:f>IF(K2944&lt;&gt;"미종결 표시","대상 아님",IF(N2944="","신청일 확인",IF(NOT(ISNUMBER('종합 현황'!$H$5)),"관찰기준 확인",IF('종합 현황'!$H$5&lt;1,"관찰기준 확인",IF(N2944&gt;'종합 현황'!$H$5,"내부 관찰 대상","내부 관찰일 이하")))))</x:f>
        <x:v>대상 아님</x:v>
      </x:c>
      <x:c r="AB2944" s="2" t="str">
        <x:v>2022-10-17 13:43 - 신청
2022-11-11 10:09 - 문서재제출요청
2022-11-24 10:35 - 신청
2022-12-23 14:42 - 문서재제출요청
2022-12-23 19:37 - 신청
2023-03-15 10:34 - 검토승인
2023-03-24 16:03 - 심의승인</x:v>
      </x:c>
    </x:row>
    <x:row r="2945" ht="42" customHeight="1">
      <x:c r="A2945" s="2" t="str">
        <x:v>a9c6cb227663a16a84253932</x:v>
      </x:c>
      <x:c r="B2945" s="2" t="str">
        <x:v>감축량 인증</x:v>
      </x:c>
      <x:c r="C2945" s="2" t="str">
        <x:v>국외</x:v>
      </x:c>
      <x:c r="D2945" s="7" t="str">
        <x:v>기후변화센터의 동남아시아 개발도상국(미얀마) 내 고효율 쿡스토브 보급 사업 CPA-023</x:v>
      </x:c>
      <x:c r="E2945" s="2" t="str">
        <x:v>531</x:v>
      </x:c>
      <x:c r="F2945" s="2" t="str">
        <x:v>2022-10-17</x:v>
      </x:c>
      <x:c r="G2945" s="2" t="str">
        <x:v>2022</x:v>
      </x:c>
      <x:c r="H2945" s="2" t="str">
        <x:v>10</x:v>
      </x:c>
      <x:c r="I2945" s="2" t="str">
        <x:v>심의승인</x:v>
      </x:c>
      <x:c r="J2945" s="2" t="str">
        <x:v>심의승인</x:v>
      </x:c>
      <x:c r="K2945" s="2" t="str">
        <x:f>IF(OR(J2945="심의승인",J2945="반려",J2945="반려완료",J2945="심의완료"),"종결 표시",IF(OR(J2945="기후부협의",J2945="문서재제출요청",J2945="보류",J2945="보완요청",J2945="보완완료",J2945="평가중",J2945="반려요청",J2945="평가필요",LEFT(J2945,5)="보완요청("),"미종결 표시","상태 확인 필요"))</x:f>
        <x:v>종결 표시</x:v>
      </x:c>
      <x:c r="L2945" s="2" t="str">
        <x:v>KRIC</x:v>
      </x:c>
      <x:c r="M2945" s="2"/>
      <x:c r="N2945" s="8" t="n">
        <x:f>DATE(2026,10,15)-DATE(2022,10,17)</x:f>
        <x:v>1459</x:v>
      </x:c>
      <x:c r="O2945" s="2"/>
      <x:c r="P2945" s="2"/>
      <x:c r="Q2945" s="2" t="str">
        <x:v>산업전환_외부사업관리Tool_260707_이너젠 수정_LJY_261013.xlsx</x:v>
      </x:c>
      <x:c r="R2945" s="2" t="str">
        <x:v>국외인증</x:v>
      </x:c>
      <x:c r="S2945" s="8" t="n">
        <x:v>532</x:v>
      </x:c>
      <x:c r="T2945" s="2" t="str">
        <x:v>(10/19)</x:v>
      </x:c>
      <x:c r="U2945" s="2" t="str">
        <x:v>2022 지정: (10/19)</x:v>
      </x:c>
      <x:c r="V2945" s="2" t="str">
        <x:v>2023-03-24</x:v>
      </x:c>
      <x:c r="W2945" s="2" t="str"/>
      <x:c r="X2945" s="2" t="str">
        <x:v>종결 근거 보관</x:v>
      </x:c>
      <x:c r="Y2945" s="2" t="str">
        <x:v>ad210cd9ec132cfd447541c8984dc53d30aff0f4fb2dc92d254d49275cc55976</x:v>
      </x:c>
      <x:c r="Z2945" s="2" t="n">
        <x:f>SUBTOTAL(103,A2945)</x:f>
        <x:v>1</x:v>
      </x:c>
      <x:c r="AA2945" s="2" t="str">
        <x:f>IF(K2945&lt;&gt;"미종결 표시","대상 아님",IF(N2945="","신청일 확인",IF(NOT(ISNUMBER('종합 현황'!$H$5)),"관찰기준 확인",IF('종합 현황'!$H$5&lt;1,"관찰기준 확인",IF(N2945&gt;'종합 현황'!$H$5,"내부 관찰 대상","내부 관찰일 이하")))))</x:f>
        <x:v>대상 아님</x:v>
      </x:c>
      <x:c r="AB2945" s="2" t="str">
        <x:v>2022-10-17 13:43 - 신청
2022-11-11 10:10 - 문서재제출요청
2022-11-24 10:35 - 신청
2022-12-23 14:42 - 문서재제출요청
2022-12-23 19:37 - 신청
2023-03-15 10:35 - 검토승인
2023-03-24 16:03 - 심의승인</x:v>
      </x:c>
    </x:row>
    <x:row r="2946" ht="42" customHeight="1">
      <x:c r="A2946" s="2" t="str">
        <x:v>695c44fa27a3c88e86031805</x:v>
      </x:c>
      <x:c r="B2946" s="2" t="str">
        <x:v>감축량 인증</x:v>
      </x:c>
      <x:c r="C2946" s="2" t="str">
        <x:v>국외</x:v>
      </x:c>
      <x:c r="D2946" s="7" t="str">
        <x:v>기후변화센터의 동남아시아 개발도상국(미얀마) 내 고효율 쿡스토브 보급 사업 CPA-024</x:v>
      </x:c>
      <x:c r="E2946" s="2" t="str">
        <x:v>532</x:v>
      </x:c>
      <x:c r="F2946" s="2" t="str">
        <x:v>2022-10-17</x:v>
      </x:c>
      <x:c r="G2946" s="2" t="str">
        <x:v>2022</x:v>
      </x:c>
      <x:c r="H2946" s="2" t="str">
        <x:v>10</x:v>
      </x:c>
      <x:c r="I2946" s="2" t="str">
        <x:v>심의승인</x:v>
      </x:c>
      <x:c r="J2946" s="2" t="str">
        <x:v>심의승인</x:v>
      </x:c>
      <x:c r="K2946" s="2" t="str">
        <x:f>IF(OR(J2946="심의승인",J2946="반려",J2946="반려완료",J2946="심의완료"),"종결 표시",IF(OR(J2946="기후부협의",J2946="문서재제출요청",J2946="보류",J2946="보완요청",J2946="보완완료",J2946="평가중",J2946="반려요청",J2946="평가필요",LEFT(J2946,5)="보완요청("),"미종결 표시","상태 확인 필요"))</x:f>
        <x:v>종결 표시</x:v>
      </x:c>
      <x:c r="L2946" s="2" t="str">
        <x:v>KRIC</x:v>
      </x:c>
      <x:c r="M2946" s="2"/>
      <x:c r="N2946" s="8" t="n">
        <x:f>DATE(2026,10,15)-DATE(2022,10,17)</x:f>
        <x:v>1459</x:v>
      </x:c>
      <x:c r="O2946" s="2"/>
      <x:c r="P2946" s="2"/>
      <x:c r="Q2946" s="2" t="str">
        <x:v>산업전환_외부사업관리Tool_260707_이너젠 수정_LJY_261013.xlsx</x:v>
      </x:c>
      <x:c r="R2946" s="2" t="str">
        <x:v>국외인증</x:v>
      </x:c>
      <x:c r="S2946" s="8" t="n">
        <x:v>533</x:v>
      </x:c>
      <x:c r="T2946" s="2" t="str">
        <x:v>(10/19)</x:v>
      </x:c>
      <x:c r="U2946" s="2" t="str">
        <x:v>2022 지정: (10/19)</x:v>
      </x:c>
      <x:c r="V2946" s="2" t="str">
        <x:v>2023-03-24</x:v>
      </x:c>
      <x:c r="W2946" s="2" t="str"/>
      <x:c r="X2946" s="2" t="str">
        <x:v>종결 근거 보관</x:v>
      </x:c>
      <x:c r="Y2946" s="2" t="str">
        <x:v>ad210cd9ec132cfd447541c8984dc53d30aff0f4fb2dc92d254d49275cc55976</x:v>
      </x:c>
      <x:c r="Z2946" s="2" t="n">
        <x:f>SUBTOTAL(103,A2946)</x:f>
        <x:v>1</x:v>
      </x:c>
      <x:c r="AA2946" s="2" t="str">
        <x:f>IF(K2946&lt;&gt;"미종결 표시","대상 아님",IF(N2946="","신청일 확인",IF(NOT(ISNUMBER('종합 현황'!$H$5)),"관찰기준 확인",IF('종합 현황'!$H$5&lt;1,"관찰기준 확인",IF(N2946&gt;'종합 현황'!$H$5,"내부 관찰 대상","내부 관찰일 이하")))))</x:f>
        <x:v>대상 아님</x:v>
      </x:c>
      <x:c r="AB2946" s="2" t="str">
        <x:v>2022-10-17 13:43 - 신청
2022-11-11 10:10 - 문서재제출요청
2022-11-24 10:36 - 신청
2022-12-23 14:42 - 문서재제출요청
2022-12-23 19:37 - 신청
2023-03-15 10:35 - 검토승인
2023-03-24 16:03 - 심의승인</x:v>
      </x:c>
    </x:row>
    <x:row r="2947" ht="42" customHeight="1">
      <x:c r="A2947" s="2" t="str">
        <x:v>53cebb7d7e66cdef0a95f775</x:v>
      </x:c>
      <x:c r="B2947" s="2" t="str">
        <x:v>감축량 인증</x:v>
      </x:c>
      <x:c r="C2947" s="2" t="str">
        <x:v>국외</x:v>
      </x:c>
      <x:c r="D2947" s="7" t="str">
        <x:v>기후변화센터의 동남아시아 개발도상국(미얀마) 내 고효율 쿡스토브 보급 사업 CPA-025</x:v>
      </x:c>
      <x:c r="E2947" s="2" t="str">
        <x:v>533</x:v>
      </x:c>
      <x:c r="F2947" s="2" t="str">
        <x:v>2022-10-17</x:v>
      </x:c>
      <x:c r="G2947" s="2" t="str">
        <x:v>2022</x:v>
      </x:c>
      <x:c r="H2947" s="2" t="str">
        <x:v>10</x:v>
      </x:c>
      <x:c r="I2947" s="2" t="str">
        <x:v>심의승인</x:v>
      </x:c>
      <x:c r="J2947" s="2" t="str">
        <x:v>심의승인</x:v>
      </x:c>
      <x:c r="K2947" s="2" t="str">
        <x:f>IF(OR(J2947="심의승인",J2947="반려",J2947="반려완료",J2947="심의완료"),"종결 표시",IF(OR(J2947="기후부협의",J2947="문서재제출요청",J2947="보류",J2947="보완요청",J2947="보완완료",J2947="평가중",J2947="반려요청",J2947="평가필요",LEFT(J2947,5)="보완요청("),"미종결 표시","상태 확인 필요"))</x:f>
        <x:v>종결 표시</x:v>
      </x:c>
      <x:c r="L2947" s="2" t="str">
        <x:v>KRIC</x:v>
      </x:c>
      <x:c r="M2947" s="2"/>
      <x:c r="N2947" s="8" t="n">
        <x:f>DATE(2026,10,15)-DATE(2022,10,17)</x:f>
        <x:v>1459</x:v>
      </x:c>
      <x:c r="O2947" s="2"/>
      <x:c r="P2947" s="2"/>
      <x:c r="Q2947" s="2" t="str">
        <x:v>산업전환_외부사업관리Tool_260707_이너젠 수정_LJY_261013.xlsx</x:v>
      </x:c>
      <x:c r="R2947" s="2" t="str">
        <x:v>국외인증</x:v>
      </x:c>
      <x:c r="S2947" s="8" t="n">
        <x:v>534</x:v>
      </x:c>
      <x:c r="T2947" s="2" t="str">
        <x:v>(10/19)</x:v>
      </x:c>
      <x:c r="U2947" s="2" t="str">
        <x:v>2022 지정: (10/19)</x:v>
      </x:c>
      <x:c r="V2947" s="2" t="str">
        <x:v>2023-03-24</x:v>
      </x:c>
      <x:c r="W2947" s="2" t="str"/>
      <x:c r="X2947" s="2" t="str">
        <x:v>종결 근거 보관</x:v>
      </x:c>
      <x:c r="Y2947" s="2" t="str">
        <x:v>ad210cd9ec132cfd447541c8984dc53d30aff0f4fb2dc92d254d49275cc55976</x:v>
      </x:c>
      <x:c r="Z2947" s="2" t="n">
        <x:f>SUBTOTAL(103,A2947)</x:f>
        <x:v>1</x:v>
      </x:c>
      <x:c r="AA2947" s="2" t="str">
        <x:f>IF(K2947&lt;&gt;"미종결 표시","대상 아님",IF(N2947="","신청일 확인",IF(NOT(ISNUMBER('종합 현황'!$H$5)),"관찰기준 확인",IF('종합 현황'!$H$5&lt;1,"관찰기준 확인",IF(N2947&gt;'종합 현황'!$H$5,"내부 관찰 대상","내부 관찰일 이하")))))</x:f>
        <x:v>대상 아님</x:v>
      </x:c>
      <x:c r="AB2947" s="2" t="str">
        <x:v>2022-10-17 13:43 - 신청
2022-11-11 10:11 - 문서재제출요청
2022-11-24 10:36 - 신청
2022-12-23 14:41 - 문서재제출요청
2022-12-23 19:38 - 신청
2023-03-15 10:35 - 검토승인
2023-03-24 16:04 - 심의승인</x:v>
      </x:c>
    </x:row>
    <x:row r="2948" ht="42" customHeight="1">
      <x:c r="A2948" s="2" t="str">
        <x:v>a64de560d86e8cdd403841bd</x:v>
      </x:c>
      <x:c r="B2948" s="2" t="str">
        <x:v>감축량 인증</x:v>
      </x:c>
      <x:c r="C2948" s="2" t="str">
        <x:v>국외</x:v>
      </x:c>
      <x:c r="D2948" s="7" t="str">
        <x:v>기후변화센터의 동남아시아 개발도상국(미얀마) 내 고효율 쿡스토브 보급 사업 CPA-026</x:v>
      </x:c>
      <x:c r="E2948" s="2" t="str">
        <x:v>534</x:v>
      </x:c>
      <x:c r="F2948" s="2" t="str">
        <x:v>2022-10-17</x:v>
      </x:c>
      <x:c r="G2948" s="2" t="str">
        <x:v>2022</x:v>
      </x:c>
      <x:c r="H2948" s="2" t="str">
        <x:v>10</x:v>
      </x:c>
      <x:c r="I2948" s="2" t="str">
        <x:v>심의승인</x:v>
      </x:c>
      <x:c r="J2948" s="2" t="str">
        <x:v>심의승인</x:v>
      </x:c>
      <x:c r="K2948" s="2" t="str">
        <x:f>IF(OR(J2948="심의승인",J2948="반려",J2948="반려완료",J2948="심의완료"),"종결 표시",IF(OR(J2948="기후부협의",J2948="문서재제출요청",J2948="보류",J2948="보완요청",J2948="보완완료",J2948="평가중",J2948="반려요청",J2948="평가필요",LEFT(J2948,5)="보완요청("),"미종결 표시","상태 확인 필요"))</x:f>
        <x:v>종결 표시</x:v>
      </x:c>
      <x:c r="L2948" s="2" t="str">
        <x:v>KRIC</x:v>
      </x:c>
      <x:c r="M2948" s="2"/>
      <x:c r="N2948" s="8" t="n">
        <x:f>DATE(2026,10,15)-DATE(2022,10,17)</x:f>
        <x:v>1459</x:v>
      </x:c>
      <x:c r="O2948" s="2"/>
      <x:c r="P2948" s="2"/>
      <x:c r="Q2948" s="2" t="str">
        <x:v>산업전환_외부사업관리Tool_260707_이너젠 수정_LJY_261013.xlsx</x:v>
      </x:c>
      <x:c r="R2948" s="2" t="str">
        <x:v>국외인증</x:v>
      </x:c>
      <x:c r="S2948" s="8" t="n">
        <x:v>535</x:v>
      </x:c>
      <x:c r="T2948" s="2" t="str">
        <x:v>(10/19)</x:v>
      </x:c>
      <x:c r="U2948" s="2" t="str">
        <x:v>2022 지정: (10/19)</x:v>
      </x:c>
      <x:c r="V2948" s="2" t="str">
        <x:v>2023-03-24</x:v>
      </x:c>
      <x:c r="W2948" s="2" t="str"/>
      <x:c r="X2948" s="2" t="str">
        <x:v>종결 근거 보관</x:v>
      </x:c>
      <x:c r="Y2948" s="2" t="str">
        <x:v>ad210cd9ec132cfd447541c8984dc53d30aff0f4fb2dc92d254d49275cc55976</x:v>
      </x:c>
      <x:c r="Z2948" s="2" t="n">
        <x:f>SUBTOTAL(103,A2948)</x:f>
        <x:v>1</x:v>
      </x:c>
      <x:c r="AA2948" s="2" t="str">
        <x:f>IF(K2948&lt;&gt;"미종결 표시","대상 아님",IF(N2948="","신청일 확인",IF(NOT(ISNUMBER('종합 현황'!$H$5)),"관찰기준 확인",IF('종합 현황'!$H$5&lt;1,"관찰기준 확인",IF(N2948&gt;'종합 현황'!$H$5,"내부 관찰 대상","내부 관찰일 이하")))))</x:f>
        <x:v>대상 아님</x:v>
      </x:c>
      <x:c r="AB2948" s="2" t="str">
        <x:v>2022-10-17 13:44 - 신청
2022-11-11 10:11 - 문서재제출요청
2022-11-24 10:36 - 신청
2022-12-23 14:41 - 문서재제출요청
2022-12-23 19:38 - 신청
2023-03-15 10:36 - 검토승인
2023-03-24 16:05 - 심의승인</x:v>
      </x:c>
    </x:row>
    <x:row r="2949" ht="42" customHeight="1">
      <x:c r="A2949" s="2" t="str">
        <x:v>6adffc442ddcc8786783d02f</x:v>
      </x:c>
      <x:c r="B2949" s="2" t="str">
        <x:v>감축량 인증</x:v>
      </x:c>
      <x:c r="C2949" s="2" t="str">
        <x:v>국외</x:v>
      </x:c>
      <x:c r="D2949" s="7" t="str">
        <x:v>기후변화센터의 동남아시아 개발도상국(미얀마) 내 고효율 쿡스토브 보급 사업 CPA-027</x:v>
      </x:c>
      <x:c r="E2949" s="2" t="str">
        <x:v>535</x:v>
      </x:c>
      <x:c r="F2949" s="2" t="str">
        <x:v>2022-10-17</x:v>
      </x:c>
      <x:c r="G2949" s="2" t="str">
        <x:v>2022</x:v>
      </x:c>
      <x:c r="H2949" s="2" t="str">
        <x:v>10</x:v>
      </x:c>
      <x:c r="I2949" s="2" t="str">
        <x:v>심의승인</x:v>
      </x:c>
      <x:c r="J2949" s="2" t="str">
        <x:v>심의승인</x:v>
      </x:c>
      <x:c r="K2949" s="2" t="str">
        <x:f>IF(OR(J2949="심의승인",J2949="반려",J2949="반려완료",J2949="심의완료"),"종결 표시",IF(OR(J2949="기후부협의",J2949="문서재제출요청",J2949="보류",J2949="보완요청",J2949="보완완료",J2949="평가중",J2949="반려요청",J2949="평가필요",LEFT(J2949,5)="보완요청("),"미종결 표시","상태 확인 필요"))</x:f>
        <x:v>종결 표시</x:v>
      </x:c>
      <x:c r="L2949" s="2" t="str">
        <x:v>KRIC</x:v>
      </x:c>
      <x:c r="M2949" s="2"/>
      <x:c r="N2949" s="8" t="n">
        <x:f>DATE(2026,10,15)-DATE(2022,10,17)</x:f>
        <x:v>1459</x:v>
      </x:c>
      <x:c r="O2949" s="2"/>
      <x:c r="P2949" s="2"/>
      <x:c r="Q2949" s="2" t="str">
        <x:v>산업전환_외부사업관리Tool_260707_이너젠 수정_LJY_261013.xlsx</x:v>
      </x:c>
      <x:c r="R2949" s="2" t="str">
        <x:v>국외인증</x:v>
      </x:c>
      <x:c r="S2949" s="8" t="n">
        <x:v>536</x:v>
      </x:c>
      <x:c r="T2949" s="2" t="str">
        <x:v>(10/19)</x:v>
      </x:c>
      <x:c r="U2949" s="2" t="str">
        <x:v>2022 지정: (10/19)</x:v>
      </x:c>
      <x:c r="V2949" s="2" t="str">
        <x:v>2023-03-24</x:v>
      </x:c>
      <x:c r="W2949" s="2" t="str"/>
      <x:c r="X2949" s="2" t="str">
        <x:v>종결 근거 보관</x:v>
      </x:c>
      <x:c r="Y2949" s="2" t="str">
        <x:v>ad210cd9ec132cfd447541c8984dc53d30aff0f4fb2dc92d254d49275cc55976</x:v>
      </x:c>
      <x:c r="Z2949" s="2" t="n">
        <x:f>SUBTOTAL(103,A2949)</x:f>
        <x:v>1</x:v>
      </x:c>
      <x:c r="AA2949" s="2" t="str">
        <x:f>IF(K2949&lt;&gt;"미종결 표시","대상 아님",IF(N2949="","신청일 확인",IF(NOT(ISNUMBER('종합 현황'!$H$5)),"관찰기준 확인",IF('종합 현황'!$H$5&lt;1,"관찰기준 확인",IF(N2949&gt;'종합 현황'!$H$5,"내부 관찰 대상","내부 관찰일 이하")))))</x:f>
        <x:v>대상 아님</x:v>
      </x:c>
      <x:c r="AB2949" s="2" t="str">
        <x:v>2022-10-17 13:44 - 신청
2022-11-11 10:12 - 문서재제출요청
2022-11-24 10:36 - 신청
2022-12-23 14:41 - 문서재제출요청
2022-12-23 19:38 - 신청
2023-03-15 10:36 - 검토승인
2023-03-24 16:06 - 심의승인</x:v>
      </x:c>
    </x:row>
    <x:row r="2950" ht="42" customHeight="1">
      <x:c r="A2950" s="2" t="str">
        <x:v>8a28390e39a5f9f49d00ec21</x:v>
      </x:c>
      <x:c r="B2950" s="2" t="str">
        <x:v>감축량 인증</x:v>
      </x:c>
      <x:c r="C2950" s="2" t="str">
        <x:v>국외</x:v>
      </x:c>
      <x:c r="D2950" s="7" t="str">
        <x:v>기후변화센터의 동남아시아 개발도상국(미얀마) 내 고효율 쿡스토브 보급 사업 CPA-028</x:v>
      </x:c>
      <x:c r="E2950" s="2" t="str">
        <x:v>536</x:v>
      </x:c>
      <x:c r="F2950" s="2" t="str">
        <x:v>2022-10-17</x:v>
      </x:c>
      <x:c r="G2950" s="2" t="str">
        <x:v>2022</x:v>
      </x:c>
      <x:c r="H2950" s="2" t="str">
        <x:v>10</x:v>
      </x:c>
      <x:c r="I2950" s="2" t="str">
        <x:v>심의승인</x:v>
      </x:c>
      <x:c r="J2950" s="2" t="str">
        <x:v>심의승인</x:v>
      </x:c>
      <x:c r="K2950" s="2" t="str">
        <x:f>IF(OR(J2950="심의승인",J2950="반려",J2950="반려완료",J2950="심의완료"),"종결 표시",IF(OR(J2950="기후부협의",J2950="문서재제출요청",J2950="보류",J2950="보완요청",J2950="보완완료",J2950="평가중",J2950="반려요청",J2950="평가필요",LEFT(J2950,5)="보완요청("),"미종결 표시","상태 확인 필요"))</x:f>
        <x:v>종결 표시</x:v>
      </x:c>
      <x:c r="L2950" s="2" t="str">
        <x:v>KRIC</x:v>
      </x:c>
      <x:c r="M2950" s="2"/>
      <x:c r="N2950" s="8" t="n">
        <x:f>DATE(2026,10,15)-DATE(2022,10,17)</x:f>
        <x:v>1459</x:v>
      </x:c>
      <x:c r="O2950" s="2"/>
      <x:c r="P2950" s="2"/>
      <x:c r="Q2950" s="2" t="str">
        <x:v>산업전환_외부사업관리Tool_260707_이너젠 수정_LJY_261013.xlsx</x:v>
      </x:c>
      <x:c r="R2950" s="2" t="str">
        <x:v>국외인증</x:v>
      </x:c>
      <x:c r="S2950" s="8" t="n">
        <x:v>537</x:v>
      </x:c>
      <x:c r="T2950" s="2" t="str">
        <x:v>(10/19)</x:v>
      </x:c>
      <x:c r="U2950" s="2" t="str">
        <x:v>2022 지정: (10/19)</x:v>
      </x:c>
      <x:c r="V2950" s="2" t="str">
        <x:v>2023-03-24</x:v>
      </x:c>
      <x:c r="W2950" s="2" t="str"/>
      <x:c r="X2950" s="2" t="str">
        <x:v>종결 근거 보관</x:v>
      </x:c>
      <x:c r="Y2950" s="2" t="str">
        <x:v>ad210cd9ec132cfd447541c8984dc53d30aff0f4fb2dc92d254d49275cc55976</x:v>
      </x:c>
      <x:c r="Z2950" s="2" t="n">
        <x:f>SUBTOTAL(103,A2950)</x:f>
        <x:v>1</x:v>
      </x:c>
      <x:c r="AA2950" s="2" t="str">
        <x:f>IF(K2950&lt;&gt;"미종결 표시","대상 아님",IF(N2950="","신청일 확인",IF(NOT(ISNUMBER('종합 현황'!$H$5)),"관찰기준 확인",IF('종합 현황'!$H$5&lt;1,"관찰기준 확인",IF(N2950&gt;'종합 현황'!$H$5,"내부 관찰 대상","내부 관찰일 이하")))))</x:f>
        <x:v>대상 아님</x:v>
      </x:c>
      <x:c r="AB2950" s="2" t="str">
        <x:v>2022-10-17 13:44 - 신청
2022-11-11 10:12 - 문서재제출요청
2022-11-24 10:37 - 신청
2022-12-23 14:40 - 문서재제출요청
2022-12-23 19:39 - 신청
2023-03-15 10:36 - 검토승인
2023-03-24 16:06 - 심의승인</x:v>
      </x:c>
    </x:row>
    <x:row r="2951" ht="42" customHeight="1">
      <x:c r="A2951" s="2" t="str">
        <x:v>6b92ffde0795ce08bec01ff7</x:v>
      </x:c>
      <x:c r="B2951" s="2" t="str">
        <x:v>감축량 인증</x:v>
      </x:c>
      <x:c r="C2951" s="2" t="str">
        <x:v>국외</x:v>
      </x:c>
      <x:c r="D2951" s="7" t="str">
        <x:v>기후변화센터의 동남아시아 개발도상국(미얀마) 내 고효율 쿡스토브 보급 사업 CPA-029</x:v>
      </x:c>
      <x:c r="E2951" s="2" t="str">
        <x:v>537</x:v>
      </x:c>
      <x:c r="F2951" s="2" t="str">
        <x:v>2022-10-17</x:v>
      </x:c>
      <x:c r="G2951" s="2" t="str">
        <x:v>2022</x:v>
      </x:c>
      <x:c r="H2951" s="2" t="str">
        <x:v>10</x:v>
      </x:c>
      <x:c r="I2951" s="2" t="str">
        <x:v>심의승인</x:v>
      </x:c>
      <x:c r="J2951" s="2" t="str">
        <x:v>심의승인</x:v>
      </x:c>
      <x:c r="K2951" s="2" t="str">
        <x:f>IF(OR(J2951="심의승인",J2951="반려",J2951="반려완료",J2951="심의완료"),"종결 표시",IF(OR(J2951="기후부협의",J2951="문서재제출요청",J2951="보류",J2951="보완요청",J2951="보완완료",J2951="평가중",J2951="반려요청",J2951="평가필요",LEFT(J2951,5)="보완요청("),"미종결 표시","상태 확인 필요"))</x:f>
        <x:v>종결 표시</x:v>
      </x:c>
      <x:c r="L2951" s="2" t="str">
        <x:v>KRIC</x:v>
      </x:c>
      <x:c r="M2951" s="2"/>
      <x:c r="N2951" s="8" t="n">
        <x:f>DATE(2026,10,15)-DATE(2022,10,17)</x:f>
        <x:v>1459</x:v>
      </x:c>
      <x:c r="O2951" s="2"/>
      <x:c r="P2951" s="2"/>
      <x:c r="Q2951" s="2" t="str">
        <x:v>산업전환_외부사업관리Tool_260707_이너젠 수정_LJY_261013.xlsx</x:v>
      </x:c>
      <x:c r="R2951" s="2" t="str">
        <x:v>국외인증</x:v>
      </x:c>
      <x:c r="S2951" s="8" t="n">
        <x:v>538</x:v>
      </x:c>
      <x:c r="T2951" s="2" t="str">
        <x:v>(10/19)</x:v>
      </x:c>
      <x:c r="U2951" s="2" t="str">
        <x:v>2022 지정: (10/19)</x:v>
      </x:c>
      <x:c r="V2951" s="2" t="str">
        <x:v>2023-03-24</x:v>
      </x:c>
      <x:c r="W2951" s="2" t="str"/>
      <x:c r="X2951" s="2" t="str">
        <x:v>종결 근거 보관</x:v>
      </x:c>
      <x:c r="Y2951" s="2" t="str">
        <x:v>ad210cd9ec132cfd447541c8984dc53d30aff0f4fb2dc92d254d49275cc55976</x:v>
      </x:c>
      <x:c r="Z2951" s="2" t="n">
        <x:f>SUBTOTAL(103,A2951)</x:f>
        <x:v>1</x:v>
      </x:c>
      <x:c r="AA2951" s="2" t="str">
        <x:f>IF(K2951&lt;&gt;"미종결 표시","대상 아님",IF(N2951="","신청일 확인",IF(NOT(ISNUMBER('종합 현황'!$H$5)),"관찰기준 확인",IF('종합 현황'!$H$5&lt;1,"관찰기준 확인",IF(N2951&gt;'종합 현황'!$H$5,"내부 관찰 대상","내부 관찰일 이하")))))</x:f>
        <x:v>대상 아님</x:v>
      </x:c>
      <x:c r="AB2951" s="2" t="str">
        <x:v>2022-10-17 13:45 - 신청
2022-11-11 10:13 - 문서재제출요청
2022-11-24 10:37 - 신청
2022-12-23 14:40 - 문서재제출요청
2022-12-23 19:39 - 신청
2023-03-15 10:37 - 검토승인
2023-03-24 16:07 - 심의승인</x:v>
      </x:c>
    </x:row>
    <x:row r="2952" ht="42" customHeight="1">
      <x:c r="A2952" s="2" t="str">
        <x:v>cf2593eef59905c7811e4e63</x:v>
      </x:c>
      <x:c r="B2952" s="2" t="str">
        <x:v>감축량 인증</x:v>
      </x:c>
      <x:c r="C2952" s="2" t="str">
        <x:v>국외</x:v>
      </x:c>
      <x:c r="D2952" s="7" t="str">
        <x:v>기후변화센터의 동남아시아 개발도상국(미얀마) 내 고효율 쿡스토브 보급 사업 CPA-030</x:v>
      </x:c>
      <x:c r="E2952" s="2" t="str">
        <x:v>538</x:v>
      </x:c>
      <x:c r="F2952" s="2" t="str">
        <x:v>2022-10-17</x:v>
      </x:c>
      <x:c r="G2952" s="2" t="str">
        <x:v>2022</x:v>
      </x:c>
      <x:c r="H2952" s="2" t="str">
        <x:v>10</x:v>
      </x:c>
      <x:c r="I2952" s="2" t="str">
        <x:v>심의승인</x:v>
      </x:c>
      <x:c r="J2952" s="2" t="str">
        <x:v>심의승인</x:v>
      </x:c>
      <x:c r="K2952" s="2" t="str">
        <x:f>IF(OR(J2952="심의승인",J2952="반려",J2952="반려완료",J2952="심의완료"),"종결 표시",IF(OR(J2952="기후부협의",J2952="문서재제출요청",J2952="보류",J2952="보완요청",J2952="보완완료",J2952="평가중",J2952="반려요청",J2952="평가필요",LEFT(J2952,5)="보완요청("),"미종결 표시","상태 확인 필요"))</x:f>
        <x:v>종결 표시</x:v>
      </x:c>
      <x:c r="L2952" s="2" t="str">
        <x:v>KRIC</x:v>
      </x:c>
      <x:c r="M2952" s="2"/>
      <x:c r="N2952" s="8" t="n">
        <x:f>DATE(2026,10,15)-DATE(2022,10,17)</x:f>
        <x:v>1459</x:v>
      </x:c>
      <x:c r="O2952" s="2"/>
      <x:c r="P2952" s="2"/>
      <x:c r="Q2952" s="2" t="str">
        <x:v>산업전환_외부사업관리Tool_260707_이너젠 수정_LJY_261013.xlsx</x:v>
      </x:c>
      <x:c r="R2952" s="2" t="str">
        <x:v>국외인증</x:v>
      </x:c>
      <x:c r="S2952" s="8" t="n">
        <x:v>539</x:v>
      </x:c>
      <x:c r="T2952" s="2" t="str">
        <x:v>(10/19)</x:v>
      </x:c>
      <x:c r="U2952" s="2" t="str">
        <x:v>2022 지정: (10/19)</x:v>
      </x:c>
      <x:c r="V2952" s="2" t="str">
        <x:v>2023-03-24</x:v>
      </x:c>
      <x:c r="W2952" s="2" t="str"/>
      <x:c r="X2952" s="2" t="str">
        <x:v>종결 근거 보관</x:v>
      </x:c>
      <x:c r="Y2952" s="2" t="str">
        <x:v>ad210cd9ec132cfd447541c8984dc53d30aff0f4fb2dc92d254d49275cc55976</x:v>
      </x:c>
      <x:c r="Z2952" s="2" t="n">
        <x:f>SUBTOTAL(103,A2952)</x:f>
        <x:v>1</x:v>
      </x:c>
      <x:c r="AA2952" s="2" t="str">
        <x:f>IF(K2952&lt;&gt;"미종결 표시","대상 아님",IF(N2952="","신청일 확인",IF(NOT(ISNUMBER('종합 현황'!$H$5)),"관찰기준 확인",IF('종합 현황'!$H$5&lt;1,"관찰기준 확인",IF(N2952&gt;'종합 현황'!$H$5,"내부 관찰 대상","내부 관찰일 이하")))))</x:f>
        <x:v>대상 아님</x:v>
      </x:c>
      <x:c r="AB2952" s="2" t="str">
        <x:v>2022-10-17 13:45 - 신청
2022-11-11 10:13 - 문서재제출요청
2022-11-24 10:37 - 신청
2022-12-23 14:40 - 문서재제출요청
2022-12-23 19:40 - 신청
2023-03-15 10:37 - 검토승인
2023-03-24 16:07 - 심의승인</x:v>
      </x:c>
    </x:row>
    <x:row r="2953" ht="42" customHeight="1">
      <x:c r="A2953" s="2" t="str">
        <x:v>9dc681fe9052a8ae7097e41e</x:v>
      </x:c>
      <x:c r="B2953" s="2" t="str">
        <x:v>감축량 인증</x:v>
      </x:c>
      <x:c r="C2953" s="2" t="str">
        <x:v>국외</x:v>
      </x:c>
      <x:c r="D2953" s="7" t="str">
        <x:v>기후변화센터의 동남아시아 개발도상국(미얀마) 내 고효율 쿡스토브 보급 사업 CPA-031</x:v>
      </x:c>
      <x:c r="E2953" s="2" t="str">
        <x:v>539</x:v>
      </x:c>
      <x:c r="F2953" s="2" t="str">
        <x:v>2022-10-17</x:v>
      </x:c>
      <x:c r="G2953" s="2" t="str">
        <x:v>2022</x:v>
      </x:c>
      <x:c r="H2953" s="2" t="str">
        <x:v>10</x:v>
      </x:c>
      <x:c r="I2953" s="2" t="str">
        <x:v>심의승인</x:v>
      </x:c>
      <x:c r="J2953" s="2" t="str">
        <x:v>심의승인</x:v>
      </x:c>
      <x:c r="K2953" s="2" t="str">
        <x:f>IF(OR(J2953="심의승인",J2953="반려",J2953="반려완료",J2953="심의완료"),"종결 표시",IF(OR(J2953="기후부협의",J2953="문서재제출요청",J2953="보류",J2953="보완요청",J2953="보완완료",J2953="평가중",J2953="반려요청",J2953="평가필요",LEFT(J2953,5)="보완요청("),"미종결 표시","상태 확인 필요"))</x:f>
        <x:v>종결 표시</x:v>
      </x:c>
      <x:c r="L2953" s="2" t="str">
        <x:v>KRIC</x:v>
      </x:c>
      <x:c r="M2953" s="2"/>
      <x:c r="N2953" s="8" t="n">
        <x:f>DATE(2026,10,15)-DATE(2022,10,17)</x:f>
        <x:v>1459</x:v>
      </x:c>
      <x:c r="O2953" s="2"/>
      <x:c r="P2953" s="2"/>
      <x:c r="Q2953" s="2" t="str">
        <x:v>산업전환_외부사업관리Tool_260707_이너젠 수정_LJY_261013.xlsx</x:v>
      </x:c>
      <x:c r="R2953" s="2" t="str">
        <x:v>국외인증</x:v>
      </x:c>
      <x:c r="S2953" s="8" t="n">
        <x:v>540</x:v>
      </x:c>
      <x:c r="T2953" s="2" t="str">
        <x:v>(10/19)</x:v>
      </x:c>
      <x:c r="U2953" s="2" t="str">
        <x:v>2022 지정: (10/19)</x:v>
      </x:c>
      <x:c r="V2953" s="2" t="str">
        <x:v>2023-03-24</x:v>
      </x:c>
      <x:c r="W2953" s="2" t="str"/>
      <x:c r="X2953" s="2" t="str">
        <x:v>종결 근거 보관</x:v>
      </x:c>
      <x:c r="Y2953" s="2" t="str">
        <x:v>ad210cd9ec132cfd447541c8984dc53d30aff0f4fb2dc92d254d49275cc55976</x:v>
      </x:c>
      <x:c r="Z2953" s="2" t="n">
        <x:f>SUBTOTAL(103,A2953)</x:f>
        <x:v>1</x:v>
      </x:c>
      <x:c r="AA2953" s="2" t="str">
        <x:f>IF(K2953&lt;&gt;"미종결 표시","대상 아님",IF(N2953="","신청일 확인",IF(NOT(ISNUMBER('종합 현황'!$H$5)),"관찰기준 확인",IF('종합 현황'!$H$5&lt;1,"관찰기준 확인",IF(N2953&gt;'종합 현황'!$H$5,"내부 관찰 대상","내부 관찰일 이하")))))</x:f>
        <x:v>대상 아님</x:v>
      </x:c>
      <x:c r="AB2953" s="2" t="str">
        <x:v>2022-10-17 13:46 - 신청
2022-11-11 10:14 - 문서재제출요청
2022-11-24 10:37 - 신청
2022-12-23 14:40 - 문서재제출요청
2022-12-23 19:40 - 신청
2023-03-15 10:38 - 검토승인
2023-03-24 16:08 - 심의승인</x:v>
      </x:c>
    </x:row>
    <x:row r="2954" ht="42" customHeight="1">
      <x:c r="A2954" s="2" t="str">
        <x:v>48e6b931983489ea6ef2ff2b</x:v>
      </x:c>
      <x:c r="B2954" s="2" t="str">
        <x:v>감축량 인증</x:v>
      </x:c>
      <x:c r="C2954" s="2" t="str">
        <x:v>국외</x:v>
      </x:c>
      <x:c r="D2954" s="7" t="str">
        <x:v>기후변화센터의 동남아시아 개발도상국(미얀마) 내 고효율 쿡스토브 보급 사업 CPA-032</x:v>
      </x:c>
      <x:c r="E2954" s="2" t="str">
        <x:v>540</x:v>
      </x:c>
      <x:c r="F2954" s="2" t="str">
        <x:v>2022-10-17</x:v>
      </x:c>
      <x:c r="G2954" s="2" t="str">
        <x:v>2022</x:v>
      </x:c>
      <x:c r="H2954" s="2" t="str">
        <x:v>10</x:v>
      </x:c>
      <x:c r="I2954" s="2" t="str">
        <x:v>심의승인</x:v>
      </x:c>
      <x:c r="J2954" s="2" t="str">
        <x:v>심의승인</x:v>
      </x:c>
      <x:c r="K2954" s="2" t="str">
        <x:f>IF(OR(J2954="심의승인",J2954="반려",J2954="반려완료",J2954="심의완료"),"종결 표시",IF(OR(J2954="기후부협의",J2954="문서재제출요청",J2954="보류",J2954="보완요청",J2954="보완완료",J2954="평가중",J2954="반려요청",J2954="평가필요",LEFT(J2954,5)="보완요청("),"미종결 표시","상태 확인 필요"))</x:f>
        <x:v>종결 표시</x:v>
      </x:c>
      <x:c r="L2954" s="2" t="str">
        <x:v>KRIC</x:v>
      </x:c>
      <x:c r="M2954" s="2"/>
      <x:c r="N2954" s="8" t="n">
        <x:f>DATE(2026,10,15)-DATE(2022,10,17)</x:f>
        <x:v>1459</x:v>
      </x:c>
      <x:c r="O2954" s="2"/>
      <x:c r="P2954" s="2"/>
      <x:c r="Q2954" s="2" t="str">
        <x:v>산업전환_외부사업관리Tool_260707_이너젠 수정_LJY_261013.xlsx</x:v>
      </x:c>
      <x:c r="R2954" s="2" t="str">
        <x:v>국외인증</x:v>
      </x:c>
      <x:c r="S2954" s="8" t="n">
        <x:v>541</x:v>
      </x:c>
      <x:c r="T2954" s="2" t="str">
        <x:v>(10/19)</x:v>
      </x:c>
      <x:c r="U2954" s="2" t="str">
        <x:v>2022 지정: (10/19)</x:v>
      </x:c>
      <x:c r="V2954" s="2" t="str">
        <x:v>2023-03-24</x:v>
      </x:c>
      <x:c r="W2954" s="2" t="str"/>
      <x:c r="X2954" s="2" t="str">
        <x:v>종결 근거 보관</x:v>
      </x:c>
      <x:c r="Y2954" s="2" t="str">
        <x:v>ad210cd9ec132cfd447541c8984dc53d30aff0f4fb2dc92d254d49275cc55976</x:v>
      </x:c>
      <x:c r="Z2954" s="2" t="n">
        <x:f>SUBTOTAL(103,A2954)</x:f>
        <x:v>1</x:v>
      </x:c>
      <x:c r="AA2954" s="2" t="str">
        <x:f>IF(K2954&lt;&gt;"미종결 표시","대상 아님",IF(N2954="","신청일 확인",IF(NOT(ISNUMBER('종합 현황'!$H$5)),"관찰기준 확인",IF('종합 현황'!$H$5&lt;1,"관찰기준 확인",IF(N2954&gt;'종합 현황'!$H$5,"내부 관찰 대상","내부 관찰일 이하")))))</x:f>
        <x:v>대상 아님</x:v>
      </x:c>
      <x:c r="AB2954" s="2" t="str">
        <x:v>2022-10-17 13:46 - 신청
2022-11-11 10:14 - 문서재제출요청
2022-11-24 10:37 - 신청
2022-12-23 14:39 - 문서재제출요청
2022-12-23 19:40 - 신청
2023-03-15 10:39 - 검토승인
2023-03-24 16:08 - 심의승인</x:v>
      </x:c>
    </x:row>
    <x:row r="2955" ht="42" customHeight="1">
      <x:c r="A2955" s="2" t="str">
        <x:v>84884ed9c469099c039dd973</x:v>
      </x:c>
      <x:c r="B2955" s="2" t="str">
        <x:v>감축량 인증</x:v>
      </x:c>
      <x:c r="C2955" s="2" t="str">
        <x:v>국외</x:v>
      </x:c>
      <x:c r="D2955" s="7" t="str">
        <x:v>기후변화센터의 동남아시아 개발도상국(미얀마) 내 고효율 쿡스토브 보급 사업 CPA-033</x:v>
      </x:c>
      <x:c r="E2955" s="2" t="str">
        <x:v>541</x:v>
      </x:c>
      <x:c r="F2955" s="2" t="str">
        <x:v>2022-10-17</x:v>
      </x:c>
      <x:c r="G2955" s="2" t="str">
        <x:v>2022</x:v>
      </x:c>
      <x:c r="H2955" s="2" t="str">
        <x:v>10</x:v>
      </x:c>
      <x:c r="I2955" s="2" t="str">
        <x:v>심의승인</x:v>
      </x:c>
      <x:c r="J2955" s="2" t="str">
        <x:v>심의승인</x:v>
      </x:c>
      <x:c r="K2955" s="2" t="str">
        <x:f>IF(OR(J2955="심의승인",J2955="반려",J2955="반려완료",J2955="심의완료"),"종결 표시",IF(OR(J2955="기후부협의",J2955="문서재제출요청",J2955="보류",J2955="보완요청",J2955="보완완료",J2955="평가중",J2955="반려요청",J2955="평가필요",LEFT(J2955,5)="보완요청("),"미종결 표시","상태 확인 필요"))</x:f>
        <x:v>종결 표시</x:v>
      </x:c>
      <x:c r="L2955" s="2" t="str">
        <x:v>KRIC</x:v>
      </x:c>
      <x:c r="M2955" s="2"/>
      <x:c r="N2955" s="8" t="n">
        <x:f>DATE(2026,10,15)-DATE(2022,10,17)</x:f>
        <x:v>1459</x:v>
      </x:c>
      <x:c r="O2955" s="2"/>
      <x:c r="P2955" s="2"/>
      <x:c r="Q2955" s="2" t="str">
        <x:v>산업전환_외부사업관리Tool_260707_이너젠 수정_LJY_261013.xlsx</x:v>
      </x:c>
      <x:c r="R2955" s="2" t="str">
        <x:v>국외인증</x:v>
      </x:c>
      <x:c r="S2955" s="8" t="n">
        <x:v>542</x:v>
      </x:c>
      <x:c r="T2955" s="2" t="str">
        <x:v>(10/19)</x:v>
      </x:c>
      <x:c r="U2955" s="2" t="str">
        <x:v>2022 지정: (10/19)</x:v>
      </x:c>
      <x:c r="V2955" s="2" t="str">
        <x:v>2023-03-24</x:v>
      </x:c>
      <x:c r="W2955" s="2" t="str"/>
      <x:c r="X2955" s="2" t="str">
        <x:v>종결 근거 보관</x:v>
      </x:c>
      <x:c r="Y2955" s="2" t="str">
        <x:v>ad210cd9ec132cfd447541c8984dc53d30aff0f4fb2dc92d254d49275cc55976</x:v>
      </x:c>
      <x:c r="Z2955" s="2" t="n">
        <x:f>SUBTOTAL(103,A2955)</x:f>
        <x:v>1</x:v>
      </x:c>
      <x:c r="AA2955" s="2" t="str">
        <x:f>IF(K2955&lt;&gt;"미종결 표시","대상 아님",IF(N2955="","신청일 확인",IF(NOT(ISNUMBER('종합 현황'!$H$5)),"관찰기준 확인",IF('종합 현황'!$H$5&lt;1,"관찰기준 확인",IF(N2955&gt;'종합 현황'!$H$5,"내부 관찰 대상","내부 관찰일 이하")))))</x:f>
        <x:v>대상 아님</x:v>
      </x:c>
      <x:c r="AB2955" s="2" t="str">
        <x:v>2022-10-17 13:46 - 신청
2022-11-11 10:15 - 문서재제출요청
2022-11-24 10:38 - 신청
2022-12-23 14:39 - 문서재제출요청
2022-12-23 19:40 - 신청
2023-03-15 10:39 - 검토승인
2023-03-24 16:08 - 심의승인</x:v>
      </x:c>
    </x:row>
    <x:row r="2956" ht="42" customHeight="1">
      <x:c r="A2956" s="2" t="str">
        <x:v>410bd3979d1a8806817a25e5</x:v>
      </x:c>
      <x:c r="B2956" s="2" t="str">
        <x:v>감축량 인증</x:v>
      </x:c>
      <x:c r="C2956" s="2" t="str">
        <x:v>국외</x:v>
      </x:c>
      <x:c r="D2956" s="7" t="str">
        <x:v>기후변화센터의 동남아시아 개발도상국(미얀마) 내 고효율 쿡스토브 보급 사업 CPA-034</x:v>
      </x:c>
      <x:c r="E2956" s="2" t="str">
        <x:v>542</x:v>
      </x:c>
      <x:c r="F2956" s="2" t="str">
        <x:v>2022-10-17</x:v>
      </x:c>
      <x:c r="G2956" s="2" t="str">
        <x:v>2022</x:v>
      </x:c>
      <x:c r="H2956" s="2" t="str">
        <x:v>10</x:v>
      </x:c>
      <x:c r="I2956" s="2" t="str">
        <x:v>심의승인</x:v>
      </x:c>
      <x:c r="J2956" s="2" t="str">
        <x:v>심의승인</x:v>
      </x:c>
      <x:c r="K2956" s="2" t="str">
        <x:f>IF(OR(J2956="심의승인",J2956="반려",J2956="반려완료",J2956="심의완료"),"종결 표시",IF(OR(J2956="기후부협의",J2956="문서재제출요청",J2956="보류",J2956="보완요청",J2956="보완완료",J2956="평가중",J2956="반려요청",J2956="평가필요",LEFT(J2956,5)="보완요청("),"미종결 표시","상태 확인 필요"))</x:f>
        <x:v>종결 표시</x:v>
      </x:c>
      <x:c r="L2956" s="2" t="str">
        <x:v>KRIC</x:v>
      </x:c>
      <x:c r="M2956" s="2"/>
      <x:c r="N2956" s="8" t="n">
        <x:f>DATE(2026,10,15)-DATE(2022,10,17)</x:f>
        <x:v>1459</x:v>
      </x:c>
      <x:c r="O2956" s="2"/>
      <x:c r="P2956" s="2"/>
      <x:c r="Q2956" s="2" t="str">
        <x:v>산업전환_외부사업관리Tool_260707_이너젠 수정_LJY_261013.xlsx</x:v>
      </x:c>
      <x:c r="R2956" s="2" t="str">
        <x:v>국외인증</x:v>
      </x:c>
      <x:c r="S2956" s="8" t="n">
        <x:v>543</x:v>
      </x:c>
      <x:c r="T2956" s="2" t="str">
        <x:v>(10/19)</x:v>
      </x:c>
      <x:c r="U2956" s="2" t="str">
        <x:v>2022 지정: (10/19)</x:v>
      </x:c>
      <x:c r="V2956" s="2" t="str">
        <x:v>2023-03-24</x:v>
      </x:c>
      <x:c r="W2956" s="2" t="str"/>
      <x:c r="X2956" s="2" t="str">
        <x:v>종결 근거 보관</x:v>
      </x:c>
      <x:c r="Y2956" s="2" t="str">
        <x:v>ad210cd9ec132cfd447541c8984dc53d30aff0f4fb2dc92d254d49275cc55976</x:v>
      </x:c>
      <x:c r="Z2956" s="2" t="n">
        <x:f>SUBTOTAL(103,A2956)</x:f>
        <x:v>1</x:v>
      </x:c>
      <x:c r="AA2956" s="2" t="str">
        <x:f>IF(K2956&lt;&gt;"미종결 표시","대상 아님",IF(N2956="","신청일 확인",IF(NOT(ISNUMBER('종합 현황'!$H$5)),"관찰기준 확인",IF('종합 현황'!$H$5&lt;1,"관찰기준 확인",IF(N2956&gt;'종합 현황'!$H$5,"내부 관찰 대상","내부 관찰일 이하")))))</x:f>
        <x:v>대상 아님</x:v>
      </x:c>
      <x:c r="AB2956" s="2" t="str">
        <x:v>2022-10-17 13:47 - 신청
2022-11-11 10:15 - 문서재제출요청
2022-11-24 10:38 - 신청
2022-12-23 14:39 - 문서재제출요청
2022-12-23 19:41 - 신청
2023-03-15 10:39 - 검토승인
2023-03-24 16:09 - 심의승인</x:v>
      </x:c>
    </x:row>
    <x:row r="2957" ht="42" customHeight="1">
      <x:c r="A2957" s="2" t="str">
        <x:v>bd05ca8af2119efda5d65d37</x:v>
      </x:c>
      <x:c r="B2957" s="2" t="str">
        <x:v>감축량 인증</x:v>
      </x:c>
      <x:c r="C2957" s="2" t="str">
        <x:v>국외</x:v>
      </x:c>
      <x:c r="D2957" s="7" t="str">
        <x:v>기후변화센터의 동남아시아 개발도상국(미얀마) 내 고효율 쿡스토브 보급 사업 CPA-035</x:v>
      </x:c>
      <x:c r="E2957" s="2" t="str">
        <x:v>543</x:v>
      </x:c>
      <x:c r="F2957" s="2" t="str">
        <x:v>2022-10-17</x:v>
      </x:c>
      <x:c r="G2957" s="2" t="str">
        <x:v>2022</x:v>
      </x:c>
      <x:c r="H2957" s="2" t="str">
        <x:v>10</x:v>
      </x:c>
      <x:c r="I2957" s="2" t="str">
        <x:v>심의승인</x:v>
      </x:c>
      <x:c r="J2957" s="2" t="str">
        <x:v>심의승인</x:v>
      </x:c>
      <x:c r="K2957" s="2" t="str">
        <x:f>IF(OR(J2957="심의승인",J2957="반려",J2957="반려완료",J2957="심의완료"),"종결 표시",IF(OR(J2957="기후부협의",J2957="문서재제출요청",J2957="보류",J2957="보완요청",J2957="보완완료",J2957="평가중",J2957="반려요청",J2957="평가필요",LEFT(J2957,5)="보완요청("),"미종결 표시","상태 확인 필요"))</x:f>
        <x:v>종결 표시</x:v>
      </x:c>
      <x:c r="L2957" s="2" t="str">
        <x:v>KRIC</x:v>
      </x:c>
      <x:c r="M2957" s="2"/>
      <x:c r="N2957" s="8" t="n">
        <x:f>DATE(2026,10,15)-DATE(2022,10,17)</x:f>
        <x:v>1459</x:v>
      </x:c>
      <x:c r="O2957" s="2"/>
      <x:c r="P2957" s="2"/>
      <x:c r="Q2957" s="2" t="str">
        <x:v>산업전환_외부사업관리Tool_260707_이너젠 수정_LJY_261013.xlsx</x:v>
      </x:c>
      <x:c r="R2957" s="2" t="str">
        <x:v>국외인증</x:v>
      </x:c>
      <x:c r="S2957" s="8" t="n">
        <x:v>544</x:v>
      </x:c>
      <x:c r="T2957" s="2" t="str">
        <x:v>(10/19)</x:v>
      </x:c>
      <x:c r="U2957" s="2" t="str">
        <x:v>2022 지정: (10/19)</x:v>
      </x:c>
      <x:c r="V2957" s="2" t="str">
        <x:v>2023-03-24</x:v>
      </x:c>
      <x:c r="W2957" s="2" t="str"/>
      <x:c r="X2957" s="2" t="str">
        <x:v>종결 근거 보관</x:v>
      </x:c>
      <x:c r="Y2957" s="2" t="str">
        <x:v>ad210cd9ec132cfd447541c8984dc53d30aff0f4fb2dc92d254d49275cc55976</x:v>
      </x:c>
      <x:c r="Z2957" s="2" t="n">
        <x:f>SUBTOTAL(103,A2957)</x:f>
        <x:v>1</x:v>
      </x:c>
      <x:c r="AA2957" s="2" t="str">
        <x:f>IF(K2957&lt;&gt;"미종결 표시","대상 아님",IF(N2957="","신청일 확인",IF(NOT(ISNUMBER('종합 현황'!$H$5)),"관찰기준 확인",IF('종합 현황'!$H$5&lt;1,"관찰기준 확인",IF(N2957&gt;'종합 현황'!$H$5,"내부 관찰 대상","내부 관찰일 이하")))))</x:f>
        <x:v>대상 아님</x:v>
      </x:c>
      <x:c r="AB2957" s="2" t="str">
        <x:v>2022-10-17 13:47 - 신청
2022-11-11 10:16 - 문서재제출요청
2022-11-24 10:38 - 신청
2022-12-23 14:39 - 문서재제출요청
2022-12-23 19:41 - 신청
2023-03-15 10:39 - 검토승인
2023-03-24 16:09 - 심의승인</x:v>
      </x:c>
    </x:row>
    <x:row r="2958" ht="42" customHeight="1">
      <x:c r="A2958" s="2" t="str">
        <x:v>7be8919b2e616d971d9f00f3</x:v>
      </x:c>
      <x:c r="B2958" s="2" t="str">
        <x:v>감축량 인증</x:v>
      </x:c>
      <x:c r="C2958" s="2" t="str">
        <x:v>국외</x:v>
      </x:c>
      <x:c r="D2958" s="7" t="str">
        <x:v>기후변화센터의 동남아시아 개발도상국(미얀마) 내 고효율 쿡스토브 보급 사업 CPA-036</x:v>
      </x:c>
      <x:c r="E2958" s="2" t="str">
        <x:v>544</x:v>
      </x:c>
      <x:c r="F2958" s="2" t="str">
        <x:v>2022-10-17</x:v>
      </x:c>
      <x:c r="G2958" s="2" t="str">
        <x:v>2022</x:v>
      </x:c>
      <x:c r="H2958" s="2" t="str">
        <x:v>10</x:v>
      </x:c>
      <x:c r="I2958" s="2" t="str">
        <x:v>심의승인</x:v>
      </x:c>
      <x:c r="J2958" s="2" t="str">
        <x:v>심의승인</x:v>
      </x:c>
      <x:c r="K2958" s="2" t="str">
        <x:f>IF(OR(J2958="심의승인",J2958="반려",J2958="반려완료",J2958="심의완료"),"종결 표시",IF(OR(J2958="기후부협의",J2958="문서재제출요청",J2958="보류",J2958="보완요청",J2958="보완완료",J2958="평가중",J2958="반려요청",J2958="평가필요",LEFT(J2958,5)="보완요청("),"미종결 표시","상태 확인 필요"))</x:f>
        <x:v>종결 표시</x:v>
      </x:c>
      <x:c r="L2958" s="2" t="str">
        <x:v>KRIC</x:v>
      </x:c>
      <x:c r="M2958" s="2"/>
      <x:c r="N2958" s="8" t="n">
        <x:f>DATE(2026,10,15)-DATE(2022,10,17)</x:f>
        <x:v>1459</x:v>
      </x:c>
      <x:c r="O2958" s="2"/>
      <x:c r="P2958" s="2"/>
      <x:c r="Q2958" s="2" t="str">
        <x:v>산업전환_외부사업관리Tool_260707_이너젠 수정_LJY_261013.xlsx</x:v>
      </x:c>
      <x:c r="R2958" s="2" t="str">
        <x:v>국외인증</x:v>
      </x:c>
      <x:c r="S2958" s="8" t="n">
        <x:v>545</x:v>
      </x:c>
      <x:c r="T2958" s="2" t="str">
        <x:v>(10/19)</x:v>
      </x:c>
      <x:c r="U2958" s="2" t="str">
        <x:v>2022 지정: (10/19)</x:v>
      </x:c>
      <x:c r="V2958" s="2" t="str">
        <x:v>2023-03-24</x:v>
      </x:c>
      <x:c r="W2958" s="2" t="str"/>
      <x:c r="X2958" s="2" t="str">
        <x:v>종결 근거 보관</x:v>
      </x:c>
      <x:c r="Y2958" s="2" t="str">
        <x:v>ad210cd9ec132cfd447541c8984dc53d30aff0f4fb2dc92d254d49275cc55976</x:v>
      </x:c>
      <x:c r="Z2958" s="2" t="n">
        <x:f>SUBTOTAL(103,A2958)</x:f>
        <x:v>1</x:v>
      </x:c>
      <x:c r="AA2958" s="2" t="str">
        <x:f>IF(K2958&lt;&gt;"미종결 표시","대상 아님",IF(N2958="","신청일 확인",IF(NOT(ISNUMBER('종합 현황'!$H$5)),"관찰기준 확인",IF('종합 현황'!$H$5&lt;1,"관찰기준 확인",IF(N2958&gt;'종합 현황'!$H$5,"내부 관찰 대상","내부 관찰일 이하")))))</x:f>
        <x:v>대상 아님</x:v>
      </x:c>
      <x:c r="AB2958" s="2" t="str">
        <x:v>2022-10-17 13:54 - 신청
2022-11-11 10:16 - 문서재제출요청
2022-11-24 10:38 - 신청
2022-12-23 14:38 - 문서재제출요청
2022-12-23 19:41 - 신청
2023-03-15 10:40 - 검토승인
2023-03-24 16:10 - 심의승인</x:v>
      </x:c>
    </x:row>
    <x:row r="2959" ht="42" customHeight="1">
      <x:c r="A2959" s="2" t="str">
        <x:v>821d5ab3c77cd0fb65b4bd9a</x:v>
      </x:c>
      <x:c r="B2959" s="2" t="str">
        <x:v>감축량 인증</x:v>
      </x:c>
      <x:c r="C2959" s="2" t="str">
        <x:v>국외</x:v>
      </x:c>
      <x:c r="D2959" s="7" t="str">
        <x:v>기후변화센터의 동남아시아 개발도상국(미얀마) 내 고효율 쿡스토브 보급 사업 CPA-037</x:v>
      </x:c>
      <x:c r="E2959" s="2" t="str">
        <x:v>545</x:v>
      </x:c>
      <x:c r="F2959" s="2" t="str">
        <x:v>2022-10-17</x:v>
      </x:c>
      <x:c r="G2959" s="2" t="str">
        <x:v>2022</x:v>
      </x:c>
      <x:c r="H2959" s="2" t="str">
        <x:v>10</x:v>
      </x:c>
      <x:c r="I2959" s="2" t="str">
        <x:v>심의승인</x:v>
      </x:c>
      <x:c r="J2959" s="2" t="str">
        <x:v>심의승인</x:v>
      </x:c>
      <x:c r="K2959" s="2" t="str">
        <x:f>IF(OR(J2959="심의승인",J2959="반려",J2959="반려완료",J2959="심의완료"),"종결 표시",IF(OR(J2959="기후부협의",J2959="문서재제출요청",J2959="보류",J2959="보완요청",J2959="보완완료",J2959="평가중",J2959="반려요청",J2959="평가필요",LEFT(J2959,5)="보완요청("),"미종결 표시","상태 확인 필요"))</x:f>
        <x:v>종결 표시</x:v>
      </x:c>
      <x:c r="L2959" s="2" t="str">
        <x:v>KRIC</x:v>
      </x:c>
      <x:c r="M2959" s="2"/>
      <x:c r="N2959" s="8" t="n">
        <x:f>DATE(2026,10,15)-DATE(2022,10,17)</x:f>
        <x:v>1459</x:v>
      </x:c>
      <x:c r="O2959" s="2"/>
      <x:c r="P2959" s="2"/>
      <x:c r="Q2959" s="2" t="str">
        <x:v>산업전환_외부사업관리Tool_260707_이너젠 수정_LJY_261013.xlsx</x:v>
      </x:c>
      <x:c r="R2959" s="2" t="str">
        <x:v>국외인증</x:v>
      </x:c>
      <x:c r="S2959" s="8" t="n">
        <x:v>546</x:v>
      </x:c>
      <x:c r="T2959" s="2" t="str">
        <x:v>(10/19)</x:v>
      </x:c>
      <x:c r="U2959" s="2" t="str">
        <x:v>2022 지정: (10/19)</x:v>
      </x:c>
      <x:c r="V2959" s="2" t="str">
        <x:v>2023-03-24</x:v>
      </x:c>
      <x:c r="W2959" s="2" t="str"/>
      <x:c r="X2959" s="2" t="str">
        <x:v>종결 근거 보관</x:v>
      </x:c>
      <x:c r="Y2959" s="2" t="str">
        <x:v>ad210cd9ec132cfd447541c8984dc53d30aff0f4fb2dc92d254d49275cc55976</x:v>
      </x:c>
      <x:c r="Z2959" s="2" t="n">
        <x:f>SUBTOTAL(103,A2959)</x:f>
        <x:v>1</x:v>
      </x:c>
      <x:c r="AA2959" s="2" t="str">
        <x:f>IF(K2959&lt;&gt;"미종결 표시","대상 아님",IF(N2959="","신청일 확인",IF(NOT(ISNUMBER('종합 현황'!$H$5)),"관찰기준 확인",IF('종합 현황'!$H$5&lt;1,"관찰기준 확인",IF(N2959&gt;'종합 현황'!$H$5,"내부 관찰 대상","내부 관찰일 이하")))))</x:f>
        <x:v>대상 아님</x:v>
      </x:c>
      <x:c r="AB2959" s="2" t="str">
        <x:v>2022-10-17 13:55 - 신청
2022-11-11 10:17 - 문서재제출요청
2022-11-24 10:39 - 신청
2022-12-23 14:38 - 문서재제출요청
2022-12-23 19:41 - 신청
2023-03-15 10:40 - 검토승인
2023-03-24 16:10 - 심의승인</x:v>
      </x:c>
    </x:row>
    <x:row r="2960" ht="42" customHeight="1">
      <x:c r="A2960" s="2" t="str">
        <x:v>a524fb7362378bcf8f6285b9</x:v>
      </x:c>
      <x:c r="B2960" s="2" t="str">
        <x:v>감축량 인증</x:v>
      </x:c>
      <x:c r="C2960" s="2" t="str">
        <x:v>국외</x:v>
      </x:c>
      <x:c r="D2960" s="7" t="str">
        <x:v>기후변화센터의 동남아시아 개발도상국(미얀마) 내 고효율 쿡스토브 보급 사업 CPA-038</x:v>
      </x:c>
      <x:c r="E2960" s="2" t="str">
        <x:v>546</x:v>
      </x:c>
      <x:c r="F2960" s="2" t="str">
        <x:v>2022-10-17</x:v>
      </x:c>
      <x:c r="G2960" s="2" t="str">
        <x:v>2022</x:v>
      </x:c>
      <x:c r="H2960" s="2" t="str">
        <x:v>10</x:v>
      </x:c>
      <x:c r="I2960" s="2" t="str">
        <x:v>심의승인</x:v>
      </x:c>
      <x:c r="J2960" s="2" t="str">
        <x:v>심의승인</x:v>
      </x:c>
      <x:c r="K2960" s="2" t="str">
        <x:f>IF(OR(J2960="심의승인",J2960="반려",J2960="반려완료",J2960="심의완료"),"종결 표시",IF(OR(J2960="기후부협의",J2960="문서재제출요청",J2960="보류",J2960="보완요청",J2960="보완완료",J2960="평가중",J2960="반려요청",J2960="평가필요",LEFT(J2960,5)="보완요청("),"미종결 표시","상태 확인 필요"))</x:f>
        <x:v>종결 표시</x:v>
      </x:c>
      <x:c r="L2960" s="2" t="str">
        <x:v>KRIC</x:v>
      </x:c>
      <x:c r="M2960" s="2"/>
      <x:c r="N2960" s="8" t="n">
        <x:f>DATE(2026,10,15)-DATE(2022,10,17)</x:f>
        <x:v>1459</x:v>
      </x:c>
      <x:c r="O2960" s="2"/>
      <x:c r="P2960" s="2"/>
      <x:c r="Q2960" s="2" t="str">
        <x:v>산업전환_외부사업관리Tool_260707_이너젠 수정_LJY_261013.xlsx</x:v>
      </x:c>
      <x:c r="R2960" s="2" t="str">
        <x:v>국외인증</x:v>
      </x:c>
      <x:c r="S2960" s="8" t="n">
        <x:v>547</x:v>
      </x:c>
      <x:c r="T2960" s="2" t="str">
        <x:v>(10/19)</x:v>
      </x:c>
      <x:c r="U2960" s="2" t="str">
        <x:v>2022 지정: (10/19)</x:v>
      </x:c>
      <x:c r="V2960" s="2" t="str">
        <x:v>2023-03-24</x:v>
      </x:c>
      <x:c r="W2960" s="2" t="str"/>
      <x:c r="X2960" s="2" t="str">
        <x:v>종결 근거 보관</x:v>
      </x:c>
      <x:c r="Y2960" s="2" t="str">
        <x:v>ad210cd9ec132cfd447541c8984dc53d30aff0f4fb2dc92d254d49275cc55976</x:v>
      </x:c>
      <x:c r="Z2960" s="2" t="n">
        <x:f>SUBTOTAL(103,A2960)</x:f>
        <x:v>1</x:v>
      </x:c>
      <x:c r="AA2960" s="2" t="str">
        <x:f>IF(K2960&lt;&gt;"미종결 표시","대상 아님",IF(N2960="","신청일 확인",IF(NOT(ISNUMBER('종합 현황'!$H$5)),"관찰기준 확인",IF('종합 현황'!$H$5&lt;1,"관찰기준 확인",IF(N2960&gt;'종합 현황'!$H$5,"내부 관찰 대상","내부 관찰일 이하")))))</x:f>
        <x:v>대상 아님</x:v>
      </x:c>
      <x:c r="AB2960" s="2" t="str">
        <x:v>2022-10-17 13:55 - 신청
2022-11-11 10:17 - 문서재제출요청
2022-11-24 10:39 - 신청
2022-12-23 14:38 - 문서재제출요청
2022-12-23 19:42 - 신청
2023-03-15 10:40 - 검토승인
2023-03-24 16:11 - 심의승인</x:v>
      </x:c>
    </x:row>
    <x:row r="2961" ht="42" customHeight="1">
      <x:c r="A2961" s="2" t="str">
        <x:v>09234b6f011bde9a25fb846c</x:v>
      </x:c>
      <x:c r="B2961" s="2" t="str">
        <x:v>감축량 인증</x:v>
      </x:c>
      <x:c r="C2961" s="2" t="str">
        <x:v>국외</x:v>
      </x:c>
      <x:c r="D2961" s="7" t="str">
        <x:v>기후변화센터의 동남아시아 개발도상국(미얀마) 내 고효율 쿡스토브 보급 사업 CPA-039</x:v>
      </x:c>
      <x:c r="E2961" s="2" t="str">
        <x:v>547</x:v>
      </x:c>
      <x:c r="F2961" s="2" t="str">
        <x:v>2022-10-17</x:v>
      </x:c>
      <x:c r="G2961" s="2" t="str">
        <x:v>2022</x:v>
      </x:c>
      <x:c r="H2961" s="2" t="str">
        <x:v>10</x:v>
      </x:c>
      <x:c r="I2961" s="2" t="str">
        <x:v>심의승인</x:v>
      </x:c>
      <x:c r="J2961" s="2" t="str">
        <x:v>심의승인</x:v>
      </x:c>
      <x:c r="K2961" s="2" t="str">
        <x:f>IF(OR(J2961="심의승인",J2961="반려",J2961="반려완료",J2961="심의완료"),"종결 표시",IF(OR(J2961="기후부협의",J2961="문서재제출요청",J2961="보류",J2961="보완요청",J2961="보완완료",J2961="평가중",J2961="반려요청",J2961="평가필요",LEFT(J2961,5)="보완요청("),"미종결 표시","상태 확인 필요"))</x:f>
        <x:v>종결 표시</x:v>
      </x:c>
      <x:c r="L2961" s="2" t="str">
        <x:v>KRIC</x:v>
      </x:c>
      <x:c r="M2961" s="2"/>
      <x:c r="N2961" s="8" t="n">
        <x:f>DATE(2026,10,15)-DATE(2022,10,17)</x:f>
        <x:v>1459</x:v>
      </x:c>
      <x:c r="O2961" s="2"/>
      <x:c r="P2961" s="2"/>
      <x:c r="Q2961" s="2" t="str">
        <x:v>산업전환_외부사업관리Tool_260707_이너젠 수정_LJY_261013.xlsx</x:v>
      </x:c>
      <x:c r="R2961" s="2" t="str">
        <x:v>국외인증</x:v>
      </x:c>
      <x:c r="S2961" s="8" t="n">
        <x:v>548</x:v>
      </x:c>
      <x:c r="T2961" s="2" t="str">
        <x:v>(10/19)</x:v>
      </x:c>
      <x:c r="U2961" s="2" t="str">
        <x:v>2022 지정: (10/19)</x:v>
      </x:c>
      <x:c r="V2961" s="2" t="str">
        <x:v>2023-03-24</x:v>
      </x:c>
      <x:c r="W2961" s="2" t="str"/>
      <x:c r="X2961" s="2" t="str">
        <x:v>종결 근거 보관</x:v>
      </x:c>
      <x:c r="Y2961" s="2" t="str">
        <x:v>ad210cd9ec132cfd447541c8984dc53d30aff0f4fb2dc92d254d49275cc55976</x:v>
      </x:c>
      <x:c r="Z2961" s="2" t="n">
        <x:f>SUBTOTAL(103,A2961)</x:f>
        <x:v>1</x:v>
      </x:c>
      <x:c r="AA2961" s="2" t="str">
        <x:f>IF(K2961&lt;&gt;"미종결 표시","대상 아님",IF(N2961="","신청일 확인",IF(NOT(ISNUMBER('종합 현황'!$H$5)),"관찰기준 확인",IF('종합 현황'!$H$5&lt;1,"관찰기준 확인",IF(N2961&gt;'종합 현황'!$H$5,"내부 관찰 대상","내부 관찰일 이하")))))</x:f>
        <x:v>대상 아님</x:v>
      </x:c>
      <x:c r="AB2961" s="2" t="str">
        <x:v>2022-10-17 13:55 - 신청
2022-11-11 10:17 - 문서재제출요청
2022-11-24 10:39 - 신청
2022-12-23 14:37 - 문서재제출요청
2022-12-23 19:42 - 신청
2023-03-15 10:41 - 검토승인
2023-03-24 16:11 - 심의승인</x:v>
      </x:c>
    </x:row>
    <x:row r="2962" ht="42" customHeight="1">
      <x:c r="A2962" s="2" t="str">
        <x:v>7c373a96a5f5bacca5ff27c5</x:v>
      </x:c>
      <x:c r="B2962" s="2" t="str">
        <x:v>감축량 인증</x:v>
      </x:c>
      <x:c r="C2962" s="2" t="str">
        <x:v>국외</x:v>
      </x:c>
      <x:c r="D2962" s="7" t="str">
        <x:v>기후변화센터의 동남아시아 개발도상국(미얀마) 내 고효율 쿡스토브 보급 사업 CPA-040</x:v>
      </x:c>
      <x:c r="E2962" s="2" t="str">
        <x:v>548</x:v>
      </x:c>
      <x:c r="F2962" s="2" t="str">
        <x:v>2022-10-17</x:v>
      </x:c>
      <x:c r="G2962" s="2" t="str">
        <x:v>2022</x:v>
      </x:c>
      <x:c r="H2962" s="2" t="str">
        <x:v>10</x:v>
      </x:c>
      <x:c r="I2962" s="2" t="str">
        <x:v>심의승인</x:v>
      </x:c>
      <x:c r="J2962" s="2" t="str">
        <x:v>심의승인</x:v>
      </x:c>
      <x:c r="K2962" s="2" t="str">
        <x:f>IF(OR(J2962="심의승인",J2962="반려",J2962="반려완료",J2962="심의완료"),"종결 표시",IF(OR(J2962="기후부협의",J2962="문서재제출요청",J2962="보류",J2962="보완요청",J2962="보완완료",J2962="평가중",J2962="반려요청",J2962="평가필요",LEFT(J2962,5)="보완요청("),"미종결 표시","상태 확인 필요"))</x:f>
        <x:v>종결 표시</x:v>
      </x:c>
      <x:c r="L2962" s="2" t="str">
        <x:v>KRIC</x:v>
      </x:c>
      <x:c r="M2962" s="2"/>
      <x:c r="N2962" s="8" t="n">
        <x:f>DATE(2026,10,15)-DATE(2022,10,17)</x:f>
        <x:v>1459</x:v>
      </x:c>
      <x:c r="O2962" s="2"/>
      <x:c r="P2962" s="2"/>
      <x:c r="Q2962" s="2" t="str">
        <x:v>산업전환_외부사업관리Tool_260707_이너젠 수정_LJY_261013.xlsx</x:v>
      </x:c>
      <x:c r="R2962" s="2" t="str">
        <x:v>국외인증</x:v>
      </x:c>
      <x:c r="S2962" s="8" t="n">
        <x:v>549</x:v>
      </x:c>
      <x:c r="T2962" s="2" t="str">
        <x:v>(10/19)</x:v>
      </x:c>
      <x:c r="U2962" s="2" t="str">
        <x:v>2022 지정: (10/19)</x:v>
      </x:c>
      <x:c r="V2962" s="2" t="str">
        <x:v>2023-03-24</x:v>
      </x:c>
      <x:c r="W2962" s="2" t="str"/>
      <x:c r="X2962" s="2" t="str">
        <x:v>종결 근거 보관</x:v>
      </x:c>
      <x:c r="Y2962" s="2" t="str">
        <x:v>ad210cd9ec132cfd447541c8984dc53d30aff0f4fb2dc92d254d49275cc55976</x:v>
      </x:c>
      <x:c r="Z2962" s="2" t="n">
        <x:f>SUBTOTAL(103,A2962)</x:f>
        <x:v>1</x:v>
      </x:c>
      <x:c r="AA2962" s="2" t="str">
        <x:f>IF(K2962&lt;&gt;"미종결 표시","대상 아님",IF(N2962="","신청일 확인",IF(NOT(ISNUMBER('종합 현황'!$H$5)),"관찰기준 확인",IF('종합 현황'!$H$5&lt;1,"관찰기준 확인",IF(N2962&gt;'종합 현황'!$H$5,"내부 관찰 대상","내부 관찰일 이하")))))</x:f>
        <x:v>대상 아님</x:v>
      </x:c>
      <x:c r="AB2962" s="2" t="str">
        <x:v>2022-10-17 13:56 - 신청
2022-11-11 10:18 - 문서재제출요청
2022-11-24 10:39 - 신청
2022-12-23 14:37 - 문서재제출요청
2022-12-23 19:42 - 신청
2023-03-15 10:41 - 검토승인
2023-03-24 16:12 - 심의승인</x:v>
      </x:c>
    </x:row>
    <x:row r="2963" ht="42" customHeight="1">
      <x:c r="A2963" s="2" t="str">
        <x:v>bfeeb847d024302fc62b0406</x:v>
      </x:c>
      <x:c r="B2963" s="2" t="str">
        <x:v>감축량 인증</x:v>
      </x:c>
      <x:c r="C2963" s="2" t="str">
        <x:v>국외</x:v>
      </x:c>
      <x:c r="D2963" s="7" t="str">
        <x:v>기후변화센터의 동남아시아 개발도상국(미얀마) 내 고효율 쿡스토브 보급 사업 CPA-041</x:v>
      </x:c>
      <x:c r="E2963" s="2" t="str">
        <x:v>549</x:v>
      </x:c>
      <x:c r="F2963" s="2" t="str">
        <x:v>2022-10-17</x:v>
      </x:c>
      <x:c r="G2963" s="2" t="str">
        <x:v>2022</x:v>
      </x:c>
      <x:c r="H2963" s="2" t="str">
        <x:v>10</x:v>
      </x:c>
      <x:c r="I2963" s="2" t="str">
        <x:v>심의승인</x:v>
      </x:c>
      <x:c r="J2963" s="2" t="str">
        <x:v>심의승인</x:v>
      </x:c>
      <x:c r="K2963" s="2" t="str">
        <x:f>IF(OR(J2963="심의승인",J2963="반려",J2963="반려완료",J2963="심의완료"),"종결 표시",IF(OR(J2963="기후부협의",J2963="문서재제출요청",J2963="보류",J2963="보완요청",J2963="보완완료",J2963="평가중",J2963="반려요청",J2963="평가필요",LEFT(J2963,5)="보완요청("),"미종결 표시","상태 확인 필요"))</x:f>
        <x:v>종결 표시</x:v>
      </x:c>
      <x:c r="L2963" s="2" t="str">
        <x:v>KRIC</x:v>
      </x:c>
      <x:c r="M2963" s="2"/>
      <x:c r="N2963" s="8" t="n">
        <x:f>DATE(2026,10,15)-DATE(2022,10,17)</x:f>
        <x:v>1459</x:v>
      </x:c>
      <x:c r="O2963" s="2"/>
      <x:c r="P2963" s="2"/>
      <x:c r="Q2963" s="2" t="str">
        <x:v>산업전환_외부사업관리Tool_260707_이너젠 수정_LJY_261013.xlsx</x:v>
      </x:c>
      <x:c r="R2963" s="2" t="str">
        <x:v>국외인증</x:v>
      </x:c>
      <x:c r="S2963" s="8" t="n">
        <x:v>550</x:v>
      </x:c>
      <x:c r="T2963" s="2" t="str">
        <x:v>(10/19)</x:v>
      </x:c>
      <x:c r="U2963" s="2" t="str">
        <x:v>2022 지정: (10/19)</x:v>
      </x:c>
      <x:c r="V2963" s="2" t="str">
        <x:v>2023-03-24</x:v>
      </x:c>
      <x:c r="W2963" s="2" t="str"/>
      <x:c r="X2963" s="2" t="str">
        <x:v>종결 근거 보관</x:v>
      </x:c>
      <x:c r="Y2963" s="2" t="str">
        <x:v>ad210cd9ec132cfd447541c8984dc53d30aff0f4fb2dc92d254d49275cc55976</x:v>
      </x:c>
      <x:c r="Z2963" s="2" t="n">
        <x:f>SUBTOTAL(103,A2963)</x:f>
        <x:v>1</x:v>
      </x:c>
      <x:c r="AA2963" s="2" t="str">
        <x:f>IF(K2963&lt;&gt;"미종결 표시","대상 아님",IF(N2963="","신청일 확인",IF(NOT(ISNUMBER('종합 현황'!$H$5)),"관찰기준 확인",IF('종합 현황'!$H$5&lt;1,"관찰기준 확인",IF(N2963&gt;'종합 현황'!$H$5,"내부 관찰 대상","내부 관찰일 이하")))))</x:f>
        <x:v>대상 아님</x:v>
      </x:c>
      <x:c r="AB2963" s="2" t="str">
        <x:v>2022-10-17 13:57 - 신청
2022-11-11 10:18 - 문서재제출요청
2022-11-24 10:39 - 신청
2022-12-23 14:37 - 문서재제출요청
2022-12-23 19:42 - 신청
2023-03-15 10:41 - 검토승인
2023-03-24 16:12 - 심의승인</x:v>
      </x:c>
    </x:row>
    <x:row r="2964" ht="42" customHeight="1">
      <x:c r="A2964" s="2" t="str">
        <x:v>0b02d047911b7aa5596fb0e5</x:v>
      </x:c>
      <x:c r="B2964" s="2" t="str">
        <x:v>감축량 인증</x:v>
      </x:c>
      <x:c r="C2964" s="2" t="str">
        <x:v>국외</x:v>
      </x:c>
      <x:c r="D2964" s="7" t="str">
        <x:v>기후변화센터의 동남아시아 개발도상국(미얀마) 내 고효율 쿡스토브 보급 사업 CPA-042</x:v>
      </x:c>
      <x:c r="E2964" s="2" t="str">
        <x:v>550</x:v>
      </x:c>
      <x:c r="F2964" s="2" t="str">
        <x:v>2022-10-17</x:v>
      </x:c>
      <x:c r="G2964" s="2" t="str">
        <x:v>2022</x:v>
      </x:c>
      <x:c r="H2964" s="2" t="str">
        <x:v>10</x:v>
      </x:c>
      <x:c r="I2964" s="2" t="str">
        <x:v>심의승인</x:v>
      </x:c>
      <x:c r="J2964" s="2" t="str">
        <x:v>심의승인</x:v>
      </x:c>
      <x:c r="K2964" s="2" t="str">
        <x:f>IF(OR(J2964="심의승인",J2964="반려",J2964="반려완료",J2964="심의완료"),"종결 표시",IF(OR(J2964="기후부협의",J2964="문서재제출요청",J2964="보류",J2964="보완요청",J2964="보완완료",J2964="평가중",J2964="반려요청",J2964="평가필요",LEFT(J2964,5)="보완요청("),"미종결 표시","상태 확인 필요"))</x:f>
        <x:v>종결 표시</x:v>
      </x:c>
      <x:c r="L2964" s="2" t="str">
        <x:v>KRIC</x:v>
      </x:c>
      <x:c r="M2964" s="2"/>
      <x:c r="N2964" s="8" t="n">
        <x:f>DATE(2026,10,15)-DATE(2022,10,17)</x:f>
        <x:v>1459</x:v>
      </x:c>
      <x:c r="O2964" s="2"/>
      <x:c r="P2964" s="2"/>
      <x:c r="Q2964" s="2" t="str">
        <x:v>산업전환_외부사업관리Tool_260707_이너젠 수정_LJY_261013.xlsx</x:v>
      </x:c>
      <x:c r="R2964" s="2" t="str">
        <x:v>국외인증</x:v>
      </x:c>
      <x:c r="S2964" s="8" t="n">
        <x:v>551</x:v>
      </x:c>
      <x:c r="T2964" s="2" t="str">
        <x:v>(10/19)</x:v>
      </x:c>
      <x:c r="U2964" s="2" t="str">
        <x:v>2022 지정: (10/19)</x:v>
      </x:c>
      <x:c r="V2964" s="2" t="str">
        <x:v>2023-03-24</x:v>
      </x:c>
      <x:c r="W2964" s="2" t="str"/>
      <x:c r="X2964" s="2" t="str">
        <x:v>종결 근거 보관</x:v>
      </x:c>
      <x:c r="Y2964" s="2" t="str">
        <x:v>ad210cd9ec132cfd447541c8984dc53d30aff0f4fb2dc92d254d49275cc55976</x:v>
      </x:c>
      <x:c r="Z2964" s="2" t="n">
        <x:f>SUBTOTAL(103,A2964)</x:f>
        <x:v>1</x:v>
      </x:c>
      <x:c r="AA2964" s="2" t="str">
        <x:f>IF(K2964&lt;&gt;"미종결 표시","대상 아님",IF(N2964="","신청일 확인",IF(NOT(ISNUMBER('종합 현황'!$H$5)),"관찰기준 확인",IF('종합 현황'!$H$5&lt;1,"관찰기준 확인",IF(N2964&gt;'종합 현황'!$H$5,"내부 관찰 대상","내부 관찰일 이하")))))</x:f>
        <x:v>대상 아님</x:v>
      </x:c>
      <x:c r="AB2964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5" ht="42" customHeight="1">
      <x:c r="A2965" s="2" t="str">
        <x:v>397229efdf9c5ef55b74699c</x:v>
      </x:c>
      <x:c r="B2965" s="2" t="str">
        <x:v>감축량 인증</x:v>
      </x:c>
      <x:c r="C2965" s="2" t="str">
        <x:v>국외</x:v>
      </x:c>
      <x:c r="D2965" s="7" t="str">
        <x:v>기후변화센터의 동남아시아 개발도상국(미얀마) 내 고효율 쿡스토브 보급 사업 CPA-043</x:v>
      </x:c>
      <x:c r="E2965" s="2" t="str">
        <x:v>551</x:v>
      </x:c>
      <x:c r="F2965" s="2" t="str">
        <x:v>2022-10-17</x:v>
      </x:c>
      <x:c r="G2965" s="2" t="str">
        <x:v>2022</x:v>
      </x:c>
      <x:c r="H2965" s="2" t="str">
        <x:v>10</x:v>
      </x:c>
      <x:c r="I2965" s="2" t="str">
        <x:v>심의승인</x:v>
      </x:c>
      <x:c r="J2965" s="2" t="str">
        <x:v>심의승인</x:v>
      </x:c>
      <x:c r="K2965" s="2" t="str">
        <x:f>IF(OR(J2965="심의승인",J2965="반려",J2965="반려완료",J2965="심의완료"),"종결 표시",IF(OR(J2965="기후부협의",J2965="문서재제출요청",J2965="보류",J2965="보완요청",J2965="보완완료",J2965="평가중",J2965="반려요청",J2965="평가필요",LEFT(J2965,5)="보완요청("),"미종결 표시","상태 확인 필요"))</x:f>
        <x:v>종결 표시</x:v>
      </x:c>
      <x:c r="L2965" s="2" t="str">
        <x:v>KRIC</x:v>
      </x:c>
      <x:c r="M2965" s="2"/>
      <x:c r="N2965" s="8" t="n">
        <x:f>DATE(2026,10,15)-DATE(2022,10,17)</x:f>
        <x:v>1459</x:v>
      </x:c>
      <x:c r="O2965" s="2"/>
      <x:c r="P2965" s="2"/>
      <x:c r="Q2965" s="2" t="str">
        <x:v>산업전환_외부사업관리Tool_260707_이너젠 수정_LJY_261013.xlsx</x:v>
      </x:c>
      <x:c r="R2965" s="2" t="str">
        <x:v>국외인증</x:v>
      </x:c>
      <x:c r="S2965" s="8" t="n">
        <x:v>552</x:v>
      </x:c>
      <x:c r="T2965" s="2" t="str">
        <x:v>(10/19)</x:v>
      </x:c>
      <x:c r="U2965" s="2" t="str">
        <x:v>2022 지정: (10/19)</x:v>
      </x:c>
      <x:c r="V2965" s="2" t="str">
        <x:v>2023-03-24</x:v>
      </x:c>
      <x:c r="W2965" s="2" t="str"/>
      <x:c r="X2965" s="2" t="str">
        <x:v>종결 근거 보관</x:v>
      </x:c>
      <x:c r="Y2965" s="2" t="str">
        <x:v>ad210cd9ec132cfd447541c8984dc53d30aff0f4fb2dc92d254d49275cc55976</x:v>
      </x:c>
      <x:c r="Z2965" s="2" t="n">
        <x:f>SUBTOTAL(103,A2965)</x:f>
        <x:v>1</x:v>
      </x:c>
      <x:c r="AA2965" s="2" t="str">
        <x:f>IF(K2965&lt;&gt;"미종결 표시","대상 아님",IF(N2965="","신청일 확인",IF(NOT(ISNUMBER('종합 현황'!$H$5)),"관찰기준 확인",IF('종합 현황'!$H$5&lt;1,"관찰기준 확인",IF(N2965&gt;'종합 현황'!$H$5,"내부 관찰 대상","내부 관찰일 이하")))))</x:f>
        <x:v>대상 아님</x:v>
      </x:c>
      <x:c r="AB2965" s="2" t="str">
        <x:v>2022-10-17 13:57 - 신청
2022-11-11 10:19 - 문서재제출요청
2022-11-24 10:40 - 신청
2022-12-23 14:36 - 문서재제출요청
2022-12-23 19:43 - 신청
2023-03-15 10:42 - 검토승인
2023-03-24 16:13 - 심의승인</x:v>
      </x:c>
    </x:row>
    <x:row r="2966" ht="42" customHeight="1">
      <x:c r="A2966" s="2" t="str">
        <x:v>1dcab18d195300884f078875</x:v>
      </x:c>
      <x:c r="B2966" s="2" t="str">
        <x:v>감축량 인증</x:v>
      </x:c>
      <x:c r="C2966" s="2" t="str">
        <x:v>국외</x:v>
      </x:c>
      <x:c r="D2966" s="7" t="str">
        <x:v>기후변화센터의 동남아시아 개발도상국(미얀마) 내 고효율 쿡스토브 보급 사업 CPA-044</x:v>
      </x:c>
      <x:c r="E2966" s="2" t="str">
        <x:v>552</x:v>
      </x:c>
      <x:c r="F2966" s="2" t="str">
        <x:v>2022-10-17</x:v>
      </x:c>
      <x:c r="G2966" s="2" t="str">
        <x:v>2022</x:v>
      </x:c>
      <x:c r="H2966" s="2" t="str">
        <x:v>10</x:v>
      </x:c>
      <x:c r="I2966" s="2" t="str">
        <x:v>심의승인</x:v>
      </x:c>
      <x:c r="J2966" s="2" t="str">
        <x:v>심의승인</x:v>
      </x:c>
      <x:c r="K2966" s="2" t="str">
        <x:f>IF(OR(J2966="심의승인",J2966="반려",J2966="반려완료",J2966="심의완료"),"종결 표시",IF(OR(J2966="기후부협의",J2966="문서재제출요청",J2966="보류",J2966="보완요청",J2966="보완완료",J2966="평가중",J2966="반려요청",J2966="평가필요",LEFT(J2966,5)="보완요청("),"미종결 표시","상태 확인 필요"))</x:f>
        <x:v>종결 표시</x:v>
      </x:c>
      <x:c r="L2966" s="2" t="str">
        <x:v>KRIC</x:v>
      </x:c>
      <x:c r="M2966" s="2"/>
      <x:c r="N2966" s="8" t="n">
        <x:f>DATE(2026,10,15)-DATE(2022,10,17)</x:f>
        <x:v>1459</x:v>
      </x:c>
      <x:c r="O2966" s="2"/>
      <x:c r="P2966" s="2"/>
      <x:c r="Q2966" s="2" t="str">
        <x:v>산업전환_외부사업관리Tool_260707_이너젠 수정_LJY_261013.xlsx</x:v>
      </x:c>
      <x:c r="R2966" s="2" t="str">
        <x:v>국외인증</x:v>
      </x:c>
      <x:c r="S2966" s="8" t="n">
        <x:v>553</x:v>
      </x:c>
      <x:c r="T2966" s="2" t="str">
        <x:v>(10/19)</x:v>
      </x:c>
      <x:c r="U2966" s="2" t="str">
        <x:v>2022 지정: (10/19)</x:v>
      </x:c>
      <x:c r="V2966" s="2" t="str">
        <x:v>2023-03-24</x:v>
      </x:c>
      <x:c r="W2966" s="2" t="str"/>
      <x:c r="X2966" s="2" t="str">
        <x:v>종결 근거 보관</x:v>
      </x:c>
      <x:c r="Y2966" s="2" t="str">
        <x:v>ad210cd9ec132cfd447541c8984dc53d30aff0f4fb2dc92d254d49275cc55976</x:v>
      </x:c>
      <x:c r="Z2966" s="2" t="n">
        <x:f>SUBTOTAL(103,A2966)</x:f>
        <x:v>1</x:v>
      </x:c>
      <x:c r="AA2966" s="2" t="str">
        <x:f>IF(K2966&lt;&gt;"미종결 표시","대상 아님",IF(N2966="","신청일 확인",IF(NOT(ISNUMBER('종합 현황'!$H$5)),"관찰기준 확인",IF('종합 현황'!$H$5&lt;1,"관찰기준 확인",IF(N2966&gt;'종합 현황'!$H$5,"내부 관찰 대상","내부 관찰일 이하")))))</x:f>
        <x:v>대상 아님</x:v>
      </x:c>
      <x:c r="AB2966" s="2" t="str">
        <x:v>2022-10-17 13:58 - 신청
2022-11-11 10:20 - 문서재제출요청
2022-11-24 10:40 - 신청
2022-12-23 14:36 - 문서재제출요청
2022-12-23 19:43 - 신청
2023-03-15 10:43 - 검토승인
2023-03-24 16:14 - 심의승인</x:v>
      </x:c>
    </x:row>
    <x:row r="2967" ht="42" customHeight="1">
      <x:c r="A2967" s="2" t="str">
        <x:v>107f2032e0d2d1a6a3a553c6</x:v>
      </x:c>
      <x:c r="B2967" s="2" t="str">
        <x:v>감축량 인증</x:v>
      </x:c>
      <x:c r="C2967" s="2" t="str">
        <x:v>국외</x:v>
      </x:c>
      <x:c r="D2967" s="7" t="str">
        <x:v>기후변화센터의 동남아시아 개발도상국(미얀마) 내 고효율 쿡스토브 보급 사업 CPA-045</x:v>
      </x:c>
      <x:c r="E2967" s="2" t="str">
        <x:v>553</x:v>
      </x:c>
      <x:c r="F2967" s="2" t="str">
        <x:v>2022-10-17</x:v>
      </x:c>
      <x:c r="G2967" s="2" t="str">
        <x:v>2022</x:v>
      </x:c>
      <x:c r="H2967" s="2" t="str">
        <x:v>10</x:v>
      </x:c>
      <x:c r="I2967" s="2" t="str">
        <x:v>심의승인</x:v>
      </x:c>
      <x:c r="J2967" s="2" t="str">
        <x:v>심의승인</x:v>
      </x:c>
      <x:c r="K2967" s="2" t="str">
        <x:f>IF(OR(J2967="심의승인",J2967="반려",J2967="반려완료",J2967="심의완료"),"종결 표시",IF(OR(J2967="기후부협의",J2967="문서재제출요청",J2967="보류",J2967="보완요청",J2967="보완완료",J2967="평가중",J2967="반려요청",J2967="평가필요",LEFT(J2967,5)="보완요청("),"미종결 표시","상태 확인 필요"))</x:f>
        <x:v>종결 표시</x:v>
      </x:c>
      <x:c r="L2967" s="2" t="str">
        <x:v>KRIC</x:v>
      </x:c>
      <x:c r="M2967" s="2"/>
      <x:c r="N2967" s="8" t="n">
        <x:f>DATE(2026,10,15)-DATE(2022,10,17)</x:f>
        <x:v>1459</x:v>
      </x:c>
      <x:c r="O2967" s="2"/>
      <x:c r="P2967" s="2"/>
      <x:c r="Q2967" s="2" t="str">
        <x:v>산업전환_외부사업관리Tool_260707_이너젠 수정_LJY_261013.xlsx</x:v>
      </x:c>
      <x:c r="R2967" s="2" t="str">
        <x:v>국외인증</x:v>
      </x:c>
      <x:c r="S2967" s="8" t="n">
        <x:v>554</x:v>
      </x:c>
      <x:c r="T2967" s="2" t="str">
        <x:v>(10/19)</x:v>
      </x:c>
      <x:c r="U2967" s="2" t="str">
        <x:v>2022 지정: (10/19)</x:v>
      </x:c>
      <x:c r="V2967" s="2" t="str">
        <x:v>2023-03-24</x:v>
      </x:c>
      <x:c r="W2967" s="2" t="str"/>
      <x:c r="X2967" s="2" t="str">
        <x:v>종결 근거 보관</x:v>
      </x:c>
      <x:c r="Y2967" s="2" t="str">
        <x:v>ad210cd9ec132cfd447541c8984dc53d30aff0f4fb2dc92d254d49275cc55976</x:v>
      </x:c>
      <x:c r="Z2967" s="2" t="n">
        <x:f>SUBTOTAL(103,A2967)</x:f>
        <x:v>1</x:v>
      </x:c>
      <x:c r="AA2967" s="2" t="str">
        <x:f>IF(K2967&lt;&gt;"미종결 표시","대상 아님",IF(N2967="","신청일 확인",IF(NOT(ISNUMBER('종합 현황'!$H$5)),"관찰기준 확인",IF('종합 현황'!$H$5&lt;1,"관찰기준 확인",IF(N2967&gt;'종합 현황'!$H$5,"내부 관찰 대상","내부 관찰일 이하")))))</x:f>
        <x:v>대상 아님</x:v>
      </x:c>
      <x:c r="AB2967" s="2" t="str">
        <x:v>2022-10-17 13:58 - 신청
2022-11-11 10:20 - 문서재제출요청
2022-11-24 10:40 - 신청
2022-12-23 14:35 - 문서재제출요청
2022-12-23 19:43 - 신청
2023-03-15 10:43 - 검토승인
2023-03-24 16:14 - 심의승인</x:v>
      </x:c>
    </x:row>
    <x:row r="2968" ht="42" customHeight="1">
      <x:c r="A2968" s="2" t="str">
        <x:v>57ca88666340a910f70e5c28</x:v>
      </x:c>
      <x:c r="B2968" s="2" t="str">
        <x:v>감축량 인증</x:v>
      </x:c>
      <x:c r="C2968" s="2" t="str">
        <x:v>국외</x:v>
      </x:c>
      <x:c r="D2968" s="7" t="str">
        <x:v>기후변화센터의 동남아시아 개발도상국(미얀마) 내 고효율 쿡스토브 보급 사업 CPA-046</x:v>
      </x:c>
      <x:c r="E2968" s="2" t="str">
        <x:v>554</x:v>
      </x:c>
      <x:c r="F2968" s="2" t="str">
        <x:v>2022-10-17</x:v>
      </x:c>
      <x:c r="G2968" s="2" t="str">
        <x:v>2022</x:v>
      </x:c>
      <x:c r="H2968" s="2" t="str">
        <x:v>10</x:v>
      </x:c>
      <x:c r="I2968" s="2" t="str">
        <x:v>심의승인</x:v>
      </x:c>
      <x:c r="J2968" s="2" t="str">
        <x:v>심의승인</x:v>
      </x:c>
      <x:c r="K2968" s="2" t="str">
        <x:f>IF(OR(J2968="심의승인",J2968="반려",J2968="반려완료",J2968="심의완료"),"종결 표시",IF(OR(J2968="기후부협의",J2968="문서재제출요청",J2968="보류",J2968="보완요청",J2968="보완완료",J2968="평가중",J2968="반려요청",J2968="평가필요",LEFT(J2968,5)="보완요청("),"미종결 표시","상태 확인 필요"))</x:f>
        <x:v>종결 표시</x:v>
      </x:c>
      <x:c r="L2968" s="2" t="str">
        <x:v>KRIC</x:v>
      </x:c>
      <x:c r="M2968" s="2"/>
      <x:c r="N2968" s="8" t="n">
        <x:f>DATE(2026,10,15)-DATE(2022,10,17)</x:f>
        <x:v>1459</x:v>
      </x:c>
      <x:c r="O2968" s="2"/>
      <x:c r="P2968" s="2"/>
      <x:c r="Q2968" s="2" t="str">
        <x:v>산업전환_외부사업관리Tool_260707_이너젠 수정_LJY_261013.xlsx</x:v>
      </x:c>
      <x:c r="R2968" s="2" t="str">
        <x:v>국외인증</x:v>
      </x:c>
      <x:c r="S2968" s="8" t="n">
        <x:v>555</x:v>
      </x:c>
      <x:c r="T2968" s="2" t="str">
        <x:v>(10/19)</x:v>
      </x:c>
      <x:c r="U2968" s="2" t="str">
        <x:v>2022 지정: (10/19)</x:v>
      </x:c>
      <x:c r="V2968" s="2" t="str">
        <x:v>2023-03-24</x:v>
      </x:c>
      <x:c r="W2968" s="2" t="str"/>
      <x:c r="X2968" s="2" t="str">
        <x:v>종결 근거 보관</x:v>
      </x:c>
      <x:c r="Y2968" s="2" t="str">
        <x:v>ad210cd9ec132cfd447541c8984dc53d30aff0f4fb2dc92d254d49275cc55976</x:v>
      </x:c>
      <x:c r="Z2968" s="2" t="n">
        <x:f>SUBTOTAL(103,A2968)</x:f>
        <x:v>1</x:v>
      </x:c>
      <x:c r="AA2968" s="2" t="str">
        <x:f>IF(K2968&lt;&gt;"미종결 표시","대상 아님",IF(N2968="","신청일 확인",IF(NOT(ISNUMBER('종합 현황'!$H$5)),"관찰기준 확인",IF('종합 현황'!$H$5&lt;1,"관찰기준 확인",IF(N2968&gt;'종합 현황'!$H$5,"내부 관찰 대상","내부 관찰일 이하")))))</x:f>
        <x:v>대상 아님</x:v>
      </x:c>
      <x:c r="AB2968" s="2" t="str">
        <x:v>2022-10-17 14:00 - 신청
2022-11-11 10:21 - 문서재제출요청
2022-11-24 10:40 - 신청
2022-12-23 14:35 - 문서재제출요청
2022-12-23 19:43 - 신청
2023-03-15 10:43 - 검토승인
2023-03-24 16:15 - 심의승인</x:v>
      </x:c>
    </x:row>
    <x:row r="2969" ht="42" customHeight="1">
      <x:c r="A2969" s="2" t="str">
        <x:v>8f6b02ef585f24e05e5008ed</x:v>
      </x:c>
      <x:c r="B2969" s="2" t="str">
        <x:v>감축량 인증</x:v>
      </x:c>
      <x:c r="C2969" s="2" t="str">
        <x:v>국외</x:v>
      </x:c>
      <x:c r="D2969" s="7" t="str">
        <x:v>기후변화센터의 동남아시아 개발도상국(미얀마) 내 고효율 쿡스토브 보급 사업 CPA-047</x:v>
      </x:c>
      <x:c r="E2969" s="2" t="str">
        <x:v>555</x:v>
      </x:c>
      <x:c r="F2969" s="2" t="str">
        <x:v>2022-10-17</x:v>
      </x:c>
      <x:c r="G2969" s="2" t="str">
        <x:v>2022</x:v>
      </x:c>
      <x:c r="H2969" s="2" t="str">
        <x:v>10</x:v>
      </x:c>
      <x:c r="I2969" s="2" t="str">
        <x:v>심의승인</x:v>
      </x:c>
      <x:c r="J2969" s="2" t="str">
        <x:v>심의승인</x:v>
      </x:c>
      <x:c r="K2969" s="2" t="str">
        <x:f>IF(OR(J2969="심의승인",J2969="반려",J2969="반려완료",J2969="심의완료"),"종결 표시",IF(OR(J2969="기후부협의",J2969="문서재제출요청",J2969="보류",J2969="보완요청",J2969="보완완료",J2969="평가중",J2969="반려요청",J2969="평가필요",LEFT(J2969,5)="보완요청("),"미종결 표시","상태 확인 필요"))</x:f>
        <x:v>종결 표시</x:v>
      </x:c>
      <x:c r="L2969" s="2" t="str">
        <x:v>KRIC</x:v>
      </x:c>
      <x:c r="M2969" s="2"/>
      <x:c r="N2969" s="8" t="n">
        <x:f>DATE(2026,10,15)-DATE(2022,10,17)</x:f>
        <x:v>1459</x:v>
      </x:c>
      <x:c r="O2969" s="2"/>
      <x:c r="P2969" s="2"/>
      <x:c r="Q2969" s="2" t="str">
        <x:v>산업전환_외부사업관리Tool_260707_이너젠 수정_LJY_261013.xlsx</x:v>
      </x:c>
      <x:c r="R2969" s="2" t="str">
        <x:v>국외인증</x:v>
      </x:c>
      <x:c r="S2969" s="8" t="n">
        <x:v>556</x:v>
      </x:c>
      <x:c r="T2969" s="2" t="str">
        <x:v>(10/19)</x:v>
      </x:c>
      <x:c r="U2969" s="2" t="str">
        <x:v>2022 지정: (10/19)</x:v>
      </x:c>
      <x:c r="V2969" s="2" t="str">
        <x:v>2023-03-24</x:v>
      </x:c>
      <x:c r="W2969" s="2" t="str"/>
      <x:c r="X2969" s="2" t="str">
        <x:v>종결 근거 보관</x:v>
      </x:c>
      <x:c r="Y2969" s="2" t="str">
        <x:v>ad210cd9ec132cfd447541c8984dc53d30aff0f4fb2dc92d254d49275cc55976</x:v>
      </x:c>
      <x:c r="Z2969" s="2" t="n">
        <x:f>SUBTOTAL(103,A2969)</x:f>
        <x:v>1</x:v>
      </x:c>
      <x:c r="AA2969" s="2" t="str">
        <x:f>IF(K2969&lt;&gt;"미종결 표시","대상 아님",IF(N2969="","신청일 확인",IF(NOT(ISNUMBER('종합 현황'!$H$5)),"관찰기준 확인",IF('종합 현황'!$H$5&lt;1,"관찰기준 확인",IF(N2969&gt;'종합 현황'!$H$5,"내부 관찰 대상","내부 관찰일 이하")))))</x:f>
        <x:v>대상 아님</x:v>
      </x:c>
      <x:c r="AB2969" s="2" t="str">
        <x:v>2022-10-17 14:00 - 신청
2022-11-11 10:21 - 문서재제출요청
2022-11-24 10:41 - 신청
2022-12-23 14:35 - 문서재제출요청
2022-12-23 19:44 - 신청
2023-03-15 10:43 - 검토승인
2023-03-24 16:15 - 심의승인</x:v>
      </x:c>
    </x:row>
    <x:row r="2970" ht="42" customHeight="1">
      <x:c r="A2970" s="2" t="str">
        <x:v>cff0923f2ec2696d25c8e369</x:v>
      </x:c>
      <x:c r="B2970" s="2" t="str">
        <x:v>감축량 인증</x:v>
      </x:c>
      <x:c r="C2970" s="2" t="str">
        <x:v>국외</x:v>
      </x:c>
      <x:c r="D2970" s="7" t="str">
        <x:v>기후변화센터의 동남아시아 개발도상국(미얀마) 내 고효율 쿡스토브 보급 사업 CPA-048</x:v>
      </x:c>
      <x:c r="E2970" s="2" t="str">
        <x:v>556</x:v>
      </x:c>
      <x:c r="F2970" s="2" t="str">
        <x:v>2022-10-17</x:v>
      </x:c>
      <x:c r="G2970" s="2" t="str">
        <x:v>2022</x:v>
      </x:c>
      <x:c r="H2970" s="2" t="str">
        <x:v>10</x:v>
      </x:c>
      <x:c r="I2970" s="2" t="str">
        <x:v>심의승인</x:v>
      </x:c>
      <x:c r="J2970" s="2" t="str">
        <x:v>심의승인</x:v>
      </x:c>
      <x:c r="K2970" s="2" t="str">
        <x:f>IF(OR(J2970="심의승인",J2970="반려",J2970="반려완료",J2970="심의완료"),"종결 표시",IF(OR(J2970="기후부협의",J2970="문서재제출요청",J2970="보류",J2970="보완요청",J2970="보완완료",J2970="평가중",J2970="반려요청",J2970="평가필요",LEFT(J2970,5)="보완요청("),"미종결 표시","상태 확인 필요"))</x:f>
        <x:v>종결 표시</x:v>
      </x:c>
      <x:c r="L2970" s="2" t="str">
        <x:v>KRIC</x:v>
      </x:c>
      <x:c r="M2970" s="2"/>
      <x:c r="N2970" s="8" t="n">
        <x:f>DATE(2026,10,15)-DATE(2022,10,17)</x:f>
        <x:v>1459</x:v>
      </x:c>
      <x:c r="O2970" s="2"/>
      <x:c r="P2970" s="2"/>
      <x:c r="Q2970" s="2" t="str">
        <x:v>산업전환_외부사업관리Tool_260707_이너젠 수정_LJY_261013.xlsx</x:v>
      </x:c>
      <x:c r="R2970" s="2" t="str">
        <x:v>국외인증</x:v>
      </x:c>
      <x:c r="S2970" s="8" t="n">
        <x:v>557</x:v>
      </x:c>
      <x:c r="T2970" s="2" t="str">
        <x:v>(10/19)</x:v>
      </x:c>
      <x:c r="U2970" s="2" t="str">
        <x:v>2022 지정: (10/19)</x:v>
      </x:c>
      <x:c r="V2970" s="2" t="str">
        <x:v>2023-03-24</x:v>
      </x:c>
      <x:c r="W2970" s="2" t="str"/>
      <x:c r="X2970" s="2" t="str">
        <x:v>종결 근거 보관</x:v>
      </x:c>
      <x:c r="Y2970" s="2" t="str">
        <x:v>ad210cd9ec132cfd447541c8984dc53d30aff0f4fb2dc92d254d49275cc55976</x:v>
      </x:c>
      <x:c r="Z2970" s="2" t="n">
        <x:f>SUBTOTAL(103,A2970)</x:f>
        <x:v>1</x:v>
      </x:c>
      <x:c r="AA2970" s="2" t="str">
        <x:f>IF(K2970&lt;&gt;"미종결 표시","대상 아님",IF(N2970="","신청일 확인",IF(NOT(ISNUMBER('종합 현황'!$H$5)),"관찰기준 확인",IF('종합 현황'!$H$5&lt;1,"관찰기준 확인",IF(N2970&gt;'종합 현황'!$H$5,"내부 관찰 대상","내부 관찰일 이하")))))</x:f>
        <x:v>대상 아님</x:v>
      </x:c>
      <x:c r="AB2970" s="2" t="str">
        <x:v>2022-10-17 14:00 - 신청
2022-11-11 10:22 - 문서재제출요청
2022-11-24 10:41 - 신청
2022-12-23 14:35 - 문서재제출요청
2022-12-23 19:44 - 신청
2023-03-15 10:44 - 검토승인
2023-03-24 16:16 - 심의승인</x:v>
      </x:c>
    </x:row>
    <x:row r="2971" ht="42" customHeight="1">
      <x:c r="A2971" s="2" t="str">
        <x:v>e592fc45b291df9f8e645dd6</x:v>
      </x:c>
      <x:c r="B2971" s="2" t="str">
        <x:v>감축량 인증</x:v>
      </x:c>
      <x:c r="C2971" s="2" t="str">
        <x:v>국외</x:v>
      </x:c>
      <x:c r="D2971" s="7" t="str">
        <x:v>기후변화센터의 동남아시아 개발도상국(미얀마) 내 고효율 쿡스토브 보급 사업 CPA-049</x:v>
      </x:c>
      <x:c r="E2971" s="2" t="str">
        <x:v>557</x:v>
      </x:c>
      <x:c r="F2971" s="2" t="str">
        <x:v>2022-10-17</x:v>
      </x:c>
      <x:c r="G2971" s="2" t="str">
        <x:v>2022</x:v>
      </x:c>
      <x:c r="H2971" s="2" t="str">
        <x:v>10</x:v>
      </x:c>
      <x:c r="I2971" s="2" t="str">
        <x:v>심의승인</x:v>
      </x:c>
      <x:c r="J2971" s="2" t="str">
        <x:v>심의승인</x:v>
      </x:c>
      <x:c r="K2971" s="2" t="str">
        <x:f>IF(OR(J2971="심의승인",J2971="반려",J2971="반려완료",J2971="심의완료"),"종결 표시",IF(OR(J2971="기후부협의",J2971="문서재제출요청",J2971="보류",J2971="보완요청",J2971="보완완료",J2971="평가중",J2971="반려요청",J2971="평가필요",LEFT(J2971,5)="보완요청("),"미종결 표시","상태 확인 필요"))</x:f>
        <x:v>종결 표시</x:v>
      </x:c>
      <x:c r="L2971" s="2" t="str">
        <x:v>KRIC</x:v>
      </x:c>
      <x:c r="M2971" s="2"/>
      <x:c r="N2971" s="8" t="n">
        <x:f>DATE(2026,10,15)-DATE(2022,10,17)</x:f>
        <x:v>1459</x:v>
      </x:c>
      <x:c r="O2971" s="2"/>
      <x:c r="P2971" s="2"/>
      <x:c r="Q2971" s="2" t="str">
        <x:v>산업전환_외부사업관리Tool_260707_이너젠 수정_LJY_261013.xlsx</x:v>
      </x:c>
      <x:c r="R2971" s="2" t="str">
        <x:v>국외인증</x:v>
      </x:c>
      <x:c r="S2971" s="8" t="n">
        <x:v>558</x:v>
      </x:c>
      <x:c r="T2971" s="2" t="str">
        <x:v>(10/19)</x:v>
      </x:c>
      <x:c r="U2971" s="2" t="str">
        <x:v>2022 지정: (10/19)</x:v>
      </x:c>
      <x:c r="V2971" s="2" t="str">
        <x:v>2023-03-24</x:v>
      </x:c>
      <x:c r="W2971" s="2" t="str"/>
      <x:c r="X2971" s="2" t="str">
        <x:v>종결 근거 보관</x:v>
      </x:c>
      <x:c r="Y2971" s="2" t="str">
        <x:v>ad210cd9ec132cfd447541c8984dc53d30aff0f4fb2dc92d254d49275cc55976</x:v>
      </x:c>
      <x:c r="Z2971" s="2" t="n">
        <x:f>SUBTOTAL(103,A2971)</x:f>
        <x:v>1</x:v>
      </x:c>
      <x:c r="AA2971" s="2" t="str">
        <x:f>IF(K2971&lt;&gt;"미종결 표시","대상 아님",IF(N2971="","신청일 확인",IF(NOT(ISNUMBER('종합 현황'!$H$5)),"관찰기준 확인",IF('종합 현황'!$H$5&lt;1,"관찰기준 확인",IF(N2971&gt;'종합 현황'!$H$5,"내부 관찰 대상","내부 관찰일 이하")))))</x:f>
        <x:v>대상 아님</x:v>
      </x:c>
      <x:c r="AB2971" s="2" t="str">
        <x:v>2022-10-17 14:01 - 신청
2022-11-11 10:22 - 문서재제출요청
2022-11-24 10:41 - 신청
2022-12-23 14:34 - 문서재제출요청
2022-12-23 19:44 - 신청
2023-03-15 10:44 - 검토승인
2023-03-24 16:16 - 심의승인</x:v>
      </x:c>
    </x:row>
    <x:row r="2972" ht="42" customHeight="1">
      <x:c r="A2972" s="2" t="str">
        <x:v>db6cb6427e827627674d9dfc</x:v>
      </x:c>
      <x:c r="B2972" s="2" t="str">
        <x:v>감축량 인증</x:v>
      </x:c>
      <x:c r="C2972" s="2" t="str">
        <x:v>국외</x:v>
      </x:c>
      <x:c r="D2972" s="7" t="str">
        <x:v>기후변화센터의 동남아시아 개발도상국(미얀마) 내 고효율 쿡스토브 보급 사업 CPA-050</x:v>
      </x:c>
      <x:c r="E2972" s="2" t="str">
        <x:v>558</x:v>
      </x:c>
      <x:c r="F2972" s="2" t="str">
        <x:v>2022-10-17</x:v>
      </x:c>
      <x:c r="G2972" s="2" t="str">
        <x:v>2022</x:v>
      </x:c>
      <x:c r="H2972" s="2" t="str">
        <x:v>10</x:v>
      </x:c>
      <x:c r="I2972" s="2" t="str">
        <x:v>심의승인</x:v>
      </x:c>
      <x:c r="J2972" s="2" t="str">
        <x:v>심의승인</x:v>
      </x:c>
      <x:c r="K2972" s="2" t="str">
        <x:f>IF(OR(J2972="심의승인",J2972="반려",J2972="반려완료",J2972="심의완료"),"종결 표시",IF(OR(J2972="기후부협의",J2972="문서재제출요청",J2972="보류",J2972="보완요청",J2972="보완완료",J2972="평가중",J2972="반려요청",J2972="평가필요",LEFT(J2972,5)="보완요청("),"미종결 표시","상태 확인 필요"))</x:f>
        <x:v>종결 표시</x:v>
      </x:c>
      <x:c r="L2972" s="2" t="str">
        <x:v>KRIC</x:v>
      </x:c>
      <x:c r="M2972" s="2"/>
      <x:c r="N2972" s="8" t="n">
        <x:f>DATE(2026,10,15)-DATE(2022,10,17)</x:f>
        <x:v>1459</x:v>
      </x:c>
      <x:c r="O2972" s="2"/>
      <x:c r="P2972" s="2"/>
      <x:c r="Q2972" s="2" t="str">
        <x:v>산업전환_외부사업관리Tool_260707_이너젠 수정_LJY_261013.xlsx</x:v>
      </x:c>
      <x:c r="R2972" s="2" t="str">
        <x:v>국외인증</x:v>
      </x:c>
      <x:c r="S2972" s="8" t="n">
        <x:v>559</x:v>
      </x:c>
      <x:c r="T2972" s="2" t="str">
        <x:v>(10/19)</x:v>
      </x:c>
      <x:c r="U2972" s="2" t="str">
        <x:v>2022 지정: (10/19)</x:v>
      </x:c>
      <x:c r="V2972" s="2" t="str">
        <x:v>2023-03-24</x:v>
      </x:c>
      <x:c r="W2972" s="2" t="str"/>
      <x:c r="X2972" s="2" t="str">
        <x:v>종결 근거 보관</x:v>
      </x:c>
      <x:c r="Y2972" s="2" t="str">
        <x:v>ad210cd9ec132cfd447541c8984dc53d30aff0f4fb2dc92d254d49275cc55976</x:v>
      </x:c>
      <x:c r="Z2972" s="2" t="n">
        <x:f>SUBTOTAL(103,A2972)</x:f>
        <x:v>1</x:v>
      </x:c>
      <x:c r="AA2972" s="2" t="str">
        <x:f>IF(K2972&lt;&gt;"미종결 표시","대상 아님",IF(N2972="","신청일 확인",IF(NOT(ISNUMBER('종합 현황'!$H$5)),"관찰기준 확인",IF('종합 현황'!$H$5&lt;1,"관찰기준 확인",IF(N2972&gt;'종합 현황'!$H$5,"내부 관찰 대상","내부 관찰일 이하")))))</x:f>
        <x:v>대상 아님</x:v>
      </x:c>
      <x:c r="AB2972" s="2" t="str">
        <x:v>2022-10-17 14:01 - 신청
2022-11-11 10:23 - 문서재제출요청
2022-11-24 10:41 - 신청
2022-12-23 14:34 - 문서재제출요청
2022-12-23 19:44 - 신청
2023-03-15 10:44 - 검토승인
2023-03-24 16:17 - 심의승인</x:v>
      </x:c>
    </x:row>
    <x:row r="2973" ht="42" customHeight="1">
      <x:c r="A2973" s="2" t="str">
        <x:v>2d920719ed456e4d969f72ba</x:v>
      </x:c>
      <x:c r="B2973" s="2" t="str">
        <x:v>감축량 인증</x:v>
      </x:c>
      <x:c r="C2973" s="2" t="str">
        <x:v>국외</x:v>
      </x:c>
      <x:c r="D2973" s="7" t="str">
        <x:v>기후변화센터의 동남아시아 개발도상국(미얀마) 내 고효율 쿡스토브 보급 사업 CPA-051</x:v>
      </x:c>
      <x:c r="E2973" s="2" t="str">
        <x:v>559</x:v>
      </x:c>
      <x:c r="F2973" s="2" t="str">
        <x:v>2022-10-17</x:v>
      </x:c>
      <x:c r="G2973" s="2" t="str">
        <x:v>2022</x:v>
      </x:c>
      <x:c r="H2973" s="2" t="str">
        <x:v>10</x:v>
      </x:c>
      <x:c r="I2973" s="2" t="str">
        <x:v>심의승인</x:v>
      </x:c>
      <x:c r="J2973" s="2" t="str">
        <x:v>심의승인</x:v>
      </x:c>
      <x:c r="K2973" s="2" t="str">
        <x:f>IF(OR(J2973="심의승인",J2973="반려",J2973="반려완료",J2973="심의완료"),"종결 표시",IF(OR(J2973="기후부협의",J2973="문서재제출요청",J2973="보류",J2973="보완요청",J2973="보완완료",J2973="평가중",J2973="반려요청",J2973="평가필요",LEFT(J2973,5)="보완요청("),"미종결 표시","상태 확인 필요"))</x:f>
        <x:v>종결 표시</x:v>
      </x:c>
      <x:c r="L2973" s="2" t="str">
        <x:v>KRIC</x:v>
      </x:c>
      <x:c r="M2973" s="2"/>
      <x:c r="N2973" s="8" t="n">
        <x:f>DATE(2026,10,15)-DATE(2022,10,17)</x:f>
        <x:v>1459</x:v>
      </x:c>
      <x:c r="O2973" s="2"/>
      <x:c r="P2973" s="2"/>
      <x:c r="Q2973" s="2" t="str">
        <x:v>산업전환_외부사업관리Tool_260707_이너젠 수정_LJY_261013.xlsx</x:v>
      </x:c>
      <x:c r="R2973" s="2" t="str">
        <x:v>국외인증</x:v>
      </x:c>
      <x:c r="S2973" s="8" t="n">
        <x:v>560</x:v>
      </x:c>
      <x:c r="T2973" s="2" t="str">
        <x:v>(10/19)(11/18)</x:v>
      </x:c>
      <x:c r="U2973" s="2" t="str">
        <x:v>2022 지정: (10/19)(11/18)</x:v>
      </x:c>
      <x:c r="V2973" s="2" t="str">
        <x:v>2023-03-24</x:v>
      </x:c>
      <x:c r="W2973" s="2" t="str"/>
      <x:c r="X2973" s="2" t="str">
        <x:v>종결 근거 보관</x:v>
      </x:c>
      <x:c r="Y2973" s="2" t="str">
        <x:v>ad210cd9ec132cfd447541c8984dc53d30aff0f4fb2dc92d254d49275cc55976</x:v>
      </x:c>
      <x:c r="Z2973" s="2" t="n">
        <x:f>SUBTOTAL(103,A2973)</x:f>
        <x:v>1</x:v>
      </x:c>
      <x:c r="AA2973" s="2" t="str">
        <x:f>IF(K2973&lt;&gt;"미종결 표시","대상 아님",IF(N2973="","신청일 확인",IF(NOT(ISNUMBER('종합 현황'!$H$5)),"관찰기준 확인",IF('종합 현황'!$H$5&lt;1,"관찰기준 확인",IF(N2973&gt;'종합 현황'!$H$5,"내부 관찰 대상","내부 관찰일 이하")))))</x:f>
        <x:v>대상 아님</x:v>
      </x:c>
      <x:c r="AB2973" s="2" t="str">
        <x:v>2022-10-17 14:01 - 신청
2022-11-23 14:06 - 문서재제출요청
2022-11-24 10:42 - 신청
2022-12-23 14:34 - 문서재제출요청
2022-12-23 19:45 - 신청
2023-03-15 10:45 - 검토승인
2023-03-24 16:17 - 심의승인</x:v>
      </x:c>
    </x:row>
    <x:row r="2974" ht="42" customHeight="1">
      <x:c r="A2974" s="2" t="str">
        <x:v>1e735cf8ae7fe6e76e633e4b</x:v>
      </x:c>
      <x:c r="B2974" s="2" t="str">
        <x:v>감축량 인증</x:v>
      </x:c>
      <x:c r="C2974" s="2" t="str">
        <x:v>국외</x:v>
      </x:c>
      <x:c r="D2974" s="7" t="str">
        <x:v>기후변화센터의 동남아시아 개발도상국(미얀마) 내 고효율 쿡스토브 보급 사업 CPA-052</x:v>
      </x:c>
      <x:c r="E2974" s="2" t="str">
        <x:v>560</x:v>
      </x:c>
      <x:c r="F2974" s="2" t="str">
        <x:v>2022-10-17</x:v>
      </x:c>
      <x:c r="G2974" s="2" t="str">
        <x:v>2022</x:v>
      </x:c>
      <x:c r="H2974" s="2" t="str">
        <x:v>10</x:v>
      </x:c>
      <x:c r="I2974" s="2" t="str">
        <x:v>심의승인</x:v>
      </x:c>
      <x:c r="J2974" s="2" t="str">
        <x:v>심의승인</x:v>
      </x:c>
      <x:c r="K2974" s="2" t="str">
        <x:f>IF(OR(J2974="심의승인",J2974="반려",J2974="반려완료",J2974="심의완료"),"종결 표시",IF(OR(J2974="기후부협의",J2974="문서재제출요청",J2974="보류",J2974="보완요청",J2974="보완완료",J2974="평가중",J2974="반려요청",J2974="평가필요",LEFT(J2974,5)="보완요청("),"미종결 표시","상태 확인 필요"))</x:f>
        <x:v>종결 표시</x:v>
      </x:c>
      <x:c r="L2974" s="2" t="str">
        <x:v>KRIC</x:v>
      </x:c>
      <x:c r="M2974" s="2"/>
      <x:c r="N2974" s="8" t="n">
        <x:f>DATE(2026,10,15)-DATE(2022,10,17)</x:f>
        <x:v>1459</x:v>
      </x:c>
      <x:c r="O2974" s="2"/>
      <x:c r="P2974" s="2"/>
      <x:c r="Q2974" s="2" t="str">
        <x:v>산업전환_외부사업관리Tool_260707_이너젠 수정_LJY_261013.xlsx</x:v>
      </x:c>
      <x:c r="R2974" s="2" t="str">
        <x:v>국외인증</x:v>
      </x:c>
      <x:c r="S2974" s="8" t="n">
        <x:v>561</x:v>
      </x:c>
      <x:c r="T2974" s="2" t="str">
        <x:v>(10/19)</x:v>
      </x:c>
      <x:c r="U2974" s="2" t="str">
        <x:v>2022 지정: (10/19)</x:v>
      </x:c>
      <x:c r="V2974" s="2" t="str">
        <x:v>2023-03-24</x:v>
      </x:c>
      <x:c r="W2974" s="2" t="str"/>
      <x:c r="X2974" s="2" t="str">
        <x:v>종결 근거 보관</x:v>
      </x:c>
      <x:c r="Y2974" s="2" t="str">
        <x:v>ad210cd9ec132cfd447541c8984dc53d30aff0f4fb2dc92d254d49275cc55976</x:v>
      </x:c>
      <x:c r="Z2974" s="2" t="n">
        <x:f>SUBTOTAL(103,A2974)</x:f>
        <x:v>1</x:v>
      </x:c>
      <x:c r="AA2974" s="2" t="str">
        <x:f>IF(K2974&lt;&gt;"미종결 표시","대상 아님",IF(N2974="","신청일 확인",IF(NOT(ISNUMBER('종합 현황'!$H$5)),"관찰기준 확인",IF('종합 현황'!$H$5&lt;1,"관찰기준 확인",IF(N2974&gt;'종합 현황'!$H$5,"내부 관찰 대상","내부 관찰일 이하")))))</x:f>
        <x:v>대상 아님</x:v>
      </x:c>
      <x:c r="AB2974" s="2" t="str">
        <x:v>2022-10-17 14:01 - 신청
2022-11-11 10:24 - 문서재제출요청
2022-11-24 10:42 - 신청
2022-12-23 14:33 - 문서재제출요청
2022-12-23 19:45 - 신청
2023-03-15 10:46 - 검토승인
2023-03-24 16:17 - 심의승인</x:v>
      </x:c>
    </x:row>
    <x:row r="2975" ht="42" customHeight="1">
      <x:c r="A2975" s="2" t="str">
        <x:v>c5480797fecd5ba5a1114762</x:v>
      </x:c>
      <x:c r="B2975" s="2" t="str">
        <x:v>감축량 인증</x:v>
      </x:c>
      <x:c r="C2975" s="2" t="str">
        <x:v>국외</x:v>
      </x:c>
      <x:c r="D2975" s="7" t="str">
        <x:v>기후변화센터의 동남아시아 개발도상국(미얀마) 내 고효율 쿡스토브 보급 사업 CPA-053</x:v>
      </x:c>
      <x:c r="E2975" s="2" t="str">
        <x:v>561</x:v>
      </x:c>
      <x:c r="F2975" s="2" t="str">
        <x:v>2022-10-17</x:v>
      </x:c>
      <x:c r="G2975" s="2" t="str">
        <x:v>2022</x:v>
      </x:c>
      <x:c r="H2975" s="2" t="str">
        <x:v>10</x:v>
      </x:c>
      <x:c r="I2975" s="2" t="str">
        <x:v>심의승인</x:v>
      </x:c>
      <x:c r="J2975" s="2" t="str">
        <x:v>심의승인</x:v>
      </x:c>
      <x:c r="K2975" s="2" t="str">
        <x:f>IF(OR(J2975="심의승인",J2975="반려",J2975="반려완료",J2975="심의완료"),"종결 표시",IF(OR(J2975="기후부협의",J2975="문서재제출요청",J2975="보류",J2975="보완요청",J2975="보완완료",J2975="평가중",J2975="반려요청",J2975="평가필요",LEFT(J2975,5)="보완요청("),"미종결 표시","상태 확인 필요"))</x:f>
        <x:v>종결 표시</x:v>
      </x:c>
      <x:c r="L2975" s="2" t="str">
        <x:v>KRIC</x:v>
      </x:c>
      <x:c r="M2975" s="2"/>
      <x:c r="N2975" s="8" t="n">
        <x:f>DATE(2026,10,15)-DATE(2022,10,17)</x:f>
        <x:v>1459</x:v>
      </x:c>
      <x:c r="O2975" s="2"/>
      <x:c r="P2975" s="2"/>
      <x:c r="Q2975" s="2" t="str">
        <x:v>산업전환_외부사업관리Tool_260707_이너젠 수정_LJY_261013.xlsx</x:v>
      </x:c>
      <x:c r="R2975" s="2" t="str">
        <x:v>국외인증</x:v>
      </x:c>
      <x:c r="S2975" s="8" t="n">
        <x:v>562</x:v>
      </x:c>
      <x:c r="T2975" s="2" t="str">
        <x:v>(10/19)</x:v>
      </x:c>
      <x:c r="U2975" s="2" t="str">
        <x:v>2022 지정: (10/19)</x:v>
      </x:c>
      <x:c r="V2975" s="2" t="str">
        <x:v>2023-03-24</x:v>
      </x:c>
      <x:c r="W2975" s="2" t="str"/>
      <x:c r="X2975" s="2" t="str">
        <x:v>종결 근거 보관</x:v>
      </x:c>
      <x:c r="Y2975" s="2" t="str">
        <x:v>ad210cd9ec132cfd447541c8984dc53d30aff0f4fb2dc92d254d49275cc55976</x:v>
      </x:c>
      <x:c r="Z2975" s="2" t="n">
        <x:f>SUBTOTAL(103,A2975)</x:f>
        <x:v>1</x:v>
      </x:c>
      <x:c r="AA2975" s="2" t="str">
        <x:f>IF(K2975&lt;&gt;"미종결 표시","대상 아님",IF(N2975="","신청일 확인",IF(NOT(ISNUMBER('종합 현황'!$H$5)),"관찰기준 확인",IF('종합 현황'!$H$5&lt;1,"관찰기준 확인",IF(N2975&gt;'종합 현황'!$H$5,"내부 관찰 대상","내부 관찰일 이하")))))</x:f>
        <x:v>대상 아님</x:v>
      </x:c>
      <x:c r="AB2975" s="2" t="str">
        <x:v>2022-10-17 14:02 - 신청
2022-11-11 10:24 - 문서재제출요청
2022-11-24 10:42 - 신청
2022-12-23 14:33 - 문서재제출요청
2022-12-23 19:45 - 신청
2023-03-15 10:46 - 검토승인
2023-03-24 16:18 - 심의승인</x:v>
      </x:c>
    </x:row>
    <x:row r="2976" ht="42" customHeight="1">
      <x:c r="A2976" s="2" t="str">
        <x:v>5d5e400b751d4063abf00637</x:v>
      </x:c>
      <x:c r="B2976" s="2" t="str">
        <x:v>감축량 인증</x:v>
      </x:c>
      <x:c r="C2976" s="2" t="str">
        <x:v>국외</x:v>
      </x:c>
      <x:c r="D2976" s="7" t="str">
        <x:v>기후변화센터의 동남아시아 개발도상국(미얀마) 내 고효율 쿡스토브 보급 사업 CPA-054</x:v>
      </x:c>
      <x:c r="E2976" s="2" t="str">
        <x:v>517</x:v>
      </x:c>
      <x:c r="F2976" s="2" t="str">
        <x:v>2022-10-17</x:v>
      </x:c>
      <x:c r="G2976" s="2" t="str">
        <x:v>2022</x:v>
      </x:c>
      <x:c r="H2976" s="2" t="str">
        <x:v>10</x:v>
      </x:c>
      <x:c r="I2976" s="2" t="str">
        <x:v>심의승인</x:v>
      </x:c>
      <x:c r="J2976" s="2" t="str">
        <x:v>심의승인</x:v>
      </x:c>
      <x:c r="K2976" s="2" t="str">
        <x:f>IF(OR(J2976="심의승인",J2976="반려",J2976="반려완료",J2976="심의완료"),"종결 표시",IF(OR(J2976="기후부협의",J2976="문서재제출요청",J2976="보류",J2976="보완요청",J2976="보완완료",J2976="평가중",J2976="반려요청",J2976="평가필요",LEFT(J2976,5)="보완요청("),"미종결 표시","상태 확인 필요"))</x:f>
        <x:v>종결 표시</x:v>
      </x:c>
      <x:c r="L2976" s="2" t="str">
        <x:v>KRIC</x:v>
      </x:c>
      <x:c r="M2976" s="2"/>
      <x:c r="N2976" s="8" t="n">
        <x:f>DATE(2026,10,15)-DATE(2022,10,17)</x:f>
        <x:v>1459</x:v>
      </x:c>
      <x:c r="O2976" s="2"/>
      <x:c r="P2976" s="2"/>
      <x:c r="Q2976" s="2" t="str">
        <x:v>산업전환_외부사업관리Tool_260707_이너젠 수정_LJY_261013.xlsx</x:v>
      </x:c>
      <x:c r="R2976" s="2" t="str">
        <x:v>국외인증</x:v>
      </x:c>
      <x:c r="S2976" s="8" t="n">
        <x:v>563</x:v>
      </x:c>
      <x:c r="T2976" s="2" t="str">
        <x:v>(10/19)</x:v>
      </x:c>
      <x:c r="U2976" s="2" t="str">
        <x:v>2022 지정: (10/19)</x:v>
      </x:c>
      <x:c r="V2976" s="2" t="str">
        <x:v>2023-03-24</x:v>
      </x:c>
      <x:c r="W2976" s="2" t="str"/>
      <x:c r="X2976" s="2" t="str">
        <x:v>종결 근거 보관</x:v>
      </x:c>
      <x:c r="Y2976" s="2" t="str">
        <x:v>ad210cd9ec132cfd447541c8984dc53d30aff0f4fb2dc92d254d49275cc55976</x:v>
      </x:c>
      <x:c r="Z2976" s="2" t="n">
        <x:f>SUBTOTAL(103,A2976)</x:f>
        <x:v>1</x:v>
      </x:c>
      <x:c r="AA2976" s="2" t="str">
        <x:f>IF(K2976&lt;&gt;"미종결 표시","대상 아님",IF(N2976="","신청일 확인",IF(NOT(ISNUMBER('종합 현황'!$H$5)),"관찰기준 확인",IF('종합 현황'!$H$5&lt;1,"관찰기준 확인",IF(N2976&gt;'종합 현황'!$H$5,"내부 관찰 대상","내부 관찰일 이하")))))</x:f>
        <x:v>대상 아님</x:v>
      </x:c>
      <x:c r="AB2976" s="2" t="str">
        <x:v>2022-10-17 13:40 - 신청
2022-11-11 10:25 - 문서재제출요청
2022-11-24 10:42 - 신청
2022-12-23 14:33 - 문서재제출요청
2022-12-23 19:46 - 신청
2023-03-15 10:47 - 검토승인
2023-03-24 16:18 - 심의승인</x:v>
      </x:c>
    </x:row>
    <x:row r="2977" ht="42" customHeight="1">
      <x:c r="A2977" s="2" t="str">
        <x:v>de8efdef8c44f8f9807c136c</x:v>
      </x:c>
      <x:c r="B2977" s="2" t="str">
        <x:v>감축량 인증</x:v>
      </x:c>
      <x:c r="C2977" s="2" t="str">
        <x:v>국외</x:v>
      </x:c>
      <x:c r="D2977" s="7" t="str">
        <x:v>기후변화센터의 동남아시아 개발도상국(미얀마) 내 고효율 쿡스토브 보급 사업 CPA-055</x:v>
      </x:c>
      <x:c r="E2977" s="2" t="str">
        <x:v>562</x:v>
      </x:c>
      <x:c r="F2977" s="2" t="str">
        <x:v>2022-10-17</x:v>
      </x:c>
      <x:c r="G2977" s="2" t="str">
        <x:v>2022</x:v>
      </x:c>
      <x:c r="H2977" s="2" t="str">
        <x:v>10</x:v>
      </x:c>
      <x:c r="I2977" s="2" t="str">
        <x:v>심의승인</x:v>
      </x:c>
      <x:c r="J2977" s="2" t="str">
        <x:v>심의승인</x:v>
      </x:c>
      <x:c r="K2977" s="2" t="str">
        <x:f>IF(OR(J2977="심의승인",J2977="반려",J2977="반려완료",J2977="심의완료"),"종결 표시",IF(OR(J2977="기후부협의",J2977="문서재제출요청",J2977="보류",J2977="보완요청",J2977="보완완료",J2977="평가중",J2977="반려요청",J2977="평가필요",LEFT(J2977,5)="보완요청("),"미종결 표시","상태 확인 필요"))</x:f>
        <x:v>종결 표시</x:v>
      </x:c>
      <x:c r="L2977" s="2" t="str">
        <x:v>KRIC</x:v>
      </x:c>
      <x:c r="M2977" s="2"/>
      <x:c r="N2977" s="8" t="n">
        <x:f>DATE(2026,10,15)-DATE(2022,10,17)</x:f>
        <x:v>1459</x:v>
      </x:c>
      <x:c r="O2977" s="2"/>
      <x:c r="P2977" s="2"/>
      <x:c r="Q2977" s="2" t="str">
        <x:v>산업전환_외부사업관리Tool_260707_이너젠 수정_LJY_261013.xlsx</x:v>
      </x:c>
      <x:c r="R2977" s="2" t="str">
        <x:v>국외인증</x:v>
      </x:c>
      <x:c r="S2977" s="8" t="n">
        <x:v>564</x:v>
      </x:c>
      <x:c r="T2977" s="2" t="str">
        <x:v>(10/19)</x:v>
      </x:c>
      <x:c r="U2977" s="2" t="str">
        <x:v>2022 지정: (10/19)</x:v>
      </x:c>
      <x:c r="V2977" s="2" t="str">
        <x:v>2023-03-24</x:v>
      </x:c>
      <x:c r="W2977" s="2" t="str"/>
      <x:c r="X2977" s="2" t="str">
        <x:v>종결 근거 보관</x:v>
      </x:c>
      <x:c r="Y2977" s="2" t="str">
        <x:v>ad210cd9ec132cfd447541c8984dc53d30aff0f4fb2dc92d254d49275cc55976</x:v>
      </x:c>
      <x:c r="Z2977" s="2" t="n">
        <x:f>SUBTOTAL(103,A2977)</x:f>
        <x:v>1</x:v>
      </x:c>
      <x:c r="AA2977" s="2" t="str">
        <x:f>IF(K2977&lt;&gt;"미종결 표시","대상 아님",IF(N2977="","신청일 확인",IF(NOT(ISNUMBER('종합 현황'!$H$5)),"관찰기준 확인",IF('종합 현황'!$H$5&lt;1,"관찰기준 확인",IF(N2977&gt;'종합 현황'!$H$5,"내부 관찰 대상","내부 관찰일 이하")))))</x:f>
        <x:v>대상 아님</x:v>
      </x:c>
      <x:c r="AB2977" s="2" t="str">
        <x:v>2022-10-17 14:02 - 신청
2022-11-11 10:26 - 문서재제출요청
2022-11-24 10:43 - 신청
2022-12-23 14:32 - 문서재제출요청
2022-12-23 19:46 - 신청
2023-03-15 10:47 - 검토승인
2023-03-24 16:19 - 심의승인</x:v>
      </x:c>
    </x:row>
    <x:row r="2978" ht="42" customHeight="1">
      <x:c r="A2978" s="2" t="str">
        <x:v>1a61fb149c185b62b6f86685</x:v>
      </x:c>
      <x:c r="B2978" s="2" t="str">
        <x:v>감축량 인증</x:v>
      </x:c>
      <x:c r="C2978" s="2" t="str">
        <x:v>국외</x:v>
      </x:c>
      <x:c r="D2978" s="7" t="str">
        <x:v>기후변화센터의 동남아시아 개발도상국(미얀마) 내 고효율 쿡스토브 보급 사업 CPA-056</x:v>
      </x:c>
      <x:c r="E2978" s="2" t="str">
        <x:v>563</x:v>
      </x:c>
      <x:c r="F2978" s="2" t="str">
        <x:v>2022-10-17</x:v>
      </x:c>
      <x:c r="G2978" s="2" t="str">
        <x:v>2022</x:v>
      </x:c>
      <x:c r="H2978" s="2" t="str">
        <x:v>10</x:v>
      </x:c>
      <x:c r="I2978" s="2" t="str">
        <x:v>심의승인</x:v>
      </x:c>
      <x:c r="J2978" s="2" t="str">
        <x:v>심의승인</x:v>
      </x:c>
      <x:c r="K2978" s="2" t="str">
        <x:f>IF(OR(J2978="심의승인",J2978="반려",J2978="반려완료",J2978="심의완료"),"종결 표시",IF(OR(J2978="기후부협의",J2978="문서재제출요청",J2978="보류",J2978="보완요청",J2978="보완완료",J2978="평가중",J2978="반려요청",J2978="평가필요",LEFT(J2978,5)="보완요청("),"미종결 표시","상태 확인 필요"))</x:f>
        <x:v>종결 표시</x:v>
      </x:c>
      <x:c r="L2978" s="2" t="str">
        <x:v>KRIC</x:v>
      </x:c>
      <x:c r="M2978" s="2"/>
      <x:c r="N2978" s="8" t="n">
        <x:f>DATE(2026,10,15)-DATE(2022,10,17)</x:f>
        <x:v>1459</x:v>
      </x:c>
      <x:c r="O2978" s="2"/>
      <x:c r="P2978" s="2"/>
      <x:c r="Q2978" s="2" t="str">
        <x:v>산업전환_외부사업관리Tool_260707_이너젠 수정_LJY_261013.xlsx</x:v>
      </x:c>
      <x:c r="R2978" s="2" t="str">
        <x:v>국외인증</x:v>
      </x:c>
      <x:c r="S2978" s="8" t="n">
        <x:v>565</x:v>
      </x:c>
      <x:c r="T2978" s="2" t="str">
        <x:v>(10/19)</x:v>
      </x:c>
      <x:c r="U2978" s="2" t="str">
        <x:v>2022 지정: (10/19)</x:v>
      </x:c>
      <x:c r="V2978" s="2" t="str">
        <x:v>2023-03-24</x:v>
      </x:c>
      <x:c r="W2978" s="2" t="str"/>
      <x:c r="X2978" s="2" t="str">
        <x:v>종결 근거 보관</x:v>
      </x:c>
      <x:c r="Y2978" s="2" t="str">
        <x:v>ad210cd9ec132cfd447541c8984dc53d30aff0f4fb2dc92d254d49275cc55976</x:v>
      </x:c>
      <x:c r="Z2978" s="2" t="n">
        <x:f>SUBTOTAL(103,A2978)</x:f>
        <x:v>1</x:v>
      </x:c>
      <x:c r="AA2978" s="2" t="str">
        <x:f>IF(K2978&lt;&gt;"미종결 표시","대상 아님",IF(N2978="","신청일 확인",IF(NOT(ISNUMBER('종합 현황'!$H$5)),"관찰기준 확인",IF('종합 현황'!$H$5&lt;1,"관찰기준 확인",IF(N2978&gt;'종합 현황'!$H$5,"내부 관찰 대상","내부 관찰일 이하")))))</x:f>
        <x:v>대상 아님</x:v>
      </x:c>
      <x:c r="AB2978" s="2" t="str">
        <x:v>2022-10-17 14:02 - 신청
2022-11-11 10:26 - 문서재제출요청
2022-11-24 10:43 - 신청
2022-12-23 14:32 - 문서재제출요청
2022-12-23 19:46 - 신청
2023-03-15 10:48 - 검토승인
2023-03-24 16:19 - 심의승인</x:v>
      </x:c>
    </x:row>
    <x:row r="2979" ht="42" customHeight="1">
      <x:c r="A2979" s="2" t="str">
        <x:v>c9c997105ae02d15b9bae256</x:v>
      </x:c>
      <x:c r="B2979" s="2" t="str">
        <x:v>감축량 인증</x:v>
      </x:c>
      <x:c r="C2979" s="2" t="str">
        <x:v>국외</x:v>
      </x:c>
      <x:c r="D2979" s="7" t="str">
        <x:v>기후변화센터의 동남아시아 개발도상국(미얀마) 내 고효율 쿡스토브 보급 사업 CPA-057</x:v>
      </x:c>
      <x:c r="E2979" s="2" t="str">
        <x:v>564</x:v>
      </x:c>
      <x:c r="F2979" s="2" t="str">
        <x:v>2022-10-17</x:v>
      </x:c>
      <x:c r="G2979" s="2" t="str">
        <x:v>2022</x:v>
      </x:c>
      <x:c r="H2979" s="2" t="str">
        <x:v>10</x:v>
      </x:c>
      <x:c r="I2979" s="2" t="str">
        <x:v>심의승인</x:v>
      </x:c>
      <x:c r="J2979" s="2" t="str">
        <x:v>심의승인</x:v>
      </x:c>
      <x:c r="K2979" s="2" t="str">
        <x:f>IF(OR(J2979="심의승인",J2979="반려",J2979="반려완료",J2979="심의완료"),"종결 표시",IF(OR(J2979="기후부협의",J2979="문서재제출요청",J2979="보류",J2979="보완요청",J2979="보완완료",J2979="평가중",J2979="반려요청",J2979="평가필요",LEFT(J2979,5)="보완요청("),"미종결 표시","상태 확인 필요"))</x:f>
        <x:v>종결 표시</x:v>
      </x:c>
      <x:c r="L2979" s="2" t="str">
        <x:v>KRIC</x:v>
      </x:c>
      <x:c r="M2979" s="2"/>
      <x:c r="N2979" s="8" t="n">
        <x:f>DATE(2026,10,15)-DATE(2022,10,17)</x:f>
        <x:v>1459</x:v>
      </x:c>
      <x:c r="O2979" s="2"/>
      <x:c r="P2979" s="2"/>
      <x:c r="Q2979" s="2" t="str">
        <x:v>산업전환_외부사업관리Tool_260707_이너젠 수정_LJY_261013.xlsx</x:v>
      </x:c>
      <x:c r="R2979" s="2" t="str">
        <x:v>국외인증</x:v>
      </x:c>
      <x:c r="S2979" s="8" t="n">
        <x:v>566</x:v>
      </x:c>
      <x:c r="T2979" s="2" t="str">
        <x:v>(10/19)</x:v>
      </x:c>
      <x:c r="U2979" s="2" t="str">
        <x:v>2022 지정: (10/19)</x:v>
      </x:c>
      <x:c r="V2979" s="2" t="str">
        <x:v>2023-03-24</x:v>
      </x:c>
      <x:c r="W2979" s="2" t="str"/>
      <x:c r="X2979" s="2" t="str">
        <x:v>종결 근거 보관</x:v>
      </x:c>
      <x:c r="Y2979" s="2" t="str">
        <x:v>ad210cd9ec132cfd447541c8984dc53d30aff0f4fb2dc92d254d49275cc55976</x:v>
      </x:c>
      <x:c r="Z2979" s="2" t="n">
        <x:f>SUBTOTAL(103,A2979)</x:f>
        <x:v>1</x:v>
      </x:c>
      <x:c r="AA2979" s="2" t="str">
        <x:f>IF(K2979&lt;&gt;"미종결 표시","대상 아님",IF(N2979="","신청일 확인",IF(NOT(ISNUMBER('종합 현황'!$H$5)),"관찰기준 확인",IF('종합 현황'!$H$5&lt;1,"관찰기준 확인",IF(N2979&gt;'종합 현황'!$H$5,"내부 관찰 대상","내부 관찰일 이하")))))</x:f>
        <x:v>대상 아님</x:v>
      </x:c>
      <x:c r="AB2979" s="2" t="str">
        <x:v>2022-10-17 14:02 - 신청
2022-11-11 10:28 - 문서재제출요청
2022-11-24 10:43 - 신청
2022-12-23 14:31 - 문서재제출요청
2022-12-23 19:47 - 신청
2023-03-15 10:48 - 검토승인
2023-03-24 16:20 - 심의승인</x:v>
      </x:c>
    </x:row>
    <x:row r="2980" ht="42" customHeight="1">
      <x:c r="A2980" s="2" t="str">
        <x:v>667b10e34656913ba27758a4</x:v>
      </x:c>
      <x:c r="B2980" s="2" t="str">
        <x:v>감축량 인증</x:v>
      </x:c>
      <x:c r="C2980" s="2" t="str">
        <x:v>국외</x:v>
      </x:c>
      <x:c r="D2980" s="7" t="str">
        <x:v>기후변화센터의 동남아시아 개발도상국(미얀마) 내 고효율 쿡스토브 보급 사업 CPA-058</x:v>
      </x:c>
      <x:c r="E2980" s="2" t="str">
        <x:v>565</x:v>
      </x:c>
      <x:c r="F2980" s="2" t="str">
        <x:v>2022-10-17</x:v>
      </x:c>
      <x:c r="G2980" s="2" t="str">
        <x:v>2022</x:v>
      </x:c>
      <x:c r="H2980" s="2" t="str">
        <x:v>10</x:v>
      </x:c>
      <x:c r="I2980" s="2" t="str">
        <x:v>심의승인</x:v>
      </x:c>
      <x:c r="J2980" s="2" t="str">
        <x:v>심의승인</x:v>
      </x:c>
      <x:c r="K2980" s="2" t="str">
        <x:f>IF(OR(J2980="심의승인",J2980="반려",J2980="반려완료",J2980="심의완료"),"종결 표시",IF(OR(J2980="기후부협의",J2980="문서재제출요청",J2980="보류",J2980="보완요청",J2980="보완완료",J2980="평가중",J2980="반려요청",J2980="평가필요",LEFT(J2980,5)="보완요청("),"미종결 표시","상태 확인 필요"))</x:f>
        <x:v>종결 표시</x:v>
      </x:c>
      <x:c r="L2980" s="2" t="str">
        <x:v>KRIC</x:v>
      </x:c>
      <x:c r="M2980" s="2"/>
      <x:c r="N2980" s="8" t="n">
        <x:f>DATE(2026,10,15)-DATE(2022,10,17)</x:f>
        <x:v>1459</x:v>
      </x:c>
      <x:c r="O2980" s="2"/>
      <x:c r="P2980" s="2"/>
      <x:c r="Q2980" s="2" t="str">
        <x:v>산업전환_외부사업관리Tool_260707_이너젠 수정_LJY_261013.xlsx</x:v>
      </x:c>
      <x:c r="R2980" s="2" t="str">
        <x:v>국외인증</x:v>
      </x:c>
      <x:c r="S2980" s="8" t="n">
        <x:v>567</x:v>
      </x:c>
      <x:c r="T2980" s="2" t="str">
        <x:v>(10/19)</x:v>
      </x:c>
      <x:c r="U2980" s="2" t="str">
        <x:v>2022 지정: (10/19)</x:v>
      </x:c>
      <x:c r="V2980" s="2" t="str">
        <x:v>2023-03-24</x:v>
      </x:c>
      <x:c r="W2980" s="2" t="str"/>
      <x:c r="X2980" s="2" t="str">
        <x:v>종결 근거 보관</x:v>
      </x:c>
      <x:c r="Y2980" s="2" t="str">
        <x:v>ad210cd9ec132cfd447541c8984dc53d30aff0f4fb2dc92d254d49275cc55976</x:v>
      </x:c>
      <x:c r="Z2980" s="2" t="n">
        <x:f>SUBTOTAL(103,A2980)</x:f>
        <x:v>1</x:v>
      </x:c>
      <x:c r="AA2980" s="2" t="str">
        <x:f>IF(K2980&lt;&gt;"미종결 표시","대상 아님",IF(N2980="","신청일 확인",IF(NOT(ISNUMBER('종합 현황'!$H$5)),"관찰기준 확인",IF('종합 현황'!$H$5&lt;1,"관찰기준 확인",IF(N2980&gt;'종합 현황'!$H$5,"내부 관찰 대상","내부 관찰일 이하")))))</x:f>
        <x:v>대상 아님</x:v>
      </x:c>
      <x:c r="AB2980" s="2" t="str">
        <x:v>2022-10-17 14:03 - 신청
2022-11-11 10:28 - 문서재제출요청
2022-11-24 10:43 - 신청
2022-12-23 14:31 - 문서재제출요청
2022-12-23 19:47 - 신청
2023-03-15 10:48 - 검토승인
2023-03-24 16:20 - 심의승인</x:v>
      </x:c>
    </x:row>
    <x:row r="2981" ht="42" customHeight="1">
      <x:c r="A2981" s="2" t="str">
        <x:v>b5ab8e5138401c6bc07e4075</x:v>
      </x:c>
      <x:c r="B2981" s="2" t="str">
        <x:v>감축량 인증</x:v>
      </x:c>
      <x:c r="C2981" s="2" t="str">
        <x:v>국외</x:v>
      </x:c>
      <x:c r="D2981" s="7" t="str">
        <x:v>베트남 호아빈의 개선된 쿡스토브 사업 - CPA 002</x:v>
      </x:c>
      <x:c r="E2981" s="2" t="str">
        <x:v>566</x:v>
      </x:c>
      <x:c r="F2981" s="2" t="str">
        <x:v>2022-10-19</x:v>
      </x:c>
      <x:c r="G2981" s="2" t="str">
        <x:v>2022</x:v>
      </x:c>
      <x:c r="H2981" s="2" t="str">
        <x:v>10</x:v>
      </x:c>
      <x:c r="I2981" s="2" t="str">
        <x:v>심의승인</x:v>
      </x:c>
      <x:c r="J2981" s="2" t="str">
        <x:v>심의승인</x:v>
      </x:c>
      <x:c r="K2981" s="2" t="str">
        <x:f>IF(OR(J2981="심의승인",J2981="반려",J2981="반려완료",J2981="심의완료"),"종결 표시",IF(OR(J2981="기후부협의",J2981="문서재제출요청",J2981="보류",J2981="보완요청",J2981="보완완료",J2981="평가중",J2981="반려요청",J2981="평가필요",LEFT(J2981,5)="보완요청("),"미종결 표시","상태 확인 필요"))</x:f>
        <x:v>종결 표시</x:v>
      </x:c>
      <x:c r="L2981" s="2" t="str">
        <x:v>KRIC</x:v>
      </x:c>
      <x:c r="M2981" s="2"/>
      <x:c r="N2981" s="8" t="n">
        <x:f>DATE(2026,10,15)-DATE(2022,10,19)</x:f>
        <x:v>1457</x:v>
      </x:c>
      <x:c r="O2981" s="2"/>
      <x:c r="P2981" s="2"/>
      <x:c r="Q2981" s="2" t="str">
        <x:v>산업전환_외부사업관리Tool_260707_이너젠 수정_LJY_261013.xlsx</x:v>
      </x:c>
      <x:c r="R2981" s="2" t="str">
        <x:v>국외인증</x:v>
      </x:c>
      <x:c r="S2981" s="8" t="n">
        <x:v>568</x:v>
      </x:c>
      <x:c r="T2981" s="2" t="str">
        <x:v>(11/18)</x:v>
      </x:c>
      <x:c r="U2981" s="2" t="str">
        <x:v>2022 지정: (11/18)</x:v>
      </x:c>
      <x:c r="V2981" s="2" t="str">
        <x:v>2023-06-22</x:v>
      </x:c>
      <x:c r="W2981" s="2" t="str"/>
      <x:c r="X2981" s="2" t="str">
        <x:v>종결 근거 보관</x:v>
      </x:c>
      <x:c r="Y2981" s="2" t="str">
        <x:v>ad210cd9ec132cfd447541c8984dc53d30aff0f4fb2dc92d254d49275cc55976</x:v>
      </x:c>
      <x:c r="Z2981" s="2" t="n">
        <x:f>SUBTOTAL(103,A2981)</x:f>
        <x:v>1</x:v>
      </x:c>
      <x:c r="AA2981" s="2" t="str">
        <x:f>IF(K2981&lt;&gt;"미종결 표시","대상 아님",IF(N2981="","신청일 확인",IF(NOT(ISNUMBER('종합 현황'!$H$5)),"관찰기준 확인",IF('종합 현황'!$H$5&lt;1,"관찰기준 확인",IF(N2981&gt;'종합 현황'!$H$5,"내부 관찰 대상","내부 관찰일 이하")))))</x:f>
        <x:v>대상 아님</x:v>
      </x:c>
      <x:c r="AB2981" s="2" t="str">
        <x:v>2022-10-19 10:18 - 신청
2022-11-28 10:15 - 문서재제출요청
2023-01-02 15:19 - 신청
2023-02-23 22:15 - 문서재제출요청
2023-02-24 09:44 - 신청
2023-02-24 10:06 - 문서재제출요청
2023-02-24 10:20 - 신청
2023-03-08 16:20 - 문서재제출요청
2023-03-08 16:25 - 신청
2023-03-29 17:02 - 검토승인
2023-03-29 17:04 - 협의검토중
2023-05-04 11:15 - 협의통보
2023-06-22 16:24 - 심의승인</x:v>
      </x:c>
    </x:row>
    <x:row r="2982" ht="42" customHeight="1">
      <x:c r="A2982" s="2" t="str">
        <x:v>e6a1afa68f7421fab08bfb8d</x:v>
      </x:c>
      <x:c r="B2982" s="2" t="str">
        <x:v>감축량 인증</x:v>
      </x:c>
      <x:c r="C2982" s="2" t="str">
        <x:v>국외</x:v>
      </x:c>
      <x:c r="D2982" s="7" t="str">
        <x:v>베트남 푸토의 개선된 쿡스토브 사업 - CPA 003</x:v>
      </x:c>
      <x:c r="E2982" s="2" t="str">
        <x:v>567</x:v>
      </x:c>
      <x:c r="F2982" s="2" t="str">
        <x:v>2022-10-19</x:v>
      </x:c>
      <x:c r="G2982" s="2" t="str">
        <x:v>2022</x:v>
      </x:c>
      <x:c r="H2982" s="2" t="str">
        <x:v>10</x:v>
      </x:c>
      <x:c r="I2982" s="2" t="str">
        <x:v>심의승인</x:v>
      </x:c>
      <x:c r="J2982" s="2" t="str">
        <x:v>심의승인</x:v>
      </x:c>
      <x:c r="K2982" s="2" t="str">
        <x:f>IF(OR(J2982="심의승인",J2982="반려",J2982="반려완료",J2982="심의완료"),"종결 표시",IF(OR(J2982="기후부협의",J2982="문서재제출요청",J2982="보류",J2982="보완요청",J2982="보완완료",J2982="평가중",J2982="반려요청",J2982="평가필요",LEFT(J2982,5)="보완요청("),"미종결 표시","상태 확인 필요"))</x:f>
        <x:v>종결 표시</x:v>
      </x:c>
      <x:c r="L2982" s="2" t="str">
        <x:v>KRIC</x:v>
      </x:c>
      <x:c r="M2982" s="2"/>
      <x:c r="N2982" s="8" t="n">
        <x:f>DATE(2026,10,15)-DATE(2022,10,19)</x:f>
        <x:v>1457</x:v>
      </x:c>
      <x:c r="O2982" s="2"/>
      <x:c r="P2982" s="2"/>
      <x:c r="Q2982" s="2" t="str">
        <x:v>산업전환_외부사업관리Tool_260707_이너젠 수정_LJY_261013.xlsx</x:v>
      </x:c>
      <x:c r="R2982" s="2" t="str">
        <x:v>국외인증</x:v>
      </x:c>
      <x:c r="S2982" s="8" t="n">
        <x:v>569</x:v>
      </x:c>
      <x:c r="T2982" s="2" t="str">
        <x:v>(11/18)</x:v>
      </x:c>
      <x:c r="U2982" s="2" t="str">
        <x:v>2022 지정: (11/18)</x:v>
      </x:c>
      <x:c r="V2982" s="2" t="str">
        <x:v>2023-06-22</x:v>
      </x:c>
      <x:c r="W2982" s="2" t="str"/>
      <x:c r="X2982" s="2" t="str">
        <x:v>종결 근거 보관</x:v>
      </x:c>
      <x:c r="Y2982" s="2" t="str">
        <x:v>ad210cd9ec132cfd447541c8984dc53d30aff0f4fb2dc92d254d49275cc55976</x:v>
      </x:c>
      <x:c r="Z2982" s="2" t="n">
        <x:f>SUBTOTAL(103,A2982)</x:f>
        <x:v>1</x:v>
      </x:c>
      <x:c r="AA2982" s="2" t="str">
        <x:f>IF(K2982&lt;&gt;"미종결 표시","대상 아님",IF(N2982="","신청일 확인",IF(NOT(ISNUMBER('종합 현황'!$H$5)),"관찰기준 확인",IF('종합 현황'!$H$5&lt;1,"관찰기준 확인",IF(N2982&gt;'종합 현황'!$H$5,"내부 관찰 대상","내부 관찰일 이하")))))</x:f>
        <x:v>대상 아님</x:v>
      </x:c>
      <x:c r="AB2982" s="2" t="str">
        <x:v>2022-10-19 10:18 - 신청
2022-11-28 10:09 - 문서재제출요청
2023-01-02 15:19 - 신청
2023-02-23 21:49 - 문서재제출요청
2023-02-24 09:44 - 신청
2023-02-24 10:06 - 문서재제출요청
2023-02-24 10:20 - 신청
2023-03-08 16:14 - 문서재제출요청
2023-03-08 16:25 - 신청
2023-03-29 16:53 - 검토승인
2023-03-29 17:00 - 협의검토중
2023-05-04 11:15 - 협의통보
2023-06-22 16:21 - 심의승인</x:v>
      </x:c>
    </x:row>
    <x:row r="2983" ht="42" customHeight="1">
      <x:c r="A2983" s="2" t="str">
        <x:v>a612bd388a889496ceae9725</x:v>
      </x:c>
      <x:c r="B2983" s="2" t="str">
        <x:v>감축량 인증</x:v>
      </x:c>
      <x:c r="C2983" s="2" t="str">
        <x:v>국외</x:v>
      </x:c>
      <x:c r="D2983" s="7" t="str">
        <x:v>베트남 푸토의 개선된 쿡스토브 사업 - CPA 004</x:v>
      </x:c>
      <x:c r="E2983" s="2" t="str">
        <x:v>568</x:v>
      </x:c>
      <x:c r="F2983" s="2" t="str">
        <x:v>2022-10-19</x:v>
      </x:c>
      <x:c r="G2983" s="2" t="str">
        <x:v>2022</x:v>
      </x:c>
      <x:c r="H2983" s="2" t="str">
        <x:v>10</x:v>
      </x:c>
      <x:c r="I2983" s="2" t="str">
        <x:v>심의승인</x:v>
      </x:c>
      <x:c r="J2983" s="2" t="str">
        <x:v>심의승인</x:v>
      </x:c>
      <x:c r="K2983" s="2" t="str">
        <x:f>IF(OR(J2983="심의승인",J2983="반려",J2983="반려완료",J2983="심의완료"),"종결 표시",IF(OR(J2983="기후부협의",J2983="문서재제출요청",J2983="보류",J2983="보완요청",J2983="보완완료",J2983="평가중",J2983="반려요청",J2983="평가필요",LEFT(J2983,5)="보완요청("),"미종결 표시","상태 확인 필요"))</x:f>
        <x:v>종결 표시</x:v>
      </x:c>
      <x:c r="L2983" s="2" t="str">
        <x:v>KRIC</x:v>
      </x:c>
      <x:c r="M2983" s="2"/>
      <x:c r="N2983" s="8" t="n">
        <x:f>DATE(2026,10,15)-DATE(2022,10,19)</x:f>
        <x:v>1457</x:v>
      </x:c>
      <x:c r="O2983" s="2"/>
      <x:c r="P2983" s="2"/>
      <x:c r="Q2983" s="2" t="str">
        <x:v>산업전환_외부사업관리Tool_260707_이너젠 수정_LJY_261013.xlsx</x:v>
      </x:c>
      <x:c r="R2983" s="2" t="str">
        <x:v>국외인증</x:v>
      </x:c>
      <x:c r="S2983" s="8" t="n">
        <x:v>570</x:v>
      </x:c>
      <x:c r="T2983" s="2" t="str">
        <x:v>(11/18)</x:v>
      </x:c>
      <x:c r="U2983" s="2" t="str">
        <x:v>2022 지정: (11/18)</x:v>
      </x:c>
      <x:c r="V2983" s="2" t="str">
        <x:v>2023-06-22</x:v>
      </x:c>
      <x:c r="W2983" s="2" t="str"/>
      <x:c r="X2983" s="2" t="str">
        <x:v>종결 근거 보관</x:v>
      </x:c>
      <x:c r="Y2983" s="2" t="str">
        <x:v>ad210cd9ec132cfd447541c8984dc53d30aff0f4fb2dc92d254d49275cc55976</x:v>
      </x:c>
      <x:c r="Z2983" s="2" t="n">
        <x:f>SUBTOTAL(103,A2983)</x:f>
        <x:v>1</x:v>
      </x:c>
      <x:c r="AA2983" s="2" t="str">
        <x:f>IF(K2983&lt;&gt;"미종결 표시","대상 아님",IF(N2983="","신청일 확인",IF(NOT(ISNUMBER('종합 현황'!$H$5)),"관찰기준 확인",IF('종합 현황'!$H$5&lt;1,"관찰기준 확인",IF(N2983&gt;'종합 현황'!$H$5,"내부 관찰 대상","내부 관찰일 이하")))))</x:f>
        <x:v>대상 아님</x:v>
      </x:c>
      <x:c r="AB2983" s="2" t="str">
        <x:v>2022-10-19 10:18 - 신청
2022-11-28 10:11 - 문서재제출요청
2023-01-02 15:19 - 신청
2023-02-23 21:49 - 문서재제출요청
2023-02-24 09:45 - 신청
2023-02-24 10:06 - 문서재제출요청
2023-02-24 10:21 - 신청
2023-03-08 16:14 - 문서재제출요청
2023-03-08 16:26 - 신청
2023-03-29 16:57 - 검토승인
2023-03-29 17:00 - 협의검토중
2023-05-04 11:14 - 협의통보
2023-06-22 16:21 - 심의승인</x:v>
      </x:c>
    </x:row>
    <x:row r="2984" ht="42" customHeight="1">
      <x:c r="A2984" s="2" t="str">
        <x:v>84919977d430e8400bc95ee2</x:v>
      </x:c>
      <x:c r="B2984" s="2" t="str">
        <x:v>감축량 인증</x:v>
      </x:c>
      <x:c r="C2984" s="2" t="str">
        <x:v>국외</x:v>
      </x:c>
      <x:c r="D2984" s="7" t="str">
        <x:v>베트남 타이응우옌의 개선된 쿡스토브 사업 - CPA 005</x:v>
      </x:c>
      <x:c r="E2984" s="2" t="str">
        <x:v>569</x:v>
      </x:c>
      <x:c r="F2984" s="2" t="str">
        <x:v>2022-10-19</x:v>
      </x:c>
      <x:c r="G2984" s="2" t="str">
        <x:v>2022</x:v>
      </x:c>
      <x:c r="H2984" s="2" t="str">
        <x:v>10</x:v>
      </x:c>
      <x:c r="I2984" s="2" t="str">
        <x:v>심의승인</x:v>
      </x:c>
      <x:c r="J2984" s="2" t="str">
        <x:v>심의승인</x:v>
      </x:c>
      <x:c r="K2984" s="2" t="str">
        <x:f>IF(OR(J2984="심의승인",J2984="반려",J2984="반려완료",J2984="심의완료"),"종결 표시",IF(OR(J2984="기후부협의",J2984="문서재제출요청",J2984="보류",J2984="보완요청",J2984="보완완료",J2984="평가중",J2984="반려요청",J2984="평가필요",LEFT(J2984,5)="보완요청("),"미종결 표시","상태 확인 필요"))</x:f>
        <x:v>종결 표시</x:v>
      </x:c>
      <x:c r="L2984" s="2" t="str">
        <x:v>KRIC</x:v>
      </x:c>
      <x:c r="M2984" s="2"/>
      <x:c r="N2984" s="8" t="n">
        <x:f>DATE(2026,10,15)-DATE(2022,10,19)</x:f>
        <x:v>1457</x:v>
      </x:c>
      <x:c r="O2984" s="2"/>
      <x:c r="P2984" s="2"/>
      <x:c r="Q2984" s="2" t="str">
        <x:v>산업전환_외부사업관리Tool_260707_이너젠 수정_LJY_261013.xlsx</x:v>
      </x:c>
      <x:c r="R2984" s="2" t="str">
        <x:v>국외인증</x:v>
      </x:c>
      <x:c r="S2984" s="8" t="n">
        <x:v>571</x:v>
      </x:c>
      <x:c r="T2984" s="2" t="str">
        <x:v>(11/18)</x:v>
      </x:c>
      <x:c r="U2984" s="2" t="str">
        <x:v>2022 지정: (11/18)</x:v>
      </x:c>
      <x:c r="V2984" s="2" t="str">
        <x:v>2023-06-22</x:v>
      </x:c>
      <x:c r="W2984" s="2" t="str"/>
      <x:c r="X2984" s="2" t="str">
        <x:v>종결 근거 보관</x:v>
      </x:c>
      <x:c r="Y2984" s="2" t="str">
        <x:v>ad210cd9ec132cfd447541c8984dc53d30aff0f4fb2dc92d254d49275cc55976</x:v>
      </x:c>
      <x:c r="Z2984" s="2" t="n">
        <x:f>SUBTOTAL(103,A2984)</x:f>
        <x:v>1</x:v>
      </x:c>
      <x:c r="AA2984" s="2" t="str">
        <x:f>IF(K2984&lt;&gt;"미종결 표시","대상 아님",IF(N2984="","신청일 확인",IF(NOT(ISNUMBER('종합 현황'!$H$5)),"관찰기준 확인",IF('종합 현황'!$H$5&lt;1,"관찰기준 확인",IF(N2984&gt;'종합 현황'!$H$5,"내부 관찰 대상","내부 관찰일 이하")))))</x:f>
        <x:v>대상 아님</x:v>
      </x:c>
      <x:c r="AB2984" s="2" t="str">
        <x:v>2022-10-19 10:18 - 신청
2022-11-28 09:57 - 문서재제출요청
2023-01-02 15:20 - 신청
2023-02-20 15:39 - 문서재제출요청
2023-02-20 16:03 - 신청
2023-02-23 21:22 - 문서재제출요청
2023-02-24 09:47 - 신청
2023-02-24 10:07 - 문서재제출요청
2023-02-24 10:22 - 신청
2023-03-08 16:21 - 문서재제출요청
2023-03-08 16:27 - 신청
2023-03-29 16:43 - 검토승인
2023-03-29 16:51 - 협의검토중
2023-05-04 11:14 - 협의통보
2023-06-22 16:17 - 심의승인</x:v>
      </x:c>
    </x:row>
    <x:row r="2985" ht="42" customHeight="1">
      <x:c r="A2985" s="2" t="str">
        <x:v>ff69e51f7dd2dd97dc75e221</x:v>
      </x:c>
      <x:c r="B2985" s="2" t="str">
        <x:v>감축량 인증</x:v>
      </x:c>
      <x:c r="C2985" s="2" t="str">
        <x:v>국외</x:v>
      </x:c>
      <x:c r="D2985" s="7" t="str">
        <x:v>베트남 타이응우옌의 개선된 쿡스토브 사업 - CPA 006</x:v>
      </x:c>
      <x:c r="E2985" s="2" t="str">
        <x:v>570</x:v>
      </x:c>
      <x:c r="F2985" s="2" t="str">
        <x:v>2022-10-19</x:v>
      </x:c>
      <x:c r="G2985" s="2" t="str">
        <x:v>2022</x:v>
      </x:c>
      <x:c r="H2985" s="2" t="str">
        <x:v>10</x:v>
      </x:c>
      <x:c r="I2985" s="2" t="str">
        <x:v>심의승인</x:v>
      </x:c>
      <x:c r="J2985" s="2" t="str">
        <x:v>심의승인</x:v>
      </x:c>
      <x:c r="K2985" s="2" t="str">
        <x:f>IF(OR(J2985="심의승인",J2985="반려",J2985="반려완료",J2985="심의완료"),"종결 표시",IF(OR(J2985="기후부협의",J2985="문서재제출요청",J2985="보류",J2985="보완요청",J2985="보완완료",J2985="평가중",J2985="반려요청",J2985="평가필요",LEFT(J2985,5)="보완요청("),"미종결 표시","상태 확인 필요"))</x:f>
        <x:v>종결 표시</x:v>
      </x:c>
      <x:c r="L2985" s="2" t="str">
        <x:v>KRIC</x:v>
      </x:c>
      <x:c r="M2985" s="2"/>
      <x:c r="N2985" s="8" t="n">
        <x:f>DATE(2026,10,15)-DATE(2022,10,19)</x:f>
        <x:v>1457</x:v>
      </x:c>
      <x:c r="O2985" s="2"/>
      <x:c r="P2985" s="2"/>
      <x:c r="Q2985" s="2" t="str">
        <x:v>산업전환_외부사업관리Tool_260707_이너젠 수정_LJY_261013.xlsx</x:v>
      </x:c>
      <x:c r="R2985" s="2" t="str">
        <x:v>국외인증</x:v>
      </x:c>
      <x:c r="S2985" s="8" t="n">
        <x:v>572</x:v>
      </x:c>
      <x:c r="T2985" s="2" t="str">
        <x:v>(11/18)</x:v>
      </x:c>
      <x:c r="U2985" s="2" t="str">
        <x:v>2022 지정: (11/18)</x:v>
      </x:c>
      <x:c r="V2985" s="2" t="str">
        <x:v>2023-06-22</x:v>
      </x:c>
      <x:c r="W2985" s="2" t="str"/>
      <x:c r="X2985" s="2" t="str">
        <x:v>종결 근거 보관</x:v>
      </x:c>
      <x:c r="Y2985" s="2" t="str">
        <x:v>ad210cd9ec132cfd447541c8984dc53d30aff0f4fb2dc92d254d49275cc55976</x:v>
      </x:c>
      <x:c r="Z2985" s="2" t="n">
        <x:f>SUBTOTAL(103,A2985)</x:f>
        <x:v>1</x:v>
      </x:c>
      <x:c r="AA2985" s="2" t="str">
        <x:f>IF(K2985&lt;&gt;"미종결 표시","대상 아님",IF(N2985="","신청일 확인",IF(NOT(ISNUMBER('종합 현황'!$H$5)),"관찰기준 확인",IF('종합 현황'!$H$5&lt;1,"관찰기준 확인",IF(N2985&gt;'종합 현황'!$H$5,"내부 관찰 대상","내부 관찰일 이하")))))</x:f>
        <x:v>대상 아님</x:v>
      </x:c>
      <x:c r="AB2985" s="2" t="str">
        <x:v>2022-10-19 10:18 - 신청
2022-11-28 09:59 - 문서재제출요청
2023-01-02 15:20 - 신청
2023-02-23 21:22 - 문서재제출요청
2023-02-24 09:48 - 신청
2023-02-24 10:07 - 문서재제출요청
2023-02-24 10:22 - 신청
2023-03-08 16:22 - 문서재제출요청
2023-03-08 16:27 - 신청
2023-03-29 16:47 - 검토승인
2023-03-29 16:51 - 협의검토중
2023-05-04 11:13 - 협의통보
2023-06-22 16:18 - 심의승인</x:v>
      </x:c>
    </x:row>
    <x:row r="2986" ht="42" customHeight="1">
      <x:c r="A2986" s="2" t="str">
        <x:v>db47b2fe86928b469b860808</x:v>
      </x:c>
      <x:c r="B2986" s="2" t="str">
        <x:v>감축량 인증</x:v>
      </x:c>
      <x:c r="C2986" s="2" t="str">
        <x:v>국외</x:v>
      </x:c>
      <x:c r="D2986" s="7" t="str">
        <x:v>베트남 호아빈의 개선된 쿡스토브 사업 - CPA 002</x:v>
      </x:c>
      <x:c r="E2986" s="2" t="str">
        <x:v>571</x:v>
      </x:c>
      <x:c r="F2986" s="2" t="str">
        <x:v>2022-10-19</x:v>
      </x:c>
      <x:c r="G2986" s="2" t="str">
        <x:v>2022</x:v>
      </x:c>
      <x:c r="H2986" s="2" t="str">
        <x:v>10</x:v>
      </x:c>
      <x:c r="I2986" s="2" t="str">
        <x:v>심의승인</x:v>
      </x:c>
      <x:c r="J2986" s="2" t="str">
        <x:v>심의승인</x:v>
      </x:c>
      <x:c r="K2986" s="2" t="str">
        <x:f>IF(OR(J2986="심의승인",J2986="반려",J2986="반려완료",J2986="심의완료"),"종결 표시",IF(OR(J2986="기후부협의",J2986="문서재제출요청",J2986="보류",J2986="보완요청",J2986="보완완료",J2986="평가중",J2986="반려요청",J2986="평가필요",LEFT(J2986,5)="보완요청("),"미종결 표시","상태 확인 필요"))</x:f>
        <x:v>종결 표시</x:v>
      </x:c>
      <x:c r="L2986" s="2" t="str">
        <x:v>KRIC</x:v>
      </x:c>
      <x:c r="M2986" s="2"/>
      <x:c r="N2986" s="8" t="n">
        <x:f>DATE(2026,10,15)-DATE(2022,10,19)</x:f>
        <x:v>1457</x:v>
      </x:c>
      <x:c r="O2986" s="2"/>
      <x:c r="P2986" s="2"/>
      <x:c r="Q2986" s="2" t="str">
        <x:v>산업전환_외부사업관리Tool_260707_이너젠 수정_LJY_261013.xlsx</x:v>
      </x:c>
      <x:c r="R2986" s="2" t="str">
        <x:v>국외인증</x:v>
      </x:c>
      <x:c r="S2986" s="8" t="n">
        <x:v>573</x:v>
      </x:c>
      <x:c r="T2986" s="2" t="str">
        <x:v>(11/18)</x:v>
      </x:c>
      <x:c r="U2986" s="2" t="str">
        <x:v>2022 지정: (11/18)</x:v>
      </x:c>
      <x:c r="V2986" s="2" t="str">
        <x:v>2023-06-22</x:v>
      </x:c>
      <x:c r="W2986" s="2" t="str"/>
      <x:c r="X2986" s="2" t="str">
        <x:v>종결 근거 보관</x:v>
      </x:c>
      <x:c r="Y2986" s="2" t="str">
        <x:v>ad210cd9ec132cfd447541c8984dc53d30aff0f4fb2dc92d254d49275cc55976</x:v>
      </x:c>
      <x:c r="Z2986" s="2" t="n">
        <x:f>SUBTOTAL(103,A2986)</x:f>
        <x:v>1</x:v>
      </x:c>
      <x:c r="AA2986" s="2" t="str">
        <x:f>IF(K2986&lt;&gt;"미종결 표시","대상 아님",IF(N2986="","신청일 확인",IF(NOT(ISNUMBER('종합 현황'!$H$5)),"관찰기준 확인",IF('종합 현황'!$H$5&lt;1,"관찰기준 확인",IF(N2986&gt;'종합 현황'!$H$5,"내부 관찰 대상","내부 관찰일 이하")))))</x:f>
        <x:v>대상 아님</x:v>
      </x:c>
      <x:c r="AB2986" s="2" t="str">
        <x:v>2022-10-19 10:56 - 신청
2022-11-28 10:16 - 문서재제출요청
2023-01-02 16:40 - 신청
2023-02-23 22:15 - 문서재제출요청
2023-02-24 10:24 - 신청
2023-03-08 16:21 - 문서재제출요청
2023-03-08 16:30 - 신청
2023-03-29 17:03 - 검토승인
2023-03-29 17:04 - 협의검토중
2023-05-04 11:15 - 협의통보
2023-06-22 16:24 - 심의승인</x:v>
      </x:c>
    </x:row>
    <x:row r="2987" ht="42" customHeight="1">
      <x:c r="A2987" s="2" t="str">
        <x:v>bffbe039fc4a66559de708d8</x:v>
      </x:c>
      <x:c r="B2987" s="2" t="str">
        <x:v>감축량 인증</x:v>
      </x:c>
      <x:c r="C2987" s="2" t="str">
        <x:v>국외</x:v>
      </x:c>
      <x:c r="D2987" s="7" t="str">
        <x:v>베트남 푸토의 개선된 쿡스토브 사업 - CPA 003</x:v>
      </x:c>
      <x:c r="E2987" s="2" t="str">
        <x:v>572</x:v>
      </x:c>
      <x:c r="F2987" s="2" t="str">
        <x:v>2022-10-19</x:v>
      </x:c>
      <x:c r="G2987" s="2" t="str">
        <x:v>2022</x:v>
      </x:c>
      <x:c r="H2987" s="2" t="str">
        <x:v>10</x:v>
      </x:c>
      <x:c r="I2987" s="2" t="str">
        <x:v>심의승인</x:v>
      </x:c>
      <x:c r="J2987" s="2" t="str">
        <x:v>심의승인</x:v>
      </x:c>
      <x:c r="K2987" s="2" t="str">
        <x:f>IF(OR(J2987="심의승인",J2987="반려",J2987="반려완료",J2987="심의완료"),"종결 표시",IF(OR(J2987="기후부협의",J2987="문서재제출요청",J2987="보류",J2987="보완요청",J2987="보완완료",J2987="평가중",J2987="반려요청",J2987="평가필요",LEFT(J2987,5)="보완요청("),"미종결 표시","상태 확인 필요"))</x:f>
        <x:v>종결 표시</x:v>
      </x:c>
      <x:c r="L2987" s="2" t="str">
        <x:v>KRIC</x:v>
      </x:c>
      <x:c r="M2987" s="2"/>
      <x:c r="N2987" s="8" t="n">
        <x:f>DATE(2026,10,15)-DATE(2022,10,19)</x:f>
        <x:v>1457</x:v>
      </x:c>
      <x:c r="O2987" s="2"/>
      <x:c r="P2987" s="2"/>
      <x:c r="Q2987" s="2" t="str">
        <x:v>산업전환_외부사업관리Tool_260707_이너젠 수정_LJY_261013.xlsx</x:v>
      </x:c>
      <x:c r="R2987" s="2" t="str">
        <x:v>국외인증</x:v>
      </x:c>
      <x:c r="S2987" s="8" t="n">
        <x:v>574</x:v>
      </x:c>
      <x:c r="T2987" s="2" t="str">
        <x:v>(11/18)</x:v>
      </x:c>
      <x:c r="U2987" s="2" t="str">
        <x:v>2022 지정: (11/18)</x:v>
      </x:c>
      <x:c r="V2987" s="2" t="str">
        <x:v>2023-06-22</x:v>
      </x:c>
      <x:c r="W2987" s="2" t="str"/>
      <x:c r="X2987" s="2" t="str">
        <x:v>종결 근거 보관</x:v>
      </x:c>
      <x:c r="Y2987" s="2" t="str">
        <x:v>ad210cd9ec132cfd447541c8984dc53d30aff0f4fb2dc92d254d49275cc55976</x:v>
      </x:c>
      <x:c r="Z2987" s="2" t="n">
        <x:f>SUBTOTAL(103,A2987)</x:f>
        <x:v>1</x:v>
      </x:c>
      <x:c r="AA2987" s="2" t="str">
        <x:f>IF(K2987&lt;&gt;"미종결 표시","대상 아님",IF(N2987="","신청일 확인",IF(NOT(ISNUMBER('종합 현황'!$H$5)),"관찰기준 확인",IF('종합 현황'!$H$5&lt;1,"관찰기준 확인",IF(N2987&gt;'종합 현황'!$H$5,"내부 관찰 대상","내부 관찰일 이하")))))</x:f>
        <x:v>대상 아님</x:v>
      </x:c>
      <x:c r="AB2987" s="2" t="str">
        <x:v>2022-10-19 10:56 - 신청
2022-11-28 10:10 - 문서재제출요청
2023-01-02 16:40 - 신청
2023-02-23 21:49 - 문서재제출요청
2023-02-24 10:32 - 신청
2023-03-08 16:15 - 문서재제출요청
2023-03-08 16:37 - 신청
2023-03-29 16:54 - 검토승인
2023-03-29 17:00 - 협의검토중
2023-05-04 11:14 - 협의통보
2023-06-22 16:21 - 심의승인</x:v>
      </x:c>
    </x:row>
    <x:row r="2988" ht="42" customHeight="1">
      <x:c r="A2988" s="2" t="str">
        <x:v>3934bf1b8d1b98785edf74cc</x:v>
      </x:c>
      <x:c r="B2988" s="2" t="str">
        <x:v>감축량 인증</x:v>
      </x:c>
      <x:c r="C2988" s="2" t="str">
        <x:v>국외</x:v>
      </x:c>
      <x:c r="D2988" s="7" t="str">
        <x:v>베트남 푸토의 개선된 쿡스토브 사업 - CPA 004</x:v>
      </x:c>
      <x:c r="E2988" s="2" t="str">
        <x:v>573</x:v>
      </x:c>
      <x:c r="F2988" s="2" t="str">
        <x:v>2022-10-19</x:v>
      </x:c>
      <x:c r="G2988" s="2" t="str">
        <x:v>2022</x:v>
      </x:c>
      <x:c r="H2988" s="2" t="str">
        <x:v>10</x:v>
      </x:c>
      <x:c r="I2988" s="2" t="str">
        <x:v>심의승인</x:v>
      </x:c>
      <x:c r="J2988" s="2" t="str">
        <x:v>심의승인</x:v>
      </x:c>
      <x:c r="K2988" s="2" t="str">
        <x:f>IF(OR(J2988="심의승인",J2988="반려",J2988="반려완료",J2988="심의완료"),"종결 표시",IF(OR(J2988="기후부협의",J2988="문서재제출요청",J2988="보류",J2988="보완요청",J2988="보완완료",J2988="평가중",J2988="반려요청",J2988="평가필요",LEFT(J2988,5)="보완요청("),"미종결 표시","상태 확인 필요"))</x:f>
        <x:v>종결 표시</x:v>
      </x:c>
      <x:c r="L2988" s="2" t="str">
        <x:v>KRIC</x:v>
      </x:c>
      <x:c r="M2988" s="2"/>
      <x:c r="N2988" s="8" t="n">
        <x:f>DATE(2026,10,15)-DATE(2022,10,19)</x:f>
        <x:v>1457</x:v>
      </x:c>
      <x:c r="O2988" s="2"/>
      <x:c r="P2988" s="2"/>
      <x:c r="Q2988" s="2" t="str">
        <x:v>산업전환_외부사업관리Tool_260707_이너젠 수정_LJY_261013.xlsx</x:v>
      </x:c>
      <x:c r="R2988" s="2" t="str">
        <x:v>국외인증</x:v>
      </x:c>
      <x:c r="S2988" s="8" t="n">
        <x:v>575</x:v>
      </x:c>
      <x:c r="T2988" s="2" t="str">
        <x:v>(11/18)</x:v>
      </x:c>
      <x:c r="U2988" s="2" t="str">
        <x:v>2022 지정: (11/18)</x:v>
      </x:c>
      <x:c r="V2988" s="2" t="str">
        <x:v>2023-06-22</x:v>
      </x:c>
      <x:c r="W2988" s="2" t="str"/>
      <x:c r="X2988" s="2" t="str">
        <x:v>종결 근거 보관</x:v>
      </x:c>
      <x:c r="Y2988" s="2" t="str">
        <x:v>ad210cd9ec132cfd447541c8984dc53d30aff0f4fb2dc92d254d49275cc55976</x:v>
      </x:c>
      <x:c r="Z2988" s="2" t="n">
        <x:f>SUBTOTAL(103,A2988)</x:f>
        <x:v>1</x:v>
      </x:c>
      <x:c r="AA2988" s="2" t="str">
        <x:f>IF(K2988&lt;&gt;"미종결 표시","대상 아님",IF(N2988="","신청일 확인",IF(NOT(ISNUMBER('종합 현황'!$H$5)),"관찰기준 확인",IF('종합 현황'!$H$5&lt;1,"관찰기준 확인",IF(N2988&gt;'종합 현황'!$H$5,"내부 관찰 대상","내부 관찰일 이하")))))</x:f>
        <x:v>대상 아님</x:v>
      </x:c>
      <x:c r="AB2988" s="2" t="str">
        <x:v>2022-10-19 10:56 - 신청
2022-11-28 10:11 - 문서재제출요청
2023-01-02 16:41 - 신청
2023-02-20 15:39 - 문서재제출요청
2023-02-20 16:04 - 신청
2023-02-23 21:50 - 문서재제출요청
2023-02-24 10:33 - 신청
2023-03-08 16:15 - 문서재제출요청
2023-03-08 16:37 - 신청
2023-03-29 16:58 - 검토승인
2023-03-29 17:00 - 협의검토중
2023-05-04 11:14 - 협의통보
2023-06-22 16:22 - 심의승인</x:v>
      </x:c>
    </x:row>
    <x:row r="2989" ht="42" customHeight="1">
      <x:c r="A2989" s="2" t="str">
        <x:v>b7cf71b4ca4260d61a8c1711</x:v>
      </x:c>
      <x:c r="B2989" s="2" t="str">
        <x:v>감축량 인증</x:v>
      </x:c>
      <x:c r="C2989" s="2" t="str">
        <x:v>국외</x:v>
      </x:c>
      <x:c r="D2989" s="7" t="str">
        <x:v>베트남 타이응우옌의 개선된 쿡스토브 사업 - CPA 005</x:v>
      </x:c>
      <x:c r="E2989" s="2" t="str">
        <x:v>574</x:v>
      </x:c>
      <x:c r="F2989" s="2" t="str">
        <x:v>2022-10-19</x:v>
      </x:c>
      <x:c r="G2989" s="2" t="str">
        <x:v>2022</x:v>
      </x:c>
      <x:c r="H2989" s="2" t="str">
        <x:v>10</x:v>
      </x:c>
      <x:c r="I2989" s="2" t="str">
        <x:v>심의승인</x:v>
      </x:c>
      <x:c r="J2989" s="2" t="str">
        <x:v>심의승인</x:v>
      </x:c>
      <x:c r="K2989" s="2" t="str">
        <x:f>IF(OR(J2989="심의승인",J2989="반려",J2989="반려완료",J2989="심의완료"),"종결 표시",IF(OR(J2989="기후부협의",J2989="문서재제출요청",J2989="보류",J2989="보완요청",J2989="보완완료",J2989="평가중",J2989="반려요청",J2989="평가필요",LEFT(J2989,5)="보완요청("),"미종결 표시","상태 확인 필요"))</x:f>
        <x:v>종결 표시</x:v>
      </x:c>
      <x:c r="L2989" s="2" t="str">
        <x:v>KRIC</x:v>
      </x:c>
      <x:c r="M2989" s="2"/>
      <x:c r="N2989" s="8" t="n">
        <x:f>DATE(2026,10,15)-DATE(2022,10,19)</x:f>
        <x:v>1457</x:v>
      </x:c>
      <x:c r="O2989" s="2"/>
      <x:c r="P2989" s="2"/>
      <x:c r="Q2989" s="2" t="str">
        <x:v>산업전환_외부사업관리Tool_260707_이너젠 수정_LJY_261013.xlsx</x:v>
      </x:c>
      <x:c r="R2989" s="2" t="str">
        <x:v>국외인증</x:v>
      </x:c>
      <x:c r="S2989" s="8" t="n">
        <x:v>576</x:v>
      </x:c>
      <x:c r="T2989" s="2" t="str">
        <x:v>(11/18)</x:v>
      </x:c>
      <x:c r="U2989" s="2" t="str">
        <x:v>2022 지정: (11/18)</x:v>
      </x:c>
      <x:c r="V2989" s="2" t="str">
        <x:v>2023-06-22</x:v>
      </x:c>
      <x:c r="W2989" s="2" t="str"/>
      <x:c r="X2989" s="2" t="str">
        <x:v>종결 근거 보관</x:v>
      </x:c>
      <x:c r="Y2989" s="2" t="str">
        <x:v>ad210cd9ec132cfd447541c8984dc53d30aff0f4fb2dc92d254d49275cc55976</x:v>
      </x:c>
      <x:c r="Z2989" s="2" t="n">
        <x:f>SUBTOTAL(103,A2989)</x:f>
        <x:v>1</x:v>
      </x:c>
      <x:c r="AA2989" s="2" t="str">
        <x:f>IF(K2989&lt;&gt;"미종결 표시","대상 아님",IF(N2989="","신청일 확인",IF(NOT(ISNUMBER('종합 현황'!$H$5)),"관찰기준 확인",IF('종합 현황'!$H$5&lt;1,"관찰기준 확인",IF(N2989&gt;'종합 현황'!$H$5,"내부 관찰 대상","내부 관찰일 이하")))))</x:f>
        <x:v>대상 아님</x:v>
      </x:c>
      <x:c r="AB2989" s="2" t="str">
        <x:v>2022-10-19 10:57 - 신청
2022-11-28 09:58 - 문서재제출요청
2023-01-02 16:41 - 신청
2023-02-23 21:22 - 문서재제출요청
2023-02-24 10:34 - 신청
2023-03-08 16:22 - 문서재제출요청
2023-03-08 16:38 - 신청
2023-03-29 16:45 - 검토승인
2023-03-29 16:51 - 협의검토중
2023-05-04 11:14 - 협의통보
2023-06-22 16:19 - 심의승인</x:v>
      </x:c>
    </x:row>
    <x:row r="2990" ht="42" customHeight="1">
      <x:c r="A2990" s="2" t="str">
        <x:v>0bc378a121e00e2cc4651a4c</x:v>
      </x:c>
      <x:c r="B2990" s="2" t="str">
        <x:v>감축량 인증</x:v>
      </x:c>
      <x:c r="C2990" s="2" t="str">
        <x:v>국외</x:v>
      </x:c>
      <x:c r="D2990" s="7" t="str">
        <x:v>베트남 타이응우옌의 개선된 쿡스토브 사업 - CPA 006</x:v>
      </x:c>
      <x:c r="E2990" s="2" t="str">
        <x:v>575</x:v>
      </x:c>
      <x:c r="F2990" s="2" t="str">
        <x:v>2022-10-19</x:v>
      </x:c>
      <x:c r="G2990" s="2" t="str">
        <x:v>2022</x:v>
      </x:c>
      <x:c r="H2990" s="2" t="str">
        <x:v>10</x:v>
      </x:c>
      <x:c r="I2990" s="2" t="str">
        <x:v>심의승인</x:v>
      </x:c>
      <x:c r="J2990" s="2" t="str">
        <x:v>심의승인</x:v>
      </x:c>
      <x:c r="K2990" s="2" t="str">
        <x:f>IF(OR(J2990="심의승인",J2990="반려",J2990="반려완료",J2990="심의완료"),"종결 표시",IF(OR(J2990="기후부협의",J2990="문서재제출요청",J2990="보류",J2990="보완요청",J2990="보완완료",J2990="평가중",J2990="반려요청",J2990="평가필요",LEFT(J2990,5)="보완요청("),"미종결 표시","상태 확인 필요"))</x:f>
        <x:v>종결 표시</x:v>
      </x:c>
      <x:c r="L2990" s="2" t="str">
        <x:v>KRIC</x:v>
      </x:c>
      <x:c r="M2990" s="2"/>
      <x:c r="N2990" s="8" t="n">
        <x:f>DATE(2026,10,15)-DATE(2022,10,19)</x:f>
        <x:v>1457</x:v>
      </x:c>
      <x:c r="O2990" s="2"/>
      <x:c r="P2990" s="2"/>
      <x:c r="Q2990" s="2" t="str">
        <x:v>산업전환_외부사업관리Tool_260707_이너젠 수정_LJY_261013.xlsx</x:v>
      </x:c>
      <x:c r="R2990" s="2" t="str">
        <x:v>국외인증</x:v>
      </x:c>
      <x:c r="S2990" s="8" t="n">
        <x:v>577</x:v>
      </x:c>
      <x:c r="T2990" s="2" t="str">
        <x:v>(11/18)</x:v>
      </x:c>
      <x:c r="U2990" s="2" t="str">
        <x:v>2022 지정: (11/18)</x:v>
      </x:c>
      <x:c r="V2990" s="2" t="str">
        <x:v>2023-06-22</x:v>
      </x:c>
      <x:c r="W2990" s="2" t="str"/>
      <x:c r="X2990" s="2" t="str">
        <x:v>종결 근거 보관</x:v>
      </x:c>
      <x:c r="Y2990" s="2" t="str">
        <x:v>ad210cd9ec132cfd447541c8984dc53d30aff0f4fb2dc92d254d49275cc55976</x:v>
      </x:c>
      <x:c r="Z2990" s="2" t="n">
        <x:f>SUBTOTAL(103,A2990)</x:f>
        <x:v>1</x:v>
      </x:c>
      <x:c r="AA2990" s="2" t="str">
        <x:f>IF(K2990&lt;&gt;"미종결 표시","대상 아님",IF(N2990="","신청일 확인",IF(NOT(ISNUMBER('종합 현황'!$H$5)),"관찰기준 확인",IF('종합 현황'!$H$5&lt;1,"관찰기준 확인",IF(N2990&gt;'종합 현황'!$H$5,"내부 관찰 대상","내부 관찰일 이하")))))</x:f>
        <x:v>대상 아님</x:v>
      </x:c>
      <x:c r="AB2990" s="2" t="str">
        <x:v>2022-10-19 10:57 - 신청
2022-11-28 09:59 - 문서재제출요청
2023-01-02 16:41 - 신청
2023-02-23 21:23 - 문서재제출요청
2023-02-24 10:35 - 신청
2023-03-08 16:22 - 문서재제출요청
2023-03-08 16:38 - 신청
2023-03-29 16:49 - 검토승인
2023-03-29 16:51 - 협의검토중
2023-05-04 11:14 - 협의통보
2023-06-22 16:19 - 심의승인</x:v>
      </x:c>
    </x:row>
    <x:row r="2991" ht="42" customHeight="1">
      <x:c r="A2991" s="2" t="str">
        <x:v>f49218a995a51d5529466577</x:v>
      </x:c>
      <x:c r="B2991" s="2" t="str">
        <x:v>감축량 인증</x:v>
      </x:c>
      <x:c r="C2991" s="2" t="str">
        <x:v>국외</x:v>
      </x:c>
      <x:c r="D2991" s="7" t="str">
        <x:v>베트남 옌바이의 개선된 쿡스토브 사업 - CPA007</x:v>
      </x:c>
      <x:c r="E2991" s="2" t="str">
        <x:v>576</x:v>
      </x:c>
      <x:c r="F2991" s="2" t="str">
        <x:v>2022-10-19</x:v>
      </x:c>
      <x:c r="G2991" s="2" t="str">
        <x:v>2022</x:v>
      </x:c>
      <x:c r="H2991" s="2" t="str">
        <x:v>10</x:v>
      </x:c>
      <x:c r="I2991" s="2" t="str">
        <x:v>심의승인</x:v>
      </x:c>
      <x:c r="J2991" s="2" t="str">
        <x:v>심의승인</x:v>
      </x:c>
      <x:c r="K2991" s="2" t="str">
        <x:f>IF(OR(J2991="심의승인",J2991="반려",J2991="반려완료",J2991="심의완료"),"종결 표시",IF(OR(J2991="기후부협의",J2991="문서재제출요청",J2991="보류",J2991="보완요청",J2991="보완완료",J2991="평가중",J2991="반려요청",J2991="평가필요",LEFT(J2991,5)="보완요청("),"미종결 표시","상태 확인 필요"))</x:f>
        <x:v>종결 표시</x:v>
      </x:c>
      <x:c r="L2991" s="2" t="str">
        <x:v>KRIC</x:v>
      </x:c>
      <x:c r="M2991" s="2"/>
      <x:c r="N2991" s="8" t="n">
        <x:f>DATE(2026,10,15)-DATE(2022,10,19)</x:f>
        <x:v>1457</x:v>
      </x:c>
      <x:c r="O2991" s="2"/>
      <x:c r="P2991" s="2"/>
      <x:c r="Q2991" s="2" t="str">
        <x:v>산업전환_외부사업관리Tool_260707_이너젠 수정_LJY_261013.xlsx</x:v>
      </x:c>
      <x:c r="R2991" s="2" t="str">
        <x:v>국외인증</x:v>
      </x:c>
      <x:c r="S2991" s="8" t="n">
        <x:v>578</x:v>
      </x:c>
      <x:c r="T2991" s="2" t="str">
        <x:v>(11/18)</x:v>
      </x:c>
      <x:c r="U2991" s="2" t="str">
        <x:v>2022 지정: (11/18)</x:v>
      </x:c>
      <x:c r="V2991" s="2" t="str">
        <x:v>2023-06-22</x:v>
      </x:c>
      <x:c r="W2991" s="2" t="str"/>
      <x:c r="X2991" s="2" t="str">
        <x:v>종결 근거 보관</x:v>
      </x:c>
      <x:c r="Y2991" s="2" t="str">
        <x:v>ad210cd9ec132cfd447541c8984dc53d30aff0f4fb2dc92d254d49275cc55976</x:v>
      </x:c>
      <x:c r="Z2991" s="2" t="n">
        <x:f>SUBTOTAL(103,A2991)</x:f>
        <x:v>1</x:v>
      </x:c>
      <x:c r="AA2991" s="2" t="str">
        <x:f>IF(K2991&lt;&gt;"미종결 표시","대상 아님",IF(N2991="","신청일 확인",IF(NOT(ISNUMBER('종합 현황'!$H$5)),"관찰기준 확인",IF('종합 현황'!$H$5&lt;1,"관찰기준 확인",IF(N2991&gt;'종합 현황'!$H$5,"내부 관찰 대상","내부 관찰일 이하")))))</x:f>
        <x:v>대상 아님</x:v>
      </x:c>
      <x:c r="AB2991" s="2" t="str">
        <x:v>2022-10-19 10:58 - 신청
2022-11-28 09:43 - 문서재제출요청
2023-01-02 16:41 - 신청
2023-02-23 21:00 - 문서재제출요청
2023-02-24 10:35 - 신청
2023-03-08 16:13 - 문서재제출요청
2023-03-08 16:39 - 신청
2023-03-29 16:33 - 검토승인
2023-03-29 16:37 - 협의검토중
2023-05-04 11:13 - 협의통보
2023-06-22 16:15 - 심의승인</x:v>
      </x:c>
    </x:row>
    <x:row r="2992" ht="42" customHeight="1">
      <x:c r="A2992" s="2" t="str">
        <x:v>2e33f622790b890a00335681</x:v>
      </x:c>
      <x:c r="B2992" s="2" t="str">
        <x:v>감축량 인증</x:v>
      </x:c>
      <x:c r="C2992" s="2" t="str">
        <x:v>국외</x:v>
      </x:c>
      <x:c r="D2992" s="7" t="str">
        <x:v>베트남 옌바이의 개선된 쿡스토브 사업 - CPA008</x:v>
      </x:c>
      <x:c r="E2992" s="2" t="str">
        <x:v>577</x:v>
      </x:c>
      <x:c r="F2992" s="2" t="str">
        <x:v>2022-10-19</x:v>
      </x:c>
      <x:c r="G2992" s="2" t="str">
        <x:v>2022</x:v>
      </x:c>
      <x:c r="H2992" s="2" t="str">
        <x:v>10</x:v>
      </x:c>
      <x:c r="I2992" s="2" t="str">
        <x:v>심의승인</x:v>
      </x:c>
      <x:c r="J2992" s="2" t="str">
        <x:v>심의승인</x:v>
      </x:c>
      <x:c r="K2992" s="2" t="str">
        <x:f>IF(OR(J2992="심의승인",J2992="반려",J2992="반려완료",J2992="심의완료"),"종결 표시",IF(OR(J2992="기후부협의",J2992="문서재제출요청",J2992="보류",J2992="보완요청",J2992="보완완료",J2992="평가중",J2992="반려요청",J2992="평가필요",LEFT(J2992,5)="보완요청("),"미종결 표시","상태 확인 필요"))</x:f>
        <x:v>종결 표시</x:v>
      </x:c>
      <x:c r="L2992" s="2" t="str">
        <x:v>KRIC</x:v>
      </x:c>
      <x:c r="M2992" s="2"/>
      <x:c r="N2992" s="8" t="n">
        <x:f>DATE(2026,10,15)-DATE(2022,10,19)</x:f>
        <x:v>1457</x:v>
      </x:c>
      <x:c r="O2992" s="2"/>
      <x:c r="P2992" s="2"/>
      <x:c r="Q2992" s="2" t="str">
        <x:v>산업전환_외부사업관리Tool_260707_이너젠 수정_LJY_261013.xlsx</x:v>
      </x:c>
      <x:c r="R2992" s="2" t="str">
        <x:v>국외인증</x:v>
      </x:c>
      <x:c r="S2992" s="8" t="n">
        <x:v>579</x:v>
      </x:c>
      <x:c r="T2992" s="2" t="str">
        <x:v>(11/18)</x:v>
      </x:c>
      <x:c r="U2992" s="2" t="str">
        <x:v>2022 지정: (11/18)</x:v>
      </x:c>
      <x:c r="V2992" s="2" t="str">
        <x:v>2023-06-22</x:v>
      </x:c>
      <x:c r="W2992" s="2" t="str"/>
      <x:c r="X2992" s="2" t="str">
        <x:v>종결 근거 보관</x:v>
      </x:c>
      <x:c r="Y2992" s="2" t="str">
        <x:v>ad210cd9ec132cfd447541c8984dc53d30aff0f4fb2dc92d254d49275cc55976</x:v>
      </x:c>
      <x:c r="Z2992" s="2" t="n">
        <x:f>SUBTOTAL(103,A2992)</x:f>
        <x:v>1</x:v>
      </x:c>
      <x:c r="AA2992" s="2" t="str">
        <x:f>IF(K2992&lt;&gt;"미종결 표시","대상 아님",IF(N2992="","신청일 확인",IF(NOT(ISNUMBER('종합 현황'!$H$5)),"관찰기준 확인",IF('종합 현황'!$H$5&lt;1,"관찰기준 확인",IF(N2992&gt;'종합 현황'!$H$5,"내부 관찰 대상","내부 관찰일 이하")))))</x:f>
        <x:v>대상 아님</x:v>
      </x:c>
      <x:c r="AB2992" s="2" t="str">
        <x:v>2022-10-19 10:58 - 신청
2022-11-28 09:44 - 문서재제출요청
2023-01-02 16:41 - 신청
2023-02-23 21:00 - 문서재제출요청
2023-02-24 10:38 - 신청
2023-03-08 16:13 - 문서재제출요청
2023-03-08 16:40 - 신청
2023-03-29 16:34 - 검토승인
2023-03-29 16:37 - 협의검토중
2023-05-04 11:13 - 협의통보
2023-06-22 16:16 - 심의승인</x:v>
      </x:c>
    </x:row>
    <x:row r="2993" ht="42" customHeight="1">
      <x:c r="A2993" s="2" t="str">
        <x:v>b50022e19e6d5854f21daec6</x:v>
      </x:c>
      <x:c r="B2993" s="2" t="str">
        <x:v>감축량 인증</x:v>
      </x:c>
      <x:c r="C2993" s="2" t="str">
        <x:v>국외</x:v>
      </x:c>
      <x:c r="D2993" s="7" t="str">
        <x:v>베트남 호아빈의 개선된 쿡스토브 사업 - CPA 002</x:v>
      </x:c>
      <x:c r="E2993" s="2" t="str">
        <x:v>578</x:v>
      </x:c>
      <x:c r="F2993" s="2" t="str">
        <x:v>2022-10-19</x:v>
      </x:c>
      <x:c r="G2993" s="2" t="str">
        <x:v>2022</x:v>
      </x:c>
      <x:c r="H2993" s="2" t="str">
        <x:v>10</x:v>
      </x:c>
      <x:c r="I2993" s="2" t="str">
        <x:v>심의승인</x:v>
      </x:c>
      <x:c r="J2993" s="2" t="str">
        <x:v>심의승인</x:v>
      </x:c>
      <x:c r="K2993" s="2" t="str">
        <x:f>IF(OR(J2993="심의승인",J2993="반려",J2993="반려완료",J2993="심의완료"),"종결 표시",IF(OR(J2993="기후부협의",J2993="문서재제출요청",J2993="보류",J2993="보완요청",J2993="보완완료",J2993="평가중",J2993="반려요청",J2993="평가필요",LEFT(J2993,5)="보완요청("),"미종결 표시","상태 확인 필요"))</x:f>
        <x:v>종결 표시</x:v>
      </x:c>
      <x:c r="L2993" s="2" t="str">
        <x:v>KRIC</x:v>
      </x:c>
      <x:c r="M2993" s="2"/>
      <x:c r="N2993" s="8" t="n">
        <x:f>DATE(2026,10,15)-DATE(2022,10,19)</x:f>
        <x:v>1457</x:v>
      </x:c>
      <x:c r="O2993" s="2"/>
      <x:c r="P2993" s="2"/>
      <x:c r="Q2993" s="2" t="str">
        <x:v>산업전환_외부사업관리Tool_260707_이너젠 수정_LJY_261013.xlsx</x:v>
      </x:c>
      <x:c r="R2993" s="2" t="str">
        <x:v>국외인증</x:v>
      </x:c>
      <x:c r="S2993" s="8" t="n">
        <x:v>580</x:v>
      </x:c>
      <x:c r="T2993" s="2" t="str">
        <x:v>(11/18)</x:v>
      </x:c>
      <x:c r="U2993" s="2" t="str">
        <x:v>2022 지정: (11/18)</x:v>
      </x:c>
      <x:c r="V2993" s="2" t="str">
        <x:v>2023-06-22</x:v>
      </x:c>
      <x:c r="W2993" s="2" t="str"/>
      <x:c r="X2993" s="2" t="str">
        <x:v>종결 근거 보관</x:v>
      </x:c>
      <x:c r="Y2993" s="2" t="str">
        <x:v>ad210cd9ec132cfd447541c8984dc53d30aff0f4fb2dc92d254d49275cc55976</x:v>
      </x:c>
      <x:c r="Z2993" s="2" t="n">
        <x:f>SUBTOTAL(103,A2993)</x:f>
        <x:v>1</x:v>
      </x:c>
      <x:c r="AA2993" s="2" t="str">
        <x:f>IF(K2993&lt;&gt;"미종결 표시","대상 아님",IF(N2993="","신청일 확인",IF(NOT(ISNUMBER('종합 현황'!$H$5)),"관찰기준 확인",IF('종합 현황'!$H$5&lt;1,"관찰기준 확인",IF(N2993&gt;'종합 현황'!$H$5,"내부 관찰 대상","내부 관찰일 이하")))))</x:f>
        <x:v>대상 아님</x:v>
      </x:c>
      <x:c r="AB2993" s="2" t="str">
        <x:v>2022-10-19 11:02 - 신청
2022-11-28 10:16 - 문서재제출요청
2023-01-03 10:49 - 신청
2023-02-23 22:15 - 문서재제출요청
2023-02-24 11:03 - 신청
2023-03-08 16:02 - 문서재제출요청
2023-03-08 16:10 - 신청
2023-03-08 16:21 - 문서재제출요청
2023-03-08 16:42 - 신청
2023-03-29 17:04 - 검토승인
2023-03-29 17:04 - 협의검토중
2023-05-04 11:15 - 협의통보
2023-06-22 16:24 - 심의승인</x:v>
      </x:c>
    </x:row>
    <x:row r="2994" ht="42" customHeight="1">
      <x:c r="A2994" s="2" t="str">
        <x:v>3f672b12530650e36cb9d406</x:v>
      </x:c>
      <x:c r="B2994" s="2" t="str">
        <x:v>감축량 인증</x:v>
      </x:c>
      <x:c r="C2994" s="2" t="str">
        <x:v>국외</x:v>
      </x:c>
      <x:c r="D2994" s="7" t="str">
        <x:v>베트남 푸토의 개선된 쿡스토브 사업 - CPA 003</x:v>
      </x:c>
      <x:c r="E2994" s="2" t="str">
        <x:v>579</x:v>
      </x:c>
      <x:c r="F2994" s="2" t="str">
        <x:v>2022-10-19</x:v>
      </x:c>
      <x:c r="G2994" s="2" t="str">
        <x:v>2022</x:v>
      </x:c>
      <x:c r="H2994" s="2" t="str">
        <x:v>10</x:v>
      </x:c>
      <x:c r="I2994" s="2" t="str">
        <x:v>심의승인</x:v>
      </x:c>
      <x:c r="J2994" s="2" t="str">
        <x:v>심의승인</x:v>
      </x:c>
      <x:c r="K2994" s="2" t="str">
        <x:f>IF(OR(J2994="심의승인",J2994="반려",J2994="반려완료",J2994="심의완료"),"종결 표시",IF(OR(J2994="기후부협의",J2994="문서재제출요청",J2994="보류",J2994="보완요청",J2994="보완완료",J2994="평가중",J2994="반려요청",J2994="평가필요",LEFT(J2994,5)="보완요청("),"미종결 표시","상태 확인 필요"))</x:f>
        <x:v>종결 표시</x:v>
      </x:c>
      <x:c r="L2994" s="2" t="str">
        <x:v>KRIC</x:v>
      </x:c>
      <x:c r="M2994" s="2"/>
      <x:c r="N2994" s="8" t="n">
        <x:f>DATE(2026,10,15)-DATE(2022,10,19)</x:f>
        <x:v>1457</x:v>
      </x:c>
      <x:c r="O2994" s="2"/>
      <x:c r="P2994" s="2"/>
      <x:c r="Q2994" s="2" t="str">
        <x:v>산업전환_외부사업관리Tool_260707_이너젠 수정_LJY_261013.xlsx</x:v>
      </x:c>
      <x:c r="R2994" s="2" t="str">
        <x:v>국외인증</x:v>
      </x:c>
      <x:c r="S2994" s="8" t="n">
        <x:v>581</x:v>
      </x:c>
      <x:c r="T2994" s="2" t="str">
        <x:v>(11/18)</x:v>
      </x:c>
      <x:c r="U2994" s="2" t="str">
        <x:v>2022 지정: (11/18)</x:v>
      </x:c>
      <x:c r="V2994" s="2" t="str">
        <x:v>2023-06-22</x:v>
      </x:c>
      <x:c r="W2994" s="2" t="str"/>
      <x:c r="X2994" s="2" t="str">
        <x:v>종결 근거 보관</x:v>
      </x:c>
      <x:c r="Y2994" s="2" t="str">
        <x:v>ad210cd9ec132cfd447541c8984dc53d30aff0f4fb2dc92d254d49275cc55976</x:v>
      </x:c>
      <x:c r="Z2994" s="2" t="n">
        <x:f>SUBTOTAL(103,A2994)</x:f>
        <x:v>1</x:v>
      </x:c>
      <x:c r="AA2994" s="2" t="str">
        <x:f>IF(K2994&lt;&gt;"미종결 표시","대상 아님",IF(N2994="","신청일 확인",IF(NOT(ISNUMBER('종합 현황'!$H$5)),"관찰기준 확인",IF('종합 현황'!$H$5&lt;1,"관찰기준 확인",IF(N2994&gt;'종합 현황'!$H$5,"내부 관찰 대상","내부 관찰일 이하")))))</x:f>
        <x:v>대상 아님</x:v>
      </x:c>
      <x:c r="AB2994" s="2" t="str">
        <x:v>2022-10-19 11:04 - 신청
2022-11-28 10:10 - 문서재제출요청
2023-01-03 10:49 - 신청
2023-02-23 21:50 - 문서재제출요청
2023-02-24 11:04 - 신청
2023-03-08 16:20 - 문서재제출요청
2023-03-08 16:42 - 신청
2023-03-29 16:56 - 검토승인
2023-03-29 17:00 - 협의검토중
2023-05-04 11:14 - 협의통보
2023-06-22 16:22 - 심의승인</x:v>
      </x:c>
    </x:row>
    <x:row r="2995" ht="42" customHeight="1">
      <x:c r="A2995" s="2" t="str">
        <x:v>d4775d33b77ba45db5d1881c</x:v>
      </x:c>
      <x:c r="B2995" s="2" t="str">
        <x:v>감축량 인증</x:v>
      </x:c>
      <x:c r="C2995" s="2" t="str">
        <x:v>국외</x:v>
      </x:c>
      <x:c r="D2995" s="7" t="str">
        <x:v>베트남 푸토의 개선된 쿡스토브 사업 - CPA 004</x:v>
      </x:c>
      <x:c r="E2995" s="2" t="str">
        <x:v>580</x:v>
      </x:c>
      <x:c r="F2995" s="2" t="str">
        <x:v>2022-10-19</x:v>
      </x:c>
      <x:c r="G2995" s="2" t="str">
        <x:v>2022</x:v>
      </x:c>
      <x:c r="H2995" s="2" t="str">
        <x:v>10</x:v>
      </x:c>
      <x:c r="I2995" s="2" t="str">
        <x:v>심의승인</x:v>
      </x:c>
      <x:c r="J2995" s="2" t="str">
        <x:v>심의승인</x:v>
      </x:c>
      <x:c r="K2995" s="2" t="str">
        <x:f>IF(OR(J2995="심의승인",J2995="반려",J2995="반려완료",J2995="심의완료"),"종결 표시",IF(OR(J2995="기후부협의",J2995="문서재제출요청",J2995="보류",J2995="보완요청",J2995="보완완료",J2995="평가중",J2995="반려요청",J2995="평가필요",LEFT(J2995,5)="보완요청("),"미종결 표시","상태 확인 필요"))</x:f>
        <x:v>종결 표시</x:v>
      </x:c>
      <x:c r="L2995" s="2" t="str">
        <x:v>KRIC</x:v>
      </x:c>
      <x:c r="M2995" s="2"/>
      <x:c r="N2995" s="8" t="n">
        <x:f>DATE(2026,10,15)-DATE(2022,10,19)</x:f>
        <x:v>1457</x:v>
      </x:c>
      <x:c r="O2995" s="2"/>
      <x:c r="P2995" s="2"/>
      <x:c r="Q2995" s="2" t="str">
        <x:v>산업전환_외부사업관리Tool_260707_이너젠 수정_LJY_261013.xlsx</x:v>
      </x:c>
      <x:c r="R2995" s="2" t="str">
        <x:v>국외인증</x:v>
      </x:c>
      <x:c r="S2995" s="8" t="n">
        <x:v>582</x:v>
      </x:c>
      <x:c r="T2995" s="2" t="str">
        <x:v>(11/18)</x:v>
      </x:c>
      <x:c r="U2995" s="2" t="str">
        <x:v>2022 지정: (11/18)</x:v>
      </x:c>
      <x:c r="V2995" s="2" t="str">
        <x:v>2023-06-22</x:v>
      </x:c>
      <x:c r="W2995" s="2" t="str"/>
      <x:c r="X2995" s="2" t="str">
        <x:v>종결 근거 보관</x:v>
      </x:c>
      <x:c r="Y2995" s="2" t="str">
        <x:v>ad210cd9ec132cfd447541c8984dc53d30aff0f4fb2dc92d254d49275cc55976</x:v>
      </x:c>
      <x:c r="Z2995" s="2" t="n">
        <x:f>SUBTOTAL(103,A2995)</x:f>
        <x:v>1</x:v>
      </x:c>
      <x:c r="AA2995" s="2" t="str">
        <x:f>IF(K2995&lt;&gt;"미종결 표시","대상 아님",IF(N2995="","신청일 확인",IF(NOT(ISNUMBER('종합 현황'!$H$5)),"관찰기준 확인",IF('종합 현황'!$H$5&lt;1,"관찰기준 확인",IF(N2995&gt;'종합 현황'!$H$5,"내부 관찰 대상","내부 관찰일 이하")))))</x:f>
        <x:v>대상 아님</x:v>
      </x:c>
      <x:c r="AB2995" s="2" t="str">
        <x:v>2022-10-19 11:07 - 신청
2022-12-07 13:08 - 문서재제출요청
2023-01-03 10:50 - 신청
2023-02-23 21:50 - 문서재제출요청
2023-02-24 11:06 - 신청
2023-03-08 16:20 - 문서재제출요청
2023-03-08 16:43 - 신청
2023-03-29 16:59 - 검토승인
2023-03-29 17:00 - 협의검토중
2023-05-04 11:14 - 협의통보
2023-06-22 16:23 - 심의승인</x:v>
      </x:c>
    </x:row>
    <x:row r="2996" ht="42" customHeight="1">
      <x:c r="A2996" s="2" t="str">
        <x:v>d68705ac36ab175d26446b28</x:v>
      </x:c>
      <x:c r="B2996" s="2" t="str">
        <x:v>감축량 인증</x:v>
      </x:c>
      <x:c r="C2996" s="2" t="str">
        <x:v>국외</x:v>
      </x:c>
      <x:c r="D2996" s="7" t="str">
        <x:v>베트남 타이응우옌의 개선된 쿡스토브 사업 - CPA 005</x:v>
      </x:c>
      <x:c r="E2996" s="2" t="str">
        <x:v>581</x:v>
      </x:c>
      <x:c r="F2996" s="2" t="str">
        <x:v>2022-10-19</x:v>
      </x:c>
      <x:c r="G2996" s="2" t="str">
        <x:v>2022</x:v>
      </x:c>
      <x:c r="H2996" s="2" t="str">
        <x:v>10</x:v>
      </x:c>
      <x:c r="I2996" s="2" t="str">
        <x:v>심의승인</x:v>
      </x:c>
      <x:c r="J2996" s="2" t="str">
        <x:v>심의승인</x:v>
      </x:c>
      <x:c r="K2996" s="2" t="str">
        <x:f>IF(OR(J2996="심의승인",J2996="반려",J2996="반려완료",J2996="심의완료"),"종결 표시",IF(OR(J2996="기후부협의",J2996="문서재제출요청",J2996="보류",J2996="보완요청",J2996="보완완료",J2996="평가중",J2996="반려요청",J2996="평가필요",LEFT(J2996,5)="보완요청("),"미종결 표시","상태 확인 필요"))</x:f>
        <x:v>종결 표시</x:v>
      </x:c>
      <x:c r="L2996" s="2" t="str">
        <x:v>KRIC</x:v>
      </x:c>
      <x:c r="M2996" s="2"/>
      <x:c r="N2996" s="8" t="n">
        <x:f>DATE(2026,10,15)-DATE(2022,10,19)</x:f>
        <x:v>1457</x:v>
      </x:c>
      <x:c r="O2996" s="2"/>
      <x:c r="P2996" s="2"/>
      <x:c r="Q2996" s="2" t="str">
        <x:v>산업전환_외부사업관리Tool_260707_이너젠 수정_LJY_261013.xlsx</x:v>
      </x:c>
      <x:c r="R2996" s="2" t="str">
        <x:v>국외인증</x:v>
      </x:c>
      <x:c r="S2996" s="8" t="n">
        <x:v>583</x:v>
      </x:c>
      <x:c r="T2996" s="2" t="str">
        <x:v>(11/18)</x:v>
      </x:c>
      <x:c r="U2996" s="2" t="str">
        <x:v>2022 지정: (11/18)</x:v>
      </x:c>
      <x:c r="V2996" s="2" t="str">
        <x:v>2023-06-22</x:v>
      </x:c>
      <x:c r="W2996" s="2" t="str"/>
      <x:c r="X2996" s="2" t="str">
        <x:v>종결 근거 보관</x:v>
      </x:c>
      <x:c r="Y2996" s="2" t="str">
        <x:v>ad210cd9ec132cfd447541c8984dc53d30aff0f4fb2dc92d254d49275cc55976</x:v>
      </x:c>
      <x:c r="Z2996" s="2" t="n">
        <x:f>SUBTOTAL(103,A2996)</x:f>
        <x:v>1</x:v>
      </x:c>
      <x:c r="AA2996" s="2" t="str">
        <x:f>IF(K2996&lt;&gt;"미종결 표시","대상 아님",IF(N2996="","신청일 확인",IF(NOT(ISNUMBER('종합 현황'!$H$5)),"관찰기준 확인",IF('종합 현황'!$H$5&lt;1,"관찰기준 확인",IF(N2996&gt;'종합 현황'!$H$5,"내부 관찰 대상","내부 관찰일 이하")))))</x:f>
        <x:v>대상 아님</x:v>
      </x:c>
      <x:c r="AB2996" s="2" t="str">
        <x:v>2022-10-19 11:09 - 신청
2022-11-28 09:59 - 문서재제출요청
2023-01-03 10:50 - 신청
2023-02-23 21:23 - 문서재제출요청
2023-02-24 11:09 - 신청
2023-03-08 16:22 - 문서재제출요청
2023-03-08 16:43 - 신청
2023-03-29 16:46 - 검토승인
2023-03-29 16:51 - 협의검토중
2023-05-04 11:14 - 협의통보
2023-06-22 16:19 - 심의승인</x:v>
      </x:c>
    </x:row>
    <x:row r="2997" ht="42" customHeight="1">
      <x:c r="A2997" s="2" t="str">
        <x:v>b810195acac97283a3a6be36</x:v>
      </x:c>
      <x:c r="B2997" s="2" t="str">
        <x:v>감축량 인증</x:v>
      </x:c>
      <x:c r="C2997" s="2" t="str">
        <x:v>국외</x:v>
      </x:c>
      <x:c r="D2997" s="7" t="str">
        <x:v>베트남 타이응우옌의 개선된 쿡스토브 사업 - CPA 006</x:v>
      </x:c>
      <x:c r="E2997" s="2" t="str">
        <x:v>582</x:v>
      </x:c>
      <x:c r="F2997" s="2" t="str">
        <x:v>2022-10-19</x:v>
      </x:c>
      <x:c r="G2997" s="2" t="str">
        <x:v>2022</x:v>
      </x:c>
      <x:c r="H2997" s="2" t="str">
        <x:v>10</x:v>
      </x:c>
      <x:c r="I2997" s="2" t="str">
        <x:v>심의승인</x:v>
      </x:c>
      <x:c r="J2997" s="2" t="str">
        <x:v>심의승인</x:v>
      </x:c>
      <x:c r="K2997" s="2" t="str">
        <x:f>IF(OR(J2997="심의승인",J2997="반려",J2997="반려완료",J2997="심의완료"),"종결 표시",IF(OR(J2997="기후부협의",J2997="문서재제출요청",J2997="보류",J2997="보완요청",J2997="보완완료",J2997="평가중",J2997="반려요청",J2997="평가필요",LEFT(J2997,5)="보완요청("),"미종결 표시","상태 확인 필요"))</x:f>
        <x:v>종결 표시</x:v>
      </x:c>
      <x:c r="L2997" s="2" t="str">
        <x:v>KRIC</x:v>
      </x:c>
      <x:c r="M2997" s="2"/>
      <x:c r="N2997" s="8" t="n">
        <x:f>DATE(2026,10,15)-DATE(2022,10,19)</x:f>
        <x:v>1457</x:v>
      </x:c>
      <x:c r="O2997" s="2"/>
      <x:c r="P2997" s="2"/>
      <x:c r="Q2997" s="2" t="str">
        <x:v>산업전환_외부사업관리Tool_260707_이너젠 수정_LJY_261013.xlsx</x:v>
      </x:c>
      <x:c r="R2997" s="2" t="str">
        <x:v>국외인증</x:v>
      </x:c>
      <x:c r="S2997" s="8" t="n">
        <x:v>584</x:v>
      </x:c>
      <x:c r="T2997" s="2" t="str">
        <x:v>(11/18)</x:v>
      </x:c>
      <x:c r="U2997" s="2" t="str">
        <x:v>2022 지정: (11/18)</x:v>
      </x:c>
      <x:c r="V2997" s="2" t="str">
        <x:v>2023-06-22</x:v>
      </x:c>
      <x:c r="W2997" s="2" t="str"/>
      <x:c r="X2997" s="2" t="str">
        <x:v>종결 근거 보관</x:v>
      </x:c>
      <x:c r="Y2997" s="2" t="str">
        <x:v>ad210cd9ec132cfd447541c8984dc53d30aff0f4fb2dc92d254d49275cc55976</x:v>
      </x:c>
      <x:c r="Z2997" s="2" t="n">
        <x:f>SUBTOTAL(103,A2997)</x:f>
        <x:v>1</x:v>
      </x:c>
      <x:c r="AA2997" s="2" t="str">
        <x:f>IF(K2997&lt;&gt;"미종결 표시","대상 아님",IF(N2997="","신청일 확인",IF(NOT(ISNUMBER('종합 현황'!$H$5)),"관찰기준 확인",IF('종합 현황'!$H$5&lt;1,"관찰기준 확인",IF(N2997&gt;'종합 현황'!$H$5,"내부 관찰 대상","내부 관찰일 이하")))))</x:f>
        <x:v>대상 아님</x:v>
      </x:c>
      <x:c r="AB2997" s="2" t="str">
        <x:v>2022-10-19 11:12 - 신청
2022-11-28 10:00 - 문서재제출요청
2023-01-03 10:50 - 신청
2023-02-23 21:23 - 문서재제출요청
2023-02-24 11:13 - 신청
2023-03-08 16:22 - 문서재제출요청
2023-03-08 16:44 - 신청
2023-03-29 16:50 - 검토승인
2023-03-29 16:51 - 협의검토중
2023-05-04 11:14 - 협의통보
2023-06-22 16:20 - 심의승인</x:v>
      </x:c>
    </x:row>
    <x:row r="2998" ht="42" customHeight="1">
      <x:c r="A2998" s="2" t="str">
        <x:v>39055c03c3fc83eff5fa413e</x:v>
      </x:c>
      <x:c r="B2998" s="2" t="str">
        <x:v>감축량 인증</x:v>
      </x:c>
      <x:c r="C2998" s="2" t="str">
        <x:v>국외</x:v>
      </x:c>
      <x:c r="D2998" s="7" t="str">
        <x:v>베트남 옌바이의 개선된 쿡스토브 사업 - CPA007</x:v>
      </x:c>
      <x:c r="E2998" s="2" t="str">
        <x:v>583</x:v>
      </x:c>
      <x:c r="F2998" s="2" t="str">
        <x:v>2022-10-19</x:v>
      </x:c>
      <x:c r="G2998" s="2" t="str">
        <x:v>2022</x:v>
      </x:c>
      <x:c r="H2998" s="2" t="str">
        <x:v>10</x:v>
      </x:c>
      <x:c r="I2998" s="2" t="str">
        <x:v>심의승인</x:v>
      </x:c>
      <x:c r="J2998" s="2" t="str">
        <x:v>심의승인</x:v>
      </x:c>
      <x:c r="K2998" s="2" t="str">
        <x:f>IF(OR(J2998="심의승인",J2998="반려",J2998="반려완료",J2998="심의완료"),"종결 표시",IF(OR(J2998="기후부협의",J2998="문서재제출요청",J2998="보류",J2998="보완요청",J2998="보완완료",J2998="평가중",J2998="반려요청",J2998="평가필요",LEFT(J2998,5)="보완요청("),"미종결 표시","상태 확인 필요"))</x:f>
        <x:v>종결 표시</x:v>
      </x:c>
      <x:c r="L2998" s="2" t="str">
        <x:v>KRIC</x:v>
      </x:c>
      <x:c r="M2998" s="2"/>
      <x:c r="N2998" s="8" t="n">
        <x:f>DATE(2026,10,15)-DATE(2022,10,19)</x:f>
        <x:v>1457</x:v>
      </x:c>
      <x:c r="O2998" s="2"/>
      <x:c r="P2998" s="2"/>
      <x:c r="Q2998" s="2" t="str">
        <x:v>산업전환_외부사업관리Tool_260707_이너젠 수정_LJY_261013.xlsx</x:v>
      </x:c>
      <x:c r="R2998" s="2" t="str">
        <x:v>국외인증</x:v>
      </x:c>
      <x:c r="S2998" s="8" t="n">
        <x:v>585</x:v>
      </x:c>
      <x:c r="T2998" s="2" t="str">
        <x:v>(11/18)</x:v>
      </x:c>
      <x:c r="U2998" s="2" t="str">
        <x:v>2022 지정: (11/18)</x:v>
      </x:c>
      <x:c r="V2998" s="2" t="str">
        <x:v>2023-06-22</x:v>
      </x:c>
      <x:c r="W2998" s="2" t="str"/>
      <x:c r="X2998" s="2" t="str">
        <x:v>종결 근거 보관</x:v>
      </x:c>
      <x:c r="Y2998" s="2" t="str">
        <x:v>ad210cd9ec132cfd447541c8984dc53d30aff0f4fb2dc92d254d49275cc55976</x:v>
      </x:c>
      <x:c r="Z2998" s="2" t="n">
        <x:f>SUBTOTAL(103,A2998)</x:f>
        <x:v>1</x:v>
      </x:c>
      <x:c r="AA2998" s="2" t="str">
        <x:f>IF(K2998&lt;&gt;"미종결 표시","대상 아님",IF(N2998="","신청일 확인",IF(NOT(ISNUMBER('종합 현황'!$H$5)),"관찰기준 확인",IF('종합 현황'!$H$5&lt;1,"관찰기준 확인",IF(N2998&gt;'종합 현황'!$H$5,"내부 관찰 대상","내부 관찰일 이하")))))</x:f>
        <x:v>대상 아님</x:v>
      </x:c>
      <x:c r="AB2998" s="2" t="str">
        <x:v>2022-10-19 11:15 - 신청
2022-11-28 09:43 - 문서재제출요청
2023-01-03 10:51 - 신청
2023-02-23 21:00 - 문서재제출요청
2023-02-24 11:14 - 신청
2023-03-08 16:14 - 문서재제출요청
2023-03-08 16:45 - 신청
2023-03-29 16:34 - 검토승인
2023-03-29 16:37 - 협의검토중
2023-05-04 11:13 - 협의통보
2023-06-22 16:16 - 심의승인</x:v>
      </x:c>
    </x:row>
    <x:row r="2999" ht="42" customHeight="1">
      <x:c r="A2999" s="2" t="str">
        <x:v>1e4deb824c7fae4dde1b8d39</x:v>
      </x:c>
      <x:c r="B2999" s="2" t="str">
        <x:v>감축량 인증</x:v>
      </x:c>
      <x:c r="C2999" s="2" t="str">
        <x:v>국외</x:v>
      </x:c>
      <x:c r="D2999" s="7" t="str">
        <x:v>베트남 옌바이의 개선된 쿡스토브 사업 - CPA008</x:v>
      </x:c>
      <x:c r="E2999" s="2" t="str">
        <x:v>584</x:v>
      </x:c>
      <x:c r="F2999" s="2" t="str">
        <x:v>2022-10-19</x:v>
      </x:c>
      <x:c r="G2999" s="2" t="str">
        <x:v>2022</x:v>
      </x:c>
      <x:c r="H2999" s="2" t="str">
        <x:v>10</x:v>
      </x:c>
      <x:c r="I2999" s="2" t="str">
        <x:v>심의승인</x:v>
      </x:c>
      <x:c r="J2999" s="2" t="str">
        <x:v>심의승인</x:v>
      </x:c>
      <x:c r="K2999" s="2" t="str">
        <x:f>IF(OR(J2999="심의승인",J2999="반려",J2999="반려완료",J2999="심의완료"),"종결 표시",IF(OR(J2999="기후부협의",J2999="문서재제출요청",J2999="보류",J2999="보완요청",J2999="보완완료",J2999="평가중",J2999="반려요청",J2999="평가필요",LEFT(J2999,5)="보완요청("),"미종결 표시","상태 확인 필요"))</x:f>
        <x:v>종결 표시</x:v>
      </x:c>
      <x:c r="L2999" s="2" t="str">
        <x:v>KRIC</x:v>
      </x:c>
      <x:c r="M2999" s="2"/>
      <x:c r="N2999" s="8" t="n">
        <x:f>DATE(2026,10,15)-DATE(2022,10,19)</x:f>
        <x:v>1457</x:v>
      </x:c>
      <x:c r="O2999" s="2"/>
      <x:c r="P2999" s="2"/>
      <x:c r="Q2999" s="2" t="str">
        <x:v>산업전환_외부사업관리Tool_260707_이너젠 수정_LJY_261013.xlsx</x:v>
      </x:c>
      <x:c r="R2999" s="2" t="str">
        <x:v>국외인증</x:v>
      </x:c>
      <x:c r="S2999" s="8" t="n">
        <x:v>586</x:v>
      </x:c>
      <x:c r="T2999" s="2" t="str">
        <x:v>(11/18)</x:v>
      </x:c>
      <x:c r="U2999" s="2" t="str">
        <x:v>2022 지정: (11/18)</x:v>
      </x:c>
      <x:c r="V2999" s="2" t="str">
        <x:v>2023-06-22</x:v>
      </x:c>
      <x:c r="W2999" s="2" t="str"/>
      <x:c r="X2999" s="2" t="str">
        <x:v>종결 근거 보관</x:v>
      </x:c>
      <x:c r="Y2999" s="2" t="str">
        <x:v>ad210cd9ec132cfd447541c8984dc53d30aff0f4fb2dc92d254d49275cc55976</x:v>
      </x:c>
      <x:c r="Z2999" s="2" t="n">
        <x:f>SUBTOTAL(103,A2999)</x:f>
        <x:v>1</x:v>
      </x:c>
      <x:c r="AA2999" s="2" t="str">
        <x:f>IF(K2999&lt;&gt;"미종결 표시","대상 아님",IF(N2999="","신청일 확인",IF(NOT(ISNUMBER('종합 현황'!$H$5)),"관찰기준 확인",IF('종합 현황'!$H$5&lt;1,"관찰기준 확인",IF(N2999&gt;'종합 현황'!$H$5,"내부 관찰 대상","내부 관찰일 이하")))))</x:f>
        <x:v>대상 아님</x:v>
      </x:c>
      <x:c r="AB2999" s="2" t="str">
        <x:v>2022-10-19 11:17 - 신청
2022-11-28 09:44 - 문서재제출요청
2023-01-03 10:51 - 신청
2023-02-23 21:01 - 문서재제출요청
2023-02-24 11:15 - 신청
2023-03-08 16:14 - 문서재제출요청
2023-03-08 16:45 - 신청
2023-03-29 16:35 - 검토승인
2023-03-29 16:37 - 협의검토중
2023-05-04 11:13 - 협의통보
2023-06-22 16:17 - 심의승인</x:v>
      </x:c>
    </x:row>
    <x:row r="3000" ht="42" customHeight="1">
      <x:c r="A3000" s="2" t="str">
        <x:v>b061d77947f6e0dd7a972d18</x:v>
      </x:c>
      <x:c r="B3000" s="2" t="str">
        <x:v>감축량 인증</x:v>
      </x:c>
      <x:c r="C3000" s="2" t="str">
        <x:v>국외</x:v>
      </x:c>
      <x:c r="D3000" s="7" t="str">
        <x:v>델라구와 르완다 공중 보건 프로그램 : 르완다 CPA027 사업</x:v>
      </x:c>
      <x:c r="E3000" s="2" t="str">
        <x:v>585</x:v>
      </x:c>
      <x:c r="F3000" s="2" t="str">
        <x:v>2022-10-20</x:v>
      </x:c>
      <x:c r="G3000" s="2" t="str">
        <x:v>2022</x:v>
      </x:c>
      <x:c r="H3000" s="2" t="str">
        <x:v>10</x:v>
      </x:c>
      <x:c r="I3000" s="2" t="str">
        <x:v>심의승인</x:v>
      </x:c>
      <x:c r="J3000" s="2" t="str">
        <x:v>심의승인</x:v>
      </x:c>
      <x:c r="K3000" s="2" t="str">
        <x:f>IF(OR(J3000="심의승인",J3000="반려",J3000="반려완료",J3000="심의완료"),"종결 표시",IF(OR(J3000="기후부협의",J3000="문서재제출요청",J3000="보류",J3000="보완요청",J3000="보완완료",J3000="평가중",J3000="반려요청",J3000="평가필요",LEFT(J3000,5)="보완요청("),"미종결 표시","상태 확인 필요"))</x:f>
        <x:v>종결 표시</x:v>
      </x:c>
      <x:c r="L3000" s="2" t="str">
        <x:v>KRIC</x:v>
      </x:c>
      <x:c r="M3000" s="2"/>
      <x:c r="N3000" s="8" t="n">
        <x:f>DATE(2026,10,15)-DATE(2022,10,20)</x:f>
        <x:v>1456</x:v>
      </x:c>
      <x:c r="O3000" s="2"/>
      <x:c r="P3000" s="2"/>
      <x:c r="Q3000" s="2" t="str">
        <x:v>산업전환_외부사업관리Tool_260707_이너젠 수정_LJY_261013.xlsx</x:v>
      </x:c>
      <x:c r="R3000" s="2" t="str">
        <x:v>국외인증</x:v>
      </x:c>
      <x:c r="S3000" s="8" t="n">
        <x:v>587</x:v>
      </x:c>
      <x:c r="T3000" s="2" t="str">
        <x:v>(11/18),(12/27)</x:v>
      </x:c>
      <x:c r="U3000" s="2" t="str">
        <x:v>2022 지정: (11/18),(12/27)</x:v>
      </x:c>
      <x:c r="V3000" s="2" t="str">
        <x:v>2023-06-22</x:v>
      </x:c>
      <x:c r="W3000" s="2" t="str"/>
      <x:c r="X3000" s="2" t="str">
        <x:v>종결 근거 보관</x:v>
      </x:c>
      <x:c r="Y3000" s="2" t="str">
        <x:v>ad210cd9ec132cfd447541c8984dc53d30aff0f4fb2dc92d254d49275cc55976</x:v>
      </x:c>
      <x:c r="Z3000" s="2" t="n">
        <x:f>SUBTOTAL(103,A3000)</x:f>
        <x:v>1</x:v>
      </x:c>
      <x:c r="AA3000" s="2" t="str">
        <x:f>IF(K3000&lt;&gt;"미종결 표시","대상 아님",IF(N3000="","신청일 확인",IF(NOT(ISNUMBER('종합 현황'!$H$5)),"관찰기준 확인",IF('종합 현황'!$H$5&lt;1,"관찰기준 확인",IF(N3000&gt;'종합 현황'!$H$5,"내부 관찰 대상","내부 관찰일 이하")))))</x:f>
        <x:v>대상 아님</x:v>
      </x:c>
      <x:c r="AB3000" s="2" t="str">
        <x:v>2022-10-20 10:51 - 신청
2022-12-07 10:01 - 문서재제출요청
2022-12-08 13:47 - 신청
2022-12-15 16:56 - 문서재제출요청
2022-12-15 17:22 - 신청
2023-02-07 19:55 - 문서재제출요청
2023-02-15 11:23 - 신청
2023-02-20 15:06 - 문서재제출요청
2023-02-20 15:27 - 신청
2023-03-29 15:35 - 검토승인
2023-03-29 15:39 - 협의검토중
2023-05-04 11:11 - 협의통보
2023-06-22 16:08 - 심의승인</x:v>
      </x:c>
    </x:row>
    <x:row r="3001" ht="42" customHeight="1">
      <x:c r="A3001" s="2" t="str">
        <x:v>118fffe492004d9eca031559</x:v>
      </x:c>
      <x:c r="B3001" s="2" t="str">
        <x:v>감축량 인증</x:v>
      </x:c>
      <x:c r="C3001" s="2" t="str">
        <x:v>국외</x:v>
      </x:c>
      <x:c r="D3001" s="7" t="str">
        <x:v>피지의 개선된 쿡스토브 사업 - CPA 01</x:v>
      </x:c>
      <x:c r="E3001" s="2" t="str">
        <x:v>586</x:v>
      </x:c>
      <x:c r="F3001" s="2" t="str">
        <x:v>2022-10-24</x:v>
      </x:c>
      <x:c r="G3001" s="2" t="str">
        <x:v>2022</x:v>
      </x:c>
      <x:c r="H3001" s="2" t="str">
        <x:v>10</x:v>
      </x:c>
      <x:c r="I3001" s="2" t="str">
        <x:v>심의승인</x:v>
      </x:c>
      <x:c r="J3001" s="2" t="str">
        <x:v>심의승인</x:v>
      </x:c>
      <x:c r="K3001" s="2" t="str">
        <x:f>IF(OR(J3001="심의승인",J3001="반려",J3001="반려완료",J3001="심의완료"),"종결 표시",IF(OR(J3001="기후부협의",J3001="문서재제출요청",J3001="보류",J3001="보완요청",J3001="보완완료",J3001="평가중",J3001="반려요청",J3001="평가필요",LEFT(J3001,5)="보완요청("),"미종결 표시","상태 확인 필요"))</x:f>
        <x:v>종결 표시</x:v>
      </x:c>
      <x:c r="L3001" s="2" t="str">
        <x:v>KRIC</x:v>
      </x:c>
      <x:c r="M3001" s="2"/>
      <x:c r="N3001" s="8" t="n">
        <x:f>DATE(2026,10,15)-DATE(2022,10,24)</x:f>
        <x:v>1452</x:v>
      </x:c>
      <x:c r="O3001" s="2"/>
      <x:c r="P3001" s="2"/>
      <x:c r="Q3001" s="2" t="str">
        <x:v>산업전환_외부사업관리Tool_260707_이너젠 수정_LJY_261013.xlsx</x:v>
      </x:c>
      <x:c r="R3001" s="2" t="str">
        <x:v>국외인증</x:v>
      </x:c>
      <x:c r="S3001" s="8" t="n">
        <x:v>588</x:v>
      </x:c>
      <x:c r="T3001" s="2" t="str">
        <x:v>(11/18),(12/27)</x:v>
      </x:c>
      <x:c r="U3001" s="2" t="str">
        <x:v>2022 지정: (11/18),(12/27)</x:v>
      </x:c>
      <x:c r="V3001" s="2" t="str">
        <x:v>2023-09-20</x:v>
      </x:c>
      <x:c r="W3001" s="2" t="str"/>
      <x:c r="X3001" s="2" t="str">
        <x:v>종결 근거 보관</x:v>
      </x:c>
      <x:c r="Y3001" s="2" t="str">
        <x:v>ad210cd9ec132cfd447541c8984dc53d30aff0f4fb2dc92d254d49275cc55976</x:v>
      </x:c>
      <x:c r="Z3001" s="2" t="n">
        <x:f>SUBTOTAL(103,A3001)</x:f>
        <x:v>1</x:v>
      </x:c>
      <x:c r="AA3001" s="2" t="str">
        <x:f>IF(K3001&lt;&gt;"미종결 표시","대상 아님",IF(N3001="","신청일 확인",IF(NOT(ISNUMBER('종합 현황'!$H$5)),"관찰기준 확인",IF('종합 현황'!$H$5&lt;1,"관찰기준 확인",IF(N3001&gt;'종합 현황'!$H$5,"내부 관찰 대상","내부 관찰일 이하")))))</x:f>
        <x:v>대상 아님</x:v>
      </x:c>
      <x:c r="AB3001" s="2" t="str">
        <x:v>2022-10-24 14:45 - 신청
2022-12-07 10:06 - 문서재제출요청
2022-12-15 11:52 - 신청
2023-06-02 08:49 - 문서재제출요청
2023-06-02 10:17 - 신청
2023-06-09 16:11 - 검토승인
2023-06-28 11:24 - 협의검토중
2023-07-28 15:00 - 협의통보
2023-09-20 15:26 - 심의승인</x:v>
      </x:c>
    </x:row>
    <x:row r="3002" ht="42" customHeight="1">
      <x:c r="A3002" s="2" t="str">
        <x:v>0efc493f4609f23401bf3cf2</x:v>
      </x:c>
      <x:c r="B3002" s="2" t="str">
        <x:v>감축량 인증</x:v>
      </x:c>
      <x:c r="C3002" s="2" t="str">
        <x:v>국외</x:v>
      </x:c>
      <x:c r="D3002" s="7" t="str">
        <x:v>피지의 개선된 쿡스토브 사업 - CPA 02</x:v>
      </x:c>
      <x:c r="E3002" s="2" t="str">
        <x:v>587</x:v>
      </x:c>
      <x:c r="F3002" s="2" t="str">
        <x:v>2022-10-24</x:v>
      </x:c>
      <x:c r="G3002" s="2" t="str">
        <x:v>2022</x:v>
      </x:c>
      <x:c r="H3002" s="2" t="str">
        <x:v>10</x:v>
      </x:c>
      <x:c r="I3002" s="2" t="str">
        <x:v>심의승인</x:v>
      </x:c>
      <x:c r="J3002" s="2" t="str">
        <x:v>심의승인</x:v>
      </x:c>
      <x:c r="K3002" s="2" t="str">
        <x:f>IF(OR(J3002="심의승인",J3002="반려",J3002="반려완료",J3002="심의완료"),"종결 표시",IF(OR(J3002="기후부협의",J3002="문서재제출요청",J3002="보류",J3002="보완요청",J3002="보완완료",J3002="평가중",J3002="반려요청",J3002="평가필요",LEFT(J3002,5)="보완요청("),"미종결 표시","상태 확인 필요"))</x:f>
        <x:v>종결 표시</x:v>
      </x:c>
      <x:c r="L3002" s="2" t="str">
        <x:v>KRIC</x:v>
      </x:c>
      <x:c r="M3002" s="2"/>
      <x:c r="N3002" s="8" t="n">
        <x:f>DATE(2026,10,15)-DATE(2022,10,24)</x:f>
        <x:v>1452</x:v>
      </x:c>
      <x:c r="O3002" s="2"/>
      <x:c r="P3002" s="2"/>
      <x:c r="Q3002" s="2" t="str">
        <x:v>산업전환_외부사업관리Tool_260707_이너젠 수정_LJY_261013.xlsx</x:v>
      </x:c>
      <x:c r="R3002" s="2" t="str">
        <x:v>국외인증</x:v>
      </x:c>
      <x:c r="S3002" s="8" t="n">
        <x:v>589</x:v>
      </x:c>
      <x:c r="T3002" s="2" t="str">
        <x:v>(11/18),(12/27)</x:v>
      </x:c>
      <x:c r="U3002" s="2" t="str">
        <x:v>2022 지정: (11/18),(12/27)</x:v>
      </x:c>
      <x:c r="V3002" s="2" t="str">
        <x:v>2023-09-20</x:v>
      </x:c>
      <x:c r="W3002" s="2" t="str"/>
      <x:c r="X3002" s="2" t="str">
        <x:v>종결 근거 보관</x:v>
      </x:c>
      <x:c r="Y3002" s="2" t="str">
        <x:v>ad210cd9ec132cfd447541c8984dc53d30aff0f4fb2dc92d254d49275cc55976</x:v>
      </x:c>
      <x:c r="Z3002" s="2" t="n">
        <x:f>SUBTOTAL(103,A3002)</x:f>
        <x:v>1</x:v>
      </x:c>
      <x:c r="AA3002" s="2" t="str">
        <x:f>IF(K3002&lt;&gt;"미종결 표시","대상 아님",IF(N3002="","신청일 확인",IF(NOT(ISNUMBER('종합 현황'!$H$5)),"관찰기준 확인",IF('종합 현황'!$H$5&lt;1,"관찰기준 확인",IF(N3002&gt;'종합 현황'!$H$5,"내부 관찰 대상","내부 관찰일 이하")))))</x:f>
        <x:v>대상 아님</x:v>
      </x:c>
      <x:c r="AB3002" s="2" t="str">
        <x:v>2022-10-24 14:45 - 신청
2022-12-07 10:06 - 문서재제출요청
2022-12-15 11:52 - 신청
2023-06-02 08:49 - 문서재제출요청
2023-06-02 10:23 - 신청
2023-06-09 16:13 - 검토승인
2023-06-28 11:24 - 협의검토중
2023-07-28 15:00 - 협의통보
2023-09-20 15:27 - 심의승인</x:v>
      </x:c>
    </x:row>
    <x:row r="3003" ht="42" customHeight="1">
      <x:c r="A3003" s="2" t="str">
        <x:v>72ab8e49b0822a8cd482e411</x:v>
      </x:c>
      <x:c r="B3003" s="2" t="str">
        <x:v>감축량 인증</x:v>
      </x:c>
      <x:c r="C3003" s="2" t="str">
        <x:v>국외</x:v>
      </x:c>
      <x:c r="D3003" s="7" t="str">
        <x:v>Quinta 태양광 CDM 프로젝트</x:v>
      </x:c>
      <x:c r="E3003" s="2" t="str">
        <x:v>588</x:v>
      </x:c>
      <x:c r="F3003" s="2" t="str">
        <x:v>2022-10-24</x:v>
      </x:c>
      <x:c r="G3003" s="2" t="str">
        <x:v>2022</x:v>
      </x:c>
      <x:c r="H3003" s="2" t="str">
        <x:v>10</x:v>
      </x:c>
      <x:c r="I3003" s="2" t="str">
        <x:v>심의승인</x:v>
      </x:c>
      <x:c r="J3003" s="2" t="str">
        <x:v>심의승인</x:v>
      </x:c>
      <x:c r="K3003" s="2" t="str">
        <x:f>IF(OR(J3003="심의승인",J3003="반려",J3003="반려완료",J3003="심의완료"),"종결 표시",IF(OR(J3003="기후부협의",J3003="문서재제출요청",J3003="보류",J3003="보완요청",J3003="보완완료",J3003="평가중",J3003="반려요청",J3003="평가필요",LEFT(J3003,5)="보완요청("),"미종결 표시","상태 확인 필요"))</x:f>
        <x:v>종결 표시</x:v>
      </x:c>
      <x:c r="L3003" s="2" t="str">
        <x:v>KRIC</x:v>
      </x:c>
      <x:c r="M3003" s="2"/>
      <x:c r="N3003" s="8" t="n">
        <x:f>DATE(2026,10,15)-DATE(2022,10,24)</x:f>
        <x:v>1452</x:v>
      </x:c>
      <x:c r="O3003" s="2"/>
      <x:c r="P3003" s="2"/>
      <x:c r="Q3003" s="2" t="str">
        <x:v>산업전환_외부사업관리Tool_260707_이너젠 수정_LJY_261013.xlsx</x:v>
      </x:c>
      <x:c r="R3003" s="2" t="str">
        <x:v>국외인증</x:v>
      </x:c>
      <x:c r="S3003" s="8" t="n">
        <x:v>590</x:v>
      </x:c>
      <x:c r="T3003" s="2" t="str">
        <x:v>(11/18),(12/27)</x:v>
      </x:c>
      <x:c r="U3003" s="2" t="str">
        <x:v>2022 지정: (11/18),(12/27) / 2023 지정: (2/17)</x:v>
      </x:c>
      <x:c r="V3003" s="2" t="str">
        <x:v>2023-06-22</x:v>
      </x:c>
      <x:c r="W3003" s="2" t="str"/>
      <x:c r="X3003" s="2" t="str">
        <x:v>종결 근거 보관</x:v>
      </x:c>
      <x:c r="Y3003" s="2" t="str">
        <x:v>ad210cd9ec132cfd447541c8984dc53d30aff0f4fb2dc92d254d49275cc55976</x:v>
      </x:c>
      <x:c r="Z3003" s="2" t="n">
        <x:f>SUBTOTAL(103,A3003)</x:f>
        <x:v>1</x:v>
      </x:c>
      <x:c r="AA3003" s="2" t="str">
        <x:f>IF(K3003&lt;&gt;"미종결 표시","대상 아님",IF(N3003="","신청일 확인",IF(NOT(ISNUMBER('종합 현황'!$H$5)),"관찰기준 확인",IF('종합 현황'!$H$5&lt;1,"관찰기준 확인",IF(N3003&gt;'종합 현황'!$H$5,"내부 관찰 대상","내부 관찰일 이하")))))</x:f>
        <x:v>대상 아님</x:v>
      </x:c>
      <x:c r="AB3003" s="2" t="str">
        <x:v>2022-10-24 16:34 - 접수
2022-10-25 15:58 - 신청
2022-12-07 09:47 - 문서재제출요청
2022-12-20 16:13 - 접수
2022-12-20 16:59 - 신청
2023-02-07 20:20 - 문서재제출요청
2023-02-13 14:34 - 접수
2023-02-13 14:37 - 신청
2023-02-14 16:10 - 문서재제출요청
2023-02-15 14:42 - 접수
2023-02-15 15:58 - 신청
2023-02-20 15:37 - 문서재제출요청
2023-02-20 15:57 - 접수
2023-02-20 16:01 - 신청
2023-03-29 15:16 - 검토승인
2023-03-29 15:20 - 협의검토중
2023-05-04 11:11 - 협의통보
2023-06-22 16:06 - 심의승인</x:v>
      </x:c>
    </x:row>
    <x:row r="3004" ht="42" customHeight="1">
      <x:c r="A3004" s="2" t="str">
        <x:v>885ad0caef4204d337594b3e</x:v>
      </x:c>
      <x:c r="B3004" s="2" t="str">
        <x:v>감축량 인증</x:v>
      </x:c>
      <x:c r="C3004" s="2" t="str">
        <x:v>국외</x:v>
      </x:c>
      <x:c r="D3004" s="7" t="str">
        <x:v>Santa Rosa 태양광 CDM 프로젝트</x:v>
      </x:c>
      <x:c r="E3004" s="2" t="str">
        <x:v>589</x:v>
      </x:c>
      <x:c r="F3004" s="2" t="str">
        <x:v>2022-10-24</x:v>
      </x:c>
      <x:c r="G3004" s="2" t="str">
        <x:v>2022</x:v>
      </x:c>
      <x:c r="H3004" s="2" t="str">
        <x:v>10</x:v>
      </x:c>
      <x:c r="I3004" s="2" t="str">
        <x:v>심의승인</x:v>
      </x:c>
      <x:c r="J3004" s="2" t="str">
        <x:v>심의승인</x:v>
      </x:c>
      <x:c r="K3004" s="2" t="str">
        <x:f>IF(OR(J3004="심의승인",J3004="반려",J3004="반려완료",J3004="심의완료"),"종결 표시",IF(OR(J3004="기후부협의",J3004="문서재제출요청",J3004="보류",J3004="보완요청",J3004="보완완료",J3004="평가중",J3004="반려요청",J3004="평가필요",LEFT(J3004,5)="보완요청("),"미종결 표시","상태 확인 필요"))</x:f>
        <x:v>종결 표시</x:v>
      </x:c>
      <x:c r="L3004" s="2" t="str">
        <x:v>KRIC</x:v>
      </x:c>
      <x:c r="M3004" s="2"/>
      <x:c r="N3004" s="8" t="n">
        <x:f>DATE(2026,10,15)-DATE(2022,10,24)</x:f>
        <x:v>1452</x:v>
      </x:c>
      <x:c r="O3004" s="2"/>
      <x:c r="P3004" s="2"/>
      <x:c r="Q3004" s="2" t="str">
        <x:v>산업전환_외부사업관리Tool_260707_이너젠 수정_LJY_261013.xlsx</x:v>
      </x:c>
      <x:c r="R3004" s="2" t="str">
        <x:v>국외인증</x:v>
      </x:c>
      <x:c r="S3004" s="8" t="n">
        <x:v>591</x:v>
      </x:c>
      <x:c r="T3004" s="2" t="str">
        <x:v>(11/18),(12/27)</x:v>
      </x:c>
      <x:c r="U3004" s="2" t="str">
        <x:v>2022 지정: (11/18),(12/27) / 2023 지정: (2/17)</x:v>
      </x:c>
      <x:c r="V3004" s="2" t="str">
        <x:v>2023-06-22</x:v>
      </x:c>
      <x:c r="W3004" s="2" t="str"/>
      <x:c r="X3004" s="2" t="str">
        <x:v>종결 근거 보관</x:v>
      </x:c>
      <x:c r="Y3004" s="2" t="str">
        <x:v>ad210cd9ec132cfd447541c8984dc53d30aff0f4fb2dc92d254d49275cc55976</x:v>
      </x:c>
      <x:c r="Z3004" s="2" t="n">
        <x:f>SUBTOTAL(103,A3004)</x:f>
        <x:v>1</x:v>
      </x:c>
      <x:c r="AA3004" s="2" t="str">
        <x:f>IF(K3004&lt;&gt;"미종결 표시","대상 아님",IF(N3004="","신청일 확인",IF(NOT(ISNUMBER('종합 현황'!$H$5)),"관찰기준 확인",IF('종합 현황'!$H$5&lt;1,"관찰기준 확인",IF(N3004&gt;'종합 현황'!$H$5,"내부 관찰 대상","내부 관찰일 이하")))))</x:f>
        <x:v>대상 아님</x:v>
      </x:c>
      <x:c r="AB3004" s="2" t="str">
        <x:v>2022-10-24 16:34 - 접수
2022-10-25 15:59 - 신청
2022-12-07 09:49 - 문서재제출요청
2022-12-20 16:16 - 접수
2022-12-20 16:59 - 신청
2023-02-07 20:23 - 문서재제출요청
2023-02-13 14:35 - 접수
2023-02-13 14:37 - 신청
2023-02-14 16:09 - 문서재제출요청
2023-02-15 14:43 - 접수
2023-02-15 15:58 - 신청
2023-02-20 15:36 - 문서재제출요청
2023-02-20 15:58 - 접수
2023-02-20 16:01 - 신청
2023-03-29 15:19 - 검토승인
2023-03-29 15:20 - 협의검토중
2023-05-04 11:11 - 협의통보
2023-06-22 16:06 - 심의승인</x:v>
      </x:c>
    </x:row>
    <x:row r="3005" ht="42" customHeight="1">
      <x:c r="A3005" s="2" t="str">
        <x:v>440649e1a7e7be919961585e</x:v>
      </x:c>
      <x:c r="B3005" s="2" t="str">
        <x:v>감축량 인증</x:v>
      </x:c>
      <x:c r="C3005" s="2" t="str">
        <x:v>국외</x:v>
      </x:c>
      <x:c r="D3005" s="7" t="str">
        <x:v>Rinconada 태양광 CDM 프로젝트</x:v>
      </x:c>
      <x:c r="E3005" s="2" t="str">
        <x:v>590</x:v>
      </x:c>
      <x:c r="F3005" s="2" t="str">
        <x:v>2022-10-24</x:v>
      </x:c>
      <x:c r="G3005" s="2" t="str">
        <x:v>2022</x:v>
      </x:c>
      <x:c r="H3005" s="2" t="str">
        <x:v>10</x:v>
      </x:c>
      <x:c r="I3005" s="2" t="str">
        <x:v>심의승인</x:v>
      </x:c>
      <x:c r="J3005" s="2" t="str">
        <x:v>심의승인</x:v>
      </x:c>
      <x:c r="K3005" s="2" t="str">
        <x:f>IF(OR(J3005="심의승인",J3005="반려",J3005="반려완료",J3005="심의완료"),"종결 표시",IF(OR(J3005="기후부협의",J3005="문서재제출요청",J3005="보류",J3005="보완요청",J3005="보완완료",J3005="평가중",J3005="반려요청",J3005="평가필요",LEFT(J3005,5)="보완요청("),"미종결 표시","상태 확인 필요"))</x:f>
        <x:v>종결 표시</x:v>
      </x:c>
      <x:c r="L3005" s="2" t="str">
        <x:v>KRIC</x:v>
      </x:c>
      <x:c r="M3005" s="2"/>
      <x:c r="N3005" s="8" t="n">
        <x:f>DATE(2026,10,15)-DATE(2022,10,24)</x:f>
        <x:v>1452</x:v>
      </x:c>
      <x:c r="O3005" s="2"/>
      <x:c r="P3005" s="2"/>
      <x:c r="Q3005" s="2" t="str">
        <x:v>산업전환_외부사업관리Tool_260707_이너젠 수정_LJY_261013.xlsx</x:v>
      </x:c>
      <x:c r="R3005" s="2" t="str">
        <x:v>국외인증</x:v>
      </x:c>
      <x:c r="S3005" s="8" t="n">
        <x:v>592</x:v>
      </x:c>
      <x:c r="T3005" s="2" t="str">
        <x:v>(11/18),(12/27)</x:v>
      </x:c>
      <x:c r="U3005" s="2" t="str">
        <x:v>2022 지정: (11/18),(12/27) / 2023 지정: (2/17)</x:v>
      </x:c>
      <x:c r="V3005" s="2" t="str">
        <x:v>2023-06-22</x:v>
      </x:c>
      <x:c r="W3005" s="2" t="str"/>
      <x:c r="X3005" s="2" t="str">
        <x:v>종결 근거 보관</x:v>
      </x:c>
      <x:c r="Y3005" s="2" t="str">
        <x:v>ad210cd9ec132cfd447541c8984dc53d30aff0f4fb2dc92d254d49275cc55976</x:v>
      </x:c>
      <x:c r="Z3005" s="2" t="n">
        <x:f>SUBTOTAL(103,A3005)</x:f>
        <x:v>1</x:v>
      </x:c>
      <x:c r="AA3005" s="2" t="str">
        <x:f>IF(K3005&lt;&gt;"미종결 표시","대상 아님",IF(N3005="","신청일 확인",IF(NOT(ISNUMBER('종합 현황'!$H$5)),"관찰기준 확인",IF('종합 현황'!$H$5&lt;1,"관찰기준 확인",IF(N3005&gt;'종합 현황'!$H$5,"내부 관찰 대상","내부 관찰일 이하")))))</x:f>
        <x:v>대상 아님</x:v>
      </x:c>
      <x:c r="AB3005" s="2" t="str">
        <x:v>2022-10-24 16:34 - 접수
2022-10-25 15:59 - 신청
2022-12-07 09:47 - 문서재제출요청
2022-12-20 16:14 - 접수
2022-12-20 16:59 - 신청
2023-02-07 20:21 - 문서재제출요청
2023-02-13 14:34 - 접수
2023-02-13 14:37 - 신청
2023-02-14 16:09 - 문서재제출요청
2023-02-15 14:44 - 접수
2023-02-15 15:58 - 신청
2023-02-20 15:36 - 문서재제출요청
2023-02-20 15:59 - 접수
2023-02-20 16:01 - 신청
2023-03-14 10:23 - 문서재제출요청
2023-03-15 13:08 - 접수
2023-03-15 13:12 - 신청
2023-03-29 15:17 - 검토승인
2023-03-29 15:20 - 협의검토중
2023-05-04 11:11 - 협의통보
2023-06-22 16:06 - 심의승인</x:v>
      </x:c>
    </x:row>
    <x:row r="3006" ht="42" customHeight="1">
      <x:c r="A3006" s="2" t="str">
        <x:v>335b24ccc849e2fd080cb0b5</x:v>
      </x:c>
      <x:c r="B3006" s="2" t="str">
        <x:v>감축량 인증</x:v>
      </x:c>
      <x:c r="C3006" s="2" t="str">
        <x:v>국외</x:v>
      </x:c>
      <x:c r="D3006" s="7" t="str">
        <x:v>델라구와 르완다 공중 보건 프로그램 : 르완다 CPA027 사업</x:v>
      </x:c>
      <x:c r="E3006" s="2" t="str">
        <x:v>591</x:v>
      </x:c>
      <x:c r="F3006" s="2" t="str">
        <x:v>2022-11-01</x:v>
      </x:c>
      <x:c r="G3006" s="2" t="str">
        <x:v>2022</x:v>
      </x:c>
      <x:c r="H3006" s="2" t="str">
        <x:v>11</x:v>
      </x:c>
      <x:c r="I3006" s="2" t="str">
        <x:v>심의승인</x:v>
      </x:c>
      <x:c r="J3006" s="2" t="str">
        <x:v>심의승인</x:v>
      </x:c>
      <x:c r="K3006" s="2" t="str">
        <x:f>IF(OR(J3006="심의승인",J3006="반려",J3006="반려완료",J3006="심의완료"),"종결 표시",IF(OR(J3006="기후부협의",J3006="문서재제출요청",J3006="보류",J3006="보완요청",J3006="보완완료",J3006="평가중",J3006="반려요청",J3006="평가필요",LEFT(J3006,5)="보완요청("),"미종결 표시","상태 확인 필요"))</x:f>
        <x:v>종결 표시</x:v>
      </x:c>
      <x:c r="L3006" s="2" t="str">
        <x:v>KRIC</x:v>
      </x:c>
      <x:c r="M3006" s="2"/>
      <x:c r="N3006" s="8" t="n">
        <x:f>DATE(2026,10,15)-DATE(2022,11,1)</x:f>
        <x:v>1444</x:v>
      </x:c>
      <x:c r="O3006" s="2"/>
      <x:c r="P3006" s="2"/>
      <x:c r="Q3006" s="2" t="str">
        <x:v>산업전환_외부사업관리Tool_260707_이너젠 수정_LJY_261013.xlsx</x:v>
      </x:c>
      <x:c r="R3006" s="2" t="str">
        <x:v>국외인증</x:v>
      </x:c>
      <x:c r="S3006" s="8" t="n">
        <x:v>593</x:v>
      </x:c>
      <x:c r="T3006" s="2" t="str">
        <x:v>(11/18),(12/27)</x:v>
      </x:c>
      <x:c r="U3006" s="2" t="str">
        <x:v>2022 지정: (11/18),(12/27)</x:v>
      </x:c>
      <x:c r="V3006" s="2" t="str">
        <x:v>2023-06-22</x:v>
      </x:c>
      <x:c r="W3006" s="2" t="str"/>
      <x:c r="X3006" s="2" t="str">
        <x:v>종결 근거 보관</x:v>
      </x:c>
      <x:c r="Y3006" s="2" t="str">
        <x:v>ad210cd9ec132cfd447541c8984dc53d30aff0f4fb2dc92d254d49275cc55976</x:v>
      </x:c>
      <x:c r="Z3006" s="2" t="n">
        <x:f>SUBTOTAL(103,A3006)</x:f>
        <x:v>1</x:v>
      </x:c>
      <x:c r="AA3006" s="2" t="str">
        <x:f>IF(K3006&lt;&gt;"미종결 표시","대상 아님",IF(N3006="","신청일 확인",IF(NOT(ISNUMBER('종합 현황'!$H$5)),"관찰기준 확인",IF('종합 현황'!$H$5&lt;1,"관찰기준 확인",IF(N3006&gt;'종합 현황'!$H$5,"내부 관찰 대상","내부 관찰일 이하")))))</x:f>
        <x:v>대상 아님</x:v>
      </x:c>
      <x:c r="AB3006" s="2" t="str">
        <x:v>2022-11-01 09:13 - 신청
2022-12-06 16:12 - 문서재제출요청
2022-12-06 16:44 - 신청
2022-12-07 10:10 - 문서재제출요청
2022-12-08 13:55 - 신청
2022-12-15 16:57 - 문서재제출요청
2022-12-19 08:36 - 신청
2023-02-07 19:58 - 문서재제출요청
2023-02-15 11:23 - 신청
2023-03-29 15:38 - 검토승인
2023-03-29 15:39 - 협의검토중
2023-05-04 11:11 - 협의통보
2023-06-22 16:08 - 심의승인</x:v>
      </x:c>
    </x:row>
    <x:row r="3007" ht="42" customHeight="1">
      <x:c r="A3007" s="2" t="str">
        <x:v>2f4da7e4de56503140ad9013</x:v>
      </x:c>
      <x:c r="B3007" s="2" t="str">
        <x:v>감축량 인증</x:v>
      </x:c>
      <x:c r="C3007" s="2" t="str">
        <x:v>국외</x:v>
      </x:c>
      <x:c r="D3007" s="7" t="str">
        <x:v>BioLite의 발전된 쿡스토브 프로그램 - 한국에서 지원하는 CPA 014</x:v>
      </x:c>
      <x:c r="E3007" s="2" t="str">
        <x:v>592</x:v>
      </x:c>
      <x:c r="F3007" s="2" t="str">
        <x:v>2022-11-04</x:v>
      </x:c>
      <x:c r="G3007" s="2" t="str">
        <x:v>2022</x:v>
      </x:c>
      <x:c r="H3007" s="2" t="str">
        <x:v>11</x:v>
      </x:c>
      <x:c r="I3007" s="2" t="str">
        <x:v>심의승인</x:v>
      </x:c>
      <x:c r="J3007" s="2" t="str">
        <x:v>심의승인</x:v>
      </x:c>
      <x:c r="K3007" s="2" t="str">
        <x:f>IF(OR(J3007="심의승인",J3007="반려",J3007="반려완료",J3007="심의완료"),"종결 표시",IF(OR(J3007="기후부협의",J3007="문서재제출요청",J3007="보류",J3007="보완요청",J3007="보완완료",J3007="평가중",J3007="반려요청",J3007="평가필요",LEFT(J3007,5)="보완요청("),"미종결 표시","상태 확인 필요"))</x:f>
        <x:v>종결 표시</x:v>
      </x:c>
      <x:c r="L3007" s="2" t="str">
        <x:v>KRIC</x:v>
      </x:c>
      <x:c r="M3007" s="2"/>
      <x:c r="N3007" s="8" t="n">
        <x:f>DATE(2026,10,15)-DATE(2022,11,4)</x:f>
        <x:v>1441</x:v>
      </x:c>
      <x:c r="O3007" s="2"/>
      <x:c r="P3007" s="2"/>
      <x:c r="Q3007" s="2" t="str">
        <x:v>산업전환_외부사업관리Tool_260707_이너젠 수정_LJY_261013.xlsx</x:v>
      </x:c>
      <x:c r="R3007" s="2" t="str">
        <x:v>국외인증</x:v>
      </x:c>
      <x:c r="S3007" s="8" t="n">
        <x:v>594</x:v>
      </x:c>
      <x:c r="T3007" s="2" t="str">
        <x:v>(11/18),(12/27)</x:v>
      </x:c>
      <x:c r="U3007" s="2" t="str">
        <x:v>2022 지정: (11/18),(12/27)</x:v>
      </x:c>
      <x:c r="V3007" s="2" t="str">
        <x:v>2023-06-22</x:v>
      </x:c>
      <x:c r="W3007" s="2" t="str"/>
      <x:c r="X3007" s="2" t="str">
        <x:v>종결 근거 보관</x:v>
      </x:c>
      <x:c r="Y3007" s="2" t="str">
        <x:v>ad210cd9ec132cfd447541c8984dc53d30aff0f4fb2dc92d254d49275cc55976</x:v>
      </x:c>
      <x:c r="Z3007" s="2" t="n">
        <x:f>SUBTOTAL(103,A3007)</x:f>
        <x:v>1</x:v>
      </x:c>
      <x:c r="AA3007" s="2" t="str">
        <x:f>IF(K3007&lt;&gt;"미종결 표시","대상 아님",IF(N3007="","신청일 확인",IF(NOT(ISNUMBER('종합 현황'!$H$5)),"관찰기준 확인",IF('종합 현황'!$H$5&lt;1,"관찰기준 확인",IF(N3007&gt;'종합 현황'!$H$5,"내부 관찰 대상","내부 관찰일 이하")))))</x:f>
        <x:v>대상 아님</x:v>
      </x:c>
      <x:c r="AB3007" s="2" t="str">
        <x:v>2022-11-04 13:39 - 신청
2022-12-07 13:12 - 문서재제출요청
2022-12-09 16:33 - 신청
2023-02-07 19:19 - 문서재제출요청
2023-02-08 11:40 - 신청
2023-02-17 14:30 - 문서재제출요청
2023-02-17 14:43 - 신청
2023-02-23 10:07 - 문서재제출요청
2023-02-23 10:43 - 신청
2023-03-29 11:04 - 검토승인
2023-03-29 11:05 - 협의검토중
2023-04-10 18:06 - 협의통보
2023-06-22 15:56 - 심의승인</x:v>
      </x:c>
    </x:row>
    <x:row r="3008" ht="42" customHeight="1">
      <x:c r="A3008" s="2" t="str">
        <x:v>259718df8f4533a3bf50efd9</x:v>
      </x:c>
      <x:c r="B3008" s="2" t="str">
        <x:v>감축량 인증</x:v>
      </x:c>
      <x:c r="C3008" s="2" t="str">
        <x:v>국외</x:v>
      </x:c>
      <x:c r="D3008" s="7" t="str">
        <x:v>BioLite의 발전된 쿡스토브 프로그램 - 한국에서 지원하는 CPA 015</x:v>
      </x:c>
      <x:c r="E3008" s="2" t="str">
        <x:v>593</x:v>
      </x:c>
      <x:c r="F3008" s="2" t="str">
        <x:v>2022-11-04</x:v>
      </x:c>
      <x:c r="G3008" s="2" t="str">
        <x:v>2022</x:v>
      </x:c>
      <x:c r="H3008" s="2" t="str">
        <x:v>11</x:v>
      </x:c>
      <x:c r="I3008" s="2" t="str">
        <x:v>심의승인</x:v>
      </x:c>
      <x:c r="J3008" s="2" t="str">
        <x:v>심의승인</x:v>
      </x:c>
      <x:c r="K3008" s="2" t="str">
        <x:f>IF(OR(J3008="심의승인",J3008="반려",J3008="반려완료",J3008="심의완료"),"종결 표시",IF(OR(J3008="기후부협의",J3008="문서재제출요청",J3008="보류",J3008="보완요청",J3008="보완완료",J3008="평가중",J3008="반려요청",J3008="평가필요",LEFT(J3008,5)="보완요청("),"미종결 표시","상태 확인 필요"))</x:f>
        <x:v>종결 표시</x:v>
      </x:c>
      <x:c r="L3008" s="2" t="str">
        <x:v>KRIC</x:v>
      </x:c>
      <x:c r="M3008" s="2"/>
      <x:c r="N3008" s="8" t="n">
        <x:f>DATE(2026,10,15)-DATE(2022,11,4)</x:f>
        <x:v>1441</x:v>
      </x:c>
      <x:c r="O3008" s="2"/>
      <x:c r="P3008" s="2"/>
      <x:c r="Q3008" s="2" t="str">
        <x:v>산업전환_외부사업관리Tool_260707_이너젠 수정_LJY_261013.xlsx</x:v>
      </x:c>
      <x:c r="R3008" s="2" t="str">
        <x:v>국외인증</x:v>
      </x:c>
      <x:c r="S3008" s="8" t="n">
        <x:v>595</x:v>
      </x:c>
      <x:c r="T3008" s="2" t="str">
        <x:v>(11/18),(12/27)</x:v>
      </x:c>
      <x:c r="U3008" s="2" t="str">
        <x:v>2022 지정: (11/18),(12/27)</x:v>
      </x:c>
      <x:c r="V3008" s="2" t="str">
        <x:v>2023-06-22</x:v>
      </x:c>
      <x:c r="W3008" s="2" t="str"/>
      <x:c r="X3008" s="2" t="str">
        <x:v>종결 근거 보관</x:v>
      </x:c>
      <x:c r="Y3008" s="2" t="str">
        <x:v>ad210cd9ec132cfd447541c8984dc53d30aff0f4fb2dc92d254d49275cc55976</x:v>
      </x:c>
      <x:c r="Z3008" s="2" t="n">
        <x:f>SUBTOTAL(103,A3008)</x:f>
        <x:v>1</x:v>
      </x:c>
      <x:c r="AA3008" s="2" t="str">
        <x:f>IF(K3008&lt;&gt;"미종결 표시","대상 아님",IF(N3008="","신청일 확인",IF(NOT(ISNUMBER('종합 현황'!$H$5)),"관찰기준 확인",IF('종합 현황'!$H$5&lt;1,"관찰기준 확인",IF(N3008&gt;'종합 현황'!$H$5,"내부 관찰 대상","내부 관찰일 이하")))))</x:f>
        <x:v>대상 아님</x:v>
      </x:c>
      <x:c r="AB3008" s="2" t="str">
        <x:v>2022-11-04 13:39 - 신청
2022-12-07 13:12 - 문서재제출요청
2022-12-09 16:33 - 신청
2023-02-07 19:19 - 문서재제출요청
2023-02-08 11:47 - 신청
2023-02-17 14:30 - 문서재제출요청
2023-02-17 14:45 - 신청
2023-02-23 10:07 - 문서재제출요청
2023-02-23 10:44 - 신청
2023-03-29 11:11 - 검토승인
2023-03-29 13:42 - 협의검토중
2023-04-10 18:06 - 협의통보
2023-06-22 15:58 - 심의승인</x:v>
      </x:c>
    </x:row>
    <x:row r="3009" ht="42" customHeight="1">
      <x:c r="A3009" s="2" t="str">
        <x:v>22f895aa6335ddc934d948e2</x:v>
      </x:c>
      <x:c r="B3009" s="2" t="str">
        <x:v>감축량 인증</x:v>
      </x:c>
      <x:c r="C3009" s="2" t="str">
        <x:v>국외</x:v>
      </x:c>
      <x:c r="D3009" s="7" t="str">
        <x:v>BioLite의 발전된 쿡스토브 프로그램 - 한국에서 지원하는 CPA 016</x:v>
      </x:c>
      <x:c r="E3009" s="2" t="str">
        <x:v>594</x:v>
      </x:c>
      <x:c r="F3009" s="2" t="str">
        <x:v>2022-11-04</x:v>
      </x:c>
      <x:c r="G3009" s="2" t="str">
        <x:v>2022</x:v>
      </x:c>
      <x:c r="H3009" s="2" t="str">
        <x:v>11</x:v>
      </x:c>
      <x:c r="I3009" s="2" t="str">
        <x:v>심의승인</x:v>
      </x:c>
      <x:c r="J3009" s="2" t="str">
        <x:v>심의승인</x:v>
      </x:c>
      <x:c r="K3009" s="2" t="str">
        <x:f>IF(OR(J3009="심의승인",J3009="반려",J3009="반려완료",J3009="심의완료"),"종결 표시",IF(OR(J3009="기후부협의",J3009="문서재제출요청",J3009="보류",J3009="보완요청",J3009="보완완료",J3009="평가중",J3009="반려요청",J3009="평가필요",LEFT(J3009,5)="보완요청("),"미종결 표시","상태 확인 필요"))</x:f>
        <x:v>종결 표시</x:v>
      </x:c>
      <x:c r="L3009" s="2" t="str">
        <x:v>KRIC</x:v>
      </x:c>
      <x:c r="M3009" s="2"/>
      <x:c r="N3009" s="8" t="n">
        <x:f>DATE(2026,10,15)-DATE(2022,11,4)</x:f>
        <x:v>1441</x:v>
      </x:c>
      <x:c r="O3009" s="2"/>
      <x:c r="P3009" s="2"/>
      <x:c r="Q3009" s="2" t="str">
        <x:v>산업전환_외부사업관리Tool_260707_이너젠 수정_LJY_261013.xlsx</x:v>
      </x:c>
      <x:c r="R3009" s="2" t="str">
        <x:v>국외인증</x:v>
      </x:c>
      <x:c r="S3009" s="8" t="n">
        <x:v>596</x:v>
      </x:c>
      <x:c r="T3009" s="2" t="str">
        <x:v>(11/18),(12/27)</x:v>
      </x:c>
      <x:c r="U3009" s="2" t="str">
        <x:v>2022 지정: (11/18),(12/27)</x:v>
      </x:c>
      <x:c r="V3009" s="2" t="str">
        <x:v>2023-06-22</x:v>
      </x:c>
      <x:c r="W3009" s="2" t="str"/>
      <x:c r="X3009" s="2" t="str">
        <x:v>종결 근거 보관</x:v>
      </x:c>
      <x:c r="Y3009" s="2" t="str">
        <x:v>ad210cd9ec132cfd447541c8984dc53d30aff0f4fb2dc92d254d49275cc55976</x:v>
      </x:c>
      <x:c r="Z3009" s="2" t="n">
        <x:f>SUBTOTAL(103,A3009)</x:f>
        <x:v>1</x:v>
      </x:c>
      <x:c r="AA3009" s="2" t="str">
        <x:f>IF(K3009&lt;&gt;"미종결 표시","대상 아님",IF(N3009="","신청일 확인",IF(NOT(ISNUMBER('종합 현황'!$H$5)),"관찰기준 확인",IF('종합 현황'!$H$5&lt;1,"관찰기준 확인",IF(N3009&gt;'종합 현황'!$H$5,"내부 관찰 대상","내부 관찰일 이하")))))</x:f>
        <x:v>대상 아님</x:v>
      </x:c>
      <x:c r="AB3009" s="2" t="str">
        <x:v>2022-11-04 13:39 - 신청
2022-12-07 13:12 - 문서재제출요청
2022-12-09 16:33 - 신청
2023-02-07 19:20 - 문서재제출요청
2023-02-08 11:54 - 신청
2023-02-17 14:31 - 문서재제출요청
2023-02-17 14:46 - 신청
2023-02-23 10:07 - 문서재제출요청
2023-02-23 10:44 - 신청
2023-03-29 11:14 - 검토승인
2023-03-29 13:42 - 협의검토중
2023-04-10 18:06 - 협의통보
2023-06-22 15:58 - 심의승인</x:v>
      </x:c>
    </x:row>
    <x:row r="3010" ht="42" customHeight="1">
      <x:c r="A3010" s="2" t="str">
        <x:v>6ba20a7b7c956ae755fb002a</x:v>
      </x:c>
      <x:c r="B3010" s="2" t="str">
        <x:v>감축량 인증</x:v>
      </x:c>
      <x:c r="C3010" s="2" t="str">
        <x:v>국외</x:v>
      </x:c>
      <x:c r="D3010" s="7" t="str">
        <x:v>BioLite의 발전된 쿡스토브 프로그램 - 한국에서 지원하는 CPA 017</x:v>
      </x:c>
      <x:c r="E3010" s="2" t="str">
        <x:v>595</x:v>
      </x:c>
      <x:c r="F3010" s="2" t="str">
        <x:v>2022-11-04</x:v>
      </x:c>
      <x:c r="G3010" s="2" t="str">
        <x:v>2022</x:v>
      </x:c>
      <x:c r="H3010" s="2" t="str">
        <x:v>11</x:v>
      </x:c>
      <x:c r="I3010" s="2" t="str">
        <x:v>심의승인</x:v>
      </x:c>
      <x:c r="J3010" s="2" t="str">
        <x:v>심의승인</x:v>
      </x:c>
      <x:c r="K3010" s="2" t="str">
        <x:f>IF(OR(J3010="심의승인",J3010="반려",J3010="반려완료",J3010="심의완료"),"종결 표시",IF(OR(J3010="기후부협의",J3010="문서재제출요청",J3010="보류",J3010="보완요청",J3010="보완완료",J3010="평가중",J3010="반려요청",J3010="평가필요",LEFT(J3010,5)="보완요청("),"미종결 표시","상태 확인 필요"))</x:f>
        <x:v>종결 표시</x:v>
      </x:c>
      <x:c r="L3010" s="2" t="str">
        <x:v>KRIC</x:v>
      </x:c>
      <x:c r="M3010" s="2"/>
      <x:c r="N3010" s="8" t="n">
        <x:f>DATE(2026,10,15)-DATE(2022,11,4)</x:f>
        <x:v>1441</x:v>
      </x:c>
      <x:c r="O3010" s="2"/>
      <x:c r="P3010" s="2"/>
      <x:c r="Q3010" s="2" t="str">
        <x:v>산업전환_외부사업관리Tool_260707_이너젠 수정_LJY_261013.xlsx</x:v>
      </x:c>
      <x:c r="R3010" s="2" t="str">
        <x:v>국외인증</x:v>
      </x:c>
      <x:c r="S3010" s="8" t="n">
        <x:v>597</x:v>
      </x:c>
      <x:c r="T3010" s="2" t="str">
        <x:v>(11/18),(12/27)</x:v>
      </x:c>
      <x:c r="U3010" s="2" t="str">
        <x:v>2022 지정: (11/18),(12/27)</x:v>
      </x:c>
      <x:c r="V3010" s="2" t="str">
        <x:v>2023-06-22</x:v>
      </x:c>
      <x:c r="W3010" s="2" t="str"/>
      <x:c r="X3010" s="2" t="str">
        <x:v>종결 근거 보관</x:v>
      </x:c>
      <x:c r="Y3010" s="2" t="str">
        <x:v>ad210cd9ec132cfd447541c8984dc53d30aff0f4fb2dc92d254d49275cc55976</x:v>
      </x:c>
      <x:c r="Z3010" s="2" t="n">
        <x:f>SUBTOTAL(103,A3010)</x:f>
        <x:v>1</x:v>
      </x:c>
      <x:c r="AA3010" s="2" t="str">
        <x:f>IF(K3010&lt;&gt;"미종결 표시","대상 아님",IF(N3010="","신청일 확인",IF(NOT(ISNUMBER('종합 현황'!$H$5)),"관찰기준 확인",IF('종합 현황'!$H$5&lt;1,"관찰기준 확인",IF(N3010&gt;'종합 현황'!$H$5,"내부 관찰 대상","내부 관찰일 이하")))))</x:f>
        <x:v>대상 아님</x:v>
      </x:c>
      <x:c r="AB3010" s="2" t="str">
        <x:v>2022-11-04 13:40 - 신청
2022-12-07 13:13 - 문서재제출요청
2022-12-09 16:33 - 신청
2023-02-07 19:21 - 문서재제출요청
2023-02-08 11:59 - 신청
2023-02-17 14:31 - 문서재제출요청
2023-02-17 14:47 - 신청
2023-02-23 10:07 - 문서재제출요청
2023-02-23 10:45 - 신청
2023-03-29 11:30 - 검토승인
2023-03-29 13:42 - 협의검토중
2023-04-10 18:06 - 협의통보
2023-06-22 15:59 - 심의승인</x:v>
      </x:c>
    </x:row>
    <x:row r="3011" ht="42" customHeight="1">
      <x:c r="A3011" s="2" t="str">
        <x:v>3f9898808198bb1d09bca651</x:v>
      </x:c>
      <x:c r="B3011" s="2" t="str">
        <x:v>감축량 인증</x:v>
      </x:c>
      <x:c r="C3011" s="2" t="str">
        <x:v>국외</x:v>
      </x:c>
      <x:c r="D3011" s="7" t="str">
        <x:v>BioLite의 발전된 쿡스토브 프로그램 - 한국에서 지원하는 CPA 018</x:v>
      </x:c>
      <x:c r="E3011" s="2" t="str">
        <x:v>596</x:v>
      </x:c>
      <x:c r="F3011" s="2" t="str">
        <x:v>2022-11-04</x:v>
      </x:c>
      <x:c r="G3011" s="2" t="str">
        <x:v>2022</x:v>
      </x:c>
      <x:c r="H3011" s="2" t="str">
        <x:v>11</x:v>
      </x:c>
      <x:c r="I3011" s="2" t="str">
        <x:v>심의승인</x:v>
      </x:c>
      <x:c r="J3011" s="2" t="str">
        <x:v>심의승인</x:v>
      </x:c>
      <x:c r="K3011" s="2" t="str">
        <x:f>IF(OR(J3011="심의승인",J3011="반려",J3011="반려완료",J3011="심의완료"),"종결 표시",IF(OR(J3011="기후부협의",J3011="문서재제출요청",J3011="보류",J3011="보완요청",J3011="보완완료",J3011="평가중",J3011="반려요청",J3011="평가필요",LEFT(J3011,5)="보완요청("),"미종결 표시","상태 확인 필요"))</x:f>
        <x:v>종결 표시</x:v>
      </x:c>
      <x:c r="L3011" s="2" t="str">
        <x:v>KRIC</x:v>
      </x:c>
      <x:c r="M3011" s="2"/>
      <x:c r="N3011" s="8" t="n">
        <x:f>DATE(2026,10,15)-DATE(2022,11,4)</x:f>
        <x:v>1441</x:v>
      </x:c>
      <x:c r="O3011" s="2"/>
      <x:c r="P3011" s="2"/>
      <x:c r="Q3011" s="2" t="str">
        <x:v>산업전환_외부사업관리Tool_260707_이너젠 수정_LJY_261013.xlsx</x:v>
      </x:c>
      <x:c r="R3011" s="2" t="str">
        <x:v>국외인증</x:v>
      </x:c>
      <x:c r="S3011" s="8" t="n">
        <x:v>598</x:v>
      </x:c>
      <x:c r="T3011" s="2" t="str">
        <x:v>(11/18),(12/27)</x:v>
      </x:c>
      <x:c r="U3011" s="2" t="str">
        <x:v>2022 지정: (11/18),(12/27)</x:v>
      </x:c>
      <x:c r="V3011" s="2" t="str">
        <x:v>2023-06-22</x:v>
      </x:c>
      <x:c r="W3011" s="2" t="str"/>
      <x:c r="X3011" s="2" t="str">
        <x:v>종결 근거 보관</x:v>
      </x:c>
      <x:c r="Y3011" s="2" t="str">
        <x:v>ad210cd9ec132cfd447541c8984dc53d30aff0f4fb2dc92d254d49275cc55976</x:v>
      </x:c>
      <x:c r="Z3011" s="2" t="n">
        <x:f>SUBTOTAL(103,A3011)</x:f>
        <x:v>1</x:v>
      </x:c>
      <x:c r="AA3011" s="2" t="str">
        <x:f>IF(K3011&lt;&gt;"미종결 표시","대상 아님",IF(N3011="","신청일 확인",IF(NOT(ISNUMBER('종합 현황'!$H$5)),"관찰기준 확인",IF('종합 현황'!$H$5&lt;1,"관찰기준 확인",IF(N3011&gt;'종합 현황'!$H$5,"내부 관찰 대상","내부 관찰일 이하")))))</x:f>
        <x:v>대상 아님</x:v>
      </x:c>
      <x:c r="AB3011" s="2" t="str">
        <x:v>2022-11-04 13:40 - 신청
2022-12-07 13:14 - 문서재제출요청
2022-12-09 16:33 - 신청
2023-02-07 19:22 - 문서재제출요청
2023-02-08 12:04 - 신청
2023-02-17 14:31 - 문서재제출요청
2023-02-17 14:49 - 신청
2023-02-23 10:07 - 문서재제출요청
2023-02-23 10:47 - 신청
2023-03-29 11:35 - 검토승인
2023-03-29 13:42 - 협의검토중
2023-04-10 18:06 - 협의통보
2023-06-22 16:00 - 심의승인</x:v>
      </x:c>
    </x:row>
    <x:row r="3012" ht="42" customHeight="1">
      <x:c r="A3012" s="2" t="str">
        <x:v>7265d96b412a6b9ffe4578a1</x:v>
      </x:c>
      <x:c r="B3012" s="2" t="str">
        <x:v>감축량 인증</x:v>
      </x:c>
      <x:c r="C3012" s="2" t="str">
        <x:v>국외</x:v>
      </x:c>
      <x:c r="D3012" s="7" t="str">
        <x:v>BioLite의 발전된 쿡스토브 프로그램 - 한국에서 지원하는 CPA 019</x:v>
      </x:c>
      <x:c r="E3012" s="2" t="str">
        <x:v>597</x:v>
      </x:c>
      <x:c r="F3012" s="2" t="str">
        <x:v>2022-11-04</x:v>
      </x:c>
      <x:c r="G3012" s="2" t="str">
        <x:v>2022</x:v>
      </x:c>
      <x:c r="H3012" s="2" t="str">
        <x:v>11</x:v>
      </x:c>
      <x:c r="I3012" s="2" t="str">
        <x:v>심의승인</x:v>
      </x:c>
      <x:c r="J3012" s="2" t="str">
        <x:v>심의승인</x:v>
      </x:c>
      <x:c r="K3012" s="2" t="str">
        <x:f>IF(OR(J3012="심의승인",J3012="반려",J3012="반려완료",J3012="심의완료"),"종결 표시",IF(OR(J3012="기후부협의",J3012="문서재제출요청",J3012="보류",J3012="보완요청",J3012="보완완료",J3012="평가중",J3012="반려요청",J3012="평가필요",LEFT(J3012,5)="보완요청("),"미종결 표시","상태 확인 필요"))</x:f>
        <x:v>종결 표시</x:v>
      </x:c>
      <x:c r="L3012" s="2" t="str">
        <x:v>KRIC</x:v>
      </x:c>
      <x:c r="M3012" s="2"/>
      <x:c r="N3012" s="8" t="n">
        <x:f>DATE(2026,10,15)-DATE(2022,11,4)</x:f>
        <x:v>1441</x:v>
      </x:c>
      <x:c r="O3012" s="2"/>
      <x:c r="P3012" s="2"/>
      <x:c r="Q3012" s="2" t="str">
        <x:v>산업전환_외부사업관리Tool_260707_이너젠 수정_LJY_261013.xlsx</x:v>
      </x:c>
      <x:c r="R3012" s="2" t="str">
        <x:v>국외인증</x:v>
      </x:c>
      <x:c r="S3012" s="8" t="n">
        <x:v>599</x:v>
      </x:c>
      <x:c r="T3012" s="2" t="str">
        <x:v>(11/18),(12/27)</x:v>
      </x:c>
      <x:c r="U3012" s="2" t="str">
        <x:v>2022 지정: (11/18),(12/27)</x:v>
      </x:c>
      <x:c r="V3012" s="2" t="str">
        <x:v>2023-06-22</x:v>
      </x:c>
      <x:c r="W3012" s="2" t="str"/>
      <x:c r="X3012" s="2" t="str">
        <x:v>종결 근거 보관</x:v>
      </x:c>
      <x:c r="Y3012" s="2" t="str">
        <x:v>ad210cd9ec132cfd447541c8984dc53d30aff0f4fb2dc92d254d49275cc55976</x:v>
      </x:c>
      <x:c r="Z3012" s="2" t="n">
        <x:f>SUBTOTAL(103,A3012)</x:f>
        <x:v>1</x:v>
      </x:c>
      <x:c r="AA3012" s="2" t="str">
        <x:f>IF(K3012&lt;&gt;"미종결 표시","대상 아님",IF(N3012="","신청일 확인",IF(NOT(ISNUMBER('종합 현황'!$H$5)),"관찰기준 확인",IF('종합 현황'!$H$5&lt;1,"관찰기준 확인",IF(N3012&gt;'종합 현황'!$H$5,"내부 관찰 대상","내부 관찰일 이하")))))</x:f>
        <x:v>대상 아님</x:v>
      </x:c>
      <x:c r="AB3012" s="2" t="str">
        <x:v>2022-11-04 13:40 - 신청
2022-12-07 13:14 - 문서재제출요청
2022-12-09 16:33 - 신청
2023-02-07 19:23 - 문서재제출요청
2023-02-08 12:12 - 신청
2023-02-17 14:31 - 문서재제출요청
2023-02-17 14:51 - 신청
2023-02-23 10:08 - 문서재제출요청
2023-02-23 10:47 - 신청
2023-03-29 13:20 - 검토승인
2023-03-29 13:42 - 협의검토중
2023-04-10 18:06 - 협의통보
2023-06-22 16:00 - 심의승인</x:v>
      </x:c>
    </x:row>
    <x:row r="3013" ht="42" customHeight="1">
      <x:c r="A3013" s="2" t="str">
        <x:v>85e55cc9036e1aeee731661c</x:v>
      </x:c>
      <x:c r="B3013" s="2" t="str">
        <x:v>감축량 인증</x:v>
      </x:c>
      <x:c r="C3013" s="2" t="str">
        <x:v>국외</x:v>
      </x:c>
      <x:c r="D3013" s="7" t="str">
        <x:v>BioLite의 발전된 쿡스토브 프로그램 - 한국에서 지원하는 CPA 028</x:v>
      </x:c>
      <x:c r="E3013" s="2" t="str">
        <x:v>598</x:v>
      </x:c>
      <x:c r="F3013" s="2" t="str">
        <x:v>2022-11-04</x:v>
      </x:c>
      <x:c r="G3013" s="2" t="str">
        <x:v>2022</x:v>
      </x:c>
      <x:c r="H3013" s="2" t="str">
        <x:v>11</x:v>
      </x:c>
      <x:c r="I3013" s="2" t="str">
        <x:v>심의승인</x:v>
      </x:c>
      <x:c r="J3013" s="2" t="str">
        <x:v>심의승인</x:v>
      </x:c>
      <x:c r="K3013" s="2" t="str">
        <x:f>IF(OR(J3013="심의승인",J3013="반려",J3013="반려완료",J3013="심의완료"),"종결 표시",IF(OR(J3013="기후부협의",J3013="문서재제출요청",J3013="보류",J3013="보완요청",J3013="보완완료",J3013="평가중",J3013="반려요청",J3013="평가필요",LEFT(J3013,5)="보완요청("),"미종결 표시","상태 확인 필요"))</x:f>
        <x:v>종결 표시</x:v>
      </x:c>
      <x:c r="L3013" s="2" t="str">
        <x:v>KRIC</x:v>
      </x:c>
      <x:c r="M3013" s="2"/>
      <x:c r="N3013" s="8" t="n">
        <x:f>DATE(2026,10,15)-DATE(2022,11,4)</x:f>
        <x:v>1441</x:v>
      </x:c>
      <x:c r="O3013" s="2"/>
      <x:c r="P3013" s="2"/>
      <x:c r="Q3013" s="2" t="str">
        <x:v>산업전환_외부사업관리Tool_260707_이너젠 수정_LJY_261013.xlsx</x:v>
      </x:c>
      <x:c r="R3013" s="2" t="str">
        <x:v>국외인증</x:v>
      </x:c>
      <x:c r="S3013" s="8" t="n">
        <x:v>600</x:v>
      </x:c>
      <x:c r="T3013" s="2" t="str">
        <x:v>(11/18),(12/27)</x:v>
      </x:c>
      <x:c r="U3013" s="2" t="str">
        <x:v>2022 지정: (11/18),(12/27)</x:v>
      </x:c>
      <x:c r="V3013" s="2" t="str">
        <x:v>2023-06-22</x:v>
      </x:c>
      <x:c r="W3013" s="2" t="str"/>
      <x:c r="X3013" s="2" t="str">
        <x:v>종결 근거 보관</x:v>
      </x:c>
      <x:c r="Y3013" s="2" t="str">
        <x:v>ad210cd9ec132cfd447541c8984dc53d30aff0f4fb2dc92d254d49275cc55976</x:v>
      </x:c>
      <x:c r="Z3013" s="2" t="n">
        <x:f>SUBTOTAL(103,A3013)</x:f>
        <x:v>1</x:v>
      </x:c>
      <x:c r="AA3013" s="2" t="str">
        <x:f>IF(K3013&lt;&gt;"미종결 표시","대상 아님",IF(N3013="","신청일 확인",IF(NOT(ISNUMBER('종합 현황'!$H$5)),"관찰기준 확인",IF('종합 현황'!$H$5&lt;1,"관찰기준 확인",IF(N3013&gt;'종합 현황'!$H$5,"내부 관찰 대상","내부 관찰일 이하")))))</x:f>
        <x:v>대상 아님</x:v>
      </x:c>
      <x:c r="AB3013" s="2" t="str">
        <x:v>2022-11-04 13:40 - 신청
2022-12-07 13:14 - 문서재제출요청
2022-12-09 16:34 - 신청
2023-02-07 19:24 - 문서재제출요청
2023-02-08 12:30 - 신청
2023-02-17 14:32 - 문서재제출요청
2023-02-17 14:53 - 신청
2023-02-23 10:08 - 문서재제출요청
2023-02-23 10:48 - 신청
2023-03-29 13:41 - 검토승인
2023-03-29 13:42 - 협의검토중
2023-04-10 18:06 - 협의통보
2023-06-22 16:01 - 심의승인</x:v>
      </x:c>
    </x:row>
    <x:row r="3014" ht="42" customHeight="1">
      <x:c r="A3014" s="2" t="str">
        <x:v>59a66b5e2af4480450229b29</x:v>
      </x:c>
      <x:c r="B3014" s="2" t="str">
        <x:v>감축량 인증</x:v>
      </x:c>
      <x:c r="C3014" s="2" t="str">
        <x:v>국외</x:v>
      </x:c>
      <x:c r="D3014" s="7" t="str">
        <x:v>DelAgua 르완다 보건 프로그램: 르완다 남부 지역 CPA 26</x:v>
      </x:c>
      <x:c r="E3014" s="2" t="str">
        <x:v>502</x:v>
      </x:c>
      <x:c r="F3014" s="2" t="str">
        <x:v>2022-09-20</x:v>
      </x:c>
      <x:c r="G3014" s="2" t="str">
        <x:v>2022</x:v>
      </x:c>
      <x:c r="H3014" s="2" t="str">
        <x:v>09</x:v>
      </x:c>
      <x:c r="I3014" s="2" t="str">
        <x:v>심의승인</x:v>
      </x:c>
      <x:c r="J3014" s="2" t="str">
        <x:v>심의승인</x:v>
      </x:c>
      <x:c r="K3014" s="2" t="str">
        <x:f>IF(OR(J3014="심의승인",J3014="반려",J3014="반려완료",J3014="심의완료"),"종결 표시",IF(OR(J3014="기후부협의",J3014="문서재제출요청",J3014="보류",J3014="보완요청",J3014="보완완료",J3014="평가중",J3014="반려요청",J3014="평가필요",LEFT(J3014,5)="보완요청("),"미종결 표시","상태 확인 필요"))</x:f>
        <x:v>종결 표시</x:v>
      </x:c>
      <x:c r="L3014" s="2" t="str">
        <x:v>KRIC</x:v>
      </x:c>
      <x:c r="M3014" s="2"/>
      <x:c r="N3014" s="8" t="n">
        <x:f>DATE(2026,10,15)-DATE(2022,9,20)</x:f>
        <x:v>1486</x:v>
      </x:c>
      <x:c r="O3014" s="2"/>
      <x:c r="P3014" s="2"/>
      <x:c r="Q3014" s="2" t="str">
        <x:v>산업전환_외부사업관리Tool_260707_이너젠 수정_LJY_261013.xlsx</x:v>
      </x:c>
      <x:c r="R3014" s="2" t="str">
        <x:v>국외인증</x:v>
      </x:c>
      <x:c r="S3014" s="8" t="n">
        <x:v>601</x:v>
      </x:c>
      <x:c r="T3014" s="2" t="str">
        <x:v>(10/19),(12/8)</x:v>
      </x:c>
      <x:c r="U3014" s="2" t="str">
        <x:v>2022 지정: (10/19),(12/8)</x:v>
      </x:c>
      <x:c r="V3014" s="2" t="str">
        <x:v>2023-03-24</x:v>
      </x:c>
      <x:c r="W3014" s="2" t="str"/>
      <x:c r="X3014" s="2" t="str">
        <x:v>종결 근거 보관</x:v>
      </x:c>
      <x:c r="Y3014" s="2" t="str">
        <x:v>ad210cd9ec132cfd447541c8984dc53d30aff0f4fb2dc92d254d49275cc55976</x:v>
      </x:c>
      <x:c r="Z3014" s="2" t="n">
        <x:f>SUBTOTAL(103,A3014)</x:f>
        <x:v>1</x:v>
      </x:c>
      <x:c r="AA3014" s="2" t="str">
        <x:f>IF(K3014&lt;&gt;"미종결 표시","대상 아님",IF(N3014="","신청일 확인",IF(NOT(ISNUMBER('종합 현황'!$H$5)),"관찰기준 확인",IF('종합 현황'!$H$5&lt;1,"관찰기준 확인",IF(N3014&gt;'종합 현황'!$H$5,"내부 관찰 대상","내부 관찰일 이하")))))</x:f>
        <x:v>대상 아님</x:v>
      </x:c>
      <x:c r="AB3014" s="2" t="str">
        <x:v>2022-09-20 14:38 - 신청
2022-11-23 11:51 - 문서재제출요청
2022-11-28 09:32 - 신청
2022-12-07 13:20 - 문서재제출요청
2022-12-09 14:49 - 신청
2022-12-23 14:10 - 문서재제출요청
2022-12-26 09:21 - 신청
2022-12-26 11:10 - 문서재제출요청
2022-12-26 12:03 - 신청
2023-03-15 10:56 - 검토승인
2023-03-24 15:41 - 심의승인</x:v>
      </x:c>
    </x:row>
    <x:row r="3015" ht="42" customHeight="1">
      <x:c r="A3015" s="2" t="str">
        <x:v>17001cb8c9b49069bf8840a7</x:v>
      </x:c>
      <x:c r="B3015" s="2" t="str">
        <x:v>감축량 인증</x:v>
      </x:c>
      <x:c r="C3015" s="2" t="str">
        <x:v>국외</x:v>
      </x:c>
      <x:c r="D3015" s="7" t="str">
        <x:v>스망까 수력 CDM 사업</x:v>
      </x:c>
      <x:c r="E3015" s="2" t="str">
        <x:v>600</x:v>
      </x:c>
      <x:c r="F3015" s="2" t="str">
        <x:v>2022-11-11</x:v>
      </x:c>
      <x:c r="G3015" s="2" t="str">
        <x:v>2022</x:v>
      </x:c>
      <x:c r="H3015" s="2" t="str">
        <x:v>11</x:v>
      </x:c>
      <x:c r="I3015" s="2" t="str">
        <x:v>심의승인</x:v>
      </x:c>
      <x:c r="J3015" s="2" t="str">
        <x:v>심의승인</x:v>
      </x:c>
      <x:c r="K3015" s="2" t="str">
        <x:f>IF(OR(J3015="심의승인",J3015="반려",J3015="반려완료",J3015="심의완료"),"종결 표시",IF(OR(J3015="기후부협의",J3015="문서재제출요청",J3015="보류",J3015="보완요청",J3015="보완완료",J3015="평가중",J3015="반려요청",J3015="평가필요",LEFT(J3015,5)="보완요청("),"미종결 표시","상태 확인 필요"))</x:f>
        <x:v>종결 표시</x:v>
      </x:c>
      <x:c r="L3015" s="2" t="str">
        <x:v>KRIC</x:v>
      </x:c>
      <x:c r="M3015" s="2"/>
      <x:c r="N3015" s="8" t="n">
        <x:f>DATE(2026,10,15)-DATE(2022,11,11)</x:f>
        <x:v>1434</x:v>
      </x:c>
      <x:c r="O3015" s="2"/>
      <x:c r="P3015" s="2"/>
      <x:c r="Q3015" s="2" t="str">
        <x:v>산업전환_외부사업관리Tool_260707_이너젠 수정_LJY_261013.xlsx</x:v>
      </x:c>
      <x:c r="R3015" s="2" t="str">
        <x:v>국외인증</x:v>
      </x:c>
      <x:c r="S3015" s="8" t="n">
        <x:v>602</x:v>
      </x:c>
      <x:c r="T3015" s="2" t="str">
        <x:v>(11/18)</x:v>
      </x:c>
      <x:c r="U3015" s="2" t="str">
        <x:v>2022 지정: (11/18) / 2023 지정: (3/13)</x:v>
      </x:c>
      <x:c r="V3015" s="2" t="str">
        <x:v>2023-09-20</x:v>
      </x:c>
      <x:c r="W3015" s="2" t="str"/>
      <x:c r="X3015" s="2" t="str">
        <x:v>종결 근거 보관</x:v>
      </x:c>
      <x:c r="Y3015" s="2" t="str">
        <x:v>ad210cd9ec132cfd447541c8984dc53d30aff0f4fb2dc92d254d49275cc55976</x:v>
      </x:c>
      <x:c r="Z3015" s="2" t="n">
        <x:f>SUBTOTAL(103,A3015)</x:f>
        <x:v>1</x:v>
      </x:c>
      <x:c r="AA3015" s="2" t="str">
        <x:f>IF(K3015&lt;&gt;"미종결 표시","대상 아님",IF(N3015="","신청일 확인",IF(NOT(ISNUMBER('종합 현황'!$H$5)),"관찰기준 확인",IF('종합 현황'!$H$5&lt;1,"관찰기준 확인",IF(N3015&gt;'종합 현황'!$H$5,"내부 관찰 대상","내부 관찰일 이하")))))</x:f>
        <x:v>대상 아님</x:v>
      </x:c>
      <x:c r="AB3015" s="2" t="str">
        <x:v>2022-11-11 10:56 - 접수
2022-11-14 07:59 - 신청
2022-12-15 08:59 - 문서재제출요청
2023-01-20 14:34 - 접수
2023-01-25 08:35 - 신청
2023-02-07 20:13 - 문서재제출요청
2023-02-22 16:50 - 접수
2023-03-02 11:09 - 신청
2023-05-30 13:58 - 문서재제출요청
2023-05-31 10:34 - 접수
2023-06-01 09:02 - 신청
2023-06-01 11:58 - 문서재제출요청
2023-06-01 14:51 - 접수
2023-06-02 11:00 - 신청
2023-06-02 15:08 - 문서재제출요청
2023-06-02 16:37 - 접수
2023-06-02 23:13 - 신청
2023-06-09 16:22 - 검토승인
2023-06-28 11:26 - 협의검토중
2023-07-28 15:00 - 협의통보
2023-09-20 15:30 - 심의승인</x:v>
      </x:c>
    </x:row>
    <x:row r="3016" ht="42" customHeight="1">
      <x:c r="A3016" s="2" t="str">
        <x:v>afea27723941e6002edf2835</x:v>
      </x:c>
      <x:c r="B3016" s="2" t="str">
        <x:v>감축량 인증</x:v>
      </x:c>
      <x:c r="C3016" s="2" t="str">
        <x:v>국외</x:v>
      </x:c>
      <x:c r="D3016" s="7" t="str">
        <x:v>인도 청정에너지 기기 보급 사업 (PoA 9181-CPA 19)</x:v>
      </x:c>
      <x:c r="E3016" s="2" t="str">
        <x:v>612</x:v>
      </x:c>
      <x:c r="F3016" s="2" t="str">
        <x:v>2022-11-15</x:v>
      </x:c>
      <x:c r="G3016" s="2" t="str">
        <x:v>2022</x:v>
      </x:c>
      <x:c r="H3016" s="2" t="str">
        <x:v>11</x:v>
      </x:c>
      <x:c r="I3016" s="2" t="str">
        <x:v>심의승인</x:v>
      </x:c>
      <x:c r="J3016" s="2" t="str">
        <x:v>심의승인</x:v>
      </x:c>
      <x:c r="K3016" s="2" t="str">
        <x:f>IF(OR(J3016="심의승인",J3016="반려",J3016="반려완료",J3016="심의완료"),"종결 표시",IF(OR(J3016="기후부협의",J3016="문서재제출요청",J3016="보류",J3016="보완요청",J3016="보완완료",J3016="평가중",J3016="반려요청",J3016="평가필요",LEFT(J3016,5)="보완요청("),"미종결 표시","상태 확인 필요"))</x:f>
        <x:v>종결 표시</x:v>
      </x:c>
      <x:c r="L3016" s="2" t="str">
        <x:v>KRIC</x:v>
      </x:c>
      <x:c r="M3016" s="2"/>
      <x:c r="N3016" s="8" t="n">
        <x:f>DATE(2026,10,15)-DATE(2022,11,15)</x:f>
        <x:v>1430</x:v>
      </x:c>
      <x:c r="O3016" s="2"/>
      <x:c r="P3016" s="2" t="str">
        <x:v>57차 인증위 승인</x:v>
      </x:c>
      <x:c r="Q3016" s="2" t="str">
        <x:v>산업전환_외부사업관리Tool_260707_이너젠 수정_LJY_261013.xlsx</x:v>
      </x:c>
      <x:c r="R3016" s="2" t="str">
        <x:v>국외인증</x:v>
      </x:c>
      <x:c r="S3016" s="8" t="n">
        <x:v>603</x:v>
      </x:c>
      <x:c r="T3016" s="2" t="str">
        <x:v>(12/8)</x:v>
      </x:c>
      <x:c r="U3016" s="2" t="str">
        <x:v>2022 지정: (12/8) / 2023 지정: (4/3),(5/16),(6/27)</x:v>
      </x:c>
      <x:c r="V3016" s="2" t="str">
        <x:v>2024-06-28</x:v>
      </x:c>
      <x:c r="W3016" s="2" t="str"/>
      <x:c r="X3016" s="2" t="str">
        <x:v>종결 근거 보관</x:v>
      </x:c>
      <x:c r="Y3016" s="2" t="str">
        <x:v>ad210cd9ec132cfd447541c8984dc53d30aff0f4fb2dc92d254d49275cc55976</x:v>
      </x:c>
      <x:c r="Z3016" s="2" t="n">
        <x:f>SUBTOTAL(103,A3016)</x:f>
        <x:v>1</x:v>
      </x:c>
      <x:c r="AA3016" s="2" t="str">
        <x:f>IF(K3016&lt;&gt;"미종결 표시","대상 아님",IF(N3016="","신청일 확인",IF(NOT(ISNUMBER('종합 현황'!$H$5)),"관찰기준 확인",IF('종합 현황'!$H$5&lt;1,"관찰기준 확인",IF(N3016&gt;'종합 현황'!$H$5,"내부 관찰 대상","내부 관찰일 이하")))))</x:f>
        <x:v>대상 아님</x:v>
      </x:c>
      <x:c r="AB3016" s="2" t="str">
        <x:v>2022-11-15 20:08 - 신청
2022-12-15 13:41 - 문서재제출요청
2022-12-15 14:35 - 신청
2022-12-15 15:57 - 문서재제출요청
2022-12-15 17:07 - 신청
2023-03-08 10:32 - 문서재제출요청
2023-03-21 23:28 - 신청
2023-04-17 09:31 - 문서재제출요청
2023-05-13 01:02 - 신청
2023-05-30 16:18 - 문서재제출요청
2023-06-06 18:22 - 신청
2023-06-14 12:58 - 문서재제출요청
2023-06-14 22:17 - 신청
2023-06-15 21:01 - 문서재제출요청
2023-06-16 09:22 - 신청
2023-07-06 19:31 - 문서재제출요청
2023-07-11 18:49 - 신청
2023-07-11 21:24 - 문서재제출요청
2023-07-12 11:16 - 신청
2023-07-25 15:50 - 문서재제출요청
2023-08-30 12:26 - 신청
2023-11-16 17:11 - 보완요청
2023-11-19 13:06 - 신청
2024-02-06 17:17 - 문서재제출요청
2024-02-08 08:50 - 신청
2024-02-15 15:41 - 문서재제출요청
2024-02-16 03:04 - 신청
2024-03-08 13:59 - 검토승인
2024-03-12 09:42 - 협의검토중
2024-04-17 14:20 - 협의통보
2024-06-28 16:35 - 심의승인</x:v>
      </x:c>
    </x:row>
    <x:row r="3017" ht="42" customHeight="1">
      <x:c r="A3017" s="2" t="str">
        <x:v>cc74a1d54f8057a4c4268671</x:v>
      </x:c>
      <x:c r="B3017" s="2" t="str">
        <x:v>감축량 인증</x:v>
      </x:c>
      <x:c r="C3017" s="2" t="str">
        <x:v>국외</x:v>
      </x:c>
      <x:c r="D3017" s="7" t="str">
        <x:v>인도 청정에너지 기기 보급 사업 (PoA 9181-CPA 20)</x:v>
      </x:c>
      <x:c r="E3017" s="2" t="str">
        <x:v>611</x:v>
      </x:c>
      <x:c r="F3017" s="2" t="str">
        <x:v>2022-11-15</x:v>
      </x:c>
      <x:c r="G3017" s="2" t="str">
        <x:v>2022</x:v>
      </x:c>
      <x:c r="H3017" s="2" t="str">
        <x:v>11</x:v>
      </x:c>
      <x:c r="I3017" s="2" t="str">
        <x:v>심의승인</x:v>
      </x:c>
      <x:c r="J3017" s="2" t="str">
        <x:v>심의승인</x:v>
      </x:c>
      <x:c r="K3017" s="2" t="str">
        <x:f>IF(OR(J3017="심의승인",J3017="반려",J3017="반려완료",J3017="심의완료"),"종결 표시",IF(OR(J3017="기후부협의",J3017="문서재제출요청",J3017="보류",J3017="보완요청",J3017="보완완료",J3017="평가중",J3017="반려요청",J3017="평가필요",LEFT(J3017,5)="보완요청("),"미종결 표시","상태 확인 필요"))</x:f>
        <x:v>종결 표시</x:v>
      </x:c>
      <x:c r="L3017" s="2" t="str">
        <x:v>KRIC</x:v>
      </x:c>
      <x:c r="M3017" s="2"/>
      <x:c r="N3017" s="8" t="n">
        <x:f>DATE(2026,10,15)-DATE(2022,11,15)</x:f>
        <x:v>1430</x:v>
      </x:c>
      <x:c r="O3017" s="2"/>
      <x:c r="P3017" s="2" t="str">
        <x:v>57차 인증위 승인</x:v>
      </x:c>
      <x:c r="Q3017" s="2" t="str">
        <x:v>산업전환_외부사업관리Tool_260707_이너젠 수정_LJY_261013.xlsx</x:v>
      </x:c>
      <x:c r="R3017" s="2" t="str">
        <x:v>국외인증</x:v>
      </x:c>
      <x:c r="S3017" s="8" t="n">
        <x:v>604</x:v>
      </x:c>
      <x:c r="T3017" s="2" t="str">
        <x:v>(12/8)</x:v>
      </x:c>
      <x:c r="U3017" s="2" t="str">
        <x:v>2022 지정: (12/8) / 2023 지정: (5/16),(6/27)</x:v>
      </x:c>
      <x:c r="V3017" s="2" t="str">
        <x:v>2024-06-28</x:v>
      </x:c>
      <x:c r="W3017" s="2" t="str"/>
      <x:c r="X3017" s="2" t="str">
        <x:v>종결 근거 보관</x:v>
      </x:c>
      <x:c r="Y3017" s="2" t="str">
        <x:v>ad210cd9ec132cfd447541c8984dc53d30aff0f4fb2dc92d254d49275cc55976</x:v>
      </x:c>
      <x:c r="Z3017" s="2" t="n">
        <x:f>SUBTOTAL(103,A3017)</x:f>
        <x:v>1</x:v>
      </x:c>
      <x:c r="AA3017" s="2" t="str">
        <x:f>IF(K3017&lt;&gt;"미종결 표시","대상 아님",IF(N3017="","신청일 확인",IF(NOT(ISNUMBER('종합 현황'!$H$5)),"관찰기준 확인",IF('종합 현황'!$H$5&lt;1,"관찰기준 확인",IF(N3017&gt;'종합 현황'!$H$5,"내부 관찰 대상","내부 관찰일 이하")))))</x:f>
        <x:v>대상 아님</x:v>
      </x:c>
      <x:c r="AB3017" s="2" t="str">
        <x:v>2022-11-15 20:07 - 신청
2022-12-15 13:41 - 문서재제출요청
2022-12-15 14:37 - 신청
2022-12-15 15:57 - 문서재제출요청
2022-12-15 17:09 - 신청
2023-04-17 09:36 - 문서재제출요청
2023-05-13 01:02 - 신청
2023-05-30 16:23 - 문서재제출요청
2023-06-06 18:23 - 신청
2023-06-14 12:58 - 문서재제출요청
2023-06-14 22:22 - 신청
2023-06-15 21:02 - 문서재제출요청
2023-06-16 09:26 - 신청
2023-07-06 19:34 - 문서재제출요청
2023-07-11 18:51 - 신청
2023-07-11 21:26 - 문서재제출요청
2023-07-12 11:16 - 신청
2023-07-25 15:50 - 문서재제출요청
2023-08-30 12:26 - 신청
2023-11-16 17:16 - 보완요청
2023-11-19 13:06 - 신청
2024-02-06 17:20 - 문서재제출요청
2024-02-08 08:53 - 신청
2024-02-15 15:43 - 문서재제출요청
2024-02-16 03:07 - 신청
2024-03-08 14:01 - 검토승인
2024-03-12 09:42 - 협의검토중
2024-04-17 14:22 - 협의통보
2024-06-28 16:27 - 심의승인</x:v>
      </x:c>
    </x:row>
    <x:row r="3018" ht="42" customHeight="1">
      <x:c r="A3018" s="2" t="str">
        <x:v>2a827b25012a8a053c69b457</x:v>
      </x:c>
      <x:c r="B3018" s="2" t="str">
        <x:v>감축량 인증</x:v>
      </x:c>
      <x:c r="C3018" s="2" t="str">
        <x:v>국외</x:v>
      </x:c>
      <x:c r="D3018" s="7" t="str">
        <x:v>인도 청정에너지 기기 보급 사업 (PoA 9181-CPA 21)</x:v>
      </x:c>
      <x:c r="E3018" s="2" t="str">
        <x:v>610</x:v>
      </x:c>
      <x:c r="F3018" s="2" t="str">
        <x:v>2022-11-15</x:v>
      </x:c>
      <x:c r="G3018" s="2" t="str">
        <x:v>2022</x:v>
      </x:c>
      <x:c r="H3018" s="2" t="str">
        <x:v>11</x:v>
      </x:c>
      <x:c r="I3018" s="2" t="str">
        <x:v>심의승인</x:v>
      </x:c>
      <x:c r="J3018" s="2" t="str">
        <x:v>심의승인</x:v>
      </x:c>
      <x:c r="K3018" s="2" t="str">
        <x:f>IF(OR(J3018="심의승인",J3018="반려",J3018="반려완료",J3018="심의완료"),"종결 표시",IF(OR(J3018="기후부협의",J3018="문서재제출요청",J3018="보류",J3018="보완요청",J3018="보완완료",J3018="평가중",J3018="반려요청",J3018="평가필요",LEFT(J3018,5)="보완요청("),"미종결 표시","상태 확인 필요"))</x:f>
        <x:v>종결 표시</x:v>
      </x:c>
      <x:c r="L3018" s="2" t="str">
        <x:v>KRIC</x:v>
      </x:c>
      <x:c r="M3018" s="2"/>
      <x:c r="N3018" s="8" t="n">
        <x:f>DATE(2026,10,15)-DATE(2022,11,15)</x:f>
        <x:v>1430</x:v>
      </x:c>
      <x:c r="O3018" s="2"/>
      <x:c r="P3018" s="2" t="str">
        <x:v>57차 인증위 승인</x:v>
      </x:c>
      <x:c r="Q3018" s="2" t="str">
        <x:v>산업전환_외부사업관리Tool_260707_이너젠 수정_LJY_261013.xlsx</x:v>
      </x:c>
      <x:c r="R3018" s="2" t="str">
        <x:v>국외인증</x:v>
      </x:c>
      <x:c r="S3018" s="8" t="n">
        <x:v>605</x:v>
      </x:c>
      <x:c r="T3018" s="2" t="str">
        <x:v>(12/8)</x:v>
      </x:c>
      <x:c r="U3018" s="2" t="str">
        <x:v>2022 지정: (12/8) / 2023 지정: (5/16),(6/27)</x:v>
      </x:c>
      <x:c r="V3018" s="2" t="str">
        <x:v>2024-06-28</x:v>
      </x:c>
      <x:c r="W3018" s="2" t="str"/>
      <x:c r="X3018" s="2" t="str">
        <x:v>종결 근거 보관</x:v>
      </x:c>
      <x:c r="Y3018" s="2" t="str">
        <x:v>ad210cd9ec132cfd447541c8984dc53d30aff0f4fb2dc92d254d49275cc55976</x:v>
      </x:c>
      <x:c r="Z3018" s="2" t="n">
        <x:f>SUBTOTAL(103,A3018)</x:f>
        <x:v>1</x:v>
      </x:c>
      <x:c r="AA3018" s="2" t="str">
        <x:f>IF(K3018&lt;&gt;"미종결 표시","대상 아님",IF(N3018="","신청일 확인",IF(NOT(ISNUMBER('종합 현황'!$H$5)),"관찰기준 확인",IF('종합 현황'!$H$5&lt;1,"관찰기준 확인",IF(N3018&gt;'종합 현황'!$H$5,"내부 관찰 대상","내부 관찰일 이하")))))</x:f>
        <x:v>대상 아님</x:v>
      </x:c>
      <x:c r="AB3018" s="2" t="str">
        <x:v>2022-11-15 20:07 - 신청
2022-12-15 13:39 - 문서재제출요청
2022-12-15 14:39 - 신청
2022-12-15 15:57 - 문서재제출요청
2022-12-15 17:09 - 신청
2023-04-17 09:37 - 문서재제출요청
2023-05-13 01:03 - 신청
2023-05-30 16:56 - 문서재제출요청
2023-06-06 18:24 - 신청
2023-06-14 12:58 - 문서재제출요청
2023-06-14 22:24 - 신청
2023-06-15 21:02 - 문서재제출요청
2023-06-16 09:43 - 신청
2023-07-06 19:42 - 문서재제출요청
2023-07-11 19:49 - 신청
2023-07-11 21:26 - 문서재제출요청
2023-07-12 11:17 - 신청
2023-07-25 15:50 - 문서재제출요청
2023-08-30 12:54 - 신청
2023-11-16 17:17 - 보완요청
2023-11-19 13:07 - 신청
2024-02-06 17:17 - 문서재제출요청
2024-02-08 08:55 - 신청
2024-02-15 15:44 - 문서재제출요청
2024-02-16 03:10 - 신청
2024-02-16 09:54 - 문서재제출요청
2024-02-16 21:02 - 신청
2024-03-08 14:04 - 검토승인
2024-03-12 09:42 - 협의검토중
2024-04-17 14:23 - 협의통보
2024-06-28 16:21 - 심의승인</x:v>
      </x:c>
    </x:row>
    <x:row r="3019" ht="42" customHeight="1">
      <x:c r="A3019" s="2" t="str">
        <x:v>c34cb93465a9225aebcb2689</x:v>
      </x:c>
      <x:c r="B3019" s="2" t="str">
        <x:v>감축량 인증</x:v>
      </x:c>
      <x:c r="C3019" s="2" t="str">
        <x:v>국외</x:v>
      </x:c>
      <x:c r="D3019" s="7" t="str">
        <x:v>인도 청정에너지 기기 보급 사업 (PoA 9181-CPA 22)</x:v>
      </x:c>
      <x:c r="E3019" s="2" t="str">
        <x:v>609</x:v>
      </x:c>
      <x:c r="F3019" s="2" t="str">
        <x:v>2022-11-15</x:v>
      </x:c>
      <x:c r="G3019" s="2" t="str">
        <x:v>2022</x:v>
      </x:c>
      <x:c r="H3019" s="2" t="str">
        <x:v>11</x:v>
      </x:c>
      <x:c r="I3019" s="2" t="str">
        <x:v>심의승인</x:v>
      </x:c>
      <x:c r="J3019" s="2" t="str">
        <x:v>심의승인</x:v>
      </x:c>
      <x:c r="K3019" s="2" t="str">
        <x:f>IF(OR(J3019="심의승인",J3019="반려",J3019="반려완료",J3019="심의완료"),"종결 표시",IF(OR(J3019="기후부협의",J3019="문서재제출요청",J3019="보류",J3019="보완요청",J3019="보완완료",J3019="평가중",J3019="반려요청",J3019="평가필요",LEFT(J3019,5)="보완요청("),"미종결 표시","상태 확인 필요"))</x:f>
        <x:v>종결 표시</x:v>
      </x:c>
      <x:c r="L3019" s="2" t="str">
        <x:v>KRIC</x:v>
      </x:c>
      <x:c r="M3019" s="2"/>
      <x:c r="N3019" s="8" t="n">
        <x:f>DATE(2026,10,15)-DATE(2022,11,15)</x:f>
        <x:v>1430</x:v>
      </x:c>
      <x:c r="O3019" s="2"/>
      <x:c r="P3019" s="2" t="str">
        <x:v>57차 인증위 승인</x:v>
      </x:c>
      <x:c r="Q3019" s="2" t="str">
        <x:v>산업전환_외부사업관리Tool_260707_이너젠 수정_LJY_261013.xlsx</x:v>
      </x:c>
      <x:c r="R3019" s="2" t="str">
        <x:v>국외인증</x:v>
      </x:c>
      <x:c r="S3019" s="8" t="n">
        <x:v>606</x:v>
      </x:c>
      <x:c r="T3019" s="2" t="str">
        <x:v>(12/8)</x:v>
      </x:c>
      <x:c r="U3019" s="2" t="str">
        <x:v>2022 지정: (12/8) / 2023 지정: (5/16),(6/27)</x:v>
      </x:c>
      <x:c r="V3019" s="2" t="str">
        <x:v>2024-06-28</x:v>
      </x:c>
      <x:c r="W3019" s="2" t="str"/>
      <x:c r="X3019" s="2" t="str">
        <x:v>종결 근거 보관</x:v>
      </x:c>
      <x:c r="Y3019" s="2" t="str">
        <x:v>ad210cd9ec132cfd447541c8984dc53d30aff0f4fb2dc92d254d49275cc55976</x:v>
      </x:c>
      <x:c r="Z3019" s="2" t="n">
        <x:f>SUBTOTAL(103,A3019)</x:f>
        <x:v>1</x:v>
      </x:c>
      <x:c r="AA3019" s="2" t="str">
        <x:f>IF(K3019&lt;&gt;"미종결 표시","대상 아님",IF(N3019="","신청일 확인",IF(NOT(ISNUMBER('종합 현황'!$H$5)),"관찰기준 확인",IF('종합 현황'!$H$5&lt;1,"관찰기준 확인",IF(N3019&gt;'종합 현황'!$H$5,"내부 관찰 대상","내부 관찰일 이하")))))</x:f>
        <x:v>대상 아님</x:v>
      </x:c>
      <x:c r="AB3019" s="2" t="str">
        <x:v>2022-11-15 20:07 - 신청
2022-12-15 13:39 - 문서재제출요청
2022-12-15 14:40 - 신청
2022-12-15 15:57 - 문서재제출요청
2022-12-15 17:10 - 신청
2023-04-17 09:38 - 문서재제출요청
2023-05-13 01:03 - 신청
2023-05-30 16:58 - 문서재제출요청
2023-06-14 22:26 - 신청
2023-06-15 21:02 - 문서재제출요청
2023-06-16 09:45 - 신청
2023-07-06 19:43 - 문서재제출요청
2023-07-11 19:52 - 신청
2023-07-11 21:26 - 문서재제출요청
2023-07-12 11:17 - 신청
2023-07-25 15:51 - 문서재제출요청
2023-08-30 12:54 - 신청
2023-11-16 17:16 - 보완요청
2023-11-19 13:07 - 신청
2024-02-06 17:17 - 문서재제출요청
2024-02-08 08:56 - 신청
2024-02-15 15:45 - 문서재제출요청
2024-02-16 03:11 - 신청
2024-03-08 14:05 - 검토승인
2024-03-12 09:41 - 협의검토중
2024-04-17 14:24 - 협의통보
2024-06-28 16:16 - 심의승인</x:v>
      </x:c>
    </x:row>
    <x:row r="3020" ht="42" customHeight="1">
      <x:c r="A3020" s="2" t="str">
        <x:v>cea54da840f17641b25819ca</x:v>
      </x:c>
      <x:c r="B3020" s="2" t="str">
        <x:v>감축량 인증</x:v>
      </x:c>
      <x:c r="C3020" s="2" t="str">
        <x:v>국외</x:v>
      </x:c>
      <x:c r="D3020" s="7" t="str">
        <x:v>인도 청정에너지 기기 보급 사업 (PoA 9181-CPA 23)</x:v>
      </x:c>
      <x:c r="E3020" s="2" t="str">
        <x:v>608</x:v>
      </x:c>
      <x:c r="F3020" s="2" t="str">
        <x:v>2022-11-15</x:v>
      </x:c>
      <x:c r="G3020" s="2" t="str">
        <x:v>2022</x:v>
      </x:c>
      <x:c r="H3020" s="2" t="str">
        <x:v>11</x:v>
      </x:c>
      <x:c r="I3020" s="2" t="str">
        <x:v>심의승인</x:v>
      </x:c>
      <x:c r="J3020" s="2" t="str">
        <x:v>심의승인</x:v>
      </x:c>
      <x:c r="K3020" s="2" t="str">
        <x:f>IF(OR(J3020="심의승인",J3020="반려",J3020="반려완료",J3020="심의완료"),"종결 표시",IF(OR(J3020="기후부협의",J3020="문서재제출요청",J3020="보류",J3020="보완요청",J3020="보완완료",J3020="평가중",J3020="반려요청",J3020="평가필요",LEFT(J3020,5)="보완요청("),"미종결 표시","상태 확인 필요"))</x:f>
        <x:v>종결 표시</x:v>
      </x:c>
      <x:c r="L3020" s="2" t="str">
        <x:v>KRIC</x:v>
      </x:c>
      <x:c r="M3020" s="2"/>
      <x:c r="N3020" s="8" t="n">
        <x:f>DATE(2026,10,15)-DATE(2022,11,15)</x:f>
        <x:v>1430</x:v>
      </x:c>
      <x:c r="O3020" s="2"/>
      <x:c r="P3020" s="2" t="str">
        <x:v>57차 인증위 승인</x:v>
      </x:c>
      <x:c r="Q3020" s="2" t="str">
        <x:v>산업전환_외부사업관리Tool_260707_이너젠 수정_LJY_261013.xlsx</x:v>
      </x:c>
      <x:c r="R3020" s="2" t="str">
        <x:v>국외인증</x:v>
      </x:c>
      <x:c r="S3020" s="8" t="n">
        <x:v>607</x:v>
      </x:c>
      <x:c r="T3020" s="2" t="str">
        <x:v>(12/8)</x:v>
      </x:c>
      <x:c r="U3020" s="2" t="str">
        <x:v>2022 지정: (12/8) / 2023 지정: (5/16),(6/27)</x:v>
      </x:c>
      <x:c r="V3020" s="2" t="str">
        <x:v>2024-06-28</x:v>
      </x:c>
      <x:c r="W3020" s="2" t="str"/>
      <x:c r="X3020" s="2" t="str">
        <x:v>종결 근거 보관</x:v>
      </x:c>
      <x:c r="Y3020" s="2" t="str">
        <x:v>ad210cd9ec132cfd447541c8984dc53d30aff0f4fb2dc92d254d49275cc55976</x:v>
      </x:c>
      <x:c r="Z3020" s="2" t="n">
        <x:f>SUBTOTAL(103,A3020)</x:f>
        <x:v>1</x:v>
      </x:c>
      <x:c r="AA3020" s="2" t="str">
        <x:f>IF(K3020&lt;&gt;"미종결 표시","대상 아님",IF(N3020="","신청일 확인",IF(NOT(ISNUMBER('종합 현황'!$H$5)),"관찰기준 확인",IF('종합 현황'!$H$5&lt;1,"관찰기준 확인",IF(N3020&gt;'종합 현황'!$H$5,"내부 관찰 대상","내부 관찰일 이하")))))</x:f>
        <x:v>대상 아님</x:v>
      </x:c>
      <x:c r="AB3020" s="2" t="str">
        <x:v>2022-11-15 20:07 - 신청
2022-12-15 13:38 - 문서재제출요청
2022-12-15 14:42 - 신청
2022-12-15 15:56 - 문서재제출요청
2022-12-15 17:11 - 신청
2023-04-17 09:39 - 문서재제출요청
2023-05-13 01:04 - 신청
2023-05-30 17:00 - 문서재제출요청
2023-06-06 18:25 - 신청
2023-06-14 12:58 - 문서재제출요청
2023-06-14 22:29 - 신청
2023-06-15 21:03 - 문서재제출요청
2023-06-16 09:49 - 신청
2023-07-06 19:45 - 문서재제출요청
2023-07-11 19:54 - 신청
2023-07-11 21:27 - 문서재제출요청
2023-07-12 11:17 - 신청
2023-07-25 15:51 - 문서재제출요청
2023-08-30 12:55 - 신청
2023-11-16 17:17 - 보완요청
2023-11-19 13:08 - 신청
2024-02-06 17:17 - 문서재제출요청
2024-02-08 08:57 - 신청
2024-02-15 15:46 - 문서재제출요청
2024-02-16 03:15 - 신청
2024-03-08 14:06 - 검토승인
2024-03-12 09:41 - 협의검토중
2024-04-17 14:24 - 협의통보
2024-06-28 16:12 - 심의승인</x:v>
      </x:c>
    </x:row>
    <x:row r="3021" ht="42" customHeight="1">
      <x:c r="A3021" s="2" t="str">
        <x:v>4608b6acb6e966200ee8584b</x:v>
      </x:c>
      <x:c r="B3021" s="2" t="str">
        <x:v>감축량 인증</x:v>
      </x:c>
      <x:c r="C3021" s="2" t="str">
        <x:v>국외</x:v>
      </x:c>
      <x:c r="D3021" s="7" t="str">
        <x:v>인도 청정에너지 기기 보급 사업 (PoA 9181-CPA 24)</x:v>
      </x:c>
      <x:c r="E3021" s="2" t="str">
        <x:v>607</x:v>
      </x:c>
      <x:c r="F3021" s="2" t="str">
        <x:v>2022-11-15</x:v>
      </x:c>
      <x:c r="G3021" s="2" t="str">
        <x:v>2022</x:v>
      </x:c>
      <x:c r="H3021" s="2" t="str">
        <x:v>11</x:v>
      </x:c>
      <x:c r="I3021" s="2" t="str">
        <x:v>심의승인</x:v>
      </x:c>
      <x:c r="J3021" s="2" t="str">
        <x:v>심의승인</x:v>
      </x:c>
      <x:c r="K3021" s="2" t="str">
        <x:f>IF(OR(J3021="심의승인",J3021="반려",J3021="반려완료",J3021="심의완료"),"종결 표시",IF(OR(J3021="기후부협의",J3021="문서재제출요청",J3021="보류",J3021="보완요청",J3021="보완완료",J3021="평가중",J3021="반려요청",J3021="평가필요",LEFT(J3021,5)="보완요청("),"미종결 표시","상태 확인 필요"))</x:f>
        <x:v>종결 표시</x:v>
      </x:c>
      <x:c r="L3021" s="2" t="str">
        <x:v>KRIC</x:v>
      </x:c>
      <x:c r="M3021" s="2"/>
      <x:c r="N3021" s="8" t="n">
        <x:f>DATE(2026,10,15)-DATE(2022,11,15)</x:f>
        <x:v>1430</x:v>
      </x:c>
      <x:c r="O3021" s="2"/>
      <x:c r="P3021" s="2" t="str">
        <x:v>57차 인증위 승인</x:v>
      </x:c>
      <x:c r="Q3021" s="2" t="str">
        <x:v>산업전환_외부사업관리Tool_260707_이너젠 수정_LJY_261013.xlsx</x:v>
      </x:c>
      <x:c r="R3021" s="2" t="str">
        <x:v>국외인증</x:v>
      </x:c>
      <x:c r="S3021" s="8" t="n">
        <x:v>608</x:v>
      </x:c>
      <x:c r="T3021" s="2" t="str">
        <x:v>(12/8)</x:v>
      </x:c>
      <x:c r="U3021" s="2" t="str">
        <x:v>2022 지정: (12/8) / 2023 지정: (5/16)</x:v>
      </x:c>
      <x:c r="V3021" s="2" t="str">
        <x:v>2024-06-28</x:v>
      </x:c>
      <x:c r="W3021" s="2" t="str"/>
      <x:c r="X3021" s="2" t="str">
        <x:v>종결 근거 보관</x:v>
      </x:c>
      <x:c r="Y3021" s="2" t="str">
        <x:v>ad210cd9ec132cfd447541c8984dc53d30aff0f4fb2dc92d254d49275cc55976</x:v>
      </x:c>
      <x:c r="Z3021" s="2" t="n">
        <x:f>SUBTOTAL(103,A3021)</x:f>
        <x:v>1</x:v>
      </x:c>
      <x:c r="AA3021" s="2" t="str">
        <x:f>IF(K3021&lt;&gt;"미종결 표시","대상 아님",IF(N3021="","신청일 확인",IF(NOT(ISNUMBER('종합 현황'!$H$5)),"관찰기준 확인",IF('종합 현황'!$H$5&lt;1,"관찰기준 확인",IF(N3021&gt;'종합 현황'!$H$5,"내부 관찰 대상","내부 관찰일 이하")))))</x:f>
        <x:v>대상 아님</x:v>
      </x:c>
      <x:c r="AB3021" s="2" t="str">
        <x:v>2022-11-15 20:07 - 신청
2022-12-15 13:38 - 문서재제출요청
2022-12-15 14:43 - 신청
2022-12-15 15:56 - 문서재제출요청
2022-12-15 17:12 - 신청
2023-04-17 09:41 - 문서재제출요청
2023-05-13 01:04 - 신청
2023-06-07 16:14 - 문서재제출요청
2023-06-14 23:20 - 신청
2023-06-19 10:00 - 문서재제출요청
2023-07-11 17:07 - 신청
2023-07-11 21:51 - 문서재제출요청
2023-07-12 11:18 - 신청
2023-07-25 15:51 - 문서재제출요청
2023-08-30 12:58 - 신청
2023-11-16 17:17 - 보완요청
2023-11-19 13:09 - 신청
2024-02-06 17:17 - 문서재제출요청
2024-02-16 03:20 - 신청
2024-03-08 14:11 - 검토승인
2024-03-12 09:41 - 협의검토중
2024-04-17 14:25 - 협의통보
2024-06-28 15:56 - 심의승인</x:v>
      </x:c>
    </x:row>
    <x:row r="3022" ht="42" customHeight="1">
      <x:c r="A3022" s="2" t="str">
        <x:v>49882c64d223cfa6b7ff000d</x:v>
      </x:c>
      <x:c r="B3022" s="2" t="str">
        <x:v>감축량 인증</x:v>
      </x:c>
      <x:c r="C3022" s="2" t="str">
        <x:v>국외</x:v>
      </x:c>
      <x:c r="D3022" s="7" t="str">
        <x:v>인도 청정에너지 기기 보급 사업 (PoA 9181-CPA 25)</x:v>
      </x:c>
      <x:c r="E3022" s="2" t="str">
        <x:v>606</x:v>
      </x:c>
      <x:c r="F3022" s="2" t="str">
        <x:v>2022-11-15</x:v>
      </x:c>
      <x:c r="G3022" s="2" t="str">
        <x:v>2022</x:v>
      </x:c>
      <x:c r="H3022" s="2" t="str">
        <x:v>11</x:v>
      </x:c>
      <x:c r="I3022" s="2" t="str">
        <x:v>심의승인</x:v>
      </x:c>
      <x:c r="J3022" s="2" t="str">
        <x:v>심의승인</x:v>
      </x:c>
      <x:c r="K3022" s="2" t="str">
        <x:f>IF(OR(J3022="심의승인",J3022="반려",J3022="반려완료",J3022="심의완료"),"종결 표시",IF(OR(J3022="기후부협의",J3022="문서재제출요청",J3022="보류",J3022="보완요청",J3022="보완완료",J3022="평가중",J3022="반려요청",J3022="평가필요",LEFT(J3022,5)="보완요청("),"미종결 표시","상태 확인 필요"))</x:f>
        <x:v>종결 표시</x:v>
      </x:c>
      <x:c r="L3022" s="2" t="str">
        <x:v>KRIC</x:v>
      </x:c>
      <x:c r="M3022" s="2"/>
      <x:c r="N3022" s="8" t="n">
        <x:f>DATE(2026,10,15)-DATE(2022,11,15)</x:f>
        <x:v>1430</x:v>
      </x:c>
      <x:c r="O3022" s="2"/>
      <x:c r="P3022" s="2" t="str">
        <x:v>57차 인증위 승인</x:v>
      </x:c>
      <x:c r="Q3022" s="2" t="str">
        <x:v>산업전환_외부사업관리Tool_260707_이너젠 수정_LJY_261013.xlsx</x:v>
      </x:c>
      <x:c r="R3022" s="2" t="str">
        <x:v>국외인증</x:v>
      </x:c>
      <x:c r="S3022" s="8" t="n">
        <x:v>609</x:v>
      </x:c>
      <x:c r="T3022" s="2" t="str">
        <x:v>(12/8)</x:v>
      </x:c>
      <x:c r="U3022" s="2" t="str">
        <x:v>2022 지정: (12/8) / 2023 지정: (5/16)</x:v>
      </x:c>
      <x:c r="V3022" s="2" t="str">
        <x:v>2024-06-28</x:v>
      </x:c>
      <x:c r="W3022" s="2" t="str"/>
      <x:c r="X3022" s="2" t="str">
        <x:v>종결 근거 보관</x:v>
      </x:c>
      <x:c r="Y3022" s="2" t="str">
        <x:v>ad210cd9ec132cfd447541c8984dc53d30aff0f4fb2dc92d254d49275cc55976</x:v>
      </x:c>
      <x:c r="Z3022" s="2" t="n">
        <x:f>SUBTOTAL(103,A3022)</x:f>
        <x:v>1</x:v>
      </x:c>
      <x:c r="AA3022" s="2" t="str">
        <x:f>IF(K3022&lt;&gt;"미종결 표시","대상 아님",IF(N3022="","신청일 확인",IF(NOT(ISNUMBER('종합 현황'!$H$5)),"관찰기준 확인",IF('종합 현황'!$H$5&lt;1,"관찰기준 확인",IF(N3022&gt;'종합 현황'!$H$5,"내부 관찰 대상","내부 관찰일 이하")))))</x:f>
        <x:v>대상 아님</x:v>
      </x:c>
      <x:c r="AB3022" s="2" t="str">
        <x:v>2022-11-15 20:06 - 신청
2022-12-15 13:38 - 문서재제출요청
2022-12-15 14:48 - 신청
2022-12-15 15:56 - 문서재제출요청
2022-12-15 17:13 - 신청
2023-04-17 09:41 - 문서재제출요청
2023-05-13 01:04 - 신청
2023-06-07 16:19 - 문서재제출요청
2023-06-14 23:21 - 신청
2023-06-19 10:01 - 문서재제출요청
2023-07-11 17:15 - 신청
2023-07-11 21:52 - 문서재제출요청
2023-07-12 11:18 - 신청
2023-07-25 15:51 - 문서재제출요청
2023-08-30 12:59 - 신청
2023-11-16 17:18 - 보완요청
2023-11-19 13:10 - 신청
2024-02-06 17:18 - 문서재제출요청
2024-02-16 03:22 - 신청
2024-03-08 14:13 - 검토승인
2024-03-12 09:41 - 협의검토중
2024-04-17 14:28 - 협의통보
2024-06-28 15:29 - 심의승인</x:v>
      </x:c>
    </x:row>
    <x:row r="3023" ht="42" customHeight="1">
      <x:c r="A3023" s="2" t="str">
        <x:v>b6819c3f5e61741c93cb69cd</x:v>
      </x:c>
      <x:c r="B3023" s="2" t="str">
        <x:v>감축량 인증</x:v>
      </x:c>
      <x:c r="C3023" s="2" t="str">
        <x:v>국외</x:v>
      </x:c>
      <x:c r="D3023" s="7" t="str">
        <x:v>인도 청정에너지 기기 보급 사업 (PoA 9181-CPA 26)</x:v>
      </x:c>
      <x:c r="E3023" s="2" t="str">
        <x:v>605</x:v>
      </x:c>
      <x:c r="F3023" s="2" t="str">
        <x:v>2022-11-15</x:v>
      </x:c>
      <x:c r="G3023" s="2" t="str">
        <x:v>2022</x:v>
      </x:c>
      <x:c r="H3023" s="2" t="str">
        <x:v>11</x:v>
      </x:c>
      <x:c r="I3023" s="2" t="str">
        <x:v>심의승인</x:v>
      </x:c>
      <x:c r="J3023" s="2" t="str">
        <x:v>심의승인</x:v>
      </x:c>
      <x:c r="K3023" s="2" t="str">
        <x:f>IF(OR(J3023="심의승인",J3023="반려",J3023="반려완료",J3023="심의완료"),"종결 표시",IF(OR(J3023="기후부협의",J3023="문서재제출요청",J3023="보류",J3023="보완요청",J3023="보완완료",J3023="평가중",J3023="반려요청",J3023="평가필요",LEFT(J3023,5)="보완요청("),"미종결 표시","상태 확인 필요"))</x:f>
        <x:v>종결 표시</x:v>
      </x:c>
      <x:c r="L3023" s="2" t="str">
        <x:v>KRIC</x:v>
      </x:c>
      <x:c r="M3023" s="2"/>
      <x:c r="N3023" s="8" t="n">
        <x:f>DATE(2026,10,15)-DATE(2022,11,15)</x:f>
        <x:v>1430</x:v>
      </x:c>
      <x:c r="O3023" s="2"/>
      <x:c r="P3023" s="2" t="str">
        <x:v>57차 인증위 승인</x:v>
      </x:c>
      <x:c r="Q3023" s="2" t="str">
        <x:v>산업전환_외부사업관리Tool_260707_이너젠 수정_LJY_261013.xlsx</x:v>
      </x:c>
      <x:c r="R3023" s="2" t="str">
        <x:v>국외인증</x:v>
      </x:c>
      <x:c r="S3023" s="8" t="n">
        <x:v>610</x:v>
      </x:c>
      <x:c r="T3023" s="2" t="str">
        <x:v>(12/8)</x:v>
      </x:c>
      <x:c r="U3023" s="2" t="str">
        <x:v>2022 지정: (12/8) / 2023 지정: (5/16)</x:v>
      </x:c>
      <x:c r="V3023" s="2" t="str">
        <x:v>2024-06-28</x:v>
      </x:c>
      <x:c r="W3023" s="2" t="str"/>
      <x:c r="X3023" s="2" t="str">
        <x:v>종결 근거 보관</x:v>
      </x:c>
      <x:c r="Y3023" s="2" t="str">
        <x:v>ad210cd9ec132cfd447541c8984dc53d30aff0f4fb2dc92d254d49275cc55976</x:v>
      </x:c>
      <x:c r="Z3023" s="2" t="n">
        <x:f>SUBTOTAL(103,A3023)</x:f>
        <x:v>1</x:v>
      </x:c>
      <x:c r="AA3023" s="2" t="str">
        <x:f>IF(K3023&lt;&gt;"미종결 표시","대상 아님",IF(N3023="","신청일 확인",IF(NOT(ISNUMBER('종합 현황'!$H$5)),"관찰기준 확인",IF('종합 현황'!$H$5&lt;1,"관찰기준 확인",IF(N3023&gt;'종합 현황'!$H$5,"내부 관찰 대상","내부 관찰일 이하")))))</x:f>
        <x:v>대상 아님</x:v>
      </x:c>
      <x:c r="AB3023" s="2" t="str">
        <x:v>2022-11-15 20:06 - 신청
2022-12-15 13:38 - 문서재제출요청
2022-12-15 14:49 - 신청
2022-12-15 15:55 - 문서재제출요청
2022-12-15 17:13 - 신청
2023-04-17 09:42 - 문서재제출요청
2023-05-13 01:04 - 신청
2023-06-07 16:22 - 문서재제출요청
2023-06-14 23:22 - 신청
2023-06-19 10:03 - 문서재제출요청
2023-07-11 17:22 - 신청
2023-07-11 21:52 - 문서재제출요청
2023-07-12 11:18 - 신청
2023-07-25 15:52 - 문서재제출요청
2023-08-30 13:00 - 신청
2023-11-16 17:18 - 보완요청
2023-11-19 13:10 - 신청
2024-02-06 17:18 - 문서재제출요청
2024-02-16 03:23 - 신청
2024-03-08 14:14 - 검토승인
2024-03-12 09:41 - 협의검토중
2024-04-17 14:30 - 협의통보
2024-06-28 15:27 - 심의승인</x:v>
      </x:c>
    </x:row>
    <x:row r="3024" ht="42" customHeight="1">
      <x:c r="A3024" s="2" t="str">
        <x:v>c9fd0cad685b9842515206a4</x:v>
      </x:c>
      <x:c r="B3024" s="2" t="str">
        <x:v>감축량 인증</x:v>
      </x:c>
      <x:c r="C3024" s="2" t="str">
        <x:v>국외</x:v>
      </x:c>
      <x:c r="D3024" s="7" t="str">
        <x:v>인도 청정에너지 기기 보급 사업 (PoA 9181-CPA 27)</x:v>
      </x:c>
      <x:c r="E3024" s="2" t="str">
        <x:v>604</x:v>
      </x:c>
      <x:c r="F3024" s="2" t="str">
        <x:v>2022-11-15</x:v>
      </x:c>
      <x:c r="G3024" s="2" t="str">
        <x:v>2022</x:v>
      </x:c>
      <x:c r="H3024" s="2" t="str">
        <x:v>11</x:v>
      </x:c>
      <x:c r="I3024" s="2" t="str">
        <x:v>심의승인</x:v>
      </x:c>
      <x:c r="J3024" s="2" t="str">
        <x:v>심의승인</x:v>
      </x:c>
      <x:c r="K3024" s="2" t="str">
        <x:f>IF(OR(J3024="심의승인",J3024="반려",J3024="반려완료",J3024="심의완료"),"종결 표시",IF(OR(J3024="기후부협의",J3024="문서재제출요청",J3024="보류",J3024="보완요청",J3024="보완완료",J3024="평가중",J3024="반려요청",J3024="평가필요",LEFT(J3024,5)="보완요청("),"미종결 표시","상태 확인 필요"))</x:f>
        <x:v>종결 표시</x:v>
      </x:c>
      <x:c r="L3024" s="2" t="str">
        <x:v>KRIC</x:v>
      </x:c>
      <x:c r="M3024" s="2"/>
      <x:c r="N3024" s="8" t="n">
        <x:f>DATE(2026,10,15)-DATE(2022,11,15)</x:f>
        <x:v>1430</x:v>
      </x:c>
      <x:c r="O3024" s="2"/>
      <x:c r="P3024" s="2" t="str">
        <x:v>57차 인증위 승인</x:v>
      </x:c>
      <x:c r="Q3024" s="2" t="str">
        <x:v>산업전환_외부사업관리Tool_260707_이너젠 수정_LJY_261013.xlsx</x:v>
      </x:c>
      <x:c r="R3024" s="2" t="str">
        <x:v>국외인증</x:v>
      </x:c>
      <x:c r="S3024" s="8" t="n">
        <x:v>611</x:v>
      </x:c>
      <x:c r="T3024" s="2" t="str">
        <x:v>(12/8)</x:v>
      </x:c>
      <x:c r="U3024" s="2" t="str">
        <x:v>2022 지정: (12/8) / 2023 지정: (5/16)</x:v>
      </x:c>
      <x:c r="V3024" s="2" t="str">
        <x:v>2024-06-28</x:v>
      </x:c>
      <x:c r="W3024" s="2" t="str"/>
      <x:c r="X3024" s="2" t="str">
        <x:v>종결 근거 보관</x:v>
      </x:c>
      <x:c r="Y3024" s="2" t="str">
        <x:v>ad210cd9ec132cfd447541c8984dc53d30aff0f4fb2dc92d254d49275cc55976</x:v>
      </x:c>
      <x:c r="Z3024" s="2" t="n">
        <x:f>SUBTOTAL(103,A3024)</x:f>
        <x:v>1</x:v>
      </x:c>
      <x:c r="AA3024" s="2" t="str">
        <x:f>IF(K3024&lt;&gt;"미종결 표시","대상 아님",IF(N3024="","신청일 확인",IF(NOT(ISNUMBER('종합 현황'!$H$5)),"관찰기준 확인",IF('종합 현황'!$H$5&lt;1,"관찰기준 확인",IF(N3024&gt;'종합 현황'!$H$5,"내부 관찰 대상","내부 관찰일 이하")))))</x:f>
        <x:v>대상 아님</x:v>
      </x:c>
      <x:c r="AB3024" s="2" t="str">
        <x:v>2022-11-15 20:06 - 신청
2022-12-15 13:37 - 문서재제출요청
2022-12-15 14:50 - 신청
2022-12-15 15:55 - 문서재제출요청
2022-12-15 17:14 - 신청
2023-04-17 09:43 - 문서재제출요청
2023-05-13 01:04 - 신청
2023-06-07 16:30 - 문서재제출요청
2023-06-16 09:22 - 신청
2023-06-19 10:04 - 문서재제출요청
2023-07-11 17:24 - 신청
2023-07-11 21:52 - 문서재제출요청
2023-07-12 11:19 - 신청
2023-07-25 15:52 - 문서재제출요청
2023-08-30 13:02 - 신청
2023-11-16 17:18 - 보완요청
2023-11-19 13:11 - 신청
2024-02-06 17:18 - 문서재제출요청
2024-02-16 03:25 - 신청
2024-03-08 14:15 - 검토승인
2024-03-12 09:41 - 협의검토중
2024-04-17 14:32 - 협의통보
2024-06-28 15:23 - 심의승인</x:v>
      </x:c>
    </x:row>
    <x:row r="3025" ht="42" customHeight="1">
      <x:c r="A3025" s="2" t="str">
        <x:v>7840d2ee9875b5993ed4cfe5</x:v>
      </x:c>
      <x:c r="B3025" s="2" t="str">
        <x:v>감축량 인증</x:v>
      </x:c>
      <x:c r="C3025" s="2" t="str">
        <x:v>국외</x:v>
      </x:c>
      <x:c r="D3025" s="7" t="str">
        <x:v>인도 청정에너지 기기 보급 사업 (PoA 9181-CPA 28)</x:v>
      </x:c>
      <x:c r="E3025" s="2" t="str">
        <x:v>603</x:v>
      </x:c>
      <x:c r="F3025" s="2" t="str">
        <x:v>2022-11-15</x:v>
      </x:c>
      <x:c r="G3025" s="2" t="str">
        <x:v>2022</x:v>
      </x:c>
      <x:c r="H3025" s="2" t="str">
        <x:v>11</x:v>
      </x:c>
      <x:c r="I3025" s="2" t="str">
        <x:v>심의승인</x:v>
      </x:c>
      <x:c r="J3025" s="2" t="str">
        <x:v>심의승인</x:v>
      </x:c>
      <x:c r="K3025" s="2" t="str">
        <x:f>IF(OR(J3025="심의승인",J3025="반려",J3025="반려완료",J3025="심의완료"),"종결 표시",IF(OR(J3025="기후부협의",J3025="문서재제출요청",J3025="보류",J3025="보완요청",J3025="보완완료",J3025="평가중",J3025="반려요청",J3025="평가필요",LEFT(J3025,5)="보완요청("),"미종결 표시","상태 확인 필요"))</x:f>
        <x:v>종결 표시</x:v>
      </x:c>
      <x:c r="L3025" s="2" t="str">
        <x:v>KRIC</x:v>
      </x:c>
      <x:c r="M3025" s="2"/>
      <x:c r="N3025" s="8" t="n">
        <x:f>DATE(2026,10,15)-DATE(2022,11,15)</x:f>
        <x:v>1430</x:v>
      </x:c>
      <x:c r="O3025" s="2"/>
      <x:c r="P3025" s="2" t="str">
        <x:v>57차 인증위 승인</x:v>
      </x:c>
      <x:c r="Q3025" s="2" t="str">
        <x:v>산업전환_외부사업관리Tool_260707_이너젠 수정_LJY_261013.xlsx</x:v>
      </x:c>
      <x:c r="R3025" s="2" t="str">
        <x:v>국외인증</x:v>
      </x:c>
      <x:c r="S3025" s="8" t="n">
        <x:v>612</x:v>
      </x:c>
      <x:c r="T3025" s="2" t="str">
        <x:v>(12/8)</x:v>
      </x:c>
      <x:c r="U3025" s="2" t="str">
        <x:v>2022 지정: (12/8) / 2023 지정: (5/16)</x:v>
      </x:c>
      <x:c r="V3025" s="2" t="str">
        <x:v>2024-06-28</x:v>
      </x:c>
      <x:c r="W3025" s="2" t="str"/>
      <x:c r="X3025" s="2" t="str">
        <x:v>종결 근거 보관</x:v>
      </x:c>
      <x:c r="Y3025" s="2" t="str">
        <x:v>ad210cd9ec132cfd447541c8984dc53d30aff0f4fb2dc92d254d49275cc55976</x:v>
      </x:c>
      <x:c r="Z3025" s="2" t="n">
        <x:f>SUBTOTAL(103,A3025)</x:f>
        <x:v>1</x:v>
      </x:c>
      <x:c r="AA3025" s="2" t="str">
        <x:f>IF(K3025&lt;&gt;"미종결 표시","대상 아님",IF(N3025="","신청일 확인",IF(NOT(ISNUMBER('종합 현황'!$H$5)),"관찰기준 확인",IF('종합 현황'!$H$5&lt;1,"관찰기준 확인",IF(N3025&gt;'종합 현황'!$H$5,"내부 관찰 대상","내부 관찰일 이하")))))</x:f>
        <x:v>대상 아님</x:v>
      </x:c>
      <x:c r="AB3025" s="2" t="str">
        <x:v>2022-11-15 20:06 - 신청
2022-12-15 13:37 - 문서재제출요청
2022-12-15 14:52 - 신청
2022-12-15 15:54 - 문서재제출요청
2022-12-15 17:14 - 신청
2023-04-17 09:44 - 문서재제출요청
2023-05-13 01:04 - 신청
2023-06-07 16:41 - 문서재제출요청
2023-06-14 23:26 - 신청
2023-06-19 10:05 - 문서재제출요청
2023-07-11 17:28 - 신청
2023-07-11 21:52 - 문서재제출요청
2023-07-12 11:19 - 신청
2023-07-25 15:52 - 문서재제출요청
2023-08-30 13:03 - 신청
2023-11-16 17:18 - 보완요청
2023-11-19 13:11 - 신청
2024-02-06 17:18 - 문서재제출요청
2024-02-16 03:26 - 신청
2024-03-08 14:16 - 검토승인
2024-03-12 09:41 - 협의검토중
2024-04-17 14:35 - 협의통보
2024-06-28 15:11 - 심의승인</x:v>
      </x:c>
    </x:row>
    <x:row r="3026" ht="42" customHeight="1">
      <x:c r="A3026" s="2" t="str">
        <x:v>94e8bcd6b069481ef77eb9d1</x:v>
      </x:c>
      <x:c r="B3026" s="2" t="str">
        <x:v>감축량 인증</x:v>
      </x:c>
      <x:c r="C3026" s="2" t="str">
        <x:v>국외</x:v>
      </x:c>
      <x:c r="D3026" s="7" t="str">
        <x:v>인도 청정에너지 기기 보급 사업 (PoA 9181-CPA 29)</x:v>
      </x:c>
      <x:c r="E3026" s="2" t="str">
        <x:v>602</x:v>
      </x:c>
      <x:c r="F3026" s="2" t="str">
        <x:v>2022-11-15</x:v>
      </x:c>
      <x:c r="G3026" s="2" t="str">
        <x:v>2022</x:v>
      </x:c>
      <x:c r="H3026" s="2" t="str">
        <x:v>11</x:v>
      </x:c>
      <x:c r="I3026" s="2" t="str">
        <x:v>심의승인</x:v>
      </x:c>
      <x:c r="J3026" s="2" t="str">
        <x:v>심의승인</x:v>
      </x:c>
      <x:c r="K3026" s="2" t="str">
        <x:f>IF(OR(J3026="심의승인",J3026="반려",J3026="반려완료",J3026="심의완료"),"종결 표시",IF(OR(J3026="기후부협의",J3026="문서재제출요청",J3026="보류",J3026="보완요청",J3026="보완완료",J3026="평가중",J3026="반려요청",J3026="평가필요",LEFT(J3026,5)="보완요청("),"미종결 표시","상태 확인 필요"))</x:f>
        <x:v>종결 표시</x:v>
      </x:c>
      <x:c r="L3026" s="2" t="str">
        <x:v>KRIC</x:v>
      </x:c>
      <x:c r="M3026" s="2"/>
      <x:c r="N3026" s="8" t="n">
        <x:f>DATE(2026,10,15)-DATE(2022,11,15)</x:f>
        <x:v>1430</x:v>
      </x:c>
      <x:c r="O3026" s="2"/>
      <x:c r="P3026" s="2" t="str">
        <x:v>57차 인증위 승인</x:v>
      </x:c>
      <x:c r="Q3026" s="2" t="str">
        <x:v>산업전환_외부사업관리Tool_260707_이너젠 수정_LJY_261013.xlsx</x:v>
      </x:c>
      <x:c r="R3026" s="2" t="str">
        <x:v>국외인증</x:v>
      </x:c>
      <x:c r="S3026" s="8" t="n">
        <x:v>613</x:v>
      </x:c>
      <x:c r="T3026" s="2" t="str">
        <x:v>(12/8)</x:v>
      </x:c>
      <x:c r="U3026" s="2" t="str">
        <x:v>2022 지정: (12/8) / 2023 지정: (5/16)</x:v>
      </x:c>
      <x:c r="V3026" s="2" t="str">
        <x:v>2024-06-27</x:v>
      </x:c>
      <x:c r="W3026" s="2" t="str"/>
      <x:c r="X3026" s="2" t="str">
        <x:v>종결 근거 보관</x:v>
      </x:c>
      <x:c r="Y3026" s="2" t="str">
        <x:v>ad210cd9ec132cfd447541c8984dc53d30aff0f4fb2dc92d254d49275cc55976</x:v>
      </x:c>
      <x:c r="Z3026" s="2" t="n">
        <x:f>SUBTOTAL(103,A3026)</x:f>
        <x:v>1</x:v>
      </x:c>
      <x:c r="AA3026" s="2" t="str">
        <x:f>IF(K3026&lt;&gt;"미종결 표시","대상 아님",IF(N3026="","신청일 확인",IF(NOT(ISNUMBER('종합 현황'!$H$5)),"관찰기준 확인",IF('종합 현황'!$H$5&lt;1,"관찰기준 확인",IF(N3026&gt;'종합 현황'!$H$5,"내부 관찰 대상","내부 관찰일 이하")))))</x:f>
        <x:v>대상 아님</x:v>
      </x:c>
      <x:c r="AB3026" s="2" t="str">
        <x:v>2022-11-15 20:06 - 신청
2022-12-15 13:36 - 문서재제출요청
2022-12-15 14:53 - 신청
2022-12-15 15:54 - 문서재제출요청
2022-12-15 17:15 - 신청
2023-04-17 09:45 - 문서재제출요청
2023-05-13 01:05 - 신청
2023-06-07 16:46 - 문서재제출요청
2023-06-14 23:27 - 신청
2023-06-19 10:06 - 문서재제출요청
2023-07-11 17:29 - 신청
2023-07-11 21:53 - 문서재제출요청
2023-07-12 11:19 - 신청
2023-07-25 15:52 - 문서재제출요청
2023-08-30 13:03 - 신청
2023-11-16 17:18 - 보완요청
2023-11-19 13:12 - 신청
2024-02-06 17:18 - 문서재제출요청
2024-02-16 03:27 - 신청
2024-03-08 14:17 - 검토승인
2024-03-12 09:41 - 협의검토중
2024-04-17 14:37 - 협의통보
2024-06-27 17:36 - 심의승인</x:v>
      </x:c>
    </x:row>
    <x:row r="3027" ht="42" customHeight="1">
      <x:c r="A3027" s="2" t="str">
        <x:v>0f0f03d6b8b424767abab252</x:v>
      </x:c>
      <x:c r="B3027" s="2" t="str">
        <x:v>감축량 인증</x:v>
      </x:c>
      <x:c r="C3027" s="2" t="str">
        <x:v>국외</x:v>
      </x:c>
      <x:c r="D3027" s="7" t="str">
        <x:v>인도 청정에너지 기기 보급 사업 (PoA 9181-CPA 30)</x:v>
      </x:c>
      <x:c r="E3027" s="2" t="str">
        <x:v>601</x:v>
      </x:c>
      <x:c r="F3027" s="2" t="str">
        <x:v>2022-11-03</x:v>
      </x:c>
      <x:c r="G3027" s="2" t="str">
        <x:v>2022</x:v>
      </x:c>
      <x:c r="H3027" s="2" t="str">
        <x:v>11</x:v>
      </x:c>
      <x:c r="I3027" s="2" t="str">
        <x:v>심의승인</x:v>
      </x:c>
      <x:c r="J3027" s="2" t="str">
        <x:v>심의승인</x:v>
      </x:c>
      <x:c r="K3027" s="2" t="str">
        <x:f>IF(OR(J3027="심의승인",J3027="반려",J3027="반려완료",J3027="심의완료"),"종결 표시",IF(OR(J3027="기후부협의",J3027="문서재제출요청",J3027="보류",J3027="보완요청",J3027="보완완료",J3027="평가중",J3027="반려요청",J3027="평가필요",LEFT(J3027,5)="보완요청("),"미종결 표시","상태 확인 필요"))</x:f>
        <x:v>종결 표시</x:v>
      </x:c>
      <x:c r="L3027" s="2" t="str">
        <x:v>KRIC</x:v>
      </x:c>
      <x:c r="M3027" s="2"/>
      <x:c r="N3027" s="8" t="n">
        <x:f>DATE(2026,10,15)-DATE(2022,11,3)</x:f>
        <x:v>1442</x:v>
      </x:c>
      <x:c r="O3027" s="2"/>
      <x:c r="P3027" s="2" t="str">
        <x:v>57차 인증위 승인</x:v>
      </x:c>
      <x:c r="Q3027" s="2" t="str">
        <x:v>산업전환_외부사업관리Tool_260707_이너젠 수정_LJY_261013.xlsx</x:v>
      </x:c>
      <x:c r="R3027" s="2" t="str">
        <x:v>국외인증</x:v>
      </x:c>
      <x:c r="S3027" s="8" t="n">
        <x:v>614</x:v>
      </x:c>
      <x:c r="T3027" s="2" t="str">
        <x:v>(12/8)</x:v>
      </x:c>
      <x:c r="U3027" s="2" t="str">
        <x:v>2022 지정: (12/8) / 2023 지정: (5/16)</x:v>
      </x:c>
      <x:c r="V3027" s="2" t="str">
        <x:v>2024-06-27</x:v>
      </x:c>
      <x:c r="W3027" s="2" t="str"/>
      <x:c r="X3027" s="2" t="str">
        <x:v>종결 근거 보관</x:v>
      </x:c>
      <x:c r="Y3027" s="2" t="str">
        <x:v>ad210cd9ec132cfd447541c8984dc53d30aff0f4fb2dc92d254d49275cc55976</x:v>
      </x:c>
      <x:c r="Z3027" s="2" t="n">
        <x:f>SUBTOTAL(103,A3027)</x:f>
        <x:v>1</x:v>
      </x:c>
      <x:c r="AA3027" s="2" t="str">
        <x:f>IF(K3027&lt;&gt;"미종결 표시","대상 아님",IF(N3027="","신청일 확인",IF(NOT(ISNUMBER('종합 현황'!$H$5)),"관찰기준 확인",IF('종합 현황'!$H$5&lt;1,"관찰기준 확인",IF(N3027&gt;'종합 현황'!$H$5,"내부 관찰 대상","내부 관찰일 이하")))))</x:f>
        <x:v>대상 아님</x:v>
      </x:c>
      <x:c r="AB3027" s="2" t="str">
        <x:v>2022-11-03 10:31 - 신청
2022-11-15 09:54 - 문서재제출요청
2022-11-15 20:05 - 신청
2022-12-15 13:36 - 문서재제출요청
2022-12-15 14:54 - 신청
2022-12-15 15:54 - 문서재제출요청
2022-12-15 17:15 - 신청
2023-04-17 09:46 - 문서재제출요청
2023-05-13 01:05 - 신청
2023-06-07 16:51 - 문서재제출요청
2023-06-14 23:29 - 신청
2023-06-19 10:07 - 문서재제출요청
2023-07-11 17:30 - 신청
2023-07-11 21:53 - 문서재제출요청
2023-07-12 11:19 - 신청
2023-07-25 15:52 - 문서재제출요청
2023-08-30 13:04 - 신청
2023-11-16 17:19 - 보완요청
2023-11-19 13:12 - 신청
2024-02-06 17:19 - 문서재제출요청
2024-02-16 03:28 - 신청
2024-03-08 14:18 - 검토승인
2024-03-12 09:41 - 협의검토중
2024-04-17 14:39 - 협의통보
2024-06-27 17:29 - 심의승인</x:v>
      </x:c>
    </x:row>
    <x:row r="3028" ht="42" customHeight="1">
      <x:c r="A3028" s="2" t="str">
        <x:v>2e4f39c3f69b68bad2f43aa7</x:v>
      </x:c>
      <x:c r="B3028" s="2" t="str">
        <x:v>감축량 인증</x:v>
      </x:c>
      <x:c r="C3028" s="2" t="str">
        <x:v>국외</x:v>
      </x:c>
      <x:c r="D3028" s="7" t="str">
        <x:v>피지의 개선된 쿡스토브 사업 - CPA 01</x:v>
      </x:c>
      <x:c r="E3028" s="2" t="str">
        <x:v>613</x:v>
      </x:c>
      <x:c r="F3028" s="2" t="str">
        <x:v>2022-11-21</x:v>
      </x:c>
      <x:c r="G3028" s="2" t="str">
        <x:v>2022</x:v>
      </x:c>
      <x:c r="H3028" s="2" t="str">
        <x:v>11</x:v>
      </x:c>
      <x:c r="I3028" s="2" t="str">
        <x:v>심의승인</x:v>
      </x:c>
      <x:c r="J3028" s="2" t="str">
        <x:v>심의승인</x:v>
      </x:c>
      <x:c r="K3028" s="2" t="str">
        <x:f>IF(OR(J3028="심의승인",J3028="반려",J3028="반려완료",J3028="심의완료"),"종결 표시",IF(OR(J3028="기후부협의",J3028="문서재제출요청",J3028="보류",J3028="보완요청",J3028="보완완료",J3028="평가중",J3028="반려요청",J3028="평가필요",LEFT(J3028,5)="보완요청("),"미종결 표시","상태 확인 필요"))</x:f>
        <x:v>종결 표시</x:v>
      </x:c>
      <x:c r="L3028" s="2" t="str">
        <x:v>KRIC</x:v>
      </x:c>
      <x:c r="M3028" s="2"/>
      <x:c r="N3028" s="8" t="n">
        <x:f>DATE(2026,10,15)-DATE(2022,11,21)</x:f>
        <x:v>1424</x:v>
      </x:c>
      <x:c r="O3028" s="2"/>
      <x:c r="P3028" s="2"/>
      <x:c r="Q3028" s="2" t="str">
        <x:v>산업전환_외부사업관리Tool_260707_이너젠 수정_LJY_261013.xlsx</x:v>
      </x:c>
      <x:c r="R3028" s="2" t="str">
        <x:v>국외인증</x:v>
      </x:c>
      <x:c r="S3028" s="8" t="n">
        <x:v>615</x:v>
      </x:c>
      <x:c r="T3028" s="2" t="str">
        <x:v>(12/8)</x:v>
      </x:c>
      <x:c r="U3028" s="2" t="str">
        <x:v>2022 지정: (12/8)</x:v>
      </x:c>
      <x:c r="V3028" s="2" t="str">
        <x:v>2023-06-22</x:v>
      </x:c>
      <x:c r="W3028" s="2" t="str"/>
      <x:c r="X3028" s="2" t="str">
        <x:v>종결 근거 보관</x:v>
      </x:c>
      <x:c r="Y3028" s="2" t="str">
        <x:v>ad210cd9ec132cfd447541c8984dc53d30aff0f4fb2dc92d254d49275cc55976</x:v>
      </x:c>
      <x:c r="Z3028" s="2" t="n">
        <x:f>SUBTOTAL(103,A3028)</x:f>
        <x:v>1</x:v>
      </x:c>
      <x:c r="AA3028" s="2" t="str">
        <x:f>IF(K3028&lt;&gt;"미종결 표시","대상 아님",IF(N3028="","신청일 확인",IF(NOT(ISNUMBER('종합 현황'!$H$5)),"관찰기준 확인",IF('종합 현황'!$H$5&lt;1,"관찰기준 확인",IF(N3028&gt;'종합 현황'!$H$5,"내부 관찰 대상","내부 관찰일 이하")))))</x:f>
        <x:v>대상 아님</x:v>
      </x:c>
      <x:c r="AB3028" s="2" t="str">
        <x:v>2022-11-21 16:49 - 신청
2022-12-16 16:03 - 문서재제출요청
2022-12-20 12:07 - 신청
2023-02-07 20:07 - 문서재제출요청
2023-02-08 15:25 - 신청
2023-02-21 11:18 - 문서재제출요청
2023-02-21 11:24 - 신청
2023-03-29 17:15 - 검토승인
2023-03-29 17:16 - 협의검토중
2023-04-10 18:05 - 협의통보
2023-06-22 15:54 - 심의승인</x:v>
      </x:c>
    </x:row>
    <x:row r="3029" ht="42" customHeight="1">
      <x:c r="A3029" s="2" t="str">
        <x:v>4e471fb81d838218947082c3</x:v>
      </x:c>
      <x:c r="B3029" s="2" t="str">
        <x:v>감축량 인증</x:v>
      </x:c>
      <x:c r="C3029" s="2" t="str">
        <x:v>국외</x:v>
      </x:c>
      <x:c r="D3029" s="7" t="str">
        <x:v>피지의 개선된 쿡스토브 사업 - CPA 02</x:v>
      </x:c>
      <x:c r="E3029" s="2" t="str">
        <x:v>614</x:v>
      </x:c>
      <x:c r="F3029" s="2" t="str">
        <x:v>2022-11-21</x:v>
      </x:c>
      <x:c r="G3029" s="2" t="str">
        <x:v>2022</x:v>
      </x:c>
      <x:c r="H3029" s="2" t="str">
        <x:v>11</x:v>
      </x:c>
      <x:c r="I3029" s="2" t="str">
        <x:v>심의승인</x:v>
      </x:c>
      <x:c r="J3029" s="2" t="str">
        <x:v>심의승인</x:v>
      </x:c>
      <x:c r="K3029" s="2" t="str">
        <x:f>IF(OR(J3029="심의승인",J3029="반려",J3029="반려완료",J3029="심의완료"),"종결 표시",IF(OR(J3029="기후부협의",J3029="문서재제출요청",J3029="보류",J3029="보완요청",J3029="보완완료",J3029="평가중",J3029="반려요청",J3029="평가필요",LEFT(J3029,5)="보완요청("),"미종결 표시","상태 확인 필요"))</x:f>
        <x:v>종결 표시</x:v>
      </x:c>
      <x:c r="L3029" s="2" t="str">
        <x:v>KRIC</x:v>
      </x:c>
      <x:c r="M3029" s="2"/>
      <x:c r="N3029" s="8" t="n">
        <x:f>DATE(2026,10,15)-DATE(2022,11,21)</x:f>
        <x:v>1424</x:v>
      </x:c>
      <x:c r="O3029" s="2"/>
      <x:c r="P3029" s="2"/>
      <x:c r="Q3029" s="2" t="str">
        <x:v>산업전환_외부사업관리Tool_260707_이너젠 수정_LJY_261013.xlsx</x:v>
      </x:c>
      <x:c r="R3029" s="2" t="str">
        <x:v>국외인증</x:v>
      </x:c>
      <x:c r="S3029" s="8" t="n">
        <x:v>616</x:v>
      </x:c>
      <x:c r="T3029" s="2" t="str">
        <x:v>(12/8)</x:v>
      </x:c>
      <x:c r="U3029" s="2" t="str">
        <x:v>2022 지정: (12/8)</x:v>
      </x:c>
      <x:c r="V3029" s="2" t="str">
        <x:v>2023-06-22</x:v>
      </x:c>
      <x:c r="W3029" s="2" t="str"/>
      <x:c r="X3029" s="2" t="str">
        <x:v>종결 근거 보관</x:v>
      </x:c>
      <x:c r="Y3029" s="2" t="str">
        <x:v>ad210cd9ec132cfd447541c8984dc53d30aff0f4fb2dc92d254d49275cc55976</x:v>
      </x:c>
      <x:c r="Z3029" s="2" t="n">
        <x:f>SUBTOTAL(103,A3029)</x:f>
        <x:v>1</x:v>
      </x:c>
      <x:c r="AA3029" s="2" t="str">
        <x:f>IF(K3029&lt;&gt;"미종결 표시","대상 아님",IF(N3029="","신청일 확인",IF(NOT(ISNUMBER('종합 현황'!$H$5)),"관찰기준 확인",IF('종합 현황'!$H$5&lt;1,"관찰기준 확인",IF(N3029&gt;'종합 현황'!$H$5,"내부 관찰 대상","내부 관찰일 이하")))))</x:f>
        <x:v>대상 아님</x:v>
      </x:c>
      <x:c r="AB3029" s="2" t="str">
        <x:v>2022-11-21 16:52 - 신청
2022-12-16 16:04 - 문서재제출요청
2022-12-20 12:07 - 신청
2023-02-07 20:08 - 문서재제출요청
2023-02-08 15:33 - 신청
2023-02-21 11:18 - 문서재제출요청
2023-02-21 11:26 - 신청
2023-03-29 17:15 - 검토승인
2023-03-29 17:16 - 협의검토중
2023-04-10 18:05 - 협의통보
2023-06-22 15:55 - 심의승인</x:v>
      </x:c>
    </x:row>
    <x:row r="3030" ht="42" customHeight="1">
      <x:c r="A3030" s="2" t="str">
        <x:v>d834e07b5b98f51e65d038c5</x:v>
      </x:c>
      <x:c r="B3030" s="2" t="str">
        <x:v>감축량 인증</x:v>
      </x:c>
      <x:c r="C3030" s="2" t="str">
        <x:v>국외</x:v>
      </x:c>
      <x:c r="D3030" s="7" t="str">
        <x:v>12MW PV 번들링 CDM 프로젝트</x:v>
      </x:c>
      <x:c r="E3030" s="2" t="str">
        <x:v>615</x:v>
      </x:c>
      <x:c r="F3030" s="2" t="str">
        <x:v>2022-12-05</x:v>
      </x:c>
      <x:c r="G3030" s="2" t="str">
        <x:v>2022</x:v>
      </x:c>
      <x:c r="H3030" s="2" t="str">
        <x:v>12</x:v>
      </x:c>
      <x:c r="I3030" s="2" t="str">
        <x:v>심의승인</x:v>
      </x:c>
      <x:c r="J3030" s="2" t="str">
        <x:v>심의승인</x:v>
      </x:c>
      <x:c r="K3030" s="2" t="str">
        <x:f>IF(OR(J3030="심의승인",J3030="반려",J3030="반려완료",J3030="심의완료"),"종결 표시",IF(OR(J3030="기후부협의",J3030="문서재제출요청",J3030="보류",J3030="보완요청",J3030="보완완료",J3030="평가중",J3030="반려요청",J3030="평가필요",LEFT(J3030,5)="보완요청("),"미종결 표시","상태 확인 필요"))</x:f>
        <x:v>종결 표시</x:v>
      </x:c>
      <x:c r="L3030" s="2" t="str">
        <x:v>KRIC</x:v>
      </x:c>
      <x:c r="M3030" s="2"/>
      <x:c r="N3030" s="8" t="n">
        <x:f>DATE(2026,10,15)-DATE(2022,12,5)</x:f>
        <x:v>1410</x:v>
      </x:c>
      <x:c r="O3030" s="2"/>
      <x:c r="P3030" s="2"/>
      <x:c r="Q3030" s="2" t="str">
        <x:v>산업전환_외부사업관리Tool_260707_이너젠 수정_LJY_261013.xlsx</x:v>
      </x:c>
      <x:c r="R3030" s="2" t="str">
        <x:v>국외인증</x:v>
      </x:c>
      <x:c r="S3030" s="8" t="n">
        <x:v>617</x:v>
      </x:c>
      <x:c r="T3030" s="2" t="str">
        <x:v>(12/8)</x:v>
      </x:c>
      <x:c r="U3030" s="2" t="str">
        <x:v>2022 지정: (12/8) / 2023 지정: (4/3)</x:v>
      </x:c>
      <x:c r="V3030" s="2" t="str">
        <x:v>2023-12-15</x:v>
      </x:c>
      <x:c r="W3030" s="2" t="str"/>
      <x:c r="X3030" s="2" t="str">
        <x:v>종결 근거 보관</x:v>
      </x:c>
      <x:c r="Y3030" s="2" t="str">
        <x:v>ad210cd9ec132cfd447541c8984dc53d30aff0f4fb2dc92d254d49275cc55976</x:v>
      </x:c>
      <x:c r="Z3030" s="2" t="n">
        <x:f>SUBTOTAL(103,A3030)</x:f>
        <x:v>1</x:v>
      </x:c>
      <x:c r="AA3030" s="2" t="str">
        <x:f>IF(K3030&lt;&gt;"미종결 표시","대상 아님",IF(N3030="","신청일 확인",IF(NOT(ISNUMBER('종합 현황'!$H$5)),"관찰기준 확인",IF('종합 현황'!$H$5&lt;1,"관찰기준 확인",IF(N3030&gt;'종합 현황'!$H$5,"내부 관찰 대상","내부 관찰일 이하")))))</x:f>
        <x:v>대상 아님</x:v>
      </x:c>
      <x:c r="AB3030" s="2" t="str">
        <x:v>2022-12-05 22:48 - 신청
2023-02-07 19:10 - 문서재제출요청
2023-03-28 10:26 - 신청
2023-07-06 17:20 - 문서재제출요청
2023-07-12 21:24 - 신청
2023-07-13 07:23 - 문서재제출요청
2023-07-13 07:26 - 신청
2023-07-25 15:34 - 검토승인
2023-08-08 16:30 - 협의검토중
2023-09-11 10:44 - 협의통보
2023-12-15 16:28 - 심의승인</x:v>
      </x:c>
    </x:row>
    <x:row r="3031" ht="42" customHeight="1">
      <x:c r="A3031" s="2" t="str">
        <x:v>a486c87d92b73fc42910a9ea</x:v>
      </x:c>
      <x:c r="B3031" s="2" t="str">
        <x:v>감축량 인증</x:v>
      </x:c>
      <x:c r="C3031" s="2" t="str">
        <x:v>국외</x:v>
      </x:c>
      <x:c r="D3031" s="7" t="str">
        <x:v>대한민국이 지원하는 부룬디 고효율 쿡스토브 프로그램 - CPA1</x:v>
      </x:c>
      <x:c r="E3031" s="2" t="str">
        <x:v>616</x:v>
      </x:c>
      <x:c r="F3031" s="2" t="str">
        <x:v>2022-12-07</x:v>
      </x:c>
      <x:c r="G3031" s="2" t="str">
        <x:v>2022</x:v>
      </x:c>
      <x:c r="H3031" s="2" t="str">
        <x:v>12</x:v>
      </x:c>
      <x:c r="I3031" s="2" t="str">
        <x:v>심의승인</x:v>
      </x:c>
      <x:c r="J3031" s="2" t="str">
        <x:v>심의승인</x:v>
      </x:c>
      <x:c r="K3031" s="2" t="str">
        <x:f>IF(OR(J3031="심의승인",J3031="반려",J3031="반려완료",J3031="심의완료"),"종결 표시",IF(OR(J3031="기후부협의",J3031="문서재제출요청",J3031="보류",J3031="보완요청",J3031="보완완료",J3031="평가중",J3031="반려요청",J3031="평가필요",LEFT(J3031,5)="보완요청("),"미종결 표시","상태 확인 필요"))</x:f>
        <x:v>종결 표시</x:v>
      </x:c>
      <x:c r="L3031" s="2" t="str">
        <x:v>KRIC</x:v>
      </x:c>
      <x:c r="M3031" s="2"/>
      <x:c r="N3031" s="8" t="n">
        <x:f>DATE(2026,10,15)-DATE(2022,12,7)</x:f>
        <x:v>1408</x:v>
      </x:c>
      <x:c r="O3031" s="2"/>
      <x:c r="P3031" s="2"/>
      <x:c r="Q3031" s="2" t="str">
        <x:v>산업전환_외부사업관리Tool_260707_이너젠 수정_LJY_261013.xlsx</x:v>
      </x:c>
      <x:c r="R3031" s="2" t="str">
        <x:v>국외인증</x:v>
      </x:c>
      <x:c r="S3031" s="8" t="n">
        <x:v>618</x:v>
      </x:c>
      <x:c r="T3031" s="2" t="str">
        <x:v>(12/27)</x:v>
      </x:c>
      <x:c r="U3031" s="2" t="str">
        <x:v>2022 지정: (12/27) / 2023 지정: (2/17)</x:v>
      </x:c>
      <x:c r="V3031" s="2" t="str">
        <x:v>2023-06-22</x:v>
      </x:c>
      <x:c r="W3031" s="2" t="str"/>
      <x:c r="X3031" s="2" t="str">
        <x:v>종결 근거 보관</x:v>
      </x:c>
      <x:c r="Y3031" s="2" t="str">
        <x:v>ad210cd9ec132cfd447541c8984dc53d30aff0f4fb2dc92d254d49275cc55976</x:v>
      </x:c>
      <x:c r="Z3031" s="2" t="n">
        <x:f>SUBTOTAL(103,A3031)</x:f>
        <x:v>1</x:v>
      </x:c>
      <x:c r="AA3031" s="2" t="str">
        <x:f>IF(K3031&lt;&gt;"미종결 표시","대상 아님",IF(N3031="","신청일 확인",IF(NOT(ISNUMBER('종합 현황'!$H$5)),"관찰기준 확인",IF('종합 현황'!$H$5&lt;1,"관찰기준 확인",IF(N3031&gt;'종합 현황'!$H$5,"내부 관찰 대상","내부 관찰일 이하")))))</x:f>
        <x:v>대상 아님</x:v>
      </x:c>
      <x:c r="AB3031" s="2" t="str">
        <x:v>2022-12-07 10:12 - 신청
2023-01-06 15:47 - 문서재제출요청
2023-01-10 08:46 - 신청
2023-01-27 11:45 - 문서재제출요청
2023-01-31 14:45 - 신청
2023-02-02 09:11 - 문서재제출요청
2023-02-02 11:34 - 신청
2023-03-29 15:28 - 검토승인
2023-03-29 15:28 - 협의검토중
2023-05-04 11:11 - 협의통보
2023-06-22 16:27 - 심의승인</x:v>
      </x:c>
    </x:row>
    <x:row r="3032" ht="42" customHeight="1">
      <x:c r="A3032" s="2" t="str">
        <x:v>cc3862417fcfef7a98858abd</x:v>
      </x:c>
      <x:c r="B3032" s="2" t="str">
        <x:v>감축량 인증</x:v>
      </x:c>
      <x:c r="C3032" s="2" t="str">
        <x:v>국외</x:v>
      </x:c>
      <x:c r="D3032" s="7" t="str">
        <x:v>마다가스카르의 개선된 쿡스토브 프로젝트 by KCM - Wood#CPA-W-001</x:v>
      </x:c>
      <x:c r="E3032" s="2" t="str">
        <x:v>617</x:v>
      </x:c>
      <x:c r="F3032" s="2" t="str">
        <x:v>2022-12-09</x:v>
      </x:c>
      <x:c r="G3032" s="2" t="str">
        <x:v>2022</x:v>
      </x:c>
      <x:c r="H3032" s="2" t="str">
        <x:v>12</x:v>
      </x:c>
      <x:c r="I3032" s="2" t="str">
        <x:v>심의승인</x:v>
      </x:c>
      <x:c r="J3032" s="2" t="str">
        <x:v>심의승인</x:v>
      </x:c>
      <x:c r="K3032" s="2" t="str">
        <x:f>IF(OR(J3032="심의승인",J3032="반려",J3032="반려완료",J3032="심의완료"),"종결 표시",IF(OR(J3032="기후부협의",J3032="문서재제출요청",J3032="보류",J3032="보완요청",J3032="보완완료",J3032="평가중",J3032="반려요청",J3032="평가필요",LEFT(J3032,5)="보완요청("),"미종결 표시","상태 확인 필요"))</x:f>
        <x:v>종결 표시</x:v>
      </x:c>
      <x:c r="L3032" s="2" t="str">
        <x:v>KRIC</x:v>
      </x:c>
      <x:c r="M3032" s="2"/>
      <x:c r="N3032" s="8" t="n">
        <x:f>DATE(2026,10,15)-DATE(2022,12,9)</x:f>
        <x:v>1406</x:v>
      </x:c>
      <x:c r="O3032" s="2"/>
      <x:c r="P3032" s="2"/>
      <x:c r="Q3032" s="2" t="str">
        <x:v>산업전환_외부사업관리Tool_260707_이너젠 수정_LJY_261013.xlsx</x:v>
      </x:c>
      <x:c r="R3032" s="2" t="str">
        <x:v>국외인증</x:v>
      </x:c>
      <x:c r="S3032" s="8" t="n">
        <x:v>619</x:v>
      </x:c>
      <x:c r="T3032" s="2" t="str">
        <x:v>(12/27)</x:v>
      </x:c>
      <x:c r="U3032" s="2" t="str">
        <x:v>2022 지정: (12/27)</x:v>
      </x:c>
      <x:c r="V3032" s="2" t="str">
        <x:v>2023-06-22</x:v>
      </x:c>
      <x:c r="W3032" s="2" t="str"/>
      <x:c r="X3032" s="2" t="str">
        <x:v>종결 근거 보관</x:v>
      </x:c>
      <x:c r="Y3032" s="2" t="str">
        <x:v>ad210cd9ec132cfd447541c8984dc53d30aff0f4fb2dc92d254d49275cc55976</x:v>
      </x:c>
      <x:c r="Z3032" s="2" t="n">
        <x:f>SUBTOTAL(103,A3032)</x:f>
        <x:v>1</x:v>
      </x:c>
      <x:c r="AA3032" s="2" t="str">
        <x:f>IF(K3032&lt;&gt;"미종결 표시","대상 아님",IF(N3032="","신청일 확인",IF(NOT(ISNUMBER('종합 현황'!$H$5)),"관찰기준 확인",IF('종합 현황'!$H$5&lt;1,"관찰기준 확인",IF(N3032&gt;'종합 현황'!$H$5,"내부 관찰 대상","내부 관찰일 이하")))))</x:f>
        <x:v>대상 아님</x:v>
      </x:c>
      <x:c r="AB3032" s="2" t="str">
        <x:v>2022-12-09 10:09 - 신청
2023-02-07 19:32 - 문서재제출요청
2023-02-14 16:06 - 신청
2023-03-07 09:12 - 문서재제출요청
2023-03-07 09:50 - 신청
2023-03-29 15:42 - 검토승인
2023-03-29 15:56 - 협의검토중
2023-05-04 11:13 - 협의통보
2023-06-22 16:09 - 심의승인</x:v>
      </x:c>
    </x:row>
    <x:row r="3033" ht="42" customHeight="1">
      <x:c r="A3033" s="2" t="str">
        <x:v>7b0a61c072026a56e43aa548</x:v>
      </x:c>
      <x:c r="B3033" s="2" t="str">
        <x:v>감축량 인증</x:v>
      </x:c>
      <x:c r="C3033" s="2" t="str">
        <x:v>국외</x:v>
      </x:c>
      <x:c r="D3033" s="7" t="str">
        <x:v>마다가스카르의 개선된 쿡스토브 프로젝트 by KCM - Wood#CPA-W-002</x:v>
      </x:c>
      <x:c r="E3033" s="2" t="str">
        <x:v>618</x:v>
      </x:c>
      <x:c r="F3033" s="2" t="str">
        <x:v>2022-12-09</x:v>
      </x:c>
      <x:c r="G3033" s="2" t="str">
        <x:v>2022</x:v>
      </x:c>
      <x:c r="H3033" s="2" t="str">
        <x:v>12</x:v>
      </x:c>
      <x:c r="I3033" s="2" t="str">
        <x:v>심의승인</x:v>
      </x:c>
      <x:c r="J3033" s="2" t="str">
        <x:v>심의승인</x:v>
      </x:c>
      <x:c r="K3033" s="2" t="str">
        <x:f>IF(OR(J3033="심의승인",J3033="반려",J3033="반려완료",J3033="심의완료"),"종결 표시",IF(OR(J3033="기후부협의",J3033="문서재제출요청",J3033="보류",J3033="보완요청",J3033="보완완료",J3033="평가중",J3033="반려요청",J3033="평가필요",LEFT(J3033,5)="보완요청("),"미종결 표시","상태 확인 필요"))</x:f>
        <x:v>종결 표시</x:v>
      </x:c>
      <x:c r="L3033" s="2" t="str">
        <x:v>KRIC</x:v>
      </x:c>
      <x:c r="M3033" s="2"/>
      <x:c r="N3033" s="8" t="n">
        <x:f>DATE(2026,10,15)-DATE(2022,12,9)</x:f>
        <x:v>1406</x:v>
      </x:c>
      <x:c r="O3033" s="2"/>
      <x:c r="P3033" s="2"/>
      <x:c r="Q3033" s="2" t="str">
        <x:v>산업전환_외부사업관리Tool_260707_이너젠 수정_LJY_261013.xlsx</x:v>
      </x:c>
      <x:c r="R3033" s="2" t="str">
        <x:v>국외인증</x:v>
      </x:c>
      <x:c r="S3033" s="8" t="n">
        <x:v>620</x:v>
      </x:c>
      <x:c r="T3033" s="2" t="str">
        <x:v>(12/27)</x:v>
      </x:c>
      <x:c r="U3033" s="2" t="str">
        <x:v>2022 지정: (12/27)</x:v>
      </x:c>
      <x:c r="V3033" s="2" t="str">
        <x:v>2023-06-22</x:v>
      </x:c>
      <x:c r="W3033" s="2" t="str"/>
      <x:c r="X3033" s="2" t="str">
        <x:v>종결 근거 보관</x:v>
      </x:c>
      <x:c r="Y3033" s="2" t="str">
        <x:v>ad210cd9ec132cfd447541c8984dc53d30aff0f4fb2dc92d254d49275cc55976</x:v>
      </x:c>
      <x:c r="Z3033" s="2" t="n">
        <x:f>SUBTOTAL(103,A3033)</x:f>
        <x:v>1</x:v>
      </x:c>
      <x:c r="AA3033" s="2" t="str">
        <x:f>IF(K3033&lt;&gt;"미종결 표시","대상 아님",IF(N3033="","신청일 확인",IF(NOT(ISNUMBER('종합 현황'!$H$5)),"관찰기준 확인",IF('종합 현황'!$H$5&lt;1,"관찰기준 확인",IF(N3033&gt;'종합 현황'!$H$5,"내부 관찰 대상","내부 관찰일 이하")))))</x:f>
        <x:v>대상 아님</x:v>
      </x:c>
      <x:c r="AB3033" s="2" t="str">
        <x:v>2022-12-09 10:20 - 신청
2023-02-07 19:34 - 문서재제출요청
2023-02-14 16:06 - 신청
2023-03-07 09:13 - 문서재제출요청
2023-03-07 09:51 - 신청
2023-03-29 15:43 - 검토승인
2023-03-29 15:56 - 협의검토중
2023-05-04 11:12 - 협의통보
2023-06-22 16:10 - 심의승인</x:v>
      </x:c>
    </x:row>
    <x:row r="3034" ht="42" customHeight="1">
      <x:c r="A3034" s="2" t="str">
        <x:v>ef6abbbd16631c36df3290b6</x:v>
      </x:c>
      <x:c r="B3034" s="2" t="str">
        <x:v>감축량 인증</x:v>
      </x:c>
      <x:c r="C3034" s="2" t="str">
        <x:v>국외</x:v>
      </x:c>
      <x:c r="D3034" s="7" t="str">
        <x:v>마다가스카르의 개선된 쿡스토브 프로젝트 by KCM - Wood#CPA-W-003</x:v>
      </x:c>
      <x:c r="E3034" s="2" t="str">
        <x:v>619</x:v>
      </x:c>
      <x:c r="F3034" s="2" t="str">
        <x:v>2022-12-09</x:v>
      </x:c>
      <x:c r="G3034" s="2" t="str">
        <x:v>2022</x:v>
      </x:c>
      <x:c r="H3034" s="2" t="str">
        <x:v>12</x:v>
      </x:c>
      <x:c r="I3034" s="2" t="str">
        <x:v>심의승인</x:v>
      </x:c>
      <x:c r="J3034" s="2" t="str">
        <x:v>심의승인</x:v>
      </x:c>
      <x:c r="K3034" s="2" t="str">
        <x:f>IF(OR(J3034="심의승인",J3034="반려",J3034="반려완료",J3034="심의완료"),"종결 표시",IF(OR(J3034="기후부협의",J3034="문서재제출요청",J3034="보류",J3034="보완요청",J3034="보완완료",J3034="평가중",J3034="반려요청",J3034="평가필요",LEFT(J3034,5)="보완요청("),"미종결 표시","상태 확인 필요"))</x:f>
        <x:v>종결 표시</x:v>
      </x:c>
      <x:c r="L3034" s="2" t="str">
        <x:v>KRIC</x:v>
      </x:c>
      <x:c r="M3034" s="2"/>
      <x:c r="N3034" s="8" t="n">
        <x:f>DATE(2026,10,15)-DATE(2022,12,9)</x:f>
        <x:v>1406</x:v>
      </x:c>
      <x:c r="O3034" s="2"/>
      <x:c r="P3034" s="2"/>
      <x:c r="Q3034" s="2" t="str">
        <x:v>산업전환_외부사업관리Tool_260707_이너젠 수정_LJY_261013.xlsx</x:v>
      </x:c>
      <x:c r="R3034" s="2" t="str">
        <x:v>국외인증</x:v>
      </x:c>
      <x:c r="S3034" s="8" t="n">
        <x:v>621</x:v>
      </x:c>
      <x:c r="T3034" s="2" t="str">
        <x:v>(12/27)</x:v>
      </x:c>
      <x:c r="U3034" s="2" t="str">
        <x:v>2022 지정: (12/27)</x:v>
      </x:c>
      <x:c r="V3034" s="2" t="str">
        <x:v>2023-06-22</x:v>
      </x:c>
      <x:c r="W3034" s="2" t="str"/>
      <x:c r="X3034" s="2" t="str">
        <x:v>종결 근거 보관</x:v>
      </x:c>
      <x:c r="Y3034" s="2" t="str">
        <x:v>ad210cd9ec132cfd447541c8984dc53d30aff0f4fb2dc92d254d49275cc55976</x:v>
      </x:c>
      <x:c r="Z3034" s="2" t="n">
        <x:f>SUBTOTAL(103,A3034)</x:f>
        <x:v>1</x:v>
      </x:c>
      <x:c r="AA3034" s="2" t="str">
        <x:f>IF(K3034&lt;&gt;"미종결 표시","대상 아님",IF(N3034="","신청일 확인",IF(NOT(ISNUMBER('종합 현황'!$H$5)),"관찰기준 확인",IF('종합 현황'!$H$5&lt;1,"관찰기준 확인",IF(N3034&gt;'종합 현황'!$H$5,"내부 관찰 대상","내부 관찰일 이하")))))</x:f>
        <x:v>대상 아님</x:v>
      </x:c>
      <x:c r="AB3034" s="2" t="str">
        <x:v>2022-12-09 10:26 - 신청
2023-02-14 16:36 - 문서재제출요청
2023-02-14 16:52 - 신청
2023-03-07 09:13 - 문서재제출요청
2023-03-07 09:52 - 신청
2023-03-29 15:45 - 검토승인
2023-03-29 15:56 - 협의검토중
2023-05-04 11:12 - 협의통보
2023-06-22 16:10 - 심의승인</x:v>
      </x:c>
    </x:row>
    <x:row r="3035" ht="42" customHeight="1">
      <x:c r="A3035" s="2" t="str">
        <x:v>332aab98b290938507822ca4</x:v>
      </x:c>
      <x:c r="B3035" s="2" t="str">
        <x:v>감축량 인증</x:v>
      </x:c>
      <x:c r="C3035" s="2" t="str">
        <x:v>국외</x:v>
      </x:c>
      <x:c r="D3035" s="7" t="str">
        <x:v>마다가스카르의 개선된 쿡스토브 프로젝트 by KCM - Wood#CPA-W-004</x:v>
      </x:c>
      <x:c r="E3035" s="2" t="str">
        <x:v>620</x:v>
      </x:c>
      <x:c r="F3035" s="2" t="str">
        <x:v>2022-12-09</x:v>
      </x:c>
      <x:c r="G3035" s="2" t="str">
        <x:v>2022</x:v>
      </x:c>
      <x:c r="H3035" s="2" t="str">
        <x:v>12</x:v>
      </x:c>
      <x:c r="I3035" s="2" t="str">
        <x:v>심의승인</x:v>
      </x:c>
      <x:c r="J3035" s="2" t="str">
        <x:v>심의승인</x:v>
      </x:c>
      <x:c r="K3035" s="2" t="str">
        <x:f>IF(OR(J3035="심의승인",J3035="반려",J3035="반려완료",J3035="심의완료"),"종결 표시",IF(OR(J3035="기후부협의",J3035="문서재제출요청",J3035="보류",J3035="보완요청",J3035="보완완료",J3035="평가중",J3035="반려요청",J3035="평가필요",LEFT(J3035,5)="보완요청("),"미종결 표시","상태 확인 필요"))</x:f>
        <x:v>종결 표시</x:v>
      </x:c>
      <x:c r="L3035" s="2" t="str">
        <x:v>KRIC</x:v>
      </x:c>
      <x:c r="M3035" s="2"/>
      <x:c r="N3035" s="8" t="n">
        <x:f>DATE(2026,10,15)-DATE(2022,12,9)</x:f>
        <x:v>1406</x:v>
      </x:c>
      <x:c r="O3035" s="2"/>
      <x:c r="P3035" s="2"/>
      <x:c r="Q3035" s="2" t="str">
        <x:v>산업전환_외부사업관리Tool_260707_이너젠 수정_LJY_261013.xlsx</x:v>
      </x:c>
      <x:c r="R3035" s="2" t="str">
        <x:v>국외인증</x:v>
      </x:c>
      <x:c r="S3035" s="8" t="n">
        <x:v>622</x:v>
      </x:c>
      <x:c r="T3035" s="2" t="str">
        <x:v>(12/27)</x:v>
      </x:c>
      <x:c r="U3035" s="2" t="str">
        <x:v>2022 지정: (12/27)</x:v>
      </x:c>
      <x:c r="V3035" s="2" t="str">
        <x:v>2023-06-22</x:v>
      </x:c>
      <x:c r="W3035" s="2" t="str"/>
      <x:c r="X3035" s="2" t="str">
        <x:v>종결 근거 보관</x:v>
      </x:c>
      <x:c r="Y3035" s="2" t="str">
        <x:v>ad210cd9ec132cfd447541c8984dc53d30aff0f4fb2dc92d254d49275cc55976</x:v>
      </x:c>
      <x:c r="Z3035" s="2" t="n">
        <x:f>SUBTOTAL(103,A3035)</x:f>
        <x:v>1</x:v>
      </x:c>
      <x:c r="AA3035" s="2" t="str">
        <x:f>IF(K3035&lt;&gt;"미종결 표시","대상 아님",IF(N3035="","신청일 확인",IF(NOT(ISNUMBER('종합 현황'!$H$5)),"관찰기준 확인",IF('종합 현황'!$H$5&lt;1,"관찰기준 확인",IF(N3035&gt;'종합 현황'!$H$5,"내부 관찰 대상","내부 관찰일 이하")))))</x:f>
        <x:v>대상 아님</x:v>
      </x:c>
      <x:c r="AB3035" s="2" t="str">
        <x:v>2022-12-09 11:21 - 신청
2023-02-07 19:38 - 문서재제출요청
2023-02-14 16:07 - 신청
2023-03-07 09:13 - 문서재제출요청
2023-03-07 09:52 - 신청
2023-03-29 15:47 - 검토승인
2023-03-29 15:56 - 협의검토중
2023-05-04 11:12 - 협의통보
2023-06-22 16:11 - 심의승인</x:v>
      </x:c>
    </x:row>
    <x:row r="3036" ht="42" customHeight="1">
      <x:c r="A3036" s="2" t="str">
        <x:v>615881398ee1ac7d7187585d</x:v>
      </x:c>
      <x:c r="B3036" s="2" t="str">
        <x:v>감축량 인증</x:v>
      </x:c>
      <x:c r="C3036" s="2" t="str">
        <x:v>국외</x:v>
      </x:c>
      <x:c r="D3036" s="7" t="str">
        <x:v>마다가스카르의 개선된 쿡스토브 프로젝트 by KCM - Wood#CPA-W-005</x:v>
      </x:c>
      <x:c r="E3036" s="2" t="str">
        <x:v>621</x:v>
      </x:c>
      <x:c r="F3036" s="2" t="str">
        <x:v>2022-12-09</x:v>
      </x:c>
      <x:c r="G3036" s="2" t="str">
        <x:v>2022</x:v>
      </x:c>
      <x:c r="H3036" s="2" t="str">
        <x:v>12</x:v>
      </x:c>
      <x:c r="I3036" s="2" t="str">
        <x:v>심의승인</x:v>
      </x:c>
      <x:c r="J3036" s="2" t="str">
        <x:v>심의승인</x:v>
      </x:c>
      <x:c r="K3036" s="2" t="str">
        <x:f>IF(OR(J3036="심의승인",J3036="반려",J3036="반려완료",J3036="심의완료"),"종결 표시",IF(OR(J3036="기후부협의",J3036="문서재제출요청",J3036="보류",J3036="보완요청",J3036="보완완료",J3036="평가중",J3036="반려요청",J3036="평가필요",LEFT(J3036,5)="보완요청("),"미종결 표시","상태 확인 필요"))</x:f>
        <x:v>종결 표시</x:v>
      </x:c>
      <x:c r="L3036" s="2" t="str">
        <x:v>KRIC</x:v>
      </x:c>
      <x:c r="M3036" s="2"/>
      <x:c r="N3036" s="8" t="n">
        <x:f>DATE(2026,10,15)-DATE(2022,12,9)</x:f>
        <x:v>1406</x:v>
      </x:c>
      <x:c r="O3036" s="2"/>
      <x:c r="P3036" s="2"/>
      <x:c r="Q3036" s="2" t="str">
        <x:v>산업전환_외부사업관리Tool_260707_이너젠 수정_LJY_261013.xlsx</x:v>
      </x:c>
      <x:c r="R3036" s="2" t="str">
        <x:v>국외인증</x:v>
      </x:c>
      <x:c r="S3036" s="8" t="n">
        <x:v>623</x:v>
      </x:c>
      <x:c r="T3036" s="2" t="str">
        <x:v>(12/27)</x:v>
      </x:c>
      <x:c r="U3036" s="2" t="str">
        <x:v>2022 지정: (12/27)</x:v>
      </x:c>
      <x:c r="V3036" s="2" t="str">
        <x:v>2023-06-22</x:v>
      </x:c>
      <x:c r="W3036" s="2" t="str"/>
      <x:c r="X3036" s="2" t="str">
        <x:v>종결 근거 보관</x:v>
      </x:c>
      <x:c r="Y3036" s="2" t="str">
        <x:v>ad210cd9ec132cfd447541c8984dc53d30aff0f4fb2dc92d254d49275cc55976</x:v>
      </x:c>
      <x:c r="Z3036" s="2" t="n">
        <x:f>SUBTOTAL(103,A3036)</x:f>
        <x:v>1</x:v>
      </x:c>
      <x:c r="AA3036" s="2" t="str">
        <x:f>IF(K3036&lt;&gt;"미종결 표시","대상 아님",IF(N3036="","신청일 확인",IF(NOT(ISNUMBER('종합 현황'!$H$5)),"관찰기준 확인",IF('종합 현황'!$H$5&lt;1,"관찰기준 확인",IF(N3036&gt;'종합 현황'!$H$5,"내부 관찰 대상","내부 관찰일 이하")))))</x:f>
        <x:v>대상 아님</x:v>
      </x:c>
      <x:c r="AB3036" s="2" t="str">
        <x:v>2022-12-09 12:00 - 신청
2023-02-07 19:39 - 문서재제출요청
2023-02-14 16:08 - 신청
2023-03-07 09:14 - 문서재제출요청
2023-03-07 09:53 - 신청
2023-03-29 15:48 - 검토승인
2023-03-29 15:56 - 협의검토중
2023-05-04 11:12 - 협의통보
2023-06-22 16:11 - 심의승인</x:v>
      </x:c>
    </x:row>
    <x:row r="3037" ht="42" customHeight="1">
      <x:c r="A3037" s="2" t="str">
        <x:v>f207a2f4f4d2b1ca6d280f4c</x:v>
      </x:c>
      <x:c r="B3037" s="2" t="str">
        <x:v>감축량 인증</x:v>
      </x:c>
      <x:c r="C3037" s="2" t="str">
        <x:v>국외</x:v>
      </x:c>
      <x:c r="D3037" s="7" t="str">
        <x:v>마다가스카르의 개선된 쿡스토브 프로젝트 by KCM - Wood#CPA-W-006</x:v>
      </x:c>
      <x:c r="E3037" s="2" t="str">
        <x:v>622</x:v>
      </x:c>
      <x:c r="F3037" s="2" t="str">
        <x:v>2022-12-09</x:v>
      </x:c>
      <x:c r="G3037" s="2" t="str">
        <x:v>2022</x:v>
      </x:c>
      <x:c r="H3037" s="2" t="str">
        <x:v>12</x:v>
      </x:c>
      <x:c r="I3037" s="2" t="str">
        <x:v>심의승인</x:v>
      </x:c>
      <x:c r="J3037" s="2" t="str">
        <x:v>심의승인</x:v>
      </x:c>
      <x:c r="K3037" s="2" t="str">
        <x:f>IF(OR(J3037="심의승인",J3037="반려",J3037="반려완료",J3037="심의완료"),"종결 표시",IF(OR(J3037="기후부협의",J3037="문서재제출요청",J3037="보류",J3037="보완요청",J3037="보완완료",J3037="평가중",J3037="반려요청",J3037="평가필요",LEFT(J3037,5)="보완요청("),"미종결 표시","상태 확인 필요"))</x:f>
        <x:v>종결 표시</x:v>
      </x:c>
      <x:c r="L3037" s="2" t="str">
        <x:v>KRIC</x:v>
      </x:c>
      <x:c r="M3037" s="2"/>
      <x:c r="N3037" s="8" t="n">
        <x:f>DATE(2026,10,15)-DATE(2022,12,9)</x:f>
        <x:v>1406</x:v>
      </x:c>
      <x:c r="O3037" s="2"/>
      <x:c r="P3037" s="2"/>
      <x:c r="Q3037" s="2" t="str">
        <x:v>산업전환_외부사업관리Tool_260707_이너젠 수정_LJY_261013.xlsx</x:v>
      </x:c>
      <x:c r="R3037" s="2" t="str">
        <x:v>국외인증</x:v>
      </x:c>
      <x:c r="S3037" s="8" t="n">
        <x:v>624</x:v>
      </x:c>
      <x:c r="T3037" s="2" t="str">
        <x:v>(12/27)</x:v>
      </x:c>
      <x:c r="U3037" s="2" t="str">
        <x:v>2022 지정: (12/27)</x:v>
      </x:c>
      <x:c r="V3037" s="2" t="str">
        <x:v>2023-06-22</x:v>
      </x:c>
      <x:c r="W3037" s="2" t="str"/>
      <x:c r="X3037" s="2" t="str">
        <x:v>종결 근거 보관</x:v>
      </x:c>
      <x:c r="Y3037" s="2" t="str">
        <x:v>ad210cd9ec132cfd447541c8984dc53d30aff0f4fb2dc92d254d49275cc55976</x:v>
      </x:c>
      <x:c r="Z3037" s="2" t="n">
        <x:f>SUBTOTAL(103,A3037)</x:f>
        <x:v>1</x:v>
      </x:c>
      <x:c r="AA3037" s="2" t="str">
        <x:f>IF(K3037&lt;&gt;"미종결 표시","대상 아님",IF(N3037="","신청일 확인",IF(NOT(ISNUMBER('종합 현황'!$H$5)),"관찰기준 확인",IF('종합 현황'!$H$5&lt;1,"관찰기준 확인",IF(N3037&gt;'종합 현황'!$H$5,"내부 관찰 대상","내부 관찰일 이하")))))</x:f>
        <x:v>대상 아님</x:v>
      </x:c>
      <x:c r="AB3037" s="2" t="str">
        <x:v>2022-12-09 12:09 - 신청
2023-02-07 19:41 - 문서재제출요청
2023-02-14 16:08 - 신청
2023-03-07 09:14 - 문서재제출요청
2023-03-07 09:54 - 신청
2023-03-29 15:49 - 검토승인
2023-03-29 15:56 - 협의검토중
2023-05-04 11:12 - 협의통보
2023-06-22 16:12 - 심의승인</x:v>
      </x:c>
    </x:row>
    <x:row r="3038" ht="42" customHeight="1">
      <x:c r="A3038" s="2" t="str">
        <x:v>dcffcec27c6c6ee0dca6c820</x:v>
      </x:c>
      <x:c r="B3038" s="2" t="str">
        <x:v>감축량 인증</x:v>
      </x:c>
      <x:c r="C3038" s="2" t="str">
        <x:v>국외</x:v>
      </x:c>
      <x:c r="D3038" s="7" t="str">
        <x:v>마다가스카르의 개선된 쿡스토브 프로젝트 by KCM - Wood#CPA-W-007</x:v>
      </x:c>
      <x:c r="E3038" s="2" t="str">
        <x:v>623</x:v>
      </x:c>
      <x:c r="F3038" s="2" t="str">
        <x:v>2022-12-09</x:v>
      </x:c>
      <x:c r="G3038" s="2" t="str">
        <x:v>2022</x:v>
      </x:c>
      <x:c r="H3038" s="2" t="str">
        <x:v>12</x:v>
      </x:c>
      <x:c r="I3038" s="2" t="str">
        <x:v>심의승인</x:v>
      </x:c>
      <x:c r="J3038" s="2" t="str">
        <x:v>심의승인</x:v>
      </x:c>
      <x:c r="K3038" s="2" t="str">
        <x:f>IF(OR(J3038="심의승인",J3038="반려",J3038="반려완료",J3038="심의완료"),"종결 표시",IF(OR(J3038="기후부협의",J3038="문서재제출요청",J3038="보류",J3038="보완요청",J3038="보완완료",J3038="평가중",J3038="반려요청",J3038="평가필요",LEFT(J3038,5)="보완요청("),"미종결 표시","상태 확인 필요"))</x:f>
        <x:v>종결 표시</x:v>
      </x:c>
      <x:c r="L3038" s="2" t="str">
        <x:v>KRIC</x:v>
      </x:c>
      <x:c r="M3038" s="2"/>
      <x:c r="N3038" s="8" t="n">
        <x:f>DATE(2026,10,15)-DATE(2022,12,9)</x:f>
        <x:v>1406</x:v>
      </x:c>
      <x:c r="O3038" s="2"/>
      <x:c r="P3038" s="2"/>
      <x:c r="Q3038" s="2" t="str">
        <x:v>산업전환_외부사업관리Tool_260707_이너젠 수정_LJY_261013.xlsx</x:v>
      </x:c>
      <x:c r="R3038" s="2" t="str">
        <x:v>국외인증</x:v>
      </x:c>
      <x:c r="S3038" s="8" t="n">
        <x:v>625</x:v>
      </x:c>
      <x:c r="T3038" s="2" t="str">
        <x:v>(12/27)</x:v>
      </x:c>
      <x:c r="U3038" s="2" t="str">
        <x:v>2022 지정: (12/27)</x:v>
      </x:c>
      <x:c r="V3038" s="2" t="str">
        <x:v>2023-06-22</x:v>
      </x:c>
      <x:c r="W3038" s="2" t="str"/>
      <x:c r="X3038" s="2" t="str">
        <x:v>종결 근거 보관</x:v>
      </x:c>
      <x:c r="Y3038" s="2" t="str">
        <x:v>ad210cd9ec132cfd447541c8984dc53d30aff0f4fb2dc92d254d49275cc55976</x:v>
      </x:c>
      <x:c r="Z3038" s="2" t="n">
        <x:f>SUBTOTAL(103,A3038)</x:f>
        <x:v>1</x:v>
      </x:c>
      <x:c r="AA3038" s="2" t="str">
        <x:f>IF(K3038&lt;&gt;"미종결 표시","대상 아님",IF(N3038="","신청일 확인",IF(NOT(ISNUMBER('종합 현황'!$H$5)),"관찰기준 확인",IF('종합 현황'!$H$5&lt;1,"관찰기준 확인",IF(N3038&gt;'종합 현황'!$H$5,"내부 관찰 대상","내부 관찰일 이하")))))</x:f>
        <x:v>대상 아님</x:v>
      </x:c>
      <x:c r="AB3038" s="2" t="str">
        <x:v>2022-12-09 12:17 - 신청
2023-02-07 19:42 - 문서재제출요청
2023-02-14 16:08 - 신청
2023-03-07 09:14 - 문서재제출요청
2023-03-07 09:59 - 신청
2023-03-29 15:54 - 검토승인
2023-03-29 15:56 - 협의검토중
2023-05-04 11:12 - 협의통보
2023-06-22 16:12 - 심의승인</x:v>
      </x:c>
    </x:row>
    <x:row r="3039" ht="42" customHeight="1">
      <x:c r="A3039" s="2" t="str">
        <x:v>3580aa9a6316d2d2937fd9b9</x:v>
      </x:c>
      <x:c r="B3039" s="2" t="str">
        <x:v>감축량 인증</x:v>
      </x:c>
      <x:c r="C3039" s="2" t="str">
        <x:v>국외</x:v>
      </x:c>
      <x:c r="D3039" s="7" t="str">
        <x:v>마다가스카르의 개선된 쿡스토브 프로젝트 by KCM - Wood#CPA-W008</x:v>
      </x:c>
      <x:c r="E3039" s="2" t="str">
        <x:v>624</x:v>
      </x:c>
      <x:c r="F3039" s="2" t="str">
        <x:v>2022-12-09</x:v>
      </x:c>
      <x:c r="G3039" s="2" t="str">
        <x:v>2022</x:v>
      </x:c>
      <x:c r="H3039" s="2" t="str">
        <x:v>12</x:v>
      </x:c>
      <x:c r="I3039" s="2" t="str">
        <x:v>심의승인</x:v>
      </x:c>
      <x:c r="J3039" s="2" t="str">
        <x:v>심의승인</x:v>
      </x:c>
      <x:c r="K3039" s="2" t="str">
        <x:f>IF(OR(J3039="심의승인",J3039="반려",J3039="반려완료",J3039="심의완료"),"종결 표시",IF(OR(J3039="기후부협의",J3039="문서재제출요청",J3039="보류",J3039="보완요청",J3039="보완완료",J3039="평가중",J3039="반려요청",J3039="평가필요",LEFT(J3039,5)="보완요청("),"미종결 표시","상태 확인 필요"))</x:f>
        <x:v>종결 표시</x:v>
      </x:c>
      <x:c r="L3039" s="2" t="str">
        <x:v>KRIC</x:v>
      </x:c>
      <x:c r="M3039" s="2"/>
      <x:c r="N3039" s="8" t="n">
        <x:f>DATE(2026,10,15)-DATE(2022,12,9)</x:f>
        <x:v>1406</x:v>
      </x:c>
      <x:c r="O3039" s="2"/>
      <x:c r="P3039" s="2"/>
      <x:c r="Q3039" s="2" t="str">
        <x:v>산업전환_외부사업관리Tool_260707_이너젠 수정_LJY_261013.xlsx</x:v>
      </x:c>
      <x:c r="R3039" s="2" t="str">
        <x:v>국외인증</x:v>
      </x:c>
      <x:c r="S3039" s="8" t="n">
        <x:v>626</x:v>
      </x:c>
      <x:c r="T3039" s="2" t="str">
        <x:v>(12/27)</x:v>
      </x:c>
      <x:c r="U3039" s="2" t="str">
        <x:v>2022 지정: (12/27)</x:v>
      </x:c>
      <x:c r="V3039" s="2" t="str">
        <x:v>2023-06-22</x:v>
      </x:c>
      <x:c r="W3039" s="2" t="str"/>
      <x:c r="X3039" s="2" t="str">
        <x:v>종결 근거 보관</x:v>
      </x:c>
      <x:c r="Y3039" s="2" t="str">
        <x:v>ad210cd9ec132cfd447541c8984dc53d30aff0f4fb2dc92d254d49275cc55976</x:v>
      </x:c>
      <x:c r="Z3039" s="2" t="n">
        <x:f>SUBTOTAL(103,A3039)</x:f>
        <x:v>1</x:v>
      </x:c>
      <x:c r="AA3039" s="2" t="str">
        <x:f>IF(K3039&lt;&gt;"미종결 표시","대상 아님",IF(N3039="","신청일 확인",IF(NOT(ISNUMBER('종합 현황'!$H$5)),"관찰기준 확인",IF('종합 현황'!$H$5&lt;1,"관찰기준 확인",IF(N3039&gt;'종합 현황'!$H$5,"내부 관찰 대상","내부 관찰일 이하")))))</x:f>
        <x:v>대상 아님</x:v>
      </x:c>
      <x:c r="AB3039" s="2" t="str">
        <x:v>2022-12-09 12:37 - 신청
2023-02-07 19:44 - 문서재제출요청
2023-02-14 16:09 - 신청
2023-03-07 09:15 - 문서재제출요청
2023-03-07 10:00 - 신청
2023-03-31 14:42 - 검토승인
2023-04-03 16:06 - 협의검토중
2023-05-04 11:12 - 협의통보
2023-06-22 16:13 - 심의승인</x:v>
      </x:c>
    </x:row>
    <x:row r="3040" ht="42" customHeight="1">
      <x:c r="A3040" s="2" t="str">
        <x:v>b185bfce922ae60573cafb89</x:v>
      </x:c>
      <x:c r="B3040" s="2" t="str">
        <x:v>감축량 인증</x:v>
      </x:c>
      <x:c r="C3040" s="2" t="str">
        <x:v>국외</x:v>
      </x:c>
      <x:c r="D3040" s="7" t="str">
        <x:v>마다가스카르의 개선된 쿡스토브 프로젝트 by KCM - Wood#CPA-W009</x:v>
      </x:c>
      <x:c r="E3040" s="2" t="str">
        <x:v>625</x:v>
      </x:c>
      <x:c r="F3040" s="2" t="str">
        <x:v>2022-12-09</x:v>
      </x:c>
      <x:c r="G3040" s="2" t="str">
        <x:v>2022</x:v>
      </x:c>
      <x:c r="H3040" s="2" t="str">
        <x:v>12</x:v>
      </x:c>
      <x:c r="I3040" s="2" t="str">
        <x:v>심의승인</x:v>
      </x:c>
      <x:c r="J3040" s="2" t="str">
        <x:v>심의승인</x:v>
      </x:c>
      <x:c r="K3040" s="2" t="str">
        <x:f>IF(OR(J3040="심의승인",J3040="반려",J3040="반려완료",J3040="심의완료"),"종결 표시",IF(OR(J3040="기후부협의",J3040="문서재제출요청",J3040="보류",J3040="보완요청",J3040="보완완료",J3040="평가중",J3040="반려요청",J3040="평가필요",LEFT(J3040,5)="보완요청("),"미종결 표시","상태 확인 필요"))</x:f>
        <x:v>종결 표시</x:v>
      </x:c>
      <x:c r="L3040" s="2" t="str">
        <x:v>KRIC</x:v>
      </x:c>
      <x:c r="M3040" s="2"/>
      <x:c r="N3040" s="8" t="n">
        <x:f>DATE(2026,10,15)-DATE(2022,12,9)</x:f>
        <x:v>1406</x:v>
      </x:c>
      <x:c r="O3040" s="2"/>
      <x:c r="P3040" s="2"/>
      <x:c r="Q3040" s="2" t="str">
        <x:v>산업전환_외부사업관리Tool_260707_이너젠 수정_LJY_261013.xlsx</x:v>
      </x:c>
      <x:c r="R3040" s="2" t="str">
        <x:v>국외인증</x:v>
      </x:c>
      <x:c r="S3040" s="8" t="n">
        <x:v>627</x:v>
      </x:c>
      <x:c r="T3040" s="2" t="str">
        <x:v>(12/27)</x:v>
      </x:c>
      <x:c r="U3040" s="2" t="str">
        <x:v>2022 지정: (12/27)</x:v>
      </x:c>
      <x:c r="V3040" s="2" t="str">
        <x:v>2023-06-22</x:v>
      </x:c>
      <x:c r="W3040" s="2" t="str"/>
      <x:c r="X3040" s="2" t="str">
        <x:v>종결 근거 보관</x:v>
      </x:c>
      <x:c r="Y3040" s="2" t="str">
        <x:v>ad210cd9ec132cfd447541c8984dc53d30aff0f4fb2dc92d254d49275cc55976</x:v>
      </x:c>
      <x:c r="Z3040" s="2" t="n">
        <x:f>SUBTOTAL(103,A3040)</x:f>
        <x:v>1</x:v>
      </x:c>
      <x:c r="AA3040" s="2" t="str">
        <x:f>IF(K3040&lt;&gt;"미종결 표시","대상 아님",IF(N3040="","신청일 확인",IF(NOT(ISNUMBER('종합 현황'!$H$5)),"관찰기준 확인",IF('종합 현황'!$H$5&lt;1,"관찰기준 확인",IF(N3040&gt;'종합 현황'!$H$5,"내부 관찰 대상","내부 관찰일 이하")))))</x:f>
        <x:v>대상 아님</x:v>
      </x:c>
      <x:c r="AB3040" s="2" t="str">
        <x:v>2022-12-09 13:09 - 신청
2023-02-07 19:52 - 문서재제출요청
2023-02-14 16:09 - 신청
2023-03-07 09:15 - 문서재제출요청
2023-03-07 10:01 - 신청
2023-03-31 14:42 - 검토승인
2023-04-03 16:06 - 협의검토중
2023-05-04 11:12 - 협의통보
2023-06-22 16:13 - 심의승인</x:v>
      </x:c>
    </x:row>
    <x:row r="3041" ht="42" customHeight="1">
      <x:c r="A3041" s="2" t="str">
        <x:v>613e1fb6738c4f65e2498ea7</x:v>
      </x:c>
      <x:c r="B3041" s="2" t="str">
        <x:v>감축량 인증</x:v>
      </x:c>
      <x:c r="C3041" s="2" t="str">
        <x:v>국외</x:v>
      </x:c>
      <x:c r="D3041" s="7" t="str">
        <x:v>왐푸 수력발전사업</x:v>
      </x:c>
      <x:c r="E3041" s="2" t="str">
        <x:v>626</x:v>
      </x:c>
      <x:c r="F3041" s="2" t="str">
        <x:v>2022-12-09</x:v>
      </x:c>
      <x:c r="G3041" s="2" t="str">
        <x:v>2022</x:v>
      </x:c>
      <x:c r="H3041" s="2" t="str">
        <x:v>12</x:v>
      </x:c>
      <x:c r="I3041" s="2" t="str">
        <x:v>심의승인</x:v>
      </x:c>
      <x:c r="J3041" s="2" t="str">
        <x:v>심의승인</x:v>
      </x:c>
      <x:c r="K3041" s="2" t="str">
        <x:f>IF(OR(J3041="심의승인",J3041="반려",J3041="반려완료",J3041="심의완료"),"종결 표시",IF(OR(J3041="기후부협의",J3041="문서재제출요청",J3041="보류",J3041="보완요청",J3041="보완완료",J3041="평가중",J3041="반려요청",J3041="평가필요",LEFT(J3041,5)="보완요청("),"미종결 표시","상태 확인 필요"))</x:f>
        <x:v>종결 표시</x:v>
      </x:c>
      <x:c r="L3041" s="2" t="str">
        <x:v>KRIC</x:v>
      </x:c>
      <x:c r="M3041" s="2"/>
      <x:c r="N3041" s="8" t="n">
        <x:f>DATE(2026,10,15)-DATE(2022,12,9)</x:f>
        <x:v>1406</x:v>
      </x:c>
      <x:c r="O3041" s="2"/>
      <x:c r="P3041" s="2"/>
      <x:c r="Q3041" s="2" t="str">
        <x:v>산업전환_외부사업관리Tool_260707_이너젠 수정_LJY_261013.xlsx</x:v>
      </x:c>
      <x:c r="R3041" s="2" t="str">
        <x:v>국외인증</x:v>
      </x:c>
      <x:c r="S3041" s="8" t="n">
        <x:v>628</x:v>
      </x:c>
      <x:c r="T3041" s="2" t="str">
        <x:v>(12/27)</x:v>
      </x:c>
      <x:c r="U3041" s="2" t="str">
        <x:v>2022 지정: (12/27) / 2023 지정: (3/13)</x:v>
      </x:c>
      <x:c r="V3041" s="2" t="str">
        <x:v>2023-12-15</x:v>
      </x:c>
      <x:c r="W3041" s="2" t="str"/>
      <x:c r="X3041" s="2" t="str">
        <x:v>종결 근거 보관</x:v>
      </x:c>
      <x:c r="Y3041" s="2" t="str">
        <x:v>ad210cd9ec132cfd447541c8984dc53d30aff0f4fb2dc92d254d49275cc55976</x:v>
      </x:c>
      <x:c r="Z3041" s="2" t="n">
        <x:f>SUBTOTAL(103,A3041)</x:f>
        <x:v>1</x:v>
      </x:c>
      <x:c r="AA3041" s="2" t="str">
        <x:f>IF(K3041&lt;&gt;"미종결 표시","대상 아님",IF(N3041="","신청일 확인",IF(NOT(ISNUMBER('종합 현황'!$H$5)),"관찰기준 확인",IF('종합 현황'!$H$5&lt;1,"관찰기준 확인",IF(N3041&gt;'종합 현황'!$H$5,"내부 관찰 대상","내부 관찰일 이하")))))</x:f>
        <x:v>대상 아님</x:v>
      </x:c>
      <x:c r="AB3041" s="2" t="str">
        <x:v>2022-12-09 16:45 - 접수
2022-12-13 15:37 - 신청
2023-02-07 15:47 - 문서재제출요청
2023-02-22 16:57 - 접수
2023-03-02 11:09 - 신청
2023-06-02 15:07 - 문서재제출요청
2023-06-02 16:35 - 접수
2023-06-02 23:13 - 신청
2023-06-13 11:04 - 검토승인
2023-06-28 11:24 - 협의검토중
2023-07-28 15:00 - 협의통보
2023-12-15 16:32 - 심의승인</x:v>
      </x:c>
    </x:row>
    <x:row r="3042" ht="42" customHeight="1">
      <x:c r="A3042" s="2" t="str">
        <x:v>2bd261731e3b4356faf7f92e</x:v>
      </x:c>
      <x:c r="B3042" s="2" t="str">
        <x:v>감축량 인증</x:v>
      </x:c>
      <x:c r="C3042" s="2" t="str">
        <x:v>국외</x:v>
      </x:c>
      <x:c r="D3042" s="7" t="str">
        <x:v>스망까 수력 CDM 사업</x:v>
      </x:c>
      <x:c r="E3042" s="2" t="str">
        <x:v>627</x:v>
      </x:c>
      <x:c r="F3042" s="2" t="str">
        <x:v>2022-12-14</x:v>
      </x:c>
      <x:c r="G3042" s="2" t="str">
        <x:v>2022</x:v>
      </x:c>
      <x:c r="H3042" s="2" t="str">
        <x:v>12</x:v>
      </x:c>
      <x:c r="I3042" s="2" t="str">
        <x:v>심의승인</x:v>
      </x:c>
      <x:c r="J3042" s="2" t="str">
        <x:v>심의승인</x:v>
      </x:c>
      <x:c r="K3042" s="2" t="str">
        <x:f>IF(OR(J3042="심의승인",J3042="반려",J3042="반려완료",J3042="심의완료"),"종결 표시",IF(OR(J3042="기후부협의",J3042="문서재제출요청",J3042="보류",J3042="보완요청",J3042="보완완료",J3042="평가중",J3042="반려요청",J3042="평가필요",LEFT(J3042,5)="보완요청("),"미종결 표시","상태 확인 필요"))</x:f>
        <x:v>종결 표시</x:v>
      </x:c>
      <x:c r="L3042" s="2" t="str">
        <x:v>KRIC</x:v>
      </x:c>
      <x:c r="M3042" s="2"/>
      <x:c r="N3042" s="8" t="n">
        <x:f>DATE(2026,10,15)-DATE(2022,12,14)</x:f>
        <x:v>1401</x:v>
      </x:c>
      <x:c r="O3042" s="2"/>
      <x:c r="P3042" s="2"/>
      <x:c r="Q3042" s="2" t="str">
        <x:v>산업전환_외부사업관리Tool_260707_이너젠 수정_LJY_261013.xlsx</x:v>
      </x:c>
      <x:c r="R3042" s="2" t="str">
        <x:v>국외인증</x:v>
      </x:c>
      <x:c r="S3042" s="8" t="n">
        <x:v>629</x:v>
      </x:c>
      <x:c r="T3042" s="2" t="str">
        <x:v>(12/27)</x:v>
      </x:c>
      <x:c r="U3042" s="2" t="str">
        <x:v>2022 지정: (12/27) / 2023 지정: (5/16)</x:v>
      </x:c>
      <x:c r="V3042" s="2" t="str">
        <x:v>2023-09-20</x:v>
      </x:c>
      <x:c r="W3042" s="2" t="str"/>
      <x:c r="X3042" s="2" t="str">
        <x:v>종결 근거 보관</x:v>
      </x:c>
      <x:c r="Y3042" s="2" t="str">
        <x:v>ad210cd9ec132cfd447541c8984dc53d30aff0f4fb2dc92d254d49275cc55976</x:v>
      </x:c>
      <x:c r="Z3042" s="2" t="n">
        <x:f>SUBTOTAL(103,A3042)</x:f>
        <x:v>1</x:v>
      </x:c>
      <x:c r="AA3042" s="2" t="str">
        <x:f>IF(K3042&lt;&gt;"미종결 표시","대상 아님",IF(N3042="","신청일 확인",IF(NOT(ISNUMBER('종합 현황'!$H$5)),"관찰기준 확인",IF('종합 현황'!$H$5&lt;1,"관찰기준 확인",IF(N3042&gt;'종합 현황'!$H$5,"내부 관찰 대상","내부 관찰일 이하")))))</x:f>
        <x:v>대상 아님</x:v>
      </x:c>
      <x:c r="AB3042" s="2" t="str">
        <x:v>2022-12-14 16:00 - 접수
2022-12-15 09:36 - 신청
2023-02-07 20:12 - 문서재제출요청
2023-02-15 14:43 - 접수
2023-02-16 14:01 - 신청
2023-03-07 09:26 - 문서재제출요청
2023-05-11 19:20 - 접수
2023-05-12 10:36 - 신청
2023-06-09 16:22 - 검토승인
2023-06-28 11:26 - 협의검토중
2023-07-28 15:00 - 협의통보
2023-09-20 15:29 - 심의승인</x:v>
      </x:c>
    </x:row>
    <x:row r="3043" ht="42" customHeight="1">
      <x:c r="A3043" s="2" t="str">
        <x:v>e0b30cf91aaa81985810e59c</x:v>
      </x:c>
      <x:c r="B3043" s="2" t="str">
        <x:v>감축량 인증</x:v>
      </x:c>
      <x:c r="C3043" s="2" t="str">
        <x:v>국외</x:v>
      </x:c>
      <x:c r="D3043" s="7" t="str">
        <x:v>CPA-0002: KOKO 케냐 에탄올 쿡스토브 프로그램</x:v>
      </x:c>
      <x:c r="E3043" s="2" t="str">
        <x:v>628</x:v>
      </x:c>
      <x:c r="F3043" s="2" t="str">
        <x:v>2022-12-15</x:v>
      </x:c>
      <x:c r="G3043" s="2" t="str">
        <x:v>2022</x:v>
      </x:c>
      <x:c r="H3043" s="2" t="str">
        <x:v>12</x:v>
      </x:c>
      <x:c r="I3043" s="2" t="str">
        <x:v>심의승인</x:v>
      </x:c>
      <x:c r="J3043" s="2" t="str">
        <x:v>심의승인</x:v>
      </x:c>
      <x:c r="K3043" s="2" t="str">
        <x:f>IF(OR(J3043="심의승인",J3043="반려",J3043="반려완료",J3043="심의완료"),"종결 표시",IF(OR(J3043="기후부협의",J3043="문서재제출요청",J3043="보류",J3043="보완요청",J3043="보완완료",J3043="평가중",J3043="반려요청",J3043="평가필요",LEFT(J3043,5)="보완요청("),"미종결 표시","상태 확인 필요"))</x:f>
        <x:v>종결 표시</x:v>
      </x:c>
      <x:c r="L3043" s="2" t="str">
        <x:v>KRIC</x:v>
      </x:c>
      <x:c r="M3043" s="2"/>
      <x:c r="N3043" s="8" t="n">
        <x:f>DATE(2026,10,15)-DATE(2022,12,15)</x:f>
        <x:v>1400</x:v>
      </x:c>
      <x:c r="O3043" s="2"/>
      <x:c r="P3043" s="2"/>
      <x:c r="Q3043" s="2" t="str">
        <x:v>산업전환_외부사업관리Tool_260707_이너젠 수정_LJY_261013.xlsx</x:v>
      </x:c>
      <x:c r="R3043" s="2" t="str">
        <x:v>국외인증</x:v>
      </x:c>
      <x:c r="S3043" s="8" t="n">
        <x:v>630</x:v>
      </x:c>
      <x:c r="T3043" s="2" t="str">
        <x:v>(12/27)</x:v>
      </x:c>
      <x:c r="U3043" s="2" t="str">
        <x:v>2022 지정: (12/27)</x:v>
      </x:c>
      <x:c r="V3043" s="2" t="str">
        <x:v>2023-06-22</x:v>
      </x:c>
      <x:c r="W3043" s="2" t="str"/>
      <x:c r="X3043" s="2" t="str">
        <x:v>종결 근거 보관</x:v>
      </x:c>
      <x:c r="Y3043" s="2" t="str">
        <x:v>ad210cd9ec132cfd447541c8984dc53d30aff0f4fb2dc92d254d49275cc55976</x:v>
      </x:c>
      <x:c r="Z3043" s="2" t="n">
        <x:f>SUBTOTAL(103,A3043)</x:f>
        <x:v>1</x:v>
      </x:c>
      <x:c r="AA3043" s="2" t="str">
        <x:f>IF(K3043&lt;&gt;"미종결 표시","대상 아님",IF(N3043="","신청일 확인",IF(NOT(ISNUMBER('종합 현황'!$H$5)),"관찰기준 확인",IF('종합 현황'!$H$5&lt;1,"관찰기준 확인",IF(N3043&gt;'종합 현황'!$H$5,"내부 관찰 대상","내부 관찰일 이하")))))</x:f>
        <x:v>대상 아님</x:v>
      </x:c>
      <x:c r="AB3043" s="2" t="str">
        <x:v>2022-12-15 11:25 - 신청
2023-02-10 16:55 - 문서재제출요청
2023-02-13 13:31 - 신청
2023-02-21 11:00 - 문서재제출요청
2023-02-21 13:53 - 신청
2023-03-29 14:25 - 검토승인
2023-03-29 14:25 - 협의검토중
2023-04-10 18:07 - 협의통보
2023-06-22 16:04 - 심의승인</x:v>
      </x:c>
    </x:row>
    <x:row r="3044" ht="42" customHeight="1">
      <x:c r="A3044" s="2" t="str">
        <x:v>1f2b4f9bde26fccc5ffe555a</x:v>
      </x:c>
      <x:c r="B3044" s="2" t="str">
        <x:v>감축량 인증</x:v>
      </x:c>
      <x:c r="C3044" s="2" t="str">
        <x:v>국외</x:v>
      </x:c>
      <x:c r="D3044" s="7" t="str">
        <x:v>인도 청정에너지 기기 보급 사업 (PoA 9181-CPA 19)</x:v>
      </x:c>
      <x:c r="E3044" s="2" t="str">
        <x:v>629</x:v>
      </x:c>
      <x:c r="F3044" s="2" t="str">
        <x:v>2022-12-15</x:v>
      </x:c>
      <x:c r="G3044" s="2" t="str">
        <x:v>2022</x:v>
      </x:c>
      <x:c r="H3044" s="2" t="str">
        <x:v>12</x:v>
      </x:c>
      <x:c r="I3044" s="2" t="str">
        <x:v>심의승인</x:v>
      </x:c>
      <x:c r="J3044" s="2" t="str">
        <x:v>심의승인</x:v>
      </x:c>
      <x:c r="K3044" s="2" t="str">
        <x:f>IF(OR(J3044="심의승인",J3044="반려",J3044="반려완료",J3044="심의완료"),"종결 표시",IF(OR(J3044="기후부협의",J3044="문서재제출요청",J3044="보류",J3044="보완요청",J3044="보완완료",J3044="평가중",J3044="반려요청",J3044="평가필요",LEFT(J3044,5)="보완요청("),"미종결 표시","상태 확인 필요"))</x:f>
        <x:v>종결 표시</x:v>
      </x:c>
      <x:c r="L3044" s="2" t="str">
        <x:v>KRIC</x:v>
      </x:c>
      <x:c r="M3044" s="2"/>
      <x:c r="N3044" s="8" t="n">
        <x:f>DATE(2026,10,15)-DATE(2022,12,15)</x:f>
        <x:v>1400</x:v>
      </x:c>
      <x:c r="O3044" s="2"/>
      <x:c r="P3044" s="2" t="str">
        <x:v>57차 인증위 승인</x:v>
      </x:c>
      <x:c r="Q3044" s="2" t="str">
        <x:v>산업전환_외부사업관리Tool_260707_이너젠 수정_LJY_261013.xlsx</x:v>
      </x:c>
      <x:c r="R3044" s="2" t="str">
        <x:v>국외인증</x:v>
      </x:c>
      <x:c r="S3044" s="8" t="n">
        <x:v>631</x:v>
      </x:c>
      <x:c r="T3044" s="2" t="str">
        <x:v>(12/27)</x:v>
      </x:c>
      <x:c r="U3044" s="2" t="str">
        <x:v>2022 지정: (12/27) / 2023 지정: (5/16),(6/27)</x:v>
      </x:c>
      <x:c r="V3044" s="2" t="str">
        <x:v>2024-06-28</x:v>
      </x:c>
      <x:c r="W3044" s="2" t="str"/>
      <x:c r="X3044" s="2" t="str">
        <x:v>종결 근거 보관</x:v>
      </x:c>
      <x:c r="Y3044" s="2" t="str">
        <x:v>ad210cd9ec132cfd447541c8984dc53d30aff0f4fb2dc92d254d49275cc55976</x:v>
      </x:c>
      <x:c r="Z3044" s="2" t="n">
        <x:f>SUBTOTAL(103,A3044)</x:f>
        <x:v>1</x:v>
      </x:c>
      <x:c r="AA3044" s="2" t="str">
        <x:f>IF(K3044&lt;&gt;"미종결 표시","대상 아님",IF(N3044="","신청일 확인",IF(NOT(ISNUMBER('종합 현황'!$H$5)),"관찰기준 확인",IF('종합 현황'!$H$5&lt;1,"관찰기준 확인",IF(N3044&gt;'종합 현황'!$H$5,"내부 관찰 대상","내부 관찰일 이하")))))</x:f>
        <x:v>대상 아님</x:v>
      </x:c>
      <x:c r="AB3044" s="2" t="str">
        <x:v>2022-12-15 17:29 - 신청
2023-04-17 09:48 - 문서재제출요청
2023-05-13 01:05 - 신청
2023-06-07 13:36 - 문서재제출요청
2023-06-14 22:55 - 신청
2023-06-15 22:10 - 문서재제출요청
2023-06-16 09:53 - 신청
2023-07-06 19:50 - 문서재제출요청
2023-07-11 19:59 - 신청
2023-07-11 21:28 - 문서재제출요청
2023-07-11 22:27 - 신청
2023-07-12 11:19 - 문서재제출요청
2023-07-12 11:27 - 신청
2023-07-25 15:53 - 문서재제출요청
2023-09-03 23:50 - 신청
2023-11-16 17:19 - 보완요청
2023-11-19 13:13 - 신청
2024-02-06 17:19 - 문서재제출요청
2024-02-16 03:31 - 신청
2024-03-08 14:00 - 검토승인
2024-03-12 09:42 - 협의검토중
2024-04-17 14:20 - 협의통보
2024-06-28 16:29 - 심의승인</x:v>
      </x:c>
    </x:row>
    <x:row r="3045" ht="42" customHeight="1">
      <x:c r="A3045" s="2" t="str">
        <x:v>9c770518a619e13bf02d79f0</x:v>
      </x:c>
      <x:c r="B3045" s="2" t="str">
        <x:v>감축량 인증</x:v>
      </x:c>
      <x:c r="C3045" s="2" t="str">
        <x:v>국외</x:v>
      </x:c>
      <x:c r="D3045" s="7" t="str">
        <x:v>인도 청정에너지 기기 보급 사업 (PoA 9181-CPA 20)</x:v>
      </x:c>
      <x:c r="E3045" s="2" t="str">
        <x:v>630</x:v>
      </x:c>
      <x:c r="F3045" s="2" t="str">
        <x:v>2022-12-15</x:v>
      </x:c>
      <x:c r="G3045" s="2" t="str">
        <x:v>2022</x:v>
      </x:c>
      <x:c r="H3045" s="2" t="str">
        <x:v>12</x:v>
      </x:c>
      <x:c r="I3045" s="2" t="str">
        <x:v>심의승인</x:v>
      </x:c>
      <x:c r="J3045" s="2" t="str">
        <x:v>심의승인</x:v>
      </x:c>
      <x:c r="K3045" s="2" t="str">
        <x:f>IF(OR(J3045="심의승인",J3045="반려",J3045="반려완료",J3045="심의완료"),"종결 표시",IF(OR(J3045="기후부협의",J3045="문서재제출요청",J3045="보류",J3045="보완요청",J3045="보완완료",J3045="평가중",J3045="반려요청",J3045="평가필요",LEFT(J3045,5)="보완요청("),"미종결 표시","상태 확인 필요"))</x:f>
        <x:v>종결 표시</x:v>
      </x:c>
      <x:c r="L3045" s="2" t="str">
        <x:v>KRIC</x:v>
      </x:c>
      <x:c r="M3045" s="2"/>
      <x:c r="N3045" s="8" t="n">
        <x:f>DATE(2026,10,15)-DATE(2022,12,15)</x:f>
        <x:v>1400</x:v>
      </x:c>
      <x:c r="O3045" s="2"/>
      <x:c r="P3045" s="2" t="str">
        <x:v>57차 인증위 승인</x:v>
      </x:c>
      <x:c r="Q3045" s="2" t="str">
        <x:v>산업전환_외부사업관리Tool_260707_이너젠 수정_LJY_261013.xlsx</x:v>
      </x:c>
      <x:c r="R3045" s="2" t="str">
        <x:v>국외인증</x:v>
      </x:c>
      <x:c r="S3045" s="8" t="n">
        <x:v>632</x:v>
      </x:c>
      <x:c r="T3045" s="2" t="str">
        <x:v>(12/27)</x:v>
      </x:c>
      <x:c r="U3045" s="2" t="str">
        <x:v>2022 지정: (12/27) / 2023 지정: (5/16),(6/27)</x:v>
      </x:c>
      <x:c r="V3045" s="2" t="str">
        <x:v>2024-06-28</x:v>
      </x:c>
      <x:c r="W3045" s="2" t="str"/>
      <x:c r="X3045" s="2" t="str">
        <x:v>종결 근거 보관</x:v>
      </x:c>
      <x:c r="Y3045" s="2" t="str">
        <x:v>ad210cd9ec132cfd447541c8984dc53d30aff0f4fb2dc92d254d49275cc55976</x:v>
      </x:c>
      <x:c r="Z3045" s="2" t="n">
        <x:f>SUBTOTAL(103,A3045)</x:f>
        <x:v>1</x:v>
      </x:c>
      <x:c r="AA3045" s="2" t="str">
        <x:f>IF(K3045&lt;&gt;"미종결 표시","대상 아님",IF(N3045="","신청일 확인",IF(NOT(ISNUMBER('종합 현황'!$H$5)),"관찰기준 확인",IF('종합 현황'!$H$5&lt;1,"관찰기준 확인",IF(N3045&gt;'종합 현황'!$H$5,"내부 관찰 대상","내부 관찰일 이하")))))</x:f>
        <x:v>대상 아님</x:v>
      </x:c>
      <x:c r="AB3045" s="2" t="str">
        <x:v>2022-12-15 17:33 - 신청
2023-04-17 09:51 - 문서재제출요청
2023-05-13 01:05 - 신청
2023-06-07 15:33 - 문서재제출요청
2023-06-14 23:02 - 신청
2023-06-15 22:11 - 문서재제출요청
2023-06-16 09:55 - 신청
2023-07-06 19:51 - 문서재제출요청
2023-07-11 22:34 - 신청
2023-07-12 11:19 - 문서재제출요청
2023-07-12 11:27 - 신청
2023-07-25 15:53 - 문서재제출요청
2023-09-03 23:51 - 신청
2023-11-16 17:19 - 보완요청
2023-11-19 13:13 - 신청
2024-02-06 17:19 - 문서재제출요청
2024-02-16 03:38 - 신청
2024-03-08 14:01 - 검토승인
2024-03-12 09:42 - 협의검토중
2024-04-17 14:22 - 협의통보
2024-06-28 16:25 - 심의승인</x:v>
      </x:c>
    </x:row>
    <x:row r="3046" ht="42" customHeight="1">
      <x:c r="A3046" s="2" t="str">
        <x:v>c09221249efced142439e947</x:v>
      </x:c>
      <x:c r="B3046" s="2" t="str">
        <x:v>감축량 인증</x:v>
      </x:c>
      <x:c r="C3046" s="2" t="str">
        <x:v>국외</x:v>
      </x:c>
      <x:c r="D3046" s="7" t="str">
        <x:v>인도 청정에너지 기기 보급 사업 (PoA 9181-CPA 21)</x:v>
      </x:c>
      <x:c r="E3046" s="2" t="str">
        <x:v>631</x:v>
      </x:c>
      <x:c r="F3046" s="2" t="str">
        <x:v>2022-12-15</x:v>
      </x:c>
      <x:c r="G3046" s="2" t="str">
        <x:v>2022</x:v>
      </x:c>
      <x:c r="H3046" s="2" t="str">
        <x:v>12</x:v>
      </x:c>
      <x:c r="I3046" s="2" t="str">
        <x:v>심의승인</x:v>
      </x:c>
      <x:c r="J3046" s="2" t="str">
        <x:v>심의승인</x:v>
      </x:c>
      <x:c r="K3046" s="2" t="str">
        <x:f>IF(OR(J3046="심의승인",J3046="반려",J3046="반려완료",J3046="심의완료"),"종결 표시",IF(OR(J3046="기후부협의",J3046="문서재제출요청",J3046="보류",J3046="보완요청",J3046="보완완료",J3046="평가중",J3046="반려요청",J3046="평가필요",LEFT(J3046,5)="보완요청("),"미종결 표시","상태 확인 필요"))</x:f>
        <x:v>종결 표시</x:v>
      </x:c>
      <x:c r="L3046" s="2" t="str">
        <x:v>KRIC</x:v>
      </x:c>
      <x:c r="M3046" s="2"/>
      <x:c r="N3046" s="8" t="n">
        <x:f>DATE(2026,10,15)-DATE(2022,12,15)</x:f>
        <x:v>1400</x:v>
      </x:c>
      <x:c r="O3046" s="2"/>
      <x:c r="P3046" s="2" t="str">
        <x:v>57차 인증위 승인</x:v>
      </x:c>
      <x:c r="Q3046" s="2" t="str">
        <x:v>산업전환_외부사업관리Tool_260707_이너젠 수정_LJY_261013.xlsx</x:v>
      </x:c>
      <x:c r="R3046" s="2" t="str">
        <x:v>국외인증</x:v>
      </x:c>
      <x:c r="S3046" s="8" t="n">
        <x:v>633</x:v>
      </x:c>
      <x:c r="T3046" s="2" t="str">
        <x:v>(12/27)</x:v>
      </x:c>
      <x:c r="U3046" s="2" t="str">
        <x:v>2022 지정: (12/27) / 2023 지정: (5/16),(6/27)</x:v>
      </x:c>
      <x:c r="V3046" s="2" t="str">
        <x:v>2024-06-28</x:v>
      </x:c>
      <x:c r="W3046" s="2" t="str"/>
      <x:c r="X3046" s="2" t="str">
        <x:v>종결 근거 보관</x:v>
      </x:c>
      <x:c r="Y3046" s="2" t="str">
        <x:v>ad210cd9ec132cfd447541c8984dc53d30aff0f4fb2dc92d254d49275cc55976</x:v>
      </x:c>
      <x:c r="Z3046" s="2" t="n">
        <x:f>SUBTOTAL(103,A3046)</x:f>
        <x:v>1</x:v>
      </x:c>
      <x:c r="AA3046" s="2" t="str">
        <x:f>IF(K3046&lt;&gt;"미종결 표시","대상 아님",IF(N3046="","신청일 확인",IF(NOT(ISNUMBER('종합 현황'!$H$5)),"관찰기준 확인",IF('종합 현황'!$H$5&lt;1,"관찰기준 확인",IF(N3046&gt;'종합 현황'!$H$5,"내부 관찰 대상","내부 관찰일 이하")))))</x:f>
        <x:v>대상 아님</x:v>
      </x:c>
      <x:c r="AB3046" s="2" t="str">
        <x:v>2022-12-15 17:36 - 신청
2023-04-17 09:51 - 문서재제출요청
2023-05-13 01:05 - 신청
2023-06-07 15:37 - 문서재제출요청
2023-06-14 23:11 - 신청
2023-06-15 22:12 - 문서재제출요청
2023-06-16 09:57 - 신청
2023-07-06 19:53 - 문서재제출요청
2023-07-11 22:37 - 신청
2023-07-12 11:19 - 문서재제출요청
2023-07-12 11:27 - 신청
2023-07-25 15:53 - 문서재제출요청
2023-09-03 23:52 - 신청
2023-11-16 17:20 - 보완요청
2023-11-19 13:14 - 신청
2024-02-06 17:19 - 문서재제출요청
2024-02-16 21:20 - 신청
2024-02-20 22:47 - 문서재제출요청
2024-02-21 01:13 - 신청
2024-03-08 14:04 - 검토승인
2024-03-12 09:42 - 협의검토중
2024-04-17 14:23 - 협의통보
2024-06-28 16:23 - 심의승인</x:v>
      </x:c>
    </x:row>
    <x:row r="3047" ht="42" customHeight="1">
      <x:c r="A3047" s="2" t="str">
        <x:v>66120caa82c8c38d286013d2</x:v>
      </x:c>
      <x:c r="B3047" s="2" t="str">
        <x:v>감축량 인증</x:v>
      </x:c>
      <x:c r="C3047" s="2" t="str">
        <x:v>국외</x:v>
      </x:c>
      <x:c r="D3047" s="7" t="str">
        <x:v>인도 청정에너지 기기 보급 사업 (PoA 9181-CPA 21)</x:v>
      </x:c>
      <x:c r="E3047" s="2" t="str">
        <x:v>636</x:v>
      </x:c>
      <x:c r="F3047" s="2" t="str">
        <x:v>2022-12-15</x:v>
      </x:c>
      <x:c r="G3047" s="2" t="str">
        <x:v>2022</x:v>
      </x:c>
      <x:c r="H3047" s="2" t="str">
        <x:v>12</x:v>
      </x:c>
      <x:c r="I3047" s="2" t="str">
        <x:v>심의승인</x:v>
      </x:c>
      <x:c r="J3047" s="2" t="str">
        <x:v>심의승인</x:v>
      </x:c>
      <x:c r="K3047" s="2" t="str">
        <x:f>IF(OR(J3047="심의승인",J3047="반려",J3047="반려완료",J3047="심의완료"),"종결 표시",IF(OR(J3047="기후부협의",J3047="문서재제출요청",J3047="보류",J3047="보완요청",J3047="보완완료",J3047="평가중",J3047="반려요청",J3047="평가필요",LEFT(J3047,5)="보완요청("),"미종결 표시","상태 확인 필요"))</x:f>
        <x:v>종결 표시</x:v>
      </x:c>
      <x:c r="L3047" s="2" t="str">
        <x:v>KRIC</x:v>
      </x:c>
      <x:c r="M3047" s="2"/>
      <x:c r="N3047" s="8" t="n">
        <x:f>DATE(2026,10,15)-DATE(2022,12,15)</x:f>
        <x:v>1400</x:v>
      </x:c>
      <x:c r="O3047" s="2"/>
      <x:c r="P3047" s="2" t="str">
        <x:v>57차 인증위 승인</x:v>
      </x:c>
      <x:c r="Q3047" s="2" t="str">
        <x:v>산업전환_외부사업관리Tool_260707_이너젠 수정_LJY_261013.xlsx</x:v>
      </x:c>
      <x:c r="R3047" s="2" t="str">
        <x:v>국외인증</x:v>
      </x:c>
      <x:c r="S3047" s="8" t="n">
        <x:v>634</x:v>
      </x:c>
      <x:c r="T3047" s="2" t="str">
        <x:v>(12/27)</x:v>
      </x:c>
      <x:c r="U3047" s="2" t="str">
        <x:v>2022 지정: (12/27) / 2023 지정: (5/16),(6/27)</x:v>
      </x:c>
      <x:c r="V3047" s="2" t="str">
        <x:v>2024-06-28</x:v>
      </x:c>
      <x:c r="W3047" s="2" t="str"/>
      <x:c r="X3047" s="2" t="str">
        <x:v>종결 근거 보관</x:v>
      </x:c>
      <x:c r="Y3047" s="2" t="str">
        <x:v>ad210cd9ec132cfd447541c8984dc53d30aff0f4fb2dc92d254d49275cc55976</x:v>
      </x:c>
      <x:c r="Z3047" s="2" t="n">
        <x:f>SUBTOTAL(103,A3047)</x:f>
        <x:v>1</x:v>
      </x:c>
      <x:c r="AA3047" s="2" t="str">
        <x:f>IF(K3047&lt;&gt;"미종결 표시","대상 아님",IF(N3047="","신청일 확인",IF(NOT(ISNUMBER('종합 현황'!$H$5)),"관찰기준 확인",IF('종합 현황'!$H$5&lt;1,"관찰기준 확인",IF(N3047&gt;'종합 현황'!$H$5,"내부 관찰 대상","내부 관찰일 이하")))))</x:f>
        <x:v>대상 아님</x:v>
      </x:c>
      <x:c r="AB3047" s="2" t="str">
        <x:v>2022-12-15 23:39 - 신청
2023-04-17 10:07 - 문서재제출요청
2023-05-13 01:07 - 신청
2023-06-07 20:14 - 문서재제출요청
2023-06-14 23:57 - 신청
2023-06-15 23:05 - 문서재제출요청
2023-06-16 10:14 - 신청
2023-07-06 20:02 - 문서재제출요청
2023-07-12 11:28 - 신청
2023-07-25 15:58 - 문서재제출요청
2023-09-04 00:00 - 신청
2023-11-16 17:19 - 보완요청
2023-11-19 13:20 - 신청
2024-02-06 17:22 - 문서재제출요청
2024-02-16 21:14 - 신청
2024-02-20 23:10 - 문서재제출요청
2024-02-21 01:14 - 신청
2024-03-08 14:04 - 검토승인
2024-03-12 09:42 - 협의검토중
2024-04-17 14:23 - 협의통보
2024-06-28 16:20 - 심의승인</x:v>
      </x:c>
    </x:row>
    <x:row r="3048" ht="42" customHeight="1">
      <x:c r="A3048" s="2" t="str">
        <x:v>c631cb45a4e47279674ad0ad</x:v>
      </x:c>
      <x:c r="B3048" s="2" t="str">
        <x:v>감축량 인증</x:v>
      </x:c>
      <x:c r="C3048" s="2" t="str">
        <x:v>국외</x:v>
      </x:c>
      <x:c r="D3048" s="7" t="str">
        <x:v>인도 청정에너지 기기 보급 사업 (PoA 9181-CPA 21)</x:v>
      </x:c>
      <x:c r="E3048" s="2" t="str">
        <x:v>641</x:v>
      </x:c>
      <x:c r="F3048" s="2" t="str">
        <x:v>2022-12-16</x:v>
      </x:c>
      <x:c r="G3048" s="2" t="str">
        <x:v>2022</x:v>
      </x:c>
      <x:c r="H3048" s="2" t="str">
        <x:v>12</x:v>
      </x:c>
      <x:c r="I3048" s="2" t="str">
        <x:v>심의승인</x:v>
      </x:c>
      <x:c r="J3048" s="2" t="str">
        <x:v>심의승인</x:v>
      </x:c>
      <x:c r="K3048" s="2" t="str">
        <x:f>IF(OR(J3048="심의승인",J3048="반려",J3048="반려완료",J3048="심의완료"),"종결 표시",IF(OR(J3048="기후부협의",J3048="문서재제출요청",J3048="보류",J3048="보완요청",J3048="보완완료",J3048="평가중",J3048="반려요청",J3048="평가필요",LEFT(J3048,5)="보완요청("),"미종결 표시","상태 확인 필요"))</x:f>
        <x:v>종결 표시</x:v>
      </x:c>
      <x:c r="L3048" s="2" t="str">
        <x:v>KRIC</x:v>
      </x:c>
      <x:c r="M3048" s="2"/>
      <x:c r="N3048" s="8" t="n">
        <x:f>DATE(2026,10,15)-DATE(2022,12,16)</x:f>
        <x:v>1399</x:v>
      </x:c>
      <x:c r="O3048" s="2"/>
      <x:c r="P3048" s="2" t="str">
        <x:v>57차 인증위 승인</x:v>
      </x:c>
      <x:c r="Q3048" s="2" t="str">
        <x:v>산업전환_외부사업관리Tool_260707_이너젠 수정_LJY_261013.xlsx</x:v>
      </x:c>
      <x:c r="R3048" s="2" t="str">
        <x:v>국외인증</x:v>
      </x:c>
      <x:c r="S3048" s="8" t="n">
        <x:v>635</x:v>
      </x:c>
      <x:c r="T3048" s="2" t="str">
        <x:v>(12/27)</x:v>
      </x:c>
      <x:c r="U3048" s="2" t="str">
        <x:v>2022 지정: (12/27) / 2023 지정: (5/16),(6/27)</x:v>
      </x:c>
      <x:c r="V3048" s="2" t="str">
        <x:v>2024-06-28</x:v>
      </x:c>
      <x:c r="W3048" s="2" t="str"/>
      <x:c r="X3048" s="2" t="str">
        <x:v>종결 근거 보관</x:v>
      </x:c>
      <x:c r="Y3048" s="2" t="str">
        <x:v>ad210cd9ec132cfd447541c8984dc53d30aff0f4fb2dc92d254d49275cc55976</x:v>
      </x:c>
      <x:c r="Z3048" s="2" t="n">
        <x:f>SUBTOTAL(103,A3048)</x:f>
        <x:v>1</x:v>
      </x:c>
      <x:c r="AA3048" s="2" t="str">
        <x:f>IF(K3048&lt;&gt;"미종결 표시","대상 아님",IF(N3048="","신청일 확인",IF(NOT(ISNUMBER('종합 현황'!$H$5)),"관찰기준 확인",IF('종합 현황'!$H$5&lt;1,"관찰기준 확인",IF(N3048&gt;'종합 현황'!$H$5,"내부 관찰 대상","내부 관찰일 이하")))))</x:f>
        <x:v>대상 아님</x:v>
      </x:c>
      <x:c r="AB3048" s="2" t="str">
        <x:v>2022-12-16 12:33 - 신청
2023-04-17 10:28 - 문서재제출요청
2023-05-13 01:09 - 신청
2023-06-07 21:08 - 문서재제출요청
2023-06-15 00:52 - 신청
2023-06-16 10:50 - 문서재제출요청
2023-06-18 19:28 - 신청
2023-07-06 20:14 - 문서재제출요청
2023-07-11 23:03 - 신청
2023-07-12 11:22 - 문서재제출요청
2023-07-12 11:24 - 신청
2023-07-25 16:01 - 문서재제출요청
2023-09-04 00:08 - 신청
2023-09-05 09:05 - 문서재제출요청
2023-09-06 21:54 - 신청
2023-11-16 17:13 - 보완요청
2023-11-19 13:26 - 신청
2024-02-06 17:24 - 문서재제출요청
2024-02-16 21:09 - 신청
2024-02-20 23:28 - 문서재제출요청
2024-02-21 01:16 - 신청
2024-03-08 14:04 - 검토승인
2024-03-12 09:41 - 협의검토중
2024-04-17 14:23 - 협의통보
2024-06-28 16:19 - 심의승인</x:v>
      </x:c>
    </x:row>
    <x:row r="3049" ht="42" customHeight="1">
      <x:c r="A3049" s="2" t="str">
        <x:v>1536a09f83aa50cf4b8e1d50</x:v>
      </x:c>
      <x:c r="B3049" s="2" t="str">
        <x:v>감축량 인증</x:v>
      </x:c>
      <x:c r="C3049" s="2" t="str">
        <x:v>국외</x:v>
      </x:c>
      <x:c r="D3049" s="7" t="str">
        <x:v>인도 청정에너지 기기 보급 사업 (PoA 9181-CPA 19)</x:v>
      </x:c>
      <x:c r="E3049" s="2" t="str">
        <x:v>634</x:v>
      </x:c>
      <x:c r="F3049" s="2" t="str">
        <x:v>2022-12-15</x:v>
      </x:c>
      <x:c r="G3049" s="2" t="str">
        <x:v>2022</x:v>
      </x:c>
      <x:c r="H3049" s="2" t="str">
        <x:v>12</x:v>
      </x:c>
      <x:c r="I3049" s="2" t="str">
        <x:v>심의승인</x:v>
      </x:c>
      <x:c r="J3049" s="2" t="str">
        <x:v>심의승인</x:v>
      </x:c>
      <x:c r="K3049" s="2" t="str">
        <x:f>IF(OR(J3049="심의승인",J3049="반려",J3049="반려완료",J3049="심의완료"),"종결 표시",IF(OR(J3049="기후부협의",J3049="문서재제출요청",J3049="보류",J3049="보완요청",J3049="보완완료",J3049="평가중",J3049="반려요청",J3049="평가필요",LEFT(J3049,5)="보완요청("),"미종결 표시","상태 확인 필요"))</x:f>
        <x:v>종결 표시</x:v>
      </x:c>
      <x:c r="L3049" s="2" t="str">
        <x:v>KRIC</x:v>
      </x:c>
      <x:c r="M3049" s="2"/>
      <x:c r="N3049" s="8" t="n">
        <x:f>DATE(2026,10,15)-DATE(2022,12,15)</x:f>
        <x:v>1400</x:v>
      </x:c>
      <x:c r="O3049" s="2"/>
      <x:c r="P3049" s="2" t="str">
        <x:v>57차 인증위 승인</x:v>
      </x:c>
      <x:c r="Q3049" s="2" t="str">
        <x:v>산업전환_외부사업관리Tool_260707_이너젠 수정_LJY_261013.xlsx</x:v>
      </x:c>
      <x:c r="R3049" s="2" t="str">
        <x:v>국외인증</x:v>
      </x:c>
      <x:c r="S3049" s="8" t="n">
        <x:v>636</x:v>
      </x:c>
      <x:c r="T3049" s="2" t="str">
        <x:v>(12/27)</x:v>
      </x:c>
      <x:c r="U3049" s="2" t="str">
        <x:v>2022 지정: (12/27) / 2023 지정: (5/16),(6/27)</x:v>
      </x:c>
      <x:c r="V3049" s="2" t="str">
        <x:v>2024-06-28</x:v>
      </x:c>
      <x:c r="W3049" s="2" t="str"/>
      <x:c r="X3049" s="2" t="str">
        <x:v>종결 근거 보관</x:v>
      </x:c>
      <x:c r="Y3049" s="2" t="str">
        <x:v>ad210cd9ec132cfd447541c8984dc53d30aff0f4fb2dc92d254d49275cc55976</x:v>
      </x:c>
      <x:c r="Z3049" s="2" t="n">
        <x:f>SUBTOTAL(103,A3049)</x:f>
        <x:v>1</x:v>
      </x:c>
      <x:c r="AA3049" s="2" t="str">
        <x:f>IF(K3049&lt;&gt;"미종결 표시","대상 아님",IF(N3049="","신청일 확인",IF(NOT(ISNUMBER('종합 현황'!$H$5)),"관찰기준 확인",IF('종합 현황'!$H$5&lt;1,"관찰기준 확인",IF(N3049&gt;'종합 현황'!$H$5,"내부 관찰 대상","내부 관찰일 이하")))))</x:f>
        <x:v>대상 아님</x:v>
      </x:c>
      <x:c r="AB3049" s="2" t="str">
        <x:v>2022-12-15 23:32 - 신청
2023-04-17 10:05 - 문서재제출요청
2023-05-13 01:07 - 신청
2023-06-07 20:09 - 문서재제출요청
2023-06-14 23:52 - 신청
2023-06-15 23:04 - 문서재제출요청
2023-06-16 10:09 - 신청
2023-07-06 19:58 - 문서재제출요청
2023-07-11 22:48 - 신청
2023-07-12 11:20 - 문서재제출요청
2023-07-12 11:26 - 신청
2023-07-25 15:57 - 문서재제출요청
2023-09-03 23:58 - 신청
2023-11-16 17:21 - 보완요청
2023-11-19 13:19 - 신청
2024-02-06 17:22 - 문서재제출요청
2024-02-16 04:04 - 신청
2024-03-08 14:00 - 검토승인
2024-03-12 09:42 - 협의검토중
2024-04-17 14:20 - 협의통보
2024-06-28 16:33 - 심의승인</x:v>
      </x:c>
    </x:row>
    <x:row r="3050" ht="42" customHeight="1">
      <x:c r="A3050" s="2" t="str">
        <x:v>71295e3f512b462853b2c1f7</x:v>
      </x:c>
      <x:c r="B3050" s="2" t="str">
        <x:v>감축량 인증</x:v>
      </x:c>
      <x:c r="C3050" s="2" t="str">
        <x:v>국외</x:v>
      </x:c>
      <x:c r="D3050" s="7" t="str">
        <x:v>인도 청정에너지 기기 보급 사업 (PoA 9181-CPA 20)</x:v>
      </x:c>
      <x:c r="E3050" s="2" t="str">
        <x:v>635</x:v>
      </x:c>
      <x:c r="F3050" s="2" t="str">
        <x:v>2022-12-15</x:v>
      </x:c>
      <x:c r="G3050" s="2" t="str">
        <x:v>2022</x:v>
      </x:c>
      <x:c r="H3050" s="2" t="str">
        <x:v>12</x:v>
      </x:c>
      <x:c r="I3050" s="2" t="str">
        <x:v>심의승인</x:v>
      </x:c>
      <x:c r="J3050" s="2" t="str">
        <x:v>심의승인</x:v>
      </x:c>
      <x:c r="K3050" s="2" t="str">
        <x:f>IF(OR(J3050="심의승인",J3050="반려",J3050="반려완료",J3050="심의완료"),"종결 표시",IF(OR(J3050="기후부협의",J3050="문서재제출요청",J3050="보류",J3050="보완요청",J3050="보완완료",J3050="평가중",J3050="반려요청",J3050="평가필요",LEFT(J3050,5)="보완요청("),"미종결 표시","상태 확인 필요"))</x:f>
        <x:v>종결 표시</x:v>
      </x:c>
      <x:c r="L3050" s="2" t="str">
        <x:v>KRIC</x:v>
      </x:c>
      <x:c r="M3050" s="2"/>
      <x:c r="N3050" s="8" t="n">
        <x:f>DATE(2026,10,15)-DATE(2022,12,15)</x:f>
        <x:v>1400</x:v>
      </x:c>
      <x:c r="O3050" s="2"/>
      <x:c r="P3050" s="2" t="str">
        <x:v>57차 인증위 승인</x:v>
      </x:c>
      <x:c r="Q3050" s="2" t="str">
        <x:v>산업전환_외부사업관리Tool_260707_이너젠 수정_LJY_261013.xlsx</x:v>
      </x:c>
      <x:c r="R3050" s="2" t="str">
        <x:v>국외인증</x:v>
      </x:c>
      <x:c r="S3050" s="8" t="n">
        <x:v>637</x:v>
      </x:c>
      <x:c r="T3050" s="2" t="str">
        <x:v>(12/27)</x:v>
      </x:c>
      <x:c r="U3050" s="2" t="str">
        <x:v>2022 지정: (12/27) / 2023 지정: (5/16),(6/27)</x:v>
      </x:c>
      <x:c r="V3050" s="2" t="str">
        <x:v>2024-06-28</x:v>
      </x:c>
      <x:c r="W3050" s="2" t="str"/>
      <x:c r="X3050" s="2" t="str">
        <x:v>종결 근거 보관</x:v>
      </x:c>
      <x:c r="Y3050" s="2" t="str">
        <x:v>ad210cd9ec132cfd447541c8984dc53d30aff0f4fb2dc92d254d49275cc55976</x:v>
      </x:c>
      <x:c r="Z3050" s="2" t="n">
        <x:f>SUBTOTAL(103,A3050)</x:f>
        <x:v>1</x:v>
      </x:c>
      <x:c r="AA3050" s="2" t="str">
        <x:f>IF(K3050&lt;&gt;"미종결 표시","대상 아님",IF(N3050="","신청일 확인",IF(NOT(ISNUMBER('종합 현황'!$H$5)),"관찰기준 확인",IF('종합 현황'!$H$5&lt;1,"관찰기준 확인",IF(N3050&gt;'종합 현황'!$H$5,"내부 관찰 대상","내부 관찰일 이하")))))</x:f>
        <x:v>대상 아님</x:v>
      </x:c>
      <x:c r="AB3050" s="2" t="str">
        <x:v>2022-12-15 23:35 - 신청
2023-04-17 10:06 - 문서재제출요청
2023-05-13 01:07 - 신청
2023-06-07 20:11 - 문서재제출요청
2023-06-14 23:53 - 신청
2023-06-15 23:05 - 문서재제출요청
2023-06-16 10:12 - 신청
2023-07-06 20:00 - 문서재제출요청
2023-07-11 22:50 - 신청
2023-07-12 11:20 - 문서재제출요청
2023-07-12 11:25 - 신청
2023-07-25 15:57 - 문서재제출요청
2023-09-03 23:59 - 신청
2023-11-16 17:20 - 보완요청
2023-11-19 13:20 - 신청
2024-02-06 17:22 - 문서재제출요청
2024-02-16 21:13 - 신청
2024-02-20 23:08 - 문서재제출요청
2024-02-21 01:14 - 신청
2024-03-08 14:01 - 검토승인
2024-03-12 09:42 - 협의검토중
2024-04-17 14:22 - 협의통보
2024-06-28 16:26 - 심의승인</x:v>
      </x:c>
    </x:row>
    <x:row r="3051" ht="42" customHeight="1">
      <x:c r="A3051" s="2" t="str">
        <x:v>48d1167356c1f48009832060</x:v>
      </x:c>
      <x:c r="B3051" s="2" t="str">
        <x:v>감축량 인증</x:v>
      </x:c>
      <x:c r="C3051" s="2" t="str">
        <x:v>국외</x:v>
      </x:c>
      <x:c r="D3051" s="7" t="str">
        <x:v>인도 청정에너지 기기 보급 사업 (PoA 9181-CPA 22)</x:v>
      </x:c>
      <x:c r="E3051" s="2" t="str">
        <x:v>632</x:v>
      </x:c>
      <x:c r="F3051" s="2" t="str">
        <x:v>2022-12-15</x:v>
      </x:c>
      <x:c r="G3051" s="2" t="str">
        <x:v>2022</x:v>
      </x:c>
      <x:c r="H3051" s="2" t="str">
        <x:v>12</x:v>
      </x:c>
      <x:c r="I3051" s="2" t="str">
        <x:v>심의승인</x:v>
      </x:c>
      <x:c r="J3051" s="2" t="str">
        <x:v>심의승인</x:v>
      </x:c>
      <x:c r="K3051" s="2" t="str">
        <x:f>IF(OR(J3051="심의승인",J3051="반려",J3051="반려완료",J3051="심의완료"),"종결 표시",IF(OR(J3051="기후부협의",J3051="문서재제출요청",J3051="보류",J3051="보완요청",J3051="보완완료",J3051="평가중",J3051="반려요청",J3051="평가필요",LEFT(J3051,5)="보완요청("),"미종결 표시","상태 확인 필요"))</x:f>
        <x:v>종결 표시</x:v>
      </x:c>
      <x:c r="L3051" s="2" t="str">
        <x:v>KRIC</x:v>
      </x:c>
      <x:c r="M3051" s="2"/>
      <x:c r="N3051" s="8" t="n">
        <x:f>DATE(2026,10,15)-DATE(2022,12,15)</x:f>
        <x:v>1400</x:v>
      </x:c>
      <x:c r="O3051" s="2"/>
      <x:c r="P3051" s="2" t="str">
        <x:v>57차 인증위 승인</x:v>
      </x:c>
      <x:c r="Q3051" s="2" t="str">
        <x:v>산업전환_외부사업관리Tool_260707_이너젠 수정_LJY_261013.xlsx</x:v>
      </x:c>
      <x:c r="R3051" s="2" t="str">
        <x:v>국외인증</x:v>
      </x:c>
      <x:c r="S3051" s="8" t="n">
        <x:v>638</x:v>
      </x:c>
      <x:c r="T3051" s="2" t="str">
        <x:v>(12/27)</x:v>
      </x:c>
      <x:c r="U3051" s="2" t="str">
        <x:v>2022 지정: (12/27) / 2023 지정: (5/16),(6/27)</x:v>
      </x:c>
      <x:c r="V3051" s="2" t="str">
        <x:v>2024-06-28</x:v>
      </x:c>
      <x:c r="W3051" s="2" t="str"/>
      <x:c r="X3051" s="2" t="str">
        <x:v>종결 근거 보관</x:v>
      </x:c>
      <x:c r="Y3051" s="2" t="str">
        <x:v>ad210cd9ec132cfd447541c8984dc53d30aff0f4fb2dc92d254d49275cc55976</x:v>
      </x:c>
      <x:c r="Z3051" s="2" t="n">
        <x:f>SUBTOTAL(103,A3051)</x:f>
        <x:v>1</x:v>
      </x:c>
      <x:c r="AA3051" s="2" t="str">
        <x:f>IF(K3051&lt;&gt;"미종결 표시","대상 아님",IF(N3051="","신청일 확인",IF(NOT(ISNUMBER('종합 현황'!$H$5)),"관찰기준 확인",IF('종합 현황'!$H$5&lt;1,"관찰기준 확인",IF(N3051&gt;'종합 현황'!$H$5,"내부 관찰 대상","내부 관찰일 이하")))))</x:f>
        <x:v>대상 아님</x:v>
      </x:c>
      <x:c r="AB3051" s="2" t="str">
        <x:v>2022-12-15 23:25 - 신청
2023-04-17 09:52 - 문서재제출요청
2023-05-13 01:05 - 신청
2023-06-07 15:39 - 문서재제출요청
2023-06-14 23:13 - 신청
2023-06-15 22:13 - 문서재제출요청
2023-06-16 10:00 - 신청
2023-07-06 19:55 - 문서재제출요청
2023-07-11 22:42 - 신청
2023-07-12 11:20 - 문서재제출요청
2023-07-12 11:26 - 신청
2023-07-25 15:54 - 문서재제출요청
2023-09-03 23:53 - 신청
2023-11-16 17:20 - 보완요청
2023-11-19 13:15 - 신청
2024-02-06 17:20 - 문서재제출요청
2024-02-16 21:03 - 신청
2024-02-20 22:55 - 문서재제출요청
2024-02-21 01:13 - 신청
2024-03-08 14:05 - 검토승인
2024-03-12 09:41 - 협의검토중
2024-04-17 14:24 - 협의통보
2024-06-28 16:14 - 심의승인</x:v>
      </x:c>
    </x:row>
    <x:row r="3052" ht="42" customHeight="1">
      <x:c r="A3052" s="2" t="str">
        <x:v>f8dad1b1fc5b3652c00533ed</x:v>
      </x:c>
      <x:c r="B3052" s="2" t="str">
        <x:v>감축량 인증</x:v>
      </x:c>
      <x:c r="C3052" s="2" t="str">
        <x:v>국외</x:v>
      </x:c>
      <x:c r="D3052" s="7" t="str">
        <x:v>인도 청정에너지 기기 보급 사업 (PoA 9181-CPA 23)</x:v>
      </x:c>
      <x:c r="E3052" s="2" t="str">
        <x:v>633</x:v>
      </x:c>
      <x:c r="F3052" s="2" t="str">
        <x:v>2022-12-15</x:v>
      </x:c>
      <x:c r="G3052" s="2" t="str">
        <x:v>2022</x:v>
      </x:c>
      <x:c r="H3052" s="2" t="str">
        <x:v>12</x:v>
      </x:c>
      <x:c r="I3052" s="2" t="str">
        <x:v>심의승인</x:v>
      </x:c>
      <x:c r="J3052" s="2" t="str">
        <x:v>심의승인</x:v>
      </x:c>
      <x:c r="K3052" s="2" t="str">
        <x:f>IF(OR(J3052="심의승인",J3052="반려",J3052="반려완료",J3052="심의완료"),"종결 표시",IF(OR(J3052="기후부협의",J3052="문서재제출요청",J3052="보류",J3052="보완요청",J3052="보완완료",J3052="평가중",J3052="반려요청",J3052="평가필요",LEFT(J3052,5)="보완요청("),"미종결 표시","상태 확인 필요"))</x:f>
        <x:v>종결 표시</x:v>
      </x:c>
      <x:c r="L3052" s="2" t="str">
        <x:v>KRIC</x:v>
      </x:c>
      <x:c r="M3052" s="2"/>
      <x:c r="N3052" s="8" t="n">
        <x:f>DATE(2026,10,15)-DATE(2022,12,15)</x:f>
        <x:v>1400</x:v>
      </x:c>
      <x:c r="O3052" s="2"/>
      <x:c r="P3052" s="2" t="str">
        <x:v>57차 인증위 승인</x:v>
      </x:c>
      <x:c r="Q3052" s="2" t="str">
        <x:v>산업전환_외부사업관리Tool_260707_이너젠 수정_LJY_261013.xlsx</x:v>
      </x:c>
      <x:c r="R3052" s="2" t="str">
        <x:v>국외인증</x:v>
      </x:c>
      <x:c r="S3052" s="8" t="n">
        <x:v>639</x:v>
      </x:c>
      <x:c r="T3052" s="2" t="str">
        <x:v>(12/27)</x:v>
      </x:c>
      <x:c r="U3052" s="2" t="str">
        <x:v>2022 지정: (12/27) / 2023 지정: (5/16),(6/27)</x:v>
      </x:c>
      <x:c r="V3052" s="2" t="str">
        <x:v>2024-06-28</x:v>
      </x:c>
      <x:c r="W3052" s="2" t="str"/>
      <x:c r="X3052" s="2" t="str">
        <x:v>종결 근거 보관</x:v>
      </x:c>
      <x:c r="Y3052" s="2" t="str">
        <x:v>ad210cd9ec132cfd447541c8984dc53d30aff0f4fb2dc92d254d49275cc55976</x:v>
      </x:c>
      <x:c r="Z3052" s="2" t="n">
        <x:f>SUBTOTAL(103,A3052)</x:f>
        <x:v>1</x:v>
      </x:c>
      <x:c r="AA3052" s="2" t="str">
        <x:f>IF(K3052&lt;&gt;"미종결 표시","대상 아님",IF(N3052="","신청일 확인",IF(NOT(ISNUMBER('종합 현황'!$H$5)),"관찰기준 확인",IF('종합 현황'!$H$5&lt;1,"관찰기준 확인",IF(N3052&gt;'종합 현황'!$H$5,"내부 관찰 대상","내부 관찰일 이하")))))</x:f>
        <x:v>대상 아님</x:v>
      </x:c>
      <x:c r="AB3052" s="2" t="str">
        <x:v>2022-12-15 23:28 - 신청
2023-04-17 09:54 - 문서재제출요청
2023-05-13 01:06 - 신청
2023-06-07 15:42 - 문서재제출요청
2023-06-14 23:15 - 신청
2023-06-15 22:13 - 문서재제출요청
2023-06-16 10:04 - 신청
2023-07-06 19:56 - 문서재제출요청
2023-07-11 22:45 - 신청
2023-07-12 11:20 - 문서재제출요청
2023-07-12 11:26 - 신청
2023-07-25 15:54 - 문서재제출요청
2023-09-03 23:54 - 신청
2023-11-16 17:20 - 보완요청
2023-11-19 13:15 - 신청
2024-02-06 17:20 - 문서재제출요청
2024-02-16 21:05 - 신청
2024-02-20 22:57 - 문서재제출요청
2024-02-21 01:13 - 신청
2024-03-08 14:07 - 검토승인
2024-03-12 09:41 - 협의검토중
2024-04-17 14:24 - 협의통보
2024-06-28 16:08 - 심의승인</x:v>
      </x:c>
    </x:row>
    <x:row r="3053" ht="42" customHeight="1">
      <x:c r="A3053" s="2" t="str">
        <x:v>acf9d399a45970417ebe7108</x:v>
      </x:c>
      <x:c r="B3053" s="2" t="str">
        <x:v>감축량 인증</x:v>
      </x:c>
      <x:c r="C3053" s="2" t="str">
        <x:v>국외</x:v>
      </x:c>
      <x:c r="D3053" s="7" t="str">
        <x:v>인도 청정에너지 기기 보급 사업 (PoA 9181-CPA 22)</x:v>
      </x:c>
      <x:c r="E3053" s="2" t="str">
        <x:v>637</x:v>
      </x:c>
      <x:c r="F3053" s="2" t="str">
        <x:v>2022-12-15</x:v>
      </x:c>
      <x:c r="G3053" s="2" t="str">
        <x:v>2022</x:v>
      </x:c>
      <x:c r="H3053" s="2" t="str">
        <x:v>12</x:v>
      </x:c>
      <x:c r="I3053" s="2" t="str">
        <x:v>심의승인</x:v>
      </x:c>
      <x:c r="J3053" s="2" t="str">
        <x:v>심의승인</x:v>
      </x:c>
      <x:c r="K3053" s="2" t="str">
        <x:f>IF(OR(J3053="심의승인",J3053="반려",J3053="반려완료",J3053="심의완료"),"종결 표시",IF(OR(J3053="기후부협의",J3053="문서재제출요청",J3053="보류",J3053="보완요청",J3053="보완완료",J3053="평가중",J3053="반려요청",J3053="평가필요",LEFT(J3053,5)="보완요청("),"미종결 표시","상태 확인 필요"))</x:f>
        <x:v>종결 표시</x:v>
      </x:c>
      <x:c r="L3053" s="2" t="str">
        <x:v>KRIC</x:v>
      </x:c>
      <x:c r="M3053" s="2"/>
      <x:c r="N3053" s="8" t="n">
        <x:f>DATE(2026,10,15)-DATE(2022,12,15)</x:f>
        <x:v>1400</x:v>
      </x:c>
      <x:c r="O3053" s="2"/>
      <x:c r="P3053" s="2" t="str">
        <x:v>57차 인증위 승인</x:v>
      </x:c>
      <x:c r="Q3053" s="2" t="str">
        <x:v>산업전환_외부사업관리Tool_260707_이너젠 수정_LJY_261013.xlsx</x:v>
      </x:c>
      <x:c r="R3053" s="2" t="str">
        <x:v>국외인증</x:v>
      </x:c>
      <x:c r="S3053" s="8" t="n">
        <x:v>640</x:v>
      </x:c>
      <x:c r="T3053" s="2" t="str">
        <x:v>(12/27)</x:v>
      </x:c>
      <x:c r="U3053" s="2" t="str">
        <x:v>2022 지정: (12/27) / 2023 지정: (5/16),(6/27)</x:v>
      </x:c>
      <x:c r="V3053" s="2" t="str">
        <x:v>2024-06-28</x:v>
      </x:c>
      <x:c r="W3053" s="2" t="str"/>
      <x:c r="X3053" s="2" t="str">
        <x:v>종결 근거 보관</x:v>
      </x:c>
      <x:c r="Y3053" s="2" t="str">
        <x:v>ad210cd9ec132cfd447541c8984dc53d30aff0f4fb2dc92d254d49275cc55976</x:v>
      </x:c>
      <x:c r="Z3053" s="2" t="n">
        <x:f>SUBTOTAL(103,A3053)</x:f>
        <x:v>1</x:v>
      </x:c>
      <x:c r="AA3053" s="2" t="str">
        <x:f>IF(K3053&lt;&gt;"미종결 표시","대상 아님",IF(N3053="","신청일 확인",IF(NOT(ISNUMBER('종합 현황'!$H$5)),"관찰기준 확인",IF('종합 현황'!$H$5&lt;1,"관찰기준 확인",IF(N3053&gt;'종합 현황'!$H$5,"내부 관찰 대상","내부 관찰일 이하")))))</x:f>
        <x:v>대상 아님</x:v>
      </x:c>
      <x:c r="AB3053" s="2" t="str">
        <x:v>2022-12-15 23:43 - 신청
2023-04-17 10:08 - 문서재제출요청
2023-05-13 01:07 - 신청
2023-06-07 20:16 - 문서재제출요청
2023-06-14 23:59 - 신청
2023-06-15 23:06 - 문서재제출요청
2023-06-16 10:20 - 신청
2023-07-06 20:07 - 문서재제출요청
2023-07-11 22:54 - 신청
2023-07-12 11:21 - 문서재제출요청
2023-07-12 11:25 - 신청
2023-07-25 15:58 - 문서재제출요청
2023-09-04 00:01 - 신청
2023-11-16 17:19 - 보완요청
2023-11-19 13:21 - 신청
2024-02-06 17:22 - 문서재제출요청
2024-02-16 21:16 - 신청
2024-02-20 23:14 - 문서재제출요청
2024-02-21 01:14 - 신청
2024-03-08 14:06 - 검토승인
2024-03-12 09:41 - 협의검토중
2024-04-17 14:24 - 협의통보
2024-06-28 16:15 - 심의승인</x:v>
      </x:c>
    </x:row>
    <x:row r="3054" ht="42" customHeight="1">
      <x:c r="A3054" s="2" t="str">
        <x:v>e5d83bd2e2c93c37a7902e49</x:v>
      </x:c>
      <x:c r="B3054" s="2" t="str">
        <x:v>감축량 인증</x:v>
      </x:c>
      <x:c r="C3054" s="2" t="str">
        <x:v>국외</x:v>
      </x:c>
      <x:c r="D3054" s="7" t="str">
        <x:v>인도 청정에너지 기기 보급 사업 (PoA 9181-CPA 19)</x:v>
      </x:c>
      <x:c r="E3054" s="2" t="str">
        <x:v>639</x:v>
      </x:c>
      <x:c r="F3054" s="2" t="str">
        <x:v>2022-12-16</x:v>
      </x:c>
      <x:c r="G3054" s="2" t="str">
        <x:v>2022</x:v>
      </x:c>
      <x:c r="H3054" s="2" t="str">
        <x:v>12</x:v>
      </x:c>
      <x:c r="I3054" s="2" t="str">
        <x:v>심의승인</x:v>
      </x:c>
      <x:c r="J3054" s="2" t="str">
        <x:v>심의승인</x:v>
      </x:c>
      <x:c r="K3054" s="2" t="str">
        <x:f>IF(OR(J3054="심의승인",J3054="반려",J3054="반려완료",J3054="심의완료"),"종결 표시",IF(OR(J3054="기후부협의",J3054="문서재제출요청",J3054="보류",J3054="보완요청",J3054="보완완료",J3054="평가중",J3054="반려요청",J3054="평가필요",LEFT(J3054,5)="보완요청("),"미종결 표시","상태 확인 필요"))</x:f>
        <x:v>종결 표시</x:v>
      </x:c>
      <x:c r="L3054" s="2" t="str">
        <x:v>KRIC</x:v>
      </x:c>
      <x:c r="M3054" s="2"/>
      <x:c r="N3054" s="8" t="n">
        <x:f>DATE(2026,10,15)-DATE(2022,12,16)</x:f>
        <x:v>1399</x:v>
      </x:c>
      <x:c r="O3054" s="2"/>
      <x:c r="P3054" s="2" t="str">
        <x:v>57차 인증위 승인</x:v>
      </x:c>
      <x:c r="Q3054" s="2" t="str">
        <x:v>산업전환_외부사업관리Tool_260707_이너젠 수정_LJY_261013.xlsx</x:v>
      </x:c>
      <x:c r="R3054" s="2" t="str">
        <x:v>국외인증</x:v>
      </x:c>
      <x:c r="S3054" s="8" t="n">
        <x:v>641</x:v>
      </x:c>
      <x:c r="T3054" s="2" t="str">
        <x:v>(12/27)</x:v>
      </x:c>
      <x:c r="U3054" s="2" t="str">
        <x:v>2022 지정: (12/27) / 2023 지정: (5/16),(6/27)</x:v>
      </x:c>
      <x:c r="V3054" s="2" t="str">
        <x:v>2024-06-28</x:v>
      </x:c>
      <x:c r="W3054" s="2" t="str"/>
      <x:c r="X3054" s="2" t="str">
        <x:v>종결 근거 보관</x:v>
      </x:c>
      <x:c r="Y3054" s="2" t="str">
        <x:v>ad210cd9ec132cfd447541c8984dc53d30aff0f4fb2dc92d254d49275cc55976</x:v>
      </x:c>
      <x:c r="Z3054" s="2" t="n">
        <x:f>SUBTOTAL(103,A3054)</x:f>
        <x:v>1</x:v>
      </x:c>
      <x:c r="AA3054" s="2" t="str">
        <x:f>IF(K3054&lt;&gt;"미종결 표시","대상 아님",IF(N3054="","신청일 확인",IF(NOT(ISNUMBER('종합 현황'!$H$5)),"관찰기준 확인",IF('종합 현황'!$H$5&lt;1,"관찰기준 확인",IF(N3054&gt;'종합 현황'!$H$5,"내부 관찰 대상","내부 관찰일 이하")))))</x:f>
        <x:v>대상 아님</x:v>
      </x:c>
      <x:c r="AB3054" s="2" t="str">
        <x:v>2022-12-16 12:28 - 신청
2023-04-17 10:27 - 문서재제출요청
2023-05-13 01:09 - 신청
2023-06-07 21:03 - 문서재제출요청
2023-06-15 00:49 - 신청
2023-06-16 10:48 - 문서재제출요청
2023-06-18 18:57 - 신청
2023-07-06 20:12 - 문서재제출요청
2023-07-11 22:59 - 신청
2023-07-12 11:21 - 문서재제출요청
2023-07-12 11:25 - 신청
2023-07-25 16:01 - 문서재제출요청
2023-09-04 00:07 - 신청
2023-11-16 17:14 - 보완요청
2023-11-19 13:24 - 신청
2024-02-06 17:24 - 문서재제출요청
2024-02-16 04:06 - 신청
2024-03-08 14:00 - 검토승인
2024-03-12 09:42 - 협의검토중
2024-04-17 14:20 - 협의통보
2024-06-28 16:28 - 심의승인</x:v>
      </x:c>
    </x:row>
    <x:row r="3055" ht="42" customHeight="1">
      <x:c r="A3055" s="2" t="str">
        <x:v>a07e89cd6d9a0d776138b4ec</x:v>
      </x:c>
      <x:c r="B3055" s="2" t="str">
        <x:v>감축량 인증</x:v>
      </x:c>
      <x:c r="C3055" s="2" t="str">
        <x:v>국외</x:v>
      </x:c>
      <x:c r="D3055" s="7" t="str">
        <x:v>인도 청정에너지 기기 보급 사업 (PoA 9181-CPA 20)</x:v>
      </x:c>
      <x:c r="E3055" s="2" t="str">
        <x:v>640</x:v>
      </x:c>
      <x:c r="F3055" s="2" t="str">
        <x:v>2022-12-16</x:v>
      </x:c>
      <x:c r="G3055" s="2" t="str">
        <x:v>2022</x:v>
      </x:c>
      <x:c r="H3055" s="2" t="str">
        <x:v>12</x:v>
      </x:c>
      <x:c r="I3055" s="2" t="str">
        <x:v>심의승인</x:v>
      </x:c>
      <x:c r="J3055" s="2" t="str">
        <x:v>심의승인</x:v>
      </x:c>
      <x:c r="K3055" s="2" t="str">
        <x:f>IF(OR(J3055="심의승인",J3055="반려",J3055="반려완료",J3055="심의완료"),"종결 표시",IF(OR(J3055="기후부협의",J3055="문서재제출요청",J3055="보류",J3055="보완요청",J3055="보완완료",J3055="평가중",J3055="반려요청",J3055="평가필요",LEFT(J3055,5)="보완요청("),"미종결 표시","상태 확인 필요"))</x:f>
        <x:v>종결 표시</x:v>
      </x:c>
      <x:c r="L3055" s="2" t="str">
        <x:v>KRIC</x:v>
      </x:c>
      <x:c r="M3055" s="2"/>
      <x:c r="N3055" s="8" t="n">
        <x:f>DATE(2026,10,15)-DATE(2022,12,16)</x:f>
        <x:v>1399</x:v>
      </x:c>
      <x:c r="O3055" s="2"/>
      <x:c r="P3055" s="2" t="str">
        <x:v>57차 인증위 승인</x:v>
      </x:c>
      <x:c r="Q3055" s="2" t="str">
        <x:v>산업전환_외부사업관리Tool_260707_이너젠 수정_LJY_261013.xlsx</x:v>
      </x:c>
      <x:c r="R3055" s="2" t="str">
        <x:v>국외인증</x:v>
      </x:c>
      <x:c r="S3055" s="8" t="n">
        <x:v>642</x:v>
      </x:c>
      <x:c r="T3055" s="2" t="str">
        <x:v>(12/27)</x:v>
      </x:c>
      <x:c r="U3055" s="2" t="str">
        <x:v>2022 지정: (12/27) / 2023 지정: (5/16),(6/27)</x:v>
      </x:c>
      <x:c r="V3055" s="2" t="str">
        <x:v>2024-06-28</x:v>
      </x:c>
      <x:c r="W3055" s="2" t="str"/>
      <x:c r="X3055" s="2" t="str">
        <x:v>종결 근거 보관</x:v>
      </x:c>
      <x:c r="Y3055" s="2" t="str">
        <x:v>ad210cd9ec132cfd447541c8984dc53d30aff0f4fb2dc92d254d49275cc55976</x:v>
      </x:c>
      <x:c r="Z3055" s="2" t="n">
        <x:f>SUBTOTAL(103,A3055)</x:f>
        <x:v>1</x:v>
      </x:c>
      <x:c r="AA3055" s="2" t="str">
        <x:f>IF(K3055&lt;&gt;"미종결 표시","대상 아님",IF(N3055="","신청일 확인",IF(NOT(ISNUMBER('종합 현황'!$H$5)),"관찰기준 확인",IF('종합 현황'!$H$5&lt;1,"관찰기준 확인",IF(N3055&gt;'종합 현황'!$H$5,"내부 관찰 대상","내부 관찰일 이하")))))</x:f>
        <x:v>대상 아님</x:v>
      </x:c>
      <x:c r="AB3055" s="2" t="str">
        <x:v>2022-12-16 12:30 - 신청
2023-04-17 10:27 - 문서재제출요청
2023-05-13 01:09 - 신청
2023-06-07 21:06 - 문서재제출요청
2023-06-15 00:52 - 신청
2023-06-16 10:49 - 문서재제출요청
2023-06-18 19:06 - 신청
2023-07-06 20:13 - 문서재제출요청
2023-07-11 23:01 - 신청
2023-07-12 11:21 - 문서재제출요청
2023-07-12 11:24 - 신청
2023-07-25 16:01 - 문서재제출요청
2023-09-04 00:08 - 신청
2023-11-16 17:14 - 보완요청
2023-11-19 13:25 - 신청
2024-02-06 17:24 - 문서재제출요청
2024-02-16 21:17 - 신청
2024-02-20 23:27 - 문서재제출요청
2024-02-21 01:15 - 신청
2024-03-08 14:02 - 검토승인
2024-03-12 09:42 - 협의검토중
2024-04-17 14:22 - 협의통보
2024-06-28 16:24 - 심의승인</x:v>
      </x:c>
    </x:row>
    <x:row r="3056" ht="42" customHeight="1">
      <x:c r="A3056" s="2" t="str">
        <x:v>a4c68ca859653de43ee1c208</x:v>
      </x:c>
      <x:c r="B3056" s="2" t="str">
        <x:v>감축량 인증</x:v>
      </x:c>
      <x:c r="C3056" s="2" t="str">
        <x:v>국외</x:v>
      </x:c>
      <x:c r="D3056" s="7" t="str">
        <x:v>인도 청정에너지 기기 보급 사업 (PoA 9181-CPA 23)</x:v>
      </x:c>
      <x:c r="E3056" s="2" t="str">
        <x:v>638</x:v>
      </x:c>
      <x:c r="F3056" s="2" t="str">
        <x:v>2022-12-15</x:v>
      </x:c>
      <x:c r="G3056" s="2" t="str">
        <x:v>2022</x:v>
      </x:c>
      <x:c r="H3056" s="2" t="str">
        <x:v>12</x:v>
      </x:c>
      <x:c r="I3056" s="2" t="str">
        <x:v>심의승인</x:v>
      </x:c>
      <x:c r="J3056" s="2" t="str">
        <x:v>심의승인</x:v>
      </x:c>
      <x:c r="K3056" s="2" t="str">
        <x:f>IF(OR(J3056="심의승인",J3056="반려",J3056="반려완료",J3056="심의완료"),"종결 표시",IF(OR(J3056="기후부협의",J3056="문서재제출요청",J3056="보류",J3056="보완요청",J3056="보완완료",J3056="평가중",J3056="반려요청",J3056="평가필요",LEFT(J3056,5)="보완요청("),"미종결 표시","상태 확인 필요"))</x:f>
        <x:v>종결 표시</x:v>
      </x:c>
      <x:c r="L3056" s="2" t="str">
        <x:v>KRIC</x:v>
      </x:c>
      <x:c r="M3056" s="2"/>
      <x:c r="N3056" s="8" t="n">
        <x:f>DATE(2026,10,15)-DATE(2022,12,15)</x:f>
        <x:v>1400</x:v>
      </x:c>
      <x:c r="O3056" s="2"/>
      <x:c r="P3056" s="2" t="str">
        <x:v>57차 인증위 승인</x:v>
      </x:c>
      <x:c r="Q3056" s="2" t="str">
        <x:v>산업전환_외부사업관리Tool_260707_이너젠 수정_LJY_261013.xlsx</x:v>
      </x:c>
      <x:c r="R3056" s="2" t="str">
        <x:v>국외인증</x:v>
      </x:c>
      <x:c r="S3056" s="8" t="n">
        <x:v>643</x:v>
      </x:c>
      <x:c r="T3056" s="2" t="str">
        <x:v>(12/27)</x:v>
      </x:c>
      <x:c r="U3056" s="2" t="str">
        <x:v>2022 지정: (12/27) / 2023 지정: (5/16),(6/27)</x:v>
      </x:c>
      <x:c r="V3056" s="2" t="str">
        <x:v>2024-06-28</x:v>
      </x:c>
      <x:c r="W3056" s="2" t="str"/>
      <x:c r="X3056" s="2" t="str">
        <x:v>종결 근거 보관</x:v>
      </x:c>
      <x:c r="Y3056" s="2" t="str">
        <x:v>ad210cd9ec132cfd447541c8984dc53d30aff0f4fb2dc92d254d49275cc55976</x:v>
      </x:c>
      <x:c r="Z3056" s="2" t="n">
        <x:f>SUBTOTAL(103,A3056)</x:f>
        <x:v>1</x:v>
      </x:c>
      <x:c r="AA3056" s="2" t="str">
        <x:f>IF(K3056&lt;&gt;"미종결 표시","대상 아님",IF(N3056="","신청일 확인",IF(NOT(ISNUMBER('종합 현황'!$H$5)),"관찰기준 확인",IF('종합 현황'!$H$5&lt;1,"관찰기준 확인",IF(N3056&gt;'종합 현황'!$H$5,"내부 관찰 대상","내부 관찰일 이하")))))</x:f>
        <x:v>대상 아님</x:v>
      </x:c>
      <x:c r="AB3056" s="2" t="str">
        <x:v>2022-12-15 23:46 - 신청
2023-04-17 10:10 - 문서재제출요청
2023-05-13 01:08 - 신청
2023-06-07 20:18 - 문서재제출요청
2023-06-15 00:00 - 신청
2023-06-15 23:06 - 문서재제출요청
2023-06-16 10:23 - 신청
2023-07-06 20:09 - 문서재제출요청
2023-07-11 22:56 - 신청
2023-07-12 11:21 - 문서재제출요청
2023-07-12 11:25 - 신청
2023-07-25 15:58 - 문서재제출요청
2023-09-04 00:02 - 신청
2023-11-16 17:18 - 보완요청
2023-11-19 13:21 - 신청
2024-02-06 17:23 - 문서재제출요청
2024-02-16 21:21 - 신청
2024-02-20 23:16 - 문서재제출요청
2024-02-21 01:15 - 신청
2024-03-08 14:07 - 검토승인
2024-03-12 09:41 - 협의검토중
2024-04-17 14:24 - 협의통보
2024-06-28 16:07 - 심의승인</x:v>
      </x:c>
    </x:row>
    <x:row r="3057" ht="42" customHeight="1">
      <x:c r="A3057" s="2" t="str">
        <x:v>45782a9559cfe34b311c77ed</x:v>
      </x:c>
      <x:c r="B3057" s="2" t="str">
        <x:v>감축량 인증</x:v>
      </x:c>
      <x:c r="C3057" s="2" t="str">
        <x:v>국외</x:v>
      </x:c>
      <x:c r="D3057" s="7" t="str">
        <x:v>인도 청정에너지 기기 보급 사업 (PoA 9181-CPA 22)</x:v>
      </x:c>
      <x:c r="E3057" s="2" t="str">
        <x:v>642</x:v>
      </x:c>
      <x:c r="F3057" s="2" t="str">
        <x:v>2022-12-16</x:v>
      </x:c>
      <x:c r="G3057" s="2" t="str">
        <x:v>2022</x:v>
      </x:c>
      <x:c r="H3057" s="2" t="str">
        <x:v>12</x:v>
      </x:c>
      <x:c r="I3057" s="2" t="str">
        <x:v>심의승인</x:v>
      </x:c>
      <x:c r="J3057" s="2" t="str">
        <x:v>심의승인</x:v>
      </x:c>
      <x:c r="K3057" s="2" t="str">
        <x:f>IF(OR(J3057="심의승인",J3057="반려",J3057="반려완료",J3057="심의완료"),"종결 표시",IF(OR(J3057="기후부협의",J3057="문서재제출요청",J3057="보류",J3057="보완요청",J3057="보완완료",J3057="평가중",J3057="반려요청",J3057="평가필요",LEFT(J3057,5)="보완요청("),"미종결 표시","상태 확인 필요"))</x:f>
        <x:v>종결 표시</x:v>
      </x:c>
      <x:c r="L3057" s="2" t="str">
        <x:v>KRIC</x:v>
      </x:c>
      <x:c r="M3057" s="2"/>
      <x:c r="N3057" s="8" t="n">
        <x:f>DATE(2026,10,15)-DATE(2022,12,16)</x:f>
        <x:v>1399</x:v>
      </x:c>
      <x:c r="O3057" s="2"/>
      <x:c r="P3057" s="2" t="str">
        <x:v>57차 인증위 승인</x:v>
      </x:c>
      <x:c r="Q3057" s="2" t="str">
        <x:v>산업전환_외부사업관리Tool_260707_이너젠 수정_LJY_261013.xlsx</x:v>
      </x:c>
      <x:c r="R3057" s="2" t="str">
        <x:v>국외인증</x:v>
      </x:c>
      <x:c r="S3057" s="8" t="n">
        <x:v>644</x:v>
      </x:c>
      <x:c r="T3057" s="2" t="str">
        <x:v>(12/27)</x:v>
      </x:c>
      <x:c r="U3057" s="2" t="str">
        <x:v>2022 지정: (12/27) / 2023 지정: (5/16),(6/27)</x:v>
      </x:c>
      <x:c r="V3057" s="2" t="str">
        <x:v>2024-06-28</x:v>
      </x:c>
      <x:c r="W3057" s="2" t="str"/>
      <x:c r="X3057" s="2" t="str">
        <x:v>종결 근거 보관</x:v>
      </x:c>
      <x:c r="Y3057" s="2" t="str">
        <x:v>ad210cd9ec132cfd447541c8984dc53d30aff0f4fb2dc92d254d49275cc55976</x:v>
      </x:c>
      <x:c r="Z3057" s="2" t="n">
        <x:f>SUBTOTAL(103,A3057)</x:f>
        <x:v>1</x:v>
      </x:c>
      <x:c r="AA3057" s="2" t="str">
        <x:f>IF(K3057&lt;&gt;"미종결 표시","대상 아님",IF(N3057="","신청일 확인",IF(NOT(ISNUMBER('종합 현황'!$H$5)),"관찰기준 확인",IF('종합 현황'!$H$5&lt;1,"관찰기준 확인",IF(N3057&gt;'종합 현황'!$H$5,"내부 관찰 대상","내부 관찰일 이하")))))</x:f>
        <x:v>대상 아님</x:v>
      </x:c>
      <x:c r="AB3057" s="2" t="str">
        <x:v>2022-12-16 12:35 - 신청
2023-04-17 10:29 - 문서재제출요청
2023-05-13 01:10 - 신청
2023-06-07 21:10 - 문서재제출요청
2023-06-15 00:54 - 신청
2023-06-16 10:51 - 문서재제출요청
2023-06-18 19:28 - 신청
2023-07-06 20:15 - 문서재제출요청
2023-07-11 23:05 - 신청
2023-07-12 11:22 - 문서재제출요청
2023-07-12 11:24 - 신청
2023-07-25 16:02 - 문서재제출요청
2023-09-06 21:55 - 신청
2023-11-16 17:13 - 보완요청
2023-11-19 13:26 - 신청
2024-02-06 17:25 - 문서재제출요청
2024-02-16 21:10 - 신청
2024-02-20 23:29 - 문서재제출요청
2024-02-21 01:16 - 신청
2024-03-08 14:06 - 검토승인
2024-03-12 09:41 - 협의검토중
2024-04-17 14:24 - 협의통보
2024-06-28 16:16 - 심의승인</x:v>
      </x:c>
    </x:row>
    <x:row r="3058" ht="42" customHeight="1">
      <x:c r="A3058" s="2" t="str">
        <x:v>bcf4d138d7c1ab0fb5f19ee7</x:v>
      </x:c>
      <x:c r="B3058" s="2" t="str">
        <x:v>감축량 인증</x:v>
      </x:c>
      <x:c r="C3058" s="2" t="str">
        <x:v>국외</x:v>
      </x:c>
      <x:c r="D3058" s="7" t="str">
        <x:v>인도 청정에너지 기기 보급 사업 (PoA 9181-CPA 23)</x:v>
      </x:c>
      <x:c r="E3058" s="2" t="str">
        <x:v>643</x:v>
      </x:c>
      <x:c r="F3058" s="2" t="str">
        <x:v>2022-12-16</x:v>
      </x:c>
      <x:c r="G3058" s="2" t="str">
        <x:v>2022</x:v>
      </x:c>
      <x:c r="H3058" s="2" t="str">
        <x:v>12</x:v>
      </x:c>
      <x:c r="I3058" s="2" t="str">
        <x:v>심의승인</x:v>
      </x:c>
      <x:c r="J3058" s="2" t="str">
        <x:v>심의승인</x:v>
      </x:c>
      <x:c r="K3058" s="2" t="str">
        <x:f>IF(OR(J3058="심의승인",J3058="반려",J3058="반려완료",J3058="심의완료"),"종결 표시",IF(OR(J3058="기후부협의",J3058="문서재제출요청",J3058="보류",J3058="보완요청",J3058="보완완료",J3058="평가중",J3058="반려요청",J3058="평가필요",LEFT(J3058,5)="보완요청("),"미종결 표시","상태 확인 필요"))</x:f>
        <x:v>종결 표시</x:v>
      </x:c>
      <x:c r="L3058" s="2" t="str">
        <x:v>KRIC</x:v>
      </x:c>
      <x:c r="M3058" s="2"/>
      <x:c r="N3058" s="8" t="n">
        <x:f>DATE(2026,10,15)-DATE(2022,12,16)</x:f>
        <x:v>1399</x:v>
      </x:c>
      <x:c r="O3058" s="2"/>
      <x:c r="P3058" s="2" t="str">
        <x:v>57차 인증위 승인</x:v>
      </x:c>
      <x:c r="Q3058" s="2" t="str">
        <x:v>산업전환_외부사업관리Tool_260707_이너젠 수정_LJY_261013.xlsx</x:v>
      </x:c>
      <x:c r="R3058" s="2" t="str">
        <x:v>국외인증</x:v>
      </x:c>
      <x:c r="S3058" s="8" t="n">
        <x:v>645</x:v>
      </x:c>
      <x:c r="T3058" s="2" t="str">
        <x:v>(12/27)</x:v>
      </x:c>
      <x:c r="U3058" s="2" t="str">
        <x:v>2022 지정: (12/27) / 2023 지정: (5/16),(6/27)</x:v>
      </x:c>
      <x:c r="V3058" s="2" t="str">
        <x:v>2024-06-28</x:v>
      </x:c>
      <x:c r="W3058" s="2" t="str"/>
      <x:c r="X3058" s="2" t="str">
        <x:v>종결 근거 보관</x:v>
      </x:c>
      <x:c r="Y3058" s="2" t="str">
        <x:v>ad210cd9ec132cfd447541c8984dc53d30aff0f4fb2dc92d254d49275cc55976</x:v>
      </x:c>
      <x:c r="Z3058" s="2" t="n">
        <x:f>SUBTOTAL(103,A3058)</x:f>
        <x:v>1</x:v>
      </x:c>
      <x:c r="AA3058" s="2" t="str">
        <x:f>IF(K3058&lt;&gt;"미종결 표시","대상 아님",IF(N3058="","신청일 확인",IF(NOT(ISNUMBER('종합 현황'!$H$5)),"관찰기준 확인",IF('종합 현황'!$H$5&lt;1,"관찰기준 확인",IF(N3058&gt;'종합 현황'!$H$5,"내부 관찰 대상","내부 관찰일 이하")))))</x:f>
        <x:v>대상 아님</x:v>
      </x:c>
      <x:c r="AB3058" s="2" t="str">
        <x:v>2022-12-16 12:37 - 신청
2023-04-17 10:30 - 문서재제출요청
2023-05-13 01:11 - 신청
2023-06-07 21:11 - 문서재제출요청
2023-06-15 00:55 - 신청
2023-06-16 10:51 - 문서재제출요청
2023-06-18 19:31 - 신청
2023-07-06 20:16 - 문서재제출요청
2023-07-11 23:07 - 신청
2023-07-12 11:22 - 문서재제출요청
2023-07-12 11:23 - 신청
2023-07-25 16:00 - 문서재제출요청
2023-09-06 21:55 - 신청
2023-11-16 17:12 - 보완요청
2023-11-19 13:26 - 신청
2024-02-06 17:25 - 문서재제출요청
2024-02-16 21:11 - 신청
2024-02-20 23:30 - 문서재제출요청
2024-02-21 01:16 - 신청
2024-03-08 14:07 - 검토승인
2024-03-12 09:41 - 협의검토중
2024-04-17 14:24 - 협의통보
2024-06-28 16:03 - 심의승인</x:v>
      </x:c>
    </x:row>
    <x:row r="3059" ht="42" customHeight="1">
      <x:c r="A3059" s="2" t="str">
        <x:v>1868a32745ac71140eb84a92</x:v>
      </x:c>
      <x:c r="B3059" s="2" t="str">
        <x:v>감축량 인증</x:v>
      </x:c>
      <x:c r="C3059" s="2" t="str">
        <x:v>국외</x:v>
      </x:c>
      <x:c r="D3059" s="7" t="str">
        <x:v>사하라 이남 아프리카 고효율 쿡스토브 보급 사업-나이지리아-CPA003</x:v>
      </x:c>
      <x:c r="E3059" s="2" t="str">
        <x:v>644</x:v>
      </x:c>
      <x:c r="F3059" s="2" t="str">
        <x:v>2022-12-19</x:v>
      </x:c>
      <x:c r="G3059" s="2" t="str">
        <x:v>2022</x:v>
      </x:c>
      <x:c r="H3059" s="2" t="str">
        <x:v>12</x:v>
      </x:c>
      <x:c r="I3059" s="2" t="str">
        <x:v>심의승인</x:v>
      </x:c>
      <x:c r="J3059" s="2" t="str">
        <x:v>심의승인</x:v>
      </x:c>
      <x:c r="K3059" s="2" t="str">
        <x:f>IF(OR(J3059="심의승인",J3059="반려",J3059="반려완료",J3059="심의완료"),"종결 표시",IF(OR(J3059="기후부협의",J3059="문서재제출요청",J3059="보류",J3059="보완요청",J3059="보완완료",J3059="평가중",J3059="반려요청",J3059="평가필요",LEFT(J3059,5)="보완요청("),"미종결 표시","상태 확인 필요"))</x:f>
        <x:v>종결 표시</x:v>
      </x:c>
      <x:c r="L3059" s="2" t="str">
        <x:v>KRIC</x:v>
      </x:c>
      <x:c r="M3059" s="2"/>
      <x:c r="N3059" s="8" t="n">
        <x:f>DATE(2026,10,15)-DATE(2022,12,19)</x:f>
        <x:v>1396</x:v>
      </x:c>
      <x:c r="O3059" s="2"/>
      <x:c r="P3059" s="2"/>
      <x:c r="Q3059" s="2" t="str">
        <x:v>산업전환_외부사업관리Tool_260707_이너젠 수정_LJY_261013.xlsx</x:v>
      </x:c>
      <x:c r="R3059" s="2" t="str">
        <x:v>국외인증</x:v>
      </x:c>
      <x:c r="S3059" s="8" t="n">
        <x:v>646</x:v>
      </x:c>
      <x:c r="T3059" s="2" t="str">
        <x:v>(12/27)</x:v>
      </x:c>
      <x:c r="U3059" s="2" t="str">
        <x:v>2022 지정: (12/27)</x:v>
      </x:c>
      <x:c r="V3059" s="2" t="str">
        <x:v>2023-06-22</x:v>
      </x:c>
      <x:c r="W3059" s="2" t="str"/>
      <x:c r="X3059" s="2" t="str">
        <x:v>종결 근거 보관</x:v>
      </x:c>
      <x:c r="Y3059" s="2" t="str">
        <x:v>ad210cd9ec132cfd447541c8984dc53d30aff0f4fb2dc92d254d49275cc55976</x:v>
      </x:c>
      <x:c r="Z3059" s="2" t="n">
        <x:f>SUBTOTAL(103,A3059)</x:f>
        <x:v>1</x:v>
      </x:c>
      <x:c r="AA3059" s="2" t="str">
        <x:f>IF(K3059&lt;&gt;"미종결 표시","대상 아님",IF(N3059="","신청일 확인",IF(NOT(ISNUMBER('종합 현황'!$H$5)),"관찰기준 확인",IF('종합 현황'!$H$5&lt;1,"관찰기준 확인",IF(N3059&gt;'종합 현황'!$H$5,"내부 관찰 대상","내부 관찰일 이하")))))</x:f>
        <x:v>대상 아님</x:v>
      </x:c>
      <x:c r="AB3059" s="2" t="str">
        <x:v>2022-12-19 18:07 - 신청
2023-01-06 15:46 - 문서재제출요청
2023-01-11 09:26 - 신청
2023-01-27 11:44 - 문서재제출요청
2023-01-30 15:10 - 신청
2023-02-02 17:05 - 문서재제출요청
2023-02-10 14:56 - 신청
2023-02-16 16:02 - 문서재제출요청
2023-02-21 16:49 - 신청
2023-03-29 17:07 - 검토승인
2023-03-29 17:07 - 협의검토중
2023-04-10 18:07 - 협의통보
2023-06-22 16:05 - 심의승인</x:v>
      </x:c>
    </x:row>
    <x:row r="3060" ht="42" customHeight="1">
      <x:c r="A3060" s="2" t="str">
        <x:v>ae53c8d7110d8e47fd1d8434</x:v>
      </x:c>
      <x:c r="B3060" s="2" t="str">
        <x:v>감축량 인증</x:v>
      </x:c>
      <x:c r="C3060" s="2" t="str">
        <x:v>국외</x:v>
      </x:c>
      <x:c r="D3060" s="7" t="str">
        <x:v>델라구아 르완다 공중 보건 프로그램 : 르완다 CPA028 사업</x:v>
      </x:c>
      <x:c r="E3060" s="2" t="str">
        <x:v>645</x:v>
      </x:c>
      <x:c r="F3060" s="2" t="str">
        <x:v>2022-12-22</x:v>
      </x:c>
      <x:c r="G3060" s="2" t="str">
        <x:v>2022</x:v>
      </x:c>
      <x:c r="H3060" s="2" t="str">
        <x:v>12</x:v>
      </x:c>
      <x:c r="I3060" s="2" t="str">
        <x:v>심의승인</x:v>
      </x:c>
      <x:c r="J3060" s="2" t="str">
        <x:v>심의승인</x:v>
      </x:c>
      <x:c r="K3060" s="2" t="str">
        <x:f>IF(OR(J3060="심의승인",J3060="반려",J3060="반려완료",J3060="심의완료"),"종결 표시",IF(OR(J3060="기후부협의",J3060="문서재제출요청",J3060="보류",J3060="보완요청",J3060="보완완료",J3060="평가중",J3060="반려요청",J3060="평가필요",LEFT(J3060,5)="보완요청("),"미종결 표시","상태 확인 필요"))</x:f>
        <x:v>종결 표시</x:v>
      </x:c>
      <x:c r="L3060" s="2" t="str">
        <x:v>KRIC</x:v>
      </x:c>
      <x:c r="M3060" s="2"/>
      <x:c r="N3060" s="8" t="n">
        <x:f>DATE(2026,10,15)-DATE(2022,12,22)</x:f>
        <x:v>1393</x:v>
      </x:c>
      <x:c r="O3060" s="2"/>
      <x:c r="P3060" s="2"/>
      <x:c r="Q3060" s="2" t="str">
        <x:v>산업전환_외부사업관리Tool_260707_이너젠 수정_LJY_261013.xlsx</x:v>
      </x:c>
      <x:c r="R3060" s="2" t="str">
        <x:v>국외인증</x:v>
      </x:c>
      <x:c r="S3060" s="8" t="n">
        <x:v>647</x:v>
      </x:c>
      <x:c r="T3060" s="2" t="str">
        <x:v>(12/27)</x:v>
      </x:c>
      <x:c r="U3060" s="2" t="str">
        <x:v>2022 지정: (12/27)</x:v>
      </x:c>
      <x:c r="V3060" s="2" t="str">
        <x:v>2023-06-22</x:v>
      </x:c>
      <x:c r="W3060" s="2" t="str"/>
      <x:c r="X3060" s="2" t="str">
        <x:v>종결 근거 보관</x:v>
      </x:c>
      <x:c r="Y3060" s="2" t="str">
        <x:v>ad210cd9ec132cfd447541c8984dc53d30aff0f4fb2dc92d254d49275cc55976</x:v>
      </x:c>
      <x:c r="Z3060" s="2" t="n">
        <x:f>SUBTOTAL(103,A3060)</x:f>
        <x:v>1</x:v>
      </x:c>
      <x:c r="AA3060" s="2" t="str">
        <x:f>IF(K3060&lt;&gt;"미종결 표시","대상 아님",IF(N3060="","신청일 확인",IF(NOT(ISNUMBER('종합 현황'!$H$5)),"관찰기준 확인",IF('종합 현황'!$H$5&lt;1,"관찰기준 확인",IF(N3060&gt;'종합 현황'!$H$5,"내부 관찰 대상","내부 관찰일 이하")))))</x:f>
        <x:v>대상 아님</x:v>
      </x:c>
      <x:c r="AB3060" s="2" t="str">
        <x:v>2022-12-22 13:27 - 신청
2023-02-14 16:43 - 문서재제출요청
2023-02-20 15:29 - 신청
2023-03-29 15:32 - 검토승인
2023-03-29 15:32 - 협의검토중
2023-05-04 11:11 - 협의통보
2023-06-22 16:07 - 심의승인</x:v>
      </x:c>
    </x:row>
    <x:row r="3061" ht="42" customHeight="1">
      <x:c r="A3061" s="2" t="str">
        <x:v>60ad729740ef4b2df61bb7db</x:v>
      </x:c>
      <x:c r="B3061" s="2" t="str">
        <x:v>감축량 인증</x:v>
      </x:c>
      <x:c r="C3061" s="2" t="str">
        <x:v>국외</x:v>
      </x:c>
      <x:c r="D3061" s="7" t="str">
        <x:v>왐푸 수력 CDM 사업</x:v>
      </x:c>
      <x:c r="E3061" s="2" t="str">
        <x:v>646</x:v>
      </x:c>
      <x:c r="F3061" s="2" t="str">
        <x:v>2022-12-22</x:v>
      </x:c>
      <x:c r="G3061" s="2" t="str">
        <x:v>2022</x:v>
      </x:c>
      <x:c r="H3061" s="2" t="str">
        <x:v>12</x:v>
      </x:c>
      <x:c r="I3061" s="2" t="str">
        <x:v>심의승인</x:v>
      </x:c>
      <x:c r="J3061" s="2" t="str">
        <x:v>심의승인</x:v>
      </x:c>
      <x:c r="K3061" s="2" t="str">
        <x:f>IF(OR(J3061="심의승인",J3061="반려",J3061="반려완료",J3061="심의완료"),"종결 표시",IF(OR(J3061="기후부협의",J3061="문서재제출요청",J3061="보류",J3061="보완요청",J3061="보완완료",J3061="평가중",J3061="반려요청",J3061="평가필요",LEFT(J3061,5)="보완요청("),"미종결 표시","상태 확인 필요"))</x:f>
        <x:v>종결 표시</x:v>
      </x:c>
      <x:c r="L3061" s="2" t="str">
        <x:v>KRIC</x:v>
      </x:c>
      <x:c r="M3061" s="2"/>
      <x:c r="N3061" s="8" t="n">
        <x:f>DATE(2026,10,15)-DATE(2022,12,22)</x:f>
        <x:v>1393</x:v>
      </x:c>
      <x:c r="O3061" s="2"/>
      <x:c r="P3061" s="2"/>
      <x:c r="Q3061" s="2" t="str">
        <x:v>산업전환_외부사업관리Tool_260707_이너젠 수정_LJY_261013.xlsx</x:v>
      </x:c>
      <x:c r="R3061" s="2" t="str">
        <x:v>국외인증</x:v>
      </x:c>
      <x:c r="S3061" s="8" t="n">
        <x:v>648</x:v>
      </x:c>
      <x:c r="T3061" s="2" t="str">
        <x:v>(12/27)</x:v>
      </x:c>
      <x:c r="U3061" s="2" t="str">
        <x:v>2022 지정: (12/27)</x:v>
      </x:c>
      <x:c r="V3061" s="2" t="str">
        <x:v>2023-12-15</x:v>
      </x:c>
      <x:c r="W3061" s="2" t="str"/>
      <x:c r="X3061" s="2" t="str">
        <x:v>종결 근거 보관</x:v>
      </x:c>
      <x:c r="Y3061" s="2" t="str">
        <x:v>ad210cd9ec132cfd447541c8984dc53d30aff0f4fb2dc92d254d49275cc55976</x:v>
      </x:c>
      <x:c r="Z3061" s="2" t="n">
        <x:f>SUBTOTAL(103,A3061)</x:f>
        <x:v>1</x:v>
      </x:c>
      <x:c r="AA3061" s="2" t="str">
        <x:f>IF(K3061&lt;&gt;"미종결 표시","대상 아님",IF(N3061="","신청일 확인",IF(NOT(ISNUMBER('종합 현황'!$H$5)),"관찰기준 확인",IF('종합 현황'!$H$5&lt;1,"관찰기준 확인",IF(N3061&gt;'종합 현황'!$H$5,"내부 관찰 대상","내부 관찰일 이하")))))</x:f>
        <x:v>대상 아님</x:v>
      </x:c>
      <x:c r="AB3061" s="2" t="str">
        <x:v>2022-12-22 17:39 - 접수
2022-12-23 10:34 - 신청
2023-05-30 13:56 - 문서재제출요청
2023-06-01 11:18 - 접수
2023-06-02 10:57 - 신청
2023-06-13 11:02 - 검토승인
2023-06-28 11:25 - 협의검토중
2023-07-28 15:00 - 협의통보
2023-12-15 16:35 - 심의승인</x:v>
      </x:c>
    </x:row>
    <x:row r="3062" ht="42" customHeight="1">
      <x:c r="A3062" s="2" t="str">
        <x:v>573b16a843b7f20bec9d7f45</x:v>
      </x:c>
      <x:c r="B3062" s="2" t="str">
        <x:v>감축량 인증</x:v>
      </x:c>
      <x:c r="C3062" s="2" t="str">
        <x:v>국외</x:v>
      </x:c>
      <x:c r="D3062" s="7" t="str">
        <x:v>아프리카 고효율 쿡스토브 보급 PoA 사업 : CPA 00007(가나)(한국 지원)</x:v>
      </x:c>
      <x:c r="E3062" s="2" t="str">
        <x:v>647</x:v>
      </x:c>
      <x:c r="F3062" s="2" t="str">
        <x:v>2022-12-23</x:v>
      </x:c>
      <x:c r="G3062" s="2" t="str">
        <x:v>2022</x:v>
      </x:c>
      <x:c r="H3062" s="2" t="str">
        <x:v>12</x:v>
      </x:c>
      <x:c r="I3062" s="2" t="str">
        <x:v>심의승인</x:v>
      </x:c>
      <x:c r="J3062" s="2" t="str">
        <x:v>심의승인</x:v>
      </x:c>
      <x:c r="K3062" s="2" t="str">
        <x:f>IF(OR(J3062="심의승인",J3062="반려",J3062="반려완료",J3062="심의완료"),"종결 표시",IF(OR(J3062="기후부협의",J3062="문서재제출요청",J3062="보류",J3062="보완요청",J3062="보완완료",J3062="평가중",J3062="반려요청",J3062="평가필요",LEFT(J3062,5)="보완요청("),"미종결 표시","상태 확인 필요"))</x:f>
        <x:v>종결 표시</x:v>
      </x:c>
      <x:c r="L3062" s="2" t="str">
        <x:v>KRIC</x:v>
      </x:c>
      <x:c r="M3062" s="2"/>
      <x:c r="N3062" s="8" t="n">
        <x:f>DATE(2026,10,15)-DATE(2022,12,23)</x:f>
        <x:v>1392</x:v>
      </x:c>
      <x:c r="O3062" s="2"/>
      <x:c r="P3062" s="2"/>
      <x:c r="Q3062" s="2" t="str">
        <x:v>산업전환_외부사업관리Tool_260707_이너젠 수정_LJY_261013.xlsx</x:v>
      </x:c>
      <x:c r="R3062" s="2" t="str">
        <x:v>국외인증</x:v>
      </x:c>
      <x:c r="S3062" s="8" t="n">
        <x:v>649</x:v>
      </x:c>
      <x:c r="T3062" s="2" t="str">
        <x:v>(12/27)</x:v>
      </x:c>
      <x:c r="U3062" s="2" t="str">
        <x:v>2022 지정: (12/27) / 2023 지정: (4/3)</x:v>
      </x:c>
      <x:c r="V3062" s="2" t="str">
        <x:v>2023-06-22</x:v>
      </x:c>
      <x:c r="W3062" s="2" t="str"/>
      <x:c r="X3062" s="2" t="str">
        <x:v>종결 근거 보관</x:v>
      </x:c>
      <x:c r="Y3062" s="2" t="str">
        <x:v>ad210cd9ec132cfd447541c8984dc53d30aff0f4fb2dc92d254d49275cc55976</x:v>
      </x:c>
      <x:c r="Z3062" s="2" t="n">
        <x:f>SUBTOTAL(103,A3062)</x:f>
        <x:v>1</x:v>
      </x:c>
      <x:c r="AA3062" s="2" t="str">
        <x:f>IF(K3062&lt;&gt;"미종결 표시","대상 아님",IF(N3062="","신청일 확인",IF(NOT(ISNUMBER('종합 현황'!$H$5)),"관찰기준 확인",IF('종합 현황'!$H$5&lt;1,"관찰기준 확인",IF(N3062&gt;'종합 현황'!$H$5,"내부 관찰 대상","내부 관찰일 이하")))))</x:f>
        <x:v>대상 아님</x:v>
      </x:c>
      <x:c r="AB3062" s="2" t="str">
        <x:v>2022-12-23 16:33 - 신청
2023-02-07 20:28 - 문서재제출요청
2023-02-16 15:26 - 신청
2023-02-27 09:30 - 문서재제출요청
2023-02-27 15:27 - 신청
2023-03-02 16:32 - 문서재제출요청
2023-03-14 11:05 - 신청
2023-03-15 10:43 - 문서재제출요청
2023-03-17 17:29 - 신청
2023-04-06 19:43 - 문서재제출요청
2023-04-07 09:44 - 신청
2023-04-10 16:43 - 검토승인
2023-04-10 16:45 - 협의검토중
2023-05-15 11:17 - 협의통보
2023-06-22 16:33 - 심의승인</x:v>
      </x:c>
    </x:row>
    <x:row r="3063" ht="42" customHeight="1">
      <x:c r="A3063" s="2" t="str">
        <x:v>0e363885649e358b3c19aae3</x:v>
      </x:c>
      <x:c r="B3063" s="2" t="str">
        <x:v>감축량 인증</x:v>
      </x:c>
      <x:c r="C3063" s="2" t="str">
        <x:v>국외</x:v>
      </x:c>
      <x:c r="D3063" s="7" t="str">
        <x:v>아프리카 고효율 쿡스토브 보급 PoA 사업 : CPA 00008(가나)(한국 지원)</x:v>
      </x:c>
      <x:c r="E3063" s="2" t="str">
        <x:v>648</x:v>
      </x:c>
      <x:c r="F3063" s="2" t="str">
        <x:v>2022-12-23</x:v>
      </x:c>
      <x:c r="G3063" s="2" t="str">
        <x:v>2022</x:v>
      </x:c>
      <x:c r="H3063" s="2" t="str">
        <x:v>12</x:v>
      </x:c>
      <x:c r="I3063" s="2" t="str">
        <x:v>심의승인</x:v>
      </x:c>
      <x:c r="J3063" s="2" t="str">
        <x:v>심의승인</x:v>
      </x:c>
      <x:c r="K3063" s="2" t="str">
        <x:f>IF(OR(J3063="심의승인",J3063="반려",J3063="반려완료",J3063="심의완료"),"종결 표시",IF(OR(J3063="기후부협의",J3063="문서재제출요청",J3063="보류",J3063="보완요청",J3063="보완완료",J3063="평가중",J3063="반려요청",J3063="평가필요",LEFT(J3063,5)="보완요청("),"미종결 표시","상태 확인 필요"))</x:f>
        <x:v>종결 표시</x:v>
      </x:c>
      <x:c r="L3063" s="2" t="str">
        <x:v>KRIC</x:v>
      </x:c>
      <x:c r="M3063" s="2"/>
      <x:c r="N3063" s="8" t="n">
        <x:f>DATE(2026,10,15)-DATE(2022,12,23)</x:f>
        <x:v>1392</x:v>
      </x:c>
      <x:c r="O3063" s="2"/>
      <x:c r="P3063" s="2"/>
      <x:c r="Q3063" s="2" t="str">
        <x:v>산업전환_외부사업관리Tool_260707_이너젠 수정_LJY_261013.xlsx</x:v>
      </x:c>
      <x:c r="R3063" s="2" t="str">
        <x:v>국외인증</x:v>
      </x:c>
      <x:c r="S3063" s="8" t="n">
        <x:v>650</x:v>
      </x:c>
      <x:c r="T3063" s="2" t="str">
        <x:v>(12/27)</x:v>
      </x:c>
      <x:c r="U3063" s="2" t="str">
        <x:v>2022 지정: (12/27) / 2023 지정: (4/3)</x:v>
      </x:c>
      <x:c r="V3063" s="2" t="str">
        <x:v>2023-06-22</x:v>
      </x:c>
      <x:c r="W3063" s="2" t="str"/>
      <x:c r="X3063" s="2" t="str">
        <x:v>종결 근거 보관</x:v>
      </x:c>
      <x:c r="Y3063" s="2" t="str">
        <x:v>ad210cd9ec132cfd447541c8984dc53d30aff0f4fb2dc92d254d49275cc55976</x:v>
      </x:c>
      <x:c r="Z3063" s="2" t="n">
        <x:f>SUBTOTAL(103,A3063)</x:f>
        <x:v>1</x:v>
      </x:c>
      <x:c r="AA3063" s="2" t="str">
        <x:f>IF(K3063&lt;&gt;"미종결 표시","대상 아님",IF(N3063="","신청일 확인",IF(NOT(ISNUMBER('종합 현황'!$H$5)),"관찰기준 확인",IF('종합 현황'!$H$5&lt;1,"관찰기준 확인",IF(N3063&gt;'종합 현황'!$H$5,"내부 관찰 대상","내부 관찰일 이하")))))</x:f>
        <x:v>대상 아님</x:v>
      </x:c>
      <x:c r="AB3063" s="2" t="str">
        <x:v>2022-12-23 16:33 - 신청
2023-02-07 20:28 - 문서재제출요청
2023-02-16 15:26 - 신청
2023-02-27 09:31 - 문서재제출요청
2023-02-27 15:27 - 신청
2023-03-02 16:32 - 문서재제출요청
2023-03-14 11:06 - 신청
2023-03-15 10:46 - 문서재제출요청
2023-03-17 17:29 - 신청
2023-04-06 19:43 - 문서재제출요청
2023-04-07 09:44 - 신청
2023-04-10 16:44 - 검토승인
2023-04-10 16:45 - 협의검토중
2023-05-15 11:17 - 협의통보
2023-06-22 16:34 - 심의승인</x:v>
      </x:c>
    </x:row>
    <x:row r="3064" ht="42" customHeight="1">
      <x:c r="A3064" s="2" t="str">
        <x:v>b0b31907093ed7857d8859d9</x:v>
      </x:c>
      <x:c r="B3064" s="2" t="str">
        <x:v>감축량 인증</x:v>
      </x:c>
      <x:c r="C3064" s="2" t="str">
        <x:v>국외</x:v>
      </x:c>
      <x:c r="D3064" s="7" t="str">
        <x:v>아프리카 고효율 쿡스토브 보급 PoA 사업 : CPA 00009(가나)(한국 지원)</x:v>
      </x:c>
      <x:c r="E3064" s="2" t="str">
        <x:v>649</x:v>
      </x:c>
      <x:c r="F3064" s="2" t="str">
        <x:v>2022-12-23</x:v>
      </x:c>
      <x:c r="G3064" s="2" t="str">
        <x:v>2022</x:v>
      </x:c>
      <x:c r="H3064" s="2" t="str">
        <x:v>12</x:v>
      </x:c>
      <x:c r="I3064" s="2" t="str">
        <x:v>심의승인</x:v>
      </x:c>
      <x:c r="J3064" s="2" t="str">
        <x:v>심의승인</x:v>
      </x:c>
      <x:c r="K3064" s="2" t="str">
        <x:f>IF(OR(J3064="심의승인",J3064="반려",J3064="반려완료",J3064="심의완료"),"종결 표시",IF(OR(J3064="기후부협의",J3064="문서재제출요청",J3064="보류",J3064="보완요청",J3064="보완완료",J3064="평가중",J3064="반려요청",J3064="평가필요",LEFT(J3064,5)="보완요청("),"미종결 표시","상태 확인 필요"))</x:f>
        <x:v>종결 표시</x:v>
      </x:c>
      <x:c r="L3064" s="2" t="str">
        <x:v>KRIC</x:v>
      </x:c>
      <x:c r="M3064" s="2"/>
      <x:c r="N3064" s="8" t="n">
        <x:f>DATE(2026,10,15)-DATE(2022,12,23)</x:f>
        <x:v>1392</x:v>
      </x:c>
      <x:c r="O3064" s="2"/>
      <x:c r="P3064" s="2"/>
      <x:c r="Q3064" s="2" t="str">
        <x:v>산업전환_외부사업관리Tool_260707_이너젠 수정_LJY_261013.xlsx</x:v>
      </x:c>
      <x:c r="R3064" s="2" t="str">
        <x:v>국외인증</x:v>
      </x:c>
      <x:c r="S3064" s="8" t="n">
        <x:v>651</x:v>
      </x:c>
      <x:c r="T3064" s="2" t="str">
        <x:v>(12/27)</x:v>
      </x:c>
      <x:c r="U3064" s="2" t="str">
        <x:v>2022 지정: (12/27) / 2023 지정: (4/3)</x:v>
      </x:c>
      <x:c r="V3064" s="2" t="str">
        <x:v>2023-06-22</x:v>
      </x:c>
      <x:c r="W3064" s="2" t="str"/>
      <x:c r="X3064" s="2" t="str">
        <x:v>종결 근거 보관</x:v>
      </x:c>
      <x:c r="Y3064" s="2" t="str">
        <x:v>ad210cd9ec132cfd447541c8984dc53d30aff0f4fb2dc92d254d49275cc55976</x:v>
      </x:c>
      <x:c r="Z3064" s="2" t="n">
        <x:f>SUBTOTAL(103,A3064)</x:f>
        <x:v>1</x:v>
      </x:c>
      <x:c r="AA3064" s="2" t="str">
        <x:f>IF(K3064&lt;&gt;"미종결 표시","대상 아님",IF(N3064="","신청일 확인",IF(NOT(ISNUMBER('종합 현황'!$H$5)),"관찰기준 확인",IF('종합 현황'!$H$5&lt;1,"관찰기준 확인",IF(N3064&gt;'종합 현황'!$H$5,"내부 관찰 대상","내부 관찰일 이하")))))</x:f>
        <x:v>대상 아님</x:v>
      </x:c>
      <x:c r="AB3064" s="2" t="str">
        <x:v>2022-12-23 16:34 - 신청
2023-02-07 20:29 - 문서재제출요청
2023-02-16 15:26 - 신청
2023-02-27 09:32 - 문서재제출요청
2023-02-27 15:27 - 신청
2023-03-02 16:32 - 문서재제출요청
2023-03-14 11:06 - 신청
2023-03-15 10:47 - 문서재제출요청
2023-03-17 17:29 - 신청
2023-04-06 19:43 - 문서재제출요청
2023-04-07 09:44 - 신청
2023-04-10 16:44 - 검토승인
2023-04-10 16:45 - 협의검토중
2023-05-15 11:17 - 협의통보
2023-06-22 16:35 - 심의승인</x:v>
      </x:c>
    </x:row>
    <x:row r="3065" ht="42" customHeight="1">
      <x:c r="A3065" s="2" t="str">
        <x:v>7b69ae7b7e84ab5fe08b5e47</x:v>
      </x:c>
      <x:c r="B3065" s="2" t="str">
        <x:v>감축량 인증</x:v>
      </x:c>
      <x:c r="C3065" s="2" t="str">
        <x:v>국외</x:v>
      </x:c>
      <x:c r="D3065" s="7" t="str">
        <x:v>아프리카 고효율 쿡스토브 보급 PoA 사업 : CPA 00010(나이지리아)(한국 지원)</x:v>
      </x:c>
      <x:c r="E3065" s="2" t="str">
        <x:v>650</x:v>
      </x:c>
      <x:c r="F3065" s="2" t="str">
        <x:v>2022-12-23</x:v>
      </x:c>
      <x:c r="G3065" s="2" t="str">
        <x:v>2022</x:v>
      </x:c>
      <x:c r="H3065" s="2" t="str">
        <x:v>12</x:v>
      </x:c>
      <x:c r="I3065" s="2" t="str">
        <x:v>심의승인</x:v>
      </x:c>
      <x:c r="J3065" s="2" t="str">
        <x:v>심의승인</x:v>
      </x:c>
      <x:c r="K3065" s="2" t="str">
        <x:f>IF(OR(J3065="심의승인",J3065="반려",J3065="반려완료",J3065="심의완료"),"종결 표시",IF(OR(J3065="기후부협의",J3065="문서재제출요청",J3065="보류",J3065="보완요청",J3065="보완완료",J3065="평가중",J3065="반려요청",J3065="평가필요",LEFT(J3065,5)="보완요청("),"미종결 표시","상태 확인 필요"))</x:f>
        <x:v>종결 표시</x:v>
      </x:c>
      <x:c r="L3065" s="2" t="str">
        <x:v>KRIC</x:v>
      </x:c>
      <x:c r="M3065" s="2"/>
      <x:c r="N3065" s="8" t="n">
        <x:f>DATE(2026,10,15)-DATE(2022,12,23)</x:f>
        <x:v>1392</x:v>
      </x:c>
      <x:c r="O3065" s="2"/>
      <x:c r="P3065" s="2"/>
      <x:c r="Q3065" s="2" t="str">
        <x:v>산업전환_외부사업관리Tool_260707_이너젠 수정_LJY_261013.xlsx</x:v>
      </x:c>
      <x:c r="R3065" s="2" t="str">
        <x:v>국외인증</x:v>
      </x:c>
      <x:c r="S3065" s="8" t="n">
        <x:v>652</x:v>
      </x:c>
      <x:c r="T3065" s="2" t="str">
        <x:v>(12/27)</x:v>
      </x:c>
      <x:c r="U3065" s="2" t="str">
        <x:v>2022 지정: (12/27) / 2023 지정: (4/3)</x:v>
      </x:c>
      <x:c r="V3065" s="2" t="str">
        <x:v>2023-06-22</x:v>
      </x:c>
      <x:c r="W3065" s="2" t="str"/>
      <x:c r="X3065" s="2" t="str">
        <x:v>종결 근거 보관</x:v>
      </x:c>
      <x:c r="Y3065" s="2" t="str">
        <x:v>ad210cd9ec132cfd447541c8984dc53d30aff0f4fb2dc92d254d49275cc55976</x:v>
      </x:c>
      <x:c r="Z3065" s="2" t="n">
        <x:f>SUBTOTAL(103,A3065)</x:f>
        <x:v>1</x:v>
      </x:c>
      <x:c r="AA3065" s="2" t="str">
        <x:f>IF(K3065&lt;&gt;"미종결 표시","대상 아님",IF(N3065="","신청일 확인",IF(NOT(ISNUMBER('종합 현황'!$H$5)),"관찰기준 확인",IF('종합 현황'!$H$5&lt;1,"관찰기준 확인",IF(N3065&gt;'종합 현황'!$H$5,"내부 관찰 대상","내부 관찰일 이하")))))</x:f>
        <x:v>대상 아님</x:v>
      </x:c>
      <x:c r="AB3065" s="2" t="str">
        <x:v>2022-12-23 16:34 - 신청
2023-02-07 20:30 - 문서재제출요청
2023-02-16 15:27 - 신청
2023-02-27 09:34 - 문서재제출요청
2023-02-27 15:26 - 신청
2023-03-02 16:31 - 문서재제출요청
2023-03-14 11:05 - 신청
2023-03-15 10:49 - 문서재제출요청
2023-03-17 17:29 - 신청
2023-04-06 21:01 - 문서재제출요청
2023-04-07 09:44 - 신청
2023-04-10 16:44 - 검토승인
2023-04-10 16:45 - 협의검토중
2023-05-15 11:17 - 협의통보
2023-06-22 16:36 - 심의승인</x:v>
      </x:c>
    </x:row>
    <x:row r="3066" ht="42" customHeight="1">
      <x:c r="A3066" s="2" t="str">
        <x:v>22119a7b0afc24ce7ead1dbd</x:v>
      </x:c>
      <x:c r="B3066" s="2" t="str">
        <x:v>감축량 인증</x:v>
      </x:c>
      <x:c r="C3066" s="2" t="str">
        <x:v>국외</x:v>
      </x:c>
      <x:c r="D3066" s="7" t="str">
        <x:v>아프리카 고효율 쿡스토브 보급 PoA 사업 : CPA 00011(나이지리아)(한국 지원)</x:v>
      </x:c>
      <x:c r="E3066" s="2" t="str">
        <x:v>651</x:v>
      </x:c>
      <x:c r="F3066" s="2" t="str">
        <x:v>2022-12-23</x:v>
      </x:c>
      <x:c r="G3066" s="2" t="str">
        <x:v>2022</x:v>
      </x:c>
      <x:c r="H3066" s="2" t="str">
        <x:v>12</x:v>
      </x:c>
      <x:c r="I3066" s="2" t="str">
        <x:v>심의승인</x:v>
      </x:c>
      <x:c r="J3066" s="2" t="str">
        <x:v>심의승인</x:v>
      </x:c>
      <x:c r="K3066" s="2" t="str">
        <x:f>IF(OR(J3066="심의승인",J3066="반려",J3066="반려완료",J3066="심의완료"),"종결 표시",IF(OR(J3066="기후부협의",J3066="문서재제출요청",J3066="보류",J3066="보완요청",J3066="보완완료",J3066="평가중",J3066="반려요청",J3066="평가필요",LEFT(J3066,5)="보완요청("),"미종결 표시","상태 확인 필요"))</x:f>
        <x:v>종결 표시</x:v>
      </x:c>
      <x:c r="L3066" s="2" t="str">
        <x:v>KRIC</x:v>
      </x:c>
      <x:c r="M3066" s="2"/>
      <x:c r="N3066" s="8" t="n">
        <x:f>DATE(2026,10,15)-DATE(2022,12,23)</x:f>
        <x:v>1392</x:v>
      </x:c>
      <x:c r="O3066" s="2"/>
      <x:c r="P3066" s="2"/>
      <x:c r="Q3066" s="2" t="str">
        <x:v>산업전환_외부사업관리Tool_260707_이너젠 수정_LJY_261013.xlsx</x:v>
      </x:c>
      <x:c r="R3066" s="2" t="str">
        <x:v>국외인증</x:v>
      </x:c>
      <x:c r="S3066" s="8" t="n">
        <x:v>653</x:v>
      </x:c>
      <x:c r="T3066" s="2" t="str">
        <x:v>(12/27)</x:v>
      </x:c>
      <x:c r="U3066" s="2" t="str">
        <x:v>2022 지정: (12/27) / 2023 지정: (4/3)</x:v>
      </x:c>
      <x:c r="V3066" s="2" t="str">
        <x:v>2023-06-22</x:v>
      </x:c>
      <x:c r="W3066" s="2" t="str"/>
      <x:c r="X3066" s="2" t="str">
        <x:v>종결 근거 보관</x:v>
      </x:c>
      <x:c r="Y3066" s="2" t="str">
        <x:v>ad210cd9ec132cfd447541c8984dc53d30aff0f4fb2dc92d254d49275cc55976</x:v>
      </x:c>
      <x:c r="Z3066" s="2" t="n">
        <x:f>SUBTOTAL(103,A3066)</x:f>
        <x:v>1</x:v>
      </x:c>
      <x:c r="AA3066" s="2" t="str">
        <x:f>IF(K3066&lt;&gt;"미종결 표시","대상 아님",IF(N3066="","신청일 확인",IF(NOT(ISNUMBER('종합 현황'!$H$5)),"관찰기준 확인",IF('종합 현황'!$H$5&lt;1,"관찰기준 확인",IF(N3066&gt;'종합 현황'!$H$5,"내부 관찰 대상","내부 관찰일 이하")))))</x:f>
        <x:v>대상 아님</x:v>
      </x:c>
      <x:c r="AB3066" s="2" t="str">
        <x:v>2022-12-23 16:34 - 신청
2023-02-07 20:31 - 문서재제출요청
2023-02-16 15:27 - 신청
2023-02-27 09:34 - 문서재제출요청
2023-02-27 15:27 - 신청
2023-03-02 16:32 - 문서재제출요청
2023-03-14 11:05 - 신청
2023-03-15 10:50 - 문서재제출요청
2023-03-17 17:29 - 신청
2023-04-06 21:01 - 문서재제출요청
2023-04-07 09:44 - 신청
2023-04-10 16:45 - 검토승인
2023-04-10 16:45 - 협의검토중
2023-05-15 11:17 - 협의통보
2023-06-22 16:36 - 심의승인</x:v>
      </x:c>
    </x:row>
    <x:row r="3067" ht="42" customHeight="1">
      <x:c r="A3067" s="2" t="str">
        <x:v>a5a733e8e90953b31b630a09</x:v>
      </x:c>
      <x:c r="B3067" s="2" t="str">
        <x:v>감축량 인증</x:v>
      </x:c>
      <x:c r="C3067" s="2" t="str">
        <x:v>국외</x:v>
      </x:c>
      <x:c r="D3067" s="7" t="str">
        <x:v>아프리카 고효율 쿡스토브 보급 PoA 사업 : CPA 00012(나이지리아)(한국 지원)</x:v>
      </x:c>
      <x:c r="E3067" s="2" t="str">
        <x:v>652</x:v>
      </x:c>
      <x:c r="F3067" s="2" t="str">
        <x:v>2022-12-23</x:v>
      </x:c>
      <x:c r="G3067" s="2" t="str">
        <x:v>2022</x:v>
      </x:c>
      <x:c r="H3067" s="2" t="str">
        <x:v>12</x:v>
      </x:c>
      <x:c r="I3067" s="2" t="str">
        <x:v>심의승인</x:v>
      </x:c>
      <x:c r="J3067" s="2" t="str">
        <x:v>심의승인</x:v>
      </x:c>
      <x:c r="K3067" s="2" t="str">
        <x:f>IF(OR(J3067="심의승인",J3067="반려",J3067="반려완료",J3067="심의완료"),"종결 표시",IF(OR(J3067="기후부협의",J3067="문서재제출요청",J3067="보류",J3067="보완요청",J3067="보완완료",J3067="평가중",J3067="반려요청",J3067="평가필요",LEFT(J3067,5)="보완요청("),"미종결 표시","상태 확인 필요"))</x:f>
        <x:v>종결 표시</x:v>
      </x:c>
      <x:c r="L3067" s="2" t="str">
        <x:v>KRIC</x:v>
      </x:c>
      <x:c r="M3067" s="2"/>
      <x:c r="N3067" s="8" t="n">
        <x:f>DATE(2026,10,15)-DATE(2022,12,23)</x:f>
        <x:v>1392</x:v>
      </x:c>
      <x:c r="O3067" s="2"/>
      <x:c r="P3067" s="2"/>
      <x:c r="Q3067" s="2" t="str">
        <x:v>산업전환_외부사업관리Tool_260707_이너젠 수정_LJY_261013.xlsx</x:v>
      </x:c>
      <x:c r="R3067" s="2" t="str">
        <x:v>국외인증</x:v>
      </x:c>
      <x:c r="S3067" s="8" t="n">
        <x:v>654</x:v>
      </x:c>
      <x:c r="T3067" s="2" t="str">
        <x:v>(12/27)</x:v>
      </x:c>
      <x:c r="U3067" s="2" t="str">
        <x:v>2022 지정: (12/27) / 2023 지정: (4/3)</x:v>
      </x:c>
      <x:c r="V3067" s="2" t="str">
        <x:v>2023-06-22</x:v>
      </x:c>
      <x:c r="W3067" s="2" t="str"/>
      <x:c r="X3067" s="2" t="str">
        <x:v>종결 근거 보관</x:v>
      </x:c>
      <x:c r="Y3067" s="2" t="str">
        <x:v>ad210cd9ec132cfd447541c8984dc53d30aff0f4fb2dc92d254d49275cc55976</x:v>
      </x:c>
      <x:c r="Z3067" s="2" t="n">
        <x:f>SUBTOTAL(103,A3067)</x:f>
        <x:v>1</x:v>
      </x:c>
      <x:c r="AA3067" s="2" t="str">
        <x:f>IF(K3067&lt;&gt;"미종결 표시","대상 아님",IF(N3067="","신청일 확인",IF(NOT(ISNUMBER('종합 현황'!$H$5)),"관찰기준 확인",IF('종합 현황'!$H$5&lt;1,"관찰기준 확인",IF(N3067&gt;'종합 현황'!$H$5,"내부 관찰 대상","내부 관찰일 이하")))))</x:f>
        <x:v>대상 아님</x:v>
      </x:c>
      <x:c r="AB3067" s="2" t="str">
        <x:v>2022-12-23 16:34 - 신청
2023-02-07 20:31 - 문서재제출요청
2023-02-16 15:27 - 신청
2023-02-27 09:35 - 문서재제출요청
2023-02-27 15:27 - 신청
2023-03-02 16:32 - 문서재제출요청
2023-03-14 11:05 - 신청
2023-03-15 10:52 - 문서재제출요청
2023-03-17 17:30 - 신청
2023-04-06 21:01 - 문서재제출요청
2023-04-07 09:44 - 신청
2023-04-10 16:45 - 검토승인
2023-04-10 16:45 - 협의검토중
2023-05-15 11:17 - 협의통보
2023-06-22 16:37 - 심의승인</x:v>
      </x:c>
    </x:row>
    <x:row r="3068" ht="42" customHeight="1">
      <x:c r="A3068" s="2" t="str">
        <x:v>53767e4f28c701d0c80cf9f0</x:v>
      </x:c>
      <x:c r="B3068" s="2" t="str">
        <x:v>감축량 인증</x:v>
      </x:c>
      <x:c r="C3068" s="2" t="str">
        <x:v>국외</x:v>
      </x:c>
      <x:c r="D3068" s="7" t="str">
        <x:v>8.6MW PV 번들링 CDM 프로젝트</x:v>
      </x:c>
      <x:c r="E3068" s="2" t="str">
        <x:v>653</x:v>
      </x:c>
      <x:c r="F3068" s="2" t="str">
        <x:v>2022-12-24</x:v>
      </x:c>
      <x:c r="G3068" s="2" t="str">
        <x:v>2022</x:v>
      </x:c>
      <x:c r="H3068" s="2" t="str">
        <x:v>12</x:v>
      </x:c>
      <x:c r="I3068" s="2" t="str">
        <x:v>심의승인</x:v>
      </x:c>
      <x:c r="J3068" s="2" t="str">
        <x:v>심의승인</x:v>
      </x:c>
      <x:c r="K3068" s="2" t="str">
        <x:f>IF(OR(J3068="심의승인",J3068="반려",J3068="반려완료",J3068="심의완료"),"종결 표시",IF(OR(J3068="기후부협의",J3068="문서재제출요청",J3068="보류",J3068="보완요청",J3068="보완완료",J3068="평가중",J3068="반려요청",J3068="평가필요",LEFT(J3068,5)="보완요청("),"미종결 표시","상태 확인 필요"))</x:f>
        <x:v>종결 표시</x:v>
      </x:c>
      <x:c r="L3068" s="2" t="str">
        <x:v>KRIC</x:v>
      </x:c>
      <x:c r="M3068" s="2"/>
      <x:c r="N3068" s="8" t="n">
        <x:f>DATE(2026,10,15)-DATE(2022,12,24)</x:f>
        <x:v>1391</x:v>
      </x:c>
      <x:c r="O3068" s="2"/>
      <x:c r="P3068" s="2"/>
      <x:c r="Q3068" s="2" t="str">
        <x:v>산업전환_외부사업관리Tool_260707_이너젠 수정_LJY_261013.xlsx</x:v>
      </x:c>
      <x:c r="R3068" s="2" t="str">
        <x:v>국외인증</x:v>
      </x:c>
      <x:c r="S3068" s="8" t="n">
        <x:v>655</x:v>
      </x:c>
      <x:c r="T3068" s="2" t="str">
        <x:v>(12/27)</x:v>
      </x:c>
      <x:c r="U3068" s="2" t="str">
        <x:v>2022 지정: (12/27) / 2023 지정: (4/3)</x:v>
      </x:c>
      <x:c r="V3068" s="2" t="str">
        <x:v>2023-12-15</x:v>
      </x:c>
      <x:c r="W3068" s="2" t="str"/>
      <x:c r="X3068" s="2" t="str">
        <x:v>종결 근거 보관</x:v>
      </x:c>
      <x:c r="Y3068" s="2" t="str">
        <x:v>ad210cd9ec132cfd447541c8984dc53d30aff0f4fb2dc92d254d49275cc55976</x:v>
      </x:c>
      <x:c r="Z3068" s="2" t="n">
        <x:f>SUBTOTAL(103,A3068)</x:f>
        <x:v>1</x:v>
      </x:c>
      <x:c r="AA3068" s="2" t="str">
        <x:f>IF(K3068&lt;&gt;"미종결 표시","대상 아님",IF(N3068="","신청일 확인",IF(NOT(ISNUMBER('종합 현황'!$H$5)),"관찰기준 확인",IF('종합 현황'!$H$5&lt;1,"관찰기준 확인",IF(N3068&gt;'종합 현황'!$H$5,"내부 관찰 대상","내부 관찰일 이하")))))</x:f>
        <x:v>대상 아님</x:v>
      </x:c>
      <x:c r="AB3068" s="2" t="str">
        <x:v>2022-12-24 14:28 - 신청
2023-02-07 20:34 - 문서재제출요청
2023-03-28 10:26 - 신청
2023-07-06 17:32 - 문서재제출요청
2023-07-12 21:20 - 신청
2023-07-25 11:18 - 문서재제출요청
2023-07-25 14:11 - 신청
2023-07-25 15:33 - 검토승인
2023-08-08 16:30 - 협의검토중
2023-09-11 10:44 - 협의통보
2023-12-15 16:27 - 심의승인</x:v>
      </x:c>
    </x:row>
    <x:row r="3069" ht="42" customHeight="1">
      <x:c r="A3069" s="2" t="str">
        <x:v>0e1c5b1e24d39663e2bef917</x:v>
      </x:c>
      <x:c r="B3069" s="2" t="str">
        <x:v>감축량 인증</x:v>
      </x:c>
      <x:c r="C3069" s="2" t="str">
        <x:v>국외</x:v>
      </x:c>
      <x:c r="D3069" s="7" t="str">
        <x:v>청정 에너지 프로그램 CPA MM 02</x:v>
      </x:c>
      <x:c r="E3069" s="2" t="str">
        <x:v>654</x:v>
      </x:c>
      <x:c r="F3069" s="2" t="str">
        <x:v>2022-12-27</x:v>
      </x:c>
      <x:c r="G3069" s="2" t="str">
        <x:v>2022</x:v>
      </x:c>
      <x:c r="H3069" s="2" t="str">
        <x:v>12</x:v>
      </x:c>
      <x:c r="I3069" s="2" t="str">
        <x:v>보완요청</x:v>
      </x:c>
      <x:c r="J3069" s="2" t="str">
        <x:v>보완요청(1차)</x:v>
      </x:c>
      <x:c r="K3069" s="2" t="str">
        <x:f>IF(OR(J3069="심의승인",J3069="반려",J3069="반려완료",J3069="심의완료"),"종결 표시",IF(OR(J3069="기후부협의",J3069="문서재제출요청",J3069="보류",J3069="보완요청",J3069="보완완료",J3069="평가중",J3069="반려요청",J3069="평가필요",LEFT(J3069,5)="보완요청("),"미종결 표시","상태 확인 필요"))</x:f>
        <x:v>미종결 표시</x:v>
      </x:c>
      <x:c r="L3069" s="2" t="str">
        <x:v>KRIC</x:v>
      </x:c>
      <x:c r="M3069" s="2" t="n">
        <x:v>1</x:v>
      </x:c>
      <x:c r="N3069" s="8" t="n">
        <x:f>DATE(2026,10,15)-DATE(2022,12,27)</x:f>
        <x:v>1388</x:v>
      </x:c>
      <x:c r="O3069" s="2"/>
      <x:c r="P3069" s="2"/>
      <x:c r="Q3069" s="2" t="str">
        <x:v>산업전환_외부사업관리Tool_260707_이너젠 수정_LJY_261013.xlsx</x:v>
      </x:c>
      <x:c r="R3069" s="2" t="str">
        <x:v>국외인증</x:v>
      </x:c>
      <x:c r="S3069" s="8" t="n">
        <x:v>656</x:v>
      </x:c>
      <x:c r="T3069" s="2" t="str">
        <x:v>(1/30)</x:v>
      </x:c>
      <x:c r="U3069" s="2" t="str">
        <x:v>2023 지정: (1/30)</x:v>
      </x:c>
      <x:c r="V3069" s="2" t="str">
        <x:v>2023-11-17</x:v>
      </x:c>
      <x:c r="W3069" s="2" t="str"/>
      <x:c r="X3069" s="2" t="str">
        <x:v>보완 회신 일정 확인</x:v>
      </x:c>
      <x:c r="Y3069" s="2" t="str">
        <x:v>ad210cd9ec132cfd447541c8984dc53d30aff0f4fb2dc92d254d49275cc55976</x:v>
      </x:c>
      <x:c r="Z3069" s="2" t="n">
        <x:f>SUBTOTAL(103,A3069)</x:f>
        <x:v>1</x:v>
      </x:c>
      <x:c r="AA3069" s="2" t="str">
        <x:f>IF(K3069&lt;&gt;"미종결 표시","대상 아님",IF(N3069="","신청일 확인",IF(NOT(ISNUMBER('종합 현황'!$H$5)),"관찰기준 확인",IF('종합 현황'!$H$5&lt;1,"관찰기준 확인",IF(N3069&gt;'종합 현황'!$H$5,"내부 관찰 대상","내부 관찰일 이하")))))</x:f>
        <x:v>내부 관찰 대상</x:v>
      </x:c>
      <x:c r="AB3069" s="2" t="str">
        <x:v>2022-12-27 16:59 - 신청
2023-11-17 17:38 - 보완요청</x:v>
      </x:c>
    </x:row>
    <x:row r="3070" ht="42" customHeight="1">
      <x:c r="A3070" s="2" t="str">
        <x:v>1c3089f4cd1c5e8016af6cc7</x:v>
      </x:c>
      <x:c r="B3070" s="2" t="str">
        <x:v>감축량 인증</x:v>
      </x:c>
      <x:c r="C3070" s="2" t="str">
        <x:v>국외</x:v>
      </x:c>
      <x:c r="D3070" s="7" t="str">
        <x:v>대한민국이 지원하는 방글라데시 고효율 쿡스토브 프로그램 - CPA01</x:v>
      </x:c>
      <x:c r="E3070" s="2" t="str">
        <x:v>655</x:v>
      </x:c>
      <x:c r="F3070" s="2" t="str">
        <x:v>2022-12-27</x:v>
      </x:c>
      <x:c r="G3070" s="2" t="str">
        <x:v>2022</x:v>
      </x:c>
      <x:c r="H3070" s="2" t="str">
        <x:v>12</x:v>
      </x:c>
      <x:c r="I3070" s="2" t="str">
        <x:v>보완요청</x:v>
      </x:c>
      <x:c r="J3070" s="2" t="str">
        <x:v>보완요청(1차)</x:v>
      </x:c>
      <x:c r="K3070" s="2" t="str">
        <x:f>IF(OR(J3070="심의승인",J3070="반려",J3070="반려완료",J3070="심의완료"),"종결 표시",IF(OR(J3070="기후부협의",J3070="문서재제출요청",J3070="보류",J3070="보완요청",J3070="보완완료",J3070="평가중",J3070="반려요청",J3070="평가필요",LEFT(J3070,5)="보완요청("),"미종결 표시","상태 확인 필요"))</x:f>
        <x:v>미종결 표시</x:v>
      </x:c>
      <x:c r="L3070" s="2" t="str">
        <x:v>KRIC</x:v>
      </x:c>
      <x:c r="M3070" s="2" t="n">
        <x:v>1</x:v>
      </x:c>
      <x:c r="N3070" s="8" t="n">
        <x:f>DATE(2026,10,15)-DATE(2022,12,27)</x:f>
        <x:v>1388</x:v>
      </x:c>
      <x:c r="O3070" s="2"/>
      <x:c r="P3070" s="2"/>
      <x:c r="Q3070" s="2" t="str">
        <x:v>산업전환_외부사업관리Tool_260707_이너젠 수정_LJY_261013.xlsx</x:v>
      </x:c>
      <x:c r="R3070" s="2" t="str">
        <x:v>국외인증</x:v>
      </x:c>
      <x:c r="S3070" s="8" t="n">
        <x:v>657</x:v>
      </x:c>
      <x:c r="T3070" s="2" t="str">
        <x:v>(1/30)</x:v>
      </x:c>
      <x:c r="U3070" s="2" t="str">
        <x:v>2023 지정: (1/30)</x:v>
      </x:c>
      <x:c r="V3070" s="2" t="str">
        <x:v>2023-11-17</x:v>
      </x:c>
      <x:c r="W3070" s="2" t="str"/>
      <x:c r="X3070" s="2" t="str">
        <x:v>보완 회신 일정 확인</x:v>
      </x:c>
      <x:c r="Y3070" s="2" t="str">
        <x:v>ad210cd9ec132cfd447541c8984dc53d30aff0f4fb2dc92d254d49275cc55976</x:v>
      </x:c>
      <x:c r="Z3070" s="2" t="n">
        <x:f>SUBTOTAL(103,A3070)</x:f>
        <x:v>1</x:v>
      </x:c>
      <x:c r="AA3070" s="2" t="str">
        <x:f>IF(K3070&lt;&gt;"미종결 표시","대상 아님",IF(N3070="","신청일 확인",IF(NOT(ISNUMBER('종합 현황'!$H$5)),"관찰기준 확인",IF('종합 현황'!$H$5&lt;1,"관찰기준 확인",IF(N3070&gt;'종합 현황'!$H$5,"내부 관찰 대상","내부 관찰일 이하")))))</x:f>
        <x:v>내부 관찰 대상</x:v>
      </x:c>
      <x:c r="AB3070" s="2" t="str">
        <x:v>2022-12-27 16:35 - 접수
2022-12-28 14:58 - 신청
2023-11-17 17:38 - 보완요청</x:v>
      </x:c>
    </x:row>
    <x:row r="3071" ht="42" customHeight="1">
      <x:c r="A3071" s="2" t="str">
        <x:v>5fa3420dc26a123b68168a3d</x:v>
      </x:c>
      <x:c r="B3071" s="2" t="str">
        <x:v>감축량 인증</x:v>
      </x:c>
      <x:c r="C3071" s="2" t="str">
        <x:v>국외</x:v>
      </x:c>
      <x:c r="D3071" s="7" t="str">
        <x:v>인도 청정에너지 기기 보급 사업 (PoA 9181-CPA 24)</x:v>
      </x:c>
      <x:c r="E3071" s="2" t="str">
        <x:v>656</x:v>
      </x:c>
      <x:c r="F3071" s="2" t="str">
        <x:v>2022-12-30</x:v>
      </x:c>
      <x:c r="G3071" s="2" t="str">
        <x:v>2022</x:v>
      </x:c>
      <x:c r="H3071" s="2" t="str">
        <x:v>12</x:v>
      </x:c>
      <x:c r="I3071" s="2" t="str">
        <x:v>심의승인</x:v>
      </x:c>
      <x:c r="J3071" s="2" t="str">
        <x:v>심의승인</x:v>
      </x:c>
      <x:c r="K3071" s="2" t="str">
        <x:f>IF(OR(J3071="심의승인",J3071="반려",J3071="반려완료",J3071="심의완료"),"종결 표시",IF(OR(J3071="기후부협의",J3071="문서재제출요청",J3071="보류",J3071="보완요청",J3071="보완완료",J3071="평가중",J3071="반려요청",J3071="평가필요",LEFT(J3071,5)="보완요청("),"미종결 표시","상태 확인 필요"))</x:f>
        <x:v>종결 표시</x:v>
      </x:c>
      <x:c r="L3071" s="2" t="str">
        <x:v>KRIC</x:v>
      </x:c>
      <x:c r="M3071" s="2"/>
      <x:c r="N3071" s="8" t="n">
        <x:f>DATE(2026,10,15)-DATE(2022,12,30)</x:f>
        <x:v>1385</x:v>
      </x:c>
      <x:c r="O3071" s="2"/>
      <x:c r="P3071" s="2" t="str">
        <x:v>57차 인증위 승인</x:v>
      </x:c>
      <x:c r="Q3071" s="2" t="str">
        <x:v>산업전환_외부사업관리Tool_260707_이너젠 수정_LJY_261013.xlsx</x:v>
      </x:c>
      <x:c r="R3071" s="2" t="str">
        <x:v>국외인증</x:v>
      </x:c>
      <x:c r="S3071" s="8" t="n">
        <x:v>658</x:v>
      </x:c>
      <x:c r="T3071" s="2" t="str">
        <x:v>(1/30),(5/16)</x:v>
      </x:c>
      <x:c r="U3071" s="2" t="str">
        <x:v>2023 지정: (1/30),(5/16)</x:v>
      </x:c>
      <x:c r="V3071" s="2" t="str">
        <x:v>2024-06-28</x:v>
      </x:c>
      <x:c r="W3071" s="2" t="str"/>
      <x:c r="X3071" s="2" t="str">
        <x:v>종결 근거 보관</x:v>
      </x:c>
      <x:c r="Y3071" s="2" t="str">
        <x:v>ad210cd9ec132cfd447541c8984dc53d30aff0f4fb2dc92d254d49275cc55976</x:v>
      </x:c>
      <x:c r="Z3071" s="2" t="n">
        <x:f>SUBTOTAL(103,A3071)</x:f>
        <x:v>1</x:v>
      </x:c>
      <x:c r="AA3071" s="2" t="str">
        <x:f>IF(K3071&lt;&gt;"미종결 표시","대상 아님",IF(N3071="","신청일 확인",IF(NOT(ISNUMBER('종합 현황'!$H$5)),"관찰기준 확인",IF('종합 현황'!$H$5&lt;1,"관찰기준 확인",IF(N3071&gt;'종합 현황'!$H$5,"내부 관찰 대상","내부 관찰일 이하")))))</x:f>
        <x:v>대상 아님</x:v>
      </x:c>
      <x:c r="AB3071" s="2" t="str">
        <x:v>2022-12-30 15:20 - 신청
2023-04-17 09:55 - 문서재제출요청
2023-05-13 01:06 - 신청
2023-06-07 19:22 - 문서재제출요청
2023-06-14 23:32 -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03:40 - 신청
2024-03-08 14:11 - 검토승인
2024-03-12 09:41 - 협의검토중
2024-04-17 14:25 - 협의통보
2024-06-28 15:58 - 심의승인</x:v>
      </x:c>
    </x:row>
    <x:row r="3072" ht="42" customHeight="1">
      <x:c r="A3072" s="2" t="str">
        <x:v>8c669e89fa5722b3aea08697</x:v>
      </x:c>
      <x:c r="B3072" s="2" t="str">
        <x:v>감축량 인증</x:v>
      </x:c>
      <x:c r="C3072" s="2" t="str">
        <x:v>국외</x:v>
      </x:c>
      <x:c r="D3072" s="7" t="str">
        <x:v>인도 청정에너지 기기 보급 사업 (PoA 9181-CPA 25)</x:v>
      </x:c>
      <x:c r="E3072" s="2" t="str">
        <x:v>657</x:v>
      </x:c>
      <x:c r="F3072" s="2" t="str">
        <x:v>2022-12-30</x:v>
      </x:c>
      <x:c r="G3072" s="2" t="str">
        <x:v>2022</x:v>
      </x:c>
      <x:c r="H3072" s="2" t="str">
        <x:v>12</x:v>
      </x:c>
      <x:c r="I3072" s="2" t="str">
        <x:v>심의승인</x:v>
      </x:c>
      <x:c r="J3072" s="2" t="str">
        <x:v>심의승인</x:v>
      </x:c>
      <x:c r="K3072" s="2" t="str">
        <x:f>IF(OR(J3072="심의승인",J3072="반려",J3072="반려완료",J3072="심의완료"),"종결 표시",IF(OR(J3072="기후부협의",J3072="문서재제출요청",J3072="보류",J3072="보완요청",J3072="보완완료",J3072="평가중",J3072="반려요청",J3072="평가필요",LEFT(J3072,5)="보완요청("),"미종결 표시","상태 확인 필요"))</x:f>
        <x:v>종결 표시</x:v>
      </x:c>
      <x:c r="L3072" s="2" t="str">
        <x:v>KRIC</x:v>
      </x:c>
      <x:c r="M3072" s="2"/>
      <x:c r="N3072" s="8" t="n">
        <x:f>DATE(2026,10,15)-DATE(2022,12,30)</x:f>
        <x:v>1385</x:v>
      </x:c>
      <x:c r="O3072" s="2"/>
      <x:c r="P3072" s="2" t="str">
        <x:v>57차 인증위 승인</x:v>
      </x:c>
      <x:c r="Q3072" s="2" t="str">
        <x:v>산업전환_외부사업관리Tool_260707_이너젠 수정_LJY_261013.xlsx</x:v>
      </x:c>
      <x:c r="R3072" s="2" t="str">
        <x:v>국외인증</x:v>
      </x:c>
      <x:c r="S3072" s="8" t="n">
        <x:v>659</x:v>
      </x:c>
      <x:c r="T3072" s="2" t="str">
        <x:v>(1/30),(5/16)</x:v>
      </x:c>
      <x:c r="U3072" s="2" t="str">
        <x:v>2023 지정: (1/30),(5/16)</x:v>
      </x:c>
      <x:c r="V3072" s="2" t="str">
        <x:v>2024-06-28</x:v>
      </x:c>
      <x:c r="W3072" s="2" t="str"/>
      <x:c r="X3072" s="2" t="str">
        <x:v>종결 근거 보관</x:v>
      </x:c>
      <x:c r="Y3072" s="2" t="str">
        <x:v>ad210cd9ec132cfd447541c8984dc53d30aff0f4fb2dc92d254d49275cc55976</x:v>
      </x:c>
      <x:c r="Z3072" s="2" t="n">
        <x:f>SUBTOTAL(103,A3072)</x:f>
        <x:v>1</x:v>
      </x:c>
      <x:c r="AA3072" s="2" t="str">
        <x:f>IF(K3072&lt;&gt;"미종결 표시","대상 아님",IF(N3072="","신청일 확인",IF(NOT(ISNUMBER('종합 현황'!$H$5)),"관찰기준 확인",IF('종합 현황'!$H$5&lt;1,"관찰기준 확인",IF(N3072&gt;'종합 현황'!$H$5,"내부 관찰 대상","내부 관찰일 이하")))))</x:f>
        <x:v>대상 아님</x:v>
      </x:c>
      <x:c r="AB3072" s="2" t="str">
        <x:v>2022-12-30 15:33 - 신청
2023-04-17 09:56 - 문서재제출요청
2023-05-13 01:06 - 신청
2023-06-07 19:28 - 문서재제출요청
2023-06-14 23:34 - 신청
2023-06-19 16:47 - 문서재제출요청
2023-07-11 18:28 - 신청
2023-07-11 21:53 - 문서재제출요청
2023-07-12 11:20 - 신청
2023-07-25 15:55 - 문서재제출요청
2023-09-03 23:55 - 신청
2023-11-16 17:20 - 보완요청
2023-11-19 13:16 - 신청
2024-02-06 17:21 - 문서재제출요청
2024-02-16 03:41 - 신청
2024-03-08 14:13 - 검토승인
2024-03-12 09:41 - 협의검토중
2024-04-17 14:28 - 협의통보
2024-06-28 15:36 - 심의승인</x:v>
      </x:c>
    </x:row>
    <x:row r="3073" ht="42" customHeight="1">
      <x:c r="A3073" s="2" t="str">
        <x:v>735486999249531dee31eb3f</x:v>
      </x:c>
      <x:c r="B3073" s="2" t="str">
        <x:v>감축량 인증</x:v>
      </x:c>
      <x:c r="C3073" s="2" t="str">
        <x:v>국외</x:v>
      </x:c>
      <x:c r="D3073" s="7" t="str">
        <x:v>인도 청정에너지 기기 보급 사업 (PoA 9181-CPA 26)</x:v>
      </x:c>
      <x:c r="E3073" s="2" t="str">
        <x:v>658</x:v>
      </x:c>
      <x:c r="F3073" s="2" t="str">
        <x:v>2022-12-30</x:v>
      </x:c>
      <x:c r="G3073" s="2" t="str">
        <x:v>2022</x:v>
      </x:c>
      <x:c r="H3073" s="2" t="str">
        <x:v>12</x:v>
      </x:c>
      <x:c r="I3073" s="2" t="str">
        <x:v>심의승인</x:v>
      </x:c>
      <x:c r="J3073" s="2" t="str">
        <x:v>심의승인</x:v>
      </x:c>
      <x:c r="K3073" s="2" t="str">
        <x:f>IF(OR(J3073="심의승인",J3073="반려",J3073="반려완료",J3073="심의완료"),"종결 표시",IF(OR(J3073="기후부협의",J3073="문서재제출요청",J3073="보류",J3073="보완요청",J3073="보완완료",J3073="평가중",J3073="반려요청",J3073="평가필요",LEFT(J3073,5)="보완요청("),"미종결 표시","상태 확인 필요"))</x:f>
        <x:v>종결 표시</x:v>
      </x:c>
      <x:c r="L3073" s="2" t="str">
        <x:v>KRIC</x:v>
      </x:c>
      <x:c r="M3073" s="2"/>
      <x:c r="N3073" s="8" t="n">
        <x:f>DATE(2026,10,15)-DATE(2022,12,30)</x:f>
        <x:v>1385</x:v>
      </x:c>
      <x:c r="O3073" s="2"/>
      <x:c r="P3073" s="2" t="str">
        <x:v>57차 인증위 승인</x:v>
      </x:c>
      <x:c r="Q3073" s="2" t="str">
        <x:v>산업전환_외부사업관리Tool_260707_이너젠 수정_LJY_261013.xlsx</x:v>
      </x:c>
      <x:c r="R3073" s="2" t="str">
        <x:v>국외인증</x:v>
      </x:c>
      <x:c r="S3073" s="8" t="n">
        <x:v>660</x:v>
      </x:c>
      <x:c r="T3073" s="2" t="str">
        <x:v>(1/30),(5/16)</x:v>
      </x:c>
      <x:c r="U3073" s="2" t="str">
        <x:v>2023 지정: (1/30),(5/16)</x:v>
      </x:c>
      <x:c r="V3073" s="2" t="str">
        <x:v>2024-06-28</x:v>
      </x:c>
      <x:c r="W3073" s="2" t="str"/>
      <x:c r="X3073" s="2" t="str">
        <x:v>종결 근거 보관</x:v>
      </x:c>
      <x:c r="Y3073" s="2" t="str">
        <x:v>ad210cd9ec132cfd447541c8984dc53d30aff0f4fb2dc92d254d49275cc55976</x:v>
      </x:c>
      <x:c r="Z3073" s="2" t="n">
        <x:f>SUBTOTAL(103,A3073)</x:f>
        <x:v>1</x:v>
      </x:c>
      <x:c r="AA3073" s="2" t="str">
        <x:f>IF(K3073&lt;&gt;"미종결 표시","대상 아님",IF(N3073="","신청일 확인",IF(NOT(ISNUMBER('종합 현황'!$H$5)),"관찰기준 확인",IF('종합 현황'!$H$5&lt;1,"관찰기준 확인",IF(N3073&gt;'종합 현황'!$H$5,"내부 관찰 대상","내부 관찰일 이하")))))</x:f>
        <x:v>대상 아님</x:v>
      </x:c>
      <x:c r="AB3073" s="2" t="str">
        <x:v>2022-12-30 15:35 - 신청
2023-04-17 09:58 - 문서재제출요청
2023-05-13 01:06 - 신청
2023-06-07 19:36 - 문서재제출요청
2023-06-16 09:22 - 신청
2023-06-19 16:48 - 문서재제출요청
2023-07-11 18:28 - 신청
2023-07-11 21:53 - 문서재제출요청
2023-07-12 11:20 - 신청
2023-07-25 15:56 - 문서재제출요청
2023-09-03 23:56 - 신청
2023-11-16 17:21 - 보완요청
2023-11-19 13:17 - 신청
2024-02-06 17:21 - 문서재제출요청
2024-02-16 03:42 - 신청
2024-03-08 14:14 - 검토승인
2024-03-12 09:41 - 협의검토중
2024-04-17 14:30 - 협의통보
2024-06-28 15:26 - 심의승인</x:v>
      </x:c>
    </x:row>
    <x:row r="3074" ht="42" customHeight="1">
      <x:c r="A3074" s="2" t="str">
        <x:v>0c0288c69a867efc1ea733fb</x:v>
      </x:c>
      <x:c r="B3074" s="2" t="str">
        <x:v>감축량 인증</x:v>
      </x:c>
      <x:c r="C3074" s="2" t="str">
        <x:v>국외</x:v>
      </x:c>
      <x:c r="D3074" s="7" t="str">
        <x:v>인도 청정에너지 기기 보급 사업 (PoA 9181-CPA 27)</x:v>
      </x:c>
      <x:c r="E3074" s="2" t="str">
        <x:v>659</x:v>
      </x:c>
      <x:c r="F3074" s="2" t="str">
        <x:v>2022-12-30</x:v>
      </x:c>
      <x:c r="G3074" s="2" t="str">
        <x:v>2022</x:v>
      </x:c>
      <x:c r="H3074" s="2" t="str">
        <x:v>12</x:v>
      </x:c>
      <x:c r="I3074" s="2" t="str">
        <x:v>심의승인</x:v>
      </x:c>
      <x:c r="J3074" s="2" t="str">
        <x:v>심의승인</x:v>
      </x:c>
      <x:c r="K3074" s="2" t="str">
        <x:f>IF(OR(J3074="심의승인",J3074="반려",J3074="반려완료",J3074="심의완료"),"종결 표시",IF(OR(J3074="기후부협의",J3074="문서재제출요청",J3074="보류",J3074="보완요청",J3074="보완완료",J3074="평가중",J3074="반려요청",J3074="평가필요",LEFT(J3074,5)="보완요청("),"미종결 표시","상태 확인 필요"))</x:f>
        <x:v>종결 표시</x:v>
      </x:c>
      <x:c r="L3074" s="2" t="str">
        <x:v>KRIC</x:v>
      </x:c>
      <x:c r="M3074" s="2"/>
      <x:c r="N3074" s="8" t="n">
        <x:f>DATE(2026,10,15)-DATE(2022,12,30)</x:f>
        <x:v>1385</x:v>
      </x:c>
      <x:c r="O3074" s="2"/>
      <x:c r="P3074" s="2" t="str">
        <x:v>57차 인증위 승인</x:v>
      </x:c>
      <x:c r="Q3074" s="2" t="str">
        <x:v>산업전환_외부사업관리Tool_260707_이너젠 수정_LJY_261013.xlsx</x:v>
      </x:c>
      <x:c r="R3074" s="2" t="str">
        <x:v>국외인증</x:v>
      </x:c>
      <x:c r="S3074" s="8" t="n">
        <x:v>661</x:v>
      </x:c>
      <x:c r="T3074" s="2" t="str">
        <x:v>(1/30),(5/16)</x:v>
      </x:c>
      <x:c r="U3074" s="2" t="str">
        <x:v>2023 지정: (1/30),(5/16)</x:v>
      </x:c>
      <x:c r="V3074" s="2" t="str">
        <x:v>2024-06-28</x:v>
      </x:c>
      <x:c r="W3074" s="2" t="str"/>
      <x:c r="X3074" s="2" t="str">
        <x:v>종결 근거 보관</x:v>
      </x:c>
      <x:c r="Y3074" s="2" t="str">
        <x:v>ad210cd9ec132cfd447541c8984dc53d30aff0f4fb2dc92d254d49275cc55976</x:v>
      </x:c>
      <x:c r="Z3074" s="2" t="n">
        <x:f>SUBTOTAL(103,A3074)</x:f>
        <x:v>1</x:v>
      </x:c>
      <x:c r="AA3074" s="2" t="str">
        <x:f>IF(K3074&lt;&gt;"미종결 표시","대상 아님",IF(N3074="","신청일 확인",IF(NOT(ISNUMBER('종합 현황'!$H$5)),"관찰기준 확인",IF('종합 현황'!$H$5&lt;1,"관찰기준 확인",IF(N3074&gt;'종합 현황'!$H$5,"내부 관찰 대상","내부 관찰일 이하")))))</x:f>
        <x:v>대상 아님</x:v>
      </x:c>
      <x:c r="AB3074" s="2" t="str">
        <x:v>2022-12-30 15:37 - 신청
2023-04-17 09:59 - 문서재제출요청
2023-05-13 01:06 - 신청
2023-06-07 19:38 - 문서재제출요청
2023-06-14 23:45 - 신청
2023-06-19 16:50 - 문서재제출요청
2023-07-11 18:28 - 신청
2023-07-11 21:54 - 문서재제출요청
2023-07-12 11:21 - 신청
2023-07-25 15:56 - 문서재제출요청
2023-09-03 23:56 - 신청
2023-11-16 17:21 - 보완요청
2023-11-19 13:18 - 신청
2024-02-06 17:21 - 문서재제출요청
2024-02-16 21:06 - 신청
2024-03-08 14:15 - 검토승인
2024-03-12 09:41 - 협의검토중
2024-04-17 14:32 - 협의통보
2024-06-28 15:22 - 심의승인</x:v>
      </x:c>
    </x:row>
    <x:row r="3075" ht="42" customHeight="1">
      <x:c r="A3075" s="2" t="str">
        <x:v>de4d671039bf4a2755664abe</x:v>
      </x:c>
      <x:c r="B3075" s="2" t="str">
        <x:v>감축량 인증</x:v>
      </x:c>
      <x:c r="C3075" s="2" t="str">
        <x:v>국외</x:v>
      </x:c>
      <x:c r="D3075" s="7" t="str">
        <x:v>인도 청정에너지 기기 보급 사업 (PoA 9181-CPA 28)</x:v>
      </x:c>
      <x:c r="E3075" s="2" t="str">
        <x:v>660</x:v>
      </x:c>
      <x:c r="F3075" s="2" t="str">
        <x:v>2022-12-30</x:v>
      </x:c>
      <x:c r="G3075" s="2" t="str">
        <x:v>2022</x:v>
      </x:c>
      <x:c r="H3075" s="2" t="str">
        <x:v>12</x:v>
      </x:c>
      <x:c r="I3075" s="2" t="str">
        <x:v>심의승인</x:v>
      </x:c>
      <x:c r="J3075" s="2" t="str">
        <x:v>심의승인</x:v>
      </x:c>
      <x:c r="K3075" s="2" t="str">
        <x:f>IF(OR(J3075="심의승인",J3075="반려",J3075="반려완료",J3075="심의완료"),"종결 표시",IF(OR(J3075="기후부협의",J3075="문서재제출요청",J3075="보류",J3075="보완요청",J3075="보완완료",J3075="평가중",J3075="반려요청",J3075="평가필요",LEFT(J3075,5)="보완요청("),"미종결 표시","상태 확인 필요"))</x:f>
        <x:v>종결 표시</x:v>
      </x:c>
      <x:c r="L3075" s="2" t="str">
        <x:v>KRIC</x:v>
      </x:c>
      <x:c r="M3075" s="2"/>
      <x:c r="N3075" s="8" t="n">
        <x:f>DATE(2026,10,15)-DATE(2022,12,30)</x:f>
        <x:v>1385</x:v>
      </x:c>
      <x:c r="O3075" s="2"/>
      <x:c r="P3075" s="2" t="str">
        <x:v>57차 인증위 승인</x:v>
      </x:c>
      <x:c r="Q3075" s="2" t="str">
        <x:v>산업전환_외부사업관리Tool_260707_이너젠 수정_LJY_261013.xlsx</x:v>
      </x:c>
      <x:c r="R3075" s="2" t="str">
        <x:v>국외인증</x:v>
      </x:c>
      <x:c r="S3075" s="8" t="n">
        <x:v>662</x:v>
      </x:c>
      <x:c r="T3075" s="2" t="str">
        <x:v>(1/30),(5/16)</x:v>
      </x:c>
      <x:c r="U3075" s="2" t="str">
        <x:v>2023 지정: (1/30),(5/16)</x:v>
      </x:c>
      <x:c r="V3075" s="2" t="str">
        <x:v>2024-06-28</x:v>
      </x:c>
      <x:c r="W3075" s="2" t="str"/>
      <x:c r="X3075" s="2" t="str">
        <x:v>종결 근거 보관</x:v>
      </x:c>
      <x:c r="Y3075" s="2" t="str">
        <x:v>ad210cd9ec132cfd447541c8984dc53d30aff0f4fb2dc92d254d49275cc55976</x:v>
      </x:c>
      <x:c r="Z3075" s="2" t="n">
        <x:f>SUBTOTAL(103,A3075)</x:f>
        <x:v>1</x:v>
      </x:c>
      <x:c r="AA3075" s="2" t="str">
        <x:f>IF(K3075&lt;&gt;"미종결 표시","대상 아님",IF(N3075="","신청일 확인",IF(NOT(ISNUMBER('종합 현황'!$H$5)),"관찰기준 확인",IF('종합 현황'!$H$5&lt;1,"관찰기준 확인",IF(N3075&gt;'종합 현황'!$H$5,"내부 관찰 대상","내부 관찰일 이하")))))</x:f>
        <x:v>대상 아님</x:v>
      </x:c>
      <x:c r="AB3075" s="2" t="str">
        <x:v>2022-12-30 15:40 - 신청
2023-04-17 10:00 - 문서재제출요청
2023-05-13 01:06 - 신청
2023-06-07 19:40 - 문서재제출요청
2023-06-14 23:46 - 신청
2023-06-19 16:51 - 문서재제출요청
2023-07-11 18:28 - 신청
2023-07-11 21:54 - 문서재제출요청
2023-07-12 11:21 - 신청
2023-07-25 15:56 - 문서재제출요청
2023-09-03 23:57 - 신청
2023-11-16 17:21 - 보완요청
2023-11-19 13:17 - 신청
2024-02-06 17:21 - 문서재제출요청
2024-02-16 21:18 - 신청
2024-03-08 14:16 - 검토승인
2024-03-12 09:41 - 협의검토중
2024-04-17 14:35 - 협의통보
2024-06-28 15:05 - 심의승인</x:v>
      </x:c>
    </x:row>
    <x:row r="3076" ht="42" customHeight="1">
      <x:c r="A3076" s="2" t="str">
        <x:v>22c241a61838f4f0e7c0eaa3</x:v>
      </x:c>
      <x:c r="B3076" s="2" t="str">
        <x:v>감축량 인증</x:v>
      </x:c>
      <x:c r="C3076" s="2" t="str">
        <x:v>국외</x:v>
      </x:c>
      <x:c r="D3076" s="7" t="str">
        <x:v>인도 청정에너지 기기 보급 사업 (PoA 9181-CPA 29)</x:v>
      </x:c>
      <x:c r="E3076" s="2" t="str">
        <x:v>661</x:v>
      </x:c>
      <x:c r="F3076" s="2" t="str">
        <x:v>2022-12-30</x:v>
      </x:c>
      <x:c r="G3076" s="2" t="str">
        <x:v>2022</x:v>
      </x:c>
      <x:c r="H3076" s="2" t="str">
        <x:v>12</x:v>
      </x:c>
      <x:c r="I3076" s="2" t="str">
        <x:v>심의승인</x:v>
      </x:c>
      <x:c r="J3076" s="2" t="str">
        <x:v>심의승인</x:v>
      </x:c>
      <x:c r="K3076" s="2" t="str">
        <x:f>IF(OR(J3076="심의승인",J3076="반려",J3076="반려완료",J3076="심의완료"),"종결 표시",IF(OR(J3076="기후부협의",J3076="문서재제출요청",J3076="보류",J3076="보완요청",J3076="보완완료",J3076="평가중",J3076="반려요청",J3076="평가필요",LEFT(J3076,5)="보완요청("),"미종결 표시","상태 확인 필요"))</x:f>
        <x:v>종결 표시</x:v>
      </x:c>
      <x:c r="L3076" s="2" t="str">
        <x:v>KRIC</x:v>
      </x:c>
      <x:c r="M3076" s="2"/>
      <x:c r="N3076" s="8" t="n">
        <x:f>DATE(2026,10,15)-DATE(2022,12,30)</x:f>
        <x:v>1385</x:v>
      </x:c>
      <x:c r="O3076" s="2"/>
      <x:c r="P3076" s="2" t="str">
        <x:v>57차 인증위 승인</x:v>
      </x:c>
      <x:c r="Q3076" s="2" t="str">
        <x:v>산업전환_외부사업관리Tool_260707_이너젠 수정_LJY_261013.xlsx</x:v>
      </x:c>
      <x:c r="R3076" s="2" t="str">
        <x:v>국외인증</x:v>
      </x:c>
      <x:c r="S3076" s="8" t="n">
        <x:v>663</x:v>
      </x:c>
      <x:c r="T3076" s="2" t="str">
        <x:v>(1/30),(5/16)</x:v>
      </x:c>
      <x:c r="U3076" s="2" t="str">
        <x:v>2023 지정: (1/30),(5/16)</x:v>
      </x:c>
      <x:c r="V3076" s="2" t="str">
        <x:v>2024-06-27</x:v>
      </x:c>
      <x:c r="W3076" s="2" t="str"/>
      <x:c r="X3076" s="2" t="str">
        <x:v>종결 근거 보관</x:v>
      </x:c>
      <x:c r="Y3076" s="2" t="str">
        <x:v>ad210cd9ec132cfd447541c8984dc53d30aff0f4fb2dc92d254d49275cc55976</x:v>
      </x:c>
      <x:c r="Z3076" s="2" t="n">
        <x:f>SUBTOTAL(103,A3076)</x:f>
        <x:v>1</x:v>
      </x:c>
      <x:c r="AA3076" s="2" t="str">
        <x:f>IF(K3076&lt;&gt;"미종결 표시","대상 아님",IF(N3076="","신청일 확인",IF(NOT(ISNUMBER('종합 현황'!$H$5)),"관찰기준 확인",IF('종합 현황'!$H$5&lt;1,"관찰기준 확인",IF(N3076&gt;'종합 현황'!$H$5,"내부 관찰 대상","내부 관찰일 이하")))))</x:f>
        <x:v>대상 아님</x:v>
      </x:c>
      <x:c r="AB3076" s="2" t="str">
        <x:v>2022-12-30 15:41 - 신청
2023-04-17 10:01 - 문서재제출요청
2023-05-13 01:06 - 신청
2023-06-07 19:42 - 문서재제출요청
2023-06-14 23:49 - 신청
2023-06-19 16:52 - 문서재제출요청
2023-07-11 18:29 - 신청
2023-07-11 21:54 - 문서재제출요청
2023-07-12 11:21 - 신청
2023-07-25 15:56 - 문서재제출요청
2023-09-03 23:57 - 신청
2023-11-16 17:19 - 보완요청
2023-11-19 13:18 - 신청
2024-02-06 17:21 - 문서재제출요청
2024-02-16 03:46 - 신청
2024-03-08 14:17 - 검토승인
2024-03-12 09:41 - 협의검토중
2024-04-17 14:37 - 협의통보
2024-06-27 17:32 - 심의승인</x:v>
      </x:c>
    </x:row>
    <x:row r="3077" ht="42" customHeight="1">
      <x:c r="A3077" s="2" t="str">
        <x:v>005bbeef1370f5f8e35daf2e</x:v>
      </x:c>
      <x:c r="B3077" s="2" t="str">
        <x:v>감축량 인증</x:v>
      </x:c>
      <x:c r="C3077" s="2" t="str">
        <x:v>국외</x:v>
      </x:c>
      <x:c r="D3077" s="7" t="str">
        <x:v>인도 청정에너지 기기 보급 사업 (PoA 9181-CPA 30)</x:v>
      </x:c>
      <x:c r="E3077" s="2" t="str">
        <x:v>662</x:v>
      </x:c>
      <x:c r="F3077" s="2" t="str">
        <x:v>2022-12-30</x:v>
      </x:c>
      <x:c r="G3077" s="2" t="str">
        <x:v>2022</x:v>
      </x:c>
      <x:c r="H3077" s="2" t="str">
        <x:v>12</x:v>
      </x:c>
      <x:c r="I3077" s="2" t="str">
        <x:v>심의승인</x:v>
      </x:c>
      <x:c r="J3077" s="2" t="str">
        <x:v>심의승인</x:v>
      </x:c>
      <x:c r="K3077" s="2" t="str">
        <x:f>IF(OR(J3077="심의승인",J3077="반려",J3077="반려완료",J3077="심의완료"),"종결 표시",IF(OR(J3077="기후부협의",J3077="문서재제출요청",J3077="보류",J3077="보완요청",J3077="보완완료",J3077="평가중",J3077="반려요청",J3077="평가필요",LEFT(J3077,5)="보완요청("),"미종결 표시","상태 확인 필요"))</x:f>
        <x:v>종결 표시</x:v>
      </x:c>
      <x:c r="L3077" s="2" t="str">
        <x:v>KRIC</x:v>
      </x:c>
      <x:c r="M3077" s="2"/>
      <x:c r="N3077" s="8" t="n">
        <x:f>DATE(2026,10,15)-DATE(2022,12,30)</x:f>
        <x:v>1385</x:v>
      </x:c>
      <x:c r="O3077" s="2"/>
      <x:c r="P3077" s="2" t="str">
        <x:v>57차 인증위 승인</x:v>
      </x:c>
      <x:c r="Q3077" s="2" t="str">
        <x:v>산업전환_외부사업관리Tool_260707_이너젠 수정_LJY_261013.xlsx</x:v>
      </x:c>
      <x:c r="R3077" s="2" t="str">
        <x:v>국외인증</x:v>
      </x:c>
      <x:c r="S3077" s="8" t="n">
        <x:v>664</x:v>
      </x:c>
      <x:c r="T3077" s="2" t="str">
        <x:v>(1/30),(5/16)</x:v>
      </x:c>
      <x:c r="U3077" s="2" t="str">
        <x:v>2023 지정: (1/30),(5/16)</x:v>
      </x:c>
      <x:c r="V3077" s="2" t="str">
        <x:v>2024-06-27</x:v>
      </x:c>
      <x:c r="W3077" s="2" t="str"/>
      <x:c r="X3077" s="2" t="str">
        <x:v>종결 근거 보관</x:v>
      </x:c>
      <x:c r="Y3077" s="2" t="str">
        <x:v>ad210cd9ec132cfd447541c8984dc53d30aff0f4fb2dc92d254d49275cc55976</x:v>
      </x:c>
      <x:c r="Z3077" s="2" t="n">
        <x:f>SUBTOTAL(103,A3077)</x:f>
        <x:v>1</x:v>
      </x:c>
      <x:c r="AA3077" s="2" t="str">
        <x:f>IF(K3077&lt;&gt;"미종결 표시","대상 아님",IF(N3077="","신청일 확인",IF(NOT(ISNUMBER('종합 현황'!$H$5)),"관찰기준 확인",IF('종합 현황'!$H$5&lt;1,"관찰기준 확인",IF(N3077&gt;'종합 현황'!$H$5,"내부 관찰 대상","내부 관찰일 이하")))))</x:f>
        <x:v>대상 아님</x:v>
      </x:c>
      <x:c r="AB3077" s="2" t="str">
        <x:v>2022-12-30 15:43 - 신청
2023-04-17 10:03 - 문서재제출요청
2023-05-13 01:07 - 신청
2023-06-07 19:45 - 문서재제출요청
2023-06-14 23:50 - 신청
2023-06-19 16:52 - 문서재제출요청
2023-07-11 18:29 - 신청
2023-07-11 21:54 - 문서재제출요청
2023-07-12 11:21 - 신청
2023-07-12 16:17 - 문서재제출요청
2023-07-12 21:02 - 신청
2023-07-25 15:57 - 문서재제출요청
2023-09-03 23:58 - 신청
2023-11-16 17:22 - 보완요청
2023-11-19 13:19 - 신청
2024-02-06 17:22 - 문서재제출요청
2024-02-16 03:47 - 신청
2024-03-08 14:18 - 검토승인
2024-03-12 09:41 - 협의검토중
2024-04-17 14:39 - 협의통보
2024-06-27 17:08 - 심의승인</x:v>
      </x:c>
    </x:row>
    <x:row r="3078" ht="42" customHeight="1">
      <x:c r="A3078" s="2" t="str">
        <x:v>996250df7acd408296addece</x:v>
      </x:c>
      <x:c r="B3078" s="2" t="str">
        <x:v>감축량 인증</x:v>
      </x:c>
      <x:c r="C3078" s="2" t="str">
        <x:v>국외</x:v>
      </x:c>
      <x:c r="D3078" s="7" t="str">
        <x:v>인도 청정에너지 기기 보급 사업 (PoA 9181-CPA 24)</x:v>
      </x:c>
      <x:c r="E3078" s="2" t="str">
        <x:v>663</x:v>
      </x:c>
      <x:c r="F3078" s="2" t="str">
        <x:v>2022-12-30</x:v>
      </x:c>
      <x:c r="G3078" s="2" t="str">
        <x:v>2022</x:v>
      </x:c>
      <x:c r="H3078" s="2" t="str">
        <x:v>12</x:v>
      </x:c>
      <x:c r="I3078" s="2" t="str">
        <x:v>심의승인</x:v>
      </x:c>
      <x:c r="J3078" s="2" t="str">
        <x:v>심의승인</x:v>
      </x:c>
      <x:c r="K3078" s="2" t="str">
        <x:f>IF(OR(J3078="심의승인",J3078="반려",J3078="반려완료",J3078="심의완료"),"종결 표시",IF(OR(J3078="기후부협의",J3078="문서재제출요청",J3078="보류",J3078="보완요청",J3078="보완완료",J3078="평가중",J3078="반려요청",J3078="평가필요",LEFT(J3078,5)="보완요청("),"미종결 표시","상태 확인 필요"))</x:f>
        <x:v>종결 표시</x:v>
      </x:c>
      <x:c r="L3078" s="2" t="str">
        <x:v>KRIC</x:v>
      </x:c>
      <x:c r="M3078" s="2"/>
      <x:c r="N3078" s="8" t="n">
        <x:f>DATE(2026,10,15)-DATE(2022,12,30)</x:f>
        <x:v>1385</x:v>
      </x:c>
      <x:c r="O3078" s="2"/>
      <x:c r="P3078" s="2" t="str">
        <x:v>57차 인증위 승인</x:v>
      </x:c>
      <x:c r="Q3078" s="2" t="str">
        <x:v>산업전환_외부사업관리Tool_260707_이너젠 수정_LJY_261013.xlsx</x:v>
      </x:c>
      <x:c r="R3078" s="2" t="str">
        <x:v>국외인증</x:v>
      </x:c>
      <x:c r="S3078" s="8" t="n">
        <x:v>665</x:v>
      </x:c>
      <x:c r="T3078" s="2" t="str">
        <x:v>(1/30),(5/16)</x:v>
      </x:c>
      <x:c r="U3078" s="2" t="str">
        <x:v>2023 지정: (1/30),(5/16)</x:v>
      </x:c>
      <x:c r="V3078" s="2" t="str">
        <x:v>2024-07-01</x:v>
      </x:c>
      <x:c r="W3078" s="2" t="str"/>
      <x:c r="X3078" s="2" t="str">
        <x:v>종결 근거 보관</x:v>
      </x:c>
      <x:c r="Y3078" s="2" t="str">
        <x:v>ad210cd9ec132cfd447541c8984dc53d30aff0f4fb2dc92d254d49275cc55976</x:v>
      </x:c>
      <x:c r="Z3078" s="2" t="n">
        <x:f>SUBTOTAL(103,A3078)</x:f>
        <x:v>1</x:v>
      </x:c>
      <x:c r="AA3078" s="2" t="str">
        <x:f>IF(K3078&lt;&gt;"미종결 표시","대상 아님",IF(N3078="","신청일 확인",IF(NOT(ISNUMBER('종합 현황'!$H$5)),"관찰기준 확인",IF('종합 현황'!$H$5&lt;1,"관찰기준 확인",IF(N3078&gt;'종합 현황'!$H$5,"내부 관찰 대상","내부 관찰일 이하")))))</x:f>
        <x:v>대상 아님</x:v>
      </x:c>
      <x:c r="AB3078" s="2" t="str">
        <x:v>2022-12-30 15:49 - 신청
2023-04-17 10:17 - 문서재제출요청
2023-05-13 01:07 - 신청
2023-06-07 20:36 - 문서재제출요청
2023-06-15 00:33 - 신청
2023-06-19 20:07 - 문서재제출요청
2023-07-11 18:31 - 신청
2023-07-11 21:55 - 문서재제출요청
2023-07-12 11:22 - 신청
2023-07-25 15:59 - 문서재제출요청
2023-09-04 00:03 - 신청
2023-11-16 17:18 - 보완요청
2023-11-19 13:21 - 신청
2024-02-06 17:23 - 문서재제출요청
2024-02-16 03:49 - 신청
2024-03-08 14:12 - 검토승인
2024-03-12 09:41 - 협의검토중
2024-04-17 14:25 - 협의통보
2024-07-01 14:11 - 심의승인</x:v>
      </x:c>
    </x:row>
    <x:row r="3079" ht="42" customHeight="1">
      <x:c r="A3079" s="2" t="str">
        <x:v>ed47bc3ea6645f7c8d461a11</x:v>
      </x:c>
      <x:c r="B3079" s="2" t="str">
        <x:v>감축량 인증</x:v>
      </x:c>
      <x:c r="C3079" s="2" t="str">
        <x:v>국외</x:v>
      </x:c>
      <x:c r="D3079" s="7" t="str">
        <x:v>인도 청정에너지 기기 보급 사업 (PoA 9181-CPA 25)</x:v>
      </x:c>
      <x:c r="E3079" s="2" t="str">
        <x:v>664</x:v>
      </x:c>
      <x:c r="F3079" s="2" t="str">
        <x:v>2022-12-30</x:v>
      </x:c>
      <x:c r="G3079" s="2" t="str">
        <x:v>2022</x:v>
      </x:c>
      <x:c r="H3079" s="2" t="str">
        <x:v>12</x:v>
      </x:c>
      <x:c r="I3079" s="2" t="str">
        <x:v>심의승인</x:v>
      </x:c>
      <x:c r="J3079" s="2" t="str">
        <x:v>심의승인</x:v>
      </x:c>
      <x:c r="K3079" s="2" t="str">
        <x:f>IF(OR(J3079="심의승인",J3079="반려",J3079="반려완료",J3079="심의완료"),"종결 표시",IF(OR(J3079="기후부협의",J3079="문서재제출요청",J3079="보류",J3079="보완요청",J3079="보완완료",J3079="평가중",J3079="반려요청",J3079="평가필요",LEFT(J3079,5)="보완요청("),"미종결 표시","상태 확인 필요"))</x:f>
        <x:v>종결 표시</x:v>
      </x:c>
      <x:c r="L3079" s="2" t="str">
        <x:v>KRIC</x:v>
      </x:c>
      <x:c r="M3079" s="2"/>
      <x:c r="N3079" s="8" t="n">
        <x:f>DATE(2026,10,15)-DATE(2022,12,30)</x:f>
        <x:v>1385</x:v>
      </x:c>
      <x:c r="O3079" s="2"/>
      <x:c r="P3079" s="2" t="str">
        <x:v>57차 인증위 승인</x:v>
      </x:c>
      <x:c r="Q3079" s="2" t="str">
        <x:v>산업전환_외부사업관리Tool_260707_이너젠 수정_LJY_261013.xlsx</x:v>
      </x:c>
      <x:c r="R3079" s="2" t="str">
        <x:v>국외인증</x:v>
      </x:c>
      <x:c r="S3079" s="8" t="n">
        <x:v>666</x:v>
      </x:c>
      <x:c r="T3079" s="2" t="str">
        <x:v>(1/30),(5/16)</x:v>
      </x:c>
      <x:c r="U3079" s="2" t="str">
        <x:v>2023 지정: (1/30),(5/16)</x:v>
      </x:c>
      <x:c r="V3079" s="2" t="str">
        <x:v>2024-06-28</x:v>
      </x:c>
      <x:c r="W3079" s="2" t="str"/>
      <x:c r="X3079" s="2" t="str">
        <x:v>종결 근거 보관</x:v>
      </x:c>
      <x:c r="Y3079" s="2" t="str">
        <x:v>ad210cd9ec132cfd447541c8984dc53d30aff0f4fb2dc92d254d49275cc55976</x:v>
      </x:c>
      <x:c r="Z3079" s="2" t="n">
        <x:f>SUBTOTAL(103,A3079)</x:f>
        <x:v>1</x:v>
      </x:c>
      <x:c r="AA3079" s="2" t="str">
        <x:f>IF(K3079&lt;&gt;"미종결 표시","대상 아님",IF(N3079="","신청일 확인",IF(NOT(ISNUMBER('종합 현황'!$H$5)),"관찰기준 확인",IF('종합 현황'!$H$5&lt;1,"관찰기준 확인",IF(N3079&gt;'종합 현황'!$H$5,"내부 관찰 대상","내부 관찰일 이하")))))</x:f>
        <x:v>대상 아님</x:v>
      </x:c>
      <x:c r="AB3079" s="2" t="str">
        <x:v>2022-12-30 15:53 - 신청
2023-04-17 10:19 - 문서재제출요청
2023-05-13 01:08 - 신청
2023-06-07 20:40 - 문서재제출요청
2023-06-15 00:33 - 신청
2023-06-19 20:08 - 문서재제출요청
2023-07-11 18:33 - 신청
2023-07-11 21:55 - 문서재제출요청
2023-07-12 11:22 - 신청
2023-07-25 15:59 - 문서재제출요청
2023-09-04 00:03 - 신청
2023-11-16 17:17 - 보완요청
2023-11-19 13:22 - 신청
2024-02-06 17:23 - 문서재제출요청
2024-02-16 03:51 - 신청
2024-02-20 23:48 - 문서재제출요청
2024-02-21 13:24 - 신청
2024-03-08 14:13 - 검토승인
2024-03-12 09:41 - 협의검토중
2024-04-17 14:28 - 협의통보
2024-06-28 15:46 - 심의승인</x:v>
      </x:c>
    </x:row>
    <x:row r="3080" ht="42" customHeight="1">
      <x:c r="A3080" s="2" t="str">
        <x:v>f6d00ac917593527f5251ce0</x:v>
      </x:c>
      <x:c r="B3080" s="2" t="str">
        <x:v>감축량 인증</x:v>
      </x:c>
      <x:c r="C3080" s="2" t="str">
        <x:v>국외</x:v>
      </x:c>
      <x:c r="D3080" s="7" t="str">
        <x:v>인도 청정에너지 기기 보급 사업 (PoA 9181-CPA 26)</x:v>
      </x:c>
      <x:c r="E3080" s="2" t="str">
        <x:v>665</x:v>
      </x:c>
      <x:c r="F3080" s="2" t="str">
        <x:v>2022-12-30</x:v>
      </x:c>
      <x:c r="G3080" s="2" t="str">
        <x:v>2022</x:v>
      </x:c>
      <x:c r="H3080" s="2" t="str">
        <x:v>12</x:v>
      </x:c>
      <x:c r="I3080" s="2" t="str">
        <x:v>심의승인</x:v>
      </x:c>
      <x:c r="J3080" s="2" t="str">
        <x:v>심의승인</x:v>
      </x:c>
      <x:c r="K3080" s="2" t="str">
        <x:f>IF(OR(J3080="심의승인",J3080="반려",J3080="반려완료",J3080="심의완료"),"종결 표시",IF(OR(J3080="기후부협의",J3080="문서재제출요청",J3080="보류",J3080="보완요청",J3080="보완완료",J3080="평가중",J3080="반려요청",J3080="평가필요",LEFT(J3080,5)="보완요청("),"미종결 표시","상태 확인 필요"))</x:f>
        <x:v>종결 표시</x:v>
      </x:c>
      <x:c r="L3080" s="2" t="str">
        <x:v>KRIC</x:v>
      </x:c>
      <x:c r="M3080" s="2"/>
      <x:c r="N3080" s="8" t="n">
        <x:f>DATE(2026,10,15)-DATE(2022,12,30)</x:f>
        <x:v>1385</x:v>
      </x:c>
      <x:c r="O3080" s="2"/>
      <x:c r="P3080" s="2" t="str">
        <x:v>57차 인증위 승인</x:v>
      </x:c>
      <x:c r="Q3080" s="2" t="str">
        <x:v>산업전환_외부사업관리Tool_260707_이너젠 수정_LJY_261013.xlsx</x:v>
      </x:c>
      <x:c r="R3080" s="2" t="str">
        <x:v>국외인증</x:v>
      </x:c>
      <x:c r="S3080" s="8" t="n">
        <x:v>667</x:v>
      </x:c>
      <x:c r="T3080" s="2" t="str">
        <x:v>(1/30),(5/16)</x:v>
      </x:c>
      <x:c r="U3080" s="2" t="str">
        <x:v>2023 지정: (1/30),(5/16)</x:v>
      </x:c>
      <x:c r="V3080" s="2" t="str">
        <x:v>2024-06-28</x:v>
      </x:c>
      <x:c r="W3080" s="2" t="str"/>
      <x:c r="X3080" s="2" t="str">
        <x:v>종결 근거 보관</x:v>
      </x:c>
      <x:c r="Y3080" s="2" t="str">
        <x:v>ad210cd9ec132cfd447541c8984dc53d30aff0f4fb2dc92d254d49275cc55976</x:v>
      </x:c>
      <x:c r="Z3080" s="2" t="n">
        <x:f>SUBTOTAL(103,A3080)</x:f>
        <x:v>1</x:v>
      </x:c>
      <x:c r="AA3080" s="2" t="str">
        <x:f>IF(K3080&lt;&gt;"미종결 표시","대상 아님",IF(N3080="","신청일 확인",IF(NOT(ISNUMBER('종합 현황'!$H$5)),"관찰기준 확인",IF('종합 현황'!$H$5&lt;1,"관찰기준 확인",IF(N3080&gt;'종합 현황'!$H$5,"내부 관찰 대상","내부 관찰일 이하")))))</x:f>
        <x:v>대상 아님</x:v>
      </x:c>
      <x:c r="AB3080" s="2" t="str">
        <x:v>2022-12-30 15:55 - 신청
2023-04-17 10:20 - 문서재제출요청
2023-05-13 01:08 - 신청
2023-06-07 20:43 - 문서재제출요청
2023-06-15 00:35 - 신청
2023-06-19 20:09 - 문서재제출요청
2023-07-11 18:35 - 신청
2023-07-11 21:55 - 문서재제출요청
2023-07-12 11:22 - 신청
2023-07-25 15:59 - 문서재제출요청
2023-09-04 00:04 - 신청
2023-11-16 17:17 - 보완요청
2023-11-19 13:22 - 신청
2024-02-06 17:23 - 문서재제출요청
2024-02-16 21:08 - 신청
2024-02-20 23:49 - 문서재제출요청
2024-02-21 13:23 - 신청
2024-02-22 07:39 - 문서재제출요청
2024-02-22 08:26 - 신청
2024-02-22 08:28 - 문서재제출요청
2024-02-22 08:35 - 신청
2024-03-08 14:14 - 검토승인
2024-03-12 09:41 - 협의검토중
2024-04-17 14:30 - 협의통보
2024-06-28 15:24 - 심의승인</x:v>
      </x:c>
    </x:row>
    <x:row r="3081" ht="42" customHeight="1">
      <x:c r="A3081" s="2" t="str">
        <x:v>f5473a52a8563a7e37128997</x:v>
      </x:c>
      <x:c r="B3081" s="2" t="str">
        <x:v>감축량 인증</x:v>
      </x:c>
      <x:c r="C3081" s="2" t="str">
        <x:v>국외</x:v>
      </x:c>
      <x:c r="D3081" s="7" t="str">
        <x:v>인도 청정에너지 기기 보급 사업 (PoA 9181-CPA 27)</x:v>
      </x:c>
      <x:c r="E3081" s="2" t="str">
        <x:v>666</x:v>
      </x:c>
      <x:c r="F3081" s="2" t="str">
        <x:v>2022-12-30</x:v>
      </x:c>
      <x:c r="G3081" s="2" t="str">
        <x:v>2022</x:v>
      </x:c>
      <x:c r="H3081" s="2" t="str">
        <x:v>12</x:v>
      </x:c>
      <x:c r="I3081" s="2" t="str">
        <x:v>심의승인</x:v>
      </x:c>
      <x:c r="J3081" s="2" t="str">
        <x:v>심의승인</x:v>
      </x:c>
      <x:c r="K3081" s="2" t="str">
        <x:f>IF(OR(J3081="심의승인",J3081="반려",J3081="반려완료",J3081="심의완료"),"종결 표시",IF(OR(J3081="기후부협의",J3081="문서재제출요청",J3081="보류",J3081="보완요청",J3081="보완완료",J3081="평가중",J3081="반려요청",J3081="평가필요",LEFT(J3081,5)="보완요청("),"미종결 표시","상태 확인 필요"))</x:f>
        <x:v>종결 표시</x:v>
      </x:c>
      <x:c r="L3081" s="2" t="str">
        <x:v>KRIC</x:v>
      </x:c>
      <x:c r="M3081" s="2"/>
      <x:c r="N3081" s="8" t="n">
        <x:f>DATE(2026,10,15)-DATE(2022,12,30)</x:f>
        <x:v>1385</x:v>
      </x:c>
      <x:c r="O3081" s="2"/>
      <x:c r="P3081" s="2" t="str">
        <x:v>57차 인증위 승인</x:v>
      </x:c>
      <x:c r="Q3081" s="2" t="str">
        <x:v>산업전환_외부사업관리Tool_260707_이너젠 수정_LJY_261013.xlsx</x:v>
      </x:c>
      <x:c r="R3081" s="2" t="str">
        <x:v>국외인증</x:v>
      </x:c>
      <x:c r="S3081" s="8" t="n">
        <x:v>668</x:v>
      </x:c>
      <x:c r="T3081" s="2" t="str">
        <x:v>(1/30),(5/16)</x:v>
      </x:c>
      <x:c r="U3081" s="2" t="str">
        <x:v>2023 지정: (1/30),(5/16)</x:v>
      </x:c>
      <x:c r="V3081" s="2" t="str">
        <x:v>2024-06-28</x:v>
      </x:c>
      <x:c r="W3081" s="2" t="str"/>
      <x:c r="X3081" s="2" t="str">
        <x:v>종결 근거 보관</x:v>
      </x:c>
      <x:c r="Y3081" s="2" t="str">
        <x:v>ad210cd9ec132cfd447541c8984dc53d30aff0f4fb2dc92d254d49275cc55976</x:v>
      </x:c>
      <x:c r="Z3081" s="2" t="n">
        <x:f>SUBTOTAL(103,A3081)</x:f>
        <x:v>1</x:v>
      </x:c>
      <x:c r="AA3081" s="2" t="str">
        <x:f>IF(K3081&lt;&gt;"미종결 표시","대상 아님",IF(N3081="","신청일 확인",IF(NOT(ISNUMBER('종합 현황'!$H$5)),"관찰기준 확인",IF('종합 현황'!$H$5&lt;1,"관찰기준 확인",IF(N3081&gt;'종합 현황'!$H$5,"내부 관찰 대상","내부 관찰일 이하")))))</x:f>
        <x:v>대상 아님</x:v>
      </x:c>
      <x:c r="AB3081" s="2" t="str">
        <x:v>2022-12-30 15:57 - 신청
2023-04-17 10:21 - 문서재제출요청
2023-05-13 01:08 - 신청
2023-06-07 20:45 - 문서재제출요청
2023-06-15 00:36 - 신청
2023-06-19 20:09 - 문서재제출요청
2023-07-11 18:37 - 신청
2023-07-11 21:55 - 문서재제출요청
2023-07-12 11:22 - 신청
2023-07-25 15:59 - 문서재제출요청
2023-09-04 00:04 - 신청
2023-11-16 17:14 - 보완요청
2023-11-19 13:24 - 신청
2024-02-06 17:24 - 문서재제출요청
2024-02-16 03:58 - 신청
2024-02-20 23:51 - 문서재제출요청
2024-02-21 13:24 - 신청
2024-02-22 07:42 - 문서재제출요청
2024-02-22 08:36 - 신청
2024-03-08 14:15 - 검토승인
2024-03-12 09:41 - 협의검토중
2024-04-17 14:32 - 협의통보
2024-06-28 15:13 - 심의승인</x:v>
      </x:c>
    </x:row>
    <x:row r="3082" ht="42" customHeight="1">
      <x:c r="A3082" s="2" t="str">
        <x:v>f21aa63243eac87bf616d464</x:v>
      </x:c>
      <x:c r="B3082" s="2" t="str">
        <x:v>감축량 인증</x:v>
      </x:c>
      <x:c r="C3082" s="2" t="str">
        <x:v>국외</x:v>
      </x:c>
      <x:c r="D3082" s="7" t="str">
        <x:v>인도 청정에너지 기기 보급 사업 (PoA 9181-CPA 28)</x:v>
      </x:c>
      <x:c r="E3082" s="2" t="str">
        <x:v>667</x:v>
      </x:c>
      <x:c r="F3082" s="2" t="str">
        <x:v>2022-12-30</x:v>
      </x:c>
      <x:c r="G3082" s="2" t="str">
        <x:v>2022</x:v>
      </x:c>
      <x:c r="H3082" s="2" t="str">
        <x:v>12</x:v>
      </x:c>
      <x:c r="I3082" s="2" t="str">
        <x:v>심의승인</x:v>
      </x:c>
      <x:c r="J3082" s="2" t="str">
        <x:v>심의승인</x:v>
      </x:c>
      <x:c r="K3082" s="2" t="str">
        <x:f>IF(OR(J3082="심의승인",J3082="반려",J3082="반려완료",J3082="심의완료"),"종결 표시",IF(OR(J3082="기후부협의",J3082="문서재제출요청",J3082="보류",J3082="보완요청",J3082="보완완료",J3082="평가중",J3082="반려요청",J3082="평가필요",LEFT(J3082,5)="보완요청("),"미종결 표시","상태 확인 필요"))</x:f>
        <x:v>종결 표시</x:v>
      </x:c>
      <x:c r="L3082" s="2" t="str">
        <x:v>KRIC</x:v>
      </x:c>
      <x:c r="M3082" s="2"/>
      <x:c r="N3082" s="8" t="n">
        <x:f>DATE(2026,10,15)-DATE(2022,12,30)</x:f>
        <x:v>1385</x:v>
      </x:c>
      <x:c r="O3082" s="2"/>
      <x:c r="P3082" s="2" t="str">
        <x:v>57차 인증위 승인</x:v>
      </x:c>
      <x:c r="Q3082" s="2" t="str">
        <x:v>산업전환_외부사업관리Tool_260707_이너젠 수정_LJY_261013.xlsx</x:v>
      </x:c>
      <x:c r="R3082" s="2" t="str">
        <x:v>국외인증</x:v>
      </x:c>
      <x:c r="S3082" s="8" t="n">
        <x:v>669</x:v>
      </x:c>
      <x:c r="T3082" s="2" t="str">
        <x:v>(1/30),(5/16)</x:v>
      </x:c>
      <x:c r="U3082" s="2" t="str">
        <x:v>2023 지정: (1/30),(5/16)</x:v>
      </x:c>
      <x:c r="V3082" s="2" t="str">
        <x:v>2024-06-28</x:v>
      </x:c>
      <x:c r="W3082" s="2" t="str"/>
      <x:c r="X3082" s="2" t="str">
        <x:v>종결 근거 보관</x:v>
      </x:c>
      <x:c r="Y3082" s="2" t="str">
        <x:v>ad210cd9ec132cfd447541c8984dc53d30aff0f4fb2dc92d254d49275cc55976</x:v>
      </x:c>
      <x:c r="Z3082" s="2" t="n">
        <x:f>SUBTOTAL(103,A3082)</x:f>
        <x:v>1</x:v>
      </x:c>
      <x:c r="AA3082" s="2" t="str">
        <x:f>IF(K3082&lt;&gt;"미종결 표시","대상 아님",IF(N3082="","신청일 확인",IF(NOT(ISNUMBER('종합 현황'!$H$5)),"관찰기준 확인",IF('종합 현황'!$H$5&lt;1,"관찰기준 확인",IF(N3082&gt;'종합 현황'!$H$5,"내부 관찰 대상","내부 관찰일 이하")))))</x:f>
        <x:v>대상 아님</x:v>
      </x:c>
      <x:c r="AB3082" s="2" t="str">
        <x:v>2022-12-30 15:59 - 신청
2023-04-17 10:22 - 문서재제출요청
2023-05-13 01:09 - 신청
2023-06-07 20:47 - 문서재제출요청
2023-06-15 00:41 - 신청
2023-06-19 20:10 - 문서재제출요청
2023-07-11 18:39 - 신청
2023-07-11 21:55 - 문서재제출요청
2023-07-12 11:22 - 신청
2023-07-25 16:00 - 문서재제출요청
2023-09-04 00:05 - 신청
2023-11-16 17:17 - 보완요청
2023-11-19 13:22 - 신청
2024-02-06 17:23 - 문서재제출요청
2024-02-16 03:56 - 신청
2024-02-20 23:52 - 문서재제출요청
2024-02-21 13:24 - 신청
2024-03-08 14:16 - 검토승인
2024-03-12 09:41 - 협의검토중
2024-04-17 14:35 - 협의통보
2024-06-28 15:09 - 심의승인</x:v>
      </x:c>
    </x:row>
    <x:row r="3083" ht="42" customHeight="1">
      <x:c r="A3083" s="2" t="str">
        <x:v>01a909047ea1c81f74068db0</x:v>
      </x:c>
      <x:c r="B3083" s="2" t="str">
        <x:v>감축량 인증</x:v>
      </x:c>
      <x:c r="C3083" s="2" t="str">
        <x:v>국외</x:v>
      </x:c>
      <x:c r="D3083" s="7" t="str">
        <x:v>인도 청정에너지 기기 보급 사업 (PoA 9181-CPA 29)</x:v>
      </x:c>
      <x:c r="E3083" s="2" t="str">
        <x:v>668</x:v>
      </x:c>
      <x:c r="F3083" s="2" t="str">
        <x:v>2022-12-30</x:v>
      </x:c>
      <x:c r="G3083" s="2" t="str">
        <x:v>2022</x:v>
      </x:c>
      <x:c r="H3083" s="2" t="str">
        <x:v>12</x:v>
      </x:c>
      <x:c r="I3083" s="2" t="str">
        <x:v>심의승인</x:v>
      </x:c>
      <x:c r="J3083" s="2" t="str">
        <x:v>심의승인</x:v>
      </x:c>
      <x:c r="K3083" s="2" t="str">
        <x:f>IF(OR(J3083="심의승인",J3083="반려",J3083="반려완료",J3083="심의완료"),"종결 표시",IF(OR(J3083="기후부협의",J3083="문서재제출요청",J3083="보류",J3083="보완요청",J3083="보완완료",J3083="평가중",J3083="반려요청",J3083="평가필요",LEFT(J3083,5)="보완요청("),"미종결 표시","상태 확인 필요"))</x:f>
        <x:v>종결 표시</x:v>
      </x:c>
      <x:c r="L3083" s="2" t="str">
        <x:v>KRIC</x:v>
      </x:c>
      <x:c r="M3083" s="2"/>
      <x:c r="N3083" s="8" t="n">
        <x:f>DATE(2026,10,15)-DATE(2022,12,30)</x:f>
        <x:v>1385</x:v>
      </x:c>
      <x:c r="O3083" s="2"/>
      <x:c r="P3083" s="2" t="str">
        <x:v>57차 인증위 승인</x:v>
      </x:c>
      <x:c r="Q3083" s="2" t="str">
        <x:v>산업전환_외부사업관리Tool_260707_이너젠 수정_LJY_261013.xlsx</x:v>
      </x:c>
      <x:c r="R3083" s="2" t="str">
        <x:v>국외인증</x:v>
      </x:c>
      <x:c r="S3083" s="8" t="n">
        <x:v>670</x:v>
      </x:c>
      <x:c r="T3083" s="2" t="str">
        <x:v>(1/30),(5/16)</x:v>
      </x:c>
      <x:c r="U3083" s="2" t="str">
        <x:v>2023 지정: (1/30),(5/16)</x:v>
      </x:c>
      <x:c r="V3083" s="2" t="str">
        <x:v>2024-06-27</x:v>
      </x:c>
      <x:c r="W3083" s="2" t="str"/>
      <x:c r="X3083" s="2" t="str">
        <x:v>종결 근거 보관</x:v>
      </x:c>
      <x:c r="Y3083" s="2" t="str">
        <x:v>ad210cd9ec132cfd447541c8984dc53d30aff0f4fb2dc92d254d49275cc55976</x:v>
      </x:c>
      <x:c r="Z3083" s="2" t="n">
        <x:f>SUBTOTAL(103,A3083)</x:f>
        <x:v>1</x:v>
      </x:c>
      <x:c r="AA3083" s="2" t="str">
        <x:f>IF(K3083&lt;&gt;"미종결 표시","대상 아님",IF(N3083="","신청일 확인",IF(NOT(ISNUMBER('종합 현황'!$H$5)),"관찰기준 확인",IF('종합 현황'!$H$5&lt;1,"관찰기준 확인",IF(N3083&gt;'종합 현황'!$H$5,"내부 관찰 대상","내부 관찰일 이하")))))</x:f>
        <x:v>대상 아님</x:v>
      </x:c>
      <x:c r="AB3083" s="2" t="str">
        <x:v>2022-12-30 16:00 - 신청
2023-04-17 10:23 - 문서재제출요청
2023-05-13 01:09 - 신청
2023-06-07 20:48 - 문서재제출요청
2023-06-15 00:43 - 신청
2023-06-19 20:10 - 문서재제출요청
2023-07-11 18:41 - 신청
2023-07-11 21:55 - 문서재제출요청
2023-07-12 11:23 - 신청
2023-07-25 16:00 - 문서재제출요청
2023-09-04 00:05 - 신청
2023-11-16 17:16 - 보완요청
2023-11-19 13:23 - 신청
2024-02-06 17:23 - 문서재제출요청
2024-02-16 03:57 - 신청
2024-02-20 23:52 - 문서재제출요청
2024-02-21 13:24 - 신청
2024-03-08 14:17 - 검토승인
2024-03-12 09:41 - 협의검토중
2024-04-17 14:37 - 협의통보
2024-06-27 17:34 - 심의승인</x:v>
      </x:c>
    </x:row>
    <x:row r="3084" ht="42" customHeight="1">
      <x:c r="A3084" s="2" t="str">
        <x:v>40ef98493c58c7aedf595397</x:v>
      </x:c>
      <x:c r="B3084" s="2" t="str">
        <x:v>감축량 인증</x:v>
      </x:c>
      <x:c r="C3084" s="2" t="str">
        <x:v>국외</x:v>
      </x:c>
      <x:c r="D3084" s="7" t="str">
        <x:v>인도 청정에너지 기기 보급 사업 (PoA 9181-CPA 30)</x:v>
      </x:c>
      <x:c r="E3084" s="2" t="str">
        <x:v>669</x:v>
      </x:c>
      <x:c r="F3084" s="2" t="str">
        <x:v>2022-12-30</x:v>
      </x:c>
      <x:c r="G3084" s="2" t="str">
        <x:v>2022</x:v>
      </x:c>
      <x:c r="H3084" s="2" t="str">
        <x:v>12</x:v>
      </x:c>
      <x:c r="I3084" s="2" t="str">
        <x:v>심의승인</x:v>
      </x:c>
      <x:c r="J3084" s="2" t="str">
        <x:v>심의승인</x:v>
      </x:c>
      <x:c r="K3084" s="2" t="str">
        <x:f>IF(OR(J3084="심의승인",J3084="반려",J3084="반려완료",J3084="심의완료"),"종결 표시",IF(OR(J3084="기후부협의",J3084="문서재제출요청",J3084="보류",J3084="보완요청",J3084="보완완료",J3084="평가중",J3084="반려요청",J3084="평가필요",LEFT(J3084,5)="보완요청("),"미종결 표시","상태 확인 필요"))</x:f>
        <x:v>종결 표시</x:v>
      </x:c>
      <x:c r="L3084" s="2" t="str">
        <x:v>KRIC</x:v>
      </x:c>
      <x:c r="M3084" s="2"/>
      <x:c r="N3084" s="8" t="n">
        <x:f>DATE(2026,10,15)-DATE(2022,12,30)</x:f>
        <x:v>1385</x:v>
      </x:c>
      <x:c r="O3084" s="2"/>
      <x:c r="P3084" s="2" t="str">
        <x:v>57차 인증위 승인</x:v>
      </x:c>
      <x:c r="Q3084" s="2" t="str">
        <x:v>산업전환_외부사업관리Tool_260707_이너젠 수정_LJY_261013.xlsx</x:v>
      </x:c>
      <x:c r="R3084" s="2" t="str">
        <x:v>국외인증</x:v>
      </x:c>
      <x:c r="S3084" s="8" t="n">
        <x:v>671</x:v>
      </x:c>
      <x:c r="T3084" s="2" t="str">
        <x:v>(1/30),(5/16)</x:v>
      </x:c>
      <x:c r="U3084" s="2" t="str">
        <x:v>2023 지정: (1/30),(5/16)</x:v>
      </x:c>
      <x:c r="V3084" s="2" t="str">
        <x:v>2024-06-27</x:v>
      </x:c>
      <x:c r="W3084" s="2" t="str"/>
      <x:c r="X3084" s="2" t="str">
        <x:v>종결 근거 보관</x:v>
      </x:c>
      <x:c r="Y3084" s="2" t="str">
        <x:v>ad210cd9ec132cfd447541c8984dc53d30aff0f4fb2dc92d254d49275cc55976</x:v>
      </x:c>
      <x:c r="Z3084" s="2" t="n">
        <x:f>SUBTOTAL(103,A3084)</x:f>
        <x:v>1</x:v>
      </x:c>
      <x:c r="AA3084" s="2" t="str">
        <x:f>IF(K3084&lt;&gt;"미종결 표시","대상 아님",IF(N3084="","신청일 확인",IF(NOT(ISNUMBER('종합 현황'!$H$5)),"관찰기준 확인",IF('종합 현황'!$H$5&lt;1,"관찰기준 확인",IF(N3084&gt;'종합 현황'!$H$5,"내부 관찰 대상","내부 관찰일 이하")))))</x:f>
        <x:v>대상 아님</x:v>
      </x:c>
      <x:c r="AB3084" s="2" t="str">
        <x:v>2022-12-30 16:02 - 신청
2023-04-17 10:25 - 문서재제출요청
2023-05-13 01:09 - 신청
2023-06-07 20:52 - 문서재제출요청
2023-06-15 00:44 - 신청
2023-06-19 20:11 - 문서재제출요청
2023-07-11 18:47 - 신청
2023-07-11 21:56 - 문서재제출요청
2023-07-12 11:23 - 신청
2023-07-25 16:00 - 문서재제출요청
2023-09-04 00:06 - 신청
2023-11-16 17:16 - 보완요청
2023-11-19 13:23 - 신청
2024-02-06 17:24 - 문서재제출요청
2024-02-16 03:58 - 신청
2024-02-20 23:53 - 문서재제출요청
2024-02-21 13:25 - 신청
2024-03-08 14:18 - 검토승인
2024-03-12 09:41 - 협의검토중
2024-04-17 14:39 - 협의통보
2024-06-27 17:06 - 심의승인</x:v>
      </x:c>
    </x:row>
    <x:row r="3085" ht="42" customHeight="1">
      <x:c r="A3085" s="2" t="str">
        <x:v>e0dff3505248e56c29269441</x:v>
      </x:c>
      <x:c r="B3085" s="2" t="str">
        <x:v>감축량 인증</x:v>
      </x:c>
      <x:c r="C3085" s="2" t="str">
        <x:v>국외</x:v>
      </x:c>
      <x:c r="D3085" s="7" t="str">
        <x:v>아프리카 고효율 쿡스토브 보급 PoA 사업 : CPA0008(케냐)</x:v>
      </x:c>
      <x:c r="E3085" s="2" t="str">
        <x:v>670</x:v>
      </x:c>
      <x:c r="F3085" s="2" t="str">
        <x:v>2023-02-16</x:v>
      </x:c>
      <x:c r="G3085" s="2" t="str">
        <x:v>2023</x:v>
      </x:c>
      <x:c r="H3085" s="2" t="str">
        <x:v>02</x:v>
      </x:c>
      <x:c r="I3085" s="2" t="str">
        <x:v>심의승인</x:v>
      </x:c>
      <x:c r="J3085" s="2" t="str">
        <x:v>심의승인</x:v>
      </x:c>
      <x:c r="K3085" s="2" t="str">
        <x:f>IF(OR(J3085="심의승인",J3085="반려",J3085="반려완료",J3085="심의완료"),"종결 표시",IF(OR(J3085="기후부협의",J3085="문서재제출요청",J3085="보류",J3085="보완요청",J3085="보완완료",J3085="평가중",J3085="반려요청",J3085="평가필요",LEFT(J3085,5)="보완요청("),"미종결 표시","상태 확인 필요"))</x:f>
        <x:v>종결 표시</x:v>
      </x:c>
      <x:c r="L3085" s="2" t="str">
        <x:v>KRIC</x:v>
      </x:c>
      <x:c r="M3085" s="2"/>
      <x:c r="N3085" s="8" t="n">
        <x:f>DATE(2026,10,15)-DATE(2023,2,16)</x:f>
        <x:v>1337</x:v>
      </x:c>
      <x:c r="O3085" s="2"/>
      <x:c r="P3085" s="2"/>
      <x:c r="Q3085" s="2" t="str">
        <x:v>산업전환_외부사업관리Tool_260707_이너젠 수정_LJY_261013.xlsx</x:v>
      </x:c>
      <x:c r="R3085" s="2" t="str">
        <x:v>국외인증</x:v>
      </x:c>
      <x:c r="S3085" s="8" t="n">
        <x:v>672</x:v>
      </x:c>
      <x:c r="T3085" s="2" t="str">
        <x:v>(4/3),(4/21)</x:v>
      </x:c>
      <x:c r="U3085" s="2" t="str">
        <x:v>2023 지정: (4/3),(4/21)</x:v>
      </x:c>
      <x:c r="V3085" s="2" t="str">
        <x:v>2023-09-20</x:v>
      </x:c>
      <x:c r="W3085" s="2" t="str"/>
      <x:c r="X3085" s="2" t="str">
        <x:v>종결 근거 보관</x:v>
      </x:c>
      <x:c r="Y3085" s="2" t="str">
        <x:v>ad210cd9ec132cfd447541c8984dc53d30aff0f4fb2dc92d254d49275cc55976</x:v>
      </x:c>
      <x:c r="Z3085" s="2" t="n">
        <x:f>SUBTOTAL(103,A3085)</x:f>
        <x:v>1</x:v>
      </x:c>
      <x:c r="AA3085" s="2" t="str">
        <x:f>IF(K3085&lt;&gt;"미종결 표시","대상 아님",IF(N3085="","신청일 확인",IF(NOT(ISNUMBER('종합 현황'!$H$5)),"관찰기준 확인",IF('종합 현황'!$H$5&lt;1,"관찰기준 확인",IF(N3085&gt;'종합 현황'!$H$5,"내부 관찰 대상","내부 관찰일 이하")))))</x:f>
        <x:v>대상 아님</x:v>
      </x:c>
      <x:c r="AB3085" s="2" t="str">
        <x:v>2023-02-16 15:27 - 신청
2023-02-23 09:32 - 문서재제출요청
2023-02-23 16:57 - 신청
2023-03-02 16:29 - 문서재제출요청
2023-03-14 11:04 - 신청
2023-04-06 15:29 - 문서재제출요청
2023-04-06 16:07 - 신청
2023-04-06 20:02 - 문서재제출요청
2023-04-07 09:42 - 신청
2023-08-01 14:35 - 문서재제출요청
2023-08-04 17:48 - 신청
2023-08-07 09:58 - 문서재제출요청
2023-08-07 13:53 - 신청
2023-08-07 17:48 - 검토승인
2023-08-08 14:40 - 협의검토중
2023-08-08 14:40 - 협의통보
2023-09-20 15:35 - 심의승인</x:v>
      </x:c>
    </x:row>
    <x:row r="3086" ht="42" customHeight="1">
      <x:c r="A3086" s="2" t="str">
        <x:v>10626f8f1b29d6b219afb34a</x:v>
      </x:c>
      <x:c r="B3086" s="2" t="str">
        <x:v>감축량 인증</x:v>
      </x:c>
      <x:c r="C3086" s="2" t="str">
        <x:v>국외</x:v>
      </x:c>
      <x:c r="D3086" s="7" t="str">
        <x:v>아프리카 고효율 쿡스토브 보급 PoA 사업 : CPA0009(케냐)</x:v>
      </x:c>
      <x:c r="E3086" s="2" t="str">
        <x:v>671</x:v>
      </x:c>
      <x:c r="F3086" s="2" t="str">
        <x:v>2023-02-16</x:v>
      </x:c>
      <x:c r="G3086" s="2" t="str">
        <x:v>2023</x:v>
      </x:c>
      <x:c r="H3086" s="2" t="str">
        <x:v>02</x:v>
      </x:c>
      <x:c r="I3086" s="2" t="str">
        <x:v>심의승인</x:v>
      </x:c>
      <x:c r="J3086" s="2" t="str">
        <x:v>심의승인</x:v>
      </x:c>
      <x:c r="K3086" s="2" t="str">
        <x:f>IF(OR(J3086="심의승인",J3086="반려",J3086="반려완료",J3086="심의완료"),"종결 표시",IF(OR(J3086="기후부협의",J3086="문서재제출요청",J3086="보류",J3086="보완요청",J3086="보완완료",J3086="평가중",J3086="반려요청",J3086="평가필요",LEFT(J3086,5)="보완요청("),"미종결 표시","상태 확인 필요"))</x:f>
        <x:v>종결 표시</x:v>
      </x:c>
      <x:c r="L3086" s="2" t="str">
        <x:v>KRIC</x:v>
      </x:c>
      <x:c r="M3086" s="2"/>
      <x:c r="N3086" s="8" t="n">
        <x:f>DATE(2026,10,15)-DATE(2023,2,16)</x:f>
        <x:v>1337</x:v>
      </x:c>
      <x:c r="O3086" s="2"/>
      <x:c r="P3086" s="2"/>
      <x:c r="Q3086" s="2" t="str">
        <x:v>산업전환_외부사업관리Tool_260707_이너젠 수정_LJY_261013.xlsx</x:v>
      </x:c>
      <x:c r="R3086" s="2" t="str">
        <x:v>국외인증</x:v>
      </x:c>
      <x:c r="S3086" s="8" t="n">
        <x:v>673</x:v>
      </x:c>
      <x:c r="T3086" s="2" t="str">
        <x:v>(4/3),(4/21)</x:v>
      </x:c>
      <x:c r="U3086" s="2" t="str">
        <x:v>2023 지정: (4/3),(4/21)</x:v>
      </x:c>
      <x:c r="V3086" s="2" t="str">
        <x:v>2023-09-20</x:v>
      </x:c>
      <x:c r="W3086" s="2" t="str"/>
      <x:c r="X3086" s="2" t="str">
        <x:v>종결 근거 보관</x:v>
      </x:c>
      <x:c r="Y3086" s="2" t="str">
        <x:v>ad210cd9ec132cfd447541c8984dc53d30aff0f4fb2dc92d254d49275cc55976</x:v>
      </x:c>
      <x:c r="Z3086" s="2" t="n">
        <x:f>SUBTOTAL(103,A3086)</x:f>
        <x:v>1</x:v>
      </x:c>
      <x:c r="AA3086" s="2" t="str">
        <x:f>IF(K3086&lt;&gt;"미종결 표시","대상 아님",IF(N3086="","신청일 확인",IF(NOT(ISNUMBER('종합 현황'!$H$5)),"관찰기준 확인",IF('종합 현황'!$H$5&lt;1,"관찰기준 확인",IF(N3086&gt;'종합 현황'!$H$5,"내부 관찰 대상","내부 관찰일 이하")))))</x:f>
        <x:v>대상 아님</x:v>
      </x:c>
      <x:c r="AB3086" s="2" t="str">
        <x:v>2023-02-16 15:27 - 신청
2023-02-23 09:32 - 문서재제출요청
2023-02-23 16:57 - 신청
2023-03-02 16:29 - 문서재제출요청
2023-03-14 11:05 - 신청
2023-04-06 15:30 - 문서재제출요청
2023-04-06 16:07 - 신청
2023-04-06 20:02 - 문서재제출요청
2023-04-07 09:43 - 신청
2023-08-01 14:35 - 문서재제출요청
2023-08-04 17:57 - 신청
2023-08-07 09:57 - 문서재제출요청
2023-08-07 13:53 - 신청
2023-08-07 17:49 - 검토승인
2023-08-08 14:40 - 협의검토중
2023-08-08 14:40 - 협의통보
2023-09-20 15:37 - 심의승인</x:v>
      </x:c>
    </x:row>
    <x:row r="3087" ht="42" customHeight="1">
      <x:c r="A3087" s="2" t="str">
        <x:v>90e2bb71d13cec3bb39cb3be</x:v>
      </x:c>
      <x:c r="B3087" s="2" t="str">
        <x:v>감축량 인증</x:v>
      </x:c>
      <x:c r="C3087" s="2" t="str">
        <x:v>국외</x:v>
      </x:c>
      <x:c r="D3087" s="7" t="str">
        <x:v>아프리카 고효율 쿡스토브 보급 PoA 사업 : CPA0010(케냐)</x:v>
      </x:c>
      <x:c r="E3087" s="2" t="str">
        <x:v>672</x:v>
      </x:c>
      <x:c r="F3087" s="2" t="str">
        <x:v>2023-02-16</x:v>
      </x:c>
      <x:c r="G3087" s="2" t="str">
        <x:v>2023</x:v>
      </x:c>
      <x:c r="H3087" s="2" t="str">
        <x:v>02</x:v>
      </x:c>
      <x:c r="I3087" s="2" t="str">
        <x:v>심의승인</x:v>
      </x:c>
      <x:c r="J3087" s="2" t="str">
        <x:v>심의승인</x:v>
      </x:c>
      <x:c r="K3087" s="2" t="str">
        <x:f>IF(OR(J3087="심의승인",J3087="반려",J3087="반려완료",J3087="심의완료"),"종결 표시",IF(OR(J3087="기후부협의",J3087="문서재제출요청",J3087="보류",J3087="보완요청",J3087="보완완료",J3087="평가중",J3087="반려요청",J3087="평가필요",LEFT(J3087,5)="보완요청("),"미종결 표시","상태 확인 필요"))</x:f>
        <x:v>종결 표시</x:v>
      </x:c>
      <x:c r="L3087" s="2" t="str">
        <x:v>KRIC</x:v>
      </x:c>
      <x:c r="M3087" s="2"/>
      <x:c r="N3087" s="8" t="n">
        <x:f>DATE(2026,10,15)-DATE(2023,2,16)</x:f>
        <x:v>1337</x:v>
      </x:c>
      <x:c r="O3087" s="2"/>
      <x:c r="P3087" s="2"/>
      <x:c r="Q3087" s="2" t="str">
        <x:v>산업전환_외부사업관리Tool_260707_이너젠 수정_LJY_261013.xlsx</x:v>
      </x:c>
      <x:c r="R3087" s="2" t="str">
        <x:v>국외인증</x:v>
      </x:c>
      <x:c r="S3087" s="8" t="n">
        <x:v>674</x:v>
      </x:c>
      <x:c r="T3087" s="2" t="str">
        <x:v>(4/3),(4/21)</x:v>
      </x:c>
      <x:c r="U3087" s="2" t="str">
        <x:v>2023 지정: (4/3),(4/21)</x:v>
      </x:c>
      <x:c r="V3087" s="2" t="str">
        <x:v>2023-09-20</x:v>
      </x:c>
      <x:c r="W3087" s="2" t="str"/>
      <x:c r="X3087" s="2" t="str">
        <x:v>종결 근거 보관</x:v>
      </x:c>
      <x:c r="Y3087" s="2" t="str">
        <x:v>ad210cd9ec132cfd447541c8984dc53d30aff0f4fb2dc92d254d49275cc55976</x:v>
      </x:c>
      <x:c r="Z3087" s="2" t="n">
        <x:f>SUBTOTAL(103,A3087)</x:f>
        <x:v>1</x:v>
      </x:c>
      <x:c r="AA3087" s="2" t="str">
        <x:f>IF(K3087&lt;&gt;"미종결 표시","대상 아님",IF(N3087="","신청일 확인",IF(NOT(ISNUMBER('종합 현황'!$H$5)),"관찰기준 확인",IF('종합 현황'!$H$5&lt;1,"관찰기준 확인",IF(N3087&gt;'종합 현황'!$H$5,"내부 관찰 대상","내부 관찰일 이하")))))</x:f>
        <x:v>대상 아님</x:v>
      </x:c>
      <x:c r="AB3087" s="2" t="str">
        <x:v>2023-02-16 15:27 - 신청
2023-02-23 09:33 - 문서재제출요청
2023-02-23 16:57 - 신청
2023-03-02 16:31 - 문서재제출요청
2023-03-14 11:05 - 신청
2023-04-06 15:30 - 문서재제출요청
2023-04-06 16:07 - 신청
2023-04-06 20:03 - 문서재제출요청
2023-04-07 09:43 - 신청
2023-08-01 14:36 - 문서재제출요청
2023-08-04 17:58 - 신청
2023-08-07 09:57 - 문서재제출요청
2023-08-07 13:53 - 신청
2023-08-07 17:49 - 검토승인
2023-08-08 14:40 - 협의검토중
2023-08-08 14:40 - 협의통보
2023-09-20 15:38 - 심의승인</x:v>
      </x:c>
    </x:row>
    <x:row r="3088" ht="42" customHeight="1">
      <x:c r="A3088" s="2" t="str">
        <x:v>e82f61ad7b21f601cffc02d9</x:v>
      </x:c>
      <x:c r="B3088" s="2" t="str">
        <x:v>감축량 인증</x:v>
      </x:c>
      <x:c r="C3088" s="2" t="str">
        <x:v>국외</x:v>
      </x:c>
      <x:c r="D3088" s="7" t="str">
        <x:v>마다가스카르의 개선된 쿡스토브 프로젝트 by KCM - Wood#CPA-W-010</x:v>
      </x:c>
      <x:c r="E3088" s="2" t="str">
        <x:v>673</x:v>
      </x:c>
      <x:c r="F3088" s="2" t="str">
        <x:v>2023-06-15</x:v>
      </x:c>
      <x:c r="G3088" s="2" t="str">
        <x:v>2023</x:v>
      </x:c>
      <x:c r="H3088" s="2" t="str">
        <x:v>06</x:v>
      </x:c>
      <x:c r="I3088" s="2" t="str">
        <x:v>심의승인</x:v>
      </x:c>
      <x:c r="J3088" s="2" t="str">
        <x:v>심의승인</x:v>
      </x:c>
      <x:c r="K3088" s="2" t="str">
        <x:f>IF(OR(J3088="심의승인",J3088="반려",J3088="반려완료",J3088="심의완료"),"종결 표시",IF(OR(J3088="기후부협의",J3088="문서재제출요청",J3088="보류",J3088="보완요청",J3088="보완완료",J3088="평가중",J3088="반려요청",J3088="평가필요",LEFT(J3088,5)="보완요청("),"미종결 표시","상태 확인 필요"))</x:f>
        <x:v>종결 표시</x:v>
      </x:c>
      <x:c r="L3088" s="2" t="str">
        <x:v>KRIC</x:v>
      </x:c>
      <x:c r="M3088" s="2"/>
      <x:c r="N3088" s="8" t="n">
        <x:f>DATE(2026,10,15)-DATE(2023,6,15)</x:f>
        <x:v>1218</x:v>
      </x:c>
      <x:c r="O3088" s="2"/>
      <x:c r="P3088" s="2"/>
      <x:c r="Q3088" s="2" t="str">
        <x:v>산업전환_외부사업관리Tool_260707_이너젠 수정_LJY_261013.xlsx</x:v>
      </x:c>
      <x:c r="R3088" s="2" t="str">
        <x:v>국외인증</x:v>
      </x:c>
      <x:c r="S3088" s="8" t="n">
        <x:v>675</x:v>
      </x:c>
      <x:c r="T3088" s="2" t="str">
        <x:v>(6/27)</x:v>
      </x:c>
      <x:c r="U3088" s="2" t="str">
        <x:v>2023 지정: (6/27)</x:v>
      </x:c>
      <x:c r="V3088" s="2" t="str">
        <x:v>2023-09-20</x:v>
      </x:c>
      <x:c r="W3088" s="2" t="str"/>
      <x:c r="X3088" s="2" t="str">
        <x:v>종결 근거 보관</x:v>
      </x:c>
      <x:c r="Y3088" s="2" t="str">
        <x:v>ad210cd9ec132cfd447541c8984dc53d30aff0f4fb2dc92d254d49275cc55976</x:v>
      </x:c>
      <x:c r="Z3088" s="2" t="n">
        <x:f>SUBTOTAL(103,A3088)</x:f>
        <x:v>1</x:v>
      </x:c>
      <x:c r="AA3088" s="2" t="str">
        <x:f>IF(K3088&lt;&gt;"미종결 표시","대상 아님",IF(N3088="","신청일 확인",IF(NOT(ISNUMBER('종합 현황'!$H$5)),"관찰기준 확인",IF('종합 현황'!$H$5&lt;1,"관찰기준 확인",IF(N3088&gt;'종합 현황'!$H$5,"내부 관찰 대상","내부 관찰일 이하")))))</x:f>
        <x:v>대상 아님</x:v>
      </x:c>
      <x:c r="AB3088" s="2" t="str">
        <x:v>2023-06-15 15:16 - 신청
2023-08-03 10:52 - 문서재제출요청
2023-08-03 11:05 - 신청
2023-08-04 11:09 - 문서재제출요청
2023-08-04 14:23 - 신청
2023-08-07 10:40 - 검토승인
2023-08-08 14:09 - 협의검토중
2023-08-08 14:10 - 협의통보
2023-09-20 15:32 - 심의승인</x:v>
      </x:c>
    </x:row>
    <x:row r="3089" ht="42" customHeight="1">
      <x:c r="A3089" s="2" t="str">
        <x:v>c41c8f8ff32ddefc94adb526</x:v>
      </x:c>
      <x:c r="B3089" s="2" t="str">
        <x:v>감축량 인증</x:v>
      </x:c>
      <x:c r="C3089" s="2" t="str">
        <x:v>국외</x:v>
      </x:c>
      <x:c r="D3089" s="7" t="str">
        <x:v>마다가스카르의 개선된 쿡스토브 프로젝트 by KCM - Wood#CPA-W-011</x:v>
      </x:c>
      <x:c r="E3089" s="2" t="str">
        <x:v>674</x:v>
      </x:c>
      <x:c r="F3089" s="2" t="str">
        <x:v>2023-06-15</x:v>
      </x:c>
      <x:c r="G3089" s="2" t="str">
        <x:v>2023</x:v>
      </x:c>
      <x:c r="H3089" s="2" t="str">
        <x:v>06</x:v>
      </x:c>
      <x:c r="I3089" s="2" t="str">
        <x:v>심의승인</x:v>
      </x:c>
      <x:c r="J3089" s="2" t="str">
        <x:v>심의승인</x:v>
      </x:c>
      <x:c r="K3089" s="2" t="str">
        <x:f>IF(OR(J3089="심의승인",J3089="반려",J3089="반려완료",J3089="심의완료"),"종결 표시",IF(OR(J3089="기후부협의",J3089="문서재제출요청",J3089="보류",J3089="보완요청",J3089="보완완료",J3089="평가중",J3089="반려요청",J3089="평가필요",LEFT(J3089,5)="보완요청("),"미종결 표시","상태 확인 필요"))</x:f>
        <x:v>종결 표시</x:v>
      </x:c>
      <x:c r="L3089" s="2" t="str">
        <x:v>KRIC</x:v>
      </x:c>
      <x:c r="M3089" s="2"/>
      <x:c r="N3089" s="8" t="n">
        <x:f>DATE(2026,10,15)-DATE(2023,6,15)</x:f>
        <x:v>1218</x:v>
      </x:c>
      <x:c r="O3089" s="2"/>
      <x:c r="P3089" s="2"/>
      <x:c r="Q3089" s="2" t="str">
        <x:v>산업전환_외부사업관리Tool_260707_이너젠 수정_LJY_261013.xlsx</x:v>
      </x:c>
      <x:c r="R3089" s="2" t="str">
        <x:v>국외인증</x:v>
      </x:c>
      <x:c r="S3089" s="8" t="n">
        <x:v>676</x:v>
      </x:c>
      <x:c r="T3089" s="2" t="str">
        <x:v>(6/27)</x:v>
      </x:c>
      <x:c r="U3089" s="2" t="str">
        <x:v>2023 지정: (6/27)</x:v>
      </x:c>
      <x:c r="V3089" s="2" t="str">
        <x:v>2023-09-20</x:v>
      </x:c>
      <x:c r="W3089" s="2" t="str"/>
      <x:c r="X3089" s="2" t="str">
        <x:v>종결 근거 보관</x:v>
      </x:c>
      <x:c r="Y3089" s="2" t="str">
        <x:v>ad210cd9ec132cfd447541c8984dc53d30aff0f4fb2dc92d254d49275cc55976</x:v>
      </x:c>
      <x:c r="Z3089" s="2" t="n">
        <x:f>SUBTOTAL(103,A3089)</x:f>
        <x:v>1</x:v>
      </x:c>
      <x:c r="AA3089" s="2" t="str">
        <x:f>IF(K3089&lt;&gt;"미종결 표시","대상 아님",IF(N3089="","신청일 확인",IF(NOT(ISNUMBER('종합 현황'!$H$5)),"관찰기준 확인",IF('종합 현황'!$H$5&lt;1,"관찰기준 확인",IF(N3089&gt;'종합 현황'!$H$5,"내부 관찰 대상","내부 관찰일 이하")))))</x:f>
        <x:v>대상 아님</x:v>
      </x:c>
      <x:c r="AB3089" s="2" t="str">
        <x:v>2023-06-15 15:16 - 신청
2023-08-03 10:53 - 문서재제출요청
2023-08-03 11:06 - 신청
2023-08-04 11:09 - 문서재제출요청
2023-08-04 14:24 - 신청
2023-08-07 10:41 - 검토승인
2023-08-08 14:09 - 협의검토중
2023-08-08 14:10 - 협의통보
2023-09-20 15:33 - 심의승인</x:v>
      </x:c>
    </x:row>
    <x:row r="3090" ht="42" customHeight="1">
      <x:c r="A3090" s="2" t="str">
        <x:v>92bfe69f27a9f9cb89f00b56</x:v>
      </x:c>
      <x:c r="B3090" s="2" t="str">
        <x:v>감축량 인증</x:v>
      </x:c>
      <x:c r="C3090" s="2" t="str">
        <x:v>국외</x:v>
      </x:c>
      <x:c r="D3090" s="7" t="str">
        <x:v>마다가스카르의 개선된 쿡스토브 프로젝트 by KCM - Wood#CPA-W-013</x:v>
      </x:c>
      <x:c r="E3090" s="2" t="str">
        <x:v>675</x:v>
      </x:c>
      <x:c r="F3090" s="2" t="str">
        <x:v>2023-06-15</x:v>
      </x:c>
      <x:c r="G3090" s="2" t="str">
        <x:v>2023</x:v>
      </x:c>
      <x:c r="H3090" s="2" t="str">
        <x:v>06</x:v>
      </x:c>
      <x:c r="I3090" s="2" t="str">
        <x:v>심의승인</x:v>
      </x:c>
      <x:c r="J3090" s="2" t="str">
        <x:v>심의승인</x:v>
      </x:c>
      <x:c r="K3090" s="2" t="str">
        <x:f>IF(OR(J3090="심의승인",J3090="반려",J3090="반려완료",J3090="심의완료"),"종결 표시",IF(OR(J3090="기후부협의",J3090="문서재제출요청",J3090="보류",J3090="보완요청",J3090="보완완료",J3090="평가중",J3090="반려요청",J3090="평가필요",LEFT(J3090,5)="보완요청("),"미종결 표시","상태 확인 필요"))</x:f>
        <x:v>종결 표시</x:v>
      </x:c>
      <x:c r="L3090" s="2" t="str">
        <x:v>KRIC</x:v>
      </x:c>
      <x:c r="M3090" s="2"/>
      <x:c r="N3090" s="8" t="n">
        <x:f>DATE(2026,10,15)-DATE(2023,6,15)</x:f>
        <x:v>1218</x:v>
      </x:c>
      <x:c r="O3090" s="2"/>
      <x:c r="P3090" s="2"/>
      <x:c r="Q3090" s="2" t="str">
        <x:v>산업전환_외부사업관리Tool_260707_이너젠 수정_LJY_261013.xlsx</x:v>
      </x:c>
      <x:c r="R3090" s="2" t="str">
        <x:v>국외인증</x:v>
      </x:c>
      <x:c r="S3090" s="8" t="n">
        <x:v>677</x:v>
      </x:c>
      <x:c r="T3090" s="2" t="str">
        <x:v>(6/27)</x:v>
      </x:c>
      <x:c r="U3090" s="2" t="str">
        <x:v>2023 지정: (6/27)</x:v>
      </x:c>
      <x:c r="V3090" s="2" t="str">
        <x:v>2023-09-20</x:v>
      </x:c>
      <x:c r="W3090" s="2" t="str"/>
      <x:c r="X3090" s="2" t="str">
        <x:v>종결 근거 보관</x:v>
      </x:c>
      <x:c r="Y3090" s="2" t="str">
        <x:v>ad210cd9ec132cfd447541c8984dc53d30aff0f4fb2dc92d254d49275cc55976</x:v>
      </x:c>
      <x:c r="Z3090" s="2" t="n">
        <x:f>SUBTOTAL(103,A3090)</x:f>
        <x:v>1</x:v>
      </x:c>
      <x:c r="AA3090" s="2" t="str">
        <x:f>IF(K3090&lt;&gt;"미종결 표시","대상 아님",IF(N3090="","신청일 확인",IF(NOT(ISNUMBER('종합 현황'!$H$5)),"관찰기준 확인",IF('종합 현황'!$H$5&lt;1,"관찰기준 확인",IF(N3090&gt;'종합 현황'!$H$5,"내부 관찰 대상","내부 관찰일 이하")))))</x:f>
        <x:v>대상 아님</x:v>
      </x:c>
      <x:c r="AB3090" s="2" t="str">
        <x:v>2023-06-15 15:17 - 신청
2023-08-03 10:53 - 문서재제출요청
2023-08-03 11:08 - 신청
2023-08-04 11:09 - 문서재제출요청
2023-08-04 14:24 - 신청
2023-08-07 10:42 - 검토승인
2023-08-08 14:09 - 협의검토중
2023-08-08 14:10 - 협의통보
2023-09-20 15:34 - 심의승인</x:v>
      </x:c>
    </x:row>
    <x:row r="3091" ht="42" customHeight="1">
      <x:c r="A3091" s="2" t="str">
        <x:v>6452b492d8454c1d2081aaaa</x:v>
      </x:c>
      <x:c r="B3091" s="2" t="str">
        <x:v>감축량 인증</x:v>
      </x:c>
      <x:c r="C3091" s="2" t="str">
        <x:v>국외</x:v>
      </x:c>
      <x:c r="D3091" s="7" t="str">
        <x:v>청정 에너지 프로그램 CPA MM 02</x:v>
      </x:c>
      <x:c r="E3091" s="2" t="str">
        <x:v>676</x:v>
      </x:c>
      <x:c r="F3091" s="2" t="str">
        <x:v>2023-10-19</x:v>
      </x:c>
      <x:c r="G3091" s="2" t="str">
        <x:v>2023</x:v>
      </x:c>
      <x:c r="H3091" s="2" t="str">
        <x:v>10</x:v>
      </x:c>
      <x:c r="I3091" s="2" t="str">
        <x:v>보완요청</x:v>
      </x:c>
      <x:c r="J3091" s="2" t="str">
        <x:v>보완요청(1차)</x:v>
      </x:c>
      <x:c r="K3091" s="2" t="str">
        <x:f>IF(OR(J3091="심의승인",J3091="반려",J3091="반려완료",J3091="심의완료"),"종결 표시",IF(OR(J3091="기후부협의",J3091="문서재제출요청",J3091="보류",J3091="보완요청",J3091="보완완료",J3091="평가중",J3091="반려요청",J3091="평가필요",LEFT(J3091,5)="보완요청("),"미종결 표시","상태 확인 필요"))</x:f>
        <x:v>미종결 표시</x:v>
      </x:c>
      <x:c r="L3091" s="2" t="str">
        <x:v>KRIC</x:v>
      </x:c>
      <x:c r="M3091" s="2" t="n">
        <x:v>1</x:v>
      </x:c>
      <x:c r="N3091" s="8" t="n">
        <x:f>DATE(2026,10,15)-DATE(2023,10,19)</x:f>
        <x:v>1092</x:v>
      </x:c>
      <x:c r="O3091" s="2"/>
      <x:c r="P3091" s="2"/>
      <x:c r="Q3091" s="2" t="str">
        <x:v>산업전환_외부사업관리Tool_260707_이너젠 수정_LJY_261013.xlsx</x:v>
      </x:c>
      <x:c r="R3091" s="2" t="str">
        <x:v>국외인증</x:v>
      </x:c>
      <x:c r="S3091" s="8" t="n">
        <x:v>678</x:v>
      </x:c>
      <x:c r="T3091" s="2" t="str">
        <x:v>(10/27)</x:v>
      </x:c>
      <x:c r="U3091" s="2" t="str">
        <x:v>2023 지정: (10/27)</x:v>
      </x:c>
      <x:c r="V3091" s="2" t="str">
        <x:v>2023-11-15</x:v>
      </x:c>
      <x:c r="W3091" s="2" t="str"/>
      <x:c r="X3091" s="2" t="str">
        <x:v>보완 회신 일정 확인</x:v>
      </x:c>
      <x:c r="Y3091" s="2" t="str">
        <x:v>ad210cd9ec132cfd447541c8984dc53d30aff0f4fb2dc92d254d49275cc55976</x:v>
      </x:c>
      <x:c r="Z3091" s="2" t="n">
        <x:f>SUBTOTAL(103,A3091)</x:f>
        <x:v>1</x:v>
      </x:c>
      <x:c r="AA3091" s="2" t="str">
        <x:f>IF(K3091&lt;&gt;"미종결 표시","대상 아님",IF(N3091="","신청일 확인",IF(NOT(ISNUMBER('종합 현황'!$H$5)),"관찰기준 확인",IF('종합 현황'!$H$5&lt;1,"관찰기준 확인",IF(N3091&gt;'종합 현황'!$H$5,"내부 관찰 대상","내부 관찰일 이하")))))</x:f>
        <x:v>내부 관찰 대상</x:v>
      </x:c>
      <x:c r="AB3091" s="2" t="str">
        <x:v>2023-10-19 12:06 - 신청
2023-11-15 09:20 - 보완요청</x:v>
      </x:c>
    </x:row>
    <x:row r="3092" ht="42" customHeight="1">
      <x:c r="A3092" s="2" t="str">
        <x:v>1d8c910f246b2d9be2313b44</x:v>
      </x:c>
      <x:c r="B3092" s="2" t="str">
        <x:v>감축량 인증</x:v>
      </x:c>
      <x:c r="C3092" s="2" t="str">
        <x:v>국외</x:v>
      </x:c>
      <x:c r="D3092" s="7" t="str">
        <x:v>삼성전자 인도 고효율 냉장고 CDM 사업</x:v>
      </x:c>
      <x:c r="E3092" s="2" t="str">
        <x:v>677</x:v>
      </x:c>
      <x:c r="F3092" s="2" t="str">
        <x:v>2023-12-18</x:v>
      </x:c>
      <x:c r="G3092" s="2" t="str">
        <x:v>2023</x:v>
      </x:c>
      <x:c r="H3092" s="2" t="str">
        <x:v>12</x:v>
      </x:c>
      <x:c r="I3092" s="2" t="str">
        <x:v>신청</x:v>
      </x:c>
      <x:c r="J3092" s="2" t="str">
        <x:v>보류</x:v>
      </x:c>
      <x:c r="K3092" s="2" t="str">
        <x:f>IF(OR(J3092="심의승인",J3092="반려",J3092="반려완료",J3092="심의완료"),"종결 표시",IF(OR(J3092="기후부협의",J3092="문서재제출요청",J3092="보류",J3092="보완요청",J3092="보완완료",J3092="평가중",J3092="반려요청",J3092="평가필요",LEFT(J3092,5)="보완요청("),"미종결 표시","상태 확인 필요"))</x:f>
        <x:v>미종결 표시</x:v>
      </x:c>
      <x:c r="L3092" s="2" t="str">
        <x:v>KRIC</x:v>
      </x:c>
      <x:c r="M3092" s="2"/>
      <x:c r="N3092" s="8" t="n">
        <x:f>DATE(2026,10,15)-DATE(2023,12,18)</x:f>
        <x:v>1032</x:v>
      </x:c>
      <x:c r="O3092" s="2"/>
      <x:c r="P3092" s="2" t="str">
        <x:v>반려공문 제출</x:v>
      </x:c>
      <x:c r="Q3092" s="2" t="str">
        <x:v>산업전환_외부사업관리Tool_260707_이너젠 수정_LJY_261013.xlsx</x:v>
      </x:c>
      <x:c r="R3092" s="2" t="str">
        <x:v>국외인증</x:v>
      </x:c>
      <x:c r="S3092" s="8" t="n">
        <x:v>679</x:v>
      </x:c>
      <x:c r="T3092" s="2" t="str">
        <x:v>(1/12)</x:v>
      </x:c>
      <x:c r="U3092" s="2" t="str">
        <x:v>2024년 지정(신규): (1/12)</x:v>
      </x:c>
      <x:c r="V3092" s="2" t="str">
        <x:v>2025-05-21</x:v>
      </x:c>
      <x:c r="W3092" s="2" t="str"/>
      <x:c r="X3092" s="2" t="str">
        <x:v>검토 진행 일정 확인</x:v>
      </x:c>
      <x:c r="Y3092" s="2" t="str">
        <x:v>ad210cd9ec132cfd447541c8984dc53d30aff0f4fb2dc92d254d49275cc55976</x:v>
      </x:c>
      <x:c r="Z3092" s="2" t="n">
        <x:f>SUBTOTAL(103,A3092)</x:f>
        <x:v>1</x:v>
      </x:c>
      <x:c r="AA3092" s="2" t="str">
        <x:f>IF(K3092&lt;&gt;"미종결 표시","대상 아님",IF(N3092="","신청일 확인",IF(NOT(ISNUMBER('종합 현황'!$H$5)),"관찰기준 확인",IF('종합 현황'!$H$5&lt;1,"관찰기준 확인",IF(N3092&gt;'종합 현황'!$H$5,"내부 관찰 대상","내부 관찰일 이하")))))</x:f>
        <x:v>내부 관찰 대상</x:v>
      </x:c>
      <x:c r="AB3092" s="2" t="str">
        <x:v>2023-12-18 15:19 - 신청
2024-10-29 09:53 - 문서재제출요청
2024-11-25 17:34 - 신청
2025-02-04 14:24 - 보완요청
2025-05-12 12:43 - 신청
2025-05-21 13:33 - 문서재제출요청
2025-05-21 13:50 - 신청</x:v>
      </x:c>
    </x:row>
    <x:row r="3093" ht="42" customHeight="1">
      <x:c r="A3093" s="2" t="str">
        <x:v>3d5b499d2dd731c3d21032c0</x:v>
      </x:c>
      <x:c r="B3093" s="2" t="str">
        <x:v>감축량 인증</x:v>
      </x:c>
      <x:c r="C3093" s="2" t="str">
        <x:v>국외</x:v>
      </x:c>
      <x:c r="D3093" s="7" t="str">
        <x:v>삼성전자 인도 고효율 냉장고 CDM 사업</x:v>
      </x:c>
      <x:c r="E3093" s="2" t="str">
        <x:v>678</x:v>
      </x:c>
      <x:c r="F3093" s="2" t="str">
        <x:v>2023-12-18</x:v>
      </x:c>
      <x:c r="G3093" s="2" t="str">
        <x:v>2023</x:v>
      </x:c>
      <x:c r="H3093" s="2" t="str">
        <x:v>12</x:v>
      </x:c>
      <x:c r="I3093" s="2" t="str">
        <x:v>신청</x:v>
      </x:c>
      <x:c r="J3093" s="2" t="str">
        <x:v>보류</x:v>
      </x:c>
      <x:c r="K3093" s="2" t="str">
        <x:f>IF(OR(J3093="심의승인",J3093="반려",J3093="반려완료",J3093="심의완료"),"종결 표시",IF(OR(J3093="기후부협의",J3093="문서재제출요청",J3093="보류",J3093="보완요청",J3093="보완완료",J3093="평가중",J3093="반려요청",J3093="평가필요",LEFT(J3093,5)="보완요청("),"미종결 표시","상태 확인 필요"))</x:f>
        <x:v>미종결 표시</x:v>
      </x:c>
      <x:c r="L3093" s="2" t="str">
        <x:v>KRIC</x:v>
      </x:c>
      <x:c r="M3093" s="2"/>
      <x:c r="N3093" s="8" t="n">
        <x:f>DATE(2026,10,15)-DATE(2023,12,18)</x:f>
        <x:v>1032</x:v>
      </x:c>
      <x:c r="O3093" s="2"/>
      <x:c r="P3093" s="2" t="str">
        <x:v>반려공문 제출</x:v>
      </x:c>
      <x:c r="Q3093" s="2" t="str">
        <x:v>산업전환_외부사업관리Tool_260707_이너젠 수정_LJY_261013.xlsx</x:v>
      </x:c>
      <x:c r="R3093" s="2" t="str">
        <x:v>국외인증</x:v>
      </x:c>
      <x:c r="S3093" s="8" t="n">
        <x:v>680</x:v>
      </x:c>
      <x:c r="T3093" s="2" t="str">
        <x:v>(1/12)</x:v>
      </x:c>
      <x:c r="U3093" s="2" t="str">
        <x:v>2024년 지정(신규): (1/12)</x:v>
      </x:c>
      <x:c r="V3093" s="2" t="str">
        <x:v>2025-05-21</x:v>
      </x:c>
      <x:c r="W3093" s="2" t="str"/>
      <x:c r="X3093" s="2" t="str">
        <x:v>검토 진행 일정 확인</x:v>
      </x:c>
      <x:c r="Y3093" s="2" t="str">
        <x:v>ad210cd9ec132cfd447541c8984dc53d30aff0f4fb2dc92d254d49275cc55976</x:v>
      </x:c>
      <x:c r="Z3093" s="2" t="n">
        <x:f>SUBTOTAL(103,A3093)</x:f>
        <x:v>1</x:v>
      </x:c>
      <x:c r="AA3093" s="2" t="str">
        <x:f>IF(K3093&lt;&gt;"미종결 표시","대상 아님",IF(N3093="","신청일 확인",IF(NOT(ISNUMBER('종합 현황'!$H$5)),"관찰기준 확인",IF('종합 현황'!$H$5&lt;1,"관찰기준 확인",IF(N3093&gt;'종합 현황'!$H$5,"내부 관찰 대상","내부 관찰일 이하")))))</x:f>
        <x:v>내부 관찰 대상</x:v>
      </x:c>
      <x:c r="AB3093" s="2" t="str">
        <x:v>2023-12-18 15:29 - 신청
2024-10-29 09:54 - 문서재제출요청
2024-11-25 17:34 - 신청
2025-02-04 14:24 - 보완요청
2025-05-12 12:43 - 신청
2025-05-21 13:32 - 문서재제출요청
2025-05-21 13:50 - 신청</x:v>
      </x:c>
    </x:row>
    <x:row r="3094" ht="42" customHeight="1">
      <x:c r="A3094" s="2" t="str">
        <x:v>c682f1a3325d9fb9c6da5e3b</x:v>
      </x:c>
      <x:c r="B3094" s="2" t="str">
        <x:v>감축량 인증</x:v>
      </x:c>
      <x:c r="C3094" s="2" t="str">
        <x:v>국외</x:v>
      </x:c>
      <x:c r="D3094" s="7" t="str">
        <x:v>삼성전자 인도 고효율 냉장고 CDM 사업</x:v>
      </x:c>
      <x:c r="E3094" s="2" t="str">
        <x:v>679</x:v>
      </x:c>
      <x:c r="F3094" s="2" t="str">
        <x:v>2023-12-18</x:v>
      </x:c>
      <x:c r="G3094" s="2" t="str">
        <x:v>2023</x:v>
      </x:c>
      <x:c r="H3094" s="2" t="str">
        <x:v>12</x:v>
      </x:c>
      <x:c r="I3094" s="2" t="str">
        <x:v>심의승인</x:v>
      </x:c>
      <x:c r="J3094" s="2" t="str">
        <x:v>심의승인</x:v>
      </x:c>
      <x:c r="K3094" s="2" t="str">
        <x:f>IF(OR(J3094="심의승인",J3094="반려",J3094="반려완료",J3094="심의완료"),"종결 표시",IF(OR(J3094="기후부협의",J3094="문서재제출요청",J3094="보류",J3094="보완요청",J3094="보완완료",J3094="평가중",J3094="반려요청",J3094="평가필요",LEFT(J3094,5)="보완요청("),"미종결 표시","상태 확인 필요"))</x:f>
        <x:v>종결 표시</x:v>
      </x:c>
      <x:c r="L3094" s="2" t="str">
        <x:v>KRIC</x:v>
      </x:c>
      <x:c r="M3094" s="2"/>
      <x:c r="N3094" s="8" t="n">
        <x:f>DATE(2026,10,15)-DATE(2023,12,18)</x:f>
        <x:v>1032</x:v>
      </x:c>
      <x:c r="O3094" s="2"/>
      <x:c r="P3094" s="2" t="str">
        <x:v>2년 초과 신청으로 최근 2개년으로 신청(협의 완료)</x:v>
      </x:c>
      <x:c r="Q3094" s="2" t="str">
        <x:v>산업전환_외부사업관리Tool_260707_이너젠 수정_LJY_261013.xlsx</x:v>
      </x:c>
      <x:c r="R3094" s="2" t="str">
        <x:v>국외인증</x:v>
      </x:c>
      <x:c r="S3094" s="8" t="n">
        <x:v>681</x:v>
      </x:c>
      <x:c r="T3094" s="2" t="str">
        <x:v>(1/12)</x:v>
      </x:c>
      <x:c r="U3094" s="2" t="str">
        <x:v>2024년 지정(신규): (1/12)</x:v>
      </x:c>
      <x:c r="V3094" s="2" t="str">
        <x:v>2025-06-13</x:v>
      </x:c>
      <x:c r="W3094" s="2" t="str"/>
      <x:c r="X3094" s="2" t="str">
        <x:v>종결 근거 보관</x:v>
      </x:c>
      <x:c r="Y3094" s="2" t="str">
        <x:v>ad210cd9ec132cfd447541c8984dc53d30aff0f4fb2dc92d254d49275cc55976</x:v>
      </x:c>
      <x:c r="Z3094" s="2" t="n">
        <x:f>SUBTOTAL(103,A3094)</x:f>
        <x:v>1</x:v>
      </x:c>
      <x:c r="AA3094" s="2" t="str">
        <x:f>IF(K3094&lt;&gt;"미종결 표시","대상 아님",IF(N3094="","신청일 확인",IF(NOT(ISNUMBER('종합 현황'!$H$5)),"관찰기준 확인",IF('종합 현황'!$H$5&lt;1,"관찰기준 확인",IF(N3094&gt;'종합 현황'!$H$5,"내부 관찰 대상","내부 관찰일 이하")))))</x:f>
        <x:v>대상 아님</x:v>
      </x:c>
      <x:c r="AB3094" s="2" t="str">
        <x:v>2023-12-18 15:47 - 신청
2024-10-29 09:54 - 문서재제출요청
2024-11-25 17:34 - 신청
2025-02-04 14:24 - 보완요청
2025-02-05 11:16 - 신청
2025-04-30 17:01 - 보완요청
2025-05-07 11:07 - 신청
2025-05-07 16:22 - 검토승인
2025-05-07 16:26 - 협의검토중
2025-05-07 16:48 - 협의통보
2025-06-13 14:03 - 심의승인</x:v>
      </x:c>
    </x:row>
    <x:row r="3095" ht="42" customHeight="1">
      <x:c r="A3095" s="2" t="str">
        <x:v>583581316153262bd3523391</x:v>
      </x:c>
      <x:c r="B3095" s="2" t="str">
        <x:v>사업 비공개 신청</x:v>
      </x:c>
      <x:c r="C3095" s="2" t="str">
        <x:v>국내</x:v>
      </x:c>
      <x:c r="D3095" s="7" t="str">
        <x:v>생태산업개발을 통한 미세먼지 및 온실가스 감축 사업-산단 친환경설비 인프라지원</x:v>
      </x:c>
      <x:c r="E3095" s="2" t="str">
        <x:v>1</x:v>
      </x:c>
      <x:c r="F3095" s="2" t="str">
        <x:v>2025-12-15</x:v>
      </x:c>
      <x:c r="G3095" s="2" t="str">
        <x:v>2025</x:v>
      </x:c>
      <x:c r="H3095" s="2" t="str">
        <x:v>12</x:v>
      </x:c>
      <x:c r="I3095" s="2" t="str">
        <x:v>보완요청</x:v>
      </x:c>
      <x:c r="J3095" s="2" t="str">
        <x:v>반려요청</x:v>
      </x:c>
      <x:c r="K3095" s="2" t="str">
        <x:f>IF(OR(J3095="심의승인",J3095="반려",J3095="반려완료",J3095="심의완료"),"종결 표시",IF(OR(J3095="기후부협의",J3095="문서재제출요청",J3095="보류",J3095="보완요청",J3095="보완완료",J3095="평가중",J3095="반려요청",J3095="평가필요",LEFT(J3095,5)="보완요청("),"미종결 표시","상태 확인 필요"))</x:f>
        <x:v>미종결 표시</x:v>
      </x:c>
      <x:c r="L3095" s="2" t="str">
        <x:v>에코시안</x:v>
      </x:c>
      <x:c r="M3095" s="2"/>
      <x:c r="N3095" s="8" t="n">
        <x:f>DATE(2026,10,15)-DATE(2025,12,15)</x:f>
        <x:v>304</x:v>
      </x:c>
      <x:c r="O3095" s="2"/>
      <x:c r="P3095" s="2" t="str">
        <x:v>해당 사업이 반려(사업자 요청)되었으므로 철회하도록 통보(26.1.14)</x:v>
      </x:c>
      <x:c r="Q3095" s="2" t="str">
        <x:v>산업전환 외부사업 정보비공개 신청 관리 Tool_260707_LJY_261013.xlsx</x:v>
      </x:c>
      <x:c r="R3095" s="2" t="str">
        <x:v>(비공개)국내평가</x:v>
      </x:c>
      <x:c r="S3095" s="8" t="n">
        <x:v>3</x:v>
      </x:c>
      <x:c r="T3095" s="2"/>
      <x:c r="U3095" s="2" t="str"/>
      <x:c r="V3095" s="2" t="str">
        <x:v>2026-01-15</x:v>
      </x:c>
      <x:c r="W3095" s="2" t="str"/>
      <x:c r="X3095" s="2" t="str">
        <x:v>검토 진행 일정 확인</x:v>
      </x:c>
      <x:c r="Y3095" s="2" t="str">
        <x:v>22df6d619b696c1eba8e26790f6382083d9fb1bc48481283e3e8a92ea6897677</x:v>
      </x:c>
      <x:c r="Z3095" s="2" t="n">
        <x:f>SUBTOTAL(103,A3095)</x:f>
        <x:v>1</x:v>
      </x:c>
      <x:c r="AA3095" s="2" t="str">
        <x:f>IF(K3095&lt;&gt;"미종결 표시","대상 아님",IF(N3095="","신청일 확인",IF(NOT(ISNUMBER('종합 현황'!$H$5)),"관찰기준 확인",IF('종합 현황'!$H$5&lt;1,"관찰기준 확인",IF(N3095&gt;'종합 현황'!$H$5,"내부 관찰 대상","내부 관찰일 이하")))))</x:f>
        <x:v>내부 관찰 대상</x:v>
      </x:c>
      <x:c r="AB3095" s="2"/>
    </x:row>
    <x:row r="3096" ht="42" customHeight="1">
      <x:c r="A3096" s="2" t="str">
        <x:v>c8431b5335e71b511b4f7c51</x:v>
      </x:c>
      <x:c r="B3096" s="2" t="str">
        <x:v>사업 비공개 신청</x:v>
      </x:c>
      <x:c r="C3096" s="2" t="str">
        <x:v>국내</x:v>
      </x:c>
      <x:c r="D3096" s="7" t="str">
        <x:v>서울시 20212023년 LED 도로조명 교체를 통한 온실가스 감축사업</x:v>
      </x:c>
      <x:c r="E3096" s="2" t="str">
        <x:v>2</x:v>
      </x:c>
      <x:c r="F3096" s="2" t="str">
        <x:v>2025-11-04</x:v>
      </x:c>
      <x:c r="G3096" s="2" t="str">
        <x:v>2025</x:v>
      </x:c>
      <x:c r="H3096" s="2" t="str">
        <x:v>11</x:v>
      </x:c>
      <x:c r="I3096" s="2" t="str">
        <x:v>보완요청</x:v>
      </x:c>
      <x:c r="J3096" s="2" t="str">
        <x:v>보완요청</x:v>
      </x:c>
      <x:c r="K3096" s="2" t="str">
        <x:f>IF(OR(J3096="심의승인",J3096="반려",J3096="반려완료",J3096="심의완료"),"종결 표시",IF(OR(J3096="기후부협의",J3096="문서재제출요청",J3096="보류",J3096="보완요청",J3096="보완완료",J3096="평가중",J3096="반려요청",J3096="평가필요",LEFT(J3096,5)="보완요청("),"미종결 표시","상태 확인 필요"))</x:f>
        <x:v>미종결 표시</x:v>
      </x:c>
      <x:c r="L3096" s="2" t="str">
        <x:v>KECM</x:v>
      </x:c>
      <x:c r="M3096" s="2"/>
      <x:c r="N3096" s="8" t="n">
        <x:f>DATE(2026,10,15)-DATE(2025,11,4)</x:f>
        <x:v>345</x:v>
      </x:c>
      <x:c r="O3096" s="2"/>
      <x:c r="P3096" s="2" t="str">
        <x:v>(1차)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증빙자료(회사 내규, 계약서, 설비 관련 자료 등)를 제출 요청
단, 투명성 원칙에 따라 민감사항이 사업계획서 및 모니터링보고서, 검증 보고서 내 문서에 포함되지 않아도 되는 경우(필수 작성 항목이 아닌 경우) 해당사항은 증빙자료로만 제출하고 본 비공개신청 건은 철회 신청해주시기 바랍니다. / (1차 통보) 2026.1.22</x:v>
      </x:c>
      <x:c r="Q3096" s="2" t="str">
        <x:v>산업전환 외부사업 정보비공개 신청 관리 Tool_260707_LJY_261013.xlsx</x:v>
      </x:c>
      <x:c r="R3096" s="2" t="str">
        <x:v>(비공개)국내평가</x:v>
      </x:c>
      <x:c r="S3096" s="8" t="n">
        <x:v>4</x:v>
      </x:c>
      <x:c r="T3096" s="2"/>
      <x:c r="U3096" s="2" t="str"/>
      <x:c r="V3096" s="2" t="str">
        <x:v>2026-01-22</x:v>
      </x:c>
      <x:c r="W3096" s="2" t="str"/>
      <x:c r="X3096" s="2" t="str">
        <x:v>보완 회신 일정 확인</x:v>
      </x:c>
      <x:c r="Y3096" s="2" t="str">
        <x:v>22df6d619b696c1eba8e26790f6382083d9fb1bc48481283e3e8a92ea6897677</x:v>
      </x:c>
      <x:c r="Z3096" s="2" t="n">
        <x:f>SUBTOTAL(103,A3096)</x:f>
        <x:v>1</x:v>
      </x:c>
      <x:c r="AA3096" s="2" t="str">
        <x:f>IF(K3096&lt;&gt;"미종결 표시","대상 아님",IF(N3096="","신청일 확인",IF(NOT(ISNUMBER('종합 현황'!$H$5)),"관찰기준 확인",IF('종합 현황'!$H$5&lt;1,"관찰기준 확인",IF(N3096&gt;'종합 현황'!$H$5,"내부 관찰 대상","내부 관찰일 이하")))))</x:f>
        <x:v>내부 관찰 대상</x:v>
      </x:c>
      <x:c r="AB3096" s="2"/>
    </x:row>
    <x:row r="3097" ht="42" customHeight="1">
      <x:c r="A3097" s="2" t="str">
        <x:v>596d61693c86409d44401bd2</x:v>
      </x:c>
      <x:c r="B3097" s="2" t="str">
        <x:v>사업 비공개 신청</x:v>
      </x:c>
      <x:c r="C3097" s="2" t="str">
        <x:v>국내</x:v>
      </x:c>
      <x:c r="D3097" s="7" t="str">
        <x:v>명광아스콘의 B-C유에서 LPG로 연료전환을 통한 온실가스 감축 외부사업</x:v>
      </x:c>
      <x:c r="E3097" s="2" t="str">
        <x:v>3</x:v>
      </x:c>
      <x:c r="F3097" s="2" t="str">
        <x:v>2025-01-21</x:v>
      </x:c>
      <x:c r="G3097" s="2" t="str">
        <x:v>2025</x:v>
      </x:c>
      <x:c r="H3097" s="2" t="str">
        <x:v>01</x:v>
      </x:c>
      <x:c r="I3097" s="2" t="str">
        <x:v>심의완료</x:v>
      </x:c>
      <x:c r="J3097" s="2" t="str">
        <x:v>심의승인</x:v>
      </x:c>
      <x:c r="K3097" s="2" t="str">
        <x:f>IF(OR(J3097="심의승인",J3097="반려",J3097="반려완료",J3097="심의완료"),"종결 표시",IF(OR(J3097="기후부협의",J3097="문서재제출요청",J3097="보류",J3097="보완요청",J3097="보완완료",J3097="평가중",J3097="반려요청",J3097="평가필요",LEFT(J3097,5)="보완요청("),"미종결 표시","상태 확인 필요"))</x:f>
        <x:v>종결 표시</x:v>
      </x:c>
      <x:c r="L3097" s="2" t="str">
        <x:v>KECM</x:v>
      </x:c>
      <x:c r="M3097" s="2"/>
      <x:c r="N3097" s="8" t="n">
        <x:f>DATE(2026,10,15)-DATE(2025,1,21)</x:f>
        <x:v>632</x:v>
      </x:c>
      <x:c r="O3097" s="2"/>
      <x:c r="P3097" s="2" t="str">
        <x:v>기업 경영에 관련된 정보 외부유출 방지
: 사업장 설비 현황, 연료사용량은 기업 경영에 중요한 정보로써 타 업체로의 정보유출 방지 필요
- 설비 현황 (사업계획서 12-14p, 34p)
- 연료 사용량 (사업계획서 22-29p)</x:v>
      </x:c>
      <x:c r="Q3097" s="2" t="str">
        <x:v>산업전환 외부사업 정보비공개 신청 관리 Tool_260707_LJY_261013.xlsx</x:v>
      </x:c>
      <x:c r="R3097" s="2" t="str">
        <x:v>(비공개)국내평가</x:v>
      </x:c>
      <x:c r="S3097" s="8" t="n">
        <x:v>5</x:v>
      </x:c>
      <x:c r="T3097" s="2"/>
      <x:c r="U3097" s="2" t="str"/>
      <x:c r="V3097" s="2" t="str">
        <x:v>2025-09-08</x:v>
      </x:c>
      <x:c r="W3097" s="2" t="str"/>
      <x:c r="X3097" s="2" t="str">
        <x:v>종결 근거 보관</x:v>
      </x:c>
      <x:c r="Y3097" s="2" t="str">
        <x:v>22df6d619b696c1eba8e26790f6382083d9fb1bc48481283e3e8a92ea6897677</x:v>
      </x:c>
      <x:c r="Z3097" s="2" t="n">
        <x:f>SUBTOTAL(103,A3097)</x:f>
        <x:v>1</x:v>
      </x:c>
      <x:c r="AA3097" s="2" t="str">
        <x:f>IF(K3097&lt;&gt;"미종결 표시","대상 아님",IF(N3097="","신청일 확인",IF(NOT(ISNUMBER('종합 현황'!$H$5)),"관찰기준 확인",IF('종합 현황'!$H$5&lt;1,"관찰기준 확인",IF(N3097&gt;'종합 현황'!$H$5,"내부 관찰 대상","내부 관찰일 이하")))))</x:f>
        <x:v>대상 아님</x:v>
      </x:c>
      <x:c r="AB3097" s="2"/>
    </x:row>
    <x:row r="3098" ht="42" customHeight="1">
      <x:c r="A3098" s="2" t="str">
        <x:v>bcabd19219a85ce980130983</x:v>
      </x:c>
      <x:c r="B3098" s="2" t="str">
        <x:v>사업 비공개 신청</x:v>
      </x:c>
      <x:c r="C3098" s="2" t="str">
        <x:v>국내</x:v>
      </x:c>
      <x:c r="D3098" s="7" t="str">
        <x:v>(주)전유산업 외 2개사의 고효율 공기압축기 교체를 통한 온실가스 감축사업</x:v>
      </x:c>
      <x:c r="E3098" s="2" t="str">
        <x:v>4</x:v>
      </x:c>
      <x:c r="F3098" s="2" t="str">
        <x:v>2025-04-21</x:v>
      </x:c>
      <x:c r="G3098" s="2" t="str">
        <x:v>2025</x:v>
      </x:c>
      <x:c r="H3098" s="2" t="str">
        <x:v>04</x:v>
      </x:c>
      <x:c r="I3098" s="2" t="str">
        <x:v>반려</x:v>
      </x:c>
      <x:c r="J3098" s="2" t="str">
        <x:v>반려완료</x:v>
      </x:c>
      <x:c r="K3098" s="2" t="str">
        <x:f>IF(OR(J3098="심의승인",J3098="반려",J3098="반려완료",J3098="심의완료"),"종결 표시",IF(OR(J3098="기후부협의",J3098="문서재제출요청",J3098="보류",J3098="보완요청",J3098="보완완료",J3098="평가중",J3098="반려요청",J3098="평가필요",LEFT(J3098,5)="보완요청("),"미종결 표시","상태 확인 필요"))</x:f>
        <x:v>종결 표시</x:v>
      </x:c>
      <x:c r="L3098" s="2" t="str">
        <x:v>KECM</x:v>
      </x:c>
      <x:c r="M3098" s="2"/>
      <x:c r="N3098" s="8" t="n">
        <x:f>DATE(2026,10,15)-DATE(2025,4,21)</x:f>
        <x:v>542</x:v>
      </x:c>
      <x:c r="O3098" s="2"/>
      <x:c r="P3098" s="2" t="str">
        <x:v>사업자 반려 요청</x:v>
      </x:c>
      <x:c r="Q3098" s="2" t="str">
        <x:v>산업전환 외부사업 정보비공개 신청 관리 Tool_260707_LJY_261013.xlsx</x:v>
      </x:c>
      <x:c r="R3098" s="2" t="str">
        <x:v>(비공개)국내평가</x:v>
      </x:c>
      <x:c r="S3098" s="8" t="n">
        <x:v>6</x:v>
      </x:c>
      <x:c r="T3098" s="2"/>
      <x:c r="U3098" s="2" t="str"/>
      <x:c r="V3098" s="2" t="str">
        <x:v>2025-05-07</x:v>
      </x:c>
      <x:c r="W3098" s="2" t="str"/>
      <x:c r="X3098" s="2" t="str">
        <x:v>종결 근거 보관</x:v>
      </x:c>
      <x:c r="Y3098" s="2" t="str">
        <x:v>22df6d619b696c1eba8e26790f6382083d9fb1bc48481283e3e8a92ea6897677</x:v>
      </x:c>
      <x:c r="Z3098" s="2" t="n">
        <x:f>SUBTOTAL(103,A3098)</x:f>
        <x:v>1</x:v>
      </x:c>
      <x:c r="AA3098" s="2" t="str">
        <x:f>IF(K3098&lt;&gt;"미종결 표시","대상 아님",IF(N3098="","신청일 확인",IF(NOT(ISNUMBER('종합 현황'!$H$5)),"관찰기준 확인",IF('종합 현황'!$H$5&lt;1,"관찰기준 확인",IF(N3098&gt;'종합 현황'!$H$5,"내부 관찰 대상","내부 관찰일 이하")))))</x:f>
        <x:v>대상 아님</x:v>
      </x:c>
      <x:c r="AB3098" s="2"/>
    </x:row>
    <x:row r="3099" ht="42" customHeight="1">
      <x:c r="A3099" s="2" t="str">
        <x:v>9bf515ede2d70705e8003012</x:v>
      </x:c>
      <x:c r="B3099" s="2" t="str">
        <x:v>사업 비공개 신청</x:v>
      </x:c>
      <x:c r="C3099" s="2" t="str">
        <x:v>국내</x:v>
      </x:c>
      <x:c r="D3099" s="7" t="str">
        <x:v>부산경남우유협동조합 울산공장의 B-C유에서 LPG로 연료전환을 통한 온실가스 감축 외부사업</x:v>
      </x:c>
      <x:c r="E3099" s="2" t="str">
        <x:v>5</x:v>
      </x:c>
      <x:c r="F3099" s="2" t="str">
        <x:v>2025-01-07</x:v>
      </x:c>
      <x:c r="G3099" s="2" t="str">
        <x:v>2025</x:v>
      </x:c>
      <x:c r="H3099" s="2" t="str">
        <x:v>01</x:v>
      </x:c>
      <x:c r="I3099" s="2" t="str">
        <x:v>심의완료</x:v>
      </x:c>
      <x:c r="J3099" s="2" t="str">
        <x:v>심의승인</x:v>
      </x:c>
      <x:c r="K3099" s="2" t="str">
        <x:f>IF(OR(J3099="심의승인",J3099="반려",J3099="반려완료",J3099="심의완료"),"종결 표시",IF(OR(J3099="기후부협의",J3099="문서재제출요청",J3099="보류",J3099="보완요청",J3099="보완완료",J3099="평가중",J3099="반려요청",J3099="평가필요",LEFT(J3099,5)="보완요청("),"미종결 표시","상태 확인 필요"))</x:f>
        <x:v>종결 표시</x:v>
      </x:c>
      <x:c r="L3099" s="2" t="str">
        <x:v>에코시안_남혜원</x:v>
      </x:c>
      <x:c r="M3099" s="2"/>
      <x:c r="N3099" s="8" t="n">
        <x:f>DATE(2026,10,15)-DATE(2025,1,7)</x:f>
        <x:v>646</x:v>
      </x:c>
      <x:c r="O3099" s="2"/>
      <x:c r="P3099" s="2"/>
      <x:c r="Q3099" s="2" t="str">
        <x:v>산업전환 외부사업 정보비공개 신청 관리 Tool_260707_LJY_261013.xlsx</x:v>
      </x:c>
      <x:c r="R3099" s="2" t="str">
        <x:v>(비공개)국내평가</x:v>
      </x:c>
      <x:c r="S3099" s="8" t="n">
        <x:v>7</x:v>
      </x:c>
      <x:c r="T3099" s="2"/>
      <x:c r="U3099" s="2" t="str"/>
      <x:c r="V3099" s="2" t="str">
        <x:v>2025-09-08</x:v>
      </x:c>
      <x:c r="W3099" s="2" t="str"/>
      <x:c r="X3099" s="2" t="str">
        <x:v>종결 근거 보관</x:v>
      </x:c>
      <x:c r="Y3099" s="2" t="str">
        <x:v>22df6d619b696c1eba8e26790f6382083d9fb1bc48481283e3e8a92ea6897677</x:v>
      </x:c>
      <x:c r="Z3099" s="2" t="n">
        <x:f>SUBTOTAL(103,A3099)</x:f>
        <x:v>1</x:v>
      </x:c>
      <x:c r="AA3099" s="2" t="str">
        <x:f>IF(K3099&lt;&gt;"미종결 표시","대상 아님",IF(N3099="","신청일 확인",IF(NOT(ISNUMBER('종합 현황'!$H$5)),"관찰기준 확인",IF('종합 현황'!$H$5&lt;1,"관찰기준 확인",IF(N3099&gt;'종합 현황'!$H$5,"내부 관찰 대상","내부 관찰일 이하")))))</x:f>
        <x:v>대상 아님</x:v>
      </x:c>
      <x:c r="AB3099" s="2"/>
    </x:row>
    <x:row r="3100" ht="42" customHeight="1">
      <x:c r="A3100" s="2" t="str">
        <x:v>2f424d48fe960b72a911e82a</x:v>
      </x:c>
      <x:c r="B3100" s="2" t="str">
        <x:v>사업 비공개 신청</x:v>
      </x:c>
      <x:c r="C3100" s="2" t="str">
        <x:v>국내</x:v>
      </x:c>
      <x:c r="D3100" s="7" t="str">
        <x:v>엑시콘 태양광 발전설비 설치 및 자가사용을 통한 온실가스 감축사업</x:v>
      </x:c>
      <x:c r="E3100" s="2" t="str">
        <x:v>6</x:v>
      </x:c>
      <x:c r="F3100" s="2" t="str">
        <x:v>2026-05-19</x:v>
      </x:c>
      <x:c r="G3100" s="2" t="str">
        <x:v>2026</x:v>
      </x:c>
      <x:c r="H3100" s="2" t="str">
        <x:v>05</x:v>
      </x:c>
      <x:c r="I3100" s="2" t="str">
        <x:v>반려</x:v>
      </x:c>
      <x:c r="J3100" s="2" t="str">
        <x:v>반려완료</x:v>
      </x:c>
      <x:c r="K3100" s="2" t="str">
        <x:f>IF(OR(J3100="심의승인",J3100="반려",J3100="반려완료",J3100="심의완료"),"종결 표시",IF(OR(J3100="기후부협의",J3100="문서재제출요청",J3100="보류",J3100="보완요청",J3100="보완완료",J3100="평가중",J3100="반려요청",J3100="평가필요",LEFT(J3100,5)="보완요청("),"미종결 표시","상태 확인 필요"))</x:f>
        <x:v>종결 표시</x:v>
      </x:c>
      <x:c r="L3100" s="2" t="str">
        <x:v>에코시안_조은지</x:v>
      </x:c>
      <x:c r="M3100" s="2"/>
      <x:c r="N3100" s="8" t="n">
        <x:f>DATE(2026,10,15)-DATE(2026,5,19)</x:f>
        <x:v>149</x:v>
      </x:c>
      <x:c r="O3100" s="2"/>
      <x:c r="P3100" s="2" t="str">
        <x:v>※ 사업자 요청으로 반려 처리
&lt;신청사유&gt;
기업 경영에 관련된 정보 외부유출 방지
- 사업장 설비 현황, 연료사용량은 기업 경영에 중요한 정보로써 타 업체로의 정보유출 방지 필요
- 설비 현황 (사업계획서 13페이지), 재생에너지 발전설비를 통해 자가 사용된 순 전력량 (사업계획서 20페이지)
&lt;1차 통보&gt;
∙ 「명세서 공개 심사위원회 구성 및 운영에 관한 규정」 [별표1]에 따라 비공개 신청사유를 하기와 같이 보완 요청 드립니다.
  - 사업계획서 내용 중 보안유지 필요 사유 구체화 필요(증빙자료는 정보공개 대상 아님)
  - 필요 시 정보 비공개사유에 대한 증빙자료 제출 필요하며, 신청사유와 관련된 자료로 첨부(회사 내규, 계약서, 설비 관련 자료 등)
∙ 단, 투명성 원칙에 따라 민감사항이 사업계획서 내 문서에 포함되지 않아도 되는 경우(필수 작성 항목이 아닌 경우) 해당 사항은 증빙자료로만 제출하고 본 비공개 신청건은 철회 신청해주시기 바랍니다.</x:v>
      </x:c>
      <x:c r="Q3100" s="2" t="str">
        <x:v>산업전환 외부사업 정보비공개 신청 관리 Tool_260707_LJY_261013.xlsx</x:v>
      </x:c>
      <x:c r="R3100" s="2" t="str">
        <x:v>(비공개)국내평가</x:v>
      </x:c>
      <x:c r="S3100" s="8" t="n">
        <x:v>8</x:v>
      </x:c>
      <x:c r="T3100" s="2"/>
      <x:c r="U3100" s="2" t="str"/>
      <x:c r="V3100" s="2" t="str">
        <x:v>2026-05-20</x:v>
      </x:c>
      <x:c r="W3100" s="2" t="str"/>
      <x:c r="X3100" s="2" t="str">
        <x:v>종결 근거 보관</x:v>
      </x:c>
      <x:c r="Y3100" s="2" t="str">
        <x:v>22df6d619b696c1eba8e26790f6382083d9fb1bc48481283e3e8a92ea6897677</x:v>
      </x:c>
      <x:c r="Z3100" s="2" t="n">
        <x:f>SUBTOTAL(103,A3100)</x:f>
        <x:v>1</x:v>
      </x:c>
      <x:c r="AA3100" s="2" t="str">
        <x:f>IF(K3100&lt;&gt;"미종결 표시","대상 아님",IF(N3100="","신청일 확인",IF(NOT(ISNUMBER('종합 현황'!$H$5)),"관찰기준 확인",IF('종합 현황'!$H$5&lt;1,"관찰기준 확인",IF(N3100&gt;'종합 현황'!$H$5,"내부 관찰 대상","내부 관찰일 이하")))))</x:f>
        <x:v>대상 아님</x:v>
      </x:c>
      <x:c r="AB3100" s="2"/>
    </x:row>
    <x:row r="3101" ht="42" customHeight="1">
      <x:c r="A3101" s="2" t="str">
        <x:v>754ab33ae702a0a2a99e18c9</x:v>
      </x:c>
      <x:c r="B3101" s="2" t="str">
        <x:v>사업 비공개 신청</x:v>
      </x:c>
      <x:c r="C3101" s="2" t="str">
        <x:v>국내</x:v>
      </x:c>
      <x:c r="D3101" s="7" t="str">
        <x:v>주택용 태양광 발전 시스템을 이용한 자가사용 묶음 감축사업</x:v>
      </x:c>
      <x:c r="E3101" s="2" t="str">
        <x:v>7</x:v>
      </x:c>
      <x:c r="F3101" s="2" t="str">
        <x:v>2024-10-16</x:v>
      </x:c>
      <x:c r="G3101" s="2" t="str">
        <x:v>2024</x:v>
      </x:c>
      <x:c r="H3101" s="2" t="str">
        <x:v>10</x:v>
      </x:c>
      <x:c r="I3101" s="2" t="str">
        <x:v>보완요청</x:v>
      </x:c>
      <x:c r="J3101" s="2" t="str">
        <x:v>보완요청</x:v>
      </x:c>
      <x:c r="K3101" s="2" t="str">
        <x:f>IF(OR(J3101="심의승인",J3101="반려",J3101="반려완료",J3101="심의완료"),"종결 표시",IF(OR(J3101="기후부협의",J3101="문서재제출요청",J3101="보류",J3101="보완요청",J3101="보완완료",J3101="평가중",J3101="반려요청",J3101="평가필요",LEFT(J3101,5)="보완요청("),"미종결 표시","상태 확인 필요"))</x:f>
        <x:v>미종결 표시</x:v>
      </x:c>
      <x:c r="L3101" s="2" t="str">
        <x:v>에코시안_조영우</x:v>
      </x:c>
      <x:c r="M3101" s="2"/>
      <x:c r="N3101" s="8" t="n">
        <x:f>DATE(2026,10,15)-DATE(2024,10,16)</x:f>
        <x:v>729</x:v>
      </x:c>
      <x:c r="O3101" s="2"/>
      <x:c r="P3101" s="2" t="str">
        <x:v>제출서류 미비로 보완 요청. 보완 요청 통보 문구 기재(공단 통보)</x:v>
      </x:c>
      <x:c r="Q3101" s="2" t="str">
        <x:v>산업전환 외부사업 정보비공개 신청 관리 Tool_260707_LJY_261013.xlsx</x:v>
      </x:c>
      <x:c r="R3101" s="2" t="str">
        <x:v>(비공개)국내평가</x:v>
      </x:c>
      <x:c r="S3101" s="8" t="n">
        <x:v>9</x:v>
      </x:c>
      <x:c r="T3101" s="2"/>
      <x:c r="U3101" s="2" t="str"/>
      <x:c r="V3101" s="2" t="str">
        <x:v>2025-01-09</x:v>
      </x:c>
      <x:c r="W3101" s="2" t="str"/>
      <x:c r="X3101" s="2" t="str">
        <x:v>보완 회신 일정 확인</x:v>
      </x:c>
      <x:c r="Y3101" s="2" t="str">
        <x:v>22df6d619b696c1eba8e26790f6382083d9fb1bc48481283e3e8a92ea6897677</x:v>
      </x:c>
      <x:c r="Z3101" s="2" t="n">
        <x:f>SUBTOTAL(103,A3101)</x:f>
        <x:v>1</x:v>
      </x:c>
      <x:c r="AA3101" s="2" t="str">
        <x:f>IF(K3101&lt;&gt;"미종결 표시","대상 아님",IF(N3101="","신청일 확인",IF(NOT(ISNUMBER('종합 현황'!$H$5)),"관찰기준 확인",IF('종합 현황'!$H$5&lt;1,"관찰기준 확인",IF(N3101&gt;'종합 현황'!$H$5,"내부 관찰 대상","내부 관찰일 이하")))))</x:f>
        <x:v>내부 관찰 대상</x:v>
      </x:c>
      <x:c r="AB3101" s="2"/>
    </x:row>
    <x:row r="3102" ht="42" customHeight="1">
      <x:c r="A3102" s="2" t="str">
        <x:v>66aec79c6315e5f485b8a09a</x:v>
      </x:c>
      <x:c r="B3102" s="2" t="str">
        <x:v>사업 비공개 신청</x:v>
      </x:c>
      <x:c r="C3102" s="2" t="str">
        <x:v>국내</x:v>
      </x:c>
      <x:c r="D3102" s="7" t="str">
        <x:v>2015년 춘천시 도로조명 LED 교체를 통한 묶음 감축사업</x:v>
      </x:c>
      <x:c r="E3102" s="2" t="str">
        <x:v>8</x:v>
      </x:c>
      <x:c r="F3102" s="2" t="str">
        <x:v>2024-07-03</x:v>
      </x:c>
      <x:c r="G3102" s="2" t="str">
        <x:v>2024</x:v>
      </x:c>
      <x:c r="H3102" s="2" t="str">
        <x:v>07</x:v>
      </x:c>
      <x:c r="I3102" s="2" t="str">
        <x:v>심의완료</x:v>
      </x:c>
      <x:c r="J3102" s="2" t="str">
        <x:v>심의승인</x:v>
      </x:c>
      <x:c r="K3102" s="2" t="str">
        <x:f>IF(OR(J3102="심의승인",J3102="반려",J3102="반려완료",J3102="심의완료"),"종결 표시",IF(OR(J3102="기후부협의",J3102="문서재제출요청",J3102="보류",J3102="보완요청",J3102="보완완료",J3102="평가중",J3102="반려요청",J3102="평가필요",LEFT(J3102,5)="보완요청("),"미종결 표시","상태 확인 필요"))</x:f>
        <x:v>종결 표시</x:v>
      </x:c>
      <x:c r="L3102" s="2" t="str">
        <x:v>에코시안_조영우</x:v>
      </x:c>
      <x:c r="M3102" s="2"/>
      <x:c r="N3102" s="8" t="n">
        <x:f>DATE(2026,10,15)-DATE(2024,7,3)</x:f>
        <x:v>834</x:v>
      </x:c>
      <x:c r="O3102" s="2"/>
      <x:c r="P3102" s="2" t="str">
        <x:v>심의 승인</x:v>
      </x:c>
      <x:c r="Q3102" s="2" t="str">
        <x:v>산업전환 외부사업 정보비공개 신청 관리 Tool_260707_LJY_261013.xlsx</x:v>
      </x:c>
      <x:c r="R3102" s="2" t="str">
        <x:v>(비공개)국내평가</x:v>
      </x:c>
      <x:c r="S3102" s="8" t="n">
        <x:v>10</x:v>
      </x:c>
      <x:c r="T3102" s="2"/>
      <x:c r="U3102" s="2" t="str"/>
      <x:c r="V3102" s="2" t="str">
        <x:v>2025-06-12</x:v>
      </x:c>
      <x:c r="W3102" s="2" t="str"/>
      <x:c r="X3102" s="2" t="str">
        <x:v>종결 근거 보관</x:v>
      </x:c>
      <x:c r="Y3102" s="2" t="str">
        <x:v>22df6d619b696c1eba8e26790f6382083d9fb1bc48481283e3e8a92ea6897677</x:v>
      </x:c>
      <x:c r="Z3102" s="2" t="n">
        <x:f>SUBTOTAL(103,A3102)</x:f>
        <x:v>1</x:v>
      </x:c>
      <x:c r="AA3102" s="2" t="str">
        <x:f>IF(K3102&lt;&gt;"미종결 표시","대상 아님",IF(N3102="","신청일 확인",IF(NOT(ISNUMBER('종합 현황'!$H$5)),"관찰기준 확인",IF('종합 현황'!$H$5&lt;1,"관찰기준 확인",IF(N3102&gt;'종합 현황'!$H$5,"내부 관찰 대상","내부 관찰일 이하")))))</x:f>
        <x:v>대상 아님</x:v>
      </x:c>
      <x:c r="AB3102" s="2"/>
    </x:row>
    <x:row r="3103" ht="42" customHeight="1">
      <x:c r="A3103" s="2" t="str">
        <x:v>ced696084ad3414762fc7b73</x:v>
      </x:c>
      <x:c r="B3103" s="2" t="str">
        <x:v>사업 비공개 신청</x:v>
      </x:c>
      <x:c r="C3103" s="2" t="str">
        <x:v>국내</x:v>
      </x:c>
      <x:c r="D3103" s="7" t="str">
        <x:v>2022년 춘천시 도로조명 LED 교체를 통한 감축사업</x:v>
      </x:c>
      <x:c r="E3103" s="2" t="str">
        <x:v>9</x:v>
      </x:c>
      <x:c r="F3103" s="2" t="str">
        <x:v>2025-10-28</x:v>
      </x:c>
      <x:c r="G3103" s="2" t="str">
        <x:v>2025</x:v>
      </x:c>
      <x:c r="H3103" s="2" t="str">
        <x:v>10</x:v>
      </x:c>
      <x:c r="I3103" s="2" t="str">
        <x:v>보완완료</x:v>
      </x:c>
      <x:c r="J3103" s="2" t="str">
        <x:v>보완완료</x:v>
      </x:c>
      <x:c r="K3103" s="2" t="str">
        <x:f>IF(OR(J3103="심의승인",J3103="반려",J3103="반려완료",J3103="심의완료"),"종결 표시",IF(OR(J3103="기후부협의",J3103="문서재제출요청",J3103="보류",J3103="보완요청",J3103="보완완료",J3103="평가중",J3103="반려요청",J3103="평가필요",LEFT(J3103,5)="보완요청("),"미종결 표시","상태 확인 필요"))</x:f>
        <x:v>미종결 표시</x:v>
      </x:c>
      <x:c r="L3103" s="2" t="str">
        <x:v>에코시안</x:v>
      </x:c>
      <x:c r="M3103" s="2"/>
      <x:c r="N3103" s="8" t="n">
        <x:f>DATE(2026,10,15)-DATE(2025,10,28)</x:f>
        <x:v>352</x:v>
      </x:c>
      <x:c r="O3103" s="2"/>
      <x:c r="P3103" s="2" t="str">
        <x:v>[1차 통보]
ㅇ 「명세서 공개 심사위원회 구성 및 운영에 관한 규정」 [별표1]에 따라 비공개 신청사유를 하기와 같이 보완 요청 드립니다.
- 사업계획서(모니터링보고서) 내용 중 보안유지 필요 부분, 위치 및 사유 구체화(증빙자료는 정보공개 대상 아님)
- 필요 시 정보 비공개사유에 대한 증빙자료 제출 요청
ㅇ 단, 투명성 원칙에 따라 민감사항이 사업계획서 및 모니터링보고서, 검증 보고서 내 문서에 포함되지 않아도 되는 경우(필수 작성 항목이 아닌 경우) 해당사항은 증빙자료로만 제출하고 본 비공개신청건은 철회 신청해주시기 바랍니다.
[1차 보완]
정보비공개 판단 기준은 &amp;lsquo;온실가스배출량명세서 정보의 공개 및 비공개 신청 심사 기준&amp;rsquo;을 준용하고 있는데, 이 규정은 법적으로 제출이 의무화된 온실가스배출관리업체, 할당대상업체의 명세서에 대한 규정임. 그에 비해 업체가 자발적으로 참여하고 제출하는 외부사업의 사업계획서의 비공개 심사에는 업체의 의견을 보다 존중해야 할 것으로 사료됨.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춘천시가 일반에게 공개할 의무는 없으며, 오남용될 가능성도 있어 춘천시는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춘천시 고유의 특성을 반영하여 구체적으로 기술되어 있기 때문에 정보공개를 원하지 않음. 또한, 이 사업계획서를 작성하기 위하여 춘천시가 오랜 기간 동안 시간과 노력과 예산을 투자하여 작성한 연구성과물이기 때문에 무상으로 이를 일반인에게 공개하는 것은 공평하지 못하며, 시장질서에도 바람직하지 않다고 사료되므로 춘천시는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</x:v>
      </x:c>
      <x:c r="Q3103" s="2" t="str">
        <x:v>산업전환 외부사업 정보비공개 신청 관리 Tool_260707_LJY_261013.xlsx</x:v>
      </x:c>
      <x:c r="R3103" s="2" t="str">
        <x:v>(비공개)국내평가</x:v>
      </x:c>
      <x:c r="S3103" s="8" t="n">
        <x:v>11</x:v>
      </x:c>
      <x:c r="T3103" s="2"/>
      <x:c r="U3103" s="2" t="str"/>
      <x:c r="V3103" s="2" t="str">
        <x:v>2025-04-28</x:v>
      </x:c>
      <x:c r="W3103" s="2" t="str"/>
      <x:c r="X3103" s="2" t="str">
        <x:v>보완 회신 일정 확인</x:v>
      </x:c>
      <x:c r="Y3103" s="2" t="str">
        <x:v>22df6d619b696c1eba8e26790f6382083d9fb1bc48481283e3e8a92ea6897677</x:v>
      </x:c>
      <x:c r="Z3103" s="2" t="n">
        <x:f>SUBTOTAL(103,A3103)</x:f>
        <x:v>1</x:v>
      </x:c>
      <x:c r="AA3103" s="2" t="str">
        <x:f>IF(K3103&lt;&gt;"미종결 표시","대상 아님",IF(N3103="","신청일 확인",IF(NOT(ISNUMBER('종합 현황'!$H$5)),"관찰기준 확인",IF('종합 현황'!$H$5&lt;1,"관찰기준 확인",IF(N3103&gt;'종합 현황'!$H$5,"내부 관찰 대상","내부 관찰일 이하")))))</x:f>
        <x:v>내부 관찰 대상</x:v>
      </x:c>
      <x:c r="AB3103" s="2"/>
    </x:row>
    <x:row r="3104" ht="42" customHeight="1">
      <x:c r="A3104" s="2" t="str">
        <x:v>59bdb4609825202725d2958a</x:v>
      </x:c>
      <x:c r="B3104" s="2" t="str">
        <x:v>사업 비공개 신청</x:v>
      </x:c>
      <x:c r="C3104" s="2" t="str">
        <x:v>국내</x:v>
      </x:c>
      <x:c r="D3104" s="7" t="str">
        <x:v>신성이앤에스 영덕군 태양광 발전시설의 리파워링 사업</x:v>
      </x:c>
      <x:c r="E3104" s="2" t="str">
        <x:v>10</x:v>
      </x:c>
      <x:c r="F3104" s="2" t="str">
        <x:v>2024-01-29</x:v>
      </x:c>
      <x:c r="G3104" s="2" t="str">
        <x:v>2024</x:v>
      </x:c>
      <x:c r="H3104" s="2" t="str">
        <x:v>01</x:v>
      </x:c>
      <x:c r="I3104" s="2" t="str">
        <x:v>보완요청</x:v>
      </x:c>
      <x:c r="J3104" s="2" t="str">
        <x:v>보완요청</x:v>
      </x:c>
      <x:c r="K3104" s="2" t="str">
        <x:f>IF(OR(J3104="심의승인",J3104="반려",J3104="반려완료",J3104="심의완료"),"종결 표시",IF(OR(J3104="기후부협의",J3104="문서재제출요청",J3104="보류",J3104="보완요청",J3104="보완완료",J3104="평가중",J3104="반려요청",J3104="평가필요",LEFT(J3104,5)="보완요청("),"미종결 표시","상태 확인 필요"))</x:f>
        <x:v>미종결 표시</x:v>
      </x:c>
      <x:c r="L3104" s="2" t="str">
        <x:v>KECM_조수민</x:v>
      </x:c>
      <x:c r="M3104" s="2"/>
      <x:c r="N3104" s="8" t="n">
        <x:f>DATE(2026,10,15)-DATE(2024,1,29)</x:f>
        <x:v>990</x:v>
      </x:c>
      <x:c r="O3104" s="2"/>
      <x:c r="P3104" s="2" t="str">
        <x:v>제출서류 미비로 보완 요청. 보완 요청 통보 문구 기재(공단 통보)</x:v>
      </x:c>
      <x:c r="Q3104" s="2" t="str">
        <x:v>산업전환 외부사업 정보비공개 신청 관리 Tool_260707_LJY_261013.xlsx</x:v>
      </x:c>
      <x:c r="R3104" s="2" t="str">
        <x:v>(비공개)국내평가</x:v>
      </x:c>
      <x:c r="S3104" s="8" t="n">
        <x:v>12</x:v>
      </x:c>
      <x:c r="T3104" s="2"/>
      <x:c r="U3104" s="2" t="str"/>
      <x:c r="V3104" s="2" t="str">
        <x:v>2025-01-09</x:v>
      </x:c>
      <x:c r="W3104" s="2" t="str"/>
      <x:c r="X3104" s="2" t="str">
        <x:v>보완 회신 일정 확인</x:v>
      </x:c>
      <x:c r="Y3104" s="2" t="str">
        <x:v>22df6d619b696c1eba8e26790f6382083d9fb1bc48481283e3e8a92ea6897677</x:v>
      </x:c>
      <x:c r="Z3104" s="2" t="n">
        <x:f>SUBTOTAL(103,A3104)</x:f>
        <x:v>1</x:v>
      </x:c>
      <x:c r="AA3104" s="2" t="str">
        <x:f>IF(K3104&lt;&gt;"미종결 표시","대상 아님",IF(N3104="","신청일 확인",IF(NOT(ISNUMBER('종합 현황'!$H$5)),"관찰기준 확인",IF('종합 현황'!$H$5&lt;1,"관찰기준 확인",IF(N3104&gt;'종합 현황'!$H$5,"내부 관찰 대상","내부 관찰일 이하")))))</x:f>
        <x:v>내부 관찰 대상</x:v>
      </x:c>
      <x:c r="AB3104" s="2"/>
    </x:row>
    <x:row r="3105" ht="42" customHeight="1">
      <x:c r="A3105" s="2" t="str">
        <x:v>31dbb33e0e004ac16f4aa775</x:v>
      </x:c>
      <x:c r="B3105" s="2" t="str">
        <x:v>사업 비공개 신청</x:v>
      </x:c>
      <x:c r="C3105" s="2" t="str">
        <x:v>국내</x:v>
      </x:c>
      <x:c r="D3105" s="7" t="str">
        <x:v>신성이앤에스 영동군 태양광 발전시설의 리파워링 사업</x:v>
      </x:c>
      <x:c r="E3105" s="2" t="str">
        <x:v>11</x:v>
      </x:c>
      <x:c r="F3105" s="2" t="str">
        <x:v>2024-01-29</x:v>
      </x:c>
      <x:c r="G3105" s="2" t="str">
        <x:v>2024</x:v>
      </x:c>
      <x:c r="H3105" s="2" t="str">
        <x:v>01</x:v>
      </x:c>
      <x:c r="I3105" s="2" t="str">
        <x:v>보완요청</x:v>
      </x:c>
      <x:c r="J3105" s="2" t="str">
        <x:v>보완요청</x:v>
      </x:c>
      <x:c r="K3105" s="2" t="str">
        <x:f>IF(OR(J3105="심의승인",J3105="반려",J3105="반려완료",J3105="심의완료"),"종결 표시",IF(OR(J3105="기후부협의",J3105="문서재제출요청",J3105="보류",J3105="보완요청",J3105="보완완료",J3105="평가중",J3105="반려요청",J3105="평가필요",LEFT(J3105,5)="보완요청("),"미종결 표시","상태 확인 필요"))</x:f>
        <x:v>미종결 표시</x:v>
      </x:c>
      <x:c r="L3105" s="2" t="str">
        <x:v>KECM_조수민</x:v>
      </x:c>
      <x:c r="M3105" s="2"/>
      <x:c r="N3105" s="8" t="n">
        <x:f>DATE(2026,10,15)-DATE(2024,1,29)</x:f>
        <x:v>990</x:v>
      </x:c>
      <x:c r="O3105" s="2"/>
      <x:c r="P3105" s="2" t="str">
        <x:v>제출서류 미비로 보완 요청. 보완 요청 통보 문구 기재(공단 통보)</x:v>
      </x:c>
      <x:c r="Q3105" s="2" t="str">
        <x:v>산업전환 외부사업 정보비공개 신청 관리 Tool_260707_LJY_261013.xlsx</x:v>
      </x:c>
      <x:c r="R3105" s="2" t="str">
        <x:v>(비공개)국내평가</x:v>
      </x:c>
      <x:c r="S3105" s="8" t="n">
        <x:v>13</x:v>
      </x:c>
      <x:c r="T3105" s="2"/>
      <x:c r="U3105" s="2" t="str"/>
      <x:c r="V3105" s="2" t="str">
        <x:v>2025-01-09</x:v>
      </x:c>
      <x:c r="W3105" s="2" t="str"/>
      <x:c r="X3105" s="2" t="str">
        <x:v>보완 회신 일정 확인</x:v>
      </x:c>
      <x:c r="Y3105" s="2" t="str">
        <x:v>22df6d619b696c1eba8e26790f6382083d9fb1bc48481283e3e8a92ea6897677</x:v>
      </x:c>
      <x:c r="Z3105" s="2" t="n">
        <x:f>SUBTOTAL(103,A3105)</x:f>
        <x:v>1</x:v>
      </x:c>
      <x:c r="AA3105" s="2" t="str">
        <x:f>IF(K3105&lt;&gt;"미종결 표시","대상 아님",IF(N3105="","신청일 확인",IF(NOT(ISNUMBER('종합 현황'!$H$5)),"관찰기준 확인",IF('종합 현황'!$H$5&lt;1,"관찰기준 확인",IF(N3105&gt;'종합 현황'!$H$5,"내부 관찰 대상","내부 관찰일 이하")))))</x:f>
        <x:v>내부 관찰 대상</x:v>
      </x:c>
      <x:c r="AB3105" s="2"/>
    </x:row>
    <x:row r="3106" ht="42" customHeight="1">
      <x:c r="A3106" s="2" t="str">
        <x:v>9dec9f197a5338dfbc38cd31</x:v>
      </x:c>
      <x:c r="B3106" s="2" t="str">
        <x:v>사업 비공개 신청</x:v>
      </x:c>
      <x:c r="C3106" s="2" t="str">
        <x:v>국내</x:v>
      </x:c>
      <x:c r="D3106" s="7" t="str">
        <x:v>부산경남우유협동조합의 B-C유에서 도시가스(LNG)로 연료전환을 통한 온실가스 배출 외부사업</x:v>
      </x:c>
      <x:c r="E3106" s="2" t="str">
        <x:v>12</x:v>
      </x:c>
      <x:c r="F3106" s="2" t="str">
        <x:v>2024-07-02</x:v>
      </x:c>
      <x:c r="G3106" s="2" t="str">
        <x:v>2024</x:v>
      </x:c>
      <x:c r="H3106" s="2" t="str">
        <x:v>07</x:v>
      </x:c>
      <x:c r="I3106" s="2" t="str">
        <x:v>심의완료</x:v>
      </x:c>
      <x:c r="J3106" s="2" t="str">
        <x:v>심의승인</x:v>
      </x:c>
      <x:c r="K3106" s="2" t="str">
        <x:f>IF(OR(J3106="심의승인",J3106="반려",J3106="반려완료",J3106="심의완료"),"종결 표시",IF(OR(J3106="기후부협의",J3106="문서재제출요청",J3106="보류",J3106="보완요청",J3106="보완완료",J3106="평가중",J3106="반려요청",J3106="평가필요",LEFT(J3106,5)="보완요청("),"미종결 표시","상태 확인 필요"))</x:f>
        <x:v>종결 표시</x:v>
      </x:c>
      <x:c r="L3106" s="2" t="str">
        <x:v>에코시안_김명은</x:v>
      </x:c>
      <x:c r="M3106" s="2"/>
      <x:c r="N3106" s="8" t="n">
        <x:f>DATE(2026,10,15)-DATE(2024,7,2)</x:f>
        <x:v>835</x:v>
      </x:c>
      <x:c r="O3106" s="2"/>
      <x:c r="P3106" s="2"/>
      <x:c r="Q3106" s="2" t="str">
        <x:v>산업전환 외부사업 정보비공개 신청 관리 Tool_260707_LJY_261013.xlsx</x:v>
      </x:c>
      <x:c r="R3106" s="2" t="str">
        <x:v>(비공개)국내평가</x:v>
      </x:c>
      <x:c r="S3106" s="8" t="n">
        <x:v>14</x:v>
      </x:c>
      <x:c r="T3106" s="2"/>
      <x:c r="U3106" s="2" t="str"/>
      <x:c r="V3106" s="2" t="str">
        <x:v>2024-09-19</x:v>
      </x:c>
      <x:c r="W3106" s="2" t="str"/>
      <x:c r="X3106" s="2" t="str">
        <x:v>종결 근거 보관</x:v>
      </x:c>
      <x:c r="Y3106" s="2" t="str">
        <x:v>22df6d619b696c1eba8e26790f6382083d9fb1bc48481283e3e8a92ea6897677</x:v>
      </x:c>
      <x:c r="Z3106" s="2" t="n">
        <x:f>SUBTOTAL(103,A3106)</x:f>
        <x:v>1</x:v>
      </x:c>
      <x:c r="AA3106" s="2" t="str">
        <x:f>IF(K3106&lt;&gt;"미종결 표시","대상 아님",IF(N3106="","신청일 확인",IF(NOT(ISNUMBER('종합 현황'!$H$5)),"관찰기준 확인",IF('종합 현황'!$H$5&lt;1,"관찰기준 확인",IF(N3106&gt;'종합 현황'!$H$5,"내부 관찰 대상","내부 관찰일 이하")))))</x:f>
        <x:v>대상 아님</x:v>
      </x:c>
      <x:c r="AB3106" s="2"/>
    </x:row>
    <x:row r="3107" ht="42" customHeight="1">
      <x:c r="A3107" s="2" t="str">
        <x:v>e764d39e70a896cb9cc4c0a4</x:v>
      </x:c>
      <x:c r="B3107" s="2" t="str">
        <x:v>사업 비공개 신청</x:v>
      </x:c>
      <x:c r="C3107" s="2" t="str">
        <x:v>국내</x:v>
      </x:c>
      <x:c r="D3107" s="7" t="str">
        <x:v>씨큐브의 LPG에서 도시가스(LNG)로 연료전환을 통한 온실가스 배출 외부사업</x:v>
      </x:c>
      <x:c r="E3107" s="2" t="str">
        <x:v>13</x:v>
      </x:c>
      <x:c r="F3107" s="2" t="str">
        <x:v>2024-10-11</x:v>
      </x:c>
      <x:c r="G3107" s="2" t="str">
        <x:v>2024</x:v>
      </x:c>
      <x:c r="H3107" s="2" t="str">
        <x:v>10</x:v>
      </x:c>
      <x:c r="I3107" s="2" t="str">
        <x:v>심의완료</x:v>
      </x:c>
      <x:c r="J3107" s="2" t="str">
        <x:v>심의승인</x:v>
      </x:c>
      <x:c r="K3107" s="2" t="str">
        <x:f>IF(OR(J3107="심의승인",J3107="반려",J3107="반려완료",J3107="심의완료"),"종결 표시",IF(OR(J3107="기후부협의",J3107="문서재제출요청",J3107="보류",J3107="보완요청",J3107="보완완료",J3107="평가중",J3107="반려요청",J3107="평가필요",LEFT(J3107,5)="보완요청("),"미종결 표시","상태 확인 필요"))</x:f>
        <x:v>종결 표시</x:v>
      </x:c>
      <x:c r="L3107" s="2" t="str">
        <x:v>KECM_이태준</x:v>
      </x:c>
      <x:c r="M3107" s="2"/>
      <x:c r="N3107" s="8" t="n">
        <x:f>DATE(2026,10,15)-DATE(2024,10,11)</x:f>
        <x:v>734</x:v>
      </x:c>
      <x:c r="O3107" s="2"/>
      <x:c r="P3107" s="2" t="str">
        <x:v>사업계획서 내용 중 비공개 필요 부분 정확히 명시 필요(사업계획서 증빙자료는 정보공개 대상 아님)</x:v>
      </x:c>
      <x:c r="Q3107" s="2" t="str">
        <x:v>산업전환 외부사업 정보비공개 신청 관리 Tool_260707_LJY_261013.xlsx</x:v>
      </x:c>
      <x:c r="R3107" s="2" t="str">
        <x:v>(비공개)국내평가</x:v>
      </x:c>
      <x:c r="S3107" s="8" t="n">
        <x:v>15</x:v>
      </x:c>
      <x:c r="T3107" s="2"/>
      <x:c r="U3107" s="2" t="str"/>
      <x:c r="V3107" s="2" t="str">
        <x:v>2024-12-10</x:v>
      </x:c>
      <x:c r="W3107" s="2" t="str"/>
      <x:c r="X3107" s="2" t="str">
        <x:v>종결 근거 보관</x:v>
      </x:c>
      <x:c r="Y3107" s="2" t="str">
        <x:v>22df6d619b696c1eba8e26790f6382083d9fb1bc48481283e3e8a92ea6897677</x:v>
      </x:c>
      <x:c r="Z3107" s="2" t="n">
        <x:f>SUBTOTAL(103,A3107)</x:f>
        <x:v>1</x:v>
      </x:c>
      <x:c r="AA3107" s="2" t="str">
        <x:f>IF(K3107&lt;&gt;"미종결 표시","대상 아님",IF(N3107="","신청일 확인",IF(NOT(ISNUMBER('종합 현황'!$H$5)),"관찰기준 확인",IF('종합 현황'!$H$5&lt;1,"관찰기준 확인",IF(N3107&gt;'종합 현황'!$H$5,"내부 관찰 대상","내부 관찰일 이하")))))</x:f>
        <x:v>대상 아님</x:v>
      </x:c>
      <x:c r="AB3107" s="2"/>
    </x:row>
    <x:row r="3108" ht="42" customHeight="1">
      <x:c r="A3108" s="2" t="str">
        <x:v>2212c9d5edc6cef00183082e</x:v>
      </x:c>
      <x:c r="B3108" s="2" t="str">
        <x:v>사업 비공개 신청</x:v>
      </x:c>
      <x:c r="C3108" s="2" t="str">
        <x:v>국내</x:v>
      </x:c>
      <x:c r="D3108" s="7" t="str">
        <x:v>엠함안(주) 목질계 바이오매스 연료 이용 열 공급을 통한 수용가의 화석연료 절감 및 온실가스 감축사업</x:v>
      </x:c>
      <x:c r="E3108" s="2" t="str">
        <x:v>14</x:v>
      </x:c>
      <x:c r="F3108" s="2" t="str">
        <x:v>2025-02-27</x:v>
      </x:c>
      <x:c r="G3108" s="2" t="str">
        <x:v>2025</x:v>
      </x:c>
      <x:c r="H3108" s="2" t="str">
        <x:v>02</x:v>
      </x:c>
      <x:c r="I3108" s="2" t="str">
        <x:v>반려</x:v>
      </x:c>
      <x:c r="J3108" s="2" t="str">
        <x:v>반려완료</x:v>
      </x:c>
      <x:c r="K3108" s="2" t="str">
        <x:f>IF(OR(J3108="심의승인",J3108="반려",J3108="반려완료",J3108="심의완료"),"종결 표시",IF(OR(J3108="기후부협의",J3108="문서재제출요청",J3108="보류",J3108="보완요청",J3108="보완완료",J3108="평가중",J3108="반려요청",J3108="평가필요",LEFT(J3108,5)="보완요청("),"미종결 표시","상태 확인 필요"))</x:f>
        <x:v>종결 표시</x:v>
      </x:c>
      <x:c r="L3108" s="2" t="str">
        <x:v>에코시안_조영우</x:v>
      </x:c>
      <x:c r="M3108" s="2"/>
      <x:c r="N3108" s="8" t="n">
        <x:f>DATE(2026,10,15)-DATE(2025,2,27)</x:f>
        <x:v>595</x:v>
      </x:c>
      <x:c r="O3108" s="2"/>
      <x:c r="P3108" s="2" t="str">
        <x:v>사업자 반려 요청</x:v>
      </x:c>
      <x:c r="Q3108" s="2" t="str">
        <x:v>산업전환 외부사업 정보비공개 신청 관리 Tool_260707_LJY_261013.xlsx</x:v>
      </x:c>
      <x:c r="R3108" s="2" t="str">
        <x:v>(비공개)국내평가</x:v>
      </x:c>
      <x:c r="S3108" s="8" t="n">
        <x:v>16</x:v>
      </x:c>
      <x:c r="T3108" s="2"/>
      <x:c r="U3108" s="2" t="str"/>
      <x:c r="V3108" s="2" t="str">
        <x:v>2025-03-07</x:v>
      </x:c>
      <x:c r="W3108" s="2" t="str"/>
      <x:c r="X3108" s="2" t="str">
        <x:v>종결 근거 보관</x:v>
      </x:c>
      <x:c r="Y3108" s="2" t="str">
        <x:v>22df6d619b696c1eba8e26790f6382083d9fb1bc48481283e3e8a92ea6897677</x:v>
      </x:c>
      <x:c r="Z3108" s="2" t="n">
        <x:f>SUBTOTAL(103,A3108)</x:f>
        <x:v>1</x:v>
      </x:c>
      <x:c r="AA3108" s="2" t="str">
        <x:f>IF(K3108&lt;&gt;"미종결 표시","대상 아님",IF(N3108="","신청일 확인",IF(NOT(ISNUMBER('종합 현황'!$H$5)),"관찰기준 확인",IF('종합 현황'!$H$5&lt;1,"관찰기준 확인",IF(N3108&gt;'종합 현황'!$H$5,"내부 관찰 대상","내부 관찰일 이하")))))</x:f>
        <x:v>대상 아님</x:v>
      </x:c>
      <x:c r="AB3108" s="2"/>
    </x:row>
    <x:row r="3109" ht="42" customHeight="1">
      <x:c r="A3109" s="2" t="str">
        <x:v>4da6d91ef9ea52a3f1b5b387</x:v>
      </x:c>
      <x:c r="B3109" s="2" t="str">
        <x:v>사업 비공개 신청</x:v>
      </x:c>
      <x:c r="C3109" s="2" t="str">
        <x:v>국내</x:v>
      </x:c>
      <x:c r="D3109" s="7" t="str">
        <x:v>대림아스콘의 B-C유에서 도시가스(LNG)로 연료전환을 통한 온실가스 배출 감축사업</x:v>
      </x:c>
      <x:c r="E3109" s="2" t="str">
        <x:v>15</x:v>
      </x:c>
      <x:c r="F3109" s="2" t="str">
        <x:v>2022-06-07</x:v>
      </x:c>
      <x:c r="G3109" s="2" t="str">
        <x:v>2022</x:v>
      </x:c>
      <x:c r="H3109" s="2" t="str">
        <x:v>06</x:v>
      </x:c>
      <x:c r="I3109" s="2" t="str">
        <x:v>보완요청</x:v>
      </x:c>
      <x:c r="J3109" s="2" t="str">
        <x:v>보완요청</x:v>
      </x:c>
      <x:c r="K3109" s="2" t="str">
        <x:f>IF(OR(J3109="심의승인",J3109="반려",J3109="반려완료",J3109="심의완료"),"종결 표시",IF(OR(J3109="기후부협의",J3109="문서재제출요청",J3109="보류",J3109="보완요청",J3109="보완완료",J3109="평가중",J3109="반려요청",J3109="평가필요",LEFT(J3109,5)="보완요청("),"미종결 표시","상태 확인 필요"))</x:f>
        <x:v>미종결 표시</x:v>
      </x:c>
      <x:c r="L3109" s="2" t="str">
        <x:v>에코시안_조영우</x:v>
      </x:c>
      <x:c r="M3109" s="2"/>
      <x:c r="N3109" s="8" t="n">
        <x:f>DATE(2026,10,15)-DATE(2022,6,7)</x:f>
        <x:v>1591</x:v>
      </x:c>
      <x:c r="O3109" s="2"/>
      <x:c r="P3109" s="2" t="str">
        <x:v>사업계획서 내용 중 비공개 필요 부분 정확히 명시 필요(사업계획서 증빙자료는 정보공개 대상 아님))</x:v>
      </x:c>
      <x:c r="Q3109" s="2" t="str">
        <x:v>산업전환 외부사업 정보비공개 신청 관리 Tool_260707_LJY_261013.xlsx</x:v>
      </x:c>
      <x:c r="R3109" s="2" t="str">
        <x:v>(비공개)국내평가</x:v>
      </x:c>
      <x:c r="S3109" s="8" t="n">
        <x:v>17</x:v>
      </x:c>
      <x:c r="T3109" s="2"/>
      <x:c r="U3109" s="2" t="str"/>
      <x:c r="V3109" s="2" t="str">
        <x:v>2023-04-25</x:v>
      </x:c>
      <x:c r="W3109" s="2" t="str"/>
      <x:c r="X3109" s="2" t="str">
        <x:v>보완 회신 일정 확인</x:v>
      </x:c>
      <x:c r="Y3109" s="2" t="str">
        <x:v>22df6d619b696c1eba8e26790f6382083d9fb1bc48481283e3e8a92ea6897677</x:v>
      </x:c>
      <x:c r="Z3109" s="2" t="n">
        <x:f>SUBTOTAL(103,A3109)</x:f>
        <x:v>1</x:v>
      </x:c>
      <x:c r="AA3109" s="2" t="str">
        <x:f>IF(K3109&lt;&gt;"미종결 표시","대상 아님",IF(N3109="","신청일 확인",IF(NOT(ISNUMBER('종합 현황'!$H$5)),"관찰기준 확인",IF('종합 현황'!$H$5&lt;1,"관찰기준 확인",IF(N3109&gt;'종합 현황'!$H$5,"내부 관찰 대상","내부 관찰일 이하")))))</x:f>
        <x:v>내부 관찰 대상</x:v>
      </x:c>
      <x:c r="AB3109" s="2"/>
    </x:row>
    <x:row r="3110" ht="42" customHeight="1">
      <x:c r="A3110" s="2" t="str">
        <x:v>53b43966aa1eb10721529857</x:v>
      </x:c>
      <x:c r="B3110" s="2" t="str">
        <x:v>사업 비공개 신청</x:v>
      </x:c>
      <x:c r="C3110" s="2" t="str">
        <x:v>국내</x:v>
      </x:c>
      <x:c r="D3110" s="7" t="str">
        <x:v>부산 해운대 클린에너지 학교 태양광발전 묶음 감축사업</x:v>
      </x:c>
      <x:c r="E3110" s="2" t="str">
        <x:v>16</x:v>
      </x:c>
      <x:c r="F3110" s="2" t="str">
        <x:v>2022-06-02</x:v>
      </x:c>
      <x:c r="G3110" s="2" t="str">
        <x:v>2022</x:v>
      </x:c>
      <x:c r="H3110" s="2" t="str">
        <x:v>06</x:v>
      </x:c>
      <x:c r="I3110" s="2" t="str">
        <x:v>반려</x:v>
      </x:c>
      <x:c r="J3110" s="2" t="str">
        <x:v>반려완료</x:v>
      </x:c>
      <x:c r="K3110" s="2" t="str">
        <x:f>IF(OR(J3110="심의승인",J3110="반려",J3110="반려완료",J3110="심의완료"),"종결 표시",IF(OR(J3110="기후부협의",J3110="문서재제출요청",J3110="보류",J3110="보완요청",J3110="보완완료",J3110="평가중",J3110="반려요청",J3110="평가필요",LEFT(J3110,5)="보완요청("),"미종결 표시","상태 확인 필요"))</x:f>
        <x:v>종결 표시</x:v>
      </x:c>
      <x:c r="L3110" s="2" t="str">
        <x:v>에코시안_정인혜</x:v>
      </x:c>
      <x:c r="M3110" s="2"/>
      <x:c r="N3110" s="8" t="n">
        <x:f>DATE(2026,10,15)-DATE(2022,6,2)</x:f>
        <x:v>1596</x:v>
      </x:c>
      <x:c r="O3110" s="2"/>
      <x:c r="P3110" s="2" t="str">
        <x:v>사업자 반려 요청</x:v>
      </x:c>
      <x:c r="Q3110" s="2" t="str">
        <x:v>산업전환 외부사업 정보비공개 신청 관리 Tool_260707_LJY_261013.xlsx</x:v>
      </x:c>
      <x:c r="R3110" s="2" t="str">
        <x:v>(비공개)국내평가</x:v>
      </x:c>
      <x:c r="S3110" s="8" t="n">
        <x:v>18</x:v>
      </x:c>
      <x:c r="T3110" s="2"/>
      <x:c r="U3110" s="2" t="str"/>
      <x:c r="V3110" s="2" t="str">
        <x:v>2022-08-16</x:v>
      </x:c>
      <x:c r="W3110" s="2" t="str"/>
      <x:c r="X3110" s="2" t="str">
        <x:v>종결 근거 보관</x:v>
      </x:c>
      <x:c r="Y3110" s="2" t="str">
        <x:v>22df6d619b696c1eba8e26790f6382083d9fb1bc48481283e3e8a92ea6897677</x:v>
      </x:c>
      <x:c r="Z3110" s="2" t="n">
        <x:f>SUBTOTAL(103,A3110)</x:f>
        <x:v>1</x:v>
      </x:c>
      <x:c r="AA3110" s="2" t="str">
        <x:f>IF(K3110&lt;&gt;"미종결 표시","대상 아님",IF(N3110="","신청일 확인",IF(NOT(ISNUMBER('종합 현황'!$H$5)),"관찰기준 확인",IF('종합 현황'!$H$5&lt;1,"관찰기준 확인",IF(N3110&gt;'종합 현황'!$H$5,"내부 관찰 대상","내부 관찰일 이하")))))</x:f>
        <x:v>대상 아님</x:v>
      </x:c>
      <x:c r="AB3110" s="2"/>
    </x:row>
    <x:row r="3111" ht="42" customHeight="1">
      <x:c r="A3111" s="2" t="str">
        <x:v>6f1077e85ca7fa3590313e7a</x:v>
      </x:c>
      <x:c r="B3111" s="2" t="str">
        <x:v>사업 비공개 신청</x:v>
      </x:c>
      <x:c r="C3111" s="2" t="str">
        <x:v>국내</x:v>
      </x:c>
      <x:c r="D3111" s="7" t="str">
        <x:v>동신산업 평택공장의 B-C유에서 LNG로 연료전환을 통한 온실가스 배출 감축사업</x:v>
      </x:c>
      <x:c r="E3111" s="2" t="str">
        <x:v>17</x:v>
      </x:c>
      <x:c r="F3111" s="2" t="str">
        <x:v>2021-06-10</x:v>
      </x:c>
      <x:c r="G3111" s="2" t="str">
        <x:v>2021</x:v>
      </x:c>
      <x:c r="H3111" s="2" t="str">
        <x:v>06</x:v>
      </x:c>
      <x:c r="I3111" s="2" t="str">
        <x:v>보완요청</x:v>
      </x:c>
      <x:c r="J3111" s="2" t="str">
        <x:v>보완요청</x:v>
      </x:c>
      <x:c r="K3111" s="2" t="str">
        <x:f>IF(OR(J3111="심의승인",J3111="반려",J3111="반려완료",J3111="심의완료"),"종결 표시",IF(OR(J3111="기후부협의",J3111="문서재제출요청",J3111="보류",J3111="보완요청",J3111="보완완료",J3111="평가중",J3111="반려요청",J3111="평가필요",LEFT(J3111,5)="보완요청("),"미종결 표시","상태 확인 필요"))</x:f>
        <x:v>미종결 표시</x:v>
      </x:c>
      <x:c r="L3111" s="2" t="str">
        <x:v>에코시안_정인혜</x:v>
      </x:c>
      <x:c r="M3111" s="2"/>
      <x:c r="N3111" s="8" t="n">
        <x:f>DATE(2026,10,15)-DATE(2021,6,10)</x:f>
        <x:v>1953</x:v>
      </x:c>
      <x:c r="O3111" s="2"/>
      <x:c r="P3111" s="2" t="str">
        <x:v>사업계획서 내 보안유지 필요부분 구체화 필요</x:v>
      </x:c>
      <x:c r="Q3111" s="2" t="str">
        <x:v>산업전환 외부사업 정보비공개 신청 관리 Tool_260707_LJY_261013.xlsx</x:v>
      </x:c>
      <x:c r="R3111" s="2" t="str">
        <x:v>(비공개)국내평가</x:v>
      </x:c>
      <x:c r="S3111" s="8" t="n">
        <x:v>19</x:v>
      </x:c>
      <x:c r="T3111" s="2"/>
      <x:c r="U3111" s="2" t="str"/>
      <x:c r="V3111" s="2" t="str">
        <x:v>2022-06-02</x:v>
      </x:c>
      <x:c r="W3111" s="2" t="str"/>
      <x:c r="X3111" s="2" t="str">
        <x:v>보완 회신 일정 확인</x:v>
      </x:c>
      <x:c r="Y3111" s="2" t="str">
        <x:v>22df6d619b696c1eba8e26790f6382083d9fb1bc48481283e3e8a92ea6897677</x:v>
      </x:c>
      <x:c r="Z3111" s="2" t="n">
        <x:f>SUBTOTAL(103,A3111)</x:f>
        <x:v>1</x:v>
      </x:c>
      <x:c r="AA3111" s="2" t="str">
        <x:f>IF(K3111&lt;&gt;"미종결 표시","대상 아님",IF(N3111="","신청일 확인",IF(NOT(ISNUMBER('종합 현황'!$H$5)),"관찰기준 확인",IF('종합 현황'!$H$5&lt;1,"관찰기준 확인",IF(N3111&gt;'종합 현황'!$H$5,"내부 관찰 대상","내부 관찰일 이하")))))</x:f>
        <x:v>내부 관찰 대상</x:v>
      </x:c>
      <x:c r="AB3111" s="2"/>
    </x:row>
    <x:row r="3112" ht="42" customHeight="1">
      <x:c r="A3112" s="2" t="str">
        <x:v>1d02bb1a7469d23c4c0a3230</x:v>
      </x:c>
      <x:c r="B3112" s="2" t="str">
        <x:v>사업 비공개 신청</x:v>
      </x:c>
      <x:c r="C3112" s="2" t="str">
        <x:v>국내</x:v>
      </x:c>
      <x:c r="D3112" s="7" t="str">
        <x:v>서울시사회복지협의회 태양광발전설비 설치를 통한 프로그램 온실가스 배출 감축사업</x:v>
      </x:c>
      <x:c r="E3112" s="2" t="str">
        <x:v>18</x:v>
      </x:c>
      <x:c r="F3112" s="2" t="str">
        <x:v>2021-05-03</x:v>
      </x:c>
      <x:c r="G3112" s="2" t="str">
        <x:v>2021</x:v>
      </x:c>
      <x:c r="H3112" s="2" t="str">
        <x:v>05</x:v>
      </x:c>
      <x:c r="I3112" s="2" t="str">
        <x:v>반려</x:v>
      </x:c>
      <x:c r="J3112" s="2" t="str">
        <x:v>선택</x:v>
      </x:c>
      <x:c r="K3112" s="2" t="str">
        <x:f>IF(OR(J3112="심의승인",J3112="반려",J3112="반려완료",J3112="심의완료"),"종결 표시",IF(OR(J3112="기후부협의",J3112="문서재제출요청",J3112="보류",J3112="보완요청",J3112="보완완료",J3112="평가중",J3112="반려요청",J3112="평가필요",LEFT(J3112,5)="보완요청("),"미종결 표시","상태 확인 필요"))</x:f>
        <x:v>상태 확인 필요</x:v>
      </x:c>
      <x:c r="L3112" s="2"/>
      <x:c r="M3112" s="2"/>
      <x:c r="N3112" s="8" t="n">
        <x:f>DATE(2026,10,15)-DATE(2021,5,3)</x:f>
        <x:v>1991</x:v>
      </x:c>
      <x:c r="O3112" s="2"/>
      <x:c r="P3112" s="2"/>
      <x:c r="Q3112" s="2" t="str">
        <x:v>산업전환 외부사업 정보비공개 신청 관리 Tool_260707_LJY_261013.xlsx</x:v>
      </x:c>
      <x:c r="R3112" s="2" t="str">
        <x:v>(비공개)국내평가</x:v>
      </x:c>
      <x:c r="S3112" s="8" t="n">
        <x:v>20</x:v>
      </x:c>
      <x:c r="T3112" s="2"/>
      <x:c r="U3112" s="2" t="str"/>
      <x:c r="V3112" s="2" t="str">
        <x:v>2025-02-25</x:v>
      </x:c>
      <x:c r="W3112" s="2" t="str">
        <x:v>담당기관 확인 / 종결 여부 확인</x:v>
      </x:c>
      <x:c r="X3112" s="2" t="str">
        <x:v>원본·배정 기록 확인</x:v>
      </x:c>
      <x:c r="Y3112" s="2" t="str">
        <x:v>22df6d619b696c1eba8e26790f6382083d9fb1bc48481283e3e8a92ea6897677</x:v>
      </x:c>
      <x:c r="Z3112" s="2" t="n">
        <x:f>SUBTOTAL(103,A3112)</x:f>
        <x:v>1</x:v>
      </x:c>
      <x:c r="AA3112" s="2" t="str">
        <x:f>IF(K3112&lt;&gt;"미종결 표시","대상 아님",IF(N3112="","신청일 확인",IF(NOT(ISNUMBER('종합 현황'!$H$5)),"관찰기준 확인",IF('종합 현황'!$H$5&lt;1,"관찰기준 확인",IF(N3112&gt;'종합 현황'!$H$5,"내부 관찰 대상","내부 관찰일 이하")))))</x:f>
        <x:v>대상 아님</x:v>
      </x:c>
      <x:c r="AB3112" s="2"/>
    </x:row>
    <x:row r="3113" ht="42" customHeight="1">
      <x:c r="A3113" s="2" t="str">
        <x:v>1b861f8bf9ba06a9eed835bc</x:v>
      </x:c>
      <x:c r="B3113" s="2" t="str">
        <x:v>사업 비공개 신청</x:v>
      </x:c>
      <x:c r="C3113" s="2" t="str">
        <x:v>국내</x:v>
      </x:c>
      <x:c r="D3113" s="7" t="str">
        <x:v>서울시사회복지협의회 태양광발전설비 설치를 통한 프로그램 온실가스 배출 감축사업</x:v>
      </x:c>
      <x:c r="E3113" s="2" t="str">
        <x:v>19</x:v>
      </x:c>
      <x:c r="F3113" s="2" t="str">
        <x:v>2021-05-03</x:v>
      </x:c>
      <x:c r="G3113" s="2" t="str">
        <x:v>2021</x:v>
      </x:c>
      <x:c r="H3113" s="2" t="str">
        <x:v>05</x:v>
      </x:c>
      <x:c r="I3113" s="2" t="str">
        <x:v>반려</x:v>
      </x:c>
      <x:c r="J3113" s="2" t="str">
        <x:v>선택</x:v>
      </x:c>
      <x:c r="K3113" s="2" t="str">
        <x:f>IF(OR(J3113="심의승인",J3113="반려",J3113="반려완료",J3113="심의완료"),"종결 표시",IF(OR(J3113="기후부협의",J3113="문서재제출요청",J3113="보류",J3113="보완요청",J3113="보완완료",J3113="평가중",J3113="반려요청",J3113="평가필요",LEFT(J3113,5)="보완요청("),"미종결 표시","상태 확인 필요"))</x:f>
        <x:v>상태 확인 필요</x:v>
      </x:c>
      <x:c r="L3113" s="2"/>
      <x:c r="M3113" s="2"/>
      <x:c r="N3113" s="8" t="n">
        <x:f>DATE(2026,10,15)-DATE(2021,5,3)</x:f>
        <x:v>1991</x:v>
      </x:c>
      <x:c r="O3113" s="2"/>
      <x:c r="P3113" s="2"/>
      <x:c r="Q3113" s="2" t="str">
        <x:v>산업전환 외부사업 정보비공개 신청 관리 Tool_260707_LJY_261013.xlsx</x:v>
      </x:c>
      <x:c r="R3113" s="2" t="str">
        <x:v>(비공개)국내평가</x:v>
      </x:c>
      <x:c r="S3113" s="8" t="n">
        <x:v>21</x:v>
      </x:c>
      <x:c r="T3113" s="2"/>
      <x:c r="U3113" s="2" t="str"/>
      <x:c r="V3113" s="2" t="str">
        <x:v>2025-02-25</x:v>
      </x:c>
      <x:c r="W3113" s="2" t="str">
        <x:v>담당기관 확인 / 종결 여부 확인</x:v>
      </x:c>
      <x:c r="X3113" s="2" t="str">
        <x:v>원본·배정 기록 확인</x:v>
      </x:c>
      <x:c r="Y3113" s="2" t="str">
        <x:v>22df6d619b696c1eba8e26790f6382083d9fb1bc48481283e3e8a92ea6897677</x:v>
      </x:c>
      <x:c r="Z3113" s="2" t="n">
        <x:f>SUBTOTAL(103,A3113)</x:f>
        <x:v>1</x:v>
      </x:c>
      <x:c r="AA3113" s="2" t="str">
        <x:f>IF(K3113&lt;&gt;"미종결 표시","대상 아님",IF(N3113="","신청일 확인",IF(NOT(ISNUMBER('종합 현황'!$H$5)),"관찰기준 확인",IF('종합 현황'!$H$5&lt;1,"관찰기준 확인",IF(N3113&gt;'종합 현황'!$H$5,"내부 관찰 대상","내부 관찰일 이하")))))</x:f>
        <x:v>대상 아님</x:v>
      </x:c>
      <x:c r="AB3113" s="2"/>
    </x:row>
    <x:row r="3114" ht="42" customHeight="1">
      <x:c r="A3114" s="2" t="str">
        <x:v>a1f396326b91a504dda6cd35</x:v>
      </x:c>
      <x:c r="B3114" s="2" t="str">
        <x:v>사업 비공개 신청</x:v>
      </x:c>
      <x:c r="C3114" s="2" t="str">
        <x:v>국내</x:v>
      </x:c>
      <x:c r="D3114" s="7" t="str">
        <x:v>공동폐수처리장의 고효율 터보블로워 도입을 통한 온실가스 감축사업</x:v>
      </x:c>
      <x:c r="E3114" s="2" t="str">
        <x:v>20</x:v>
      </x:c>
      <x:c r="F3114" s="2" t="str">
        <x:v>2021-04-15</x:v>
      </x:c>
      <x:c r="G3114" s="2" t="str">
        <x:v>2021</x:v>
      </x:c>
      <x:c r="H3114" s="2" t="str">
        <x:v>04</x:v>
      </x:c>
      <x:c r="I3114" s="2" t="str">
        <x:v>반려</x:v>
      </x:c>
      <x:c r="J3114" s="2" t="str">
        <x:v>선택</x:v>
      </x:c>
      <x:c r="K3114" s="2" t="str">
        <x:f>IF(OR(J3114="심의승인",J3114="반려",J3114="반려완료",J3114="심의완료"),"종결 표시",IF(OR(J3114="기후부협의",J3114="문서재제출요청",J3114="보류",J3114="보완요청",J3114="보완완료",J3114="평가중",J3114="반려요청",J3114="평가필요",LEFT(J3114,5)="보완요청("),"미종결 표시","상태 확인 필요"))</x:f>
        <x:v>상태 확인 필요</x:v>
      </x:c>
      <x:c r="L3114" s="2"/>
      <x:c r="M3114" s="2"/>
      <x:c r="N3114" s="8" t="n">
        <x:f>DATE(2026,10,15)-DATE(2021,4,15)</x:f>
        <x:v>2009</x:v>
      </x:c>
      <x:c r="O3114" s="2"/>
      <x:c r="P3114" s="2"/>
      <x:c r="Q3114" s="2" t="str">
        <x:v>산업전환 외부사업 정보비공개 신청 관리 Tool_260707_LJY_261013.xlsx</x:v>
      </x:c>
      <x:c r="R3114" s="2" t="str">
        <x:v>(비공개)국내평가</x:v>
      </x:c>
      <x:c r="S3114" s="8" t="n">
        <x:v>22</x:v>
      </x:c>
      <x:c r="T3114" s="2"/>
      <x:c r="U3114" s="2" t="str"/>
      <x:c r="V3114" s="2" t="str">
        <x:v>2025-02-25</x:v>
      </x:c>
      <x:c r="W3114" s="2" t="str">
        <x:v>담당기관 확인 / 종결 여부 확인</x:v>
      </x:c>
      <x:c r="X3114" s="2" t="str">
        <x:v>원본·배정 기록 확인</x:v>
      </x:c>
      <x:c r="Y3114" s="2" t="str">
        <x:v>22df6d619b696c1eba8e26790f6382083d9fb1bc48481283e3e8a92ea6897677</x:v>
      </x:c>
      <x:c r="Z3114" s="2" t="n">
        <x:f>SUBTOTAL(103,A3114)</x:f>
        <x:v>1</x:v>
      </x:c>
      <x:c r="AA3114" s="2" t="str">
        <x:f>IF(K3114&lt;&gt;"미종결 표시","대상 아님",IF(N3114="","신청일 확인",IF(NOT(ISNUMBER('종합 현황'!$H$5)),"관찰기준 확인",IF('종합 현황'!$H$5&lt;1,"관찰기준 확인",IF(N3114&gt;'종합 현황'!$H$5,"내부 관찰 대상","내부 관찰일 이하")))))</x:f>
        <x:v>대상 아님</x:v>
      </x:c>
      <x:c r="AB3114" s="2"/>
    </x:row>
    <x:row r="3115" ht="42" customHeight="1">
      <x:c r="A3115" s="2" t="str">
        <x:v>e48a5ee1c948612531dbb7b8</x:v>
      </x:c>
      <x:c r="B3115" s="2" t="str">
        <x:v>사업 비공개 신청</x:v>
      </x:c>
      <x:c r="C3115" s="2" t="str">
        <x:v>국내</x:v>
      </x:c>
      <x:c r="D3115" s="7" t="str">
        <x:v>한미약품의 경유에서 LNG로 연료전환을 통한 온실가스 배출 감축사업</x:v>
      </x:c>
      <x:c r="E3115" s="2" t="str">
        <x:v>21</x:v>
      </x:c>
      <x:c r="F3115" s="2" t="str">
        <x:v>2021-02-04</x:v>
      </x:c>
      <x:c r="G3115" s="2" t="str">
        <x:v>2021</x:v>
      </x:c>
      <x:c r="H3115" s="2" t="str">
        <x:v>02</x:v>
      </x:c>
      <x:c r="I3115" s="2" t="str">
        <x:v>보완요청</x:v>
      </x:c>
      <x:c r="J3115" s="2" t="str">
        <x:v>보완요청</x:v>
      </x:c>
      <x:c r="K3115" s="2" t="str">
        <x:f>IF(OR(J3115="심의승인",J3115="반려",J3115="반려완료",J3115="심의완료"),"종결 표시",IF(OR(J3115="기후부협의",J3115="문서재제출요청",J3115="보류",J3115="보완요청",J3115="보완완료",J3115="평가중",J3115="반려요청",J3115="평가필요",LEFT(J3115,5)="보완요청("),"미종결 표시","상태 확인 필요"))</x:f>
        <x:v>미종결 표시</x:v>
      </x:c>
      <x:c r="L3115" s="2" t="str">
        <x:v>에코시안_정인혜</x:v>
      </x:c>
      <x:c r="M3115" s="2"/>
      <x:c r="N3115" s="8" t="n">
        <x:f>DATE(2026,10,15)-DATE(2021,2,4)</x:f>
        <x:v>2079</x:v>
      </x:c>
      <x:c r="O3115" s="2"/>
      <x:c r="P3115" s="2" t="str">
        <x:v>사업계획서 내 보안유지 필요부분 구체화 필요</x:v>
      </x:c>
      <x:c r="Q3115" s="2" t="str">
        <x:v>산업전환 외부사업 정보비공개 신청 관리 Tool_260707_LJY_261013.xlsx</x:v>
      </x:c>
      <x:c r="R3115" s="2" t="str">
        <x:v>(비공개)국내평가</x:v>
      </x:c>
      <x:c r="S3115" s="8" t="n">
        <x:v>23</x:v>
      </x:c>
      <x:c r="T3115" s="2"/>
      <x:c r="U3115" s="2" t="str"/>
      <x:c r="V3115" s="2" t="str">
        <x:v>2022-06-02</x:v>
      </x:c>
      <x:c r="W3115" s="2" t="str"/>
      <x:c r="X3115" s="2" t="str">
        <x:v>보완 회신 일정 확인</x:v>
      </x:c>
      <x:c r="Y3115" s="2" t="str">
        <x:v>22df6d619b696c1eba8e26790f6382083d9fb1bc48481283e3e8a92ea6897677</x:v>
      </x:c>
      <x:c r="Z3115" s="2" t="n">
        <x:f>SUBTOTAL(103,A3115)</x:f>
        <x:v>1</x:v>
      </x:c>
      <x:c r="AA3115" s="2" t="str">
        <x:f>IF(K3115&lt;&gt;"미종결 표시","대상 아님",IF(N3115="","신청일 확인",IF(NOT(ISNUMBER('종합 현황'!$H$5)),"관찰기준 확인",IF('종합 현황'!$H$5&lt;1,"관찰기준 확인",IF(N3115&gt;'종합 현황'!$H$5,"내부 관찰 대상","내부 관찰일 이하")))))</x:f>
        <x:v>내부 관찰 대상</x:v>
      </x:c>
      <x:c r="AB3115" s="2"/>
    </x:row>
    <x:row r="3116" ht="42" customHeight="1">
      <x:c r="A3116" s="2" t="str">
        <x:v>99e41ae36cfa3b4fc20bc6d5</x:v>
      </x:c>
      <x:c r="B3116" s="2" t="str">
        <x:v>사업 비공개 신청</x:v>
      </x:c>
      <x:c r="C3116" s="2" t="str">
        <x:v>국내</x:v>
      </x:c>
      <x:c r="D3116" s="7" t="str">
        <x:v>검상산업단지 스팀생산 노후 LNG보일러 교체사업</x:v>
      </x:c>
      <x:c r="E3116" s="2" t="str">
        <x:v>22</x:v>
      </x:c>
      <x:c r="F3116" s="2" t="str">
        <x:v>2020-12-21</x:v>
      </x:c>
      <x:c r="G3116" s="2" t="str">
        <x:v>2020</x:v>
      </x:c>
      <x:c r="H3116" s="2" t="str">
        <x:v>12</x:v>
      </x:c>
      <x:c r="I3116" s="2" t="str">
        <x:v>반려</x:v>
      </x:c>
      <x:c r="J3116" s="2" t="str">
        <x:v>선택</x:v>
      </x:c>
      <x:c r="K3116" s="2" t="str">
        <x:f>IF(OR(J3116="심의승인",J3116="반려",J3116="반려완료",J3116="심의완료"),"종결 표시",IF(OR(J3116="기후부협의",J3116="문서재제출요청",J3116="보류",J3116="보완요청",J3116="보완완료",J3116="평가중",J3116="반려요청",J3116="평가필요",LEFT(J3116,5)="보완요청("),"미종결 표시","상태 확인 필요"))</x:f>
        <x:v>상태 확인 필요</x:v>
      </x:c>
      <x:c r="L3116" s="2"/>
      <x:c r="M3116" s="2"/>
      <x:c r="N3116" s="8" t="n">
        <x:f>DATE(2026,10,15)-DATE(2020,12,21)</x:f>
        <x:v>2124</x:v>
      </x:c>
      <x:c r="O3116" s="2"/>
      <x:c r="P3116" s="2"/>
      <x:c r="Q3116" s="2" t="str">
        <x:v>산업전환 외부사업 정보비공개 신청 관리 Tool_260707_LJY_261013.xlsx</x:v>
      </x:c>
      <x:c r="R3116" s="2" t="str">
        <x:v>(비공개)국내평가</x:v>
      </x:c>
      <x:c r="S3116" s="8" t="n">
        <x:v>24</x:v>
      </x:c>
      <x:c r="T3116" s="2"/>
      <x:c r="U3116" s="2" t="str"/>
      <x:c r="V3116" s="2" t="str">
        <x:v>2025-02-25</x:v>
      </x:c>
      <x:c r="W3116" s="2" t="str">
        <x:v>담당기관 확인 / 종결 여부 확인</x:v>
      </x:c>
      <x:c r="X3116" s="2" t="str">
        <x:v>원본·배정 기록 확인</x:v>
      </x:c>
      <x:c r="Y3116" s="2" t="str">
        <x:v>22df6d619b696c1eba8e26790f6382083d9fb1bc48481283e3e8a92ea6897677</x:v>
      </x:c>
      <x:c r="Z3116" s="2" t="n">
        <x:f>SUBTOTAL(103,A3116)</x:f>
        <x:v>1</x:v>
      </x:c>
      <x:c r="AA3116" s="2" t="str">
        <x:f>IF(K3116&lt;&gt;"미종결 표시","대상 아님",IF(N3116="","신청일 확인",IF(NOT(ISNUMBER('종합 현황'!$H$5)),"관찰기준 확인",IF('종합 현황'!$H$5&lt;1,"관찰기준 확인",IF(N3116&gt;'종합 현황'!$H$5,"내부 관찰 대상","내부 관찰일 이하")))))</x:f>
        <x:v>대상 아님</x:v>
      </x:c>
      <x:c r="AB3116" s="2"/>
    </x:row>
    <x:row r="3117" ht="42" customHeight="1">
      <x:c r="A3117" s="2" t="str">
        <x:v>796b4c34363528f10d9c8782</x:v>
      </x:c>
      <x:c r="B3117" s="2" t="str">
        <x:v>사업 비공개 신청</x:v>
      </x:c>
      <x:c r="C3117" s="2" t="str">
        <x:v>국내</x:v>
      </x:c>
      <x:c r="D3117" s="7" t="str">
        <x:v>태형기업(주) 양주사업장의 B-C유에서 도시가스(LNG)로 연료전환을 통한 온실가스(CO2) 배출 감축사업</x:v>
      </x:c>
      <x:c r="E3117" s="2" t="str">
        <x:v>23</x:v>
      </x:c>
      <x:c r="F3117" s="2" t="str">
        <x:v>2020-10-27</x:v>
      </x:c>
      <x:c r="G3117" s="2" t="str">
        <x:v>2020</x:v>
      </x:c>
      <x:c r="H3117" s="2" t="str">
        <x:v>10</x:v>
      </x:c>
      <x:c r="I3117" s="2" t="str">
        <x:v>보완요청</x:v>
      </x:c>
      <x:c r="J3117" s="2" t="str">
        <x:v>보완요청</x:v>
      </x:c>
      <x:c r="K3117" s="2" t="str">
        <x:f>IF(OR(J3117="심의승인",J3117="반려",J3117="반려완료",J3117="심의완료"),"종결 표시",IF(OR(J3117="기후부협의",J3117="문서재제출요청",J3117="보류",J3117="보완요청",J3117="보완완료",J3117="평가중",J3117="반려요청",J3117="평가필요",LEFT(J3117,5)="보완요청("),"미종결 표시","상태 확인 필요"))</x:f>
        <x:v>미종결 표시</x:v>
      </x:c>
      <x:c r="L3117" s="2" t="str">
        <x:v>에코시안_정인혜</x:v>
      </x:c>
      <x:c r="M3117" s="2"/>
      <x:c r="N3117" s="8" t="n">
        <x:f>DATE(2026,10,15)-DATE(2020,10,27)</x:f>
        <x:v>2179</x:v>
      </x:c>
      <x:c r="O3117" s="2"/>
      <x:c r="P3117" s="2" t="str">
        <x:v>사업계획서 내 보안유지 필요부분 구체화 필요</x:v>
      </x:c>
      <x:c r="Q3117" s="2" t="str">
        <x:v>산업전환 외부사업 정보비공개 신청 관리 Tool_260707_LJY_261013.xlsx</x:v>
      </x:c>
      <x:c r="R3117" s="2" t="str">
        <x:v>(비공개)국내평가</x:v>
      </x:c>
      <x:c r="S3117" s="8" t="n">
        <x:v>25</x:v>
      </x:c>
      <x:c r="T3117" s="2"/>
      <x:c r="U3117" s="2" t="str"/>
      <x:c r="V3117" s="2" t="str">
        <x:v>2022-06-02</x:v>
      </x:c>
      <x:c r="W3117" s="2" t="str"/>
      <x:c r="X3117" s="2" t="str">
        <x:v>보완 회신 일정 확인</x:v>
      </x:c>
      <x:c r="Y3117" s="2" t="str">
        <x:v>22df6d619b696c1eba8e26790f6382083d9fb1bc48481283e3e8a92ea6897677</x:v>
      </x:c>
      <x:c r="Z3117" s="2" t="n">
        <x:f>SUBTOTAL(103,A3117)</x:f>
        <x:v>1</x:v>
      </x:c>
      <x:c r="AA3117" s="2" t="str">
        <x:f>IF(K3117&lt;&gt;"미종결 표시","대상 아님",IF(N3117="","신청일 확인",IF(NOT(ISNUMBER('종합 현황'!$H$5)),"관찰기준 확인",IF('종합 현황'!$H$5&lt;1,"관찰기준 확인",IF(N3117&gt;'종합 현황'!$H$5,"내부 관찰 대상","내부 관찰일 이하")))))</x:f>
        <x:v>내부 관찰 대상</x:v>
      </x:c>
      <x:c r="AB3117" s="2"/>
    </x:row>
    <x:row r="3118" ht="42" customHeight="1">
      <x:c r="A3118" s="2" t="str">
        <x:v>be3c81acaf40061ab485374f</x:v>
      </x:c>
      <x:c r="B3118" s="2" t="str">
        <x:v>사업 비공개 신청</x:v>
      </x:c>
      <x:c r="C3118" s="2" t="str">
        <x:v>국내</x:v>
      </x:c>
      <x:c r="D3118" s="7" t="str">
        <x:v>(주)선일로에스의 B-A유에서 LNG로 연료전환을 통한 온실가스 배출 감축사업</x:v>
      </x:c>
      <x:c r="E3118" s="2" t="str">
        <x:v>24</x:v>
      </x:c>
      <x:c r="F3118" s="2" t="str">
        <x:v>2020-10-05</x:v>
      </x:c>
      <x:c r="G3118" s="2" t="str">
        <x:v>2020</x:v>
      </x:c>
      <x:c r="H3118" s="2" t="str">
        <x:v>10</x:v>
      </x:c>
      <x:c r="I3118" s="2" t="str">
        <x:v>보완요청</x:v>
      </x:c>
      <x:c r="J3118" s="2" t="str">
        <x:v>보완요청</x:v>
      </x:c>
      <x:c r="K3118" s="2" t="str">
        <x:f>IF(OR(J3118="심의승인",J3118="반려",J3118="반려완료",J3118="심의완료"),"종결 표시",IF(OR(J3118="기후부협의",J3118="문서재제출요청",J3118="보류",J3118="보완요청",J3118="보완완료",J3118="평가중",J3118="반려요청",J3118="평가필요",LEFT(J3118,5)="보완요청("),"미종결 표시","상태 확인 필요"))</x:f>
        <x:v>미종결 표시</x:v>
      </x:c>
      <x:c r="L3118" s="2" t="str">
        <x:v>에코시안_정인혜</x:v>
      </x:c>
      <x:c r="M3118" s="2"/>
      <x:c r="N3118" s="8" t="n">
        <x:f>DATE(2026,10,15)-DATE(2020,10,5)</x:f>
        <x:v>2201</x:v>
      </x:c>
      <x:c r="O3118" s="2"/>
      <x:c r="P3118" s="2" t="str">
        <x:v>사업계획서 내 보안유지 필요부분 구체화 필요</x:v>
      </x:c>
      <x:c r="Q3118" s="2" t="str">
        <x:v>산업전환 외부사업 정보비공개 신청 관리 Tool_260707_LJY_261013.xlsx</x:v>
      </x:c>
      <x:c r="R3118" s="2" t="str">
        <x:v>(비공개)국내평가</x:v>
      </x:c>
      <x:c r="S3118" s="8" t="n">
        <x:v>26</x:v>
      </x:c>
      <x:c r="T3118" s="2"/>
      <x:c r="U3118" s="2" t="str"/>
      <x:c r="V3118" s="2" t="str">
        <x:v>2022-06-02</x:v>
      </x:c>
      <x:c r="W3118" s="2" t="str"/>
      <x:c r="X3118" s="2" t="str">
        <x:v>보완 회신 일정 확인</x:v>
      </x:c>
      <x:c r="Y3118" s="2" t="str">
        <x:v>22df6d619b696c1eba8e26790f6382083d9fb1bc48481283e3e8a92ea6897677</x:v>
      </x:c>
      <x:c r="Z3118" s="2" t="n">
        <x:f>SUBTOTAL(103,A3118)</x:f>
        <x:v>1</x:v>
      </x:c>
      <x:c r="AA3118" s="2" t="str">
        <x:f>IF(K3118&lt;&gt;"미종결 표시","대상 아님",IF(N3118="","신청일 확인",IF(NOT(ISNUMBER('종합 현황'!$H$5)),"관찰기준 확인",IF('종합 현황'!$H$5&lt;1,"관찰기준 확인",IF(N3118&gt;'종합 현황'!$H$5,"내부 관찰 대상","내부 관찰일 이하")))))</x:f>
        <x:v>내부 관찰 대상</x:v>
      </x:c>
      <x:c r="AB3118" s="2"/>
    </x:row>
    <x:row r="3119" ht="42" customHeight="1">
      <x:c r="A3119" s="2" t="str">
        <x:v>3f5b74adc328d1db74abedaf</x:v>
      </x:c>
      <x:c r="B3119" s="2" t="str">
        <x:v>사업 비공개 신청</x:v>
      </x:c>
      <x:c r="C3119" s="2" t="str">
        <x:v>국내</x:v>
      </x:c>
      <x:c r="D3119" s="7" t="str">
        <x:v>(주)덕산의 신재 및 재생 드라이어의 B-C유에서 도시가스(LNG)로 연료전환을 통한 온실가스 배출 감축사업</x:v>
      </x:c>
      <x:c r="E3119" s="2" t="str">
        <x:v>25</x:v>
      </x:c>
      <x:c r="F3119" s="2" t="str">
        <x:v>2020-09-29</x:v>
      </x:c>
      <x:c r="G3119" s="2" t="str">
        <x:v>2020</x:v>
      </x:c>
      <x:c r="H3119" s="2" t="str">
        <x:v>09</x:v>
      </x:c>
      <x:c r="I3119" s="2" t="str">
        <x:v>보완요청</x:v>
      </x:c>
      <x:c r="J3119" s="2" t="str">
        <x:v>선택</x:v>
      </x:c>
      <x:c r="K3119" s="2" t="str">
        <x:f>IF(OR(J3119="심의승인",J3119="반려",J3119="반려완료",J3119="심의완료"),"종결 표시",IF(OR(J3119="기후부협의",J3119="문서재제출요청",J3119="보류",J3119="보완요청",J3119="보완완료",J3119="평가중",J3119="반려요청",J3119="평가필요",LEFT(J3119,5)="보완요청("),"미종결 표시","상태 확인 필요"))</x:f>
        <x:v>상태 확인 필요</x:v>
      </x:c>
      <x:c r="L3119" s="2" t="str">
        <x:v>에코시안_박세은</x:v>
      </x:c>
      <x:c r="M3119" s="2"/>
      <x:c r="N3119" s="8" t="n">
        <x:f>DATE(2026,10,15)-DATE(2020,9,29)</x:f>
        <x:v>2207</x:v>
      </x:c>
      <x:c r="O3119" s="2"/>
      <x:c r="P3119" s="2" t="str">
        <x:v>사업계획서 내 보안유지 필요부분 구체화 필요 / 이력이 반려이므로 사업반려에 포함됨</x:v>
      </x:c>
      <x:c r="Q3119" s="2" t="str">
        <x:v>산업전환 외부사업 정보비공개 신청 관리 Tool_260707_LJY_261013.xlsx</x:v>
      </x:c>
      <x:c r="R3119" s="2" t="str">
        <x:v>(비공개)국내평가</x:v>
      </x:c>
      <x:c r="S3119" s="8" t="n">
        <x:v>27</x:v>
      </x:c>
      <x:c r="T3119" s="2"/>
      <x:c r="U3119" s="2" t="str"/>
      <x:c r="V3119" s="2" t="str">
        <x:v>2022-06-02</x:v>
      </x:c>
      <x:c r="W3119" s="2" t="str">
        <x:v>종결 여부 확인</x:v>
      </x:c>
      <x:c r="X3119" s="2" t="str">
        <x:v>원본·배정 기록 확인</x:v>
      </x:c>
      <x:c r="Y3119" s="2" t="str">
        <x:v>22df6d619b696c1eba8e26790f6382083d9fb1bc48481283e3e8a92ea6897677</x:v>
      </x:c>
      <x:c r="Z3119" s="2" t="n">
        <x:f>SUBTOTAL(103,A3119)</x:f>
        <x:v>1</x:v>
      </x:c>
      <x:c r="AA3119" s="2" t="str">
        <x:f>IF(K3119&lt;&gt;"미종결 표시","대상 아님",IF(N3119="","신청일 확인",IF(NOT(ISNUMBER('종합 현황'!$H$5)),"관찰기준 확인",IF('종합 현황'!$H$5&lt;1,"관찰기준 확인",IF(N3119&gt;'종합 현황'!$H$5,"내부 관찰 대상","내부 관찰일 이하")))))</x:f>
        <x:v>대상 아님</x:v>
      </x:c>
      <x:c r="AB3119" s="2"/>
    </x:row>
    <x:row r="3120" ht="42" customHeight="1">
      <x:c r="A3120" s="2" t="str">
        <x:v>3f99475d04dc93d8019c51db</x:v>
      </x:c>
      <x:c r="B3120" s="2" t="str">
        <x:v>사업 비공개 신청</x:v>
      </x:c>
      <x:c r="C3120" s="2" t="str">
        <x:v>국내</x:v>
      </x:c>
      <x:c r="D3120" s="7" t="str">
        <x:v>에스오엠의 정제유에서 도시가스(LNG)로 연료전환을 통한 온실가스 배출 감축사업</x:v>
      </x:c>
      <x:c r="E3120" s="2" t="str">
        <x:v>26</x:v>
      </x:c>
      <x:c r="F3120" s="2" t="str">
        <x:v>2020-09-21</x:v>
      </x:c>
      <x:c r="G3120" s="2" t="str">
        <x:v>2020</x:v>
      </x:c>
      <x:c r="H3120" s="2" t="str">
        <x:v>09</x:v>
      </x:c>
      <x:c r="I3120" s="2" t="str">
        <x:v>보완요청</x:v>
      </x:c>
      <x:c r="J3120" s="2" t="str">
        <x:v>보완요청</x:v>
      </x:c>
      <x:c r="K3120" s="2" t="str">
        <x:f>IF(OR(J3120="심의승인",J3120="반려",J3120="반려완료",J3120="심의완료"),"종결 표시",IF(OR(J3120="기후부협의",J3120="문서재제출요청",J3120="보류",J3120="보완요청",J3120="보완완료",J3120="평가중",J3120="반려요청",J3120="평가필요",LEFT(J3120,5)="보완요청("),"미종결 표시","상태 확인 필요"))</x:f>
        <x:v>미종결 표시</x:v>
      </x:c>
      <x:c r="L3120" s="2" t="str">
        <x:v>에코시안_박세은</x:v>
      </x:c>
      <x:c r="M3120" s="2"/>
      <x:c r="N3120" s="8" t="n">
        <x:f>DATE(2026,10,15)-DATE(2020,9,21)</x:f>
        <x:v>2215</x:v>
      </x:c>
      <x:c r="O3120" s="2"/>
      <x:c r="P3120" s="2" t="str">
        <x:v>사업계획서 내 보안유지 필요부분 구체화 필요</x:v>
      </x:c>
      <x:c r="Q3120" s="2" t="str">
        <x:v>산업전환 외부사업 정보비공개 신청 관리 Tool_260707_LJY_261013.xlsx</x:v>
      </x:c>
      <x:c r="R3120" s="2" t="str">
        <x:v>(비공개)국내평가</x:v>
      </x:c>
      <x:c r="S3120" s="8" t="n">
        <x:v>28</x:v>
      </x:c>
      <x:c r="T3120" s="2"/>
      <x:c r="U3120" s="2" t="str"/>
      <x:c r="V3120" s="2" t="str">
        <x:v>2022-06-02</x:v>
      </x:c>
      <x:c r="W3120" s="2" t="str"/>
      <x:c r="X3120" s="2" t="str">
        <x:v>보완 회신 일정 확인</x:v>
      </x:c>
      <x:c r="Y3120" s="2" t="str">
        <x:v>22df6d619b696c1eba8e26790f6382083d9fb1bc48481283e3e8a92ea6897677</x:v>
      </x:c>
      <x:c r="Z3120" s="2" t="n">
        <x:f>SUBTOTAL(103,A3120)</x:f>
        <x:v>1</x:v>
      </x:c>
      <x:c r="AA3120" s="2" t="str">
        <x:f>IF(K3120&lt;&gt;"미종결 표시","대상 아님",IF(N3120="","신청일 확인",IF(NOT(ISNUMBER('종합 현황'!$H$5)),"관찰기준 확인",IF('종합 현황'!$H$5&lt;1,"관찰기준 확인",IF(N3120&gt;'종합 현황'!$H$5,"내부 관찰 대상","내부 관찰일 이하")))))</x:f>
        <x:v>내부 관찰 대상</x:v>
      </x:c>
      <x:c r="AB3120" s="2"/>
    </x:row>
    <x:row r="3121" ht="42" customHeight="1">
      <x:c r="A3121" s="2" t="str">
        <x:v>9336c0a419f45d2d7ad94e35</x:v>
      </x:c>
      <x:c r="B3121" s="2" t="str">
        <x:v>사업 비공개 신청</x:v>
      </x:c>
      <x:c r="C3121" s="2" t="str">
        <x:v>국내</x:v>
      </x:c>
      <x:c r="D3121" s="7" t="str">
        <x:v>구미시 LED 가로등 교체를 통한 전력사용량 절감 및 온실가스 감축사업</x:v>
      </x:c>
      <x:c r="E3121" s="2" t="str">
        <x:v>27</x:v>
      </x:c>
      <x:c r="F3121" s="2" t="str">
        <x:v>2020-09-09</x:v>
      </x:c>
      <x:c r="G3121" s="2" t="str">
        <x:v>2020</x:v>
      </x:c>
      <x:c r="H3121" s="2" t="str">
        <x:v>09</x:v>
      </x:c>
      <x:c r="I3121" s="2" t="str">
        <x:v>반려</x:v>
      </x:c>
      <x:c r="J3121" s="2" t="str">
        <x:v>선택</x:v>
      </x:c>
      <x:c r="K3121" s="2" t="str">
        <x:f>IF(OR(J3121="심의승인",J3121="반려",J3121="반려완료",J3121="심의완료"),"종결 표시",IF(OR(J3121="기후부협의",J3121="문서재제출요청",J3121="보류",J3121="보완요청",J3121="보완완료",J3121="평가중",J3121="반려요청",J3121="평가필요",LEFT(J3121,5)="보완요청("),"미종결 표시","상태 확인 필요"))</x:f>
        <x:v>상태 확인 필요</x:v>
      </x:c>
      <x:c r="L3121" s="2"/>
      <x:c r="M3121" s="2"/>
      <x:c r="N3121" s="8" t="n">
        <x:f>DATE(2026,10,15)-DATE(2020,9,9)</x:f>
        <x:v>2227</x:v>
      </x:c>
      <x:c r="O3121" s="2"/>
      <x:c r="P3121" s="2"/>
      <x:c r="Q3121" s="2" t="str">
        <x:v>산업전환 외부사업 정보비공개 신청 관리 Tool_260707_LJY_261013.xlsx</x:v>
      </x:c>
      <x:c r="R3121" s="2" t="str">
        <x:v>(비공개)국내평가</x:v>
      </x:c>
      <x:c r="S3121" s="8" t="n">
        <x:v>29</x:v>
      </x:c>
      <x:c r="T3121" s="2"/>
      <x:c r="U3121" s="2" t="str"/>
      <x:c r="V3121" s="2" t="str">
        <x:v>2025-02-25</x:v>
      </x:c>
      <x:c r="W3121" s="2" t="str">
        <x:v>담당기관 확인 / 종결 여부 확인</x:v>
      </x:c>
      <x:c r="X3121" s="2" t="str">
        <x:v>원본·배정 기록 확인</x:v>
      </x:c>
      <x:c r="Y3121" s="2" t="str">
        <x:v>22df6d619b696c1eba8e26790f6382083d9fb1bc48481283e3e8a92ea6897677</x:v>
      </x:c>
      <x:c r="Z3121" s="2" t="n">
        <x:f>SUBTOTAL(103,A3121)</x:f>
        <x:v>1</x:v>
      </x:c>
      <x:c r="AA3121" s="2" t="str">
        <x:f>IF(K3121&lt;&gt;"미종결 표시","대상 아님",IF(N3121="","신청일 확인",IF(NOT(ISNUMBER('종합 현황'!$H$5)),"관찰기준 확인",IF('종합 현황'!$H$5&lt;1,"관찰기준 확인",IF(N3121&gt;'종합 현황'!$H$5,"내부 관찰 대상","내부 관찰일 이하")))))</x:f>
        <x:v>대상 아님</x:v>
      </x:c>
      <x:c r="AB3121" s="2"/>
    </x:row>
    <x:row r="3122" ht="42" customHeight="1">
      <x:c r="A3122" s="2" t="str">
        <x:v>2846045197371b7cb4e87036</x:v>
      </x:c>
      <x:c r="B3122" s="2" t="str">
        <x:v>사업 비공개 신청</x:v>
      </x:c>
      <x:c r="C3122" s="2" t="str">
        <x:v>국내</x:v>
      </x:c>
      <x:c r="D3122" s="7" t="str">
        <x:v>부천수지의 B-C유에서 도시가스(LNG)로 연료전환을 통한 온실가스 배출 감축사업</x:v>
      </x:c>
      <x:c r="E3122" s="2" t="str">
        <x:v>28</x:v>
      </x:c>
      <x:c r="F3122" s="2" t="str">
        <x:v>2020-07-06</x:v>
      </x:c>
      <x:c r="G3122" s="2" t="str">
        <x:v>2020</x:v>
      </x:c>
      <x:c r="H3122" s="2" t="str">
        <x:v>07</x:v>
      </x:c>
      <x:c r="I3122" s="2" t="str">
        <x:v>보완요청</x:v>
      </x:c>
      <x:c r="J3122" s="2" t="str">
        <x:v>보완요청</x:v>
      </x:c>
      <x:c r="K3122" s="2" t="str">
        <x:f>IF(OR(J3122="심의승인",J3122="반려",J3122="반려완료",J3122="심의완료"),"종결 표시",IF(OR(J3122="기후부협의",J3122="문서재제출요청",J3122="보류",J3122="보완요청",J3122="보완완료",J3122="평가중",J3122="반려요청",J3122="평가필요",LEFT(J3122,5)="보완요청("),"미종결 표시","상태 확인 필요"))</x:f>
        <x:v>미종결 표시</x:v>
      </x:c>
      <x:c r="L3122" s="2" t="str">
        <x:v>에코시안_박세은</x:v>
      </x:c>
      <x:c r="M3122" s="2"/>
      <x:c r="N3122" s="8" t="n">
        <x:f>DATE(2026,10,15)-DATE(2020,7,6)</x:f>
        <x:v>2292</x:v>
      </x:c>
      <x:c r="O3122" s="2"/>
      <x:c r="P3122" s="2" t="str">
        <x:v>사업계획서 내 보안유지 필요부분 구체화 필요</x:v>
      </x:c>
      <x:c r="Q3122" s="2" t="str">
        <x:v>산업전환 외부사업 정보비공개 신청 관리 Tool_260707_LJY_261013.xlsx</x:v>
      </x:c>
      <x:c r="R3122" s="2" t="str">
        <x:v>(비공개)국내평가</x:v>
      </x:c>
      <x:c r="S3122" s="8" t="n">
        <x:v>30</x:v>
      </x:c>
      <x:c r="T3122" s="2"/>
      <x:c r="U3122" s="2" t="str"/>
      <x:c r="V3122" s="2" t="str">
        <x:v>2022-06-02</x:v>
      </x:c>
      <x:c r="W3122" s="2" t="str"/>
      <x:c r="X3122" s="2" t="str">
        <x:v>보완 회신 일정 확인</x:v>
      </x:c>
      <x:c r="Y3122" s="2" t="str">
        <x:v>22df6d619b696c1eba8e26790f6382083d9fb1bc48481283e3e8a92ea6897677</x:v>
      </x:c>
      <x:c r="Z3122" s="2" t="n">
        <x:f>SUBTOTAL(103,A3122)</x:f>
        <x:v>1</x:v>
      </x:c>
      <x:c r="AA3122" s="2" t="str">
        <x:f>IF(K3122&lt;&gt;"미종결 표시","대상 아님",IF(N3122="","신청일 확인",IF(NOT(ISNUMBER('종합 현황'!$H$5)),"관찰기준 확인",IF('종합 현황'!$H$5&lt;1,"관찰기준 확인",IF(N3122&gt;'종합 현황'!$H$5,"내부 관찰 대상","내부 관찰일 이하")))))</x:f>
        <x:v>내부 관찰 대상</x:v>
      </x:c>
      <x:c r="AB3122" s="2"/>
    </x:row>
    <x:row r="3123" ht="42" customHeight="1">
      <x:c r="A3123" s="2" t="str">
        <x:v>0f243acc7832d68810c671ab</x:v>
      </x:c>
      <x:c r="B3123" s="2" t="str">
        <x:v>사업 비공개 신청</x:v>
      </x:c>
      <x:c r="C3123" s="2" t="str">
        <x:v>국내</x:v>
      </x:c>
      <x:c r="D3123" s="7" t="str">
        <x:v>서울금속공업의 정제유에서 LNG로 연료전환을 통한 온실가스 배출 감축사업</x:v>
      </x:c>
      <x:c r="E3123" s="2" t="str">
        <x:v>29</x:v>
      </x:c>
      <x:c r="F3123" s="2" t="str">
        <x:v>2020-06-24</x:v>
      </x:c>
      <x:c r="G3123" s="2" t="str">
        <x:v>2020</x:v>
      </x:c>
      <x:c r="H3123" s="2" t="str">
        <x:v>06</x:v>
      </x:c>
      <x:c r="I3123" s="2" t="str">
        <x:v>보완요청</x:v>
      </x:c>
      <x:c r="J3123" s="2" t="str">
        <x:v>보완요청</x:v>
      </x:c>
      <x:c r="K3123" s="2" t="str">
        <x:f>IF(OR(J3123="심의승인",J3123="반려",J3123="반려완료",J3123="심의완료"),"종결 표시",IF(OR(J3123="기후부협의",J3123="문서재제출요청",J3123="보류",J3123="보완요청",J3123="보완완료",J3123="평가중",J3123="반려요청",J3123="평가필요",LEFT(J3123,5)="보완요청("),"미종결 표시","상태 확인 필요"))</x:f>
        <x:v>미종결 표시</x:v>
      </x:c>
      <x:c r="L3123" s="2" t="str">
        <x:v>미정</x:v>
      </x:c>
      <x:c r="M3123" s="2"/>
      <x:c r="N3123" s="8" t="n">
        <x:f>DATE(2026,10,15)-DATE(2020,6,24)</x:f>
        <x:v>2304</x:v>
      </x:c>
      <x:c r="O3123" s="2"/>
      <x:c r="P3123" s="2" t="str">
        <x:v>기 승인 사업, 사업변경신청 후 변경신청이 반려되었으나, 승인된 사업의 정보비공개 평가 필요 / 사업 반려가 아니라 변경신청 반려임</x:v>
      </x:c>
      <x:c r="Q3123" s="2" t="str">
        <x:v>산업전환 외부사업 정보비공개 신청 관리 Tool_260707_LJY_261013.xlsx</x:v>
      </x:c>
      <x:c r="R3123" s="2" t="str">
        <x:v>(비공개)국내평가</x:v>
      </x:c>
      <x:c r="S3123" s="8" t="n">
        <x:v>31</x:v>
      </x:c>
      <x:c r="T3123" s="2"/>
      <x:c r="U3123" s="2" t="str"/>
      <x:c r="V3123" s="2" t="str">
        <x:v>2026-02-06</x:v>
      </x:c>
      <x:c r="W3123" s="2" t="str">
        <x:v>담당기관 확인</x:v>
      </x:c>
      <x:c r="X3123" s="2" t="str">
        <x:v>원본·배정 기록 확인</x:v>
      </x:c>
      <x:c r="Y3123" s="2" t="str">
        <x:v>22df6d619b696c1eba8e26790f6382083d9fb1bc48481283e3e8a92ea6897677</x:v>
      </x:c>
      <x:c r="Z3123" s="2" t="n">
        <x:f>SUBTOTAL(103,A3123)</x:f>
        <x:v>1</x:v>
      </x:c>
      <x:c r="AA3123" s="2" t="str">
        <x:f>IF(K3123&lt;&gt;"미종결 표시","대상 아님",IF(N3123="","신청일 확인",IF(NOT(ISNUMBER('종합 현황'!$H$5)),"관찰기준 확인",IF('종합 현황'!$H$5&lt;1,"관찰기준 확인",IF(N3123&gt;'종합 현황'!$H$5,"내부 관찰 대상","내부 관찰일 이하")))))</x:f>
        <x:v>내부 관찰 대상</x:v>
      </x:c>
      <x:c r="AB3123" s="2"/>
    </x:row>
    <x:row r="3124" ht="42" customHeight="1">
      <x:c r="A3124" s="2" t="str">
        <x:v>182c5a899e951ac47d362693</x:v>
      </x:c>
      <x:c r="B3124" s="2" t="str">
        <x:v>사업 비공개 신청</x:v>
      </x:c>
      <x:c r="C3124" s="2" t="str">
        <x:v>국내</x:v>
      </x:c>
      <x:c r="D3124" s="7" t="str">
        <x:v>우성세라믹스공업의 LPG에서 LNG로 연료전환을 통한 온실가스 배출 감축사업</x:v>
      </x:c>
      <x:c r="E3124" s="2" t="str">
        <x:v>30</x:v>
      </x:c>
      <x:c r="F3124" s="2" t="str">
        <x:v>2020-06-24</x:v>
      </x:c>
      <x:c r="G3124" s="2" t="str">
        <x:v>2020</x:v>
      </x:c>
      <x:c r="H3124" s="2" t="str">
        <x:v>06</x:v>
      </x:c>
      <x:c r="I3124" s="2" t="str">
        <x:v>보완요청</x:v>
      </x:c>
      <x:c r="J3124" s="2" t="str">
        <x:v>보완요청</x:v>
      </x:c>
      <x:c r="K3124" s="2" t="str">
        <x:f>IF(OR(J3124="심의승인",J3124="반려",J3124="반려완료",J3124="심의완료"),"종결 표시",IF(OR(J3124="기후부협의",J3124="문서재제출요청",J3124="보류",J3124="보완요청",J3124="보완완료",J3124="평가중",J3124="반려요청",J3124="평가필요",LEFT(J3124,5)="보완요청("),"미종결 표시","상태 확인 필요"))</x:f>
        <x:v>미종결 표시</x:v>
      </x:c>
      <x:c r="L3124" s="2" t="str">
        <x:v>에코시안_박세은</x:v>
      </x:c>
      <x:c r="M3124" s="2"/>
      <x:c r="N3124" s="8" t="n">
        <x:f>DATE(2026,10,15)-DATE(2020,6,24)</x:f>
        <x:v>2304</x:v>
      </x:c>
      <x:c r="O3124" s="2"/>
      <x:c r="P3124" s="2" t="str">
        <x:v>사업계획서 내 보안유지 필요부분 구체화 필요</x:v>
      </x:c>
      <x:c r="Q3124" s="2" t="str">
        <x:v>산업전환 외부사업 정보비공개 신청 관리 Tool_260707_LJY_261013.xlsx</x:v>
      </x:c>
      <x:c r="R3124" s="2" t="str">
        <x:v>(비공개)국내평가</x:v>
      </x:c>
      <x:c r="S3124" s="8" t="n">
        <x:v>32</x:v>
      </x:c>
      <x:c r="T3124" s="2"/>
      <x:c r="U3124" s="2" t="str"/>
      <x:c r="V3124" s="2" t="str">
        <x:v>2022-06-02</x:v>
      </x:c>
      <x:c r="W3124" s="2" t="str"/>
      <x:c r="X3124" s="2" t="str">
        <x:v>보완 회신 일정 확인</x:v>
      </x:c>
      <x:c r="Y3124" s="2" t="str">
        <x:v>22df6d619b696c1eba8e26790f6382083d9fb1bc48481283e3e8a92ea6897677</x:v>
      </x:c>
      <x:c r="Z3124" s="2" t="n">
        <x:f>SUBTOTAL(103,A3124)</x:f>
        <x:v>1</x:v>
      </x:c>
      <x:c r="AA3124" s="2" t="str">
        <x:f>IF(K3124&lt;&gt;"미종결 표시","대상 아님",IF(N3124="","신청일 확인",IF(NOT(ISNUMBER('종합 현황'!$H$5)),"관찰기준 확인",IF('종합 현황'!$H$5&lt;1,"관찰기준 확인",IF(N3124&gt;'종합 현황'!$H$5,"내부 관찰 대상","내부 관찰일 이하")))))</x:f>
        <x:v>내부 관찰 대상</x:v>
      </x:c>
      <x:c r="AB3124" s="2"/>
    </x:row>
    <x:row r="3125" ht="42" customHeight="1">
      <x:c r="A3125" s="2" t="str">
        <x:v>2d38cf68a5aaa8b16e17847c</x:v>
      </x:c>
      <x:c r="B3125" s="2" t="str">
        <x:v>사업 비공개 신청</x:v>
      </x:c>
      <x:c r="C3125" s="2" t="str">
        <x:v>국내</x:v>
      </x:c>
      <x:c r="D3125" s="7" t="str">
        <x:v>덕성 인천사업장의 B-A유 및 B-C유에서 LNG로 연료전환을 통한 온실가스 배출 감축사업</x:v>
      </x:c>
      <x:c r="E3125" s="2" t="str">
        <x:v>31</x:v>
      </x:c>
      <x:c r="F3125" s="2" t="str">
        <x:v>2020-04-27</x:v>
      </x:c>
      <x:c r="G3125" s="2" t="str">
        <x:v>2020</x:v>
      </x:c>
      <x:c r="H3125" s="2" t="str">
        <x:v>04</x:v>
      </x:c>
      <x:c r="I3125" s="2" t="str">
        <x:v>보완요청</x:v>
      </x:c>
      <x:c r="J3125" s="2" t="str">
        <x:v>보완요청</x:v>
      </x:c>
      <x:c r="K3125" s="2" t="str">
        <x:f>IF(OR(J3125="심의승인",J3125="반려",J3125="반려완료",J3125="심의완료"),"종결 표시",IF(OR(J3125="기후부협의",J3125="문서재제출요청",J3125="보류",J3125="보완요청",J3125="보완완료",J3125="평가중",J3125="반려요청",J3125="평가필요",LEFT(J3125,5)="보완요청("),"미종결 표시","상태 확인 필요"))</x:f>
        <x:v>미종결 표시</x:v>
      </x:c>
      <x:c r="L3125" s="2" t="str">
        <x:v>에코시안_박세은</x:v>
      </x:c>
      <x:c r="M3125" s="2"/>
      <x:c r="N3125" s="8" t="n">
        <x:f>DATE(2026,10,15)-DATE(2020,4,27)</x:f>
        <x:v>2362</x:v>
      </x:c>
      <x:c r="O3125" s="2"/>
      <x:c r="P3125" s="2" t="str">
        <x:v>사업계획서 내 보안유지 필요부분 구체화 필요</x:v>
      </x:c>
      <x:c r="Q3125" s="2" t="str">
        <x:v>산업전환 외부사업 정보비공개 신청 관리 Tool_260707_LJY_261013.xlsx</x:v>
      </x:c>
      <x:c r="R3125" s="2" t="str">
        <x:v>(비공개)국내평가</x:v>
      </x:c>
      <x:c r="S3125" s="8" t="n">
        <x:v>33</x:v>
      </x:c>
      <x:c r="T3125" s="2"/>
      <x:c r="U3125" s="2" t="str"/>
      <x:c r="V3125" s="2" t="str">
        <x:v>2022-06-02</x:v>
      </x:c>
      <x:c r="W3125" s="2" t="str"/>
      <x:c r="X3125" s="2" t="str">
        <x:v>보완 회신 일정 확인</x:v>
      </x:c>
      <x:c r="Y3125" s="2" t="str">
        <x:v>22df6d619b696c1eba8e26790f6382083d9fb1bc48481283e3e8a92ea6897677</x:v>
      </x:c>
      <x:c r="Z3125" s="2" t="n">
        <x:f>SUBTOTAL(103,A3125)</x:f>
        <x:v>1</x:v>
      </x:c>
      <x:c r="AA3125" s="2" t="str">
        <x:f>IF(K3125&lt;&gt;"미종결 표시","대상 아님",IF(N3125="","신청일 확인",IF(NOT(ISNUMBER('종합 현황'!$H$5)),"관찰기준 확인",IF('종합 현황'!$H$5&lt;1,"관찰기준 확인",IF(N3125&gt;'종합 현황'!$H$5,"내부 관찰 대상","내부 관찰일 이하")))))</x:f>
        <x:v>내부 관찰 대상</x:v>
      </x:c>
      <x:c r="AB3125" s="2"/>
    </x:row>
    <x:row r="3126" ht="42" customHeight="1">
      <x:c r="A3126" s="2" t="str">
        <x:v>fdcdc787b1c54be1a7cf8c00</x:v>
      </x:c>
      <x:c r="B3126" s="2" t="str">
        <x:v>사업 비공개 신청</x:v>
      </x:c>
      <x:c r="C3126" s="2" t="str">
        <x:v>국내</x:v>
      </x:c>
      <x:c r="D3126" s="7" t="str">
        <x:v>덕성 수원사업장의 B-A유에서 LNG로 연료전환을 통한 온실가스 배출 감축사업</x:v>
      </x:c>
      <x:c r="E3126" s="2" t="str">
        <x:v>32</x:v>
      </x:c>
      <x:c r="F3126" s="2" t="str">
        <x:v>2020-04-27</x:v>
      </x:c>
      <x:c r="G3126" s="2" t="str">
        <x:v>2020</x:v>
      </x:c>
      <x:c r="H3126" s="2" t="str">
        <x:v>04</x:v>
      </x:c>
      <x:c r="I3126" s="2" t="str">
        <x:v>보완요청</x:v>
      </x:c>
      <x:c r="J3126" s="2" t="str">
        <x:v>보완요청</x:v>
      </x:c>
      <x:c r="K3126" s="2" t="str">
        <x:f>IF(OR(J3126="심의승인",J3126="반려",J3126="반려완료",J3126="심의완료"),"종결 표시",IF(OR(J3126="기후부협의",J3126="문서재제출요청",J3126="보류",J3126="보완요청",J3126="보완완료",J3126="평가중",J3126="반려요청",J3126="평가필요",LEFT(J3126,5)="보완요청("),"미종결 표시","상태 확인 필요"))</x:f>
        <x:v>미종결 표시</x:v>
      </x:c>
      <x:c r="L3126" s="2" t="str">
        <x:v>에코시안_박세은</x:v>
      </x:c>
      <x:c r="M3126" s="2"/>
      <x:c r="N3126" s="8" t="n">
        <x:f>DATE(2026,10,15)-DATE(2020,4,27)</x:f>
        <x:v>2362</x:v>
      </x:c>
      <x:c r="O3126" s="2"/>
      <x:c r="P3126" s="2" t="str">
        <x:v>사업계획서 내 보안유지 필요부분 구체화 필요</x:v>
      </x:c>
      <x:c r="Q3126" s="2" t="str">
        <x:v>산업전환 외부사업 정보비공개 신청 관리 Tool_260707_LJY_261013.xlsx</x:v>
      </x:c>
      <x:c r="R3126" s="2" t="str">
        <x:v>(비공개)국내평가</x:v>
      </x:c>
      <x:c r="S3126" s="8" t="n">
        <x:v>34</x:v>
      </x:c>
      <x:c r="T3126" s="2"/>
      <x:c r="U3126" s="2" t="str"/>
      <x:c r="V3126" s="2" t="str">
        <x:v>2022-06-02</x:v>
      </x:c>
      <x:c r="W3126" s="2" t="str"/>
      <x:c r="X3126" s="2" t="str">
        <x:v>보완 회신 일정 확인</x:v>
      </x:c>
      <x:c r="Y3126" s="2" t="str">
        <x:v>22df6d619b696c1eba8e26790f6382083d9fb1bc48481283e3e8a92ea6897677</x:v>
      </x:c>
      <x:c r="Z3126" s="2" t="n">
        <x:f>SUBTOTAL(103,A3126)</x:f>
        <x:v>1</x:v>
      </x:c>
      <x:c r="AA3126" s="2" t="str">
        <x:f>IF(K3126&lt;&gt;"미종결 표시","대상 아님",IF(N3126="","신청일 확인",IF(NOT(ISNUMBER('종합 현황'!$H$5)),"관찰기준 확인",IF('종합 현황'!$H$5&lt;1,"관찰기준 확인",IF(N3126&gt;'종합 현황'!$H$5,"내부 관찰 대상","내부 관찰일 이하")))))</x:f>
        <x:v>내부 관찰 대상</x:v>
      </x:c>
      <x:c r="AB3126" s="2"/>
    </x:row>
    <x:row r="3127" ht="42" customHeight="1">
      <x:c r="A3127" s="2" t="str">
        <x:v>bc54bb1123f8b0366bbc3d27</x:v>
      </x:c>
      <x:c r="B3127" s="2" t="str">
        <x:v>사업 비공개 신청</x:v>
      </x:c>
      <x:c r="C3127" s="2" t="str">
        <x:v>국내</x:v>
      </x:c>
      <x:c r="D3127" s="7" t="str">
        <x:v>부옥물산의 B-C유에서 LNG로 연료전환을 통한 온실가스 배출 감축사업</x:v>
      </x:c>
      <x:c r="E3127" s="2" t="str">
        <x:v>33</x:v>
      </x:c>
      <x:c r="F3127" s="2" t="str">
        <x:v>2020-04-14</x:v>
      </x:c>
      <x:c r="G3127" s="2" t="str">
        <x:v>2020</x:v>
      </x:c>
      <x:c r="H3127" s="2" t="str">
        <x:v>04</x:v>
      </x:c>
      <x:c r="I3127" s="2" t="str">
        <x:v>보완요청</x:v>
      </x:c>
      <x:c r="J3127" s="2" t="str">
        <x:v>보완요청</x:v>
      </x:c>
      <x:c r="K3127" s="2" t="str">
        <x:f>IF(OR(J3127="심의승인",J3127="반려",J3127="반려완료",J3127="심의완료"),"종결 표시",IF(OR(J3127="기후부협의",J3127="문서재제출요청",J3127="보류",J3127="보완요청",J3127="보완완료",J3127="평가중",J3127="반려요청",J3127="평가필요",LEFT(J3127,5)="보완요청("),"미종결 표시","상태 확인 필요"))</x:f>
        <x:v>미종결 표시</x:v>
      </x:c>
      <x:c r="L3127" s="2" t="str">
        <x:v>에코시안_박세은</x:v>
      </x:c>
      <x:c r="M3127" s="2"/>
      <x:c r="N3127" s="8" t="n">
        <x:f>DATE(2026,10,15)-DATE(2020,4,14)</x:f>
        <x:v>2375</x:v>
      </x:c>
      <x:c r="O3127" s="2"/>
      <x:c r="P3127" s="2" t="str">
        <x:v>사업계획서 내 보안유지 필요부분 구체화 필요</x:v>
      </x:c>
      <x:c r="Q3127" s="2" t="str">
        <x:v>산업전환 외부사업 정보비공개 신청 관리 Tool_260707_LJY_261013.xlsx</x:v>
      </x:c>
      <x:c r="R3127" s="2" t="str">
        <x:v>(비공개)국내평가</x:v>
      </x:c>
      <x:c r="S3127" s="8" t="n">
        <x:v>35</x:v>
      </x:c>
      <x:c r="T3127" s="2"/>
      <x:c r="U3127" s="2" t="str"/>
      <x:c r="V3127" s="2" t="str">
        <x:v>2022-06-02</x:v>
      </x:c>
      <x:c r="W3127" s="2" t="str"/>
      <x:c r="X3127" s="2" t="str">
        <x:v>보완 회신 일정 확인</x:v>
      </x:c>
      <x:c r="Y3127" s="2" t="str">
        <x:v>22df6d619b696c1eba8e26790f6382083d9fb1bc48481283e3e8a92ea6897677</x:v>
      </x:c>
      <x:c r="Z3127" s="2" t="n">
        <x:f>SUBTOTAL(103,A3127)</x:f>
        <x:v>1</x:v>
      </x:c>
      <x:c r="AA3127" s="2" t="str">
        <x:f>IF(K3127&lt;&gt;"미종결 표시","대상 아님",IF(N3127="","신청일 확인",IF(NOT(ISNUMBER('종합 현황'!$H$5)),"관찰기준 확인",IF('종합 현황'!$H$5&lt;1,"관찰기준 확인",IF(N3127&gt;'종합 현황'!$H$5,"내부 관찰 대상","내부 관찰일 이하")))))</x:f>
        <x:v>내부 관찰 대상</x:v>
      </x:c>
      <x:c r="AB3127" s="2"/>
    </x:row>
    <x:row r="3128" ht="42" customHeight="1">
      <x:c r="A3128" s="2" t="str">
        <x:v>2a8d4d140a32d81eddd1dc8b</x:v>
      </x:c>
      <x:c r="B3128" s="2" t="str">
        <x:v>사업 비공개 신청</x:v>
      </x:c>
      <x:c r="C3128" s="2" t="str">
        <x:v>국내</x:v>
      </x:c>
      <x:c r="D3128" s="7" t="str">
        <x:v>삼승텍스타일의 LPG에서 LNG로 연료전환을 통한 온실가스 배출 감축사업</x:v>
      </x:c>
      <x:c r="E3128" s="2" t="str">
        <x:v>34</x:v>
      </x:c>
      <x:c r="F3128" s="2" t="str">
        <x:v>2020-03-06</x:v>
      </x:c>
      <x:c r="G3128" s="2" t="str">
        <x:v>2020</x:v>
      </x:c>
      <x:c r="H3128" s="2" t="str">
        <x:v>03</x:v>
      </x:c>
      <x:c r="I3128" s="2" t="str">
        <x:v>반려</x:v>
      </x:c>
      <x:c r="J3128" s="2" t="str">
        <x:v>선택</x:v>
      </x:c>
      <x:c r="K3128" s="2" t="str">
        <x:f>IF(OR(J3128="심의승인",J3128="반려",J3128="반려완료",J3128="심의완료"),"종결 표시",IF(OR(J3128="기후부협의",J3128="문서재제출요청",J3128="보류",J3128="보완요청",J3128="보완완료",J3128="평가중",J3128="반려요청",J3128="평가필요",LEFT(J3128,5)="보완요청("),"미종결 표시","상태 확인 필요"))</x:f>
        <x:v>상태 확인 필요</x:v>
      </x:c>
      <x:c r="L3128" s="2"/>
      <x:c r="M3128" s="2"/>
      <x:c r="N3128" s="8" t="n">
        <x:f>DATE(2026,10,15)-DATE(2020,3,6)</x:f>
        <x:v>2414</x:v>
      </x:c>
      <x:c r="O3128" s="2"/>
      <x:c r="P3128" s="2"/>
      <x:c r="Q3128" s="2" t="str">
        <x:v>산업전환 외부사업 정보비공개 신청 관리 Tool_260707_LJY_261013.xlsx</x:v>
      </x:c>
      <x:c r="R3128" s="2" t="str">
        <x:v>(비공개)국내평가</x:v>
      </x:c>
      <x:c r="S3128" s="8" t="n">
        <x:v>36</x:v>
      </x:c>
      <x:c r="T3128" s="2"/>
      <x:c r="U3128" s="2" t="str"/>
      <x:c r="V3128" s="2" t="str">
        <x:v>2025-02-25</x:v>
      </x:c>
      <x:c r="W3128" s="2" t="str">
        <x:v>담당기관 확인 / 종결 여부 확인</x:v>
      </x:c>
      <x:c r="X3128" s="2" t="str">
        <x:v>원본·배정 기록 확인</x:v>
      </x:c>
      <x:c r="Y3128" s="2" t="str">
        <x:v>22df6d619b696c1eba8e26790f6382083d9fb1bc48481283e3e8a92ea6897677</x:v>
      </x:c>
      <x:c r="Z3128" s="2" t="n">
        <x:f>SUBTOTAL(103,A3128)</x:f>
        <x:v>1</x:v>
      </x:c>
      <x:c r="AA3128" s="2" t="str">
        <x:f>IF(K3128&lt;&gt;"미종결 표시","대상 아님",IF(N3128="","신청일 확인",IF(NOT(ISNUMBER('종합 현황'!$H$5)),"관찰기준 확인",IF('종합 현황'!$H$5&lt;1,"관찰기준 확인",IF(N3128&gt;'종합 현황'!$H$5,"내부 관찰 대상","내부 관찰일 이하")))))</x:f>
        <x:v>대상 아님</x:v>
      </x:c>
      <x:c r="AB3128" s="2"/>
    </x:row>
    <x:row r="3129" ht="42" customHeight="1">
      <x:c r="A3129" s="2" t="str">
        <x:v>47023a09a9a6d76c1de9b80a</x:v>
      </x:c>
      <x:c r="B3129" s="2" t="str">
        <x:v>사업 비공개 신청</x:v>
      </x:c>
      <x:c r="C3129" s="2" t="str">
        <x:v>국내</x:v>
      </x:c>
      <x:c r="D3129" s="7" t="str">
        <x:v>휴켐스(주) 신설 6질산 공장에서 발생하는 아산화질소(N2O) 배출량 저감사업</x:v>
      </x:c>
      <x:c r="E3129" s="2" t="str">
        <x:v>35</x:v>
      </x:c>
      <x:c r="F3129" s="2" t="str">
        <x:v>2020-02-24</x:v>
      </x:c>
      <x:c r="G3129" s="2" t="str">
        <x:v>2020</x:v>
      </x:c>
      <x:c r="H3129" s="2" t="str">
        <x:v>02</x:v>
      </x:c>
      <x:c r="I3129" s="2" t="str">
        <x:v>반려</x:v>
      </x:c>
      <x:c r="J3129" s="2" t="str">
        <x:v>선택</x:v>
      </x:c>
      <x:c r="K3129" s="2" t="str">
        <x:f>IF(OR(J3129="심의승인",J3129="반려",J3129="반려완료",J3129="심의완료"),"종결 표시",IF(OR(J3129="기후부협의",J3129="문서재제출요청",J3129="보류",J3129="보완요청",J3129="보완완료",J3129="평가중",J3129="반려요청",J3129="평가필요",LEFT(J3129,5)="보완요청("),"미종결 표시","상태 확인 필요"))</x:f>
        <x:v>상태 확인 필요</x:v>
      </x:c>
      <x:c r="L3129" s="2"/>
      <x:c r="M3129" s="2"/>
      <x:c r="N3129" s="8" t="n">
        <x:f>DATE(2026,10,15)-DATE(2020,2,24)</x:f>
        <x:v>2425</x:v>
      </x:c>
      <x:c r="O3129" s="2"/>
      <x:c r="P3129" s="2"/>
      <x:c r="Q3129" s="2" t="str">
        <x:v>산업전환 외부사업 정보비공개 신청 관리 Tool_260707_LJY_261013.xlsx</x:v>
      </x:c>
      <x:c r="R3129" s="2" t="str">
        <x:v>(비공개)국내평가</x:v>
      </x:c>
      <x:c r="S3129" s="8" t="n">
        <x:v>37</x:v>
      </x:c>
      <x:c r="T3129" s="2"/>
      <x:c r="U3129" s="2" t="str"/>
      <x:c r="V3129" s="2" t="str">
        <x:v>2025-02-25</x:v>
      </x:c>
      <x:c r="W3129" s="2" t="str">
        <x:v>담당기관 확인 / 종결 여부 확인</x:v>
      </x:c>
      <x:c r="X3129" s="2" t="str">
        <x:v>원본·배정 기록 확인</x:v>
      </x:c>
      <x:c r="Y3129" s="2" t="str">
        <x:v>22df6d619b696c1eba8e26790f6382083d9fb1bc48481283e3e8a92ea6897677</x:v>
      </x:c>
      <x:c r="Z3129" s="2" t="n">
        <x:f>SUBTOTAL(103,A3129)</x:f>
        <x:v>1</x:v>
      </x:c>
      <x:c r="AA3129" s="2" t="str">
        <x:f>IF(K3129&lt;&gt;"미종결 표시","대상 아님",IF(N3129="","신청일 확인",IF(NOT(ISNUMBER('종합 현황'!$H$5)),"관찰기준 확인",IF('종합 현황'!$H$5&lt;1,"관찰기준 확인",IF(N3129&gt;'종합 현황'!$H$5,"내부 관찰 대상","내부 관찰일 이하")))))</x:f>
        <x:v>대상 아님</x:v>
      </x:c>
      <x:c r="AB3129" s="2"/>
    </x:row>
    <x:row r="3130" ht="42" customHeight="1">
      <x:c r="A3130" s="2" t="str">
        <x:v>09dcd7c71aa9aefdd7c2d8ef</x:v>
      </x:c>
      <x:c r="B3130" s="2" t="str">
        <x:v>사업 비공개 신청</x:v>
      </x:c>
      <x:c r="C3130" s="2" t="str">
        <x:v>국내</x:v>
      </x:c>
      <x:c r="D3130" s="7" t="str">
        <x:v>2019년 인천광역시 보안등 LED 교체 묶음 감축사업</x:v>
      </x:c>
      <x:c r="E3130" s="2" t="str">
        <x:v>36</x:v>
      </x:c>
      <x:c r="F3130" s="2" t="str">
        <x:v>2019-12-31</x:v>
      </x:c>
      <x:c r="G3130" s="2" t="str">
        <x:v>2019</x:v>
      </x:c>
      <x:c r="H3130" s="2" t="str">
        <x:v>12</x:v>
      </x:c>
      <x:c r="I3130" s="2" t="str">
        <x:v>보완요청</x:v>
      </x:c>
      <x:c r="J3130" s="2" t="str">
        <x:v>보완요청</x:v>
      </x:c>
      <x:c r="K3130" s="2" t="str">
        <x:f>IF(OR(J3130="심의승인",J3130="반려",J3130="반려완료",J3130="심의완료"),"종결 표시",IF(OR(J3130="기후부협의",J3130="문서재제출요청",J3130="보류",J3130="보완요청",J3130="보완완료",J3130="평가중",J3130="반려요청",J3130="평가필요",LEFT(J3130,5)="보완요청("),"미종결 표시","상태 확인 필요"))</x:f>
        <x:v>미종결 표시</x:v>
      </x:c>
      <x:c r="L3130" s="2" t="str">
        <x:v>미정</x:v>
      </x:c>
      <x:c r="M3130" s="2"/>
      <x:c r="N3130" s="8" t="n">
        <x:f>DATE(2026,10,15)-DATE(2019,12,31)</x:f>
        <x:v>2480</x:v>
      </x:c>
      <x:c r="O3130" s="2"/>
      <x:c r="P3130" s="2" t="str">
        <x:v>제출서류 미비로 보완 요청. 보완 요청 통보 문구 기재(공단 통보)</x:v>
      </x:c>
      <x:c r="Q3130" s="2" t="str">
        <x:v>산업전환 외부사업 정보비공개 신청 관리 Tool_260707_LJY_261013.xlsx</x:v>
      </x:c>
      <x:c r="R3130" s="2" t="str">
        <x:v>(비공개)국내평가</x:v>
      </x:c>
      <x:c r="S3130" s="8" t="n">
        <x:v>38</x:v>
      </x:c>
      <x:c r="T3130" s="2"/>
      <x:c r="U3130" s="2" t="str"/>
      <x:c r="V3130" s="2" t="str">
        <x:v>2025-01-09</x:v>
      </x:c>
      <x:c r="W3130" s="2" t="str">
        <x:v>담당기관 확인</x:v>
      </x:c>
      <x:c r="X3130" s="2" t="str">
        <x:v>원본·배정 기록 확인</x:v>
      </x:c>
      <x:c r="Y3130" s="2" t="str">
        <x:v>22df6d619b696c1eba8e26790f6382083d9fb1bc48481283e3e8a92ea6897677</x:v>
      </x:c>
      <x:c r="Z3130" s="2" t="n">
        <x:f>SUBTOTAL(103,A3130)</x:f>
        <x:v>1</x:v>
      </x:c>
      <x:c r="AA3130" s="2" t="str">
        <x:f>IF(K3130&lt;&gt;"미종결 표시","대상 아님",IF(N3130="","신청일 확인",IF(NOT(ISNUMBER('종합 현황'!$H$5)),"관찰기준 확인",IF('종합 현황'!$H$5&lt;1,"관찰기준 확인",IF(N3130&gt;'종합 현황'!$H$5,"내부 관찰 대상","내부 관찰일 이하")))))</x:f>
        <x:v>내부 관찰 대상</x:v>
      </x:c>
      <x:c r="AB3130" s="2"/>
    </x:row>
    <x:row r="3131" ht="42" customHeight="1">
      <x:c r="A3131" s="2" t="str">
        <x:v>1ac036aba0a1a0f6acb0683f</x:v>
      </x:c>
      <x:c r="B3131" s="2" t="str">
        <x:v>사업 비공개 신청</x:v>
      </x:c>
      <x:c r="C3131" s="2" t="str">
        <x:v>국내</x:v>
      </x:c>
      <x:c r="D3131" s="7" t="str">
        <x:v>2019년 인천광역시 도로조명 LED 교체 묶음 감축사업</x:v>
      </x:c>
      <x:c r="E3131" s="2" t="str">
        <x:v>37</x:v>
      </x:c>
      <x:c r="F3131" s="2" t="str">
        <x:v>2019-12-31</x:v>
      </x:c>
      <x:c r="G3131" s="2" t="str">
        <x:v>2019</x:v>
      </x:c>
      <x:c r="H3131" s="2" t="str">
        <x:v>12</x:v>
      </x:c>
      <x:c r="I3131" s="2" t="str">
        <x:v>보완요청</x:v>
      </x:c>
      <x:c r="J3131" s="2" t="str">
        <x:v>보완요청</x:v>
      </x:c>
      <x:c r="K3131" s="2" t="str">
        <x:f>IF(OR(J3131="심의승인",J3131="반려",J3131="반려완료",J3131="심의완료"),"종결 표시",IF(OR(J3131="기후부협의",J3131="문서재제출요청",J3131="보류",J3131="보완요청",J3131="보완완료",J3131="평가중",J3131="반려요청",J3131="평가필요",LEFT(J3131,5)="보완요청("),"미종결 표시","상태 확인 필요"))</x:f>
        <x:v>미종결 표시</x:v>
      </x:c>
      <x:c r="L3131" s="2" t="str">
        <x:v>미정</x:v>
      </x:c>
      <x:c r="M3131" s="2"/>
      <x:c r="N3131" s="8" t="n">
        <x:f>DATE(2026,10,15)-DATE(2019,12,31)</x:f>
        <x:v>2480</x:v>
      </x:c>
      <x:c r="O3131" s="2"/>
      <x:c r="P3131" s="2" t="str">
        <x:v>제출서류 미비로 보완 요청. 보완 요청 통보 문구 기재(공단 통보)</x:v>
      </x:c>
      <x:c r="Q3131" s="2" t="str">
        <x:v>산업전환 외부사업 정보비공개 신청 관리 Tool_260707_LJY_261013.xlsx</x:v>
      </x:c>
      <x:c r="R3131" s="2" t="str">
        <x:v>(비공개)국내평가</x:v>
      </x:c>
      <x:c r="S3131" s="8" t="n">
        <x:v>39</x:v>
      </x:c>
      <x:c r="T3131" s="2"/>
      <x:c r="U3131" s="2" t="str"/>
      <x:c r="V3131" s="2" t="str">
        <x:v>2025-01-09</x:v>
      </x:c>
      <x:c r="W3131" s="2" t="str">
        <x:v>담당기관 확인</x:v>
      </x:c>
      <x:c r="X3131" s="2" t="str">
        <x:v>원본·배정 기록 확인</x:v>
      </x:c>
      <x:c r="Y3131" s="2" t="str">
        <x:v>22df6d619b696c1eba8e26790f6382083d9fb1bc48481283e3e8a92ea6897677</x:v>
      </x:c>
      <x:c r="Z3131" s="2" t="n">
        <x:f>SUBTOTAL(103,A3131)</x:f>
        <x:v>1</x:v>
      </x:c>
      <x:c r="AA3131" s="2" t="str">
        <x:f>IF(K3131&lt;&gt;"미종결 표시","대상 아님",IF(N3131="","신청일 확인",IF(NOT(ISNUMBER('종합 현황'!$H$5)),"관찰기준 확인",IF('종합 현황'!$H$5&lt;1,"관찰기준 확인",IF(N3131&gt;'종합 현황'!$H$5,"내부 관찰 대상","내부 관찰일 이하")))))</x:f>
        <x:v>내부 관찰 대상</x:v>
      </x:c>
      <x:c r="AB3131" s="2"/>
    </x:row>
    <x:row r="3132" ht="42" customHeight="1">
      <x:c r="A3132" s="2" t="str">
        <x:v>6e675b90fcb50e806eed1880</x:v>
      </x:c>
      <x:c r="B3132" s="2" t="str">
        <x:v>사업 비공개 신청</x:v>
      </x:c>
      <x:c r="C3132" s="2" t="str">
        <x:v>국내</x:v>
      </x:c>
      <x:c r="D3132" s="7" t="str">
        <x:v>인천광역시 주택 태양광 발전설비 보급 프로그램 감축사업</x:v>
      </x:c>
      <x:c r="E3132" s="2" t="str">
        <x:v>38</x:v>
      </x:c>
      <x:c r="F3132" s="2" t="str">
        <x:v>2019-12-31</x:v>
      </x:c>
      <x:c r="G3132" s="2" t="str">
        <x:v>2019</x:v>
      </x:c>
      <x:c r="H3132" s="2" t="str">
        <x:v>12</x:v>
      </x:c>
      <x:c r="I3132" s="2" t="str">
        <x:v>반려</x:v>
      </x:c>
      <x:c r="J3132" s="2" t="str">
        <x:v>선택</x:v>
      </x:c>
      <x:c r="K3132" s="2" t="str">
        <x:f>IF(OR(J3132="심의승인",J3132="반려",J3132="반려완료",J3132="심의완료"),"종결 표시",IF(OR(J3132="기후부협의",J3132="문서재제출요청",J3132="보류",J3132="보완요청",J3132="보완완료",J3132="평가중",J3132="반려요청",J3132="평가필요",LEFT(J3132,5)="보완요청("),"미종결 표시","상태 확인 필요"))</x:f>
        <x:v>상태 확인 필요</x:v>
      </x:c>
      <x:c r="L3132" s="2"/>
      <x:c r="M3132" s="2"/>
      <x:c r="N3132" s="8" t="n">
        <x:f>DATE(2026,10,15)-DATE(2019,12,31)</x:f>
        <x:v>2480</x:v>
      </x:c>
      <x:c r="O3132" s="2"/>
      <x:c r="P3132" s="2"/>
      <x:c r="Q3132" s="2" t="str">
        <x:v>산업전환 외부사업 정보비공개 신청 관리 Tool_260707_LJY_261013.xlsx</x:v>
      </x:c>
      <x:c r="R3132" s="2" t="str">
        <x:v>(비공개)국내평가</x:v>
      </x:c>
      <x:c r="S3132" s="8" t="n">
        <x:v>40</x:v>
      </x:c>
      <x:c r="T3132" s="2"/>
      <x:c r="U3132" s="2" t="str"/>
      <x:c r="V3132" s="2" t="str">
        <x:v>2025-02-25</x:v>
      </x:c>
      <x:c r="W3132" s="2" t="str">
        <x:v>담당기관 확인 / 종결 여부 확인</x:v>
      </x:c>
      <x:c r="X3132" s="2" t="str">
        <x:v>원본·배정 기록 확인</x:v>
      </x:c>
      <x:c r="Y3132" s="2" t="str">
        <x:v>22df6d619b696c1eba8e26790f6382083d9fb1bc48481283e3e8a92ea6897677</x:v>
      </x:c>
      <x:c r="Z3132" s="2" t="n">
        <x:f>SUBTOTAL(103,A3132)</x:f>
        <x:v>1</x:v>
      </x:c>
      <x:c r="AA3132" s="2" t="str">
        <x:f>IF(K3132&lt;&gt;"미종결 표시","대상 아님",IF(N3132="","신청일 확인",IF(NOT(ISNUMBER('종합 현황'!$H$5)),"관찰기준 확인",IF('종합 현황'!$H$5&lt;1,"관찰기준 확인",IF(N3132&gt;'종합 현황'!$H$5,"내부 관찰 대상","내부 관찰일 이하")))))</x:f>
        <x:v>대상 아님</x:v>
      </x:c>
      <x:c r="AB3132" s="2"/>
    </x:row>
    <x:row r="3133" ht="42" customHeight="1">
      <x:c r="A3133" s="2" t="str">
        <x:v>6228c6c9571f88fb9c404bdc</x:v>
      </x:c>
      <x:c r="B3133" s="2" t="str">
        <x:v>사업 비공개 신청</x:v>
      </x:c>
      <x:c r="C3133" s="2" t="str">
        <x:v>국내</x:v>
      </x:c>
      <x:c r="D3133" s="7" t="str">
        <x:v>롯데케미칼㈜ 공정폐열의 ㈜스마트에너지팩토리 공정스팀 활용사업</x:v>
      </x:c>
      <x:c r="E3133" s="2" t="str">
        <x:v>39</x:v>
      </x:c>
      <x:c r="F3133" s="2" t="str">
        <x:v>2019-12-25</x:v>
      </x:c>
      <x:c r="G3133" s="2" t="str">
        <x:v>2019</x:v>
      </x:c>
      <x:c r="H3133" s="2" t="str">
        <x:v>12</x:v>
      </x:c>
      <x:c r="I3133" s="2" t="str">
        <x:v>반려</x:v>
      </x:c>
      <x:c r="J3133" s="2" t="str">
        <x:v>선택</x:v>
      </x:c>
      <x:c r="K3133" s="2" t="str">
        <x:f>IF(OR(J3133="심의승인",J3133="반려",J3133="반려완료",J3133="심의완료"),"종결 표시",IF(OR(J3133="기후부협의",J3133="문서재제출요청",J3133="보류",J3133="보완요청",J3133="보완완료",J3133="평가중",J3133="반려요청",J3133="평가필요",LEFT(J3133,5)="보완요청("),"미종결 표시","상태 확인 필요"))</x:f>
        <x:v>상태 확인 필요</x:v>
      </x:c>
      <x:c r="L3133" s="2"/>
      <x:c r="M3133" s="2"/>
      <x:c r="N3133" s="8" t="n">
        <x:f>DATE(2026,10,15)-DATE(2019,12,25)</x:f>
        <x:v>2486</x:v>
      </x:c>
      <x:c r="O3133" s="2"/>
      <x:c r="P3133" s="2"/>
      <x:c r="Q3133" s="2" t="str">
        <x:v>산업전환 외부사업 정보비공개 신청 관리 Tool_260707_LJY_261013.xlsx</x:v>
      </x:c>
      <x:c r="R3133" s="2" t="str">
        <x:v>(비공개)국내평가</x:v>
      </x:c>
      <x:c r="S3133" s="8" t="n">
        <x:v>41</x:v>
      </x:c>
      <x:c r="T3133" s="2"/>
      <x:c r="U3133" s="2" t="str"/>
      <x:c r="V3133" s="2" t="str">
        <x:v>2025-02-25</x:v>
      </x:c>
      <x:c r="W3133" s="2" t="str">
        <x:v>담당기관 확인 / 종결 여부 확인</x:v>
      </x:c>
      <x:c r="X3133" s="2" t="str">
        <x:v>원본·배정 기록 확인</x:v>
      </x:c>
      <x:c r="Y3133" s="2" t="str">
        <x:v>22df6d619b696c1eba8e26790f6382083d9fb1bc48481283e3e8a92ea6897677</x:v>
      </x:c>
      <x:c r="Z3133" s="2" t="n">
        <x:f>SUBTOTAL(103,A3133)</x:f>
        <x:v>1</x:v>
      </x:c>
      <x:c r="AA3133" s="2" t="str">
        <x:f>IF(K3133&lt;&gt;"미종결 표시","대상 아님",IF(N3133="","신청일 확인",IF(NOT(ISNUMBER('종합 현황'!$H$5)),"관찰기준 확인",IF('종합 현황'!$H$5&lt;1,"관찰기준 확인",IF(N3133&gt;'종합 현황'!$H$5,"내부 관찰 대상","내부 관찰일 이하")))))</x:f>
        <x:v>대상 아님</x:v>
      </x:c>
      <x:c r="AB3133" s="2"/>
    </x:row>
    <x:row r="3134" ht="42" customHeight="1">
      <x:c r="A3134" s="2" t="str">
        <x:v>f533f121ecf512938d45ca69</x:v>
      </x:c>
      <x:c r="B3134" s="2" t="str">
        <x:v>사업 비공개 신청</x:v>
      </x:c>
      <x:c r="C3134" s="2" t="str">
        <x:v>국내</x:v>
      </x:c>
      <x:c r="D3134" s="7" t="str">
        <x:v>(주)엘지화학 자가 소비용 태양광 발전설비의 설치 지원을 통한 프로그램 감축사업</x:v>
      </x:c>
      <x:c r="E3134" s="2" t="str">
        <x:v>40</x:v>
      </x:c>
      <x:c r="F3134" s="2" t="str">
        <x:v>2019-12-19</x:v>
      </x:c>
      <x:c r="G3134" s="2" t="str">
        <x:v>2019</x:v>
      </x:c>
      <x:c r="H3134" s="2" t="str">
        <x:v>12</x:v>
      </x:c>
      <x:c r="I3134" s="2" t="str">
        <x:v>보완요청</x:v>
      </x:c>
      <x:c r="J3134" s="2" t="str">
        <x:v>보완요청</x:v>
      </x:c>
      <x:c r="K3134" s="2" t="str">
        <x:f>IF(OR(J3134="심의승인",J3134="반려",J3134="반려완료",J3134="심의완료"),"종결 표시",IF(OR(J3134="기후부협의",J3134="문서재제출요청",J3134="보류",J3134="보완요청",J3134="보완완료",J3134="평가중",J3134="반려요청",J3134="평가필요",LEFT(J3134,5)="보완요청("),"미종결 표시","상태 확인 필요"))</x:f>
        <x:v>미종결 표시</x:v>
      </x:c>
      <x:c r="L3134" s="2" t="str">
        <x:v>에코시안_박세은</x:v>
      </x:c>
      <x:c r="M3134" s="2"/>
      <x:c r="N3134" s="8" t="n">
        <x:f>DATE(2026,10,15)-DATE(2019,12,19)</x:f>
        <x:v>2492</x:v>
      </x:c>
      <x:c r="O3134" s="2"/>
      <x:c r="P3134" s="2" t="str">
        <x:v>해당 사유로 승인 가능여부 확인 필요(사유: 생산 공정 등 외부 유출에 민감한 자료 포함)
* 생산공정 특이사항 확인 불가</x:v>
      </x:c>
      <x:c r="Q3134" s="2" t="str">
        <x:v>산업전환 외부사업 정보비공개 신청 관리 Tool_260707_LJY_261013.xlsx</x:v>
      </x:c>
      <x:c r="R3134" s="2" t="str">
        <x:v>(비공개)국내평가</x:v>
      </x:c>
      <x:c r="S3134" s="8" t="n">
        <x:v>42</x:v>
      </x:c>
      <x:c r="T3134" s="2"/>
      <x:c r="U3134" s="2" t="str"/>
      <x:c r="V3134" s="2" t="str">
        <x:v>2022-06-02</x:v>
      </x:c>
      <x:c r="W3134" s="2" t="str"/>
      <x:c r="X3134" s="2" t="str">
        <x:v>보완 회신 일정 확인</x:v>
      </x:c>
      <x:c r="Y3134" s="2" t="str">
        <x:v>22df6d619b696c1eba8e26790f6382083d9fb1bc48481283e3e8a92ea6897677</x:v>
      </x:c>
      <x:c r="Z3134" s="2" t="n">
        <x:f>SUBTOTAL(103,A3134)</x:f>
        <x:v>1</x:v>
      </x:c>
      <x:c r="AA3134" s="2" t="str">
        <x:f>IF(K3134&lt;&gt;"미종결 표시","대상 아님",IF(N3134="","신청일 확인",IF(NOT(ISNUMBER('종합 현황'!$H$5)),"관찰기준 확인",IF('종합 현황'!$H$5&lt;1,"관찰기준 확인",IF(N3134&gt;'종합 현황'!$H$5,"내부 관찰 대상","내부 관찰일 이하")))))</x:f>
        <x:v>내부 관찰 대상</x:v>
      </x:c>
      <x:c r="AB3134" s="2"/>
    </x:row>
    <x:row r="3135" ht="42" customHeight="1">
      <x:c r="A3135" s="2" t="str">
        <x:v>ce457eb25cc603749bb88d05</x:v>
      </x:c>
      <x:c r="B3135" s="2" t="str">
        <x:v>사업 비공개 신청</x:v>
      </x:c>
      <x:c r="C3135" s="2" t="str">
        <x:v>국내</x:v>
      </x:c>
      <x:c r="D3135" s="7" t="str">
        <x:v>고효율인덕션히터 도입을 통한 온실가스 감축 사업</x:v>
      </x:c>
      <x:c r="E3135" s="2" t="str">
        <x:v>41</x:v>
      </x:c>
      <x:c r="F3135" s="2" t="str">
        <x:v>2019-12-17</x:v>
      </x:c>
      <x:c r="G3135" s="2" t="str">
        <x:v>2019</x:v>
      </x:c>
      <x:c r="H3135" s="2" t="str">
        <x:v>12</x:v>
      </x:c>
      <x:c r="I3135" s="2" t="str">
        <x:v>반려</x:v>
      </x:c>
      <x:c r="J3135" s="2" t="str">
        <x:v>선택</x:v>
      </x:c>
      <x:c r="K3135" s="2" t="str">
        <x:f>IF(OR(J3135="심의승인",J3135="반려",J3135="반려완료",J3135="심의완료"),"종결 표시",IF(OR(J3135="기후부협의",J3135="문서재제출요청",J3135="보류",J3135="보완요청",J3135="보완완료",J3135="평가중",J3135="반려요청",J3135="평가필요",LEFT(J3135,5)="보완요청("),"미종결 표시","상태 확인 필요"))</x:f>
        <x:v>상태 확인 필요</x:v>
      </x:c>
      <x:c r="L3135" s="2"/>
      <x:c r="M3135" s="2"/>
      <x:c r="N3135" s="8" t="n">
        <x:f>DATE(2026,10,15)-DATE(2019,12,17)</x:f>
        <x:v>2494</x:v>
      </x:c>
      <x:c r="O3135" s="2"/>
      <x:c r="P3135" s="2"/>
      <x:c r="Q3135" s="2" t="str">
        <x:v>산업전환 외부사업 정보비공개 신청 관리 Tool_260707_LJY_261013.xlsx</x:v>
      </x:c>
      <x:c r="R3135" s="2" t="str">
        <x:v>(비공개)국내평가</x:v>
      </x:c>
      <x:c r="S3135" s="8" t="n">
        <x:v>43</x:v>
      </x:c>
      <x:c r="T3135" s="2"/>
      <x:c r="U3135" s="2" t="str"/>
      <x:c r="V3135" s="2" t="str">
        <x:v>2025-02-25</x:v>
      </x:c>
      <x:c r="W3135" s="2" t="str">
        <x:v>담당기관 확인 / 종결 여부 확인</x:v>
      </x:c>
      <x:c r="X3135" s="2" t="str">
        <x:v>원본·배정 기록 확인</x:v>
      </x:c>
      <x:c r="Y3135" s="2" t="str">
        <x:v>22df6d619b696c1eba8e26790f6382083d9fb1bc48481283e3e8a92ea6897677</x:v>
      </x:c>
      <x:c r="Z3135" s="2" t="n">
        <x:f>SUBTOTAL(103,A3135)</x:f>
        <x:v>1</x:v>
      </x:c>
      <x:c r="AA3135" s="2" t="str">
        <x:f>IF(K3135&lt;&gt;"미종결 표시","대상 아님",IF(N3135="","신청일 확인",IF(NOT(ISNUMBER('종합 현황'!$H$5)),"관찰기준 확인",IF('종합 현황'!$H$5&lt;1,"관찰기준 확인",IF(N3135&gt;'종합 현황'!$H$5,"내부 관찰 대상","내부 관찰일 이하")))))</x:f>
        <x:v>대상 아님</x:v>
      </x:c>
      <x:c r="AB3135" s="2"/>
    </x:row>
    <x:row r="3136" ht="42" customHeight="1">
      <x:c r="A3136" s="2" t="str">
        <x:v>070b3bc0111b39aebaf28142</x:v>
      </x:c>
      <x:c r="B3136" s="2" t="str">
        <x:v>사업 비공개 신청</x:v>
      </x:c>
      <x:c r="C3136" s="2" t="str">
        <x:v>국내</x:v>
      </x:c>
      <x:c r="D3136" s="7" t="str">
        <x:v>고효율인덕션히터 도입을 통한 온실가스 감축 사업</x:v>
      </x:c>
      <x:c r="E3136" s="2" t="str">
        <x:v>42</x:v>
      </x:c>
      <x:c r="F3136" s="2" t="str">
        <x:v>2019-12-17</x:v>
      </x:c>
      <x:c r="G3136" s="2" t="str">
        <x:v>2019</x:v>
      </x:c>
      <x:c r="H3136" s="2" t="str">
        <x:v>12</x:v>
      </x:c>
      <x:c r="I3136" s="2" t="str">
        <x:v>반려</x:v>
      </x:c>
      <x:c r="J3136" s="2" t="str">
        <x:v>선택</x:v>
      </x:c>
      <x:c r="K3136" s="2" t="str">
        <x:f>IF(OR(J3136="심의승인",J3136="반려",J3136="반려완료",J3136="심의완료"),"종결 표시",IF(OR(J3136="기후부협의",J3136="문서재제출요청",J3136="보류",J3136="보완요청",J3136="보완완료",J3136="평가중",J3136="반려요청",J3136="평가필요",LEFT(J3136,5)="보완요청("),"미종결 표시","상태 확인 필요"))</x:f>
        <x:v>상태 확인 필요</x:v>
      </x:c>
      <x:c r="L3136" s="2"/>
      <x:c r="M3136" s="2"/>
      <x:c r="N3136" s="8" t="n">
        <x:f>DATE(2026,10,15)-DATE(2019,12,17)</x:f>
        <x:v>2494</x:v>
      </x:c>
      <x:c r="O3136" s="2"/>
      <x:c r="P3136" s="2"/>
      <x:c r="Q3136" s="2" t="str">
        <x:v>산업전환 외부사업 정보비공개 신청 관리 Tool_260707_LJY_261013.xlsx</x:v>
      </x:c>
      <x:c r="R3136" s="2" t="str">
        <x:v>(비공개)국내평가</x:v>
      </x:c>
      <x:c r="S3136" s="8" t="n">
        <x:v>44</x:v>
      </x:c>
      <x:c r="T3136" s="2"/>
      <x:c r="U3136" s="2" t="str"/>
      <x:c r="V3136" s="2" t="str">
        <x:v>2025-02-25</x:v>
      </x:c>
      <x:c r="W3136" s="2" t="str">
        <x:v>담당기관 확인 / 종결 여부 확인</x:v>
      </x:c>
      <x:c r="X3136" s="2" t="str">
        <x:v>원본·배정 기록 확인</x:v>
      </x:c>
      <x:c r="Y3136" s="2" t="str">
        <x:v>22df6d619b696c1eba8e26790f6382083d9fb1bc48481283e3e8a92ea6897677</x:v>
      </x:c>
      <x:c r="Z3136" s="2" t="n">
        <x:f>SUBTOTAL(103,A3136)</x:f>
        <x:v>1</x:v>
      </x:c>
      <x:c r="AA3136" s="2" t="str">
        <x:f>IF(K3136&lt;&gt;"미종결 표시","대상 아님",IF(N3136="","신청일 확인",IF(NOT(ISNUMBER('종합 현황'!$H$5)),"관찰기준 확인",IF('종합 현황'!$H$5&lt;1,"관찰기준 확인",IF(N3136&gt;'종합 현황'!$H$5,"내부 관찰 대상","내부 관찰일 이하")))))</x:f>
        <x:v>대상 아님</x:v>
      </x:c>
      <x:c r="AB3136" s="2"/>
    </x:row>
    <x:row r="3137" ht="42" customHeight="1">
      <x:c r="A3137" s="2" t="str">
        <x:v>427089a2636e5c94ad00527c</x:v>
      </x:c>
      <x:c r="B3137" s="2" t="str">
        <x:v>사업 비공개 신청</x:v>
      </x:c>
      <x:c r="C3137" s="2" t="str">
        <x:v>국내</x:v>
      </x:c>
      <x:c r="D3137" s="7" t="str">
        <x:v>고효율인덕션히터 도입을 통한 온실가스 감축 사업</x:v>
      </x:c>
      <x:c r="E3137" s="2" t="str">
        <x:v>43</x:v>
      </x:c>
      <x:c r="F3137" s="2" t="str">
        <x:v>2019-12-17</x:v>
      </x:c>
      <x:c r="G3137" s="2" t="str">
        <x:v>2019</x:v>
      </x:c>
      <x:c r="H3137" s="2" t="str">
        <x:v>12</x:v>
      </x:c>
      <x:c r="I3137" s="2" t="str">
        <x:v>반려</x:v>
      </x:c>
      <x:c r="J3137" s="2" t="str">
        <x:v>선택</x:v>
      </x:c>
      <x:c r="K3137" s="2" t="str">
        <x:f>IF(OR(J3137="심의승인",J3137="반려",J3137="반려완료",J3137="심의완료"),"종결 표시",IF(OR(J3137="기후부협의",J3137="문서재제출요청",J3137="보류",J3137="보완요청",J3137="보완완료",J3137="평가중",J3137="반려요청",J3137="평가필요",LEFT(J3137,5)="보완요청("),"미종결 표시","상태 확인 필요"))</x:f>
        <x:v>상태 확인 필요</x:v>
      </x:c>
      <x:c r="L3137" s="2"/>
      <x:c r="M3137" s="2"/>
      <x:c r="N3137" s="8" t="n">
        <x:f>DATE(2026,10,15)-DATE(2019,12,17)</x:f>
        <x:v>2494</x:v>
      </x:c>
      <x:c r="O3137" s="2"/>
      <x:c r="P3137" s="2"/>
      <x:c r="Q3137" s="2" t="str">
        <x:v>산업전환 외부사업 정보비공개 신청 관리 Tool_260707_LJY_261013.xlsx</x:v>
      </x:c>
      <x:c r="R3137" s="2" t="str">
        <x:v>(비공개)국내평가</x:v>
      </x:c>
      <x:c r="S3137" s="8" t="n">
        <x:v>45</x:v>
      </x:c>
      <x:c r="T3137" s="2"/>
      <x:c r="U3137" s="2" t="str"/>
      <x:c r="V3137" s="2" t="str">
        <x:v>2025-02-25</x:v>
      </x:c>
      <x:c r="W3137" s="2" t="str">
        <x:v>담당기관 확인 / 종결 여부 확인</x:v>
      </x:c>
      <x:c r="X3137" s="2" t="str">
        <x:v>원본·배정 기록 확인</x:v>
      </x:c>
      <x:c r="Y3137" s="2" t="str">
        <x:v>22df6d619b696c1eba8e26790f6382083d9fb1bc48481283e3e8a92ea6897677</x:v>
      </x:c>
      <x:c r="Z3137" s="2" t="n">
        <x:f>SUBTOTAL(103,A3137)</x:f>
        <x:v>1</x:v>
      </x:c>
      <x:c r="AA3137" s="2" t="str">
        <x:f>IF(K3137&lt;&gt;"미종결 표시","대상 아님",IF(N3137="","신청일 확인",IF(NOT(ISNUMBER('종합 현황'!$H$5)),"관찰기준 확인",IF('종합 현황'!$H$5&lt;1,"관찰기준 확인",IF(N3137&gt;'종합 현황'!$H$5,"내부 관찰 대상","내부 관찰일 이하")))))</x:f>
        <x:v>대상 아님</x:v>
      </x:c>
      <x:c r="AB3137" s="2"/>
    </x:row>
    <x:row r="3138" ht="42" customHeight="1">
      <x:c r="A3138" s="2" t="str">
        <x:v>7f903f3ef2ddf26b62988487</x:v>
      </x:c>
      <x:c r="B3138" s="2" t="str">
        <x:v>사업 비공개 신청</x:v>
      </x:c>
      <x:c r="C3138" s="2" t="str">
        <x:v>국내</x:v>
      </x:c>
      <x:c r="D3138" s="7" t="str">
        <x:v>고효율인덕션히터 도입을 통한 온실가스 감축 사업</x:v>
      </x:c>
      <x:c r="E3138" s="2" t="str">
        <x:v>44</x:v>
      </x:c>
      <x:c r="F3138" s="2" t="str">
        <x:v>2019-12-17</x:v>
      </x:c>
      <x:c r="G3138" s="2" t="str">
        <x:v>2019</x:v>
      </x:c>
      <x:c r="H3138" s="2" t="str">
        <x:v>12</x:v>
      </x:c>
      <x:c r="I3138" s="2" t="str">
        <x:v>반려</x:v>
      </x:c>
      <x:c r="J3138" s="2" t="str">
        <x:v>선택</x:v>
      </x:c>
      <x:c r="K3138" s="2" t="str">
        <x:f>IF(OR(J3138="심의승인",J3138="반려",J3138="반려완료",J3138="심의완료"),"종결 표시",IF(OR(J3138="기후부협의",J3138="문서재제출요청",J3138="보류",J3138="보완요청",J3138="보완완료",J3138="평가중",J3138="반려요청",J3138="평가필요",LEFT(J3138,5)="보완요청("),"미종결 표시","상태 확인 필요"))</x:f>
        <x:v>상태 확인 필요</x:v>
      </x:c>
      <x:c r="L3138" s="2"/>
      <x:c r="M3138" s="2"/>
      <x:c r="N3138" s="8" t="n">
        <x:f>DATE(2026,10,15)-DATE(2019,12,17)</x:f>
        <x:v>2494</x:v>
      </x:c>
      <x:c r="O3138" s="2"/>
      <x:c r="P3138" s="2"/>
      <x:c r="Q3138" s="2" t="str">
        <x:v>산업전환 외부사업 정보비공개 신청 관리 Tool_260707_LJY_261013.xlsx</x:v>
      </x:c>
      <x:c r="R3138" s="2" t="str">
        <x:v>(비공개)국내평가</x:v>
      </x:c>
      <x:c r="S3138" s="8" t="n">
        <x:v>46</x:v>
      </x:c>
      <x:c r="T3138" s="2"/>
      <x:c r="U3138" s="2" t="str"/>
      <x:c r="V3138" s="2" t="str">
        <x:v>2025-02-25</x:v>
      </x:c>
      <x:c r="W3138" s="2" t="str">
        <x:v>담당기관 확인 / 종결 여부 확인</x:v>
      </x:c>
      <x:c r="X3138" s="2" t="str">
        <x:v>원본·배정 기록 확인</x:v>
      </x:c>
      <x:c r="Y3138" s="2" t="str">
        <x:v>22df6d619b696c1eba8e26790f6382083d9fb1bc48481283e3e8a92ea6897677</x:v>
      </x:c>
      <x:c r="Z3138" s="2" t="n">
        <x:f>SUBTOTAL(103,A3138)</x:f>
        <x:v>1</x:v>
      </x:c>
      <x:c r="AA3138" s="2" t="str">
        <x:f>IF(K3138&lt;&gt;"미종결 표시","대상 아님",IF(N3138="","신청일 확인",IF(NOT(ISNUMBER('종합 현황'!$H$5)),"관찰기준 확인",IF('종합 현황'!$H$5&lt;1,"관찰기준 확인",IF(N3138&gt;'종합 현황'!$H$5,"내부 관찰 대상","내부 관찰일 이하")))))</x:f>
        <x:v>대상 아님</x:v>
      </x:c>
      <x:c r="AB3138" s="2"/>
    </x:row>
    <x:row r="3139" ht="42" customHeight="1">
      <x:c r="A3139" s="2" t="str">
        <x:v>d485b1f81c893403e71cc0ff</x:v>
      </x:c>
      <x:c r="B3139" s="2" t="str">
        <x:v>사업 비공개 신청</x:v>
      </x:c>
      <x:c r="C3139" s="2" t="str">
        <x:v>국내</x:v>
      </x:c>
      <x:c r="D3139" s="7" t="str">
        <x:v>고효율인덕션히터 도입을 통한 온실가스 감축 사업</x:v>
      </x:c>
      <x:c r="E3139" s="2" t="str">
        <x:v>45</x:v>
      </x:c>
      <x:c r="F3139" s="2" t="str">
        <x:v>2019-12-17</x:v>
      </x:c>
      <x:c r="G3139" s="2" t="str">
        <x:v>2019</x:v>
      </x:c>
      <x:c r="H3139" s="2" t="str">
        <x:v>12</x:v>
      </x:c>
      <x:c r="I3139" s="2" t="str">
        <x:v>반려</x:v>
      </x:c>
      <x:c r="J3139" s="2" t="str">
        <x:v>선택</x:v>
      </x:c>
      <x:c r="K3139" s="2" t="str">
        <x:f>IF(OR(J3139="심의승인",J3139="반려",J3139="반려완료",J3139="심의완료"),"종결 표시",IF(OR(J3139="기후부협의",J3139="문서재제출요청",J3139="보류",J3139="보완요청",J3139="보완완료",J3139="평가중",J3139="반려요청",J3139="평가필요",LEFT(J3139,5)="보완요청("),"미종결 표시","상태 확인 필요"))</x:f>
        <x:v>상태 확인 필요</x:v>
      </x:c>
      <x:c r="L3139" s="2"/>
      <x:c r="M3139" s="2"/>
      <x:c r="N3139" s="8" t="n">
        <x:f>DATE(2026,10,15)-DATE(2019,12,17)</x:f>
        <x:v>2494</x:v>
      </x:c>
      <x:c r="O3139" s="2"/>
      <x:c r="P3139" s="2"/>
      <x:c r="Q3139" s="2" t="str">
        <x:v>산업전환 외부사업 정보비공개 신청 관리 Tool_260707_LJY_261013.xlsx</x:v>
      </x:c>
      <x:c r="R3139" s="2" t="str">
        <x:v>(비공개)국내평가</x:v>
      </x:c>
      <x:c r="S3139" s="8" t="n">
        <x:v>47</x:v>
      </x:c>
      <x:c r="T3139" s="2"/>
      <x:c r="U3139" s="2" t="str"/>
      <x:c r="V3139" s="2" t="str">
        <x:v>2025-02-25</x:v>
      </x:c>
      <x:c r="W3139" s="2" t="str">
        <x:v>담당기관 확인 / 종결 여부 확인</x:v>
      </x:c>
      <x:c r="X3139" s="2" t="str">
        <x:v>원본·배정 기록 확인</x:v>
      </x:c>
      <x:c r="Y3139" s="2" t="str">
        <x:v>22df6d619b696c1eba8e26790f6382083d9fb1bc48481283e3e8a92ea6897677</x:v>
      </x:c>
      <x:c r="Z3139" s="2" t="n">
        <x:f>SUBTOTAL(103,A3139)</x:f>
        <x:v>1</x:v>
      </x:c>
      <x:c r="AA3139" s="2" t="str">
        <x:f>IF(K3139&lt;&gt;"미종결 표시","대상 아님",IF(N3139="","신청일 확인",IF(NOT(ISNUMBER('종합 현황'!$H$5)),"관찰기준 확인",IF('종합 현황'!$H$5&lt;1,"관찰기준 확인",IF(N3139&gt;'종합 현황'!$H$5,"내부 관찰 대상","내부 관찰일 이하")))))</x:f>
        <x:v>대상 아님</x:v>
      </x:c>
      <x:c r="AB3139" s="2"/>
    </x:row>
    <x:row r="3140" ht="42" customHeight="1">
      <x:c r="A3140" s="2" t="str">
        <x:v>38ea96401486744a5041f586</x:v>
      </x:c>
      <x:c r="B3140" s="2" t="str">
        <x:v>사업 비공개 신청</x:v>
      </x:c>
      <x:c r="C3140" s="2" t="str">
        <x:v>국내</x:v>
      </x:c>
      <x:c r="D3140" s="7" t="str">
        <x:v>고효율인덕션히터 도입을 통한 온실가스 감축 사업</x:v>
      </x:c>
      <x:c r="E3140" s="2" t="str">
        <x:v>46</x:v>
      </x:c>
      <x:c r="F3140" s="2" t="str">
        <x:v>2019-12-17</x:v>
      </x:c>
      <x:c r="G3140" s="2" t="str">
        <x:v>2019</x:v>
      </x:c>
      <x:c r="H3140" s="2" t="str">
        <x:v>12</x:v>
      </x:c>
      <x:c r="I3140" s="2" t="str">
        <x:v>반려</x:v>
      </x:c>
      <x:c r="J3140" s="2" t="str">
        <x:v>선택</x:v>
      </x:c>
      <x:c r="K3140" s="2" t="str">
        <x:f>IF(OR(J3140="심의승인",J3140="반려",J3140="반려완료",J3140="심의완료"),"종결 표시",IF(OR(J3140="기후부협의",J3140="문서재제출요청",J3140="보류",J3140="보완요청",J3140="보완완료",J3140="평가중",J3140="반려요청",J3140="평가필요",LEFT(J3140,5)="보완요청("),"미종결 표시","상태 확인 필요"))</x:f>
        <x:v>상태 확인 필요</x:v>
      </x:c>
      <x:c r="L3140" s="2"/>
      <x:c r="M3140" s="2"/>
      <x:c r="N3140" s="8" t="n">
        <x:f>DATE(2026,10,15)-DATE(2019,12,17)</x:f>
        <x:v>2494</x:v>
      </x:c>
      <x:c r="O3140" s="2"/>
      <x:c r="P3140" s="2"/>
      <x:c r="Q3140" s="2" t="str">
        <x:v>산업전환 외부사업 정보비공개 신청 관리 Tool_260707_LJY_261013.xlsx</x:v>
      </x:c>
      <x:c r="R3140" s="2" t="str">
        <x:v>(비공개)국내평가</x:v>
      </x:c>
      <x:c r="S3140" s="8" t="n">
        <x:v>48</x:v>
      </x:c>
      <x:c r="T3140" s="2"/>
      <x:c r="U3140" s="2" t="str"/>
      <x:c r="V3140" s="2" t="str">
        <x:v>2025-02-25</x:v>
      </x:c>
      <x:c r="W3140" s="2" t="str">
        <x:v>담당기관 확인 / 종결 여부 확인</x:v>
      </x:c>
      <x:c r="X3140" s="2" t="str">
        <x:v>원본·배정 기록 확인</x:v>
      </x:c>
      <x:c r="Y3140" s="2" t="str">
        <x:v>22df6d619b696c1eba8e26790f6382083d9fb1bc48481283e3e8a92ea6897677</x:v>
      </x:c>
      <x:c r="Z3140" s="2" t="n">
        <x:f>SUBTOTAL(103,A3140)</x:f>
        <x:v>1</x:v>
      </x:c>
      <x:c r="AA3140" s="2" t="str">
        <x:f>IF(K3140&lt;&gt;"미종결 표시","대상 아님",IF(N3140="","신청일 확인",IF(NOT(ISNUMBER('종합 현황'!$H$5)),"관찰기준 확인",IF('종합 현황'!$H$5&lt;1,"관찰기준 확인",IF(N3140&gt;'종합 현황'!$H$5,"내부 관찰 대상","내부 관찰일 이하")))))</x:f>
        <x:v>대상 아님</x:v>
      </x:c>
      <x:c r="AB3140" s="2"/>
    </x:row>
    <x:row r="3141" ht="42" customHeight="1">
      <x:c r="A3141" s="2" t="str">
        <x:v>d56befdfd731c3cb48d454e8</x:v>
      </x:c>
      <x:c r="B3141" s="2" t="str">
        <x:v>사업 비공개 신청</x:v>
      </x:c>
      <x:c r="C3141" s="2" t="str">
        <x:v>국내</x:v>
      </x:c>
      <x:c r="D3141" s="7" t="str">
        <x:v>신원산업 열교환기 설치를 통한 온실가스 감축사업</x:v>
      </x:c>
      <x:c r="E3141" s="2" t="str">
        <x:v>47</x:v>
      </x:c>
      <x:c r="F3141" s="2" t="str">
        <x:v>2019-12-16</x:v>
      </x:c>
      <x:c r="G3141" s="2" t="str">
        <x:v>2019</x:v>
      </x:c>
      <x:c r="H3141" s="2" t="str">
        <x:v>12</x:v>
      </x:c>
      <x:c r="I3141" s="2" t="str">
        <x:v>반려</x:v>
      </x:c>
      <x:c r="J3141" s="2" t="str">
        <x:v>선택</x:v>
      </x:c>
      <x:c r="K3141" s="2" t="str">
        <x:f>IF(OR(J3141="심의승인",J3141="반려",J3141="반려완료",J3141="심의완료"),"종결 표시",IF(OR(J3141="기후부협의",J3141="문서재제출요청",J3141="보류",J3141="보완요청",J3141="보완완료",J3141="평가중",J3141="반려요청",J3141="평가필요",LEFT(J3141,5)="보완요청("),"미종결 표시","상태 확인 필요"))</x:f>
        <x:v>상태 확인 필요</x:v>
      </x:c>
      <x:c r="L3141" s="2"/>
      <x:c r="M3141" s="2"/>
      <x:c r="N3141" s="8" t="n">
        <x:f>DATE(2026,10,15)-DATE(2019,12,16)</x:f>
        <x:v>2495</x:v>
      </x:c>
      <x:c r="O3141" s="2"/>
      <x:c r="P3141" s="2"/>
      <x:c r="Q3141" s="2" t="str">
        <x:v>산업전환 외부사업 정보비공개 신청 관리 Tool_260707_LJY_261013.xlsx</x:v>
      </x:c>
      <x:c r="R3141" s="2" t="str">
        <x:v>(비공개)국내평가</x:v>
      </x:c>
      <x:c r="S3141" s="8" t="n">
        <x:v>49</x:v>
      </x:c>
      <x:c r="T3141" s="2"/>
      <x:c r="U3141" s="2" t="str"/>
      <x:c r="V3141" s="2" t="str">
        <x:v>2025-02-25</x:v>
      </x:c>
      <x:c r="W3141" s="2" t="str">
        <x:v>담당기관 확인 / 종결 여부 확인</x:v>
      </x:c>
      <x:c r="X3141" s="2" t="str">
        <x:v>원본·배정 기록 확인</x:v>
      </x:c>
      <x:c r="Y3141" s="2" t="str">
        <x:v>22df6d619b696c1eba8e26790f6382083d9fb1bc48481283e3e8a92ea6897677</x:v>
      </x:c>
      <x:c r="Z3141" s="2" t="n">
        <x:f>SUBTOTAL(103,A3141)</x:f>
        <x:v>1</x:v>
      </x:c>
      <x:c r="AA3141" s="2" t="str">
        <x:f>IF(K3141&lt;&gt;"미종결 표시","대상 아님",IF(N3141="","신청일 확인",IF(NOT(ISNUMBER('종합 현황'!$H$5)),"관찰기준 확인",IF('종합 현황'!$H$5&lt;1,"관찰기준 확인",IF(N3141&gt;'종합 현황'!$H$5,"내부 관찰 대상","내부 관찰일 이하")))))</x:f>
        <x:v>대상 아님</x:v>
      </x:c>
      <x:c r="AB3141" s="2"/>
    </x:row>
    <x:row r="3142" ht="42" customHeight="1">
      <x:c r="A3142" s="2" t="str">
        <x:v>d49ce5d65aa8decfc2c03125</x:v>
      </x:c>
      <x:c r="B3142" s="2" t="str">
        <x:v>사업 비공개 신청</x:v>
      </x:c>
      <x:c r="C3142" s="2" t="str">
        <x:v>국내</x:v>
      </x:c>
      <x:c r="D3142" s="7" t="str">
        <x:v>영덕산업의 LPG에서 도시가스(LNG)로 연료전환을 통한 온실가스 배출 감축사업</x:v>
      </x:c>
      <x:c r="E3142" s="2" t="str">
        <x:v>48</x:v>
      </x:c>
      <x:c r="F3142" s="2" t="str">
        <x:v>2019-12-12</x:v>
      </x:c>
      <x:c r="G3142" s="2" t="str">
        <x:v>2019</x:v>
      </x:c>
      <x:c r="H3142" s="2" t="str">
        <x:v>12</x:v>
      </x:c>
      <x:c r="I3142" s="2" t="str">
        <x:v>반려</x:v>
      </x:c>
      <x:c r="J3142" s="2" t="str">
        <x:v>선택</x:v>
      </x:c>
      <x:c r="K3142" s="2" t="str">
        <x:f>IF(OR(J3142="심의승인",J3142="반려",J3142="반려완료",J3142="심의완료"),"종결 표시",IF(OR(J3142="기후부협의",J3142="문서재제출요청",J3142="보류",J3142="보완요청",J3142="보완완료",J3142="평가중",J3142="반려요청",J3142="평가필요",LEFT(J3142,5)="보완요청("),"미종결 표시","상태 확인 필요"))</x:f>
        <x:v>상태 확인 필요</x:v>
      </x:c>
      <x:c r="L3142" s="2"/>
      <x:c r="M3142" s="2"/>
      <x:c r="N3142" s="8" t="n">
        <x:f>DATE(2026,10,15)-DATE(2019,12,12)</x:f>
        <x:v>2499</x:v>
      </x:c>
      <x:c r="O3142" s="2"/>
      <x:c r="P3142" s="2"/>
      <x:c r="Q3142" s="2" t="str">
        <x:v>산업전환 외부사업 정보비공개 신청 관리 Tool_260707_LJY_261013.xlsx</x:v>
      </x:c>
      <x:c r="R3142" s="2" t="str">
        <x:v>(비공개)국내평가</x:v>
      </x:c>
      <x:c r="S3142" s="8" t="n">
        <x:v>50</x:v>
      </x:c>
      <x:c r="T3142" s="2"/>
      <x:c r="U3142" s="2" t="str"/>
      <x:c r="V3142" s="2" t="str">
        <x:v>2025-02-25</x:v>
      </x:c>
      <x:c r="W3142" s="2" t="str">
        <x:v>담당기관 확인 / 종결 여부 확인</x:v>
      </x:c>
      <x:c r="X3142" s="2" t="str">
        <x:v>원본·배정 기록 확인</x:v>
      </x:c>
      <x:c r="Y3142" s="2" t="str">
        <x:v>22df6d619b696c1eba8e26790f6382083d9fb1bc48481283e3e8a92ea6897677</x:v>
      </x:c>
      <x:c r="Z3142" s="2" t="n">
        <x:f>SUBTOTAL(103,A3142)</x:f>
        <x:v>1</x:v>
      </x:c>
      <x:c r="AA3142" s="2" t="str">
        <x:f>IF(K3142&lt;&gt;"미종결 표시","대상 아님",IF(N3142="","신청일 확인",IF(NOT(ISNUMBER('종합 현황'!$H$5)),"관찰기준 확인",IF('종합 현황'!$H$5&lt;1,"관찰기준 확인",IF(N3142&gt;'종합 현황'!$H$5,"내부 관찰 대상","내부 관찰일 이하")))))</x:f>
        <x:v>대상 아님</x:v>
      </x:c>
      <x:c r="AB3142" s="2"/>
    </x:row>
    <x:row r="3143" ht="42" customHeight="1">
      <x:c r="A3143" s="2" t="str">
        <x:v>6c7942da3393c31cfe329c97</x:v>
      </x:c>
      <x:c r="B3143" s="2" t="str">
        <x:v>사업 비공개 신청</x:v>
      </x:c>
      <x:c r="C3143" s="2" t="str">
        <x:v>국내</x:v>
      </x:c>
      <x:c r="D3143" s="7" t="str">
        <x:v>원주시 보안등 LED교체 ESCO용역사업</x:v>
      </x:c>
      <x:c r="E3143" s="2" t="str">
        <x:v>49</x:v>
      </x:c>
      <x:c r="F3143" s="2" t="str">
        <x:v>2024-08-20</x:v>
      </x:c>
      <x:c r="G3143" s="2" t="str">
        <x:v>2024</x:v>
      </x:c>
      <x:c r="H3143" s="2" t="str">
        <x:v>08</x:v>
      </x:c>
      <x:c r="I3143" s="2" t="str">
        <x:v>보완완료</x:v>
      </x:c>
      <x:c r="J3143" s="2" t="str">
        <x:v>평가필요</x:v>
      </x:c>
      <x:c r="K3143" s="2" t="str">
        <x:f>IF(OR(J3143="심의승인",J3143="반려",J3143="반려완료",J3143="심의완료"),"종결 표시",IF(OR(J3143="기후부협의",J3143="문서재제출요청",J3143="보류",J3143="보완요청",J3143="보완완료",J3143="평가중",J3143="반려요청",J3143="평가필요",LEFT(J3143,5)="보완요청("),"미종결 표시","상태 확인 필요"))</x:f>
        <x:v>미종결 표시</x:v>
      </x:c>
      <x:c r="L3143" s="2" t="str">
        <x:v>KECM</x:v>
      </x:c>
      <x:c r="M3143" s="2"/>
      <x:c r="N3143" s="8" t="n">
        <x:f>DATE(2026,10,15)-DATE(2024,8,20)</x:f>
        <x:v>786</x:v>
      </x:c>
      <x:c r="O3143" s="2"/>
      <x:c r="P3143" s="2" t="str">
        <x:v>[통보의견]
비공개 신청사유를 하기와 같이 보완 요청 드립니다.
- 사업계획서 내용 중 보안유지 필요부분 및 사유 구체화
[보완의견]
본 외부사업의 사업계획서 상 비공개를 희망하는 부분 및 그 사유를 다음과 같이 기술함.
1.2. 사업의 위치 (3) 사업의 주소, 보안등 번호, 전주번호
- 이 사업의 대상인 도로조명의 주소, 등번호, 전주번호는 중요한 정보이며, 그 목록 전체를 원주시가 일반에게 공개할 의무는 없으며, 오남용될 가능성도 있어 원주시는 이 정보의 공개를 원하지 않음
[근거: 공공기관의 정보공개에 관한 법률 제9조제1항제5호]
2. 베이스라인 및 모니터링 방법론, 3. 온실가스 감축량 산정, 4. 모니터링 계획
- 본 외부사업의 베이스라인 및 모니터링 방법, 온실가스 감축량 산정 방법, 모니터링 계획이 원주시 고유의 특성을 반영하여 구체적으로 기술되어 있기 때문에 정보공개를 원하지 않음. 또한, 이 사업계획서를 작성하기 위하여 원주시가 오랜 기간 동안 시간과 노력과 예산을 투자하여 작성한 연구성과물이기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6. 사업자 정보
- 사업자 담당자의 개인 정보 보호 차원에서 이 정보의 공개를 원하지 않음
[근거: 공공기관의 정보공개에 관한 법률 제9조제1항제6호] / 승인 후 유효기간갱신 신청건</x:v>
      </x:c>
      <x:c r="Q3143" s="2" t="str">
        <x:v>산업전환 외부사업 정보비공개 신청 관리 Tool_260707_LJY_261013.xlsx</x:v>
      </x:c>
      <x:c r="R3143" s="2" t="str">
        <x:v>(비공개)국내평가</x:v>
      </x:c>
      <x:c r="S3143" s="8" t="n">
        <x:v>51</x:v>
      </x:c>
      <x:c r="T3143" s="2"/>
      <x:c r="U3143" s="2" t="str"/>
      <x:c r="V3143" s="2" t="str">
        <x:v>2022-06-02</x:v>
      </x:c>
      <x:c r="W3143" s="2" t="str"/>
      <x:c r="X3143" s="2" t="str">
        <x:v>검토 진행 일정 확인</x:v>
      </x:c>
      <x:c r="Y3143" s="2" t="str">
        <x:v>22df6d619b696c1eba8e26790f6382083d9fb1bc48481283e3e8a92ea6897677</x:v>
      </x:c>
      <x:c r="Z3143" s="2" t="n">
        <x:f>SUBTOTAL(103,A3143)</x:f>
        <x:v>1</x:v>
      </x:c>
      <x:c r="AA3143" s="2" t="str">
        <x:f>IF(K3143&lt;&gt;"미종결 표시","대상 아님",IF(N3143="","신청일 확인",IF(NOT(ISNUMBER('종합 현황'!$H$5)),"관찰기준 확인",IF('종합 현황'!$H$5&lt;1,"관찰기준 확인",IF(N3143&gt;'종합 현황'!$H$5,"내부 관찰 대상","내부 관찰일 이하")))))</x:f>
        <x:v>내부 관찰 대상</x:v>
      </x:c>
      <x:c r="AB3143" s="2"/>
    </x:row>
    <x:row r="3144" ht="42" customHeight="1">
      <x:c r="A3144" s="2" t="str">
        <x:v>e2938c5d6f39412532ac3671</x:v>
      </x:c>
      <x:c r="B3144" s="2" t="str">
        <x:v>사업 비공개 신청</x:v>
      </x:c>
      <x:c r="C3144" s="2" t="str">
        <x:v>국내</x:v>
      </x:c>
      <x:c r="D3144" s="7" t="str">
        <x:v>(주)엘림 188.7kW 태양광 발전사업</x:v>
      </x:c>
      <x:c r="E3144" s="2" t="str">
        <x:v>50</x:v>
      </x:c>
      <x:c r="F3144" s="2" t="str">
        <x:v>2019-11-27</x:v>
      </x:c>
      <x:c r="G3144" s="2" t="str">
        <x:v>2019</x:v>
      </x:c>
      <x:c r="H3144" s="2" t="str">
        <x:v>11</x:v>
      </x:c>
      <x:c r="I3144" s="2" t="str">
        <x:v>반려</x:v>
      </x:c>
      <x:c r="J3144" s="2" t="str">
        <x:v>선택</x:v>
      </x:c>
      <x:c r="K3144" s="2" t="str">
        <x:f>IF(OR(J3144="심의승인",J3144="반려",J3144="반려완료",J3144="심의완료"),"종결 표시",IF(OR(J3144="기후부협의",J3144="문서재제출요청",J3144="보류",J3144="보완요청",J3144="보완완료",J3144="평가중",J3144="반려요청",J3144="평가필요",LEFT(J3144,5)="보완요청("),"미종결 표시","상태 확인 필요"))</x:f>
        <x:v>상태 확인 필요</x:v>
      </x:c>
      <x:c r="L3144" s="2"/>
      <x:c r="M3144" s="2"/>
      <x:c r="N3144" s="8" t="n">
        <x:f>DATE(2026,10,15)-DATE(2019,11,27)</x:f>
        <x:v>2514</x:v>
      </x:c>
      <x:c r="O3144" s="2"/>
      <x:c r="P3144" s="2"/>
      <x:c r="Q3144" s="2" t="str">
        <x:v>산업전환 외부사업 정보비공개 신청 관리 Tool_260707_LJY_261013.xlsx</x:v>
      </x:c>
      <x:c r="R3144" s="2" t="str">
        <x:v>(비공개)국내평가</x:v>
      </x:c>
      <x:c r="S3144" s="8" t="n">
        <x:v>52</x:v>
      </x:c>
      <x:c r="T3144" s="2"/>
      <x:c r="U3144" s="2" t="str"/>
      <x:c r="V3144" s="2" t="str">
        <x:v>2025-02-25</x:v>
      </x:c>
      <x:c r="W3144" s="2" t="str">
        <x:v>담당기관 확인 / 종결 여부 확인</x:v>
      </x:c>
      <x:c r="X3144" s="2" t="str">
        <x:v>원본·배정 기록 확인</x:v>
      </x:c>
      <x:c r="Y3144" s="2" t="str">
        <x:v>22df6d619b696c1eba8e26790f6382083d9fb1bc48481283e3e8a92ea6897677</x:v>
      </x:c>
      <x:c r="Z3144" s="2" t="n">
        <x:f>SUBTOTAL(103,A3144)</x:f>
        <x:v>1</x:v>
      </x:c>
      <x:c r="AA3144" s="2" t="str">
        <x:f>IF(K3144&lt;&gt;"미종결 표시","대상 아님",IF(N3144="","신청일 확인",IF(NOT(ISNUMBER('종합 현황'!$H$5)),"관찰기준 확인",IF('종합 현황'!$H$5&lt;1,"관찰기준 확인",IF(N3144&gt;'종합 현황'!$H$5,"내부 관찰 대상","내부 관찰일 이하")))))</x:f>
        <x:v>대상 아님</x:v>
      </x:c>
      <x:c r="AB3144" s="2"/>
    </x:row>
    <x:row r="3145" ht="42" customHeight="1">
      <x:c r="A3145" s="2" t="str">
        <x:v>2a3edb5c9c57ebab65400b3e</x:v>
      </x:c>
      <x:c r="B3145" s="2" t="str">
        <x:v>사업 비공개 신청</x:v>
      </x:c>
      <x:c r="C3145" s="2" t="str">
        <x:v>국내</x:v>
      </x:c>
      <x:c r="D3145" s="7" t="str">
        <x:v>용탕온도관리시스템 도입을 통한 온실가스 감축 사업</x:v>
      </x:c>
      <x:c r="E3145" s="2" t="str">
        <x:v>51</x:v>
      </x:c>
      <x:c r="F3145" s="2" t="str">
        <x:v>2019-11-01</x:v>
      </x:c>
      <x:c r="G3145" s="2" t="str">
        <x:v>2019</x:v>
      </x:c>
      <x:c r="H3145" s="2" t="str">
        <x:v>11</x:v>
      </x:c>
      <x:c r="I3145" s="2" t="str">
        <x:v>반려</x:v>
      </x:c>
      <x:c r="J3145" s="2" t="str">
        <x:v>선택</x:v>
      </x:c>
      <x:c r="K3145" s="2" t="str">
        <x:f>IF(OR(J3145="심의승인",J3145="반려",J3145="반려완료",J3145="심의완료"),"종결 표시",IF(OR(J3145="기후부협의",J3145="문서재제출요청",J3145="보류",J3145="보완요청",J3145="보완완료",J3145="평가중",J3145="반려요청",J3145="평가필요",LEFT(J3145,5)="보완요청("),"미종결 표시","상태 확인 필요"))</x:f>
        <x:v>상태 확인 필요</x:v>
      </x:c>
      <x:c r="L3145" s="2"/>
      <x:c r="M3145" s="2"/>
      <x:c r="N3145" s="8" t="n">
        <x:f>DATE(2026,10,15)-DATE(2019,11,1)</x:f>
        <x:v>2540</x:v>
      </x:c>
      <x:c r="O3145" s="2"/>
      <x:c r="P3145" s="2"/>
      <x:c r="Q3145" s="2" t="str">
        <x:v>산업전환 외부사업 정보비공개 신청 관리 Tool_260707_LJY_261013.xlsx</x:v>
      </x:c>
      <x:c r="R3145" s="2" t="str">
        <x:v>(비공개)국내평가</x:v>
      </x:c>
      <x:c r="S3145" s="8" t="n">
        <x:v>53</x:v>
      </x:c>
      <x:c r="T3145" s="2"/>
      <x:c r="U3145" s="2" t="str"/>
      <x:c r="V3145" s="2" t="str">
        <x:v>2025-02-25</x:v>
      </x:c>
      <x:c r="W3145" s="2" t="str">
        <x:v>담당기관 확인 / 종결 여부 확인</x:v>
      </x:c>
      <x:c r="X3145" s="2" t="str">
        <x:v>원본·배정 기록 확인</x:v>
      </x:c>
      <x:c r="Y3145" s="2" t="str">
        <x:v>22df6d619b696c1eba8e26790f6382083d9fb1bc48481283e3e8a92ea6897677</x:v>
      </x:c>
      <x:c r="Z3145" s="2" t="n">
        <x:f>SUBTOTAL(103,A3145)</x:f>
        <x:v>1</x:v>
      </x:c>
      <x:c r="AA3145" s="2" t="str">
        <x:f>IF(K3145&lt;&gt;"미종결 표시","대상 아님",IF(N3145="","신청일 확인",IF(NOT(ISNUMBER('종합 현황'!$H$5)),"관찰기준 확인",IF('종합 현황'!$H$5&lt;1,"관찰기준 확인",IF(N3145&gt;'종합 현황'!$H$5,"내부 관찰 대상","내부 관찰일 이하")))))</x:f>
        <x:v>대상 아님</x:v>
      </x:c>
      <x:c r="AB3145" s="2"/>
    </x:row>
    <x:row r="3146" ht="42" customHeight="1">
      <x:c r="A3146" s="2" t="str">
        <x:v>993cad3d74501740906a7499</x:v>
      </x:c>
      <x:c r="B3146" s="2" t="str">
        <x:v>사업 비공개 신청</x:v>
      </x:c>
      <x:c r="C3146" s="2" t="str">
        <x:v>국내</x:v>
      </x:c>
      <x:c r="D3146" s="7" t="str">
        <x:v>용탕온도관리시스템 도입을 통한 온실가스 감축 사업</x:v>
      </x:c>
      <x:c r="E3146" s="2" t="str">
        <x:v>52</x:v>
      </x:c>
      <x:c r="F3146" s="2" t="str">
        <x:v>2019-11-01</x:v>
      </x:c>
      <x:c r="G3146" s="2" t="str">
        <x:v>2019</x:v>
      </x:c>
      <x:c r="H3146" s="2" t="str">
        <x:v>11</x:v>
      </x:c>
      <x:c r="I3146" s="2" t="str">
        <x:v>반려</x:v>
      </x:c>
      <x:c r="J3146" s="2" t="str">
        <x:v>선택</x:v>
      </x:c>
      <x:c r="K3146" s="2" t="str">
        <x:f>IF(OR(J3146="심의승인",J3146="반려",J3146="반려완료",J3146="심의완료"),"종결 표시",IF(OR(J3146="기후부협의",J3146="문서재제출요청",J3146="보류",J3146="보완요청",J3146="보완완료",J3146="평가중",J3146="반려요청",J3146="평가필요",LEFT(J3146,5)="보완요청("),"미종결 표시","상태 확인 필요"))</x:f>
        <x:v>상태 확인 필요</x:v>
      </x:c>
      <x:c r="L3146" s="2"/>
      <x:c r="M3146" s="2"/>
      <x:c r="N3146" s="8" t="n">
        <x:f>DATE(2026,10,15)-DATE(2019,11,1)</x:f>
        <x:v>2540</x:v>
      </x:c>
      <x:c r="O3146" s="2"/>
      <x:c r="P3146" s="2"/>
      <x:c r="Q3146" s="2" t="str">
        <x:v>산업전환 외부사업 정보비공개 신청 관리 Tool_260707_LJY_261013.xlsx</x:v>
      </x:c>
      <x:c r="R3146" s="2" t="str">
        <x:v>(비공개)국내평가</x:v>
      </x:c>
      <x:c r="S3146" s="8" t="n">
        <x:v>54</x:v>
      </x:c>
      <x:c r="T3146" s="2"/>
      <x:c r="U3146" s="2" t="str"/>
      <x:c r="V3146" s="2" t="str">
        <x:v>2025-02-25</x:v>
      </x:c>
      <x:c r="W3146" s="2" t="str">
        <x:v>담당기관 확인 / 종결 여부 확인</x:v>
      </x:c>
      <x:c r="X3146" s="2" t="str">
        <x:v>원본·배정 기록 확인</x:v>
      </x:c>
      <x:c r="Y3146" s="2" t="str">
        <x:v>22df6d619b696c1eba8e26790f6382083d9fb1bc48481283e3e8a92ea6897677</x:v>
      </x:c>
      <x:c r="Z3146" s="2" t="n">
        <x:f>SUBTOTAL(103,A3146)</x:f>
        <x:v>1</x:v>
      </x:c>
      <x:c r="AA3146" s="2" t="str">
        <x:f>IF(K3146&lt;&gt;"미종결 표시","대상 아님",IF(N3146="","신청일 확인",IF(NOT(ISNUMBER('종합 현황'!$H$5)),"관찰기준 확인",IF('종합 현황'!$H$5&lt;1,"관찰기준 확인",IF(N3146&gt;'종합 현황'!$H$5,"내부 관찰 대상","내부 관찰일 이하")))))</x:f>
        <x:v>대상 아님</x:v>
      </x:c>
      <x:c r="AB3146" s="2"/>
    </x:row>
    <x:row r="3147" ht="42" customHeight="1">
      <x:c r="A3147" s="2" t="str">
        <x:v>8031832f07955b458735ba63</x:v>
      </x:c>
      <x:c r="B3147" s="2" t="str">
        <x:v>사업 비공개 신청</x:v>
      </x:c>
      <x:c r="C3147" s="2" t="str">
        <x:v>국내</x:v>
      </x:c>
      <x:c r="D3147" s="7" t="str">
        <x:v>용탕온도관리시스템 도입을 통한 온실가스 감축 사업</x:v>
      </x:c>
      <x:c r="E3147" s="2" t="str">
        <x:v>53</x:v>
      </x:c>
      <x:c r="F3147" s="2" t="str">
        <x:v>2019-11-01</x:v>
      </x:c>
      <x:c r="G3147" s="2" t="str">
        <x:v>2019</x:v>
      </x:c>
      <x:c r="H3147" s="2" t="str">
        <x:v>11</x:v>
      </x:c>
      <x:c r="I3147" s="2" t="str">
        <x:v>반려</x:v>
      </x:c>
      <x:c r="J3147" s="2" t="str">
        <x:v>선택</x:v>
      </x:c>
      <x:c r="K3147" s="2" t="str">
        <x:f>IF(OR(J3147="심의승인",J3147="반려",J3147="반려완료",J3147="심의완료"),"종결 표시",IF(OR(J3147="기후부협의",J3147="문서재제출요청",J3147="보류",J3147="보완요청",J3147="보완완료",J3147="평가중",J3147="반려요청",J3147="평가필요",LEFT(J3147,5)="보완요청("),"미종결 표시","상태 확인 필요"))</x:f>
        <x:v>상태 확인 필요</x:v>
      </x:c>
      <x:c r="L3147" s="2"/>
      <x:c r="M3147" s="2"/>
      <x:c r="N3147" s="8" t="n">
        <x:f>DATE(2026,10,15)-DATE(2019,11,1)</x:f>
        <x:v>2540</x:v>
      </x:c>
      <x:c r="O3147" s="2"/>
      <x:c r="P3147" s="2"/>
      <x:c r="Q3147" s="2" t="str">
        <x:v>산업전환 외부사업 정보비공개 신청 관리 Tool_260707_LJY_261013.xlsx</x:v>
      </x:c>
      <x:c r="R3147" s="2" t="str">
        <x:v>(비공개)국내평가</x:v>
      </x:c>
      <x:c r="S3147" s="8" t="n">
        <x:v>55</x:v>
      </x:c>
      <x:c r="T3147" s="2"/>
      <x:c r="U3147" s="2" t="str"/>
      <x:c r="V3147" s="2" t="str">
        <x:v>2025-02-25</x:v>
      </x:c>
      <x:c r="W3147" s="2" t="str">
        <x:v>담당기관 확인 / 종결 여부 확인</x:v>
      </x:c>
      <x:c r="X3147" s="2" t="str">
        <x:v>원본·배정 기록 확인</x:v>
      </x:c>
      <x:c r="Y3147" s="2" t="str">
        <x:v>22df6d619b696c1eba8e26790f6382083d9fb1bc48481283e3e8a92ea6897677</x:v>
      </x:c>
      <x:c r="Z3147" s="2" t="n">
        <x:f>SUBTOTAL(103,A3147)</x:f>
        <x:v>1</x:v>
      </x:c>
      <x:c r="AA3147" s="2" t="str">
        <x:f>IF(K3147&lt;&gt;"미종결 표시","대상 아님",IF(N3147="","신청일 확인",IF(NOT(ISNUMBER('종합 현황'!$H$5)),"관찰기준 확인",IF('종합 현황'!$H$5&lt;1,"관찰기준 확인",IF(N3147&gt;'종합 현황'!$H$5,"내부 관찰 대상","내부 관찰일 이하")))))</x:f>
        <x:v>대상 아님</x:v>
      </x:c>
      <x:c r="AB3147" s="2"/>
    </x:row>
    <x:row r="3148" ht="42" customHeight="1">
      <x:c r="A3148" s="2" t="str">
        <x:v>5be07f05a63085f66bfb81c9</x:v>
      </x:c>
      <x:c r="B3148" s="2" t="str">
        <x:v>사업 비공개 신청</x:v>
      </x:c>
      <x:c r="C3148" s="2" t="str">
        <x:v>국내</x:v>
      </x:c>
      <x:c r="D3148" s="7" t="str">
        <x:v>용탕온도관리시스템 도입을 통한 온실가스 감축 사업</x:v>
      </x:c>
      <x:c r="E3148" s="2" t="str">
        <x:v>54</x:v>
      </x:c>
      <x:c r="F3148" s="2" t="str">
        <x:v>2019-11-01</x:v>
      </x:c>
      <x:c r="G3148" s="2" t="str">
        <x:v>2019</x:v>
      </x:c>
      <x:c r="H3148" s="2" t="str">
        <x:v>11</x:v>
      </x:c>
      <x:c r="I3148" s="2" t="str">
        <x:v>반려</x:v>
      </x:c>
      <x:c r="J3148" s="2" t="str">
        <x:v>선택</x:v>
      </x:c>
      <x:c r="K3148" s="2" t="str">
        <x:f>IF(OR(J3148="심의승인",J3148="반려",J3148="반려완료",J3148="심의완료"),"종결 표시",IF(OR(J3148="기후부협의",J3148="문서재제출요청",J3148="보류",J3148="보완요청",J3148="보완완료",J3148="평가중",J3148="반려요청",J3148="평가필요",LEFT(J3148,5)="보완요청("),"미종결 표시","상태 확인 필요"))</x:f>
        <x:v>상태 확인 필요</x:v>
      </x:c>
      <x:c r="L3148" s="2"/>
      <x:c r="M3148" s="2"/>
      <x:c r="N3148" s="8" t="n">
        <x:f>DATE(2026,10,15)-DATE(2019,11,1)</x:f>
        <x:v>2540</x:v>
      </x:c>
      <x:c r="O3148" s="2"/>
      <x:c r="P3148" s="2"/>
      <x:c r="Q3148" s="2" t="str">
        <x:v>산업전환 외부사업 정보비공개 신청 관리 Tool_260707_LJY_261013.xlsx</x:v>
      </x:c>
      <x:c r="R3148" s="2" t="str">
        <x:v>(비공개)국내평가</x:v>
      </x:c>
      <x:c r="S3148" s="8" t="n">
        <x:v>56</x:v>
      </x:c>
      <x:c r="T3148" s="2"/>
      <x:c r="U3148" s="2" t="str"/>
      <x:c r="V3148" s="2" t="str">
        <x:v>2025-02-25</x:v>
      </x:c>
      <x:c r="W3148" s="2" t="str">
        <x:v>담당기관 확인 / 종결 여부 확인</x:v>
      </x:c>
      <x:c r="X3148" s="2" t="str">
        <x:v>원본·배정 기록 확인</x:v>
      </x:c>
      <x:c r="Y3148" s="2" t="str">
        <x:v>22df6d619b696c1eba8e26790f6382083d9fb1bc48481283e3e8a92ea6897677</x:v>
      </x:c>
      <x:c r="Z3148" s="2" t="n">
        <x:f>SUBTOTAL(103,A3148)</x:f>
        <x:v>1</x:v>
      </x:c>
      <x:c r="AA3148" s="2" t="str">
        <x:f>IF(K3148&lt;&gt;"미종결 표시","대상 아님",IF(N3148="","신청일 확인",IF(NOT(ISNUMBER('종합 현황'!$H$5)),"관찰기준 확인",IF('종합 현황'!$H$5&lt;1,"관찰기준 확인",IF(N3148&gt;'종합 현황'!$H$5,"내부 관찰 대상","내부 관찰일 이하")))))</x:f>
        <x:v>대상 아님</x:v>
      </x:c>
      <x:c r="AB3148" s="2"/>
    </x:row>
    <x:row r="3149" ht="42" customHeight="1">
      <x:c r="A3149" s="2" t="str">
        <x:v>ff789d253161e06c49db587d</x:v>
      </x:c>
      <x:c r="B3149" s="2" t="str">
        <x:v>사업 비공개 신청</x:v>
      </x:c>
      <x:c r="C3149" s="2" t="str">
        <x:v>국내</x:v>
      </x:c>
      <x:c r="D3149" s="7" t="str">
        <x:v>용탕온도관리시스템 도입을 통한 온실가스 감축 사업</x:v>
      </x:c>
      <x:c r="E3149" s="2" t="str">
        <x:v>55</x:v>
      </x:c>
      <x:c r="F3149" s="2" t="str">
        <x:v>2019-11-01</x:v>
      </x:c>
      <x:c r="G3149" s="2" t="str">
        <x:v>2019</x:v>
      </x:c>
      <x:c r="H3149" s="2" t="str">
        <x:v>11</x:v>
      </x:c>
      <x:c r="I3149" s="2" t="str">
        <x:v>반려</x:v>
      </x:c>
      <x:c r="J3149" s="2" t="str">
        <x:v>선택</x:v>
      </x:c>
      <x:c r="K3149" s="2" t="str">
        <x:f>IF(OR(J3149="심의승인",J3149="반려",J3149="반려완료",J3149="심의완료"),"종결 표시",IF(OR(J3149="기후부협의",J3149="문서재제출요청",J3149="보류",J3149="보완요청",J3149="보완완료",J3149="평가중",J3149="반려요청",J3149="평가필요",LEFT(J3149,5)="보완요청("),"미종결 표시","상태 확인 필요"))</x:f>
        <x:v>상태 확인 필요</x:v>
      </x:c>
      <x:c r="L3149" s="2"/>
      <x:c r="M3149" s="2"/>
      <x:c r="N3149" s="8" t="n">
        <x:f>DATE(2026,10,15)-DATE(2019,11,1)</x:f>
        <x:v>2540</x:v>
      </x:c>
      <x:c r="O3149" s="2"/>
      <x:c r="P3149" s="2"/>
      <x:c r="Q3149" s="2" t="str">
        <x:v>산업전환 외부사업 정보비공개 신청 관리 Tool_260707_LJY_261013.xlsx</x:v>
      </x:c>
      <x:c r="R3149" s="2" t="str">
        <x:v>(비공개)국내평가</x:v>
      </x:c>
      <x:c r="S3149" s="8" t="n">
        <x:v>57</x:v>
      </x:c>
      <x:c r="T3149" s="2"/>
      <x:c r="U3149" s="2" t="str"/>
      <x:c r="V3149" s="2" t="str">
        <x:v>2025-02-25</x:v>
      </x:c>
      <x:c r="W3149" s="2" t="str">
        <x:v>담당기관 확인 / 종결 여부 확인</x:v>
      </x:c>
      <x:c r="X3149" s="2" t="str">
        <x:v>원본·배정 기록 확인</x:v>
      </x:c>
      <x:c r="Y3149" s="2" t="str">
        <x:v>22df6d619b696c1eba8e26790f6382083d9fb1bc48481283e3e8a92ea6897677</x:v>
      </x:c>
      <x:c r="Z3149" s="2" t="n">
        <x:f>SUBTOTAL(103,A3149)</x:f>
        <x:v>1</x:v>
      </x:c>
      <x:c r="AA3149" s="2" t="str">
        <x:f>IF(K3149&lt;&gt;"미종결 표시","대상 아님",IF(N3149="","신청일 확인",IF(NOT(ISNUMBER('종합 현황'!$H$5)),"관찰기준 확인",IF('종합 현황'!$H$5&lt;1,"관찰기준 확인",IF(N3149&gt;'종합 현황'!$H$5,"내부 관찰 대상","내부 관찰일 이하")))))</x:f>
        <x:v>대상 아님</x:v>
      </x:c>
      <x:c r="AB3149" s="2"/>
    </x:row>
    <x:row r="3150" ht="42" customHeight="1">
      <x:c r="A3150" s="2" t="str">
        <x:v>eb7e40a98f660ed8146623c3</x:v>
      </x:c>
      <x:c r="B3150" s="2" t="str">
        <x:v>사업 비공개 신청</x:v>
      </x:c>
      <x:c r="C3150" s="2" t="str">
        <x:v>국내</x:v>
      </x:c>
      <x:c r="D3150" s="7" t="str">
        <x:v>㈜엘지화학 자가 소비용 태양광 발전설비의 설치 지원을 통한 프로그램 감축사업</x:v>
      </x:c>
      <x:c r="E3150" s="2" t="str">
        <x:v>56</x:v>
      </x:c>
      <x:c r="F3150" s="2" t="str">
        <x:v>2019-10-11</x:v>
      </x:c>
      <x:c r="G3150" s="2" t="str">
        <x:v>2019</x:v>
      </x:c>
      <x:c r="H3150" s="2" t="str">
        <x:v>10</x:v>
      </x:c>
      <x:c r="I3150" s="2" t="str">
        <x:v>반려</x:v>
      </x:c>
      <x:c r="J3150" s="2" t="str">
        <x:v>선택</x:v>
      </x:c>
      <x:c r="K3150" s="2" t="str">
        <x:f>IF(OR(J3150="심의승인",J3150="반려",J3150="반려완료",J3150="심의완료"),"종결 표시",IF(OR(J3150="기후부협의",J3150="문서재제출요청",J3150="보류",J3150="보완요청",J3150="보완완료",J3150="평가중",J3150="반려요청",J3150="평가필요",LEFT(J3150,5)="보완요청("),"미종결 표시","상태 확인 필요"))</x:f>
        <x:v>상태 확인 필요</x:v>
      </x:c>
      <x:c r="L3150" s="2"/>
      <x:c r="M3150" s="2"/>
      <x:c r="N3150" s="8" t="n">
        <x:f>DATE(2026,10,15)-DATE(2019,10,11)</x:f>
        <x:v>2561</x:v>
      </x:c>
      <x:c r="O3150" s="2"/>
      <x:c r="P3150" s="2" t="str">
        <x:v>19년 12월 19일 신청 사업 ORS 반려 필요</x:v>
      </x:c>
      <x:c r="Q3150" s="2" t="str">
        <x:v>산업전환 외부사업 정보비공개 신청 관리 Tool_260707_LJY_261013.xlsx</x:v>
      </x:c>
      <x:c r="R3150" s="2" t="str">
        <x:v>(비공개)국내평가</x:v>
      </x:c>
      <x:c r="S3150" s="8" t="n">
        <x:v>58</x:v>
      </x:c>
      <x:c r="T3150" s="2"/>
      <x:c r="U3150" s="2" t="str"/>
      <x:c r="V3150" s="2" t="str">
        <x:v>2025-02-25</x:v>
      </x:c>
      <x:c r="W3150" s="2" t="str">
        <x:v>담당기관 확인 / 종결 여부 확인</x:v>
      </x:c>
      <x:c r="X3150" s="2" t="str">
        <x:v>원본·배정 기록 확인</x:v>
      </x:c>
      <x:c r="Y3150" s="2" t="str">
        <x:v>22df6d619b696c1eba8e26790f6382083d9fb1bc48481283e3e8a92ea6897677</x:v>
      </x:c>
      <x:c r="Z3150" s="2" t="n">
        <x:f>SUBTOTAL(103,A3150)</x:f>
        <x:v>1</x:v>
      </x:c>
      <x:c r="AA3150" s="2" t="str">
        <x:f>IF(K3150&lt;&gt;"미종결 표시","대상 아님",IF(N3150="","신청일 확인",IF(NOT(ISNUMBER('종합 현황'!$H$5)),"관찰기준 확인",IF('종합 현황'!$H$5&lt;1,"관찰기준 확인",IF(N3150&gt;'종합 현황'!$H$5,"내부 관찰 대상","내부 관찰일 이하")))))</x:f>
        <x:v>대상 아님</x:v>
      </x:c>
      <x:c r="AB3150" s="2"/>
    </x:row>
    <x:row r="3151" ht="42" customHeight="1">
      <x:c r="A3151" s="2" t="str">
        <x:v>f9d922e94b5fd3e908af326d</x:v>
      </x:c>
      <x:c r="B3151" s="2" t="str">
        <x:v>사업 비공개 신청</x:v>
      </x:c>
      <x:c r="C3151" s="2" t="str">
        <x:v>국내</x:v>
      </x:c>
      <x:c r="D3151" s="7" t="str">
        <x:v>대평산업개발의 정제유 및 B-C유에서 도시가스(LNG)로의 연료전환을 통한 온실가스 배출 감축사업</x:v>
      </x:c>
      <x:c r="E3151" s="2" t="str">
        <x:v>57</x:v>
      </x:c>
      <x:c r="F3151" s="2" t="str">
        <x:v>2019-08-23</x:v>
      </x:c>
      <x:c r="G3151" s="2" t="str">
        <x:v>2019</x:v>
      </x:c>
      <x:c r="H3151" s="2" t="str">
        <x:v>08</x:v>
      </x:c>
      <x:c r="I3151" s="2" t="str">
        <x:v>보완요청</x:v>
      </x:c>
      <x:c r="J3151" s="2" t="str">
        <x:v>보완요청</x:v>
      </x:c>
      <x:c r="K3151" s="2" t="str">
        <x:f>IF(OR(J3151="심의승인",J3151="반려",J3151="반려완료",J3151="심의완료"),"종결 표시",IF(OR(J3151="기후부협의",J3151="문서재제출요청",J3151="보류",J3151="보완요청",J3151="보완완료",J3151="평가중",J3151="반려요청",J3151="평가필요",LEFT(J3151,5)="보완요청("),"미종결 표시","상태 확인 필요"))</x:f>
        <x:v>미종결 표시</x:v>
      </x:c>
      <x:c r="L3151" s="2" t="str">
        <x:v>에코시안_박세은</x:v>
      </x:c>
      <x:c r="M3151" s="2"/>
      <x:c r="N3151" s="8" t="n">
        <x:f>DATE(2026,10,15)-DATE(2019,8,23)</x:f>
        <x:v>2610</x:v>
      </x:c>
      <x:c r="O3151" s="2"/>
      <x:c r="P3151" s="2" t="str">
        <x:v>사업계획서 내 보안유지 필요부분 구체화 필요</x:v>
      </x:c>
      <x:c r="Q3151" s="2" t="str">
        <x:v>산업전환 외부사업 정보비공개 신청 관리 Tool_260707_LJY_261013.xlsx</x:v>
      </x:c>
      <x:c r="R3151" s="2" t="str">
        <x:v>(비공개)국내평가</x:v>
      </x:c>
      <x:c r="S3151" s="8" t="n">
        <x:v>59</x:v>
      </x:c>
      <x:c r="T3151" s="2"/>
      <x:c r="U3151" s="2" t="str"/>
      <x:c r="V3151" s="2" t="str">
        <x:v>2022-06-02</x:v>
      </x:c>
      <x:c r="W3151" s="2" t="str"/>
      <x:c r="X3151" s="2" t="str">
        <x:v>보완 회신 일정 확인</x:v>
      </x:c>
      <x:c r="Y3151" s="2" t="str">
        <x:v>22df6d619b696c1eba8e26790f6382083d9fb1bc48481283e3e8a92ea6897677</x:v>
      </x:c>
      <x:c r="Z3151" s="2" t="n">
        <x:f>SUBTOTAL(103,A3151)</x:f>
        <x:v>1</x:v>
      </x:c>
      <x:c r="AA3151" s="2" t="str">
        <x:f>IF(K3151&lt;&gt;"미종결 표시","대상 아님",IF(N3151="","신청일 확인",IF(NOT(ISNUMBER('종합 현황'!$H$5)),"관찰기준 확인",IF('종합 현황'!$H$5&lt;1,"관찰기준 확인",IF(N3151&gt;'종합 현황'!$H$5,"내부 관찰 대상","내부 관찰일 이하")))))</x:f>
        <x:v>내부 관찰 대상</x:v>
      </x:c>
      <x:c r="AB3151" s="2"/>
    </x:row>
    <x:row r="3152" ht="42" customHeight="1">
      <x:c r="A3152" s="2" t="str">
        <x:v>e105c750bf894a32221abcb9</x:v>
      </x:c>
      <x:c r="B3152" s="2" t="str">
        <x:v>사업 비공개 신청</x:v>
      </x:c>
      <x:c r="C3152" s="2" t="str">
        <x:v>국내</x:v>
      </x:c>
      <x:c r="D3152" s="7" t="str">
        <x:v>덕산지에스의 부생연료유 2호에서 도시가스(LNG)로의 연료전환을 통한 온실가스 배출 감축사업</x:v>
      </x:c>
      <x:c r="E3152" s="2" t="str">
        <x:v>58</x:v>
      </x:c>
      <x:c r="F3152" s="2" t="str">
        <x:v>2019-07-29</x:v>
      </x:c>
      <x:c r="G3152" s="2" t="str">
        <x:v>2019</x:v>
      </x:c>
      <x:c r="H3152" s="2" t="str">
        <x:v>07</x:v>
      </x:c>
      <x:c r="I3152" s="2" t="str">
        <x:v>보완요청</x:v>
      </x:c>
      <x:c r="J3152" s="2" t="str">
        <x:v>보완요청</x:v>
      </x:c>
      <x:c r="K3152" s="2" t="str">
        <x:f>IF(OR(J3152="심의승인",J3152="반려",J3152="반려완료",J3152="심의완료"),"종결 표시",IF(OR(J3152="기후부협의",J3152="문서재제출요청",J3152="보류",J3152="보완요청",J3152="보완완료",J3152="평가중",J3152="반려요청",J3152="평가필요",LEFT(J3152,5)="보완요청("),"미종결 표시","상태 확인 필요"))</x:f>
        <x:v>미종결 표시</x:v>
      </x:c>
      <x:c r="L3152" s="2" t="str">
        <x:v>에코시안_박세은</x:v>
      </x:c>
      <x:c r="M3152" s="2"/>
      <x:c r="N3152" s="8" t="n">
        <x:f>DATE(2026,10,15)-DATE(2019,7,29)</x:f>
        <x:v>2635</x:v>
      </x:c>
      <x:c r="O3152" s="2"/>
      <x:c r="P3152" s="2" t="str">
        <x:v>사업계획서 내 보안유지 필요부분 구체화 필요</x:v>
      </x:c>
      <x:c r="Q3152" s="2" t="str">
        <x:v>산업전환 외부사업 정보비공개 신청 관리 Tool_260707_LJY_261013.xlsx</x:v>
      </x:c>
      <x:c r="R3152" s="2" t="str">
        <x:v>(비공개)국내평가</x:v>
      </x:c>
      <x:c r="S3152" s="8" t="n">
        <x:v>60</x:v>
      </x:c>
      <x:c r="T3152" s="2"/>
      <x:c r="U3152" s="2" t="str"/>
      <x:c r="V3152" s="2" t="str">
        <x:v>2022-06-02</x:v>
      </x:c>
      <x:c r="W3152" s="2" t="str"/>
      <x:c r="X3152" s="2" t="str">
        <x:v>보완 회신 일정 확인</x:v>
      </x:c>
      <x:c r="Y3152" s="2" t="str">
        <x:v>22df6d619b696c1eba8e26790f6382083d9fb1bc48481283e3e8a92ea6897677</x:v>
      </x:c>
      <x:c r="Z3152" s="2" t="n">
        <x:f>SUBTOTAL(103,A3152)</x:f>
        <x:v>1</x:v>
      </x:c>
      <x:c r="AA3152" s="2" t="str">
        <x:f>IF(K3152&lt;&gt;"미종결 표시","대상 아님",IF(N3152="","신청일 확인",IF(NOT(ISNUMBER('종합 현황'!$H$5)),"관찰기준 확인",IF('종합 현황'!$H$5&lt;1,"관찰기준 확인",IF(N3152&gt;'종합 현황'!$H$5,"내부 관찰 대상","내부 관찰일 이하")))))</x:f>
        <x:v>내부 관찰 대상</x:v>
      </x:c>
      <x:c r="AB3152" s="2"/>
    </x:row>
    <x:row r="3153" ht="42" customHeight="1">
      <x:c r="A3153" s="2" t="str">
        <x:v>2b49f6b96b3abbe7420265b5</x:v>
      </x:c>
      <x:c r="B3153" s="2" t="str">
        <x:v>사업 비공개 신청</x:v>
      </x:c>
      <x:c r="C3153" s="2" t="str">
        <x:v>국내</x:v>
      </x:c>
      <x:c r="D3153" s="7" t="str">
        <x:v>남부산업의 이온정제유에서 LNG로 연료전환을 통한 온실가스 배출 감축사업</x:v>
      </x:c>
      <x:c r="E3153" s="2" t="str">
        <x:v>59</x:v>
      </x:c>
      <x:c r="F3153" s="2" t="str">
        <x:v>2019-07-17</x:v>
      </x:c>
      <x:c r="G3153" s="2" t="str">
        <x:v>2019</x:v>
      </x:c>
      <x:c r="H3153" s="2" t="str">
        <x:v>07</x:v>
      </x:c>
      <x:c r="I3153" s="2" t="str">
        <x:v>보완요청</x:v>
      </x:c>
      <x:c r="J3153" s="2" t="str">
        <x:v>보완요청</x:v>
      </x:c>
      <x:c r="K3153" s="2" t="str">
        <x:f>IF(OR(J3153="심의승인",J3153="반려",J3153="반려완료",J3153="심의완료"),"종결 표시",IF(OR(J3153="기후부협의",J3153="문서재제출요청",J3153="보류",J3153="보완요청",J3153="보완완료",J3153="평가중",J3153="반려요청",J3153="평가필요",LEFT(J3153,5)="보완요청("),"미종결 표시","상태 확인 필요"))</x:f>
        <x:v>미종결 표시</x:v>
      </x:c>
      <x:c r="L3153" s="2" t="str">
        <x:v>에코시안_박세은</x:v>
      </x:c>
      <x:c r="M3153" s="2"/>
      <x:c r="N3153" s="8" t="n">
        <x:f>DATE(2026,10,15)-DATE(2019,7,17)</x:f>
        <x:v>2647</x:v>
      </x:c>
      <x:c r="O3153" s="2"/>
      <x:c r="P3153" s="2" t="str">
        <x:v>사업계획서 내 보안유지 필요부분 구체화 필요</x:v>
      </x:c>
      <x:c r="Q3153" s="2" t="str">
        <x:v>산업전환 외부사업 정보비공개 신청 관리 Tool_260707_LJY_261013.xlsx</x:v>
      </x:c>
      <x:c r="R3153" s="2" t="str">
        <x:v>(비공개)국내평가</x:v>
      </x:c>
      <x:c r="S3153" s="8" t="n">
        <x:v>61</x:v>
      </x:c>
      <x:c r="T3153" s="2"/>
      <x:c r="U3153" s="2" t="str"/>
      <x:c r="V3153" s="2" t="str">
        <x:v>2022-06-02</x:v>
      </x:c>
      <x:c r="W3153" s="2" t="str"/>
      <x:c r="X3153" s="2" t="str">
        <x:v>보완 회신 일정 확인</x:v>
      </x:c>
      <x:c r="Y3153" s="2" t="str">
        <x:v>22df6d619b696c1eba8e26790f6382083d9fb1bc48481283e3e8a92ea6897677</x:v>
      </x:c>
      <x:c r="Z3153" s="2" t="n">
        <x:f>SUBTOTAL(103,A3153)</x:f>
        <x:v>1</x:v>
      </x:c>
      <x:c r="AA3153" s="2" t="str">
        <x:f>IF(K3153&lt;&gt;"미종결 표시","대상 아님",IF(N3153="","신청일 확인",IF(NOT(ISNUMBER('종합 현황'!$H$5)),"관찰기준 확인",IF('종합 현황'!$H$5&lt;1,"관찰기준 확인",IF(N3153&gt;'종합 현황'!$H$5,"내부 관찰 대상","내부 관찰일 이하")))))</x:f>
        <x:v>내부 관찰 대상</x:v>
      </x:c>
      <x:c r="AB3153" s="2"/>
    </x:row>
    <x:row r="3154" ht="42" customHeight="1">
      <x:c r="A3154" s="2" t="str">
        <x:v>4010296babf22d8daae30ae0</x:v>
      </x:c>
      <x:c r="B3154" s="2" t="str">
        <x:v>사업 비공개 신청</x:v>
      </x:c>
      <x:c r="C3154" s="2" t="str">
        <x:v>국내</x:v>
      </x:c>
      <x:c r="D3154" s="7" t="str">
        <x:v>현대리바트의 부생연료 1호에서 LNG로 연료전환을 통한 온실가스 배출 감축사업</x:v>
      </x:c>
      <x:c r="E3154" s="2" t="str">
        <x:v>60</x:v>
      </x:c>
      <x:c r="F3154" s="2" t="str">
        <x:v>2019-06-13</x:v>
      </x:c>
      <x:c r="G3154" s="2" t="str">
        <x:v>2019</x:v>
      </x:c>
      <x:c r="H3154" s="2" t="str">
        <x:v>06</x:v>
      </x:c>
      <x:c r="I3154" s="2" t="str">
        <x:v>보완요청</x:v>
      </x:c>
      <x:c r="J3154" s="2" t="str">
        <x:v>보완요청</x:v>
      </x:c>
      <x:c r="K3154" s="2" t="str">
        <x:f>IF(OR(J3154="심의승인",J3154="반려",J3154="반려완료",J3154="심의완료"),"종결 표시",IF(OR(J3154="기후부협의",J3154="문서재제출요청",J3154="보류",J3154="보완요청",J3154="보완완료",J3154="평가중",J3154="반려요청",J3154="평가필요",LEFT(J3154,5)="보완요청("),"미종결 표시","상태 확인 필요"))</x:f>
        <x:v>미종결 표시</x:v>
      </x:c>
      <x:c r="L3154" s="2" t="str">
        <x:v>에코시안_박세은</x:v>
      </x:c>
      <x:c r="M3154" s="2"/>
      <x:c r="N3154" s="8" t="n">
        <x:f>DATE(2026,10,15)-DATE(2019,6,13)</x:f>
        <x:v>2681</x:v>
      </x:c>
      <x:c r="O3154" s="2"/>
      <x:c r="P3154" s="2" t="str">
        <x:v>사업계획서 내 보안유지 필요부분 구체화 필요</x:v>
      </x:c>
      <x:c r="Q3154" s="2" t="str">
        <x:v>산업전환 외부사업 정보비공개 신청 관리 Tool_260707_LJY_261013.xlsx</x:v>
      </x:c>
      <x:c r="R3154" s="2" t="str">
        <x:v>(비공개)국내평가</x:v>
      </x:c>
      <x:c r="S3154" s="8" t="n">
        <x:v>62</x:v>
      </x:c>
      <x:c r="T3154" s="2"/>
      <x:c r="U3154" s="2" t="str"/>
      <x:c r="V3154" s="2" t="str">
        <x:v>2022-06-02</x:v>
      </x:c>
      <x:c r="W3154" s="2" t="str"/>
      <x:c r="X3154" s="2" t="str">
        <x:v>보완 회신 일정 확인</x:v>
      </x:c>
      <x:c r="Y3154" s="2" t="str">
        <x:v>22df6d619b696c1eba8e26790f6382083d9fb1bc48481283e3e8a92ea6897677</x:v>
      </x:c>
      <x:c r="Z3154" s="2" t="n">
        <x:f>SUBTOTAL(103,A3154)</x:f>
        <x:v>1</x:v>
      </x:c>
      <x:c r="AA3154" s="2" t="str">
        <x:f>IF(K3154&lt;&gt;"미종결 표시","대상 아님",IF(N3154="","신청일 확인",IF(NOT(ISNUMBER('종합 현황'!$H$5)),"관찰기준 확인",IF('종합 현황'!$H$5&lt;1,"관찰기준 확인",IF(N3154&gt;'종합 현황'!$H$5,"내부 관찰 대상","내부 관찰일 이하")))))</x:f>
        <x:v>내부 관찰 대상</x:v>
      </x:c>
      <x:c r="AB3154" s="2"/>
    </x:row>
    <x:row r="3155" ht="42" customHeight="1">
      <x:c r="A3155" s="2" t="str">
        <x:v>b788e4cf0f2b93024726d910</x:v>
      </x:c>
      <x:c r="B3155" s="2" t="str">
        <x:v>사업 비공개 신청</x:v>
      </x:c>
      <x:c r="C3155" s="2" t="str">
        <x:v>국내</x:v>
      </x:c>
      <x:c r="D3155" s="7" t="str">
        <x:v>삼일이노팩의 B-C유에서 LNG로 연료전환을 통한 온실가스 배출 감축사업</x:v>
      </x:c>
      <x:c r="E3155" s="2" t="str">
        <x:v>61</x:v>
      </x:c>
      <x:c r="F3155" s="2" t="str">
        <x:v>2019-05-14</x:v>
      </x:c>
      <x:c r="G3155" s="2" t="str">
        <x:v>2019</x:v>
      </x:c>
      <x:c r="H3155" s="2" t="str">
        <x:v>05</x:v>
      </x:c>
      <x:c r="I3155" s="2" t="str">
        <x:v>보완요청</x:v>
      </x:c>
      <x:c r="J3155" s="2" t="str">
        <x:v>보완요청</x:v>
      </x:c>
      <x:c r="K3155" s="2" t="str">
        <x:f>IF(OR(J3155="심의승인",J3155="반려",J3155="반려완료",J3155="심의완료"),"종결 표시",IF(OR(J3155="기후부협의",J3155="문서재제출요청",J3155="보류",J3155="보완요청",J3155="보완완료",J3155="평가중",J3155="반려요청",J3155="평가필요",LEFT(J3155,5)="보완요청("),"미종결 표시","상태 확인 필요"))</x:f>
        <x:v>미종결 표시</x:v>
      </x:c>
      <x:c r="L3155" s="2" t="str">
        <x:v>에코시안_박세은</x:v>
      </x:c>
      <x:c r="M3155" s="2"/>
      <x:c r="N3155" s="8" t="n">
        <x:f>DATE(2026,10,15)-DATE(2019,5,14)</x:f>
        <x:v>2711</x:v>
      </x:c>
      <x:c r="O3155" s="2"/>
      <x:c r="P3155" s="2" t="str">
        <x:v>사업계획서 내 보안유지 필요부분 구체화 필요</x:v>
      </x:c>
      <x:c r="Q3155" s="2" t="str">
        <x:v>산업전환 외부사업 정보비공개 신청 관리 Tool_260707_LJY_261013.xlsx</x:v>
      </x:c>
      <x:c r="R3155" s="2" t="str">
        <x:v>(비공개)국내평가</x:v>
      </x:c>
      <x:c r="S3155" s="8" t="n">
        <x:v>63</x:v>
      </x:c>
      <x:c r="T3155" s="2"/>
      <x:c r="U3155" s="2" t="str"/>
      <x:c r="V3155" s="2" t="str">
        <x:v>2022-06-02</x:v>
      </x:c>
      <x:c r="W3155" s="2" t="str"/>
      <x:c r="X3155" s="2" t="str">
        <x:v>보완 회신 일정 확인</x:v>
      </x:c>
      <x:c r="Y3155" s="2" t="str">
        <x:v>22df6d619b696c1eba8e26790f6382083d9fb1bc48481283e3e8a92ea6897677</x:v>
      </x:c>
      <x:c r="Z3155" s="2" t="n">
        <x:f>SUBTOTAL(103,A3155)</x:f>
        <x:v>1</x:v>
      </x:c>
      <x:c r="AA3155" s="2" t="str">
        <x:f>IF(K3155&lt;&gt;"미종결 표시","대상 아님",IF(N3155="","신청일 확인",IF(NOT(ISNUMBER('종합 현황'!$H$5)),"관찰기준 확인",IF('종합 현황'!$H$5&lt;1,"관찰기준 확인",IF(N3155&gt;'종합 현황'!$H$5,"내부 관찰 대상","내부 관찰일 이하")))))</x:f>
        <x:v>내부 관찰 대상</x:v>
      </x:c>
      <x:c r="AB3155" s="2"/>
    </x:row>
    <x:row r="3156" ht="42" customHeight="1">
      <x:c r="A3156" s="2" t="str">
        <x:v>5b0158528849283df70b61c8</x:v>
      </x:c>
      <x:c r="B3156" s="2" t="str">
        <x:v>사업 비공개 신청</x:v>
      </x:c>
      <x:c r="C3156" s="2" t="str">
        <x:v>국내</x:v>
      </x:c>
      <x:c r="D3156" s="7" t="str">
        <x:v>이연제약 진천공장의 B-C유에서 LNG로의 연료전환을 통한 온실가스 배출 감축사업</x:v>
      </x:c>
      <x:c r="E3156" s="2" t="str">
        <x:v>62</x:v>
      </x:c>
      <x:c r="F3156" s="2" t="str">
        <x:v>2019-04-02</x:v>
      </x:c>
      <x:c r="G3156" s="2" t="str">
        <x:v>2019</x:v>
      </x:c>
      <x:c r="H3156" s="2" t="str">
        <x:v>04</x:v>
      </x:c>
      <x:c r="I3156" s="2" t="str">
        <x:v>보완요청</x:v>
      </x:c>
      <x:c r="J3156" s="2" t="str">
        <x:v>보완요청</x:v>
      </x:c>
      <x:c r="K3156" s="2" t="str">
        <x:f>IF(OR(J3156="심의승인",J3156="반려",J3156="반려완료",J3156="심의완료"),"종결 표시",IF(OR(J3156="기후부협의",J3156="문서재제출요청",J3156="보류",J3156="보완요청",J3156="보완완료",J3156="평가중",J3156="반려요청",J3156="평가필요",LEFT(J3156,5)="보완요청("),"미종결 표시","상태 확인 필요"))</x:f>
        <x:v>미종결 표시</x:v>
      </x:c>
      <x:c r="L3156" s="2" t="str">
        <x:v>에코시안_박세은</x:v>
      </x:c>
      <x:c r="M3156" s="2"/>
      <x:c r="N3156" s="8" t="n">
        <x:f>DATE(2026,10,15)-DATE(2019,4,2)</x:f>
        <x:v>2753</x:v>
      </x:c>
      <x:c r="O3156" s="2"/>
      <x:c r="P3156" s="2" t="str">
        <x:v>사업계획서 내 보안유지 필요부분 구체화 필요</x:v>
      </x:c>
      <x:c r="Q3156" s="2" t="str">
        <x:v>산업전환 외부사업 정보비공개 신청 관리 Tool_260707_LJY_261013.xlsx</x:v>
      </x:c>
      <x:c r="R3156" s="2" t="str">
        <x:v>(비공개)국내평가</x:v>
      </x:c>
      <x:c r="S3156" s="8" t="n">
        <x:v>64</x:v>
      </x:c>
      <x:c r="T3156" s="2"/>
      <x:c r="U3156" s="2" t="str"/>
      <x:c r="V3156" s="2" t="str">
        <x:v>2022-06-02</x:v>
      </x:c>
      <x:c r="W3156" s="2" t="str"/>
      <x:c r="X3156" s="2" t="str">
        <x:v>보완 회신 일정 확인</x:v>
      </x:c>
      <x:c r="Y3156" s="2" t="str">
        <x:v>22df6d619b696c1eba8e26790f6382083d9fb1bc48481283e3e8a92ea6897677</x:v>
      </x:c>
      <x:c r="Z3156" s="2" t="n">
        <x:f>SUBTOTAL(103,A3156)</x:f>
        <x:v>1</x:v>
      </x:c>
      <x:c r="AA3156" s="2" t="str">
        <x:f>IF(K3156&lt;&gt;"미종결 표시","대상 아님",IF(N3156="","신청일 확인",IF(NOT(ISNUMBER('종합 현황'!$H$5)),"관찰기준 확인",IF('종합 현황'!$H$5&lt;1,"관찰기준 확인",IF(N3156&gt;'종합 현황'!$H$5,"내부 관찰 대상","내부 관찰일 이하")))))</x:f>
        <x:v>내부 관찰 대상</x:v>
      </x:c>
      <x:c r="AB3156" s="2"/>
    </x:row>
    <x:row r="3157" ht="42" customHeight="1">
      <x:c r="A3157" s="2" t="str">
        <x:v>b99b6524c97e6b094571a96d</x:v>
      </x:c>
      <x:c r="B3157" s="2" t="str">
        <x:v>사업 비공개 신청</x:v>
      </x:c>
      <x:c r="C3157" s="2" t="str">
        <x:v>국내</x:v>
      </x:c>
      <x:c r="D3157" s="7" t="str">
        <x:v>에이스침대 여주공장의 B-C유에서 도시가스(LNG)로 연료전환을 통한 온실가스 배출 감축사업</x:v>
      </x:c>
      <x:c r="E3157" s="2" t="str">
        <x:v>63</x:v>
      </x:c>
      <x:c r="F3157" s="2" t="str">
        <x:v>2019-04-02</x:v>
      </x:c>
      <x:c r="G3157" s="2" t="str">
        <x:v>2019</x:v>
      </x:c>
      <x:c r="H3157" s="2" t="str">
        <x:v>04</x:v>
      </x:c>
      <x:c r="I3157" s="2" t="str">
        <x:v>보완요청</x:v>
      </x:c>
      <x:c r="J3157" s="2" t="str">
        <x:v>보완요청</x:v>
      </x:c>
      <x:c r="K3157" s="2" t="str">
        <x:f>IF(OR(J3157="심의승인",J3157="반려",J3157="반려완료",J3157="심의완료"),"종결 표시",IF(OR(J3157="기후부협의",J3157="문서재제출요청",J3157="보류",J3157="보완요청",J3157="보완완료",J3157="평가중",J3157="반려요청",J3157="평가필요",LEFT(J3157,5)="보완요청("),"미종결 표시","상태 확인 필요"))</x:f>
        <x:v>미종결 표시</x:v>
      </x:c>
      <x:c r="L3157" s="2"/>
      <x:c r="M3157" s="2"/>
      <x:c r="N3157" s="8" t="n">
        <x:f>DATE(2026,10,15)-DATE(2019,4,2)</x:f>
        <x:v>2753</x:v>
      </x:c>
      <x:c r="O3157" s="2"/>
      <x:c r="P3157" s="2" t="str">
        <x:v>사업계획서 내 보안유지 필요부분 구체화 필요</x:v>
      </x:c>
      <x:c r="Q3157" s="2" t="str">
        <x:v>산업전환 외부사업 정보비공개 신청 관리 Tool_260707_LJY_261013.xlsx</x:v>
      </x:c>
      <x:c r="R3157" s="2" t="str">
        <x:v>(비공개)국내평가</x:v>
      </x:c>
      <x:c r="S3157" s="8" t="n">
        <x:v>65</x:v>
      </x:c>
      <x:c r="T3157" s="2"/>
      <x:c r="U3157" s="2" t="str"/>
      <x:c r="V3157" s="2" t="str">
        <x:v>2023-03-27</x:v>
      </x:c>
      <x:c r="W3157" s="2" t="str">
        <x:v>담당기관 확인</x:v>
      </x:c>
      <x:c r="X3157" s="2" t="str">
        <x:v>원본·배정 기록 확인</x:v>
      </x:c>
      <x:c r="Y3157" s="2" t="str">
        <x:v>22df6d619b696c1eba8e26790f6382083d9fb1bc48481283e3e8a92ea6897677</x:v>
      </x:c>
      <x:c r="Z3157" s="2" t="n">
        <x:f>SUBTOTAL(103,A3157)</x:f>
        <x:v>1</x:v>
      </x:c>
      <x:c r="AA3157" s="2" t="str">
        <x:f>IF(K3157&lt;&gt;"미종결 표시","대상 아님",IF(N3157="","신청일 확인",IF(NOT(ISNUMBER('종합 현황'!$H$5)),"관찰기준 확인",IF('종합 현황'!$H$5&lt;1,"관찰기준 확인",IF(N3157&gt;'종합 현황'!$H$5,"내부 관찰 대상","내부 관찰일 이하")))))</x:f>
        <x:v>내부 관찰 대상</x:v>
      </x:c>
      <x:c r="AB3157" s="2"/>
    </x:row>
    <x:row r="3158" ht="42" customHeight="1">
      <x:c r="A3158" s="2" t="str">
        <x:v>dc1a7f06e6a947259beb3cd3</x:v>
      </x:c>
      <x:c r="B3158" s="2" t="str">
        <x:v>사업 비공개 신청</x:v>
      </x:c>
      <x:c r="C3158" s="2" t="str">
        <x:v>국내</x:v>
      </x:c>
      <x:c r="D3158" s="7" t="str">
        <x:v>에이스침대 중부공장의 B-C유에서 도시가스(LNG)로 연료전환을 통한 온실가스 배출 감축사업</x:v>
      </x:c>
      <x:c r="E3158" s="2" t="str">
        <x:v>64</x:v>
      </x:c>
      <x:c r="F3158" s="2" t="str">
        <x:v>2024-07-16</x:v>
      </x:c>
      <x:c r="G3158" s="2" t="str">
        <x:v>2024</x:v>
      </x:c>
      <x:c r="H3158" s="2" t="str">
        <x:v>07</x:v>
      </x:c>
      <x:c r="I3158" s="2" t="str">
        <x:v>심의완료</x:v>
      </x:c>
      <x:c r="J3158" s="2" t="str">
        <x:v>심의승인</x:v>
      </x:c>
      <x:c r="K3158" s="2" t="str">
        <x:f>IF(OR(J3158="심의승인",J3158="반려",J3158="반려완료",J3158="심의완료"),"종결 표시",IF(OR(J3158="기후부협의",J3158="문서재제출요청",J3158="보류",J3158="보완요청",J3158="보완완료",J3158="평가중",J3158="반려요청",J3158="평가필요",LEFT(J3158,5)="보완요청("),"미종결 표시","상태 확인 필요"))</x:f>
        <x:v>종결 표시</x:v>
      </x:c>
      <x:c r="L3158" s="2" t="str">
        <x:v>에코시안_조은지</x:v>
      </x:c>
      <x:c r="M3158" s="2"/>
      <x:c r="N3158" s="8" t="n">
        <x:f>DATE(2026,10,15)-DATE(2024,7,16)</x:f>
        <x:v>821</x:v>
      </x:c>
      <x:c r="O3158" s="2"/>
      <x:c r="P3158" s="2"/>
      <x:c r="Q3158" s="2" t="str">
        <x:v>산업전환 외부사업 정보비공개 신청 관리 Tool_260707_LJY_261013.xlsx</x:v>
      </x:c>
      <x:c r="R3158" s="2" t="str">
        <x:v>(비공개)국내평가</x:v>
      </x:c>
      <x:c r="S3158" s="8" t="n">
        <x:v>66</x:v>
      </x:c>
      <x:c r="T3158" s="2"/>
      <x:c r="U3158" s="2" t="str"/>
      <x:c r="V3158" s="2" t="str">
        <x:v>2024-09-19</x:v>
      </x:c>
      <x:c r="W3158" s="2" t="str"/>
      <x:c r="X3158" s="2" t="str">
        <x:v>종결 근거 보관</x:v>
      </x:c>
      <x:c r="Y3158" s="2" t="str">
        <x:v>22df6d619b696c1eba8e26790f6382083d9fb1bc48481283e3e8a92ea6897677</x:v>
      </x:c>
      <x:c r="Z3158" s="2" t="n">
        <x:f>SUBTOTAL(103,A3158)</x:f>
        <x:v>1</x:v>
      </x:c>
      <x:c r="AA3158" s="2" t="str">
        <x:f>IF(K3158&lt;&gt;"미종결 표시","대상 아님",IF(N3158="","신청일 확인",IF(NOT(ISNUMBER('종합 현황'!$H$5)),"관찰기준 확인",IF('종합 현황'!$H$5&lt;1,"관찰기준 확인",IF(N3158&gt;'종합 현황'!$H$5,"내부 관찰 대상","내부 관찰일 이하")))))</x:f>
        <x:v>대상 아님</x:v>
      </x:c>
      <x:c r="AB3158" s="2"/>
    </x:row>
    <x:row r="3159" ht="42" customHeight="1">
      <x:c r="A3159" s="2" t="str">
        <x:v>0ed5c9cd7a0d172642c0d767</x:v>
      </x:c>
      <x:c r="B3159" s="2" t="str">
        <x:v>사업 비공개 신청</x:v>
      </x:c>
      <x:c r="C3159" s="2" t="str">
        <x:v>국내</x:v>
      </x:c>
      <x:c r="D3159" s="7" t="str">
        <x:v>부일레미콘의 B-C유에서 도시가스(LNG)로 연료전환을 통한 온실가스 배출 감축사업</x:v>
      </x:c>
      <x:c r="E3159" s="2" t="str">
        <x:v>65</x:v>
      </x:c>
      <x:c r="F3159" s="2" t="str">
        <x:v>2019-04-02</x:v>
      </x:c>
      <x:c r="G3159" s="2" t="str">
        <x:v>2019</x:v>
      </x:c>
      <x:c r="H3159" s="2" t="str">
        <x:v>04</x:v>
      </x:c>
      <x:c r="I3159" s="2" t="str">
        <x:v>보완요청</x:v>
      </x:c>
      <x:c r="J3159" s="2" t="str">
        <x:v>보완요청</x:v>
      </x:c>
      <x:c r="K3159" s="2" t="str">
        <x:f>IF(OR(J3159="심의승인",J3159="반려",J3159="반려완료",J3159="심의완료"),"종결 표시",IF(OR(J3159="기후부협의",J3159="문서재제출요청",J3159="보류",J3159="보완요청",J3159="보완완료",J3159="평가중",J3159="반려요청",J3159="평가필요",LEFT(J3159,5)="보완요청("),"미종결 표시","상태 확인 필요"))</x:f>
        <x:v>미종결 표시</x:v>
      </x:c>
      <x:c r="L3159" s="2" t="str">
        <x:v>에코시안_박세은</x:v>
      </x:c>
      <x:c r="M3159" s="2"/>
      <x:c r="N3159" s="8" t="n">
        <x:f>DATE(2026,10,15)-DATE(2019,4,2)</x:f>
        <x:v>2753</x:v>
      </x:c>
      <x:c r="O3159" s="2"/>
      <x:c r="P3159" s="2" t="str">
        <x:v>사업계획서 내 보안유지 필요부분 구체화 필요</x:v>
      </x:c>
      <x:c r="Q3159" s="2" t="str">
        <x:v>산업전환 외부사업 정보비공개 신청 관리 Tool_260707_LJY_261013.xlsx</x:v>
      </x:c>
      <x:c r="R3159" s="2" t="str">
        <x:v>(비공개)국내평가</x:v>
      </x:c>
      <x:c r="S3159" s="8" t="n">
        <x:v>67</x:v>
      </x:c>
      <x:c r="T3159" s="2"/>
      <x:c r="U3159" s="2" t="str"/>
      <x:c r="V3159" s="2" t="str">
        <x:v>2022-06-02</x:v>
      </x:c>
      <x:c r="W3159" s="2" t="str"/>
      <x:c r="X3159" s="2" t="str">
        <x:v>보완 회신 일정 확인</x:v>
      </x:c>
      <x:c r="Y3159" s="2" t="str">
        <x:v>22df6d619b696c1eba8e26790f6382083d9fb1bc48481283e3e8a92ea6897677</x:v>
      </x:c>
      <x:c r="Z3159" s="2" t="n">
        <x:f>SUBTOTAL(103,A3159)</x:f>
        <x:v>1</x:v>
      </x:c>
      <x:c r="AA3159" s="2" t="str">
        <x:f>IF(K3159&lt;&gt;"미종결 표시","대상 아님",IF(N3159="","신청일 확인",IF(NOT(ISNUMBER('종합 현황'!$H$5)),"관찰기준 확인",IF('종합 현황'!$H$5&lt;1,"관찰기준 확인",IF(N3159&gt;'종합 현황'!$H$5,"내부 관찰 대상","내부 관찰일 이하")))))</x:f>
        <x:v>내부 관찰 대상</x:v>
      </x:c>
      <x:c r="AB3159" s="2"/>
    </x:row>
    <x:row r="3160" ht="42" customHeight="1">
      <x:c r="A3160" s="2" t="str">
        <x:v>ac84b0b0cc1d6af3cec306d9</x:v>
      </x:c>
      <x:c r="B3160" s="2" t="str">
        <x:v>사업 비공개 신청</x:v>
      </x:c>
      <x:c r="C3160" s="2" t="str">
        <x:v>국내</x:v>
      </x:c>
      <x:c r="D3160" s="7" t="str">
        <x:v>고효율 공기압축기 도입을 통한 온실가스 감축사업</x:v>
      </x:c>
      <x:c r="E3160" s="2" t="str">
        <x:v>66</x:v>
      </x:c>
      <x:c r="F3160" s="2" t="str">
        <x:v>2018-12-03</x:v>
      </x:c>
      <x:c r="G3160" s="2" t="str">
        <x:v>2018</x:v>
      </x:c>
      <x:c r="H3160" s="2" t="str">
        <x:v>12</x:v>
      </x:c>
      <x:c r="I3160" s="2" t="str">
        <x:v>반려</x:v>
      </x:c>
      <x:c r="J3160" s="2" t="str">
        <x:v>선택</x:v>
      </x:c>
      <x:c r="K3160" s="2" t="str">
        <x:f>IF(OR(J3160="심의승인",J3160="반려",J3160="반려완료",J3160="심의완료"),"종결 표시",IF(OR(J3160="기후부협의",J3160="문서재제출요청",J3160="보류",J3160="보완요청",J3160="보완완료",J3160="평가중",J3160="반려요청",J3160="평가필요",LEFT(J3160,5)="보완요청("),"미종결 표시","상태 확인 필요"))</x:f>
        <x:v>상태 확인 필요</x:v>
      </x:c>
      <x:c r="L3160" s="2"/>
      <x:c r="M3160" s="2"/>
      <x:c r="N3160" s="8" t="n">
        <x:f>DATE(2026,10,15)-DATE(2018,12,3)</x:f>
        <x:v>2873</x:v>
      </x:c>
      <x:c r="O3160" s="2"/>
      <x:c r="P3160" s="2"/>
      <x:c r="Q3160" s="2" t="str">
        <x:v>산업전환 외부사업 정보비공개 신청 관리 Tool_260707_LJY_261013.xlsx</x:v>
      </x:c>
      <x:c r="R3160" s="2" t="str">
        <x:v>(비공개)국내평가</x:v>
      </x:c>
      <x:c r="S3160" s="8" t="n">
        <x:v>68</x:v>
      </x:c>
      <x:c r="T3160" s="2"/>
      <x:c r="U3160" s="2" t="str"/>
      <x:c r="V3160" s="2" t="str">
        <x:v>2025-02-25</x:v>
      </x:c>
      <x:c r="W3160" s="2" t="str">
        <x:v>담당기관 확인 / 종결 여부 확인</x:v>
      </x:c>
      <x:c r="X3160" s="2" t="str">
        <x:v>원본·배정 기록 확인</x:v>
      </x:c>
      <x:c r="Y3160" s="2" t="str">
        <x:v>22df6d619b696c1eba8e26790f6382083d9fb1bc48481283e3e8a92ea6897677</x:v>
      </x:c>
      <x:c r="Z3160" s="2" t="n">
        <x:f>SUBTOTAL(103,A3160)</x:f>
        <x:v>1</x:v>
      </x:c>
      <x:c r="AA3160" s="2" t="str">
        <x:f>IF(K3160&lt;&gt;"미종결 표시","대상 아님",IF(N3160="","신청일 확인",IF(NOT(ISNUMBER('종합 현황'!$H$5)),"관찰기준 확인",IF('종합 현황'!$H$5&lt;1,"관찰기준 확인",IF(N3160&gt;'종합 현황'!$H$5,"내부 관찰 대상","내부 관찰일 이하")))))</x:f>
        <x:v>대상 아님</x:v>
      </x:c>
      <x:c r="AB3160" s="2"/>
    </x:row>
    <x:row r="3161" ht="42" customHeight="1">
      <x:c r="A3161" s="2" t="str">
        <x:v>35401e535fa9566d40e9145d</x:v>
      </x:c>
      <x:c r="B3161" s="2" t="str">
        <x:v>사업 비공개 신청</x:v>
      </x:c>
      <x:c r="C3161" s="2" t="str">
        <x:v>국내</x:v>
      </x:c>
      <x:c r="D3161" s="7" t="str">
        <x:v>서울시 태양광 미니발전소 보급사업에 의한 온실가스 배출량 감축사업</x:v>
      </x:c>
      <x:c r="E3161" s="2" t="str">
        <x:v>67</x:v>
      </x:c>
      <x:c r="F3161" s="2" t="str">
        <x:v>2018-11-08</x:v>
      </x:c>
      <x:c r="G3161" s="2" t="str">
        <x:v>2018</x:v>
      </x:c>
      <x:c r="H3161" s="2" t="str">
        <x:v>11</x:v>
      </x:c>
      <x:c r="I3161" s="2" t="str">
        <x:v>반려</x:v>
      </x:c>
      <x:c r="J3161" s="2" t="str">
        <x:v>선택</x:v>
      </x:c>
      <x:c r="K3161" s="2" t="str">
        <x:f>IF(OR(J3161="심의승인",J3161="반려",J3161="반려완료",J3161="심의완료"),"종결 표시",IF(OR(J3161="기후부협의",J3161="문서재제출요청",J3161="보류",J3161="보완요청",J3161="보완완료",J3161="평가중",J3161="반려요청",J3161="평가필요",LEFT(J3161,5)="보완요청("),"미종결 표시","상태 확인 필요"))</x:f>
        <x:v>상태 확인 필요</x:v>
      </x:c>
      <x:c r="L3161" s="2"/>
      <x:c r="M3161" s="2"/>
      <x:c r="N3161" s="8" t="n">
        <x:f>DATE(2026,10,15)-DATE(2018,11,8)</x:f>
        <x:v>2898</x:v>
      </x:c>
      <x:c r="O3161" s="2"/>
      <x:c r="P3161" s="2"/>
      <x:c r="Q3161" s="2" t="str">
        <x:v>산업전환 외부사업 정보비공개 신청 관리 Tool_260707_LJY_261013.xlsx</x:v>
      </x:c>
      <x:c r="R3161" s="2" t="str">
        <x:v>(비공개)국내평가</x:v>
      </x:c>
      <x:c r="S3161" s="8" t="n">
        <x:v>69</x:v>
      </x:c>
      <x:c r="T3161" s="2"/>
      <x:c r="U3161" s="2" t="str"/>
      <x:c r="V3161" s="2" t="str">
        <x:v>2025-02-25</x:v>
      </x:c>
      <x:c r="W3161" s="2" t="str">
        <x:v>담당기관 확인 / 종결 여부 확인</x:v>
      </x:c>
      <x:c r="X3161" s="2" t="str">
        <x:v>원본·배정 기록 확인</x:v>
      </x:c>
      <x:c r="Y3161" s="2" t="str">
        <x:v>22df6d619b696c1eba8e26790f6382083d9fb1bc48481283e3e8a92ea6897677</x:v>
      </x:c>
      <x:c r="Z3161" s="2" t="n">
        <x:f>SUBTOTAL(103,A3161)</x:f>
        <x:v>1</x:v>
      </x:c>
      <x:c r="AA3161" s="2" t="str">
        <x:f>IF(K3161&lt;&gt;"미종결 표시","대상 아님",IF(N3161="","신청일 확인",IF(NOT(ISNUMBER('종합 현황'!$H$5)),"관찰기준 확인",IF('종합 현황'!$H$5&lt;1,"관찰기준 확인",IF(N3161&gt;'종합 현황'!$H$5,"내부 관찰 대상","내부 관찰일 이하")))))</x:f>
        <x:v>대상 아님</x:v>
      </x:c>
      <x:c r="AB3161" s="2"/>
    </x:row>
    <x:row r="3162" ht="42" customHeight="1">
      <x:c r="A3162" s="2" t="str">
        <x:v>c013c8888eead70d80cc9b19</x:v>
      </x:c>
      <x:c r="B3162" s="2" t="str">
        <x:v>사업 비공개 신청</x:v>
      </x:c>
      <x:c r="C3162" s="2" t="str">
        <x:v>국내</x:v>
      </x:c>
      <x:c r="D3162" s="7" t="str">
        <x:v>(주)동방전기에서의 가스절연개폐장치 검사용 SF6 회수․정제 및 재사용을 통한 SF6 감축사업</x:v>
      </x:c>
      <x:c r="E3162" s="2" t="str">
        <x:v>68</x:v>
      </x:c>
      <x:c r="F3162" s="2" t="str">
        <x:v>2018-10-23</x:v>
      </x:c>
      <x:c r="G3162" s="2" t="str">
        <x:v>2018</x:v>
      </x:c>
      <x:c r="H3162" s="2" t="str">
        <x:v>10</x:v>
      </x:c>
      <x:c r="I3162" s="2" t="str">
        <x:v>반려</x:v>
      </x:c>
      <x:c r="J3162" s="2" t="str">
        <x:v>선택</x:v>
      </x:c>
      <x:c r="K3162" s="2" t="str">
        <x:f>IF(OR(J3162="심의승인",J3162="반려",J3162="반려완료",J3162="심의완료"),"종결 표시",IF(OR(J3162="기후부협의",J3162="문서재제출요청",J3162="보류",J3162="보완요청",J3162="보완완료",J3162="평가중",J3162="반려요청",J3162="평가필요",LEFT(J3162,5)="보완요청("),"미종결 표시","상태 확인 필요"))</x:f>
        <x:v>상태 확인 필요</x:v>
      </x:c>
      <x:c r="L3162" s="2"/>
      <x:c r="M3162" s="2"/>
      <x:c r="N3162" s="8" t="n">
        <x:f>DATE(2026,10,15)-DATE(2018,10,23)</x:f>
        <x:v>2914</x:v>
      </x:c>
      <x:c r="O3162" s="2"/>
      <x:c r="P3162" s="2"/>
      <x:c r="Q3162" s="2" t="str">
        <x:v>산업전환 외부사업 정보비공개 신청 관리 Tool_260707_LJY_261013.xlsx</x:v>
      </x:c>
      <x:c r="R3162" s="2" t="str">
        <x:v>(비공개)국내평가</x:v>
      </x:c>
      <x:c r="S3162" s="8" t="n">
        <x:v>70</x:v>
      </x:c>
      <x:c r="T3162" s="2"/>
      <x:c r="U3162" s="2" t="str"/>
      <x:c r="V3162" s="2" t="str">
        <x:v>2025-02-25</x:v>
      </x:c>
      <x:c r="W3162" s="2" t="str">
        <x:v>담당기관 확인 / 종결 여부 확인</x:v>
      </x:c>
      <x:c r="X3162" s="2" t="str">
        <x:v>원본·배정 기록 확인</x:v>
      </x:c>
      <x:c r="Y3162" s="2" t="str">
        <x:v>22df6d619b696c1eba8e26790f6382083d9fb1bc48481283e3e8a92ea6897677</x:v>
      </x:c>
      <x:c r="Z3162" s="2" t="n">
        <x:f>SUBTOTAL(103,A3162)</x:f>
        <x:v>1</x:v>
      </x:c>
      <x:c r="AA3162" s="2" t="str">
        <x:f>IF(K3162&lt;&gt;"미종결 표시","대상 아님",IF(N3162="","신청일 확인",IF(NOT(ISNUMBER('종합 현황'!$H$5)),"관찰기준 확인",IF('종합 현황'!$H$5&lt;1,"관찰기준 확인",IF(N3162&gt;'종합 현황'!$H$5,"내부 관찰 대상","내부 관찰일 이하")))))</x:f>
        <x:v>대상 아님</x:v>
      </x:c>
      <x:c r="AB3162" s="2"/>
    </x:row>
    <x:row r="3163" ht="42" customHeight="1">
      <x:c r="A3163" s="2" t="str">
        <x:v>815eec1cf1d9e8329e30b0cd</x:v>
      </x:c>
      <x:c r="B3163" s="2" t="str">
        <x:v>사업 비공개 신청</x:v>
      </x:c>
      <x:c r="C3163" s="2" t="str">
        <x:v>국내</x:v>
      </x:c>
      <x:c r="D3163" s="7" t="str">
        <x:v>제천 장락 주공 1단지 아파트 연료전환을 통한 온실가스 감축사업</x:v>
      </x:c>
      <x:c r="E3163" s="2" t="str">
        <x:v>69</x:v>
      </x:c>
      <x:c r="F3163" s="2" t="str">
        <x:v>2025-08-06</x:v>
      </x:c>
      <x:c r="G3163" s="2" t="str">
        <x:v>2025</x:v>
      </x:c>
      <x:c r="H3163" s="2" t="str">
        <x:v>08</x:v>
      </x:c>
      <x:c r="I3163" s="2" t="str">
        <x:v>반려</x:v>
      </x:c>
      <x:c r="J3163" s="2" t="str">
        <x:v>반려완료</x:v>
      </x:c>
      <x:c r="K3163" s="2" t="str">
        <x:f>IF(OR(J3163="심의승인",J3163="반려",J3163="반려완료",J3163="심의완료"),"종결 표시",IF(OR(J3163="기후부협의",J3163="문서재제출요청",J3163="보류",J3163="보완요청",J3163="보완완료",J3163="평가중",J3163="반려요청",J3163="평가필요",LEFT(J3163,5)="보완요청("),"미종결 표시","상태 확인 필요"))</x:f>
        <x:v>종결 표시</x:v>
      </x:c>
      <x:c r="L3163" s="2" t="str">
        <x:v>에코시안_남혜원</x:v>
      </x:c>
      <x:c r="M3163" s="2"/>
      <x:c r="N3163" s="8" t="n">
        <x:f>DATE(2026,10,15)-DATE(2025,8,6)</x:f>
        <x:v>435</x:v>
      </x:c>
      <x:c r="O3163" s="2"/>
      <x:c r="P3163" s="2" t="str">
        <x:v>외부사업 사업계획서에 대한 정보 비공개 신청을 철회합니다.</x:v>
      </x:c>
      <x:c r="Q3163" s="2" t="str">
        <x:v>산업전환 외부사업 정보비공개 신청 관리 Tool_260707_LJY_261013.xlsx</x:v>
      </x:c>
      <x:c r="R3163" s="2" t="str">
        <x:v>(비공개)국내평가</x:v>
      </x:c>
      <x:c r="S3163" s="8" t="n">
        <x:v>71</x:v>
      </x:c>
      <x:c r="T3163" s="2"/>
      <x:c r="U3163" s="2" t="str"/>
      <x:c r="V3163" s="2" t="str">
        <x:v>2026-02-06</x:v>
      </x:c>
      <x:c r="W3163" s="2" t="str"/>
      <x:c r="X3163" s="2" t="str">
        <x:v>종결 근거 보관</x:v>
      </x:c>
      <x:c r="Y3163" s="2" t="str">
        <x:v>22df6d619b696c1eba8e26790f6382083d9fb1bc48481283e3e8a92ea6897677</x:v>
      </x:c>
      <x:c r="Z3163" s="2" t="n">
        <x:f>SUBTOTAL(103,A3163)</x:f>
        <x:v>1</x:v>
      </x:c>
      <x:c r="AA3163" s="2" t="str">
        <x:f>IF(K3163&lt;&gt;"미종결 표시","대상 아님",IF(N3163="","신청일 확인",IF(NOT(ISNUMBER('종합 현황'!$H$5)),"관찰기준 확인",IF('종합 현황'!$H$5&lt;1,"관찰기준 확인",IF(N3163&gt;'종합 현황'!$H$5,"내부 관찰 대상","내부 관찰일 이하")))))</x:f>
        <x:v>대상 아님</x:v>
      </x:c>
      <x:c r="AB3163" s="2"/>
    </x:row>
    <x:row r="3164" ht="42" customHeight="1">
      <x:c r="A3164" s="2" t="str">
        <x:v>c934fe02549ceaa102e3ac9f</x:v>
      </x:c>
      <x:c r="B3164" s="2" t="str">
        <x:v>사업 비공개 신청</x:v>
      </x:c>
      <x:c r="C3164" s="2" t="str">
        <x:v>국내</x:v>
      </x:c>
      <x:c r="D3164" s="7" t="str">
        <x:v>부천 춘의단지 아파트 연료전환을 통한 온실가스 감축사업</x:v>
      </x:c>
      <x:c r="E3164" s="2" t="str">
        <x:v>70</x:v>
      </x:c>
      <x:c r="F3164" s="2" t="str">
        <x:v>2025-10-15</x:v>
      </x:c>
      <x:c r="G3164" s="2" t="str">
        <x:v>2025</x:v>
      </x:c>
      <x:c r="H3164" s="2" t="str">
        <x:v>10</x:v>
      </x:c>
      <x:c r="I3164" s="2" t="str">
        <x:v>반려</x:v>
      </x:c>
      <x:c r="J3164" s="2" t="str">
        <x:v>반려완료</x:v>
      </x:c>
      <x:c r="K3164" s="2" t="str">
        <x:f>IF(OR(J3164="심의승인",J3164="반려",J3164="반려완료",J3164="심의완료"),"종결 표시",IF(OR(J3164="기후부협의",J3164="문서재제출요청",J3164="보류",J3164="보완요청",J3164="보완완료",J3164="평가중",J3164="반려요청",J3164="평가필요",LEFT(J3164,5)="보완요청("),"미종결 표시","상태 확인 필요"))</x:f>
        <x:v>종결 표시</x:v>
      </x:c>
      <x:c r="L3164" s="2" t="str">
        <x:v>에코시안</x:v>
      </x:c>
      <x:c r="M3164" s="2"/>
      <x:c r="N3164" s="8" t="n">
        <x:f>DATE(2026,10,15)-DATE(2025,10,15)</x:f>
        <x:v>365</x:v>
      </x:c>
      <x:c r="O3164" s="2"/>
      <x:c r="P3164" s="2" t="str">
        <x:v>외부사업 사업계획서에 대한 정보 비공개 신청을 철회합니다.</x:v>
      </x:c>
      <x:c r="Q3164" s="2" t="str">
        <x:v>산업전환 외부사업 정보비공개 신청 관리 Tool_260707_LJY_261013.xlsx</x:v>
      </x:c>
      <x:c r="R3164" s="2" t="str">
        <x:v>(비공개)국내평가</x:v>
      </x:c>
      <x:c r="S3164" s="8" t="n">
        <x:v>72</x:v>
      </x:c>
      <x:c r="T3164" s="2"/>
      <x:c r="U3164" s="2" t="str"/>
      <x:c r="V3164" s="2" t="str">
        <x:v>2026-02-06</x:v>
      </x:c>
      <x:c r="W3164" s="2" t="str"/>
      <x:c r="X3164" s="2" t="str">
        <x:v>종결 근거 보관</x:v>
      </x:c>
      <x:c r="Y3164" s="2" t="str">
        <x:v>22df6d619b696c1eba8e26790f6382083d9fb1bc48481283e3e8a92ea6897677</x:v>
      </x:c>
      <x:c r="Z3164" s="2" t="n">
        <x:f>SUBTOTAL(103,A3164)</x:f>
        <x:v>1</x:v>
      </x:c>
      <x:c r="AA3164" s="2" t="str">
        <x:f>IF(K3164&lt;&gt;"미종결 표시","대상 아님",IF(N3164="","신청일 확인",IF(NOT(ISNUMBER('종합 현황'!$H$5)),"관찰기준 확인",IF('종합 현황'!$H$5&lt;1,"관찰기준 확인",IF(N3164&gt;'종합 현황'!$H$5,"내부 관찰 대상","내부 관찰일 이하")))))</x:f>
        <x:v>대상 아님</x:v>
      </x:c>
      <x:c r="AB3164" s="2"/>
    </x:row>
    <x:row r="3165" ht="42" customHeight="1">
      <x:c r="A3165" s="2" t="str">
        <x:v>a7c3715e13201e100f45fdb6</x:v>
      </x:c>
      <x:c r="B3165" s="2" t="str">
        <x:v>사업 비공개 신청</x:v>
      </x:c>
      <x:c r="C3165" s="2" t="str">
        <x:v>국내</x:v>
      </x:c>
      <x:c r="D3165" s="7" t="str">
        <x:v>서울 월계 주공1단지 아파트 연료전환을 통한 온실가스 감축사업</x:v>
      </x:c>
      <x:c r="E3165" s="2" t="str">
        <x:v>71</x:v>
      </x:c>
      <x:c r="F3165" s="2" t="str">
        <x:v>2025-10-15</x:v>
      </x:c>
      <x:c r="G3165" s="2" t="str">
        <x:v>2025</x:v>
      </x:c>
      <x:c r="H3165" s="2" t="str">
        <x:v>10</x:v>
      </x:c>
      <x:c r="I3165" s="2" t="str">
        <x:v>반려</x:v>
      </x:c>
      <x:c r="J3165" s="2" t="str">
        <x:v>반려완료</x:v>
      </x:c>
      <x:c r="K3165" s="2" t="str">
        <x:f>IF(OR(J3165="심의승인",J3165="반려",J3165="반려완료",J3165="심의완료"),"종결 표시",IF(OR(J3165="기후부협의",J3165="문서재제출요청",J3165="보류",J3165="보완요청",J3165="보완완료",J3165="평가중",J3165="반려요청",J3165="평가필요",LEFT(J3165,5)="보완요청("),"미종결 표시","상태 확인 필요"))</x:f>
        <x:v>종결 표시</x:v>
      </x:c>
      <x:c r="L3165" s="2" t="str">
        <x:v>에코시안</x:v>
      </x:c>
      <x:c r="M3165" s="2"/>
      <x:c r="N3165" s="8" t="n">
        <x:f>DATE(2026,10,15)-DATE(2025,10,15)</x:f>
        <x:v>365</x:v>
      </x:c>
      <x:c r="O3165" s="2"/>
      <x:c r="P3165" s="2" t="str">
        <x:v>외부사업 사업계획서에 대한 정보 비공개 신청을 철회합니다.</x:v>
      </x:c>
      <x:c r="Q3165" s="2" t="str">
        <x:v>산업전환 외부사업 정보비공개 신청 관리 Tool_260707_LJY_261013.xlsx</x:v>
      </x:c>
      <x:c r="R3165" s="2" t="str">
        <x:v>(비공개)국내평가</x:v>
      </x:c>
      <x:c r="S3165" s="8" t="n">
        <x:v>73</x:v>
      </x:c>
      <x:c r="T3165" s="2"/>
      <x:c r="U3165" s="2" t="str"/>
      <x:c r="V3165" s="2" t="str">
        <x:v>2026-02-06</x:v>
      </x:c>
      <x:c r="W3165" s="2" t="str"/>
      <x:c r="X3165" s="2" t="str">
        <x:v>종결 근거 보관</x:v>
      </x:c>
      <x:c r="Y3165" s="2" t="str">
        <x:v>22df6d619b696c1eba8e26790f6382083d9fb1bc48481283e3e8a92ea6897677</x:v>
      </x:c>
      <x:c r="Z3165" s="2" t="n">
        <x:f>SUBTOTAL(103,A3165)</x:f>
        <x:v>1</x:v>
      </x:c>
      <x:c r="AA3165" s="2" t="str">
        <x:f>IF(K3165&lt;&gt;"미종결 표시","대상 아님",IF(N3165="","신청일 확인",IF(NOT(ISNUMBER('종합 현황'!$H$5)),"관찰기준 확인",IF('종합 현황'!$H$5&lt;1,"관찰기준 확인",IF(N3165&gt;'종합 현황'!$H$5,"내부 관찰 대상","내부 관찰일 이하")))))</x:f>
        <x:v>대상 아님</x:v>
      </x:c>
      <x:c r="AB3165" s="2"/>
    </x:row>
    <x:row r="3166" ht="42" customHeight="1">
      <x:c r="A3166" s="2" t="str">
        <x:v>8970332f31ec8502f150a085</x:v>
      </x:c>
      <x:c r="B3166" s="2" t="str">
        <x:v>사업 비공개 신청</x:v>
      </x:c>
      <x:c r="C3166" s="2" t="str">
        <x:v>국내</x:v>
      </x:c>
      <x:c r="D3166" s="7" t="str">
        <x:v>서울 우면아파트 연료전환을 통한 온실가스 감축사업</x:v>
      </x:c>
      <x:c r="E3166" s="2" t="str">
        <x:v>72</x:v>
      </x:c>
      <x:c r="F3166" s="2" t="str">
        <x:v>2025-10-15</x:v>
      </x:c>
      <x:c r="G3166" s="2" t="str">
        <x:v>2025</x:v>
      </x:c>
      <x:c r="H3166" s="2" t="str">
        <x:v>10</x:v>
      </x:c>
      <x:c r="I3166" s="2" t="str">
        <x:v>반려</x:v>
      </x:c>
      <x:c r="J3166" s="2" t="str">
        <x:v>반려완료</x:v>
      </x:c>
      <x:c r="K3166" s="2" t="str">
        <x:f>IF(OR(J3166="심의승인",J3166="반려",J3166="반려완료",J3166="심의완료"),"종결 표시",IF(OR(J3166="기후부협의",J3166="문서재제출요청",J3166="보류",J3166="보완요청",J3166="보완완료",J3166="평가중",J3166="반려요청",J3166="평가필요",LEFT(J3166,5)="보완요청("),"미종결 표시","상태 확인 필요"))</x:f>
        <x:v>종결 표시</x:v>
      </x:c>
      <x:c r="L3166" s="2" t="str">
        <x:v>KECM</x:v>
      </x:c>
      <x:c r="M3166" s="2"/>
      <x:c r="N3166" s="8" t="n">
        <x:f>DATE(2026,10,15)-DATE(2025,10,15)</x:f>
        <x:v>365</x:v>
      </x:c>
      <x:c r="O3166" s="2"/>
      <x:c r="P3166" s="2" t="str">
        <x:v>외부사업 사업계획서에 대한 정보 비공개 신청을 철회합니다.</x:v>
      </x:c>
      <x:c r="Q3166" s="2" t="str">
        <x:v>산업전환 외부사업 정보비공개 신청 관리 Tool_260707_LJY_261013.xlsx</x:v>
      </x:c>
      <x:c r="R3166" s="2" t="str">
        <x:v>(비공개)국내평가</x:v>
      </x:c>
      <x:c r="S3166" s="8" t="n">
        <x:v>74</x:v>
      </x:c>
      <x:c r="T3166" s="2"/>
      <x:c r="U3166" s="2" t="str"/>
      <x:c r="V3166" s="2" t="str">
        <x:v>2026-02-06</x:v>
      </x:c>
      <x:c r="W3166" s="2" t="str"/>
      <x:c r="X3166" s="2" t="str">
        <x:v>종결 근거 보관</x:v>
      </x:c>
      <x:c r="Y3166" s="2" t="str">
        <x:v>22df6d619b696c1eba8e26790f6382083d9fb1bc48481283e3e8a92ea6897677</x:v>
      </x:c>
      <x:c r="Z3166" s="2" t="n">
        <x:f>SUBTOTAL(103,A3166)</x:f>
        <x:v>1</x:v>
      </x:c>
      <x:c r="AA3166" s="2" t="str">
        <x:f>IF(K3166&lt;&gt;"미종결 표시","대상 아님",IF(N3166="","신청일 확인",IF(NOT(ISNUMBER('종합 현황'!$H$5)),"관찰기준 확인",IF('종합 현황'!$H$5&lt;1,"관찰기준 확인",IF(N3166&gt;'종합 현황'!$H$5,"내부 관찰 대상","내부 관찰일 이하")))))</x:f>
        <x:v>대상 아님</x:v>
      </x:c>
      <x:c r="AB3166" s="2"/>
    </x:row>
    <x:row r="3167" ht="42" customHeight="1">
      <x:c r="A3167" s="2" t="str">
        <x:v>e0261e4d36b47330df94b413</x:v>
      </x:c>
      <x:c r="B3167" s="2" t="str">
        <x:v>사업 비공개 신청</x:v>
      </x:c>
      <x:c r="C3167" s="2" t="str">
        <x:v>국내</x:v>
      </x:c>
      <x:c r="D3167" s="7" t="str">
        <x:v>서울 번동 주공 5단지 아파트 연료전환을 통한 온실가스 감축사업</x:v>
      </x:c>
      <x:c r="E3167" s="2" t="str">
        <x:v>73</x:v>
      </x:c>
      <x:c r="F3167" s="2" t="str">
        <x:v>2025-10-15</x:v>
      </x:c>
      <x:c r="G3167" s="2" t="str">
        <x:v>2025</x:v>
      </x:c>
      <x:c r="H3167" s="2" t="str">
        <x:v>10</x:v>
      </x:c>
      <x:c r="I3167" s="2" t="str">
        <x:v>반려</x:v>
      </x:c>
      <x:c r="J3167" s="2" t="str">
        <x:v>반려완료</x:v>
      </x:c>
      <x:c r="K3167" s="2" t="str">
        <x:f>IF(OR(J3167="심의승인",J3167="반려",J3167="반려완료",J3167="심의완료"),"종결 표시",IF(OR(J3167="기후부협의",J3167="문서재제출요청",J3167="보류",J3167="보완요청",J3167="보완완료",J3167="평가중",J3167="반려요청",J3167="평가필요",LEFT(J3167,5)="보완요청("),"미종결 표시","상태 확인 필요"))</x:f>
        <x:v>종결 표시</x:v>
      </x:c>
      <x:c r="L3167" s="2" t="str">
        <x:v>KECM</x:v>
      </x:c>
      <x:c r="M3167" s="2"/>
      <x:c r="N3167" s="8" t="n">
        <x:f>DATE(2026,10,15)-DATE(2025,10,15)</x:f>
        <x:v>365</x:v>
      </x:c>
      <x:c r="O3167" s="2"/>
      <x:c r="P3167" s="2" t="str">
        <x:v>외부사업 사업계획서에 대한 정보 비공개 신청을 철회합니다.</x:v>
      </x:c>
      <x:c r="Q3167" s="2" t="str">
        <x:v>산업전환 외부사업 정보비공개 신청 관리 Tool_260707_LJY_261013.xlsx</x:v>
      </x:c>
      <x:c r="R3167" s="2" t="str">
        <x:v>(비공개)국내평가</x:v>
      </x:c>
      <x:c r="S3167" s="8" t="n">
        <x:v>75</x:v>
      </x:c>
      <x:c r="T3167" s="2"/>
      <x:c r="U3167" s="2" t="str"/>
      <x:c r="V3167" s="2" t="str">
        <x:v>2026-02-06</x:v>
      </x:c>
      <x:c r="W3167" s="2" t="str"/>
      <x:c r="X3167" s="2" t="str">
        <x:v>종결 근거 보관</x:v>
      </x:c>
      <x:c r="Y3167" s="2" t="str">
        <x:v>22df6d619b696c1eba8e26790f6382083d9fb1bc48481283e3e8a92ea6897677</x:v>
      </x:c>
      <x:c r="Z3167" s="2" t="n">
        <x:f>SUBTOTAL(103,A3167)</x:f>
        <x:v>1</x:v>
      </x:c>
      <x:c r="AA3167" s="2" t="str">
        <x:f>IF(K3167&lt;&gt;"미종결 표시","대상 아님",IF(N3167="","신청일 확인",IF(NOT(ISNUMBER('종합 현황'!$H$5)),"관찰기준 확인",IF('종합 현황'!$H$5&lt;1,"관찰기준 확인",IF(N3167&gt;'종합 현황'!$H$5,"내부 관찰 대상","내부 관찰일 이하")))))</x:f>
        <x:v>대상 아님</x:v>
      </x:c>
      <x:c r="AB3167" s="2"/>
    </x:row>
    <x:row r="3168" ht="42" customHeight="1">
      <x:c r="A3168" s="2" t="str">
        <x:v>7422334c4f85e4db33608ce8</x:v>
      </x:c>
      <x:c r="B3168" s="2" t="str">
        <x:v>사업 비공개 신청</x:v>
      </x:c>
      <x:c r="C3168" s="2" t="str">
        <x:v>국내</x:v>
      </x:c>
      <x:c r="D3168" s="7" t="str">
        <x:v>서울 번동 주공3단지 아파트연료전환을 통한 온실가스 감축사업</x:v>
      </x:c>
      <x:c r="E3168" s="2" t="str">
        <x:v>74</x:v>
      </x:c>
      <x:c r="F3168" s="2" t="str">
        <x:v>2025-10-15</x:v>
      </x:c>
      <x:c r="G3168" s="2" t="str">
        <x:v>2025</x:v>
      </x:c>
      <x:c r="H3168" s="2" t="str">
        <x:v>10</x:v>
      </x:c>
      <x:c r="I3168" s="2" t="str">
        <x:v>반려</x:v>
      </x:c>
      <x:c r="J3168" s="2" t="str">
        <x:v>반려완료</x:v>
      </x:c>
      <x:c r="K3168" s="2" t="str">
        <x:f>IF(OR(J3168="심의승인",J3168="반려",J3168="반려완료",J3168="심의완료"),"종결 표시",IF(OR(J3168="기후부협의",J3168="문서재제출요청",J3168="보류",J3168="보완요청",J3168="보완완료",J3168="평가중",J3168="반려요청",J3168="평가필요",LEFT(J3168,5)="보완요청("),"미종결 표시","상태 확인 필요"))</x:f>
        <x:v>종결 표시</x:v>
      </x:c>
      <x:c r="L3168" s="2" t="str">
        <x:v>KECM</x:v>
      </x:c>
      <x:c r="M3168" s="2"/>
      <x:c r="N3168" s="8" t="n">
        <x:f>DATE(2026,10,15)-DATE(2025,10,15)</x:f>
        <x:v>365</x:v>
      </x:c>
      <x:c r="O3168" s="2"/>
      <x:c r="P3168" s="2" t="str">
        <x:v>외부사업 사업계획서에 대한 정보 비공개 신청을 철회합니다.</x:v>
      </x:c>
      <x:c r="Q3168" s="2" t="str">
        <x:v>산업전환 외부사업 정보비공개 신청 관리 Tool_260707_LJY_261013.xlsx</x:v>
      </x:c>
      <x:c r="R3168" s="2" t="str">
        <x:v>(비공개)국내평가</x:v>
      </x:c>
      <x:c r="S3168" s="8" t="n">
        <x:v>76</x:v>
      </x:c>
      <x:c r="T3168" s="2"/>
      <x:c r="U3168" s="2" t="str"/>
      <x:c r="V3168" s="2" t="str">
        <x:v>2026-02-06</x:v>
      </x:c>
      <x:c r="W3168" s="2" t="str"/>
      <x:c r="X3168" s="2" t="str">
        <x:v>종결 근거 보관</x:v>
      </x:c>
      <x:c r="Y3168" s="2" t="str">
        <x:v>22df6d619b696c1eba8e26790f6382083d9fb1bc48481283e3e8a92ea6897677</x:v>
      </x:c>
      <x:c r="Z3168" s="2" t="n">
        <x:f>SUBTOTAL(103,A3168)</x:f>
        <x:v>1</x:v>
      </x:c>
      <x:c r="AA3168" s="2" t="str">
        <x:f>IF(K3168&lt;&gt;"미종결 표시","대상 아님",IF(N3168="","신청일 확인",IF(NOT(ISNUMBER('종합 현황'!$H$5)),"관찰기준 확인",IF('종합 현황'!$H$5&lt;1,"관찰기준 확인",IF(N3168&gt;'종합 현황'!$H$5,"내부 관찰 대상","내부 관찰일 이하")))))</x:f>
        <x:v>대상 아님</x:v>
      </x:c>
      <x:c r="AB3168" s="2"/>
    </x:row>
    <x:row r="3169" ht="42" customHeight="1">
      <x:c r="A3169" s="2" t="str">
        <x:v>70992a3969773899f9067afb</x:v>
      </x:c>
      <x:c r="B3169" s="2" t="str">
        <x:v>사업 비공개 신청</x:v>
      </x:c>
      <x:c r="C3169" s="2" t="str">
        <x:v>국내</x:v>
      </x:c>
      <x:c r="D3169" s="7" t="str">
        <x:v>서울 번동 주공2단지 아파트 연료전환을 통한 온실가스 감축사업</x:v>
      </x:c>
      <x:c r="E3169" s="2" t="str">
        <x:v>75</x:v>
      </x:c>
      <x:c r="F3169" s="2" t="str">
        <x:v>2025-10-15</x:v>
      </x:c>
      <x:c r="G3169" s="2" t="str">
        <x:v>2025</x:v>
      </x:c>
      <x:c r="H3169" s="2" t="str">
        <x:v>10</x:v>
      </x:c>
      <x:c r="I3169" s="2" t="str">
        <x:v>반려</x:v>
      </x:c>
      <x:c r="J3169" s="2" t="str">
        <x:v>반려완료</x:v>
      </x:c>
      <x:c r="K3169" s="2" t="str">
        <x:f>IF(OR(J3169="심의승인",J3169="반려",J3169="반려완료",J3169="심의완료"),"종결 표시",IF(OR(J3169="기후부협의",J3169="문서재제출요청",J3169="보류",J3169="보완요청",J3169="보완완료",J3169="평가중",J3169="반려요청",J3169="평가필요",LEFT(J3169,5)="보완요청("),"미종결 표시","상태 확인 필요"))</x:f>
        <x:v>종결 표시</x:v>
      </x:c>
      <x:c r="L3169" s="2" t="str">
        <x:v>KECM</x:v>
      </x:c>
      <x:c r="M3169" s="2"/>
      <x:c r="N3169" s="8" t="n">
        <x:f>DATE(2026,10,15)-DATE(2025,10,15)</x:f>
        <x:v>365</x:v>
      </x:c>
      <x:c r="O3169" s="2"/>
      <x:c r="P3169" s="2" t="str">
        <x:v>외부사업 사업계획서에 대한 정보 비공개 신청을 철회합니다.</x:v>
      </x:c>
      <x:c r="Q3169" s="2" t="str">
        <x:v>산업전환 외부사업 정보비공개 신청 관리 Tool_260707_LJY_261013.xlsx</x:v>
      </x:c>
      <x:c r="R3169" s="2" t="str">
        <x:v>(비공개)국내평가</x:v>
      </x:c>
      <x:c r="S3169" s="8" t="n">
        <x:v>77</x:v>
      </x:c>
      <x:c r="T3169" s="2"/>
      <x:c r="U3169" s="2" t="str"/>
      <x:c r="V3169" s="2" t="str">
        <x:v>2026-02-06</x:v>
      </x:c>
      <x:c r="W3169" s="2" t="str"/>
      <x:c r="X3169" s="2" t="str">
        <x:v>종결 근거 보관</x:v>
      </x:c>
      <x:c r="Y3169" s="2" t="str">
        <x:v>22df6d619b696c1eba8e26790f6382083d9fb1bc48481283e3e8a92ea6897677</x:v>
      </x:c>
      <x:c r="Z3169" s="2" t="n">
        <x:f>SUBTOTAL(103,A3169)</x:f>
        <x:v>1</x:v>
      </x:c>
      <x:c r="AA3169" s="2" t="str">
        <x:f>IF(K3169&lt;&gt;"미종결 표시","대상 아님",IF(N3169="","신청일 확인",IF(NOT(ISNUMBER('종합 현황'!$H$5)),"관찰기준 확인",IF('종합 현황'!$H$5&lt;1,"관찰기준 확인",IF(N3169&gt;'종합 현황'!$H$5,"내부 관찰 대상","내부 관찰일 이하")))))</x:f>
        <x:v>대상 아님</x:v>
      </x:c>
      <x:c r="AB3169" s="2"/>
    </x:row>
    <x:row r="3170" ht="42" customHeight="1">
      <x:c r="A3170" s="2" t="str">
        <x:v>8e63695a5930bfce46c8375b</x:v>
      </x:c>
      <x:c r="B3170" s="2" t="str">
        <x:v>사업 비공개 신청</x:v>
      </x:c>
      <x:c r="C3170" s="2" t="str">
        <x:v>국내</x:v>
      </x:c>
      <x:c r="D3170" s="7" t="str">
        <x:v>광주 하남 주공 1차 아파트 연료전환을 통한 온실가스 감축사업</x:v>
      </x:c>
      <x:c r="E3170" s="2" t="str">
        <x:v>76</x:v>
      </x:c>
      <x:c r="F3170" s="2" t="str">
        <x:v>2025-10-15</x:v>
      </x:c>
      <x:c r="G3170" s="2" t="str">
        <x:v>2025</x:v>
      </x:c>
      <x:c r="H3170" s="2" t="str">
        <x:v>10</x:v>
      </x:c>
      <x:c r="I3170" s="2" t="str">
        <x:v>반려</x:v>
      </x:c>
      <x:c r="J3170" s="2" t="str">
        <x:v>반려완료</x:v>
      </x:c>
      <x:c r="K3170" s="2" t="str">
        <x:f>IF(OR(J3170="심의승인",J3170="반려",J3170="반려완료",J3170="심의완료"),"종결 표시",IF(OR(J3170="기후부협의",J3170="문서재제출요청",J3170="보류",J3170="보완요청",J3170="보완완료",J3170="평가중",J3170="반려요청",J3170="평가필요",LEFT(J3170,5)="보완요청("),"미종결 표시","상태 확인 필요"))</x:f>
        <x:v>종결 표시</x:v>
      </x:c>
      <x:c r="L3170" s="2" t="str">
        <x:v>KECM</x:v>
      </x:c>
      <x:c r="M3170" s="2"/>
      <x:c r="N3170" s="8" t="n">
        <x:f>DATE(2026,10,15)-DATE(2025,10,15)</x:f>
        <x:v>365</x:v>
      </x:c>
      <x:c r="O3170" s="2"/>
      <x:c r="P3170" s="2" t="str">
        <x:v>외부사업 사업계획서에 대한 정보 비공개 신청을 철회합니다.</x:v>
      </x:c>
      <x:c r="Q3170" s="2" t="str">
        <x:v>산업전환 외부사업 정보비공개 신청 관리 Tool_260707_LJY_261013.xlsx</x:v>
      </x:c>
      <x:c r="R3170" s="2" t="str">
        <x:v>(비공개)국내평가</x:v>
      </x:c>
      <x:c r="S3170" s="8" t="n">
        <x:v>78</x:v>
      </x:c>
      <x:c r="T3170" s="2"/>
      <x:c r="U3170" s="2" t="str"/>
      <x:c r="V3170" s="2" t="str">
        <x:v>2026-02-06</x:v>
      </x:c>
      <x:c r="W3170" s="2" t="str"/>
      <x:c r="X3170" s="2" t="str">
        <x:v>종결 근거 보관</x:v>
      </x:c>
      <x:c r="Y3170" s="2" t="str">
        <x:v>22df6d619b696c1eba8e26790f6382083d9fb1bc48481283e3e8a92ea6897677</x:v>
      </x:c>
      <x:c r="Z3170" s="2" t="n">
        <x:f>SUBTOTAL(103,A3170)</x:f>
        <x:v>1</x:v>
      </x:c>
      <x:c r="AA3170" s="2" t="str">
        <x:f>IF(K3170&lt;&gt;"미종결 표시","대상 아님",IF(N3170="","신청일 확인",IF(NOT(ISNUMBER('종합 현황'!$H$5)),"관찰기준 확인",IF('종합 현황'!$H$5&lt;1,"관찰기준 확인",IF(N3170&gt;'종합 현황'!$H$5,"내부 관찰 대상","내부 관찰일 이하")))))</x:f>
        <x:v>대상 아님</x:v>
      </x:c>
      <x:c r="AB3170" s="2"/>
    </x:row>
    <x:row r="3171" ht="42" customHeight="1">
      <x:c r="A3171" s="2" t="str">
        <x:v>a14e32927c9bd3a6605ac166</x:v>
      </x:c>
      <x:c r="B3171" s="2" t="str">
        <x:v>사업 비공개 신청</x:v>
      </x:c>
      <x:c r="C3171" s="2" t="str">
        <x:v>국내</x:v>
      </x:c>
      <x:c r="D3171" s="7" t="str">
        <x:v>광주 우산 주공 3단지 아파트 연료전환을 통한 온실가스 감축사업</x:v>
      </x:c>
      <x:c r="E3171" s="2" t="str">
        <x:v>77</x:v>
      </x:c>
      <x:c r="F3171" s="2" t="str">
        <x:v>2025-10-15</x:v>
      </x:c>
      <x:c r="G3171" s="2" t="str">
        <x:v>2025</x:v>
      </x:c>
      <x:c r="H3171" s="2" t="str">
        <x:v>10</x:v>
      </x:c>
      <x:c r="I3171" s="2" t="str">
        <x:v>반려</x:v>
      </x:c>
      <x:c r="J3171" s="2" t="str">
        <x:v>반려완료</x:v>
      </x:c>
      <x:c r="K3171" s="2" t="str">
        <x:f>IF(OR(J3171="심의승인",J3171="반려",J3171="반려완료",J3171="심의완료"),"종결 표시",IF(OR(J3171="기후부협의",J3171="문서재제출요청",J3171="보류",J3171="보완요청",J3171="보완완료",J3171="평가중",J3171="반려요청",J3171="평가필요",LEFT(J3171,5)="보완요청("),"미종결 표시","상태 확인 필요"))</x:f>
        <x:v>종결 표시</x:v>
      </x:c>
      <x:c r="L3171" s="2" t="str">
        <x:v>KECM</x:v>
      </x:c>
      <x:c r="M3171" s="2"/>
      <x:c r="N3171" s="8" t="n">
        <x:f>DATE(2026,10,15)-DATE(2025,10,15)</x:f>
        <x:v>365</x:v>
      </x:c>
      <x:c r="O3171" s="2"/>
      <x:c r="P3171" s="2" t="str">
        <x:v>외부사업 사업계획서에 대한 정보 비공개 신청을 철회합니다.</x:v>
      </x:c>
      <x:c r="Q3171" s="2" t="str">
        <x:v>산업전환 외부사업 정보비공개 신청 관리 Tool_260707_LJY_261013.xlsx</x:v>
      </x:c>
      <x:c r="R3171" s="2" t="str">
        <x:v>(비공개)국내평가</x:v>
      </x:c>
      <x:c r="S3171" s="8" t="n">
        <x:v>79</x:v>
      </x:c>
      <x:c r="T3171" s="2"/>
      <x:c r="U3171" s="2" t="str"/>
      <x:c r="V3171" s="2" t="str">
        <x:v>2026-02-06</x:v>
      </x:c>
      <x:c r="W3171" s="2" t="str"/>
      <x:c r="X3171" s="2" t="str">
        <x:v>종결 근거 보관</x:v>
      </x:c>
      <x:c r="Y3171" s="2" t="str">
        <x:v>22df6d619b696c1eba8e26790f6382083d9fb1bc48481283e3e8a92ea6897677</x:v>
      </x:c>
      <x:c r="Z3171" s="2" t="n">
        <x:f>SUBTOTAL(103,A3171)</x:f>
        <x:v>1</x:v>
      </x:c>
      <x:c r="AA3171" s="2" t="str">
        <x:f>IF(K3171&lt;&gt;"미종결 표시","대상 아님",IF(N3171="","신청일 확인",IF(NOT(ISNUMBER('종합 현황'!$H$5)),"관찰기준 확인",IF('종합 현황'!$H$5&lt;1,"관찰기준 확인",IF(N3171&gt;'종합 현황'!$H$5,"내부 관찰 대상","내부 관찰일 이하")))))</x:f>
        <x:v>대상 아님</x:v>
      </x:c>
      <x:c r="AB3171" s="2"/>
    </x:row>
    <x:row r="3172" ht="42" customHeight="1">
      <x:c r="A3172" s="2" t="str">
        <x:v>49b1f51f59d10f5a7ddea159</x:v>
      </x:c>
      <x:c r="B3172" s="2" t="str">
        <x:v>사업 비공개 신청</x:v>
      </x:c>
      <x:c r="C3172" s="2" t="str">
        <x:v>국내</x:v>
      </x:c>
      <x:c r="D3172" s="7" t="str">
        <x:v>광주 오치 주공 1단지 아파트 연료전환을 통한 온실가스 감축사업</x:v>
      </x:c>
      <x:c r="E3172" s="2" t="str">
        <x:v>78</x:v>
      </x:c>
      <x:c r="F3172" s="2" t="str">
        <x:v>2025-10-15</x:v>
      </x:c>
      <x:c r="G3172" s="2" t="str">
        <x:v>2025</x:v>
      </x:c>
      <x:c r="H3172" s="2" t="str">
        <x:v>10</x:v>
      </x:c>
      <x:c r="I3172" s="2" t="str">
        <x:v>반려</x:v>
      </x:c>
      <x:c r="J3172" s="2" t="str">
        <x:v>반려완료</x:v>
      </x:c>
      <x:c r="K3172" s="2" t="str">
        <x:f>IF(OR(J3172="심의승인",J3172="반려",J3172="반려완료",J3172="심의완료"),"종결 표시",IF(OR(J3172="기후부협의",J3172="문서재제출요청",J3172="보류",J3172="보완요청",J3172="보완완료",J3172="평가중",J3172="반려요청",J3172="평가필요",LEFT(J3172,5)="보완요청("),"미종결 표시","상태 확인 필요"))</x:f>
        <x:v>종결 표시</x:v>
      </x:c>
      <x:c r="L3172" s="2" t="str">
        <x:v>KECM</x:v>
      </x:c>
      <x:c r="M3172" s="2"/>
      <x:c r="N3172" s="8" t="n">
        <x:f>DATE(2026,10,15)-DATE(2025,10,15)</x:f>
        <x:v>365</x:v>
      </x:c>
      <x:c r="O3172" s="2"/>
      <x:c r="P3172" s="2" t="str">
        <x:v>외부사업 사업계획서에 대한 정보 비공개 신청을 철회합니다.</x:v>
      </x:c>
      <x:c r="Q3172" s="2" t="str">
        <x:v>산업전환 외부사업 정보비공개 신청 관리 Tool_260707_LJY_261013.xlsx</x:v>
      </x:c>
      <x:c r="R3172" s="2" t="str">
        <x:v>(비공개)국내평가</x:v>
      </x:c>
      <x:c r="S3172" s="8" t="n">
        <x:v>80</x:v>
      </x:c>
      <x:c r="T3172" s="2"/>
      <x:c r="U3172" s="2" t="str"/>
      <x:c r="V3172" s="2" t="str">
        <x:v>2026-02-06</x:v>
      </x:c>
      <x:c r="W3172" s="2" t="str"/>
      <x:c r="X3172" s="2" t="str">
        <x:v>종결 근거 보관</x:v>
      </x:c>
      <x:c r="Y3172" s="2" t="str">
        <x:v>22df6d619b696c1eba8e26790f6382083d9fb1bc48481283e3e8a92ea6897677</x:v>
      </x:c>
      <x:c r="Z3172" s="2" t="n">
        <x:f>SUBTOTAL(103,A3172)</x:f>
        <x:v>1</x:v>
      </x:c>
      <x:c r="AA3172" s="2" t="str">
        <x:f>IF(K3172&lt;&gt;"미종결 표시","대상 아님",IF(N3172="","신청일 확인",IF(NOT(ISNUMBER('종합 현황'!$H$5)),"관찰기준 확인",IF('종합 현황'!$H$5&lt;1,"관찰기준 확인",IF(N3172&gt;'종합 현황'!$H$5,"내부 관찰 대상","내부 관찰일 이하")))))</x:f>
        <x:v>대상 아님</x:v>
      </x:c>
      <x:c r="AB3172" s="2"/>
    </x:row>
    <x:row r="3173" ht="42" customHeight="1">
      <x:c r="A3173" s="2" t="str">
        <x:v>e1782d1ff5169491f0304f60</x:v>
      </x:c>
      <x:c r="B3173" s="2" t="str">
        <x:v>사업 비공개 신청</x:v>
      </x:c>
      <x:c r="C3173" s="2" t="str">
        <x:v>국내</x:v>
      </x:c>
      <x:c r="D3173" s="7" t="str">
        <x:v>광주 쌍촌 주공 아파트 연료전환을 통한 온실가스 감축사업</x:v>
      </x:c>
      <x:c r="E3173" s="2" t="str">
        <x:v>79</x:v>
      </x:c>
      <x:c r="F3173" s="2" t="str">
        <x:v>2025-10-15</x:v>
      </x:c>
      <x:c r="G3173" s="2" t="str">
        <x:v>2025</x:v>
      </x:c>
      <x:c r="H3173" s="2" t="str">
        <x:v>10</x:v>
      </x:c>
      <x:c r="I3173" s="2" t="str">
        <x:v>반려</x:v>
      </x:c>
      <x:c r="J3173" s="2" t="str">
        <x:v>반려완료</x:v>
      </x:c>
      <x:c r="K3173" s="2" t="str">
        <x:f>IF(OR(J3173="심의승인",J3173="반려",J3173="반려완료",J3173="심의완료"),"종결 표시",IF(OR(J3173="기후부협의",J3173="문서재제출요청",J3173="보류",J3173="보완요청",J3173="보완완료",J3173="평가중",J3173="반려요청",J3173="평가필요",LEFT(J3173,5)="보완요청("),"미종결 표시","상태 확인 필요"))</x:f>
        <x:v>종결 표시</x:v>
      </x:c>
      <x:c r="L3173" s="2" t="str">
        <x:v>KECM</x:v>
      </x:c>
      <x:c r="M3173" s="2"/>
      <x:c r="N3173" s="8" t="n">
        <x:f>DATE(2026,10,15)-DATE(2025,10,15)</x:f>
        <x:v>365</x:v>
      </x:c>
      <x:c r="O3173" s="2"/>
      <x:c r="P3173" s="2" t="str">
        <x:v>외부사업 사업계획서에 대한 정보 비공개 신청을 철회합니다.</x:v>
      </x:c>
      <x:c r="Q3173" s="2" t="str">
        <x:v>산업전환 외부사업 정보비공개 신청 관리 Tool_260707_LJY_261013.xlsx</x:v>
      </x:c>
      <x:c r="R3173" s="2" t="str">
        <x:v>(비공개)국내평가</x:v>
      </x:c>
      <x:c r="S3173" s="8" t="n">
        <x:v>81</x:v>
      </x:c>
      <x:c r="T3173" s="2"/>
      <x:c r="U3173" s="2" t="str"/>
      <x:c r="V3173" s="2" t="str">
        <x:v>2026-02-06</x:v>
      </x:c>
      <x:c r="W3173" s="2" t="str"/>
      <x:c r="X3173" s="2" t="str">
        <x:v>종결 근거 보관</x:v>
      </x:c>
      <x:c r="Y3173" s="2" t="str">
        <x:v>22df6d619b696c1eba8e26790f6382083d9fb1bc48481283e3e8a92ea6897677</x:v>
      </x:c>
      <x:c r="Z3173" s="2" t="n">
        <x:f>SUBTOTAL(103,A3173)</x:f>
        <x:v>1</x:v>
      </x:c>
      <x:c r="AA3173" s="2" t="str">
        <x:f>IF(K3173&lt;&gt;"미종결 표시","대상 아님",IF(N3173="","신청일 확인",IF(NOT(ISNUMBER('종합 현황'!$H$5)),"관찰기준 확인",IF('종합 현황'!$H$5&lt;1,"관찰기준 확인",IF(N3173&gt;'종합 현황'!$H$5,"내부 관찰 대상","내부 관찰일 이하")))))</x:f>
        <x:v>대상 아님</x:v>
      </x:c>
      <x:c r="AB3173" s="2"/>
    </x:row>
    <x:row r="3174" ht="42" customHeight="1">
      <x:c r="A3174" s="2" t="str">
        <x:v>e849faf76f1e897ab0c933d4</x:v>
      </x:c>
      <x:c r="B3174" s="2" t="str">
        <x:v>사업 비공개 신청</x:v>
      </x:c>
      <x:c r="C3174" s="2" t="str">
        <x:v>국내</x:v>
      </x:c>
      <x:c r="D3174" s="7" t="str">
        <x:v>광주 두암 주공 4단지 아파트 연료전환을 통한 온실가스 감축사업</x:v>
      </x:c>
      <x:c r="E3174" s="2" t="str">
        <x:v>80</x:v>
      </x:c>
      <x:c r="F3174" s="2" t="str">
        <x:v>2025-10-15</x:v>
      </x:c>
      <x:c r="G3174" s="2" t="str">
        <x:v>2025</x:v>
      </x:c>
      <x:c r="H3174" s="2" t="str">
        <x:v>10</x:v>
      </x:c>
      <x:c r="I3174" s="2" t="str">
        <x:v>반려</x:v>
      </x:c>
      <x:c r="J3174" s="2" t="str">
        <x:v>반려완료</x:v>
      </x:c>
      <x:c r="K3174" s="2" t="str">
        <x:f>IF(OR(J3174="심의승인",J3174="반려",J3174="반려완료",J3174="심의완료"),"종결 표시",IF(OR(J3174="기후부협의",J3174="문서재제출요청",J3174="보류",J3174="보완요청",J3174="보완완료",J3174="평가중",J3174="반려요청",J3174="평가필요",LEFT(J3174,5)="보완요청("),"미종결 표시","상태 확인 필요"))</x:f>
        <x:v>종결 표시</x:v>
      </x:c>
      <x:c r="L3174" s="2" t="str">
        <x:v>KECM</x:v>
      </x:c>
      <x:c r="M3174" s="2"/>
      <x:c r="N3174" s="8" t="n">
        <x:f>DATE(2026,10,15)-DATE(2025,10,15)</x:f>
        <x:v>365</x:v>
      </x:c>
      <x:c r="O3174" s="2"/>
      <x:c r="P3174" s="2" t="str">
        <x:v>외부사업 사업계획서에 대한 정보 비공개 신청을 철회합니다.</x:v>
      </x:c>
      <x:c r="Q3174" s="2" t="str">
        <x:v>산업전환 외부사업 정보비공개 신청 관리 Tool_260707_LJY_261013.xlsx</x:v>
      </x:c>
      <x:c r="R3174" s="2" t="str">
        <x:v>(비공개)국내평가</x:v>
      </x:c>
      <x:c r="S3174" s="8" t="n">
        <x:v>82</x:v>
      </x:c>
      <x:c r="T3174" s="2"/>
      <x:c r="U3174" s="2" t="str"/>
      <x:c r="V3174" s="2" t="str">
        <x:v>2026-02-06</x:v>
      </x:c>
      <x:c r="W3174" s="2" t="str"/>
      <x:c r="X3174" s="2" t="str">
        <x:v>종결 근거 보관</x:v>
      </x:c>
      <x:c r="Y3174" s="2" t="str">
        <x:v>22df6d619b696c1eba8e26790f6382083d9fb1bc48481283e3e8a92ea6897677</x:v>
      </x:c>
      <x:c r="Z3174" s="2" t="n">
        <x:f>SUBTOTAL(103,A3174)</x:f>
        <x:v>1</x:v>
      </x:c>
      <x:c r="AA3174" s="2" t="str">
        <x:f>IF(K3174&lt;&gt;"미종결 표시","대상 아님",IF(N3174="","신청일 확인",IF(NOT(ISNUMBER('종합 현황'!$H$5)),"관찰기준 확인",IF('종합 현황'!$H$5&lt;1,"관찰기준 확인",IF(N3174&gt;'종합 현황'!$H$5,"내부 관찰 대상","내부 관찰일 이하")))))</x:f>
        <x:v>대상 아님</x:v>
      </x:c>
      <x:c r="AB3174" s="2"/>
    </x:row>
    <x:row r="3175" ht="42" customHeight="1">
      <x:c r="A3175" s="2" t="str">
        <x:v>20b2df2285d61af0662abae9</x:v>
      </x:c>
      <x:c r="B3175" s="2" t="str">
        <x:v>사업 비공개 신청</x:v>
      </x:c>
      <x:c r="C3175" s="2" t="str">
        <x:v>국내</x:v>
      </x:c>
      <x:c r="D3175" s="7" t="str">
        <x:v>광주 두암 주공 2단지 아파트 연료전환을 통한 온실가스 감축사업</x:v>
      </x:c>
      <x:c r="E3175" s="2" t="str">
        <x:v>81</x:v>
      </x:c>
      <x:c r="F3175" s="2" t="str">
        <x:v>2025-10-15</x:v>
      </x:c>
      <x:c r="G3175" s="2" t="str">
        <x:v>2025</x:v>
      </x:c>
      <x:c r="H3175" s="2" t="str">
        <x:v>10</x:v>
      </x:c>
      <x:c r="I3175" s="2" t="str">
        <x:v>반려</x:v>
      </x:c>
      <x:c r="J3175" s="2" t="str">
        <x:v>반려완료</x:v>
      </x:c>
      <x:c r="K3175" s="2" t="str">
        <x:f>IF(OR(J3175="심의승인",J3175="반려",J3175="반려완료",J3175="심의완료"),"종결 표시",IF(OR(J3175="기후부협의",J3175="문서재제출요청",J3175="보류",J3175="보완요청",J3175="보완완료",J3175="평가중",J3175="반려요청",J3175="평가필요",LEFT(J3175,5)="보완요청("),"미종결 표시","상태 확인 필요"))</x:f>
        <x:v>종결 표시</x:v>
      </x:c>
      <x:c r="L3175" s="2" t="str">
        <x:v>KECM</x:v>
      </x:c>
      <x:c r="M3175" s="2"/>
      <x:c r="N3175" s="8" t="n">
        <x:f>DATE(2026,10,15)-DATE(2025,10,15)</x:f>
        <x:v>365</x:v>
      </x:c>
      <x:c r="O3175" s="2"/>
      <x:c r="P3175" s="2" t="str">
        <x:v>외부사업 사업계획서에 대한 정보 비공개 신청을 철회합니다.</x:v>
      </x:c>
      <x:c r="Q3175" s="2" t="str">
        <x:v>산업전환 외부사업 정보비공개 신청 관리 Tool_260707_LJY_261013.xlsx</x:v>
      </x:c>
      <x:c r="R3175" s="2" t="str">
        <x:v>(비공개)국내평가</x:v>
      </x:c>
      <x:c r="S3175" s="8" t="n">
        <x:v>83</x:v>
      </x:c>
      <x:c r="T3175" s="2"/>
      <x:c r="U3175" s="2" t="str"/>
      <x:c r="V3175" s="2" t="str">
        <x:v>2026-02-06</x:v>
      </x:c>
      <x:c r="W3175" s="2" t="str"/>
      <x:c r="X3175" s="2" t="str">
        <x:v>종결 근거 보관</x:v>
      </x:c>
      <x:c r="Y3175" s="2" t="str">
        <x:v>22df6d619b696c1eba8e26790f6382083d9fb1bc48481283e3e8a92ea6897677</x:v>
      </x:c>
      <x:c r="Z3175" s="2" t="n">
        <x:f>SUBTOTAL(103,A3175)</x:f>
        <x:v>1</x:v>
      </x:c>
      <x:c r="AA3175" s="2" t="str">
        <x:f>IF(K3175&lt;&gt;"미종결 표시","대상 아님",IF(N3175="","신청일 확인",IF(NOT(ISNUMBER('종합 현황'!$H$5)),"관찰기준 확인",IF('종합 현황'!$H$5&lt;1,"관찰기준 확인",IF(N3175&gt;'종합 현황'!$H$5,"내부 관찰 대상","내부 관찰일 이하")))))</x:f>
        <x:v>대상 아님</x:v>
      </x:c>
      <x:c r="AB3175" s="2"/>
    </x:row>
    <x:row r="3176" ht="42" customHeight="1">
      <x:c r="A3176" s="2" t="str">
        <x:v>f536ad7a432d7f476c445d28</x:v>
      </x:c>
      <x:c r="B3176" s="2" t="str">
        <x:v>사업 비공개 신청</x:v>
      </x:c>
      <x:c r="C3176" s="2" t="str">
        <x:v>국내</x:v>
      </x:c>
      <x:c r="D3176" s="7" t="str">
        <x:v>광주 각화 주공아파트 연료전환을 통한 온실가스 감축사업</x:v>
      </x:c>
      <x:c r="E3176" s="2" t="str">
        <x:v>82</x:v>
      </x:c>
      <x:c r="F3176" s="2" t="str">
        <x:v>2025-10-15</x:v>
      </x:c>
      <x:c r="G3176" s="2" t="str">
        <x:v>2025</x:v>
      </x:c>
      <x:c r="H3176" s="2" t="str">
        <x:v>10</x:v>
      </x:c>
      <x:c r="I3176" s="2" t="str">
        <x:v>반려</x:v>
      </x:c>
      <x:c r="J3176" s="2" t="str">
        <x:v>반려완료</x:v>
      </x:c>
      <x:c r="K3176" s="2" t="str">
        <x:f>IF(OR(J3176="심의승인",J3176="반려",J3176="반려완료",J3176="심의완료"),"종결 표시",IF(OR(J3176="기후부협의",J3176="문서재제출요청",J3176="보류",J3176="보완요청",J3176="보완완료",J3176="평가중",J3176="반려요청",J3176="평가필요",LEFT(J3176,5)="보완요청("),"미종결 표시","상태 확인 필요"))</x:f>
        <x:v>종결 표시</x:v>
      </x:c>
      <x:c r="L3176" s="2" t="str">
        <x:v>KECM</x:v>
      </x:c>
      <x:c r="M3176" s="2"/>
      <x:c r="N3176" s="8" t="n">
        <x:f>DATE(2026,10,15)-DATE(2025,10,15)</x:f>
        <x:v>365</x:v>
      </x:c>
      <x:c r="O3176" s="2"/>
      <x:c r="P3176" s="2" t="str">
        <x:v>외부사업 사업계획서에 대한 정보 비공개 신청을 철회합니다.</x:v>
      </x:c>
      <x:c r="Q3176" s="2" t="str">
        <x:v>산업전환 외부사업 정보비공개 신청 관리 Tool_260707_LJY_261013.xlsx</x:v>
      </x:c>
      <x:c r="R3176" s="2" t="str">
        <x:v>(비공개)국내평가</x:v>
      </x:c>
      <x:c r="S3176" s="8" t="n">
        <x:v>84</x:v>
      </x:c>
      <x:c r="T3176" s="2"/>
      <x:c r="U3176" s="2" t="str"/>
      <x:c r="V3176" s="2" t="str">
        <x:v>2026-02-06</x:v>
      </x:c>
      <x:c r="W3176" s="2" t="str"/>
      <x:c r="X3176" s="2" t="str">
        <x:v>종결 근거 보관</x:v>
      </x:c>
      <x:c r="Y3176" s="2" t="str">
        <x:v>22df6d619b696c1eba8e26790f6382083d9fb1bc48481283e3e8a92ea6897677</x:v>
      </x:c>
      <x:c r="Z3176" s="2" t="n">
        <x:f>SUBTOTAL(103,A3176)</x:f>
        <x:v>1</x:v>
      </x:c>
      <x:c r="AA3176" s="2" t="str">
        <x:f>IF(K3176&lt;&gt;"미종결 표시","대상 아님",IF(N3176="","신청일 확인",IF(NOT(ISNUMBER('종합 현황'!$H$5)),"관찰기준 확인",IF('종합 현황'!$H$5&lt;1,"관찰기준 확인",IF(N3176&gt;'종합 현황'!$H$5,"내부 관찰 대상","내부 관찰일 이하")))))</x:f>
        <x:v>대상 아님</x:v>
      </x:c>
      <x:c r="AB3176" s="2"/>
    </x:row>
    <x:row r="3177" ht="42" customHeight="1">
      <x:c r="A3177" s="2" t="str">
        <x:v>19bc3696ec1536a51f261d1a</x:v>
      </x:c>
      <x:c r="B3177" s="2" t="str">
        <x:v>사업 비공개 신청</x:v>
      </x:c>
      <x:c r="C3177" s="2" t="str">
        <x:v>국내</x:v>
      </x:c>
      <x:c r="D3177" s="7" t="str">
        <x:v>동해천곡5관리소 온수보일러 연료전환(B-C유-&gt;LNG)을 통한 온실가스 배출 감축사업</x:v>
      </x:c>
      <x:c r="E3177" s="2" t="str">
        <x:v>83</x:v>
      </x:c>
      <x:c r="F3177" s="2" t="str">
        <x:v>2025-10-15</x:v>
      </x:c>
      <x:c r="G3177" s="2" t="str">
        <x:v>2025</x:v>
      </x:c>
      <x:c r="H3177" s="2" t="str">
        <x:v>10</x:v>
      </x:c>
      <x:c r="I3177" s="2" t="str">
        <x:v>반려</x:v>
      </x:c>
      <x:c r="J3177" s="2" t="str">
        <x:v>반려완료</x:v>
      </x:c>
      <x:c r="K3177" s="2" t="str">
        <x:f>IF(OR(J3177="심의승인",J3177="반려",J3177="반려완료",J3177="심의완료"),"종결 표시",IF(OR(J3177="기후부협의",J3177="문서재제출요청",J3177="보류",J3177="보완요청",J3177="보완완료",J3177="평가중",J3177="반려요청",J3177="평가필요",LEFT(J3177,5)="보완요청("),"미종결 표시","상태 확인 필요"))</x:f>
        <x:v>종결 표시</x:v>
      </x:c>
      <x:c r="L3177" s="2" t="str">
        <x:v>KECM</x:v>
      </x:c>
      <x:c r="M3177" s="2"/>
      <x:c r="N3177" s="8" t="n">
        <x:f>DATE(2026,10,15)-DATE(2025,10,15)</x:f>
        <x:v>365</x:v>
      </x:c>
      <x:c r="O3177" s="2"/>
      <x:c r="P3177" s="2" t="str">
        <x:v>외부사업 사업계획서에 대한 정보 비공개 신청을 철회합니다.</x:v>
      </x:c>
      <x:c r="Q3177" s="2" t="str">
        <x:v>산업전환 외부사업 정보비공개 신청 관리 Tool_260707_LJY_261013.xlsx</x:v>
      </x:c>
      <x:c r="R3177" s="2" t="str">
        <x:v>(비공개)국내평가</x:v>
      </x:c>
      <x:c r="S3177" s="8" t="n">
        <x:v>85</x:v>
      </x:c>
      <x:c r="T3177" s="2"/>
      <x:c r="U3177" s="2" t="str"/>
      <x:c r="V3177" s="2" t="str">
        <x:v>2026-02-06</x:v>
      </x:c>
      <x:c r="W3177" s="2" t="str"/>
      <x:c r="X3177" s="2" t="str">
        <x:v>종결 근거 보관</x:v>
      </x:c>
      <x:c r="Y3177" s="2" t="str">
        <x:v>22df6d619b696c1eba8e26790f6382083d9fb1bc48481283e3e8a92ea6897677</x:v>
      </x:c>
      <x:c r="Z3177" s="2" t="n">
        <x:f>SUBTOTAL(103,A3177)</x:f>
        <x:v>1</x:v>
      </x:c>
      <x:c r="AA3177" s="2" t="str">
        <x:f>IF(K3177&lt;&gt;"미종결 표시","대상 아님",IF(N3177="","신청일 확인",IF(NOT(ISNUMBER('종합 현황'!$H$5)),"관찰기준 확인",IF('종합 현황'!$H$5&lt;1,"관찰기준 확인",IF(N3177&gt;'종합 현황'!$H$5,"내부 관찰 대상","내부 관찰일 이하")))))</x:f>
        <x:v>대상 아님</x:v>
      </x:c>
      <x:c r="AB3177" s="2"/>
    </x:row>
    <x:row r="3178" ht="42" customHeight="1">
      <x:c r="A3178" s="2" t="str">
        <x:v>1816f07f599e82f9949c37ca</x:v>
      </x:c>
      <x:c r="B3178" s="2" t="str">
        <x:v>사업 비공개 신청</x:v>
      </x:c>
      <x:c r="C3178" s="2" t="str">
        <x:v>국내</x:v>
      </x:c>
      <x:c r="D3178" s="7" t="str">
        <x:v>석사3관리소 온수보일러 연료전환(B-C유-&gt;LNG)을 통한 온실가스 배출 감축사업</x:v>
      </x:c>
      <x:c r="E3178" s="2" t="str">
        <x:v>84</x:v>
      </x:c>
      <x:c r="F3178" s="2" t="str">
        <x:v>2025-10-15</x:v>
      </x:c>
      <x:c r="G3178" s="2" t="str">
        <x:v>2025</x:v>
      </x:c>
      <x:c r="H3178" s="2" t="str">
        <x:v>10</x:v>
      </x:c>
      <x:c r="I3178" s="2" t="str">
        <x:v>반려</x:v>
      </x:c>
      <x:c r="J3178" s="2" t="str">
        <x:v>반려완료</x:v>
      </x:c>
      <x:c r="K3178" s="2" t="str">
        <x:f>IF(OR(J3178="심의승인",J3178="반려",J3178="반려완료",J3178="심의완료"),"종결 표시",IF(OR(J3178="기후부협의",J3178="문서재제출요청",J3178="보류",J3178="보완요청",J3178="보완완료",J3178="평가중",J3178="반려요청",J3178="평가필요",LEFT(J3178,5)="보완요청("),"미종결 표시","상태 확인 필요"))</x:f>
        <x:v>종결 표시</x:v>
      </x:c>
      <x:c r="L3178" s="2" t="str">
        <x:v>KECM</x:v>
      </x:c>
      <x:c r="M3178" s="2"/>
      <x:c r="N3178" s="8" t="n">
        <x:f>DATE(2026,10,15)-DATE(2025,10,15)</x:f>
        <x:v>365</x:v>
      </x:c>
      <x:c r="O3178" s="2"/>
      <x:c r="P3178" s="2" t="str">
        <x:v>외부사업 사업계획서에 대한 정보 비공개 신청을 철회합니다.</x:v>
      </x:c>
      <x:c r="Q3178" s="2" t="str">
        <x:v>산업전환 외부사업 정보비공개 신청 관리 Tool_260707_LJY_261013.xlsx</x:v>
      </x:c>
      <x:c r="R3178" s="2" t="str">
        <x:v>(비공개)국내평가</x:v>
      </x:c>
      <x:c r="S3178" s="8" t="n">
        <x:v>86</x:v>
      </x:c>
      <x:c r="T3178" s="2"/>
      <x:c r="U3178" s="2" t="str"/>
      <x:c r="V3178" s="2" t="str">
        <x:v>2026-02-06</x:v>
      </x:c>
      <x:c r="W3178" s="2" t="str"/>
      <x:c r="X3178" s="2" t="str">
        <x:v>종결 근거 보관</x:v>
      </x:c>
      <x:c r="Y3178" s="2" t="str">
        <x:v>22df6d619b696c1eba8e26790f6382083d9fb1bc48481283e3e8a92ea6897677</x:v>
      </x:c>
      <x:c r="Z3178" s="2" t="n">
        <x:f>SUBTOTAL(103,A3178)</x:f>
        <x:v>1</x:v>
      </x:c>
      <x:c r="AA3178" s="2" t="str">
        <x:f>IF(K3178&lt;&gt;"미종결 표시","대상 아님",IF(N3178="","신청일 확인",IF(NOT(ISNUMBER('종합 현황'!$H$5)),"관찰기준 확인",IF('종합 현황'!$H$5&lt;1,"관찰기준 확인",IF(N3178&gt;'종합 현황'!$H$5,"내부 관찰 대상","내부 관찰일 이하")))))</x:f>
        <x:v>대상 아님</x:v>
      </x:c>
      <x:c r="AB3178" s="2"/>
    </x:row>
    <x:row r="3179" ht="42" customHeight="1">
      <x:c r="A3179" s="2" t="str">
        <x:v>21b94e2d08c8434718432235</x:v>
      </x:c>
      <x:c r="B3179" s="2" t="str">
        <x:v>사업 비공개 신청</x:v>
      </x:c>
      <x:c r="C3179" s="2" t="str">
        <x:v>국내</x:v>
      </x:c>
      <x:c r="D3179" s="7" t="str">
        <x:v>동서발전 당진 소수력 프로젝트</x:v>
      </x:c>
      <x:c r="E3179" s="2" t="str">
        <x:v>85</x:v>
      </x:c>
      <x:c r="F3179" s="2" t="str">
        <x:v>2018-07-04</x:v>
      </x:c>
      <x:c r="G3179" s="2" t="str">
        <x:v>2018</x:v>
      </x:c>
      <x:c r="H3179" s="2" t="str">
        <x:v>07</x:v>
      </x:c>
      <x:c r="I3179" s="2" t="str">
        <x:v>보완요청</x:v>
      </x:c>
      <x:c r="J3179" s="2" t="str">
        <x:v>보완요청</x:v>
      </x:c>
      <x:c r="K3179" s="2" t="str">
        <x:f>IF(OR(J3179="심의승인",J3179="반려",J3179="반려완료",J3179="심의완료"),"종결 표시",IF(OR(J3179="기후부협의",J3179="문서재제출요청",J3179="보류",J3179="보완요청",J3179="보완완료",J3179="평가중",J3179="반려요청",J3179="평가필요",LEFT(J3179,5)="보완요청("),"미종결 표시","상태 확인 필요"))</x:f>
        <x:v>미종결 표시</x:v>
      </x:c>
      <x:c r="L3179" s="2" t="str">
        <x:v>KECM_이태준</x:v>
      </x:c>
      <x:c r="M3179" s="2"/>
      <x:c r="N3179" s="8" t="n">
        <x:f>DATE(2026,10,15)-DATE(2018,7,4)</x:f>
        <x:v>3025</x:v>
      </x:c>
      <x:c r="O3179" s="2"/>
      <x:c r="P3179" s="2" t="str">
        <x:v>사업계획서 내 보안유지 필요부분 구체화 필요(업무상 비밀보호)</x:v>
      </x:c>
      <x:c r="Q3179" s="2" t="str">
        <x:v>산업전환 외부사업 정보비공개 신청 관리 Tool_260707_LJY_261013.xlsx</x:v>
      </x:c>
      <x:c r="R3179" s="2" t="str">
        <x:v>(비공개)국내평가</x:v>
      </x:c>
      <x:c r="S3179" s="8" t="n">
        <x:v>87</x:v>
      </x:c>
      <x:c r="T3179" s="2"/>
      <x:c r="U3179" s="2" t="str"/>
      <x:c r="V3179" s="2" t="str">
        <x:v>2022-06-02</x:v>
      </x:c>
      <x:c r="W3179" s="2" t="str"/>
      <x:c r="X3179" s="2" t="str">
        <x:v>보완 회신 일정 확인</x:v>
      </x:c>
      <x:c r="Y3179" s="2" t="str">
        <x:v>22df6d619b696c1eba8e26790f6382083d9fb1bc48481283e3e8a92ea6897677</x:v>
      </x:c>
      <x:c r="Z3179" s="2" t="n">
        <x:f>SUBTOTAL(103,A3179)</x:f>
        <x:v>1</x:v>
      </x:c>
      <x:c r="AA3179" s="2" t="str">
        <x:f>IF(K3179&lt;&gt;"미종결 표시","대상 아님",IF(N3179="","신청일 확인",IF(NOT(ISNUMBER('종합 현황'!$H$5)),"관찰기준 확인",IF('종합 현황'!$H$5&lt;1,"관찰기준 확인",IF(N3179&gt;'종합 현황'!$H$5,"내부 관찰 대상","내부 관찰일 이하")))))</x:f>
        <x:v>내부 관찰 대상</x:v>
      </x:c>
      <x:c r="AB3179" s="2"/>
    </x:row>
    <x:row r="3180" ht="42" customHeight="1">
      <x:c r="A3180" s="2" t="str">
        <x:v>bbc344c7063416fddf86daf4</x:v>
      </x:c>
      <x:c r="B3180" s="2" t="str">
        <x:v>사업 비공개 신청</x:v>
      </x:c>
      <x:c r="C3180" s="2" t="str">
        <x:v>국내</x:v>
      </x:c>
      <x:c r="D3180" s="7" t="str">
        <x:v>부일화학의 B-C유에서 LNG로 연료전환을 통한 온실가스 배출 감축사업</x:v>
      </x:c>
      <x:c r="E3180" s="2" t="str">
        <x:v>86</x:v>
      </x:c>
      <x:c r="F3180" s="2" t="str">
        <x:v>2017-12-29</x:v>
      </x:c>
      <x:c r="G3180" s="2" t="str">
        <x:v>2017</x:v>
      </x:c>
      <x:c r="H3180" s="2" t="str">
        <x:v>12</x:v>
      </x:c>
      <x:c r="I3180" s="2" t="str">
        <x:v>보완요청</x:v>
      </x:c>
      <x:c r="J3180" s="2" t="str">
        <x:v>보완요청</x:v>
      </x:c>
      <x:c r="K3180" s="2" t="str">
        <x:f>IF(OR(J3180="심의승인",J3180="반려",J3180="반려완료",J3180="심의완료"),"종결 표시",IF(OR(J3180="기후부협의",J3180="문서재제출요청",J3180="보류",J3180="보완요청",J3180="보완완료",J3180="평가중",J3180="반려요청",J3180="평가필요",LEFT(J3180,5)="보완요청("),"미종결 표시","상태 확인 필요"))</x:f>
        <x:v>미종결 표시</x:v>
      </x:c>
      <x:c r="L3180" s="2" t="str">
        <x:v>KECM_이태준</x:v>
      </x:c>
      <x:c r="M3180" s="2"/>
      <x:c r="N3180" s="8" t="n">
        <x:f>DATE(2026,10,15)-DATE(2017,12,29)</x:f>
        <x:v>3212</x:v>
      </x:c>
      <x:c r="O3180" s="2"/>
      <x:c r="P3180" s="2" t="str">
        <x:v>사업계획서 내 보안유지 필요부분 구체화 필요(사업 정보 포함) / 사업명과 상이</x:v>
      </x:c>
      <x:c r="Q3180" s="2" t="str">
        <x:v>산업전환 외부사업 정보비공개 신청 관리 Tool_260707_LJY_261013.xlsx</x:v>
      </x:c>
      <x:c r="R3180" s="2" t="str">
        <x:v>(비공개)국내평가</x:v>
      </x:c>
      <x:c r="S3180" s="8" t="n">
        <x:v>88</x:v>
      </x:c>
      <x:c r="T3180" s="2"/>
      <x:c r="U3180" s="2" t="str"/>
      <x:c r="V3180" s="2" t="str">
        <x:v>2022-06-02</x:v>
      </x:c>
      <x:c r="W3180" s="2" t="str"/>
      <x:c r="X3180" s="2" t="str">
        <x:v>보완 회신 일정 확인</x:v>
      </x:c>
      <x:c r="Y3180" s="2" t="str">
        <x:v>22df6d619b696c1eba8e26790f6382083d9fb1bc48481283e3e8a92ea6897677</x:v>
      </x:c>
      <x:c r="Z3180" s="2" t="n">
        <x:f>SUBTOTAL(103,A3180)</x:f>
        <x:v>1</x:v>
      </x:c>
      <x:c r="AA3180" s="2" t="str">
        <x:f>IF(K3180&lt;&gt;"미종결 표시","대상 아님",IF(N3180="","신청일 확인",IF(NOT(ISNUMBER('종합 현황'!$H$5)),"관찰기준 확인",IF('종합 현황'!$H$5&lt;1,"관찰기준 확인",IF(N3180&gt;'종합 현황'!$H$5,"내부 관찰 대상","내부 관찰일 이하")))))</x:f>
        <x:v>내부 관찰 대상</x:v>
      </x:c>
      <x:c r="AB3180" s="2"/>
    </x:row>
    <x:row r="3181" ht="42" customHeight="1">
      <x:c r="A3181" s="2" t="str">
        <x:v>68b7ddc70faa532865b01b39</x:v>
      </x:c>
      <x:c r="B3181" s="2" t="str">
        <x:v>사업 비공개 신청</x:v>
      </x:c>
      <x:c r="C3181" s="2" t="str">
        <x:v>국내</x:v>
      </x:c>
      <x:c r="D3181" s="7" t="str">
        <x:v>마니커 동두천지점의 B-C유에서 LNG로 연료전환을 통한 온실가스 배출 감축사업</x:v>
      </x:c>
      <x:c r="E3181" s="2" t="str">
        <x:v>87</x:v>
      </x:c>
      <x:c r="F3181" s="2" t="str">
        <x:v>2017-12-29</x:v>
      </x:c>
      <x:c r="G3181" s="2" t="str">
        <x:v>2017</x:v>
      </x:c>
      <x:c r="H3181" s="2" t="str">
        <x:v>12</x:v>
      </x:c>
      <x:c r="I3181" s="2" t="str">
        <x:v>보완요청</x:v>
      </x:c>
      <x:c r="J3181" s="2" t="str">
        <x:v>보완요청</x:v>
      </x:c>
      <x:c r="K3181" s="2" t="str">
        <x:f>IF(OR(J3181="심의승인",J3181="반려",J3181="반려완료",J3181="심의완료"),"종결 표시",IF(OR(J3181="기후부협의",J3181="문서재제출요청",J3181="보류",J3181="보완요청",J3181="보완완료",J3181="평가중",J3181="반려요청",J3181="평가필요",LEFT(J3181,5)="보완요청("),"미종결 표시","상태 확인 필요"))</x:f>
        <x:v>미종결 표시</x:v>
      </x:c>
      <x:c r="L3181" s="2" t="str">
        <x:v>KECM_이태준</x:v>
      </x:c>
      <x:c r="M3181" s="2"/>
      <x:c r="N3181" s="8" t="n">
        <x:f>DATE(2026,10,15)-DATE(2017,12,29)</x:f>
        <x:v>3212</x:v>
      </x:c>
      <x:c r="O3181" s="2"/>
      <x:c r="P3181" s="2" t="str">
        <x:v>사업계획서 내 보안유지 필요부분 구체화 필요(사업 정보 포함) / 사업명과 상이</x:v>
      </x:c>
      <x:c r="Q3181" s="2" t="str">
        <x:v>산업전환 외부사업 정보비공개 신청 관리 Tool_260707_LJY_261013.xlsx</x:v>
      </x:c>
      <x:c r="R3181" s="2" t="str">
        <x:v>(비공개)국내평가</x:v>
      </x:c>
      <x:c r="S3181" s="8" t="n">
        <x:v>89</x:v>
      </x:c>
      <x:c r="T3181" s="2"/>
      <x:c r="U3181" s="2" t="str"/>
      <x:c r="V3181" s="2" t="str">
        <x:v>2022-06-02</x:v>
      </x:c>
      <x:c r="W3181" s="2" t="str"/>
      <x:c r="X3181" s="2" t="str">
        <x:v>보완 회신 일정 확인</x:v>
      </x:c>
      <x:c r="Y3181" s="2" t="str">
        <x:v>22df6d619b696c1eba8e26790f6382083d9fb1bc48481283e3e8a92ea6897677</x:v>
      </x:c>
      <x:c r="Z3181" s="2" t="n">
        <x:f>SUBTOTAL(103,A3181)</x:f>
        <x:v>1</x:v>
      </x:c>
      <x:c r="AA3181" s="2" t="str">
        <x:f>IF(K3181&lt;&gt;"미종결 표시","대상 아님",IF(N3181="","신청일 확인",IF(NOT(ISNUMBER('종합 현황'!$H$5)),"관찰기준 확인",IF('종합 현황'!$H$5&lt;1,"관찰기준 확인",IF(N3181&gt;'종합 현황'!$H$5,"내부 관찰 대상","내부 관찰일 이하")))))</x:f>
        <x:v>내부 관찰 대상</x:v>
      </x:c>
      <x:c r="AB3181" s="2"/>
    </x:row>
    <x:row r="3182" ht="42" customHeight="1">
      <x:c r="A3182" s="2" t="str">
        <x:v>3803157eb28c6858b5e02586</x:v>
      </x:c>
      <x:c r="B3182" s="2" t="str">
        <x:v>사업 비공개 신청</x:v>
      </x:c>
      <x:c r="C3182" s="2" t="str">
        <x:v>국내</x:v>
      </x:c>
      <x:c r="D3182" s="7" t="str">
        <x:v>한국 경기도 지역의 천연가스 연료전환 번들링 사업</x:v>
      </x:c>
      <x:c r="E3182" s="2" t="str">
        <x:v>88</x:v>
      </x:c>
      <x:c r="F3182" s="2" t="str">
        <x:v>2017-12-18</x:v>
      </x:c>
      <x:c r="G3182" s="2" t="str">
        <x:v>2017</x:v>
      </x:c>
      <x:c r="H3182" s="2" t="str">
        <x:v>12</x:v>
      </x:c>
      <x:c r="I3182" s="2" t="str">
        <x:v>보완요청</x:v>
      </x:c>
      <x:c r="J3182" s="2" t="str">
        <x:v>보완요청</x:v>
      </x:c>
      <x:c r="K3182" s="2" t="str">
        <x:f>IF(OR(J3182="심의승인",J3182="반려",J3182="반려완료",J3182="심의완료"),"종결 표시",IF(OR(J3182="기후부협의",J3182="문서재제출요청",J3182="보류",J3182="보완요청",J3182="보완완료",J3182="평가중",J3182="반려요청",J3182="평가필요",LEFT(J3182,5)="보완요청("),"미종결 표시","상태 확인 필요"))</x:f>
        <x:v>미종결 표시</x:v>
      </x:c>
      <x:c r="L3182" s="2" t="str">
        <x:v>KECM_이태준</x:v>
      </x:c>
      <x:c r="M3182" s="2"/>
      <x:c r="N3182" s="8" t="n">
        <x:f>DATE(2026,10,15)-DATE(2017,12,18)</x:f>
        <x:v>3223</x:v>
      </x:c>
      <x:c r="O3182" s="2"/>
      <x:c r="P3182" s="2" t="str">
        <x:v>사업계획서 내 보안유지 필요부분 구체화 필요(개인 정보 보호)</x:v>
      </x:c>
      <x:c r="Q3182" s="2" t="str">
        <x:v>산업전환 외부사업 정보비공개 신청 관리 Tool_260707_LJY_261013.xlsx</x:v>
      </x:c>
      <x:c r="R3182" s="2" t="str">
        <x:v>(비공개)국내평가</x:v>
      </x:c>
      <x:c r="S3182" s="8" t="n">
        <x:v>90</x:v>
      </x:c>
      <x:c r="T3182" s="2"/>
      <x:c r="U3182" s="2" t="str"/>
      <x:c r="V3182" s="2" t="str">
        <x:v>2022-06-02</x:v>
      </x:c>
      <x:c r="W3182" s="2" t="str"/>
      <x:c r="X3182" s="2" t="str">
        <x:v>보완 회신 일정 확인</x:v>
      </x:c>
      <x:c r="Y3182" s="2" t="str">
        <x:v>22df6d619b696c1eba8e26790f6382083d9fb1bc48481283e3e8a92ea6897677</x:v>
      </x:c>
      <x:c r="Z3182" s="2" t="n">
        <x:f>SUBTOTAL(103,A3182)</x:f>
        <x:v>1</x:v>
      </x:c>
      <x:c r="AA3182" s="2" t="str">
        <x:f>IF(K3182&lt;&gt;"미종결 표시","대상 아님",IF(N3182="","신청일 확인",IF(NOT(ISNUMBER('종합 현황'!$H$5)),"관찰기준 확인",IF('종합 현황'!$H$5&lt;1,"관찰기준 확인",IF(N3182&gt;'종합 현황'!$H$5,"내부 관찰 대상","내부 관찰일 이하")))))</x:f>
        <x:v>내부 관찰 대상</x:v>
      </x:c>
      <x:c r="AB3182" s="2"/>
    </x:row>
    <x:row r="3183" ht="42" customHeight="1">
      <x:c r="A3183" s="2" t="str">
        <x:v>e77406dbd669a187674686d1</x:v>
      </x:c>
      <x:c r="B3183" s="2" t="str">
        <x:v>사업 비공개 신청</x:v>
      </x:c>
      <x:c r="C3183" s="2" t="str">
        <x:v>국내</x:v>
      </x:c>
      <x:c r="D3183" s="7" t="str">
        <x:v>인제군 내린천요양원 태양광 발전설비 설치 및 자가 사용을 통한 온실가스 배출 감축사업</x:v>
      </x:c>
      <x:c r="E3183" s="2" t="str">
        <x:v>89</x:v>
      </x:c>
      <x:c r="F3183" s="2" t="str">
        <x:v>2017-12-14</x:v>
      </x:c>
      <x:c r="G3183" s="2" t="str">
        <x:v>2017</x:v>
      </x:c>
      <x:c r="H3183" s="2" t="str">
        <x:v>12</x:v>
      </x:c>
      <x:c r="I3183" s="2" t="str">
        <x:v>반려</x:v>
      </x:c>
      <x:c r="J3183" s="2" t="str">
        <x:v>선택</x:v>
      </x:c>
      <x:c r="K3183" s="2" t="str">
        <x:f>IF(OR(J3183="심의승인",J3183="반려",J3183="반려완료",J3183="심의완료"),"종결 표시",IF(OR(J3183="기후부협의",J3183="문서재제출요청",J3183="보류",J3183="보완요청",J3183="보완완료",J3183="평가중",J3183="반려요청",J3183="평가필요",LEFT(J3183,5)="보완요청("),"미종결 표시","상태 확인 필요"))</x:f>
        <x:v>상태 확인 필요</x:v>
      </x:c>
      <x:c r="L3183" s="2"/>
      <x:c r="M3183" s="2"/>
      <x:c r="N3183" s="8" t="n">
        <x:f>DATE(2026,10,15)-DATE(2017,12,14)</x:f>
        <x:v>3227</x:v>
      </x:c>
      <x:c r="O3183" s="2"/>
      <x:c r="P3183" s="2"/>
      <x:c r="Q3183" s="2" t="str">
        <x:v>산업전환 외부사업 정보비공개 신청 관리 Tool_260707_LJY_261013.xlsx</x:v>
      </x:c>
      <x:c r="R3183" s="2" t="str">
        <x:v>(비공개)국내평가</x:v>
      </x:c>
      <x:c r="S3183" s="8" t="n">
        <x:v>91</x:v>
      </x:c>
      <x:c r="T3183" s="2"/>
      <x:c r="U3183" s="2" t="str"/>
      <x:c r="V3183" s="2" t="str">
        <x:v>2025-02-25</x:v>
      </x:c>
      <x:c r="W3183" s="2" t="str">
        <x:v>담당기관 확인 / 종결 여부 확인</x:v>
      </x:c>
      <x:c r="X3183" s="2" t="str">
        <x:v>원본·배정 기록 확인</x:v>
      </x:c>
      <x:c r="Y3183" s="2" t="str">
        <x:v>22df6d619b696c1eba8e26790f6382083d9fb1bc48481283e3e8a92ea6897677</x:v>
      </x:c>
      <x:c r="Z3183" s="2" t="n">
        <x:f>SUBTOTAL(103,A3183)</x:f>
        <x:v>1</x:v>
      </x:c>
      <x:c r="AA3183" s="2" t="str">
        <x:f>IF(K3183&lt;&gt;"미종결 표시","대상 아님",IF(N3183="","신청일 확인",IF(NOT(ISNUMBER('종합 현황'!$H$5)),"관찰기준 확인",IF('종합 현황'!$H$5&lt;1,"관찰기준 확인",IF(N3183&gt;'종합 현황'!$H$5,"내부 관찰 대상","내부 관찰일 이하")))))</x:f>
        <x:v>대상 아님</x:v>
      </x:c>
      <x:c r="AB3183" s="2"/>
    </x:row>
    <x:row r="3184" ht="42" customHeight="1">
      <x:c r="A3184" s="2" t="str">
        <x:v>0a710542c75384e7adb472bb</x:v>
      </x:c>
      <x:c r="B3184" s="2" t="str">
        <x:v>사업 비공개 신청</x:v>
      </x:c>
      <x:c r="C3184" s="2" t="str">
        <x:v>국내</x:v>
      </x:c>
      <x:c r="D3184" s="7" t="str">
        <x:v>인제군 실버홈 태양광 발전설비 설치 및 자가 사용을 통한 온실가스 배출 감축사업</x:v>
      </x:c>
      <x:c r="E3184" s="2" t="str">
        <x:v>90</x:v>
      </x:c>
      <x:c r="F3184" s="2" t="str">
        <x:v>2017-12-14</x:v>
      </x:c>
      <x:c r="G3184" s="2" t="str">
        <x:v>2017</x:v>
      </x:c>
      <x:c r="H3184" s="2" t="str">
        <x:v>12</x:v>
      </x:c>
      <x:c r="I3184" s="2" t="str">
        <x:v>반려</x:v>
      </x:c>
      <x:c r="J3184" s="2" t="str">
        <x:v>선택</x:v>
      </x:c>
      <x:c r="K3184" s="2" t="str">
        <x:f>IF(OR(J3184="심의승인",J3184="반려",J3184="반려완료",J3184="심의완료"),"종결 표시",IF(OR(J3184="기후부협의",J3184="문서재제출요청",J3184="보류",J3184="보완요청",J3184="보완완료",J3184="평가중",J3184="반려요청",J3184="평가필요",LEFT(J3184,5)="보완요청("),"미종결 표시","상태 확인 필요"))</x:f>
        <x:v>상태 확인 필요</x:v>
      </x:c>
      <x:c r="L3184" s="2"/>
      <x:c r="M3184" s="2"/>
      <x:c r="N3184" s="8" t="n">
        <x:f>DATE(2026,10,15)-DATE(2017,12,14)</x:f>
        <x:v>3227</x:v>
      </x:c>
      <x:c r="O3184" s="2"/>
      <x:c r="P3184" s="2"/>
      <x:c r="Q3184" s="2" t="str">
        <x:v>산업전환 외부사업 정보비공개 신청 관리 Tool_260707_LJY_261013.xlsx</x:v>
      </x:c>
      <x:c r="R3184" s="2" t="str">
        <x:v>(비공개)국내평가</x:v>
      </x:c>
      <x:c r="S3184" s="8" t="n">
        <x:v>92</x:v>
      </x:c>
      <x:c r="T3184" s="2"/>
      <x:c r="U3184" s="2" t="str"/>
      <x:c r="V3184" s="2" t="str">
        <x:v>2025-02-25</x:v>
      </x:c>
      <x:c r="W3184" s="2" t="str">
        <x:v>담당기관 확인 / 종결 여부 확인</x:v>
      </x:c>
      <x:c r="X3184" s="2" t="str">
        <x:v>원본·배정 기록 확인</x:v>
      </x:c>
      <x:c r="Y3184" s="2" t="str">
        <x:v>22df6d619b696c1eba8e26790f6382083d9fb1bc48481283e3e8a92ea6897677</x:v>
      </x:c>
      <x:c r="Z3184" s="2" t="n">
        <x:f>SUBTOTAL(103,A3184)</x:f>
        <x:v>1</x:v>
      </x:c>
      <x:c r="AA3184" s="2" t="str">
        <x:f>IF(K3184&lt;&gt;"미종결 표시","대상 아님",IF(N3184="","신청일 확인",IF(NOT(ISNUMBER('종합 현황'!$H$5)),"관찰기준 확인",IF('종합 현황'!$H$5&lt;1,"관찰기준 확인",IF(N3184&gt;'종합 현황'!$H$5,"내부 관찰 대상","내부 관찰일 이하")))))</x:f>
        <x:v>대상 아님</x:v>
      </x:c>
      <x:c r="AB3184" s="2"/>
    </x:row>
    <x:row r="3185" ht="42" customHeight="1">
      <x:c r="A3185" s="2" t="str">
        <x:v>45e14829891f6b03a0cf8c37</x:v>
      </x:c>
      <x:c r="B3185" s="2" t="str">
        <x:v>사업 비공개 신청</x:v>
      </x:c>
      <x:c r="C3185" s="2" t="str">
        <x:v>국내</x:v>
      </x:c>
      <x:c r="D3185" s="7" t="str">
        <x:v>인제군 애향원 태양광 발전설비 설치 및 자가 사용을 통한 온실가스 배출 감축사업</x:v>
      </x:c>
      <x:c r="E3185" s="2" t="str">
        <x:v>91</x:v>
      </x:c>
      <x:c r="F3185" s="2" t="str">
        <x:v>2017-12-14</x:v>
      </x:c>
      <x:c r="G3185" s="2" t="str">
        <x:v>2017</x:v>
      </x:c>
      <x:c r="H3185" s="2" t="str">
        <x:v>12</x:v>
      </x:c>
      <x:c r="I3185" s="2" t="str">
        <x:v>반려</x:v>
      </x:c>
      <x:c r="J3185" s="2" t="str">
        <x:v>선택</x:v>
      </x:c>
      <x:c r="K3185" s="2" t="str">
        <x:f>IF(OR(J3185="심의승인",J3185="반려",J3185="반려완료",J3185="심의완료"),"종결 표시",IF(OR(J3185="기후부협의",J3185="문서재제출요청",J3185="보류",J3185="보완요청",J3185="보완완료",J3185="평가중",J3185="반려요청",J3185="평가필요",LEFT(J3185,5)="보완요청("),"미종결 표시","상태 확인 필요"))</x:f>
        <x:v>상태 확인 필요</x:v>
      </x:c>
      <x:c r="L3185" s="2"/>
      <x:c r="M3185" s="2"/>
      <x:c r="N3185" s="8" t="n">
        <x:f>DATE(2026,10,15)-DATE(2017,12,14)</x:f>
        <x:v>3227</x:v>
      </x:c>
      <x:c r="O3185" s="2"/>
      <x:c r="P3185" s="2"/>
      <x:c r="Q3185" s="2" t="str">
        <x:v>산업전환 외부사업 정보비공개 신청 관리 Tool_260707_LJY_261013.xlsx</x:v>
      </x:c>
      <x:c r="R3185" s="2" t="str">
        <x:v>(비공개)국내평가</x:v>
      </x:c>
      <x:c r="S3185" s="8" t="n">
        <x:v>93</x:v>
      </x:c>
      <x:c r="T3185" s="2"/>
      <x:c r="U3185" s="2" t="str"/>
      <x:c r="V3185" s="2" t="str">
        <x:v>2025-02-25</x:v>
      </x:c>
      <x:c r="W3185" s="2" t="str">
        <x:v>담당기관 확인 / 종결 여부 확인</x:v>
      </x:c>
      <x:c r="X3185" s="2" t="str">
        <x:v>원본·배정 기록 확인</x:v>
      </x:c>
      <x:c r="Y3185" s="2" t="str">
        <x:v>22df6d619b696c1eba8e26790f6382083d9fb1bc48481283e3e8a92ea6897677</x:v>
      </x:c>
      <x:c r="Z3185" s="2" t="n">
        <x:f>SUBTOTAL(103,A3185)</x:f>
        <x:v>1</x:v>
      </x:c>
      <x:c r="AA3185" s="2" t="str">
        <x:f>IF(K3185&lt;&gt;"미종결 표시","대상 아님",IF(N3185="","신청일 확인",IF(NOT(ISNUMBER('종합 현황'!$H$5)),"관찰기준 확인",IF('종합 현황'!$H$5&lt;1,"관찰기준 확인",IF(N3185&gt;'종합 현황'!$H$5,"내부 관찰 대상","내부 관찰일 이하")))))</x:f>
        <x:v>대상 아님</x:v>
      </x:c>
      <x:c r="AB3185" s="2"/>
    </x:row>
    <x:row r="3186" ht="42" customHeight="1">
      <x:c r="A3186" s="2" t="str">
        <x:v>a777dce5234e994134103fe5</x:v>
      </x:c>
      <x:c r="B3186" s="2" t="str">
        <x:v>사업 비공개 신청</x:v>
      </x:c>
      <x:c r="C3186" s="2" t="str">
        <x:v>국내</x:v>
      </x:c>
      <x:c r="D3186" s="7" t="str">
        <x:v>속초시 목우재터널 고효율 도로조명 교체를 통한 온실가스 배출감축 사업</x:v>
      </x:c>
      <x:c r="E3186" s="2" t="str">
        <x:v>92</x:v>
      </x:c>
      <x:c r="F3186" s="2" t="str">
        <x:v>2017-12-14</x:v>
      </x:c>
      <x:c r="G3186" s="2" t="str">
        <x:v>2017</x:v>
      </x:c>
      <x:c r="H3186" s="2" t="str">
        <x:v>12</x:v>
      </x:c>
      <x:c r="I3186" s="2" t="str">
        <x:v>반려</x:v>
      </x:c>
      <x:c r="J3186" s="2" t="str">
        <x:v>선택</x:v>
      </x:c>
      <x:c r="K3186" s="2" t="str">
        <x:f>IF(OR(J3186="심의승인",J3186="반려",J3186="반려완료",J3186="심의완료"),"종결 표시",IF(OR(J3186="기후부협의",J3186="문서재제출요청",J3186="보류",J3186="보완요청",J3186="보완완료",J3186="평가중",J3186="반려요청",J3186="평가필요",LEFT(J3186,5)="보완요청("),"미종결 표시","상태 확인 필요"))</x:f>
        <x:v>상태 확인 필요</x:v>
      </x:c>
      <x:c r="L3186" s="2"/>
      <x:c r="M3186" s="2"/>
      <x:c r="N3186" s="8" t="n">
        <x:f>DATE(2026,10,15)-DATE(2017,12,14)</x:f>
        <x:v>3227</x:v>
      </x:c>
      <x:c r="O3186" s="2"/>
      <x:c r="P3186" s="2"/>
      <x:c r="Q3186" s="2" t="str">
        <x:v>산업전환 외부사업 정보비공개 신청 관리 Tool_260707_LJY_261013.xlsx</x:v>
      </x:c>
      <x:c r="R3186" s="2" t="str">
        <x:v>(비공개)국내평가</x:v>
      </x:c>
      <x:c r="S3186" s="8" t="n">
        <x:v>94</x:v>
      </x:c>
      <x:c r="T3186" s="2"/>
      <x:c r="U3186" s="2" t="str"/>
      <x:c r="V3186" s="2" t="str">
        <x:v>2025-02-25</x:v>
      </x:c>
      <x:c r="W3186" s="2" t="str">
        <x:v>담당기관 확인 / 종결 여부 확인</x:v>
      </x:c>
      <x:c r="X3186" s="2" t="str">
        <x:v>원본·배정 기록 확인</x:v>
      </x:c>
      <x:c r="Y3186" s="2" t="str">
        <x:v>22df6d619b696c1eba8e26790f6382083d9fb1bc48481283e3e8a92ea6897677</x:v>
      </x:c>
      <x:c r="Z3186" s="2" t="n">
        <x:f>SUBTOTAL(103,A3186)</x:f>
        <x:v>1</x:v>
      </x:c>
      <x:c r="AA3186" s="2" t="str">
        <x:f>IF(K3186&lt;&gt;"미종결 표시","대상 아님",IF(N3186="","신청일 확인",IF(NOT(ISNUMBER('종합 현황'!$H$5)),"관찰기준 확인",IF('종합 현황'!$H$5&lt;1,"관찰기준 확인",IF(N3186&gt;'종합 현황'!$H$5,"내부 관찰 대상","내부 관찰일 이하")))))</x:f>
        <x:v>대상 아님</x:v>
      </x:c>
      <x:c r="AB3186" s="2"/>
    </x:row>
    <x:row r="3187" ht="42" customHeight="1">
      <x:c r="A3187" s="2" t="str">
        <x:v>fed73d538d31e2d4827718a9</x:v>
      </x:c>
      <x:c r="B3187" s="2" t="str">
        <x:v>사업 비공개 신청</x:v>
      </x:c>
      <x:c r="C3187" s="2" t="str">
        <x:v>국내</x:v>
      </x:c>
      <x:c r="D3187" s="7" t="str">
        <x:v>태림포장의 B-C유에서 LNG로 연료전환을 통한 온실가스 배출 감축사업</x:v>
      </x:c>
      <x:c r="E3187" s="2" t="str">
        <x:v>93</x:v>
      </x:c>
      <x:c r="F3187" s="2" t="str">
        <x:v>2017-11-03</x:v>
      </x:c>
      <x:c r="G3187" s="2" t="str">
        <x:v>2017</x:v>
      </x:c>
      <x:c r="H3187" s="2" t="str">
        <x:v>11</x:v>
      </x:c>
      <x:c r="I3187" s="2" t="str">
        <x:v>보완요청</x:v>
      </x:c>
      <x:c r="J3187" s="2" t="str">
        <x:v>보완요청</x:v>
      </x:c>
      <x:c r="K3187" s="2" t="str">
        <x:f>IF(OR(J3187="심의승인",J3187="반려",J3187="반려완료",J3187="심의완료"),"종결 표시",IF(OR(J3187="기후부협의",J3187="문서재제출요청",J3187="보류",J3187="보완요청",J3187="보완완료",J3187="평가중",J3187="반려요청",J3187="평가필요",LEFT(J3187,5)="보완요청("),"미종결 표시","상태 확인 필요"))</x:f>
        <x:v>미종결 표시</x:v>
      </x:c>
      <x:c r="L3187" s="2" t="str">
        <x:v>KECM_이태준</x:v>
      </x:c>
      <x:c r="M3187" s="2"/>
      <x:c r="N3187" s="8" t="n">
        <x:f>DATE(2026,10,15)-DATE(2017,11,3)</x:f>
        <x:v>3268</x:v>
      </x:c>
      <x:c r="O3187" s="2"/>
      <x:c r="P3187" s="2" t="str">
        <x:v>사업계획서 내 보안유지 필요부분 구체화 필요(업체 개인 정보) / 사업명과 상이</x:v>
      </x:c>
      <x:c r="Q3187" s="2" t="str">
        <x:v>산업전환 외부사업 정보비공개 신청 관리 Tool_260707_LJY_261013.xlsx</x:v>
      </x:c>
      <x:c r="R3187" s="2" t="str">
        <x:v>(비공개)국내평가</x:v>
      </x:c>
      <x:c r="S3187" s="8" t="n">
        <x:v>95</x:v>
      </x:c>
      <x:c r="T3187" s="2"/>
      <x:c r="U3187" s="2" t="str"/>
      <x:c r="V3187" s="2" t="str">
        <x:v>2022-06-02</x:v>
      </x:c>
      <x:c r="W3187" s="2" t="str"/>
      <x:c r="X3187" s="2" t="str">
        <x:v>보완 회신 일정 확인</x:v>
      </x:c>
      <x:c r="Y3187" s="2" t="str">
        <x:v>22df6d619b696c1eba8e26790f6382083d9fb1bc48481283e3e8a92ea6897677</x:v>
      </x:c>
      <x:c r="Z3187" s="2" t="n">
        <x:f>SUBTOTAL(103,A3187)</x:f>
        <x:v>1</x:v>
      </x:c>
      <x:c r="AA3187" s="2" t="str">
        <x:f>IF(K3187&lt;&gt;"미종결 표시","대상 아님",IF(N3187="","신청일 확인",IF(NOT(ISNUMBER('종합 현황'!$H$5)),"관찰기준 확인",IF('종합 현황'!$H$5&lt;1,"관찰기준 확인",IF(N3187&gt;'종합 현황'!$H$5,"내부 관찰 대상","내부 관찰일 이하")))))</x:f>
        <x:v>내부 관찰 대상</x:v>
      </x:c>
      <x:c r="AB3187" s="2"/>
    </x:row>
    <x:row r="3188" ht="42" customHeight="1">
      <x:c r="A3188" s="2" t="str">
        <x:v>0f807bb75c5b82befef800ba</x:v>
      </x:c>
      <x:c r="B3188" s="2" t="str">
        <x:v>사업 비공개 신청</x:v>
      </x:c>
      <x:c r="C3188" s="2" t="str">
        <x:v>국내</x:v>
      </x:c>
      <x:c r="D3188" s="7" t="str">
        <x:v>2016년 서울시 건물형 미니발전소 설치 및 자가사용 묶음감축사업</x:v>
      </x:c>
      <x:c r="E3188" s="2" t="str">
        <x:v>94</x:v>
      </x:c>
      <x:c r="F3188" s="2" t="str">
        <x:v>2017-10-17</x:v>
      </x:c>
      <x:c r="G3188" s="2" t="str">
        <x:v>2017</x:v>
      </x:c>
      <x:c r="H3188" s="2" t="str">
        <x:v>10</x:v>
      </x:c>
      <x:c r="I3188" s="2" t="str">
        <x:v>반려</x:v>
      </x:c>
      <x:c r="J3188" s="2" t="str">
        <x:v>선택</x:v>
      </x:c>
      <x:c r="K3188" s="2" t="str">
        <x:f>IF(OR(J3188="심의승인",J3188="반려",J3188="반려완료",J3188="심의완료"),"종결 표시",IF(OR(J3188="기후부협의",J3188="문서재제출요청",J3188="보류",J3188="보완요청",J3188="보완완료",J3188="평가중",J3188="반려요청",J3188="평가필요",LEFT(J3188,5)="보완요청("),"미종결 표시","상태 확인 필요"))</x:f>
        <x:v>상태 확인 필요</x:v>
      </x:c>
      <x:c r="L3188" s="2"/>
      <x:c r="M3188" s="2"/>
      <x:c r="N3188" s="8" t="n">
        <x:f>DATE(2026,10,15)-DATE(2017,10,17)</x:f>
        <x:v>3285</x:v>
      </x:c>
      <x:c r="O3188" s="2"/>
      <x:c r="P3188" s="2"/>
      <x:c r="Q3188" s="2" t="str">
        <x:v>산업전환 외부사업 정보비공개 신청 관리 Tool_260707_LJY_261013.xlsx</x:v>
      </x:c>
      <x:c r="R3188" s="2" t="str">
        <x:v>(비공개)국내평가</x:v>
      </x:c>
      <x:c r="S3188" s="8" t="n">
        <x:v>96</x:v>
      </x:c>
      <x:c r="T3188" s="2"/>
      <x:c r="U3188" s="2" t="str"/>
      <x:c r="V3188" s="2" t="str">
        <x:v>2025-02-25</x:v>
      </x:c>
      <x:c r="W3188" s="2" t="str">
        <x:v>담당기관 확인 / 종결 여부 확인</x:v>
      </x:c>
      <x:c r="X3188" s="2" t="str">
        <x:v>원본·배정 기록 확인</x:v>
      </x:c>
      <x:c r="Y3188" s="2" t="str">
        <x:v>22df6d619b696c1eba8e26790f6382083d9fb1bc48481283e3e8a92ea6897677</x:v>
      </x:c>
      <x:c r="Z3188" s="2" t="n">
        <x:f>SUBTOTAL(103,A3188)</x:f>
        <x:v>1</x:v>
      </x:c>
      <x:c r="AA3188" s="2" t="str">
        <x:f>IF(K3188&lt;&gt;"미종결 표시","대상 아님",IF(N3188="","신청일 확인",IF(NOT(ISNUMBER('종합 현황'!$H$5)),"관찰기준 확인",IF('종합 현황'!$H$5&lt;1,"관찰기준 확인",IF(N3188&gt;'종합 현황'!$H$5,"내부 관찰 대상","내부 관찰일 이하")))))</x:f>
        <x:v>대상 아님</x:v>
      </x:c>
      <x:c r="AB3188" s="2"/>
    </x:row>
    <x:row r="3189" ht="42" customHeight="1">
      <x:c r="A3189" s="2" t="str">
        <x:v>828fa5aaa29d745eb4a33634</x:v>
      </x:c>
      <x:c r="B3189" s="2" t="str">
        <x:v>사업 비공개 신청</x:v>
      </x:c>
      <x:c r="C3189" s="2" t="str">
        <x:v>국내</x:v>
      </x:c>
      <x:c r="D3189" s="7" t="str">
        <x:v>삼천리 도시가스 공급 권역의 연료전환을 통한 프로그램 감축사업</x:v>
      </x:c>
      <x:c r="E3189" s="2" t="str">
        <x:v>95</x:v>
      </x:c>
      <x:c r="F3189" s="2" t="str">
        <x:v>2017-05-26</x:v>
      </x:c>
      <x:c r="G3189" s="2" t="str">
        <x:v>2017</x:v>
      </x:c>
      <x:c r="H3189" s="2" t="str">
        <x:v>05</x:v>
      </x:c>
      <x:c r="I3189" s="2" t="str">
        <x:v>보완요청</x:v>
      </x:c>
      <x:c r="J3189" s="2" t="str">
        <x:v>보완요청</x:v>
      </x:c>
      <x:c r="K3189" s="2" t="str">
        <x:f>IF(OR(J3189="심의승인",J3189="반려",J3189="반려완료",J3189="심의완료"),"종결 표시",IF(OR(J3189="기후부협의",J3189="문서재제출요청",J3189="보류",J3189="보완요청",J3189="보완완료",J3189="평가중",J3189="반려요청",J3189="평가필요",LEFT(J3189,5)="보완요청("),"미종결 표시","상태 확인 필요"))</x:f>
        <x:v>미종결 표시</x:v>
      </x:c>
      <x:c r="L3189" s="2" t="str">
        <x:v>KECM_이태준</x:v>
      </x:c>
      <x:c r="M3189" s="2"/>
      <x:c r="N3189" s="8" t="n">
        <x:f>DATE(2026,10,15)-DATE(2017,5,26)</x:f>
        <x:v>3429</x:v>
      </x:c>
      <x:c r="O3189" s="2"/>
      <x:c r="P3189" s="2" t="str">
        <x:v>해당 사유로 승인 가능여부 확인 필요(사유: 배출권에 대한 수익 배분 및 기타 세부 내용 비공개 신청) 
* 사업계획서 : 삼천리, 에코아이 업무 담당 및 배출권 수익 관련 언급되어 있음 / 사업명과 상이</x:v>
      </x:c>
      <x:c r="Q3189" s="2" t="str">
        <x:v>산업전환 외부사업 정보비공개 신청 관리 Tool_260707_LJY_261013.xlsx</x:v>
      </x:c>
      <x:c r="R3189" s="2" t="str">
        <x:v>(비공개)국내평가</x:v>
      </x:c>
      <x:c r="S3189" s="8" t="n">
        <x:v>97</x:v>
      </x:c>
      <x:c r="T3189" s="2"/>
      <x:c r="U3189" s="2" t="str"/>
      <x:c r="V3189" s="2" t="str">
        <x:v>2022-06-02</x:v>
      </x:c>
      <x:c r="W3189" s="2" t="str"/>
      <x:c r="X3189" s="2" t="str">
        <x:v>보완 회신 일정 확인</x:v>
      </x:c>
      <x:c r="Y3189" s="2" t="str">
        <x:v>22df6d619b696c1eba8e26790f6382083d9fb1bc48481283e3e8a92ea6897677</x:v>
      </x:c>
      <x:c r="Z3189" s="2" t="n">
        <x:f>SUBTOTAL(103,A3189)</x:f>
        <x:v>1</x:v>
      </x:c>
      <x:c r="AA3189" s="2" t="str">
        <x:f>IF(K3189&lt;&gt;"미종결 표시","대상 아님",IF(N3189="","신청일 확인",IF(NOT(ISNUMBER('종합 현황'!$H$5)),"관찰기준 확인",IF('종합 현황'!$H$5&lt;1,"관찰기준 확인",IF(N3189&gt;'종합 현황'!$H$5,"내부 관찰 대상","내부 관찰일 이하")))))</x:f>
        <x:v>내부 관찰 대상</x:v>
      </x:c>
      <x:c r="AB3189" s="2"/>
    </x:row>
    <x:row r="3190" ht="42" customHeight="1">
      <x:c r="A3190" s="2" t="str">
        <x:v>66355d8ea399184a744d9b39</x:v>
      </x:c>
      <x:c r="B3190" s="2" t="str">
        <x:v>사업 비공개 신청</x:v>
      </x:c>
      <x:c r="C3190" s="2" t="str">
        <x:v>국내</x:v>
      </x:c>
      <x:c r="D3190" s="7" t="str">
        <x:v>2015년 건물형 태양광 미니발전소 설치 및 자가사용 사업</x:v>
      </x:c>
      <x:c r="E3190" s="2" t="str">
        <x:v>96</x:v>
      </x:c>
      <x:c r="F3190" s="2" t="str">
        <x:v>2017-10-17</x:v>
      </x:c>
      <x:c r="G3190" s="2" t="str">
        <x:v>2017</x:v>
      </x:c>
      <x:c r="H3190" s="2" t="str">
        <x:v>10</x:v>
      </x:c>
      <x:c r="I3190" s="2" t="str">
        <x:v>반려</x:v>
      </x:c>
      <x:c r="J3190" s="2" t="str">
        <x:v>선택</x:v>
      </x:c>
      <x:c r="K3190" s="2" t="str">
        <x:f>IF(OR(J3190="심의승인",J3190="반려",J3190="반려완료",J3190="심의완료"),"종결 표시",IF(OR(J3190="기후부협의",J3190="문서재제출요청",J3190="보류",J3190="보완요청",J3190="보완완료",J3190="평가중",J3190="반려요청",J3190="평가필요",LEFT(J3190,5)="보완요청("),"미종결 표시","상태 확인 필요"))</x:f>
        <x:v>상태 확인 필요</x:v>
      </x:c>
      <x:c r="L3190" s="2"/>
      <x:c r="M3190" s="2"/>
      <x:c r="N3190" s="8" t="n">
        <x:f>DATE(2026,10,15)-DATE(2017,10,17)</x:f>
        <x:v>3285</x:v>
      </x:c>
      <x:c r="O3190" s="2"/>
      <x:c r="P3190" s="2"/>
      <x:c r="Q3190" s="2" t="str">
        <x:v>산업전환 외부사업 정보비공개 신청 관리 Tool_260707_LJY_261013.xlsx</x:v>
      </x:c>
      <x:c r="R3190" s="2" t="str">
        <x:v>(비공개)국내평가</x:v>
      </x:c>
      <x:c r="S3190" s="8" t="n">
        <x:v>98</x:v>
      </x:c>
      <x:c r="T3190" s="2"/>
      <x:c r="U3190" s="2" t="str"/>
      <x:c r="V3190" s="2" t="str">
        <x:v>2025-02-25</x:v>
      </x:c>
      <x:c r="W3190" s="2" t="str">
        <x:v>담당기관 확인 / 종결 여부 확인</x:v>
      </x:c>
      <x:c r="X3190" s="2" t="str">
        <x:v>원본·배정 기록 확인</x:v>
      </x:c>
      <x:c r="Y3190" s="2" t="str">
        <x:v>22df6d619b696c1eba8e26790f6382083d9fb1bc48481283e3e8a92ea6897677</x:v>
      </x:c>
      <x:c r="Z3190" s="2" t="n">
        <x:f>SUBTOTAL(103,A3190)</x:f>
        <x:v>1</x:v>
      </x:c>
      <x:c r="AA3190" s="2" t="str">
        <x:f>IF(K3190&lt;&gt;"미종결 표시","대상 아님",IF(N3190="","신청일 확인",IF(NOT(ISNUMBER('종합 현황'!$H$5)),"관찰기준 확인",IF('종합 현황'!$H$5&lt;1,"관찰기준 확인",IF(N3190&gt;'종합 현황'!$H$5,"내부 관찰 대상","내부 관찰일 이하")))))</x:f>
        <x:v>대상 아님</x:v>
      </x:c>
      <x:c r="AB3190" s="2"/>
    </x:row>
    <x:row r="3191" ht="42" customHeight="1">
      <x:c r="A3191" s="2" t="str">
        <x:v>a60f53cef9e5d34567ee9513</x:v>
      </x:c>
      <x:c r="B3191" s="2" t="str">
        <x:v>사업 비공개 신청</x:v>
      </x:c>
      <x:c r="C3191" s="2" t="str">
        <x:v>국내</x:v>
      </x:c>
      <x:c r="D3191" s="7" t="str">
        <x:v>황산공정 미활용 폐열 회수 및 공급을 통한 화석연료 사용 절감 및 온실가스 배출 감축사업</x:v>
      </x:c>
      <x:c r="E3191" s="2" t="str">
        <x:v>97</x:v>
      </x:c>
      <x:c r="F3191" s="2" t="str">
        <x:v>2017-09-20</x:v>
      </x:c>
      <x:c r="G3191" s="2" t="str">
        <x:v>2017</x:v>
      </x:c>
      <x:c r="H3191" s="2" t="str">
        <x:v>09</x:v>
      </x:c>
      <x:c r="I3191" s="2" t="str">
        <x:v>보완요청</x:v>
      </x:c>
      <x:c r="J3191" s="2" t="str">
        <x:v>보완요청</x:v>
      </x:c>
      <x:c r="K3191" s="2" t="str">
        <x:f>IF(OR(J3191="심의승인",J3191="반려",J3191="반려완료",J3191="심의완료"),"종결 표시",IF(OR(J3191="기후부협의",J3191="문서재제출요청",J3191="보류",J3191="보완요청",J3191="보완완료",J3191="평가중",J3191="반려요청",J3191="평가필요",LEFT(J3191,5)="보완요청("),"미종결 표시","상태 확인 필요"))</x:f>
        <x:v>미종결 표시</x:v>
      </x:c>
      <x:c r="L3191" s="2" t="str">
        <x:v>KECM_이태준</x:v>
      </x:c>
      <x:c r="M3191" s="2"/>
      <x:c r="N3191" s="8" t="n">
        <x:f>DATE(2026,10,15)-DATE(2017,9,20)</x:f>
        <x:v>3312</x:v>
      </x:c>
      <x:c r="O3191" s="2"/>
      <x:c r="P3191" s="2" t="str">
        <x:v>사업계획서 내 보안유지 필요부분 구체화 필요(고객사 영업 비밀)</x:v>
      </x:c>
      <x:c r="Q3191" s="2" t="str">
        <x:v>산업전환 외부사업 정보비공개 신청 관리 Tool_260707_LJY_261013.xlsx</x:v>
      </x:c>
      <x:c r="R3191" s="2" t="str">
        <x:v>(비공개)국내평가</x:v>
      </x:c>
      <x:c r="S3191" s="8" t="n">
        <x:v>99</x:v>
      </x:c>
      <x:c r="T3191" s="2"/>
      <x:c r="U3191" s="2" t="str"/>
      <x:c r="V3191" s="2" t="str">
        <x:v>2022-06-02</x:v>
      </x:c>
      <x:c r="W3191" s="2" t="str"/>
      <x:c r="X3191" s="2" t="str">
        <x:v>보완 회신 일정 확인</x:v>
      </x:c>
      <x:c r="Y3191" s="2" t="str">
        <x:v>22df6d619b696c1eba8e26790f6382083d9fb1bc48481283e3e8a92ea6897677</x:v>
      </x:c>
      <x:c r="Z3191" s="2" t="n">
        <x:f>SUBTOTAL(103,A3191)</x:f>
        <x:v>1</x:v>
      </x:c>
      <x:c r="AA3191" s="2" t="str">
        <x:f>IF(K3191&lt;&gt;"미종결 표시","대상 아님",IF(N3191="","신청일 확인",IF(NOT(ISNUMBER('종합 현황'!$H$5)),"관찰기준 확인",IF('종합 현황'!$H$5&lt;1,"관찰기준 확인",IF(N3191&gt;'종합 현황'!$H$5,"내부 관찰 대상","내부 관찰일 이하")))))</x:f>
        <x:v>내부 관찰 대상</x:v>
      </x:c>
      <x:c r="AB3191" s="2"/>
    </x:row>
    <x:row r="3192" ht="42" customHeight="1">
      <x:c r="A3192" s="2" t="str">
        <x:v>62074dcd38805f9871ed679b</x:v>
      </x:c>
      <x:c r="B3192" s="2" t="str">
        <x:v>사업 비공개 신청</x:v>
      </x:c>
      <x:c r="C3192" s="2" t="str">
        <x:v>국내</x:v>
      </x:c>
      <x:c r="D3192" s="7" t="str">
        <x:v>영미산업(주) 보일러 연료 BC유 및 부생연료1호를 LNG로의 전환을 통한 온실가스 감축사업</x:v>
      </x:c>
      <x:c r="E3192" s="2" t="str">
        <x:v>98</x:v>
      </x:c>
      <x:c r="F3192" s="2" t="str">
        <x:v>2017-07-19</x:v>
      </x:c>
      <x:c r="G3192" s="2" t="str">
        <x:v>2017</x:v>
      </x:c>
      <x:c r="H3192" s="2" t="str">
        <x:v>07</x:v>
      </x:c>
      <x:c r="I3192" s="2" t="str">
        <x:v>보완요청</x:v>
      </x:c>
      <x:c r="J3192" s="2" t="str">
        <x:v>보완요청</x:v>
      </x:c>
      <x:c r="K3192" s="2" t="str">
        <x:f>IF(OR(J3192="심의승인",J3192="반려",J3192="반려완료",J3192="심의완료"),"종결 표시",IF(OR(J3192="기후부협의",J3192="문서재제출요청",J3192="보류",J3192="보완요청",J3192="보완완료",J3192="평가중",J3192="반려요청",J3192="평가필요",LEFT(J3192,5)="보완요청("),"미종결 표시","상태 확인 필요"))</x:f>
        <x:v>미종결 표시</x:v>
      </x:c>
      <x:c r="L3192" s="2" t="str">
        <x:v>KECM_이태준</x:v>
      </x:c>
      <x:c r="M3192" s="2"/>
      <x:c r="N3192" s="8" t="n">
        <x:f>DATE(2026,10,15)-DATE(2017,7,19)</x:f>
        <x:v>3375</x:v>
      </x:c>
      <x:c r="O3192" s="2"/>
      <x:c r="P3192" s="2" t="str">
        <x:v>사업계획서 내 보안유지 필요부분 구체화 필요(보안이 필요한 생산시설 배치도와 기타 생산설비 사진 등이 다수 삽입)
* 사업계획서 내 식용유 생산공정 시설배치도 기재 / 사업명과 상이</x:v>
      </x:c>
      <x:c r="Q3192" s="2" t="str">
        <x:v>산업전환 외부사업 정보비공개 신청 관리 Tool_260707_LJY_261013.xlsx</x:v>
      </x:c>
      <x:c r="R3192" s="2" t="str">
        <x:v>(비공개)국내평가</x:v>
      </x:c>
      <x:c r="S3192" s="8" t="n">
        <x:v>100</x:v>
      </x:c>
      <x:c r="T3192" s="2"/>
      <x:c r="U3192" s="2" t="str"/>
      <x:c r="V3192" s="2" t="str">
        <x:v>2022-06-02</x:v>
      </x:c>
      <x:c r="W3192" s="2" t="str"/>
      <x:c r="X3192" s="2" t="str">
        <x:v>보완 회신 일정 확인</x:v>
      </x:c>
      <x:c r="Y3192" s="2" t="str">
        <x:v>22df6d619b696c1eba8e26790f6382083d9fb1bc48481283e3e8a92ea6897677</x:v>
      </x:c>
      <x:c r="Z3192" s="2" t="n">
        <x:f>SUBTOTAL(103,A3192)</x:f>
        <x:v>1</x:v>
      </x:c>
      <x:c r="AA3192" s="2" t="str">
        <x:f>IF(K3192&lt;&gt;"미종결 표시","대상 아님",IF(N3192="","신청일 확인",IF(NOT(ISNUMBER('종합 현황'!$H$5)),"관찰기준 확인",IF('종합 현황'!$H$5&lt;1,"관찰기준 확인",IF(N3192&gt;'종합 현황'!$H$5,"내부 관찰 대상","내부 관찰일 이하")))))</x:f>
        <x:v>내부 관찰 대상</x:v>
      </x:c>
      <x:c r="AB3192" s="2"/>
    </x:row>
    <x:row r="3193" ht="42" customHeight="1">
      <x:c r="A3193" s="2" t="str">
        <x:v>e65b73f5da1425d90ac4e332</x:v>
      </x:c>
      <x:c r="B3193" s="2" t="str">
        <x:v>사업 비공개 신청</x:v>
      </x:c>
      <x:c r="C3193" s="2" t="str">
        <x:v>국내</x:v>
      </x:c>
      <x:c r="D3193" s="7" t="str">
        <x:v>양산시 공공시설 태양광발전 자가 사용에 의한 온실가스 배출 감축사업</x:v>
      </x:c>
      <x:c r="E3193" s="2" t="str">
        <x:v>99</x:v>
      </x:c>
      <x:c r="F3193" s="2" t="str">
        <x:v>2017-11-13</x:v>
      </x:c>
      <x:c r="G3193" s="2" t="str">
        <x:v>2017</x:v>
      </x:c>
      <x:c r="H3193" s="2" t="str">
        <x:v>11</x:v>
      </x:c>
      <x:c r="I3193" s="2" t="str">
        <x:v>반려</x:v>
      </x:c>
      <x:c r="J3193" s="2" t="str">
        <x:v>선택</x:v>
      </x:c>
      <x:c r="K3193" s="2" t="str">
        <x:f>IF(OR(J3193="심의승인",J3193="반려",J3193="반려완료",J3193="심의완료"),"종결 표시",IF(OR(J3193="기후부협의",J3193="문서재제출요청",J3193="보류",J3193="보완요청",J3193="보완완료",J3193="평가중",J3193="반려요청",J3193="평가필요",LEFT(J3193,5)="보완요청("),"미종결 표시","상태 확인 필요"))</x:f>
        <x:v>상태 확인 필요</x:v>
      </x:c>
      <x:c r="L3193" s="2"/>
      <x:c r="M3193" s="2"/>
      <x:c r="N3193" s="8" t="n">
        <x:f>DATE(2026,10,15)-DATE(2017,11,13)</x:f>
        <x:v>3258</x:v>
      </x:c>
      <x:c r="O3193" s="2"/>
      <x:c r="P3193" s="2"/>
      <x:c r="Q3193" s="2" t="str">
        <x:v>산업전환 외부사업 정보비공개 신청 관리 Tool_260707_LJY_261013.xlsx</x:v>
      </x:c>
      <x:c r="R3193" s="2" t="str">
        <x:v>(비공개)국내평가</x:v>
      </x:c>
      <x:c r="S3193" s="8" t="n">
        <x:v>101</x:v>
      </x:c>
      <x:c r="T3193" s="2"/>
      <x:c r="U3193" s="2" t="str"/>
      <x:c r="V3193" s="2" t="str">
        <x:v>2025-02-25</x:v>
      </x:c>
      <x:c r="W3193" s="2" t="str">
        <x:v>담당기관 확인 / 종결 여부 확인</x:v>
      </x:c>
      <x:c r="X3193" s="2" t="str">
        <x:v>원본·배정 기록 확인</x:v>
      </x:c>
      <x:c r="Y3193" s="2" t="str">
        <x:v>22df6d619b696c1eba8e26790f6382083d9fb1bc48481283e3e8a92ea6897677</x:v>
      </x:c>
      <x:c r="Z3193" s="2" t="n">
        <x:f>SUBTOTAL(103,A3193)</x:f>
        <x:v>1</x:v>
      </x:c>
      <x:c r="AA3193" s="2" t="str">
        <x:f>IF(K3193&lt;&gt;"미종결 표시","대상 아님",IF(N3193="","신청일 확인",IF(NOT(ISNUMBER('종합 현황'!$H$5)),"관찰기준 확인",IF('종합 현황'!$H$5&lt;1,"관찰기준 확인",IF(N3193&gt;'종합 현황'!$H$5,"내부 관찰 대상","내부 관찰일 이하")))))</x:f>
        <x:v>대상 아님</x:v>
      </x:c>
      <x:c r="AB3193" s="2"/>
    </x:row>
    <x:row r="3194" ht="42" customHeight="1">
      <x:c r="A3194" s="2" t="str">
        <x:v>cc0d00ec09fb6a8f2a688bc7</x:v>
      </x:c>
      <x:c r="B3194" s="2" t="str">
        <x:v>사업 비공개 신청</x:v>
      </x:c>
      <x:c r="C3194" s="2" t="str">
        <x:v>국내</x:v>
      </x:c>
      <x:c r="D3194" s="7" t="str">
        <x:v>양산시 주택 태양광발전 자가 사용에 의한 온실가스 배출 감축사업</x:v>
      </x:c>
      <x:c r="E3194" s="2" t="str">
        <x:v>100</x:v>
      </x:c>
      <x:c r="F3194" s="2" t="str">
        <x:v>2017-10-31</x:v>
      </x:c>
      <x:c r="G3194" s="2" t="str">
        <x:v>2017</x:v>
      </x:c>
      <x:c r="H3194" s="2" t="str">
        <x:v>10</x:v>
      </x:c>
      <x:c r="I3194" s="2" t="str">
        <x:v>반려</x:v>
      </x:c>
      <x:c r="J3194" s="2" t="str">
        <x:v>선택</x:v>
      </x:c>
      <x:c r="K3194" s="2" t="str">
        <x:f>IF(OR(J3194="심의승인",J3194="반려",J3194="반려완료",J3194="심의완료"),"종결 표시",IF(OR(J3194="기후부협의",J3194="문서재제출요청",J3194="보류",J3194="보완요청",J3194="보완완료",J3194="평가중",J3194="반려요청",J3194="평가필요",LEFT(J3194,5)="보완요청("),"미종결 표시","상태 확인 필요"))</x:f>
        <x:v>상태 확인 필요</x:v>
      </x:c>
      <x:c r="L3194" s="2"/>
      <x:c r="M3194" s="2"/>
      <x:c r="N3194" s="8" t="n">
        <x:f>DATE(2026,10,15)-DATE(2017,10,31)</x:f>
        <x:v>3271</x:v>
      </x:c>
      <x:c r="O3194" s="2"/>
      <x:c r="P3194" s="2"/>
      <x:c r="Q3194" s="2" t="str">
        <x:v>산업전환 외부사업 정보비공개 신청 관리 Tool_260707_LJY_261013.xlsx</x:v>
      </x:c>
      <x:c r="R3194" s="2" t="str">
        <x:v>(비공개)국내평가</x:v>
      </x:c>
      <x:c r="S3194" s="8" t="n">
        <x:v>102</x:v>
      </x:c>
      <x:c r="T3194" s="2"/>
      <x:c r="U3194" s="2" t="str"/>
      <x:c r="V3194" s="2" t="str">
        <x:v>2025-02-25</x:v>
      </x:c>
      <x:c r="W3194" s="2" t="str">
        <x:v>담당기관 확인 / 종결 여부 확인</x:v>
      </x:c>
      <x:c r="X3194" s="2" t="str">
        <x:v>원본·배정 기록 확인</x:v>
      </x:c>
      <x:c r="Y3194" s="2" t="str">
        <x:v>22df6d619b696c1eba8e26790f6382083d9fb1bc48481283e3e8a92ea6897677</x:v>
      </x:c>
      <x:c r="Z3194" s="2" t="n">
        <x:f>SUBTOTAL(103,A3194)</x:f>
        <x:v>1</x:v>
      </x:c>
      <x:c r="AA3194" s="2" t="str">
        <x:f>IF(K3194&lt;&gt;"미종결 표시","대상 아님",IF(N3194="","신청일 확인",IF(NOT(ISNUMBER('종합 현황'!$H$5)),"관찰기준 확인",IF('종합 현황'!$H$5&lt;1,"관찰기준 확인",IF(N3194&gt;'종합 현황'!$H$5,"내부 관찰 대상","내부 관찰일 이하")))))</x:f>
        <x:v>대상 아님</x:v>
      </x:c>
      <x:c r="AB3194" s="2"/>
    </x:row>
    <x:row r="3195" ht="42" customHeight="1">
      <x:c r="A3195" s="2" t="str">
        <x:v>77cfe9f983f7e490d5b9d7a9</x:v>
      </x:c>
      <x:c r="B3195" s="2" t="str">
        <x:v>사업 비공개 신청</x:v>
      </x:c>
      <x:c r="C3195" s="2" t="str">
        <x:v>국내</x:v>
      </x:c>
      <x:c r="D3195" s="7" t="str">
        <x:v>삼성전자 경기도 LED 보안등 조명 교체 묶음 감축사업</x:v>
      </x:c>
      <x:c r="E3195" s="2" t="str">
        <x:v>101</x:v>
      </x:c>
      <x:c r="F3195" s="2" t="str">
        <x:v>2017-08-07</x:v>
      </x:c>
      <x:c r="G3195" s="2" t="str">
        <x:v>2017</x:v>
      </x:c>
      <x:c r="H3195" s="2" t="str">
        <x:v>08</x:v>
      </x:c>
      <x:c r="I3195" s="2" t="str">
        <x:v>반려</x:v>
      </x:c>
      <x:c r="J3195" s="2" t="str">
        <x:v>선택</x:v>
      </x:c>
      <x:c r="K3195" s="2" t="str">
        <x:f>IF(OR(J3195="심의승인",J3195="반려",J3195="반려완료",J3195="심의완료"),"종결 표시",IF(OR(J3195="기후부협의",J3195="문서재제출요청",J3195="보류",J3195="보완요청",J3195="보완완료",J3195="평가중",J3195="반려요청",J3195="평가필요",LEFT(J3195,5)="보완요청("),"미종결 표시","상태 확인 필요"))</x:f>
        <x:v>상태 확인 필요</x:v>
      </x:c>
      <x:c r="L3195" s="2"/>
      <x:c r="M3195" s="2"/>
      <x:c r="N3195" s="8" t="n">
        <x:f>DATE(2026,10,15)-DATE(2017,8,7)</x:f>
        <x:v>3356</x:v>
      </x:c>
      <x:c r="O3195" s="2"/>
      <x:c r="P3195" s="2"/>
      <x:c r="Q3195" s="2" t="str">
        <x:v>산업전환 외부사업 정보비공개 신청 관리 Tool_260707_LJY_261013.xlsx</x:v>
      </x:c>
      <x:c r="R3195" s="2" t="str">
        <x:v>(비공개)국내평가</x:v>
      </x:c>
      <x:c r="S3195" s="8" t="n">
        <x:v>103</x:v>
      </x:c>
      <x:c r="T3195" s="2"/>
      <x:c r="U3195" s="2" t="str"/>
      <x:c r="V3195" s="2" t="str">
        <x:v>2025-02-25</x:v>
      </x:c>
      <x:c r="W3195" s="2" t="str">
        <x:v>담당기관 확인 / 종결 여부 확인</x:v>
      </x:c>
      <x:c r="X3195" s="2" t="str">
        <x:v>원본·배정 기록 확인</x:v>
      </x:c>
      <x:c r="Y3195" s="2" t="str">
        <x:v>22df6d619b696c1eba8e26790f6382083d9fb1bc48481283e3e8a92ea6897677</x:v>
      </x:c>
      <x:c r="Z3195" s="2" t="n">
        <x:f>SUBTOTAL(103,A3195)</x:f>
        <x:v>1</x:v>
      </x:c>
      <x:c r="AA3195" s="2" t="str">
        <x:f>IF(K3195&lt;&gt;"미종결 표시","대상 아님",IF(N3195="","신청일 확인",IF(NOT(ISNUMBER('종합 현황'!$H$5)),"관찰기준 확인",IF('종합 현황'!$H$5&lt;1,"관찰기준 확인",IF(N3195&gt;'종합 현황'!$H$5,"내부 관찰 대상","내부 관찰일 이하")))))</x:f>
        <x:v>대상 아님</x:v>
      </x:c>
      <x:c r="AB3195" s="2"/>
    </x:row>
    <x:row r="3196" ht="42" customHeight="1">
      <x:c r="A3196" s="2" t="str">
        <x:v>d4b75d6d815839d8c80b36d6</x:v>
      </x:c>
      <x:c r="B3196" s="2" t="str">
        <x:v>사업 비공개 신청</x:v>
      </x:c>
      <x:c r="C3196" s="2" t="str">
        <x:v>국내</x:v>
      </x:c>
      <x:c r="D3196" s="7" t="str">
        <x:v>㈜서대구에너지의 집단에너지 열공급시설에서 목질계 바이오매스 연료를 이용하여 생산된 열에너지 공급을 통한 수용가의 화석연료 사용량 절감사업</x:v>
      </x:c>
      <x:c r="E3196" s="2" t="str">
        <x:v>102</x:v>
      </x:c>
      <x:c r="F3196" s="2" t="str">
        <x:v>2017-08-28</x:v>
      </x:c>
      <x:c r="G3196" s="2" t="str">
        <x:v>2017</x:v>
      </x:c>
      <x:c r="H3196" s="2" t="str">
        <x:v>08</x:v>
      </x:c>
      <x:c r="I3196" s="2" t="str">
        <x:v>보완요청</x:v>
      </x:c>
      <x:c r="J3196" s="2" t="str">
        <x:v>보완요청</x:v>
      </x:c>
      <x:c r="K3196" s="2" t="str">
        <x:f>IF(OR(J3196="심의승인",J3196="반려",J3196="반려완료",J3196="심의완료"),"종결 표시",IF(OR(J3196="기후부협의",J3196="문서재제출요청",J3196="보류",J3196="보완요청",J3196="보완완료",J3196="평가중",J3196="반려요청",J3196="평가필요",LEFT(J3196,5)="보완요청("),"미종결 표시","상태 확인 필요"))</x:f>
        <x:v>미종결 표시</x:v>
      </x:c>
      <x:c r="L3196" s="2"/>
      <x:c r="M3196" s="2"/>
      <x:c r="N3196" s="8" t="n">
        <x:f>DATE(2026,10,15)-DATE(2017,8,28)</x:f>
        <x:v>3335</x:v>
      </x:c>
      <x:c r="O3196" s="2"/>
      <x:c r="P3196" s="2" t="str">
        <x:v>사업계획서 내 보안유지 필요부분 구체화 필요</x:v>
      </x:c>
      <x:c r="Q3196" s="2" t="str">
        <x:v>산업전환 외부사업 정보비공개 신청 관리 Tool_260707_LJY_261013.xlsx</x:v>
      </x:c>
      <x:c r="R3196" s="2" t="str">
        <x:v>(비공개)국내평가</x:v>
      </x:c>
      <x:c r="S3196" s="8" t="n">
        <x:v>104</x:v>
      </x:c>
      <x:c r="T3196" s="2"/>
      <x:c r="U3196" s="2" t="str"/>
      <x:c r="V3196" s="2" t="str">
        <x:v>2023-03-27</x:v>
      </x:c>
      <x:c r="W3196" s="2" t="str">
        <x:v>담당기관 확인</x:v>
      </x:c>
      <x:c r="X3196" s="2" t="str">
        <x:v>원본·배정 기록 확인</x:v>
      </x:c>
      <x:c r="Y3196" s="2" t="str">
        <x:v>22df6d619b696c1eba8e26790f6382083d9fb1bc48481283e3e8a92ea6897677</x:v>
      </x:c>
      <x:c r="Z3196" s="2" t="n">
        <x:f>SUBTOTAL(103,A3196)</x:f>
        <x:v>1</x:v>
      </x:c>
      <x:c r="AA3196" s="2" t="str">
        <x:f>IF(K3196&lt;&gt;"미종결 표시","대상 아님",IF(N3196="","신청일 확인",IF(NOT(ISNUMBER('종합 현황'!$H$5)),"관찰기준 확인",IF('종합 현황'!$H$5&lt;1,"관찰기준 확인",IF(N3196&gt;'종합 현황'!$H$5,"내부 관찰 대상","내부 관찰일 이하")))))</x:f>
        <x:v>내부 관찰 대상</x:v>
      </x:c>
      <x:c r="AB3196" s="2"/>
    </x:row>
    <x:row r="3197" ht="42" customHeight="1">
      <x:c r="A3197" s="2" t="str">
        <x:v>5f992b08b7261876714b16dc</x:v>
      </x:c>
      <x:c r="B3197" s="2" t="str">
        <x:v>사업 비공개 신청</x:v>
      </x:c>
      <x:c r="C3197" s="2" t="str">
        <x:v>국내</x:v>
      </x:c>
      <x:c r="D3197" s="7" t="str">
        <x:v>케이디파워텍 폐열활용 발전</x:v>
      </x:c>
      <x:c r="E3197" s="2" t="str">
        <x:v>103</x:v>
      </x:c>
      <x:c r="F3197" s="2" t="str">
        <x:v>2017-08-25</x:v>
      </x:c>
      <x:c r="G3197" s="2" t="str">
        <x:v>2017</x:v>
      </x:c>
      <x:c r="H3197" s="2" t="str">
        <x:v>08</x:v>
      </x:c>
      <x:c r="I3197" s="2" t="str">
        <x:v>반려</x:v>
      </x:c>
      <x:c r="J3197" s="2" t="str">
        <x:v>선택</x:v>
      </x:c>
      <x:c r="K3197" s="2" t="str">
        <x:f>IF(OR(J3197="심의승인",J3197="반려",J3197="반려완료",J3197="심의완료"),"종결 표시",IF(OR(J3197="기후부협의",J3197="문서재제출요청",J3197="보류",J3197="보완요청",J3197="보완완료",J3197="평가중",J3197="반려요청",J3197="평가필요",LEFT(J3197,5)="보완요청("),"미종결 표시","상태 확인 필요"))</x:f>
        <x:v>상태 확인 필요</x:v>
      </x:c>
      <x:c r="L3197" s="2"/>
      <x:c r="M3197" s="2"/>
      <x:c r="N3197" s="8" t="n">
        <x:f>DATE(2026,10,15)-DATE(2017,8,25)</x:f>
        <x:v>3338</x:v>
      </x:c>
      <x:c r="O3197" s="2"/>
      <x:c r="P3197" s="2"/>
      <x:c r="Q3197" s="2" t="str">
        <x:v>산업전환 외부사업 정보비공개 신청 관리 Tool_260707_LJY_261013.xlsx</x:v>
      </x:c>
      <x:c r="R3197" s="2" t="str">
        <x:v>(비공개)국내평가</x:v>
      </x:c>
      <x:c r="S3197" s="8" t="n">
        <x:v>105</x:v>
      </x:c>
      <x:c r="T3197" s="2"/>
      <x:c r="U3197" s="2" t="str"/>
      <x:c r="V3197" s="2" t="str">
        <x:v>2025-02-25</x:v>
      </x:c>
      <x:c r="W3197" s="2" t="str">
        <x:v>담당기관 확인 / 종결 여부 확인</x:v>
      </x:c>
      <x:c r="X3197" s="2" t="str">
        <x:v>원본·배정 기록 확인</x:v>
      </x:c>
      <x:c r="Y3197" s="2" t="str">
        <x:v>22df6d619b696c1eba8e26790f6382083d9fb1bc48481283e3e8a92ea6897677</x:v>
      </x:c>
      <x:c r="Z3197" s="2" t="n">
        <x:f>SUBTOTAL(103,A3197)</x:f>
        <x:v>1</x:v>
      </x:c>
      <x:c r="AA3197" s="2" t="str">
        <x:f>IF(K3197&lt;&gt;"미종결 표시","대상 아님",IF(N3197="","신청일 확인",IF(NOT(ISNUMBER('종합 현황'!$H$5)),"관찰기준 확인",IF('종합 현황'!$H$5&lt;1,"관찰기준 확인",IF(N3197&gt;'종합 현황'!$H$5,"내부 관찰 대상","내부 관찰일 이하")))))</x:f>
        <x:v>대상 아님</x:v>
      </x:c>
      <x:c r="AB3197" s="2"/>
    </x:row>
    <x:row r="3198" ht="42" customHeight="1">
      <x:c r="A3198" s="2" t="str">
        <x:v>23c1b224380b180be7db5cea</x:v>
      </x:c>
      <x:c r="B3198" s="2" t="str">
        <x:v>사업 비공개 신청</x:v>
      </x:c>
      <x:c r="C3198" s="2" t="str">
        <x:v>국내</x:v>
      </x:c>
      <x:c r="D3198" s="7" t="str">
        <x:v>영진글로벌(주) 열풍기의 연료전환(이온정제유-&gt;LNG)을 통한 온실가스 배출 감축사업</x:v>
      </x:c>
      <x:c r="E3198" s="2" t="str">
        <x:v>104</x:v>
      </x:c>
      <x:c r="F3198" s="2" t="str">
        <x:v>2017-08-11</x:v>
      </x:c>
      <x:c r="G3198" s="2" t="str">
        <x:v>2017</x:v>
      </x:c>
      <x:c r="H3198" s="2" t="str">
        <x:v>08</x:v>
      </x:c>
      <x:c r="I3198" s="2" t="str">
        <x:v>보완요청</x:v>
      </x:c>
      <x:c r="J3198" s="2" t="str">
        <x:v>보완요청</x:v>
      </x:c>
      <x:c r="K3198" s="2" t="str">
        <x:f>IF(OR(J3198="심의승인",J3198="반려",J3198="반려완료",J3198="심의완료"),"종결 표시",IF(OR(J3198="기후부협의",J3198="문서재제출요청",J3198="보류",J3198="보완요청",J3198="보완완료",J3198="평가중",J3198="반려요청",J3198="평가필요",LEFT(J3198,5)="보완요청("),"미종결 표시","상태 확인 필요"))</x:f>
        <x:v>미종결 표시</x:v>
      </x:c>
      <x:c r="L3198" s="2" t="str">
        <x:v>KECM_이태준</x:v>
      </x:c>
      <x:c r="M3198" s="2"/>
      <x:c r="N3198" s="8" t="n">
        <x:f>DATE(2026,10,15)-DATE(2017,8,11)</x:f>
        <x:v>3352</x:v>
      </x:c>
      <x:c r="O3198" s="2"/>
      <x:c r="P3198" s="2" t="str">
        <x:v>사업계획서 내 보안유지 필요부분 구체화 필요(영업 비밀)</x:v>
      </x:c>
      <x:c r="Q3198" s="2" t="str">
        <x:v>산업전환 외부사업 정보비공개 신청 관리 Tool_260707_LJY_261013.xlsx</x:v>
      </x:c>
      <x:c r="R3198" s="2" t="str">
        <x:v>(비공개)국내평가</x:v>
      </x:c>
      <x:c r="S3198" s="8" t="n">
        <x:v>106</x:v>
      </x:c>
      <x:c r="T3198" s="2"/>
      <x:c r="U3198" s="2" t="str"/>
      <x:c r="V3198" s="2" t="str">
        <x:v>2022-06-02</x:v>
      </x:c>
      <x:c r="W3198" s="2" t="str"/>
      <x:c r="X3198" s="2" t="str">
        <x:v>보완 회신 일정 확인</x:v>
      </x:c>
      <x:c r="Y3198" s="2" t="str">
        <x:v>22df6d619b696c1eba8e26790f6382083d9fb1bc48481283e3e8a92ea6897677</x:v>
      </x:c>
      <x:c r="Z3198" s="2" t="n">
        <x:f>SUBTOTAL(103,A3198)</x:f>
        <x:v>1</x:v>
      </x:c>
      <x:c r="AA3198" s="2" t="str">
        <x:f>IF(K3198&lt;&gt;"미종결 표시","대상 아님",IF(N3198="","신청일 확인",IF(NOT(ISNUMBER('종합 현황'!$H$5)),"관찰기준 확인",IF('종합 현황'!$H$5&lt;1,"관찰기준 확인",IF(N3198&gt;'종합 현황'!$H$5,"내부 관찰 대상","내부 관찰일 이하")))))</x:f>
        <x:v>내부 관찰 대상</x:v>
      </x:c>
      <x:c r="AB3198" s="2"/>
    </x:row>
    <x:row r="3199" ht="42" customHeight="1">
      <x:c r="A3199" s="2" t="str">
        <x:v>04d714766d8f5f266fcde01d</x:v>
      </x:c>
      <x:c r="B3199" s="2" t="str">
        <x:v>사업 비공개 신청</x:v>
      </x:c>
      <x:c r="C3199" s="2" t="str">
        <x:v>국내</x:v>
      </x:c>
      <x:c r="D3199" s="7" t="str">
        <x:v>한국지역난방공사 대구지사 목질 바이오매스 열병합발전 프로젝트</x:v>
      </x:c>
      <x:c r="E3199" s="2" t="str">
        <x:v>105</x:v>
      </x:c>
      <x:c r="F3199" s="2" t="str">
        <x:v>2017-04-21</x:v>
      </x:c>
      <x:c r="G3199" s="2" t="str">
        <x:v>2017</x:v>
      </x:c>
      <x:c r="H3199" s="2" t="str">
        <x:v>04</x:v>
      </x:c>
      <x:c r="I3199" s="2" t="str">
        <x:v>보완요청</x:v>
      </x:c>
      <x:c r="J3199" s="2" t="str">
        <x:v>보완요청</x:v>
      </x:c>
      <x:c r="K3199" s="2" t="str">
        <x:f>IF(OR(J3199="심의승인",J3199="반려",J3199="반려완료",J3199="심의완료"),"종결 표시",IF(OR(J3199="기후부협의",J3199="문서재제출요청",J3199="보류",J3199="보완요청",J3199="보완완료",J3199="평가중",J3199="반려요청",J3199="평가필요",LEFT(J3199,5)="보완요청("),"미종결 표시","상태 확인 필요"))</x:f>
        <x:v>미종결 표시</x:v>
      </x:c>
      <x:c r="L3199" s="2" t="str">
        <x:v>KECM_이태준</x:v>
      </x:c>
      <x:c r="M3199" s="2"/>
      <x:c r="N3199" s="8" t="n">
        <x:f>DATE(2026,10,15)-DATE(2017,4,21)</x:f>
        <x:v>3464</x:v>
      </x:c>
      <x:c r="O3199" s="2"/>
      <x:c r="P3199" s="2" t="str">
        <x:v>해당 사유로 승인 가능여부 확인 필요(사유: 시설 운영 실적 포함으로 비공개 신청)</x:v>
      </x:c>
      <x:c r="Q3199" s="2" t="str">
        <x:v>산업전환 외부사업 정보비공개 신청 관리 Tool_260707_LJY_261013.xlsx</x:v>
      </x:c>
      <x:c r="R3199" s="2" t="str">
        <x:v>(비공개)국내평가</x:v>
      </x:c>
      <x:c r="S3199" s="8" t="n">
        <x:v>107</x:v>
      </x:c>
      <x:c r="T3199" s="2"/>
      <x:c r="U3199" s="2" t="str"/>
      <x:c r="V3199" s="2" t="str">
        <x:v>2022-06-02</x:v>
      </x:c>
      <x:c r="W3199" s="2" t="str"/>
      <x:c r="X3199" s="2" t="str">
        <x:v>보완 회신 일정 확인</x:v>
      </x:c>
      <x:c r="Y3199" s="2" t="str">
        <x:v>22df6d619b696c1eba8e26790f6382083d9fb1bc48481283e3e8a92ea6897677</x:v>
      </x:c>
      <x:c r="Z3199" s="2" t="n">
        <x:f>SUBTOTAL(103,A3199)</x:f>
        <x:v>1</x:v>
      </x:c>
      <x:c r="AA3199" s="2" t="str">
        <x:f>IF(K3199&lt;&gt;"미종결 표시","대상 아님",IF(N3199="","신청일 확인",IF(NOT(ISNUMBER('종합 현황'!$H$5)),"관찰기준 확인",IF('종합 현황'!$H$5&lt;1,"관찰기준 확인",IF(N3199&gt;'종합 현황'!$H$5,"내부 관찰 대상","내부 관찰일 이하")))))</x:f>
        <x:v>내부 관찰 대상</x:v>
      </x:c>
      <x:c r="AB3199" s="2"/>
    </x:row>
    <x:row r="3200" ht="42" customHeight="1">
      <x:c r="A3200" s="2" t="str">
        <x:v>4acc638c7bc1126a38410e01</x:v>
      </x:c>
      <x:c r="B3200" s="2" t="str">
        <x:v>사업 비공개 신청</x:v>
      </x:c>
      <x:c r="C3200" s="2" t="str">
        <x:v>국내</x:v>
      </x:c>
      <x:c r="D3200" s="7" t="str">
        <x:v>(주)크레아 서산지점에서 건조공정의 연료를 LPG에서 도시가스(LNG)로 전환하는 사업</x:v>
      </x:c>
      <x:c r="E3200" s="2" t="str">
        <x:v>106</x:v>
      </x:c>
      <x:c r="F3200" s="2" t="str">
        <x:v>2017-11-28</x:v>
      </x:c>
      <x:c r="G3200" s="2" t="str">
        <x:v>2017</x:v>
      </x:c>
      <x:c r="H3200" s="2" t="str">
        <x:v>11</x:v>
      </x:c>
      <x:c r="I3200" s="2" t="str">
        <x:v>보완요청</x:v>
      </x:c>
      <x:c r="J3200" s="2" t="str">
        <x:v>보완요청</x:v>
      </x:c>
      <x:c r="K3200" s="2" t="str">
        <x:f>IF(OR(J3200="심의승인",J3200="반려",J3200="반려완료",J3200="심의완료"),"종결 표시",IF(OR(J3200="기후부협의",J3200="문서재제출요청",J3200="보류",J3200="보완요청",J3200="보완완료",J3200="평가중",J3200="반려요청",J3200="평가필요",LEFT(J3200,5)="보완요청("),"미종결 표시","상태 확인 필요"))</x:f>
        <x:v>미종결 표시</x:v>
      </x:c>
      <x:c r="L3200" s="2" t="str">
        <x:v>KECM_이태준</x:v>
      </x:c>
      <x:c r="M3200" s="2"/>
      <x:c r="N3200" s="8" t="n">
        <x:f>DATE(2026,10,15)-DATE(2017,11,28)</x:f>
        <x:v>3243</x:v>
      </x:c>
      <x:c r="O3200" s="2"/>
      <x:c r="P3200" s="2" t="str">
        <x:v>사업계획서 내 보안유지 필요부분 구체화 필요(기업정보 보안) / 사업명과 상이</x:v>
      </x:c>
      <x:c r="Q3200" s="2" t="str">
        <x:v>산업전환 외부사업 정보비공개 신청 관리 Tool_260707_LJY_261013.xlsx</x:v>
      </x:c>
      <x:c r="R3200" s="2" t="str">
        <x:v>(비공개)국내평가</x:v>
      </x:c>
      <x:c r="S3200" s="8" t="n">
        <x:v>108</x:v>
      </x:c>
      <x:c r="T3200" s="2"/>
      <x:c r="U3200" s="2" t="str"/>
      <x:c r="V3200" s="2" t="str">
        <x:v>2022-06-02</x:v>
      </x:c>
      <x:c r="W3200" s="2" t="str"/>
      <x:c r="X3200" s="2" t="str">
        <x:v>보완 회신 일정 확인</x:v>
      </x:c>
      <x:c r="Y3200" s="2" t="str">
        <x:v>22df6d619b696c1eba8e26790f6382083d9fb1bc48481283e3e8a92ea6897677</x:v>
      </x:c>
      <x:c r="Z3200" s="2" t="n">
        <x:f>SUBTOTAL(103,A3200)</x:f>
        <x:v>1</x:v>
      </x:c>
      <x:c r="AA3200" s="2" t="str">
        <x:f>IF(K3200&lt;&gt;"미종결 표시","대상 아님",IF(N3200="","신청일 확인",IF(NOT(ISNUMBER('종합 현황'!$H$5)),"관찰기준 확인",IF('종합 현황'!$H$5&lt;1,"관찰기준 확인",IF(N3200&gt;'종합 현황'!$H$5,"내부 관찰 대상","내부 관찰일 이하")))))</x:f>
        <x:v>내부 관찰 대상</x:v>
      </x:c>
      <x:c r="AB3200" s="2"/>
    </x:row>
    <x:row r="3201" ht="42" customHeight="1">
      <x:c r="A3201" s="2" t="str">
        <x:v>f434a52ce4eb536dc22fd238</x:v>
      </x:c>
      <x:c r="B3201" s="2" t="str">
        <x:v>사업 비공개 신청</x:v>
      </x:c>
      <x:c r="C3201" s="2" t="str">
        <x:v>국외</x:v>
      </x:c>
      <x:c r="D3201" s="7" t="str">
        <x:v>아프리카 고효율 쿡스토브 보급 PoA 사업 : CPA0010(케냐)</x:v>
      </x:c>
      <x:c r="E3201" s="2" t="str">
        <x:v>1</x:v>
      </x:c>
      <x:c r="F3201" s="2" t="str">
        <x:v>2022-08-16</x:v>
      </x:c>
      <x:c r="G3201" s="2" t="str">
        <x:v>2022</x:v>
      </x:c>
      <x:c r="H3201" s="2" t="str">
        <x:v>08</x:v>
      </x:c>
      <x:c r="I3201" s="2" t="str">
        <x:v>반려</x:v>
      </x:c>
      <x:c r="J3201" s="2" t="str">
        <x:v>반려완료</x:v>
      </x:c>
      <x:c r="K3201" s="2" t="str">
        <x:f>IF(OR(J3201="심의승인",J3201="반려",J3201="반려완료",J3201="심의완료"),"종결 표시",IF(OR(J3201="기후부협의",J3201="문서재제출요청",J3201="보류",J3201="보완요청",J3201="보완완료",J3201="평가중",J3201="반려요청",J3201="평가필요",LEFT(J3201,5)="보완요청("),"미종결 표시","상태 확인 필요"))</x:f>
        <x:v>종결 표시</x:v>
      </x:c>
      <x:c r="L3201" s="2" t="str">
        <x:v>에코시안_기샛별</x:v>
      </x:c>
      <x:c r="M3201" s="2"/>
      <x:c r="N3201" s="8" t="n">
        <x:f>DATE(2026,10,15)-DATE(2022,8,16)</x:f>
        <x:v>1521</x:v>
      </x:c>
      <x:c r="O3201" s="2"/>
      <x:c r="P3201" s="2" t="str">
        <x:v>사업자 반려 요청</x:v>
      </x:c>
      <x:c r="Q3201" s="2" t="str">
        <x:v>산업전환 외부사업 정보비공개 신청 관리 Tool_260707_LJY_261013.xlsx</x:v>
      </x:c>
      <x:c r="R3201" s="2" t="str">
        <x:v>(비공개)국외평가</x:v>
      </x:c>
      <x:c r="S3201" s="8" t="n">
        <x:v>2</x:v>
      </x:c>
      <x:c r="T3201" s="2"/>
      <x:c r="U3201" s="2" t="str"/>
      <x:c r="V3201" s="2" t="str">
        <x:v>2022-09-05</x:v>
      </x:c>
      <x:c r="W3201" s="2" t="str"/>
      <x:c r="X3201" s="2" t="str">
        <x:v>종결 근거 보관</x:v>
      </x:c>
      <x:c r="Y3201" s="2" t="str">
        <x:v>22df6d619b696c1eba8e26790f6382083d9fb1bc48481283e3e8a92ea6897677</x:v>
      </x:c>
      <x:c r="Z3201" s="2" t="n">
        <x:f>SUBTOTAL(103,A3201)</x:f>
        <x:v>1</x:v>
      </x:c>
      <x:c r="AA3201" s="2" t="str">
        <x:f>IF(K3201&lt;&gt;"미종결 표시","대상 아님",IF(N3201="","신청일 확인",IF(NOT(ISNUMBER('종합 현황'!$H$5)),"관찰기준 확인",IF('종합 현황'!$H$5&lt;1,"관찰기준 확인",IF(N3201&gt;'종합 현황'!$H$5,"내부 관찰 대상","내부 관찰일 이하")))))</x:f>
        <x:v>대상 아님</x:v>
      </x:c>
      <x:c r="AB3201" s="2"/>
    </x:row>
    <x:row r="3202" ht="42" customHeight="1">
      <x:c r="A3202" s="2" t="str">
        <x:v>ab4071db48b433758de44738</x:v>
      </x:c>
      <x:c r="B3202" s="2" t="str">
        <x:v>사업 비공개 신청</x:v>
      </x:c>
      <x:c r="C3202" s="2" t="str">
        <x:v>국외</x:v>
      </x:c>
      <x:c r="D3202" s="7" t="str">
        <x:v>아프리카 고효율 쿡스토브 보급 PoA 사업 : CPA0009(케냐)</x:v>
      </x:c>
      <x:c r="E3202" s="2" t="str">
        <x:v>2</x:v>
      </x:c>
      <x:c r="F3202" s="2" t="str">
        <x:v>2022-09-06</x:v>
      </x:c>
      <x:c r="G3202" s="2" t="str">
        <x:v>2022</x:v>
      </x:c>
      <x:c r="H3202" s="2" t="str">
        <x:v>09</x:v>
      </x:c>
      <x:c r="I3202" s="2" t="str">
        <x:v>반려</x:v>
      </x:c>
      <x:c r="J3202" s="2" t="str">
        <x:v>반려완료</x:v>
      </x:c>
      <x:c r="K3202" s="2" t="str">
        <x:f>IF(OR(J3202="심의승인",J3202="반려",J3202="반려완료",J3202="심의완료"),"종결 표시",IF(OR(J3202="기후부협의",J3202="문서재제출요청",J3202="보류",J3202="보완요청",J3202="보완완료",J3202="평가중",J3202="반려요청",J3202="평가필요",LEFT(J3202,5)="보완요청("),"미종결 표시","상태 확인 필요"))</x:f>
        <x:v>종결 표시</x:v>
      </x:c>
      <x:c r="L3202" s="2" t="str">
        <x:v>에코시안_기샛별</x:v>
      </x:c>
      <x:c r="M3202" s="2"/>
      <x:c r="N3202" s="8" t="n">
        <x:f>DATE(2026,10,15)-DATE(2022,9,6)</x:f>
        <x:v>1500</x:v>
      </x:c>
      <x:c r="O3202" s="2"/>
      <x:c r="P3202" s="2" t="str">
        <x:v>사업자 반려 요청</x:v>
      </x:c>
      <x:c r="Q3202" s="2" t="str">
        <x:v>산업전환 외부사업 정보비공개 신청 관리 Tool_260707_LJY_261013.xlsx</x:v>
      </x:c>
      <x:c r="R3202" s="2" t="str">
        <x:v>(비공개)국외평가</x:v>
      </x:c>
      <x:c r="S3202" s="8" t="n">
        <x:v>3</x:v>
      </x:c>
      <x:c r="T3202" s="2"/>
      <x:c r="U3202" s="2" t="str"/>
      <x:c r="V3202" s="2" t="str">
        <x:v>2022-09-14</x:v>
      </x:c>
      <x:c r="W3202" s="2" t="str"/>
      <x:c r="X3202" s="2" t="str">
        <x:v>종결 근거 보관</x:v>
      </x:c>
      <x:c r="Y3202" s="2" t="str">
        <x:v>22df6d619b696c1eba8e26790f6382083d9fb1bc48481283e3e8a92ea6897677</x:v>
      </x:c>
      <x:c r="Z3202" s="2" t="n">
        <x:f>SUBTOTAL(103,A3202)</x:f>
        <x:v>1</x:v>
      </x:c>
      <x:c r="AA3202" s="2" t="str">
        <x:f>IF(K3202&lt;&gt;"미종결 표시","대상 아님",IF(N3202="","신청일 확인",IF(NOT(ISNUMBER('종합 현황'!$H$5)),"관찰기준 확인",IF('종합 현황'!$H$5&lt;1,"관찰기준 확인",IF(N3202&gt;'종합 현황'!$H$5,"내부 관찰 대상","내부 관찰일 이하")))))</x:f>
        <x:v>대상 아님</x:v>
      </x:c>
      <x:c r="AB3202" s="2"/>
    </x:row>
    <x:row r="3203" ht="42" customHeight="1">
      <x:c r="A3203" s="2" t="str">
        <x:v>5005afcbf20ed3f212f917c7</x:v>
      </x:c>
      <x:c r="B3203" s="2" t="str">
        <x:v>사업 비공개 신청</x:v>
      </x:c>
      <x:c r="C3203" s="2" t="str">
        <x:v>국외</x:v>
      </x:c>
      <x:c r="D3203" s="7" t="str">
        <x:v>아프리카 고효율 쿡스토브 보급 PoA 사업 : CPA0008(케냐)</x:v>
      </x:c>
      <x:c r="E3203" s="2" t="str">
        <x:v>3</x:v>
      </x:c>
      <x:c r="F3203" s="2" t="str">
        <x:v>2022-09-06</x:v>
      </x:c>
      <x:c r="G3203" s="2" t="str">
        <x:v>2022</x:v>
      </x:c>
      <x:c r="H3203" s="2" t="str">
        <x:v>09</x:v>
      </x:c>
      <x:c r="I3203" s="2" t="str">
        <x:v>반려</x:v>
      </x:c>
      <x:c r="J3203" s="2" t="str">
        <x:v>반려완료</x:v>
      </x:c>
      <x:c r="K3203" s="2" t="str">
        <x:f>IF(OR(J3203="심의승인",J3203="반려",J3203="반려완료",J3203="심의완료"),"종결 표시",IF(OR(J3203="기후부협의",J3203="문서재제출요청",J3203="보류",J3203="보완요청",J3203="보완완료",J3203="평가중",J3203="반려요청",J3203="평가필요",LEFT(J3203,5)="보완요청("),"미종결 표시","상태 확인 필요"))</x:f>
        <x:v>종결 표시</x:v>
      </x:c>
      <x:c r="L3203" s="2" t="str">
        <x:v>에코시안_기샛별</x:v>
      </x:c>
      <x:c r="M3203" s="2"/>
      <x:c r="N3203" s="8" t="n">
        <x:f>DATE(2026,10,15)-DATE(2022,9,6)</x:f>
        <x:v>1500</x:v>
      </x:c>
      <x:c r="O3203" s="2"/>
      <x:c r="P3203" s="2" t="str">
        <x:v>사업자 반려 요청</x:v>
      </x:c>
      <x:c r="Q3203" s="2" t="str">
        <x:v>산업전환 외부사업 정보비공개 신청 관리 Tool_260707_LJY_261013.xlsx</x:v>
      </x:c>
      <x:c r="R3203" s="2" t="str">
        <x:v>(비공개)국외평가</x:v>
      </x:c>
      <x:c r="S3203" s="8" t="n">
        <x:v>4</x:v>
      </x:c>
      <x:c r="T3203" s="2"/>
      <x:c r="U3203" s="2" t="str"/>
      <x:c r="V3203" s="2" t="str">
        <x:v>2022-09-14</x:v>
      </x:c>
      <x:c r="W3203" s="2" t="str"/>
      <x:c r="X3203" s="2" t="str">
        <x:v>종결 근거 보관</x:v>
      </x:c>
      <x:c r="Y3203" s="2" t="str">
        <x:v>22df6d619b696c1eba8e26790f6382083d9fb1bc48481283e3e8a92ea6897677</x:v>
      </x:c>
      <x:c r="Z3203" s="2" t="n">
        <x:f>SUBTOTAL(103,A3203)</x:f>
        <x:v>1</x:v>
      </x:c>
      <x:c r="AA3203" s="2" t="str">
        <x:f>IF(K3203&lt;&gt;"미종결 표시","대상 아님",IF(N3203="","신청일 확인",IF(NOT(ISNUMBER('종합 현황'!$H$5)),"관찰기준 확인",IF('종합 현황'!$H$5&lt;1,"관찰기준 확인",IF(N3203&gt;'종합 현황'!$H$5,"내부 관찰 대상","내부 관찰일 이하")))))</x:f>
        <x:v>대상 아님</x:v>
      </x:c>
      <x:c r="AB3203" s="2"/>
    </x:row>
    <x:row r="3204" ht="42" customHeight="1">
      <x:c r="A3204" s="2" t="str">
        <x:v>fcd147e0e2f662af50e8c5d3</x:v>
      </x:c>
      <x:c r="B3204" s="2" t="str">
        <x:v>사업 비공개 신청</x:v>
      </x:c>
      <x:c r="C3204" s="2" t="str">
        <x:v>국외</x:v>
      </x:c>
      <x:c r="D3204" s="7" t="str">
        <x:v>아프리카 고효율 쿡스토브 보급 PoA 사업 : CPA 00012(나이지리아)(한국 지원)</x:v>
      </x:c>
      <x:c r="E3204" s="2" t="str">
        <x:v>4</x:v>
      </x:c>
      <x:c r="F3204" s="2" t="str">
        <x:v>2022-09-06</x:v>
      </x:c>
      <x:c r="G3204" s="2" t="str">
        <x:v>2022</x:v>
      </x:c>
      <x:c r="H3204" s="2" t="str">
        <x:v>09</x:v>
      </x:c>
      <x:c r="I3204" s="2" t="str">
        <x:v>반려</x:v>
      </x:c>
      <x:c r="J3204" s="2" t="str">
        <x:v>반려완료</x:v>
      </x:c>
      <x:c r="K3204" s="2" t="str">
        <x:f>IF(OR(J3204="심의승인",J3204="반려",J3204="반려완료",J3204="심의완료"),"종결 표시",IF(OR(J3204="기후부협의",J3204="문서재제출요청",J3204="보류",J3204="보완요청",J3204="보완완료",J3204="평가중",J3204="반려요청",J3204="평가필요",LEFT(J3204,5)="보완요청("),"미종결 표시","상태 확인 필요"))</x:f>
        <x:v>종결 표시</x:v>
      </x:c>
      <x:c r="L3204" s="2" t="str">
        <x:v>에코시안_기샛별</x:v>
      </x:c>
      <x:c r="M3204" s="2"/>
      <x:c r="N3204" s="8" t="n">
        <x:f>DATE(2026,10,15)-DATE(2022,9,6)</x:f>
        <x:v>1500</x:v>
      </x:c>
      <x:c r="O3204" s="2"/>
      <x:c r="P3204" s="2" t="str">
        <x:v>사업자 반려 요청</x:v>
      </x:c>
      <x:c r="Q3204" s="2" t="str">
        <x:v>산업전환 외부사업 정보비공개 신청 관리 Tool_260707_LJY_261013.xlsx</x:v>
      </x:c>
      <x:c r="R3204" s="2" t="str">
        <x:v>(비공개)국외평가</x:v>
      </x:c>
      <x:c r="S3204" s="8" t="n">
        <x:v>5</x:v>
      </x:c>
      <x:c r="T3204" s="2"/>
      <x:c r="U3204" s="2" t="str"/>
      <x:c r="V3204" s="2" t="str">
        <x:v>2022-09-14</x:v>
      </x:c>
      <x:c r="W3204" s="2" t="str"/>
      <x:c r="X3204" s="2" t="str">
        <x:v>종결 근거 보관</x:v>
      </x:c>
      <x:c r="Y3204" s="2" t="str">
        <x:v>22df6d619b696c1eba8e26790f6382083d9fb1bc48481283e3e8a92ea6897677</x:v>
      </x:c>
      <x:c r="Z3204" s="2" t="n">
        <x:f>SUBTOTAL(103,A3204)</x:f>
        <x:v>1</x:v>
      </x:c>
      <x:c r="AA3204" s="2" t="str">
        <x:f>IF(K3204&lt;&gt;"미종결 표시","대상 아님",IF(N3204="","신청일 확인",IF(NOT(ISNUMBER('종합 현황'!$H$5)),"관찰기준 확인",IF('종합 현황'!$H$5&lt;1,"관찰기준 확인",IF(N3204&gt;'종합 현황'!$H$5,"내부 관찰 대상","내부 관찰일 이하")))))</x:f>
        <x:v>대상 아님</x:v>
      </x:c>
      <x:c r="AB3204" s="2"/>
    </x:row>
    <x:row r="3205" ht="42" customHeight="1">
      <x:c r="A3205" s="2" t="str">
        <x:v>f5732a642effdeb28ea70bcc</x:v>
      </x:c>
      <x:c r="B3205" s="2" t="str">
        <x:v>사업 비공개 신청</x:v>
      </x:c>
      <x:c r="C3205" s="2" t="str">
        <x:v>국외</x:v>
      </x:c>
      <x:c r="D3205" s="7" t="str">
        <x:v>아프리카 고효율 쿡스토브 보급 PoA 사업 : CPA 00011(나이지리아)(한국 지원)</x:v>
      </x:c>
      <x:c r="E3205" s="2" t="str">
        <x:v>5</x:v>
      </x:c>
      <x:c r="F3205" s="2" t="str">
        <x:v>2022-09-06</x:v>
      </x:c>
      <x:c r="G3205" s="2" t="str">
        <x:v>2022</x:v>
      </x:c>
      <x:c r="H3205" s="2" t="str">
        <x:v>09</x:v>
      </x:c>
      <x:c r="I3205" s="2" t="str">
        <x:v>반려</x:v>
      </x:c>
      <x:c r="J3205" s="2" t="str">
        <x:v>반려완료</x:v>
      </x:c>
      <x:c r="K3205" s="2" t="str">
        <x:f>IF(OR(J3205="심의승인",J3205="반려",J3205="반려완료",J3205="심의완료"),"종결 표시",IF(OR(J3205="기후부협의",J3205="문서재제출요청",J3205="보류",J3205="보완요청",J3205="보완완료",J3205="평가중",J3205="반려요청",J3205="평가필요",LEFT(J3205,5)="보완요청("),"미종결 표시","상태 확인 필요"))</x:f>
        <x:v>종결 표시</x:v>
      </x:c>
      <x:c r="L3205" s="2" t="str">
        <x:v>에코시안_기샛별</x:v>
      </x:c>
      <x:c r="M3205" s="2"/>
      <x:c r="N3205" s="8" t="n">
        <x:f>DATE(2026,10,15)-DATE(2022,9,6)</x:f>
        <x:v>1500</x:v>
      </x:c>
      <x:c r="O3205" s="2"/>
      <x:c r="P3205" s="2" t="str">
        <x:v>사업자 반려 요청</x:v>
      </x:c>
      <x:c r="Q3205" s="2" t="str">
        <x:v>산업전환 외부사업 정보비공개 신청 관리 Tool_260707_LJY_261013.xlsx</x:v>
      </x:c>
      <x:c r="R3205" s="2" t="str">
        <x:v>(비공개)국외평가</x:v>
      </x:c>
      <x:c r="S3205" s="8" t="n">
        <x:v>6</x:v>
      </x:c>
      <x:c r="T3205" s="2"/>
      <x:c r="U3205" s="2" t="str"/>
      <x:c r="V3205" s="2" t="str">
        <x:v>2022-09-14</x:v>
      </x:c>
      <x:c r="W3205" s="2" t="str"/>
      <x:c r="X3205" s="2" t="str">
        <x:v>종결 근거 보관</x:v>
      </x:c>
      <x:c r="Y3205" s="2" t="str">
        <x:v>22df6d619b696c1eba8e26790f6382083d9fb1bc48481283e3e8a92ea6897677</x:v>
      </x:c>
      <x:c r="Z3205" s="2" t="n">
        <x:f>SUBTOTAL(103,A3205)</x:f>
        <x:v>1</x:v>
      </x:c>
      <x:c r="AA3205" s="2" t="str">
        <x:f>IF(K3205&lt;&gt;"미종결 표시","대상 아님",IF(N3205="","신청일 확인",IF(NOT(ISNUMBER('종합 현황'!$H$5)),"관찰기준 확인",IF('종합 현황'!$H$5&lt;1,"관찰기준 확인",IF(N3205&gt;'종합 현황'!$H$5,"내부 관찰 대상","내부 관찰일 이하")))))</x:f>
        <x:v>대상 아님</x:v>
      </x:c>
      <x:c r="AB3205" s="2"/>
    </x:row>
    <x:row r="3206" ht="42" customHeight="1">
      <x:c r="A3206" s="2" t="str">
        <x:v>4da846b257847dca9944e4df</x:v>
      </x:c>
      <x:c r="B3206" s="2" t="str">
        <x:v>사업 비공개 신청</x:v>
      </x:c>
      <x:c r="C3206" s="2" t="str">
        <x:v>국외</x:v>
      </x:c>
      <x:c r="D3206" s="7" t="str">
        <x:v>아프리카 고효율 쿡스토브 보급 PoA 사업 : CPA 00010(나이지리아)(한국 지원)</x:v>
      </x:c>
      <x:c r="E3206" s="2" t="str">
        <x:v>6</x:v>
      </x:c>
      <x:c r="F3206" s="2" t="str">
        <x:v>2022-09-06</x:v>
      </x:c>
      <x:c r="G3206" s="2" t="str">
        <x:v>2022</x:v>
      </x:c>
      <x:c r="H3206" s="2" t="str">
        <x:v>09</x:v>
      </x:c>
      <x:c r="I3206" s="2" t="str">
        <x:v>반려</x:v>
      </x:c>
      <x:c r="J3206" s="2" t="str">
        <x:v>반려완료</x:v>
      </x:c>
      <x:c r="K3206" s="2" t="str">
        <x:f>IF(OR(J3206="심의승인",J3206="반려",J3206="반려완료",J3206="심의완료"),"종결 표시",IF(OR(J3206="기후부협의",J3206="문서재제출요청",J3206="보류",J3206="보완요청",J3206="보완완료",J3206="평가중",J3206="반려요청",J3206="평가필요",LEFT(J3206,5)="보완요청("),"미종결 표시","상태 확인 필요"))</x:f>
        <x:v>종결 표시</x:v>
      </x:c>
      <x:c r="L3206" s="2" t="str">
        <x:v>에코시안_기샛별</x:v>
      </x:c>
      <x:c r="M3206" s="2"/>
      <x:c r="N3206" s="8" t="n">
        <x:f>DATE(2026,10,15)-DATE(2022,9,6)</x:f>
        <x:v>1500</x:v>
      </x:c>
      <x:c r="O3206" s="2"/>
      <x:c r="P3206" s="2" t="str">
        <x:v>사업자 반려 요청</x:v>
      </x:c>
      <x:c r="Q3206" s="2" t="str">
        <x:v>산업전환 외부사업 정보비공개 신청 관리 Tool_260707_LJY_261013.xlsx</x:v>
      </x:c>
      <x:c r="R3206" s="2" t="str">
        <x:v>(비공개)국외평가</x:v>
      </x:c>
      <x:c r="S3206" s="8" t="n">
        <x:v>7</x:v>
      </x:c>
      <x:c r="T3206" s="2"/>
      <x:c r="U3206" s="2" t="str"/>
      <x:c r="V3206" s="2" t="str">
        <x:v>2022-09-14</x:v>
      </x:c>
      <x:c r="W3206" s="2" t="str"/>
      <x:c r="X3206" s="2" t="str">
        <x:v>종결 근거 보관</x:v>
      </x:c>
      <x:c r="Y3206" s="2" t="str">
        <x:v>22df6d619b696c1eba8e26790f6382083d9fb1bc48481283e3e8a92ea6897677</x:v>
      </x:c>
      <x:c r="Z3206" s="2" t="n">
        <x:f>SUBTOTAL(103,A3206)</x:f>
        <x:v>1</x:v>
      </x:c>
      <x:c r="AA3206" s="2" t="str">
        <x:f>IF(K3206&lt;&gt;"미종결 표시","대상 아님",IF(N3206="","신청일 확인",IF(NOT(ISNUMBER('종합 현황'!$H$5)),"관찰기준 확인",IF('종합 현황'!$H$5&lt;1,"관찰기준 확인",IF(N3206&gt;'종합 현황'!$H$5,"내부 관찰 대상","내부 관찰일 이하")))))</x:f>
        <x:v>대상 아님</x:v>
      </x:c>
      <x:c r="AB3206" s="2"/>
    </x:row>
    <x:row r="3207" ht="42" customHeight="1">
      <x:c r="A3207" s="2" t="str">
        <x:v>c14c72e5e709c94dc81056da</x:v>
      </x:c>
      <x:c r="B3207" s="2" t="str">
        <x:v>사업 비공개 신청</x:v>
      </x:c>
      <x:c r="C3207" s="2" t="str">
        <x:v>국외</x:v>
      </x:c>
      <x:c r="D3207" s="7" t="str">
        <x:v>아프리카 고효율 쿡스토브 보급 PoA 사업 : CPA 00009(가나)(한국 지원)</x:v>
      </x:c>
      <x:c r="E3207" s="2" t="str">
        <x:v>7</x:v>
      </x:c>
      <x:c r="F3207" s="2" t="str">
        <x:v>2022-09-06</x:v>
      </x:c>
      <x:c r="G3207" s="2" t="str">
        <x:v>2022</x:v>
      </x:c>
      <x:c r="H3207" s="2" t="str">
        <x:v>09</x:v>
      </x:c>
      <x:c r="I3207" s="2" t="str">
        <x:v>반려</x:v>
      </x:c>
      <x:c r="J3207" s="2" t="str">
        <x:v>반려완료</x:v>
      </x:c>
      <x:c r="K3207" s="2" t="str">
        <x:f>IF(OR(J3207="심의승인",J3207="반려",J3207="반려완료",J3207="심의완료"),"종결 표시",IF(OR(J3207="기후부협의",J3207="문서재제출요청",J3207="보류",J3207="보완요청",J3207="보완완료",J3207="평가중",J3207="반려요청",J3207="평가필요",LEFT(J3207,5)="보완요청("),"미종결 표시","상태 확인 필요"))</x:f>
        <x:v>종결 표시</x:v>
      </x:c>
      <x:c r="L3207" s="2" t="str">
        <x:v>에코시안_기샛별</x:v>
      </x:c>
      <x:c r="M3207" s="2"/>
      <x:c r="N3207" s="8" t="n">
        <x:f>DATE(2026,10,15)-DATE(2022,9,6)</x:f>
        <x:v>1500</x:v>
      </x:c>
      <x:c r="O3207" s="2"/>
      <x:c r="P3207" s="2" t="str">
        <x:v>사업자 반려 요청</x:v>
      </x:c>
      <x:c r="Q3207" s="2" t="str">
        <x:v>산업전환 외부사업 정보비공개 신청 관리 Tool_260707_LJY_261013.xlsx</x:v>
      </x:c>
      <x:c r="R3207" s="2" t="str">
        <x:v>(비공개)국외평가</x:v>
      </x:c>
      <x:c r="S3207" s="8" t="n">
        <x:v>8</x:v>
      </x:c>
      <x:c r="T3207" s="2"/>
      <x:c r="U3207" s="2" t="str"/>
      <x:c r="V3207" s="2" t="str">
        <x:v>2022-09-14</x:v>
      </x:c>
      <x:c r="W3207" s="2" t="str"/>
      <x:c r="X3207" s="2" t="str">
        <x:v>종결 근거 보관</x:v>
      </x:c>
      <x:c r="Y3207" s="2" t="str">
        <x:v>22df6d619b696c1eba8e26790f6382083d9fb1bc48481283e3e8a92ea6897677</x:v>
      </x:c>
      <x:c r="Z3207" s="2" t="n">
        <x:f>SUBTOTAL(103,A3207)</x:f>
        <x:v>1</x:v>
      </x:c>
      <x:c r="AA3207" s="2" t="str">
        <x:f>IF(K3207&lt;&gt;"미종결 표시","대상 아님",IF(N3207="","신청일 확인",IF(NOT(ISNUMBER('종합 현황'!$H$5)),"관찰기준 확인",IF('종합 현황'!$H$5&lt;1,"관찰기준 확인",IF(N3207&gt;'종합 현황'!$H$5,"내부 관찰 대상","내부 관찰일 이하")))))</x:f>
        <x:v>대상 아님</x:v>
      </x:c>
      <x:c r="AB3207" s="2"/>
    </x:row>
    <x:row r="3208" ht="42" customHeight="1">
      <x:c r="A3208" s="2" t="str">
        <x:v>954c5351403c7727bfe3b3a5</x:v>
      </x:c>
      <x:c r="B3208" s="2" t="str">
        <x:v>사업 비공개 신청</x:v>
      </x:c>
      <x:c r="C3208" s="2" t="str">
        <x:v>국외</x:v>
      </x:c>
      <x:c r="D3208" s="7" t="str">
        <x:v>아프리카 고효율 쿡스토브 보급 PoA 사업 : CPA 00008(가나)(한국 지원)</x:v>
      </x:c>
      <x:c r="E3208" s="2" t="str">
        <x:v>8</x:v>
      </x:c>
      <x:c r="F3208" s="2" t="str">
        <x:v>2022-09-06</x:v>
      </x:c>
      <x:c r="G3208" s="2" t="str">
        <x:v>2022</x:v>
      </x:c>
      <x:c r="H3208" s="2" t="str">
        <x:v>09</x:v>
      </x:c>
      <x:c r="I3208" s="2" t="str">
        <x:v>반려</x:v>
      </x:c>
      <x:c r="J3208" s="2" t="str">
        <x:v>반려완료</x:v>
      </x:c>
      <x:c r="K3208" s="2" t="str">
        <x:f>IF(OR(J3208="심의승인",J3208="반려",J3208="반려완료",J3208="심의완료"),"종결 표시",IF(OR(J3208="기후부협의",J3208="문서재제출요청",J3208="보류",J3208="보완요청",J3208="보완완료",J3208="평가중",J3208="반려요청",J3208="평가필요",LEFT(J3208,5)="보완요청("),"미종결 표시","상태 확인 필요"))</x:f>
        <x:v>종결 표시</x:v>
      </x:c>
      <x:c r="L3208" s="2" t="str">
        <x:v>에코시안_기샛별</x:v>
      </x:c>
      <x:c r="M3208" s="2"/>
      <x:c r="N3208" s="8" t="n">
        <x:f>DATE(2026,10,15)-DATE(2022,9,6)</x:f>
        <x:v>1500</x:v>
      </x:c>
      <x:c r="O3208" s="2"/>
      <x:c r="P3208" s="2" t="str">
        <x:v>사업자 반려 요청</x:v>
      </x:c>
      <x:c r="Q3208" s="2" t="str">
        <x:v>산업전환 외부사업 정보비공개 신청 관리 Tool_260707_LJY_261013.xlsx</x:v>
      </x:c>
      <x:c r="R3208" s="2" t="str">
        <x:v>(비공개)국외평가</x:v>
      </x:c>
      <x:c r="S3208" s="8" t="n">
        <x:v>9</x:v>
      </x:c>
      <x:c r="T3208" s="2"/>
      <x:c r="U3208" s="2" t="str"/>
      <x:c r="V3208" s="2" t="str">
        <x:v>2022-09-14</x:v>
      </x:c>
      <x:c r="W3208" s="2" t="str"/>
      <x:c r="X3208" s="2" t="str">
        <x:v>종결 근거 보관</x:v>
      </x:c>
      <x:c r="Y3208" s="2" t="str">
        <x:v>22df6d619b696c1eba8e26790f6382083d9fb1bc48481283e3e8a92ea6897677</x:v>
      </x:c>
      <x:c r="Z3208" s="2" t="n">
        <x:f>SUBTOTAL(103,A3208)</x:f>
        <x:v>1</x:v>
      </x:c>
      <x:c r="AA3208" s="2" t="str">
        <x:f>IF(K3208&lt;&gt;"미종결 표시","대상 아님",IF(N3208="","신청일 확인",IF(NOT(ISNUMBER('종합 현황'!$H$5)),"관찰기준 확인",IF('종합 현황'!$H$5&lt;1,"관찰기준 확인",IF(N3208&gt;'종합 현황'!$H$5,"내부 관찰 대상","내부 관찰일 이하")))))</x:f>
        <x:v>대상 아님</x:v>
      </x:c>
      <x:c r="AB3208" s="2"/>
    </x:row>
    <x:row r="3209" ht="42" customHeight="1">
      <x:c r="A3209" s="2" t="str">
        <x:v>c1b873b15c7a1f2d1cff67cf</x:v>
      </x:c>
      <x:c r="B3209" s="2" t="str">
        <x:v>사업 비공개 신청</x:v>
      </x:c>
      <x:c r="C3209" s="2" t="str">
        <x:v>국외</x:v>
      </x:c>
      <x:c r="D3209" s="7" t="str">
        <x:v>아프리카 고효율 쿡스토브 보급 PoA 사업 : CPA 00007(가나)(한국 지원)</x:v>
      </x:c>
      <x:c r="E3209" s="2" t="str">
        <x:v>9</x:v>
      </x:c>
      <x:c r="F3209" s="2" t="str">
        <x:v>2022-09-06</x:v>
      </x:c>
      <x:c r="G3209" s="2" t="str">
        <x:v>2022</x:v>
      </x:c>
      <x:c r="H3209" s="2" t="str">
        <x:v>09</x:v>
      </x:c>
      <x:c r="I3209" s="2" t="str">
        <x:v>반려</x:v>
      </x:c>
      <x:c r="J3209" s="2" t="str">
        <x:v>반려완료</x:v>
      </x:c>
      <x:c r="K3209" s="2" t="str">
        <x:f>IF(OR(J3209="심의승인",J3209="반려",J3209="반려완료",J3209="심의완료"),"종결 표시",IF(OR(J3209="기후부협의",J3209="문서재제출요청",J3209="보류",J3209="보완요청",J3209="보완완료",J3209="평가중",J3209="반려요청",J3209="평가필요",LEFT(J3209,5)="보완요청("),"미종결 표시","상태 확인 필요"))</x:f>
        <x:v>종결 표시</x:v>
      </x:c>
      <x:c r="L3209" s="2" t="str">
        <x:v>에코시안_기샛별</x:v>
      </x:c>
      <x:c r="M3209" s="2"/>
      <x:c r="N3209" s="8" t="n">
        <x:f>DATE(2026,10,15)-DATE(2022,9,6)</x:f>
        <x:v>1500</x:v>
      </x:c>
      <x:c r="O3209" s="2"/>
      <x:c r="P3209" s="2" t="str">
        <x:v>사업자 반려 요청</x:v>
      </x:c>
      <x:c r="Q3209" s="2" t="str">
        <x:v>산업전환 외부사업 정보비공개 신청 관리 Tool_260707_LJY_261013.xlsx</x:v>
      </x:c>
      <x:c r="R3209" s="2" t="str">
        <x:v>(비공개)국외평가</x:v>
      </x:c>
      <x:c r="S3209" s="8" t="n">
        <x:v>10</x:v>
      </x:c>
      <x:c r="T3209" s="2"/>
      <x:c r="U3209" s="2" t="str"/>
      <x:c r="V3209" s="2" t="str">
        <x:v>2022-09-14</x:v>
      </x:c>
      <x:c r="W3209" s="2" t="str"/>
      <x:c r="X3209" s="2" t="str">
        <x:v>종결 근거 보관</x:v>
      </x:c>
      <x:c r="Y3209" s="2" t="str">
        <x:v>22df6d619b696c1eba8e26790f6382083d9fb1bc48481283e3e8a92ea6897677</x:v>
      </x:c>
      <x:c r="Z3209" s="2" t="n">
        <x:f>SUBTOTAL(103,A3209)</x:f>
        <x:v>1</x:v>
      </x:c>
      <x:c r="AA3209" s="2" t="str">
        <x:f>IF(K3209&lt;&gt;"미종결 표시","대상 아님",IF(N3209="","신청일 확인",IF(NOT(ISNUMBER('종합 현황'!$H$5)),"관찰기준 확인",IF('종합 현황'!$H$5&lt;1,"관찰기준 확인",IF(N3209&gt;'종합 현황'!$H$5,"내부 관찰 대상","내부 관찰일 이하")))))</x:f>
        <x:v>대상 아님</x:v>
      </x:c>
      <x:c r="AB3209" s="2"/>
    </x:row>
    <x:row r="3210" ht="42" customHeight="1">
      <x:c r="A3210" s="2" t="str">
        <x:v>533bc13e728c16d804b509ef</x:v>
      </x:c>
      <x:c r="B3210" s="2" t="str">
        <x:v>사업 비공개 신청</x:v>
      </x:c>
      <x:c r="C3210" s="2" t="str">
        <x:v>국외</x:v>
      </x:c>
      <x:c r="D3210" s="7" t="str">
        <x:v>인도 청정에너지 기기 보급 사업 (PoA 9181-CPA 22)</x:v>
      </x:c>
      <x:c r="E3210" s="2" t="str">
        <x:v>10</x:v>
      </x:c>
      <x:c r="F3210" s="2" t="str">
        <x:v>2020-12-10</x:v>
      </x:c>
      <x:c r="G3210" s="2" t="str">
        <x:v>2020</x:v>
      </x:c>
      <x:c r="H3210" s="2" t="str">
        <x:v>12</x:v>
      </x:c>
      <x:c r="I3210" s="2" t="str">
        <x:v>보완요청</x:v>
      </x:c>
      <x:c r="J3210" s="2" t="str">
        <x:v>보완요청</x:v>
      </x:c>
      <x:c r="K3210" s="2" t="str">
        <x:f>IF(OR(J3210="심의승인",J3210="반려",J3210="반려완료",J3210="심의완료"),"종결 표시",IF(OR(J3210="기후부협의",J3210="문서재제출요청",J3210="보류",J3210="보완요청",J3210="보완완료",J3210="평가중",J3210="반려요청",J3210="평가필요",LEFT(J3210,5)="보완요청("),"미종결 표시","상태 확인 필요"))</x:f>
        <x:v>미종결 표시</x:v>
      </x:c>
      <x:c r="L3210" s="2" t="str">
        <x:v>에코시안</x:v>
      </x:c>
      <x:c r="M3210" s="2"/>
      <x:c r="N3210" s="8" t="n">
        <x:f>DATE(2026,10,15)-DATE(2020,12,10)</x:f>
        <x:v>2135</x:v>
      </x:c>
      <x:c r="O3210" s="2"/>
      <x:c r="P3210" s="2" t="str">
        <x:v>보완 요청 필요(사유: CPA 30번 사유와 동일)
	(CSP 보완3차) 최종사용자 소유 운영 입증 서류 (Verification)에는 개인정보가 포함되어 있으므로 비공개 부탁드립니다.
(CSP) PoA 9181 CPA19-30 사업계획서_2020.12에는 영업기밀사항등이 포함되어 있으므로 비공개 부탁드립니다.
* 승인가능하나, 신청서 오류로 보완요청 필요</x:v>
      </x:c>
      <x:c r="Q3210" s="2" t="str">
        <x:v>산업전환 외부사업 정보비공개 신청 관리 Tool_260707_LJY_261013.xlsx</x:v>
      </x:c>
      <x:c r="R3210" s="2" t="str">
        <x:v>(비공개)국외평가</x:v>
      </x:c>
      <x:c r="S3210" s="8" t="n">
        <x:v>11</x:v>
      </x:c>
      <x:c r="T3210" s="2"/>
      <x:c r="U3210" s="2" t="str"/>
      <x:c r="V3210" s="2" t="str">
        <x:v>2022-10-19</x:v>
      </x:c>
      <x:c r="W3210" s="2" t="str"/>
      <x:c r="X3210" s="2" t="str">
        <x:v>보완 회신 일정 확인</x:v>
      </x:c>
      <x:c r="Y3210" s="2" t="str">
        <x:v>22df6d619b696c1eba8e26790f6382083d9fb1bc48481283e3e8a92ea6897677</x:v>
      </x:c>
      <x:c r="Z3210" s="2" t="n">
        <x:f>SUBTOTAL(103,A3210)</x:f>
        <x:v>1</x:v>
      </x:c>
      <x:c r="AA3210" s="2" t="str">
        <x:f>IF(K3210&lt;&gt;"미종결 표시","대상 아님",IF(N3210="","신청일 확인",IF(NOT(ISNUMBER('종합 현황'!$H$5)),"관찰기준 확인",IF('종합 현황'!$H$5&lt;1,"관찰기준 확인",IF(N3210&gt;'종합 현황'!$H$5,"내부 관찰 대상","내부 관찰일 이하")))))</x:f>
        <x:v>내부 관찰 대상</x:v>
      </x:c>
      <x:c r="AB3210" s="2"/>
    </x:row>
    <x:row r="3211" ht="42" customHeight="1">
      <x:c r="A3211" s="2" t="str">
        <x:v>545b7e64c4a70c5b6a09236e</x:v>
      </x:c>
      <x:c r="B3211" s="2" t="str">
        <x:v>사업 비공개 신청</x:v>
      </x:c>
      <x:c r="C3211" s="2" t="str">
        <x:v>국외</x:v>
      </x:c>
      <x:c r="D3211" s="7" t="str">
        <x:v>인도 청정에너지 기기 보급 사업 (PoA 9181-CPA 20)</x:v>
      </x:c>
      <x:c r="E3211" s="2" t="str">
        <x:v>11</x:v>
      </x:c>
      <x:c r="F3211" s="2" t="str">
        <x:v>2020-12-10</x:v>
      </x:c>
      <x:c r="G3211" s="2" t="str">
        <x:v>2020</x:v>
      </x:c>
      <x:c r="H3211" s="2" t="str">
        <x:v>12</x:v>
      </x:c>
      <x:c r="I3211" s="2" t="str">
        <x:v>보완요청</x:v>
      </x:c>
      <x:c r="J3211" s="2" t="str">
        <x:v>보완요청</x:v>
      </x:c>
      <x:c r="K3211" s="2" t="str">
        <x:f>IF(OR(J3211="심의승인",J3211="반려",J3211="반려완료",J3211="심의완료"),"종결 표시",IF(OR(J3211="기후부협의",J3211="문서재제출요청",J3211="보류",J3211="보완요청",J3211="보완완료",J3211="평가중",J3211="반려요청",J3211="평가필요",LEFT(J3211,5)="보완요청("),"미종결 표시","상태 확인 필요"))</x:f>
        <x:v>미종결 표시</x:v>
      </x:c>
      <x:c r="L3211" s="2" t="str">
        <x:v>에코시안</x:v>
      </x:c>
      <x:c r="M3211" s="2"/>
      <x:c r="N3211" s="8" t="n">
        <x:f>DATE(2026,10,15)-DATE(2020,12,10)</x:f>
        <x:v>2135</x:v>
      </x:c>
      <x:c r="O3211" s="2"/>
      <x:c r="P3211" s="2" t="str">
        <x:v>보완 요청 필요(CPA 22번 사유와 동일)</x:v>
      </x:c>
      <x:c r="Q3211" s="2" t="str">
        <x:v>산업전환 외부사업 정보비공개 신청 관리 Tool_260707_LJY_261013.xlsx</x:v>
      </x:c>
      <x:c r="R3211" s="2" t="str">
        <x:v>(비공개)국외평가</x:v>
      </x:c>
      <x:c r="S3211" s="8" t="n">
        <x:v>12</x:v>
      </x:c>
      <x:c r="T3211" s="2"/>
      <x:c r="U3211" s="2" t="str"/>
      <x:c r="V3211" s="2" t="str">
        <x:v>2022-10-19</x:v>
      </x:c>
      <x:c r="W3211" s="2" t="str"/>
      <x:c r="X3211" s="2" t="str">
        <x:v>보완 회신 일정 확인</x:v>
      </x:c>
      <x:c r="Y3211" s="2" t="str">
        <x:v>22df6d619b696c1eba8e26790f6382083d9fb1bc48481283e3e8a92ea6897677</x:v>
      </x:c>
      <x:c r="Z3211" s="2" t="n">
        <x:f>SUBTOTAL(103,A3211)</x:f>
        <x:v>1</x:v>
      </x:c>
      <x:c r="AA3211" s="2" t="str">
        <x:f>IF(K3211&lt;&gt;"미종결 표시","대상 아님",IF(N3211="","신청일 확인",IF(NOT(ISNUMBER('종합 현황'!$H$5)),"관찰기준 확인",IF('종합 현황'!$H$5&lt;1,"관찰기준 확인",IF(N3211&gt;'종합 현황'!$H$5,"내부 관찰 대상","내부 관찰일 이하")))))</x:f>
        <x:v>내부 관찰 대상</x:v>
      </x:c>
      <x:c r="AB3211" s="2"/>
    </x:row>
    <x:row r="3212" ht="42" customHeight="1">
      <x:c r="A3212" s="2" t="str">
        <x:v>c85313f0420422bd3593ae0e</x:v>
      </x:c>
      <x:c r="B3212" s="2" t="str">
        <x:v>사업 비공개 신청</x:v>
      </x:c>
      <x:c r="C3212" s="2" t="str">
        <x:v>국외</x:v>
      </x:c>
      <x:c r="D3212" s="7" t="str">
        <x:v>인도 청정에너지 기기 보급 사업 (PoA 9181-CPA 19)</x:v>
      </x:c>
      <x:c r="E3212" s="2" t="str">
        <x:v>12</x:v>
      </x:c>
      <x:c r="F3212" s="2" t="str">
        <x:v>2020-12-10</x:v>
      </x:c>
      <x:c r="G3212" s="2" t="str">
        <x:v>2020</x:v>
      </x:c>
      <x:c r="H3212" s="2" t="str">
        <x:v>12</x:v>
      </x:c>
      <x:c r="I3212" s="2" t="str">
        <x:v>보완요청</x:v>
      </x:c>
      <x:c r="J3212" s="2" t="str">
        <x:v>보완요청</x:v>
      </x:c>
      <x:c r="K3212" s="2" t="str">
        <x:f>IF(OR(J3212="심의승인",J3212="반려",J3212="반려완료",J3212="심의완료"),"종결 표시",IF(OR(J3212="기후부협의",J3212="문서재제출요청",J3212="보류",J3212="보완요청",J3212="보완완료",J3212="평가중",J3212="반려요청",J3212="평가필요",LEFT(J3212,5)="보완요청("),"미종결 표시","상태 확인 필요"))</x:f>
        <x:v>미종결 표시</x:v>
      </x:c>
      <x:c r="L3212" s="2" t="str">
        <x:v>에코시안</x:v>
      </x:c>
      <x:c r="M3212" s="2"/>
      <x:c r="N3212" s="8" t="n">
        <x:f>DATE(2026,10,15)-DATE(2020,12,10)</x:f>
        <x:v>2135</x:v>
      </x:c>
      <x:c r="O3212" s="2"/>
      <x:c r="P3212" s="2" t="str">
        <x:v>보완 요청 필요(CPA 22번 사유와 동일)</x:v>
      </x:c>
      <x:c r="Q3212" s="2" t="str">
        <x:v>산업전환 외부사업 정보비공개 신청 관리 Tool_260707_LJY_261013.xlsx</x:v>
      </x:c>
      <x:c r="R3212" s="2" t="str">
        <x:v>(비공개)국외평가</x:v>
      </x:c>
      <x:c r="S3212" s="8" t="n">
        <x:v>13</x:v>
      </x:c>
      <x:c r="T3212" s="2"/>
      <x:c r="U3212" s="2" t="str"/>
      <x:c r="V3212" s="2" t="str">
        <x:v>2022-10-19</x:v>
      </x:c>
      <x:c r="W3212" s="2" t="str"/>
      <x:c r="X3212" s="2" t="str">
        <x:v>보완 회신 일정 확인</x:v>
      </x:c>
      <x:c r="Y3212" s="2" t="str">
        <x:v>22df6d619b696c1eba8e26790f6382083d9fb1bc48481283e3e8a92ea6897677</x:v>
      </x:c>
      <x:c r="Z3212" s="2" t="n">
        <x:f>SUBTOTAL(103,A3212)</x:f>
        <x:v>1</x:v>
      </x:c>
      <x:c r="AA3212" s="2" t="str">
        <x:f>IF(K3212&lt;&gt;"미종결 표시","대상 아님",IF(N3212="","신청일 확인",IF(NOT(ISNUMBER('종합 현황'!$H$5)),"관찰기준 확인",IF('종합 현황'!$H$5&lt;1,"관찰기준 확인",IF(N3212&gt;'종합 현황'!$H$5,"내부 관찰 대상","내부 관찰일 이하")))))</x:f>
        <x:v>내부 관찰 대상</x:v>
      </x:c>
      <x:c r="AB3212" s="2"/>
    </x:row>
    <x:row r="3213" ht="42" customHeight="1">
      <x:c r="A3213" s="2" t="str">
        <x:v>0bfc9d8ef321597753624025</x:v>
      </x:c>
      <x:c r="B3213" s="2" t="str">
        <x:v>사업 비공개 신청</x:v>
      </x:c>
      <x:c r="C3213" s="2" t="str">
        <x:v>국외</x:v>
      </x:c>
      <x:c r="D3213" s="7" t="str">
        <x:v>인도 청정에너지 기기 보급 사업 (PoA 9181-CPA 23)</x:v>
      </x:c>
      <x:c r="E3213" s="2" t="str">
        <x:v>13</x:v>
      </x:c>
      <x:c r="F3213" s="2" t="str">
        <x:v>2020-12-10</x:v>
      </x:c>
      <x:c r="G3213" s="2" t="str">
        <x:v>2020</x:v>
      </x:c>
      <x:c r="H3213" s="2" t="str">
        <x:v>12</x:v>
      </x:c>
      <x:c r="I3213" s="2" t="str">
        <x:v>보완요청</x:v>
      </x:c>
      <x:c r="J3213" s="2" t="str">
        <x:v>보완요청</x:v>
      </x:c>
      <x:c r="K3213" s="2" t="str">
        <x:f>IF(OR(J3213="심의승인",J3213="반려",J3213="반려완료",J3213="심의완료"),"종결 표시",IF(OR(J3213="기후부협의",J3213="문서재제출요청",J3213="보류",J3213="보완요청",J3213="보완완료",J3213="평가중",J3213="반려요청",J3213="평가필요",LEFT(J3213,5)="보완요청("),"미종결 표시","상태 확인 필요"))</x:f>
        <x:v>미종결 표시</x:v>
      </x:c>
      <x:c r="L3213" s="2" t="str">
        <x:v>에코시안</x:v>
      </x:c>
      <x:c r="M3213" s="2"/>
      <x:c r="N3213" s="8" t="n">
        <x:f>DATE(2026,10,15)-DATE(2020,12,10)</x:f>
        <x:v>2135</x:v>
      </x:c>
      <x:c r="O3213" s="2"/>
      <x:c r="P3213" s="2" t="str">
        <x:v>보완 요청 필요(CPA 22번 사유와 동일)</x:v>
      </x:c>
      <x:c r="Q3213" s="2" t="str">
        <x:v>산업전환 외부사업 정보비공개 신청 관리 Tool_260707_LJY_261013.xlsx</x:v>
      </x:c>
      <x:c r="R3213" s="2" t="str">
        <x:v>(비공개)국외평가</x:v>
      </x:c>
      <x:c r="S3213" s="8" t="n">
        <x:v>14</x:v>
      </x:c>
      <x:c r="T3213" s="2"/>
      <x:c r="U3213" s="2" t="str"/>
      <x:c r="V3213" s="2" t="str">
        <x:v>2022-10-19</x:v>
      </x:c>
      <x:c r="W3213" s="2" t="str"/>
      <x:c r="X3213" s="2" t="str">
        <x:v>보완 회신 일정 확인</x:v>
      </x:c>
      <x:c r="Y3213" s="2" t="str">
        <x:v>22df6d619b696c1eba8e26790f6382083d9fb1bc48481283e3e8a92ea6897677</x:v>
      </x:c>
      <x:c r="Z3213" s="2" t="n">
        <x:f>SUBTOTAL(103,A3213)</x:f>
        <x:v>1</x:v>
      </x:c>
      <x:c r="AA3213" s="2" t="str">
        <x:f>IF(K3213&lt;&gt;"미종결 표시","대상 아님",IF(N3213="","신청일 확인",IF(NOT(ISNUMBER('종합 현황'!$H$5)),"관찰기준 확인",IF('종합 현황'!$H$5&lt;1,"관찰기준 확인",IF(N3213&gt;'종합 현황'!$H$5,"내부 관찰 대상","내부 관찰일 이하")))))</x:f>
        <x:v>내부 관찰 대상</x:v>
      </x:c>
      <x:c r="AB3213" s="2"/>
    </x:row>
    <x:row r="3214" ht="42" customHeight="1">
      <x:c r="A3214" s="2" t="str">
        <x:v>d6c4e4a89d971c69eec84d9b</x:v>
      </x:c>
      <x:c r="B3214" s="2" t="str">
        <x:v>사업 비공개 신청</x:v>
      </x:c>
      <x:c r="C3214" s="2" t="str">
        <x:v>국외</x:v>
      </x:c>
      <x:c r="D3214" s="7" t="str">
        <x:v>인도 청정에너지 기기 보급 사업 (PoA 9181-CPA 21)</x:v>
      </x:c>
      <x:c r="E3214" s="2" t="str">
        <x:v>14</x:v>
      </x:c>
      <x:c r="F3214" s="2" t="str">
        <x:v>2020-12-10</x:v>
      </x:c>
      <x:c r="G3214" s="2" t="str">
        <x:v>2020</x:v>
      </x:c>
      <x:c r="H3214" s="2" t="str">
        <x:v>12</x:v>
      </x:c>
      <x:c r="I3214" s="2" t="str">
        <x:v>보완요청</x:v>
      </x:c>
      <x:c r="J3214" s="2" t="str">
        <x:v>보완요청</x:v>
      </x:c>
      <x:c r="K3214" s="2" t="str">
        <x:f>IF(OR(J3214="심의승인",J3214="반려",J3214="반려완료",J3214="심의완료"),"종결 표시",IF(OR(J3214="기후부협의",J3214="문서재제출요청",J3214="보류",J3214="보완요청",J3214="보완완료",J3214="평가중",J3214="반려요청",J3214="평가필요",LEFT(J3214,5)="보완요청("),"미종결 표시","상태 확인 필요"))</x:f>
        <x:v>미종결 표시</x:v>
      </x:c>
      <x:c r="L3214" s="2" t="str">
        <x:v>에코시안</x:v>
      </x:c>
      <x:c r="M3214" s="2"/>
      <x:c r="N3214" s="8" t="n">
        <x:f>DATE(2026,10,15)-DATE(2020,12,10)</x:f>
        <x:v>2135</x:v>
      </x:c>
      <x:c r="O3214" s="2"/>
      <x:c r="P3214" s="2" t="str">
        <x:v>보완 요청 필요(CPA 22번 사유와 동일)</x:v>
      </x:c>
      <x:c r="Q3214" s="2" t="str">
        <x:v>산업전환 외부사업 정보비공개 신청 관리 Tool_260707_LJY_261013.xlsx</x:v>
      </x:c>
      <x:c r="R3214" s="2" t="str">
        <x:v>(비공개)국외평가</x:v>
      </x:c>
      <x:c r="S3214" s="8" t="n">
        <x:v>15</x:v>
      </x:c>
      <x:c r="T3214" s="2"/>
      <x:c r="U3214" s="2" t="str"/>
      <x:c r="V3214" s="2" t="str">
        <x:v>2022-10-19</x:v>
      </x:c>
      <x:c r="W3214" s="2" t="str"/>
      <x:c r="X3214" s="2" t="str">
        <x:v>보완 회신 일정 확인</x:v>
      </x:c>
      <x:c r="Y3214" s="2" t="str">
        <x:v>22df6d619b696c1eba8e26790f6382083d9fb1bc48481283e3e8a92ea6897677</x:v>
      </x:c>
      <x:c r="Z3214" s="2" t="n">
        <x:f>SUBTOTAL(103,A3214)</x:f>
        <x:v>1</x:v>
      </x:c>
      <x:c r="AA3214" s="2" t="str">
        <x:f>IF(K3214&lt;&gt;"미종결 표시","대상 아님",IF(N3214="","신청일 확인",IF(NOT(ISNUMBER('종합 현황'!$H$5)),"관찰기준 확인",IF('종합 현황'!$H$5&lt;1,"관찰기준 확인",IF(N3214&gt;'종합 현황'!$H$5,"내부 관찰 대상","내부 관찰일 이하")))))</x:f>
        <x:v>내부 관찰 대상</x:v>
      </x:c>
      <x:c r="AB3214" s="2"/>
    </x:row>
    <x:row r="3215" ht="42" customHeight="1">
      <x:c r="A3215" s="2" t="str">
        <x:v>449f372fd5594bb1c200fbc5</x:v>
      </x:c>
      <x:c r="B3215" s="2" t="str">
        <x:v>사업 비공개 신청</x:v>
      </x:c>
      <x:c r="C3215" s="2" t="str">
        <x:v>국외</x:v>
      </x:c>
      <x:c r="D3215" s="7" t="str">
        <x:v>인도 청정에너지 기기 보급 사업 (PoA 9181-CPA 24)</x:v>
      </x:c>
      <x:c r="E3215" s="2" t="str">
        <x:v>15</x:v>
      </x:c>
      <x:c r="F3215" s="2" t="str">
        <x:v>2020-12-10</x:v>
      </x:c>
      <x:c r="G3215" s="2" t="str">
        <x:v>2020</x:v>
      </x:c>
      <x:c r="H3215" s="2" t="str">
        <x:v>12</x:v>
      </x:c>
      <x:c r="I3215" s="2" t="str">
        <x:v>보완요청</x:v>
      </x:c>
      <x:c r="J3215" s="2" t="str">
        <x:v>보완요청</x:v>
      </x:c>
      <x:c r="K3215" s="2" t="str">
        <x:f>IF(OR(J3215="심의승인",J3215="반려",J3215="반려완료",J3215="심의완료"),"종결 표시",IF(OR(J3215="기후부협의",J3215="문서재제출요청",J3215="보류",J3215="보완요청",J3215="보완완료",J3215="평가중",J3215="반려요청",J3215="평가필요",LEFT(J3215,5)="보완요청("),"미종결 표시","상태 확인 필요"))</x:f>
        <x:v>미종결 표시</x:v>
      </x:c>
      <x:c r="L3215" s="2" t="str">
        <x:v>에코시안</x:v>
      </x:c>
      <x:c r="M3215" s="2"/>
      <x:c r="N3215" s="8" t="n">
        <x:f>DATE(2026,10,15)-DATE(2020,12,10)</x:f>
        <x:v>2135</x:v>
      </x:c>
      <x:c r="O3215" s="2"/>
      <x:c r="P3215" s="2" t="str">
        <x:v>보완 요청 필요(CPA 30번 사유와 동일)</x:v>
      </x:c>
      <x:c r="Q3215" s="2" t="str">
        <x:v>산업전환 외부사업 정보비공개 신청 관리 Tool_260707_LJY_261013.xlsx</x:v>
      </x:c>
      <x:c r="R3215" s="2" t="str">
        <x:v>(비공개)국외평가</x:v>
      </x:c>
      <x:c r="S3215" s="8" t="n">
        <x:v>16</x:v>
      </x:c>
      <x:c r="T3215" s="2"/>
      <x:c r="U3215" s="2" t="str"/>
      <x:c r="V3215" s="2" t="str">
        <x:v>2022-10-19</x:v>
      </x:c>
      <x:c r="W3215" s="2" t="str"/>
      <x:c r="X3215" s="2" t="str">
        <x:v>보완 회신 일정 확인</x:v>
      </x:c>
      <x:c r="Y3215" s="2" t="str">
        <x:v>22df6d619b696c1eba8e26790f6382083d9fb1bc48481283e3e8a92ea6897677</x:v>
      </x:c>
      <x:c r="Z3215" s="2" t="n">
        <x:f>SUBTOTAL(103,A3215)</x:f>
        <x:v>1</x:v>
      </x:c>
      <x:c r="AA3215" s="2" t="str">
        <x:f>IF(K3215&lt;&gt;"미종결 표시","대상 아님",IF(N3215="","신청일 확인",IF(NOT(ISNUMBER('종합 현황'!$H$5)),"관찰기준 확인",IF('종합 현황'!$H$5&lt;1,"관찰기준 확인",IF(N3215&gt;'종합 현황'!$H$5,"내부 관찰 대상","내부 관찰일 이하")))))</x:f>
        <x:v>내부 관찰 대상</x:v>
      </x:c>
      <x:c r="AB3215" s="2"/>
    </x:row>
    <x:row r="3216" ht="42" customHeight="1">
      <x:c r="A3216" s="2" t="str">
        <x:v>476c40361a016f8d8f48a67d</x:v>
      </x:c>
      <x:c r="B3216" s="2" t="str">
        <x:v>사업 비공개 신청</x:v>
      </x:c>
      <x:c r="C3216" s="2" t="str">
        <x:v>국외</x:v>
      </x:c>
      <x:c r="D3216" s="7" t="str">
        <x:v>인도 청정에너지 기기 보급 사업 (PoA 9181-CPA 25)</x:v>
      </x:c>
      <x:c r="E3216" s="2" t="str">
        <x:v>16</x:v>
      </x:c>
      <x:c r="F3216" s="2" t="str">
        <x:v>2020-12-10</x:v>
      </x:c>
      <x:c r="G3216" s="2" t="str">
        <x:v>2020</x:v>
      </x:c>
      <x:c r="H3216" s="2" t="str">
        <x:v>12</x:v>
      </x:c>
      <x:c r="I3216" s="2" t="str">
        <x:v>보완요청</x:v>
      </x:c>
      <x:c r="J3216" s="2" t="str">
        <x:v>보완요청</x:v>
      </x:c>
      <x:c r="K3216" s="2" t="str">
        <x:f>IF(OR(J3216="심의승인",J3216="반려",J3216="반려완료",J3216="심의완료"),"종결 표시",IF(OR(J3216="기후부협의",J3216="문서재제출요청",J3216="보류",J3216="보완요청",J3216="보완완료",J3216="평가중",J3216="반려요청",J3216="평가필요",LEFT(J3216,5)="보완요청("),"미종결 표시","상태 확인 필요"))</x:f>
        <x:v>미종결 표시</x:v>
      </x:c>
      <x:c r="L3216" s="2" t="str">
        <x:v>에코시안</x:v>
      </x:c>
      <x:c r="M3216" s="2"/>
      <x:c r="N3216" s="8" t="n">
        <x:f>DATE(2026,10,15)-DATE(2020,12,10)</x:f>
        <x:v>2135</x:v>
      </x:c>
      <x:c r="O3216" s="2"/>
      <x:c r="P3216" s="2" t="str">
        <x:v>보완 요청 필요(CPA 30번 사유와 동일)</x:v>
      </x:c>
      <x:c r="Q3216" s="2" t="str">
        <x:v>산업전환 외부사업 정보비공개 신청 관리 Tool_260707_LJY_261013.xlsx</x:v>
      </x:c>
      <x:c r="R3216" s="2" t="str">
        <x:v>(비공개)국외평가</x:v>
      </x:c>
      <x:c r="S3216" s="8" t="n">
        <x:v>17</x:v>
      </x:c>
      <x:c r="T3216" s="2"/>
      <x:c r="U3216" s="2" t="str"/>
      <x:c r="V3216" s="2" t="str">
        <x:v>2022-10-19</x:v>
      </x:c>
      <x:c r="W3216" s="2" t="str"/>
      <x:c r="X3216" s="2" t="str">
        <x:v>보완 회신 일정 확인</x:v>
      </x:c>
      <x:c r="Y3216" s="2" t="str">
        <x:v>22df6d619b696c1eba8e26790f6382083d9fb1bc48481283e3e8a92ea6897677</x:v>
      </x:c>
      <x:c r="Z3216" s="2" t="n">
        <x:f>SUBTOTAL(103,A3216)</x:f>
        <x:v>1</x:v>
      </x:c>
      <x:c r="AA3216" s="2" t="str">
        <x:f>IF(K3216&lt;&gt;"미종결 표시","대상 아님",IF(N3216="","신청일 확인",IF(NOT(ISNUMBER('종합 현황'!$H$5)),"관찰기준 확인",IF('종합 현황'!$H$5&lt;1,"관찰기준 확인",IF(N3216&gt;'종합 현황'!$H$5,"내부 관찰 대상","내부 관찰일 이하")))))</x:f>
        <x:v>내부 관찰 대상</x:v>
      </x:c>
      <x:c r="AB3216" s="2"/>
    </x:row>
    <x:row r="3217" ht="42" customHeight="1">
      <x:c r="A3217" s="2" t="str">
        <x:v>a2e8b9a8b85f1ee9a5c87cb3</x:v>
      </x:c>
      <x:c r="B3217" s="2" t="str">
        <x:v>사업 비공개 신청</x:v>
      </x:c>
      <x:c r="C3217" s="2" t="str">
        <x:v>국외</x:v>
      </x:c>
      <x:c r="D3217" s="7" t="str">
        <x:v>인도 청정에너지 기기 보급 사업 (PoA 9181-CPA 26)</x:v>
      </x:c>
      <x:c r="E3217" s="2" t="str">
        <x:v>17</x:v>
      </x:c>
      <x:c r="F3217" s="2" t="str">
        <x:v>2020-12-10</x:v>
      </x:c>
      <x:c r="G3217" s="2" t="str">
        <x:v>2020</x:v>
      </x:c>
      <x:c r="H3217" s="2" t="str">
        <x:v>12</x:v>
      </x:c>
      <x:c r="I3217" s="2" t="str">
        <x:v>보완요청</x:v>
      </x:c>
      <x:c r="J3217" s="2" t="str">
        <x:v>보완요청</x:v>
      </x:c>
      <x:c r="K3217" s="2" t="str">
        <x:f>IF(OR(J3217="심의승인",J3217="반려",J3217="반려완료",J3217="심의완료"),"종결 표시",IF(OR(J3217="기후부협의",J3217="문서재제출요청",J3217="보류",J3217="보완요청",J3217="보완완료",J3217="평가중",J3217="반려요청",J3217="평가필요",LEFT(J3217,5)="보완요청("),"미종결 표시","상태 확인 필요"))</x:f>
        <x:v>미종결 표시</x:v>
      </x:c>
      <x:c r="L3217" s="2" t="str">
        <x:v>에코시안</x:v>
      </x:c>
      <x:c r="M3217" s="2"/>
      <x:c r="N3217" s="8" t="n">
        <x:f>DATE(2026,10,15)-DATE(2020,12,10)</x:f>
        <x:v>2135</x:v>
      </x:c>
      <x:c r="O3217" s="2"/>
      <x:c r="P3217" s="2" t="str">
        <x:v>보완 요청 필요(CPA 30번 사유와 동일)</x:v>
      </x:c>
      <x:c r="Q3217" s="2" t="str">
        <x:v>산업전환 외부사업 정보비공개 신청 관리 Tool_260707_LJY_261013.xlsx</x:v>
      </x:c>
      <x:c r="R3217" s="2" t="str">
        <x:v>(비공개)국외평가</x:v>
      </x:c>
      <x:c r="S3217" s="8" t="n">
        <x:v>18</x:v>
      </x:c>
      <x:c r="T3217" s="2"/>
      <x:c r="U3217" s="2" t="str"/>
      <x:c r="V3217" s="2" t="str">
        <x:v>2022-10-19</x:v>
      </x:c>
      <x:c r="W3217" s="2" t="str"/>
      <x:c r="X3217" s="2" t="str">
        <x:v>보완 회신 일정 확인</x:v>
      </x:c>
      <x:c r="Y3217" s="2" t="str">
        <x:v>22df6d619b696c1eba8e26790f6382083d9fb1bc48481283e3e8a92ea6897677</x:v>
      </x:c>
      <x:c r="Z3217" s="2" t="n">
        <x:f>SUBTOTAL(103,A3217)</x:f>
        <x:v>1</x:v>
      </x:c>
      <x:c r="AA3217" s="2" t="str">
        <x:f>IF(K3217&lt;&gt;"미종결 표시","대상 아님",IF(N3217="","신청일 확인",IF(NOT(ISNUMBER('종합 현황'!$H$5)),"관찰기준 확인",IF('종합 현황'!$H$5&lt;1,"관찰기준 확인",IF(N3217&gt;'종합 현황'!$H$5,"내부 관찰 대상","내부 관찰일 이하")))))</x:f>
        <x:v>내부 관찰 대상</x:v>
      </x:c>
      <x:c r="AB3217" s="2"/>
    </x:row>
    <x:row r="3218" ht="42" customHeight="1">
      <x:c r="A3218" s="2" t="str">
        <x:v>9ecd4b39b49841f35f44be14</x:v>
      </x:c>
      <x:c r="B3218" s="2" t="str">
        <x:v>사업 비공개 신청</x:v>
      </x:c>
      <x:c r="C3218" s="2" t="str">
        <x:v>국외</x:v>
      </x:c>
      <x:c r="D3218" s="7" t="str">
        <x:v>인도 청정에너지 기기 보급 사업 (PoA 9181-CPA 27)</x:v>
      </x:c>
      <x:c r="E3218" s="2" t="str">
        <x:v>18</x:v>
      </x:c>
      <x:c r="F3218" s="2" t="str">
        <x:v>2020-12-10</x:v>
      </x:c>
      <x:c r="G3218" s="2" t="str">
        <x:v>2020</x:v>
      </x:c>
      <x:c r="H3218" s="2" t="str">
        <x:v>12</x:v>
      </x:c>
      <x:c r="I3218" s="2" t="str">
        <x:v>보완요청</x:v>
      </x:c>
      <x:c r="J3218" s="2" t="str">
        <x:v>보완요청</x:v>
      </x:c>
      <x:c r="K3218" s="2" t="str">
        <x:f>IF(OR(J3218="심의승인",J3218="반려",J3218="반려완료",J3218="심의완료"),"종결 표시",IF(OR(J3218="기후부협의",J3218="문서재제출요청",J3218="보류",J3218="보완요청",J3218="보완완료",J3218="평가중",J3218="반려요청",J3218="평가필요",LEFT(J3218,5)="보완요청("),"미종결 표시","상태 확인 필요"))</x:f>
        <x:v>미종결 표시</x:v>
      </x:c>
      <x:c r="L3218" s="2" t="str">
        <x:v>에코시안</x:v>
      </x:c>
      <x:c r="M3218" s="2"/>
      <x:c r="N3218" s="8" t="n">
        <x:f>DATE(2026,10,15)-DATE(2020,12,10)</x:f>
        <x:v>2135</x:v>
      </x:c>
      <x:c r="O3218" s="2"/>
      <x:c r="P3218" s="2" t="str">
        <x:v>보완 요청 필요(CPA 30번 사유와 동일)</x:v>
      </x:c>
      <x:c r="Q3218" s="2" t="str">
        <x:v>산업전환 외부사업 정보비공개 신청 관리 Tool_260707_LJY_261013.xlsx</x:v>
      </x:c>
      <x:c r="R3218" s="2" t="str">
        <x:v>(비공개)국외평가</x:v>
      </x:c>
      <x:c r="S3218" s="8" t="n">
        <x:v>19</x:v>
      </x:c>
      <x:c r="T3218" s="2"/>
      <x:c r="U3218" s="2" t="str"/>
      <x:c r="V3218" s="2" t="str">
        <x:v>2022-10-19</x:v>
      </x:c>
      <x:c r="W3218" s="2" t="str"/>
      <x:c r="X3218" s="2" t="str">
        <x:v>보완 회신 일정 확인</x:v>
      </x:c>
      <x:c r="Y3218" s="2" t="str">
        <x:v>22df6d619b696c1eba8e26790f6382083d9fb1bc48481283e3e8a92ea6897677</x:v>
      </x:c>
      <x:c r="Z3218" s="2" t="n">
        <x:f>SUBTOTAL(103,A3218)</x:f>
        <x:v>1</x:v>
      </x:c>
      <x:c r="AA3218" s="2" t="str">
        <x:f>IF(K3218&lt;&gt;"미종결 표시","대상 아님",IF(N3218="","신청일 확인",IF(NOT(ISNUMBER('종합 현황'!$H$5)),"관찰기준 확인",IF('종합 현황'!$H$5&lt;1,"관찰기준 확인",IF(N3218&gt;'종합 현황'!$H$5,"내부 관찰 대상","내부 관찰일 이하")))))</x:f>
        <x:v>내부 관찰 대상</x:v>
      </x:c>
      <x:c r="AB3218" s="2"/>
    </x:row>
    <x:row r="3219" ht="42" customHeight="1">
      <x:c r="A3219" s="2" t="str">
        <x:v>9fcb596b2e085b9d90039797</x:v>
      </x:c>
      <x:c r="B3219" s="2" t="str">
        <x:v>사업 비공개 신청</x:v>
      </x:c>
      <x:c r="C3219" s="2" t="str">
        <x:v>국외</x:v>
      </x:c>
      <x:c r="D3219" s="7" t="str">
        <x:v>인도 청정에너지 기기 보급 사업 (PoA 9181-CPA 28)</x:v>
      </x:c>
      <x:c r="E3219" s="2" t="str">
        <x:v>19</x:v>
      </x:c>
      <x:c r="F3219" s="2" t="str">
        <x:v>2020-12-10</x:v>
      </x:c>
      <x:c r="G3219" s="2" t="str">
        <x:v>2020</x:v>
      </x:c>
      <x:c r="H3219" s="2" t="str">
        <x:v>12</x:v>
      </x:c>
      <x:c r="I3219" s="2" t="str">
        <x:v>보완요청</x:v>
      </x:c>
      <x:c r="J3219" s="2" t="str">
        <x:v>보완요청</x:v>
      </x:c>
      <x:c r="K3219" s="2" t="str">
        <x:f>IF(OR(J3219="심의승인",J3219="반려",J3219="반려완료",J3219="심의완료"),"종결 표시",IF(OR(J3219="기후부협의",J3219="문서재제출요청",J3219="보류",J3219="보완요청",J3219="보완완료",J3219="평가중",J3219="반려요청",J3219="평가필요",LEFT(J3219,5)="보완요청("),"미종결 표시","상태 확인 필요"))</x:f>
        <x:v>미종결 표시</x:v>
      </x:c>
      <x:c r="L3219" s="2" t="str">
        <x:v>에코시안</x:v>
      </x:c>
      <x:c r="M3219" s="2"/>
      <x:c r="N3219" s="8" t="n">
        <x:f>DATE(2026,10,15)-DATE(2020,12,10)</x:f>
        <x:v>2135</x:v>
      </x:c>
      <x:c r="O3219" s="2"/>
      <x:c r="P3219" s="2" t="str">
        <x:v>보완 요청 필요(CPA 30번 사유와 동일)</x:v>
      </x:c>
      <x:c r="Q3219" s="2" t="str">
        <x:v>산업전환 외부사업 정보비공개 신청 관리 Tool_260707_LJY_261013.xlsx</x:v>
      </x:c>
      <x:c r="R3219" s="2" t="str">
        <x:v>(비공개)국외평가</x:v>
      </x:c>
      <x:c r="S3219" s="8" t="n">
        <x:v>20</x:v>
      </x:c>
      <x:c r="T3219" s="2"/>
      <x:c r="U3219" s="2" t="str"/>
      <x:c r="V3219" s="2" t="str">
        <x:v>2022-10-19</x:v>
      </x:c>
      <x:c r="W3219" s="2" t="str"/>
      <x:c r="X3219" s="2" t="str">
        <x:v>보완 회신 일정 확인</x:v>
      </x:c>
      <x:c r="Y3219" s="2" t="str">
        <x:v>22df6d619b696c1eba8e26790f6382083d9fb1bc48481283e3e8a92ea6897677</x:v>
      </x:c>
      <x:c r="Z3219" s="2" t="n">
        <x:f>SUBTOTAL(103,A3219)</x:f>
        <x:v>1</x:v>
      </x:c>
      <x:c r="AA3219" s="2" t="str">
        <x:f>IF(K3219&lt;&gt;"미종결 표시","대상 아님",IF(N3219="","신청일 확인",IF(NOT(ISNUMBER('종합 현황'!$H$5)),"관찰기준 확인",IF('종합 현황'!$H$5&lt;1,"관찰기준 확인",IF(N3219&gt;'종합 현황'!$H$5,"내부 관찰 대상","내부 관찰일 이하")))))</x:f>
        <x:v>내부 관찰 대상</x:v>
      </x:c>
      <x:c r="AB3219" s="2"/>
    </x:row>
    <x:row r="3220" ht="42" customHeight="1">
      <x:c r="A3220" s="2" t="str">
        <x:v>45d0f8c247e9388ac3d2f6bf</x:v>
      </x:c>
      <x:c r="B3220" s="2" t="str">
        <x:v>사업 비공개 신청</x:v>
      </x:c>
      <x:c r="C3220" s="2" t="str">
        <x:v>국외</x:v>
      </x:c>
      <x:c r="D3220" s="7" t="str">
        <x:v>인도 청정에너지 기기 보급 사업 (PoA 9181-CPA 29)</x:v>
      </x:c>
      <x:c r="E3220" s="2" t="str">
        <x:v>20</x:v>
      </x:c>
      <x:c r="F3220" s="2" t="str">
        <x:v>2020-12-10</x:v>
      </x:c>
      <x:c r="G3220" s="2" t="str">
        <x:v>2020</x:v>
      </x:c>
      <x:c r="H3220" s="2" t="str">
        <x:v>12</x:v>
      </x:c>
      <x:c r="I3220" s="2" t="str">
        <x:v>보완요청</x:v>
      </x:c>
      <x:c r="J3220" s="2" t="str">
        <x:v>보완요청</x:v>
      </x:c>
      <x:c r="K3220" s="2" t="str">
        <x:f>IF(OR(J3220="심의승인",J3220="반려",J3220="반려완료",J3220="심의완료"),"종결 표시",IF(OR(J3220="기후부협의",J3220="문서재제출요청",J3220="보류",J3220="보완요청",J3220="보완완료",J3220="평가중",J3220="반려요청",J3220="평가필요",LEFT(J3220,5)="보완요청("),"미종결 표시","상태 확인 필요"))</x:f>
        <x:v>미종결 표시</x:v>
      </x:c>
      <x:c r="L3220" s="2" t="str">
        <x:v>에코시안</x:v>
      </x:c>
      <x:c r="M3220" s="2"/>
      <x:c r="N3220" s="8" t="n">
        <x:f>DATE(2026,10,15)-DATE(2020,12,10)</x:f>
        <x:v>2135</x:v>
      </x:c>
      <x:c r="O3220" s="2"/>
      <x:c r="P3220" s="2" t="str">
        <x:v>보완 요청 필요(CPA 30번 사유와 동일)</x:v>
      </x:c>
      <x:c r="Q3220" s="2" t="str">
        <x:v>산업전환 외부사업 정보비공개 신청 관리 Tool_260707_LJY_261013.xlsx</x:v>
      </x:c>
      <x:c r="R3220" s="2" t="str">
        <x:v>(비공개)국외평가</x:v>
      </x:c>
      <x:c r="S3220" s="8" t="n">
        <x:v>21</x:v>
      </x:c>
      <x:c r="T3220" s="2"/>
      <x:c r="U3220" s="2" t="str"/>
      <x:c r="V3220" s="2" t="str">
        <x:v>2022-10-19</x:v>
      </x:c>
      <x:c r="W3220" s="2" t="str"/>
      <x:c r="X3220" s="2" t="str">
        <x:v>보완 회신 일정 확인</x:v>
      </x:c>
      <x:c r="Y3220" s="2" t="str">
        <x:v>22df6d619b696c1eba8e26790f6382083d9fb1bc48481283e3e8a92ea6897677</x:v>
      </x:c>
      <x:c r="Z3220" s="2" t="n">
        <x:f>SUBTOTAL(103,A3220)</x:f>
        <x:v>1</x:v>
      </x:c>
      <x:c r="AA3220" s="2" t="str">
        <x:f>IF(K3220&lt;&gt;"미종결 표시","대상 아님",IF(N3220="","신청일 확인",IF(NOT(ISNUMBER('종합 현황'!$H$5)),"관찰기준 확인",IF('종합 현황'!$H$5&lt;1,"관찰기준 확인",IF(N3220&gt;'종합 현황'!$H$5,"내부 관찰 대상","내부 관찰일 이하")))))</x:f>
        <x:v>내부 관찰 대상</x:v>
      </x:c>
      <x:c r="AB3220" s="2"/>
    </x:row>
    <x:row r="3221" ht="42" customHeight="1">
      <x:c r="A3221" s="2" t="str">
        <x:v>9fe00a74ee8d314f79231999</x:v>
      </x:c>
      <x:c r="B3221" s="2" t="str">
        <x:v>사업 비공개 신청</x:v>
      </x:c>
      <x:c r="C3221" s="2" t="str">
        <x:v>국외</x:v>
      </x:c>
      <x:c r="D3221" s="7" t="str">
        <x:v>인도 청정에너지 기기 보급 사업 (PoA 9181-CPA 30)</x:v>
      </x:c>
      <x:c r="E3221" s="2" t="str">
        <x:v>21</x:v>
      </x:c>
      <x:c r="F3221" s="2" t="str">
        <x:v>2020-12-10</x:v>
      </x:c>
      <x:c r="G3221" s="2" t="str">
        <x:v>2020</x:v>
      </x:c>
      <x:c r="H3221" s="2" t="str">
        <x:v>12</x:v>
      </x:c>
      <x:c r="I3221" s="2" t="str">
        <x:v>보완요청</x:v>
      </x:c>
      <x:c r="J3221" s="2" t="str">
        <x:v>보완요청</x:v>
      </x:c>
      <x:c r="K3221" s="2" t="str">
        <x:f>IF(OR(J3221="심의승인",J3221="반려",J3221="반려완료",J3221="심의완료"),"종결 표시",IF(OR(J3221="기후부협의",J3221="문서재제출요청",J3221="보류",J3221="보완요청",J3221="보완완료",J3221="평가중",J3221="반려요청",J3221="평가필요",LEFT(J3221,5)="보완요청("),"미종결 표시","상태 확인 필요"))</x:f>
        <x:v>미종결 표시</x:v>
      </x:c>
      <x:c r="L3221" s="2" t="str">
        <x:v>에코시안_기샛별</x:v>
      </x:c>
      <x:c r="M3221" s="2"/>
      <x:c r="N3221" s="8" t="n">
        <x:f>DATE(2026,10,15)-DATE(2020,12,10)</x:f>
        <x:v>2135</x:v>
      </x:c>
      <x:c r="O3221" s="2"/>
      <x:c r="P3221" s="2" t="str">
        <x:v>최종사용자 개인정보 및 사업계획서 상 영업기밀사항 등의 사유로 비공개 신청
(CSP) CPA 24-30_Verification Documents_MP10에는 개인정보가 포함되어 있으므로 비공개 부탁드립니다. 
 &gt; 태양광 사용자, 사업참여자 소속, 이름(p.12~15/검증을 위한 인터뷰 대상자)
(CSP) PoA 9181 CPA19-30 사업계획서_2020.12에는 영업기밀사항등이 포함되어 있으므로 비공개 부탁드립니다. 
 &gt; 사업비용 조달 방법(p.7 사업비 확보는 회사 자본금 및 대출이며 향후 필요 시 추가 증자 및 대출 예정 등/20.12.10 최초 신청 후 6번째 보완 시까지 사업계획서 첨부자료로 해당 파일이 업로드 되어 있었으며 이후부터 CPA30 DD로 업로드됨)
* 승인가능하나, 신청서 오류로 보완요청 필요</x:v>
      </x:c>
      <x:c r="Q3221" s="2" t="str">
        <x:v>산업전환 외부사업 정보비공개 신청 관리 Tool_260707_LJY_261013.xlsx</x:v>
      </x:c>
      <x:c r="R3221" s="2" t="str">
        <x:v>(비공개)국외평가</x:v>
      </x:c>
      <x:c r="S3221" s="8" t="n">
        <x:v>22</x:v>
      </x:c>
      <x:c r="T3221" s="2"/>
      <x:c r="U3221" s="2" t="str"/>
      <x:c r="V3221" s="2" t="str">
        <x:v>2022-06-03</x:v>
      </x:c>
      <x:c r="W3221" s="2" t="str"/>
      <x:c r="X3221" s="2" t="str">
        <x:v>보완 회신 일정 확인</x:v>
      </x:c>
      <x:c r="Y3221" s="2" t="str">
        <x:v>22df6d619b696c1eba8e26790f6382083d9fb1bc48481283e3e8a92ea6897677</x:v>
      </x:c>
      <x:c r="Z3221" s="2" t="n">
        <x:f>SUBTOTAL(103,A3221)</x:f>
        <x:v>1</x:v>
      </x:c>
      <x:c r="AA3221" s="2" t="str">
        <x:f>IF(K3221&lt;&gt;"미종결 표시","대상 아님",IF(N3221="","신청일 확인",IF(NOT(ISNUMBER('종합 현황'!$H$5)),"관찰기준 확인",IF('종합 현황'!$H$5&lt;1,"관찰기준 확인",IF(N3221&gt;'종합 현황'!$H$5,"내부 관찰 대상","내부 관찰일 이하")))))</x:f>
        <x:v>내부 관찰 대상</x:v>
      </x:c>
      <x:c r="AB3221" s="2"/>
    </x:row>
    <x:row r="3222" ht="42" customHeight="1">
      <x:c r="A3222" s="2" t="str">
        <x:v>16114a85411253e181c3aba8</x:v>
      </x:c>
      <x:c r="B3222" s="2" t="str">
        <x:v>사업 비공개 신청</x:v>
      </x:c>
      <x:c r="C3222" s="2" t="str">
        <x:v>국외</x:v>
      </x:c>
      <x:c r="D3222" s="7" t="str">
        <x:v>중국 파랍기여덕 풍력발전 프로젝트 감축사업</x:v>
      </x:c>
      <x:c r="E3222" s="2" t="str">
        <x:v>22</x:v>
      </x:c>
      <x:c r="F3222" s="2" t="str">
        <x:v>2023-01-12</x:v>
      </x:c>
      <x:c r="G3222" s="2" t="str">
        <x:v>2023</x:v>
      </x:c>
      <x:c r="H3222" s="2" t="str">
        <x:v>01</x:v>
      </x:c>
      <x:c r="I3222" s="2" t="str">
        <x:v>보완요청</x:v>
      </x:c>
      <x:c r="J3222" s="2" t="str">
        <x:v>보완요청</x:v>
      </x:c>
      <x:c r="K3222" s="2" t="str">
        <x:f>IF(OR(J3222="심의승인",J3222="반려",J3222="반려완료",J3222="심의완료"),"종결 표시",IF(OR(J3222="기후부협의",J3222="문서재제출요청",J3222="보류",J3222="보완요청",J3222="보완완료",J3222="평가중",J3222="반려요청",J3222="평가필요",LEFT(J3222,5)="보완요청("),"미종결 표시","상태 확인 필요"))</x:f>
        <x:v>미종결 표시</x:v>
      </x:c>
      <x:c r="L3222" s="2" t="str">
        <x:v>에코시안_조영우</x:v>
      </x:c>
      <x:c r="M3222" s="2"/>
      <x:c r="N3222" s="8" t="n">
        <x:f>DATE(2026,10,15)-DATE(2023,1,12)</x:f>
        <x:v>1372</x:v>
      </x:c>
      <x:c r="O3222" s="2"/>
      <x:c r="P3222" s="2" t="str">
        <x:v>사업계획서 내용 중 비공개 필요 부분 정확히 명시 필요(사업계획서 증빙자료는 정보공개 대상 아님))</x:v>
      </x:c>
      <x:c r="Q3222" s="2" t="str">
        <x:v>산업전환 외부사업 정보비공개 신청 관리 Tool_260707_LJY_261013.xlsx</x:v>
      </x:c>
      <x:c r="R3222" s="2" t="str">
        <x:v>(비공개)국외평가</x:v>
      </x:c>
      <x:c r="S3222" s="8" t="n">
        <x:v>23</x:v>
      </x:c>
      <x:c r="T3222" s="2"/>
      <x:c r="U3222" s="2" t="str"/>
      <x:c r="V3222" s="2" t="str">
        <x:v>2023-04-25</x:v>
      </x:c>
      <x:c r="W3222" s="2" t="str"/>
      <x:c r="X3222" s="2" t="str">
        <x:v>보완 회신 일정 확인</x:v>
      </x:c>
      <x:c r="Y3222" s="2" t="str">
        <x:v>22df6d619b696c1eba8e26790f6382083d9fb1bc48481283e3e8a92ea6897677</x:v>
      </x:c>
      <x:c r="Z3222" s="2" t="n">
        <x:f>SUBTOTAL(103,A3222)</x:f>
        <x:v>1</x:v>
      </x:c>
      <x:c r="AA3222" s="2" t="str">
        <x:f>IF(K3222&lt;&gt;"미종결 표시","대상 아님",IF(N3222="","신청일 확인",IF(NOT(ISNUMBER('종합 현황'!$H$5)),"관찰기준 확인",IF('종합 현황'!$H$5&lt;1,"관찰기준 확인",IF(N3222&gt;'종합 현황'!$H$5,"내부 관찰 대상","내부 관찰일 이하")))))</x:f>
        <x:v>내부 관찰 대상</x:v>
      </x:c>
      <x:c r="AB3222" s="2"/>
    </x:row>
    <x:row r="3223" ht="42" customHeight="1">
      <x:c r="A3223" s="2" t="str">
        <x:v>0f3ad8a0d9f4f93527e73b33</x:v>
      </x:c>
      <x:c r="B3223" s="2" t="str">
        <x:v>사업 비공개 신청</x:v>
      </x:c>
      <x:c r="C3223" s="2" t="str">
        <x:v>국외</x:v>
      </x:c>
      <x:c r="D3223" s="7" t="str">
        <x:v>중국 북표소탑자 풍력발전 프로젝트 감축사업</x:v>
      </x:c>
      <x:c r="E3223" s="2" t="str">
        <x:v>23</x:v>
      </x:c>
      <x:c r="F3223" s="2" t="str">
        <x:v>2023-01-12</x:v>
      </x:c>
      <x:c r="G3223" s="2" t="str">
        <x:v>2023</x:v>
      </x:c>
      <x:c r="H3223" s="2" t="str">
        <x:v>01</x:v>
      </x:c>
      <x:c r="I3223" s="2" t="str">
        <x:v>보완요청</x:v>
      </x:c>
      <x:c r="J3223" s="2" t="str">
        <x:v>보완요청</x:v>
      </x:c>
      <x:c r="K3223" s="2" t="str">
        <x:f>IF(OR(J3223="심의승인",J3223="반려",J3223="반려완료",J3223="심의완료"),"종결 표시",IF(OR(J3223="기후부협의",J3223="문서재제출요청",J3223="보류",J3223="보완요청",J3223="보완완료",J3223="평가중",J3223="반려요청",J3223="평가필요",LEFT(J3223,5)="보완요청("),"미종결 표시","상태 확인 필요"))</x:f>
        <x:v>미종결 표시</x:v>
      </x:c>
      <x:c r="L3223" s="2" t="str">
        <x:v>에코시안_조영우</x:v>
      </x:c>
      <x:c r="M3223" s="2"/>
      <x:c r="N3223" s="8" t="n">
        <x:f>DATE(2026,10,15)-DATE(2023,1,12)</x:f>
        <x:v>1372</x:v>
      </x:c>
      <x:c r="O3223" s="2"/>
      <x:c r="P3223" s="2" t="str">
        <x:v>사업계획서 내용 중 비공개 필요 부분 정확히 명시 필요(사업계획서 증빙자료는 정보공개 대상 아님))</x:v>
      </x:c>
      <x:c r="Q3223" s="2" t="str">
        <x:v>산업전환 외부사업 정보비공개 신청 관리 Tool_260707_LJY_261013.xlsx</x:v>
      </x:c>
      <x:c r="R3223" s="2" t="str">
        <x:v>(비공개)국외평가</x:v>
      </x:c>
      <x:c r="S3223" s="8" t="n">
        <x:v>24</x:v>
      </x:c>
      <x:c r="T3223" s="2"/>
      <x:c r="U3223" s="2" t="str"/>
      <x:c r="V3223" s="2" t="str">
        <x:v>2023-04-25</x:v>
      </x:c>
      <x:c r="W3223" s="2" t="str"/>
      <x:c r="X3223" s="2" t="str">
        <x:v>보완 회신 일정 확인</x:v>
      </x:c>
      <x:c r="Y3223" s="2" t="str">
        <x:v>22df6d619b696c1eba8e26790f6382083d9fb1bc48481283e3e8a92ea6897677</x:v>
      </x:c>
      <x:c r="Z3223" s="2" t="n">
        <x:f>SUBTOTAL(103,A3223)</x:f>
        <x:v>1</x:v>
      </x:c>
      <x:c r="AA3223" s="2" t="str">
        <x:f>IF(K3223&lt;&gt;"미종결 표시","대상 아님",IF(N3223="","신청일 확인",IF(NOT(ISNUMBER('종합 현황'!$H$5)),"관찰기준 확인",IF('종합 현황'!$H$5&lt;1,"관찰기준 확인",IF(N3223&gt;'종합 현황'!$H$5,"내부 관찰 대상","내부 관찰일 이하")))))</x:f>
        <x:v>내부 관찰 대상</x:v>
      </x:c>
      <x:c r="AB3223" s="2"/>
    </x:row>
    <x:row r="3224" ht="42" customHeight="1">
      <x:c r="A3224" s="2" t="str">
        <x:v>fe3ed9764bf35c8ad287dc4c</x:v>
      </x:c>
      <x:c r="B3224" s="2" t="str">
        <x:v>사업 비공개 신청</x:v>
      </x:c>
      <x:c r="C3224" s="2" t="str">
        <x:v>국외</x:v>
      </x:c>
      <x:c r="D3224" s="7" t="str">
        <x:v>중국 객좌쌍묘 풍력발전 프로젝트 감축사업</x:v>
      </x:c>
      <x:c r="E3224" s="2" t="str">
        <x:v>24</x:v>
      </x:c>
      <x:c r="F3224" s="2" t="str">
        <x:v>2023-01-12</x:v>
      </x:c>
      <x:c r="G3224" s="2" t="str">
        <x:v>2023</x:v>
      </x:c>
      <x:c r="H3224" s="2" t="str">
        <x:v>01</x:v>
      </x:c>
      <x:c r="I3224" s="2" t="str">
        <x:v>보완요청</x:v>
      </x:c>
      <x:c r="J3224" s="2" t="str">
        <x:v>보완요청</x:v>
      </x:c>
      <x:c r="K3224" s="2" t="str">
        <x:f>IF(OR(J3224="심의승인",J3224="반려",J3224="반려완료",J3224="심의완료"),"종결 표시",IF(OR(J3224="기후부협의",J3224="문서재제출요청",J3224="보류",J3224="보완요청",J3224="보완완료",J3224="평가중",J3224="반려요청",J3224="평가필요",LEFT(J3224,5)="보완요청("),"미종결 표시","상태 확인 필요"))</x:f>
        <x:v>미종결 표시</x:v>
      </x:c>
      <x:c r="L3224" s="2" t="str">
        <x:v>에코시안_조영우</x:v>
      </x:c>
      <x:c r="M3224" s="2"/>
      <x:c r="N3224" s="8" t="n">
        <x:f>DATE(2026,10,15)-DATE(2023,1,12)</x:f>
        <x:v>1372</x:v>
      </x:c>
      <x:c r="O3224" s="2"/>
      <x:c r="P3224" s="2" t="str">
        <x:v>사업계획서 내용 중 비공개 필요 부분 정확히 명시 필요(사업계획서 증빙자료는 정보공개 대상 아님))</x:v>
      </x:c>
      <x:c r="Q3224" s="2" t="str">
        <x:v>산업전환 외부사업 정보비공개 신청 관리 Tool_260707_LJY_261013.xlsx</x:v>
      </x:c>
      <x:c r="R3224" s="2" t="str">
        <x:v>(비공개)국외평가</x:v>
      </x:c>
      <x:c r="S3224" s="8" t="n">
        <x:v>25</x:v>
      </x:c>
      <x:c r="T3224" s="2"/>
      <x:c r="U3224" s="2" t="str"/>
      <x:c r="V3224" s="2" t="str">
        <x:v>2023-04-25</x:v>
      </x:c>
      <x:c r="W3224" s="2" t="str"/>
      <x:c r="X3224" s="2" t="str">
        <x:v>보완 회신 일정 확인</x:v>
      </x:c>
      <x:c r="Y3224" s="2" t="str">
        <x:v>22df6d619b696c1eba8e26790f6382083d9fb1bc48481283e3e8a92ea6897677</x:v>
      </x:c>
      <x:c r="Z3224" s="2" t="n">
        <x:f>SUBTOTAL(103,A3224)</x:f>
        <x:v>1</x:v>
      </x:c>
      <x:c r="AA3224" s="2" t="str">
        <x:f>IF(K3224&lt;&gt;"미종결 표시","대상 아님",IF(N3224="","신청일 확인",IF(NOT(ISNUMBER('종합 현황'!$H$5)),"관찰기준 확인",IF('종합 현황'!$H$5&lt;1,"관찰기준 확인",IF(N3224&gt;'종합 현황'!$H$5,"내부 관찰 대상","내부 관찰일 이하")))))</x:f>
        <x:v>내부 관찰 대상</x:v>
      </x:c>
      <x:c r="AB3224" s="2"/>
    </x:row>
    <x:row r="3225" ht="42" customHeight="1">
      <x:c r="A3225" s="2" t="str">
        <x:v>8ecd0ed3daeb07136376fdcf</x:v>
      </x:c>
      <x:c r="B3225" s="2" t="str">
        <x:v>인증 비공개 신청</x:v>
      </x:c>
      <x:c r="C3225" s="2" t="str">
        <x:v>국내</x:v>
      </x:c>
      <x:c r="D3225" s="7" t="str">
        <x:v>원주시 보안등 LED교체 ESCO용역사업</x:v>
      </x:c>
      <x:c r="E3225" s="2" t="str">
        <x:v>1</x:v>
      </x:c>
      <x:c r="F3225" s="2" t="str">
        <x:v>2026-05-20</x:v>
      </x:c>
      <x:c r="G3225" s="2" t="str">
        <x:v>2026</x:v>
      </x:c>
      <x:c r="H3225" s="2" t="str">
        <x:v>05</x:v>
      </x:c>
      <x:c r="I3225" s="2" t="str">
        <x:v>보완요청</x:v>
      </x:c>
      <x:c r="J3225" s="2" t="str">
        <x:v>보완요청</x:v>
      </x:c>
      <x:c r="K3225" s="2" t="str">
        <x:f>IF(OR(J3225="심의승인",J3225="반려",J3225="반려완료",J3225="심의완료"),"종결 표시",IF(OR(J3225="기후부협의",J3225="문서재제출요청",J3225="보류",J3225="보완요청",J3225="보완완료",J3225="평가중",J3225="반려요청",J3225="평가필요",LEFT(J3225,5)="보완요청("),"미종결 표시","상태 확인 필요"))</x:f>
        <x:v>미종결 표시</x:v>
      </x:c>
      <x:c r="L3225" s="2" t="str">
        <x:v>에코시안_남혜원</x:v>
      </x:c>
      <x:c r="M3225" s="2"/>
      <x:c r="N3225" s="8" t="n">
        <x:f>DATE(2026,10,15)-DATE(2026,5,20)</x:f>
        <x:v>148</x:v>
      </x:c>
      <x:c r="O3225" s="2"/>
      <x:c r="P3225" s="2" t="str">
        <x:v>&lt;신청사유&gt;
본 외부사업의 사업계획서 상 비공개를 희망하는 부분 및 그 사유를 다음과 같이 기술함.
1.2. 사업의 위치 (1) 사업의 주소, 보안등 관리번호
  - 이 사업의 대상인 도로조명의 주소, 등번호는 중요한 정보이며, 그 목록 전체를 원
주시가 일반에게 공개할 의무는 없으며, 오남용될 가능성도 있어 원주시는 이 정보의
공개를 원하지 않음 
[근거: 공공기관의 정보공개에 관한 법률 제9조제1항제5호]
4. 모니터링 데이터 및 지표
 - 본 외부사업의 베이스라인 및 모니터링 방법 등이 원주시 고유의 특성을 반영하여 구체적으로 기술되어 있기 때문에 정보공개를 원하지 않음. 또한, 이 보고서를 작성하기 위하여 원주시가 오랜 기간 동안 시간과 노력과 예산을 투자하여 작성한 영구성과물이기 때문에 무상으로 이를 일반인에게 공개하는 것은 공평하지 못하며, 시장질서에도 바람직하지 않다고 사료되므로 원주시는 비공개를 요청함
[근거: 공공기관의 정보공개에 관한 법률 제9조제1항제5호,제7호]
&lt;1차 통보&gt;
∙ 「명세서 공개 심사위원회 구성 및 운영에 관한 규정」 [별표1]에 따라 비공개 신청사유를 하기와 같이 보완 요청 드립니다.
  - 모니터링보고서, 검증 보고서 내용 중 보안유지 필요 부분, 위치(page) 및 사유 구체화(증빙자료는 정보공개 대상 아님)
  - 필요 시 정보 비공개사유에 대한 증빙자료 제출 요청
∙ 단, 투명성 원칙에 따라 민감사항이 모니터링보고서, 검증 보고서 내 문서에 포함되지 않아도 되는 경우(필수 작성 항목이 아닌 경우) 해당 사항은 증빙자료로만 제출하고 본 비공개 신청건은 철회 신청해주시기 바랍니다.</x:v>
      </x:c>
      <x:c r="Q3225" s="2" t="str">
        <x:v>산업전환 외부사업 정보비공개 신청 관리 Tool_260707_LJY_261013.xlsx</x:v>
      </x:c>
      <x:c r="R3225" s="2" t="str">
        <x:v>(비공개)국내인증</x:v>
      </x:c>
      <x:c r="S3225" s="8" t="n">
        <x:v>3</x:v>
      </x:c>
      <x:c r="T3225" s="2"/>
      <x:c r="U3225" s="2" t="str"/>
      <x:c r="V3225" s="2" t="str">
        <x:v>2026-05-22</x:v>
      </x:c>
      <x:c r="W3225" s="2" t="str"/>
      <x:c r="X3225" s="2" t="str">
        <x:v>보완 회신 일정 확인</x:v>
      </x:c>
      <x:c r="Y3225" s="2" t="str">
        <x:v>22df6d619b696c1eba8e26790f6382083d9fb1bc48481283e3e8a92ea6897677</x:v>
      </x:c>
      <x:c r="Z3225" s="2" t="n">
        <x:f>SUBTOTAL(103,A3225)</x:f>
        <x:v>1</x:v>
      </x:c>
      <x:c r="AA3225" s="2" t="str">
        <x:f>IF(K3225&lt;&gt;"미종결 표시","대상 아님",IF(N3225="","신청일 확인",IF(NOT(ISNUMBER('종합 현황'!$H$5)),"관찰기준 확인",IF('종합 현황'!$H$5&lt;1,"관찰기준 확인",IF(N3225&gt;'종합 현황'!$H$5,"내부 관찰 대상","내부 관찰일 이하")))))</x:f>
        <x:v>내부 관찰 대상</x:v>
      </x:c>
      <x:c r="AB3225" s="2"/>
    </x:row>
    <x:row r="3226" ht="42" customHeight="1">
      <x:c r="A3226" s="2" t="str">
        <x:v>e7a8048190824970a6b1eeee</x:v>
      </x:c>
      <x:c r="B3226" s="2" t="str">
        <x:v>인증 비공개 신청</x:v>
      </x:c>
      <x:c r="C3226" s="2" t="str">
        <x:v>국내</x:v>
      </x:c>
      <x:c r="D3226" s="7" t="str">
        <x:v>2015년 춘천시 도로조명 LED 교체를 통한 묶음 감축사업</x:v>
      </x:c>
      <x:c r="E3226" s="2" t="str">
        <x:v>2</x:v>
      </x:c>
      <x:c r="F3226" s="2" t="str">
        <x:v>2024-08-26</x:v>
      </x:c>
      <x:c r="G3226" s="2" t="str">
        <x:v>2024</x:v>
      </x:c>
      <x:c r="H3226" s="2" t="str">
        <x:v>08</x:v>
      </x:c>
      <x:c r="I3226" s="2" t="str">
        <x:v>심의완료</x:v>
      </x:c>
      <x:c r="J3226" s="2" t="str">
        <x:v>심의승인</x:v>
      </x:c>
      <x:c r="K3226" s="2" t="str">
        <x:f>IF(OR(J3226="심의승인",J3226="반려",J3226="반려완료",J3226="심의완료"),"종결 표시",IF(OR(J3226="기후부협의",J3226="문서재제출요청",J3226="보류",J3226="보완요청",J3226="보완완료",J3226="평가중",J3226="반려요청",J3226="평가필요",LEFT(J3226,5)="보완요청("),"미종결 표시","상태 확인 필요"))</x:f>
        <x:v>종결 표시</x:v>
      </x:c>
      <x:c r="L3226" s="2" t="str">
        <x:v>에코시안_조영우</x:v>
      </x:c>
      <x:c r="M3226" s="2"/>
      <x:c r="N3226" s="8" t="n">
        <x:f>DATE(2026,10,15)-DATE(2024,8,26)</x:f>
        <x:v>780</x:v>
      </x:c>
      <x:c r="O3226" s="2"/>
      <x:c r="P3226" s="2" t="str">
        <x:v>심의 승인</x:v>
      </x:c>
      <x:c r="Q3226" s="2" t="str">
        <x:v>산업전환 외부사업 정보비공개 신청 관리 Tool_260707_LJY_261013.xlsx</x:v>
      </x:c>
      <x:c r="R3226" s="2" t="str">
        <x:v>(비공개)국내인증</x:v>
      </x:c>
      <x:c r="S3226" s="8" t="n">
        <x:v>4</x:v>
      </x:c>
      <x:c r="T3226" s="2"/>
      <x:c r="U3226" s="2" t="str"/>
      <x:c r="V3226" s="2" t="str">
        <x:v>2025-06-12</x:v>
      </x:c>
      <x:c r="W3226" s="2" t="str"/>
      <x:c r="X3226" s="2" t="str">
        <x:v>종결 근거 보관</x:v>
      </x:c>
      <x:c r="Y3226" s="2" t="str">
        <x:v>22df6d619b696c1eba8e26790f6382083d9fb1bc48481283e3e8a92ea6897677</x:v>
      </x:c>
      <x:c r="Z3226" s="2" t="n">
        <x:f>SUBTOTAL(103,A3226)</x:f>
        <x:v>1</x:v>
      </x:c>
      <x:c r="AA3226" s="2" t="str">
        <x:f>IF(K3226&lt;&gt;"미종결 표시","대상 아님",IF(N3226="","신청일 확인",IF(NOT(ISNUMBER('종합 현황'!$H$5)),"관찰기준 확인",IF('종합 현황'!$H$5&lt;1,"관찰기준 확인",IF(N3226&gt;'종합 현황'!$H$5,"내부 관찰 대상","내부 관찰일 이하")))))</x:f>
        <x:v>대상 아님</x:v>
      </x:c>
      <x:c r="AB3226" s="2"/>
    </x:row>
    <x:row r="3227" ht="42" customHeight="1">
      <x:c r="A3227" s="2" t="str">
        <x:v>bc8a16b5e82747c3ec1553b1</x:v>
      </x:c>
      <x:c r="B3227" s="2" t="str">
        <x:v>인증 비공개 신청</x:v>
      </x:c>
      <x:c r="C3227" s="2" t="str">
        <x:v>국내</x:v>
      </x:c>
      <x:c r="D3227" s="7" t="str">
        <x:v>에이스침대 중부공장의 B-C유에서 도시가스(LNG)로 연료전환을 통한 온실가스 배출 감축사업</x:v>
      </x:c>
      <x:c r="E3227" s="2" t="str">
        <x:v>3</x:v>
      </x:c>
      <x:c r="F3227" s="2" t="str">
        <x:v>2024-07-17</x:v>
      </x:c>
      <x:c r="G3227" s="2" t="str">
        <x:v>2024</x:v>
      </x:c>
      <x:c r="H3227" s="2" t="str">
        <x:v>07</x:v>
      </x:c>
      <x:c r="I3227" s="2" t="str">
        <x:v>심의완료</x:v>
      </x:c>
      <x:c r="J3227" s="2" t="str">
        <x:v>심의승인</x:v>
      </x:c>
      <x:c r="K3227" s="2" t="str">
        <x:f>IF(OR(J3227="심의승인",J3227="반려",J3227="반려완료",J3227="심의완료"),"종결 표시",IF(OR(J3227="기후부협의",J3227="문서재제출요청",J3227="보류",J3227="보완요청",J3227="보완완료",J3227="평가중",J3227="반려요청",J3227="평가필요",LEFT(J3227,5)="보완요청("),"미종결 표시","상태 확인 필요"))</x:f>
        <x:v>종결 표시</x:v>
      </x:c>
      <x:c r="L3227" s="2" t="str">
        <x:v>에코시안_조은지</x:v>
      </x:c>
      <x:c r="M3227" s="2"/>
      <x:c r="N3227" s="8" t="n">
        <x:f>DATE(2026,10,15)-DATE(2024,7,17)</x:f>
        <x:v>820</x:v>
      </x:c>
      <x:c r="O3227" s="2"/>
      <x:c r="P3227" s="2" t="str">
        <x:v>검토 기준 변경 전 승인 사업</x:v>
      </x:c>
      <x:c r="Q3227" s="2" t="str">
        <x:v>산업전환 외부사업 정보비공개 신청 관리 Tool_260707_LJY_261013.xlsx</x:v>
      </x:c>
      <x:c r="R3227" s="2" t="str">
        <x:v>(비공개)국내인증</x:v>
      </x:c>
      <x:c r="S3227" s="8" t="n">
        <x:v>5</x:v>
      </x:c>
      <x:c r="T3227" s="2"/>
      <x:c r="U3227" s="2" t="str"/>
      <x:c r="V3227" s="2" t="str">
        <x:v>2024-09-19</x:v>
      </x:c>
      <x:c r="W3227" s="2" t="str"/>
      <x:c r="X3227" s="2" t="str">
        <x:v>종결 근거 보관</x:v>
      </x:c>
      <x:c r="Y3227" s="2" t="str">
        <x:v>22df6d619b696c1eba8e26790f6382083d9fb1bc48481283e3e8a92ea6897677</x:v>
      </x:c>
      <x:c r="Z3227" s="2" t="n">
        <x:f>SUBTOTAL(103,A3227)</x:f>
        <x:v>1</x:v>
      </x:c>
      <x:c r="AA3227" s="2" t="str">
        <x:f>IF(K3227&lt;&gt;"미종결 표시","대상 아님",IF(N3227="","신청일 확인",IF(NOT(ISNUMBER('종합 현황'!$H$5)),"관찰기준 확인",IF('종합 현황'!$H$5&lt;1,"관찰기준 확인",IF(N3227&gt;'종합 현황'!$H$5,"내부 관찰 대상","내부 관찰일 이하")))))</x:f>
        <x:v>대상 아님</x:v>
      </x:c>
      <x:c r="AB3227" s="2"/>
    </x:row>
    <x:row r="3228" ht="42" customHeight="1">
      <x:c r="A3228" s="2" t="str">
        <x:v>edc61e6c1aeca7ebf4133d62</x:v>
      </x:c>
      <x:c r="B3228" s="2" t="str">
        <x:v>인증 비공개 신청</x:v>
      </x:c>
      <x:c r="C3228" s="2" t="str">
        <x:v>국내</x:v>
      </x:c>
      <x:c r="D3228" s="7" t="str">
        <x:v>카프로 N2O 저감 사업</x:v>
      </x:c>
      <x:c r="E3228" s="2" t="str">
        <x:v>4</x:v>
      </x:c>
      <x:c r="F3228" s="2" t="str">
        <x:v>2024-01-24</x:v>
      </x:c>
      <x:c r="G3228" s="2" t="str">
        <x:v>2024</x:v>
      </x:c>
      <x:c r="H3228" s="2" t="str">
        <x:v>01</x:v>
      </x:c>
      <x:c r="I3228" s="2" t="str">
        <x:v>보완요청</x:v>
      </x:c>
      <x:c r="J3228" s="2" t="str">
        <x:v>보완요청</x:v>
      </x:c>
      <x:c r="K3228" s="2" t="str">
        <x:f>IF(OR(J3228="심의승인",J3228="반려",J3228="반려완료",J3228="심의완료"),"종결 표시",IF(OR(J3228="기후부협의",J3228="문서재제출요청",J3228="보류",J3228="보완요청",J3228="보완완료",J3228="평가중",J3228="반려요청",J3228="평가필요",LEFT(J3228,5)="보완요청("),"미종결 표시","상태 확인 필요"))</x:f>
        <x:v>미종결 표시</x:v>
      </x:c>
      <x:c r="L3228" s="2" t="str">
        <x:v>에코시안_조영우</x:v>
      </x:c>
      <x:c r="M3228" s="2"/>
      <x:c r="N3228" s="8" t="n">
        <x:f>DATE(2026,10,15)-DATE(2024,1,24)</x:f>
        <x:v>995</x:v>
      </x:c>
      <x:c r="O3228" s="2"/>
      <x:c r="P3228" s="2" t="str">
        <x:v>모니터링보고서 및 검증보고서 내 비공개 필요 부분 정확히 명시 필요(모니터링보고서 증빙자료는 정보공개 대상 아님)</x:v>
      </x:c>
      <x:c r="Q3228" s="2" t="str">
        <x:v>산업전환 외부사업 정보비공개 신청 관리 Tool_260707_LJY_261013.xlsx</x:v>
      </x:c>
      <x:c r="R3228" s="2" t="str">
        <x:v>(비공개)국내인증</x:v>
      </x:c>
      <x:c r="S3228" s="8" t="n">
        <x:v>6</x:v>
      </x:c>
      <x:c r="T3228" s="2"/>
      <x:c r="U3228" s="2" t="str"/>
      <x:c r="V3228" s="2" t="str">
        <x:v>2024-06-17</x:v>
      </x:c>
      <x:c r="W3228" s="2" t="str"/>
      <x:c r="X3228" s="2" t="str">
        <x:v>보완 회신 일정 확인</x:v>
      </x:c>
      <x:c r="Y3228" s="2" t="str">
        <x:v>22df6d619b696c1eba8e26790f6382083d9fb1bc48481283e3e8a92ea6897677</x:v>
      </x:c>
      <x:c r="Z3228" s="2" t="n">
        <x:f>SUBTOTAL(103,A3228)</x:f>
        <x:v>1</x:v>
      </x:c>
      <x:c r="AA3228" s="2" t="str">
        <x:f>IF(K3228&lt;&gt;"미종결 표시","대상 아님",IF(N3228="","신청일 확인",IF(NOT(ISNUMBER('종합 현황'!$H$5)),"관찰기준 확인",IF('종합 현황'!$H$5&lt;1,"관찰기준 확인",IF(N3228&gt;'종합 현황'!$H$5,"내부 관찰 대상","내부 관찰일 이하")))))</x:f>
        <x:v>내부 관찰 대상</x:v>
      </x:c>
      <x:c r="AB3228" s="2"/>
    </x:row>
    <x:row r="3229" ht="42" customHeight="1">
      <x:c r="A3229" s="2" t="str">
        <x:v>fde1c28eeb1e12e4854148d1</x:v>
      </x:c>
      <x:c r="B3229" s="2" t="str">
        <x:v>인증 비공개 신청</x:v>
      </x:c>
      <x:c r="C3229" s="2" t="str">
        <x:v>국내</x:v>
      </x:c>
      <x:c r="D3229" s="7" t="str">
        <x:v>덕성 인천사업장의 B-A유 및 B-C유에서 LNG로 연료전환을 통한 온실가스 배출 감축사업</x:v>
      </x:c>
      <x:c r="E3229" s="2" t="str">
        <x:v>5</x:v>
      </x:c>
      <x:c r="F3229" s="2" t="str">
        <x:v>2023-11-24</x:v>
      </x:c>
      <x:c r="G3229" s="2" t="str">
        <x:v>2023</x:v>
      </x:c>
      <x:c r="H3229" s="2" t="str">
        <x:v>11</x:v>
      </x:c>
      <x:c r="I3229" s="2" t="str">
        <x:v>보완요청</x:v>
      </x:c>
      <x:c r="J3229" s="2" t="str">
        <x:v>보완요청</x:v>
      </x:c>
      <x:c r="K3229" s="2" t="str">
        <x:f>IF(OR(J3229="심의승인",J3229="반려",J3229="반려완료",J3229="심의완료"),"종결 표시",IF(OR(J3229="기후부협의",J3229="문서재제출요청",J3229="보류",J3229="보완요청",J3229="보완완료",J3229="평가중",J3229="반려요청",J3229="평가필요",LEFT(J3229,5)="보완요청("),"미종결 표시","상태 확인 필요"))</x:f>
        <x:v>미종결 표시</x:v>
      </x:c>
      <x:c r="L3229" s="2" t="str">
        <x:v>에코시안_조영우</x:v>
      </x:c>
      <x:c r="M3229" s="2"/>
      <x:c r="N3229" s="8" t="n">
        <x:f>DATE(2026,10,15)-DATE(2023,11,24)</x:f>
        <x:v>1056</x:v>
      </x:c>
      <x:c r="O3229" s="2"/>
      <x:c r="P3229" s="2" t="str">
        <x:v>모니터링보고서 및 검증보고서 내 비공개 필요 부분 정확히 명시 필요(모니터링보고서 증빙자료는 정보공개 대상 아님)</x:v>
      </x:c>
      <x:c r="Q3229" s="2" t="str">
        <x:v>산업전환 외부사업 정보비공개 신청 관리 Tool_260707_LJY_261013.xlsx</x:v>
      </x:c>
      <x:c r="R3229" s="2" t="str">
        <x:v>(비공개)국내인증</x:v>
      </x:c>
      <x:c r="S3229" s="8" t="n">
        <x:v>7</x:v>
      </x:c>
      <x:c r="T3229" s="2"/>
      <x:c r="U3229" s="2" t="str"/>
      <x:c r="V3229" s="2" t="str">
        <x:v>2024-06-17</x:v>
      </x:c>
      <x:c r="W3229" s="2" t="str"/>
      <x:c r="X3229" s="2" t="str">
        <x:v>보완 회신 일정 확인</x:v>
      </x:c>
      <x:c r="Y3229" s="2" t="str">
        <x:v>22df6d619b696c1eba8e26790f6382083d9fb1bc48481283e3e8a92ea6897677</x:v>
      </x:c>
      <x:c r="Z3229" s="2" t="n">
        <x:f>SUBTOTAL(103,A3229)</x:f>
        <x:v>1</x:v>
      </x:c>
      <x:c r="AA3229" s="2" t="str">
        <x:f>IF(K3229&lt;&gt;"미종결 표시","대상 아님",IF(N3229="","신청일 확인",IF(NOT(ISNUMBER('종합 현황'!$H$5)),"관찰기준 확인",IF('종합 현황'!$H$5&lt;1,"관찰기준 확인",IF(N3229&gt;'종합 현황'!$H$5,"내부 관찰 대상","내부 관찰일 이하")))))</x:f>
        <x:v>내부 관찰 대상</x:v>
      </x:c>
      <x:c r="AB3229" s="2"/>
    </x:row>
    <x:row r="3230" ht="42" customHeight="1">
      <x:c r="A3230" s="2" t="str">
        <x:v>9b405d5a114c4eb0a6c30b0c</x:v>
      </x:c>
      <x:c r="B3230" s="2" t="str">
        <x:v>인증 비공개 신청</x:v>
      </x:c>
      <x:c r="C3230" s="2" t="str">
        <x:v>국내</x:v>
      </x:c>
      <x:c r="D3230" s="7" t="str">
        <x:v>카프로 N2O 저감 사업</x:v>
      </x:c>
      <x:c r="E3230" s="2" t="str">
        <x:v>6</x:v>
      </x:c>
      <x:c r="F3230" s="2" t="str">
        <x:v>2024-01-24</x:v>
      </x:c>
      <x:c r="G3230" s="2" t="str">
        <x:v>2024</x:v>
      </x:c>
      <x:c r="H3230" s="2" t="str">
        <x:v>01</x:v>
      </x:c>
      <x:c r="I3230" s="2" t="str">
        <x:v>반려</x:v>
      </x:c>
      <x:c r="J3230" s="2" t="str">
        <x:v>선택</x:v>
      </x:c>
      <x:c r="K3230" s="2" t="str">
        <x:f>IF(OR(J3230="심의승인",J3230="반려",J3230="반려완료",J3230="심의완료"),"종결 표시",IF(OR(J3230="기후부협의",J3230="문서재제출요청",J3230="보류",J3230="보완요청",J3230="보완완료",J3230="평가중",J3230="반려요청",J3230="평가필요",LEFT(J3230,5)="보완요청("),"미종결 표시","상태 확인 필요"))</x:f>
        <x:v>상태 확인 필요</x:v>
      </x:c>
      <x:c r="L3230" s="2"/>
      <x:c r="M3230" s="2"/>
      <x:c r="N3230" s="8" t="n">
        <x:f>DATE(2026,10,15)-DATE(2024,1,24)</x:f>
        <x:v>995</x:v>
      </x:c>
      <x:c r="O3230" s="2"/>
      <x:c r="P3230" s="2" t="str">
        <x:v>반려 완료, 외부사업이 평가/인증 단계에서 반려</x:v>
      </x:c>
      <x:c r="Q3230" s="2" t="str">
        <x:v>산업전환 외부사업 정보비공개 신청 관리 Tool_260707_LJY_261013.xlsx</x:v>
      </x:c>
      <x:c r="R3230" s="2" t="str">
        <x:v>(비공개)국내인증</x:v>
      </x:c>
      <x:c r="S3230" s="8" t="n">
        <x:v>8</x:v>
      </x:c>
      <x:c r="T3230" s="2"/>
      <x:c r="U3230" s="2" t="str"/>
      <x:c r="V3230" s="2" t="str">
        <x:v>2024-06-17</x:v>
      </x:c>
      <x:c r="W3230" s="2" t="str">
        <x:v>담당기관 확인 / 종결 여부 확인</x:v>
      </x:c>
      <x:c r="X3230" s="2" t="str">
        <x:v>원본·배정 기록 확인</x:v>
      </x:c>
      <x:c r="Y3230" s="2" t="str">
        <x:v>22df6d619b696c1eba8e26790f6382083d9fb1bc48481283e3e8a92ea6897677</x:v>
      </x:c>
      <x:c r="Z3230" s="2" t="n">
        <x:f>SUBTOTAL(103,A3230)</x:f>
        <x:v>1</x:v>
      </x:c>
      <x:c r="AA3230" s="2" t="str">
        <x:f>IF(K3230&lt;&gt;"미종결 표시","대상 아님",IF(N3230="","신청일 확인",IF(NOT(ISNUMBER('종합 현황'!$H$5)),"관찰기준 확인",IF('종합 현황'!$H$5&lt;1,"관찰기준 확인",IF(N3230&gt;'종합 현황'!$H$5,"내부 관찰 대상","내부 관찰일 이하")))))</x:f>
        <x:v>대상 아님</x:v>
      </x:c>
      <x:c r="AB3230" s="2"/>
    </x:row>
    <x:row r="3231" ht="42" customHeight="1">
      <x:c r="A3231" s="2" t="str">
        <x:v>18f8cfbc75f3adbbb321bd33</x:v>
      </x:c>
      <x:c r="B3231" s="2" t="str">
        <x:v>인증 비공개 신청</x:v>
      </x:c>
      <x:c r="C3231" s="2" t="str">
        <x:v>국내</x:v>
      </x:c>
      <x:c r="D3231" s="7" t="str">
        <x:v>에이스침대 여주공장의 B-C유에서 도시가스(LNG)로 연료전환을 통한 온실가스 배출 감축사업</x:v>
      </x:c>
      <x:c r="E3231" s="2" t="str">
        <x:v>7</x:v>
      </x:c>
      <x:c r="F3231" s="2" t="str">
        <x:v>2022-11-30</x:v>
      </x:c>
      <x:c r="G3231" s="2" t="str">
        <x:v>2022</x:v>
      </x:c>
      <x:c r="H3231" s="2" t="str">
        <x:v>11</x:v>
      </x:c>
      <x:c r="I3231" s="2" t="str">
        <x:v>보완요청</x:v>
      </x:c>
      <x:c r="J3231" s="2" t="str">
        <x:v>보완요청</x:v>
      </x:c>
      <x:c r="K3231" s="2" t="str">
        <x:f>IF(OR(J3231="심의승인",J3231="반려",J3231="반려완료",J3231="심의완료"),"종결 표시",IF(OR(J3231="기후부협의",J3231="문서재제출요청",J3231="보류",J3231="보완요청",J3231="보완완료",J3231="평가중",J3231="반려요청",J3231="평가필요",LEFT(J3231,5)="보완요청("),"미종결 표시","상태 확인 필요"))</x:f>
        <x:v>미종결 표시</x:v>
      </x:c>
      <x:c r="L3231" s="2" t="str">
        <x:v>에코시안_조영우</x:v>
      </x:c>
      <x:c r="M3231" s="2"/>
      <x:c r="N3231" s="8" t="n">
        <x:f>DATE(2026,10,15)-DATE(2022,11,30)</x:f>
        <x:v>1415</x:v>
      </x:c>
      <x:c r="O3231" s="2"/>
      <x:c r="P3231" s="2" t="str">
        <x:v>모니터링보고서 및 검증보고서 내 보안유지 필요부분 구체화 필요</x:v>
      </x:c>
      <x:c r="Q3231" s="2" t="str">
        <x:v>산업전환 외부사업 정보비공개 신청 관리 Tool_260707_LJY_261013.xlsx</x:v>
      </x:c>
      <x:c r="R3231" s="2" t="str">
        <x:v>(비공개)국내인증</x:v>
      </x:c>
      <x:c r="S3231" s="8" t="n">
        <x:v>9</x:v>
      </x:c>
      <x:c r="T3231" s="2"/>
      <x:c r="U3231" s="2" t="str"/>
      <x:c r="V3231" s="2" t="str">
        <x:v>2023-06-19</x:v>
      </x:c>
      <x:c r="W3231" s="2" t="str"/>
      <x:c r="X3231" s="2" t="str">
        <x:v>보완 회신 일정 확인</x:v>
      </x:c>
      <x:c r="Y3231" s="2" t="str">
        <x:v>22df6d619b696c1eba8e26790f6382083d9fb1bc48481283e3e8a92ea6897677</x:v>
      </x:c>
      <x:c r="Z3231" s="2" t="n">
        <x:f>SUBTOTAL(103,A3231)</x:f>
        <x:v>1</x:v>
      </x:c>
      <x:c r="AA3231" s="2" t="str">
        <x:f>IF(K3231&lt;&gt;"미종결 표시","대상 아님",IF(N3231="","신청일 확인",IF(NOT(ISNUMBER('종합 현황'!$H$5)),"관찰기준 확인",IF('종합 현황'!$H$5&lt;1,"관찰기준 확인",IF(N3231&gt;'종합 현황'!$H$5,"내부 관찰 대상","내부 관찰일 이하")))))</x:f>
        <x:v>내부 관찰 대상</x:v>
      </x:c>
      <x:c r="AB3231" s="2"/>
    </x:row>
    <x:row r="3232" ht="42" customHeight="1">
      <x:c r="A3232" s="2" t="str">
        <x:v>6160103a617dc7c48f069eee</x:v>
      </x:c>
      <x:c r="B3232" s="2" t="str">
        <x:v>인증 비공개 신청</x:v>
      </x:c>
      <x:c r="C3232" s="2" t="str">
        <x:v>국내</x:v>
      </x:c>
      <x:c r="D3232" s="7" t="str">
        <x:v>에스오엠의 정제유에서 도시가스(LNG)로 연료전환을 통한 온실가스 배출 감축사업</x:v>
      </x:c>
      <x:c r="E3232" s="2" t="str">
        <x:v>8</x:v>
      </x:c>
      <x:c r="F3232" s="2" t="str">
        <x:v>2022-11-25</x:v>
      </x:c>
      <x:c r="G3232" s="2" t="str">
        <x:v>2022</x:v>
      </x:c>
      <x:c r="H3232" s="2" t="str">
        <x:v>11</x:v>
      </x:c>
      <x:c r="I3232" s="2" t="str">
        <x:v>보완요청</x:v>
      </x:c>
      <x:c r="J3232" s="2" t="str">
        <x:v>보완요청</x:v>
      </x:c>
      <x:c r="K3232" s="2" t="str">
        <x:f>IF(OR(J3232="심의승인",J3232="반려",J3232="반려완료",J3232="심의완료"),"종결 표시",IF(OR(J3232="기후부협의",J3232="문서재제출요청",J3232="보류",J3232="보완요청",J3232="보완완료",J3232="평가중",J3232="반려요청",J3232="평가필요",LEFT(J3232,5)="보완요청("),"미종결 표시","상태 확인 필요"))</x:f>
        <x:v>미종결 표시</x:v>
      </x:c>
      <x:c r="L3232" s="2" t="str">
        <x:v>에코시안_조영우</x:v>
      </x:c>
      <x:c r="M3232" s="2"/>
      <x:c r="N3232" s="8" t="n">
        <x:f>DATE(2026,10,15)-DATE(2022,11,25)</x:f>
        <x:v>1420</x:v>
      </x:c>
      <x:c r="O3232" s="2"/>
      <x:c r="P3232" s="2" t="str">
        <x:v>모니터링보고서 및 검증보고서 내 비공개 필요 부분 정확히 명시 필요(모니터링보고서 증빙자료는 정보공개 대상 아님)</x:v>
      </x:c>
      <x:c r="Q3232" s="2" t="str">
        <x:v>산업전환 외부사업 정보비공개 신청 관리 Tool_260707_LJY_261013.xlsx</x:v>
      </x:c>
      <x:c r="R3232" s="2" t="str">
        <x:v>(비공개)국내인증</x:v>
      </x:c>
      <x:c r="S3232" s="8" t="n">
        <x:v>10</x:v>
      </x:c>
      <x:c r="T3232" s="2"/>
      <x:c r="U3232" s="2" t="str"/>
      <x:c r="V3232" s="2" t="str">
        <x:v>2024-06-17</x:v>
      </x:c>
      <x:c r="W3232" s="2" t="str"/>
      <x:c r="X3232" s="2" t="str">
        <x:v>보완 회신 일정 확인</x:v>
      </x:c>
      <x:c r="Y3232" s="2" t="str">
        <x:v>22df6d619b696c1eba8e26790f6382083d9fb1bc48481283e3e8a92ea6897677</x:v>
      </x:c>
      <x:c r="Z3232" s="2" t="n">
        <x:f>SUBTOTAL(103,A3232)</x:f>
        <x:v>1</x:v>
      </x:c>
      <x:c r="AA3232" s="2" t="str">
        <x:f>IF(K3232&lt;&gt;"미종결 표시","대상 아님",IF(N3232="","신청일 확인",IF(NOT(ISNUMBER('종합 현황'!$H$5)),"관찰기준 확인",IF('종합 현황'!$H$5&lt;1,"관찰기준 확인",IF(N3232&gt;'종합 현황'!$H$5,"내부 관찰 대상","내부 관찰일 이하")))))</x:f>
        <x:v>내부 관찰 대상</x:v>
      </x:c>
      <x:c r="AB3232" s="2"/>
    </x:row>
    <x:row r="3233" ht="42" customHeight="1">
      <x:c r="A3233" s="2" t="str">
        <x:v>6dc4456d0e5ecd484dbd9f03</x:v>
      </x:c>
      <x:c r="B3233" s="2" t="str">
        <x:v>인증 비공개 신청</x:v>
      </x:c>
      <x:c r="C3233" s="2" t="str">
        <x:v>국내</x:v>
      </x:c>
      <x:c r="D3233" s="7" t="str">
        <x:v>삼일이노팩의 B-C유에서 LNG로 연료전환을 통한 온실가스 배출 감축사업</x:v>
      </x:c>
      <x:c r="E3233" s="2" t="str">
        <x:v>9</x:v>
      </x:c>
      <x:c r="F3233" s="2" t="str">
        <x:v>2022-11-15</x:v>
      </x:c>
      <x:c r="G3233" s="2" t="str">
        <x:v>2022</x:v>
      </x:c>
      <x:c r="H3233" s="2" t="str">
        <x:v>11</x:v>
      </x:c>
      <x:c r="I3233" s="2" t="str">
        <x:v>보완요청</x:v>
      </x:c>
      <x:c r="J3233" s="2" t="str">
        <x:v>보완요청</x:v>
      </x:c>
      <x:c r="K3233" s="2" t="str">
        <x:f>IF(OR(J3233="심의승인",J3233="반려",J3233="반려완료",J3233="심의완료"),"종결 표시",IF(OR(J3233="기후부협의",J3233="문서재제출요청",J3233="보류",J3233="보완요청",J3233="보완완료",J3233="평가중",J3233="반려요청",J3233="평가필요",LEFT(J3233,5)="보완요청("),"미종결 표시","상태 확인 필요"))</x:f>
        <x:v>미종결 표시</x:v>
      </x:c>
      <x:c r="L3233" s="2" t="str">
        <x:v>에코시안_조영우</x:v>
      </x:c>
      <x:c r="M3233" s="2"/>
      <x:c r="N3233" s="8" t="n">
        <x:f>DATE(2026,10,15)-DATE(2022,11,15)</x:f>
        <x:v>1430</x:v>
      </x:c>
      <x:c r="O3233" s="2"/>
      <x:c r="P3233" s="2" t="str">
        <x:v>모니터링보고서 및 검증보고서 내 비공개 필요 부분 정확히 명시 필요(모니터링보고서 증빙자료는 정보공개 대상 아님)</x:v>
      </x:c>
      <x:c r="Q3233" s="2" t="str">
        <x:v>산업전환 외부사업 정보비공개 신청 관리 Tool_260707_LJY_261013.xlsx</x:v>
      </x:c>
      <x:c r="R3233" s="2" t="str">
        <x:v>(비공개)국내인증</x:v>
      </x:c>
      <x:c r="S3233" s="8" t="n">
        <x:v>11</x:v>
      </x:c>
      <x:c r="T3233" s="2"/>
      <x:c r="U3233" s="2" t="str"/>
      <x:c r="V3233" s="2" t="str">
        <x:v>2024-06-17</x:v>
      </x:c>
      <x:c r="W3233" s="2" t="str"/>
      <x:c r="X3233" s="2" t="str">
        <x:v>보완 회신 일정 확인</x:v>
      </x:c>
      <x:c r="Y3233" s="2" t="str">
        <x:v>22df6d619b696c1eba8e26790f6382083d9fb1bc48481283e3e8a92ea6897677</x:v>
      </x:c>
      <x:c r="Z3233" s="2" t="n">
        <x:f>SUBTOTAL(103,A3233)</x:f>
        <x:v>1</x:v>
      </x:c>
      <x:c r="AA3233" s="2" t="str">
        <x:f>IF(K3233&lt;&gt;"미종결 표시","대상 아님",IF(N3233="","신청일 확인",IF(NOT(ISNUMBER('종합 현황'!$H$5)),"관찰기준 확인",IF('종합 현황'!$H$5&lt;1,"관찰기준 확인",IF(N3233&gt;'종합 현황'!$H$5,"내부 관찰 대상","내부 관찰일 이하")))))</x:f>
        <x:v>내부 관찰 대상</x:v>
      </x:c>
      <x:c r="AB3233" s="2"/>
    </x:row>
    <x:row r="3234" ht="42" customHeight="1">
      <x:c r="A3234" s="2" t="str">
        <x:v>ba5d88060ec15691749050ef</x:v>
      </x:c>
      <x:c r="B3234" s="2" t="str">
        <x:v>인증 비공개 신청</x:v>
      </x:c>
      <x:c r="C3234" s="2" t="str">
        <x:v>국내</x:v>
      </x:c>
      <x:c r="D3234" s="7" t="str">
        <x:v>남부산업의 이온정제유에서 LNG로 연료전환을 통한 온실가스 배출 감축사업</x:v>
      </x:c>
      <x:c r="E3234" s="2" t="str">
        <x:v>10</x:v>
      </x:c>
      <x:c r="F3234" s="2" t="str">
        <x:v>2022-07-20</x:v>
      </x:c>
      <x:c r="G3234" s="2" t="str">
        <x:v>2022</x:v>
      </x:c>
      <x:c r="H3234" s="2" t="str">
        <x:v>07</x:v>
      </x:c>
      <x:c r="I3234" s="2" t="str">
        <x:v>보완요청</x:v>
      </x:c>
      <x:c r="J3234" s="2" t="str">
        <x:v>보완요청</x:v>
      </x:c>
      <x:c r="K3234" s="2" t="str">
        <x:f>IF(OR(J3234="심의승인",J3234="반려",J3234="반려완료",J3234="심의완료"),"종결 표시",IF(OR(J3234="기후부협의",J3234="문서재제출요청",J3234="보류",J3234="보완요청",J3234="보완완료",J3234="평가중",J3234="반려요청",J3234="평가필요",LEFT(J3234,5)="보완요청("),"미종결 표시","상태 확인 필요"))</x:f>
        <x:v>미종결 표시</x:v>
      </x:c>
      <x:c r="L3234" s="2" t="str">
        <x:v>에코시안</x:v>
      </x:c>
      <x:c r="M3234" s="2"/>
      <x:c r="N3234" s="8" t="n">
        <x:f>DATE(2026,10,15)-DATE(2022,7,20)</x:f>
        <x:v>1548</x:v>
      </x:c>
      <x:c r="O3234" s="2"/>
      <x:c r="P3234" s="2" t="str">
        <x:v>모니터링보고서 및 검증보고서 내 보안유지 필요부분 구체화 필요</x:v>
      </x:c>
      <x:c r="Q3234" s="2" t="str">
        <x:v>산업전환 외부사업 정보비공개 신청 관리 Tool_260707_LJY_261013.xlsx</x:v>
      </x:c>
      <x:c r="R3234" s="2" t="str">
        <x:v>(비공개)국내인증</x:v>
      </x:c>
      <x:c r="S3234" s="8" t="n">
        <x:v>12</x:v>
      </x:c>
      <x:c r="T3234" s="2"/>
      <x:c r="U3234" s="2" t="str"/>
      <x:c r="V3234" s="2" t="str">
        <x:v>2022-10-19</x:v>
      </x:c>
      <x:c r="W3234" s="2" t="str"/>
      <x:c r="X3234" s="2" t="str">
        <x:v>보완 회신 일정 확인</x:v>
      </x:c>
      <x:c r="Y3234" s="2" t="str">
        <x:v>22df6d619b696c1eba8e26790f6382083d9fb1bc48481283e3e8a92ea6897677</x:v>
      </x:c>
      <x:c r="Z3234" s="2" t="n">
        <x:f>SUBTOTAL(103,A3234)</x:f>
        <x:v>1</x:v>
      </x:c>
      <x:c r="AA3234" s="2" t="str">
        <x:f>IF(K3234&lt;&gt;"미종결 표시","대상 아님",IF(N3234="","신청일 확인",IF(NOT(ISNUMBER('종합 현황'!$H$5)),"관찰기준 확인",IF('종합 현황'!$H$5&lt;1,"관찰기준 확인",IF(N3234&gt;'종합 현황'!$H$5,"내부 관찰 대상","내부 관찰일 이하")))))</x:f>
        <x:v>내부 관찰 대상</x:v>
      </x:c>
      <x:c r="AB3234" s="2"/>
    </x:row>
    <x:row r="3235" ht="42" customHeight="1">
      <x:c r="A3235" s="2" t="str">
        <x:v>b69625d1d4a17619eea32a23</x:v>
      </x:c>
      <x:c r="B3235" s="2" t="str">
        <x:v>인증 비공개 신청</x:v>
      </x:c>
      <x:c r="C3235" s="2" t="str">
        <x:v>국내</x:v>
      </x:c>
      <x:c r="D3235" s="7" t="str">
        <x:v>동신산업 평택공장의 B-C유에서 LNG로 연료전환을 통한 온실가스 배출 감축사업</x:v>
      </x:c>
      <x:c r="E3235" s="2" t="str">
        <x:v>11</x:v>
      </x:c>
      <x:c r="F3235" s="2" t="str">
        <x:v>2022-07-20</x:v>
      </x:c>
      <x:c r="G3235" s="2" t="str">
        <x:v>2022</x:v>
      </x:c>
      <x:c r="H3235" s="2" t="str">
        <x:v>07</x:v>
      </x:c>
      <x:c r="I3235" s="2" t="str">
        <x:v>보완요청</x:v>
      </x:c>
      <x:c r="J3235" s="2" t="str">
        <x:v>보완요청</x:v>
      </x:c>
      <x:c r="K3235" s="2" t="str">
        <x:f>IF(OR(J3235="심의승인",J3235="반려",J3235="반려완료",J3235="심의완료"),"종결 표시",IF(OR(J3235="기후부협의",J3235="문서재제출요청",J3235="보류",J3235="보완요청",J3235="보완완료",J3235="평가중",J3235="반려요청",J3235="평가필요",LEFT(J3235,5)="보완요청("),"미종결 표시","상태 확인 필요"))</x:f>
        <x:v>미종결 표시</x:v>
      </x:c>
      <x:c r="L3235" s="2" t="str">
        <x:v>에코시안</x:v>
      </x:c>
      <x:c r="M3235" s="2"/>
      <x:c r="N3235" s="8" t="n">
        <x:f>DATE(2026,10,15)-DATE(2022,7,20)</x:f>
        <x:v>1548</x:v>
      </x:c>
      <x:c r="O3235" s="2"/>
      <x:c r="P3235" s="2" t="str">
        <x:v>모니터링보고서 및 검증보고서 내 보안유지 필요부분 구체화 필요</x:v>
      </x:c>
      <x:c r="Q3235" s="2" t="str">
        <x:v>산업전환 외부사업 정보비공개 신청 관리 Tool_260707_LJY_261013.xlsx</x:v>
      </x:c>
      <x:c r="R3235" s="2" t="str">
        <x:v>(비공개)국내인증</x:v>
      </x:c>
      <x:c r="S3235" s="8" t="n">
        <x:v>13</x:v>
      </x:c>
      <x:c r="T3235" s="2"/>
      <x:c r="U3235" s="2" t="str"/>
      <x:c r="V3235" s="2" t="str">
        <x:v>2022-10-19</x:v>
      </x:c>
      <x:c r="W3235" s="2" t="str"/>
      <x:c r="X3235" s="2" t="str">
        <x:v>보완 회신 일정 확인</x:v>
      </x:c>
      <x:c r="Y3235" s="2" t="str">
        <x:v>22df6d619b696c1eba8e26790f6382083d9fb1bc48481283e3e8a92ea6897677</x:v>
      </x:c>
      <x:c r="Z3235" s="2" t="n">
        <x:f>SUBTOTAL(103,A3235)</x:f>
        <x:v>1</x:v>
      </x:c>
      <x:c r="AA3235" s="2" t="str">
        <x:f>IF(K3235&lt;&gt;"미종결 표시","대상 아님",IF(N3235="","신청일 확인",IF(NOT(ISNUMBER('종합 현황'!$H$5)),"관찰기준 확인",IF('종합 현황'!$H$5&lt;1,"관찰기준 확인",IF(N3235&gt;'종합 현황'!$H$5,"내부 관찰 대상","내부 관찰일 이하")))))</x:f>
        <x:v>내부 관찰 대상</x:v>
      </x:c>
      <x:c r="AB3235" s="2"/>
    </x:row>
    <x:row r="3236" ht="42" customHeight="1">
      <x:c r="A3236" s="2" t="str">
        <x:v>5e72d4b053e893a078523f9a</x:v>
      </x:c>
      <x:c r="B3236" s="2" t="str">
        <x:v>인증 비공개 신청</x:v>
      </x:c>
      <x:c r="C3236" s="2" t="str">
        <x:v>국내</x:v>
      </x:c>
      <x:c r="D3236" s="7" t="str">
        <x:v>부천수지의 B-C유에서 도시가스(LNG)로 연료전환을 통한 온실가스 배출 감축사업</x:v>
      </x:c>
      <x:c r="E3236" s="2" t="str">
        <x:v>12</x:v>
      </x:c>
      <x:c r="F3236" s="2" t="str">
        <x:v>2022-06-10</x:v>
      </x:c>
      <x:c r="G3236" s="2" t="str">
        <x:v>2022</x:v>
      </x:c>
      <x:c r="H3236" s="2" t="str">
        <x:v>06</x:v>
      </x:c>
      <x:c r="I3236" s="2" t="str">
        <x:v>보완요청</x:v>
      </x:c>
      <x:c r="J3236" s="2" t="str">
        <x:v>보완요청</x:v>
      </x:c>
      <x:c r="K3236" s="2" t="str">
        <x:f>IF(OR(J3236="심의승인",J3236="반려",J3236="반려완료",J3236="심의완료"),"종결 표시",IF(OR(J3236="기후부협의",J3236="문서재제출요청",J3236="보류",J3236="보완요청",J3236="보완완료",J3236="평가중",J3236="반려요청",J3236="평가필요",LEFT(J3236,5)="보완요청("),"미종결 표시","상태 확인 필요"))</x:f>
        <x:v>미종결 표시</x:v>
      </x:c>
      <x:c r="L3236" s="2" t="str">
        <x:v>에코시안_조영우</x:v>
      </x:c>
      <x:c r="M3236" s="2"/>
      <x:c r="N3236" s="8" t="n">
        <x:f>DATE(2026,10,15)-DATE(2022,6,10)</x:f>
        <x:v>1588</x:v>
      </x:c>
      <x:c r="O3236" s="2"/>
      <x:c r="P3236" s="2" t="str">
        <x:v>모니터링보고서 내용 중 비공개 필요 부분 정확히 명시 필요(모니터링보고서 증빙자료는 정보공개 대상 아님)</x:v>
      </x:c>
      <x:c r="Q3236" s="2" t="str">
        <x:v>산업전환 외부사업 정보비공개 신청 관리 Tool_260707_LJY_261013.xlsx</x:v>
      </x:c>
      <x:c r="R3236" s="2" t="str">
        <x:v>(비공개)국내인증</x:v>
      </x:c>
      <x:c r="S3236" s="8" t="n">
        <x:v>14</x:v>
      </x:c>
      <x:c r="T3236" s="2"/>
      <x:c r="U3236" s="2" t="str"/>
      <x:c r="V3236" s="2" t="str">
        <x:v>2023-04-25</x:v>
      </x:c>
      <x:c r="W3236" s="2" t="str"/>
      <x:c r="X3236" s="2" t="str">
        <x:v>보완 회신 일정 확인</x:v>
      </x:c>
      <x:c r="Y3236" s="2" t="str">
        <x:v>22df6d619b696c1eba8e26790f6382083d9fb1bc48481283e3e8a92ea6897677</x:v>
      </x:c>
      <x:c r="Z3236" s="2" t="n">
        <x:f>SUBTOTAL(103,A3236)</x:f>
        <x:v>1</x:v>
      </x:c>
      <x:c r="AA3236" s="2" t="str">
        <x:f>IF(K3236&lt;&gt;"미종결 표시","대상 아님",IF(N3236="","신청일 확인",IF(NOT(ISNUMBER('종합 현황'!$H$5)),"관찰기준 확인",IF('종합 현황'!$H$5&lt;1,"관찰기준 확인",IF(N3236&gt;'종합 현황'!$H$5,"내부 관찰 대상","내부 관찰일 이하")))))</x:f>
        <x:v>내부 관찰 대상</x:v>
      </x:c>
      <x:c r="AB3236" s="2"/>
    </x:row>
    <x:row r="3237" ht="42" customHeight="1">
      <x:c r="A3237" s="2" t="str">
        <x:v>3fa0c572cc90862aded04c0b</x:v>
      </x:c>
      <x:c r="B3237" s="2" t="str">
        <x:v>인증 비공개 신청</x:v>
      </x:c>
      <x:c r="C3237" s="2" t="str">
        <x:v>국내</x:v>
      </x:c>
      <x:c r="D3237" s="7" t="str">
        <x:v>태림포장의 B-C유에서 LNG로 연료전환을 통한 온실가스 배출 감축사업</x:v>
      </x:c>
      <x:c r="E3237" s="2" t="str">
        <x:v>13</x:v>
      </x:c>
      <x:c r="F3237" s="2" t="str">
        <x:v>2022-06-10</x:v>
      </x:c>
      <x:c r="G3237" s="2" t="str">
        <x:v>2022</x:v>
      </x:c>
      <x:c r="H3237" s="2" t="str">
        <x:v>06</x:v>
      </x:c>
      <x:c r="I3237" s="2" t="str">
        <x:v>보완요청</x:v>
      </x:c>
      <x:c r="J3237" s="2" t="str">
        <x:v>보완요청</x:v>
      </x:c>
      <x:c r="K3237" s="2" t="str">
        <x:f>IF(OR(J3237="심의승인",J3237="반려",J3237="반려완료",J3237="심의완료"),"종결 표시",IF(OR(J3237="기후부협의",J3237="문서재제출요청",J3237="보류",J3237="보완요청",J3237="보완완료",J3237="평가중",J3237="반려요청",J3237="평가필요",LEFT(J3237,5)="보완요청("),"미종결 표시","상태 확인 필요"))</x:f>
        <x:v>미종결 표시</x:v>
      </x:c>
      <x:c r="L3237" s="2" t="str">
        <x:v>에코시안_조영우</x:v>
      </x:c>
      <x:c r="M3237" s="2"/>
      <x:c r="N3237" s="8" t="n">
        <x:f>DATE(2026,10,15)-DATE(2022,6,10)</x:f>
        <x:v>1588</x:v>
      </x:c>
      <x:c r="O3237" s="2"/>
      <x:c r="P3237" s="2" t="str">
        <x:v>모니터링보고서 내용 중 비공개 필요 부분 정확히 명시 필요(모니터링보고서 증빙자료는 정보공개 대상 아님)</x:v>
      </x:c>
      <x:c r="Q3237" s="2" t="str">
        <x:v>산업전환 외부사업 정보비공개 신청 관리 Tool_260707_LJY_261013.xlsx</x:v>
      </x:c>
      <x:c r="R3237" s="2" t="str">
        <x:v>(비공개)국내인증</x:v>
      </x:c>
      <x:c r="S3237" s="8" t="n">
        <x:v>15</x:v>
      </x:c>
      <x:c r="T3237" s="2"/>
      <x:c r="U3237" s="2" t="str"/>
      <x:c r="V3237" s="2" t="str">
        <x:v>2023-04-25</x:v>
      </x:c>
      <x:c r="W3237" s="2" t="str"/>
      <x:c r="X3237" s="2" t="str">
        <x:v>보완 회신 일정 확인</x:v>
      </x:c>
      <x:c r="Y3237" s="2" t="str">
        <x:v>22df6d619b696c1eba8e26790f6382083d9fb1bc48481283e3e8a92ea6897677</x:v>
      </x:c>
      <x:c r="Z3237" s="2" t="n">
        <x:f>SUBTOTAL(103,A3237)</x:f>
        <x:v>1</x:v>
      </x:c>
      <x:c r="AA3237" s="2" t="str">
        <x:f>IF(K3237&lt;&gt;"미종결 표시","대상 아님",IF(N3237="","신청일 확인",IF(NOT(ISNUMBER('종합 현황'!$H$5)),"관찰기준 확인",IF('종합 현황'!$H$5&lt;1,"관찰기준 확인",IF(N3237&gt;'종합 현황'!$H$5,"내부 관찰 대상","내부 관찰일 이하")))))</x:f>
        <x:v>내부 관찰 대상</x:v>
      </x:c>
      <x:c r="AB3237" s="2"/>
    </x:row>
    <x:row r="3238" ht="42" customHeight="1">
      <x:c r="A3238" s="2" t="str">
        <x:v>e25675eea36da3f2be769069</x:v>
      </x:c>
      <x:c r="B3238" s="2" t="str">
        <x:v>인증 비공개 신청</x:v>
      </x:c>
      <x:c r="C3238" s="2" t="str">
        <x:v>국내</x:v>
      </x:c>
      <x:c r="D3238" s="7" t="str">
        <x:v>(주)덕산의 신재 및 재생 드라이어의 B-C유에서 도시가스(LNG)로 연료전환을 통한 온실가스 배출 감축사업</x:v>
      </x:c>
      <x:c r="E3238" s="2" t="str">
        <x:v>14</x:v>
      </x:c>
      <x:c r="F3238" s="2" t="str">
        <x:v>2022-05-30</x:v>
      </x:c>
      <x:c r="G3238" s="2" t="str">
        <x:v>2022</x:v>
      </x:c>
      <x:c r="H3238" s="2" t="str">
        <x:v>05</x:v>
      </x:c>
      <x:c r="I3238" s="2" t="str">
        <x:v>보완요청</x:v>
      </x:c>
      <x:c r="J3238" s="2" t="str">
        <x:v>보완요청</x:v>
      </x:c>
      <x:c r="K3238" s="2" t="str">
        <x:f>IF(OR(J3238="심의승인",J3238="반려",J3238="반려완료",J3238="심의완료"),"종결 표시",IF(OR(J3238="기후부협의",J3238="문서재제출요청",J3238="보류",J3238="보완요청",J3238="보완완료",J3238="평가중",J3238="반려요청",J3238="평가필요",LEFT(J3238,5)="보완요청("),"미종결 표시","상태 확인 필요"))</x:f>
        <x:v>미종결 표시</x:v>
      </x:c>
      <x:c r="L3238" s="2" t="str">
        <x:v>에코시안_조영우</x:v>
      </x:c>
      <x:c r="M3238" s="2"/>
      <x:c r="N3238" s="8" t="n">
        <x:f>DATE(2026,10,15)-DATE(2022,5,30)</x:f>
        <x:v>1599</x:v>
      </x:c>
      <x:c r="O3238" s="2"/>
      <x:c r="P3238" s="2" t="str">
        <x:v>모니터링보고서 내용 중 비공개 필요 부분 정확히 명시 필요(모니터링보고서 증빙자료는 정보공개 대상 아님)</x:v>
      </x:c>
      <x:c r="Q3238" s="2" t="str">
        <x:v>산업전환 외부사업 정보비공개 신청 관리 Tool_260707_LJY_261013.xlsx</x:v>
      </x:c>
      <x:c r="R3238" s="2" t="str">
        <x:v>(비공개)국내인증</x:v>
      </x:c>
      <x:c r="S3238" s="8" t="n">
        <x:v>16</x:v>
      </x:c>
      <x:c r="T3238" s="2"/>
      <x:c r="U3238" s="2" t="str"/>
      <x:c r="V3238" s="2" t="str">
        <x:v>2023-04-25</x:v>
      </x:c>
      <x:c r="W3238" s="2" t="str"/>
      <x:c r="X3238" s="2" t="str">
        <x:v>보완 회신 일정 확인</x:v>
      </x:c>
      <x:c r="Y3238" s="2" t="str">
        <x:v>22df6d619b696c1eba8e26790f6382083d9fb1bc48481283e3e8a92ea6897677</x:v>
      </x:c>
      <x:c r="Z3238" s="2" t="n">
        <x:f>SUBTOTAL(103,A3238)</x:f>
        <x:v>1</x:v>
      </x:c>
      <x:c r="AA3238" s="2" t="str">
        <x:f>IF(K3238&lt;&gt;"미종결 표시","대상 아님",IF(N3238="","신청일 확인",IF(NOT(ISNUMBER('종합 현황'!$H$5)),"관찰기준 확인",IF('종합 현황'!$H$5&lt;1,"관찰기준 확인",IF(N3238&gt;'종합 현황'!$H$5,"내부 관찰 대상","내부 관찰일 이하")))))</x:f>
        <x:v>내부 관찰 대상</x:v>
      </x:c>
      <x:c r="AB3238" s="2"/>
    </x:row>
    <x:row r="3239" ht="42" customHeight="1">
      <x:c r="A3239" s="2" t="str">
        <x:v>496e0f8d63a165b7e508609a</x:v>
      </x:c>
      <x:c r="B3239" s="2" t="str">
        <x:v>인증 비공개 신청</x:v>
      </x:c>
      <x:c r="C3239" s="2" t="str">
        <x:v>국내</x:v>
      </x:c>
      <x:c r="D3239" s="7" t="str">
        <x:v>대평산업개발의 정제유 및 B-C유에서 도시가스(LNG)로의 연료전환을 통한 온실가스 배출 감축사업</x:v>
      </x:c>
      <x:c r="E3239" s="2" t="str">
        <x:v>15</x:v>
      </x:c>
      <x:c r="F3239" s="2" t="str">
        <x:v>2022-05-16</x:v>
      </x:c>
      <x:c r="G3239" s="2" t="str">
        <x:v>2022</x:v>
      </x:c>
      <x:c r="H3239" s="2" t="str">
        <x:v>05</x:v>
      </x:c>
      <x:c r="I3239" s="2" t="str">
        <x:v>보완요청</x:v>
      </x:c>
      <x:c r="J3239" s="2" t="str">
        <x:v>보완요청</x:v>
      </x:c>
      <x:c r="K3239" s="2" t="str">
        <x:f>IF(OR(J3239="심의승인",J3239="반려",J3239="반려완료",J3239="심의완료"),"종결 표시",IF(OR(J3239="기후부협의",J3239="문서재제출요청",J3239="보류",J3239="보완요청",J3239="보완완료",J3239="평가중",J3239="반려요청",J3239="평가필요",LEFT(J3239,5)="보완요청("),"미종결 표시","상태 확인 필요"))</x:f>
        <x:v>미종결 표시</x:v>
      </x:c>
      <x:c r="L3239" s="2" t="str">
        <x:v>에코시안_조영우</x:v>
      </x:c>
      <x:c r="M3239" s="2"/>
      <x:c r="N3239" s="8" t="n">
        <x:f>DATE(2026,10,15)-DATE(2022,5,16)</x:f>
        <x:v>1613</x:v>
      </x:c>
      <x:c r="O3239" s="2"/>
      <x:c r="P3239" s="2" t="str">
        <x:v>모니터링보고서 내용 중 비공개 필요 부분 정확히 명시 필요(모니터링보고서 증빙자료는 정보공개 대상 아님)</x:v>
      </x:c>
      <x:c r="Q3239" s="2" t="str">
        <x:v>산업전환 외부사업 정보비공개 신청 관리 Tool_260707_LJY_261013.xlsx</x:v>
      </x:c>
      <x:c r="R3239" s="2" t="str">
        <x:v>(비공개)국내인증</x:v>
      </x:c>
      <x:c r="S3239" s="8" t="n">
        <x:v>17</x:v>
      </x:c>
      <x:c r="T3239" s="2"/>
      <x:c r="U3239" s="2" t="str"/>
      <x:c r="V3239" s="2" t="str">
        <x:v>2023-04-25</x:v>
      </x:c>
      <x:c r="W3239" s="2" t="str"/>
      <x:c r="X3239" s="2" t="str">
        <x:v>보완 회신 일정 확인</x:v>
      </x:c>
      <x:c r="Y3239" s="2" t="str">
        <x:v>22df6d619b696c1eba8e26790f6382083d9fb1bc48481283e3e8a92ea6897677</x:v>
      </x:c>
      <x:c r="Z3239" s="2" t="n">
        <x:f>SUBTOTAL(103,A3239)</x:f>
        <x:v>1</x:v>
      </x:c>
      <x:c r="AA3239" s="2" t="str">
        <x:f>IF(K3239&lt;&gt;"미종결 표시","대상 아님",IF(N3239="","신청일 확인",IF(NOT(ISNUMBER('종합 현황'!$H$5)),"관찰기준 확인",IF('종합 현황'!$H$5&lt;1,"관찰기준 확인",IF(N3239&gt;'종합 현황'!$H$5,"내부 관찰 대상","내부 관찰일 이하")))))</x:f>
        <x:v>내부 관찰 대상</x:v>
      </x:c>
      <x:c r="AB3239" s="2"/>
    </x:row>
    <x:row r="3240" ht="42" customHeight="1">
      <x:c r="A3240" s="2" t="str">
        <x:v>86f7ee2b3a39ff00606f2e88</x:v>
      </x:c>
      <x:c r="B3240" s="2" t="str">
        <x:v>인증 비공개 신청</x:v>
      </x:c>
      <x:c r="C3240" s="2" t="str">
        <x:v>국내</x:v>
      </x:c>
      <x:c r="D3240" s="7" t="str">
        <x:v>덕산지에스의 부생연료유 2호에서 도시가스(LNG)로의 연료전환을 통한 온실가스 배출 감축사업</x:v>
      </x:c>
      <x:c r="E3240" s="2" t="str">
        <x:v>16</x:v>
      </x:c>
      <x:c r="F3240" s="2" t="str">
        <x:v>2022-05-16</x:v>
      </x:c>
      <x:c r="G3240" s="2" t="str">
        <x:v>2022</x:v>
      </x:c>
      <x:c r="H3240" s="2" t="str">
        <x:v>05</x:v>
      </x:c>
      <x:c r="I3240" s="2" t="str">
        <x:v>보완요청</x:v>
      </x:c>
      <x:c r="J3240" s="2" t="str">
        <x:v>보완요청</x:v>
      </x:c>
      <x:c r="K3240" s="2" t="str">
        <x:f>IF(OR(J3240="심의승인",J3240="반려",J3240="반려완료",J3240="심의완료"),"종결 표시",IF(OR(J3240="기후부협의",J3240="문서재제출요청",J3240="보류",J3240="보완요청",J3240="보완완료",J3240="평가중",J3240="반려요청",J3240="평가필요",LEFT(J3240,5)="보완요청("),"미종결 표시","상태 확인 필요"))</x:f>
        <x:v>미종결 표시</x:v>
      </x:c>
      <x:c r="L3240" s="2" t="str">
        <x:v>에코시안_조영우</x:v>
      </x:c>
      <x:c r="M3240" s="2"/>
      <x:c r="N3240" s="8" t="n">
        <x:f>DATE(2026,10,15)-DATE(2022,5,16)</x:f>
        <x:v>1613</x:v>
      </x:c>
      <x:c r="O3240" s="2"/>
      <x:c r="P3240" s="2" t="str">
        <x:v>모니터링보고서 내용 중 비공개 필요 부분 정확히 명시 필요(모니터링보고서 증빙자료는 정보공개 대상 아님)</x:v>
      </x:c>
      <x:c r="Q3240" s="2" t="str">
        <x:v>산업전환 외부사업 정보비공개 신청 관리 Tool_260707_LJY_261013.xlsx</x:v>
      </x:c>
      <x:c r="R3240" s="2" t="str">
        <x:v>(비공개)국내인증</x:v>
      </x:c>
      <x:c r="S3240" s="8" t="n">
        <x:v>18</x:v>
      </x:c>
      <x:c r="T3240" s="2"/>
      <x:c r="U3240" s="2" t="str"/>
      <x:c r="V3240" s="2" t="str">
        <x:v>2023-04-25</x:v>
      </x:c>
      <x:c r="W3240" s="2" t="str"/>
      <x:c r="X3240" s="2" t="str">
        <x:v>보완 회신 일정 확인</x:v>
      </x:c>
      <x:c r="Y3240" s="2" t="str">
        <x:v>22df6d619b696c1eba8e26790f6382083d9fb1bc48481283e3e8a92ea6897677</x:v>
      </x:c>
      <x:c r="Z3240" s="2" t="n">
        <x:f>SUBTOTAL(103,A3240)</x:f>
        <x:v>1</x:v>
      </x:c>
      <x:c r="AA3240" s="2" t="str">
        <x:f>IF(K3240&lt;&gt;"미종결 표시","대상 아님",IF(N3240="","신청일 확인",IF(NOT(ISNUMBER('종합 현황'!$H$5)),"관찰기준 확인",IF('종합 현황'!$H$5&lt;1,"관찰기준 확인",IF(N3240&gt;'종합 현황'!$H$5,"내부 관찰 대상","내부 관찰일 이하")))))</x:f>
        <x:v>내부 관찰 대상</x:v>
      </x:c>
      <x:c r="AB3240" s="2"/>
    </x:row>
    <x:row r="3241" ht="42" customHeight="1">
      <x:c r="A3241" s="2" t="str">
        <x:v>0908f0046cdf23762f832115</x:v>
      </x:c>
      <x:c r="B3241" s="2" t="str">
        <x:v>인증 비공개 신청</x:v>
      </x:c>
      <x:c r="C3241" s="2" t="str">
        <x:v>국내</x:v>
      </x:c>
      <x:c r="D3241" s="7" t="str">
        <x:v>이연제약 진천공장의 B-C유에서 LNG로의 연료전환을 통한 온실가스 배출 감축사업</x:v>
      </x:c>
      <x:c r="E3241" s="2" t="str">
        <x:v>17</x:v>
      </x:c>
      <x:c r="F3241" s="2" t="str">
        <x:v>2022-02-15</x:v>
      </x:c>
      <x:c r="G3241" s="2" t="str">
        <x:v>2022</x:v>
      </x:c>
      <x:c r="H3241" s="2" t="str">
        <x:v>02</x:v>
      </x:c>
      <x:c r="I3241" s="2" t="str">
        <x:v>보완요청</x:v>
      </x:c>
      <x:c r="J3241" s="2" t="str">
        <x:v>보완요청</x:v>
      </x:c>
      <x:c r="K3241" s="2" t="str">
        <x:f>IF(OR(J3241="심의승인",J3241="반려",J3241="반려완료",J3241="심의완료"),"종결 표시",IF(OR(J3241="기후부협의",J3241="문서재제출요청",J3241="보류",J3241="보완요청",J3241="보완완료",J3241="평가중",J3241="반려요청",J3241="평가필요",LEFT(J3241,5)="보완요청("),"미종결 표시","상태 확인 필요"))</x:f>
        <x:v>미종결 표시</x:v>
      </x:c>
      <x:c r="L3241" s="2" t="str">
        <x:v>에코시안</x:v>
      </x:c>
      <x:c r="M3241" s="2"/>
      <x:c r="N3241" s="8" t="n">
        <x:f>DATE(2026,10,15)-DATE(2022,2,15)</x:f>
        <x:v>1703</x:v>
      </x:c>
      <x:c r="O3241" s="2"/>
      <x:c r="P3241" s="2" t="str">
        <x:v>모니터링보고서 및 검증보고서 내 보안유지 필요부분 구체화 필요</x:v>
      </x:c>
      <x:c r="Q3241" s="2" t="str">
        <x:v>산업전환 외부사업 정보비공개 신청 관리 Tool_260707_LJY_261013.xlsx</x:v>
      </x:c>
      <x:c r="R3241" s="2" t="str">
        <x:v>(비공개)국내인증</x:v>
      </x:c>
      <x:c r="S3241" s="8" t="n">
        <x:v>19</x:v>
      </x:c>
      <x:c r="T3241" s="2"/>
      <x:c r="U3241" s="2" t="str"/>
      <x:c r="V3241" s="2" t="str">
        <x:v>2022-10-19</x:v>
      </x:c>
      <x:c r="W3241" s="2" t="str"/>
      <x:c r="X3241" s="2" t="str">
        <x:v>보완 회신 일정 확인</x:v>
      </x:c>
      <x:c r="Y3241" s="2" t="str">
        <x:v>22df6d619b696c1eba8e26790f6382083d9fb1bc48481283e3e8a92ea6897677</x:v>
      </x:c>
      <x:c r="Z3241" s="2" t="n">
        <x:f>SUBTOTAL(103,A3241)</x:f>
        <x:v>1</x:v>
      </x:c>
      <x:c r="AA3241" s="2" t="str">
        <x:f>IF(K3241&lt;&gt;"미종결 표시","대상 아님",IF(N3241="","신청일 확인",IF(NOT(ISNUMBER('종합 현황'!$H$5)),"관찰기준 확인",IF('종합 현황'!$H$5&lt;1,"관찰기준 확인",IF(N3241&gt;'종합 현황'!$H$5,"내부 관찰 대상","내부 관찰일 이하")))))</x:f>
        <x:v>내부 관찰 대상</x:v>
      </x:c>
      <x:c r="AB3241" s="2"/>
    </x:row>
    <x:row r="3242" ht="42" customHeight="1">
      <x:c r="A3242" s="2" t="str">
        <x:v>da01fafcafbea15d1a778df6</x:v>
      </x:c>
      <x:c r="B3242" s="2" t="str">
        <x:v>인증 비공개 신청</x:v>
      </x:c>
      <x:c r="C3242" s="2" t="str">
        <x:v>국내</x:v>
      </x:c>
      <x:c r="D3242" s="7" t="str">
        <x:v>(주)선일로에스의 B-A유에서 LNG로 연료전환을 통한 온실가스 배출 감축사업</x:v>
      </x:c>
      <x:c r="E3242" s="2" t="str">
        <x:v>18</x:v>
      </x:c>
      <x:c r="F3242" s="2" t="str">
        <x:v>2022-01-04</x:v>
      </x:c>
      <x:c r="G3242" s="2" t="str">
        <x:v>2022</x:v>
      </x:c>
      <x:c r="H3242" s="2" t="str">
        <x:v>01</x:v>
      </x:c>
      <x:c r="I3242" s="2" t="str">
        <x:v>보완요청</x:v>
      </x:c>
      <x:c r="J3242" s="2" t="str">
        <x:v>보완요청</x:v>
      </x:c>
      <x:c r="K3242" s="2" t="str">
        <x:f>IF(OR(J3242="심의승인",J3242="반려",J3242="반려완료",J3242="심의완료"),"종결 표시",IF(OR(J3242="기후부협의",J3242="문서재제출요청",J3242="보류",J3242="보완요청",J3242="보완완료",J3242="평가중",J3242="반려요청",J3242="평가필요",LEFT(J3242,5)="보완요청("),"미종결 표시","상태 확인 필요"))</x:f>
        <x:v>미종결 표시</x:v>
      </x:c>
      <x:c r="L3242" s="2" t="str">
        <x:v>에코시안</x:v>
      </x:c>
      <x:c r="M3242" s="2"/>
      <x:c r="N3242" s="8" t="n">
        <x:f>DATE(2026,10,15)-DATE(2022,1,4)</x:f>
        <x:v>1745</x:v>
      </x:c>
      <x:c r="O3242" s="2"/>
      <x:c r="P3242" s="2" t="str">
        <x:v>모니터링보고서 및 검증보고서 내 보안유지 필요부분 구체화 필요</x:v>
      </x:c>
      <x:c r="Q3242" s="2" t="str">
        <x:v>산업전환 외부사업 정보비공개 신청 관리 Tool_260707_LJY_261013.xlsx</x:v>
      </x:c>
      <x:c r="R3242" s="2" t="str">
        <x:v>(비공개)국내인증</x:v>
      </x:c>
      <x:c r="S3242" s="8" t="n">
        <x:v>20</x:v>
      </x:c>
      <x:c r="T3242" s="2"/>
      <x:c r="U3242" s="2" t="str"/>
      <x:c r="V3242" s="2" t="str">
        <x:v>2023-04-19</x:v>
      </x:c>
      <x:c r="W3242" s="2" t="str"/>
      <x:c r="X3242" s="2" t="str">
        <x:v>보완 회신 일정 확인</x:v>
      </x:c>
      <x:c r="Y3242" s="2" t="str">
        <x:v>22df6d619b696c1eba8e26790f6382083d9fb1bc48481283e3e8a92ea6897677</x:v>
      </x:c>
      <x:c r="Z3242" s="2" t="n">
        <x:f>SUBTOTAL(103,A3242)</x:f>
        <x:v>1</x:v>
      </x:c>
      <x:c r="AA3242" s="2" t="str">
        <x:f>IF(K3242&lt;&gt;"미종결 표시","대상 아님",IF(N3242="","신청일 확인",IF(NOT(ISNUMBER('종합 현황'!$H$5)),"관찰기준 확인",IF('종합 현황'!$H$5&lt;1,"관찰기준 확인",IF(N3242&gt;'종합 현황'!$H$5,"내부 관찰 대상","내부 관찰일 이하")))))</x:f>
        <x:v>내부 관찰 대상</x:v>
      </x:c>
      <x:c r="AB3242" s="2"/>
    </x:row>
    <x:row r="3243" ht="42" customHeight="1">
      <x:c r="A3243" s="2" t="str">
        <x:v>abc4efbda82670021bb58324</x:v>
      </x:c>
      <x:c r="B3243" s="2" t="str">
        <x:v>인증 비공개 신청</x:v>
      </x:c>
      <x:c r="C3243" s="2" t="str">
        <x:v>국내</x:v>
      </x:c>
      <x:c r="D3243" s="7" t="str">
        <x:v>금강 연료전환(B-C유-&gt;도시가스) 감축사업(C-002)</x:v>
      </x:c>
      <x:c r="E3243" s="2" t="str">
        <x:v>19</x:v>
      </x:c>
      <x:c r="F3243" s="2" t="str">
        <x:v>2021-12-22</x:v>
      </x:c>
      <x:c r="G3243" s="2" t="str">
        <x:v>2021</x:v>
      </x:c>
      <x:c r="H3243" s="2" t="str">
        <x:v>12</x:v>
      </x:c>
      <x:c r="I3243" s="2" t="str">
        <x:v>보완요청</x:v>
      </x:c>
      <x:c r="J3243" s="2" t="str">
        <x:v>보완요청</x:v>
      </x:c>
      <x:c r="K3243" s="2" t="str">
        <x:f>IF(OR(J3243="심의승인",J3243="반려",J3243="반려완료",J3243="심의완료"),"종결 표시",IF(OR(J3243="기후부협의",J3243="문서재제출요청",J3243="보류",J3243="보완요청",J3243="보완완료",J3243="평가중",J3243="반려요청",J3243="평가필요",LEFT(J3243,5)="보완요청("),"미종결 표시","상태 확인 필요"))</x:f>
        <x:v>미종결 표시</x:v>
      </x:c>
      <x:c r="L3243" s="2" t="str">
        <x:v>에코시안</x:v>
      </x:c>
      <x:c r="M3243" s="2"/>
      <x:c r="N3243" s="8" t="n">
        <x:f>DATE(2026,10,15)-DATE(2021,12,22)</x:f>
        <x:v>1758</x:v>
      </x:c>
      <x:c r="O3243" s="2"/>
      <x:c r="P3243" s="2" t="str">
        <x:v>모니터링보고서 및 검증보고서 내 보안유지 필요부분 구체화 필요(사유: 인증 실적 비공개) / 사업명과 상이</x:v>
      </x:c>
      <x:c r="Q3243" s="2" t="str">
        <x:v>산업전환 외부사업 정보비공개 신청 관리 Tool_260707_LJY_261013.xlsx</x:v>
      </x:c>
      <x:c r="R3243" s="2" t="str">
        <x:v>(비공개)국내인증</x:v>
      </x:c>
      <x:c r="S3243" s="8" t="n">
        <x:v>21</x:v>
      </x:c>
      <x:c r="T3243" s="2"/>
      <x:c r="U3243" s="2" t="str"/>
      <x:c r="V3243" s="2" t="str">
        <x:v>2022-10-19</x:v>
      </x:c>
      <x:c r="W3243" s="2" t="str"/>
      <x:c r="X3243" s="2" t="str">
        <x:v>보완 회신 일정 확인</x:v>
      </x:c>
      <x:c r="Y3243" s="2" t="str">
        <x:v>22df6d619b696c1eba8e26790f6382083d9fb1bc48481283e3e8a92ea6897677</x:v>
      </x:c>
      <x:c r="Z3243" s="2" t="n">
        <x:f>SUBTOTAL(103,A3243)</x:f>
        <x:v>1</x:v>
      </x:c>
      <x:c r="AA3243" s="2" t="str">
        <x:f>IF(K3243&lt;&gt;"미종결 표시","대상 아님",IF(N3243="","신청일 확인",IF(NOT(ISNUMBER('종합 현황'!$H$5)),"관찰기준 확인",IF('종합 현황'!$H$5&lt;1,"관찰기준 확인",IF(N3243&gt;'종합 현황'!$H$5,"내부 관찰 대상","내부 관찰일 이하")))))</x:f>
        <x:v>내부 관찰 대상</x:v>
      </x:c>
      <x:c r="AB3243" s="2"/>
    </x:row>
    <x:row r="3244" ht="42" customHeight="1">
      <x:c r="A3244" s="2" t="str">
        <x:v>6261f54aaf8269f01882fa39</x:v>
      </x:c>
      <x:c r="B3244" s="2" t="str">
        <x:v>인증 비공개 신청</x:v>
      </x:c>
      <x:c r="C3244" s="2" t="str">
        <x:v>국내</x:v>
      </x:c>
      <x:c r="D3244" s="7" t="str">
        <x:v>부일레미콘의 B-C유에서 도시가스(LNG)로 연료전환을 통한 온실가스 배출 감축사업</x:v>
      </x:c>
      <x:c r="E3244" s="2" t="str">
        <x:v>20</x:v>
      </x:c>
      <x:c r="F3244" s="2" t="str">
        <x:v>2021-12-17</x:v>
      </x:c>
      <x:c r="G3244" s="2" t="str">
        <x:v>2021</x:v>
      </x:c>
      <x:c r="H3244" s="2" t="str">
        <x:v>12</x:v>
      </x:c>
      <x:c r="I3244" s="2" t="str">
        <x:v>보완요청</x:v>
      </x:c>
      <x:c r="J3244" s="2" t="str">
        <x:v>보완요청</x:v>
      </x:c>
      <x:c r="K3244" s="2" t="str">
        <x:f>IF(OR(J3244="심의승인",J3244="반려",J3244="반려완료",J3244="심의완료"),"종결 표시",IF(OR(J3244="기후부협의",J3244="문서재제출요청",J3244="보류",J3244="보완요청",J3244="보완완료",J3244="평가중",J3244="반려요청",J3244="평가필요",LEFT(J3244,5)="보완요청("),"미종결 표시","상태 확인 필요"))</x:f>
        <x:v>미종결 표시</x:v>
      </x:c>
      <x:c r="L3244" s="2" t="str">
        <x:v>에코시안</x:v>
      </x:c>
      <x:c r="M3244" s="2"/>
      <x:c r="N3244" s="8" t="n">
        <x:f>DATE(2026,10,15)-DATE(2021,12,17)</x:f>
        <x:v>1763</x:v>
      </x:c>
      <x:c r="O3244" s="2"/>
      <x:c r="P3244" s="2" t="str">
        <x:v>모니터링보고서 및 검증보고서 내 보안유지 필요부분 구체화 필요</x:v>
      </x:c>
      <x:c r="Q3244" s="2" t="str">
        <x:v>산업전환 외부사업 정보비공개 신청 관리 Tool_260707_LJY_261013.xlsx</x:v>
      </x:c>
      <x:c r="R3244" s="2" t="str">
        <x:v>(비공개)국내인증</x:v>
      </x:c>
      <x:c r="S3244" s="8" t="n">
        <x:v>22</x:v>
      </x:c>
      <x:c r="T3244" s="2"/>
      <x:c r="U3244" s="2" t="str"/>
      <x:c r="V3244" s="2" t="str">
        <x:v>2022-10-19</x:v>
      </x:c>
      <x:c r="W3244" s="2" t="str"/>
      <x:c r="X3244" s="2" t="str">
        <x:v>보완 회신 일정 확인</x:v>
      </x:c>
      <x:c r="Y3244" s="2" t="str">
        <x:v>22df6d619b696c1eba8e26790f6382083d9fb1bc48481283e3e8a92ea6897677</x:v>
      </x:c>
      <x:c r="Z3244" s="2" t="n">
        <x:f>SUBTOTAL(103,A3244)</x:f>
        <x:v>1</x:v>
      </x:c>
      <x:c r="AA3244" s="2" t="str">
        <x:f>IF(K3244&lt;&gt;"미종결 표시","대상 아님",IF(N3244="","신청일 확인",IF(NOT(ISNUMBER('종합 현황'!$H$5)),"관찰기준 확인",IF('종합 현황'!$H$5&lt;1,"관찰기준 확인",IF(N3244&gt;'종합 현황'!$H$5,"내부 관찰 대상","내부 관찰일 이하")))))</x:f>
        <x:v>내부 관찰 대상</x:v>
      </x:c>
      <x:c r="AB3244" s="2"/>
    </x:row>
    <x:row r="3245" ht="42" customHeight="1">
      <x:c r="A3245" s="2" t="str">
        <x:v>2382bdb64d8015d186362750</x:v>
      </x:c>
      <x:c r="B3245" s="2" t="str">
        <x:v>인증 비공개 신청</x:v>
      </x:c>
      <x:c r="C3245" s="2" t="str">
        <x:v>국내</x:v>
      </x:c>
      <x:c r="D3245" s="7" t="str">
        <x:v>현대리바트의 부생연료 1호에서 LNG로 연료전환을 통한 온실가스 배출 감축사업</x:v>
      </x:c>
      <x:c r="E3245" s="2" t="str">
        <x:v>21</x:v>
      </x:c>
      <x:c r="F3245" s="2" t="str">
        <x:v>2021-09-28</x:v>
      </x:c>
      <x:c r="G3245" s="2" t="str">
        <x:v>2021</x:v>
      </x:c>
      <x:c r="H3245" s="2" t="str">
        <x:v>09</x:v>
      </x:c>
      <x:c r="I3245" s="2" t="str">
        <x:v>보완요청</x:v>
      </x:c>
      <x:c r="J3245" s="2" t="str">
        <x:v>보완요청</x:v>
      </x:c>
      <x:c r="K3245" s="2" t="str">
        <x:f>IF(OR(J3245="심의승인",J3245="반려",J3245="반려완료",J3245="심의완료"),"종결 표시",IF(OR(J3245="기후부협의",J3245="문서재제출요청",J3245="보류",J3245="보완요청",J3245="보완완료",J3245="평가중",J3245="반려요청",J3245="평가필요",LEFT(J3245,5)="보완요청("),"미종결 표시","상태 확인 필요"))</x:f>
        <x:v>미종결 표시</x:v>
      </x:c>
      <x:c r="L3245" s="2" t="str">
        <x:v>에코시안</x:v>
      </x:c>
      <x:c r="M3245" s="2"/>
      <x:c r="N3245" s="8" t="n">
        <x:f>DATE(2026,10,15)-DATE(2021,9,28)</x:f>
        <x:v>1843</x:v>
      </x:c>
      <x:c r="O3245" s="2"/>
      <x:c r="P3245" s="2" t="str">
        <x:v>모니터링보고서 및 검증보고서 내 보안유지 필요부분 구체화 필요</x:v>
      </x:c>
      <x:c r="Q3245" s="2" t="str">
        <x:v>산업전환 외부사업 정보비공개 신청 관리 Tool_260707_LJY_261013.xlsx</x:v>
      </x:c>
      <x:c r="R3245" s="2" t="str">
        <x:v>(비공개)국내인증</x:v>
      </x:c>
      <x:c r="S3245" s="8" t="n">
        <x:v>23</x:v>
      </x:c>
      <x:c r="T3245" s="2"/>
      <x:c r="U3245" s="2" t="str"/>
      <x:c r="V3245" s="2" t="str">
        <x:v>2022-10-19</x:v>
      </x:c>
      <x:c r="W3245" s="2" t="str"/>
      <x:c r="X3245" s="2" t="str">
        <x:v>보완 회신 일정 확인</x:v>
      </x:c>
      <x:c r="Y3245" s="2" t="str">
        <x:v>22df6d619b696c1eba8e26790f6382083d9fb1bc48481283e3e8a92ea6897677</x:v>
      </x:c>
      <x:c r="Z3245" s="2" t="n">
        <x:f>SUBTOTAL(103,A3245)</x:f>
        <x:v>1</x:v>
      </x:c>
      <x:c r="AA3245" s="2" t="str">
        <x:f>IF(K3245&lt;&gt;"미종결 표시","대상 아님",IF(N3245="","신청일 확인",IF(NOT(ISNUMBER('종합 현황'!$H$5)),"관찰기준 확인",IF('종합 현황'!$H$5&lt;1,"관찰기준 확인",IF(N3245&gt;'종합 현황'!$H$5,"내부 관찰 대상","내부 관찰일 이하")))))</x:f>
        <x:v>내부 관찰 대상</x:v>
      </x:c>
      <x:c r="AB3245" s="2"/>
    </x:row>
    <x:row r="3246" ht="42" customHeight="1">
      <x:c r="A3246" s="2" t="str">
        <x:v>52e4519f52e665baf64272e5</x:v>
      </x:c>
      <x:c r="B3246" s="2" t="str">
        <x:v>인증 비공개 신청</x:v>
      </x:c>
      <x:c r="C3246" s="2" t="str">
        <x:v>국내</x:v>
      </x:c>
      <x:c r="D3246" s="7" t="str">
        <x:v>우성세라믹스공업의 LPG에서 LNG로 연료전환을 통한 온실가스 배출 감축사업</x:v>
      </x:c>
      <x:c r="E3246" s="2" t="str">
        <x:v>22</x:v>
      </x:c>
      <x:c r="F3246" s="2" t="str">
        <x:v>2021-09-28</x:v>
      </x:c>
      <x:c r="G3246" s="2" t="str">
        <x:v>2021</x:v>
      </x:c>
      <x:c r="H3246" s="2" t="str">
        <x:v>09</x:v>
      </x:c>
      <x:c r="I3246" s="2" t="str">
        <x:v>보완요청</x:v>
      </x:c>
      <x:c r="J3246" s="2" t="str">
        <x:v>보완요청</x:v>
      </x:c>
      <x:c r="K3246" s="2" t="str">
        <x:f>IF(OR(J3246="심의승인",J3246="반려",J3246="반려완료",J3246="심의완료"),"종결 표시",IF(OR(J3246="기후부협의",J3246="문서재제출요청",J3246="보류",J3246="보완요청",J3246="보완완료",J3246="평가중",J3246="반려요청",J3246="평가필요",LEFT(J3246,5)="보완요청("),"미종결 표시","상태 확인 필요"))</x:f>
        <x:v>미종결 표시</x:v>
      </x:c>
      <x:c r="L3246" s="2" t="str">
        <x:v>에코시안_조영우</x:v>
      </x:c>
      <x:c r="M3246" s="2"/>
      <x:c r="N3246" s="8" t="n">
        <x:f>DATE(2026,10,15)-DATE(2021,9,28)</x:f>
        <x:v>1843</x:v>
      </x:c>
      <x:c r="O3246" s="2"/>
      <x:c r="P3246" s="2" t="str">
        <x:v>모니터링보고서 및 검증보고서 내 보안유지 필요부분 구체화 필요</x:v>
      </x:c>
      <x:c r="Q3246" s="2" t="str">
        <x:v>산업전환 외부사업 정보비공개 신청 관리 Tool_260707_LJY_261013.xlsx</x:v>
      </x:c>
      <x:c r="R3246" s="2" t="str">
        <x:v>(비공개)국내인증</x:v>
      </x:c>
      <x:c r="S3246" s="8" t="n">
        <x:v>24</x:v>
      </x:c>
      <x:c r="T3246" s="2"/>
      <x:c r="U3246" s="2" t="str"/>
      <x:c r="V3246" s="2" t="str">
        <x:v>2022-06-03</x:v>
      </x:c>
      <x:c r="W3246" s="2" t="str"/>
      <x:c r="X3246" s="2" t="str">
        <x:v>보완 회신 일정 확인</x:v>
      </x:c>
      <x:c r="Y3246" s="2" t="str">
        <x:v>22df6d619b696c1eba8e26790f6382083d9fb1bc48481283e3e8a92ea6897677</x:v>
      </x:c>
      <x:c r="Z3246" s="2" t="n">
        <x:f>SUBTOTAL(103,A3246)</x:f>
        <x:v>1</x:v>
      </x:c>
      <x:c r="AA3246" s="2" t="str">
        <x:f>IF(K3246&lt;&gt;"미종결 표시","대상 아님",IF(N3246="","신청일 확인",IF(NOT(ISNUMBER('종합 현황'!$H$5)),"관찰기준 확인",IF('종합 현황'!$H$5&lt;1,"관찰기준 확인",IF(N3246&gt;'종합 현황'!$H$5,"내부 관찰 대상","내부 관찰일 이하")))))</x:f>
        <x:v>내부 관찰 대상</x:v>
      </x:c>
      <x:c r="AB3246" s="2"/>
    </x:row>
    <x:row r="3247" ht="42" customHeight="1">
      <x:c r="A3247" s="2" t="str">
        <x:v>d1e36bf7d446875b5bfda54d</x:v>
      </x:c>
      <x:c r="B3247" s="2" t="str">
        <x:v>인증 비공개 신청</x:v>
      </x:c>
      <x:c r="C3247" s="2" t="str">
        <x:v>국내</x:v>
      </x:c>
      <x:c r="D3247" s="7" t="str">
        <x:v>태형기업(주) 양주사업장의 B-C유에서 도시가스(LNG)로 연료전환을 통한 온실가스(CO2) 배출 감축사업</x:v>
      </x:c>
      <x:c r="E3247" s="2" t="str">
        <x:v>23</x:v>
      </x:c>
      <x:c r="F3247" s="2" t="str">
        <x:v>2021-04-22</x:v>
      </x:c>
      <x:c r="G3247" s="2" t="str">
        <x:v>2021</x:v>
      </x:c>
      <x:c r="H3247" s="2" t="str">
        <x:v>04</x:v>
      </x:c>
      <x:c r="I3247" s="2" t="str">
        <x:v>보완요청</x:v>
      </x:c>
      <x:c r="J3247" s="2" t="str">
        <x:v>보완요청</x:v>
      </x:c>
      <x:c r="K3247" s="2" t="str">
        <x:f>IF(OR(J3247="심의승인",J3247="반려",J3247="반려완료",J3247="심의완료"),"종결 표시",IF(OR(J3247="기후부협의",J3247="문서재제출요청",J3247="보류",J3247="보완요청",J3247="보완완료",J3247="평가중",J3247="반려요청",J3247="평가필요",LEFT(J3247,5)="보완요청("),"미종결 표시","상태 확인 필요"))</x:f>
        <x:v>미종결 표시</x:v>
      </x:c>
      <x:c r="L3247" s="2" t="str">
        <x:v>에코시안_조영우</x:v>
      </x:c>
      <x:c r="M3247" s="2"/>
      <x:c r="N3247" s="8" t="n">
        <x:f>DATE(2026,10,15)-DATE(2021,4,22)</x:f>
        <x:v>2002</x:v>
      </x:c>
      <x:c r="O3247" s="2"/>
      <x:c r="P3247" s="2" t="str">
        <x:v>모니터링보고서 및 검증보고서 내 보안유지 필요부분 구체화 필요</x:v>
      </x:c>
      <x:c r="Q3247" s="2" t="str">
        <x:v>산업전환 외부사업 정보비공개 신청 관리 Tool_260707_LJY_261013.xlsx</x:v>
      </x:c>
      <x:c r="R3247" s="2" t="str">
        <x:v>(비공개)국내인증</x:v>
      </x:c>
      <x:c r="S3247" s="8" t="n">
        <x:v>25</x:v>
      </x:c>
      <x:c r="T3247" s="2"/>
      <x:c r="U3247" s="2" t="str"/>
      <x:c r="V3247" s="2" t="str">
        <x:v>2022-06-03</x:v>
      </x:c>
      <x:c r="W3247" s="2" t="str"/>
      <x:c r="X3247" s="2" t="str">
        <x:v>보완 회신 일정 확인</x:v>
      </x:c>
      <x:c r="Y3247" s="2" t="str">
        <x:v>22df6d619b696c1eba8e26790f6382083d9fb1bc48481283e3e8a92ea6897677</x:v>
      </x:c>
      <x:c r="Z3247" s="2" t="n">
        <x:f>SUBTOTAL(103,A3247)</x:f>
        <x:v>1</x:v>
      </x:c>
      <x:c r="AA3247" s="2" t="str">
        <x:f>IF(K3247&lt;&gt;"미종결 표시","대상 아님",IF(N3247="","신청일 확인",IF(NOT(ISNUMBER('종합 현황'!$H$5)),"관찰기준 확인",IF('종합 현황'!$H$5&lt;1,"관찰기준 확인",IF(N3247&gt;'종합 현황'!$H$5,"내부 관찰 대상","내부 관찰일 이하")))))</x:f>
        <x:v>내부 관찰 대상</x:v>
      </x:c>
      <x:c r="AB3247" s="2"/>
    </x:row>
    <x:row r="3248" ht="42" customHeight="1">
      <x:c r="A3248" s="2" t="str">
        <x:v>fcd24a1ee9c1c6474750c61f</x:v>
      </x:c>
      <x:c r="B3248" s="2" t="str">
        <x:v>인증 비공개 신청</x:v>
      </x:c>
      <x:c r="C3248" s="2" t="str">
        <x:v>국내</x:v>
      </x:c>
      <x:c r="D3248" s="7" t="str">
        <x:v>덕성 인천사업장의 B-A유 및 B-C유에서 LNG로 연료전환을 통한 온실가스 배출 감축사업</x:v>
      </x:c>
      <x:c r="E3248" s="2" t="str">
        <x:v>24</x:v>
      </x:c>
      <x:c r="F3248" s="2" t="str">
        <x:v>2023-11-24</x:v>
      </x:c>
      <x:c r="G3248" s="2" t="str">
        <x:v>2023</x:v>
      </x:c>
      <x:c r="H3248" s="2" t="str">
        <x:v>11</x:v>
      </x:c>
      <x:c r="I3248" s="2" t="str">
        <x:v>보완요청</x:v>
      </x:c>
      <x:c r="J3248" s="2" t="str">
        <x:v>보완요청</x:v>
      </x:c>
      <x:c r="K3248" s="2" t="str">
        <x:f>IF(OR(J3248="심의승인",J3248="반려",J3248="반려완료",J3248="심의완료"),"종결 표시",IF(OR(J3248="기후부협의",J3248="문서재제출요청",J3248="보류",J3248="보완요청",J3248="보완완료",J3248="평가중",J3248="반려요청",J3248="평가필요",LEFT(J3248,5)="보완요청("),"미종결 표시","상태 확인 필요"))</x:f>
        <x:v>미종결 표시</x:v>
      </x:c>
      <x:c r="L3248" s="2" t="str">
        <x:v>에코시안_조영우</x:v>
      </x:c>
      <x:c r="M3248" s="2"/>
      <x:c r="N3248" s="8" t="n">
        <x:f>DATE(2026,10,15)-DATE(2023,11,24)</x:f>
        <x:v>1056</x:v>
      </x:c>
      <x:c r="O3248" s="2"/>
      <x:c r="P3248" s="2" t="str">
        <x:v>모니터링보고서 및 검증보고서 내 보안유지 필요부분 구체화 필요</x:v>
      </x:c>
      <x:c r="Q3248" s="2" t="str">
        <x:v>산업전환 외부사업 정보비공개 신청 관리 Tool_260707_LJY_261013.xlsx</x:v>
      </x:c>
      <x:c r="R3248" s="2" t="str">
        <x:v>(비공개)국내인증</x:v>
      </x:c>
      <x:c r="S3248" s="8" t="n">
        <x:v>26</x:v>
      </x:c>
      <x:c r="T3248" s="2"/>
      <x:c r="U3248" s="2" t="str"/>
      <x:c r="V3248" s="2" t="str">
        <x:v>2024-06-17</x:v>
      </x:c>
      <x:c r="W3248" s="2" t="str"/>
      <x:c r="X3248" s="2" t="str">
        <x:v>보완 회신 일정 확인</x:v>
      </x:c>
      <x:c r="Y3248" s="2" t="str">
        <x:v>22df6d619b696c1eba8e26790f6382083d9fb1bc48481283e3e8a92ea6897677</x:v>
      </x:c>
      <x:c r="Z3248" s="2" t="n">
        <x:f>SUBTOTAL(103,A3248)</x:f>
        <x:v>1</x:v>
      </x:c>
      <x:c r="AA3248" s="2" t="str">
        <x:f>IF(K3248&lt;&gt;"미종결 표시","대상 아님",IF(N3248="","신청일 확인",IF(NOT(ISNUMBER('종합 현황'!$H$5)),"관찰기준 확인",IF('종합 현황'!$H$5&lt;1,"관찰기준 확인",IF(N3248&gt;'종합 현황'!$H$5,"내부 관찰 대상","내부 관찰일 이하")))))</x:f>
        <x:v>내부 관찰 대상</x:v>
      </x:c>
      <x:c r="AB3248" s="2"/>
    </x:row>
    <x:row r="3249" ht="42" customHeight="1">
      <x:c r="A3249" s="2" t="str">
        <x:v>942a72be564f715a187bbd9d</x:v>
      </x:c>
      <x:c r="B3249" s="2" t="str">
        <x:v>인증 비공개 신청</x:v>
      </x:c>
      <x:c r="C3249" s="2" t="str">
        <x:v>국내</x:v>
      </x:c>
      <x:c r="D3249" s="7" t="str">
        <x:v>삼일이노팩의 B-C유에서 LNG로 연료전환을 통한 온실가스 배출 감축사업</x:v>
      </x:c>
      <x:c r="E3249" s="2" t="str">
        <x:v>25</x:v>
      </x:c>
      <x:c r="F3249" s="2" t="str">
        <x:v>2022-11-15</x:v>
      </x:c>
      <x:c r="G3249" s="2" t="str">
        <x:v>2022</x:v>
      </x:c>
      <x:c r="H3249" s="2" t="str">
        <x:v>11</x:v>
      </x:c>
      <x:c r="I3249" s="2" t="str">
        <x:v>보완요청</x:v>
      </x:c>
      <x:c r="J3249" s="2" t="str">
        <x:v>보완요청</x:v>
      </x:c>
      <x:c r="K3249" s="2" t="str">
        <x:f>IF(OR(J3249="심의승인",J3249="반려",J3249="반려완료",J3249="심의완료"),"종결 표시",IF(OR(J3249="기후부협의",J3249="문서재제출요청",J3249="보류",J3249="보완요청",J3249="보완완료",J3249="평가중",J3249="반려요청",J3249="평가필요",LEFT(J3249,5)="보완요청("),"미종결 표시","상태 확인 필요"))</x:f>
        <x:v>미종결 표시</x:v>
      </x:c>
      <x:c r="L3249" s="2" t="str">
        <x:v>에코시안_조영우</x:v>
      </x:c>
      <x:c r="M3249" s="2"/>
      <x:c r="N3249" s="8" t="n">
        <x:f>DATE(2026,10,15)-DATE(2022,11,15)</x:f>
        <x:v>1430</x:v>
      </x:c>
      <x:c r="O3249" s="2"/>
      <x:c r="P3249" s="2" t="str">
        <x:v>모니터링보고서 및 검증보고서 내 보안유지 필요부분 구체화 필요</x:v>
      </x:c>
      <x:c r="Q3249" s="2" t="str">
        <x:v>산업전환 외부사업 정보비공개 신청 관리 Tool_260707_LJY_261013.xlsx</x:v>
      </x:c>
      <x:c r="R3249" s="2" t="str">
        <x:v>(비공개)국내인증</x:v>
      </x:c>
      <x:c r="S3249" s="8" t="n">
        <x:v>27</x:v>
      </x:c>
      <x:c r="T3249" s="2"/>
      <x:c r="U3249" s="2" t="str"/>
      <x:c r="V3249" s="2" t="str">
        <x:v>2024-06-17</x:v>
      </x:c>
      <x:c r="W3249" s="2" t="str"/>
      <x:c r="X3249" s="2" t="str">
        <x:v>보완 회신 일정 확인</x:v>
      </x:c>
      <x:c r="Y3249" s="2" t="str">
        <x:v>22df6d619b696c1eba8e26790f6382083d9fb1bc48481283e3e8a92ea6897677</x:v>
      </x:c>
      <x:c r="Z3249" s="2" t="n">
        <x:f>SUBTOTAL(103,A3249)</x:f>
        <x:v>1</x:v>
      </x:c>
      <x:c r="AA3249" s="2" t="str">
        <x:f>IF(K3249&lt;&gt;"미종결 표시","대상 아님",IF(N3249="","신청일 확인",IF(NOT(ISNUMBER('종합 현황'!$H$5)),"관찰기준 확인",IF('종합 현황'!$H$5&lt;1,"관찰기준 확인",IF(N3249&gt;'종합 현황'!$H$5,"내부 관찰 대상","내부 관찰일 이하")))))</x:f>
        <x:v>내부 관찰 대상</x:v>
      </x:c>
      <x:c r="AB3249" s="2"/>
    </x:row>
    <x:row r="3250" ht="42" customHeight="1">
      <x:c r="A3250" s="2" t="str">
        <x:v>305f05372f72fdbc60517451</x:v>
      </x:c>
      <x:c r="B3250" s="2" t="str">
        <x:v>인증 비공개 신청</x:v>
      </x:c>
      <x:c r="C3250" s="2" t="str">
        <x:v>국내</x:v>
      </x:c>
      <x:c r="D3250" s="7" t="str">
        <x:v>한미약품의 경유에서 LNG로 연료전환을 통한 온실가스 배출 감축사업</x:v>
      </x:c>
      <x:c r="E3250" s="2" t="str">
        <x:v>26</x:v>
      </x:c>
      <x:c r="F3250" s="2" t="str">
        <x:v>2021-02-09</x:v>
      </x:c>
      <x:c r="G3250" s="2" t="str">
        <x:v>2021</x:v>
      </x:c>
      <x:c r="H3250" s="2" t="str">
        <x:v>02</x:v>
      </x:c>
      <x:c r="I3250" s="2" t="str">
        <x:v>보완요청</x:v>
      </x:c>
      <x:c r="J3250" s="2" t="str">
        <x:v>보완요청</x:v>
      </x:c>
      <x:c r="K3250" s="2" t="str">
        <x:f>IF(OR(J3250="심의승인",J3250="반려",J3250="반려완료",J3250="심의완료"),"종결 표시",IF(OR(J3250="기후부협의",J3250="문서재제출요청",J3250="보류",J3250="보완요청",J3250="보완완료",J3250="평가중",J3250="반려요청",J3250="평가필요",LEFT(J3250,5)="보완요청("),"미종결 표시","상태 확인 필요"))</x:f>
        <x:v>미종결 표시</x:v>
      </x:c>
      <x:c r="L3250" s="2" t="str">
        <x:v>에코시안_조영우</x:v>
      </x:c>
      <x:c r="M3250" s="2"/>
      <x:c r="N3250" s="8" t="n">
        <x:f>DATE(2026,10,15)-DATE(2021,2,9)</x:f>
        <x:v>2074</x:v>
      </x:c>
      <x:c r="O3250" s="2"/>
      <x:c r="P3250" s="2" t="str">
        <x:v>모니터링보고서 및 검증보고서 내 보안유지 필요부분 구체화 필요</x:v>
      </x:c>
      <x:c r="Q3250" s="2" t="str">
        <x:v>산업전환 외부사업 정보비공개 신청 관리 Tool_260707_LJY_261013.xlsx</x:v>
      </x:c>
      <x:c r="R3250" s="2" t="str">
        <x:v>(비공개)국내인증</x:v>
      </x:c>
      <x:c r="S3250" s="8" t="n">
        <x:v>28</x:v>
      </x:c>
      <x:c r="T3250" s="2"/>
      <x:c r="U3250" s="2" t="str"/>
      <x:c r="V3250" s="2" t="str">
        <x:v>2022-06-03</x:v>
      </x:c>
      <x:c r="W3250" s="2" t="str"/>
      <x:c r="X3250" s="2" t="str">
        <x:v>보완 회신 일정 확인</x:v>
      </x:c>
      <x:c r="Y3250" s="2" t="str">
        <x:v>22df6d619b696c1eba8e26790f6382083d9fb1bc48481283e3e8a92ea6897677</x:v>
      </x:c>
      <x:c r="Z3250" s="2" t="n">
        <x:f>SUBTOTAL(103,A3250)</x:f>
        <x:v>1</x:v>
      </x:c>
      <x:c r="AA3250" s="2" t="str">
        <x:f>IF(K3250&lt;&gt;"미종결 표시","대상 아님",IF(N3250="","신청일 확인",IF(NOT(ISNUMBER('종합 현황'!$H$5)),"관찰기준 확인",IF('종합 현황'!$H$5&lt;1,"관찰기준 확인",IF(N3250&gt;'종합 현황'!$H$5,"내부 관찰 대상","내부 관찰일 이하")))))</x:f>
        <x:v>내부 관찰 대상</x:v>
      </x:c>
      <x:c r="AB3250" s="2"/>
    </x:row>
    <x:row r="3251" ht="42" customHeight="1">
      <x:c r="A3251" s="2" t="str">
        <x:v>7e20832a7904c2ade5e82702</x:v>
      </x:c>
      <x:c r="B3251" s="2" t="str">
        <x:v>인증 비공개 신청</x:v>
      </x:c>
      <x:c r="C3251" s="2" t="str">
        <x:v>국내</x:v>
      </x:c>
      <x:c r="D3251" s="7" t="str">
        <x:v>(주)대평의 연료전환 (B-B유 → LNG)에 의한 온실가스(CO2) 배출 감축사업</x:v>
      </x:c>
      <x:c r="E3251" s="2" t="str">
        <x:v>27</x:v>
      </x:c>
      <x:c r="F3251" s="2" t="str">
        <x:v>2021-01-25</x:v>
      </x:c>
      <x:c r="G3251" s="2" t="str">
        <x:v>2021</x:v>
      </x:c>
      <x:c r="H3251" s="2" t="str">
        <x:v>01</x:v>
      </x:c>
      <x:c r="I3251" s="2" t="str">
        <x:v>보완요청</x:v>
      </x:c>
      <x:c r="J3251" s="2" t="str">
        <x:v>보완요청</x:v>
      </x:c>
      <x:c r="K3251" s="2" t="str">
        <x:f>IF(OR(J3251="심의승인",J3251="반려",J3251="반려완료",J3251="심의완료"),"종결 표시",IF(OR(J3251="기후부협의",J3251="문서재제출요청",J3251="보류",J3251="보완요청",J3251="보완완료",J3251="평가중",J3251="반려요청",J3251="평가필요",LEFT(J3251,5)="보완요청("),"미종결 표시","상태 확인 필요"))</x:f>
        <x:v>미종결 표시</x:v>
      </x:c>
      <x:c r="L3251" s="2" t="str">
        <x:v>에코시안_조영우</x:v>
      </x:c>
      <x:c r="M3251" s="2"/>
      <x:c r="N3251" s="8" t="n">
        <x:f>DATE(2026,10,15)-DATE(2021,1,25)</x:f>
        <x:v>2089</x:v>
      </x:c>
      <x:c r="O3251" s="2"/>
      <x:c r="P3251" s="2" t="str">
        <x:v>모니터링보고서 및 검증보고서 내 보안유지 필요부분 구체화 필요</x:v>
      </x:c>
      <x:c r="Q3251" s="2" t="str">
        <x:v>산업전환 외부사업 정보비공개 신청 관리 Tool_260707_LJY_261013.xlsx</x:v>
      </x:c>
      <x:c r="R3251" s="2" t="str">
        <x:v>(비공개)국내인증</x:v>
      </x:c>
      <x:c r="S3251" s="8" t="n">
        <x:v>29</x:v>
      </x:c>
      <x:c r="T3251" s="2"/>
      <x:c r="U3251" s="2" t="str"/>
      <x:c r="V3251" s="2" t="str">
        <x:v>2022-06-03</x:v>
      </x:c>
      <x:c r="W3251" s="2" t="str"/>
      <x:c r="X3251" s="2" t="str">
        <x:v>보완 회신 일정 확인</x:v>
      </x:c>
      <x:c r="Y3251" s="2" t="str">
        <x:v>22df6d619b696c1eba8e26790f6382083d9fb1bc48481283e3e8a92ea6897677</x:v>
      </x:c>
      <x:c r="Z3251" s="2" t="n">
        <x:f>SUBTOTAL(103,A3251)</x:f>
        <x:v>1</x:v>
      </x:c>
      <x:c r="AA3251" s="2" t="str">
        <x:f>IF(K3251&lt;&gt;"미종결 표시","대상 아님",IF(N3251="","신청일 확인",IF(NOT(ISNUMBER('종합 현황'!$H$5)),"관찰기준 확인",IF('종합 현황'!$H$5&lt;1,"관찰기준 확인",IF(N3251&gt;'종합 현황'!$H$5,"내부 관찰 대상","내부 관찰일 이하")))))</x:f>
        <x:v>내부 관찰 대상</x:v>
      </x:c>
      <x:c r="AB3251" s="2"/>
    </x:row>
    <x:row r="3252" ht="42" customHeight="1">
      <x:c r="A3252" s="2" t="str">
        <x:v>6ee330524e1fa7656bd0f82f</x:v>
      </x:c>
      <x:c r="B3252" s="2" t="str">
        <x:v>인증 비공개 신청</x:v>
      </x:c>
      <x:c r="C3252" s="2" t="str">
        <x:v>국내</x:v>
      </x:c>
      <x:c r="D3252" s="7" t="str">
        <x:v>마니커 동두천지점의 B-C유에서 LNG로 연료전환을 통한 온실가스 배출 감축사업</x:v>
      </x:c>
      <x:c r="E3252" s="2" t="str">
        <x:v>28</x:v>
      </x:c>
      <x:c r="F3252" s="2" t="str">
        <x:v>2020-09-02</x:v>
      </x:c>
      <x:c r="G3252" s="2" t="str">
        <x:v>2020</x:v>
      </x:c>
      <x:c r="H3252" s="2" t="str">
        <x:v>09</x:v>
      </x:c>
      <x:c r="I3252" s="2" t="str">
        <x:v>보완요청</x:v>
      </x:c>
      <x:c r="J3252" s="2" t="str">
        <x:v>보완요청</x:v>
      </x:c>
      <x:c r="K3252" s="2" t="str">
        <x:f>IF(OR(J3252="심의승인",J3252="반려",J3252="반려완료",J3252="심의완료"),"종결 표시",IF(OR(J3252="기후부협의",J3252="문서재제출요청",J3252="보류",J3252="보완요청",J3252="보완완료",J3252="평가중",J3252="반려요청",J3252="평가필요",LEFT(J3252,5)="보완요청("),"미종결 표시","상태 확인 필요"))</x:f>
        <x:v>미종결 표시</x:v>
      </x:c>
      <x:c r="L3252" s="2" t="str">
        <x:v>에코시안_조영우</x:v>
      </x:c>
      <x:c r="M3252" s="2"/>
      <x:c r="N3252" s="8" t="n">
        <x:f>DATE(2026,10,15)-DATE(2020,9,2)</x:f>
        <x:v>2234</x:v>
      </x:c>
      <x:c r="O3252" s="2"/>
      <x:c r="P3252" s="2" t="str">
        <x:v>모니터링보고서 및 검증보고서 내 보안유지 필요부분 구체화 필요</x:v>
      </x:c>
      <x:c r="Q3252" s="2" t="str">
        <x:v>산업전환 외부사업 정보비공개 신청 관리 Tool_260707_LJY_261013.xlsx</x:v>
      </x:c>
      <x:c r="R3252" s="2" t="str">
        <x:v>(비공개)국내인증</x:v>
      </x:c>
      <x:c r="S3252" s="8" t="n">
        <x:v>30</x:v>
      </x:c>
      <x:c r="T3252" s="2"/>
      <x:c r="U3252" s="2" t="str"/>
      <x:c r="V3252" s="2" t="str">
        <x:v>2022-06-03</x:v>
      </x:c>
      <x:c r="W3252" s="2" t="str"/>
      <x:c r="X3252" s="2" t="str">
        <x:v>보완 회신 일정 확인</x:v>
      </x:c>
      <x:c r="Y3252" s="2" t="str">
        <x:v>22df6d619b696c1eba8e26790f6382083d9fb1bc48481283e3e8a92ea6897677</x:v>
      </x:c>
      <x:c r="Z3252" s="2" t="n">
        <x:f>SUBTOTAL(103,A3252)</x:f>
        <x:v>1</x:v>
      </x:c>
      <x:c r="AA3252" s="2" t="str">
        <x:f>IF(K3252&lt;&gt;"미종결 표시","대상 아님",IF(N3252="","신청일 확인",IF(NOT(ISNUMBER('종합 현황'!$H$5)),"관찰기준 확인",IF('종합 현황'!$H$5&lt;1,"관찰기준 확인",IF(N3252&gt;'종합 현황'!$H$5,"내부 관찰 대상","내부 관찰일 이하")))))</x:f>
        <x:v>내부 관찰 대상</x:v>
      </x:c>
      <x:c r="AB3252" s="2"/>
    </x:row>
    <x:row r="3253" ht="42" customHeight="1">
      <x:c r="A3253" s="2" t="str">
        <x:v>10bbd3283fb1e4090c4fa68f</x:v>
      </x:c>
      <x:c r="B3253" s="2" t="str">
        <x:v>인증 비공개 신청</x:v>
      </x:c>
      <x:c r="C3253" s="2" t="str">
        <x:v>국내</x:v>
      </x:c>
      <x:c r="D3253" s="7" t="str">
        <x:v>(주)한화 울산소재 질산공장 N2O감축 프로젝트</x:v>
      </x:c>
      <x:c r="E3253" s="2" t="str">
        <x:v>29</x:v>
      </x:c>
      <x:c r="F3253" s="2" t="str">
        <x:v>2022-06-16</x:v>
      </x:c>
      <x:c r="G3253" s="2" t="str">
        <x:v>2022</x:v>
      </x:c>
      <x:c r="H3253" s="2" t="str">
        <x:v>06</x:v>
      </x:c>
      <x:c r="I3253" s="2" t="str">
        <x:v>반려</x:v>
      </x:c>
      <x:c r="J3253" s="2" t="str">
        <x:v>반려완료</x:v>
      </x:c>
      <x:c r="K3253" s="2" t="str">
        <x:f>IF(OR(J3253="심의승인",J3253="반려",J3253="반려완료",J3253="심의완료"),"종결 표시",IF(OR(J3253="기후부협의",J3253="문서재제출요청",J3253="보류",J3253="보완요청",J3253="보완완료",J3253="평가중",J3253="반려요청",J3253="평가필요",LEFT(J3253,5)="보완요청("),"미종결 표시","상태 확인 필요"))</x:f>
        <x:v>종결 표시</x:v>
      </x:c>
      <x:c r="L3253" s="2" t="str">
        <x:v>에코시안_조영우</x:v>
      </x:c>
      <x:c r="M3253" s="2"/>
      <x:c r="N3253" s="8" t="n">
        <x:f>DATE(2026,10,15)-DATE(2022,6,16)</x:f>
        <x:v>1582</x:v>
      </x:c>
      <x:c r="O3253" s="2"/>
      <x:c r="P3253" s="2" t="str">
        <x:v>사업자 반려 요청</x:v>
      </x:c>
      <x:c r="Q3253" s="2" t="str">
        <x:v>산업전환 외부사업 정보비공개 신청 관리 Tool_260707_LJY_261013.xlsx</x:v>
      </x:c>
      <x:c r="R3253" s="2" t="str">
        <x:v>(비공개)국내인증</x:v>
      </x:c>
      <x:c r="S3253" s="8" t="n">
        <x:v>31</x:v>
      </x:c>
      <x:c r="T3253" s="2"/>
      <x:c r="U3253" s="2" t="str"/>
      <x:c r="V3253" s="2" t="str">
        <x:v>2022-09-28</x:v>
      </x:c>
      <x:c r="W3253" s="2" t="str"/>
      <x:c r="X3253" s="2" t="str">
        <x:v>종결 근거 보관</x:v>
      </x:c>
      <x:c r="Y3253" s="2" t="str">
        <x:v>22df6d619b696c1eba8e26790f6382083d9fb1bc48481283e3e8a92ea6897677</x:v>
      </x:c>
      <x:c r="Z3253" s="2" t="n">
        <x:f>SUBTOTAL(103,A3253)</x:f>
        <x:v>1</x:v>
      </x:c>
      <x:c r="AA3253" s="2" t="str">
        <x:f>IF(K3253&lt;&gt;"미종결 표시","대상 아님",IF(N3253="","신청일 확인",IF(NOT(ISNUMBER('종합 현황'!$H$5)),"관찰기준 확인",IF('종합 현황'!$H$5&lt;1,"관찰기준 확인",IF(N3253&gt;'종합 현황'!$H$5,"내부 관찰 대상","내부 관찰일 이하")))))</x:f>
        <x:v>대상 아님</x:v>
      </x:c>
      <x:c r="AB3253" s="2"/>
    </x:row>
    <x:row r="3254" ht="42" customHeight="1">
      <x:c r="A3254" s="2" t="str">
        <x:v>18e6b4f5cbb80bc02f681344</x:v>
      </x:c>
      <x:c r="B3254" s="2" t="str">
        <x:v>인증 비공개 신청</x:v>
      </x:c>
      <x:c r="C3254" s="2" t="str">
        <x:v>국내</x:v>
      </x:c>
      <x:c r="D3254" s="7" t="str">
        <x:v>부일화학의 B-C유에서 LNG로 연료전환을 통한 온실가스 배출 감축사업</x:v>
      </x:c>
      <x:c r="E3254" s="2" t="str">
        <x:v>30</x:v>
      </x:c>
      <x:c r="F3254" s="2" t="str">
        <x:v>2020-08-24</x:v>
      </x:c>
      <x:c r="G3254" s="2" t="str">
        <x:v>2020</x:v>
      </x:c>
      <x:c r="H3254" s="2" t="str">
        <x:v>08</x:v>
      </x:c>
      <x:c r="I3254" s="2" t="str">
        <x:v>보완요청</x:v>
      </x:c>
      <x:c r="J3254" s="2" t="str">
        <x:v>보완요청</x:v>
      </x:c>
      <x:c r="K3254" s="2" t="str">
        <x:f>IF(OR(J3254="심의승인",J3254="반려",J3254="반려완료",J3254="심의완료"),"종결 표시",IF(OR(J3254="기후부협의",J3254="문서재제출요청",J3254="보류",J3254="보완요청",J3254="보완완료",J3254="평가중",J3254="반려요청",J3254="평가필요",LEFT(J3254,5)="보완요청("),"미종결 표시","상태 확인 필요"))</x:f>
        <x:v>미종결 표시</x:v>
      </x:c>
      <x:c r="L3254" s="2" t="str">
        <x:v>에코시안_조영우</x:v>
      </x:c>
      <x:c r="M3254" s="2"/>
      <x:c r="N3254" s="8" t="n">
        <x:f>DATE(2026,10,15)-DATE(2020,8,24)</x:f>
        <x:v>2243</x:v>
      </x:c>
      <x:c r="O3254" s="2"/>
      <x:c r="P3254" s="2" t="str">
        <x:v>모니터링보고서 및 검증보고서 내 보안유지 필요부분 구체화 필요</x:v>
      </x:c>
      <x:c r="Q3254" s="2" t="str">
        <x:v>산업전환 외부사업 정보비공개 신청 관리 Tool_260707_LJY_261013.xlsx</x:v>
      </x:c>
      <x:c r="R3254" s="2" t="str">
        <x:v>(비공개)국내인증</x:v>
      </x:c>
      <x:c r="S3254" s="8" t="n">
        <x:v>32</x:v>
      </x:c>
      <x:c r="T3254" s="2"/>
      <x:c r="U3254" s="2" t="str"/>
      <x:c r="V3254" s="2" t="str">
        <x:v>2022-06-03</x:v>
      </x:c>
      <x:c r="W3254" s="2" t="str"/>
      <x:c r="X3254" s="2" t="str">
        <x:v>보완 회신 일정 확인</x:v>
      </x:c>
      <x:c r="Y3254" s="2" t="str">
        <x:v>22df6d619b696c1eba8e26790f6382083d9fb1bc48481283e3e8a92ea6897677</x:v>
      </x:c>
      <x:c r="Z3254" s="2" t="n">
        <x:f>SUBTOTAL(103,A3254)</x:f>
        <x:v>1</x:v>
      </x:c>
      <x:c r="AA3254" s="2" t="str">
        <x:f>IF(K3254&lt;&gt;"미종결 표시","대상 아님",IF(N3254="","신청일 확인",IF(NOT(ISNUMBER('종합 현황'!$H$5)),"관찰기준 확인",IF('종합 현황'!$H$5&lt;1,"관찰기준 확인",IF(N3254&gt;'종합 현황'!$H$5,"내부 관찰 대상","내부 관찰일 이하")))))</x:f>
        <x:v>내부 관찰 대상</x:v>
      </x:c>
      <x:c r="AB3254" s="2"/>
    </x:row>
    <x:row r="3255" ht="42" customHeight="1">
      <x:c r="A3255" s="2" t="str">
        <x:v>ab261c998f7a302168829559</x:v>
      </x:c>
      <x:c r="B3255" s="2" t="str">
        <x:v>인증 비공개 신청</x:v>
      </x:c>
      <x:c r="C3255" s="2" t="str">
        <x:v>국내</x:v>
      </x:c>
      <x:c r="D3255" s="7" t="str">
        <x:v>신성금속 용해로 버너교체에 따른 설비 성능개선 및 연료전환을 통한 온실가스 감축사업</x:v>
      </x:c>
      <x:c r="E3255" s="2" t="str">
        <x:v>31</x:v>
      </x:c>
      <x:c r="F3255" s="2" t="str">
        <x:v>2020-07-14</x:v>
      </x:c>
      <x:c r="G3255" s="2" t="str">
        <x:v>2020</x:v>
      </x:c>
      <x:c r="H3255" s="2" t="str">
        <x:v>07</x:v>
      </x:c>
      <x:c r="I3255" s="2" t="str">
        <x:v>보완요청</x:v>
      </x:c>
      <x:c r="J3255" s="2" t="str">
        <x:v>보완요청</x:v>
      </x:c>
      <x:c r="K3255" s="2" t="str">
        <x:f>IF(OR(J3255="심의승인",J3255="반려",J3255="반려완료",J3255="심의완료"),"종결 표시",IF(OR(J3255="기후부협의",J3255="문서재제출요청",J3255="보류",J3255="보완요청",J3255="보완완료",J3255="평가중",J3255="반려요청",J3255="평가필요",LEFT(J3255,5)="보완요청("),"미종결 표시","상태 확인 필요"))</x:f>
        <x:v>미종결 표시</x:v>
      </x:c>
      <x:c r="L3255" s="2" t="str">
        <x:v>에코시안_조영우</x:v>
      </x:c>
      <x:c r="M3255" s="2"/>
      <x:c r="N3255" s="8" t="n">
        <x:f>DATE(2026,10,15)-DATE(2020,7,14)</x:f>
        <x:v>2284</x:v>
      </x:c>
      <x:c r="O3255" s="2"/>
      <x:c r="P3255" s="2" t="str">
        <x:v>모니터링보고서 및 검증보고서 내 보안유지 필요부분 구체화 필요</x:v>
      </x:c>
      <x:c r="Q3255" s="2" t="str">
        <x:v>산업전환 외부사업 정보비공개 신청 관리 Tool_260707_LJY_261013.xlsx</x:v>
      </x:c>
      <x:c r="R3255" s="2" t="str">
        <x:v>(비공개)국내인증</x:v>
      </x:c>
      <x:c r="S3255" s="8" t="n">
        <x:v>33</x:v>
      </x:c>
      <x:c r="T3255" s="2"/>
      <x:c r="U3255" s="2" t="str"/>
      <x:c r="V3255" s="2" t="str">
        <x:v>2022-06-03</x:v>
      </x:c>
      <x:c r="W3255" s="2" t="str"/>
      <x:c r="X3255" s="2" t="str">
        <x:v>보완 회신 일정 확인</x:v>
      </x:c>
      <x:c r="Y3255" s="2" t="str">
        <x:v>22df6d619b696c1eba8e26790f6382083d9fb1bc48481283e3e8a92ea6897677</x:v>
      </x:c>
      <x:c r="Z3255" s="2" t="n">
        <x:f>SUBTOTAL(103,A3255)</x:f>
        <x:v>1</x:v>
      </x:c>
      <x:c r="AA3255" s="2" t="str">
        <x:f>IF(K3255&lt;&gt;"미종결 표시","대상 아님",IF(N3255="","신청일 확인",IF(NOT(ISNUMBER('종합 현황'!$H$5)),"관찰기준 확인",IF('종합 현황'!$H$5&lt;1,"관찰기준 확인",IF(N3255&gt;'종합 현황'!$H$5,"내부 관찰 대상","내부 관찰일 이하")))))</x:f>
        <x:v>내부 관찰 대상</x:v>
      </x:c>
      <x:c r="AB3255" s="2"/>
    </x:row>
    <x:row r="3256" ht="42" customHeight="1">
      <x:c r="A3256" s="2" t="str">
        <x:v>4ed7fcf4e4d5bf8697327f96</x:v>
      </x:c>
      <x:c r="B3256" s="2" t="str">
        <x:v>인증 비공개 신청</x:v>
      </x:c>
      <x:c r="C3256" s="2" t="str">
        <x:v>국내</x:v>
      </x:c>
      <x:c r="D3256" s="7" t="str">
        <x:v>서울금속공업의 정제유에서 LNG로 연료전환을 통한 온실가스 배출 감축사업</x:v>
      </x:c>
      <x:c r="E3256" s="2" t="str">
        <x:v>32</x:v>
      </x:c>
      <x:c r="F3256" s="2" t="str">
        <x:v>2020-07-10</x:v>
      </x:c>
      <x:c r="G3256" s="2" t="str">
        <x:v>2020</x:v>
      </x:c>
      <x:c r="H3256" s="2" t="str">
        <x:v>07</x:v>
      </x:c>
      <x:c r="I3256" s="2" t="str">
        <x:v>보완요청</x:v>
      </x:c>
      <x:c r="J3256" s="2" t="str">
        <x:v>보완요청</x:v>
      </x:c>
      <x:c r="K3256" s="2" t="str">
        <x:f>IF(OR(J3256="심의승인",J3256="반려",J3256="반려완료",J3256="심의완료"),"종결 표시",IF(OR(J3256="기후부협의",J3256="문서재제출요청",J3256="보류",J3256="보완요청",J3256="보완완료",J3256="평가중",J3256="반려요청",J3256="평가필요",LEFT(J3256,5)="보완요청("),"미종결 표시","상태 확인 필요"))</x:f>
        <x:v>미종결 표시</x:v>
      </x:c>
      <x:c r="L3256" s="2" t="str">
        <x:v>에코시안_조영우</x:v>
      </x:c>
      <x:c r="M3256" s="2"/>
      <x:c r="N3256" s="8" t="n">
        <x:f>DATE(2026,10,15)-DATE(2020,7,10)</x:f>
        <x:v>2288</x:v>
      </x:c>
      <x:c r="O3256" s="2"/>
      <x:c r="P3256" s="2" t="str">
        <x:v>모니터링보고서 및 검증보고서 내 보안유지 필요부분 구체화 필요</x:v>
      </x:c>
      <x:c r="Q3256" s="2" t="str">
        <x:v>산업전환 외부사업 정보비공개 신청 관리 Tool_260707_LJY_261013.xlsx</x:v>
      </x:c>
      <x:c r="R3256" s="2" t="str">
        <x:v>(비공개)국내인증</x:v>
      </x:c>
      <x:c r="S3256" s="8" t="n">
        <x:v>34</x:v>
      </x:c>
      <x:c r="T3256" s="2"/>
      <x:c r="U3256" s="2" t="str"/>
      <x:c r="V3256" s="2" t="str">
        <x:v>2022-06-03</x:v>
      </x:c>
      <x:c r="W3256" s="2" t="str"/>
      <x:c r="X3256" s="2" t="str">
        <x:v>보완 회신 일정 확인</x:v>
      </x:c>
      <x:c r="Y3256" s="2" t="str">
        <x:v>22df6d619b696c1eba8e26790f6382083d9fb1bc48481283e3e8a92ea6897677</x:v>
      </x:c>
      <x:c r="Z3256" s="2" t="n">
        <x:f>SUBTOTAL(103,A3256)</x:f>
        <x:v>1</x:v>
      </x:c>
      <x:c r="AA3256" s="2" t="str">
        <x:f>IF(K3256&lt;&gt;"미종결 표시","대상 아님",IF(N3256="","신청일 확인",IF(NOT(ISNUMBER('종합 현황'!$H$5)),"관찰기준 확인",IF('종합 현황'!$H$5&lt;1,"관찰기준 확인",IF(N3256&gt;'종합 현황'!$H$5,"내부 관찰 대상","내부 관찰일 이하")))))</x:f>
        <x:v>내부 관찰 대상</x:v>
      </x:c>
      <x:c r="AB3256" s="2"/>
    </x:row>
    <x:row r="3257" ht="42" customHeight="1">
      <x:c r="A3257" s="2" t="str">
        <x:v>9cc076bf9920f6306de0dfc2</x:v>
      </x:c>
      <x:c r="B3257" s="2" t="str">
        <x:v>인증 비공개 신청</x:v>
      </x:c>
      <x:c r="C3257" s="2" t="str">
        <x:v>국내</x:v>
      </x:c>
      <x:c r="D3257" s="7" t="str">
        <x:v>카프로 N2O 저감 사업</x:v>
      </x:c>
      <x:c r="E3257" s="2" t="str">
        <x:v>33</x:v>
      </x:c>
      <x:c r="F3257" s="2" t="str">
        <x:v>2024-01-24</x:v>
      </x:c>
      <x:c r="G3257" s="2" t="str">
        <x:v>2024</x:v>
      </x:c>
      <x:c r="H3257" s="2" t="str">
        <x:v>01</x:v>
      </x:c>
      <x:c r="I3257" s="2" t="str">
        <x:v>보완요청</x:v>
      </x:c>
      <x:c r="J3257" s="2" t="str">
        <x:v>보완요청</x:v>
      </x:c>
      <x:c r="K3257" s="2" t="str">
        <x:f>IF(OR(J3257="심의승인",J3257="반려",J3257="반려완료",J3257="심의완료"),"종결 표시",IF(OR(J3257="기후부협의",J3257="문서재제출요청",J3257="보류",J3257="보완요청",J3257="보완완료",J3257="평가중",J3257="반려요청",J3257="평가필요",LEFT(J3257,5)="보완요청("),"미종결 표시","상태 확인 필요"))</x:f>
        <x:v>미종결 표시</x:v>
      </x:c>
      <x:c r="L3257" s="2" t="str">
        <x:v>에코시안_조영우</x:v>
      </x:c>
      <x:c r="M3257" s="2"/>
      <x:c r="N3257" s="8" t="n">
        <x:f>DATE(2026,10,15)-DATE(2024,1,24)</x:f>
        <x:v>995</x:v>
      </x:c>
      <x:c r="O3257" s="2"/>
      <x:c r="P3257" s="2" t="str">
        <x:v>모니터링보고서 및 검증보고서 내 보안유지 필요부분 구체화 필요</x:v>
      </x:c>
      <x:c r="Q3257" s="2" t="str">
        <x:v>산업전환 외부사업 정보비공개 신청 관리 Tool_260707_LJY_261013.xlsx</x:v>
      </x:c>
      <x:c r="R3257" s="2" t="str">
        <x:v>(비공개)국내인증</x:v>
      </x:c>
      <x:c r="S3257" s="8" t="n">
        <x:v>35</x:v>
      </x:c>
      <x:c r="T3257" s="2"/>
      <x:c r="U3257" s="2" t="str"/>
      <x:c r="V3257" s="2" t="str">
        <x:v>2024-06-17</x:v>
      </x:c>
      <x:c r="W3257" s="2" t="str"/>
      <x:c r="X3257" s="2" t="str">
        <x:v>보완 회신 일정 확인</x:v>
      </x:c>
      <x:c r="Y3257" s="2" t="str">
        <x:v>22df6d619b696c1eba8e26790f6382083d9fb1bc48481283e3e8a92ea6897677</x:v>
      </x:c>
      <x:c r="Z3257" s="2" t="n">
        <x:f>SUBTOTAL(103,A3257)</x:f>
        <x:v>1</x:v>
      </x:c>
      <x:c r="AA3257" s="2" t="str">
        <x:f>IF(K3257&lt;&gt;"미종결 표시","대상 아님",IF(N3257="","신청일 확인",IF(NOT(ISNUMBER('종합 현황'!$H$5)),"관찰기준 확인",IF('종합 현황'!$H$5&lt;1,"관찰기준 확인",IF(N3257&gt;'종합 현황'!$H$5,"내부 관찰 대상","내부 관찰일 이하")))))</x:f>
        <x:v>내부 관찰 대상</x:v>
      </x:c>
      <x:c r="AB3257" s="2"/>
    </x:row>
    <x:row r="3258" ht="42" customHeight="1">
      <x:c r="A3258" s="2" t="str">
        <x:v>b7a43bcffb16d2b4320807a5</x:v>
      </x:c>
      <x:c r="B3258" s="2" t="str">
        <x:v>인증 비공개 신청</x:v>
      </x:c>
      <x:c r="C3258" s="2" t="str">
        <x:v>국내</x:v>
      </x:c>
      <x:c r="D3258" s="7" t="str">
        <x:v>카프로 N2O 저감 사업</x:v>
      </x:c>
      <x:c r="E3258" s="2" t="str">
        <x:v>34</x:v>
      </x:c>
      <x:c r="F3258" s="2" t="str">
        <x:v>2020-06-20</x:v>
      </x:c>
      <x:c r="G3258" s="2" t="str">
        <x:v>2020</x:v>
      </x:c>
      <x:c r="H3258" s="2" t="str">
        <x:v>06</x:v>
      </x:c>
      <x:c r="I3258" s="2" t="str">
        <x:v>보완요청</x:v>
      </x:c>
      <x:c r="J3258" s="2" t="str">
        <x:v>보완요청</x:v>
      </x:c>
      <x:c r="K3258" s="2" t="str">
        <x:f>IF(OR(J3258="심의승인",J3258="반려",J3258="반려완료",J3258="심의완료"),"종결 표시",IF(OR(J3258="기후부협의",J3258="문서재제출요청",J3258="보류",J3258="보완요청",J3258="보완완료",J3258="평가중",J3258="반려요청",J3258="평가필요",LEFT(J3258,5)="보완요청("),"미종결 표시","상태 확인 필요"))</x:f>
        <x:v>미종결 표시</x:v>
      </x:c>
      <x:c r="L3258" s="2" t="str">
        <x:v>에코시안_조영우</x:v>
      </x:c>
      <x:c r="M3258" s="2"/>
      <x:c r="N3258" s="8" t="n">
        <x:f>DATE(2026,10,15)-DATE(2020,6,20)</x:f>
        <x:v>2308</x:v>
      </x:c>
      <x:c r="O3258" s="2"/>
      <x:c r="P3258" s="2" t="str">
        <x:v>모니터링보고서 및 검증보고서 내 보안유지 필요부분 구체화 필요</x:v>
      </x:c>
      <x:c r="Q3258" s="2" t="str">
        <x:v>산업전환 외부사업 정보비공개 신청 관리 Tool_260707_LJY_261013.xlsx</x:v>
      </x:c>
      <x:c r="R3258" s="2" t="str">
        <x:v>(비공개)국내인증</x:v>
      </x:c>
      <x:c r="S3258" s="8" t="n">
        <x:v>36</x:v>
      </x:c>
      <x:c r="T3258" s="2"/>
      <x:c r="U3258" s="2" t="str"/>
      <x:c r="V3258" s="2" t="str">
        <x:v>2022-06-03</x:v>
      </x:c>
      <x:c r="W3258" s="2" t="str"/>
      <x:c r="X3258" s="2" t="str">
        <x:v>보완 회신 일정 확인</x:v>
      </x:c>
      <x:c r="Y3258" s="2" t="str">
        <x:v>22df6d619b696c1eba8e26790f6382083d9fb1bc48481283e3e8a92ea6897677</x:v>
      </x:c>
      <x:c r="Z3258" s="2" t="n">
        <x:f>SUBTOTAL(103,A3258)</x:f>
        <x:v>1</x:v>
      </x:c>
      <x:c r="AA3258" s="2" t="str">
        <x:f>IF(K3258&lt;&gt;"미종결 표시","대상 아님",IF(N3258="","신청일 확인",IF(NOT(ISNUMBER('종합 현황'!$H$5)),"관찰기준 확인",IF('종합 현황'!$H$5&lt;1,"관찰기준 확인",IF(N3258&gt;'종합 현황'!$H$5,"내부 관찰 대상","내부 관찰일 이하")))))</x:f>
        <x:v>내부 관찰 대상</x:v>
      </x:c>
      <x:c r="AB3258" s="2"/>
    </x:row>
    <x:row r="3259" ht="42" customHeight="1">
      <x:c r="A3259" s="2" t="str">
        <x:v>4469eb8413c2b2baeb43fc5a</x:v>
      </x:c>
      <x:c r="B3259" s="2" t="str">
        <x:v>인증 비공개 신청</x:v>
      </x:c>
      <x:c r="C3259" s="2" t="str">
        <x:v>국내</x:v>
      </x:c>
      <x:c r="D3259" s="7" t="str">
        <x:v>덕성 수원사업장의 B-A유에서 LNG로 연료전환을 통한 온실가스 배출 감축사업</x:v>
      </x:c>
      <x:c r="E3259" s="2" t="str">
        <x:v>35</x:v>
      </x:c>
      <x:c r="F3259" s="2" t="str">
        <x:v>2020-04-27</x:v>
      </x:c>
      <x:c r="G3259" s="2" t="str">
        <x:v>2020</x:v>
      </x:c>
      <x:c r="H3259" s="2" t="str">
        <x:v>04</x:v>
      </x:c>
      <x:c r="I3259" s="2" t="str">
        <x:v>보완요청</x:v>
      </x:c>
      <x:c r="J3259" s="2" t="str">
        <x:v>보완요청</x:v>
      </x:c>
      <x:c r="K3259" s="2" t="str">
        <x:f>IF(OR(J3259="심의승인",J3259="반려",J3259="반려완료",J3259="심의완료"),"종결 표시",IF(OR(J3259="기후부협의",J3259="문서재제출요청",J3259="보류",J3259="보완요청",J3259="보완완료",J3259="평가중",J3259="반려요청",J3259="평가필요",LEFT(J3259,5)="보완요청("),"미종결 표시","상태 확인 필요"))</x:f>
        <x:v>미종결 표시</x:v>
      </x:c>
      <x:c r="L3259" s="2" t="str">
        <x:v>에코시안_조영우</x:v>
      </x:c>
      <x:c r="M3259" s="2"/>
      <x:c r="N3259" s="8" t="n">
        <x:f>DATE(2026,10,15)-DATE(2020,4,27)</x:f>
        <x:v>2362</x:v>
      </x:c>
      <x:c r="O3259" s="2"/>
      <x:c r="P3259" s="2" t="str">
        <x:v>모니터링보고서 및 검증보고서 내 보안유지 필요부분 구체화 필요</x:v>
      </x:c>
      <x:c r="Q3259" s="2" t="str">
        <x:v>산업전환 외부사업 정보비공개 신청 관리 Tool_260707_LJY_261013.xlsx</x:v>
      </x:c>
      <x:c r="R3259" s="2" t="str">
        <x:v>(비공개)국내인증</x:v>
      </x:c>
      <x:c r="S3259" s="8" t="n">
        <x:v>37</x:v>
      </x:c>
      <x:c r="T3259" s="2"/>
      <x:c r="U3259" s="2" t="str"/>
      <x:c r="V3259" s="2" t="str">
        <x:v>2022-06-03</x:v>
      </x:c>
      <x:c r="W3259" s="2" t="str"/>
      <x:c r="X3259" s="2" t="str">
        <x:v>보완 회신 일정 확인</x:v>
      </x:c>
      <x:c r="Y3259" s="2" t="str">
        <x:v>22df6d619b696c1eba8e26790f6382083d9fb1bc48481283e3e8a92ea6897677</x:v>
      </x:c>
      <x:c r="Z3259" s="2" t="n">
        <x:f>SUBTOTAL(103,A3259)</x:f>
        <x:v>1</x:v>
      </x:c>
      <x:c r="AA3259" s="2" t="str">
        <x:f>IF(K3259&lt;&gt;"미종결 표시","대상 아님",IF(N3259="","신청일 확인",IF(NOT(ISNUMBER('종합 현황'!$H$5)),"관찰기준 확인",IF('종합 현황'!$H$5&lt;1,"관찰기준 확인",IF(N3259&gt;'종합 현황'!$H$5,"내부 관찰 대상","내부 관찰일 이하")))))</x:f>
        <x:v>내부 관찰 대상</x:v>
      </x:c>
      <x:c r="AB3259" s="2"/>
    </x:row>
    <x:row r="3260" ht="42" customHeight="1">
      <x:c r="A3260" s="2" t="str">
        <x:v>76bb3e4228015e3f20a2dccf</x:v>
      </x:c>
      <x:c r="B3260" s="2" t="str">
        <x:v>인증 비공개 신청</x:v>
      </x:c>
      <x:c r="C3260" s="2" t="str">
        <x:v>국내</x:v>
      </x:c>
      <x:c r="D3260" s="7" t="str">
        <x:v>시화호 조력발전 사업</x:v>
      </x:c>
      <x:c r="E3260" s="2" t="str">
        <x:v>36</x:v>
      </x:c>
      <x:c r="F3260" s="2" t="str">
        <x:v>2022-06-16</x:v>
      </x:c>
      <x:c r="G3260" s="2" t="str">
        <x:v>2022</x:v>
      </x:c>
      <x:c r="H3260" s="2" t="str">
        <x:v>06</x:v>
      </x:c>
      <x:c r="I3260" s="2" t="str">
        <x:v>반려</x:v>
      </x:c>
      <x:c r="J3260" s="2" t="str">
        <x:v>반려완료</x:v>
      </x:c>
      <x:c r="K3260" s="2" t="str">
        <x:f>IF(OR(J3260="심의승인",J3260="반려",J3260="반려완료",J3260="심의완료"),"종결 표시",IF(OR(J3260="기후부협의",J3260="문서재제출요청",J3260="보류",J3260="보완요청",J3260="보완완료",J3260="평가중",J3260="반려요청",J3260="평가필요",LEFT(J3260,5)="보완요청("),"미종결 표시","상태 확인 필요"))</x:f>
        <x:v>종결 표시</x:v>
      </x:c>
      <x:c r="L3260" s="2" t="str">
        <x:v>에코시안_조영우</x:v>
      </x:c>
      <x:c r="M3260" s="2"/>
      <x:c r="N3260" s="8" t="n">
        <x:f>DATE(2026,10,15)-DATE(2022,6,16)</x:f>
        <x:v>1582</x:v>
      </x:c>
      <x:c r="O3260" s="2"/>
      <x:c r="P3260" s="2" t="str">
        <x:v>사업자 반려 요청</x:v>
      </x:c>
      <x:c r="Q3260" s="2" t="str">
        <x:v>산업전환 외부사업 정보비공개 신청 관리 Tool_260707_LJY_261013.xlsx</x:v>
      </x:c>
      <x:c r="R3260" s="2" t="str">
        <x:v>(비공개)국내인증</x:v>
      </x:c>
      <x:c r="S3260" s="8" t="n">
        <x:v>38</x:v>
      </x:c>
      <x:c r="T3260" s="2"/>
      <x:c r="U3260" s="2" t="str"/>
      <x:c r="V3260" s="2" t="str">
        <x:v>2022-09-28</x:v>
      </x:c>
      <x:c r="W3260" s="2" t="str"/>
      <x:c r="X3260" s="2" t="str">
        <x:v>종결 근거 보관</x:v>
      </x:c>
      <x:c r="Y3260" s="2" t="str">
        <x:v>22df6d619b696c1eba8e26790f6382083d9fb1bc48481283e3e8a92ea6897677</x:v>
      </x:c>
      <x:c r="Z3260" s="2" t="n">
        <x:f>SUBTOTAL(103,A3260)</x:f>
        <x:v>1</x:v>
      </x:c>
      <x:c r="AA3260" s="2" t="str">
        <x:f>IF(K3260&lt;&gt;"미종결 표시","대상 아님",IF(N3260="","신청일 확인",IF(NOT(ISNUMBER('종합 현황'!$H$5)),"관찰기준 확인",IF('종합 현황'!$H$5&lt;1,"관찰기준 확인",IF(N3260&gt;'종합 현황'!$H$5,"내부 관찰 대상","내부 관찰일 이하")))))</x:f>
        <x:v>대상 아님</x:v>
      </x:c>
      <x:c r="AB3260" s="2"/>
    </x:row>
    <x:row r="3261" ht="42" customHeight="1">
      <x:c r="A3261" s="2" t="str">
        <x:v>f2ae92c02fbaeceecf9b7dfd</x:v>
      </x:c>
      <x:c r="B3261" s="2" t="str">
        <x:v>인증 비공개 신청</x:v>
      </x:c>
      <x:c r="C3261" s="2" t="str">
        <x:v>국내</x:v>
      </x:c>
      <x:c r="D3261" s="7" t="str">
        <x:v>부옥물산의 B-C유에서 LNG로 연료전환을 통한 온실가스 배출 감축사업</x:v>
      </x:c>
      <x:c r="E3261" s="2" t="str">
        <x:v>37</x:v>
      </x:c>
      <x:c r="F3261" s="2" t="str">
        <x:v>2020-04-14</x:v>
      </x:c>
      <x:c r="G3261" s="2" t="str">
        <x:v>2020</x:v>
      </x:c>
      <x:c r="H3261" s="2" t="str">
        <x:v>04</x:v>
      </x:c>
      <x:c r="I3261" s="2" t="str">
        <x:v>보완요청</x:v>
      </x:c>
      <x:c r="J3261" s="2" t="str">
        <x:v>보완요청</x:v>
      </x:c>
      <x:c r="K3261" s="2" t="str">
        <x:f>IF(OR(J3261="심의승인",J3261="반려",J3261="반려완료",J3261="심의완료"),"종결 표시",IF(OR(J3261="기후부협의",J3261="문서재제출요청",J3261="보류",J3261="보완요청",J3261="보완완료",J3261="평가중",J3261="반려요청",J3261="평가필요",LEFT(J3261,5)="보완요청("),"미종결 표시","상태 확인 필요"))</x:f>
        <x:v>미종결 표시</x:v>
      </x:c>
      <x:c r="L3261" s="2" t="str">
        <x:v>에코시안_조영우</x:v>
      </x:c>
      <x:c r="M3261" s="2"/>
      <x:c r="N3261" s="8" t="n">
        <x:f>DATE(2026,10,15)-DATE(2020,4,14)</x:f>
        <x:v>2375</x:v>
      </x:c>
      <x:c r="O3261" s="2"/>
      <x:c r="P3261" s="2" t="str">
        <x:v>모니터링보고서 및 검증보고서 내 보안유지 필요부분 구체화 필요</x:v>
      </x:c>
      <x:c r="Q3261" s="2" t="str">
        <x:v>산업전환 외부사업 정보비공개 신청 관리 Tool_260707_LJY_261013.xlsx</x:v>
      </x:c>
      <x:c r="R3261" s="2" t="str">
        <x:v>(비공개)국내인증</x:v>
      </x:c>
      <x:c r="S3261" s="8" t="n">
        <x:v>39</x:v>
      </x:c>
      <x:c r="T3261" s="2"/>
      <x:c r="U3261" s="2" t="str"/>
      <x:c r="V3261" s="2" t="str">
        <x:v>2022-06-03</x:v>
      </x:c>
      <x:c r="W3261" s="2" t="str"/>
      <x:c r="X3261" s="2" t="str">
        <x:v>보완 회신 일정 확인</x:v>
      </x:c>
      <x:c r="Y3261" s="2" t="str">
        <x:v>22df6d619b696c1eba8e26790f6382083d9fb1bc48481283e3e8a92ea6897677</x:v>
      </x:c>
      <x:c r="Z3261" s="2" t="n">
        <x:f>SUBTOTAL(103,A3261)</x:f>
        <x:v>1</x:v>
      </x:c>
      <x:c r="AA3261" s="2" t="str">
        <x:f>IF(K3261&lt;&gt;"미종결 표시","대상 아님",IF(N3261="","신청일 확인",IF(NOT(ISNUMBER('종합 현황'!$H$5)),"관찰기준 확인",IF('종합 현황'!$H$5&lt;1,"관찰기준 확인",IF(N3261&gt;'종합 현황'!$H$5,"내부 관찰 대상","내부 관찰일 이하")))))</x:f>
        <x:v>내부 관찰 대상</x:v>
      </x:c>
      <x:c r="AB3261" s="2"/>
    </x:row>
    <x:row r="3262" ht="42" customHeight="1">
      <x:c r="A3262" s="2" t="str">
        <x:v>d8cc9d6697031f94f1331fe1</x:v>
      </x:c>
      <x:c r="B3262" s="2" t="str">
        <x:v>인증 비공개 신청</x:v>
      </x:c>
      <x:c r="C3262" s="2" t="str">
        <x:v>국내</x:v>
      </x:c>
      <x:c r="D3262" s="7" t="str">
        <x:v>한청판지 보일러 버너의 연료전환 (B-C유 → LNG)을 통한 온실가스 감축사업</x:v>
      </x:c>
      <x:c r="E3262" s="2" t="str">
        <x:v>38</x:v>
      </x:c>
      <x:c r="F3262" s="2" t="str">
        <x:v>2019-11-18</x:v>
      </x:c>
      <x:c r="G3262" s="2" t="str">
        <x:v>2019</x:v>
      </x:c>
      <x:c r="H3262" s="2" t="str">
        <x:v>11</x:v>
      </x:c>
      <x:c r="I3262" s="2" t="str">
        <x:v>보완요청</x:v>
      </x:c>
      <x:c r="J3262" s="2" t="str">
        <x:v>보완요청</x:v>
      </x:c>
      <x:c r="K3262" s="2" t="str">
        <x:f>IF(OR(J3262="심의승인",J3262="반려",J3262="반려완료",J3262="심의완료"),"종결 표시",IF(OR(J3262="기후부협의",J3262="문서재제출요청",J3262="보류",J3262="보완요청",J3262="보완완료",J3262="평가중",J3262="반려요청",J3262="평가필요",LEFT(J3262,5)="보완요청("),"미종결 표시","상태 확인 필요"))</x:f>
        <x:v>미종결 표시</x:v>
      </x:c>
      <x:c r="L3262" s="2" t="str">
        <x:v>에코시안_조영우</x:v>
      </x:c>
      <x:c r="M3262" s="2"/>
      <x:c r="N3262" s="8" t="n">
        <x:f>DATE(2026,10,15)-DATE(2019,11,18)</x:f>
        <x:v>2523</x:v>
      </x:c>
      <x:c r="O3262" s="2"/>
      <x:c r="P3262" s="2" t="str">
        <x:v>모니터링보고서 및 검증보고서 내 보안유지 필요부분 구체화 필요</x:v>
      </x:c>
      <x:c r="Q3262" s="2" t="str">
        <x:v>산업전환 외부사업 정보비공개 신청 관리 Tool_260707_LJY_261013.xlsx</x:v>
      </x:c>
      <x:c r="R3262" s="2" t="str">
        <x:v>(비공개)국내인증</x:v>
      </x:c>
      <x:c r="S3262" s="8" t="n">
        <x:v>40</x:v>
      </x:c>
      <x:c r="T3262" s="2"/>
      <x:c r="U3262" s="2" t="str"/>
      <x:c r="V3262" s="2" t="str">
        <x:v>2022-06-03</x:v>
      </x:c>
      <x:c r="W3262" s="2" t="str"/>
      <x:c r="X3262" s="2" t="str">
        <x:v>보완 회신 일정 확인</x:v>
      </x:c>
      <x:c r="Y3262" s="2" t="str">
        <x:v>22df6d619b696c1eba8e26790f6382083d9fb1bc48481283e3e8a92ea6897677</x:v>
      </x:c>
      <x:c r="Z3262" s="2" t="n">
        <x:f>SUBTOTAL(103,A3262)</x:f>
        <x:v>1</x:v>
      </x:c>
      <x:c r="AA3262" s="2" t="str">
        <x:f>IF(K3262&lt;&gt;"미종결 표시","대상 아님",IF(N3262="","신청일 확인",IF(NOT(ISNUMBER('종합 현황'!$H$5)),"관찰기준 확인",IF('종합 현황'!$H$5&lt;1,"관찰기준 확인",IF(N3262&gt;'종합 현황'!$H$5,"내부 관찰 대상","내부 관찰일 이하")))))</x:f>
        <x:v>내부 관찰 대상</x:v>
      </x:c>
      <x:c r="AB3262" s="2"/>
    </x:row>
    <x:row r="3263" ht="42" customHeight="1">
      <x:c r="A3263" s="2" t="str">
        <x:v>d86f740ce21e9c1305a2ea22</x:v>
      </x:c>
      <x:c r="B3263" s="2" t="str">
        <x:v>인증 비공개 신청</x:v>
      </x:c>
      <x:c r="C3263" s="2" t="str">
        <x:v>국내</x:v>
      </x:c>
      <x:c r="D3263" s="7" t="str">
        <x:v>(주)한국요업 소성로 미활용에너지 회수를 통한 온실가스 감축사업</x:v>
      </x:c>
      <x:c r="E3263" s="2" t="str">
        <x:v>39</x:v>
      </x:c>
      <x:c r="F3263" s="2" t="str">
        <x:v>2019-11-18</x:v>
      </x:c>
      <x:c r="G3263" s="2" t="str">
        <x:v>2019</x:v>
      </x:c>
      <x:c r="H3263" s="2" t="str">
        <x:v>11</x:v>
      </x:c>
      <x:c r="I3263" s="2" t="str">
        <x:v>보완요청</x:v>
      </x:c>
      <x:c r="J3263" s="2" t="str">
        <x:v>보완요청</x:v>
      </x:c>
      <x:c r="K3263" s="2" t="str">
        <x:f>IF(OR(J3263="심의승인",J3263="반려",J3263="반려완료",J3263="심의완료"),"종결 표시",IF(OR(J3263="기후부협의",J3263="문서재제출요청",J3263="보류",J3263="보완요청",J3263="보완완료",J3263="평가중",J3263="반려요청",J3263="평가필요",LEFT(J3263,5)="보완요청("),"미종결 표시","상태 확인 필요"))</x:f>
        <x:v>미종결 표시</x:v>
      </x:c>
      <x:c r="L3263" s="2" t="str">
        <x:v>에코시안_조은지</x:v>
      </x:c>
      <x:c r="M3263" s="2"/>
      <x:c r="N3263" s="8" t="n">
        <x:f>DATE(2026,10,15)-DATE(2019,11,18)</x:f>
        <x:v>2523</x:v>
      </x:c>
      <x:c r="O3263" s="2"/>
      <x:c r="P3263" s="2" t="str">
        <x:v>제출서류 미비로 보완 요청. 보완 요청 통보 문구 기재(공단 통보)</x:v>
      </x:c>
      <x:c r="Q3263" s="2" t="str">
        <x:v>산업전환 외부사업 정보비공개 신청 관리 Tool_260707_LJY_261013.xlsx</x:v>
      </x:c>
      <x:c r="R3263" s="2" t="str">
        <x:v>(비공개)국내인증</x:v>
      </x:c>
      <x:c r="S3263" s="8" t="n">
        <x:v>41</x:v>
      </x:c>
      <x:c r="T3263" s="2"/>
      <x:c r="U3263" s="2" t="str"/>
      <x:c r="V3263" s="2" t="str">
        <x:v>2025-01-09</x:v>
      </x:c>
      <x:c r="W3263" s="2" t="str"/>
      <x:c r="X3263" s="2" t="str">
        <x:v>보완 회신 일정 확인</x:v>
      </x:c>
      <x:c r="Y3263" s="2" t="str">
        <x:v>22df6d619b696c1eba8e26790f6382083d9fb1bc48481283e3e8a92ea6897677</x:v>
      </x:c>
      <x:c r="Z3263" s="2" t="n">
        <x:f>SUBTOTAL(103,A3263)</x:f>
        <x:v>1</x:v>
      </x:c>
      <x:c r="AA3263" s="2" t="str">
        <x:f>IF(K3263&lt;&gt;"미종결 표시","대상 아님",IF(N3263="","신청일 확인",IF(NOT(ISNUMBER('종합 현황'!$H$5)),"관찰기준 확인",IF('종합 현황'!$H$5&lt;1,"관찰기준 확인",IF(N3263&gt;'종합 현황'!$H$5,"내부 관찰 대상","내부 관찰일 이하")))))</x:f>
        <x:v>내부 관찰 대상</x:v>
      </x:c>
      <x:c r="AB3263" s="2"/>
    </x:row>
    <x:row r="3264" ht="42" customHeight="1">
      <x:c r="A3264" s="2" t="str">
        <x:v>d64646796afbfe9469e4bc30</x:v>
      </x:c>
      <x:c r="B3264" s="2" t="str">
        <x:v>인증 비공개 신청</x:v>
      </x:c>
      <x:c r="C3264" s="2" t="str">
        <x:v>국내</x:v>
      </x:c>
      <x:c r="D3264" s="7" t="str">
        <x:v>피피이씨의령 두부공장 목재펠릿 연료 전환을 통한 온실가스 감축사업</x:v>
      </x:c>
      <x:c r="E3264" s="2" t="str">
        <x:v>40</x:v>
      </x:c>
      <x:c r="F3264" s="2" t="str">
        <x:v>2019-11-17</x:v>
      </x:c>
      <x:c r="G3264" s="2" t="str">
        <x:v>2019</x:v>
      </x:c>
      <x:c r="H3264" s="2" t="str">
        <x:v>11</x:v>
      </x:c>
      <x:c r="I3264" s="2" t="str">
        <x:v>보완요청</x:v>
      </x:c>
      <x:c r="J3264" s="2" t="str">
        <x:v>보완요청</x:v>
      </x:c>
      <x:c r="K3264" s="2" t="str">
        <x:f>IF(OR(J3264="심의승인",J3264="반려",J3264="반려완료",J3264="심의완료"),"종결 표시",IF(OR(J3264="기후부협의",J3264="문서재제출요청",J3264="보류",J3264="보완요청",J3264="보완완료",J3264="평가중",J3264="반려요청",J3264="평가필요",LEFT(J3264,5)="보완요청("),"미종결 표시","상태 확인 필요"))</x:f>
        <x:v>미종결 표시</x:v>
      </x:c>
      <x:c r="L3264" s="2" t="str">
        <x:v>에코시안_조영우</x:v>
      </x:c>
      <x:c r="M3264" s="2"/>
      <x:c r="N3264" s="8" t="n">
        <x:f>DATE(2026,10,15)-DATE(2019,11,17)</x:f>
        <x:v>2524</x:v>
      </x:c>
      <x:c r="O3264" s="2"/>
      <x:c r="P3264" s="2" t="str">
        <x:v>모니터링보고서 및 검증보고서 내 보안유지 필요부분 구체화 필요</x:v>
      </x:c>
      <x:c r="Q3264" s="2" t="str">
        <x:v>산업전환 외부사업 정보비공개 신청 관리 Tool_260707_LJY_261013.xlsx</x:v>
      </x:c>
      <x:c r="R3264" s="2" t="str">
        <x:v>(비공개)국내인증</x:v>
      </x:c>
      <x:c r="S3264" s="8" t="n">
        <x:v>42</x:v>
      </x:c>
      <x:c r="T3264" s="2"/>
      <x:c r="U3264" s="2" t="str"/>
      <x:c r="V3264" s="2" t="str">
        <x:v>2022-06-03</x:v>
      </x:c>
      <x:c r="W3264" s="2" t="str"/>
      <x:c r="X3264" s="2" t="str">
        <x:v>보완 회신 일정 확인</x:v>
      </x:c>
      <x:c r="Y3264" s="2" t="str">
        <x:v>22df6d619b696c1eba8e26790f6382083d9fb1bc48481283e3e8a92ea6897677</x:v>
      </x:c>
      <x:c r="Z3264" s="2" t="n">
        <x:f>SUBTOTAL(103,A3264)</x:f>
        <x:v>1</x:v>
      </x:c>
      <x:c r="AA3264" s="2" t="str">
        <x:f>IF(K3264&lt;&gt;"미종결 표시","대상 아님",IF(N3264="","신청일 확인",IF(NOT(ISNUMBER('종합 현황'!$H$5)),"관찰기준 확인",IF('종합 현황'!$H$5&lt;1,"관찰기준 확인",IF(N3264&gt;'종합 현황'!$H$5,"내부 관찰 대상","내부 관찰일 이하")))))</x:f>
        <x:v>내부 관찰 대상</x:v>
      </x:c>
      <x:c r="AB3264" s="2"/>
    </x:row>
    <x:row r="3265" ht="42" customHeight="1">
      <x:c r="A3265" s="2" t="str">
        <x:v>3f576cfa5f464bd2dfb0616b</x:v>
      </x:c>
      <x:c r="B3265" s="2" t="str">
        <x:v>인증 비공개 신청</x:v>
      </x:c>
      <x:c r="C3265" s="2" t="str">
        <x:v>국내</x:v>
      </x:c>
      <x:c r="D3265" s="7" t="str">
        <x:v>풀무원 음성 두부공장 목재펠릿 연료 전환을 통한 온실가스 감축사업</x:v>
      </x:c>
      <x:c r="E3265" s="2" t="str">
        <x:v>41</x:v>
      </x:c>
      <x:c r="F3265" s="2" t="str">
        <x:v>2019-11-17</x:v>
      </x:c>
      <x:c r="G3265" s="2" t="str">
        <x:v>2019</x:v>
      </x:c>
      <x:c r="H3265" s="2" t="str">
        <x:v>11</x:v>
      </x:c>
      <x:c r="I3265" s="2" t="str">
        <x:v>보완요청</x:v>
      </x:c>
      <x:c r="J3265" s="2" t="str">
        <x:v>보완요청</x:v>
      </x:c>
      <x:c r="K3265" s="2" t="str">
        <x:f>IF(OR(J3265="심의승인",J3265="반려",J3265="반려완료",J3265="심의완료"),"종결 표시",IF(OR(J3265="기후부협의",J3265="문서재제출요청",J3265="보류",J3265="보완요청",J3265="보완완료",J3265="평가중",J3265="반려요청",J3265="평가필요",LEFT(J3265,5)="보완요청("),"미종결 표시","상태 확인 필요"))</x:f>
        <x:v>미종결 표시</x:v>
      </x:c>
      <x:c r="L3265" s="2" t="str">
        <x:v>에코시안_조영우</x:v>
      </x:c>
      <x:c r="M3265" s="2"/>
      <x:c r="N3265" s="8" t="n">
        <x:f>DATE(2026,10,15)-DATE(2019,11,17)</x:f>
        <x:v>2524</x:v>
      </x:c>
      <x:c r="O3265" s="2"/>
      <x:c r="P3265" s="2" t="str">
        <x:v>모니터링보고서 및 검증보고서 내 보안유지 필요부분 구체화 필요</x:v>
      </x:c>
      <x:c r="Q3265" s="2" t="str">
        <x:v>산업전환 외부사업 정보비공개 신청 관리 Tool_260707_LJY_261013.xlsx</x:v>
      </x:c>
      <x:c r="R3265" s="2" t="str">
        <x:v>(비공개)국내인증</x:v>
      </x:c>
      <x:c r="S3265" s="8" t="n">
        <x:v>43</x:v>
      </x:c>
      <x:c r="T3265" s="2"/>
      <x:c r="U3265" s="2" t="str"/>
      <x:c r="V3265" s="2" t="str">
        <x:v>2022-06-03</x:v>
      </x:c>
      <x:c r="W3265" s="2" t="str"/>
      <x:c r="X3265" s="2" t="str">
        <x:v>보완 회신 일정 확인</x:v>
      </x:c>
      <x:c r="Y3265" s="2" t="str">
        <x:v>22df6d619b696c1eba8e26790f6382083d9fb1bc48481283e3e8a92ea6897677</x:v>
      </x:c>
      <x:c r="Z3265" s="2" t="n">
        <x:f>SUBTOTAL(103,A3265)</x:f>
        <x:v>1</x:v>
      </x:c>
      <x:c r="AA3265" s="2" t="str">
        <x:f>IF(K3265&lt;&gt;"미종결 표시","대상 아님",IF(N3265="","신청일 확인",IF(NOT(ISNUMBER('종합 현황'!$H$5)),"관찰기준 확인",IF('종합 현황'!$H$5&lt;1,"관찰기준 확인",IF(N3265&gt;'종합 현황'!$H$5,"내부 관찰 대상","내부 관찰일 이하")))))</x:f>
        <x:v>내부 관찰 대상</x:v>
      </x:c>
      <x:c r="AB3265" s="2"/>
    </x:row>
    <x:row r="3266" ht="42" customHeight="1">
      <x:c r="A3266" s="2" t="str">
        <x:v>fbbca990fe690cfd2e1e2bd8</x:v>
      </x:c>
      <x:c r="B3266" s="2" t="str">
        <x:v>인증 비공개 신청</x:v>
      </x:c>
      <x:c r="C3266" s="2" t="str">
        <x:v>국내</x:v>
      </x:c>
      <x:c r="D3266" s="7" t="str">
        <x:v>영광아스콘(주) 버너연료를 B-C유 에서 LNG로 연료 전환 하는 온실가스 감축사업</x:v>
      </x:c>
      <x:c r="E3266" s="2" t="str">
        <x:v>42</x:v>
      </x:c>
      <x:c r="F3266" s="2" t="str">
        <x:v>2019-11-17</x:v>
      </x:c>
      <x:c r="G3266" s="2" t="str">
        <x:v>2019</x:v>
      </x:c>
      <x:c r="H3266" s="2" t="str">
        <x:v>11</x:v>
      </x:c>
      <x:c r="I3266" s="2" t="str">
        <x:v>보완요청</x:v>
      </x:c>
      <x:c r="J3266" s="2" t="str">
        <x:v>보완요청</x:v>
      </x:c>
      <x:c r="K3266" s="2" t="str">
        <x:f>IF(OR(J3266="심의승인",J3266="반려",J3266="반려완료",J3266="심의완료"),"종결 표시",IF(OR(J3266="기후부협의",J3266="문서재제출요청",J3266="보류",J3266="보완요청",J3266="보완완료",J3266="평가중",J3266="반려요청",J3266="평가필요",LEFT(J3266,5)="보완요청("),"미종결 표시","상태 확인 필요"))</x:f>
        <x:v>미종결 표시</x:v>
      </x:c>
      <x:c r="L3266" s="2" t="str">
        <x:v>에코시안_조영우</x:v>
      </x:c>
      <x:c r="M3266" s="2"/>
      <x:c r="N3266" s="8" t="n">
        <x:f>DATE(2026,10,15)-DATE(2019,11,17)</x:f>
        <x:v>2524</x:v>
      </x:c>
      <x:c r="O3266" s="2"/>
      <x:c r="P3266" s="2" t="str">
        <x:v>모니터링보고서 및 검증보고서 내 보안유지 필요부분 구체화 필요</x:v>
      </x:c>
      <x:c r="Q3266" s="2" t="str">
        <x:v>산업전환 외부사업 정보비공개 신청 관리 Tool_260707_LJY_261013.xlsx</x:v>
      </x:c>
      <x:c r="R3266" s="2" t="str">
        <x:v>(비공개)국내인증</x:v>
      </x:c>
      <x:c r="S3266" s="8" t="n">
        <x:v>44</x:v>
      </x:c>
      <x:c r="T3266" s="2"/>
      <x:c r="U3266" s="2" t="str"/>
      <x:c r="V3266" s="2" t="str">
        <x:v>2022-06-03</x:v>
      </x:c>
      <x:c r="W3266" s="2" t="str"/>
      <x:c r="X3266" s="2" t="str">
        <x:v>보완 회신 일정 확인</x:v>
      </x:c>
      <x:c r="Y3266" s="2" t="str">
        <x:v>22df6d619b696c1eba8e26790f6382083d9fb1bc48481283e3e8a92ea6897677</x:v>
      </x:c>
      <x:c r="Z3266" s="2" t="n">
        <x:f>SUBTOTAL(103,A3266)</x:f>
        <x:v>1</x:v>
      </x:c>
      <x:c r="AA3266" s="2" t="str">
        <x:f>IF(K3266&lt;&gt;"미종결 표시","대상 아님",IF(N3266="","신청일 확인",IF(NOT(ISNUMBER('종합 현황'!$H$5)),"관찰기준 확인",IF('종합 현황'!$H$5&lt;1,"관찰기준 확인",IF(N3266&gt;'종합 현황'!$H$5,"내부 관찰 대상","내부 관찰일 이하")))))</x:f>
        <x:v>내부 관찰 대상</x:v>
      </x:c>
      <x:c r="AB3266" s="2"/>
    </x:row>
    <x:row r="3267" ht="42" customHeight="1">
      <x:c r="A3267" s="2" t="str">
        <x:v>3a235b6780f222fc4d1b4f63</x:v>
      </x:c>
      <x:c r="B3267" s="2" t="str">
        <x:v>인증 비공개 신청</x:v>
      </x:c>
      <x:c r="C3267" s="2" t="str">
        <x:v>국내</x:v>
      </x:c>
      <x:c r="D3267" s="7" t="str">
        <x:v>신일산업의 보일러 연료교체(LNG-&gt;목재펠릿)을 통한 온실가스 감축사업</x:v>
      </x:c>
      <x:c r="E3267" s="2" t="str">
        <x:v>43</x:v>
      </x:c>
      <x:c r="F3267" s="2" t="str">
        <x:v>2019-11-17</x:v>
      </x:c>
      <x:c r="G3267" s="2" t="str">
        <x:v>2019</x:v>
      </x:c>
      <x:c r="H3267" s="2" t="str">
        <x:v>11</x:v>
      </x:c>
      <x:c r="I3267" s="2" t="str">
        <x:v>보완요청</x:v>
      </x:c>
      <x:c r="J3267" s="2" t="str">
        <x:v>보완요청</x:v>
      </x:c>
      <x:c r="K3267" s="2" t="str">
        <x:f>IF(OR(J3267="심의승인",J3267="반려",J3267="반려완료",J3267="심의완료"),"종결 표시",IF(OR(J3267="기후부협의",J3267="문서재제출요청",J3267="보류",J3267="보완요청",J3267="보완완료",J3267="평가중",J3267="반려요청",J3267="평가필요",LEFT(J3267,5)="보완요청("),"미종결 표시","상태 확인 필요"))</x:f>
        <x:v>미종결 표시</x:v>
      </x:c>
      <x:c r="L3267" s="2" t="str">
        <x:v>에코시안_조영우</x:v>
      </x:c>
      <x:c r="M3267" s="2"/>
      <x:c r="N3267" s="8" t="n">
        <x:f>DATE(2026,10,15)-DATE(2019,11,17)</x:f>
        <x:v>2524</x:v>
      </x:c>
      <x:c r="O3267" s="2"/>
      <x:c r="P3267" s="2" t="str">
        <x:v>모니터링보고서 및 검증보고서 내 보안유지 필요부분 구체화 필요</x:v>
      </x:c>
      <x:c r="Q3267" s="2" t="str">
        <x:v>산업전환 외부사업 정보비공개 신청 관리 Tool_260707_LJY_261013.xlsx</x:v>
      </x:c>
      <x:c r="R3267" s="2" t="str">
        <x:v>(비공개)국내인증</x:v>
      </x:c>
      <x:c r="S3267" s="8" t="n">
        <x:v>45</x:v>
      </x:c>
      <x:c r="T3267" s="2"/>
      <x:c r="U3267" s="2" t="str"/>
      <x:c r="V3267" s="2" t="str">
        <x:v>2023-10-11</x:v>
      </x:c>
      <x:c r="W3267" s="2" t="str"/>
      <x:c r="X3267" s="2" t="str">
        <x:v>보완 회신 일정 확인</x:v>
      </x:c>
      <x:c r="Y3267" s="2" t="str">
        <x:v>22df6d619b696c1eba8e26790f6382083d9fb1bc48481283e3e8a92ea6897677</x:v>
      </x:c>
      <x:c r="Z3267" s="2" t="n">
        <x:f>SUBTOTAL(103,A3267)</x:f>
        <x:v>1</x:v>
      </x:c>
      <x:c r="AA3267" s="2" t="str">
        <x:f>IF(K3267&lt;&gt;"미종결 표시","대상 아님",IF(N3267="","신청일 확인",IF(NOT(ISNUMBER('종합 현황'!$H$5)),"관찰기준 확인",IF('종합 현황'!$H$5&lt;1,"관찰기준 확인",IF(N3267&gt;'종합 현황'!$H$5,"내부 관찰 대상","내부 관찰일 이하")))))</x:f>
        <x:v>내부 관찰 대상</x:v>
      </x:c>
      <x:c r="AB3267" s="2"/>
    </x:row>
    <x:row r="3268" ht="42" customHeight="1">
      <x:c r="A3268" s="2" t="str">
        <x:v>553987dd71fb2f7e5d40be4a</x:v>
      </x:c>
      <x:c r="B3268" s="2" t="str">
        <x:v>인증 비공개 신청</x:v>
      </x:c>
      <x:c r="C3268" s="2" t="str">
        <x:v>국내</x:v>
      </x:c>
      <x:c r="D3268" s="7" t="str">
        <x:v>신원아이엔티 버너교체 연료전환(B-C유 → LPG)을 통한 온실가스 감축 사업</x:v>
      </x:c>
      <x:c r="E3268" s="2" t="str">
        <x:v>44</x:v>
      </x:c>
      <x:c r="F3268" s="2" t="str">
        <x:v>2019-11-17</x:v>
      </x:c>
      <x:c r="G3268" s="2" t="str">
        <x:v>2019</x:v>
      </x:c>
      <x:c r="H3268" s="2" t="str">
        <x:v>11</x:v>
      </x:c>
      <x:c r="I3268" s="2" t="str">
        <x:v>보완요청</x:v>
      </x:c>
      <x:c r="J3268" s="2" t="str">
        <x:v>보완요청</x:v>
      </x:c>
      <x:c r="K3268" s="2" t="str">
        <x:f>IF(OR(J3268="심의승인",J3268="반려",J3268="반려완료",J3268="심의완료"),"종결 표시",IF(OR(J3268="기후부협의",J3268="문서재제출요청",J3268="보류",J3268="보완요청",J3268="보완완료",J3268="평가중",J3268="반려요청",J3268="평가필요",LEFT(J3268,5)="보완요청("),"미종결 표시","상태 확인 필요"))</x:f>
        <x:v>미종결 표시</x:v>
      </x:c>
      <x:c r="L3268" s="2" t="str">
        <x:v>에코시안_조혜민</x:v>
      </x:c>
      <x:c r="M3268" s="2"/>
      <x:c r="N3268" s="8" t="n">
        <x:f>DATE(2026,10,15)-DATE(2019,11,17)</x:f>
        <x:v>2524</x:v>
      </x:c>
      <x:c r="O3268" s="2"/>
      <x:c r="P3268" s="2" t="str">
        <x:v>모니터링보고서 및 검증보고서 내 보안유지 필요부분 구체화 필요</x:v>
      </x:c>
      <x:c r="Q3268" s="2" t="str">
        <x:v>산업전환 외부사업 정보비공개 신청 관리 Tool_260707_LJY_261013.xlsx</x:v>
      </x:c>
      <x:c r="R3268" s="2" t="str">
        <x:v>(비공개)국내인증</x:v>
      </x:c>
      <x:c r="S3268" s="8" t="n">
        <x:v>46</x:v>
      </x:c>
      <x:c r="T3268" s="2"/>
      <x:c r="U3268" s="2" t="str"/>
      <x:c r="V3268" s="2" t="str">
        <x:v>2022-06-02</x:v>
      </x:c>
      <x:c r="W3268" s="2" t="str"/>
      <x:c r="X3268" s="2" t="str">
        <x:v>보완 회신 일정 확인</x:v>
      </x:c>
      <x:c r="Y3268" s="2" t="str">
        <x:v>22df6d619b696c1eba8e26790f6382083d9fb1bc48481283e3e8a92ea6897677</x:v>
      </x:c>
      <x:c r="Z3268" s="2" t="n">
        <x:f>SUBTOTAL(103,A3268)</x:f>
        <x:v>1</x:v>
      </x:c>
      <x:c r="AA3268" s="2" t="str">
        <x:f>IF(K3268&lt;&gt;"미종결 표시","대상 아님",IF(N3268="","신청일 확인",IF(NOT(ISNUMBER('종합 현황'!$H$5)),"관찰기준 확인",IF('종합 현황'!$H$5&lt;1,"관찰기준 확인",IF(N3268&gt;'종합 현황'!$H$5,"내부 관찰 대상","내부 관찰일 이하")))))</x:f>
        <x:v>내부 관찰 대상</x:v>
      </x:c>
      <x:c r="AB3268" s="2"/>
    </x:row>
    <x:row r="3269" ht="42" customHeight="1">
      <x:c r="A3269" s="2" t="str">
        <x:v>3ecb4db70ef7b8bcd2feab8c</x:v>
      </x:c>
      <x:c r="B3269" s="2" t="str">
        <x:v>인증 비공개 신청</x:v>
      </x:c>
      <x:c r="C3269" s="2" t="str">
        <x:v>국내</x:v>
      </x:c>
      <x:c r="D3269" s="7" t="str">
        <x:v>신명염색 버너교체 연료전환(B-C유 → LPG)을 통한 온실가스 감축 사업</x:v>
      </x:c>
      <x:c r="E3269" s="2" t="str">
        <x:v>45</x:v>
      </x:c>
      <x:c r="F3269" s="2" t="str">
        <x:v>2019-11-17</x:v>
      </x:c>
      <x:c r="G3269" s="2" t="str">
        <x:v>2019</x:v>
      </x:c>
      <x:c r="H3269" s="2" t="str">
        <x:v>11</x:v>
      </x:c>
      <x:c r="I3269" s="2" t="str">
        <x:v>보완요청</x:v>
      </x:c>
      <x:c r="J3269" s="2" t="str">
        <x:v>보완요청</x:v>
      </x:c>
      <x:c r="K3269" s="2" t="str">
        <x:f>IF(OR(J3269="심의승인",J3269="반려",J3269="반려완료",J3269="심의완료"),"종결 표시",IF(OR(J3269="기후부협의",J3269="문서재제출요청",J3269="보류",J3269="보완요청",J3269="보완완료",J3269="평가중",J3269="반려요청",J3269="평가필요",LEFT(J3269,5)="보완요청("),"미종결 표시","상태 확인 필요"))</x:f>
        <x:v>미종결 표시</x:v>
      </x:c>
      <x:c r="L3269" s="2" t="str">
        <x:v>에코시안_조혜민</x:v>
      </x:c>
      <x:c r="M3269" s="2"/>
      <x:c r="N3269" s="8" t="n">
        <x:f>DATE(2026,10,15)-DATE(2019,11,17)</x:f>
        <x:v>2524</x:v>
      </x:c>
      <x:c r="O3269" s="2"/>
      <x:c r="P3269" s="2" t="str">
        <x:v>모니터링보고서 및 검증보고서 내 보안유지 필요부분 구체화 필요</x:v>
      </x:c>
      <x:c r="Q3269" s="2" t="str">
        <x:v>산업전환 외부사업 정보비공개 신청 관리 Tool_260707_LJY_261013.xlsx</x:v>
      </x:c>
      <x:c r="R3269" s="2" t="str">
        <x:v>(비공개)국내인증</x:v>
      </x:c>
      <x:c r="S3269" s="8" t="n">
        <x:v>47</x:v>
      </x:c>
      <x:c r="T3269" s="2"/>
      <x:c r="U3269" s="2" t="str"/>
      <x:c r="V3269" s="2" t="str">
        <x:v>2022-06-02</x:v>
      </x:c>
      <x:c r="W3269" s="2" t="str"/>
      <x:c r="X3269" s="2" t="str">
        <x:v>보완 회신 일정 확인</x:v>
      </x:c>
      <x:c r="Y3269" s="2" t="str">
        <x:v>22df6d619b696c1eba8e26790f6382083d9fb1bc48481283e3e8a92ea6897677</x:v>
      </x:c>
      <x:c r="Z3269" s="2" t="n">
        <x:f>SUBTOTAL(103,A3269)</x:f>
        <x:v>1</x:v>
      </x:c>
      <x:c r="AA3269" s="2" t="str">
        <x:f>IF(K3269&lt;&gt;"미종결 표시","대상 아님",IF(N3269="","신청일 확인",IF(NOT(ISNUMBER('종합 현황'!$H$5)),"관찰기준 확인",IF('종합 현황'!$H$5&lt;1,"관찰기준 확인",IF(N3269&gt;'종합 현황'!$H$5,"내부 관찰 대상","내부 관찰일 이하")))))</x:f>
        <x:v>내부 관찰 대상</x:v>
      </x:c>
      <x:c r="AB3269" s="2"/>
    </x:row>
    <x:row r="3270" ht="42" customHeight="1">
      <x:c r="A3270" s="2" t="str">
        <x:v>6d6cec397b0c954b49033546</x:v>
      </x:c>
      <x:c r="B3270" s="2" t="str">
        <x:v>인증 비공개 신청</x:v>
      </x:c>
      <x:c r="C3270" s="2" t="str">
        <x:v>국내</x:v>
      </x:c>
      <x:c r="D3270" s="7" t="str">
        <x:v>세흥 목재펠릿 보일러 설치를 통한 온실가스 감축사업</x:v>
      </x:c>
      <x:c r="E3270" s="2" t="str">
        <x:v>46</x:v>
      </x:c>
      <x:c r="F3270" s="2" t="str">
        <x:v>2019-11-17</x:v>
      </x:c>
      <x:c r="G3270" s="2" t="str">
        <x:v>2019</x:v>
      </x:c>
      <x:c r="H3270" s="2" t="str">
        <x:v>11</x:v>
      </x:c>
      <x:c r="I3270" s="2" t="str">
        <x:v>보완요청</x:v>
      </x:c>
      <x:c r="J3270" s="2" t="str">
        <x:v>보완요청</x:v>
      </x:c>
      <x:c r="K3270" s="2" t="str">
        <x:f>IF(OR(J3270="심의승인",J3270="반려",J3270="반려완료",J3270="심의완료"),"종결 표시",IF(OR(J3270="기후부협의",J3270="문서재제출요청",J3270="보류",J3270="보완요청",J3270="보완완료",J3270="평가중",J3270="반려요청",J3270="평가필요",LEFT(J3270,5)="보완요청("),"미종결 표시","상태 확인 필요"))</x:f>
        <x:v>미종결 표시</x:v>
      </x:c>
      <x:c r="L3270" s="2" t="str">
        <x:v>에코시안_조혜민</x:v>
      </x:c>
      <x:c r="M3270" s="2"/>
      <x:c r="N3270" s="8" t="n">
        <x:f>DATE(2026,10,15)-DATE(2019,11,17)</x:f>
        <x:v>2524</x:v>
      </x:c>
      <x:c r="O3270" s="2"/>
      <x:c r="P3270" s="2" t="str">
        <x:v>모니터링보고서 및 검증보고서 내 보안유지 필요부분 구체화 필요</x:v>
      </x:c>
      <x:c r="Q3270" s="2" t="str">
        <x:v>산업전환 외부사업 정보비공개 신청 관리 Tool_260707_LJY_261013.xlsx</x:v>
      </x:c>
      <x:c r="R3270" s="2" t="str">
        <x:v>(비공개)국내인증</x:v>
      </x:c>
      <x:c r="S3270" s="8" t="n">
        <x:v>48</x:v>
      </x:c>
      <x:c r="T3270" s="2"/>
      <x:c r="U3270" s="2" t="str"/>
      <x:c r="V3270" s="2" t="str">
        <x:v>2022-06-02</x:v>
      </x:c>
      <x:c r="W3270" s="2" t="str"/>
      <x:c r="X3270" s="2" t="str">
        <x:v>보완 회신 일정 확인</x:v>
      </x:c>
      <x:c r="Y3270" s="2" t="str">
        <x:v>22df6d619b696c1eba8e26790f6382083d9fb1bc48481283e3e8a92ea6897677</x:v>
      </x:c>
      <x:c r="Z3270" s="2" t="n">
        <x:f>SUBTOTAL(103,A3270)</x:f>
        <x:v>1</x:v>
      </x:c>
      <x:c r="AA3270" s="2" t="str">
        <x:f>IF(K3270&lt;&gt;"미종결 표시","대상 아님",IF(N3270="","신청일 확인",IF(NOT(ISNUMBER('종합 현황'!$H$5)),"관찰기준 확인",IF('종합 현황'!$H$5&lt;1,"관찰기준 확인",IF(N3270&gt;'종합 현황'!$H$5,"내부 관찰 대상","내부 관찰일 이하")))))</x:f>
        <x:v>내부 관찰 대상</x:v>
      </x:c>
      <x:c r="AB3270" s="2"/>
    </x:row>
    <x:row r="3271" ht="42" customHeight="1">
      <x:c r="A3271" s="2" t="str">
        <x:v>d28523344b5dde6ca047f2ae</x:v>
      </x:c>
      <x:c r="B3271" s="2" t="str">
        <x:v>인증 비공개 신청</x:v>
      </x:c>
      <x:c r="C3271" s="2" t="str">
        <x:v>국내</x:v>
      </x:c>
      <x:c r="D3271" s="7" t="str">
        <x:v>삼두염색(주) 보일러 연료전환(LNG → 목재펠릿)을 통한 온실가스(CO2) 감축사업</x:v>
      </x:c>
      <x:c r="E3271" s="2" t="str">
        <x:v>47</x:v>
      </x:c>
      <x:c r="F3271" s="2" t="str">
        <x:v>2019-11-17</x:v>
      </x:c>
      <x:c r="G3271" s="2" t="str">
        <x:v>2019</x:v>
      </x:c>
      <x:c r="H3271" s="2" t="str">
        <x:v>11</x:v>
      </x:c>
      <x:c r="I3271" s="2" t="str">
        <x:v>보완요청</x:v>
      </x:c>
      <x:c r="J3271" s="2" t="str">
        <x:v>보완요청</x:v>
      </x:c>
      <x:c r="K3271" s="2" t="str">
        <x:f>IF(OR(J3271="심의승인",J3271="반려",J3271="반려완료",J3271="심의완료"),"종결 표시",IF(OR(J3271="기후부협의",J3271="문서재제출요청",J3271="보류",J3271="보완요청",J3271="보완완료",J3271="평가중",J3271="반려요청",J3271="평가필요",LEFT(J3271,5)="보완요청("),"미종결 표시","상태 확인 필요"))</x:f>
        <x:v>미종결 표시</x:v>
      </x:c>
      <x:c r="L3271" s="2" t="str">
        <x:v>에코시안_조혜민</x:v>
      </x:c>
      <x:c r="M3271" s="2"/>
      <x:c r="N3271" s="8" t="n">
        <x:f>DATE(2026,10,15)-DATE(2019,11,17)</x:f>
        <x:v>2524</x:v>
      </x:c>
      <x:c r="O3271" s="2"/>
      <x:c r="P3271" s="2" t="str">
        <x:v>모니터링보고서 및 검증보고서 내 보안유지 필요부분 구체화 필요</x:v>
      </x:c>
      <x:c r="Q3271" s="2" t="str">
        <x:v>산업전환 외부사업 정보비공개 신청 관리 Tool_260707_LJY_261013.xlsx</x:v>
      </x:c>
      <x:c r="R3271" s="2" t="str">
        <x:v>(비공개)국내인증</x:v>
      </x:c>
      <x:c r="S3271" s="8" t="n">
        <x:v>49</x:v>
      </x:c>
      <x:c r="T3271" s="2"/>
      <x:c r="U3271" s="2" t="str"/>
      <x:c r="V3271" s="2" t="str">
        <x:v>2022-06-02</x:v>
      </x:c>
      <x:c r="W3271" s="2" t="str"/>
      <x:c r="X3271" s="2" t="str">
        <x:v>보완 회신 일정 확인</x:v>
      </x:c>
      <x:c r="Y3271" s="2" t="str">
        <x:v>22df6d619b696c1eba8e26790f6382083d9fb1bc48481283e3e8a92ea6897677</x:v>
      </x:c>
      <x:c r="Z3271" s="2" t="n">
        <x:f>SUBTOTAL(103,A3271)</x:f>
        <x:v>1</x:v>
      </x:c>
      <x:c r="AA3271" s="2" t="str">
        <x:f>IF(K3271&lt;&gt;"미종결 표시","대상 아님",IF(N3271="","신청일 확인",IF(NOT(ISNUMBER('종합 현황'!$H$5)),"관찰기준 확인",IF('종합 현황'!$H$5&lt;1,"관찰기준 확인",IF(N3271&gt;'종합 현황'!$H$5,"내부 관찰 대상","내부 관찰일 이하")))))</x:f>
        <x:v>내부 관찰 대상</x:v>
      </x:c>
      <x:c r="AB3271" s="2"/>
    </x:row>
    <x:row r="3272" ht="42" customHeight="1">
      <x:c r="A3272" s="2" t="str">
        <x:v>5912d06242763d39b27d3a47</x:v>
      </x:c>
      <x:c r="B3272" s="2" t="str">
        <x:v>인증 비공개 신청</x:v>
      </x:c>
      <x:c r="C3272" s="2" t="str">
        <x:v>국내</x:v>
      </x:c>
      <x:c r="D3272" s="7" t="str">
        <x:v>삼광에프엔씨 목재펠릿 연료 전환을 통한 온실가스 감축사업</x:v>
      </x:c>
      <x:c r="E3272" s="2" t="str">
        <x:v>48</x:v>
      </x:c>
      <x:c r="F3272" s="2" t="str">
        <x:v>2019-11-17</x:v>
      </x:c>
      <x:c r="G3272" s="2" t="str">
        <x:v>2019</x:v>
      </x:c>
      <x:c r="H3272" s="2" t="str">
        <x:v>11</x:v>
      </x:c>
      <x:c r="I3272" s="2" t="str">
        <x:v>보완요청</x:v>
      </x:c>
      <x:c r="J3272" s="2" t="str">
        <x:v>보완요청</x:v>
      </x:c>
      <x:c r="K3272" s="2" t="str">
        <x:f>IF(OR(J3272="심의승인",J3272="반려",J3272="반려완료",J3272="심의완료"),"종결 표시",IF(OR(J3272="기후부협의",J3272="문서재제출요청",J3272="보류",J3272="보완요청",J3272="보완완료",J3272="평가중",J3272="반려요청",J3272="평가필요",LEFT(J3272,5)="보완요청("),"미종결 표시","상태 확인 필요"))</x:f>
        <x:v>미종결 표시</x:v>
      </x:c>
      <x:c r="L3272" s="2" t="str">
        <x:v>에코시안_조혜민</x:v>
      </x:c>
      <x:c r="M3272" s="2"/>
      <x:c r="N3272" s="8" t="n">
        <x:f>DATE(2026,10,15)-DATE(2019,11,17)</x:f>
        <x:v>2524</x:v>
      </x:c>
      <x:c r="O3272" s="2"/>
      <x:c r="P3272" s="2" t="str">
        <x:v>모니터링보고서 및 검증보고서 내 보안유지 필요부분 구체화 필요</x:v>
      </x:c>
      <x:c r="Q3272" s="2" t="str">
        <x:v>산업전환 외부사업 정보비공개 신청 관리 Tool_260707_LJY_261013.xlsx</x:v>
      </x:c>
      <x:c r="R3272" s="2" t="str">
        <x:v>(비공개)국내인증</x:v>
      </x:c>
      <x:c r="S3272" s="8" t="n">
        <x:v>50</x:v>
      </x:c>
      <x:c r="T3272" s="2"/>
      <x:c r="U3272" s="2" t="str"/>
      <x:c r="V3272" s="2" t="str">
        <x:v>2022-06-02</x:v>
      </x:c>
      <x:c r="W3272" s="2" t="str"/>
      <x:c r="X3272" s="2" t="str">
        <x:v>보완 회신 일정 확인</x:v>
      </x:c>
      <x:c r="Y3272" s="2" t="str">
        <x:v>22df6d619b696c1eba8e26790f6382083d9fb1bc48481283e3e8a92ea6897677</x:v>
      </x:c>
      <x:c r="Z3272" s="2" t="n">
        <x:f>SUBTOTAL(103,A3272)</x:f>
        <x:v>1</x:v>
      </x:c>
      <x:c r="AA3272" s="2" t="str">
        <x:f>IF(K3272&lt;&gt;"미종결 표시","대상 아님",IF(N3272="","신청일 확인",IF(NOT(ISNUMBER('종합 현황'!$H$5)),"관찰기준 확인",IF('종합 현황'!$H$5&lt;1,"관찰기준 확인",IF(N3272&gt;'종합 현황'!$H$5,"내부 관찰 대상","내부 관찰일 이하")))))</x:f>
        <x:v>내부 관찰 대상</x:v>
      </x:c>
      <x:c r="AB3272" s="2"/>
    </x:row>
    <x:row r="3273" ht="42" customHeight="1">
      <x:c r="A3273" s="2" t="str">
        <x:v>140e80e0263951778dfc5e5b</x:v>
      </x:c>
      <x:c r="B3273" s="2" t="str">
        <x:v>인증 비공개 신청</x:v>
      </x:c>
      <x:c r="C3273" s="2" t="str">
        <x:v>국내</x:v>
      </x:c>
      <x:c r="D3273" s="7" t="str">
        <x:v>동양제지공업 보일러 연료 전환([B-C유+정제유]→LNG) 온실가스 감축사업</x:v>
      </x:c>
      <x:c r="E3273" s="2" t="str">
        <x:v>49</x:v>
      </x:c>
      <x:c r="F3273" s="2" t="str">
        <x:v>2019-11-17</x:v>
      </x:c>
      <x:c r="G3273" s="2" t="str">
        <x:v>2019</x:v>
      </x:c>
      <x:c r="H3273" s="2" t="str">
        <x:v>11</x:v>
      </x:c>
      <x:c r="I3273" s="2" t="str">
        <x:v>보완요청</x:v>
      </x:c>
      <x:c r="J3273" s="2" t="str">
        <x:v>보완요청</x:v>
      </x:c>
      <x:c r="K3273" s="2" t="str">
        <x:f>IF(OR(J3273="심의승인",J3273="반려",J3273="반려완료",J3273="심의완료"),"종결 표시",IF(OR(J3273="기후부협의",J3273="문서재제출요청",J3273="보류",J3273="보완요청",J3273="보완완료",J3273="평가중",J3273="반려요청",J3273="평가필요",LEFT(J3273,5)="보완요청("),"미종결 표시","상태 확인 필요"))</x:f>
        <x:v>미종결 표시</x:v>
      </x:c>
      <x:c r="L3273" s="2" t="str">
        <x:v>에코시안_조혜민</x:v>
      </x:c>
      <x:c r="M3273" s="2"/>
      <x:c r="N3273" s="8" t="n">
        <x:f>DATE(2026,10,15)-DATE(2019,11,17)</x:f>
        <x:v>2524</x:v>
      </x:c>
      <x:c r="O3273" s="2"/>
      <x:c r="P3273" s="2" t="str">
        <x:v>모니터링보고서 및 검증보고서 내 보안유지 필요부분 구체화 필요</x:v>
      </x:c>
      <x:c r="Q3273" s="2" t="str">
        <x:v>산업전환 외부사업 정보비공개 신청 관리 Tool_260707_LJY_261013.xlsx</x:v>
      </x:c>
      <x:c r="R3273" s="2" t="str">
        <x:v>(비공개)국내인증</x:v>
      </x:c>
      <x:c r="S3273" s="8" t="n">
        <x:v>51</x:v>
      </x:c>
      <x:c r="T3273" s="2"/>
      <x:c r="U3273" s="2" t="str"/>
      <x:c r="V3273" s="2" t="str">
        <x:v>2022-06-02</x:v>
      </x:c>
      <x:c r="W3273" s="2" t="str"/>
      <x:c r="X3273" s="2" t="str">
        <x:v>보완 회신 일정 확인</x:v>
      </x:c>
      <x:c r="Y3273" s="2" t="str">
        <x:v>22df6d619b696c1eba8e26790f6382083d9fb1bc48481283e3e8a92ea6897677</x:v>
      </x:c>
      <x:c r="Z3273" s="2" t="n">
        <x:f>SUBTOTAL(103,A3273)</x:f>
        <x:v>1</x:v>
      </x:c>
      <x:c r="AA3273" s="2" t="str">
        <x:f>IF(K3273&lt;&gt;"미종결 표시","대상 아님",IF(N3273="","신청일 확인",IF(NOT(ISNUMBER('종합 현황'!$H$5)),"관찰기준 확인",IF('종합 현황'!$H$5&lt;1,"관찰기준 확인",IF(N3273&gt;'종합 현황'!$H$5,"내부 관찰 대상","내부 관찰일 이하")))))</x:f>
        <x:v>내부 관찰 대상</x:v>
      </x:c>
      <x:c r="AB3273" s="2"/>
    </x:row>
    <x:row r="3274" ht="42" customHeight="1">
      <x:c r="A3274" s="2" t="str">
        <x:v>43ce0fc8ddd27d906712736c</x:v>
      </x:c>
      <x:c r="B3274" s="2" t="str">
        <x:v>인증 비공개 신청</x:v>
      </x:c>
      <x:c r="C3274" s="2" t="str">
        <x:v>국내</x:v>
      </x:c>
      <x:c r="D3274" s="7" t="str">
        <x:v>동보피엔티 목재펠릿 연료 전환을 통한 온실가스 감축사업</x:v>
      </x:c>
      <x:c r="E3274" s="2" t="str">
        <x:v>50</x:v>
      </x:c>
      <x:c r="F3274" s="2" t="str">
        <x:v>2019-11-17</x:v>
      </x:c>
      <x:c r="G3274" s="2" t="str">
        <x:v>2019</x:v>
      </x:c>
      <x:c r="H3274" s="2" t="str">
        <x:v>11</x:v>
      </x:c>
      <x:c r="I3274" s="2" t="str">
        <x:v>보완요청</x:v>
      </x:c>
      <x:c r="J3274" s="2" t="str">
        <x:v>보완요청</x:v>
      </x:c>
      <x:c r="K3274" s="2" t="str">
        <x:f>IF(OR(J3274="심의승인",J3274="반려",J3274="반려완료",J3274="심의완료"),"종결 표시",IF(OR(J3274="기후부협의",J3274="문서재제출요청",J3274="보류",J3274="보완요청",J3274="보완완료",J3274="평가중",J3274="반려요청",J3274="평가필요",LEFT(J3274,5)="보완요청("),"미종결 표시","상태 확인 필요"))</x:f>
        <x:v>미종결 표시</x:v>
      </x:c>
      <x:c r="L3274" s="2" t="str">
        <x:v>에코시안_조혜민</x:v>
      </x:c>
      <x:c r="M3274" s="2"/>
      <x:c r="N3274" s="8" t="n">
        <x:f>DATE(2026,10,15)-DATE(2019,11,17)</x:f>
        <x:v>2524</x:v>
      </x:c>
      <x:c r="O3274" s="2"/>
      <x:c r="P3274" s="2" t="str">
        <x:v>모니터링보고서 및 검증보고서 내 보안유지 필요부분 구체화 필요</x:v>
      </x:c>
      <x:c r="Q3274" s="2" t="str">
        <x:v>산업전환 외부사업 정보비공개 신청 관리 Tool_260707_LJY_261013.xlsx</x:v>
      </x:c>
      <x:c r="R3274" s="2" t="str">
        <x:v>(비공개)국내인증</x:v>
      </x:c>
      <x:c r="S3274" s="8" t="n">
        <x:v>52</x:v>
      </x:c>
      <x:c r="T3274" s="2"/>
      <x:c r="U3274" s="2" t="str"/>
      <x:c r="V3274" s="2" t="str">
        <x:v>2022-06-02</x:v>
      </x:c>
      <x:c r="W3274" s="2" t="str"/>
      <x:c r="X3274" s="2" t="str">
        <x:v>보완 회신 일정 확인</x:v>
      </x:c>
      <x:c r="Y3274" s="2" t="str">
        <x:v>22df6d619b696c1eba8e26790f6382083d9fb1bc48481283e3e8a92ea6897677</x:v>
      </x:c>
      <x:c r="Z3274" s="2" t="n">
        <x:f>SUBTOTAL(103,A3274)</x:f>
        <x:v>1</x:v>
      </x:c>
      <x:c r="AA3274" s="2" t="str">
        <x:f>IF(K3274&lt;&gt;"미종결 표시","대상 아님",IF(N3274="","신청일 확인",IF(NOT(ISNUMBER('종합 현황'!$H$5)),"관찰기준 확인",IF('종합 현황'!$H$5&lt;1,"관찰기준 확인",IF(N3274&gt;'종합 현황'!$H$5,"내부 관찰 대상","내부 관찰일 이하")))))</x:f>
        <x:v>내부 관찰 대상</x:v>
      </x:c>
      <x:c r="AB3274" s="2"/>
    </x:row>
    <x:row r="3275" ht="42" customHeight="1">
      <x:c r="A3275" s="2" t="str">
        <x:v>77be6c275cf634042a90e343</x:v>
      </x:c>
      <x:c r="B3275" s="2" t="str">
        <x:v>인증 비공개 신청</x:v>
      </x:c>
      <x:c r="C3275" s="2" t="str">
        <x:v>국내</x:v>
      </x:c>
      <x:c r="D3275" s="7" t="str">
        <x:v>경림산업(주) 제주사업장 B-B유에서 목재펠릿으로 연료 전환을 통한 온실가스 감축사업</x:v>
      </x:c>
      <x:c r="E3275" s="2" t="str">
        <x:v>51</x:v>
      </x:c>
      <x:c r="F3275" s="2" t="str">
        <x:v>2019-11-17</x:v>
      </x:c>
      <x:c r="G3275" s="2" t="str">
        <x:v>2019</x:v>
      </x:c>
      <x:c r="H3275" s="2" t="str">
        <x:v>11</x:v>
      </x:c>
      <x:c r="I3275" s="2" t="str">
        <x:v>보완요청</x:v>
      </x:c>
      <x:c r="J3275" s="2" t="str">
        <x:v>보완요청</x:v>
      </x:c>
      <x:c r="K3275" s="2" t="str">
        <x:f>IF(OR(J3275="심의승인",J3275="반려",J3275="반려완료",J3275="심의완료"),"종결 표시",IF(OR(J3275="기후부협의",J3275="문서재제출요청",J3275="보류",J3275="보완요청",J3275="보완완료",J3275="평가중",J3275="반려요청",J3275="평가필요",LEFT(J3275,5)="보완요청("),"미종결 표시","상태 확인 필요"))</x:f>
        <x:v>미종결 표시</x:v>
      </x:c>
      <x:c r="L3275" s="2" t="str">
        <x:v>에코시안_조혜민</x:v>
      </x:c>
      <x:c r="M3275" s="2"/>
      <x:c r="N3275" s="8" t="n">
        <x:f>DATE(2026,10,15)-DATE(2019,11,17)</x:f>
        <x:v>2524</x:v>
      </x:c>
      <x:c r="O3275" s="2"/>
      <x:c r="P3275" s="2" t="str">
        <x:v>모니터링보고서 및 검증보고서 내 보안유지 필요부분 구체화 필요</x:v>
      </x:c>
      <x:c r="Q3275" s="2" t="str">
        <x:v>산업전환 외부사업 정보비공개 신청 관리 Tool_260707_LJY_261013.xlsx</x:v>
      </x:c>
      <x:c r="R3275" s="2" t="str">
        <x:v>(비공개)국내인증</x:v>
      </x:c>
      <x:c r="S3275" s="8" t="n">
        <x:v>53</x:v>
      </x:c>
      <x:c r="T3275" s="2"/>
      <x:c r="U3275" s="2" t="str"/>
      <x:c r="V3275" s="2" t="str">
        <x:v>2022-06-02</x:v>
      </x:c>
      <x:c r="W3275" s="2" t="str"/>
      <x:c r="X3275" s="2" t="str">
        <x:v>보완 회신 일정 확인</x:v>
      </x:c>
      <x:c r="Y3275" s="2" t="str">
        <x:v>22df6d619b696c1eba8e26790f6382083d9fb1bc48481283e3e8a92ea6897677</x:v>
      </x:c>
      <x:c r="Z3275" s="2" t="n">
        <x:f>SUBTOTAL(103,A3275)</x:f>
        <x:v>1</x:v>
      </x:c>
      <x:c r="AA3275" s="2" t="str">
        <x:f>IF(K3275&lt;&gt;"미종결 표시","대상 아님",IF(N3275="","신청일 확인",IF(NOT(ISNUMBER('종합 현황'!$H$5)),"관찰기준 확인",IF('종합 현황'!$H$5&lt;1,"관찰기준 확인",IF(N3275&gt;'종합 현황'!$H$5,"내부 관찰 대상","내부 관찰일 이하")))))</x:f>
        <x:v>내부 관찰 대상</x:v>
      </x:c>
      <x:c r="AB3275" s="2"/>
    </x:row>
    <x:row r="3276" ht="42" customHeight="1">
      <x:c r="A3276" s="2" t="str">
        <x:v>6472f34b0211cce8cc155a2e</x:v>
      </x:c>
      <x:c r="B3276" s="2" t="str">
        <x:v>인증 비공개 신청</x:v>
      </x:c>
      <x:c r="C3276" s="2" t="str">
        <x:v>국내</x:v>
      </x:c>
      <x:c r="D3276" s="7" t="str">
        <x:v>(주)우리섬유 버너교체 연료전환(경유, B-C유 → LPG)을 통한 온실가스 감축 사업</x:v>
      </x:c>
      <x:c r="E3276" s="2" t="str">
        <x:v>52</x:v>
      </x:c>
      <x:c r="F3276" s="2" t="str">
        <x:v>2019-11-17</x:v>
      </x:c>
      <x:c r="G3276" s="2" t="str">
        <x:v>2019</x:v>
      </x:c>
      <x:c r="H3276" s="2" t="str">
        <x:v>11</x:v>
      </x:c>
      <x:c r="I3276" s="2" t="str">
        <x:v>보완요청</x:v>
      </x:c>
      <x:c r="J3276" s="2" t="str">
        <x:v>보완요청</x:v>
      </x:c>
      <x:c r="K3276" s="2" t="str">
        <x:f>IF(OR(J3276="심의승인",J3276="반려",J3276="반려완료",J3276="심의완료"),"종결 표시",IF(OR(J3276="기후부협의",J3276="문서재제출요청",J3276="보류",J3276="보완요청",J3276="보완완료",J3276="평가중",J3276="반려요청",J3276="평가필요",LEFT(J3276,5)="보완요청("),"미종결 표시","상태 확인 필요"))</x:f>
        <x:v>미종결 표시</x:v>
      </x:c>
      <x:c r="L3276" s="2" t="str">
        <x:v>에코시안_조혜민</x:v>
      </x:c>
      <x:c r="M3276" s="2"/>
      <x:c r="N3276" s="8" t="n">
        <x:f>DATE(2026,10,15)-DATE(2019,11,17)</x:f>
        <x:v>2524</x:v>
      </x:c>
      <x:c r="O3276" s="2"/>
      <x:c r="P3276" s="2" t="str">
        <x:v>모니터링보고서 및 검증보고서 내 보안유지 필요부분 구체화 필요</x:v>
      </x:c>
      <x:c r="Q3276" s="2" t="str">
        <x:v>산업전환 외부사업 정보비공개 신청 관리 Tool_260707_LJY_261013.xlsx</x:v>
      </x:c>
      <x:c r="R3276" s="2" t="str">
        <x:v>(비공개)국내인증</x:v>
      </x:c>
      <x:c r="S3276" s="8" t="n">
        <x:v>54</x:v>
      </x:c>
      <x:c r="T3276" s="2"/>
      <x:c r="U3276" s="2" t="str"/>
      <x:c r="V3276" s="2" t="str">
        <x:v>2022-06-02</x:v>
      </x:c>
      <x:c r="W3276" s="2" t="str"/>
      <x:c r="X3276" s="2" t="str">
        <x:v>보완 회신 일정 확인</x:v>
      </x:c>
      <x:c r="Y3276" s="2" t="str">
        <x:v>22df6d619b696c1eba8e26790f6382083d9fb1bc48481283e3e8a92ea6897677</x:v>
      </x:c>
      <x:c r="Z3276" s="2" t="n">
        <x:f>SUBTOTAL(103,A3276)</x:f>
        <x:v>1</x:v>
      </x:c>
      <x:c r="AA3276" s="2" t="str">
        <x:f>IF(K3276&lt;&gt;"미종결 표시","대상 아님",IF(N3276="","신청일 확인",IF(NOT(ISNUMBER('종합 현황'!$H$5)),"관찰기준 확인",IF('종합 현황'!$H$5&lt;1,"관찰기준 확인",IF(N3276&gt;'종합 현황'!$H$5,"내부 관찰 대상","내부 관찰일 이하")))))</x:f>
        <x:v>내부 관찰 대상</x:v>
      </x:c>
      <x:c r="AB3276" s="2"/>
    </x:row>
    <x:row r="3277" ht="42" customHeight="1">
      <x:c r="A3277" s="2" t="str">
        <x:v>d370e02c99d6d08e147beb1d</x:v>
      </x:c>
      <x:c r="B3277" s="2" t="str">
        <x:v>인증 비공개 신청</x:v>
      </x:c>
      <x:c r="C3277" s="2" t="str">
        <x:v>국내</x:v>
      </x:c>
      <x:c r="D3277" s="7" t="str">
        <x:v>(주)와이엠 프로폴의 보일러 연료전환 (B-C유 → LNG)에 의한 온실가스(CO2) 배출 감축사업</x:v>
      </x:c>
      <x:c r="E3277" s="2" t="str">
        <x:v>53</x:v>
      </x:c>
      <x:c r="F3277" s="2" t="str">
        <x:v>2019-11-17</x:v>
      </x:c>
      <x:c r="G3277" s="2" t="str">
        <x:v>2019</x:v>
      </x:c>
      <x:c r="H3277" s="2" t="str">
        <x:v>11</x:v>
      </x:c>
      <x:c r="I3277" s="2" t="str">
        <x:v>보완요청</x:v>
      </x:c>
      <x:c r="J3277" s="2" t="str">
        <x:v>보완요청</x:v>
      </x:c>
      <x:c r="K3277" s="2" t="str">
        <x:f>IF(OR(J3277="심의승인",J3277="반려",J3277="반려완료",J3277="심의완료"),"종결 표시",IF(OR(J3277="기후부협의",J3277="문서재제출요청",J3277="보류",J3277="보완요청",J3277="보완완료",J3277="평가중",J3277="반려요청",J3277="평가필요",LEFT(J3277,5)="보완요청("),"미종결 표시","상태 확인 필요"))</x:f>
        <x:v>미종결 표시</x:v>
      </x:c>
      <x:c r="L3277" s="2" t="str">
        <x:v>에코시안_조혜민</x:v>
      </x:c>
      <x:c r="M3277" s="2"/>
      <x:c r="N3277" s="8" t="n">
        <x:f>DATE(2026,10,15)-DATE(2019,11,17)</x:f>
        <x:v>2524</x:v>
      </x:c>
      <x:c r="O3277" s="2"/>
      <x:c r="P3277" s="2" t="str">
        <x:v>모니터링보고서 및 검증보고서 내 보안유지 필요부분 구체화 필요</x:v>
      </x:c>
      <x:c r="Q3277" s="2" t="str">
        <x:v>산업전환 외부사업 정보비공개 신청 관리 Tool_260707_LJY_261013.xlsx</x:v>
      </x:c>
      <x:c r="R3277" s="2" t="str">
        <x:v>(비공개)국내인증</x:v>
      </x:c>
      <x:c r="S3277" s="8" t="n">
        <x:v>55</x:v>
      </x:c>
      <x:c r="T3277" s="2"/>
      <x:c r="U3277" s="2" t="str"/>
      <x:c r="V3277" s="2" t="str">
        <x:v>2022-06-02</x:v>
      </x:c>
      <x:c r="W3277" s="2" t="str"/>
      <x:c r="X3277" s="2" t="str">
        <x:v>보완 회신 일정 확인</x:v>
      </x:c>
      <x:c r="Y3277" s="2" t="str">
        <x:v>22df6d619b696c1eba8e26790f6382083d9fb1bc48481283e3e8a92ea6897677</x:v>
      </x:c>
      <x:c r="Z3277" s="2" t="n">
        <x:f>SUBTOTAL(103,A3277)</x:f>
        <x:v>1</x:v>
      </x:c>
      <x:c r="AA3277" s="2" t="str">
        <x:f>IF(K3277&lt;&gt;"미종결 표시","대상 아님",IF(N3277="","신청일 확인",IF(NOT(ISNUMBER('종합 현황'!$H$5)),"관찰기준 확인",IF('종합 현황'!$H$5&lt;1,"관찰기준 확인",IF(N3277&gt;'종합 현황'!$H$5,"내부 관찰 대상","내부 관찰일 이하")))))</x:f>
        <x:v>내부 관찰 대상</x:v>
      </x:c>
      <x:c r="AB3277" s="2"/>
    </x:row>
    <x:row r="3278" ht="42" customHeight="1">
      <x:c r="A3278" s="2" t="str">
        <x:v>e8059032039d449d06301a0c</x:v>
      </x:c>
      <x:c r="B3278" s="2" t="str">
        <x:v>인증 비공개 신청</x:v>
      </x:c>
      <x:c r="C3278" s="2" t="str">
        <x:v>국내</x:v>
      </x:c>
      <x:c r="D3278" s="7" t="str">
        <x:v>(주)에이치에스아쿠아피드 밀양사업장 B-C유에서 목재펠릿으로 연료전환을 통한 온실가스 감축사업</x:v>
      </x:c>
      <x:c r="E3278" s="2" t="str">
        <x:v>54</x:v>
      </x:c>
      <x:c r="F3278" s="2" t="str">
        <x:v>2019-11-17</x:v>
      </x:c>
      <x:c r="G3278" s="2" t="str">
        <x:v>2019</x:v>
      </x:c>
      <x:c r="H3278" s="2" t="str">
        <x:v>11</x:v>
      </x:c>
      <x:c r="I3278" s="2" t="str">
        <x:v>보완요청</x:v>
      </x:c>
      <x:c r="J3278" s="2" t="str">
        <x:v>보완요청</x:v>
      </x:c>
      <x:c r="K3278" s="2" t="str">
        <x:f>IF(OR(J3278="심의승인",J3278="반려",J3278="반려완료",J3278="심의완료"),"종결 표시",IF(OR(J3278="기후부협의",J3278="문서재제출요청",J3278="보류",J3278="보완요청",J3278="보완완료",J3278="평가중",J3278="반려요청",J3278="평가필요",LEFT(J3278,5)="보완요청("),"미종결 표시","상태 확인 필요"))</x:f>
        <x:v>미종결 표시</x:v>
      </x:c>
      <x:c r="L3278" s="2" t="str">
        <x:v>에코시안_조혜민</x:v>
      </x:c>
      <x:c r="M3278" s="2"/>
      <x:c r="N3278" s="8" t="n">
        <x:f>DATE(2026,10,15)-DATE(2019,11,17)</x:f>
        <x:v>2524</x:v>
      </x:c>
      <x:c r="O3278" s="2"/>
      <x:c r="P3278" s="2" t="str">
        <x:v>모니터링보고서 및 검증보고서 내 보안유지 필요부분 구체화 필요</x:v>
      </x:c>
      <x:c r="Q3278" s="2" t="str">
        <x:v>산업전환 외부사업 정보비공개 신청 관리 Tool_260707_LJY_261013.xlsx</x:v>
      </x:c>
      <x:c r="R3278" s="2" t="str">
        <x:v>(비공개)국내인증</x:v>
      </x:c>
      <x:c r="S3278" s="8" t="n">
        <x:v>56</x:v>
      </x:c>
      <x:c r="T3278" s="2"/>
      <x:c r="U3278" s="2" t="str"/>
      <x:c r="V3278" s="2" t="str">
        <x:v>2022-06-02</x:v>
      </x:c>
      <x:c r="W3278" s="2" t="str"/>
      <x:c r="X3278" s="2" t="str">
        <x:v>보완 회신 일정 확인</x:v>
      </x:c>
      <x:c r="Y3278" s="2" t="str">
        <x:v>22df6d619b696c1eba8e26790f6382083d9fb1bc48481283e3e8a92ea6897677</x:v>
      </x:c>
      <x:c r="Z3278" s="2" t="n">
        <x:f>SUBTOTAL(103,A3278)</x:f>
        <x:v>1</x:v>
      </x:c>
      <x:c r="AA3278" s="2" t="str">
        <x:f>IF(K3278&lt;&gt;"미종결 표시","대상 아님",IF(N3278="","신청일 확인",IF(NOT(ISNUMBER('종합 현황'!$H$5)),"관찰기준 확인",IF('종합 현황'!$H$5&lt;1,"관찰기준 확인",IF(N3278&gt;'종합 현황'!$H$5,"내부 관찰 대상","내부 관찰일 이하")))))</x:f>
        <x:v>내부 관찰 대상</x:v>
      </x:c>
      <x:c r="AB3278" s="2"/>
    </x:row>
    <x:row r="3279" ht="42" customHeight="1">
      <x:c r="A3279" s="2" t="str">
        <x:v>964a597fa27bde8f797648bd</x:v>
      </x:c>
      <x:c r="B3279" s="2" t="str">
        <x:v>인증 비공개 신청</x:v>
      </x:c>
      <x:c r="C3279" s="2" t="str">
        <x:v>국내</x:v>
      </x:c>
      <x:c r="D3279" s="7" t="str">
        <x:v>성창 버너 연료전환을 통한 온실가스 (CO2) 감축사업</x:v>
      </x:c>
      <x:c r="E3279" s="2" t="str">
        <x:v>55</x:v>
      </x:c>
      <x:c r="F3279" s="2" t="str">
        <x:v>2019-11-17</x:v>
      </x:c>
      <x:c r="G3279" s="2" t="str">
        <x:v>2019</x:v>
      </x:c>
      <x:c r="H3279" s="2" t="str">
        <x:v>11</x:v>
      </x:c>
      <x:c r="I3279" s="2" t="str">
        <x:v>보완요청</x:v>
      </x:c>
      <x:c r="J3279" s="2" t="str">
        <x:v>보완요청</x:v>
      </x:c>
      <x:c r="K3279" s="2" t="str">
        <x:f>IF(OR(J3279="심의승인",J3279="반려",J3279="반려완료",J3279="심의완료"),"종결 표시",IF(OR(J3279="기후부협의",J3279="문서재제출요청",J3279="보류",J3279="보완요청",J3279="보완완료",J3279="평가중",J3279="반려요청",J3279="평가필요",LEFT(J3279,5)="보완요청("),"미종결 표시","상태 확인 필요"))</x:f>
        <x:v>미종결 표시</x:v>
      </x:c>
      <x:c r="L3279" s="2" t="str">
        <x:v>에코시안_조혜민</x:v>
      </x:c>
      <x:c r="M3279" s="2"/>
      <x:c r="N3279" s="8" t="n">
        <x:f>DATE(2026,10,15)-DATE(2019,11,17)</x:f>
        <x:v>2524</x:v>
      </x:c>
      <x:c r="O3279" s="2"/>
      <x:c r="P3279" s="2" t="str">
        <x:v>모니터링보고서 및 검증보고서 내 보안유지 필요부분 구체화 필요</x:v>
      </x:c>
      <x:c r="Q3279" s="2" t="str">
        <x:v>산업전환 외부사업 정보비공개 신청 관리 Tool_260707_LJY_261013.xlsx</x:v>
      </x:c>
      <x:c r="R3279" s="2" t="str">
        <x:v>(비공개)국내인증</x:v>
      </x:c>
      <x:c r="S3279" s="8" t="n">
        <x:v>57</x:v>
      </x:c>
      <x:c r="T3279" s="2"/>
      <x:c r="U3279" s="2" t="str"/>
      <x:c r="V3279" s="2" t="str">
        <x:v>2022-06-02</x:v>
      </x:c>
      <x:c r="W3279" s="2" t="str"/>
      <x:c r="X3279" s="2" t="str">
        <x:v>보완 회신 일정 확인</x:v>
      </x:c>
      <x:c r="Y3279" s="2" t="str">
        <x:v>22df6d619b696c1eba8e26790f6382083d9fb1bc48481283e3e8a92ea6897677</x:v>
      </x:c>
      <x:c r="Z3279" s="2" t="n">
        <x:f>SUBTOTAL(103,A3279)</x:f>
        <x:v>1</x:v>
      </x:c>
      <x:c r="AA3279" s="2" t="str">
        <x:f>IF(K3279&lt;&gt;"미종결 표시","대상 아님",IF(N3279="","신청일 확인",IF(NOT(ISNUMBER('종합 현황'!$H$5)),"관찰기준 확인",IF('종합 현황'!$H$5&lt;1,"관찰기준 확인",IF(N3279&gt;'종합 현황'!$H$5,"내부 관찰 대상","내부 관찰일 이하")))))</x:f>
        <x:v>내부 관찰 대상</x:v>
      </x:c>
      <x:c r="AB3279" s="2"/>
    </x:row>
    <x:row r="3280" ht="42" customHeight="1">
      <x:c r="A3280" s="2" t="str">
        <x:v>b3b520106280e24e2ef074ce</x:v>
      </x:c>
      <x:c r="B3280" s="2" t="str">
        <x:v>인증 비공개 신청</x:v>
      </x:c>
      <x:c r="C3280" s="2" t="str">
        <x:v>국내</x:v>
      </x:c>
      <x:c r="D3280" s="7" t="str">
        <x:v>경보판지공업의 연료전환을 통한 온실가스 감축사업</x:v>
      </x:c>
      <x:c r="E3280" s="2" t="str">
        <x:v>56</x:v>
      </x:c>
      <x:c r="F3280" s="2" t="str">
        <x:v>2019-11-17</x:v>
      </x:c>
      <x:c r="G3280" s="2" t="str">
        <x:v>2019</x:v>
      </x:c>
      <x:c r="H3280" s="2" t="str">
        <x:v>11</x:v>
      </x:c>
      <x:c r="I3280" s="2" t="str">
        <x:v>보완요청</x:v>
      </x:c>
      <x:c r="J3280" s="2" t="str">
        <x:v>보완요청</x:v>
      </x:c>
      <x:c r="K3280" s="2" t="str">
        <x:f>IF(OR(J3280="심의승인",J3280="반려",J3280="반려완료",J3280="심의완료"),"종결 표시",IF(OR(J3280="기후부협의",J3280="문서재제출요청",J3280="보류",J3280="보완요청",J3280="보완완료",J3280="평가중",J3280="반려요청",J3280="평가필요",LEFT(J3280,5)="보완요청("),"미종결 표시","상태 확인 필요"))</x:f>
        <x:v>미종결 표시</x:v>
      </x:c>
      <x:c r="L3280" s="2" t="str">
        <x:v>에코시안_조혜민</x:v>
      </x:c>
      <x:c r="M3280" s="2"/>
      <x:c r="N3280" s="8" t="n">
        <x:f>DATE(2026,10,15)-DATE(2019,11,17)</x:f>
        <x:v>2524</x:v>
      </x:c>
      <x:c r="O3280" s="2"/>
      <x:c r="P3280" s="2" t="str">
        <x:v>모니터링보고서 및 검증보고서 내 보안유지 필요부분 구체화 필요</x:v>
      </x:c>
      <x:c r="Q3280" s="2" t="str">
        <x:v>산업전환 외부사업 정보비공개 신청 관리 Tool_260707_LJY_261013.xlsx</x:v>
      </x:c>
      <x:c r="R3280" s="2" t="str">
        <x:v>(비공개)국내인증</x:v>
      </x:c>
      <x:c r="S3280" s="8" t="n">
        <x:v>58</x:v>
      </x:c>
      <x:c r="T3280" s="2"/>
      <x:c r="U3280" s="2" t="str"/>
      <x:c r="V3280" s="2" t="str">
        <x:v>2022-06-02</x:v>
      </x:c>
      <x:c r="W3280" s="2" t="str"/>
      <x:c r="X3280" s="2" t="str">
        <x:v>보완 회신 일정 확인</x:v>
      </x:c>
      <x:c r="Y3280" s="2" t="str">
        <x:v>22df6d619b696c1eba8e26790f6382083d9fb1bc48481283e3e8a92ea6897677</x:v>
      </x:c>
      <x:c r="Z3280" s="2" t="n">
        <x:f>SUBTOTAL(103,A3280)</x:f>
        <x:v>1</x:v>
      </x:c>
      <x:c r="AA3280" s="2" t="str">
        <x:f>IF(K3280&lt;&gt;"미종결 표시","대상 아님",IF(N3280="","신청일 확인",IF(NOT(ISNUMBER('종합 현황'!$H$5)),"관찰기준 확인",IF('종합 현황'!$H$5&lt;1,"관찰기준 확인",IF(N3280&gt;'종합 현황'!$H$5,"내부 관찰 대상","내부 관찰일 이하")))))</x:f>
        <x:v>내부 관찰 대상</x:v>
      </x:c>
      <x:c r="AB3280" s="2"/>
    </x:row>
    <x:row r="3281" ht="42" customHeight="1">
      <x:c r="A3281" s="2" t="str">
        <x:v>6139785dcbeffa91666767b7</x:v>
      </x:c>
      <x:c r="B3281" s="2" t="str">
        <x:v>인증 비공개 신청</x:v>
      </x:c>
      <x:c r="C3281" s="2" t="str">
        <x:v>국내</x:v>
      </x:c>
      <x:c r="D3281" s="7" t="str">
        <x:v>한일섬유  건조공정 연료교체 KVER사업</x:v>
      </x:c>
      <x:c r="E3281" s="2" t="str">
        <x:v>57</x:v>
      </x:c>
      <x:c r="F3281" s="2" t="str">
        <x:v>2019-11-17</x:v>
      </x:c>
      <x:c r="G3281" s="2" t="str">
        <x:v>2019</x:v>
      </x:c>
      <x:c r="H3281" s="2" t="str">
        <x:v>11</x:v>
      </x:c>
      <x:c r="I3281" s="2" t="str">
        <x:v>보완요청</x:v>
      </x:c>
      <x:c r="J3281" s="2" t="str">
        <x:v>보완요청</x:v>
      </x:c>
      <x:c r="K3281" s="2" t="str">
        <x:f>IF(OR(J3281="심의승인",J3281="반려",J3281="반려완료",J3281="심의완료"),"종결 표시",IF(OR(J3281="기후부협의",J3281="문서재제출요청",J3281="보류",J3281="보완요청",J3281="보완완료",J3281="평가중",J3281="반려요청",J3281="평가필요",LEFT(J3281,5)="보완요청("),"미종결 표시","상태 확인 필요"))</x:f>
        <x:v>미종결 표시</x:v>
      </x:c>
      <x:c r="L3281" s="2" t="str">
        <x:v>에코시안_조혜민</x:v>
      </x:c>
      <x:c r="M3281" s="2"/>
      <x:c r="N3281" s="8" t="n">
        <x:f>DATE(2026,10,15)-DATE(2019,11,17)</x:f>
        <x:v>2524</x:v>
      </x:c>
      <x:c r="O3281" s="2"/>
      <x:c r="P3281" s="2" t="str">
        <x:v>모니터링보고서 및 검증보고서 내 보안유지 필요부분 구체화 필요</x:v>
      </x:c>
      <x:c r="Q3281" s="2" t="str">
        <x:v>산업전환 외부사업 정보비공개 신청 관리 Tool_260707_LJY_261013.xlsx</x:v>
      </x:c>
      <x:c r="R3281" s="2" t="str">
        <x:v>(비공개)국내인증</x:v>
      </x:c>
      <x:c r="S3281" s="8" t="n">
        <x:v>59</x:v>
      </x:c>
      <x:c r="T3281" s="2"/>
      <x:c r="U3281" s="2" t="str"/>
      <x:c r="V3281" s="2" t="str">
        <x:v>2022-06-02</x:v>
      </x:c>
      <x:c r="W3281" s="2" t="str"/>
      <x:c r="X3281" s="2" t="str">
        <x:v>보완 회신 일정 확인</x:v>
      </x:c>
      <x:c r="Y3281" s="2" t="str">
        <x:v>22df6d619b696c1eba8e26790f6382083d9fb1bc48481283e3e8a92ea6897677</x:v>
      </x:c>
      <x:c r="Z3281" s="2" t="n">
        <x:f>SUBTOTAL(103,A3281)</x:f>
        <x:v>1</x:v>
      </x:c>
      <x:c r="AA3281" s="2" t="str">
        <x:f>IF(K3281&lt;&gt;"미종결 표시","대상 아님",IF(N3281="","신청일 확인",IF(NOT(ISNUMBER('종합 현황'!$H$5)),"관찰기준 확인",IF('종합 현황'!$H$5&lt;1,"관찰기준 확인",IF(N3281&gt;'종합 현황'!$H$5,"내부 관찰 대상","내부 관찰일 이하")))))</x:f>
        <x:v>내부 관찰 대상</x:v>
      </x:c>
      <x:c r="AB3281" s="2"/>
    </x:row>
    <x:row r="3282" ht="42" customHeight="1">
      <x:c r="A3282" s="2" t="str">
        <x:v>c4444ac5ca063b02eeab566f</x:v>
      </x:c>
      <x:c r="B3282" s="2" t="str">
        <x:v>인증 비공개 신청</x:v>
      </x:c>
      <x:c r="C3282" s="2" t="str">
        <x:v>국내</x:v>
      </x:c>
      <x:c r="D3282" s="7" t="str">
        <x:v>팜스코 스팀보일러의 연료교체를 통한 온실가스 감축사업</x:v>
      </x:c>
      <x:c r="E3282" s="2" t="str">
        <x:v>58</x:v>
      </x:c>
      <x:c r="F3282" s="2" t="str">
        <x:v>2019-11-17</x:v>
      </x:c>
      <x:c r="G3282" s="2" t="str">
        <x:v>2019</x:v>
      </x:c>
      <x:c r="H3282" s="2" t="str">
        <x:v>11</x:v>
      </x:c>
      <x:c r="I3282" s="2" t="str">
        <x:v>보완요청</x:v>
      </x:c>
      <x:c r="J3282" s="2" t="str">
        <x:v>보완요청</x:v>
      </x:c>
      <x:c r="K3282" s="2" t="str">
        <x:f>IF(OR(J3282="심의승인",J3282="반려",J3282="반려완료",J3282="심의완료"),"종결 표시",IF(OR(J3282="기후부협의",J3282="문서재제출요청",J3282="보류",J3282="보완요청",J3282="보완완료",J3282="평가중",J3282="반려요청",J3282="평가필요",LEFT(J3282,5)="보완요청("),"미종결 표시","상태 확인 필요"))</x:f>
        <x:v>미종결 표시</x:v>
      </x:c>
      <x:c r="L3282" s="2" t="str">
        <x:v>에코시안_조혜민</x:v>
      </x:c>
      <x:c r="M3282" s="2"/>
      <x:c r="N3282" s="8" t="n">
        <x:f>DATE(2026,10,15)-DATE(2019,11,17)</x:f>
        <x:v>2524</x:v>
      </x:c>
      <x:c r="O3282" s="2"/>
      <x:c r="P3282" s="2" t="str">
        <x:v>모니터링보고서 및 검증보고서 내 보안유지 필요부분 구체화 필요</x:v>
      </x:c>
      <x:c r="Q3282" s="2" t="str">
        <x:v>산업전환 외부사업 정보비공개 신청 관리 Tool_260707_LJY_261013.xlsx</x:v>
      </x:c>
      <x:c r="R3282" s="2" t="str">
        <x:v>(비공개)국내인증</x:v>
      </x:c>
      <x:c r="S3282" s="8" t="n">
        <x:v>60</x:v>
      </x:c>
      <x:c r="T3282" s="2"/>
      <x:c r="U3282" s="2" t="str"/>
      <x:c r="V3282" s="2" t="str">
        <x:v>2022-06-02</x:v>
      </x:c>
      <x:c r="W3282" s="2" t="str"/>
      <x:c r="X3282" s="2" t="str">
        <x:v>보완 회신 일정 확인</x:v>
      </x:c>
      <x:c r="Y3282" s="2" t="str">
        <x:v>22df6d619b696c1eba8e26790f6382083d9fb1bc48481283e3e8a92ea6897677</x:v>
      </x:c>
      <x:c r="Z3282" s="2" t="n">
        <x:f>SUBTOTAL(103,A3282)</x:f>
        <x:v>1</x:v>
      </x:c>
      <x:c r="AA3282" s="2" t="str">
        <x:f>IF(K3282&lt;&gt;"미종결 표시","대상 아님",IF(N3282="","신청일 확인",IF(NOT(ISNUMBER('종합 현황'!$H$5)),"관찰기준 확인",IF('종합 현황'!$H$5&lt;1,"관찰기준 확인",IF(N3282&gt;'종합 현황'!$H$5,"내부 관찰 대상","내부 관찰일 이하")))))</x:f>
        <x:v>내부 관찰 대상</x:v>
      </x:c>
      <x:c r="AB3282" s="2"/>
    </x:row>
    <x:row r="3283" ht="42" customHeight="1">
      <x:c r="A3283" s="2" t="str">
        <x:v>32ddec89c45728425d1cd2f6</x:v>
      </x:c>
      <x:c r="B3283" s="2" t="str">
        <x:v>인증 비공개 신청</x:v>
      </x:c>
      <x:c r="C3283" s="2" t="str">
        <x:v>국내</x:v>
      </x:c>
      <x:c r="D3283" s="7" t="str">
        <x:v>중앙아스콘(주) 버너연료를 B-C유 에서 LNG로 연료 전환 하는 온실가스 감축사업</x:v>
      </x:c>
      <x:c r="E3283" s="2" t="str">
        <x:v>59</x:v>
      </x:c>
      <x:c r="F3283" s="2" t="str">
        <x:v>2019-11-14</x:v>
      </x:c>
      <x:c r="G3283" s="2" t="str">
        <x:v>2019</x:v>
      </x:c>
      <x:c r="H3283" s="2" t="str">
        <x:v>11</x:v>
      </x:c>
      <x:c r="I3283" s="2" t="str">
        <x:v>보완요청</x:v>
      </x:c>
      <x:c r="J3283" s="2" t="str">
        <x:v>보완요청</x:v>
      </x:c>
      <x:c r="K3283" s="2" t="str">
        <x:f>IF(OR(J3283="심의승인",J3283="반려",J3283="반려완료",J3283="심의완료"),"종결 표시",IF(OR(J3283="기후부협의",J3283="문서재제출요청",J3283="보류",J3283="보완요청",J3283="보완완료",J3283="평가중",J3283="반려요청",J3283="평가필요",LEFT(J3283,5)="보완요청("),"미종결 표시","상태 확인 필요"))</x:f>
        <x:v>미종결 표시</x:v>
      </x:c>
      <x:c r="L3283" s="2" t="str">
        <x:v>에코시안_조혜민</x:v>
      </x:c>
      <x:c r="M3283" s="2"/>
      <x:c r="N3283" s="8" t="n">
        <x:f>DATE(2026,10,15)-DATE(2019,11,14)</x:f>
        <x:v>2527</x:v>
      </x:c>
      <x:c r="O3283" s="2"/>
      <x:c r="P3283" s="2" t="str">
        <x:v>모니터링보고서 및 검증보고서 내 보안유지 필요부분 구체화 필요</x:v>
      </x:c>
      <x:c r="Q3283" s="2" t="str">
        <x:v>산업전환 외부사업 정보비공개 신청 관리 Tool_260707_LJY_261013.xlsx</x:v>
      </x:c>
      <x:c r="R3283" s="2" t="str">
        <x:v>(비공개)국내인증</x:v>
      </x:c>
      <x:c r="S3283" s="8" t="n">
        <x:v>61</x:v>
      </x:c>
      <x:c r="T3283" s="2"/>
      <x:c r="U3283" s="2" t="str"/>
      <x:c r="V3283" s="2" t="str">
        <x:v>2022-06-02</x:v>
      </x:c>
      <x:c r="W3283" s="2" t="str"/>
      <x:c r="X3283" s="2" t="str">
        <x:v>보완 회신 일정 확인</x:v>
      </x:c>
      <x:c r="Y3283" s="2" t="str">
        <x:v>22df6d619b696c1eba8e26790f6382083d9fb1bc48481283e3e8a92ea6897677</x:v>
      </x:c>
      <x:c r="Z3283" s="2" t="n">
        <x:f>SUBTOTAL(103,A3283)</x:f>
        <x:v>1</x:v>
      </x:c>
      <x:c r="AA3283" s="2" t="str">
        <x:f>IF(K3283&lt;&gt;"미종결 표시","대상 아님",IF(N3283="","신청일 확인",IF(NOT(ISNUMBER('종합 현황'!$H$5)),"관찰기준 확인",IF('종합 현황'!$H$5&lt;1,"관찰기준 확인",IF(N3283&gt;'종합 현황'!$H$5,"내부 관찰 대상","내부 관찰일 이하")))))</x:f>
        <x:v>내부 관찰 대상</x:v>
      </x:c>
      <x:c r="AB3283" s="2"/>
    </x:row>
    <x:row r="3284" ht="42" customHeight="1">
      <x:c r="A3284" s="2" t="str">
        <x:v>f1ed3f776e74ec3b556effce</x:v>
      </x:c>
      <x:c r="B3284" s="2" t="str">
        <x:v>인증 비공개 신청</x:v>
      </x:c>
      <x:c r="C3284" s="2" t="str">
        <x:v>국내</x:v>
      </x:c>
      <x:c r="D3284" s="7" t="str">
        <x:v>폴린트컴포지트코리아 연료교체를 통한 온실가스 배출감축사업</x:v>
      </x:c>
      <x:c r="E3284" s="2" t="str">
        <x:v>60</x:v>
      </x:c>
      <x:c r="F3284" s="2" t="str">
        <x:v>2019-11-14</x:v>
      </x:c>
      <x:c r="G3284" s="2" t="str">
        <x:v>2019</x:v>
      </x:c>
      <x:c r="H3284" s="2" t="str">
        <x:v>11</x:v>
      </x:c>
      <x:c r="I3284" s="2" t="str">
        <x:v>보완요청</x:v>
      </x:c>
      <x:c r="J3284" s="2" t="str">
        <x:v>보완요청</x:v>
      </x:c>
      <x:c r="K3284" s="2" t="str">
        <x:f>IF(OR(J3284="심의승인",J3284="반려",J3284="반려완료",J3284="심의완료"),"종결 표시",IF(OR(J3284="기후부협의",J3284="문서재제출요청",J3284="보류",J3284="보완요청",J3284="보완완료",J3284="평가중",J3284="반려요청",J3284="평가필요",LEFT(J3284,5)="보완요청("),"미종결 표시","상태 확인 필요"))</x:f>
        <x:v>미종결 표시</x:v>
      </x:c>
      <x:c r="L3284" s="2" t="str">
        <x:v>에코시안_조혜민</x:v>
      </x:c>
      <x:c r="M3284" s="2"/>
      <x:c r="N3284" s="8" t="n">
        <x:f>DATE(2026,10,15)-DATE(2019,11,14)</x:f>
        <x:v>2527</x:v>
      </x:c>
      <x:c r="O3284" s="2"/>
      <x:c r="P3284" s="2" t="str">
        <x:v>모니터링보고서 및 검증보고서 내 보안유지 필요부분 구체화 필요</x:v>
      </x:c>
      <x:c r="Q3284" s="2" t="str">
        <x:v>산업전환 외부사업 정보비공개 신청 관리 Tool_260707_LJY_261013.xlsx</x:v>
      </x:c>
      <x:c r="R3284" s="2" t="str">
        <x:v>(비공개)국내인증</x:v>
      </x:c>
      <x:c r="S3284" s="8" t="n">
        <x:v>62</x:v>
      </x:c>
      <x:c r="T3284" s="2"/>
      <x:c r="U3284" s="2" t="str"/>
      <x:c r="V3284" s="2" t="str">
        <x:v>2022-06-02</x:v>
      </x:c>
      <x:c r="W3284" s="2" t="str"/>
      <x:c r="X3284" s="2" t="str">
        <x:v>보완 회신 일정 확인</x:v>
      </x:c>
      <x:c r="Y3284" s="2" t="str">
        <x:v>22df6d619b696c1eba8e26790f6382083d9fb1bc48481283e3e8a92ea6897677</x:v>
      </x:c>
      <x:c r="Z3284" s="2" t="n">
        <x:f>SUBTOTAL(103,A3284)</x:f>
        <x:v>1</x:v>
      </x:c>
      <x:c r="AA3284" s="2" t="str">
        <x:f>IF(K3284&lt;&gt;"미종결 표시","대상 아님",IF(N3284="","신청일 확인",IF(NOT(ISNUMBER('종합 현황'!$H$5)),"관찰기준 확인",IF('종합 현황'!$H$5&lt;1,"관찰기준 확인",IF(N3284&gt;'종합 현황'!$H$5,"내부 관찰 대상","내부 관찰일 이하")))))</x:f>
        <x:v>내부 관찰 대상</x:v>
      </x:c>
      <x:c r="AB3284" s="2"/>
    </x:row>
    <x:row r="3285" ht="42" customHeight="1">
      <x:c r="A3285" s="2" t="str">
        <x:v>ca641869db9715a1192c1168</x:v>
      </x:c>
      <x:c r="B3285" s="2" t="str">
        <x:v>인증 비공개 신청</x:v>
      </x:c>
      <x:c r="C3285" s="2" t="str">
        <x:v>국내</x:v>
      </x:c>
      <x:c r="D3285" s="7" t="str">
        <x:v>㈜태형기업 화성 공장 아스콘 생산 시 연료 B-C유에서 LNG로의 연료전환을 통한 온실가스 감축사업</x:v>
      </x:c>
      <x:c r="E3285" s="2" t="str">
        <x:v>61</x:v>
      </x:c>
      <x:c r="F3285" s="2" t="str">
        <x:v>2019-11-14</x:v>
      </x:c>
      <x:c r="G3285" s="2" t="str">
        <x:v>2019</x:v>
      </x:c>
      <x:c r="H3285" s="2" t="str">
        <x:v>11</x:v>
      </x:c>
      <x:c r="I3285" s="2" t="str">
        <x:v>보완요청</x:v>
      </x:c>
      <x:c r="J3285" s="2" t="str">
        <x:v>보완요청</x:v>
      </x:c>
      <x:c r="K3285" s="2" t="str">
        <x:f>IF(OR(J3285="심의승인",J3285="반려",J3285="반려완료",J3285="심의완료"),"종결 표시",IF(OR(J3285="기후부협의",J3285="문서재제출요청",J3285="보류",J3285="보완요청",J3285="보완완료",J3285="평가중",J3285="반려요청",J3285="평가필요",LEFT(J3285,5)="보완요청("),"미종결 표시","상태 확인 필요"))</x:f>
        <x:v>미종결 표시</x:v>
      </x:c>
      <x:c r="L3285" s="2" t="str">
        <x:v>에코시안_조혜민</x:v>
      </x:c>
      <x:c r="M3285" s="2"/>
      <x:c r="N3285" s="8" t="n">
        <x:f>DATE(2026,10,15)-DATE(2019,11,14)</x:f>
        <x:v>2527</x:v>
      </x:c>
      <x:c r="O3285" s="2"/>
      <x:c r="P3285" s="2" t="str">
        <x:v>모니터링보고서 및 검증보고서 내 보안유지 필요부분 구체화 필요</x:v>
      </x:c>
      <x:c r="Q3285" s="2" t="str">
        <x:v>산업전환 외부사업 정보비공개 신청 관리 Tool_260707_LJY_261013.xlsx</x:v>
      </x:c>
      <x:c r="R3285" s="2" t="str">
        <x:v>(비공개)국내인증</x:v>
      </x:c>
      <x:c r="S3285" s="8" t="n">
        <x:v>63</x:v>
      </x:c>
      <x:c r="T3285" s="2"/>
      <x:c r="U3285" s="2" t="str"/>
      <x:c r="V3285" s="2" t="str">
        <x:v>2022-06-02</x:v>
      </x:c>
      <x:c r="W3285" s="2" t="str"/>
      <x:c r="X3285" s="2" t="str">
        <x:v>보완 회신 일정 확인</x:v>
      </x:c>
      <x:c r="Y3285" s="2" t="str">
        <x:v>22df6d619b696c1eba8e26790f6382083d9fb1bc48481283e3e8a92ea6897677</x:v>
      </x:c>
      <x:c r="Z3285" s="2" t="n">
        <x:f>SUBTOTAL(103,A3285)</x:f>
        <x:v>1</x:v>
      </x:c>
      <x:c r="AA3285" s="2" t="str">
        <x:f>IF(K3285&lt;&gt;"미종결 표시","대상 아님",IF(N3285="","신청일 확인",IF(NOT(ISNUMBER('종합 현황'!$H$5)),"관찰기준 확인",IF('종합 현황'!$H$5&lt;1,"관찰기준 확인",IF(N3285&gt;'종합 현황'!$H$5,"내부 관찰 대상","내부 관찰일 이하")))))</x:f>
        <x:v>내부 관찰 대상</x:v>
      </x:c>
      <x:c r="AB3285" s="2"/>
    </x:row>
    <x:row r="3286" ht="42" customHeight="1">
      <x:c r="A3286" s="2" t="str">
        <x:v>a559797e82a60c4af9aeebab</x:v>
      </x:c>
      <x:c r="B3286" s="2" t="str">
        <x:v>인증 비공개 신청</x:v>
      </x:c>
      <x:c r="C3286" s="2" t="str">
        <x:v>국내</x:v>
      </x:c>
      <x:c r="D3286" s="7" t="str">
        <x:v>케이비에프 보일러의 연료전환(부생연료2호-&gt;LPG)을 통한 온실가스 감축 사업</x:v>
      </x:c>
      <x:c r="E3286" s="2" t="str">
        <x:v>62</x:v>
      </x:c>
      <x:c r="F3286" s="2" t="str">
        <x:v>2019-11-14</x:v>
      </x:c>
      <x:c r="G3286" s="2" t="str">
        <x:v>2019</x:v>
      </x:c>
      <x:c r="H3286" s="2" t="str">
        <x:v>11</x:v>
      </x:c>
      <x:c r="I3286" s="2" t="str">
        <x:v>보완요청</x:v>
      </x:c>
      <x:c r="J3286" s="2" t="str">
        <x:v>보완요청</x:v>
      </x:c>
      <x:c r="K3286" s="2" t="str">
        <x:f>IF(OR(J3286="심의승인",J3286="반려",J3286="반려완료",J3286="심의완료"),"종결 표시",IF(OR(J3286="기후부협의",J3286="문서재제출요청",J3286="보류",J3286="보완요청",J3286="보완완료",J3286="평가중",J3286="반려요청",J3286="평가필요",LEFT(J3286,5)="보완요청("),"미종결 표시","상태 확인 필요"))</x:f>
        <x:v>미종결 표시</x:v>
      </x:c>
      <x:c r="L3286" s="2" t="str">
        <x:v>에코시안_조영우</x:v>
      </x:c>
      <x:c r="M3286" s="2"/>
      <x:c r="N3286" s="8" t="n">
        <x:f>DATE(2026,10,15)-DATE(2019,11,14)</x:f>
        <x:v>2527</x:v>
      </x:c>
      <x:c r="O3286" s="2"/>
      <x:c r="P3286" s="2" t="str">
        <x:v>모니터링보고서 및 검증보고서 내 보안유지 필요부분 구체화 필요</x:v>
      </x:c>
      <x:c r="Q3286" s="2" t="str">
        <x:v>산업전환 외부사업 정보비공개 신청 관리 Tool_260707_LJY_261013.xlsx</x:v>
      </x:c>
      <x:c r="R3286" s="2" t="str">
        <x:v>(비공개)국내인증</x:v>
      </x:c>
      <x:c r="S3286" s="8" t="n">
        <x:v>64</x:v>
      </x:c>
      <x:c r="T3286" s="2"/>
      <x:c r="U3286" s="2" t="str"/>
      <x:c r="V3286" s="2" t="str">
        <x:v>2023-06-19</x:v>
      </x:c>
      <x:c r="W3286" s="2" t="str"/>
      <x:c r="X3286" s="2" t="str">
        <x:v>보완 회신 일정 확인</x:v>
      </x:c>
      <x:c r="Y3286" s="2" t="str">
        <x:v>22df6d619b696c1eba8e26790f6382083d9fb1bc48481283e3e8a92ea6897677</x:v>
      </x:c>
      <x:c r="Z3286" s="2" t="n">
        <x:f>SUBTOTAL(103,A3286)</x:f>
        <x:v>1</x:v>
      </x:c>
      <x:c r="AA3286" s="2" t="str">
        <x:f>IF(K3286&lt;&gt;"미종결 표시","대상 아님",IF(N3286="","신청일 확인",IF(NOT(ISNUMBER('종합 현황'!$H$5)),"관찰기준 확인",IF('종합 현황'!$H$5&lt;1,"관찰기준 확인",IF(N3286&gt;'종합 현황'!$H$5,"내부 관찰 대상","내부 관찰일 이하")))))</x:f>
        <x:v>내부 관찰 대상</x:v>
      </x:c>
      <x:c r="AB3286" s="2"/>
    </x:row>
    <x:row r="3287" ht="42" customHeight="1">
      <x:c r="A3287" s="2" t="str">
        <x:v>e7efdc36a61ade653dea0bd8</x:v>
      </x:c>
      <x:c r="B3287" s="2" t="str">
        <x:v>인증 비공개 신청</x:v>
      </x:c>
      <x:c r="C3287" s="2" t="str">
        <x:v>국내</x:v>
      </x:c>
      <x:c r="D3287" s="7" t="str">
        <x:v>우일산업 청양공장 목재펠릿 연료 전환(부생연료 2호-&gt; 목재펠릿)을 통한 온실가스 감축사업</x:v>
      </x:c>
      <x:c r="E3287" s="2" t="str">
        <x:v>63</x:v>
      </x:c>
      <x:c r="F3287" s="2" t="str">
        <x:v>2019-11-14</x:v>
      </x:c>
      <x:c r="G3287" s="2" t="str">
        <x:v>2019</x:v>
      </x:c>
      <x:c r="H3287" s="2" t="str">
        <x:v>11</x:v>
      </x:c>
      <x:c r="I3287" s="2" t="str">
        <x:v>보완요청</x:v>
      </x:c>
      <x:c r="J3287" s="2" t="str">
        <x:v>보완요청</x:v>
      </x:c>
      <x:c r="K3287" s="2" t="str">
        <x:f>IF(OR(J3287="심의승인",J3287="반려",J3287="반려완료",J3287="심의완료"),"종결 표시",IF(OR(J3287="기후부협의",J3287="문서재제출요청",J3287="보류",J3287="보완요청",J3287="보완완료",J3287="평가중",J3287="반려요청",J3287="평가필요",LEFT(J3287,5)="보완요청("),"미종결 표시","상태 확인 필요"))</x:f>
        <x:v>미종결 표시</x:v>
      </x:c>
      <x:c r="L3287" s="2" t="str">
        <x:v>에코시안_조혜민</x:v>
      </x:c>
      <x:c r="M3287" s="2"/>
      <x:c r="N3287" s="8" t="n">
        <x:f>DATE(2026,10,15)-DATE(2019,11,14)</x:f>
        <x:v>2527</x:v>
      </x:c>
      <x:c r="O3287" s="2"/>
      <x:c r="P3287" s="2" t="str">
        <x:v>모니터링보고서 및 검증보고서 내 보안유지 필요부분 구체화 필요</x:v>
      </x:c>
      <x:c r="Q3287" s="2" t="str">
        <x:v>산업전환 외부사업 정보비공개 신청 관리 Tool_260707_LJY_261013.xlsx</x:v>
      </x:c>
      <x:c r="R3287" s="2" t="str">
        <x:v>(비공개)국내인증</x:v>
      </x:c>
      <x:c r="S3287" s="8" t="n">
        <x:v>65</x:v>
      </x:c>
      <x:c r="T3287" s="2"/>
      <x:c r="U3287" s="2" t="str"/>
      <x:c r="V3287" s="2" t="str">
        <x:v>2022-06-02</x:v>
      </x:c>
      <x:c r="W3287" s="2" t="str"/>
      <x:c r="X3287" s="2" t="str">
        <x:v>보완 회신 일정 확인</x:v>
      </x:c>
      <x:c r="Y3287" s="2" t="str">
        <x:v>22df6d619b696c1eba8e26790f6382083d9fb1bc48481283e3e8a92ea6897677</x:v>
      </x:c>
      <x:c r="Z3287" s="2" t="n">
        <x:f>SUBTOTAL(103,A3287)</x:f>
        <x:v>1</x:v>
      </x:c>
      <x:c r="AA3287" s="2" t="str">
        <x:f>IF(K3287&lt;&gt;"미종결 표시","대상 아님",IF(N3287="","신청일 확인",IF(NOT(ISNUMBER('종합 현황'!$H$5)),"관찰기준 확인",IF('종합 현황'!$H$5&lt;1,"관찰기준 확인",IF(N3287&gt;'종합 현황'!$H$5,"내부 관찰 대상","내부 관찰일 이하")))))</x:f>
        <x:v>내부 관찰 대상</x:v>
      </x:c>
      <x:c r="AB3287" s="2"/>
    </x:row>
    <x:row r="3288" ht="42" customHeight="1">
      <x:c r="A3288" s="2" t="str">
        <x:v>c9573971764e8b88d20874e2</x:v>
      </x:c>
      <x:c r="B3288" s="2" t="str">
        <x:v>인증 비공개 신청</x:v>
      </x:c>
      <x:c r="C3288" s="2" t="str">
        <x:v>국내</x:v>
      </x:c>
      <x:c r="D3288" s="7" t="str">
        <x:v>신화콘크리트의 목재펠릿 연료전환(B-C유-&gt;목재펠릿)을 통한 온실가스 감축사업</x:v>
      </x:c>
      <x:c r="E3288" s="2" t="str">
        <x:v>64</x:v>
      </x:c>
      <x:c r="F3288" s="2" t="str">
        <x:v>2019-11-14</x:v>
      </x:c>
      <x:c r="G3288" s="2" t="str">
        <x:v>2019</x:v>
      </x:c>
      <x:c r="H3288" s="2" t="str">
        <x:v>11</x:v>
      </x:c>
      <x:c r="I3288" s="2" t="str">
        <x:v>보완요청</x:v>
      </x:c>
      <x:c r="J3288" s="2" t="str">
        <x:v>보완요청</x:v>
      </x:c>
      <x:c r="K3288" s="2" t="str">
        <x:f>IF(OR(J3288="심의승인",J3288="반려",J3288="반려완료",J3288="심의완료"),"종결 표시",IF(OR(J3288="기후부협의",J3288="문서재제출요청",J3288="보류",J3288="보완요청",J3288="보완완료",J3288="평가중",J3288="반려요청",J3288="평가필요",LEFT(J3288,5)="보완요청("),"미종결 표시","상태 확인 필요"))</x:f>
        <x:v>미종결 표시</x:v>
      </x:c>
      <x:c r="L3288" s="2" t="str">
        <x:v>에코시안_조혜민</x:v>
      </x:c>
      <x:c r="M3288" s="2"/>
      <x:c r="N3288" s="8" t="n">
        <x:f>DATE(2026,10,15)-DATE(2019,11,14)</x:f>
        <x:v>2527</x:v>
      </x:c>
      <x:c r="O3288" s="2"/>
      <x:c r="P3288" s="2" t="str">
        <x:v>모니터링보고서 및 검증보고서 내 보안유지 필요부분 구체화 필요</x:v>
      </x:c>
      <x:c r="Q3288" s="2" t="str">
        <x:v>산업전환 외부사업 정보비공개 신청 관리 Tool_260707_LJY_261013.xlsx</x:v>
      </x:c>
      <x:c r="R3288" s="2" t="str">
        <x:v>(비공개)국내인증</x:v>
      </x:c>
      <x:c r="S3288" s="8" t="n">
        <x:v>66</x:v>
      </x:c>
      <x:c r="T3288" s="2"/>
      <x:c r="U3288" s="2" t="str"/>
      <x:c r="V3288" s="2" t="str">
        <x:v>2022-06-02</x:v>
      </x:c>
      <x:c r="W3288" s="2" t="str"/>
      <x:c r="X3288" s="2" t="str">
        <x:v>보완 회신 일정 확인</x:v>
      </x:c>
      <x:c r="Y3288" s="2" t="str">
        <x:v>22df6d619b696c1eba8e26790f6382083d9fb1bc48481283e3e8a92ea6897677</x:v>
      </x:c>
      <x:c r="Z3288" s="2" t="n">
        <x:f>SUBTOTAL(103,A3288)</x:f>
        <x:v>1</x:v>
      </x:c>
      <x:c r="AA3288" s="2" t="str">
        <x:f>IF(K3288&lt;&gt;"미종결 표시","대상 아님",IF(N3288="","신청일 확인",IF(NOT(ISNUMBER('종합 현황'!$H$5)),"관찰기준 확인",IF('종합 현황'!$H$5&lt;1,"관찰기준 확인",IF(N3288&gt;'종합 현황'!$H$5,"내부 관찰 대상","내부 관찰일 이하")))))</x:f>
        <x:v>내부 관찰 대상</x:v>
      </x:c>
      <x:c r="AB3288" s="2"/>
    </x:row>
    <x:row r="3289" ht="42" customHeight="1">
      <x:c r="A3289" s="2" t="str">
        <x:v>ee5e1a0d191d061e3667a60a</x:v>
      </x:c>
      <x:c r="B3289" s="2" t="str">
        <x:v>인증 비공개 신청</x:v>
      </x:c>
      <x:c r="C3289" s="2" t="str">
        <x:v>국내</x:v>
      </x:c>
      <x:c r="D3289" s="7" t="str">
        <x:v>승민섬유 보일러 버너의 연료전환(B-C → LNG)을 통한 온실가스 감축사업</x:v>
      </x:c>
      <x:c r="E3289" s="2" t="str">
        <x:v>65</x:v>
      </x:c>
      <x:c r="F3289" s="2" t="str">
        <x:v>2019-11-14</x:v>
      </x:c>
      <x:c r="G3289" s="2" t="str">
        <x:v>2019</x:v>
      </x:c>
      <x:c r="H3289" s="2" t="str">
        <x:v>11</x:v>
      </x:c>
      <x:c r="I3289" s="2" t="str">
        <x:v>보완요청</x:v>
      </x:c>
      <x:c r="J3289" s="2" t="str">
        <x:v>보완요청</x:v>
      </x:c>
      <x:c r="K3289" s="2" t="str">
        <x:f>IF(OR(J3289="심의승인",J3289="반려",J3289="반려완료",J3289="심의완료"),"종결 표시",IF(OR(J3289="기후부협의",J3289="문서재제출요청",J3289="보류",J3289="보완요청",J3289="보완완료",J3289="평가중",J3289="반려요청",J3289="평가필요",LEFT(J3289,5)="보완요청("),"미종결 표시","상태 확인 필요"))</x:f>
        <x:v>미종결 표시</x:v>
      </x:c>
      <x:c r="L3289" s="2" t="str">
        <x:v>에코시안_기샛별</x:v>
      </x:c>
      <x:c r="M3289" s="2"/>
      <x:c r="N3289" s="8" t="n">
        <x:f>DATE(2026,10,15)-DATE(2019,11,14)</x:f>
        <x:v>2527</x:v>
      </x:c>
      <x:c r="O3289" s="2"/>
      <x:c r="P3289" s="2" t="str">
        <x:v>모니터링보고서 및 검증보고서 내 보안유지 필요부분 구체화 필요</x:v>
      </x:c>
      <x:c r="Q3289" s="2" t="str">
        <x:v>산업전환 외부사업 정보비공개 신청 관리 Tool_260707_LJY_261013.xlsx</x:v>
      </x:c>
      <x:c r="R3289" s="2" t="str">
        <x:v>(비공개)국내인증</x:v>
      </x:c>
      <x:c r="S3289" s="8" t="n">
        <x:v>67</x:v>
      </x:c>
      <x:c r="T3289" s="2"/>
      <x:c r="U3289" s="2" t="str"/>
      <x:c r="V3289" s="2" t="str">
        <x:v>2022-06-07</x:v>
      </x:c>
      <x:c r="W3289" s="2" t="str"/>
      <x:c r="X3289" s="2" t="str">
        <x:v>보완 회신 일정 확인</x:v>
      </x:c>
      <x:c r="Y3289" s="2" t="str">
        <x:v>22df6d619b696c1eba8e26790f6382083d9fb1bc48481283e3e8a92ea6897677</x:v>
      </x:c>
      <x:c r="Z3289" s="2" t="n">
        <x:f>SUBTOTAL(103,A3289)</x:f>
        <x:v>1</x:v>
      </x:c>
      <x:c r="AA3289" s="2" t="str">
        <x:f>IF(K3289&lt;&gt;"미종결 표시","대상 아님",IF(N3289="","신청일 확인",IF(NOT(ISNUMBER('종합 현황'!$H$5)),"관찰기준 확인",IF('종합 현황'!$H$5&lt;1,"관찰기준 확인",IF(N3289&gt;'종합 현황'!$H$5,"내부 관찰 대상","내부 관찰일 이하")))))</x:f>
        <x:v>내부 관찰 대상</x:v>
      </x:c>
      <x:c r="AB3289" s="2"/>
    </x:row>
    <x:row r="3290" ht="42" customHeight="1">
      <x:c r="A3290" s="2" t="str">
        <x:v>f36b9049475ef0996337b63d</x:v>
      </x:c>
      <x:c r="B3290" s="2" t="str">
        <x:v>인증 비공개 신청</x:v>
      </x:c>
      <x:c r="C3290" s="2" t="str">
        <x:v>국내</x:v>
      </x:c>
      <x:c r="D3290" s="7" t="str">
        <x:v>세창이피에스 김포공장 목재펠릿 연료 전환(LNG→목재펠릿)을 통한 온실가스 감축사업</x:v>
      </x:c>
      <x:c r="E3290" s="2" t="str">
        <x:v>66</x:v>
      </x:c>
      <x:c r="F3290" s="2" t="str">
        <x:v>2019-11-14</x:v>
      </x:c>
      <x:c r="G3290" s="2" t="str">
        <x:v>2019</x:v>
      </x:c>
      <x:c r="H3290" s="2" t="str">
        <x:v>11</x:v>
      </x:c>
      <x:c r="I3290" s="2" t="str">
        <x:v>보완요청</x:v>
      </x:c>
      <x:c r="J3290" s="2" t="str">
        <x:v>보완요청</x:v>
      </x:c>
      <x:c r="K3290" s="2" t="str">
        <x:f>IF(OR(J3290="심의승인",J3290="반려",J3290="반려완료",J3290="심의완료"),"종결 표시",IF(OR(J3290="기후부협의",J3290="문서재제출요청",J3290="보류",J3290="보완요청",J3290="보완완료",J3290="평가중",J3290="반려요청",J3290="평가필요",LEFT(J3290,5)="보완요청("),"미종결 표시","상태 확인 필요"))</x:f>
        <x:v>미종결 표시</x:v>
      </x:c>
      <x:c r="L3290" s="2" t="str">
        <x:v>에코시안_조영우</x:v>
      </x:c>
      <x:c r="M3290" s="2"/>
      <x:c r="N3290" s="8" t="n">
        <x:f>DATE(2026,10,15)-DATE(2019,11,14)</x:f>
        <x:v>2527</x:v>
      </x:c>
      <x:c r="O3290" s="2"/>
      <x:c r="P3290" s="2" t="str">
        <x:v>모니터링보고서 및 검증보고서 내 보안유지 필요부분 구체화 필요</x:v>
      </x:c>
      <x:c r="Q3290" s="2" t="str">
        <x:v>산업전환 외부사업 정보비공개 신청 관리 Tool_260707_LJY_261013.xlsx</x:v>
      </x:c>
      <x:c r="R3290" s="2" t="str">
        <x:v>(비공개)국내인증</x:v>
      </x:c>
      <x:c r="S3290" s="8" t="n">
        <x:v>68</x:v>
      </x:c>
      <x:c r="T3290" s="2"/>
      <x:c r="U3290" s="2" t="str"/>
      <x:c r="V3290" s="2" t="str">
        <x:v>2023-06-19</x:v>
      </x:c>
      <x:c r="W3290" s="2" t="str"/>
      <x:c r="X3290" s="2" t="str">
        <x:v>보완 회신 일정 확인</x:v>
      </x:c>
      <x:c r="Y3290" s="2" t="str">
        <x:v>22df6d619b696c1eba8e26790f6382083d9fb1bc48481283e3e8a92ea6897677</x:v>
      </x:c>
      <x:c r="Z3290" s="2" t="n">
        <x:f>SUBTOTAL(103,A3290)</x:f>
        <x:v>1</x:v>
      </x:c>
      <x:c r="AA3290" s="2" t="str">
        <x:f>IF(K3290&lt;&gt;"미종결 표시","대상 아님",IF(N3290="","신청일 확인",IF(NOT(ISNUMBER('종합 현황'!$H$5)),"관찰기준 확인",IF('종합 현황'!$H$5&lt;1,"관찰기준 확인",IF(N3290&gt;'종합 현황'!$H$5,"내부 관찰 대상","내부 관찰일 이하")))))</x:f>
        <x:v>내부 관찰 대상</x:v>
      </x:c>
      <x:c r="AB3290" s="2"/>
    </x:row>
    <x:row r="3291" ht="42" customHeight="1">
      <x:c r="A3291" s="2" t="str">
        <x:v>06cef47073d5a36ca1c3a1b6</x:v>
      </x:c>
      <x:c r="B3291" s="2" t="str">
        <x:v>인증 비공개 신청</x:v>
      </x:c>
      <x:c r="C3291" s="2" t="str">
        <x:v>국내</x:v>
      </x:c>
      <x:c r="D3291" s="7" t="str">
        <x:v>(주)세광케미칼김포사업장 정제유 및 벙커C유에서 목재펠릿 연료전환을 통한 온실가스 감축사업</x:v>
      </x:c>
      <x:c r="E3291" s="2" t="str">
        <x:v>67</x:v>
      </x:c>
      <x:c r="F3291" s="2" t="str">
        <x:v>2019-11-14</x:v>
      </x:c>
      <x:c r="G3291" s="2" t="str">
        <x:v>2019</x:v>
      </x:c>
      <x:c r="H3291" s="2" t="str">
        <x:v>11</x:v>
      </x:c>
      <x:c r="I3291" s="2" t="str">
        <x:v>보완요청</x:v>
      </x:c>
      <x:c r="J3291" s="2" t="str">
        <x:v>보완요청</x:v>
      </x:c>
      <x:c r="K3291" s="2" t="str">
        <x:f>IF(OR(J3291="심의승인",J3291="반려",J3291="반려완료",J3291="심의완료"),"종결 표시",IF(OR(J3291="기후부협의",J3291="문서재제출요청",J3291="보류",J3291="보완요청",J3291="보완완료",J3291="평가중",J3291="반려요청",J3291="평가필요",LEFT(J3291,5)="보완요청("),"미종결 표시","상태 확인 필요"))</x:f>
        <x:v>미종결 표시</x:v>
      </x:c>
      <x:c r="L3291" s="2" t="str">
        <x:v>에코시안_기샛별</x:v>
      </x:c>
      <x:c r="M3291" s="2"/>
      <x:c r="N3291" s="8" t="n">
        <x:f>DATE(2026,10,15)-DATE(2019,11,14)</x:f>
        <x:v>2527</x:v>
      </x:c>
      <x:c r="O3291" s="2"/>
      <x:c r="P3291" s="2" t="str">
        <x:v>모니터링보고서 및 검증보고서 내 보안유지 필요부분 구체화 필요</x:v>
      </x:c>
      <x:c r="Q3291" s="2" t="str">
        <x:v>산업전환 외부사업 정보비공개 신청 관리 Tool_260707_LJY_261013.xlsx</x:v>
      </x:c>
      <x:c r="R3291" s="2" t="str">
        <x:v>(비공개)국내인증</x:v>
      </x:c>
      <x:c r="S3291" s="8" t="n">
        <x:v>69</x:v>
      </x:c>
      <x:c r="T3291" s="2"/>
      <x:c r="U3291" s="2" t="str"/>
      <x:c r="V3291" s="2" t="str">
        <x:v>2022-06-07</x:v>
      </x:c>
      <x:c r="W3291" s="2" t="str"/>
      <x:c r="X3291" s="2" t="str">
        <x:v>보완 회신 일정 확인</x:v>
      </x:c>
      <x:c r="Y3291" s="2" t="str">
        <x:v>22df6d619b696c1eba8e26790f6382083d9fb1bc48481283e3e8a92ea6897677</x:v>
      </x:c>
      <x:c r="Z3291" s="2" t="n">
        <x:f>SUBTOTAL(103,A3291)</x:f>
        <x:v>1</x:v>
      </x:c>
      <x:c r="AA3291" s="2" t="str">
        <x:f>IF(K3291&lt;&gt;"미종결 표시","대상 아님",IF(N3291="","신청일 확인",IF(NOT(ISNUMBER('종합 현황'!$H$5)),"관찰기준 확인",IF('종합 현황'!$H$5&lt;1,"관찰기준 확인",IF(N3291&gt;'종합 현황'!$H$5,"내부 관찰 대상","내부 관찰일 이하")))))</x:f>
        <x:v>내부 관찰 대상</x:v>
      </x:c>
      <x:c r="AB3291" s="2"/>
    </x:row>
    <x:row r="3292" ht="42" customHeight="1">
      <x:c r="A3292" s="2" t="str">
        <x:v>405d8c75f31a9afba50edecd</x:v>
      </x:c>
      <x:c r="B3292" s="2" t="str">
        <x:v>인증 비공개 신청</x:v>
      </x:c>
      <x:c r="C3292" s="2" t="str">
        <x:v>국내</x:v>
      </x:c>
      <x:c r="D3292" s="7" t="str">
        <x:v>성원산업사 열매체보일러 버너교체를 통한 연료전환(B-C유 → LNG) 온실가스 배출 감축 사업</x:v>
      </x:c>
      <x:c r="E3292" s="2" t="str">
        <x:v>68</x:v>
      </x:c>
      <x:c r="F3292" s="2" t="str">
        <x:v>2019-11-14</x:v>
      </x:c>
      <x:c r="G3292" s="2" t="str">
        <x:v>2019</x:v>
      </x:c>
      <x:c r="H3292" s="2" t="str">
        <x:v>11</x:v>
      </x:c>
      <x:c r="I3292" s="2" t="str">
        <x:v>보완요청</x:v>
      </x:c>
      <x:c r="J3292" s="2" t="str">
        <x:v>보완요청</x:v>
      </x:c>
      <x:c r="K3292" s="2" t="str">
        <x:f>IF(OR(J3292="심의승인",J3292="반려",J3292="반려완료",J3292="심의완료"),"종결 표시",IF(OR(J3292="기후부협의",J3292="문서재제출요청",J3292="보류",J3292="보완요청",J3292="보완완료",J3292="평가중",J3292="반려요청",J3292="평가필요",LEFT(J3292,5)="보완요청("),"미종결 표시","상태 확인 필요"))</x:f>
        <x:v>미종결 표시</x:v>
      </x:c>
      <x:c r="L3292" s="2" t="str">
        <x:v>에코시안_기샛별</x:v>
      </x:c>
      <x:c r="M3292" s="2"/>
      <x:c r="N3292" s="8" t="n">
        <x:f>DATE(2026,10,15)-DATE(2019,11,14)</x:f>
        <x:v>2527</x:v>
      </x:c>
      <x:c r="O3292" s="2"/>
      <x:c r="P3292" s="2" t="str">
        <x:v>모니터링보고서 및 검증보고서 내 보안유지 필요부분 구체화 필요</x:v>
      </x:c>
      <x:c r="Q3292" s="2" t="str">
        <x:v>산업전환 외부사업 정보비공개 신청 관리 Tool_260707_LJY_261013.xlsx</x:v>
      </x:c>
      <x:c r="R3292" s="2" t="str">
        <x:v>(비공개)국내인증</x:v>
      </x:c>
      <x:c r="S3292" s="8" t="n">
        <x:v>70</x:v>
      </x:c>
      <x:c r="T3292" s="2"/>
      <x:c r="U3292" s="2" t="str"/>
      <x:c r="V3292" s="2" t="str">
        <x:v>2022-06-07</x:v>
      </x:c>
      <x:c r="W3292" s="2" t="str"/>
      <x:c r="X3292" s="2" t="str">
        <x:v>보완 회신 일정 확인</x:v>
      </x:c>
      <x:c r="Y3292" s="2" t="str">
        <x:v>22df6d619b696c1eba8e26790f6382083d9fb1bc48481283e3e8a92ea6897677</x:v>
      </x:c>
      <x:c r="Z3292" s="2" t="n">
        <x:f>SUBTOTAL(103,A3292)</x:f>
        <x:v>1</x:v>
      </x:c>
      <x:c r="AA3292" s="2" t="str">
        <x:f>IF(K3292&lt;&gt;"미종결 표시","대상 아님",IF(N3292="","신청일 확인",IF(NOT(ISNUMBER('종합 현황'!$H$5)),"관찰기준 확인",IF('종합 현황'!$H$5&lt;1,"관찰기준 확인",IF(N3292&gt;'종합 현황'!$H$5,"내부 관찰 대상","내부 관찰일 이하")))))</x:f>
        <x:v>내부 관찰 대상</x:v>
      </x:c>
      <x:c r="AB3292" s="2"/>
    </x:row>
    <x:row r="3293" ht="42" customHeight="1">
      <x:c r="A3293" s="2" t="str">
        <x:v>c641d74221ffa0c7c5a7f9a1</x:v>
      </x:c>
      <x:c r="B3293" s="2" t="str">
        <x:v>인증 비공개 신청</x:v>
      </x:c>
      <x:c r="C3293" s="2" t="str">
        <x:v>국내</x:v>
      </x:c>
      <x:c r="D3293" s="7" t="str">
        <x:v>폐열스팀으로 기존의 LNG 및 B-C유 사용 생산스팀을 대체하여 온실가스 배출을 감축하는 사업</x:v>
      </x:c>
      <x:c r="E3293" s="2" t="str">
        <x:v>69</x:v>
      </x:c>
      <x:c r="F3293" s="2" t="str">
        <x:v>2019-11-14</x:v>
      </x:c>
      <x:c r="G3293" s="2" t="str">
        <x:v>2019</x:v>
      </x:c>
      <x:c r="H3293" s="2" t="str">
        <x:v>11</x:v>
      </x:c>
      <x:c r="I3293" s="2" t="str">
        <x:v>보완요청</x:v>
      </x:c>
      <x:c r="J3293" s="2" t="str">
        <x:v>보완요청</x:v>
      </x:c>
      <x:c r="K3293" s="2" t="str">
        <x:f>IF(OR(J3293="심의승인",J3293="반려",J3293="반려완료",J3293="심의완료"),"종결 표시",IF(OR(J3293="기후부협의",J3293="문서재제출요청",J3293="보류",J3293="보완요청",J3293="보완완료",J3293="평가중",J3293="반려요청",J3293="평가필요",LEFT(J3293,5)="보완요청("),"미종결 표시","상태 확인 필요"))</x:f>
        <x:v>미종결 표시</x:v>
      </x:c>
      <x:c r="L3293" s="2" t="str">
        <x:v>에코시안_기샛별</x:v>
      </x:c>
      <x:c r="M3293" s="2"/>
      <x:c r="N3293" s="8" t="n">
        <x:f>DATE(2026,10,15)-DATE(2019,11,14)</x:f>
        <x:v>2527</x:v>
      </x:c>
      <x:c r="O3293" s="2"/>
      <x:c r="P3293" s="2" t="str">
        <x:v>모니터링보고서 및 검증보고서 내 보안유지 필요부분 구체화 필요</x:v>
      </x:c>
      <x:c r="Q3293" s="2" t="str">
        <x:v>산업전환 외부사업 정보비공개 신청 관리 Tool_260707_LJY_261013.xlsx</x:v>
      </x:c>
      <x:c r="R3293" s="2" t="str">
        <x:v>(비공개)국내인증</x:v>
      </x:c>
      <x:c r="S3293" s="8" t="n">
        <x:v>71</x:v>
      </x:c>
      <x:c r="T3293" s="2"/>
      <x:c r="U3293" s="2" t="str"/>
      <x:c r="V3293" s="2" t="str">
        <x:v>2022-06-07</x:v>
      </x:c>
      <x:c r="W3293" s="2" t="str"/>
      <x:c r="X3293" s="2" t="str">
        <x:v>보완 회신 일정 확인</x:v>
      </x:c>
      <x:c r="Y3293" s="2" t="str">
        <x:v>22df6d619b696c1eba8e26790f6382083d9fb1bc48481283e3e8a92ea6897677</x:v>
      </x:c>
      <x:c r="Z3293" s="2" t="n">
        <x:f>SUBTOTAL(103,A3293)</x:f>
        <x:v>1</x:v>
      </x:c>
      <x:c r="AA3293" s="2" t="str">
        <x:f>IF(K3293&lt;&gt;"미종결 표시","대상 아님",IF(N3293="","신청일 확인",IF(NOT(ISNUMBER('종합 현황'!$H$5)),"관찰기준 확인",IF('종합 현황'!$H$5&lt;1,"관찰기준 확인",IF(N3293&gt;'종합 현황'!$H$5,"내부 관찰 대상","내부 관찰일 이하")))))</x:f>
        <x:v>내부 관찰 대상</x:v>
      </x:c>
      <x:c r="AB3293" s="2"/>
    </x:row>
    <x:row r="3294" ht="42" customHeight="1">
      <x:c r="A3294" s="2" t="str">
        <x:v>0f01dbd0a24fdb3ea7783e0d</x:v>
      </x:c>
      <x:c r="B3294" s="2" t="str">
        <x:v>인증 비공개 신청</x:v>
      </x:c>
      <x:c r="C3294" s="2" t="str">
        <x:v>국내</x:v>
      </x:c>
      <x:c r="D3294" s="7" t="str">
        <x:v>한탈L&amp;C의 보일러 연료 교체(LPG-&gt;목재펠릿)을 통한 온실가스 감축사업</x:v>
      </x:c>
      <x:c r="E3294" s="2" t="str">
        <x:v>70</x:v>
      </x:c>
      <x:c r="F3294" s="2" t="str">
        <x:v>2019-11-14</x:v>
      </x:c>
      <x:c r="G3294" s="2" t="str">
        <x:v>2019</x:v>
      </x:c>
      <x:c r="H3294" s="2" t="str">
        <x:v>11</x:v>
      </x:c>
      <x:c r="I3294" s="2" t="str">
        <x:v>보완요청</x:v>
      </x:c>
      <x:c r="J3294" s="2" t="str">
        <x:v>보완요청</x:v>
      </x:c>
      <x:c r="K3294" s="2" t="str">
        <x:f>IF(OR(J3294="심의승인",J3294="반려",J3294="반려완료",J3294="심의완료"),"종결 표시",IF(OR(J3294="기후부협의",J3294="문서재제출요청",J3294="보류",J3294="보완요청",J3294="보완완료",J3294="평가중",J3294="반려요청",J3294="평가필요",LEFT(J3294,5)="보완요청("),"미종결 표시","상태 확인 필요"))</x:f>
        <x:v>미종결 표시</x:v>
      </x:c>
      <x:c r="L3294" s="2" t="str">
        <x:v>에코시안</x:v>
      </x:c>
      <x:c r="M3294" s="2"/>
      <x:c r="N3294" s="8" t="n">
        <x:f>DATE(2026,10,15)-DATE(2019,11,14)</x:f>
        <x:v>2527</x:v>
      </x:c>
      <x:c r="O3294" s="2"/>
      <x:c r="P3294" s="2" t="str">
        <x:v>모니터링보고서 및 검증보고서 내 보안유지 필요부분 구체화 필요</x:v>
      </x:c>
      <x:c r="Q3294" s="2" t="str">
        <x:v>산업전환 외부사업 정보비공개 신청 관리 Tool_260707_LJY_261013.xlsx</x:v>
      </x:c>
      <x:c r="R3294" s="2" t="str">
        <x:v>(비공개)국내인증</x:v>
      </x:c>
      <x:c r="S3294" s="8" t="n">
        <x:v>72</x:v>
      </x:c>
      <x:c r="T3294" s="2"/>
      <x:c r="U3294" s="2" t="str"/>
      <x:c r="V3294" s="2" t="str">
        <x:v>2022-10-19</x:v>
      </x:c>
      <x:c r="W3294" s="2" t="str"/>
      <x:c r="X3294" s="2" t="str">
        <x:v>보완 회신 일정 확인</x:v>
      </x:c>
      <x:c r="Y3294" s="2" t="str">
        <x:v>22df6d619b696c1eba8e26790f6382083d9fb1bc48481283e3e8a92ea6897677</x:v>
      </x:c>
      <x:c r="Z3294" s="2" t="n">
        <x:f>SUBTOTAL(103,A3294)</x:f>
        <x:v>1</x:v>
      </x:c>
      <x:c r="AA3294" s="2" t="str">
        <x:f>IF(K3294&lt;&gt;"미종결 표시","대상 아님",IF(N3294="","신청일 확인",IF(NOT(ISNUMBER('종합 현황'!$H$5)),"관찰기준 확인",IF('종합 현황'!$H$5&lt;1,"관찰기준 확인",IF(N3294&gt;'종합 현황'!$H$5,"내부 관찰 대상","내부 관찰일 이하")))))</x:f>
        <x:v>내부 관찰 대상</x:v>
      </x:c>
      <x:c r="AB3294" s="2"/>
    </x:row>
    <x:row r="3295" ht="42" customHeight="1">
      <x:c r="A3295" s="2" t="str">
        <x:v>9a97f1c9dd52621cd95a03b1</x:v>
      </x:c>
      <x:c r="B3295" s="2" t="str">
        <x:v>인증 비공개 신청</x:v>
      </x:c>
      <x:c r="C3295" s="2" t="str">
        <x:v>국내</x:v>
      </x:c>
      <x:c r="D3295" s="7" t="str">
        <x:v>폐열스팀으로 LNG 스팀보일러 생산스팀을 대체하여 CO2를 감축하는 사업</x:v>
      </x:c>
      <x:c r="E3295" s="2" t="str">
        <x:v>71</x:v>
      </x:c>
      <x:c r="F3295" s="2" t="str">
        <x:v>2019-11-14</x:v>
      </x:c>
      <x:c r="G3295" s="2" t="str">
        <x:v>2019</x:v>
      </x:c>
      <x:c r="H3295" s="2" t="str">
        <x:v>11</x:v>
      </x:c>
      <x:c r="I3295" s="2" t="str">
        <x:v>보완요청</x:v>
      </x:c>
      <x:c r="J3295" s="2" t="str">
        <x:v>보완요청</x:v>
      </x:c>
      <x:c r="K3295" s="2" t="str">
        <x:f>IF(OR(J3295="심의승인",J3295="반려",J3295="반려완료",J3295="심의완료"),"종결 표시",IF(OR(J3295="기후부협의",J3295="문서재제출요청",J3295="보류",J3295="보완요청",J3295="보완완료",J3295="평가중",J3295="반려요청",J3295="평가필요",LEFT(J3295,5)="보완요청("),"미종결 표시","상태 확인 필요"))</x:f>
        <x:v>미종결 표시</x:v>
      </x:c>
      <x:c r="L3295" s="2" t="str">
        <x:v>에코시안_기샛별</x:v>
      </x:c>
      <x:c r="M3295" s="2"/>
      <x:c r="N3295" s="8" t="n">
        <x:f>DATE(2026,10,15)-DATE(2019,11,14)</x:f>
        <x:v>2527</x:v>
      </x:c>
      <x:c r="O3295" s="2"/>
      <x:c r="P3295" s="2" t="str">
        <x:v>모니터링보고서 및 검증보고서 내 보안유지 필요부분 구체화 필요</x:v>
      </x:c>
      <x:c r="Q3295" s="2" t="str">
        <x:v>산업전환 외부사업 정보비공개 신청 관리 Tool_260707_LJY_261013.xlsx</x:v>
      </x:c>
      <x:c r="R3295" s="2" t="str">
        <x:v>(비공개)국내인증</x:v>
      </x:c>
      <x:c r="S3295" s="8" t="n">
        <x:v>73</x:v>
      </x:c>
      <x:c r="T3295" s="2"/>
      <x:c r="U3295" s="2" t="str"/>
      <x:c r="V3295" s="2" t="str">
        <x:v>2022-06-07</x:v>
      </x:c>
      <x:c r="W3295" s="2" t="str"/>
      <x:c r="X3295" s="2" t="str">
        <x:v>보완 회신 일정 확인</x:v>
      </x:c>
      <x:c r="Y3295" s="2" t="str">
        <x:v>22df6d619b696c1eba8e26790f6382083d9fb1bc48481283e3e8a92ea6897677</x:v>
      </x:c>
      <x:c r="Z3295" s="2" t="n">
        <x:f>SUBTOTAL(103,A3295)</x:f>
        <x:v>1</x:v>
      </x:c>
      <x:c r="AA3295" s="2" t="str">
        <x:f>IF(K3295&lt;&gt;"미종결 표시","대상 아님",IF(N3295="","신청일 확인",IF(NOT(ISNUMBER('종합 현황'!$H$5)),"관찰기준 확인",IF('종합 현황'!$H$5&lt;1,"관찰기준 확인",IF(N3295&gt;'종합 현황'!$H$5,"내부 관찰 대상","내부 관찰일 이하")))))</x:f>
        <x:v>내부 관찰 대상</x:v>
      </x:c>
      <x:c r="AB3295" s="2"/>
    </x:row>
    <x:row r="3296" ht="42" customHeight="1">
      <x:c r="A3296" s="2" t="str">
        <x:v>427c546bf0db32f467aa0aad</x:v>
      </x:c>
      <x:c r="B3296" s="2" t="str">
        <x:v>인증 비공개 신청</x:v>
      </x:c>
      <x:c r="C3296" s="2" t="str">
        <x:v>국내</x:v>
      </x:c>
      <x:c r="D3296" s="7" t="str">
        <x:v>동호칼슘(주)의 보일러 연료전환(벙커C유-&gt;LNG)을 통한 온실가스 배출 감축사업</x:v>
      </x:c>
      <x:c r="E3296" s="2" t="str">
        <x:v>72</x:v>
      </x:c>
      <x:c r="F3296" s="2" t="str">
        <x:v>2019-11-14</x:v>
      </x:c>
      <x:c r="G3296" s="2" t="str">
        <x:v>2019</x:v>
      </x:c>
      <x:c r="H3296" s="2" t="str">
        <x:v>11</x:v>
      </x:c>
      <x:c r="I3296" s="2" t="str">
        <x:v>보완요청</x:v>
      </x:c>
      <x:c r="J3296" s="2" t="str">
        <x:v>보완요청</x:v>
      </x:c>
      <x:c r="K3296" s="2" t="str">
        <x:f>IF(OR(J3296="심의승인",J3296="반려",J3296="반려완료",J3296="심의완료"),"종결 표시",IF(OR(J3296="기후부협의",J3296="문서재제출요청",J3296="보류",J3296="보완요청",J3296="보완완료",J3296="평가중",J3296="반려요청",J3296="평가필요",LEFT(J3296,5)="보완요청("),"미종결 표시","상태 확인 필요"))</x:f>
        <x:v>미종결 표시</x:v>
      </x:c>
      <x:c r="L3296" s="2" t="str">
        <x:v>에코시안_기샛별</x:v>
      </x:c>
      <x:c r="M3296" s="2"/>
      <x:c r="N3296" s="8" t="n">
        <x:f>DATE(2026,10,15)-DATE(2019,11,14)</x:f>
        <x:v>2527</x:v>
      </x:c>
      <x:c r="O3296" s="2"/>
      <x:c r="P3296" s="2" t="str">
        <x:v>모니터링보고서 및 검증보고서 내 보안유지 필요부분 구체화 필요</x:v>
      </x:c>
      <x:c r="Q3296" s="2" t="str">
        <x:v>산업전환 외부사업 정보비공개 신청 관리 Tool_260707_LJY_261013.xlsx</x:v>
      </x:c>
      <x:c r="R3296" s="2" t="str">
        <x:v>(비공개)국내인증</x:v>
      </x:c>
      <x:c r="S3296" s="8" t="n">
        <x:v>74</x:v>
      </x:c>
      <x:c r="T3296" s="2"/>
      <x:c r="U3296" s="2" t="str"/>
      <x:c r="V3296" s="2" t="str">
        <x:v>2022-06-07</x:v>
      </x:c>
      <x:c r="W3296" s="2" t="str"/>
      <x:c r="X3296" s="2" t="str">
        <x:v>보완 회신 일정 확인</x:v>
      </x:c>
      <x:c r="Y3296" s="2" t="str">
        <x:v>22df6d619b696c1eba8e26790f6382083d9fb1bc48481283e3e8a92ea6897677</x:v>
      </x:c>
      <x:c r="Z3296" s="2" t="n">
        <x:f>SUBTOTAL(103,A3296)</x:f>
        <x:v>1</x:v>
      </x:c>
      <x:c r="AA3296" s="2" t="str">
        <x:f>IF(K3296&lt;&gt;"미종결 표시","대상 아님",IF(N3296="","신청일 확인",IF(NOT(ISNUMBER('종합 현황'!$H$5)),"관찰기준 확인",IF('종합 현황'!$H$5&lt;1,"관찰기준 확인",IF(N3296&gt;'종합 현황'!$H$5,"내부 관찰 대상","내부 관찰일 이하")))))</x:f>
        <x:v>내부 관찰 대상</x:v>
      </x:c>
      <x:c r="AB3296" s="2"/>
    </x:row>
    <x:row r="3297" ht="42" customHeight="1">
      <x:c r="A3297" s="2" t="str">
        <x:v>4d061ad4b697c428d0f67bb0</x:v>
      </x:c>
      <x:c r="B3297" s="2" t="str">
        <x:v>인증 비공개 신청</x:v>
      </x:c>
      <x:c r="C3297" s="2" t="str">
        <x:v>국내</x:v>
      </x:c>
      <x:c r="D3297" s="7" t="str">
        <x:v>동원유지 목재펠릿 연료 전환을 통한 온실가스 감축사업</x:v>
      </x:c>
      <x:c r="E3297" s="2" t="str">
        <x:v>73</x:v>
      </x:c>
      <x:c r="F3297" s="2" t="str">
        <x:v>2019-11-14</x:v>
      </x:c>
      <x:c r="G3297" s="2" t="str">
        <x:v>2019</x:v>
      </x:c>
      <x:c r="H3297" s="2" t="str">
        <x:v>11</x:v>
      </x:c>
      <x:c r="I3297" s="2" t="str">
        <x:v>보완요청</x:v>
      </x:c>
      <x:c r="J3297" s="2" t="str">
        <x:v>보완요청</x:v>
      </x:c>
      <x:c r="K3297" s="2" t="str">
        <x:f>IF(OR(J3297="심의승인",J3297="반려",J3297="반려완료",J3297="심의완료"),"종결 표시",IF(OR(J3297="기후부협의",J3297="문서재제출요청",J3297="보류",J3297="보완요청",J3297="보완완료",J3297="평가중",J3297="반려요청",J3297="평가필요",LEFT(J3297,5)="보완요청("),"미종결 표시","상태 확인 필요"))</x:f>
        <x:v>미종결 표시</x:v>
      </x:c>
      <x:c r="L3297" s="2" t="str">
        <x:v>에코시안_조영우</x:v>
      </x:c>
      <x:c r="M3297" s="2"/>
      <x:c r="N3297" s="8" t="n">
        <x:f>DATE(2026,10,15)-DATE(2019,11,14)</x:f>
        <x:v>2527</x:v>
      </x:c>
      <x:c r="O3297" s="2"/>
      <x:c r="P3297" s="2" t="str">
        <x:v>제출서류 미비로 보완 요청. 보완 요청 통보 문구 기재(공단 통보)</x:v>
      </x:c>
      <x:c r="Q3297" s="2" t="str">
        <x:v>산업전환 외부사업 정보비공개 신청 관리 Tool_260707_LJY_261013.xlsx</x:v>
      </x:c>
      <x:c r="R3297" s="2" t="str">
        <x:v>(비공개)국내인증</x:v>
      </x:c>
      <x:c r="S3297" s="8" t="n">
        <x:v>75</x:v>
      </x:c>
      <x:c r="T3297" s="2"/>
      <x:c r="U3297" s="2" t="str"/>
      <x:c r="V3297" s="2" t="str">
        <x:v>2025-01-09</x:v>
      </x:c>
      <x:c r="W3297" s="2" t="str"/>
      <x:c r="X3297" s="2" t="str">
        <x:v>보완 회신 일정 확인</x:v>
      </x:c>
      <x:c r="Y3297" s="2" t="str">
        <x:v>22df6d619b696c1eba8e26790f6382083d9fb1bc48481283e3e8a92ea6897677</x:v>
      </x:c>
      <x:c r="Z3297" s="2" t="n">
        <x:f>SUBTOTAL(103,A3297)</x:f>
        <x:v>1</x:v>
      </x:c>
      <x:c r="AA3297" s="2" t="str">
        <x:f>IF(K3297&lt;&gt;"미종결 표시","대상 아님",IF(N3297="","신청일 확인",IF(NOT(ISNUMBER('종합 현황'!$H$5)),"관찰기준 확인",IF('종합 현황'!$H$5&lt;1,"관찰기준 확인",IF(N3297&gt;'종합 현황'!$H$5,"내부 관찰 대상","내부 관찰일 이하")))))</x:f>
        <x:v>내부 관찰 대상</x:v>
      </x:c>
      <x:c r="AB3297" s="2"/>
    </x:row>
    <x:row r="3298" ht="42" customHeight="1">
      <x:c r="A3298" s="2" t="str">
        <x:v>a9bb52f4d0cf06fce9072162</x:v>
      </x:c>
      <x:c r="B3298" s="2" t="str">
        <x:v>인증 비공개 신청</x:v>
      </x:c>
      <x:c r="C3298" s="2" t="str">
        <x:v>국내</x:v>
      </x:c>
      <x:c r="D3298" s="7" t="str">
        <x:v>도형아스콘 버너 연료전환을 통한 온실가스 감축사업</x:v>
      </x:c>
      <x:c r="E3298" s="2" t="str">
        <x:v>74</x:v>
      </x:c>
      <x:c r="F3298" s="2" t="str">
        <x:v>2019-11-14</x:v>
      </x:c>
      <x:c r="G3298" s="2" t="str">
        <x:v>2019</x:v>
      </x:c>
      <x:c r="H3298" s="2" t="str">
        <x:v>11</x:v>
      </x:c>
      <x:c r="I3298" s="2" t="str">
        <x:v>보완요청</x:v>
      </x:c>
      <x:c r="J3298" s="2" t="str">
        <x:v>보완요청</x:v>
      </x:c>
      <x:c r="K3298" s="2" t="str">
        <x:f>IF(OR(J3298="심의승인",J3298="반려",J3298="반려완료",J3298="심의완료"),"종결 표시",IF(OR(J3298="기후부협의",J3298="문서재제출요청",J3298="보류",J3298="보완요청",J3298="보완완료",J3298="평가중",J3298="반려요청",J3298="평가필요",LEFT(J3298,5)="보완요청("),"미종결 표시","상태 확인 필요"))</x:f>
        <x:v>미종결 표시</x:v>
      </x:c>
      <x:c r="L3298" s="2" t="str">
        <x:v>에코시안_기샛별</x:v>
      </x:c>
      <x:c r="M3298" s="2"/>
      <x:c r="N3298" s="8" t="n">
        <x:f>DATE(2026,10,15)-DATE(2019,11,14)</x:f>
        <x:v>2527</x:v>
      </x:c>
      <x:c r="O3298" s="2"/>
      <x:c r="P3298" s="2" t="str">
        <x:v>모니터링보고서 및 검증보고서 내 보안유지 필요부분 구체화 필요</x:v>
      </x:c>
      <x:c r="Q3298" s="2" t="str">
        <x:v>산업전환 외부사업 정보비공개 신청 관리 Tool_260707_LJY_261013.xlsx</x:v>
      </x:c>
      <x:c r="R3298" s="2" t="str">
        <x:v>(비공개)국내인증</x:v>
      </x:c>
      <x:c r="S3298" s="8" t="n">
        <x:v>76</x:v>
      </x:c>
      <x:c r="T3298" s="2"/>
      <x:c r="U3298" s="2" t="str"/>
      <x:c r="V3298" s="2" t="str">
        <x:v>2022-06-07</x:v>
      </x:c>
      <x:c r="W3298" s="2" t="str"/>
      <x:c r="X3298" s="2" t="str">
        <x:v>보완 회신 일정 확인</x:v>
      </x:c>
      <x:c r="Y3298" s="2" t="str">
        <x:v>22df6d619b696c1eba8e26790f6382083d9fb1bc48481283e3e8a92ea6897677</x:v>
      </x:c>
      <x:c r="Z3298" s="2" t="n">
        <x:f>SUBTOTAL(103,A3298)</x:f>
        <x:v>1</x:v>
      </x:c>
      <x:c r="AA3298" s="2" t="str">
        <x:f>IF(K3298&lt;&gt;"미종결 표시","대상 아님",IF(N3298="","신청일 확인",IF(NOT(ISNUMBER('종합 현황'!$H$5)),"관찰기준 확인",IF('종합 현황'!$H$5&lt;1,"관찰기준 확인",IF(N3298&gt;'종합 현황'!$H$5,"내부 관찰 대상","내부 관찰일 이하")))))</x:f>
        <x:v>내부 관찰 대상</x:v>
      </x:c>
      <x:c r="AB3298" s="2"/>
    </x:row>
    <x:row r="3299" ht="42" customHeight="1">
      <x:c r="A3299" s="2" t="str">
        <x:v>8c48bddc8f37e94b8b17162f</x:v>
      </x:c>
      <x:c r="B3299" s="2" t="str">
        <x:v>인증 비공개 신청</x:v>
      </x:c>
      <x:c r="C3299" s="2" t="str">
        <x:v>국내</x:v>
      </x:c>
      <x:c r="D3299" s="7" t="str">
        <x:v>대흥산업 열매체 보일러의 연료교체(B-C유→LNG)를 통한 온실가스(CO2) 배출 감축사업</x:v>
      </x:c>
      <x:c r="E3299" s="2" t="str">
        <x:v>75</x:v>
      </x:c>
      <x:c r="F3299" s="2" t="str">
        <x:v>2019-11-14</x:v>
      </x:c>
      <x:c r="G3299" s="2" t="str">
        <x:v>2019</x:v>
      </x:c>
      <x:c r="H3299" s="2" t="str">
        <x:v>11</x:v>
      </x:c>
      <x:c r="I3299" s="2" t="str">
        <x:v>보완요청</x:v>
      </x:c>
      <x:c r="J3299" s="2" t="str">
        <x:v>보완요청</x:v>
      </x:c>
      <x:c r="K3299" s="2" t="str">
        <x:f>IF(OR(J3299="심의승인",J3299="반려",J3299="반려완료",J3299="심의완료"),"종결 표시",IF(OR(J3299="기후부협의",J3299="문서재제출요청",J3299="보류",J3299="보완요청",J3299="보완완료",J3299="평가중",J3299="반려요청",J3299="평가필요",LEFT(J3299,5)="보완요청("),"미종결 표시","상태 확인 필요"))</x:f>
        <x:v>미종결 표시</x:v>
      </x:c>
      <x:c r="L3299" s="2" t="str">
        <x:v>에코시안_기샛별</x:v>
      </x:c>
      <x:c r="M3299" s="2"/>
      <x:c r="N3299" s="8" t="n">
        <x:f>DATE(2026,10,15)-DATE(2019,11,14)</x:f>
        <x:v>2527</x:v>
      </x:c>
      <x:c r="O3299" s="2"/>
      <x:c r="P3299" s="2" t="str">
        <x:v>모니터링보고서 및 검증보고서 내 보안유지 필요부분 구체화 필요</x:v>
      </x:c>
      <x:c r="Q3299" s="2" t="str">
        <x:v>산업전환 외부사업 정보비공개 신청 관리 Tool_260707_LJY_261013.xlsx</x:v>
      </x:c>
      <x:c r="R3299" s="2" t="str">
        <x:v>(비공개)국내인증</x:v>
      </x:c>
      <x:c r="S3299" s="8" t="n">
        <x:v>77</x:v>
      </x:c>
      <x:c r="T3299" s="2"/>
      <x:c r="U3299" s="2" t="str"/>
      <x:c r="V3299" s="2" t="str">
        <x:v>2022-06-07</x:v>
      </x:c>
      <x:c r="W3299" s="2" t="str"/>
      <x:c r="X3299" s="2" t="str">
        <x:v>보완 회신 일정 확인</x:v>
      </x:c>
      <x:c r="Y3299" s="2" t="str">
        <x:v>22df6d619b696c1eba8e26790f6382083d9fb1bc48481283e3e8a92ea6897677</x:v>
      </x:c>
      <x:c r="Z3299" s="2" t="n">
        <x:f>SUBTOTAL(103,A3299)</x:f>
        <x:v>1</x:v>
      </x:c>
      <x:c r="AA3299" s="2" t="str">
        <x:f>IF(K3299&lt;&gt;"미종결 표시","대상 아님",IF(N3299="","신청일 확인",IF(NOT(ISNUMBER('종합 현황'!$H$5)),"관찰기준 확인",IF('종합 현황'!$H$5&lt;1,"관찰기준 확인",IF(N3299&gt;'종합 현황'!$H$5,"내부 관찰 대상","내부 관찰일 이하")))))</x:f>
        <x:v>내부 관찰 대상</x:v>
      </x:c>
      <x:c r="AB3299" s="2"/>
    </x:row>
    <x:row r="3300" ht="42" customHeight="1">
      <x:c r="A3300" s="2" t="str">
        <x:v>39ef9b6ed0f99465ec7d816e</x:v>
      </x:c>
      <x:c r="B3300" s="2" t="str">
        <x:v>인증 비공개 신청</x:v>
      </x:c>
      <x:c r="C3300" s="2" t="str">
        <x:v>국내</x:v>
      </x:c>
      <x:c r="D3300" s="7" t="str">
        <x:v>대동EPS의 보일러 교체(B-C유 -&gt; 목재펠릿보일러)를 통한 온실가스 감축사업</x:v>
      </x:c>
      <x:c r="E3300" s="2" t="str">
        <x:v>76</x:v>
      </x:c>
      <x:c r="F3300" s="2" t="str">
        <x:v>2019-11-14</x:v>
      </x:c>
      <x:c r="G3300" s="2" t="str">
        <x:v>2019</x:v>
      </x:c>
      <x:c r="H3300" s="2" t="str">
        <x:v>11</x:v>
      </x:c>
      <x:c r="I3300" s="2" t="str">
        <x:v>보완요청</x:v>
      </x:c>
      <x:c r="J3300" s="2" t="str">
        <x:v>보완요청</x:v>
      </x:c>
      <x:c r="K3300" s="2" t="str">
        <x:f>IF(OR(J3300="심의승인",J3300="반려",J3300="반려완료",J3300="심의완료"),"종결 표시",IF(OR(J3300="기후부협의",J3300="문서재제출요청",J3300="보류",J3300="보완요청",J3300="보완완료",J3300="평가중",J3300="반려요청",J3300="평가필요",LEFT(J3300,5)="보완요청("),"미종결 표시","상태 확인 필요"))</x:f>
        <x:v>미종결 표시</x:v>
      </x:c>
      <x:c r="L3300" s="2" t="str">
        <x:v>에코시안_기샛별</x:v>
      </x:c>
      <x:c r="M3300" s="2"/>
      <x:c r="N3300" s="8" t="n">
        <x:f>DATE(2026,10,15)-DATE(2019,11,14)</x:f>
        <x:v>2527</x:v>
      </x:c>
      <x:c r="O3300" s="2"/>
      <x:c r="P3300" s="2" t="str">
        <x:v>모니터링보고서 및 검증보고서 내 보안유지 필요부분 구체화 필요</x:v>
      </x:c>
      <x:c r="Q3300" s="2" t="str">
        <x:v>산업전환 외부사업 정보비공개 신청 관리 Tool_260707_LJY_261013.xlsx</x:v>
      </x:c>
      <x:c r="R3300" s="2" t="str">
        <x:v>(비공개)국내인증</x:v>
      </x:c>
      <x:c r="S3300" s="8" t="n">
        <x:v>78</x:v>
      </x:c>
      <x:c r="T3300" s="2"/>
      <x:c r="U3300" s="2" t="str"/>
      <x:c r="V3300" s="2" t="str">
        <x:v>2022-06-07</x:v>
      </x:c>
      <x:c r="W3300" s="2" t="str"/>
      <x:c r="X3300" s="2" t="str">
        <x:v>보완 회신 일정 확인</x:v>
      </x:c>
      <x:c r="Y3300" s="2" t="str">
        <x:v>22df6d619b696c1eba8e26790f6382083d9fb1bc48481283e3e8a92ea6897677</x:v>
      </x:c>
      <x:c r="Z3300" s="2" t="n">
        <x:f>SUBTOTAL(103,A3300)</x:f>
        <x:v>1</x:v>
      </x:c>
      <x:c r="AA3300" s="2" t="str">
        <x:f>IF(K3300&lt;&gt;"미종결 표시","대상 아님",IF(N3300="","신청일 확인",IF(NOT(ISNUMBER('종합 현황'!$H$5)),"관찰기준 확인",IF('종합 현황'!$H$5&lt;1,"관찰기준 확인",IF(N3300&gt;'종합 현황'!$H$5,"내부 관찰 대상","내부 관찰일 이하")))))</x:f>
        <x:v>내부 관찰 대상</x:v>
      </x:c>
      <x:c r="AB3300" s="2"/>
    </x:row>
    <x:row r="3301" ht="42" customHeight="1">
      <x:c r="A3301" s="2" t="str">
        <x:v>613a7098deb96804b8821600</x:v>
      </x:c>
      <x:c r="B3301" s="2" t="str">
        <x:v>인증 비공개 신청</x:v>
      </x:c>
      <x:c r="C3301" s="2" t="str">
        <x:v>국내</x:v>
      </x:c>
      <x:c r="D3301" s="7" t="str">
        <x:v>대경화학 증기재압축장치 등(B-C유를 LNG로 연료전환) 설치를 통한 온실가스 감축사업</x:v>
      </x:c>
      <x:c r="E3301" s="2" t="str">
        <x:v>77</x:v>
      </x:c>
      <x:c r="F3301" s="2" t="str">
        <x:v>2019-11-14</x:v>
      </x:c>
      <x:c r="G3301" s="2" t="str">
        <x:v>2019</x:v>
      </x:c>
      <x:c r="H3301" s="2" t="str">
        <x:v>11</x:v>
      </x:c>
      <x:c r="I3301" s="2" t="str">
        <x:v>보완요청</x:v>
      </x:c>
      <x:c r="J3301" s="2" t="str">
        <x:v>보완요청</x:v>
      </x:c>
      <x:c r="K3301" s="2" t="str">
        <x:f>IF(OR(J3301="심의승인",J3301="반려",J3301="반려완료",J3301="심의완료"),"종결 표시",IF(OR(J3301="기후부협의",J3301="문서재제출요청",J3301="보류",J3301="보완요청",J3301="보완완료",J3301="평가중",J3301="반려요청",J3301="평가필요",LEFT(J3301,5)="보완요청("),"미종결 표시","상태 확인 필요"))</x:f>
        <x:v>미종결 표시</x:v>
      </x:c>
      <x:c r="L3301" s="2" t="str">
        <x:v>에코시안_기샛별</x:v>
      </x:c>
      <x:c r="M3301" s="2"/>
      <x:c r="N3301" s="8" t="n">
        <x:f>DATE(2026,10,15)-DATE(2019,11,14)</x:f>
        <x:v>2527</x:v>
      </x:c>
      <x:c r="O3301" s="2"/>
      <x:c r="P3301" s="2" t="str">
        <x:v>모니터링보고서 및 검증보고서 내 보안유지 필요부분 구체화 필요</x:v>
      </x:c>
      <x:c r="Q3301" s="2" t="str">
        <x:v>산업전환 외부사업 정보비공개 신청 관리 Tool_260707_LJY_261013.xlsx</x:v>
      </x:c>
      <x:c r="R3301" s="2" t="str">
        <x:v>(비공개)국내인증</x:v>
      </x:c>
      <x:c r="S3301" s="8" t="n">
        <x:v>79</x:v>
      </x:c>
      <x:c r="T3301" s="2"/>
      <x:c r="U3301" s="2" t="str"/>
      <x:c r="V3301" s="2" t="str">
        <x:v>2022-06-07</x:v>
      </x:c>
      <x:c r="W3301" s="2" t="str"/>
      <x:c r="X3301" s="2" t="str">
        <x:v>보완 회신 일정 확인</x:v>
      </x:c>
      <x:c r="Y3301" s="2" t="str">
        <x:v>22df6d619b696c1eba8e26790f6382083d9fb1bc48481283e3e8a92ea6897677</x:v>
      </x:c>
      <x:c r="Z3301" s="2" t="n">
        <x:f>SUBTOTAL(103,A3301)</x:f>
        <x:v>1</x:v>
      </x:c>
      <x:c r="AA3301" s="2" t="str">
        <x:f>IF(K3301&lt;&gt;"미종결 표시","대상 아님",IF(N3301="","신청일 확인",IF(NOT(ISNUMBER('종합 현황'!$H$5)),"관찰기준 확인",IF('종합 현황'!$H$5&lt;1,"관찰기준 확인",IF(N3301&gt;'종합 현황'!$H$5,"내부 관찰 대상","내부 관찰일 이하")))))</x:f>
        <x:v>내부 관찰 대상</x:v>
      </x:c>
      <x:c r="AB3301" s="2"/>
    </x:row>
    <x:row r="3302" ht="42" customHeight="1">
      <x:c r="A3302" s="2" t="str">
        <x:v>b6119837c13937328da81d20</x:v>
      </x:c>
      <x:c r="B3302" s="2" t="str">
        <x:v>인증 비공개 신청</x:v>
      </x:c>
      <x:c r="C3302" s="2" t="str">
        <x:v>국내</x:v>
      </x:c>
      <x:c r="D3302" s="7" t="str">
        <x:v>㈜태호화학 논산사업장 B-C유에서 LPG로 연료 전환을 통한 온실가스 감축사업</x:v>
      </x:c>
      <x:c r="E3302" s="2" t="str">
        <x:v>78</x:v>
      </x:c>
      <x:c r="F3302" s="2" t="str">
        <x:v>2019-11-14</x:v>
      </x:c>
      <x:c r="G3302" s="2" t="str">
        <x:v>2019</x:v>
      </x:c>
      <x:c r="H3302" s="2" t="str">
        <x:v>11</x:v>
      </x:c>
      <x:c r="I3302" s="2" t="str">
        <x:v>보완요청</x:v>
      </x:c>
      <x:c r="J3302" s="2" t="str">
        <x:v>보완요청</x:v>
      </x:c>
      <x:c r="K3302" s="2" t="str">
        <x:f>IF(OR(J3302="심의승인",J3302="반려",J3302="반려완료",J3302="심의완료"),"종결 표시",IF(OR(J3302="기후부협의",J3302="문서재제출요청",J3302="보류",J3302="보완요청",J3302="보완완료",J3302="평가중",J3302="반려요청",J3302="평가필요",LEFT(J3302,5)="보완요청("),"미종결 표시","상태 확인 필요"))</x:f>
        <x:v>미종결 표시</x:v>
      </x:c>
      <x:c r="L3302" s="2" t="str">
        <x:v>KECM_이태준</x:v>
      </x:c>
      <x:c r="M3302" s="2"/>
      <x:c r="N3302" s="8" t="n">
        <x:f>DATE(2026,10,15)-DATE(2019,11,14)</x:f>
        <x:v>2527</x:v>
      </x:c>
      <x:c r="O3302" s="2"/>
      <x:c r="P3302" s="2" t="str">
        <x:v>모니터링보고서 및 검증보고서 내 보안유지 필요부분 구체화 필요</x:v>
      </x:c>
      <x:c r="Q3302" s="2" t="str">
        <x:v>산업전환 외부사업 정보비공개 신청 관리 Tool_260707_LJY_261013.xlsx</x:v>
      </x:c>
      <x:c r="R3302" s="2" t="str">
        <x:v>(비공개)국내인증</x:v>
      </x:c>
      <x:c r="S3302" s="8" t="n">
        <x:v>80</x:v>
      </x:c>
      <x:c r="T3302" s="2"/>
      <x:c r="U3302" s="2" t="str"/>
      <x:c r="V3302" s="2" t="str">
        <x:v>2022-06-02</x:v>
      </x:c>
      <x:c r="W3302" s="2" t="str"/>
      <x:c r="X3302" s="2" t="str">
        <x:v>보완 회신 일정 확인</x:v>
      </x:c>
      <x:c r="Y3302" s="2" t="str">
        <x:v>22df6d619b696c1eba8e26790f6382083d9fb1bc48481283e3e8a92ea6897677</x:v>
      </x:c>
      <x:c r="Z3302" s="2" t="n">
        <x:f>SUBTOTAL(103,A3302)</x:f>
        <x:v>1</x:v>
      </x:c>
      <x:c r="AA3302" s="2" t="str">
        <x:f>IF(K3302&lt;&gt;"미종결 표시","대상 아님",IF(N3302="","신청일 확인",IF(NOT(ISNUMBER('종합 현황'!$H$5)),"관찰기준 확인",IF('종합 현황'!$H$5&lt;1,"관찰기준 확인",IF(N3302&gt;'종합 현황'!$H$5,"내부 관찰 대상","내부 관찰일 이하")))))</x:f>
        <x:v>내부 관찰 대상</x:v>
      </x:c>
      <x:c r="AB3302" s="2"/>
    </x:row>
    <x:row r="3303" ht="42" customHeight="1">
      <x:c r="A3303" s="2" t="str">
        <x:v>7c3adb82b318957f586774f8</x:v>
      </x:c>
      <x:c r="B3303" s="2" t="str">
        <x:v>인증 비공개 신청</x:v>
      </x:c>
      <x:c r="C3303" s="2" t="str">
        <x:v>국내</x:v>
      </x:c>
      <x:c r="D3303" s="7" t="str">
        <x:v>크린멤버스의 목재펠릿 연료전환(LPG-&gt;목재펠릿)을 통한 온실가스 감축사업</x:v>
      </x:c>
      <x:c r="E3303" s="2" t="str">
        <x:v>79</x:v>
      </x:c>
      <x:c r="F3303" s="2" t="str">
        <x:v>2019-11-14</x:v>
      </x:c>
      <x:c r="G3303" s="2" t="str">
        <x:v>2019</x:v>
      </x:c>
      <x:c r="H3303" s="2" t="str">
        <x:v>11</x:v>
      </x:c>
      <x:c r="I3303" s="2" t="str">
        <x:v>보완요청</x:v>
      </x:c>
      <x:c r="J3303" s="2" t="str">
        <x:v>보완요청</x:v>
      </x:c>
      <x:c r="K3303" s="2" t="str">
        <x:f>IF(OR(J3303="심의승인",J3303="반려",J3303="반려완료",J3303="심의완료"),"종결 표시",IF(OR(J3303="기후부협의",J3303="문서재제출요청",J3303="보류",J3303="보완요청",J3303="보완완료",J3303="평가중",J3303="반려요청",J3303="평가필요",LEFT(J3303,5)="보완요청("),"미종결 표시","상태 확인 필요"))</x:f>
        <x:v>미종결 표시</x:v>
      </x:c>
      <x:c r="L3303" s="2" t="str">
        <x:v>에코시안</x:v>
      </x:c>
      <x:c r="M3303" s="2"/>
      <x:c r="N3303" s="8" t="n">
        <x:f>DATE(2026,10,15)-DATE(2019,11,14)</x:f>
        <x:v>2527</x:v>
      </x:c>
      <x:c r="O3303" s="2"/>
      <x:c r="P3303" s="2" t="str">
        <x:v>모니터링보고서 및 검증보고서 내 보안유지 필요부분 구체화 필요</x:v>
      </x:c>
      <x:c r="Q3303" s="2" t="str">
        <x:v>산업전환 외부사업 정보비공개 신청 관리 Tool_260707_LJY_261013.xlsx</x:v>
      </x:c>
      <x:c r="R3303" s="2" t="str">
        <x:v>(비공개)국내인증</x:v>
      </x:c>
      <x:c r="S3303" s="8" t="n">
        <x:v>81</x:v>
      </x:c>
      <x:c r="T3303" s="2"/>
      <x:c r="U3303" s="2" t="str"/>
      <x:c r="V3303" s="2" t="str">
        <x:v>2022-10-19</x:v>
      </x:c>
      <x:c r="W3303" s="2" t="str"/>
      <x:c r="X3303" s="2" t="str">
        <x:v>보완 회신 일정 확인</x:v>
      </x:c>
      <x:c r="Y3303" s="2" t="str">
        <x:v>22df6d619b696c1eba8e26790f6382083d9fb1bc48481283e3e8a92ea6897677</x:v>
      </x:c>
      <x:c r="Z3303" s="2" t="n">
        <x:f>SUBTOTAL(103,A3303)</x:f>
        <x:v>1</x:v>
      </x:c>
      <x:c r="AA3303" s="2" t="str">
        <x:f>IF(K3303&lt;&gt;"미종결 표시","대상 아님",IF(N3303="","신청일 확인",IF(NOT(ISNUMBER('종합 현황'!$H$5)),"관찰기준 확인",IF('종합 현황'!$H$5&lt;1,"관찰기준 확인",IF(N3303&gt;'종합 현황'!$H$5,"내부 관찰 대상","내부 관찰일 이하")))))</x:f>
        <x:v>내부 관찰 대상</x:v>
      </x:c>
      <x:c r="AB3303" s="2"/>
    </x:row>
    <x:row r="3304" ht="42" customHeight="1">
      <x:c r="A3304" s="2" t="str">
        <x:v>2a3601d01ac9825d18da85b2</x:v>
      </x:c>
      <x:c r="B3304" s="2" t="str">
        <x:v>인증 비공개 신청</x:v>
      </x:c>
      <x:c r="C3304" s="2" t="str">
        <x:v>국내</x:v>
      </x:c>
      <x:c r="D3304" s="7" t="str">
        <x:v>케이티세라믹 당진사업장 소성로 및 드라이어의 연료교체(LPG-&gt;LNG)를 통한 온실가스 배출 감축사업</x:v>
      </x:c>
      <x:c r="E3304" s="2" t="str">
        <x:v>80</x:v>
      </x:c>
      <x:c r="F3304" s="2" t="str">
        <x:v>2019-11-14</x:v>
      </x:c>
      <x:c r="G3304" s="2" t="str">
        <x:v>2019</x:v>
      </x:c>
      <x:c r="H3304" s="2" t="str">
        <x:v>11</x:v>
      </x:c>
      <x:c r="I3304" s="2" t="str">
        <x:v>보완요청</x:v>
      </x:c>
      <x:c r="J3304" s="2" t="str">
        <x:v>보완요청</x:v>
      </x:c>
      <x:c r="K3304" s="2" t="str">
        <x:f>IF(OR(J3304="심의승인",J3304="반려",J3304="반려완료",J3304="심의완료"),"종결 표시",IF(OR(J3304="기후부협의",J3304="문서재제출요청",J3304="보류",J3304="보완요청",J3304="보완완료",J3304="평가중",J3304="반려요청",J3304="평가필요",LEFT(J3304,5)="보완요청("),"미종결 표시","상태 확인 필요"))</x:f>
        <x:v>미종결 표시</x:v>
      </x:c>
      <x:c r="L3304" s="2" t="str">
        <x:v>에코시안</x:v>
      </x:c>
      <x:c r="M3304" s="2"/>
      <x:c r="N3304" s="8" t="n">
        <x:f>DATE(2026,10,15)-DATE(2019,11,14)</x:f>
        <x:v>2527</x:v>
      </x:c>
      <x:c r="O3304" s="2"/>
      <x:c r="P3304" s="2" t="str">
        <x:v>모니터링보고서 및 검증보고서 내 보안유지 필요부분 구체화 필요</x:v>
      </x:c>
      <x:c r="Q3304" s="2" t="str">
        <x:v>산업전환 외부사업 정보비공개 신청 관리 Tool_260707_LJY_261013.xlsx</x:v>
      </x:c>
      <x:c r="R3304" s="2" t="str">
        <x:v>(비공개)국내인증</x:v>
      </x:c>
      <x:c r="S3304" s="8" t="n">
        <x:v>82</x:v>
      </x:c>
      <x:c r="T3304" s="2"/>
      <x:c r="U3304" s="2" t="str"/>
      <x:c r="V3304" s="2" t="str">
        <x:v>2022-10-19</x:v>
      </x:c>
      <x:c r="W3304" s="2" t="str"/>
      <x:c r="X3304" s="2" t="str">
        <x:v>보완 회신 일정 확인</x:v>
      </x:c>
      <x:c r="Y3304" s="2" t="str">
        <x:v>22df6d619b696c1eba8e26790f6382083d9fb1bc48481283e3e8a92ea6897677</x:v>
      </x:c>
      <x:c r="Z3304" s="2" t="n">
        <x:f>SUBTOTAL(103,A3304)</x:f>
        <x:v>1</x:v>
      </x:c>
      <x:c r="AA3304" s="2" t="str">
        <x:f>IF(K3304&lt;&gt;"미종결 표시","대상 아님",IF(N3304="","신청일 확인",IF(NOT(ISNUMBER('종합 현황'!$H$5)),"관찰기준 확인",IF('종합 현황'!$H$5&lt;1,"관찰기준 확인",IF(N3304&gt;'종합 현황'!$H$5,"내부 관찰 대상","내부 관찰일 이하")))))</x:f>
        <x:v>내부 관찰 대상</x:v>
      </x:c>
      <x:c r="AB3304" s="2"/>
    </x:row>
    <x:row r="3305" ht="42" customHeight="1">
      <x:c r="A3305" s="2" t="str">
        <x:v>17dca43bd606c7818cc479a1</x:v>
      </x:c>
      <x:c r="B3305" s="2" t="str">
        <x:v>인증 비공개 신청</x:v>
      </x:c>
      <x:c r="C3305" s="2" t="str">
        <x:v>국내</x:v>
      </x:c>
      <x:c r="D3305" s="7" t="str">
        <x:v>(주)산하의 아스콘 제조 사업장의 버너연료를 B-C유에서 LNG로 연료 전환하는 온실가스 감축사업</x:v>
      </x:c>
      <x:c r="E3305" s="2" t="str">
        <x:v>81</x:v>
      </x:c>
      <x:c r="F3305" s="2" t="str">
        <x:v>2019-11-14</x:v>
      </x:c>
      <x:c r="G3305" s="2" t="str">
        <x:v>2019</x:v>
      </x:c>
      <x:c r="H3305" s="2" t="str">
        <x:v>11</x:v>
      </x:c>
      <x:c r="I3305" s="2" t="str">
        <x:v>보완요청</x:v>
      </x:c>
      <x:c r="J3305" s="2" t="str">
        <x:v>보완요청</x:v>
      </x:c>
      <x:c r="K3305" s="2" t="str">
        <x:f>IF(OR(J3305="심의승인",J3305="반려",J3305="반려완료",J3305="심의완료"),"종결 표시",IF(OR(J3305="기후부협의",J3305="문서재제출요청",J3305="보류",J3305="보완요청",J3305="보완완료",J3305="평가중",J3305="반려요청",J3305="평가필요",LEFT(J3305,5)="보완요청("),"미종결 표시","상태 확인 필요"))</x:f>
        <x:v>미종결 표시</x:v>
      </x:c>
      <x:c r="L3305" s="2" t="str">
        <x:v>KECM_이태준</x:v>
      </x:c>
      <x:c r="M3305" s="2"/>
      <x:c r="N3305" s="8" t="n">
        <x:f>DATE(2026,10,15)-DATE(2019,11,14)</x:f>
        <x:v>2527</x:v>
      </x:c>
      <x:c r="O3305" s="2"/>
      <x:c r="P3305" s="2" t="str">
        <x:v>모니터링보고서 및 검증보고서 내 보안유지 필요부분 구체화 필요</x:v>
      </x:c>
      <x:c r="Q3305" s="2" t="str">
        <x:v>산업전환 외부사업 정보비공개 신청 관리 Tool_260707_LJY_261013.xlsx</x:v>
      </x:c>
      <x:c r="R3305" s="2" t="str">
        <x:v>(비공개)국내인증</x:v>
      </x:c>
      <x:c r="S3305" s="8" t="n">
        <x:v>83</x:v>
      </x:c>
      <x:c r="T3305" s="2"/>
      <x:c r="U3305" s="2" t="str"/>
      <x:c r="V3305" s="2" t="str">
        <x:v>2022-06-02</x:v>
      </x:c>
      <x:c r="W3305" s="2" t="str"/>
      <x:c r="X3305" s="2" t="str">
        <x:v>보완 회신 일정 확인</x:v>
      </x:c>
      <x:c r="Y3305" s="2" t="str">
        <x:v>22df6d619b696c1eba8e26790f6382083d9fb1bc48481283e3e8a92ea6897677</x:v>
      </x:c>
      <x:c r="Z3305" s="2" t="n">
        <x:f>SUBTOTAL(103,A3305)</x:f>
        <x:v>1</x:v>
      </x:c>
      <x:c r="AA3305" s="2" t="str">
        <x:f>IF(K3305&lt;&gt;"미종결 표시","대상 아님",IF(N3305="","신청일 확인",IF(NOT(ISNUMBER('종합 현황'!$H$5)),"관찰기준 확인",IF('종합 현황'!$H$5&lt;1,"관찰기준 확인",IF(N3305&gt;'종합 현황'!$H$5,"내부 관찰 대상","내부 관찰일 이하")))))</x:f>
        <x:v>내부 관찰 대상</x:v>
      </x:c>
      <x:c r="AB3305" s="2"/>
    </x:row>
    <x:row r="3306" ht="42" customHeight="1">
      <x:c r="A3306" s="2" t="str">
        <x:v>a18640141d1b39e83fd8e5a6</x:v>
      </x:c>
      <x:c r="B3306" s="2" t="str">
        <x:v>인증 비공개 신청</x:v>
      </x:c>
      <x:c r="C3306" s="2" t="str">
        <x:v>국내</x:v>
      </x:c>
      <x:c r="D3306" s="7" t="str">
        <x:v>케이티세라믹 예산사업장 소성로 및 드라이어의 연료교체(LPG-LNG)을 통한 온실가스 배출 감축사업</x:v>
      </x:c>
      <x:c r="E3306" s="2" t="str">
        <x:v>82</x:v>
      </x:c>
      <x:c r="F3306" s="2" t="str">
        <x:v>2019-11-14</x:v>
      </x:c>
      <x:c r="G3306" s="2" t="str">
        <x:v>2019</x:v>
      </x:c>
      <x:c r="H3306" s="2" t="str">
        <x:v>11</x:v>
      </x:c>
      <x:c r="I3306" s="2" t="str">
        <x:v>보완요청</x:v>
      </x:c>
      <x:c r="J3306" s="2" t="str">
        <x:v>보완요청</x:v>
      </x:c>
      <x:c r="K3306" s="2" t="str">
        <x:f>IF(OR(J3306="심의승인",J3306="반려",J3306="반려완료",J3306="심의완료"),"종결 표시",IF(OR(J3306="기후부협의",J3306="문서재제출요청",J3306="보류",J3306="보완요청",J3306="보완완료",J3306="평가중",J3306="반려요청",J3306="평가필요",LEFT(J3306,5)="보완요청("),"미종결 표시","상태 확인 필요"))</x:f>
        <x:v>미종결 표시</x:v>
      </x:c>
      <x:c r="L3306" s="2" t="str">
        <x:v>에코시안</x:v>
      </x:c>
      <x:c r="M3306" s="2"/>
      <x:c r="N3306" s="8" t="n">
        <x:f>DATE(2026,10,15)-DATE(2019,11,14)</x:f>
        <x:v>2527</x:v>
      </x:c>
      <x:c r="O3306" s="2"/>
      <x:c r="P3306" s="2" t="str">
        <x:v>모니터링보고서 및 검증보고서 내 보안유지 필요부분 구체화 필요</x:v>
      </x:c>
      <x:c r="Q3306" s="2" t="str">
        <x:v>산업전환 외부사업 정보비공개 신청 관리 Tool_260707_LJY_261013.xlsx</x:v>
      </x:c>
      <x:c r="R3306" s="2" t="str">
        <x:v>(비공개)국내인증</x:v>
      </x:c>
      <x:c r="S3306" s="8" t="n">
        <x:v>84</x:v>
      </x:c>
      <x:c r="T3306" s="2"/>
      <x:c r="U3306" s="2" t="str"/>
      <x:c r="V3306" s="2" t="str">
        <x:v>2022-10-19</x:v>
      </x:c>
      <x:c r="W3306" s="2" t="str"/>
      <x:c r="X3306" s="2" t="str">
        <x:v>보완 회신 일정 확인</x:v>
      </x:c>
      <x:c r="Y3306" s="2" t="str">
        <x:v>22df6d619b696c1eba8e26790f6382083d9fb1bc48481283e3e8a92ea6897677</x:v>
      </x:c>
      <x:c r="Z3306" s="2" t="n">
        <x:f>SUBTOTAL(103,A3306)</x:f>
        <x:v>1</x:v>
      </x:c>
      <x:c r="AA3306" s="2" t="str">
        <x:f>IF(K3306&lt;&gt;"미종결 표시","대상 아님",IF(N3306="","신청일 확인",IF(NOT(ISNUMBER('종합 현황'!$H$5)),"관찰기준 확인",IF('종합 현황'!$H$5&lt;1,"관찰기준 확인",IF(N3306&gt;'종합 현황'!$H$5,"내부 관찰 대상","내부 관찰일 이하")))))</x:f>
        <x:v>내부 관찰 대상</x:v>
      </x:c>
      <x:c r="AB3306" s="2"/>
    </x:row>
    <x:row r="3307" ht="42" customHeight="1">
      <x:c r="A3307" s="2" t="str">
        <x:v>955e92105535dee967bef72d</x:v>
      </x:c>
      <x:c r="B3307" s="2" t="str">
        <x:v>인증 비공개 신청</x:v>
      </x:c>
      <x:c r="C3307" s="2" t="str">
        <x:v>국내</x:v>
      </x:c>
      <x:c r="D3307" s="7" t="str">
        <x:v>미활용열을 회수하는 사업</x:v>
      </x:c>
      <x:c r="E3307" s="2" t="str">
        <x:v>83</x:v>
      </x:c>
      <x:c r="F3307" s="2" t="str">
        <x:v>2019-11-14</x:v>
      </x:c>
      <x:c r="G3307" s="2" t="str">
        <x:v>2019</x:v>
      </x:c>
      <x:c r="H3307" s="2" t="str">
        <x:v>11</x:v>
      </x:c>
      <x:c r="I3307" s="2" t="str">
        <x:v>보완요청</x:v>
      </x:c>
      <x:c r="J3307" s="2" t="str">
        <x:v>보완요청</x:v>
      </x:c>
      <x:c r="K3307" s="2" t="str">
        <x:f>IF(OR(J3307="심의승인",J3307="반려",J3307="반려완료",J3307="심의완료"),"종결 표시",IF(OR(J3307="기후부협의",J3307="문서재제출요청",J3307="보류",J3307="보완요청",J3307="보완완료",J3307="평가중",J3307="반려요청",J3307="평가필요",LEFT(J3307,5)="보완요청("),"미종결 표시","상태 확인 필요"))</x:f>
        <x:v>미종결 표시</x:v>
      </x:c>
      <x:c r="L3307" s="2" t="str">
        <x:v>KECM_이태준</x:v>
      </x:c>
      <x:c r="M3307" s="2"/>
      <x:c r="N3307" s="8" t="n">
        <x:f>DATE(2026,10,15)-DATE(2019,11,14)</x:f>
        <x:v>2527</x:v>
      </x:c>
      <x:c r="O3307" s="2"/>
      <x:c r="P3307" s="2" t="str">
        <x:v>모니터링보고서 및 검증보고서 내 보안유지 필요부분 구체화 필요</x:v>
      </x:c>
      <x:c r="Q3307" s="2" t="str">
        <x:v>산업전환 외부사업 정보비공개 신청 관리 Tool_260707_LJY_261013.xlsx</x:v>
      </x:c>
      <x:c r="R3307" s="2" t="str">
        <x:v>(비공개)국내인증</x:v>
      </x:c>
      <x:c r="S3307" s="8" t="n">
        <x:v>85</x:v>
      </x:c>
      <x:c r="T3307" s="2"/>
      <x:c r="U3307" s="2" t="str"/>
      <x:c r="V3307" s="2" t="str">
        <x:v>2022-06-02</x:v>
      </x:c>
      <x:c r="W3307" s="2" t="str"/>
      <x:c r="X3307" s="2" t="str">
        <x:v>보완 회신 일정 확인</x:v>
      </x:c>
      <x:c r="Y3307" s="2" t="str">
        <x:v>22df6d619b696c1eba8e26790f6382083d9fb1bc48481283e3e8a92ea6897677</x:v>
      </x:c>
      <x:c r="Z3307" s="2" t="n">
        <x:f>SUBTOTAL(103,A3307)</x:f>
        <x:v>1</x:v>
      </x:c>
      <x:c r="AA3307" s="2" t="str">
        <x:f>IF(K3307&lt;&gt;"미종결 표시","대상 아님",IF(N3307="","신청일 확인",IF(NOT(ISNUMBER('종합 현황'!$H$5)),"관찰기준 확인",IF('종합 현황'!$H$5&lt;1,"관찰기준 확인",IF(N3307&gt;'종합 현황'!$H$5,"내부 관찰 대상","내부 관찰일 이하")))))</x:f>
        <x:v>내부 관찰 대상</x:v>
      </x:c>
      <x:c r="AB3307" s="2"/>
    </x:row>
    <x:row r="3308" ht="42" customHeight="1">
      <x:c r="A3308" s="2" t="str">
        <x:v>24a56c61c2f36425a23c8dff</x:v>
      </x:c>
      <x:c r="B3308" s="2" t="str">
        <x:v>인증 비공개 신청</x:v>
      </x:c>
      <x:c r="C3308" s="2" t="str">
        <x:v>국내</x:v>
      </x:c>
      <x:c r="D3308" s="7" t="str">
        <x:v>㈜ 상산쎄라믹 버너 연료전환(B-C유-LNG)를 통한 온실가스 감축사업</x:v>
      </x:c>
      <x:c r="E3308" s="2" t="str">
        <x:v>84</x:v>
      </x:c>
      <x:c r="F3308" s="2" t="str">
        <x:v>2019-11-14</x:v>
      </x:c>
      <x:c r="G3308" s="2" t="str">
        <x:v>2019</x:v>
      </x:c>
      <x:c r="H3308" s="2" t="str">
        <x:v>11</x:v>
      </x:c>
      <x:c r="I3308" s="2" t="str">
        <x:v>보완요청</x:v>
      </x:c>
      <x:c r="J3308" s="2" t="str">
        <x:v>보완요청</x:v>
      </x:c>
      <x:c r="K3308" s="2" t="str">
        <x:f>IF(OR(J3308="심의승인",J3308="반려",J3308="반려완료",J3308="심의완료"),"종결 표시",IF(OR(J3308="기후부협의",J3308="문서재제출요청",J3308="보류",J3308="보완요청",J3308="보완완료",J3308="평가중",J3308="반려요청",J3308="평가필요",LEFT(J3308,5)="보완요청("),"미종결 표시","상태 확인 필요"))</x:f>
        <x:v>미종결 표시</x:v>
      </x:c>
      <x:c r="L3308" s="2" t="str">
        <x:v>KECM_이태준</x:v>
      </x:c>
      <x:c r="M3308" s="2"/>
      <x:c r="N3308" s="8" t="n">
        <x:f>DATE(2026,10,15)-DATE(2019,11,14)</x:f>
        <x:v>2527</x:v>
      </x:c>
      <x:c r="O3308" s="2"/>
      <x:c r="P3308" s="2" t="str">
        <x:v>모니터링보고서 및 검증보고서 내 보안유지 필요부분 구체화 필요</x:v>
      </x:c>
      <x:c r="Q3308" s="2" t="str">
        <x:v>산업전환 외부사업 정보비공개 신청 관리 Tool_260707_LJY_261013.xlsx</x:v>
      </x:c>
      <x:c r="R3308" s="2" t="str">
        <x:v>(비공개)국내인증</x:v>
      </x:c>
      <x:c r="S3308" s="8" t="n">
        <x:v>86</x:v>
      </x:c>
      <x:c r="T3308" s="2"/>
      <x:c r="U3308" s="2" t="str"/>
      <x:c r="V3308" s="2" t="str">
        <x:v>2022-06-02</x:v>
      </x:c>
      <x:c r="W3308" s="2" t="str"/>
      <x:c r="X3308" s="2" t="str">
        <x:v>보완 회신 일정 확인</x:v>
      </x:c>
      <x:c r="Y3308" s="2" t="str">
        <x:v>22df6d619b696c1eba8e26790f6382083d9fb1bc48481283e3e8a92ea6897677</x:v>
      </x:c>
      <x:c r="Z3308" s="2" t="n">
        <x:f>SUBTOTAL(103,A3308)</x:f>
        <x:v>1</x:v>
      </x:c>
      <x:c r="AA3308" s="2" t="str">
        <x:f>IF(K3308&lt;&gt;"미종결 표시","대상 아님",IF(N3308="","신청일 확인",IF(NOT(ISNUMBER('종합 현황'!$H$5)),"관찰기준 확인",IF('종합 현황'!$H$5&lt;1,"관찰기준 확인",IF(N3308&gt;'종합 현황'!$H$5,"내부 관찰 대상","내부 관찰일 이하")))))</x:f>
        <x:v>내부 관찰 대상</x:v>
      </x:c>
      <x:c r="AB3308" s="2"/>
    </x:row>
    <x:row r="3309" ht="42" customHeight="1">
      <x:c r="A3309" s="2" t="str">
        <x:v>3cb6c2e4c3608e52e2060714</x:v>
      </x:c>
      <x:c r="B3309" s="2" t="str">
        <x:v>인증 비공개 신청</x:v>
      </x:c>
      <x:c r="C3309" s="2" t="str">
        <x:v>국내</x:v>
      </x:c>
      <x:c r="D3309" s="7" t="str">
        <x:v>동원유지 보일러 연료 전환(B-C유→목재펠릿)을 통한 온실가스 감축사업</x:v>
      </x:c>
      <x:c r="E3309" s="2" t="str">
        <x:v>85</x:v>
      </x:c>
      <x:c r="F3309" s="2" t="str">
        <x:v>2019-11-14</x:v>
      </x:c>
      <x:c r="G3309" s="2" t="str">
        <x:v>2019</x:v>
      </x:c>
      <x:c r="H3309" s="2" t="str">
        <x:v>11</x:v>
      </x:c>
      <x:c r="I3309" s="2" t="str">
        <x:v>보완요청</x:v>
      </x:c>
      <x:c r="J3309" s="2" t="str">
        <x:v>보완요청</x:v>
      </x:c>
      <x:c r="K3309" s="2" t="str">
        <x:f>IF(OR(J3309="심의승인",J3309="반려",J3309="반려완료",J3309="심의완료"),"종결 표시",IF(OR(J3309="기후부협의",J3309="문서재제출요청",J3309="보류",J3309="보완요청",J3309="보완완료",J3309="평가중",J3309="반려요청",J3309="평가필요",LEFT(J3309,5)="보완요청("),"미종결 표시","상태 확인 필요"))</x:f>
        <x:v>미종결 표시</x:v>
      </x:c>
      <x:c r="L3309" s="2" t="str">
        <x:v>KECM_이태준</x:v>
      </x:c>
      <x:c r="M3309" s="2"/>
      <x:c r="N3309" s="8" t="n">
        <x:f>DATE(2026,10,15)-DATE(2019,11,14)</x:f>
        <x:v>2527</x:v>
      </x:c>
      <x:c r="O3309" s="2"/>
      <x:c r="P3309" s="2" t="str">
        <x:v>모니터링보고서 및 검증보고서 내 보안유지 필요부분 구체화 필요</x:v>
      </x:c>
      <x:c r="Q3309" s="2" t="str">
        <x:v>산업전환 외부사업 정보비공개 신청 관리 Tool_260707_LJY_261013.xlsx</x:v>
      </x:c>
      <x:c r="R3309" s="2" t="str">
        <x:v>(비공개)국내인증</x:v>
      </x:c>
      <x:c r="S3309" s="8" t="n">
        <x:v>87</x:v>
      </x:c>
      <x:c r="T3309" s="2"/>
      <x:c r="U3309" s="2" t="str"/>
      <x:c r="V3309" s="2" t="str">
        <x:v>2022-06-02</x:v>
      </x:c>
      <x:c r="W3309" s="2" t="str"/>
      <x:c r="X3309" s="2" t="str">
        <x:v>보완 회신 일정 확인</x:v>
      </x:c>
      <x:c r="Y3309" s="2" t="str">
        <x:v>22df6d619b696c1eba8e26790f6382083d9fb1bc48481283e3e8a92ea6897677</x:v>
      </x:c>
      <x:c r="Z3309" s="2" t="n">
        <x:f>SUBTOTAL(103,A3309)</x:f>
        <x:v>1</x:v>
      </x:c>
      <x:c r="AA3309" s="2" t="str">
        <x:f>IF(K3309&lt;&gt;"미종결 표시","대상 아님",IF(N3309="","신청일 확인",IF(NOT(ISNUMBER('종합 현황'!$H$5)),"관찰기준 확인",IF('종합 현황'!$H$5&lt;1,"관찰기준 확인",IF(N3309&gt;'종합 현황'!$H$5,"내부 관찰 대상","내부 관찰일 이하")))))</x:f>
        <x:v>내부 관찰 대상</x:v>
      </x:c>
      <x:c r="AB3309" s="2"/>
    </x:row>
    <x:row r="3310" ht="42" customHeight="1">
      <x:c r="A3310" s="2" t="str">
        <x:v>97a8deb3a2e0b6e7b3a8389c</x:v>
      </x:c>
      <x:c r="B3310" s="2" t="str">
        <x:v>인증 비공개 신청</x:v>
      </x:c>
      <x:c r="C3310" s="2" t="str">
        <x:v>국내</x:v>
      </x:c>
      <x:c r="D3310" s="7" t="str">
        <x:v>금산공영(합) 아스콘 드라이어 버너 연료전환(B-C유 → LPG)을 통한 온실가스(CO2) 감축사업</x:v>
      </x:c>
      <x:c r="E3310" s="2" t="str">
        <x:v>86</x:v>
      </x:c>
      <x:c r="F3310" s="2" t="str">
        <x:v>2019-11-14</x:v>
      </x:c>
      <x:c r="G3310" s="2" t="str">
        <x:v>2019</x:v>
      </x:c>
      <x:c r="H3310" s="2" t="str">
        <x:v>11</x:v>
      </x:c>
      <x:c r="I3310" s="2" t="str">
        <x:v>보완요청</x:v>
      </x:c>
      <x:c r="J3310" s="2" t="str">
        <x:v>보완요청</x:v>
      </x:c>
      <x:c r="K3310" s="2" t="str">
        <x:f>IF(OR(J3310="심의승인",J3310="반려",J3310="반려완료",J3310="심의완료"),"종결 표시",IF(OR(J3310="기후부협의",J3310="문서재제출요청",J3310="보류",J3310="보완요청",J3310="보완완료",J3310="평가중",J3310="반려요청",J3310="평가필요",LEFT(J3310,5)="보완요청("),"미종결 표시","상태 확인 필요"))</x:f>
        <x:v>미종결 표시</x:v>
      </x:c>
      <x:c r="L3310" s="2" t="str">
        <x:v>KECM_이태준</x:v>
      </x:c>
      <x:c r="M3310" s="2"/>
      <x:c r="N3310" s="8" t="n">
        <x:f>DATE(2026,10,15)-DATE(2019,11,14)</x:f>
        <x:v>2527</x:v>
      </x:c>
      <x:c r="O3310" s="2"/>
      <x:c r="P3310" s="2" t="str">
        <x:v>모니터링보고서 및 검증보고서 내 보안유지 필요부분 구체화 필요</x:v>
      </x:c>
      <x:c r="Q3310" s="2" t="str">
        <x:v>산업전환 외부사업 정보비공개 신청 관리 Tool_260707_LJY_261013.xlsx</x:v>
      </x:c>
      <x:c r="R3310" s="2" t="str">
        <x:v>(비공개)국내인증</x:v>
      </x:c>
      <x:c r="S3310" s="8" t="n">
        <x:v>88</x:v>
      </x:c>
      <x:c r="T3310" s="2"/>
      <x:c r="U3310" s="2" t="str"/>
      <x:c r="V3310" s="2" t="str">
        <x:v>2022-06-02</x:v>
      </x:c>
      <x:c r="W3310" s="2" t="str"/>
      <x:c r="X3310" s="2" t="str">
        <x:v>보완 회신 일정 확인</x:v>
      </x:c>
      <x:c r="Y3310" s="2" t="str">
        <x:v>22df6d619b696c1eba8e26790f6382083d9fb1bc48481283e3e8a92ea6897677</x:v>
      </x:c>
      <x:c r="Z3310" s="2" t="n">
        <x:f>SUBTOTAL(103,A3310)</x:f>
        <x:v>1</x:v>
      </x:c>
      <x:c r="AA3310" s="2" t="str">
        <x:f>IF(K3310&lt;&gt;"미종결 표시","대상 아님",IF(N3310="","신청일 확인",IF(NOT(ISNUMBER('종합 현황'!$H$5)),"관찰기준 확인",IF('종합 현황'!$H$5&lt;1,"관찰기준 확인",IF(N3310&gt;'종합 현황'!$H$5,"내부 관찰 대상","내부 관찰일 이하")))))</x:f>
        <x:v>내부 관찰 대상</x:v>
      </x:c>
      <x:c r="AB3310" s="2"/>
    </x:row>
    <x:row r="3311" ht="42" customHeight="1">
      <x:c r="A3311" s="2" t="str">
        <x:v>df9ecefab319d1ccfd172935</x:v>
      </x:c>
      <x:c r="B3311" s="2" t="str">
        <x:v>인증 비공개 신청</x:v>
      </x:c>
      <x:c r="C3311" s="2" t="str">
        <x:v>국내</x:v>
      </x:c>
      <x:c r="D3311" s="7" t="str">
        <x:v>한화제약(주) 스팀보일러 버너 연료전환(부생연료유 1호 → LPG)을 통한 온실가스(CO2) 감축사업</x:v>
      </x:c>
      <x:c r="E3311" s="2" t="str">
        <x:v>87</x:v>
      </x:c>
      <x:c r="F3311" s="2" t="str">
        <x:v>2019-11-14</x:v>
      </x:c>
      <x:c r="G3311" s="2" t="str">
        <x:v>2019</x:v>
      </x:c>
      <x:c r="H3311" s="2" t="str">
        <x:v>11</x:v>
      </x:c>
      <x:c r="I3311" s="2" t="str">
        <x:v>보완요청</x:v>
      </x:c>
      <x:c r="J3311" s="2" t="str">
        <x:v>보완요청</x:v>
      </x:c>
      <x:c r="K3311" s="2" t="str">
        <x:f>IF(OR(J3311="심의승인",J3311="반려",J3311="반려완료",J3311="심의완료"),"종결 표시",IF(OR(J3311="기후부협의",J3311="문서재제출요청",J3311="보류",J3311="보완요청",J3311="보완완료",J3311="평가중",J3311="반려요청",J3311="평가필요",LEFT(J3311,5)="보완요청("),"미종결 표시","상태 확인 필요"))</x:f>
        <x:v>미종결 표시</x:v>
      </x:c>
      <x:c r="L3311" s="2" t="str">
        <x:v>KECM_이태준</x:v>
      </x:c>
      <x:c r="M3311" s="2"/>
      <x:c r="N3311" s="8" t="n">
        <x:f>DATE(2026,10,15)-DATE(2019,11,14)</x:f>
        <x:v>2527</x:v>
      </x:c>
      <x:c r="O3311" s="2"/>
      <x:c r="P3311" s="2" t="str">
        <x:v>모니터링보고서 및 검증보고서 내 보안유지 필요부분 구체화 필요</x:v>
      </x:c>
      <x:c r="Q3311" s="2" t="str">
        <x:v>산업전환 외부사업 정보비공개 신청 관리 Tool_260707_LJY_261013.xlsx</x:v>
      </x:c>
      <x:c r="R3311" s="2" t="str">
        <x:v>(비공개)국내인증</x:v>
      </x:c>
      <x:c r="S3311" s="8" t="n">
        <x:v>89</x:v>
      </x:c>
      <x:c r="T3311" s="2"/>
      <x:c r="U3311" s="2" t="str"/>
      <x:c r="V3311" s="2" t="str">
        <x:v>2022-06-02</x:v>
      </x:c>
      <x:c r="W3311" s="2" t="str"/>
      <x:c r="X3311" s="2" t="str">
        <x:v>보완 회신 일정 확인</x:v>
      </x:c>
      <x:c r="Y3311" s="2" t="str">
        <x:v>22df6d619b696c1eba8e26790f6382083d9fb1bc48481283e3e8a92ea6897677</x:v>
      </x:c>
      <x:c r="Z3311" s="2" t="n">
        <x:f>SUBTOTAL(103,A3311)</x:f>
        <x:v>1</x:v>
      </x:c>
      <x:c r="AA3311" s="2" t="str">
        <x:f>IF(K3311&lt;&gt;"미종결 표시","대상 아님",IF(N3311="","신청일 확인",IF(NOT(ISNUMBER('종합 현황'!$H$5)),"관찰기준 확인",IF('종합 현황'!$H$5&lt;1,"관찰기준 확인",IF(N3311&gt;'종합 현황'!$H$5,"내부 관찰 대상","내부 관찰일 이하")))))</x:f>
        <x:v>내부 관찰 대상</x:v>
      </x:c>
      <x:c r="AB3311" s="2"/>
    </x:row>
    <x:row r="3312" ht="42" customHeight="1">
      <x:c r="A3312" s="2" t="str">
        <x:v>d485143a3fdd1bb36d7206e3</x:v>
      </x:c>
      <x:c r="B3312" s="2" t="str">
        <x:v>인증 비공개 신청</x:v>
      </x:c>
      <x:c r="C3312" s="2" t="str">
        <x:v>국내</x:v>
      </x:c>
      <x:c r="D3312" s="7" t="str">
        <x:v>보일러 연료전환(벙커C유 및 보일러 등유 -&gt; LNG)을 통한 온실가스(CO2) 배출 감축 사업</x:v>
      </x:c>
      <x:c r="E3312" s="2" t="str">
        <x:v>88</x:v>
      </x:c>
      <x:c r="F3312" s="2" t="str">
        <x:v>2019-11-13</x:v>
      </x:c>
      <x:c r="G3312" s="2" t="str">
        <x:v>2019</x:v>
      </x:c>
      <x:c r="H3312" s="2" t="str">
        <x:v>11</x:v>
      </x:c>
      <x:c r="I3312" s="2" t="str">
        <x:v>보완요청</x:v>
      </x:c>
      <x:c r="J3312" s="2" t="str">
        <x:v>보완요청</x:v>
      </x:c>
      <x:c r="K3312" s="2" t="str">
        <x:f>IF(OR(J3312="심의승인",J3312="반려",J3312="반려완료",J3312="심의완료"),"종결 표시",IF(OR(J3312="기후부협의",J3312="문서재제출요청",J3312="보류",J3312="보완요청",J3312="보완완료",J3312="평가중",J3312="반려요청",J3312="평가필요",LEFT(J3312,5)="보완요청("),"미종결 표시","상태 확인 필요"))</x:f>
        <x:v>미종결 표시</x:v>
      </x:c>
      <x:c r="L3312" s="2" t="str">
        <x:v>KECM_이태준</x:v>
      </x:c>
      <x:c r="M3312" s="2"/>
      <x:c r="N3312" s="8" t="n">
        <x:f>DATE(2026,10,15)-DATE(2019,11,13)</x:f>
        <x:v>2528</x:v>
      </x:c>
      <x:c r="O3312" s="2"/>
      <x:c r="P3312" s="2" t="str">
        <x:v>모니터링보고서 및 검증보고서 내 보안유지 필요부분 구체화 필요</x:v>
      </x:c>
      <x:c r="Q3312" s="2" t="str">
        <x:v>산업전환 외부사업 정보비공개 신청 관리 Tool_260707_LJY_261013.xlsx</x:v>
      </x:c>
      <x:c r="R3312" s="2" t="str">
        <x:v>(비공개)국내인증</x:v>
      </x:c>
      <x:c r="S3312" s="8" t="n">
        <x:v>90</x:v>
      </x:c>
      <x:c r="T3312" s="2"/>
      <x:c r="U3312" s="2" t="str"/>
      <x:c r="V3312" s="2" t="str">
        <x:v>2022-06-02</x:v>
      </x:c>
      <x:c r="W3312" s="2" t="str"/>
      <x:c r="X3312" s="2" t="str">
        <x:v>보완 회신 일정 확인</x:v>
      </x:c>
      <x:c r="Y3312" s="2" t="str">
        <x:v>22df6d619b696c1eba8e26790f6382083d9fb1bc48481283e3e8a92ea6897677</x:v>
      </x:c>
      <x:c r="Z3312" s="2" t="n">
        <x:f>SUBTOTAL(103,A3312)</x:f>
        <x:v>1</x:v>
      </x:c>
      <x:c r="AA3312" s="2" t="str">
        <x:f>IF(K3312&lt;&gt;"미종결 표시","대상 아님",IF(N3312="","신청일 확인",IF(NOT(ISNUMBER('종합 현황'!$H$5)),"관찰기준 확인",IF('종합 현황'!$H$5&lt;1,"관찰기준 확인",IF(N3312&gt;'종합 현황'!$H$5,"내부 관찰 대상","내부 관찰일 이하")))))</x:f>
        <x:v>내부 관찰 대상</x:v>
      </x:c>
      <x:c r="AB3312" s="2"/>
    </x:row>
    <x:row r="3313" ht="42" customHeight="1">
      <x:c r="A3313" s="2" t="str">
        <x:v>ee634e40e8b719ae075bb8cc</x:v>
      </x:c>
      <x:c r="B3313" s="2" t="str">
        <x:v>인증 비공개 신청</x:v>
      </x:c>
      <x:c r="C3313" s="2" t="str">
        <x:v>국내</x:v>
      </x:c>
      <x:c r="D3313" s="7" t="str">
        <x:v>휴켐스 질산공장 N2O 감축사업(휴켐스 주식회사의 질산 공장 세곡에서 tail gas에 포한된 아산화질소를 촉매를 사용하여 제거하는 프로젝트)</x:v>
      </x:c>
      <x:c r="E3313" s="2" t="str">
        <x:v>89</x:v>
      </x:c>
      <x:c r="F3313" s="2" t="str">
        <x:v>2022-06-16</x:v>
      </x:c>
      <x:c r="G3313" s="2" t="str">
        <x:v>2022</x:v>
      </x:c>
      <x:c r="H3313" s="2" t="str">
        <x:v>06</x:v>
      </x:c>
      <x:c r="I3313" s="2" t="str">
        <x:v>반려</x:v>
      </x:c>
      <x:c r="J3313" s="2" t="str">
        <x:v>반려완료</x:v>
      </x:c>
      <x:c r="K3313" s="2" t="str">
        <x:f>IF(OR(J3313="심의승인",J3313="반려",J3313="반려완료",J3313="심의완료"),"종결 표시",IF(OR(J3313="기후부협의",J3313="문서재제출요청",J3313="보류",J3313="보완요청",J3313="보완완료",J3313="평가중",J3313="반려요청",J3313="평가필요",LEFT(J3313,5)="보완요청("),"미종결 표시","상태 확인 필요"))</x:f>
        <x:v>종결 표시</x:v>
      </x:c>
      <x:c r="L3313" s="2" t="str">
        <x:v>KECM_이태준</x:v>
      </x:c>
      <x:c r="M3313" s="2"/>
      <x:c r="N3313" s="8" t="n">
        <x:f>DATE(2026,10,15)-DATE(2022,6,16)</x:f>
        <x:v>1582</x:v>
      </x:c>
      <x:c r="O3313" s="2"/>
      <x:c r="P3313" s="2" t="str">
        <x:v>사업자 반려 요청</x:v>
      </x:c>
      <x:c r="Q3313" s="2" t="str">
        <x:v>산업전환 외부사업 정보비공개 신청 관리 Tool_260707_LJY_261013.xlsx</x:v>
      </x:c>
      <x:c r="R3313" s="2" t="str">
        <x:v>(비공개)국내인증</x:v>
      </x:c>
      <x:c r="S3313" s="8" t="n">
        <x:v>91</x:v>
      </x:c>
      <x:c r="T3313" s="2"/>
      <x:c r="U3313" s="2" t="str"/>
      <x:c r="V3313" s="2" t="str">
        <x:v>2022-09-28</x:v>
      </x:c>
      <x:c r="W3313" s="2" t="str"/>
      <x:c r="X3313" s="2" t="str">
        <x:v>종결 근거 보관</x:v>
      </x:c>
      <x:c r="Y3313" s="2" t="str">
        <x:v>22df6d619b696c1eba8e26790f6382083d9fb1bc48481283e3e8a92ea6897677</x:v>
      </x:c>
      <x:c r="Z3313" s="2" t="n">
        <x:f>SUBTOTAL(103,A3313)</x:f>
        <x:v>1</x:v>
      </x:c>
      <x:c r="AA3313" s="2" t="str">
        <x:f>IF(K3313&lt;&gt;"미종결 표시","대상 아님",IF(N3313="","신청일 확인",IF(NOT(ISNUMBER('종합 현황'!$H$5)),"관찰기준 확인",IF('종합 현황'!$H$5&lt;1,"관찰기준 확인",IF(N3313&gt;'종합 현황'!$H$5,"내부 관찰 대상","내부 관찰일 이하")))))</x:f>
        <x:v>대상 아님</x:v>
      </x:c>
      <x:c r="AB3313" s="2"/>
    </x:row>
    <x:row r="3314" ht="42" customHeight="1">
      <x:c r="A3314" s="2" t="str">
        <x:v>9741e201378071ecf5508347</x:v>
      </x:c>
      <x:c r="B3314" s="2" t="str">
        <x:v>인증 비공개 신청</x:v>
      </x:c>
      <x:c r="C3314" s="2" t="str">
        <x:v>국내</x:v>
      </x:c>
      <x:c r="D3314" s="7" t="str">
        <x:v>산청토기와 버너교체 연료전환(c9+,LPG → LNG)를 통한 온실가스(CO2) 감축사업</x:v>
      </x:c>
      <x:c r="E3314" s="2" t="str">
        <x:v>90</x:v>
      </x:c>
      <x:c r="F3314" s="2" t="str">
        <x:v>2019-09-29</x:v>
      </x:c>
      <x:c r="G3314" s="2" t="str">
        <x:v>2019</x:v>
      </x:c>
      <x:c r="H3314" s="2" t="str">
        <x:v>09</x:v>
      </x:c>
      <x:c r="I3314" s="2" t="str">
        <x:v>보완요청</x:v>
      </x:c>
      <x:c r="J3314" s="2" t="str">
        <x:v>보완요청</x:v>
      </x:c>
      <x:c r="K3314" s="2" t="str">
        <x:f>IF(OR(J3314="심의승인",J3314="반려",J3314="반려완료",J3314="심의완료"),"종결 표시",IF(OR(J3314="기후부협의",J3314="문서재제출요청",J3314="보류",J3314="보완요청",J3314="보완완료",J3314="평가중",J3314="반려요청",J3314="평가필요",LEFT(J3314,5)="보완요청("),"미종결 표시","상태 확인 필요"))</x:f>
        <x:v>미종결 표시</x:v>
      </x:c>
      <x:c r="L3314" s="2" t="str">
        <x:v>KECM_이태준</x:v>
      </x:c>
      <x:c r="M3314" s="2"/>
      <x:c r="N3314" s="8" t="n">
        <x:f>DATE(2026,10,15)-DATE(2019,9,29)</x:f>
        <x:v>2573</x:v>
      </x:c>
      <x:c r="O3314" s="2"/>
      <x:c r="P3314" s="2" t="str">
        <x:v>모니터링보고서 및 검증보고서 내 보안유지 필요부분 구체화 필요</x:v>
      </x:c>
      <x:c r="Q3314" s="2" t="str">
        <x:v>산업전환 외부사업 정보비공개 신청 관리 Tool_260707_LJY_261013.xlsx</x:v>
      </x:c>
      <x:c r="R3314" s="2" t="str">
        <x:v>(비공개)국내인증</x:v>
      </x:c>
      <x:c r="S3314" s="8" t="n">
        <x:v>92</x:v>
      </x:c>
      <x:c r="T3314" s="2"/>
      <x:c r="U3314" s="2" t="str"/>
      <x:c r="V3314" s="2" t="str">
        <x:v>2022-06-02</x:v>
      </x:c>
      <x:c r="W3314" s="2" t="str"/>
      <x:c r="X3314" s="2" t="str">
        <x:v>보완 회신 일정 확인</x:v>
      </x:c>
      <x:c r="Y3314" s="2" t="str">
        <x:v>22df6d619b696c1eba8e26790f6382083d9fb1bc48481283e3e8a92ea6897677</x:v>
      </x:c>
      <x:c r="Z3314" s="2" t="n">
        <x:f>SUBTOTAL(103,A3314)</x:f>
        <x:v>1</x:v>
      </x:c>
      <x:c r="AA3314" s="2" t="str">
        <x:f>IF(K3314&lt;&gt;"미종결 표시","대상 아님",IF(N3314="","신청일 확인",IF(NOT(ISNUMBER('종합 현황'!$H$5)),"관찰기준 확인",IF('종합 현황'!$H$5&lt;1,"관찰기준 확인",IF(N3314&gt;'종합 현황'!$H$5,"내부 관찰 대상","내부 관찰일 이하")))))</x:f>
        <x:v>내부 관찰 대상</x:v>
      </x:c>
      <x:c r="AB3314" s="2"/>
    </x:row>
    <x:row r="3315" ht="42" customHeight="1">
      <x:c r="A3315" s="2" t="str">
        <x:v>51c9ab8dd1e3244c04372708</x:v>
      </x:c>
      <x:c r="B3315" s="2" t="str">
        <x:v>인증 비공개 신청</x:v>
      </x:c>
      <x:c r="C3315" s="2" t="str">
        <x:v>국내</x:v>
      </x:c>
      <x:c r="D3315" s="7" t="str">
        <x:v>정암산업 버너 교체를 통한 연료전환 사업 (콘크리트 파일 생산)</x:v>
      </x:c>
      <x:c r="E3315" s="2" t="str">
        <x:v>91</x:v>
      </x:c>
      <x:c r="F3315" s="2" t="str">
        <x:v>2019-09-22</x:v>
      </x:c>
      <x:c r="G3315" s="2" t="str">
        <x:v>2019</x:v>
      </x:c>
      <x:c r="H3315" s="2" t="str">
        <x:v>09</x:v>
      </x:c>
      <x:c r="I3315" s="2" t="str">
        <x:v>보완요청</x:v>
      </x:c>
      <x:c r="J3315" s="2" t="str">
        <x:v>보완요청</x:v>
      </x:c>
      <x:c r="K3315" s="2" t="str">
        <x:f>IF(OR(J3315="심의승인",J3315="반려",J3315="반려완료",J3315="심의완료"),"종결 표시",IF(OR(J3315="기후부협의",J3315="문서재제출요청",J3315="보류",J3315="보완요청",J3315="보완완료",J3315="평가중",J3315="반려요청",J3315="평가필요",LEFT(J3315,5)="보완요청("),"미종결 표시","상태 확인 필요"))</x:f>
        <x:v>미종결 표시</x:v>
      </x:c>
      <x:c r="L3315" s="2" t="str">
        <x:v>KECM_이태준</x:v>
      </x:c>
      <x:c r="M3315" s="2"/>
      <x:c r="N3315" s="8" t="n">
        <x:f>DATE(2026,10,15)-DATE(2019,9,22)</x:f>
        <x:v>2580</x:v>
      </x:c>
      <x:c r="O3315" s="2"/>
      <x:c r="P3315" s="2" t="str">
        <x:v>모니터링보고서 및 검증보고서 내 보안유지 필요부분 구체화 필요</x:v>
      </x:c>
      <x:c r="Q3315" s="2" t="str">
        <x:v>산업전환 외부사업 정보비공개 신청 관리 Tool_260707_LJY_261013.xlsx</x:v>
      </x:c>
      <x:c r="R3315" s="2" t="str">
        <x:v>(비공개)국내인증</x:v>
      </x:c>
      <x:c r="S3315" s="8" t="n">
        <x:v>93</x:v>
      </x:c>
      <x:c r="T3315" s="2"/>
      <x:c r="U3315" s="2" t="str"/>
      <x:c r="V3315" s="2" t="str">
        <x:v>2022-06-02</x:v>
      </x:c>
      <x:c r="W3315" s="2" t="str"/>
      <x:c r="X3315" s="2" t="str">
        <x:v>보완 회신 일정 확인</x:v>
      </x:c>
      <x:c r="Y3315" s="2" t="str">
        <x:v>22df6d619b696c1eba8e26790f6382083d9fb1bc48481283e3e8a92ea6897677</x:v>
      </x:c>
      <x:c r="Z3315" s="2" t="n">
        <x:f>SUBTOTAL(103,A3315)</x:f>
        <x:v>1</x:v>
      </x:c>
      <x:c r="AA3315" s="2" t="str">
        <x:f>IF(K3315&lt;&gt;"미종결 표시","대상 아님",IF(N3315="","신청일 확인",IF(NOT(ISNUMBER('종합 현황'!$H$5)),"관찰기준 확인",IF('종합 현황'!$H$5&lt;1,"관찰기준 확인",IF(N3315&gt;'종합 현황'!$H$5,"내부 관찰 대상","내부 관찰일 이하")))))</x:f>
        <x:v>내부 관찰 대상</x:v>
      </x:c>
      <x:c r="AB3315" s="2"/>
    </x:row>
    <x:row r="3316" ht="42" customHeight="1">
      <x:c r="A3316" s="2" t="str">
        <x:v>7e1593e29821ad7e7648fc47</x:v>
      </x:c>
      <x:c r="B3316" s="2" t="str">
        <x:v>인증 비공개 신청</x:v>
      </x:c>
      <x:c r="C3316" s="2" t="str">
        <x:v>국내</x:v>
      </x:c>
      <x:c r="D3316" s="7" t="str">
        <x:v>정암산업 버너 교체를 통한 연료전환 사업 (아스콘 생산)</x:v>
      </x:c>
      <x:c r="E3316" s="2" t="str">
        <x:v>92</x:v>
      </x:c>
      <x:c r="F3316" s="2" t="str">
        <x:v>2019-09-22</x:v>
      </x:c>
      <x:c r="G3316" s="2" t="str">
        <x:v>2019</x:v>
      </x:c>
      <x:c r="H3316" s="2" t="str">
        <x:v>09</x:v>
      </x:c>
      <x:c r="I3316" s="2" t="str">
        <x:v>보완요청</x:v>
      </x:c>
      <x:c r="J3316" s="2" t="str">
        <x:v>보완요청</x:v>
      </x:c>
      <x:c r="K3316" s="2" t="str">
        <x:f>IF(OR(J3316="심의승인",J3316="반려",J3316="반려완료",J3316="심의완료"),"종결 표시",IF(OR(J3316="기후부협의",J3316="문서재제출요청",J3316="보류",J3316="보완요청",J3316="보완완료",J3316="평가중",J3316="반려요청",J3316="평가필요",LEFT(J3316,5)="보완요청("),"미종결 표시","상태 확인 필요"))</x:f>
        <x:v>미종결 표시</x:v>
      </x:c>
      <x:c r="L3316" s="2" t="str">
        <x:v>KECM_이태준</x:v>
      </x:c>
      <x:c r="M3316" s="2"/>
      <x:c r="N3316" s="8" t="n">
        <x:f>DATE(2026,10,15)-DATE(2019,9,22)</x:f>
        <x:v>2580</x:v>
      </x:c>
      <x:c r="O3316" s="2"/>
      <x:c r="P3316" s="2" t="str">
        <x:v>모니터링보고서 및 검증보고서 내 보안유지 필요부분 구체화 필요</x:v>
      </x:c>
      <x:c r="Q3316" s="2" t="str">
        <x:v>산업전환 외부사업 정보비공개 신청 관리 Tool_260707_LJY_261013.xlsx</x:v>
      </x:c>
      <x:c r="R3316" s="2" t="str">
        <x:v>(비공개)국내인증</x:v>
      </x:c>
      <x:c r="S3316" s="8" t="n">
        <x:v>94</x:v>
      </x:c>
      <x:c r="T3316" s="2"/>
      <x:c r="U3316" s="2" t="str"/>
      <x:c r="V3316" s="2" t="str">
        <x:v>2022-06-02</x:v>
      </x:c>
      <x:c r="W3316" s="2" t="str"/>
      <x:c r="X3316" s="2" t="str">
        <x:v>보완 회신 일정 확인</x:v>
      </x:c>
      <x:c r="Y3316" s="2" t="str">
        <x:v>22df6d619b696c1eba8e26790f6382083d9fb1bc48481283e3e8a92ea6897677</x:v>
      </x:c>
      <x:c r="Z3316" s="2" t="n">
        <x:f>SUBTOTAL(103,A3316)</x:f>
        <x:v>1</x:v>
      </x:c>
      <x:c r="AA3316" s="2" t="str">
        <x:f>IF(K3316&lt;&gt;"미종결 표시","대상 아님",IF(N3316="","신청일 확인",IF(NOT(ISNUMBER('종합 현황'!$H$5)),"관찰기준 확인",IF('종합 현황'!$H$5&lt;1,"관찰기준 확인",IF(N3316&gt;'종합 현황'!$H$5,"내부 관찰 대상","내부 관찰일 이하")))))</x:f>
        <x:v>내부 관찰 대상</x:v>
      </x:c>
      <x:c r="AB3316" s="2"/>
    </x:row>
    <x:row r="3317" ht="42" customHeight="1">
      <x:c r="A3317" s="2" t="str">
        <x:v>6a415d70970a9559dedf0af4</x:v>
      </x:c>
      <x:c r="B3317" s="2" t="str">
        <x:v>인증 비공개 신청</x:v>
      </x:c>
      <x:c r="C3317" s="2" t="str">
        <x:v>국내</x:v>
      </x:c>
      <x:c r="D3317" s="7" t="str">
        <x:v>카프로 N2O 저감 사업</x:v>
      </x:c>
      <x:c r="E3317" s="2" t="str">
        <x:v>93</x:v>
      </x:c>
      <x:c r="F3317" s="2" t="str">
        <x:v>2024-01-24</x:v>
      </x:c>
      <x:c r="G3317" s="2" t="str">
        <x:v>2024</x:v>
      </x:c>
      <x:c r="H3317" s="2" t="str">
        <x:v>01</x:v>
      </x:c>
      <x:c r="I3317" s="2" t="str">
        <x:v>반려</x:v>
      </x:c>
      <x:c r="J3317" s="2" t="str">
        <x:v>반려완료</x:v>
      </x:c>
      <x:c r="K3317" s="2" t="str">
        <x:f>IF(OR(J3317="심의승인",J3317="반려",J3317="반려완료",J3317="심의완료"),"종결 표시",IF(OR(J3317="기후부협의",J3317="문서재제출요청",J3317="보류",J3317="보완요청",J3317="보완완료",J3317="평가중",J3317="반려요청",J3317="평가필요",LEFT(J3317,5)="보완요청("),"미종결 표시","상태 확인 필요"))</x:f>
        <x:v>종결 표시</x:v>
      </x:c>
      <x:c r="L3317" s="2" t="str">
        <x:v>KECM_이태준</x:v>
      </x:c>
      <x:c r="M3317" s="2"/>
      <x:c r="N3317" s="8" t="n">
        <x:f>DATE(2026,10,15)-DATE(2024,1,24)</x:f>
        <x:v>995</x:v>
      </x:c>
      <x:c r="O3317" s="2"/>
      <x:c r="P3317" s="2" t="str">
        <x:v>반려 완료</x:v>
      </x:c>
      <x:c r="Q3317" s="2" t="str">
        <x:v>산업전환 외부사업 정보비공개 신청 관리 Tool_260707_LJY_261013.xlsx</x:v>
      </x:c>
      <x:c r="R3317" s="2" t="str">
        <x:v>(비공개)국내인증</x:v>
      </x:c>
      <x:c r="S3317" s="8" t="n">
        <x:v>95</x:v>
      </x:c>
      <x:c r="T3317" s="2"/>
      <x:c r="U3317" s="2" t="str"/>
      <x:c r="V3317" s="2" t="str">
        <x:v>2024-06-17</x:v>
      </x:c>
      <x:c r="W3317" s="2" t="str"/>
      <x:c r="X3317" s="2" t="str">
        <x:v>종결 근거 보관</x:v>
      </x:c>
      <x:c r="Y3317" s="2" t="str">
        <x:v>22df6d619b696c1eba8e26790f6382083d9fb1bc48481283e3e8a92ea6897677</x:v>
      </x:c>
      <x:c r="Z3317" s="2" t="n">
        <x:f>SUBTOTAL(103,A3317)</x:f>
        <x:v>1</x:v>
      </x:c>
      <x:c r="AA3317" s="2" t="str">
        <x:f>IF(K3317&lt;&gt;"미종결 표시","대상 아님",IF(N3317="","신청일 확인",IF(NOT(ISNUMBER('종합 현황'!$H$5)),"관찰기준 확인",IF('종합 현황'!$H$5&lt;1,"관찰기준 확인",IF(N3317&gt;'종합 현황'!$H$5,"내부 관찰 대상","내부 관찰일 이하")))))</x:f>
        <x:v>대상 아님</x:v>
      </x:c>
      <x:c r="AB3317" s="2"/>
    </x:row>
    <x:row r="3318" ht="42" customHeight="1">
      <x:c r="A3318" s="2" t="str">
        <x:v>bb6d8ee35853213af5e206eb</x:v>
      </x:c>
      <x:c r="B3318" s="2" t="str">
        <x:v>인증 비공개 신청</x:v>
      </x:c>
      <x:c r="C3318" s="2" t="str">
        <x:v>국내</x:v>
      </x:c>
      <x:c r="D3318" s="7" t="str">
        <x:v>한국유에스지보랄 소성공정 연료전환(B-C유에서 LNG)을 통한 온실가스 감축사업</x:v>
      </x:c>
      <x:c r="E3318" s="2" t="str">
        <x:v>94</x:v>
      </x:c>
      <x:c r="F3318" s="2" t="str">
        <x:v>2019-08-06</x:v>
      </x:c>
      <x:c r="G3318" s="2" t="str">
        <x:v>2019</x:v>
      </x:c>
      <x:c r="H3318" s="2" t="str">
        <x:v>08</x:v>
      </x:c>
      <x:c r="I3318" s="2" t="str">
        <x:v>보완요청</x:v>
      </x:c>
      <x:c r="J3318" s="2" t="str">
        <x:v>보완요청</x:v>
      </x:c>
      <x:c r="K3318" s="2" t="str">
        <x:f>IF(OR(J3318="심의승인",J3318="반려",J3318="반려완료",J3318="심의완료"),"종결 표시",IF(OR(J3318="기후부협의",J3318="문서재제출요청",J3318="보류",J3318="보완요청",J3318="보완완료",J3318="평가중",J3318="반려요청",J3318="평가필요",LEFT(J3318,5)="보완요청("),"미종결 표시","상태 확인 필요"))</x:f>
        <x:v>미종결 표시</x:v>
      </x:c>
      <x:c r="L3318" s="2" t="str">
        <x:v>KECM_이태준</x:v>
      </x:c>
      <x:c r="M3318" s="2"/>
      <x:c r="N3318" s="8" t="n">
        <x:f>DATE(2026,10,15)-DATE(2019,8,6)</x:f>
        <x:v>2627</x:v>
      </x:c>
      <x:c r="O3318" s="2"/>
      <x:c r="P3318" s="2" t="str">
        <x:v>모니터링보고서 및 검증보고서 내 보안유지 필요부분 구체화 필요</x:v>
      </x:c>
      <x:c r="Q3318" s="2" t="str">
        <x:v>산업전환 외부사업 정보비공개 신청 관리 Tool_260707_LJY_261013.xlsx</x:v>
      </x:c>
      <x:c r="R3318" s="2" t="str">
        <x:v>(비공개)국내인증</x:v>
      </x:c>
      <x:c r="S3318" s="8" t="n">
        <x:v>96</x:v>
      </x:c>
      <x:c r="T3318" s="2"/>
      <x:c r="U3318" s="2" t="str"/>
      <x:c r="V3318" s="2" t="str">
        <x:v>2022-06-02</x:v>
      </x:c>
      <x:c r="W3318" s="2" t="str"/>
      <x:c r="X3318" s="2" t="str">
        <x:v>보완 회신 일정 확인</x:v>
      </x:c>
      <x:c r="Y3318" s="2" t="str">
        <x:v>22df6d619b696c1eba8e26790f6382083d9fb1bc48481283e3e8a92ea6897677</x:v>
      </x:c>
      <x:c r="Z3318" s="2" t="n">
        <x:f>SUBTOTAL(103,A3318)</x:f>
        <x:v>1</x:v>
      </x:c>
      <x:c r="AA3318" s="2" t="str">
        <x:f>IF(K3318&lt;&gt;"미종결 표시","대상 아님",IF(N3318="","신청일 확인",IF(NOT(ISNUMBER('종합 현황'!$H$5)),"관찰기준 확인",IF('종합 현황'!$H$5&lt;1,"관찰기준 확인",IF(N3318&gt;'종합 현황'!$H$5,"내부 관찰 대상","내부 관찰일 이하")))))</x:f>
        <x:v>내부 관찰 대상</x:v>
      </x:c>
      <x:c r="AB3318" s="2"/>
    </x:row>
    <x:row r="3319" ht="42" customHeight="1">
      <x:c r="A3319" s="2" t="str">
        <x:v>39d2c810cfce2f8ac4a109c2</x:v>
      </x:c>
      <x:c r="B3319" s="2" t="str">
        <x:v>인증 비공개 신청</x:v>
      </x:c>
      <x:c r="C3319" s="2" t="str">
        <x:v>국내</x:v>
      </x:c>
      <x:c r="D3319" s="7" t="str">
        <x:v>청우테크 반사로 버너(정제유, LNG)에서 순산소-LNG버너로의 설비 성능개선을 통한 온실가스 감축 사업</x:v>
      </x:c>
      <x:c r="E3319" s="2" t="str">
        <x:v>95</x:v>
      </x:c>
      <x:c r="F3319" s="2" t="str">
        <x:v>2019-08-01</x:v>
      </x:c>
      <x:c r="G3319" s="2" t="str">
        <x:v>2019</x:v>
      </x:c>
      <x:c r="H3319" s="2" t="str">
        <x:v>08</x:v>
      </x:c>
      <x:c r="I3319" s="2" t="str">
        <x:v>보완요청</x:v>
      </x:c>
      <x:c r="J3319" s="2" t="str">
        <x:v>보완요청</x:v>
      </x:c>
      <x:c r="K3319" s="2" t="str">
        <x:f>IF(OR(J3319="심의승인",J3319="반려",J3319="반려완료",J3319="심의완료"),"종결 표시",IF(OR(J3319="기후부협의",J3319="문서재제출요청",J3319="보류",J3319="보완요청",J3319="보완완료",J3319="평가중",J3319="반려요청",J3319="평가필요",LEFT(J3319,5)="보완요청("),"미종결 표시","상태 확인 필요"))</x:f>
        <x:v>미종결 표시</x:v>
      </x:c>
      <x:c r="L3319" s="2" t="str">
        <x:v>KECM_이태준</x:v>
      </x:c>
      <x:c r="M3319" s="2"/>
      <x:c r="N3319" s="8" t="n">
        <x:f>DATE(2026,10,15)-DATE(2019,8,1)</x:f>
        <x:v>2632</x:v>
      </x:c>
      <x:c r="O3319" s="2"/>
      <x:c r="P3319" s="2" t="str">
        <x:v>모니터링보고서 및 검증보고서 내 보안유지 필요부분 구체화 필요</x:v>
      </x:c>
      <x:c r="Q3319" s="2" t="str">
        <x:v>산업전환 외부사업 정보비공개 신청 관리 Tool_260707_LJY_261013.xlsx</x:v>
      </x:c>
      <x:c r="R3319" s="2" t="str">
        <x:v>(비공개)국내인증</x:v>
      </x:c>
      <x:c r="S3319" s="8" t="n">
        <x:v>97</x:v>
      </x:c>
      <x:c r="T3319" s="2"/>
      <x:c r="U3319" s="2" t="str"/>
      <x:c r="V3319" s="2" t="str">
        <x:v>2022-06-02</x:v>
      </x:c>
      <x:c r="W3319" s="2" t="str"/>
      <x:c r="X3319" s="2" t="str">
        <x:v>보완 회신 일정 확인</x:v>
      </x:c>
      <x:c r="Y3319" s="2" t="str">
        <x:v>22df6d619b696c1eba8e26790f6382083d9fb1bc48481283e3e8a92ea6897677</x:v>
      </x:c>
      <x:c r="Z3319" s="2" t="n">
        <x:f>SUBTOTAL(103,A3319)</x:f>
        <x:v>1</x:v>
      </x:c>
      <x:c r="AA3319" s="2" t="str">
        <x:f>IF(K3319&lt;&gt;"미종결 표시","대상 아님",IF(N3319="","신청일 확인",IF(NOT(ISNUMBER('종합 현황'!$H$5)),"관찰기준 확인",IF('종합 현황'!$H$5&lt;1,"관찰기준 확인",IF(N3319&gt;'종합 현황'!$H$5,"내부 관찰 대상","내부 관찰일 이하")))))</x:f>
        <x:v>내부 관찰 대상</x:v>
      </x:c>
      <x:c r="AB3319" s="2"/>
    </x:row>
    <x:row r="3320" ht="42" customHeight="1">
      <x:c r="A3320" s="2" t="str">
        <x:v>3204effa4306fba1a4d815cf</x:v>
      </x:c>
      <x:c r="B3320" s="2" t="str">
        <x:v>인증 비공개 신청</x:v>
      </x:c>
      <x:c r="C3320" s="2" t="str">
        <x:v>국내</x:v>
      </x:c>
      <x:c r="D3320" s="7" t="str">
        <x:v>성암 스팀보일러 연료교체(B-C유 -&gt; LNG)를 통한 온실가스 배출 감축사업</x:v>
      </x:c>
      <x:c r="E3320" s="2" t="str">
        <x:v>96</x:v>
      </x:c>
      <x:c r="F3320" s="2" t="str">
        <x:v>2019-07-10</x:v>
      </x:c>
      <x:c r="G3320" s="2" t="str">
        <x:v>2019</x:v>
      </x:c>
      <x:c r="H3320" s="2" t="str">
        <x:v>07</x:v>
      </x:c>
      <x:c r="I3320" s="2" t="str">
        <x:v>보완요청</x:v>
      </x:c>
      <x:c r="J3320" s="2" t="str">
        <x:v>보완요청</x:v>
      </x:c>
      <x:c r="K3320" s="2" t="str">
        <x:f>IF(OR(J3320="심의승인",J3320="반려",J3320="반려완료",J3320="심의완료"),"종결 표시",IF(OR(J3320="기후부협의",J3320="문서재제출요청",J3320="보류",J3320="보완요청",J3320="보완완료",J3320="평가중",J3320="반려요청",J3320="평가필요",LEFT(J3320,5)="보완요청("),"미종결 표시","상태 확인 필요"))</x:f>
        <x:v>미종결 표시</x:v>
      </x:c>
      <x:c r="L3320" s="2" t="str">
        <x:v>KECM_이태준</x:v>
      </x:c>
      <x:c r="M3320" s="2"/>
      <x:c r="N3320" s="8" t="n">
        <x:f>DATE(2026,10,15)-DATE(2019,7,10)</x:f>
        <x:v>2654</x:v>
      </x:c>
      <x:c r="O3320" s="2"/>
      <x:c r="P3320" s="2" t="str">
        <x:v>모니터링보고서 및 검증보고서 내 보안유지 필요부분 구체화 필요</x:v>
      </x:c>
      <x:c r="Q3320" s="2" t="str">
        <x:v>산업전환 외부사업 정보비공개 신청 관리 Tool_260707_LJY_261013.xlsx</x:v>
      </x:c>
      <x:c r="R3320" s="2" t="str">
        <x:v>(비공개)국내인증</x:v>
      </x:c>
      <x:c r="S3320" s="8" t="n">
        <x:v>98</x:v>
      </x:c>
      <x:c r="T3320" s="2"/>
      <x:c r="U3320" s="2" t="str"/>
      <x:c r="V3320" s="2" t="str">
        <x:v>2022-06-02</x:v>
      </x:c>
      <x:c r="W3320" s="2" t="str"/>
      <x:c r="X3320" s="2" t="str">
        <x:v>보완 회신 일정 확인</x:v>
      </x:c>
      <x:c r="Y3320" s="2" t="str">
        <x:v>22df6d619b696c1eba8e26790f6382083d9fb1bc48481283e3e8a92ea6897677</x:v>
      </x:c>
      <x:c r="Z3320" s="2" t="n">
        <x:f>SUBTOTAL(103,A3320)</x:f>
        <x:v>1</x:v>
      </x:c>
      <x:c r="AA3320" s="2" t="str">
        <x:f>IF(K3320&lt;&gt;"미종결 표시","대상 아님",IF(N3320="","신청일 확인",IF(NOT(ISNUMBER('종합 현황'!$H$5)),"관찰기준 확인",IF('종합 현황'!$H$5&lt;1,"관찰기준 확인",IF(N3320&gt;'종합 현황'!$H$5,"내부 관찰 대상","내부 관찰일 이하")))))</x:f>
        <x:v>내부 관찰 대상</x:v>
      </x:c>
      <x:c r="AB3320" s="2"/>
    </x:row>
    <x:row r="3321" ht="42" customHeight="1">
      <x:c r="A3321" s="2" t="str">
        <x:v>8e955facce159aae633277b3</x:v>
      </x:c>
      <x:c r="B3321" s="2" t="str">
        <x:v>인증 비공개 신청</x:v>
      </x:c>
      <x:c r="C3321" s="2" t="str">
        <x:v>국내</x:v>
      </x:c>
      <x:c r="D3321" s="7" t="str">
        <x:v>성암아스콘 건조로 연료교체(B-C유 -&gt; LNG)를 통한 온실가스 배출 감축사업</x:v>
      </x:c>
      <x:c r="E3321" s="2" t="str">
        <x:v>97</x:v>
      </x:c>
      <x:c r="F3321" s="2" t="str">
        <x:v>2019-07-10</x:v>
      </x:c>
      <x:c r="G3321" s="2" t="str">
        <x:v>2019</x:v>
      </x:c>
      <x:c r="H3321" s="2" t="str">
        <x:v>07</x:v>
      </x:c>
      <x:c r="I3321" s="2" t="str">
        <x:v>보완요청</x:v>
      </x:c>
      <x:c r="J3321" s="2" t="str">
        <x:v>보완요청</x:v>
      </x:c>
      <x:c r="K3321" s="2" t="str">
        <x:f>IF(OR(J3321="심의승인",J3321="반려",J3321="반려완료",J3321="심의완료"),"종결 표시",IF(OR(J3321="기후부협의",J3321="문서재제출요청",J3321="보류",J3321="보완요청",J3321="보완완료",J3321="평가중",J3321="반려요청",J3321="평가필요",LEFT(J3321,5)="보완요청("),"미종결 표시","상태 확인 필요"))</x:f>
        <x:v>미종결 표시</x:v>
      </x:c>
      <x:c r="L3321" s="2" t="str">
        <x:v>KECM_임하진</x:v>
      </x:c>
      <x:c r="M3321" s="2"/>
      <x:c r="N3321" s="8" t="n">
        <x:f>DATE(2026,10,15)-DATE(2019,7,10)</x:f>
        <x:v>2654</x:v>
      </x:c>
      <x:c r="O3321" s="2"/>
      <x:c r="P3321" s="2" t="str">
        <x:v>모니터링보고서 및 검증보고서 내 보안유지 필요부분 구체화 필요</x:v>
      </x:c>
      <x:c r="Q3321" s="2" t="str">
        <x:v>산업전환 외부사업 정보비공개 신청 관리 Tool_260707_LJY_261013.xlsx</x:v>
      </x:c>
      <x:c r="R3321" s="2" t="str">
        <x:v>(비공개)국내인증</x:v>
      </x:c>
      <x:c r="S3321" s="8" t="n">
        <x:v>99</x:v>
      </x:c>
      <x:c r="T3321" s="2"/>
      <x:c r="U3321" s="2" t="str"/>
      <x:c r="V3321" s="2" t="str">
        <x:v>2022-06-02</x:v>
      </x:c>
      <x:c r="W3321" s="2" t="str"/>
      <x:c r="X3321" s="2" t="str">
        <x:v>보완 회신 일정 확인</x:v>
      </x:c>
      <x:c r="Y3321" s="2" t="str">
        <x:v>22df6d619b696c1eba8e26790f6382083d9fb1bc48481283e3e8a92ea6897677</x:v>
      </x:c>
      <x:c r="Z3321" s="2" t="n">
        <x:f>SUBTOTAL(103,A3321)</x:f>
        <x:v>1</x:v>
      </x:c>
      <x:c r="AA3321" s="2" t="str">
        <x:f>IF(K3321&lt;&gt;"미종결 표시","대상 아님",IF(N3321="","신청일 확인",IF(NOT(ISNUMBER('종합 현황'!$H$5)),"관찰기준 확인",IF('종합 현황'!$H$5&lt;1,"관찰기준 확인",IF(N3321&gt;'종합 현황'!$H$5,"내부 관찰 대상","내부 관찰일 이하")))))</x:f>
        <x:v>내부 관찰 대상</x:v>
      </x:c>
      <x:c r="AB3321" s="2"/>
    </x:row>
    <x:row r="3322" ht="42" customHeight="1">
      <x:c r="A3322" s="2" t="str">
        <x:v>a2fe42e07e9be7e8e23dc186</x:v>
      </x:c>
      <x:c r="B3322" s="2" t="str">
        <x:v>인증 비공개 신청</x:v>
      </x:c>
      <x:c r="C3322" s="2" t="str">
        <x:v>국내</x:v>
      </x:c>
      <x:c r="D3322" s="7" t="str">
        <x:v>삼화판지 보일러의 연료전환 (B-C유→LNG)를 통한 온실가스 감축사업</x:v>
      </x:c>
      <x:c r="E3322" s="2" t="str">
        <x:v>98</x:v>
      </x:c>
      <x:c r="F3322" s="2" t="str">
        <x:v>2019-05-31</x:v>
      </x:c>
      <x:c r="G3322" s="2" t="str">
        <x:v>2019</x:v>
      </x:c>
      <x:c r="H3322" s="2" t="str">
        <x:v>05</x:v>
      </x:c>
      <x:c r="I3322" s="2" t="str">
        <x:v>보완요청</x:v>
      </x:c>
      <x:c r="J3322" s="2" t="str">
        <x:v>보완요청</x:v>
      </x:c>
      <x:c r="K3322" s="2" t="str">
        <x:f>IF(OR(J3322="심의승인",J3322="반려",J3322="반려완료",J3322="심의완료"),"종결 표시",IF(OR(J3322="기후부협의",J3322="문서재제출요청",J3322="보류",J3322="보완요청",J3322="보완완료",J3322="평가중",J3322="반려요청",J3322="평가필요",LEFT(J3322,5)="보완요청("),"미종결 표시","상태 확인 필요"))</x:f>
        <x:v>미종결 표시</x:v>
      </x:c>
      <x:c r="L3322" s="2" t="str">
        <x:v>KECM_임하진</x:v>
      </x:c>
      <x:c r="M3322" s="2"/>
      <x:c r="N3322" s="8" t="n">
        <x:f>DATE(2026,10,15)-DATE(2019,5,31)</x:f>
        <x:v>2694</x:v>
      </x:c>
      <x:c r="O3322" s="2"/>
      <x:c r="P3322" s="2" t="str">
        <x:v>모니터링보고서 및 검증보고서 내 보안유지 필요부분 구체화 필요</x:v>
      </x:c>
      <x:c r="Q3322" s="2" t="str">
        <x:v>산업전환 외부사업 정보비공개 신청 관리 Tool_260707_LJY_261013.xlsx</x:v>
      </x:c>
      <x:c r="R3322" s="2" t="str">
        <x:v>(비공개)국내인증</x:v>
      </x:c>
      <x:c r="S3322" s="8" t="n">
        <x:v>100</x:v>
      </x:c>
      <x:c r="T3322" s="2"/>
      <x:c r="U3322" s="2" t="str"/>
      <x:c r="V3322" s="2" t="str">
        <x:v>2022-06-02</x:v>
      </x:c>
      <x:c r="W3322" s="2" t="str"/>
      <x:c r="X3322" s="2" t="str">
        <x:v>보완 회신 일정 확인</x:v>
      </x:c>
      <x:c r="Y3322" s="2" t="str">
        <x:v>22df6d619b696c1eba8e26790f6382083d9fb1bc48481283e3e8a92ea6897677</x:v>
      </x:c>
      <x:c r="Z3322" s="2" t="n">
        <x:f>SUBTOTAL(103,A3322)</x:f>
        <x:v>1</x:v>
      </x:c>
      <x:c r="AA3322" s="2" t="str">
        <x:f>IF(K3322&lt;&gt;"미종결 표시","대상 아님",IF(N3322="","신청일 확인",IF(NOT(ISNUMBER('종합 현황'!$H$5)),"관찰기준 확인",IF('종합 현황'!$H$5&lt;1,"관찰기준 확인",IF(N3322&gt;'종합 현황'!$H$5,"내부 관찰 대상","내부 관찰일 이하")))))</x:f>
        <x:v>내부 관찰 대상</x:v>
      </x:c>
      <x:c r="AB3322" s="2"/>
    </x:row>
    <x:row r="3323" ht="42" customHeight="1">
      <x:c r="A3323" s="2" t="str">
        <x:v>38989911c70251eee2bcfa96</x:v>
      </x:c>
      <x:c r="B3323" s="2" t="str">
        <x:v>인증 비공개 신청</x:v>
      </x:c>
      <x:c r="C3323" s="2" t="str">
        <x:v>국내</x:v>
      </x:c>
      <x:c r="D3323" s="7" t="str">
        <x:v>남양아스콘(주) 버너연료를 B-C유에서 LNG로 연료 전환 하는 온실가스감축사업</x:v>
      </x:c>
      <x:c r="E3323" s="2" t="str">
        <x:v>99</x:v>
      </x:c>
      <x:c r="F3323" s="2" t="str">
        <x:v>2019-04-19</x:v>
      </x:c>
      <x:c r="G3323" s="2" t="str">
        <x:v>2019</x:v>
      </x:c>
      <x:c r="H3323" s="2" t="str">
        <x:v>04</x:v>
      </x:c>
      <x:c r="I3323" s="2" t="str">
        <x:v>보완요청</x:v>
      </x:c>
      <x:c r="J3323" s="2" t="str">
        <x:v>보완요청</x:v>
      </x:c>
      <x:c r="K3323" s="2" t="str">
        <x:f>IF(OR(J3323="심의승인",J3323="반려",J3323="반려완료",J3323="심의완료"),"종결 표시",IF(OR(J3323="기후부협의",J3323="문서재제출요청",J3323="보류",J3323="보완요청",J3323="보완완료",J3323="평가중",J3323="반려요청",J3323="평가필요",LEFT(J3323,5)="보완요청("),"미종결 표시","상태 확인 필요"))</x:f>
        <x:v>미종결 표시</x:v>
      </x:c>
      <x:c r="L3323" s="2" t="str">
        <x:v>KECM_임하진</x:v>
      </x:c>
      <x:c r="M3323" s="2"/>
      <x:c r="N3323" s="8" t="n">
        <x:f>DATE(2026,10,15)-DATE(2019,4,19)</x:f>
        <x:v>2736</x:v>
      </x:c>
      <x:c r="O3323" s="2"/>
      <x:c r="P3323" s="2" t="str">
        <x:v>모니터링보고서 및 검증보고서 내 보안유지 필요부분 구체화 필요</x:v>
      </x:c>
      <x:c r="Q3323" s="2" t="str">
        <x:v>산업전환 외부사업 정보비공개 신청 관리 Tool_260707_LJY_261013.xlsx</x:v>
      </x:c>
      <x:c r="R3323" s="2" t="str">
        <x:v>(비공개)국내인증</x:v>
      </x:c>
      <x:c r="S3323" s="8" t="n">
        <x:v>101</x:v>
      </x:c>
      <x:c r="T3323" s="2"/>
      <x:c r="U3323" s="2" t="str"/>
      <x:c r="V3323" s="2" t="str">
        <x:v>2022-06-07</x:v>
      </x:c>
      <x:c r="W3323" s="2" t="str"/>
      <x:c r="X3323" s="2" t="str">
        <x:v>보완 회신 일정 확인</x:v>
      </x:c>
      <x:c r="Y3323" s="2" t="str">
        <x:v>22df6d619b696c1eba8e26790f6382083d9fb1bc48481283e3e8a92ea6897677</x:v>
      </x:c>
      <x:c r="Z3323" s="2" t="n">
        <x:f>SUBTOTAL(103,A3323)</x:f>
        <x:v>1</x:v>
      </x:c>
      <x:c r="AA3323" s="2" t="str">
        <x:f>IF(K3323&lt;&gt;"미종결 표시","대상 아님",IF(N3323="","신청일 확인",IF(NOT(ISNUMBER('종합 현황'!$H$5)),"관찰기준 확인",IF('종합 현황'!$H$5&lt;1,"관찰기준 확인",IF(N3323&gt;'종합 현황'!$H$5,"내부 관찰 대상","내부 관찰일 이하")))))</x:f>
        <x:v>내부 관찰 대상</x:v>
      </x:c>
      <x:c r="AB3323" s="2"/>
    </x:row>
    <x:row r="3324" ht="42" customHeight="1">
      <x:c r="A3324" s="2" t="str">
        <x:v>fed731b6a09d0850156ac263</x:v>
      </x:c>
      <x:c r="B3324" s="2" t="str">
        <x:v>인증 비공개 신청</x:v>
      </x:c>
      <x:c r="C3324" s="2" t="str">
        <x:v>국내</x:v>
      </x:c>
      <x:c r="D3324" s="7" t="str">
        <x:v>가열드라이어 버너 연료전환(벙커C유 및 이온정제유 → LNG)을 통한 온실가스(CO2) 배출 감축사업</x:v>
      </x:c>
      <x:c r="E3324" s="2" t="str">
        <x:v>100</x:v>
      </x:c>
      <x:c r="F3324" s="2" t="str">
        <x:v>2019-04-08</x:v>
      </x:c>
      <x:c r="G3324" s="2" t="str">
        <x:v>2019</x:v>
      </x:c>
      <x:c r="H3324" s="2" t="str">
        <x:v>04</x:v>
      </x:c>
      <x:c r="I3324" s="2" t="str">
        <x:v>보완요청</x:v>
      </x:c>
      <x:c r="J3324" s="2" t="str">
        <x:v>보완요청</x:v>
      </x:c>
      <x:c r="K3324" s="2" t="str">
        <x:f>IF(OR(J3324="심의승인",J3324="반려",J3324="반려완료",J3324="심의완료"),"종결 표시",IF(OR(J3324="기후부협의",J3324="문서재제출요청",J3324="보류",J3324="보완요청",J3324="보완완료",J3324="평가중",J3324="반려요청",J3324="평가필요",LEFT(J3324,5)="보완요청("),"미종결 표시","상태 확인 필요"))</x:f>
        <x:v>미종결 표시</x:v>
      </x:c>
      <x:c r="L3324" s="2" t="str">
        <x:v>KECM_임하진</x:v>
      </x:c>
      <x:c r="M3324" s="2"/>
      <x:c r="N3324" s="8" t="n">
        <x:f>DATE(2026,10,15)-DATE(2019,4,8)</x:f>
        <x:v>2747</x:v>
      </x:c>
      <x:c r="O3324" s="2"/>
      <x:c r="P3324" s="2" t="str">
        <x:v>모니터링보고서 및 검증보고서 내 보안유지 필요부분 구체화 필요</x:v>
      </x:c>
      <x:c r="Q3324" s="2" t="str">
        <x:v>산업전환 외부사업 정보비공개 신청 관리 Tool_260707_LJY_261013.xlsx</x:v>
      </x:c>
      <x:c r="R3324" s="2" t="str">
        <x:v>(비공개)국내인증</x:v>
      </x:c>
      <x:c r="S3324" s="8" t="n">
        <x:v>102</x:v>
      </x:c>
      <x:c r="T3324" s="2"/>
      <x:c r="U3324" s="2" t="str"/>
      <x:c r="V3324" s="2" t="str">
        <x:v>2022-06-02</x:v>
      </x:c>
      <x:c r="W3324" s="2" t="str"/>
      <x:c r="X3324" s="2" t="str">
        <x:v>보완 회신 일정 확인</x:v>
      </x:c>
      <x:c r="Y3324" s="2" t="str">
        <x:v>22df6d619b696c1eba8e26790f6382083d9fb1bc48481283e3e8a92ea6897677</x:v>
      </x:c>
      <x:c r="Z3324" s="2" t="n">
        <x:f>SUBTOTAL(103,A3324)</x:f>
        <x:v>1</x:v>
      </x:c>
      <x:c r="AA3324" s="2" t="str">
        <x:f>IF(K3324&lt;&gt;"미종결 표시","대상 아님",IF(N3324="","신청일 확인",IF(NOT(ISNUMBER('종합 현황'!$H$5)),"관찰기준 확인",IF('종합 현황'!$H$5&lt;1,"관찰기준 확인",IF(N3324&gt;'종합 현황'!$H$5,"내부 관찰 대상","내부 관찰일 이하")))))</x:f>
        <x:v>내부 관찰 대상</x:v>
      </x:c>
      <x:c r="AB3324" s="2"/>
    </x:row>
    <x:row r="3325" ht="42" customHeight="1">
      <x:c r="A3325" s="2" t="str">
        <x:v>869b2771e52189c957142e76</x:v>
      </x:c>
      <x:c r="B3325" s="2" t="str">
        <x:v>인증 비공개 신청</x:v>
      </x:c>
      <x:c r="C3325" s="2" t="str">
        <x:v>국내</x:v>
      </x:c>
      <x:c r="D3325" s="7" t="str">
        <x:v>IS동서 청양 보일러 연료전환(B-C유→LNG)을 통한 온실가스 감축 사업</x:v>
      </x:c>
      <x:c r="E3325" s="2" t="str">
        <x:v>101</x:v>
      </x:c>
      <x:c r="F3325" s="2" t="str">
        <x:v>2019-04-08</x:v>
      </x:c>
      <x:c r="G3325" s="2" t="str">
        <x:v>2019</x:v>
      </x:c>
      <x:c r="H3325" s="2" t="str">
        <x:v>04</x:v>
      </x:c>
      <x:c r="I3325" s="2" t="str">
        <x:v>보완요청</x:v>
      </x:c>
      <x:c r="J3325" s="2" t="str">
        <x:v>보완요청</x:v>
      </x:c>
      <x:c r="K3325" s="2" t="str">
        <x:f>IF(OR(J3325="심의승인",J3325="반려",J3325="반려완료",J3325="심의완료"),"종결 표시",IF(OR(J3325="기후부협의",J3325="문서재제출요청",J3325="보류",J3325="보완요청",J3325="보완완료",J3325="평가중",J3325="반려요청",J3325="평가필요",LEFT(J3325,5)="보완요청("),"미종결 표시","상태 확인 필요"))</x:f>
        <x:v>미종결 표시</x:v>
      </x:c>
      <x:c r="L3325" s="2" t="str">
        <x:v>KECM_임하진</x:v>
      </x:c>
      <x:c r="M3325" s="2"/>
      <x:c r="N3325" s="8" t="n">
        <x:f>DATE(2026,10,15)-DATE(2019,4,8)</x:f>
        <x:v>2747</x:v>
      </x:c>
      <x:c r="O3325" s="2"/>
      <x:c r="P3325" s="2" t="str">
        <x:v>모니터링보고서 및 검증보고서 내 보안유지 필요부분 구체화 필요</x:v>
      </x:c>
      <x:c r="Q3325" s="2" t="str">
        <x:v>산업전환 외부사업 정보비공개 신청 관리 Tool_260707_LJY_261013.xlsx</x:v>
      </x:c>
      <x:c r="R3325" s="2" t="str">
        <x:v>(비공개)국내인증</x:v>
      </x:c>
      <x:c r="S3325" s="8" t="n">
        <x:v>103</x:v>
      </x:c>
      <x:c r="T3325" s="2"/>
      <x:c r="U3325" s="2" t="str"/>
      <x:c r="V3325" s="2" t="str">
        <x:v>2022-06-02</x:v>
      </x:c>
      <x:c r="W3325" s="2" t="str"/>
      <x:c r="X3325" s="2" t="str">
        <x:v>보완 회신 일정 확인</x:v>
      </x:c>
      <x:c r="Y3325" s="2" t="str">
        <x:v>22df6d619b696c1eba8e26790f6382083d9fb1bc48481283e3e8a92ea6897677</x:v>
      </x:c>
      <x:c r="Z3325" s="2" t="n">
        <x:f>SUBTOTAL(103,A3325)</x:f>
        <x:v>1</x:v>
      </x:c>
      <x:c r="AA3325" s="2" t="str">
        <x:f>IF(K3325&lt;&gt;"미종결 표시","대상 아님",IF(N3325="","신청일 확인",IF(NOT(ISNUMBER('종합 현황'!$H$5)),"관찰기준 확인",IF('종합 현황'!$H$5&lt;1,"관찰기준 확인",IF(N3325&gt;'종합 현황'!$H$5,"내부 관찰 대상","내부 관찰일 이하")))))</x:f>
        <x:v>내부 관찰 대상</x:v>
      </x:c>
      <x:c r="AB3325" s="2"/>
    </x:row>
    <x:row r="3326" ht="42" customHeight="1">
      <x:c r="A3326" s="2" t="str">
        <x:v>c538c542ccb28baec72792b7</x:v>
      </x:c>
      <x:c r="B3326" s="2" t="str">
        <x:v>인증 비공개 신청</x:v>
      </x:c>
      <x:c r="C3326" s="2" t="str">
        <x:v>국내</x:v>
      </x:c>
      <x:c r="D3326" s="7" t="str">
        <x:v>삼원의 스팀보일러 연료교체를 통한 온실가스 감축사업</x:v>
      </x:c>
      <x:c r="E3326" s="2" t="str">
        <x:v>102</x:v>
      </x:c>
      <x:c r="F3326" s="2" t="str">
        <x:v>2019-04-08</x:v>
      </x:c>
      <x:c r="G3326" s="2" t="str">
        <x:v>2019</x:v>
      </x:c>
      <x:c r="H3326" s="2" t="str">
        <x:v>04</x:v>
      </x:c>
      <x:c r="I3326" s="2" t="str">
        <x:v>보완요청</x:v>
      </x:c>
      <x:c r="J3326" s="2" t="str">
        <x:v>보완요청</x:v>
      </x:c>
      <x:c r="K3326" s="2" t="str">
        <x:f>IF(OR(J3326="심의승인",J3326="반려",J3326="반려완료",J3326="심의완료"),"종결 표시",IF(OR(J3326="기후부협의",J3326="문서재제출요청",J3326="보류",J3326="보완요청",J3326="보완완료",J3326="평가중",J3326="반려요청",J3326="평가필요",LEFT(J3326,5)="보완요청("),"미종결 표시","상태 확인 필요"))</x:f>
        <x:v>미종결 표시</x:v>
      </x:c>
      <x:c r="L3326" s="2" t="str">
        <x:v>KECM_임하진</x:v>
      </x:c>
      <x:c r="M3326" s="2"/>
      <x:c r="N3326" s="8" t="n">
        <x:f>DATE(2026,10,15)-DATE(2019,4,8)</x:f>
        <x:v>2747</x:v>
      </x:c>
      <x:c r="O3326" s="2"/>
      <x:c r="P3326" s="2" t="str">
        <x:v>모니터링보고서 및 검증보고서 내 보안유지 필요부분 구체화 필요</x:v>
      </x:c>
      <x:c r="Q3326" s="2" t="str">
        <x:v>산업전환 외부사업 정보비공개 신청 관리 Tool_260707_LJY_261013.xlsx</x:v>
      </x:c>
      <x:c r="R3326" s="2" t="str">
        <x:v>(비공개)국내인증</x:v>
      </x:c>
      <x:c r="S3326" s="8" t="n">
        <x:v>104</x:v>
      </x:c>
      <x:c r="T3326" s="2"/>
      <x:c r="U3326" s="2" t="str"/>
      <x:c r="V3326" s="2" t="str">
        <x:v>2022-06-02</x:v>
      </x:c>
      <x:c r="W3326" s="2" t="str"/>
      <x:c r="X3326" s="2" t="str">
        <x:v>보완 회신 일정 확인</x:v>
      </x:c>
      <x:c r="Y3326" s="2" t="str">
        <x:v>22df6d619b696c1eba8e26790f6382083d9fb1bc48481283e3e8a92ea6897677</x:v>
      </x:c>
      <x:c r="Z3326" s="2" t="n">
        <x:f>SUBTOTAL(103,A3326)</x:f>
        <x:v>1</x:v>
      </x:c>
      <x:c r="AA3326" s="2" t="str">
        <x:f>IF(K3326&lt;&gt;"미종결 표시","대상 아님",IF(N3326="","신청일 확인",IF(NOT(ISNUMBER('종합 현황'!$H$5)),"관찰기준 확인",IF('종합 현황'!$H$5&lt;1,"관찰기준 확인",IF(N3326&gt;'종합 현황'!$H$5,"내부 관찰 대상","내부 관찰일 이하")))))</x:f>
        <x:v>내부 관찰 대상</x:v>
      </x:c>
      <x:c r="AB3326" s="2"/>
    </x:row>
    <x:row r="3327" ht="42" customHeight="1">
      <x:c r="A3327" s="2" t="str">
        <x:v>0267468a3e4cd3193b297cc6</x:v>
      </x:c>
      <x:c r="B3327" s="2" t="str">
        <x:v>인증 비공개 신청</x:v>
      </x:c>
      <x:c r="C3327" s="2" t="str">
        <x:v>국내</x:v>
      </x:c>
      <x:c r="D3327" s="7" t="str">
        <x:v>㈜한화 울산소재 질산공장 N2O 감축 프로젝트</x:v>
      </x:c>
      <x:c r="E3327" s="2" t="str">
        <x:v>103</x:v>
      </x:c>
      <x:c r="F3327" s="2" t="str">
        <x:v>2019-04-05</x:v>
      </x:c>
      <x:c r="G3327" s="2" t="str">
        <x:v>2019</x:v>
      </x:c>
      <x:c r="H3327" s="2" t="str">
        <x:v>04</x:v>
      </x:c>
      <x:c r="I3327" s="2" t="str">
        <x:v>보완요청</x:v>
      </x:c>
      <x:c r="J3327" s="2" t="str">
        <x:v>보완요청</x:v>
      </x:c>
      <x:c r="K3327" s="2" t="str">
        <x:f>IF(OR(J3327="심의승인",J3327="반려",J3327="반려완료",J3327="심의완료"),"종결 표시",IF(OR(J3327="기후부협의",J3327="문서재제출요청",J3327="보류",J3327="보완요청",J3327="보완완료",J3327="평가중",J3327="반려요청",J3327="평가필요",LEFT(J3327,5)="보완요청("),"미종결 표시","상태 확인 필요"))</x:f>
        <x:v>미종결 표시</x:v>
      </x:c>
      <x:c r="L3327" s="2" t="str">
        <x:v>KECM_임하진</x:v>
      </x:c>
      <x:c r="M3327" s="2"/>
      <x:c r="N3327" s="8" t="n">
        <x:f>DATE(2026,10,15)-DATE(2019,4,5)</x:f>
        <x:v>2750</x:v>
      </x:c>
      <x:c r="O3327" s="2"/>
      <x:c r="P3327" s="2" t="str">
        <x:v>해당 사유로 승인 가능여부 확인 필요(사유: 질산공정 영업 비밀 내용이 반영되어 있어 비공개 신청)</x:v>
      </x:c>
      <x:c r="Q3327" s="2" t="str">
        <x:v>산업전환 외부사업 정보비공개 신청 관리 Tool_260707_LJY_261013.xlsx</x:v>
      </x:c>
      <x:c r="R3327" s="2" t="str">
        <x:v>(비공개)국내인증</x:v>
      </x:c>
      <x:c r="S3327" s="8" t="n">
        <x:v>105</x:v>
      </x:c>
      <x:c r="T3327" s="2"/>
      <x:c r="U3327" s="2" t="str"/>
      <x:c r="V3327" s="2" t="str">
        <x:v>2022-06-02</x:v>
      </x:c>
      <x:c r="W3327" s="2" t="str"/>
      <x:c r="X3327" s="2" t="str">
        <x:v>보완 회신 일정 확인</x:v>
      </x:c>
      <x:c r="Y3327" s="2" t="str">
        <x:v>22df6d619b696c1eba8e26790f6382083d9fb1bc48481283e3e8a92ea6897677</x:v>
      </x:c>
      <x:c r="Z3327" s="2" t="n">
        <x:f>SUBTOTAL(103,A3327)</x:f>
        <x:v>1</x:v>
      </x:c>
      <x:c r="AA3327" s="2" t="str">
        <x:f>IF(K3327&lt;&gt;"미종결 표시","대상 아님",IF(N3327="","신청일 확인",IF(NOT(ISNUMBER('종합 현황'!$H$5)),"관찰기준 확인",IF('종합 현황'!$H$5&lt;1,"관찰기준 확인",IF(N3327&gt;'종합 현황'!$H$5,"내부 관찰 대상","내부 관찰일 이하")))))</x:f>
        <x:v>내부 관찰 대상</x:v>
      </x:c>
      <x:c r="AB3327" s="2"/>
    </x:row>
    <x:row r="3328" ht="42" customHeight="1">
      <x:c r="A3328" s="2" t="str">
        <x:v>dc57edac8ab237933a7816e5</x:v>
      </x:c>
      <x:c r="B3328" s="2" t="str">
        <x:v>인증 비공개 신청</x:v>
      </x:c>
      <x:c r="C3328" s="2" t="str">
        <x:v>국내</x:v>
      </x:c>
      <x:c r="D3328" s="7" t="str">
        <x:v>신안포장산업 주식회사 연료전환 (정제유 -&gt;도시가스) 감축사업</x:v>
      </x:c>
      <x:c r="E3328" s="2" t="str">
        <x:v>104</x:v>
      </x:c>
      <x:c r="F3328" s="2" t="str">
        <x:v>2019-01-21</x:v>
      </x:c>
      <x:c r="G3328" s="2" t="str">
        <x:v>2019</x:v>
      </x:c>
      <x:c r="H3328" s="2" t="str">
        <x:v>01</x:v>
      </x:c>
      <x:c r="I3328" s="2" t="str">
        <x:v>보완요청</x:v>
      </x:c>
      <x:c r="J3328" s="2" t="str">
        <x:v>보완요청</x:v>
      </x:c>
      <x:c r="K3328" s="2" t="str">
        <x:f>IF(OR(J3328="심의승인",J3328="반려",J3328="반려완료",J3328="심의완료"),"종결 표시",IF(OR(J3328="기후부협의",J3328="문서재제출요청",J3328="보류",J3328="보완요청",J3328="보완완료",J3328="평가중",J3328="반려요청",J3328="평가필요",LEFT(J3328,5)="보완요청("),"미종결 표시","상태 확인 필요"))</x:f>
        <x:v>미종결 표시</x:v>
      </x:c>
      <x:c r="L3328" s="2" t="str">
        <x:v>KECM_임하진</x:v>
      </x:c>
      <x:c r="M3328" s="2"/>
      <x:c r="N3328" s="8" t="n">
        <x:f>DATE(2026,10,15)-DATE(2019,1,21)</x:f>
        <x:v>2824</x:v>
      </x:c>
      <x:c r="O3328" s="2"/>
      <x:c r="P3328" s="2" t="str">
        <x:v>보완 요청 필요(사유: 사업자 개인정보로 인해 비공개 신청)</x:v>
      </x:c>
      <x:c r="Q3328" s="2" t="str">
        <x:v>산업전환 외부사업 정보비공개 신청 관리 Tool_260707_LJY_261013.xlsx</x:v>
      </x:c>
      <x:c r="R3328" s="2" t="str">
        <x:v>(비공개)국내인증</x:v>
      </x:c>
      <x:c r="S3328" s="8" t="n">
        <x:v>106</x:v>
      </x:c>
      <x:c r="T3328" s="2"/>
      <x:c r="U3328" s="2" t="str"/>
      <x:c r="V3328" s="2" t="str">
        <x:v>2022-06-02</x:v>
      </x:c>
      <x:c r="W3328" s="2" t="str"/>
      <x:c r="X3328" s="2" t="str">
        <x:v>보완 회신 일정 확인</x:v>
      </x:c>
      <x:c r="Y3328" s="2" t="str">
        <x:v>22df6d619b696c1eba8e26790f6382083d9fb1bc48481283e3e8a92ea6897677</x:v>
      </x:c>
      <x:c r="Z3328" s="2" t="n">
        <x:f>SUBTOTAL(103,A3328)</x:f>
        <x:v>1</x:v>
      </x:c>
      <x:c r="AA3328" s="2" t="str">
        <x:f>IF(K3328&lt;&gt;"미종결 표시","대상 아님",IF(N3328="","신청일 확인",IF(NOT(ISNUMBER('종합 현황'!$H$5)),"관찰기준 확인",IF('종합 현황'!$H$5&lt;1,"관찰기준 확인",IF(N3328&gt;'종합 현황'!$H$5,"내부 관찰 대상","내부 관찰일 이하")))))</x:f>
        <x:v>내부 관찰 대상</x:v>
      </x:c>
      <x:c r="AB3328" s="2"/>
    </x:row>
    <x:row r="3329" ht="42" customHeight="1">
      <x:c r="A3329" s="2" t="str">
        <x:v>762a9abba46c4c271406339c</x:v>
      </x:c>
      <x:c r="B3329" s="2" t="str">
        <x:v>인증 비공개 신청</x:v>
      </x:c>
      <x:c r="C3329" s="2" t="str">
        <x:v>국내</x:v>
      </x:c>
      <x:c r="D3329" s="7" t="str">
        <x:v>팜스코 중부공장 연료전환 (B-C유 &gt;도시가스) 감축사업</x:v>
      </x:c>
      <x:c r="E3329" s="2" t="str">
        <x:v>105</x:v>
      </x:c>
      <x:c r="F3329" s="2" t="str">
        <x:v>2019-01-21</x:v>
      </x:c>
      <x:c r="G3329" s="2" t="str">
        <x:v>2019</x:v>
      </x:c>
      <x:c r="H3329" s="2" t="str">
        <x:v>01</x:v>
      </x:c>
      <x:c r="I3329" s="2" t="str">
        <x:v>보완요청</x:v>
      </x:c>
      <x:c r="J3329" s="2" t="str">
        <x:v>보완요청</x:v>
      </x:c>
      <x:c r="K3329" s="2" t="str">
        <x:f>IF(OR(J3329="심의승인",J3329="반려",J3329="반려완료",J3329="심의완료"),"종결 표시",IF(OR(J3329="기후부협의",J3329="문서재제출요청",J3329="보류",J3329="보완요청",J3329="보완완료",J3329="평가중",J3329="반려요청",J3329="평가필요",LEFT(J3329,5)="보완요청("),"미종결 표시","상태 확인 필요"))</x:f>
        <x:v>미종결 표시</x:v>
      </x:c>
      <x:c r="L3329" s="2" t="str">
        <x:v>KECM_임하진</x:v>
      </x:c>
      <x:c r="M3329" s="2"/>
      <x:c r="N3329" s="8" t="n">
        <x:f>DATE(2026,10,15)-DATE(2019,1,21)</x:f>
        <x:v>2824</x:v>
      </x:c>
      <x:c r="O3329" s="2"/>
      <x:c r="P3329" s="2" t="str">
        <x:v>보완 요청 필요(사유: 사업자 개인정보로 인해 비공개 신청)</x:v>
      </x:c>
      <x:c r="Q3329" s="2" t="str">
        <x:v>산업전환 외부사업 정보비공개 신청 관리 Tool_260707_LJY_261013.xlsx</x:v>
      </x:c>
      <x:c r="R3329" s="2" t="str">
        <x:v>(비공개)국내인증</x:v>
      </x:c>
      <x:c r="S3329" s="8" t="n">
        <x:v>107</x:v>
      </x:c>
      <x:c r="T3329" s="2"/>
      <x:c r="U3329" s="2" t="str"/>
      <x:c r="V3329" s="2" t="str">
        <x:v>2022-06-02</x:v>
      </x:c>
      <x:c r="W3329" s="2" t="str"/>
      <x:c r="X3329" s="2" t="str">
        <x:v>보완 회신 일정 확인</x:v>
      </x:c>
      <x:c r="Y3329" s="2" t="str">
        <x:v>22df6d619b696c1eba8e26790f6382083d9fb1bc48481283e3e8a92ea6897677</x:v>
      </x:c>
      <x:c r="Z3329" s="2" t="n">
        <x:f>SUBTOTAL(103,A3329)</x:f>
        <x:v>1</x:v>
      </x:c>
      <x:c r="AA3329" s="2" t="str">
        <x:f>IF(K3329&lt;&gt;"미종결 표시","대상 아님",IF(N3329="","신청일 확인",IF(NOT(ISNUMBER('종합 현황'!$H$5)),"관찰기준 확인",IF('종합 현황'!$H$5&lt;1,"관찰기준 확인",IF(N3329&gt;'종합 현황'!$H$5,"내부 관찰 대상","내부 관찰일 이하")))))</x:f>
        <x:v>내부 관찰 대상</x:v>
      </x:c>
      <x:c r="AB3329" s="2"/>
    </x:row>
    <x:row r="3330" ht="42" customHeight="1">
      <x:c r="A3330" s="2" t="str">
        <x:v>d13a1eb097ddc953f4cb4004</x:v>
      </x:c>
      <x:c r="B3330" s="2" t="str">
        <x:v>인증 비공개 신청</x:v>
      </x:c>
      <x:c r="C3330" s="2" t="str">
        <x:v>국내</x:v>
      </x:c>
      <x:c r="D3330" s="7" t="str">
        <x:v>홍익콘크리트산업 연료전환(B-C유-&gt;도시가스) 감축사업(C-001)</x:v>
      </x:c>
      <x:c r="E3330" s="2" t="str">
        <x:v>106</x:v>
      </x:c>
      <x:c r="F3330" s="2" t="str">
        <x:v>2019-01-21</x:v>
      </x:c>
      <x:c r="G3330" s="2" t="str">
        <x:v>2019</x:v>
      </x:c>
      <x:c r="H3330" s="2" t="str">
        <x:v>01</x:v>
      </x:c>
      <x:c r="I3330" s="2" t="str">
        <x:v>보완요청</x:v>
      </x:c>
      <x:c r="J3330" s="2" t="str">
        <x:v>보완요청</x:v>
      </x:c>
      <x:c r="K3330" s="2" t="str">
        <x:f>IF(OR(J3330="심의승인",J3330="반려",J3330="반려완료",J3330="심의완료"),"종결 표시",IF(OR(J3330="기후부협의",J3330="문서재제출요청",J3330="보류",J3330="보완요청",J3330="보완완료",J3330="평가중",J3330="반려요청",J3330="평가필요",LEFT(J3330,5)="보완요청("),"미종결 표시","상태 확인 필요"))</x:f>
        <x:v>미종결 표시</x:v>
      </x:c>
      <x:c r="L3330" s="2" t="str">
        <x:v>에코시안</x:v>
      </x:c>
      <x:c r="M3330" s="2"/>
      <x:c r="N3330" s="8" t="n">
        <x:f>DATE(2026,10,15)-DATE(2019,1,21)</x:f>
        <x:v>2824</x:v>
      </x:c>
      <x:c r="O3330" s="2"/>
      <x:c r="P3330" s="2" t="str">
        <x:v>모니터링보고서 및 검증보고서 내 보안유지 필요부분 구체화 필요(사유: 사업자 개인정보로 인해 비공개 신청) / 사업명과 상이</x:v>
      </x:c>
      <x:c r="Q3330" s="2" t="str">
        <x:v>산업전환 외부사업 정보비공개 신청 관리 Tool_260707_LJY_261013.xlsx</x:v>
      </x:c>
      <x:c r="R3330" s="2" t="str">
        <x:v>(비공개)국내인증</x:v>
      </x:c>
      <x:c r="S3330" s="8" t="n">
        <x:v>108</x:v>
      </x:c>
      <x:c r="T3330" s="2"/>
      <x:c r="U3330" s="2" t="str"/>
      <x:c r="V3330" s="2" t="str">
        <x:v>2022-10-19</x:v>
      </x:c>
      <x:c r="W3330" s="2" t="str"/>
      <x:c r="X3330" s="2" t="str">
        <x:v>보완 회신 일정 확인</x:v>
      </x:c>
      <x:c r="Y3330" s="2" t="str">
        <x:v>22df6d619b696c1eba8e26790f6382083d9fb1bc48481283e3e8a92ea6897677</x:v>
      </x:c>
      <x:c r="Z3330" s="2" t="n">
        <x:f>SUBTOTAL(103,A3330)</x:f>
        <x:v>1</x:v>
      </x:c>
      <x:c r="AA3330" s="2" t="str">
        <x:f>IF(K3330&lt;&gt;"미종결 표시","대상 아님",IF(N3330="","신청일 확인",IF(NOT(ISNUMBER('종합 현황'!$H$5)),"관찰기준 확인",IF('종합 현황'!$H$5&lt;1,"관찰기준 확인",IF(N3330&gt;'종합 현황'!$H$5,"내부 관찰 대상","내부 관찰일 이하")))))</x:f>
        <x:v>내부 관찰 대상</x:v>
      </x:c>
      <x:c r="AB3330" s="2"/>
    </x:row>
    <x:row r="3331" ht="42" customHeight="1">
      <x:c r="A3331" s="2" t="str">
        <x:v>f7190dcb88f9b2aeaa51f753</x:v>
      </x:c>
      <x:c r="B3331" s="2" t="str">
        <x:v>인증 비공개 신청</x:v>
      </x:c>
      <x:c r="C3331" s="2" t="str">
        <x:v>국내</x:v>
      </x:c>
      <x:c r="D3331" s="7" t="str">
        <x:v>삼화페인트공업 주식회사 연료전환 (B-C유 → 도시가스) 감축사업</x:v>
      </x:c>
      <x:c r="E3331" s="2" t="str">
        <x:v>107</x:v>
      </x:c>
      <x:c r="F3331" s="2" t="str">
        <x:v>2019-01-15</x:v>
      </x:c>
      <x:c r="G3331" s="2" t="str">
        <x:v>2019</x:v>
      </x:c>
      <x:c r="H3331" s="2" t="str">
        <x:v>01</x:v>
      </x:c>
      <x:c r="I3331" s="2" t="str">
        <x:v>보완요청</x:v>
      </x:c>
      <x:c r="J3331" s="2" t="str">
        <x:v>보완요청</x:v>
      </x:c>
      <x:c r="K3331" s="2" t="str">
        <x:f>IF(OR(J3331="심의승인",J3331="반려",J3331="반려완료",J3331="심의완료"),"종결 표시",IF(OR(J3331="기후부협의",J3331="문서재제출요청",J3331="보류",J3331="보완요청",J3331="보완완료",J3331="평가중",J3331="반려요청",J3331="평가필요",LEFT(J3331,5)="보완요청("),"미종결 표시","상태 확인 필요"))</x:f>
        <x:v>미종결 표시</x:v>
      </x:c>
      <x:c r="L3331" s="2" t="str">
        <x:v>KECM_임하진</x:v>
      </x:c>
      <x:c r="M3331" s="2"/>
      <x:c r="N3331" s="8" t="n">
        <x:f>DATE(2026,10,15)-DATE(2019,1,15)</x:f>
        <x:v>2830</x:v>
      </x:c>
      <x:c r="O3331" s="2"/>
      <x:c r="P3331" s="2" t="str">
        <x:v>보완 요청 필요(사유: 사업자 개인정보로 인해 비공개 신청)</x:v>
      </x:c>
      <x:c r="Q3331" s="2" t="str">
        <x:v>산업전환 외부사업 정보비공개 신청 관리 Tool_260707_LJY_261013.xlsx</x:v>
      </x:c>
      <x:c r="R3331" s="2" t="str">
        <x:v>(비공개)국내인증</x:v>
      </x:c>
      <x:c r="S3331" s="8" t="n">
        <x:v>109</x:v>
      </x:c>
      <x:c r="T3331" s="2"/>
      <x:c r="U3331" s="2" t="str"/>
      <x:c r="V3331" s="2" t="str">
        <x:v>2022-06-02</x:v>
      </x:c>
      <x:c r="W3331" s="2" t="str"/>
      <x:c r="X3331" s="2" t="str">
        <x:v>보완 회신 일정 확인</x:v>
      </x:c>
      <x:c r="Y3331" s="2" t="str">
        <x:v>22df6d619b696c1eba8e26790f6382083d9fb1bc48481283e3e8a92ea6897677</x:v>
      </x:c>
      <x:c r="Z3331" s="2" t="n">
        <x:f>SUBTOTAL(103,A3331)</x:f>
        <x:v>1</x:v>
      </x:c>
      <x:c r="AA3331" s="2" t="str">
        <x:f>IF(K3331&lt;&gt;"미종결 표시","대상 아님",IF(N3331="","신청일 확인",IF(NOT(ISNUMBER('종합 현황'!$H$5)),"관찰기준 확인",IF('종합 현황'!$H$5&lt;1,"관찰기준 확인",IF(N3331&gt;'종합 현황'!$H$5,"내부 관찰 대상","내부 관찰일 이하")))))</x:f>
        <x:v>내부 관찰 대상</x:v>
      </x:c>
      <x:c r="AB3331" s="2"/>
    </x:row>
    <x:row r="3332" ht="42" customHeight="1">
      <x:c r="A3332" s="2" t="str">
        <x:v>3c1319f8bd67fbe26490fe4e</x:v>
      </x:c>
      <x:c r="B3332" s="2" t="str">
        <x:v>인증 비공개 신청</x:v>
      </x:c>
      <x:c r="C3332" s="2" t="str">
        <x:v>국내</x:v>
      </x:c>
      <x:c r="D3332" s="7" t="str">
        <x:v>선호피엔에스 연료전환 (B-B유 -&gt; 도시가스) 감축사업</x:v>
      </x:c>
      <x:c r="E3332" s="2" t="str">
        <x:v>108</x:v>
      </x:c>
      <x:c r="F3332" s="2" t="str">
        <x:v>2019-01-15</x:v>
      </x:c>
      <x:c r="G3332" s="2" t="str">
        <x:v>2019</x:v>
      </x:c>
      <x:c r="H3332" s="2" t="str">
        <x:v>01</x:v>
      </x:c>
      <x:c r="I3332" s="2" t="str">
        <x:v>보완요청</x:v>
      </x:c>
      <x:c r="J3332" s="2" t="str">
        <x:v>보완요청</x:v>
      </x:c>
      <x:c r="K3332" s="2" t="str">
        <x:f>IF(OR(J3332="심의승인",J3332="반려",J3332="반려완료",J3332="심의완료"),"종결 표시",IF(OR(J3332="기후부협의",J3332="문서재제출요청",J3332="보류",J3332="보완요청",J3332="보완완료",J3332="평가중",J3332="반려요청",J3332="평가필요",LEFT(J3332,5)="보완요청("),"미종결 표시","상태 확인 필요"))</x:f>
        <x:v>미종결 표시</x:v>
      </x:c>
      <x:c r="L3332" s="2" t="str">
        <x:v>KECM_임하진</x:v>
      </x:c>
      <x:c r="M3332" s="2"/>
      <x:c r="N3332" s="8" t="n">
        <x:f>DATE(2026,10,15)-DATE(2019,1,15)</x:f>
        <x:v>2830</x:v>
      </x:c>
      <x:c r="O3332" s="2"/>
      <x:c r="P3332" s="2" t="str">
        <x:v>보완 요청 필요(사유: 사업자 개인정보로 인해 비공개 신청)</x:v>
      </x:c>
      <x:c r="Q3332" s="2" t="str">
        <x:v>산업전환 외부사업 정보비공개 신청 관리 Tool_260707_LJY_261013.xlsx</x:v>
      </x:c>
      <x:c r="R3332" s="2" t="str">
        <x:v>(비공개)국내인증</x:v>
      </x:c>
      <x:c r="S3332" s="8" t="n">
        <x:v>110</x:v>
      </x:c>
      <x:c r="T3332" s="2"/>
      <x:c r="U3332" s="2" t="str"/>
      <x:c r="V3332" s="2" t="str">
        <x:v>2022-06-02</x:v>
      </x:c>
      <x:c r="W3332" s="2" t="str"/>
      <x:c r="X3332" s="2" t="str">
        <x:v>보완 회신 일정 확인</x:v>
      </x:c>
      <x:c r="Y3332" s="2" t="str">
        <x:v>22df6d619b696c1eba8e26790f6382083d9fb1bc48481283e3e8a92ea6897677</x:v>
      </x:c>
      <x:c r="Z3332" s="2" t="n">
        <x:f>SUBTOTAL(103,A3332)</x:f>
        <x:v>1</x:v>
      </x:c>
      <x:c r="AA3332" s="2" t="str">
        <x:f>IF(K3332&lt;&gt;"미종결 표시","대상 아님",IF(N3332="","신청일 확인",IF(NOT(ISNUMBER('종합 현황'!$H$5)),"관찰기준 확인",IF('종합 현황'!$H$5&lt;1,"관찰기준 확인",IF(N3332&gt;'종합 현황'!$H$5,"내부 관찰 대상","내부 관찰일 이하")))))</x:f>
        <x:v>내부 관찰 대상</x:v>
      </x:c>
      <x:c r="AB3332" s="2"/>
    </x:row>
    <x:row r="3333" ht="42" customHeight="1">
      <x:c r="A3333" s="2" t="str">
        <x:v>1c2ba60f4f60068d7d331d23</x:v>
      </x:c>
      <x:c r="B3333" s="2" t="str">
        <x:v>인증 비공개 신청</x:v>
      </x:c>
      <x:c r="C3333" s="2" t="str">
        <x:v>국내</x:v>
      </x:c>
      <x:c r="D3333" s="7" t="str">
        <x:v>동인신철공업 주식회사 연료전환 (B-C유 -&gt; 도시가스) 감축사업</x:v>
      </x:c>
      <x:c r="E3333" s="2" t="str">
        <x:v>109</x:v>
      </x:c>
      <x:c r="F3333" s="2" t="str">
        <x:v>2019-01-15</x:v>
      </x:c>
      <x:c r="G3333" s="2" t="str">
        <x:v>2019</x:v>
      </x:c>
      <x:c r="H3333" s="2" t="str">
        <x:v>01</x:v>
      </x:c>
      <x:c r="I3333" s="2" t="str">
        <x:v>보완요청</x:v>
      </x:c>
      <x:c r="J3333" s="2" t="str">
        <x:v>보완요청</x:v>
      </x:c>
      <x:c r="K3333" s="2" t="str">
        <x:f>IF(OR(J3333="심의승인",J3333="반려",J3333="반려완료",J3333="심의완료"),"종결 표시",IF(OR(J3333="기후부협의",J3333="문서재제출요청",J3333="보류",J3333="보완요청",J3333="보완완료",J3333="평가중",J3333="반려요청",J3333="평가필요",LEFT(J3333,5)="보완요청("),"미종결 표시","상태 확인 필요"))</x:f>
        <x:v>미종결 표시</x:v>
      </x:c>
      <x:c r="L3333" s="2" t="str">
        <x:v>KECM_임하진</x:v>
      </x:c>
      <x:c r="M3333" s="2"/>
      <x:c r="N3333" s="8" t="n">
        <x:f>DATE(2026,10,15)-DATE(2019,1,15)</x:f>
        <x:v>2830</x:v>
      </x:c>
      <x:c r="O3333" s="2"/>
      <x:c r="P3333" s="2" t="str">
        <x:v>보완 요청 필요(사유: 사업자 개인정보로 인해 비공개 신청)</x:v>
      </x:c>
      <x:c r="Q3333" s="2" t="str">
        <x:v>산업전환 외부사업 정보비공개 신청 관리 Tool_260707_LJY_261013.xlsx</x:v>
      </x:c>
      <x:c r="R3333" s="2" t="str">
        <x:v>(비공개)국내인증</x:v>
      </x:c>
      <x:c r="S3333" s="8" t="n">
        <x:v>111</x:v>
      </x:c>
      <x:c r="T3333" s="2"/>
      <x:c r="U3333" s="2" t="str"/>
      <x:c r="V3333" s="2" t="str">
        <x:v>2022-06-02</x:v>
      </x:c>
      <x:c r="W3333" s="2" t="str"/>
      <x:c r="X3333" s="2" t="str">
        <x:v>보완 회신 일정 확인</x:v>
      </x:c>
      <x:c r="Y3333" s="2" t="str">
        <x:v>22df6d619b696c1eba8e26790f6382083d9fb1bc48481283e3e8a92ea6897677</x:v>
      </x:c>
      <x:c r="Z3333" s="2" t="n">
        <x:f>SUBTOTAL(103,A3333)</x:f>
        <x:v>1</x:v>
      </x:c>
      <x:c r="AA3333" s="2" t="str">
        <x:f>IF(K3333&lt;&gt;"미종결 표시","대상 아님",IF(N3333="","신청일 확인",IF(NOT(ISNUMBER('종합 현황'!$H$5)),"관찰기준 확인",IF('종합 현황'!$H$5&lt;1,"관찰기준 확인",IF(N3333&gt;'종합 현황'!$H$5,"내부 관찰 대상","내부 관찰일 이하")))))</x:f>
        <x:v>내부 관찰 대상</x:v>
      </x:c>
      <x:c r="AB3333" s="2"/>
    </x:row>
    <x:row r="3334" ht="42" customHeight="1">
      <x:c r="A3334" s="2" t="str">
        <x:v>594ce7bb961300cb58086136</x:v>
      </x:c>
      <x:c r="B3334" s="2" t="str">
        <x:v>인증 비공개 신청</x:v>
      </x:c>
      <x:c r="C3334" s="2" t="str">
        <x:v>국내</x:v>
      </x:c>
      <x:c r="D3334" s="7" t="str">
        <x:v>영덕물산 연료전환(B-C유-&gt; 도시가스) 감축사업</x:v>
      </x:c>
      <x:c r="E3334" s="2" t="str">
        <x:v>110</x:v>
      </x:c>
      <x:c r="F3334" s="2" t="str">
        <x:v>2019-01-15</x:v>
      </x:c>
      <x:c r="G3334" s="2" t="str">
        <x:v>2019</x:v>
      </x:c>
      <x:c r="H3334" s="2" t="str">
        <x:v>01</x:v>
      </x:c>
      <x:c r="I3334" s="2" t="str">
        <x:v>보완요청</x:v>
      </x:c>
      <x:c r="J3334" s="2" t="str">
        <x:v>보완요청</x:v>
      </x:c>
      <x:c r="K3334" s="2" t="str">
        <x:f>IF(OR(J3334="심의승인",J3334="반려",J3334="반려완료",J3334="심의완료"),"종결 표시",IF(OR(J3334="기후부협의",J3334="문서재제출요청",J3334="보류",J3334="보완요청",J3334="보완완료",J3334="평가중",J3334="반려요청",J3334="평가필요",LEFT(J3334,5)="보완요청("),"미종결 표시","상태 확인 필요"))</x:f>
        <x:v>미종결 표시</x:v>
      </x:c>
      <x:c r="L3334" s="2" t="str">
        <x:v>KECM_임하진</x:v>
      </x:c>
      <x:c r="M3334" s="2"/>
      <x:c r="N3334" s="8" t="n">
        <x:f>DATE(2026,10,15)-DATE(2019,1,15)</x:f>
        <x:v>2830</x:v>
      </x:c>
      <x:c r="O3334" s="2"/>
      <x:c r="P3334" s="2" t="str">
        <x:v>보완 요청 필요(사유: 사업자 개인정보로 인해 비공개 신청)</x:v>
      </x:c>
      <x:c r="Q3334" s="2" t="str">
        <x:v>산업전환 외부사업 정보비공개 신청 관리 Tool_260707_LJY_261013.xlsx</x:v>
      </x:c>
      <x:c r="R3334" s="2" t="str">
        <x:v>(비공개)국내인증</x:v>
      </x:c>
      <x:c r="S3334" s="8" t="n">
        <x:v>112</x:v>
      </x:c>
      <x:c r="T3334" s="2"/>
      <x:c r="U3334" s="2" t="str"/>
      <x:c r="V3334" s="2" t="str">
        <x:v>2022-06-02</x:v>
      </x:c>
      <x:c r="W3334" s="2" t="str"/>
      <x:c r="X3334" s="2" t="str">
        <x:v>보완 회신 일정 확인</x:v>
      </x:c>
      <x:c r="Y3334" s="2" t="str">
        <x:v>22df6d619b696c1eba8e26790f6382083d9fb1bc48481283e3e8a92ea6897677</x:v>
      </x:c>
      <x:c r="Z3334" s="2" t="n">
        <x:f>SUBTOTAL(103,A3334)</x:f>
        <x:v>1</x:v>
      </x:c>
      <x:c r="AA3334" s="2" t="str">
        <x:f>IF(K3334&lt;&gt;"미종결 표시","대상 아님",IF(N3334="","신청일 확인",IF(NOT(ISNUMBER('종합 현황'!$H$5)),"관찰기준 확인",IF('종합 현황'!$H$5&lt;1,"관찰기준 확인",IF(N3334&gt;'종합 현황'!$H$5,"내부 관찰 대상","내부 관찰일 이하")))))</x:f>
        <x:v>내부 관찰 대상</x:v>
      </x:c>
      <x:c r="AB3334" s="2"/>
    </x:row>
    <x:row r="3335" ht="42" customHeight="1">
      <x:c r="A3335" s="2" t="str">
        <x:v>04fc0d5c165dbbe7ffb2d10d</x:v>
      </x:c>
      <x:c r="B3335" s="2" t="str">
        <x:v>인증 비공개 신청</x:v>
      </x:c>
      <x:c r="C3335" s="2" t="str">
        <x:v>국내</x:v>
      </x:c>
      <x:c r="D3335" s="7" t="str">
        <x:v>제천 장락 주공 1단지 아파트 연료전환을 통한 온실가스 감축사업</x:v>
      </x:c>
      <x:c r="E3335" s="2" t="str">
        <x:v>111</x:v>
      </x:c>
      <x:c r="F3335" s="2" t="str">
        <x:v>2025-08-06</x:v>
      </x:c>
      <x:c r="G3335" s="2" t="str">
        <x:v>2025</x:v>
      </x:c>
      <x:c r="H3335" s="2" t="str">
        <x:v>08</x:v>
      </x:c>
      <x:c r="I3335" s="2" t="str">
        <x:v>보완완료</x:v>
      </x:c>
      <x:c r="J3335" s="2" t="str">
        <x:v>반려요청</x:v>
      </x:c>
      <x:c r="K3335" s="2" t="str">
        <x:f>IF(OR(J3335="심의승인",J3335="반려",J3335="반려완료",J3335="심의완료"),"종결 표시",IF(OR(J3335="기후부협의",J3335="문서재제출요청",J3335="보류",J3335="보완요청",J3335="보완완료",J3335="평가중",J3335="반려요청",J3335="평가필요",LEFT(J3335,5)="보완요청("),"미종결 표시","상태 확인 필요"))</x:f>
        <x:v>미종결 표시</x:v>
      </x:c>
      <x:c r="L3335" s="2" t="str">
        <x:v>에코시안_남혜원</x:v>
      </x:c>
      <x:c r="M3335" s="2"/>
      <x:c r="N3335" s="8" t="n">
        <x:f>DATE(2026,10,15)-DATE(2025,8,6)</x:f>
        <x:v>435</x:v>
      </x:c>
      <x:c r="O3335" s="2"/>
      <x:c r="P3335" s="2" t="str">
        <x:v>모니터링보고서 및 검증보고서에 대한 정보 비공개 신청을 철회합니다.</x:v>
      </x:c>
      <x:c r="Q3335" s="2" t="str">
        <x:v>산업전환 외부사업 정보비공개 신청 관리 Tool_260707_LJY_261013.xlsx</x:v>
      </x:c>
      <x:c r="R3335" s="2" t="str">
        <x:v>(비공개)국내인증</x:v>
      </x:c>
      <x:c r="S3335" s="8" t="n">
        <x:v>113</x:v>
      </x:c>
      <x:c r="T3335" s="2"/>
      <x:c r="U3335" s="2" t="str"/>
      <x:c r="V3335" s="2" t="str">
        <x:v>2025-08-06</x:v>
      </x:c>
      <x:c r="W3335" s="2" t="str"/>
      <x:c r="X3335" s="2" t="str">
        <x:v>검토 진행 일정 확인</x:v>
      </x:c>
      <x:c r="Y3335" s="2" t="str">
        <x:v>22df6d619b696c1eba8e26790f6382083d9fb1bc48481283e3e8a92ea6897677</x:v>
      </x:c>
      <x:c r="Z3335" s="2" t="n">
        <x:f>SUBTOTAL(103,A3335)</x:f>
        <x:v>1</x:v>
      </x:c>
      <x:c r="AA3335" s="2" t="str">
        <x:f>IF(K3335&lt;&gt;"미종결 표시","대상 아님",IF(N3335="","신청일 확인",IF(NOT(ISNUMBER('종합 현황'!$H$5)),"관찰기준 확인",IF('종합 현황'!$H$5&lt;1,"관찰기준 확인",IF(N3335&gt;'종합 현황'!$H$5,"내부 관찰 대상","내부 관찰일 이하")))))</x:f>
        <x:v>내부 관찰 대상</x:v>
      </x:c>
      <x:c r="AB3335" s="2"/>
    </x:row>
    <x:row r="3336" ht="42" customHeight="1">
      <x:c r="A3336" s="2" t="str">
        <x:v>eff19dbbe0343a284a030819</x:v>
      </x:c>
      <x:c r="B3336" s="2" t="str">
        <x:v>인증 비공개 신청</x:v>
      </x:c>
      <x:c r="C3336" s="2" t="str">
        <x:v>국내</x:v>
      </x:c>
      <x:c r="D3336" s="7" t="str">
        <x:v>서울 월계 주공1단지 아파트 연료전환을 통한 온실가스 감축사업</x:v>
      </x:c>
      <x:c r="E3336" s="2" t="str">
        <x:v>112</x:v>
      </x:c>
      <x:c r="F3336" s="2" t="str">
        <x:v>2025-10-15</x:v>
      </x:c>
      <x:c r="G3336" s="2" t="str">
        <x:v>2025</x:v>
      </x:c>
      <x:c r="H3336" s="2" t="str">
        <x:v>10</x:v>
      </x:c>
      <x:c r="I3336" s="2" t="str">
        <x:v>보완완료</x:v>
      </x:c>
      <x:c r="J3336" s="2" t="str">
        <x:v>반려요청</x:v>
      </x:c>
      <x:c r="K3336" s="2" t="str">
        <x:f>IF(OR(J3336="심의승인",J3336="반려",J3336="반려완료",J3336="심의완료"),"종결 표시",IF(OR(J3336="기후부협의",J3336="문서재제출요청",J3336="보류",J3336="보완요청",J3336="보완완료",J3336="평가중",J3336="반려요청",J3336="평가필요",LEFT(J3336,5)="보완요청("),"미종결 표시","상태 확인 필요"))</x:f>
        <x:v>미종결 표시</x:v>
      </x:c>
      <x:c r="L3336" s="2" t="str">
        <x:v>KECM</x:v>
      </x:c>
      <x:c r="M3336" s="2"/>
      <x:c r="N3336" s="8" t="n">
        <x:f>DATE(2026,10,15)-DATE(2025,10,15)</x:f>
        <x:v>365</x:v>
      </x:c>
      <x:c r="O3336" s="2"/>
      <x:c r="P3336" s="2" t="str">
        <x:v>모니터링보고서 및 검증보고서에 대한 정보 비공개 신청을 철회합니다.</x:v>
      </x:c>
      <x:c r="Q3336" s="2" t="str">
        <x:v>산업전환 외부사업 정보비공개 신청 관리 Tool_260707_LJY_261013.xlsx</x:v>
      </x:c>
      <x:c r="R3336" s="2" t="str">
        <x:v>(비공개)국내인증</x:v>
      </x:c>
      <x:c r="S3336" s="8" t="n">
        <x:v>114</x:v>
      </x:c>
      <x:c r="T3336" s="2"/>
      <x:c r="U3336" s="2" t="str"/>
      <x:c r="V3336" s="2" t="str">
        <x:v>2025-10-14</x:v>
      </x:c>
      <x:c r="W3336" s="2" t="str"/>
      <x:c r="X3336" s="2" t="str">
        <x:v>검토 진행 일정 확인</x:v>
      </x:c>
      <x:c r="Y3336" s="2" t="str">
        <x:v>22df6d619b696c1eba8e26790f6382083d9fb1bc48481283e3e8a92ea6897677</x:v>
      </x:c>
      <x:c r="Z3336" s="2" t="n">
        <x:f>SUBTOTAL(103,A3336)</x:f>
        <x:v>1</x:v>
      </x:c>
      <x:c r="AA3336" s="2" t="str">
        <x:f>IF(K3336&lt;&gt;"미종결 표시","대상 아님",IF(N3336="","신청일 확인",IF(NOT(ISNUMBER('종합 현황'!$H$5)),"관찰기준 확인",IF('종합 현황'!$H$5&lt;1,"관찰기준 확인",IF(N3336&gt;'종합 현황'!$H$5,"내부 관찰 대상","내부 관찰일 이하")))))</x:f>
        <x:v>내부 관찰 대상</x:v>
      </x:c>
      <x:c r="AB3336" s="2"/>
    </x:row>
    <x:row r="3337" ht="42" customHeight="1">
      <x:c r="A3337" s="2" t="str">
        <x:v>d0627110fd3a64dcbd4c6791</x:v>
      </x:c>
      <x:c r="B3337" s="2" t="str">
        <x:v>인증 비공개 신청</x:v>
      </x:c>
      <x:c r="C3337" s="2" t="str">
        <x:v>국내</x:v>
      </x:c>
      <x:c r="D3337" s="7" t="str">
        <x:v>서울 우면아파트 연료전환을 통한 온실가스 감축사업</x:v>
      </x:c>
      <x:c r="E3337" s="2" t="str">
        <x:v>113</x:v>
      </x:c>
      <x:c r="F3337" s="2" t="str">
        <x:v>2025-10-15</x:v>
      </x:c>
      <x:c r="G3337" s="2" t="str">
        <x:v>2025</x:v>
      </x:c>
      <x:c r="H3337" s="2" t="str">
        <x:v>10</x:v>
      </x:c>
      <x:c r="I3337" s="2" t="str">
        <x:v>보완완료</x:v>
      </x:c>
      <x:c r="J3337" s="2" t="str">
        <x:v>반려요청</x:v>
      </x:c>
      <x:c r="K3337" s="2" t="str">
        <x:f>IF(OR(J3337="심의승인",J3337="반려",J3337="반려완료",J3337="심의완료"),"종결 표시",IF(OR(J3337="기후부협의",J3337="문서재제출요청",J3337="보류",J3337="보완요청",J3337="보완완료",J3337="평가중",J3337="반려요청",J3337="평가필요",LEFT(J3337,5)="보완요청("),"미종결 표시","상태 확인 필요"))</x:f>
        <x:v>미종결 표시</x:v>
      </x:c>
      <x:c r="L3337" s="2" t="str">
        <x:v>KECM_임하진</x:v>
      </x:c>
      <x:c r="M3337" s="2"/>
      <x:c r="N3337" s="8" t="n">
        <x:f>DATE(2026,10,15)-DATE(2025,10,15)</x:f>
        <x:v>365</x:v>
      </x:c>
      <x:c r="O3337" s="2"/>
      <x:c r="P3337" s="2" t="str">
        <x:v>모니터링보고서 및 검증보고서에 대한 정보 비공개 신청을 철회합니다.</x:v>
      </x:c>
      <x:c r="Q3337" s="2" t="str">
        <x:v>산업전환 외부사업 정보비공개 신청 관리 Tool_260707_LJY_261013.xlsx</x:v>
      </x:c>
      <x:c r="R3337" s="2" t="str">
        <x:v>(비공개)국내인증</x:v>
      </x:c>
      <x:c r="S3337" s="8" t="n">
        <x:v>115</x:v>
      </x:c>
      <x:c r="T3337" s="2"/>
      <x:c r="U3337" s="2" t="str"/>
      <x:c r="V3337" s="2" t="str">
        <x:v>2025-10-14</x:v>
      </x:c>
      <x:c r="W3337" s="2" t="str"/>
      <x:c r="X3337" s="2" t="str">
        <x:v>검토 진행 일정 확인</x:v>
      </x:c>
      <x:c r="Y3337" s="2" t="str">
        <x:v>22df6d619b696c1eba8e26790f6382083d9fb1bc48481283e3e8a92ea6897677</x:v>
      </x:c>
      <x:c r="Z3337" s="2" t="n">
        <x:f>SUBTOTAL(103,A3337)</x:f>
        <x:v>1</x:v>
      </x:c>
      <x:c r="AA3337" s="2" t="str">
        <x:f>IF(K3337&lt;&gt;"미종결 표시","대상 아님",IF(N3337="","신청일 확인",IF(NOT(ISNUMBER('종합 현황'!$H$5)),"관찰기준 확인",IF('종합 현황'!$H$5&lt;1,"관찰기준 확인",IF(N3337&gt;'종합 현황'!$H$5,"내부 관찰 대상","내부 관찰일 이하")))))</x:f>
        <x:v>내부 관찰 대상</x:v>
      </x:c>
      <x:c r="AB3337" s="2"/>
    </x:row>
    <x:row r="3338" ht="42" customHeight="1">
      <x:c r="A3338" s="2" t="str">
        <x:v>fa5c171155f892c3a9db9eab</x:v>
      </x:c>
      <x:c r="B3338" s="2" t="str">
        <x:v>인증 비공개 신청</x:v>
      </x:c>
      <x:c r="C3338" s="2" t="str">
        <x:v>국내</x:v>
      </x:c>
      <x:c r="D3338" s="7" t="str">
        <x:v>서울 번동 주공 5단지 아파트 연료전환을 통한 온실가스 감축사업</x:v>
      </x:c>
      <x:c r="E3338" s="2" t="str">
        <x:v>114</x:v>
      </x:c>
      <x:c r="F3338" s="2" t="str">
        <x:v>2025-10-15</x:v>
      </x:c>
      <x:c r="G3338" s="2" t="str">
        <x:v>2025</x:v>
      </x:c>
      <x:c r="H3338" s="2" t="str">
        <x:v>10</x:v>
      </x:c>
      <x:c r="I3338" s="2" t="str">
        <x:v>보완완료</x:v>
      </x:c>
      <x:c r="J3338" s="2" t="str">
        <x:v>반려요청</x:v>
      </x:c>
      <x:c r="K3338" s="2" t="str">
        <x:f>IF(OR(J3338="심의승인",J3338="반려",J3338="반려완료",J3338="심의완료"),"종결 표시",IF(OR(J3338="기후부협의",J3338="문서재제출요청",J3338="보류",J3338="보완요청",J3338="보완완료",J3338="평가중",J3338="반려요청",J3338="평가필요",LEFT(J3338,5)="보완요청("),"미종결 표시","상태 확인 필요"))</x:f>
        <x:v>미종결 표시</x:v>
      </x:c>
      <x:c r="L3338" s="2" t="str">
        <x:v>KECM_임하진</x:v>
      </x:c>
      <x:c r="M3338" s="2"/>
      <x:c r="N3338" s="8" t="n">
        <x:f>DATE(2026,10,15)-DATE(2025,10,15)</x:f>
        <x:v>365</x:v>
      </x:c>
      <x:c r="O3338" s="2"/>
      <x:c r="P3338" s="2" t="str">
        <x:v>모니터링보고서 및 검증보고서에 대한 정보 비공개 신청을 철회합니다.</x:v>
      </x:c>
      <x:c r="Q3338" s="2" t="str">
        <x:v>산업전환 외부사업 정보비공개 신청 관리 Tool_260707_LJY_261013.xlsx</x:v>
      </x:c>
      <x:c r="R3338" s="2" t="str">
        <x:v>(비공개)국내인증</x:v>
      </x:c>
      <x:c r="S3338" s="8" t="n">
        <x:v>116</x:v>
      </x:c>
      <x:c r="T3338" s="2"/>
      <x:c r="U3338" s="2" t="str"/>
      <x:c r="V3338" s="2" t="str">
        <x:v>2025-10-14</x:v>
      </x:c>
      <x:c r="W3338" s="2" t="str"/>
      <x:c r="X3338" s="2" t="str">
        <x:v>검토 진행 일정 확인</x:v>
      </x:c>
      <x:c r="Y3338" s="2" t="str">
        <x:v>22df6d619b696c1eba8e26790f6382083d9fb1bc48481283e3e8a92ea6897677</x:v>
      </x:c>
      <x:c r="Z3338" s="2" t="n">
        <x:f>SUBTOTAL(103,A3338)</x:f>
        <x:v>1</x:v>
      </x:c>
      <x:c r="AA3338" s="2" t="str">
        <x:f>IF(K3338&lt;&gt;"미종결 표시","대상 아님",IF(N3338="","신청일 확인",IF(NOT(ISNUMBER('종합 현황'!$H$5)),"관찰기준 확인",IF('종합 현황'!$H$5&lt;1,"관찰기준 확인",IF(N3338&gt;'종합 현황'!$H$5,"내부 관찰 대상","내부 관찰일 이하")))))</x:f>
        <x:v>내부 관찰 대상</x:v>
      </x:c>
      <x:c r="AB3338" s="2"/>
    </x:row>
    <x:row r="3339" ht="42" customHeight="1">
      <x:c r="A3339" s="2" t="str">
        <x:v>bbb255a78c26d2e473521c6e</x:v>
      </x:c>
      <x:c r="B3339" s="2" t="str">
        <x:v>인증 비공개 신청</x:v>
      </x:c>
      <x:c r="C3339" s="2" t="str">
        <x:v>국내</x:v>
      </x:c>
      <x:c r="D3339" s="7" t="str">
        <x:v>서울 번동 주공3단지 아파트연료전환을 통한 온실가스 감축사업</x:v>
      </x:c>
      <x:c r="E3339" s="2" t="str">
        <x:v>115</x:v>
      </x:c>
      <x:c r="F3339" s="2" t="str">
        <x:v>2025-10-15</x:v>
      </x:c>
      <x:c r="G3339" s="2" t="str">
        <x:v>2025</x:v>
      </x:c>
      <x:c r="H3339" s="2" t="str">
        <x:v>10</x:v>
      </x:c>
      <x:c r="I3339" s="2" t="str">
        <x:v>보완완료</x:v>
      </x:c>
      <x:c r="J3339" s="2" t="str">
        <x:v>반려요청</x:v>
      </x:c>
      <x:c r="K3339" s="2" t="str">
        <x:f>IF(OR(J3339="심의승인",J3339="반려",J3339="반려완료",J3339="심의완료"),"종결 표시",IF(OR(J3339="기후부협의",J3339="문서재제출요청",J3339="보류",J3339="보완요청",J3339="보완완료",J3339="평가중",J3339="반려요청",J3339="평가필요",LEFT(J3339,5)="보완요청("),"미종결 표시","상태 확인 필요"))</x:f>
        <x:v>미종결 표시</x:v>
      </x:c>
      <x:c r="L3339" s="2" t="str">
        <x:v>KECM_임하진</x:v>
      </x:c>
      <x:c r="M3339" s="2"/>
      <x:c r="N3339" s="8" t="n">
        <x:f>DATE(2026,10,15)-DATE(2025,10,15)</x:f>
        <x:v>365</x:v>
      </x:c>
      <x:c r="O3339" s="2"/>
      <x:c r="P3339" s="2" t="str">
        <x:v>모니터링보고서 및 검증보고서에 대한 정보 비공개 신청을 철회합니다.</x:v>
      </x:c>
      <x:c r="Q3339" s="2" t="str">
        <x:v>산업전환 외부사업 정보비공개 신청 관리 Tool_260707_LJY_261013.xlsx</x:v>
      </x:c>
      <x:c r="R3339" s="2" t="str">
        <x:v>(비공개)국내인증</x:v>
      </x:c>
      <x:c r="S3339" s="8" t="n">
        <x:v>117</x:v>
      </x:c>
      <x:c r="T3339" s="2"/>
      <x:c r="U3339" s="2" t="str"/>
      <x:c r="V3339" s="2" t="str">
        <x:v>2025-10-14</x:v>
      </x:c>
      <x:c r="W3339" s="2" t="str"/>
      <x:c r="X3339" s="2" t="str">
        <x:v>검토 진행 일정 확인</x:v>
      </x:c>
      <x:c r="Y3339" s="2" t="str">
        <x:v>22df6d619b696c1eba8e26790f6382083d9fb1bc48481283e3e8a92ea6897677</x:v>
      </x:c>
      <x:c r="Z3339" s="2" t="n">
        <x:f>SUBTOTAL(103,A3339)</x:f>
        <x:v>1</x:v>
      </x:c>
      <x:c r="AA3339" s="2" t="str">
        <x:f>IF(K3339&lt;&gt;"미종결 표시","대상 아님",IF(N3339="","신청일 확인",IF(NOT(ISNUMBER('종합 현황'!$H$5)),"관찰기준 확인",IF('종합 현황'!$H$5&lt;1,"관찰기준 확인",IF(N3339&gt;'종합 현황'!$H$5,"내부 관찰 대상","내부 관찰일 이하")))))</x:f>
        <x:v>내부 관찰 대상</x:v>
      </x:c>
      <x:c r="AB3339" s="2"/>
    </x:row>
    <x:row r="3340" ht="42" customHeight="1">
      <x:c r="A3340" s="2" t="str">
        <x:v>c6301b3a06efdb754fd85b38</x:v>
      </x:c>
      <x:c r="B3340" s="2" t="str">
        <x:v>인증 비공개 신청</x:v>
      </x:c>
      <x:c r="C3340" s="2" t="str">
        <x:v>국내</x:v>
      </x:c>
      <x:c r="D3340" s="7" t="str">
        <x:v>서울 번동 주공2단지 아파트 연료전환을 통한 온실가스 감축사업</x:v>
      </x:c>
      <x:c r="E3340" s="2" t="str">
        <x:v>116</x:v>
      </x:c>
      <x:c r="F3340" s="2" t="str">
        <x:v>2025-10-15</x:v>
      </x:c>
      <x:c r="G3340" s="2" t="str">
        <x:v>2025</x:v>
      </x:c>
      <x:c r="H3340" s="2" t="str">
        <x:v>10</x:v>
      </x:c>
      <x:c r="I3340" s="2" t="str">
        <x:v>보완완료</x:v>
      </x:c>
      <x:c r="J3340" s="2" t="str">
        <x:v>반려요청</x:v>
      </x:c>
      <x:c r="K3340" s="2" t="str">
        <x:f>IF(OR(J3340="심의승인",J3340="반려",J3340="반려완료",J3340="심의완료"),"종결 표시",IF(OR(J3340="기후부협의",J3340="문서재제출요청",J3340="보류",J3340="보완요청",J3340="보완완료",J3340="평가중",J3340="반려요청",J3340="평가필요",LEFT(J3340,5)="보완요청("),"미종결 표시","상태 확인 필요"))</x:f>
        <x:v>미종결 표시</x:v>
      </x:c>
      <x:c r="L3340" s="2" t="str">
        <x:v>KECM_임하진</x:v>
      </x:c>
      <x:c r="M3340" s="2"/>
      <x:c r="N3340" s="8" t="n">
        <x:f>DATE(2026,10,15)-DATE(2025,10,15)</x:f>
        <x:v>365</x:v>
      </x:c>
      <x:c r="O3340" s="2"/>
      <x:c r="P3340" s="2" t="str">
        <x:v>모니터링보고서 및 검증보고서에 대한 정보 비공개 신청을 철회합니다.</x:v>
      </x:c>
      <x:c r="Q3340" s="2" t="str">
        <x:v>산업전환 외부사업 정보비공개 신청 관리 Tool_260707_LJY_261013.xlsx</x:v>
      </x:c>
      <x:c r="R3340" s="2" t="str">
        <x:v>(비공개)국내인증</x:v>
      </x:c>
      <x:c r="S3340" s="8" t="n">
        <x:v>118</x:v>
      </x:c>
      <x:c r="T3340" s="2"/>
      <x:c r="U3340" s="2" t="str"/>
      <x:c r="V3340" s="2" t="str">
        <x:v>2025-10-14</x:v>
      </x:c>
      <x:c r="W3340" s="2" t="str"/>
      <x:c r="X3340" s="2" t="str">
        <x:v>검토 진행 일정 확인</x:v>
      </x:c>
      <x:c r="Y3340" s="2" t="str">
        <x:v>22df6d619b696c1eba8e26790f6382083d9fb1bc48481283e3e8a92ea6897677</x:v>
      </x:c>
      <x:c r="Z3340" s="2" t="n">
        <x:f>SUBTOTAL(103,A3340)</x:f>
        <x:v>1</x:v>
      </x:c>
      <x:c r="AA3340" s="2" t="str">
        <x:f>IF(K3340&lt;&gt;"미종결 표시","대상 아님",IF(N3340="","신청일 확인",IF(NOT(ISNUMBER('종합 현황'!$H$5)),"관찰기준 확인",IF('종합 현황'!$H$5&lt;1,"관찰기준 확인",IF(N3340&gt;'종합 현황'!$H$5,"내부 관찰 대상","내부 관찰일 이하")))))</x:f>
        <x:v>내부 관찰 대상</x:v>
      </x:c>
      <x:c r="AB3340" s="2"/>
    </x:row>
    <x:row r="3341" ht="42" customHeight="1">
      <x:c r="A3341" s="2" t="str">
        <x:v>f1e4e600e1efd9f76ef13051</x:v>
      </x:c>
      <x:c r="B3341" s="2" t="str">
        <x:v>인증 비공개 신청</x:v>
      </x:c>
      <x:c r="C3341" s="2" t="str">
        <x:v>국내</x:v>
      </x:c>
      <x:c r="D3341" s="7" t="str">
        <x:v>부천 춘의단지 아파트 연료전환을 통한 온실가스 감축사업</x:v>
      </x:c>
      <x:c r="E3341" s="2" t="str">
        <x:v>117</x:v>
      </x:c>
      <x:c r="F3341" s="2" t="str">
        <x:v>2025-10-15</x:v>
      </x:c>
      <x:c r="G3341" s="2" t="str">
        <x:v>2025</x:v>
      </x:c>
      <x:c r="H3341" s="2" t="str">
        <x:v>10</x:v>
      </x:c>
      <x:c r="I3341" s="2" t="str">
        <x:v>보완완료</x:v>
      </x:c>
      <x:c r="J3341" s="2" t="str">
        <x:v>반려요청</x:v>
      </x:c>
      <x:c r="K3341" s="2" t="str">
        <x:f>IF(OR(J3341="심의승인",J3341="반려",J3341="반려완료",J3341="심의완료"),"종결 표시",IF(OR(J3341="기후부협의",J3341="문서재제출요청",J3341="보류",J3341="보완요청",J3341="보완완료",J3341="평가중",J3341="반려요청",J3341="평가필요",LEFT(J3341,5)="보완요청("),"미종결 표시","상태 확인 필요"))</x:f>
        <x:v>미종결 표시</x:v>
      </x:c>
      <x:c r="L3341" s="2" t="str">
        <x:v>KECM_임하진</x:v>
      </x:c>
      <x:c r="M3341" s="2"/>
      <x:c r="N3341" s="8" t="n">
        <x:f>DATE(2026,10,15)-DATE(2025,10,15)</x:f>
        <x:v>365</x:v>
      </x:c>
      <x:c r="O3341" s="2"/>
      <x:c r="P3341" s="2" t="str">
        <x:v>모니터링보고서 및 검증보고서에 대한 정보 비공개 신청을 철회합니다.</x:v>
      </x:c>
      <x:c r="Q3341" s="2" t="str">
        <x:v>산업전환 외부사업 정보비공개 신청 관리 Tool_260707_LJY_261013.xlsx</x:v>
      </x:c>
      <x:c r="R3341" s="2" t="str">
        <x:v>(비공개)국내인증</x:v>
      </x:c>
      <x:c r="S3341" s="8" t="n">
        <x:v>119</x:v>
      </x:c>
      <x:c r="T3341" s="2"/>
      <x:c r="U3341" s="2" t="str"/>
      <x:c r="V3341" s="2" t="str">
        <x:v>2025-10-14</x:v>
      </x:c>
      <x:c r="W3341" s="2" t="str"/>
      <x:c r="X3341" s="2" t="str">
        <x:v>검토 진행 일정 확인</x:v>
      </x:c>
      <x:c r="Y3341" s="2" t="str">
        <x:v>22df6d619b696c1eba8e26790f6382083d9fb1bc48481283e3e8a92ea6897677</x:v>
      </x:c>
      <x:c r="Z3341" s="2" t="n">
        <x:f>SUBTOTAL(103,A3341)</x:f>
        <x:v>1</x:v>
      </x:c>
      <x:c r="AA3341" s="2" t="str">
        <x:f>IF(K3341&lt;&gt;"미종결 표시","대상 아님",IF(N3341="","신청일 확인",IF(NOT(ISNUMBER('종합 현황'!$H$5)),"관찰기준 확인",IF('종합 현황'!$H$5&lt;1,"관찰기준 확인",IF(N3341&gt;'종합 현황'!$H$5,"내부 관찰 대상","내부 관찰일 이하")))))</x:f>
        <x:v>내부 관찰 대상</x:v>
      </x:c>
      <x:c r="AB3341" s="2"/>
    </x:row>
    <x:row r="3342" ht="42" customHeight="1">
      <x:c r="A3342" s="2" t="str">
        <x:v>f28769d4b42eb657043780ea</x:v>
      </x:c>
      <x:c r="B3342" s="2" t="str">
        <x:v>인증 비공개 신청</x:v>
      </x:c>
      <x:c r="C3342" s="2" t="str">
        <x:v>국내</x:v>
      </x:c>
      <x:c r="D3342" s="7" t="str">
        <x:v>광주 하남 주공 1차 아파트 연료전환을 통한 온실가스 감축사업</x:v>
      </x:c>
      <x:c r="E3342" s="2" t="str">
        <x:v>118</x:v>
      </x:c>
      <x:c r="F3342" s="2" t="str">
        <x:v>2025-10-15</x:v>
      </x:c>
      <x:c r="G3342" s="2" t="str">
        <x:v>2025</x:v>
      </x:c>
      <x:c r="H3342" s="2" t="str">
        <x:v>10</x:v>
      </x:c>
      <x:c r="I3342" s="2" t="str">
        <x:v>보완완료</x:v>
      </x:c>
      <x:c r="J3342" s="2" t="str">
        <x:v>반려요청</x:v>
      </x:c>
      <x:c r="K3342" s="2" t="str">
        <x:f>IF(OR(J3342="심의승인",J3342="반려",J3342="반려완료",J3342="심의완료"),"종결 표시",IF(OR(J3342="기후부협의",J3342="문서재제출요청",J3342="보류",J3342="보완요청",J3342="보완완료",J3342="평가중",J3342="반려요청",J3342="평가필요",LEFT(J3342,5)="보완요청("),"미종결 표시","상태 확인 필요"))</x:f>
        <x:v>미종결 표시</x:v>
      </x:c>
      <x:c r="L3342" s="2" t="str">
        <x:v>KECM_임하진</x:v>
      </x:c>
      <x:c r="M3342" s="2"/>
      <x:c r="N3342" s="8" t="n">
        <x:f>DATE(2026,10,15)-DATE(2025,10,15)</x:f>
        <x:v>365</x:v>
      </x:c>
      <x:c r="O3342" s="2"/>
      <x:c r="P3342" s="2" t="str">
        <x:v>모니터링보고서 및 검증보고서에 대한 정보 비공개 신청을 철회합니다.</x:v>
      </x:c>
      <x:c r="Q3342" s="2" t="str">
        <x:v>산업전환 외부사업 정보비공개 신청 관리 Tool_260707_LJY_261013.xlsx</x:v>
      </x:c>
      <x:c r="R3342" s="2" t="str">
        <x:v>(비공개)국내인증</x:v>
      </x:c>
      <x:c r="S3342" s="8" t="n">
        <x:v>120</x:v>
      </x:c>
      <x:c r="T3342" s="2"/>
      <x:c r="U3342" s="2" t="str"/>
      <x:c r="V3342" s="2" t="str">
        <x:v>2025-10-14</x:v>
      </x:c>
      <x:c r="W3342" s="2" t="str"/>
      <x:c r="X3342" s="2" t="str">
        <x:v>검토 진행 일정 확인</x:v>
      </x:c>
      <x:c r="Y3342" s="2" t="str">
        <x:v>22df6d619b696c1eba8e26790f6382083d9fb1bc48481283e3e8a92ea6897677</x:v>
      </x:c>
      <x:c r="Z3342" s="2" t="n">
        <x:f>SUBTOTAL(103,A3342)</x:f>
        <x:v>1</x:v>
      </x:c>
      <x:c r="AA3342" s="2" t="str">
        <x:f>IF(K3342&lt;&gt;"미종결 표시","대상 아님",IF(N3342="","신청일 확인",IF(NOT(ISNUMBER('종합 현황'!$H$5)),"관찰기준 확인",IF('종합 현황'!$H$5&lt;1,"관찰기준 확인",IF(N3342&gt;'종합 현황'!$H$5,"내부 관찰 대상","내부 관찰일 이하")))))</x:f>
        <x:v>내부 관찰 대상</x:v>
      </x:c>
      <x:c r="AB3342" s="2"/>
    </x:row>
    <x:row r="3343" ht="42" customHeight="1">
      <x:c r="A3343" s="2" t="str">
        <x:v>d7cd0e839afa4328607b28a6</x:v>
      </x:c>
      <x:c r="B3343" s="2" t="str">
        <x:v>인증 비공개 신청</x:v>
      </x:c>
      <x:c r="C3343" s="2" t="str">
        <x:v>국내</x:v>
      </x:c>
      <x:c r="D3343" s="7" t="str">
        <x:v>광주 우산 주공 3단지 아파트 연료전환을 통한 온실가스 감축사업</x:v>
      </x:c>
      <x:c r="E3343" s="2" t="str">
        <x:v>119</x:v>
      </x:c>
      <x:c r="F3343" s="2" t="str">
        <x:v>2025-10-15</x:v>
      </x:c>
      <x:c r="G3343" s="2" t="str">
        <x:v>2025</x:v>
      </x:c>
      <x:c r="H3343" s="2" t="str">
        <x:v>10</x:v>
      </x:c>
      <x:c r="I3343" s="2" t="str">
        <x:v>보완완료</x:v>
      </x:c>
      <x:c r="J3343" s="2" t="str">
        <x:v>반려요청</x:v>
      </x:c>
      <x:c r="K3343" s="2" t="str">
        <x:f>IF(OR(J3343="심의승인",J3343="반려",J3343="반려완료",J3343="심의완료"),"종결 표시",IF(OR(J3343="기후부협의",J3343="문서재제출요청",J3343="보류",J3343="보완요청",J3343="보완완료",J3343="평가중",J3343="반려요청",J3343="평가필요",LEFT(J3343,5)="보완요청("),"미종결 표시","상태 확인 필요"))</x:f>
        <x:v>미종결 표시</x:v>
      </x:c>
      <x:c r="L3343" s="2" t="str">
        <x:v>KECM_임하진</x:v>
      </x:c>
      <x:c r="M3343" s="2"/>
      <x:c r="N3343" s="8" t="n">
        <x:f>DATE(2026,10,15)-DATE(2025,10,15)</x:f>
        <x:v>365</x:v>
      </x:c>
      <x:c r="O3343" s="2"/>
      <x:c r="P3343" s="2" t="str">
        <x:v>모니터링보고서 및 검증보고서에 대한 정보 비공개 신청을 철회합니다.</x:v>
      </x:c>
      <x:c r="Q3343" s="2" t="str">
        <x:v>산업전환 외부사업 정보비공개 신청 관리 Tool_260707_LJY_261013.xlsx</x:v>
      </x:c>
      <x:c r="R3343" s="2" t="str">
        <x:v>(비공개)국내인증</x:v>
      </x:c>
      <x:c r="S3343" s="8" t="n">
        <x:v>121</x:v>
      </x:c>
      <x:c r="T3343" s="2"/>
      <x:c r="U3343" s="2" t="str"/>
      <x:c r="V3343" s="2" t="str">
        <x:v>2025-10-14</x:v>
      </x:c>
      <x:c r="W3343" s="2" t="str"/>
      <x:c r="X3343" s="2" t="str">
        <x:v>검토 진행 일정 확인</x:v>
      </x:c>
      <x:c r="Y3343" s="2" t="str">
        <x:v>22df6d619b696c1eba8e26790f6382083d9fb1bc48481283e3e8a92ea6897677</x:v>
      </x:c>
      <x:c r="Z3343" s="2" t="n">
        <x:f>SUBTOTAL(103,A3343)</x:f>
        <x:v>1</x:v>
      </x:c>
      <x:c r="AA3343" s="2" t="str">
        <x:f>IF(K3343&lt;&gt;"미종결 표시","대상 아님",IF(N3343="","신청일 확인",IF(NOT(ISNUMBER('종합 현황'!$H$5)),"관찰기준 확인",IF('종합 현황'!$H$5&lt;1,"관찰기준 확인",IF(N3343&gt;'종합 현황'!$H$5,"내부 관찰 대상","내부 관찰일 이하")))))</x:f>
        <x:v>내부 관찰 대상</x:v>
      </x:c>
      <x:c r="AB3343" s="2"/>
    </x:row>
    <x:row r="3344" ht="42" customHeight="1">
      <x:c r="A3344" s="2" t="str">
        <x:v>45e59efff41088a7c80266a3</x:v>
      </x:c>
      <x:c r="B3344" s="2" t="str">
        <x:v>인증 비공개 신청</x:v>
      </x:c>
      <x:c r="C3344" s="2" t="str">
        <x:v>국내</x:v>
      </x:c>
      <x:c r="D3344" s="7" t="str">
        <x:v>광주 오치 주공 1단지 아파트 연료전환을 통한 온실가스 감축사업</x:v>
      </x:c>
      <x:c r="E3344" s="2" t="str">
        <x:v>120</x:v>
      </x:c>
      <x:c r="F3344" s="2" t="str">
        <x:v>2025-10-15</x:v>
      </x:c>
      <x:c r="G3344" s="2" t="str">
        <x:v>2025</x:v>
      </x:c>
      <x:c r="H3344" s="2" t="str">
        <x:v>10</x:v>
      </x:c>
      <x:c r="I3344" s="2" t="str">
        <x:v>보완완료</x:v>
      </x:c>
      <x:c r="J3344" s="2" t="str">
        <x:v>반려요청</x:v>
      </x:c>
      <x:c r="K3344" s="2" t="str">
        <x:f>IF(OR(J3344="심의승인",J3344="반려",J3344="반려완료",J3344="심의완료"),"종결 표시",IF(OR(J3344="기후부협의",J3344="문서재제출요청",J3344="보류",J3344="보완요청",J3344="보완완료",J3344="평가중",J3344="반려요청",J3344="평가필요",LEFT(J3344,5)="보완요청("),"미종결 표시","상태 확인 필요"))</x:f>
        <x:v>미종결 표시</x:v>
      </x:c>
      <x:c r="L3344" s="2" t="str">
        <x:v>KECM_임하진</x:v>
      </x:c>
      <x:c r="M3344" s="2"/>
      <x:c r="N3344" s="8" t="n">
        <x:f>DATE(2026,10,15)-DATE(2025,10,15)</x:f>
        <x:v>365</x:v>
      </x:c>
      <x:c r="O3344" s="2"/>
      <x:c r="P3344" s="2" t="str">
        <x:v>모니터링보고서 및 검증보고서에 대한 정보 비공개 신청을 철회합니다.</x:v>
      </x:c>
      <x:c r="Q3344" s="2" t="str">
        <x:v>산업전환 외부사업 정보비공개 신청 관리 Tool_260707_LJY_261013.xlsx</x:v>
      </x:c>
      <x:c r="R3344" s="2" t="str">
        <x:v>(비공개)국내인증</x:v>
      </x:c>
      <x:c r="S3344" s="8" t="n">
        <x:v>122</x:v>
      </x:c>
      <x:c r="T3344" s="2"/>
      <x:c r="U3344" s="2" t="str"/>
      <x:c r="V3344" s="2" t="str">
        <x:v>2025-10-14</x:v>
      </x:c>
      <x:c r="W3344" s="2" t="str"/>
      <x:c r="X3344" s="2" t="str">
        <x:v>검토 진행 일정 확인</x:v>
      </x:c>
      <x:c r="Y3344" s="2" t="str">
        <x:v>22df6d619b696c1eba8e26790f6382083d9fb1bc48481283e3e8a92ea6897677</x:v>
      </x:c>
      <x:c r="Z3344" s="2" t="n">
        <x:f>SUBTOTAL(103,A3344)</x:f>
        <x:v>1</x:v>
      </x:c>
      <x:c r="AA3344" s="2" t="str">
        <x:f>IF(K3344&lt;&gt;"미종결 표시","대상 아님",IF(N3344="","신청일 확인",IF(NOT(ISNUMBER('종합 현황'!$H$5)),"관찰기준 확인",IF('종합 현황'!$H$5&lt;1,"관찰기준 확인",IF(N3344&gt;'종합 현황'!$H$5,"내부 관찰 대상","내부 관찰일 이하")))))</x:f>
        <x:v>내부 관찰 대상</x:v>
      </x:c>
      <x:c r="AB3344" s="2"/>
    </x:row>
    <x:row r="3345" ht="42" customHeight="1">
      <x:c r="A3345" s="2" t="str">
        <x:v>697078d34336384323f2df92</x:v>
      </x:c>
      <x:c r="B3345" s="2" t="str">
        <x:v>인증 비공개 신청</x:v>
      </x:c>
      <x:c r="C3345" s="2" t="str">
        <x:v>국내</x:v>
      </x:c>
      <x:c r="D3345" s="7" t="str">
        <x:v>광주 쌍촌 주공 아파트 연료전환을 통한 온실가스 감축사업</x:v>
      </x:c>
      <x:c r="E3345" s="2" t="str">
        <x:v>121</x:v>
      </x:c>
      <x:c r="F3345" s="2" t="str">
        <x:v>2025-09-18</x:v>
      </x:c>
      <x:c r="G3345" s="2" t="str">
        <x:v>2025</x:v>
      </x:c>
      <x:c r="H3345" s="2" t="str">
        <x:v>09</x:v>
      </x:c>
      <x:c r="I3345" s="2" t="str">
        <x:v>보완완료</x:v>
      </x:c>
      <x:c r="J3345" s="2" t="str">
        <x:v>반려요청</x:v>
      </x:c>
      <x:c r="K3345" s="2" t="str">
        <x:f>IF(OR(J3345="심의승인",J3345="반려",J3345="반려완료",J3345="심의완료"),"종결 표시",IF(OR(J3345="기후부협의",J3345="문서재제출요청",J3345="보류",J3345="보완요청",J3345="보완완료",J3345="평가중",J3345="반려요청",J3345="평가필요",LEFT(J3345,5)="보완요청("),"미종결 표시","상태 확인 필요"))</x:f>
        <x:v>미종결 표시</x:v>
      </x:c>
      <x:c r="L3345" s="2" t="str">
        <x:v>KECM_임하진</x:v>
      </x:c>
      <x:c r="M3345" s="2"/>
      <x:c r="N3345" s="8" t="n">
        <x:f>DATE(2026,10,15)-DATE(2025,9,18)</x:f>
        <x:v>392</x:v>
      </x:c>
      <x:c r="O3345" s="2"/>
      <x:c r="P3345" s="2" t="str">
        <x:v>모니터링보고서 및 검증보고서에 대한 정보 비공개 신청을 철회합니다.</x:v>
      </x:c>
      <x:c r="Q3345" s="2" t="str">
        <x:v>산업전환 외부사업 정보비공개 신청 관리 Tool_260707_LJY_261013.xlsx</x:v>
      </x:c>
      <x:c r="R3345" s="2" t="str">
        <x:v>(비공개)국내인증</x:v>
      </x:c>
      <x:c r="S3345" s="8" t="n">
        <x:v>123</x:v>
      </x:c>
      <x:c r="T3345" s="2"/>
      <x:c r="U3345" s="2" t="str"/>
      <x:c r="V3345" s="2" t="str">
        <x:v>2025-08-19</x:v>
      </x:c>
      <x:c r="W3345" s="2" t="str"/>
      <x:c r="X3345" s="2" t="str">
        <x:v>검토 진행 일정 확인</x:v>
      </x:c>
      <x:c r="Y3345" s="2" t="str">
        <x:v>22df6d619b696c1eba8e26790f6382083d9fb1bc48481283e3e8a92ea6897677</x:v>
      </x:c>
      <x:c r="Z3345" s="2" t="n">
        <x:f>SUBTOTAL(103,A3345)</x:f>
        <x:v>1</x:v>
      </x:c>
      <x:c r="AA3345" s="2" t="str">
        <x:f>IF(K3345&lt;&gt;"미종결 표시","대상 아님",IF(N3345="","신청일 확인",IF(NOT(ISNUMBER('종합 현황'!$H$5)),"관찰기준 확인",IF('종합 현황'!$H$5&lt;1,"관찰기준 확인",IF(N3345&gt;'종합 현황'!$H$5,"내부 관찰 대상","내부 관찰일 이하")))))</x:f>
        <x:v>내부 관찰 대상</x:v>
      </x:c>
      <x:c r="AB3345" s="2"/>
    </x:row>
    <x:row r="3346" ht="42" customHeight="1">
      <x:c r="A3346" s="2" t="str">
        <x:v>94b991fce108a1436cae10d3</x:v>
      </x:c>
      <x:c r="B3346" s="2" t="str">
        <x:v>인증 비공개 신청</x:v>
      </x:c>
      <x:c r="C3346" s="2" t="str">
        <x:v>국내</x:v>
      </x:c>
      <x:c r="D3346" s="7" t="str">
        <x:v>광주 두암 주공 4단지 아파트 연료전환을 통한 온실가스 감축사업</x:v>
      </x:c>
      <x:c r="E3346" s="2" t="str">
        <x:v>122</x:v>
      </x:c>
      <x:c r="F3346" s="2" t="str">
        <x:v>2025-10-15</x:v>
      </x:c>
      <x:c r="G3346" s="2" t="str">
        <x:v>2025</x:v>
      </x:c>
      <x:c r="H3346" s="2" t="str">
        <x:v>10</x:v>
      </x:c>
      <x:c r="I3346" s="2" t="str">
        <x:v>보완완료</x:v>
      </x:c>
      <x:c r="J3346" s="2" t="str">
        <x:v>반려요청</x:v>
      </x:c>
      <x:c r="K3346" s="2" t="str">
        <x:f>IF(OR(J3346="심의승인",J3346="반려",J3346="반려완료",J3346="심의완료"),"종결 표시",IF(OR(J3346="기후부협의",J3346="문서재제출요청",J3346="보류",J3346="보완요청",J3346="보완완료",J3346="평가중",J3346="반려요청",J3346="평가필요",LEFT(J3346,5)="보완요청("),"미종결 표시","상태 확인 필요"))</x:f>
        <x:v>미종결 표시</x:v>
      </x:c>
      <x:c r="L3346" s="2" t="str">
        <x:v>KECM_임하진</x:v>
      </x:c>
      <x:c r="M3346" s="2"/>
      <x:c r="N3346" s="8" t="n">
        <x:f>DATE(2026,10,15)-DATE(2025,10,15)</x:f>
        <x:v>365</x:v>
      </x:c>
      <x:c r="O3346" s="2"/>
      <x:c r="P3346" s="2" t="str">
        <x:v>모니터링보고서 및 검증보고서에 대한 정보 비공개 신청을 철회합니다.</x:v>
      </x:c>
      <x:c r="Q3346" s="2" t="str">
        <x:v>산업전환 외부사업 정보비공개 신청 관리 Tool_260707_LJY_261013.xlsx</x:v>
      </x:c>
      <x:c r="R3346" s="2" t="str">
        <x:v>(비공개)국내인증</x:v>
      </x:c>
      <x:c r="S3346" s="8" t="n">
        <x:v>124</x:v>
      </x:c>
      <x:c r="T3346" s="2"/>
      <x:c r="U3346" s="2" t="str"/>
      <x:c r="V3346" s="2" t="str">
        <x:v>2025-10-14</x:v>
      </x:c>
      <x:c r="W3346" s="2" t="str"/>
      <x:c r="X3346" s="2" t="str">
        <x:v>검토 진행 일정 확인</x:v>
      </x:c>
      <x:c r="Y3346" s="2" t="str">
        <x:v>22df6d619b696c1eba8e26790f6382083d9fb1bc48481283e3e8a92ea6897677</x:v>
      </x:c>
      <x:c r="Z3346" s="2" t="n">
        <x:f>SUBTOTAL(103,A3346)</x:f>
        <x:v>1</x:v>
      </x:c>
      <x:c r="AA3346" s="2" t="str">
        <x:f>IF(K3346&lt;&gt;"미종결 표시","대상 아님",IF(N3346="","신청일 확인",IF(NOT(ISNUMBER('종합 현황'!$H$5)),"관찰기준 확인",IF('종합 현황'!$H$5&lt;1,"관찰기준 확인",IF(N3346&gt;'종합 현황'!$H$5,"내부 관찰 대상","내부 관찰일 이하")))))</x:f>
        <x:v>내부 관찰 대상</x:v>
      </x:c>
      <x:c r="AB3346" s="2"/>
    </x:row>
    <x:row r="3347" ht="42" customHeight="1">
      <x:c r="A3347" s="2" t="str">
        <x:v>9119142ea02215766c8f8927</x:v>
      </x:c>
      <x:c r="B3347" s="2" t="str">
        <x:v>인증 비공개 신청</x:v>
      </x:c>
      <x:c r="C3347" s="2" t="str">
        <x:v>국내</x:v>
      </x:c>
      <x:c r="D3347" s="7" t="str">
        <x:v>광주 두암 주공 2단지 아파트 연료전환을 통한 온실가스 감축사업</x:v>
      </x:c>
      <x:c r="E3347" s="2" t="str">
        <x:v>123</x:v>
      </x:c>
      <x:c r="F3347" s="2" t="str">
        <x:v>2025-10-15</x:v>
      </x:c>
      <x:c r="G3347" s="2" t="str">
        <x:v>2025</x:v>
      </x:c>
      <x:c r="H3347" s="2" t="str">
        <x:v>10</x:v>
      </x:c>
      <x:c r="I3347" s="2" t="str">
        <x:v>보완완료</x:v>
      </x:c>
      <x:c r="J3347" s="2" t="str">
        <x:v>반려요청</x:v>
      </x:c>
      <x:c r="K3347" s="2" t="str">
        <x:f>IF(OR(J3347="심의승인",J3347="반려",J3347="반려완료",J3347="심의완료"),"종결 표시",IF(OR(J3347="기후부협의",J3347="문서재제출요청",J3347="보류",J3347="보완요청",J3347="보완완료",J3347="평가중",J3347="반려요청",J3347="평가필요",LEFT(J3347,5)="보완요청("),"미종결 표시","상태 확인 필요"))</x:f>
        <x:v>미종결 표시</x:v>
      </x:c>
      <x:c r="L3347" s="2" t="str">
        <x:v>KECM_임하진</x:v>
      </x:c>
      <x:c r="M3347" s="2"/>
      <x:c r="N3347" s="8" t="n">
        <x:f>DATE(2026,10,15)-DATE(2025,10,15)</x:f>
        <x:v>365</x:v>
      </x:c>
      <x:c r="O3347" s="2"/>
      <x:c r="P3347" s="2" t="str">
        <x:v>모니터링보고서 및 검증보고서에 대한 정보 비공개 신청을 철회합니다.</x:v>
      </x:c>
      <x:c r="Q3347" s="2" t="str">
        <x:v>산업전환 외부사업 정보비공개 신청 관리 Tool_260707_LJY_261013.xlsx</x:v>
      </x:c>
      <x:c r="R3347" s="2" t="str">
        <x:v>(비공개)국내인증</x:v>
      </x:c>
      <x:c r="S3347" s="8" t="n">
        <x:v>125</x:v>
      </x:c>
      <x:c r="T3347" s="2"/>
      <x:c r="U3347" s="2" t="str"/>
      <x:c r="V3347" s="2" t="str">
        <x:v>2025-10-14</x:v>
      </x:c>
      <x:c r="W3347" s="2" t="str"/>
      <x:c r="X3347" s="2" t="str">
        <x:v>검토 진행 일정 확인</x:v>
      </x:c>
      <x:c r="Y3347" s="2" t="str">
        <x:v>22df6d619b696c1eba8e26790f6382083d9fb1bc48481283e3e8a92ea6897677</x:v>
      </x:c>
      <x:c r="Z3347" s="2" t="n">
        <x:f>SUBTOTAL(103,A3347)</x:f>
        <x:v>1</x:v>
      </x:c>
      <x:c r="AA3347" s="2" t="str">
        <x:f>IF(K3347&lt;&gt;"미종결 표시","대상 아님",IF(N3347="","신청일 확인",IF(NOT(ISNUMBER('종합 현황'!$H$5)),"관찰기준 확인",IF('종합 현황'!$H$5&lt;1,"관찰기준 확인",IF(N3347&gt;'종합 현황'!$H$5,"내부 관찰 대상","내부 관찰일 이하")))))</x:f>
        <x:v>내부 관찰 대상</x:v>
      </x:c>
      <x:c r="AB3347" s="2"/>
    </x:row>
    <x:row r="3348" ht="42" customHeight="1">
      <x:c r="A3348" s="2" t="str">
        <x:v>643929244459af45e95e9e8f</x:v>
      </x:c>
      <x:c r="B3348" s="2" t="str">
        <x:v>인증 비공개 신청</x:v>
      </x:c>
      <x:c r="C3348" s="2" t="str">
        <x:v>국내</x:v>
      </x:c>
      <x:c r="D3348" s="7" t="str">
        <x:v>광주 각화 주공아파트 연료전환을 통한 온실가스 감축사업</x:v>
      </x:c>
      <x:c r="E3348" s="2" t="str">
        <x:v>124</x:v>
      </x:c>
      <x:c r="F3348" s="2" t="str">
        <x:v>2025-10-15</x:v>
      </x:c>
      <x:c r="G3348" s="2" t="str">
        <x:v>2025</x:v>
      </x:c>
      <x:c r="H3348" s="2" t="str">
        <x:v>10</x:v>
      </x:c>
      <x:c r="I3348" s="2" t="str">
        <x:v>보완완료</x:v>
      </x:c>
      <x:c r="J3348" s="2" t="str">
        <x:v>반려요청</x:v>
      </x:c>
      <x:c r="K3348" s="2" t="str">
        <x:f>IF(OR(J3348="심의승인",J3348="반려",J3348="반려완료",J3348="심의완료"),"종결 표시",IF(OR(J3348="기후부협의",J3348="문서재제출요청",J3348="보류",J3348="보완요청",J3348="보완완료",J3348="평가중",J3348="반려요청",J3348="평가필요",LEFT(J3348,5)="보완요청("),"미종결 표시","상태 확인 필요"))</x:f>
        <x:v>미종결 표시</x:v>
      </x:c>
      <x:c r="L3348" s="2" t="str">
        <x:v>KECM_임하진</x:v>
      </x:c>
      <x:c r="M3348" s="2"/>
      <x:c r="N3348" s="8" t="n">
        <x:f>DATE(2026,10,15)-DATE(2025,10,15)</x:f>
        <x:v>365</x:v>
      </x:c>
      <x:c r="O3348" s="2"/>
      <x:c r="P3348" s="2" t="str">
        <x:v>모니터링보고서 및 검증보고서에 대한 정보 비공개 신청을 철회합니다.</x:v>
      </x:c>
      <x:c r="Q3348" s="2" t="str">
        <x:v>산업전환 외부사업 정보비공개 신청 관리 Tool_260707_LJY_261013.xlsx</x:v>
      </x:c>
      <x:c r="R3348" s="2" t="str">
        <x:v>(비공개)국내인증</x:v>
      </x:c>
      <x:c r="S3348" s="8" t="n">
        <x:v>126</x:v>
      </x:c>
      <x:c r="T3348" s="2"/>
      <x:c r="U3348" s="2" t="str"/>
      <x:c r="V3348" s="2" t="str">
        <x:v>2025-10-14</x:v>
      </x:c>
      <x:c r="W3348" s="2" t="str"/>
      <x:c r="X3348" s="2" t="str">
        <x:v>검토 진행 일정 확인</x:v>
      </x:c>
      <x:c r="Y3348" s="2" t="str">
        <x:v>22df6d619b696c1eba8e26790f6382083d9fb1bc48481283e3e8a92ea6897677</x:v>
      </x:c>
      <x:c r="Z3348" s="2" t="n">
        <x:f>SUBTOTAL(103,A3348)</x:f>
        <x:v>1</x:v>
      </x:c>
      <x:c r="AA3348" s="2" t="str">
        <x:f>IF(K3348&lt;&gt;"미종결 표시","대상 아님",IF(N3348="","신청일 확인",IF(NOT(ISNUMBER('종합 현황'!$H$5)),"관찰기준 확인",IF('종합 현황'!$H$5&lt;1,"관찰기준 확인",IF(N3348&gt;'종합 현황'!$H$5,"내부 관찰 대상","내부 관찰일 이하")))))</x:f>
        <x:v>내부 관찰 대상</x:v>
      </x:c>
      <x:c r="AB3348" s="2"/>
    </x:row>
    <x:row r="3349" ht="42" customHeight="1">
      <x:c r="A3349" s="2" t="str">
        <x:v>bb2033ba1c6f378d32b9f6e3</x:v>
      </x:c>
      <x:c r="B3349" s="2" t="str">
        <x:v>인증 비공개 신청</x:v>
      </x:c>
      <x:c r="C3349" s="2" t="str">
        <x:v>국내</x:v>
      </x:c>
      <x:c r="D3349" s="7" t="str">
        <x:v>동서발전 당진 소수력 프로젝트</x:v>
      </x:c>
      <x:c r="E3349" s="2" t="str">
        <x:v>125</x:v>
      </x:c>
      <x:c r="F3349" s="2" t="str">
        <x:v>2017-08-17</x:v>
      </x:c>
      <x:c r="G3349" s="2" t="str">
        <x:v>2017</x:v>
      </x:c>
      <x:c r="H3349" s="2" t="str">
        <x:v>08</x:v>
      </x:c>
      <x:c r="I3349" s="2" t="str">
        <x:v>보완요청</x:v>
      </x:c>
      <x:c r="J3349" s="2" t="str">
        <x:v>보완요청</x:v>
      </x:c>
      <x:c r="K3349" s="2" t="str">
        <x:f>IF(OR(J3349="심의승인",J3349="반려",J3349="반려완료",J3349="심의완료"),"종결 표시",IF(OR(J3349="기후부협의",J3349="문서재제출요청",J3349="보류",J3349="보완요청",J3349="보완완료",J3349="평가중",J3349="반려요청",J3349="평가필요",LEFT(J3349,5)="보완요청("),"미종결 표시","상태 확인 필요"))</x:f>
        <x:v>미종결 표시</x:v>
      </x:c>
      <x:c r="L3349" s="2" t="str">
        <x:v>KECM_임하진</x:v>
      </x:c>
      <x:c r="M3349" s="2"/>
      <x:c r="N3349" s="8" t="n">
        <x:f>DATE(2026,10,15)-DATE(2017,8,17)</x:f>
        <x:v>3346</x:v>
      </x:c>
      <x:c r="O3349" s="2"/>
      <x:c r="P3349" s="2" t="str">
        <x:v>보완 요청 필요(사유 : 업무상 비밀보호)</x:v>
      </x:c>
      <x:c r="Q3349" s="2" t="str">
        <x:v>산업전환 외부사업 정보비공개 신청 관리 Tool_260707_LJY_261013.xlsx</x:v>
      </x:c>
      <x:c r="R3349" s="2" t="str">
        <x:v>(비공개)국내인증</x:v>
      </x:c>
      <x:c r="S3349" s="8" t="n">
        <x:v>127</x:v>
      </x:c>
      <x:c r="T3349" s="2"/>
      <x:c r="U3349" s="2" t="str"/>
      <x:c r="V3349" s="2" t="str">
        <x:v>2022-06-02</x:v>
      </x:c>
      <x:c r="W3349" s="2" t="str"/>
      <x:c r="X3349" s="2" t="str">
        <x:v>보완 회신 일정 확인</x:v>
      </x:c>
      <x:c r="Y3349" s="2" t="str">
        <x:v>22df6d619b696c1eba8e26790f6382083d9fb1bc48481283e3e8a92ea6897677</x:v>
      </x:c>
      <x:c r="Z3349" s="2" t="n">
        <x:f>SUBTOTAL(103,A3349)</x:f>
        <x:v>1</x:v>
      </x:c>
      <x:c r="AA3349" s="2" t="str">
        <x:f>IF(K3349&lt;&gt;"미종결 표시","대상 아님",IF(N3349="","신청일 확인",IF(NOT(ISNUMBER('종합 현황'!$H$5)),"관찰기준 확인",IF('종합 현황'!$H$5&lt;1,"관찰기준 확인",IF(N3349&gt;'종합 현황'!$H$5,"내부 관찰 대상","내부 관찰일 이하")))))</x:f>
        <x:v>내부 관찰 대상</x:v>
      </x:c>
      <x:c r="AB3349" s="2"/>
    </x:row>
    <x:row r="3350" ht="42" customHeight="1">
      <x:c r="A3350" s="2" t="str">
        <x:v>afa433d5b9849e8dbfffcdde</x:v>
      </x:c>
      <x:c r="B3350" s="2" t="str">
        <x:v>인증 비공개 신청</x:v>
      </x:c>
      <x:c r="C3350" s="2" t="str">
        <x:v>국내</x:v>
      </x:c>
      <x:c r="D3350" s="7" t="str">
        <x:v>LG 솔라에너지 태안 태양광발전소 사업</x:v>
      </x:c>
      <x:c r="E3350" s="2" t="str">
        <x:v>126</x:v>
      </x:c>
      <x:c r="F3350" s="2" t="str">
        <x:v>2017-04-12</x:v>
      </x:c>
      <x:c r="G3350" s="2" t="str">
        <x:v>2017</x:v>
      </x:c>
      <x:c r="H3350" s="2" t="str">
        <x:v>04</x:v>
      </x:c>
      <x:c r="I3350" s="2" t="str">
        <x:v>보완요청</x:v>
      </x:c>
      <x:c r="J3350" s="2" t="str">
        <x:v>보완요청</x:v>
      </x:c>
      <x:c r="K3350" s="2" t="str">
        <x:f>IF(OR(J3350="심의승인",J3350="반려",J3350="반려완료",J3350="심의완료"),"종결 표시",IF(OR(J3350="기후부협의",J3350="문서재제출요청",J3350="보류",J3350="보완요청",J3350="보완완료",J3350="평가중",J3350="반려요청",J3350="평가필요",LEFT(J3350,5)="보완요청("),"미종결 표시","상태 확인 필요"))</x:f>
        <x:v>미종결 표시</x:v>
      </x:c>
      <x:c r="L3350" s="2" t="str">
        <x:v>KECM_임하진</x:v>
      </x:c>
      <x:c r="M3350" s="2"/>
      <x:c r="N3350" s="8" t="n">
        <x:f>DATE(2026,10,15)-DATE(2017,4,12)</x:f>
        <x:v>3473</x:v>
      </x:c>
      <x:c r="O3350" s="2"/>
      <x:c r="P3350" s="2" t="str">
        <x:v>해당 사유로 승인 가능여부 확인 필요(사유: 발전소 설비 및 관리 세부 정보로 인해 비공개 신청)
* 발전설비 프로세스 </x:v>
      </x:c>
      <x:c r="Q3350" s="2" t="str">
        <x:v>산업전환 외부사업 정보비공개 신청 관리 Tool_260707_LJY_261013.xlsx</x:v>
      </x:c>
      <x:c r="R3350" s="2" t="str">
        <x:v>(비공개)국내인증</x:v>
      </x:c>
      <x:c r="S3350" s="8" t="n">
        <x:v>128</x:v>
      </x:c>
      <x:c r="T3350" s="2"/>
      <x:c r="U3350" s="2" t="str"/>
      <x:c r="V3350" s="2" t="str">
        <x:v>2022-06-02</x:v>
      </x:c>
      <x:c r="W3350" s="2" t="str"/>
      <x:c r="X3350" s="2" t="str">
        <x:v>보완 회신 일정 확인</x:v>
      </x:c>
      <x:c r="Y3350" s="2" t="str">
        <x:v>22df6d619b696c1eba8e26790f6382083d9fb1bc48481283e3e8a92ea6897677</x:v>
      </x:c>
      <x:c r="Z3350" s="2" t="n">
        <x:f>SUBTOTAL(103,A3350)</x:f>
        <x:v>1</x:v>
      </x:c>
      <x:c r="AA3350" s="2" t="str">
        <x:f>IF(K3350&lt;&gt;"미종결 표시","대상 아님",IF(N3350="","신청일 확인",IF(NOT(ISNUMBER('종합 현황'!$H$5)),"관찰기준 확인",IF('종합 현황'!$H$5&lt;1,"관찰기준 확인",IF(N3350&gt;'종합 현황'!$H$5,"내부 관찰 대상","내부 관찰일 이하")))))</x:f>
        <x:v>내부 관찰 대상</x:v>
      </x:c>
      <x:c r="AB3350" s="2"/>
    </x:row>
    <x:row r="3351" ht="42" customHeight="1">
      <x:c r="A3351" s="2" t="str">
        <x:v>ff0fc2ef533f8cfa5af56b9a</x:v>
      </x:c>
      <x:c r="B3351" s="2" t="str">
        <x:v>인증 비공개 신청</x:v>
      </x:c>
      <x:c r="C3351" s="2" t="str">
        <x:v>국외</x:v>
      </x:c>
      <x:c r="D3351" s="7" t="str">
        <x:v>아프리카 고효율 쿡스토브 보급 PoA 사업 : CPA 00008(가나)(한국 지원)</x:v>
      </x:c>
      <x:c r="E3351" s="2" t="str">
        <x:v>1</x:v>
      </x:c>
      <x:c r="F3351" s="2" t="str">
        <x:v>2022-09-06</x:v>
      </x:c>
      <x:c r="G3351" s="2" t="str">
        <x:v>2022</x:v>
      </x:c>
      <x:c r="H3351" s="2" t="str">
        <x:v>09</x:v>
      </x:c>
      <x:c r="I3351" s="2" t="str">
        <x:v>반려</x:v>
      </x:c>
      <x:c r="J3351" s="2" t="str">
        <x:v>반려완료</x:v>
      </x:c>
      <x:c r="K3351" s="2" t="str">
        <x:f>IF(OR(J3351="심의승인",J3351="반려",J3351="반려완료",J3351="심의완료"),"종결 표시",IF(OR(J3351="기후부협의",J3351="문서재제출요청",J3351="보류",J3351="보완요청",J3351="보완완료",J3351="평가중",J3351="반려요청",J3351="평가필요",LEFT(J3351,5)="보완요청("),"미종결 표시","상태 확인 필요"))</x:f>
        <x:v>종결 표시</x:v>
      </x:c>
      <x:c r="L3351" s="2" t="str">
        <x:v>에코시안_기샛별</x:v>
      </x:c>
      <x:c r="M3351" s="2"/>
      <x:c r="N3351" s="8" t="n">
        <x:f>DATE(2026,10,15)-DATE(2022,9,6)</x:f>
        <x:v>1500</x:v>
      </x:c>
      <x:c r="O3351" s="2"/>
      <x:c r="P3351" s="2" t="str">
        <x:v>모니터링보고서 및 검증보고서 내 보안유지 필요부분 구체화 필요(회사 내규)</x:v>
      </x:c>
      <x:c r="Q3351" s="2" t="str">
        <x:v>산업전환 외부사업 정보비공개 신청 관리 Tool_260707_LJY_261013.xlsx</x:v>
      </x:c>
      <x:c r="R3351" s="2" t="str">
        <x:v>(비공개)국외인증</x:v>
      </x:c>
      <x:c r="S3351" s="8" t="n">
        <x:v>2</x:v>
      </x:c>
      <x:c r="T3351" s="2"/>
      <x:c r="U3351" s="2" t="str"/>
      <x:c r="V3351" s="2" t="str">
        <x:v>2022-09-14</x:v>
      </x:c>
      <x:c r="W3351" s="2" t="str"/>
      <x:c r="X3351" s="2" t="str">
        <x:v>종결 근거 보관</x:v>
      </x:c>
      <x:c r="Y3351" s="2" t="str">
        <x:v>22df6d619b696c1eba8e26790f6382083d9fb1bc48481283e3e8a92ea6897677</x:v>
      </x:c>
      <x:c r="Z3351" s="2" t="n">
        <x:f>SUBTOTAL(103,A3351)</x:f>
        <x:v>1</x:v>
      </x:c>
      <x:c r="AA3351" s="2" t="str">
        <x:f>IF(K3351&lt;&gt;"미종결 표시","대상 아님",IF(N3351="","신청일 확인",IF(NOT(ISNUMBER('종합 현황'!$H$5)),"관찰기준 확인",IF('종합 현황'!$H$5&lt;1,"관찰기준 확인",IF(N3351&gt;'종합 현황'!$H$5,"내부 관찰 대상","내부 관찰일 이하")))))</x:f>
        <x:v>대상 아님</x:v>
      </x:c>
      <x:c r="AB3351" s="2"/>
    </x:row>
    <x:row r="3352" ht="42" customHeight="1">
      <x:c r="A3352" s="2" t="str">
        <x:v>a977ad9a9136240401a1b750</x:v>
      </x:c>
      <x:c r="B3352" s="2" t="str">
        <x:v>인증 비공개 신청</x:v>
      </x:c>
      <x:c r="C3352" s="2" t="str">
        <x:v>국외</x:v>
      </x:c>
      <x:c r="D3352" s="7" t="str">
        <x:v>아프리카 고효율 쿡스토브 보급 PoA 사업 : CPA 00009(가나)(한국 지원)</x:v>
      </x:c>
      <x:c r="E3352" s="2" t="str">
        <x:v>2</x:v>
      </x:c>
      <x:c r="F3352" s="2" t="str">
        <x:v>2022-09-06</x:v>
      </x:c>
      <x:c r="G3352" s="2" t="str">
        <x:v>2022</x:v>
      </x:c>
      <x:c r="H3352" s="2" t="str">
        <x:v>09</x:v>
      </x:c>
      <x:c r="I3352" s="2" t="str">
        <x:v>반려</x:v>
      </x:c>
      <x:c r="J3352" s="2" t="str">
        <x:v>반려완료</x:v>
      </x:c>
      <x:c r="K3352" s="2" t="str">
        <x:f>IF(OR(J3352="심의승인",J3352="반려",J3352="반려완료",J3352="심의완료"),"종결 표시",IF(OR(J3352="기후부협의",J3352="문서재제출요청",J3352="보류",J3352="보완요청",J3352="보완완료",J3352="평가중",J3352="반려요청",J3352="평가필요",LEFT(J3352,5)="보완요청("),"미종결 표시","상태 확인 필요"))</x:f>
        <x:v>종결 표시</x:v>
      </x:c>
      <x:c r="L3352" s="2" t="str">
        <x:v>에코시안_기샛별</x:v>
      </x:c>
      <x:c r="M3352" s="2"/>
      <x:c r="N3352" s="8" t="n">
        <x:f>DATE(2026,10,15)-DATE(2022,9,6)</x:f>
        <x:v>1500</x:v>
      </x:c>
      <x:c r="O3352" s="2"/>
      <x:c r="P3352" s="2" t="str">
        <x:v>모니터링보고서 및 검증보고서 내 보안유지 필요부분 구체화 필요</x:v>
      </x:c>
      <x:c r="Q3352" s="2" t="str">
        <x:v>산업전환 외부사업 정보비공개 신청 관리 Tool_260707_LJY_261013.xlsx</x:v>
      </x:c>
      <x:c r="R3352" s="2" t="str">
        <x:v>(비공개)국외인증</x:v>
      </x:c>
      <x:c r="S3352" s="8" t="n">
        <x:v>3</x:v>
      </x:c>
      <x:c r="T3352" s="2"/>
      <x:c r="U3352" s="2" t="str"/>
      <x:c r="V3352" s="2" t="str">
        <x:v>2022-09-14</x:v>
      </x:c>
      <x:c r="W3352" s="2" t="str"/>
      <x:c r="X3352" s="2" t="str">
        <x:v>종결 근거 보관</x:v>
      </x:c>
      <x:c r="Y3352" s="2" t="str">
        <x:v>22df6d619b696c1eba8e26790f6382083d9fb1bc48481283e3e8a92ea6897677</x:v>
      </x:c>
      <x:c r="Z3352" s="2" t="n">
        <x:f>SUBTOTAL(103,A3352)</x:f>
        <x:v>1</x:v>
      </x:c>
      <x:c r="AA3352" s="2" t="str">
        <x:f>IF(K3352&lt;&gt;"미종결 표시","대상 아님",IF(N3352="","신청일 확인",IF(NOT(ISNUMBER('종합 현황'!$H$5)),"관찰기준 확인",IF('종합 현황'!$H$5&lt;1,"관찰기준 확인",IF(N3352&gt;'종합 현황'!$H$5,"내부 관찰 대상","내부 관찰일 이하")))))</x:f>
        <x:v>대상 아님</x:v>
      </x:c>
      <x:c r="AB3352" s="2"/>
    </x:row>
    <x:row r="3353" ht="42" customHeight="1">
      <x:c r="A3353" s="2" t="str">
        <x:v>910bcb42e8071e86de54880e</x:v>
      </x:c>
      <x:c r="B3353" s="2" t="str">
        <x:v>인증 비공개 신청</x:v>
      </x:c>
      <x:c r="C3353" s="2" t="str">
        <x:v>국외</x:v>
      </x:c>
      <x:c r="D3353" s="7" t="str">
        <x:v>아프리카 고효율 쿡스토브 보급 PoA 사업 : CPA 00010(나이지리아)(한국 지원)</x:v>
      </x:c>
      <x:c r="E3353" s="2" t="str">
        <x:v>3</x:v>
      </x:c>
      <x:c r="F3353" s="2" t="str">
        <x:v>2022-09-06</x:v>
      </x:c>
      <x:c r="G3353" s="2" t="str">
        <x:v>2022</x:v>
      </x:c>
      <x:c r="H3353" s="2" t="str">
        <x:v>09</x:v>
      </x:c>
      <x:c r="I3353" s="2" t="str">
        <x:v>반려</x:v>
      </x:c>
      <x:c r="J3353" s="2" t="str">
        <x:v>반려완료</x:v>
      </x:c>
      <x:c r="K3353" s="2" t="str">
        <x:f>IF(OR(J3353="심의승인",J3353="반려",J3353="반려완료",J3353="심의완료"),"종결 표시",IF(OR(J3353="기후부협의",J3353="문서재제출요청",J3353="보류",J3353="보완요청",J3353="보완완료",J3353="평가중",J3353="반려요청",J3353="평가필요",LEFT(J3353,5)="보완요청("),"미종결 표시","상태 확인 필요"))</x:f>
        <x:v>종결 표시</x:v>
      </x:c>
      <x:c r="L3353" s="2" t="str">
        <x:v>에코시안_기샛별</x:v>
      </x:c>
      <x:c r="M3353" s="2"/>
      <x:c r="N3353" s="8" t="n">
        <x:f>DATE(2026,10,15)-DATE(2022,9,6)</x:f>
        <x:v>1500</x:v>
      </x:c>
      <x:c r="O3353" s="2"/>
      <x:c r="P3353" s="2" t="str">
        <x:v>모니터링보고서 및 검증보고서 내 보안유지 필요부분 구체화 필요</x:v>
      </x:c>
      <x:c r="Q3353" s="2" t="str">
        <x:v>산업전환 외부사업 정보비공개 신청 관리 Tool_260707_LJY_261013.xlsx</x:v>
      </x:c>
      <x:c r="R3353" s="2" t="str">
        <x:v>(비공개)국외인증</x:v>
      </x:c>
      <x:c r="S3353" s="8" t="n">
        <x:v>4</x:v>
      </x:c>
      <x:c r="T3353" s="2"/>
      <x:c r="U3353" s="2" t="str"/>
      <x:c r="V3353" s="2" t="str">
        <x:v>2022-09-14</x:v>
      </x:c>
      <x:c r="W3353" s="2" t="str"/>
      <x:c r="X3353" s="2" t="str">
        <x:v>종결 근거 보관</x:v>
      </x:c>
      <x:c r="Y3353" s="2" t="str">
        <x:v>22df6d619b696c1eba8e26790f6382083d9fb1bc48481283e3e8a92ea6897677</x:v>
      </x:c>
      <x:c r="Z3353" s="2" t="n">
        <x:f>SUBTOTAL(103,A3353)</x:f>
        <x:v>1</x:v>
      </x:c>
      <x:c r="AA3353" s="2" t="str">
        <x:f>IF(K3353&lt;&gt;"미종결 표시","대상 아님",IF(N3353="","신청일 확인",IF(NOT(ISNUMBER('종합 현황'!$H$5)),"관찰기준 확인",IF('종합 현황'!$H$5&lt;1,"관찰기준 확인",IF(N3353&gt;'종합 현황'!$H$5,"내부 관찰 대상","내부 관찰일 이하")))))</x:f>
        <x:v>대상 아님</x:v>
      </x:c>
      <x:c r="AB3353" s="2"/>
    </x:row>
    <x:row r="3354" ht="42" customHeight="1">
      <x:c r="A3354" s="2" t="str">
        <x:v>df98ab0f31766c45b2933f55</x:v>
      </x:c>
      <x:c r="B3354" s="2" t="str">
        <x:v>인증 비공개 신청</x:v>
      </x:c>
      <x:c r="C3354" s="2" t="str">
        <x:v>국외</x:v>
      </x:c>
      <x:c r="D3354" s="7" t="str">
        <x:v>아프리카 고효율 쿡스토브 보급 PoA 사업 : CPA 00011(나이지리아)(한국 지원)</x:v>
      </x:c>
      <x:c r="E3354" s="2" t="str">
        <x:v>4</x:v>
      </x:c>
      <x:c r="F3354" s="2" t="str">
        <x:v>2022-09-06</x:v>
      </x:c>
      <x:c r="G3354" s="2" t="str">
        <x:v>2022</x:v>
      </x:c>
      <x:c r="H3354" s="2" t="str">
        <x:v>09</x:v>
      </x:c>
      <x:c r="I3354" s="2" t="str">
        <x:v>반려</x:v>
      </x:c>
      <x:c r="J3354" s="2" t="str">
        <x:v>반려완료</x:v>
      </x:c>
      <x:c r="K3354" s="2" t="str">
        <x:f>IF(OR(J3354="심의승인",J3354="반려",J3354="반려완료",J3354="심의완료"),"종결 표시",IF(OR(J3354="기후부협의",J3354="문서재제출요청",J3354="보류",J3354="보완요청",J3354="보완완료",J3354="평가중",J3354="반려요청",J3354="평가필요",LEFT(J3354,5)="보완요청("),"미종결 표시","상태 확인 필요"))</x:f>
        <x:v>종결 표시</x:v>
      </x:c>
      <x:c r="L3354" s="2" t="str">
        <x:v>에코시안_기샛별</x:v>
      </x:c>
      <x:c r="M3354" s="2"/>
      <x:c r="N3354" s="8" t="n">
        <x:f>DATE(2026,10,15)-DATE(2022,9,6)</x:f>
        <x:v>1500</x:v>
      </x:c>
      <x:c r="O3354" s="2"/>
      <x:c r="P3354" s="2" t="str">
        <x:v>모니터링보고서 및 검증보고서 내 보안유지 필요부분 구체화 필요</x:v>
      </x:c>
      <x:c r="Q3354" s="2" t="str">
        <x:v>산업전환 외부사업 정보비공개 신청 관리 Tool_260707_LJY_261013.xlsx</x:v>
      </x:c>
      <x:c r="R3354" s="2" t="str">
        <x:v>(비공개)국외인증</x:v>
      </x:c>
      <x:c r="S3354" s="8" t="n">
        <x:v>5</x:v>
      </x:c>
      <x:c r="T3354" s="2"/>
      <x:c r="U3354" s="2" t="str"/>
      <x:c r="V3354" s="2" t="str">
        <x:v>2022-09-14</x:v>
      </x:c>
      <x:c r="W3354" s="2" t="str"/>
      <x:c r="X3354" s="2" t="str">
        <x:v>종결 근거 보관</x:v>
      </x:c>
      <x:c r="Y3354" s="2" t="str">
        <x:v>22df6d619b696c1eba8e26790f6382083d9fb1bc48481283e3e8a92ea6897677</x:v>
      </x:c>
      <x:c r="Z3354" s="2" t="n">
        <x:f>SUBTOTAL(103,A3354)</x:f>
        <x:v>1</x:v>
      </x:c>
      <x:c r="AA3354" s="2" t="str">
        <x:f>IF(K3354&lt;&gt;"미종결 표시","대상 아님",IF(N3354="","신청일 확인",IF(NOT(ISNUMBER('종합 현황'!$H$5)),"관찰기준 확인",IF('종합 현황'!$H$5&lt;1,"관찰기준 확인",IF(N3354&gt;'종합 현황'!$H$5,"내부 관찰 대상","내부 관찰일 이하")))))</x:f>
        <x:v>대상 아님</x:v>
      </x:c>
      <x:c r="AB3354" s="2"/>
    </x:row>
    <x:row r="3355" ht="42" customHeight="1">
      <x:c r="A3355" s="2" t="str">
        <x:v>03c5aa2bfd29a8f94a89a179</x:v>
      </x:c>
      <x:c r="B3355" s="2" t="str">
        <x:v>인증 비공개 신청</x:v>
      </x:c>
      <x:c r="C3355" s="2" t="str">
        <x:v>국외</x:v>
      </x:c>
      <x:c r="D3355" s="7" t="str">
        <x:v>아프리카 고효율 쿡스토브 보급 PoA 사업 : CPA 00012(나이지리아)(한국 지원)</x:v>
      </x:c>
      <x:c r="E3355" s="2" t="str">
        <x:v>5</x:v>
      </x:c>
      <x:c r="F3355" s="2" t="str">
        <x:v>2022-09-06</x:v>
      </x:c>
      <x:c r="G3355" s="2" t="str">
        <x:v>2022</x:v>
      </x:c>
      <x:c r="H3355" s="2" t="str">
        <x:v>09</x:v>
      </x:c>
      <x:c r="I3355" s="2" t="str">
        <x:v>반려</x:v>
      </x:c>
      <x:c r="J3355" s="2" t="str">
        <x:v>반려완료</x:v>
      </x:c>
      <x:c r="K3355" s="2" t="str">
        <x:f>IF(OR(J3355="심의승인",J3355="반려",J3355="반려완료",J3355="심의완료"),"종결 표시",IF(OR(J3355="기후부협의",J3355="문서재제출요청",J3355="보류",J3355="보완요청",J3355="보완완료",J3355="평가중",J3355="반려요청",J3355="평가필요",LEFT(J3355,5)="보완요청("),"미종결 표시","상태 확인 필요"))</x:f>
        <x:v>종결 표시</x:v>
      </x:c>
      <x:c r="L3355" s="2" t="str">
        <x:v>에코시안_기샛별</x:v>
      </x:c>
      <x:c r="M3355" s="2"/>
      <x:c r="N3355" s="8" t="n">
        <x:f>DATE(2026,10,15)-DATE(2022,9,6)</x:f>
        <x:v>1500</x:v>
      </x:c>
      <x:c r="O3355" s="2"/>
      <x:c r="P3355" s="2" t="str">
        <x:v>모니터링보고서 및 검증보고서 내 보안유지 필요부분 구체화 필요</x:v>
      </x:c>
      <x:c r="Q3355" s="2" t="str">
        <x:v>산업전환 외부사업 정보비공개 신청 관리 Tool_260707_LJY_261013.xlsx</x:v>
      </x:c>
      <x:c r="R3355" s="2" t="str">
        <x:v>(비공개)국외인증</x:v>
      </x:c>
      <x:c r="S3355" s="8" t="n">
        <x:v>6</x:v>
      </x:c>
      <x:c r="T3355" s="2"/>
      <x:c r="U3355" s="2" t="str"/>
      <x:c r="V3355" s="2" t="str">
        <x:v>2022-09-14</x:v>
      </x:c>
      <x:c r="W3355" s="2" t="str"/>
      <x:c r="X3355" s="2" t="str">
        <x:v>종결 근거 보관</x:v>
      </x:c>
      <x:c r="Y3355" s="2" t="str">
        <x:v>22df6d619b696c1eba8e26790f6382083d9fb1bc48481283e3e8a92ea6897677</x:v>
      </x:c>
      <x:c r="Z3355" s="2" t="n">
        <x:f>SUBTOTAL(103,A3355)</x:f>
        <x:v>1</x:v>
      </x:c>
      <x:c r="AA3355" s="2" t="str">
        <x:f>IF(K3355&lt;&gt;"미종결 표시","대상 아님",IF(N3355="","신청일 확인",IF(NOT(ISNUMBER('종합 현황'!$H$5)),"관찰기준 확인",IF('종합 현황'!$H$5&lt;1,"관찰기준 확인",IF(N3355&gt;'종합 현황'!$H$5,"내부 관찰 대상","내부 관찰일 이하")))))</x:f>
        <x:v>대상 아님</x:v>
      </x:c>
      <x:c r="AB3355" s="2"/>
    </x:row>
    <x:row r="3356" ht="42" customHeight="1">
      <x:c r="A3356" s="2" t="str">
        <x:v>32528a106f9e05085836188b</x:v>
      </x:c>
      <x:c r="B3356" s="2" t="str">
        <x:v>인증 비공개 신청</x:v>
      </x:c>
      <x:c r="C3356" s="2" t="str">
        <x:v>국외</x:v>
      </x:c>
      <x:c r="D3356" s="7" t="str">
        <x:v>아프리카 고효율 쿡스토브 보급 PoA 사업 : CPA0008(케냐)</x:v>
      </x:c>
      <x:c r="E3356" s="2" t="str">
        <x:v>6</x:v>
      </x:c>
      <x:c r="F3356" s="2" t="str">
        <x:v>2022-09-06</x:v>
      </x:c>
      <x:c r="G3356" s="2" t="str">
        <x:v>2022</x:v>
      </x:c>
      <x:c r="H3356" s="2" t="str">
        <x:v>09</x:v>
      </x:c>
      <x:c r="I3356" s="2" t="str">
        <x:v>반려</x:v>
      </x:c>
      <x:c r="J3356" s="2" t="str">
        <x:v>반려완료</x:v>
      </x:c>
      <x:c r="K3356" s="2" t="str">
        <x:f>IF(OR(J3356="심의승인",J3356="반려",J3356="반려완료",J3356="심의완료"),"종결 표시",IF(OR(J3356="기후부협의",J3356="문서재제출요청",J3356="보류",J3356="보완요청",J3356="보완완료",J3356="평가중",J3356="반려요청",J3356="평가필요",LEFT(J3356,5)="보완요청("),"미종결 표시","상태 확인 필요"))</x:f>
        <x:v>종결 표시</x:v>
      </x:c>
      <x:c r="L3356" s="2" t="str">
        <x:v>에코시안_기샛별</x:v>
      </x:c>
      <x:c r="M3356" s="2"/>
      <x:c r="N3356" s="8" t="n">
        <x:f>DATE(2026,10,15)-DATE(2022,9,6)</x:f>
        <x:v>1500</x:v>
      </x:c>
      <x:c r="O3356" s="2"/>
      <x:c r="P3356" s="2" t="str">
        <x:v>모니터링보고서 및 검증보고서 내 보안유지 필요부분 구체화 필요</x:v>
      </x:c>
      <x:c r="Q3356" s="2" t="str">
        <x:v>산업전환 외부사업 정보비공개 신청 관리 Tool_260707_LJY_261013.xlsx</x:v>
      </x:c>
      <x:c r="R3356" s="2" t="str">
        <x:v>(비공개)국외인증</x:v>
      </x:c>
      <x:c r="S3356" s="8" t="n">
        <x:v>7</x:v>
      </x:c>
      <x:c r="T3356" s="2"/>
      <x:c r="U3356" s="2" t="str"/>
      <x:c r="V3356" s="2" t="str">
        <x:v>2022-09-14</x:v>
      </x:c>
      <x:c r="W3356" s="2" t="str"/>
      <x:c r="X3356" s="2" t="str">
        <x:v>종결 근거 보관</x:v>
      </x:c>
      <x:c r="Y3356" s="2" t="str">
        <x:v>22df6d619b696c1eba8e26790f6382083d9fb1bc48481283e3e8a92ea6897677</x:v>
      </x:c>
      <x:c r="Z3356" s="2" t="n">
        <x:f>SUBTOTAL(103,A3356)</x:f>
        <x:v>1</x:v>
      </x:c>
      <x:c r="AA3356" s="2" t="str">
        <x:f>IF(K3356&lt;&gt;"미종결 표시","대상 아님",IF(N3356="","신청일 확인",IF(NOT(ISNUMBER('종합 현황'!$H$5)),"관찰기준 확인",IF('종합 현황'!$H$5&lt;1,"관찰기준 확인",IF(N3356&gt;'종합 현황'!$H$5,"내부 관찰 대상","내부 관찰일 이하")))))</x:f>
        <x:v>대상 아님</x:v>
      </x:c>
      <x:c r="AB3356" s="2"/>
    </x:row>
    <x:row r="3357" ht="42" customHeight="1">
      <x:c r="A3357" s="2" t="str">
        <x:v>cd72b0809d70b2bb392131b9</x:v>
      </x:c>
      <x:c r="B3357" s="2" t="str">
        <x:v>인증 비공개 신청</x:v>
      </x:c>
      <x:c r="C3357" s="2" t="str">
        <x:v>국외</x:v>
      </x:c>
      <x:c r="D3357" s="7" t="str">
        <x:v>아프리카 고효율 쿡스토브 보급 PoA 사업 : CPA0009(케냐)</x:v>
      </x:c>
      <x:c r="E3357" s="2" t="str">
        <x:v>7</x:v>
      </x:c>
      <x:c r="F3357" s="2" t="str">
        <x:v>2022-09-06</x:v>
      </x:c>
      <x:c r="G3357" s="2" t="str">
        <x:v>2022</x:v>
      </x:c>
      <x:c r="H3357" s="2" t="str">
        <x:v>09</x:v>
      </x:c>
      <x:c r="I3357" s="2" t="str">
        <x:v>반려</x:v>
      </x:c>
      <x:c r="J3357" s="2" t="str">
        <x:v>반려완료</x:v>
      </x:c>
      <x:c r="K3357" s="2" t="str">
        <x:f>IF(OR(J3357="심의승인",J3357="반려",J3357="반려완료",J3357="심의완료"),"종결 표시",IF(OR(J3357="기후부협의",J3357="문서재제출요청",J3357="보류",J3357="보완요청",J3357="보완완료",J3357="평가중",J3357="반려요청",J3357="평가필요",LEFT(J3357,5)="보완요청("),"미종결 표시","상태 확인 필요"))</x:f>
        <x:v>종결 표시</x:v>
      </x:c>
      <x:c r="L3357" s="2" t="str">
        <x:v>에코시안_기샛별</x:v>
      </x:c>
      <x:c r="M3357" s="2"/>
      <x:c r="N3357" s="8" t="n">
        <x:f>DATE(2026,10,15)-DATE(2022,9,6)</x:f>
        <x:v>1500</x:v>
      </x:c>
      <x:c r="O3357" s="2"/>
      <x:c r="P3357" s="2" t="str">
        <x:v>모니터링보고서 및 검증보고서 내 보안유지 필요부분 구체화 필요</x:v>
      </x:c>
      <x:c r="Q3357" s="2" t="str">
        <x:v>산업전환 외부사업 정보비공개 신청 관리 Tool_260707_LJY_261013.xlsx</x:v>
      </x:c>
      <x:c r="R3357" s="2" t="str">
        <x:v>(비공개)국외인증</x:v>
      </x:c>
      <x:c r="S3357" s="8" t="n">
        <x:v>8</x:v>
      </x:c>
      <x:c r="T3357" s="2"/>
      <x:c r="U3357" s="2" t="str"/>
      <x:c r="V3357" s="2" t="str">
        <x:v>2022-09-14</x:v>
      </x:c>
      <x:c r="W3357" s="2" t="str"/>
      <x:c r="X3357" s="2" t="str">
        <x:v>종결 근거 보관</x:v>
      </x:c>
      <x:c r="Y3357" s="2" t="str">
        <x:v>22df6d619b696c1eba8e26790f6382083d9fb1bc48481283e3e8a92ea6897677</x:v>
      </x:c>
      <x:c r="Z3357" s="2" t="n">
        <x:f>SUBTOTAL(103,A3357)</x:f>
        <x:v>1</x:v>
      </x:c>
      <x:c r="AA3357" s="2" t="str">
        <x:f>IF(K3357&lt;&gt;"미종결 표시","대상 아님",IF(N3357="","신청일 확인",IF(NOT(ISNUMBER('종합 현황'!$H$5)),"관찰기준 확인",IF('종합 현황'!$H$5&lt;1,"관찰기준 확인",IF(N3357&gt;'종합 현황'!$H$5,"내부 관찰 대상","내부 관찰일 이하")))))</x:f>
        <x:v>대상 아님</x:v>
      </x:c>
      <x:c r="AB3357" s="2"/>
    </x:row>
    <x:row r="3358" ht="42" customHeight="1">
      <x:c r="A3358" s="2" t="str">
        <x:v>363b5c020669162a67ffc559</x:v>
      </x:c>
      <x:c r="B3358" s="2" t="str">
        <x:v>인증 비공개 신청</x:v>
      </x:c>
      <x:c r="C3358" s="2" t="str">
        <x:v>국외</x:v>
      </x:c>
      <x:c r="D3358" s="7" t="str">
        <x:v>아프리카 고효율 쿡스토브 보급 PoA 사업 : CPA0010(케냐)</x:v>
      </x:c>
      <x:c r="E3358" s="2" t="str">
        <x:v>8</x:v>
      </x:c>
      <x:c r="F3358" s="2" t="str">
        <x:v>2022-09-06</x:v>
      </x:c>
      <x:c r="G3358" s="2" t="str">
        <x:v>2022</x:v>
      </x:c>
      <x:c r="H3358" s="2" t="str">
        <x:v>09</x:v>
      </x:c>
      <x:c r="I3358" s="2" t="str">
        <x:v>반려</x:v>
      </x:c>
      <x:c r="J3358" s="2" t="str">
        <x:v>반려완료</x:v>
      </x:c>
      <x:c r="K3358" s="2" t="str">
        <x:f>IF(OR(J3358="심의승인",J3358="반려",J3358="반려완료",J3358="심의완료"),"종결 표시",IF(OR(J3358="기후부협의",J3358="문서재제출요청",J3358="보류",J3358="보완요청",J3358="보완완료",J3358="평가중",J3358="반려요청",J3358="평가필요",LEFT(J3358,5)="보완요청("),"미종결 표시","상태 확인 필요"))</x:f>
        <x:v>종결 표시</x:v>
      </x:c>
      <x:c r="L3358" s="2" t="str">
        <x:v>에코시안_기샛별</x:v>
      </x:c>
      <x:c r="M3358" s="2"/>
      <x:c r="N3358" s="8" t="n">
        <x:f>DATE(2026,10,15)-DATE(2022,9,6)</x:f>
        <x:v>1500</x:v>
      </x:c>
      <x:c r="O3358" s="2"/>
      <x:c r="P3358" s="2" t="str">
        <x:v>모니터링보고서 및 검증보고서 내 보안유지 필요부분 구체화 필요</x:v>
      </x:c>
      <x:c r="Q3358" s="2" t="str">
        <x:v>산업전환 외부사업 정보비공개 신청 관리 Tool_260707_LJY_261013.xlsx</x:v>
      </x:c>
      <x:c r="R3358" s="2" t="str">
        <x:v>(비공개)국외인증</x:v>
      </x:c>
      <x:c r="S3358" s="8" t="n">
        <x:v>9</x:v>
      </x:c>
      <x:c r="T3358" s="2"/>
      <x:c r="U3358" s="2" t="str"/>
      <x:c r="V3358" s="2" t="str">
        <x:v>2022-09-14</x:v>
      </x:c>
      <x:c r="W3358" s="2" t="str"/>
      <x:c r="X3358" s="2" t="str">
        <x:v>종결 근거 보관</x:v>
      </x:c>
      <x:c r="Y3358" s="2" t="str">
        <x:v>22df6d619b696c1eba8e26790f6382083d9fb1bc48481283e3e8a92ea6897677</x:v>
      </x:c>
      <x:c r="Z3358" s="2" t="n">
        <x:f>SUBTOTAL(103,A3358)</x:f>
        <x:v>1</x:v>
      </x:c>
      <x:c r="AA3358" s="2" t="str">
        <x:f>IF(K3358&lt;&gt;"미종결 표시","대상 아님",IF(N3358="","신청일 확인",IF(NOT(ISNUMBER('종합 현황'!$H$5)),"관찰기준 확인",IF('종합 현황'!$H$5&lt;1,"관찰기준 확인",IF(N3358&gt;'종합 현황'!$H$5,"내부 관찰 대상","내부 관찰일 이하")))))</x:f>
        <x:v>대상 아님</x:v>
      </x:c>
      <x:c r="AB3358" s="2"/>
    </x:row>
    <x:row r="3359" ht="42" customHeight="1">
      <x:c r="A3359" s="2" t="str">
        <x:v>9e39ea2a5ceae2cc413b3854</x:v>
      </x:c>
      <x:c r="B3359" s="2" t="str">
        <x:v>인증 비공개 신청</x:v>
      </x:c>
      <x:c r="C3359" s="2" t="str">
        <x:v>국외</x:v>
      </x:c>
      <x:c r="D3359" s="7" t="str">
        <x:v>아프리카 고효율 쿡스토브 보급 PoA 사업 : CPA 00007(가나)(한국 지원)</x:v>
      </x:c>
      <x:c r="E3359" s="2" t="str">
        <x:v>9</x:v>
      </x:c>
      <x:c r="F3359" s="2" t="str">
        <x:v>2022-09-06</x:v>
      </x:c>
      <x:c r="G3359" s="2" t="str">
        <x:v>2022</x:v>
      </x:c>
      <x:c r="H3359" s="2" t="str">
        <x:v>09</x:v>
      </x:c>
      <x:c r="I3359" s="2" t="str">
        <x:v>반려</x:v>
      </x:c>
      <x:c r="J3359" s="2" t="str">
        <x:v>반려완료</x:v>
      </x:c>
      <x:c r="K3359" s="2" t="str">
        <x:f>IF(OR(J3359="심의승인",J3359="반려",J3359="반려완료",J3359="심의완료"),"종결 표시",IF(OR(J3359="기후부협의",J3359="문서재제출요청",J3359="보류",J3359="보완요청",J3359="보완완료",J3359="평가중",J3359="반려요청",J3359="평가필요",LEFT(J3359,5)="보완요청("),"미종결 표시","상태 확인 필요"))</x:f>
        <x:v>종결 표시</x:v>
      </x:c>
      <x:c r="L3359" s="2" t="str">
        <x:v>에코시안_기샛별</x:v>
      </x:c>
      <x:c r="M3359" s="2"/>
      <x:c r="N3359" s="8" t="n">
        <x:f>DATE(2026,10,15)-DATE(2022,9,6)</x:f>
        <x:v>1500</x:v>
      </x:c>
      <x:c r="O3359" s="2"/>
      <x:c r="P3359" s="2" t="str">
        <x:v>모니터링보고서 및 검증보고서 내 보안유지 필요부분 구체화 필요</x:v>
      </x:c>
      <x:c r="Q3359" s="2" t="str">
        <x:v>산업전환 외부사업 정보비공개 신청 관리 Tool_260707_LJY_261013.xlsx</x:v>
      </x:c>
      <x:c r="R3359" s="2" t="str">
        <x:v>(비공개)국외인증</x:v>
      </x:c>
      <x:c r="S3359" s="8" t="n">
        <x:v>10</x:v>
      </x:c>
      <x:c r="T3359" s="2"/>
      <x:c r="U3359" s="2" t="str"/>
      <x:c r="V3359" s="2" t="str">
        <x:v>2022-09-14</x:v>
      </x:c>
      <x:c r="W3359" s="2" t="str"/>
      <x:c r="X3359" s="2" t="str">
        <x:v>종결 근거 보관</x:v>
      </x:c>
      <x:c r="Y3359" s="2" t="str">
        <x:v>22df6d619b696c1eba8e26790f6382083d9fb1bc48481283e3e8a92ea6897677</x:v>
      </x:c>
      <x:c r="Z3359" s="2" t="n">
        <x:f>SUBTOTAL(103,A3359)</x:f>
        <x:v>1</x:v>
      </x:c>
      <x:c r="AA3359" s="2" t="str">
        <x:f>IF(K3359&lt;&gt;"미종결 표시","대상 아님",IF(N3359="","신청일 확인",IF(NOT(ISNUMBER('종합 현황'!$H$5)),"관찰기준 확인",IF('종합 현황'!$H$5&lt;1,"관찰기준 확인",IF(N3359&gt;'종합 현황'!$H$5,"내부 관찰 대상","내부 관찰일 이하")))))</x:f>
        <x:v>대상 아님</x:v>
      </x:c>
      <x:c r="AB3359" s="2"/>
    </x:row>
    <x:row r="3360" ht="42" customHeight="1">
      <x:c r="A3360" s="2" t="str">
        <x:v>4e4b4bde37db67ce1c4fcee2</x:v>
      </x:c>
      <x:c r="B3360" s="2" t="str">
        <x:v>인증 비공개 신청</x:v>
      </x:c>
      <x:c r="C3360" s="2" t="str">
        <x:v>국외</x:v>
      </x:c>
      <x:c r="D3360" s="7" t="str">
        <x:v>서하남 사막 이남의 아프리카-말라위에 향상된 쿡스토브 보급 CPA-006사업</x:v>
      </x:c>
      <x:c r="E3360" s="2" t="str">
        <x:v>10</x:v>
      </x:c>
      <x:c r="F3360" s="2" t="str">
        <x:v>2021-10-06</x:v>
      </x:c>
      <x:c r="G3360" s="2" t="str">
        <x:v>2021</x:v>
      </x:c>
      <x:c r="H3360" s="2" t="str">
        <x:v>10</x:v>
      </x:c>
      <x:c r="I3360" s="2" t="str">
        <x:v>보완요청</x:v>
      </x:c>
      <x:c r="J3360" s="2" t="str">
        <x:v>보완요청</x:v>
      </x:c>
      <x:c r="K3360" s="2" t="str">
        <x:f>IF(OR(J3360="심의승인",J3360="반려",J3360="반려완료",J3360="심의완료"),"종결 표시",IF(OR(J3360="기후부협의",J3360="문서재제출요청",J3360="보류",J3360="보완요청",J3360="보완완료",J3360="평가중",J3360="반려요청",J3360="평가필요",LEFT(J3360,5)="보완요청("),"미종결 표시","상태 확인 필요"))</x:f>
        <x:v>미종결 표시</x:v>
      </x:c>
      <x:c r="L3360" s="2" t="str">
        <x:v>에코시안</x:v>
      </x:c>
      <x:c r="M3360" s="2"/>
      <x:c r="N3360" s="8" t="n">
        <x:f>DATE(2026,10,15)-DATE(2021,10,6)</x:f>
        <x:v>1835</x:v>
      </x:c>
      <x:c r="O3360" s="2"/>
      <x:c r="P3360" s="2" t="str">
        <x:v>모니터링보고서 및 검증보고서 내 보안유지 필요부분 구체화 필요</x:v>
      </x:c>
      <x:c r="Q3360" s="2" t="str">
        <x:v>산업전환 외부사업 정보비공개 신청 관리 Tool_260707_LJY_261013.xlsx</x:v>
      </x:c>
      <x:c r="R3360" s="2" t="str">
        <x:v>(비공개)국외인증</x:v>
      </x:c>
      <x:c r="S3360" s="8" t="n">
        <x:v>11</x:v>
      </x:c>
      <x:c r="T3360" s="2"/>
      <x:c r="U3360" s="2" t="str"/>
      <x:c r="V3360" s="2" t="str">
        <x:v>2022-10-19</x:v>
      </x:c>
      <x:c r="W3360" s="2" t="str"/>
      <x:c r="X3360" s="2" t="str">
        <x:v>보완 회신 일정 확인</x:v>
      </x:c>
      <x:c r="Y3360" s="2" t="str">
        <x:v>22df6d619b696c1eba8e26790f6382083d9fb1bc48481283e3e8a92ea6897677</x:v>
      </x:c>
      <x:c r="Z3360" s="2" t="n">
        <x:f>SUBTOTAL(103,A3360)</x:f>
        <x:v>1</x:v>
      </x:c>
      <x:c r="AA3360" s="2" t="str">
        <x:f>IF(K3360&lt;&gt;"미종결 표시","대상 아님",IF(N3360="","신청일 확인",IF(NOT(ISNUMBER('종합 현황'!$H$5)),"관찰기준 확인",IF('종합 현황'!$H$5&lt;1,"관찰기준 확인",IF(N3360&gt;'종합 현황'!$H$5,"내부 관찰 대상","내부 관찰일 이하")))))</x:f>
        <x:v>내부 관찰 대상</x:v>
      </x:c>
      <x:c r="AB3360" s="2"/>
    </x:row>
    <x:row r="3361" ht="42" customHeight="1">
      <x:c r="A3361" s="2" t="str">
        <x:v>1a0ca0410a53cb0a3628610c</x:v>
      </x:c>
      <x:c r="B3361" s="2" t="str">
        <x:v>인증 비공개 신청</x:v>
      </x:c>
      <x:c r="C3361" s="2" t="str">
        <x:v>국외</x:v>
      </x:c>
      <x:c r="D3361" s="7" t="str">
        <x:v>안전한 식수 공급을 위한 정수기 보급 사업 : CPA 102(한국 지원)</x:v>
      </x:c>
      <x:c r="E3361" s="2" t="str">
        <x:v>11</x:v>
      </x:c>
      <x:c r="F3361" s="2" t="str">
        <x:v>2022-09-06</x:v>
      </x:c>
      <x:c r="G3361" s="2" t="str">
        <x:v>2022</x:v>
      </x:c>
      <x:c r="H3361" s="2" t="str">
        <x:v>09</x:v>
      </x:c>
      <x:c r="I3361" s="2" t="str">
        <x:v>반려</x:v>
      </x:c>
      <x:c r="J3361" s="2" t="str">
        <x:v>반려완료</x:v>
      </x:c>
      <x:c r="K3361" s="2" t="str">
        <x:f>IF(OR(J3361="심의승인",J3361="반려",J3361="반려완료",J3361="심의완료"),"종결 표시",IF(OR(J3361="기후부협의",J3361="문서재제출요청",J3361="보류",J3361="보완요청",J3361="보완완료",J3361="평가중",J3361="반려요청",J3361="평가필요",LEFT(J3361,5)="보완요청("),"미종결 표시","상태 확인 필요"))</x:f>
        <x:v>종결 표시</x:v>
      </x:c>
      <x:c r="L3361" s="2" t="str">
        <x:v>KECM_임하진</x:v>
      </x:c>
      <x:c r="M3361" s="2"/>
      <x:c r="N3361" s="8" t="n">
        <x:f>DATE(2026,10,15)-DATE(2022,9,6)</x:f>
        <x:v>1500</x:v>
      </x:c>
      <x:c r="O3361" s="2"/>
      <x:c r="P3361" s="2" t="str">
        <x:v>모니터링보고서 및 검증보고서 내 보안유지 필요부분 구체화 필요</x:v>
      </x:c>
      <x:c r="Q3361" s="2" t="str">
        <x:v>산업전환 외부사업 정보비공개 신청 관리 Tool_260707_LJY_261013.xlsx</x:v>
      </x:c>
      <x:c r="R3361" s="2" t="str">
        <x:v>(비공개)국외인증</x:v>
      </x:c>
      <x:c r="S3361" s="8" t="n">
        <x:v>12</x:v>
      </x:c>
      <x:c r="T3361" s="2"/>
      <x:c r="U3361" s="2" t="str"/>
      <x:c r="V3361" s="2" t="str">
        <x:v>2022-09-14</x:v>
      </x:c>
      <x:c r="W3361" s="2" t="str"/>
      <x:c r="X3361" s="2" t="str">
        <x:v>종결 근거 보관</x:v>
      </x:c>
      <x:c r="Y3361" s="2" t="str">
        <x:v>22df6d619b696c1eba8e26790f6382083d9fb1bc48481283e3e8a92ea6897677</x:v>
      </x:c>
      <x:c r="Z3361" s="2" t="n">
        <x:f>SUBTOTAL(103,A3361)</x:f>
        <x:v>1</x:v>
      </x:c>
      <x:c r="AA3361" s="2" t="str">
        <x:f>IF(K3361&lt;&gt;"미종결 표시","대상 아님",IF(N3361="","신청일 확인",IF(NOT(ISNUMBER('종합 현황'!$H$5)),"관찰기준 확인",IF('종합 현황'!$H$5&lt;1,"관찰기준 확인",IF(N3361&gt;'종합 현황'!$H$5,"내부 관찰 대상","내부 관찰일 이하")))))</x:f>
        <x:v>대상 아님</x:v>
      </x:c>
      <x:c r="AB3361" s="2"/>
    </x:row>
    <x:row r="3362" ht="42" customHeight="1">
      <x:c r="A3362" s="2" t="str">
        <x:v>d1229e9cb870f383c581a29f</x:v>
      </x:c>
      <x:c r="B3362" s="2" t="str">
        <x:v>인증 비공개 신청</x:v>
      </x:c>
      <x:c r="C3362" s="2" t="str">
        <x:v>국외</x:v>
      </x:c>
      <x:c r="D3362" s="7" t="str">
        <x:v>안전한 식수 공급을 위한 정수기 보급 사업 : CPA 101(한국 지원)</x:v>
      </x:c>
      <x:c r="E3362" s="2" t="str">
        <x:v>12</x:v>
      </x:c>
      <x:c r="F3362" s="2" t="str">
        <x:v>2022-09-06</x:v>
      </x:c>
      <x:c r="G3362" s="2" t="str">
        <x:v>2022</x:v>
      </x:c>
      <x:c r="H3362" s="2" t="str">
        <x:v>09</x:v>
      </x:c>
      <x:c r="I3362" s="2" t="str">
        <x:v>반려</x:v>
      </x:c>
      <x:c r="J3362" s="2" t="str">
        <x:v>반려완료</x:v>
      </x:c>
      <x:c r="K3362" s="2" t="str">
        <x:f>IF(OR(J3362="심의승인",J3362="반려",J3362="반려완료",J3362="심의완료"),"종결 표시",IF(OR(J3362="기후부협의",J3362="문서재제출요청",J3362="보류",J3362="보완요청",J3362="보완완료",J3362="평가중",J3362="반려요청",J3362="평가필요",LEFT(J3362,5)="보완요청("),"미종결 표시","상태 확인 필요"))</x:f>
        <x:v>종결 표시</x:v>
      </x:c>
      <x:c r="L3362" s="2" t="str">
        <x:v>KECM_임하진</x:v>
      </x:c>
      <x:c r="M3362" s="2"/>
      <x:c r="N3362" s="8" t="n">
        <x:f>DATE(2026,10,15)-DATE(2022,9,6)</x:f>
        <x:v>1500</x:v>
      </x:c>
      <x:c r="O3362" s="2"/>
      <x:c r="P3362" s="2" t="str">
        <x:v>모니터링보고서 및 검증보고서 내 보안유지 필요부분 구체화 필요</x:v>
      </x:c>
      <x:c r="Q3362" s="2" t="str">
        <x:v>산업전환 외부사업 정보비공개 신청 관리 Tool_260707_LJY_261013.xlsx</x:v>
      </x:c>
      <x:c r="R3362" s="2" t="str">
        <x:v>(비공개)국외인증</x:v>
      </x:c>
      <x:c r="S3362" s="8" t="n">
        <x:v>13</x:v>
      </x:c>
      <x:c r="T3362" s="2"/>
      <x:c r="U3362" s="2" t="str"/>
      <x:c r="V3362" s="2" t="str">
        <x:v>2022-09-14</x:v>
      </x:c>
      <x:c r="W3362" s="2" t="str"/>
      <x:c r="X3362" s="2" t="str">
        <x:v>종결 근거 보관</x:v>
      </x:c>
      <x:c r="Y3362" s="2" t="str">
        <x:v>22df6d619b696c1eba8e26790f6382083d9fb1bc48481283e3e8a92ea6897677</x:v>
      </x:c>
      <x:c r="Z3362" s="2" t="n">
        <x:f>SUBTOTAL(103,A3362)</x:f>
        <x:v>1</x:v>
      </x:c>
      <x:c r="AA3362" s="2" t="str">
        <x:f>IF(K3362&lt;&gt;"미종결 표시","대상 아님",IF(N3362="","신청일 확인",IF(NOT(ISNUMBER('종합 현황'!$H$5)),"관찰기준 확인",IF('종합 현황'!$H$5&lt;1,"관찰기준 확인",IF(N3362&gt;'종합 현황'!$H$5,"내부 관찰 대상","내부 관찰일 이하")))))</x:f>
        <x:v>대상 아님</x:v>
      </x:c>
      <x:c r="AB3362" s="2"/>
    </x:row>
    <x:row r="3363" ht="42" customHeight="1">
      <x:c r="A3363" s="2" t="str">
        <x:v>5b6b84b77571f7d3d60d355f</x:v>
      </x:c>
      <x:c r="B3363" s="2" t="str">
        <x:v>인증 비공개 신청</x:v>
      </x:c>
      <x:c r="C3363" s="2" t="str">
        <x:v>국외</x:v>
      </x:c>
      <x:c r="D3363" s="7" t="str">
        <x:v>안전한 식수 공급을 위한 정수기 보급 사업 : CPA 100(한국 지원)</x:v>
      </x:c>
      <x:c r="E3363" s="2" t="str">
        <x:v>13</x:v>
      </x:c>
      <x:c r="F3363" s="2" t="str">
        <x:v>2022-09-06</x:v>
      </x:c>
      <x:c r="G3363" s="2" t="str">
        <x:v>2022</x:v>
      </x:c>
      <x:c r="H3363" s="2" t="str">
        <x:v>09</x:v>
      </x:c>
      <x:c r="I3363" s="2" t="str">
        <x:v>반려</x:v>
      </x:c>
      <x:c r="J3363" s="2" t="str">
        <x:v>반려완료</x:v>
      </x:c>
      <x:c r="K3363" s="2" t="str">
        <x:f>IF(OR(J3363="심의승인",J3363="반려",J3363="반려완료",J3363="심의완료"),"종결 표시",IF(OR(J3363="기후부협의",J3363="문서재제출요청",J3363="보류",J3363="보완요청",J3363="보완완료",J3363="평가중",J3363="반려요청",J3363="평가필요",LEFT(J3363,5)="보완요청("),"미종결 표시","상태 확인 필요"))</x:f>
        <x:v>종결 표시</x:v>
      </x:c>
      <x:c r="L3363" s="2" t="str">
        <x:v>KECM_임하진</x:v>
      </x:c>
      <x:c r="M3363" s="2"/>
      <x:c r="N3363" s="8" t="n">
        <x:f>DATE(2026,10,15)-DATE(2022,9,6)</x:f>
        <x:v>1500</x:v>
      </x:c>
      <x:c r="O3363" s="2"/>
      <x:c r="P3363" s="2" t="str">
        <x:v>모니터링보고서 및 검증보고서 내 보안유지 필요부분 구체화 필요</x:v>
      </x:c>
      <x:c r="Q3363" s="2" t="str">
        <x:v>산업전환 외부사업 정보비공개 신청 관리 Tool_260707_LJY_261013.xlsx</x:v>
      </x:c>
      <x:c r="R3363" s="2" t="str">
        <x:v>(비공개)국외인증</x:v>
      </x:c>
      <x:c r="S3363" s="8" t="n">
        <x:v>14</x:v>
      </x:c>
      <x:c r="T3363" s="2"/>
      <x:c r="U3363" s="2" t="str"/>
      <x:c r="V3363" s="2" t="str">
        <x:v>2022-09-14</x:v>
      </x:c>
      <x:c r="W3363" s="2" t="str"/>
      <x:c r="X3363" s="2" t="str">
        <x:v>종결 근거 보관</x:v>
      </x:c>
      <x:c r="Y3363" s="2" t="str">
        <x:v>22df6d619b696c1eba8e26790f6382083d9fb1bc48481283e3e8a92ea6897677</x:v>
      </x:c>
      <x:c r="Z3363" s="2" t="n">
        <x:f>SUBTOTAL(103,A3363)</x:f>
        <x:v>1</x:v>
      </x:c>
      <x:c r="AA3363" s="2" t="str">
        <x:f>IF(K3363&lt;&gt;"미종결 표시","대상 아님",IF(N3363="","신청일 확인",IF(NOT(ISNUMBER('종합 현황'!$H$5)),"관찰기준 확인",IF('종합 현황'!$H$5&lt;1,"관찰기준 확인",IF(N3363&gt;'종합 현황'!$H$5,"내부 관찰 대상","내부 관찰일 이하")))))</x:f>
        <x:v>대상 아님</x:v>
      </x:c>
      <x:c r="AB3363" s="2"/>
    </x:row>
    <x:row r="3364" ht="42" customHeight="1">
      <x:c r="A3364" s="2" t="str">
        <x:v>44f81d25d72f3a63f1f4e87c</x:v>
      </x:c>
      <x:c r="B3364" s="2" t="str">
        <x:v>인증 비공개 신청</x:v>
      </x:c>
      <x:c r="C3364" s="2" t="str">
        <x:v>국외</x:v>
      </x:c>
      <x:c r="D3364" s="7" t="str">
        <x:v>안전한 식수 공급을 위한 정수기 보급 사업 : CPA 99(한국 지원)</x:v>
      </x:c>
      <x:c r="E3364" s="2" t="str">
        <x:v>14</x:v>
      </x:c>
      <x:c r="F3364" s="2" t="str">
        <x:v>2022-09-06</x:v>
      </x:c>
      <x:c r="G3364" s="2" t="str">
        <x:v>2022</x:v>
      </x:c>
      <x:c r="H3364" s="2" t="str">
        <x:v>09</x:v>
      </x:c>
      <x:c r="I3364" s="2" t="str">
        <x:v>반려</x:v>
      </x:c>
      <x:c r="J3364" s="2" t="str">
        <x:v>반려완료</x:v>
      </x:c>
      <x:c r="K3364" s="2" t="str">
        <x:f>IF(OR(J3364="심의승인",J3364="반려",J3364="반려완료",J3364="심의완료"),"종결 표시",IF(OR(J3364="기후부협의",J3364="문서재제출요청",J3364="보류",J3364="보완요청",J3364="보완완료",J3364="평가중",J3364="반려요청",J3364="평가필요",LEFT(J3364,5)="보완요청("),"미종결 표시","상태 확인 필요"))</x:f>
        <x:v>종결 표시</x:v>
      </x:c>
      <x:c r="L3364" s="2" t="str">
        <x:v>KECM_임하진</x:v>
      </x:c>
      <x:c r="M3364" s="2"/>
      <x:c r="N3364" s="8" t="n">
        <x:f>DATE(2026,10,15)-DATE(2022,9,6)</x:f>
        <x:v>1500</x:v>
      </x:c>
      <x:c r="O3364" s="2"/>
      <x:c r="P3364" s="2" t="str">
        <x:v>모니터링보고서 및 검증보고서 내 보안유지 필요부분 구체화 필요</x:v>
      </x:c>
      <x:c r="Q3364" s="2" t="str">
        <x:v>산업전환 외부사업 정보비공개 신청 관리 Tool_260707_LJY_261013.xlsx</x:v>
      </x:c>
      <x:c r="R3364" s="2" t="str">
        <x:v>(비공개)국외인증</x:v>
      </x:c>
      <x:c r="S3364" s="8" t="n">
        <x:v>15</x:v>
      </x:c>
      <x:c r="T3364" s="2"/>
      <x:c r="U3364" s="2" t="str"/>
      <x:c r="V3364" s="2" t="str">
        <x:v>2022-09-14</x:v>
      </x:c>
      <x:c r="W3364" s="2" t="str"/>
      <x:c r="X3364" s="2" t="str">
        <x:v>종결 근거 보관</x:v>
      </x:c>
      <x:c r="Y3364" s="2" t="str">
        <x:v>22df6d619b696c1eba8e26790f6382083d9fb1bc48481283e3e8a92ea6897677</x:v>
      </x:c>
      <x:c r="Z3364" s="2" t="n">
        <x:f>SUBTOTAL(103,A3364)</x:f>
        <x:v>1</x:v>
      </x:c>
      <x:c r="AA3364" s="2" t="str">
        <x:f>IF(K3364&lt;&gt;"미종결 표시","대상 아님",IF(N3364="","신청일 확인",IF(NOT(ISNUMBER('종합 현황'!$H$5)),"관찰기준 확인",IF('종합 현황'!$H$5&lt;1,"관찰기준 확인",IF(N3364&gt;'종합 현황'!$H$5,"내부 관찰 대상","내부 관찰일 이하")))))</x:f>
        <x:v>대상 아님</x:v>
      </x:c>
      <x:c r="AB3364" s="2"/>
    </x:row>
    <x:row r="3365" ht="42" customHeight="1">
      <x:c r="A3365" s="2" t="str">
        <x:v>7f509cc216931dd3cf88548e</x:v>
      </x:c>
      <x:c r="B3365" s="2" t="str">
        <x:v>인증 비공개 신청</x:v>
      </x:c>
      <x:c r="C3365" s="2" t="str">
        <x:v>국외</x:v>
      </x:c>
      <x:c r="D3365" s="7" t="str">
        <x:v>안전한 식수 공급을 위한 정수기 보급 사업 : CPA 98(한국 지원)</x:v>
      </x:c>
      <x:c r="E3365" s="2" t="str">
        <x:v>15</x:v>
      </x:c>
      <x:c r="F3365" s="2" t="str">
        <x:v>2022-09-06</x:v>
      </x:c>
      <x:c r="G3365" s="2" t="str">
        <x:v>2022</x:v>
      </x:c>
      <x:c r="H3365" s="2" t="str">
        <x:v>09</x:v>
      </x:c>
      <x:c r="I3365" s="2" t="str">
        <x:v>반려</x:v>
      </x:c>
      <x:c r="J3365" s="2" t="str">
        <x:v>반려완료</x:v>
      </x:c>
      <x:c r="K3365" s="2" t="str">
        <x:f>IF(OR(J3365="심의승인",J3365="반려",J3365="반려완료",J3365="심의완료"),"종결 표시",IF(OR(J3365="기후부협의",J3365="문서재제출요청",J3365="보류",J3365="보완요청",J3365="보완완료",J3365="평가중",J3365="반려요청",J3365="평가필요",LEFT(J3365,5)="보완요청("),"미종결 표시","상태 확인 필요"))</x:f>
        <x:v>종결 표시</x:v>
      </x:c>
      <x:c r="L3365" s="2" t="str">
        <x:v>KECM_임하진</x:v>
      </x:c>
      <x:c r="M3365" s="2"/>
      <x:c r="N3365" s="8" t="n">
        <x:f>DATE(2026,10,15)-DATE(2022,9,6)</x:f>
        <x:v>1500</x:v>
      </x:c>
      <x:c r="O3365" s="2"/>
      <x:c r="P3365" s="2" t="str">
        <x:v>모니터링보고서 및 검증보고서 내 보안유지 필요부분 구체화 필요</x:v>
      </x:c>
      <x:c r="Q3365" s="2" t="str">
        <x:v>산업전환 외부사업 정보비공개 신청 관리 Tool_260707_LJY_261013.xlsx</x:v>
      </x:c>
      <x:c r="R3365" s="2" t="str">
        <x:v>(비공개)국외인증</x:v>
      </x:c>
      <x:c r="S3365" s="8" t="n">
        <x:v>16</x:v>
      </x:c>
      <x:c r="T3365" s="2"/>
      <x:c r="U3365" s="2" t="str"/>
      <x:c r="V3365" s="2" t="str">
        <x:v>2022-09-14</x:v>
      </x:c>
      <x:c r="W3365" s="2" t="str"/>
      <x:c r="X3365" s="2" t="str">
        <x:v>종결 근거 보관</x:v>
      </x:c>
      <x:c r="Y3365" s="2" t="str">
        <x:v>22df6d619b696c1eba8e26790f6382083d9fb1bc48481283e3e8a92ea6897677</x:v>
      </x:c>
      <x:c r="Z3365" s="2" t="n">
        <x:f>SUBTOTAL(103,A3365)</x:f>
        <x:v>1</x:v>
      </x:c>
      <x:c r="AA3365" s="2" t="str">
        <x:f>IF(K3365&lt;&gt;"미종결 표시","대상 아님",IF(N3365="","신청일 확인",IF(NOT(ISNUMBER('종합 현황'!$H$5)),"관찰기준 확인",IF('종합 현황'!$H$5&lt;1,"관찰기준 확인",IF(N3365&gt;'종합 현황'!$H$5,"내부 관찰 대상","내부 관찰일 이하")))))</x:f>
        <x:v>대상 아님</x:v>
      </x:c>
      <x:c r="AB3365" s="2"/>
    </x:row>
    <x:row r="3366" ht="42" customHeight="1">
      <x:c r="A3366" s="2" t="str">
        <x:v>356be32830229e8d75472a56</x:v>
      </x:c>
      <x:c r="B3366" s="2" t="str">
        <x:v>인증 비공개 신청</x:v>
      </x:c>
      <x:c r="C3366" s="2" t="str">
        <x:v>국외</x:v>
      </x:c>
      <x:c r="D3366" s="7" t="str">
        <x:v>안전한 식수 공급을 위한 정수기 보급 사업 : CPA 97(한국 지원)</x:v>
      </x:c>
      <x:c r="E3366" s="2" t="str">
        <x:v>16</x:v>
      </x:c>
      <x:c r="F3366" s="2" t="str">
        <x:v>2022-09-06</x:v>
      </x:c>
      <x:c r="G3366" s="2" t="str">
        <x:v>2022</x:v>
      </x:c>
      <x:c r="H3366" s="2" t="str">
        <x:v>09</x:v>
      </x:c>
      <x:c r="I3366" s="2" t="str">
        <x:v>반려</x:v>
      </x:c>
      <x:c r="J3366" s="2" t="str">
        <x:v>반려완료</x:v>
      </x:c>
      <x:c r="K3366" s="2" t="str">
        <x:f>IF(OR(J3366="심의승인",J3366="반려",J3366="반려완료",J3366="심의완료"),"종결 표시",IF(OR(J3366="기후부협의",J3366="문서재제출요청",J3366="보류",J3366="보완요청",J3366="보완완료",J3366="평가중",J3366="반려요청",J3366="평가필요",LEFT(J3366,5)="보완요청("),"미종결 표시","상태 확인 필요"))</x:f>
        <x:v>종결 표시</x:v>
      </x:c>
      <x:c r="L3366" s="2" t="str">
        <x:v>KECM_임하진</x:v>
      </x:c>
      <x:c r="M3366" s="2"/>
      <x:c r="N3366" s="8" t="n">
        <x:f>DATE(2026,10,15)-DATE(2022,9,6)</x:f>
        <x:v>1500</x:v>
      </x:c>
      <x:c r="O3366" s="2"/>
      <x:c r="P3366" s="2" t="str">
        <x:v>모니터링보고서 및 검증보고서 내 보안유지 필요부분 구체화 필요</x:v>
      </x:c>
      <x:c r="Q3366" s="2" t="str">
        <x:v>산업전환 외부사업 정보비공개 신청 관리 Tool_260707_LJY_261013.xlsx</x:v>
      </x:c>
      <x:c r="R3366" s="2" t="str">
        <x:v>(비공개)국외인증</x:v>
      </x:c>
      <x:c r="S3366" s="8" t="n">
        <x:v>17</x:v>
      </x:c>
      <x:c r="T3366" s="2"/>
      <x:c r="U3366" s="2" t="str"/>
      <x:c r="V3366" s="2" t="str">
        <x:v>2022-09-14</x:v>
      </x:c>
      <x:c r="W3366" s="2" t="str"/>
      <x:c r="X3366" s="2" t="str">
        <x:v>종결 근거 보관</x:v>
      </x:c>
      <x:c r="Y3366" s="2" t="str">
        <x:v>22df6d619b696c1eba8e26790f6382083d9fb1bc48481283e3e8a92ea6897677</x:v>
      </x:c>
      <x:c r="Z3366" s="2" t="n">
        <x:f>SUBTOTAL(103,A3366)</x:f>
        <x:v>1</x:v>
      </x:c>
      <x:c r="AA3366" s="2" t="str">
        <x:f>IF(K3366&lt;&gt;"미종결 표시","대상 아님",IF(N3366="","신청일 확인",IF(NOT(ISNUMBER('종합 현황'!$H$5)),"관찰기준 확인",IF('종합 현황'!$H$5&lt;1,"관찰기준 확인",IF(N3366&gt;'종합 현황'!$H$5,"내부 관찰 대상","내부 관찰일 이하")))))</x:f>
        <x:v>대상 아님</x:v>
      </x:c>
      <x:c r="AB3366" s="2"/>
    </x:row>
    <x:row r="3367" ht="42" customHeight="1">
      <x:c r="A3367" s="2" t="str">
        <x:v>2e9287e1c3446de15b9ce86a</x:v>
      </x:c>
      <x:c r="B3367" s="2" t="str">
        <x:v>인증 비공개 신청</x:v>
      </x:c>
      <x:c r="C3367" s="2" t="str">
        <x:v>국외</x:v>
      </x:c>
      <x:c r="D3367" s="7" t="str">
        <x:v>안전한 식수 공급을 위한 정수기 보급 사업 : CPA 96(한국 지원)</x:v>
      </x:c>
      <x:c r="E3367" s="2" t="str">
        <x:v>17</x:v>
      </x:c>
      <x:c r="F3367" s="2" t="str">
        <x:v>2022-09-06</x:v>
      </x:c>
      <x:c r="G3367" s="2" t="str">
        <x:v>2022</x:v>
      </x:c>
      <x:c r="H3367" s="2" t="str">
        <x:v>09</x:v>
      </x:c>
      <x:c r="I3367" s="2" t="str">
        <x:v>반려</x:v>
      </x:c>
      <x:c r="J3367" s="2" t="str">
        <x:v>반려완료</x:v>
      </x:c>
      <x:c r="K3367" s="2" t="str">
        <x:f>IF(OR(J3367="심의승인",J3367="반려",J3367="반려완료",J3367="심의완료"),"종결 표시",IF(OR(J3367="기후부협의",J3367="문서재제출요청",J3367="보류",J3367="보완요청",J3367="보완완료",J3367="평가중",J3367="반려요청",J3367="평가필요",LEFT(J3367,5)="보완요청("),"미종결 표시","상태 확인 필요"))</x:f>
        <x:v>종결 표시</x:v>
      </x:c>
      <x:c r="L3367" s="2" t="str">
        <x:v>KECM_임하진</x:v>
      </x:c>
      <x:c r="M3367" s="2"/>
      <x:c r="N3367" s="8" t="n">
        <x:f>DATE(2026,10,15)-DATE(2022,9,6)</x:f>
        <x:v>1500</x:v>
      </x:c>
      <x:c r="O3367" s="2"/>
      <x:c r="P3367" s="2" t="str">
        <x:v>모니터링보고서 및 검증보고서 내 보안유지 필요부분 구체화 필요</x:v>
      </x:c>
      <x:c r="Q3367" s="2" t="str">
        <x:v>산업전환 외부사업 정보비공개 신청 관리 Tool_260707_LJY_261013.xlsx</x:v>
      </x:c>
      <x:c r="R3367" s="2" t="str">
        <x:v>(비공개)국외인증</x:v>
      </x:c>
      <x:c r="S3367" s="8" t="n">
        <x:v>18</x:v>
      </x:c>
      <x:c r="T3367" s="2"/>
      <x:c r="U3367" s="2" t="str"/>
      <x:c r="V3367" s="2" t="str">
        <x:v>2022-09-14</x:v>
      </x:c>
      <x:c r="W3367" s="2" t="str"/>
      <x:c r="X3367" s="2" t="str">
        <x:v>종결 근거 보관</x:v>
      </x:c>
      <x:c r="Y3367" s="2" t="str">
        <x:v>22df6d619b696c1eba8e26790f6382083d9fb1bc48481283e3e8a92ea6897677</x:v>
      </x:c>
      <x:c r="Z3367" s="2" t="n">
        <x:f>SUBTOTAL(103,A3367)</x:f>
        <x:v>1</x:v>
      </x:c>
      <x:c r="AA3367" s="2" t="str">
        <x:f>IF(K3367&lt;&gt;"미종결 표시","대상 아님",IF(N3367="","신청일 확인",IF(NOT(ISNUMBER('종합 현황'!$H$5)),"관찰기준 확인",IF('종합 현황'!$H$5&lt;1,"관찰기준 확인",IF(N3367&gt;'종합 현황'!$H$5,"내부 관찰 대상","내부 관찰일 이하")))))</x:f>
        <x:v>대상 아님</x:v>
      </x:c>
      <x:c r="AB3367" s="2"/>
    </x:row>
    <x:row r="3368" ht="42" customHeight="1">
      <x:c r="A3368" s="2" t="str">
        <x:v>cc9ec758c4562ce3409e59b4</x:v>
      </x:c>
      <x:c r="B3368" s="2" t="str">
        <x:v>인증 비공개 신청</x:v>
      </x:c>
      <x:c r="C3368" s="2" t="str">
        <x:v>국외</x:v>
      </x:c>
      <x:c r="D3368" s="7" t="str">
        <x:v>안전한 식수 공급을 위한 정수기 보급 사업 : CPA 95(한국 지원)</x:v>
      </x:c>
      <x:c r="E3368" s="2" t="str">
        <x:v>18</x:v>
      </x:c>
      <x:c r="F3368" s="2" t="str">
        <x:v>2022-09-06</x:v>
      </x:c>
      <x:c r="G3368" s="2" t="str">
        <x:v>2022</x:v>
      </x:c>
      <x:c r="H3368" s="2" t="str">
        <x:v>09</x:v>
      </x:c>
      <x:c r="I3368" s="2" t="str">
        <x:v>반려</x:v>
      </x:c>
      <x:c r="J3368" s="2" t="str">
        <x:v>반려완료</x:v>
      </x:c>
      <x:c r="K3368" s="2" t="str">
        <x:f>IF(OR(J3368="심의승인",J3368="반려",J3368="반려완료",J3368="심의완료"),"종결 표시",IF(OR(J3368="기후부협의",J3368="문서재제출요청",J3368="보류",J3368="보완요청",J3368="보완완료",J3368="평가중",J3368="반려요청",J3368="평가필요",LEFT(J3368,5)="보완요청("),"미종결 표시","상태 확인 필요"))</x:f>
        <x:v>종결 표시</x:v>
      </x:c>
      <x:c r="L3368" s="2" t="str">
        <x:v>KECM_임하진</x:v>
      </x:c>
      <x:c r="M3368" s="2"/>
      <x:c r="N3368" s="8" t="n">
        <x:f>DATE(2026,10,15)-DATE(2022,9,6)</x:f>
        <x:v>1500</x:v>
      </x:c>
      <x:c r="O3368" s="2"/>
      <x:c r="P3368" s="2" t="str">
        <x:v>모니터링보고서 및 검증보고서 내 보안유지 필요부분 구체화 필요</x:v>
      </x:c>
      <x:c r="Q3368" s="2" t="str">
        <x:v>산업전환 외부사업 정보비공개 신청 관리 Tool_260707_LJY_261013.xlsx</x:v>
      </x:c>
      <x:c r="R3368" s="2" t="str">
        <x:v>(비공개)국외인증</x:v>
      </x:c>
      <x:c r="S3368" s="8" t="n">
        <x:v>19</x:v>
      </x:c>
      <x:c r="T3368" s="2"/>
      <x:c r="U3368" s="2" t="str"/>
      <x:c r="V3368" s="2" t="str">
        <x:v>2022-09-14</x:v>
      </x:c>
      <x:c r="W3368" s="2" t="str"/>
      <x:c r="X3368" s="2" t="str">
        <x:v>종결 근거 보관</x:v>
      </x:c>
      <x:c r="Y3368" s="2" t="str">
        <x:v>22df6d619b696c1eba8e26790f6382083d9fb1bc48481283e3e8a92ea6897677</x:v>
      </x:c>
      <x:c r="Z3368" s="2" t="n">
        <x:f>SUBTOTAL(103,A3368)</x:f>
        <x:v>1</x:v>
      </x:c>
      <x:c r="AA3368" s="2" t="str">
        <x:f>IF(K3368&lt;&gt;"미종결 표시","대상 아님",IF(N3368="","신청일 확인",IF(NOT(ISNUMBER('종합 현황'!$H$5)),"관찰기준 확인",IF('종합 현황'!$H$5&lt;1,"관찰기준 확인",IF(N3368&gt;'종합 현황'!$H$5,"내부 관찰 대상","내부 관찰일 이하")))))</x:f>
        <x:v>대상 아님</x:v>
      </x:c>
      <x:c r="AB3368" s="2"/>
    </x:row>
    <x:row r="3369" ht="42" customHeight="1">
      <x:c r="A3369" s="2" t="str">
        <x:v>08edf61fc23b47d32e7e6366</x:v>
      </x:c>
      <x:c r="B3369" s="2" t="str">
        <x:v>인증 비공개 신청</x:v>
      </x:c>
      <x:c r="C3369" s="2" t="str">
        <x:v>국외</x:v>
      </x:c>
      <x:c r="D3369" s="7" t="str">
        <x:v>안전한 식수 공급을 위한 정수기 보급 사업 : CPA 94(한국 지원)</x:v>
      </x:c>
      <x:c r="E3369" s="2" t="str">
        <x:v>19</x:v>
      </x:c>
      <x:c r="F3369" s="2" t="str">
        <x:v>2022-09-06</x:v>
      </x:c>
      <x:c r="G3369" s="2" t="str">
        <x:v>2022</x:v>
      </x:c>
      <x:c r="H3369" s="2" t="str">
        <x:v>09</x:v>
      </x:c>
      <x:c r="I3369" s="2" t="str">
        <x:v>반려</x:v>
      </x:c>
      <x:c r="J3369" s="2" t="str">
        <x:v>반려완료</x:v>
      </x:c>
      <x:c r="K3369" s="2" t="str">
        <x:f>IF(OR(J3369="심의승인",J3369="반려",J3369="반려완료",J3369="심의완료"),"종결 표시",IF(OR(J3369="기후부협의",J3369="문서재제출요청",J3369="보류",J3369="보완요청",J3369="보완완료",J3369="평가중",J3369="반려요청",J3369="평가필요",LEFT(J3369,5)="보완요청("),"미종결 표시","상태 확인 필요"))</x:f>
        <x:v>종결 표시</x:v>
      </x:c>
      <x:c r="L3369" s="2" t="str">
        <x:v>KECM_임하진</x:v>
      </x:c>
      <x:c r="M3369" s="2"/>
      <x:c r="N3369" s="8" t="n">
        <x:f>DATE(2026,10,15)-DATE(2022,9,6)</x:f>
        <x:v>1500</x:v>
      </x:c>
      <x:c r="O3369" s="2"/>
      <x:c r="P3369" s="2" t="str">
        <x:v>모니터링보고서 및 검증보고서 내 보안유지 필요부분 구체화 필요</x:v>
      </x:c>
      <x:c r="Q3369" s="2" t="str">
        <x:v>산업전환 외부사업 정보비공개 신청 관리 Tool_260707_LJY_261013.xlsx</x:v>
      </x:c>
      <x:c r="R3369" s="2" t="str">
        <x:v>(비공개)국외인증</x:v>
      </x:c>
      <x:c r="S3369" s="8" t="n">
        <x:v>20</x:v>
      </x:c>
      <x:c r="T3369" s="2"/>
      <x:c r="U3369" s="2" t="str"/>
      <x:c r="V3369" s="2" t="str">
        <x:v>2022-09-14</x:v>
      </x:c>
      <x:c r="W3369" s="2" t="str"/>
      <x:c r="X3369" s="2" t="str">
        <x:v>종결 근거 보관</x:v>
      </x:c>
      <x:c r="Y3369" s="2" t="str">
        <x:v>22df6d619b696c1eba8e26790f6382083d9fb1bc48481283e3e8a92ea6897677</x:v>
      </x:c>
      <x:c r="Z3369" s="2" t="n">
        <x:f>SUBTOTAL(103,A3369)</x:f>
        <x:v>1</x:v>
      </x:c>
      <x:c r="AA3369" s="2" t="str">
        <x:f>IF(K3369&lt;&gt;"미종결 표시","대상 아님",IF(N3369="","신청일 확인",IF(NOT(ISNUMBER('종합 현황'!$H$5)),"관찰기준 확인",IF('종합 현황'!$H$5&lt;1,"관찰기준 확인",IF(N3369&gt;'종합 현황'!$H$5,"내부 관찰 대상","내부 관찰일 이하")))))</x:f>
        <x:v>대상 아님</x:v>
      </x:c>
      <x:c r="AB3369" s="2"/>
    </x:row>
    <x:row r="3370" ht="42" customHeight="1">
      <x:c r="A3370" s="2" t="str">
        <x:v>75e2431c1b27d5edeb1f7ea2</x:v>
      </x:c>
      <x:c r="B3370" s="2" t="str">
        <x:v>인증 비공개 신청</x:v>
      </x:c>
      <x:c r="C3370" s="2" t="str">
        <x:v>국외</x:v>
      </x:c>
      <x:c r="D3370" s="7" t="str">
        <x:v>안전한 식수 공급을 위한 정수기 보급 사업 : CPA 93(한국 지원)</x:v>
      </x:c>
      <x:c r="E3370" s="2" t="str">
        <x:v>20</x:v>
      </x:c>
      <x:c r="F3370" s="2" t="str">
        <x:v>2022-09-06</x:v>
      </x:c>
      <x:c r="G3370" s="2" t="str">
        <x:v>2022</x:v>
      </x:c>
      <x:c r="H3370" s="2" t="str">
        <x:v>09</x:v>
      </x:c>
      <x:c r="I3370" s="2" t="str">
        <x:v>반려</x:v>
      </x:c>
      <x:c r="J3370" s="2" t="str">
        <x:v>반려완료</x:v>
      </x:c>
      <x:c r="K3370" s="2" t="str">
        <x:f>IF(OR(J3370="심의승인",J3370="반려",J3370="반려완료",J3370="심의완료"),"종결 표시",IF(OR(J3370="기후부협의",J3370="문서재제출요청",J3370="보류",J3370="보완요청",J3370="보완완료",J3370="평가중",J3370="반려요청",J3370="평가필요",LEFT(J3370,5)="보완요청("),"미종결 표시","상태 확인 필요"))</x:f>
        <x:v>종결 표시</x:v>
      </x:c>
      <x:c r="L3370" s="2" t="str">
        <x:v>KECM_임하진</x:v>
      </x:c>
      <x:c r="M3370" s="2"/>
      <x:c r="N3370" s="8" t="n">
        <x:f>DATE(2026,10,15)-DATE(2022,9,6)</x:f>
        <x:v>1500</x:v>
      </x:c>
      <x:c r="O3370" s="2"/>
      <x:c r="P3370" s="2" t="str">
        <x:v>모니터링보고서 및 검증보고서 내 보안유지 필요부분 구체화 필요</x:v>
      </x:c>
      <x:c r="Q3370" s="2" t="str">
        <x:v>산업전환 외부사업 정보비공개 신청 관리 Tool_260707_LJY_261013.xlsx</x:v>
      </x:c>
      <x:c r="R3370" s="2" t="str">
        <x:v>(비공개)국외인증</x:v>
      </x:c>
      <x:c r="S3370" s="8" t="n">
        <x:v>21</x:v>
      </x:c>
      <x:c r="T3370" s="2"/>
      <x:c r="U3370" s="2" t="str"/>
      <x:c r="V3370" s="2" t="str">
        <x:v>2022-09-14</x:v>
      </x:c>
      <x:c r="W3370" s="2" t="str"/>
      <x:c r="X3370" s="2" t="str">
        <x:v>종결 근거 보관</x:v>
      </x:c>
      <x:c r="Y3370" s="2" t="str">
        <x:v>22df6d619b696c1eba8e26790f6382083d9fb1bc48481283e3e8a92ea6897677</x:v>
      </x:c>
      <x:c r="Z3370" s="2" t="n">
        <x:f>SUBTOTAL(103,A3370)</x:f>
        <x:v>1</x:v>
      </x:c>
      <x:c r="AA3370" s="2" t="str">
        <x:f>IF(K3370&lt;&gt;"미종결 표시","대상 아님",IF(N3370="","신청일 확인",IF(NOT(ISNUMBER('종합 현황'!$H$5)),"관찰기준 확인",IF('종합 현황'!$H$5&lt;1,"관찰기준 확인",IF(N3370&gt;'종합 현황'!$H$5,"내부 관찰 대상","내부 관찰일 이하")))))</x:f>
        <x:v>대상 아님</x:v>
      </x:c>
      <x:c r="AB3370" s="2"/>
    </x:row>
    <x:row r="3371" ht="42" customHeight="1">
      <x:c r="A3371" s="2" t="str">
        <x:v>05a28f75c3e1c6e86a2ee832</x:v>
      </x:c>
      <x:c r="B3371" s="2" t="str">
        <x:v>인증 비공개 신청</x:v>
      </x:c>
      <x:c r="C3371" s="2" t="str">
        <x:v>국외</x:v>
      </x:c>
      <x:c r="D3371" s="7" t="str">
        <x:v>안전한 식수 공급을 위한 정수기 보급 사업 : CPA 92(한국 지원)</x:v>
      </x:c>
      <x:c r="E3371" s="2" t="str">
        <x:v>21</x:v>
      </x:c>
      <x:c r="F3371" s="2" t="str">
        <x:v>2022-09-06</x:v>
      </x:c>
      <x:c r="G3371" s="2" t="str">
        <x:v>2022</x:v>
      </x:c>
      <x:c r="H3371" s="2" t="str">
        <x:v>09</x:v>
      </x:c>
      <x:c r="I3371" s="2" t="str">
        <x:v>반려</x:v>
      </x:c>
      <x:c r="J3371" s="2" t="str">
        <x:v>반려완료</x:v>
      </x:c>
      <x:c r="K3371" s="2" t="str">
        <x:f>IF(OR(J3371="심의승인",J3371="반려",J3371="반려완료",J3371="심의완료"),"종결 표시",IF(OR(J3371="기후부협의",J3371="문서재제출요청",J3371="보류",J3371="보완요청",J3371="보완완료",J3371="평가중",J3371="반려요청",J3371="평가필요",LEFT(J3371,5)="보완요청("),"미종결 표시","상태 확인 필요"))</x:f>
        <x:v>종결 표시</x:v>
      </x:c>
      <x:c r="L3371" s="2" t="str">
        <x:v>KECM_임하진</x:v>
      </x:c>
      <x:c r="M3371" s="2"/>
      <x:c r="N3371" s="8" t="n">
        <x:f>DATE(2026,10,15)-DATE(2022,9,6)</x:f>
        <x:v>1500</x:v>
      </x:c>
      <x:c r="O3371" s="2"/>
      <x:c r="P3371" s="2" t="str">
        <x:v>모니터링보고서 및 검증보고서 내 보안유지 필요부분 구체화 필요</x:v>
      </x:c>
      <x:c r="Q3371" s="2" t="str">
        <x:v>산업전환 외부사업 정보비공개 신청 관리 Tool_260707_LJY_261013.xlsx</x:v>
      </x:c>
      <x:c r="R3371" s="2" t="str">
        <x:v>(비공개)국외인증</x:v>
      </x:c>
      <x:c r="S3371" s="8" t="n">
        <x:v>22</x:v>
      </x:c>
      <x:c r="T3371" s="2"/>
      <x:c r="U3371" s="2" t="str"/>
      <x:c r="V3371" s="2" t="str">
        <x:v>2022-09-14</x:v>
      </x:c>
      <x:c r="W3371" s="2" t="str"/>
      <x:c r="X3371" s="2" t="str">
        <x:v>종결 근거 보관</x:v>
      </x:c>
      <x:c r="Y3371" s="2" t="str">
        <x:v>22df6d619b696c1eba8e26790f6382083d9fb1bc48481283e3e8a92ea6897677</x:v>
      </x:c>
      <x:c r="Z3371" s="2" t="n">
        <x:f>SUBTOTAL(103,A3371)</x:f>
        <x:v>1</x:v>
      </x:c>
      <x:c r="AA3371" s="2" t="str">
        <x:f>IF(K3371&lt;&gt;"미종결 표시","대상 아님",IF(N3371="","신청일 확인",IF(NOT(ISNUMBER('종합 현황'!$H$5)),"관찰기준 확인",IF('종합 현황'!$H$5&lt;1,"관찰기준 확인",IF(N3371&gt;'종합 현황'!$H$5,"내부 관찰 대상","내부 관찰일 이하")))))</x:f>
        <x:v>대상 아님</x:v>
      </x:c>
      <x:c r="AB3371" s="2"/>
    </x:row>
    <x:row r="3372" ht="42" customHeight="1">
      <x:c r="A3372" s="2" t="str">
        <x:v>691b13d1ce0aa69e56b02ff8</x:v>
      </x:c>
      <x:c r="B3372" s="2" t="str">
        <x:v>인증 비공개 신청</x:v>
      </x:c>
      <x:c r="C3372" s="2" t="str">
        <x:v>국외</x:v>
      </x:c>
      <x:c r="D3372" s="7" t="str">
        <x:v>안전한 식수 공급을 위한 정수기 보급 사업 : CPA 91(한국 지원)</x:v>
      </x:c>
      <x:c r="E3372" s="2" t="str">
        <x:v>22</x:v>
      </x:c>
      <x:c r="F3372" s="2" t="str">
        <x:v>2022-09-06</x:v>
      </x:c>
      <x:c r="G3372" s="2" t="str">
        <x:v>2022</x:v>
      </x:c>
      <x:c r="H3372" s="2" t="str">
        <x:v>09</x:v>
      </x:c>
      <x:c r="I3372" s="2" t="str">
        <x:v>반려</x:v>
      </x:c>
      <x:c r="J3372" s="2" t="str">
        <x:v>반려완료</x:v>
      </x:c>
      <x:c r="K3372" s="2" t="str">
        <x:f>IF(OR(J3372="심의승인",J3372="반려",J3372="반려완료",J3372="심의완료"),"종결 표시",IF(OR(J3372="기후부협의",J3372="문서재제출요청",J3372="보류",J3372="보완요청",J3372="보완완료",J3372="평가중",J3372="반려요청",J3372="평가필요",LEFT(J3372,5)="보완요청("),"미종결 표시","상태 확인 필요"))</x:f>
        <x:v>종결 표시</x:v>
      </x:c>
      <x:c r="L3372" s="2" t="str">
        <x:v>KECM_임하진</x:v>
      </x:c>
      <x:c r="M3372" s="2"/>
      <x:c r="N3372" s="8" t="n">
        <x:f>DATE(2026,10,15)-DATE(2022,9,6)</x:f>
        <x:v>1500</x:v>
      </x:c>
      <x:c r="O3372" s="2"/>
      <x:c r="P3372" s="2" t="str">
        <x:v>모니터링보고서 및 검증보고서 내 보안유지 필요부분 구체화 필요</x:v>
      </x:c>
      <x:c r="Q3372" s="2" t="str">
        <x:v>산업전환 외부사업 정보비공개 신청 관리 Tool_260707_LJY_261013.xlsx</x:v>
      </x:c>
      <x:c r="R3372" s="2" t="str">
        <x:v>(비공개)국외인증</x:v>
      </x:c>
      <x:c r="S3372" s="8" t="n">
        <x:v>23</x:v>
      </x:c>
      <x:c r="T3372" s="2"/>
      <x:c r="U3372" s="2" t="str"/>
      <x:c r="V3372" s="2" t="str">
        <x:v>2022-09-14</x:v>
      </x:c>
      <x:c r="W3372" s="2" t="str"/>
      <x:c r="X3372" s="2" t="str">
        <x:v>종결 근거 보관</x:v>
      </x:c>
      <x:c r="Y3372" s="2" t="str">
        <x:v>22df6d619b696c1eba8e26790f6382083d9fb1bc48481283e3e8a92ea6897677</x:v>
      </x:c>
      <x:c r="Z3372" s="2" t="n">
        <x:f>SUBTOTAL(103,A3372)</x:f>
        <x:v>1</x:v>
      </x:c>
      <x:c r="AA3372" s="2" t="str">
        <x:f>IF(K3372&lt;&gt;"미종결 표시","대상 아님",IF(N3372="","신청일 확인",IF(NOT(ISNUMBER('종합 현황'!$H$5)),"관찰기준 확인",IF('종합 현황'!$H$5&lt;1,"관찰기준 확인",IF(N3372&gt;'종합 현황'!$H$5,"내부 관찰 대상","내부 관찰일 이하")))))</x:f>
        <x:v>대상 아님</x:v>
      </x:c>
      <x:c r="AB3372" s="2"/>
    </x:row>
    <x:row r="3373" ht="42" customHeight="1">
      <x:c r="A3373" s="2" t="str">
        <x:v>746cbcbd69c21d83f15b5e03</x:v>
      </x:c>
      <x:c r="B3373" s="2" t="str">
        <x:v>인증 비공개 신청</x:v>
      </x:c>
      <x:c r="C3373" s="2" t="str">
        <x:v>국외</x:v>
      </x:c>
      <x:c r="D3373" s="7" t="str">
        <x:v>안전한 식수 공급을 위한 정수기 보급 사업 : CPA 90(한국 지원)</x:v>
      </x:c>
      <x:c r="E3373" s="2" t="str">
        <x:v>23</x:v>
      </x:c>
      <x:c r="F3373" s="2" t="str">
        <x:v>2022-09-06</x:v>
      </x:c>
      <x:c r="G3373" s="2" t="str">
        <x:v>2022</x:v>
      </x:c>
      <x:c r="H3373" s="2" t="str">
        <x:v>09</x:v>
      </x:c>
      <x:c r="I3373" s="2" t="str">
        <x:v>반려</x:v>
      </x:c>
      <x:c r="J3373" s="2" t="str">
        <x:v>반려완료</x:v>
      </x:c>
      <x:c r="K3373" s="2" t="str">
        <x:f>IF(OR(J3373="심의승인",J3373="반려",J3373="반려완료",J3373="심의완료"),"종결 표시",IF(OR(J3373="기후부협의",J3373="문서재제출요청",J3373="보류",J3373="보완요청",J3373="보완완료",J3373="평가중",J3373="반려요청",J3373="평가필요",LEFT(J3373,5)="보완요청("),"미종결 표시","상태 확인 필요"))</x:f>
        <x:v>종결 표시</x:v>
      </x:c>
      <x:c r="L3373" s="2" t="str">
        <x:v>KECM_임하진</x:v>
      </x:c>
      <x:c r="M3373" s="2"/>
      <x:c r="N3373" s="8" t="n">
        <x:f>DATE(2026,10,15)-DATE(2022,9,6)</x:f>
        <x:v>1500</x:v>
      </x:c>
      <x:c r="O3373" s="2"/>
      <x:c r="P3373" s="2" t="str">
        <x:v>모니터링보고서 및 검증보고서 내 보안유지 필요부분 구체화 필요</x:v>
      </x:c>
      <x:c r="Q3373" s="2" t="str">
        <x:v>산업전환 외부사업 정보비공개 신청 관리 Tool_260707_LJY_261013.xlsx</x:v>
      </x:c>
      <x:c r="R3373" s="2" t="str">
        <x:v>(비공개)국외인증</x:v>
      </x:c>
      <x:c r="S3373" s="8" t="n">
        <x:v>24</x:v>
      </x:c>
      <x:c r="T3373" s="2"/>
      <x:c r="U3373" s="2" t="str"/>
      <x:c r="V3373" s="2" t="str">
        <x:v>2022-09-14</x:v>
      </x:c>
      <x:c r="W3373" s="2" t="str"/>
      <x:c r="X3373" s="2" t="str">
        <x:v>종결 근거 보관</x:v>
      </x:c>
      <x:c r="Y3373" s="2" t="str">
        <x:v>22df6d619b696c1eba8e26790f6382083d9fb1bc48481283e3e8a92ea6897677</x:v>
      </x:c>
      <x:c r="Z3373" s="2" t="n">
        <x:f>SUBTOTAL(103,A3373)</x:f>
        <x:v>1</x:v>
      </x:c>
      <x:c r="AA3373" s="2" t="str">
        <x:f>IF(K3373&lt;&gt;"미종결 표시","대상 아님",IF(N3373="","신청일 확인",IF(NOT(ISNUMBER('종합 현황'!$H$5)),"관찰기준 확인",IF('종합 현황'!$H$5&lt;1,"관찰기준 확인",IF(N3373&gt;'종합 현황'!$H$5,"내부 관찰 대상","내부 관찰일 이하")))))</x:f>
        <x:v>대상 아님</x:v>
      </x:c>
      <x:c r="AB3373" s="2"/>
    </x:row>
    <x:row r="3374" ht="42" customHeight="1">
      <x:c r="A3374" s="2" t="str">
        <x:v>c0b3bc35a919561350bda592</x:v>
      </x:c>
      <x:c r="B3374" s="2" t="str">
        <x:v>인증 비공개 신청</x:v>
      </x:c>
      <x:c r="C3374" s="2" t="str">
        <x:v>국외</x:v>
      </x:c>
      <x:c r="D3374" s="7" t="str">
        <x:v>안전한 식수 공급을 위한 정수기 보급 사업 : CPA 89(한국 지원)</x:v>
      </x:c>
      <x:c r="E3374" s="2" t="str">
        <x:v>24</x:v>
      </x:c>
      <x:c r="F3374" s="2" t="str">
        <x:v>2022-09-06</x:v>
      </x:c>
      <x:c r="G3374" s="2" t="str">
        <x:v>2022</x:v>
      </x:c>
      <x:c r="H3374" s="2" t="str">
        <x:v>09</x:v>
      </x:c>
      <x:c r="I3374" s="2" t="str">
        <x:v>반려</x:v>
      </x:c>
      <x:c r="J3374" s="2" t="str">
        <x:v>반려완료</x:v>
      </x:c>
      <x:c r="K3374" s="2" t="str">
        <x:f>IF(OR(J3374="심의승인",J3374="반려",J3374="반려완료",J3374="심의완료"),"종결 표시",IF(OR(J3374="기후부협의",J3374="문서재제출요청",J3374="보류",J3374="보완요청",J3374="보완완료",J3374="평가중",J3374="반려요청",J3374="평가필요",LEFT(J3374,5)="보완요청("),"미종결 표시","상태 확인 필요"))</x:f>
        <x:v>종결 표시</x:v>
      </x:c>
      <x:c r="L3374" s="2" t="str">
        <x:v>KECM_임하진</x:v>
      </x:c>
      <x:c r="M3374" s="2"/>
      <x:c r="N3374" s="8" t="n">
        <x:f>DATE(2026,10,15)-DATE(2022,9,6)</x:f>
        <x:v>1500</x:v>
      </x:c>
      <x:c r="O3374" s="2"/>
      <x:c r="P3374" s="2" t="str">
        <x:v>모니터링보고서 및 검증보고서 내 보안유지 필요부분 구체화 필요</x:v>
      </x:c>
      <x:c r="Q3374" s="2" t="str">
        <x:v>산업전환 외부사업 정보비공개 신청 관리 Tool_260707_LJY_261013.xlsx</x:v>
      </x:c>
      <x:c r="R3374" s="2" t="str">
        <x:v>(비공개)국외인증</x:v>
      </x:c>
      <x:c r="S3374" s="8" t="n">
        <x:v>25</x:v>
      </x:c>
      <x:c r="T3374" s="2"/>
      <x:c r="U3374" s="2" t="str"/>
      <x:c r="V3374" s="2" t="str">
        <x:v>2022-09-14</x:v>
      </x:c>
      <x:c r="W3374" s="2" t="str"/>
      <x:c r="X3374" s="2" t="str">
        <x:v>종결 근거 보관</x:v>
      </x:c>
      <x:c r="Y3374" s="2" t="str">
        <x:v>22df6d619b696c1eba8e26790f6382083d9fb1bc48481283e3e8a92ea6897677</x:v>
      </x:c>
      <x:c r="Z3374" s="2" t="n">
        <x:f>SUBTOTAL(103,A3374)</x:f>
        <x:v>1</x:v>
      </x:c>
      <x:c r="AA3374" s="2" t="str">
        <x:f>IF(K3374&lt;&gt;"미종결 표시","대상 아님",IF(N3374="","신청일 확인",IF(NOT(ISNUMBER('종합 현황'!$H$5)),"관찰기준 확인",IF('종합 현황'!$H$5&lt;1,"관찰기준 확인",IF(N3374&gt;'종합 현황'!$H$5,"내부 관찰 대상","내부 관찰일 이하")))))</x:f>
        <x:v>대상 아님</x:v>
      </x:c>
      <x:c r="AB3374" s="2"/>
    </x:row>
    <x:row r="3375" ht="42" customHeight="1">
      <x:c r="A3375" s="2" t="str">
        <x:v>d3a1e6a8c18b3cb437de103d</x:v>
      </x:c>
      <x:c r="B3375" s="2" t="str">
        <x:v>인증 비공개 신청</x:v>
      </x:c>
      <x:c r="C3375" s="2" t="str">
        <x:v>국외</x:v>
      </x:c>
      <x:c r="D3375" s="7" t="str">
        <x:v>안전한 식수 공급을 위한 정수기 보급 사업 : CPA 88(한국 지원)</x:v>
      </x:c>
      <x:c r="E3375" s="2" t="str">
        <x:v>25</x:v>
      </x:c>
      <x:c r="F3375" s="2" t="str">
        <x:v>2022-09-06</x:v>
      </x:c>
      <x:c r="G3375" s="2" t="str">
        <x:v>2022</x:v>
      </x:c>
      <x:c r="H3375" s="2" t="str">
        <x:v>09</x:v>
      </x:c>
      <x:c r="I3375" s="2" t="str">
        <x:v>반려</x:v>
      </x:c>
      <x:c r="J3375" s="2" t="str">
        <x:v>반려완료</x:v>
      </x:c>
      <x:c r="K3375" s="2" t="str">
        <x:f>IF(OR(J3375="심의승인",J3375="반려",J3375="반려완료",J3375="심의완료"),"종결 표시",IF(OR(J3375="기후부협의",J3375="문서재제출요청",J3375="보류",J3375="보완요청",J3375="보완완료",J3375="평가중",J3375="반려요청",J3375="평가필요",LEFT(J3375,5)="보완요청("),"미종결 표시","상태 확인 필요"))</x:f>
        <x:v>종결 표시</x:v>
      </x:c>
      <x:c r="L3375" s="2" t="str">
        <x:v>KECM_임하진</x:v>
      </x:c>
      <x:c r="M3375" s="2"/>
      <x:c r="N3375" s="8" t="n">
        <x:f>DATE(2026,10,15)-DATE(2022,9,6)</x:f>
        <x:v>1500</x:v>
      </x:c>
      <x:c r="O3375" s="2"/>
      <x:c r="P3375" s="2" t="str">
        <x:v>모니터링보고서 및 검증보고서 내 보안유지 필요부분 구체화 필요</x:v>
      </x:c>
      <x:c r="Q3375" s="2" t="str">
        <x:v>산업전환 외부사업 정보비공개 신청 관리 Tool_260707_LJY_261013.xlsx</x:v>
      </x:c>
      <x:c r="R3375" s="2" t="str">
        <x:v>(비공개)국외인증</x:v>
      </x:c>
      <x:c r="S3375" s="8" t="n">
        <x:v>26</x:v>
      </x:c>
      <x:c r="T3375" s="2"/>
      <x:c r="U3375" s="2" t="str"/>
      <x:c r="V3375" s="2" t="str">
        <x:v>2022-09-14</x:v>
      </x:c>
      <x:c r="W3375" s="2" t="str"/>
      <x:c r="X3375" s="2" t="str">
        <x:v>종결 근거 보관</x:v>
      </x:c>
      <x:c r="Y3375" s="2" t="str">
        <x:v>22df6d619b696c1eba8e26790f6382083d9fb1bc48481283e3e8a92ea6897677</x:v>
      </x:c>
      <x:c r="Z3375" s="2" t="n">
        <x:f>SUBTOTAL(103,A3375)</x:f>
        <x:v>1</x:v>
      </x:c>
      <x:c r="AA3375" s="2" t="str">
        <x:f>IF(K3375&lt;&gt;"미종결 표시","대상 아님",IF(N3375="","신청일 확인",IF(NOT(ISNUMBER('종합 현황'!$H$5)),"관찰기준 확인",IF('종합 현황'!$H$5&lt;1,"관찰기준 확인",IF(N3375&gt;'종합 현황'!$H$5,"내부 관찰 대상","내부 관찰일 이하")))))</x:f>
        <x:v>대상 아님</x:v>
      </x:c>
      <x:c r="AB3375" s="2"/>
    </x:row>
    <x:row r="3376" ht="42" customHeight="1">
      <x:c r="A3376" s="2" t="str">
        <x:v>8d15792465d49a0ffd1608b3</x:v>
      </x:c>
      <x:c r="B3376" s="2" t="str">
        <x:v>인증 비공개 신청</x:v>
      </x:c>
      <x:c r="C3376" s="2" t="str">
        <x:v>국외</x:v>
      </x:c>
      <x:c r="D3376" s="7" t="str">
        <x:v>안전한 식수 공급을 위한 정수기 보급 사업 : CPA 87(한국 지원)</x:v>
      </x:c>
      <x:c r="E3376" s="2" t="str">
        <x:v>26</x:v>
      </x:c>
      <x:c r="F3376" s="2" t="str">
        <x:v>2022-09-06</x:v>
      </x:c>
      <x:c r="G3376" s="2" t="str">
        <x:v>2022</x:v>
      </x:c>
      <x:c r="H3376" s="2" t="str">
        <x:v>09</x:v>
      </x:c>
      <x:c r="I3376" s="2" t="str">
        <x:v>반려</x:v>
      </x:c>
      <x:c r="J3376" s="2" t="str">
        <x:v>반려완료</x:v>
      </x:c>
      <x:c r="K3376" s="2" t="str">
        <x:f>IF(OR(J3376="심의승인",J3376="반려",J3376="반려완료",J3376="심의완료"),"종결 표시",IF(OR(J3376="기후부협의",J3376="문서재제출요청",J3376="보류",J3376="보완요청",J3376="보완완료",J3376="평가중",J3376="반려요청",J3376="평가필요",LEFT(J3376,5)="보완요청("),"미종결 표시","상태 확인 필요"))</x:f>
        <x:v>종결 표시</x:v>
      </x:c>
      <x:c r="L3376" s="2" t="str">
        <x:v>KECM_임하진</x:v>
      </x:c>
      <x:c r="M3376" s="2"/>
      <x:c r="N3376" s="8" t="n">
        <x:f>DATE(2026,10,15)-DATE(2022,9,6)</x:f>
        <x:v>1500</x:v>
      </x:c>
      <x:c r="O3376" s="2"/>
      <x:c r="P3376" s="2" t="str">
        <x:v>모니터링보고서 및 검증보고서 내 보안유지 필요부분 구체화 필요</x:v>
      </x:c>
      <x:c r="Q3376" s="2" t="str">
        <x:v>산업전환 외부사업 정보비공개 신청 관리 Tool_260707_LJY_261013.xlsx</x:v>
      </x:c>
      <x:c r="R3376" s="2" t="str">
        <x:v>(비공개)국외인증</x:v>
      </x:c>
      <x:c r="S3376" s="8" t="n">
        <x:v>27</x:v>
      </x:c>
      <x:c r="T3376" s="2"/>
      <x:c r="U3376" s="2" t="str"/>
      <x:c r="V3376" s="2" t="str">
        <x:v>2022-09-14</x:v>
      </x:c>
      <x:c r="W3376" s="2" t="str"/>
      <x:c r="X3376" s="2" t="str">
        <x:v>종결 근거 보관</x:v>
      </x:c>
      <x:c r="Y3376" s="2" t="str">
        <x:v>22df6d619b696c1eba8e26790f6382083d9fb1bc48481283e3e8a92ea6897677</x:v>
      </x:c>
      <x:c r="Z3376" s="2" t="n">
        <x:f>SUBTOTAL(103,A3376)</x:f>
        <x:v>1</x:v>
      </x:c>
      <x:c r="AA3376" s="2" t="str">
        <x:f>IF(K3376&lt;&gt;"미종결 표시","대상 아님",IF(N3376="","신청일 확인",IF(NOT(ISNUMBER('종합 현황'!$H$5)),"관찰기준 확인",IF('종합 현황'!$H$5&lt;1,"관찰기준 확인",IF(N3376&gt;'종합 현황'!$H$5,"내부 관찰 대상","내부 관찰일 이하")))))</x:f>
        <x:v>대상 아님</x:v>
      </x:c>
      <x:c r="AB3376" s="2"/>
    </x:row>
    <x:row r="3377" ht="42" customHeight="1">
      <x:c r="A3377" s="2" t="str">
        <x:v>2da8100c09435b24bd95372a</x:v>
      </x:c>
      <x:c r="B3377" s="2" t="str">
        <x:v>인증 비공개 신청</x:v>
      </x:c>
      <x:c r="C3377" s="2" t="str">
        <x:v>국외</x:v>
      </x:c>
      <x:c r="D3377" s="7" t="str">
        <x:v>안전한 식수 공급을 위한 정수기 보급 사업 : CPA 86(한국 지원)</x:v>
      </x:c>
      <x:c r="E3377" s="2" t="str">
        <x:v>27</x:v>
      </x:c>
      <x:c r="F3377" s="2" t="str">
        <x:v>2022-09-06</x:v>
      </x:c>
      <x:c r="G3377" s="2" t="str">
        <x:v>2022</x:v>
      </x:c>
      <x:c r="H3377" s="2" t="str">
        <x:v>09</x:v>
      </x:c>
      <x:c r="I3377" s="2" t="str">
        <x:v>반려</x:v>
      </x:c>
      <x:c r="J3377" s="2" t="str">
        <x:v>반려완료</x:v>
      </x:c>
      <x:c r="K3377" s="2" t="str">
        <x:f>IF(OR(J3377="심의승인",J3377="반려",J3377="반려완료",J3377="심의완료"),"종결 표시",IF(OR(J3377="기후부협의",J3377="문서재제출요청",J3377="보류",J3377="보완요청",J3377="보완완료",J3377="평가중",J3377="반려요청",J3377="평가필요",LEFT(J3377,5)="보완요청("),"미종결 표시","상태 확인 필요"))</x:f>
        <x:v>종결 표시</x:v>
      </x:c>
      <x:c r="L3377" s="2" t="str">
        <x:v>KECM_임하진</x:v>
      </x:c>
      <x:c r="M3377" s="2"/>
      <x:c r="N3377" s="8" t="n">
        <x:f>DATE(2026,10,15)-DATE(2022,9,6)</x:f>
        <x:v>1500</x:v>
      </x:c>
      <x:c r="O3377" s="2"/>
      <x:c r="P3377" s="2" t="str">
        <x:v>모니터링보고서 및 검증보고서 내 보안유지 필요부분 구체화 필요</x:v>
      </x:c>
      <x:c r="Q3377" s="2" t="str">
        <x:v>산업전환 외부사업 정보비공개 신청 관리 Tool_260707_LJY_261013.xlsx</x:v>
      </x:c>
      <x:c r="R3377" s="2" t="str">
        <x:v>(비공개)국외인증</x:v>
      </x:c>
      <x:c r="S3377" s="8" t="n">
        <x:v>28</x:v>
      </x:c>
      <x:c r="T3377" s="2"/>
      <x:c r="U3377" s="2" t="str"/>
      <x:c r="V3377" s="2" t="str">
        <x:v>2022-09-14</x:v>
      </x:c>
      <x:c r="W3377" s="2" t="str"/>
      <x:c r="X3377" s="2" t="str">
        <x:v>종결 근거 보관</x:v>
      </x:c>
      <x:c r="Y3377" s="2" t="str">
        <x:v>22df6d619b696c1eba8e26790f6382083d9fb1bc48481283e3e8a92ea6897677</x:v>
      </x:c>
      <x:c r="Z3377" s="2" t="n">
        <x:f>SUBTOTAL(103,A3377)</x:f>
        <x:v>1</x:v>
      </x:c>
      <x:c r="AA3377" s="2" t="str">
        <x:f>IF(K3377&lt;&gt;"미종결 표시","대상 아님",IF(N3377="","신청일 확인",IF(NOT(ISNUMBER('종합 현황'!$H$5)),"관찰기준 확인",IF('종합 현황'!$H$5&lt;1,"관찰기준 확인",IF(N3377&gt;'종합 현황'!$H$5,"내부 관찰 대상","내부 관찰일 이하")))))</x:f>
        <x:v>대상 아님</x:v>
      </x:c>
      <x:c r="AB3377" s="2"/>
    </x:row>
    <x:row r="3378" ht="42" customHeight="1">
      <x:c r="A3378" s="2" t="str">
        <x:v>c95f832fa558254c63491e6a</x:v>
      </x:c>
      <x:c r="B3378" s="2" t="str">
        <x:v>인증 비공개 신청</x:v>
      </x:c>
      <x:c r="C3378" s="2" t="str">
        <x:v>국외</x:v>
      </x:c>
      <x:c r="D3378" s="7" t="str">
        <x:v>안전한 식수 공급을 위한 정수기 보급 사업 : CPA 85(한국 지원)</x:v>
      </x:c>
      <x:c r="E3378" s="2" t="str">
        <x:v>28</x:v>
      </x:c>
      <x:c r="F3378" s="2" t="str">
        <x:v>2022-09-06</x:v>
      </x:c>
      <x:c r="G3378" s="2" t="str">
        <x:v>2022</x:v>
      </x:c>
      <x:c r="H3378" s="2" t="str">
        <x:v>09</x:v>
      </x:c>
      <x:c r="I3378" s="2" t="str">
        <x:v>반려</x:v>
      </x:c>
      <x:c r="J3378" s="2" t="str">
        <x:v>반려완료</x:v>
      </x:c>
      <x:c r="K3378" s="2" t="str">
        <x:f>IF(OR(J3378="심의승인",J3378="반려",J3378="반려완료",J3378="심의완료"),"종결 표시",IF(OR(J3378="기후부협의",J3378="문서재제출요청",J3378="보류",J3378="보완요청",J3378="보완완료",J3378="평가중",J3378="반려요청",J3378="평가필요",LEFT(J3378,5)="보완요청("),"미종결 표시","상태 확인 필요"))</x:f>
        <x:v>종결 표시</x:v>
      </x:c>
      <x:c r="L3378" s="2" t="str">
        <x:v>KECM_임하진</x:v>
      </x:c>
      <x:c r="M3378" s="2"/>
      <x:c r="N3378" s="8" t="n">
        <x:f>DATE(2026,10,15)-DATE(2022,9,6)</x:f>
        <x:v>1500</x:v>
      </x:c>
      <x:c r="O3378" s="2"/>
      <x:c r="P3378" s="2" t="str">
        <x:v>모니터링보고서 및 검증보고서 내 보안유지 필요부분 구체화 필요</x:v>
      </x:c>
      <x:c r="Q3378" s="2" t="str">
        <x:v>산업전환 외부사업 정보비공개 신청 관리 Tool_260707_LJY_261013.xlsx</x:v>
      </x:c>
      <x:c r="R3378" s="2" t="str">
        <x:v>(비공개)국외인증</x:v>
      </x:c>
      <x:c r="S3378" s="8" t="n">
        <x:v>29</x:v>
      </x:c>
      <x:c r="T3378" s="2"/>
      <x:c r="U3378" s="2" t="str"/>
      <x:c r="V3378" s="2" t="str">
        <x:v>2022-09-14</x:v>
      </x:c>
      <x:c r="W3378" s="2" t="str"/>
      <x:c r="X3378" s="2" t="str">
        <x:v>종결 근거 보관</x:v>
      </x:c>
      <x:c r="Y3378" s="2" t="str">
        <x:v>22df6d619b696c1eba8e26790f6382083d9fb1bc48481283e3e8a92ea6897677</x:v>
      </x:c>
      <x:c r="Z3378" s="2" t="n">
        <x:f>SUBTOTAL(103,A3378)</x:f>
        <x:v>1</x:v>
      </x:c>
      <x:c r="AA3378" s="2" t="str">
        <x:f>IF(K3378&lt;&gt;"미종결 표시","대상 아님",IF(N3378="","신청일 확인",IF(NOT(ISNUMBER('종합 현황'!$H$5)),"관찰기준 확인",IF('종합 현황'!$H$5&lt;1,"관찰기준 확인",IF(N3378&gt;'종합 현황'!$H$5,"내부 관찰 대상","내부 관찰일 이하")))))</x:f>
        <x:v>대상 아님</x:v>
      </x:c>
      <x:c r="AB3378" s="2"/>
    </x:row>
    <x:row r="3379" ht="42" customHeight="1">
      <x:c r="A3379" s="2" t="str">
        <x:v>6596c5ad6c459723c0db6d2d</x:v>
      </x:c>
      <x:c r="B3379" s="2" t="str">
        <x:v>인증 비공개 신청</x:v>
      </x:c>
      <x:c r="C3379" s="2" t="str">
        <x:v>국외</x:v>
      </x:c>
      <x:c r="D3379" s="7" t="str">
        <x:v>안전한 식수 공급을 위한 정수기 보급 사업 : CPA 84(한국 지원)</x:v>
      </x:c>
      <x:c r="E3379" s="2" t="str">
        <x:v>29</x:v>
      </x:c>
      <x:c r="F3379" s="2" t="str">
        <x:v>2022-09-06</x:v>
      </x:c>
      <x:c r="G3379" s="2" t="str">
        <x:v>2022</x:v>
      </x:c>
      <x:c r="H3379" s="2" t="str">
        <x:v>09</x:v>
      </x:c>
      <x:c r="I3379" s="2" t="str">
        <x:v>반려</x:v>
      </x:c>
      <x:c r="J3379" s="2" t="str">
        <x:v>반려완료</x:v>
      </x:c>
      <x:c r="K3379" s="2" t="str">
        <x:f>IF(OR(J3379="심의승인",J3379="반려",J3379="반려완료",J3379="심의완료"),"종결 표시",IF(OR(J3379="기후부협의",J3379="문서재제출요청",J3379="보류",J3379="보완요청",J3379="보완완료",J3379="평가중",J3379="반려요청",J3379="평가필요",LEFT(J3379,5)="보완요청("),"미종결 표시","상태 확인 필요"))</x:f>
        <x:v>종결 표시</x:v>
      </x:c>
      <x:c r="L3379" s="2" t="str">
        <x:v>KECM_임하진</x:v>
      </x:c>
      <x:c r="M3379" s="2"/>
      <x:c r="N3379" s="8" t="n">
        <x:f>DATE(2026,10,15)-DATE(2022,9,6)</x:f>
        <x:v>1500</x:v>
      </x:c>
      <x:c r="O3379" s="2"/>
      <x:c r="P3379" s="2" t="str">
        <x:v>모니터링보고서 및 검증보고서 내 보안유지 필요부분 구체화 필요</x:v>
      </x:c>
      <x:c r="Q3379" s="2" t="str">
        <x:v>산업전환 외부사업 정보비공개 신청 관리 Tool_260707_LJY_261013.xlsx</x:v>
      </x:c>
      <x:c r="R3379" s="2" t="str">
        <x:v>(비공개)국외인증</x:v>
      </x:c>
      <x:c r="S3379" s="8" t="n">
        <x:v>30</x:v>
      </x:c>
      <x:c r="T3379" s="2"/>
      <x:c r="U3379" s="2" t="str"/>
      <x:c r="V3379" s="2" t="str">
        <x:v>2022-09-14</x:v>
      </x:c>
      <x:c r="W3379" s="2" t="str"/>
      <x:c r="X3379" s="2" t="str">
        <x:v>종결 근거 보관</x:v>
      </x:c>
      <x:c r="Y3379" s="2" t="str">
        <x:v>22df6d619b696c1eba8e26790f6382083d9fb1bc48481283e3e8a92ea6897677</x:v>
      </x:c>
      <x:c r="Z3379" s="2" t="n">
        <x:f>SUBTOTAL(103,A3379)</x:f>
        <x:v>1</x:v>
      </x:c>
      <x:c r="AA3379" s="2" t="str">
        <x:f>IF(K3379&lt;&gt;"미종결 표시","대상 아님",IF(N3379="","신청일 확인",IF(NOT(ISNUMBER('종합 현황'!$H$5)),"관찰기준 확인",IF('종합 현황'!$H$5&lt;1,"관찰기준 확인",IF(N3379&gt;'종합 현황'!$H$5,"내부 관찰 대상","내부 관찰일 이하")))))</x:f>
        <x:v>대상 아님</x:v>
      </x:c>
      <x:c r="AB3379" s="2"/>
    </x:row>
    <x:row r="3380" ht="42" customHeight="1">
      <x:c r="A3380" s="2" t="str">
        <x:v>46f2199f38067da2c6dc7cf1</x:v>
      </x:c>
      <x:c r="B3380" s="2" t="str">
        <x:v>인증 비공개 신청</x:v>
      </x:c>
      <x:c r="C3380" s="2" t="str">
        <x:v>국외</x:v>
      </x:c>
      <x:c r="D3380" s="7" t="str">
        <x:v>안전한 식수 공급을 위한 정수기 보급 사업 : CPA 83(한국 지원)</x:v>
      </x:c>
      <x:c r="E3380" s="2" t="str">
        <x:v>30</x:v>
      </x:c>
      <x:c r="F3380" s="2" t="str">
        <x:v>2022-09-06</x:v>
      </x:c>
      <x:c r="G3380" s="2" t="str">
        <x:v>2022</x:v>
      </x:c>
      <x:c r="H3380" s="2" t="str">
        <x:v>09</x:v>
      </x:c>
      <x:c r="I3380" s="2" t="str">
        <x:v>반려</x:v>
      </x:c>
      <x:c r="J3380" s="2" t="str">
        <x:v>반려완료</x:v>
      </x:c>
      <x:c r="K3380" s="2" t="str">
        <x:f>IF(OR(J3380="심의승인",J3380="반려",J3380="반려완료",J3380="심의완료"),"종결 표시",IF(OR(J3380="기후부협의",J3380="문서재제출요청",J3380="보류",J3380="보완요청",J3380="보완완료",J3380="평가중",J3380="반려요청",J3380="평가필요",LEFT(J3380,5)="보완요청("),"미종결 표시","상태 확인 필요"))</x:f>
        <x:v>종결 표시</x:v>
      </x:c>
      <x:c r="L3380" s="2" t="str">
        <x:v>KECM_임하진</x:v>
      </x:c>
      <x:c r="M3380" s="2"/>
      <x:c r="N3380" s="8" t="n">
        <x:f>DATE(2026,10,15)-DATE(2022,9,6)</x:f>
        <x:v>1500</x:v>
      </x:c>
      <x:c r="O3380" s="2"/>
      <x:c r="P3380" s="2" t="str">
        <x:v>모니터링보고서 및 검증보고서 내 보안유지 필요부분 구체화 필요</x:v>
      </x:c>
      <x:c r="Q3380" s="2" t="str">
        <x:v>산업전환 외부사업 정보비공개 신청 관리 Tool_260707_LJY_261013.xlsx</x:v>
      </x:c>
      <x:c r="R3380" s="2" t="str">
        <x:v>(비공개)국외인증</x:v>
      </x:c>
      <x:c r="S3380" s="8" t="n">
        <x:v>31</x:v>
      </x:c>
      <x:c r="T3380" s="2"/>
      <x:c r="U3380" s="2" t="str"/>
      <x:c r="V3380" s="2" t="str">
        <x:v>2022-09-14</x:v>
      </x:c>
      <x:c r="W3380" s="2" t="str"/>
      <x:c r="X3380" s="2" t="str">
        <x:v>종결 근거 보관</x:v>
      </x:c>
      <x:c r="Y3380" s="2" t="str">
        <x:v>22df6d619b696c1eba8e26790f6382083d9fb1bc48481283e3e8a92ea6897677</x:v>
      </x:c>
      <x:c r="Z3380" s="2" t="n">
        <x:f>SUBTOTAL(103,A3380)</x:f>
        <x:v>1</x:v>
      </x:c>
      <x:c r="AA3380" s="2" t="str">
        <x:f>IF(K3380&lt;&gt;"미종결 표시","대상 아님",IF(N3380="","신청일 확인",IF(NOT(ISNUMBER('종합 현황'!$H$5)),"관찰기준 확인",IF('종합 현황'!$H$5&lt;1,"관찰기준 확인",IF(N3380&gt;'종합 현황'!$H$5,"내부 관찰 대상","내부 관찰일 이하")))))</x:f>
        <x:v>대상 아님</x:v>
      </x:c>
      <x:c r="AB3380" s="2"/>
    </x:row>
    <x:row r="3381" ht="42" customHeight="1">
      <x:c r="A3381" s="2" t="str">
        <x:v>f3f3e4c1d1cb0df0ced2129c</x:v>
      </x:c>
      <x:c r="B3381" s="2" t="str">
        <x:v>인증 비공개 신청</x:v>
      </x:c>
      <x:c r="C3381" s="2" t="str">
        <x:v>국외</x:v>
      </x:c>
      <x:c r="D3381" s="7" t="str">
        <x:v>안전한 식수 공급을 위한 정수기 보급 사업 : CPA 82(한국 지원)</x:v>
      </x:c>
      <x:c r="E3381" s="2" t="str">
        <x:v>31</x:v>
      </x:c>
      <x:c r="F3381" s="2" t="str">
        <x:v>2022-09-06</x:v>
      </x:c>
      <x:c r="G3381" s="2" t="str">
        <x:v>2022</x:v>
      </x:c>
      <x:c r="H3381" s="2" t="str">
        <x:v>09</x:v>
      </x:c>
      <x:c r="I3381" s="2" t="str">
        <x:v>반려</x:v>
      </x:c>
      <x:c r="J3381" s="2" t="str">
        <x:v>반려완료</x:v>
      </x:c>
      <x:c r="K3381" s="2" t="str">
        <x:f>IF(OR(J3381="심의승인",J3381="반려",J3381="반려완료",J3381="심의완료"),"종결 표시",IF(OR(J3381="기후부협의",J3381="문서재제출요청",J3381="보류",J3381="보완요청",J3381="보완완료",J3381="평가중",J3381="반려요청",J3381="평가필요",LEFT(J3381,5)="보완요청("),"미종결 표시","상태 확인 필요"))</x:f>
        <x:v>종결 표시</x:v>
      </x:c>
      <x:c r="L3381" s="2" t="str">
        <x:v>KECM_임하진</x:v>
      </x:c>
      <x:c r="M3381" s="2"/>
      <x:c r="N3381" s="8" t="n">
        <x:f>DATE(2026,10,15)-DATE(2022,9,6)</x:f>
        <x:v>1500</x:v>
      </x:c>
      <x:c r="O3381" s="2"/>
      <x:c r="P3381" s="2" t="str">
        <x:v>모니터링보고서 및 검증보고서 내 보안유지 필요부분 구체화 필요</x:v>
      </x:c>
      <x:c r="Q3381" s="2" t="str">
        <x:v>산업전환 외부사업 정보비공개 신청 관리 Tool_260707_LJY_261013.xlsx</x:v>
      </x:c>
      <x:c r="R3381" s="2" t="str">
        <x:v>(비공개)국외인증</x:v>
      </x:c>
      <x:c r="S3381" s="8" t="n">
        <x:v>32</x:v>
      </x:c>
      <x:c r="T3381" s="2"/>
      <x:c r="U3381" s="2" t="str"/>
      <x:c r="V3381" s="2" t="str">
        <x:v>2023-09-19</x:v>
      </x:c>
      <x:c r="W3381" s="2" t="str"/>
      <x:c r="X3381" s="2" t="str">
        <x:v>종결 근거 보관</x:v>
      </x:c>
      <x:c r="Y3381" s="2" t="str">
        <x:v>22df6d619b696c1eba8e26790f6382083d9fb1bc48481283e3e8a92ea6897677</x:v>
      </x:c>
      <x:c r="Z3381" s="2" t="n">
        <x:f>SUBTOTAL(103,A3381)</x:f>
        <x:v>1</x:v>
      </x:c>
      <x:c r="AA3381" s="2" t="str">
        <x:f>IF(K3381&lt;&gt;"미종결 표시","대상 아님",IF(N3381="","신청일 확인",IF(NOT(ISNUMBER('종합 현황'!$H$5)),"관찰기준 확인",IF('종합 현황'!$H$5&lt;1,"관찰기준 확인",IF(N3381&gt;'종합 현황'!$H$5,"내부 관찰 대상","내부 관찰일 이하")))))</x:f>
        <x:v>대상 아님</x:v>
      </x:c>
      <x:c r="AB3381" s="2"/>
    </x:row>
    <x:row r="3382" ht="42" customHeight="1">
      <x:c r="A3382" s="2" t="str">
        <x:v>b19f8df6db01bf80bb53dc5f</x:v>
      </x:c>
      <x:c r="B3382" s="2" t="str">
        <x:v>인증 비공개 신청</x:v>
      </x:c>
      <x:c r="C3382" s="2" t="str">
        <x:v>국외</x:v>
      </x:c>
      <x:c r="D3382" s="7" t="str">
        <x:v>안전한 식수 공급을 위한 정수기 보급 사업 : CPA 81(한국 지원)</x:v>
      </x:c>
      <x:c r="E3382" s="2" t="str">
        <x:v>32</x:v>
      </x:c>
      <x:c r="F3382" s="2" t="str">
        <x:v>2022-09-06</x:v>
      </x:c>
      <x:c r="G3382" s="2" t="str">
        <x:v>2022</x:v>
      </x:c>
      <x:c r="H3382" s="2" t="str">
        <x:v>09</x:v>
      </x:c>
      <x:c r="I3382" s="2" t="str">
        <x:v>반려</x:v>
      </x:c>
      <x:c r="J3382" s="2" t="str">
        <x:v>반려완료</x:v>
      </x:c>
      <x:c r="K3382" s="2" t="str">
        <x:f>IF(OR(J3382="심의승인",J3382="반려",J3382="반려완료",J3382="심의완료"),"종결 표시",IF(OR(J3382="기후부협의",J3382="문서재제출요청",J3382="보류",J3382="보완요청",J3382="보완완료",J3382="평가중",J3382="반려요청",J3382="평가필요",LEFT(J3382,5)="보완요청("),"미종결 표시","상태 확인 필요"))</x:f>
        <x:v>종결 표시</x:v>
      </x:c>
      <x:c r="L3382" s="2" t="str">
        <x:v>KECM_임하진</x:v>
      </x:c>
      <x:c r="M3382" s="2"/>
      <x:c r="N3382" s="8" t="n">
        <x:f>DATE(2026,10,15)-DATE(2022,9,6)</x:f>
        <x:v>1500</x:v>
      </x:c>
      <x:c r="O3382" s="2"/>
      <x:c r="P3382" s="2" t="str">
        <x:v>모니터링보고서 및 검증보고서 내 보안유지 필요부분 구체화 필요</x:v>
      </x:c>
      <x:c r="Q3382" s="2" t="str">
        <x:v>산업전환 외부사업 정보비공개 신청 관리 Tool_260707_LJY_261013.xlsx</x:v>
      </x:c>
      <x:c r="R3382" s="2" t="str">
        <x:v>(비공개)국외인증</x:v>
      </x:c>
      <x:c r="S3382" s="8" t="n">
        <x:v>33</x:v>
      </x:c>
      <x:c r="T3382" s="2"/>
      <x:c r="U3382" s="2" t="str"/>
      <x:c r="V3382" s="2" t="str">
        <x:v>2023-09-19</x:v>
      </x:c>
      <x:c r="W3382" s="2" t="str"/>
      <x:c r="X3382" s="2" t="str">
        <x:v>종결 근거 보관</x:v>
      </x:c>
      <x:c r="Y3382" s="2" t="str">
        <x:v>22df6d619b696c1eba8e26790f6382083d9fb1bc48481283e3e8a92ea6897677</x:v>
      </x:c>
      <x:c r="Z3382" s="2" t="n">
        <x:f>SUBTOTAL(103,A3382)</x:f>
        <x:v>1</x:v>
      </x:c>
      <x:c r="AA3382" s="2" t="str">
        <x:f>IF(K3382&lt;&gt;"미종결 표시","대상 아님",IF(N3382="","신청일 확인",IF(NOT(ISNUMBER('종합 현황'!$H$5)),"관찰기준 확인",IF('종합 현황'!$H$5&lt;1,"관찰기준 확인",IF(N3382&gt;'종합 현황'!$H$5,"내부 관찰 대상","내부 관찰일 이하")))))</x:f>
        <x:v>대상 아님</x:v>
      </x:c>
      <x:c r="AB3382" s="2"/>
    </x:row>
    <x:row r="3383" ht="42" customHeight="1">
      <x:c r="A3383" s="2" t="str">
        <x:v>35dc5485210ec7031c6366da</x:v>
      </x:c>
      <x:c r="B3383" s="2" t="str">
        <x:v>인증 비공개 신청</x:v>
      </x:c>
      <x:c r="C3383" s="2" t="str">
        <x:v>국외</x:v>
      </x:c>
      <x:c r="D3383" s="7" t="str">
        <x:v>안전한 식수 공급을 위한 정수기 보급 사업 : CPA 80(한국 지원)</x:v>
      </x:c>
      <x:c r="E3383" s="2" t="str">
        <x:v>33</x:v>
      </x:c>
      <x:c r="F3383" s="2" t="str">
        <x:v>2022-09-06</x:v>
      </x:c>
      <x:c r="G3383" s="2" t="str">
        <x:v>2022</x:v>
      </x:c>
      <x:c r="H3383" s="2" t="str">
        <x:v>09</x:v>
      </x:c>
      <x:c r="I3383" s="2" t="str">
        <x:v>반려</x:v>
      </x:c>
      <x:c r="J3383" s="2" t="str">
        <x:v>반려완료</x:v>
      </x:c>
      <x:c r="K3383" s="2" t="str">
        <x:f>IF(OR(J3383="심의승인",J3383="반려",J3383="반려완료",J3383="심의완료"),"종결 표시",IF(OR(J3383="기후부협의",J3383="문서재제출요청",J3383="보류",J3383="보완요청",J3383="보완완료",J3383="평가중",J3383="반려요청",J3383="평가필요",LEFT(J3383,5)="보완요청("),"미종결 표시","상태 확인 필요"))</x:f>
        <x:v>종결 표시</x:v>
      </x:c>
      <x:c r="L3383" s="2" t="str">
        <x:v>KECM_임하진</x:v>
      </x:c>
      <x:c r="M3383" s="2"/>
      <x:c r="N3383" s="8" t="n">
        <x:f>DATE(2026,10,15)-DATE(2022,9,6)</x:f>
        <x:v>1500</x:v>
      </x:c>
      <x:c r="O3383" s="2"/>
      <x:c r="P3383" s="2" t="str">
        <x:v>모니터링보고서 및 검증보고서 내 보안유지 필요부분 구체화 필요</x:v>
      </x:c>
      <x:c r="Q3383" s="2" t="str">
        <x:v>산업전환 외부사업 정보비공개 신청 관리 Tool_260707_LJY_261013.xlsx</x:v>
      </x:c>
      <x:c r="R3383" s="2" t="str">
        <x:v>(비공개)국외인증</x:v>
      </x:c>
      <x:c r="S3383" s="8" t="n">
        <x:v>34</x:v>
      </x:c>
      <x:c r="T3383" s="2"/>
      <x:c r="U3383" s="2" t="str"/>
      <x:c r="V3383" s="2" t="str">
        <x:v>2023-09-19</x:v>
      </x:c>
      <x:c r="W3383" s="2" t="str"/>
      <x:c r="X3383" s="2" t="str">
        <x:v>종결 근거 보관</x:v>
      </x:c>
      <x:c r="Y3383" s="2" t="str">
        <x:v>22df6d619b696c1eba8e26790f6382083d9fb1bc48481283e3e8a92ea6897677</x:v>
      </x:c>
      <x:c r="Z3383" s="2" t="n">
        <x:f>SUBTOTAL(103,A3383)</x:f>
        <x:v>1</x:v>
      </x:c>
      <x:c r="AA3383" s="2" t="str">
        <x:f>IF(K3383&lt;&gt;"미종결 표시","대상 아님",IF(N3383="","신청일 확인",IF(NOT(ISNUMBER('종합 현황'!$H$5)),"관찰기준 확인",IF('종합 현황'!$H$5&lt;1,"관찰기준 확인",IF(N3383&gt;'종합 현황'!$H$5,"내부 관찰 대상","내부 관찰일 이하")))))</x:f>
        <x:v>대상 아님</x:v>
      </x:c>
      <x:c r="AB3383" s="2"/>
    </x:row>
    <x:row r="3384" ht="42" customHeight="1">
      <x:c r="A3384" s="2" t="str">
        <x:v>16b19468992b7ee24b73eb4c</x:v>
      </x:c>
      <x:c r="B3384" s="2" t="str">
        <x:v>인증 비공개 신청</x:v>
      </x:c>
      <x:c r="C3384" s="2" t="str">
        <x:v>국외</x:v>
      </x:c>
      <x:c r="D3384" s="7" t="str">
        <x:v>안전한 식수 공급을 위한 정수기 보급 사업 : CPA 79(한국 지원)</x:v>
      </x:c>
      <x:c r="E3384" s="2" t="str">
        <x:v>34</x:v>
      </x:c>
      <x:c r="F3384" s="2" t="str">
        <x:v>2022-09-06</x:v>
      </x:c>
      <x:c r="G3384" s="2" t="str">
        <x:v>2022</x:v>
      </x:c>
      <x:c r="H3384" s="2" t="str">
        <x:v>09</x:v>
      </x:c>
      <x:c r="I3384" s="2" t="str">
        <x:v>반려</x:v>
      </x:c>
      <x:c r="J3384" s="2" t="str">
        <x:v>반려완료</x:v>
      </x:c>
      <x:c r="K3384" s="2" t="str">
        <x:f>IF(OR(J3384="심의승인",J3384="반려",J3384="반려완료",J3384="심의완료"),"종결 표시",IF(OR(J3384="기후부협의",J3384="문서재제출요청",J3384="보류",J3384="보완요청",J3384="보완완료",J3384="평가중",J3384="반려요청",J3384="평가필요",LEFT(J3384,5)="보완요청("),"미종결 표시","상태 확인 필요"))</x:f>
        <x:v>종결 표시</x:v>
      </x:c>
      <x:c r="L3384" s="2" t="str">
        <x:v>KECM_임하진</x:v>
      </x:c>
      <x:c r="M3384" s="2"/>
      <x:c r="N3384" s="8" t="n">
        <x:f>DATE(2026,10,15)-DATE(2022,9,6)</x:f>
        <x:v>1500</x:v>
      </x:c>
      <x:c r="O3384" s="2"/>
      <x:c r="P3384" s="2" t="str">
        <x:v>모니터링보고서 및 검증보고서 내 보안유지 필요부분 구체화 필요</x:v>
      </x:c>
      <x:c r="Q3384" s="2" t="str">
        <x:v>산업전환 외부사업 정보비공개 신청 관리 Tool_260707_LJY_261013.xlsx</x:v>
      </x:c>
      <x:c r="R3384" s="2" t="str">
        <x:v>(비공개)국외인증</x:v>
      </x:c>
      <x:c r="S3384" s="8" t="n">
        <x:v>35</x:v>
      </x:c>
      <x:c r="T3384" s="2"/>
      <x:c r="U3384" s="2" t="str"/>
      <x:c r="V3384" s="2" t="str">
        <x:v>2023-09-19</x:v>
      </x:c>
      <x:c r="W3384" s="2" t="str"/>
      <x:c r="X3384" s="2" t="str">
        <x:v>종결 근거 보관</x:v>
      </x:c>
      <x:c r="Y3384" s="2" t="str">
        <x:v>22df6d619b696c1eba8e26790f6382083d9fb1bc48481283e3e8a92ea6897677</x:v>
      </x:c>
      <x:c r="Z3384" s="2" t="n">
        <x:f>SUBTOTAL(103,A3384)</x:f>
        <x:v>1</x:v>
      </x:c>
      <x:c r="AA3384" s="2" t="str">
        <x:f>IF(K3384&lt;&gt;"미종결 표시","대상 아님",IF(N3384="","신청일 확인",IF(NOT(ISNUMBER('종합 현황'!$H$5)),"관찰기준 확인",IF('종합 현황'!$H$5&lt;1,"관찰기준 확인",IF(N3384&gt;'종합 현황'!$H$5,"내부 관찰 대상","내부 관찰일 이하")))))</x:f>
        <x:v>대상 아님</x:v>
      </x:c>
      <x:c r="AB3384" s="2"/>
    </x:row>
    <x:row r="3385" ht="42" customHeight="1">
      <x:c r="A3385" s="2" t="str">
        <x:v>502ea5c2369347f606c4cd48</x:v>
      </x:c>
      <x:c r="B3385" s="2" t="str">
        <x:v>인증 비공개 신청</x:v>
      </x:c>
      <x:c r="C3385" s="2" t="str">
        <x:v>국외</x:v>
      </x:c>
      <x:c r="D3385" s="7" t="str">
        <x:v>안전한 식수 공급을 위한 정수기 보급 사업 : CPA 78(한국 지원)</x:v>
      </x:c>
      <x:c r="E3385" s="2" t="str">
        <x:v>35</x:v>
      </x:c>
      <x:c r="F3385" s="2" t="str">
        <x:v>2022-09-06</x:v>
      </x:c>
      <x:c r="G3385" s="2" t="str">
        <x:v>2022</x:v>
      </x:c>
      <x:c r="H3385" s="2" t="str">
        <x:v>09</x:v>
      </x:c>
      <x:c r="I3385" s="2" t="str">
        <x:v>반려</x:v>
      </x:c>
      <x:c r="J3385" s="2" t="str">
        <x:v>반려완료</x:v>
      </x:c>
      <x:c r="K3385" s="2" t="str">
        <x:f>IF(OR(J3385="심의승인",J3385="반려",J3385="반려완료",J3385="심의완료"),"종결 표시",IF(OR(J3385="기후부협의",J3385="문서재제출요청",J3385="보류",J3385="보완요청",J3385="보완완료",J3385="평가중",J3385="반려요청",J3385="평가필요",LEFT(J3385,5)="보완요청("),"미종결 표시","상태 확인 필요"))</x:f>
        <x:v>종결 표시</x:v>
      </x:c>
      <x:c r="L3385" s="2" t="str">
        <x:v>KECM_임하진</x:v>
      </x:c>
      <x:c r="M3385" s="2"/>
      <x:c r="N3385" s="8" t="n">
        <x:f>DATE(2026,10,15)-DATE(2022,9,6)</x:f>
        <x:v>1500</x:v>
      </x:c>
      <x:c r="O3385" s="2"/>
      <x:c r="P3385" s="2" t="str">
        <x:v>모니터링보고서 및 검증보고서 내 보안유지 필요부분 구체화 필요</x:v>
      </x:c>
      <x:c r="Q3385" s="2" t="str">
        <x:v>산업전환 외부사업 정보비공개 신청 관리 Tool_260707_LJY_261013.xlsx</x:v>
      </x:c>
      <x:c r="R3385" s="2" t="str">
        <x:v>(비공개)국외인증</x:v>
      </x:c>
      <x:c r="S3385" s="8" t="n">
        <x:v>36</x:v>
      </x:c>
      <x:c r="T3385" s="2"/>
      <x:c r="U3385" s="2" t="str"/>
      <x:c r="V3385" s="2" t="str">
        <x:v>2023-09-19</x:v>
      </x:c>
      <x:c r="W3385" s="2" t="str"/>
      <x:c r="X3385" s="2" t="str">
        <x:v>종결 근거 보관</x:v>
      </x:c>
      <x:c r="Y3385" s="2" t="str">
        <x:v>22df6d619b696c1eba8e26790f6382083d9fb1bc48481283e3e8a92ea6897677</x:v>
      </x:c>
      <x:c r="Z3385" s="2" t="n">
        <x:f>SUBTOTAL(103,A3385)</x:f>
        <x:v>1</x:v>
      </x:c>
      <x:c r="AA3385" s="2" t="str">
        <x:f>IF(K3385&lt;&gt;"미종결 표시","대상 아님",IF(N3385="","신청일 확인",IF(NOT(ISNUMBER('종합 현황'!$H$5)),"관찰기준 확인",IF('종합 현황'!$H$5&lt;1,"관찰기준 확인",IF(N3385&gt;'종합 현황'!$H$5,"내부 관찰 대상","내부 관찰일 이하")))))</x:f>
        <x:v>대상 아님</x:v>
      </x:c>
      <x:c r="AB3385" s="2"/>
    </x:row>
    <x:row r="3386" ht="42" customHeight="1">
      <x:c r="A3386" s="2" t="str">
        <x:v>291bb12484861adf7cf29d15</x:v>
      </x:c>
      <x:c r="B3386" s="2" t="str">
        <x:v>인증 비공개 신청</x:v>
      </x:c>
      <x:c r="C3386" s="2" t="str">
        <x:v>국외</x:v>
      </x:c>
      <x:c r="D3386" s="7" t="str">
        <x:v>안전한 식수 공급을 위한 정수기 보급 사업 : CPA 77(한국 지원)</x:v>
      </x:c>
      <x:c r="E3386" s="2" t="str">
        <x:v>36</x:v>
      </x:c>
      <x:c r="F3386" s="2" t="str">
        <x:v>2022-09-06</x:v>
      </x:c>
      <x:c r="G3386" s="2" t="str">
        <x:v>2022</x:v>
      </x:c>
      <x:c r="H3386" s="2" t="str">
        <x:v>09</x:v>
      </x:c>
      <x:c r="I3386" s="2" t="str">
        <x:v>반려</x:v>
      </x:c>
      <x:c r="J3386" s="2" t="str">
        <x:v>반려완료</x:v>
      </x:c>
      <x:c r="K3386" s="2" t="str">
        <x:f>IF(OR(J3386="심의승인",J3386="반려",J3386="반려완료",J3386="심의완료"),"종결 표시",IF(OR(J3386="기후부협의",J3386="문서재제출요청",J3386="보류",J3386="보완요청",J3386="보완완료",J3386="평가중",J3386="반려요청",J3386="평가필요",LEFT(J3386,5)="보완요청("),"미종결 표시","상태 확인 필요"))</x:f>
        <x:v>종결 표시</x:v>
      </x:c>
      <x:c r="L3386" s="2" t="str">
        <x:v>KECM_임하진</x:v>
      </x:c>
      <x:c r="M3386" s="2"/>
      <x:c r="N3386" s="8" t="n">
        <x:f>DATE(2026,10,15)-DATE(2022,9,6)</x:f>
        <x:v>1500</x:v>
      </x:c>
      <x:c r="O3386" s="2"/>
      <x:c r="P3386" s="2" t="str">
        <x:v>모니터링보고서 및 검증보고서 내 보안유지 필요부분 구체화 필요</x:v>
      </x:c>
      <x:c r="Q3386" s="2" t="str">
        <x:v>산업전환 외부사업 정보비공개 신청 관리 Tool_260707_LJY_261013.xlsx</x:v>
      </x:c>
      <x:c r="R3386" s="2" t="str">
        <x:v>(비공개)국외인증</x:v>
      </x:c>
      <x:c r="S3386" s="8" t="n">
        <x:v>37</x:v>
      </x:c>
      <x:c r="T3386" s="2"/>
      <x:c r="U3386" s="2" t="str"/>
      <x:c r="V3386" s="2" t="str">
        <x:v>2023-09-19</x:v>
      </x:c>
      <x:c r="W3386" s="2" t="str"/>
      <x:c r="X3386" s="2" t="str">
        <x:v>종결 근거 보관</x:v>
      </x:c>
      <x:c r="Y3386" s="2" t="str">
        <x:v>22df6d619b696c1eba8e26790f6382083d9fb1bc48481283e3e8a92ea6897677</x:v>
      </x:c>
      <x:c r="Z3386" s="2" t="n">
        <x:f>SUBTOTAL(103,A3386)</x:f>
        <x:v>1</x:v>
      </x:c>
      <x:c r="AA3386" s="2" t="str">
        <x:f>IF(K3386&lt;&gt;"미종결 표시","대상 아님",IF(N3386="","신청일 확인",IF(NOT(ISNUMBER('종합 현황'!$H$5)),"관찰기준 확인",IF('종합 현황'!$H$5&lt;1,"관찰기준 확인",IF(N3386&gt;'종합 현황'!$H$5,"내부 관찰 대상","내부 관찰일 이하")))))</x:f>
        <x:v>대상 아님</x:v>
      </x:c>
      <x:c r="AB3386" s="2"/>
    </x:row>
    <x:row r="3387" ht="42" customHeight="1">
      <x:c r="A3387" s="2" t="str">
        <x:v>51b4175ae77d6d6740073783</x:v>
      </x:c>
      <x:c r="B3387" s="2" t="str">
        <x:v>인증 비공개 신청</x:v>
      </x:c>
      <x:c r="C3387" s="2" t="str">
        <x:v>국외</x:v>
      </x:c>
      <x:c r="D3387" s="7" t="str">
        <x:v>안전한 식수 공급을 위한 정수기 보급 사업 : CPA 76(한국 지원)</x:v>
      </x:c>
      <x:c r="E3387" s="2" t="str">
        <x:v>37</x:v>
      </x:c>
      <x:c r="F3387" s="2" t="str">
        <x:v>2022-09-06</x:v>
      </x:c>
      <x:c r="G3387" s="2" t="str">
        <x:v>2022</x:v>
      </x:c>
      <x:c r="H3387" s="2" t="str">
        <x:v>09</x:v>
      </x:c>
      <x:c r="I3387" s="2" t="str">
        <x:v>반려</x:v>
      </x:c>
      <x:c r="J3387" s="2" t="str">
        <x:v>반려완료</x:v>
      </x:c>
      <x:c r="K3387" s="2" t="str">
        <x:f>IF(OR(J3387="심의승인",J3387="반려",J3387="반려완료",J3387="심의완료"),"종결 표시",IF(OR(J3387="기후부협의",J3387="문서재제출요청",J3387="보류",J3387="보완요청",J3387="보완완료",J3387="평가중",J3387="반려요청",J3387="평가필요",LEFT(J3387,5)="보완요청("),"미종결 표시","상태 확인 필요"))</x:f>
        <x:v>종결 표시</x:v>
      </x:c>
      <x:c r="L3387" s="2" t="str">
        <x:v>KECM_임하진</x:v>
      </x:c>
      <x:c r="M3387" s="2"/>
      <x:c r="N3387" s="8" t="n">
        <x:f>DATE(2026,10,15)-DATE(2022,9,6)</x:f>
        <x:v>1500</x:v>
      </x:c>
      <x:c r="O3387" s="2"/>
      <x:c r="P3387" s="2" t="str">
        <x:v>모니터링보고서 및 검증보고서 내 보안유지 필요부분 구체화 필요</x:v>
      </x:c>
      <x:c r="Q3387" s="2" t="str">
        <x:v>산업전환 외부사업 정보비공개 신청 관리 Tool_260707_LJY_261013.xlsx</x:v>
      </x:c>
      <x:c r="R3387" s="2" t="str">
        <x:v>(비공개)국외인증</x:v>
      </x:c>
      <x:c r="S3387" s="8" t="n">
        <x:v>38</x:v>
      </x:c>
      <x:c r="T3387" s="2"/>
      <x:c r="U3387" s="2" t="str"/>
      <x:c r="V3387" s="2" t="str">
        <x:v>2023-09-19</x:v>
      </x:c>
      <x:c r="W3387" s="2" t="str"/>
      <x:c r="X3387" s="2" t="str">
        <x:v>종결 근거 보관</x:v>
      </x:c>
      <x:c r="Y3387" s="2" t="str">
        <x:v>22df6d619b696c1eba8e26790f6382083d9fb1bc48481283e3e8a92ea6897677</x:v>
      </x:c>
      <x:c r="Z3387" s="2" t="n">
        <x:f>SUBTOTAL(103,A3387)</x:f>
        <x:v>1</x:v>
      </x:c>
      <x:c r="AA3387" s="2" t="str">
        <x:f>IF(K3387&lt;&gt;"미종결 표시","대상 아님",IF(N3387="","신청일 확인",IF(NOT(ISNUMBER('종합 현황'!$H$5)),"관찰기준 확인",IF('종합 현황'!$H$5&lt;1,"관찰기준 확인",IF(N3387&gt;'종합 현황'!$H$5,"내부 관찰 대상","내부 관찰일 이하")))))</x:f>
        <x:v>대상 아님</x:v>
      </x:c>
      <x:c r="AB3387" s="2"/>
    </x:row>
    <x:row r="3388" ht="42" customHeight="1">
      <x:c r="A3388" s="2" t="str">
        <x:v>ed9f2da6ba7441750ff01070</x:v>
      </x:c>
      <x:c r="B3388" s="2" t="str">
        <x:v>인증 비공개 신청</x:v>
      </x:c>
      <x:c r="C3388" s="2" t="str">
        <x:v>국외</x:v>
      </x:c>
      <x:c r="D3388" s="7" t="str">
        <x:v>안전한 식수 공급을 위한 정수기 보급 사업 : CPA 75(한국 지원)</x:v>
      </x:c>
      <x:c r="E3388" s="2" t="str">
        <x:v>38</x:v>
      </x:c>
      <x:c r="F3388" s="2" t="str">
        <x:v>2022-09-06</x:v>
      </x:c>
      <x:c r="G3388" s="2" t="str">
        <x:v>2022</x:v>
      </x:c>
      <x:c r="H3388" s="2" t="str">
        <x:v>09</x:v>
      </x:c>
      <x:c r="I3388" s="2" t="str">
        <x:v>반려</x:v>
      </x:c>
      <x:c r="J3388" s="2" t="str">
        <x:v>반려완료</x:v>
      </x:c>
      <x:c r="K3388" s="2" t="str">
        <x:f>IF(OR(J3388="심의승인",J3388="반려",J3388="반려완료",J3388="심의완료"),"종결 표시",IF(OR(J3388="기후부협의",J3388="문서재제출요청",J3388="보류",J3388="보완요청",J3388="보완완료",J3388="평가중",J3388="반려요청",J3388="평가필요",LEFT(J3388,5)="보완요청("),"미종결 표시","상태 확인 필요"))</x:f>
        <x:v>종결 표시</x:v>
      </x:c>
      <x:c r="L3388" s="2" t="str">
        <x:v>KECM_임하진</x:v>
      </x:c>
      <x:c r="M3388" s="2"/>
      <x:c r="N3388" s="8" t="n">
        <x:f>DATE(2026,10,15)-DATE(2022,9,6)</x:f>
        <x:v>1500</x:v>
      </x:c>
      <x:c r="O3388" s="2"/>
      <x:c r="P3388" s="2" t="str">
        <x:v>모니터링보고서 및 검증보고서 내 보안유지 필요부분 구체화 필요</x:v>
      </x:c>
      <x:c r="Q3388" s="2" t="str">
        <x:v>산업전환 외부사업 정보비공개 신청 관리 Tool_260707_LJY_261013.xlsx</x:v>
      </x:c>
      <x:c r="R3388" s="2" t="str">
        <x:v>(비공개)국외인증</x:v>
      </x:c>
      <x:c r="S3388" s="8" t="n">
        <x:v>39</x:v>
      </x:c>
      <x:c r="T3388" s="2"/>
      <x:c r="U3388" s="2" t="str"/>
      <x:c r="V3388" s="2" t="str">
        <x:v>2023-09-19</x:v>
      </x:c>
      <x:c r="W3388" s="2" t="str"/>
      <x:c r="X3388" s="2" t="str">
        <x:v>종결 근거 보관</x:v>
      </x:c>
      <x:c r="Y3388" s="2" t="str">
        <x:v>22df6d619b696c1eba8e26790f6382083d9fb1bc48481283e3e8a92ea6897677</x:v>
      </x:c>
      <x:c r="Z3388" s="2" t="n">
        <x:f>SUBTOTAL(103,A3388)</x:f>
        <x:v>1</x:v>
      </x:c>
      <x:c r="AA3388" s="2" t="str">
        <x:f>IF(K3388&lt;&gt;"미종결 표시","대상 아님",IF(N3388="","신청일 확인",IF(NOT(ISNUMBER('종합 현황'!$H$5)),"관찰기준 확인",IF('종합 현황'!$H$5&lt;1,"관찰기준 확인",IF(N3388&gt;'종합 현황'!$H$5,"내부 관찰 대상","내부 관찰일 이하")))))</x:f>
        <x:v>대상 아님</x:v>
      </x:c>
      <x:c r="AB3388" s="2"/>
    </x:row>
    <x:row r="3389" ht="42" customHeight="1">
      <x:c r="A3389" s="2" t="str">
        <x:v>5605c3d171b41d8d115e7883</x:v>
      </x:c>
      <x:c r="B3389" s="2" t="str">
        <x:v>인증 비공개 신청</x:v>
      </x:c>
      <x:c r="C3389" s="2" t="str">
        <x:v>국외</x:v>
      </x:c>
      <x:c r="D3389" s="7" t="str">
        <x:v>안전한 식수 공급을 위한 정수기 보급 사업 : CPA 74(한국 지원)</x:v>
      </x:c>
      <x:c r="E3389" s="2" t="str">
        <x:v>39</x:v>
      </x:c>
      <x:c r="F3389" s="2" t="str">
        <x:v>2022-09-06</x:v>
      </x:c>
      <x:c r="G3389" s="2" t="str">
        <x:v>2022</x:v>
      </x:c>
      <x:c r="H3389" s="2" t="str">
        <x:v>09</x:v>
      </x:c>
      <x:c r="I3389" s="2" t="str">
        <x:v>반려</x:v>
      </x:c>
      <x:c r="J3389" s="2" t="str">
        <x:v>반려완료</x:v>
      </x:c>
      <x:c r="K3389" s="2" t="str">
        <x:f>IF(OR(J3389="심의승인",J3389="반려",J3389="반려완료",J3389="심의완료"),"종결 표시",IF(OR(J3389="기후부협의",J3389="문서재제출요청",J3389="보류",J3389="보완요청",J3389="보완완료",J3389="평가중",J3389="반려요청",J3389="평가필요",LEFT(J3389,5)="보완요청("),"미종결 표시","상태 확인 필요"))</x:f>
        <x:v>종결 표시</x:v>
      </x:c>
      <x:c r="L3389" s="2" t="str">
        <x:v>KECM_임하진</x:v>
      </x:c>
      <x:c r="M3389" s="2"/>
      <x:c r="N3389" s="8" t="n">
        <x:f>DATE(2026,10,15)-DATE(2022,9,6)</x:f>
        <x:v>1500</x:v>
      </x:c>
      <x:c r="O3389" s="2"/>
      <x:c r="P3389" s="2" t="str">
        <x:v>모니터링보고서 및 검증보고서 내 보안유지 필요부분 구체화 필요</x:v>
      </x:c>
      <x:c r="Q3389" s="2" t="str">
        <x:v>산업전환 외부사업 정보비공개 신청 관리 Tool_260707_LJY_261013.xlsx</x:v>
      </x:c>
      <x:c r="R3389" s="2" t="str">
        <x:v>(비공개)국외인증</x:v>
      </x:c>
      <x:c r="S3389" s="8" t="n">
        <x:v>40</x:v>
      </x:c>
      <x:c r="T3389" s="2"/>
      <x:c r="U3389" s="2" t="str"/>
      <x:c r="V3389" s="2" t="str">
        <x:v>2023-09-19</x:v>
      </x:c>
      <x:c r="W3389" s="2" t="str"/>
      <x:c r="X3389" s="2" t="str">
        <x:v>종결 근거 보관</x:v>
      </x:c>
      <x:c r="Y3389" s="2" t="str">
        <x:v>22df6d619b696c1eba8e26790f6382083d9fb1bc48481283e3e8a92ea6897677</x:v>
      </x:c>
      <x:c r="Z3389" s="2" t="n">
        <x:f>SUBTOTAL(103,A3389)</x:f>
        <x:v>1</x:v>
      </x:c>
      <x:c r="AA3389" s="2" t="str">
        <x:f>IF(K3389&lt;&gt;"미종결 표시","대상 아님",IF(N3389="","신청일 확인",IF(NOT(ISNUMBER('종합 현황'!$H$5)),"관찰기준 확인",IF('종합 현황'!$H$5&lt;1,"관찰기준 확인",IF(N3389&gt;'종합 현황'!$H$5,"내부 관찰 대상","내부 관찰일 이하")))))</x:f>
        <x:v>대상 아님</x:v>
      </x:c>
      <x:c r="AB3389" s="2"/>
    </x:row>
    <x:row r="3390" ht="42" customHeight="1">
      <x:c r="A3390" s="2" t="str">
        <x:v>80bab3139f6a56034535e906</x:v>
      </x:c>
      <x:c r="B3390" s="2" t="str">
        <x:v>인증 비공개 신청</x:v>
      </x:c>
      <x:c r="C3390" s="2" t="str">
        <x:v>국외</x:v>
      </x:c>
      <x:c r="D3390" s="7" t="str">
        <x:v>안전한 식수 공급을 위한 정수기 보급 사업 : CPA 73(한국 지원)</x:v>
      </x:c>
      <x:c r="E3390" s="2" t="str">
        <x:v>40</x:v>
      </x:c>
      <x:c r="F3390" s="2" t="str">
        <x:v>2022-09-06</x:v>
      </x:c>
      <x:c r="G3390" s="2" t="str">
        <x:v>2022</x:v>
      </x:c>
      <x:c r="H3390" s="2" t="str">
        <x:v>09</x:v>
      </x:c>
      <x:c r="I3390" s="2" t="str">
        <x:v>반려</x:v>
      </x:c>
      <x:c r="J3390" s="2" t="str">
        <x:v>반려완료</x:v>
      </x:c>
      <x:c r="K3390" s="2" t="str">
        <x:f>IF(OR(J3390="심의승인",J3390="반려",J3390="반려완료",J3390="심의완료"),"종결 표시",IF(OR(J3390="기후부협의",J3390="문서재제출요청",J3390="보류",J3390="보완요청",J3390="보완완료",J3390="평가중",J3390="반려요청",J3390="평가필요",LEFT(J3390,5)="보완요청("),"미종결 표시","상태 확인 필요"))</x:f>
        <x:v>종결 표시</x:v>
      </x:c>
      <x:c r="L3390" s="2" t="str">
        <x:v>KECM_임하진</x:v>
      </x:c>
      <x:c r="M3390" s="2"/>
      <x:c r="N3390" s="8" t="n">
        <x:f>DATE(2026,10,15)-DATE(2022,9,6)</x:f>
        <x:v>1500</x:v>
      </x:c>
      <x:c r="O3390" s="2"/>
      <x:c r="P3390" s="2" t="str">
        <x:v>모니터링보고서 및 검증보고서 내 보안유지 필요부분 구체화 필요</x:v>
      </x:c>
      <x:c r="Q3390" s="2" t="str">
        <x:v>산업전환 외부사업 정보비공개 신청 관리 Tool_260707_LJY_261013.xlsx</x:v>
      </x:c>
      <x:c r="R3390" s="2" t="str">
        <x:v>(비공개)국외인증</x:v>
      </x:c>
      <x:c r="S3390" s="8" t="n">
        <x:v>41</x:v>
      </x:c>
      <x:c r="T3390" s="2"/>
      <x:c r="U3390" s="2" t="str"/>
      <x:c r="V3390" s="2" t="str">
        <x:v>2023-09-19</x:v>
      </x:c>
      <x:c r="W3390" s="2" t="str"/>
      <x:c r="X3390" s="2" t="str">
        <x:v>종결 근거 보관</x:v>
      </x:c>
      <x:c r="Y3390" s="2" t="str">
        <x:v>22df6d619b696c1eba8e26790f6382083d9fb1bc48481283e3e8a92ea6897677</x:v>
      </x:c>
      <x:c r="Z3390" s="2" t="n">
        <x:f>SUBTOTAL(103,A3390)</x:f>
        <x:v>1</x:v>
      </x:c>
      <x:c r="AA3390" s="2" t="str">
        <x:f>IF(K3390&lt;&gt;"미종결 표시","대상 아님",IF(N3390="","신청일 확인",IF(NOT(ISNUMBER('종합 현황'!$H$5)),"관찰기준 확인",IF('종합 현황'!$H$5&lt;1,"관찰기준 확인",IF(N3390&gt;'종합 현황'!$H$5,"내부 관찰 대상","내부 관찰일 이하")))))</x:f>
        <x:v>대상 아님</x:v>
      </x:c>
      <x:c r="AB3390" s="2"/>
    </x:row>
    <x:row r="3391" ht="42" customHeight="1">
      <x:c r="A3391" s="2" t="str">
        <x:v>eedcb8efa93685127a663b84</x:v>
      </x:c>
      <x:c r="B3391" s="2" t="str">
        <x:v>인증 비공개 신청</x:v>
      </x:c>
      <x:c r="C3391" s="2" t="str">
        <x:v>국외</x:v>
      </x:c>
      <x:c r="D3391" s="7" t="str">
        <x:v>안전한 식수 공급을 위한 정수기 보급 사업 : CPA 72(한국 지원)</x:v>
      </x:c>
      <x:c r="E3391" s="2" t="str">
        <x:v>41</x:v>
      </x:c>
      <x:c r="F3391" s="2" t="str">
        <x:v>2022-09-06</x:v>
      </x:c>
      <x:c r="G3391" s="2" t="str">
        <x:v>2022</x:v>
      </x:c>
      <x:c r="H3391" s="2" t="str">
        <x:v>09</x:v>
      </x:c>
      <x:c r="I3391" s="2" t="str">
        <x:v>반려</x:v>
      </x:c>
      <x:c r="J3391" s="2" t="str">
        <x:v>반려완료</x:v>
      </x:c>
      <x:c r="K3391" s="2" t="str">
        <x:f>IF(OR(J3391="심의승인",J3391="반려",J3391="반려완료",J3391="심의완료"),"종결 표시",IF(OR(J3391="기후부협의",J3391="문서재제출요청",J3391="보류",J3391="보완요청",J3391="보완완료",J3391="평가중",J3391="반려요청",J3391="평가필요",LEFT(J3391,5)="보완요청("),"미종결 표시","상태 확인 필요"))</x:f>
        <x:v>종결 표시</x:v>
      </x:c>
      <x:c r="L3391" s="2" t="str">
        <x:v>KECM_임하진</x:v>
      </x:c>
      <x:c r="M3391" s="2"/>
      <x:c r="N3391" s="8" t="n">
        <x:f>DATE(2026,10,15)-DATE(2022,9,6)</x:f>
        <x:v>1500</x:v>
      </x:c>
      <x:c r="O3391" s="2"/>
      <x:c r="P3391" s="2" t="str">
        <x:v>모니터링보고서 및 검증보고서 내 보안유지 필요부분 구체화 필요</x:v>
      </x:c>
      <x:c r="Q3391" s="2" t="str">
        <x:v>산업전환 외부사업 정보비공개 신청 관리 Tool_260707_LJY_261013.xlsx</x:v>
      </x:c>
      <x:c r="R3391" s="2" t="str">
        <x:v>(비공개)국외인증</x:v>
      </x:c>
      <x:c r="S3391" s="8" t="n">
        <x:v>42</x:v>
      </x:c>
      <x:c r="T3391" s="2"/>
      <x:c r="U3391" s="2" t="str"/>
      <x:c r="V3391" s="2" t="str">
        <x:v>2022-09-14</x:v>
      </x:c>
      <x:c r="W3391" s="2" t="str"/>
      <x:c r="X3391" s="2" t="str">
        <x:v>종결 근거 보관</x:v>
      </x:c>
      <x:c r="Y3391" s="2" t="str">
        <x:v>22df6d619b696c1eba8e26790f6382083d9fb1bc48481283e3e8a92ea6897677</x:v>
      </x:c>
      <x:c r="Z3391" s="2" t="n">
        <x:f>SUBTOTAL(103,A3391)</x:f>
        <x:v>1</x:v>
      </x:c>
      <x:c r="AA3391" s="2" t="str">
        <x:f>IF(K3391&lt;&gt;"미종결 표시","대상 아님",IF(N3391="","신청일 확인",IF(NOT(ISNUMBER('종합 현황'!$H$5)),"관찰기준 확인",IF('종합 현황'!$H$5&lt;1,"관찰기준 확인",IF(N3391&gt;'종합 현황'!$H$5,"내부 관찰 대상","내부 관찰일 이하")))))</x:f>
        <x:v>대상 아님</x:v>
      </x:c>
      <x:c r="AB3391" s="2"/>
    </x:row>
    <x:row r="3392" ht="42" customHeight="1">
      <x:c r="A3392" s="2" t="str">
        <x:v>2f96d6b7c3a281e0a9b2bd83</x:v>
      </x:c>
      <x:c r="B3392" s="2" t="str">
        <x:v>인증 비공개 신청</x:v>
      </x:c>
      <x:c r="C3392" s="2" t="str">
        <x:v>국외</x:v>
      </x:c>
      <x:c r="D3392" s="7" t="str">
        <x:v>안전한 식수 공급을 위한 정수기 보급 사업 : CPA 71(한국 지원)</x:v>
      </x:c>
      <x:c r="E3392" s="2" t="str">
        <x:v>42</x:v>
      </x:c>
      <x:c r="F3392" s="2" t="str">
        <x:v>2022-09-06</x:v>
      </x:c>
      <x:c r="G3392" s="2" t="str">
        <x:v>2022</x:v>
      </x:c>
      <x:c r="H3392" s="2" t="str">
        <x:v>09</x:v>
      </x:c>
      <x:c r="I3392" s="2" t="str">
        <x:v>반려</x:v>
      </x:c>
      <x:c r="J3392" s="2" t="str">
        <x:v>반려완료</x:v>
      </x:c>
      <x:c r="K3392" s="2" t="str">
        <x:f>IF(OR(J3392="심의승인",J3392="반려",J3392="반려완료",J3392="심의완료"),"종결 표시",IF(OR(J3392="기후부협의",J3392="문서재제출요청",J3392="보류",J3392="보완요청",J3392="보완완료",J3392="평가중",J3392="반려요청",J3392="평가필요",LEFT(J3392,5)="보완요청("),"미종결 표시","상태 확인 필요"))</x:f>
        <x:v>종결 표시</x:v>
      </x:c>
      <x:c r="L3392" s="2" t="str">
        <x:v>KECM_임하진</x:v>
      </x:c>
      <x:c r="M3392" s="2"/>
      <x:c r="N3392" s="8" t="n">
        <x:f>DATE(2026,10,15)-DATE(2022,9,6)</x:f>
        <x:v>1500</x:v>
      </x:c>
      <x:c r="O3392" s="2"/>
      <x:c r="P3392" s="2" t="str">
        <x:v>모니터링보고서 및 검증보고서 내 보안유지 필요부분 구체화 필요</x:v>
      </x:c>
      <x:c r="Q3392" s="2" t="str">
        <x:v>산업전환 외부사업 정보비공개 신청 관리 Tool_260707_LJY_261013.xlsx</x:v>
      </x:c>
      <x:c r="R3392" s="2" t="str">
        <x:v>(비공개)국외인증</x:v>
      </x:c>
      <x:c r="S3392" s="8" t="n">
        <x:v>43</x:v>
      </x:c>
      <x:c r="T3392" s="2"/>
      <x:c r="U3392" s="2" t="str"/>
      <x:c r="V3392" s="2" t="str">
        <x:v>2022-09-14</x:v>
      </x:c>
      <x:c r="W3392" s="2" t="str"/>
      <x:c r="X3392" s="2" t="str">
        <x:v>종결 근거 보관</x:v>
      </x:c>
      <x:c r="Y3392" s="2" t="str">
        <x:v>22df6d619b696c1eba8e26790f6382083d9fb1bc48481283e3e8a92ea6897677</x:v>
      </x:c>
      <x:c r="Z3392" s="2" t="n">
        <x:f>SUBTOTAL(103,A3392)</x:f>
        <x:v>1</x:v>
      </x:c>
      <x:c r="AA3392" s="2" t="str">
        <x:f>IF(K3392&lt;&gt;"미종결 표시","대상 아님",IF(N3392="","신청일 확인",IF(NOT(ISNUMBER('종합 현황'!$H$5)),"관찰기준 확인",IF('종합 현황'!$H$5&lt;1,"관찰기준 확인",IF(N3392&gt;'종합 현황'!$H$5,"내부 관찰 대상","내부 관찰일 이하")))))</x:f>
        <x:v>대상 아님</x:v>
      </x:c>
      <x:c r="AB3392" s="2"/>
    </x:row>
    <x:row r="3393" ht="42" customHeight="1">
      <x:c r="A3393" s="2" t="str">
        <x:v>7d9e6e852cb4eb0a7af962ed</x:v>
      </x:c>
      <x:c r="B3393" s="2" t="str">
        <x:v>인증 비공개 신청</x:v>
      </x:c>
      <x:c r="C3393" s="2" t="str">
        <x:v>국외</x:v>
      </x:c>
      <x:c r="D3393" s="7" t="str">
        <x:v>안전한 식수 공급을 위한 정수기 보급 사업 : CPA 70(한국 지원)</x:v>
      </x:c>
      <x:c r="E3393" s="2" t="str">
        <x:v>43</x:v>
      </x:c>
      <x:c r="F3393" s="2" t="str">
        <x:v>2022-09-06</x:v>
      </x:c>
      <x:c r="G3393" s="2" t="str">
        <x:v>2022</x:v>
      </x:c>
      <x:c r="H3393" s="2" t="str">
        <x:v>09</x:v>
      </x:c>
      <x:c r="I3393" s="2" t="str">
        <x:v>반려</x:v>
      </x:c>
      <x:c r="J3393" s="2" t="str">
        <x:v>반려완료</x:v>
      </x:c>
      <x:c r="K3393" s="2" t="str">
        <x:f>IF(OR(J3393="심의승인",J3393="반려",J3393="반려완료",J3393="심의완료"),"종결 표시",IF(OR(J3393="기후부협의",J3393="문서재제출요청",J3393="보류",J3393="보완요청",J3393="보완완료",J3393="평가중",J3393="반려요청",J3393="평가필요",LEFT(J3393,5)="보완요청("),"미종결 표시","상태 확인 필요"))</x:f>
        <x:v>종결 표시</x:v>
      </x:c>
      <x:c r="L3393" s="2" t="str">
        <x:v>KECM_임하진</x:v>
      </x:c>
      <x:c r="M3393" s="2"/>
      <x:c r="N3393" s="8" t="n">
        <x:f>DATE(2026,10,15)-DATE(2022,9,6)</x:f>
        <x:v>1500</x:v>
      </x:c>
      <x:c r="O3393" s="2"/>
      <x:c r="P3393" s="2" t="str">
        <x:v>모니터링보고서 및 검증보고서 내 보안유지 필요부분 구체화 필요</x:v>
      </x:c>
      <x:c r="Q3393" s="2" t="str">
        <x:v>산업전환 외부사업 정보비공개 신청 관리 Tool_260707_LJY_261013.xlsx</x:v>
      </x:c>
      <x:c r="R3393" s="2" t="str">
        <x:v>(비공개)국외인증</x:v>
      </x:c>
      <x:c r="S3393" s="8" t="n">
        <x:v>44</x:v>
      </x:c>
      <x:c r="T3393" s="2"/>
      <x:c r="U3393" s="2" t="str"/>
      <x:c r="V3393" s="2" t="str">
        <x:v>2022-09-14</x:v>
      </x:c>
      <x:c r="W3393" s="2" t="str"/>
      <x:c r="X3393" s="2" t="str">
        <x:v>종결 근거 보관</x:v>
      </x:c>
      <x:c r="Y3393" s="2" t="str">
        <x:v>22df6d619b696c1eba8e26790f6382083d9fb1bc48481283e3e8a92ea6897677</x:v>
      </x:c>
      <x:c r="Z3393" s="2" t="n">
        <x:f>SUBTOTAL(103,A3393)</x:f>
        <x:v>1</x:v>
      </x:c>
      <x:c r="AA3393" s="2" t="str">
        <x:f>IF(K3393&lt;&gt;"미종결 표시","대상 아님",IF(N3393="","신청일 확인",IF(NOT(ISNUMBER('종합 현황'!$H$5)),"관찰기준 확인",IF('종합 현황'!$H$5&lt;1,"관찰기준 확인",IF(N3393&gt;'종합 현황'!$H$5,"내부 관찰 대상","내부 관찰일 이하")))))</x:f>
        <x:v>대상 아님</x:v>
      </x:c>
      <x:c r="AB3393" s="2"/>
    </x:row>
    <x:row r="3394" ht="42" customHeight="1">
      <x:c r="A3394" s="2" t="str">
        <x:v>71363ff1cb2dc08dd2b55e04</x:v>
      </x:c>
      <x:c r="B3394" s="2" t="str">
        <x:v>인증 비공개 신청</x:v>
      </x:c>
      <x:c r="C3394" s="2" t="str">
        <x:v>국외</x:v>
      </x:c>
      <x:c r="D3394" s="7" t="str">
        <x:v>안전한 식수 공급을 위한 정수기 보급 사업 : CPA 69(한국 지원)</x:v>
      </x:c>
      <x:c r="E3394" s="2" t="str">
        <x:v>44</x:v>
      </x:c>
      <x:c r="F3394" s="2" t="str">
        <x:v>2022-09-06</x:v>
      </x:c>
      <x:c r="G3394" s="2" t="str">
        <x:v>2022</x:v>
      </x:c>
      <x:c r="H3394" s="2" t="str">
        <x:v>09</x:v>
      </x:c>
      <x:c r="I3394" s="2" t="str">
        <x:v>반려</x:v>
      </x:c>
      <x:c r="J3394" s="2" t="str">
        <x:v>반려완료</x:v>
      </x:c>
      <x:c r="K3394" s="2" t="str">
        <x:f>IF(OR(J3394="심의승인",J3394="반려",J3394="반려완료",J3394="심의완료"),"종결 표시",IF(OR(J3394="기후부협의",J3394="문서재제출요청",J3394="보류",J3394="보완요청",J3394="보완완료",J3394="평가중",J3394="반려요청",J3394="평가필요",LEFT(J3394,5)="보완요청("),"미종결 표시","상태 확인 필요"))</x:f>
        <x:v>종결 표시</x:v>
      </x:c>
      <x:c r="L3394" s="2" t="str">
        <x:v>KECM_임하진</x:v>
      </x:c>
      <x:c r="M3394" s="2"/>
      <x:c r="N3394" s="8" t="n">
        <x:f>DATE(2026,10,15)-DATE(2022,9,6)</x:f>
        <x:v>1500</x:v>
      </x:c>
      <x:c r="O3394" s="2"/>
      <x:c r="P3394" s="2" t="str">
        <x:v>모니터링보고서 및 검증보고서 내 보안유지 필요부분 구체화 필요</x:v>
      </x:c>
      <x:c r="Q3394" s="2" t="str">
        <x:v>산업전환 외부사업 정보비공개 신청 관리 Tool_260707_LJY_261013.xlsx</x:v>
      </x:c>
      <x:c r="R3394" s="2" t="str">
        <x:v>(비공개)국외인증</x:v>
      </x:c>
      <x:c r="S3394" s="8" t="n">
        <x:v>45</x:v>
      </x:c>
      <x:c r="T3394" s="2"/>
      <x:c r="U3394" s="2" t="str"/>
      <x:c r="V3394" s="2" t="str">
        <x:v>2022-09-14</x:v>
      </x:c>
      <x:c r="W3394" s="2" t="str"/>
      <x:c r="X3394" s="2" t="str">
        <x:v>종결 근거 보관</x:v>
      </x:c>
      <x:c r="Y3394" s="2" t="str">
        <x:v>22df6d619b696c1eba8e26790f6382083d9fb1bc48481283e3e8a92ea6897677</x:v>
      </x:c>
      <x:c r="Z3394" s="2" t="n">
        <x:f>SUBTOTAL(103,A3394)</x:f>
        <x:v>1</x:v>
      </x:c>
      <x:c r="AA3394" s="2" t="str">
        <x:f>IF(K3394&lt;&gt;"미종결 표시","대상 아님",IF(N3394="","신청일 확인",IF(NOT(ISNUMBER('종합 현황'!$H$5)),"관찰기준 확인",IF('종합 현황'!$H$5&lt;1,"관찰기준 확인",IF(N3394&gt;'종합 현황'!$H$5,"내부 관찰 대상","내부 관찰일 이하")))))</x:f>
        <x:v>대상 아님</x:v>
      </x:c>
      <x:c r="AB3394" s="2"/>
    </x:row>
    <x:row r="3395" ht="42" customHeight="1">
      <x:c r="A3395" s="2" t="str">
        <x:v>725bb413438e5b3eef1e616b</x:v>
      </x:c>
      <x:c r="B3395" s="2" t="str">
        <x:v>인증 비공개 신청</x:v>
      </x:c>
      <x:c r="C3395" s="2" t="str">
        <x:v>국외</x:v>
      </x:c>
      <x:c r="D3395" s="7" t="str">
        <x:v>안전한 식수 공급을 위한 정수기 보급 사업 : CPA 68(한국 지원)</x:v>
      </x:c>
      <x:c r="E3395" s="2" t="str">
        <x:v>45</x:v>
      </x:c>
      <x:c r="F3395" s="2" t="str">
        <x:v>2022-09-06</x:v>
      </x:c>
      <x:c r="G3395" s="2" t="str">
        <x:v>2022</x:v>
      </x:c>
      <x:c r="H3395" s="2" t="str">
        <x:v>09</x:v>
      </x:c>
      <x:c r="I3395" s="2" t="str">
        <x:v>반려</x:v>
      </x:c>
      <x:c r="J3395" s="2" t="str">
        <x:v>반려완료</x:v>
      </x:c>
      <x:c r="K3395" s="2" t="str">
        <x:f>IF(OR(J3395="심의승인",J3395="반려",J3395="반려완료",J3395="심의완료"),"종결 표시",IF(OR(J3395="기후부협의",J3395="문서재제출요청",J3395="보류",J3395="보완요청",J3395="보완완료",J3395="평가중",J3395="반려요청",J3395="평가필요",LEFT(J3395,5)="보완요청("),"미종결 표시","상태 확인 필요"))</x:f>
        <x:v>종결 표시</x:v>
      </x:c>
      <x:c r="L3395" s="2" t="str">
        <x:v>KECM_임하진</x:v>
      </x:c>
      <x:c r="M3395" s="2"/>
      <x:c r="N3395" s="8" t="n">
        <x:f>DATE(2026,10,15)-DATE(2022,9,6)</x:f>
        <x:v>1500</x:v>
      </x:c>
      <x:c r="O3395" s="2"/>
      <x:c r="P3395" s="2" t="str">
        <x:v>모니터링보고서 및 검증보고서 내 보안유지 필요부분 구체화 필요</x:v>
      </x:c>
      <x:c r="Q3395" s="2" t="str">
        <x:v>산업전환 외부사업 정보비공개 신청 관리 Tool_260707_LJY_261013.xlsx</x:v>
      </x:c>
      <x:c r="R3395" s="2" t="str">
        <x:v>(비공개)국외인증</x:v>
      </x:c>
      <x:c r="S3395" s="8" t="n">
        <x:v>46</x:v>
      </x:c>
      <x:c r="T3395" s="2"/>
      <x:c r="U3395" s="2" t="str"/>
      <x:c r="V3395" s="2" t="str">
        <x:v>2022-09-14</x:v>
      </x:c>
      <x:c r="W3395" s="2" t="str"/>
      <x:c r="X3395" s="2" t="str">
        <x:v>종결 근거 보관</x:v>
      </x:c>
      <x:c r="Y3395" s="2" t="str">
        <x:v>22df6d619b696c1eba8e26790f6382083d9fb1bc48481283e3e8a92ea6897677</x:v>
      </x:c>
      <x:c r="Z3395" s="2" t="n">
        <x:f>SUBTOTAL(103,A3395)</x:f>
        <x:v>1</x:v>
      </x:c>
      <x:c r="AA3395" s="2" t="str">
        <x:f>IF(K3395&lt;&gt;"미종결 표시","대상 아님",IF(N3395="","신청일 확인",IF(NOT(ISNUMBER('종합 현황'!$H$5)),"관찰기준 확인",IF('종합 현황'!$H$5&lt;1,"관찰기준 확인",IF(N3395&gt;'종합 현황'!$H$5,"내부 관찰 대상","내부 관찰일 이하")))))</x:f>
        <x:v>대상 아님</x:v>
      </x:c>
      <x:c r="AB3395" s="2"/>
    </x:row>
    <x:row r="3396" ht="42" customHeight="1">
      <x:c r="A3396" s="2" t="str">
        <x:v>81b6a5b37c2960c35af5321f</x:v>
      </x:c>
      <x:c r="B3396" s="2" t="str">
        <x:v>인증 비공개 신청</x:v>
      </x:c>
      <x:c r="C3396" s="2" t="str">
        <x:v>국외</x:v>
      </x:c>
      <x:c r="D3396" s="7" t="str">
        <x:v>안전한 식수 공급을 위한 정수기 보급 사업 : CPA 67(한국 지원)</x:v>
      </x:c>
      <x:c r="E3396" s="2" t="str">
        <x:v>46</x:v>
      </x:c>
      <x:c r="F3396" s="2" t="str">
        <x:v>2022-09-06</x:v>
      </x:c>
      <x:c r="G3396" s="2" t="str">
        <x:v>2022</x:v>
      </x:c>
      <x:c r="H3396" s="2" t="str">
        <x:v>09</x:v>
      </x:c>
      <x:c r="I3396" s="2" t="str">
        <x:v>반려</x:v>
      </x:c>
      <x:c r="J3396" s="2" t="str">
        <x:v>반려완료</x:v>
      </x:c>
      <x:c r="K3396" s="2" t="str">
        <x:f>IF(OR(J3396="심의승인",J3396="반려",J3396="반려완료",J3396="심의완료"),"종결 표시",IF(OR(J3396="기후부협의",J3396="문서재제출요청",J3396="보류",J3396="보완요청",J3396="보완완료",J3396="평가중",J3396="반려요청",J3396="평가필요",LEFT(J3396,5)="보완요청("),"미종결 표시","상태 확인 필요"))</x:f>
        <x:v>종결 표시</x:v>
      </x:c>
      <x:c r="L3396" s="2" t="str">
        <x:v>KECM_임하진</x:v>
      </x:c>
      <x:c r="M3396" s="2"/>
      <x:c r="N3396" s="8" t="n">
        <x:f>DATE(2026,10,15)-DATE(2022,9,6)</x:f>
        <x:v>1500</x:v>
      </x:c>
      <x:c r="O3396" s="2"/>
      <x:c r="P3396" s="2" t="str">
        <x:v>모니터링보고서 및 검증보고서 내 보안유지 필요부분 구체화 필요</x:v>
      </x:c>
      <x:c r="Q3396" s="2" t="str">
        <x:v>산업전환 외부사업 정보비공개 신청 관리 Tool_260707_LJY_261013.xlsx</x:v>
      </x:c>
      <x:c r="R3396" s="2" t="str">
        <x:v>(비공개)국외인증</x:v>
      </x:c>
      <x:c r="S3396" s="8" t="n">
        <x:v>47</x:v>
      </x:c>
      <x:c r="T3396" s="2"/>
      <x:c r="U3396" s="2" t="str"/>
      <x:c r="V3396" s="2" t="str">
        <x:v>2022-09-14</x:v>
      </x:c>
      <x:c r="W3396" s="2" t="str"/>
      <x:c r="X3396" s="2" t="str">
        <x:v>종결 근거 보관</x:v>
      </x:c>
      <x:c r="Y3396" s="2" t="str">
        <x:v>22df6d619b696c1eba8e26790f6382083d9fb1bc48481283e3e8a92ea6897677</x:v>
      </x:c>
      <x:c r="Z3396" s="2" t="n">
        <x:f>SUBTOTAL(103,A3396)</x:f>
        <x:v>1</x:v>
      </x:c>
      <x:c r="AA3396" s="2" t="str">
        <x:f>IF(K3396&lt;&gt;"미종결 표시","대상 아님",IF(N3396="","신청일 확인",IF(NOT(ISNUMBER('종합 현황'!$H$5)),"관찰기준 확인",IF('종합 현황'!$H$5&lt;1,"관찰기준 확인",IF(N3396&gt;'종합 현황'!$H$5,"내부 관찰 대상","내부 관찰일 이하")))))</x:f>
        <x:v>대상 아님</x:v>
      </x:c>
      <x:c r="AB3396" s="2"/>
    </x:row>
    <x:row r="3397" ht="42" customHeight="1">
      <x:c r="A3397" s="2" t="str">
        <x:v>6bcff955703adc462060b485</x:v>
      </x:c>
      <x:c r="B3397" s="2" t="str">
        <x:v>인증 비공개 신청</x:v>
      </x:c>
      <x:c r="C3397" s="2" t="str">
        <x:v>국외</x:v>
      </x:c>
      <x:c r="D3397" s="7" t="str">
        <x:v>안전한 식수 공급을 위한 정수기 보급 사업 : CPA 66(한국 지원)</x:v>
      </x:c>
      <x:c r="E3397" s="2" t="str">
        <x:v>47</x:v>
      </x:c>
      <x:c r="F3397" s="2" t="str">
        <x:v>2022-09-06</x:v>
      </x:c>
      <x:c r="G3397" s="2" t="str">
        <x:v>2022</x:v>
      </x:c>
      <x:c r="H3397" s="2" t="str">
        <x:v>09</x:v>
      </x:c>
      <x:c r="I3397" s="2" t="str">
        <x:v>반려</x:v>
      </x:c>
      <x:c r="J3397" s="2" t="str">
        <x:v>반려완료</x:v>
      </x:c>
      <x:c r="K3397" s="2" t="str">
        <x:f>IF(OR(J3397="심의승인",J3397="반려",J3397="반려완료",J3397="심의완료"),"종결 표시",IF(OR(J3397="기후부협의",J3397="문서재제출요청",J3397="보류",J3397="보완요청",J3397="보완완료",J3397="평가중",J3397="반려요청",J3397="평가필요",LEFT(J3397,5)="보완요청("),"미종결 표시","상태 확인 필요"))</x:f>
        <x:v>종결 표시</x:v>
      </x:c>
      <x:c r="L3397" s="2" t="str">
        <x:v>KECM_임하진</x:v>
      </x:c>
      <x:c r="M3397" s="2"/>
      <x:c r="N3397" s="8" t="n">
        <x:f>DATE(2026,10,15)-DATE(2022,9,6)</x:f>
        <x:v>1500</x:v>
      </x:c>
      <x:c r="O3397" s="2"/>
      <x:c r="P3397" s="2" t="str">
        <x:v>모니터링보고서 및 검증보고서 내 보안유지 필요부분 구체화 필요</x:v>
      </x:c>
      <x:c r="Q3397" s="2" t="str">
        <x:v>산업전환 외부사업 정보비공개 신청 관리 Tool_260707_LJY_261013.xlsx</x:v>
      </x:c>
      <x:c r="R3397" s="2" t="str">
        <x:v>(비공개)국외인증</x:v>
      </x:c>
      <x:c r="S3397" s="8" t="n">
        <x:v>48</x:v>
      </x:c>
      <x:c r="T3397" s="2"/>
      <x:c r="U3397" s="2" t="str"/>
      <x:c r="V3397" s="2" t="str">
        <x:v>2022-09-14</x:v>
      </x:c>
      <x:c r="W3397" s="2" t="str"/>
      <x:c r="X3397" s="2" t="str">
        <x:v>종결 근거 보관</x:v>
      </x:c>
      <x:c r="Y3397" s="2" t="str">
        <x:v>22df6d619b696c1eba8e26790f6382083d9fb1bc48481283e3e8a92ea6897677</x:v>
      </x:c>
      <x:c r="Z3397" s="2" t="n">
        <x:f>SUBTOTAL(103,A3397)</x:f>
        <x:v>1</x:v>
      </x:c>
      <x:c r="AA3397" s="2" t="str">
        <x:f>IF(K3397&lt;&gt;"미종결 표시","대상 아님",IF(N3397="","신청일 확인",IF(NOT(ISNUMBER('종합 현황'!$H$5)),"관찰기준 확인",IF('종합 현황'!$H$5&lt;1,"관찰기준 확인",IF(N3397&gt;'종합 현황'!$H$5,"내부 관찰 대상","내부 관찰일 이하")))))</x:f>
        <x:v>대상 아님</x:v>
      </x:c>
      <x:c r="AB3397" s="2"/>
    </x:row>
    <x:row r="3398" ht="42" customHeight="1">
      <x:c r="A3398" s="2" t="str">
        <x:v>a6668824275356c73ee8113e</x:v>
      </x:c>
      <x:c r="B3398" s="2" t="str">
        <x:v>인증 비공개 신청</x:v>
      </x:c>
      <x:c r="C3398" s="2" t="str">
        <x:v>국외</x:v>
      </x:c>
      <x:c r="D3398" s="7" t="str">
        <x:v>안전한 식수 공급을 위한 정수기 보급 사업 : CPA 65(한국 지원)</x:v>
      </x:c>
      <x:c r="E3398" s="2" t="str">
        <x:v>48</x:v>
      </x:c>
      <x:c r="F3398" s="2" t="str">
        <x:v>2022-09-06</x:v>
      </x:c>
      <x:c r="G3398" s="2" t="str">
        <x:v>2022</x:v>
      </x:c>
      <x:c r="H3398" s="2" t="str">
        <x:v>09</x:v>
      </x:c>
      <x:c r="I3398" s="2" t="str">
        <x:v>반려</x:v>
      </x:c>
      <x:c r="J3398" s="2" t="str">
        <x:v>반려완료</x:v>
      </x:c>
      <x:c r="K3398" s="2" t="str">
        <x:f>IF(OR(J3398="심의승인",J3398="반려",J3398="반려완료",J3398="심의완료"),"종결 표시",IF(OR(J3398="기후부협의",J3398="문서재제출요청",J3398="보류",J3398="보완요청",J3398="보완완료",J3398="평가중",J3398="반려요청",J3398="평가필요",LEFT(J3398,5)="보완요청("),"미종결 표시","상태 확인 필요"))</x:f>
        <x:v>종결 표시</x:v>
      </x:c>
      <x:c r="L3398" s="2" t="str">
        <x:v>KECM_임하진</x:v>
      </x:c>
      <x:c r="M3398" s="2"/>
      <x:c r="N3398" s="8" t="n">
        <x:f>DATE(2026,10,15)-DATE(2022,9,6)</x:f>
        <x:v>1500</x:v>
      </x:c>
      <x:c r="O3398" s="2"/>
      <x:c r="P3398" s="2" t="str">
        <x:v>모니터링보고서 및 검증보고서 내 보안유지 필요부분 구체화 필요</x:v>
      </x:c>
      <x:c r="Q3398" s="2" t="str">
        <x:v>산업전환 외부사업 정보비공개 신청 관리 Tool_260707_LJY_261013.xlsx</x:v>
      </x:c>
      <x:c r="R3398" s="2" t="str">
        <x:v>(비공개)국외인증</x:v>
      </x:c>
      <x:c r="S3398" s="8" t="n">
        <x:v>49</x:v>
      </x:c>
      <x:c r="T3398" s="2"/>
      <x:c r="U3398" s="2" t="str"/>
      <x:c r="V3398" s="2" t="str">
        <x:v>2022-09-14</x:v>
      </x:c>
      <x:c r="W3398" s="2" t="str"/>
      <x:c r="X3398" s="2" t="str">
        <x:v>종결 근거 보관</x:v>
      </x:c>
      <x:c r="Y3398" s="2" t="str">
        <x:v>22df6d619b696c1eba8e26790f6382083d9fb1bc48481283e3e8a92ea6897677</x:v>
      </x:c>
      <x:c r="Z3398" s="2" t="n">
        <x:f>SUBTOTAL(103,A3398)</x:f>
        <x:v>1</x:v>
      </x:c>
      <x:c r="AA3398" s="2" t="str">
        <x:f>IF(K3398&lt;&gt;"미종결 표시","대상 아님",IF(N3398="","신청일 확인",IF(NOT(ISNUMBER('종합 현황'!$H$5)),"관찰기준 확인",IF('종합 현황'!$H$5&lt;1,"관찰기준 확인",IF(N3398&gt;'종합 현황'!$H$5,"내부 관찰 대상","내부 관찰일 이하")))))</x:f>
        <x:v>대상 아님</x:v>
      </x:c>
      <x:c r="AB3398" s="2"/>
    </x:row>
    <x:row r="3399" ht="42" customHeight="1">
      <x:c r="A3399" s="2" t="str">
        <x:v>2d7f1fe6f049c1187a57ee52</x:v>
      </x:c>
      <x:c r="B3399" s="2" t="str">
        <x:v>인증 비공개 신청</x:v>
      </x:c>
      <x:c r="C3399" s="2" t="str">
        <x:v>국외</x:v>
      </x:c>
      <x:c r="D3399" s="7" t="str">
        <x:v>안전한 식수 공급을 위한 정수기 보급 사업 : CPA 64(한국 지원)</x:v>
      </x:c>
      <x:c r="E3399" s="2" t="str">
        <x:v>49</x:v>
      </x:c>
      <x:c r="F3399" s="2" t="str">
        <x:v>2022-09-06</x:v>
      </x:c>
      <x:c r="G3399" s="2" t="str">
        <x:v>2022</x:v>
      </x:c>
      <x:c r="H3399" s="2" t="str">
        <x:v>09</x:v>
      </x:c>
      <x:c r="I3399" s="2" t="str">
        <x:v>반려</x:v>
      </x:c>
      <x:c r="J3399" s="2" t="str">
        <x:v>반려완료</x:v>
      </x:c>
      <x:c r="K3399" s="2" t="str">
        <x:f>IF(OR(J3399="심의승인",J3399="반려",J3399="반려완료",J3399="심의완료"),"종결 표시",IF(OR(J3399="기후부협의",J3399="문서재제출요청",J3399="보류",J3399="보완요청",J3399="보완완료",J3399="평가중",J3399="반려요청",J3399="평가필요",LEFT(J3399,5)="보완요청("),"미종결 표시","상태 확인 필요"))</x:f>
        <x:v>종결 표시</x:v>
      </x:c>
      <x:c r="L3399" s="2" t="str">
        <x:v>KECM_임하진</x:v>
      </x:c>
      <x:c r="M3399" s="2"/>
      <x:c r="N3399" s="8" t="n">
        <x:f>DATE(2026,10,15)-DATE(2022,9,6)</x:f>
        <x:v>1500</x:v>
      </x:c>
      <x:c r="O3399" s="2"/>
      <x:c r="P3399" s="2" t="str">
        <x:v>모니터링보고서 및 검증보고서 내 보안유지 필요부분 구체화 필요</x:v>
      </x:c>
      <x:c r="Q3399" s="2" t="str">
        <x:v>산업전환 외부사업 정보비공개 신청 관리 Tool_260707_LJY_261013.xlsx</x:v>
      </x:c>
      <x:c r="R3399" s="2" t="str">
        <x:v>(비공개)국외인증</x:v>
      </x:c>
      <x:c r="S3399" s="8" t="n">
        <x:v>50</x:v>
      </x:c>
      <x:c r="T3399" s="2"/>
      <x:c r="U3399" s="2" t="str"/>
      <x:c r="V3399" s="2" t="str">
        <x:v>2022-09-14</x:v>
      </x:c>
      <x:c r="W3399" s="2" t="str"/>
      <x:c r="X3399" s="2" t="str">
        <x:v>종결 근거 보관</x:v>
      </x:c>
      <x:c r="Y3399" s="2" t="str">
        <x:v>22df6d619b696c1eba8e26790f6382083d9fb1bc48481283e3e8a92ea6897677</x:v>
      </x:c>
      <x:c r="Z3399" s="2" t="n">
        <x:f>SUBTOTAL(103,A3399)</x:f>
        <x:v>1</x:v>
      </x:c>
      <x:c r="AA3399" s="2" t="str">
        <x:f>IF(K3399&lt;&gt;"미종결 표시","대상 아님",IF(N3399="","신청일 확인",IF(NOT(ISNUMBER('종합 현황'!$H$5)),"관찰기준 확인",IF('종합 현황'!$H$5&lt;1,"관찰기준 확인",IF(N3399&gt;'종합 현황'!$H$5,"내부 관찰 대상","내부 관찰일 이하")))))</x:f>
        <x:v>대상 아님</x:v>
      </x:c>
      <x:c r="AB3399" s="2"/>
    </x:row>
    <x:row r="3400" ht="42" customHeight="1">
      <x:c r="A3400" s="2" t="str">
        <x:v>32c1c6d29f786b778ee7d8a8</x:v>
      </x:c>
      <x:c r="B3400" s="2" t="str">
        <x:v>인증 비공개 신청</x:v>
      </x:c>
      <x:c r="C3400" s="2" t="str">
        <x:v>국외</x:v>
      </x:c>
      <x:c r="D3400" s="7" t="str">
        <x:v>안전한 식수 공급을 위한 정수기 보급 사업 : CPA 63(한국 지원)</x:v>
      </x:c>
      <x:c r="E3400" s="2" t="str">
        <x:v>50</x:v>
      </x:c>
      <x:c r="F3400" s="2" t="str">
        <x:v>2022-09-06</x:v>
      </x:c>
      <x:c r="G3400" s="2" t="str">
        <x:v>2022</x:v>
      </x:c>
      <x:c r="H3400" s="2" t="str">
        <x:v>09</x:v>
      </x:c>
      <x:c r="I3400" s="2" t="str">
        <x:v>반려</x:v>
      </x:c>
      <x:c r="J3400" s="2" t="str">
        <x:v>반려완료</x:v>
      </x:c>
      <x:c r="K3400" s="2" t="str">
        <x:f>IF(OR(J3400="심의승인",J3400="반려",J3400="반려완료",J3400="심의완료"),"종결 표시",IF(OR(J3400="기후부협의",J3400="문서재제출요청",J3400="보류",J3400="보완요청",J3400="보완완료",J3400="평가중",J3400="반려요청",J3400="평가필요",LEFT(J3400,5)="보완요청("),"미종결 표시","상태 확인 필요"))</x:f>
        <x:v>종결 표시</x:v>
      </x:c>
      <x:c r="L3400" s="2" t="str">
        <x:v>KECM_임하진</x:v>
      </x:c>
      <x:c r="M3400" s="2"/>
      <x:c r="N3400" s="8" t="n">
        <x:f>DATE(2026,10,15)-DATE(2022,9,6)</x:f>
        <x:v>1500</x:v>
      </x:c>
      <x:c r="O3400" s="2"/>
      <x:c r="P3400" s="2" t="str">
        <x:v>모니터링보고서 및 검증보고서 내 보안유지 필요부분 구체화 필요</x:v>
      </x:c>
      <x:c r="Q3400" s="2" t="str">
        <x:v>산업전환 외부사업 정보비공개 신청 관리 Tool_260707_LJY_261013.xlsx</x:v>
      </x:c>
      <x:c r="R3400" s="2" t="str">
        <x:v>(비공개)국외인증</x:v>
      </x:c>
      <x:c r="S3400" s="8" t="n">
        <x:v>51</x:v>
      </x:c>
      <x:c r="T3400" s="2"/>
      <x:c r="U3400" s="2" t="str"/>
      <x:c r="V3400" s="2" t="str">
        <x:v>2022-09-14</x:v>
      </x:c>
      <x:c r="W3400" s="2" t="str"/>
      <x:c r="X3400" s="2" t="str">
        <x:v>종결 근거 보관</x:v>
      </x:c>
      <x:c r="Y3400" s="2" t="str">
        <x:v>22df6d619b696c1eba8e26790f6382083d9fb1bc48481283e3e8a92ea6897677</x:v>
      </x:c>
      <x:c r="Z3400" s="2" t="n">
        <x:f>SUBTOTAL(103,A3400)</x:f>
        <x:v>1</x:v>
      </x:c>
      <x:c r="AA3400" s="2" t="str">
        <x:f>IF(K3400&lt;&gt;"미종결 표시","대상 아님",IF(N3400="","신청일 확인",IF(NOT(ISNUMBER('종합 현황'!$H$5)),"관찰기준 확인",IF('종합 현황'!$H$5&lt;1,"관찰기준 확인",IF(N3400&gt;'종합 현황'!$H$5,"내부 관찰 대상","내부 관찰일 이하")))))</x:f>
        <x:v>대상 아님</x:v>
      </x:c>
      <x:c r="AB3400" s="2"/>
    </x:row>
    <x:row r="3401" ht="42" customHeight="1">
      <x:c r="A3401" s="2" t="str">
        <x:v>b929c6cbe6f9f40e9814e18a</x:v>
      </x:c>
      <x:c r="B3401" s="2" t="str">
        <x:v>인증 비공개 신청</x:v>
      </x:c>
      <x:c r="C3401" s="2" t="str">
        <x:v>국외</x:v>
      </x:c>
      <x:c r="D3401" s="7" t="str">
        <x:v>안전한 식수 공급을 위한 정수기 보급 사업 : CPA 62(한국 지원)</x:v>
      </x:c>
      <x:c r="E3401" s="2" t="str">
        <x:v>51</x:v>
      </x:c>
      <x:c r="F3401" s="2" t="str">
        <x:v>2022-09-06</x:v>
      </x:c>
      <x:c r="G3401" s="2" t="str">
        <x:v>2022</x:v>
      </x:c>
      <x:c r="H3401" s="2" t="str">
        <x:v>09</x:v>
      </x:c>
      <x:c r="I3401" s="2" t="str">
        <x:v>반려</x:v>
      </x:c>
      <x:c r="J3401" s="2" t="str">
        <x:v>반려완료</x:v>
      </x:c>
      <x:c r="K3401" s="2" t="str">
        <x:f>IF(OR(J3401="심의승인",J3401="반려",J3401="반려완료",J3401="심의완료"),"종결 표시",IF(OR(J3401="기후부협의",J3401="문서재제출요청",J3401="보류",J3401="보완요청",J3401="보완완료",J3401="평가중",J3401="반려요청",J3401="평가필요",LEFT(J3401,5)="보완요청("),"미종결 표시","상태 확인 필요"))</x:f>
        <x:v>종결 표시</x:v>
      </x:c>
      <x:c r="L3401" s="2" t="str">
        <x:v>KECM_임하진</x:v>
      </x:c>
      <x:c r="M3401" s="2"/>
      <x:c r="N3401" s="8" t="n">
        <x:f>DATE(2026,10,15)-DATE(2022,9,6)</x:f>
        <x:v>1500</x:v>
      </x:c>
      <x:c r="O3401" s="2"/>
      <x:c r="P3401" s="2" t="str">
        <x:v>모니터링보고서 및 검증보고서 내 보안유지 필요부분 구체화 필요</x:v>
      </x:c>
      <x:c r="Q3401" s="2" t="str">
        <x:v>산업전환 외부사업 정보비공개 신청 관리 Tool_260707_LJY_261013.xlsx</x:v>
      </x:c>
      <x:c r="R3401" s="2" t="str">
        <x:v>(비공개)국외인증</x:v>
      </x:c>
      <x:c r="S3401" s="8" t="n">
        <x:v>52</x:v>
      </x:c>
      <x:c r="T3401" s="2"/>
      <x:c r="U3401" s="2" t="str"/>
      <x:c r="V3401" s="2" t="str">
        <x:v>2022-09-14</x:v>
      </x:c>
      <x:c r="W3401" s="2" t="str"/>
      <x:c r="X3401" s="2" t="str">
        <x:v>종결 근거 보관</x:v>
      </x:c>
      <x:c r="Y3401" s="2" t="str">
        <x:v>22df6d619b696c1eba8e26790f6382083d9fb1bc48481283e3e8a92ea6897677</x:v>
      </x:c>
      <x:c r="Z3401" s="2" t="n">
        <x:f>SUBTOTAL(103,A3401)</x:f>
        <x:v>1</x:v>
      </x:c>
      <x:c r="AA3401" s="2" t="str">
        <x:f>IF(K3401&lt;&gt;"미종결 표시","대상 아님",IF(N3401="","신청일 확인",IF(NOT(ISNUMBER('종합 현황'!$H$5)),"관찰기준 확인",IF('종합 현황'!$H$5&lt;1,"관찰기준 확인",IF(N3401&gt;'종합 현황'!$H$5,"내부 관찰 대상","내부 관찰일 이하")))))</x:f>
        <x:v>대상 아님</x:v>
      </x:c>
      <x:c r="AB3401" s="2"/>
    </x:row>
    <x:row r="3402" ht="42" customHeight="1">
      <x:c r="A3402" s="2" t="str">
        <x:v>ece425d6229710535a9d6ab4</x:v>
      </x:c>
      <x:c r="B3402" s="2" t="str">
        <x:v>인증 비공개 신청</x:v>
      </x:c>
      <x:c r="C3402" s="2" t="str">
        <x:v>국외</x:v>
      </x:c>
      <x:c r="D3402" s="7" t="str">
        <x:v>안전한 식수 공급을 위한 정수기 보급 사업 : CPA 61(한국 지원)</x:v>
      </x:c>
      <x:c r="E3402" s="2" t="str">
        <x:v>52</x:v>
      </x:c>
      <x:c r="F3402" s="2" t="str">
        <x:v>2022-09-06</x:v>
      </x:c>
      <x:c r="G3402" s="2" t="str">
        <x:v>2022</x:v>
      </x:c>
      <x:c r="H3402" s="2" t="str">
        <x:v>09</x:v>
      </x:c>
      <x:c r="I3402" s="2" t="str">
        <x:v>반려</x:v>
      </x:c>
      <x:c r="J3402" s="2" t="str">
        <x:v>반려완료</x:v>
      </x:c>
      <x:c r="K3402" s="2" t="str">
        <x:f>IF(OR(J3402="심의승인",J3402="반려",J3402="반려완료",J3402="심의완료"),"종결 표시",IF(OR(J3402="기후부협의",J3402="문서재제출요청",J3402="보류",J3402="보완요청",J3402="보완완료",J3402="평가중",J3402="반려요청",J3402="평가필요",LEFT(J3402,5)="보완요청("),"미종결 표시","상태 확인 필요"))</x:f>
        <x:v>종결 표시</x:v>
      </x:c>
      <x:c r="L3402" s="2" t="str">
        <x:v>KECM_임하진</x:v>
      </x:c>
      <x:c r="M3402" s="2"/>
      <x:c r="N3402" s="8" t="n">
        <x:f>DATE(2026,10,15)-DATE(2022,9,6)</x:f>
        <x:v>1500</x:v>
      </x:c>
      <x:c r="O3402" s="2"/>
      <x:c r="P3402" s="2" t="str">
        <x:v>모니터링보고서 및 검증보고서 내 보안유지 필요부분 구체화 필요</x:v>
      </x:c>
      <x:c r="Q3402" s="2" t="str">
        <x:v>산업전환 외부사업 정보비공개 신청 관리 Tool_260707_LJY_261013.xlsx</x:v>
      </x:c>
      <x:c r="R3402" s="2" t="str">
        <x:v>(비공개)국외인증</x:v>
      </x:c>
      <x:c r="S3402" s="8" t="n">
        <x:v>53</x:v>
      </x:c>
      <x:c r="T3402" s="2"/>
      <x:c r="U3402" s="2" t="str"/>
      <x:c r="V3402" s="2" t="str">
        <x:v>2022-09-14</x:v>
      </x:c>
      <x:c r="W3402" s="2" t="str"/>
      <x:c r="X3402" s="2" t="str">
        <x:v>종결 근거 보관</x:v>
      </x:c>
      <x:c r="Y3402" s="2" t="str">
        <x:v>22df6d619b696c1eba8e26790f6382083d9fb1bc48481283e3e8a92ea6897677</x:v>
      </x:c>
      <x:c r="Z3402" s="2" t="n">
        <x:f>SUBTOTAL(103,A3402)</x:f>
        <x:v>1</x:v>
      </x:c>
      <x:c r="AA3402" s="2" t="str">
        <x:f>IF(K3402&lt;&gt;"미종결 표시","대상 아님",IF(N3402="","신청일 확인",IF(NOT(ISNUMBER('종합 현황'!$H$5)),"관찰기준 확인",IF('종합 현황'!$H$5&lt;1,"관찰기준 확인",IF(N3402&gt;'종합 현황'!$H$5,"내부 관찰 대상","내부 관찰일 이하")))))</x:f>
        <x:v>대상 아님</x:v>
      </x:c>
      <x:c r="AB3402" s="2"/>
    </x:row>
    <x:row r="3403" ht="42" customHeight="1">
      <x:c r="A3403" s="2" t="str">
        <x:v>3bd520be968463b8e5fc4818</x:v>
      </x:c>
      <x:c r="B3403" s="2" t="str">
        <x:v>인증 비공개 신청</x:v>
      </x:c>
      <x:c r="C3403" s="2" t="str">
        <x:v>국외</x:v>
      </x:c>
      <x:c r="D3403" s="7" t="str">
        <x:v>안전한 식수 공급을 위한 정수기 보급 사업 : CPA 60(한국 지원)</x:v>
      </x:c>
      <x:c r="E3403" s="2" t="str">
        <x:v>53</x:v>
      </x:c>
      <x:c r="F3403" s="2" t="str">
        <x:v>2022-09-06</x:v>
      </x:c>
      <x:c r="G3403" s="2" t="str">
        <x:v>2022</x:v>
      </x:c>
      <x:c r="H3403" s="2" t="str">
        <x:v>09</x:v>
      </x:c>
      <x:c r="I3403" s="2" t="str">
        <x:v>반려</x:v>
      </x:c>
      <x:c r="J3403" s="2" t="str">
        <x:v>반려완료</x:v>
      </x:c>
      <x:c r="K3403" s="2" t="str">
        <x:f>IF(OR(J3403="심의승인",J3403="반려",J3403="반려완료",J3403="심의완료"),"종결 표시",IF(OR(J3403="기후부협의",J3403="문서재제출요청",J3403="보류",J3403="보완요청",J3403="보완완료",J3403="평가중",J3403="반려요청",J3403="평가필요",LEFT(J3403,5)="보완요청("),"미종결 표시","상태 확인 필요"))</x:f>
        <x:v>종결 표시</x:v>
      </x:c>
      <x:c r="L3403" s="2" t="str">
        <x:v>KECM_임하진</x:v>
      </x:c>
      <x:c r="M3403" s="2"/>
      <x:c r="N3403" s="8" t="n">
        <x:f>DATE(2026,10,15)-DATE(2022,9,6)</x:f>
        <x:v>1500</x:v>
      </x:c>
      <x:c r="O3403" s="2"/>
      <x:c r="P3403" s="2" t="str">
        <x:v>모니터링보고서 및 검증보고서 내 보안유지 필요부분 구체화 필요</x:v>
      </x:c>
      <x:c r="Q3403" s="2" t="str">
        <x:v>산업전환 외부사업 정보비공개 신청 관리 Tool_260707_LJY_261013.xlsx</x:v>
      </x:c>
      <x:c r="R3403" s="2" t="str">
        <x:v>(비공개)국외인증</x:v>
      </x:c>
      <x:c r="S3403" s="8" t="n">
        <x:v>54</x:v>
      </x:c>
      <x:c r="T3403" s="2"/>
      <x:c r="U3403" s="2" t="str"/>
      <x:c r="V3403" s="2" t="str">
        <x:v>2022-09-14</x:v>
      </x:c>
      <x:c r="W3403" s="2" t="str"/>
      <x:c r="X3403" s="2" t="str">
        <x:v>종결 근거 보관</x:v>
      </x:c>
      <x:c r="Y3403" s="2" t="str">
        <x:v>22df6d619b696c1eba8e26790f6382083d9fb1bc48481283e3e8a92ea6897677</x:v>
      </x:c>
      <x:c r="Z3403" s="2" t="n">
        <x:f>SUBTOTAL(103,A3403)</x:f>
        <x:v>1</x:v>
      </x:c>
      <x:c r="AA3403" s="2" t="str">
        <x:f>IF(K3403&lt;&gt;"미종결 표시","대상 아님",IF(N3403="","신청일 확인",IF(NOT(ISNUMBER('종합 현황'!$H$5)),"관찰기준 확인",IF('종합 현황'!$H$5&lt;1,"관찰기준 확인",IF(N3403&gt;'종합 현황'!$H$5,"내부 관찰 대상","내부 관찰일 이하")))))</x:f>
        <x:v>대상 아님</x:v>
      </x:c>
      <x:c r="AB3403" s="2"/>
    </x:row>
    <x:row r="3404" ht="42" customHeight="1">
      <x:c r="A3404" s="2" t="str">
        <x:v>89b5a254911d7402d63f8dd5</x:v>
      </x:c>
      <x:c r="B3404" s="2" t="str">
        <x:v>인증 비공개 신청</x:v>
      </x:c>
      <x:c r="C3404" s="2" t="str">
        <x:v>국외</x:v>
      </x:c>
      <x:c r="D3404" s="7" t="str">
        <x:v>안전한 식수 공급을 위한 정수기 보급 사업 : CPA 59(한국 지원)</x:v>
      </x:c>
      <x:c r="E3404" s="2" t="str">
        <x:v>54</x:v>
      </x:c>
      <x:c r="F3404" s="2" t="str">
        <x:v>2022-09-06</x:v>
      </x:c>
      <x:c r="G3404" s="2" t="str">
        <x:v>2022</x:v>
      </x:c>
      <x:c r="H3404" s="2" t="str">
        <x:v>09</x:v>
      </x:c>
      <x:c r="I3404" s="2" t="str">
        <x:v>반려</x:v>
      </x:c>
      <x:c r="J3404" s="2" t="str">
        <x:v>반려완료</x:v>
      </x:c>
      <x:c r="K3404" s="2" t="str">
        <x:f>IF(OR(J3404="심의승인",J3404="반려",J3404="반려완료",J3404="심의완료"),"종결 표시",IF(OR(J3404="기후부협의",J3404="문서재제출요청",J3404="보류",J3404="보완요청",J3404="보완완료",J3404="평가중",J3404="반려요청",J3404="평가필요",LEFT(J3404,5)="보완요청("),"미종결 표시","상태 확인 필요"))</x:f>
        <x:v>종결 표시</x:v>
      </x:c>
      <x:c r="L3404" s="2" t="str">
        <x:v>KECM_임하진</x:v>
      </x:c>
      <x:c r="M3404" s="2"/>
      <x:c r="N3404" s="8" t="n">
        <x:f>DATE(2026,10,15)-DATE(2022,9,6)</x:f>
        <x:v>1500</x:v>
      </x:c>
      <x:c r="O3404" s="2"/>
      <x:c r="P3404" s="2" t="str">
        <x:v>모니터링보고서 및 검증보고서 내 보안유지 필요부분 구체화 필요</x:v>
      </x:c>
      <x:c r="Q3404" s="2" t="str">
        <x:v>산업전환 외부사업 정보비공개 신청 관리 Tool_260707_LJY_261013.xlsx</x:v>
      </x:c>
      <x:c r="R3404" s="2" t="str">
        <x:v>(비공개)국외인증</x:v>
      </x:c>
      <x:c r="S3404" s="8" t="n">
        <x:v>55</x:v>
      </x:c>
      <x:c r="T3404" s="2"/>
      <x:c r="U3404" s="2" t="str"/>
      <x:c r="V3404" s="2" t="str">
        <x:v>2022-09-14</x:v>
      </x:c>
      <x:c r="W3404" s="2" t="str"/>
      <x:c r="X3404" s="2" t="str">
        <x:v>종결 근거 보관</x:v>
      </x:c>
      <x:c r="Y3404" s="2" t="str">
        <x:v>22df6d619b696c1eba8e26790f6382083d9fb1bc48481283e3e8a92ea6897677</x:v>
      </x:c>
      <x:c r="Z3404" s="2" t="n">
        <x:f>SUBTOTAL(103,A3404)</x:f>
        <x:v>1</x:v>
      </x:c>
      <x:c r="AA3404" s="2" t="str">
        <x:f>IF(K3404&lt;&gt;"미종결 표시","대상 아님",IF(N3404="","신청일 확인",IF(NOT(ISNUMBER('종합 현황'!$H$5)),"관찰기준 확인",IF('종합 현황'!$H$5&lt;1,"관찰기준 확인",IF(N3404&gt;'종합 현황'!$H$5,"내부 관찰 대상","내부 관찰일 이하")))))</x:f>
        <x:v>대상 아님</x:v>
      </x:c>
      <x:c r="AB3404" s="2"/>
    </x:row>
    <x:row r="3405" ht="42" customHeight="1">
      <x:c r="A3405" s="2" t="str">
        <x:v>dd9a64f4df6158597678de30</x:v>
      </x:c>
      <x:c r="B3405" s="2" t="str">
        <x:v>인증 비공개 신청</x:v>
      </x:c>
      <x:c r="C3405" s="2" t="str">
        <x:v>국외</x:v>
      </x:c>
      <x:c r="D3405" s="7" t="str">
        <x:v>안전한 식수 공급을 위한 정수기 보급 사업 : CPA 58(한국 지원)</x:v>
      </x:c>
      <x:c r="E3405" s="2" t="str">
        <x:v>55</x:v>
      </x:c>
      <x:c r="F3405" s="2" t="str">
        <x:v>2022-09-06</x:v>
      </x:c>
      <x:c r="G3405" s="2" t="str">
        <x:v>2022</x:v>
      </x:c>
      <x:c r="H3405" s="2" t="str">
        <x:v>09</x:v>
      </x:c>
      <x:c r="I3405" s="2" t="str">
        <x:v>반려</x:v>
      </x:c>
      <x:c r="J3405" s="2" t="str">
        <x:v>반려완료</x:v>
      </x:c>
      <x:c r="K3405" s="2" t="str">
        <x:f>IF(OR(J3405="심의승인",J3405="반려",J3405="반려완료",J3405="심의완료"),"종결 표시",IF(OR(J3405="기후부협의",J3405="문서재제출요청",J3405="보류",J3405="보완요청",J3405="보완완료",J3405="평가중",J3405="반려요청",J3405="평가필요",LEFT(J3405,5)="보완요청("),"미종결 표시","상태 확인 필요"))</x:f>
        <x:v>종결 표시</x:v>
      </x:c>
      <x:c r="L3405" s="2" t="str">
        <x:v>KECM_임하진</x:v>
      </x:c>
      <x:c r="M3405" s="2"/>
      <x:c r="N3405" s="8" t="n">
        <x:f>DATE(2026,10,15)-DATE(2022,9,6)</x:f>
        <x:v>1500</x:v>
      </x:c>
      <x:c r="O3405" s="2"/>
      <x:c r="P3405" s="2" t="str">
        <x:v>모니터링보고서 및 검증보고서 내 보안유지 필요부분 구체화 필요</x:v>
      </x:c>
      <x:c r="Q3405" s="2" t="str">
        <x:v>산업전환 외부사업 정보비공개 신청 관리 Tool_260707_LJY_261013.xlsx</x:v>
      </x:c>
      <x:c r="R3405" s="2" t="str">
        <x:v>(비공개)국외인증</x:v>
      </x:c>
      <x:c r="S3405" s="8" t="n">
        <x:v>56</x:v>
      </x:c>
      <x:c r="T3405" s="2"/>
      <x:c r="U3405" s="2" t="str"/>
      <x:c r="V3405" s="2" t="str">
        <x:v>2022-09-14</x:v>
      </x:c>
      <x:c r="W3405" s="2" t="str"/>
      <x:c r="X3405" s="2" t="str">
        <x:v>종결 근거 보관</x:v>
      </x:c>
      <x:c r="Y3405" s="2" t="str">
        <x:v>22df6d619b696c1eba8e26790f6382083d9fb1bc48481283e3e8a92ea6897677</x:v>
      </x:c>
      <x:c r="Z3405" s="2" t="n">
        <x:f>SUBTOTAL(103,A3405)</x:f>
        <x:v>1</x:v>
      </x:c>
      <x:c r="AA3405" s="2" t="str">
        <x:f>IF(K3405&lt;&gt;"미종결 표시","대상 아님",IF(N3405="","신청일 확인",IF(NOT(ISNUMBER('종합 현황'!$H$5)),"관찰기준 확인",IF('종합 현황'!$H$5&lt;1,"관찰기준 확인",IF(N3405&gt;'종합 현황'!$H$5,"내부 관찰 대상","내부 관찰일 이하")))))</x:f>
        <x:v>대상 아님</x:v>
      </x:c>
      <x:c r="AB3405" s="2"/>
    </x:row>
    <x:row r="3406" ht="42" customHeight="1">
      <x:c r="A3406" s="2" t="str">
        <x:v>e4cb8eadd9c1012cfe067a20</x:v>
      </x:c>
      <x:c r="B3406" s="2" t="str">
        <x:v>인증 비공개 신청</x:v>
      </x:c>
      <x:c r="C3406" s="2" t="str">
        <x:v>국외</x:v>
      </x:c>
      <x:c r="D3406" s="7" t="str">
        <x:v>안전한 식수 공급을 위한 정수기 보급 사업 : CPA 57(한국 지원)</x:v>
      </x:c>
      <x:c r="E3406" s="2" t="str">
        <x:v>56</x:v>
      </x:c>
      <x:c r="F3406" s="2" t="str">
        <x:v>2022-09-06</x:v>
      </x:c>
      <x:c r="G3406" s="2" t="str">
        <x:v>2022</x:v>
      </x:c>
      <x:c r="H3406" s="2" t="str">
        <x:v>09</x:v>
      </x:c>
      <x:c r="I3406" s="2" t="str">
        <x:v>반려</x:v>
      </x:c>
      <x:c r="J3406" s="2" t="str">
        <x:v>반려완료</x:v>
      </x:c>
      <x:c r="K3406" s="2" t="str">
        <x:f>IF(OR(J3406="심의승인",J3406="반려",J3406="반려완료",J3406="심의완료"),"종결 표시",IF(OR(J3406="기후부협의",J3406="문서재제출요청",J3406="보류",J3406="보완요청",J3406="보완완료",J3406="평가중",J3406="반려요청",J3406="평가필요",LEFT(J3406,5)="보완요청("),"미종결 표시","상태 확인 필요"))</x:f>
        <x:v>종결 표시</x:v>
      </x:c>
      <x:c r="L3406" s="2" t="str">
        <x:v>KECM_임하진</x:v>
      </x:c>
      <x:c r="M3406" s="2"/>
      <x:c r="N3406" s="8" t="n">
        <x:f>DATE(2026,10,15)-DATE(2022,9,6)</x:f>
        <x:v>1500</x:v>
      </x:c>
      <x:c r="O3406" s="2"/>
      <x:c r="P3406" s="2" t="str">
        <x:v>모니터링보고서 및 검증보고서 내 보안유지 필요부분 구체화 필요</x:v>
      </x:c>
      <x:c r="Q3406" s="2" t="str">
        <x:v>산업전환 외부사업 정보비공개 신청 관리 Tool_260707_LJY_261013.xlsx</x:v>
      </x:c>
      <x:c r="R3406" s="2" t="str">
        <x:v>(비공개)국외인증</x:v>
      </x:c>
      <x:c r="S3406" s="8" t="n">
        <x:v>57</x:v>
      </x:c>
      <x:c r="T3406" s="2"/>
      <x:c r="U3406" s="2" t="str"/>
      <x:c r="V3406" s="2" t="str">
        <x:v>2022-09-14</x:v>
      </x:c>
      <x:c r="W3406" s="2" t="str"/>
      <x:c r="X3406" s="2" t="str">
        <x:v>종결 근거 보관</x:v>
      </x:c>
      <x:c r="Y3406" s="2" t="str">
        <x:v>22df6d619b696c1eba8e26790f6382083d9fb1bc48481283e3e8a92ea6897677</x:v>
      </x:c>
      <x:c r="Z3406" s="2" t="n">
        <x:f>SUBTOTAL(103,A3406)</x:f>
        <x:v>1</x:v>
      </x:c>
      <x:c r="AA3406" s="2" t="str">
        <x:f>IF(K3406&lt;&gt;"미종결 표시","대상 아님",IF(N3406="","신청일 확인",IF(NOT(ISNUMBER('종합 현황'!$H$5)),"관찰기준 확인",IF('종합 현황'!$H$5&lt;1,"관찰기준 확인",IF(N3406&gt;'종합 현황'!$H$5,"내부 관찰 대상","내부 관찰일 이하")))))</x:f>
        <x:v>대상 아님</x:v>
      </x:c>
      <x:c r="AB3406" s="2"/>
    </x:row>
    <x:row r="3407" ht="42" customHeight="1">
      <x:c r="A3407" s="2" t="str">
        <x:v>c367dc7cddc5dd4112b16cf5</x:v>
      </x:c>
      <x:c r="B3407" s="2" t="str">
        <x:v>인증 비공개 신청</x:v>
      </x:c>
      <x:c r="C3407" s="2" t="str">
        <x:v>국외</x:v>
      </x:c>
      <x:c r="D3407" s="7" t="str">
        <x:v>안전한 식수 공급을 위한 정수기 보급 사업 : CPA 56(한국 지원)</x:v>
      </x:c>
      <x:c r="E3407" s="2" t="str">
        <x:v>57</x:v>
      </x:c>
      <x:c r="F3407" s="2" t="str">
        <x:v>2022-09-06</x:v>
      </x:c>
      <x:c r="G3407" s="2" t="str">
        <x:v>2022</x:v>
      </x:c>
      <x:c r="H3407" s="2" t="str">
        <x:v>09</x:v>
      </x:c>
      <x:c r="I3407" s="2" t="str">
        <x:v>반려</x:v>
      </x:c>
      <x:c r="J3407" s="2" t="str">
        <x:v>반려완료</x:v>
      </x:c>
      <x:c r="K3407" s="2" t="str">
        <x:f>IF(OR(J3407="심의승인",J3407="반려",J3407="반려완료",J3407="심의완료"),"종결 표시",IF(OR(J3407="기후부협의",J3407="문서재제출요청",J3407="보류",J3407="보완요청",J3407="보완완료",J3407="평가중",J3407="반려요청",J3407="평가필요",LEFT(J3407,5)="보완요청("),"미종결 표시","상태 확인 필요"))</x:f>
        <x:v>종결 표시</x:v>
      </x:c>
      <x:c r="L3407" s="2" t="str">
        <x:v>KECM_임하진</x:v>
      </x:c>
      <x:c r="M3407" s="2"/>
      <x:c r="N3407" s="8" t="n">
        <x:f>DATE(2026,10,15)-DATE(2022,9,6)</x:f>
        <x:v>1500</x:v>
      </x:c>
      <x:c r="O3407" s="2"/>
      <x:c r="P3407" s="2" t="str">
        <x:v>모니터링보고서 및 검증보고서 내 보안유지 필요부분 구체화 필요</x:v>
      </x:c>
      <x:c r="Q3407" s="2" t="str">
        <x:v>산업전환 외부사업 정보비공개 신청 관리 Tool_260707_LJY_261013.xlsx</x:v>
      </x:c>
      <x:c r="R3407" s="2" t="str">
        <x:v>(비공개)국외인증</x:v>
      </x:c>
      <x:c r="S3407" s="8" t="n">
        <x:v>58</x:v>
      </x:c>
      <x:c r="T3407" s="2"/>
      <x:c r="U3407" s="2" t="str"/>
      <x:c r="V3407" s="2" t="str">
        <x:v>2022-09-14</x:v>
      </x:c>
      <x:c r="W3407" s="2" t="str"/>
      <x:c r="X3407" s="2" t="str">
        <x:v>종결 근거 보관</x:v>
      </x:c>
      <x:c r="Y3407" s="2" t="str">
        <x:v>22df6d619b696c1eba8e26790f6382083d9fb1bc48481283e3e8a92ea6897677</x:v>
      </x:c>
      <x:c r="Z3407" s="2" t="n">
        <x:f>SUBTOTAL(103,A3407)</x:f>
        <x:v>1</x:v>
      </x:c>
      <x:c r="AA3407" s="2" t="str">
        <x:f>IF(K3407&lt;&gt;"미종결 표시","대상 아님",IF(N3407="","신청일 확인",IF(NOT(ISNUMBER('종합 현황'!$H$5)),"관찰기준 확인",IF('종합 현황'!$H$5&lt;1,"관찰기준 확인",IF(N3407&gt;'종합 현황'!$H$5,"내부 관찰 대상","내부 관찰일 이하")))))</x:f>
        <x:v>대상 아님</x:v>
      </x:c>
      <x:c r="AB3407" s="2"/>
    </x:row>
    <x:row r="3408" ht="42" customHeight="1">
      <x:c r="A3408" s="2" t="str">
        <x:v>03849ddc867b9acdc080c253</x:v>
      </x:c>
      <x:c r="B3408" s="2" t="str">
        <x:v>인증 비공개 신청</x:v>
      </x:c>
      <x:c r="C3408" s="2" t="str">
        <x:v>국외</x:v>
      </x:c>
      <x:c r="D3408" s="7" t="str">
        <x:v>안전한 식수 공급을 위한 정수기 보급 사업 : CPA 55(한국 지원)</x:v>
      </x:c>
      <x:c r="E3408" s="2" t="str">
        <x:v>58</x:v>
      </x:c>
      <x:c r="F3408" s="2" t="str">
        <x:v>2022-09-06</x:v>
      </x:c>
      <x:c r="G3408" s="2" t="str">
        <x:v>2022</x:v>
      </x:c>
      <x:c r="H3408" s="2" t="str">
        <x:v>09</x:v>
      </x:c>
      <x:c r="I3408" s="2" t="str">
        <x:v>반려</x:v>
      </x:c>
      <x:c r="J3408" s="2" t="str">
        <x:v>반려완료</x:v>
      </x:c>
      <x:c r="K3408" s="2" t="str">
        <x:f>IF(OR(J3408="심의승인",J3408="반려",J3408="반려완료",J3408="심의완료"),"종결 표시",IF(OR(J3408="기후부협의",J3408="문서재제출요청",J3408="보류",J3408="보완요청",J3408="보완완료",J3408="평가중",J3408="반려요청",J3408="평가필요",LEFT(J3408,5)="보완요청("),"미종결 표시","상태 확인 필요"))</x:f>
        <x:v>종결 표시</x:v>
      </x:c>
      <x:c r="L3408" s="2" t="str">
        <x:v>KECM_임하진</x:v>
      </x:c>
      <x:c r="M3408" s="2"/>
      <x:c r="N3408" s="8" t="n">
        <x:f>DATE(2026,10,15)-DATE(2022,9,6)</x:f>
        <x:v>1500</x:v>
      </x:c>
      <x:c r="O3408" s="2"/>
      <x:c r="P3408" s="2" t="str">
        <x:v>모니터링보고서 및 검증보고서 내 보안유지 필요부분 구체화 필요</x:v>
      </x:c>
      <x:c r="Q3408" s="2" t="str">
        <x:v>산업전환 외부사업 정보비공개 신청 관리 Tool_260707_LJY_261013.xlsx</x:v>
      </x:c>
      <x:c r="R3408" s="2" t="str">
        <x:v>(비공개)국외인증</x:v>
      </x:c>
      <x:c r="S3408" s="8" t="n">
        <x:v>59</x:v>
      </x:c>
      <x:c r="T3408" s="2"/>
      <x:c r="U3408" s="2" t="str"/>
      <x:c r="V3408" s="2" t="str">
        <x:v>2022-09-14</x:v>
      </x:c>
      <x:c r="W3408" s="2" t="str"/>
      <x:c r="X3408" s="2" t="str">
        <x:v>종결 근거 보관</x:v>
      </x:c>
      <x:c r="Y3408" s="2" t="str">
        <x:v>22df6d619b696c1eba8e26790f6382083d9fb1bc48481283e3e8a92ea6897677</x:v>
      </x:c>
      <x:c r="Z3408" s="2" t="n">
        <x:f>SUBTOTAL(103,A3408)</x:f>
        <x:v>1</x:v>
      </x:c>
      <x:c r="AA3408" s="2" t="str">
        <x:f>IF(K3408&lt;&gt;"미종결 표시","대상 아님",IF(N3408="","신청일 확인",IF(NOT(ISNUMBER('종합 현황'!$H$5)),"관찰기준 확인",IF('종합 현황'!$H$5&lt;1,"관찰기준 확인",IF(N3408&gt;'종합 현황'!$H$5,"내부 관찰 대상","내부 관찰일 이하")))))</x:f>
        <x:v>대상 아님</x:v>
      </x:c>
      <x:c r="AB3408" s="2"/>
    </x:row>
    <x:row r="3409" ht="42" customHeight="1">
      <x:c r="A3409" s="2" t="str">
        <x:v>9f0ada8d6aefa058856ded92</x:v>
      </x:c>
      <x:c r="B3409" s="2" t="str">
        <x:v>인증 비공개 신청</x:v>
      </x:c>
      <x:c r="C3409" s="2" t="str">
        <x:v>국외</x:v>
      </x:c>
      <x:c r="D3409" s="7" t="str">
        <x:v>안전한 식수 공급을 위한 정수기 보급 사업 : CPA 54(한국 지원)</x:v>
      </x:c>
      <x:c r="E3409" s="2" t="str">
        <x:v>59</x:v>
      </x:c>
      <x:c r="F3409" s="2" t="str">
        <x:v>2022-09-06</x:v>
      </x:c>
      <x:c r="G3409" s="2" t="str">
        <x:v>2022</x:v>
      </x:c>
      <x:c r="H3409" s="2" t="str">
        <x:v>09</x:v>
      </x:c>
      <x:c r="I3409" s="2" t="str">
        <x:v>반려</x:v>
      </x:c>
      <x:c r="J3409" s="2" t="str">
        <x:v>반려완료</x:v>
      </x:c>
      <x:c r="K3409" s="2" t="str">
        <x:f>IF(OR(J3409="심의승인",J3409="반려",J3409="반려완료",J3409="심의완료"),"종결 표시",IF(OR(J3409="기후부협의",J3409="문서재제출요청",J3409="보류",J3409="보완요청",J3409="보완완료",J3409="평가중",J3409="반려요청",J3409="평가필요",LEFT(J3409,5)="보완요청("),"미종결 표시","상태 확인 필요"))</x:f>
        <x:v>종결 표시</x:v>
      </x:c>
      <x:c r="L3409" s="2" t="str">
        <x:v>KECM_임하진</x:v>
      </x:c>
      <x:c r="M3409" s="2"/>
      <x:c r="N3409" s="8" t="n">
        <x:f>DATE(2026,10,15)-DATE(2022,9,6)</x:f>
        <x:v>1500</x:v>
      </x:c>
      <x:c r="O3409" s="2"/>
      <x:c r="P3409" s="2" t="str">
        <x:v>모니터링보고서 및 검증보고서 내 보안유지 필요부분 구체화 필요</x:v>
      </x:c>
      <x:c r="Q3409" s="2" t="str">
        <x:v>산업전환 외부사업 정보비공개 신청 관리 Tool_260707_LJY_261013.xlsx</x:v>
      </x:c>
      <x:c r="R3409" s="2" t="str">
        <x:v>(비공개)국외인증</x:v>
      </x:c>
      <x:c r="S3409" s="8" t="n">
        <x:v>60</x:v>
      </x:c>
      <x:c r="T3409" s="2"/>
      <x:c r="U3409" s="2" t="str"/>
      <x:c r="V3409" s="2" t="str">
        <x:v>2022-09-14</x:v>
      </x:c>
      <x:c r="W3409" s="2" t="str"/>
      <x:c r="X3409" s="2" t="str">
        <x:v>종결 근거 보관</x:v>
      </x:c>
      <x:c r="Y3409" s="2" t="str">
        <x:v>22df6d619b696c1eba8e26790f6382083d9fb1bc48481283e3e8a92ea6897677</x:v>
      </x:c>
      <x:c r="Z3409" s="2" t="n">
        <x:f>SUBTOTAL(103,A3409)</x:f>
        <x:v>1</x:v>
      </x:c>
      <x:c r="AA3409" s="2" t="str">
        <x:f>IF(K3409&lt;&gt;"미종결 표시","대상 아님",IF(N3409="","신청일 확인",IF(NOT(ISNUMBER('종합 현황'!$H$5)),"관찰기준 확인",IF('종합 현황'!$H$5&lt;1,"관찰기준 확인",IF(N3409&gt;'종합 현황'!$H$5,"내부 관찰 대상","내부 관찰일 이하")))))</x:f>
        <x:v>대상 아님</x:v>
      </x:c>
      <x:c r="AB3409" s="2"/>
    </x:row>
    <x:row r="3410" ht="42" customHeight="1">
      <x:c r="A3410" s="2" t="str">
        <x:v>e979580048286905e73a53fe</x:v>
      </x:c>
      <x:c r="B3410" s="2" t="str">
        <x:v>인증 비공개 신청</x:v>
      </x:c>
      <x:c r="C3410" s="2" t="str">
        <x:v>국외</x:v>
      </x:c>
      <x:c r="D3410" s="7" t="str">
        <x:v>안전한 식수 공급을 위한 정수기 보급 사업 : CPA 53(한국 지원)</x:v>
      </x:c>
      <x:c r="E3410" s="2" t="str">
        <x:v>60</x:v>
      </x:c>
      <x:c r="F3410" s="2" t="str">
        <x:v>2022-09-06</x:v>
      </x:c>
      <x:c r="G3410" s="2" t="str">
        <x:v>2022</x:v>
      </x:c>
      <x:c r="H3410" s="2" t="str">
        <x:v>09</x:v>
      </x:c>
      <x:c r="I3410" s="2" t="str">
        <x:v>반려</x:v>
      </x:c>
      <x:c r="J3410" s="2" t="str">
        <x:v>반려완료</x:v>
      </x:c>
      <x:c r="K3410" s="2" t="str">
        <x:f>IF(OR(J3410="심의승인",J3410="반려",J3410="반려완료",J3410="심의완료"),"종결 표시",IF(OR(J3410="기후부협의",J3410="문서재제출요청",J3410="보류",J3410="보완요청",J3410="보완완료",J3410="평가중",J3410="반려요청",J3410="평가필요",LEFT(J3410,5)="보완요청("),"미종결 표시","상태 확인 필요"))</x:f>
        <x:v>종결 표시</x:v>
      </x:c>
      <x:c r="L3410" s="2" t="str">
        <x:v>KECM_임하진</x:v>
      </x:c>
      <x:c r="M3410" s="2"/>
      <x:c r="N3410" s="8" t="n">
        <x:f>DATE(2026,10,15)-DATE(2022,9,6)</x:f>
        <x:v>1500</x:v>
      </x:c>
      <x:c r="O3410" s="2"/>
      <x:c r="P3410" s="2" t="str">
        <x:v>모니터링보고서 및 검증보고서 내 보안유지 필요부분 구체화 필요</x:v>
      </x:c>
      <x:c r="Q3410" s="2" t="str">
        <x:v>산업전환 외부사업 정보비공개 신청 관리 Tool_260707_LJY_261013.xlsx</x:v>
      </x:c>
      <x:c r="R3410" s="2" t="str">
        <x:v>(비공개)국외인증</x:v>
      </x:c>
      <x:c r="S3410" s="8" t="n">
        <x:v>61</x:v>
      </x:c>
      <x:c r="T3410" s="2"/>
      <x:c r="U3410" s="2" t="str"/>
      <x:c r="V3410" s="2" t="str">
        <x:v>2022-09-14</x:v>
      </x:c>
      <x:c r="W3410" s="2" t="str"/>
      <x:c r="X3410" s="2" t="str">
        <x:v>종결 근거 보관</x:v>
      </x:c>
      <x:c r="Y3410" s="2" t="str">
        <x:v>22df6d619b696c1eba8e26790f6382083d9fb1bc48481283e3e8a92ea6897677</x:v>
      </x:c>
      <x:c r="Z3410" s="2" t="n">
        <x:f>SUBTOTAL(103,A3410)</x:f>
        <x:v>1</x:v>
      </x:c>
      <x:c r="AA3410" s="2" t="str">
        <x:f>IF(K3410&lt;&gt;"미종결 표시","대상 아님",IF(N3410="","신청일 확인",IF(NOT(ISNUMBER('종합 현황'!$H$5)),"관찰기준 확인",IF('종합 현황'!$H$5&lt;1,"관찰기준 확인",IF(N3410&gt;'종합 현황'!$H$5,"내부 관찰 대상","내부 관찰일 이하")))))</x:f>
        <x:v>대상 아님</x:v>
      </x:c>
      <x:c r="AB3410" s="2"/>
    </x:row>
    <x:row r="3411" ht="42" customHeight="1">
      <x:c r="A3411" s="2" t="str">
        <x:v>43a0713980cf8cfe2d0e1055</x:v>
      </x:c>
      <x:c r="B3411" s="2" t="str">
        <x:v>인증 비공개 신청</x:v>
      </x:c>
      <x:c r="C3411" s="2" t="str">
        <x:v>국외</x:v>
      </x:c>
      <x:c r="D3411" s="7" t="str">
        <x:v>안전한 식수 공급을 위한 정수기 보급 사업 : CPA 52(한국 지원)</x:v>
      </x:c>
      <x:c r="E3411" s="2" t="str">
        <x:v>61</x:v>
      </x:c>
      <x:c r="F3411" s="2" t="str">
        <x:v>2022-09-06</x:v>
      </x:c>
      <x:c r="G3411" s="2" t="str">
        <x:v>2022</x:v>
      </x:c>
      <x:c r="H3411" s="2" t="str">
        <x:v>09</x:v>
      </x:c>
      <x:c r="I3411" s="2" t="str">
        <x:v>반려</x:v>
      </x:c>
      <x:c r="J3411" s="2" t="str">
        <x:v>반려완료</x:v>
      </x:c>
      <x:c r="K3411" s="2" t="str">
        <x:f>IF(OR(J3411="심의승인",J3411="반려",J3411="반려완료",J3411="심의완료"),"종결 표시",IF(OR(J3411="기후부협의",J3411="문서재제출요청",J3411="보류",J3411="보완요청",J3411="보완완료",J3411="평가중",J3411="반려요청",J3411="평가필요",LEFT(J3411,5)="보완요청("),"미종결 표시","상태 확인 필요"))</x:f>
        <x:v>종결 표시</x:v>
      </x:c>
      <x:c r="L3411" s="2" t="str">
        <x:v>KECM_임하진</x:v>
      </x:c>
      <x:c r="M3411" s="2"/>
      <x:c r="N3411" s="8" t="n">
        <x:f>DATE(2026,10,15)-DATE(2022,9,6)</x:f>
        <x:v>1500</x:v>
      </x:c>
      <x:c r="O3411" s="2"/>
      <x:c r="P3411" s="2" t="str">
        <x:v>모니터링보고서 및 검증보고서 내 보안유지 필요부분 구체화 필요</x:v>
      </x:c>
      <x:c r="Q3411" s="2" t="str">
        <x:v>산업전환 외부사업 정보비공개 신청 관리 Tool_260707_LJY_261013.xlsx</x:v>
      </x:c>
      <x:c r="R3411" s="2" t="str">
        <x:v>(비공개)국외인증</x:v>
      </x:c>
      <x:c r="S3411" s="8" t="n">
        <x:v>62</x:v>
      </x:c>
      <x:c r="T3411" s="2"/>
      <x:c r="U3411" s="2" t="str"/>
      <x:c r="V3411" s="2" t="str">
        <x:v>2022-09-14</x:v>
      </x:c>
      <x:c r="W3411" s="2" t="str"/>
      <x:c r="X3411" s="2" t="str">
        <x:v>종결 근거 보관</x:v>
      </x:c>
      <x:c r="Y3411" s="2" t="str">
        <x:v>22df6d619b696c1eba8e26790f6382083d9fb1bc48481283e3e8a92ea6897677</x:v>
      </x:c>
      <x:c r="Z3411" s="2" t="n">
        <x:f>SUBTOTAL(103,A3411)</x:f>
        <x:v>1</x:v>
      </x:c>
      <x:c r="AA3411" s="2" t="str">
        <x:f>IF(K3411&lt;&gt;"미종결 표시","대상 아님",IF(N3411="","신청일 확인",IF(NOT(ISNUMBER('종합 현황'!$H$5)),"관찰기준 확인",IF('종합 현황'!$H$5&lt;1,"관찰기준 확인",IF(N3411&gt;'종합 현황'!$H$5,"내부 관찰 대상","내부 관찰일 이하")))))</x:f>
        <x:v>대상 아님</x:v>
      </x:c>
      <x:c r="AB3411" s="2"/>
    </x:row>
    <x:row r="3412" ht="42" customHeight="1">
      <x:c r="A3412" s="2" t="str">
        <x:v>fa847c926f9f86b3c6279b0a</x:v>
      </x:c>
      <x:c r="B3412" s="2" t="str">
        <x:v>인증 비공개 신청</x:v>
      </x:c>
      <x:c r="C3412" s="2" t="str">
        <x:v>국외</x:v>
      </x:c>
      <x:c r="D3412" s="7" t="str">
        <x:v>안전한 식수 공급을 위한 정수기 보급 사업 : CPA 51(한국 지원)</x:v>
      </x:c>
      <x:c r="E3412" s="2" t="str">
        <x:v>62</x:v>
      </x:c>
      <x:c r="F3412" s="2" t="str">
        <x:v>2022-09-06</x:v>
      </x:c>
      <x:c r="G3412" s="2" t="str">
        <x:v>2022</x:v>
      </x:c>
      <x:c r="H3412" s="2" t="str">
        <x:v>09</x:v>
      </x:c>
      <x:c r="I3412" s="2" t="str">
        <x:v>반려</x:v>
      </x:c>
      <x:c r="J3412" s="2" t="str">
        <x:v>반려완료</x:v>
      </x:c>
      <x:c r="K3412" s="2" t="str">
        <x:f>IF(OR(J3412="심의승인",J3412="반려",J3412="반려완료",J3412="심의완료"),"종결 표시",IF(OR(J3412="기후부협의",J3412="문서재제출요청",J3412="보류",J3412="보완요청",J3412="보완완료",J3412="평가중",J3412="반려요청",J3412="평가필요",LEFT(J3412,5)="보완요청("),"미종결 표시","상태 확인 필요"))</x:f>
        <x:v>종결 표시</x:v>
      </x:c>
      <x:c r="L3412" s="2" t="str">
        <x:v>KECM_임하진</x:v>
      </x:c>
      <x:c r="M3412" s="2"/>
      <x:c r="N3412" s="8" t="n">
        <x:f>DATE(2026,10,15)-DATE(2022,9,6)</x:f>
        <x:v>1500</x:v>
      </x:c>
      <x:c r="O3412" s="2"/>
      <x:c r="P3412" s="2" t="str">
        <x:v>모니터링보고서 및 검증보고서 내 보안유지 필요부분 구체화 필요</x:v>
      </x:c>
      <x:c r="Q3412" s="2" t="str">
        <x:v>산업전환 외부사업 정보비공개 신청 관리 Tool_260707_LJY_261013.xlsx</x:v>
      </x:c>
      <x:c r="R3412" s="2" t="str">
        <x:v>(비공개)국외인증</x:v>
      </x:c>
      <x:c r="S3412" s="8" t="n">
        <x:v>63</x:v>
      </x:c>
      <x:c r="T3412" s="2"/>
      <x:c r="U3412" s="2" t="str"/>
      <x:c r="V3412" s="2" t="str">
        <x:v>2022-09-14</x:v>
      </x:c>
      <x:c r="W3412" s="2" t="str"/>
      <x:c r="X3412" s="2" t="str">
        <x:v>종결 근거 보관</x:v>
      </x:c>
      <x:c r="Y3412" s="2" t="str">
        <x:v>22df6d619b696c1eba8e26790f6382083d9fb1bc48481283e3e8a92ea6897677</x:v>
      </x:c>
      <x:c r="Z3412" s="2" t="n">
        <x:f>SUBTOTAL(103,A3412)</x:f>
        <x:v>1</x:v>
      </x:c>
      <x:c r="AA3412" s="2" t="str">
        <x:f>IF(K3412&lt;&gt;"미종결 표시","대상 아님",IF(N3412="","신청일 확인",IF(NOT(ISNUMBER('종합 현황'!$H$5)),"관찰기준 확인",IF('종합 현황'!$H$5&lt;1,"관찰기준 확인",IF(N3412&gt;'종합 현황'!$H$5,"내부 관찰 대상","내부 관찰일 이하")))))</x:f>
        <x:v>대상 아님</x:v>
      </x:c>
      <x:c r="AB3412" s="2"/>
    </x:row>
    <x:row r="3413" ht="42" customHeight="1">
      <x:c r="A3413" s="2" t="str">
        <x:v>36af749aaaccdbf9c83f5202</x:v>
      </x:c>
      <x:c r="B3413" s="2" t="str">
        <x:v>인증 비공개 신청</x:v>
      </x:c>
      <x:c r="C3413" s="2" t="str">
        <x:v>국외</x:v>
      </x:c>
      <x:c r="D3413" s="7" t="str">
        <x:v>안전한 식수 공급을 위한 정수기 보급 사업 : CPA 50(한국 지원)</x:v>
      </x:c>
      <x:c r="E3413" s="2" t="str">
        <x:v>63</x:v>
      </x:c>
      <x:c r="F3413" s="2" t="str">
        <x:v>2022-09-06</x:v>
      </x:c>
      <x:c r="G3413" s="2" t="str">
        <x:v>2022</x:v>
      </x:c>
      <x:c r="H3413" s="2" t="str">
        <x:v>09</x:v>
      </x:c>
      <x:c r="I3413" s="2" t="str">
        <x:v>반려</x:v>
      </x:c>
      <x:c r="J3413" s="2" t="str">
        <x:v>반려완료</x:v>
      </x:c>
      <x:c r="K3413" s="2" t="str">
        <x:f>IF(OR(J3413="심의승인",J3413="반려",J3413="반려완료",J3413="심의완료"),"종결 표시",IF(OR(J3413="기후부협의",J3413="문서재제출요청",J3413="보류",J3413="보완요청",J3413="보완완료",J3413="평가중",J3413="반려요청",J3413="평가필요",LEFT(J3413,5)="보완요청("),"미종결 표시","상태 확인 필요"))</x:f>
        <x:v>종결 표시</x:v>
      </x:c>
      <x:c r="L3413" s="2" t="str">
        <x:v>KECM_임하진</x:v>
      </x:c>
      <x:c r="M3413" s="2"/>
      <x:c r="N3413" s="8" t="n">
        <x:f>DATE(2026,10,15)-DATE(2022,9,6)</x:f>
        <x:v>1500</x:v>
      </x:c>
      <x:c r="O3413" s="2"/>
      <x:c r="P3413" s="2" t="str">
        <x:v>모니터링보고서 및 검증보고서 내 보안유지 필요부분 구체화 필요</x:v>
      </x:c>
      <x:c r="Q3413" s="2" t="str">
        <x:v>산업전환 외부사업 정보비공개 신청 관리 Tool_260707_LJY_261013.xlsx</x:v>
      </x:c>
      <x:c r="R3413" s="2" t="str">
        <x:v>(비공개)국외인증</x:v>
      </x:c>
      <x:c r="S3413" s="8" t="n">
        <x:v>64</x:v>
      </x:c>
      <x:c r="T3413" s="2"/>
      <x:c r="U3413" s="2" t="str"/>
      <x:c r="V3413" s="2" t="str">
        <x:v>2022-09-14</x:v>
      </x:c>
      <x:c r="W3413" s="2" t="str"/>
      <x:c r="X3413" s="2" t="str">
        <x:v>종결 근거 보관</x:v>
      </x:c>
      <x:c r="Y3413" s="2" t="str">
        <x:v>22df6d619b696c1eba8e26790f6382083d9fb1bc48481283e3e8a92ea6897677</x:v>
      </x:c>
      <x:c r="Z3413" s="2" t="n">
        <x:f>SUBTOTAL(103,A3413)</x:f>
        <x:v>1</x:v>
      </x:c>
      <x:c r="AA3413" s="2" t="str">
        <x:f>IF(K3413&lt;&gt;"미종결 표시","대상 아님",IF(N3413="","신청일 확인",IF(NOT(ISNUMBER('종합 현황'!$H$5)),"관찰기준 확인",IF('종합 현황'!$H$5&lt;1,"관찰기준 확인",IF(N3413&gt;'종합 현황'!$H$5,"내부 관찰 대상","내부 관찰일 이하")))))</x:f>
        <x:v>대상 아님</x:v>
      </x:c>
      <x:c r="AB3413" s="2"/>
    </x:row>
    <x:row r="3414" ht="42" customHeight="1">
      <x:c r="A3414" s="2" t="str">
        <x:v>5a5f4fb99c5a7d8e3c48ea5d</x:v>
      </x:c>
      <x:c r="B3414" s="2" t="str">
        <x:v>인증 비공개 신청</x:v>
      </x:c>
      <x:c r="C3414" s="2" t="str">
        <x:v>국외</x:v>
      </x:c>
      <x:c r="D3414" s="7" t="str">
        <x:v>안전한 식수 공급을 위한 정수기 보급 사업 : CPA 49(한국 지원)</x:v>
      </x:c>
      <x:c r="E3414" s="2" t="str">
        <x:v>64</x:v>
      </x:c>
      <x:c r="F3414" s="2" t="str">
        <x:v>2022-09-06</x:v>
      </x:c>
      <x:c r="G3414" s="2" t="str">
        <x:v>2022</x:v>
      </x:c>
      <x:c r="H3414" s="2" t="str">
        <x:v>09</x:v>
      </x:c>
      <x:c r="I3414" s="2" t="str">
        <x:v>반려</x:v>
      </x:c>
      <x:c r="J3414" s="2" t="str">
        <x:v>반려완료</x:v>
      </x:c>
      <x:c r="K3414" s="2" t="str">
        <x:f>IF(OR(J3414="심의승인",J3414="반려",J3414="반려완료",J3414="심의완료"),"종결 표시",IF(OR(J3414="기후부협의",J3414="문서재제출요청",J3414="보류",J3414="보완요청",J3414="보완완료",J3414="평가중",J3414="반려요청",J3414="평가필요",LEFT(J3414,5)="보완요청("),"미종결 표시","상태 확인 필요"))</x:f>
        <x:v>종결 표시</x:v>
      </x:c>
      <x:c r="L3414" s="2" t="str">
        <x:v>KECM_임하진</x:v>
      </x:c>
      <x:c r="M3414" s="2"/>
      <x:c r="N3414" s="8" t="n">
        <x:f>DATE(2026,10,15)-DATE(2022,9,6)</x:f>
        <x:v>1500</x:v>
      </x:c>
      <x:c r="O3414" s="2"/>
      <x:c r="P3414" s="2" t="str">
        <x:v>모니터링보고서 및 검증보고서 내 보안유지 필요부분 구체화 필요</x:v>
      </x:c>
      <x:c r="Q3414" s="2" t="str">
        <x:v>산업전환 외부사업 정보비공개 신청 관리 Tool_260707_LJY_261013.xlsx</x:v>
      </x:c>
      <x:c r="R3414" s="2" t="str">
        <x:v>(비공개)국외인증</x:v>
      </x:c>
      <x:c r="S3414" s="8" t="n">
        <x:v>65</x:v>
      </x:c>
      <x:c r="T3414" s="2"/>
      <x:c r="U3414" s="2" t="str"/>
      <x:c r="V3414" s="2" t="str">
        <x:v>2022-09-14</x:v>
      </x:c>
      <x:c r="W3414" s="2" t="str"/>
      <x:c r="X3414" s="2" t="str">
        <x:v>종결 근거 보관</x:v>
      </x:c>
      <x:c r="Y3414" s="2" t="str">
        <x:v>22df6d619b696c1eba8e26790f6382083d9fb1bc48481283e3e8a92ea6897677</x:v>
      </x:c>
      <x:c r="Z3414" s="2" t="n">
        <x:f>SUBTOTAL(103,A3414)</x:f>
        <x:v>1</x:v>
      </x:c>
      <x:c r="AA3414" s="2" t="str">
        <x:f>IF(K3414&lt;&gt;"미종결 표시","대상 아님",IF(N3414="","신청일 확인",IF(NOT(ISNUMBER('종합 현황'!$H$5)),"관찰기준 확인",IF('종합 현황'!$H$5&lt;1,"관찰기준 확인",IF(N3414&gt;'종합 현황'!$H$5,"내부 관찰 대상","내부 관찰일 이하")))))</x:f>
        <x:v>대상 아님</x:v>
      </x:c>
      <x:c r="AB3414" s="2"/>
    </x:row>
    <x:row r="3415" ht="42" customHeight="1">
      <x:c r="A3415" s="2" t="str">
        <x:v>751709c5e25274eb2dacf163</x:v>
      </x:c>
      <x:c r="B3415" s="2" t="str">
        <x:v>인증 비공개 신청</x:v>
      </x:c>
      <x:c r="C3415" s="2" t="str">
        <x:v>국외</x:v>
      </x:c>
      <x:c r="D3415" s="7" t="str">
        <x:v>안전한 식수 공급을 위한 정수기 보급 사업 : CPA 48(한국 지원)</x:v>
      </x:c>
      <x:c r="E3415" s="2" t="str">
        <x:v>65</x:v>
      </x:c>
      <x:c r="F3415" s="2" t="str">
        <x:v>2022-09-06</x:v>
      </x:c>
      <x:c r="G3415" s="2" t="str">
        <x:v>2022</x:v>
      </x:c>
      <x:c r="H3415" s="2" t="str">
        <x:v>09</x:v>
      </x:c>
      <x:c r="I3415" s="2" t="str">
        <x:v>반려</x:v>
      </x:c>
      <x:c r="J3415" s="2" t="str">
        <x:v>반려완료</x:v>
      </x:c>
      <x:c r="K3415" s="2" t="str">
        <x:f>IF(OR(J3415="심의승인",J3415="반려",J3415="반려완료",J3415="심의완료"),"종결 표시",IF(OR(J3415="기후부협의",J3415="문서재제출요청",J3415="보류",J3415="보완요청",J3415="보완완료",J3415="평가중",J3415="반려요청",J3415="평가필요",LEFT(J3415,5)="보완요청("),"미종결 표시","상태 확인 필요"))</x:f>
        <x:v>종결 표시</x:v>
      </x:c>
      <x:c r="L3415" s="2" t="str">
        <x:v>KECM_임하진</x:v>
      </x:c>
      <x:c r="M3415" s="2"/>
      <x:c r="N3415" s="8" t="n">
        <x:f>DATE(2026,10,15)-DATE(2022,9,6)</x:f>
        <x:v>1500</x:v>
      </x:c>
      <x:c r="O3415" s="2"/>
      <x:c r="P3415" s="2" t="str">
        <x:v>모니터링보고서 및 검증보고서 내 보안유지 필요부분 구체화 필요</x:v>
      </x:c>
      <x:c r="Q3415" s="2" t="str">
        <x:v>산업전환 외부사업 정보비공개 신청 관리 Tool_260707_LJY_261013.xlsx</x:v>
      </x:c>
      <x:c r="R3415" s="2" t="str">
        <x:v>(비공개)국외인증</x:v>
      </x:c>
      <x:c r="S3415" s="8" t="n">
        <x:v>66</x:v>
      </x:c>
      <x:c r="T3415" s="2"/>
      <x:c r="U3415" s="2" t="str"/>
      <x:c r="V3415" s="2" t="str">
        <x:v>2022-09-14</x:v>
      </x:c>
      <x:c r="W3415" s="2" t="str"/>
      <x:c r="X3415" s="2" t="str">
        <x:v>종결 근거 보관</x:v>
      </x:c>
      <x:c r="Y3415" s="2" t="str">
        <x:v>22df6d619b696c1eba8e26790f6382083d9fb1bc48481283e3e8a92ea6897677</x:v>
      </x:c>
      <x:c r="Z3415" s="2" t="n">
        <x:f>SUBTOTAL(103,A3415)</x:f>
        <x:v>1</x:v>
      </x:c>
      <x:c r="AA3415" s="2" t="str">
        <x:f>IF(K3415&lt;&gt;"미종결 표시","대상 아님",IF(N3415="","신청일 확인",IF(NOT(ISNUMBER('종합 현황'!$H$5)),"관찰기준 확인",IF('종합 현황'!$H$5&lt;1,"관찰기준 확인",IF(N3415&gt;'종합 현황'!$H$5,"내부 관찰 대상","내부 관찰일 이하")))))</x:f>
        <x:v>대상 아님</x:v>
      </x:c>
      <x:c r="AB3415" s="2"/>
    </x:row>
    <x:row r="3416" ht="42" customHeight="1">
      <x:c r="A3416" s="2" t="str">
        <x:v>d2290f91744e71008af5ad19</x:v>
      </x:c>
      <x:c r="B3416" s="2" t="str">
        <x:v>인증 비공개 신청</x:v>
      </x:c>
      <x:c r="C3416" s="2" t="str">
        <x:v>국외</x:v>
      </x:c>
      <x:c r="D3416" s="7" t="str">
        <x:v>안전한 식수 공급을 위한 정수기 보급 사업 : CPA 47(한국 지원)</x:v>
      </x:c>
      <x:c r="E3416" s="2" t="str">
        <x:v>66</x:v>
      </x:c>
      <x:c r="F3416" s="2" t="str">
        <x:v>2022-09-06</x:v>
      </x:c>
      <x:c r="G3416" s="2" t="str">
        <x:v>2022</x:v>
      </x:c>
      <x:c r="H3416" s="2" t="str">
        <x:v>09</x:v>
      </x:c>
      <x:c r="I3416" s="2" t="str">
        <x:v>반려</x:v>
      </x:c>
      <x:c r="J3416" s="2" t="str">
        <x:v>반려완료</x:v>
      </x:c>
      <x:c r="K3416" s="2" t="str">
        <x:f>IF(OR(J3416="심의승인",J3416="반려",J3416="반려완료",J3416="심의완료"),"종결 표시",IF(OR(J3416="기후부협의",J3416="문서재제출요청",J3416="보류",J3416="보완요청",J3416="보완완료",J3416="평가중",J3416="반려요청",J3416="평가필요",LEFT(J3416,5)="보완요청("),"미종결 표시","상태 확인 필요"))</x:f>
        <x:v>종결 표시</x:v>
      </x:c>
      <x:c r="L3416" s="2" t="str">
        <x:v>KECM_임하진</x:v>
      </x:c>
      <x:c r="M3416" s="2"/>
      <x:c r="N3416" s="8" t="n">
        <x:f>DATE(2026,10,15)-DATE(2022,9,6)</x:f>
        <x:v>1500</x:v>
      </x:c>
      <x:c r="O3416" s="2"/>
      <x:c r="P3416" s="2" t="str">
        <x:v>모니터링보고서 및 검증보고서 내 보안유지 필요부분 구체화 필요</x:v>
      </x:c>
      <x:c r="Q3416" s="2" t="str">
        <x:v>산업전환 외부사업 정보비공개 신청 관리 Tool_260707_LJY_261013.xlsx</x:v>
      </x:c>
      <x:c r="R3416" s="2" t="str">
        <x:v>(비공개)국외인증</x:v>
      </x:c>
      <x:c r="S3416" s="8" t="n">
        <x:v>67</x:v>
      </x:c>
      <x:c r="T3416" s="2"/>
      <x:c r="U3416" s="2" t="str"/>
      <x:c r="V3416" s="2" t="str">
        <x:v>2022-09-14</x:v>
      </x:c>
      <x:c r="W3416" s="2" t="str"/>
      <x:c r="X3416" s="2" t="str">
        <x:v>종결 근거 보관</x:v>
      </x:c>
      <x:c r="Y3416" s="2" t="str">
        <x:v>22df6d619b696c1eba8e26790f6382083d9fb1bc48481283e3e8a92ea6897677</x:v>
      </x:c>
      <x:c r="Z3416" s="2" t="n">
        <x:f>SUBTOTAL(103,A3416)</x:f>
        <x:v>1</x:v>
      </x:c>
      <x:c r="AA3416" s="2" t="str">
        <x:f>IF(K3416&lt;&gt;"미종결 표시","대상 아님",IF(N3416="","신청일 확인",IF(NOT(ISNUMBER('종합 현황'!$H$5)),"관찰기준 확인",IF('종합 현황'!$H$5&lt;1,"관찰기준 확인",IF(N3416&gt;'종합 현황'!$H$5,"내부 관찰 대상","내부 관찰일 이하")))))</x:f>
        <x:v>대상 아님</x:v>
      </x:c>
      <x:c r="AB3416" s="2"/>
    </x:row>
    <x:row r="3417" ht="42" customHeight="1">
      <x:c r="A3417" s="2" t="str">
        <x:v>a5aad1fe7cc707e23dd0455c</x:v>
      </x:c>
      <x:c r="B3417" s="2" t="str">
        <x:v>인증 비공개 신청</x:v>
      </x:c>
      <x:c r="C3417" s="2" t="str">
        <x:v>국외</x:v>
      </x:c>
      <x:c r="D3417" s="7" t="str">
        <x:v>안전한 식수 공급을 위한 정수기 보급 사업 : CPA 46(한국 지원)</x:v>
      </x:c>
      <x:c r="E3417" s="2" t="str">
        <x:v>67</x:v>
      </x:c>
      <x:c r="F3417" s="2" t="str">
        <x:v>2022-09-06</x:v>
      </x:c>
      <x:c r="G3417" s="2" t="str">
        <x:v>2022</x:v>
      </x:c>
      <x:c r="H3417" s="2" t="str">
        <x:v>09</x:v>
      </x:c>
      <x:c r="I3417" s="2" t="str">
        <x:v>반려</x:v>
      </x:c>
      <x:c r="J3417" s="2" t="str">
        <x:v>반려완료</x:v>
      </x:c>
      <x:c r="K3417" s="2" t="str">
        <x:f>IF(OR(J3417="심의승인",J3417="반려",J3417="반려완료",J3417="심의완료"),"종결 표시",IF(OR(J3417="기후부협의",J3417="문서재제출요청",J3417="보류",J3417="보완요청",J3417="보완완료",J3417="평가중",J3417="반려요청",J3417="평가필요",LEFT(J3417,5)="보완요청("),"미종결 표시","상태 확인 필요"))</x:f>
        <x:v>종결 표시</x:v>
      </x:c>
      <x:c r="L3417" s="2" t="str">
        <x:v>KECM_임하진</x:v>
      </x:c>
      <x:c r="M3417" s="2"/>
      <x:c r="N3417" s="8" t="n">
        <x:f>DATE(2026,10,15)-DATE(2022,9,6)</x:f>
        <x:v>1500</x:v>
      </x:c>
      <x:c r="O3417" s="2"/>
      <x:c r="P3417" s="2" t="str">
        <x:v>모니터링보고서 및 검증보고서 내 보안유지 필요부분 구체화 필요</x:v>
      </x:c>
      <x:c r="Q3417" s="2" t="str">
        <x:v>산업전환 외부사업 정보비공개 신청 관리 Tool_260707_LJY_261013.xlsx</x:v>
      </x:c>
      <x:c r="R3417" s="2" t="str">
        <x:v>(비공개)국외인증</x:v>
      </x:c>
      <x:c r="S3417" s="8" t="n">
        <x:v>68</x:v>
      </x:c>
      <x:c r="T3417" s="2"/>
      <x:c r="U3417" s="2" t="str"/>
      <x:c r="V3417" s="2" t="str">
        <x:v>2022-09-14</x:v>
      </x:c>
      <x:c r="W3417" s="2" t="str"/>
      <x:c r="X3417" s="2" t="str">
        <x:v>종결 근거 보관</x:v>
      </x:c>
      <x:c r="Y3417" s="2" t="str">
        <x:v>22df6d619b696c1eba8e26790f6382083d9fb1bc48481283e3e8a92ea6897677</x:v>
      </x:c>
      <x:c r="Z3417" s="2" t="n">
        <x:f>SUBTOTAL(103,A3417)</x:f>
        <x:v>1</x:v>
      </x:c>
      <x:c r="AA3417" s="2" t="str">
        <x:f>IF(K3417&lt;&gt;"미종결 표시","대상 아님",IF(N3417="","신청일 확인",IF(NOT(ISNUMBER('종합 현황'!$H$5)),"관찰기준 확인",IF('종합 현황'!$H$5&lt;1,"관찰기준 확인",IF(N3417&gt;'종합 현황'!$H$5,"내부 관찰 대상","내부 관찰일 이하")))))</x:f>
        <x:v>대상 아님</x:v>
      </x:c>
      <x:c r="AB3417" s="2"/>
    </x:row>
    <x:row r="3418" ht="42" customHeight="1">
      <x:c r="A3418" s="2" t="str">
        <x:v>f1f100aed545bad3b51359e9</x:v>
      </x:c>
      <x:c r="B3418" s="2" t="str">
        <x:v>인증 비공개 신청</x:v>
      </x:c>
      <x:c r="C3418" s="2" t="str">
        <x:v>국외</x:v>
      </x:c>
      <x:c r="D3418" s="7" t="str">
        <x:v>안전한 식수 공급을 위한 정수기 보급 사업 : CPA 45(한국 지원)</x:v>
      </x:c>
      <x:c r="E3418" s="2" t="str">
        <x:v>68</x:v>
      </x:c>
      <x:c r="F3418" s="2" t="str">
        <x:v>2022-09-06</x:v>
      </x:c>
      <x:c r="G3418" s="2" t="str">
        <x:v>2022</x:v>
      </x:c>
      <x:c r="H3418" s="2" t="str">
        <x:v>09</x:v>
      </x:c>
      <x:c r="I3418" s="2" t="str">
        <x:v>반려</x:v>
      </x:c>
      <x:c r="J3418" s="2" t="str">
        <x:v>반려완료</x:v>
      </x:c>
      <x:c r="K3418" s="2" t="str">
        <x:f>IF(OR(J3418="심의승인",J3418="반려",J3418="반려완료",J3418="심의완료"),"종결 표시",IF(OR(J3418="기후부협의",J3418="문서재제출요청",J3418="보류",J3418="보완요청",J3418="보완완료",J3418="평가중",J3418="반려요청",J3418="평가필요",LEFT(J3418,5)="보완요청("),"미종결 표시","상태 확인 필요"))</x:f>
        <x:v>종결 표시</x:v>
      </x:c>
      <x:c r="L3418" s="2" t="str">
        <x:v>KECM_임하진</x:v>
      </x:c>
      <x:c r="M3418" s="2"/>
      <x:c r="N3418" s="8" t="n">
        <x:f>DATE(2026,10,15)-DATE(2022,9,6)</x:f>
        <x:v>1500</x:v>
      </x:c>
      <x:c r="O3418" s="2"/>
      <x:c r="P3418" s="2" t="str">
        <x:v>모니터링보고서 및 검증보고서 내 보안유지 필요부분 구체화 필요</x:v>
      </x:c>
      <x:c r="Q3418" s="2" t="str">
        <x:v>산업전환 외부사업 정보비공개 신청 관리 Tool_260707_LJY_261013.xlsx</x:v>
      </x:c>
      <x:c r="R3418" s="2" t="str">
        <x:v>(비공개)국외인증</x:v>
      </x:c>
      <x:c r="S3418" s="8" t="n">
        <x:v>69</x:v>
      </x:c>
      <x:c r="T3418" s="2"/>
      <x:c r="U3418" s="2" t="str"/>
      <x:c r="V3418" s="2" t="str">
        <x:v>2022-09-14</x:v>
      </x:c>
      <x:c r="W3418" s="2" t="str"/>
      <x:c r="X3418" s="2" t="str">
        <x:v>종결 근거 보관</x:v>
      </x:c>
      <x:c r="Y3418" s="2" t="str">
        <x:v>22df6d619b696c1eba8e26790f6382083d9fb1bc48481283e3e8a92ea6897677</x:v>
      </x:c>
      <x:c r="Z3418" s="2" t="n">
        <x:f>SUBTOTAL(103,A3418)</x:f>
        <x:v>1</x:v>
      </x:c>
      <x:c r="AA3418" s="2" t="str">
        <x:f>IF(K3418&lt;&gt;"미종결 표시","대상 아님",IF(N3418="","신청일 확인",IF(NOT(ISNUMBER('종합 현황'!$H$5)),"관찰기준 확인",IF('종합 현황'!$H$5&lt;1,"관찰기준 확인",IF(N3418&gt;'종합 현황'!$H$5,"내부 관찰 대상","내부 관찰일 이하")))))</x:f>
        <x:v>대상 아님</x:v>
      </x:c>
      <x:c r="AB3418" s="2"/>
    </x:row>
    <x:row r="3419" ht="42" customHeight="1">
      <x:c r="A3419" s="2" t="str">
        <x:v>d21d60b58321caba15cbc028</x:v>
      </x:c>
      <x:c r="B3419" s="2" t="str">
        <x:v>인증 비공개 신청</x:v>
      </x:c>
      <x:c r="C3419" s="2" t="str">
        <x:v>국외</x:v>
      </x:c>
      <x:c r="D3419" s="7" t="str">
        <x:v>안전한 식수 공급을 위한 정수기 보급 사업 : CPA 44(한국 지원)</x:v>
      </x:c>
      <x:c r="E3419" s="2" t="str">
        <x:v>69</x:v>
      </x:c>
      <x:c r="F3419" s="2" t="str">
        <x:v>2022-09-06</x:v>
      </x:c>
      <x:c r="G3419" s="2" t="str">
        <x:v>2022</x:v>
      </x:c>
      <x:c r="H3419" s="2" t="str">
        <x:v>09</x:v>
      </x:c>
      <x:c r="I3419" s="2" t="str">
        <x:v>반려</x:v>
      </x:c>
      <x:c r="J3419" s="2" t="str">
        <x:v>반려완료</x:v>
      </x:c>
      <x:c r="K3419" s="2" t="str">
        <x:f>IF(OR(J3419="심의승인",J3419="반려",J3419="반려완료",J3419="심의완료"),"종결 표시",IF(OR(J3419="기후부협의",J3419="문서재제출요청",J3419="보류",J3419="보완요청",J3419="보완완료",J3419="평가중",J3419="반려요청",J3419="평가필요",LEFT(J3419,5)="보완요청("),"미종결 표시","상태 확인 필요"))</x:f>
        <x:v>종결 표시</x:v>
      </x:c>
      <x:c r="L3419" s="2" t="str">
        <x:v>KECM_임하진</x:v>
      </x:c>
      <x:c r="M3419" s="2"/>
      <x:c r="N3419" s="8" t="n">
        <x:f>DATE(2026,10,15)-DATE(2022,9,6)</x:f>
        <x:v>1500</x:v>
      </x:c>
      <x:c r="O3419" s="2"/>
      <x:c r="P3419" s="2" t="str">
        <x:v>모니터링보고서 및 검증보고서 내 보안유지 필요부분 구체화 필요</x:v>
      </x:c>
      <x:c r="Q3419" s="2" t="str">
        <x:v>산업전환 외부사업 정보비공개 신청 관리 Tool_260707_LJY_261013.xlsx</x:v>
      </x:c>
      <x:c r="R3419" s="2" t="str">
        <x:v>(비공개)국외인증</x:v>
      </x:c>
      <x:c r="S3419" s="8" t="n">
        <x:v>70</x:v>
      </x:c>
      <x:c r="T3419" s="2"/>
      <x:c r="U3419" s="2" t="str"/>
      <x:c r="V3419" s="2" t="str">
        <x:v>2022-09-14</x:v>
      </x:c>
      <x:c r="W3419" s="2" t="str"/>
      <x:c r="X3419" s="2" t="str">
        <x:v>종결 근거 보관</x:v>
      </x:c>
      <x:c r="Y3419" s="2" t="str">
        <x:v>22df6d619b696c1eba8e26790f6382083d9fb1bc48481283e3e8a92ea6897677</x:v>
      </x:c>
      <x:c r="Z3419" s="2" t="n">
        <x:f>SUBTOTAL(103,A3419)</x:f>
        <x:v>1</x:v>
      </x:c>
      <x:c r="AA3419" s="2" t="str">
        <x:f>IF(K3419&lt;&gt;"미종결 표시","대상 아님",IF(N3419="","신청일 확인",IF(NOT(ISNUMBER('종합 현황'!$H$5)),"관찰기준 확인",IF('종합 현황'!$H$5&lt;1,"관찰기준 확인",IF(N3419&gt;'종합 현황'!$H$5,"내부 관찰 대상","내부 관찰일 이하")))))</x:f>
        <x:v>대상 아님</x:v>
      </x:c>
      <x:c r="AB3419" s="2"/>
    </x:row>
    <x:row r="3420" ht="42" customHeight="1">
      <x:c r="A3420" s="2" t="str">
        <x:v>89e38ba5fca88623020bfebe</x:v>
      </x:c>
      <x:c r="B3420" s="2" t="str">
        <x:v>인증 비공개 신청</x:v>
      </x:c>
      <x:c r="C3420" s="2" t="str">
        <x:v>국외</x:v>
      </x:c>
      <x:c r="D3420" s="7" t="str">
        <x:v>안전한 식수 공급을 위한 정수기 보급 사업 : CPA 43(한국 지원)</x:v>
      </x:c>
      <x:c r="E3420" s="2" t="str">
        <x:v>70</x:v>
      </x:c>
      <x:c r="F3420" s="2" t="str">
        <x:v>2022-09-06</x:v>
      </x:c>
      <x:c r="G3420" s="2" t="str">
        <x:v>2022</x:v>
      </x:c>
      <x:c r="H3420" s="2" t="str">
        <x:v>09</x:v>
      </x:c>
      <x:c r="I3420" s="2" t="str">
        <x:v>반려</x:v>
      </x:c>
      <x:c r="J3420" s="2" t="str">
        <x:v>반려완료</x:v>
      </x:c>
      <x:c r="K3420" s="2" t="str">
        <x:f>IF(OR(J3420="심의승인",J3420="반려",J3420="반려완료",J3420="심의완료"),"종결 표시",IF(OR(J3420="기후부협의",J3420="문서재제출요청",J3420="보류",J3420="보완요청",J3420="보완완료",J3420="평가중",J3420="반려요청",J3420="평가필요",LEFT(J3420,5)="보완요청("),"미종결 표시","상태 확인 필요"))</x:f>
        <x:v>종결 표시</x:v>
      </x:c>
      <x:c r="L3420" s="2" t="str">
        <x:v>KECM_임하진</x:v>
      </x:c>
      <x:c r="M3420" s="2"/>
      <x:c r="N3420" s="8" t="n">
        <x:f>DATE(2026,10,15)-DATE(2022,9,6)</x:f>
        <x:v>1500</x:v>
      </x:c>
      <x:c r="O3420" s="2"/>
      <x:c r="P3420" s="2" t="str">
        <x:v>모니터링보고서 및 검증보고서 내 보안유지 필요부분 구체화 필요</x:v>
      </x:c>
      <x:c r="Q3420" s="2" t="str">
        <x:v>산업전환 외부사업 정보비공개 신청 관리 Tool_260707_LJY_261013.xlsx</x:v>
      </x:c>
      <x:c r="R3420" s="2" t="str">
        <x:v>(비공개)국외인증</x:v>
      </x:c>
      <x:c r="S3420" s="8" t="n">
        <x:v>71</x:v>
      </x:c>
      <x:c r="T3420" s="2"/>
      <x:c r="U3420" s="2" t="str"/>
      <x:c r="V3420" s="2" t="str">
        <x:v>2022-09-14</x:v>
      </x:c>
      <x:c r="W3420" s="2" t="str"/>
      <x:c r="X3420" s="2" t="str">
        <x:v>종결 근거 보관</x:v>
      </x:c>
      <x:c r="Y3420" s="2" t="str">
        <x:v>22df6d619b696c1eba8e26790f6382083d9fb1bc48481283e3e8a92ea6897677</x:v>
      </x:c>
      <x:c r="Z3420" s="2" t="n">
        <x:f>SUBTOTAL(103,A3420)</x:f>
        <x:v>1</x:v>
      </x:c>
      <x:c r="AA3420" s="2" t="str">
        <x:f>IF(K3420&lt;&gt;"미종결 표시","대상 아님",IF(N3420="","신청일 확인",IF(NOT(ISNUMBER('종합 현황'!$H$5)),"관찰기준 확인",IF('종합 현황'!$H$5&lt;1,"관찰기준 확인",IF(N3420&gt;'종합 현황'!$H$5,"내부 관찰 대상","내부 관찰일 이하")))))</x:f>
        <x:v>대상 아님</x:v>
      </x:c>
      <x:c r="AB3420" s="2"/>
    </x:row>
    <x:row r="3421" ht="42" customHeight="1">
      <x:c r="A3421" s="2" t="str">
        <x:v>b3273f18efd70e4305b147cd</x:v>
      </x:c>
      <x:c r="B3421" s="2" t="str">
        <x:v>인증 비공개 신청</x:v>
      </x:c>
      <x:c r="C3421" s="2" t="str">
        <x:v>국외</x:v>
      </x:c>
      <x:c r="D3421" s="7" t="str">
        <x:v>안전한 식수 공급을 위한 정수기 보급 사업 : CPA 42(한국 지원)</x:v>
      </x:c>
      <x:c r="E3421" s="2" t="str">
        <x:v>71</x:v>
      </x:c>
      <x:c r="F3421" s="2" t="str">
        <x:v>2021-05-20</x:v>
      </x:c>
      <x:c r="G3421" s="2" t="str">
        <x:v>2021</x:v>
      </x:c>
      <x:c r="H3421" s="2" t="str">
        <x:v>05</x:v>
      </x:c>
      <x:c r="I3421" s="2" t="str">
        <x:v>반려</x:v>
      </x:c>
      <x:c r="J3421" s="2" t="str">
        <x:v>선택</x:v>
      </x:c>
      <x:c r="K3421" s="2" t="str">
        <x:f>IF(OR(J3421="심의승인",J3421="반려",J3421="반려완료",J3421="심의완료"),"종결 표시",IF(OR(J3421="기후부협의",J3421="문서재제출요청",J3421="보류",J3421="보완요청",J3421="보완완료",J3421="평가중",J3421="반려요청",J3421="평가필요",LEFT(J3421,5)="보완요청("),"미종결 표시","상태 확인 필요"))</x:f>
        <x:v>상태 확인 필요</x:v>
      </x:c>
      <x:c r="L3421" s="2"/>
      <x:c r="M3421" s="2"/>
      <x:c r="N3421" s="8" t="n">
        <x:f>DATE(2026,10,15)-DATE(2021,5,20)</x:f>
        <x:v>1974</x:v>
      </x:c>
      <x:c r="O3421" s="2"/>
      <x:c r="P3421" s="2"/>
      <x:c r="Q3421" s="2" t="str">
        <x:v>산업전환 외부사업 정보비공개 신청 관리 Tool_260707_LJY_261013.xlsx</x:v>
      </x:c>
      <x:c r="R3421" s="2" t="str">
        <x:v>(비공개)국외인증</x:v>
      </x:c>
      <x:c r="S3421" s="8" t="n">
        <x:v>72</x:v>
      </x:c>
      <x:c r="T3421" s="2"/>
      <x:c r="U3421" s="2" t="str"/>
      <x:c r="V3421" s="2" t="str">
        <x:v>-</x:v>
      </x:c>
      <x:c r="W3421" s="2" t="str">
        <x:v>담당기관 확인 / 종결 여부 확인</x:v>
      </x:c>
      <x:c r="X3421" s="2" t="str">
        <x:v>원본·배정 기록 확인</x:v>
      </x:c>
      <x:c r="Y3421" s="2" t="str">
        <x:v>22df6d619b696c1eba8e26790f6382083d9fb1bc48481283e3e8a92ea6897677</x:v>
      </x:c>
      <x:c r="Z3421" s="2" t="n">
        <x:f>SUBTOTAL(103,A3421)</x:f>
        <x:v>1</x:v>
      </x:c>
      <x:c r="AA3421" s="2" t="str">
        <x:f>IF(K3421&lt;&gt;"미종결 표시","대상 아님",IF(N3421="","신청일 확인",IF(NOT(ISNUMBER('종합 현황'!$H$5)),"관찰기준 확인",IF('종합 현황'!$H$5&lt;1,"관찰기준 확인",IF(N3421&gt;'종합 현황'!$H$5,"내부 관찰 대상","내부 관찰일 이하")))))</x:f>
        <x:v>대상 아님</x:v>
      </x:c>
      <x:c r="AB3421" s="2"/>
    </x:row>
    <x:row r="3422" ht="42" customHeight="1">
      <x:c r="A3422" s="2" t="str">
        <x:v>40c96cdbb490a5f442d4adc6</x:v>
      </x:c>
      <x:c r="B3422" s="2" t="str">
        <x:v>인증 비공개 신청</x:v>
      </x:c>
      <x:c r="C3422" s="2" t="str">
        <x:v>국외</x:v>
      </x:c>
      <x:c r="D3422" s="7" t="str">
        <x:v>안전한 식수 공급을 위한 정수기 보급 사업 : CPA 41(한국 지원)</x:v>
      </x:c>
      <x:c r="E3422" s="2" t="str">
        <x:v>72</x:v>
      </x:c>
      <x:c r="F3422" s="2" t="str">
        <x:v>2021-05-20</x:v>
      </x:c>
      <x:c r="G3422" s="2" t="str">
        <x:v>2021</x:v>
      </x:c>
      <x:c r="H3422" s="2" t="str">
        <x:v>05</x:v>
      </x:c>
      <x:c r="I3422" s="2" t="str">
        <x:v>반려</x:v>
      </x:c>
      <x:c r="J3422" s="2" t="str">
        <x:v>선택</x:v>
      </x:c>
      <x:c r="K3422" s="2" t="str">
        <x:f>IF(OR(J3422="심의승인",J3422="반려",J3422="반려완료",J3422="심의완료"),"종결 표시",IF(OR(J3422="기후부협의",J3422="문서재제출요청",J3422="보류",J3422="보완요청",J3422="보완완료",J3422="평가중",J3422="반려요청",J3422="평가필요",LEFT(J3422,5)="보완요청("),"미종결 표시","상태 확인 필요"))</x:f>
        <x:v>상태 확인 필요</x:v>
      </x:c>
      <x:c r="L3422" s="2"/>
      <x:c r="M3422" s="2"/>
      <x:c r="N3422" s="8" t="n">
        <x:f>DATE(2026,10,15)-DATE(2021,5,20)</x:f>
        <x:v>1974</x:v>
      </x:c>
      <x:c r="O3422" s="2"/>
      <x:c r="P3422" s="2"/>
      <x:c r="Q3422" s="2" t="str">
        <x:v>산업전환 외부사업 정보비공개 신청 관리 Tool_260707_LJY_261013.xlsx</x:v>
      </x:c>
      <x:c r="R3422" s="2" t="str">
        <x:v>(비공개)국외인증</x:v>
      </x:c>
      <x:c r="S3422" s="8" t="n">
        <x:v>73</x:v>
      </x:c>
      <x:c r="T3422" s="2"/>
      <x:c r="U3422" s="2" t="str"/>
      <x:c r="V3422" s="2" t="str">
        <x:v>-</x:v>
      </x:c>
      <x:c r="W3422" s="2" t="str">
        <x:v>담당기관 확인 / 종결 여부 확인</x:v>
      </x:c>
      <x:c r="X3422" s="2" t="str">
        <x:v>원본·배정 기록 확인</x:v>
      </x:c>
      <x:c r="Y3422" s="2" t="str">
        <x:v>22df6d619b696c1eba8e26790f6382083d9fb1bc48481283e3e8a92ea6897677</x:v>
      </x:c>
      <x:c r="Z3422" s="2" t="n">
        <x:f>SUBTOTAL(103,A3422)</x:f>
        <x:v>1</x:v>
      </x:c>
      <x:c r="AA3422" s="2" t="str">
        <x:f>IF(K3422&lt;&gt;"미종결 표시","대상 아님",IF(N3422="","신청일 확인",IF(NOT(ISNUMBER('종합 현황'!$H$5)),"관찰기준 확인",IF('종합 현황'!$H$5&lt;1,"관찰기준 확인",IF(N3422&gt;'종합 현황'!$H$5,"내부 관찰 대상","내부 관찰일 이하")))))</x:f>
        <x:v>대상 아님</x:v>
      </x:c>
      <x:c r="AB3422" s="2"/>
    </x:row>
    <x:row r="3423" ht="42" customHeight="1">
      <x:c r="A3423" s="2" t="str">
        <x:v>b0bb75aeee68765d71e92973</x:v>
      </x:c>
      <x:c r="B3423" s="2" t="str">
        <x:v>인증 비공개 신청</x:v>
      </x:c>
      <x:c r="C3423" s="2" t="str">
        <x:v>국외</x:v>
      </x:c>
      <x:c r="D3423" s="7" t="str">
        <x:v>안전한 식수 공급을 위한 정수기 보급 사업 : CPA 40(한국 지원)</x:v>
      </x:c>
      <x:c r="E3423" s="2" t="str">
        <x:v>73</x:v>
      </x:c>
      <x:c r="F3423" s="2" t="str">
        <x:v>2021-05-20</x:v>
      </x:c>
      <x:c r="G3423" s="2" t="str">
        <x:v>2021</x:v>
      </x:c>
      <x:c r="H3423" s="2" t="str">
        <x:v>05</x:v>
      </x:c>
      <x:c r="I3423" s="2" t="str">
        <x:v>반려</x:v>
      </x:c>
      <x:c r="J3423" s="2" t="str">
        <x:v>선택</x:v>
      </x:c>
      <x:c r="K3423" s="2" t="str">
        <x:f>IF(OR(J3423="심의승인",J3423="반려",J3423="반려완료",J3423="심의완료"),"종결 표시",IF(OR(J3423="기후부협의",J3423="문서재제출요청",J3423="보류",J3423="보완요청",J3423="보완완료",J3423="평가중",J3423="반려요청",J3423="평가필요",LEFT(J3423,5)="보완요청("),"미종결 표시","상태 확인 필요"))</x:f>
        <x:v>상태 확인 필요</x:v>
      </x:c>
      <x:c r="L3423" s="2"/>
      <x:c r="M3423" s="2"/>
      <x:c r="N3423" s="8" t="n">
        <x:f>DATE(2026,10,15)-DATE(2021,5,20)</x:f>
        <x:v>1974</x:v>
      </x:c>
      <x:c r="O3423" s="2"/>
      <x:c r="P3423" s="2"/>
      <x:c r="Q3423" s="2" t="str">
        <x:v>산업전환 외부사업 정보비공개 신청 관리 Tool_260707_LJY_261013.xlsx</x:v>
      </x:c>
      <x:c r="R3423" s="2" t="str">
        <x:v>(비공개)국외인증</x:v>
      </x:c>
      <x:c r="S3423" s="8" t="n">
        <x:v>74</x:v>
      </x:c>
      <x:c r="T3423" s="2"/>
      <x:c r="U3423" s="2" t="str"/>
      <x:c r="V3423" s="2" t="str">
        <x:v>-</x:v>
      </x:c>
      <x:c r="W3423" s="2" t="str">
        <x:v>담당기관 확인 / 종결 여부 확인</x:v>
      </x:c>
      <x:c r="X3423" s="2" t="str">
        <x:v>원본·배정 기록 확인</x:v>
      </x:c>
      <x:c r="Y3423" s="2" t="str">
        <x:v>22df6d619b696c1eba8e26790f6382083d9fb1bc48481283e3e8a92ea6897677</x:v>
      </x:c>
      <x:c r="Z3423" s="2" t="n">
        <x:f>SUBTOTAL(103,A3423)</x:f>
        <x:v>1</x:v>
      </x:c>
      <x:c r="AA3423" s="2" t="str">
        <x:f>IF(K3423&lt;&gt;"미종결 표시","대상 아님",IF(N3423="","신청일 확인",IF(NOT(ISNUMBER('종합 현황'!$H$5)),"관찰기준 확인",IF('종합 현황'!$H$5&lt;1,"관찰기준 확인",IF(N3423&gt;'종합 현황'!$H$5,"내부 관찰 대상","내부 관찰일 이하")))))</x:f>
        <x:v>대상 아님</x:v>
      </x:c>
      <x:c r="AB3423" s="2"/>
    </x:row>
    <x:row r="3424" ht="42" customHeight="1">
      <x:c r="A3424" s="2" t="str">
        <x:v>a89180a85751bbd998e7f440</x:v>
      </x:c>
      <x:c r="B3424" s="2" t="str">
        <x:v>인증 비공개 신청</x:v>
      </x:c>
      <x:c r="C3424" s="2" t="str">
        <x:v>국외</x:v>
      </x:c>
      <x:c r="D3424" s="7" t="str">
        <x:v>안전한 식수 공급을 위한 정수기 보급 사업 : CPA 39(한국 지원)</x:v>
      </x:c>
      <x:c r="E3424" s="2" t="str">
        <x:v>74</x:v>
      </x:c>
      <x:c r="F3424" s="2" t="str">
        <x:v>2021-05-20</x:v>
      </x:c>
      <x:c r="G3424" s="2" t="str">
        <x:v>2021</x:v>
      </x:c>
      <x:c r="H3424" s="2" t="str">
        <x:v>05</x:v>
      </x:c>
      <x:c r="I3424" s="2" t="str">
        <x:v>반려</x:v>
      </x:c>
      <x:c r="J3424" s="2" t="str">
        <x:v>선택</x:v>
      </x:c>
      <x:c r="K3424" s="2" t="str">
        <x:f>IF(OR(J3424="심의승인",J3424="반려",J3424="반려완료",J3424="심의완료"),"종결 표시",IF(OR(J3424="기후부협의",J3424="문서재제출요청",J3424="보류",J3424="보완요청",J3424="보완완료",J3424="평가중",J3424="반려요청",J3424="평가필요",LEFT(J3424,5)="보완요청("),"미종결 표시","상태 확인 필요"))</x:f>
        <x:v>상태 확인 필요</x:v>
      </x:c>
      <x:c r="L3424" s="2"/>
      <x:c r="M3424" s="2"/>
      <x:c r="N3424" s="8" t="n">
        <x:f>DATE(2026,10,15)-DATE(2021,5,20)</x:f>
        <x:v>1974</x:v>
      </x:c>
      <x:c r="O3424" s="2"/>
      <x:c r="P3424" s="2"/>
      <x:c r="Q3424" s="2" t="str">
        <x:v>산업전환 외부사업 정보비공개 신청 관리 Tool_260707_LJY_261013.xlsx</x:v>
      </x:c>
      <x:c r="R3424" s="2" t="str">
        <x:v>(비공개)국외인증</x:v>
      </x:c>
      <x:c r="S3424" s="8" t="n">
        <x:v>75</x:v>
      </x:c>
      <x:c r="T3424" s="2"/>
      <x:c r="U3424" s="2" t="str"/>
      <x:c r="V3424" s="2" t="str">
        <x:v>-</x:v>
      </x:c>
      <x:c r="W3424" s="2" t="str">
        <x:v>담당기관 확인 / 종결 여부 확인</x:v>
      </x:c>
      <x:c r="X3424" s="2" t="str">
        <x:v>원본·배정 기록 확인</x:v>
      </x:c>
      <x:c r="Y3424" s="2" t="str">
        <x:v>22df6d619b696c1eba8e26790f6382083d9fb1bc48481283e3e8a92ea6897677</x:v>
      </x:c>
      <x:c r="Z3424" s="2" t="n">
        <x:f>SUBTOTAL(103,A3424)</x:f>
        <x:v>1</x:v>
      </x:c>
      <x:c r="AA3424" s="2" t="str">
        <x:f>IF(K3424&lt;&gt;"미종결 표시","대상 아님",IF(N3424="","신청일 확인",IF(NOT(ISNUMBER('종합 현황'!$H$5)),"관찰기준 확인",IF('종합 현황'!$H$5&lt;1,"관찰기준 확인",IF(N3424&gt;'종합 현황'!$H$5,"내부 관찰 대상","내부 관찰일 이하")))))</x:f>
        <x:v>대상 아님</x:v>
      </x:c>
      <x:c r="AB3424" s="2"/>
    </x:row>
    <x:row r="3425" ht="42" customHeight="1">
      <x:c r="A3425" s="2" t="str">
        <x:v>917ebca2e8a6b7844e74fc4d</x:v>
      </x:c>
      <x:c r="B3425" s="2" t="str">
        <x:v>인증 비공개 신청</x:v>
      </x:c>
      <x:c r="C3425" s="2" t="str">
        <x:v>국외</x:v>
      </x:c>
      <x:c r="D3425" s="7" t="str">
        <x:v>안전한 식수 공급을 위한 정수기 보급 사업 : CPA 38(한국 지원)</x:v>
      </x:c>
      <x:c r="E3425" s="2" t="str">
        <x:v>75</x:v>
      </x:c>
      <x:c r="F3425" s="2" t="str">
        <x:v>2021-05-20</x:v>
      </x:c>
      <x:c r="G3425" s="2" t="str">
        <x:v>2021</x:v>
      </x:c>
      <x:c r="H3425" s="2" t="str">
        <x:v>05</x:v>
      </x:c>
      <x:c r="I3425" s="2" t="str">
        <x:v>반려</x:v>
      </x:c>
      <x:c r="J3425" s="2" t="str">
        <x:v>선택</x:v>
      </x:c>
      <x:c r="K3425" s="2" t="str">
        <x:f>IF(OR(J3425="심의승인",J3425="반려",J3425="반려완료",J3425="심의완료"),"종결 표시",IF(OR(J3425="기후부협의",J3425="문서재제출요청",J3425="보류",J3425="보완요청",J3425="보완완료",J3425="평가중",J3425="반려요청",J3425="평가필요",LEFT(J3425,5)="보완요청("),"미종결 표시","상태 확인 필요"))</x:f>
        <x:v>상태 확인 필요</x:v>
      </x:c>
      <x:c r="L3425" s="2"/>
      <x:c r="M3425" s="2"/>
      <x:c r="N3425" s="8" t="n">
        <x:f>DATE(2026,10,15)-DATE(2021,5,20)</x:f>
        <x:v>1974</x:v>
      </x:c>
      <x:c r="O3425" s="2"/>
      <x:c r="P3425" s="2"/>
      <x:c r="Q3425" s="2" t="str">
        <x:v>산업전환 외부사업 정보비공개 신청 관리 Tool_260707_LJY_261013.xlsx</x:v>
      </x:c>
      <x:c r="R3425" s="2" t="str">
        <x:v>(비공개)국외인증</x:v>
      </x:c>
      <x:c r="S3425" s="8" t="n">
        <x:v>76</x:v>
      </x:c>
      <x:c r="T3425" s="2"/>
      <x:c r="U3425" s="2" t="str"/>
      <x:c r="V3425" s="2" t="str">
        <x:v>-</x:v>
      </x:c>
      <x:c r="W3425" s="2" t="str">
        <x:v>담당기관 확인 / 종결 여부 확인</x:v>
      </x:c>
      <x:c r="X3425" s="2" t="str">
        <x:v>원본·배정 기록 확인</x:v>
      </x:c>
      <x:c r="Y3425" s="2" t="str">
        <x:v>22df6d619b696c1eba8e26790f6382083d9fb1bc48481283e3e8a92ea6897677</x:v>
      </x:c>
      <x:c r="Z3425" s="2" t="n">
        <x:f>SUBTOTAL(103,A3425)</x:f>
        <x:v>1</x:v>
      </x:c>
      <x:c r="AA3425" s="2" t="str">
        <x:f>IF(K3425&lt;&gt;"미종결 표시","대상 아님",IF(N3425="","신청일 확인",IF(NOT(ISNUMBER('종합 현황'!$H$5)),"관찰기준 확인",IF('종합 현황'!$H$5&lt;1,"관찰기준 확인",IF(N3425&gt;'종합 현황'!$H$5,"내부 관찰 대상","내부 관찰일 이하")))))</x:f>
        <x:v>대상 아님</x:v>
      </x:c>
      <x:c r="AB3425" s="2"/>
    </x:row>
  </x:sheetData>
  <x:pageMargins left="0.7" right="0.7" top="0.75" bottom="0.75" header="0.3" footer="0.3"/>
  <x:tableParts count="1">
    <x:tablePart xmlns:r="http://schemas.openxmlformats.org/officeDocument/2006/relationships" r:id="R2a5440b5881a4d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6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진행·확인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2" t="str">
        <x:v>모든 신청연도의 미종결 표시·상태 확인 필요 행 · 최종 확인된 원본 기준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A4" s="2" t="str">
        <x:v>신청 후 경과 구간은 업무 점검용. 현장방문 공란은 미방문이 아닌 미확보입니다.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0" customHeight="1">
      <x:c r="A6" s="6" t="str">
        <x:v>업무</x:v>
      </x:c>
      <x:c r="B6" s="6" t="str">
        <x:v>신청명</x:v>
      </x:c>
      <x:c r="C6" s="6" t="str">
        <x:v>신청일 원문</x:v>
      </x:c>
      <x:c r="D6" s="6" t="str">
        <x:v>내부 단계</x:v>
      </x:c>
      <x:c r="E6" s="6" t="str">
        <x:v>담당기관·담당자</x:v>
      </x:c>
      <x:c r="F6" s="6" t="str">
        <x:v>보완차수</x:v>
      </x:c>
      <x:c r="G6" s="6" t="str">
        <x:v>경과일</x:v>
      </x:c>
      <x:c r="H6" s="6" t="str">
        <x:v>관찰 표시</x:v>
      </x:c>
      <x:c r="I6" s="6" t="str">
        <x:v>현장방문</x:v>
      </x:c>
      <x:c r="J6" s="6" t="str">
        <x:v>확인 항목</x:v>
      </x:c>
      <x:c r="K6" s="6" t="str">
        <x:v>후속 조치</x:v>
      </x:c>
      <x:c r="L6" s="6" t="str">
        <x:v>원본 시트</x:v>
      </x:c>
      <x:c r="M6" s="6" t="str">
        <x:v>원본 행</x:v>
      </x:c>
      <x:c r="N6" s="6" t="str">
        <x:v>경과 구간</x:v>
      </x:c>
      <x:c r="O6" s="6" t="str">
        <x:v>담당 원문 확인</x:v>
      </x:c>
      <x:c r="P6" s="6" t="str">
        <x:v>출처 행 ID</x:v>
      </x:c>
    </x:row>
    <x:row r="7" ht="42" customHeight="1">
      <x:c r="A7" s="2" t="str">
        <x:f>IF('신청 원장'!B19="","",'신청 원장'!B19)</x:f>
        <x:v>방법론 신청</x:v>
      </x:c>
      <x:c r="B7" s="7" t="str">
        <x:f>IF('신청 원장'!D19="","",'신청 원장'!D19)</x:f>
        <x:v>온실가스 다배출시설에서 배출되는 배기가스의 이산화탄소 포집 사업에 대한 방법론</x:v>
      </x:c>
      <x:c r="C7" s="2" t="str">
        <x:f>IF('신청 원장'!F19="","",'신청 원장'!F19)</x:f>
        <x:v>2018-03-15</x:v>
      </x:c>
      <x:c r="D7" s="2" t="str">
        <x:f>IF('신청 원장'!J19="","",'신청 원장'!J19)</x:f>
        <x:v>기후부협의</x:v>
      </x:c>
      <x:c r="E7" s="2" t="str">
        <x:f>IF('신청 원장'!L19="","",'신청 원장'!L19)</x:f>
        <x:v>한다솔</x:v>
      </x:c>
      <x:c r="F7" s="2" t="str">
        <x:f>IF('신청 원장'!M19="","",'신청 원장'!M19)</x:f>
      </x:c>
      <x:c r="G7" s="2" t="n">
        <x:f>IF('신청 원장'!N19="","",'신청 원장'!N19)</x:f>
        <x:v>3136</x:v>
      </x:c>
      <x:c r="H7" s="2" t="str">
        <x:f>IF('신청 원장'!AA19="","",'신청 원장'!AA19)</x:f>
        <x:v>내부 관찰 대상</x:v>
      </x:c>
      <x:c r="I7" s="2" t="str">
        <x:f>IF('신청 원장'!O19="","",'신청 원장'!O19)</x:f>
      </x:c>
      <x:c r="J7" s="2" t="str">
        <x:f>IF('신청 원장'!W19="","",'신청 원장'!W19)</x:f>
      </x:c>
      <x:c r="K7" s="2" t="str">
        <x:f>IF('신청 원장'!X19="","",'신청 원장'!X19)</x:f>
        <x:v>검토 진행 일정 확인</x:v>
      </x:c>
      <x:c r="L7" s="2" t="str">
        <x:f>IF('신청 원장'!R19="","",'신청 원장'!R19)</x:f>
        <x:v>방법론</x:v>
      </x:c>
      <x:c r="M7" s="2" t="n">
        <x:f>IF('신청 원장'!S19="","",'신청 원장'!S19)</x:f>
        <x:v>15</x:v>
      </x:c>
      <x:c r="N7" s="2" t="str">
        <x:f>IF('신청 원장'!K19&lt;&gt;"미종결 표시","종결 상태 확인",IF('신청 원장'!N19="","일자 확인 필요",IF('신청 원장'!N19&gt;365,"366일 이상",IF('신청 원장'!N19&gt;90,"91~365일",IF('신청 원장'!N19&gt;30,"31~90일","0~30일")))))</x:f>
        <x:v>366일 이상</x:v>
      </x:c>
      <x:c r="O7" s="2" t="str">
        <x:f>IF(OR('신청 원장'!L19="",'신청 원장'!L19="선택"),"담당 원문 확인","기재")</x:f>
        <x:v>기재</x:v>
      </x:c>
      <x:c r="P7" s="2" t="str">
        <x:f>IF('신청 원장'!A19="","",'신청 원장'!A19)</x:f>
        <x:v>f201613c487c89e7c61589c8</x:v>
      </x:c>
    </x:row>
    <x:row r="8" ht="42" customHeight="1">
      <x:c r="A8" s="2" t="str">
        <x:f>IF('신청 원장'!B33="","",'신청 원장'!B33)</x:f>
        <x:v>방법론 신청</x:v>
      </x:c>
      <x:c r="B8" s="7" t="str">
        <x:f>IF('신청 원장'!D33="","",'신청 원장'!D33)</x:f>
        <x:v>고효율 에너지 냉장고 생산 사업의 방법론</x:v>
      </x:c>
      <x:c r="C8" s="2" t="str">
        <x:f>IF('신청 원장'!F33="","",'신청 원장'!F33)</x:f>
        <x:v>2018-12-17</x:v>
      </x:c>
      <x:c r="D8" s="2" t="str">
        <x:f>IF('신청 원장'!J33="","",'신청 원장'!J33)</x:f>
        <x:v>문서재제출요청</x:v>
      </x:c>
      <x:c r="E8" s="2" t="str">
        <x:f>IF('신청 원장'!L33="","",'신청 원장'!L33)</x:f>
      </x:c>
      <x:c r="F8" s="2" t="str">
        <x:f>IF('신청 원장'!M33="","",'신청 원장'!M33)</x:f>
      </x:c>
      <x:c r="G8" s="2" t="n">
        <x:f>IF('신청 원장'!N33="","",'신청 원장'!N33)</x:f>
        <x:v>2859</x:v>
      </x:c>
      <x:c r="H8" s="2" t="str">
        <x:f>IF('신청 원장'!AA33="","",'신청 원장'!AA33)</x:f>
        <x:v>내부 관찰 대상</x:v>
      </x:c>
      <x:c r="I8" s="2" t="str">
        <x:f>IF('신청 원장'!O33="","",'신청 원장'!O33)</x:f>
      </x:c>
      <x:c r="J8" s="2" t="str">
        <x:f>IF('신청 원장'!W33="","",'신청 원장'!W33)</x:f>
        <x:v>담당기관 확인</x:v>
      </x:c>
      <x:c r="K8" s="2" t="str">
        <x:f>IF('신청 원장'!X33="","",'신청 원장'!X33)</x:f>
        <x:v>원본·배정 기록 확인</x:v>
      </x:c>
      <x:c r="L8" s="2" t="str">
        <x:f>IF('신청 원장'!R33="","",'신청 원장'!R33)</x:f>
        <x:v>방법론</x:v>
      </x:c>
      <x:c r="M8" s="2" t="n">
        <x:f>IF('신청 원장'!S33="","",'신청 원장'!S33)</x:f>
        <x:v>29</x:v>
      </x:c>
      <x:c r="N8" s="2" t="str">
        <x:f>IF('신청 원장'!K33&lt;&gt;"미종결 표시","종결 상태 확인",IF('신청 원장'!N33="","일자 확인 필요",IF('신청 원장'!N33&gt;365,"366일 이상",IF('신청 원장'!N33&gt;90,"91~365일",IF('신청 원장'!N33&gt;30,"31~90일","0~30일")))))</x:f>
        <x:v>366일 이상</x:v>
      </x:c>
      <x:c r="O8" s="2" t="str">
        <x:f>IF(OR('신청 원장'!L33="",'신청 원장'!L33="선택"),"담당 원문 확인","기재")</x:f>
        <x:v>담당 원문 확인</x:v>
      </x:c>
      <x:c r="P8" s="2" t="str">
        <x:f>IF('신청 원장'!A33="","",'신청 원장'!A33)</x:f>
        <x:v>a3530ea67e7742f76ce7904a</x:v>
      </x:c>
    </x:row>
    <x:row r="9" ht="42" customHeight="1">
      <x:c r="A9" s="2" t="str">
        <x:f>IF('신청 원장'!B49="","",'신청 원장'!B49)</x:f>
        <x:v>방법론 신청</x:v>
      </x:c>
      <x:c r="B9" s="7" t="str">
        <x:f>IF('신청 원장'!D49="","",'신청 원장'!D49)</x:f>
        <x:v>압출법발포폴리스티렌(XPS) 제품에 있어서 폐쇄형 기포(Closed-Cell) 발포제인 수소불화탄소(HFCs)의 대체 발포제 사용을 통한 온실가스 감축 방법론</x:v>
      </x:c>
      <x:c r="C9" s="2" t="str">
        <x:f>IF('신청 원장'!F49="","",'신청 원장'!F49)</x:f>
        <x:v>2020-09-14</x:v>
      </x:c>
      <x:c r="D9" s="2" t="str">
        <x:f>IF('신청 원장'!J49="","",'신청 원장'!J49)</x:f>
        <x:v>문서재제출요청</x:v>
      </x:c>
      <x:c r="E9" s="2" t="str">
        <x:f>IF('신청 원장'!L49="","",'신청 원장'!L49)</x:f>
      </x:c>
      <x:c r="F9" s="2" t="str">
        <x:f>IF('신청 원장'!M49="","",'신청 원장'!M49)</x:f>
      </x:c>
      <x:c r="G9" s="2" t="n">
        <x:f>IF('신청 원장'!N49="","",'신청 원장'!N49)</x:f>
        <x:v>2222</x:v>
      </x:c>
      <x:c r="H9" s="2" t="str">
        <x:f>IF('신청 원장'!AA49="","",'신청 원장'!AA49)</x:f>
        <x:v>내부 관찰 대상</x:v>
      </x:c>
      <x:c r="I9" s="2" t="str">
        <x:f>IF('신청 원장'!O49="","",'신청 원장'!O49)</x:f>
      </x:c>
      <x:c r="J9" s="2" t="str">
        <x:f>IF('신청 원장'!W49="","",'신청 원장'!W49)</x:f>
        <x:v>담당기관 확인</x:v>
      </x:c>
      <x:c r="K9" s="2" t="str">
        <x:f>IF('신청 원장'!X49="","",'신청 원장'!X49)</x:f>
        <x:v>원본·배정 기록 확인</x:v>
      </x:c>
      <x:c r="L9" s="2" t="str">
        <x:f>IF('신청 원장'!R49="","",'신청 원장'!R49)</x:f>
        <x:v>방법론</x:v>
      </x:c>
      <x:c r="M9" s="2" t="n">
        <x:f>IF('신청 원장'!S49="","",'신청 원장'!S49)</x:f>
        <x:v>45</x:v>
      </x:c>
      <x:c r="N9" s="2" t="str">
        <x:f>IF('신청 원장'!K49&lt;&gt;"미종결 표시","종결 상태 확인",IF('신청 원장'!N49="","일자 확인 필요",IF('신청 원장'!N49&gt;365,"366일 이상",IF('신청 원장'!N49&gt;90,"91~365일",IF('신청 원장'!N49&gt;30,"31~90일","0~30일")))))</x:f>
        <x:v>366일 이상</x:v>
      </x:c>
      <x:c r="O9" s="2" t="str">
        <x:f>IF(OR('신청 원장'!L49="",'신청 원장'!L49="선택"),"담당 원문 확인","기재")</x:f>
        <x:v>담당 원문 확인</x:v>
      </x:c>
      <x:c r="P9" s="2" t="str">
        <x:f>IF('신청 원장'!A49="","",'신청 원장'!A49)</x:f>
        <x:v>3b67e8325e90e746389a2c49</x:v>
      </x:c>
    </x:row>
    <x:row r="10" ht="42" customHeight="1">
      <x:c r="A10" s="2" t="str">
        <x:f>IF('신청 원장'!B60="","",'신청 원장'!B60)</x:f>
        <x:v>방법론 신청</x:v>
      </x:c>
      <x:c r="B10" s="7" t="str">
        <x:f>IF('신청 원장'!D60="","",'신청 원장'!D60)</x:f>
        <x:v>탄산가스 포집</x:v>
      </x:c>
      <x:c r="C10" s="2" t="str">
        <x:f>IF('신청 원장'!F60="","",'신청 원장'!F60)</x:f>
        <x:v>2022-01-24</x:v>
      </x:c>
      <x:c r="D10" s="2" t="str">
        <x:f>IF('신청 원장'!J60="","",'신청 원장'!J60)</x:f>
        <x:v>보류</x:v>
      </x:c>
      <x:c r="E10" s="2" t="str">
        <x:f>IF('신청 원장'!L60="","",'신청 원장'!L60)</x:f>
      </x:c>
      <x:c r="F10" s="2" t="str">
        <x:f>IF('신청 원장'!M60="","",'신청 원장'!M60)</x:f>
      </x:c>
      <x:c r="G10" s="2" t="n">
        <x:f>IF('신청 원장'!N60="","",'신청 원장'!N60)</x:f>
        <x:v>1725</x:v>
      </x:c>
      <x:c r="H10" s="2" t="str">
        <x:f>IF('신청 원장'!AA60="","",'신청 원장'!AA60)</x:f>
        <x:v>내부 관찰 대상</x:v>
      </x:c>
      <x:c r="I10" s="2" t="str">
        <x:f>IF('신청 원장'!O60="","",'신청 원장'!O60)</x:f>
      </x:c>
      <x:c r="J10" s="2" t="str">
        <x:f>IF('신청 원장'!W60="","",'신청 원장'!W60)</x:f>
        <x:v>담당기관 확인</x:v>
      </x:c>
      <x:c r="K10" s="2" t="str">
        <x:f>IF('신청 원장'!X60="","",'신청 원장'!X60)</x:f>
        <x:v>원본·배정 기록 확인</x:v>
      </x:c>
      <x:c r="L10" s="2" t="str">
        <x:f>IF('신청 원장'!R60="","",'신청 원장'!R60)</x:f>
        <x:v>방법론</x:v>
      </x:c>
      <x:c r="M10" s="2" t="n">
        <x:f>IF('신청 원장'!S60="","",'신청 원장'!S60)</x:f>
        <x:v>56</x:v>
      </x:c>
      <x:c r="N10" s="2" t="str">
        <x:f>IF('신청 원장'!K60&lt;&gt;"미종결 표시","종결 상태 확인",IF('신청 원장'!N60="","일자 확인 필요",IF('신청 원장'!N60&gt;365,"366일 이상",IF('신청 원장'!N60&gt;90,"91~365일",IF('신청 원장'!N60&gt;30,"31~90일","0~30일")))))</x:f>
        <x:v>366일 이상</x:v>
      </x:c>
      <x:c r="O10" s="2" t="str">
        <x:f>IF(OR('신청 원장'!L60="",'신청 원장'!L60="선택"),"담당 원문 확인","기재")</x:f>
        <x:v>담당 원문 확인</x:v>
      </x:c>
      <x:c r="P10" s="2" t="str">
        <x:f>IF('신청 원장'!A60="","",'신청 원장'!A60)</x:f>
        <x:v>a0d8267c4e2f1da531001fce</x:v>
      </x:c>
    </x:row>
    <x:row r="11" ht="42" customHeight="1">
      <x:c r="A11" s="2" t="str">
        <x:f>IF('신청 원장'!B67="","",'신청 원장'!B67)</x:f>
        <x:v>방법론 신청</x:v>
      </x:c>
      <x:c r="B11" s="7" t="str">
        <x:f>IF('신청 원장'!D67="","",'신청 원장'!D67)</x:f>
        <x:v>배가스 내 이산화탄소 활용을 통한 탈황설비 석회석 대체 사업의 방법론</x:v>
      </x:c>
      <x:c r="C11" s="2" t="str">
        <x:f>IF('신청 원장'!F67="","",'신청 원장'!F67)</x:f>
        <x:v>2022-11-28</x:v>
      </x:c>
      <x:c r="D11" s="2" t="str">
        <x:f>IF('신청 원장'!J67="","",'신청 원장'!J67)</x:f>
        <x:v>기후부협의</x:v>
      </x:c>
      <x:c r="E11" s="2" t="str">
        <x:f>IF('신청 원장'!L67="","",'신청 원장'!L67)</x:f>
      </x:c>
      <x:c r="F11" s="2" t="str">
        <x:f>IF('신청 원장'!M67="","",'신청 원장'!M67)</x:f>
      </x:c>
      <x:c r="G11" s="2" t="n">
        <x:f>IF('신청 원장'!N67="","",'신청 원장'!N67)</x:f>
        <x:v>1417</x:v>
      </x:c>
      <x:c r="H11" s="2" t="str">
        <x:f>IF('신청 원장'!AA67="","",'신청 원장'!AA67)</x:f>
        <x:v>내부 관찰 대상</x:v>
      </x:c>
      <x:c r="I11" s="2" t="str">
        <x:f>IF('신청 원장'!O67="","",'신청 원장'!O67)</x:f>
      </x:c>
      <x:c r="J11" s="2" t="str">
        <x:f>IF('신청 원장'!W67="","",'신청 원장'!W67)</x:f>
        <x:v>담당기관 확인</x:v>
      </x:c>
      <x:c r="K11" s="2" t="str">
        <x:f>IF('신청 원장'!X67="","",'신청 원장'!X67)</x:f>
        <x:v>원본·배정 기록 확인</x:v>
      </x:c>
      <x:c r="L11" s="2" t="str">
        <x:f>IF('신청 원장'!R67="","",'신청 원장'!R67)</x:f>
        <x:v>방법론</x:v>
      </x:c>
      <x:c r="M11" s="2" t="n">
        <x:f>IF('신청 원장'!S67="","",'신청 원장'!S67)</x:f>
        <x:v>63</x:v>
      </x:c>
      <x:c r="N11" s="2" t="str">
        <x:f>IF('신청 원장'!K67&lt;&gt;"미종결 표시","종결 상태 확인",IF('신청 원장'!N67="","일자 확인 필요",IF('신청 원장'!N67&gt;365,"366일 이상",IF('신청 원장'!N67&gt;90,"91~365일",IF('신청 원장'!N67&gt;30,"31~90일","0~30일")))))</x:f>
        <x:v>366일 이상</x:v>
      </x:c>
      <x:c r="O11" s="2" t="str">
        <x:f>IF(OR('신청 원장'!L67="",'신청 원장'!L67="선택"),"담당 원문 확인","기재")</x:f>
        <x:v>담당 원문 확인</x:v>
      </x:c>
      <x:c r="P11" s="2" t="str">
        <x:f>IF('신청 원장'!A67="","",'신청 원장'!A67)</x:f>
        <x:v>e6165a0a83c049fc58c6b3c7</x:v>
      </x:c>
    </x:row>
    <x:row r="12" ht="42" customHeight="1">
      <x:c r="A12" s="2" t="str">
        <x:f>IF('신청 원장'!B71="","",'신청 원장'!B71)</x:f>
        <x:v>방법론 신청</x:v>
      </x:c>
      <x:c r="B12" s="7" t="str">
        <x:f>IF('신청 원장'!D71="","",'신청 원장'!D71)</x:f>
        <x:v>석탄재 기반 희토류 농축·추출공정에서 미활용 CO2를 활용한 온실가스 감축 사업의 방법론</x:v>
      </x:c>
      <x:c r="C12" s="2" t="str">
        <x:f>IF('신청 원장'!F71="","",'신청 원장'!F71)</x:f>
        <x:v>2023-03-28</x:v>
      </x:c>
      <x:c r="D12" s="2" t="str">
        <x:f>IF('신청 원장'!J71="","",'신청 원장'!J71)</x:f>
        <x:v>보완요청(2차)</x:v>
      </x:c>
      <x:c r="E12" s="2" t="str">
        <x:f>IF('신청 원장'!L71="","",'신청 원장'!L71)</x:f>
      </x:c>
      <x:c r="F12" s="2" t="n">
        <x:f>IF('신청 원장'!M71="","",'신청 원장'!M71)</x:f>
        <x:v>2</x:v>
      </x:c>
      <x:c r="G12" s="2" t="n">
        <x:f>IF('신청 원장'!N71="","",'신청 원장'!N71)</x:f>
        <x:v>1297</x:v>
      </x:c>
      <x:c r="H12" s="2" t="str">
        <x:f>IF('신청 원장'!AA71="","",'신청 원장'!AA71)</x:f>
        <x:v>내부 관찰 대상</x:v>
      </x:c>
      <x:c r="I12" s="2" t="str">
        <x:f>IF('신청 원장'!O71="","",'신청 원장'!O71)</x:f>
      </x:c>
      <x:c r="J12" s="2" t="str">
        <x:f>IF('신청 원장'!W71="","",'신청 원장'!W71)</x:f>
        <x:v>담당기관 확인</x:v>
      </x:c>
      <x:c r="K12" s="2" t="str">
        <x:f>IF('신청 원장'!X71="","",'신청 원장'!X71)</x:f>
        <x:v>원본·배정 기록 확인</x:v>
      </x:c>
      <x:c r="L12" s="2" t="str">
        <x:f>IF('신청 원장'!R71="","",'신청 원장'!R71)</x:f>
        <x:v>방법론</x:v>
      </x:c>
      <x:c r="M12" s="2" t="n">
        <x:f>IF('신청 원장'!S71="","",'신청 원장'!S71)</x:f>
        <x:v>67</x:v>
      </x:c>
      <x:c r="N12" s="2" t="str">
        <x:f>IF('신청 원장'!K71&lt;&gt;"미종결 표시","종결 상태 확인",IF('신청 원장'!N71="","일자 확인 필요",IF('신청 원장'!N71&gt;365,"366일 이상",IF('신청 원장'!N71&gt;90,"91~365일",IF('신청 원장'!N71&gt;30,"31~90일","0~30일")))))</x:f>
        <x:v>366일 이상</x:v>
      </x:c>
      <x:c r="O12" s="2" t="str">
        <x:f>IF(OR('신청 원장'!L71="",'신청 원장'!L71="선택"),"담당 원문 확인","기재")</x:f>
        <x:v>담당 원문 확인</x:v>
      </x:c>
      <x:c r="P12" s="2" t="str">
        <x:f>IF('신청 원장'!A71="","",'신청 원장'!A71)</x:f>
        <x:v>75917561a9a5b383da595adb</x:v>
      </x:c>
    </x:row>
    <x:row r="13" ht="42" customHeight="1">
      <x:c r="A13" s="2" t="str">
        <x:f>IF('신청 원장'!B76="","",'신청 원장'!B76)</x:f>
        <x:v>방법론 신청</x:v>
      </x:c>
      <x:c r="B13" s="7" t="str">
        <x:f>IF('신청 원장'!D76="","",'신청 원장'!D76)</x:f>
        <x:v>바이오가스를 활용한 수소 및 이산화탄소 이용 사업의 방법론</x:v>
      </x:c>
      <x:c r="C13" s="2" t="str">
        <x:f>IF('신청 원장'!F76="","",'신청 원장'!F76)</x:f>
        <x:v>2023-08-23</x:v>
      </x:c>
      <x:c r="D13" s="2" t="str">
        <x:f>IF('신청 원장'!J76="","",'신청 원장'!J76)</x:f>
        <x:v>보완요청(2차)</x:v>
      </x:c>
      <x:c r="E13" s="2" t="str">
        <x:f>IF('신청 원장'!L76="","",'신청 원장'!L76)</x:f>
      </x:c>
      <x:c r="F13" s="2" t="n">
        <x:f>IF('신청 원장'!M76="","",'신청 원장'!M76)</x:f>
        <x:v>2</x:v>
      </x:c>
      <x:c r="G13" s="2" t="n">
        <x:f>IF('신청 원장'!N76="","",'신청 원장'!N76)</x:f>
        <x:v>1149</x:v>
      </x:c>
      <x:c r="H13" s="2" t="str">
        <x:f>IF('신청 원장'!AA76="","",'신청 원장'!AA76)</x:f>
        <x:v>내부 관찰 대상</x:v>
      </x:c>
      <x:c r="I13" s="2" t="str">
        <x:f>IF('신청 원장'!O76="","",'신청 원장'!O76)</x:f>
      </x:c>
      <x:c r="J13" s="2" t="str">
        <x:f>IF('신청 원장'!W76="","",'신청 원장'!W76)</x:f>
        <x:v>담당기관 확인</x:v>
      </x:c>
      <x:c r="K13" s="2" t="str">
        <x:f>IF('신청 원장'!X76="","",'신청 원장'!X76)</x:f>
        <x:v>원본·배정 기록 확인</x:v>
      </x:c>
      <x:c r="L13" s="2" t="str">
        <x:f>IF('신청 원장'!R76="","",'신청 원장'!R76)</x:f>
        <x:v>방법론</x:v>
      </x:c>
      <x:c r="M13" s="2" t="n">
        <x:f>IF('신청 원장'!S76="","",'신청 원장'!S76)</x:f>
        <x:v>72</x:v>
      </x:c>
      <x:c r="N13" s="2" t="str">
        <x:f>IF('신청 원장'!K76&lt;&gt;"미종결 표시","종결 상태 확인",IF('신청 원장'!N76="","일자 확인 필요",IF('신청 원장'!N76&gt;365,"366일 이상",IF('신청 원장'!N76&gt;90,"91~365일",IF('신청 원장'!N76&gt;30,"31~90일","0~30일")))))</x:f>
        <x:v>366일 이상</x:v>
      </x:c>
      <x:c r="O13" s="2" t="str">
        <x:f>IF(OR('신청 원장'!L76="",'신청 원장'!L76="선택"),"담당 원문 확인","기재")</x:f>
        <x:v>담당 원문 확인</x:v>
      </x:c>
      <x:c r="P13" s="2" t="str">
        <x:f>IF('신청 원장'!A76="","",'신청 원장'!A76)</x:f>
        <x:v>416fa7ef004f5b0d815a1159</x:v>
      </x:c>
    </x:row>
    <x:row r="14" ht="42" customHeight="1">
      <x:c r="A14" s="2" t="str">
        <x:f>IF('신청 원장'!B78="","",'신청 원장'!B78)</x:f>
        <x:v>방법론 신청</x:v>
      </x:c>
      <x:c r="B14" s="7" t="str">
        <x:f>IF('신청 원장'!D78="","",'신청 원장'!D78)</x:f>
        <x:v>탄소저감 콘크리트 생산 및 이용 사업의 방법론</x:v>
      </x:c>
      <x:c r="C14" s="2" t="str">
        <x:f>IF('신청 원장'!F78="","",'신청 원장'!F78)</x:f>
        <x:v>2023-09-05</x:v>
      </x:c>
      <x:c r="D14" s="2" t="str">
        <x:f>IF('신청 원장'!J78="","",'신청 원장'!J78)</x:f>
        <x:v>기후부협의</x:v>
      </x:c>
      <x:c r="E14" s="2" t="str">
        <x:f>IF('신청 원장'!L78="","",'신청 원장'!L78)</x:f>
        <x:v>한다솔</x:v>
      </x:c>
      <x:c r="F14" s="2" t="str">
        <x:f>IF('신청 원장'!M78="","",'신청 원장'!M78)</x:f>
      </x:c>
      <x:c r="G14" s="2" t="n">
        <x:f>IF('신청 원장'!N78="","",'신청 원장'!N78)</x:f>
        <x:v>1136</x:v>
      </x:c>
      <x:c r="H14" s="2" t="str">
        <x:f>IF('신청 원장'!AA78="","",'신청 원장'!AA78)</x:f>
        <x:v>내부 관찰 대상</x:v>
      </x:c>
      <x:c r="I14" s="2" t="str">
        <x:f>IF('신청 원장'!O78="","",'신청 원장'!O78)</x:f>
      </x:c>
      <x:c r="J14" s="2" t="str">
        <x:f>IF('신청 원장'!W78="","",'신청 원장'!W78)</x:f>
      </x:c>
      <x:c r="K14" s="2" t="str">
        <x:f>IF('신청 원장'!X78="","",'신청 원장'!X78)</x:f>
        <x:v>검토 진행 일정 확인</x:v>
      </x:c>
      <x:c r="L14" s="2" t="str">
        <x:f>IF('신청 원장'!R78="","",'신청 원장'!R78)</x:f>
        <x:v>방법론</x:v>
      </x:c>
      <x:c r="M14" s="2" t="n">
        <x:f>IF('신청 원장'!S78="","",'신청 원장'!S78)</x:f>
        <x:v>74</x:v>
      </x:c>
      <x:c r="N14" s="2" t="str">
        <x:f>IF('신청 원장'!K78&lt;&gt;"미종결 표시","종결 상태 확인",IF('신청 원장'!N78="","일자 확인 필요",IF('신청 원장'!N78&gt;365,"366일 이상",IF('신청 원장'!N78&gt;90,"91~365일",IF('신청 원장'!N78&gt;30,"31~90일","0~30일")))))</x:f>
        <x:v>366일 이상</x:v>
      </x:c>
      <x:c r="O14" s="2" t="str">
        <x:f>IF(OR('신청 원장'!L78="",'신청 원장'!L78="선택"),"담당 원문 확인","기재")</x:f>
        <x:v>기재</x:v>
      </x:c>
      <x:c r="P14" s="2" t="str">
        <x:f>IF('신청 원장'!A78="","",'신청 원장'!A78)</x:f>
        <x:v>a49833e8644d1f3661013c2a</x:v>
      </x:c>
    </x:row>
    <x:row r="15" ht="42" customHeight="1">
      <x:c r="A15" s="2" t="str">
        <x:f>IF('신청 원장'!B79="","",'신청 원장'!B79)</x:f>
        <x:v>방법론 신청</x:v>
      </x:c>
      <x:c r="B15" s="7" t="str">
        <x:f>IF('신청 원장'!D79="","",'신청 원장'!D79)</x:f>
        <x:v>태양광에너지를 이용한 전력 생산 및 전기차 충전 사업의 방법론</x:v>
      </x:c>
      <x:c r="C15" s="2" t="str">
        <x:f>IF('신청 원장'!F79="","",'신청 원장'!F79)</x:f>
        <x:v>2023-11-29</x:v>
      </x:c>
      <x:c r="D15" s="2" t="str">
        <x:f>IF('신청 원장'!J79="","",'신청 원장'!J79)</x:f>
        <x:v>보완요청(1차)</x:v>
      </x:c>
      <x:c r="E15" s="2" t="str">
        <x:f>IF('신청 원장'!L79="","",'신청 원장'!L79)</x:f>
      </x:c>
      <x:c r="F15" s="2" t="n">
        <x:f>IF('신청 원장'!M79="","",'신청 원장'!M79)</x:f>
        <x:v>1</x:v>
      </x:c>
      <x:c r="G15" s="2" t="n">
        <x:f>IF('신청 원장'!N79="","",'신청 원장'!N79)</x:f>
        <x:v>1051</x:v>
      </x:c>
      <x:c r="H15" s="2" t="str">
        <x:f>IF('신청 원장'!AA79="","",'신청 원장'!AA79)</x:f>
        <x:v>내부 관찰 대상</x:v>
      </x:c>
      <x:c r="I15" s="2" t="str">
        <x:f>IF('신청 원장'!O79="","",'신청 원장'!O79)</x:f>
      </x:c>
      <x:c r="J15" s="2" t="str">
        <x:f>IF('신청 원장'!W79="","",'신청 원장'!W79)</x:f>
        <x:v>담당기관 확인</x:v>
      </x:c>
      <x:c r="K15" s="2" t="str">
        <x:f>IF('신청 원장'!X79="","",'신청 원장'!X79)</x:f>
        <x:v>원본·배정 기록 확인</x:v>
      </x:c>
      <x:c r="L15" s="2" t="str">
        <x:f>IF('신청 원장'!R79="","",'신청 원장'!R79)</x:f>
        <x:v>방법론</x:v>
      </x:c>
      <x:c r="M15" s="2" t="n">
        <x:f>IF('신청 원장'!S79="","",'신청 원장'!S79)</x:f>
        <x:v>75</x:v>
      </x:c>
      <x:c r="N15" s="2" t="str">
        <x:f>IF('신청 원장'!K79&lt;&gt;"미종결 표시","종결 상태 확인",IF('신청 원장'!N79="","일자 확인 필요",IF('신청 원장'!N79&gt;365,"366일 이상",IF('신청 원장'!N79&gt;90,"91~365일",IF('신청 원장'!N79&gt;30,"31~90일","0~30일")))))</x:f>
        <x:v>366일 이상</x:v>
      </x:c>
      <x:c r="O15" s="2" t="str">
        <x:f>IF(OR('신청 원장'!L79="",'신청 원장'!L79="선택"),"담당 원문 확인","기재")</x:f>
        <x:v>담당 원문 확인</x:v>
      </x:c>
      <x:c r="P15" s="2" t="str">
        <x:f>IF('신청 원장'!A79="","",'신청 원장'!A79)</x:f>
        <x:v>93151405f0ad5fc186f2f198</x:v>
      </x:c>
    </x:row>
    <x:row r="16" ht="42" customHeight="1">
      <x:c r="A16" s="2" t="str">
        <x:f>IF('신청 원장'!B81="","",'신청 원장'!B81)</x:f>
        <x:v>방법론 신청</x:v>
      </x:c>
      <x:c r="B16" s="7" t="str">
        <x:f>IF('신청 원장'!D81="","",'신청 원장'!D81)</x:f>
        <x:v>전력망 내 전기설비 폐기 시 발생되는 육불화황(SF6)의 회수 및 수소 활용 열분해를 통한 온실가스 감축사업의 방법론</x:v>
      </x:c>
      <x:c r="C16" s="2" t="str">
        <x:f>IF('신청 원장'!F81="","",'신청 원장'!F81)</x:f>
        <x:v>2024-05-07</x:v>
      </x:c>
      <x:c r="D16" s="2" t="str">
        <x:f>IF('신청 원장'!J81="","",'신청 원장'!J81)</x:f>
        <x:v>기후부협의</x:v>
      </x:c>
      <x:c r="E16" s="2" t="str">
        <x:f>IF('신청 원장'!L81="","",'신청 원장'!L81)</x:f>
      </x:c>
      <x:c r="F16" s="2" t="str">
        <x:f>IF('신청 원장'!M81="","",'신청 원장'!M81)</x:f>
      </x:c>
      <x:c r="G16" s="2" t="n">
        <x:f>IF('신청 원장'!N81="","",'신청 원장'!N81)</x:f>
        <x:v>891</x:v>
      </x:c>
      <x:c r="H16" s="2" t="str">
        <x:f>IF('신청 원장'!AA81="","",'신청 원장'!AA81)</x:f>
        <x:v>내부 관찰 대상</x:v>
      </x:c>
      <x:c r="I16" s="2" t="str">
        <x:f>IF('신청 원장'!O81="","",'신청 원장'!O81)</x:f>
      </x:c>
      <x:c r="J16" s="2" t="str">
        <x:f>IF('신청 원장'!W81="","",'신청 원장'!W81)</x:f>
        <x:v>담당기관 확인</x:v>
      </x:c>
      <x:c r="K16" s="2" t="str">
        <x:f>IF('신청 원장'!X81="","",'신청 원장'!X81)</x:f>
        <x:v>원본·배정 기록 확인</x:v>
      </x:c>
      <x:c r="L16" s="2" t="str">
        <x:f>IF('신청 원장'!R81="","",'신청 원장'!R81)</x:f>
        <x:v>방법론</x:v>
      </x:c>
      <x:c r="M16" s="2" t="n">
        <x:f>IF('신청 원장'!S81="","",'신청 원장'!S81)</x:f>
        <x:v>77</x:v>
      </x:c>
      <x:c r="N16" s="2" t="str">
        <x:f>IF('신청 원장'!K81&lt;&gt;"미종결 표시","종결 상태 확인",IF('신청 원장'!N81="","일자 확인 필요",IF('신청 원장'!N81&gt;365,"366일 이상",IF('신청 원장'!N81&gt;90,"91~365일",IF('신청 원장'!N81&gt;30,"31~90일","0~30일")))))</x:f>
        <x:v>366일 이상</x:v>
      </x:c>
      <x:c r="O16" s="2" t="str">
        <x:f>IF(OR('신청 원장'!L81="",'신청 원장'!L81="선택"),"담당 원문 확인","기재")</x:f>
        <x:v>담당 원문 확인</x:v>
      </x:c>
      <x:c r="P16" s="2" t="str">
        <x:f>IF('신청 원장'!A81="","",'신청 원장'!A81)</x:f>
        <x:v>42a1ad7b883be1e9d7ee3345</x:v>
      </x:c>
    </x:row>
    <x:row r="17" ht="42" customHeight="1">
      <x:c r="A17" s="2" t="str">
        <x:f>IF('신청 원장'!B83="","",'신청 원장'!B83)</x:f>
        <x:v>방법론 신청</x:v>
      </x:c>
      <x:c r="B17" s="7" t="str">
        <x:f>IF('신청 원장'!D83="","",'신청 원장'!D83)</x:f>
        <x:v>광물 유래 분말형 석회 대체를 위한 부산석고 유래 분말형 석회 원료생산 방법론</x:v>
      </x:c>
      <x:c r="C17" s="2" t="str">
        <x:f>IF('신청 원장'!F83="","",'신청 원장'!F83)</x:f>
        <x:v>2024-09-19</x:v>
      </x:c>
      <x:c r="D17" s="2" t="str">
        <x:f>IF('신청 원장'!J83="","",'신청 원장'!J83)</x:f>
        <x:v>보완요청(1차)</x:v>
      </x:c>
      <x:c r="E17" s="2" t="str">
        <x:f>IF('신청 원장'!L83="","",'신청 원장'!L83)</x:f>
      </x:c>
      <x:c r="F17" s="2" t="n">
        <x:f>IF('신청 원장'!M83="","",'신청 원장'!M83)</x:f>
        <x:v>1</x:v>
      </x:c>
      <x:c r="G17" s="2" t="n">
        <x:f>IF('신청 원장'!N83="","",'신청 원장'!N83)</x:f>
        <x:v>756</x:v>
      </x:c>
      <x:c r="H17" s="2" t="str">
        <x:f>IF('신청 원장'!AA83="","",'신청 원장'!AA83)</x:f>
        <x:v>내부 관찰 대상</x:v>
      </x:c>
      <x:c r="I17" s="2" t="str">
        <x:f>IF('신청 원장'!O83="","",'신청 원장'!O83)</x:f>
      </x:c>
      <x:c r="J17" s="2" t="str">
        <x:f>IF('신청 원장'!W83="","",'신청 원장'!W83)</x:f>
        <x:v>담당기관 확인</x:v>
      </x:c>
      <x:c r="K17" s="2" t="str">
        <x:f>IF('신청 원장'!X83="","",'신청 원장'!X83)</x:f>
        <x:v>원본·배정 기록 확인</x:v>
      </x:c>
      <x:c r="L17" s="2" t="str">
        <x:f>IF('신청 원장'!R83="","",'신청 원장'!R83)</x:f>
        <x:v>방법론</x:v>
      </x:c>
      <x:c r="M17" s="2" t="n">
        <x:f>IF('신청 원장'!S83="","",'신청 원장'!S83)</x:f>
        <x:v>79</x:v>
      </x:c>
      <x:c r="N17" s="2" t="str">
        <x:f>IF('신청 원장'!K83&lt;&gt;"미종결 표시","종결 상태 확인",IF('신청 원장'!N83="","일자 확인 필요",IF('신청 원장'!N83&gt;365,"366일 이상",IF('신청 원장'!N83&gt;90,"91~365일",IF('신청 원장'!N83&gt;30,"31~90일","0~30일")))))</x:f>
        <x:v>366일 이상</x:v>
      </x:c>
      <x:c r="O17" s="2" t="str">
        <x:f>IF(OR('신청 원장'!L83="",'신청 원장'!L83="선택"),"담당 원문 확인","기재")</x:f>
        <x:v>담당 원문 확인</x:v>
      </x:c>
      <x:c r="P17" s="2" t="str">
        <x:f>IF('신청 원장'!A83="","",'신청 원장'!A83)</x:f>
        <x:v>f290fe91a2328cc58b9d8e42</x:v>
      </x:c>
    </x:row>
    <x:row r="18" ht="42" customHeight="1">
      <x:c r="A18" s="2" t="str">
        <x:f>IF('신청 원장'!B84="","",'신청 원장'!B84)</x:f>
        <x:v>방법론 신청</x:v>
      </x:c>
      <x:c r="B18" s="7" t="str">
        <x:f>IF('신청 원장'!D84="","",'신청 원장'!D84)</x:f>
        <x:v>바이오가스에서 추출된 메탄을 활용한 수소 생산원료 전환사업의 방법론</x:v>
      </x:c>
      <x:c r="C18" s="2" t="str">
        <x:f>IF('신청 원장'!F84="","",'신청 원장'!F84)</x:f>
        <x:v>2024-10-25</x:v>
      </x:c>
      <x:c r="D18" s="2" t="str">
        <x:f>IF('신청 원장'!J84="","",'신청 원장'!J84)</x:f>
        <x:v>보완요청(3차)</x:v>
      </x:c>
      <x:c r="E18" s="2" t="str">
        <x:f>IF('신청 원장'!L84="","",'신청 원장'!L84)</x:f>
      </x:c>
      <x:c r="F18" s="2" t="n">
        <x:f>IF('신청 원장'!M84="","",'신청 원장'!M84)</x:f>
        <x:v>3</x:v>
      </x:c>
      <x:c r="G18" s="2" t="n">
        <x:f>IF('신청 원장'!N84="","",'신청 원장'!N84)</x:f>
        <x:v>720</x:v>
      </x:c>
      <x:c r="H18" s="2" t="str">
        <x:f>IF('신청 원장'!AA84="","",'신청 원장'!AA84)</x:f>
        <x:v>내부 관찰 대상</x:v>
      </x:c>
      <x:c r="I18" s="2" t="str">
        <x:f>IF('신청 원장'!O84="","",'신청 원장'!O84)</x:f>
      </x:c>
      <x:c r="J18" s="2" t="str">
        <x:f>IF('신청 원장'!W84="","",'신청 원장'!W84)</x:f>
        <x:v>담당기관 확인</x:v>
      </x:c>
      <x:c r="K18" s="2" t="str">
        <x:f>IF('신청 원장'!X84="","",'신청 원장'!X84)</x:f>
        <x:v>원본·배정 기록 확인</x:v>
      </x:c>
      <x:c r="L18" s="2" t="str">
        <x:f>IF('신청 원장'!R84="","",'신청 원장'!R84)</x:f>
        <x:v>방법론</x:v>
      </x:c>
      <x:c r="M18" s="2" t="n">
        <x:f>IF('신청 원장'!S84="","",'신청 원장'!S84)</x:f>
        <x:v>80</x:v>
      </x:c>
      <x:c r="N18" s="2" t="str">
        <x:f>IF('신청 원장'!K84&lt;&gt;"미종결 표시","종결 상태 확인",IF('신청 원장'!N84="","일자 확인 필요",IF('신청 원장'!N84&gt;365,"366일 이상",IF('신청 원장'!N84&gt;90,"91~365일",IF('신청 원장'!N84&gt;30,"31~90일","0~30일")))))</x:f>
        <x:v>366일 이상</x:v>
      </x:c>
      <x:c r="O18" s="2" t="str">
        <x:f>IF(OR('신청 원장'!L84="",'신청 원장'!L84="선택"),"담당 원문 확인","기재")</x:f>
        <x:v>담당 원문 확인</x:v>
      </x:c>
      <x:c r="P18" s="2" t="str">
        <x:f>IF('신청 원장'!A84="","",'신청 원장'!A84)</x:f>
        <x:v>4806368bf8963c5857cd1765</x:v>
      </x:c>
    </x:row>
    <x:row r="19" ht="42" customHeight="1">
      <x:c r="A19" s="2" t="str">
        <x:f>IF('신청 원장'!B85="","",'신청 원장'!B85)</x:f>
        <x:v>방법론 신청</x:v>
      </x:c>
      <x:c r="B19" s="7" t="str">
        <x:f>IF('신청 원장'!D85="","",'신청 원장'!D85)</x:f>
        <x:v>이소시아네이트 공장에서 Cl 2 의 생산을 위한 염수 전기분해 공정을 촉매 공정으로의 전환 방법론</x:v>
      </x:c>
      <x:c r="C19" s="2" t="str">
        <x:f>IF('신청 원장'!F85="","",'신청 원장'!F85)</x:f>
        <x:v>2024-11-01</x:v>
      </x:c>
      <x:c r="D19" s="2" t="str">
        <x:f>IF('신청 원장'!J85="","",'신청 원장'!J85)</x:f>
        <x:v>기후부협의</x:v>
      </x:c>
      <x:c r="E19" s="2" t="str">
        <x:f>IF('신청 원장'!L85="","",'신청 원장'!L85)</x:f>
      </x:c>
      <x:c r="F19" s="2" t="str">
        <x:f>IF('신청 원장'!M85="","",'신청 원장'!M85)</x:f>
      </x:c>
      <x:c r="G19" s="2" t="n">
        <x:f>IF('신청 원장'!N85="","",'신청 원장'!N85)</x:f>
        <x:v>713</x:v>
      </x:c>
      <x:c r="H19" s="2" t="str">
        <x:f>IF('신청 원장'!AA85="","",'신청 원장'!AA85)</x:f>
        <x:v>내부 관찰 대상</x:v>
      </x:c>
      <x:c r="I19" s="2" t="str">
        <x:f>IF('신청 원장'!O85="","",'신청 원장'!O85)</x:f>
      </x:c>
      <x:c r="J19" s="2" t="str">
        <x:f>IF('신청 원장'!W85="","",'신청 원장'!W85)</x:f>
        <x:v>담당기관 확인</x:v>
      </x:c>
      <x:c r="K19" s="2" t="str">
        <x:f>IF('신청 원장'!X85="","",'신청 원장'!X85)</x:f>
        <x:v>원본·배정 기록 확인</x:v>
      </x:c>
      <x:c r="L19" s="2" t="str">
        <x:f>IF('신청 원장'!R85="","",'신청 원장'!R85)</x:f>
        <x:v>방법론</x:v>
      </x:c>
      <x:c r="M19" s="2" t="n">
        <x:f>IF('신청 원장'!S85="","",'신청 원장'!S85)</x:f>
        <x:v>81</x:v>
      </x:c>
      <x:c r="N19" s="2" t="str">
        <x:f>IF('신청 원장'!K85&lt;&gt;"미종결 표시","종결 상태 확인",IF('신청 원장'!N85="","일자 확인 필요",IF('신청 원장'!N85&gt;365,"366일 이상",IF('신청 원장'!N85&gt;90,"91~365일",IF('신청 원장'!N85&gt;30,"31~90일","0~30일")))))</x:f>
        <x:v>366일 이상</x:v>
      </x:c>
      <x:c r="O19" s="2" t="str">
        <x:f>IF(OR('신청 원장'!L85="",'신청 원장'!L85="선택"),"담당 원문 확인","기재")</x:f>
        <x:v>담당 원문 확인</x:v>
      </x:c>
      <x:c r="P19" s="2" t="str">
        <x:f>IF('신청 원장'!A85="","",'신청 원장'!A85)</x:f>
        <x:v>e6c5a1d6ebf8d57323b1d86b</x:v>
      </x:c>
    </x:row>
    <x:row r="20" ht="42" customHeight="1">
      <x:c r="A20" s="2" t="str">
        <x:f>IF('신청 원장'!B86="","",'신청 원장'!B86)</x:f>
        <x:v>방법론 신청</x:v>
      </x:c>
      <x:c r="B20" s="7" t="str">
        <x:f>IF('신청 원장'!D86="","",'신청 원장'!D86)</x:f>
        <x:v>최적 전압 제어 시스템 설치 사업을 통한 소비전력 절감 방법론</x:v>
      </x:c>
      <x:c r="C20" s="2" t="str">
        <x:f>IF('신청 원장'!F86="","",'신청 원장'!F86)</x:f>
        <x:v>2024-11-26</x:v>
      </x:c>
      <x:c r="D20" s="2" t="str">
        <x:f>IF('신청 원장'!J86="","",'신청 원장'!J86)</x:f>
        <x:v>보완요청(3차)</x:v>
      </x:c>
      <x:c r="E20" s="2" t="str">
        <x:f>IF('신청 원장'!L86="","",'신청 원장'!L86)</x:f>
      </x:c>
      <x:c r="F20" s="2" t="n">
        <x:f>IF('신청 원장'!M86="","",'신청 원장'!M86)</x:f>
        <x:v>3</x:v>
      </x:c>
      <x:c r="G20" s="2" t="n">
        <x:f>IF('신청 원장'!N86="","",'신청 원장'!N86)</x:f>
        <x:v>688</x:v>
      </x:c>
      <x:c r="H20" s="2" t="str">
        <x:f>IF('신청 원장'!AA86="","",'신청 원장'!AA86)</x:f>
        <x:v>내부 관찰 대상</x:v>
      </x:c>
      <x:c r="I20" s="2" t="str">
        <x:f>IF('신청 원장'!O86="","",'신청 원장'!O86)</x:f>
      </x:c>
      <x:c r="J20" s="2" t="str">
        <x:f>IF('신청 원장'!W86="","",'신청 원장'!W86)</x:f>
        <x:v>담당기관 확인</x:v>
      </x:c>
      <x:c r="K20" s="2" t="str">
        <x:f>IF('신청 원장'!X86="","",'신청 원장'!X86)</x:f>
        <x:v>원본·배정 기록 확인</x:v>
      </x:c>
      <x:c r="L20" s="2" t="str">
        <x:f>IF('신청 원장'!R86="","",'신청 원장'!R86)</x:f>
        <x:v>방법론</x:v>
      </x:c>
      <x:c r="M20" s="2" t="n">
        <x:f>IF('신청 원장'!S86="","",'신청 원장'!S86)</x:f>
        <x:v>82</x:v>
      </x:c>
      <x:c r="N20" s="2" t="str">
        <x:f>IF('신청 원장'!K86&lt;&gt;"미종결 표시","종결 상태 확인",IF('신청 원장'!N86="","일자 확인 필요",IF('신청 원장'!N86&gt;365,"366일 이상",IF('신청 원장'!N86&gt;90,"91~365일",IF('신청 원장'!N86&gt;30,"31~90일","0~30일")))))</x:f>
        <x:v>366일 이상</x:v>
      </x:c>
      <x:c r="O20" s="2" t="str">
        <x:f>IF(OR('신청 원장'!L86="",'신청 원장'!L86="선택"),"담당 원문 확인","기재")</x:f>
        <x:v>담당 원문 확인</x:v>
      </x:c>
      <x:c r="P20" s="2" t="str">
        <x:f>IF('신청 원장'!A86="","",'신청 원장'!A86)</x:f>
        <x:v>3f2651f12333c8ddb2e4d42e</x:v>
      </x:c>
    </x:row>
    <x:row r="21" ht="42" customHeight="1">
      <x:c r="A21" s="2" t="str">
        <x:f>IF('신청 원장'!B89="","",'신청 원장'!B89)</x:f>
        <x:v>방법론 신청</x:v>
      </x:c>
      <x:c r="B21" s="7" t="str">
        <x:f>IF('신청 원장'!D89="","",'신청 원장'!D89)</x:f>
        <x:v>해수담수화 농축수와 미활용 CO2를 이용하여 경질마그네사이트를 생산하는 사업의 방법론</x:v>
      </x:c>
      <x:c r="C21" s="2" t="str">
        <x:f>IF('신청 원장'!F89="","",'신청 원장'!F89)</x:f>
        <x:v>2024-12-23</x:v>
      </x:c>
      <x:c r="D21" s="2" t="str">
        <x:f>IF('신청 원장'!J89="","",'신청 원장'!J89)</x:f>
        <x:v>보완요청(1차)</x:v>
      </x:c>
      <x:c r="E21" s="2" t="str">
        <x:f>IF('신청 원장'!L89="","",'신청 원장'!L89)</x:f>
      </x:c>
      <x:c r="F21" s="2" t="n">
        <x:f>IF('신청 원장'!M89="","",'신청 원장'!M89)</x:f>
        <x:v>1</x:v>
      </x:c>
      <x:c r="G21" s="2" t="n">
        <x:f>IF('신청 원장'!N89="","",'신청 원장'!N89)</x:f>
        <x:v>661</x:v>
      </x:c>
      <x:c r="H21" s="2" t="str">
        <x:f>IF('신청 원장'!AA89="","",'신청 원장'!AA89)</x:f>
        <x:v>내부 관찰 대상</x:v>
      </x:c>
      <x:c r="I21" s="2" t="str">
        <x:f>IF('신청 원장'!O89="","",'신청 원장'!O89)</x:f>
      </x:c>
      <x:c r="J21" s="2" t="str">
        <x:f>IF('신청 원장'!W89="","",'신청 원장'!W89)</x:f>
        <x:v>담당기관 확인</x:v>
      </x:c>
      <x:c r="K21" s="2" t="str">
        <x:f>IF('신청 원장'!X89="","",'신청 원장'!X89)</x:f>
        <x:v>원본·배정 기록 확인</x:v>
      </x:c>
      <x:c r="L21" s="2" t="str">
        <x:f>IF('신청 원장'!R89="","",'신청 원장'!R89)</x:f>
        <x:v>방법론</x:v>
      </x:c>
      <x:c r="M21" s="2" t="n">
        <x:f>IF('신청 원장'!S89="","",'신청 원장'!S89)</x:f>
        <x:v>85</x:v>
      </x:c>
      <x:c r="N21" s="2" t="str">
        <x:f>IF('신청 원장'!K89&lt;&gt;"미종결 표시","종결 상태 확인",IF('신청 원장'!N89="","일자 확인 필요",IF('신청 원장'!N89&gt;365,"366일 이상",IF('신청 원장'!N89&gt;90,"91~365일",IF('신청 원장'!N89&gt;30,"31~90일","0~30일")))))</x:f>
        <x:v>366일 이상</x:v>
      </x:c>
      <x:c r="O21" s="2" t="str">
        <x:f>IF(OR('신청 원장'!L89="",'신청 원장'!L89="선택"),"담당 원문 확인","기재")</x:f>
        <x:v>담당 원문 확인</x:v>
      </x:c>
      <x:c r="P21" s="2" t="str">
        <x:f>IF('신청 원장'!A89="","",'신청 원장'!A89)</x:f>
        <x:v>8afa97dead9ad12000b2afbc</x:v>
      </x:c>
    </x:row>
    <x:row r="22" ht="42" customHeight="1">
      <x:c r="A22" s="2" t="str">
        <x:f>IF('신청 원장'!B90="","",'신청 원장'!B90)</x:f>
        <x:v>방법론 신청</x:v>
      </x:c>
      <x:c r="B22" s="7" t="str">
        <x:f>IF('신청 원장'!D90="","",'신청 원장'!D90)</x:f>
        <x:v>미세조류 생산 및 활용을 통한 이산화탄소 제거 사업의 방법론</x:v>
      </x:c>
      <x:c r="C22" s="2" t="str">
        <x:f>IF('신청 원장'!F90="","",'신청 원장'!F90)</x:f>
        <x:v>2025-02-12</x:v>
      </x:c>
      <x:c r="D22" s="2" t="str">
        <x:f>IF('신청 원장'!J90="","",'신청 원장'!J90)</x:f>
        <x:v>보완요청(1차)</x:v>
      </x:c>
      <x:c r="E22" s="2" t="str">
        <x:f>IF('신청 원장'!L90="","",'신청 원장'!L90)</x:f>
      </x:c>
      <x:c r="F22" s="2" t="n">
        <x:f>IF('신청 원장'!M90="","",'신청 원장'!M90)</x:f>
        <x:v>1</x:v>
      </x:c>
      <x:c r="G22" s="2" t="n">
        <x:f>IF('신청 원장'!N90="","",'신청 원장'!N90)</x:f>
        <x:v>610</x:v>
      </x:c>
      <x:c r="H22" s="2" t="str">
        <x:f>IF('신청 원장'!AA90="","",'신청 원장'!AA90)</x:f>
        <x:v>내부 관찰 대상</x:v>
      </x:c>
      <x:c r="I22" s="2" t="str">
        <x:f>IF('신청 원장'!O90="","",'신청 원장'!O90)</x:f>
      </x:c>
      <x:c r="J22" s="2" t="str">
        <x:f>IF('신청 원장'!W90="","",'신청 원장'!W90)</x:f>
        <x:v>담당기관 확인</x:v>
      </x:c>
      <x:c r="K22" s="2" t="str">
        <x:f>IF('신청 원장'!X90="","",'신청 원장'!X90)</x:f>
        <x:v>원본·배정 기록 확인</x:v>
      </x:c>
      <x:c r="L22" s="2" t="str">
        <x:f>IF('신청 원장'!R90="","",'신청 원장'!R90)</x:f>
        <x:v>방법론</x:v>
      </x:c>
      <x:c r="M22" s="2" t="n">
        <x:f>IF('신청 원장'!S90="","",'신청 원장'!S90)</x:f>
        <x:v>86</x:v>
      </x:c>
      <x:c r="N22" s="2" t="str">
        <x:f>IF('신청 원장'!K90&lt;&gt;"미종결 표시","종결 상태 확인",IF('신청 원장'!N90="","일자 확인 필요",IF('신청 원장'!N90&gt;365,"366일 이상",IF('신청 원장'!N90&gt;90,"91~365일",IF('신청 원장'!N90&gt;30,"31~90일","0~30일")))))</x:f>
        <x:v>366일 이상</x:v>
      </x:c>
      <x:c r="O22" s="2" t="str">
        <x:f>IF(OR('신청 원장'!L90="",'신청 원장'!L90="선택"),"담당 원문 확인","기재")</x:f>
        <x:v>담당 원문 확인</x:v>
      </x:c>
      <x:c r="P22" s="2" t="str">
        <x:f>IF('신청 원장'!A90="","",'신청 원장'!A90)</x:f>
        <x:v>b86c5bfc328016348b5b4f3a</x:v>
      </x:c>
    </x:row>
    <x:row r="23" ht="42" customHeight="1">
      <x:c r="A23" s="2" t="str">
        <x:f>IF('신청 원장'!B91="","",'신청 원장'!B91)</x:f>
        <x:v>방법론 신청</x:v>
      </x:c>
      <x:c r="B23" s="7" t="str">
        <x:f>IF('신청 원장'!D91="","",'신청 원장'!D91)</x:f>
        <x:v>미활용 열에너지 회수 및 이용 또는 계통연계 사업의 방법론</x:v>
      </x:c>
      <x:c r="C23" s="2" t="str">
        <x:f>IF('신청 원장'!F91="","",'신청 원장'!F91)</x:f>
        <x:v>2025-02-27</x:v>
      </x:c>
      <x:c r="D23" s="2" t="str">
        <x:f>IF('신청 원장'!J91="","",'신청 원장'!J91)</x:f>
        <x:v>보완요청(1차)</x:v>
      </x:c>
      <x:c r="E23" s="2" t="str">
        <x:f>IF('신청 원장'!L91="","",'신청 원장'!L91)</x:f>
      </x:c>
      <x:c r="F23" s="2" t="n">
        <x:f>IF('신청 원장'!M91="","",'신청 원장'!M91)</x:f>
        <x:v>1</x:v>
      </x:c>
      <x:c r="G23" s="2" t="n">
        <x:f>IF('신청 원장'!N91="","",'신청 원장'!N91)</x:f>
        <x:v>595</x:v>
      </x:c>
      <x:c r="H23" s="2" t="str">
        <x:f>IF('신청 원장'!AA91="","",'신청 원장'!AA91)</x:f>
        <x:v>내부 관찰 대상</x:v>
      </x:c>
      <x:c r="I23" s="2" t="str">
        <x:f>IF('신청 원장'!O91="","",'신청 원장'!O91)</x:f>
      </x:c>
      <x:c r="J23" s="2" t="str">
        <x:f>IF('신청 원장'!W91="","",'신청 원장'!W91)</x:f>
        <x:v>담당기관 확인</x:v>
      </x:c>
      <x:c r="K23" s="2" t="str">
        <x:f>IF('신청 원장'!X91="","",'신청 원장'!X91)</x:f>
        <x:v>원본·배정 기록 확인</x:v>
      </x:c>
      <x:c r="L23" s="2" t="str">
        <x:f>IF('신청 원장'!R91="","",'신청 원장'!R91)</x:f>
        <x:v>방법론</x:v>
      </x:c>
      <x:c r="M23" s="2" t="n">
        <x:f>IF('신청 원장'!S91="","",'신청 원장'!S91)</x:f>
        <x:v>87</x:v>
      </x:c>
      <x:c r="N23" s="2" t="str">
        <x:f>IF('신청 원장'!K91&lt;&gt;"미종결 표시","종결 상태 확인",IF('신청 원장'!N91="","일자 확인 필요",IF('신청 원장'!N91&gt;365,"366일 이상",IF('신청 원장'!N91&gt;90,"91~365일",IF('신청 원장'!N91&gt;30,"31~90일","0~30일")))))</x:f>
        <x:v>366일 이상</x:v>
      </x:c>
      <x:c r="O23" s="2" t="str">
        <x:f>IF(OR('신청 원장'!L91="",'신청 원장'!L91="선택"),"담당 원문 확인","기재")</x:f>
        <x:v>담당 원문 확인</x:v>
      </x:c>
      <x:c r="P23" s="2" t="str">
        <x:f>IF('신청 원장'!A91="","",'신청 원장'!A91)</x:f>
        <x:v>f50c94cd58492ec312238e47</x:v>
      </x:c>
    </x:row>
    <x:row r="24" ht="42" customHeight="1">
      <x:c r="A24" s="2" t="str">
        <x:f>IF('신청 원장'!B92="","",'신청 원장'!B92)</x:f>
        <x:v>방법론 신청</x:v>
      </x:c>
      <x:c r="B24" s="7" t="str">
        <x:f>IF('신청 원장'!D92="","",'신청 원장'!D92)</x:f>
        <x:v>석유화학 원료의 물리적 재활용된 폐플라스틱 대체에 따른 온실가스 감축 방법론</x:v>
      </x:c>
      <x:c r="C24" s="2" t="str">
        <x:f>IF('신청 원장'!F92="","",'신청 원장'!F92)</x:f>
        <x:v>2025-06-13</x:v>
      </x:c>
      <x:c r="D24" s="2" t="str">
        <x:f>IF('신청 원장'!J92="","",'신청 원장'!J92)</x:f>
        <x:v>보완요청(3차)</x:v>
      </x:c>
      <x:c r="E24" s="2" t="str">
        <x:f>IF('신청 원장'!L92="","",'신청 원장'!L92)</x:f>
      </x:c>
      <x:c r="F24" s="2" t="n">
        <x:f>IF('신청 원장'!M92="","",'신청 원장'!M92)</x:f>
        <x:v>3</x:v>
      </x:c>
      <x:c r="G24" s="2" t="n">
        <x:f>IF('신청 원장'!N92="","",'신청 원장'!N92)</x:f>
        <x:v>489</x:v>
      </x:c>
      <x:c r="H24" s="2" t="str">
        <x:f>IF('신청 원장'!AA92="","",'신청 원장'!AA92)</x:f>
        <x:v>내부 관찰 대상</x:v>
      </x:c>
      <x:c r="I24" s="2" t="str">
        <x:f>IF('신청 원장'!O92="","",'신청 원장'!O92)</x:f>
      </x:c>
      <x:c r="J24" s="2" t="str">
        <x:f>IF('신청 원장'!W92="","",'신청 원장'!W92)</x:f>
        <x:v>담당기관 확인</x:v>
      </x:c>
      <x:c r="K24" s="2" t="str">
        <x:f>IF('신청 원장'!X92="","",'신청 원장'!X92)</x:f>
        <x:v>원본·배정 기록 확인</x:v>
      </x:c>
      <x:c r="L24" s="2" t="str">
        <x:f>IF('신청 원장'!R92="","",'신청 원장'!R92)</x:f>
        <x:v>방법론</x:v>
      </x:c>
      <x:c r="M24" s="2" t="n">
        <x:f>IF('신청 원장'!S92="","",'신청 원장'!S92)</x:f>
        <x:v>88</x:v>
      </x:c>
      <x:c r="N24" s="2" t="str">
        <x:f>IF('신청 원장'!K92&lt;&gt;"미종결 표시","종결 상태 확인",IF('신청 원장'!N92="","일자 확인 필요",IF('신청 원장'!N92&gt;365,"366일 이상",IF('신청 원장'!N92&gt;90,"91~365일",IF('신청 원장'!N92&gt;30,"31~90일","0~30일")))))</x:f>
        <x:v>366일 이상</x:v>
      </x:c>
      <x:c r="O24" s="2" t="str">
        <x:f>IF(OR('신청 원장'!L92="",'신청 원장'!L92="선택"),"담당 원문 확인","기재")</x:f>
        <x:v>담당 원문 확인</x:v>
      </x:c>
      <x:c r="P24" s="2" t="str">
        <x:f>IF('신청 원장'!A92="","",'신청 원장'!A92)</x:f>
        <x:v>1180429efb103fe0e41a604f</x:v>
      </x:c>
    </x:row>
    <x:row r="25" ht="42" customHeight="1">
      <x:c r="A25" s="2" t="str">
        <x:f>IF('신청 원장'!B93="","",'신청 원장'!B93)</x:f>
        <x:v>방법론 신청</x:v>
      </x:c>
      <x:c r="B25" s="7" t="str">
        <x:f>IF('신청 원장'!D93="","",'신청 원장'!D93)</x:f>
        <x:v>초임계 이산화탄소(CO2) 발전기술을 통한 온실가스 감축사업의 방법론</x:v>
      </x:c>
      <x:c r="C25" s="2" t="str">
        <x:f>IF('신청 원장'!F93="","",'신청 원장'!F93)</x:f>
        <x:v>2025-06-20</x:v>
      </x:c>
      <x:c r="D25" s="2" t="str">
        <x:f>IF('신청 원장'!J93="","",'신청 원장'!J93)</x:f>
        <x:v>보완요청(2차)</x:v>
      </x:c>
      <x:c r="E25" s="2" t="str">
        <x:f>IF('신청 원장'!L93="","",'신청 원장'!L93)</x:f>
      </x:c>
      <x:c r="F25" s="2" t="n">
        <x:f>IF('신청 원장'!M93="","",'신청 원장'!M93)</x:f>
        <x:v>2</x:v>
      </x:c>
      <x:c r="G25" s="2" t="n">
        <x:f>IF('신청 원장'!N93="","",'신청 원장'!N93)</x:f>
        <x:v>482</x:v>
      </x:c>
      <x:c r="H25" s="2" t="str">
        <x:f>IF('신청 원장'!AA93="","",'신청 원장'!AA93)</x:f>
        <x:v>내부 관찰 대상</x:v>
      </x:c>
      <x:c r="I25" s="2" t="str">
        <x:f>IF('신청 원장'!O93="","",'신청 원장'!O93)</x:f>
      </x:c>
      <x:c r="J25" s="2" t="str">
        <x:f>IF('신청 원장'!W93="","",'신청 원장'!W93)</x:f>
        <x:v>담당기관 확인</x:v>
      </x:c>
      <x:c r="K25" s="2" t="str">
        <x:f>IF('신청 원장'!X93="","",'신청 원장'!X93)</x:f>
        <x:v>원본·배정 기록 확인</x:v>
      </x:c>
      <x:c r="L25" s="2" t="str">
        <x:f>IF('신청 원장'!R93="","",'신청 원장'!R93)</x:f>
        <x:v>방법론</x:v>
      </x:c>
      <x:c r="M25" s="2" t="n">
        <x:f>IF('신청 원장'!S93="","",'신청 원장'!S93)</x:f>
        <x:v>89</x:v>
      </x:c>
      <x:c r="N25" s="2" t="str">
        <x:f>IF('신청 원장'!K93&lt;&gt;"미종결 표시","종결 상태 확인",IF('신청 원장'!N93="","일자 확인 필요",IF('신청 원장'!N93&gt;365,"366일 이상",IF('신청 원장'!N93&gt;90,"91~365일",IF('신청 원장'!N93&gt;30,"31~90일","0~30일")))))</x:f>
        <x:v>366일 이상</x:v>
      </x:c>
      <x:c r="O25" s="2" t="str">
        <x:f>IF(OR('신청 원장'!L93="",'신청 원장'!L93="선택"),"담당 원문 확인","기재")</x:f>
        <x:v>담당 원문 확인</x:v>
      </x:c>
      <x:c r="P25" s="2" t="str">
        <x:f>IF('신청 원장'!A93="","",'신청 원장'!A93)</x:f>
        <x:v>2e19add6e02c6041d36341e9</x:v>
      </x:c>
    </x:row>
    <x:row r="26" ht="42" customHeight="1">
      <x:c r="A26" s="2" t="str">
        <x:f>IF('신청 원장'!B94="","",'신청 원장'!B94)</x:f>
        <x:v>방법론 신청</x:v>
      </x:c>
      <x:c r="B26" s="7" t="str">
        <x:f>IF('신청 원장'!D94="","",'신청 원장'!D94)</x:f>
        <x:v>미활용 LNG 기화 냉열 활용을 통한 전력 및 또는 화석연료 사용 절감 사업의 방법론</x:v>
      </x:c>
      <x:c r="C26" s="2" t="str">
        <x:f>IF('신청 원장'!F94="","",'신청 원장'!F94)</x:f>
        <x:v>2025-08-14</x:v>
      </x:c>
      <x:c r="D26" s="2" t="str">
        <x:f>IF('신청 원장'!J94="","",'신청 원장'!J94)</x:f>
        <x:v>기후부협의</x:v>
      </x:c>
      <x:c r="E26" s="2" t="str">
        <x:f>IF('신청 원장'!L94="","",'신청 원장'!L94)</x:f>
      </x:c>
      <x:c r="F26" s="2" t="str">
        <x:f>IF('신청 원장'!M94="","",'신청 원장'!M94)</x:f>
      </x:c>
      <x:c r="G26" s="2" t="n">
        <x:f>IF('신청 원장'!N94="","",'신청 원장'!N94)</x:f>
        <x:v>427</x:v>
      </x:c>
      <x:c r="H26" s="2" t="str">
        <x:f>IF('신청 원장'!AA94="","",'신청 원장'!AA94)</x:f>
        <x:v>내부 관찰 대상</x:v>
      </x:c>
      <x:c r="I26" s="2" t="str">
        <x:f>IF('신청 원장'!O94="","",'신청 원장'!O94)</x:f>
      </x:c>
      <x:c r="J26" s="2" t="str">
        <x:f>IF('신청 원장'!W94="","",'신청 원장'!W94)</x:f>
        <x:v>담당기관 확인 / 신청유형 불일치</x:v>
      </x:c>
      <x:c r="K26" s="2" t="str">
        <x:f>IF('신청 원장'!X94="","",'신청 원장'!X94)</x:f>
        <x:v>원본·배정 기록 확인</x:v>
      </x:c>
      <x:c r="L26" s="2" t="str">
        <x:f>IF('신청 원장'!R94="","",'신청 원장'!R94)</x:f>
        <x:v>방법론</x:v>
      </x:c>
      <x:c r="M26" s="2" t="n">
        <x:f>IF('신청 원장'!S94="","",'신청 원장'!S94)</x:f>
        <x:v>90</x:v>
      </x:c>
      <x:c r="N26" s="2" t="str">
        <x:f>IF('신청 원장'!K94&lt;&gt;"미종결 표시","종결 상태 확인",IF('신청 원장'!N94="","일자 확인 필요",IF('신청 원장'!N94&gt;365,"366일 이상",IF('신청 원장'!N94&gt;90,"91~365일",IF('신청 원장'!N94&gt;30,"31~90일","0~30일")))))</x:f>
        <x:v>366일 이상</x:v>
      </x:c>
      <x:c r="O26" s="2" t="str">
        <x:f>IF(OR('신청 원장'!L94="",'신청 원장'!L94="선택"),"담당 원문 확인","기재")</x:f>
        <x:v>담당 원문 확인</x:v>
      </x:c>
      <x:c r="P26" s="2" t="str">
        <x:f>IF('신청 원장'!A94="","",'신청 원장'!A94)</x:f>
        <x:v>4c7c40b77ac297c98017533f</x:v>
      </x:c>
    </x:row>
    <x:row r="27" ht="42" customHeight="1">
      <x:c r="A27" s="2" t="str">
        <x:f>IF('신청 원장'!B97="","",'신청 원장'!B97)</x:f>
        <x:v>방법론 신청</x:v>
      </x:c>
      <x:c r="B27" s="7" t="str">
        <x:f>IF('신청 원장'!D97="","",'신청 원장'!D97)</x:f>
        <x:v>LNG연료 추진선박 건조 시 발생하는 BOG를 도시가스 공급망에 주입하는 사업의 방법론</x:v>
      </x:c>
      <x:c r="C27" s="2" t="str">
        <x:f>IF('신청 원장'!F97="","",'신청 원장'!F97)</x:f>
        <x:v>2025-09-22</x:v>
      </x:c>
      <x:c r="D27" s="2" t="str">
        <x:f>IF('신청 원장'!J97="","",'신청 원장'!J97)</x:f>
        <x:v>평가중</x:v>
      </x:c>
      <x:c r="E27" s="2" t="str">
        <x:f>IF('신청 원장'!L97="","",'신청 원장'!L97)</x:f>
      </x:c>
      <x:c r="F27" s="2" t="str">
        <x:f>IF('신청 원장'!M97="","",'신청 원장'!M97)</x:f>
      </x:c>
      <x:c r="G27" s="2" t="n">
        <x:f>IF('신청 원장'!N97="","",'신청 원장'!N97)</x:f>
        <x:v>388</x:v>
      </x:c>
      <x:c r="H27" s="2" t="str">
        <x:f>IF('신청 원장'!AA97="","",'신청 원장'!AA97)</x:f>
        <x:v>내부 관찰 대상</x:v>
      </x:c>
      <x:c r="I27" s="2" t="str">
        <x:f>IF('신청 원장'!O97="","",'신청 원장'!O97)</x:f>
      </x:c>
      <x:c r="J27" s="2" t="str">
        <x:f>IF('신청 원장'!W97="","",'신청 원장'!W97)</x:f>
        <x:v>담당기관 확인 / 신청유형 불일치</x:v>
      </x:c>
      <x:c r="K27" s="2" t="str">
        <x:f>IF('신청 원장'!X97="","",'신청 원장'!X97)</x:f>
        <x:v>원본·배정 기록 확인</x:v>
      </x:c>
      <x:c r="L27" s="2" t="str">
        <x:f>IF('신청 원장'!R97="","",'신청 원장'!R97)</x:f>
        <x:v>방법론</x:v>
      </x:c>
      <x:c r="M27" s="2" t="n">
        <x:f>IF('신청 원장'!S97="","",'신청 원장'!S97)</x:f>
        <x:v>93</x:v>
      </x:c>
      <x:c r="N27" s="2" t="str">
        <x:f>IF('신청 원장'!K97&lt;&gt;"미종결 표시","종결 상태 확인",IF('신청 원장'!N97="","일자 확인 필요",IF('신청 원장'!N97&gt;365,"366일 이상",IF('신청 원장'!N97&gt;90,"91~365일",IF('신청 원장'!N97&gt;30,"31~90일","0~30일")))))</x:f>
        <x:v>366일 이상</x:v>
      </x:c>
      <x:c r="O27" s="2" t="str">
        <x:f>IF(OR('신청 원장'!L97="",'신청 원장'!L97="선택"),"담당 원문 확인","기재")</x:f>
        <x:v>담당 원문 확인</x:v>
      </x:c>
      <x:c r="P27" s="2" t="str">
        <x:f>IF('신청 원장'!A97="","",'신청 원장'!A97)</x:f>
        <x:v>fa83fadb8d6b79e466a3f770</x:v>
      </x:c>
    </x:row>
    <x:row r="28" ht="42" customHeight="1">
      <x:c r="A28" s="2" t="str">
        <x:f>IF('신청 원장'!B98="","",'신청 원장'!B98)</x:f>
        <x:v>방법론 신청</x:v>
      </x:c>
      <x:c r="B28" s="7" t="str">
        <x:f>IF('신청 원장'!D98="","",'신청 원장'!D98)</x:f>
        <x:v>(AMS-III.AV 개정) 융복합 수처리제를 활용한 500mL 생수 대체 온실가스 감축사업</x:v>
      </x:c>
      <x:c r="C28" s="2" t="str">
        <x:f>IF('신청 원장'!F98="","",'신청 원장'!F98)</x:f>
        <x:v>2025-10-14</x:v>
      </x:c>
      <x:c r="D28" s="2" t="str">
        <x:f>IF('신청 원장'!J98="","",'신청 원장'!J98)</x:f>
        <x:v>문서재제출요청</x:v>
      </x:c>
      <x:c r="E28" s="2" t="str">
        <x:f>IF('신청 원장'!L98="","",'신청 원장'!L98)</x:f>
      </x:c>
      <x:c r="F28" s="2" t="str">
        <x:f>IF('신청 원장'!M98="","",'신청 원장'!M98)</x:f>
      </x:c>
      <x:c r="G28" s="2" t="n">
        <x:f>IF('신청 원장'!N98="","",'신청 원장'!N98)</x:f>
        <x:v>366</x:v>
      </x:c>
      <x:c r="H28" s="2" t="str">
        <x:f>IF('신청 원장'!AA98="","",'신청 원장'!AA98)</x:f>
        <x:v>내부 관찰 대상</x:v>
      </x:c>
      <x:c r="I28" s="2" t="str">
        <x:f>IF('신청 원장'!O98="","",'신청 원장'!O98)</x:f>
      </x:c>
      <x:c r="J28" s="2" t="str">
        <x:f>IF('신청 원장'!W98="","",'신청 원장'!W98)</x:f>
        <x:v>담당기관 확인 / 신청유형 불일치</x:v>
      </x:c>
      <x:c r="K28" s="2" t="str">
        <x:f>IF('신청 원장'!X98="","",'신청 원장'!X98)</x:f>
        <x:v>원본·배정 기록 확인</x:v>
      </x:c>
      <x:c r="L28" s="2" t="str">
        <x:f>IF('신청 원장'!R98="","",'신청 원장'!R98)</x:f>
        <x:v>방법론</x:v>
      </x:c>
      <x:c r="M28" s="2" t="n">
        <x:f>IF('신청 원장'!S98="","",'신청 원장'!S98)</x:f>
        <x:v>94</x:v>
      </x:c>
      <x:c r="N28" s="2" t="str">
        <x:f>IF('신청 원장'!K98&lt;&gt;"미종결 표시","종결 상태 확인",IF('신청 원장'!N98="","일자 확인 필요",IF('신청 원장'!N98&gt;365,"366일 이상",IF('신청 원장'!N98&gt;90,"91~365일",IF('신청 원장'!N98&gt;30,"31~90일","0~30일")))))</x:f>
        <x:v>366일 이상</x:v>
      </x:c>
      <x:c r="O28" s="2" t="str">
        <x:f>IF(OR('신청 원장'!L98="",'신청 원장'!L98="선택"),"담당 원문 확인","기재")</x:f>
        <x:v>담당 원문 확인</x:v>
      </x:c>
      <x:c r="P28" s="2" t="str">
        <x:f>IF('신청 원장'!A98="","",'신청 원장'!A98)</x:f>
        <x:v>9ac4bf6294728788efb562cc</x:v>
      </x:c>
    </x:row>
    <x:row r="29" ht="42" customHeight="1">
      <x:c r="A29" s="2" t="str">
        <x:f>IF('신청 원장'!B99="","",'신청 원장'!B99)</x:f>
        <x:v>방법론 신청</x:v>
      </x:c>
      <x:c r="B29" s="7" t="str">
        <x:f>IF('신청 원장'!D99="","",'신청 원장'!D99)</x:f>
        <x:v>디스플레이제조공정 공정가스 처리를 통한 온실가스(F-Gas) 감축사업</x:v>
      </x:c>
      <x:c r="C29" s="2" t="str">
        <x:f>IF('신청 원장'!F99="","",'신청 원장'!F99)</x:f>
        <x:v>2025-11-19</x:v>
      </x:c>
      <x:c r="D29" s="2" t="str">
        <x:f>IF('신청 원장'!J99="","",'신청 원장'!J99)</x:f>
        <x:v>문서재제출요청</x:v>
      </x:c>
      <x:c r="E29" s="2" t="str">
        <x:f>IF('신청 원장'!L99="","",'신청 원장'!L99)</x:f>
      </x:c>
      <x:c r="F29" s="2" t="str">
        <x:f>IF('신청 원장'!M99="","",'신청 원장'!M99)</x:f>
      </x:c>
      <x:c r="G29" s="2" t="n">
        <x:f>IF('신청 원장'!N99="","",'신청 원장'!N99)</x:f>
        <x:v>330</x:v>
      </x:c>
      <x:c r="H29" s="2" t="str">
        <x:f>IF('신청 원장'!AA99="","",'신청 원장'!AA99)</x:f>
        <x:v>내부 관찰 대상</x:v>
      </x:c>
      <x:c r="I29" s="2" t="str">
        <x:f>IF('신청 원장'!O99="","",'신청 원장'!O99)</x:f>
      </x:c>
      <x:c r="J29" s="2" t="str">
        <x:f>IF('신청 원장'!W99="","",'신청 원장'!W99)</x:f>
        <x:v>담당기관 확인</x:v>
      </x:c>
      <x:c r="K29" s="2" t="str">
        <x:f>IF('신청 원장'!X99="","",'신청 원장'!X99)</x:f>
        <x:v>원본·배정 기록 확인</x:v>
      </x:c>
      <x:c r="L29" s="2" t="str">
        <x:f>IF('신청 원장'!R99="","",'신청 원장'!R99)</x:f>
        <x:v>방법론</x:v>
      </x:c>
      <x:c r="M29" s="2" t="n">
        <x:f>IF('신청 원장'!S99="","",'신청 원장'!S99)</x:f>
        <x:v>95</x:v>
      </x:c>
      <x:c r="N29" s="2" t="str">
        <x:f>IF('신청 원장'!K99&lt;&gt;"미종결 표시","종결 상태 확인",IF('신청 원장'!N99="","일자 확인 필요",IF('신청 원장'!N99&gt;365,"366일 이상",IF('신청 원장'!N99&gt;90,"91~365일",IF('신청 원장'!N99&gt;30,"31~90일","0~30일")))))</x:f>
        <x:v>91~365일</x:v>
      </x:c>
      <x:c r="O29" s="2" t="str">
        <x:f>IF(OR('신청 원장'!L99="",'신청 원장'!L99="선택"),"담당 원문 확인","기재")</x:f>
        <x:v>담당 원문 확인</x:v>
      </x:c>
      <x:c r="P29" s="2" t="str">
        <x:f>IF('신청 원장'!A99="","",'신청 원장'!A99)</x:f>
        <x:v>b003c8ca340933f227829762</x:v>
      </x:c>
    </x:row>
    <x:row r="30" ht="42" customHeight="1">
      <x:c r="A30" s="2" t="str">
        <x:f>IF('신청 원장'!B101="","",'신청 원장'!B101)</x:f>
        <x:v>방법론 신청</x:v>
      </x:c>
      <x:c r="B30" s="7" t="str">
        <x:f>IF('신청 원장'!D101="","",'신청 원장'!D101)</x:f>
        <x:v>LPG 입하시 승온과정에서 해수열을 이용한 화석연료 사용 절감 사업의 방법론</x:v>
      </x:c>
      <x:c r="C30" s="2" t="str">
        <x:f>IF('신청 원장'!F101="","",'신청 원장'!F101)</x:f>
        <x:v>2025-12-03</x:v>
      </x:c>
      <x:c r="D30" s="2" t="str">
        <x:f>IF('신청 원장'!J101="","",'신청 원장'!J101)</x:f>
        <x:v>평가중</x:v>
      </x:c>
      <x:c r="E30" s="2" t="str">
        <x:f>IF('신청 원장'!L101="","",'신청 원장'!L101)</x:f>
      </x:c>
      <x:c r="F30" s="2" t="str">
        <x:f>IF('신청 원장'!M101="","",'신청 원장'!M101)</x:f>
      </x:c>
      <x:c r="G30" s="2" t="n">
        <x:f>IF('신청 원장'!N101="","",'신청 원장'!N101)</x:f>
        <x:v>316</x:v>
      </x:c>
      <x:c r="H30" s="2" t="str">
        <x:f>IF('신청 원장'!AA101="","",'신청 원장'!AA101)</x:f>
        <x:v>내부 관찰 대상</x:v>
      </x:c>
      <x:c r="I30" s="2" t="str">
        <x:f>IF('신청 원장'!O101="","",'신청 원장'!O101)</x:f>
      </x:c>
      <x:c r="J30" s="2" t="str">
        <x:f>IF('신청 원장'!W101="","",'신청 원장'!W101)</x:f>
        <x:v>담당기관 확인</x:v>
      </x:c>
      <x:c r="K30" s="2" t="str">
        <x:f>IF('신청 원장'!X101="","",'신청 원장'!X101)</x:f>
        <x:v>원본·배정 기록 확인</x:v>
      </x:c>
      <x:c r="L30" s="2" t="str">
        <x:f>IF('신청 원장'!R101="","",'신청 원장'!R101)</x:f>
        <x:v>방법론</x:v>
      </x:c>
      <x:c r="M30" s="2" t="n">
        <x:f>IF('신청 원장'!S101="","",'신청 원장'!S101)</x:f>
        <x:v>97</x:v>
      </x:c>
      <x:c r="N30" s="2" t="str">
        <x:f>IF('신청 원장'!K101&lt;&gt;"미종결 표시","종결 상태 확인",IF('신청 원장'!N101="","일자 확인 필요",IF('신청 원장'!N101&gt;365,"366일 이상",IF('신청 원장'!N101&gt;90,"91~365일",IF('신청 원장'!N101&gt;30,"31~90일","0~30일")))))</x:f>
        <x:v>91~365일</x:v>
      </x:c>
      <x:c r="O30" s="2" t="str">
        <x:f>IF(OR('신청 원장'!L101="",'신청 원장'!L101="선택"),"담당 원문 확인","기재")</x:f>
        <x:v>담당 원문 확인</x:v>
      </x:c>
      <x:c r="P30" s="2" t="str">
        <x:f>IF('신청 원장'!A101="","",'신청 원장'!A101)</x:f>
        <x:v>876112cf95434ba4b3da25e3</x:v>
      </x:c>
    </x:row>
    <x:row r="31" ht="42" customHeight="1">
      <x:c r="A31" s="2" t="str">
        <x:f>IF('신청 원장'!B102="","",'신청 원장'!B102)</x:f>
        <x:v>방법론 신청</x:v>
      </x:c>
      <x:c r="B31" s="7" t="str">
        <x:f>IF('신청 원장'!D102="","",'신청 원장'!D102)</x:f>
        <x:v>SMR 기반 수소제조시설에서 이산화탄소 포집 및 활용 기술의 온실가스 감축 방법론</x:v>
      </x:c>
      <x:c r="C31" s="2" t="str">
        <x:f>IF('신청 원장'!F102="","",'신청 원장'!F102)</x:f>
        <x:v>2026-01-05</x:v>
      </x:c>
      <x:c r="D31" s="2" t="str">
        <x:f>IF('신청 원장'!J102="","",'신청 원장'!J102)</x:f>
        <x:v>평가중</x:v>
      </x:c>
      <x:c r="E31" s="2" t="str">
        <x:f>IF('신청 원장'!L102="","",'신청 원장'!L102)</x:f>
      </x:c>
      <x:c r="F31" s="2" t="str">
        <x:f>IF('신청 원장'!M102="","",'신청 원장'!M102)</x:f>
      </x:c>
      <x:c r="G31" s="2" t="n">
        <x:f>IF('신청 원장'!N102="","",'신청 원장'!N102)</x:f>
        <x:v>283</x:v>
      </x:c>
      <x:c r="H31" s="2" t="str">
        <x:f>IF('신청 원장'!AA102="","",'신청 원장'!AA102)</x:f>
        <x:v>내부 관찰 대상</x:v>
      </x:c>
      <x:c r="I31" s="2" t="str">
        <x:f>IF('신청 원장'!O102="","",'신청 원장'!O102)</x:f>
      </x:c>
      <x:c r="J31" s="2" t="str">
        <x:f>IF('신청 원장'!W102="","",'신청 원장'!W102)</x:f>
        <x:v>담당기관 확인</x:v>
      </x:c>
      <x:c r="K31" s="2" t="str">
        <x:f>IF('신청 원장'!X102="","",'신청 원장'!X102)</x:f>
        <x:v>원본·배정 기록 확인</x:v>
      </x:c>
      <x:c r="L31" s="2" t="str">
        <x:f>IF('신청 원장'!R102="","",'신청 원장'!R102)</x:f>
        <x:v>방법론</x:v>
      </x:c>
      <x:c r="M31" s="2" t="n">
        <x:f>IF('신청 원장'!S102="","",'신청 원장'!S102)</x:f>
        <x:v>98</x:v>
      </x:c>
      <x:c r="N31" s="2" t="str">
        <x:f>IF('신청 원장'!K102&lt;&gt;"미종결 표시","종결 상태 확인",IF('신청 원장'!N102="","일자 확인 필요",IF('신청 원장'!N102&gt;365,"366일 이상",IF('신청 원장'!N102&gt;90,"91~365일",IF('신청 원장'!N102&gt;30,"31~90일","0~30일")))))</x:f>
        <x:v>91~365일</x:v>
      </x:c>
      <x:c r="O31" s="2" t="str">
        <x:f>IF(OR('신청 원장'!L102="",'신청 원장'!L102="선택"),"담당 원문 확인","기재")</x:f>
        <x:v>담당 원문 확인</x:v>
      </x:c>
      <x:c r="P31" s="2" t="str">
        <x:f>IF('신청 원장'!A102="","",'신청 원장'!A102)</x:f>
        <x:v>3c429a8194f4a4bfede04260</x:v>
      </x:c>
    </x:row>
    <x:row r="32" ht="42" customHeight="1">
      <x:c r="A32" s="2" t="str">
        <x:f>IF('신청 원장'!B103="","",'신청 원장'!B103)</x:f>
        <x:v>방법론 신청</x:v>
      </x:c>
      <x:c r="B32" s="7" t="str">
        <x:f>IF('신청 원장'!D103="","",'신청 원장'!D103)</x:f>
        <x:v>유수율제고를 통한 간접배출 감축 방법론</x:v>
      </x:c>
      <x:c r="C32" s="2" t="str">
        <x:f>IF('신청 원장'!F103="","",'신청 원장'!F103)</x:f>
        <x:v>2026-03-09</x:v>
      </x:c>
      <x:c r="D32" s="2" t="str">
        <x:f>IF('신청 원장'!J103="","",'신청 원장'!J103)</x:f>
        <x:v>평가중</x:v>
      </x:c>
      <x:c r="E32" s="2" t="str">
        <x:f>IF('신청 원장'!L103="","",'신청 원장'!L103)</x:f>
      </x:c>
      <x:c r="F32" s="2" t="str">
        <x:f>IF('신청 원장'!M103="","",'신청 원장'!M103)</x:f>
      </x:c>
      <x:c r="G32" s="2" t="n">
        <x:f>IF('신청 원장'!N103="","",'신청 원장'!N103)</x:f>
        <x:v>220</x:v>
      </x:c>
      <x:c r="H32" s="2" t="str">
        <x:f>IF('신청 원장'!AA103="","",'신청 원장'!AA103)</x:f>
        <x:v>내부 관찰 대상</x:v>
      </x:c>
      <x:c r="I32" s="2" t="str">
        <x:f>IF('신청 원장'!O103="","",'신청 원장'!O103)</x:f>
      </x:c>
      <x:c r="J32" s="2" t="str">
        <x:f>IF('신청 원장'!W103="","",'신청 원장'!W103)</x:f>
        <x:v>담당기관 확인</x:v>
      </x:c>
      <x:c r="K32" s="2" t="str">
        <x:f>IF('신청 원장'!X103="","",'신청 원장'!X103)</x:f>
        <x:v>원본·배정 기록 확인</x:v>
      </x:c>
      <x:c r="L32" s="2" t="str">
        <x:f>IF('신청 원장'!R103="","",'신청 원장'!R103)</x:f>
        <x:v>방법론</x:v>
      </x:c>
      <x:c r="M32" s="2" t="n">
        <x:f>IF('신청 원장'!S103="","",'신청 원장'!S103)</x:f>
        <x:v>99</x:v>
      </x:c>
      <x:c r="N32" s="2" t="str">
        <x:f>IF('신청 원장'!K103&lt;&gt;"미종결 표시","종결 상태 확인",IF('신청 원장'!N103="","일자 확인 필요",IF('신청 원장'!N103&gt;365,"366일 이상",IF('신청 원장'!N103&gt;90,"91~365일",IF('신청 원장'!N103&gt;30,"31~90일","0~30일")))))</x:f>
        <x:v>91~365일</x:v>
      </x:c>
      <x:c r="O32" s="2" t="str">
        <x:f>IF(OR('신청 원장'!L103="",'신청 원장'!L103="선택"),"담당 원문 확인","기재")</x:f>
        <x:v>담당 원문 확인</x:v>
      </x:c>
      <x:c r="P32" s="2" t="str">
        <x:f>IF('신청 원장'!A103="","",'신청 원장'!A103)</x:f>
        <x:v>658057db6e394aa651db0764</x:v>
      </x:c>
    </x:row>
    <x:row r="33" ht="42" customHeight="1">
      <x:c r="A33" s="2" t="str">
        <x:f>IF('신청 원장'!B104="","",'신청 원장'!B104)</x:f>
        <x:v>방법론 신청</x:v>
      </x:c>
      <x:c r="B33" s="7" t="str">
        <x:f>IF('신청 원장'!D104="","",'신청 원장'!D104)</x:f>
        <x:v>물재사용절수시스템에 따르 온실가스감축사업의방법론</x:v>
      </x:c>
      <x:c r="C33" s="2" t="str">
        <x:f>IF('신청 원장'!F104="","",'신청 원장'!F104)</x:f>
        <x:v>2026-03-19</x:v>
      </x:c>
      <x:c r="D33" s="2" t="str">
        <x:f>IF('신청 원장'!J104="","",'신청 원장'!J104)</x:f>
        <x:v>평가중</x:v>
      </x:c>
      <x:c r="E33" s="2" t="str">
        <x:f>IF('신청 원장'!L104="","",'신청 원장'!L104)</x:f>
      </x:c>
      <x:c r="F33" s="2" t="str">
        <x:f>IF('신청 원장'!M104="","",'신청 원장'!M104)</x:f>
      </x:c>
      <x:c r="G33" s="2" t="n">
        <x:f>IF('신청 원장'!N104="","",'신청 원장'!N104)</x:f>
        <x:v>210</x:v>
      </x:c>
      <x:c r="H33" s="2" t="str">
        <x:f>IF('신청 원장'!AA104="","",'신청 원장'!AA104)</x:f>
        <x:v>내부 관찰 대상</x:v>
      </x:c>
      <x:c r="I33" s="2" t="str">
        <x:f>IF('신청 원장'!O104="","",'신청 원장'!O104)</x:f>
      </x:c>
      <x:c r="J33" s="2" t="str">
        <x:f>IF('신청 원장'!W104="","",'신청 원장'!W104)</x:f>
        <x:v>담당기관 확인</x:v>
      </x:c>
      <x:c r="K33" s="2" t="str">
        <x:f>IF('신청 원장'!X104="","",'신청 원장'!X104)</x:f>
        <x:v>원본·배정 기록 확인</x:v>
      </x:c>
      <x:c r="L33" s="2" t="str">
        <x:f>IF('신청 원장'!R104="","",'신청 원장'!R104)</x:f>
        <x:v>방법론</x:v>
      </x:c>
      <x:c r="M33" s="2" t="n">
        <x:f>IF('신청 원장'!S104="","",'신청 원장'!S104)</x:f>
        <x:v>100</x:v>
      </x:c>
      <x:c r="N33" s="2" t="str">
        <x:f>IF('신청 원장'!K104&lt;&gt;"미종결 표시","종결 상태 확인",IF('신청 원장'!N104="","일자 확인 필요",IF('신청 원장'!N104&gt;365,"366일 이상",IF('신청 원장'!N104&gt;90,"91~365일",IF('신청 원장'!N104&gt;30,"31~90일","0~30일")))))</x:f>
        <x:v>91~365일</x:v>
      </x:c>
      <x:c r="O33" s="2" t="str">
        <x:f>IF(OR('신청 원장'!L104="",'신청 원장'!L104="선택"),"담당 원문 확인","기재")</x:f>
        <x:v>담당 원문 확인</x:v>
      </x:c>
      <x:c r="P33" s="2" t="str">
        <x:f>IF('신청 원장'!A104="","",'신청 원장'!A104)</x:f>
        <x:v>cfeac5df640c9e9d4ce790f6</x:v>
      </x:c>
    </x:row>
    <x:row r="34" ht="42" customHeight="1">
      <x:c r="A34" s="2" t="str">
        <x:f>IF('신청 원장'!B105="","",'신청 원장'!B105)</x:f>
        <x:v>방법론 신청</x:v>
      </x:c>
      <x:c r="B34" s="7" t="str">
        <x:f>IF('신청 원장'!D105="","",'신청 원장'!D105)</x:f>
        <x:v>국내 중온 아스팔트 혼합물 생산을 통한 연료 및 온실가스 저감 사업의 방법론(개정안)</x:v>
      </x:c>
      <x:c r="C34" s="2" t="str">
        <x:f>IF('신청 원장'!F105="","",'신청 원장'!F105)</x:f>
        <x:v>2026-03-26</x:v>
      </x:c>
      <x:c r="D34" s="2" t="str">
        <x:f>IF('신청 원장'!J105="","",'신청 원장'!J105)</x:f>
        <x:v>보완요청(1차)</x:v>
      </x:c>
      <x:c r="E34" s="2" t="str">
        <x:f>IF('신청 원장'!L105="","",'신청 원장'!L105)</x:f>
      </x:c>
      <x:c r="F34" s="2" t="n">
        <x:f>IF('신청 원장'!M105="","",'신청 원장'!M105)</x:f>
        <x:v>1</x:v>
      </x:c>
      <x:c r="G34" s="2" t="n">
        <x:f>IF('신청 원장'!N105="","",'신청 원장'!N105)</x:f>
        <x:v>203</x:v>
      </x:c>
      <x:c r="H34" s="2" t="str">
        <x:f>IF('신청 원장'!AA105="","",'신청 원장'!AA105)</x:f>
        <x:v>내부 관찰 대상</x:v>
      </x:c>
      <x:c r="I34" s="2" t="str">
        <x:f>IF('신청 원장'!O105="","",'신청 원장'!O105)</x:f>
      </x:c>
      <x:c r="J34" s="2" t="str">
        <x:f>IF('신청 원장'!W105="","",'신청 원장'!W105)</x:f>
        <x:v>담당기관 확인</x:v>
      </x:c>
      <x:c r="K34" s="2" t="str">
        <x:f>IF('신청 원장'!X105="","",'신청 원장'!X105)</x:f>
        <x:v>원본·배정 기록 확인</x:v>
      </x:c>
      <x:c r="L34" s="2" t="str">
        <x:f>IF('신청 원장'!R105="","",'신청 원장'!R105)</x:f>
        <x:v>방법론</x:v>
      </x:c>
      <x:c r="M34" s="2" t="n">
        <x:f>IF('신청 원장'!S105="","",'신청 원장'!S105)</x:f>
        <x:v>101</x:v>
      </x:c>
      <x:c r="N34" s="2" t="str">
        <x:f>IF('신청 원장'!K105&lt;&gt;"미종결 표시","종결 상태 확인",IF('신청 원장'!N105="","일자 확인 필요",IF('신청 원장'!N105&gt;365,"366일 이상",IF('신청 원장'!N105&gt;90,"91~365일",IF('신청 원장'!N105&gt;30,"31~90일","0~30일")))))</x:f>
        <x:v>91~365일</x:v>
      </x:c>
      <x:c r="O34" s="2" t="str">
        <x:f>IF(OR('신청 원장'!L105="",'신청 원장'!L105="선택"),"담당 원문 확인","기재")</x:f>
        <x:v>담당 원문 확인</x:v>
      </x:c>
      <x:c r="P34" s="2" t="str">
        <x:f>IF('신청 원장'!A105="","",'신청 원장'!A105)</x:f>
        <x:v>4cfa2c470a7af1e710bce571</x:v>
      </x:c>
    </x:row>
    <x:row r="35" ht="42" customHeight="1">
      <x:c r="A35" s="2" t="str">
        <x:f>IF('신청 원장'!B166="","",'신청 원장'!B166)</x:f>
        <x:v>사업 평가</x:v>
      </x:c>
      <x:c r="B35" s="7" t="str">
        <x:f>IF('신청 원장'!D166="","",'신청 원장'!D166)</x:f>
        <x:v>동해천곡5관리소 온수보일러 연료전환(B-C유-&gt;LNG)을 통한 온실가스 배출 감축사업</x:v>
      </x:c>
      <x:c r="C35" s="2" t="str">
        <x:f>IF('신청 원장'!F166="","",'신청 원장'!F166)</x:f>
        <x:v>2026-02-13</x:v>
      </x:c>
      <x:c r="D35" s="2" t="str">
        <x:f>IF('신청 원장'!J166="","",'신청 원장'!J166)</x:f>
        <x:v>평가중</x:v>
      </x:c>
      <x:c r="E35" s="2" t="str">
        <x:f>IF('신청 원장'!L166="","",'신청 원장'!L166)</x:f>
      </x:c>
      <x:c r="F35" s="2" t="str">
        <x:f>IF('신청 원장'!M166="","",'신청 원장'!M166)</x:f>
      </x:c>
      <x:c r="G35" s="2" t="n">
        <x:f>IF('신청 원장'!N166="","",'신청 원장'!N166)</x:f>
        <x:v>244</x:v>
      </x:c>
      <x:c r="H35" s="2" t="str">
        <x:f>IF('신청 원장'!AA166="","",'신청 원장'!AA166)</x:f>
        <x:v>내부 관찰 대상</x:v>
      </x:c>
      <x:c r="I35" s="2" t="str">
        <x:f>IF('신청 원장'!O166="","",'신청 원장'!O166)</x:f>
      </x:c>
      <x:c r="J35" s="2" t="str">
        <x:f>IF('신청 원장'!W166="","",'신청 원장'!W166)</x:f>
        <x:v>담당기관 확인</x:v>
      </x:c>
      <x:c r="K35" s="2" t="str">
        <x:f>IF('신청 원장'!X166="","",'신청 원장'!X166)</x:f>
        <x:v>원본·배정 기록 확인</x:v>
      </x:c>
      <x:c r="L35" s="2" t="str">
        <x:f>IF('신청 원장'!R166="","",'신청 원장'!R166)</x:f>
        <x:v>국내평가</x:v>
      </x:c>
      <x:c r="M35" s="2" t="n">
        <x:f>IF('신청 원장'!S166="","",'신청 원장'!S166)</x:f>
        <x:v>69</x:v>
      </x:c>
      <x:c r="N35" s="2" t="str">
        <x:f>IF('신청 원장'!K166&lt;&gt;"미종결 표시","종결 상태 확인",IF('신청 원장'!N166="","일자 확인 필요",IF('신청 원장'!N166&gt;365,"366일 이상",IF('신청 원장'!N166&gt;90,"91~365일",IF('신청 원장'!N166&gt;30,"31~90일","0~30일")))))</x:f>
        <x:v>91~365일</x:v>
      </x:c>
      <x:c r="O35" s="2" t="str">
        <x:f>IF(OR('신청 원장'!L166="",'신청 원장'!L166="선택"),"담당 원문 확인","기재")</x:f>
        <x:v>담당 원문 확인</x:v>
      </x:c>
      <x:c r="P35" s="2" t="str">
        <x:f>IF('신청 원장'!A166="","",'신청 원장'!A166)</x:f>
        <x:v>aaa582922195b50fcfb1cfc4</x:v>
      </x:c>
    </x:row>
    <x:row r="36" ht="42" customHeight="1">
      <x:c r="A36" s="2" t="str">
        <x:f>IF('신청 원장'!B167="","",'신청 원장'!B167)</x:f>
        <x:v>사업 평가</x:v>
      </x:c>
      <x:c r="B36" s="7" t="str">
        <x:f>IF('신청 원장'!D167="","",'신청 원장'!D167)</x:f>
        <x:v>석사3관리소 온수보일러 연료전환(B-C유-&gt;LNG)을 통한 온실가스 배출 감축사업</x:v>
      </x:c>
      <x:c r="C36" s="2" t="str">
        <x:f>IF('신청 원장'!F167="","",'신청 원장'!F167)</x:f>
        <x:v>2026-02-13</x:v>
      </x:c>
      <x:c r="D36" s="2" t="str">
        <x:f>IF('신청 원장'!J167="","",'신청 원장'!J167)</x:f>
        <x:v>평가중</x:v>
      </x:c>
      <x:c r="E36" s="2" t="str">
        <x:f>IF('신청 원장'!L167="","",'신청 원장'!L167)</x:f>
      </x:c>
      <x:c r="F36" s="2" t="str">
        <x:f>IF('신청 원장'!M167="","",'신청 원장'!M167)</x:f>
      </x:c>
      <x:c r="G36" s="2" t="n">
        <x:f>IF('신청 원장'!N167="","",'신청 원장'!N167)</x:f>
        <x:v>244</x:v>
      </x:c>
      <x:c r="H36" s="2" t="str">
        <x:f>IF('신청 원장'!AA167="","",'신청 원장'!AA167)</x:f>
        <x:v>내부 관찰 대상</x:v>
      </x:c>
      <x:c r="I36" s="2" t="str">
        <x:f>IF('신청 원장'!O167="","",'신청 원장'!O167)</x:f>
      </x:c>
      <x:c r="J36" s="2" t="str">
        <x:f>IF('신청 원장'!W167="","",'신청 원장'!W167)</x:f>
        <x:v>담당기관 확인</x:v>
      </x:c>
      <x:c r="K36" s="2" t="str">
        <x:f>IF('신청 원장'!X167="","",'신청 원장'!X167)</x:f>
        <x:v>원본·배정 기록 확인</x:v>
      </x:c>
      <x:c r="L36" s="2" t="str">
        <x:f>IF('신청 원장'!R167="","",'신청 원장'!R167)</x:f>
        <x:v>국내평가</x:v>
      </x:c>
      <x:c r="M36" s="2" t="n">
        <x:f>IF('신청 원장'!S167="","",'신청 원장'!S167)</x:f>
        <x:v>70</x:v>
      </x:c>
      <x:c r="N36" s="2" t="str">
        <x:f>IF('신청 원장'!K167&lt;&gt;"미종결 표시","종결 상태 확인",IF('신청 원장'!N167="","일자 확인 필요",IF('신청 원장'!N167&gt;365,"366일 이상",IF('신청 원장'!N167&gt;90,"91~365일",IF('신청 원장'!N167&gt;30,"31~90일","0~30일")))))</x:f>
        <x:v>91~365일</x:v>
      </x:c>
      <x:c r="O36" s="2" t="str">
        <x:f>IF(OR('신청 원장'!L167="",'신청 원장'!L167="선택"),"담당 원문 확인","기재")</x:f>
        <x:v>담당 원문 확인</x:v>
      </x:c>
      <x:c r="P36" s="2" t="str">
        <x:f>IF('신청 원장'!A167="","",'신청 원장'!A167)</x:f>
        <x:v>d21b2223b69f7b388feeb755</x:v>
      </x:c>
    </x:row>
    <x:row r="37" ht="42" customHeight="1">
      <x:c r="A37" s="2" t="str">
        <x:f>IF('신청 원장'!B200="","",'신청 원장'!B200)</x:f>
        <x:v>사업 평가</x:v>
      </x:c>
      <x:c r="B37" s="7" t="str">
        <x:f>IF('신청 원장'!D200="","",'신청 원장'!D200)</x:f>
        <x:v>광주 각화 주공아파트 연료전환을 통한 온실가스 감축사업</x:v>
      </x:c>
      <x:c r="C37" s="2" t="str">
        <x:f>IF('신청 원장'!F200="","",'신청 원장'!F200)</x:f>
        <x:v>2025-02-19</x:v>
      </x:c>
      <x:c r="D37" s="2" t="str">
        <x:f>IF('신청 원장'!J200="","",'신청 원장'!J200)</x:f>
        <x:v>평가중</x:v>
      </x:c>
      <x:c r="E37" s="2" t="str">
        <x:f>IF('신청 원장'!L200="","",'신청 원장'!L200)</x:f>
      </x:c>
      <x:c r="F37" s="2" t="str">
        <x:f>IF('신청 원장'!M200="","",'신청 원장'!M200)</x:f>
      </x:c>
      <x:c r="G37" s="2" t="n">
        <x:f>IF('신청 원장'!N200="","",'신청 원장'!N200)</x:f>
        <x:v>603</x:v>
      </x:c>
      <x:c r="H37" s="2" t="str">
        <x:f>IF('신청 원장'!AA200="","",'신청 원장'!AA200)</x:f>
        <x:v>내부 관찰 대상</x:v>
      </x:c>
      <x:c r="I37" s="2" t="str">
        <x:f>IF('신청 원장'!O200="","",'신청 원장'!O200)</x:f>
        <x:v>생략</x:v>
      </x:c>
      <x:c r="J37" s="2" t="str">
        <x:f>IF('신청 원장'!W200="","",'신청 원장'!W200)</x:f>
        <x:v>담당기관 확인</x:v>
      </x:c>
      <x:c r="K37" s="2" t="str">
        <x:f>IF('신청 원장'!X200="","",'신청 원장'!X200)</x:f>
        <x:v>원본·배정 기록 확인</x:v>
      </x:c>
      <x:c r="L37" s="2" t="str">
        <x:f>IF('신청 원장'!R200="","",'신청 원장'!R200)</x:f>
        <x:v>국내평가</x:v>
      </x:c>
      <x:c r="M37" s="2" t="n">
        <x:f>IF('신청 원장'!S200="","",'신청 원장'!S200)</x:f>
        <x:v>103</x:v>
      </x:c>
      <x:c r="N37" s="2" t="str">
        <x:f>IF('신청 원장'!K200&lt;&gt;"미종결 표시","종결 상태 확인",IF('신청 원장'!N200="","일자 확인 필요",IF('신청 원장'!N200&gt;365,"366일 이상",IF('신청 원장'!N200&gt;90,"91~365일",IF('신청 원장'!N200&gt;30,"31~90일","0~30일")))))</x:f>
        <x:v>366일 이상</x:v>
      </x:c>
      <x:c r="O37" s="2" t="str">
        <x:f>IF(OR('신청 원장'!L200="",'신청 원장'!L200="선택"),"담당 원문 확인","기재")</x:f>
        <x:v>담당 원문 확인</x:v>
      </x:c>
      <x:c r="P37" s="2" t="str">
        <x:f>IF('신청 원장'!A200="","",'신청 원장'!A200)</x:f>
        <x:v>ce6370f913d162e378a0e901</x:v>
      </x:c>
    </x:row>
    <x:row r="38" ht="42" customHeight="1">
      <x:c r="A38" s="2" t="str">
        <x:f>IF('신청 원장'!B201="","",'신청 원장'!B201)</x:f>
        <x:v>사업 평가</x:v>
      </x:c>
      <x:c r="B38" s="7" t="str">
        <x:f>IF('신청 원장'!D201="","",'신청 원장'!D201)</x:f>
        <x:v>광주 두암 주공 2단지 아파트 연료전환을 통한 온실가스 감축사업</x:v>
      </x:c>
      <x:c r="C38" s="2" t="str">
        <x:f>IF('신청 원장'!F201="","",'신청 원장'!F201)</x:f>
        <x:v>2025-02-19</x:v>
      </x:c>
      <x:c r="D38" s="2" t="str">
        <x:f>IF('신청 원장'!J201="","",'신청 원장'!J201)</x:f>
        <x:v>기후부협의</x:v>
      </x:c>
      <x:c r="E38" s="2" t="str">
        <x:f>IF('신청 원장'!L201="","",'신청 원장'!L201)</x:f>
      </x:c>
      <x:c r="F38" s="2" t="str">
        <x:f>IF('신청 원장'!M201="","",'신청 원장'!M201)</x:f>
      </x:c>
      <x:c r="G38" s="2" t="n">
        <x:f>IF('신청 원장'!N201="","",'신청 원장'!N201)</x:f>
        <x:v>603</x:v>
      </x:c>
      <x:c r="H38" s="2" t="str">
        <x:f>IF('신청 원장'!AA201="","",'신청 원장'!AA201)</x:f>
        <x:v>내부 관찰 대상</x:v>
      </x:c>
      <x:c r="I38" s="2" t="str">
        <x:f>IF('신청 원장'!O201="","",'신청 원장'!O201)</x:f>
        <x:v>생략</x:v>
      </x:c>
      <x:c r="J38" s="2" t="str">
        <x:f>IF('신청 원장'!W201="","",'신청 원장'!W201)</x:f>
        <x:v>담당기관 확인</x:v>
      </x:c>
      <x:c r="K38" s="2" t="str">
        <x:f>IF('신청 원장'!X201="","",'신청 원장'!X201)</x:f>
        <x:v>원본·배정 기록 확인</x:v>
      </x:c>
      <x:c r="L38" s="2" t="str">
        <x:f>IF('신청 원장'!R201="","",'신청 원장'!R201)</x:f>
        <x:v>국내평가</x:v>
      </x:c>
      <x:c r="M38" s="2" t="n">
        <x:f>IF('신청 원장'!S201="","",'신청 원장'!S201)</x:f>
        <x:v>104</x:v>
      </x:c>
      <x:c r="N38" s="2" t="str">
        <x:f>IF('신청 원장'!K201&lt;&gt;"미종결 표시","종결 상태 확인",IF('신청 원장'!N201="","일자 확인 필요",IF('신청 원장'!N201&gt;365,"366일 이상",IF('신청 원장'!N201&gt;90,"91~365일",IF('신청 원장'!N201&gt;30,"31~90일","0~30일")))))</x:f>
        <x:v>366일 이상</x:v>
      </x:c>
      <x:c r="O38" s="2" t="str">
        <x:f>IF(OR('신청 원장'!L201="",'신청 원장'!L201="선택"),"담당 원문 확인","기재")</x:f>
        <x:v>담당 원문 확인</x:v>
      </x:c>
      <x:c r="P38" s="2" t="str">
        <x:f>IF('신청 원장'!A201="","",'신청 원장'!A201)</x:f>
        <x:v>fe06a6d37201fb4b304f9f56</x:v>
      </x:c>
    </x:row>
    <x:row r="39" ht="42" customHeight="1">
      <x:c r="A39" s="2" t="str">
        <x:f>IF('신청 원장'!B202="","",'신청 원장'!B202)</x:f>
        <x:v>사업 평가</x:v>
      </x:c>
      <x:c r="B39" s="7" t="str">
        <x:f>IF('신청 원장'!D202="","",'신청 원장'!D202)</x:f>
        <x:v>광주 두암 주공 4단지 아파트 연료전환을 통한 온실가스 감축사업</x:v>
      </x:c>
      <x:c r="C39" s="2" t="str">
        <x:f>IF('신청 원장'!F202="","",'신청 원장'!F202)</x:f>
        <x:v>2025-02-19</x:v>
      </x:c>
      <x:c r="D39" s="2" t="str">
        <x:f>IF('신청 원장'!J202="","",'신청 원장'!J202)</x:f>
        <x:v>기후부협의</x:v>
      </x:c>
      <x:c r="E39" s="2" t="str">
        <x:f>IF('신청 원장'!L202="","",'신청 원장'!L202)</x:f>
      </x:c>
      <x:c r="F39" s="2" t="str">
        <x:f>IF('신청 원장'!M202="","",'신청 원장'!M202)</x:f>
      </x:c>
      <x:c r="G39" s="2" t="n">
        <x:f>IF('신청 원장'!N202="","",'신청 원장'!N202)</x:f>
        <x:v>603</x:v>
      </x:c>
      <x:c r="H39" s="2" t="str">
        <x:f>IF('신청 원장'!AA202="","",'신청 원장'!AA202)</x:f>
        <x:v>내부 관찰 대상</x:v>
      </x:c>
      <x:c r="I39" s="2" t="str">
        <x:f>IF('신청 원장'!O202="","",'신청 원장'!O202)</x:f>
        <x:v>생략</x:v>
      </x:c>
      <x:c r="J39" s="2" t="str">
        <x:f>IF('신청 원장'!W202="","",'신청 원장'!W202)</x:f>
        <x:v>담당기관 확인</x:v>
      </x:c>
      <x:c r="K39" s="2" t="str">
        <x:f>IF('신청 원장'!X202="","",'신청 원장'!X202)</x:f>
        <x:v>원본·배정 기록 확인</x:v>
      </x:c>
      <x:c r="L39" s="2" t="str">
        <x:f>IF('신청 원장'!R202="","",'신청 원장'!R202)</x:f>
        <x:v>국내평가</x:v>
      </x:c>
      <x:c r="M39" s="2" t="n">
        <x:f>IF('신청 원장'!S202="","",'신청 원장'!S202)</x:f>
        <x:v>105</x:v>
      </x:c>
      <x:c r="N39" s="2" t="str">
        <x:f>IF('신청 원장'!K202&lt;&gt;"미종결 표시","종결 상태 확인",IF('신청 원장'!N202="","일자 확인 필요",IF('신청 원장'!N202&gt;365,"366일 이상",IF('신청 원장'!N202&gt;90,"91~365일",IF('신청 원장'!N202&gt;30,"31~90일","0~30일")))))</x:f>
        <x:v>366일 이상</x:v>
      </x:c>
      <x:c r="O39" s="2" t="str">
        <x:f>IF(OR('신청 원장'!L202="",'신청 원장'!L202="선택"),"담당 원문 확인","기재")</x:f>
        <x:v>담당 원문 확인</x:v>
      </x:c>
      <x:c r="P39" s="2" t="str">
        <x:f>IF('신청 원장'!A202="","",'신청 원장'!A202)</x:f>
        <x:v>7ab06cba32473ac4a3225f85</x:v>
      </x:c>
    </x:row>
    <x:row r="40" ht="42" customHeight="1">
      <x:c r="A40" s="2" t="str">
        <x:f>IF('신청 원장'!B203="","",'신청 원장'!B203)</x:f>
        <x:v>사업 평가</x:v>
      </x:c>
      <x:c r="B40" s="7" t="str">
        <x:f>IF('신청 원장'!D203="","",'신청 원장'!D203)</x:f>
        <x:v>광주 쌍촌 주공 아파트 연료전환을 통한 온실가스 감축사업</x:v>
      </x:c>
      <x:c r="C40" s="2" t="str">
        <x:f>IF('신청 원장'!F203="","",'신청 원장'!F203)</x:f>
        <x:v>2025-02-19</x:v>
      </x:c>
      <x:c r="D40" s="2" t="str">
        <x:f>IF('신청 원장'!J203="","",'신청 원장'!J203)</x:f>
        <x:v>기후부협의</x:v>
      </x:c>
      <x:c r="E40" s="2" t="str">
        <x:f>IF('신청 원장'!L203="","",'신청 원장'!L203)</x:f>
      </x:c>
      <x:c r="F40" s="2" t="str">
        <x:f>IF('신청 원장'!M203="","",'신청 원장'!M203)</x:f>
      </x:c>
      <x:c r="G40" s="2" t="n">
        <x:f>IF('신청 원장'!N203="","",'신청 원장'!N203)</x:f>
        <x:v>603</x:v>
      </x:c>
      <x:c r="H40" s="2" t="str">
        <x:f>IF('신청 원장'!AA203="","",'신청 원장'!AA203)</x:f>
        <x:v>내부 관찰 대상</x:v>
      </x:c>
      <x:c r="I40" s="2" t="str">
        <x:f>IF('신청 원장'!O203="","",'신청 원장'!O203)</x:f>
        <x:v>생략</x:v>
      </x:c>
      <x:c r="J40" s="2" t="str">
        <x:f>IF('신청 원장'!W203="","",'신청 원장'!W203)</x:f>
        <x:v>담당기관 확인</x:v>
      </x:c>
      <x:c r="K40" s="2" t="str">
        <x:f>IF('신청 원장'!X203="","",'신청 원장'!X203)</x:f>
        <x:v>원본·배정 기록 확인</x:v>
      </x:c>
      <x:c r="L40" s="2" t="str">
        <x:f>IF('신청 원장'!R203="","",'신청 원장'!R203)</x:f>
        <x:v>국내평가</x:v>
      </x:c>
      <x:c r="M40" s="2" t="n">
        <x:f>IF('신청 원장'!S203="","",'신청 원장'!S203)</x:f>
        <x:v>106</x:v>
      </x:c>
      <x:c r="N40" s="2" t="str">
        <x:f>IF('신청 원장'!K203&lt;&gt;"미종결 표시","종결 상태 확인",IF('신청 원장'!N203="","일자 확인 필요",IF('신청 원장'!N203&gt;365,"366일 이상",IF('신청 원장'!N203&gt;90,"91~365일",IF('신청 원장'!N203&gt;30,"31~90일","0~30일")))))</x:f>
        <x:v>366일 이상</x:v>
      </x:c>
      <x:c r="O40" s="2" t="str">
        <x:f>IF(OR('신청 원장'!L203="",'신청 원장'!L203="선택"),"담당 원문 확인","기재")</x:f>
        <x:v>담당 원문 확인</x:v>
      </x:c>
      <x:c r="P40" s="2" t="str">
        <x:f>IF('신청 원장'!A203="","",'신청 원장'!A203)</x:f>
        <x:v>fae0f957bd085ca5626f7aff</x:v>
      </x:c>
    </x:row>
    <x:row r="41" ht="42" customHeight="1">
      <x:c r="A41" s="2" t="str">
        <x:f>IF('신청 원장'!B204="","",'신청 원장'!B204)</x:f>
        <x:v>사업 평가</x:v>
      </x:c>
      <x:c r="B41" s="7" t="str">
        <x:f>IF('신청 원장'!D204="","",'신청 원장'!D204)</x:f>
        <x:v>광주 오치 주공 1단지 아파트 연료전환을 통한 온실가스 감축사업</x:v>
      </x:c>
      <x:c r="C41" s="2" t="str">
        <x:f>IF('신청 원장'!F204="","",'신청 원장'!F204)</x:f>
        <x:v>2025-02-12</x:v>
      </x:c>
      <x:c r="D41" s="2" t="str">
        <x:f>IF('신청 원장'!J204="","",'신청 원장'!J204)</x:f>
        <x:v>기후부협의</x:v>
      </x:c>
      <x:c r="E41" s="2" t="str">
        <x:f>IF('신청 원장'!L204="","",'신청 원장'!L204)</x:f>
      </x:c>
      <x:c r="F41" s="2" t="str">
        <x:f>IF('신청 원장'!M204="","",'신청 원장'!M204)</x:f>
      </x:c>
      <x:c r="G41" s="2" t="n">
        <x:f>IF('신청 원장'!N204="","",'신청 원장'!N204)</x:f>
        <x:v>610</x:v>
      </x:c>
      <x:c r="H41" s="2" t="str">
        <x:f>IF('신청 원장'!AA204="","",'신청 원장'!AA204)</x:f>
        <x:v>내부 관찰 대상</x:v>
      </x:c>
      <x:c r="I41" s="2" t="str">
        <x:f>IF('신청 원장'!O204="","",'신청 원장'!O204)</x:f>
        <x:v>생략</x:v>
      </x:c>
      <x:c r="J41" s="2" t="str">
        <x:f>IF('신청 원장'!W204="","",'신청 원장'!W204)</x:f>
        <x:v>담당기관 확인</x:v>
      </x:c>
      <x:c r="K41" s="2" t="str">
        <x:f>IF('신청 원장'!X204="","",'신청 원장'!X204)</x:f>
        <x:v>원본·배정 기록 확인</x:v>
      </x:c>
      <x:c r="L41" s="2" t="str">
        <x:f>IF('신청 원장'!R204="","",'신청 원장'!R204)</x:f>
        <x:v>국내평가</x:v>
      </x:c>
      <x:c r="M41" s="2" t="n">
        <x:f>IF('신청 원장'!S204="","",'신청 원장'!S204)</x:f>
        <x:v>107</x:v>
      </x:c>
      <x:c r="N41" s="2" t="str">
        <x:f>IF('신청 원장'!K204&lt;&gt;"미종결 표시","종결 상태 확인",IF('신청 원장'!N204="","일자 확인 필요",IF('신청 원장'!N204&gt;365,"366일 이상",IF('신청 원장'!N204&gt;90,"91~365일",IF('신청 원장'!N204&gt;30,"31~90일","0~30일")))))</x:f>
        <x:v>366일 이상</x:v>
      </x:c>
      <x:c r="O41" s="2" t="str">
        <x:f>IF(OR('신청 원장'!L204="",'신청 원장'!L204="선택"),"담당 원문 확인","기재")</x:f>
        <x:v>담당 원문 확인</x:v>
      </x:c>
      <x:c r="P41" s="2" t="str">
        <x:f>IF('신청 원장'!A204="","",'신청 원장'!A204)</x:f>
        <x:v>ec7b255f73b760e89fc188b6</x:v>
      </x:c>
    </x:row>
    <x:row r="42" ht="42" customHeight="1">
      <x:c r="A42" s="2" t="str">
        <x:f>IF('신청 원장'!B205="","",'신청 원장'!B205)</x:f>
        <x:v>사업 평가</x:v>
      </x:c>
      <x:c r="B42" s="7" t="str">
        <x:f>IF('신청 원장'!D205="","",'신청 원장'!D205)</x:f>
        <x:v>광주 우산 주공 3단지 아파트 연료전환을 통한 온실가스 감축사업</x:v>
      </x:c>
      <x:c r="C42" s="2" t="str">
        <x:f>IF('신청 원장'!F205="","",'신청 원장'!F205)</x:f>
        <x:v>2025-02-19</x:v>
      </x:c>
      <x:c r="D42" s="2" t="str">
        <x:f>IF('신청 원장'!J205="","",'신청 원장'!J205)</x:f>
        <x:v>평가중</x:v>
      </x:c>
      <x:c r="E42" s="2" t="str">
        <x:f>IF('신청 원장'!L205="","",'신청 원장'!L205)</x:f>
      </x:c>
      <x:c r="F42" s="2" t="str">
        <x:f>IF('신청 원장'!M205="","",'신청 원장'!M205)</x:f>
      </x:c>
      <x:c r="G42" s="2" t="n">
        <x:f>IF('신청 원장'!N205="","",'신청 원장'!N205)</x:f>
        <x:v>603</x:v>
      </x:c>
      <x:c r="H42" s="2" t="str">
        <x:f>IF('신청 원장'!AA205="","",'신청 원장'!AA205)</x:f>
        <x:v>내부 관찰 대상</x:v>
      </x:c>
      <x:c r="I42" s="2" t="str">
        <x:f>IF('신청 원장'!O205="","",'신청 원장'!O205)</x:f>
        <x:v>생략</x:v>
      </x:c>
      <x:c r="J42" s="2" t="str">
        <x:f>IF('신청 원장'!W205="","",'신청 원장'!W205)</x:f>
        <x:v>담당기관 확인</x:v>
      </x:c>
      <x:c r="K42" s="2" t="str">
        <x:f>IF('신청 원장'!X205="","",'신청 원장'!X205)</x:f>
        <x:v>원본·배정 기록 확인</x:v>
      </x:c>
      <x:c r="L42" s="2" t="str">
        <x:f>IF('신청 원장'!R205="","",'신청 원장'!R205)</x:f>
        <x:v>국내평가</x:v>
      </x:c>
      <x:c r="M42" s="2" t="n">
        <x:f>IF('신청 원장'!S205="","",'신청 원장'!S205)</x:f>
        <x:v>108</x:v>
      </x:c>
      <x:c r="N42" s="2" t="str">
        <x:f>IF('신청 원장'!K205&lt;&gt;"미종결 표시","종결 상태 확인",IF('신청 원장'!N205="","일자 확인 필요",IF('신청 원장'!N205&gt;365,"366일 이상",IF('신청 원장'!N205&gt;90,"91~365일",IF('신청 원장'!N205&gt;30,"31~90일","0~30일")))))</x:f>
        <x:v>366일 이상</x:v>
      </x:c>
      <x:c r="O42" s="2" t="str">
        <x:f>IF(OR('신청 원장'!L205="",'신청 원장'!L205="선택"),"담당 원문 확인","기재")</x:f>
        <x:v>담당 원문 확인</x:v>
      </x:c>
      <x:c r="P42" s="2" t="str">
        <x:f>IF('신청 원장'!A205="","",'신청 원장'!A205)</x:f>
        <x:v>400f11c8d7fb437103372eb3</x:v>
      </x:c>
    </x:row>
    <x:row r="43" ht="42" customHeight="1">
      <x:c r="A43" s="2" t="str">
        <x:f>IF('신청 원장'!B206="","",'신청 원장'!B206)</x:f>
        <x:v>사업 평가</x:v>
      </x:c>
      <x:c r="B43" s="7" t="str">
        <x:f>IF('신청 원장'!D206="","",'신청 원장'!D206)</x:f>
        <x:v>광주 하남 주공 1차 아파트 연료전환을 통한 온실가스 감축사업</x:v>
      </x:c>
      <x:c r="C43" s="2" t="str">
        <x:f>IF('신청 원장'!F206="","",'신청 원장'!F206)</x:f>
        <x:v>2025-02-19</x:v>
      </x:c>
      <x:c r="D43" s="2" t="str">
        <x:f>IF('신청 원장'!J206="","",'신청 원장'!J206)</x:f>
        <x:v>기후부협의</x:v>
      </x:c>
      <x:c r="E43" s="2" t="str">
        <x:f>IF('신청 원장'!L206="","",'신청 원장'!L206)</x:f>
      </x:c>
      <x:c r="F43" s="2" t="str">
        <x:f>IF('신청 원장'!M206="","",'신청 원장'!M206)</x:f>
      </x:c>
      <x:c r="G43" s="2" t="n">
        <x:f>IF('신청 원장'!N206="","",'신청 원장'!N206)</x:f>
        <x:v>603</x:v>
      </x:c>
      <x:c r="H43" s="2" t="str">
        <x:f>IF('신청 원장'!AA206="","",'신청 원장'!AA206)</x:f>
        <x:v>내부 관찰 대상</x:v>
      </x:c>
      <x:c r="I43" s="2" t="str">
        <x:f>IF('신청 원장'!O206="","",'신청 원장'!O206)</x:f>
        <x:v>생략</x:v>
      </x:c>
      <x:c r="J43" s="2" t="str">
        <x:f>IF('신청 원장'!W206="","",'신청 원장'!W206)</x:f>
        <x:v>담당기관 확인</x:v>
      </x:c>
      <x:c r="K43" s="2" t="str">
        <x:f>IF('신청 원장'!X206="","",'신청 원장'!X206)</x:f>
        <x:v>원본·배정 기록 확인</x:v>
      </x:c>
      <x:c r="L43" s="2" t="str">
        <x:f>IF('신청 원장'!R206="","",'신청 원장'!R206)</x:f>
        <x:v>국내평가</x:v>
      </x:c>
      <x:c r="M43" s="2" t="n">
        <x:f>IF('신청 원장'!S206="","",'신청 원장'!S206)</x:f>
        <x:v>109</x:v>
      </x:c>
      <x:c r="N43" s="2" t="str">
        <x:f>IF('신청 원장'!K206&lt;&gt;"미종결 표시","종결 상태 확인",IF('신청 원장'!N206="","일자 확인 필요",IF('신청 원장'!N206&gt;365,"366일 이상",IF('신청 원장'!N206&gt;90,"91~365일",IF('신청 원장'!N206&gt;30,"31~90일","0~30일")))))</x:f>
        <x:v>366일 이상</x:v>
      </x:c>
      <x:c r="O43" s="2" t="str">
        <x:f>IF(OR('신청 원장'!L206="",'신청 원장'!L206="선택"),"담당 원문 확인","기재")</x:f>
        <x:v>담당 원문 확인</x:v>
      </x:c>
      <x:c r="P43" s="2" t="str">
        <x:f>IF('신청 원장'!A206="","",'신청 원장'!A206)</x:f>
        <x:v>f9bf208545815af1e604d472</x:v>
      </x:c>
    </x:row>
    <x:row r="44" ht="42" customHeight="1">
      <x:c r="A44" s="2" t="str">
        <x:f>IF('신청 원장'!B544="","",'신청 원장'!B544)</x:f>
        <x:v>사업 평가</x:v>
      </x:c>
      <x:c r="B44" s="7" t="str">
        <x:f>IF('신청 원장'!D544="","",'신청 원장'!D544)</x:f>
        <x:v>(주)한일파워텍 고효율 공기압축기 교체를 통한  온실가스 감축사업</x:v>
      </x:c>
      <x:c r="C44" s="2" t="str">
        <x:f>IF('신청 원장'!F544="","",'신청 원장'!F544)</x:f>
        <x:v>2020-07-01</x:v>
      </x:c>
      <x:c r="D44" s="2" t="str">
        <x:f>IF('신청 원장'!J544="","",'신청 원장'!J544)</x:f>
        <x:v>보완요청</x:v>
      </x:c>
      <x:c r="E44" s="2" t="str">
        <x:f>IF('신청 원장'!L544="","",'신청 원장'!L544)</x:f>
        <x:v>에코시안_정인혜&gt;박세은</x:v>
      </x:c>
      <x:c r="F44" s="2" t="n">
        <x:f>IF('신청 원장'!M544="","",'신청 원장'!M544)</x:f>
        <x:v>3</x:v>
      </x:c>
      <x:c r="G44" s="2" t="n">
        <x:f>IF('신청 원장'!N544="","",'신청 원장'!N544)</x:f>
        <x:v>2297</x:v>
      </x:c>
      <x:c r="H44" s="2" t="str">
        <x:f>IF('신청 원장'!AA544="","",'신청 원장'!AA544)</x:f>
        <x:v>내부 관찰 대상</x:v>
      </x:c>
      <x:c r="I44" s="2" t="str">
        <x:f>IF('신청 원장'!O544="","",'신청 원장'!O544)</x:f>
        <x:v>생략</x:v>
      </x:c>
      <x:c r="J44" s="2" t="str">
        <x:f>IF('신청 원장'!W544="","",'신청 원장'!W544)</x:f>
      </x:c>
      <x:c r="K44" s="2" t="str">
        <x:f>IF('신청 원장'!X544="","",'신청 원장'!X544)</x:f>
        <x:v>보완 회신 일정 확인</x:v>
      </x:c>
      <x:c r="L44" s="2" t="str">
        <x:f>IF('신청 원장'!R544="","",'신청 원장'!R544)</x:f>
        <x:v>국내평가</x:v>
      </x:c>
      <x:c r="M44" s="2" t="n">
        <x:f>IF('신청 원장'!S544="","",'신청 원장'!S544)</x:f>
        <x:v>447</x:v>
      </x:c>
      <x:c r="N44" s="2" t="str">
        <x:f>IF('신청 원장'!K544&lt;&gt;"미종결 표시","종결 상태 확인",IF('신청 원장'!N544="","일자 확인 필요",IF('신청 원장'!N544&gt;365,"366일 이상",IF('신청 원장'!N544&gt;90,"91~365일",IF('신청 원장'!N544&gt;30,"31~90일","0~30일")))))</x:f>
        <x:v>366일 이상</x:v>
      </x:c>
      <x:c r="O44" s="2" t="str">
        <x:f>IF(OR('신청 원장'!L544="",'신청 원장'!L544="선택"),"담당 원문 확인","기재")</x:f>
        <x:v>기재</x:v>
      </x:c>
      <x:c r="P44" s="2" t="str">
        <x:f>IF('신청 원장'!A544="","",'신청 원장'!A544)</x:f>
        <x:v>fb911ce73df6fbd876a397be</x:v>
      </x:c>
    </x:row>
    <x:row r="45" ht="42" customHeight="1">
      <x:c r="A45" s="2" t="str">
        <x:f>IF('신청 원장'!B546="","",'신청 원장'!B546)</x:f>
        <x:v>사업 평가</x:v>
      </x:c>
      <x:c r="B45" s="7" t="str">
        <x:f>IF('신청 원장'!D546="","",'신청 원장'!D546)</x:f>
        <x:v>㈜오렌지다이텍의 고효율 보일러 교체를 통한 온실가스(CO2) 배출 감축 사업</x:v>
      </x:c>
      <x:c r="C45" s="2" t="str">
        <x:f>IF('신청 원장'!F546="","",'신청 원장'!F546)</x:f>
        <x:v>2023-05-25</x:v>
      </x:c>
      <x:c r="D45" s="2" t="str">
        <x:f>IF('신청 원장'!J546="","",'신청 원장'!J546)</x:f>
        <x:v>보류</x:v>
      </x:c>
      <x:c r="E45" s="2" t="str">
        <x:f>IF('신청 원장'!L546="","",'신청 원장'!L546)</x:f>
        <x:v>에코시안_전윤호</x:v>
      </x:c>
      <x:c r="F45" s="2" t="n">
        <x:f>IF('신청 원장'!M546="","",'신청 원장'!M546)</x:f>
        <x:v>3</x:v>
      </x:c>
      <x:c r="G45" s="2" t="n">
        <x:f>IF('신청 원장'!N546="","",'신청 원장'!N546)</x:f>
        <x:v>1239</x:v>
      </x:c>
      <x:c r="H45" s="2" t="str">
        <x:f>IF('신청 원장'!AA546="","",'신청 원장'!AA546)</x:f>
        <x:v>내부 관찰 대상</x:v>
      </x:c>
      <x:c r="I45" s="2" t="str">
        <x:f>IF('신청 원장'!O546="","",'신청 원장'!O546)</x:f>
        <x:v>O(23.08), 반려예정</x:v>
      </x:c>
      <x:c r="J45" s="2" t="str">
        <x:f>IF('신청 원장'!W546="","",'신청 원장'!W546)</x:f>
      </x:c>
      <x:c r="K45" s="2" t="str">
        <x:f>IF('신청 원장'!X546="","",'신청 원장'!X546)</x:f>
        <x:v>검토 진행 일정 확인</x:v>
      </x:c>
      <x:c r="L45" s="2" t="str">
        <x:f>IF('신청 원장'!R546="","",'신청 원장'!R546)</x:f>
        <x:v>국내평가</x:v>
      </x:c>
      <x:c r="M45" s="2" t="n">
        <x:f>IF('신청 원장'!S546="","",'신청 원장'!S546)</x:f>
        <x:v>449</x:v>
      </x:c>
      <x:c r="N45" s="2" t="str">
        <x:f>IF('신청 원장'!K546&lt;&gt;"미종결 표시","종결 상태 확인",IF('신청 원장'!N546="","일자 확인 필요",IF('신청 원장'!N546&gt;365,"366일 이상",IF('신청 원장'!N546&gt;90,"91~365일",IF('신청 원장'!N546&gt;30,"31~90일","0~30일")))))</x:f>
        <x:v>366일 이상</x:v>
      </x:c>
      <x:c r="O45" s="2" t="str">
        <x:f>IF(OR('신청 원장'!L546="",'신청 원장'!L546="선택"),"담당 원문 확인","기재")</x:f>
        <x:v>기재</x:v>
      </x:c>
      <x:c r="P45" s="2" t="str">
        <x:f>IF('신청 원장'!A546="","",'신청 원장'!A546)</x:f>
        <x:v>2d9ec4dacf169daf5d78bb37</x:v>
      </x:c>
    </x:row>
    <x:row r="46" ht="42" customHeight="1">
      <x:c r="A46" s="2" t="str">
        <x:f>IF('신청 원장'!B589="","",'신청 원장'!B589)</x:f>
        <x:v>사업 평가</x:v>
      </x:c>
      <x:c r="B46" s="7" t="str">
        <x:f>IF('신청 원장'!D589="","",'신청 원장'!D589)</x:f>
        <x:v>㈜공영사 연료전환(B-C유 → LPG)을 통한 온실가스 배출 감축사업</x:v>
      </x:c>
      <x:c r="C46" s="2" t="str">
        <x:f>IF('신청 원장'!F589="","",'신청 원장'!F589)</x:f>
        <x:v>2020-05-16</x:v>
      </x:c>
      <x:c r="D46" s="2" t="str">
        <x:f>IF('신청 원장'!J589="","",'신청 원장'!J589)</x:f>
        <x:v>평가중</x:v>
      </x:c>
      <x:c r="E46" s="2" t="str">
        <x:f>IF('신청 원장'!L589="","",'신청 원장'!L589)</x:f>
        <x:v>KECM</x:v>
      </x:c>
      <x:c r="F46" s="2" t="n">
        <x:f>IF('신청 원장'!M589="","",'신청 원장'!M589)</x:f>
        <x:v>3</x:v>
      </x:c>
      <x:c r="G46" s="2" t="n">
        <x:f>IF('신청 원장'!N589="","",'신청 원장'!N589)</x:f>
        <x:v>2343</x:v>
      </x:c>
      <x:c r="H46" s="2" t="str">
        <x:f>IF('신청 원장'!AA589="","",'신청 원장'!AA589)</x:f>
        <x:v>내부 관찰 대상</x:v>
      </x:c>
      <x:c r="I46" s="2" t="str">
        <x:f>IF('신청 원장'!O589="","",'신청 원장'!O589)</x:f>
        <x:v>생략</x:v>
      </x:c>
      <x:c r="J46" s="2" t="str">
        <x:f>IF('신청 원장'!W589="","",'신청 원장'!W589)</x:f>
      </x:c>
      <x:c r="K46" s="2" t="str">
        <x:f>IF('신청 원장'!X589="","",'신청 원장'!X589)</x:f>
        <x:v>검토 진행 일정 확인</x:v>
      </x:c>
      <x:c r="L46" s="2" t="str">
        <x:f>IF('신청 원장'!R589="","",'신청 원장'!R589)</x:f>
        <x:v>국내평가</x:v>
      </x:c>
      <x:c r="M46" s="2" t="n">
        <x:f>IF('신청 원장'!S589="","",'신청 원장'!S589)</x:f>
        <x:v>492</x:v>
      </x:c>
      <x:c r="N46" s="2" t="str">
        <x:f>IF('신청 원장'!K589&lt;&gt;"미종결 표시","종결 상태 확인",IF('신청 원장'!N589="","일자 확인 필요",IF('신청 원장'!N589&gt;365,"366일 이상",IF('신청 원장'!N589&gt;90,"91~365일",IF('신청 원장'!N589&gt;30,"31~90일","0~30일")))))</x:f>
        <x:v>366일 이상</x:v>
      </x:c>
      <x:c r="O46" s="2" t="str">
        <x:f>IF(OR('신청 원장'!L589="",'신청 원장'!L589="선택"),"담당 원문 확인","기재")</x:f>
        <x:v>기재</x:v>
      </x:c>
      <x:c r="P46" s="2" t="str">
        <x:f>IF('신청 원장'!A589="","",'신청 원장'!A589)</x:f>
        <x:v>e53b33b63662e06a23d32463</x:v>
      </x:c>
    </x:row>
    <x:row r="47" ht="42" customHeight="1">
      <x:c r="A47" s="2" t="str">
        <x:f>IF('신청 원장'!B595="","",'신청 원장'!B595)</x:f>
        <x:v>사업 평가</x:v>
      </x:c>
      <x:c r="B47" s="7" t="str">
        <x:f>IF('신청 원장'!D595="","",'신청 원장'!D595)</x:f>
        <x:v>대평산업개발의 정제유 및 B-C유에서 도시가스(LNG)로의 연료전환을 통한 온실가스 배출 감축사업</x:v>
      </x:c>
      <x:c r="C47" s="2" t="str">
        <x:f>IF('신청 원장'!F595="","",'신청 원장'!F595)</x:f>
        <x:v>2025-07-08</x:v>
      </x:c>
      <x:c r="D47" s="2" t="str">
        <x:f>IF('신청 원장'!J595="","",'신청 원장'!J595)</x:f>
        <x:v>보완요청</x:v>
      </x:c>
      <x:c r="E47" s="2" t="str">
        <x:f>IF('신청 원장'!L595="","",'신청 원장'!L595)</x:f>
      </x:c>
      <x:c r="F47" s="2" t="str">
        <x:f>IF('신청 원장'!M595="","",'신청 원장'!M595)</x:f>
      </x:c>
      <x:c r="G47" s="2" t="n">
        <x:f>IF('신청 원장'!N595="","",'신청 원장'!N595)</x:f>
        <x:v>464</x:v>
      </x:c>
      <x:c r="H47" s="2" t="str">
        <x:f>IF('신청 원장'!AA595="","",'신청 원장'!AA595)</x:f>
        <x:v>내부 관찰 대상</x:v>
      </x:c>
      <x:c r="I47" s="2" t="str">
        <x:f>IF('신청 원장'!O595="","",'신청 원장'!O595)</x:f>
        <x:v>생략</x:v>
      </x:c>
      <x:c r="J47" s="2" t="str">
        <x:f>IF('신청 원장'!W595="","",'신청 원장'!W595)</x:f>
        <x:v>담당기관 확인</x:v>
      </x:c>
      <x:c r="K47" s="2" t="str">
        <x:f>IF('신청 원장'!X595="","",'신청 원장'!X595)</x:f>
        <x:v>원본·배정 기록 확인</x:v>
      </x:c>
      <x:c r="L47" s="2" t="str">
        <x:f>IF('신청 원장'!R595="","",'신청 원장'!R595)</x:f>
        <x:v>국내평가</x:v>
      </x:c>
      <x:c r="M47" s="2" t="n">
        <x:f>IF('신청 원장'!S595="","",'신청 원장'!S595)</x:f>
        <x:v>498</x:v>
      </x:c>
      <x:c r="N47" s="2" t="str">
        <x:f>IF('신청 원장'!K595&lt;&gt;"미종결 표시","종결 상태 확인",IF('신청 원장'!N595="","일자 확인 필요",IF('신청 원장'!N595&gt;365,"366일 이상",IF('신청 원장'!N595&gt;90,"91~365일",IF('신청 원장'!N595&gt;30,"31~90일","0~30일")))))</x:f>
        <x:v>366일 이상</x:v>
      </x:c>
      <x:c r="O47" s="2" t="str">
        <x:f>IF(OR('신청 원장'!L595="",'신청 원장'!L595="선택"),"담당 원문 확인","기재")</x:f>
        <x:v>담당 원문 확인</x:v>
      </x:c>
      <x:c r="P47" s="2" t="str">
        <x:f>IF('신청 원장'!A595="","",'신청 원장'!A595)</x:f>
        <x:v>f3e61095520c7f159fa0803f</x:v>
      </x:c>
    </x:row>
    <x:row r="48" ht="42" customHeight="1">
      <x:c r="A48" s="2" t="str">
        <x:f>IF('신청 원장'!B597="","",'신청 원장'!B597)</x:f>
        <x:v>사업 평가</x:v>
      </x:c>
      <x:c r="B48" s="7" t="str">
        <x:f>IF('신청 원장'!D597="","",'신청 원장'!D597)</x:f>
        <x:v>(주)석진산업 연료전환(B-C유→ LPG)을 통한 온실가스 배출 감축사업</x:v>
      </x:c>
      <x:c r="C48" s="2" t="str">
        <x:f>IF('신청 원장'!F597="","",'신청 원장'!F597)</x:f>
        <x:v>2020-05-29</x:v>
      </x:c>
      <x:c r="D48" s="2" t="str">
        <x:f>IF('신청 원장'!J597="","",'신청 원장'!J597)</x:f>
        <x:v>보완요청</x:v>
      </x:c>
      <x:c r="E48" s="2" t="str">
        <x:f>IF('신청 원장'!L597="","",'신청 원장'!L597)</x:f>
        <x:v>KECM</x:v>
      </x:c>
      <x:c r="F48" s="2" t="n">
        <x:f>IF('신청 원장'!M597="","",'신청 원장'!M597)</x:f>
        <x:v>3</x:v>
      </x:c>
      <x:c r="G48" s="2" t="n">
        <x:f>IF('신청 원장'!N597="","",'신청 원장'!N597)</x:f>
        <x:v>2330</x:v>
      </x:c>
      <x:c r="H48" s="2" t="str">
        <x:f>IF('신청 원장'!AA597="","",'신청 원장'!AA597)</x:f>
        <x:v>내부 관찰 대상</x:v>
      </x:c>
      <x:c r="I48" s="2" t="str">
        <x:f>IF('신청 원장'!O597="","",'신청 원장'!O597)</x:f>
        <x:v>생략</x:v>
      </x:c>
      <x:c r="J48" s="2" t="str">
        <x:f>IF('신청 원장'!W597="","",'신청 원장'!W597)</x:f>
      </x:c>
      <x:c r="K48" s="2" t="str">
        <x:f>IF('신청 원장'!X597="","",'신청 원장'!X597)</x:f>
        <x:v>보완 회신 일정 확인</x:v>
      </x:c>
      <x:c r="L48" s="2" t="str">
        <x:f>IF('신청 원장'!R597="","",'신청 원장'!R597)</x:f>
        <x:v>국내평가</x:v>
      </x:c>
      <x:c r="M48" s="2" t="n">
        <x:f>IF('신청 원장'!S597="","",'신청 원장'!S597)</x:f>
        <x:v>500</x:v>
      </x:c>
      <x:c r="N48" s="2" t="str">
        <x:f>IF('신청 원장'!K597&lt;&gt;"미종결 표시","종결 상태 확인",IF('신청 원장'!N597="","일자 확인 필요",IF('신청 원장'!N597&gt;365,"366일 이상",IF('신청 원장'!N597&gt;90,"91~365일",IF('신청 원장'!N597&gt;30,"31~90일","0~30일")))))</x:f>
        <x:v>366일 이상</x:v>
      </x:c>
      <x:c r="O48" s="2" t="str">
        <x:f>IF(OR('신청 원장'!L597="",'신청 원장'!L597="선택"),"담당 원문 확인","기재")</x:f>
        <x:v>기재</x:v>
      </x:c>
      <x:c r="P48" s="2" t="str">
        <x:f>IF('신청 원장'!A597="","",'신청 원장'!A597)</x:f>
        <x:v>184834c963dd968d43597559</x:v>
      </x:c>
    </x:row>
    <x:row r="49" ht="42" customHeight="1">
      <x:c r="A49" s="2" t="str">
        <x:f>IF('신청 원장'!B627="","",'신청 원장'!B627)</x:f>
        <x:v>사업 평가</x:v>
      </x:c>
      <x:c r="B49" s="7" t="str">
        <x:f>IF('신청 원장'!D627="","",'신청 원장'!D627)</x:f>
        <x:v>원주시 보안등 LED교체 ESCO용역사업</x:v>
      </x:c>
      <x:c r="C49" s="2" t="str">
        <x:f>IF('신청 원장'!F627="","",'신청 원장'!F627)</x:f>
        <x:v>2023-04-25</x:v>
      </x:c>
      <x:c r="D49" s="2" t="str">
        <x:f>IF('신청 원장'!J627="","",'신청 원장'!J627)</x:f>
        <x:v>기후부협의</x:v>
      </x:c>
      <x:c r="E49" s="2" t="str">
        <x:f>IF('신청 원장'!L627="","",'신청 원장'!L627)</x:f>
        <x:v>KECM_이태준</x:v>
      </x:c>
      <x:c r="F49" s="2" t="str">
        <x:f>IF('신청 원장'!M627="","",'신청 원장'!M627)</x:f>
      </x:c>
      <x:c r="G49" s="2" t="n">
        <x:f>IF('신청 원장'!N627="","",'신청 원장'!N627)</x:f>
        <x:v>1269</x:v>
      </x:c>
      <x:c r="H49" s="2" t="str">
        <x:f>IF('신청 원장'!AA627="","",'신청 원장'!AA627)</x:f>
        <x:v>내부 관찰 대상</x:v>
      </x:c>
      <x:c r="I49" s="2" t="str">
        <x:f>IF('신청 원장'!O627="","",'신청 원장'!O627)</x:f>
        <x:v>O(4월)</x:v>
      </x:c>
      <x:c r="J49" s="2" t="str">
        <x:f>IF('신청 원장'!W627="","",'신청 원장'!W627)</x:f>
      </x:c>
      <x:c r="K49" s="2" t="str">
        <x:f>IF('신청 원장'!X627="","",'신청 원장'!X627)</x:f>
        <x:v>검토 진행 일정 확인</x:v>
      </x:c>
      <x:c r="L49" s="2" t="str">
        <x:f>IF('신청 원장'!R627="","",'신청 원장'!R627)</x:f>
        <x:v>국내평가</x:v>
      </x:c>
      <x:c r="M49" s="2" t="n">
        <x:f>IF('신청 원장'!S627="","",'신청 원장'!S627)</x:f>
        <x:v>530</x:v>
      </x:c>
      <x:c r="N49" s="2" t="str">
        <x:f>IF('신청 원장'!K627&lt;&gt;"미종결 표시","종결 상태 확인",IF('신청 원장'!N627="","일자 확인 필요",IF('신청 원장'!N627&gt;365,"366일 이상",IF('신청 원장'!N627&gt;90,"91~365일",IF('신청 원장'!N627&gt;30,"31~90일","0~30일")))))</x:f>
        <x:v>366일 이상</x:v>
      </x:c>
      <x:c r="O49" s="2" t="str">
        <x:f>IF(OR('신청 원장'!L627="",'신청 원장'!L627="선택"),"담당 원문 확인","기재")</x:f>
        <x:v>기재</x:v>
      </x:c>
      <x:c r="P49" s="2" t="str">
        <x:f>IF('신청 원장'!A627="","",'신청 원장'!A627)</x:f>
        <x:v>80979ee273ff829d15a977c4</x:v>
      </x:c>
    </x:row>
    <x:row r="50" ht="42" customHeight="1">
      <x:c r="A50" s="2" t="str">
        <x:f>IF('신청 원장'!B640="","",'신청 원장'!B640)</x:f>
        <x:v>사업 평가</x:v>
      </x:c>
      <x:c r="B50" s="7" t="str">
        <x:f>IF('신청 원장'!D640="","",'신청 원장'!D640)</x:f>
        <x:v>금산환경재생산업(주) 연료전환(B-C유 → LPG)을 통한 온실가스 배출 감축사업</x:v>
      </x:c>
      <x:c r="C50" s="2" t="str">
        <x:f>IF('신청 원장'!F640="","",'신청 원장'!F640)</x:f>
        <x:v>2020-09-25</x:v>
      </x:c>
      <x:c r="D50" s="2" t="str">
        <x:f>IF('신청 원장'!J640="","",'신청 원장'!J640)</x:f>
        <x:v>보류</x:v>
      </x:c>
      <x:c r="E50" s="2" t="str">
        <x:f>IF('신청 원장'!L640="","",'신청 원장'!L640)</x:f>
        <x:v>KECM</x:v>
      </x:c>
      <x:c r="F50" s="2" t="n">
        <x:f>IF('신청 원장'!M640="","",'신청 원장'!M640)</x:f>
        <x:v>3</x:v>
      </x:c>
      <x:c r="G50" s="2" t="n">
        <x:f>IF('신청 원장'!N640="","",'신청 원장'!N640)</x:f>
        <x:v>2211</x:v>
      </x:c>
      <x:c r="H50" s="2" t="str">
        <x:f>IF('신청 원장'!AA640="","",'신청 원장'!AA640)</x:f>
        <x:v>내부 관찰 대상</x:v>
      </x:c>
      <x:c r="I50" s="2" t="str">
        <x:f>IF('신청 원장'!O640="","",'신청 원장'!O640)</x:f>
        <x:v>O(21.04)</x:v>
      </x:c>
      <x:c r="J50" s="2" t="str">
        <x:f>IF('신청 원장'!W640="","",'신청 원장'!W640)</x:f>
      </x:c>
      <x:c r="K50" s="2" t="str">
        <x:f>IF('신청 원장'!X640="","",'신청 원장'!X640)</x:f>
        <x:v>검토 진행 일정 확인</x:v>
      </x:c>
      <x:c r="L50" s="2" t="str">
        <x:f>IF('신청 원장'!R640="","",'신청 원장'!R640)</x:f>
        <x:v>국내평가</x:v>
      </x:c>
      <x:c r="M50" s="2" t="n">
        <x:f>IF('신청 원장'!S640="","",'신청 원장'!S640)</x:f>
        <x:v>543</x:v>
      </x:c>
      <x:c r="N50" s="2" t="str">
        <x:f>IF('신청 원장'!K640&lt;&gt;"미종결 표시","종결 상태 확인",IF('신청 원장'!N640="","일자 확인 필요",IF('신청 원장'!N640&gt;365,"366일 이상",IF('신청 원장'!N640&gt;90,"91~365일",IF('신청 원장'!N640&gt;30,"31~90일","0~30일")))))</x:f>
        <x:v>366일 이상</x:v>
      </x:c>
      <x:c r="O50" s="2" t="str">
        <x:f>IF(OR('신청 원장'!L640="",'신청 원장'!L640="선택"),"담당 원문 확인","기재")</x:f>
        <x:v>기재</x:v>
      </x:c>
      <x:c r="P50" s="2" t="str">
        <x:f>IF('신청 원장'!A640="","",'신청 원장'!A640)</x:f>
        <x:v>092debd3f4da2b0703bc4f82</x:v>
      </x:c>
    </x:row>
    <x:row r="51" ht="42" customHeight="1">
      <x:c r="A51" s="2" t="str">
        <x:f>IF('신청 원장'!B676="","",'신청 원장'!B676)</x:f>
        <x:v>사업 평가</x:v>
      </x:c>
      <x:c r="B51" s="7" t="str">
        <x:f>IF('신청 원장'!D676="","",'신청 원장'!D676)</x:f>
        <x:v>삼천리 도시가스 공급 권역의 연료전환을 통한 프로그램 감축사업</x:v>
      </x:c>
      <x:c r="C51" s="2" t="str">
        <x:f>IF('신청 원장'!F676="","",'신청 원장'!F676)</x:f>
        <x:v>2026-01-29</x:v>
      </x:c>
      <x:c r="D51" s="2" t="str">
        <x:f>IF('신청 원장'!J676="","",'신청 원장'!J676)</x:f>
        <x:v>보완요청</x:v>
      </x:c>
      <x:c r="E51" s="2" t="str">
        <x:f>IF('신청 원장'!L676="","",'신청 원장'!L676)</x:f>
      </x:c>
      <x:c r="F51" s="2" t="str">
        <x:f>IF('신청 원장'!M676="","",'신청 원장'!M676)</x:f>
      </x:c>
      <x:c r="G51" s="2" t="n">
        <x:f>IF('신청 원장'!N676="","",'신청 원장'!N676)</x:f>
        <x:v>259</x:v>
      </x:c>
      <x:c r="H51" s="2" t="str">
        <x:f>IF('신청 원장'!AA676="","",'신청 원장'!AA676)</x:f>
        <x:v>내부 관찰 대상</x:v>
      </x:c>
      <x:c r="I51" s="2" t="str">
        <x:f>IF('신청 원장'!O676="","",'신청 원장'!O676)</x:f>
      </x:c>
      <x:c r="J51" s="2" t="str">
        <x:f>IF('신청 원장'!W676="","",'신청 원장'!W676)</x:f>
        <x:v>담당기관 확인</x:v>
      </x:c>
      <x:c r="K51" s="2" t="str">
        <x:f>IF('신청 원장'!X676="","",'신청 원장'!X676)</x:f>
        <x:v>원본·배정 기록 확인</x:v>
      </x:c>
      <x:c r="L51" s="2" t="str">
        <x:f>IF('신청 원장'!R676="","",'신청 원장'!R676)</x:f>
        <x:v>국내평가</x:v>
      </x:c>
      <x:c r="M51" s="2" t="n">
        <x:f>IF('신청 원장'!S676="","",'신청 원장'!S676)</x:f>
        <x:v>579</x:v>
      </x:c>
      <x:c r="N51" s="2" t="str">
        <x:f>IF('신청 원장'!K676&lt;&gt;"미종결 표시","종결 상태 확인",IF('신청 원장'!N676="","일자 확인 필요",IF('신청 원장'!N676&gt;365,"366일 이상",IF('신청 원장'!N676&gt;90,"91~365일",IF('신청 원장'!N676&gt;30,"31~90일","0~30일")))))</x:f>
        <x:v>91~365일</x:v>
      </x:c>
      <x:c r="O51" s="2" t="str">
        <x:f>IF(OR('신청 원장'!L676="",'신청 원장'!L676="선택"),"담당 원문 확인","기재")</x:f>
        <x:v>담당 원문 확인</x:v>
      </x:c>
      <x:c r="P51" s="2" t="str">
        <x:f>IF('신청 원장'!A676="","",'신청 원장'!A676)</x:f>
        <x:v>cc70d71a9d127bc65fb70e60</x:v>
      </x:c>
    </x:row>
    <x:row r="52" ht="42" customHeight="1">
      <x:c r="A52" s="2" t="str">
        <x:f>IF('신청 원장'!B694="","",'신청 원장'!B694)</x:f>
        <x:v>사업 평가</x:v>
      </x:c>
      <x:c r="B52" s="7" t="str">
        <x:f>IF('신청 원장'!D694="","",'신청 원장'!D694)</x:f>
        <x:v>공동주택 태양광 발전사업 2016-LH-001-05826</x:v>
      </x:c>
      <x:c r="C52" s="2" t="str">
        <x:f>IF('신청 원장'!F694="","",'신청 원장'!F694)</x:f>
        <x:v>2023-03-29</x:v>
      </x:c>
      <x:c r="D52" s="2" t="str">
        <x:f>IF('신청 원장'!J694="","",'신청 원장'!J694)</x:f>
        <x:v>평가중</x:v>
      </x:c>
      <x:c r="E52" s="2" t="str">
        <x:f>IF('신청 원장'!L694="","",'신청 원장'!L694)</x:f>
        <x:v>KECM_김민정&gt;이태준</x:v>
      </x:c>
      <x:c r="F52" s="2" t="str">
        <x:f>IF('신청 원장'!M694="","",'신청 원장'!M694)</x:f>
      </x:c>
      <x:c r="G52" s="2" t="n">
        <x:f>IF('신청 원장'!N694="","",'신청 원장'!N694)</x:f>
        <x:v>1296</x:v>
      </x:c>
      <x:c r="H52" s="2" t="str">
        <x:f>IF('신청 원장'!AA694="","",'신청 원장'!AA694)</x:f>
        <x:v>내부 관찰 대상</x:v>
      </x:c>
      <x:c r="I52" s="2" t="str">
        <x:f>IF('신청 원장'!O694="","",'신청 원장'!O694)</x:f>
        <x:v>생략</x:v>
      </x:c>
      <x:c r="J52" s="2" t="str">
        <x:f>IF('신청 원장'!W694="","",'신청 원장'!W694)</x:f>
      </x:c>
      <x:c r="K52" s="2" t="str">
        <x:f>IF('신청 원장'!X694="","",'신청 원장'!X694)</x:f>
        <x:v>검토 진행 일정 확인</x:v>
      </x:c>
      <x:c r="L52" s="2" t="str">
        <x:f>IF('신청 원장'!R694="","",'신청 원장'!R694)</x:f>
        <x:v>국내평가</x:v>
      </x:c>
      <x:c r="M52" s="2" t="n">
        <x:f>IF('신청 원장'!S694="","",'신청 원장'!S694)</x:f>
        <x:v>597</x:v>
      </x:c>
      <x:c r="N52" s="2" t="str">
        <x:f>IF('신청 원장'!K694&lt;&gt;"미종결 표시","종결 상태 확인",IF('신청 원장'!N694="","일자 확인 필요",IF('신청 원장'!N694&gt;365,"366일 이상",IF('신청 원장'!N694&gt;90,"91~365일",IF('신청 원장'!N694&gt;30,"31~90일","0~30일")))))</x:f>
        <x:v>366일 이상</x:v>
      </x:c>
      <x:c r="O52" s="2" t="str">
        <x:f>IF(OR('신청 원장'!L694="",'신청 원장'!L694="선택"),"담당 원문 확인","기재")</x:f>
        <x:v>기재</x:v>
      </x:c>
      <x:c r="P52" s="2" t="str">
        <x:f>IF('신청 원장'!A694="","",'신청 원장'!A694)</x:f>
        <x:v>5ec9f9dc5d3b845d3dba22da</x:v>
      </x:c>
    </x:row>
    <x:row r="53" ht="42" customHeight="1">
      <x:c r="A53" s="2" t="str">
        <x:f>IF('신청 원장'!B698="","",'신청 원장'!B698)</x:f>
        <x:v>사업 평가</x:v>
      </x:c>
      <x:c r="B53" s="7" t="str">
        <x:f>IF('신청 원장'!D698="","",'신청 원장'!D698)</x:f>
        <x:v>(주)제일기업 연료전환(B-C유 → LPG)을 통한 온실가스 배출 감축사업</x:v>
      </x:c>
      <x:c r="C53" s="2" t="str">
        <x:f>IF('신청 원장'!F698="","",'신청 원장'!F698)</x:f>
        <x:v>2020-11-10</x:v>
      </x:c>
      <x:c r="D53" s="2" t="str">
        <x:f>IF('신청 원장'!J698="","",'신청 원장'!J698)</x:f>
        <x:v>평가중</x:v>
      </x:c>
      <x:c r="E53" s="2" t="str">
        <x:f>IF('신청 원장'!L698="","",'신청 원장'!L698)</x:f>
        <x:v>KECM</x:v>
      </x:c>
      <x:c r="F53" s="2" t="str">
        <x:f>IF('신청 원장'!M698="","",'신청 원장'!M698)</x:f>
      </x:c>
      <x:c r="G53" s="2" t="n">
        <x:f>IF('신청 원장'!N698="","",'신청 원장'!N698)</x:f>
        <x:v>2165</x:v>
      </x:c>
      <x:c r="H53" s="2" t="str">
        <x:f>IF('신청 원장'!AA698="","",'신청 원장'!AA698)</x:f>
        <x:v>내부 관찰 대상</x:v>
      </x:c>
      <x:c r="I53" s="2" t="str">
        <x:f>IF('신청 원장'!O698="","",'신청 원장'!O698)</x:f>
        <x:v>생략</x:v>
      </x:c>
      <x:c r="J53" s="2" t="str">
        <x:f>IF('신청 원장'!W698="","",'신청 원장'!W698)</x:f>
      </x:c>
      <x:c r="K53" s="2" t="str">
        <x:f>IF('신청 원장'!X698="","",'신청 원장'!X698)</x:f>
        <x:v>검토 진행 일정 확인</x:v>
      </x:c>
      <x:c r="L53" s="2" t="str">
        <x:f>IF('신청 원장'!R698="","",'신청 원장'!R698)</x:f>
        <x:v>국내평가</x:v>
      </x:c>
      <x:c r="M53" s="2" t="n">
        <x:f>IF('신청 원장'!S698="","",'신청 원장'!S698)</x:f>
        <x:v>601</x:v>
      </x:c>
      <x:c r="N53" s="2" t="str">
        <x:f>IF('신청 원장'!K698&lt;&gt;"미종결 표시","종결 상태 확인",IF('신청 원장'!N698="","일자 확인 필요",IF('신청 원장'!N698&gt;365,"366일 이상",IF('신청 원장'!N698&gt;90,"91~365일",IF('신청 원장'!N698&gt;30,"31~90일","0~30일")))))</x:f>
        <x:v>366일 이상</x:v>
      </x:c>
      <x:c r="O53" s="2" t="str">
        <x:f>IF(OR('신청 원장'!L698="",'신청 원장'!L698="선택"),"담당 원문 확인","기재")</x:f>
        <x:v>기재</x:v>
      </x:c>
      <x:c r="P53" s="2" t="str">
        <x:f>IF('신청 원장'!A698="","",'신청 원장'!A698)</x:f>
        <x:v>ca76031e269f115d41b585b8</x:v>
      </x:c>
    </x:row>
    <x:row r="54" ht="42" customHeight="1">
      <x:c r="A54" s="2" t="str">
        <x:f>IF('신청 원장'!B701="","",'신청 원장'!B701)</x:f>
        <x:v>사업 평가</x:v>
      </x:c>
      <x:c r="B54" s="7" t="str">
        <x:f>IF('신청 원장'!D701="","",'신청 원장'!D701)</x:f>
        <x:v>(주)금광특수아스콘 연료전환(B-C유 및 정제유 →  LPG)을 통한 온실가스 배출 감축사업</x:v>
      </x:c>
      <x:c r="C54" s="2" t="str">
        <x:f>IF('신청 원장'!F701="","",'신청 원장'!F701)</x:f>
        <x:v>2020-10-07</x:v>
      </x:c>
      <x:c r="D54" s="2" t="str">
        <x:f>IF('신청 원장'!J701="","",'신청 원장'!J701)</x:f>
        <x:v>보류</x:v>
      </x:c>
      <x:c r="E54" s="2" t="str">
        <x:f>IF('신청 원장'!L701="","",'신청 원장'!L701)</x:f>
        <x:v>KECM</x:v>
      </x:c>
      <x:c r="F54" s="2" t="n">
        <x:f>IF('신청 원장'!M701="","",'신청 원장'!M701)</x:f>
        <x:v>2</x:v>
      </x:c>
      <x:c r="G54" s="2" t="n">
        <x:f>IF('신청 원장'!N701="","",'신청 원장'!N701)</x:f>
        <x:v>2199</x:v>
      </x:c>
      <x:c r="H54" s="2" t="str">
        <x:f>IF('신청 원장'!AA701="","",'신청 원장'!AA701)</x:f>
        <x:v>내부 관찰 대상</x:v>
      </x:c>
      <x:c r="I54" s="2" t="str">
        <x:f>IF('신청 원장'!O701="","",'신청 원장'!O701)</x:f>
        <x:v>O(21.04)</x:v>
      </x:c>
      <x:c r="J54" s="2" t="str">
        <x:f>IF('신청 원장'!W701="","",'신청 원장'!W701)</x:f>
      </x:c>
      <x:c r="K54" s="2" t="str">
        <x:f>IF('신청 원장'!X701="","",'신청 원장'!X701)</x:f>
        <x:v>검토 진행 일정 확인</x:v>
      </x:c>
      <x:c r="L54" s="2" t="str">
        <x:f>IF('신청 원장'!R701="","",'신청 원장'!R701)</x:f>
        <x:v>국내평가</x:v>
      </x:c>
      <x:c r="M54" s="2" t="n">
        <x:f>IF('신청 원장'!S701="","",'신청 원장'!S701)</x:f>
        <x:v>604</x:v>
      </x:c>
      <x:c r="N54" s="2" t="str">
        <x:f>IF('신청 원장'!K701&lt;&gt;"미종결 표시","종결 상태 확인",IF('신청 원장'!N701="","일자 확인 필요",IF('신청 원장'!N701&gt;365,"366일 이상",IF('신청 원장'!N701&gt;90,"91~365일",IF('신청 원장'!N701&gt;30,"31~90일","0~30일")))))</x:f>
        <x:v>366일 이상</x:v>
      </x:c>
      <x:c r="O54" s="2" t="str">
        <x:f>IF(OR('신청 원장'!L701="",'신청 원장'!L701="선택"),"담당 원문 확인","기재")</x:f>
        <x:v>기재</x:v>
      </x:c>
      <x:c r="P54" s="2" t="str">
        <x:f>IF('신청 원장'!A701="","",'신청 원장'!A701)</x:f>
        <x:v>f892010f17df23e45b3a179e</x:v>
      </x:c>
    </x:row>
    <x:row r="55" ht="42" customHeight="1">
      <x:c r="A55" s="2" t="str">
        <x:f>IF('신청 원장'!B717="","",'신청 원장'!B717)</x:f>
        <x:v>사업 평가</x:v>
      </x:c>
      <x:c r="B55" s="7" t="str">
        <x:f>IF('신청 원장'!D717="","",'신청 원장'!D717)</x:f>
        <x:v>방태산업(주) 연료 전환(B-C유에서 LPG)을 통한 온실가스 배출 감축사업</x:v>
      </x:c>
      <x:c r="C55" s="2" t="str">
        <x:f>IF('신청 원장'!F717="","",'신청 원장'!F717)</x:f>
        <x:v>2020-05-17</x:v>
      </x:c>
      <x:c r="D55" s="2" t="str">
        <x:f>IF('신청 원장'!J717="","",'신청 원장'!J717)</x:f>
        <x:v>보완요청</x:v>
      </x:c>
      <x:c r="E55" s="2" t="str">
        <x:f>IF('신청 원장'!L717="","",'신청 원장'!L717)</x:f>
        <x:v>에코시안_오경환, 권송화</x:v>
      </x:c>
      <x:c r="F55" s="2" t="n">
        <x:f>IF('신청 원장'!M717="","",'신청 원장'!M717)</x:f>
        <x:v>3</x:v>
      </x:c>
      <x:c r="G55" s="2" t="n">
        <x:f>IF('신청 원장'!N717="","",'신청 원장'!N717)</x:f>
        <x:v>2342</x:v>
      </x:c>
      <x:c r="H55" s="2" t="str">
        <x:f>IF('신청 원장'!AA717="","",'신청 원장'!AA717)</x:f>
        <x:v>내부 관찰 대상</x:v>
      </x:c>
      <x:c r="I55" s="2" t="str">
        <x:f>IF('신청 원장'!O717="","",'신청 원장'!O717)</x:f>
        <x:v>생략</x:v>
      </x:c>
      <x:c r="J55" s="2" t="str">
        <x:f>IF('신청 원장'!W717="","",'신청 원장'!W717)</x:f>
      </x:c>
      <x:c r="K55" s="2" t="str">
        <x:f>IF('신청 원장'!X717="","",'신청 원장'!X717)</x:f>
        <x:v>보완 회신 일정 확인</x:v>
      </x:c>
      <x:c r="L55" s="2" t="str">
        <x:f>IF('신청 원장'!R717="","",'신청 원장'!R717)</x:f>
        <x:v>국내평가</x:v>
      </x:c>
      <x:c r="M55" s="2" t="n">
        <x:f>IF('신청 원장'!S717="","",'신청 원장'!S717)</x:f>
        <x:v>620</x:v>
      </x:c>
      <x:c r="N55" s="2" t="str">
        <x:f>IF('신청 원장'!K717&lt;&gt;"미종결 표시","종결 상태 확인",IF('신청 원장'!N717="","일자 확인 필요",IF('신청 원장'!N717&gt;365,"366일 이상",IF('신청 원장'!N717&gt;90,"91~365일",IF('신청 원장'!N717&gt;30,"31~90일","0~30일")))))</x:f>
        <x:v>366일 이상</x:v>
      </x:c>
      <x:c r="O55" s="2" t="str">
        <x:f>IF(OR('신청 원장'!L717="",'신청 원장'!L717="선택"),"담당 원문 확인","기재")</x:f>
        <x:v>기재</x:v>
      </x:c>
      <x:c r="P55" s="2" t="str">
        <x:f>IF('신청 원장'!A717="","",'신청 원장'!A717)</x:f>
        <x:v>8000848b051b048d5a58423a</x:v>
      </x:c>
    </x:row>
    <x:row r="56" ht="42" customHeight="1">
      <x:c r="A56" s="2" t="str">
        <x:f>IF('신청 원장'!B738="","",'신청 원장'!B738)</x:f>
        <x:v>사업 평가</x:v>
      </x:c>
      <x:c r="B56" s="7" t="str">
        <x:f>IF('신청 원장'!D738="","",'신청 원장'!D738)</x:f>
        <x:v>고효율설비교체를 통한 온실가스묶음감축사업</x:v>
      </x:c>
      <x:c r="C56" s="2" t="str">
        <x:f>IF('신청 원장'!F738="","",'신청 원장'!F738)</x:f>
        <x:v>2021-12-28</x:v>
      </x:c>
      <x:c r="D56" s="2" t="str">
        <x:f>IF('신청 원장'!J738="","",'신청 원장'!J738)</x:f>
        <x:v>보완요청</x:v>
      </x:c>
      <x:c r="E56" s="2" t="str">
        <x:f>IF('신청 원장'!L738="","",'신청 원장'!L738)</x:f>
        <x:v>KECM</x:v>
      </x:c>
      <x:c r="F56" s="2" t="n">
        <x:f>IF('신청 원장'!M738="","",'신청 원장'!M738)</x:f>
        <x:v>1</x:v>
      </x:c>
      <x:c r="G56" s="2" t="n">
        <x:f>IF('신청 원장'!N738="","",'신청 원장'!N738)</x:f>
        <x:v>1752</x:v>
      </x:c>
      <x:c r="H56" s="2" t="str">
        <x:f>IF('신청 원장'!AA738="","",'신청 원장'!AA738)</x:f>
        <x:v>내부 관찰 대상</x:v>
      </x:c>
      <x:c r="I56" s="2" t="str">
        <x:f>IF('신청 원장'!O738="","",'신청 원장'!O738)</x:f>
        <x:v>보류</x:v>
      </x:c>
      <x:c r="J56" s="2" t="str">
        <x:f>IF('신청 원장'!W738="","",'신청 원장'!W738)</x:f>
      </x:c>
      <x:c r="K56" s="2" t="str">
        <x:f>IF('신청 원장'!X738="","",'신청 원장'!X738)</x:f>
        <x:v>보완 회신 일정 확인</x:v>
      </x:c>
      <x:c r="L56" s="2" t="str">
        <x:f>IF('신청 원장'!R738="","",'신청 원장'!R738)</x:f>
        <x:v>국내평가</x:v>
      </x:c>
      <x:c r="M56" s="2" t="n">
        <x:f>IF('신청 원장'!S738="","",'신청 원장'!S738)</x:f>
        <x:v>641</x:v>
      </x:c>
      <x:c r="N56" s="2" t="str">
        <x:f>IF('신청 원장'!K738&lt;&gt;"미종결 표시","종결 상태 확인",IF('신청 원장'!N738="","일자 확인 필요",IF('신청 원장'!N738&gt;365,"366일 이상",IF('신청 원장'!N738&gt;90,"91~365일",IF('신청 원장'!N738&gt;30,"31~90일","0~30일")))))</x:f>
        <x:v>366일 이상</x:v>
      </x:c>
      <x:c r="O56" s="2" t="str">
        <x:f>IF(OR('신청 원장'!L738="",'신청 원장'!L738="선택"),"담당 원문 확인","기재")</x:f>
        <x:v>기재</x:v>
      </x:c>
      <x:c r="P56" s="2" t="str">
        <x:f>IF('신청 원장'!A738="","",'신청 원장'!A738)</x:f>
        <x:v>2d4e40a3edfd659510b3acd9</x:v>
      </x:c>
    </x:row>
    <x:row r="57" ht="42" customHeight="1">
      <x:c r="A57" s="2" t="str">
        <x:f>IF('신청 원장'!B739="","",'신청 원장'!B739)</x:f>
        <x:v>사업 평가</x:v>
      </x:c>
      <x:c r="B57" s="7" t="str">
        <x:f>IF('신청 원장'!D739="","",'신청 원장'!D739)</x:f>
        <x:v>대구염색산업단지 온실가스 감축을 위한 압축공기제어시스템 도입</x:v>
      </x:c>
      <x:c r="C57" s="2" t="str">
        <x:f>IF('신청 원장'!F739="","",'신청 원장'!F739)</x:f>
        <x:v>2021-12-28</x:v>
      </x:c>
      <x:c r="D57" s="2" t="str">
        <x:f>IF('신청 원장'!J739="","",'신청 원장'!J739)</x:f>
        <x:v>보완요청</x:v>
      </x:c>
      <x:c r="E57" s="2" t="str">
        <x:f>IF('신청 원장'!L739="","",'신청 원장'!L739)</x:f>
        <x:v>KECM</x:v>
      </x:c>
      <x:c r="F57" s="2" t="n">
        <x:f>IF('신청 원장'!M739="","",'신청 원장'!M739)</x:f>
        <x:v>1</x:v>
      </x:c>
      <x:c r="G57" s="2" t="n">
        <x:f>IF('신청 원장'!N739="","",'신청 원장'!N739)</x:f>
        <x:v>1752</x:v>
      </x:c>
      <x:c r="H57" s="2" t="str">
        <x:f>IF('신청 원장'!AA739="","",'신청 원장'!AA739)</x:f>
        <x:v>내부 관찰 대상</x:v>
      </x:c>
      <x:c r="I57" s="2" t="str">
        <x:f>IF('신청 원장'!O739="","",'신청 원장'!O739)</x:f>
        <x:v>보류</x:v>
      </x:c>
      <x:c r="J57" s="2" t="str">
        <x:f>IF('신청 원장'!W739="","",'신청 원장'!W739)</x:f>
      </x:c>
      <x:c r="K57" s="2" t="str">
        <x:f>IF('신청 원장'!X739="","",'신청 원장'!X739)</x:f>
        <x:v>보완 회신 일정 확인</x:v>
      </x:c>
      <x:c r="L57" s="2" t="str">
        <x:f>IF('신청 원장'!R739="","",'신청 원장'!R739)</x:f>
        <x:v>국내평가</x:v>
      </x:c>
      <x:c r="M57" s="2" t="n">
        <x:f>IF('신청 원장'!S739="","",'신청 원장'!S739)</x:f>
        <x:v>642</x:v>
      </x:c>
      <x:c r="N57" s="2" t="str">
        <x:f>IF('신청 원장'!K739&lt;&gt;"미종결 표시","종결 상태 확인",IF('신청 원장'!N739="","일자 확인 필요",IF('신청 원장'!N739&gt;365,"366일 이상",IF('신청 원장'!N739&gt;90,"91~365일",IF('신청 원장'!N739&gt;30,"31~90일","0~30일")))))</x:f>
        <x:v>366일 이상</x:v>
      </x:c>
      <x:c r="O57" s="2" t="str">
        <x:f>IF(OR('신청 원장'!L739="",'신청 원장'!L739="선택"),"담당 원문 확인","기재")</x:f>
        <x:v>기재</x:v>
      </x:c>
      <x:c r="P57" s="2" t="str">
        <x:f>IF('신청 원장'!A739="","",'신청 원장'!A739)</x:f>
        <x:v>5e96d66ca9ae38425ae49c05</x:v>
      </x:c>
    </x:row>
    <x:row r="58" ht="42" customHeight="1">
      <x:c r="A58" s="2" t="str">
        <x:f>IF('신청 원장'!B744="","",'신청 원장'!B744)</x:f>
        <x:v>사업 평가</x:v>
      </x:c>
      <x:c r="B58" s="7" t="str">
        <x:f>IF('신청 원장'!D744="","",'신청 원장'!D744)</x:f>
        <x:v>동고령산업단지 온실가스 감축을 위한 고효율인버터제어형 공기압축기 및 압축공기제어시스템</x:v>
      </x:c>
      <x:c r="C58" s="2" t="str">
        <x:f>IF('신청 원장'!F744="","",'신청 원장'!F744)</x:f>
        <x:v>2021-12-28</x:v>
      </x:c>
      <x:c r="D58" s="2" t="str">
        <x:f>IF('신청 원장'!J744="","",'신청 원장'!J744)</x:f>
        <x:v>보완요청</x:v>
      </x:c>
      <x:c r="E58" s="2" t="str">
        <x:f>IF('신청 원장'!L744="","",'신청 원장'!L744)</x:f>
        <x:v>KECM</x:v>
      </x:c>
      <x:c r="F58" s="2" t="n">
        <x:f>IF('신청 원장'!M744="","",'신청 원장'!M744)</x:f>
        <x:v>1</x:v>
      </x:c>
      <x:c r="G58" s="2" t="n">
        <x:f>IF('신청 원장'!N744="","",'신청 원장'!N744)</x:f>
        <x:v>1752</x:v>
      </x:c>
      <x:c r="H58" s="2" t="str">
        <x:f>IF('신청 원장'!AA744="","",'신청 원장'!AA744)</x:f>
        <x:v>내부 관찰 대상</x:v>
      </x:c>
      <x:c r="I58" s="2" t="str">
        <x:f>IF('신청 원장'!O744="","",'신청 원장'!O744)</x:f>
        <x:v>보류</x:v>
      </x:c>
      <x:c r="J58" s="2" t="str">
        <x:f>IF('신청 원장'!W744="","",'신청 원장'!W744)</x:f>
      </x:c>
      <x:c r="K58" s="2" t="str">
        <x:f>IF('신청 원장'!X744="","",'신청 원장'!X744)</x:f>
        <x:v>보완 회신 일정 확인</x:v>
      </x:c>
      <x:c r="L58" s="2" t="str">
        <x:f>IF('신청 원장'!R744="","",'신청 원장'!R744)</x:f>
        <x:v>국내평가</x:v>
      </x:c>
      <x:c r="M58" s="2" t="n">
        <x:f>IF('신청 원장'!S744="","",'신청 원장'!S744)</x:f>
        <x:v>647</x:v>
      </x:c>
      <x:c r="N58" s="2" t="str">
        <x:f>IF('신청 원장'!K744&lt;&gt;"미종결 표시","종결 상태 확인",IF('신청 원장'!N744="","일자 확인 필요",IF('신청 원장'!N744&gt;365,"366일 이상",IF('신청 원장'!N744&gt;90,"91~365일",IF('신청 원장'!N744&gt;30,"31~90일","0~30일")))))</x:f>
        <x:v>366일 이상</x:v>
      </x:c>
      <x:c r="O58" s="2" t="str">
        <x:f>IF(OR('신청 원장'!L744="",'신청 원장'!L744="선택"),"담당 원문 확인","기재")</x:f>
        <x:v>기재</x:v>
      </x:c>
      <x:c r="P58" s="2" t="str">
        <x:f>IF('신청 원장'!A744="","",'신청 원장'!A744)</x:f>
        <x:v>bf7a4a737e7d0a8bafea1855</x:v>
      </x:c>
    </x:row>
    <x:row r="59" ht="42" customHeight="1">
      <x:c r="A59" s="2" t="str">
        <x:f>IF('신청 원장'!B747="","",'신청 원장'!B747)</x:f>
        <x:v>사업 평가</x:v>
      </x:c>
      <x:c r="B59" s="7" t="str">
        <x:f>IF('신청 원장'!D747="","",'신청 원장'!D747)</x:f>
        <x:v>스팀보일러 폐열회수를 통한 온실가스 감축사업</x:v>
      </x:c>
      <x:c r="C59" s="2" t="str">
        <x:f>IF('신청 원장'!F747="","",'신청 원장'!F747)</x:f>
        <x:v>2021-12-14</x:v>
      </x:c>
      <x:c r="D59" s="2" t="str">
        <x:f>IF('신청 원장'!J747="","",'신청 원장'!J747)</x:f>
        <x:v>보완요청</x:v>
      </x:c>
      <x:c r="E59" s="2" t="str">
        <x:f>IF('신청 원장'!L747="","",'신청 원장'!L747)</x:f>
        <x:v>에코시안_정인혜</x:v>
      </x:c>
      <x:c r="F59" s="2" t="n">
        <x:f>IF('신청 원장'!M747="","",'신청 원장'!M747)</x:f>
        <x:v>1</x:v>
      </x:c>
      <x:c r="G59" s="2" t="n">
        <x:f>IF('신청 원장'!N747="","",'신청 원장'!N747)</x:f>
        <x:v>1766</x:v>
      </x:c>
      <x:c r="H59" s="2" t="str">
        <x:f>IF('신청 원장'!AA747="","",'신청 원장'!AA747)</x:f>
        <x:v>내부 관찰 대상</x:v>
      </x:c>
      <x:c r="I59" s="2" t="str">
        <x:f>IF('신청 원장'!O747="","",'신청 원장'!O747)</x:f>
        <x:v>보류</x:v>
      </x:c>
      <x:c r="J59" s="2" t="str">
        <x:f>IF('신청 원장'!W747="","",'신청 원장'!W747)</x:f>
      </x:c>
      <x:c r="K59" s="2" t="str">
        <x:f>IF('신청 원장'!X747="","",'신청 원장'!X747)</x:f>
        <x:v>보완 회신 일정 확인</x:v>
      </x:c>
      <x:c r="L59" s="2" t="str">
        <x:f>IF('신청 원장'!R747="","",'신청 원장'!R747)</x:f>
        <x:v>국내평가</x:v>
      </x:c>
      <x:c r="M59" s="2" t="n">
        <x:f>IF('신청 원장'!S747="","",'신청 원장'!S747)</x:f>
        <x:v>650</x:v>
      </x:c>
      <x:c r="N59" s="2" t="str">
        <x:f>IF('신청 원장'!K747&lt;&gt;"미종결 표시","종결 상태 확인",IF('신청 원장'!N747="","일자 확인 필요",IF('신청 원장'!N747&gt;365,"366일 이상",IF('신청 원장'!N747&gt;90,"91~365일",IF('신청 원장'!N747&gt;30,"31~90일","0~30일")))))</x:f>
        <x:v>366일 이상</x:v>
      </x:c>
      <x:c r="O59" s="2" t="str">
        <x:f>IF(OR('신청 원장'!L747="",'신청 원장'!L747="선택"),"담당 원문 확인","기재")</x:f>
        <x:v>기재</x:v>
      </x:c>
      <x:c r="P59" s="2" t="str">
        <x:f>IF('신청 원장'!A747="","",'신청 원장'!A747)</x:f>
        <x:v>b5afabe200db4a81dc740d8d</x:v>
      </x:c>
    </x:row>
    <x:row r="60" ht="42" customHeight="1">
      <x:c r="A60" s="2" t="str">
        <x:f>IF('신청 원장'!B748="","",'신청 원장'!B748)</x:f>
        <x:v>사업 평가</x:v>
      </x:c>
      <x:c r="B60" s="7" t="str">
        <x:f>IF('신청 원장'!D748="","",'신청 원장'!D748)</x:f>
        <x:v>중력식 고효율 농축조 개선을 통한 온실가스 감축사업</x:v>
      </x:c>
      <x:c r="C60" s="2" t="str">
        <x:f>IF('신청 원장'!F748="","",'신청 원장'!F748)</x:f>
        <x:v>2021-12-14</x:v>
      </x:c>
      <x:c r="D60" s="2" t="str">
        <x:f>IF('신청 원장'!J748="","",'신청 원장'!J748)</x:f>
        <x:v>보완요청</x:v>
      </x:c>
      <x:c r="E60" s="2" t="str">
        <x:f>IF('신청 원장'!L748="","",'신청 원장'!L748)</x:f>
        <x:v>에코시안_박세은</x:v>
      </x:c>
      <x:c r="F60" s="2" t="n">
        <x:f>IF('신청 원장'!M748="","",'신청 원장'!M748)</x:f>
        <x:v>1</x:v>
      </x:c>
      <x:c r="G60" s="2" t="n">
        <x:f>IF('신청 원장'!N748="","",'신청 원장'!N748)</x:f>
        <x:v>1766</x:v>
      </x:c>
      <x:c r="H60" s="2" t="str">
        <x:f>IF('신청 원장'!AA748="","",'신청 원장'!AA748)</x:f>
        <x:v>내부 관찰 대상</x:v>
      </x:c>
      <x:c r="I60" s="2" t="str">
        <x:f>IF('신청 원장'!O748="","",'신청 원장'!O748)</x:f>
        <x:v>보류</x:v>
      </x:c>
      <x:c r="J60" s="2" t="str">
        <x:f>IF('신청 원장'!W748="","",'신청 원장'!W748)</x:f>
      </x:c>
      <x:c r="K60" s="2" t="str">
        <x:f>IF('신청 원장'!X748="","",'신청 원장'!X748)</x:f>
        <x:v>보완 회신 일정 확인</x:v>
      </x:c>
      <x:c r="L60" s="2" t="str">
        <x:f>IF('신청 원장'!R748="","",'신청 원장'!R748)</x:f>
        <x:v>국내평가</x:v>
      </x:c>
      <x:c r="M60" s="2" t="n">
        <x:f>IF('신청 원장'!S748="","",'신청 원장'!S748)</x:f>
        <x:v>651</x:v>
      </x:c>
      <x:c r="N60" s="2" t="str">
        <x:f>IF('신청 원장'!K748&lt;&gt;"미종결 표시","종결 상태 확인",IF('신청 원장'!N748="","일자 확인 필요",IF('신청 원장'!N748&gt;365,"366일 이상",IF('신청 원장'!N748&gt;90,"91~365일",IF('신청 원장'!N748&gt;30,"31~90일","0~30일")))))</x:f>
        <x:v>366일 이상</x:v>
      </x:c>
      <x:c r="O60" s="2" t="str">
        <x:f>IF(OR('신청 원장'!L748="",'신청 원장'!L748="선택"),"담당 원문 확인","기재")</x:f>
        <x:v>기재</x:v>
      </x:c>
      <x:c r="P60" s="2" t="str">
        <x:f>IF('신청 원장'!A748="","",'신청 원장'!A748)</x:f>
        <x:v>d4cce0ec67f50e0e73ecb6d4</x:v>
      </x:c>
    </x:row>
    <x:row r="61" ht="42" customHeight="1">
      <x:c r="A61" s="2" t="str">
        <x:f>IF('신청 원장'!B749="","",'신청 원장'!B749)</x:f>
        <x:v>사업 평가</x:v>
      </x:c>
      <x:c r="B61" s="7" t="str">
        <x:f>IF('신청 원장'!D749="","",'신청 원장'!D749)</x:f>
        <x:v>2021년도 생태산업개발을 통한 미세먼지 및 온실가스 감축 사업</x:v>
      </x:c>
      <x:c r="C61" s="2" t="str">
        <x:f>IF('신청 원장'!F749="","",'신청 원장'!F749)</x:f>
        <x:v>2021-12-22</x:v>
      </x:c>
      <x:c r="D61" s="2" t="str">
        <x:f>IF('신청 원장'!J749="","",'신청 원장'!J749)</x:f>
        <x:v>보완요청</x:v>
      </x:c>
      <x:c r="E61" s="2" t="str">
        <x:f>IF('신청 원장'!L749="","",'신청 원장'!L749)</x:f>
        <x:v>에코시안_정인혜</x:v>
      </x:c>
      <x:c r="F61" s="2" t="n">
        <x:f>IF('신청 원장'!M749="","",'신청 원장'!M749)</x:f>
        <x:v>1</x:v>
      </x:c>
      <x:c r="G61" s="2" t="n">
        <x:f>IF('신청 원장'!N749="","",'신청 원장'!N749)</x:f>
        <x:v>1758</x:v>
      </x:c>
      <x:c r="H61" s="2" t="str">
        <x:f>IF('신청 원장'!AA749="","",'신청 원장'!AA749)</x:f>
        <x:v>내부 관찰 대상</x:v>
      </x:c>
      <x:c r="I61" s="2" t="str">
        <x:f>IF('신청 원장'!O749="","",'신청 원장'!O749)</x:f>
        <x:v>보류</x:v>
      </x:c>
      <x:c r="J61" s="2" t="str">
        <x:f>IF('신청 원장'!W749="","",'신청 원장'!W749)</x:f>
      </x:c>
      <x:c r="K61" s="2" t="str">
        <x:f>IF('신청 원장'!X749="","",'신청 원장'!X749)</x:f>
        <x:v>보완 회신 일정 확인</x:v>
      </x:c>
      <x:c r="L61" s="2" t="str">
        <x:f>IF('신청 원장'!R749="","",'신청 원장'!R749)</x:f>
        <x:v>국내평가</x:v>
      </x:c>
      <x:c r="M61" s="2" t="n">
        <x:f>IF('신청 원장'!S749="","",'신청 원장'!S749)</x:f>
        <x:v>652</x:v>
      </x:c>
      <x:c r="N61" s="2" t="str">
        <x:f>IF('신청 원장'!K749&lt;&gt;"미종결 표시","종결 상태 확인",IF('신청 원장'!N749="","일자 확인 필요",IF('신청 원장'!N749&gt;365,"366일 이상",IF('신청 원장'!N749&gt;90,"91~365일",IF('신청 원장'!N749&gt;30,"31~90일","0~30일")))))</x:f>
        <x:v>366일 이상</x:v>
      </x:c>
      <x:c r="O61" s="2" t="str">
        <x:f>IF(OR('신청 원장'!L749="",'신청 원장'!L749="선택"),"담당 원문 확인","기재")</x:f>
        <x:v>기재</x:v>
      </x:c>
      <x:c r="P61" s="2" t="str">
        <x:f>IF('신청 원장'!A749="","",'신청 원장'!A749)</x:f>
        <x:v>88675c6cf35938b7c3a73a7d</x:v>
      </x:c>
    </x:row>
    <x:row r="62" ht="42" customHeight="1">
      <x:c r="A62" s="2" t="str">
        <x:f>IF('신청 원장'!B751="","",'신청 원장'!B751)</x:f>
        <x:v>사업 평가</x:v>
      </x:c>
      <x:c r="B62" s="7" t="str">
        <x:f>IF('신청 원장'!D751="","",'신청 원장'!D751)</x:f>
        <x:v>2019년 인천광역시 도로조명 LED 교체 묶음 감축사업</x:v>
      </x:c>
      <x:c r="C62" s="2" t="str">
        <x:f>IF('신청 원장'!F751="","",'신청 원장'!F751)</x:f>
        <x:v>2019-12-31</x:v>
      </x:c>
      <x:c r="D62" s="2" t="str">
        <x:f>IF('신청 원장'!J751="","",'신청 원장'!J751)</x:f>
        <x:v>보완요청</x:v>
      </x:c>
      <x:c r="E62" s="2" t="str">
        <x:f>IF('신청 원장'!L751="","",'신청 원장'!L751)</x:f>
        <x:v>KECM_이태준</x:v>
      </x:c>
      <x:c r="F62" s="2" t="n">
        <x:f>IF('신청 원장'!M751="","",'신청 원장'!M751)</x:f>
        <x:v>3</x:v>
      </x:c>
      <x:c r="G62" s="2" t="n">
        <x:f>IF('신청 원장'!N751="","",'신청 원장'!N751)</x:f>
        <x:v>2480</x:v>
      </x:c>
      <x:c r="H62" s="2" t="str">
        <x:f>IF('신청 원장'!AA751="","",'신청 원장'!AA751)</x:f>
        <x:v>내부 관찰 대상</x:v>
      </x:c>
      <x:c r="I62" s="2" t="str">
        <x:f>IF('신청 원장'!O751="","",'신청 원장'!O751)</x:f>
        <x:v>생략</x:v>
      </x:c>
      <x:c r="J62" s="2" t="str">
        <x:f>IF('신청 원장'!W751="","",'신청 원장'!W751)</x:f>
      </x:c>
      <x:c r="K62" s="2" t="str">
        <x:f>IF('신청 원장'!X751="","",'신청 원장'!X751)</x:f>
        <x:v>보완 회신 일정 확인</x:v>
      </x:c>
      <x:c r="L62" s="2" t="str">
        <x:f>IF('신청 원장'!R751="","",'신청 원장'!R751)</x:f>
        <x:v>국내평가</x:v>
      </x:c>
      <x:c r="M62" s="2" t="n">
        <x:f>IF('신청 원장'!S751="","",'신청 원장'!S751)</x:f>
        <x:v>654</x:v>
      </x:c>
      <x:c r="N62" s="2" t="str">
        <x:f>IF('신청 원장'!K751&lt;&gt;"미종결 표시","종결 상태 확인",IF('신청 원장'!N751="","일자 확인 필요",IF('신청 원장'!N751&gt;365,"366일 이상",IF('신청 원장'!N751&gt;90,"91~365일",IF('신청 원장'!N751&gt;30,"31~90일","0~30일")))))</x:f>
        <x:v>366일 이상</x:v>
      </x:c>
      <x:c r="O62" s="2" t="str">
        <x:f>IF(OR('신청 원장'!L751="",'신청 원장'!L751="선택"),"담당 원문 확인","기재")</x:f>
        <x:v>기재</x:v>
      </x:c>
      <x:c r="P62" s="2" t="str">
        <x:f>IF('신청 원장'!A751="","",'신청 원장'!A751)</x:f>
        <x:v>505dee8a5a38a1035831b43b</x:v>
      </x:c>
    </x:row>
    <x:row r="63" ht="42" customHeight="1">
      <x:c r="A63" s="2" t="str">
        <x:f>IF('신청 원장'!B752="","",'신청 원장'!B752)</x:f>
        <x:v>사업 평가</x:v>
      </x:c>
      <x:c r="B63" s="7" t="str">
        <x:f>IF('신청 원장'!D752="","",'신청 원장'!D752)</x:f>
        <x:v>2019년 인천광역시 보안등 LED 교체 묶음 감축사업</x:v>
      </x:c>
      <x:c r="C63" s="2" t="str">
        <x:f>IF('신청 원장'!F752="","",'신청 원장'!F752)</x:f>
        <x:v>2019-12-31</x:v>
      </x:c>
      <x:c r="D63" s="2" t="str">
        <x:f>IF('신청 원장'!J752="","",'신청 원장'!J752)</x:f>
        <x:v>보완요청</x:v>
      </x:c>
      <x:c r="E63" s="2" t="str">
        <x:f>IF('신청 원장'!L752="","",'신청 원장'!L752)</x:f>
        <x:v>KECM_이태준</x:v>
      </x:c>
      <x:c r="F63" s="2" t="n">
        <x:f>IF('신청 원장'!M752="","",'신청 원장'!M752)</x:f>
        <x:v>3</x:v>
      </x:c>
      <x:c r="G63" s="2" t="n">
        <x:f>IF('신청 원장'!N752="","",'신청 원장'!N752)</x:f>
        <x:v>2480</x:v>
      </x:c>
      <x:c r="H63" s="2" t="str">
        <x:f>IF('신청 원장'!AA752="","",'신청 원장'!AA752)</x:f>
        <x:v>내부 관찰 대상</x:v>
      </x:c>
      <x:c r="I63" s="2" t="str">
        <x:f>IF('신청 원장'!O752="","",'신청 원장'!O752)</x:f>
        <x:v>생략</x:v>
      </x:c>
      <x:c r="J63" s="2" t="str">
        <x:f>IF('신청 원장'!W752="","",'신청 원장'!W752)</x:f>
      </x:c>
      <x:c r="K63" s="2" t="str">
        <x:f>IF('신청 원장'!X752="","",'신청 원장'!X752)</x:f>
        <x:v>보완 회신 일정 확인</x:v>
      </x:c>
      <x:c r="L63" s="2" t="str">
        <x:f>IF('신청 원장'!R752="","",'신청 원장'!R752)</x:f>
        <x:v>국내평가</x:v>
      </x:c>
      <x:c r="M63" s="2" t="n">
        <x:f>IF('신청 원장'!S752="","",'신청 원장'!S752)</x:f>
        <x:v>655</x:v>
      </x:c>
      <x:c r="N63" s="2" t="str">
        <x:f>IF('신청 원장'!K752&lt;&gt;"미종결 표시","종결 상태 확인",IF('신청 원장'!N752="","일자 확인 필요",IF('신청 원장'!N752&gt;365,"366일 이상",IF('신청 원장'!N752&gt;90,"91~365일",IF('신청 원장'!N752&gt;30,"31~90일","0~30일")))))</x:f>
        <x:v>366일 이상</x:v>
      </x:c>
      <x:c r="O63" s="2" t="str">
        <x:f>IF(OR('신청 원장'!L752="",'신청 원장'!L752="선택"),"담당 원문 확인","기재")</x:f>
        <x:v>기재</x:v>
      </x:c>
      <x:c r="P63" s="2" t="str">
        <x:f>IF('신청 원장'!A752="","",'신청 원장'!A752)</x:f>
        <x:v>c96e5fd6fea0e0a7bce09cea</x:v>
      </x:c>
    </x:row>
    <x:row r="64" ht="42" customHeight="1">
      <x:c r="A64" s="2" t="str">
        <x:f>IF('신청 원장'!B755="","",'신청 원장'!B755)</x:f>
        <x:v>사업 평가</x:v>
      </x:c>
      <x:c r="B64" s="7" t="str">
        <x:f>IF('신청 원장'!D755="","",'신청 원장'!D755)</x:f>
        <x:v>압축공기 공동 이용 설비통합및 제어 시스넴 구축</x:v>
      </x:c>
      <x:c r="C64" s="2" t="str">
        <x:f>IF('신청 원장'!F755="","",'신청 원장'!F755)</x:f>
        <x:v>2021-12-27</x:v>
      </x:c>
      <x:c r="D64" s="2" t="str">
        <x:f>IF('신청 원장'!J755="","",'신청 원장'!J755)</x:f>
        <x:v>보완요청</x:v>
      </x:c>
      <x:c r="E64" s="2" t="str">
        <x:f>IF('신청 원장'!L755="","",'신청 원장'!L755)</x:f>
        <x:v>에코시안_박세은</x:v>
      </x:c>
      <x:c r="F64" s="2" t="n">
        <x:f>IF('신청 원장'!M755="","",'신청 원장'!M755)</x:f>
        <x:v>1</x:v>
      </x:c>
      <x:c r="G64" s="2" t="n">
        <x:f>IF('신청 원장'!N755="","",'신청 원장'!N755)</x:f>
        <x:v>1753</x:v>
      </x:c>
      <x:c r="H64" s="2" t="str">
        <x:f>IF('신청 원장'!AA755="","",'신청 원장'!AA755)</x:f>
        <x:v>내부 관찰 대상</x:v>
      </x:c>
      <x:c r="I64" s="2" t="str">
        <x:f>IF('신청 원장'!O755="","",'신청 원장'!O755)</x:f>
        <x:v>보류</x:v>
      </x:c>
      <x:c r="J64" s="2" t="str">
        <x:f>IF('신청 원장'!W755="","",'신청 원장'!W755)</x:f>
      </x:c>
      <x:c r="K64" s="2" t="str">
        <x:f>IF('신청 원장'!X755="","",'신청 원장'!X755)</x:f>
        <x:v>보완 회신 일정 확인</x:v>
      </x:c>
      <x:c r="L64" s="2" t="str">
        <x:f>IF('신청 원장'!R755="","",'신청 원장'!R755)</x:f>
        <x:v>국내평가</x:v>
      </x:c>
      <x:c r="M64" s="2" t="n">
        <x:f>IF('신청 원장'!S755="","",'신청 원장'!S755)</x:f>
        <x:v>658</x:v>
      </x:c>
      <x:c r="N64" s="2" t="str">
        <x:f>IF('신청 원장'!K755&lt;&gt;"미종결 표시","종결 상태 확인",IF('신청 원장'!N755="","일자 확인 필요",IF('신청 원장'!N755&gt;365,"366일 이상",IF('신청 원장'!N755&gt;90,"91~365일",IF('신청 원장'!N755&gt;30,"31~90일","0~30일")))))</x:f>
        <x:v>366일 이상</x:v>
      </x:c>
      <x:c r="O64" s="2" t="str">
        <x:f>IF(OR('신청 원장'!L755="",'신청 원장'!L755="선택"),"담당 원문 확인","기재")</x:f>
        <x:v>기재</x:v>
      </x:c>
      <x:c r="P64" s="2" t="str">
        <x:f>IF('신청 원장'!A755="","",'신청 원장'!A755)</x:f>
        <x:v>cff67f6040ad5b2b53e59ad3</x:v>
      </x:c>
    </x:row>
    <x:row r="65" ht="42" customHeight="1">
      <x:c r="A65" s="2" t="str">
        <x:f>IF('신청 원장'!B757="","",'신청 원장'!B757)</x:f>
        <x:v>사업 평가</x:v>
      </x:c>
      <x:c r="B65" s="7" t="str">
        <x:f>IF('신청 원장'!D757="","",'신청 원장'!D757)</x:f>
        <x:v>㈜포스코건설 태양광 발전설비를 이용한 전력생산 및 자가사용 사업(사회공헌형)</x:v>
      </x:c>
      <x:c r="C65" s="2" t="str">
        <x:f>IF('신청 원장'!F757="","",'신청 원장'!F757)</x:f>
        <x:v>2021-12-29</x:v>
      </x:c>
      <x:c r="D65" s="2" t="str">
        <x:f>IF('신청 원장'!J757="","",'신청 원장'!J757)</x:f>
        <x:v>보완요청</x:v>
      </x:c>
      <x:c r="E65" s="2" t="str">
        <x:f>IF('신청 원장'!L757="","",'신청 원장'!L757)</x:f>
        <x:v>에코시안_권송화</x:v>
      </x:c>
      <x:c r="F65" s="2" t="n">
        <x:f>IF('신청 원장'!M757="","",'신청 원장'!M757)</x:f>
        <x:v>1</x:v>
      </x:c>
      <x:c r="G65" s="2" t="n">
        <x:f>IF('신청 원장'!N757="","",'신청 원장'!N757)</x:f>
        <x:v>1751</x:v>
      </x:c>
      <x:c r="H65" s="2" t="str">
        <x:f>IF('신청 원장'!AA757="","",'신청 원장'!AA757)</x:f>
        <x:v>내부 관찰 대상</x:v>
      </x:c>
      <x:c r="I65" s="2" t="str">
        <x:f>IF('신청 원장'!O757="","",'신청 원장'!O757)</x:f>
        <x:v>보류</x:v>
      </x:c>
      <x:c r="J65" s="2" t="str">
        <x:f>IF('신청 원장'!W757="","",'신청 원장'!W757)</x:f>
      </x:c>
      <x:c r="K65" s="2" t="str">
        <x:f>IF('신청 원장'!X757="","",'신청 원장'!X757)</x:f>
        <x:v>보완 회신 일정 확인</x:v>
      </x:c>
      <x:c r="L65" s="2" t="str">
        <x:f>IF('신청 원장'!R757="","",'신청 원장'!R757)</x:f>
        <x:v>국내평가</x:v>
      </x:c>
      <x:c r="M65" s="2" t="n">
        <x:f>IF('신청 원장'!S757="","",'신청 원장'!S757)</x:f>
        <x:v>660</x:v>
      </x:c>
      <x:c r="N65" s="2" t="str">
        <x:f>IF('신청 원장'!K757&lt;&gt;"미종결 표시","종결 상태 확인",IF('신청 원장'!N757="","일자 확인 필요",IF('신청 원장'!N757&gt;365,"366일 이상",IF('신청 원장'!N757&gt;90,"91~365일",IF('신청 원장'!N757&gt;30,"31~90일","0~30일")))))</x:f>
        <x:v>366일 이상</x:v>
      </x:c>
      <x:c r="O65" s="2" t="str">
        <x:f>IF(OR('신청 원장'!L757="",'신청 원장'!L757="선택"),"담당 원문 확인","기재")</x:f>
        <x:v>기재</x:v>
      </x:c>
      <x:c r="P65" s="2" t="str">
        <x:f>IF('신청 원장'!A757="","",'신청 원장'!A757)</x:f>
        <x:v>f391819c00583071b5c60178</x:v>
      </x:c>
    </x:row>
    <x:row r="66" ht="42" customHeight="1">
      <x:c r="A66" s="2" t="str">
        <x:f>IF('신청 원장'!B760="","",'신청 원장'!B760)</x:f>
        <x:v>사업 평가</x:v>
      </x:c>
      <x:c r="B66" s="7" t="str">
        <x:f>IF('신청 원장'!D760="","",'신청 원장'!D760)</x:f>
        <x:v>동성EPS 태양광발전 설비 설치를 통한 전력 생산 및 자가 사용 사업</x:v>
      </x:c>
      <x:c r="C66" s="2" t="str">
        <x:f>IF('신청 원장'!F760="","",'신청 원장'!F760)</x:f>
        <x:v>2020-06-26</x:v>
      </x:c>
      <x:c r="D66" s="2" t="str">
        <x:f>IF('신청 원장'!J760="","",'신청 원장'!J760)</x:f>
        <x:v>보완요청</x:v>
      </x:c>
      <x:c r="E66" s="2" t="str">
        <x:f>IF('신청 원장'!L760="","",'신청 원장'!L760)</x:f>
        <x:v>KECM&gt;에코시안_정다윤</x:v>
      </x:c>
      <x:c r="F66" s="2" t="n">
        <x:f>IF('신청 원장'!M760="","",'신청 원장'!M760)</x:f>
        <x:v>3</x:v>
      </x:c>
      <x:c r="G66" s="2" t="n">
        <x:f>IF('신청 원장'!N760="","",'신청 원장'!N760)</x:f>
        <x:v>2302</x:v>
      </x:c>
      <x:c r="H66" s="2" t="str">
        <x:f>IF('신청 원장'!AA760="","",'신청 원장'!AA760)</x:f>
        <x:v>내부 관찰 대상</x:v>
      </x:c>
      <x:c r="I66" s="2" t="str">
        <x:f>IF('신청 원장'!O760="","",'신청 원장'!O760)</x:f>
        <x:v>생략</x:v>
      </x:c>
      <x:c r="J66" s="2" t="str">
        <x:f>IF('신청 원장'!W760="","",'신청 원장'!W760)</x:f>
      </x:c>
      <x:c r="K66" s="2" t="str">
        <x:f>IF('신청 원장'!X760="","",'신청 원장'!X760)</x:f>
        <x:v>보완 회신 일정 확인</x:v>
      </x:c>
      <x:c r="L66" s="2" t="str">
        <x:f>IF('신청 원장'!R760="","",'신청 원장'!R760)</x:f>
        <x:v>국내평가</x:v>
      </x:c>
      <x:c r="M66" s="2" t="n">
        <x:f>IF('신청 원장'!S760="","",'신청 원장'!S760)</x:f>
        <x:v>663</x:v>
      </x:c>
      <x:c r="N66" s="2" t="str">
        <x:f>IF('신청 원장'!K760&lt;&gt;"미종결 표시","종결 상태 확인",IF('신청 원장'!N760="","일자 확인 필요",IF('신청 원장'!N760&gt;365,"366일 이상",IF('신청 원장'!N760&gt;90,"91~365일",IF('신청 원장'!N760&gt;30,"31~90일","0~30일")))))</x:f>
        <x:v>366일 이상</x:v>
      </x:c>
      <x:c r="O66" s="2" t="str">
        <x:f>IF(OR('신청 원장'!L760="",'신청 원장'!L760="선택"),"담당 원문 확인","기재")</x:f>
        <x:v>기재</x:v>
      </x:c>
      <x:c r="P66" s="2" t="str">
        <x:f>IF('신청 원장'!A760="","",'신청 원장'!A760)</x:f>
        <x:v>5b1403ca8a990a9e40b9636e</x:v>
      </x:c>
    </x:row>
    <x:row r="67" ht="42" customHeight="1">
      <x:c r="A67" s="2" t="str">
        <x:f>IF('신청 원장'!B762="","",'신청 원장'!B762)</x:f>
        <x:v>사업 평가</x:v>
      </x:c>
      <x:c r="B67" s="7" t="str">
        <x:f>IF('신청 원장'!D762="","",'신청 원장'!D762)</x:f>
        <x:v>주식회사 삼성엠케이의 보일러 연료전환 (B-C유 → LPG)을 통한 온실가스 감축사업</x:v>
      </x:c>
      <x:c r="C67" s="2" t="str">
        <x:f>IF('신청 원장'!F762="","",'신청 원장'!F762)</x:f>
        <x:v>2020-09-25</x:v>
      </x:c>
      <x:c r="D67" s="2" t="str">
        <x:f>IF('신청 원장'!J762="","",'신청 원장'!J762)</x:f>
        <x:v>보완요청</x:v>
      </x:c>
      <x:c r="E67" s="2" t="str">
        <x:f>IF('신청 원장'!L762="","",'신청 원장'!L762)</x:f>
        <x:v>KECM_임하진</x:v>
      </x:c>
      <x:c r="F67" s="2" t="n">
        <x:f>IF('신청 원장'!M762="","",'신청 원장'!M762)</x:f>
        <x:v>3</x:v>
      </x:c>
      <x:c r="G67" s="2" t="n">
        <x:f>IF('신청 원장'!N762="","",'신청 원장'!N762)</x:f>
        <x:v>2211</x:v>
      </x:c>
      <x:c r="H67" s="2" t="str">
        <x:f>IF('신청 원장'!AA762="","",'신청 원장'!AA762)</x:f>
        <x:v>내부 관찰 대상</x:v>
      </x:c>
      <x:c r="I67" s="2" t="str">
        <x:f>IF('신청 원장'!O762="","",'신청 원장'!O762)</x:f>
        <x:v>O(21.10)</x:v>
      </x:c>
      <x:c r="J67" s="2" t="str">
        <x:f>IF('신청 원장'!W762="","",'신청 원장'!W762)</x:f>
      </x:c>
      <x:c r="K67" s="2" t="str">
        <x:f>IF('신청 원장'!X762="","",'신청 원장'!X762)</x:f>
        <x:v>보완 회신 일정 확인</x:v>
      </x:c>
      <x:c r="L67" s="2" t="str">
        <x:f>IF('신청 원장'!R762="","",'신청 원장'!R762)</x:f>
        <x:v>국내평가</x:v>
      </x:c>
      <x:c r="M67" s="2" t="n">
        <x:f>IF('신청 원장'!S762="","",'신청 원장'!S762)</x:f>
        <x:v>665</x:v>
      </x:c>
      <x:c r="N67" s="2" t="str">
        <x:f>IF('신청 원장'!K762&lt;&gt;"미종결 표시","종결 상태 확인",IF('신청 원장'!N762="","일자 확인 필요",IF('신청 원장'!N762&gt;365,"366일 이상",IF('신청 원장'!N762&gt;90,"91~365일",IF('신청 원장'!N762&gt;30,"31~90일","0~30일")))))</x:f>
        <x:v>366일 이상</x:v>
      </x:c>
      <x:c r="O67" s="2" t="str">
        <x:f>IF(OR('신청 원장'!L762="",'신청 원장'!L762="선택"),"담당 원문 확인","기재")</x:f>
        <x:v>기재</x:v>
      </x:c>
      <x:c r="P67" s="2" t="str">
        <x:f>IF('신청 원장'!A762="","",'신청 원장'!A762)</x:f>
        <x:v>e1a2c294ed324f41735fe143</x:v>
      </x:c>
    </x:row>
    <x:row r="68" ht="42" customHeight="1">
      <x:c r="A68" s="2" t="str">
        <x:f>IF('신청 원장'!B764="","",'신청 원장'!B764)</x:f>
        <x:v>사업 평가</x:v>
      </x:c>
      <x:c r="B68" s="7" t="str">
        <x:f>IF('신청 원장'!D764="","",'신청 원장'!D764)</x:f>
        <x:v>(주)세우산업의 보일러 연료전환(B-C유 → LPG)을 통한 온실가스(CO2) 배출 감축사업</x:v>
      </x:c>
      <x:c r="C68" s="2" t="str">
        <x:f>IF('신청 원장'!F764="","",'신청 원장'!F764)</x:f>
        <x:v>2020-09-25</x:v>
      </x:c>
      <x:c r="D68" s="2" t="str">
        <x:f>IF('신청 원장'!J764="","",'신청 원장'!J764)</x:f>
        <x:v>보완요청</x:v>
      </x:c>
      <x:c r="E68" s="2" t="str">
        <x:f>IF('신청 원장'!L764="","",'신청 원장'!L764)</x:f>
        <x:v>KECM_임하진,DNV 박상연</x:v>
      </x:c>
      <x:c r="F68" s="2" t="n">
        <x:f>IF('신청 원장'!M764="","",'신청 원장'!M764)</x:f>
        <x:v>3</x:v>
      </x:c>
      <x:c r="G68" s="2" t="n">
        <x:f>IF('신청 원장'!N764="","",'신청 원장'!N764)</x:f>
        <x:v>2211</x:v>
      </x:c>
      <x:c r="H68" s="2" t="str">
        <x:f>IF('신청 원장'!AA764="","",'신청 원장'!AA764)</x:f>
        <x:v>내부 관찰 대상</x:v>
      </x:c>
      <x:c r="I68" s="2" t="str">
        <x:f>IF('신청 원장'!O764="","",'신청 원장'!O764)</x:f>
        <x:v>O(22.05)</x:v>
      </x:c>
      <x:c r="J68" s="2" t="str">
        <x:f>IF('신청 원장'!W764="","",'신청 원장'!W764)</x:f>
      </x:c>
      <x:c r="K68" s="2" t="str">
        <x:f>IF('신청 원장'!X764="","",'신청 원장'!X764)</x:f>
        <x:v>보완 회신 일정 확인</x:v>
      </x:c>
      <x:c r="L68" s="2" t="str">
        <x:f>IF('신청 원장'!R764="","",'신청 원장'!R764)</x:f>
        <x:v>국내평가</x:v>
      </x:c>
      <x:c r="M68" s="2" t="n">
        <x:f>IF('신청 원장'!S764="","",'신청 원장'!S764)</x:f>
        <x:v>667</x:v>
      </x:c>
      <x:c r="N68" s="2" t="str">
        <x:f>IF('신청 원장'!K764&lt;&gt;"미종결 표시","종결 상태 확인",IF('신청 원장'!N764="","일자 확인 필요",IF('신청 원장'!N764&gt;365,"366일 이상",IF('신청 원장'!N764&gt;90,"91~365일",IF('신청 원장'!N764&gt;30,"31~90일","0~30일")))))</x:f>
        <x:v>366일 이상</x:v>
      </x:c>
      <x:c r="O68" s="2" t="str">
        <x:f>IF(OR('신청 원장'!L764="",'신청 원장'!L764="선택"),"담당 원문 확인","기재")</x:f>
        <x:v>기재</x:v>
      </x:c>
      <x:c r="P68" s="2" t="str">
        <x:f>IF('신청 원장'!A764="","",'신청 원장'!A764)</x:f>
        <x:v>f4cd79ba21a924d23267ef13</x:v>
      </x:c>
    </x:row>
    <x:row r="69" ht="42" customHeight="1">
      <x:c r="A69" s="2" t="str">
        <x:f>IF('신청 원장'!B765="","",'신청 원장'!B765)</x:f>
        <x:v>사업 평가</x:v>
      </x:c>
      <x:c r="B69" s="7" t="str">
        <x:f>IF('신청 원장'!D765="","",'신청 원장'!D765)</x:f>
        <x:v>부림인슈보드(주) 연료교체(B-C유→LPG) 사업</x:v>
      </x:c>
      <x:c r="C69" s="2" t="str">
        <x:f>IF('신청 원장'!F765="","",'신청 원장'!F765)</x:f>
        <x:v>2020-09-28</x:v>
      </x:c>
      <x:c r="D69" s="2" t="str">
        <x:f>IF('신청 원장'!J765="","",'신청 원장'!J765)</x:f>
        <x:v>보완요청</x:v>
      </x:c>
      <x:c r="E69" s="2" t="str">
        <x:f>IF('신청 원장'!L765="","",'신청 원장'!L765)</x:f>
        <x:v>KECM_임하진</x:v>
      </x:c>
      <x:c r="F69" s="2" t="n">
        <x:f>IF('신청 원장'!M765="","",'신청 원장'!M765)</x:f>
        <x:v>2</x:v>
      </x:c>
      <x:c r="G69" s="2" t="n">
        <x:f>IF('신청 원장'!N765="","",'신청 원장'!N765)</x:f>
        <x:v>2208</x:v>
      </x:c>
      <x:c r="H69" s="2" t="str">
        <x:f>IF('신청 원장'!AA765="","",'신청 원장'!AA765)</x:f>
        <x:v>내부 관찰 대상</x:v>
      </x:c>
      <x:c r="I69" s="2" t="str">
        <x:f>IF('신청 원장'!O765="","",'신청 원장'!O765)</x:f>
        <x:v>O(21.07)</x:v>
      </x:c>
      <x:c r="J69" s="2" t="str">
        <x:f>IF('신청 원장'!W765="","",'신청 원장'!W765)</x:f>
      </x:c>
      <x:c r="K69" s="2" t="str">
        <x:f>IF('신청 원장'!X765="","",'신청 원장'!X765)</x:f>
        <x:v>보완 회신 일정 확인</x:v>
      </x:c>
      <x:c r="L69" s="2" t="str">
        <x:f>IF('신청 원장'!R765="","",'신청 원장'!R765)</x:f>
        <x:v>국내평가</x:v>
      </x:c>
      <x:c r="M69" s="2" t="n">
        <x:f>IF('신청 원장'!S765="","",'신청 원장'!S765)</x:f>
        <x:v>668</x:v>
      </x:c>
      <x:c r="N69" s="2" t="str">
        <x:f>IF('신청 원장'!K765&lt;&gt;"미종결 표시","종결 상태 확인",IF('신청 원장'!N765="","일자 확인 필요",IF('신청 원장'!N765&gt;365,"366일 이상",IF('신청 원장'!N765&gt;90,"91~365일",IF('신청 원장'!N765&gt;30,"31~90일","0~30일")))))</x:f>
        <x:v>366일 이상</x:v>
      </x:c>
      <x:c r="O69" s="2" t="str">
        <x:f>IF(OR('신청 원장'!L765="",'신청 원장'!L765="선택"),"담당 원문 확인","기재")</x:f>
        <x:v>기재</x:v>
      </x:c>
      <x:c r="P69" s="2" t="str">
        <x:f>IF('신청 원장'!A765="","",'신청 원장'!A765)</x:f>
        <x:v>d40d4d74778253b5d637dc61</x:v>
      </x:c>
    </x:row>
    <x:row r="70" ht="42" customHeight="1">
      <x:c r="A70" s="2" t="str">
        <x:f>IF('신청 원장'!B766="","",'신청 원장'!B766)</x:f>
        <x:v>사업 평가</x:v>
      </x:c>
      <x:c r="B70" s="7" t="str">
        <x:f>IF('신청 원장'!D766="","",'신청 원장'!D766)</x:f>
        <x:v>(주)포천수지 보일러 연료교체(B-C유→LPG) 사업</x:v>
      </x:c>
      <x:c r="C70" s="2" t="str">
        <x:f>IF('신청 원장'!F766="","",'신청 원장'!F766)</x:f>
        <x:v>2020-09-28</x:v>
      </x:c>
      <x:c r="D70" s="2" t="str">
        <x:f>IF('신청 원장'!J766="","",'신청 원장'!J766)</x:f>
        <x:v>보완요청</x:v>
      </x:c>
      <x:c r="E70" s="2" t="str">
        <x:f>IF('신청 원장'!L766="","",'신청 원장'!L766)</x:f>
        <x:v>KECM_임하진</x:v>
      </x:c>
      <x:c r="F70" s="2" t="n">
        <x:f>IF('신청 원장'!M766="","",'신청 원장'!M766)</x:f>
        <x:v>3</x:v>
      </x:c>
      <x:c r="G70" s="2" t="n">
        <x:f>IF('신청 원장'!N766="","",'신청 원장'!N766)</x:f>
        <x:v>2208</x:v>
      </x:c>
      <x:c r="H70" s="2" t="str">
        <x:f>IF('신청 원장'!AA766="","",'신청 원장'!AA766)</x:f>
        <x:v>내부 관찰 대상</x:v>
      </x:c>
      <x:c r="I70" s="2" t="str">
        <x:f>IF('신청 원장'!O766="","",'신청 원장'!O766)</x:f>
        <x:v>O(21.09)</x:v>
      </x:c>
      <x:c r="J70" s="2" t="str">
        <x:f>IF('신청 원장'!W766="","",'신청 원장'!W766)</x:f>
      </x:c>
      <x:c r="K70" s="2" t="str">
        <x:f>IF('신청 원장'!X766="","",'신청 원장'!X766)</x:f>
        <x:v>보완 회신 일정 확인</x:v>
      </x:c>
      <x:c r="L70" s="2" t="str">
        <x:f>IF('신청 원장'!R766="","",'신청 원장'!R766)</x:f>
        <x:v>국내평가</x:v>
      </x:c>
      <x:c r="M70" s="2" t="n">
        <x:f>IF('신청 원장'!S766="","",'신청 원장'!S766)</x:f>
        <x:v>669</x:v>
      </x:c>
      <x:c r="N70" s="2" t="str">
        <x:f>IF('신청 원장'!K766&lt;&gt;"미종결 표시","종결 상태 확인",IF('신청 원장'!N766="","일자 확인 필요",IF('신청 원장'!N766&gt;365,"366일 이상",IF('신청 원장'!N766&gt;90,"91~365일",IF('신청 원장'!N766&gt;30,"31~90일","0~30일")))))</x:f>
        <x:v>366일 이상</x:v>
      </x:c>
      <x:c r="O70" s="2" t="str">
        <x:f>IF(OR('신청 원장'!L766="",'신청 원장'!L766="선택"),"담당 원문 확인","기재")</x:f>
        <x:v>기재</x:v>
      </x:c>
      <x:c r="P70" s="2" t="str">
        <x:f>IF('신청 원장'!A766="","",'신청 원장'!A766)</x:f>
        <x:v>e3edc508cc84a791015abee4</x:v>
      </x:c>
    </x:row>
    <x:row r="71" ht="42" customHeight="1">
      <x:c r="A71" s="2" t="str">
        <x:f>IF('신청 원장'!B767="","",'신청 원장'!B767)</x:f>
        <x:v>사업 평가</x:v>
      </x:c>
      <x:c r="B71" s="7" t="str">
        <x:f>IF('신청 원장'!D767="","",'신청 원장'!D767)</x:f>
        <x:v>(주)에이에스이 칠곡지점 고효율 공기압축기 교체를 통한 온실가스 감축사업</x:v>
      </x:c>
      <x:c r="C71" s="2" t="str">
        <x:f>IF('신청 원장'!F767="","",'신청 원장'!F767)</x:f>
        <x:v>2019-05-31</x:v>
      </x:c>
      <x:c r="D71" s="2" t="str">
        <x:f>IF('신청 원장'!J767="","",'신청 원장'!J767)</x:f>
        <x:v>보완요청</x:v>
      </x:c>
      <x:c r="E71" s="2" t="str">
        <x:f>IF('신청 원장'!L767="","",'신청 원장'!L767)</x:f>
        <x:v>에코시안_조혜민&gt;조영우</x:v>
      </x:c>
      <x:c r="F71" s="2" t="n">
        <x:f>IF('신청 원장'!M767="","",'신청 원장'!M767)</x:f>
        <x:v>3</x:v>
      </x:c>
      <x:c r="G71" s="2" t="n">
        <x:f>IF('신청 원장'!N767="","",'신청 원장'!N767)</x:f>
        <x:v>2694</x:v>
      </x:c>
      <x:c r="H71" s="2" t="str">
        <x:f>IF('신청 원장'!AA767="","",'신청 원장'!AA767)</x:f>
        <x:v>내부 관찰 대상</x:v>
      </x:c>
      <x:c r="I71" s="2" t="str">
        <x:f>IF('신청 원장'!O767="","",'신청 원장'!O767)</x:f>
        <x:v>O(21.09)</x:v>
      </x:c>
      <x:c r="J71" s="2" t="str">
        <x:f>IF('신청 원장'!W767="","",'신청 원장'!W767)</x:f>
      </x:c>
      <x:c r="K71" s="2" t="str">
        <x:f>IF('신청 원장'!X767="","",'신청 원장'!X767)</x:f>
        <x:v>보완 회신 일정 확인</x:v>
      </x:c>
      <x:c r="L71" s="2" t="str">
        <x:f>IF('신청 원장'!R767="","",'신청 원장'!R767)</x:f>
        <x:v>국내평가</x:v>
      </x:c>
      <x:c r="M71" s="2" t="n">
        <x:f>IF('신청 원장'!S767="","",'신청 원장'!S767)</x:f>
        <x:v>670</x:v>
      </x:c>
      <x:c r="N71" s="2" t="str">
        <x:f>IF('신청 원장'!K767&lt;&gt;"미종결 표시","종결 상태 확인",IF('신청 원장'!N767="","일자 확인 필요",IF('신청 원장'!N767&gt;365,"366일 이상",IF('신청 원장'!N767&gt;90,"91~365일",IF('신청 원장'!N767&gt;30,"31~90일","0~30일")))))</x:f>
        <x:v>366일 이상</x:v>
      </x:c>
      <x:c r="O71" s="2" t="str">
        <x:f>IF(OR('신청 원장'!L767="",'신청 원장'!L767="선택"),"담당 원문 확인","기재")</x:f>
        <x:v>기재</x:v>
      </x:c>
      <x:c r="P71" s="2" t="str">
        <x:f>IF('신청 원장'!A767="","",'신청 원장'!A767)</x:f>
        <x:v>b4057b45f64fdf6d7d2e5b5f</x:v>
      </x:c>
    </x:row>
    <x:row r="72" ht="42" customHeight="1">
      <x:c r="A72" s="2" t="str">
        <x:f>IF('신청 원장'!B768="","",'신청 원장'!B768)</x:f>
        <x:v>사업 평가</x:v>
      </x:c>
      <x:c r="B72" s="7" t="str">
        <x:f>IF('신청 원장'!D768="","",'신청 원장'!D768)</x:f>
        <x:v>㈜ASPT 인버터형 공기압축기 교체 사업</x:v>
      </x:c>
      <x:c r="C72" s="2" t="str">
        <x:f>IF('신청 원장'!F768="","",'신청 원장'!F768)</x:f>
        <x:v>2019-12-30</x:v>
      </x:c>
      <x:c r="D72" s="2" t="str">
        <x:f>IF('신청 원장'!J768="","",'신청 원장'!J768)</x:f>
        <x:v>보완요청</x:v>
      </x:c>
      <x:c r="E72" s="2" t="str">
        <x:f>IF('신청 원장'!L768="","",'신청 원장'!L768)</x:f>
        <x:v>에코시안_기샛별&gt;전윤호</x:v>
      </x:c>
      <x:c r="F72" s="2" t="n">
        <x:f>IF('신청 원장'!M768="","",'신청 원장'!M768)</x:f>
        <x:v>3</x:v>
      </x:c>
      <x:c r="G72" s="2" t="n">
        <x:f>IF('신청 원장'!N768="","",'신청 원장'!N768)</x:f>
        <x:v>2481</x:v>
      </x:c>
      <x:c r="H72" s="2" t="str">
        <x:f>IF('신청 원장'!AA768="","",'신청 원장'!AA768)</x:f>
        <x:v>내부 관찰 대상</x:v>
      </x:c>
      <x:c r="I72" s="2" t="str">
        <x:f>IF('신청 원장'!O768="","",'신청 원장'!O768)</x:f>
        <x:v>보류</x:v>
      </x:c>
      <x:c r="J72" s="2" t="str">
        <x:f>IF('신청 원장'!W768="","",'신청 원장'!W768)</x:f>
      </x:c>
      <x:c r="K72" s="2" t="str">
        <x:f>IF('신청 원장'!X768="","",'신청 원장'!X768)</x:f>
        <x:v>보완 회신 일정 확인</x:v>
      </x:c>
      <x:c r="L72" s="2" t="str">
        <x:f>IF('신청 원장'!R768="","",'신청 원장'!R768)</x:f>
        <x:v>국내평가</x:v>
      </x:c>
      <x:c r="M72" s="2" t="n">
        <x:f>IF('신청 원장'!S768="","",'신청 원장'!S768)</x:f>
        <x:v>671</x:v>
      </x:c>
      <x:c r="N72" s="2" t="str">
        <x:f>IF('신청 원장'!K768&lt;&gt;"미종결 표시","종결 상태 확인",IF('신청 원장'!N768="","일자 확인 필요",IF('신청 원장'!N768&gt;365,"366일 이상",IF('신청 원장'!N768&gt;90,"91~365일",IF('신청 원장'!N768&gt;30,"31~90일","0~30일")))))</x:f>
        <x:v>366일 이상</x:v>
      </x:c>
      <x:c r="O72" s="2" t="str">
        <x:f>IF(OR('신청 원장'!L768="",'신청 원장'!L768="선택"),"담당 원문 확인","기재")</x:f>
        <x:v>기재</x:v>
      </x:c>
      <x:c r="P72" s="2" t="str">
        <x:f>IF('신청 원장'!A768="","",'신청 원장'!A768)</x:f>
        <x:v>bbb18e03d155c0f3e19d31db</x:v>
      </x:c>
    </x:row>
    <x:row r="73" ht="42" customHeight="1">
      <x:c r="A73" s="2" t="str">
        <x:f>IF('신청 원장'!B773="","",'신청 원장'!B773)</x:f>
        <x:v>사업 평가</x:v>
      </x:c>
      <x:c r="B73" s="7" t="str">
        <x:f>IF('신청 원장'!D773="","",'신청 원장'!D773)</x:f>
        <x:v>㈜왕성테크 고효율설비 교체(스크류 공기압축기 → 인버터형 공기압축기) 사업</x:v>
      </x:c>
      <x:c r="C73" s="2" t="str">
        <x:f>IF('신청 원장'!F773="","",'신청 원장'!F773)</x:f>
        <x:v>2019-12-30</x:v>
      </x:c>
      <x:c r="D73" s="2" t="str">
        <x:f>IF('신청 원장'!J773="","",'신청 원장'!J773)</x:f>
        <x:v>보완요청</x:v>
      </x:c>
      <x:c r="E73" s="2" t="str">
        <x:f>IF('신청 원장'!L773="","",'신청 원장'!L773)</x:f>
        <x:v>에코시안_조영우</x:v>
      </x:c>
      <x:c r="F73" s="2" t="n">
        <x:f>IF('신청 원장'!M773="","",'신청 원장'!M773)</x:f>
        <x:v>5</x:v>
      </x:c>
      <x:c r="G73" s="2" t="n">
        <x:f>IF('신청 원장'!N773="","",'신청 원장'!N773)</x:f>
        <x:v>2481</x:v>
      </x:c>
      <x:c r="H73" s="2" t="str">
        <x:f>IF('신청 원장'!AA773="","",'신청 원장'!AA773)</x:f>
        <x:v>내부 관찰 대상</x:v>
      </x:c>
      <x:c r="I73" s="2" t="str">
        <x:f>IF('신청 원장'!O773="","",'신청 원장'!O773)</x:f>
        <x:v>보류</x:v>
      </x:c>
      <x:c r="J73" s="2" t="str">
        <x:f>IF('신청 원장'!W773="","",'신청 원장'!W773)</x:f>
      </x:c>
      <x:c r="K73" s="2" t="str">
        <x:f>IF('신청 원장'!X773="","",'신청 원장'!X773)</x:f>
        <x:v>보완 회신 일정 확인</x:v>
      </x:c>
      <x:c r="L73" s="2" t="str">
        <x:f>IF('신청 원장'!R773="","",'신청 원장'!R773)</x:f>
        <x:v>국내평가</x:v>
      </x:c>
      <x:c r="M73" s="2" t="n">
        <x:f>IF('신청 원장'!S773="","",'신청 원장'!S773)</x:f>
        <x:v>676</x:v>
      </x:c>
      <x:c r="N73" s="2" t="str">
        <x:f>IF('신청 원장'!K773&lt;&gt;"미종결 표시","종결 상태 확인",IF('신청 원장'!N773="","일자 확인 필요",IF('신청 원장'!N773&gt;365,"366일 이상",IF('신청 원장'!N773&gt;90,"91~365일",IF('신청 원장'!N773&gt;30,"31~90일","0~30일")))))</x:f>
        <x:v>366일 이상</x:v>
      </x:c>
      <x:c r="O73" s="2" t="str">
        <x:f>IF(OR('신청 원장'!L773="",'신청 원장'!L773="선택"),"담당 원문 확인","기재")</x:f>
        <x:v>기재</x:v>
      </x:c>
      <x:c r="P73" s="2" t="str">
        <x:f>IF('신청 원장'!A773="","",'신청 원장'!A773)</x:f>
        <x:v>81de3e690bdab940c5671c37</x:v>
      </x:c>
    </x:row>
    <x:row r="74" ht="42" customHeight="1">
      <x:c r="A74" s="2" t="str">
        <x:f>IF('신청 원장'!B774="","",'신청 원장'!B774)</x:f>
        <x:v>사업 평가</x:v>
      </x:c>
      <x:c r="B74" s="7" t="str">
        <x:f>IF('신청 원장'!D774="","",'신청 원장'!D774)</x:f>
        <x:v>신화산업㈜ 고효율설비 교체(스크류 공기압축기 → 인버터형 공기압축기) 사업</x:v>
      </x:c>
      <x:c r="C74" s="2" t="str">
        <x:f>IF('신청 원장'!F774="","",'신청 원장'!F774)</x:f>
        <x:v>2019-12-30</x:v>
      </x:c>
      <x:c r="D74" s="2" t="str">
        <x:f>IF('신청 원장'!J774="","",'신청 원장'!J774)</x:f>
        <x:v>보완요청</x:v>
      </x:c>
      <x:c r="E74" s="2" t="str">
        <x:f>IF('신청 원장'!L774="","",'신청 원장'!L774)</x:f>
        <x:v>에코시안_조영우</x:v>
      </x:c>
      <x:c r="F74" s="2" t="n">
        <x:f>IF('신청 원장'!M774="","",'신청 원장'!M774)</x:f>
        <x:v>5</x:v>
      </x:c>
      <x:c r="G74" s="2" t="n">
        <x:f>IF('신청 원장'!N774="","",'신청 원장'!N774)</x:f>
        <x:v>2481</x:v>
      </x:c>
      <x:c r="H74" s="2" t="str">
        <x:f>IF('신청 원장'!AA774="","",'신청 원장'!AA774)</x:f>
        <x:v>내부 관찰 대상</x:v>
      </x:c>
      <x:c r="I74" s="2" t="str">
        <x:f>IF('신청 원장'!O774="","",'신청 원장'!O774)</x:f>
        <x:v>보류</x:v>
      </x:c>
      <x:c r="J74" s="2" t="str">
        <x:f>IF('신청 원장'!W774="","",'신청 원장'!W774)</x:f>
      </x:c>
      <x:c r="K74" s="2" t="str">
        <x:f>IF('신청 원장'!X774="","",'신청 원장'!X774)</x:f>
        <x:v>보완 회신 일정 확인</x:v>
      </x:c>
      <x:c r="L74" s="2" t="str">
        <x:f>IF('신청 원장'!R774="","",'신청 원장'!R774)</x:f>
        <x:v>국내평가</x:v>
      </x:c>
      <x:c r="M74" s="2" t="n">
        <x:f>IF('신청 원장'!S774="","",'신청 원장'!S774)</x:f>
        <x:v>677</x:v>
      </x:c>
      <x:c r="N74" s="2" t="str">
        <x:f>IF('신청 원장'!K774&lt;&gt;"미종결 표시","종결 상태 확인",IF('신청 원장'!N774="","일자 확인 필요",IF('신청 원장'!N774&gt;365,"366일 이상",IF('신청 원장'!N774&gt;90,"91~365일",IF('신청 원장'!N774&gt;30,"31~90일","0~30일")))))</x:f>
        <x:v>366일 이상</x:v>
      </x:c>
      <x:c r="O74" s="2" t="str">
        <x:f>IF(OR('신청 원장'!L774="",'신청 원장'!L774="선택"),"담당 원문 확인","기재")</x:f>
        <x:v>기재</x:v>
      </x:c>
      <x:c r="P74" s="2" t="str">
        <x:f>IF('신청 원장'!A774="","",'신청 원장'!A774)</x:f>
        <x:v>d35cb10ceba578c2e223c3c4</x:v>
      </x:c>
    </x:row>
    <x:row r="75" ht="42" customHeight="1">
      <x:c r="A75" s="2" t="str">
        <x:f>IF('신청 원장'!B775="","",'신청 원장'!B775)</x:f>
        <x:v>사업 평가</x:v>
      </x:c>
      <x:c r="B75" s="7" t="str">
        <x:f>IF('신청 원장'!D775="","",'신청 원장'!D775)</x:f>
        <x:v>㈜제천 고효율설비 교체(스크류 공기압축기 →  인버터형 공기압축기) 사업</x:v>
      </x:c>
      <x:c r="C75" s="2" t="str">
        <x:f>IF('신청 원장'!F775="","",'신청 원장'!F775)</x:f>
        <x:v>2020-11-20</x:v>
      </x:c>
      <x:c r="D75" s="2" t="str">
        <x:f>IF('신청 원장'!J775="","",'신청 원장'!J775)</x:f>
        <x:v>보완요청</x:v>
      </x:c>
      <x:c r="E75" s="2" t="str">
        <x:f>IF('신청 원장'!L775="","",'신청 원장'!L775)</x:f>
        <x:v>에코시안_정인혜</x:v>
      </x:c>
      <x:c r="F75" s="2" t="n">
        <x:f>IF('신청 원장'!M775="","",'신청 원장'!M775)</x:f>
        <x:v>3</x:v>
      </x:c>
      <x:c r="G75" s="2" t="n">
        <x:f>IF('신청 원장'!N775="","",'신청 원장'!N775)</x:f>
        <x:v>2155</x:v>
      </x:c>
      <x:c r="H75" s="2" t="str">
        <x:f>IF('신청 원장'!AA775="","",'신청 원장'!AA775)</x:f>
        <x:v>내부 관찰 대상</x:v>
      </x:c>
      <x:c r="I75" s="2" t="str">
        <x:f>IF('신청 원장'!O775="","",'신청 원장'!O775)</x:f>
        <x:v>보류</x:v>
      </x:c>
      <x:c r="J75" s="2" t="str">
        <x:f>IF('신청 원장'!W775="","",'신청 원장'!W775)</x:f>
      </x:c>
      <x:c r="K75" s="2" t="str">
        <x:f>IF('신청 원장'!X775="","",'신청 원장'!X775)</x:f>
        <x:v>보완 회신 일정 확인</x:v>
      </x:c>
      <x:c r="L75" s="2" t="str">
        <x:f>IF('신청 원장'!R775="","",'신청 원장'!R775)</x:f>
        <x:v>국내평가</x:v>
      </x:c>
      <x:c r="M75" s="2" t="n">
        <x:f>IF('신청 원장'!S775="","",'신청 원장'!S775)</x:f>
        <x:v>678</x:v>
      </x:c>
      <x:c r="N75" s="2" t="str">
        <x:f>IF('신청 원장'!K775&lt;&gt;"미종결 표시","종결 상태 확인",IF('신청 원장'!N775="","일자 확인 필요",IF('신청 원장'!N775&gt;365,"366일 이상",IF('신청 원장'!N775&gt;90,"91~365일",IF('신청 원장'!N775&gt;30,"31~90일","0~30일")))))</x:f>
        <x:v>366일 이상</x:v>
      </x:c>
      <x:c r="O75" s="2" t="str">
        <x:f>IF(OR('신청 원장'!L775="",'신청 원장'!L775="선택"),"담당 원문 확인","기재")</x:f>
        <x:v>기재</x:v>
      </x:c>
      <x:c r="P75" s="2" t="str">
        <x:f>IF('신청 원장'!A775="","",'신청 원장'!A775)</x:f>
        <x:v>34085621b1547f38f121aebb</x:v>
      </x:c>
    </x:row>
    <x:row r="76" ht="42" customHeight="1">
      <x:c r="A76" s="2" t="str">
        <x:f>IF('신청 원장'!B776="","",'신청 원장'!B776)</x:f>
        <x:v>사업 평가</x:v>
      </x:c>
      <x:c r="B76" s="7" t="str">
        <x:f>IF('신청 원장'!D776="","",'신청 원장'!D776)</x:f>
        <x:v>㈜늘푸른바다 고효율설비 교체 (스크류 공기압축기 →  인버터형 공기압축기) 사업</x:v>
      </x:c>
      <x:c r="C76" s="2" t="str">
        <x:f>IF('신청 원장'!F776="","",'신청 원장'!F776)</x:f>
        <x:v>2020-11-30</x:v>
      </x:c>
      <x:c r="D76" s="2" t="str">
        <x:f>IF('신청 원장'!J776="","",'신청 원장'!J776)</x:f>
        <x:v>보완요청</x:v>
      </x:c>
      <x:c r="E76" s="2" t="str">
        <x:f>IF('신청 원장'!L776="","",'신청 원장'!L776)</x:f>
        <x:v>에코시안_박세은</x:v>
      </x:c>
      <x:c r="F76" s="2" t="n">
        <x:f>IF('신청 원장'!M776="","",'신청 원장'!M776)</x:f>
        <x:v>3</x:v>
      </x:c>
      <x:c r="G76" s="2" t="n">
        <x:f>IF('신청 원장'!N776="","",'신청 원장'!N776)</x:f>
        <x:v>2145</x:v>
      </x:c>
      <x:c r="H76" s="2" t="str">
        <x:f>IF('신청 원장'!AA776="","",'신청 원장'!AA776)</x:f>
        <x:v>내부 관찰 대상</x:v>
      </x:c>
      <x:c r="I76" s="2" t="str">
        <x:f>IF('신청 원장'!O776="","",'신청 원장'!O776)</x:f>
        <x:v>보류</x:v>
      </x:c>
      <x:c r="J76" s="2" t="str">
        <x:f>IF('신청 원장'!W776="","",'신청 원장'!W776)</x:f>
      </x:c>
      <x:c r="K76" s="2" t="str">
        <x:f>IF('신청 원장'!X776="","",'신청 원장'!X776)</x:f>
        <x:v>보완 회신 일정 확인</x:v>
      </x:c>
      <x:c r="L76" s="2" t="str">
        <x:f>IF('신청 원장'!R776="","",'신청 원장'!R776)</x:f>
        <x:v>국내평가</x:v>
      </x:c>
      <x:c r="M76" s="2" t="n">
        <x:f>IF('신청 원장'!S776="","",'신청 원장'!S776)</x:f>
        <x:v>679</x:v>
      </x:c>
      <x:c r="N76" s="2" t="str">
        <x:f>IF('신청 원장'!K776&lt;&gt;"미종결 표시","종결 상태 확인",IF('신청 원장'!N776="","일자 확인 필요",IF('신청 원장'!N776&gt;365,"366일 이상",IF('신청 원장'!N776&gt;90,"91~365일",IF('신청 원장'!N776&gt;30,"31~90일","0~30일")))))</x:f>
        <x:v>366일 이상</x:v>
      </x:c>
      <x:c r="O76" s="2" t="str">
        <x:f>IF(OR('신청 원장'!L776="",'신청 원장'!L776="선택"),"담당 원문 확인","기재")</x:f>
        <x:v>기재</x:v>
      </x:c>
      <x:c r="P76" s="2" t="str">
        <x:f>IF('신청 원장'!A776="","",'신청 원장'!A776)</x:f>
        <x:v>b7e3ee50be85f58732b705b5</x:v>
      </x:c>
    </x:row>
    <x:row r="77" ht="42" customHeight="1">
      <x:c r="A77" s="2" t="str">
        <x:f>IF('신청 원장'!B777="","",'신청 원장'!B777)</x:f>
        <x:v>사업 평가</x:v>
      </x:c>
      <x:c r="B77" s="7" t="str">
        <x:f>IF('신청 원장'!D777="","",'신청 원장'!D777)</x:f>
        <x:v>㈜지코엔지니어링 고효율설비 교체 (스크류 공기압축기 → 인버터형 공기압축기) 사업</x:v>
      </x:c>
      <x:c r="C77" s="2" t="str">
        <x:f>IF('신청 원장'!F777="","",'신청 원장'!F777)</x:f>
        <x:v>2020-11-30</x:v>
      </x:c>
      <x:c r="D77" s="2" t="str">
        <x:f>IF('신청 원장'!J777="","",'신청 원장'!J777)</x:f>
        <x:v>보완요청</x:v>
      </x:c>
      <x:c r="E77" s="2" t="str">
        <x:f>IF('신청 원장'!L777="","",'신청 원장'!L777)</x:f>
        <x:v>에코시안_박세은</x:v>
      </x:c>
      <x:c r="F77" s="2" t="n">
        <x:f>IF('신청 원장'!M777="","",'신청 원장'!M777)</x:f>
        <x:v>3</x:v>
      </x:c>
      <x:c r="G77" s="2" t="n">
        <x:f>IF('신청 원장'!N777="","",'신청 원장'!N777)</x:f>
        <x:v>2145</x:v>
      </x:c>
      <x:c r="H77" s="2" t="str">
        <x:f>IF('신청 원장'!AA777="","",'신청 원장'!AA777)</x:f>
        <x:v>내부 관찰 대상</x:v>
      </x:c>
      <x:c r="I77" s="2" t="str">
        <x:f>IF('신청 원장'!O777="","",'신청 원장'!O777)</x:f>
        <x:v>보류</x:v>
      </x:c>
      <x:c r="J77" s="2" t="str">
        <x:f>IF('신청 원장'!W777="","",'신청 원장'!W777)</x:f>
      </x:c>
      <x:c r="K77" s="2" t="str">
        <x:f>IF('신청 원장'!X777="","",'신청 원장'!X777)</x:f>
        <x:v>보완 회신 일정 확인</x:v>
      </x:c>
      <x:c r="L77" s="2" t="str">
        <x:f>IF('신청 원장'!R777="","",'신청 원장'!R777)</x:f>
        <x:v>국내평가</x:v>
      </x:c>
      <x:c r="M77" s="2" t="n">
        <x:f>IF('신청 원장'!S777="","",'신청 원장'!S777)</x:f>
        <x:v>680</x:v>
      </x:c>
      <x:c r="N77" s="2" t="str">
        <x:f>IF('신청 원장'!K777&lt;&gt;"미종결 표시","종결 상태 확인",IF('신청 원장'!N777="","일자 확인 필요",IF('신청 원장'!N777&gt;365,"366일 이상",IF('신청 원장'!N777&gt;90,"91~365일",IF('신청 원장'!N777&gt;30,"31~90일","0~30일")))))</x:f>
        <x:v>366일 이상</x:v>
      </x:c>
      <x:c r="O77" s="2" t="str">
        <x:f>IF(OR('신청 원장'!L777="",'신청 원장'!L777="선택"),"담당 원문 확인","기재")</x:f>
        <x:v>기재</x:v>
      </x:c>
      <x:c r="P77" s="2" t="str">
        <x:f>IF('신청 원장'!A777="","",'신청 원장'!A777)</x:f>
        <x:v>3a52f668d686534b9d339d45</x:v>
      </x:c>
    </x:row>
    <x:row r="78" ht="42" customHeight="1">
      <x:c r="A78" s="2" t="str">
        <x:f>IF('신청 원장'!B797="","",'신청 원장'!B797)</x:f>
        <x:v>사업 평가</x:v>
      </x:c>
      <x:c r="B78" s="7" t="str">
        <x:f>IF('신청 원장'!D797="","",'신청 원장'!D797)</x:f>
        <x:v>백두엔씨디 고효율설비 교체 (스크류 공기압축기 → 인버터형 공기압축기) 사업</x:v>
      </x:c>
      <x:c r="C78" s="2" t="str">
        <x:f>IF('신청 원장'!F797="","",'신청 원장'!F797)</x:f>
        <x:v>2021-12-15</x:v>
      </x:c>
      <x:c r="D78" s="2" t="str">
        <x:f>IF('신청 원장'!J797="","",'신청 원장'!J797)</x:f>
        <x:v>보완요청</x:v>
      </x:c>
      <x:c r="E78" s="2" t="str">
        <x:f>IF('신청 원장'!L797="","",'신청 원장'!L797)</x:f>
        <x:v>에코시안_정인혜</x:v>
      </x:c>
      <x:c r="F78" s="2" t="n">
        <x:f>IF('신청 원장'!M797="","",'신청 원장'!M797)</x:f>
        <x:v>2</x:v>
      </x:c>
      <x:c r="G78" s="2" t="n">
        <x:f>IF('신청 원장'!N797="","",'신청 원장'!N797)</x:f>
        <x:v>1765</x:v>
      </x:c>
      <x:c r="H78" s="2" t="str">
        <x:f>IF('신청 원장'!AA797="","",'신청 원장'!AA797)</x:f>
        <x:v>내부 관찰 대상</x:v>
      </x:c>
      <x:c r="I78" s="2" t="str">
        <x:f>IF('신청 원장'!O797="","",'신청 원장'!O797)</x:f>
        <x:v>보류</x:v>
      </x:c>
      <x:c r="J78" s="2" t="str">
        <x:f>IF('신청 원장'!W797="","",'신청 원장'!W797)</x:f>
      </x:c>
      <x:c r="K78" s="2" t="str">
        <x:f>IF('신청 원장'!X797="","",'신청 원장'!X797)</x:f>
        <x:v>보완 회신 일정 확인</x:v>
      </x:c>
      <x:c r="L78" s="2" t="str">
        <x:f>IF('신청 원장'!R797="","",'신청 원장'!R797)</x:f>
        <x:v>국내평가</x:v>
      </x:c>
      <x:c r="M78" s="2" t="n">
        <x:f>IF('신청 원장'!S797="","",'신청 원장'!S797)</x:f>
        <x:v>700</x:v>
      </x:c>
      <x:c r="N78" s="2" t="str">
        <x:f>IF('신청 원장'!K797&lt;&gt;"미종결 표시","종결 상태 확인",IF('신청 원장'!N797="","일자 확인 필요",IF('신청 원장'!N797&gt;365,"366일 이상",IF('신청 원장'!N797&gt;90,"91~365일",IF('신청 원장'!N797&gt;30,"31~90일","0~30일")))))</x:f>
        <x:v>366일 이상</x:v>
      </x:c>
      <x:c r="O78" s="2" t="str">
        <x:f>IF(OR('신청 원장'!L797="",'신청 원장'!L797="선택"),"담당 원문 확인","기재")</x:f>
        <x:v>기재</x:v>
      </x:c>
      <x:c r="P78" s="2" t="str">
        <x:f>IF('신청 원장'!A797="","",'신청 원장'!A797)</x:f>
        <x:v>a4682c54ca5c1e7ceea411d2</x:v>
      </x:c>
    </x:row>
    <x:row r="79" ht="42" customHeight="1">
      <x:c r="A79" s="2" t="str">
        <x:f>IF('신청 원장'!B798="","",'신청 원장'!B798)</x:f>
        <x:v>사업 평가</x:v>
      </x:c>
      <x:c r="B79" s="7" t="str">
        <x:f>IF('신청 원장'!D798="","",'신청 원장'!D798)</x:f>
        <x:v>대성텍스 고효율설비 교체 (스크류 공기압축기 → 인버터형 공기압축기) 사업</x:v>
      </x:c>
      <x:c r="C79" s="2" t="str">
        <x:f>IF('신청 원장'!F798="","",'신청 원장'!F798)</x:f>
        <x:v>2021-12-15</x:v>
      </x:c>
      <x:c r="D79" s="2" t="str">
        <x:f>IF('신청 원장'!J798="","",'신청 원장'!J798)</x:f>
        <x:v>보완요청</x:v>
      </x:c>
      <x:c r="E79" s="2" t="str">
        <x:f>IF('신청 원장'!L798="","",'신청 원장'!L798)</x:f>
        <x:v>에코시안_정다윤</x:v>
      </x:c>
      <x:c r="F79" s="2" t="n">
        <x:f>IF('신청 원장'!M798="","",'신청 원장'!M798)</x:f>
        <x:v>2</x:v>
      </x:c>
      <x:c r="G79" s="2" t="n">
        <x:f>IF('신청 원장'!N798="","",'신청 원장'!N798)</x:f>
        <x:v>1765</x:v>
      </x:c>
      <x:c r="H79" s="2" t="str">
        <x:f>IF('신청 원장'!AA798="","",'신청 원장'!AA798)</x:f>
        <x:v>내부 관찰 대상</x:v>
      </x:c>
      <x:c r="I79" s="2" t="str">
        <x:f>IF('신청 원장'!O798="","",'신청 원장'!O798)</x:f>
        <x:v>보류</x:v>
      </x:c>
      <x:c r="J79" s="2" t="str">
        <x:f>IF('신청 원장'!W798="","",'신청 원장'!W798)</x:f>
      </x:c>
      <x:c r="K79" s="2" t="str">
        <x:f>IF('신청 원장'!X798="","",'신청 원장'!X798)</x:f>
        <x:v>보완 회신 일정 확인</x:v>
      </x:c>
      <x:c r="L79" s="2" t="str">
        <x:f>IF('신청 원장'!R798="","",'신청 원장'!R798)</x:f>
        <x:v>국내평가</x:v>
      </x:c>
      <x:c r="M79" s="2" t="n">
        <x:f>IF('신청 원장'!S798="","",'신청 원장'!S798)</x:f>
        <x:v>701</x:v>
      </x:c>
      <x:c r="N79" s="2" t="str">
        <x:f>IF('신청 원장'!K798&lt;&gt;"미종결 표시","종결 상태 확인",IF('신청 원장'!N798="","일자 확인 필요",IF('신청 원장'!N798&gt;365,"366일 이상",IF('신청 원장'!N798&gt;90,"91~365일",IF('신청 원장'!N798&gt;30,"31~90일","0~30일")))))</x:f>
        <x:v>366일 이상</x:v>
      </x:c>
      <x:c r="O79" s="2" t="str">
        <x:f>IF(OR('신청 원장'!L798="",'신청 원장'!L798="선택"),"담당 원문 확인","기재")</x:f>
        <x:v>기재</x:v>
      </x:c>
      <x:c r="P79" s="2" t="str">
        <x:f>IF('신청 원장'!A798="","",'신청 원장'!A798)</x:f>
        <x:v>6305b50881d260a1dae97315</x:v>
      </x:c>
    </x:row>
    <x:row r="80" ht="42" customHeight="1">
      <x:c r="A80" s="2" t="str">
        <x:f>IF('신청 원장'!B799="","",'신청 원장'!B799)</x:f>
        <x:v>사업 평가</x:v>
      </x:c>
      <x:c r="B80" s="7" t="str">
        <x:f>IF('신청 원장'!D799="","",'신청 원장'!D799)</x:f>
        <x:v>안전테크 고효율설비 교체(왕복동/스크류 공기압축기 → 인버터형 공기압축기) 사업</x:v>
      </x:c>
      <x:c r="C80" s="2" t="str">
        <x:f>IF('신청 원장'!F799="","",'신청 원장'!F799)</x:f>
        <x:v>2021-12-15</x:v>
      </x:c>
      <x:c r="D80" s="2" t="str">
        <x:f>IF('신청 원장'!J799="","",'신청 원장'!J799)</x:f>
        <x:v>보완요청</x:v>
      </x:c>
      <x:c r="E80" s="2" t="str">
        <x:f>IF('신청 원장'!L799="","",'신청 원장'!L799)</x:f>
        <x:v>에코시안_정다윤</x:v>
      </x:c>
      <x:c r="F80" s="2" t="n">
        <x:f>IF('신청 원장'!M799="","",'신청 원장'!M799)</x:f>
        <x:v>2</x:v>
      </x:c>
      <x:c r="G80" s="2" t="n">
        <x:f>IF('신청 원장'!N799="","",'신청 원장'!N799)</x:f>
        <x:v>1765</x:v>
      </x:c>
      <x:c r="H80" s="2" t="str">
        <x:f>IF('신청 원장'!AA799="","",'신청 원장'!AA799)</x:f>
        <x:v>내부 관찰 대상</x:v>
      </x:c>
      <x:c r="I80" s="2" t="str">
        <x:f>IF('신청 원장'!O799="","",'신청 원장'!O799)</x:f>
        <x:v>보류</x:v>
      </x:c>
      <x:c r="J80" s="2" t="str">
        <x:f>IF('신청 원장'!W799="","",'신청 원장'!W799)</x:f>
      </x:c>
      <x:c r="K80" s="2" t="str">
        <x:f>IF('신청 원장'!X799="","",'신청 원장'!X799)</x:f>
        <x:v>보완 회신 일정 확인</x:v>
      </x:c>
      <x:c r="L80" s="2" t="str">
        <x:f>IF('신청 원장'!R799="","",'신청 원장'!R799)</x:f>
        <x:v>국내평가</x:v>
      </x:c>
      <x:c r="M80" s="2" t="n">
        <x:f>IF('신청 원장'!S799="","",'신청 원장'!S799)</x:f>
        <x:v>702</x:v>
      </x:c>
      <x:c r="N80" s="2" t="str">
        <x:f>IF('신청 원장'!K799&lt;&gt;"미종결 표시","종결 상태 확인",IF('신청 원장'!N799="","일자 확인 필요",IF('신청 원장'!N799&gt;365,"366일 이상",IF('신청 원장'!N799&gt;90,"91~365일",IF('신청 원장'!N799&gt;30,"31~90일","0~30일")))))</x:f>
        <x:v>366일 이상</x:v>
      </x:c>
      <x:c r="O80" s="2" t="str">
        <x:f>IF(OR('신청 원장'!L799="",'신청 원장'!L799="선택"),"담당 원문 확인","기재")</x:f>
        <x:v>기재</x:v>
      </x:c>
      <x:c r="P80" s="2" t="str">
        <x:f>IF('신청 원장'!A799="","",'신청 원장'!A799)</x:f>
        <x:v>23c37337e6f9102a560961c5</x:v>
      </x:c>
    </x:row>
    <x:row r="81" ht="42" customHeight="1">
      <x:c r="A81" s="2" t="str">
        <x:f>IF('신청 원장'!B801="","",'신청 원장'!B801)</x:f>
        <x:v>사업 평가</x:v>
      </x:c>
      <x:c r="B81" s="7" t="str">
        <x:f>IF('신청 원장'!D801="","",'신청 원장'!D801)</x:f>
        <x:v>두광금속 고효율설비 교체 (스크류 공기압축기 → 인버터형 공기압축기) 사업</x:v>
      </x:c>
      <x:c r="C81" s="2" t="str">
        <x:f>IF('신청 원장'!F801="","",'신청 원장'!F801)</x:f>
        <x:v>2021-12-21</x:v>
      </x:c>
      <x:c r="D81" s="2" t="str">
        <x:f>IF('신청 원장'!J801="","",'신청 원장'!J801)</x:f>
        <x:v>보완요청</x:v>
      </x:c>
      <x:c r="E81" s="2" t="str">
        <x:f>IF('신청 원장'!L801="","",'신청 원장'!L801)</x:f>
        <x:v>에코시안_정다윤</x:v>
      </x:c>
      <x:c r="F81" s="2" t="n">
        <x:f>IF('신청 원장'!M801="","",'신청 원장'!M801)</x:f>
        <x:v>2</x:v>
      </x:c>
      <x:c r="G81" s="2" t="n">
        <x:f>IF('신청 원장'!N801="","",'신청 원장'!N801)</x:f>
        <x:v>1759</x:v>
      </x:c>
      <x:c r="H81" s="2" t="str">
        <x:f>IF('신청 원장'!AA801="","",'신청 원장'!AA801)</x:f>
        <x:v>내부 관찰 대상</x:v>
      </x:c>
      <x:c r="I81" s="2" t="str">
        <x:f>IF('신청 원장'!O801="","",'신청 원장'!O801)</x:f>
        <x:v>보류</x:v>
      </x:c>
      <x:c r="J81" s="2" t="str">
        <x:f>IF('신청 원장'!W801="","",'신청 원장'!W801)</x:f>
      </x:c>
      <x:c r="K81" s="2" t="str">
        <x:f>IF('신청 원장'!X801="","",'신청 원장'!X801)</x:f>
        <x:v>보완 회신 일정 확인</x:v>
      </x:c>
      <x:c r="L81" s="2" t="str">
        <x:f>IF('신청 원장'!R801="","",'신청 원장'!R801)</x:f>
        <x:v>국내평가</x:v>
      </x:c>
      <x:c r="M81" s="2" t="n">
        <x:f>IF('신청 원장'!S801="","",'신청 원장'!S801)</x:f>
        <x:v>704</x:v>
      </x:c>
      <x:c r="N81" s="2" t="str">
        <x:f>IF('신청 원장'!K801&lt;&gt;"미종결 표시","종결 상태 확인",IF('신청 원장'!N801="","일자 확인 필요",IF('신청 원장'!N801&gt;365,"366일 이상",IF('신청 원장'!N801&gt;90,"91~365일",IF('신청 원장'!N801&gt;30,"31~90일","0~30일")))))</x:f>
        <x:v>366일 이상</x:v>
      </x:c>
      <x:c r="O81" s="2" t="str">
        <x:f>IF(OR('신청 원장'!L801="",'신청 원장'!L801="선택"),"담당 원문 확인","기재")</x:f>
        <x:v>기재</x:v>
      </x:c>
      <x:c r="P81" s="2" t="str">
        <x:f>IF('신청 원장'!A801="","",'신청 원장'!A801)</x:f>
        <x:v>7c7aa8efbb10e792be5925c4</x:v>
      </x:c>
    </x:row>
    <x:row r="82" ht="42" customHeight="1">
      <x:c r="A82" s="2" t="str">
        <x:f>IF('신청 원장'!B802="","",'신청 원장'!B802)</x:f>
        <x:v>사업 평가</x:v>
      </x:c>
      <x:c r="B82" s="7" t="str">
        <x:f>IF('신청 원장'!D802="","",'신청 원장'!D802)</x:f>
        <x:v>주영엔지니어링 고효율설비 교체 (스크류 공기압축기 → 인버터형 공기압축기) 사업</x:v>
      </x:c>
      <x:c r="C82" s="2" t="str">
        <x:f>IF('신청 원장'!F802="","",'신청 원장'!F802)</x:f>
        <x:v>2021-12-21</x:v>
      </x:c>
      <x:c r="D82" s="2" t="str">
        <x:f>IF('신청 원장'!J802="","",'신청 원장'!J802)</x:f>
        <x:v>보완요청</x:v>
      </x:c>
      <x:c r="E82" s="2" t="str">
        <x:f>IF('신청 원장'!L802="","",'신청 원장'!L802)</x:f>
        <x:v>에코시안_정다윤</x:v>
      </x:c>
      <x:c r="F82" s="2" t="n">
        <x:f>IF('신청 원장'!M802="","",'신청 원장'!M802)</x:f>
        <x:v>2</x:v>
      </x:c>
      <x:c r="G82" s="2" t="n">
        <x:f>IF('신청 원장'!N802="","",'신청 원장'!N802)</x:f>
        <x:v>1759</x:v>
      </x:c>
      <x:c r="H82" s="2" t="str">
        <x:f>IF('신청 원장'!AA802="","",'신청 원장'!AA802)</x:f>
        <x:v>내부 관찰 대상</x:v>
      </x:c>
      <x:c r="I82" s="2" t="str">
        <x:f>IF('신청 원장'!O802="","",'신청 원장'!O802)</x:f>
        <x:v>보류</x:v>
      </x:c>
      <x:c r="J82" s="2" t="str">
        <x:f>IF('신청 원장'!W802="","",'신청 원장'!W802)</x:f>
      </x:c>
      <x:c r="K82" s="2" t="str">
        <x:f>IF('신청 원장'!X802="","",'신청 원장'!X802)</x:f>
        <x:v>보완 회신 일정 확인</x:v>
      </x:c>
      <x:c r="L82" s="2" t="str">
        <x:f>IF('신청 원장'!R802="","",'신청 원장'!R802)</x:f>
        <x:v>국내평가</x:v>
      </x:c>
      <x:c r="M82" s="2" t="n">
        <x:f>IF('신청 원장'!S802="","",'신청 원장'!S802)</x:f>
        <x:v>705</x:v>
      </x:c>
      <x:c r="N82" s="2" t="str">
        <x:f>IF('신청 원장'!K802&lt;&gt;"미종결 표시","종결 상태 확인",IF('신청 원장'!N802="","일자 확인 필요",IF('신청 원장'!N802&gt;365,"366일 이상",IF('신청 원장'!N802&gt;90,"91~365일",IF('신청 원장'!N802&gt;30,"31~90일","0~30일")))))</x:f>
        <x:v>366일 이상</x:v>
      </x:c>
      <x:c r="O82" s="2" t="str">
        <x:f>IF(OR('신청 원장'!L802="",'신청 원장'!L802="선택"),"담당 원문 확인","기재")</x:f>
        <x:v>기재</x:v>
      </x:c>
      <x:c r="P82" s="2" t="str">
        <x:f>IF('신청 원장'!A802="","",'신청 원장'!A802)</x:f>
        <x:v>c3d24cf77366722bc508fe4f</x:v>
      </x:c>
    </x:row>
    <x:row r="83" ht="42" customHeight="1">
      <x:c r="A83" s="2" t="str">
        <x:f>IF('신청 원장'!B806="","",'신청 원장'!B806)</x:f>
        <x:v>사업 평가</x:v>
      </x:c>
      <x:c r="B83" s="7" t="str">
        <x:f>IF('신청 원장'!D806="","",'신청 원장'!D806)</x:f>
        <x:v>신일피엔에스 고효율설비 교체 (스크류 공기압축기 → 인버터형 공기압축기) 사업</x:v>
      </x:c>
      <x:c r="C83" s="2" t="str">
        <x:f>IF('신청 원장'!F806="","",'신청 원장'!F806)</x:f>
        <x:v>2021-12-31</x:v>
      </x:c>
      <x:c r="D83" s="2" t="str">
        <x:f>IF('신청 원장'!J806="","",'신청 원장'!J806)</x:f>
        <x:v>보완요청</x:v>
      </x:c>
      <x:c r="E83" s="2" t="str">
        <x:f>IF('신청 원장'!L806="","",'신청 원장'!L806)</x:f>
        <x:v>에코시안_정다윤</x:v>
      </x:c>
      <x:c r="F83" s="2" t="n">
        <x:f>IF('신청 원장'!M806="","",'신청 원장'!M806)</x:f>
        <x:v>2</x:v>
      </x:c>
      <x:c r="G83" s="2" t="n">
        <x:f>IF('신청 원장'!N806="","",'신청 원장'!N806)</x:f>
        <x:v>1749</x:v>
      </x:c>
      <x:c r="H83" s="2" t="str">
        <x:f>IF('신청 원장'!AA806="","",'신청 원장'!AA806)</x:f>
        <x:v>내부 관찰 대상</x:v>
      </x:c>
      <x:c r="I83" s="2" t="str">
        <x:f>IF('신청 원장'!O806="","",'신청 원장'!O806)</x:f>
        <x:v>보류</x:v>
      </x:c>
      <x:c r="J83" s="2" t="str">
        <x:f>IF('신청 원장'!W806="","",'신청 원장'!W806)</x:f>
      </x:c>
      <x:c r="K83" s="2" t="str">
        <x:f>IF('신청 원장'!X806="","",'신청 원장'!X806)</x:f>
        <x:v>보완 회신 일정 확인</x:v>
      </x:c>
      <x:c r="L83" s="2" t="str">
        <x:f>IF('신청 원장'!R806="","",'신청 원장'!R806)</x:f>
        <x:v>국내평가</x:v>
      </x:c>
      <x:c r="M83" s="2" t="n">
        <x:f>IF('신청 원장'!S806="","",'신청 원장'!S806)</x:f>
        <x:v>709</x:v>
      </x:c>
      <x:c r="N83" s="2" t="str">
        <x:f>IF('신청 원장'!K806&lt;&gt;"미종결 표시","종결 상태 확인",IF('신청 원장'!N806="","일자 확인 필요",IF('신청 원장'!N806&gt;365,"366일 이상",IF('신청 원장'!N806&gt;90,"91~365일",IF('신청 원장'!N806&gt;30,"31~90일","0~30일")))))</x:f>
        <x:v>366일 이상</x:v>
      </x:c>
      <x:c r="O83" s="2" t="str">
        <x:f>IF(OR('신청 원장'!L806="",'신청 원장'!L806="선택"),"담당 원문 확인","기재")</x:f>
        <x:v>기재</x:v>
      </x:c>
      <x:c r="P83" s="2" t="str">
        <x:f>IF('신청 원장'!A806="","",'신청 원장'!A806)</x:f>
        <x:v>56a946bd9b0bc6dc02f9a843</x:v>
      </x:c>
    </x:row>
    <x:row r="84" ht="42" customHeight="1">
      <x:c r="A84" s="2" t="str">
        <x:f>IF('신청 원장'!B808="","",'신청 원장'!B808)</x:f>
        <x:v>사업 평가</x:v>
      </x:c>
      <x:c r="B84" s="7" t="str">
        <x:f>IF('신청 원장'!D808="","",'신청 원장'!D808)</x:f>
        <x:v>㈜동호테크 고효율설비 교체(스크류 공기압축기 → 인버터형 공기압축기) 사업</x:v>
      </x:c>
      <x:c r="C84" s="2" t="str">
        <x:f>IF('신청 원장'!F808="","",'신청 원장'!F808)</x:f>
        <x:v>2019-12-30</x:v>
      </x:c>
      <x:c r="D84" s="2" t="str">
        <x:f>IF('신청 원장'!J808="","",'신청 원장'!J808)</x:f>
        <x:v>보완요청</x:v>
      </x:c>
      <x:c r="E84" s="2" t="str">
        <x:f>IF('신청 원장'!L808="","",'신청 원장'!L808)</x:f>
        <x:v>KECM_이태준</x:v>
      </x:c>
      <x:c r="F84" s="2" t="n">
        <x:f>IF('신청 원장'!M808="","",'신청 원장'!M808)</x:f>
        <x:v>4</x:v>
      </x:c>
      <x:c r="G84" s="2" t="n">
        <x:f>IF('신청 원장'!N808="","",'신청 원장'!N808)</x:f>
        <x:v>2481</x:v>
      </x:c>
      <x:c r="H84" s="2" t="str">
        <x:f>IF('신청 원장'!AA808="","",'신청 원장'!AA808)</x:f>
        <x:v>내부 관찰 대상</x:v>
      </x:c>
      <x:c r="I84" s="2" t="str">
        <x:f>IF('신청 원장'!O808="","",'신청 원장'!O808)</x:f>
        <x:v>보류</x:v>
      </x:c>
      <x:c r="J84" s="2" t="str">
        <x:f>IF('신청 원장'!W808="","",'신청 원장'!W808)</x:f>
      </x:c>
      <x:c r="K84" s="2" t="str">
        <x:f>IF('신청 원장'!X808="","",'신청 원장'!X808)</x:f>
        <x:v>보완 회신 일정 확인</x:v>
      </x:c>
      <x:c r="L84" s="2" t="str">
        <x:f>IF('신청 원장'!R808="","",'신청 원장'!R808)</x:f>
        <x:v>국내평가</x:v>
      </x:c>
      <x:c r="M84" s="2" t="n">
        <x:f>IF('신청 원장'!S808="","",'신청 원장'!S808)</x:f>
        <x:v>711</x:v>
      </x:c>
      <x:c r="N84" s="2" t="str">
        <x:f>IF('신청 원장'!K808&lt;&gt;"미종결 표시","종결 상태 확인",IF('신청 원장'!N808="","일자 확인 필요",IF('신청 원장'!N808&gt;365,"366일 이상",IF('신청 원장'!N808&gt;90,"91~365일",IF('신청 원장'!N808&gt;30,"31~90일","0~30일")))))</x:f>
        <x:v>366일 이상</x:v>
      </x:c>
      <x:c r="O84" s="2" t="str">
        <x:f>IF(OR('신청 원장'!L808="",'신청 원장'!L808="선택"),"담당 원문 확인","기재")</x:f>
        <x:v>기재</x:v>
      </x:c>
      <x:c r="P84" s="2" t="str">
        <x:f>IF('신청 원장'!A808="","",'신청 원장'!A808)</x:f>
        <x:v>22fe5e5e722d94fd106896b6</x:v>
      </x:c>
    </x:row>
    <x:row r="85" ht="42" customHeight="1">
      <x:c r="A85" s="2" t="str">
        <x:f>IF('신청 원장'!B809="","",'신청 원장'!B809)</x:f>
        <x:v>사업 평가</x:v>
      </x:c>
      <x:c r="B85" s="7" t="str">
        <x:f>IF('신청 원장'!D809="","",'신청 원장'!D809)</x:f>
        <x:v>일신화이바 고효율설비 교체(스크류 공기압축기 → 인버터형 공기압축기) 사업</x:v>
      </x:c>
      <x:c r="C85" s="2" t="str">
        <x:f>IF('신청 원장'!F809="","",'신청 원장'!F809)</x:f>
        <x:v>2019-12-30</x:v>
      </x:c>
      <x:c r="D85" s="2" t="str">
        <x:f>IF('신청 원장'!J809="","",'신청 원장'!J809)</x:f>
        <x:v>보완요청</x:v>
      </x:c>
      <x:c r="E85" s="2" t="str">
        <x:f>IF('신청 원장'!L809="","",'신청 원장'!L809)</x:f>
        <x:v>KECM_이태준</x:v>
      </x:c>
      <x:c r="F85" s="2" t="n">
        <x:f>IF('신청 원장'!M809="","",'신청 원장'!M809)</x:f>
        <x:v>5</x:v>
      </x:c>
      <x:c r="G85" s="2" t="n">
        <x:f>IF('신청 원장'!N809="","",'신청 원장'!N809)</x:f>
        <x:v>2481</x:v>
      </x:c>
      <x:c r="H85" s="2" t="str">
        <x:f>IF('신청 원장'!AA809="","",'신청 원장'!AA809)</x:f>
        <x:v>내부 관찰 대상</x:v>
      </x:c>
      <x:c r="I85" s="2" t="str">
        <x:f>IF('신청 원장'!O809="","",'신청 원장'!O809)</x:f>
        <x:v>보류</x:v>
      </x:c>
      <x:c r="J85" s="2" t="str">
        <x:f>IF('신청 원장'!W809="","",'신청 원장'!W809)</x:f>
      </x:c>
      <x:c r="K85" s="2" t="str">
        <x:f>IF('신청 원장'!X809="","",'신청 원장'!X809)</x:f>
        <x:v>보완 회신 일정 확인</x:v>
      </x:c>
      <x:c r="L85" s="2" t="str">
        <x:f>IF('신청 원장'!R809="","",'신청 원장'!R809)</x:f>
        <x:v>국내평가</x:v>
      </x:c>
      <x:c r="M85" s="2" t="n">
        <x:f>IF('신청 원장'!S809="","",'신청 원장'!S809)</x:f>
        <x:v>712</x:v>
      </x:c>
      <x:c r="N85" s="2" t="str">
        <x:f>IF('신청 원장'!K809&lt;&gt;"미종결 표시","종결 상태 확인",IF('신청 원장'!N809="","일자 확인 필요",IF('신청 원장'!N809&gt;365,"366일 이상",IF('신청 원장'!N809&gt;90,"91~365일",IF('신청 원장'!N809&gt;30,"31~90일","0~30일")))))</x:f>
        <x:v>366일 이상</x:v>
      </x:c>
      <x:c r="O85" s="2" t="str">
        <x:f>IF(OR('신청 원장'!L809="",'신청 원장'!L809="선택"),"담당 원문 확인","기재")</x:f>
        <x:v>기재</x:v>
      </x:c>
      <x:c r="P85" s="2" t="str">
        <x:f>IF('신청 원장'!A809="","",'신청 원장'!A809)</x:f>
        <x:v>3b24ae8ab25ab672be85cc69</x:v>
      </x:c>
    </x:row>
    <x:row r="86" ht="42" customHeight="1">
      <x:c r="A86" s="2" t="str">
        <x:f>IF('신청 원장'!B811="","",'신청 원장'!B811)</x:f>
        <x:v>사업 평가</x:v>
      </x:c>
      <x:c r="B86" s="7" t="str">
        <x:f>IF('신청 원장'!D811="","",'신청 원장'!D811)</x:f>
        <x:v>㈜세웅 고효율설비 교체(왕복동 공기압축기 → 인버터형 공기압축기) 사업</x:v>
      </x:c>
      <x:c r="C86" s="2" t="str">
        <x:f>IF('신청 원장'!F811="","",'신청 원장'!F811)</x:f>
        <x:v>2019-12-30</x:v>
      </x:c>
      <x:c r="D86" s="2" t="str">
        <x:f>IF('신청 원장'!J811="","",'신청 원장'!J811)</x:f>
        <x:v>보완요청</x:v>
      </x:c>
      <x:c r="E86" s="2" t="str">
        <x:f>IF('신청 원장'!L811="","",'신청 원장'!L811)</x:f>
        <x:v>KECM_이태준</x:v>
      </x:c>
      <x:c r="F86" s="2" t="n">
        <x:f>IF('신청 원장'!M811="","",'신청 원장'!M811)</x:f>
        <x:v>4</x:v>
      </x:c>
      <x:c r="G86" s="2" t="n">
        <x:f>IF('신청 원장'!N811="","",'신청 원장'!N811)</x:f>
        <x:v>2481</x:v>
      </x:c>
      <x:c r="H86" s="2" t="str">
        <x:f>IF('신청 원장'!AA811="","",'신청 원장'!AA811)</x:f>
        <x:v>내부 관찰 대상</x:v>
      </x:c>
      <x:c r="I86" s="2" t="str">
        <x:f>IF('신청 원장'!O811="","",'신청 원장'!O811)</x:f>
        <x:v>보류</x:v>
      </x:c>
      <x:c r="J86" s="2" t="str">
        <x:f>IF('신청 원장'!W811="","",'신청 원장'!W811)</x:f>
      </x:c>
      <x:c r="K86" s="2" t="str">
        <x:f>IF('신청 원장'!X811="","",'신청 원장'!X811)</x:f>
        <x:v>보완 회신 일정 확인</x:v>
      </x:c>
      <x:c r="L86" s="2" t="str">
        <x:f>IF('신청 원장'!R811="","",'신청 원장'!R811)</x:f>
        <x:v>국내평가</x:v>
      </x:c>
      <x:c r="M86" s="2" t="n">
        <x:f>IF('신청 원장'!S811="","",'신청 원장'!S811)</x:f>
        <x:v>714</x:v>
      </x:c>
      <x:c r="N86" s="2" t="str">
        <x:f>IF('신청 원장'!K811&lt;&gt;"미종결 표시","종결 상태 확인",IF('신청 원장'!N811="","일자 확인 필요",IF('신청 원장'!N811&gt;365,"366일 이상",IF('신청 원장'!N811&gt;90,"91~365일",IF('신청 원장'!N811&gt;30,"31~90일","0~30일")))))</x:f>
        <x:v>366일 이상</x:v>
      </x:c>
      <x:c r="O86" s="2" t="str">
        <x:f>IF(OR('신청 원장'!L811="",'신청 원장'!L811="선택"),"담당 원문 확인","기재")</x:f>
        <x:v>기재</x:v>
      </x:c>
      <x:c r="P86" s="2" t="str">
        <x:f>IF('신청 원장'!A811="","",'신청 원장'!A811)</x:f>
        <x:v>d6be8cc91b088da8f250ab61</x:v>
      </x:c>
    </x:row>
    <x:row r="87" ht="42" customHeight="1">
      <x:c r="A87" s="2" t="str">
        <x:f>IF('신청 원장'!B812="","",'신청 원장'!B812)</x:f>
        <x:v>사업 평가</x:v>
      </x:c>
      <x:c r="B87" s="7" t="str">
        <x:f>IF('신청 원장'!D812="","",'신청 원장'!D812)</x:f>
        <x:v>두알산업㈜ 고효율설비 교체(스크류 공기압축기 → 인버터형 공기압축기) 사업</x:v>
      </x:c>
      <x:c r="C87" s="2" t="str">
        <x:f>IF('신청 원장'!F812="","",'신청 원장'!F812)</x:f>
        <x:v>2019-12-30</x:v>
      </x:c>
      <x:c r="D87" s="2" t="str">
        <x:f>IF('신청 원장'!J812="","",'신청 원장'!J812)</x:f>
        <x:v>보완요청</x:v>
      </x:c>
      <x:c r="E87" s="2" t="str">
        <x:f>IF('신청 원장'!L812="","",'신청 원장'!L812)</x:f>
        <x:v>KECM_이태준</x:v>
      </x:c>
      <x:c r="F87" s="2" t="n">
        <x:f>IF('신청 원장'!M812="","",'신청 원장'!M812)</x:f>
        <x:v>4</x:v>
      </x:c>
      <x:c r="G87" s="2" t="n">
        <x:f>IF('신청 원장'!N812="","",'신청 원장'!N812)</x:f>
        <x:v>2481</x:v>
      </x:c>
      <x:c r="H87" s="2" t="str">
        <x:f>IF('신청 원장'!AA812="","",'신청 원장'!AA812)</x:f>
        <x:v>내부 관찰 대상</x:v>
      </x:c>
      <x:c r="I87" s="2" t="str">
        <x:f>IF('신청 원장'!O812="","",'신청 원장'!O812)</x:f>
        <x:v>보류</x:v>
      </x:c>
      <x:c r="J87" s="2" t="str">
        <x:f>IF('신청 원장'!W812="","",'신청 원장'!W812)</x:f>
      </x:c>
      <x:c r="K87" s="2" t="str">
        <x:f>IF('신청 원장'!X812="","",'신청 원장'!X812)</x:f>
        <x:v>보완 회신 일정 확인</x:v>
      </x:c>
      <x:c r="L87" s="2" t="str">
        <x:f>IF('신청 원장'!R812="","",'신청 원장'!R812)</x:f>
        <x:v>국내평가</x:v>
      </x:c>
      <x:c r="M87" s="2" t="n">
        <x:f>IF('신청 원장'!S812="","",'신청 원장'!S812)</x:f>
        <x:v>715</x:v>
      </x:c>
      <x:c r="N87" s="2" t="str">
        <x:f>IF('신청 원장'!K812&lt;&gt;"미종결 표시","종결 상태 확인",IF('신청 원장'!N812="","일자 확인 필요",IF('신청 원장'!N812&gt;365,"366일 이상",IF('신청 원장'!N812&gt;90,"91~365일",IF('신청 원장'!N812&gt;30,"31~90일","0~30일")))))</x:f>
        <x:v>366일 이상</x:v>
      </x:c>
      <x:c r="O87" s="2" t="str">
        <x:f>IF(OR('신청 원장'!L812="",'신청 원장'!L812="선택"),"담당 원문 확인","기재")</x:f>
        <x:v>기재</x:v>
      </x:c>
      <x:c r="P87" s="2" t="str">
        <x:f>IF('신청 원장'!A812="","",'신청 원장'!A812)</x:f>
        <x:v>dc0ec8f097faf9ca63e529b1</x:v>
      </x:c>
    </x:row>
    <x:row r="88" ht="42" customHeight="1">
      <x:c r="A88" s="2" t="str">
        <x:f>IF('신청 원장'!B813="","",'신청 원장'!B813)</x:f>
        <x:v>사업 평가</x:v>
      </x:c>
      <x:c r="B88" s="7" t="str">
        <x:f>IF('신청 원장'!D813="","",'신청 원장'!D813)</x:f>
        <x:v>㈜성광프라 고효율설비 교체(고압 공기압축기 → 고효율 부하 제어형 고압 공기압축기) 사업</x:v>
      </x:c>
      <x:c r="C88" s="2" t="str">
        <x:f>IF('신청 원장'!F813="","",'신청 원장'!F813)</x:f>
        <x:v>2019-12-30</x:v>
      </x:c>
      <x:c r="D88" s="2" t="str">
        <x:f>IF('신청 원장'!J813="","",'신청 원장'!J813)</x:f>
        <x:v>보완요청</x:v>
      </x:c>
      <x:c r="E88" s="2" t="str">
        <x:f>IF('신청 원장'!L813="","",'신청 원장'!L813)</x:f>
        <x:v>KECM_이태준</x:v>
      </x:c>
      <x:c r="F88" s="2" t="n">
        <x:f>IF('신청 원장'!M813="","",'신청 원장'!M813)</x:f>
        <x:v>4</x:v>
      </x:c>
      <x:c r="G88" s="2" t="n">
        <x:f>IF('신청 원장'!N813="","",'신청 원장'!N813)</x:f>
        <x:v>2481</x:v>
      </x:c>
      <x:c r="H88" s="2" t="str">
        <x:f>IF('신청 원장'!AA813="","",'신청 원장'!AA813)</x:f>
        <x:v>내부 관찰 대상</x:v>
      </x:c>
      <x:c r="I88" s="2" t="str">
        <x:f>IF('신청 원장'!O813="","",'신청 원장'!O813)</x:f>
        <x:v>보류</x:v>
      </x:c>
      <x:c r="J88" s="2" t="str">
        <x:f>IF('신청 원장'!W813="","",'신청 원장'!W813)</x:f>
      </x:c>
      <x:c r="K88" s="2" t="str">
        <x:f>IF('신청 원장'!X813="","",'신청 원장'!X813)</x:f>
        <x:v>보완 회신 일정 확인</x:v>
      </x:c>
      <x:c r="L88" s="2" t="str">
        <x:f>IF('신청 원장'!R813="","",'신청 원장'!R813)</x:f>
        <x:v>국내평가</x:v>
      </x:c>
      <x:c r="M88" s="2" t="n">
        <x:f>IF('신청 원장'!S813="","",'신청 원장'!S813)</x:f>
        <x:v>716</x:v>
      </x:c>
      <x:c r="N88" s="2" t="str">
        <x:f>IF('신청 원장'!K813&lt;&gt;"미종결 표시","종결 상태 확인",IF('신청 원장'!N813="","일자 확인 필요",IF('신청 원장'!N813&gt;365,"366일 이상",IF('신청 원장'!N813&gt;90,"91~365일",IF('신청 원장'!N813&gt;30,"31~90일","0~30일")))))</x:f>
        <x:v>366일 이상</x:v>
      </x:c>
      <x:c r="O88" s="2" t="str">
        <x:f>IF(OR('신청 원장'!L813="",'신청 원장'!L813="선택"),"담당 원문 확인","기재")</x:f>
        <x:v>기재</x:v>
      </x:c>
      <x:c r="P88" s="2" t="str">
        <x:f>IF('신청 원장'!A813="","",'신청 원장'!A813)</x:f>
        <x:v>ba38bfe61d51ea5ac0437c1b</x:v>
      </x:c>
    </x:row>
    <x:row r="89" ht="42" customHeight="1">
      <x:c r="A89" s="2" t="str">
        <x:f>IF('신청 원장'!B819="","",'신청 원장'!B819)</x:f>
        <x:v>사업 평가</x:v>
      </x:c>
      <x:c r="B89" s="7" t="str">
        <x:f>IF('신청 원장'!D819="","",'신청 원장'!D819)</x:f>
        <x:v>덕산갈바텍㈜ 고효율설비 교체(왕복동 공기압축기 → 인버터형 공기압축기) 사업</x:v>
      </x:c>
      <x:c r="C89" s="2" t="str">
        <x:f>IF('신청 원장'!F819="","",'신청 원장'!F819)</x:f>
        <x:v>2019-12-30</x:v>
      </x:c>
      <x:c r="D89" s="2" t="str">
        <x:f>IF('신청 원장'!J819="","",'신청 원장'!J819)</x:f>
        <x:v>보완요청</x:v>
      </x:c>
      <x:c r="E89" s="2" t="str">
        <x:f>IF('신청 원장'!L819="","",'신청 원장'!L819)</x:f>
        <x:v>KECM_이태준</x:v>
      </x:c>
      <x:c r="F89" s="2" t="n">
        <x:f>IF('신청 원장'!M819="","",'신청 원장'!M819)</x:f>
        <x:v>4</x:v>
      </x:c>
      <x:c r="G89" s="2" t="n">
        <x:f>IF('신청 원장'!N819="","",'신청 원장'!N819)</x:f>
        <x:v>2481</x:v>
      </x:c>
      <x:c r="H89" s="2" t="str">
        <x:f>IF('신청 원장'!AA819="","",'신청 원장'!AA819)</x:f>
        <x:v>내부 관찰 대상</x:v>
      </x:c>
      <x:c r="I89" s="2" t="str">
        <x:f>IF('신청 원장'!O819="","",'신청 원장'!O819)</x:f>
        <x:v>보류</x:v>
      </x:c>
      <x:c r="J89" s="2" t="str">
        <x:f>IF('신청 원장'!W819="","",'신청 원장'!W819)</x:f>
      </x:c>
      <x:c r="K89" s="2" t="str">
        <x:f>IF('신청 원장'!X819="","",'신청 원장'!X819)</x:f>
        <x:v>보완 회신 일정 확인</x:v>
      </x:c>
      <x:c r="L89" s="2" t="str">
        <x:f>IF('신청 원장'!R819="","",'신청 원장'!R819)</x:f>
        <x:v>국내평가</x:v>
      </x:c>
      <x:c r="M89" s="2" t="n">
        <x:f>IF('신청 원장'!S819="","",'신청 원장'!S819)</x:f>
        <x:v>722</x:v>
      </x:c>
      <x:c r="N89" s="2" t="str">
        <x:f>IF('신청 원장'!K819&lt;&gt;"미종결 표시","종결 상태 확인",IF('신청 원장'!N819="","일자 확인 필요",IF('신청 원장'!N819&gt;365,"366일 이상",IF('신청 원장'!N819&gt;90,"91~365일",IF('신청 원장'!N819&gt;30,"31~90일","0~30일")))))</x:f>
        <x:v>366일 이상</x:v>
      </x:c>
      <x:c r="O89" s="2" t="str">
        <x:f>IF(OR('신청 원장'!L819="",'신청 원장'!L819="선택"),"담당 원문 확인","기재")</x:f>
        <x:v>기재</x:v>
      </x:c>
      <x:c r="P89" s="2" t="str">
        <x:f>IF('신청 원장'!A819="","",'신청 원장'!A819)</x:f>
        <x:v>3e35ddf09f026c959126e427</x:v>
      </x:c>
    </x:row>
    <x:row r="90" ht="42" customHeight="1">
      <x:c r="A90" s="2" t="str">
        <x:f>IF('신청 원장'!B820="","",'신청 원장'!B820)</x:f>
        <x:v>사업 평가</x:v>
      </x:c>
      <x:c r="B90" s="7" t="str">
        <x:f>IF('신청 원장'!D820="","",'신청 원장'!D820)</x:f>
        <x:v>㈜태정이엔지 인버터형 공기압축기 교체 사업</x:v>
      </x:c>
      <x:c r="C90" s="2" t="str">
        <x:f>IF('신청 원장'!F820="","",'신청 원장'!F820)</x:f>
        <x:v>2017-10-13</x:v>
      </x:c>
      <x:c r="D90" s="2" t="str">
        <x:f>IF('신청 원장'!J820="","",'신청 원장'!J820)</x:f>
        <x:v>보완요청</x:v>
      </x:c>
      <x:c r="E90" s="2" t="str">
        <x:f>IF('신청 원장'!L820="","",'신청 원장'!L820)</x:f>
        <x:v>KECM_이태준</x:v>
      </x:c>
      <x:c r="F90" s="2" t="n">
        <x:f>IF('신청 원장'!M820="","",'신청 원장'!M820)</x:f>
        <x:v>4</x:v>
      </x:c>
      <x:c r="G90" s="2" t="n">
        <x:f>IF('신청 원장'!N820="","",'신청 원장'!N820)</x:f>
        <x:v>3289</x:v>
      </x:c>
      <x:c r="H90" s="2" t="str">
        <x:f>IF('신청 원장'!AA820="","",'신청 원장'!AA820)</x:f>
        <x:v>내부 관찰 대상</x:v>
      </x:c>
      <x:c r="I90" s="2" t="str">
        <x:f>IF('신청 원장'!O820="","",'신청 원장'!O820)</x:f>
        <x:v>보류</x:v>
      </x:c>
      <x:c r="J90" s="2" t="str">
        <x:f>IF('신청 원장'!W820="","",'신청 원장'!W820)</x:f>
      </x:c>
      <x:c r="K90" s="2" t="str">
        <x:f>IF('신청 원장'!X820="","",'신청 원장'!X820)</x:f>
        <x:v>보완 회신 일정 확인</x:v>
      </x:c>
      <x:c r="L90" s="2" t="str">
        <x:f>IF('신청 원장'!R820="","",'신청 원장'!R820)</x:f>
        <x:v>국내평가</x:v>
      </x:c>
      <x:c r="M90" s="2" t="n">
        <x:f>IF('신청 원장'!S820="","",'신청 원장'!S820)</x:f>
        <x:v>723</x:v>
      </x:c>
      <x:c r="N90" s="2" t="str">
        <x:f>IF('신청 원장'!K820&lt;&gt;"미종결 표시","종결 상태 확인",IF('신청 원장'!N820="","일자 확인 필요",IF('신청 원장'!N820&gt;365,"366일 이상",IF('신청 원장'!N820&gt;90,"91~365일",IF('신청 원장'!N820&gt;30,"31~90일","0~30일")))))</x:f>
        <x:v>366일 이상</x:v>
      </x:c>
      <x:c r="O90" s="2" t="str">
        <x:f>IF(OR('신청 원장'!L820="",'신청 원장'!L820="선택"),"담당 원문 확인","기재")</x:f>
        <x:v>기재</x:v>
      </x:c>
      <x:c r="P90" s="2" t="str">
        <x:f>IF('신청 원장'!A820="","",'신청 원장'!A820)</x:f>
        <x:v>4f271ba4022c8b493a839db9</x:v>
      </x:c>
    </x:row>
    <x:row r="91" ht="42" customHeight="1">
      <x:c r="A91" s="2" t="str">
        <x:f>IF('신청 원장'!B822="","",'신청 원장'!B822)</x:f>
        <x:v>사업 평가</x:v>
      </x:c>
      <x:c r="B91" s="7" t="str">
        <x:f>IF('신청 원장'!D822="","",'신청 원장'!D822)</x:f>
        <x:v>(주)지용금속 고효율설비 교체(스크류 공기압축기 → 인버터형 공기압축기) 사업</x:v>
      </x:c>
      <x:c r="C91" s="2" t="str">
        <x:f>IF('신청 원장'!F822="","",'신청 원장'!F822)</x:f>
        <x:v>2017-11-20</x:v>
      </x:c>
      <x:c r="D91" s="2" t="str">
        <x:f>IF('신청 원장'!J822="","",'신청 원장'!J822)</x:f>
        <x:v>보완요청</x:v>
      </x:c>
      <x:c r="E91" s="2" t="str">
        <x:f>IF('신청 원장'!L822="","",'신청 원장'!L822)</x:f>
        <x:v>KECM_이태준</x:v>
      </x:c>
      <x:c r="F91" s="2" t="n">
        <x:f>IF('신청 원장'!M822="","",'신청 원장'!M822)</x:f>
        <x:v>4</x:v>
      </x:c>
      <x:c r="G91" s="2" t="n">
        <x:f>IF('신청 원장'!N822="","",'신청 원장'!N822)</x:f>
        <x:v>3251</x:v>
      </x:c>
      <x:c r="H91" s="2" t="str">
        <x:f>IF('신청 원장'!AA822="","",'신청 원장'!AA822)</x:f>
        <x:v>내부 관찰 대상</x:v>
      </x:c>
      <x:c r="I91" s="2" t="str">
        <x:f>IF('신청 원장'!O822="","",'신청 원장'!O822)</x:f>
        <x:v>보류</x:v>
      </x:c>
      <x:c r="J91" s="2" t="str">
        <x:f>IF('신청 원장'!W822="","",'신청 원장'!W822)</x:f>
      </x:c>
      <x:c r="K91" s="2" t="str">
        <x:f>IF('신청 원장'!X822="","",'신청 원장'!X822)</x:f>
        <x:v>보완 회신 일정 확인</x:v>
      </x:c>
      <x:c r="L91" s="2" t="str">
        <x:f>IF('신청 원장'!R822="","",'신청 원장'!R822)</x:f>
        <x:v>국내평가</x:v>
      </x:c>
      <x:c r="M91" s="2" t="n">
        <x:f>IF('신청 원장'!S822="","",'신청 원장'!S822)</x:f>
        <x:v>725</x:v>
      </x:c>
      <x:c r="N91" s="2" t="str">
        <x:f>IF('신청 원장'!K822&lt;&gt;"미종결 표시","종결 상태 확인",IF('신청 원장'!N822="","일자 확인 필요",IF('신청 원장'!N822&gt;365,"366일 이상",IF('신청 원장'!N822&gt;90,"91~365일",IF('신청 원장'!N822&gt;30,"31~90일","0~30일")))))</x:f>
        <x:v>366일 이상</x:v>
      </x:c>
      <x:c r="O91" s="2" t="str">
        <x:f>IF(OR('신청 원장'!L822="",'신청 원장'!L822="선택"),"담당 원문 확인","기재")</x:f>
        <x:v>기재</x:v>
      </x:c>
      <x:c r="P91" s="2" t="str">
        <x:f>IF('신청 원장'!A822="","",'신청 원장'!A822)</x:f>
        <x:v>cfb658bed65e9096db1f9d8d</x:v>
      </x:c>
    </x:row>
    <x:row r="92" ht="42" customHeight="1">
      <x:c r="A92" s="2" t="str">
        <x:f>IF('신청 원장'!B823="","",'신청 원장'!B823)</x:f>
        <x:v>사업 평가</x:v>
      </x:c>
      <x:c r="B92" s="7" t="str">
        <x:f>IF('신청 원장'!D823="","",'신청 원장'!D823)</x:f>
        <x:v>부곡스텐레스㈜ 고효율설비 교체(스크류 공기압축기 →  인버터형 공기압축기) 사업</x:v>
      </x:c>
      <x:c r="C92" s="2" t="str">
        <x:f>IF('신청 원장'!F823="","",'신청 원장'!F823)</x:f>
        <x:v>2020-11-10</x:v>
      </x:c>
      <x:c r="D92" s="2" t="str">
        <x:f>IF('신청 원장'!J823="","",'신청 원장'!J823)</x:f>
        <x:v>보완요청</x:v>
      </x:c>
      <x:c r="E92" s="2" t="str">
        <x:f>IF('신청 원장'!L823="","",'신청 원장'!L823)</x:f>
        <x:v>KECM_이태준</x:v>
      </x:c>
      <x:c r="F92" s="2" t="n">
        <x:f>IF('신청 원장'!M823="","",'신청 원장'!M823)</x:f>
        <x:v>3</x:v>
      </x:c>
      <x:c r="G92" s="2" t="n">
        <x:f>IF('신청 원장'!N823="","",'신청 원장'!N823)</x:f>
        <x:v>2165</x:v>
      </x:c>
      <x:c r="H92" s="2" t="str">
        <x:f>IF('신청 원장'!AA823="","",'신청 원장'!AA823)</x:f>
        <x:v>내부 관찰 대상</x:v>
      </x:c>
      <x:c r="I92" s="2" t="str">
        <x:f>IF('신청 원장'!O823="","",'신청 원장'!O823)</x:f>
        <x:v>보류</x:v>
      </x:c>
      <x:c r="J92" s="2" t="str">
        <x:f>IF('신청 원장'!W823="","",'신청 원장'!W823)</x:f>
      </x:c>
      <x:c r="K92" s="2" t="str">
        <x:f>IF('신청 원장'!X823="","",'신청 원장'!X823)</x:f>
        <x:v>보완 회신 일정 확인</x:v>
      </x:c>
      <x:c r="L92" s="2" t="str">
        <x:f>IF('신청 원장'!R823="","",'신청 원장'!R823)</x:f>
        <x:v>국내평가</x:v>
      </x:c>
      <x:c r="M92" s="2" t="n">
        <x:f>IF('신청 원장'!S823="","",'신청 원장'!S823)</x:f>
        <x:v>726</x:v>
      </x:c>
      <x:c r="N92" s="2" t="str">
        <x:f>IF('신청 원장'!K823&lt;&gt;"미종결 표시","종결 상태 확인",IF('신청 원장'!N823="","일자 확인 필요",IF('신청 원장'!N823&gt;365,"366일 이상",IF('신청 원장'!N823&gt;90,"91~365일",IF('신청 원장'!N823&gt;30,"31~90일","0~30일")))))</x:f>
        <x:v>366일 이상</x:v>
      </x:c>
      <x:c r="O92" s="2" t="str">
        <x:f>IF(OR('신청 원장'!L823="",'신청 원장'!L823="선택"),"담당 원문 확인","기재")</x:f>
        <x:v>기재</x:v>
      </x:c>
      <x:c r="P92" s="2" t="str">
        <x:f>IF('신청 원장'!A823="","",'신청 원장'!A823)</x:f>
        <x:v>0e9d795062f01a3cefbad242</x:v>
      </x:c>
    </x:row>
    <x:row r="93" ht="42" customHeight="1">
      <x:c r="A93" s="2" t="str">
        <x:f>IF('신청 원장'!B824="","",'신청 원장'!B824)</x:f>
        <x:v>사업 평가</x:v>
      </x:c>
      <x:c r="B93" s="7" t="str">
        <x:f>IF('신청 원장'!D824="","",'신청 원장'!D824)</x:f>
        <x:v>㈜거산수출포장 고효율설비 교체(스크류 공기압축기 → 인버터형 공기압축기) 사업</x:v>
      </x:c>
      <x:c r="C93" s="2" t="str">
        <x:f>IF('신청 원장'!F824="","",'신청 원장'!F824)</x:f>
        <x:v>2020-11-19</x:v>
      </x:c>
      <x:c r="D93" s="2" t="str">
        <x:f>IF('신청 원장'!J824="","",'신청 원장'!J824)</x:f>
        <x:v>보완요청</x:v>
      </x:c>
      <x:c r="E93" s="2" t="str">
        <x:f>IF('신청 원장'!L824="","",'신청 원장'!L824)</x:f>
        <x:v>KECM_이태준</x:v>
      </x:c>
      <x:c r="F93" s="2" t="n">
        <x:f>IF('신청 원장'!M824="","",'신청 원장'!M824)</x:f>
        <x:v>3</x:v>
      </x:c>
      <x:c r="G93" s="2" t="n">
        <x:f>IF('신청 원장'!N824="","",'신청 원장'!N824)</x:f>
        <x:v>2156</x:v>
      </x:c>
      <x:c r="H93" s="2" t="str">
        <x:f>IF('신청 원장'!AA824="","",'신청 원장'!AA824)</x:f>
        <x:v>내부 관찰 대상</x:v>
      </x:c>
      <x:c r="I93" s="2" t="str">
        <x:f>IF('신청 원장'!O824="","",'신청 원장'!O824)</x:f>
        <x:v>보류</x:v>
      </x:c>
      <x:c r="J93" s="2" t="str">
        <x:f>IF('신청 원장'!W824="","",'신청 원장'!W824)</x:f>
      </x:c>
      <x:c r="K93" s="2" t="str">
        <x:f>IF('신청 원장'!X824="","",'신청 원장'!X824)</x:f>
        <x:v>보완 회신 일정 확인</x:v>
      </x:c>
      <x:c r="L93" s="2" t="str">
        <x:f>IF('신청 원장'!R824="","",'신청 원장'!R824)</x:f>
        <x:v>국내평가</x:v>
      </x:c>
      <x:c r="M93" s="2" t="n">
        <x:f>IF('신청 원장'!S824="","",'신청 원장'!S824)</x:f>
        <x:v>727</x:v>
      </x:c>
      <x:c r="N93" s="2" t="str">
        <x:f>IF('신청 원장'!K824&lt;&gt;"미종결 표시","종결 상태 확인",IF('신청 원장'!N824="","일자 확인 필요",IF('신청 원장'!N824&gt;365,"366일 이상",IF('신청 원장'!N824&gt;90,"91~365일",IF('신청 원장'!N824&gt;30,"31~90일","0~30일")))))</x:f>
        <x:v>366일 이상</x:v>
      </x:c>
      <x:c r="O93" s="2" t="str">
        <x:f>IF(OR('신청 원장'!L824="",'신청 원장'!L824="선택"),"담당 원문 확인","기재")</x:f>
        <x:v>기재</x:v>
      </x:c>
      <x:c r="P93" s="2" t="str">
        <x:f>IF('신청 원장'!A824="","",'신청 원장'!A824)</x:f>
        <x:v>5f85e98ee73c4f3a9b94f56d</x:v>
      </x:c>
    </x:row>
    <x:row r="94" ht="42" customHeight="1">
      <x:c r="A94" s="2" t="str">
        <x:f>IF('신청 원장'!B828="","",'신청 원장'!B828)</x:f>
        <x:v>사업 평가</x:v>
      </x:c>
      <x:c r="B94" s="7" t="str">
        <x:f>IF('신청 원장'!D828="","",'신청 원장'!D828)</x:f>
        <x:v>칠갑농산주식회사의 보일러 연료전환(B-A유 → LPG)을 통한 온실가스(CO2) 배출 감축사업</x:v>
      </x:c>
      <x:c r="C94" s="2" t="str">
        <x:f>IF('신청 원장'!F828="","",'신청 원장'!F828)</x:f>
        <x:v>2020-09-25</x:v>
      </x:c>
      <x:c r="D94" s="2" t="str">
        <x:f>IF('신청 원장'!J828="","",'신청 원장'!J828)</x:f>
        <x:v>보완요청</x:v>
      </x:c>
      <x:c r="E94" s="2" t="str">
        <x:f>IF('신청 원장'!L828="","",'신청 원장'!L828)</x:f>
        <x:v>에코시안_정인혜&gt;박세은</x:v>
      </x:c>
      <x:c r="F94" s="2" t="n">
        <x:f>IF('신청 원장'!M828="","",'신청 원장'!M828)</x:f>
        <x:v>3</x:v>
      </x:c>
      <x:c r="G94" s="2" t="n">
        <x:f>IF('신청 원장'!N828="","",'신청 원장'!N828)</x:f>
        <x:v>2211</x:v>
      </x:c>
      <x:c r="H94" s="2" t="str">
        <x:f>IF('신청 원장'!AA828="","",'신청 원장'!AA828)</x:f>
        <x:v>내부 관찰 대상</x:v>
      </x:c>
      <x:c r="I94" s="2" t="str">
        <x:f>IF('신청 원장'!O828="","",'신청 원장'!O828)</x:f>
        <x:v>O(22.05)</x:v>
      </x:c>
      <x:c r="J94" s="2" t="str">
        <x:f>IF('신청 원장'!W828="","",'신청 원장'!W828)</x:f>
      </x:c>
      <x:c r="K94" s="2" t="str">
        <x:f>IF('신청 원장'!X828="","",'신청 원장'!X828)</x:f>
        <x:v>보완 회신 일정 확인</x:v>
      </x:c>
      <x:c r="L94" s="2" t="str">
        <x:f>IF('신청 원장'!R828="","",'신청 원장'!R828)</x:f>
        <x:v>국내평가</x:v>
      </x:c>
      <x:c r="M94" s="2" t="n">
        <x:f>IF('신청 원장'!S828="","",'신청 원장'!S828)</x:f>
        <x:v>731</x:v>
      </x:c>
      <x:c r="N94" s="2" t="str">
        <x:f>IF('신청 원장'!K828&lt;&gt;"미종결 표시","종결 상태 확인",IF('신청 원장'!N828="","일자 확인 필요",IF('신청 원장'!N828&gt;365,"366일 이상",IF('신청 원장'!N828&gt;90,"91~365일",IF('신청 원장'!N828&gt;30,"31~90일","0~30일")))))</x:f>
        <x:v>366일 이상</x:v>
      </x:c>
      <x:c r="O94" s="2" t="str">
        <x:f>IF(OR('신청 원장'!L828="",'신청 원장'!L828="선택"),"담당 원문 확인","기재")</x:f>
        <x:v>기재</x:v>
      </x:c>
      <x:c r="P94" s="2" t="str">
        <x:f>IF('신청 원장'!A828="","",'신청 원장'!A828)</x:f>
        <x:v>9d922cbaf308fbdbe4fafa1c</x:v>
      </x:c>
    </x:row>
    <x:row r="95" ht="42" customHeight="1">
      <x:c r="A95" s="2" t="str">
        <x:f>IF('신청 원장'!B829="","",'신청 원장'!B829)</x:f>
        <x:v>사업 평가</x:v>
      </x:c>
      <x:c r="B95" s="7" t="str">
        <x:f>IF('신청 원장'!D829="","",'신청 원장'!D829)</x:f>
        <x:v>우광아스콘(주) 연료전환(B-C유, 정제유 → LPG)을 통한 온실가스 배출 감축사업</x:v>
      </x:c>
      <x:c r="C95" s="2" t="str">
        <x:f>IF('신청 원장'!F829="","",'신청 원장'!F829)</x:f>
        <x:v>2020-06-10</x:v>
      </x:c>
      <x:c r="D95" s="2" t="str">
        <x:f>IF('신청 원장'!J829="","",'신청 원장'!J829)</x:f>
        <x:v>평가중</x:v>
      </x:c>
      <x:c r="E95" s="2" t="str">
        <x:f>IF('신청 원장'!L829="","",'신청 원장'!L829)</x:f>
        <x:v>에코시안_박세은</x:v>
      </x:c>
      <x:c r="F95" s="2" t="str">
        <x:f>IF('신청 원장'!M829="","",'신청 원장'!M829)</x:f>
      </x:c>
      <x:c r="G95" s="2" t="n">
        <x:f>IF('신청 원장'!N829="","",'신청 원장'!N829)</x:f>
        <x:v>2318</x:v>
      </x:c>
      <x:c r="H95" s="2" t="str">
        <x:f>IF('신청 원장'!AA829="","",'신청 원장'!AA829)</x:f>
        <x:v>내부 관찰 대상</x:v>
      </x:c>
      <x:c r="I95" s="2" t="str">
        <x:f>IF('신청 원장'!O829="","",'신청 원장'!O829)</x:f>
        <x:v>생략</x:v>
      </x:c>
      <x:c r="J95" s="2" t="str">
        <x:f>IF('신청 원장'!W829="","",'신청 원장'!W829)</x:f>
      </x:c>
      <x:c r="K95" s="2" t="str">
        <x:f>IF('신청 원장'!X829="","",'신청 원장'!X829)</x:f>
        <x:v>검토 진행 일정 확인</x:v>
      </x:c>
      <x:c r="L95" s="2" t="str">
        <x:f>IF('신청 원장'!R829="","",'신청 원장'!R829)</x:f>
        <x:v>국내평가</x:v>
      </x:c>
      <x:c r="M95" s="2" t="n">
        <x:f>IF('신청 원장'!S829="","",'신청 원장'!S829)</x:f>
        <x:v>732</x:v>
      </x:c>
      <x:c r="N95" s="2" t="str">
        <x:f>IF('신청 원장'!K829&lt;&gt;"미종결 표시","종결 상태 확인",IF('신청 원장'!N829="","일자 확인 필요",IF('신청 원장'!N829&gt;365,"366일 이상",IF('신청 원장'!N829&gt;90,"91~365일",IF('신청 원장'!N829&gt;30,"31~90일","0~30일")))))</x:f>
        <x:v>366일 이상</x:v>
      </x:c>
      <x:c r="O95" s="2" t="str">
        <x:f>IF(OR('신청 원장'!L829="",'신청 원장'!L829="선택"),"담당 원문 확인","기재")</x:f>
        <x:v>기재</x:v>
      </x:c>
      <x:c r="P95" s="2" t="str">
        <x:f>IF('신청 원장'!A829="","",'신청 원장'!A829)</x:f>
        <x:v>e5c3d2d6397310ecdbcd09bf</x:v>
      </x:c>
    </x:row>
    <x:row r="96" ht="42" customHeight="1">
      <x:c r="A96" s="2" t="str">
        <x:f>IF('신청 원장'!B830="","",'신청 원장'!B830)</x:f>
        <x:v>사업 평가</x:v>
      </x:c>
      <x:c r="B96" s="7" t="str">
        <x:f>IF('신청 원장'!D830="","",'신청 원장'!D830)</x:f>
        <x:v>주식회사 대원아스콘 연료전주식회사 대원아스콘 연료전환(정제유→ LPG)을 통한 온실가스 배출 감축사업</x:v>
      </x:c>
      <x:c r="C96" s="2" t="str">
        <x:f>IF('신청 원장'!F830="","",'신청 원장'!F830)</x:f>
        <x:v>2020-06-11</x:v>
      </x:c>
      <x:c r="D96" s="2" t="str">
        <x:f>IF('신청 원장'!J830="","",'신청 원장'!J830)</x:f>
        <x:v>보완요청</x:v>
      </x:c>
      <x:c r="E96" s="2" t="str">
        <x:f>IF('신청 원장'!L830="","",'신청 원장'!L830)</x:f>
        <x:v>에코시안_박세은</x:v>
      </x:c>
      <x:c r="F96" s="2" t="n">
        <x:f>IF('신청 원장'!M830="","",'신청 원장'!M830)</x:f>
        <x:v>3</x:v>
      </x:c>
      <x:c r="G96" s="2" t="n">
        <x:f>IF('신청 원장'!N830="","",'신청 원장'!N830)</x:f>
        <x:v>2317</x:v>
      </x:c>
      <x:c r="H96" s="2" t="str">
        <x:f>IF('신청 원장'!AA830="","",'신청 원장'!AA830)</x:f>
        <x:v>내부 관찰 대상</x:v>
      </x:c>
      <x:c r="I96" s="2" t="str">
        <x:f>IF('신청 원장'!O830="","",'신청 원장'!O830)</x:f>
        <x:v>생략</x:v>
      </x:c>
      <x:c r="J96" s="2" t="str">
        <x:f>IF('신청 원장'!W830="","",'신청 원장'!W830)</x:f>
      </x:c>
      <x:c r="K96" s="2" t="str">
        <x:f>IF('신청 원장'!X830="","",'신청 원장'!X830)</x:f>
        <x:v>보완 회신 일정 확인</x:v>
      </x:c>
      <x:c r="L96" s="2" t="str">
        <x:f>IF('신청 원장'!R830="","",'신청 원장'!R830)</x:f>
        <x:v>국내평가</x:v>
      </x:c>
      <x:c r="M96" s="2" t="n">
        <x:f>IF('신청 원장'!S830="","",'신청 원장'!S830)</x:f>
        <x:v>733</x:v>
      </x:c>
      <x:c r="N96" s="2" t="str">
        <x:f>IF('신청 원장'!K830&lt;&gt;"미종결 표시","종결 상태 확인",IF('신청 원장'!N830="","일자 확인 필요",IF('신청 원장'!N830&gt;365,"366일 이상",IF('신청 원장'!N830&gt;90,"91~365일",IF('신청 원장'!N830&gt;30,"31~90일","0~30일")))))</x:f>
        <x:v>366일 이상</x:v>
      </x:c>
      <x:c r="O96" s="2" t="str">
        <x:f>IF(OR('신청 원장'!L830="",'신청 원장'!L830="선택"),"담당 원문 확인","기재")</x:f>
        <x:v>기재</x:v>
      </x:c>
      <x:c r="P96" s="2" t="str">
        <x:f>IF('신청 원장'!A830="","",'신청 원장'!A830)</x:f>
        <x:v>4fc8a3ef1d45e1d0bc7a791b</x:v>
      </x:c>
    </x:row>
    <x:row r="97" ht="42" customHeight="1">
      <x:c r="A97" s="2" t="str">
        <x:f>IF('신청 원장'!B834="","",'신청 원장'!B834)</x:f>
        <x:v>사업 평가</x:v>
      </x:c>
      <x:c r="B97" s="7" t="str">
        <x:f>IF('신청 원장'!D834="","",'신청 원장'!D834)</x:f>
        <x:v>주식회사 맑은물에 보일러 연료교체(B-C유 → LPG) 사업</x:v>
      </x:c>
      <x:c r="C97" s="2" t="str">
        <x:f>IF('신청 원장'!F834="","",'신청 원장'!F834)</x:f>
        <x:v>2021-01-19</x:v>
      </x:c>
      <x:c r="D97" s="2" t="str">
        <x:f>IF('신청 원장'!J834="","",'신청 원장'!J834)</x:f>
        <x:v>보완요청</x:v>
      </x:c>
      <x:c r="E97" s="2" t="str">
        <x:f>IF('신청 원장'!L834="","",'신청 원장'!L834)</x:f>
        <x:v>KECM_임하진</x:v>
      </x:c>
      <x:c r="F97" s="2" t="n">
        <x:f>IF('신청 원장'!M834="","",'신청 원장'!M834)</x:f>
        <x:v>3</x:v>
      </x:c>
      <x:c r="G97" s="2" t="n">
        <x:f>IF('신청 원장'!N834="","",'신청 원장'!N834)</x:f>
        <x:v>2095</x:v>
      </x:c>
      <x:c r="H97" s="2" t="str">
        <x:f>IF('신청 원장'!AA834="","",'신청 원장'!AA834)</x:f>
        <x:v>내부 관찰 대상</x:v>
      </x:c>
      <x:c r="I97" s="2" t="str">
        <x:f>IF('신청 원장'!O834="","",'신청 원장'!O834)</x:f>
        <x:v>O(22.11)</x:v>
      </x:c>
      <x:c r="J97" s="2" t="str">
        <x:f>IF('신청 원장'!W834="","",'신청 원장'!W834)</x:f>
      </x:c>
      <x:c r="K97" s="2" t="str">
        <x:f>IF('신청 원장'!X834="","",'신청 원장'!X834)</x:f>
        <x:v>보완 회신 일정 확인</x:v>
      </x:c>
      <x:c r="L97" s="2" t="str">
        <x:f>IF('신청 원장'!R834="","",'신청 원장'!R834)</x:f>
        <x:v>국내평가</x:v>
      </x:c>
      <x:c r="M97" s="2" t="n">
        <x:f>IF('신청 원장'!S834="","",'신청 원장'!S834)</x:f>
        <x:v>737</x:v>
      </x:c>
      <x:c r="N97" s="2" t="str">
        <x:f>IF('신청 원장'!K834&lt;&gt;"미종결 표시","종결 상태 확인",IF('신청 원장'!N834="","일자 확인 필요",IF('신청 원장'!N834&gt;365,"366일 이상",IF('신청 원장'!N834&gt;90,"91~365일",IF('신청 원장'!N834&gt;30,"31~90일","0~30일")))))</x:f>
        <x:v>366일 이상</x:v>
      </x:c>
      <x:c r="O97" s="2" t="str">
        <x:f>IF(OR('신청 원장'!L834="",'신청 원장'!L834="선택"),"담당 원문 확인","기재")</x:f>
        <x:v>기재</x:v>
      </x:c>
      <x:c r="P97" s="2" t="str">
        <x:f>IF('신청 원장'!A834="","",'신청 원장'!A834)</x:f>
        <x:v>24689e4aeddc0742b2b64bb5</x:v>
      </x:c>
    </x:row>
    <x:row r="98" ht="42" customHeight="1">
      <x:c r="A98" s="2" t="str">
        <x:f>IF('신청 원장'!B837="","",'신청 원장'!B837)</x:f>
        <x:v>사업 평가</x:v>
      </x:c>
      <x:c r="B98" s="7" t="str">
        <x:f>IF('신청 원장'!D837="","",'신청 원장'!D837)</x:f>
        <x:v>청정제조 기반구축사업 내 고효율 설비 교체를 통한 온실가스 배출 감축사업</x:v>
      </x:c>
      <x:c r="C98" s="2" t="str">
        <x:f>IF('신청 원장'!F837="","",'신청 원장'!F837)</x:f>
        <x:v>2018-11-30</x:v>
      </x:c>
      <x:c r="D98" s="2" t="str">
        <x:f>IF('신청 원장'!J837="","",'신청 원장'!J837)</x:f>
        <x:v>보완요청</x:v>
      </x:c>
      <x:c r="E98" s="2" t="str">
        <x:f>IF('신청 원장'!L837="","",'신청 원장'!L837)</x:f>
        <x:v>에코시안_박세은</x:v>
      </x:c>
      <x:c r="F98" s="2" t="n">
        <x:f>IF('신청 원장'!M837="","",'신청 원장'!M837)</x:f>
        <x:v>3</x:v>
      </x:c>
      <x:c r="G98" s="2" t="n">
        <x:f>IF('신청 원장'!N837="","",'신청 원장'!N837)</x:f>
        <x:v>2876</x:v>
      </x:c>
      <x:c r="H98" s="2" t="str">
        <x:f>IF('신청 원장'!AA837="","",'신청 원장'!AA837)</x:f>
        <x:v>내부 관찰 대상</x:v>
      </x:c>
      <x:c r="I98" s="2" t="str">
        <x:f>IF('신청 원장'!O837="","",'신청 원장'!O837)</x:f>
        <x:v>보류</x:v>
      </x:c>
      <x:c r="J98" s="2" t="str">
        <x:f>IF('신청 원장'!W837="","",'신청 원장'!W837)</x:f>
      </x:c>
      <x:c r="K98" s="2" t="str">
        <x:f>IF('신청 원장'!X837="","",'신청 원장'!X837)</x:f>
        <x:v>보완 회신 일정 확인</x:v>
      </x:c>
      <x:c r="L98" s="2" t="str">
        <x:f>IF('신청 원장'!R837="","",'신청 원장'!R837)</x:f>
        <x:v>국내평가</x:v>
      </x:c>
      <x:c r="M98" s="2" t="n">
        <x:f>IF('신청 원장'!S837="","",'신청 원장'!S837)</x:f>
        <x:v>740</x:v>
      </x:c>
      <x:c r="N98" s="2" t="str">
        <x:f>IF('신청 원장'!K837&lt;&gt;"미종결 표시","종결 상태 확인",IF('신청 원장'!N837="","일자 확인 필요",IF('신청 원장'!N837&gt;365,"366일 이상",IF('신청 원장'!N837&gt;90,"91~365일",IF('신청 원장'!N837&gt;30,"31~90일","0~30일")))))</x:f>
        <x:v>366일 이상</x:v>
      </x:c>
      <x:c r="O98" s="2" t="str">
        <x:f>IF(OR('신청 원장'!L837="",'신청 원장'!L837="선택"),"담당 원문 확인","기재")</x:f>
        <x:v>기재</x:v>
      </x:c>
      <x:c r="P98" s="2" t="str">
        <x:f>IF('신청 원장'!A837="","",'신청 원장'!A837)</x:f>
        <x:v>d081c4cedf4a72b41187f128</x:v>
      </x:c>
    </x:row>
    <x:row r="99" ht="42" customHeight="1">
      <x:c r="A99" s="2" t="str">
        <x:f>IF('신청 원장'!B846="","",'신청 원장'!B846)</x:f>
        <x:v>사업 평가</x:v>
      </x:c>
      <x:c r="B99" s="7" t="str">
        <x:f>IF('신청 원장'!D846="","",'신청 원장'!D846)</x:f>
        <x:v>대륙전선㈜ 고효율설비 교체(스크류 공기압축기 → 인버터형 공기압축기) 사업</x:v>
      </x:c>
      <x:c r="C99" s="2" t="str">
        <x:f>IF('신청 원장'!F846="","",'신청 원장'!F846)</x:f>
        <x:v>2020-09-17</x:v>
      </x:c>
      <x:c r="D99" s="2" t="str">
        <x:f>IF('신청 원장'!J846="","",'신청 원장'!J846)</x:f>
        <x:v>보완요청</x:v>
      </x:c>
      <x:c r="E99" s="2" t="str">
        <x:f>IF('신청 원장'!L846="","",'신청 원장'!L846)</x:f>
        <x:v>에코시안_조영우</x:v>
      </x:c>
      <x:c r="F99" s="2" t="n">
        <x:f>IF('신청 원장'!M846="","",'신청 원장'!M846)</x:f>
        <x:v>3</x:v>
      </x:c>
      <x:c r="G99" s="2" t="n">
        <x:f>IF('신청 원장'!N846="","",'신청 원장'!N846)</x:f>
        <x:v>2219</x:v>
      </x:c>
      <x:c r="H99" s="2" t="str">
        <x:f>IF('신청 원장'!AA846="","",'신청 원장'!AA846)</x:f>
        <x:v>내부 관찰 대상</x:v>
      </x:c>
      <x:c r="I99" s="2" t="str">
        <x:f>IF('신청 원장'!O846="","",'신청 원장'!O846)</x:f>
        <x:v>보류</x:v>
      </x:c>
      <x:c r="J99" s="2" t="str">
        <x:f>IF('신청 원장'!W846="","",'신청 원장'!W846)</x:f>
      </x:c>
      <x:c r="K99" s="2" t="str">
        <x:f>IF('신청 원장'!X846="","",'신청 원장'!X846)</x:f>
        <x:v>보완 회신 일정 확인</x:v>
      </x:c>
      <x:c r="L99" s="2" t="str">
        <x:f>IF('신청 원장'!R846="","",'신청 원장'!R846)</x:f>
        <x:v>국내평가</x:v>
      </x:c>
      <x:c r="M99" s="2" t="n">
        <x:f>IF('신청 원장'!S846="","",'신청 원장'!S846)</x:f>
        <x:v>749</x:v>
      </x:c>
      <x:c r="N99" s="2" t="str">
        <x:f>IF('신청 원장'!K846&lt;&gt;"미종결 표시","종결 상태 확인",IF('신청 원장'!N846="","일자 확인 필요",IF('신청 원장'!N846&gt;365,"366일 이상",IF('신청 원장'!N846&gt;90,"91~365일",IF('신청 원장'!N846&gt;30,"31~90일","0~30일")))))</x:f>
        <x:v>366일 이상</x:v>
      </x:c>
      <x:c r="O99" s="2" t="str">
        <x:f>IF(OR('신청 원장'!L846="",'신청 원장'!L846="선택"),"담당 원문 확인","기재")</x:f>
        <x:v>기재</x:v>
      </x:c>
      <x:c r="P99" s="2" t="str">
        <x:f>IF('신청 원장'!A846="","",'신청 원장'!A846)</x:f>
        <x:v>400aecdb2364c0ac5d74bf61</x:v>
      </x:c>
    </x:row>
    <x:row r="100" ht="42" customHeight="1">
      <x:c r="A100" s="2" t="str">
        <x:f>IF('신청 원장'!B855="","",'신청 원장'!B855)</x:f>
        <x:v>사업 평가</x:v>
      </x:c>
      <x:c r="B100" s="7" t="str">
        <x:f>IF('신청 원장'!D855="","",'신청 원장'!D855)</x:f>
        <x:v>세화제관(주)_고효율 공기압축기 교체를 통한 온실가스 감축사업</x:v>
      </x:c>
      <x:c r="C100" s="2" t="str">
        <x:f>IF('신청 원장'!F855="","",'신청 원장'!F855)</x:f>
        <x:v>2019-09-18</x:v>
      </x:c>
      <x:c r="D100" s="2" t="str">
        <x:f>IF('신청 원장'!J855="","",'신청 원장'!J855)</x:f>
        <x:v>보완요청</x:v>
      </x:c>
      <x:c r="E100" s="2" t="str">
        <x:f>IF('신청 원장'!L855="","",'신청 원장'!L855)</x:f>
        <x:v>KECM_이태준</x:v>
      </x:c>
      <x:c r="F100" s="2" t="n">
        <x:f>IF('신청 원장'!M855="","",'신청 원장'!M855)</x:f>
        <x:v>3</x:v>
      </x:c>
      <x:c r="G100" s="2" t="n">
        <x:f>IF('신청 원장'!N855="","",'신청 원장'!N855)</x:f>
        <x:v>2584</x:v>
      </x:c>
      <x:c r="H100" s="2" t="str">
        <x:f>IF('신청 원장'!AA855="","",'신청 원장'!AA855)</x:f>
        <x:v>내부 관찰 대상</x:v>
      </x:c>
      <x:c r="I100" s="2" t="str">
        <x:f>IF('신청 원장'!O855="","",'신청 원장'!O855)</x:f>
        <x:v>O(21.09)</x:v>
      </x:c>
      <x:c r="J100" s="2" t="str">
        <x:f>IF('신청 원장'!W855="","",'신청 원장'!W855)</x:f>
      </x:c>
      <x:c r="K100" s="2" t="str">
        <x:f>IF('신청 원장'!X855="","",'신청 원장'!X855)</x:f>
        <x:v>보완 회신 일정 확인</x:v>
      </x:c>
      <x:c r="L100" s="2" t="str">
        <x:f>IF('신청 원장'!R855="","",'신청 원장'!R855)</x:f>
        <x:v>국내평가</x:v>
      </x:c>
      <x:c r="M100" s="2" t="n">
        <x:f>IF('신청 원장'!S855="","",'신청 원장'!S855)</x:f>
        <x:v>758</x:v>
      </x:c>
      <x:c r="N100" s="2" t="str">
        <x:f>IF('신청 원장'!K855&lt;&gt;"미종결 표시","종결 상태 확인",IF('신청 원장'!N855="","일자 확인 필요",IF('신청 원장'!N855&gt;365,"366일 이상",IF('신청 원장'!N855&gt;90,"91~365일",IF('신청 원장'!N855&gt;30,"31~90일","0~30일")))))</x:f>
        <x:v>366일 이상</x:v>
      </x:c>
      <x:c r="O100" s="2" t="str">
        <x:f>IF(OR('신청 원장'!L855="",'신청 원장'!L855="선택"),"담당 원문 확인","기재")</x:f>
        <x:v>기재</x:v>
      </x:c>
      <x:c r="P100" s="2" t="str">
        <x:f>IF('신청 원장'!A855="","",'신청 원장'!A855)</x:f>
        <x:v>5d366090fb70da70d351bff9</x:v>
      </x:c>
    </x:row>
    <x:row r="101" ht="42" customHeight="1">
      <x:c r="A101" s="2" t="str">
        <x:f>IF('신청 원장'!B872="","",'신청 원장'!B872)</x:f>
        <x:v>사업 평가</x:v>
      </x:c>
      <x:c r="B101" s="7" t="str">
        <x:f>IF('신청 원장'!D872="","",'신청 원장'!D872)</x:f>
        <x:v>한일화섬(주)의 연료전환(B-C유→LPG)을 통한 온실가스 배출 감축사업</x:v>
      </x:c>
      <x:c r="C101" s="2" t="str">
        <x:f>IF('신청 원장'!F872="","",'신청 원장'!F872)</x:f>
        <x:v>2021-03-29</x:v>
      </x:c>
      <x:c r="D101" s="2" t="str">
        <x:f>IF('신청 원장'!J872="","",'신청 원장'!J872)</x:f>
        <x:v>보완요청</x:v>
      </x:c>
      <x:c r="E101" s="2" t="str">
        <x:f>IF('신청 원장'!L872="","",'신청 원장'!L872)</x:f>
        <x:v>KECM_이태준</x:v>
      </x:c>
      <x:c r="F101" s="2" t="n">
        <x:f>IF('신청 원장'!M872="","",'신청 원장'!M872)</x:f>
        <x:v>3</x:v>
      </x:c>
      <x:c r="G101" s="2" t="n">
        <x:f>IF('신청 원장'!N872="","",'신청 원장'!N872)</x:f>
        <x:v>2026</x:v>
      </x:c>
      <x:c r="H101" s="2" t="str">
        <x:f>IF('신청 원장'!AA872="","",'신청 원장'!AA872)</x:f>
        <x:v>내부 관찰 대상</x:v>
      </x:c>
      <x:c r="I101" s="2" t="str">
        <x:f>IF('신청 원장'!O872="","",'신청 원장'!O872)</x:f>
        <x:v>O(21.07)</x:v>
      </x:c>
      <x:c r="J101" s="2" t="str">
        <x:f>IF('신청 원장'!W872="","",'신청 원장'!W872)</x:f>
      </x:c>
      <x:c r="K101" s="2" t="str">
        <x:f>IF('신청 원장'!X872="","",'신청 원장'!X872)</x:f>
        <x:v>보완 회신 일정 확인</x:v>
      </x:c>
      <x:c r="L101" s="2" t="str">
        <x:f>IF('신청 원장'!R872="","",'신청 원장'!R872)</x:f>
        <x:v>국내평가</x:v>
      </x:c>
      <x:c r="M101" s="2" t="n">
        <x:f>IF('신청 원장'!S872="","",'신청 원장'!S872)</x:f>
        <x:v>775</x:v>
      </x:c>
      <x:c r="N101" s="2" t="str">
        <x:f>IF('신청 원장'!K872&lt;&gt;"미종결 표시","종결 상태 확인",IF('신청 원장'!N872="","일자 확인 필요",IF('신청 원장'!N872&gt;365,"366일 이상",IF('신청 원장'!N872&gt;90,"91~365일",IF('신청 원장'!N872&gt;30,"31~90일","0~30일")))))</x:f>
        <x:v>366일 이상</x:v>
      </x:c>
      <x:c r="O101" s="2" t="str">
        <x:f>IF(OR('신청 원장'!L872="",'신청 원장'!L872="선택"),"담당 원문 확인","기재")</x:f>
        <x:v>기재</x:v>
      </x:c>
      <x:c r="P101" s="2" t="str">
        <x:f>IF('신청 원장'!A872="","",'신청 원장'!A872)</x:f>
        <x:v>fcf5dbc18b06ae3f678b70c7</x:v>
      </x:c>
    </x:row>
    <x:row r="102" ht="42" customHeight="1">
      <x:c r="A102" s="2" t="str">
        <x:f>IF('신청 원장'!B874="","",'신청 원장'!B874)</x:f>
        <x:v>사업 평가</x:v>
      </x:c>
      <x:c r="B102" s="7" t="str">
        <x:f>IF('신청 원장'!D874="","",'신청 원장'!D874)</x:f>
        <x:v>㈜해솔아스콘 연료전환(경유 → LPG) 사업을 통한 온실가스 감축사업</x:v>
      </x:c>
      <x:c r="C102" s="2" t="str">
        <x:f>IF('신청 원장'!F874="","",'신청 원장'!F874)</x:f>
        <x:v>2021-02-22</x:v>
      </x:c>
      <x:c r="D102" s="2" t="str">
        <x:f>IF('신청 원장'!J874="","",'신청 원장'!J874)</x:f>
        <x:v>보완요청</x:v>
      </x:c>
      <x:c r="E102" s="2" t="str">
        <x:f>IF('신청 원장'!L874="","",'신청 원장'!L874)</x:f>
        <x:v>DNV 장유리,KECM_임하진</x:v>
      </x:c>
      <x:c r="F102" s="2" t="n">
        <x:f>IF('신청 원장'!M874="","",'신청 원장'!M874)</x:f>
        <x:v>3</x:v>
      </x:c>
      <x:c r="G102" s="2" t="n">
        <x:f>IF('신청 원장'!N874="","",'신청 원장'!N874)</x:f>
        <x:v>2061</x:v>
      </x:c>
      <x:c r="H102" s="2" t="str">
        <x:f>IF('신청 원장'!AA874="","",'신청 원장'!AA874)</x:f>
        <x:v>내부 관찰 대상</x:v>
      </x:c>
      <x:c r="I102" s="2" t="str">
        <x:f>IF('신청 원장'!O874="","",'신청 원장'!O874)</x:f>
        <x:v>O(21.10)</x:v>
      </x:c>
      <x:c r="J102" s="2" t="str">
        <x:f>IF('신청 원장'!W874="","",'신청 원장'!W874)</x:f>
      </x:c>
      <x:c r="K102" s="2" t="str">
        <x:f>IF('신청 원장'!X874="","",'신청 원장'!X874)</x:f>
        <x:v>보완 회신 일정 확인</x:v>
      </x:c>
      <x:c r="L102" s="2" t="str">
        <x:f>IF('신청 원장'!R874="","",'신청 원장'!R874)</x:f>
        <x:v>국내평가</x:v>
      </x:c>
      <x:c r="M102" s="2" t="n">
        <x:f>IF('신청 원장'!S874="","",'신청 원장'!S874)</x:f>
        <x:v>777</x:v>
      </x:c>
      <x:c r="N102" s="2" t="str">
        <x:f>IF('신청 원장'!K874&lt;&gt;"미종결 표시","종결 상태 확인",IF('신청 원장'!N874="","일자 확인 필요",IF('신청 원장'!N874&gt;365,"366일 이상",IF('신청 원장'!N874&gt;90,"91~365일",IF('신청 원장'!N874&gt;30,"31~90일","0~30일")))))</x:f>
        <x:v>366일 이상</x:v>
      </x:c>
      <x:c r="O102" s="2" t="str">
        <x:f>IF(OR('신청 원장'!L874="",'신청 원장'!L874="선택"),"담당 원문 확인","기재")</x:f>
        <x:v>기재</x:v>
      </x:c>
      <x:c r="P102" s="2" t="str">
        <x:f>IF('신청 원장'!A874="","",'신청 원장'!A874)</x:f>
        <x:v>a055a4d59ecd53d7767933cc</x:v>
      </x:c>
    </x:row>
    <x:row r="103" ht="42" customHeight="1">
      <x:c r="A103" s="2" t="str">
        <x:f>IF('신청 원장'!B962="","",'신청 원장'!B962)</x:f>
        <x:v>사업 평가</x:v>
      </x:c>
      <x:c r="B103" s="7" t="str">
        <x:f>IF('신청 원장'!D962="","",'신청 원장'!D962)</x:f>
        <x:v>포스코에너지(주) 태양광 발전설비를 이용한 전력 생산 및 자가사용 사업(사회공헌)</x:v>
      </x:c>
      <x:c r="C103" s="2" t="str">
        <x:f>IF('신청 원장'!F962="","",'신청 원장'!F962)</x:f>
        <x:v>2021-12-27</x:v>
      </x:c>
      <x:c r="D103" s="2" t="str">
        <x:f>IF('신청 원장'!J962="","",'신청 원장'!J962)</x:f>
        <x:v>보완요청</x:v>
      </x:c>
      <x:c r="E103" s="2" t="str">
        <x:f>IF('신청 원장'!L962="","",'신청 원장'!L962)</x:f>
        <x:v>에코시안_권송화</x:v>
      </x:c>
      <x:c r="F103" s="2" t="n">
        <x:f>IF('신청 원장'!M962="","",'신청 원장'!M962)</x:f>
        <x:v>3</x:v>
      </x:c>
      <x:c r="G103" s="2" t="n">
        <x:f>IF('신청 원장'!N962="","",'신청 원장'!N962)</x:f>
        <x:v>1753</x:v>
      </x:c>
      <x:c r="H103" s="2" t="str">
        <x:f>IF('신청 원장'!AA962="","",'신청 원장'!AA962)</x:f>
        <x:v>내부 관찰 대상</x:v>
      </x:c>
      <x:c r="I103" s="2" t="str">
        <x:f>IF('신청 원장'!O962="","",'신청 원장'!O962)</x:f>
        <x:v>생략</x:v>
      </x:c>
      <x:c r="J103" s="2" t="str">
        <x:f>IF('신청 원장'!W962="","",'신청 원장'!W962)</x:f>
      </x:c>
      <x:c r="K103" s="2" t="str">
        <x:f>IF('신청 원장'!X962="","",'신청 원장'!X962)</x:f>
        <x:v>보완 회신 일정 확인</x:v>
      </x:c>
      <x:c r="L103" s="2" t="str">
        <x:f>IF('신청 원장'!R962="","",'신청 원장'!R962)</x:f>
        <x:v>국내평가</x:v>
      </x:c>
      <x:c r="M103" s="2" t="n">
        <x:f>IF('신청 원장'!S962="","",'신청 원장'!S962)</x:f>
        <x:v>865</x:v>
      </x:c>
      <x:c r="N103" s="2" t="str">
        <x:f>IF('신청 원장'!K962&lt;&gt;"미종결 표시","종결 상태 확인",IF('신청 원장'!N962="","일자 확인 필요",IF('신청 원장'!N962&gt;365,"366일 이상",IF('신청 원장'!N962&gt;90,"91~365일",IF('신청 원장'!N962&gt;30,"31~90일","0~30일")))))</x:f>
        <x:v>366일 이상</x:v>
      </x:c>
      <x:c r="O103" s="2" t="str">
        <x:f>IF(OR('신청 원장'!L962="",'신청 원장'!L962="선택"),"담당 원문 확인","기재")</x:f>
        <x:v>기재</x:v>
      </x:c>
      <x:c r="P103" s="2" t="str">
        <x:f>IF('신청 원장'!A962="","",'신청 원장'!A962)</x:f>
        <x:v>e7cd4fcb5aa3ac1babaae8c0</x:v>
      </x:c>
    </x:row>
    <x:row r="104" ht="42" customHeight="1">
      <x:c r="A104" s="2" t="str">
        <x:f>IF('신청 원장'!B969="","",'신청 원장'!B969)</x:f>
        <x:v>사업 평가</x:v>
      </x:c>
      <x:c r="B104" s="7" t="str">
        <x:f>IF('신청 원장'!D969="","",'신청 원장'!D969)</x:f>
        <x:v>(주)동원파츠 고효율 공기압축기로 교체 사업</x:v>
      </x:c>
      <x:c r="C104" s="2" t="str">
        <x:f>IF('신청 원장'!F969="","",'신청 원장'!F969)</x:f>
        <x:v>2020-12-29</x:v>
      </x:c>
      <x:c r="D104" s="2" t="str">
        <x:f>IF('신청 원장'!J969="","",'신청 원장'!J969)</x:f>
        <x:v>보완요청</x:v>
      </x:c>
      <x:c r="E104" s="2" t="str">
        <x:f>IF('신청 원장'!L969="","",'신청 원장'!L969)</x:f>
        <x:v>KECM_이태준</x:v>
      </x:c>
      <x:c r="F104" s="2" t="n">
        <x:f>IF('신청 원장'!M969="","",'신청 원장'!M969)</x:f>
        <x:v>3</x:v>
      </x:c>
      <x:c r="G104" s="2" t="n">
        <x:f>IF('신청 원장'!N969="","",'신청 원장'!N969)</x:f>
        <x:v>2116</x:v>
      </x:c>
      <x:c r="H104" s="2" t="str">
        <x:f>IF('신청 원장'!AA969="","",'신청 원장'!AA969)</x:f>
        <x:v>내부 관찰 대상</x:v>
      </x:c>
      <x:c r="I104" s="2" t="str">
        <x:f>IF('신청 원장'!O969="","",'신청 원장'!O969)</x:f>
        <x:v>O(22.08)</x:v>
      </x:c>
      <x:c r="J104" s="2" t="str">
        <x:f>IF('신청 원장'!W969="","",'신청 원장'!W969)</x:f>
      </x:c>
      <x:c r="K104" s="2" t="str">
        <x:f>IF('신청 원장'!X969="","",'신청 원장'!X969)</x:f>
        <x:v>보완 회신 일정 확인</x:v>
      </x:c>
      <x:c r="L104" s="2" t="str">
        <x:f>IF('신청 원장'!R969="","",'신청 원장'!R969)</x:f>
        <x:v>국내평가</x:v>
      </x:c>
      <x:c r="M104" s="2" t="n">
        <x:f>IF('신청 원장'!S969="","",'신청 원장'!S969)</x:f>
        <x:v>872</x:v>
      </x:c>
      <x:c r="N104" s="2" t="str">
        <x:f>IF('신청 원장'!K969&lt;&gt;"미종결 표시","종결 상태 확인",IF('신청 원장'!N969="","일자 확인 필요",IF('신청 원장'!N969&gt;365,"366일 이상",IF('신청 원장'!N969&gt;90,"91~365일",IF('신청 원장'!N969&gt;30,"31~90일","0~30일")))))</x:f>
        <x:v>366일 이상</x:v>
      </x:c>
      <x:c r="O104" s="2" t="str">
        <x:f>IF(OR('신청 원장'!L969="",'신청 원장'!L969="선택"),"담당 원문 확인","기재")</x:f>
        <x:v>기재</x:v>
      </x:c>
      <x:c r="P104" s="2" t="str">
        <x:f>IF('신청 원장'!A969="","",'신청 원장'!A969)</x:f>
        <x:v>4137fa815ee16ee2dd4ff7d2</x:v>
      </x:c>
    </x:row>
    <x:row r="105" ht="42" customHeight="1">
      <x:c r="A105" s="2" t="str">
        <x:f>IF('신청 원장'!B985="","",'신청 원장'!B985)</x:f>
        <x:v>사업 평가</x:v>
      </x:c>
      <x:c r="B105" s="7" t="str">
        <x:f>IF('신청 원장'!D985="","",'신청 원장'!D985)</x:f>
        <x:v>(주)창조아스콘 연료전환(정제유→LPG) 온실가스 감축사업</x:v>
      </x:c>
      <x:c r="C105" s="2" t="str">
        <x:f>IF('신청 원장'!F985="","",'신청 원장'!F985)</x:f>
        <x:v>2022-06-29</x:v>
      </x:c>
      <x:c r="D105" s="2" t="str">
        <x:f>IF('신청 원장'!J985="","",'신청 원장'!J985)</x:f>
        <x:v>보완요청</x:v>
      </x:c>
      <x:c r="E105" s="2" t="str">
        <x:f>IF('신청 원장'!L985="","",'신청 원장'!L985)</x:f>
        <x:v>KECM_임하진</x:v>
      </x:c>
      <x:c r="F105" s="2" t="n">
        <x:f>IF('신청 원장'!M985="","",'신청 원장'!M985)</x:f>
        <x:v>3</x:v>
      </x:c>
      <x:c r="G105" s="2" t="n">
        <x:f>IF('신청 원장'!N985="","",'신청 원장'!N985)</x:f>
        <x:v>1569</x:v>
      </x:c>
      <x:c r="H105" s="2" t="str">
        <x:f>IF('신청 원장'!AA985="","",'신청 원장'!AA985)</x:f>
        <x:v>내부 관찰 대상</x:v>
      </x:c>
      <x:c r="I105" s="2" t="str">
        <x:f>IF('신청 원장'!O985="","",'신청 원장'!O985)</x:f>
        <x:v>생략</x:v>
      </x:c>
      <x:c r="J105" s="2" t="str">
        <x:f>IF('신청 원장'!W985="","",'신청 원장'!W985)</x:f>
      </x:c>
      <x:c r="K105" s="2" t="str">
        <x:f>IF('신청 원장'!X985="","",'신청 원장'!X985)</x:f>
        <x:v>보완 회신 일정 확인</x:v>
      </x:c>
      <x:c r="L105" s="2" t="str">
        <x:f>IF('신청 원장'!R985="","",'신청 원장'!R985)</x:f>
        <x:v>국내평가</x:v>
      </x:c>
      <x:c r="M105" s="2" t="n">
        <x:f>IF('신청 원장'!S985="","",'신청 원장'!S985)</x:f>
        <x:v>888</x:v>
      </x:c>
      <x:c r="N105" s="2" t="str">
        <x:f>IF('신청 원장'!K985&lt;&gt;"미종결 표시","종결 상태 확인",IF('신청 원장'!N985="","일자 확인 필요",IF('신청 원장'!N985&gt;365,"366일 이상",IF('신청 원장'!N985&gt;90,"91~365일",IF('신청 원장'!N985&gt;30,"31~90일","0~30일")))))</x:f>
        <x:v>366일 이상</x:v>
      </x:c>
      <x:c r="O105" s="2" t="str">
        <x:f>IF(OR('신청 원장'!L985="",'신청 원장'!L985="선택"),"담당 원문 확인","기재")</x:f>
        <x:v>기재</x:v>
      </x:c>
      <x:c r="P105" s="2" t="str">
        <x:f>IF('신청 원장'!A985="","",'신청 원장'!A985)</x:f>
        <x:v>1a149802e250d17024e5aadc</x:v>
      </x:c>
    </x:row>
    <x:row r="106" ht="42" customHeight="1">
      <x:c r="A106" s="2" t="str">
        <x:f>IF('신청 원장'!B986="","",'신청 원장'!B986)</x:f>
        <x:v>사업 평가</x:v>
      </x:c>
      <x:c r="B106" s="7" t="str">
        <x:f>IF('신청 원장'!D986="","",'신청 원장'!D986)</x:f>
        <x:v>비광정밀 고효율 설비 교체 사업</x:v>
      </x:c>
      <x:c r="C106" s="2" t="str">
        <x:f>IF('신청 원장'!F986="","",'신청 원장'!F986)</x:f>
        <x:v>2021-02-03</x:v>
      </x:c>
      <x:c r="D106" s="2" t="str">
        <x:f>IF('신청 원장'!J986="","",'신청 원장'!J986)</x:f>
        <x:v>보완요청</x:v>
      </x:c>
      <x:c r="E106" s="2" t="str">
        <x:f>IF('신청 원장'!L986="","",'신청 원장'!L986)</x:f>
        <x:v>에코시안_정다윤</x:v>
      </x:c>
      <x:c r="F106" s="2" t="n">
        <x:f>IF('신청 원장'!M986="","",'신청 원장'!M986)</x:f>
        <x:v>3</x:v>
      </x:c>
      <x:c r="G106" s="2" t="n">
        <x:f>IF('신청 원장'!N986="","",'신청 원장'!N986)</x:f>
        <x:v>2080</x:v>
      </x:c>
      <x:c r="H106" s="2" t="str">
        <x:f>IF('신청 원장'!AA986="","",'신청 원장'!AA986)</x:f>
        <x:v>내부 관찰 대상</x:v>
      </x:c>
      <x:c r="I106" s="2" t="str">
        <x:f>IF('신청 원장'!O986="","",'신청 원장'!O986)</x:f>
        <x:v>생략</x:v>
      </x:c>
      <x:c r="J106" s="2" t="str">
        <x:f>IF('신청 원장'!W986="","",'신청 원장'!W986)</x:f>
      </x:c>
      <x:c r="K106" s="2" t="str">
        <x:f>IF('신청 원장'!X986="","",'신청 원장'!X986)</x:f>
        <x:v>보완 회신 일정 확인</x:v>
      </x:c>
      <x:c r="L106" s="2" t="str">
        <x:f>IF('신청 원장'!R986="","",'신청 원장'!R986)</x:f>
        <x:v>국내평가</x:v>
      </x:c>
      <x:c r="M106" s="2" t="n">
        <x:f>IF('신청 원장'!S986="","",'신청 원장'!S986)</x:f>
        <x:v>889</x:v>
      </x:c>
      <x:c r="N106" s="2" t="str">
        <x:f>IF('신청 원장'!K986&lt;&gt;"미종결 표시","종결 상태 확인",IF('신청 원장'!N986="","일자 확인 필요",IF('신청 원장'!N986&gt;365,"366일 이상",IF('신청 원장'!N986&gt;90,"91~365일",IF('신청 원장'!N986&gt;30,"31~90일","0~30일")))))</x:f>
        <x:v>366일 이상</x:v>
      </x:c>
      <x:c r="O106" s="2" t="str">
        <x:f>IF(OR('신청 원장'!L986="",'신청 원장'!L986="선택"),"담당 원문 확인","기재")</x:f>
        <x:v>기재</x:v>
      </x:c>
      <x:c r="P106" s="2" t="str">
        <x:f>IF('신청 원장'!A986="","",'신청 원장'!A986)</x:f>
        <x:v>9f3f9c1988b0d2b5a9961e2c</x:v>
      </x:c>
    </x:row>
    <x:row r="107" ht="42" customHeight="1">
      <x:c r="A107" s="2" t="str">
        <x:f>IF('신청 원장'!B987="","",'신청 원장'!B987)</x:f>
        <x:v>사업 평가</x:v>
      </x:c>
      <x:c r="B107" s="7" t="str">
        <x:f>IF('신청 원장'!D987="","",'신청 원장'!D987)</x:f>
        <x:v>SK에너지&amp;장성아스콘의 국내 중온 아스팔트 생산을 통한 연료 및 온실가스 감축사업</x:v>
      </x:c>
      <x:c r="C107" s="2" t="str">
        <x:f>IF('신청 원장'!F987="","",'신청 원장'!F987)</x:f>
        <x:v>2022-07-12</x:v>
      </x:c>
      <x:c r="D107" s="2" t="str">
        <x:f>IF('신청 원장'!J987="","",'신청 원장'!J987)</x:f>
        <x:v>보완요청</x:v>
      </x:c>
      <x:c r="E107" s="2" t="str">
        <x:f>IF('신청 원장'!L987="","",'신청 원장'!L987)</x:f>
        <x:v>에코시안_박세은,조혜민</x:v>
      </x:c>
      <x:c r="F107" s="2" t="n">
        <x:f>IF('신청 원장'!M987="","",'신청 원장'!M987)</x:f>
        <x:v>1</x:v>
      </x:c>
      <x:c r="G107" s="2" t="n">
        <x:f>IF('신청 원장'!N987="","",'신청 원장'!N987)</x:f>
        <x:v>1556</x:v>
      </x:c>
      <x:c r="H107" s="2" t="str">
        <x:f>IF('신청 원장'!AA987="","",'신청 원장'!AA987)</x:f>
        <x:v>내부 관찰 대상</x:v>
      </x:c>
      <x:c r="I107" s="2" t="str">
        <x:f>IF('신청 원장'!O987="","",'신청 원장'!O987)</x:f>
        <x:v>보류</x:v>
      </x:c>
      <x:c r="J107" s="2" t="str">
        <x:f>IF('신청 원장'!W987="","",'신청 원장'!W987)</x:f>
      </x:c>
      <x:c r="K107" s="2" t="str">
        <x:f>IF('신청 원장'!X987="","",'신청 원장'!X987)</x:f>
        <x:v>보완 회신 일정 확인</x:v>
      </x:c>
      <x:c r="L107" s="2" t="str">
        <x:f>IF('신청 원장'!R987="","",'신청 원장'!R987)</x:f>
        <x:v>국내평가</x:v>
      </x:c>
      <x:c r="M107" s="2" t="n">
        <x:f>IF('신청 원장'!S987="","",'신청 원장'!S987)</x:f>
        <x:v>890</x:v>
      </x:c>
      <x:c r="N107" s="2" t="str">
        <x:f>IF('신청 원장'!K987&lt;&gt;"미종결 표시","종결 상태 확인",IF('신청 원장'!N987="","일자 확인 필요",IF('신청 원장'!N987&gt;365,"366일 이상",IF('신청 원장'!N987&gt;90,"91~365일",IF('신청 원장'!N987&gt;30,"31~90일","0~30일")))))</x:f>
        <x:v>366일 이상</x:v>
      </x:c>
      <x:c r="O107" s="2" t="str">
        <x:f>IF(OR('신청 원장'!L987="",'신청 원장'!L987="선택"),"담당 원문 확인","기재")</x:f>
        <x:v>기재</x:v>
      </x:c>
      <x:c r="P107" s="2" t="str">
        <x:f>IF('신청 원장'!A987="","",'신청 원장'!A987)</x:f>
        <x:v>92b2dc914fa3222d50d51618</x:v>
      </x:c>
    </x:row>
    <x:row r="108" ht="42" customHeight="1">
      <x:c r="A108" s="2" t="str">
        <x:f>IF('신청 원장'!B988="","",'신청 원장'!B988)</x:f>
        <x:v>사업 평가</x:v>
      </x:c>
      <x:c r="B108" s="7" t="str">
        <x:f>IF('신청 원장'!D988="","",'신청 원장'!D988)</x:f>
        <x:v>도서지역 연평초중고 태양광 설치를 통한 전력 자가사용 및 소규모 계통연계를 위한 극소규모  감축사업</x:v>
      </x:c>
      <x:c r="C108" s="2" t="str">
        <x:f>IF('신청 원장'!F988="","",'신청 원장'!F988)</x:f>
        <x:v>2020-09-18</x:v>
      </x:c>
      <x:c r="D108" s="2" t="str">
        <x:f>IF('신청 원장'!J988="","",'신청 원장'!J988)</x:f>
        <x:v>보완요청</x:v>
      </x:c>
      <x:c r="E108" s="2" t="str">
        <x:f>IF('신청 원장'!L988="","",'신청 원장'!L988)</x:f>
        <x:v>에코시안_최용철&gt;박세은</x:v>
      </x:c>
      <x:c r="F108" s="2" t="n">
        <x:f>IF('신청 원장'!M988="","",'신청 원장'!M988)</x:f>
        <x:v>3</x:v>
      </x:c>
      <x:c r="G108" s="2" t="n">
        <x:f>IF('신청 원장'!N988="","",'신청 원장'!N988)</x:f>
        <x:v>2218</x:v>
      </x:c>
      <x:c r="H108" s="2" t="str">
        <x:f>IF('신청 원장'!AA988="","",'신청 원장'!AA988)</x:f>
        <x:v>내부 관찰 대상</x:v>
      </x:c>
      <x:c r="I108" s="2" t="str">
        <x:f>IF('신청 원장'!O988="","",'신청 원장'!O988)</x:f>
        <x:v>생략</x:v>
      </x:c>
      <x:c r="J108" s="2" t="str">
        <x:f>IF('신청 원장'!W988="","",'신청 원장'!W988)</x:f>
      </x:c>
      <x:c r="K108" s="2" t="str">
        <x:f>IF('신청 원장'!X988="","",'신청 원장'!X988)</x:f>
        <x:v>보완 회신 일정 확인</x:v>
      </x:c>
      <x:c r="L108" s="2" t="str">
        <x:f>IF('신청 원장'!R988="","",'신청 원장'!R988)</x:f>
        <x:v>국내평가</x:v>
      </x:c>
      <x:c r="M108" s="2" t="n">
        <x:f>IF('신청 원장'!S988="","",'신청 원장'!S988)</x:f>
        <x:v>891</x:v>
      </x:c>
      <x:c r="N108" s="2" t="str">
        <x:f>IF('신청 원장'!K988&lt;&gt;"미종결 표시","종결 상태 확인",IF('신청 원장'!N988="","일자 확인 필요",IF('신청 원장'!N988&gt;365,"366일 이상",IF('신청 원장'!N988&gt;90,"91~365일",IF('신청 원장'!N988&gt;30,"31~90일","0~30일")))))</x:f>
        <x:v>366일 이상</x:v>
      </x:c>
      <x:c r="O108" s="2" t="str">
        <x:f>IF(OR('신청 원장'!L988="",'신청 원장'!L988="선택"),"담당 원문 확인","기재")</x:f>
        <x:v>기재</x:v>
      </x:c>
      <x:c r="P108" s="2" t="str">
        <x:f>IF('신청 원장'!A988="","",'신청 원장'!A988)</x:f>
        <x:v>362ce7ef1a89ff9d87ee925d</x:v>
      </x:c>
    </x:row>
    <x:row r="109" ht="42" customHeight="1">
      <x:c r="A109" s="2" t="str">
        <x:f>IF('신청 원장'!B993="","",'신청 원장'!B993)</x:f>
        <x:v>사업 평가</x:v>
      </x:c>
      <x:c r="B109" s="7" t="str">
        <x:f>IF('신청 원장'!D993="","",'신청 원장'!D993)</x:f>
        <x:v>도서지역 북포초등학교 태양광 설치를 통한 전력 자가사용 및 소규모 계통연계를 위한 극소규모 감축사업</x:v>
      </x:c>
      <x:c r="C109" s="2" t="str">
        <x:f>IF('신청 원장'!F993="","",'신청 원장'!F993)</x:f>
        <x:v>2021-05-05</x:v>
      </x:c>
      <x:c r="D109" s="2" t="str">
        <x:f>IF('신청 원장'!J993="","",'신청 원장'!J993)</x:f>
        <x:v>보완요청</x:v>
      </x:c>
      <x:c r="E109" s="2" t="str">
        <x:f>IF('신청 원장'!L993="","",'신청 원장'!L993)</x:f>
        <x:v>에코시안_최용철</x:v>
      </x:c>
      <x:c r="F109" s="2" t="n">
        <x:f>IF('신청 원장'!M993="","",'신청 원장'!M993)</x:f>
        <x:v>3</x:v>
      </x:c>
      <x:c r="G109" s="2" t="n">
        <x:f>IF('신청 원장'!N993="","",'신청 원장'!N993)</x:f>
        <x:v>1989</x:v>
      </x:c>
      <x:c r="H109" s="2" t="str">
        <x:f>IF('신청 원장'!AA993="","",'신청 원장'!AA993)</x:f>
        <x:v>내부 관찰 대상</x:v>
      </x:c>
      <x:c r="I109" s="2" t="str">
        <x:f>IF('신청 원장'!O993="","",'신청 원장'!O993)</x:f>
        <x:v>생략</x:v>
      </x:c>
      <x:c r="J109" s="2" t="str">
        <x:f>IF('신청 원장'!W993="","",'신청 원장'!W993)</x:f>
      </x:c>
      <x:c r="K109" s="2" t="str">
        <x:f>IF('신청 원장'!X993="","",'신청 원장'!X993)</x:f>
        <x:v>보완 회신 일정 확인</x:v>
      </x:c>
      <x:c r="L109" s="2" t="str">
        <x:f>IF('신청 원장'!R993="","",'신청 원장'!R993)</x:f>
        <x:v>국내평가</x:v>
      </x:c>
      <x:c r="M109" s="2" t="n">
        <x:f>IF('신청 원장'!S993="","",'신청 원장'!S993)</x:f>
        <x:v>896</x:v>
      </x:c>
      <x:c r="N109" s="2" t="str">
        <x:f>IF('신청 원장'!K993&lt;&gt;"미종결 표시","종결 상태 확인",IF('신청 원장'!N993="","일자 확인 필요",IF('신청 원장'!N993&gt;365,"366일 이상",IF('신청 원장'!N993&gt;90,"91~365일",IF('신청 원장'!N993&gt;30,"31~90일","0~30일")))))</x:f>
        <x:v>366일 이상</x:v>
      </x:c>
      <x:c r="O109" s="2" t="str">
        <x:f>IF(OR('신청 원장'!L993="",'신청 원장'!L993="선택"),"담당 원문 확인","기재")</x:f>
        <x:v>기재</x:v>
      </x:c>
      <x:c r="P109" s="2" t="str">
        <x:f>IF('신청 원장'!A993="","",'신청 원장'!A993)</x:f>
        <x:v>a99574409a47e0a3edf2c74e</x:v>
      </x:c>
    </x:row>
    <x:row r="110" ht="42" customHeight="1">
      <x:c r="A110" s="2" t="str">
        <x:f>IF('신청 원장'!B994="","",'신청 원장'!B994)</x:f>
        <x:v>사업 평가</x:v>
      </x:c>
      <x:c r="B110" s="7" t="str">
        <x:f>IF('신청 원장'!D994="","",'신청 원장'!D994)</x:f>
        <x:v>인천광역시 주택 태양광 발전설비 보급 프로그램 감축사업</x:v>
      </x:c>
      <x:c r="C110" s="2" t="str">
        <x:f>IF('신청 원장'!F994="","",'신청 원장'!F994)</x:f>
        <x:v>2021-12-27</x:v>
      </x:c>
      <x:c r="D110" s="2" t="str">
        <x:f>IF('신청 원장'!J994="","",'신청 원장'!J994)</x:f>
        <x:v>보류</x:v>
      </x:c>
      <x:c r="E110" s="2" t="str">
        <x:f>IF('신청 원장'!L994="","",'신청 원장'!L994)</x:f>
        <x:v>-</x:v>
      </x:c>
      <x:c r="F110" s="2" t="str">
        <x:f>IF('신청 원장'!M994="","",'신청 원장'!M994)</x:f>
      </x:c>
      <x:c r="G110" s="2" t="n">
        <x:f>IF('신청 원장'!N994="","",'신청 원장'!N994)</x:f>
        <x:v>1753</x:v>
      </x:c>
      <x:c r="H110" s="2" t="str">
        <x:f>IF('신청 원장'!AA994="","",'신청 원장'!AA994)</x:f>
        <x:v>내부 관찰 대상</x:v>
      </x:c>
      <x:c r="I110" s="2" t="str">
        <x:f>IF('신청 원장'!O994="","",'신청 원장'!O994)</x:f>
        <x:v>보류</x:v>
      </x:c>
      <x:c r="J110" s="2" t="str">
        <x:f>IF('신청 원장'!W994="","",'신청 원장'!W994)</x:f>
      </x:c>
      <x:c r="K110" s="2" t="str">
        <x:f>IF('신청 원장'!X994="","",'신청 원장'!X994)</x:f>
        <x:v>검토 진행 일정 확인</x:v>
      </x:c>
      <x:c r="L110" s="2" t="str">
        <x:f>IF('신청 원장'!R994="","",'신청 원장'!R994)</x:f>
        <x:v>국내평가</x:v>
      </x:c>
      <x:c r="M110" s="2" t="n">
        <x:f>IF('신청 원장'!S994="","",'신청 원장'!S994)</x:f>
        <x:v>897</x:v>
      </x:c>
      <x:c r="N110" s="2" t="str">
        <x:f>IF('신청 원장'!K994&lt;&gt;"미종결 표시","종결 상태 확인",IF('신청 원장'!N994="","일자 확인 필요",IF('신청 원장'!N994&gt;365,"366일 이상",IF('신청 원장'!N994&gt;90,"91~365일",IF('신청 원장'!N994&gt;30,"31~90일","0~30일")))))</x:f>
        <x:v>366일 이상</x:v>
      </x:c>
      <x:c r="O110" s="2" t="str">
        <x:f>IF(OR('신청 원장'!L994="",'신청 원장'!L994="선택"),"담당 원문 확인","기재")</x:f>
        <x:v>기재</x:v>
      </x:c>
      <x:c r="P110" s="2" t="str">
        <x:f>IF('신청 원장'!A994="","",'신청 원장'!A994)</x:f>
        <x:v>b18dd39de8c5fd1e1a9c86a1</x:v>
      </x:c>
    </x:row>
    <x:row r="111" ht="42" customHeight="1">
      <x:c r="A111" s="2" t="str">
        <x:f>IF('신청 원장'!B995="","",'신청 원장'!B995)</x:f>
        <x:v>사업 평가</x:v>
      </x:c>
      <x:c r="B111" s="7" t="str">
        <x:f>IF('신청 원장'!D995="","",'신청 원장'!D995)</x:f>
        <x:v>인천광역시 주택 태양광 발전설비 보급 프로그램 감축사업</x:v>
      </x:c>
      <x:c r="C111" s="2" t="str">
        <x:f>IF('신청 원장'!F995="","",'신청 원장'!F995)</x:f>
        <x:v>2021-12-27</x:v>
      </x:c>
      <x:c r="D111" s="2" t="str">
        <x:f>IF('신청 원장'!J995="","",'신청 원장'!J995)</x:f>
        <x:v>보류</x:v>
      </x:c>
      <x:c r="E111" s="2" t="str">
        <x:f>IF('신청 원장'!L995="","",'신청 원장'!L995)</x:f>
        <x:v>-</x:v>
      </x:c>
      <x:c r="F111" s="2" t="str">
        <x:f>IF('신청 원장'!M995="","",'신청 원장'!M995)</x:f>
      </x:c>
      <x:c r="G111" s="2" t="n">
        <x:f>IF('신청 원장'!N995="","",'신청 원장'!N995)</x:f>
        <x:v>1753</x:v>
      </x:c>
      <x:c r="H111" s="2" t="str">
        <x:f>IF('신청 원장'!AA995="","",'신청 원장'!AA995)</x:f>
        <x:v>내부 관찰 대상</x:v>
      </x:c>
      <x:c r="I111" s="2" t="str">
        <x:f>IF('신청 원장'!O995="","",'신청 원장'!O995)</x:f>
        <x:v>보류</x:v>
      </x:c>
      <x:c r="J111" s="2" t="str">
        <x:f>IF('신청 원장'!W995="","",'신청 원장'!W995)</x:f>
      </x:c>
      <x:c r="K111" s="2" t="str">
        <x:f>IF('신청 원장'!X995="","",'신청 원장'!X995)</x:f>
        <x:v>검토 진행 일정 확인</x:v>
      </x:c>
      <x:c r="L111" s="2" t="str">
        <x:f>IF('신청 원장'!R995="","",'신청 원장'!R995)</x:f>
        <x:v>국내평가</x:v>
      </x:c>
      <x:c r="M111" s="2" t="n">
        <x:f>IF('신청 원장'!S995="","",'신청 원장'!S995)</x:f>
        <x:v>898</x:v>
      </x:c>
      <x:c r="N111" s="2" t="str">
        <x:f>IF('신청 원장'!K995&lt;&gt;"미종결 표시","종결 상태 확인",IF('신청 원장'!N995="","일자 확인 필요",IF('신청 원장'!N995&gt;365,"366일 이상",IF('신청 원장'!N995&gt;90,"91~365일",IF('신청 원장'!N995&gt;30,"31~90일","0~30일")))))</x:f>
        <x:v>366일 이상</x:v>
      </x:c>
      <x:c r="O111" s="2" t="str">
        <x:f>IF(OR('신청 원장'!L995="",'신청 원장'!L995="선택"),"담당 원문 확인","기재")</x:f>
        <x:v>기재</x:v>
      </x:c>
      <x:c r="P111" s="2" t="str">
        <x:f>IF('신청 원장'!A995="","",'신청 원장'!A995)</x:f>
        <x:v>02433df0e26b36580f2e32bb</x:v>
      </x:c>
    </x:row>
    <x:row r="112" ht="42" customHeight="1">
      <x:c r="A112" s="2" t="str">
        <x:f>IF('신청 원장'!B996="","",'신청 원장'!B996)</x:f>
        <x:v>사업 평가</x:v>
      </x:c>
      <x:c r="B112" s="7" t="str">
        <x:f>IF('신청 원장'!D996="","",'신청 원장'!D996)</x:f>
        <x:v>인천광역시 주택 태양광 발전설비 보급 프로그램 감축사업</x:v>
      </x:c>
      <x:c r="C112" s="2" t="str">
        <x:f>IF('신청 원장'!F996="","",'신청 원장'!F996)</x:f>
        <x:v>2021-12-27</x:v>
      </x:c>
      <x:c r="D112" s="2" t="str">
        <x:f>IF('신청 원장'!J996="","",'신청 원장'!J996)</x:f>
        <x:v>보류</x:v>
      </x:c>
      <x:c r="E112" s="2" t="str">
        <x:f>IF('신청 원장'!L996="","",'신청 원장'!L996)</x:f>
        <x:v>-</x:v>
      </x:c>
      <x:c r="F112" s="2" t="str">
        <x:f>IF('신청 원장'!M996="","",'신청 원장'!M996)</x:f>
      </x:c>
      <x:c r="G112" s="2" t="n">
        <x:f>IF('신청 원장'!N996="","",'신청 원장'!N996)</x:f>
        <x:v>1753</x:v>
      </x:c>
      <x:c r="H112" s="2" t="str">
        <x:f>IF('신청 원장'!AA996="","",'신청 원장'!AA996)</x:f>
        <x:v>내부 관찰 대상</x:v>
      </x:c>
      <x:c r="I112" s="2" t="str">
        <x:f>IF('신청 원장'!O996="","",'신청 원장'!O996)</x:f>
        <x:v>보류</x:v>
      </x:c>
      <x:c r="J112" s="2" t="str">
        <x:f>IF('신청 원장'!W996="","",'신청 원장'!W996)</x:f>
      </x:c>
      <x:c r="K112" s="2" t="str">
        <x:f>IF('신청 원장'!X996="","",'신청 원장'!X996)</x:f>
        <x:v>검토 진행 일정 확인</x:v>
      </x:c>
      <x:c r="L112" s="2" t="str">
        <x:f>IF('신청 원장'!R996="","",'신청 원장'!R996)</x:f>
        <x:v>국내평가</x:v>
      </x:c>
      <x:c r="M112" s="2" t="n">
        <x:f>IF('신청 원장'!S996="","",'신청 원장'!S996)</x:f>
        <x:v>899</x:v>
      </x:c>
      <x:c r="N112" s="2" t="str">
        <x:f>IF('신청 원장'!K996&lt;&gt;"미종결 표시","종결 상태 확인",IF('신청 원장'!N996="","일자 확인 필요",IF('신청 원장'!N996&gt;365,"366일 이상",IF('신청 원장'!N996&gt;90,"91~365일",IF('신청 원장'!N996&gt;30,"31~90일","0~30일")))))</x:f>
        <x:v>366일 이상</x:v>
      </x:c>
      <x:c r="O112" s="2" t="str">
        <x:f>IF(OR('신청 원장'!L996="",'신청 원장'!L996="선택"),"담당 원문 확인","기재")</x:f>
        <x:v>기재</x:v>
      </x:c>
      <x:c r="P112" s="2" t="str">
        <x:f>IF('신청 원장'!A996="","",'신청 원장'!A996)</x:f>
        <x:v>7786416d068e024518cd3c91</x:v>
      </x:c>
    </x:row>
    <x:row r="113" ht="42" customHeight="1">
      <x:c r="A113" s="2" t="str">
        <x:f>IF('신청 원장'!B999="","",'신청 원장'!B999)</x:f>
        <x:v>사업 평가</x:v>
      </x:c>
      <x:c r="B113" s="7" t="str">
        <x:f>IF('신청 원장'!D999="","",'신청 원장'!D999)</x:f>
        <x:v>(주)대광아스콘 연료전환(B-C유→LPG) 온실가스 감축사업</x:v>
      </x:c>
      <x:c r="C113" s="2" t="str">
        <x:f>IF('신청 원장'!F999="","",'신청 원장'!F999)</x:f>
        <x:v>2022-01-20</x:v>
      </x:c>
      <x:c r="D113" s="2" t="str">
        <x:f>IF('신청 원장'!J999="","",'신청 원장'!J999)</x:f>
        <x:v>보완요청</x:v>
      </x:c>
      <x:c r="E113" s="2" t="str">
        <x:f>IF('신청 원장'!L999="","",'신청 원장'!L999)</x:f>
        <x:v>KECM_임하진</x:v>
      </x:c>
      <x:c r="F113" s="2" t="n">
        <x:f>IF('신청 원장'!M999="","",'신청 원장'!M999)</x:f>
        <x:v>3</x:v>
      </x:c>
      <x:c r="G113" s="2" t="n">
        <x:f>IF('신청 원장'!N999="","",'신청 원장'!N999)</x:f>
        <x:v>1729</x:v>
      </x:c>
      <x:c r="H113" s="2" t="str">
        <x:f>IF('신청 원장'!AA999="","",'신청 원장'!AA999)</x:f>
        <x:v>내부 관찰 대상</x:v>
      </x:c>
      <x:c r="I113" s="2" t="str">
        <x:f>IF('신청 원장'!O999="","",'신청 원장'!O999)</x:f>
        <x:v>O(22.05)</x:v>
      </x:c>
      <x:c r="J113" s="2" t="str">
        <x:f>IF('신청 원장'!W999="","",'신청 원장'!W999)</x:f>
      </x:c>
      <x:c r="K113" s="2" t="str">
        <x:f>IF('신청 원장'!X999="","",'신청 원장'!X999)</x:f>
        <x:v>보완 회신 일정 확인</x:v>
      </x:c>
      <x:c r="L113" s="2" t="str">
        <x:f>IF('신청 원장'!R999="","",'신청 원장'!R999)</x:f>
        <x:v>국내평가</x:v>
      </x:c>
      <x:c r="M113" s="2" t="n">
        <x:f>IF('신청 원장'!S999="","",'신청 원장'!S999)</x:f>
        <x:v>902</x:v>
      </x:c>
      <x:c r="N113" s="2" t="str">
        <x:f>IF('신청 원장'!K999&lt;&gt;"미종결 표시","종결 상태 확인",IF('신청 원장'!N999="","일자 확인 필요",IF('신청 원장'!N999&gt;365,"366일 이상",IF('신청 원장'!N999&gt;90,"91~365일",IF('신청 원장'!N999&gt;30,"31~90일","0~30일")))))</x:f>
        <x:v>366일 이상</x:v>
      </x:c>
      <x:c r="O113" s="2" t="str">
        <x:f>IF(OR('신청 원장'!L999="",'신청 원장'!L999="선택"),"담당 원문 확인","기재")</x:f>
        <x:v>기재</x:v>
      </x:c>
      <x:c r="P113" s="2" t="str">
        <x:f>IF('신청 원장'!A999="","",'신청 원장'!A999)</x:f>
        <x:v>dd6e719ae81408d8b0dc05eb</x:v>
      </x:c>
    </x:row>
    <x:row r="114" ht="42" customHeight="1">
      <x:c r="A114" s="2" t="str">
        <x:f>IF('신청 원장'!B1000="","",'신청 원장'!B1000)</x:f>
        <x:v>사업 평가</x:v>
      </x:c>
      <x:c r="B114" s="7" t="str">
        <x:f>IF('신청 원장'!D1000="","",'신청 원장'!D1000)</x:f>
        <x:v>켑코이에스 군산시 고효율 가로등(LED 가로등) 교체를 통한 온실가스 감축사업</x:v>
      </x:c>
      <x:c r="C114" s="2" t="str">
        <x:f>IF('신청 원장'!F1000="","",'신청 원장'!F1000)</x:f>
        <x:v>2022-08-03</x:v>
      </x:c>
      <x:c r="D114" s="2" t="str">
        <x:f>IF('신청 원장'!J1000="","",'신청 원장'!J1000)</x:f>
        <x:v>기후부협의</x:v>
      </x:c>
      <x:c r="E114" s="2" t="str">
        <x:f>IF('신청 원장'!L1000="","",'신청 원장'!L1000)</x:f>
        <x:v>에코시안_조영우</x:v>
      </x:c>
      <x:c r="F114" s="2" t="str">
        <x:f>IF('신청 원장'!M1000="","",'신청 원장'!M1000)</x:f>
      </x:c>
      <x:c r="G114" s="2" t="n">
        <x:f>IF('신청 원장'!N1000="","",'신청 원장'!N1000)</x:f>
        <x:v>1534</x:v>
      </x:c>
      <x:c r="H114" s="2" t="str">
        <x:f>IF('신청 원장'!AA1000="","",'신청 원장'!AA1000)</x:f>
        <x:v>내부 관찰 대상</x:v>
      </x:c>
      <x:c r="I114" s="2" t="str">
        <x:f>IF('신청 원장'!O1000="","",'신청 원장'!O1000)</x:f>
        <x:v>O(23.05)</x:v>
      </x:c>
      <x:c r="J114" s="2" t="str">
        <x:f>IF('신청 원장'!W1000="","",'신청 원장'!W1000)</x:f>
      </x:c>
      <x:c r="K114" s="2" t="str">
        <x:f>IF('신청 원장'!X1000="","",'신청 원장'!X1000)</x:f>
        <x:v>검토 진행 일정 확인</x:v>
      </x:c>
      <x:c r="L114" s="2" t="str">
        <x:f>IF('신청 원장'!R1000="","",'신청 원장'!R1000)</x:f>
        <x:v>국내평가</x:v>
      </x:c>
      <x:c r="M114" s="2" t="n">
        <x:f>IF('신청 원장'!S1000="","",'신청 원장'!S1000)</x:f>
        <x:v>903</x:v>
      </x:c>
      <x:c r="N114" s="2" t="str">
        <x:f>IF('신청 원장'!K1000&lt;&gt;"미종결 표시","종결 상태 확인",IF('신청 원장'!N1000="","일자 확인 필요",IF('신청 원장'!N1000&gt;365,"366일 이상",IF('신청 원장'!N1000&gt;90,"91~365일",IF('신청 원장'!N1000&gt;30,"31~90일","0~30일")))))</x:f>
        <x:v>366일 이상</x:v>
      </x:c>
      <x:c r="O114" s="2" t="str">
        <x:f>IF(OR('신청 원장'!L1000="",'신청 원장'!L1000="선택"),"담당 원문 확인","기재")</x:f>
        <x:v>기재</x:v>
      </x:c>
      <x:c r="P114" s="2" t="str">
        <x:f>IF('신청 원장'!A1000="","",'신청 원장'!A1000)</x:f>
        <x:v>7d6997b9e1acfa67577d259c</x:v>
      </x:c>
    </x:row>
    <x:row r="115" ht="42" customHeight="1">
      <x:c r="A115" s="2" t="str">
        <x:f>IF('신청 원장'!B1001="","",'신청 원장'!B1001)</x:f>
        <x:v>사업 평가</x:v>
      </x:c>
      <x:c r="B115" s="7" t="str">
        <x:f>IF('신청 원장'!D1001="","",'신청 원장'!D1001)</x:f>
        <x:v>카프로 N2O 저감 사업</x:v>
      </x:c>
      <x:c r="C115" s="2" t="str">
        <x:f>IF('신청 원장'!F1001="","",'신청 원장'!F1001)</x:f>
        <x:v>2017-04-20</x:v>
      </x:c>
      <x:c r="D115" s="2" t="str">
        <x:f>IF('신청 원장'!J1001="","",'신청 원장'!J1001)</x:f>
        <x:v>보류</x:v>
      </x:c>
      <x:c r="E115" s="2" t="str">
        <x:f>IF('신청 원장'!L1001="","",'신청 원장'!L1001)</x:f>
        <x:v>(자문)윤성한&gt;정다윤</x:v>
      </x:c>
      <x:c r="F115" s="2" t="str">
        <x:f>IF('신청 원장'!M1001="","",'신청 원장'!M1001)</x:f>
      </x:c>
      <x:c r="G115" s="2" t="n">
        <x:f>IF('신청 원장'!N1001="","",'신청 원장'!N1001)</x:f>
        <x:v>3465</x:v>
      </x:c>
      <x:c r="H115" s="2" t="str">
        <x:f>IF('신청 원장'!AA1001="","",'신청 원장'!AA1001)</x:f>
        <x:v>내부 관찰 대상</x:v>
      </x:c>
      <x:c r="I115" s="2" t="str">
        <x:f>IF('신청 원장'!O1001="","",'신청 원장'!O1001)</x:f>
        <x:v>생략, 반려예정</x:v>
      </x:c>
      <x:c r="J115" s="2" t="str">
        <x:f>IF('신청 원장'!W1001="","",'신청 원장'!W1001)</x:f>
      </x:c>
      <x:c r="K115" s="2" t="str">
        <x:f>IF('신청 원장'!X1001="","",'신청 원장'!X1001)</x:f>
        <x:v>검토 진행 일정 확인</x:v>
      </x:c>
      <x:c r="L115" s="2" t="str">
        <x:f>IF('신청 원장'!R1001="","",'신청 원장'!R1001)</x:f>
        <x:v>국내평가</x:v>
      </x:c>
      <x:c r="M115" s="2" t="n">
        <x:f>IF('신청 원장'!S1001="","",'신청 원장'!S1001)</x:f>
        <x:v>904</x:v>
      </x:c>
      <x:c r="N115" s="2" t="str">
        <x:f>IF('신청 원장'!K1001&lt;&gt;"미종결 표시","종결 상태 확인",IF('신청 원장'!N1001="","일자 확인 필요",IF('신청 원장'!N1001&gt;365,"366일 이상",IF('신청 원장'!N1001&gt;90,"91~365일",IF('신청 원장'!N1001&gt;30,"31~90일","0~30일")))))</x:f>
        <x:v>366일 이상</x:v>
      </x:c>
      <x:c r="O115" s="2" t="str">
        <x:f>IF(OR('신청 원장'!L1001="",'신청 원장'!L1001="선택"),"담당 원문 확인","기재")</x:f>
        <x:v>기재</x:v>
      </x:c>
      <x:c r="P115" s="2" t="str">
        <x:f>IF('신청 원장'!A1001="","",'신청 원장'!A1001)</x:f>
        <x:v>c8e2844ecfe9c47629103f3f</x:v>
      </x:c>
    </x:row>
    <x:row r="116" ht="42" customHeight="1">
      <x:c r="A116" s="2" t="str">
        <x:f>IF('신청 원장'!B1005="","",'신청 원장'!B1005)</x:f>
        <x:v>사업 평가</x:v>
      </x:c>
      <x:c r="B116" s="7" t="str">
        <x:f>IF('신청 원장'!D1005="","",'신청 원장'!D1005)</x:f>
        <x:v>울산광역시 자원회수시설 소각폐열의 ㈜바커케미칼코리아 공정스팀 활용사업</x:v>
      </x:c>
      <x:c r="C116" s="2" t="str">
        <x:f>IF('신청 원장'!F1005="","",'신청 원장'!F1005)</x:f>
        <x:v>2018-12-27</x:v>
      </x:c>
      <x:c r="D116" s="2" t="str">
        <x:f>IF('신청 원장'!J1005="","",'신청 원장'!J1005)</x:f>
        <x:v>보완요청</x:v>
      </x:c>
      <x:c r="E116" s="2" t="str">
        <x:f>IF('신청 원장'!L1005="","",'신청 원장'!L1005)</x:f>
        <x:v>KECM_이태준</x:v>
      </x:c>
      <x:c r="F116" s="2" t="n">
        <x:f>IF('신청 원장'!M1005="","",'신청 원장'!M1005)</x:f>
        <x:v>2</x:v>
      </x:c>
      <x:c r="G116" s="2" t="n">
        <x:f>IF('신청 원장'!N1005="","",'신청 원장'!N1005)</x:f>
        <x:v>2849</x:v>
      </x:c>
      <x:c r="H116" s="2" t="str">
        <x:f>IF('신청 원장'!AA1005="","",'신청 원장'!AA1005)</x:f>
        <x:v>내부 관찰 대상</x:v>
      </x:c>
      <x:c r="I116" s="2" t="str">
        <x:f>IF('신청 원장'!O1005="","",'신청 원장'!O1005)</x:f>
        <x:v>생략</x:v>
      </x:c>
      <x:c r="J116" s="2" t="str">
        <x:f>IF('신청 원장'!W1005="","",'신청 원장'!W1005)</x:f>
      </x:c>
      <x:c r="K116" s="2" t="str">
        <x:f>IF('신청 원장'!X1005="","",'신청 원장'!X1005)</x:f>
        <x:v>보완 회신 일정 확인</x:v>
      </x:c>
      <x:c r="L116" s="2" t="str">
        <x:f>IF('신청 원장'!R1005="","",'신청 원장'!R1005)</x:f>
        <x:v>국내평가</x:v>
      </x:c>
      <x:c r="M116" s="2" t="n">
        <x:f>IF('신청 원장'!S1005="","",'신청 원장'!S1005)</x:f>
        <x:v>908</x:v>
      </x:c>
      <x:c r="N116" s="2" t="str">
        <x:f>IF('신청 원장'!K1005&lt;&gt;"미종결 표시","종결 상태 확인",IF('신청 원장'!N1005="","일자 확인 필요",IF('신청 원장'!N1005&gt;365,"366일 이상",IF('신청 원장'!N1005&gt;90,"91~365일",IF('신청 원장'!N1005&gt;30,"31~90일","0~30일")))))</x:f>
        <x:v>366일 이상</x:v>
      </x:c>
      <x:c r="O116" s="2" t="str">
        <x:f>IF(OR('신청 원장'!L1005="",'신청 원장'!L1005="선택"),"담당 원문 확인","기재")</x:f>
        <x:v>기재</x:v>
      </x:c>
      <x:c r="P116" s="2" t="str">
        <x:f>IF('신청 원장'!A1005="","",'신청 원장'!A1005)</x:f>
        <x:v>17510a2e063c65cdb0bc0b08</x:v>
      </x:c>
    </x:row>
    <x:row r="117" ht="42" customHeight="1">
      <x:c r="A117" s="2" t="str">
        <x:f>IF('신청 원장'!B1009="","",'신청 원장'!B1009)</x:f>
        <x:v>사업 평가</x:v>
      </x:c>
      <x:c r="B117" s="7" t="str">
        <x:f>IF('신청 원장'!D1009="","",'신청 원장'!D1009)</x:f>
        <x:v>㈜범우 소각폐열 회수 및 학남단지 스팀 공급을 통한 화석연료 사용 절감 및 온실가스 감축사업</x:v>
      </x:c>
      <x:c r="C117" s="2" t="str">
        <x:f>IF('신청 원장'!F1009="","",'신청 원장'!F1009)</x:f>
        <x:v>2020-12-30</x:v>
      </x:c>
      <x:c r="D117" s="2" t="str">
        <x:f>IF('신청 원장'!J1009="","",'신청 원장'!J1009)</x:f>
        <x:v>보완요청</x:v>
      </x:c>
      <x:c r="E117" s="2" t="str">
        <x:f>IF('신청 원장'!L1009="","",'신청 원장'!L1009)</x:f>
        <x:v>KECM_임하진</x:v>
      </x:c>
      <x:c r="F117" s="2" t="n">
        <x:f>IF('신청 원장'!M1009="","",'신청 원장'!M1009)</x:f>
        <x:v>1</x:v>
      </x:c>
      <x:c r="G117" s="2" t="n">
        <x:f>IF('신청 원장'!N1009="","",'신청 원장'!N1009)</x:f>
        <x:v>2115</x:v>
      </x:c>
      <x:c r="H117" s="2" t="str">
        <x:f>IF('신청 원장'!AA1009="","",'신청 원장'!AA1009)</x:f>
        <x:v>내부 관찰 대상</x:v>
      </x:c>
      <x:c r="I117" s="2" t="str">
        <x:f>IF('신청 원장'!O1009="","",'신청 원장'!O1009)</x:f>
        <x:v>생략</x:v>
      </x:c>
      <x:c r="J117" s="2" t="str">
        <x:f>IF('신청 원장'!W1009="","",'신청 원장'!W1009)</x:f>
      </x:c>
      <x:c r="K117" s="2" t="str">
        <x:f>IF('신청 원장'!X1009="","",'신청 원장'!X1009)</x:f>
        <x:v>보완 회신 일정 확인</x:v>
      </x:c>
      <x:c r="L117" s="2" t="str">
        <x:f>IF('신청 원장'!R1009="","",'신청 원장'!R1009)</x:f>
        <x:v>국내평가</x:v>
      </x:c>
      <x:c r="M117" s="2" t="n">
        <x:f>IF('신청 원장'!S1009="","",'신청 원장'!S1009)</x:f>
        <x:v>912</x:v>
      </x:c>
      <x:c r="N117" s="2" t="str">
        <x:f>IF('신청 원장'!K1009&lt;&gt;"미종결 표시","종결 상태 확인",IF('신청 원장'!N1009="","일자 확인 필요",IF('신청 원장'!N1009&gt;365,"366일 이상",IF('신청 원장'!N1009&gt;90,"91~365일",IF('신청 원장'!N1009&gt;30,"31~90일","0~30일")))))</x:f>
        <x:v>366일 이상</x:v>
      </x:c>
      <x:c r="O117" s="2" t="str">
        <x:f>IF(OR('신청 원장'!L1009="",'신청 원장'!L1009="선택"),"담당 원문 확인","기재")</x:f>
        <x:v>기재</x:v>
      </x:c>
      <x:c r="P117" s="2" t="str">
        <x:f>IF('신청 원장'!A1009="","",'신청 원장'!A1009)</x:f>
        <x:v>a476e899e47cde704f7f1ce0</x:v>
      </x:c>
    </x:row>
    <x:row r="118" ht="42" customHeight="1">
      <x:c r="A118" s="2" t="str">
        <x:f>IF('신청 원장'!B1024="","",'신청 원장'!B1024)</x:f>
        <x:v>사업 평가</x:v>
      </x:c>
      <x:c r="B118" s="7" t="str">
        <x:f>IF('신청 원장'!D1024="","",'신청 원장'!D1024)</x:f>
        <x:v>공동주택 태양광 발전사업 2011-LH-001-01457</x:v>
      </x:c>
      <x:c r="C118" s="2" t="str">
        <x:f>IF('신청 원장'!F1024="","",'신청 원장'!F1024)</x:f>
        <x:v>2024-06-24</x:v>
      </x:c>
      <x:c r="D118" s="2" t="str">
        <x:f>IF('신청 원장'!J1024="","",'신청 원장'!J1024)</x:f>
        <x:v>평가중</x:v>
      </x:c>
      <x:c r="E118" s="2" t="str">
        <x:f>IF('신청 원장'!L1024="","",'신청 원장'!L1024)</x:f>
        <x:v>에코시안_정인혜&gt;박세은</x:v>
      </x:c>
      <x:c r="F118" s="2" t="str">
        <x:f>IF('신청 원장'!M1024="","",'신청 원장'!M1024)</x:f>
      </x:c>
      <x:c r="G118" s="2" t="n">
        <x:f>IF('신청 원장'!N1024="","",'신청 원장'!N1024)</x:f>
        <x:v>843</x:v>
      </x:c>
      <x:c r="H118" s="2" t="str">
        <x:f>IF('신청 원장'!AA1024="","",'신청 원장'!AA1024)</x:f>
        <x:v>내부 관찰 대상</x:v>
      </x:c>
      <x:c r="I118" s="2" t="str">
        <x:f>IF('신청 원장'!O1024="","",'신청 원장'!O1024)</x:f>
        <x:v>생략</x:v>
      </x:c>
      <x:c r="J118" s="2" t="str">
        <x:f>IF('신청 원장'!W1024="","",'신청 원장'!W1024)</x:f>
      </x:c>
      <x:c r="K118" s="2" t="str">
        <x:f>IF('신청 원장'!X1024="","",'신청 원장'!X1024)</x:f>
        <x:v>검토 진행 일정 확인</x:v>
      </x:c>
      <x:c r="L118" s="2" t="str">
        <x:f>IF('신청 원장'!R1024="","",'신청 원장'!R1024)</x:f>
        <x:v>국내평가</x:v>
      </x:c>
      <x:c r="M118" s="2" t="n">
        <x:f>IF('신청 원장'!S1024="","",'신청 원장'!S1024)</x:f>
        <x:v>927</x:v>
      </x:c>
      <x:c r="N118" s="2" t="str">
        <x:f>IF('신청 원장'!K1024&lt;&gt;"미종결 표시","종결 상태 확인",IF('신청 원장'!N1024="","일자 확인 필요",IF('신청 원장'!N1024&gt;365,"366일 이상",IF('신청 원장'!N1024&gt;90,"91~365일",IF('신청 원장'!N1024&gt;30,"31~90일","0~30일")))))</x:f>
        <x:v>366일 이상</x:v>
      </x:c>
      <x:c r="O118" s="2" t="str">
        <x:f>IF(OR('신청 원장'!L1024="",'신청 원장'!L1024="선택"),"담당 원문 확인","기재")</x:f>
        <x:v>기재</x:v>
      </x:c>
      <x:c r="P118" s="2" t="str">
        <x:f>IF('신청 원장'!A1024="","",'신청 원장'!A1024)</x:f>
        <x:v>5e1ce64965fe3a58da1fefca</x:v>
      </x:c>
    </x:row>
    <x:row r="119" ht="42" customHeight="1">
      <x:c r="A119" s="2" t="str">
        <x:f>IF('신청 원장'!B1058="","",'신청 원장'!B1058)</x:f>
        <x:v>사업 평가</x:v>
      </x:c>
      <x:c r="B119" s="7" t="str">
        <x:f>IF('신청 원장'!D1058="","",'신청 원장'!D1058)</x:f>
        <x:v>한국동서발전(주) 태양광발전 설치 및 자가 사용 프로그램 감축사업</x:v>
      </x:c>
      <x:c r="C119" s="2" t="str">
        <x:f>IF('신청 원장'!F1058="","",'신청 원장'!F1058)</x:f>
        <x:v>2022-10-06</x:v>
      </x:c>
      <x:c r="D119" s="2" t="str">
        <x:f>IF('신청 원장'!J1058="","",'신청 원장'!J1058)</x:f>
        <x:v>기후부협의</x:v>
      </x:c>
      <x:c r="E119" s="2" t="str">
        <x:f>IF('신청 원장'!L1058="","",'신청 원장'!L1058)</x:f>
        <x:v>에코시안_정다윤</x:v>
      </x:c>
      <x:c r="F119" s="2" t="str">
        <x:f>IF('신청 원장'!M1058="","",'신청 원장'!M1058)</x:f>
      </x:c>
      <x:c r="G119" s="2" t="n">
        <x:f>IF('신청 원장'!N1058="","",'신청 원장'!N1058)</x:f>
        <x:v>1470</x:v>
      </x:c>
      <x:c r="H119" s="2" t="str">
        <x:f>IF('신청 원장'!AA1058="","",'신청 원장'!AA1058)</x:f>
        <x:v>내부 관찰 대상</x:v>
      </x:c>
      <x:c r="I119" s="2" t="str">
        <x:f>IF('신청 원장'!O1058="","",'신청 원장'!O1058)</x:f>
        <x:v>O(23.06)</x:v>
      </x:c>
      <x:c r="J119" s="2" t="str">
        <x:f>IF('신청 원장'!W1058="","",'신청 원장'!W1058)</x:f>
      </x:c>
      <x:c r="K119" s="2" t="str">
        <x:f>IF('신청 원장'!X1058="","",'신청 원장'!X1058)</x:f>
        <x:v>검토 진행 일정 확인</x:v>
      </x:c>
      <x:c r="L119" s="2" t="str">
        <x:f>IF('신청 원장'!R1058="","",'신청 원장'!R1058)</x:f>
        <x:v>국내평가</x:v>
      </x:c>
      <x:c r="M119" s="2" t="n">
        <x:f>IF('신청 원장'!S1058="","",'신청 원장'!S1058)</x:f>
        <x:v>961</x:v>
      </x:c>
      <x:c r="N119" s="2" t="str">
        <x:f>IF('신청 원장'!K1058&lt;&gt;"미종결 표시","종결 상태 확인",IF('신청 원장'!N1058="","일자 확인 필요",IF('신청 원장'!N1058&gt;365,"366일 이상",IF('신청 원장'!N1058&gt;90,"91~365일",IF('신청 원장'!N1058&gt;30,"31~90일","0~30일")))))</x:f>
        <x:v>366일 이상</x:v>
      </x:c>
      <x:c r="O119" s="2" t="str">
        <x:f>IF(OR('신청 원장'!L1058="",'신청 원장'!L1058="선택"),"담당 원문 확인","기재")</x:f>
        <x:v>기재</x:v>
      </x:c>
      <x:c r="P119" s="2" t="str">
        <x:f>IF('신청 원장'!A1058="","",'신청 원장'!A1058)</x:f>
        <x:v>9147767bdc34f65df40369c2</x:v>
      </x:c>
    </x:row>
    <x:row r="120" ht="42" customHeight="1">
      <x:c r="A120" s="2" t="str">
        <x:f>IF('신청 원장'!B1059="","",'신청 원장'!B1059)</x:f>
        <x:v>사업 평가</x:v>
      </x:c>
      <x:c r="B120" s="7" t="str">
        <x:f>IF('신청 원장'!D1059="","",'신청 원장'!D1059)</x:f>
        <x:v>한국동서발전(주) 태양광발전 설치 및 자가 사용 프로그램 감축사업</x:v>
      </x:c>
      <x:c r="C120" s="2" t="str">
        <x:f>IF('신청 원장'!F1059="","",'신청 원장'!F1059)</x:f>
        <x:v>2022-10-07</x:v>
      </x:c>
      <x:c r="D120" s="2" t="str">
        <x:f>IF('신청 원장'!J1059="","",'신청 원장'!J1059)</x:f>
        <x:v>보류</x:v>
      </x:c>
      <x:c r="E120" s="2" t="str">
        <x:f>IF('신청 원장'!L1059="","",'신청 원장'!L1059)</x:f>
      </x:c>
      <x:c r="F120" s="2" t="str">
        <x:f>IF('신청 원장'!M1059="","",'신청 원장'!M1059)</x:f>
      </x:c>
      <x:c r="G120" s="2" t="n">
        <x:f>IF('신청 원장'!N1059="","",'신청 원장'!N1059)</x:f>
        <x:v>1469</x:v>
      </x:c>
      <x:c r="H120" s="2" t="str">
        <x:f>IF('신청 원장'!AA1059="","",'신청 원장'!AA1059)</x:f>
        <x:v>내부 관찰 대상</x:v>
      </x:c>
      <x:c r="I120" s="2" t="str">
        <x:f>IF('신청 원장'!O1059="","",'신청 원장'!O1059)</x:f>
        <x:v>보류</x:v>
      </x:c>
      <x:c r="J120" s="2" t="str">
        <x:f>IF('신청 원장'!W1059="","",'신청 원장'!W1059)</x:f>
        <x:v>담당기관 확인</x:v>
      </x:c>
      <x:c r="K120" s="2" t="str">
        <x:f>IF('신청 원장'!X1059="","",'신청 원장'!X1059)</x:f>
        <x:v>원본·배정 기록 확인</x:v>
      </x:c>
      <x:c r="L120" s="2" t="str">
        <x:f>IF('신청 원장'!R1059="","",'신청 원장'!R1059)</x:f>
        <x:v>국내평가</x:v>
      </x:c>
      <x:c r="M120" s="2" t="n">
        <x:f>IF('신청 원장'!S1059="","",'신청 원장'!S1059)</x:f>
        <x:v>962</x:v>
      </x:c>
      <x:c r="N120" s="2" t="str">
        <x:f>IF('신청 원장'!K1059&lt;&gt;"미종결 표시","종결 상태 확인",IF('신청 원장'!N1059="","일자 확인 필요",IF('신청 원장'!N1059&gt;365,"366일 이상",IF('신청 원장'!N1059&gt;90,"91~365일",IF('신청 원장'!N1059&gt;30,"31~90일","0~30일")))))</x:f>
        <x:v>366일 이상</x:v>
      </x:c>
      <x:c r="O120" s="2" t="str">
        <x:f>IF(OR('신청 원장'!L1059="",'신청 원장'!L1059="선택"),"담당 원문 확인","기재")</x:f>
        <x:v>담당 원문 확인</x:v>
      </x:c>
      <x:c r="P120" s="2" t="str">
        <x:f>IF('신청 원장'!A1059="","",'신청 원장'!A1059)</x:f>
        <x:v>765bd524db1e14a287718b32</x:v>
      </x:c>
    </x:row>
    <x:row r="121" ht="42" customHeight="1">
      <x:c r="A121" s="2" t="str">
        <x:f>IF('신청 원장'!B1061="","",'신청 원장'!B1061)</x:f>
        <x:v>사업 평가</x:v>
      </x:c>
      <x:c r="B121" s="7" t="str">
        <x:f>IF('신청 원장'!D1061="","",'신청 원장'!D1061)</x:f>
        <x:v>한국동서발전(주) 태양광발전 설치 및 자가 사용 프로그램 감축사업</x:v>
      </x:c>
      <x:c r="C121" s="2" t="str">
        <x:f>IF('신청 원장'!F1061="","",'신청 원장'!F1061)</x:f>
        <x:v>2022-10-11</x:v>
      </x:c>
      <x:c r="D121" s="2" t="str">
        <x:f>IF('신청 원장'!J1061="","",'신청 원장'!J1061)</x:f>
        <x:v>보류</x:v>
      </x:c>
      <x:c r="E121" s="2" t="str">
        <x:f>IF('신청 원장'!L1061="","",'신청 원장'!L1061)</x:f>
      </x:c>
      <x:c r="F121" s="2" t="str">
        <x:f>IF('신청 원장'!M1061="","",'신청 원장'!M1061)</x:f>
      </x:c>
      <x:c r="G121" s="2" t="n">
        <x:f>IF('신청 원장'!N1061="","",'신청 원장'!N1061)</x:f>
        <x:v>1465</x:v>
      </x:c>
      <x:c r="H121" s="2" t="str">
        <x:f>IF('신청 원장'!AA1061="","",'신청 원장'!AA1061)</x:f>
        <x:v>내부 관찰 대상</x:v>
      </x:c>
      <x:c r="I121" s="2" t="str">
        <x:f>IF('신청 원장'!O1061="","",'신청 원장'!O1061)</x:f>
        <x:v>보류</x:v>
      </x:c>
      <x:c r="J121" s="2" t="str">
        <x:f>IF('신청 원장'!W1061="","",'신청 원장'!W1061)</x:f>
        <x:v>담당기관 확인</x:v>
      </x:c>
      <x:c r="K121" s="2" t="str">
        <x:f>IF('신청 원장'!X1061="","",'신청 원장'!X1061)</x:f>
        <x:v>원본·배정 기록 확인</x:v>
      </x:c>
      <x:c r="L121" s="2" t="str">
        <x:f>IF('신청 원장'!R1061="","",'신청 원장'!R1061)</x:f>
        <x:v>국내평가</x:v>
      </x:c>
      <x:c r="M121" s="2" t="n">
        <x:f>IF('신청 원장'!S1061="","",'신청 원장'!S1061)</x:f>
        <x:v>964</x:v>
      </x:c>
      <x:c r="N121" s="2" t="str">
        <x:f>IF('신청 원장'!K1061&lt;&gt;"미종결 표시","종결 상태 확인",IF('신청 원장'!N1061="","일자 확인 필요",IF('신청 원장'!N1061&gt;365,"366일 이상",IF('신청 원장'!N1061&gt;90,"91~365일",IF('신청 원장'!N1061&gt;30,"31~90일","0~30일")))))</x:f>
        <x:v>366일 이상</x:v>
      </x:c>
      <x:c r="O121" s="2" t="str">
        <x:f>IF(OR('신청 원장'!L1061="",'신청 원장'!L1061="선택"),"담당 원문 확인","기재")</x:f>
        <x:v>담당 원문 확인</x:v>
      </x:c>
      <x:c r="P121" s="2" t="str">
        <x:f>IF('신청 원장'!A1061="","",'신청 원장'!A1061)</x:f>
        <x:v>1ca783c4bd38abe713986533</x:v>
      </x:c>
    </x:row>
    <x:row r="122" ht="42" customHeight="1">
      <x:c r="A122" s="2" t="str">
        <x:f>IF('신청 원장'!B1062="","",'신청 원장'!B1062)</x:f>
        <x:v>사업 평가</x:v>
      </x:c>
      <x:c r="B122" s="7" t="str">
        <x:f>IF('신청 원장'!D1062="","",'신청 원장'!D1062)</x:f>
        <x:v>한국동서발전(주) 태양광발전 설치 및 자가 사용 프로그램 감축사업</x:v>
      </x:c>
      <x:c r="C122" s="2" t="str">
        <x:f>IF('신청 원장'!F1062="","",'신청 원장'!F1062)</x:f>
        <x:v>2022-10-11</x:v>
      </x:c>
      <x:c r="D122" s="2" t="str">
        <x:f>IF('신청 원장'!J1062="","",'신청 원장'!J1062)</x:f>
        <x:v>보류</x:v>
      </x:c>
      <x:c r="E122" s="2" t="str">
        <x:f>IF('신청 원장'!L1062="","",'신청 원장'!L1062)</x:f>
      </x:c>
      <x:c r="F122" s="2" t="str">
        <x:f>IF('신청 원장'!M1062="","",'신청 원장'!M1062)</x:f>
      </x:c>
      <x:c r="G122" s="2" t="n">
        <x:f>IF('신청 원장'!N1062="","",'신청 원장'!N1062)</x:f>
        <x:v>1465</x:v>
      </x:c>
      <x:c r="H122" s="2" t="str">
        <x:f>IF('신청 원장'!AA1062="","",'신청 원장'!AA1062)</x:f>
        <x:v>내부 관찰 대상</x:v>
      </x:c>
      <x:c r="I122" s="2" t="str">
        <x:f>IF('신청 원장'!O1062="","",'신청 원장'!O1062)</x:f>
        <x:v>보류</x:v>
      </x:c>
      <x:c r="J122" s="2" t="str">
        <x:f>IF('신청 원장'!W1062="","",'신청 원장'!W1062)</x:f>
        <x:v>담당기관 확인</x:v>
      </x:c>
      <x:c r="K122" s="2" t="str">
        <x:f>IF('신청 원장'!X1062="","",'신청 원장'!X1062)</x:f>
        <x:v>원본·배정 기록 확인</x:v>
      </x:c>
      <x:c r="L122" s="2" t="str">
        <x:f>IF('신청 원장'!R1062="","",'신청 원장'!R1062)</x:f>
        <x:v>국내평가</x:v>
      </x:c>
      <x:c r="M122" s="2" t="n">
        <x:f>IF('신청 원장'!S1062="","",'신청 원장'!S1062)</x:f>
        <x:v>965</x:v>
      </x:c>
      <x:c r="N122" s="2" t="str">
        <x:f>IF('신청 원장'!K1062&lt;&gt;"미종결 표시","종결 상태 확인",IF('신청 원장'!N1062="","일자 확인 필요",IF('신청 원장'!N1062&gt;365,"366일 이상",IF('신청 원장'!N1062&gt;90,"91~365일",IF('신청 원장'!N1062&gt;30,"31~90일","0~30일")))))</x:f>
        <x:v>366일 이상</x:v>
      </x:c>
      <x:c r="O122" s="2" t="str">
        <x:f>IF(OR('신청 원장'!L1062="",'신청 원장'!L1062="선택"),"담당 원문 확인","기재")</x:f>
        <x:v>담당 원문 확인</x:v>
      </x:c>
      <x:c r="P122" s="2" t="str">
        <x:f>IF('신청 원장'!A1062="","",'신청 원장'!A1062)</x:f>
        <x:v>9b7b808ce88d03a792ad6371</x:v>
      </x:c>
    </x:row>
    <x:row r="123" ht="42" customHeight="1">
      <x:c r="A123" s="2" t="str">
        <x:f>IF('신청 원장'!B1063="","",'신청 원장'!B1063)</x:f>
        <x:v>사업 평가</x:v>
      </x:c>
      <x:c r="B123" s="7" t="str">
        <x:f>IF('신청 원장'!D1063="","",'신청 원장'!D1063)</x:f>
        <x:v>한국동서발전(주) 태양광발전 설치 및 자가 사용 프로그램 감축사업</x:v>
      </x:c>
      <x:c r="C123" s="2" t="str">
        <x:f>IF('신청 원장'!F1063="","",'신청 원장'!F1063)</x:f>
        <x:v>2022-10-11</x:v>
      </x:c>
      <x:c r="D123" s="2" t="str">
        <x:f>IF('신청 원장'!J1063="","",'신청 원장'!J1063)</x:f>
        <x:v>보류</x:v>
      </x:c>
      <x:c r="E123" s="2" t="str">
        <x:f>IF('신청 원장'!L1063="","",'신청 원장'!L1063)</x:f>
      </x:c>
      <x:c r="F123" s="2" t="str">
        <x:f>IF('신청 원장'!M1063="","",'신청 원장'!M1063)</x:f>
      </x:c>
      <x:c r="G123" s="2" t="n">
        <x:f>IF('신청 원장'!N1063="","",'신청 원장'!N1063)</x:f>
        <x:v>1465</x:v>
      </x:c>
      <x:c r="H123" s="2" t="str">
        <x:f>IF('신청 원장'!AA1063="","",'신청 원장'!AA1063)</x:f>
        <x:v>내부 관찰 대상</x:v>
      </x:c>
      <x:c r="I123" s="2" t="str">
        <x:f>IF('신청 원장'!O1063="","",'신청 원장'!O1063)</x:f>
        <x:v>보류</x:v>
      </x:c>
      <x:c r="J123" s="2" t="str">
        <x:f>IF('신청 원장'!W1063="","",'신청 원장'!W1063)</x:f>
        <x:v>담당기관 확인</x:v>
      </x:c>
      <x:c r="K123" s="2" t="str">
        <x:f>IF('신청 원장'!X1063="","",'신청 원장'!X1063)</x:f>
        <x:v>원본·배정 기록 확인</x:v>
      </x:c>
      <x:c r="L123" s="2" t="str">
        <x:f>IF('신청 원장'!R1063="","",'신청 원장'!R1063)</x:f>
        <x:v>국내평가</x:v>
      </x:c>
      <x:c r="M123" s="2" t="n">
        <x:f>IF('신청 원장'!S1063="","",'신청 원장'!S1063)</x:f>
        <x:v>966</x:v>
      </x:c>
      <x:c r="N123" s="2" t="str">
        <x:f>IF('신청 원장'!K1063&lt;&gt;"미종결 표시","종결 상태 확인",IF('신청 원장'!N1063="","일자 확인 필요",IF('신청 원장'!N1063&gt;365,"366일 이상",IF('신청 원장'!N1063&gt;90,"91~365일",IF('신청 원장'!N1063&gt;30,"31~90일","0~30일")))))</x:f>
        <x:v>366일 이상</x:v>
      </x:c>
      <x:c r="O123" s="2" t="str">
        <x:f>IF(OR('신청 원장'!L1063="",'신청 원장'!L1063="선택"),"담당 원문 확인","기재")</x:f>
        <x:v>담당 원문 확인</x:v>
      </x:c>
      <x:c r="P123" s="2" t="str">
        <x:f>IF('신청 원장'!A1063="","",'신청 원장'!A1063)</x:f>
        <x:v>efe657fade90a24a741e51da</x:v>
      </x:c>
    </x:row>
    <x:row r="124" ht="42" customHeight="1">
      <x:c r="A124" s="2" t="str">
        <x:f>IF('신청 원장'!B1064="","",'신청 원장'!B1064)</x:f>
        <x:v>사업 평가</x:v>
      </x:c>
      <x:c r="B124" s="7" t="str">
        <x:f>IF('신청 원장'!D1064="","",'신청 원장'!D1064)</x:f>
        <x:v>한국동서발전(주) 태양광발전 설치 및 자가 사용 프로그램 감축사업</x:v>
      </x:c>
      <x:c r="C124" s="2" t="str">
        <x:f>IF('신청 원장'!F1064="","",'신청 원장'!F1064)</x:f>
        <x:v>2022-10-11</x:v>
      </x:c>
      <x:c r="D124" s="2" t="str">
        <x:f>IF('신청 원장'!J1064="","",'신청 원장'!J1064)</x:f>
        <x:v>보류</x:v>
      </x:c>
      <x:c r="E124" s="2" t="str">
        <x:f>IF('신청 원장'!L1064="","",'신청 원장'!L1064)</x:f>
      </x:c>
      <x:c r="F124" s="2" t="str">
        <x:f>IF('신청 원장'!M1064="","",'신청 원장'!M1064)</x:f>
      </x:c>
      <x:c r="G124" s="2" t="n">
        <x:f>IF('신청 원장'!N1064="","",'신청 원장'!N1064)</x:f>
        <x:v>1465</x:v>
      </x:c>
      <x:c r="H124" s="2" t="str">
        <x:f>IF('신청 원장'!AA1064="","",'신청 원장'!AA1064)</x:f>
        <x:v>내부 관찰 대상</x:v>
      </x:c>
      <x:c r="I124" s="2" t="str">
        <x:f>IF('신청 원장'!O1064="","",'신청 원장'!O1064)</x:f>
        <x:v>보류</x:v>
      </x:c>
      <x:c r="J124" s="2" t="str">
        <x:f>IF('신청 원장'!W1064="","",'신청 원장'!W1064)</x:f>
        <x:v>담당기관 확인</x:v>
      </x:c>
      <x:c r="K124" s="2" t="str">
        <x:f>IF('신청 원장'!X1064="","",'신청 원장'!X1064)</x:f>
        <x:v>원본·배정 기록 확인</x:v>
      </x:c>
      <x:c r="L124" s="2" t="str">
        <x:f>IF('신청 원장'!R1064="","",'신청 원장'!R1064)</x:f>
        <x:v>국내평가</x:v>
      </x:c>
      <x:c r="M124" s="2" t="n">
        <x:f>IF('신청 원장'!S1064="","",'신청 원장'!S1064)</x:f>
        <x:v>967</x:v>
      </x:c>
      <x:c r="N124" s="2" t="str">
        <x:f>IF('신청 원장'!K1064&lt;&gt;"미종결 표시","종결 상태 확인",IF('신청 원장'!N1064="","일자 확인 필요",IF('신청 원장'!N1064&gt;365,"366일 이상",IF('신청 원장'!N1064&gt;90,"91~365일",IF('신청 원장'!N1064&gt;30,"31~90일","0~30일")))))</x:f>
        <x:v>366일 이상</x:v>
      </x:c>
      <x:c r="O124" s="2" t="str">
        <x:f>IF(OR('신청 원장'!L1064="",'신청 원장'!L1064="선택"),"담당 원문 확인","기재")</x:f>
        <x:v>담당 원문 확인</x:v>
      </x:c>
      <x:c r="P124" s="2" t="str">
        <x:f>IF('신청 원장'!A1064="","",'신청 원장'!A1064)</x:f>
        <x:v>6818d05e5be3c3a6cb35352c</x:v>
      </x:c>
    </x:row>
    <x:row r="125" ht="42" customHeight="1">
      <x:c r="A125" s="2" t="str">
        <x:f>IF('신청 원장'!B1065="","",'신청 원장'!B1065)</x:f>
        <x:v>사업 평가</x:v>
      </x:c>
      <x:c r="B125" s="7" t="str">
        <x:f>IF('신청 원장'!D1065="","",'신청 원장'!D1065)</x:f>
        <x:v>한국동서발전(주) 태양광발전 설치 및 자가 사용 프로그램 감축사업</x:v>
      </x:c>
      <x:c r="C125" s="2" t="str">
        <x:f>IF('신청 원장'!F1065="","",'신청 원장'!F1065)</x:f>
        <x:v>2022-10-11</x:v>
      </x:c>
      <x:c r="D125" s="2" t="str">
        <x:f>IF('신청 원장'!J1065="","",'신청 원장'!J1065)</x:f>
        <x:v>보류</x:v>
      </x:c>
      <x:c r="E125" s="2" t="str">
        <x:f>IF('신청 원장'!L1065="","",'신청 원장'!L1065)</x:f>
      </x:c>
      <x:c r="F125" s="2" t="str">
        <x:f>IF('신청 원장'!M1065="","",'신청 원장'!M1065)</x:f>
      </x:c>
      <x:c r="G125" s="2" t="n">
        <x:f>IF('신청 원장'!N1065="","",'신청 원장'!N1065)</x:f>
        <x:v>1465</x:v>
      </x:c>
      <x:c r="H125" s="2" t="str">
        <x:f>IF('신청 원장'!AA1065="","",'신청 원장'!AA1065)</x:f>
        <x:v>내부 관찰 대상</x:v>
      </x:c>
      <x:c r="I125" s="2" t="str">
        <x:f>IF('신청 원장'!O1065="","",'신청 원장'!O1065)</x:f>
        <x:v>보류</x:v>
      </x:c>
      <x:c r="J125" s="2" t="str">
        <x:f>IF('신청 원장'!W1065="","",'신청 원장'!W1065)</x:f>
        <x:v>담당기관 확인</x:v>
      </x:c>
      <x:c r="K125" s="2" t="str">
        <x:f>IF('신청 원장'!X1065="","",'신청 원장'!X1065)</x:f>
        <x:v>원본·배정 기록 확인</x:v>
      </x:c>
      <x:c r="L125" s="2" t="str">
        <x:f>IF('신청 원장'!R1065="","",'신청 원장'!R1065)</x:f>
        <x:v>국내평가</x:v>
      </x:c>
      <x:c r="M125" s="2" t="n">
        <x:f>IF('신청 원장'!S1065="","",'신청 원장'!S1065)</x:f>
        <x:v>968</x:v>
      </x:c>
      <x:c r="N125" s="2" t="str">
        <x:f>IF('신청 원장'!K1065&lt;&gt;"미종결 표시","종결 상태 확인",IF('신청 원장'!N1065="","일자 확인 필요",IF('신청 원장'!N1065&gt;365,"366일 이상",IF('신청 원장'!N1065&gt;90,"91~365일",IF('신청 원장'!N1065&gt;30,"31~90일","0~30일")))))</x:f>
        <x:v>366일 이상</x:v>
      </x:c>
      <x:c r="O125" s="2" t="str">
        <x:f>IF(OR('신청 원장'!L1065="",'신청 원장'!L1065="선택"),"담당 원문 확인","기재")</x:f>
        <x:v>담당 원문 확인</x:v>
      </x:c>
      <x:c r="P125" s="2" t="str">
        <x:f>IF('신청 원장'!A1065="","",'신청 원장'!A1065)</x:f>
        <x:v>67bffc47ab749c8aaefa1a4a</x:v>
      </x:c>
    </x:row>
    <x:row r="126" ht="42" customHeight="1">
      <x:c r="A126" s="2" t="str">
        <x:f>IF('신청 원장'!B1066="","",'신청 원장'!B1066)</x:f>
        <x:v>사업 평가</x:v>
      </x:c>
      <x:c r="B126" s="7" t="str">
        <x:f>IF('신청 원장'!D1066="","",'신청 원장'!D1066)</x:f>
        <x:v>한국동서발전(주) 태양광발전 설치 및 자가 사용 프로그램 감축사업</x:v>
      </x:c>
      <x:c r="C126" s="2" t="str">
        <x:f>IF('신청 원장'!F1066="","",'신청 원장'!F1066)</x:f>
        <x:v>2022-10-11</x:v>
      </x:c>
      <x:c r="D126" s="2" t="str">
        <x:f>IF('신청 원장'!J1066="","",'신청 원장'!J1066)</x:f>
        <x:v>보류</x:v>
      </x:c>
      <x:c r="E126" s="2" t="str">
        <x:f>IF('신청 원장'!L1066="","",'신청 원장'!L1066)</x:f>
      </x:c>
      <x:c r="F126" s="2" t="str">
        <x:f>IF('신청 원장'!M1066="","",'신청 원장'!M1066)</x:f>
      </x:c>
      <x:c r="G126" s="2" t="n">
        <x:f>IF('신청 원장'!N1066="","",'신청 원장'!N1066)</x:f>
        <x:v>1465</x:v>
      </x:c>
      <x:c r="H126" s="2" t="str">
        <x:f>IF('신청 원장'!AA1066="","",'신청 원장'!AA1066)</x:f>
        <x:v>내부 관찰 대상</x:v>
      </x:c>
      <x:c r="I126" s="2" t="str">
        <x:f>IF('신청 원장'!O1066="","",'신청 원장'!O1066)</x:f>
        <x:v>보류</x:v>
      </x:c>
      <x:c r="J126" s="2" t="str">
        <x:f>IF('신청 원장'!W1066="","",'신청 원장'!W1066)</x:f>
        <x:v>담당기관 확인</x:v>
      </x:c>
      <x:c r="K126" s="2" t="str">
        <x:f>IF('신청 원장'!X1066="","",'신청 원장'!X1066)</x:f>
        <x:v>원본·배정 기록 확인</x:v>
      </x:c>
      <x:c r="L126" s="2" t="str">
        <x:f>IF('신청 원장'!R1066="","",'신청 원장'!R1066)</x:f>
        <x:v>국내평가</x:v>
      </x:c>
      <x:c r="M126" s="2" t="n">
        <x:f>IF('신청 원장'!S1066="","",'신청 원장'!S1066)</x:f>
        <x:v>969</x:v>
      </x:c>
      <x:c r="N126" s="2" t="str">
        <x:f>IF('신청 원장'!K1066&lt;&gt;"미종결 표시","종결 상태 확인",IF('신청 원장'!N1066="","일자 확인 필요",IF('신청 원장'!N1066&gt;365,"366일 이상",IF('신청 원장'!N1066&gt;90,"91~365일",IF('신청 원장'!N1066&gt;30,"31~90일","0~30일")))))</x:f>
        <x:v>366일 이상</x:v>
      </x:c>
      <x:c r="O126" s="2" t="str">
        <x:f>IF(OR('신청 원장'!L1066="",'신청 원장'!L1066="선택"),"담당 원문 확인","기재")</x:f>
        <x:v>담당 원문 확인</x:v>
      </x:c>
      <x:c r="P126" s="2" t="str">
        <x:f>IF('신청 원장'!A1066="","",'신청 원장'!A1066)</x:f>
        <x:v>b4e6b3e060cfa17291203a33</x:v>
      </x:c>
    </x:row>
    <x:row r="127" ht="42" customHeight="1">
      <x:c r="A127" s="2" t="str">
        <x:f>IF('신청 원장'!B1067="","",'신청 원장'!B1067)</x:f>
        <x:v>사업 평가</x:v>
      </x:c>
      <x:c r="B127" s="7" t="str">
        <x:f>IF('신청 원장'!D1067="","",'신청 원장'!D1067)</x:f>
        <x:v>한국동서발전(주) 태양광발전 설치 및 자가 사용 프로그램 감축사업</x:v>
      </x:c>
      <x:c r="C127" s="2" t="str">
        <x:f>IF('신청 원장'!F1067="","",'신청 원장'!F1067)</x:f>
        <x:v>2022-10-11</x:v>
      </x:c>
      <x:c r="D127" s="2" t="str">
        <x:f>IF('신청 원장'!J1067="","",'신청 원장'!J1067)</x:f>
        <x:v>보류</x:v>
      </x:c>
      <x:c r="E127" s="2" t="str">
        <x:f>IF('신청 원장'!L1067="","",'신청 원장'!L1067)</x:f>
      </x:c>
      <x:c r="F127" s="2" t="str">
        <x:f>IF('신청 원장'!M1067="","",'신청 원장'!M1067)</x:f>
      </x:c>
      <x:c r="G127" s="2" t="n">
        <x:f>IF('신청 원장'!N1067="","",'신청 원장'!N1067)</x:f>
        <x:v>1465</x:v>
      </x:c>
      <x:c r="H127" s="2" t="str">
        <x:f>IF('신청 원장'!AA1067="","",'신청 원장'!AA1067)</x:f>
        <x:v>내부 관찰 대상</x:v>
      </x:c>
      <x:c r="I127" s="2" t="str">
        <x:f>IF('신청 원장'!O1067="","",'신청 원장'!O1067)</x:f>
        <x:v>보류</x:v>
      </x:c>
      <x:c r="J127" s="2" t="str">
        <x:f>IF('신청 원장'!W1067="","",'신청 원장'!W1067)</x:f>
        <x:v>담당기관 확인</x:v>
      </x:c>
      <x:c r="K127" s="2" t="str">
        <x:f>IF('신청 원장'!X1067="","",'신청 원장'!X1067)</x:f>
        <x:v>원본·배정 기록 확인</x:v>
      </x:c>
      <x:c r="L127" s="2" t="str">
        <x:f>IF('신청 원장'!R1067="","",'신청 원장'!R1067)</x:f>
        <x:v>국내평가</x:v>
      </x:c>
      <x:c r="M127" s="2" t="n">
        <x:f>IF('신청 원장'!S1067="","",'신청 원장'!S1067)</x:f>
        <x:v>970</x:v>
      </x:c>
      <x:c r="N127" s="2" t="str">
        <x:f>IF('신청 원장'!K1067&lt;&gt;"미종결 표시","종결 상태 확인",IF('신청 원장'!N1067="","일자 확인 필요",IF('신청 원장'!N1067&gt;365,"366일 이상",IF('신청 원장'!N1067&gt;90,"91~365일",IF('신청 원장'!N1067&gt;30,"31~90일","0~30일")))))</x:f>
        <x:v>366일 이상</x:v>
      </x:c>
      <x:c r="O127" s="2" t="str">
        <x:f>IF(OR('신청 원장'!L1067="",'신청 원장'!L1067="선택"),"담당 원문 확인","기재")</x:f>
        <x:v>담당 원문 확인</x:v>
      </x:c>
      <x:c r="P127" s="2" t="str">
        <x:f>IF('신청 원장'!A1067="","",'신청 원장'!A1067)</x:f>
        <x:v>71b7e8c165f4c728d88107d8</x:v>
      </x:c>
    </x:row>
    <x:row r="128" ht="42" customHeight="1">
      <x:c r="A128" s="2" t="str">
        <x:f>IF('신청 원장'!B1069="","",'신청 원장'!B1069)</x:f>
        <x:v>사업 평가</x:v>
      </x:c>
      <x:c r="B128" s="7" t="str">
        <x:f>IF('신청 원장'!D1069="","",'신청 원장'!D1069)</x:f>
        <x:v>한국동서발전(주) 태양광발전 설치 및 자가 사용 프로그램 감축사업</x:v>
      </x:c>
      <x:c r="C128" s="2" t="str">
        <x:f>IF('신청 원장'!F1069="","",'신청 원장'!F1069)</x:f>
        <x:v>2022-10-11</x:v>
      </x:c>
      <x:c r="D128" s="2" t="str">
        <x:f>IF('신청 원장'!J1069="","",'신청 원장'!J1069)</x:f>
        <x:v>보류</x:v>
      </x:c>
      <x:c r="E128" s="2" t="str">
        <x:f>IF('신청 원장'!L1069="","",'신청 원장'!L1069)</x:f>
      </x:c>
      <x:c r="F128" s="2" t="str">
        <x:f>IF('신청 원장'!M1069="","",'신청 원장'!M1069)</x:f>
      </x:c>
      <x:c r="G128" s="2" t="n">
        <x:f>IF('신청 원장'!N1069="","",'신청 원장'!N1069)</x:f>
        <x:v>1465</x:v>
      </x:c>
      <x:c r="H128" s="2" t="str">
        <x:f>IF('신청 원장'!AA1069="","",'신청 원장'!AA1069)</x:f>
        <x:v>내부 관찰 대상</x:v>
      </x:c>
      <x:c r="I128" s="2" t="str">
        <x:f>IF('신청 원장'!O1069="","",'신청 원장'!O1069)</x:f>
        <x:v>보류</x:v>
      </x:c>
      <x:c r="J128" s="2" t="str">
        <x:f>IF('신청 원장'!W1069="","",'신청 원장'!W1069)</x:f>
        <x:v>담당기관 확인</x:v>
      </x:c>
      <x:c r="K128" s="2" t="str">
        <x:f>IF('신청 원장'!X1069="","",'신청 원장'!X1069)</x:f>
        <x:v>원본·배정 기록 확인</x:v>
      </x:c>
      <x:c r="L128" s="2" t="str">
        <x:f>IF('신청 원장'!R1069="","",'신청 원장'!R1069)</x:f>
        <x:v>국내평가</x:v>
      </x:c>
      <x:c r="M128" s="2" t="n">
        <x:f>IF('신청 원장'!S1069="","",'신청 원장'!S1069)</x:f>
        <x:v>972</x:v>
      </x:c>
      <x:c r="N128" s="2" t="str">
        <x:f>IF('신청 원장'!K1069&lt;&gt;"미종결 표시","종결 상태 확인",IF('신청 원장'!N1069="","일자 확인 필요",IF('신청 원장'!N1069&gt;365,"366일 이상",IF('신청 원장'!N1069&gt;90,"91~365일",IF('신청 원장'!N1069&gt;30,"31~90일","0~30일")))))</x:f>
        <x:v>366일 이상</x:v>
      </x:c>
      <x:c r="O128" s="2" t="str">
        <x:f>IF(OR('신청 원장'!L1069="",'신청 원장'!L1069="선택"),"담당 원문 확인","기재")</x:f>
        <x:v>담당 원문 확인</x:v>
      </x:c>
      <x:c r="P128" s="2" t="str">
        <x:f>IF('신청 원장'!A1069="","",'신청 원장'!A1069)</x:f>
        <x:v>51ad07bb82fb903424a762b7</x:v>
      </x:c>
    </x:row>
    <x:row r="129" ht="42" customHeight="1">
      <x:c r="A129" s="2" t="str">
        <x:f>IF('신청 원장'!B1071="","",'신청 원장'!B1071)</x:f>
        <x:v>사업 평가</x:v>
      </x:c>
      <x:c r="B129" s="7" t="str">
        <x:f>IF('신청 원장'!D1071="","",'신청 원장'!D1071)</x:f>
        <x:v>한국동서발전(주) 태양광발전 설치 및 자가 사용 프로그램 감축사업</x:v>
      </x:c>
      <x:c r="C129" s="2" t="str">
        <x:f>IF('신청 원장'!F1071="","",'신청 원장'!F1071)</x:f>
        <x:v>2022-10-11</x:v>
      </x:c>
      <x:c r="D129" s="2" t="str">
        <x:f>IF('신청 원장'!J1071="","",'신청 원장'!J1071)</x:f>
        <x:v>보류</x:v>
      </x:c>
      <x:c r="E129" s="2" t="str">
        <x:f>IF('신청 원장'!L1071="","",'신청 원장'!L1071)</x:f>
      </x:c>
      <x:c r="F129" s="2" t="str">
        <x:f>IF('신청 원장'!M1071="","",'신청 원장'!M1071)</x:f>
      </x:c>
      <x:c r="G129" s="2" t="n">
        <x:f>IF('신청 원장'!N1071="","",'신청 원장'!N1071)</x:f>
        <x:v>1465</x:v>
      </x:c>
      <x:c r="H129" s="2" t="str">
        <x:f>IF('신청 원장'!AA1071="","",'신청 원장'!AA1071)</x:f>
        <x:v>내부 관찰 대상</x:v>
      </x:c>
      <x:c r="I129" s="2" t="str">
        <x:f>IF('신청 원장'!O1071="","",'신청 원장'!O1071)</x:f>
        <x:v>보류</x:v>
      </x:c>
      <x:c r="J129" s="2" t="str">
        <x:f>IF('신청 원장'!W1071="","",'신청 원장'!W1071)</x:f>
        <x:v>담당기관 확인</x:v>
      </x:c>
      <x:c r="K129" s="2" t="str">
        <x:f>IF('신청 원장'!X1071="","",'신청 원장'!X1071)</x:f>
        <x:v>원본·배정 기록 확인</x:v>
      </x:c>
      <x:c r="L129" s="2" t="str">
        <x:f>IF('신청 원장'!R1071="","",'신청 원장'!R1071)</x:f>
        <x:v>국내평가</x:v>
      </x:c>
      <x:c r="M129" s="2" t="n">
        <x:f>IF('신청 원장'!S1071="","",'신청 원장'!S1071)</x:f>
        <x:v>974</x:v>
      </x:c>
      <x:c r="N129" s="2" t="str">
        <x:f>IF('신청 원장'!K1071&lt;&gt;"미종결 표시","종결 상태 확인",IF('신청 원장'!N1071="","일자 확인 필요",IF('신청 원장'!N1071&gt;365,"366일 이상",IF('신청 원장'!N1071&gt;90,"91~365일",IF('신청 원장'!N1071&gt;30,"31~90일","0~30일")))))</x:f>
        <x:v>366일 이상</x:v>
      </x:c>
      <x:c r="O129" s="2" t="str">
        <x:f>IF(OR('신청 원장'!L1071="",'신청 원장'!L1071="선택"),"담당 원문 확인","기재")</x:f>
        <x:v>담당 원문 확인</x:v>
      </x:c>
      <x:c r="P129" s="2" t="str">
        <x:f>IF('신청 원장'!A1071="","",'신청 원장'!A1071)</x:f>
        <x:v>4a8624643d76bbc259158245</x:v>
      </x:c>
    </x:row>
    <x:row r="130" ht="42" customHeight="1">
      <x:c r="A130" s="2" t="str">
        <x:f>IF('신청 원장'!B1073="","",'신청 원장'!B1073)</x:f>
        <x:v>사업 평가</x:v>
      </x:c>
      <x:c r="B130" s="7" t="str">
        <x:f>IF('신청 원장'!D1073="","",'신청 원장'!D1073)</x:f>
        <x:v>한국동서발전(주) 태양광발전 설치 및 자가 사용 프로그램 감축사업</x:v>
      </x:c>
      <x:c r="C130" s="2" t="str">
        <x:f>IF('신청 원장'!F1073="","",'신청 원장'!F1073)</x:f>
        <x:v>2022-10-11</x:v>
      </x:c>
      <x:c r="D130" s="2" t="str">
        <x:f>IF('신청 원장'!J1073="","",'신청 원장'!J1073)</x:f>
        <x:v>보류</x:v>
      </x:c>
      <x:c r="E130" s="2" t="str">
        <x:f>IF('신청 원장'!L1073="","",'신청 원장'!L1073)</x:f>
      </x:c>
      <x:c r="F130" s="2" t="str">
        <x:f>IF('신청 원장'!M1073="","",'신청 원장'!M1073)</x:f>
      </x:c>
      <x:c r="G130" s="2" t="n">
        <x:f>IF('신청 원장'!N1073="","",'신청 원장'!N1073)</x:f>
        <x:v>1465</x:v>
      </x:c>
      <x:c r="H130" s="2" t="str">
        <x:f>IF('신청 원장'!AA1073="","",'신청 원장'!AA1073)</x:f>
        <x:v>내부 관찰 대상</x:v>
      </x:c>
      <x:c r="I130" s="2" t="str">
        <x:f>IF('신청 원장'!O1073="","",'신청 원장'!O1073)</x:f>
        <x:v>보류</x:v>
      </x:c>
      <x:c r="J130" s="2" t="str">
        <x:f>IF('신청 원장'!W1073="","",'신청 원장'!W1073)</x:f>
        <x:v>담당기관 확인</x:v>
      </x:c>
      <x:c r="K130" s="2" t="str">
        <x:f>IF('신청 원장'!X1073="","",'신청 원장'!X1073)</x:f>
        <x:v>원본·배정 기록 확인</x:v>
      </x:c>
      <x:c r="L130" s="2" t="str">
        <x:f>IF('신청 원장'!R1073="","",'신청 원장'!R1073)</x:f>
        <x:v>국내평가</x:v>
      </x:c>
      <x:c r="M130" s="2" t="n">
        <x:f>IF('신청 원장'!S1073="","",'신청 원장'!S1073)</x:f>
        <x:v>976</x:v>
      </x:c>
      <x:c r="N130" s="2" t="str">
        <x:f>IF('신청 원장'!K1073&lt;&gt;"미종결 표시","종결 상태 확인",IF('신청 원장'!N1073="","일자 확인 필요",IF('신청 원장'!N1073&gt;365,"366일 이상",IF('신청 원장'!N1073&gt;90,"91~365일",IF('신청 원장'!N1073&gt;30,"31~90일","0~30일")))))</x:f>
        <x:v>366일 이상</x:v>
      </x:c>
      <x:c r="O130" s="2" t="str">
        <x:f>IF(OR('신청 원장'!L1073="",'신청 원장'!L1073="선택"),"담당 원문 확인","기재")</x:f>
        <x:v>담당 원문 확인</x:v>
      </x:c>
      <x:c r="P130" s="2" t="str">
        <x:f>IF('신청 원장'!A1073="","",'신청 원장'!A1073)</x:f>
        <x:v>c8a126bf9f40efc27777bdf4</x:v>
      </x:c>
    </x:row>
    <x:row r="131" ht="42" customHeight="1">
      <x:c r="A131" s="2" t="str">
        <x:f>IF('신청 원장'!B1074="","",'신청 원장'!B1074)</x:f>
        <x:v>사업 평가</x:v>
      </x:c>
      <x:c r="B131" s="7" t="str">
        <x:f>IF('신청 원장'!D1074="","",'신청 원장'!D1074)</x:f>
        <x:v>한국동서발전(주) 태양광발전 설치 및 자가 사용 프로그램 감축사업</x:v>
      </x:c>
      <x:c r="C131" s="2" t="str">
        <x:f>IF('신청 원장'!F1074="","",'신청 원장'!F1074)</x:f>
        <x:v>2022-10-11</x:v>
      </x:c>
      <x:c r="D131" s="2" t="str">
        <x:f>IF('신청 원장'!J1074="","",'신청 원장'!J1074)</x:f>
        <x:v>보류</x:v>
      </x:c>
      <x:c r="E131" s="2" t="str">
        <x:f>IF('신청 원장'!L1074="","",'신청 원장'!L1074)</x:f>
      </x:c>
      <x:c r="F131" s="2" t="str">
        <x:f>IF('신청 원장'!M1074="","",'신청 원장'!M1074)</x:f>
      </x:c>
      <x:c r="G131" s="2" t="n">
        <x:f>IF('신청 원장'!N1074="","",'신청 원장'!N1074)</x:f>
        <x:v>1465</x:v>
      </x:c>
      <x:c r="H131" s="2" t="str">
        <x:f>IF('신청 원장'!AA1074="","",'신청 원장'!AA1074)</x:f>
        <x:v>내부 관찰 대상</x:v>
      </x:c>
      <x:c r="I131" s="2" t="str">
        <x:f>IF('신청 원장'!O1074="","",'신청 원장'!O1074)</x:f>
        <x:v>보류</x:v>
      </x:c>
      <x:c r="J131" s="2" t="str">
        <x:f>IF('신청 원장'!W1074="","",'신청 원장'!W1074)</x:f>
        <x:v>담당기관 확인</x:v>
      </x:c>
      <x:c r="K131" s="2" t="str">
        <x:f>IF('신청 원장'!X1074="","",'신청 원장'!X1074)</x:f>
        <x:v>원본·배정 기록 확인</x:v>
      </x:c>
      <x:c r="L131" s="2" t="str">
        <x:f>IF('신청 원장'!R1074="","",'신청 원장'!R1074)</x:f>
        <x:v>국내평가</x:v>
      </x:c>
      <x:c r="M131" s="2" t="n">
        <x:f>IF('신청 원장'!S1074="","",'신청 원장'!S1074)</x:f>
        <x:v>977</x:v>
      </x:c>
      <x:c r="N131" s="2" t="str">
        <x:f>IF('신청 원장'!K1074&lt;&gt;"미종결 표시","종결 상태 확인",IF('신청 원장'!N1074="","일자 확인 필요",IF('신청 원장'!N1074&gt;365,"366일 이상",IF('신청 원장'!N1074&gt;90,"91~365일",IF('신청 원장'!N1074&gt;30,"31~90일","0~30일")))))</x:f>
        <x:v>366일 이상</x:v>
      </x:c>
      <x:c r="O131" s="2" t="str">
        <x:f>IF(OR('신청 원장'!L1074="",'신청 원장'!L1074="선택"),"담당 원문 확인","기재")</x:f>
        <x:v>담당 원문 확인</x:v>
      </x:c>
      <x:c r="P131" s="2" t="str">
        <x:f>IF('신청 원장'!A1074="","",'신청 원장'!A1074)</x:f>
        <x:v>a2fecdafd9026e0843acb5ca</x:v>
      </x:c>
    </x:row>
    <x:row r="132" ht="42" customHeight="1">
      <x:c r="A132" s="2" t="str">
        <x:f>IF('신청 원장'!B1075="","",'신청 원장'!B1075)</x:f>
        <x:v>사업 평가</x:v>
      </x:c>
      <x:c r="B132" s="7" t="str">
        <x:f>IF('신청 원장'!D1075="","",'신청 원장'!D1075)</x:f>
        <x:v>한국동서발전(주) 태양광발전 설치 및 자가 사용 프로그램 감축사업</x:v>
      </x:c>
      <x:c r="C132" s="2" t="str">
        <x:f>IF('신청 원장'!F1075="","",'신청 원장'!F1075)</x:f>
        <x:v>2022-10-11</x:v>
      </x:c>
      <x:c r="D132" s="2" t="str">
        <x:f>IF('신청 원장'!J1075="","",'신청 원장'!J1075)</x:f>
        <x:v>보류</x:v>
      </x:c>
      <x:c r="E132" s="2" t="str">
        <x:f>IF('신청 원장'!L1075="","",'신청 원장'!L1075)</x:f>
      </x:c>
      <x:c r="F132" s="2" t="str">
        <x:f>IF('신청 원장'!M1075="","",'신청 원장'!M1075)</x:f>
      </x:c>
      <x:c r="G132" s="2" t="n">
        <x:f>IF('신청 원장'!N1075="","",'신청 원장'!N1075)</x:f>
        <x:v>1465</x:v>
      </x:c>
      <x:c r="H132" s="2" t="str">
        <x:f>IF('신청 원장'!AA1075="","",'신청 원장'!AA1075)</x:f>
        <x:v>내부 관찰 대상</x:v>
      </x:c>
      <x:c r="I132" s="2" t="str">
        <x:f>IF('신청 원장'!O1075="","",'신청 원장'!O1075)</x:f>
        <x:v>보류</x:v>
      </x:c>
      <x:c r="J132" s="2" t="str">
        <x:f>IF('신청 원장'!W1075="","",'신청 원장'!W1075)</x:f>
        <x:v>담당기관 확인</x:v>
      </x:c>
      <x:c r="K132" s="2" t="str">
        <x:f>IF('신청 원장'!X1075="","",'신청 원장'!X1075)</x:f>
        <x:v>원본·배정 기록 확인</x:v>
      </x:c>
      <x:c r="L132" s="2" t="str">
        <x:f>IF('신청 원장'!R1075="","",'신청 원장'!R1075)</x:f>
        <x:v>국내평가</x:v>
      </x:c>
      <x:c r="M132" s="2" t="n">
        <x:f>IF('신청 원장'!S1075="","",'신청 원장'!S1075)</x:f>
        <x:v>978</x:v>
      </x:c>
      <x:c r="N132" s="2" t="str">
        <x:f>IF('신청 원장'!K1075&lt;&gt;"미종결 표시","종결 상태 확인",IF('신청 원장'!N1075="","일자 확인 필요",IF('신청 원장'!N1075&gt;365,"366일 이상",IF('신청 원장'!N1075&gt;90,"91~365일",IF('신청 원장'!N1075&gt;30,"31~90일","0~30일")))))</x:f>
        <x:v>366일 이상</x:v>
      </x:c>
      <x:c r="O132" s="2" t="str">
        <x:f>IF(OR('신청 원장'!L1075="",'신청 원장'!L1075="선택"),"담당 원문 확인","기재")</x:f>
        <x:v>담당 원문 확인</x:v>
      </x:c>
      <x:c r="P132" s="2" t="str">
        <x:f>IF('신청 원장'!A1075="","",'신청 원장'!A1075)</x:f>
        <x:v>54bab28c28f2c2d7981ef8f0</x:v>
      </x:c>
    </x:row>
    <x:row r="133" ht="42" customHeight="1">
      <x:c r="A133" s="2" t="str">
        <x:f>IF('신청 원장'!B1077="","",'신청 원장'!B1077)</x:f>
        <x:v>사업 평가</x:v>
      </x:c>
      <x:c r="B133" s="7" t="str">
        <x:f>IF('신청 원장'!D1077="","",'신청 원장'!D1077)</x:f>
        <x:v>한국동서발전(주) 태양광발전 설치 및 자가 사용 프로그램 감축사업</x:v>
      </x:c>
      <x:c r="C133" s="2" t="str">
        <x:f>IF('신청 원장'!F1077="","",'신청 원장'!F1077)</x:f>
        <x:v>2022-10-06</x:v>
      </x:c>
      <x:c r="D133" s="2" t="str">
        <x:f>IF('신청 원장'!J1077="","",'신청 원장'!J1077)</x:f>
        <x:v>보류</x:v>
      </x:c>
      <x:c r="E133" s="2" t="str">
        <x:f>IF('신청 원장'!L1077="","",'신청 원장'!L1077)</x:f>
      </x:c>
      <x:c r="F133" s="2" t="str">
        <x:f>IF('신청 원장'!M1077="","",'신청 원장'!M1077)</x:f>
      </x:c>
      <x:c r="G133" s="2" t="n">
        <x:f>IF('신청 원장'!N1077="","",'신청 원장'!N1077)</x:f>
        <x:v>1470</x:v>
      </x:c>
      <x:c r="H133" s="2" t="str">
        <x:f>IF('신청 원장'!AA1077="","",'신청 원장'!AA1077)</x:f>
        <x:v>내부 관찰 대상</x:v>
      </x:c>
      <x:c r="I133" s="2" t="str">
        <x:f>IF('신청 원장'!O1077="","",'신청 원장'!O1077)</x:f>
        <x:v>보류</x:v>
      </x:c>
      <x:c r="J133" s="2" t="str">
        <x:f>IF('신청 원장'!W1077="","",'신청 원장'!W1077)</x:f>
        <x:v>담당기관 확인</x:v>
      </x:c>
      <x:c r="K133" s="2" t="str">
        <x:f>IF('신청 원장'!X1077="","",'신청 원장'!X1077)</x:f>
        <x:v>원본·배정 기록 확인</x:v>
      </x:c>
      <x:c r="L133" s="2" t="str">
        <x:f>IF('신청 원장'!R1077="","",'신청 원장'!R1077)</x:f>
        <x:v>국내평가</x:v>
      </x:c>
      <x:c r="M133" s="2" t="n">
        <x:f>IF('신청 원장'!S1077="","",'신청 원장'!S1077)</x:f>
        <x:v>980</x:v>
      </x:c>
      <x:c r="N133" s="2" t="str">
        <x:f>IF('신청 원장'!K1077&lt;&gt;"미종결 표시","종결 상태 확인",IF('신청 원장'!N1077="","일자 확인 필요",IF('신청 원장'!N1077&gt;365,"366일 이상",IF('신청 원장'!N1077&gt;90,"91~365일",IF('신청 원장'!N1077&gt;30,"31~90일","0~30일")))))</x:f>
        <x:v>366일 이상</x:v>
      </x:c>
      <x:c r="O133" s="2" t="str">
        <x:f>IF(OR('신청 원장'!L1077="",'신청 원장'!L1077="선택"),"담당 원문 확인","기재")</x:f>
        <x:v>담당 원문 확인</x:v>
      </x:c>
      <x:c r="P133" s="2" t="str">
        <x:f>IF('신청 원장'!A1077="","",'신청 원장'!A1077)</x:f>
        <x:v>dabf1814c7d028265048e38a</x:v>
      </x:c>
    </x:row>
    <x:row r="134" ht="42" customHeight="1">
      <x:c r="A134" s="2" t="str">
        <x:f>IF('신청 원장'!B1080="","",'신청 원장'!B1080)</x:f>
        <x:v>사업 평가</x:v>
      </x:c>
      <x:c r="B134" s="7" t="str">
        <x:f>IF('신청 원장'!D1080="","",'신청 원장'!D1080)</x:f>
        <x:v>한국동서발전(주) 태양광발전 설치 및 자가 사용 프로그램 감축사업</x:v>
      </x:c>
      <x:c r="C134" s="2" t="str">
        <x:f>IF('신청 원장'!F1080="","",'신청 원장'!F1080)</x:f>
        <x:v>2022-10-07</x:v>
      </x:c>
      <x:c r="D134" s="2" t="str">
        <x:f>IF('신청 원장'!J1080="","",'신청 원장'!J1080)</x:f>
        <x:v>보류</x:v>
      </x:c>
      <x:c r="E134" s="2" t="str">
        <x:f>IF('신청 원장'!L1080="","",'신청 원장'!L1080)</x:f>
      </x:c>
      <x:c r="F134" s="2" t="str">
        <x:f>IF('신청 원장'!M1080="","",'신청 원장'!M1080)</x:f>
      </x:c>
      <x:c r="G134" s="2" t="n">
        <x:f>IF('신청 원장'!N1080="","",'신청 원장'!N1080)</x:f>
        <x:v>1469</x:v>
      </x:c>
      <x:c r="H134" s="2" t="str">
        <x:f>IF('신청 원장'!AA1080="","",'신청 원장'!AA1080)</x:f>
        <x:v>내부 관찰 대상</x:v>
      </x:c>
      <x:c r="I134" s="2" t="str">
        <x:f>IF('신청 원장'!O1080="","",'신청 원장'!O1080)</x:f>
        <x:v>보류</x:v>
      </x:c>
      <x:c r="J134" s="2" t="str">
        <x:f>IF('신청 원장'!W1080="","",'신청 원장'!W1080)</x:f>
        <x:v>담당기관 확인</x:v>
      </x:c>
      <x:c r="K134" s="2" t="str">
        <x:f>IF('신청 원장'!X1080="","",'신청 원장'!X1080)</x:f>
        <x:v>원본·배정 기록 확인</x:v>
      </x:c>
      <x:c r="L134" s="2" t="str">
        <x:f>IF('신청 원장'!R1080="","",'신청 원장'!R1080)</x:f>
        <x:v>국내평가</x:v>
      </x:c>
      <x:c r="M134" s="2" t="n">
        <x:f>IF('신청 원장'!S1080="","",'신청 원장'!S1080)</x:f>
        <x:v>983</x:v>
      </x:c>
      <x:c r="N134" s="2" t="str">
        <x:f>IF('신청 원장'!K1080&lt;&gt;"미종결 표시","종결 상태 확인",IF('신청 원장'!N1080="","일자 확인 필요",IF('신청 원장'!N1080&gt;365,"366일 이상",IF('신청 원장'!N1080&gt;90,"91~365일",IF('신청 원장'!N1080&gt;30,"31~90일","0~30일")))))</x:f>
        <x:v>366일 이상</x:v>
      </x:c>
      <x:c r="O134" s="2" t="str">
        <x:f>IF(OR('신청 원장'!L1080="",'신청 원장'!L1080="선택"),"담당 원문 확인","기재")</x:f>
        <x:v>담당 원문 확인</x:v>
      </x:c>
      <x:c r="P134" s="2" t="str">
        <x:f>IF('신청 원장'!A1080="","",'신청 원장'!A1080)</x:f>
        <x:v>3e32eae96f7a8b11ed1239b1</x:v>
      </x:c>
    </x:row>
    <x:row r="135" ht="42" customHeight="1">
      <x:c r="A135" s="2" t="str">
        <x:f>IF('신청 원장'!B1081="","",'신청 원장'!B1081)</x:f>
        <x:v>사업 평가</x:v>
      </x:c>
      <x:c r="B135" s="7" t="str">
        <x:f>IF('신청 원장'!D1081="","",'신청 원장'!D1081)</x:f>
        <x:v>한국동서발전(주) 태양광발전 설치 및 자가 사용 프로그램 감축사업</x:v>
      </x:c>
      <x:c r="C135" s="2" t="str">
        <x:f>IF('신청 원장'!F1081="","",'신청 원장'!F1081)</x:f>
        <x:v>2022-10-07</x:v>
      </x:c>
      <x:c r="D135" s="2" t="str">
        <x:f>IF('신청 원장'!J1081="","",'신청 원장'!J1081)</x:f>
        <x:v>보류</x:v>
      </x:c>
      <x:c r="E135" s="2" t="str">
        <x:f>IF('신청 원장'!L1081="","",'신청 원장'!L1081)</x:f>
      </x:c>
      <x:c r="F135" s="2" t="str">
        <x:f>IF('신청 원장'!M1081="","",'신청 원장'!M1081)</x:f>
      </x:c>
      <x:c r="G135" s="2" t="n">
        <x:f>IF('신청 원장'!N1081="","",'신청 원장'!N1081)</x:f>
        <x:v>1469</x:v>
      </x:c>
      <x:c r="H135" s="2" t="str">
        <x:f>IF('신청 원장'!AA1081="","",'신청 원장'!AA1081)</x:f>
        <x:v>내부 관찰 대상</x:v>
      </x:c>
      <x:c r="I135" s="2" t="str">
        <x:f>IF('신청 원장'!O1081="","",'신청 원장'!O1081)</x:f>
        <x:v>보류</x:v>
      </x:c>
      <x:c r="J135" s="2" t="str">
        <x:f>IF('신청 원장'!W1081="","",'신청 원장'!W1081)</x:f>
        <x:v>담당기관 확인</x:v>
      </x:c>
      <x:c r="K135" s="2" t="str">
        <x:f>IF('신청 원장'!X1081="","",'신청 원장'!X1081)</x:f>
        <x:v>원본·배정 기록 확인</x:v>
      </x:c>
      <x:c r="L135" s="2" t="str">
        <x:f>IF('신청 원장'!R1081="","",'신청 원장'!R1081)</x:f>
        <x:v>국내평가</x:v>
      </x:c>
      <x:c r="M135" s="2" t="n">
        <x:f>IF('신청 원장'!S1081="","",'신청 원장'!S1081)</x:f>
        <x:v>984</x:v>
      </x:c>
      <x:c r="N135" s="2" t="str">
        <x:f>IF('신청 원장'!K1081&lt;&gt;"미종결 표시","종결 상태 확인",IF('신청 원장'!N1081="","일자 확인 필요",IF('신청 원장'!N1081&gt;365,"366일 이상",IF('신청 원장'!N1081&gt;90,"91~365일",IF('신청 원장'!N1081&gt;30,"31~90일","0~30일")))))</x:f>
        <x:v>366일 이상</x:v>
      </x:c>
      <x:c r="O135" s="2" t="str">
        <x:f>IF(OR('신청 원장'!L1081="",'신청 원장'!L1081="선택"),"담당 원문 확인","기재")</x:f>
        <x:v>담당 원문 확인</x:v>
      </x:c>
      <x:c r="P135" s="2" t="str">
        <x:f>IF('신청 원장'!A1081="","",'신청 원장'!A1081)</x:f>
        <x:v>02d274bdf05e4e0579e0feaf</x:v>
      </x:c>
    </x:row>
    <x:row r="136" ht="42" customHeight="1">
      <x:c r="A136" s="2" t="str">
        <x:f>IF('신청 원장'!B1082="","",'신청 원장'!B1082)</x:f>
        <x:v>사업 평가</x:v>
      </x:c>
      <x:c r="B136" s="7" t="str">
        <x:f>IF('신청 원장'!D1082="","",'신청 원장'!D1082)</x:f>
        <x:v>한국동서발전(주) 태양광발전 설치 및 자가 사용 프로그램 감축사업</x:v>
      </x:c>
      <x:c r="C136" s="2" t="str">
        <x:f>IF('신청 원장'!F1082="","",'신청 원장'!F1082)</x:f>
        <x:v>2022-10-07</x:v>
      </x:c>
      <x:c r="D136" s="2" t="str">
        <x:f>IF('신청 원장'!J1082="","",'신청 원장'!J1082)</x:f>
        <x:v>보류</x:v>
      </x:c>
      <x:c r="E136" s="2" t="str">
        <x:f>IF('신청 원장'!L1082="","",'신청 원장'!L1082)</x:f>
      </x:c>
      <x:c r="F136" s="2" t="str">
        <x:f>IF('신청 원장'!M1082="","",'신청 원장'!M1082)</x:f>
      </x:c>
      <x:c r="G136" s="2" t="n">
        <x:f>IF('신청 원장'!N1082="","",'신청 원장'!N1082)</x:f>
        <x:v>1469</x:v>
      </x:c>
      <x:c r="H136" s="2" t="str">
        <x:f>IF('신청 원장'!AA1082="","",'신청 원장'!AA1082)</x:f>
        <x:v>내부 관찰 대상</x:v>
      </x:c>
      <x:c r="I136" s="2" t="str">
        <x:f>IF('신청 원장'!O1082="","",'신청 원장'!O1082)</x:f>
        <x:v>보류</x:v>
      </x:c>
      <x:c r="J136" s="2" t="str">
        <x:f>IF('신청 원장'!W1082="","",'신청 원장'!W1082)</x:f>
        <x:v>담당기관 확인</x:v>
      </x:c>
      <x:c r="K136" s="2" t="str">
        <x:f>IF('신청 원장'!X1082="","",'신청 원장'!X1082)</x:f>
        <x:v>원본·배정 기록 확인</x:v>
      </x:c>
      <x:c r="L136" s="2" t="str">
        <x:f>IF('신청 원장'!R1082="","",'신청 원장'!R1082)</x:f>
        <x:v>국내평가</x:v>
      </x:c>
      <x:c r="M136" s="2" t="n">
        <x:f>IF('신청 원장'!S1082="","",'신청 원장'!S1082)</x:f>
        <x:v>985</x:v>
      </x:c>
      <x:c r="N136" s="2" t="str">
        <x:f>IF('신청 원장'!K1082&lt;&gt;"미종결 표시","종결 상태 확인",IF('신청 원장'!N1082="","일자 확인 필요",IF('신청 원장'!N1082&gt;365,"366일 이상",IF('신청 원장'!N1082&gt;90,"91~365일",IF('신청 원장'!N1082&gt;30,"31~90일","0~30일")))))</x:f>
        <x:v>366일 이상</x:v>
      </x:c>
      <x:c r="O136" s="2" t="str">
        <x:f>IF(OR('신청 원장'!L1082="",'신청 원장'!L1082="선택"),"담당 원문 확인","기재")</x:f>
        <x:v>담당 원문 확인</x:v>
      </x:c>
      <x:c r="P136" s="2" t="str">
        <x:f>IF('신청 원장'!A1082="","",'신청 원장'!A1082)</x:f>
        <x:v>13271ea631fdaece4747bbe3</x:v>
      </x:c>
    </x:row>
    <x:row r="137" ht="42" customHeight="1">
      <x:c r="A137" s="2" t="str">
        <x:f>IF('신청 원장'!B1083="","",'신청 원장'!B1083)</x:f>
        <x:v>사업 평가</x:v>
      </x:c>
      <x:c r="B137" s="7" t="str">
        <x:f>IF('신청 원장'!D1083="","",'신청 원장'!D1083)</x:f>
        <x:v>한국동서발전(주) 태양광발전 설치 및 자가 사용 프로그램 감축사업</x:v>
      </x:c>
      <x:c r="C137" s="2" t="str">
        <x:f>IF('신청 원장'!F1083="","",'신청 원장'!F1083)</x:f>
        <x:v>2022-10-07</x:v>
      </x:c>
      <x:c r="D137" s="2" t="str">
        <x:f>IF('신청 원장'!J1083="","",'신청 원장'!J1083)</x:f>
        <x:v>보류</x:v>
      </x:c>
      <x:c r="E137" s="2" t="str">
        <x:f>IF('신청 원장'!L1083="","",'신청 원장'!L1083)</x:f>
      </x:c>
      <x:c r="F137" s="2" t="str">
        <x:f>IF('신청 원장'!M1083="","",'신청 원장'!M1083)</x:f>
      </x:c>
      <x:c r="G137" s="2" t="n">
        <x:f>IF('신청 원장'!N1083="","",'신청 원장'!N1083)</x:f>
        <x:v>1469</x:v>
      </x:c>
      <x:c r="H137" s="2" t="str">
        <x:f>IF('신청 원장'!AA1083="","",'신청 원장'!AA1083)</x:f>
        <x:v>내부 관찰 대상</x:v>
      </x:c>
      <x:c r="I137" s="2" t="str">
        <x:f>IF('신청 원장'!O1083="","",'신청 원장'!O1083)</x:f>
        <x:v>보류</x:v>
      </x:c>
      <x:c r="J137" s="2" t="str">
        <x:f>IF('신청 원장'!W1083="","",'신청 원장'!W1083)</x:f>
        <x:v>담당기관 확인</x:v>
      </x:c>
      <x:c r="K137" s="2" t="str">
        <x:f>IF('신청 원장'!X1083="","",'신청 원장'!X1083)</x:f>
        <x:v>원본·배정 기록 확인</x:v>
      </x:c>
      <x:c r="L137" s="2" t="str">
        <x:f>IF('신청 원장'!R1083="","",'신청 원장'!R1083)</x:f>
        <x:v>국내평가</x:v>
      </x:c>
      <x:c r="M137" s="2" t="n">
        <x:f>IF('신청 원장'!S1083="","",'신청 원장'!S1083)</x:f>
        <x:v>986</x:v>
      </x:c>
      <x:c r="N137" s="2" t="str">
        <x:f>IF('신청 원장'!K1083&lt;&gt;"미종결 표시","종결 상태 확인",IF('신청 원장'!N1083="","일자 확인 필요",IF('신청 원장'!N1083&gt;365,"366일 이상",IF('신청 원장'!N1083&gt;90,"91~365일",IF('신청 원장'!N1083&gt;30,"31~90일","0~30일")))))</x:f>
        <x:v>366일 이상</x:v>
      </x:c>
      <x:c r="O137" s="2" t="str">
        <x:f>IF(OR('신청 원장'!L1083="",'신청 원장'!L1083="선택"),"담당 원문 확인","기재")</x:f>
        <x:v>담당 원문 확인</x:v>
      </x:c>
      <x:c r="P137" s="2" t="str">
        <x:f>IF('신청 원장'!A1083="","",'신청 원장'!A1083)</x:f>
        <x:v>0b7ac3373e243c8e25bdb727</x:v>
      </x:c>
    </x:row>
    <x:row r="138" ht="42" customHeight="1">
      <x:c r="A138" s="2" t="str">
        <x:f>IF('신청 원장'!B1085="","",'신청 원장'!B1085)</x:f>
        <x:v>사업 평가</x:v>
      </x:c>
      <x:c r="B138" s="7" t="str">
        <x:f>IF('신청 원장'!D1085="","",'신청 원장'!D1085)</x:f>
        <x:v>한국동서발전(주) 태양광발전 설치 및 자가 사용 프로그램 감축사업</x:v>
      </x:c>
      <x:c r="C138" s="2" t="str">
        <x:f>IF('신청 원장'!F1085="","",'신청 원장'!F1085)</x:f>
        <x:v>2022-10-11</x:v>
      </x:c>
      <x:c r="D138" s="2" t="str">
        <x:f>IF('신청 원장'!J1085="","",'신청 원장'!J1085)</x:f>
        <x:v>보류</x:v>
      </x:c>
      <x:c r="E138" s="2" t="str">
        <x:f>IF('신청 원장'!L1085="","",'신청 원장'!L1085)</x:f>
      </x:c>
      <x:c r="F138" s="2" t="str">
        <x:f>IF('신청 원장'!M1085="","",'신청 원장'!M1085)</x:f>
      </x:c>
      <x:c r="G138" s="2" t="n">
        <x:f>IF('신청 원장'!N1085="","",'신청 원장'!N1085)</x:f>
        <x:v>1465</x:v>
      </x:c>
      <x:c r="H138" s="2" t="str">
        <x:f>IF('신청 원장'!AA1085="","",'신청 원장'!AA1085)</x:f>
        <x:v>내부 관찰 대상</x:v>
      </x:c>
      <x:c r="I138" s="2" t="str">
        <x:f>IF('신청 원장'!O1085="","",'신청 원장'!O1085)</x:f>
        <x:v>보류</x:v>
      </x:c>
      <x:c r="J138" s="2" t="str">
        <x:f>IF('신청 원장'!W1085="","",'신청 원장'!W1085)</x:f>
        <x:v>담당기관 확인</x:v>
      </x:c>
      <x:c r="K138" s="2" t="str">
        <x:f>IF('신청 원장'!X1085="","",'신청 원장'!X1085)</x:f>
        <x:v>원본·배정 기록 확인</x:v>
      </x:c>
      <x:c r="L138" s="2" t="str">
        <x:f>IF('신청 원장'!R1085="","",'신청 원장'!R1085)</x:f>
        <x:v>국내평가</x:v>
      </x:c>
      <x:c r="M138" s="2" t="n">
        <x:f>IF('신청 원장'!S1085="","",'신청 원장'!S1085)</x:f>
        <x:v>988</x:v>
      </x:c>
      <x:c r="N138" s="2" t="str">
        <x:f>IF('신청 원장'!K1085&lt;&gt;"미종결 표시","종결 상태 확인",IF('신청 원장'!N1085="","일자 확인 필요",IF('신청 원장'!N1085&gt;365,"366일 이상",IF('신청 원장'!N1085&gt;90,"91~365일",IF('신청 원장'!N1085&gt;30,"31~90일","0~30일")))))</x:f>
        <x:v>366일 이상</x:v>
      </x:c>
      <x:c r="O138" s="2" t="str">
        <x:f>IF(OR('신청 원장'!L1085="",'신청 원장'!L1085="선택"),"담당 원문 확인","기재")</x:f>
        <x:v>담당 원문 확인</x:v>
      </x:c>
      <x:c r="P138" s="2" t="str">
        <x:f>IF('신청 원장'!A1085="","",'신청 원장'!A1085)</x:f>
        <x:v>4648cdf4afd2e6e452650d1f</x:v>
      </x:c>
    </x:row>
    <x:row r="139" ht="42" customHeight="1">
      <x:c r="A139" s="2" t="str">
        <x:f>IF('신청 원장'!B1086="","",'신청 원장'!B1086)</x:f>
        <x:v>사업 평가</x:v>
      </x:c>
      <x:c r="B139" s="7" t="str">
        <x:f>IF('신청 원장'!D1086="","",'신청 원장'!D1086)</x:f>
        <x:v>한국동서발전(주) 태양광발전 설치 및 자가 사용 프로그램 감축사업</x:v>
      </x:c>
      <x:c r="C139" s="2" t="str">
        <x:f>IF('신청 원장'!F1086="","",'신청 원장'!F1086)</x:f>
        <x:v>2022-10-11</x:v>
      </x:c>
      <x:c r="D139" s="2" t="str">
        <x:f>IF('신청 원장'!J1086="","",'신청 원장'!J1086)</x:f>
        <x:v>보류</x:v>
      </x:c>
      <x:c r="E139" s="2" t="str">
        <x:f>IF('신청 원장'!L1086="","",'신청 원장'!L1086)</x:f>
      </x:c>
      <x:c r="F139" s="2" t="str">
        <x:f>IF('신청 원장'!M1086="","",'신청 원장'!M1086)</x:f>
      </x:c>
      <x:c r="G139" s="2" t="n">
        <x:f>IF('신청 원장'!N1086="","",'신청 원장'!N1086)</x:f>
        <x:v>1465</x:v>
      </x:c>
      <x:c r="H139" s="2" t="str">
        <x:f>IF('신청 원장'!AA1086="","",'신청 원장'!AA1086)</x:f>
        <x:v>내부 관찰 대상</x:v>
      </x:c>
      <x:c r="I139" s="2" t="str">
        <x:f>IF('신청 원장'!O1086="","",'신청 원장'!O1086)</x:f>
        <x:v>보류</x:v>
      </x:c>
      <x:c r="J139" s="2" t="str">
        <x:f>IF('신청 원장'!W1086="","",'신청 원장'!W1086)</x:f>
        <x:v>담당기관 확인</x:v>
      </x:c>
      <x:c r="K139" s="2" t="str">
        <x:f>IF('신청 원장'!X1086="","",'신청 원장'!X1086)</x:f>
        <x:v>원본·배정 기록 확인</x:v>
      </x:c>
      <x:c r="L139" s="2" t="str">
        <x:f>IF('신청 원장'!R1086="","",'신청 원장'!R1086)</x:f>
        <x:v>국내평가</x:v>
      </x:c>
      <x:c r="M139" s="2" t="n">
        <x:f>IF('신청 원장'!S1086="","",'신청 원장'!S1086)</x:f>
        <x:v>989</x:v>
      </x:c>
      <x:c r="N139" s="2" t="str">
        <x:f>IF('신청 원장'!K1086&lt;&gt;"미종결 표시","종결 상태 확인",IF('신청 원장'!N1086="","일자 확인 필요",IF('신청 원장'!N1086&gt;365,"366일 이상",IF('신청 원장'!N1086&gt;90,"91~365일",IF('신청 원장'!N1086&gt;30,"31~90일","0~30일")))))</x:f>
        <x:v>366일 이상</x:v>
      </x:c>
      <x:c r="O139" s="2" t="str">
        <x:f>IF(OR('신청 원장'!L1086="",'신청 원장'!L1086="선택"),"담당 원문 확인","기재")</x:f>
        <x:v>담당 원문 확인</x:v>
      </x:c>
      <x:c r="P139" s="2" t="str">
        <x:f>IF('신청 원장'!A1086="","",'신청 원장'!A1086)</x:f>
        <x:v>e1afa3f454d473d12dcd2bd6</x:v>
      </x:c>
    </x:row>
    <x:row r="140" ht="42" customHeight="1">
      <x:c r="A140" s="2" t="str">
        <x:f>IF('신청 원장'!B1091="","",'신청 원장'!B1091)</x:f>
        <x:v>사업 평가</x:v>
      </x:c>
      <x:c r="B140" s="7" t="str">
        <x:f>IF('신청 원장'!D1091="","",'신청 원장'!D1091)</x:f>
        <x:v>한국동서발전(주) 태양광발전 설치 및 자가 사용 프로그램 감축사업</x:v>
      </x:c>
      <x:c r="C140" s="2" t="str">
        <x:f>IF('신청 원장'!F1091="","",'신청 원장'!F1091)</x:f>
        <x:v>2022-10-11</x:v>
      </x:c>
      <x:c r="D140" s="2" t="str">
        <x:f>IF('신청 원장'!J1091="","",'신청 원장'!J1091)</x:f>
        <x:v>보류</x:v>
      </x:c>
      <x:c r="E140" s="2" t="str">
        <x:f>IF('신청 원장'!L1091="","",'신청 원장'!L1091)</x:f>
      </x:c>
      <x:c r="F140" s="2" t="str">
        <x:f>IF('신청 원장'!M1091="","",'신청 원장'!M1091)</x:f>
      </x:c>
      <x:c r="G140" s="2" t="n">
        <x:f>IF('신청 원장'!N1091="","",'신청 원장'!N1091)</x:f>
        <x:v>1465</x:v>
      </x:c>
      <x:c r="H140" s="2" t="str">
        <x:f>IF('신청 원장'!AA1091="","",'신청 원장'!AA1091)</x:f>
        <x:v>내부 관찰 대상</x:v>
      </x:c>
      <x:c r="I140" s="2" t="str">
        <x:f>IF('신청 원장'!O1091="","",'신청 원장'!O1091)</x:f>
        <x:v>보류</x:v>
      </x:c>
      <x:c r="J140" s="2" t="str">
        <x:f>IF('신청 원장'!W1091="","",'신청 원장'!W1091)</x:f>
        <x:v>담당기관 확인</x:v>
      </x:c>
      <x:c r="K140" s="2" t="str">
        <x:f>IF('신청 원장'!X1091="","",'신청 원장'!X1091)</x:f>
        <x:v>원본·배정 기록 확인</x:v>
      </x:c>
      <x:c r="L140" s="2" t="str">
        <x:f>IF('신청 원장'!R1091="","",'신청 원장'!R1091)</x:f>
        <x:v>국내평가</x:v>
      </x:c>
      <x:c r="M140" s="2" t="n">
        <x:f>IF('신청 원장'!S1091="","",'신청 원장'!S1091)</x:f>
        <x:v>994</x:v>
      </x:c>
      <x:c r="N140" s="2" t="str">
        <x:f>IF('신청 원장'!K1091&lt;&gt;"미종결 표시","종결 상태 확인",IF('신청 원장'!N1091="","일자 확인 필요",IF('신청 원장'!N1091&gt;365,"366일 이상",IF('신청 원장'!N1091&gt;90,"91~365일",IF('신청 원장'!N1091&gt;30,"31~90일","0~30일")))))</x:f>
        <x:v>366일 이상</x:v>
      </x:c>
      <x:c r="O140" s="2" t="str">
        <x:f>IF(OR('신청 원장'!L1091="",'신청 원장'!L1091="선택"),"담당 원문 확인","기재")</x:f>
        <x:v>담당 원문 확인</x:v>
      </x:c>
      <x:c r="P140" s="2" t="str">
        <x:f>IF('신청 원장'!A1091="","",'신청 원장'!A1091)</x:f>
        <x:v>8250248e8f405bf78a0c7b40</x:v>
      </x:c>
    </x:row>
    <x:row r="141" ht="42" customHeight="1">
      <x:c r="A141" s="2" t="str">
        <x:f>IF('신청 원장'!B1095="","",'신청 원장'!B1095)</x:f>
        <x:v>사업 평가</x:v>
      </x:c>
      <x:c r="B141" s="7" t="str">
        <x:f>IF('신청 원장'!D1095="","",'신청 원장'!D1095)</x:f>
        <x:v>한국동서발전(주) 태양광발전 설치 및 자가 사용 프로그램 감축사업</x:v>
      </x:c>
      <x:c r="C141" s="2" t="str">
        <x:f>IF('신청 원장'!F1095="","",'신청 원장'!F1095)</x:f>
        <x:v>2022-10-07</x:v>
      </x:c>
      <x:c r="D141" s="2" t="str">
        <x:f>IF('신청 원장'!J1095="","",'신청 원장'!J1095)</x:f>
        <x:v>보류</x:v>
      </x:c>
      <x:c r="E141" s="2" t="str">
        <x:f>IF('신청 원장'!L1095="","",'신청 원장'!L1095)</x:f>
      </x:c>
      <x:c r="F141" s="2" t="str">
        <x:f>IF('신청 원장'!M1095="","",'신청 원장'!M1095)</x:f>
      </x:c>
      <x:c r="G141" s="2" t="n">
        <x:f>IF('신청 원장'!N1095="","",'신청 원장'!N1095)</x:f>
        <x:v>1469</x:v>
      </x:c>
      <x:c r="H141" s="2" t="str">
        <x:f>IF('신청 원장'!AA1095="","",'신청 원장'!AA1095)</x:f>
        <x:v>내부 관찰 대상</x:v>
      </x:c>
      <x:c r="I141" s="2" t="str">
        <x:f>IF('신청 원장'!O1095="","",'신청 원장'!O1095)</x:f>
        <x:v>보류</x:v>
      </x:c>
      <x:c r="J141" s="2" t="str">
        <x:f>IF('신청 원장'!W1095="","",'신청 원장'!W1095)</x:f>
        <x:v>담당기관 확인</x:v>
      </x:c>
      <x:c r="K141" s="2" t="str">
        <x:f>IF('신청 원장'!X1095="","",'신청 원장'!X1095)</x:f>
        <x:v>원본·배정 기록 확인</x:v>
      </x:c>
      <x:c r="L141" s="2" t="str">
        <x:f>IF('신청 원장'!R1095="","",'신청 원장'!R1095)</x:f>
        <x:v>국내평가</x:v>
      </x:c>
      <x:c r="M141" s="2" t="n">
        <x:f>IF('신청 원장'!S1095="","",'신청 원장'!S1095)</x:f>
        <x:v>998</x:v>
      </x:c>
      <x:c r="N141" s="2" t="str">
        <x:f>IF('신청 원장'!K1095&lt;&gt;"미종결 표시","종결 상태 확인",IF('신청 원장'!N1095="","일자 확인 필요",IF('신청 원장'!N1095&gt;365,"366일 이상",IF('신청 원장'!N1095&gt;90,"91~365일",IF('신청 원장'!N1095&gt;30,"31~90일","0~30일")))))</x:f>
        <x:v>366일 이상</x:v>
      </x:c>
      <x:c r="O141" s="2" t="str">
        <x:f>IF(OR('신청 원장'!L1095="",'신청 원장'!L1095="선택"),"담당 원문 확인","기재")</x:f>
        <x:v>담당 원문 확인</x:v>
      </x:c>
      <x:c r="P141" s="2" t="str">
        <x:f>IF('신청 원장'!A1095="","",'신청 원장'!A1095)</x:f>
        <x:v>1e376be9c71a2c8e8bdf799e</x:v>
      </x:c>
    </x:row>
    <x:row r="142" ht="42" customHeight="1">
      <x:c r="A142" s="2" t="str">
        <x:f>IF('신청 원장'!B1098="","",'신청 원장'!B1098)</x:f>
        <x:v>사업 평가</x:v>
      </x:c>
      <x:c r="B142" s="7" t="str">
        <x:f>IF('신청 원장'!D1098="","",'신청 원장'!D1098)</x:f>
        <x:v>한국동서발전(주) 태양광발전 설치 및 자가 사용 프로그램 감축사업</x:v>
      </x:c>
      <x:c r="C142" s="2" t="str">
        <x:f>IF('신청 원장'!F1098="","",'신청 원장'!F1098)</x:f>
        <x:v>2022-10-07</x:v>
      </x:c>
      <x:c r="D142" s="2" t="str">
        <x:f>IF('신청 원장'!J1098="","",'신청 원장'!J1098)</x:f>
        <x:v>보류</x:v>
      </x:c>
      <x:c r="E142" s="2" t="str">
        <x:f>IF('신청 원장'!L1098="","",'신청 원장'!L1098)</x:f>
      </x:c>
      <x:c r="F142" s="2" t="str">
        <x:f>IF('신청 원장'!M1098="","",'신청 원장'!M1098)</x:f>
      </x:c>
      <x:c r="G142" s="2" t="n">
        <x:f>IF('신청 원장'!N1098="","",'신청 원장'!N1098)</x:f>
        <x:v>1469</x:v>
      </x:c>
      <x:c r="H142" s="2" t="str">
        <x:f>IF('신청 원장'!AA1098="","",'신청 원장'!AA1098)</x:f>
        <x:v>내부 관찰 대상</x:v>
      </x:c>
      <x:c r="I142" s="2" t="str">
        <x:f>IF('신청 원장'!O1098="","",'신청 원장'!O1098)</x:f>
        <x:v>보류</x:v>
      </x:c>
      <x:c r="J142" s="2" t="str">
        <x:f>IF('신청 원장'!W1098="","",'신청 원장'!W1098)</x:f>
        <x:v>담당기관 확인</x:v>
      </x:c>
      <x:c r="K142" s="2" t="str">
        <x:f>IF('신청 원장'!X1098="","",'신청 원장'!X1098)</x:f>
        <x:v>원본·배정 기록 확인</x:v>
      </x:c>
      <x:c r="L142" s="2" t="str">
        <x:f>IF('신청 원장'!R1098="","",'신청 원장'!R1098)</x:f>
        <x:v>국내평가</x:v>
      </x:c>
      <x:c r="M142" s="2" t="n">
        <x:f>IF('신청 원장'!S1098="","",'신청 원장'!S1098)</x:f>
        <x:v>1001</x:v>
      </x:c>
      <x:c r="N142" s="2" t="str">
        <x:f>IF('신청 원장'!K1098&lt;&gt;"미종결 표시","종결 상태 확인",IF('신청 원장'!N1098="","일자 확인 필요",IF('신청 원장'!N1098&gt;365,"366일 이상",IF('신청 원장'!N1098&gt;90,"91~365일",IF('신청 원장'!N1098&gt;30,"31~90일","0~30일")))))</x:f>
        <x:v>366일 이상</x:v>
      </x:c>
      <x:c r="O142" s="2" t="str">
        <x:f>IF(OR('신청 원장'!L1098="",'신청 원장'!L1098="선택"),"담당 원문 확인","기재")</x:f>
        <x:v>담당 원문 확인</x:v>
      </x:c>
      <x:c r="P142" s="2" t="str">
        <x:f>IF('신청 원장'!A1098="","",'신청 원장'!A1098)</x:f>
        <x:v>708a638dc38cbbb0bcaeee98</x:v>
      </x:c>
    </x:row>
    <x:row r="143" ht="42" customHeight="1">
      <x:c r="A143" s="2" t="str">
        <x:f>IF('신청 원장'!B1099="","",'신청 원장'!B1099)</x:f>
        <x:v>사업 평가</x:v>
      </x:c>
      <x:c r="B143" s="7" t="str">
        <x:f>IF('신청 원장'!D1099="","",'신청 원장'!D1099)</x:f>
        <x:v>한국동서발전(주) 태양광발전 설치 및 자가 사용 프로그램 감축사업</x:v>
      </x:c>
      <x:c r="C143" s="2" t="str">
        <x:f>IF('신청 원장'!F1099="","",'신청 원장'!F1099)</x:f>
        <x:v>2022-10-07</x:v>
      </x:c>
      <x:c r="D143" s="2" t="str">
        <x:f>IF('신청 원장'!J1099="","",'신청 원장'!J1099)</x:f>
        <x:v>보류</x:v>
      </x:c>
      <x:c r="E143" s="2" t="str">
        <x:f>IF('신청 원장'!L1099="","",'신청 원장'!L1099)</x:f>
      </x:c>
      <x:c r="F143" s="2" t="str">
        <x:f>IF('신청 원장'!M1099="","",'신청 원장'!M1099)</x:f>
      </x:c>
      <x:c r="G143" s="2" t="n">
        <x:f>IF('신청 원장'!N1099="","",'신청 원장'!N1099)</x:f>
        <x:v>1469</x:v>
      </x:c>
      <x:c r="H143" s="2" t="str">
        <x:f>IF('신청 원장'!AA1099="","",'신청 원장'!AA1099)</x:f>
        <x:v>내부 관찰 대상</x:v>
      </x:c>
      <x:c r="I143" s="2" t="str">
        <x:f>IF('신청 원장'!O1099="","",'신청 원장'!O1099)</x:f>
        <x:v>보류</x:v>
      </x:c>
      <x:c r="J143" s="2" t="str">
        <x:f>IF('신청 원장'!W1099="","",'신청 원장'!W1099)</x:f>
        <x:v>담당기관 확인</x:v>
      </x:c>
      <x:c r="K143" s="2" t="str">
        <x:f>IF('신청 원장'!X1099="","",'신청 원장'!X1099)</x:f>
        <x:v>원본·배정 기록 확인</x:v>
      </x:c>
      <x:c r="L143" s="2" t="str">
        <x:f>IF('신청 원장'!R1099="","",'신청 원장'!R1099)</x:f>
        <x:v>국내평가</x:v>
      </x:c>
      <x:c r="M143" s="2" t="n">
        <x:f>IF('신청 원장'!S1099="","",'신청 원장'!S1099)</x:f>
        <x:v>1002</x:v>
      </x:c>
      <x:c r="N143" s="2" t="str">
        <x:f>IF('신청 원장'!K1099&lt;&gt;"미종결 표시","종결 상태 확인",IF('신청 원장'!N1099="","일자 확인 필요",IF('신청 원장'!N1099&gt;365,"366일 이상",IF('신청 원장'!N1099&gt;90,"91~365일",IF('신청 원장'!N1099&gt;30,"31~90일","0~30일")))))</x:f>
        <x:v>366일 이상</x:v>
      </x:c>
      <x:c r="O143" s="2" t="str">
        <x:f>IF(OR('신청 원장'!L1099="",'신청 원장'!L1099="선택"),"담당 원문 확인","기재")</x:f>
        <x:v>담당 원문 확인</x:v>
      </x:c>
      <x:c r="P143" s="2" t="str">
        <x:f>IF('신청 원장'!A1099="","",'신청 원장'!A1099)</x:f>
        <x:v>6b17dc84ff733df1e3a658ea</x:v>
      </x:c>
    </x:row>
    <x:row r="144" ht="42" customHeight="1">
      <x:c r="A144" s="2" t="str">
        <x:f>IF('신청 원장'!B1100="","",'신청 원장'!B1100)</x:f>
        <x:v>사업 평가</x:v>
      </x:c>
      <x:c r="B144" s="7" t="str">
        <x:f>IF('신청 원장'!D1100="","",'신청 원장'!D1100)</x:f>
        <x:v>한국동서발전(주) 태양광발전 설치 및 자가 사용 프로그램 감축사업</x:v>
      </x:c>
      <x:c r="C144" s="2" t="str">
        <x:f>IF('신청 원장'!F1100="","",'신청 원장'!F1100)</x:f>
        <x:v>2022-10-07</x:v>
      </x:c>
      <x:c r="D144" s="2" t="str">
        <x:f>IF('신청 원장'!J1100="","",'신청 원장'!J1100)</x:f>
        <x:v>보류</x:v>
      </x:c>
      <x:c r="E144" s="2" t="str">
        <x:f>IF('신청 원장'!L1100="","",'신청 원장'!L1100)</x:f>
      </x:c>
      <x:c r="F144" s="2" t="str">
        <x:f>IF('신청 원장'!M1100="","",'신청 원장'!M1100)</x:f>
      </x:c>
      <x:c r="G144" s="2" t="n">
        <x:f>IF('신청 원장'!N1100="","",'신청 원장'!N1100)</x:f>
        <x:v>1469</x:v>
      </x:c>
      <x:c r="H144" s="2" t="str">
        <x:f>IF('신청 원장'!AA1100="","",'신청 원장'!AA1100)</x:f>
        <x:v>내부 관찰 대상</x:v>
      </x:c>
      <x:c r="I144" s="2" t="str">
        <x:f>IF('신청 원장'!O1100="","",'신청 원장'!O1100)</x:f>
        <x:v>보류</x:v>
      </x:c>
      <x:c r="J144" s="2" t="str">
        <x:f>IF('신청 원장'!W1100="","",'신청 원장'!W1100)</x:f>
        <x:v>담당기관 확인</x:v>
      </x:c>
      <x:c r="K144" s="2" t="str">
        <x:f>IF('신청 원장'!X1100="","",'신청 원장'!X1100)</x:f>
        <x:v>원본·배정 기록 확인</x:v>
      </x:c>
      <x:c r="L144" s="2" t="str">
        <x:f>IF('신청 원장'!R1100="","",'신청 원장'!R1100)</x:f>
        <x:v>국내평가</x:v>
      </x:c>
      <x:c r="M144" s="2" t="n">
        <x:f>IF('신청 원장'!S1100="","",'신청 원장'!S1100)</x:f>
        <x:v>1003</x:v>
      </x:c>
      <x:c r="N144" s="2" t="str">
        <x:f>IF('신청 원장'!K1100&lt;&gt;"미종결 표시","종결 상태 확인",IF('신청 원장'!N1100="","일자 확인 필요",IF('신청 원장'!N1100&gt;365,"366일 이상",IF('신청 원장'!N1100&gt;90,"91~365일",IF('신청 원장'!N1100&gt;30,"31~90일","0~30일")))))</x:f>
        <x:v>366일 이상</x:v>
      </x:c>
      <x:c r="O144" s="2" t="str">
        <x:f>IF(OR('신청 원장'!L1100="",'신청 원장'!L1100="선택"),"담당 원문 확인","기재")</x:f>
        <x:v>담당 원문 확인</x:v>
      </x:c>
      <x:c r="P144" s="2" t="str">
        <x:f>IF('신청 원장'!A1100="","",'신청 원장'!A1100)</x:f>
        <x:v>7f80c0ae42638a56cb87a10e</x:v>
      </x:c>
    </x:row>
    <x:row r="145" ht="42" customHeight="1">
      <x:c r="A145" s="2" t="str">
        <x:f>IF('신청 원장'!B1101="","",'신청 원장'!B1101)</x:f>
        <x:v>사업 평가</x:v>
      </x:c>
      <x:c r="B145" s="7" t="str">
        <x:f>IF('신청 원장'!D1101="","",'신청 원장'!D1101)</x:f>
        <x:v>한국동서발전(주) 태양광발전 설치 및 자가 사용 프로그램 감축사업</x:v>
      </x:c>
      <x:c r="C145" s="2" t="str">
        <x:f>IF('신청 원장'!F1101="","",'신청 원장'!F1101)</x:f>
        <x:v>2022-10-07</x:v>
      </x:c>
      <x:c r="D145" s="2" t="str">
        <x:f>IF('신청 원장'!J1101="","",'신청 원장'!J1101)</x:f>
        <x:v>보류</x:v>
      </x:c>
      <x:c r="E145" s="2" t="str">
        <x:f>IF('신청 원장'!L1101="","",'신청 원장'!L1101)</x:f>
      </x:c>
      <x:c r="F145" s="2" t="str">
        <x:f>IF('신청 원장'!M1101="","",'신청 원장'!M1101)</x:f>
      </x:c>
      <x:c r="G145" s="2" t="n">
        <x:f>IF('신청 원장'!N1101="","",'신청 원장'!N1101)</x:f>
        <x:v>1469</x:v>
      </x:c>
      <x:c r="H145" s="2" t="str">
        <x:f>IF('신청 원장'!AA1101="","",'신청 원장'!AA1101)</x:f>
        <x:v>내부 관찰 대상</x:v>
      </x:c>
      <x:c r="I145" s="2" t="str">
        <x:f>IF('신청 원장'!O1101="","",'신청 원장'!O1101)</x:f>
        <x:v>보류</x:v>
      </x:c>
      <x:c r="J145" s="2" t="str">
        <x:f>IF('신청 원장'!W1101="","",'신청 원장'!W1101)</x:f>
        <x:v>담당기관 확인</x:v>
      </x:c>
      <x:c r="K145" s="2" t="str">
        <x:f>IF('신청 원장'!X1101="","",'신청 원장'!X1101)</x:f>
        <x:v>원본·배정 기록 확인</x:v>
      </x:c>
      <x:c r="L145" s="2" t="str">
        <x:f>IF('신청 원장'!R1101="","",'신청 원장'!R1101)</x:f>
        <x:v>국내평가</x:v>
      </x:c>
      <x:c r="M145" s="2" t="n">
        <x:f>IF('신청 원장'!S1101="","",'신청 원장'!S1101)</x:f>
        <x:v>1004</x:v>
      </x:c>
      <x:c r="N145" s="2" t="str">
        <x:f>IF('신청 원장'!K1101&lt;&gt;"미종결 표시","종결 상태 확인",IF('신청 원장'!N1101="","일자 확인 필요",IF('신청 원장'!N1101&gt;365,"366일 이상",IF('신청 원장'!N1101&gt;90,"91~365일",IF('신청 원장'!N1101&gt;30,"31~90일","0~30일")))))</x:f>
        <x:v>366일 이상</x:v>
      </x:c>
      <x:c r="O145" s="2" t="str">
        <x:f>IF(OR('신청 원장'!L1101="",'신청 원장'!L1101="선택"),"담당 원문 확인","기재")</x:f>
        <x:v>담당 원문 확인</x:v>
      </x:c>
      <x:c r="P145" s="2" t="str">
        <x:f>IF('신청 원장'!A1101="","",'신청 원장'!A1101)</x:f>
        <x:v>dd33d70df6730f0af88ad0e6</x:v>
      </x:c>
    </x:row>
    <x:row r="146" ht="42" customHeight="1">
      <x:c r="A146" s="2" t="str">
        <x:f>IF('신청 원장'!B1102="","",'신청 원장'!B1102)</x:f>
        <x:v>사업 평가</x:v>
      </x:c>
      <x:c r="B146" s="7" t="str">
        <x:f>IF('신청 원장'!D1102="","",'신청 원장'!D1102)</x:f>
        <x:v>한국동서발전(주) 태양광발전 설치 및 자가 사용 프로그램 감축사업</x:v>
      </x:c>
      <x:c r="C146" s="2" t="str">
        <x:f>IF('신청 원장'!F1102="","",'신청 원장'!F1102)</x:f>
        <x:v>2022-10-07</x:v>
      </x:c>
      <x:c r="D146" s="2" t="str">
        <x:f>IF('신청 원장'!J1102="","",'신청 원장'!J1102)</x:f>
        <x:v>보류</x:v>
      </x:c>
      <x:c r="E146" s="2" t="str">
        <x:f>IF('신청 원장'!L1102="","",'신청 원장'!L1102)</x:f>
      </x:c>
      <x:c r="F146" s="2" t="str">
        <x:f>IF('신청 원장'!M1102="","",'신청 원장'!M1102)</x:f>
      </x:c>
      <x:c r="G146" s="2" t="n">
        <x:f>IF('신청 원장'!N1102="","",'신청 원장'!N1102)</x:f>
        <x:v>1469</x:v>
      </x:c>
      <x:c r="H146" s="2" t="str">
        <x:f>IF('신청 원장'!AA1102="","",'신청 원장'!AA1102)</x:f>
        <x:v>내부 관찰 대상</x:v>
      </x:c>
      <x:c r="I146" s="2" t="str">
        <x:f>IF('신청 원장'!O1102="","",'신청 원장'!O1102)</x:f>
        <x:v>보류</x:v>
      </x:c>
      <x:c r="J146" s="2" t="str">
        <x:f>IF('신청 원장'!W1102="","",'신청 원장'!W1102)</x:f>
        <x:v>담당기관 확인</x:v>
      </x:c>
      <x:c r="K146" s="2" t="str">
        <x:f>IF('신청 원장'!X1102="","",'신청 원장'!X1102)</x:f>
        <x:v>원본·배정 기록 확인</x:v>
      </x:c>
      <x:c r="L146" s="2" t="str">
        <x:f>IF('신청 원장'!R1102="","",'신청 원장'!R1102)</x:f>
        <x:v>국내평가</x:v>
      </x:c>
      <x:c r="M146" s="2" t="n">
        <x:f>IF('신청 원장'!S1102="","",'신청 원장'!S1102)</x:f>
        <x:v>1005</x:v>
      </x:c>
      <x:c r="N146" s="2" t="str">
        <x:f>IF('신청 원장'!K1102&lt;&gt;"미종결 표시","종결 상태 확인",IF('신청 원장'!N1102="","일자 확인 필요",IF('신청 원장'!N1102&gt;365,"366일 이상",IF('신청 원장'!N1102&gt;90,"91~365일",IF('신청 원장'!N1102&gt;30,"31~90일","0~30일")))))</x:f>
        <x:v>366일 이상</x:v>
      </x:c>
      <x:c r="O146" s="2" t="str">
        <x:f>IF(OR('신청 원장'!L1102="",'신청 원장'!L1102="선택"),"담당 원문 확인","기재")</x:f>
        <x:v>담당 원문 확인</x:v>
      </x:c>
      <x:c r="P146" s="2" t="str">
        <x:f>IF('신청 원장'!A1102="","",'신청 원장'!A1102)</x:f>
        <x:v>3ea787306522ad97f687c5f3</x:v>
      </x:c>
    </x:row>
    <x:row r="147" ht="42" customHeight="1">
      <x:c r="A147" s="2" t="str">
        <x:f>IF('신청 원장'!B1103="","",'신청 원장'!B1103)</x:f>
        <x:v>사업 평가</x:v>
      </x:c>
      <x:c r="B147" s="7" t="str">
        <x:f>IF('신청 원장'!D1103="","",'신청 원장'!D1103)</x:f>
        <x:v>한국동서발전(주) 태양광발전 설치 및 자가 사용 프로그램 감축사업</x:v>
      </x:c>
      <x:c r="C147" s="2" t="str">
        <x:f>IF('신청 원장'!F1103="","",'신청 원장'!F1103)</x:f>
        <x:v>2022-10-07</x:v>
      </x:c>
      <x:c r="D147" s="2" t="str">
        <x:f>IF('신청 원장'!J1103="","",'신청 원장'!J1103)</x:f>
        <x:v>보류</x:v>
      </x:c>
      <x:c r="E147" s="2" t="str">
        <x:f>IF('신청 원장'!L1103="","",'신청 원장'!L1103)</x:f>
      </x:c>
      <x:c r="F147" s="2" t="str">
        <x:f>IF('신청 원장'!M1103="","",'신청 원장'!M1103)</x:f>
      </x:c>
      <x:c r="G147" s="2" t="n">
        <x:f>IF('신청 원장'!N1103="","",'신청 원장'!N1103)</x:f>
        <x:v>1469</x:v>
      </x:c>
      <x:c r="H147" s="2" t="str">
        <x:f>IF('신청 원장'!AA1103="","",'신청 원장'!AA1103)</x:f>
        <x:v>내부 관찰 대상</x:v>
      </x:c>
      <x:c r="I147" s="2" t="str">
        <x:f>IF('신청 원장'!O1103="","",'신청 원장'!O1103)</x:f>
        <x:v>보류</x:v>
      </x:c>
      <x:c r="J147" s="2" t="str">
        <x:f>IF('신청 원장'!W1103="","",'신청 원장'!W1103)</x:f>
        <x:v>담당기관 확인</x:v>
      </x:c>
      <x:c r="K147" s="2" t="str">
        <x:f>IF('신청 원장'!X1103="","",'신청 원장'!X1103)</x:f>
        <x:v>원본·배정 기록 확인</x:v>
      </x:c>
      <x:c r="L147" s="2" t="str">
        <x:f>IF('신청 원장'!R1103="","",'신청 원장'!R1103)</x:f>
        <x:v>국내평가</x:v>
      </x:c>
      <x:c r="M147" s="2" t="n">
        <x:f>IF('신청 원장'!S1103="","",'신청 원장'!S1103)</x:f>
        <x:v>1006</x:v>
      </x:c>
      <x:c r="N147" s="2" t="str">
        <x:f>IF('신청 원장'!K1103&lt;&gt;"미종결 표시","종결 상태 확인",IF('신청 원장'!N1103="","일자 확인 필요",IF('신청 원장'!N1103&gt;365,"366일 이상",IF('신청 원장'!N1103&gt;90,"91~365일",IF('신청 원장'!N1103&gt;30,"31~90일","0~30일")))))</x:f>
        <x:v>366일 이상</x:v>
      </x:c>
      <x:c r="O147" s="2" t="str">
        <x:f>IF(OR('신청 원장'!L1103="",'신청 원장'!L1103="선택"),"담당 원문 확인","기재")</x:f>
        <x:v>담당 원문 확인</x:v>
      </x:c>
      <x:c r="P147" s="2" t="str">
        <x:f>IF('신청 원장'!A1103="","",'신청 원장'!A1103)</x:f>
        <x:v>fdddb5bd0fc795e0c7859702</x:v>
      </x:c>
    </x:row>
    <x:row r="148" ht="42" customHeight="1">
      <x:c r="A148" s="2" t="str">
        <x:f>IF('신청 원장'!B1104="","",'신청 원장'!B1104)</x:f>
        <x:v>사업 평가</x:v>
      </x:c>
      <x:c r="B148" s="7" t="str">
        <x:f>IF('신청 원장'!D1104="","",'신청 원장'!D1104)</x:f>
        <x:v>한국동서발전(주) 태양광발전 설치 및 자가 사용 프로그램 감축사업</x:v>
      </x:c>
      <x:c r="C148" s="2" t="str">
        <x:f>IF('신청 원장'!F1104="","",'신청 원장'!F1104)</x:f>
        <x:v>2022-10-07</x:v>
      </x:c>
      <x:c r="D148" s="2" t="str">
        <x:f>IF('신청 원장'!J1104="","",'신청 원장'!J1104)</x:f>
        <x:v>보류</x:v>
      </x:c>
      <x:c r="E148" s="2" t="str">
        <x:f>IF('신청 원장'!L1104="","",'신청 원장'!L1104)</x:f>
      </x:c>
      <x:c r="F148" s="2" t="str">
        <x:f>IF('신청 원장'!M1104="","",'신청 원장'!M1104)</x:f>
      </x:c>
      <x:c r="G148" s="2" t="n">
        <x:f>IF('신청 원장'!N1104="","",'신청 원장'!N1104)</x:f>
        <x:v>1469</x:v>
      </x:c>
      <x:c r="H148" s="2" t="str">
        <x:f>IF('신청 원장'!AA1104="","",'신청 원장'!AA1104)</x:f>
        <x:v>내부 관찰 대상</x:v>
      </x:c>
      <x:c r="I148" s="2" t="str">
        <x:f>IF('신청 원장'!O1104="","",'신청 원장'!O1104)</x:f>
        <x:v>보류</x:v>
      </x:c>
      <x:c r="J148" s="2" t="str">
        <x:f>IF('신청 원장'!W1104="","",'신청 원장'!W1104)</x:f>
        <x:v>담당기관 확인</x:v>
      </x:c>
      <x:c r="K148" s="2" t="str">
        <x:f>IF('신청 원장'!X1104="","",'신청 원장'!X1104)</x:f>
        <x:v>원본·배정 기록 확인</x:v>
      </x:c>
      <x:c r="L148" s="2" t="str">
        <x:f>IF('신청 원장'!R1104="","",'신청 원장'!R1104)</x:f>
        <x:v>국내평가</x:v>
      </x:c>
      <x:c r="M148" s="2" t="n">
        <x:f>IF('신청 원장'!S1104="","",'신청 원장'!S1104)</x:f>
        <x:v>1007</x:v>
      </x:c>
      <x:c r="N148" s="2" t="str">
        <x:f>IF('신청 원장'!K1104&lt;&gt;"미종결 표시","종결 상태 확인",IF('신청 원장'!N1104="","일자 확인 필요",IF('신청 원장'!N1104&gt;365,"366일 이상",IF('신청 원장'!N1104&gt;90,"91~365일",IF('신청 원장'!N1104&gt;30,"31~90일","0~30일")))))</x:f>
        <x:v>366일 이상</x:v>
      </x:c>
      <x:c r="O148" s="2" t="str">
        <x:f>IF(OR('신청 원장'!L1104="",'신청 원장'!L1104="선택"),"담당 원문 확인","기재")</x:f>
        <x:v>담당 원문 확인</x:v>
      </x:c>
      <x:c r="P148" s="2" t="str">
        <x:f>IF('신청 원장'!A1104="","",'신청 원장'!A1104)</x:f>
        <x:v>7a1313b6d508a4c4bdc21e94</x:v>
      </x:c>
    </x:row>
    <x:row r="149" ht="42" customHeight="1">
      <x:c r="A149" s="2" t="str">
        <x:f>IF('신청 원장'!B1105="","",'신청 원장'!B1105)</x:f>
        <x:v>사업 평가</x:v>
      </x:c>
      <x:c r="B149" s="7" t="str">
        <x:f>IF('신청 원장'!D1105="","",'신청 원장'!D1105)</x:f>
        <x:v>한국동서발전(주) 태양광발전 설치 및 자가 사용 프로그램 감축사업</x:v>
      </x:c>
      <x:c r="C149" s="2" t="str">
        <x:f>IF('신청 원장'!F1105="","",'신청 원장'!F1105)</x:f>
        <x:v>2022-10-07</x:v>
      </x:c>
      <x:c r="D149" s="2" t="str">
        <x:f>IF('신청 원장'!J1105="","",'신청 원장'!J1105)</x:f>
        <x:v>보류</x:v>
      </x:c>
      <x:c r="E149" s="2" t="str">
        <x:f>IF('신청 원장'!L1105="","",'신청 원장'!L1105)</x:f>
      </x:c>
      <x:c r="F149" s="2" t="str">
        <x:f>IF('신청 원장'!M1105="","",'신청 원장'!M1105)</x:f>
      </x:c>
      <x:c r="G149" s="2" t="n">
        <x:f>IF('신청 원장'!N1105="","",'신청 원장'!N1105)</x:f>
        <x:v>1469</x:v>
      </x:c>
      <x:c r="H149" s="2" t="str">
        <x:f>IF('신청 원장'!AA1105="","",'신청 원장'!AA1105)</x:f>
        <x:v>내부 관찰 대상</x:v>
      </x:c>
      <x:c r="I149" s="2" t="str">
        <x:f>IF('신청 원장'!O1105="","",'신청 원장'!O1105)</x:f>
        <x:v>보류</x:v>
      </x:c>
      <x:c r="J149" s="2" t="str">
        <x:f>IF('신청 원장'!W1105="","",'신청 원장'!W1105)</x:f>
        <x:v>담당기관 확인</x:v>
      </x:c>
      <x:c r="K149" s="2" t="str">
        <x:f>IF('신청 원장'!X1105="","",'신청 원장'!X1105)</x:f>
        <x:v>원본·배정 기록 확인</x:v>
      </x:c>
      <x:c r="L149" s="2" t="str">
        <x:f>IF('신청 원장'!R1105="","",'신청 원장'!R1105)</x:f>
        <x:v>국내평가</x:v>
      </x:c>
      <x:c r="M149" s="2" t="n">
        <x:f>IF('신청 원장'!S1105="","",'신청 원장'!S1105)</x:f>
        <x:v>1008</x:v>
      </x:c>
      <x:c r="N149" s="2" t="str">
        <x:f>IF('신청 원장'!K1105&lt;&gt;"미종결 표시","종결 상태 확인",IF('신청 원장'!N1105="","일자 확인 필요",IF('신청 원장'!N1105&gt;365,"366일 이상",IF('신청 원장'!N1105&gt;90,"91~365일",IF('신청 원장'!N1105&gt;30,"31~90일","0~30일")))))</x:f>
        <x:v>366일 이상</x:v>
      </x:c>
      <x:c r="O149" s="2" t="str">
        <x:f>IF(OR('신청 원장'!L1105="",'신청 원장'!L1105="선택"),"담당 원문 확인","기재")</x:f>
        <x:v>담당 원문 확인</x:v>
      </x:c>
      <x:c r="P149" s="2" t="str">
        <x:f>IF('신청 원장'!A1105="","",'신청 원장'!A1105)</x:f>
        <x:v>0f6f8876a435cb3ce75bfa1a</x:v>
      </x:c>
    </x:row>
    <x:row r="150" ht="42" customHeight="1">
      <x:c r="A150" s="2" t="str">
        <x:f>IF('신청 원장'!B1106="","",'신청 원장'!B1106)</x:f>
        <x:v>사업 평가</x:v>
      </x:c>
      <x:c r="B150" s="7" t="str">
        <x:f>IF('신청 원장'!D1106="","",'신청 원장'!D1106)</x:f>
        <x:v>한국동서발전(주) 태양광발전 설치 및 자가 사용 프로그램 감축사업</x:v>
      </x:c>
      <x:c r="C150" s="2" t="str">
        <x:f>IF('신청 원장'!F1106="","",'신청 원장'!F1106)</x:f>
        <x:v>2022-10-07</x:v>
      </x:c>
      <x:c r="D150" s="2" t="str">
        <x:f>IF('신청 원장'!J1106="","",'신청 원장'!J1106)</x:f>
        <x:v>보류</x:v>
      </x:c>
      <x:c r="E150" s="2" t="str">
        <x:f>IF('신청 원장'!L1106="","",'신청 원장'!L1106)</x:f>
      </x:c>
      <x:c r="F150" s="2" t="str">
        <x:f>IF('신청 원장'!M1106="","",'신청 원장'!M1106)</x:f>
      </x:c>
      <x:c r="G150" s="2" t="n">
        <x:f>IF('신청 원장'!N1106="","",'신청 원장'!N1106)</x:f>
        <x:v>1469</x:v>
      </x:c>
      <x:c r="H150" s="2" t="str">
        <x:f>IF('신청 원장'!AA1106="","",'신청 원장'!AA1106)</x:f>
        <x:v>내부 관찰 대상</x:v>
      </x:c>
      <x:c r="I150" s="2" t="str">
        <x:f>IF('신청 원장'!O1106="","",'신청 원장'!O1106)</x:f>
        <x:v>보류</x:v>
      </x:c>
      <x:c r="J150" s="2" t="str">
        <x:f>IF('신청 원장'!W1106="","",'신청 원장'!W1106)</x:f>
        <x:v>담당기관 확인</x:v>
      </x:c>
      <x:c r="K150" s="2" t="str">
        <x:f>IF('신청 원장'!X1106="","",'신청 원장'!X1106)</x:f>
        <x:v>원본·배정 기록 확인</x:v>
      </x:c>
      <x:c r="L150" s="2" t="str">
        <x:f>IF('신청 원장'!R1106="","",'신청 원장'!R1106)</x:f>
        <x:v>국내평가</x:v>
      </x:c>
      <x:c r="M150" s="2" t="n">
        <x:f>IF('신청 원장'!S1106="","",'신청 원장'!S1106)</x:f>
        <x:v>1009</x:v>
      </x:c>
      <x:c r="N150" s="2" t="str">
        <x:f>IF('신청 원장'!K1106&lt;&gt;"미종결 표시","종결 상태 확인",IF('신청 원장'!N1106="","일자 확인 필요",IF('신청 원장'!N1106&gt;365,"366일 이상",IF('신청 원장'!N1106&gt;90,"91~365일",IF('신청 원장'!N1106&gt;30,"31~90일","0~30일")))))</x:f>
        <x:v>366일 이상</x:v>
      </x:c>
      <x:c r="O150" s="2" t="str">
        <x:f>IF(OR('신청 원장'!L1106="",'신청 원장'!L1106="선택"),"담당 원문 확인","기재")</x:f>
        <x:v>담당 원문 확인</x:v>
      </x:c>
      <x:c r="P150" s="2" t="str">
        <x:f>IF('신청 원장'!A1106="","",'신청 원장'!A1106)</x:f>
        <x:v>e06a363691b16a5604683608</x:v>
      </x:c>
    </x:row>
    <x:row r="151" ht="42" customHeight="1">
      <x:c r="A151" s="2" t="str">
        <x:f>IF('신청 원장'!B1107="","",'신청 원장'!B1107)</x:f>
        <x:v>사업 평가</x:v>
      </x:c>
      <x:c r="B151" s="7" t="str">
        <x:f>IF('신청 원장'!D1107="","",'신청 원장'!D1107)</x:f>
        <x:v>한국동서발전(주) 태양광발전 설치 및 자가 사용 프로그램 감축사업</x:v>
      </x:c>
      <x:c r="C151" s="2" t="str">
        <x:f>IF('신청 원장'!F1107="","",'신청 원장'!F1107)</x:f>
        <x:v>2022-10-07</x:v>
      </x:c>
      <x:c r="D151" s="2" t="str">
        <x:f>IF('신청 원장'!J1107="","",'신청 원장'!J1107)</x:f>
        <x:v>보류</x:v>
      </x:c>
      <x:c r="E151" s="2" t="str">
        <x:f>IF('신청 원장'!L1107="","",'신청 원장'!L1107)</x:f>
      </x:c>
      <x:c r="F151" s="2" t="str">
        <x:f>IF('신청 원장'!M1107="","",'신청 원장'!M1107)</x:f>
      </x:c>
      <x:c r="G151" s="2" t="n">
        <x:f>IF('신청 원장'!N1107="","",'신청 원장'!N1107)</x:f>
        <x:v>1469</x:v>
      </x:c>
      <x:c r="H151" s="2" t="str">
        <x:f>IF('신청 원장'!AA1107="","",'신청 원장'!AA1107)</x:f>
        <x:v>내부 관찰 대상</x:v>
      </x:c>
      <x:c r="I151" s="2" t="str">
        <x:f>IF('신청 원장'!O1107="","",'신청 원장'!O1107)</x:f>
        <x:v>보류</x:v>
      </x:c>
      <x:c r="J151" s="2" t="str">
        <x:f>IF('신청 원장'!W1107="","",'신청 원장'!W1107)</x:f>
        <x:v>담당기관 확인</x:v>
      </x:c>
      <x:c r="K151" s="2" t="str">
        <x:f>IF('신청 원장'!X1107="","",'신청 원장'!X1107)</x:f>
        <x:v>원본·배정 기록 확인</x:v>
      </x:c>
      <x:c r="L151" s="2" t="str">
        <x:f>IF('신청 원장'!R1107="","",'신청 원장'!R1107)</x:f>
        <x:v>국내평가</x:v>
      </x:c>
      <x:c r="M151" s="2" t="n">
        <x:f>IF('신청 원장'!S1107="","",'신청 원장'!S1107)</x:f>
        <x:v>1010</x:v>
      </x:c>
      <x:c r="N151" s="2" t="str">
        <x:f>IF('신청 원장'!K1107&lt;&gt;"미종결 표시","종결 상태 확인",IF('신청 원장'!N1107="","일자 확인 필요",IF('신청 원장'!N1107&gt;365,"366일 이상",IF('신청 원장'!N1107&gt;90,"91~365일",IF('신청 원장'!N1107&gt;30,"31~90일","0~30일")))))</x:f>
        <x:v>366일 이상</x:v>
      </x:c>
      <x:c r="O151" s="2" t="str">
        <x:f>IF(OR('신청 원장'!L1107="",'신청 원장'!L1107="선택"),"담당 원문 확인","기재")</x:f>
        <x:v>담당 원문 확인</x:v>
      </x:c>
      <x:c r="P151" s="2" t="str">
        <x:f>IF('신청 원장'!A1107="","",'신청 원장'!A1107)</x:f>
        <x:v>595cb68533e1d81475aefece</x:v>
      </x:c>
    </x:row>
    <x:row r="152" ht="42" customHeight="1">
      <x:c r="A152" s="2" t="str">
        <x:f>IF('신청 원장'!B1108="","",'신청 원장'!B1108)</x:f>
        <x:v>사업 평가</x:v>
      </x:c>
      <x:c r="B152" s="7" t="str">
        <x:f>IF('신청 원장'!D1108="","",'신청 원장'!D1108)</x:f>
        <x:v>한국동서발전(주) 태양광발전 설치 및 자가 사용 프로그램 감축사업</x:v>
      </x:c>
      <x:c r="C152" s="2" t="str">
        <x:f>IF('신청 원장'!F1108="","",'신청 원장'!F1108)</x:f>
        <x:v>2022-10-07</x:v>
      </x:c>
      <x:c r="D152" s="2" t="str">
        <x:f>IF('신청 원장'!J1108="","",'신청 원장'!J1108)</x:f>
        <x:v>보류</x:v>
      </x:c>
      <x:c r="E152" s="2" t="str">
        <x:f>IF('신청 원장'!L1108="","",'신청 원장'!L1108)</x:f>
      </x:c>
      <x:c r="F152" s="2" t="str">
        <x:f>IF('신청 원장'!M1108="","",'신청 원장'!M1108)</x:f>
      </x:c>
      <x:c r="G152" s="2" t="n">
        <x:f>IF('신청 원장'!N1108="","",'신청 원장'!N1108)</x:f>
        <x:v>1469</x:v>
      </x:c>
      <x:c r="H152" s="2" t="str">
        <x:f>IF('신청 원장'!AA1108="","",'신청 원장'!AA1108)</x:f>
        <x:v>내부 관찰 대상</x:v>
      </x:c>
      <x:c r="I152" s="2" t="str">
        <x:f>IF('신청 원장'!O1108="","",'신청 원장'!O1108)</x:f>
        <x:v>보류</x:v>
      </x:c>
      <x:c r="J152" s="2" t="str">
        <x:f>IF('신청 원장'!W1108="","",'신청 원장'!W1108)</x:f>
        <x:v>담당기관 확인</x:v>
      </x:c>
      <x:c r="K152" s="2" t="str">
        <x:f>IF('신청 원장'!X1108="","",'신청 원장'!X1108)</x:f>
        <x:v>원본·배정 기록 확인</x:v>
      </x:c>
      <x:c r="L152" s="2" t="str">
        <x:f>IF('신청 원장'!R1108="","",'신청 원장'!R1108)</x:f>
        <x:v>국내평가</x:v>
      </x:c>
      <x:c r="M152" s="2" t="n">
        <x:f>IF('신청 원장'!S1108="","",'신청 원장'!S1108)</x:f>
        <x:v>1011</x:v>
      </x:c>
      <x:c r="N152" s="2" t="str">
        <x:f>IF('신청 원장'!K1108&lt;&gt;"미종결 표시","종결 상태 확인",IF('신청 원장'!N1108="","일자 확인 필요",IF('신청 원장'!N1108&gt;365,"366일 이상",IF('신청 원장'!N1108&gt;90,"91~365일",IF('신청 원장'!N1108&gt;30,"31~90일","0~30일")))))</x:f>
        <x:v>366일 이상</x:v>
      </x:c>
      <x:c r="O152" s="2" t="str">
        <x:f>IF(OR('신청 원장'!L1108="",'신청 원장'!L1108="선택"),"담당 원문 확인","기재")</x:f>
        <x:v>담당 원문 확인</x:v>
      </x:c>
      <x:c r="P152" s="2" t="str">
        <x:f>IF('신청 원장'!A1108="","",'신청 원장'!A1108)</x:f>
        <x:v>44acc89e7f7158b517918075</x:v>
      </x:c>
    </x:row>
    <x:row r="153" ht="42" customHeight="1">
      <x:c r="A153" s="2" t="str">
        <x:f>IF('신청 원장'!B1109="","",'신청 원장'!B1109)</x:f>
        <x:v>사업 평가</x:v>
      </x:c>
      <x:c r="B153" s="7" t="str">
        <x:f>IF('신청 원장'!D1109="","",'신청 원장'!D1109)</x:f>
        <x:v>한국동서발전(주) 태양광발전 설치 및 자가 사용 프로그램 감축사업</x:v>
      </x:c>
      <x:c r="C153" s="2" t="str">
        <x:f>IF('신청 원장'!F1109="","",'신청 원장'!F1109)</x:f>
        <x:v>2022-10-07</x:v>
      </x:c>
      <x:c r="D153" s="2" t="str">
        <x:f>IF('신청 원장'!J1109="","",'신청 원장'!J1109)</x:f>
        <x:v>보류</x:v>
      </x:c>
      <x:c r="E153" s="2" t="str">
        <x:f>IF('신청 원장'!L1109="","",'신청 원장'!L1109)</x:f>
      </x:c>
      <x:c r="F153" s="2" t="str">
        <x:f>IF('신청 원장'!M1109="","",'신청 원장'!M1109)</x:f>
      </x:c>
      <x:c r="G153" s="2" t="n">
        <x:f>IF('신청 원장'!N1109="","",'신청 원장'!N1109)</x:f>
        <x:v>1469</x:v>
      </x:c>
      <x:c r="H153" s="2" t="str">
        <x:f>IF('신청 원장'!AA1109="","",'신청 원장'!AA1109)</x:f>
        <x:v>내부 관찰 대상</x:v>
      </x:c>
      <x:c r="I153" s="2" t="str">
        <x:f>IF('신청 원장'!O1109="","",'신청 원장'!O1109)</x:f>
        <x:v>보류</x:v>
      </x:c>
      <x:c r="J153" s="2" t="str">
        <x:f>IF('신청 원장'!W1109="","",'신청 원장'!W1109)</x:f>
        <x:v>담당기관 확인</x:v>
      </x:c>
      <x:c r="K153" s="2" t="str">
        <x:f>IF('신청 원장'!X1109="","",'신청 원장'!X1109)</x:f>
        <x:v>원본·배정 기록 확인</x:v>
      </x:c>
      <x:c r="L153" s="2" t="str">
        <x:f>IF('신청 원장'!R1109="","",'신청 원장'!R1109)</x:f>
        <x:v>국내평가</x:v>
      </x:c>
      <x:c r="M153" s="2" t="n">
        <x:f>IF('신청 원장'!S1109="","",'신청 원장'!S1109)</x:f>
        <x:v>1012</x:v>
      </x:c>
      <x:c r="N153" s="2" t="str">
        <x:f>IF('신청 원장'!K1109&lt;&gt;"미종결 표시","종결 상태 확인",IF('신청 원장'!N1109="","일자 확인 필요",IF('신청 원장'!N1109&gt;365,"366일 이상",IF('신청 원장'!N1109&gt;90,"91~365일",IF('신청 원장'!N1109&gt;30,"31~90일","0~30일")))))</x:f>
        <x:v>366일 이상</x:v>
      </x:c>
      <x:c r="O153" s="2" t="str">
        <x:f>IF(OR('신청 원장'!L1109="",'신청 원장'!L1109="선택"),"담당 원문 확인","기재")</x:f>
        <x:v>담당 원문 확인</x:v>
      </x:c>
      <x:c r="P153" s="2" t="str">
        <x:f>IF('신청 원장'!A1109="","",'신청 원장'!A1109)</x:f>
        <x:v>e8a584510b8314e8c19af72a</x:v>
      </x:c>
    </x:row>
    <x:row r="154" ht="42" customHeight="1">
      <x:c r="A154" s="2" t="str">
        <x:f>IF('신청 원장'!B1110="","",'신청 원장'!B1110)</x:f>
        <x:v>사업 평가</x:v>
      </x:c>
      <x:c r="B154" s="7" t="str">
        <x:f>IF('신청 원장'!D1110="","",'신청 원장'!D1110)</x:f>
        <x:v>한국동서발전(주) 태양광발전 설치 및 자가 사용 프로그램 감축사업</x:v>
      </x:c>
      <x:c r="C154" s="2" t="str">
        <x:f>IF('신청 원장'!F1110="","",'신청 원장'!F1110)</x:f>
        <x:v>2022-10-07</x:v>
      </x:c>
      <x:c r="D154" s="2" t="str">
        <x:f>IF('신청 원장'!J1110="","",'신청 원장'!J1110)</x:f>
        <x:v>보류</x:v>
      </x:c>
      <x:c r="E154" s="2" t="str">
        <x:f>IF('신청 원장'!L1110="","",'신청 원장'!L1110)</x:f>
      </x:c>
      <x:c r="F154" s="2" t="str">
        <x:f>IF('신청 원장'!M1110="","",'신청 원장'!M1110)</x:f>
      </x:c>
      <x:c r="G154" s="2" t="n">
        <x:f>IF('신청 원장'!N1110="","",'신청 원장'!N1110)</x:f>
        <x:v>1469</x:v>
      </x:c>
      <x:c r="H154" s="2" t="str">
        <x:f>IF('신청 원장'!AA1110="","",'신청 원장'!AA1110)</x:f>
        <x:v>내부 관찰 대상</x:v>
      </x:c>
      <x:c r="I154" s="2" t="str">
        <x:f>IF('신청 원장'!O1110="","",'신청 원장'!O1110)</x:f>
        <x:v>보류</x:v>
      </x:c>
      <x:c r="J154" s="2" t="str">
        <x:f>IF('신청 원장'!W1110="","",'신청 원장'!W1110)</x:f>
        <x:v>담당기관 확인</x:v>
      </x:c>
      <x:c r="K154" s="2" t="str">
        <x:f>IF('신청 원장'!X1110="","",'신청 원장'!X1110)</x:f>
        <x:v>원본·배정 기록 확인</x:v>
      </x:c>
      <x:c r="L154" s="2" t="str">
        <x:f>IF('신청 원장'!R1110="","",'신청 원장'!R1110)</x:f>
        <x:v>국내평가</x:v>
      </x:c>
      <x:c r="M154" s="2" t="n">
        <x:f>IF('신청 원장'!S1110="","",'신청 원장'!S1110)</x:f>
        <x:v>1013</x:v>
      </x:c>
      <x:c r="N154" s="2" t="str">
        <x:f>IF('신청 원장'!K1110&lt;&gt;"미종결 표시","종결 상태 확인",IF('신청 원장'!N1110="","일자 확인 필요",IF('신청 원장'!N1110&gt;365,"366일 이상",IF('신청 원장'!N1110&gt;90,"91~365일",IF('신청 원장'!N1110&gt;30,"31~90일","0~30일")))))</x:f>
        <x:v>366일 이상</x:v>
      </x:c>
      <x:c r="O154" s="2" t="str">
        <x:f>IF(OR('신청 원장'!L1110="",'신청 원장'!L1110="선택"),"담당 원문 확인","기재")</x:f>
        <x:v>담당 원문 확인</x:v>
      </x:c>
      <x:c r="P154" s="2" t="str">
        <x:f>IF('신청 원장'!A1110="","",'신청 원장'!A1110)</x:f>
        <x:v>79f727d9c049f6f5f0bda1b5</x:v>
      </x:c>
    </x:row>
    <x:row r="155" ht="42" customHeight="1">
      <x:c r="A155" s="2" t="str">
        <x:f>IF('신청 원장'!B1111="","",'신청 원장'!B1111)</x:f>
        <x:v>사업 평가</x:v>
      </x:c>
      <x:c r="B155" s="7" t="str">
        <x:f>IF('신청 원장'!D1111="","",'신청 원장'!D1111)</x:f>
        <x:v>한국동서발전(주) 태양광발전 설치 및 자가 사용 프로그램 감축사업</x:v>
      </x:c>
      <x:c r="C155" s="2" t="str">
        <x:f>IF('신청 원장'!F1111="","",'신청 원장'!F1111)</x:f>
        <x:v>2022-10-07</x:v>
      </x:c>
      <x:c r="D155" s="2" t="str">
        <x:f>IF('신청 원장'!J1111="","",'신청 원장'!J1111)</x:f>
        <x:v>보류</x:v>
      </x:c>
      <x:c r="E155" s="2" t="str">
        <x:f>IF('신청 원장'!L1111="","",'신청 원장'!L1111)</x:f>
      </x:c>
      <x:c r="F155" s="2" t="str">
        <x:f>IF('신청 원장'!M1111="","",'신청 원장'!M1111)</x:f>
      </x:c>
      <x:c r="G155" s="2" t="n">
        <x:f>IF('신청 원장'!N1111="","",'신청 원장'!N1111)</x:f>
        <x:v>1469</x:v>
      </x:c>
      <x:c r="H155" s="2" t="str">
        <x:f>IF('신청 원장'!AA1111="","",'신청 원장'!AA1111)</x:f>
        <x:v>내부 관찰 대상</x:v>
      </x:c>
      <x:c r="I155" s="2" t="str">
        <x:f>IF('신청 원장'!O1111="","",'신청 원장'!O1111)</x:f>
        <x:v>보류</x:v>
      </x:c>
      <x:c r="J155" s="2" t="str">
        <x:f>IF('신청 원장'!W1111="","",'신청 원장'!W1111)</x:f>
        <x:v>담당기관 확인</x:v>
      </x:c>
      <x:c r="K155" s="2" t="str">
        <x:f>IF('신청 원장'!X1111="","",'신청 원장'!X1111)</x:f>
        <x:v>원본·배정 기록 확인</x:v>
      </x:c>
      <x:c r="L155" s="2" t="str">
        <x:f>IF('신청 원장'!R1111="","",'신청 원장'!R1111)</x:f>
        <x:v>국내평가</x:v>
      </x:c>
      <x:c r="M155" s="2" t="n">
        <x:f>IF('신청 원장'!S1111="","",'신청 원장'!S1111)</x:f>
        <x:v>1014</x:v>
      </x:c>
      <x:c r="N155" s="2" t="str">
        <x:f>IF('신청 원장'!K1111&lt;&gt;"미종결 표시","종결 상태 확인",IF('신청 원장'!N1111="","일자 확인 필요",IF('신청 원장'!N1111&gt;365,"366일 이상",IF('신청 원장'!N1111&gt;90,"91~365일",IF('신청 원장'!N1111&gt;30,"31~90일","0~30일")))))</x:f>
        <x:v>366일 이상</x:v>
      </x:c>
      <x:c r="O155" s="2" t="str">
        <x:f>IF(OR('신청 원장'!L1111="",'신청 원장'!L1111="선택"),"담당 원문 확인","기재")</x:f>
        <x:v>담당 원문 확인</x:v>
      </x:c>
      <x:c r="P155" s="2" t="str">
        <x:f>IF('신청 원장'!A1111="","",'신청 원장'!A1111)</x:f>
        <x:v>9c425b5c5b0c96ed5513ac29</x:v>
      </x:c>
    </x:row>
    <x:row r="156" ht="42" customHeight="1">
      <x:c r="A156" s="2" t="str">
        <x:f>IF('신청 원장'!B1112="","",'신청 원장'!B1112)</x:f>
        <x:v>사업 평가</x:v>
      </x:c>
      <x:c r="B156" s="7" t="str">
        <x:f>IF('신청 원장'!D1112="","",'신청 원장'!D1112)</x:f>
        <x:v>에이치케이이노엔(주) 522.90kWP 태양광 발전설비 설치 및 자가 사용 사업</x:v>
      </x:c>
      <x:c r="C156" s="2" t="str">
        <x:f>IF('신청 원장'!F1112="","",'신청 원장'!F1112)</x:f>
        <x:v>2022-10-14</x:v>
      </x:c>
      <x:c r="D156" s="2" t="str">
        <x:f>IF('신청 원장'!J1112="","",'신청 원장'!J1112)</x:f>
        <x:v>보완요청</x:v>
      </x:c>
      <x:c r="E156" s="2" t="str">
        <x:f>IF('신청 원장'!L1112="","",'신청 원장'!L1112)</x:f>
        <x:v>에코시안_정다윤</x:v>
      </x:c>
      <x:c r="F156" s="2" t="n">
        <x:f>IF('신청 원장'!M1112="","",'신청 원장'!M1112)</x:f>
        <x:v>1</x:v>
      </x:c>
      <x:c r="G156" s="2" t="n">
        <x:f>IF('신청 원장'!N1112="","",'신청 원장'!N1112)</x:f>
        <x:v>1462</x:v>
      </x:c>
      <x:c r="H156" s="2" t="str">
        <x:f>IF('신청 원장'!AA1112="","",'신청 원장'!AA1112)</x:f>
        <x:v>내부 관찰 대상</x:v>
      </x:c>
      <x:c r="I156" s="2" t="str">
        <x:f>IF('신청 원장'!O1112="","",'신청 원장'!O1112)</x:f>
        <x:v>생략</x:v>
      </x:c>
      <x:c r="J156" s="2" t="str">
        <x:f>IF('신청 원장'!W1112="","",'신청 원장'!W1112)</x:f>
      </x:c>
      <x:c r="K156" s="2" t="str">
        <x:f>IF('신청 원장'!X1112="","",'신청 원장'!X1112)</x:f>
        <x:v>보완 회신 일정 확인</x:v>
      </x:c>
      <x:c r="L156" s="2" t="str">
        <x:f>IF('신청 원장'!R1112="","",'신청 원장'!R1112)</x:f>
        <x:v>국내평가</x:v>
      </x:c>
      <x:c r="M156" s="2" t="n">
        <x:f>IF('신청 원장'!S1112="","",'신청 원장'!S1112)</x:f>
        <x:v>1015</x:v>
      </x:c>
      <x:c r="N156" s="2" t="str">
        <x:f>IF('신청 원장'!K1112&lt;&gt;"미종결 표시","종결 상태 확인",IF('신청 원장'!N1112="","일자 확인 필요",IF('신청 원장'!N1112&gt;365,"366일 이상",IF('신청 원장'!N1112&gt;90,"91~365일",IF('신청 원장'!N1112&gt;30,"31~90일","0~30일")))))</x:f>
        <x:v>366일 이상</x:v>
      </x:c>
      <x:c r="O156" s="2" t="str">
        <x:f>IF(OR('신청 원장'!L1112="",'신청 원장'!L1112="선택"),"담당 원문 확인","기재")</x:f>
        <x:v>기재</x:v>
      </x:c>
      <x:c r="P156" s="2" t="str">
        <x:f>IF('신청 원장'!A1112="","",'신청 원장'!A1112)</x:f>
        <x:v>7efe1fc5ea317b098603fb10</x:v>
      </x:c>
    </x:row>
    <x:row r="157" ht="42" customHeight="1">
      <x:c r="A157" s="2" t="str">
        <x:f>IF('신청 원장'!B1119="","",'신청 원장'!B1119)</x:f>
        <x:v>사업 평가</x:v>
      </x:c>
      <x:c r="B157" s="7" t="str">
        <x:f>IF('신청 원장'!D1119="","",'신청 원장'!D1119)</x:f>
        <x:v>(주)동희정공 외 4개사의 고효율 공기압축기 교체를 통한 온실가스 감축사업</x:v>
      </x:c>
      <x:c r="C157" s="2" t="str">
        <x:f>IF('신청 원장'!F1119="","",'신청 원장'!F1119)</x:f>
        <x:v>2024-08-13</x:v>
      </x:c>
      <x:c r="D157" s="2" t="str">
        <x:f>IF('신청 원장'!J1119="","",'신청 원장'!J1119)</x:f>
        <x:v>보완요청</x:v>
      </x:c>
      <x:c r="E157" s="2" t="str">
        <x:f>IF('신청 원장'!L1119="","",'신청 원장'!L1119)</x:f>
        <x:v>KECM_김민정&gt;이태준</x:v>
      </x:c>
      <x:c r="F157" s="2" t="n">
        <x:f>IF('신청 원장'!M1119="","",'신청 원장'!M1119)</x:f>
        <x:v>1</x:v>
      </x:c>
      <x:c r="G157" s="2" t="n">
        <x:f>IF('신청 원장'!N1119="","",'신청 원장'!N1119)</x:f>
        <x:v>793</x:v>
      </x:c>
      <x:c r="H157" s="2" t="str">
        <x:f>IF('신청 원장'!AA1119="","",'신청 원장'!AA1119)</x:f>
        <x:v>내부 관찰 대상</x:v>
      </x:c>
      <x:c r="I157" s="2" t="str">
        <x:f>IF('신청 원장'!O1119="","",'신청 원장'!O1119)</x:f>
        <x:v>생략</x:v>
      </x:c>
      <x:c r="J157" s="2" t="str">
        <x:f>IF('신청 원장'!W1119="","",'신청 원장'!W1119)</x:f>
      </x:c>
      <x:c r="K157" s="2" t="str">
        <x:f>IF('신청 원장'!X1119="","",'신청 원장'!X1119)</x:f>
        <x:v>보완 회신 일정 확인</x:v>
      </x:c>
      <x:c r="L157" s="2" t="str">
        <x:f>IF('신청 원장'!R1119="","",'신청 원장'!R1119)</x:f>
        <x:v>국내평가</x:v>
      </x:c>
      <x:c r="M157" s="2" t="n">
        <x:f>IF('신청 원장'!S1119="","",'신청 원장'!S1119)</x:f>
        <x:v>1022</x:v>
      </x:c>
      <x:c r="N157" s="2" t="str">
        <x:f>IF('신청 원장'!K1119&lt;&gt;"미종결 표시","종결 상태 확인",IF('신청 원장'!N1119="","일자 확인 필요",IF('신청 원장'!N1119&gt;365,"366일 이상",IF('신청 원장'!N1119&gt;90,"91~365일",IF('신청 원장'!N1119&gt;30,"31~90일","0~30일")))))</x:f>
        <x:v>366일 이상</x:v>
      </x:c>
      <x:c r="O157" s="2" t="str">
        <x:f>IF(OR('신청 원장'!L1119="",'신청 원장'!L1119="선택"),"담당 원문 확인","기재")</x:f>
        <x:v>기재</x:v>
      </x:c>
      <x:c r="P157" s="2" t="str">
        <x:f>IF('신청 원장'!A1119="","",'신청 원장'!A1119)</x:f>
        <x:v>0296c9214e59c0b2977669ed</x:v>
      </x:c>
    </x:row>
    <x:row r="158" ht="42" customHeight="1">
      <x:c r="A158" s="2" t="str">
        <x:f>IF('신청 원장'!B1120="","",'신청 원장'!B1120)</x:f>
        <x:v>사업 평가</x:v>
      </x:c>
      <x:c r="B158" s="7" t="str">
        <x:f>IF('신청 원장'!D1120="","",'신청 원장'!D1120)</x:f>
        <x:v>반월표면처리사업협동조합 고효율 설비 교체를 통한 온실가스 감축사업</x:v>
      </x:c>
      <x:c r="C158" s="2" t="str">
        <x:f>IF('신청 원장'!F1120="","",'신청 원장'!F1120)</x:f>
        <x:v>2022-12-30</x:v>
      </x:c>
      <x:c r="D158" s="2" t="str">
        <x:f>IF('신청 원장'!J1120="","",'신청 원장'!J1120)</x:f>
        <x:v>보완요청</x:v>
      </x:c>
      <x:c r="E158" s="2" t="str">
        <x:f>IF('신청 원장'!L1120="","",'신청 원장'!L1120)</x:f>
        <x:v>에코시안_조영우</x:v>
      </x:c>
      <x:c r="F158" s="2" t="n">
        <x:f>IF('신청 원장'!M1120="","",'신청 원장'!M1120)</x:f>
        <x:v>1</x:v>
      </x:c>
      <x:c r="G158" s="2" t="n">
        <x:f>IF('신청 원장'!N1120="","",'신청 원장'!N1120)</x:f>
        <x:v>1385</x:v>
      </x:c>
      <x:c r="H158" s="2" t="str">
        <x:f>IF('신청 원장'!AA1120="","",'신청 원장'!AA1120)</x:f>
        <x:v>내부 관찰 대상</x:v>
      </x:c>
      <x:c r="I158" s="2" t="str">
        <x:f>IF('신청 원장'!O1120="","",'신청 원장'!O1120)</x:f>
        <x:v>보류(적용조건 확인 불가)</x:v>
      </x:c>
      <x:c r="J158" s="2" t="str">
        <x:f>IF('신청 원장'!W1120="","",'신청 원장'!W1120)</x:f>
      </x:c>
      <x:c r="K158" s="2" t="str">
        <x:f>IF('신청 원장'!X1120="","",'신청 원장'!X1120)</x:f>
        <x:v>보완 회신 일정 확인</x:v>
      </x:c>
      <x:c r="L158" s="2" t="str">
        <x:f>IF('신청 원장'!R1120="","",'신청 원장'!R1120)</x:f>
        <x:v>국내평가</x:v>
      </x:c>
      <x:c r="M158" s="2" t="n">
        <x:f>IF('신청 원장'!S1120="","",'신청 원장'!S1120)</x:f>
        <x:v>1023</x:v>
      </x:c>
      <x:c r="N158" s="2" t="str">
        <x:f>IF('신청 원장'!K1120&lt;&gt;"미종결 표시","종결 상태 확인",IF('신청 원장'!N1120="","일자 확인 필요",IF('신청 원장'!N1120&gt;365,"366일 이상",IF('신청 원장'!N1120&gt;90,"91~365일",IF('신청 원장'!N1120&gt;30,"31~90일","0~30일")))))</x:f>
        <x:v>366일 이상</x:v>
      </x:c>
      <x:c r="O158" s="2" t="str">
        <x:f>IF(OR('신청 원장'!L1120="",'신청 원장'!L1120="선택"),"담당 원문 확인","기재")</x:f>
        <x:v>기재</x:v>
      </x:c>
      <x:c r="P158" s="2" t="str">
        <x:f>IF('신청 원장'!A1120="","",'신청 원장'!A1120)</x:f>
        <x:v>25d550aefc78307151b8e193</x:v>
      </x:c>
    </x:row>
    <x:row r="159" ht="42" customHeight="1">
      <x:c r="A159" s="2" t="str">
        <x:f>IF('신청 원장'!B1122="","",'신청 원장'!B1122)</x:f>
        <x:v>사업 평가</x:v>
      </x:c>
      <x:c r="B159" s="7" t="str">
        <x:f>IF('신청 원장'!D1122="","",'신청 원장'!D1122)</x:f>
        <x:v>㈜에너지파크 소각폐열 회수 및 ㈜삼광 스팀 공급을 통한 화석연료 사용 절감 및 온실가스 감축사업</x:v>
      </x:c>
      <x:c r="C159" s="2" t="str">
        <x:f>IF('신청 원장'!F1122="","",'신청 원장'!F1122)</x:f>
        <x:v>2022-12-31</x:v>
      </x:c>
      <x:c r="D159" s="2" t="str">
        <x:f>IF('신청 원장'!J1122="","",'신청 원장'!J1122)</x:f>
        <x:v>보완요청</x:v>
      </x:c>
      <x:c r="E159" s="2" t="str">
        <x:f>IF('신청 원장'!L1122="","",'신청 원장'!L1122)</x:f>
        <x:v>KECM_이태준</x:v>
      </x:c>
      <x:c r="F159" s="2" t="n">
        <x:f>IF('신청 원장'!M1122="","",'신청 원장'!M1122)</x:f>
        <x:v>1</x:v>
      </x:c>
      <x:c r="G159" s="2" t="n">
        <x:f>IF('신청 원장'!N1122="","",'신청 원장'!N1122)</x:f>
        <x:v>1384</x:v>
      </x:c>
      <x:c r="H159" s="2" t="str">
        <x:f>IF('신청 원장'!AA1122="","",'신청 원장'!AA1122)</x:f>
        <x:v>내부 관찰 대상</x:v>
      </x:c>
      <x:c r="I159" s="2" t="str">
        <x:f>IF('신청 원장'!O1122="","",'신청 원장'!O1122)</x:f>
        <x:v>생략</x:v>
      </x:c>
      <x:c r="J159" s="2" t="str">
        <x:f>IF('신청 원장'!W1122="","",'신청 원장'!W1122)</x:f>
      </x:c>
      <x:c r="K159" s="2" t="str">
        <x:f>IF('신청 원장'!X1122="","",'신청 원장'!X1122)</x:f>
        <x:v>보완 회신 일정 확인</x:v>
      </x:c>
      <x:c r="L159" s="2" t="str">
        <x:f>IF('신청 원장'!R1122="","",'신청 원장'!R1122)</x:f>
        <x:v>국내평가</x:v>
      </x:c>
      <x:c r="M159" s="2" t="n">
        <x:f>IF('신청 원장'!S1122="","",'신청 원장'!S1122)</x:f>
        <x:v>1025</x:v>
      </x:c>
      <x:c r="N159" s="2" t="str">
        <x:f>IF('신청 원장'!K1122&lt;&gt;"미종결 표시","종결 상태 확인",IF('신청 원장'!N1122="","일자 확인 필요",IF('신청 원장'!N1122&gt;365,"366일 이상",IF('신청 원장'!N1122&gt;90,"91~365일",IF('신청 원장'!N1122&gt;30,"31~90일","0~30일")))))</x:f>
        <x:v>366일 이상</x:v>
      </x:c>
      <x:c r="O159" s="2" t="str">
        <x:f>IF(OR('신청 원장'!L1122="",'신청 원장'!L1122="선택"),"담당 원문 확인","기재")</x:f>
        <x:v>기재</x:v>
      </x:c>
      <x:c r="P159" s="2" t="str">
        <x:f>IF('신청 원장'!A1122="","",'신청 원장'!A1122)</x:f>
        <x:v>dde0ba62c97dd3b5eeda44dc</x:v>
      </x:c>
    </x:row>
    <x:row r="160" ht="42" customHeight="1">
      <x:c r="A160" s="2" t="str">
        <x:f>IF('신청 원장'!B1141="","",'신청 원장'!B1141)</x:f>
        <x:v>사업 평가</x:v>
      </x:c>
      <x:c r="B160" s="7" t="str">
        <x:f>IF('신청 원장'!D1141="","",'신청 원장'!D1141)</x:f>
        <x:v>2022년 춘천시 도로조명 LED 교체를 통한 감축사업</x:v>
      </x:c>
      <x:c r="C160" s="2" t="str">
        <x:f>IF('신청 원장'!F1141="","",'신청 원장'!F1141)</x:f>
        <x:v>2023-01-11</x:v>
      </x:c>
      <x:c r="D160" s="2" t="str">
        <x:f>IF('신청 원장'!J1141="","",'신청 원장'!J1141)</x:f>
        <x:v>보완요청</x:v>
      </x:c>
      <x:c r="E160" s="2" t="str">
        <x:f>IF('신청 원장'!L1141="","",'신청 원장'!L1141)</x:f>
        <x:v>에코시안_기샛별,정다윤</x:v>
      </x:c>
      <x:c r="F160" s="2" t="n">
        <x:f>IF('신청 원장'!M1141="","",'신청 원장'!M1141)</x:f>
        <x:v>3</x:v>
      </x:c>
      <x:c r="G160" s="2" t="n">
        <x:f>IF('신청 원장'!N1141="","",'신청 원장'!N1141)</x:f>
        <x:v>1373</x:v>
      </x:c>
      <x:c r="H160" s="2" t="str">
        <x:f>IF('신청 원장'!AA1141="","",'신청 원장'!AA1141)</x:f>
        <x:v>내부 관찰 대상</x:v>
      </x:c>
      <x:c r="I160" s="2" t="str">
        <x:f>IF('신청 원장'!O1141="","",'신청 원장'!O1141)</x:f>
        <x:v>생략</x:v>
      </x:c>
      <x:c r="J160" s="2" t="str">
        <x:f>IF('신청 원장'!W1141="","",'신청 원장'!W1141)</x:f>
      </x:c>
      <x:c r="K160" s="2" t="str">
        <x:f>IF('신청 원장'!X1141="","",'신청 원장'!X1141)</x:f>
        <x:v>보완 회신 일정 확인</x:v>
      </x:c>
      <x:c r="L160" s="2" t="str">
        <x:f>IF('신청 원장'!R1141="","",'신청 원장'!R1141)</x:f>
        <x:v>국내평가</x:v>
      </x:c>
      <x:c r="M160" s="2" t="n">
        <x:f>IF('신청 원장'!S1141="","",'신청 원장'!S1141)</x:f>
        <x:v>1044</x:v>
      </x:c>
      <x:c r="N160" s="2" t="str">
        <x:f>IF('신청 원장'!K1141&lt;&gt;"미종결 표시","종결 상태 확인",IF('신청 원장'!N1141="","일자 확인 필요",IF('신청 원장'!N1141&gt;365,"366일 이상",IF('신청 원장'!N1141&gt;90,"91~365일",IF('신청 원장'!N1141&gt;30,"31~90일","0~30일")))))</x:f>
        <x:v>366일 이상</x:v>
      </x:c>
      <x:c r="O160" s="2" t="str">
        <x:f>IF(OR('신청 원장'!L1141="",'신청 원장'!L1141="선택"),"담당 원문 확인","기재")</x:f>
        <x:v>기재</x:v>
      </x:c>
      <x:c r="P160" s="2" t="str">
        <x:f>IF('신청 원장'!A1141="","",'신청 원장'!A1141)</x:f>
        <x:v>de0d9229c748060ddda67073</x:v>
      </x:c>
    </x:row>
    <x:row r="161" ht="42" customHeight="1">
      <x:c r="A161" s="2" t="str">
        <x:f>IF('신청 원장'!B1143="","",'신청 원장'!B1143)</x:f>
        <x:v>사업 평가</x:v>
      </x:c>
      <x:c r="B161" s="7" t="str">
        <x:f>IF('신청 원장'!D1143="","",'신청 원장'!D1143)</x:f>
        <x:v>에스엠텍스타일 외 6개사의 고효율 공기압축기 교체를 통한 온실가스 감축사업</x:v>
      </x:c>
      <x:c r="C161" s="2" t="str">
        <x:f>IF('신청 원장'!F1143="","",'신청 원장'!F1143)</x:f>
        <x:v>2023-02-01</x:v>
      </x:c>
      <x:c r="D161" s="2" t="str">
        <x:f>IF('신청 원장'!J1143="","",'신청 원장'!J1143)</x:f>
        <x:v>보완요청</x:v>
      </x:c>
      <x:c r="E161" s="2" t="str">
        <x:f>IF('신청 원장'!L1143="","",'신청 원장'!L1143)</x:f>
        <x:v>KECM_김민정</x:v>
      </x:c>
      <x:c r="F161" s="2" t="str">
        <x:f>IF('신청 원장'!M1143="","",'신청 원장'!M1143)</x:f>
      </x:c>
      <x:c r="G161" s="2" t="n">
        <x:f>IF('신청 원장'!N1143="","",'신청 원장'!N1143)</x:f>
        <x:v>1352</x:v>
      </x:c>
      <x:c r="H161" s="2" t="str">
        <x:f>IF('신청 원장'!AA1143="","",'신청 원장'!AA1143)</x:f>
        <x:v>내부 관찰 대상</x:v>
      </x:c>
      <x:c r="I161" s="2" t="str">
        <x:f>IF('신청 원장'!O1143="","",'신청 원장'!O1143)</x:f>
        <x:v>생략</x:v>
      </x:c>
      <x:c r="J161" s="2" t="str">
        <x:f>IF('신청 원장'!W1143="","",'신청 원장'!W1143)</x:f>
      </x:c>
      <x:c r="K161" s="2" t="str">
        <x:f>IF('신청 원장'!X1143="","",'신청 원장'!X1143)</x:f>
        <x:v>보완 회신 일정 확인</x:v>
      </x:c>
      <x:c r="L161" s="2" t="str">
        <x:f>IF('신청 원장'!R1143="","",'신청 원장'!R1143)</x:f>
        <x:v>국내평가</x:v>
      </x:c>
      <x:c r="M161" s="2" t="n">
        <x:f>IF('신청 원장'!S1143="","",'신청 원장'!S1143)</x:f>
        <x:v>1046</x:v>
      </x:c>
      <x:c r="N161" s="2" t="str">
        <x:f>IF('신청 원장'!K1143&lt;&gt;"미종결 표시","종결 상태 확인",IF('신청 원장'!N1143="","일자 확인 필요",IF('신청 원장'!N1143&gt;365,"366일 이상",IF('신청 원장'!N1143&gt;90,"91~365일",IF('신청 원장'!N1143&gt;30,"31~90일","0~30일")))))</x:f>
        <x:v>366일 이상</x:v>
      </x:c>
      <x:c r="O161" s="2" t="str">
        <x:f>IF(OR('신청 원장'!L1143="",'신청 원장'!L1143="선택"),"담당 원문 확인","기재")</x:f>
        <x:v>기재</x:v>
      </x:c>
      <x:c r="P161" s="2" t="str">
        <x:f>IF('신청 원장'!A1143="","",'신청 원장'!A1143)</x:f>
        <x:v>0471f34e3e1ff6838816eb1e</x:v>
      </x:c>
    </x:row>
    <x:row r="162" ht="42" customHeight="1">
      <x:c r="A162" s="2" t="str">
        <x:f>IF('신청 원장'!B1144="","",'신청 원장'!B1144)</x:f>
        <x:v>사업 평가</x:v>
      </x:c>
      <x:c r="B162" s="7" t="str">
        <x:f>IF('신청 원장'!D1144="","",'신청 원장'!D1144)</x:f>
        <x:v>그린월드 도금단지 열사용시설 개선을 통한 온실가스 감축사업</x:v>
      </x:c>
      <x:c r="C162" s="2" t="str">
        <x:f>IF('신청 원장'!F1144="","",'신청 원장'!F1144)</x:f>
        <x:v>2023-04-11</x:v>
      </x:c>
      <x:c r="D162" s="2" t="str">
        <x:f>IF('신청 원장'!J1144="","",'신청 원장'!J1144)</x:f>
        <x:v>보완요청</x:v>
      </x:c>
      <x:c r="E162" s="2" t="str">
        <x:f>IF('신청 원장'!L1144="","",'신청 원장'!L1144)</x:f>
        <x:v>KECM_김민정</x:v>
      </x:c>
      <x:c r="F162" s="2" t="n">
        <x:f>IF('신청 원장'!M1144="","",'신청 원장'!M1144)</x:f>
        <x:v>1</x:v>
      </x:c>
      <x:c r="G162" s="2" t="n">
        <x:f>IF('신청 원장'!N1144="","",'신청 원장'!N1144)</x:f>
        <x:v>1283</x:v>
      </x:c>
      <x:c r="H162" s="2" t="str">
        <x:f>IF('신청 원장'!AA1144="","",'신청 원장'!AA1144)</x:f>
        <x:v>내부 관찰 대상</x:v>
      </x:c>
      <x:c r="I162" s="2" t="str">
        <x:f>IF('신청 원장'!O1144="","",'신청 원장'!O1144)</x:f>
        <x:v>생략</x:v>
      </x:c>
      <x:c r="J162" s="2" t="str">
        <x:f>IF('신청 원장'!W1144="","",'신청 원장'!W1144)</x:f>
      </x:c>
      <x:c r="K162" s="2" t="str">
        <x:f>IF('신청 원장'!X1144="","",'신청 원장'!X1144)</x:f>
        <x:v>보완 회신 일정 확인</x:v>
      </x:c>
      <x:c r="L162" s="2" t="str">
        <x:f>IF('신청 원장'!R1144="","",'신청 원장'!R1144)</x:f>
        <x:v>국내평가</x:v>
      </x:c>
      <x:c r="M162" s="2" t="n">
        <x:f>IF('신청 원장'!S1144="","",'신청 원장'!S1144)</x:f>
        <x:v>1047</x:v>
      </x:c>
      <x:c r="N162" s="2" t="str">
        <x:f>IF('신청 원장'!K1144&lt;&gt;"미종결 표시","종결 상태 확인",IF('신청 원장'!N1144="","일자 확인 필요",IF('신청 원장'!N1144&gt;365,"366일 이상",IF('신청 원장'!N1144&gt;90,"91~365일",IF('신청 원장'!N1144&gt;30,"31~90일","0~30일")))))</x:f>
        <x:v>366일 이상</x:v>
      </x:c>
      <x:c r="O162" s="2" t="str">
        <x:f>IF(OR('신청 원장'!L1144="",'신청 원장'!L1144="선택"),"담당 원문 확인","기재")</x:f>
        <x:v>기재</x:v>
      </x:c>
      <x:c r="P162" s="2" t="str">
        <x:f>IF('신청 원장'!A1144="","",'신청 원장'!A1144)</x:f>
        <x:v>e886cfa934f697e11fe7eb19</x:v>
      </x:c>
    </x:row>
    <x:row r="163" ht="42" customHeight="1">
      <x:c r="A163" s="2" t="str">
        <x:f>IF('신청 원장'!B1145="","",'신청 원장'!B1145)</x:f>
        <x:v>사업 평가</x:v>
      </x:c>
      <x:c r="B163" s="7" t="str">
        <x:f>IF('신청 원장'!D1145="","",'신청 원장'!D1145)</x:f>
        <x:v>공동주택 태양광 발전사업 2019-LH-001-02396</x:v>
      </x:c>
      <x:c r="C163" s="2" t="str">
        <x:f>IF('신청 원장'!F1145="","",'신청 원장'!F1145)</x:f>
        <x:v>2024-06-24</x:v>
      </x:c>
      <x:c r="D163" s="2" t="str">
        <x:f>IF('신청 원장'!J1145="","",'신청 원장'!J1145)</x:f>
        <x:v>평가중</x:v>
      </x:c>
      <x:c r="E163" s="2" t="str">
        <x:f>IF('신청 원장'!L1145="","",'신청 원장'!L1145)</x:f>
        <x:v>KECM_이태준</x:v>
      </x:c>
      <x:c r="F163" s="2" t="str">
        <x:f>IF('신청 원장'!M1145="","",'신청 원장'!M1145)</x:f>
      </x:c>
      <x:c r="G163" s="2" t="n">
        <x:f>IF('신청 원장'!N1145="","",'신청 원장'!N1145)</x:f>
        <x:v>843</x:v>
      </x:c>
      <x:c r="H163" s="2" t="str">
        <x:f>IF('신청 원장'!AA1145="","",'신청 원장'!AA1145)</x:f>
        <x:v>내부 관찰 대상</x:v>
      </x:c>
      <x:c r="I163" s="2" t="str">
        <x:f>IF('신청 원장'!O1145="","",'신청 원장'!O1145)</x:f>
        <x:v>생략</x:v>
      </x:c>
      <x:c r="J163" s="2" t="str">
        <x:f>IF('신청 원장'!W1145="","",'신청 원장'!W1145)</x:f>
      </x:c>
      <x:c r="K163" s="2" t="str">
        <x:f>IF('신청 원장'!X1145="","",'신청 원장'!X1145)</x:f>
        <x:v>검토 진행 일정 확인</x:v>
      </x:c>
      <x:c r="L163" s="2" t="str">
        <x:f>IF('신청 원장'!R1145="","",'신청 원장'!R1145)</x:f>
        <x:v>국내평가</x:v>
      </x:c>
      <x:c r="M163" s="2" t="n">
        <x:f>IF('신청 원장'!S1145="","",'신청 원장'!S1145)</x:f>
        <x:v>1048</x:v>
      </x:c>
      <x:c r="N163" s="2" t="str">
        <x:f>IF('신청 원장'!K1145&lt;&gt;"미종결 표시","종결 상태 확인",IF('신청 원장'!N1145="","일자 확인 필요",IF('신청 원장'!N1145&gt;365,"366일 이상",IF('신청 원장'!N1145&gt;90,"91~365일",IF('신청 원장'!N1145&gt;30,"31~90일","0~30일")))))</x:f>
        <x:v>366일 이상</x:v>
      </x:c>
      <x:c r="O163" s="2" t="str">
        <x:f>IF(OR('신청 원장'!L1145="",'신청 원장'!L1145="선택"),"담당 원문 확인","기재")</x:f>
        <x:v>기재</x:v>
      </x:c>
      <x:c r="P163" s="2" t="str">
        <x:f>IF('신청 원장'!A1145="","",'신청 원장'!A1145)</x:f>
        <x:v>78355cd84eeaba4db32f7129</x:v>
      </x:c>
    </x:row>
    <x:row r="164" ht="42" customHeight="1">
      <x:c r="A164" s="2" t="str">
        <x:f>IF('신청 원장'!B1146="","",'신청 원장'!B1146)</x:f>
        <x:v>사업 평가</x:v>
      </x:c>
      <x:c r="B164" s="7" t="str">
        <x:f>IF('신청 원장'!D1146="","",'신청 원장'!D1146)</x:f>
        <x:v>태화기업 외 2개사의 고효율 공기압축기 교체를 통한 온실가스 감축사업</x:v>
      </x:c>
      <x:c r="C164" s="2" t="str">
        <x:f>IF('신청 원장'!F1146="","",'신청 원장'!F1146)</x:f>
        <x:v>2023-04-25</x:v>
      </x:c>
      <x:c r="D164" s="2" t="str">
        <x:f>IF('신청 원장'!J1146="","",'신청 원장'!J1146)</x:f>
        <x:v>보완요청</x:v>
      </x:c>
      <x:c r="E164" s="2" t="str">
        <x:f>IF('신청 원장'!L1146="","",'신청 원장'!L1146)</x:f>
        <x:v>KECM_김민정</x:v>
      </x:c>
      <x:c r="F164" s="2" t="n">
        <x:f>IF('신청 원장'!M1146="","",'신청 원장'!M1146)</x:f>
        <x:v>1</x:v>
      </x:c>
      <x:c r="G164" s="2" t="n">
        <x:f>IF('신청 원장'!N1146="","",'신청 원장'!N1146)</x:f>
        <x:v>1269</x:v>
      </x:c>
      <x:c r="H164" s="2" t="str">
        <x:f>IF('신청 원장'!AA1146="","",'신청 원장'!AA1146)</x:f>
        <x:v>내부 관찰 대상</x:v>
      </x:c>
      <x:c r="I164" s="2" t="str">
        <x:f>IF('신청 원장'!O1146="","",'신청 원장'!O1146)</x:f>
        <x:v>생략</x:v>
      </x:c>
      <x:c r="J164" s="2" t="str">
        <x:f>IF('신청 원장'!W1146="","",'신청 원장'!W1146)</x:f>
      </x:c>
      <x:c r="K164" s="2" t="str">
        <x:f>IF('신청 원장'!X1146="","",'신청 원장'!X1146)</x:f>
        <x:v>보완 회신 일정 확인</x:v>
      </x:c>
      <x:c r="L164" s="2" t="str">
        <x:f>IF('신청 원장'!R1146="","",'신청 원장'!R1146)</x:f>
        <x:v>국내평가</x:v>
      </x:c>
      <x:c r="M164" s="2" t="n">
        <x:f>IF('신청 원장'!S1146="","",'신청 원장'!S1146)</x:f>
        <x:v>1049</x:v>
      </x:c>
      <x:c r="N164" s="2" t="str">
        <x:f>IF('신청 원장'!K1146&lt;&gt;"미종결 표시","종결 상태 확인",IF('신청 원장'!N1146="","일자 확인 필요",IF('신청 원장'!N1146&gt;365,"366일 이상",IF('신청 원장'!N1146&gt;90,"91~365일",IF('신청 원장'!N1146&gt;30,"31~90일","0~30일")))))</x:f>
        <x:v>366일 이상</x:v>
      </x:c>
      <x:c r="O164" s="2" t="str">
        <x:f>IF(OR('신청 원장'!L1146="",'신청 원장'!L1146="선택"),"담당 원문 확인","기재")</x:f>
        <x:v>기재</x:v>
      </x:c>
      <x:c r="P164" s="2" t="str">
        <x:f>IF('신청 원장'!A1146="","",'신청 원장'!A1146)</x:f>
        <x:v>91fec0a98d56d4a3489540c6</x:v>
      </x:c>
    </x:row>
    <x:row r="165" ht="42" customHeight="1">
      <x:c r="A165" s="2" t="str">
        <x:f>IF('신청 원장'!B1149="","",'신청 원장'!B1149)</x:f>
        <x:v>사업 평가</x:v>
      </x:c>
      <x:c r="B165" s="7" t="str">
        <x:f>IF('신청 원장'!D1149="","",'신청 원장'!D1149)</x:f>
        <x:v>대구염색산업단지 내 인버터 공기압축기 고효율설비 교체사업</x:v>
      </x:c>
      <x:c r="C165" s="2" t="str">
        <x:f>IF('신청 원장'!F1149="","",'신청 원장'!F1149)</x:f>
        <x:v>2023-04-26</x:v>
      </x:c>
      <x:c r="D165" s="2" t="str">
        <x:f>IF('신청 원장'!J1149="","",'신청 원장'!J1149)</x:f>
        <x:v>보완요청</x:v>
      </x:c>
      <x:c r="E165" s="2" t="str">
        <x:f>IF('신청 원장'!L1149="","",'신청 원장'!L1149)</x:f>
        <x:v>KECM_김민정</x:v>
      </x:c>
      <x:c r="F165" s="2" t="n">
        <x:f>IF('신청 원장'!M1149="","",'신청 원장'!M1149)</x:f>
        <x:v>1</x:v>
      </x:c>
      <x:c r="G165" s="2" t="n">
        <x:f>IF('신청 원장'!N1149="","",'신청 원장'!N1149)</x:f>
        <x:v>1268</x:v>
      </x:c>
      <x:c r="H165" s="2" t="str">
        <x:f>IF('신청 원장'!AA1149="","",'신청 원장'!AA1149)</x:f>
        <x:v>내부 관찰 대상</x:v>
      </x:c>
      <x:c r="I165" s="2" t="str">
        <x:f>IF('신청 원장'!O1149="","",'신청 원장'!O1149)</x:f>
        <x:v>생략</x:v>
      </x:c>
      <x:c r="J165" s="2" t="str">
        <x:f>IF('신청 원장'!W1149="","",'신청 원장'!W1149)</x:f>
      </x:c>
      <x:c r="K165" s="2" t="str">
        <x:f>IF('신청 원장'!X1149="","",'신청 원장'!X1149)</x:f>
        <x:v>보완 회신 일정 확인</x:v>
      </x:c>
      <x:c r="L165" s="2" t="str">
        <x:f>IF('신청 원장'!R1149="","",'신청 원장'!R1149)</x:f>
        <x:v>국내평가</x:v>
      </x:c>
      <x:c r="M165" s="2" t="n">
        <x:f>IF('신청 원장'!S1149="","",'신청 원장'!S1149)</x:f>
        <x:v>1052</x:v>
      </x:c>
      <x:c r="N165" s="2" t="str">
        <x:f>IF('신청 원장'!K1149&lt;&gt;"미종결 표시","종결 상태 확인",IF('신청 원장'!N1149="","일자 확인 필요",IF('신청 원장'!N1149&gt;365,"366일 이상",IF('신청 원장'!N1149&gt;90,"91~365일",IF('신청 원장'!N1149&gt;30,"31~90일","0~30일")))))</x:f>
        <x:v>366일 이상</x:v>
      </x:c>
      <x:c r="O165" s="2" t="str">
        <x:f>IF(OR('신청 원장'!L1149="",'신청 원장'!L1149="선택"),"담당 원문 확인","기재")</x:f>
        <x:v>기재</x:v>
      </x:c>
      <x:c r="P165" s="2" t="str">
        <x:f>IF('신청 원장'!A1149="","",'신청 원장'!A1149)</x:f>
        <x:v>82c20feb01d7695593959d4e</x:v>
      </x:c>
    </x:row>
    <x:row r="166" ht="42" customHeight="1">
      <x:c r="A166" s="2" t="str">
        <x:f>IF('신청 원장'!B1150="","",'신청 원장'!B1150)</x:f>
        <x:v>사업 평가</x:v>
      </x:c>
      <x:c r="B166" s="7" t="str">
        <x:f>IF('신청 원장'!D1150="","",'신청 원장'!D1150)</x:f>
        <x:v>대구염색일반산업단지 내 인버터 공기압축기 고효율설비 교체사업</x:v>
      </x:c>
      <x:c r="C166" s="2" t="str">
        <x:f>IF('신청 원장'!F1150="","",'신청 원장'!F1150)</x:f>
        <x:v>2023-04-26</x:v>
      </x:c>
      <x:c r="D166" s="2" t="str">
        <x:f>IF('신청 원장'!J1150="","",'신청 원장'!J1150)</x:f>
        <x:v>보완요청</x:v>
      </x:c>
      <x:c r="E166" s="2" t="str">
        <x:f>IF('신청 원장'!L1150="","",'신청 원장'!L1150)</x:f>
        <x:v>KECM_김민정</x:v>
      </x:c>
      <x:c r="F166" s="2" t="n">
        <x:f>IF('신청 원장'!M1150="","",'신청 원장'!M1150)</x:f>
        <x:v>1</x:v>
      </x:c>
      <x:c r="G166" s="2" t="n">
        <x:f>IF('신청 원장'!N1150="","",'신청 원장'!N1150)</x:f>
        <x:v>1268</x:v>
      </x:c>
      <x:c r="H166" s="2" t="str">
        <x:f>IF('신청 원장'!AA1150="","",'신청 원장'!AA1150)</x:f>
        <x:v>내부 관찰 대상</x:v>
      </x:c>
      <x:c r="I166" s="2" t="str">
        <x:f>IF('신청 원장'!O1150="","",'신청 원장'!O1150)</x:f>
        <x:v>생략</x:v>
      </x:c>
      <x:c r="J166" s="2" t="str">
        <x:f>IF('신청 원장'!W1150="","",'신청 원장'!W1150)</x:f>
      </x:c>
      <x:c r="K166" s="2" t="str">
        <x:f>IF('신청 원장'!X1150="","",'신청 원장'!X1150)</x:f>
        <x:v>보완 회신 일정 확인</x:v>
      </x:c>
      <x:c r="L166" s="2" t="str">
        <x:f>IF('신청 원장'!R1150="","",'신청 원장'!R1150)</x:f>
        <x:v>국내평가</x:v>
      </x:c>
      <x:c r="M166" s="2" t="n">
        <x:f>IF('신청 원장'!S1150="","",'신청 원장'!S1150)</x:f>
        <x:v>1053</x:v>
      </x:c>
      <x:c r="N166" s="2" t="str">
        <x:f>IF('신청 원장'!K1150&lt;&gt;"미종결 표시","종결 상태 확인",IF('신청 원장'!N1150="","일자 확인 필요",IF('신청 원장'!N1150&gt;365,"366일 이상",IF('신청 원장'!N1150&gt;90,"91~365일",IF('신청 원장'!N1150&gt;30,"31~90일","0~30일")))))</x:f>
        <x:v>366일 이상</x:v>
      </x:c>
      <x:c r="O166" s="2" t="str">
        <x:f>IF(OR('신청 원장'!L1150="",'신청 원장'!L1150="선택"),"담당 원문 확인","기재")</x:f>
        <x:v>기재</x:v>
      </x:c>
      <x:c r="P166" s="2" t="str">
        <x:f>IF('신청 원장'!A1150="","",'신청 원장'!A1150)</x:f>
        <x:v>22a34711588c3f68f45a6af6</x:v>
      </x:c>
    </x:row>
    <x:row r="167" ht="42" customHeight="1">
      <x:c r="A167" s="2" t="str">
        <x:f>IF('신청 원장'!B1151="","",'신청 원장'!B1151)</x:f>
        <x:v>사업 평가</x:v>
      </x:c>
      <x:c r="B167" s="7" t="str">
        <x:f>IF('신청 원장'!D1151="","",'신청 원장'!D1151)</x:f>
        <x:v>안산 시우로 단지 내 인버터 공기압축기 고효율설비 교체사업</x:v>
      </x:c>
      <x:c r="C167" s="2" t="str">
        <x:f>IF('신청 원장'!F1151="","",'신청 원장'!F1151)</x:f>
        <x:v>2023-04-26</x:v>
      </x:c>
      <x:c r="D167" s="2" t="str">
        <x:f>IF('신청 원장'!J1151="","",'신청 원장'!J1151)</x:f>
        <x:v>보완요청</x:v>
      </x:c>
      <x:c r="E167" s="2" t="str">
        <x:f>IF('신청 원장'!L1151="","",'신청 원장'!L1151)</x:f>
        <x:v>KECM_김민정</x:v>
      </x:c>
      <x:c r="F167" s="2" t="n">
        <x:f>IF('신청 원장'!M1151="","",'신청 원장'!M1151)</x:f>
        <x:v>1</x:v>
      </x:c>
      <x:c r="G167" s="2" t="n">
        <x:f>IF('신청 원장'!N1151="","",'신청 원장'!N1151)</x:f>
        <x:v>1268</x:v>
      </x:c>
      <x:c r="H167" s="2" t="str">
        <x:f>IF('신청 원장'!AA1151="","",'신청 원장'!AA1151)</x:f>
        <x:v>내부 관찰 대상</x:v>
      </x:c>
      <x:c r="I167" s="2" t="str">
        <x:f>IF('신청 원장'!O1151="","",'신청 원장'!O1151)</x:f>
        <x:v>생략</x:v>
      </x:c>
      <x:c r="J167" s="2" t="str">
        <x:f>IF('신청 원장'!W1151="","",'신청 원장'!W1151)</x:f>
      </x:c>
      <x:c r="K167" s="2" t="str">
        <x:f>IF('신청 원장'!X1151="","",'신청 원장'!X1151)</x:f>
        <x:v>보완 회신 일정 확인</x:v>
      </x:c>
      <x:c r="L167" s="2" t="str">
        <x:f>IF('신청 원장'!R1151="","",'신청 원장'!R1151)</x:f>
        <x:v>국내평가</x:v>
      </x:c>
      <x:c r="M167" s="2" t="n">
        <x:f>IF('신청 원장'!S1151="","",'신청 원장'!S1151)</x:f>
        <x:v>1054</x:v>
      </x:c>
      <x:c r="N167" s="2" t="str">
        <x:f>IF('신청 원장'!K1151&lt;&gt;"미종결 표시","종결 상태 확인",IF('신청 원장'!N1151="","일자 확인 필요",IF('신청 원장'!N1151&gt;365,"366일 이상",IF('신청 원장'!N1151&gt;90,"91~365일",IF('신청 원장'!N1151&gt;30,"31~90일","0~30일")))))</x:f>
        <x:v>366일 이상</x:v>
      </x:c>
      <x:c r="O167" s="2" t="str">
        <x:f>IF(OR('신청 원장'!L1151="",'신청 원장'!L1151="선택"),"담당 원문 확인","기재")</x:f>
        <x:v>기재</x:v>
      </x:c>
      <x:c r="P167" s="2" t="str">
        <x:f>IF('신청 원장'!A1151="","",'신청 원장'!A1151)</x:f>
        <x:v>231909e0114e88346d81ea01</x:v>
      </x:c>
    </x:row>
    <x:row r="168" ht="42" customHeight="1">
      <x:c r="A168" s="2" t="str">
        <x:f>IF('신청 원장'!B1152="","",'신청 원장'!B1152)</x:f>
        <x:v>사업 평가</x:v>
      </x:c>
      <x:c r="B168" s="7" t="str">
        <x:f>IF('신청 원장'!D1152="","",'신청 원장'!D1152)</x:f>
        <x:v>충주 산업단지 내 인버터 공기압축기 고효율설비 교체사업</x:v>
      </x:c>
      <x:c r="C168" s="2" t="str">
        <x:f>IF('신청 원장'!F1152="","",'신청 원장'!F1152)</x:f>
        <x:v>2023-04-26</x:v>
      </x:c>
      <x:c r="D168" s="2" t="str">
        <x:f>IF('신청 원장'!J1152="","",'신청 원장'!J1152)</x:f>
        <x:v>보완요청</x:v>
      </x:c>
      <x:c r="E168" s="2" t="str">
        <x:f>IF('신청 원장'!L1152="","",'신청 원장'!L1152)</x:f>
        <x:v>에코시안_권송화, 박세은</x:v>
      </x:c>
      <x:c r="F168" s="2" t="n">
        <x:f>IF('신청 원장'!M1152="","",'신청 원장'!M1152)</x:f>
        <x:v>1</x:v>
      </x:c>
      <x:c r="G168" s="2" t="n">
        <x:f>IF('신청 원장'!N1152="","",'신청 원장'!N1152)</x:f>
        <x:v>1268</x:v>
      </x:c>
      <x:c r="H168" s="2" t="str">
        <x:f>IF('신청 원장'!AA1152="","",'신청 원장'!AA1152)</x:f>
        <x:v>내부 관찰 대상</x:v>
      </x:c>
      <x:c r="I168" s="2" t="str">
        <x:f>IF('신청 원장'!O1152="","",'신청 원장'!O1152)</x:f>
        <x:v>생략</x:v>
      </x:c>
      <x:c r="J168" s="2" t="str">
        <x:f>IF('신청 원장'!W1152="","",'신청 원장'!W1152)</x:f>
      </x:c>
      <x:c r="K168" s="2" t="str">
        <x:f>IF('신청 원장'!X1152="","",'신청 원장'!X1152)</x:f>
        <x:v>보완 회신 일정 확인</x:v>
      </x:c>
      <x:c r="L168" s="2" t="str">
        <x:f>IF('신청 원장'!R1152="","",'신청 원장'!R1152)</x:f>
        <x:v>국내평가</x:v>
      </x:c>
      <x:c r="M168" s="2" t="n">
        <x:f>IF('신청 원장'!S1152="","",'신청 원장'!S1152)</x:f>
        <x:v>1055</x:v>
      </x:c>
      <x:c r="N168" s="2" t="str">
        <x:f>IF('신청 원장'!K1152&lt;&gt;"미종결 표시","종결 상태 확인",IF('신청 원장'!N1152="","일자 확인 필요",IF('신청 원장'!N1152&gt;365,"366일 이상",IF('신청 원장'!N1152&gt;90,"91~365일",IF('신청 원장'!N1152&gt;30,"31~90일","0~30일")))))</x:f>
        <x:v>366일 이상</x:v>
      </x:c>
      <x:c r="O168" s="2" t="str">
        <x:f>IF(OR('신청 원장'!L1152="",'신청 원장'!L1152="선택"),"담당 원문 확인","기재")</x:f>
        <x:v>기재</x:v>
      </x:c>
      <x:c r="P168" s="2" t="str">
        <x:f>IF('신청 원장'!A1152="","",'신청 원장'!A1152)</x:f>
        <x:v>c5132a06cb1f2b5994833e96</x:v>
      </x:c>
    </x:row>
    <x:row r="169" ht="42" customHeight="1">
      <x:c r="A169" s="2" t="str">
        <x:f>IF('신청 원장'!B1153="","",'신청 원장'!B1153)</x:f>
        <x:v>사업 평가</x:v>
      </x:c>
      <x:c r="B169" s="7" t="str">
        <x:f>IF('신청 원장'!D1153="","",'신청 원장'!D1153)</x:f>
        <x:v>그린월드 도금단지 열사용시설 개선을 통한 온실가스 감축사업</x:v>
      </x:c>
      <x:c r="C169" s="2" t="str">
        <x:f>IF('신청 원장'!F1153="","",'신청 원장'!F1153)</x:f>
        <x:v>2023-04-26</x:v>
      </x:c>
      <x:c r="D169" s="2" t="str">
        <x:f>IF('신청 원장'!J1153="","",'신청 원장'!J1153)</x:f>
        <x:v>보완요청</x:v>
      </x:c>
      <x:c r="E169" s="2" t="str">
        <x:f>IF('신청 원장'!L1153="","",'신청 원장'!L1153)</x:f>
        <x:v>KECM_김민정</x:v>
      </x:c>
      <x:c r="F169" s="2" t="str">
        <x:f>IF('신청 원장'!M1153="","",'신청 원장'!M1153)</x:f>
      </x:c>
      <x:c r="G169" s="2" t="n">
        <x:f>IF('신청 원장'!N1153="","",'신청 원장'!N1153)</x:f>
        <x:v>1268</x:v>
      </x:c>
      <x:c r="H169" s="2" t="str">
        <x:f>IF('신청 원장'!AA1153="","",'신청 원장'!AA1153)</x:f>
        <x:v>내부 관찰 대상</x:v>
      </x:c>
      <x:c r="I169" s="2" t="str">
        <x:f>IF('신청 원장'!O1153="","",'신청 원장'!O1153)</x:f>
        <x:v>생략</x:v>
      </x:c>
      <x:c r="J169" s="2" t="str">
        <x:f>IF('신청 원장'!W1153="","",'신청 원장'!W1153)</x:f>
      </x:c>
      <x:c r="K169" s="2" t="str">
        <x:f>IF('신청 원장'!X1153="","",'신청 원장'!X1153)</x:f>
        <x:v>보완 회신 일정 확인</x:v>
      </x:c>
      <x:c r="L169" s="2" t="str">
        <x:f>IF('신청 원장'!R1153="","",'신청 원장'!R1153)</x:f>
        <x:v>국내평가</x:v>
      </x:c>
      <x:c r="M169" s="2" t="n">
        <x:f>IF('신청 원장'!S1153="","",'신청 원장'!S1153)</x:f>
        <x:v>1056</x:v>
      </x:c>
      <x:c r="N169" s="2" t="str">
        <x:f>IF('신청 원장'!K1153&lt;&gt;"미종결 표시","종결 상태 확인",IF('신청 원장'!N1153="","일자 확인 필요",IF('신청 원장'!N1153&gt;365,"366일 이상",IF('신청 원장'!N1153&gt;90,"91~365일",IF('신청 원장'!N1153&gt;30,"31~90일","0~30일")))))</x:f>
        <x:v>366일 이상</x:v>
      </x:c>
      <x:c r="O169" s="2" t="str">
        <x:f>IF(OR('신청 원장'!L1153="",'신청 원장'!L1153="선택"),"담당 원문 확인","기재")</x:f>
        <x:v>기재</x:v>
      </x:c>
      <x:c r="P169" s="2" t="str">
        <x:f>IF('신청 원장'!A1153="","",'신청 원장'!A1153)</x:f>
        <x:v>0cdf9d25e303101d176473b3</x:v>
      </x:c>
    </x:row>
    <x:row r="170" ht="42" customHeight="1">
      <x:c r="A170" s="2" t="str">
        <x:f>IF('신청 원장'!B1162="","",'신청 원장'!B1162)</x:f>
        <x:v>사업 평가</x:v>
      </x:c>
      <x:c r="B170" s="7" t="str">
        <x:f>IF('신청 원장'!D1162="","",'신청 원장'!D1162)</x:f>
        <x:v>㈜하영  고효율 2단 인버터 PM  Motor 공기압축기로 교체 사업</x:v>
      </x:c>
      <x:c r="C170" s="2" t="str">
        <x:f>IF('신청 원장'!F1162="","",'신청 원장'!F1162)</x:f>
        <x:v>2023-06-09</x:v>
      </x:c>
      <x:c r="D170" s="2" t="str">
        <x:f>IF('신청 원장'!J1162="","",'신청 원장'!J1162)</x:f>
        <x:v>보완요청</x:v>
      </x:c>
      <x:c r="E170" s="2" t="str">
        <x:f>IF('신청 원장'!L1162="","",'신청 원장'!L1162)</x:f>
        <x:v>KECM</x:v>
      </x:c>
      <x:c r="F170" s="2" t="n">
        <x:f>IF('신청 원장'!M1162="","",'신청 원장'!M1162)</x:f>
        <x:v>1</x:v>
      </x:c>
      <x:c r="G170" s="2" t="n">
        <x:f>IF('신청 원장'!N1162="","",'신청 원장'!N1162)</x:f>
        <x:v>1224</x:v>
      </x:c>
      <x:c r="H170" s="2" t="str">
        <x:f>IF('신청 원장'!AA1162="","",'신청 원장'!AA1162)</x:f>
        <x:v>내부 관찰 대상</x:v>
      </x:c>
      <x:c r="I170" s="2" t="str">
        <x:f>IF('신청 원장'!O1162="","",'신청 원장'!O1162)</x:f>
        <x:v>생략</x:v>
      </x:c>
      <x:c r="J170" s="2" t="str">
        <x:f>IF('신청 원장'!W1162="","",'신청 원장'!W1162)</x:f>
      </x:c>
      <x:c r="K170" s="2" t="str">
        <x:f>IF('신청 원장'!X1162="","",'신청 원장'!X1162)</x:f>
        <x:v>보완 회신 일정 확인</x:v>
      </x:c>
      <x:c r="L170" s="2" t="str">
        <x:f>IF('신청 원장'!R1162="","",'신청 원장'!R1162)</x:f>
        <x:v>국내평가</x:v>
      </x:c>
      <x:c r="M170" s="2" t="n">
        <x:f>IF('신청 원장'!S1162="","",'신청 원장'!S1162)</x:f>
        <x:v>1065</x:v>
      </x:c>
      <x:c r="N170" s="2" t="str">
        <x:f>IF('신청 원장'!K1162&lt;&gt;"미종결 표시","종결 상태 확인",IF('신청 원장'!N1162="","일자 확인 필요",IF('신청 원장'!N1162&gt;365,"366일 이상",IF('신청 원장'!N1162&gt;90,"91~365일",IF('신청 원장'!N1162&gt;30,"31~90일","0~30일")))))</x:f>
        <x:v>366일 이상</x:v>
      </x:c>
      <x:c r="O170" s="2" t="str">
        <x:f>IF(OR('신청 원장'!L1162="",'신청 원장'!L1162="선택"),"담당 원문 확인","기재")</x:f>
        <x:v>기재</x:v>
      </x:c>
      <x:c r="P170" s="2" t="str">
        <x:f>IF('신청 원장'!A1162="","",'신청 원장'!A1162)</x:f>
        <x:v>0ac4b0306a305e5d0e1e1ba6</x:v>
      </x:c>
    </x:row>
    <x:row r="171" ht="42" customHeight="1">
      <x:c r="A171" s="2" t="str">
        <x:f>IF('신청 원장'!B1165="","",'신청 원장'!B1165)</x:f>
        <x:v>사업 평가</x:v>
      </x:c>
      <x:c r="B171" s="7" t="str">
        <x:f>IF('신청 원장'!D1165="","",'신청 원장'!D1165)</x:f>
        <x:v>성광아스콘㈜  고효율 2단 인버터 PM  Motor 공기압축기로 교체 사업</x:v>
      </x:c>
      <x:c r="C171" s="2" t="str">
        <x:f>IF('신청 원장'!F1165="","",'신청 원장'!F1165)</x:f>
        <x:v>2023-06-16</x:v>
      </x:c>
      <x:c r="D171" s="2" t="str">
        <x:f>IF('신청 원장'!J1165="","",'신청 원장'!J1165)</x:f>
        <x:v>보완요청</x:v>
      </x:c>
      <x:c r="E171" s="2" t="str">
        <x:f>IF('신청 원장'!L1165="","",'신청 원장'!L1165)</x:f>
        <x:v>KECM</x:v>
      </x:c>
      <x:c r="F171" s="2" t="n">
        <x:f>IF('신청 원장'!M1165="","",'신청 원장'!M1165)</x:f>
        <x:v>1</x:v>
      </x:c>
      <x:c r="G171" s="2" t="n">
        <x:f>IF('신청 원장'!N1165="","",'신청 원장'!N1165)</x:f>
        <x:v>1217</x:v>
      </x:c>
      <x:c r="H171" s="2" t="str">
        <x:f>IF('신청 원장'!AA1165="","",'신청 원장'!AA1165)</x:f>
        <x:v>내부 관찰 대상</x:v>
      </x:c>
      <x:c r="I171" s="2" t="str">
        <x:f>IF('신청 원장'!O1165="","",'신청 원장'!O1165)</x:f>
        <x:v>생략</x:v>
      </x:c>
      <x:c r="J171" s="2" t="str">
        <x:f>IF('신청 원장'!W1165="","",'신청 원장'!W1165)</x:f>
      </x:c>
      <x:c r="K171" s="2" t="str">
        <x:f>IF('신청 원장'!X1165="","",'신청 원장'!X1165)</x:f>
        <x:v>보완 회신 일정 확인</x:v>
      </x:c>
      <x:c r="L171" s="2" t="str">
        <x:f>IF('신청 원장'!R1165="","",'신청 원장'!R1165)</x:f>
        <x:v>국내평가</x:v>
      </x:c>
      <x:c r="M171" s="2" t="n">
        <x:f>IF('신청 원장'!S1165="","",'신청 원장'!S1165)</x:f>
        <x:v>1068</x:v>
      </x:c>
      <x:c r="N171" s="2" t="str">
        <x:f>IF('신청 원장'!K1165&lt;&gt;"미종결 표시","종결 상태 확인",IF('신청 원장'!N1165="","일자 확인 필요",IF('신청 원장'!N1165&gt;365,"366일 이상",IF('신청 원장'!N1165&gt;90,"91~365일",IF('신청 원장'!N1165&gt;30,"31~90일","0~30일")))))</x:f>
        <x:v>366일 이상</x:v>
      </x:c>
      <x:c r="O171" s="2" t="str">
        <x:f>IF(OR('신청 원장'!L1165="",'신청 원장'!L1165="선택"),"담당 원문 확인","기재")</x:f>
        <x:v>기재</x:v>
      </x:c>
      <x:c r="P171" s="2" t="str">
        <x:f>IF('신청 원장'!A1165="","",'신청 원장'!A1165)</x:f>
        <x:v>03ed8d2a962172b6a7df3e79</x:v>
      </x:c>
    </x:row>
    <x:row r="172" ht="42" customHeight="1">
      <x:c r="A172" s="2" t="str">
        <x:f>IF('신청 원장'!B1166="","",'신청 원장'!B1166)</x:f>
        <x:v>사업 평가</x:v>
      </x:c>
      <x:c r="B172" s="7" t="str">
        <x:f>IF('신청 원장'!D1166="","",'신청 원장'!D1166)</x:f>
        <x:v>더존앤테크(주) 고효율 2단 인버터 PM  Motor 공기압축기로 교체 사업</x:v>
      </x:c>
      <x:c r="C172" s="2" t="str">
        <x:f>IF('신청 원장'!F1166="","",'신청 원장'!F1166)</x:f>
        <x:v>2023-06-12</x:v>
      </x:c>
      <x:c r="D172" s="2" t="str">
        <x:f>IF('신청 원장'!J1166="","",'신청 원장'!J1166)</x:f>
        <x:v>보완요청</x:v>
      </x:c>
      <x:c r="E172" s="2" t="str">
        <x:f>IF('신청 원장'!L1166="","",'신청 원장'!L1166)</x:f>
        <x:v>KECM</x:v>
      </x:c>
      <x:c r="F172" s="2" t="n">
        <x:f>IF('신청 원장'!M1166="","",'신청 원장'!M1166)</x:f>
        <x:v>3</x:v>
      </x:c>
      <x:c r="G172" s="2" t="n">
        <x:f>IF('신청 원장'!N1166="","",'신청 원장'!N1166)</x:f>
        <x:v>1221</x:v>
      </x:c>
      <x:c r="H172" s="2" t="str">
        <x:f>IF('신청 원장'!AA1166="","",'신청 원장'!AA1166)</x:f>
        <x:v>내부 관찰 대상</x:v>
      </x:c>
      <x:c r="I172" s="2" t="str">
        <x:f>IF('신청 원장'!O1166="","",'신청 원장'!O1166)</x:f>
        <x:v>생략</x:v>
      </x:c>
      <x:c r="J172" s="2" t="str">
        <x:f>IF('신청 원장'!W1166="","",'신청 원장'!W1166)</x:f>
      </x:c>
      <x:c r="K172" s="2" t="str">
        <x:f>IF('신청 원장'!X1166="","",'신청 원장'!X1166)</x:f>
        <x:v>보완 회신 일정 확인</x:v>
      </x:c>
      <x:c r="L172" s="2" t="str">
        <x:f>IF('신청 원장'!R1166="","",'신청 원장'!R1166)</x:f>
        <x:v>국내평가</x:v>
      </x:c>
      <x:c r="M172" s="2" t="n">
        <x:f>IF('신청 원장'!S1166="","",'신청 원장'!S1166)</x:f>
        <x:v>1069</x:v>
      </x:c>
      <x:c r="N172" s="2" t="str">
        <x:f>IF('신청 원장'!K1166&lt;&gt;"미종결 표시","종결 상태 확인",IF('신청 원장'!N1166="","일자 확인 필요",IF('신청 원장'!N1166&gt;365,"366일 이상",IF('신청 원장'!N1166&gt;90,"91~365일",IF('신청 원장'!N1166&gt;30,"31~90일","0~30일")))))</x:f>
        <x:v>366일 이상</x:v>
      </x:c>
      <x:c r="O172" s="2" t="str">
        <x:f>IF(OR('신청 원장'!L1166="",'신청 원장'!L1166="선택"),"담당 원문 확인","기재")</x:f>
        <x:v>기재</x:v>
      </x:c>
      <x:c r="P172" s="2" t="str">
        <x:f>IF('신청 원장'!A1166="","",'신청 원장'!A1166)</x:f>
        <x:v>944642e7f48a36dc18f8e25c</x:v>
      </x:c>
    </x:row>
    <x:row r="173" ht="42" customHeight="1">
      <x:c r="A173" s="2" t="str">
        <x:f>IF('신청 원장'!B1168="","",'신청 원장'!B1168)</x:f>
        <x:v>사업 평가</x:v>
      </x:c>
      <x:c r="B173" s="7" t="str">
        <x:f>IF('신청 원장'!D1168="","",'신청 원장'!D1168)</x:f>
        <x:v>(주)코리아그린  고효율 2단 인버터 PM  Motor 공기압축기로 교체 사업</x:v>
      </x:c>
      <x:c r="C173" s="2" t="str">
        <x:f>IF('신청 원장'!F1168="","",'신청 원장'!F1168)</x:f>
        <x:v>2023-06-16</x:v>
      </x:c>
      <x:c r="D173" s="2" t="str">
        <x:f>IF('신청 원장'!J1168="","",'신청 원장'!J1168)</x:f>
        <x:v>보완요청</x:v>
      </x:c>
      <x:c r="E173" s="2" t="str">
        <x:f>IF('신청 원장'!L1168="","",'신청 원장'!L1168)</x:f>
        <x:v>KECM</x:v>
      </x:c>
      <x:c r="F173" s="2" t="n">
        <x:f>IF('신청 원장'!M1168="","",'신청 원장'!M1168)</x:f>
        <x:v>3</x:v>
      </x:c>
      <x:c r="G173" s="2" t="n">
        <x:f>IF('신청 원장'!N1168="","",'신청 원장'!N1168)</x:f>
        <x:v>1217</x:v>
      </x:c>
      <x:c r="H173" s="2" t="str">
        <x:f>IF('신청 원장'!AA1168="","",'신청 원장'!AA1168)</x:f>
        <x:v>내부 관찰 대상</x:v>
      </x:c>
      <x:c r="I173" s="2" t="str">
        <x:f>IF('신청 원장'!O1168="","",'신청 원장'!O1168)</x:f>
        <x:v>생략</x:v>
      </x:c>
      <x:c r="J173" s="2" t="str">
        <x:f>IF('신청 원장'!W1168="","",'신청 원장'!W1168)</x:f>
      </x:c>
      <x:c r="K173" s="2" t="str">
        <x:f>IF('신청 원장'!X1168="","",'신청 원장'!X1168)</x:f>
        <x:v>보완 회신 일정 확인</x:v>
      </x:c>
      <x:c r="L173" s="2" t="str">
        <x:f>IF('신청 원장'!R1168="","",'신청 원장'!R1168)</x:f>
        <x:v>국내평가</x:v>
      </x:c>
      <x:c r="M173" s="2" t="n">
        <x:f>IF('신청 원장'!S1168="","",'신청 원장'!S1168)</x:f>
        <x:v>1071</x:v>
      </x:c>
      <x:c r="N173" s="2" t="str">
        <x:f>IF('신청 원장'!K1168&lt;&gt;"미종결 표시","종결 상태 확인",IF('신청 원장'!N1168="","일자 확인 필요",IF('신청 원장'!N1168&gt;365,"366일 이상",IF('신청 원장'!N1168&gt;90,"91~365일",IF('신청 원장'!N1168&gt;30,"31~90일","0~30일")))))</x:f>
        <x:v>366일 이상</x:v>
      </x:c>
      <x:c r="O173" s="2" t="str">
        <x:f>IF(OR('신청 원장'!L1168="",'신청 원장'!L1168="선택"),"담당 원문 확인","기재")</x:f>
        <x:v>기재</x:v>
      </x:c>
      <x:c r="P173" s="2" t="str">
        <x:f>IF('신청 원장'!A1168="","",'신청 원장'!A1168)</x:f>
        <x:v>dbba6120791a2ec7f73daf67</x:v>
      </x:c>
    </x:row>
    <x:row r="174" ht="42" customHeight="1">
      <x:c r="A174" s="2" t="str">
        <x:f>IF('신청 원장'!B1169="","",'신청 원장'!B1169)</x:f>
        <x:v>사업 평가</x:v>
      </x:c>
      <x:c r="B174" s="7" t="str">
        <x:f>IF('신청 원장'!D1169="","",'신청 원장'!D1169)</x:f>
        <x:v>디씨티준오 태양광발전 설비 설치를 통한 전력 생산 및 자가 사용 사업</x:v>
      </x:c>
      <x:c r="C174" s="2" t="str">
        <x:f>IF('신청 원장'!F1169="","",'신청 원장'!F1169)</x:f>
        <x:v>2023-06-19</x:v>
      </x:c>
      <x:c r="D174" s="2" t="str">
        <x:f>IF('신청 원장'!J1169="","",'신청 원장'!J1169)</x:f>
        <x:v>보완요청</x:v>
      </x:c>
      <x:c r="E174" s="2" t="str">
        <x:f>IF('신청 원장'!L1169="","",'신청 원장'!L1169)</x:f>
        <x:v>에코시안_권송화</x:v>
      </x:c>
      <x:c r="F174" s="2" t="n">
        <x:f>IF('신청 원장'!M1169="","",'신청 원장'!M1169)</x:f>
        <x:v>1</x:v>
      </x:c>
      <x:c r="G174" s="2" t="n">
        <x:f>IF('신청 원장'!N1169="","",'신청 원장'!N1169)</x:f>
        <x:v>1214</x:v>
      </x:c>
      <x:c r="H174" s="2" t="str">
        <x:f>IF('신청 원장'!AA1169="","",'신청 원장'!AA1169)</x:f>
        <x:v>내부 관찰 대상</x:v>
      </x:c>
      <x:c r="I174" s="2" t="str">
        <x:f>IF('신청 원장'!O1169="","",'신청 원장'!O1169)</x:f>
        <x:v>생략</x:v>
      </x:c>
      <x:c r="J174" s="2" t="str">
        <x:f>IF('신청 원장'!W1169="","",'신청 원장'!W1169)</x:f>
      </x:c>
      <x:c r="K174" s="2" t="str">
        <x:f>IF('신청 원장'!X1169="","",'신청 원장'!X1169)</x:f>
        <x:v>보완 회신 일정 확인</x:v>
      </x:c>
      <x:c r="L174" s="2" t="str">
        <x:f>IF('신청 원장'!R1169="","",'신청 원장'!R1169)</x:f>
        <x:v>국내평가</x:v>
      </x:c>
      <x:c r="M174" s="2" t="n">
        <x:f>IF('신청 원장'!S1169="","",'신청 원장'!S1169)</x:f>
        <x:v>1072</x:v>
      </x:c>
      <x:c r="N174" s="2" t="str">
        <x:f>IF('신청 원장'!K1169&lt;&gt;"미종결 표시","종결 상태 확인",IF('신청 원장'!N1169="","일자 확인 필요",IF('신청 원장'!N1169&gt;365,"366일 이상",IF('신청 원장'!N1169&gt;90,"91~365일",IF('신청 원장'!N1169&gt;30,"31~90일","0~30일")))))</x:f>
        <x:v>366일 이상</x:v>
      </x:c>
      <x:c r="O174" s="2" t="str">
        <x:f>IF(OR('신청 원장'!L1169="",'신청 원장'!L1169="선택"),"담당 원문 확인","기재")</x:f>
        <x:v>기재</x:v>
      </x:c>
      <x:c r="P174" s="2" t="str">
        <x:f>IF('신청 원장'!A1169="","",'신청 원장'!A1169)</x:f>
        <x:v>13d40eac957a831601a6799a</x:v>
      </x:c>
    </x:row>
    <x:row r="175" ht="42" customHeight="1">
      <x:c r="A175" s="2" t="str">
        <x:f>IF('신청 원장'!B1170="","",'신청 원장'!B1170)</x:f>
        <x:v>사업 평가</x:v>
      </x:c>
      <x:c r="B175" s="7" t="str">
        <x:f>IF('신청 원장'!D1170="","",'신청 원장'!D1170)</x:f>
        <x:v>새론산업 태양광발전 설비 설치를 통한 전력 생산 및 자가 사용 사업</x:v>
      </x:c>
      <x:c r="C175" s="2" t="str">
        <x:f>IF('신청 원장'!F1170="","",'신청 원장'!F1170)</x:f>
        <x:v>2023-06-19</x:v>
      </x:c>
      <x:c r="D175" s="2" t="str">
        <x:f>IF('신청 원장'!J1170="","",'신청 원장'!J1170)</x:f>
        <x:v>보완요청</x:v>
      </x:c>
      <x:c r="E175" s="2" t="str">
        <x:f>IF('신청 원장'!L1170="","",'신청 원장'!L1170)</x:f>
        <x:v>에코시안_전윤호</x:v>
      </x:c>
      <x:c r="F175" s="2" t="n">
        <x:f>IF('신청 원장'!M1170="","",'신청 원장'!M1170)</x:f>
        <x:v>1</x:v>
      </x:c>
      <x:c r="G175" s="2" t="n">
        <x:f>IF('신청 원장'!N1170="","",'신청 원장'!N1170)</x:f>
        <x:v>1214</x:v>
      </x:c>
      <x:c r="H175" s="2" t="str">
        <x:f>IF('신청 원장'!AA1170="","",'신청 원장'!AA1170)</x:f>
        <x:v>내부 관찰 대상</x:v>
      </x:c>
      <x:c r="I175" s="2" t="str">
        <x:f>IF('신청 원장'!O1170="","",'신청 원장'!O1170)</x:f>
        <x:v>생략</x:v>
      </x:c>
      <x:c r="J175" s="2" t="str">
        <x:f>IF('신청 원장'!W1170="","",'신청 원장'!W1170)</x:f>
      </x:c>
      <x:c r="K175" s="2" t="str">
        <x:f>IF('신청 원장'!X1170="","",'신청 원장'!X1170)</x:f>
        <x:v>보완 회신 일정 확인</x:v>
      </x:c>
      <x:c r="L175" s="2" t="str">
        <x:f>IF('신청 원장'!R1170="","",'신청 원장'!R1170)</x:f>
        <x:v>국내평가</x:v>
      </x:c>
      <x:c r="M175" s="2" t="n">
        <x:f>IF('신청 원장'!S1170="","",'신청 원장'!S1170)</x:f>
        <x:v>1073</x:v>
      </x:c>
      <x:c r="N175" s="2" t="str">
        <x:f>IF('신청 원장'!K1170&lt;&gt;"미종결 표시","종결 상태 확인",IF('신청 원장'!N1170="","일자 확인 필요",IF('신청 원장'!N1170&gt;365,"366일 이상",IF('신청 원장'!N1170&gt;90,"91~365일",IF('신청 원장'!N1170&gt;30,"31~90일","0~30일")))))</x:f>
        <x:v>366일 이상</x:v>
      </x:c>
      <x:c r="O175" s="2" t="str">
        <x:f>IF(OR('신청 원장'!L1170="",'신청 원장'!L1170="선택"),"담당 원문 확인","기재")</x:f>
        <x:v>기재</x:v>
      </x:c>
      <x:c r="P175" s="2" t="str">
        <x:f>IF('신청 원장'!A1170="","",'신청 원장'!A1170)</x:f>
        <x:v>29de7213dfb004009ed32eed</x:v>
      </x:c>
    </x:row>
    <x:row r="176" ht="42" customHeight="1">
      <x:c r="A176" s="2" t="str">
        <x:f>IF('신청 원장'!B1171="","",'신청 원장'!B1171)</x:f>
        <x:v>사업 평가</x:v>
      </x:c>
      <x:c r="B176" s="7" t="str">
        <x:f>IF('신청 원장'!D1171="","",'신청 원장'!D1171)</x:f>
        <x:v>태흥전기 태양광 발전설비 설치 및 자가 사용 사업</x:v>
      </x:c>
      <x:c r="C176" s="2" t="str">
        <x:f>IF('신청 원장'!F1171="","",'신청 원장'!F1171)</x:f>
        <x:v>2023-06-19</x:v>
      </x:c>
      <x:c r="D176" s="2" t="str">
        <x:f>IF('신청 원장'!J1171="","",'신청 원장'!J1171)</x:f>
        <x:v>보완요청</x:v>
      </x:c>
      <x:c r="E176" s="2" t="str">
        <x:f>IF('신청 원장'!L1171="","",'신청 원장'!L1171)</x:f>
        <x:v>에코시안_조영우</x:v>
      </x:c>
      <x:c r="F176" s="2" t="n">
        <x:f>IF('신청 원장'!M1171="","",'신청 원장'!M1171)</x:f>
        <x:v>1</x:v>
      </x:c>
      <x:c r="G176" s="2" t="n">
        <x:f>IF('신청 원장'!N1171="","",'신청 원장'!N1171)</x:f>
        <x:v>1214</x:v>
      </x:c>
      <x:c r="H176" s="2" t="str">
        <x:f>IF('신청 원장'!AA1171="","",'신청 원장'!AA1171)</x:f>
        <x:v>내부 관찰 대상</x:v>
      </x:c>
      <x:c r="I176" s="2" t="str">
        <x:f>IF('신청 원장'!O1171="","",'신청 원장'!O1171)</x:f>
        <x:v>생략</x:v>
      </x:c>
      <x:c r="J176" s="2" t="str">
        <x:f>IF('신청 원장'!W1171="","",'신청 원장'!W1171)</x:f>
      </x:c>
      <x:c r="K176" s="2" t="str">
        <x:f>IF('신청 원장'!X1171="","",'신청 원장'!X1171)</x:f>
        <x:v>보완 회신 일정 확인</x:v>
      </x:c>
      <x:c r="L176" s="2" t="str">
        <x:f>IF('신청 원장'!R1171="","",'신청 원장'!R1171)</x:f>
        <x:v>국내평가</x:v>
      </x:c>
      <x:c r="M176" s="2" t="n">
        <x:f>IF('신청 원장'!S1171="","",'신청 원장'!S1171)</x:f>
        <x:v>1074</x:v>
      </x:c>
      <x:c r="N176" s="2" t="str">
        <x:f>IF('신청 원장'!K1171&lt;&gt;"미종결 표시","종결 상태 확인",IF('신청 원장'!N1171="","일자 확인 필요",IF('신청 원장'!N1171&gt;365,"366일 이상",IF('신청 원장'!N1171&gt;90,"91~365일",IF('신청 원장'!N1171&gt;30,"31~90일","0~30일")))))</x:f>
        <x:v>366일 이상</x:v>
      </x:c>
      <x:c r="O176" s="2" t="str">
        <x:f>IF(OR('신청 원장'!L1171="",'신청 원장'!L1171="선택"),"담당 원문 확인","기재")</x:f>
        <x:v>기재</x:v>
      </x:c>
      <x:c r="P176" s="2" t="str">
        <x:f>IF('신청 원장'!A1171="","",'신청 원장'!A1171)</x:f>
        <x:v>a7ce8810a4e07736aaf8eaa0</x:v>
      </x:c>
    </x:row>
    <x:row r="177" ht="42" customHeight="1">
      <x:c r="A177" s="2" t="str">
        <x:f>IF('신청 원장'!B1172="","",'신청 원장'!B1172)</x:f>
        <x:v>사업 평가</x:v>
      </x:c>
      <x:c r="B177" s="7" t="str">
        <x:f>IF('신청 원장'!D1172="","",'신청 원장'!D1172)</x:f>
        <x:v>태광유엔티 태양광 발전설비 설치 및 자가 사용 사업</x:v>
      </x:c>
      <x:c r="C177" s="2" t="str">
        <x:f>IF('신청 원장'!F1172="","",'신청 원장'!F1172)</x:f>
        <x:v>2023-06-19</x:v>
      </x:c>
      <x:c r="D177" s="2" t="str">
        <x:f>IF('신청 원장'!J1172="","",'신청 원장'!J1172)</x:f>
        <x:v>보완요청</x:v>
      </x:c>
      <x:c r="E177" s="2" t="str">
        <x:f>IF('신청 원장'!L1172="","",'신청 원장'!L1172)</x:f>
        <x:v>에코시안_조영우</x:v>
      </x:c>
      <x:c r="F177" s="2" t="n">
        <x:f>IF('신청 원장'!M1172="","",'신청 원장'!M1172)</x:f>
        <x:v>1</x:v>
      </x:c>
      <x:c r="G177" s="2" t="n">
        <x:f>IF('신청 원장'!N1172="","",'신청 원장'!N1172)</x:f>
        <x:v>1214</x:v>
      </x:c>
      <x:c r="H177" s="2" t="str">
        <x:f>IF('신청 원장'!AA1172="","",'신청 원장'!AA1172)</x:f>
        <x:v>내부 관찰 대상</x:v>
      </x:c>
      <x:c r="I177" s="2" t="str">
        <x:f>IF('신청 원장'!O1172="","",'신청 원장'!O1172)</x:f>
        <x:v>생략</x:v>
      </x:c>
      <x:c r="J177" s="2" t="str">
        <x:f>IF('신청 원장'!W1172="","",'신청 원장'!W1172)</x:f>
      </x:c>
      <x:c r="K177" s="2" t="str">
        <x:f>IF('신청 원장'!X1172="","",'신청 원장'!X1172)</x:f>
        <x:v>보완 회신 일정 확인</x:v>
      </x:c>
      <x:c r="L177" s="2" t="str">
        <x:f>IF('신청 원장'!R1172="","",'신청 원장'!R1172)</x:f>
        <x:v>국내평가</x:v>
      </x:c>
      <x:c r="M177" s="2" t="n">
        <x:f>IF('신청 원장'!S1172="","",'신청 원장'!S1172)</x:f>
        <x:v>1075</x:v>
      </x:c>
      <x:c r="N177" s="2" t="str">
        <x:f>IF('신청 원장'!K1172&lt;&gt;"미종결 표시","종결 상태 확인",IF('신청 원장'!N1172="","일자 확인 필요",IF('신청 원장'!N1172&gt;365,"366일 이상",IF('신청 원장'!N1172&gt;90,"91~365일",IF('신청 원장'!N1172&gt;30,"31~90일","0~30일")))))</x:f>
        <x:v>366일 이상</x:v>
      </x:c>
      <x:c r="O177" s="2" t="str">
        <x:f>IF(OR('신청 원장'!L1172="",'신청 원장'!L1172="선택"),"담당 원문 확인","기재")</x:f>
        <x:v>기재</x:v>
      </x:c>
      <x:c r="P177" s="2" t="str">
        <x:f>IF('신청 원장'!A1172="","",'신청 원장'!A1172)</x:f>
        <x:v>453ef49ac32ebcc27732058b</x:v>
      </x:c>
    </x:row>
    <x:row r="178" ht="42" customHeight="1">
      <x:c r="A178" s="2" t="str">
        <x:f>IF('신청 원장'!B1173="","",'신청 원장'!B1173)</x:f>
        <x:v>사업 평가</x:v>
      </x:c>
      <x:c r="B178" s="7" t="str">
        <x:f>IF('신청 원장'!D1173="","",'신청 원장'!D1173)</x:f>
        <x:v>㈜대성테크  고효율 2단 인버터 PM  Motor 공기압축기로 교체 사업</x:v>
      </x:c>
      <x:c r="C178" s="2" t="str">
        <x:f>IF('신청 원장'!F1173="","",'신청 원장'!F1173)</x:f>
        <x:v>2023-06-16</x:v>
      </x:c>
      <x:c r="D178" s="2" t="str">
        <x:f>IF('신청 원장'!J1173="","",'신청 원장'!J1173)</x:f>
        <x:v>보완요청</x:v>
      </x:c>
      <x:c r="E178" s="2" t="str">
        <x:f>IF('신청 원장'!L1173="","",'신청 원장'!L1173)</x:f>
        <x:v>에코시안_정다윤</x:v>
      </x:c>
      <x:c r="F178" s="2" t="n">
        <x:f>IF('신청 원장'!M1173="","",'신청 원장'!M1173)</x:f>
        <x:v>3</x:v>
      </x:c>
      <x:c r="G178" s="2" t="n">
        <x:f>IF('신청 원장'!N1173="","",'신청 원장'!N1173)</x:f>
        <x:v>1217</x:v>
      </x:c>
      <x:c r="H178" s="2" t="str">
        <x:f>IF('신청 원장'!AA1173="","",'신청 원장'!AA1173)</x:f>
        <x:v>내부 관찰 대상</x:v>
      </x:c>
      <x:c r="I178" s="2" t="str">
        <x:f>IF('신청 원장'!O1173="","",'신청 원장'!O1173)</x:f>
        <x:v>생략</x:v>
      </x:c>
      <x:c r="J178" s="2" t="str">
        <x:f>IF('신청 원장'!W1173="","",'신청 원장'!W1173)</x:f>
      </x:c>
      <x:c r="K178" s="2" t="str">
        <x:f>IF('신청 원장'!X1173="","",'신청 원장'!X1173)</x:f>
        <x:v>보완 회신 일정 확인</x:v>
      </x:c>
      <x:c r="L178" s="2" t="str">
        <x:f>IF('신청 원장'!R1173="","",'신청 원장'!R1173)</x:f>
        <x:v>국내평가</x:v>
      </x:c>
      <x:c r="M178" s="2" t="n">
        <x:f>IF('신청 원장'!S1173="","",'신청 원장'!S1173)</x:f>
        <x:v>1076</x:v>
      </x:c>
      <x:c r="N178" s="2" t="str">
        <x:f>IF('신청 원장'!K1173&lt;&gt;"미종결 표시","종결 상태 확인",IF('신청 원장'!N1173="","일자 확인 필요",IF('신청 원장'!N1173&gt;365,"366일 이상",IF('신청 원장'!N1173&gt;90,"91~365일",IF('신청 원장'!N1173&gt;30,"31~90일","0~30일")))))</x:f>
        <x:v>366일 이상</x:v>
      </x:c>
      <x:c r="O178" s="2" t="str">
        <x:f>IF(OR('신청 원장'!L1173="",'신청 원장'!L1173="선택"),"담당 원문 확인","기재")</x:f>
        <x:v>기재</x:v>
      </x:c>
      <x:c r="P178" s="2" t="str">
        <x:f>IF('신청 원장'!A1173="","",'신청 원장'!A1173)</x:f>
        <x:v>6ed3dfa51b922f61c881f9c1</x:v>
      </x:c>
    </x:row>
    <x:row r="179" ht="42" customHeight="1">
      <x:c r="A179" s="2" t="str">
        <x:f>IF('신청 원장'!B1176="","",'신청 원장'!B1176)</x:f>
        <x:v>사업 평가</x:v>
      </x:c>
      <x:c r="B179" s="7" t="str">
        <x:f>IF('신청 원장'!D1176="","",'신청 원장'!D1176)</x:f>
        <x:v>㈜고려텍스 외 5개사의 고효율 공기압축기 교체를 통한 온실가스 감축사업</x:v>
      </x:c>
      <x:c r="C179" s="2" t="str">
        <x:f>IF('신청 원장'!F1176="","",'신청 원장'!F1176)</x:f>
        <x:v>2023-06-30</x:v>
      </x:c>
      <x:c r="D179" s="2" t="str">
        <x:f>IF('신청 원장'!J1176="","",'신청 원장'!J1176)</x:f>
        <x:v>기후부협의</x:v>
      </x:c>
      <x:c r="E179" s="2" t="str">
        <x:f>IF('신청 원장'!L1176="","",'신청 원장'!L1176)</x:f>
        <x:v>에코시안_조영우</x:v>
      </x:c>
      <x:c r="F179" s="2" t="str">
        <x:f>IF('신청 원장'!M1176="","",'신청 원장'!M1176)</x:f>
      </x:c>
      <x:c r="G179" s="2" t="n">
        <x:f>IF('신청 원장'!N1176="","",'신청 원장'!N1176)</x:f>
        <x:v>1203</x:v>
      </x:c>
      <x:c r="H179" s="2" t="str">
        <x:f>IF('신청 원장'!AA1176="","",'신청 원장'!AA1176)</x:f>
        <x:v>내부 관찰 대상</x:v>
      </x:c>
      <x:c r="I179" s="2" t="str">
        <x:f>IF('신청 원장'!O1176="","",'신청 원장'!O1176)</x:f>
        <x:v>생략</x:v>
      </x:c>
      <x:c r="J179" s="2" t="str">
        <x:f>IF('신청 원장'!W1176="","",'신청 원장'!W1176)</x:f>
      </x:c>
      <x:c r="K179" s="2" t="str">
        <x:f>IF('신청 원장'!X1176="","",'신청 원장'!X1176)</x:f>
        <x:v>검토 진행 일정 확인</x:v>
      </x:c>
      <x:c r="L179" s="2" t="str">
        <x:f>IF('신청 원장'!R1176="","",'신청 원장'!R1176)</x:f>
        <x:v>국내평가</x:v>
      </x:c>
      <x:c r="M179" s="2" t="n">
        <x:f>IF('신청 원장'!S1176="","",'신청 원장'!S1176)</x:f>
        <x:v>1079</x:v>
      </x:c>
      <x:c r="N179" s="2" t="str">
        <x:f>IF('신청 원장'!K1176&lt;&gt;"미종결 표시","종결 상태 확인",IF('신청 원장'!N1176="","일자 확인 필요",IF('신청 원장'!N1176&gt;365,"366일 이상",IF('신청 원장'!N1176&gt;90,"91~365일",IF('신청 원장'!N1176&gt;30,"31~90일","0~30일")))))</x:f>
        <x:v>366일 이상</x:v>
      </x:c>
      <x:c r="O179" s="2" t="str">
        <x:f>IF(OR('신청 원장'!L1176="",'신청 원장'!L1176="선택"),"담당 원문 확인","기재")</x:f>
        <x:v>기재</x:v>
      </x:c>
      <x:c r="P179" s="2" t="str">
        <x:f>IF('신청 원장'!A1176="","",'신청 원장'!A1176)</x:f>
        <x:v>f8ebe394b5ffc7e6d4475b56</x:v>
      </x:c>
    </x:row>
    <x:row r="180" ht="42" customHeight="1">
      <x:c r="A180" s="2" t="str">
        <x:f>IF('신청 원장'!B1177="","",'신청 원장'!B1177)</x:f>
        <x:v>사업 평가</x:v>
      </x:c>
      <x:c r="B180" s="7" t="str">
        <x:f>IF('신청 원장'!D1177="","",'신청 원장'!D1177)</x:f>
        <x:v>㈜유창염직 외 5개사의 고효율 공기압축기 교체를 통한 온실가스 감축사업</x:v>
      </x:c>
      <x:c r="C180" s="2" t="str">
        <x:f>IF('신청 원장'!F1177="","",'신청 원장'!F1177)</x:f>
        <x:v>2023-06-30</x:v>
      </x:c>
      <x:c r="D180" s="2" t="str">
        <x:f>IF('신청 원장'!J1177="","",'신청 원장'!J1177)</x:f>
        <x:v>보완요청</x:v>
      </x:c>
      <x:c r="E180" s="2" t="str">
        <x:f>IF('신청 원장'!L1177="","",'신청 원장'!L1177)</x:f>
        <x:v>에코시안_전윤호</x:v>
      </x:c>
      <x:c r="F180" s="2" t="str">
        <x:f>IF('신청 원장'!M1177="","",'신청 원장'!M1177)</x:f>
      </x:c>
      <x:c r="G180" s="2" t="n">
        <x:f>IF('신청 원장'!N1177="","",'신청 원장'!N1177)</x:f>
        <x:v>1203</x:v>
      </x:c>
      <x:c r="H180" s="2" t="str">
        <x:f>IF('신청 원장'!AA1177="","",'신청 원장'!AA1177)</x:f>
        <x:v>내부 관찰 대상</x:v>
      </x:c>
      <x:c r="I180" s="2" t="str">
        <x:f>IF('신청 원장'!O1177="","",'신청 원장'!O1177)</x:f>
        <x:v>생략</x:v>
      </x:c>
      <x:c r="J180" s="2" t="str">
        <x:f>IF('신청 원장'!W1177="","",'신청 원장'!W1177)</x:f>
      </x:c>
      <x:c r="K180" s="2" t="str">
        <x:f>IF('신청 원장'!X1177="","",'신청 원장'!X1177)</x:f>
        <x:v>보완 회신 일정 확인</x:v>
      </x:c>
      <x:c r="L180" s="2" t="str">
        <x:f>IF('신청 원장'!R1177="","",'신청 원장'!R1177)</x:f>
        <x:v>국내평가</x:v>
      </x:c>
      <x:c r="M180" s="2" t="n">
        <x:f>IF('신청 원장'!S1177="","",'신청 원장'!S1177)</x:f>
        <x:v>1080</x:v>
      </x:c>
      <x:c r="N180" s="2" t="str">
        <x:f>IF('신청 원장'!K1177&lt;&gt;"미종결 표시","종결 상태 확인",IF('신청 원장'!N1177="","일자 확인 필요",IF('신청 원장'!N1177&gt;365,"366일 이상",IF('신청 원장'!N1177&gt;90,"91~365일",IF('신청 원장'!N1177&gt;30,"31~90일","0~30일")))))</x:f>
        <x:v>366일 이상</x:v>
      </x:c>
      <x:c r="O180" s="2" t="str">
        <x:f>IF(OR('신청 원장'!L1177="",'신청 원장'!L1177="선택"),"담당 원문 확인","기재")</x:f>
        <x:v>기재</x:v>
      </x:c>
      <x:c r="P180" s="2" t="str">
        <x:f>IF('신청 원장'!A1177="","",'신청 원장'!A1177)</x:f>
        <x:v>3c3a9cefc65ca980c4ca7f74</x:v>
      </x:c>
    </x:row>
    <x:row r="181" ht="42" customHeight="1">
      <x:c r="A181" s="2" t="str">
        <x:f>IF('신청 원장'!B1179="","",'신청 원장'!B1179)</x:f>
        <x:v>사업 평가</x:v>
      </x:c>
      <x:c r="B181" s="7" t="str">
        <x:f>IF('신청 원장'!D1179="","",'신청 원장'!D1179)</x:f>
        <x:v>(주)수원금속 고효율 2단 인버터 PM  Motor 공기압축기로 교체 사업</x:v>
      </x:c>
      <x:c r="C181" s="2" t="str">
        <x:f>IF('신청 원장'!F1179="","",'신청 원장'!F1179)</x:f>
        <x:v>2023-06-30</x:v>
      </x:c>
      <x:c r="D181" s="2" t="str">
        <x:f>IF('신청 원장'!J1179="","",'신청 원장'!J1179)</x:f>
        <x:v>보완요청</x:v>
      </x:c>
      <x:c r="E181" s="2" t="str">
        <x:f>IF('신청 원장'!L1179="","",'신청 원장'!L1179)</x:f>
        <x:v>에코시안_권송화</x:v>
      </x:c>
      <x:c r="F181" s="2" t="n">
        <x:f>IF('신청 원장'!M1179="","",'신청 원장'!M1179)</x:f>
        <x:v>2</x:v>
      </x:c>
      <x:c r="G181" s="2" t="n">
        <x:f>IF('신청 원장'!N1179="","",'신청 원장'!N1179)</x:f>
        <x:v>1203</x:v>
      </x:c>
      <x:c r="H181" s="2" t="str">
        <x:f>IF('신청 원장'!AA1179="","",'신청 원장'!AA1179)</x:f>
        <x:v>내부 관찰 대상</x:v>
      </x:c>
      <x:c r="I181" s="2" t="str">
        <x:f>IF('신청 원장'!O1179="","",'신청 원장'!O1179)</x:f>
        <x:v>생략</x:v>
      </x:c>
      <x:c r="J181" s="2" t="str">
        <x:f>IF('신청 원장'!W1179="","",'신청 원장'!W1179)</x:f>
      </x:c>
      <x:c r="K181" s="2" t="str">
        <x:f>IF('신청 원장'!X1179="","",'신청 원장'!X1179)</x:f>
        <x:v>보완 회신 일정 확인</x:v>
      </x:c>
      <x:c r="L181" s="2" t="str">
        <x:f>IF('신청 원장'!R1179="","",'신청 원장'!R1179)</x:f>
        <x:v>국내평가</x:v>
      </x:c>
      <x:c r="M181" s="2" t="n">
        <x:f>IF('신청 원장'!S1179="","",'신청 원장'!S1179)</x:f>
        <x:v>1082</x:v>
      </x:c>
      <x:c r="N181" s="2" t="str">
        <x:f>IF('신청 원장'!K1179&lt;&gt;"미종결 표시","종결 상태 확인",IF('신청 원장'!N1179="","일자 확인 필요",IF('신청 원장'!N1179&gt;365,"366일 이상",IF('신청 원장'!N1179&gt;90,"91~365일",IF('신청 원장'!N1179&gt;30,"31~90일","0~30일")))))</x:f>
        <x:v>366일 이상</x:v>
      </x:c>
      <x:c r="O181" s="2" t="str">
        <x:f>IF(OR('신청 원장'!L1179="",'신청 원장'!L1179="선택"),"담당 원문 확인","기재")</x:f>
        <x:v>기재</x:v>
      </x:c>
      <x:c r="P181" s="2" t="str">
        <x:f>IF('신청 원장'!A1179="","",'신청 원장'!A1179)</x:f>
        <x:v>98d2c62a290e73b059fe305f</x:v>
      </x:c>
    </x:row>
    <x:row r="182" ht="42" customHeight="1">
      <x:c r="A182" s="2" t="str">
        <x:f>IF('신청 원장'!B1180="","",'신청 원장'!B1180)</x:f>
        <x:v>사업 평가</x:v>
      </x:c>
      <x:c r="B182" s="7" t="str">
        <x:f>IF('신청 원장'!D1180="","",'신청 원장'!D1180)</x:f>
        <x:v>대한미디어(주) 외 4개사의 고효율 공기압축기 교체를 통한 온실가스 감축사업</x:v>
      </x:c>
      <x:c r="C182" s="2" t="str">
        <x:f>IF('신청 원장'!F1180="","",'신청 원장'!F1180)</x:f>
        <x:v>2023-07-05</x:v>
      </x:c>
      <x:c r="D182" s="2" t="str">
        <x:f>IF('신청 원장'!J1180="","",'신청 원장'!J1180)</x:f>
        <x:v>보완요청</x:v>
      </x:c>
      <x:c r="E182" s="2" t="str">
        <x:f>IF('신청 원장'!L1180="","",'신청 원장'!L1180)</x:f>
        <x:v>에코시안_정다윤</x:v>
      </x:c>
      <x:c r="F182" s="2" t="str">
        <x:f>IF('신청 원장'!M1180="","",'신청 원장'!M1180)</x:f>
      </x:c>
      <x:c r="G182" s="2" t="n">
        <x:f>IF('신청 원장'!N1180="","",'신청 원장'!N1180)</x:f>
        <x:v>1198</x:v>
      </x:c>
      <x:c r="H182" s="2" t="str">
        <x:f>IF('신청 원장'!AA1180="","",'신청 원장'!AA1180)</x:f>
        <x:v>내부 관찰 대상</x:v>
      </x:c>
      <x:c r="I182" s="2" t="str">
        <x:f>IF('신청 원장'!O1180="","",'신청 원장'!O1180)</x:f>
        <x:v>생략</x:v>
      </x:c>
      <x:c r="J182" s="2" t="str">
        <x:f>IF('신청 원장'!W1180="","",'신청 원장'!W1180)</x:f>
      </x:c>
      <x:c r="K182" s="2" t="str">
        <x:f>IF('신청 원장'!X1180="","",'신청 원장'!X1180)</x:f>
        <x:v>보완 회신 일정 확인</x:v>
      </x:c>
      <x:c r="L182" s="2" t="str">
        <x:f>IF('신청 원장'!R1180="","",'신청 원장'!R1180)</x:f>
        <x:v>국내평가</x:v>
      </x:c>
      <x:c r="M182" s="2" t="n">
        <x:f>IF('신청 원장'!S1180="","",'신청 원장'!S1180)</x:f>
        <x:v>1083</x:v>
      </x:c>
      <x:c r="N182" s="2" t="str">
        <x:f>IF('신청 원장'!K1180&lt;&gt;"미종결 표시","종결 상태 확인",IF('신청 원장'!N1180="","일자 확인 필요",IF('신청 원장'!N1180&gt;365,"366일 이상",IF('신청 원장'!N1180&gt;90,"91~365일",IF('신청 원장'!N1180&gt;30,"31~90일","0~30일")))))</x:f>
        <x:v>366일 이상</x:v>
      </x:c>
      <x:c r="O182" s="2" t="str">
        <x:f>IF(OR('신청 원장'!L1180="",'신청 원장'!L1180="선택"),"담당 원문 확인","기재")</x:f>
        <x:v>기재</x:v>
      </x:c>
      <x:c r="P182" s="2" t="str">
        <x:f>IF('신청 원장'!A1180="","",'신청 원장'!A1180)</x:f>
        <x:v>cbb019acd31ab61428f181a2</x:v>
      </x:c>
    </x:row>
    <x:row r="183" ht="42" customHeight="1">
      <x:c r="A183" s="2" t="str">
        <x:f>IF('신청 원장'!B1181="","",'신청 원장'!B1181)</x:f>
        <x:v>사업 평가</x:v>
      </x:c>
      <x:c r="B183" s="7" t="str">
        <x:f>IF('신청 원장'!D1181="","",'신청 원장'!D1181)</x:f>
        <x:v>(주)기홍메가텍 외 5개사의 고효율 공기압축기 교체를 통한 온실가스 감축사업</x:v>
      </x:c>
      <x:c r="C183" s="2" t="str">
        <x:f>IF('신청 원장'!F1181="","",'신청 원장'!F1181)</x:f>
        <x:v>2023-07-05</x:v>
      </x:c>
      <x:c r="D183" s="2" t="str">
        <x:f>IF('신청 원장'!J1181="","",'신청 원장'!J1181)</x:f>
        <x:v>보완요청</x:v>
      </x:c>
      <x:c r="E183" s="2" t="str">
        <x:f>IF('신청 원장'!L1181="","",'신청 원장'!L1181)</x:f>
        <x:v>KECM_이태준</x:v>
      </x:c>
      <x:c r="F183" s="2" t="str">
        <x:f>IF('신청 원장'!M1181="","",'신청 원장'!M1181)</x:f>
      </x:c>
      <x:c r="G183" s="2" t="n">
        <x:f>IF('신청 원장'!N1181="","",'신청 원장'!N1181)</x:f>
        <x:v>1198</x:v>
      </x:c>
      <x:c r="H183" s="2" t="str">
        <x:f>IF('신청 원장'!AA1181="","",'신청 원장'!AA1181)</x:f>
        <x:v>내부 관찰 대상</x:v>
      </x:c>
      <x:c r="I183" s="2" t="str">
        <x:f>IF('신청 원장'!O1181="","",'신청 원장'!O1181)</x:f>
        <x:v>생략</x:v>
      </x:c>
      <x:c r="J183" s="2" t="str">
        <x:f>IF('신청 원장'!W1181="","",'신청 원장'!W1181)</x:f>
      </x:c>
      <x:c r="K183" s="2" t="str">
        <x:f>IF('신청 원장'!X1181="","",'신청 원장'!X1181)</x:f>
        <x:v>보완 회신 일정 확인</x:v>
      </x:c>
      <x:c r="L183" s="2" t="str">
        <x:f>IF('신청 원장'!R1181="","",'신청 원장'!R1181)</x:f>
        <x:v>국내평가</x:v>
      </x:c>
      <x:c r="M183" s="2" t="n">
        <x:f>IF('신청 원장'!S1181="","",'신청 원장'!S1181)</x:f>
        <x:v>1084</x:v>
      </x:c>
      <x:c r="N183" s="2" t="str">
        <x:f>IF('신청 원장'!K1181&lt;&gt;"미종결 표시","종결 상태 확인",IF('신청 원장'!N1181="","일자 확인 필요",IF('신청 원장'!N1181&gt;365,"366일 이상",IF('신청 원장'!N1181&gt;90,"91~365일",IF('신청 원장'!N1181&gt;30,"31~90일","0~30일")))))</x:f>
        <x:v>366일 이상</x:v>
      </x:c>
      <x:c r="O183" s="2" t="str">
        <x:f>IF(OR('신청 원장'!L1181="",'신청 원장'!L1181="선택"),"담당 원문 확인","기재")</x:f>
        <x:v>기재</x:v>
      </x:c>
      <x:c r="P183" s="2" t="str">
        <x:f>IF('신청 원장'!A1181="","",'신청 원장'!A1181)</x:f>
        <x:v>894c01efe176995dd8c6bcc8</x:v>
      </x:c>
    </x:row>
    <x:row r="184" ht="42" customHeight="1">
      <x:c r="A184" s="2" t="str">
        <x:f>IF('신청 원장'!B1182="","",'신청 원장'!B1182)</x:f>
        <x:v>사업 평가</x:v>
      </x:c>
      <x:c r="B184" s="7" t="str">
        <x:f>IF('신청 원장'!D1182="","",'신청 원장'!D1182)</x:f>
        <x:v>구름테크 외 6개사의 고효율 공기압축기 교체를 통한 온실가스 감축사업</x:v>
      </x:c>
      <x:c r="C184" s="2" t="str">
        <x:f>IF('신청 원장'!F1182="","",'신청 원장'!F1182)</x:f>
        <x:v>2023-07-05</x:v>
      </x:c>
      <x:c r="D184" s="2" t="str">
        <x:f>IF('신청 원장'!J1182="","",'신청 원장'!J1182)</x:f>
        <x:v>보완요청</x:v>
      </x:c>
      <x:c r="E184" s="2" t="str">
        <x:f>IF('신청 원장'!L1182="","",'신청 원장'!L1182)</x:f>
        <x:v>KECM_이태준</x:v>
      </x:c>
      <x:c r="F184" s="2" t="str">
        <x:f>IF('신청 원장'!M1182="","",'신청 원장'!M1182)</x:f>
      </x:c>
      <x:c r="G184" s="2" t="n">
        <x:f>IF('신청 원장'!N1182="","",'신청 원장'!N1182)</x:f>
        <x:v>1198</x:v>
      </x:c>
      <x:c r="H184" s="2" t="str">
        <x:f>IF('신청 원장'!AA1182="","",'신청 원장'!AA1182)</x:f>
        <x:v>내부 관찰 대상</x:v>
      </x:c>
      <x:c r="I184" s="2" t="str">
        <x:f>IF('신청 원장'!O1182="","",'신청 원장'!O1182)</x:f>
        <x:v>생략</x:v>
      </x:c>
      <x:c r="J184" s="2" t="str">
        <x:f>IF('신청 원장'!W1182="","",'신청 원장'!W1182)</x:f>
      </x:c>
      <x:c r="K184" s="2" t="str">
        <x:f>IF('신청 원장'!X1182="","",'신청 원장'!X1182)</x:f>
        <x:v>보완 회신 일정 확인</x:v>
      </x:c>
      <x:c r="L184" s="2" t="str">
        <x:f>IF('신청 원장'!R1182="","",'신청 원장'!R1182)</x:f>
        <x:v>국내평가</x:v>
      </x:c>
      <x:c r="M184" s="2" t="n">
        <x:f>IF('신청 원장'!S1182="","",'신청 원장'!S1182)</x:f>
        <x:v>1085</x:v>
      </x:c>
      <x:c r="N184" s="2" t="str">
        <x:f>IF('신청 원장'!K1182&lt;&gt;"미종결 표시","종결 상태 확인",IF('신청 원장'!N1182="","일자 확인 필요",IF('신청 원장'!N1182&gt;365,"366일 이상",IF('신청 원장'!N1182&gt;90,"91~365일",IF('신청 원장'!N1182&gt;30,"31~90일","0~30일")))))</x:f>
        <x:v>366일 이상</x:v>
      </x:c>
      <x:c r="O184" s="2" t="str">
        <x:f>IF(OR('신청 원장'!L1182="",'신청 원장'!L1182="선택"),"담당 원문 확인","기재")</x:f>
        <x:v>기재</x:v>
      </x:c>
      <x:c r="P184" s="2" t="str">
        <x:f>IF('신청 원장'!A1182="","",'신청 원장'!A1182)</x:f>
        <x:v>f9f6c2690b52c90d269a59fd</x:v>
      </x:c>
    </x:row>
    <x:row r="185" ht="42" customHeight="1">
      <x:c r="A185" s="2" t="str">
        <x:f>IF('신청 원장'!B1183="","",'신청 원장'!B1183)</x:f>
        <x:v>사업 평가</x:v>
      </x:c>
      <x:c r="B185" s="7" t="str">
        <x:f>IF('신청 원장'!D1183="","",'신청 원장'!D1183)</x:f>
        <x:v>보광 외 7개사의 고효율 공기압축기 교체를 통한 온실가스 감축사업</x:v>
      </x:c>
      <x:c r="C185" s="2" t="str">
        <x:f>IF('신청 원장'!F1183="","",'신청 원장'!F1183)</x:f>
        <x:v>2023-07-05</x:v>
      </x:c>
      <x:c r="D185" s="2" t="str">
        <x:f>IF('신청 원장'!J1183="","",'신청 원장'!J1183)</x:f>
        <x:v>보완요청</x:v>
      </x:c>
      <x:c r="E185" s="2" t="str">
        <x:f>IF('신청 원장'!L1183="","",'신청 원장'!L1183)</x:f>
        <x:v>KECM_이태준</x:v>
      </x:c>
      <x:c r="F185" s="2" t="str">
        <x:f>IF('신청 원장'!M1183="","",'신청 원장'!M1183)</x:f>
      </x:c>
      <x:c r="G185" s="2" t="n">
        <x:f>IF('신청 원장'!N1183="","",'신청 원장'!N1183)</x:f>
        <x:v>1198</x:v>
      </x:c>
      <x:c r="H185" s="2" t="str">
        <x:f>IF('신청 원장'!AA1183="","",'신청 원장'!AA1183)</x:f>
        <x:v>내부 관찰 대상</x:v>
      </x:c>
      <x:c r="I185" s="2" t="str">
        <x:f>IF('신청 원장'!O1183="","",'신청 원장'!O1183)</x:f>
        <x:v>생략</x:v>
      </x:c>
      <x:c r="J185" s="2" t="str">
        <x:f>IF('신청 원장'!W1183="","",'신청 원장'!W1183)</x:f>
      </x:c>
      <x:c r="K185" s="2" t="str">
        <x:f>IF('신청 원장'!X1183="","",'신청 원장'!X1183)</x:f>
        <x:v>보완 회신 일정 확인</x:v>
      </x:c>
      <x:c r="L185" s="2" t="str">
        <x:f>IF('신청 원장'!R1183="","",'신청 원장'!R1183)</x:f>
        <x:v>국내평가</x:v>
      </x:c>
      <x:c r="M185" s="2" t="n">
        <x:f>IF('신청 원장'!S1183="","",'신청 원장'!S1183)</x:f>
        <x:v>1086</x:v>
      </x:c>
      <x:c r="N185" s="2" t="str">
        <x:f>IF('신청 원장'!K1183&lt;&gt;"미종결 표시","종결 상태 확인",IF('신청 원장'!N1183="","일자 확인 필요",IF('신청 원장'!N1183&gt;365,"366일 이상",IF('신청 원장'!N1183&gt;90,"91~365일",IF('신청 원장'!N1183&gt;30,"31~90일","0~30일")))))</x:f>
        <x:v>366일 이상</x:v>
      </x:c>
      <x:c r="O185" s="2" t="str">
        <x:f>IF(OR('신청 원장'!L1183="",'신청 원장'!L1183="선택"),"담당 원문 확인","기재")</x:f>
        <x:v>기재</x:v>
      </x:c>
      <x:c r="P185" s="2" t="str">
        <x:f>IF('신청 원장'!A1183="","",'신청 원장'!A1183)</x:f>
        <x:v>e5d0b9bbb013c124b70122b5</x:v>
      </x:c>
    </x:row>
    <x:row r="186" ht="42" customHeight="1">
      <x:c r="A186" s="2" t="str">
        <x:f>IF('신청 원장'!B1184="","",'신청 원장'!B1184)</x:f>
        <x:v>사업 평가</x:v>
      </x:c>
      <x:c r="B186" s="7" t="str">
        <x:f>IF('신청 원장'!D1184="","",'신청 원장'!D1184)</x:f>
        <x:v>수텍스(주) 외 3개사의 고효율 공기압축기 교체를 통한 온실가스 감축사업</x:v>
      </x:c>
      <x:c r="C186" s="2" t="str">
        <x:f>IF('신청 원장'!F1184="","",'신청 원장'!F1184)</x:f>
        <x:v>2023-07-05</x:v>
      </x:c>
      <x:c r="D186" s="2" t="str">
        <x:f>IF('신청 원장'!J1184="","",'신청 원장'!J1184)</x:f>
        <x:v>보완요청</x:v>
      </x:c>
      <x:c r="E186" s="2" t="str">
        <x:f>IF('신청 원장'!L1184="","",'신청 원장'!L1184)</x:f>
        <x:v>KECM_김민정</x:v>
      </x:c>
      <x:c r="F186" s="2" t="n">
        <x:f>IF('신청 원장'!M1184="","",'신청 원장'!M1184)</x:f>
        <x:v>1</x:v>
      </x:c>
      <x:c r="G186" s="2" t="n">
        <x:f>IF('신청 원장'!N1184="","",'신청 원장'!N1184)</x:f>
        <x:v>1198</x:v>
      </x:c>
      <x:c r="H186" s="2" t="str">
        <x:f>IF('신청 원장'!AA1184="","",'신청 원장'!AA1184)</x:f>
        <x:v>내부 관찰 대상</x:v>
      </x:c>
      <x:c r="I186" s="2" t="str">
        <x:f>IF('신청 원장'!O1184="","",'신청 원장'!O1184)</x:f>
        <x:v>생략</x:v>
      </x:c>
      <x:c r="J186" s="2" t="str">
        <x:f>IF('신청 원장'!W1184="","",'신청 원장'!W1184)</x:f>
      </x:c>
      <x:c r="K186" s="2" t="str">
        <x:f>IF('신청 원장'!X1184="","",'신청 원장'!X1184)</x:f>
        <x:v>보완 회신 일정 확인</x:v>
      </x:c>
      <x:c r="L186" s="2" t="str">
        <x:f>IF('신청 원장'!R1184="","",'신청 원장'!R1184)</x:f>
        <x:v>국내평가</x:v>
      </x:c>
      <x:c r="M186" s="2" t="n">
        <x:f>IF('신청 원장'!S1184="","",'신청 원장'!S1184)</x:f>
        <x:v>1087</x:v>
      </x:c>
      <x:c r="N186" s="2" t="str">
        <x:f>IF('신청 원장'!K1184&lt;&gt;"미종결 표시","종결 상태 확인",IF('신청 원장'!N1184="","일자 확인 필요",IF('신청 원장'!N1184&gt;365,"366일 이상",IF('신청 원장'!N1184&gt;90,"91~365일",IF('신청 원장'!N1184&gt;30,"31~90일","0~30일")))))</x:f>
        <x:v>366일 이상</x:v>
      </x:c>
      <x:c r="O186" s="2" t="str">
        <x:f>IF(OR('신청 원장'!L1184="",'신청 원장'!L1184="선택"),"담당 원문 확인","기재")</x:f>
        <x:v>기재</x:v>
      </x:c>
      <x:c r="P186" s="2" t="str">
        <x:f>IF('신청 원장'!A1184="","",'신청 원장'!A1184)</x:f>
        <x:v>e3bd369633f73dee6bd5e617</x:v>
      </x:c>
    </x:row>
    <x:row r="187" ht="42" customHeight="1">
      <x:c r="A187" s="2" t="str">
        <x:f>IF('신청 원장'!B1185="","",'신청 원장'!B1185)</x:f>
        <x:v>사업 평가</x:v>
      </x:c>
      <x:c r="B187" s="7" t="str">
        <x:f>IF('신청 원장'!D1185="","",'신청 원장'!D1185)</x:f>
        <x:v>주식회사 달성정공 외 5개사의 고효율 공기압축기 교체를 통한 온실가스 감축사업</x:v>
      </x:c>
      <x:c r="C187" s="2" t="str">
        <x:f>IF('신청 원장'!F1185="","",'신청 원장'!F1185)</x:f>
        <x:v>2023-07-05</x:v>
      </x:c>
      <x:c r="D187" s="2" t="str">
        <x:f>IF('신청 원장'!J1185="","",'신청 원장'!J1185)</x:f>
        <x:v>보완요청</x:v>
      </x:c>
      <x:c r="E187" s="2" t="str">
        <x:f>IF('신청 원장'!L1185="","",'신청 원장'!L1185)</x:f>
        <x:v>KECM_김민정</x:v>
      </x:c>
      <x:c r="F187" s="2" t="str">
        <x:f>IF('신청 원장'!M1185="","",'신청 원장'!M1185)</x:f>
      </x:c>
      <x:c r="G187" s="2" t="n">
        <x:f>IF('신청 원장'!N1185="","",'신청 원장'!N1185)</x:f>
        <x:v>1198</x:v>
      </x:c>
      <x:c r="H187" s="2" t="str">
        <x:f>IF('신청 원장'!AA1185="","",'신청 원장'!AA1185)</x:f>
        <x:v>내부 관찰 대상</x:v>
      </x:c>
      <x:c r="I187" s="2" t="str">
        <x:f>IF('신청 원장'!O1185="","",'신청 원장'!O1185)</x:f>
        <x:v>생략</x:v>
      </x:c>
      <x:c r="J187" s="2" t="str">
        <x:f>IF('신청 원장'!W1185="","",'신청 원장'!W1185)</x:f>
      </x:c>
      <x:c r="K187" s="2" t="str">
        <x:f>IF('신청 원장'!X1185="","",'신청 원장'!X1185)</x:f>
        <x:v>보완 회신 일정 확인</x:v>
      </x:c>
      <x:c r="L187" s="2" t="str">
        <x:f>IF('신청 원장'!R1185="","",'신청 원장'!R1185)</x:f>
        <x:v>국내평가</x:v>
      </x:c>
      <x:c r="M187" s="2" t="n">
        <x:f>IF('신청 원장'!S1185="","",'신청 원장'!S1185)</x:f>
        <x:v>1088</x:v>
      </x:c>
      <x:c r="N187" s="2" t="str">
        <x:f>IF('신청 원장'!K1185&lt;&gt;"미종결 표시","종결 상태 확인",IF('신청 원장'!N1185="","일자 확인 필요",IF('신청 원장'!N1185&gt;365,"366일 이상",IF('신청 원장'!N1185&gt;90,"91~365일",IF('신청 원장'!N1185&gt;30,"31~90일","0~30일")))))</x:f>
        <x:v>366일 이상</x:v>
      </x:c>
      <x:c r="O187" s="2" t="str">
        <x:f>IF(OR('신청 원장'!L1185="",'신청 원장'!L1185="선택"),"담당 원문 확인","기재")</x:f>
        <x:v>기재</x:v>
      </x:c>
      <x:c r="P187" s="2" t="str">
        <x:f>IF('신청 원장'!A1185="","",'신청 원장'!A1185)</x:f>
        <x:v>f83ac9239aa64dbabf9ed1fe</x:v>
      </x:c>
    </x:row>
    <x:row r="188" ht="42" customHeight="1">
      <x:c r="A188" s="2" t="str">
        <x:f>IF('신청 원장'!B1186="","",'신청 원장'!B1186)</x:f>
        <x:v>사업 평가</x:v>
      </x:c>
      <x:c r="B188" s="7" t="str">
        <x:f>IF('신청 원장'!D1186="","",'신청 원장'!D1186)</x:f>
        <x:v>(주)대일정공사 외 6개사의 고효율 공기압축기 교체를 통한 온실가스 감축사업</x:v>
      </x:c>
      <x:c r="C188" s="2" t="str">
        <x:f>IF('신청 원장'!F1186="","",'신청 원장'!F1186)</x:f>
        <x:v>2023-07-05</x:v>
      </x:c>
      <x:c r="D188" s="2" t="str">
        <x:f>IF('신청 원장'!J1186="","",'신청 원장'!J1186)</x:f>
        <x:v>평가중</x:v>
      </x:c>
      <x:c r="E188" s="2" t="str">
        <x:f>IF('신청 원장'!L1186="","",'신청 원장'!L1186)</x:f>
        <x:v>KECM_김민정</x:v>
      </x:c>
      <x:c r="F188" s="2" t="str">
        <x:f>IF('신청 원장'!M1186="","",'신청 원장'!M1186)</x:f>
      </x:c>
      <x:c r="G188" s="2" t="n">
        <x:f>IF('신청 원장'!N1186="","",'신청 원장'!N1186)</x:f>
        <x:v>1198</x:v>
      </x:c>
      <x:c r="H188" s="2" t="str">
        <x:f>IF('신청 원장'!AA1186="","",'신청 원장'!AA1186)</x:f>
        <x:v>내부 관찰 대상</x:v>
      </x:c>
      <x:c r="I188" s="2" t="str">
        <x:f>IF('신청 원장'!O1186="","",'신청 원장'!O1186)</x:f>
        <x:v>생략</x:v>
      </x:c>
      <x:c r="J188" s="2" t="str">
        <x:f>IF('신청 원장'!W1186="","",'신청 원장'!W1186)</x:f>
      </x:c>
      <x:c r="K188" s="2" t="str">
        <x:f>IF('신청 원장'!X1186="","",'신청 원장'!X1186)</x:f>
        <x:v>검토 진행 일정 확인</x:v>
      </x:c>
      <x:c r="L188" s="2" t="str">
        <x:f>IF('신청 원장'!R1186="","",'신청 원장'!R1186)</x:f>
        <x:v>국내평가</x:v>
      </x:c>
      <x:c r="M188" s="2" t="n">
        <x:f>IF('신청 원장'!S1186="","",'신청 원장'!S1186)</x:f>
        <x:v>1089</x:v>
      </x:c>
      <x:c r="N188" s="2" t="str">
        <x:f>IF('신청 원장'!K1186&lt;&gt;"미종결 표시","종결 상태 확인",IF('신청 원장'!N1186="","일자 확인 필요",IF('신청 원장'!N1186&gt;365,"366일 이상",IF('신청 원장'!N1186&gt;90,"91~365일",IF('신청 원장'!N1186&gt;30,"31~90일","0~30일")))))</x:f>
        <x:v>366일 이상</x:v>
      </x:c>
      <x:c r="O188" s="2" t="str">
        <x:f>IF(OR('신청 원장'!L1186="",'신청 원장'!L1186="선택"),"담당 원문 확인","기재")</x:f>
        <x:v>기재</x:v>
      </x:c>
      <x:c r="P188" s="2" t="str">
        <x:f>IF('신청 원장'!A1186="","",'신청 원장'!A1186)</x:f>
        <x:v>13c48ae73cbb40665347316e</x:v>
      </x:c>
    </x:row>
    <x:row r="189" ht="42" customHeight="1">
      <x:c r="A189" s="2" t="str">
        <x:f>IF('신청 원장'!B1188="","",'신청 원장'!B1188)</x:f>
        <x:v>사업 평가</x:v>
      </x:c>
      <x:c r="B189" s="7" t="str">
        <x:f>IF('신청 원장'!D1188="","",'신청 원장'!D1188)</x:f>
        <x:v>양지정공  고효율 2단 인버터 PM  Motor 공기압축기로 교체 사업</x:v>
      </x:c>
      <x:c r="C189" s="2" t="str">
        <x:f>IF('신청 원장'!F1188="","",'신청 원장'!F1188)</x:f>
        <x:v>2023-07-10</x:v>
      </x:c>
      <x:c r="D189" s="2" t="str">
        <x:f>IF('신청 원장'!J1188="","",'신청 원장'!J1188)</x:f>
        <x:v>보완요청</x:v>
      </x:c>
      <x:c r="E189" s="2" t="str">
        <x:f>IF('신청 원장'!L1188="","",'신청 원장'!L1188)</x:f>
        <x:v>KECM_김민정</x:v>
      </x:c>
      <x:c r="F189" s="2" t="n">
        <x:f>IF('신청 원장'!M1188="","",'신청 원장'!M1188)</x:f>
        <x:v>1</x:v>
      </x:c>
      <x:c r="G189" s="2" t="n">
        <x:f>IF('신청 원장'!N1188="","",'신청 원장'!N1188)</x:f>
        <x:v>1193</x:v>
      </x:c>
      <x:c r="H189" s="2" t="str">
        <x:f>IF('신청 원장'!AA1188="","",'신청 원장'!AA1188)</x:f>
        <x:v>내부 관찰 대상</x:v>
      </x:c>
      <x:c r="I189" s="2" t="str">
        <x:f>IF('신청 원장'!O1188="","",'신청 원장'!O1188)</x:f>
        <x:v>생략</x:v>
      </x:c>
      <x:c r="J189" s="2" t="str">
        <x:f>IF('신청 원장'!W1188="","",'신청 원장'!W1188)</x:f>
      </x:c>
      <x:c r="K189" s="2" t="str">
        <x:f>IF('신청 원장'!X1188="","",'신청 원장'!X1188)</x:f>
        <x:v>보완 회신 일정 확인</x:v>
      </x:c>
      <x:c r="L189" s="2" t="str">
        <x:f>IF('신청 원장'!R1188="","",'신청 원장'!R1188)</x:f>
        <x:v>국내평가</x:v>
      </x:c>
      <x:c r="M189" s="2" t="n">
        <x:f>IF('신청 원장'!S1188="","",'신청 원장'!S1188)</x:f>
        <x:v>1091</x:v>
      </x:c>
      <x:c r="N189" s="2" t="str">
        <x:f>IF('신청 원장'!K1188&lt;&gt;"미종결 표시","종결 상태 확인",IF('신청 원장'!N1188="","일자 확인 필요",IF('신청 원장'!N1188&gt;365,"366일 이상",IF('신청 원장'!N1188&gt;90,"91~365일",IF('신청 원장'!N1188&gt;30,"31~90일","0~30일")))))</x:f>
        <x:v>366일 이상</x:v>
      </x:c>
      <x:c r="O189" s="2" t="str">
        <x:f>IF(OR('신청 원장'!L1188="",'신청 원장'!L1188="선택"),"담당 원문 확인","기재")</x:f>
        <x:v>기재</x:v>
      </x:c>
      <x:c r="P189" s="2" t="str">
        <x:f>IF('신청 원장'!A1188="","",'신청 원장'!A1188)</x:f>
        <x:v>01d9f6df05b724f52b677da9</x:v>
      </x:c>
    </x:row>
    <x:row r="190" ht="42" customHeight="1">
      <x:c r="A190" s="2" t="str">
        <x:f>IF('신청 원장'!B1189="","",'신청 원장'!B1189)</x:f>
        <x:v>사업 평가</x:v>
      </x:c>
      <x:c r="B190" s="7" t="str">
        <x:f>IF('신청 원장'!D1189="","",'신청 원장'!D1189)</x:f>
        <x:v>(주)동양코어 외 5개사의 고효율 공기압축기 교체를 통한 온실가스 감축사업</x:v>
      </x:c>
      <x:c r="C190" s="2" t="str">
        <x:f>IF('신청 원장'!F1189="","",'신청 원장'!F1189)</x:f>
        <x:v>2023-07-07</x:v>
      </x:c>
      <x:c r="D190" s="2" t="str">
        <x:f>IF('신청 원장'!J1189="","",'신청 원장'!J1189)</x:f>
        <x:v>보완요청</x:v>
      </x:c>
      <x:c r="E190" s="2" t="str">
        <x:f>IF('신청 원장'!L1189="","",'신청 원장'!L1189)</x:f>
        <x:v>KECM_김민정</x:v>
      </x:c>
      <x:c r="F190" s="2" t="str">
        <x:f>IF('신청 원장'!M1189="","",'신청 원장'!M1189)</x:f>
      </x:c>
      <x:c r="G190" s="2" t="n">
        <x:f>IF('신청 원장'!N1189="","",'신청 원장'!N1189)</x:f>
        <x:v>1196</x:v>
      </x:c>
      <x:c r="H190" s="2" t="str">
        <x:f>IF('신청 원장'!AA1189="","",'신청 원장'!AA1189)</x:f>
        <x:v>내부 관찰 대상</x:v>
      </x:c>
      <x:c r="I190" s="2" t="str">
        <x:f>IF('신청 원장'!O1189="","",'신청 원장'!O1189)</x:f>
        <x:v>생략</x:v>
      </x:c>
      <x:c r="J190" s="2" t="str">
        <x:f>IF('신청 원장'!W1189="","",'신청 원장'!W1189)</x:f>
      </x:c>
      <x:c r="K190" s="2" t="str">
        <x:f>IF('신청 원장'!X1189="","",'신청 원장'!X1189)</x:f>
        <x:v>보완 회신 일정 확인</x:v>
      </x:c>
      <x:c r="L190" s="2" t="str">
        <x:f>IF('신청 원장'!R1189="","",'신청 원장'!R1189)</x:f>
        <x:v>국내평가</x:v>
      </x:c>
      <x:c r="M190" s="2" t="n">
        <x:f>IF('신청 원장'!S1189="","",'신청 원장'!S1189)</x:f>
        <x:v>1092</x:v>
      </x:c>
      <x:c r="N190" s="2" t="str">
        <x:f>IF('신청 원장'!K1189&lt;&gt;"미종결 표시","종결 상태 확인",IF('신청 원장'!N1189="","일자 확인 필요",IF('신청 원장'!N1189&gt;365,"366일 이상",IF('신청 원장'!N1189&gt;90,"91~365일",IF('신청 원장'!N1189&gt;30,"31~90일","0~30일")))))</x:f>
        <x:v>366일 이상</x:v>
      </x:c>
      <x:c r="O190" s="2" t="str">
        <x:f>IF(OR('신청 원장'!L1189="",'신청 원장'!L1189="선택"),"담당 원문 확인","기재")</x:f>
        <x:v>기재</x:v>
      </x:c>
      <x:c r="P190" s="2" t="str">
        <x:f>IF('신청 원장'!A1189="","",'신청 원장'!A1189)</x:f>
        <x:v>3097e1ca4392fac3c7496be2</x:v>
      </x:c>
    </x:row>
    <x:row r="191" ht="42" customHeight="1">
      <x:c r="A191" s="2" t="str">
        <x:f>IF('신청 원장'!B1190="","",'신청 원장'!B1190)</x:f>
        <x:v>사업 평가</x:v>
      </x:c>
      <x:c r="B191" s="7" t="str">
        <x:f>IF('신청 원장'!D1190="","",'신청 원장'!D1190)</x:f>
        <x:v>A.N.TEX 외 6개사의 고효율 공기압축기 교체를 통한 온실가스 감축사업</x:v>
      </x:c>
      <x:c r="C191" s="2" t="str">
        <x:f>IF('신청 원장'!F1190="","",'신청 원장'!F1190)</x:f>
        <x:v>2023-07-07</x:v>
      </x:c>
      <x:c r="D191" s="2" t="str">
        <x:f>IF('신청 원장'!J1190="","",'신청 원장'!J1190)</x:f>
        <x:v>보완요청</x:v>
      </x:c>
      <x:c r="E191" s="2" t="str">
        <x:f>IF('신청 원장'!L1190="","",'신청 원장'!L1190)</x:f>
        <x:v>KECM_김민정</x:v>
      </x:c>
      <x:c r="F191" s="2" t="str">
        <x:f>IF('신청 원장'!M1190="","",'신청 원장'!M1190)</x:f>
      </x:c>
      <x:c r="G191" s="2" t="n">
        <x:f>IF('신청 원장'!N1190="","",'신청 원장'!N1190)</x:f>
        <x:v>1196</x:v>
      </x:c>
      <x:c r="H191" s="2" t="str">
        <x:f>IF('신청 원장'!AA1190="","",'신청 원장'!AA1190)</x:f>
        <x:v>내부 관찰 대상</x:v>
      </x:c>
      <x:c r="I191" s="2" t="str">
        <x:f>IF('신청 원장'!O1190="","",'신청 원장'!O1190)</x:f>
        <x:v>생략</x:v>
      </x:c>
      <x:c r="J191" s="2" t="str">
        <x:f>IF('신청 원장'!W1190="","",'신청 원장'!W1190)</x:f>
      </x:c>
      <x:c r="K191" s="2" t="str">
        <x:f>IF('신청 원장'!X1190="","",'신청 원장'!X1190)</x:f>
        <x:v>보완 회신 일정 확인</x:v>
      </x:c>
      <x:c r="L191" s="2" t="str">
        <x:f>IF('신청 원장'!R1190="","",'신청 원장'!R1190)</x:f>
        <x:v>국내평가</x:v>
      </x:c>
      <x:c r="M191" s="2" t="n">
        <x:f>IF('신청 원장'!S1190="","",'신청 원장'!S1190)</x:f>
        <x:v>1093</x:v>
      </x:c>
      <x:c r="N191" s="2" t="str">
        <x:f>IF('신청 원장'!K1190&lt;&gt;"미종결 표시","종결 상태 확인",IF('신청 원장'!N1190="","일자 확인 필요",IF('신청 원장'!N1190&gt;365,"366일 이상",IF('신청 원장'!N1190&gt;90,"91~365일",IF('신청 원장'!N1190&gt;30,"31~90일","0~30일")))))</x:f>
        <x:v>366일 이상</x:v>
      </x:c>
      <x:c r="O191" s="2" t="str">
        <x:f>IF(OR('신청 원장'!L1190="",'신청 원장'!L1190="선택"),"담당 원문 확인","기재")</x:f>
        <x:v>기재</x:v>
      </x:c>
      <x:c r="P191" s="2" t="str">
        <x:f>IF('신청 원장'!A1190="","",'신청 원장'!A1190)</x:f>
        <x:v>16b06873b5b6a2312b5f8b03</x:v>
      </x:c>
    </x:row>
    <x:row r="192" ht="42" customHeight="1">
      <x:c r="A192" s="2" t="str">
        <x:f>IF('신청 원장'!B1191="","",'신청 원장'!B1191)</x:f>
        <x:v>사업 평가</x:v>
      </x:c>
      <x:c r="B192" s="7" t="str">
        <x:f>IF('신청 원장'!D1191="","",'신청 원장'!D1191)</x:f>
        <x:v>주식회사디와이씨 외 8개사의 고효율 공기압축기 교체를 통한 온실가스 감축사업</x:v>
      </x:c>
      <x:c r="C192" s="2" t="str">
        <x:f>IF('신청 원장'!F1191="","",'신청 원장'!F1191)</x:f>
        <x:v>2023-07-07</x:v>
      </x:c>
      <x:c r="D192" s="2" t="str">
        <x:f>IF('신청 원장'!J1191="","",'신청 원장'!J1191)</x:f>
        <x:v>보완요청</x:v>
      </x:c>
      <x:c r="E192" s="2" t="str">
        <x:f>IF('신청 원장'!L1191="","",'신청 원장'!L1191)</x:f>
        <x:v>KECM_이태준</x:v>
      </x:c>
      <x:c r="F192" s="2" t="str">
        <x:f>IF('신청 원장'!M1191="","",'신청 원장'!M1191)</x:f>
      </x:c>
      <x:c r="G192" s="2" t="n">
        <x:f>IF('신청 원장'!N1191="","",'신청 원장'!N1191)</x:f>
        <x:v>1196</x:v>
      </x:c>
      <x:c r="H192" s="2" t="str">
        <x:f>IF('신청 원장'!AA1191="","",'신청 원장'!AA1191)</x:f>
        <x:v>내부 관찰 대상</x:v>
      </x:c>
      <x:c r="I192" s="2" t="str">
        <x:f>IF('신청 원장'!O1191="","",'신청 원장'!O1191)</x:f>
        <x:v>생략</x:v>
      </x:c>
      <x:c r="J192" s="2" t="str">
        <x:f>IF('신청 원장'!W1191="","",'신청 원장'!W1191)</x:f>
      </x:c>
      <x:c r="K192" s="2" t="str">
        <x:f>IF('신청 원장'!X1191="","",'신청 원장'!X1191)</x:f>
        <x:v>보완 회신 일정 확인</x:v>
      </x:c>
      <x:c r="L192" s="2" t="str">
        <x:f>IF('신청 원장'!R1191="","",'신청 원장'!R1191)</x:f>
        <x:v>국내평가</x:v>
      </x:c>
      <x:c r="M192" s="2" t="n">
        <x:f>IF('신청 원장'!S1191="","",'신청 원장'!S1191)</x:f>
        <x:v>1094</x:v>
      </x:c>
      <x:c r="N192" s="2" t="str">
        <x:f>IF('신청 원장'!K1191&lt;&gt;"미종결 표시","종결 상태 확인",IF('신청 원장'!N1191="","일자 확인 필요",IF('신청 원장'!N1191&gt;365,"366일 이상",IF('신청 원장'!N1191&gt;90,"91~365일",IF('신청 원장'!N1191&gt;30,"31~90일","0~30일")))))</x:f>
        <x:v>366일 이상</x:v>
      </x:c>
      <x:c r="O192" s="2" t="str">
        <x:f>IF(OR('신청 원장'!L1191="",'신청 원장'!L1191="선택"),"담당 원문 확인","기재")</x:f>
        <x:v>기재</x:v>
      </x:c>
      <x:c r="P192" s="2" t="str">
        <x:f>IF('신청 원장'!A1191="","",'신청 원장'!A1191)</x:f>
        <x:v>08a315e8e2870317f7de6bee</x:v>
      </x:c>
    </x:row>
    <x:row r="193" ht="42" customHeight="1">
      <x:c r="A193" s="2" t="str">
        <x:f>IF('신청 원장'!B1192="","",'신청 원장'!B1192)</x:f>
        <x:v>사업 평가</x:v>
      </x:c>
      <x:c r="B193" s="7" t="str">
        <x:f>IF('신청 원장'!D1192="","",'신청 원장'!D1192)</x:f>
        <x:v>㈜엠에스시  고효율 2단 인버터 PM  Motor 공기압축기로 교체 사업</x:v>
      </x:c>
      <x:c r="C193" s="2" t="str">
        <x:f>IF('신청 원장'!F1192="","",'신청 원장'!F1192)</x:f>
        <x:v>2023-07-10</x:v>
      </x:c>
      <x:c r="D193" s="2" t="str">
        <x:f>IF('신청 원장'!J1192="","",'신청 원장'!J1192)</x:f>
        <x:v>보완요청</x:v>
      </x:c>
      <x:c r="E193" s="2" t="str">
        <x:f>IF('신청 원장'!L1192="","",'신청 원장'!L1192)</x:f>
        <x:v>KECM_이태준</x:v>
      </x:c>
      <x:c r="F193" s="2" t="n">
        <x:f>IF('신청 원장'!M1192="","",'신청 원장'!M1192)</x:f>
        <x:v>2</x:v>
      </x:c>
      <x:c r="G193" s="2" t="n">
        <x:f>IF('신청 원장'!N1192="","",'신청 원장'!N1192)</x:f>
        <x:v>1193</x:v>
      </x:c>
      <x:c r="H193" s="2" t="str">
        <x:f>IF('신청 원장'!AA1192="","",'신청 원장'!AA1192)</x:f>
        <x:v>내부 관찰 대상</x:v>
      </x:c>
      <x:c r="I193" s="2" t="str">
        <x:f>IF('신청 원장'!O1192="","",'신청 원장'!O1192)</x:f>
        <x:v>생략</x:v>
      </x:c>
      <x:c r="J193" s="2" t="str">
        <x:f>IF('신청 원장'!W1192="","",'신청 원장'!W1192)</x:f>
      </x:c>
      <x:c r="K193" s="2" t="str">
        <x:f>IF('신청 원장'!X1192="","",'신청 원장'!X1192)</x:f>
        <x:v>보완 회신 일정 확인</x:v>
      </x:c>
      <x:c r="L193" s="2" t="str">
        <x:f>IF('신청 원장'!R1192="","",'신청 원장'!R1192)</x:f>
        <x:v>국내평가</x:v>
      </x:c>
      <x:c r="M193" s="2" t="n">
        <x:f>IF('신청 원장'!S1192="","",'신청 원장'!S1192)</x:f>
        <x:v>1095</x:v>
      </x:c>
      <x:c r="N193" s="2" t="str">
        <x:f>IF('신청 원장'!K1192&lt;&gt;"미종결 표시","종결 상태 확인",IF('신청 원장'!N1192="","일자 확인 필요",IF('신청 원장'!N1192&gt;365,"366일 이상",IF('신청 원장'!N1192&gt;90,"91~365일",IF('신청 원장'!N1192&gt;30,"31~90일","0~30일")))))</x:f>
        <x:v>366일 이상</x:v>
      </x:c>
      <x:c r="O193" s="2" t="str">
        <x:f>IF(OR('신청 원장'!L1192="",'신청 원장'!L1192="선택"),"담당 원문 확인","기재")</x:f>
        <x:v>기재</x:v>
      </x:c>
      <x:c r="P193" s="2" t="str">
        <x:f>IF('신청 원장'!A1192="","",'신청 원장'!A1192)</x:f>
        <x:v>7021975a442bf676a347027f</x:v>
      </x:c>
    </x:row>
    <x:row r="194" ht="42" customHeight="1">
      <x:c r="A194" s="2" t="str">
        <x:f>IF('신청 원장'!B1194="","",'신청 원장'!B1194)</x:f>
        <x:v>사업 평가</x:v>
      </x:c>
      <x:c r="B194" s="7" t="str">
        <x:f>IF('신청 원장'!D1194="","",'신청 원장'!D1194)</x:f>
        <x:v>㈜프로스코  고효율 2단 인버터 PM  Motor 공기압축기로 교체 사업</x:v>
      </x:c>
      <x:c r="C194" s="2" t="str">
        <x:f>IF('신청 원장'!F1194="","",'신청 원장'!F1194)</x:f>
        <x:v>2023-07-17</x:v>
      </x:c>
      <x:c r="D194" s="2" t="str">
        <x:f>IF('신청 원장'!J1194="","",'신청 원장'!J1194)</x:f>
        <x:v>보완요청</x:v>
      </x:c>
      <x:c r="E194" s="2" t="str">
        <x:f>IF('신청 원장'!L1194="","",'신청 원장'!L1194)</x:f>
        <x:v>KECM_김민정</x:v>
      </x:c>
      <x:c r="F194" s="2" t="n">
        <x:f>IF('신청 원장'!M1194="","",'신청 원장'!M1194)</x:f>
        <x:v>1</x:v>
      </x:c>
      <x:c r="G194" s="2" t="n">
        <x:f>IF('신청 원장'!N1194="","",'신청 원장'!N1194)</x:f>
        <x:v>1186</x:v>
      </x:c>
      <x:c r="H194" s="2" t="str">
        <x:f>IF('신청 원장'!AA1194="","",'신청 원장'!AA1194)</x:f>
        <x:v>내부 관찰 대상</x:v>
      </x:c>
      <x:c r="I194" s="2" t="str">
        <x:f>IF('신청 원장'!O1194="","",'신청 원장'!O1194)</x:f>
        <x:v>생략</x:v>
      </x:c>
      <x:c r="J194" s="2" t="str">
        <x:f>IF('신청 원장'!W1194="","",'신청 원장'!W1194)</x:f>
      </x:c>
      <x:c r="K194" s="2" t="str">
        <x:f>IF('신청 원장'!X1194="","",'신청 원장'!X1194)</x:f>
        <x:v>보완 회신 일정 확인</x:v>
      </x:c>
      <x:c r="L194" s="2" t="str">
        <x:f>IF('신청 원장'!R1194="","",'신청 원장'!R1194)</x:f>
        <x:v>국내평가</x:v>
      </x:c>
      <x:c r="M194" s="2" t="n">
        <x:f>IF('신청 원장'!S1194="","",'신청 원장'!S1194)</x:f>
        <x:v>1097</x:v>
      </x:c>
      <x:c r="N194" s="2" t="str">
        <x:f>IF('신청 원장'!K1194&lt;&gt;"미종결 표시","종결 상태 확인",IF('신청 원장'!N1194="","일자 확인 필요",IF('신청 원장'!N1194&gt;365,"366일 이상",IF('신청 원장'!N1194&gt;90,"91~365일",IF('신청 원장'!N1194&gt;30,"31~90일","0~30일")))))</x:f>
        <x:v>366일 이상</x:v>
      </x:c>
      <x:c r="O194" s="2" t="str">
        <x:f>IF(OR('신청 원장'!L1194="",'신청 원장'!L1194="선택"),"담당 원문 확인","기재")</x:f>
        <x:v>기재</x:v>
      </x:c>
      <x:c r="P194" s="2" t="str">
        <x:f>IF('신청 원장'!A1194="","",'신청 원장'!A1194)</x:f>
        <x:v>c28e0e2ed0ef08f50b8a944e</x:v>
      </x:c>
    </x:row>
    <x:row r="195" ht="42" customHeight="1">
      <x:c r="A195" s="2" t="str">
        <x:f>IF('신청 원장'!B1196="","",'신청 원장'!B1196)</x:f>
        <x:v>사업 평가</x:v>
      </x:c>
      <x:c r="B195" s="7" t="str">
        <x:f>IF('신청 원장'!D1196="","",'신청 원장'!D1196)</x:f>
        <x:v>㈜동양테크윈의 고효율 보일러 교체를 통한 온실가스(CO2) 배출 감축 사업</x:v>
      </x:c>
      <x:c r="C195" s="2" t="str">
        <x:f>IF('신청 원장'!F1196="","",'신청 원장'!F1196)</x:f>
        <x:v>2023-07-28</x:v>
      </x:c>
      <x:c r="D195" s="2" t="str">
        <x:f>IF('신청 원장'!J1196="","",'신청 원장'!J1196)</x:f>
        <x:v>보류</x:v>
      </x:c>
      <x:c r="E195" s="2" t="str">
        <x:f>IF('신청 원장'!L1196="","",'신청 원장'!L1196)</x:f>
        <x:v>에코시안_전윤호</x:v>
      </x:c>
      <x:c r="F195" s="2" t="n">
        <x:f>IF('신청 원장'!M1196="","",'신청 원장'!M1196)</x:f>
        <x:v>1</x:v>
      </x:c>
      <x:c r="G195" s="2" t="n">
        <x:f>IF('신청 원장'!N1196="","",'신청 원장'!N1196)</x:f>
        <x:v>1175</x:v>
      </x:c>
      <x:c r="H195" s="2" t="str">
        <x:f>IF('신청 원장'!AA1196="","",'신청 원장'!AA1196)</x:f>
        <x:v>내부 관찰 대상</x:v>
      </x:c>
      <x:c r="I195" s="2" t="str">
        <x:f>IF('신청 원장'!O1196="","",'신청 원장'!O1196)</x:f>
        <x:v>반려예정</x:v>
      </x:c>
      <x:c r="J195" s="2" t="str">
        <x:f>IF('신청 원장'!W1196="","",'신청 원장'!W1196)</x:f>
      </x:c>
      <x:c r="K195" s="2" t="str">
        <x:f>IF('신청 원장'!X1196="","",'신청 원장'!X1196)</x:f>
        <x:v>검토 진행 일정 확인</x:v>
      </x:c>
      <x:c r="L195" s="2" t="str">
        <x:f>IF('신청 원장'!R1196="","",'신청 원장'!R1196)</x:f>
        <x:v>국내평가</x:v>
      </x:c>
      <x:c r="M195" s="2" t="n">
        <x:f>IF('신청 원장'!S1196="","",'신청 원장'!S1196)</x:f>
        <x:v>1099</x:v>
      </x:c>
      <x:c r="N195" s="2" t="str">
        <x:f>IF('신청 원장'!K1196&lt;&gt;"미종결 표시","종결 상태 확인",IF('신청 원장'!N1196="","일자 확인 필요",IF('신청 원장'!N1196&gt;365,"366일 이상",IF('신청 원장'!N1196&gt;90,"91~365일",IF('신청 원장'!N1196&gt;30,"31~90일","0~30일")))))</x:f>
        <x:v>366일 이상</x:v>
      </x:c>
      <x:c r="O195" s="2" t="str">
        <x:f>IF(OR('신청 원장'!L1196="",'신청 원장'!L1196="선택"),"담당 원문 확인","기재")</x:f>
        <x:v>기재</x:v>
      </x:c>
      <x:c r="P195" s="2" t="str">
        <x:f>IF('신청 원장'!A1196="","",'신청 원장'!A1196)</x:f>
        <x:v>418c267d97d25c9bc9a0a23a</x:v>
      </x:c>
    </x:row>
    <x:row r="196" ht="42" customHeight="1">
      <x:c r="A196" s="2" t="str">
        <x:f>IF('신청 원장'!B1197="","",'신청 원장'!B1197)</x:f>
        <x:v>사업 평가</x:v>
      </x:c>
      <x:c r="B196" s="7" t="str">
        <x:f>IF('신청 원장'!D1197="","",'신청 원장'!D1197)</x:f>
        <x:v>경림산업㈜의 고효율 보일러 교체를 통한 온실가스(CO2) 배출 감축 사업</x:v>
      </x:c>
      <x:c r="C196" s="2" t="str">
        <x:f>IF('신청 원장'!F1197="","",'신청 원장'!F1197)</x:f>
        <x:v>2023-07-28</x:v>
      </x:c>
      <x:c r="D196" s="2" t="str">
        <x:f>IF('신청 원장'!J1197="","",'신청 원장'!J1197)</x:f>
        <x:v>보류</x:v>
      </x:c>
      <x:c r="E196" s="2" t="str">
        <x:f>IF('신청 원장'!L1197="","",'신청 원장'!L1197)</x:f>
        <x:v>에코시안_전윤호</x:v>
      </x:c>
      <x:c r="F196" s="2" t="n">
        <x:f>IF('신청 원장'!M1197="","",'신청 원장'!M1197)</x:f>
        <x:v>1</x:v>
      </x:c>
      <x:c r="G196" s="2" t="n">
        <x:f>IF('신청 원장'!N1197="","",'신청 원장'!N1197)</x:f>
        <x:v>1175</x:v>
      </x:c>
      <x:c r="H196" s="2" t="str">
        <x:f>IF('신청 원장'!AA1197="","",'신청 원장'!AA1197)</x:f>
        <x:v>내부 관찰 대상</x:v>
      </x:c>
      <x:c r="I196" s="2" t="str">
        <x:f>IF('신청 원장'!O1197="","",'신청 원장'!O1197)</x:f>
        <x:v>반려예정</x:v>
      </x:c>
      <x:c r="J196" s="2" t="str">
        <x:f>IF('신청 원장'!W1197="","",'신청 원장'!W1197)</x:f>
      </x:c>
      <x:c r="K196" s="2" t="str">
        <x:f>IF('신청 원장'!X1197="","",'신청 원장'!X1197)</x:f>
        <x:v>검토 진행 일정 확인</x:v>
      </x:c>
      <x:c r="L196" s="2" t="str">
        <x:f>IF('신청 원장'!R1197="","",'신청 원장'!R1197)</x:f>
        <x:v>국내평가</x:v>
      </x:c>
      <x:c r="M196" s="2" t="n">
        <x:f>IF('신청 원장'!S1197="","",'신청 원장'!S1197)</x:f>
        <x:v>1100</x:v>
      </x:c>
      <x:c r="N196" s="2" t="str">
        <x:f>IF('신청 원장'!K1197&lt;&gt;"미종결 표시","종결 상태 확인",IF('신청 원장'!N1197="","일자 확인 필요",IF('신청 원장'!N1197&gt;365,"366일 이상",IF('신청 원장'!N1197&gt;90,"91~365일",IF('신청 원장'!N1197&gt;30,"31~90일","0~30일")))))</x:f>
        <x:v>366일 이상</x:v>
      </x:c>
      <x:c r="O196" s="2" t="str">
        <x:f>IF(OR('신청 원장'!L1197="",'신청 원장'!L1197="선택"),"담당 원문 확인","기재")</x:f>
        <x:v>기재</x:v>
      </x:c>
      <x:c r="P196" s="2" t="str">
        <x:f>IF('신청 원장'!A1197="","",'신청 원장'!A1197)</x:f>
        <x:v>d18eba138abb8b2960c8faf7</x:v>
      </x:c>
    </x:row>
    <x:row r="197" ht="42" customHeight="1">
      <x:c r="A197" s="2" t="str">
        <x:f>IF('신청 원장'!B1198="","",'신청 원장'!B1198)</x:f>
        <x:v>사업 평가</x:v>
      </x:c>
      <x:c r="B197" s="7" t="str">
        <x:f>IF('신청 원장'!D1198="","",'신청 원장'!D1198)</x:f>
        <x:v>㈜경기색소의 고효율 보일러 교체를 통한 온실가스(CO2) 배출 감축 사업</x:v>
      </x:c>
      <x:c r="C197" s="2" t="str">
        <x:f>IF('신청 원장'!F1198="","",'신청 원장'!F1198)</x:f>
        <x:v>2023-07-28</x:v>
      </x:c>
      <x:c r="D197" s="2" t="str">
        <x:f>IF('신청 원장'!J1198="","",'신청 원장'!J1198)</x:f>
        <x:v>보류</x:v>
      </x:c>
      <x:c r="E197" s="2" t="str">
        <x:f>IF('신청 원장'!L1198="","",'신청 원장'!L1198)</x:f>
        <x:v>에코시안_전윤호</x:v>
      </x:c>
      <x:c r="F197" s="2" t="n">
        <x:f>IF('신청 원장'!M1198="","",'신청 원장'!M1198)</x:f>
        <x:v>1</x:v>
      </x:c>
      <x:c r="G197" s="2" t="n">
        <x:f>IF('신청 원장'!N1198="","",'신청 원장'!N1198)</x:f>
        <x:v>1175</x:v>
      </x:c>
      <x:c r="H197" s="2" t="str">
        <x:f>IF('신청 원장'!AA1198="","",'신청 원장'!AA1198)</x:f>
        <x:v>내부 관찰 대상</x:v>
      </x:c>
      <x:c r="I197" s="2" t="str">
        <x:f>IF('신청 원장'!O1198="","",'신청 원장'!O1198)</x:f>
        <x:v>반려예정</x:v>
      </x:c>
      <x:c r="J197" s="2" t="str">
        <x:f>IF('신청 원장'!W1198="","",'신청 원장'!W1198)</x:f>
      </x:c>
      <x:c r="K197" s="2" t="str">
        <x:f>IF('신청 원장'!X1198="","",'신청 원장'!X1198)</x:f>
        <x:v>검토 진행 일정 확인</x:v>
      </x:c>
      <x:c r="L197" s="2" t="str">
        <x:f>IF('신청 원장'!R1198="","",'신청 원장'!R1198)</x:f>
        <x:v>국내평가</x:v>
      </x:c>
      <x:c r="M197" s="2" t="n">
        <x:f>IF('신청 원장'!S1198="","",'신청 원장'!S1198)</x:f>
        <x:v>1101</x:v>
      </x:c>
      <x:c r="N197" s="2" t="str">
        <x:f>IF('신청 원장'!K1198&lt;&gt;"미종결 표시","종결 상태 확인",IF('신청 원장'!N1198="","일자 확인 필요",IF('신청 원장'!N1198&gt;365,"366일 이상",IF('신청 원장'!N1198&gt;90,"91~365일",IF('신청 원장'!N1198&gt;30,"31~90일","0~30일")))))</x:f>
        <x:v>366일 이상</x:v>
      </x:c>
      <x:c r="O197" s="2" t="str">
        <x:f>IF(OR('신청 원장'!L1198="",'신청 원장'!L1198="선택"),"담당 원문 확인","기재")</x:f>
        <x:v>기재</x:v>
      </x:c>
      <x:c r="P197" s="2" t="str">
        <x:f>IF('신청 원장'!A1198="","",'신청 원장'!A1198)</x:f>
        <x:v>01fb61654847890a6981018f</x:v>
      </x:c>
    </x:row>
    <x:row r="198" ht="42" customHeight="1">
      <x:c r="A198" s="2" t="str">
        <x:f>IF('신청 원장'!B1199="","",'신청 원장'!B1199)</x:f>
        <x:v>사업 평가</x:v>
      </x:c>
      <x:c r="B198" s="7" t="str">
        <x:f>IF('신청 원장'!D1199="","",'신청 원장'!D1199)</x:f>
        <x:v>㈜가이아환경의 고효율 보일러 교체를 통한 온실가스(CO2) 배출 감축 사업</x:v>
      </x:c>
      <x:c r="C198" s="2" t="str">
        <x:f>IF('신청 원장'!F1199="","",'신청 원장'!F1199)</x:f>
        <x:v>2023-07-28</x:v>
      </x:c>
      <x:c r="D198" s="2" t="str">
        <x:f>IF('신청 원장'!J1199="","",'신청 원장'!J1199)</x:f>
        <x:v>보류</x:v>
      </x:c>
      <x:c r="E198" s="2" t="str">
        <x:f>IF('신청 원장'!L1199="","",'신청 원장'!L1199)</x:f>
        <x:v>에코시안_전윤호</x:v>
      </x:c>
      <x:c r="F198" s="2" t="n">
        <x:f>IF('신청 원장'!M1199="","",'신청 원장'!M1199)</x:f>
        <x:v>1</x:v>
      </x:c>
      <x:c r="G198" s="2" t="n">
        <x:f>IF('신청 원장'!N1199="","",'신청 원장'!N1199)</x:f>
        <x:v>1175</x:v>
      </x:c>
      <x:c r="H198" s="2" t="str">
        <x:f>IF('신청 원장'!AA1199="","",'신청 원장'!AA1199)</x:f>
        <x:v>내부 관찰 대상</x:v>
      </x:c>
      <x:c r="I198" s="2" t="str">
        <x:f>IF('신청 원장'!O1199="","",'신청 원장'!O1199)</x:f>
        <x:v>반려예정</x:v>
      </x:c>
      <x:c r="J198" s="2" t="str">
        <x:f>IF('신청 원장'!W1199="","",'신청 원장'!W1199)</x:f>
      </x:c>
      <x:c r="K198" s="2" t="str">
        <x:f>IF('신청 원장'!X1199="","",'신청 원장'!X1199)</x:f>
        <x:v>검토 진행 일정 확인</x:v>
      </x:c>
      <x:c r="L198" s="2" t="str">
        <x:f>IF('신청 원장'!R1199="","",'신청 원장'!R1199)</x:f>
        <x:v>국내평가</x:v>
      </x:c>
      <x:c r="M198" s="2" t="n">
        <x:f>IF('신청 원장'!S1199="","",'신청 원장'!S1199)</x:f>
        <x:v>1102</x:v>
      </x:c>
      <x:c r="N198" s="2" t="str">
        <x:f>IF('신청 원장'!K1199&lt;&gt;"미종결 표시","종결 상태 확인",IF('신청 원장'!N1199="","일자 확인 필요",IF('신청 원장'!N1199&gt;365,"366일 이상",IF('신청 원장'!N1199&gt;90,"91~365일",IF('신청 원장'!N1199&gt;30,"31~90일","0~30일")))))</x:f>
        <x:v>366일 이상</x:v>
      </x:c>
      <x:c r="O198" s="2" t="str">
        <x:f>IF(OR('신청 원장'!L1199="",'신청 원장'!L1199="선택"),"담당 원문 확인","기재")</x:f>
        <x:v>기재</x:v>
      </x:c>
      <x:c r="P198" s="2" t="str">
        <x:f>IF('신청 원장'!A1199="","",'신청 원장'!A1199)</x:f>
        <x:v>f2301ea39be2b20c5e1d9255</x:v>
      </x:c>
    </x:row>
    <x:row r="199" ht="42" customHeight="1">
      <x:c r="A199" s="2" t="str">
        <x:f>IF('신청 원장'!B1200="","",'신청 원장'!B1200)</x:f>
        <x:v>사업 평가</x:v>
      </x:c>
      <x:c r="B199" s="7" t="str">
        <x:f>IF('신청 원장'!D1200="","",'신청 원장'!D1200)</x:f>
        <x:v>㈜세우항공의 고효율 보일러 교체를 통한  온실가스(CO2) 배출 감축 사업</x:v>
      </x:c>
      <x:c r="C199" s="2" t="str">
        <x:f>IF('신청 원장'!F1200="","",'신청 원장'!F1200)</x:f>
        <x:v>2023-07-28</x:v>
      </x:c>
      <x:c r="D199" s="2" t="str">
        <x:f>IF('신청 원장'!J1200="","",'신청 원장'!J1200)</x:f>
        <x:v>보류</x:v>
      </x:c>
      <x:c r="E199" s="2" t="str">
        <x:f>IF('신청 원장'!L1200="","",'신청 원장'!L1200)</x:f>
        <x:v>에코시안_전윤호</x:v>
      </x:c>
      <x:c r="F199" s="2" t="str">
        <x:f>IF('신청 원장'!M1200="","",'신청 원장'!M1200)</x:f>
      </x:c>
      <x:c r="G199" s="2" t="n">
        <x:f>IF('신청 원장'!N1200="","",'신청 원장'!N1200)</x:f>
        <x:v>1175</x:v>
      </x:c>
      <x:c r="H199" s="2" t="str">
        <x:f>IF('신청 원장'!AA1200="","",'신청 원장'!AA1200)</x:f>
        <x:v>내부 관찰 대상</x:v>
      </x:c>
      <x:c r="I199" s="2" t="str">
        <x:f>IF('신청 원장'!O1200="","",'신청 원장'!O1200)</x:f>
        <x:v>반려예정</x:v>
      </x:c>
      <x:c r="J199" s="2" t="str">
        <x:f>IF('신청 원장'!W1200="","",'신청 원장'!W1200)</x:f>
      </x:c>
      <x:c r="K199" s="2" t="str">
        <x:f>IF('신청 원장'!X1200="","",'신청 원장'!X1200)</x:f>
        <x:v>검토 진행 일정 확인</x:v>
      </x:c>
      <x:c r="L199" s="2" t="str">
        <x:f>IF('신청 원장'!R1200="","",'신청 원장'!R1200)</x:f>
        <x:v>국내평가</x:v>
      </x:c>
      <x:c r="M199" s="2" t="n">
        <x:f>IF('신청 원장'!S1200="","",'신청 원장'!S1200)</x:f>
        <x:v>1103</x:v>
      </x:c>
      <x:c r="N199" s="2" t="str">
        <x:f>IF('신청 원장'!K1200&lt;&gt;"미종결 표시","종결 상태 확인",IF('신청 원장'!N1200="","일자 확인 필요",IF('신청 원장'!N1200&gt;365,"366일 이상",IF('신청 원장'!N1200&gt;90,"91~365일",IF('신청 원장'!N1200&gt;30,"31~90일","0~30일")))))</x:f>
        <x:v>366일 이상</x:v>
      </x:c>
      <x:c r="O199" s="2" t="str">
        <x:f>IF(OR('신청 원장'!L1200="",'신청 원장'!L1200="선택"),"담당 원문 확인","기재")</x:f>
        <x:v>기재</x:v>
      </x:c>
      <x:c r="P199" s="2" t="str">
        <x:f>IF('신청 원장'!A1200="","",'신청 원장'!A1200)</x:f>
        <x:v>a066c940e77eaf69abd0b02e</x:v>
      </x:c>
    </x:row>
    <x:row r="200" ht="42" customHeight="1">
      <x:c r="A200" s="2" t="str">
        <x:f>IF('신청 원장'!B1201="","",'신청 원장'!B1201)</x:f>
        <x:v>사업 평가</x:v>
      </x:c>
      <x:c r="B200" s="7" t="str">
        <x:f>IF('신청 원장'!D1201="","",'신청 원장'!D1201)</x:f>
        <x:v>IMI크리티컬엔지니어링코리아(주) 799.68 kW 태양광 발전설비 설치 및 자가 사용 사업</x:v>
      </x:c>
      <x:c r="C200" s="2" t="str">
        <x:f>IF('신청 원장'!F1201="","",'신청 원장'!F1201)</x:f>
        <x:v>2023-07-27</x:v>
      </x:c>
      <x:c r="D200" s="2" t="str">
        <x:f>IF('신청 원장'!J1201="","",'신청 원장'!J1201)</x:f>
        <x:v>보류</x:v>
      </x:c>
      <x:c r="E200" s="2" t="str">
        <x:f>IF('신청 원장'!L1201="","",'신청 원장'!L1201)</x:f>
        <x:v>KECM_김민정&gt;이태준</x:v>
      </x:c>
      <x:c r="F200" s="2" t="n">
        <x:f>IF('신청 원장'!M1201="","",'신청 원장'!M1201)</x:f>
        <x:v>3</x:v>
      </x:c>
      <x:c r="G200" s="2" t="n">
        <x:f>IF('신청 원장'!N1201="","",'신청 원장'!N1201)</x:f>
        <x:v>1176</x:v>
      </x:c>
      <x:c r="H200" s="2" t="str">
        <x:f>IF('신청 원장'!AA1201="","",'신청 원장'!AA1201)</x:f>
        <x:v>내부 관찰 대상</x:v>
      </x:c>
      <x:c r="I200" s="2" t="str">
        <x:f>IF('신청 원장'!O1201="","",'신청 원장'!O1201)</x:f>
        <x:v>반려예정</x:v>
      </x:c>
      <x:c r="J200" s="2" t="str">
        <x:f>IF('신청 원장'!W1201="","",'신청 원장'!W1201)</x:f>
      </x:c>
      <x:c r="K200" s="2" t="str">
        <x:f>IF('신청 원장'!X1201="","",'신청 원장'!X1201)</x:f>
        <x:v>검토 진행 일정 확인</x:v>
      </x:c>
      <x:c r="L200" s="2" t="str">
        <x:f>IF('신청 원장'!R1201="","",'신청 원장'!R1201)</x:f>
        <x:v>국내평가</x:v>
      </x:c>
      <x:c r="M200" s="2" t="n">
        <x:f>IF('신청 원장'!S1201="","",'신청 원장'!S1201)</x:f>
        <x:v>1104</x:v>
      </x:c>
      <x:c r="N200" s="2" t="str">
        <x:f>IF('신청 원장'!K1201&lt;&gt;"미종결 표시","종결 상태 확인",IF('신청 원장'!N1201="","일자 확인 필요",IF('신청 원장'!N1201&gt;365,"366일 이상",IF('신청 원장'!N1201&gt;90,"91~365일",IF('신청 원장'!N1201&gt;30,"31~90일","0~30일")))))</x:f>
        <x:v>366일 이상</x:v>
      </x:c>
      <x:c r="O200" s="2" t="str">
        <x:f>IF(OR('신청 원장'!L1201="",'신청 원장'!L1201="선택"),"담당 원문 확인","기재")</x:f>
        <x:v>기재</x:v>
      </x:c>
      <x:c r="P200" s="2" t="str">
        <x:f>IF('신청 원장'!A1201="","",'신청 원장'!A1201)</x:f>
        <x:v>5b7554d369eda06f08dd3c39</x:v>
      </x:c>
    </x:row>
    <x:row r="201" ht="42" customHeight="1">
      <x:c r="A201" s="2" t="str">
        <x:f>IF('신청 원장'!B1202="","",'신청 원장'!B1202)</x:f>
        <x:v>사업 평가</x:v>
      </x:c>
      <x:c r="B201" s="7" t="str">
        <x:f>IF('신청 원장'!D1202="","",'신청 원장'!D1202)</x:f>
        <x:v>㈜세우의 고효율 보일러 교체를 통한 온실가스(CO2) 배출 감축 사업</x:v>
      </x:c>
      <x:c r="C201" s="2" t="str">
        <x:f>IF('신청 원장'!F1202="","",'신청 원장'!F1202)</x:f>
        <x:v>2023-07-27</x:v>
      </x:c>
      <x:c r="D201" s="2" t="str">
        <x:f>IF('신청 원장'!J1202="","",'신청 원장'!J1202)</x:f>
        <x:v>보류</x:v>
      </x:c>
      <x:c r="E201" s="2" t="str">
        <x:f>IF('신청 원장'!L1202="","",'신청 원장'!L1202)</x:f>
        <x:v>KECM_이태준</x:v>
      </x:c>
      <x:c r="F201" s="2" t="n">
        <x:f>IF('신청 원장'!M1202="","",'신청 원장'!M1202)</x:f>
        <x:v>3</x:v>
      </x:c>
      <x:c r="G201" s="2" t="n">
        <x:f>IF('신청 원장'!N1202="","",'신청 원장'!N1202)</x:f>
        <x:v>1176</x:v>
      </x:c>
      <x:c r="H201" s="2" t="str">
        <x:f>IF('신청 원장'!AA1202="","",'신청 원장'!AA1202)</x:f>
        <x:v>내부 관찰 대상</x:v>
      </x:c>
      <x:c r="I201" s="2" t="str">
        <x:f>IF('신청 원장'!O1202="","",'신청 원장'!O1202)</x:f>
        <x:v>반려예정</x:v>
      </x:c>
      <x:c r="J201" s="2" t="str">
        <x:f>IF('신청 원장'!W1202="","",'신청 원장'!W1202)</x:f>
      </x:c>
      <x:c r="K201" s="2" t="str">
        <x:f>IF('신청 원장'!X1202="","",'신청 원장'!X1202)</x:f>
        <x:v>검토 진행 일정 확인</x:v>
      </x:c>
      <x:c r="L201" s="2" t="str">
        <x:f>IF('신청 원장'!R1202="","",'신청 원장'!R1202)</x:f>
        <x:v>국내평가</x:v>
      </x:c>
      <x:c r="M201" s="2" t="n">
        <x:f>IF('신청 원장'!S1202="","",'신청 원장'!S1202)</x:f>
        <x:v>1105</x:v>
      </x:c>
      <x:c r="N201" s="2" t="str">
        <x:f>IF('신청 원장'!K1202&lt;&gt;"미종결 표시","종결 상태 확인",IF('신청 원장'!N1202="","일자 확인 필요",IF('신청 원장'!N1202&gt;365,"366일 이상",IF('신청 원장'!N1202&gt;90,"91~365일",IF('신청 원장'!N1202&gt;30,"31~90일","0~30일")))))</x:f>
        <x:v>366일 이상</x:v>
      </x:c>
      <x:c r="O201" s="2" t="str">
        <x:f>IF(OR('신청 원장'!L1202="",'신청 원장'!L1202="선택"),"담당 원문 확인","기재")</x:f>
        <x:v>기재</x:v>
      </x:c>
      <x:c r="P201" s="2" t="str">
        <x:f>IF('신청 원장'!A1202="","",'신청 원장'!A1202)</x:f>
        <x:v>0e81547a6a27522e2c58f3bf</x:v>
      </x:c>
    </x:row>
    <x:row r="202" ht="42" customHeight="1">
      <x:c r="A202" s="2" t="str">
        <x:f>IF('신청 원장'!B1204="","",'신청 원장'!B1204)</x:f>
        <x:v>사업 평가</x:v>
      </x:c>
      <x:c r="B202" s="7" t="str">
        <x:f>IF('신청 원장'!D1204="","",'신청 원장'!D1204)</x:f>
        <x:v>한국동서발전(주) 태양광발전 설치 및 자가 사용 프로그램 감축사업</x:v>
      </x:c>
      <x:c r="C202" s="2" t="str">
        <x:f>IF('신청 원장'!F1204="","",'신청 원장'!F1204)</x:f>
        <x:v>2023-09-04</x:v>
      </x:c>
      <x:c r="D202" s="2" t="str">
        <x:f>IF('신청 원장'!J1204="","",'신청 원장'!J1204)</x:f>
        <x:v>보류</x:v>
      </x:c>
      <x:c r="E202" s="2" t="str">
        <x:f>IF('신청 원장'!L1204="","",'신청 원장'!L1204)</x:f>
      </x:c>
      <x:c r="F202" s="2" t="str">
        <x:f>IF('신청 원장'!M1204="","",'신청 원장'!M1204)</x:f>
      </x:c>
      <x:c r="G202" s="2" t="n">
        <x:f>IF('신청 원장'!N1204="","",'신청 원장'!N1204)</x:f>
        <x:v>1137</x:v>
      </x:c>
      <x:c r="H202" s="2" t="str">
        <x:f>IF('신청 원장'!AA1204="","",'신청 원장'!AA1204)</x:f>
        <x:v>내부 관찰 대상</x:v>
      </x:c>
      <x:c r="I202" s="2" t="str">
        <x:f>IF('신청 원장'!O1204="","",'신청 원장'!O1204)</x:f>
        <x:v>보류</x:v>
      </x:c>
      <x:c r="J202" s="2" t="str">
        <x:f>IF('신청 원장'!W1204="","",'신청 원장'!W1204)</x:f>
        <x:v>담당기관 확인</x:v>
      </x:c>
      <x:c r="K202" s="2" t="str">
        <x:f>IF('신청 원장'!X1204="","",'신청 원장'!X1204)</x:f>
        <x:v>원본·배정 기록 확인</x:v>
      </x:c>
      <x:c r="L202" s="2" t="str">
        <x:f>IF('신청 원장'!R1204="","",'신청 원장'!R1204)</x:f>
        <x:v>국내평가</x:v>
      </x:c>
      <x:c r="M202" s="2" t="n">
        <x:f>IF('신청 원장'!S1204="","",'신청 원장'!S1204)</x:f>
        <x:v>1107</x:v>
      </x:c>
      <x:c r="N202" s="2" t="str">
        <x:f>IF('신청 원장'!K1204&lt;&gt;"미종결 표시","종결 상태 확인",IF('신청 원장'!N1204="","일자 확인 필요",IF('신청 원장'!N1204&gt;365,"366일 이상",IF('신청 원장'!N1204&gt;90,"91~365일",IF('신청 원장'!N1204&gt;30,"31~90일","0~30일")))))</x:f>
        <x:v>366일 이상</x:v>
      </x:c>
      <x:c r="O202" s="2" t="str">
        <x:f>IF(OR('신청 원장'!L1204="",'신청 원장'!L1204="선택"),"담당 원문 확인","기재")</x:f>
        <x:v>담당 원문 확인</x:v>
      </x:c>
      <x:c r="P202" s="2" t="str">
        <x:f>IF('신청 원장'!A1204="","",'신청 원장'!A1204)</x:f>
        <x:v>3ccd4a1c390fb3a1053a1dee</x:v>
      </x:c>
    </x:row>
    <x:row r="203" ht="42" customHeight="1">
      <x:c r="A203" s="2" t="str">
        <x:f>IF('신청 원장'!B1205="","",'신청 원장'!B1205)</x:f>
        <x:v>사업 평가</x:v>
      </x:c>
      <x:c r="B203" s="7" t="str">
        <x:f>IF('신청 원장'!D1205="","",'신청 원장'!D1205)</x:f>
        <x:v>한국동서발전(주) 태양광발전 설치 및 자가 사용 프로그램 감축사업</x:v>
      </x:c>
      <x:c r="C203" s="2" t="str">
        <x:f>IF('신청 원장'!F1205="","",'신청 원장'!F1205)</x:f>
        <x:v>2023-09-04</x:v>
      </x:c>
      <x:c r="D203" s="2" t="str">
        <x:f>IF('신청 원장'!J1205="","",'신청 원장'!J1205)</x:f>
        <x:v>보류</x:v>
      </x:c>
      <x:c r="E203" s="2" t="str">
        <x:f>IF('신청 원장'!L1205="","",'신청 원장'!L1205)</x:f>
      </x:c>
      <x:c r="F203" s="2" t="str">
        <x:f>IF('신청 원장'!M1205="","",'신청 원장'!M1205)</x:f>
      </x:c>
      <x:c r="G203" s="2" t="n">
        <x:f>IF('신청 원장'!N1205="","",'신청 원장'!N1205)</x:f>
        <x:v>1137</x:v>
      </x:c>
      <x:c r="H203" s="2" t="str">
        <x:f>IF('신청 원장'!AA1205="","",'신청 원장'!AA1205)</x:f>
        <x:v>내부 관찰 대상</x:v>
      </x:c>
      <x:c r="I203" s="2" t="str">
        <x:f>IF('신청 원장'!O1205="","",'신청 원장'!O1205)</x:f>
        <x:v>보류</x:v>
      </x:c>
      <x:c r="J203" s="2" t="str">
        <x:f>IF('신청 원장'!W1205="","",'신청 원장'!W1205)</x:f>
        <x:v>담당기관 확인</x:v>
      </x:c>
      <x:c r="K203" s="2" t="str">
        <x:f>IF('신청 원장'!X1205="","",'신청 원장'!X1205)</x:f>
        <x:v>원본·배정 기록 확인</x:v>
      </x:c>
      <x:c r="L203" s="2" t="str">
        <x:f>IF('신청 원장'!R1205="","",'신청 원장'!R1205)</x:f>
        <x:v>국내평가</x:v>
      </x:c>
      <x:c r="M203" s="2" t="n">
        <x:f>IF('신청 원장'!S1205="","",'신청 원장'!S1205)</x:f>
        <x:v>1108</x:v>
      </x:c>
      <x:c r="N203" s="2" t="str">
        <x:f>IF('신청 원장'!K1205&lt;&gt;"미종결 표시","종결 상태 확인",IF('신청 원장'!N1205="","일자 확인 필요",IF('신청 원장'!N1205&gt;365,"366일 이상",IF('신청 원장'!N1205&gt;90,"91~365일",IF('신청 원장'!N1205&gt;30,"31~90일","0~30일")))))</x:f>
        <x:v>366일 이상</x:v>
      </x:c>
      <x:c r="O203" s="2" t="str">
        <x:f>IF(OR('신청 원장'!L1205="",'신청 원장'!L1205="선택"),"담당 원문 확인","기재")</x:f>
        <x:v>담당 원문 확인</x:v>
      </x:c>
      <x:c r="P203" s="2" t="str">
        <x:f>IF('신청 원장'!A1205="","",'신청 원장'!A1205)</x:f>
        <x:v>c14452f940da9ef9fb1c6812</x:v>
      </x:c>
    </x:row>
    <x:row r="204" ht="42" customHeight="1">
      <x:c r="A204" s="2" t="str">
        <x:f>IF('신청 원장'!B1206="","",'신청 원장'!B1206)</x:f>
        <x:v>사업 평가</x:v>
      </x:c>
      <x:c r="B204" s="7" t="str">
        <x:f>IF('신청 원장'!D1206="","",'신청 원장'!D1206)</x:f>
        <x:v>한국동서발전(주) 태양광발전 설치 및 자가 사용 프로그램 감축사업</x:v>
      </x:c>
      <x:c r="C204" s="2" t="str">
        <x:f>IF('신청 원장'!F1206="","",'신청 원장'!F1206)</x:f>
        <x:v>2023-09-04</x:v>
      </x:c>
      <x:c r="D204" s="2" t="str">
        <x:f>IF('신청 원장'!J1206="","",'신청 원장'!J1206)</x:f>
        <x:v>보류</x:v>
      </x:c>
      <x:c r="E204" s="2" t="str">
        <x:f>IF('신청 원장'!L1206="","",'신청 원장'!L1206)</x:f>
      </x:c>
      <x:c r="F204" s="2" t="str">
        <x:f>IF('신청 원장'!M1206="","",'신청 원장'!M1206)</x:f>
      </x:c>
      <x:c r="G204" s="2" t="n">
        <x:f>IF('신청 원장'!N1206="","",'신청 원장'!N1206)</x:f>
        <x:v>1137</x:v>
      </x:c>
      <x:c r="H204" s="2" t="str">
        <x:f>IF('신청 원장'!AA1206="","",'신청 원장'!AA1206)</x:f>
        <x:v>내부 관찰 대상</x:v>
      </x:c>
      <x:c r="I204" s="2" t="str">
        <x:f>IF('신청 원장'!O1206="","",'신청 원장'!O1206)</x:f>
        <x:v>보류</x:v>
      </x:c>
      <x:c r="J204" s="2" t="str">
        <x:f>IF('신청 원장'!W1206="","",'신청 원장'!W1206)</x:f>
        <x:v>담당기관 확인</x:v>
      </x:c>
      <x:c r="K204" s="2" t="str">
        <x:f>IF('신청 원장'!X1206="","",'신청 원장'!X1206)</x:f>
        <x:v>원본·배정 기록 확인</x:v>
      </x:c>
      <x:c r="L204" s="2" t="str">
        <x:f>IF('신청 원장'!R1206="","",'신청 원장'!R1206)</x:f>
        <x:v>국내평가</x:v>
      </x:c>
      <x:c r="M204" s="2" t="n">
        <x:f>IF('신청 원장'!S1206="","",'신청 원장'!S1206)</x:f>
        <x:v>1109</x:v>
      </x:c>
      <x:c r="N204" s="2" t="str">
        <x:f>IF('신청 원장'!K1206&lt;&gt;"미종결 표시","종결 상태 확인",IF('신청 원장'!N1206="","일자 확인 필요",IF('신청 원장'!N1206&gt;365,"366일 이상",IF('신청 원장'!N1206&gt;90,"91~365일",IF('신청 원장'!N1206&gt;30,"31~90일","0~30일")))))</x:f>
        <x:v>366일 이상</x:v>
      </x:c>
      <x:c r="O204" s="2" t="str">
        <x:f>IF(OR('신청 원장'!L1206="",'신청 원장'!L1206="선택"),"담당 원문 확인","기재")</x:f>
        <x:v>담당 원문 확인</x:v>
      </x:c>
      <x:c r="P204" s="2" t="str">
        <x:f>IF('신청 원장'!A1206="","",'신청 원장'!A1206)</x:f>
        <x:v>a44e17d987c56c9ea883762e</x:v>
      </x:c>
    </x:row>
    <x:row r="205" ht="42" customHeight="1">
      <x:c r="A205" s="2" t="str">
        <x:f>IF('신청 원장'!B1209="","",'신청 원장'!B1209)</x:f>
        <x:v>사업 평가</x:v>
      </x:c>
      <x:c r="B205" s="7" t="str">
        <x:f>IF('신청 원장'!D1209="","",'신청 원장'!D1209)</x:f>
        <x:v>㈜금강피씨의 버너 교체를 통한 연료전환(부생연료 → LPG)  온실가스(CO2) 배출 감축 사업</x:v>
      </x:c>
      <x:c r="C205" s="2" t="str">
        <x:f>IF('신청 원장'!F1209="","",'신청 원장'!F1209)</x:f>
        <x:v>2023-11-01</x:v>
      </x:c>
      <x:c r="D205" s="2" t="str">
        <x:f>IF('신청 원장'!J1209="","",'신청 원장'!J1209)</x:f>
        <x:v>보완요청</x:v>
      </x:c>
      <x:c r="E205" s="2" t="str">
        <x:f>IF('신청 원장'!L1209="","",'신청 원장'!L1209)</x:f>
        <x:v>KECM_이태준</x:v>
      </x:c>
      <x:c r="F205" s="2" t="n">
        <x:f>IF('신청 원장'!M1209="","",'신청 원장'!M1209)</x:f>
        <x:v>1</x:v>
      </x:c>
      <x:c r="G205" s="2" t="n">
        <x:f>IF('신청 원장'!N1209="","",'신청 원장'!N1209)</x:f>
        <x:v>1079</x:v>
      </x:c>
      <x:c r="H205" s="2" t="str">
        <x:f>IF('신청 원장'!AA1209="","",'신청 원장'!AA1209)</x:f>
        <x:v>내부 관찰 대상</x:v>
      </x:c>
      <x:c r="I205" s="2" t="str">
        <x:f>IF('신청 원장'!O1209="","",'신청 원장'!O1209)</x:f>
        <x:v>생략</x:v>
      </x:c>
      <x:c r="J205" s="2" t="str">
        <x:f>IF('신청 원장'!W1209="","",'신청 원장'!W1209)</x:f>
      </x:c>
      <x:c r="K205" s="2" t="str">
        <x:f>IF('신청 원장'!X1209="","",'신청 원장'!X1209)</x:f>
        <x:v>보완 회신 일정 확인</x:v>
      </x:c>
      <x:c r="L205" s="2" t="str">
        <x:f>IF('신청 원장'!R1209="","",'신청 원장'!R1209)</x:f>
        <x:v>국내평가</x:v>
      </x:c>
      <x:c r="M205" s="2" t="n">
        <x:f>IF('신청 원장'!S1209="","",'신청 원장'!S1209)</x:f>
        <x:v>1112</x:v>
      </x:c>
      <x:c r="N205" s="2" t="str">
        <x:f>IF('신청 원장'!K1209&lt;&gt;"미종결 표시","종결 상태 확인",IF('신청 원장'!N1209="","일자 확인 필요",IF('신청 원장'!N1209&gt;365,"366일 이상",IF('신청 원장'!N1209&gt;90,"91~365일",IF('신청 원장'!N1209&gt;30,"31~90일","0~30일")))))</x:f>
        <x:v>366일 이상</x:v>
      </x:c>
      <x:c r="O205" s="2" t="str">
        <x:f>IF(OR('신청 원장'!L1209="",'신청 원장'!L1209="선택"),"담당 원문 확인","기재")</x:f>
        <x:v>기재</x:v>
      </x:c>
      <x:c r="P205" s="2" t="str">
        <x:f>IF('신청 원장'!A1209="","",'신청 원장'!A1209)</x:f>
        <x:v>ca4d315849b585a95c573410</x:v>
      </x:c>
    </x:row>
    <x:row r="206" ht="42" customHeight="1">
      <x:c r="A206" s="2" t="str">
        <x:f>IF('신청 원장'!B1212="","",'신청 원장'!B1212)</x:f>
        <x:v>사업 평가</x:v>
      </x:c>
      <x:c r="B206" s="7" t="str">
        <x:f>IF('신청 원장'!D1212="","",'신청 원장'!D1212)</x:f>
        <x:v>(주)금강부러쉬 외 5개사의 인버터 공기압축기 교체를 통한 온실가스 감축사업</x:v>
      </x:c>
      <x:c r="C206" s="2" t="str">
        <x:f>IF('신청 원장'!F1212="","",'신청 원장'!F1212)</x:f>
        <x:v>2023-11-08</x:v>
      </x:c>
      <x:c r="D206" s="2" t="str">
        <x:f>IF('신청 원장'!J1212="","",'신청 원장'!J1212)</x:f>
        <x:v>보완요청</x:v>
      </x:c>
      <x:c r="E206" s="2" t="str">
        <x:f>IF('신청 원장'!L1212="","",'신청 원장'!L1212)</x:f>
        <x:v>에코시안_정다윤</x:v>
      </x:c>
      <x:c r="F206" s="2" t="str">
        <x:f>IF('신청 원장'!M1212="","",'신청 원장'!M1212)</x:f>
      </x:c>
      <x:c r="G206" s="2" t="n">
        <x:f>IF('신청 원장'!N1212="","",'신청 원장'!N1212)</x:f>
        <x:v>1072</x:v>
      </x:c>
      <x:c r="H206" s="2" t="str">
        <x:f>IF('신청 원장'!AA1212="","",'신청 원장'!AA1212)</x:f>
        <x:v>내부 관찰 대상</x:v>
      </x:c>
      <x:c r="I206" s="2" t="str">
        <x:f>IF('신청 원장'!O1212="","",'신청 원장'!O1212)</x:f>
        <x:v>생략</x:v>
      </x:c>
      <x:c r="J206" s="2" t="str">
        <x:f>IF('신청 원장'!W1212="","",'신청 원장'!W1212)</x:f>
      </x:c>
      <x:c r="K206" s="2" t="str">
        <x:f>IF('신청 원장'!X1212="","",'신청 원장'!X1212)</x:f>
        <x:v>보완 회신 일정 확인</x:v>
      </x:c>
      <x:c r="L206" s="2" t="str">
        <x:f>IF('신청 원장'!R1212="","",'신청 원장'!R1212)</x:f>
        <x:v>국내평가</x:v>
      </x:c>
      <x:c r="M206" s="2" t="n">
        <x:f>IF('신청 원장'!S1212="","",'신청 원장'!S1212)</x:f>
        <x:v>1115</x:v>
      </x:c>
      <x:c r="N206" s="2" t="str">
        <x:f>IF('신청 원장'!K1212&lt;&gt;"미종결 표시","종결 상태 확인",IF('신청 원장'!N1212="","일자 확인 필요",IF('신청 원장'!N1212&gt;365,"366일 이상",IF('신청 원장'!N1212&gt;90,"91~365일",IF('신청 원장'!N1212&gt;30,"31~90일","0~30일")))))</x:f>
        <x:v>366일 이상</x:v>
      </x:c>
      <x:c r="O206" s="2" t="str">
        <x:f>IF(OR('신청 원장'!L1212="",'신청 원장'!L1212="선택"),"담당 원문 확인","기재")</x:f>
        <x:v>기재</x:v>
      </x:c>
      <x:c r="P206" s="2" t="str">
        <x:f>IF('신청 원장'!A1212="","",'신청 원장'!A1212)</x:f>
        <x:v>6e4d9ae47b46cd07335f90e5</x:v>
      </x:c>
    </x:row>
    <x:row r="207" ht="42" customHeight="1">
      <x:c r="A207" s="2" t="str">
        <x:f>IF('신청 원장'!B1220="","",'신청 원장'!B1220)</x:f>
        <x:v>사업 평가</x:v>
      </x:c>
      <x:c r="B207" s="7" t="str">
        <x:f>IF('신청 원장'!D1220="","",'신청 원장'!D1220)</x:f>
        <x:v>주식회사 대경열처리 외 6개사의 고효율 공기압축기 교체를 통한 온실가스 감축사업</x:v>
      </x:c>
      <x:c r="C207" s="2" t="str">
        <x:f>IF('신청 원장'!F1220="","",'신청 원장'!F1220)</x:f>
        <x:v>2023-11-15</x:v>
      </x:c>
      <x:c r="D207" s="2" t="str">
        <x:f>IF('신청 원장'!J1220="","",'신청 원장'!J1220)</x:f>
        <x:v>보완요청</x:v>
      </x:c>
      <x:c r="E207" s="2" t="str">
        <x:f>IF('신청 원장'!L1220="","",'신청 원장'!L1220)</x:f>
        <x:v>에코시안_전윤호</x:v>
      </x:c>
      <x:c r="F207" s="2" t="n">
        <x:f>IF('신청 원장'!M1220="","",'신청 원장'!M1220)</x:f>
        <x:v>1</x:v>
      </x:c>
      <x:c r="G207" s="2" t="n">
        <x:f>IF('신청 원장'!N1220="","",'신청 원장'!N1220)</x:f>
        <x:v>1065</x:v>
      </x:c>
      <x:c r="H207" s="2" t="str">
        <x:f>IF('신청 원장'!AA1220="","",'신청 원장'!AA1220)</x:f>
        <x:v>내부 관찰 대상</x:v>
      </x:c>
      <x:c r="I207" s="2" t="str">
        <x:f>IF('신청 원장'!O1220="","",'신청 원장'!O1220)</x:f>
        <x:v>생략</x:v>
      </x:c>
      <x:c r="J207" s="2" t="str">
        <x:f>IF('신청 원장'!W1220="","",'신청 원장'!W1220)</x:f>
      </x:c>
      <x:c r="K207" s="2" t="str">
        <x:f>IF('신청 원장'!X1220="","",'신청 원장'!X1220)</x:f>
        <x:v>보완 회신 일정 확인</x:v>
      </x:c>
      <x:c r="L207" s="2" t="str">
        <x:f>IF('신청 원장'!R1220="","",'신청 원장'!R1220)</x:f>
        <x:v>국내평가</x:v>
      </x:c>
      <x:c r="M207" s="2" t="n">
        <x:f>IF('신청 원장'!S1220="","",'신청 원장'!S1220)</x:f>
        <x:v>1123</x:v>
      </x:c>
      <x:c r="N207" s="2" t="str">
        <x:f>IF('신청 원장'!K1220&lt;&gt;"미종결 표시","종결 상태 확인",IF('신청 원장'!N1220="","일자 확인 필요",IF('신청 원장'!N1220&gt;365,"366일 이상",IF('신청 원장'!N1220&gt;90,"91~365일",IF('신청 원장'!N1220&gt;30,"31~90일","0~30일")))))</x:f>
        <x:v>366일 이상</x:v>
      </x:c>
      <x:c r="O207" s="2" t="str">
        <x:f>IF(OR('신청 원장'!L1220="",'신청 원장'!L1220="선택"),"담당 원문 확인","기재")</x:f>
        <x:v>기재</x:v>
      </x:c>
      <x:c r="P207" s="2" t="str">
        <x:f>IF('신청 원장'!A1220="","",'신청 원장'!A1220)</x:f>
        <x:v>6bc3b22694f14354b2927045</x:v>
      </x:c>
    </x:row>
    <x:row r="208" ht="42" customHeight="1">
      <x:c r="A208" s="2" t="str">
        <x:f>IF('신청 원장'!B1222="","",'신청 원장'!B1222)</x:f>
        <x:v>사업 평가</x:v>
      </x:c>
      <x:c r="B208" s="7" t="str">
        <x:f>IF('신청 원장'!D1222="","",'신청 원장'!D1222)</x:f>
        <x:v>명진테크 외 5개사의 고효율 공기압축기 교체를 통한 온실가스 감축사업</x:v>
      </x:c>
      <x:c r="C208" s="2" t="str">
        <x:f>IF('신청 원장'!F1222="","",'신청 원장'!F1222)</x:f>
        <x:v>2023-11-17</x:v>
      </x:c>
      <x:c r="D208" s="2" t="str">
        <x:f>IF('신청 원장'!J1222="","",'신청 원장'!J1222)</x:f>
        <x:v>보완요청</x:v>
      </x:c>
      <x:c r="E208" s="2" t="str">
        <x:f>IF('신청 원장'!L1222="","",'신청 원장'!L1222)</x:f>
        <x:v>디번들링 평가 선 필요</x:v>
      </x:c>
      <x:c r="F208" s="2" t="n">
        <x:f>IF('신청 원장'!M1222="","",'신청 원장'!M1222)</x:f>
        <x:v>1</x:v>
      </x:c>
      <x:c r="G208" s="2" t="n">
        <x:f>IF('신청 원장'!N1222="","",'신청 원장'!N1222)</x:f>
        <x:v>1063</x:v>
      </x:c>
      <x:c r="H208" s="2" t="str">
        <x:f>IF('신청 원장'!AA1222="","",'신청 원장'!AA1222)</x:f>
        <x:v>내부 관찰 대상</x:v>
      </x:c>
      <x:c r="I208" s="2" t="str">
        <x:f>IF('신청 원장'!O1222="","",'신청 원장'!O1222)</x:f>
        <x:v>생략</x:v>
      </x:c>
      <x:c r="J208" s="2" t="str">
        <x:f>IF('신청 원장'!W1222="","",'신청 원장'!W1222)</x:f>
      </x:c>
      <x:c r="K208" s="2" t="str">
        <x:f>IF('신청 원장'!X1222="","",'신청 원장'!X1222)</x:f>
        <x:v>보완 회신 일정 확인</x:v>
      </x:c>
      <x:c r="L208" s="2" t="str">
        <x:f>IF('신청 원장'!R1222="","",'신청 원장'!R1222)</x:f>
        <x:v>국내평가</x:v>
      </x:c>
      <x:c r="M208" s="2" t="n">
        <x:f>IF('신청 원장'!S1222="","",'신청 원장'!S1222)</x:f>
        <x:v>1125</x:v>
      </x:c>
      <x:c r="N208" s="2" t="str">
        <x:f>IF('신청 원장'!K1222&lt;&gt;"미종결 표시","종결 상태 확인",IF('신청 원장'!N1222="","일자 확인 필요",IF('신청 원장'!N1222&gt;365,"366일 이상",IF('신청 원장'!N1222&gt;90,"91~365일",IF('신청 원장'!N1222&gt;30,"31~90일","0~30일")))))</x:f>
        <x:v>366일 이상</x:v>
      </x:c>
      <x:c r="O208" s="2" t="str">
        <x:f>IF(OR('신청 원장'!L1222="",'신청 원장'!L1222="선택"),"담당 원문 확인","기재")</x:f>
        <x:v>기재</x:v>
      </x:c>
      <x:c r="P208" s="2" t="str">
        <x:f>IF('신청 원장'!A1222="","",'신청 원장'!A1222)</x:f>
        <x:v>2941851920c9fa59469ae7bf</x:v>
      </x:c>
    </x:row>
    <x:row r="209" ht="42" customHeight="1">
      <x:c r="A209" s="2" t="str">
        <x:f>IF('신청 원장'!B1223="","",'신청 원장'!B1223)</x:f>
        <x:v>사업 평가</x:v>
      </x:c>
      <x:c r="B209" s="7" t="str">
        <x:f>IF('신청 원장'!D1223="","",'신청 원장'!D1223)</x:f>
        <x:v>(주)세영 외 4개사의 고효율 공기압축기 교체를 통한 온실가스 감축사업</x:v>
      </x:c>
      <x:c r="C209" s="2" t="str">
        <x:f>IF('신청 원장'!F1223="","",'신청 원장'!F1223)</x:f>
        <x:v>2023-11-17</x:v>
      </x:c>
      <x:c r="D209" s="2" t="str">
        <x:f>IF('신청 원장'!J1223="","",'신청 원장'!J1223)</x:f>
        <x:v>보완요청</x:v>
      </x:c>
      <x:c r="E209" s="2" t="str">
        <x:f>IF('신청 원장'!L1223="","",'신청 원장'!L1223)</x:f>
        <x:v>디번들링 평가 선 필요</x:v>
      </x:c>
      <x:c r="F209" s="2" t="n">
        <x:f>IF('신청 원장'!M1223="","",'신청 원장'!M1223)</x:f>
        <x:v>1</x:v>
      </x:c>
      <x:c r="G209" s="2" t="n">
        <x:f>IF('신청 원장'!N1223="","",'신청 원장'!N1223)</x:f>
        <x:v>1063</x:v>
      </x:c>
      <x:c r="H209" s="2" t="str">
        <x:f>IF('신청 원장'!AA1223="","",'신청 원장'!AA1223)</x:f>
        <x:v>내부 관찰 대상</x:v>
      </x:c>
      <x:c r="I209" s="2" t="str">
        <x:f>IF('신청 원장'!O1223="","",'신청 원장'!O1223)</x:f>
        <x:v>생략</x:v>
      </x:c>
      <x:c r="J209" s="2" t="str">
        <x:f>IF('신청 원장'!W1223="","",'신청 원장'!W1223)</x:f>
      </x:c>
      <x:c r="K209" s="2" t="str">
        <x:f>IF('신청 원장'!X1223="","",'신청 원장'!X1223)</x:f>
        <x:v>보완 회신 일정 확인</x:v>
      </x:c>
      <x:c r="L209" s="2" t="str">
        <x:f>IF('신청 원장'!R1223="","",'신청 원장'!R1223)</x:f>
        <x:v>국내평가</x:v>
      </x:c>
      <x:c r="M209" s="2" t="n">
        <x:f>IF('신청 원장'!S1223="","",'신청 원장'!S1223)</x:f>
        <x:v>1126</x:v>
      </x:c>
      <x:c r="N209" s="2" t="str">
        <x:f>IF('신청 원장'!K1223&lt;&gt;"미종결 표시","종결 상태 확인",IF('신청 원장'!N1223="","일자 확인 필요",IF('신청 원장'!N1223&gt;365,"366일 이상",IF('신청 원장'!N1223&gt;90,"91~365일",IF('신청 원장'!N1223&gt;30,"31~90일","0~30일")))))</x:f>
        <x:v>366일 이상</x:v>
      </x:c>
      <x:c r="O209" s="2" t="str">
        <x:f>IF(OR('신청 원장'!L1223="",'신청 원장'!L1223="선택"),"담당 원문 확인","기재")</x:f>
        <x:v>기재</x:v>
      </x:c>
      <x:c r="P209" s="2" t="str">
        <x:f>IF('신청 원장'!A1223="","",'신청 원장'!A1223)</x:f>
        <x:v>01dc2c88c92fc23839a805c0</x:v>
      </x:c>
    </x:row>
    <x:row r="210" ht="42" customHeight="1">
      <x:c r="A210" s="2" t="str">
        <x:f>IF('신청 원장'!B1224="","",'신청 원장'!B1224)</x:f>
        <x:v>사업 평가</x:v>
      </x:c>
      <x:c r="B210" s="7" t="str">
        <x:f>IF('신청 원장'!D1224="","",'신청 원장'!D1224)</x:f>
        <x:v>주식회사 디엠티 외 4개사의 고효율 공기압축기 교체를 통한 온실가스 감축사업</x:v>
      </x:c>
      <x:c r="C210" s="2" t="str">
        <x:f>IF('신청 원장'!F1224="","",'신청 원장'!F1224)</x:f>
        <x:v>2023-11-17</x:v>
      </x:c>
      <x:c r="D210" s="2" t="str">
        <x:f>IF('신청 원장'!J1224="","",'신청 원장'!J1224)</x:f>
        <x:v>보완요청</x:v>
      </x:c>
      <x:c r="E210" s="2" t="str">
        <x:f>IF('신청 원장'!L1224="","",'신청 원장'!L1224)</x:f>
        <x:v>디번들링 평가 선 필요</x:v>
      </x:c>
      <x:c r="F210" s="2" t="n">
        <x:f>IF('신청 원장'!M1224="","",'신청 원장'!M1224)</x:f>
        <x:v>1</x:v>
      </x:c>
      <x:c r="G210" s="2" t="n">
        <x:f>IF('신청 원장'!N1224="","",'신청 원장'!N1224)</x:f>
        <x:v>1063</x:v>
      </x:c>
      <x:c r="H210" s="2" t="str">
        <x:f>IF('신청 원장'!AA1224="","",'신청 원장'!AA1224)</x:f>
        <x:v>내부 관찰 대상</x:v>
      </x:c>
      <x:c r="I210" s="2" t="str">
        <x:f>IF('신청 원장'!O1224="","",'신청 원장'!O1224)</x:f>
        <x:v>생략</x:v>
      </x:c>
      <x:c r="J210" s="2" t="str">
        <x:f>IF('신청 원장'!W1224="","",'신청 원장'!W1224)</x:f>
      </x:c>
      <x:c r="K210" s="2" t="str">
        <x:f>IF('신청 원장'!X1224="","",'신청 원장'!X1224)</x:f>
        <x:v>보완 회신 일정 확인</x:v>
      </x:c>
      <x:c r="L210" s="2" t="str">
        <x:f>IF('신청 원장'!R1224="","",'신청 원장'!R1224)</x:f>
        <x:v>국내평가</x:v>
      </x:c>
      <x:c r="M210" s="2" t="n">
        <x:f>IF('신청 원장'!S1224="","",'신청 원장'!S1224)</x:f>
        <x:v>1127</x:v>
      </x:c>
      <x:c r="N210" s="2" t="str">
        <x:f>IF('신청 원장'!K1224&lt;&gt;"미종결 표시","종결 상태 확인",IF('신청 원장'!N1224="","일자 확인 필요",IF('신청 원장'!N1224&gt;365,"366일 이상",IF('신청 원장'!N1224&gt;90,"91~365일",IF('신청 원장'!N1224&gt;30,"31~90일","0~30일")))))</x:f>
        <x:v>366일 이상</x:v>
      </x:c>
      <x:c r="O210" s="2" t="str">
        <x:f>IF(OR('신청 원장'!L1224="",'신청 원장'!L1224="선택"),"담당 원문 확인","기재")</x:f>
        <x:v>기재</x:v>
      </x:c>
      <x:c r="P210" s="2" t="str">
        <x:f>IF('신청 원장'!A1224="","",'신청 원장'!A1224)</x:f>
        <x:v>d666a67f68eb10d9b5449edb</x:v>
      </x:c>
    </x:row>
    <x:row r="211" ht="42" customHeight="1">
      <x:c r="A211" s="2" t="str">
        <x:f>IF('신청 원장'!B1225="","",'신청 원장'!B1225)</x:f>
        <x:v>사업 평가</x:v>
      </x:c>
      <x:c r="B211" s="7" t="str">
        <x:f>IF('신청 원장'!D1225="","",'신청 원장'!D1225)</x:f>
        <x:v>주식회사 동서기연 외 5개사의 고효율 공기압축기 교체를 통한 온실가스 감축사업</x:v>
      </x:c>
      <x:c r="C211" s="2" t="str">
        <x:f>IF('신청 원장'!F1225="","",'신청 원장'!F1225)</x:f>
        <x:v>2023-11-17</x:v>
      </x:c>
      <x:c r="D211" s="2" t="str">
        <x:f>IF('신청 원장'!J1225="","",'신청 원장'!J1225)</x:f>
        <x:v>보완요청</x:v>
      </x:c>
      <x:c r="E211" s="2" t="str">
        <x:f>IF('신청 원장'!L1225="","",'신청 원장'!L1225)</x:f>
        <x:v>디번들링 평가 선 필요</x:v>
      </x:c>
      <x:c r="F211" s="2" t="n">
        <x:f>IF('신청 원장'!M1225="","",'신청 원장'!M1225)</x:f>
        <x:v>1</x:v>
      </x:c>
      <x:c r="G211" s="2" t="n">
        <x:f>IF('신청 원장'!N1225="","",'신청 원장'!N1225)</x:f>
        <x:v>1063</x:v>
      </x:c>
      <x:c r="H211" s="2" t="str">
        <x:f>IF('신청 원장'!AA1225="","",'신청 원장'!AA1225)</x:f>
        <x:v>내부 관찰 대상</x:v>
      </x:c>
      <x:c r="I211" s="2" t="str">
        <x:f>IF('신청 원장'!O1225="","",'신청 원장'!O1225)</x:f>
        <x:v>생략</x:v>
      </x:c>
      <x:c r="J211" s="2" t="str">
        <x:f>IF('신청 원장'!W1225="","",'신청 원장'!W1225)</x:f>
      </x:c>
      <x:c r="K211" s="2" t="str">
        <x:f>IF('신청 원장'!X1225="","",'신청 원장'!X1225)</x:f>
        <x:v>보완 회신 일정 확인</x:v>
      </x:c>
      <x:c r="L211" s="2" t="str">
        <x:f>IF('신청 원장'!R1225="","",'신청 원장'!R1225)</x:f>
        <x:v>국내평가</x:v>
      </x:c>
      <x:c r="M211" s="2" t="n">
        <x:f>IF('신청 원장'!S1225="","",'신청 원장'!S1225)</x:f>
        <x:v>1128</x:v>
      </x:c>
      <x:c r="N211" s="2" t="str">
        <x:f>IF('신청 원장'!K1225&lt;&gt;"미종결 표시","종결 상태 확인",IF('신청 원장'!N1225="","일자 확인 필요",IF('신청 원장'!N1225&gt;365,"366일 이상",IF('신청 원장'!N1225&gt;90,"91~365일",IF('신청 원장'!N1225&gt;30,"31~90일","0~30일")))))</x:f>
        <x:v>366일 이상</x:v>
      </x:c>
      <x:c r="O211" s="2" t="str">
        <x:f>IF(OR('신청 원장'!L1225="",'신청 원장'!L1225="선택"),"담당 원문 확인","기재")</x:f>
        <x:v>기재</x:v>
      </x:c>
      <x:c r="P211" s="2" t="str">
        <x:f>IF('신청 원장'!A1225="","",'신청 원장'!A1225)</x:f>
        <x:v>018bc0783a902d9e31076969</x:v>
      </x:c>
    </x:row>
    <x:row r="212" ht="42" customHeight="1">
      <x:c r="A212" s="2" t="str">
        <x:f>IF('신청 원장'!B1226="","",'신청 원장'!B1226)</x:f>
        <x:v>사업 평가</x:v>
      </x:c>
      <x:c r="B212" s="7" t="str">
        <x:f>IF('신청 원장'!D1226="","",'신청 원장'!D1226)</x:f>
        <x:v>주식회사성우하이텍 외 4개사의 고효율 공기압축기 교체를 통한 온실가스 감축사업</x:v>
      </x:c>
      <x:c r="C212" s="2" t="str">
        <x:f>IF('신청 원장'!F1226="","",'신청 원장'!F1226)</x:f>
        <x:v>2023-11-17</x:v>
      </x:c>
      <x:c r="D212" s="2" t="str">
        <x:f>IF('신청 원장'!J1226="","",'신청 원장'!J1226)</x:f>
        <x:v>보완요청</x:v>
      </x:c>
      <x:c r="E212" s="2" t="str">
        <x:f>IF('신청 원장'!L1226="","",'신청 원장'!L1226)</x:f>
        <x:v>디번들링 평가 선 필요</x:v>
      </x:c>
      <x:c r="F212" s="2" t="n">
        <x:f>IF('신청 원장'!M1226="","",'신청 원장'!M1226)</x:f>
        <x:v>1</x:v>
      </x:c>
      <x:c r="G212" s="2" t="n">
        <x:f>IF('신청 원장'!N1226="","",'신청 원장'!N1226)</x:f>
        <x:v>1063</x:v>
      </x:c>
      <x:c r="H212" s="2" t="str">
        <x:f>IF('신청 원장'!AA1226="","",'신청 원장'!AA1226)</x:f>
        <x:v>내부 관찰 대상</x:v>
      </x:c>
      <x:c r="I212" s="2" t="str">
        <x:f>IF('신청 원장'!O1226="","",'신청 원장'!O1226)</x:f>
        <x:v>생략</x:v>
      </x:c>
      <x:c r="J212" s="2" t="str">
        <x:f>IF('신청 원장'!W1226="","",'신청 원장'!W1226)</x:f>
      </x:c>
      <x:c r="K212" s="2" t="str">
        <x:f>IF('신청 원장'!X1226="","",'신청 원장'!X1226)</x:f>
        <x:v>보완 회신 일정 확인</x:v>
      </x:c>
      <x:c r="L212" s="2" t="str">
        <x:f>IF('신청 원장'!R1226="","",'신청 원장'!R1226)</x:f>
        <x:v>국내평가</x:v>
      </x:c>
      <x:c r="M212" s="2" t="n">
        <x:f>IF('신청 원장'!S1226="","",'신청 원장'!S1226)</x:f>
        <x:v>1129</x:v>
      </x:c>
      <x:c r="N212" s="2" t="str">
        <x:f>IF('신청 원장'!K1226&lt;&gt;"미종결 표시","종결 상태 확인",IF('신청 원장'!N1226="","일자 확인 필요",IF('신청 원장'!N1226&gt;365,"366일 이상",IF('신청 원장'!N1226&gt;90,"91~365일",IF('신청 원장'!N1226&gt;30,"31~90일","0~30일")))))</x:f>
        <x:v>366일 이상</x:v>
      </x:c>
      <x:c r="O212" s="2" t="str">
        <x:f>IF(OR('신청 원장'!L1226="",'신청 원장'!L1226="선택"),"담당 원문 확인","기재")</x:f>
        <x:v>기재</x:v>
      </x:c>
      <x:c r="P212" s="2" t="str">
        <x:f>IF('신청 원장'!A1226="","",'신청 원장'!A1226)</x:f>
        <x:v>371f475a4da064b04a650e9d</x:v>
      </x:c>
    </x:row>
    <x:row r="213" ht="42" customHeight="1">
      <x:c r="A213" s="2" t="str">
        <x:f>IF('신청 원장'!B1227="","",'신청 원장'!B1227)</x:f>
        <x:v>사업 평가</x:v>
      </x:c>
      <x:c r="B213" s="7" t="str">
        <x:f>IF('신청 원장'!D1227="","",'신청 원장'!D1227)</x:f>
        <x:v>모전 외 4개 사의 고효율 공기압축기 교체를 통한 온실가스 감축사업</x:v>
      </x:c>
      <x:c r="C213" s="2" t="str">
        <x:f>IF('신청 원장'!F1227="","",'신청 원장'!F1227)</x:f>
        <x:v>2023-11-17</x:v>
      </x:c>
      <x:c r="D213" s="2" t="str">
        <x:f>IF('신청 원장'!J1227="","",'신청 원장'!J1227)</x:f>
        <x:v>보완요청</x:v>
      </x:c>
      <x:c r="E213" s="2" t="str">
        <x:f>IF('신청 원장'!L1227="","",'신청 원장'!L1227)</x:f>
        <x:v>디번들링 평가 선 필요</x:v>
      </x:c>
      <x:c r="F213" s="2" t="n">
        <x:f>IF('신청 원장'!M1227="","",'신청 원장'!M1227)</x:f>
        <x:v>1</x:v>
      </x:c>
      <x:c r="G213" s="2" t="n">
        <x:f>IF('신청 원장'!N1227="","",'신청 원장'!N1227)</x:f>
        <x:v>1063</x:v>
      </x:c>
      <x:c r="H213" s="2" t="str">
        <x:f>IF('신청 원장'!AA1227="","",'신청 원장'!AA1227)</x:f>
        <x:v>내부 관찰 대상</x:v>
      </x:c>
      <x:c r="I213" s="2" t="str">
        <x:f>IF('신청 원장'!O1227="","",'신청 원장'!O1227)</x:f>
        <x:v>생략</x:v>
      </x:c>
      <x:c r="J213" s="2" t="str">
        <x:f>IF('신청 원장'!W1227="","",'신청 원장'!W1227)</x:f>
      </x:c>
      <x:c r="K213" s="2" t="str">
        <x:f>IF('신청 원장'!X1227="","",'신청 원장'!X1227)</x:f>
        <x:v>보완 회신 일정 확인</x:v>
      </x:c>
      <x:c r="L213" s="2" t="str">
        <x:f>IF('신청 원장'!R1227="","",'신청 원장'!R1227)</x:f>
        <x:v>국내평가</x:v>
      </x:c>
      <x:c r="M213" s="2" t="n">
        <x:f>IF('신청 원장'!S1227="","",'신청 원장'!S1227)</x:f>
        <x:v>1130</x:v>
      </x:c>
      <x:c r="N213" s="2" t="str">
        <x:f>IF('신청 원장'!K1227&lt;&gt;"미종결 표시","종결 상태 확인",IF('신청 원장'!N1227="","일자 확인 필요",IF('신청 원장'!N1227&gt;365,"366일 이상",IF('신청 원장'!N1227&gt;90,"91~365일",IF('신청 원장'!N1227&gt;30,"31~90일","0~30일")))))</x:f>
        <x:v>366일 이상</x:v>
      </x:c>
      <x:c r="O213" s="2" t="str">
        <x:f>IF(OR('신청 원장'!L1227="",'신청 원장'!L1227="선택"),"담당 원문 확인","기재")</x:f>
        <x:v>기재</x:v>
      </x:c>
      <x:c r="P213" s="2" t="str">
        <x:f>IF('신청 원장'!A1227="","",'신청 원장'!A1227)</x:f>
        <x:v>e85719bd93922561013a9dfb</x:v>
      </x:c>
    </x:row>
    <x:row r="214" ht="42" customHeight="1">
      <x:c r="A214" s="2" t="str">
        <x:f>IF('신청 원장'!B1229="","",'신청 원장'!B1229)</x:f>
        <x:v>사업 평가</x:v>
      </x:c>
      <x:c r="B214" s="7" t="str">
        <x:f>IF('신청 원장'!D1229="","",'신청 원장'!D1229)</x:f>
        <x:v>삼풍하이텍 외 3개사의 고효율 공기압축기 교체를 통한 온실가스 감축사업</x:v>
      </x:c>
      <x:c r="C214" s="2" t="str">
        <x:f>IF('신청 원장'!F1229="","",'신청 원장'!F1229)</x:f>
        <x:v>2023-11-17</x:v>
      </x:c>
      <x:c r="D214" s="2" t="str">
        <x:f>IF('신청 원장'!J1229="","",'신청 원장'!J1229)</x:f>
        <x:v>보완요청</x:v>
      </x:c>
      <x:c r="E214" s="2" t="str">
        <x:f>IF('신청 원장'!L1229="","",'신청 원장'!L1229)</x:f>
        <x:v>디번들링 평가 선 필요</x:v>
      </x:c>
      <x:c r="F214" s="2" t="n">
        <x:f>IF('신청 원장'!M1229="","",'신청 원장'!M1229)</x:f>
        <x:v>1</x:v>
      </x:c>
      <x:c r="G214" s="2" t="n">
        <x:f>IF('신청 원장'!N1229="","",'신청 원장'!N1229)</x:f>
        <x:v>1063</x:v>
      </x:c>
      <x:c r="H214" s="2" t="str">
        <x:f>IF('신청 원장'!AA1229="","",'신청 원장'!AA1229)</x:f>
        <x:v>내부 관찰 대상</x:v>
      </x:c>
      <x:c r="I214" s="2" t="str">
        <x:f>IF('신청 원장'!O1229="","",'신청 원장'!O1229)</x:f>
        <x:v>생략</x:v>
      </x:c>
      <x:c r="J214" s="2" t="str">
        <x:f>IF('신청 원장'!W1229="","",'신청 원장'!W1229)</x:f>
      </x:c>
      <x:c r="K214" s="2" t="str">
        <x:f>IF('신청 원장'!X1229="","",'신청 원장'!X1229)</x:f>
        <x:v>보완 회신 일정 확인</x:v>
      </x:c>
      <x:c r="L214" s="2" t="str">
        <x:f>IF('신청 원장'!R1229="","",'신청 원장'!R1229)</x:f>
        <x:v>국내평가</x:v>
      </x:c>
      <x:c r="M214" s="2" t="n">
        <x:f>IF('신청 원장'!S1229="","",'신청 원장'!S1229)</x:f>
        <x:v>1132</x:v>
      </x:c>
      <x:c r="N214" s="2" t="str">
        <x:f>IF('신청 원장'!K1229&lt;&gt;"미종결 표시","종결 상태 확인",IF('신청 원장'!N1229="","일자 확인 필요",IF('신청 원장'!N1229&gt;365,"366일 이상",IF('신청 원장'!N1229&gt;90,"91~365일",IF('신청 원장'!N1229&gt;30,"31~90일","0~30일")))))</x:f>
        <x:v>366일 이상</x:v>
      </x:c>
      <x:c r="O214" s="2" t="str">
        <x:f>IF(OR('신청 원장'!L1229="",'신청 원장'!L1229="선택"),"담당 원문 확인","기재")</x:f>
        <x:v>기재</x:v>
      </x:c>
      <x:c r="P214" s="2" t="str">
        <x:f>IF('신청 원장'!A1229="","",'신청 원장'!A1229)</x:f>
        <x:v>cd74537c0f20a63371c9df85</x:v>
      </x:c>
    </x:row>
    <x:row r="215" ht="42" customHeight="1">
      <x:c r="A215" s="2" t="str">
        <x:f>IF('신청 원장'!B1231="","",'신청 원장'!B1231)</x:f>
        <x:v>사업 평가</x:v>
      </x:c>
      <x:c r="B215" s="7" t="str">
        <x:f>IF('신청 원장'!D1231="","",'신청 원장'!D1231)</x:f>
        <x:v>산단 친환경설비 인프라지원을 통한 고효율설비 교체 사업</x:v>
      </x:c>
      <x:c r="C215" s="2" t="str">
        <x:f>IF('신청 원장'!F1231="","",'신청 원장'!F1231)</x:f>
        <x:v>2024-01-19</x:v>
      </x:c>
      <x:c r="D215" s="2" t="str">
        <x:f>IF('신청 원장'!J1231="","",'신청 원장'!J1231)</x:f>
        <x:v>보완요청</x:v>
      </x:c>
      <x:c r="E215" s="2" t="str">
        <x:f>IF('신청 원장'!L1231="","",'신청 원장'!L1231)</x:f>
      </x:c>
      <x:c r="F215" s="2" t="n">
        <x:f>IF('신청 원장'!M1231="","",'신청 원장'!M1231)</x:f>
        <x:v>1</x:v>
      </x:c>
      <x:c r="G215" s="2" t="n">
        <x:f>IF('신청 원장'!N1231="","",'신청 원장'!N1231)</x:f>
        <x:v>1000</x:v>
      </x:c>
      <x:c r="H215" s="2" t="str">
        <x:f>IF('신청 원장'!AA1231="","",'신청 원장'!AA1231)</x:f>
        <x:v>내부 관찰 대상</x:v>
      </x:c>
      <x:c r="I215" s="2" t="str">
        <x:f>IF('신청 원장'!O1231="","",'신청 원장'!O1231)</x:f>
        <x:v>생략</x:v>
      </x:c>
      <x:c r="J215" s="2" t="str">
        <x:f>IF('신청 원장'!W1231="","",'신청 원장'!W1231)</x:f>
        <x:v>담당기관 확인</x:v>
      </x:c>
      <x:c r="K215" s="2" t="str">
        <x:f>IF('신청 원장'!X1231="","",'신청 원장'!X1231)</x:f>
        <x:v>원본·배정 기록 확인</x:v>
      </x:c>
      <x:c r="L215" s="2" t="str">
        <x:f>IF('신청 원장'!R1231="","",'신청 원장'!R1231)</x:f>
        <x:v>국내평가</x:v>
      </x:c>
      <x:c r="M215" s="2" t="n">
        <x:f>IF('신청 원장'!S1231="","",'신청 원장'!S1231)</x:f>
        <x:v>1134</x:v>
      </x:c>
      <x:c r="N215" s="2" t="str">
        <x:f>IF('신청 원장'!K1231&lt;&gt;"미종결 표시","종결 상태 확인",IF('신청 원장'!N1231="","일자 확인 필요",IF('신청 원장'!N1231&gt;365,"366일 이상",IF('신청 원장'!N1231&gt;90,"91~365일",IF('신청 원장'!N1231&gt;30,"31~90일","0~30일")))))</x:f>
        <x:v>366일 이상</x:v>
      </x:c>
      <x:c r="O215" s="2" t="str">
        <x:f>IF(OR('신청 원장'!L1231="",'신청 원장'!L1231="선택"),"담당 원문 확인","기재")</x:f>
        <x:v>담당 원문 확인</x:v>
      </x:c>
      <x:c r="P215" s="2" t="str">
        <x:f>IF('신청 원장'!A1231="","",'신청 원장'!A1231)</x:f>
        <x:v>f4ad302c1b33de75651d328a</x:v>
      </x:c>
    </x:row>
    <x:row r="216" ht="42" customHeight="1">
      <x:c r="A216" s="2" t="str">
        <x:f>IF('신청 원장'!B1232="","",'신청 원장'!B1232)</x:f>
        <x:v>사업 평가</x:v>
      </x:c>
      <x:c r="B216" s="7" t="str">
        <x:f>IF('신청 원장'!D1232="","",'신청 원장'!D1232)</x:f>
        <x:v>산단 친환경설비 인프라지원을 통한 고효율설비 교체 사업</x:v>
      </x:c>
      <x:c r="C216" s="2" t="str">
        <x:f>IF('신청 원장'!F1232="","",'신청 원장'!F1232)</x:f>
        <x:v>2024-01-23</x:v>
      </x:c>
      <x:c r="D216" s="2" t="str">
        <x:f>IF('신청 원장'!J1232="","",'신청 원장'!J1232)</x:f>
        <x:v>보완요청</x:v>
      </x:c>
      <x:c r="E216" s="2" t="str">
        <x:f>IF('신청 원장'!L1232="","",'신청 원장'!L1232)</x:f>
      </x:c>
      <x:c r="F216" s="2" t="n">
        <x:f>IF('신청 원장'!M1232="","",'신청 원장'!M1232)</x:f>
        <x:v>1</x:v>
      </x:c>
      <x:c r="G216" s="2" t="n">
        <x:f>IF('신청 원장'!N1232="","",'신청 원장'!N1232)</x:f>
        <x:v>996</x:v>
      </x:c>
      <x:c r="H216" s="2" t="str">
        <x:f>IF('신청 원장'!AA1232="","",'신청 원장'!AA1232)</x:f>
        <x:v>내부 관찰 대상</x:v>
      </x:c>
      <x:c r="I216" s="2" t="str">
        <x:f>IF('신청 원장'!O1232="","",'신청 원장'!O1232)</x:f>
        <x:v>생략</x:v>
      </x:c>
      <x:c r="J216" s="2" t="str">
        <x:f>IF('신청 원장'!W1232="","",'신청 원장'!W1232)</x:f>
        <x:v>담당기관 확인</x:v>
      </x:c>
      <x:c r="K216" s="2" t="str">
        <x:f>IF('신청 원장'!X1232="","",'신청 원장'!X1232)</x:f>
        <x:v>원본·배정 기록 확인</x:v>
      </x:c>
      <x:c r="L216" s="2" t="str">
        <x:f>IF('신청 원장'!R1232="","",'신청 원장'!R1232)</x:f>
        <x:v>국내평가</x:v>
      </x:c>
      <x:c r="M216" s="2" t="n">
        <x:f>IF('신청 원장'!S1232="","",'신청 원장'!S1232)</x:f>
        <x:v>1135</x:v>
      </x:c>
      <x:c r="N216" s="2" t="str">
        <x:f>IF('신청 원장'!K1232&lt;&gt;"미종결 표시","종결 상태 확인",IF('신청 원장'!N1232="","일자 확인 필요",IF('신청 원장'!N1232&gt;365,"366일 이상",IF('신청 원장'!N1232&gt;90,"91~365일",IF('신청 원장'!N1232&gt;30,"31~90일","0~30일")))))</x:f>
        <x:v>366일 이상</x:v>
      </x:c>
      <x:c r="O216" s="2" t="str">
        <x:f>IF(OR('신청 원장'!L1232="",'신청 원장'!L1232="선택"),"담당 원문 확인","기재")</x:f>
        <x:v>담당 원문 확인</x:v>
      </x:c>
      <x:c r="P216" s="2" t="str">
        <x:f>IF('신청 원장'!A1232="","",'신청 원장'!A1232)</x:f>
        <x:v>824445672074a55dd1cb09c8</x:v>
      </x:c>
    </x:row>
    <x:row r="217" ht="42" customHeight="1">
      <x:c r="A217" s="2" t="str">
        <x:f>IF('신청 원장'!B1233="","",'신청 원장'!B1233)</x:f>
        <x:v>사업 평가</x:v>
      </x:c>
      <x:c r="B217" s="7" t="str">
        <x:f>IF('신청 원장'!D1233="","",'신청 원장'!D1233)</x:f>
        <x:v>산단 친환경설비 인프라지원을 통한 고효율설비 교체 사업</x:v>
      </x:c>
      <x:c r="C217" s="2" t="str">
        <x:f>IF('신청 원장'!F1233="","",'신청 원장'!F1233)</x:f>
        <x:v>2024-01-23</x:v>
      </x:c>
      <x:c r="D217" s="2" t="str">
        <x:f>IF('신청 원장'!J1233="","",'신청 원장'!J1233)</x:f>
        <x:v>보완요청</x:v>
      </x:c>
      <x:c r="E217" s="2" t="str">
        <x:f>IF('신청 원장'!L1233="","",'신청 원장'!L1233)</x:f>
      </x:c>
      <x:c r="F217" s="2" t="n">
        <x:f>IF('신청 원장'!M1233="","",'신청 원장'!M1233)</x:f>
        <x:v>1</x:v>
      </x:c>
      <x:c r="G217" s="2" t="n">
        <x:f>IF('신청 원장'!N1233="","",'신청 원장'!N1233)</x:f>
        <x:v>996</x:v>
      </x:c>
      <x:c r="H217" s="2" t="str">
        <x:f>IF('신청 원장'!AA1233="","",'신청 원장'!AA1233)</x:f>
        <x:v>내부 관찰 대상</x:v>
      </x:c>
      <x:c r="I217" s="2" t="str">
        <x:f>IF('신청 원장'!O1233="","",'신청 원장'!O1233)</x:f>
        <x:v>생략</x:v>
      </x:c>
      <x:c r="J217" s="2" t="str">
        <x:f>IF('신청 원장'!W1233="","",'신청 원장'!W1233)</x:f>
        <x:v>담당기관 확인</x:v>
      </x:c>
      <x:c r="K217" s="2" t="str">
        <x:f>IF('신청 원장'!X1233="","",'신청 원장'!X1233)</x:f>
        <x:v>원본·배정 기록 확인</x:v>
      </x:c>
      <x:c r="L217" s="2" t="str">
        <x:f>IF('신청 원장'!R1233="","",'신청 원장'!R1233)</x:f>
        <x:v>국내평가</x:v>
      </x:c>
      <x:c r="M217" s="2" t="n">
        <x:f>IF('신청 원장'!S1233="","",'신청 원장'!S1233)</x:f>
        <x:v>1136</x:v>
      </x:c>
      <x:c r="N217" s="2" t="str">
        <x:f>IF('신청 원장'!K1233&lt;&gt;"미종결 표시","종결 상태 확인",IF('신청 원장'!N1233="","일자 확인 필요",IF('신청 원장'!N1233&gt;365,"366일 이상",IF('신청 원장'!N1233&gt;90,"91~365일",IF('신청 원장'!N1233&gt;30,"31~90일","0~30일")))))</x:f>
        <x:v>366일 이상</x:v>
      </x:c>
      <x:c r="O217" s="2" t="str">
        <x:f>IF(OR('신청 원장'!L1233="",'신청 원장'!L1233="선택"),"담당 원문 확인","기재")</x:f>
        <x:v>담당 원문 확인</x:v>
      </x:c>
      <x:c r="P217" s="2" t="str">
        <x:f>IF('신청 원장'!A1233="","",'신청 원장'!A1233)</x:f>
        <x:v>32a29a2bdbf8b6e6b443fd38</x:v>
      </x:c>
    </x:row>
    <x:row r="218" ht="42" customHeight="1">
      <x:c r="A218" s="2" t="str">
        <x:f>IF('신청 원장'!B1234="","",'신청 원장'!B1234)</x:f>
        <x:v>사업 평가</x:v>
      </x:c>
      <x:c r="B218" s="7" t="str">
        <x:f>IF('신청 원장'!D1234="","",'신청 원장'!D1234)</x:f>
        <x:v>산단 친환경설비 인프라지원을 통한 고효율설비 교체 사업</x:v>
      </x:c>
      <x:c r="C218" s="2" t="str">
        <x:f>IF('신청 원장'!F1234="","",'신청 원장'!F1234)</x:f>
        <x:v>2024-01-23</x:v>
      </x:c>
      <x:c r="D218" s="2" t="str">
        <x:f>IF('신청 원장'!J1234="","",'신청 원장'!J1234)</x:f>
        <x:v>보완요청</x:v>
      </x:c>
      <x:c r="E218" s="2" t="str">
        <x:f>IF('신청 원장'!L1234="","",'신청 원장'!L1234)</x:f>
      </x:c>
      <x:c r="F218" s="2" t="n">
        <x:f>IF('신청 원장'!M1234="","",'신청 원장'!M1234)</x:f>
        <x:v>1</x:v>
      </x:c>
      <x:c r="G218" s="2" t="n">
        <x:f>IF('신청 원장'!N1234="","",'신청 원장'!N1234)</x:f>
        <x:v>996</x:v>
      </x:c>
      <x:c r="H218" s="2" t="str">
        <x:f>IF('신청 원장'!AA1234="","",'신청 원장'!AA1234)</x:f>
        <x:v>내부 관찰 대상</x:v>
      </x:c>
      <x:c r="I218" s="2" t="str">
        <x:f>IF('신청 원장'!O1234="","",'신청 원장'!O1234)</x:f>
        <x:v>생략</x:v>
      </x:c>
      <x:c r="J218" s="2" t="str">
        <x:f>IF('신청 원장'!W1234="","",'신청 원장'!W1234)</x:f>
        <x:v>담당기관 확인</x:v>
      </x:c>
      <x:c r="K218" s="2" t="str">
        <x:f>IF('신청 원장'!X1234="","",'신청 원장'!X1234)</x:f>
        <x:v>원본·배정 기록 확인</x:v>
      </x:c>
      <x:c r="L218" s="2" t="str">
        <x:f>IF('신청 원장'!R1234="","",'신청 원장'!R1234)</x:f>
        <x:v>국내평가</x:v>
      </x:c>
      <x:c r="M218" s="2" t="n">
        <x:f>IF('신청 원장'!S1234="","",'신청 원장'!S1234)</x:f>
        <x:v>1137</x:v>
      </x:c>
      <x:c r="N218" s="2" t="str">
        <x:f>IF('신청 원장'!K1234&lt;&gt;"미종결 표시","종결 상태 확인",IF('신청 원장'!N1234="","일자 확인 필요",IF('신청 원장'!N1234&gt;365,"366일 이상",IF('신청 원장'!N1234&gt;90,"91~365일",IF('신청 원장'!N1234&gt;30,"31~90일","0~30일")))))</x:f>
        <x:v>366일 이상</x:v>
      </x:c>
      <x:c r="O218" s="2" t="str">
        <x:f>IF(OR('신청 원장'!L1234="",'신청 원장'!L1234="선택"),"담당 원문 확인","기재")</x:f>
        <x:v>담당 원문 확인</x:v>
      </x:c>
      <x:c r="P218" s="2" t="str">
        <x:f>IF('신청 원장'!A1234="","",'신청 원장'!A1234)</x:f>
        <x:v>95a254a831cd7555374bfdbd</x:v>
      </x:c>
    </x:row>
    <x:row r="219" ht="42" customHeight="1">
      <x:c r="A219" s="2" t="str">
        <x:f>IF('신청 원장'!B1235="","",'신청 원장'!B1235)</x:f>
        <x:v>사업 평가</x:v>
      </x:c>
      <x:c r="B219" s="7" t="str">
        <x:f>IF('신청 원장'!D1235="","",'신청 원장'!D1235)</x:f>
        <x:v>산단 친환경설비 인프라지원을 통한 고효율설비 교체 사업</x:v>
      </x:c>
      <x:c r="C219" s="2" t="str">
        <x:f>IF('신청 원장'!F1235="","",'신청 원장'!F1235)</x:f>
        <x:v>2024-01-24</x:v>
      </x:c>
      <x:c r="D219" s="2" t="str">
        <x:f>IF('신청 원장'!J1235="","",'신청 원장'!J1235)</x:f>
        <x:v>보완요청</x:v>
      </x:c>
      <x:c r="E219" s="2" t="str">
        <x:f>IF('신청 원장'!L1235="","",'신청 원장'!L1235)</x:f>
      </x:c>
      <x:c r="F219" s="2" t="n">
        <x:f>IF('신청 원장'!M1235="","",'신청 원장'!M1235)</x:f>
        <x:v>1</x:v>
      </x:c>
      <x:c r="G219" s="2" t="n">
        <x:f>IF('신청 원장'!N1235="","",'신청 원장'!N1235)</x:f>
        <x:v>995</x:v>
      </x:c>
      <x:c r="H219" s="2" t="str">
        <x:f>IF('신청 원장'!AA1235="","",'신청 원장'!AA1235)</x:f>
        <x:v>내부 관찰 대상</x:v>
      </x:c>
      <x:c r="I219" s="2" t="str">
        <x:f>IF('신청 원장'!O1235="","",'신청 원장'!O1235)</x:f>
        <x:v>생략</x:v>
      </x:c>
      <x:c r="J219" s="2" t="str">
        <x:f>IF('신청 원장'!W1235="","",'신청 원장'!W1235)</x:f>
        <x:v>담당기관 확인</x:v>
      </x:c>
      <x:c r="K219" s="2" t="str">
        <x:f>IF('신청 원장'!X1235="","",'신청 원장'!X1235)</x:f>
        <x:v>원본·배정 기록 확인</x:v>
      </x:c>
      <x:c r="L219" s="2" t="str">
        <x:f>IF('신청 원장'!R1235="","",'신청 원장'!R1235)</x:f>
        <x:v>국내평가</x:v>
      </x:c>
      <x:c r="M219" s="2" t="n">
        <x:f>IF('신청 원장'!S1235="","",'신청 원장'!S1235)</x:f>
        <x:v>1138</x:v>
      </x:c>
      <x:c r="N219" s="2" t="str">
        <x:f>IF('신청 원장'!K1235&lt;&gt;"미종결 표시","종결 상태 확인",IF('신청 원장'!N1235="","일자 확인 필요",IF('신청 원장'!N1235&gt;365,"366일 이상",IF('신청 원장'!N1235&gt;90,"91~365일",IF('신청 원장'!N1235&gt;30,"31~90일","0~30일")))))</x:f>
        <x:v>366일 이상</x:v>
      </x:c>
      <x:c r="O219" s="2" t="str">
        <x:f>IF(OR('신청 원장'!L1235="",'신청 원장'!L1235="선택"),"담당 원문 확인","기재")</x:f>
        <x:v>담당 원문 확인</x:v>
      </x:c>
      <x:c r="P219" s="2" t="str">
        <x:f>IF('신청 원장'!A1235="","",'신청 원장'!A1235)</x:f>
        <x:v>0faae0fea54f2f6e35f2c303</x:v>
      </x:c>
    </x:row>
    <x:row r="220" ht="42" customHeight="1">
      <x:c r="A220" s="2" t="str">
        <x:f>IF('신청 원장'!B1236="","",'신청 원장'!B1236)</x:f>
        <x:v>사업 평가</x:v>
      </x:c>
      <x:c r="B220" s="7" t="str">
        <x:f>IF('신청 원장'!D1236="","",'신청 원장'!D1236)</x:f>
        <x:v>공용이동식 수분감량화시설을 활용한 온실가스 감축사업(연료전환)</x:v>
      </x:c>
      <x:c r="C220" s="2" t="str">
        <x:f>IF('신청 원장'!F1236="","",'신청 원장'!F1236)</x:f>
        <x:v>2024-01-26</x:v>
      </x:c>
      <x:c r="D220" s="2" t="str">
        <x:f>IF('신청 원장'!J1236="","",'신청 원장'!J1236)</x:f>
        <x:v>보완요청</x:v>
      </x:c>
      <x:c r="E220" s="2" t="str">
        <x:f>IF('신청 원장'!L1236="","",'신청 원장'!L1236)</x:f>
      </x:c>
      <x:c r="F220" s="2" t="n">
        <x:f>IF('신청 원장'!M1236="","",'신청 원장'!M1236)</x:f>
        <x:v>1</x:v>
      </x:c>
      <x:c r="G220" s="2" t="n">
        <x:f>IF('신청 원장'!N1236="","",'신청 원장'!N1236)</x:f>
        <x:v>993</x:v>
      </x:c>
      <x:c r="H220" s="2" t="str">
        <x:f>IF('신청 원장'!AA1236="","",'신청 원장'!AA1236)</x:f>
        <x:v>내부 관찰 대상</x:v>
      </x:c>
      <x:c r="I220" s="2" t="str">
        <x:f>IF('신청 원장'!O1236="","",'신청 원장'!O1236)</x:f>
        <x:v>생략</x:v>
      </x:c>
      <x:c r="J220" s="2" t="str">
        <x:f>IF('신청 원장'!W1236="","",'신청 원장'!W1236)</x:f>
        <x:v>담당기관 확인</x:v>
      </x:c>
      <x:c r="K220" s="2" t="str">
        <x:f>IF('신청 원장'!X1236="","",'신청 원장'!X1236)</x:f>
        <x:v>원본·배정 기록 확인</x:v>
      </x:c>
      <x:c r="L220" s="2" t="str">
        <x:f>IF('신청 원장'!R1236="","",'신청 원장'!R1236)</x:f>
        <x:v>국내평가</x:v>
      </x:c>
      <x:c r="M220" s="2" t="n">
        <x:f>IF('신청 원장'!S1236="","",'신청 원장'!S1236)</x:f>
        <x:v>1139</x:v>
      </x:c>
      <x:c r="N220" s="2" t="str">
        <x:f>IF('신청 원장'!K1236&lt;&gt;"미종결 표시","종결 상태 확인",IF('신청 원장'!N1236="","일자 확인 필요",IF('신청 원장'!N1236&gt;365,"366일 이상",IF('신청 원장'!N1236&gt;90,"91~365일",IF('신청 원장'!N1236&gt;30,"31~90일","0~30일")))))</x:f>
        <x:v>366일 이상</x:v>
      </x:c>
      <x:c r="O220" s="2" t="str">
        <x:f>IF(OR('신청 원장'!L1236="",'신청 원장'!L1236="선택"),"담당 원문 확인","기재")</x:f>
        <x:v>담당 원문 확인</x:v>
      </x:c>
      <x:c r="P220" s="2" t="str">
        <x:f>IF('신청 원장'!A1236="","",'신청 원장'!A1236)</x:f>
        <x:v>4b1f7ea5520cee76b171cfba</x:v>
      </x:c>
    </x:row>
    <x:row r="221" ht="42" customHeight="1">
      <x:c r="A221" s="2" t="str">
        <x:f>IF('신청 원장'!B1237="","",'신청 원장'!B1237)</x:f>
        <x:v>사업 평가</x:v>
      </x:c>
      <x:c r="B221" s="7" t="str">
        <x:f>IF('신청 원장'!D1237="","",'신청 원장'!D1237)</x:f>
        <x:v>산단 친환경설비 인프라지원을 통한 고효율설비 교체사업</x:v>
      </x:c>
      <x:c r="C221" s="2" t="str">
        <x:f>IF('신청 원장'!F1237="","",'신청 원장'!F1237)</x:f>
        <x:v>2024-01-26</x:v>
      </x:c>
      <x:c r="D221" s="2" t="str">
        <x:f>IF('신청 원장'!J1237="","",'신청 원장'!J1237)</x:f>
        <x:v>보완요청</x:v>
      </x:c>
      <x:c r="E221" s="2" t="str">
        <x:f>IF('신청 원장'!L1237="","",'신청 원장'!L1237)</x:f>
      </x:c>
      <x:c r="F221" s="2" t="n">
        <x:f>IF('신청 원장'!M1237="","",'신청 원장'!M1237)</x:f>
        <x:v>1</x:v>
      </x:c>
      <x:c r="G221" s="2" t="n">
        <x:f>IF('신청 원장'!N1237="","",'신청 원장'!N1237)</x:f>
        <x:v>993</x:v>
      </x:c>
      <x:c r="H221" s="2" t="str">
        <x:f>IF('신청 원장'!AA1237="","",'신청 원장'!AA1237)</x:f>
        <x:v>내부 관찰 대상</x:v>
      </x:c>
      <x:c r="I221" s="2" t="str">
        <x:f>IF('신청 원장'!O1237="","",'신청 원장'!O1237)</x:f>
        <x:v>생략</x:v>
      </x:c>
      <x:c r="J221" s="2" t="str">
        <x:f>IF('신청 원장'!W1237="","",'신청 원장'!W1237)</x:f>
        <x:v>담당기관 확인</x:v>
      </x:c>
      <x:c r="K221" s="2" t="str">
        <x:f>IF('신청 원장'!X1237="","",'신청 원장'!X1237)</x:f>
        <x:v>원본·배정 기록 확인</x:v>
      </x:c>
      <x:c r="L221" s="2" t="str">
        <x:f>IF('신청 원장'!R1237="","",'신청 원장'!R1237)</x:f>
        <x:v>국내평가</x:v>
      </x:c>
      <x:c r="M221" s="2" t="n">
        <x:f>IF('신청 원장'!S1237="","",'신청 원장'!S1237)</x:f>
        <x:v>1140</x:v>
      </x:c>
      <x:c r="N221" s="2" t="str">
        <x:f>IF('신청 원장'!K1237&lt;&gt;"미종결 표시","종결 상태 확인",IF('신청 원장'!N1237="","일자 확인 필요",IF('신청 원장'!N1237&gt;365,"366일 이상",IF('신청 원장'!N1237&gt;90,"91~365일",IF('신청 원장'!N1237&gt;30,"31~90일","0~30일")))))</x:f>
        <x:v>366일 이상</x:v>
      </x:c>
      <x:c r="O221" s="2" t="str">
        <x:f>IF(OR('신청 원장'!L1237="",'신청 원장'!L1237="선택"),"담당 원문 확인","기재")</x:f>
        <x:v>담당 원문 확인</x:v>
      </x:c>
      <x:c r="P221" s="2" t="str">
        <x:f>IF('신청 원장'!A1237="","",'신청 원장'!A1237)</x:f>
        <x:v>5e5c481d751eb759c20a0913</x:v>
      </x:c>
    </x:row>
    <x:row r="222" ht="42" customHeight="1">
      <x:c r="A222" s="2" t="str">
        <x:f>IF('신청 원장'!B1238="","",'신청 원장'!B1238)</x:f>
        <x:v>사업 평가</x:v>
      </x:c>
      <x:c r="B222" s="7" t="str">
        <x:f>IF('신청 원장'!D1238="","",'신청 원장'!D1238)</x:f>
        <x:v>신성이앤에스 영동군 태양광 발전시설의 리파워링 사업</x:v>
      </x:c>
      <x:c r="C222" s="2" t="str">
        <x:f>IF('신청 원장'!F1238="","",'신청 원장'!F1238)</x:f>
        <x:v>2024-01-29</x:v>
      </x:c>
      <x:c r="D222" s="2" t="str">
        <x:f>IF('신청 원장'!J1238="","",'신청 원장'!J1238)</x:f>
        <x:v>보완요청</x:v>
      </x:c>
      <x:c r="E222" s="2" t="str">
        <x:f>IF('신청 원장'!L1238="","",'신청 원장'!L1238)</x:f>
      </x:c>
      <x:c r="F222" s="2" t="n">
        <x:f>IF('신청 원장'!M1238="","",'신청 원장'!M1238)</x:f>
        <x:v>2</x:v>
      </x:c>
      <x:c r="G222" s="2" t="n">
        <x:f>IF('신청 원장'!N1238="","",'신청 원장'!N1238)</x:f>
        <x:v>990</x:v>
      </x:c>
      <x:c r="H222" s="2" t="str">
        <x:f>IF('신청 원장'!AA1238="","",'신청 원장'!AA1238)</x:f>
        <x:v>내부 관찰 대상</x:v>
      </x:c>
      <x:c r="I222" s="2" t="str">
        <x:f>IF('신청 원장'!O1238="","",'신청 원장'!O1238)</x:f>
        <x:v>생략</x:v>
      </x:c>
      <x:c r="J222" s="2" t="str">
        <x:f>IF('신청 원장'!W1238="","",'신청 원장'!W1238)</x:f>
        <x:v>담당기관 확인</x:v>
      </x:c>
      <x:c r="K222" s="2" t="str">
        <x:f>IF('신청 원장'!X1238="","",'신청 원장'!X1238)</x:f>
        <x:v>원본·배정 기록 확인</x:v>
      </x:c>
      <x:c r="L222" s="2" t="str">
        <x:f>IF('신청 원장'!R1238="","",'신청 원장'!R1238)</x:f>
        <x:v>국내평가</x:v>
      </x:c>
      <x:c r="M222" s="2" t="n">
        <x:f>IF('신청 원장'!S1238="","",'신청 원장'!S1238)</x:f>
        <x:v>1141</x:v>
      </x:c>
      <x:c r="N222" s="2" t="str">
        <x:f>IF('신청 원장'!K1238&lt;&gt;"미종결 표시","종결 상태 확인",IF('신청 원장'!N1238="","일자 확인 필요",IF('신청 원장'!N1238&gt;365,"366일 이상",IF('신청 원장'!N1238&gt;90,"91~365일",IF('신청 원장'!N1238&gt;30,"31~90일","0~30일")))))</x:f>
        <x:v>366일 이상</x:v>
      </x:c>
      <x:c r="O222" s="2" t="str">
        <x:f>IF(OR('신청 원장'!L1238="",'신청 원장'!L1238="선택"),"담당 원문 확인","기재")</x:f>
        <x:v>담당 원문 확인</x:v>
      </x:c>
      <x:c r="P222" s="2" t="str">
        <x:f>IF('신청 원장'!A1238="","",'신청 원장'!A1238)</x:f>
        <x:v>b208163c3d84e065219c4d39</x:v>
      </x:c>
    </x:row>
    <x:row r="223" ht="42" customHeight="1">
      <x:c r="A223" s="2" t="str">
        <x:f>IF('신청 원장'!B1239="","",'신청 원장'!B1239)</x:f>
        <x:v>사업 평가</x:v>
      </x:c>
      <x:c r="B223" s="7" t="str">
        <x:f>IF('신청 원장'!D1239="","",'신청 원장'!D1239)</x:f>
        <x:v>신성이앤에스 영덕군 태양광 발전시설의 리파워링 사업</x:v>
      </x:c>
      <x:c r="C223" s="2" t="str">
        <x:f>IF('신청 원장'!F1239="","",'신청 원장'!F1239)</x:f>
        <x:v>2024-01-29</x:v>
      </x:c>
      <x:c r="D223" s="2" t="str">
        <x:f>IF('신청 원장'!J1239="","",'신청 원장'!J1239)</x:f>
        <x:v>보완요청</x:v>
      </x:c>
      <x:c r="E223" s="2" t="str">
        <x:f>IF('신청 원장'!L1239="","",'신청 원장'!L1239)</x:f>
      </x:c>
      <x:c r="F223" s="2" t="n">
        <x:f>IF('신청 원장'!M1239="","",'신청 원장'!M1239)</x:f>
        <x:v>1</x:v>
      </x:c>
      <x:c r="G223" s="2" t="n">
        <x:f>IF('신청 원장'!N1239="","",'신청 원장'!N1239)</x:f>
        <x:v>990</x:v>
      </x:c>
      <x:c r="H223" s="2" t="str">
        <x:f>IF('신청 원장'!AA1239="","",'신청 원장'!AA1239)</x:f>
        <x:v>내부 관찰 대상</x:v>
      </x:c>
      <x:c r="I223" s="2" t="str">
        <x:f>IF('신청 원장'!O1239="","",'신청 원장'!O1239)</x:f>
        <x:v>생략</x:v>
      </x:c>
      <x:c r="J223" s="2" t="str">
        <x:f>IF('신청 원장'!W1239="","",'신청 원장'!W1239)</x:f>
        <x:v>담당기관 확인</x:v>
      </x:c>
      <x:c r="K223" s="2" t="str">
        <x:f>IF('신청 원장'!X1239="","",'신청 원장'!X1239)</x:f>
        <x:v>원본·배정 기록 확인</x:v>
      </x:c>
      <x:c r="L223" s="2" t="str">
        <x:f>IF('신청 원장'!R1239="","",'신청 원장'!R1239)</x:f>
        <x:v>국내평가</x:v>
      </x:c>
      <x:c r="M223" s="2" t="n">
        <x:f>IF('신청 원장'!S1239="","",'신청 원장'!S1239)</x:f>
        <x:v>1142</x:v>
      </x:c>
      <x:c r="N223" s="2" t="str">
        <x:f>IF('신청 원장'!K1239&lt;&gt;"미종결 표시","종결 상태 확인",IF('신청 원장'!N1239="","일자 확인 필요",IF('신청 원장'!N1239&gt;365,"366일 이상",IF('신청 원장'!N1239&gt;90,"91~365일",IF('신청 원장'!N1239&gt;30,"31~90일","0~30일")))))</x:f>
        <x:v>366일 이상</x:v>
      </x:c>
      <x:c r="O223" s="2" t="str">
        <x:f>IF(OR('신청 원장'!L1239="",'신청 원장'!L1239="선택"),"담당 원문 확인","기재")</x:f>
        <x:v>담당 원문 확인</x:v>
      </x:c>
      <x:c r="P223" s="2" t="str">
        <x:f>IF('신청 원장'!A1239="","",'신청 원장'!A1239)</x:f>
        <x:v>fe97465c0b1c03542afaaf4d</x:v>
      </x:c>
    </x:row>
    <x:row r="224" ht="42" customHeight="1">
      <x:c r="A224" s="2" t="str">
        <x:f>IF('신청 원장'!B1240="","",'신청 원장'!B1240)</x:f>
        <x:v>사업 평가</x:v>
      </x:c>
      <x:c r="B224" s="7" t="str">
        <x:f>IF('신청 원장'!D1240="","",'신청 원장'!D1240)</x:f>
        <x:v>H-그린세이빙(2차년도) - 사회복지시설 태양광설비 설치를 통한 온실가스 묶음감축사업</x:v>
      </x:c>
      <x:c r="C224" s="2" t="str">
        <x:f>IF('신청 원장'!F1240="","",'신청 원장'!F1240)</x:f>
        <x:v>2024-02-20</x:v>
      </x:c>
      <x:c r="D224" s="2" t="str">
        <x:f>IF('신청 원장'!J1240="","",'신청 원장'!J1240)</x:f>
        <x:v>보완요청</x:v>
      </x:c>
      <x:c r="E224" s="2" t="str">
        <x:f>IF('신청 원장'!L1240="","",'신청 원장'!L1240)</x:f>
      </x:c>
      <x:c r="F224" s="2" t="n">
        <x:f>IF('신청 원장'!M1240="","",'신청 원장'!M1240)</x:f>
        <x:v>3</x:v>
      </x:c>
      <x:c r="G224" s="2" t="n">
        <x:f>IF('신청 원장'!N1240="","",'신청 원장'!N1240)</x:f>
        <x:v>968</x:v>
      </x:c>
      <x:c r="H224" s="2" t="str">
        <x:f>IF('신청 원장'!AA1240="","",'신청 원장'!AA1240)</x:f>
        <x:v>내부 관찰 대상</x:v>
      </x:c>
      <x:c r="I224" s="2" t="str">
        <x:f>IF('신청 원장'!O1240="","",'신청 원장'!O1240)</x:f>
        <x:v>생략</x:v>
      </x:c>
      <x:c r="J224" s="2" t="str">
        <x:f>IF('신청 원장'!W1240="","",'신청 원장'!W1240)</x:f>
        <x:v>담당기관 확인</x:v>
      </x:c>
      <x:c r="K224" s="2" t="str">
        <x:f>IF('신청 원장'!X1240="","",'신청 원장'!X1240)</x:f>
        <x:v>원본·배정 기록 확인</x:v>
      </x:c>
      <x:c r="L224" s="2" t="str">
        <x:f>IF('신청 원장'!R1240="","",'신청 원장'!R1240)</x:f>
        <x:v>국내평가</x:v>
      </x:c>
      <x:c r="M224" s="2" t="n">
        <x:f>IF('신청 원장'!S1240="","",'신청 원장'!S1240)</x:f>
        <x:v>1143</x:v>
      </x:c>
      <x:c r="N224" s="2" t="str">
        <x:f>IF('신청 원장'!K1240&lt;&gt;"미종결 표시","종결 상태 확인",IF('신청 원장'!N1240="","일자 확인 필요",IF('신청 원장'!N1240&gt;365,"366일 이상",IF('신청 원장'!N1240&gt;90,"91~365일",IF('신청 원장'!N1240&gt;30,"31~90일","0~30일")))))</x:f>
        <x:v>366일 이상</x:v>
      </x:c>
      <x:c r="O224" s="2" t="str">
        <x:f>IF(OR('신청 원장'!L1240="",'신청 원장'!L1240="선택"),"담당 원문 확인","기재")</x:f>
        <x:v>담당 원문 확인</x:v>
      </x:c>
      <x:c r="P224" s="2" t="str">
        <x:f>IF('신청 원장'!A1240="","",'신청 원장'!A1240)</x:f>
        <x:v>eaaa515359040e76588e6e7e</x:v>
      </x:c>
    </x:row>
    <x:row r="225" ht="42" customHeight="1">
      <x:c r="A225" s="2" t="str">
        <x:f>IF('신청 원장'!B1241="","",'신청 원장'!B1241)</x:f>
        <x:v>사업 평가</x:v>
      </x:c>
      <x:c r="B225" s="7" t="str">
        <x:f>IF('신청 원장'!D1241="","",'신청 원장'!D1241)</x:f>
        <x:v>삼진프라스틱공업(주)  고효율 2단 인버터  PM Motor 공기압축기로 교체 사업</x:v>
      </x:c>
      <x:c r="C225" s="2" t="str">
        <x:f>IF('신청 원장'!F1241="","",'신청 원장'!F1241)</x:f>
        <x:v>2024-03-12</x:v>
      </x:c>
      <x:c r="D225" s="2" t="str">
        <x:f>IF('신청 원장'!J1241="","",'신청 원장'!J1241)</x:f>
        <x:v>평가중</x:v>
      </x:c>
      <x:c r="E225" s="2" t="str">
        <x:f>IF('신청 원장'!L1241="","",'신청 원장'!L1241)</x:f>
      </x:c>
      <x:c r="F225" s="2" t="n">
        <x:f>IF('신청 원장'!M1241="","",'신청 원장'!M1241)</x:f>
        <x:v>3</x:v>
      </x:c>
      <x:c r="G225" s="2" t="n">
        <x:f>IF('신청 원장'!N1241="","",'신청 원장'!N1241)</x:f>
        <x:v>947</x:v>
      </x:c>
      <x:c r="H225" s="2" t="str">
        <x:f>IF('신청 원장'!AA1241="","",'신청 원장'!AA1241)</x:f>
        <x:v>내부 관찰 대상</x:v>
      </x:c>
      <x:c r="I225" s="2" t="str">
        <x:f>IF('신청 원장'!O1241="","",'신청 원장'!O1241)</x:f>
        <x:v>생략</x:v>
      </x:c>
      <x:c r="J225" s="2" t="str">
        <x:f>IF('신청 원장'!W1241="","",'신청 원장'!W1241)</x:f>
        <x:v>담당기관 확인</x:v>
      </x:c>
      <x:c r="K225" s="2" t="str">
        <x:f>IF('신청 원장'!X1241="","",'신청 원장'!X1241)</x:f>
        <x:v>원본·배정 기록 확인</x:v>
      </x:c>
      <x:c r="L225" s="2" t="str">
        <x:f>IF('신청 원장'!R1241="","",'신청 원장'!R1241)</x:f>
        <x:v>국내평가</x:v>
      </x:c>
      <x:c r="M225" s="2" t="n">
        <x:f>IF('신청 원장'!S1241="","",'신청 원장'!S1241)</x:f>
        <x:v>1144</x:v>
      </x:c>
      <x:c r="N225" s="2" t="str">
        <x:f>IF('신청 원장'!K1241&lt;&gt;"미종결 표시","종결 상태 확인",IF('신청 원장'!N1241="","일자 확인 필요",IF('신청 원장'!N1241&gt;365,"366일 이상",IF('신청 원장'!N1241&gt;90,"91~365일",IF('신청 원장'!N1241&gt;30,"31~90일","0~30일")))))</x:f>
        <x:v>366일 이상</x:v>
      </x:c>
      <x:c r="O225" s="2" t="str">
        <x:f>IF(OR('신청 원장'!L1241="",'신청 원장'!L1241="선택"),"담당 원문 확인","기재")</x:f>
        <x:v>담당 원문 확인</x:v>
      </x:c>
      <x:c r="P225" s="2" t="str">
        <x:f>IF('신청 원장'!A1241="","",'신청 원장'!A1241)</x:f>
        <x:v>031282a1c7447f71919c4067</x:v>
      </x:c>
    </x:row>
    <x:row r="226" ht="42" customHeight="1">
      <x:c r="A226" s="2" t="str">
        <x:f>IF('신청 원장'!B1244="","",'신청 원장'!B1244)</x:f>
        <x:v>사업 평가</x:v>
      </x:c>
      <x:c r="B226" s="7" t="str">
        <x:f>IF('신청 원장'!D1244="","",'신청 원장'!D1244)</x:f>
        <x:v>(주)동산글로벌의 고효율 공기압축기 교체를 통한 온실가스 배출 감축사업</x:v>
      </x:c>
      <x:c r="C226" s="2" t="str">
        <x:f>IF('신청 원장'!F1244="","",'신청 원장'!F1244)</x:f>
        <x:v>2024-06-03</x:v>
      </x:c>
      <x:c r="D226" s="2" t="str">
        <x:f>IF('신청 원장'!J1244="","",'신청 원장'!J1244)</x:f>
        <x:v>보완요청</x:v>
      </x:c>
      <x:c r="E226" s="2" t="str">
        <x:f>IF('신청 원장'!L1244="","",'신청 원장'!L1244)</x:f>
      </x:c>
      <x:c r="F226" s="2" t="n">
        <x:f>IF('신청 원장'!M1244="","",'신청 원장'!M1244)</x:f>
        <x:v>3</x:v>
      </x:c>
      <x:c r="G226" s="2" t="n">
        <x:f>IF('신청 원장'!N1244="","",'신청 원장'!N1244)</x:f>
        <x:v>864</x:v>
      </x:c>
      <x:c r="H226" s="2" t="str">
        <x:f>IF('신청 원장'!AA1244="","",'신청 원장'!AA1244)</x:f>
        <x:v>내부 관찰 대상</x:v>
      </x:c>
      <x:c r="I226" s="2" t="str">
        <x:f>IF('신청 원장'!O1244="","",'신청 원장'!O1244)</x:f>
        <x:v>생략</x:v>
      </x:c>
      <x:c r="J226" s="2" t="str">
        <x:f>IF('신청 원장'!W1244="","",'신청 원장'!W1244)</x:f>
        <x:v>담당기관 확인</x:v>
      </x:c>
      <x:c r="K226" s="2" t="str">
        <x:f>IF('신청 원장'!X1244="","",'신청 원장'!X1244)</x:f>
        <x:v>원본·배정 기록 확인</x:v>
      </x:c>
      <x:c r="L226" s="2" t="str">
        <x:f>IF('신청 원장'!R1244="","",'신청 원장'!R1244)</x:f>
        <x:v>국내평가</x:v>
      </x:c>
      <x:c r="M226" s="2" t="n">
        <x:f>IF('신청 원장'!S1244="","",'신청 원장'!S1244)</x:f>
        <x:v>1147</x:v>
      </x:c>
      <x:c r="N226" s="2" t="str">
        <x:f>IF('신청 원장'!K1244&lt;&gt;"미종결 표시","종결 상태 확인",IF('신청 원장'!N1244="","일자 확인 필요",IF('신청 원장'!N1244&gt;365,"366일 이상",IF('신청 원장'!N1244&gt;90,"91~365일",IF('신청 원장'!N1244&gt;30,"31~90일","0~30일")))))</x:f>
        <x:v>366일 이상</x:v>
      </x:c>
      <x:c r="O226" s="2" t="str">
        <x:f>IF(OR('신청 원장'!L1244="",'신청 원장'!L1244="선택"),"담당 원문 확인","기재")</x:f>
        <x:v>담당 원문 확인</x:v>
      </x:c>
      <x:c r="P226" s="2" t="str">
        <x:f>IF('신청 원장'!A1244="","",'신청 원장'!A1244)</x:f>
        <x:v>3a2cd75509ee819a3029269b</x:v>
      </x:c>
    </x:row>
    <x:row r="227" ht="42" customHeight="1">
      <x:c r="A227" s="2" t="str">
        <x:f>IF('신청 원장'!B1246="","",'신청 원장'!B1246)</x:f>
        <x:v>사업 평가</x:v>
      </x:c>
      <x:c r="B227" s="7" t="str">
        <x:f>IF('신청 원장'!D1246="","",'신청 원장'!D1246)</x:f>
        <x:v>(주)대창아스콘 아스콘생산시설 연료전환(B-C유 → LPG) 사업</x:v>
      </x:c>
      <x:c r="C227" s="2" t="str">
        <x:f>IF('신청 원장'!F1246="","",'신청 원장'!F1246)</x:f>
        <x:v>2024-07-01</x:v>
      </x:c>
      <x:c r="D227" s="2" t="str">
        <x:f>IF('신청 원장'!J1246="","",'신청 원장'!J1246)</x:f>
        <x:v>보완요청</x:v>
      </x:c>
      <x:c r="E227" s="2" t="str">
        <x:f>IF('신청 원장'!L1246="","",'신청 원장'!L1246)</x:f>
      </x:c>
      <x:c r="F227" s="2" t="n">
        <x:f>IF('신청 원장'!M1246="","",'신청 원장'!M1246)</x:f>
        <x:v>2</x:v>
      </x:c>
      <x:c r="G227" s="2" t="n">
        <x:f>IF('신청 원장'!N1246="","",'신청 원장'!N1246)</x:f>
        <x:v>836</x:v>
      </x:c>
      <x:c r="H227" s="2" t="str">
        <x:f>IF('신청 원장'!AA1246="","",'신청 원장'!AA1246)</x:f>
        <x:v>내부 관찰 대상</x:v>
      </x:c>
      <x:c r="I227" s="2" t="str">
        <x:f>IF('신청 원장'!O1246="","",'신청 원장'!O1246)</x:f>
        <x:v>생략</x:v>
      </x:c>
      <x:c r="J227" s="2" t="str">
        <x:f>IF('신청 원장'!W1246="","",'신청 원장'!W1246)</x:f>
        <x:v>담당기관 확인</x:v>
      </x:c>
      <x:c r="K227" s="2" t="str">
        <x:f>IF('신청 원장'!X1246="","",'신청 원장'!X1246)</x:f>
        <x:v>원본·배정 기록 확인</x:v>
      </x:c>
      <x:c r="L227" s="2" t="str">
        <x:f>IF('신청 원장'!R1246="","",'신청 원장'!R1246)</x:f>
        <x:v>국내평가</x:v>
      </x:c>
      <x:c r="M227" s="2" t="n">
        <x:f>IF('신청 원장'!S1246="","",'신청 원장'!S1246)</x:f>
        <x:v>1149</x:v>
      </x:c>
      <x:c r="N227" s="2" t="str">
        <x:f>IF('신청 원장'!K1246&lt;&gt;"미종결 표시","종결 상태 확인",IF('신청 원장'!N1246="","일자 확인 필요",IF('신청 원장'!N1246&gt;365,"366일 이상",IF('신청 원장'!N1246&gt;90,"91~365일",IF('신청 원장'!N1246&gt;30,"31~90일","0~30일")))))</x:f>
        <x:v>366일 이상</x:v>
      </x:c>
      <x:c r="O227" s="2" t="str">
        <x:f>IF(OR('신청 원장'!L1246="",'신청 원장'!L1246="선택"),"담당 원문 확인","기재")</x:f>
        <x:v>담당 원문 확인</x:v>
      </x:c>
      <x:c r="P227" s="2" t="str">
        <x:f>IF('신청 원장'!A1246="","",'신청 원장'!A1246)</x:f>
        <x:v>bc5609b3c1d43ac47e10ae4d</x:v>
      </x:c>
    </x:row>
    <x:row r="228" ht="42" customHeight="1">
      <x:c r="A228" s="2" t="str">
        <x:f>IF('신청 원장'!B1248="","",'신청 원장'!B1248)</x:f>
        <x:v>사업 평가</x:v>
      </x:c>
      <x:c r="B228" s="7" t="str">
        <x:f>IF('신청 원장'!D1248="","",'신청 원장'!D1248)</x:f>
        <x:v>주식회사 대동인더스트리 외 5개사의 고효율 공기압축기 교체를 통한 온실가스 감축사업</x:v>
      </x:c>
      <x:c r="C228" s="2" t="str">
        <x:f>IF('신청 원장'!F1248="","",'신청 원장'!F1248)</x:f>
        <x:v>2024-08-13</x:v>
      </x:c>
      <x:c r="D228" s="2" t="str">
        <x:f>IF('신청 원장'!J1248="","",'신청 원장'!J1248)</x:f>
        <x:v>보완요청</x:v>
      </x:c>
      <x:c r="E228" s="2" t="str">
        <x:f>IF('신청 원장'!L1248="","",'신청 원장'!L1248)</x:f>
      </x:c>
      <x:c r="F228" s="2" t="n">
        <x:f>IF('신청 원장'!M1248="","",'신청 원장'!M1248)</x:f>
        <x:v>1</x:v>
      </x:c>
      <x:c r="G228" s="2" t="n">
        <x:f>IF('신청 원장'!N1248="","",'신청 원장'!N1248)</x:f>
        <x:v>793</x:v>
      </x:c>
      <x:c r="H228" s="2" t="str">
        <x:f>IF('신청 원장'!AA1248="","",'신청 원장'!AA1248)</x:f>
        <x:v>내부 관찰 대상</x:v>
      </x:c>
      <x:c r="I228" s="2" t="str">
        <x:f>IF('신청 원장'!O1248="","",'신청 원장'!O1248)</x:f>
        <x:v>생략</x:v>
      </x:c>
      <x:c r="J228" s="2" t="str">
        <x:f>IF('신청 원장'!W1248="","",'신청 원장'!W1248)</x:f>
        <x:v>담당기관 확인</x:v>
      </x:c>
      <x:c r="K228" s="2" t="str">
        <x:f>IF('신청 원장'!X1248="","",'신청 원장'!X1248)</x:f>
        <x:v>원본·배정 기록 확인</x:v>
      </x:c>
      <x:c r="L228" s="2" t="str">
        <x:f>IF('신청 원장'!R1248="","",'신청 원장'!R1248)</x:f>
        <x:v>국내평가</x:v>
      </x:c>
      <x:c r="M228" s="2" t="n">
        <x:f>IF('신청 원장'!S1248="","",'신청 원장'!S1248)</x:f>
        <x:v>1151</x:v>
      </x:c>
      <x:c r="N228" s="2" t="str">
        <x:f>IF('신청 원장'!K1248&lt;&gt;"미종결 표시","종결 상태 확인",IF('신청 원장'!N1248="","일자 확인 필요",IF('신청 원장'!N1248&gt;365,"366일 이상",IF('신청 원장'!N1248&gt;90,"91~365일",IF('신청 원장'!N1248&gt;30,"31~90일","0~30일")))))</x:f>
        <x:v>366일 이상</x:v>
      </x:c>
      <x:c r="O228" s="2" t="str">
        <x:f>IF(OR('신청 원장'!L1248="",'신청 원장'!L1248="선택"),"담당 원문 확인","기재")</x:f>
        <x:v>담당 원문 확인</x:v>
      </x:c>
      <x:c r="P228" s="2" t="str">
        <x:f>IF('신청 원장'!A1248="","",'신청 원장'!A1248)</x:f>
        <x:v>31295869a98b3ce34e527014</x:v>
      </x:c>
    </x:row>
    <x:row r="229" ht="42" customHeight="1">
      <x:c r="A229" s="2" t="str">
        <x:f>IF('신청 원장'!B1252="","",'신청 원장'!B1252)</x:f>
        <x:v>사업 평가</x:v>
      </x:c>
      <x:c r="B229" s="7" t="str">
        <x:f>IF('신청 원장'!D1252="","",'신청 원장'!D1252)</x:f>
        <x:v>2023년 지역에너지신산업 활성화 지원 사업에 따른 성남시 공공시설 및 단독주택 태양광발전 프로그램 감축사업</x:v>
      </x:c>
      <x:c r="C229" s="2" t="str">
        <x:f>IF('신청 원장'!F1252="","",'신청 원장'!F1252)</x:f>
        <x:v>2024-08-30</x:v>
      </x:c>
      <x:c r="D229" s="2" t="str">
        <x:f>IF('신청 원장'!J1252="","",'신청 원장'!J1252)</x:f>
        <x:v>보완요청</x:v>
      </x:c>
      <x:c r="E229" s="2" t="str">
        <x:f>IF('신청 원장'!L1252="","",'신청 원장'!L1252)</x:f>
      </x:c>
      <x:c r="F229" s="2" t="n">
        <x:f>IF('신청 원장'!M1252="","",'신청 원장'!M1252)</x:f>
        <x:v>1</x:v>
      </x:c>
      <x:c r="G229" s="2" t="n">
        <x:f>IF('신청 원장'!N1252="","",'신청 원장'!N1252)</x:f>
        <x:v>776</x:v>
      </x:c>
      <x:c r="H229" s="2" t="str">
        <x:f>IF('신청 원장'!AA1252="","",'신청 원장'!AA1252)</x:f>
        <x:v>내부 관찰 대상</x:v>
      </x:c>
      <x:c r="I229" s="2" t="str">
        <x:f>IF('신청 원장'!O1252="","",'신청 원장'!O1252)</x:f>
        <x:v>생략</x:v>
      </x:c>
      <x:c r="J229" s="2" t="str">
        <x:f>IF('신청 원장'!W1252="","",'신청 원장'!W1252)</x:f>
        <x:v>담당기관 확인</x:v>
      </x:c>
      <x:c r="K229" s="2" t="str">
        <x:f>IF('신청 원장'!X1252="","",'신청 원장'!X1252)</x:f>
        <x:v>원본·배정 기록 확인</x:v>
      </x:c>
      <x:c r="L229" s="2" t="str">
        <x:f>IF('신청 원장'!R1252="","",'신청 원장'!R1252)</x:f>
        <x:v>국내평가</x:v>
      </x:c>
      <x:c r="M229" s="2" t="n">
        <x:f>IF('신청 원장'!S1252="","",'신청 원장'!S1252)</x:f>
        <x:v>1155</x:v>
      </x:c>
      <x:c r="N229" s="2" t="str">
        <x:f>IF('신청 원장'!K1252&lt;&gt;"미종결 표시","종결 상태 확인",IF('신청 원장'!N1252="","일자 확인 필요",IF('신청 원장'!N1252&gt;365,"366일 이상",IF('신청 원장'!N1252&gt;90,"91~365일",IF('신청 원장'!N1252&gt;30,"31~90일","0~30일")))))</x:f>
        <x:v>366일 이상</x:v>
      </x:c>
      <x:c r="O229" s="2" t="str">
        <x:f>IF(OR('신청 원장'!L1252="",'신청 원장'!L1252="선택"),"담당 원문 확인","기재")</x:f>
        <x:v>담당 원문 확인</x:v>
      </x:c>
      <x:c r="P229" s="2" t="str">
        <x:f>IF('신청 원장'!A1252="","",'신청 원장'!A1252)</x:f>
        <x:v>5396cfc06e180565acfa2298</x:v>
      </x:c>
    </x:row>
    <x:row r="230" ht="42" customHeight="1">
      <x:c r="A230" s="2" t="str">
        <x:f>IF('신청 원장'!B1259="","",'신청 원장'!B1259)</x:f>
        <x:v>사업 평가</x:v>
      </x:c>
      <x:c r="B230" s="7" t="str">
        <x:f>IF('신청 원장'!D1259="","",'신청 원장'!D1259)</x:f>
        <x:v>산단 친환경설비 인프라지원을 통한 고효율설비 교체 사업</x:v>
      </x:c>
      <x:c r="C230" s="2" t="str">
        <x:f>IF('신청 원장'!F1259="","",'신청 원장'!F1259)</x:f>
        <x:v>2024-11-25</x:v>
      </x:c>
      <x:c r="D230" s="2" t="str">
        <x:f>IF('신청 원장'!J1259="","",'신청 원장'!J1259)</x:f>
        <x:v>보완요청</x:v>
      </x:c>
      <x:c r="E230" s="2" t="str">
        <x:f>IF('신청 원장'!L1259="","",'신청 원장'!L1259)</x:f>
      </x:c>
      <x:c r="F230" s="2" t="n">
        <x:f>IF('신청 원장'!M1259="","",'신청 원장'!M1259)</x:f>
        <x:v>1</x:v>
      </x:c>
      <x:c r="G230" s="2" t="n">
        <x:f>IF('신청 원장'!N1259="","",'신청 원장'!N1259)</x:f>
        <x:v>689</x:v>
      </x:c>
      <x:c r="H230" s="2" t="str">
        <x:f>IF('신청 원장'!AA1259="","",'신청 원장'!AA1259)</x:f>
        <x:v>내부 관찰 대상</x:v>
      </x:c>
      <x:c r="I230" s="2" t="str">
        <x:f>IF('신청 원장'!O1259="","",'신청 원장'!O1259)</x:f>
        <x:v>생략</x:v>
      </x:c>
      <x:c r="J230" s="2" t="str">
        <x:f>IF('신청 원장'!W1259="","",'신청 원장'!W1259)</x:f>
        <x:v>담당기관 확인</x:v>
      </x:c>
      <x:c r="K230" s="2" t="str">
        <x:f>IF('신청 원장'!X1259="","",'신청 원장'!X1259)</x:f>
        <x:v>원본·배정 기록 확인</x:v>
      </x:c>
      <x:c r="L230" s="2" t="str">
        <x:f>IF('신청 원장'!R1259="","",'신청 원장'!R1259)</x:f>
        <x:v>국내평가</x:v>
      </x:c>
      <x:c r="M230" s="2" t="n">
        <x:f>IF('신청 원장'!S1259="","",'신청 원장'!S1259)</x:f>
        <x:v>1162</x:v>
      </x:c>
      <x:c r="N230" s="2" t="str">
        <x:f>IF('신청 원장'!K1259&lt;&gt;"미종결 표시","종결 상태 확인",IF('신청 원장'!N1259="","일자 확인 필요",IF('신청 원장'!N1259&gt;365,"366일 이상",IF('신청 원장'!N1259&gt;90,"91~365일",IF('신청 원장'!N1259&gt;30,"31~90일","0~30일")))))</x:f>
        <x:v>366일 이상</x:v>
      </x:c>
      <x:c r="O230" s="2" t="str">
        <x:f>IF(OR('신청 원장'!L1259="",'신청 원장'!L1259="선택"),"담당 원문 확인","기재")</x:f>
        <x:v>담당 원문 확인</x:v>
      </x:c>
      <x:c r="P230" s="2" t="str">
        <x:f>IF('신청 원장'!A1259="","",'신청 원장'!A1259)</x:f>
        <x:v>1f2d0b9046659965aaa23226</x:v>
      </x:c>
    </x:row>
    <x:row r="231" ht="42" customHeight="1">
      <x:c r="A231" s="2" t="str">
        <x:f>IF('신청 원장'!B1260="","",'신청 원장'!B1260)</x:f>
        <x:v>사업 평가</x:v>
      </x:c>
      <x:c r="B231" s="7" t="str">
        <x:f>IF('신청 원장'!D1260="","",'신청 원장'!D1260)</x:f>
        <x:v>원영산업(주) 고효율 2단 인버터 PM  Motor 공기압축기로 교체 사업</x:v>
      </x:c>
      <x:c r="C231" s="2" t="str">
        <x:f>IF('신청 원장'!F1260="","",'신청 원장'!F1260)</x:f>
        <x:v>2024-11-26</x:v>
      </x:c>
      <x:c r="D231" s="2" t="str">
        <x:f>IF('신청 원장'!J1260="","",'신청 원장'!J1260)</x:f>
        <x:v>보완요청</x:v>
      </x:c>
      <x:c r="E231" s="2" t="str">
        <x:f>IF('신청 원장'!L1260="","",'신청 원장'!L1260)</x:f>
      </x:c>
      <x:c r="F231" s="2" t="n">
        <x:f>IF('신청 원장'!M1260="","",'신청 원장'!M1260)</x:f>
        <x:v>1</x:v>
      </x:c>
      <x:c r="G231" s="2" t="n">
        <x:f>IF('신청 원장'!N1260="","",'신청 원장'!N1260)</x:f>
        <x:v>688</x:v>
      </x:c>
      <x:c r="H231" s="2" t="str">
        <x:f>IF('신청 원장'!AA1260="","",'신청 원장'!AA1260)</x:f>
        <x:v>내부 관찰 대상</x:v>
      </x:c>
      <x:c r="I231" s="2" t="str">
        <x:f>IF('신청 원장'!O1260="","",'신청 원장'!O1260)</x:f>
        <x:v>생략</x:v>
      </x:c>
      <x:c r="J231" s="2" t="str">
        <x:f>IF('신청 원장'!W1260="","",'신청 원장'!W1260)</x:f>
        <x:v>담당기관 확인</x:v>
      </x:c>
      <x:c r="K231" s="2" t="str">
        <x:f>IF('신청 원장'!X1260="","",'신청 원장'!X1260)</x:f>
        <x:v>원본·배정 기록 확인</x:v>
      </x:c>
      <x:c r="L231" s="2" t="str">
        <x:f>IF('신청 원장'!R1260="","",'신청 원장'!R1260)</x:f>
        <x:v>국내평가</x:v>
      </x:c>
      <x:c r="M231" s="2" t="n">
        <x:f>IF('신청 원장'!S1260="","",'신청 원장'!S1260)</x:f>
        <x:v>1163</x:v>
      </x:c>
      <x:c r="N231" s="2" t="str">
        <x:f>IF('신청 원장'!K1260&lt;&gt;"미종결 표시","종결 상태 확인",IF('신청 원장'!N1260="","일자 확인 필요",IF('신청 원장'!N1260&gt;365,"366일 이상",IF('신청 원장'!N1260&gt;90,"91~365일",IF('신청 원장'!N1260&gt;30,"31~90일","0~30일")))))</x:f>
        <x:v>366일 이상</x:v>
      </x:c>
      <x:c r="O231" s="2" t="str">
        <x:f>IF(OR('신청 원장'!L1260="",'신청 원장'!L1260="선택"),"담당 원문 확인","기재")</x:f>
        <x:v>담당 원문 확인</x:v>
      </x:c>
      <x:c r="P231" s="2" t="str">
        <x:f>IF('신청 원장'!A1260="","",'신청 원장'!A1260)</x:f>
        <x:v>f40b6dfea52a3d40fedf537e</x:v>
      </x:c>
    </x:row>
    <x:row r="232" ht="42" customHeight="1">
      <x:c r="A232" s="2" t="str">
        <x:f>IF('신청 원장'!B1261="","",'신청 원장'!B1261)</x:f>
        <x:v>사업 평가</x:v>
      </x:c>
      <x:c r="B232" s="7" t="str">
        <x:f>IF('신청 원장'!D1261="","",'신청 원장'!D1261)</x:f>
        <x:v>하이스트㈜의 고효율 레이저 절단기 교체를 통한 온실가스 감축 사업</x:v>
      </x:c>
      <x:c r="C232" s="2" t="str">
        <x:f>IF('신청 원장'!F1261="","",'신청 원장'!F1261)</x:f>
        <x:v>2024-11-28</x:v>
      </x:c>
      <x:c r="D232" s="2" t="str">
        <x:f>IF('신청 원장'!J1261="","",'신청 원장'!J1261)</x:f>
        <x:v>보완요청</x:v>
      </x:c>
      <x:c r="E232" s="2" t="str">
        <x:f>IF('신청 원장'!L1261="","",'신청 원장'!L1261)</x:f>
      </x:c>
      <x:c r="F232" s="2" t="n">
        <x:f>IF('신청 원장'!M1261="","",'신청 원장'!M1261)</x:f>
        <x:v>1</x:v>
      </x:c>
      <x:c r="G232" s="2" t="n">
        <x:f>IF('신청 원장'!N1261="","",'신청 원장'!N1261)</x:f>
        <x:v>686</x:v>
      </x:c>
      <x:c r="H232" s="2" t="str">
        <x:f>IF('신청 원장'!AA1261="","",'신청 원장'!AA1261)</x:f>
        <x:v>내부 관찰 대상</x:v>
      </x:c>
      <x:c r="I232" s="2" t="str">
        <x:f>IF('신청 원장'!O1261="","",'신청 원장'!O1261)</x:f>
        <x:v>생략</x:v>
      </x:c>
      <x:c r="J232" s="2" t="str">
        <x:f>IF('신청 원장'!W1261="","",'신청 원장'!W1261)</x:f>
        <x:v>담당기관 확인</x:v>
      </x:c>
      <x:c r="K232" s="2" t="str">
        <x:f>IF('신청 원장'!X1261="","",'신청 원장'!X1261)</x:f>
        <x:v>원본·배정 기록 확인</x:v>
      </x:c>
      <x:c r="L232" s="2" t="str">
        <x:f>IF('신청 원장'!R1261="","",'신청 원장'!R1261)</x:f>
        <x:v>국내평가</x:v>
      </x:c>
      <x:c r="M232" s="2" t="n">
        <x:f>IF('신청 원장'!S1261="","",'신청 원장'!S1261)</x:f>
        <x:v>1164</x:v>
      </x:c>
      <x:c r="N232" s="2" t="str">
        <x:f>IF('신청 원장'!K1261&lt;&gt;"미종결 표시","종결 상태 확인",IF('신청 원장'!N1261="","일자 확인 필요",IF('신청 원장'!N1261&gt;365,"366일 이상",IF('신청 원장'!N1261&gt;90,"91~365일",IF('신청 원장'!N1261&gt;30,"31~90일","0~30일")))))</x:f>
        <x:v>366일 이상</x:v>
      </x:c>
      <x:c r="O232" s="2" t="str">
        <x:f>IF(OR('신청 원장'!L1261="",'신청 원장'!L1261="선택"),"담당 원문 확인","기재")</x:f>
        <x:v>담당 원문 확인</x:v>
      </x:c>
      <x:c r="P232" s="2" t="str">
        <x:f>IF('신청 원장'!A1261="","",'신청 원장'!A1261)</x:f>
        <x:v>aea50843baf6bf1936b99d00</x:v>
      </x:c>
    </x:row>
    <x:row r="233" ht="42" customHeight="1">
      <x:c r="A233" s="2" t="str">
        <x:f>IF('신청 원장'!B1262="","",'신청 원장'!B1262)</x:f>
        <x:v>사업 평가</x:v>
      </x:c>
      <x:c r="B233" s="7" t="str">
        <x:f>IF('신청 원장'!D1262="","",'신청 원장'!D1262)</x:f>
        <x:v>생태산업개발을 통한 미세먼지 및 온실가스 감축 사업</x:v>
      </x:c>
      <x:c r="C233" s="2" t="str">
        <x:f>IF('신청 원장'!F1262="","",'신청 원장'!F1262)</x:f>
        <x:v>2024-11-29</x:v>
      </x:c>
      <x:c r="D233" s="2" t="str">
        <x:f>IF('신청 원장'!J1262="","",'신청 원장'!J1262)</x:f>
        <x:v>보완요청</x:v>
      </x:c>
      <x:c r="E233" s="2" t="str">
        <x:f>IF('신청 원장'!L1262="","",'신청 원장'!L1262)</x:f>
      </x:c>
      <x:c r="F233" s="2" t="n">
        <x:f>IF('신청 원장'!M1262="","",'신청 원장'!M1262)</x:f>
        <x:v>1</x:v>
      </x:c>
      <x:c r="G233" s="2" t="n">
        <x:f>IF('신청 원장'!N1262="","",'신청 원장'!N1262)</x:f>
        <x:v>685</x:v>
      </x:c>
      <x:c r="H233" s="2" t="str">
        <x:f>IF('신청 원장'!AA1262="","",'신청 원장'!AA1262)</x:f>
        <x:v>내부 관찰 대상</x:v>
      </x:c>
      <x:c r="I233" s="2" t="str">
        <x:f>IF('신청 원장'!O1262="","",'신청 원장'!O1262)</x:f>
        <x:v>생략</x:v>
      </x:c>
      <x:c r="J233" s="2" t="str">
        <x:f>IF('신청 원장'!W1262="","",'신청 원장'!W1262)</x:f>
        <x:v>담당기관 확인</x:v>
      </x:c>
      <x:c r="K233" s="2" t="str">
        <x:f>IF('신청 원장'!X1262="","",'신청 원장'!X1262)</x:f>
        <x:v>원본·배정 기록 확인</x:v>
      </x:c>
      <x:c r="L233" s="2" t="str">
        <x:f>IF('신청 원장'!R1262="","",'신청 원장'!R1262)</x:f>
        <x:v>국내평가</x:v>
      </x:c>
      <x:c r="M233" s="2" t="n">
        <x:f>IF('신청 원장'!S1262="","",'신청 원장'!S1262)</x:f>
        <x:v>1165</x:v>
      </x:c>
      <x:c r="N233" s="2" t="str">
        <x:f>IF('신청 원장'!K1262&lt;&gt;"미종결 표시","종결 상태 확인",IF('신청 원장'!N1262="","일자 확인 필요",IF('신청 원장'!N1262&gt;365,"366일 이상",IF('신청 원장'!N1262&gt;90,"91~365일",IF('신청 원장'!N1262&gt;30,"31~90일","0~30일")))))</x:f>
        <x:v>366일 이상</x:v>
      </x:c>
      <x:c r="O233" s="2" t="str">
        <x:f>IF(OR('신청 원장'!L1262="",'신청 원장'!L1262="선택"),"담당 원문 확인","기재")</x:f>
        <x:v>담당 원문 확인</x:v>
      </x:c>
      <x:c r="P233" s="2" t="str">
        <x:f>IF('신청 원장'!A1262="","",'신청 원장'!A1262)</x:f>
        <x:v>29345996e24644802506087b</x:v>
      </x:c>
    </x:row>
    <x:row r="234" ht="42" customHeight="1">
      <x:c r="A234" s="2" t="str">
        <x:f>IF('신청 원장'!B1263="","",'신청 원장'!B1263)</x:f>
        <x:v>사업 평가</x:v>
      </x:c>
      <x:c r="B234" s="7" t="str">
        <x:f>IF('신청 원장'!D1263="","",'신청 원장'!D1263)</x:f>
        <x:v>인천표면처리센터 고효율 인버터 공기압축기 교체 사업</x:v>
      </x:c>
      <x:c r="C234" s="2" t="str">
        <x:f>IF('신청 원장'!F1263="","",'신청 원장'!F1263)</x:f>
        <x:v>2024-11-29</x:v>
      </x:c>
      <x:c r="D234" s="2" t="str">
        <x:f>IF('신청 원장'!J1263="","",'신청 원장'!J1263)</x:f>
        <x:v>보완요청</x:v>
      </x:c>
      <x:c r="E234" s="2" t="str">
        <x:f>IF('신청 원장'!L1263="","",'신청 원장'!L1263)</x:f>
      </x:c>
      <x:c r="F234" s="2" t="n">
        <x:f>IF('신청 원장'!M1263="","",'신청 원장'!M1263)</x:f>
        <x:v>1</x:v>
      </x:c>
      <x:c r="G234" s="2" t="n">
        <x:f>IF('신청 원장'!N1263="","",'신청 원장'!N1263)</x:f>
        <x:v>685</x:v>
      </x:c>
      <x:c r="H234" s="2" t="str">
        <x:f>IF('신청 원장'!AA1263="","",'신청 원장'!AA1263)</x:f>
        <x:v>내부 관찰 대상</x:v>
      </x:c>
      <x:c r="I234" s="2" t="str">
        <x:f>IF('신청 원장'!O1263="","",'신청 원장'!O1263)</x:f>
        <x:v>생략</x:v>
      </x:c>
      <x:c r="J234" s="2" t="str">
        <x:f>IF('신청 원장'!W1263="","",'신청 원장'!W1263)</x:f>
        <x:v>담당기관 확인</x:v>
      </x:c>
      <x:c r="K234" s="2" t="str">
        <x:f>IF('신청 원장'!X1263="","",'신청 원장'!X1263)</x:f>
        <x:v>원본·배정 기록 확인</x:v>
      </x:c>
      <x:c r="L234" s="2" t="str">
        <x:f>IF('신청 원장'!R1263="","",'신청 원장'!R1263)</x:f>
        <x:v>국내평가</x:v>
      </x:c>
      <x:c r="M234" s="2" t="n">
        <x:f>IF('신청 원장'!S1263="","",'신청 원장'!S1263)</x:f>
        <x:v>1166</x:v>
      </x:c>
      <x:c r="N234" s="2" t="str">
        <x:f>IF('신청 원장'!K1263&lt;&gt;"미종결 표시","종결 상태 확인",IF('신청 원장'!N1263="","일자 확인 필요",IF('신청 원장'!N1263&gt;365,"366일 이상",IF('신청 원장'!N1263&gt;90,"91~365일",IF('신청 원장'!N1263&gt;30,"31~90일","0~30일")))))</x:f>
        <x:v>366일 이상</x:v>
      </x:c>
      <x:c r="O234" s="2" t="str">
        <x:f>IF(OR('신청 원장'!L1263="",'신청 원장'!L1263="선택"),"담당 원문 확인","기재")</x:f>
        <x:v>담당 원문 확인</x:v>
      </x:c>
      <x:c r="P234" s="2" t="str">
        <x:f>IF('신청 원장'!A1263="","",'신청 원장'!A1263)</x:f>
        <x:v>bf45085ee52e1a4965f57bff</x:v>
      </x:c>
    </x:row>
    <x:row r="235" ht="42" customHeight="1">
      <x:c r="A235" s="2" t="str">
        <x:f>IF('신청 원장'!B1264="","",'신청 원장'!B1264)</x:f>
        <x:v>사업 평가</x:v>
      </x:c>
      <x:c r="B235" s="7" t="str">
        <x:f>IF('신청 원장'!D1264="","",'신청 원장'!D1264)</x:f>
        <x:v>생태산업개발을 통한 미세먼지 및 온실가스 감축 사업</x:v>
      </x:c>
      <x:c r="C235" s="2" t="str">
        <x:f>IF('신청 원장'!F1264="","",'신청 원장'!F1264)</x:f>
        <x:v>2024-11-29</x:v>
      </x:c>
      <x:c r="D235" s="2" t="str">
        <x:f>IF('신청 원장'!J1264="","",'신청 원장'!J1264)</x:f>
        <x:v>보완요청</x:v>
      </x:c>
      <x:c r="E235" s="2" t="str">
        <x:f>IF('신청 원장'!L1264="","",'신청 원장'!L1264)</x:f>
      </x:c>
      <x:c r="F235" s="2" t="n">
        <x:f>IF('신청 원장'!M1264="","",'신청 원장'!M1264)</x:f>
        <x:v>1</x:v>
      </x:c>
      <x:c r="G235" s="2" t="n">
        <x:f>IF('신청 원장'!N1264="","",'신청 원장'!N1264)</x:f>
        <x:v>685</x:v>
      </x:c>
      <x:c r="H235" s="2" t="str">
        <x:f>IF('신청 원장'!AA1264="","",'신청 원장'!AA1264)</x:f>
        <x:v>내부 관찰 대상</x:v>
      </x:c>
      <x:c r="I235" s="2" t="str">
        <x:f>IF('신청 원장'!O1264="","",'신청 원장'!O1264)</x:f>
        <x:v>생략</x:v>
      </x:c>
      <x:c r="J235" s="2" t="str">
        <x:f>IF('신청 원장'!W1264="","",'신청 원장'!W1264)</x:f>
        <x:v>담당기관 확인</x:v>
      </x:c>
      <x:c r="K235" s="2" t="str">
        <x:f>IF('신청 원장'!X1264="","",'신청 원장'!X1264)</x:f>
        <x:v>원본·배정 기록 확인</x:v>
      </x:c>
      <x:c r="L235" s="2" t="str">
        <x:f>IF('신청 원장'!R1264="","",'신청 원장'!R1264)</x:f>
        <x:v>국내평가</x:v>
      </x:c>
      <x:c r="M235" s="2" t="n">
        <x:f>IF('신청 원장'!S1264="","",'신청 원장'!S1264)</x:f>
        <x:v>1167</x:v>
      </x:c>
      <x:c r="N235" s="2" t="str">
        <x:f>IF('신청 원장'!K1264&lt;&gt;"미종결 표시","종결 상태 확인",IF('신청 원장'!N1264="","일자 확인 필요",IF('신청 원장'!N1264&gt;365,"366일 이상",IF('신청 원장'!N1264&gt;90,"91~365일",IF('신청 원장'!N1264&gt;30,"31~90일","0~30일")))))</x:f>
        <x:v>366일 이상</x:v>
      </x:c>
      <x:c r="O235" s="2" t="str">
        <x:f>IF(OR('신청 원장'!L1264="",'신청 원장'!L1264="선택"),"담당 원문 확인","기재")</x:f>
        <x:v>담당 원문 확인</x:v>
      </x:c>
      <x:c r="P235" s="2" t="str">
        <x:f>IF('신청 원장'!A1264="","",'신청 원장'!A1264)</x:f>
        <x:v>64dbb00ffa4988ff6df17913</x:v>
      </x:c>
    </x:row>
    <x:row r="236" ht="42" customHeight="1">
      <x:c r="A236" s="2" t="str">
        <x:f>IF('신청 원장'!B1265="","",'신청 원장'!B1265)</x:f>
        <x:v>사업 평가</x:v>
      </x:c>
      <x:c r="B236" s="7" t="str">
        <x:f>IF('신청 원장'!D1265="","",'신청 원장'!D1265)</x:f>
        <x:v>(주)필옵틱스의 고효율 인버터 공기압축기 교체를 통한 온실가스 감축 사업</x:v>
      </x:c>
      <x:c r="C236" s="2" t="str">
        <x:f>IF('신청 원장'!F1265="","",'신청 원장'!F1265)</x:f>
        <x:v>2024-12-02</x:v>
      </x:c>
      <x:c r="D236" s="2" t="str">
        <x:f>IF('신청 원장'!J1265="","",'신청 원장'!J1265)</x:f>
        <x:v>보완요청</x:v>
      </x:c>
      <x:c r="E236" s="2" t="str">
        <x:f>IF('신청 원장'!L1265="","",'신청 원장'!L1265)</x:f>
      </x:c>
      <x:c r="F236" s="2" t="n">
        <x:f>IF('신청 원장'!M1265="","",'신청 원장'!M1265)</x:f>
        <x:v>1</x:v>
      </x:c>
      <x:c r="G236" s="2" t="n">
        <x:f>IF('신청 원장'!N1265="","",'신청 원장'!N1265)</x:f>
        <x:v>682</x:v>
      </x:c>
      <x:c r="H236" s="2" t="str">
        <x:f>IF('신청 원장'!AA1265="","",'신청 원장'!AA1265)</x:f>
        <x:v>내부 관찰 대상</x:v>
      </x:c>
      <x:c r="I236" s="2" t="str">
        <x:f>IF('신청 원장'!O1265="","",'신청 원장'!O1265)</x:f>
        <x:v>생략</x:v>
      </x:c>
      <x:c r="J236" s="2" t="str">
        <x:f>IF('신청 원장'!W1265="","",'신청 원장'!W1265)</x:f>
        <x:v>담당기관 확인</x:v>
      </x:c>
      <x:c r="K236" s="2" t="str">
        <x:f>IF('신청 원장'!X1265="","",'신청 원장'!X1265)</x:f>
        <x:v>원본·배정 기록 확인</x:v>
      </x:c>
      <x:c r="L236" s="2" t="str">
        <x:f>IF('신청 원장'!R1265="","",'신청 원장'!R1265)</x:f>
        <x:v>국내평가</x:v>
      </x:c>
      <x:c r="M236" s="2" t="n">
        <x:f>IF('신청 원장'!S1265="","",'신청 원장'!S1265)</x:f>
        <x:v>1168</x:v>
      </x:c>
      <x:c r="N236" s="2" t="str">
        <x:f>IF('신청 원장'!K1265&lt;&gt;"미종결 표시","종결 상태 확인",IF('신청 원장'!N1265="","일자 확인 필요",IF('신청 원장'!N1265&gt;365,"366일 이상",IF('신청 원장'!N1265&gt;90,"91~365일",IF('신청 원장'!N1265&gt;30,"31~90일","0~30일")))))</x:f>
        <x:v>366일 이상</x:v>
      </x:c>
      <x:c r="O236" s="2" t="str">
        <x:f>IF(OR('신청 원장'!L1265="",'신청 원장'!L1265="선택"),"담당 원문 확인","기재")</x:f>
        <x:v>담당 원문 확인</x:v>
      </x:c>
      <x:c r="P236" s="2" t="str">
        <x:f>IF('신청 원장'!A1265="","",'신청 원장'!A1265)</x:f>
        <x:v>b1fffe3bb3635d47cb65f40f</x:v>
      </x:c>
    </x:row>
    <x:row r="237" ht="42" customHeight="1">
      <x:c r="A237" s="2" t="str">
        <x:f>IF('신청 원장'!B1266="","",'신청 원장'!B1266)</x:f>
        <x:v>사업 평가</x:v>
      </x:c>
      <x:c r="B237" s="7" t="str">
        <x:f>IF('신청 원장'!D1266="","",'신청 원장'!D1266)</x:f>
        <x:v>동진볼트 고효율 전동기 교체사업</x:v>
      </x:c>
      <x:c r="C237" s="2" t="str">
        <x:f>IF('신청 원장'!F1266="","",'신청 원장'!F1266)</x:f>
        <x:v>2024-12-03</x:v>
      </x:c>
      <x:c r="D237" s="2" t="str">
        <x:f>IF('신청 원장'!J1266="","",'신청 원장'!J1266)</x:f>
        <x:v>보완요청</x:v>
      </x:c>
      <x:c r="E237" s="2" t="str">
        <x:f>IF('신청 원장'!L1266="","",'신청 원장'!L1266)</x:f>
      </x:c>
      <x:c r="F237" s="2" t="n">
        <x:f>IF('신청 원장'!M1266="","",'신청 원장'!M1266)</x:f>
        <x:v>1</x:v>
      </x:c>
      <x:c r="G237" s="2" t="n">
        <x:f>IF('신청 원장'!N1266="","",'신청 원장'!N1266)</x:f>
        <x:v>681</x:v>
      </x:c>
      <x:c r="H237" s="2" t="str">
        <x:f>IF('신청 원장'!AA1266="","",'신청 원장'!AA1266)</x:f>
        <x:v>내부 관찰 대상</x:v>
      </x:c>
      <x:c r="I237" s="2" t="str">
        <x:f>IF('신청 원장'!O1266="","",'신청 원장'!O1266)</x:f>
        <x:v>생략</x:v>
      </x:c>
      <x:c r="J237" s="2" t="str">
        <x:f>IF('신청 원장'!W1266="","",'신청 원장'!W1266)</x:f>
        <x:v>담당기관 확인</x:v>
      </x:c>
      <x:c r="K237" s="2" t="str">
        <x:f>IF('신청 원장'!X1266="","",'신청 원장'!X1266)</x:f>
        <x:v>원본·배정 기록 확인</x:v>
      </x:c>
      <x:c r="L237" s="2" t="str">
        <x:f>IF('신청 원장'!R1266="","",'신청 원장'!R1266)</x:f>
        <x:v>국내평가</x:v>
      </x:c>
      <x:c r="M237" s="2" t="n">
        <x:f>IF('신청 원장'!S1266="","",'신청 원장'!S1266)</x:f>
        <x:v>1169</x:v>
      </x:c>
      <x:c r="N237" s="2" t="str">
        <x:f>IF('신청 원장'!K1266&lt;&gt;"미종결 표시","종결 상태 확인",IF('신청 원장'!N1266="","일자 확인 필요",IF('신청 원장'!N1266&gt;365,"366일 이상",IF('신청 원장'!N1266&gt;90,"91~365일",IF('신청 원장'!N1266&gt;30,"31~90일","0~30일")))))</x:f>
        <x:v>366일 이상</x:v>
      </x:c>
      <x:c r="O237" s="2" t="str">
        <x:f>IF(OR('신청 원장'!L1266="",'신청 원장'!L1266="선택"),"담당 원문 확인","기재")</x:f>
        <x:v>담당 원문 확인</x:v>
      </x:c>
      <x:c r="P237" s="2" t="str">
        <x:f>IF('신청 원장'!A1266="","",'신청 원장'!A1266)</x:f>
        <x:v>89141a05547069979a6c50d1</x:v>
      </x:c>
    </x:row>
    <x:row r="238" ht="42" customHeight="1">
      <x:c r="A238" s="2" t="str">
        <x:f>IF('신청 원장'!B1267="","",'신청 원장'!B1267)</x:f>
        <x:v>사업 평가</x:v>
      </x:c>
      <x:c r="B238" s="7" t="str">
        <x:f>IF('신청 원장'!D1267="","",'신청 원장'!D1267)</x:f>
        <x:v>생태산업개발을 통한 미세먼지 및 온실가스 감축사업(산단 친환경설비 인프라지원)</x:v>
      </x:c>
      <x:c r="C238" s="2" t="str">
        <x:f>IF('신청 원장'!F1267="","",'신청 원장'!F1267)</x:f>
        <x:v>2024-12-09</x:v>
      </x:c>
      <x:c r="D238" s="2" t="str">
        <x:f>IF('신청 원장'!J1267="","",'신청 원장'!J1267)</x:f>
        <x:v>보완요청</x:v>
      </x:c>
      <x:c r="E238" s="2" t="str">
        <x:f>IF('신청 원장'!L1267="","",'신청 원장'!L1267)</x:f>
      </x:c>
      <x:c r="F238" s="2" t="n">
        <x:f>IF('신청 원장'!M1267="","",'신청 원장'!M1267)</x:f>
        <x:v>1</x:v>
      </x:c>
      <x:c r="G238" s="2" t="n">
        <x:f>IF('신청 원장'!N1267="","",'신청 원장'!N1267)</x:f>
        <x:v>675</x:v>
      </x:c>
      <x:c r="H238" s="2" t="str">
        <x:f>IF('신청 원장'!AA1267="","",'신청 원장'!AA1267)</x:f>
        <x:v>내부 관찰 대상</x:v>
      </x:c>
      <x:c r="I238" s="2" t="str">
        <x:f>IF('신청 원장'!O1267="","",'신청 원장'!O1267)</x:f>
        <x:v>생략</x:v>
      </x:c>
      <x:c r="J238" s="2" t="str">
        <x:f>IF('신청 원장'!W1267="","",'신청 원장'!W1267)</x:f>
        <x:v>담당기관 확인</x:v>
      </x:c>
      <x:c r="K238" s="2" t="str">
        <x:f>IF('신청 원장'!X1267="","",'신청 원장'!X1267)</x:f>
        <x:v>원본·배정 기록 확인</x:v>
      </x:c>
      <x:c r="L238" s="2" t="str">
        <x:f>IF('신청 원장'!R1267="","",'신청 원장'!R1267)</x:f>
        <x:v>국내평가</x:v>
      </x:c>
      <x:c r="M238" s="2" t="n">
        <x:f>IF('신청 원장'!S1267="","",'신청 원장'!S1267)</x:f>
        <x:v>1170</x:v>
      </x:c>
      <x:c r="N238" s="2" t="str">
        <x:f>IF('신청 원장'!K1267&lt;&gt;"미종결 표시","종결 상태 확인",IF('신청 원장'!N1267="","일자 확인 필요",IF('신청 원장'!N1267&gt;365,"366일 이상",IF('신청 원장'!N1267&gt;90,"91~365일",IF('신청 원장'!N1267&gt;30,"31~90일","0~30일")))))</x:f>
        <x:v>366일 이상</x:v>
      </x:c>
      <x:c r="O238" s="2" t="str">
        <x:f>IF(OR('신청 원장'!L1267="",'신청 원장'!L1267="선택"),"담당 원문 확인","기재")</x:f>
        <x:v>담당 원문 확인</x:v>
      </x:c>
      <x:c r="P238" s="2" t="str">
        <x:f>IF('신청 원장'!A1267="","",'신청 원장'!A1267)</x:f>
        <x:v>f56bf8ff34abc64cc7168e49</x:v>
      </x:c>
    </x:row>
    <x:row r="239" ht="42" customHeight="1">
      <x:c r="A239" s="2" t="str">
        <x:f>IF('신청 원장'!B1269="","",'신청 원장'!B1269)</x:f>
        <x:v>사업 평가</x:v>
      </x:c>
      <x:c r="B239" s="7" t="str">
        <x:f>IF('신청 원장'!D1269="","",'신청 원장'!D1269)</x:f>
        <x:v>LH 공동주택 태양광 발전사업 2025-LH-004</x:v>
      </x:c>
      <x:c r="C239" s="2" t="str">
        <x:f>IF('신청 원장'!F1269="","",'신청 원장'!F1269)</x:f>
        <x:v>2025-01-03</x:v>
      </x:c>
      <x:c r="D239" s="2" t="str">
        <x:f>IF('신청 원장'!J1269="","",'신청 원장'!J1269)</x:f>
        <x:v>보완요청</x:v>
      </x:c>
      <x:c r="E239" s="2" t="str">
        <x:f>IF('신청 원장'!L1269="","",'신청 원장'!L1269)</x:f>
      </x:c>
      <x:c r="F239" s="2" t="n">
        <x:f>IF('신청 원장'!M1269="","",'신청 원장'!M1269)</x:f>
        <x:v>3</x:v>
      </x:c>
      <x:c r="G239" s="2" t="n">
        <x:f>IF('신청 원장'!N1269="","",'신청 원장'!N1269)</x:f>
        <x:v>650</x:v>
      </x:c>
      <x:c r="H239" s="2" t="str">
        <x:f>IF('신청 원장'!AA1269="","",'신청 원장'!AA1269)</x:f>
        <x:v>내부 관찰 대상</x:v>
      </x:c>
      <x:c r="I239" s="2" t="str">
        <x:f>IF('신청 원장'!O1269="","",'신청 원장'!O1269)</x:f>
        <x:v>생략</x:v>
      </x:c>
      <x:c r="J239" s="2" t="str">
        <x:f>IF('신청 원장'!W1269="","",'신청 원장'!W1269)</x:f>
        <x:v>담당기관 확인</x:v>
      </x:c>
      <x:c r="K239" s="2" t="str">
        <x:f>IF('신청 원장'!X1269="","",'신청 원장'!X1269)</x:f>
        <x:v>원본·배정 기록 확인</x:v>
      </x:c>
      <x:c r="L239" s="2" t="str">
        <x:f>IF('신청 원장'!R1269="","",'신청 원장'!R1269)</x:f>
        <x:v>국내평가</x:v>
      </x:c>
      <x:c r="M239" s="2" t="n">
        <x:f>IF('신청 원장'!S1269="","",'신청 원장'!S1269)</x:f>
        <x:v>1172</x:v>
      </x:c>
      <x:c r="N239" s="2" t="str">
        <x:f>IF('신청 원장'!K1269&lt;&gt;"미종결 표시","종결 상태 확인",IF('신청 원장'!N1269="","일자 확인 필요",IF('신청 원장'!N1269&gt;365,"366일 이상",IF('신청 원장'!N1269&gt;90,"91~365일",IF('신청 원장'!N1269&gt;30,"31~90일","0~30일")))))</x:f>
        <x:v>366일 이상</x:v>
      </x:c>
      <x:c r="O239" s="2" t="str">
        <x:f>IF(OR('신청 원장'!L1269="",'신청 원장'!L1269="선택"),"담당 원문 확인","기재")</x:f>
        <x:v>담당 원문 확인</x:v>
      </x:c>
      <x:c r="P239" s="2" t="str">
        <x:f>IF('신청 원장'!A1269="","",'신청 원장'!A1269)</x:f>
        <x:v>49021726e15b82c8c984894f</x:v>
      </x:c>
    </x:row>
    <x:row r="240" ht="42" customHeight="1">
      <x:c r="A240" s="2" t="str">
        <x:f>IF('신청 원장'!B1270="","",'신청 원장'!B1270)</x:f>
        <x:v>사업 평가</x:v>
      </x:c>
      <x:c r="B240" s="7" t="str">
        <x:f>IF('신청 원장'!D1270="","",'신청 원장'!D1270)</x:f>
        <x:v>LH 전북 공동주택 태양광 발전사업 2025-LH-002</x:v>
      </x:c>
      <x:c r="C240" s="2" t="str">
        <x:f>IF('신청 원장'!F1270="","",'신청 원장'!F1270)</x:f>
        <x:v>2025-01-03</x:v>
      </x:c>
      <x:c r="D240" s="2" t="str">
        <x:f>IF('신청 원장'!J1270="","",'신청 원장'!J1270)</x:f>
        <x:v>보완요청</x:v>
      </x:c>
      <x:c r="E240" s="2" t="str">
        <x:f>IF('신청 원장'!L1270="","",'신청 원장'!L1270)</x:f>
      </x:c>
      <x:c r="F240" s="2" t="n">
        <x:f>IF('신청 원장'!M1270="","",'신청 원장'!M1270)</x:f>
        <x:v>1</x:v>
      </x:c>
      <x:c r="G240" s="2" t="n">
        <x:f>IF('신청 원장'!N1270="","",'신청 원장'!N1270)</x:f>
        <x:v>650</x:v>
      </x:c>
      <x:c r="H240" s="2" t="str">
        <x:f>IF('신청 원장'!AA1270="","",'신청 원장'!AA1270)</x:f>
        <x:v>내부 관찰 대상</x:v>
      </x:c>
      <x:c r="I240" s="2" t="str">
        <x:f>IF('신청 원장'!O1270="","",'신청 원장'!O1270)</x:f>
        <x:v>생략</x:v>
      </x:c>
      <x:c r="J240" s="2" t="str">
        <x:f>IF('신청 원장'!W1270="","",'신청 원장'!W1270)</x:f>
        <x:v>담당기관 확인</x:v>
      </x:c>
      <x:c r="K240" s="2" t="str">
        <x:f>IF('신청 원장'!X1270="","",'신청 원장'!X1270)</x:f>
        <x:v>원본·배정 기록 확인</x:v>
      </x:c>
      <x:c r="L240" s="2" t="str">
        <x:f>IF('신청 원장'!R1270="","",'신청 원장'!R1270)</x:f>
        <x:v>국내평가</x:v>
      </x:c>
      <x:c r="M240" s="2" t="n">
        <x:f>IF('신청 원장'!S1270="","",'신청 원장'!S1270)</x:f>
        <x:v>1173</x:v>
      </x:c>
      <x:c r="N240" s="2" t="str">
        <x:f>IF('신청 원장'!K1270&lt;&gt;"미종결 표시","종결 상태 확인",IF('신청 원장'!N1270="","일자 확인 필요",IF('신청 원장'!N1270&gt;365,"366일 이상",IF('신청 원장'!N1270&gt;90,"91~365일",IF('신청 원장'!N1270&gt;30,"31~90일","0~30일")))))</x:f>
        <x:v>366일 이상</x:v>
      </x:c>
      <x:c r="O240" s="2" t="str">
        <x:f>IF(OR('신청 원장'!L1270="",'신청 원장'!L1270="선택"),"담당 원문 확인","기재")</x:f>
        <x:v>담당 원문 확인</x:v>
      </x:c>
      <x:c r="P240" s="2" t="str">
        <x:f>IF('신청 원장'!A1270="","",'신청 원장'!A1270)</x:f>
        <x:v>c1603b66af31efe25a0eaa30</x:v>
      </x:c>
    </x:row>
    <x:row r="241" ht="42" customHeight="1">
      <x:c r="A241" s="2" t="str">
        <x:f>IF('신청 원장'!B1271="","",'신청 원장'!B1271)</x:f>
        <x:v>사업 평가</x:v>
      </x:c>
      <x:c r="B241" s="7" t="str">
        <x:f>IF('신청 원장'!D1271="","",'신청 원장'!D1271)</x:f>
        <x:v>LH 공동주택 태양광 발전사업 2025-LH-003</x:v>
      </x:c>
      <x:c r="C241" s="2" t="str">
        <x:f>IF('신청 원장'!F1271="","",'신청 원장'!F1271)</x:f>
        <x:v>2025-01-03</x:v>
      </x:c>
      <x:c r="D241" s="2" t="str">
        <x:f>IF('신청 원장'!J1271="","",'신청 원장'!J1271)</x:f>
        <x:v>보완요청</x:v>
      </x:c>
      <x:c r="E241" s="2" t="str">
        <x:f>IF('신청 원장'!L1271="","",'신청 원장'!L1271)</x:f>
      </x:c>
      <x:c r="F241" s="2" t="n">
        <x:f>IF('신청 원장'!M1271="","",'신청 원장'!M1271)</x:f>
        <x:v>3</x:v>
      </x:c>
      <x:c r="G241" s="2" t="n">
        <x:f>IF('신청 원장'!N1271="","",'신청 원장'!N1271)</x:f>
        <x:v>650</x:v>
      </x:c>
      <x:c r="H241" s="2" t="str">
        <x:f>IF('신청 원장'!AA1271="","",'신청 원장'!AA1271)</x:f>
        <x:v>내부 관찰 대상</x:v>
      </x:c>
      <x:c r="I241" s="2" t="str">
        <x:f>IF('신청 원장'!O1271="","",'신청 원장'!O1271)</x:f>
        <x:v>생략</x:v>
      </x:c>
      <x:c r="J241" s="2" t="str">
        <x:f>IF('신청 원장'!W1271="","",'신청 원장'!W1271)</x:f>
        <x:v>담당기관 확인</x:v>
      </x:c>
      <x:c r="K241" s="2" t="str">
        <x:f>IF('신청 원장'!X1271="","",'신청 원장'!X1271)</x:f>
        <x:v>원본·배정 기록 확인</x:v>
      </x:c>
      <x:c r="L241" s="2" t="str">
        <x:f>IF('신청 원장'!R1271="","",'신청 원장'!R1271)</x:f>
        <x:v>국내평가</x:v>
      </x:c>
      <x:c r="M241" s="2" t="n">
        <x:f>IF('신청 원장'!S1271="","",'신청 원장'!S1271)</x:f>
        <x:v>1174</x:v>
      </x:c>
      <x:c r="N241" s="2" t="str">
        <x:f>IF('신청 원장'!K1271&lt;&gt;"미종결 표시","종결 상태 확인",IF('신청 원장'!N1271="","일자 확인 필요",IF('신청 원장'!N1271&gt;365,"366일 이상",IF('신청 원장'!N1271&gt;90,"91~365일",IF('신청 원장'!N1271&gt;30,"31~90일","0~30일")))))</x:f>
        <x:v>366일 이상</x:v>
      </x:c>
      <x:c r="O241" s="2" t="str">
        <x:f>IF(OR('신청 원장'!L1271="",'신청 원장'!L1271="선택"),"담당 원문 확인","기재")</x:f>
        <x:v>담당 원문 확인</x:v>
      </x:c>
      <x:c r="P241" s="2" t="str">
        <x:f>IF('신청 원장'!A1271="","",'신청 원장'!A1271)</x:f>
        <x:v>ff1aff7ee39464fe358e482e</x:v>
      </x:c>
    </x:row>
    <x:row r="242" ht="42" customHeight="1">
      <x:c r="A242" s="2" t="str">
        <x:f>IF('신청 원장'!B1272="","",'신청 원장'!B1272)</x:f>
        <x:v>사업 평가</x:v>
      </x:c>
      <x:c r="B242" s="7" t="str">
        <x:f>IF('신청 원장'!D1272="","",'신청 원장'!D1272)</x:f>
        <x:v>LH 공동주택 태양광 발전사업 2025-LH-002</x:v>
      </x:c>
      <x:c r="C242" s="2" t="str">
        <x:f>IF('신청 원장'!F1272="","",'신청 원장'!F1272)</x:f>
        <x:v>2025-01-03</x:v>
      </x:c>
      <x:c r="D242" s="2" t="str">
        <x:f>IF('신청 원장'!J1272="","",'신청 원장'!J1272)</x:f>
        <x:v>보완요청</x:v>
      </x:c>
      <x:c r="E242" s="2" t="str">
        <x:f>IF('신청 원장'!L1272="","",'신청 원장'!L1272)</x:f>
      </x:c>
      <x:c r="F242" s="2" t="n">
        <x:f>IF('신청 원장'!M1272="","",'신청 원장'!M1272)</x:f>
        <x:v>3</x:v>
      </x:c>
      <x:c r="G242" s="2" t="n">
        <x:f>IF('신청 원장'!N1272="","",'신청 원장'!N1272)</x:f>
        <x:v>650</x:v>
      </x:c>
      <x:c r="H242" s="2" t="str">
        <x:f>IF('신청 원장'!AA1272="","",'신청 원장'!AA1272)</x:f>
        <x:v>내부 관찰 대상</x:v>
      </x:c>
      <x:c r="I242" s="2" t="str">
        <x:f>IF('신청 원장'!O1272="","",'신청 원장'!O1272)</x:f>
        <x:v>생략</x:v>
      </x:c>
      <x:c r="J242" s="2" t="str">
        <x:f>IF('신청 원장'!W1272="","",'신청 원장'!W1272)</x:f>
        <x:v>담당기관 확인</x:v>
      </x:c>
      <x:c r="K242" s="2" t="str">
        <x:f>IF('신청 원장'!X1272="","",'신청 원장'!X1272)</x:f>
        <x:v>원본·배정 기록 확인</x:v>
      </x:c>
      <x:c r="L242" s="2" t="str">
        <x:f>IF('신청 원장'!R1272="","",'신청 원장'!R1272)</x:f>
        <x:v>국내평가</x:v>
      </x:c>
      <x:c r="M242" s="2" t="n">
        <x:f>IF('신청 원장'!S1272="","",'신청 원장'!S1272)</x:f>
        <x:v>1175</x:v>
      </x:c>
      <x:c r="N242" s="2" t="str">
        <x:f>IF('신청 원장'!K1272&lt;&gt;"미종결 표시","종결 상태 확인",IF('신청 원장'!N1272="","일자 확인 필요",IF('신청 원장'!N1272&gt;365,"366일 이상",IF('신청 원장'!N1272&gt;90,"91~365일",IF('신청 원장'!N1272&gt;30,"31~90일","0~30일")))))</x:f>
        <x:v>366일 이상</x:v>
      </x:c>
      <x:c r="O242" s="2" t="str">
        <x:f>IF(OR('신청 원장'!L1272="",'신청 원장'!L1272="선택"),"담당 원문 확인","기재")</x:f>
        <x:v>담당 원문 확인</x:v>
      </x:c>
      <x:c r="P242" s="2" t="str">
        <x:f>IF('신청 원장'!A1272="","",'신청 원장'!A1272)</x:f>
        <x:v>f3331c7250cefe6f20a541e8</x:v>
      </x:c>
    </x:row>
    <x:row r="243" ht="42" customHeight="1">
      <x:c r="A243" s="2" t="str">
        <x:f>IF('신청 원장'!B1273="","",'신청 원장'!B1273)</x:f>
        <x:v>사업 평가</x:v>
      </x:c>
      <x:c r="B243" s="7" t="str">
        <x:f>IF('신청 원장'!D1273="","",'신청 원장'!D1273)</x:f>
        <x:v>LH 인천 공동주택 태양광 발전사업 2025-LH-005</x:v>
      </x:c>
      <x:c r="C243" s="2" t="str">
        <x:f>IF('신청 원장'!F1273="","",'신청 원장'!F1273)</x:f>
        <x:v>2025-01-03</x:v>
      </x:c>
      <x:c r="D243" s="2" t="str">
        <x:f>IF('신청 원장'!J1273="","",'신청 원장'!J1273)</x:f>
        <x:v>보완요청</x:v>
      </x:c>
      <x:c r="E243" s="2" t="str">
        <x:f>IF('신청 원장'!L1273="","",'신청 원장'!L1273)</x:f>
      </x:c>
      <x:c r="F243" s="2" t="n">
        <x:f>IF('신청 원장'!M1273="","",'신청 원장'!M1273)</x:f>
        <x:v>1</x:v>
      </x:c>
      <x:c r="G243" s="2" t="n">
        <x:f>IF('신청 원장'!N1273="","",'신청 원장'!N1273)</x:f>
        <x:v>650</x:v>
      </x:c>
      <x:c r="H243" s="2" t="str">
        <x:f>IF('신청 원장'!AA1273="","",'신청 원장'!AA1273)</x:f>
        <x:v>내부 관찰 대상</x:v>
      </x:c>
      <x:c r="I243" s="2" t="str">
        <x:f>IF('신청 원장'!O1273="","",'신청 원장'!O1273)</x:f>
        <x:v>생략</x:v>
      </x:c>
      <x:c r="J243" s="2" t="str">
        <x:f>IF('신청 원장'!W1273="","",'신청 원장'!W1273)</x:f>
        <x:v>담당기관 확인</x:v>
      </x:c>
      <x:c r="K243" s="2" t="str">
        <x:f>IF('신청 원장'!X1273="","",'신청 원장'!X1273)</x:f>
        <x:v>원본·배정 기록 확인</x:v>
      </x:c>
      <x:c r="L243" s="2" t="str">
        <x:f>IF('신청 원장'!R1273="","",'신청 원장'!R1273)</x:f>
        <x:v>국내평가</x:v>
      </x:c>
      <x:c r="M243" s="2" t="n">
        <x:f>IF('신청 원장'!S1273="","",'신청 원장'!S1273)</x:f>
        <x:v>1176</x:v>
      </x:c>
      <x:c r="N243" s="2" t="str">
        <x:f>IF('신청 원장'!K1273&lt;&gt;"미종결 표시","종결 상태 확인",IF('신청 원장'!N1273="","일자 확인 필요",IF('신청 원장'!N1273&gt;365,"366일 이상",IF('신청 원장'!N1273&gt;90,"91~365일",IF('신청 원장'!N1273&gt;30,"31~90일","0~30일")))))</x:f>
        <x:v>366일 이상</x:v>
      </x:c>
      <x:c r="O243" s="2" t="str">
        <x:f>IF(OR('신청 원장'!L1273="",'신청 원장'!L1273="선택"),"담당 원문 확인","기재")</x:f>
        <x:v>담당 원문 확인</x:v>
      </x:c>
      <x:c r="P243" s="2" t="str">
        <x:f>IF('신청 원장'!A1273="","",'신청 원장'!A1273)</x:f>
        <x:v>c4f1a85fd5bb206b3784c4b6</x:v>
      </x:c>
    </x:row>
    <x:row r="244" ht="42" customHeight="1">
      <x:c r="A244" s="2" t="str">
        <x:f>IF('신청 원장'!B1274="","",'신청 원장'!B1274)</x:f>
        <x:v>사업 평가</x:v>
      </x:c>
      <x:c r="B244" s="7" t="str">
        <x:f>IF('신청 원장'!D1274="","",'신청 원장'!D1274)</x:f>
        <x:v>LH 공동주택 태양광 발전사업 2025-LH-001</x:v>
      </x:c>
      <x:c r="C244" s="2" t="str">
        <x:f>IF('신청 원장'!F1274="","",'신청 원장'!F1274)</x:f>
        <x:v>2025-01-03</x:v>
      </x:c>
      <x:c r="D244" s="2" t="str">
        <x:f>IF('신청 원장'!J1274="","",'신청 원장'!J1274)</x:f>
        <x:v>보완요청</x:v>
      </x:c>
      <x:c r="E244" s="2" t="str">
        <x:f>IF('신청 원장'!L1274="","",'신청 원장'!L1274)</x:f>
      </x:c>
      <x:c r="F244" s="2" t="n">
        <x:f>IF('신청 원장'!M1274="","",'신청 원장'!M1274)</x:f>
        <x:v>3</x:v>
      </x:c>
      <x:c r="G244" s="2" t="n">
        <x:f>IF('신청 원장'!N1274="","",'신청 원장'!N1274)</x:f>
        <x:v>650</x:v>
      </x:c>
      <x:c r="H244" s="2" t="str">
        <x:f>IF('신청 원장'!AA1274="","",'신청 원장'!AA1274)</x:f>
        <x:v>내부 관찰 대상</x:v>
      </x:c>
      <x:c r="I244" s="2" t="str">
        <x:f>IF('신청 원장'!O1274="","",'신청 원장'!O1274)</x:f>
        <x:v>생략</x:v>
      </x:c>
      <x:c r="J244" s="2" t="str">
        <x:f>IF('신청 원장'!W1274="","",'신청 원장'!W1274)</x:f>
        <x:v>담당기관 확인</x:v>
      </x:c>
      <x:c r="K244" s="2" t="str">
        <x:f>IF('신청 원장'!X1274="","",'신청 원장'!X1274)</x:f>
        <x:v>원본·배정 기록 확인</x:v>
      </x:c>
      <x:c r="L244" s="2" t="str">
        <x:f>IF('신청 원장'!R1274="","",'신청 원장'!R1274)</x:f>
        <x:v>국내평가</x:v>
      </x:c>
      <x:c r="M244" s="2" t="n">
        <x:f>IF('신청 원장'!S1274="","",'신청 원장'!S1274)</x:f>
        <x:v>1177</x:v>
      </x:c>
      <x:c r="N244" s="2" t="str">
        <x:f>IF('신청 원장'!K1274&lt;&gt;"미종결 표시","종결 상태 확인",IF('신청 원장'!N1274="","일자 확인 필요",IF('신청 원장'!N1274&gt;365,"366일 이상",IF('신청 원장'!N1274&gt;90,"91~365일",IF('신청 원장'!N1274&gt;30,"31~90일","0~30일")))))</x:f>
        <x:v>366일 이상</x:v>
      </x:c>
      <x:c r="O244" s="2" t="str">
        <x:f>IF(OR('신청 원장'!L1274="",'신청 원장'!L1274="선택"),"담당 원문 확인","기재")</x:f>
        <x:v>담당 원문 확인</x:v>
      </x:c>
      <x:c r="P244" s="2" t="str">
        <x:f>IF('신청 원장'!A1274="","",'신청 원장'!A1274)</x:f>
        <x:v>b8ec5a917ea05ac2f0f6611b</x:v>
      </x:c>
    </x:row>
    <x:row r="245" ht="42" customHeight="1">
      <x:c r="A245" s="2" t="str">
        <x:f>IF('신청 원장'!B1278="","",'신청 원장'!B1278)</x:f>
        <x:v>사업 평가</x:v>
      </x:c>
      <x:c r="B245" s="7" t="str">
        <x:f>IF('신청 원장'!D1278="","",'신청 원장'!D1278)</x:f>
        <x:v>주식회사일아아스콘 연료전환(B-C유, 등유 → LPG)을 통한 온실가스 배출 감축사업</x:v>
      </x:c>
      <x:c r="C245" s="2" t="str">
        <x:f>IF('신청 원장'!F1278="","",'신청 원장'!F1278)</x:f>
        <x:v>2025-01-10</x:v>
      </x:c>
      <x:c r="D245" s="2" t="str">
        <x:f>IF('신청 원장'!J1278="","",'신청 원장'!J1278)</x:f>
        <x:v>기후부협의</x:v>
      </x:c>
      <x:c r="E245" s="2" t="str">
        <x:f>IF('신청 원장'!L1278="","",'신청 원장'!L1278)</x:f>
      </x:c>
      <x:c r="F245" s="2" t="str">
        <x:f>IF('신청 원장'!M1278="","",'신청 원장'!M1278)</x:f>
      </x:c>
      <x:c r="G245" s="2" t="n">
        <x:f>IF('신청 원장'!N1278="","",'신청 원장'!N1278)</x:f>
        <x:v>643</x:v>
      </x:c>
      <x:c r="H245" s="2" t="str">
        <x:f>IF('신청 원장'!AA1278="","",'신청 원장'!AA1278)</x:f>
        <x:v>내부 관찰 대상</x:v>
      </x:c>
      <x:c r="I245" s="2" t="str">
        <x:f>IF('신청 원장'!O1278="","",'신청 원장'!O1278)</x:f>
        <x:v>생략</x:v>
      </x:c>
      <x:c r="J245" s="2" t="str">
        <x:f>IF('신청 원장'!W1278="","",'신청 원장'!W1278)</x:f>
        <x:v>담당기관 확인</x:v>
      </x:c>
      <x:c r="K245" s="2" t="str">
        <x:f>IF('신청 원장'!X1278="","",'신청 원장'!X1278)</x:f>
        <x:v>원본·배정 기록 확인</x:v>
      </x:c>
      <x:c r="L245" s="2" t="str">
        <x:f>IF('신청 원장'!R1278="","",'신청 원장'!R1278)</x:f>
        <x:v>국내평가</x:v>
      </x:c>
      <x:c r="M245" s="2" t="n">
        <x:f>IF('신청 원장'!S1278="","",'신청 원장'!S1278)</x:f>
        <x:v>1181</x:v>
      </x:c>
      <x:c r="N245" s="2" t="str">
        <x:f>IF('신청 원장'!K1278&lt;&gt;"미종결 표시","종결 상태 확인",IF('신청 원장'!N1278="","일자 확인 필요",IF('신청 원장'!N1278&gt;365,"366일 이상",IF('신청 원장'!N1278&gt;90,"91~365일",IF('신청 원장'!N1278&gt;30,"31~90일","0~30일")))))</x:f>
        <x:v>366일 이상</x:v>
      </x:c>
      <x:c r="O245" s="2" t="str">
        <x:f>IF(OR('신청 원장'!L1278="",'신청 원장'!L1278="선택"),"담당 원문 확인","기재")</x:f>
        <x:v>담당 원문 확인</x:v>
      </x:c>
      <x:c r="P245" s="2" t="str">
        <x:f>IF('신청 원장'!A1278="","",'신청 원장'!A1278)</x:f>
        <x:v>19e3b73a2bf0fe4aed8d5d40</x:v>
      </x:c>
    </x:row>
    <x:row r="246" ht="42" customHeight="1">
      <x:c r="A246" s="2" t="str">
        <x:f>IF('신청 원장'!B1281="","",'신청 원장'!B1281)</x:f>
        <x:v>사업 평가</x:v>
      </x:c>
      <x:c r="B246" s="7" t="str">
        <x:f>IF('신청 원장'!D1281="","",'신청 원장'!D1281)</x:f>
        <x:v>전주시 도로 조명시설 조도 및 에너지효율 개선사업</x:v>
      </x:c>
      <x:c r="C246" s="2" t="str">
        <x:f>IF('신청 원장'!F1281="","",'신청 원장'!F1281)</x:f>
        <x:v>2025-02-04</x:v>
      </x:c>
      <x:c r="D246" s="2" t="str">
        <x:f>IF('신청 원장'!J1281="","",'신청 원장'!J1281)</x:f>
        <x:v>보완요청</x:v>
      </x:c>
      <x:c r="E246" s="2" t="str">
        <x:f>IF('신청 원장'!L1281="","",'신청 원장'!L1281)</x:f>
      </x:c>
      <x:c r="F246" s="2" t="n">
        <x:f>IF('신청 원장'!M1281="","",'신청 원장'!M1281)</x:f>
        <x:v>1</x:v>
      </x:c>
      <x:c r="G246" s="2" t="n">
        <x:f>IF('신청 원장'!N1281="","",'신청 원장'!N1281)</x:f>
        <x:v>618</x:v>
      </x:c>
      <x:c r="H246" s="2" t="str">
        <x:f>IF('신청 원장'!AA1281="","",'신청 원장'!AA1281)</x:f>
        <x:v>내부 관찰 대상</x:v>
      </x:c>
      <x:c r="I246" s="2" t="str">
        <x:f>IF('신청 원장'!O1281="","",'신청 원장'!O1281)</x:f>
        <x:v>생략</x:v>
      </x:c>
      <x:c r="J246" s="2" t="str">
        <x:f>IF('신청 원장'!W1281="","",'신청 원장'!W1281)</x:f>
        <x:v>담당기관 확인</x:v>
      </x:c>
      <x:c r="K246" s="2" t="str">
        <x:f>IF('신청 원장'!X1281="","",'신청 원장'!X1281)</x:f>
        <x:v>원본·배정 기록 확인</x:v>
      </x:c>
      <x:c r="L246" s="2" t="str">
        <x:f>IF('신청 원장'!R1281="","",'신청 원장'!R1281)</x:f>
        <x:v>국내평가</x:v>
      </x:c>
      <x:c r="M246" s="2" t="n">
        <x:f>IF('신청 원장'!S1281="","",'신청 원장'!S1281)</x:f>
        <x:v>1184</x:v>
      </x:c>
      <x:c r="N246" s="2" t="str">
        <x:f>IF('신청 원장'!K1281&lt;&gt;"미종결 표시","종결 상태 확인",IF('신청 원장'!N1281="","일자 확인 필요",IF('신청 원장'!N1281&gt;365,"366일 이상",IF('신청 원장'!N1281&gt;90,"91~365일",IF('신청 원장'!N1281&gt;30,"31~90일","0~30일")))))</x:f>
        <x:v>366일 이상</x:v>
      </x:c>
      <x:c r="O246" s="2" t="str">
        <x:f>IF(OR('신청 원장'!L1281="",'신청 원장'!L1281="선택"),"담당 원문 확인","기재")</x:f>
        <x:v>담당 원문 확인</x:v>
      </x:c>
      <x:c r="P246" s="2" t="str">
        <x:f>IF('신청 원장'!A1281="","",'신청 원장'!A1281)</x:f>
        <x:v>7e32f9cf25e8e88c7a395667</x:v>
      </x:c>
    </x:row>
    <x:row r="247" ht="42" customHeight="1">
      <x:c r="A247" s="2" t="str">
        <x:f>IF('신청 원장'!B1287="","",'신청 원장'!B1287)</x:f>
        <x:v>사업 평가</x:v>
      </x:c>
      <x:c r="B247" s="7" t="str">
        <x:f>IF('신청 원장'!D1287="","",'신청 원장'!D1287)</x:f>
        <x:v>청화요업(주) 소성로 연료전환(B-C유에서 LPG)을 통한 온실가스 배출 감축사업</x:v>
      </x:c>
      <x:c r="C247" s="2" t="str">
        <x:f>IF('신청 원장'!F1287="","",'신청 원장'!F1287)</x:f>
        <x:v>2025-02-26</x:v>
      </x:c>
      <x:c r="D247" s="2" t="str">
        <x:f>IF('신청 원장'!J1287="","",'신청 원장'!J1287)</x:f>
        <x:v>보완요청</x:v>
      </x:c>
      <x:c r="E247" s="2" t="str">
        <x:f>IF('신청 원장'!L1287="","",'신청 원장'!L1287)</x:f>
      </x:c>
      <x:c r="F247" s="2" t="n">
        <x:f>IF('신청 원장'!M1287="","",'신청 원장'!M1287)</x:f>
        <x:v>3</x:v>
      </x:c>
      <x:c r="G247" s="2" t="n">
        <x:f>IF('신청 원장'!N1287="","",'신청 원장'!N1287)</x:f>
        <x:v>596</x:v>
      </x:c>
      <x:c r="H247" s="2" t="str">
        <x:f>IF('신청 원장'!AA1287="","",'신청 원장'!AA1287)</x:f>
        <x:v>내부 관찰 대상</x:v>
      </x:c>
      <x:c r="I247" s="2" t="str">
        <x:f>IF('신청 원장'!O1287="","",'신청 원장'!O1287)</x:f>
        <x:v>생략</x:v>
      </x:c>
      <x:c r="J247" s="2" t="str">
        <x:f>IF('신청 원장'!W1287="","",'신청 원장'!W1287)</x:f>
        <x:v>담당기관 확인</x:v>
      </x:c>
      <x:c r="K247" s="2" t="str">
        <x:f>IF('신청 원장'!X1287="","",'신청 원장'!X1287)</x:f>
        <x:v>원본·배정 기록 확인</x:v>
      </x:c>
      <x:c r="L247" s="2" t="str">
        <x:f>IF('신청 원장'!R1287="","",'신청 원장'!R1287)</x:f>
        <x:v>국내평가</x:v>
      </x:c>
      <x:c r="M247" s="2" t="n">
        <x:f>IF('신청 원장'!S1287="","",'신청 원장'!S1287)</x:f>
        <x:v>1190</x:v>
      </x:c>
      <x:c r="N247" s="2" t="str">
        <x:f>IF('신청 원장'!K1287&lt;&gt;"미종결 표시","종결 상태 확인",IF('신청 원장'!N1287="","일자 확인 필요",IF('신청 원장'!N1287&gt;365,"366일 이상",IF('신청 원장'!N1287&gt;90,"91~365일",IF('신청 원장'!N1287&gt;30,"31~90일","0~30일")))))</x:f>
        <x:v>366일 이상</x:v>
      </x:c>
      <x:c r="O247" s="2" t="str">
        <x:f>IF(OR('신청 원장'!L1287="",'신청 원장'!L1287="선택"),"담당 원문 확인","기재")</x:f>
        <x:v>담당 원문 확인</x:v>
      </x:c>
      <x:c r="P247" s="2" t="str">
        <x:f>IF('신청 원장'!A1287="","",'신청 원장'!A1287)</x:f>
        <x:v>4b66882c00edf91f04111242</x:v>
      </x:c>
    </x:row>
    <x:row r="248" ht="42" customHeight="1">
      <x:c r="A248" s="2" t="str">
        <x:f>IF('신청 원장'!B1289="","",'신청 원장'!B1289)</x:f>
        <x:v>사업 평가</x:v>
      </x:c>
      <x:c r="B248" s="7" t="str">
        <x:f>IF('신청 원장'!D1289="","",'신청 원장'!D1289)</x:f>
        <x:v>반월중앙도금공단 폐열회수시설 적용을 통한 온실가스  감축 사업</x:v>
      </x:c>
      <x:c r="C248" s="2" t="str">
        <x:f>IF('신청 원장'!F1289="","",'신청 원장'!F1289)</x:f>
        <x:v>2025-02-27</x:v>
      </x:c>
      <x:c r="D248" s="2" t="str">
        <x:f>IF('신청 원장'!J1289="","",'신청 원장'!J1289)</x:f>
        <x:v>보완요청</x:v>
      </x:c>
      <x:c r="E248" s="2" t="str">
        <x:f>IF('신청 원장'!L1289="","",'신청 원장'!L1289)</x:f>
      </x:c>
      <x:c r="F248" s="2" t="n">
        <x:f>IF('신청 원장'!M1289="","",'신청 원장'!M1289)</x:f>
        <x:v>1</x:v>
      </x:c>
      <x:c r="G248" s="2" t="n">
        <x:f>IF('신청 원장'!N1289="","",'신청 원장'!N1289)</x:f>
        <x:v>595</x:v>
      </x:c>
      <x:c r="H248" s="2" t="str">
        <x:f>IF('신청 원장'!AA1289="","",'신청 원장'!AA1289)</x:f>
        <x:v>내부 관찰 대상</x:v>
      </x:c>
      <x:c r="I248" s="2" t="str">
        <x:f>IF('신청 원장'!O1289="","",'신청 원장'!O1289)</x:f>
        <x:v>평가 후 결정</x:v>
      </x:c>
      <x:c r="J248" s="2" t="str">
        <x:f>IF('신청 원장'!W1289="","",'신청 원장'!W1289)</x:f>
        <x:v>담당기관 확인</x:v>
      </x:c>
      <x:c r="K248" s="2" t="str">
        <x:f>IF('신청 원장'!X1289="","",'신청 원장'!X1289)</x:f>
        <x:v>원본·배정 기록 확인</x:v>
      </x:c>
      <x:c r="L248" s="2" t="str">
        <x:f>IF('신청 원장'!R1289="","",'신청 원장'!R1289)</x:f>
        <x:v>국내평가</x:v>
      </x:c>
      <x:c r="M248" s="2" t="n">
        <x:f>IF('신청 원장'!S1289="","",'신청 원장'!S1289)</x:f>
        <x:v>1192</x:v>
      </x:c>
      <x:c r="N248" s="2" t="str">
        <x:f>IF('신청 원장'!K1289&lt;&gt;"미종결 표시","종결 상태 확인",IF('신청 원장'!N1289="","일자 확인 필요",IF('신청 원장'!N1289&gt;365,"366일 이상",IF('신청 원장'!N1289&gt;90,"91~365일",IF('신청 원장'!N1289&gt;30,"31~90일","0~30일")))))</x:f>
        <x:v>366일 이상</x:v>
      </x:c>
      <x:c r="O248" s="2" t="str">
        <x:f>IF(OR('신청 원장'!L1289="",'신청 원장'!L1289="선택"),"담당 원문 확인","기재")</x:f>
        <x:v>담당 원문 확인</x:v>
      </x:c>
      <x:c r="P248" s="2" t="str">
        <x:f>IF('신청 원장'!A1289="","",'신청 원장'!A1289)</x:f>
        <x:v>ccd7b6b3278c91c87135904d</x:v>
      </x:c>
    </x:row>
    <x:row r="249" ht="42" customHeight="1">
      <x:c r="A249" s="2" t="str">
        <x:f>IF('신청 원장'!B1292="","",'신청 원장'!B1292)</x:f>
        <x:v>사업 평가</x:v>
      </x:c>
      <x:c r="B249" s="7" t="str">
        <x:f>IF('신청 원장'!D1292="","",'신청 원장'!D1292)</x:f>
        <x:v>농산아스콘㈜ 연료전환(B-C유, 감압정제유→LPG)을 통한 온실가스 배출 감축사업</x:v>
      </x:c>
      <x:c r="C249" s="2" t="str">
        <x:f>IF('신청 원장'!F1292="","",'신청 원장'!F1292)</x:f>
        <x:v>2025-03-10</x:v>
      </x:c>
      <x:c r="D249" s="2" t="str">
        <x:f>IF('신청 원장'!J1292="","",'신청 원장'!J1292)</x:f>
        <x:v>평가중</x:v>
      </x:c>
      <x:c r="E249" s="2" t="str">
        <x:f>IF('신청 원장'!L1292="","",'신청 원장'!L1292)</x:f>
      </x:c>
      <x:c r="F249" s="2" t="str">
        <x:f>IF('신청 원장'!M1292="","",'신청 원장'!M1292)</x:f>
      </x:c>
      <x:c r="G249" s="2" t="n">
        <x:f>IF('신청 원장'!N1292="","",'신청 원장'!N1292)</x:f>
        <x:v>584</x:v>
      </x:c>
      <x:c r="H249" s="2" t="str">
        <x:f>IF('신청 원장'!AA1292="","",'신청 원장'!AA1292)</x:f>
        <x:v>내부 관찰 대상</x:v>
      </x:c>
      <x:c r="I249" s="2" t="str">
        <x:f>IF('신청 원장'!O1292="","",'신청 원장'!O1292)</x:f>
        <x:v>생략</x:v>
      </x:c>
      <x:c r="J249" s="2" t="str">
        <x:f>IF('신청 원장'!W1292="","",'신청 원장'!W1292)</x:f>
        <x:v>담당기관 확인</x:v>
      </x:c>
      <x:c r="K249" s="2" t="str">
        <x:f>IF('신청 원장'!X1292="","",'신청 원장'!X1292)</x:f>
        <x:v>원본·배정 기록 확인</x:v>
      </x:c>
      <x:c r="L249" s="2" t="str">
        <x:f>IF('신청 원장'!R1292="","",'신청 원장'!R1292)</x:f>
        <x:v>국내평가</x:v>
      </x:c>
      <x:c r="M249" s="2" t="n">
        <x:f>IF('신청 원장'!S1292="","",'신청 원장'!S1292)</x:f>
        <x:v>1195</x:v>
      </x:c>
      <x:c r="N249" s="2" t="str">
        <x:f>IF('신청 원장'!K1292&lt;&gt;"미종결 표시","종결 상태 확인",IF('신청 원장'!N1292="","일자 확인 필요",IF('신청 원장'!N1292&gt;365,"366일 이상",IF('신청 원장'!N1292&gt;90,"91~365일",IF('신청 원장'!N1292&gt;30,"31~90일","0~30일")))))</x:f>
        <x:v>366일 이상</x:v>
      </x:c>
      <x:c r="O249" s="2" t="str">
        <x:f>IF(OR('신청 원장'!L1292="",'신청 원장'!L1292="선택"),"담당 원문 확인","기재")</x:f>
        <x:v>담당 원문 확인</x:v>
      </x:c>
      <x:c r="P249" s="2" t="str">
        <x:f>IF('신청 원장'!A1292="","",'신청 원장'!A1292)</x:f>
        <x:v>f450b396b1d65af2d77f0df8</x:v>
      </x:c>
    </x:row>
    <x:row r="250" ht="42" customHeight="1">
      <x:c r="A250" s="2" t="str">
        <x:f>IF('신청 원장'!B1294="","",'신청 원장'!B1294)</x:f>
        <x:v>사업 평가</x:v>
      </x:c>
      <x:c r="B250" s="7" t="str">
        <x:f>IF('신청 원장'!D1294="","",'신청 원장'!D1294)</x:f>
        <x:v>㈜경북환경 연료전환(B-C유 → LPG)을 통한 온실가스 배출 감축사업</x:v>
      </x:c>
      <x:c r="C250" s="2" t="str">
        <x:f>IF('신청 원장'!F1294="","",'신청 원장'!F1294)</x:f>
        <x:v>2025-03-12</x:v>
      </x:c>
      <x:c r="D250" s="2" t="str">
        <x:f>IF('신청 원장'!J1294="","",'신청 원장'!J1294)</x:f>
        <x:v>평가중</x:v>
      </x:c>
      <x:c r="E250" s="2" t="str">
        <x:f>IF('신청 원장'!L1294="","",'신청 원장'!L1294)</x:f>
      </x:c>
      <x:c r="F250" s="2" t="str">
        <x:f>IF('신청 원장'!M1294="","",'신청 원장'!M1294)</x:f>
      </x:c>
      <x:c r="G250" s="2" t="n">
        <x:f>IF('신청 원장'!N1294="","",'신청 원장'!N1294)</x:f>
        <x:v>582</x:v>
      </x:c>
      <x:c r="H250" s="2" t="str">
        <x:f>IF('신청 원장'!AA1294="","",'신청 원장'!AA1294)</x:f>
        <x:v>내부 관찰 대상</x:v>
      </x:c>
      <x:c r="I250" s="2" t="str">
        <x:f>IF('신청 원장'!O1294="","",'신청 원장'!O1294)</x:f>
        <x:v>생략</x:v>
      </x:c>
      <x:c r="J250" s="2" t="str">
        <x:f>IF('신청 원장'!W1294="","",'신청 원장'!W1294)</x:f>
        <x:v>담당기관 확인</x:v>
      </x:c>
      <x:c r="K250" s="2" t="str">
        <x:f>IF('신청 원장'!X1294="","",'신청 원장'!X1294)</x:f>
        <x:v>원본·배정 기록 확인</x:v>
      </x:c>
      <x:c r="L250" s="2" t="str">
        <x:f>IF('신청 원장'!R1294="","",'신청 원장'!R1294)</x:f>
        <x:v>국내평가</x:v>
      </x:c>
      <x:c r="M250" s="2" t="n">
        <x:f>IF('신청 원장'!S1294="","",'신청 원장'!S1294)</x:f>
        <x:v>1197</x:v>
      </x:c>
      <x:c r="N250" s="2" t="str">
        <x:f>IF('신청 원장'!K1294&lt;&gt;"미종결 표시","종결 상태 확인",IF('신청 원장'!N1294="","일자 확인 필요",IF('신청 원장'!N1294&gt;365,"366일 이상",IF('신청 원장'!N1294&gt;90,"91~365일",IF('신청 원장'!N1294&gt;30,"31~90일","0~30일")))))</x:f>
        <x:v>366일 이상</x:v>
      </x:c>
      <x:c r="O250" s="2" t="str">
        <x:f>IF(OR('신청 원장'!L1294="",'신청 원장'!L1294="선택"),"담당 원문 확인","기재")</x:f>
        <x:v>담당 원문 확인</x:v>
      </x:c>
      <x:c r="P250" s="2" t="str">
        <x:f>IF('신청 원장'!A1294="","",'신청 원장'!A1294)</x:f>
        <x:v>00b7709bf4ae66eece5821da</x:v>
      </x:c>
    </x:row>
    <x:row r="251" ht="42" customHeight="1">
      <x:c r="A251" s="2" t="str">
        <x:f>IF('신청 원장'!B1305="","",'신청 원장'!B1305)</x:f>
        <x:v>사업 평가</x:v>
      </x:c>
      <x:c r="B251" s="7" t="str">
        <x:f>IF('신청 원장'!D1305="","",'신청 원장'!D1305)</x:f>
        <x:v>금산환경재생산업(주) 연료전환(B-C유 → LPG)을 통한 온실가스 배출 감축사업</x:v>
      </x:c>
      <x:c r="C251" s="2" t="str">
        <x:f>IF('신청 원장'!F1305="","",'신청 원장'!F1305)</x:f>
        <x:v>2025-06-05</x:v>
      </x:c>
      <x:c r="D251" s="2" t="str">
        <x:f>IF('신청 원장'!J1305="","",'신청 원장'!J1305)</x:f>
        <x:v>보완요청</x:v>
      </x:c>
      <x:c r="E251" s="2" t="str">
        <x:f>IF('신청 원장'!L1305="","",'신청 원장'!L1305)</x:f>
      </x:c>
      <x:c r="F251" s="2" t="n">
        <x:f>IF('신청 원장'!M1305="","",'신청 원장'!M1305)</x:f>
        <x:v>2</x:v>
      </x:c>
      <x:c r="G251" s="2" t="n">
        <x:f>IF('신청 원장'!N1305="","",'신청 원장'!N1305)</x:f>
        <x:v>497</x:v>
      </x:c>
      <x:c r="H251" s="2" t="str">
        <x:f>IF('신청 원장'!AA1305="","",'신청 원장'!AA1305)</x:f>
        <x:v>내부 관찰 대상</x:v>
      </x:c>
      <x:c r="I251" s="2" t="str">
        <x:f>IF('신청 원장'!O1305="","",'신청 원장'!O1305)</x:f>
        <x:v>생략</x:v>
      </x:c>
      <x:c r="J251" s="2" t="str">
        <x:f>IF('신청 원장'!W1305="","",'신청 원장'!W1305)</x:f>
        <x:v>담당기관 확인</x:v>
      </x:c>
      <x:c r="K251" s="2" t="str">
        <x:f>IF('신청 원장'!X1305="","",'신청 원장'!X1305)</x:f>
        <x:v>원본·배정 기록 확인</x:v>
      </x:c>
      <x:c r="L251" s="2" t="str">
        <x:f>IF('신청 원장'!R1305="","",'신청 원장'!R1305)</x:f>
        <x:v>국내평가</x:v>
      </x:c>
      <x:c r="M251" s="2" t="n">
        <x:f>IF('신청 원장'!S1305="","",'신청 원장'!S1305)</x:f>
        <x:v>1208</x:v>
      </x:c>
      <x:c r="N251" s="2" t="str">
        <x:f>IF('신청 원장'!K1305&lt;&gt;"미종결 표시","종결 상태 확인",IF('신청 원장'!N1305="","일자 확인 필요",IF('신청 원장'!N1305&gt;365,"366일 이상",IF('신청 원장'!N1305&gt;90,"91~365일",IF('신청 원장'!N1305&gt;30,"31~90일","0~30일")))))</x:f>
        <x:v>366일 이상</x:v>
      </x:c>
      <x:c r="O251" s="2" t="str">
        <x:f>IF(OR('신청 원장'!L1305="",'신청 원장'!L1305="선택"),"담당 원문 확인","기재")</x:f>
        <x:v>담당 원문 확인</x:v>
      </x:c>
      <x:c r="P251" s="2" t="str">
        <x:f>IF('신청 원장'!A1305="","",'신청 원장'!A1305)</x:f>
        <x:v>6b104ae4f9b35dca68ea8e07</x:v>
      </x:c>
    </x:row>
    <x:row r="252" ht="42" customHeight="1">
      <x:c r="A252" s="2" t="str">
        <x:f>IF('신청 원장'!B1306="","",'신청 원장'!B1306)</x:f>
        <x:v>사업 평가</x:v>
      </x:c>
      <x:c r="B252" s="7" t="str">
        <x:f>IF('신청 원장'!D1306="","",'신청 원장'!D1306)</x:f>
        <x:v>신재생에너지 보급 융복합지원사업 태양광발전 묶음 감축사업</x:v>
      </x:c>
      <x:c r="C252" s="2" t="str">
        <x:f>IF('신청 원장'!F1306="","",'신청 원장'!F1306)</x:f>
        <x:v>2025-06-23</x:v>
      </x:c>
      <x:c r="D252" s="2" t="str">
        <x:f>IF('신청 원장'!J1306="","",'신청 원장'!J1306)</x:f>
        <x:v>보완요청</x:v>
      </x:c>
      <x:c r="E252" s="2" t="str">
        <x:f>IF('신청 원장'!L1306="","",'신청 원장'!L1306)</x:f>
      </x:c>
      <x:c r="F252" s="2" t="n">
        <x:f>IF('신청 원장'!M1306="","",'신청 원장'!M1306)</x:f>
        <x:v>1</x:v>
      </x:c>
      <x:c r="G252" s="2" t="n">
        <x:f>IF('신청 원장'!N1306="","",'신청 원장'!N1306)</x:f>
        <x:v>479</x:v>
      </x:c>
      <x:c r="H252" s="2" t="str">
        <x:f>IF('신청 원장'!AA1306="","",'신청 원장'!AA1306)</x:f>
        <x:v>내부 관찰 대상</x:v>
      </x:c>
      <x:c r="I252" s="2" t="str">
        <x:f>IF('신청 원장'!O1306="","",'신청 원장'!O1306)</x:f>
        <x:v>평가 후 결정</x:v>
      </x:c>
      <x:c r="J252" s="2" t="str">
        <x:f>IF('신청 원장'!W1306="","",'신청 원장'!W1306)</x:f>
        <x:v>담당기관 확인</x:v>
      </x:c>
      <x:c r="K252" s="2" t="str">
        <x:f>IF('신청 원장'!X1306="","",'신청 원장'!X1306)</x:f>
        <x:v>원본·배정 기록 확인</x:v>
      </x:c>
      <x:c r="L252" s="2" t="str">
        <x:f>IF('신청 원장'!R1306="","",'신청 원장'!R1306)</x:f>
        <x:v>국내평가</x:v>
      </x:c>
      <x:c r="M252" s="2" t="n">
        <x:f>IF('신청 원장'!S1306="","",'신청 원장'!S1306)</x:f>
        <x:v>1209</x:v>
      </x:c>
      <x:c r="N252" s="2" t="str">
        <x:f>IF('신청 원장'!K1306&lt;&gt;"미종결 표시","종결 상태 확인",IF('신청 원장'!N1306="","일자 확인 필요",IF('신청 원장'!N1306&gt;365,"366일 이상",IF('신청 원장'!N1306&gt;90,"91~365일",IF('신청 원장'!N1306&gt;30,"31~90일","0~30일")))))</x:f>
        <x:v>366일 이상</x:v>
      </x:c>
      <x:c r="O252" s="2" t="str">
        <x:f>IF(OR('신청 원장'!L1306="",'신청 원장'!L1306="선택"),"담당 원문 확인","기재")</x:f>
        <x:v>담당 원문 확인</x:v>
      </x:c>
      <x:c r="P252" s="2" t="str">
        <x:f>IF('신청 원장'!A1306="","",'신청 원장'!A1306)</x:f>
        <x:v>625798de30c6c3a93e357c49</x:v>
      </x:c>
    </x:row>
    <x:row r="253" ht="42" customHeight="1">
      <x:c r="A253" s="2" t="str">
        <x:f>IF('신청 원장'!B1307="","",'신청 원장'!B1307)</x:f>
        <x:v>사업 평가</x:v>
      </x:c>
      <x:c r="B253" s="7" t="str">
        <x:f>IF('신청 원장'!D1307="","",'신청 원장'!D1307)</x:f>
        <x:v>디엠테크 건물지원 태양광발전 감축사업</x:v>
      </x:c>
      <x:c r="C253" s="2" t="str">
        <x:f>IF('신청 원장'!F1307="","",'신청 원장'!F1307)</x:f>
        <x:v>2025-06-23</x:v>
      </x:c>
      <x:c r="D253" s="2" t="str">
        <x:f>IF('신청 원장'!J1307="","",'신청 원장'!J1307)</x:f>
        <x:v>보완요청</x:v>
      </x:c>
      <x:c r="E253" s="2" t="str">
        <x:f>IF('신청 원장'!L1307="","",'신청 원장'!L1307)</x:f>
      </x:c>
      <x:c r="F253" s="2" t="n">
        <x:f>IF('신청 원장'!M1307="","",'신청 원장'!M1307)</x:f>
        <x:v>1</x:v>
      </x:c>
      <x:c r="G253" s="2" t="n">
        <x:f>IF('신청 원장'!N1307="","",'신청 원장'!N1307)</x:f>
        <x:v>479</x:v>
      </x:c>
      <x:c r="H253" s="2" t="str">
        <x:f>IF('신청 원장'!AA1307="","",'신청 원장'!AA1307)</x:f>
        <x:v>내부 관찰 대상</x:v>
      </x:c>
      <x:c r="I253" s="2" t="str">
        <x:f>IF('신청 원장'!O1307="","",'신청 원장'!O1307)</x:f>
        <x:v>평가 후 결정</x:v>
      </x:c>
      <x:c r="J253" s="2" t="str">
        <x:f>IF('신청 원장'!W1307="","",'신청 원장'!W1307)</x:f>
        <x:v>담당기관 확인</x:v>
      </x:c>
      <x:c r="K253" s="2" t="str">
        <x:f>IF('신청 원장'!X1307="","",'신청 원장'!X1307)</x:f>
        <x:v>원본·배정 기록 확인</x:v>
      </x:c>
      <x:c r="L253" s="2" t="str">
        <x:f>IF('신청 원장'!R1307="","",'신청 원장'!R1307)</x:f>
        <x:v>국내평가</x:v>
      </x:c>
      <x:c r="M253" s="2" t="n">
        <x:f>IF('신청 원장'!S1307="","",'신청 원장'!S1307)</x:f>
        <x:v>1210</x:v>
      </x:c>
      <x:c r="N253" s="2" t="str">
        <x:f>IF('신청 원장'!K1307&lt;&gt;"미종결 표시","종결 상태 확인",IF('신청 원장'!N1307="","일자 확인 필요",IF('신청 원장'!N1307&gt;365,"366일 이상",IF('신청 원장'!N1307&gt;90,"91~365일",IF('신청 원장'!N1307&gt;30,"31~90일","0~30일")))))</x:f>
        <x:v>366일 이상</x:v>
      </x:c>
      <x:c r="O253" s="2" t="str">
        <x:f>IF(OR('신청 원장'!L1307="",'신청 원장'!L1307="선택"),"담당 원문 확인","기재")</x:f>
        <x:v>담당 원문 확인</x:v>
      </x:c>
      <x:c r="P253" s="2" t="str">
        <x:f>IF('신청 원장'!A1307="","",'신청 원장'!A1307)</x:f>
        <x:v>c5c6d8aa5239e203edeee606</x:v>
      </x:c>
    </x:row>
    <x:row r="254" ht="42" customHeight="1">
      <x:c r="A254" s="2" t="str">
        <x:f>IF('신청 원장'!B1309="","",'신청 원장'!B1309)</x:f>
        <x:v>사업 평가</x:v>
      </x:c>
      <x:c r="B254" s="7" t="str">
        <x:f>IF('신청 원장'!D1309="","",'신청 원장'!D1309)</x:f>
        <x:v>우정건설(주) 연료전환(B-C유 → LPG)을 통한 온실가스 배출 감축사업</x:v>
      </x:c>
      <x:c r="C254" s="2" t="str">
        <x:f>IF('신청 원장'!F1309="","",'신청 원장'!F1309)</x:f>
        <x:v>2025-06-18</x:v>
      </x:c>
      <x:c r="D254" s="2" t="str">
        <x:f>IF('신청 원장'!J1309="","",'신청 원장'!J1309)</x:f>
        <x:v>보완요청</x:v>
      </x:c>
      <x:c r="E254" s="2" t="str">
        <x:f>IF('신청 원장'!L1309="","",'신청 원장'!L1309)</x:f>
      </x:c>
      <x:c r="F254" s="2" t="n">
        <x:f>IF('신청 원장'!M1309="","",'신청 원장'!M1309)</x:f>
        <x:v>2</x:v>
      </x:c>
      <x:c r="G254" s="2" t="n">
        <x:f>IF('신청 원장'!N1309="","",'신청 원장'!N1309)</x:f>
        <x:v>484</x:v>
      </x:c>
      <x:c r="H254" s="2" t="str">
        <x:f>IF('신청 원장'!AA1309="","",'신청 원장'!AA1309)</x:f>
        <x:v>내부 관찰 대상</x:v>
      </x:c>
      <x:c r="I254" s="2" t="str">
        <x:f>IF('신청 원장'!O1309="","",'신청 원장'!O1309)</x:f>
        <x:v>생략</x:v>
      </x:c>
      <x:c r="J254" s="2" t="str">
        <x:f>IF('신청 원장'!W1309="","",'신청 원장'!W1309)</x:f>
        <x:v>담당기관 확인</x:v>
      </x:c>
      <x:c r="K254" s="2" t="str">
        <x:f>IF('신청 원장'!X1309="","",'신청 원장'!X1309)</x:f>
        <x:v>원본·배정 기록 확인</x:v>
      </x:c>
      <x:c r="L254" s="2" t="str">
        <x:f>IF('신청 원장'!R1309="","",'신청 원장'!R1309)</x:f>
        <x:v>국내평가</x:v>
      </x:c>
      <x:c r="M254" s="2" t="n">
        <x:f>IF('신청 원장'!S1309="","",'신청 원장'!S1309)</x:f>
        <x:v>1212</x:v>
      </x:c>
      <x:c r="N254" s="2" t="str">
        <x:f>IF('신청 원장'!K1309&lt;&gt;"미종결 표시","종결 상태 확인",IF('신청 원장'!N1309="","일자 확인 필요",IF('신청 원장'!N1309&gt;365,"366일 이상",IF('신청 원장'!N1309&gt;90,"91~365일",IF('신청 원장'!N1309&gt;30,"31~90일","0~30일")))))</x:f>
        <x:v>366일 이상</x:v>
      </x:c>
      <x:c r="O254" s="2" t="str">
        <x:f>IF(OR('신청 원장'!L1309="",'신청 원장'!L1309="선택"),"담당 원문 확인","기재")</x:f>
        <x:v>담당 원문 확인</x:v>
      </x:c>
      <x:c r="P254" s="2" t="str">
        <x:f>IF('신청 원장'!A1309="","",'신청 원장'!A1309)</x:f>
        <x:v>dbafcdb22f53f2736dfe5dfa</x:v>
      </x:c>
    </x:row>
    <x:row r="255" ht="42" customHeight="1">
      <x:c r="A255" s="2" t="str">
        <x:f>IF('신청 원장'!B1310="","",'신청 원장'!B1310)</x:f>
        <x:v>사업 평가</x:v>
      </x:c>
      <x:c r="B255" s="7" t="str">
        <x:f>IF('신청 원장'!D1310="","",'신청 원장'!D1310)</x:f>
        <x:v>우광산업(주) 연료전환(B-C유 → LPG)을 통한 온실가스 배출 감축사업</x:v>
      </x:c>
      <x:c r="C255" s="2" t="str">
        <x:f>IF('신청 원장'!F1310="","",'신청 원장'!F1310)</x:f>
        <x:v>2025-06-18</x:v>
      </x:c>
      <x:c r="D255" s="2" t="str">
        <x:f>IF('신청 원장'!J1310="","",'신청 원장'!J1310)</x:f>
        <x:v>보완요청</x:v>
      </x:c>
      <x:c r="E255" s="2" t="str">
        <x:f>IF('신청 원장'!L1310="","",'신청 원장'!L1310)</x:f>
      </x:c>
      <x:c r="F255" s="2" t="n">
        <x:f>IF('신청 원장'!M1310="","",'신청 원장'!M1310)</x:f>
        <x:v>2</x:v>
      </x:c>
      <x:c r="G255" s="2" t="n">
        <x:f>IF('신청 원장'!N1310="","",'신청 원장'!N1310)</x:f>
        <x:v>484</x:v>
      </x:c>
      <x:c r="H255" s="2" t="str">
        <x:f>IF('신청 원장'!AA1310="","",'신청 원장'!AA1310)</x:f>
        <x:v>내부 관찰 대상</x:v>
      </x:c>
      <x:c r="I255" s="2" t="str">
        <x:f>IF('신청 원장'!O1310="","",'신청 원장'!O1310)</x:f>
        <x:v>생략</x:v>
      </x:c>
      <x:c r="J255" s="2" t="str">
        <x:f>IF('신청 원장'!W1310="","",'신청 원장'!W1310)</x:f>
        <x:v>담당기관 확인</x:v>
      </x:c>
      <x:c r="K255" s="2" t="str">
        <x:f>IF('신청 원장'!X1310="","",'신청 원장'!X1310)</x:f>
        <x:v>원본·배정 기록 확인</x:v>
      </x:c>
      <x:c r="L255" s="2" t="str">
        <x:f>IF('신청 원장'!R1310="","",'신청 원장'!R1310)</x:f>
        <x:v>국내평가</x:v>
      </x:c>
      <x:c r="M255" s="2" t="n">
        <x:f>IF('신청 원장'!S1310="","",'신청 원장'!S1310)</x:f>
        <x:v>1213</x:v>
      </x:c>
      <x:c r="N255" s="2" t="str">
        <x:f>IF('신청 원장'!K1310&lt;&gt;"미종결 표시","종결 상태 확인",IF('신청 원장'!N1310="","일자 확인 필요",IF('신청 원장'!N1310&gt;365,"366일 이상",IF('신청 원장'!N1310&gt;90,"91~365일",IF('신청 원장'!N1310&gt;30,"31~90일","0~30일")))))</x:f>
        <x:v>366일 이상</x:v>
      </x:c>
      <x:c r="O255" s="2" t="str">
        <x:f>IF(OR('신청 원장'!L1310="",'신청 원장'!L1310="선택"),"담당 원문 확인","기재")</x:f>
        <x:v>담당 원문 확인</x:v>
      </x:c>
      <x:c r="P255" s="2" t="str">
        <x:f>IF('신청 원장'!A1310="","",'신청 원장'!A1310)</x:f>
        <x:v>f6b993e366bd429cd71e228c</x:v>
      </x:c>
    </x:row>
    <x:row r="256" ht="42" customHeight="1">
      <x:c r="A256" s="2" t="str">
        <x:f>IF('신청 원장'!B1311="","",'신청 원장'!B1311)</x:f>
        <x:v>사업 평가</x:v>
      </x:c>
      <x:c r="B256" s="7" t="str">
        <x:f>IF('신청 원장'!D1311="","",'신청 원장'!D1311)</x:f>
        <x:v>(주)후시파트너스 재생에너지 설비 도입을 통한 프로그램 감축사업</x:v>
      </x:c>
      <x:c r="C256" s="2" t="str">
        <x:f>IF('신청 원장'!F1311="","",'신청 원장'!F1311)</x:f>
        <x:v>2025-06-25</x:v>
      </x:c>
      <x:c r="D256" s="2" t="str">
        <x:f>IF('신청 원장'!J1311="","",'신청 원장'!J1311)</x:f>
        <x:v>보완요청</x:v>
      </x:c>
      <x:c r="E256" s="2" t="str">
        <x:f>IF('신청 원장'!L1311="","",'신청 원장'!L1311)</x:f>
      </x:c>
      <x:c r="F256" s="2" t="str">
        <x:f>IF('신청 원장'!M1311="","",'신청 원장'!M1311)</x:f>
      </x:c>
      <x:c r="G256" s="2" t="n">
        <x:f>IF('신청 원장'!N1311="","",'신청 원장'!N1311)</x:f>
        <x:v>477</x:v>
      </x:c>
      <x:c r="H256" s="2" t="str">
        <x:f>IF('신청 원장'!AA1311="","",'신청 원장'!AA1311)</x:f>
        <x:v>내부 관찰 대상</x:v>
      </x:c>
      <x:c r="I256" s="2" t="str">
        <x:f>IF('신청 원장'!O1311="","",'신청 원장'!O1311)</x:f>
        <x:v>생략</x:v>
      </x:c>
      <x:c r="J256" s="2" t="str">
        <x:f>IF('신청 원장'!W1311="","",'신청 원장'!W1311)</x:f>
        <x:v>담당기관 확인</x:v>
      </x:c>
      <x:c r="K256" s="2" t="str">
        <x:f>IF('신청 원장'!X1311="","",'신청 원장'!X1311)</x:f>
        <x:v>원본·배정 기록 확인</x:v>
      </x:c>
      <x:c r="L256" s="2" t="str">
        <x:f>IF('신청 원장'!R1311="","",'신청 원장'!R1311)</x:f>
        <x:v>국내평가</x:v>
      </x:c>
      <x:c r="M256" s="2" t="n">
        <x:f>IF('신청 원장'!S1311="","",'신청 원장'!S1311)</x:f>
        <x:v>1214</x:v>
      </x:c>
      <x:c r="N256" s="2" t="str">
        <x:f>IF('신청 원장'!K1311&lt;&gt;"미종결 표시","종결 상태 확인",IF('신청 원장'!N1311="","일자 확인 필요",IF('신청 원장'!N1311&gt;365,"366일 이상",IF('신청 원장'!N1311&gt;90,"91~365일",IF('신청 원장'!N1311&gt;30,"31~90일","0~30일")))))</x:f>
        <x:v>366일 이상</x:v>
      </x:c>
      <x:c r="O256" s="2" t="str">
        <x:f>IF(OR('신청 원장'!L1311="",'신청 원장'!L1311="선택"),"담당 원문 확인","기재")</x:f>
        <x:v>담당 원문 확인</x:v>
      </x:c>
      <x:c r="P256" s="2" t="str">
        <x:f>IF('신청 원장'!A1311="","",'신청 원장'!A1311)</x:f>
        <x:v>d7011c6cdb8820d64f5ba190</x:v>
      </x:c>
    </x:row>
    <x:row r="257" ht="42" customHeight="1">
      <x:c r="A257" s="2" t="str">
        <x:f>IF('신청 원장'!B1312="","",'신청 원장'!B1312)</x:f>
        <x:v>사업 평가</x:v>
      </x:c>
      <x:c r="B257" s="7" t="str">
        <x:f>IF('신청 원장'!D1312="","",'신청 원장'!D1312)</x:f>
        <x:v>(주)큐텔 고효율 2단 인버터 PM  Motor 공기압축기로 교체 사업</x:v>
      </x:c>
      <x:c r="C257" s="2" t="str">
        <x:f>IF('신청 원장'!F1312="","",'신청 원장'!F1312)</x:f>
        <x:v>2025-06-26</x:v>
      </x:c>
      <x:c r="D257" s="2" t="str">
        <x:f>IF('신청 원장'!J1312="","",'신청 원장'!J1312)</x:f>
        <x:v>보완요청</x:v>
      </x:c>
      <x:c r="E257" s="2" t="str">
        <x:f>IF('신청 원장'!L1312="","",'신청 원장'!L1312)</x:f>
      </x:c>
      <x:c r="F257" s="2" t="n">
        <x:f>IF('신청 원장'!M1312="","",'신청 원장'!M1312)</x:f>
        <x:v>1</x:v>
      </x:c>
      <x:c r="G257" s="2" t="n">
        <x:f>IF('신청 원장'!N1312="","",'신청 원장'!N1312)</x:f>
        <x:v>476</x:v>
      </x:c>
      <x:c r="H257" s="2" t="str">
        <x:f>IF('신청 원장'!AA1312="","",'신청 원장'!AA1312)</x:f>
        <x:v>내부 관찰 대상</x:v>
      </x:c>
      <x:c r="I257" s="2" t="str">
        <x:f>IF('신청 원장'!O1312="","",'신청 원장'!O1312)</x:f>
        <x:v>평가 후 결정</x:v>
      </x:c>
      <x:c r="J257" s="2" t="str">
        <x:f>IF('신청 원장'!W1312="","",'신청 원장'!W1312)</x:f>
        <x:v>담당기관 확인</x:v>
      </x:c>
      <x:c r="K257" s="2" t="str">
        <x:f>IF('신청 원장'!X1312="","",'신청 원장'!X1312)</x:f>
        <x:v>원본·배정 기록 확인</x:v>
      </x:c>
      <x:c r="L257" s="2" t="str">
        <x:f>IF('신청 원장'!R1312="","",'신청 원장'!R1312)</x:f>
        <x:v>국내평가</x:v>
      </x:c>
      <x:c r="M257" s="2" t="n">
        <x:f>IF('신청 원장'!S1312="","",'신청 원장'!S1312)</x:f>
        <x:v>1215</x:v>
      </x:c>
      <x:c r="N257" s="2" t="str">
        <x:f>IF('신청 원장'!K1312&lt;&gt;"미종결 표시","종결 상태 확인",IF('신청 원장'!N1312="","일자 확인 필요",IF('신청 원장'!N1312&gt;365,"366일 이상",IF('신청 원장'!N1312&gt;90,"91~365일",IF('신청 원장'!N1312&gt;30,"31~90일","0~30일")))))</x:f>
        <x:v>366일 이상</x:v>
      </x:c>
      <x:c r="O257" s="2" t="str">
        <x:f>IF(OR('신청 원장'!L1312="",'신청 원장'!L1312="선택"),"담당 원문 확인","기재")</x:f>
        <x:v>담당 원문 확인</x:v>
      </x:c>
      <x:c r="P257" s="2" t="str">
        <x:f>IF('신청 원장'!A1312="","",'신청 원장'!A1312)</x:f>
        <x:v>17e6b3f56185a5f6d2351cab</x:v>
      </x:c>
    </x:row>
    <x:row r="258" ht="42" customHeight="1">
      <x:c r="A258" s="2" t="str">
        <x:f>IF('신청 원장'!B1316="","",'신청 원장'!B1316)</x:f>
        <x:v>사업 평가</x:v>
      </x:c>
      <x:c r="B258" s="7" t="str">
        <x:f>IF('신청 원장'!D1316="","",'신청 원장'!D1316)</x:f>
        <x:v>주식회사 창성 연료전환(B-C유 → LPG)을 통한 온실가스 배출 감축사업</x:v>
      </x:c>
      <x:c r="C258" s="2" t="str">
        <x:f>IF('신청 원장'!F1316="","",'신청 원장'!F1316)</x:f>
        <x:v>2025-07-07</x:v>
      </x:c>
      <x:c r="D258" s="2" t="str">
        <x:f>IF('신청 원장'!J1316="","",'신청 원장'!J1316)</x:f>
        <x:v>보완요청</x:v>
      </x:c>
      <x:c r="E258" s="2" t="str">
        <x:f>IF('신청 원장'!L1316="","",'신청 원장'!L1316)</x:f>
      </x:c>
      <x:c r="F258" s="2" t="str">
        <x:f>IF('신청 원장'!M1316="","",'신청 원장'!M1316)</x:f>
      </x:c>
      <x:c r="G258" s="2" t="n">
        <x:f>IF('신청 원장'!N1316="","",'신청 원장'!N1316)</x:f>
        <x:v>465</x:v>
      </x:c>
      <x:c r="H258" s="2" t="str">
        <x:f>IF('신청 원장'!AA1316="","",'신청 원장'!AA1316)</x:f>
        <x:v>내부 관찰 대상</x:v>
      </x:c>
      <x:c r="I258" s="2" t="str">
        <x:f>IF('신청 원장'!O1316="","",'신청 원장'!O1316)</x:f>
        <x:v>생략</x:v>
      </x:c>
      <x:c r="J258" s="2" t="str">
        <x:f>IF('신청 원장'!W1316="","",'신청 원장'!W1316)</x:f>
        <x:v>담당기관 확인</x:v>
      </x:c>
      <x:c r="K258" s="2" t="str">
        <x:f>IF('신청 원장'!X1316="","",'신청 원장'!X1316)</x:f>
        <x:v>원본·배정 기록 확인</x:v>
      </x:c>
      <x:c r="L258" s="2" t="str">
        <x:f>IF('신청 원장'!R1316="","",'신청 원장'!R1316)</x:f>
        <x:v>국내평가</x:v>
      </x:c>
      <x:c r="M258" s="2" t="n">
        <x:f>IF('신청 원장'!S1316="","",'신청 원장'!S1316)</x:f>
        <x:v>1219</x:v>
      </x:c>
      <x:c r="N258" s="2" t="str">
        <x:f>IF('신청 원장'!K1316&lt;&gt;"미종결 표시","종결 상태 확인",IF('신청 원장'!N1316="","일자 확인 필요",IF('신청 원장'!N1316&gt;365,"366일 이상",IF('신청 원장'!N1316&gt;90,"91~365일",IF('신청 원장'!N1316&gt;30,"31~90일","0~30일")))))</x:f>
        <x:v>366일 이상</x:v>
      </x:c>
      <x:c r="O258" s="2" t="str">
        <x:f>IF(OR('신청 원장'!L1316="",'신청 원장'!L1316="선택"),"담당 원문 확인","기재")</x:f>
        <x:v>담당 원문 확인</x:v>
      </x:c>
      <x:c r="P258" s="2" t="str">
        <x:f>IF('신청 원장'!A1316="","",'신청 원장'!A1316)</x:f>
        <x:v>f334239940c36d1bc3cb1a4e</x:v>
      </x:c>
    </x:row>
    <x:row r="259" ht="42" customHeight="1">
      <x:c r="A259" s="2" t="str">
        <x:f>IF('신청 원장'!B1317="","",'신청 원장'!B1317)</x:f>
        <x:v>사업 평가</x:v>
      </x:c>
      <x:c r="B259" s="7" t="str">
        <x:f>IF('신청 원장'!D1317="","",'신청 원장'!D1317)</x:f>
        <x:v>(주)대경오앤티 서농공장 미활용 소각폐열 회수를 통한 화석연료 사용 절감 및 온실가스 배출 감축사업</x:v>
      </x:c>
      <x:c r="C259" s="2" t="str">
        <x:f>IF('신청 원장'!F1317="","",'신청 원장'!F1317)</x:f>
        <x:v>2025-07-10</x:v>
      </x:c>
      <x:c r="D259" s="2" t="str">
        <x:f>IF('신청 원장'!J1317="","",'신청 원장'!J1317)</x:f>
        <x:v>평가중</x:v>
      </x:c>
      <x:c r="E259" s="2" t="str">
        <x:f>IF('신청 원장'!L1317="","",'신청 원장'!L1317)</x:f>
      </x:c>
      <x:c r="F259" s="2" t="n">
        <x:f>IF('신청 원장'!M1317="","",'신청 원장'!M1317)</x:f>
        <x:v>3</x:v>
      </x:c>
      <x:c r="G259" s="2" t="n">
        <x:f>IF('신청 원장'!N1317="","",'신청 원장'!N1317)</x:f>
        <x:v>462</x:v>
      </x:c>
      <x:c r="H259" s="2" t="str">
        <x:f>IF('신청 원장'!AA1317="","",'신청 원장'!AA1317)</x:f>
        <x:v>내부 관찰 대상</x:v>
      </x:c>
      <x:c r="I259" s="2" t="str">
        <x:f>IF('신청 원장'!O1317="","",'신청 원장'!O1317)</x:f>
        <x:v>평가 후 결정</x:v>
      </x:c>
      <x:c r="J259" s="2" t="str">
        <x:f>IF('신청 원장'!W1317="","",'신청 원장'!W1317)</x:f>
        <x:v>담당기관 확인</x:v>
      </x:c>
      <x:c r="K259" s="2" t="str">
        <x:f>IF('신청 원장'!X1317="","",'신청 원장'!X1317)</x:f>
        <x:v>원본·배정 기록 확인</x:v>
      </x:c>
      <x:c r="L259" s="2" t="str">
        <x:f>IF('신청 원장'!R1317="","",'신청 원장'!R1317)</x:f>
        <x:v>국내평가</x:v>
      </x:c>
      <x:c r="M259" s="2" t="n">
        <x:f>IF('신청 원장'!S1317="","",'신청 원장'!S1317)</x:f>
        <x:v>1220</x:v>
      </x:c>
      <x:c r="N259" s="2" t="str">
        <x:f>IF('신청 원장'!K1317&lt;&gt;"미종결 표시","종결 상태 확인",IF('신청 원장'!N1317="","일자 확인 필요",IF('신청 원장'!N1317&gt;365,"366일 이상",IF('신청 원장'!N1317&gt;90,"91~365일",IF('신청 원장'!N1317&gt;30,"31~90일","0~30일")))))</x:f>
        <x:v>366일 이상</x:v>
      </x:c>
      <x:c r="O259" s="2" t="str">
        <x:f>IF(OR('신청 원장'!L1317="",'신청 원장'!L1317="선택"),"담당 원문 확인","기재")</x:f>
        <x:v>담당 원문 확인</x:v>
      </x:c>
      <x:c r="P259" s="2" t="str">
        <x:f>IF('신청 원장'!A1317="","",'신청 원장'!A1317)</x:f>
        <x:v>1936da1d15f9e584c9abaefd</x:v>
      </x:c>
    </x:row>
    <x:row r="260" ht="42" customHeight="1">
      <x:c r="A260" s="2" t="str">
        <x:f>IF('신청 원장'!B1318="","",'신청 원장'!B1318)</x:f>
        <x:v>사업 평가</x:v>
      </x:c>
      <x:c r="B260" s="7" t="str">
        <x:f>IF('신청 원장'!D1318="","",'신청 원장'!D1318)</x:f>
        <x:v>삼우스텐레스(주) 고효율 인버터 PM Motor 공기압축기로 교체 사업</x:v>
      </x:c>
      <x:c r="C260" s="2" t="str">
        <x:f>IF('신청 원장'!F1318="","",'신청 원장'!F1318)</x:f>
        <x:v>2025-07-16</x:v>
      </x:c>
      <x:c r="D260" s="2" t="str">
        <x:f>IF('신청 원장'!J1318="","",'신청 원장'!J1318)</x:f>
        <x:v>보완요청</x:v>
      </x:c>
      <x:c r="E260" s="2" t="str">
        <x:f>IF('신청 원장'!L1318="","",'신청 원장'!L1318)</x:f>
      </x:c>
      <x:c r="F260" s="2" t="n">
        <x:f>IF('신청 원장'!M1318="","",'신청 원장'!M1318)</x:f>
        <x:v>1</x:v>
      </x:c>
      <x:c r="G260" s="2" t="n">
        <x:f>IF('신청 원장'!N1318="","",'신청 원장'!N1318)</x:f>
        <x:v>456</x:v>
      </x:c>
      <x:c r="H260" s="2" t="str">
        <x:f>IF('신청 원장'!AA1318="","",'신청 원장'!AA1318)</x:f>
        <x:v>내부 관찰 대상</x:v>
      </x:c>
      <x:c r="I260" s="2" t="str">
        <x:f>IF('신청 원장'!O1318="","",'신청 원장'!O1318)</x:f>
        <x:v>평가 후 결정</x:v>
      </x:c>
      <x:c r="J260" s="2" t="str">
        <x:f>IF('신청 원장'!W1318="","",'신청 원장'!W1318)</x:f>
        <x:v>담당기관 확인</x:v>
      </x:c>
      <x:c r="K260" s="2" t="str">
        <x:f>IF('신청 원장'!X1318="","",'신청 원장'!X1318)</x:f>
        <x:v>원본·배정 기록 확인</x:v>
      </x:c>
      <x:c r="L260" s="2" t="str">
        <x:f>IF('신청 원장'!R1318="","",'신청 원장'!R1318)</x:f>
        <x:v>국내평가</x:v>
      </x:c>
      <x:c r="M260" s="2" t="n">
        <x:f>IF('신청 원장'!S1318="","",'신청 원장'!S1318)</x:f>
        <x:v>1221</x:v>
      </x:c>
      <x:c r="N260" s="2" t="str">
        <x:f>IF('신청 원장'!K1318&lt;&gt;"미종결 표시","종결 상태 확인",IF('신청 원장'!N1318="","일자 확인 필요",IF('신청 원장'!N1318&gt;365,"366일 이상",IF('신청 원장'!N1318&gt;90,"91~365일",IF('신청 원장'!N1318&gt;30,"31~90일","0~30일")))))</x:f>
        <x:v>366일 이상</x:v>
      </x:c>
      <x:c r="O260" s="2" t="str">
        <x:f>IF(OR('신청 원장'!L1318="",'신청 원장'!L1318="선택"),"담당 원문 확인","기재")</x:f>
        <x:v>담당 원문 확인</x:v>
      </x:c>
      <x:c r="P260" s="2" t="str">
        <x:f>IF('신청 원장'!A1318="","",'신청 원장'!A1318)</x:f>
        <x:v>94d131c5436379693f02b9c1</x:v>
      </x:c>
    </x:row>
    <x:row r="261" ht="42" customHeight="1">
      <x:c r="A261" s="2" t="str">
        <x:f>IF('신청 원장'!B1321="","",'신청 원장'!B1321)</x:f>
        <x:v>사업 평가</x:v>
      </x:c>
      <x:c r="B261" s="7" t="str">
        <x:f>IF('신청 원장'!D1321="","",'신청 원장'!D1321)</x:f>
        <x:v>(주)신영금형 고효율 인버터 PM  Motor 공기압축기로 교체 사업</x:v>
      </x:c>
      <x:c r="C261" s="2" t="str">
        <x:f>IF('신청 원장'!F1321="","",'신청 원장'!F1321)</x:f>
        <x:v>2025-07-18</x:v>
      </x:c>
      <x:c r="D261" s="2" t="str">
        <x:f>IF('신청 원장'!J1321="","",'신청 원장'!J1321)</x:f>
        <x:v>보완요청</x:v>
      </x:c>
      <x:c r="E261" s="2" t="str">
        <x:f>IF('신청 원장'!L1321="","",'신청 원장'!L1321)</x:f>
      </x:c>
      <x:c r="F261" s="2" t="n">
        <x:f>IF('신청 원장'!M1321="","",'신청 원장'!M1321)</x:f>
        <x:v>1</x:v>
      </x:c>
      <x:c r="G261" s="2" t="n">
        <x:f>IF('신청 원장'!N1321="","",'신청 원장'!N1321)</x:f>
        <x:v>454</x:v>
      </x:c>
      <x:c r="H261" s="2" t="str">
        <x:f>IF('신청 원장'!AA1321="","",'신청 원장'!AA1321)</x:f>
        <x:v>내부 관찰 대상</x:v>
      </x:c>
      <x:c r="I261" s="2" t="str">
        <x:f>IF('신청 원장'!O1321="","",'신청 원장'!O1321)</x:f>
        <x:v>평가 후 결정</x:v>
      </x:c>
      <x:c r="J261" s="2" t="str">
        <x:f>IF('신청 원장'!W1321="","",'신청 원장'!W1321)</x:f>
        <x:v>담당기관 확인</x:v>
      </x:c>
      <x:c r="K261" s="2" t="str">
        <x:f>IF('신청 원장'!X1321="","",'신청 원장'!X1321)</x:f>
        <x:v>원본·배정 기록 확인</x:v>
      </x:c>
      <x:c r="L261" s="2" t="str">
        <x:f>IF('신청 원장'!R1321="","",'신청 원장'!R1321)</x:f>
        <x:v>국내평가</x:v>
      </x:c>
      <x:c r="M261" s="2" t="n">
        <x:f>IF('신청 원장'!S1321="","",'신청 원장'!S1321)</x:f>
        <x:v>1224</x:v>
      </x:c>
      <x:c r="N261" s="2" t="str">
        <x:f>IF('신청 원장'!K1321&lt;&gt;"미종결 표시","종결 상태 확인",IF('신청 원장'!N1321="","일자 확인 필요",IF('신청 원장'!N1321&gt;365,"366일 이상",IF('신청 원장'!N1321&gt;90,"91~365일",IF('신청 원장'!N1321&gt;30,"31~90일","0~30일")))))</x:f>
        <x:v>366일 이상</x:v>
      </x:c>
      <x:c r="O261" s="2" t="str">
        <x:f>IF(OR('신청 원장'!L1321="",'신청 원장'!L1321="선택"),"담당 원문 확인","기재")</x:f>
        <x:v>담당 원문 확인</x:v>
      </x:c>
      <x:c r="P261" s="2" t="str">
        <x:f>IF('신청 원장'!A1321="","",'신청 원장'!A1321)</x:f>
        <x:v>e4bf04a5e51dc2c4d6070d21</x:v>
      </x:c>
    </x:row>
    <x:row r="262" ht="42" customHeight="1">
      <x:c r="A262" s="2" t="str">
        <x:f>IF('신청 원장'!B1326="","",'신청 원장'!B1326)</x:f>
        <x:v>사업 평가</x:v>
      </x:c>
      <x:c r="B262" s="7" t="str">
        <x:f>IF('신청 원장'!D1326="","",'신청 원장'!D1326)</x:f>
        <x:v>(주)래치원 인버터 공기압축기 교체를 통한 온실가스 감축사업</x:v>
      </x:c>
      <x:c r="C262" s="2" t="str">
        <x:f>IF('신청 원장'!F1326="","",'신청 원장'!F1326)</x:f>
        <x:v>2025-11-11</x:v>
      </x:c>
      <x:c r="D262" s="2" t="str">
        <x:f>IF('신청 원장'!J1326="","",'신청 원장'!J1326)</x:f>
        <x:v>보완요청</x:v>
      </x:c>
      <x:c r="E262" s="2" t="str">
        <x:f>IF('신청 원장'!L1326="","",'신청 원장'!L1326)</x:f>
      </x:c>
      <x:c r="F262" s="2" t="n">
        <x:f>IF('신청 원장'!M1326="","",'신청 원장'!M1326)</x:f>
        <x:v>1</x:v>
      </x:c>
      <x:c r="G262" s="2" t="n">
        <x:f>IF('신청 원장'!N1326="","",'신청 원장'!N1326)</x:f>
        <x:v>338</x:v>
      </x:c>
      <x:c r="H262" s="2" t="str">
        <x:f>IF('신청 원장'!AA1326="","",'신청 원장'!AA1326)</x:f>
        <x:v>내부 관찰 대상</x:v>
      </x:c>
      <x:c r="I262" s="2" t="str">
        <x:f>IF('신청 원장'!O1326="","",'신청 원장'!O1326)</x:f>
        <x:v>평가 후 결정</x:v>
      </x:c>
      <x:c r="J262" s="2" t="str">
        <x:f>IF('신청 원장'!W1326="","",'신청 원장'!W1326)</x:f>
        <x:v>담당기관 확인</x:v>
      </x:c>
      <x:c r="K262" s="2" t="str">
        <x:f>IF('신청 원장'!X1326="","",'신청 원장'!X1326)</x:f>
        <x:v>원본·배정 기록 확인</x:v>
      </x:c>
      <x:c r="L262" s="2" t="str">
        <x:f>IF('신청 원장'!R1326="","",'신청 원장'!R1326)</x:f>
        <x:v>국내평가</x:v>
      </x:c>
      <x:c r="M262" s="2" t="n">
        <x:f>IF('신청 원장'!S1326="","",'신청 원장'!S1326)</x:f>
        <x:v>1229</x:v>
      </x:c>
      <x:c r="N262" s="2" t="str">
        <x:f>IF('신청 원장'!K1326&lt;&gt;"미종결 표시","종결 상태 확인",IF('신청 원장'!N1326="","일자 확인 필요",IF('신청 원장'!N1326&gt;365,"366일 이상",IF('신청 원장'!N1326&gt;90,"91~365일",IF('신청 원장'!N1326&gt;30,"31~90일","0~30일")))))</x:f>
        <x:v>91~365일</x:v>
      </x:c>
      <x:c r="O262" s="2" t="str">
        <x:f>IF(OR('신청 원장'!L1326="",'신청 원장'!L1326="선택"),"담당 원문 확인","기재")</x:f>
        <x:v>담당 원문 확인</x:v>
      </x:c>
      <x:c r="P262" s="2" t="str">
        <x:f>IF('신청 원장'!A1326="","",'신청 원장'!A1326)</x:f>
        <x:v>bace29f3f967371cf5ffe385</x:v>
      </x:c>
    </x:row>
    <x:row r="263" ht="42" customHeight="1">
      <x:c r="A263" s="2" t="str">
        <x:f>IF('신청 원장'!B1327="","",'신청 원장'!B1327)</x:f>
        <x:v>사업 평가</x:v>
      </x:c>
      <x:c r="B263" s="7" t="str">
        <x:f>IF('신청 원장'!D1327="","",'신청 원장'!D1327)</x:f>
        <x:v>(주)동해로씨푸드 인버터 공기압축기 교체를 통한 온실가스 감축사업</x:v>
      </x:c>
      <x:c r="C263" s="2" t="str">
        <x:f>IF('신청 원장'!F1327="","",'신청 원장'!F1327)</x:f>
        <x:v>2025-11-11</x:v>
      </x:c>
      <x:c r="D263" s="2" t="str">
        <x:f>IF('신청 원장'!J1327="","",'신청 원장'!J1327)</x:f>
        <x:v>보완요청</x:v>
      </x:c>
      <x:c r="E263" s="2" t="str">
        <x:f>IF('신청 원장'!L1327="","",'신청 원장'!L1327)</x:f>
      </x:c>
      <x:c r="F263" s="2" t="n">
        <x:f>IF('신청 원장'!M1327="","",'신청 원장'!M1327)</x:f>
        <x:v>2</x:v>
      </x:c>
      <x:c r="G263" s="2" t="n">
        <x:f>IF('신청 원장'!N1327="","",'신청 원장'!N1327)</x:f>
        <x:v>338</x:v>
      </x:c>
      <x:c r="H263" s="2" t="str">
        <x:f>IF('신청 원장'!AA1327="","",'신청 원장'!AA1327)</x:f>
        <x:v>내부 관찰 대상</x:v>
      </x:c>
      <x:c r="I263" s="2" t="str">
        <x:f>IF('신청 원장'!O1327="","",'신청 원장'!O1327)</x:f>
        <x:v>평가 후 결정</x:v>
      </x:c>
      <x:c r="J263" s="2" t="str">
        <x:f>IF('신청 원장'!W1327="","",'신청 원장'!W1327)</x:f>
        <x:v>담당기관 확인</x:v>
      </x:c>
      <x:c r="K263" s="2" t="str">
        <x:f>IF('신청 원장'!X1327="","",'신청 원장'!X1327)</x:f>
        <x:v>원본·배정 기록 확인</x:v>
      </x:c>
      <x:c r="L263" s="2" t="str">
        <x:f>IF('신청 원장'!R1327="","",'신청 원장'!R1327)</x:f>
        <x:v>국내평가</x:v>
      </x:c>
      <x:c r="M263" s="2" t="n">
        <x:f>IF('신청 원장'!S1327="","",'신청 원장'!S1327)</x:f>
        <x:v>1230</x:v>
      </x:c>
      <x:c r="N263" s="2" t="str">
        <x:f>IF('신청 원장'!K1327&lt;&gt;"미종결 표시","종결 상태 확인",IF('신청 원장'!N1327="","일자 확인 필요",IF('신청 원장'!N1327&gt;365,"366일 이상",IF('신청 원장'!N1327&gt;90,"91~365일",IF('신청 원장'!N1327&gt;30,"31~90일","0~30일")))))</x:f>
        <x:v>91~365일</x:v>
      </x:c>
      <x:c r="O263" s="2" t="str">
        <x:f>IF(OR('신청 원장'!L1327="",'신청 원장'!L1327="선택"),"담당 원문 확인","기재")</x:f>
        <x:v>담당 원문 확인</x:v>
      </x:c>
      <x:c r="P263" s="2" t="str">
        <x:f>IF('신청 원장'!A1327="","",'신청 원장'!A1327)</x:f>
        <x:v>9f37e989d356e018b15924b7</x:v>
      </x:c>
    </x:row>
    <x:row r="264" ht="42" customHeight="1">
      <x:c r="A264" s="2" t="str">
        <x:f>IF('신청 원장'!B1328="","",'신청 원장'!B1328)</x:f>
        <x:v>사업 평가</x:v>
      </x:c>
      <x:c r="B264" s="7" t="str">
        <x:f>IF('신청 원장'!D1328="","",'신청 원장'!D1328)</x:f>
        <x:v>선후정밀 인버터 공기압축기 교체를 통한 온실가스 감축사업</x:v>
      </x:c>
      <x:c r="C264" s="2" t="str">
        <x:f>IF('신청 원장'!F1328="","",'신청 원장'!F1328)</x:f>
        <x:v>2025-11-11</x:v>
      </x:c>
      <x:c r="D264" s="2" t="str">
        <x:f>IF('신청 원장'!J1328="","",'신청 원장'!J1328)</x:f>
        <x:v>보완요청</x:v>
      </x:c>
      <x:c r="E264" s="2" t="str">
        <x:f>IF('신청 원장'!L1328="","",'신청 원장'!L1328)</x:f>
      </x:c>
      <x:c r="F264" s="2" t="n">
        <x:f>IF('신청 원장'!M1328="","",'신청 원장'!M1328)</x:f>
        <x:v>1</x:v>
      </x:c>
      <x:c r="G264" s="2" t="n">
        <x:f>IF('신청 원장'!N1328="","",'신청 원장'!N1328)</x:f>
        <x:v>338</x:v>
      </x:c>
      <x:c r="H264" s="2" t="str">
        <x:f>IF('신청 원장'!AA1328="","",'신청 원장'!AA1328)</x:f>
        <x:v>내부 관찰 대상</x:v>
      </x:c>
      <x:c r="I264" s="2" t="str">
        <x:f>IF('신청 원장'!O1328="","",'신청 원장'!O1328)</x:f>
        <x:v>평가 후 결정</x:v>
      </x:c>
      <x:c r="J264" s="2" t="str">
        <x:f>IF('신청 원장'!W1328="","",'신청 원장'!W1328)</x:f>
        <x:v>담당기관 확인</x:v>
      </x:c>
      <x:c r="K264" s="2" t="str">
        <x:f>IF('신청 원장'!X1328="","",'신청 원장'!X1328)</x:f>
        <x:v>원본·배정 기록 확인</x:v>
      </x:c>
      <x:c r="L264" s="2" t="str">
        <x:f>IF('신청 원장'!R1328="","",'신청 원장'!R1328)</x:f>
        <x:v>국내평가</x:v>
      </x:c>
      <x:c r="M264" s="2" t="n">
        <x:f>IF('신청 원장'!S1328="","",'신청 원장'!S1328)</x:f>
        <x:v>1231</x:v>
      </x:c>
      <x:c r="N264" s="2" t="str">
        <x:f>IF('신청 원장'!K1328&lt;&gt;"미종결 표시","종결 상태 확인",IF('신청 원장'!N1328="","일자 확인 필요",IF('신청 원장'!N1328&gt;365,"366일 이상",IF('신청 원장'!N1328&gt;90,"91~365일",IF('신청 원장'!N1328&gt;30,"31~90일","0~30일")))))</x:f>
        <x:v>91~365일</x:v>
      </x:c>
      <x:c r="O264" s="2" t="str">
        <x:f>IF(OR('신청 원장'!L1328="",'신청 원장'!L1328="선택"),"담당 원문 확인","기재")</x:f>
        <x:v>담당 원문 확인</x:v>
      </x:c>
      <x:c r="P264" s="2" t="str">
        <x:f>IF('신청 원장'!A1328="","",'신청 원장'!A1328)</x:f>
        <x:v>54a36f6522b9050abb60458f</x:v>
      </x:c>
    </x:row>
    <x:row r="265" ht="42" customHeight="1">
      <x:c r="A265" s="2" t="str">
        <x:f>IF('신청 원장'!B1329="","",'신청 원장'!B1329)</x:f>
        <x:v>사업 평가</x:v>
      </x:c>
      <x:c r="B265" s="7" t="str">
        <x:f>IF('신청 원장'!D1329="","",'신청 원장'!D1329)</x:f>
        <x:v>성창사 고효율 보일러 교체를 통한 온실가스 감축사업</x:v>
      </x:c>
      <x:c r="C265" s="2" t="str">
        <x:f>IF('신청 원장'!F1329="","",'신청 원장'!F1329)</x:f>
        <x:v>2025-11-13</x:v>
      </x:c>
      <x:c r="D265" s="2" t="str">
        <x:f>IF('신청 원장'!J1329="","",'신청 원장'!J1329)</x:f>
        <x:v>보완요청</x:v>
      </x:c>
      <x:c r="E265" s="2" t="str">
        <x:f>IF('신청 원장'!L1329="","",'신청 원장'!L1329)</x:f>
      </x:c>
      <x:c r="F265" s="2" t="n">
        <x:f>IF('신청 원장'!M1329="","",'신청 원장'!M1329)</x:f>
        <x:v>1</x:v>
      </x:c>
      <x:c r="G265" s="2" t="n">
        <x:f>IF('신청 원장'!N1329="","",'신청 원장'!N1329)</x:f>
        <x:v>336</x:v>
      </x:c>
      <x:c r="H265" s="2" t="str">
        <x:f>IF('신청 원장'!AA1329="","",'신청 원장'!AA1329)</x:f>
        <x:v>내부 관찰 대상</x:v>
      </x:c>
      <x:c r="I265" s="2" t="str">
        <x:f>IF('신청 원장'!O1329="","",'신청 원장'!O1329)</x:f>
        <x:v>평가 후 결정</x:v>
      </x:c>
      <x:c r="J265" s="2" t="str">
        <x:f>IF('신청 원장'!W1329="","",'신청 원장'!W1329)</x:f>
        <x:v>담당기관 확인</x:v>
      </x:c>
      <x:c r="K265" s="2" t="str">
        <x:f>IF('신청 원장'!X1329="","",'신청 원장'!X1329)</x:f>
        <x:v>원본·배정 기록 확인</x:v>
      </x:c>
      <x:c r="L265" s="2" t="str">
        <x:f>IF('신청 원장'!R1329="","",'신청 원장'!R1329)</x:f>
        <x:v>국내평가</x:v>
      </x:c>
      <x:c r="M265" s="2" t="n">
        <x:f>IF('신청 원장'!S1329="","",'신청 원장'!S1329)</x:f>
        <x:v>1232</x:v>
      </x:c>
      <x:c r="N265" s="2" t="str">
        <x:f>IF('신청 원장'!K1329&lt;&gt;"미종결 표시","종결 상태 확인",IF('신청 원장'!N1329="","일자 확인 필요",IF('신청 원장'!N1329&gt;365,"366일 이상",IF('신청 원장'!N1329&gt;90,"91~365일",IF('신청 원장'!N1329&gt;30,"31~90일","0~30일")))))</x:f>
        <x:v>91~365일</x:v>
      </x:c>
      <x:c r="O265" s="2" t="str">
        <x:f>IF(OR('신청 원장'!L1329="",'신청 원장'!L1329="선택"),"담당 원문 확인","기재")</x:f>
        <x:v>담당 원문 확인</x:v>
      </x:c>
      <x:c r="P265" s="2" t="str">
        <x:f>IF('신청 원장'!A1329="","",'신청 원장'!A1329)</x:f>
        <x:v>fb4e45fa5ff2afc5986e8e38</x:v>
      </x:c>
    </x:row>
    <x:row r="266" ht="42" customHeight="1">
      <x:c r="A266" s="2" t="str">
        <x:f>IF('신청 원장'!B1330="","",'신청 원장'!B1330)</x:f>
        <x:v>사업 평가</x:v>
      </x:c>
      <x:c r="B266" s="7" t="str">
        <x:f>IF('신청 원장'!D1330="","",'신청 원장'!D1330)</x:f>
        <x:v>주식회사 태원정공 인버터 공기압축기 교체를 통한 온실가스 감축사업</x:v>
      </x:c>
      <x:c r="C266" s="2" t="str">
        <x:f>IF('신청 원장'!F1330="","",'신청 원장'!F1330)</x:f>
        <x:v>2025-11-14</x:v>
      </x:c>
      <x:c r="D266" s="2" t="str">
        <x:f>IF('신청 원장'!J1330="","",'신청 원장'!J1330)</x:f>
        <x:v>보완요청</x:v>
      </x:c>
      <x:c r="E266" s="2" t="str">
        <x:f>IF('신청 원장'!L1330="","",'신청 원장'!L1330)</x:f>
      </x:c>
      <x:c r="F266" s="2" t="n">
        <x:f>IF('신청 원장'!M1330="","",'신청 원장'!M1330)</x:f>
        <x:v>1</x:v>
      </x:c>
      <x:c r="G266" s="2" t="n">
        <x:f>IF('신청 원장'!N1330="","",'신청 원장'!N1330)</x:f>
        <x:v>335</x:v>
      </x:c>
      <x:c r="H266" s="2" t="str">
        <x:f>IF('신청 원장'!AA1330="","",'신청 원장'!AA1330)</x:f>
        <x:v>내부 관찰 대상</x:v>
      </x:c>
      <x:c r="I266" s="2" t="str">
        <x:f>IF('신청 원장'!O1330="","",'신청 원장'!O1330)</x:f>
        <x:v>평가 후 결정</x:v>
      </x:c>
      <x:c r="J266" s="2" t="str">
        <x:f>IF('신청 원장'!W1330="","",'신청 원장'!W1330)</x:f>
        <x:v>담당기관 확인</x:v>
      </x:c>
      <x:c r="K266" s="2" t="str">
        <x:f>IF('신청 원장'!X1330="","",'신청 원장'!X1330)</x:f>
        <x:v>원본·배정 기록 확인</x:v>
      </x:c>
      <x:c r="L266" s="2" t="str">
        <x:f>IF('신청 원장'!R1330="","",'신청 원장'!R1330)</x:f>
        <x:v>국내평가</x:v>
      </x:c>
      <x:c r="M266" s="2" t="n">
        <x:f>IF('신청 원장'!S1330="","",'신청 원장'!S1330)</x:f>
        <x:v>1233</x:v>
      </x:c>
      <x:c r="N266" s="2" t="str">
        <x:f>IF('신청 원장'!K1330&lt;&gt;"미종결 표시","종결 상태 확인",IF('신청 원장'!N1330="","일자 확인 필요",IF('신청 원장'!N1330&gt;365,"366일 이상",IF('신청 원장'!N1330&gt;90,"91~365일",IF('신청 원장'!N1330&gt;30,"31~90일","0~30일")))))</x:f>
        <x:v>91~365일</x:v>
      </x:c>
      <x:c r="O266" s="2" t="str">
        <x:f>IF(OR('신청 원장'!L1330="",'신청 원장'!L1330="선택"),"담당 원문 확인","기재")</x:f>
        <x:v>담당 원문 확인</x:v>
      </x:c>
      <x:c r="P266" s="2" t="str">
        <x:f>IF('신청 원장'!A1330="","",'신청 원장'!A1330)</x:f>
        <x:v>bed7f59a36e01da74b2fc51b</x:v>
      </x:c>
    </x:row>
    <x:row r="267" ht="42" customHeight="1">
      <x:c r="A267" s="2" t="str">
        <x:f>IF('신청 원장'!B1331="","",'신청 원장'!B1331)</x:f>
        <x:v>사업 평가</x:v>
      </x:c>
      <x:c r="B267" s="7" t="str">
        <x:f>IF('신청 원장'!D1331="","",'신청 원장'!D1331)</x:f>
        <x:v>(주)아즈텍더블유비이 인버터 공기압축기 교체를 통한 온실가스 감축사업</x:v>
      </x:c>
      <x:c r="C267" s="2" t="str">
        <x:f>IF('신청 원장'!F1331="","",'신청 원장'!F1331)</x:f>
        <x:v>2025-11-14</x:v>
      </x:c>
      <x:c r="D267" s="2" t="str">
        <x:f>IF('신청 원장'!J1331="","",'신청 원장'!J1331)</x:f>
        <x:v>보완요청</x:v>
      </x:c>
      <x:c r="E267" s="2" t="str">
        <x:f>IF('신청 원장'!L1331="","",'신청 원장'!L1331)</x:f>
      </x:c>
      <x:c r="F267" s="2" t="n">
        <x:f>IF('신청 원장'!M1331="","",'신청 원장'!M1331)</x:f>
        <x:v>1</x:v>
      </x:c>
      <x:c r="G267" s="2" t="n">
        <x:f>IF('신청 원장'!N1331="","",'신청 원장'!N1331)</x:f>
        <x:v>335</x:v>
      </x:c>
      <x:c r="H267" s="2" t="str">
        <x:f>IF('신청 원장'!AA1331="","",'신청 원장'!AA1331)</x:f>
        <x:v>내부 관찰 대상</x:v>
      </x:c>
      <x:c r="I267" s="2" t="str">
        <x:f>IF('신청 원장'!O1331="","",'신청 원장'!O1331)</x:f>
        <x:v>평가 후 결정</x:v>
      </x:c>
      <x:c r="J267" s="2" t="str">
        <x:f>IF('신청 원장'!W1331="","",'신청 원장'!W1331)</x:f>
        <x:v>담당기관 확인</x:v>
      </x:c>
      <x:c r="K267" s="2" t="str">
        <x:f>IF('신청 원장'!X1331="","",'신청 원장'!X1331)</x:f>
        <x:v>원본·배정 기록 확인</x:v>
      </x:c>
      <x:c r="L267" s="2" t="str">
        <x:f>IF('신청 원장'!R1331="","",'신청 원장'!R1331)</x:f>
        <x:v>국내평가</x:v>
      </x:c>
      <x:c r="M267" s="2" t="n">
        <x:f>IF('신청 원장'!S1331="","",'신청 원장'!S1331)</x:f>
        <x:v>1234</x:v>
      </x:c>
      <x:c r="N267" s="2" t="str">
        <x:f>IF('신청 원장'!K1331&lt;&gt;"미종결 표시","종결 상태 확인",IF('신청 원장'!N1331="","일자 확인 필요",IF('신청 원장'!N1331&gt;365,"366일 이상",IF('신청 원장'!N1331&gt;90,"91~365일",IF('신청 원장'!N1331&gt;30,"31~90일","0~30일")))))</x:f>
        <x:v>91~365일</x:v>
      </x:c>
      <x:c r="O267" s="2" t="str">
        <x:f>IF(OR('신청 원장'!L1331="",'신청 원장'!L1331="선택"),"담당 원문 확인","기재")</x:f>
        <x:v>담당 원문 확인</x:v>
      </x:c>
      <x:c r="P267" s="2" t="str">
        <x:f>IF('신청 원장'!A1331="","",'신청 원장'!A1331)</x:f>
        <x:v>e45338e6d669258e853e722a</x:v>
      </x:c>
    </x:row>
    <x:row r="268" ht="42" customHeight="1">
      <x:c r="A268" s="2" t="str">
        <x:f>IF('신청 원장'!B1332="","",'신청 원장'!B1332)</x:f>
        <x:v>사업 평가</x:v>
      </x:c>
      <x:c r="B268" s="7" t="str">
        <x:f>IF('신청 원장'!D1332="","",'신청 원장'!D1332)</x:f>
        <x:v>부곡스텐레스(주) 인버터 공기압축기 교체를 통한 온실가스 감축사업</x:v>
      </x:c>
      <x:c r="C268" s="2" t="str">
        <x:f>IF('신청 원장'!F1332="","",'신청 원장'!F1332)</x:f>
        <x:v>2025-11-17</x:v>
      </x:c>
      <x:c r="D268" s="2" t="str">
        <x:f>IF('신청 원장'!J1332="","",'신청 원장'!J1332)</x:f>
        <x:v>보완요청</x:v>
      </x:c>
      <x:c r="E268" s="2" t="str">
        <x:f>IF('신청 원장'!L1332="","",'신청 원장'!L1332)</x:f>
      </x:c>
      <x:c r="F268" s="2" t="n">
        <x:f>IF('신청 원장'!M1332="","",'신청 원장'!M1332)</x:f>
        <x:v>1</x:v>
      </x:c>
      <x:c r="G268" s="2" t="n">
        <x:f>IF('신청 원장'!N1332="","",'신청 원장'!N1332)</x:f>
        <x:v>332</x:v>
      </x:c>
      <x:c r="H268" s="2" t="str">
        <x:f>IF('신청 원장'!AA1332="","",'신청 원장'!AA1332)</x:f>
        <x:v>내부 관찰 대상</x:v>
      </x:c>
      <x:c r="I268" s="2" t="str">
        <x:f>IF('신청 원장'!O1332="","",'신청 원장'!O1332)</x:f>
        <x:v>평가 후 결정</x:v>
      </x:c>
      <x:c r="J268" s="2" t="str">
        <x:f>IF('신청 원장'!W1332="","",'신청 원장'!W1332)</x:f>
        <x:v>담당기관 확인</x:v>
      </x:c>
      <x:c r="K268" s="2" t="str">
        <x:f>IF('신청 원장'!X1332="","",'신청 원장'!X1332)</x:f>
        <x:v>원본·배정 기록 확인</x:v>
      </x:c>
      <x:c r="L268" s="2" t="str">
        <x:f>IF('신청 원장'!R1332="","",'신청 원장'!R1332)</x:f>
        <x:v>국내평가</x:v>
      </x:c>
      <x:c r="M268" s="2" t="n">
        <x:f>IF('신청 원장'!S1332="","",'신청 원장'!S1332)</x:f>
        <x:v>1235</x:v>
      </x:c>
      <x:c r="N268" s="2" t="str">
        <x:f>IF('신청 원장'!K1332&lt;&gt;"미종결 표시","종결 상태 확인",IF('신청 원장'!N1332="","일자 확인 필요",IF('신청 원장'!N1332&gt;365,"366일 이상",IF('신청 원장'!N1332&gt;90,"91~365일",IF('신청 원장'!N1332&gt;30,"31~90일","0~30일")))))</x:f>
        <x:v>91~365일</x:v>
      </x:c>
      <x:c r="O268" s="2" t="str">
        <x:f>IF(OR('신청 원장'!L1332="",'신청 원장'!L1332="선택"),"담당 원문 확인","기재")</x:f>
        <x:v>담당 원문 확인</x:v>
      </x:c>
      <x:c r="P268" s="2" t="str">
        <x:f>IF('신청 원장'!A1332="","",'신청 원장'!A1332)</x:f>
        <x:v>82487f5419a1e7f5103bf8ae</x:v>
      </x:c>
    </x:row>
    <x:row r="269" ht="42" customHeight="1">
      <x:c r="A269" s="2" t="str">
        <x:f>IF('신청 원장'!B1333="","",'신청 원장'!B1333)</x:f>
        <x:v>사업 평가</x:v>
      </x:c>
      <x:c r="B269" s="7" t="str">
        <x:f>IF('신청 원장'!D1333="","",'신청 원장'!D1333)</x:f>
        <x:v>주식회사 하트만 인버터 공기압축기 교체를 통한 온실가스 감축사업</x:v>
      </x:c>
      <x:c r="C269" s="2" t="str">
        <x:f>IF('신청 원장'!F1333="","",'신청 원장'!F1333)</x:f>
        <x:v>2025-11-17</x:v>
      </x:c>
      <x:c r="D269" s="2" t="str">
        <x:f>IF('신청 원장'!J1333="","",'신청 원장'!J1333)</x:f>
        <x:v>보완요청</x:v>
      </x:c>
      <x:c r="E269" s="2" t="str">
        <x:f>IF('신청 원장'!L1333="","",'신청 원장'!L1333)</x:f>
      </x:c>
      <x:c r="F269" s="2" t="n">
        <x:f>IF('신청 원장'!M1333="","",'신청 원장'!M1333)</x:f>
        <x:v>1</x:v>
      </x:c>
      <x:c r="G269" s="2" t="n">
        <x:f>IF('신청 원장'!N1333="","",'신청 원장'!N1333)</x:f>
        <x:v>332</x:v>
      </x:c>
      <x:c r="H269" s="2" t="str">
        <x:f>IF('신청 원장'!AA1333="","",'신청 원장'!AA1333)</x:f>
        <x:v>내부 관찰 대상</x:v>
      </x:c>
      <x:c r="I269" s="2" t="str">
        <x:f>IF('신청 원장'!O1333="","",'신청 원장'!O1333)</x:f>
        <x:v>평가 후 결정</x:v>
      </x:c>
      <x:c r="J269" s="2" t="str">
        <x:f>IF('신청 원장'!W1333="","",'신청 원장'!W1333)</x:f>
        <x:v>담당기관 확인</x:v>
      </x:c>
      <x:c r="K269" s="2" t="str">
        <x:f>IF('신청 원장'!X1333="","",'신청 원장'!X1333)</x:f>
        <x:v>원본·배정 기록 확인</x:v>
      </x:c>
      <x:c r="L269" s="2" t="str">
        <x:f>IF('신청 원장'!R1333="","",'신청 원장'!R1333)</x:f>
        <x:v>국내평가</x:v>
      </x:c>
      <x:c r="M269" s="2" t="n">
        <x:f>IF('신청 원장'!S1333="","",'신청 원장'!S1333)</x:f>
        <x:v>1236</x:v>
      </x:c>
      <x:c r="N269" s="2" t="str">
        <x:f>IF('신청 원장'!K1333&lt;&gt;"미종결 표시","종결 상태 확인",IF('신청 원장'!N1333="","일자 확인 필요",IF('신청 원장'!N1333&gt;365,"366일 이상",IF('신청 원장'!N1333&gt;90,"91~365일",IF('신청 원장'!N1333&gt;30,"31~90일","0~30일")))))</x:f>
        <x:v>91~365일</x:v>
      </x:c>
      <x:c r="O269" s="2" t="str">
        <x:f>IF(OR('신청 원장'!L1333="",'신청 원장'!L1333="선택"),"담당 원문 확인","기재")</x:f>
        <x:v>담당 원문 확인</x:v>
      </x:c>
      <x:c r="P269" s="2" t="str">
        <x:f>IF('신청 원장'!A1333="","",'신청 원장'!A1333)</x:f>
        <x:v>63af414c5f506253f3ff5593</x:v>
      </x:c>
    </x:row>
    <x:row r="270" ht="42" customHeight="1">
      <x:c r="A270" s="2" t="str">
        <x:f>IF('신청 원장'!B1334="","",'신청 원장'!B1334)</x:f>
        <x:v>사업 평가</x:v>
      </x:c>
      <x:c r="B270" s="7" t="str">
        <x:f>IF('신청 원장'!D1334="","",'신청 원장'!D1334)</x:f>
        <x:v>(주)일흥 고효율 보일러 교체를 통한 온실가스 감축사업</x:v>
      </x:c>
      <x:c r="C270" s="2" t="str">
        <x:f>IF('신청 원장'!F1334="","",'신청 원장'!F1334)</x:f>
        <x:v>2025-11-17</x:v>
      </x:c>
      <x:c r="D270" s="2" t="str">
        <x:f>IF('신청 원장'!J1334="","",'신청 원장'!J1334)</x:f>
        <x:v>보완요청</x:v>
      </x:c>
      <x:c r="E270" s="2" t="str">
        <x:f>IF('신청 원장'!L1334="","",'신청 원장'!L1334)</x:f>
      </x:c>
      <x:c r="F270" s="2" t="n">
        <x:f>IF('신청 원장'!M1334="","",'신청 원장'!M1334)</x:f>
        <x:v>1</x:v>
      </x:c>
      <x:c r="G270" s="2" t="n">
        <x:f>IF('신청 원장'!N1334="","",'신청 원장'!N1334)</x:f>
        <x:v>332</x:v>
      </x:c>
      <x:c r="H270" s="2" t="str">
        <x:f>IF('신청 원장'!AA1334="","",'신청 원장'!AA1334)</x:f>
        <x:v>내부 관찰 대상</x:v>
      </x:c>
      <x:c r="I270" s="2" t="str">
        <x:f>IF('신청 원장'!O1334="","",'신청 원장'!O1334)</x:f>
        <x:v>평가 후 결정</x:v>
      </x:c>
      <x:c r="J270" s="2" t="str">
        <x:f>IF('신청 원장'!W1334="","",'신청 원장'!W1334)</x:f>
        <x:v>담당기관 확인</x:v>
      </x:c>
      <x:c r="K270" s="2" t="str">
        <x:f>IF('신청 원장'!X1334="","",'신청 원장'!X1334)</x:f>
        <x:v>원본·배정 기록 확인</x:v>
      </x:c>
      <x:c r="L270" s="2" t="str">
        <x:f>IF('신청 원장'!R1334="","",'신청 원장'!R1334)</x:f>
        <x:v>국내평가</x:v>
      </x:c>
      <x:c r="M270" s="2" t="n">
        <x:f>IF('신청 원장'!S1334="","",'신청 원장'!S1334)</x:f>
        <x:v>1237</x:v>
      </x:c>
      <x:c r="N270" s="2" t="str">
        <x:f>IF('신청 원장'!K1334&lt;&gt;"미종결 표시","종결 상태 확인",IF('신청 원장'!N1334="","일자 확인 필요",IF('신청 원장'!N1334&gt;365,"366일 이상",IF('신청 원장'!N1334&gt;90,"91~365일",IF('신청 원장'!N1334&gt;30,"31~90일","0~30일")))))</x:f>
        <x:v>91~365일</x:v>
      </x:c>
      <x:c r="O270" s="2" t="str">
        <x:f>IF(OR('신청 원장'!L1334="",'신청 원장'!L1334="선택"),"담당 원문 확인","기재")</x:f>
        <x:v>담당 원문 확인</x:v>
      </x:c>
      <x:c r="P270" s="2" t="str">
        <x:f>IF('신청 원장'!A1334="","",'신청 원장'!A1334)</x:f>
        <x:v>f233e1e2e4b627496e184e14</x:v>
      </x:c>
    </x:row>
    <x:row r="271" ht="42" customHeight="1">
      <x:c r="A271" s="2" t="str">
        <x:f>IF('신청 원장'!B1335="","",'신청 원장'!B1335)</x:f>
        <x:v>사업 평가</x:v>
      </x:c>
      <x:c r="B271" s="7" t="str">
        <x:f>IF('신청 원장'!D1335="","",'신청 원장'!D1335)</x:f>
        <x:v>(주)신신기계 인버터 공기압축기 교체를 통한 온실가스 감축사업</x:v>
      </x:c>
      <x:c r="C271" s="2" t="str">
        <x:f>IF('신청 원장'!F1335="","",'신청 원장'!F1335)</x:f>
        <x:v>2025-11-25</x:v>
      </x:c>
      <x:c r="D271" s="2" t="str">
        <x:f>IF('신청 원장'!J1335="","",'신청 원장'!J1335)</x:f>
        <x:v>보완요청</x:v>
      </x:c>
      <x:c r="E271" s="2" t="str">
        <x:f>IF('신청 원장'!L1335="","",'신청 원장'!L1335)</x:f>
      </x:c>
      <x:c r="F271" s="2" t="n">
        <x:f>IF('신청 원장'!M1335="","",'신청 원장'!M1335)</x:f>
        <x:v>1</x:v>
      </x:c>
      <x:c r="G271" s="2" t="n">
        <x:f>IF('신청 원장'!N1335="","",'신청 원장'!N1335)</x:f>
        <x:v>324</x:v>
      </x:c>
      <x:c r="H271" s="2" t="str">
        <x:f>IF('신청 원장'!AA1335="","",'신청 원장'!AA1335)</x:f>
        <x:v>내부 관찰 대상</x:v>
      </x:c>
      <x:c r="I271" s="2" t="str">
        <x:f>IF('신청 원장'!O1335="","",'신청 원장'!O1335)</x:f>
        <x:v>평가 후 결정</x:v>
      </x:c>
      <x:c r="J271" s="2" t="str">
        <x:f>IF('신청 원장'!W1335="","",'신청 원장'!W1335)</x:f>
        <x:v>담당기관 확인</x:v>
      </x:c>
      <x:c r="K271" s="2" t="str">
        <x:f>IF('신청 원장'!X1335="","",'신청 원장'!X1335)</x:f>
        <x:v>원본·배정 기록 확인</x:v>
      </x:c>
      <x:c r="L271" s="2" t="str">
        <x:f>IF('신청 원장'!R1335="","",'신청 원장'!R1335)</x:f>
        <x:v>국내평가</x:v>
      </x:c>
      <x:c r="M271" s="2" t="n">
        <x:f>IF('신청 원장'!S1335="","",'신청 원장'!S1335)</x:f>
        <x:v>1238</x:v>
      </x:c>
      <x:c r="N271" s="2" t="str">
        <x:f>IF('신청 원장'!K1335&lt;&gt;"미종결 표시","종결 상태 확인",IF('신청 원장'!N1335="","일자 확인 필요",IF('신청 원장'!N1335&gt;365,"366일 이상",IF('신청 원장'!N1335&gt;90,"91~365일",IF('신청 원장'!N1335&gt;30,"31~90일","0~30일")))))</x:f>
        <x:v>91~365일</x:v>
      </x:c>
      <x:c r="O271" s="2" t="str">
        <x:f>IF(OR('신청 원장'!L1335="",'신청 원장'!L1335="선택"),"담당 원문 확인","기재")</x:f>
        <x:v>담당 원문 확인</x:v>
      </x:c>
      <x:c r="P271" s="2" t="str">
        <x:f>IF('신청 원장'!A1335="","",'신청 원장'!A1335)</x:f>
        <x:v>47fc730f6043efa5952ce88c</x:v>
      </x:c>
    </x:row>
    <x:row r="272" ht="42" customHeight="1">
      <x:c r="A272" s="2" t="str">
        <x:f>IF('신청 원장'!B1336="","",'신청 원장'!B1336)</x:f>
        <x:v>사업 평가</x:v>
      </x:c>
      <x:c r="B272" s="7" t="str">
        <x:f>IF('신청 원장'!D1336="","",'신청 원장'!D1336)</x:f>
        <x:v>엑사옵토닉스(주)의 고효율 인버터 공기압축기 교체를 통한 온실가스 감축사업</x:v>
      </x:c>
      <x:c r="C272" s="2" t="str">
        <x:f>IF('신청 원장'!F1336="","",'신청 원장'!F1336)</x:f>
        <x:v>2025-12-12</x:v>
      </x:c>
      <x:c r="D272" s="2" t="str">
        <x:f>IF('신청 원장'!J1336="","",'신청 원장'!J1336)</x:f>
        <x:v>보완요청</x:v>
      </x:c>
      <x:c r="E272" s="2" t="str">
        <x:f>IF('신청 원장'!L1336="","",'신청 원장'!L1336)</x:f>
      </x:c>
      <x:c r="F272" s="2" t="n">
        <x:f>IF('신청 원장'!M1336="","",'신청 원장'!M1336)</x:f>
        <x:v>1</x:v>
      </x:c>
      <x:c r="G272" s="2" t="n">
        <x:f>IF('신청 원장'!N1336="","",'신청 원장'!N1336)</x:f>
        <x:v>307</x:v>
      </x:c>
      <x:c r="H272" s="2" t="str">
        <x:f>IF('신청 원장'!AA1336="","",'신청 원장'!AA1336)</x:f>
        <x:v>내부 관찰 대상</x:v>
      </x:c>
      <x:c r="I272" s="2" t="str">
        <x:f>IF('신청 원장'!O1336="","",'신청 원장'!O1336)</x:f>
        <x:v>평가 후 결정</x:v>
      </x:c>
      <x:c r="J272" s="2" t="str">
        <x:f>IF('신청 원장'!W1336="","",'신청 원장'!W1336)</x:f>
        <x:v>담당기관 확인</x:v>
      </x:c>
      <x:c r="K272" s="2" t="str">
        <x:f>IF('신청 원장'!X1336="","",'신청 원장'!X1336)</x:f>
        <x:v>원본·배정 기록 확인</x:v>
      </x:c>
      <x:c r="L272" s="2" t="str">
        <x:f>IF('신청 원장'!R1336="","",'신청 원장'!R1336)</x:f>
        <x:v>국내평가</x:v>
      </x:c>
      <x:c r="M272" s="2" t="n">
        <x:f>IF('신청 원장'!S1336="","",'신청 원장'!S1336)</x:f>
        <x:v>1239</x:v>
      </x:c>
      <x:c r="N272" s="2" t="str">
        <x:f>IF('신청 원장'!K1336&lt;&gt;"미종결 표시","종결 상태 확인",IF('신청 원장'!N1336="","일자 확인 필요",IF('신청 원장'!N1336&gt;365,"366일 이상",IF('신청 원장'!N1336&gt;90,"91~365일",IF('신청 원장'!N1336&gt;30,"31~90일","0~30일")))))</x:f>
        <x:v>91~365일</x:v>
      </x:c>
      <x:c r="O272" s="2" t="str">
        <x:f>IF(OR('신청 원장'!L1336="",'신청 원장'!L1336="선택"),"담당 원문 확인","기재")</x:f>
        <x:v>담당 원문 확인</x:v>
      </x:c>
      <x:c r="P272" s="2" t="str">
        <x:f>IF('신청 원장'!A1336="","",'신청 원장'!A1336)</x:f>
        <x:v>979a5f3b0f8f0946a45a6fd5</x:v>
      </x:c>
    </x:row>
    <x:row r="273" ht="42" customHeight="1">
      <x:c r="A273" s="2" t="str">
        <x:f>IF('신청 원장'!B1338="","",'신청 원장'!B1338)</x:f>
        <x:v>사업 평가</x:v>
      </x:c>
      <x:c r="B273" s="7" t="str">
        <x:f>IF('신청 원장'!D1338="","",'신청 원장'!D1338)</x:f>
        <x:v>부산항만공사의 LED 도로조명 교체를 통한 온실가스 묶음 감축 사업</x:v>
      </x:c>
      <x:c r="C273" s="2" t="str">
        <x:f>IF('신청 원장'!F1338="","",'신청 원장'!F1338)</x:f>
        <x:v>2025-12-17</x:v>
      </x:c>
      <x:c r="D273" s="2" t="str">
        <x:f>IF('신청 원장'!J1338="","",'신청 원장'!J1338)</x:f>
        <x:v>평가중</x:v>
      </x:c>
      <x:c r="E273" s="2" t="str">
        <x:f>IF('신청 원장'!L1338="","",'신청 원장'!L1338)</x:f>
      </x:c>
      <x:c r="F273" s="2" t="str">
        <x:f>IF('신청 원장'!M1338="","",'신청 원장'!M1338)</x:f>
      </x:c>
      <x:c r="G273" s="2" t="n">
        <x:f>IF('신청 원장'!N1338="","",'신청 원장'!N1338)</x:f>
        <x:v>302</x:v>
      </x:c>
      <x:c r="H273" s="2" t="str">
        <x:f>IF('신청 원장'!AA1338="","",'신청 원장'!AA1338)</x:f>
        <x:v>내부 관찰 대상</x:v>
      </x:c>
      <x:c r="I273" s="2" t="str">
        <x:f>IF('신청 원장'!O1338="","",'신청 원장'!O1338)</x:f>
        <x:v>생략</x:v>
      </x:c>
      <x:c r="J273" s="2" t="str">
        <x:f>IF('신청 원장'!W1338="","",'신청 원장'!W1338)</x:f>
        <x:v>담당기관 확인</x:v>
      </x:c>
      <x:c r="K273" s="2" t="str">
        <x:f>IF('신청 원장'!X1338="","",'신청 원장'!X1338)</x:f>
        <x:v>원본·배정 기록 확인</x:v>
      </x:c>
      <x:c r="L273" s="2" t="str">
        <x:f>IF('신청 원장'!R1338="","",'신청 원장'!R1338)</x:f>
        <x:v>국내평가</x:v>
      </x:c>
      <x:c r="M273" s="2" t="n">
        <x:f>IF('신청 원장'!S1338="","",'신청 원장'!S1338)</x:f>
        <x:v>1241</x:v>
      </x:c>
      <x:c r="N273" s="2" t="str">
        <x:f>IF('신청 원장'!K1338&lt;&gt;"미종결 표시","종결 상태 확인",IF('신청 원장'!N1338="","일자 확인 필요",IF('신청 원장'!N1338&gt;365,"366일 이상",IF('신청 원장'!N1338&gt;90,"91~365일",IF('신청 원장'!N1338&gt;30,"31~90일","0~30일")))))</x:f>
        <x:v>91~365일</x:v>
      </x:c>
      <x:c r="O273" s="2" t="str">
        <x:f>IF(OR('신청 원장'!L1338="",'신청 원장'!L1338="선택"),"담당 원문 확인","기재")</x:f>
        <x:v>담당 원문 확인</x:v>
      </x:c>
      <x:c r="P273" s="2" t="str">
        <x:f>IF('신청 원장'!A1338="","",'신청 원장'!A1338)</x:f>
        <x:v>5d887d308a85420fa7e94805</x:v>
      </x:c>
    </x:row>
    <x:row r="274" ht="42" customHeight="1">
      <x:c r="A274" s="2" t="str">
        <x:f>IF('신청 원장'!B1339="","",'신청 원장'!B1339)</x:f>
        <x:v>사업 평가</x:v>
      </x:c>
      <x:c r="B274" s="7" t="str">
        <x:f>IF('신청 원장'!D1339="","",'신청 원장'!D1339)</x:f>
        <x:v>미활용 열에너지를 활용한 온실가스 감축 사업</x:v>
      </x:c>
      <x:c r="C274" s="2" t="str">
        <x:f>IF('신청 원장'!F1339="","",'신청 원장'!F1339)</x:f>
        <x:v>2025-12-19</x:v>
      </x:c>
      <x:c r="D274" s="2" t="str">
        <x:f>IF('신청 원장'!J1339="","",'신청 원장'!J1339)</x:f>
        <x:v>보완요청</x:v>
      </x:c>
      <x:c r="E274" s="2" t="str">
        <x:f>IF('신청 원장'!L1339="","",'신청 원장'!L1339)</x:f>
      </x:c>
      <x:c r="F274" s="2" t="n">
        <x:f>IF('신청 원장'!M1339="","",'신청 원장'!M1339)</x:f>
        <x:v>1</x:v>
      </x:c>
      <x:c r="G274" s="2" t="n">
        <x:f>IF('신청 원장'!N1339="","",'신청 원장'!N1339)</x:f>
        <x:v>300</x:v>
      </x:c>
      <x:c r="H274" s="2" t="str">
        <x:f>IF('신청 원장'!AA1339="","",'신청 원장'!AA1339)</x:f>
        <x:v>내부 관찰 대상</x:v>
      </x:c>
      <x:c r="I274" s="2" t="str">
        <x:f>IF('신청 원장'!O1339="","",'신청 원장'!O1339)</x:f>
        <x:v>평가 후 결정</x:v>
      </x:c>
      <x:c r="J274" s="2" t="str">
        <x:f>IF('신청 원장'!W1339="","",'신청 원장'!W1339)</x:f>
        <x:v>담당기관 확인</x:v>
      </x:c>
      <x:c r="K274" s="2" t="str">
        <x:f>IF('신청 원장'!X1339="","",'신청 원장'!X1339)</x:f>
        <x:v>원본·배정 기록 확인</x:v>
      </x:c>
      <x:c r="L274" s="2" t="str">
        <x:f>IF('신청 원장'!R1339="","",'신청 원장'!R1339)</x:f>
        <x:v>국내평가</x:v>
      </x:c>
      <x:c r="M274" s="2" t="n">
        <x:f>IF('신청 원장'!S1339="","",'신청 원장'!S1339)</x:f>
        <x:v>1242</x:v>
      </x:c>
      <x:c r="N274" s="2" t="str">
        <x:f>IF('신청 원장'!K1339&lt;&gt;"미종결 표시","종결 상태 확인",IF('신청 원장'!N1339="","일자 확인 필요",IF('신청 원장'!N1339&gt;365,"366일 이상",IF('신청 원장'!N1339&gt;90,"91~365일",IF('신청 원장'!N1339&gt;30,"31~90일","0~30일")))))</x:f>
        <x:v>91~365일</x:v>
      </x:c>
      <x:c r="O274" s="2" t="str">
        <x:f>IF(OR('신청 원장'!L1339="",'신청 원장'!L1339="선택"),"담당 원문 확인","기재")</x:f>
        <x:v>담당 원문 확인</x:v>
      </x:c>
      <x:c r="P274" s="2" t="str">
        <x:f>IF('신청 원장'!A1339="","",'신청 원장'!A1339)</x:f>
        <x:v>1f08a58bbe30a662f402012d</x:v>
      </x:c>
    </x:row>
    <x:row r="275" ht="42" customHeight="1">
      <x:c r="A275" s="2" t="str">
        <x:f>IF('신청 원장'!B1340="","",'신청 원장'!B1340)</x:f>
        <x:v>사업 평가</x:v>
      </x:c>
      <x:c r="B275" s="7" t="str">
        <x:f>IF('신청 원장'!D1340="","",'신청 원장'!D1340)</x:f>
        <x:v>㈜한신특수가공 외 4개사의 인버터 공기압축기 교체를 통한 온실가스 감축사업</x:v>
      </x:c>
      <x:c r="C275" s="2" t="str">
        <x:f>IF('신청 원장'!F1340="","",'신청 원장'!F1340)</x:f>
        <x:v>2025-12-31</x:v>
      </x:c>
      <x:c r="D275" s="2" t="str">
        <x:f>IF('신청 원장'!J1340="","",'신청 원장'!J1340)</x:f>
        <x:v>보완요청</x:v>
      </x:c>
      <x:c r="E275" s="2" t="str">
        <x:f>IF('신청 원장'!L1340="","",'신청 원장'!L1340)</x:f>
      </x:c>
      <x:c r="F275" s="2" t="str">
        <x:f>IF('신청 원장'!M1340="","",'신청 원장'!M1340)</x:f>
      </x:c>
      <x:c r="G275" s="2" t="n">
        <x:f>IF('신청 원장'!N1340="","",'신청 원장'!N1340)</x:f>
        <x:v>288</x:v>
      </x:c>
      <x:c r="H275" s="2" t="str">
        <x:f>IF('신청 원장'!AA1340="","",'신청 원장'!AA1340)</x:f>
        <x:v>내부 관찰 대상</x:v>
      </x:c>
      <x:c r="I275" s="2" t="str">
        <x:f>IF('신청 원장'!O1340="","",'신청 원장'!O1340)</x:f>
        <x:v>평가 후 결정</x:v>
      </x:c>
      <x:c r="J275" s="2" t="str">
        <x:f>IF('신청 원장'!W1340="","",'신청 원장'!W1340)</x:f>
        <x:v>담당기관 확인</x:v>
      </x:c>
      <x:c r="K275" s="2" t="str">
        <x:f>IF('신청 원장'!X1340="","",'신청 원장'!X1340)</x:f>
        <x:v>원본·배정 기록 확인</x:v>
      </x:c>
      <x:c r="L275" s="2" t="str">
        <x:f>IF('신청 원장'!R1340="","",'신청 원장'!R1340)</x:f>
        <x:v>국내평가</x:v>
      </x:c>
      <x:c r="M275" s="2" t="n">
        <x:f>IF('신청 원장'!S1340="","",'신청 원장'!S1340)</x:f>
        <x:v>1243</x:v>
      </x:c>
      <x:c r="N275" s="2" t="str">
        <x:f>IF('신청 원장'!K1340&lt;&gt;"미종결 표시","종결 상태 확인",IF('신청 원장'!N1340="","일자 확인 필요",IF('신청 원장'!N1340&gt;365,"366일 이상",IF('신청 원장'!N1340&gt;90,"91~365일",IF('신청 원장'!N1340&gt;30,"31~90일","0~30일")))))</x:f>
        <x:v>91~365일</x:v>
      </x:c>
      <x:c r="O275" s="2" t="str">
        <x:f>IF(OR('신청 원장'!L1340="",'신청 원장'!L1340="선택"),"담당 원문 확인","기재")</x:f>
        <x:v>담당 원문 확인</x:v>
      </x:c>
      <x:c r="P275" s="2" t="str">
        <x:f>IF('신청 원장'!A1340="","",'신청 원장'!A1340)</x:f>
        <x:v>dada7c3d00639a393051f83b</x:v>
      </x:c>
    </x:row>
    <x:row r="276" ht="42" customHeight="1">
      <x:c r="A276" s="2" t="str">
        <x:f>IF('신청 원장'!B1341="","",'신청 원장'!B1341)</x:f>
        <x:v>사업 평가</x:v>
      </x:c>
      <x:c r="B276" s="7" t="str">
        <x:f>IF('신청 원장'!D1341="","",'신청 원장'!D1341)</x:f>
        <x:v>태화오토텍주식회사 외 4개사의 인버터 공기압축기 교체를 통한 온실가스 감축사업</x:v>
      </x:c>
      <x:c r="C276" s="2" t="str">
        <x:f>IF('신청 원장'!F1341="","",'신청 원장'!F1341)</x:f>
        <x:v>2025-12-31</x:v>
      </x:c>
      <x:c r="D276" s="2" t="str">
        <x:f>IF('신청 원장'!J1341="","",'신청 원장'!J1341)</x:f>
        <x:v>보완요청</x:v>
      </x:c>
      <x:c r="E276" s="2" t="str">
        <x:f>IF('신청 원장'!L1341="","",'신청 원장'!L1341)</x:f>
      </x:c>
      <x:c r="F276" s="2" t="str">
        <x:f>IF('신청 원장'!M1341="","",'신청 원장'!M1341)</x:f>
      </x:c>
      <x:c r="G276" s="2" t="n">
        <x:f>IF('신청 원장'!N1341="","",'신청 원장'!N1341)</x:f>
        <x:v>288</x:v>
      </x:c>
      <x:c r="H276" s="2" t="str">
        <x:f>IF('신청 원장'!AA1341="","",'신청 원장'!AA1341)</x:f>
        <x:v>내부 관찰 대상</x:v>
      </x:c>
      <x:c r="I276" s="2" t="str">
        <x:f>IF('신청 원장'!O1341="","",'신청 원장'!O1341)</x:f>
        <x:v>평가 후 결정</x:v>
      </x:c>
      <x:c r="J276" s="2" t="str">
        <x:f>IF('신청 원장'!W1341="","",'신청 원장'!W1341)</x:f>
        <x:v>담당기관 확인</x:v>
      </x:c>
      <x:c r="K276" s="2" t="str">
        <x:f>IF('신청 원장'!X1341="","",'신청 원장'!X1341)</x:f>
        <x:v>원본·배정 기록 확인</x:v>
      </x:c>
      <x:c r="L276" s="2" t="str">
        <x:f>IF('신청 원장'!R1341="","",'신청 원장'!R1341)</x:f>
        <x:v>국내평가</x:v>
      </x:c>
      <x:c r="M276" s="2" t="n">
        <x:f>IF('신청 원장'!S1341="","",'신청 원장'!S1341)</x:f>
        <x:v>1244</x:v>
      </x:c>
      <x:c r="N276" s="2" t="str">
        <x:f>IF('신청 원장'!K1341&lt;&gt;"미종결 표시","종결 상태 확인",IF('신청 원장'!N1341="","일자 확인 필요",IF('신청 원장'!N1341&gt;365,"366일 이상",IF('신청 원장'!N1341&gt;90,"91~365일",IF('신청 원장'!N1341&gt;30,"31~90일","0~30일")))))</x:f>
        <x:v>91~365일</x:v>
      </x:c>
      <x:c r="O276" s="2" t="str">
        <x:f>IF(OR('신청 원장'!L1341="",'신청 원장'!L1341="선택"),"담당 원문 확인","기재")</x:f>
        <x:v>담당 원문 확인</x:v>
      </x:c>
      <x:c r="P276" s="2" t="str">
        <x:f>IF('신청 원장'!A1341="","",'신청 원장'!A1341)</x:f>
        <x:v>2aeadf437b1e74d640c02eea</x:v>
      </x:c>
    </x:row>
    <x:row r="277" ht="42" customHeight="1">
      <x:c r="A277" s="2" t="str">
        <x:f>IF('신청 원장'!B1342="","",'신청 원장'!B1342)</x:f>
        <x:v>사업 평가</x:v>
      </x:c>
      <x:c r="B277" s="7" t="str">
        <x:f>IF('신청 원장'!D1342="","",'신청 원장'!D1342)</x:f>
        <x:v>㈜디비전 외 4개사의 인버터 공기압축기 교체를 통한 온실가스 감축사업</x:v>
      </x:c>
      <x:c r="C277" s="2" t="str">
        <x:f>IF('신청 원장'!F1342="","",'신청 원장'!F1342)</x:f>
        <x:v>2025-12-31</x:v>
      </x:c>
      <x:c r="D277" s="2" t="str">
        <x:f>IF('신청 원장'!J1342="","",'신청 원장'!J1342)</x:f>
        <x:v>보완요청</x:v>
      </x:c>
      <x:c r="E277" s="2" t="str">
        <x:f>IF('신청 원장'!L1342="","",'신청 원장'!L1342)</x:f>
      </x:c>
      <x:c r="F277" s="2" t="str">
        <x:f>IF('신청 원장'!M1342="","",'신청 원장'!M1342)</x:f>
      </x:c>
      <x:c r="G277" s="2" t="n">
        <x:f>IF('신청 원장'!N1342="","",'신청 원장'!N1342)</x:f>
        <x:v>288</x:v>
      </x:c>
      <x:c r="H277" s="2" t="str">
        <x:f>IF('신청 원장'!AA1342="","",'신청 원장'!AA1342)</x:f>
        <x:v>내부 관찰 대상</x:v>
      </x:c>
      <x:c r="I277" s="2" t="str">
        <x:f>IF('신청 원장'!O1342="","",'신청 원장'!O1342)</x:f>
        <x:v>평가 후 결정</x:v>
      </x:c>
      <x:c r="J277" s="2" t="str">
        <x:f>IF('신청 원장'!W1342="","",'신청 원장'!W1342)</x:f>
        <x:v>담당기관 확인</x:v>
      </x:c>
      <x:c r="K277" s="2" t="str">
        <x:f>IF('신청 원장'!X1342="","",'신청 원장'!X1342)</x:f>
        <x:v>원본·배정 기록 확인</x:v>
      </x:c>
      <x:c r="L277" s="2" t="str">
        <x:f>IF('신청 원장'!R1342="","",'신청 원장'!R1342)</x:f>
        <x:v>국내평가</x:v>
      </x:c>
      <x:c r="M277" s="2" t="n">
        <x:f>IF('신청 원장'!S1342="","",'신청 원장'!S1342)</x:f>
        <x:v>1245</x:v>
      </x:c>
      <x:c r="N277" s="2" t="str">
        <x:f>IF('신청 원장'!K1342&lt;&gt;"미종결 표시","종결 상태 확인",IF('신청 원장'!N1342="","일자 확인 필요",IF('신청 원장'!N1342&gt;365,"366일 이상",IF('신청 원장'!N1342&gt;90,"91~365일",IF('신청 원장'!N1342&gt;30,"31~90일","0~30일")))))</x:f>
        <x:v>91~365일</x:v>
      </x:c>
      <x:c r="O277" s="2" t="str">
        <x:f>IF(OR('신청 원장'!L1342="",'신청 원장'!L1342="선택"),"담당 원문 확인","기재")</x:f>
        <x:v>담당 원문 확인</x:v>
      </x:c>
      <x:c r="P277" s="2" t="str">
        <x:f>IF('신청 원장'!A1342="","",'신청 원장'!A1342)</x:f>
        <x:v>1f9ab7662dedae8f302b7a2b</x:v>
      </x:c>
    </x:row>
    <x:row r="278" ht="42" customHeight="1">
      <x:c r="A278" s="2" t="str">
        <x:f>IF('신청 원장'!B1343="","",'신청 원장'!B1343)</x:f>
        <x:v>사업 평가</x:v>
      </x:c>
      <x:c r="B278" s="7" t="str">
        <x:f>IF('신청 원장'!D1343="","",'신청 원장'!D1343)</x:f>
        <x:v>성창실업 외 4개사의 인버터 공기압축기 교체를 통한 온실가스 감축사업</x:v>
      </x:c>
      <x:c r="C278" s="2" t="str">
        <x:f>IF('신청 원장'!F1343="","",'신청 원장'!F1343)</x:f>
        <x:v>2025-12-31</x:v>
      </x:c>
      <x:c r="D278" s="2" t="str">
        <x:f>IF('신청 원장'!J1343="","",'신청 원장'!J1343)</x:f>
        <x:v>보완요청</x:v>
      </x:c>
      <x:c r="E278" s="2" t="str">
        <x:f>IF('신청 원장'!L1343="","",'신청 원장'!L1343)</x:f>
      </x:c>
      <x:c r="F278" s="2" t="str">
        <x:f>IF('신청 원장'!M1343="","",'신청 원장'!M1343)</x:f>
      </x:c>
      <x:c r="G278" s="2" t="n">
        <x:f>IF('신청 원장'!N1343="","",'신청 원장'!N1343)</x:f>
        <x:v>288</x:v>
      </x:c>
      <x:c r="H278" s="2" t="str">
        <x:f>IF('신청 원장'!AA1343="","",'신청 원장'!AA1343)</x:f>
        <x:v>내부 관찰 대상</x:v>
      </x:c>
      <x:c r="I278" s="2" t="str">
        <x:f>IF('신청 원장'!O1343="","",'신청 원장'!O1343)</x:f>
        <x:v>평가 후 결정</x:v>
      </x:c>
      <x:c r="J278" s="2" t="str">
        <x:f>IF('신청 원장'!W1343="","",'신청 원장'!W1343)</x:f>
        <x:v>담당기관 확인</x:v>
      </x:c>
      <x:c r="K278" s="2" t="str">
        <x:f>IF('신청 원장'!X1343="","",'신청 원장'!X1343)</x:f>
        <x:v>원본·배정 기록 확인</x:v>
      </x:c>
      <x:c r="L278" s="2" t="str">
        <x:f>IF('신청 원장'!R1343="","",'신청 원장'!R1343)</x:f>
        <x:v>국내평가</x:v>
      </x:c>
      <x:c r="M278" s="2" t="n">
        <x:f>IF('신청 원장'!S1343="","",'신청 원장'!S1343)</x:f>
        <x:v>1246</x:v>
      </x:c>
      <x:c r="N278" s="2" t="str">
        <x:f>IF('신청 원장'!K1343&lt;&gt;"미종결 표시","종결 상태 확인",IF('신청 원장'!N1343="","일자 확인 필요",IF('신청 원장'!N1343&gt;365,"366일 이상",IF('신청 원장'!N1343&gt;90,"91~365일",IF('신청 원장'!N1343&gt;30,"31~90일","0~30일")))))</x:f>
        <x:v>91~365일</x:v>
      </x:c>
      <x:c r="O278" s="2" t="str">
        <x:f>IF(OR('신청 원장'!L1343="",'신청 원장'!L1343="선택"),"담당 원문 확인","기재")</x:f>
        <x:v>담당 원문 확인</x:v>
      </x:c>
      <x:c r="P278" s="2" t="str">
        <x:f>IF('신청 원장'!A1343="","",'신청 원장'!A1343)</x:f>
        <x:v>136cc3e5e61ce06bd667eec5</x:v>
      </x:c>
    </x:row>
    <x:row r="279" ht="42" customHeight="1">
      <x:c r="A279" s="2" t="str">
        <x:f>IF('신청 원장'!B1344="","",'신청 원장'!B1344)</x:f>
        <x:v>사업 평가</x:v>
      </x:c>
      <x:c r="B279" s="7" t="str">
        <x:f>IF('신청 원장'!D1344="","",'신청 원장'!D1344)</x:f>
        <x:v>주식회사 동진염색 외 5개사의 인버터 공기압축기 교체를 통한 온실가스 감축사업</x:v>
      </x:c>
      <x:c r="C279" s="2" t="str">
        <x:f>IF('신청 원장'!F1344="","",'신청 원장'!F1344)</x:f>
        <x:v>2025-12-31</x:v>
      </x:c>
      <x:c r="D279" s="2" t="str">
        <x:f>IF('신청 원장'!J1344="","",'신청 원장'!J1344)</x:f>
        <x:v>보완요청</x:v>
      </x:c>
      <x:c r="E279" s="2" t="str">
        <x:f>IF('신청 원장'!L1344="","",'신청 원장'!L1344)</x:f>
      </x:c>
      <x:c r="F279" s="2" t="str">
        <x:f>IF('신청 원장'!M1344="","",'신청 원장'!M1344)</x:f>
      </x:c>
      <x:c r="G279" s="2" t="n">
        <x:f>IF('신청 원장'!N1344="","",'신청 원장'!N1344)</x:f>
        <x:v>288</x:v>
      </x:c>
      <x:c r="H279" s="2" t="str">
        <x:f>IF('신청 원장'!AA1344="","",'신청 원장'!AA1344)</x:f>
        <x:v>내부 관찰 대상</x:v>
      </x:c>
      <x:c r="I279" s="2" t="str">
        <x:f>IF('신청 원장'!O1344="","",'신청 원장'!O1344)</x:f>
        <x:v>평가 후 결정</x:v>
      </x:c>
      <x:c r="J279" s="2" t="str">
        <x:f>IF('신청 원장'!W1344="","",'신청 원장'!W1344)</x:f>
        <x:v>담당기관 확인</x:v>
      </x:c>
      <x:c r="K279" s="2" t="str">
        <x:f>IF('신청 원장'!X1344="","",'신청 원장'!X1344)</x:f>
        <x:v>원본·배정 기록 확인</x:v>
      </x:c>
      <x:c r="L279" s="2" t="str">
        <x:f>IF('신청 원장'!R1344="","",'신청 원장'!R1344)</x:f>
        <x:v>국내평가</x:v>
      </x:c>
      <x:c r="M279" s="2" t="n">
        <x:f>IF('신청 원장'!S1344="","",'신청 원장'!S1344)</x:f>
        <x:v>1247</x:v>
      </x:c>
      <x:c r="N279" s="2" t="str">
        <x:f>IF('신청 원장'!K1344&lt;&gt;"미종결 표시","종결 상태 확인",IF('신청 원장'!N1344="","일자 확인 필요",IF('신청 원장'!N1344&gt;365,"366일 이상",IF('신청 원장'!N1344&gt;90,"91~365일",IF('신청 원장'!N1344&gt;30,"31~90일","0~30일")))))</x:f>
        <x:v>91~365일</x:v>
      </x:c>
      <x:c r="O279" s="2" t="str">
        <x:f>IF(OR('신청 원장'!L1344="",'신청 원장'!L1344="선택"),"담당 원문 확인","기재")</x:f>
        <x:v>담당 원문 확인</x:v>
      </x:c>
      <x:c r="P279" s="2" t="str">
        <x:f>IF('신청 원장'!A1344="","",'신청 원장'!A1344)</x:f>
        <x:v>759de5962953c60a6abe9364</x:v>
      </x:c>
    </x:row>
    <x:row r="280" ht="42" customHeight="1">
      <x:c r="A280" s="2" t="str">
        <x:f>IF('신청 원장'!B1345="","",'신청 원장'!B1345)</x:f>
        <x:v>사업 평가</x:v>
      </x:c>
      <x:c r="B280" s="7" t="str">
        <x:f>IF('신청 원장'!D1345="","",'신청 원장'!D1345)</x:f>
        <x:v>삼환염공(주) 외 5개사의 인버터 공기압축기 교체를 통한 온실가스 감축사업</x:v>
      </x:c>
      <x:c r="C280" s="2" t="str">
        <x:f>IF('신청 원장'!F1345="","",'신청 원장'!F1345)</x:f>
        <x:v>2025-12-31</x:v>
      </x:c>
      <x:c r="D280" s="2" t="str">
        <x:f>IF('신청 원장'!J1345="","",'신청 원장'!J1345)</x:f>
        <x:v>보완요청</x:v>
      </x:c>
      <x:c r="E280" s="2" t="str">
        <x:f>IF('신청 원장'!L1345="","",'신청 원장'!L1345)</x:f>
      </x:c>
      <x:c r="F280" s="2" t="str">
        <x:f>IF('신청 원장'!M1345="","",'신청 원장'!M1345)</x:f>
      </x:c>
      <x:c r="G280" s="2" t="n">
        <x:f>IF('신청 원장'!N1345="","",'신청 원장'!N1345)</x:f>
        <x:v>288</x:v>
      </x:c>
      <x:c r="H280" s="2" t="str">
        <x:f>IF('신청 원장'!AA1345="","",'신청 원장'!AA1345)</x:f>
        <x:v>내부 관찰 대상</x:v>
      </x:c>
      <x:c r="I280" s="2" t="str">
        <x:f>IF('신청 원장'!O1345="","",'신청 원장'!O1345)</x:f>
        <x:v>평가 후 결정</x:v>
      </x:c>
      <x:c r="J280" s="2" t="str">
        <x:f>IF('신청 원장'!W1345="","",'신청 원장'!W1345)</x:f>
        <x:v>담당기관 확인</x:v>
      </x:c>
      <x:c r="K280" s="2" t="str">
        <x:f>IF('신청 원장'!X1345="","",'신청 원장'!X1345)</x:f>
        <x:v>원본·배정 기록 확인</x:v>
      </x:c>
      <x:c r="L280" s="2" t="str">
        <x:f>IF('신청 원장'!R1345="","",'신청 원장'!R1345)</x:f>
        <x:v>국내평가</x:v>
      </x:c>
      <x:c r="M280" s="2" t="n">
        <x:f>IF('신청 원장'!S1345="","",'신청 원장'!S1345)</x:f>
        <x:v>1248</x:v>
      </x:c>
      <x:c r="N280" s="2" t="str">
        <x:f>IF('신청 원장'!K1345&lt;&gt;"미종결 표시","종결 상태 확인",IF('신청 원장'!N1345="","일자 확인 필요",IF('신청 원장'!N1345&gt;365,"366일 이상",IF('신청 원장'!N1345&gt;90,"91~365일",IF('신청 원장'!N1345&gt;30,"31~90일","0~30일")))))</x:f>
        <x:v>91~365일</x:v>
      </x:c>
      <x:c r="O280" s="2" t="str">
        <x:f>IF(OR('신청 원장'!L1345="",'신청 원장'!L1345="선택"),"담당 원문 확인","기재")</x:f>
        <x:v>담당 원문 확인</x:v>
      </x:c>
      <x:c r="P280" s="2" t="str">
        <x:f>IF('신청 원장'!A1345="","",'신청 원장'!A1345)</x:f>
        <x:v>fab625a5e4daed71422421f8</x:v>
      </x:c>
    </x:row>
    <x:row r="281" ht="42" customHeight="1">
      <x:c r="A281" s="2" t="str">
        <x:f>IF('신청 원장'!B1346="","",'신청 원장'!B1346)</x:f>
        <x:v>사업 평가</x:v>
      </x:c>
      <x:c r="B281" s="7" t="str">
        <x:f>IF('신청 원장'!D1346="","",'신청 원장'!D1346)</x:f>
        <x:v>씨엘테크 외 5개사의 인버터 공기압축기 교체를 통한 온실가스 감축사업</x:v>
      </x:c>
      <x:c r="C281" s="2" t="str">
        <x:f>IF('신청 원장'!F1346="","",'신청 원장'!F1346)</x:f>
        <x:v>2025-12-31</x:v>
      </x:c>
      <x:c r="D281" s="2" t="str">
        <x:f>IF('신청 원장'!J1346="","",'신청 원장'!J1346)</x:f>
        <x:v>보완요청</x:v>
      </x:c>
      <x:c r="E281" s="2" t="str">
        <x:f>IF('신청 원장'!L1346="","",'신청 원장'!L1346)</x:f>
      </x:c>
      <x:c r="F281" s="2" t="str">
        <x:f>IF('신청 원장'!M1346="","",'신청 원장'!M1346)</x:f>
      </x:c>
      <x:c r="G281" s="2" t="n">
        <x:f>IF('신청 원장'!N1346="","",'신청 원장'!N1346)</x:f>
        <x:v>288</x:v>
      </x:c>
      <x:c r="H281" s="2" t="str">
        <x:f>IF('신청 원장'!AA1346="","",'신청 원장'!AA1346)</x:f>
        <x:v>내부 관찰 대상</x:v>
      </x:c>
      <x:c r="I281" s="2" t="str">
        <x:f>IF('신청 원장'!O1346="","",'신청 원장'!O1346)</x:f>
        <x:v>평가 후 결정</x:v>
      </x:c>
      <x:c r="J281" s="2" t="str">
        <x:f>IF('신청 원장'!W1346="","",'신청 원장'!W1346)</x:f>
        <x:v>담당기관 확인</x:v>
      </x:c>
      <x:c r="K281" s="2" t="str">
        <x:f>IF('신청 원장'!X1346="","",'신청 원장'!X1346)</x:f>
        <x:v>원본·배정 기록 확인</x:v>
      </x:c>
      <x:c r="L281" s="2" t="str">
        <x:f>IF('신청 원장'!R1346="","",'신청 원장'!R1346)</x:f>
        <x:v>국내평가</x:v>
      </x:c>
      <x:c r="M281" s="2" t="n">
        <x:f>IF('신청 원장'!S1346="","",'신청 원장'!S1346)</x:f>
        <x:v>1249</x:v>
      </x:c>
      <x:c r="N281" s="2" t="str">
        <x:f>IF('신청 원장'!K1346&lt;&gt;"미종결 표시","종결 상태 확인",IF('신청 원장'!N1346="","일자 확인 필요",IF('신청 원장'!N1346&gt;365,"366일 이상",IF('신청 원장'!N1346&gt;90,"91~365일",IF('신청 원장'!N1346&gt;30,"31~90일","0~30일")))))</x:f>
        <x:v>91~365일</x:v>
      </x:c>
      <x:c r="O281" s="2" t="str">
        <x:f>IF(OR('신청 원장'!L1346="",'신청 원장'!L1346="선택"),"담당 원문 확인","기재")</x:f>
        <x:v>담당 원문 확인</x:v>
      </x:c>
      <x:c r="P281" s="2" t="str">
        <x:f>IF('신청 원장'!A1346="","",'신청 원장'!A1346)</x:f>
        <x:v>14defdb6a01c1bfbe93289d6</x:v>
      </x:c>
    </x:row>
    <x:row r="282" ht="42" customHeight="1">
      <x:c r="A282" s="2" t="str">
        <x:f>IF('신청 원장'!B1347="","",'신청 원장'!B1347)</x:f>
        <x:v>사업 평가</x:v>
      </x:c>
      <x:c r="B282" s="7" t="str">
        <x:f>IF('신청 원장'!D1347="","",'신청 원장'!D1347)</x:f>
        <x:v>서울시 2021~2023년 LED 도로조명 교체를 통한 온실가스 감축사업</x:v>
      </x:c>
      <x:c r="C282" s="2" t="str">
        <x:f>IF('신청 원장'!F1347="","",'신청 원장'!F1347)</x:f>
        <x:v>2025-11-04</x:v>
      </x:c>
      <x:c r="D282" s="2" t="str">
        <x:f>IF('신청 원장'!J1347="","",'신청 원장'!J1347)</x:f>
        <x:v>보완요청</x:v>
      </x:c>
      <x:c r="E282" s="2" t="str">
        <x:f>IF('신청 원장'!L1347="","",'신청 원장'!L1347)</x:f>
      </x:c>
      <x:c r="F282" s="2" t="n">
        <x:f>IF('신청 원장'!M1347="","",'신청 원장'!M1347)</x:f>
        <x:v>3</x:v>
      </x:c>
      <x:c r="G282" s="2" t="n">
        <x:f>IF('신청 원장'!N1347="","",'신청 원장'!N1347)</x:f>
        <x:v>345</x:v>
      </x:c>
      <x:c r="H282" s="2" t="str">
        <x:f>IF('신청 원장'!AA1347="","",'신청 원장'!AA1347)</x:f>
        <x:v>내부 관찰 대상</x:v>
      </x:c>
      <x:c r="I282" s="2" t="str">
        <x:f>IF('신청 원장'!O1347="","",'신청 원장'!O1347)</x:f>
        <x:v>평가 후 결정</x:v>
      </x:c>
      <x:c r="J282" s="2" t="str">
        <x:f>IF('신청 원장'!W1347="","",'신청 원장'!W1347)</x:f>
        <x:v>담당기관 확인</x:v>
      </x:c>
      <x:c r="K282" s="2" t="str">
        <x:f>IF('신청 원장'!X1347="","",'신청 원장'!X1347)</x:f>
        <x:v>원본·배정 기록 확인</x:v>
      </x:c>
      <x:c r="L282" s="2" t="str">
        <x:f>IF('신청 원장'!R1347="","",'신청 원장'!R1347)</x:f>
        <x:v>국내평가</x:v>
      </x:c>
      <x:c r="M282" s="2" t="n">
        <x:f>IF('신청 원장'!S1347="","",'신청 원장'!S1347)</x:f>
        <x:v>1250</x:v>
      </x:c>
      <x:c r="N282" s="2" t="str">
        <x:f>IF('신청 원장'!K1347&lt;&gt;"미종결 표시","종결 상태 확인",IF('신청 원장'!N1347="","일자 확인 필요",IF('신청 원장'!N1347&gt;365,"366일 이상",IF('신청 원장'!N1347&gt;90,"91~365일",IF('신청 원장'!N1347&gt;30,"31~90일","0~30일")))))</x:f>
        <x:v>91~365일</x:v>
      </x:c>
      <x:c r="O282" s="2" t="str">
        <x:f>IF(OR('신청 원장'!L1347="",'신청 원장'!L1347="선택"),"담당 원문 확인","기재")</x:f>
        <x:v>담당 원문 확인</x:v>
      </x:c>
      <x:c r="P282" s="2" t="str">
        <x:f>IF('신청 원장'!A1347="","",'신청 원장'!A1347)</x:f>
        <x:v>3f7910e7cf709562fd322f45</x:v>
      </x:c>
    </x:row>
    <x:row r="283" ht="42" customHeight="1">
      <x:c r="A283" s="2" t="str">
        <x:f>IF('신청 원장'!B1348="","",'신청 원장'!B1348)</x:f>
        <x:v>사업 평가</x:v>
      </x:c>
      <x:c r="B283" s="7" t="str">
        <x:f>IF('신청 원장'!D1348="","",'신청 원장'!D1348)</x:f>
        <x:v>제조분야 에너지관리 개선을 위한 인버터 도입 프로그램 감축사업</x:v>
      </x:c>
      <x:c r="C283" s="2" t="str">
        <x:f>IF('신청 원장'!F1348="","",'신청 원장'!F1348)</x:f>
        <x:v>2026-01-16</x:v>
      </x:c>
      <x:c r="D283" s="2" t="str">
        <x:f>IF('신청 원장'!J1348="","",'신청 원장'!J1348)</x:f>
        <x:v>보완요청</x:v>
      </x:c>
      <x:c r="E283" s="2" t="str">
        <x:f>IF('신청 원장'!L1348="","",'신청 원장'!L1348)</x:f>
      </x:c>
      <x:c r="F283" s="2" t="n">
        <x:f>IF('신청 원장'!M1348="","",'신청 원장'!M1348)</x:f>
        <x:v>1</x:v>
      </x:c>
      <x:c r="G283" s="2" t="n">
        <x:f>IF('신청 원장'!N1348="","",'신청 원장'!N1348)</x:f>
        <x:v>272</x:v>
      </x:c>
      <x:c r="H283" s="2" t="str">
        <x:f>IF('신청 원장'!AA1348="","",'신청 원장'!AA1348)</x:f>
        <x:v>내부 관찰 대상</x:v>
      </x:c>
      <x:c r="I283" s="2" t="str">
        <x:f>IF('신청 원장'!O1348="","",'신청 원장'!O1348)</x:f>
        <x:v>평가 후 결정</x:v>
      </x:c>
      <x:c r="J283" s="2" t="str">
        <x:f>IF('신청 원장'!W1348="","",'신청 원장'!W1348)</x:f>
        <x:v>담당기관 확인</x:v>
      </x:c>
      <x:c r="K283" s="2" t="str">
        <x:f>IF('신청 원장'!X1348="","",'신청 원장'!X1348)</x:f>
        <x:v>원본·배정 기록 확인</x:v>
      </x:c>
      <x:c r="L283" s="2" t="str">
        <x:f>IF('신청 원장'!R1348="","",'신청 원장'!R1348)</x:f>
        <x:v>국내평가</x:v>
      </x:c>
      <x:c r="M283" s="2" t="n">
        <x:f>IF('신청 원장'!S1348="","",'신청 원장'!S1348)</x:f>
        <x:v>1251</x:v>
      </x:c>
      <x:c r="N283" s="2" t="str">
        <x:f>IF('신청 원장'!K1348&lt;&gt;"미종결 표시","종결 상태 확인",IF('신청 원장'!N1348="","일자 확인 필요",IF('신청 원장'!N1348&gt;365,"366일 이상",IF('신청 원장'!N1348&gt;90,"91~365일",IF('신청 원장'!N1348&gt;30,"31~90일","0~30일")))))</x:f>
        <x:v>91~365일</x:v>
      </x:c>
      <x:c r="O283" s="2" t="str">
        <x:f>IF(OR('신청 원장'!L1348="",'신청 원장'!L1348="선택"),"담당 원문 확인","기재")</x:f>
        <x:v>담당 원문 확인</x:v>
      </x:c>
      <x:c r="P283" s="2" t="str">
        <x:f>IF('신청 원장'!A1348="","",'신청 원장'!A1348)</x:f>
        <x:v>be1f97e8f4049f6850dd3fc6</x:v>
      </x:c>
    </x:row>
    <x:row r="284" ht="42" customHeight="1">
      <x:c r="A284" s="2" t="str">
        <x:f>IF('신청 원장'!B1349="","",'신청 원장'!B1349)</x:f>
        <x:v>사업 평가</x:v>
      </x:c>
      <x:c r="B284" s="7" t="str">
        <x:f>IF('신청 원장'!D1349="","",'신청 원장'!D1349)</x:f>
        <x:v>주식회사 세복 고효율 사출성형기 교체 사업</x:v>
      </x:c>
      <x:c r="C284" s="2" t="str">
        <x:f>IF('신청 원장'!F1349="","",'신청 원장'!F1349)</x:f>
        <x:v>2026-03-10</x:v>
      </x:c>
      <x:c r="D284" s="2" t="str">
        <x:f>IF('신청 원장'!J1349="","",'신청 원장'!J1349)</x:f>
        <x:v>보완요청</x:v>
      </x:c>
      <x:c r="E284" s="2" t="str">
        <x:f>IF('신청 원장'!L1349="","",'신청 원장'!L1349)</x:f>
      </x:c>
      <x:c r="F284" s="2" t="n">
        <x:f>IF('신청 원장'!M1349="","",'신청 원장'!M1349)</x:f>
        <x:v>1</x:v>
      </x:c>
      <x:c r="G284" s="2" t="n">
        <x:f>IF('신청 원장'!N1349="","",'신청 원장'!N1349)</x:f>
        <x:v>219</x:v>
      </x:c>
      <x:c r="H284" s="2" t="str">
        <x:f>IF('신청 원장'!AA1349="","",'신청 원장'!AA1349)</x:f>
        <x:v>내부 관찰 대상</x:v>
      </x:c>
      <x:c r="I284" s="2" t="str">
        <x:f>IF('신청 원장'!O1349="","",'신청 원장'!O1349)</x:f>
        <x:v>평가 후 결정</x:v>
      </x:c>
      <x:c r="J284" s="2" t="str">
        <x:f>IF('신청 원장'!W1349="","",'신청 원장'!W1349)</x:f>
        <x:v>담당기관 확인</x:v>
      </x:c>
      <x:c r="K284" s="2" t="str">
        <x:f>IF('신청 원장'!X1349="","",'신청 원장'!X1349)</x:f>
        <x:v>원본·배정 기록 확인</x:v>
      </x:c>
      <x:c r="L284" s="2" t="str">
        <x:f>IF('신청 원장'!R1349="","",'신청 원장'!R1349)</x:f>
        <x:v>국내평가</x:v>
      </x:c>
      <x:c r="M284" s="2" t="n">
        <x:f>IF('신청 원장'!S1349="","",'신청 원장'!S1349)</x:f>
        <x:v>1252</x:v>
      </x:c>
      <x:c r="N284" s="2" t="str">
        <x:f>IF('신청 원장'!K1349&lt;&gt;"미종결 표시","종결 상태 확인",IF('신청 원장'!N1349="","일자 확인 필요",IF('신청 원장'!N1349&gt;365,"366일 이상",IF('신청 원장'!N1349&gt;90,"91~365일",IF('신청 원장'!N1349&gt;30,"31~90일","0~30일")))))</x:f>
        <x:v>91~365일</x:v>
      </x:c>
      <x:c r="O284" s="2" t="str">
        <x:f>IF(OR('신청 원장'!L1349="",'신청 원장'!L1349="선택"),"담당 원문 확인","기재")</x:f>
        <x:v>담당 원문 확인</x:v>
      </x:c>
      <x:c r="P284" s="2" t="str">
        <x:f>IF('신청 원장'!A1349="","",'신청 원장'!A1349)</x:f>
        <x:v>366bf2e1bfbc42e0c724405c</x:v>
      </x:c>
    </x:row>
    <x:row r="285" ht="42" customHeight="1">
      <x:c r="A285" s="2" t="str">
        <x:f>IF('신청 원장'!B1350="","",'신청 원장'!B1350)</x:f>
        <x:v>사업 평가</x:v>
      </x:c>
      <x:c r="B285" s="7" t="str">
        <x:f>IF('신청 원장'!D1350="","",'신청 원장'!D1350)</x:f>
        <x:v>주식회사 신우테크의 고효율 레이저 절단기 교체를 통한 온실가스 감축사업</x:v>
      </x:c>
      <x:c r="C285" s="2" t="str">
        <x:f>IF('신청 원장'!F1350="","",'신청 원장'!F1350)</x:f>
        <x:v>2026-03-10</x:v>
      </x:c>
      <x:c r="D285" s="2" t="str">
        <x:f>IF('신청 원장'!J1350="","",'신청 원장'!J1350)</x:f>
        <x:v>보완요청</x:v>
      </x:c>
      <x:c r="E285" s="2" t="str">
        <x:f>IF('신청 원장'!L1350="","",'신청 원장'!L1350)</x:f>
      </x:c>
      <x:c r="F285" s="2" t="n">
        <x:f>IF('신청 원장'!M1350="","",'신청 원장'!M1350)</x:f>
        <x:v>1</x:v>
      </x:c>
      <x:c r="G285" s="2" t="n">
        <x:f>IF('신청 원장'!N1350="","",'신청 원장'!N1350)</x:f>
        <x:v>219</x:v>
      </x:c>
      <x:c r="H285" s="2" t="str">
        <x:f>IF('신청 원장'!AA1350="","",'신청 원장'!AA1350)</x:f>
        <x:v>내부 관찰 대상</x:v>
      </x:c>
      <x:c r="I285" s="2" t="str">
        <x:f>IF('신청 원장'!O1350="","",'신청 원장'!O1350)</x:f>
        <x:v>평가 후 결정</x:v>
      </x:c>
      <x:c r="J285" s="2" t="str">
        <x:f>IF('신청 원장'!W1350="","",'신청 원장'!W1350)</x:f>
        <x:v>담당기관 확인</x:v>
      </x:c>
      <x:c r="K285" s="2" t="str">
        <x:f>IF('신청 원장'!X1350="","",'신청 원장'!X1350)</x:f>
        <x:v>원본·배정 기록 확인</x:v>
      </x:c>
      <x:c r="L285" s="2" t="str">
        <x:f>IF('신청 원장'!R1350="","",'신청 원장'!R1350)</x:f>
        <x:v>국내평가</x:v>
      </x:c>
      <x:c r="M285" s="2" t="n">
        <x:f>IF('신청 원장'!S1350="","",'신청 원장'!S1350)</x:f>
        <x:v>1253</x:v>
      </x:c>
      <x:c r="N285" s="2" t="str">
        <x:f>IF('신청 원장'!K1350&lt;&gt;"미종결 표시","종결 상태 확인",IF('신청 원장'!N1350="","일자 확인 필요",IF('신청 원장'!N1350&gt;365,"366일 이상",IF('신청 원장'!N1350&gt;90,"91~365일",IF('신청 원장'!N1350&gt;30,"31~90일","0~30일")))))</x:f>
        <x:v>91~365일</x:v>
      </x:c>
      <x:c r="O285" s="2" t="str">
        <x:f>IF(OR('신청 원장'!L1350="",'신청 원장'!L1350="선택"),"담당 원문 확인","기재")</x:f>
        <x:v>담당 원문 확인</x:v>
      </x:c>
      <x:c r="P285" s="2" t="str">
        <x:f>IF('신청 원장'!A1350="","",'신청 원장'!A1350)</x:f>
        <x:v>adb26b409d3d1e25559dcb52</x:v>
      </x:c>
    </x:row>
    <x:row r="286" ht="42" customHeight="1">
      <x:c r="A286" s="2" t="str">
        <x:f>IF('신청 원장'!B1351="","",'신청 원장'!B1351)</x:f>
        <x:v>사업 평가</x:v>
      </x:c>
      <x:c r="B286" s="7" t="str">
        <x:f>IF('신청 원장'!D1351="","",'신청 원장'!D1351)</x:f>
        <x:v>주식회사 태성정밀 고효율 사출성형기 교체사업</x:v>
      </x:c>
      <x:c r="C286" s="2" t="str">
        <x:f>IF('신청 원장'!F1351="","",'신청 원장'!F1351)</x:f>
        <x:v>2026-03-10</x:v>
      </x:c>
      <x:c r="D286" s="2" t="str">
        <x:f>IF('신청 원장'!J1351="","",'신청 원장'!J1351)</x:f>
        <x:v>보완요청</x:v>
      </x:c>
      <x:c r="E286" s="2" t="str">
        <x:f>IF('신청 원장'!L1351="","",'신청 원장'!L1351)</x:f>
      </x:c>
      <x:c r="F286" s="2" t="n">
        <x:f>IF('신청 원장'!M1351="","",'신청 원장'!M1351)</x:f>
        <x:v>1</x:v>
      </x:c>
      <x:c r="G286" s="2" t="n">
        <x:f>IF('신청 원장'!N1351="","",'신청 원장'!N1351)</x:f>
        <x:v>219</x:v>
      </x:c>
      <x:c r="H286" s="2" t="str">
        <x:f>IF('신청 원장'!AA1351="","",'신청 원장'!AA1351)</x:f>
        <x:v>내부 관찰 대상</x:v>
      </x:c>
      <x:c r="I286" s="2" t="str">
        <x:f>IF('신청 원장'!O1351="","",'신청 원장'!O1351)</x:f>
        <x:v>평가 후 결정</x:v>
      </x:c>
      <x:c r="J286" s="2" t="str">
        <x:f>IF('신청 원장'!W1351="","",'신청 원장'!W1351)</x:f>
        <x:v>담당기관 확인</x:v>
      </x:c>
      <x:c r="K286" s="2" t="str">
        <x:f>IF('신청 원장'!X1351="","",'신청 원장'!X1351)</x:f>
        <x:v>원본·배정 기록 확인</x:v>
      </x:c>
      <x:c r="L286" s="2" t="str">
        <x:f>IF('신청 원장'!R1351="","",'신청 원장'!R1351)</x:f>
        <x:v>국내평가</x:v>
      </x:c>
      <x:c r="M286" s="2" t="n">
        <x:f>IF('신청 원장'!S1351="","",'신청 원장'!S1351)</x:f>
        <x:v>1254</x:v>
      </x:c>
      <x:c r="N286" s="2" t="str">
        <x:f>IF('신청 원장'!K1351&lt;&gt;"미종결 표시","종결 상태 확인",IF('신청 원장'!N1351="","일자 확인 필요",IF('신청 원장'!N1351&gt;365,"366일 이상",IF('신청 원장'!N1351&gt;90,"91~365일",IF('신청 원장'!N1351&gt;30,"31~90일","0~30일")))))</x:f>
        <x:v>91~365일</x:v>
      </x:c>
      <x:c r="O286" s="2" t="str">
        <x:f>IF(OR('신청 원장'!L1351="",'신청 원장'!L1351="선택"),"담당 원문 확인","기재")</x:f>
        <x:v>담당 원문 확인</x:v>
      </x:c>
      <x:c r="P286" s="2" t="str">
        <x:f>IF('신청 원장'!A1351="","",'신청 원장'!A1351)</x:f>
        <x:v>4846775e2074336f25fa8dcb</x:v>
      </x:c>
    </x:row>
    <x:row r="287" ht="42" customHeight="1">
      <x:c r="A287" s="2" t="str">
        <x:f>IF('신청 원장'!B1352="","",'신청 원장'!B1352)</x:f>
        <x:v>사업 평가</x:v>
      </x:c>
      <x:c r="B287" s="7" t="str">
        <x:f>IF('신청 원장'!D1352="","",'신청 원장'!D1352)</x:f>
        <x:v>이코리아산업(주) 고효율 사출성형기 교체 사업</x:v>
      </x:c>
      <x:c r="C287" s="2" t="str">
        <x:f>IF('신청 원장'!F1352="","",'신청 원장'!F1352)</x:f>
        <x:v>2026-03-10</x:v>
      </x:c>
      <x:c r="D287" s="2" t="str">
        <x:f>IF('신청 원장'!J1352="","",'신청 원장'!J1352)</x:f>
        <x:v>보완요청</x:v>
      </x:c>
      <x:c r="E287" s="2" t="str">
        <x:f>IF('신청 원장'!L1352="","",'신청 원장'!L1352)</x:f>
      </x:c>
      <x:c r="F287" s="2" t="n">
        <x:f>IF('신청 원장'!M1352="","",'신청 원장'!M1352)</x:f>
        <x:v>1</x:v>
      </x:c>
      <x:c r="G287" s="2" t="n">
        <x:f>IF('신청 원장'!N1352="","",'신청 원장'!N1352)</x:f>
        <x:v>219</x:v>
      </x:c>
      <x:c r="H287" s="2" t="str">
        <x:f>IF('신청 원장'!AA1352="","",'신청 원장'!AA1352)</x:f>
        <x:v>내부 관찰 대상</x:v>
      </x:c>
      <x:c r="I287" s="2" t="str">
        <x:f>IF('신청 원장'!O1352="","",'신청 원장'!O1352)</x:f>
        <x:v>평가 후 결정</x:v>
      </x:c>
      <x:c r="J287" s="2" t="str">
        <x:f>IF('신청 원장'!W1352="","",'신청 원장'!W1352)</x:f>
        <x:v>담당기관 확인</x:v>
      </x:c>
      <x:c r="K287" s="2" t="str">
        <x:f>IF('신청 원장'!X1352="","",'신청 원장'!X1352)</x:f>
        <x:v>원본·배정 기록 확인</x:v>
      </x:c>
      <x:c r="L287" s="2" t="str">
        <x:f>IF('신청 원장'!R1352="","",'신청 원장'!R1352)</x:f>
        <x:v>국내평가</x:v>
      </x:c>
      <x:c r="M287" s="2" t="n">
        <x:f>IF('신청 원장'!S1352="","",'신청 원장'!S1352)</x:f>
        <x:v>1255</x:v>
      </x:c>
      <x:c r="N287" s="2" t="str">
        <x:f>IF('신청 원장'!K1352&lt;&gt;"미종결 표시","종결 상태 확인",IF('신청 원장'!N1352="","일자 확인 필요",IF('신청 원장'!N1352&gt;365,"366일 이상",IF('신청 원장'!N1352&gt;90,"91~365일",IF('신청 원장'!N1352&gt;30,"31~90일","0~30일")))))</x:f>
        <x:v>91~365일</x:v>
      </x:c>
      <x:c r="O287" s="2" t="str">
        <x:f>IF(OR('신청 원장'!L1352="",'신청 원장'!L1352="선택"),"담당 원문 확인","기재")</x:f>
        <x:v>담당 원문 확인</x:v>
      </x:c>
      <x:c r="P287" s="2" t="str">
        <x:f>IF('신청 원장'!A1352="","",'신청 원장'!A1352)</x:f>
        <x:v>f091265eda19e1718f4b8061</x:v>
      </x:c>
    </x:row>
    <x:row r="288" ht="42" customHeight="1">
      <x:c r="A288" s="2" t="str">
        <x:f>IF('신청 원장'!B1353="","",'신청 원장'!B1353)</x:f>
        <x:v>사업 평가</x:v>
      </x:c>
      <x:c r="B288" s="7" t="str">
        <x:f>IF('신청 원장'!D1353="","",'신청 원장'!D1353)</x:f>
        <x:v>주식회사 태양산업사 고효율 공기압축기 교체 사업</x:v>
      </x:c>
      <x:c r="C288" s="2" t="str">
        <x:f>IF('신청 원장'!F1353="","",'신청 원장'!F1353)</x:f>
        <x:v>2026-03-11</x:v>
      </x:c>
      <x:c r="D288" s="2" t="str">
        <x:f>IF('신청 원장'!J1353="","",'신청 원장'!J1353)</x:f>
        <x:v>보완요청</x:v>
      </x:c>
      <x:c r="E288" s="2" t="str">
        <x:f>IF('신청 원장'!L1353="","",'신청 원장'!L1353)</x:f>
      </x:c>
      <x:c r="F288" s="2" t="n">
        <x:f>IF('신청 원장'!M1353="","",'신청 원장'!M1353)</x:f>
        <x:v>1</x:v>
      </x:c>
      <x:c r="G288" s="2" t="n">
        <x:f>IF('신청 원장'!N1353="","",'신청 원장'!N1353)</x:f>
        <x:v>218</x:v>
      </x:c>
      <x:c r="H288" s="2" t="str">
        <x:f>IF('신청 원장'!AA1353="","",'신청 원장'!AA1353)</x:f>
        <x:v>내부 관찰 대상</x:v>
      </x:c>
      <x:c r="I288" s="2" t="str">
        <x:f>IF('신청 원장'!O1353="","",'신청 원장'!O1353)</x:f>
        <x:v>평가 후 결정</x:v>
      </x:c>
      <x:c r="J288" s="2" t="str">
        <x:f>IF('신청 원장'!W1353="","",'신청 원장'!W1353)</x:f>
        <x:v>담당기관 확인</x:v>
      </x:c>
      <x:c r="K288" s="2" t="str">
        <x:f>IF('신청 원장'!X1353="","",'신청 원장'!X1353)</x:f>
        <x:v>원본·배정 기록 확인</x:v>
      </x:c>
      <x:c r="L288" s="2" t="str">
        <x:f>IF('신청 원장'!R1353="","",'신청 원장'!R1353)</x:f>
        <x:v>국내평가</x:v>
      </x:c>
      <x:c r="M288" s="2" t="n">
        <x:f>IF('신청 원장'!S1353="","",'신청 원장'!S1353)</x:f>
        <x:v>1256</x:v>
      </x:c>
      <x:c r="N288" s="2" t="str">
        <x:f>IF('신청 원장'!K1353&lt;&gt;"미종결 표시","종결 상태 확인",IF('신청 원장'!N1353="","일자 확인 필요",IF('신청 원장'!N1353&gt;365,"366일 이상",IF('신청 원장'!N1353&gt;90,"91~365일",IF('신청 원장'!N1353&gt;30,"31~90일","0~30일")))))</x:f>
        <x:v>91~365일</x:v>
      </x:c>
      <x:c r="O288" s="2" t="str">
        <x:f>IF(OR('신청 원장'!L1353="",'신청 원장'!L1353="선택"),"담당 원문 확인","기재")</x:f>
        <x:v>담당 원문 확인</x:v>
      </x:c>
      <x:c r="P288" s="2" t="str">
        <x:f>IF('신청 원장'!A1353="","",'신청 원장'!A1353)</x:f>
        <x:v>a6204eff636e0a95cdc7047e</x:v>
      </x:c>
    </x:row>
    <x:row r="289" ht="42" customHeight="1">
      <x:c r="A289" s="2" t="str">
        <x:f>IF('신청 원장'!B1354="","",'신청 원장'!B1354)</x:f>
        <x:v>사업 평가</x:v>
      </x:c>
      <x:c r="B289" s="7" t="str">
        <x:f>IF('신청 원장'!D1354="","",'신청 원장'!D1354)</x:f>
        <x:v>주식회사 디에이치지 고효율 공기압축기 교체 사업</x:v>
      </x:c>
      <x:c r="C289" s="2" t="str">
        <x:f>IF('신청 원장'!F1354="","",'신청 원장'!F1354)</x:f>
        <x:v>2026-03-11</x:v>
      </x:c>
      <x:c r="D289" s="2" t="str">
        <x:f>IF('신청 원장'!J1354="","",'신청 원장'!J1354)</x:f>
        <x:v>보완요청</x:v>
      </x:c>
      <x:c r="E289" s="2" t="str">
        <x:f>IF('신청 원장'!L1354="","",'신청 원장'!L1354)</x:f>
      </x:c>
      <x:c r="F289" s="2" t="n">
        <x:f>IF('신청 원장'!M1354="","",'신청 원장'!M1354)</x:f>
        <x:v>1</x:v>
      </x:c>
      <x:c r="G289" s="2" t="n">
        <x:f>IF('신청 원장'!N1354="","",'신청 원장'!N1354)</x:f>
        <x:v>218</x:v>
      </x:c>
      <x:c r="H289" s="2" t="str">
        <x:f>IF('신청 원장'!AA1354="","",'신청 원장'!AA1354)</x:f>
        <x:v>내부 관찰 대상</x:v>
      </x:c>
      <x:c r="I289" s="2" t="str">
        <x:f>IF('신청 원장'!O1354="","",'신청 원장'!O1354)</x:f>
        <x:v>평가 후 결정</x:v>
      </x:c>
      <x:c r="J289" s="2" t="str">
        <x:f>IF('신청 원장'!W1354="","",'신청 원장'!W1354)</x:f>
        <x:v>담당기관 확인</x:v>
      </x:c>
      <x:c r="K289" s="2" t="str">
        <x:f>IF('신청 원장'!X1354="","",'신청 원장'!X1354)</x:f>
        <x:v>원본·배정 기록 확인</x:v>
      </x:c>
      <x:c r="L289" s="2" t="str">
        <x:f>IF('신청 원장'!R1354="","",'신청 원장'!R1354)</x:f>
        <x:v>국내평가</x:v>
      </x:c>
      <x:c r="M289" s="2" t="n">
        <x:f>IF('신청 원장'!S1354="","",'신청 원장'!S1354)</x:f>
        <x:v>1257</x:v>
      </x:c>
      <x:c r="N289" s="2" t="str">
        <x:f>IF('신청 원장'!K1354&lt;&gt;"미종결 표시","종결 상태 확인",IF('신청 원장'!N1354="","일자 확인 필요",IF('신청 원장'!N1354&gt;365,"366일 이상",IF('신청 원장'!N1354&gt;90,"91~365일",IF('신청 원장'!N1354&gt;30,"31~90일","0~30일")))))</x:f>
        <x:v>91~365일</x:v>
      </x:c>
      <x:c r="O289" s="2" t="str">
        <x:f>IF(OR('신청 원장'!L1354="",'신청 원장'!L1354="선택"),"담당 원문 확인","기재")</x:f>
        <x:v>담당 원문 확인</x:v>
      </x:c>
      <x:c r="P289" s="2" t="str">
        <x:f>IF('신청 원장'!A1354="","",'신청 원장'!A1354)</x:f>
        <x:v>4f9a965f73f36bc0b052905e</x:v>
      </x:c>
    </x:row>
    <x:row r="290" ht="42" customHeight="1">
      <x:c r="A290" s="2" t="str">
        <x:f>IF('신청 원장'!B1355="","",'신청 원장'!B1355)</x:f>
        <x:v>사업 평가</x:v>
      </x:c>
      <x:c r="B290" s="7" t="str">
        <x:f>IF('신청 원장'!D1355="","",'신청 원장'!D1355)</x:f>
        <x:v>티알에너지 산업용 보일러 내 목재펠릿 연료를 통한 화석연료 대체사업</x:v>
      </x:c>
      <x:c r="C290" s="2" t="str">
        <x:f>IF('신청 원장'!F1355="","",'신청 원장'!F1355)</x:f>
        <x:v>2026-03-16</x:v>
      </x:c>
      <x:c r="D290" s="2" t="str">
        <x:f>IF('신청 원장'!J1355="","",'신청 원장'!J1355)</x:f>
        <x:v>보완요청</x:v>
      </x:c>
      <x:c r="E290" s="2" t="str">
        <x:f>IF('신청 원장'!L1355="","",'신청 원장'!L1355)</x:f>
      </x:c>
      <x:c r="F290" s="2" t="n">
        <x:f>IF('신청 원장'!M1355="","",'신청 원장'!M1355)</x:f>
        <x:v>1</x:v>
      </x:c>
      <x:c r="G290" s="2" t="n">
        <x:f>IF('신청 원장'!N1355="","",'신청 원장'!N1355)</x:f>
        <x:v>213</x:v>
      </x:c>
      <x:c r="H290" s="2" t="str">
        <x:f>IF('신청 원장'!AA1355="","",'신청 원장'!AA1355)</x:f>
        <x:v>내부 관찰 대상</x:v>
      </x:c>
      <x:c r="I290" s="2" t="str">
        <x:f>IF('신청 원장'!O1355="","",'신청 원장'!O1355)</x:f>
        <x:v>평가 후 결정</x:v>
      </x:c>
      <x:c r="J290" s="2" t="str">
        <x:f>IF('신청 원장'!W1355="","",'신청 원장'!W1355)</x:f>
        <x:v>담당기관 확인</x:v>
      </x:c>
      <x:c r="K290" s="2" t="str">
        <x:f>IF('신청 원장'!X1355="","",'신청 원장'!X1355)</x:f>
        <x:v>원본·배정 기록 확인</x:v>
      </x:c>
      <x:c r="L290" s="2" t="str">
        <x:f>IF('신청 원장'!R1355="","",'신청 원장'!R1355)</x:f>
        <x:v>국내평가</x:v>
      </x:c>
      <x:c r="M290" s="2" t="n">
        <x:f>IF('신청 원장'!S1355="","",'신청 원장'!S1355)</x:f>
        <x:v>1258</x:v>
      </x:c>
      <x:c r="N290" s="2" t="str">
        <x:f>IF('신청 원장'!K1355&lt;&gt;"미종결 표시","종결 상태 확인",IF('신청 원장'!N1355="","일자 확인 필요",IF('신청 원장'!N1355&gt;365,"366일 이상",IF('신청 원장'!N1355&gt;90,"91~365일",IF('신청 원장'!N1355&gt;30,"31~90일","0~30일")))))</x:f>
        <x:v>91~365일</x:v>
      </x:c>
      <x:c r="O290" s="2" t="str">
        <x:f>IF(OR('신청 원장'!L1355="",'신청 원장'!L1355="선택"),"담당 원문 확인","기재")</x:f>
        <x:v>담당 원문 확인</x:v>
      </x:c>
      <x:c r="P290" s="2" t="str">
        <x:f>IF('신청 원장'!A1355="","",'신청 원장'!A1355)</x:f>
        <x:v>6825d164d50f04e14678f1b0</x:v>
      </x:c>
    </x:row>
    <x:row r="291" ht="42" customHeight="1">
      <x:c r="A291" s="2" t="str">
        <x:f>IF('신청 원장'!B1356="","",'신청 원장'!B1356)</x:f>
        <x:v>사업 평가</x:v>
      </x:c>
      <x:c r="B291" s="7" t="str">
        <x:f>IF('신청 원장'!D1356="","",'신청 원장'!D1356)</x:f>
        <x:v>주식회사 띵스파이어의 인버터 공기압축기 도입을 통한 프로그램 감축사업</x:v>
      </x:c>
      <x:c r="C291" s="2" t="str">
        <x:f>IF('신청 원장'!F1356="","",'신청 원장'!F1356)</x:f>
        <x:v>2026-06-24</x:v>
      </x:c>
      <x:c r="D291" s="2" t="str">
        <x:f>IF('신청 원장'!J1356="","",'신청 원장'!J1356)</x:f>
        <x:v>평가중</x:v>
      </x:c>
      <x:c r="E291" s="2" t="str">
        <x:f>IF('신청 원장'!L1356="","",'신청 원장'!L1356)</x:f>
      </x:c>
      <x:c r="F291" s="2" t="n">
        <x:f>IF('신청 원장'!M1356="","",'신청 원장'!M1356)</x:f>
        <x:v>1</x:v>
      </x:c>
      <x:c r="G291" s="2" t="n">
        <x:f>IF('신청 원장'!N1356="","",'신청 원장'!N1356)</x:f>
        <x:v>113</x:v>
      </x:c>
      <x:c r="H291" s="2" t="str">
        <x:f>IF('신청 원장'!AA1356="","",'신청 원장'!AA1356)</x:f>
        <x:v>내부 관찰 대상</x:v>
      </x:c>
      <x:c r="I291" s="2" t="str">
        <x:f>IF('신청 원장'!O1356="","",'신청 원장'!O1356)</x:f>
        <x:v>평가 후 결정</x:v>
      </x:c>
      <x:c r="J291" s="2" t="str">
        <x:f>IF('신청 원장'!W1356="","",'신청 원장'!W1356)</x:f>
        <x:v>담당기관 확인</x:v>
      </x:c>
      <x:c r="K291" s="2" t="str">
        <x:f>IF('신청 원장'!X1356="","",'신청 원장'!X1356)</x:f>
        <x:v>원본·배정 기록 확인</x:v>
      </x:c>
      <x:c r="L291" s="2" t="str">
        <x:f>IF('신청 원장'!R1356="","",'신청 원장'!R1356)</x:f>
        <x:v>국내평가</x:v>
      </x:c>
      <x:c r="M291" s="2" t="n">
        <x:f>IF('신청 원장'!S1356="","",'신청 원장'!S1356)</x:f>
        <x:v>1259</x:v>
      </x:c>
      <x:c r="N291" s="2" t="str">
        <x:f>IF('신청 원장'!K1356&lt;&gt;"미종결 표시","종결 상태 확인",IF('신청 원장'!N1356="","일자 확인 필요",IF('신청 원장'!N1356&gt;365,"366일 이상",IF('신청 원장'!N1356&gt;90,"91~365일",IF('신청 원장'!N1356&gt;30,"31~90일","0~30일")))))</x:f>
        <x:v>91~365일</x:v>
      </x:c>
      <x:c r="O291" s="2" t="str">
        <x:f>IF(OR('신청 원장'!L1356="",'신청 원장'!L1356="선택"),"담당 원문 확인","기재")</x:f>
        <x:v>담당 원문 확인</x:v>
      </x:c>
      <x:c r="P291" s="2" t="str">
        <x:f>IF('신청 원장'!A1356="","",'신청 원장'!A1356)</x:f>
        <x:v>3c5de2639b1e52cb0b01e6d1</x:v>
      </x:c>
    </x:row>
    <x:row r="292" ht="42" customHeight="1">
      <x:c r="A292" s="2" t="str">
        <x:f>IF('신청 원장'!B1357="","",'신청 원장'!B1357)</x:f>
        <x:v>사업 평가</x:v>
      </x:c>
      <x:c r="B292" s="7" t="str">
        <x:f>IF('신청 원장'!D1357="","",'신청 원장'!D1357)</x:f>
        <x:v>주식회사 띵스파이어의 인버터 공기압축기 도입을 통한 프로그램 감축사업</x:v>
      </x:c>
      <x:c r="C292" s="2" t="str">
        <x:f>IF('신청 원장'!F1357="","",'신청 원장'!F1357)</x:f>
        <x:v>2026-06-24</x:v>
      </x:c>
      <x:c r="D292" s="2" t="str">
        <x:f>IF('신청 원장'!J1357="","",'신청 원장'!J1357)</x:f>
        <x:v>평가중</x:v>
      </x:c>
      <x:c r="E292" s="2" t="str">
        <x:f>IF('신청 원장'!L1357="","",'신청 원장'!L1357)</x:f>
      </x:c>
      <x:c r="F292" s="2" t="n">
        <x:f>IF('신청 원장'!M1357="","",'신청 원장'!M1357)</x:f>
        <x:v>1</x:v>
      </x:c>
      <x:c r="G292" s="2" t="n">
        <x:f>IF('신청 원장'!N1357="","",'신청 원장'!N1357)</x:f>
        <x:v>113</x:v>
      </x:c>
      <x:c r="H292" s="2" t="str">
        <x:f>IF('신청 원장'!AA1357="","",'신청 원장'!AA1357)</x:f>
        <x:v>내부 관찰 대상</x:v>
      </x:c>
      <x:c r="I292" s="2" t="str">
        <x:f>IF('신청 원장'!O1357="","",'신청 원장'!O1357)</x:f>
        <x:v>평가 후 결정</x:v>
      </x:c>
      <x:c r="J292" s="2" t="str">
        <x:f>IF('신청 원장'!W1357="","",'신청 원장'!W1357)</x:f>
        <x:v>담당기관 확인</x:v>
      </x:c>
      <x:c r="K292" s="2" t="str">
        <x:f>IF('신청 원장'!X1357="","",'신청 원장'!X1357)</x:f>
        <x:v>원본·배정 기록 확인</x:v>
      </x:c>
      <x:c r="L292" s="2" t="str">
        <x:f>IF('신청 원장'!R1357="","",'신청 원장'!R1357)</x:f>
        <x:v>국내평가</x:v>
      </x:c>
      <x:c r="M292" s="2" t="n">
        <x:f>IF('신청 원장'!S1357="","",'신청 원장'!S1357)</x:f>
        <x:v>1260</x:v>
      </x:c>
      <x:c r="N292" s="2" t="str">
        <x:f>IF('신청 원장'!K1357&lt;&gt;"미종결 표시","종결 상태 확인",IF('신청 원장'!N1357="","일자 확인 필요",IF('신청 원장'!N1357&gt;365,"366일 이상",IF('신청 원장'!N1357&gt;90,"91~365일",IF('신청 원장'!N1357&gt;30,"31~90일","0~30일")))))</x:f>
        <x:v>91~365일</x:v>
      </x:c>
      <x:c r="O292" s="2" t="str">
        <x:f>IF(OR('신청 원장'!L1357="",'신청 원장'!L1357="선택"),"담당 원문 확인","기재")</x:f>
        <x:v>담당 원문 확인</x:v>
      </x:c>
      <x:c r="P292" s="2" t="str">
        <x:f>IF('신청 원장'!A1357="","",'신청 원장'!A1357)</x:f>
        <x:v>fe71be695174675e00ebb2aa</x:v>
      </x:c>
    </x:row>
    <x:row r="293" ht="42" customHeight="1">
      <x:c r="A293" s="2" t="str">
        <x:f>IF('신청 원장'!B1358="","",'신청 원장'!B1358)</x:f>
        <x:v>사업 평가</x:v>
      </x:c>
      <x:c r="B293" s="7" t="str">
        <x:f>IF('신청 원장'!D1358="","",'신청 원장'!D1358)</x:f>
        <x:v>케이.엘.이.에스(주) 주차장 태양광 발전설비 설치사업</x:v>
      </x:c>
      <x:c r="C293" s="2" t="str">
        <x:f>IF('신청 원장'!F1358="","",'신청 원장'!F1358)</x:f>
        <x:v>2026-06-16</x:v>
      </x:c>
      <x:c r="D293" s="2" t="str">
        <x:f>IF('신청 원장'!J1358="","",'신청 원장'!J1358)</x:f>
        <x:v>평가중</x:v>
      </x:c>
      <x:c r="E293" s="2" t="str">
        <x:f>IF('신청 원장'!L1358="","",'신청 원장'!L1358)</x:f>
      </x:c>
      <x:c r="F293" s="2" t="n">
        <x:f>IF('신청 원장'!M1358="","",'신청 원장'!M1358)</x:f>
        <x:v>1</x:v>
      </x:c>
      <x:c r="G293" s="2" t="n">
        <x:f>IF('신청 원장'!N1358="","",'신청 원장'!N1358)</x:f>
        <x:v>121</x:v>
      </x:c>
      <x:c r="H293" s="2" t="str">
        <x:f>IF('신청 원장'!AA1358="","",'신청 원장'!AA1358)</x:f>
        <x:v>내부 관찰 대상</x:v>
      </x:c>
      <x:c r="I293" s="2" t="str">
        <x:f>IF('신청 원장'!O1358="","",'신청 원장'!O1358)</x:f>
        <x:v>평가 후 결정</x:v>
      </x:c>
      <x:c r="J293" s="2" t="str">
        <x:f>IF('신청 원장'!W1358="","",'신청 원장'!W1358)</x:f>
        <x:v>담당기관 확인</x:v>
      </x:c>
      <x:c r="K293" s="2" t="str">
        <x:f>IF('신청 원장'!X1358="","",'신청 원장'!X1358)</x:f>
        <x:v>원본·배정 기록 확인</x:v>
      </x:c>
      <x:c r="L293" s="2" t="str">
        <x:f>IF('신청 원장'!R1358="","",'신청 원장'!R1358)</x:f>
        <x:v>국내평가</x:v>
      </x:c>
      <x:c r="M293" s="2" t="n">
        <x:f>IF('신청 원장'!S1358="","",'신청 원장'!S1358)</x:f>
        <x:v>1261</x:v>
      </x:c>
      <x:c r="N293" s="2" t="str">
        <x:f>IF('신청 원장'!K1358&lt;&gt;"미종결 표시","종결 상태 확인",IF('신청 원장'!N1358="","일자 확인 필요",IF('신청 원장'!N1358&gt;365,"366일 이상",IF('신청 원장'!N1358&gt;90,"91~365일",IF('신청 원장'!N1358&gt;30,"31~90일","0~30일")))))</x:f>
        <x:v>91~365일</x:v>
      </x:c>
      <x:c r="O293" s="2" t="str">
        <x:f>IF(OR('신청 원장'!L1358="",'신청 원장'!L1358="선택"),"담당 원문 확인","기재")</x:f>
        <x:v>담당 원문 확인</x:v>
      </x:c>
      <x:c r="P293" s="2" t="str">
        <x:f>IF('신청 원장'!A1358="","",'신청 원장'!A1358)</x:f>
        <x:v>23dba79306c00bf2679d3538</x:v>
      </x:c>
    </x:row>
    <x:row r="294" ht="42" customHeight="1">
      <x:c r="A294" s="2" t="str">
        <x:f>IF('신청 원장'!B1359="","",'신청 원장'!B1359)</x:f>
        <x:v>사업 평가</x:v>
      </x:c>
      <x:c r="B294" s="7" t="str">
        <x:f>IF('신청 원장'!D1359="","",'신청 원장'!D1359)</x:f>
        <x:v>고효율 공기압축기 설치로 온실가스 배출 감축사업</x:v>
      </x:c>
      <x:c r="C294" s="2" t="str">
        <x:f>IF('신청 원장'!F1359="","",'신청 원장'!F1359)</x:f>
        <x:v>2026-07-13</x:v>
      </x:c>
      <x:c r="D294" s="2" t="str">
        <x:f>IF('신청 원장'!J1359="","",'신청 원장'!J1359)</x:f>
        <x:v>보류</x:v>
      </x:c>
      <x:c r="E294" s="2" t="str">
        <x:f>IF('신청 원장'!L1359="","",'신청 원장'!L1359)</x:f>
      </x:c>
      <x:c r="F294" s="2" t="n">
        <x:f>IF('신청 원장'!M1359="","",'신청 원장'!M1359)</x:f>
        <x:v>1</x:v>
      </x:c>
      <x:c r="G294" s="2" t="n">
        <x:f>IF('신청 원장'!N1359="","",'신청 원장'!N1359)</x:f>
        <x:v>94</x:v>
      </x:c>
      <x:c r="H294" s="2" t="str">
        <x:f>IF('신청 원장'!AA1359="","",'신청 원장'!AA1359)</x:f>
        <x:v>내부 관찰 대상</x:v>
      </x:c>
      <x:c r="I294" s="2" t="str">
        <x:f>IF('신청 원장'!O1359="","",'신청 원장'!O1359)</x:f>
      </x:c>
      <x:c r="J294" s="2" t="str">
        <x:f>IF('신청 원장'!W1359="","",'신청 원장'!W1359)</x:f>
        <x:v>담당기관 확인</x:v>
      </x:c>
      <x:c r="K294" s="2" t="str">
        <x:f>IF('신청 원장'!X1359="","",'신청 원장'!X1359)</x:f>
        <x:v>원본·배정 기록 확인</x:v>
      </x:c>
      <x:c r="L294" s="2" t="str">
        <x:f>IF('신청 원장'!R1359="","",'신청 원장'!R1359)</x:f>
        <x:v>국내평가</x:v>
      </x:c>
      <x:c r="M294" s="2" t="n">
        <x:f>IF('신청 원장'!S1359="","",'신청 원장'!S1359)</x:f>
        <x:v>1262</x:v>
      </x:c>
      <x:c r="N294" s="2" t="str">
        <x:f>IF('신청 원장'!K1359&lt;&gt;"미종결 표시","종결 상태 확인",IF('신청 원장'!N1359="","일자 확인 필요",IF('신청 원장'!N1359&gt;365,"366일 이상",IF('신청 원장'!N1359&gt;90,"91~365일",IF('신청 원장'!N1359&gt;30,"31~90일","0~30일")))))</x:f>
        <x:v>91~365일</x:v>
      </x:c>
      <x:c r="O294" s="2" t="str">
        <x:f>IF(OR('신청 원장'!L1359="",'신청 원장'!L1359="선택"),"담당 원문 확인","기재")</x:f>
        <x:v>담당 원문 확인</x:v>
      </x:c>
      <x:c r="P294" s="2" t="str">
        <x:f>IF('신청 원장'!A1359="","",'신청 원장'!A1359)</x:f>
        <x:v>f93ee3304b825702e037affd</x:v>
      </x:c>
    </x:row>
    <x:row r="295" ht="42" customHeight="1">
      <x:c r="A295" s="2" t="str">
        <x:f>IF('신청 원장'!B1360="","",'신청 원장'!B1360)</x:f>
        <x:v>사업 평가</x:v>
      </x:c>
      <x:c r="B295" s="7" t="str">
        <x:f>IF('신청 원장'!D1360="","",'신청 원장'!D1360)</x:f>
        <x:v>㈜하이테크 ENV의 육불화황 회수 및 플라즈마 분해를 통한 온실가스 감축사업</x:v>
      </x:c>
      <x:c r="C295" s="2" t="str">
        <x:f>IF('신청 원장'!F1360="","",'신청 원장'!F1360)</x:f>
        <x:v>2026-06-15</x:v>
      </x:c>
      <x:c r="D295" s="2" t="str">
        <x:f>IF('신청 원장'!J1360="","",'신청 원장'!J1360)</x:f>
        <x:v>보류</x:v>
      </x:c>
      <x:c r="E295" s="2" t="str">
        <x:f>IF('신청 원장'!L1360="","",'신청 원장'!L1360)</x:f>
      </x:c>
      <x:c r="F295" s="2" t="str">
        <x:f>IF('신청 원장'!M1360="","",'신청 원장'!M1360)</x:f>
      </x:c>
      <x:c r="G295" s="2" t="n">
        <x:f>IF('신청 원장'!N1360="","",'신청 원장'!N1360)</x:f>
        <x:v>122</x:v>
      </x:c>
      <x:c r="H295" s="2" t="str">
        <x:f>IF('신청 원장'!AA1360="","",'신청 원장'!AA1360)</x:f>
        <x:v>내부 관찰 대상</x:v>
      </x:c>
      <x:c r="I295" s="2" t="str">
        <x:f>IF('신청 원장'!O1360="","",'신청 원장'!O1360)</x:f>
      </x:c>
      <x:c r="J295" s="2" t="str">
        <x:f>IF('신청 원장'!W1360="","",'신청 원장'!W1360)</x:f>
        <x:v>담당기관 확인</x:v>
      </x:c>
      <x:c r="K295" s="2" t="str">
        <x:f>IF('신청 원장'!X1360="","",'신청 원장'!X1360)</x:f>
        <x:v>원본·배정 기록 확인</x:v>
      </x:c>
      <x:c r="L295" s="2" t="str">
        <x:f>IF('신청 원장'!R1360="","",'신청 원장'!R1360)</x:f>
        <x:v>국내평가</x:v>
      </x:c>
      <x:c r="M295" s="2" t="n">
        <x:f>IF('신청 원장'!S1360="","",'신청 원장'!S1360)</x:f>
        <x:v>1263</x:v>
      </x:c>
      <x:c r="N295" s="2" t="str">
        <x:f>IF('신청 원장'!K1360&lt;&gt;"미종결 표시","종결 상태 확인",IF('신청 원장'!N1360="","일자 확인 필요",IF('신청 원장'!N1360&gt;365,"366일 이상",IF('신청 원장'!N1360&gt;90,"91~365일",IF('신청 원장'!N1360&gt;30,"31~90일","0~30일")))))</x:f>
        <x:v>91~365일</x:v>
      </x:c>
      <x:c r="O295" s="2" t="str">
        <x:f>IF(OR('신청 원장'!L1360="",'신청 원장'!L1360="선택"),"담당 원문 확인","기재")</x:f>
        <x:v>담당 원문 확인</x:v>
      </x:c>
      <x:c r="P295" s="2" t="str">
        <x:f>IF('신청 원장'!A1360="","",'신청 원장'!A1360)</x:f>
        <x:v>bad2781b953614e16722da37</x:v>
      </x:c>
    </x:row>
    <x:row r="296" ht="42" customHeight="1">
      <x:c r="A296" s="2" t="str">
        <x:f>IF('신청 원장'!B1361="","",'신청 원장'!B1361)</x:f>
        <x:v>사업 평가</x:v>
      </x:c>
      <x:c r="B296" s="7" t="str">
        <x:f>IF('신청 원장'!D1361="","",'신청 원장'!D1361)</x:f>
        <x:v>친환경대현그린의 바이오가스에서 추출된 메탄을 사용한 수소생산을 통한 온실가스 감축사업</x:v>
      </x:c>
      <x:c r="C296" s="2" t="str">
        <x:f>IF('신청 원장'!F1361="","",'신청 원장'!F1361)</x:f>
        <x:v>2019-10-31</x:v>
      </x:c>
      <x:c r="D296" s="2" t="str">
        <x:f>IF('신청 원장'!J1361="","",'신청 원장'!J1361)</x:f>
        <x:v>보완요청</x:v>
      </x:c>
      <x:c r="E296" s="2" t="str">
        <x:f>IF('신청 원장'!L1361="","",'신청 원장'!L1361)</x:f>
      </x:c>
      <x:c r="F296" s="2" t="n">
        <x:f>IF('신청 원장'!M1361="","",'신청 원장'!M1361)</x:f>
        <x:v>2</x:v>
      </x:c>
      <x:c r="G296" s="2" t="n">
        <x:f>IF('신청 원장'!N1361="","",'신청 원장'!N1361)</x:f>
        <x:v>2541</x:v>
      </x:c>
      <x:c r="H296" s="2" t="str">
        <x:f>IF('신청 원장'!AA1361="","",'신청 원장'!AA1361)</x:f>
        <x:v>내부 관찰 대상</x:v>
      </x:c>
      <x:c r="I296" s="2" t="str">
        <x:f>IF('신청 원장'!O1361="","",'신청 원장'!O1361)</x:f>
      </x:c>
      <x:c r="J296" s="2" t="str">
        <x:f>IF('신청 원장'!W1361="","",'신청 원장'!W1361)</x:f>
        <x:v>담당기관 확인</x:v>
      </x:c>
      <x:c r="K296" s="2" t="str">
        <x:f>IF('신청 원장'!X1361="","",'신청 원장'!X1361)</x:f>
        <x:v>원본·배정 기록 확인</x:v>
      </x:c>
      <x:c r="L296" s="2" t="str">
        <x:f>IF('신청 원장'!R1361="","",'신청 원장'!R1361)</x:f>
        <x:v>국내평가</x:v>
      </x:c>
      <x:c r="M296" s="2" t="n">
        <x:f>IF('신청 원장'!S1361="","",'신청 원장'!S1361)</x:f>
        <x:v>1264</x:v>
      </x:c>
      <x:c r="N296" s="2" t="str">
        <x:f>IF('신청 원장'!K1361&lt;&gt;"미종결 표시","종결 상태 확인",IF('신청 원장'!N1361="","일자 확인 필요",IF('신청 원장'!N1361&gt;365,"366일 이상",IF('신청 원장'!N1361&gt;90,"91~365일",IF('신청 원장'!N1361&gt;30,"31~90일","0~30일")))))</x:f>
        <x:v>366일 이상</x:v>
      </x:c>
      <x:c r="O296" s="2" t="str">
        <x:f>IF(OR('신청 원장'!L1361="",'신청 원장'!L1361="선택"),"담당 원문 확인","기재")</x:f>
        <x:v>담당 원문 확인</x:v>
      </x:c>
      <x:c r="P296" s="2" t="str">
        <x:f>IF('신청 원장'!A1361="","",'신청 원장'!A1361)</x:f>
        <x:v>18d0293476325cbc2d1dbf0b</x:v>
      </x:c>
    </x:row>
    <x:row r="297" ht="42" customHeight="1">
      <x:c r="A297" s="2" t="str">
        <x:f>IF('신청 원장'!B1366="","",'신청 원장'!B1366)</x:f>
        <x:v>사업 평가</x:v>
      </x:c>
      <x:c r="B297" s="7" t="str">
        <x:f>IF('신청 원장'!D1366="","",'신청 원장'!D1366)</x:f>
        <x:v>아산화질소 배출 감축사업</x:v>
      </x:c>
      <x:c r="C297" s="2" t="str">
        <x:f>IF('신청 원장'!F1366="","",'신청 원장'!F1366)</x:f>
        <x:v>2015-12-17</x:v>
      </x:c>
      <x:c r="D297" s="2" t="str">
        <x:f>IF('신청 원장'!J1366="","",'신청 원장'!J1366)</x:f>
      </x:c>
      <x:c r="E297" s="2" t="str">
        <x:f>IF('신청 원장'!L1366="","",'신청 원장'!L1366)</x:f>
      </x:c>
      <x:c r="F297" s="2" t="str">
        <x:f>IF('신청 원장'!M1366="","",'신청 원장'!M1366)</x:f>
      </x:c>
      <x:c r="G297" s="2" t="n">
        <x:f>IF('신청 원장'!N1366="","",'신청 원장'!N1366)</x:f>
        <x:v>3955</x:v>
      </x:c>
      <x:c r="H297" s="2" t="str">
        <x:f>IF('신청 원장'!AA1366="","",'신청 원장'!AA1366)</x:f>
        <x:v>대상 아님</x:v>
      </x:c>
      <x:c r="I297" s="2" t="str">
        <x:f>IF('신청 원장'!O1366="","",'신청 원장'!O1366)</x:f>
      </x:c>
      <x:c r="J297" s="2" t="str">
        <x:f>IF('신청 원장'!W1366="","",'신청 원장'!W1366)</x:f>
        <x:v>담당기관 확인 / 종결 여부 확인</x:v>
      </x:c>
      <x:c r="K297" s="2" t="str">
        <x:f>IF('신청 원장'!X1366="","",'신청 원장'!X1366)</x:f>
        <x:v>원본·배정 기록 확인</x:v>
      </x:c>
      <x:c r="L297" s="2" t="str">
        <x:f>IF('신청 원장'!R1366="","",'신청 원장'!R1366)</x:f>
        <x:v>국내평가</x:v>
      </x:c>
      <x:c r="M297" s="2" t="n">
        <x:f>IF('신청 원장'!S1366="","",'신청 원장'!S1366)</x:f>
        <x:v>1269</x:v>
      </x:c>
      <x:c r="N297" s="2" t="str">
        <x:f>IF('신청 원장'!K1366&lt;&gt;"미종결 표시","종결 상태 확인",IF('신청 원장'!N1366="","일자 확인 필요",IF('신청 원장'!N1366&gt;365,"366일 이상",IF('신청 원장'!N1366&gt;90,"91~365일",IF('신청 원장'!N1366&gt;30,"31~90일","0~30일")))))</x:f>
        <x:v>종결 상태 확인</x:v>
      </x:c>
      <x:c r="O297" s="2" t="str">
        <x:f>IF(OR('신청 원장'!L1366="",'신청 원장'!L1366="선택"),"담당 원문 확인","기재")</x:f>
        <x:v>담당 원문 확인</x:v>
      </x:c>
      <x:c r="P297" s="2" t="str">
        <x:f>IF('신청 원장'!A1366="","",'신청 원장'!A1366)</x:f>
        <x:v>2c36b7f99c9043368878f2a0</x:v>
      </x:c>
    </x:row>
    <x:row r="298" ht="42" customHeight="1">
      <x:c r="A298" s="2" t="str">
        <x:f>IF('신청 원장'!B1374="","",'신청 원장'!B1374)</x:f>
        <x:v>사업 평가</x:v>
      </x:c>
      <x:c r="B298" s="7" t="str">
        <x:f>IF('신청 원장'!D1374="","",'신청 원장'!D1374)</x:f>
        <x:v>주식회사 정석케미칼 외 4개사의 인버터 공기압축기 교체를 통한 온실가스 감축사업</x:v>
      </x:c>
      <x:c r="C298" s="2" t="str">
        <x:f>IF('신청 원장'!F1374="","",'신청 원장'!F1374)</x:f>
        <x:v>2026-08-27</x:v>
      </x:c>
      <x:c r="D298" s="2" t="str">
        <x:f>IF('신청 원장'!J1374="","",'신청 원장'!J1374)</x:f>
        <x:v>평가중</x:v>
      </x:c>
      <x:c r="E298" s="2" t="str">
        <x:f>IF('신청 원장'!L1374="","",'신청 원장'!L1374)</x:f>
      </x:c>
      <x:c r="F298" s="2" t="str">
        <x:f>IF('신청 원장'!M1374="","",'신청 원장'!M1374)</x:f>
      </x:c>
      <x:c r="G298" s="2" t="n">
        <x:f>IF('신청 원장'!N1374="","",'신청 원장'!N1374)</x:f>
        <x:v>49</x:v>
      </x:c>
      <x:c r="H298" s="2" t="str">
        <x:f>IF('신청 원장'!AA1374="","",'신청 원장'!AA1374)</x:f>
        <x:v>내부 관찰 대상</x:v>
      </x:c>
      <x:c r="I298" s="2" t="str">
        <x:f>IF('신청 원장'!O1374="","",'신청 원장'!O1374)</x:f>
      </x:c>
      <x:c r="J298" s="2" t="str">
        <x:f>IF('신청 원장'!W1374="","",'신청 원장'!W1374)</x:f>
        <x:v>담당기관 확인</x:v>
      </x:c>
      <x:c r="K298" s="2" t="str">
        <x:f>IF('신청 원장'!X1374="","",'신청 원장'!X1374)</x:f>
        <x:v>원본·배정 기록 확인</x:v>
      </x:c>
      <x:c r="L298" s="2" t="str">
        <x:f>IF('신청 원장'!R1374="","",'신청 원장'!R1374)</x:f>
        <x:v>국내평가</x:v>
      </x:c>
      <x:c r="M298" s="2" t="n">
        <x:f>IF('신청 원장'!S1374="","",'신청 원장'!S1374)</x:f>
        <x:v>1277</x:v>
      </x:c>
      <x:c r="N298" s="2" t="str">
        <x:f>IF('신청 원장'!K1374&lt;&gt;"미종결 표시","종결 상태 확인",IF('신청 원장'!N1374="","일자 확인 필요",IF('신청 원장'!N1374&gt;365,"366일 이상",IF('신청 원장'!N1374&gt;90,"91~365일",IF('신청 원장'!N1374&gt;30,"31~90일","0~30일")))))</x:f>
        <x:v>31~90일</x:v>
      </x:c>
      <x:c r="O298" s="2" t="str">
        <x:f>IF(OR('신청 원장'!L1374="",'신청 원장'!L1374="선택"),"담당 원문 확인","기재")</x:f>
        <x:v>담당 원문 확인</x:v>
      </x:c>
      <x:c r="P298" s="2" t="str">
        <x:f>IF('신청 원장'!A1374="","",'신청 원장'!A1374)</x:f>
        <x:v>4a7514a6891bf5c62468721f</x:v>
      </x:c>
    </x:row>
    <x:row r="299" ht="42" customHeight="1">
      <x:c r="A299" s="2" t="str">
        <x:f>IF('신청 원장'!B1375="","",'신청 원장'!B1375)</x:f>
        <x:v>사업 평가</x:v>
      </x:c>
      <x:c r="B299" s="7" t="str">
        <x:f>IF('신청 원장'!D1375="","",'신청 원장'!D1375)</x:f>
        <x:v>(주)금창4공장 외 4개사의 인버터 공기압축기 교체를 통한 온실가스 감축사업</x:v>
      </x:c>
      <x:c r="C299" s="2" t="str">
        <x:f>IF('신청 원장'!F1375="","",'신청 원장'!F1375)</x:f>
        <x:v>2026-08-27</x:v>
      </x:c>
      <x:c r="D299" s="2" t="str">
        <x:f>IF('신청 원장'!J1375="","",'신청 원장'!J1375)</x:f>
        <x:v>평가중</x:v>
      </x:c>
      <x:c r="E299" s="2" t="str">
        <x:f>IF('신청 원장'!L1375="","",'신청 원장'!L1375)</x:f>
      </x:c>
      <x:c r="F299" s="2" t="str">
        <x:f>IF('신청 원장'!M1375="","",'신청 원장'!M1375)</x:f>
      </x:c>
      <x:c r="G299" s="2" t="n">
        <x:f>IF('신청 원장'!N1375="","",'신청 원장'!N1375)</x:f>
        <x:v>49</x:v>
      </x:c>
      <x:c r="H299" s="2" t="str">
        <x:f>IF('신청 원장'!AA1375="","",'신청 원장'!AA1375)</x:f>
        <x:v>내부 관찰 대상</x:v>
      </x:c>
      <x:c r="I299" s="2" t="str">
        <x:f>IF('신청 원장'!O1375="","",'신청 원장'!O1375)</x:f>
      </x:c>
      <x:c r="J299" s="2" t="str">
        <x:f>IF('신청 원장'!W1375="","",'신청 원장'!W1375)</x:f>
        <x:v>담당기관 확인</x:v>
      </x:c>
      <x:c r="K299" s="2" t="str">
        <x:f>IF('신청 원장'!X1375="","",'신청 원장'!X1375)</x:f>
        <x:v>원본·배정 기록 확인</x:v>
      </x:c>
      <x:c r="L299" s="2" t="str">
        <x:f>IF('신청 원장'!R1375="","",'신청 원장'!R1375)</x:f>
        <x:v>국내평가</x:v>
      </x:c>
      <x:c r="M299" s="2" t="n">
        <x:f>IF('신청 원장'!S1375="","",'신청 원장'!S1375)</x:f>
        <x:v>1278</x:v>
      </x:c>
      <x:c r="N299" s="2" t="str">
        <x:f>IF('신청 원장'!K1375&lt;&gt;"미종결 표시","종결 상태 확인",IF('신청 원장'!N1375="","일자 확인 필요",IF('신청 원장'!N1375&gt;365,"366일 이상",IF('신청 원장'!N1375&gt;90,"91~365일",IF('신청 원장'!N1375&gt;30,"31~90일","0~30일")))))</x:f>
        <x:v>31~90일</x:v>
      </x:c>
      <x:c r="O299" s="2" t="str">
        <x:f>IF(OR('신청 원장'!L1375="",'신청 원장'!L1375="선택"),"담당 원문 확인","기재")</x:f>
        <x:v>담당 원문 확인</x:v>
      </x:c>
      <x:c r="P299" s="2" t="str">
        <x:f>IF('신청 원장'!A1375="","",'신청 원장'!A1375)</x:f>
        <x:v>72a62d4a9876ec0996f25167</x:v>
      </x:c>
    </x:row>
    <x:row r="300" ht="42" customHeight="1">
      <x:c r="A300" s="2" t="str">
        <x:f>IF('신청 원장'!B1376="","",'신청 원장'!B1376)</x:f>
        <x:v>사업 평가</x:v>
      </x:c>
      <x:c r="B300" s="7" t="str">
        <x:f>IF('신청 원장'!D1376="","",'신청 원장'!D1376)</x:f>
        <x:v>(주)케이제이 외 5개사의 인버터 공기압축기 교체를 통한 온실가스 감축사업</x:v>
      </x:c>
      <x:c r="C300" s="2" t="str">
        <x:f>IF('신청 원장'!F1376="","",'신청 원장'!F1376)</x:f>
        <x:v>2026-08-27</x:v>
      </x:c>
      <x:c r="D300" s="2" t="str">
        <x:f>IF('신청 원장'!J1376="","",'신청 원장'!J1376)</x:f>
        <x:v>평가중</x:v>
      </x:c>
      <x:c r="E300" s="2" t="str">
        <x:f>IF('신청 원장'!L1376="","",'신청 원장'!L1376)</x:f>
      </x:c>
      <x:c r="F300" s="2" t="str">
        <x:f>IF('신청 원장'!M1376="","",'신청 원장'!M1376)</x:f>
      </x:c>
      <x:c r="G300" s="2" t="n">
        <x:f>IF('신청 원장'!N1376="","",'신청 원장'!N1376)</x:f>
        <x:v>49</x:v>
      </x:c>
      <x:c r="H300" s="2" t="str">
        <x:f>IF('신청 원장'!AA1376="","",'신청 원장'!AA1376)</x:f>
        <x:v>내부 관찰 대상</x:v>
      </x:c>
      <x:c r="I300" s="2" t="str">
        <x:f>IF('신청 원장'!O1376="","",'신청 원장'!O1376)</x:f>
      </x:c>
      <x:c r="J300" s="2" t="str">
        <x:f>IF('신청 원장'!W1376="","",'신청 원장'!W1376)</x:f>
        <x:v>담당기관 확인</x:v>
      </x:c>
      <x:c r="K300" s="2" t="str">
        <x:f>IF('신청 원장'!X1376="","",'신청 원장'!X1376)</x:f>
        <x:v>원본·배정 기록 확인</x:v>
      </x:c>
      <x:c r="L300" s="2" t="str">
        <x:f>IF('신청 원장'!R1376="","",'신청 원장'!R1376)</x:f>
        <x:v>국내평가</x:v>
      </x:c>
      <x:c r="M300" s="2" t="n">
        <x:f>IF('신청 원장'!S1376="","",'신청 원장'!S1376)</x:f>
        <x:v>1279</x:v>
      </x:c>
      <x:c r="N300" s="2" t="str">
        <x:f>IF('신청 원장'!K1376&lt;&gt;"미종결 표시","종결 상태 확인",IF('신청 원장'!N1376="","일자 확인 필요",IF('신청 원장'!N1376&gt;365,"366일 이상",IF('신청 원장'!N1376&gt;90,"91~365일",IF('신청 원장'!N1376&gt;30,"31~90일","0~30일")))))</x:f>
        <x:v>31~90일</x:v>
      </x:c>
      <x:c r="O300" s="2" t="str">
        <x:f>IF(OR('신청 원장'!L1376="",'신청 원장'!L1376="선택"),"담당 원문 확인","기재")</x:f>
        <x:v>담당 원문 확인</x:v>
      </x:c>
      <x:c r="P300" s="2" t="str">
        <x:f>IF('신청 원장'!A1376="","",'신청 원장'!A1376)</x:f>
        <x:v>caf3ba3449a356647b395fc0</x:v>
      </x:c>
    </x:row>
    <x:row r="301" ht="42" customHeight="1">
      <x:c r="A301" s="2" t="str">
        <x:f>IF('신청 원장'!B1377="","",'신청 원장'!B1377)</x:f>
        <x:v>사업 평가</x:v>
      </x:c>
      <x:c r="B301" s="7" t="str">
        <x:f>IF('신청 원장'!D1377="","",'신청 원장'!D1377)</x:f>
        <x:v>거산테크 고효율 공기압축기 교체사업</x:v>
      </x:c>
      <x:c r="C301" s="2" t="str">
        <x:f>IF('신청 원장'!F1377="","",'신청 원장'!F1377)</x:f>
        <x:v>2026-08-21</x:v>
      </x:c>
      <x:c r="D301" s="2" t="str">
        <x:f>IF('신청 원장'!J1377="","",'신청 원장'!J1377)</x:f>
        <x:v>평가중</x:v>
      </x:c>
      <x:c r="E301" s="2" t="str">
        <x:f>IF('신청 원장'!L1377="","",'신청 원장'!L1377)</x:f>
      </x:c>
      <x:c r="F301" s="2" t="str">
        <x:f>IF('신청 원장'!M1377="","",'신청 원장'!M1377)</x:f>
      </x:c>
      <x:c r="G301" s="2" t="n">
        <x:f>IF('신청 원장'!N1377="","",'신청 원장'!N1377)</x:f>
        <x:v>55</x:v>
      </x:c>
      <x:c r="H301" s="2" t="str">
        <x:f>IF('신청 원장'!AA1377="","",'신청 원장'!AA1377)</x:f>
        <x:v>내부 관찰 대상</x:v>
      </x:c>
      <x:c r="I301" s="2" t="str">
        <x:f>IF('신청 원장'!O1377="","",'신청 원장'!O1377)</x:f>
      </x:c>
      <x:c r="J301" s="2" t="str">
        <x:f>IF('신청 원장'!W1377="","",'신청 원장'!W1377)</x:f>
        <x:v>담당기관 확인</x:v>
      </x:c>
      <x:c r="K301" s="2" t="str">
        <x:f>IF('신청 원장'!X1377="","",'신청 원장'!X1377)</x:f>
        <x:v>원본·배정 기록 확인</x:v>
      </x:c>
      <x:c r="L301" s="2" t="str">
        <x:f>IF('신청 원장'!R1377="","",'신청 원장'!R1377)</x:f>
        <x:v>국내평가</x:v>
      </x:c>
      <x:c r="M301" s="2" t="n">
        <x:f>IF('신청 원장'!S1377="","",'신청 원장'!S1377)</x:f>
        <x:v>1280</x:v>
      </x:c>
      <x:c r="N301" s="2" t="str">
        <x:f>IF('신청 원장'!K1377&lt;&gt;"미종결 표시","종결 상태 확인",IF('신청 원장'!N1377="","일자 확인 필요",IF('신청 원장'!N1377&gt;365,"366일 이상",IF('신청 원장'!N1377&gt;90,"91~365일",IF('신청 원장'!N1377&gt;30,"31~90일","0~30일")))))</x:f>
        <x:v>31~90일</x:v>
      </x:c>
      <x:c r="O301" s="2" t="str">
        <x:f>IF(OR('신청 원장'!L1377="",'신청 원장'!L1377="선택"),"담당 원문 확인","기재")</x:f>
        <x:v>담당 원문 확인</x:v>
      </x:c>
      <x:c r="P301" s="2" t="str">
        <x:f>IF('신청 원장'!A1377="","",'신청 원장'!A1377)</x:f>
        <x:v>546efa8ba00afc878e92015a</x:v>
      </x:c>
    </x:row>
    <x:row r="302" ht="42" customHeight="1">
      <x:c r="A302" s="2" t="str">
        <x:f>IF('신청 원장'!B1378="","",'신청 원장'!B1378)</x:f>
        <x:v>사업 평가</x:v>
      </x:c>
      <x:c r="B302" s="7" t="str">
        <x:f>IF('신청 원장'!D1378="","",'신청 원장'!D1378)</x:f>
        <x:v>(주)인목 고효율공기압축기 교체 사업</x:v>
      </x:c>
      <x:c r="C302" s="2" t="str">
        <x:f>IF('신청 원장'!F1378="","",'신청 원장'!F1378)</x:f>
        <x:v>2026-08-21</x:v>
      </x:c>
      <x:c r="D302" s="2" t="str">
        <x:f>IF('신청 원장'!J1378="","",'신청 원장'!J1378)</x:f>
        <x:v>평가중</x:v>
      </x:c>
      <x:c r="E302" s="2" t="str">
        <x:f>IF('신청 원장'!L1378="","",'신청 원장'!L1378)</x:f>
      </x:c>
      <x:c r="F302" s="2" t="str">
        <x:f>IF('신청 원장'!M1378="","",'신청 원장'!M1378)</x:f>
      </x:c>
      <x:c r="G302" s="2" t="n">
        <x:f>IF('신청 원장'!N1378="","",'신청 원장'!N1378)</x:f>
        <x:v>55</x:v>
      </x:c>
      <x:c r="H302" s="2" t="str">
        <x:f>IF('신청 원장'!AA1378="","",'신청 원장'!AA1378)</x:f>
        <x:v>내부 관찰 대상</x:v>
      </x:c>
      <x:c r="I302" s="2" t="str">
        <x:f>IF('신청 원장'!O1378="","",'신청 원장'!O1378)</x:f>
      </x:c>
      <x:c r="J302" s="2" t="str">
        <x:f>IF('신청 원장'!W1378="","",'신청 원장'!W1378)</x:f>
        <x:v>담당기관 확인</x:v>
      </x:c>
      <x:c r="K302" s="2" t="str">
        <x:f>IF('신청 원장'!X1378="","",'신청 원장'!X1378)</x:f>
        <x:v>원본·배정 기록 확인</x:v>
      </x:c>
      <x:c r="L302" s="2" t="str">
        <x:f>IF('신청 원장'!R1378="","",'신청 원장'!R1378)</x:f>
        <x:v>국내평가</x:v>
      </x:c>
      <x:c r="M302" s="2" t="n">
        <x:f>IF('신청 원장'!S1378="","",'신청 원장'!S1378)</x:f>
        <x:v>1281</x:v>
      </x:c>
      <x:c r="N302" s="2" t="str">
        <x:f>IF('신청 원장'!K1378&lt;&gt;"미종결 표시","종결 상태 확인",IF('신청 원장'!N1378="","일자 확인 필요",IF('신청 원장'!N1378&gt;365,"366일 이상",IF('신청 원장'!N1378&gt;90,"91~365일",IF('신청 원장'!N1378&gt;30,"31~90일","0~30일")))))</x:f>
        <x:v>31~90일</x:v>
      </x:c>
      <x:c r="O302" s="2" t="str">
        <x:f>IF(OR('신청 원장'!L1378="",'신청 원장'!L1378="선택"),"담당 원문 확인","기재")</x:f>
        <x:v>담당 원문 확인</x:v>
      </x:c>
      <x:c r="P302" s="2" t="str">
        <x:f>IF('신청 원장'!A1378="","",'신청 원장'!A1378)</x:f>
        <x:v>88e2aa5081524eaf6265fd9d</x:v>
      </x:c>
    </x:row>
    <x:row r="303" ht="42" customHeight="1">
      <x:c r="A303" s="2" t="str">
        <x:f>IF('신청 원장'!B1397="","",'신청 원장'!B1397)</x:f>
        <x:v>사업 평가</x:v>
      </x:c>
      <x:c r="B303" s="7" t="str">
        <x:f>IF('신청 원장'!D1397="","",'신청 원장'!D1397)</x:f>
        <x:v>베스탈 유한회사</x:v>
      </x:c>
      <x:c r="C303" s="2" t="str">
        <x:f>IF('신청 원장'!F1397="","",'신청 원장'!F1397)</x:f>
        <x:v>2020-01</x:v>
      </x:c>
      <x:c r="D303" s="2" t="str">
        <x:f>IF('신청 원장'!J1397="","",'신청 원장'!J1397)</x:f>
        <x:v>보류</x:v>
      </x:c>
      <x:c r="E303" s="2" t="str">
        <x:f>IF('신청 원장'!L1397="","",'신청 원장'!L1397)</x:f>
        <x:v>KECM</x:v>
      </x:c>
      <x:c r="F303" s="2" t="str">
        <x:f>IF('신청 원장'!M1397="","",'신청 원장'!M1397)</x:f>
      </x:c>
      <x:c r="G303" s="2" t="str">
        <x:f>IF('신청 원장'!N1397="","",'신청 원장'!N1397)</x:f>
      </x:c>
      <x:c r="H303" s="2" t="str">
        <x:f>IF('신청 원장'!AA1397="","",'신청 원장'!AA1397)</x:f>
        <x:v>신청일 확인</x:v>
      </x:c>
      <x:c r="I303" s="2" t="str">
        <x:f>IF('신청 원장'!O1397="","",'신청 원장'!O1397)</x:f>
      </x:c>
      <x:c r="J303" s="2" t="str">
        <x:f>IF('신청 원장'!W1397="","",'신청 원장'!W1397)</x:f>
      </x:c>
      <x:c r="K303" s="2" t="str">
        <x:f>IF('신청 원장'!X1397="","",'신청 원장'!X1397)</x:f>
        <x:v>검토 진행 일정 확인</x:v>
      </x:c>
      <x:c r="L303" s="2" t="str">
        <x:f>IF('신청 원장'!R1397="","",'신청 원장'!R1397)</x:f>
        <x:v>국외평가</x:v>
      </x:c>
      <x:c r="M303" s="2" t="n">
        <x:f>IF('신청 원장'!S1397="","",'신청 원장'!S1397)</x:f>
        <x:v>21</x:v>
      </x:c>
      <x:c r="N303" s="2" t="str">
        <x:f>IF('신청 원장'!K1397&lt;&gt;"미종결 표시","종결 상태 확인",IF('신청 원장'!N1397="","일자 확인 필요",IF('신청 원장'!N1397&gt;365,"366일 이상",IF('신청 원장'!N1397&gt;90,"91~365일",IF('신청 원장'!N1397&gt;30,"31~90일","0~30일")))))</x:f>
        <x:v>일자 확인 필요</x:v>
      </x:c>
      <x:c r="O303" s="2" t="str">
        <x:f>IF(OR('신청 원장'!L1397="",'신청 원장'!L1397="선택"),"담당 원문 확인","기재")</x:f>
        <x:v>기재</x:v>
      </x:c>
      <x:c r="P303" s="2" t="str">
        <x:f>IF('신청 원장'!A1397="","",'신청 원장'!A1397)</x:f>
        <x:v>1280bf9b9df1e13bd42882f3</x:v>
      </x:c>
    </x:row>
    <x:row r="304" ht="42" customHeight="1">
      <x:c r="A304" s="2" t="str">
        <x:f>IF('신청 원장'!B1463="","",'신청 원장'!B1463)</x:f>
        <x:v>사업 평가</x:v>
      </x:c>
      <x:c r="B304" s="7" t="str">
        <x:f>IF('신청 원장'!D1463="","",'신청 원장'!D1463)</x:f>
        <x:v>BioLite의 발전된 쿡스토브 프로그램  - 한국에서 지원하는 CPA 011</x:v>
      </x:c>
      <x:c r="C304" s="2" t="str">
        <x:f>IF('신청 원장'!F1463="","",'신청 원장'!F1463)</x:f>
        <x:v>2020-09</x:v>
      </x:c>
      <x:c r="D304" s="2" t="str">
        <x:f>IF('신청 원장'!J1463="","",'신청 원장'!J1463)</x:f>
        <x:v>보류</x:v>
      </x:c>
      <x:c r="E304" s="2" t="str">
        <x:f>IF('신청 원장'!L1463="","",'신청 원장'!L1463)</x:f>
        <x:v>KRIC</x:v>
      </x:c>
      <x:c r="F304" s="2" t="str">
        <x:f>IF('신청 원장'!M1463="","",'신청 원장'!M1463)</x:f>
      </x:c>
      <x:c r="G304" s="2" t="str">
        <x:f>IF('신청 원장'!N1463="","",'신청 원장'!N1463)</x:f>
      </x:c>
      <x:c r="H304" s="2" t="str">
        <x:f>IF('신청 원장'!AA1463="","",'신청 원장'!AA1463)</x:f>
        <x:v>신청일 확인</x:v>
      </x:c>
      <x:c r="I304" s="2" t="str">
        <x:f>IF('신청 원장'!O1463="","",'신청 원장'!O1463)</x:f>
      </x:c>
      <x:c r="J304" s="2" t="str">
        <x:f>IF('신청 원장'!W1463="","",'신청 원장'!W1463)</x:f>
      </x:c>
      <x:c r="K304" s="2" t="str">
        <x:f>IF('신청 원장'!X1463="","",'신청 원장'!X1463)</x:f>
        <x:v>검토 진행 일정 확인</x:v>
      </x:c>
      <x:c r="L304" s="2" t="str">
        <x:f>IF('신청 원장'!R1463="","",'신청 원장'!R1463)</x:f>
        <x:v>국외평가</x:v>
      </x:c>
      <x:c r="M304" s="2" t="n">
        <x:f>IF('신청 원장'!S1463="","",'신청 원장'!S1463)</x:f>
        <x:v>87</x:v>
      </x:c>
      <x:c r="N304" s="2" t="str">
        <x:f>IF('신청 원장'!K1463&lt;&gt;"미종결 표시","종결 상태 확인",IF('신청 원장'!N1463="","일자 확인 필요",IF('신청 원장'!N1463&gt;365,"366일 이상",IF('신청 원장'!N1463&gt;90,"91~365일",IF('신청 원장'!N1463&gt;30,"31~90일","0~30일")))))</x:f>
        <x:v>일자 확인 필요</x:v>
      </x:c>
      <x:c r="O304" s="2" t="str">
        <x:f>IF(OR('신청 원장'!L1463="",'신청 원장'!L1463="선택"),"담당 원문 확인","기재")</x:f>
        <x:v>기재</x:v>
      </x:c>
      <x:c r="P304" s="2" t="str">
        <x:f>IF('신청 원장'!A1463="","",'신청 원장'!A1463)</x:f>
        <x:v>323a5e26653384839ead93ea</x:v>
      </x:c>
    </x:row>
    <x:row r="305" ht="42" customHeight="1">
      <x:c r="A305" s="2" t="str">
        <x:f>IF('신청 원장'!B1464="","",'신청 원장'!B1464)</x:f>
        <x:v>사업 평가</x:v>
      </x:c>
      <x:c r="B305" s="7" t="str">
        <x:f>IF('신청 원장'!D1464="","",'신청 원장'!D1464)</x:f>
        <x:v>BioLite의 발전된 쿡스토브 프로그램 - 한국에서 지원하는 CPA 012</x:v>
      </x:c>
      <x:c r="C305" s="2" t="str">
        <x:f>IF('신청 원장'!F1464="","",'신청 원장'!F1464)</x:f>
        <x:v>2020-09</x:v>
      </x:c>
      <x:c r="D305" s="2" t="str">
        <x:f>IF('신청 원장'!J1464="","",'신청 원장'!J1464)</x:f>
        <x:v>보류</x:v>
      </x:c>
      <x:c r="E305" s="2" t="str">
        <x:f>IF('신청 원장'!L1464="","",'신청 원장'!L1464)</x:f>
        <x:v>KRIC</x:v>
      </x:c>
      <x:c r="F305" s="2" t="str">
        <x:f>IF('신청 원장'!M1464="","",'신청 원장'!M1464)</x:f>
      </x:c>
      <x:c r="G305" s="2" t="str">
        <x:f>IF('신청 원장'!N1464="","",'신청 원장'!N1464)</x:f>
      </x:c>
      <x:c r="H305" s="2" t="str">
        <x:f>IF('신청 원장'!AA1464="","",'신청 원장'!AA1464)</x:f>
        <x:v>신청일 확인</x:v>
      </x:c>
      <x:c r="I305" s="2" t="str">
        <x:f>IF('신청 원장'!O1464="","",'신청 원장'!O1464)</x:f>
      </x:c>
      <x:c r="J305" s="2" t="str">
        <x:f>IF('신청 원장'!W1464="","",'신청 원장'!W1464)</x:f>
      </x:c>
      <x:c r="K305" s="2" t="str">
        <x:f>IF('신청 원장'!X1464="","",'신청 원장'!X1464)</x:f>
        <x:v>검토 진행 일정 확인</x:v>
      </x:c>
      <x:c r="L305" s="2" t="str">
        <x:f>IF('신청 원장'!R1464="","",'신청 원장'!R1464)</x:f>
        <x:v>국외평가</x:v>
      </x:c>
      <x:c r="M305" s="2" t="n">
        <x:f>IF('신청 원장'!S1464="","",'신청 원장'!S1464)</x:f>
        <x:v>88</x:v>
      </x:c>
      <x:c r="N305" s="2" t="str">
        <x:f>IF('신청 원장'!K1464&lt;&gt;"미종결 표시","종결 상태 확인",IF('신청 원장'!N1464="","일자 확인 필요",IF('신청 원장'!N1464&gt;365,"366일 이상",IF('신청 원장'!N1464&gt;90,"91~365일",IF('신청 원장'!N1464&gt;30,"31~90일","0~30일")))))</x:f>
        <x:v>일자 확인 필요</x:v>
      </x:c>
      <x:c r="O305" s="2" t="str">
        <x:f>IF(OR('신청 원장'!L1464="",'신청 원장'!L1464="선택"),"담당 원문 확인","기재")</x:f>
        <x:v>기재</x:v>
      </x:c>
      <x:c r="P305" s="2" t="str">
        <x:f>IF('신청 원장'!A1464="","",'신청 원장'!A1464)</x:f>
        <x:v>3c2289a6753dbe87a1249433</x:v>
      </x:c>
    </x:row>
    <x:row r="306" ht="42" customHeight="1">
      <x:c r="A306" s="2" t="str">
        <x:f>IF('신청 원장'!B1465="","",'신청 원장'!B1465)</x:f>
        <x:v>사업 평가</x:v>
      </x:c>
      <x:c r="B306" s="7" t="str">
        <x:f>IF('신청 원장'!D1465="","",'신청 원장'!D1465)</x:f>
        <x:v>BioLite의 발전된 쿡스토브 프로그램 - 한국에서 지원하는 CPA 013</x:v>
      </x:c>
      <x:c r="C306" s="2" t="str">
        <x:f>IF('신청 원장'!F1465="","",'신청 원장'!F1465)</x:f>
        <x:v>2020-09</x:v>
      </x:c>
      <x:c r="D306" s="2" t="str">
        <x:f>IF('신청 원장'!J1465="","",'신청 원장'!J1465)</x:f>
        <x:v>보류</x:v>
      </x:c>
      <x:c r="E306" s="2" t="str">
        <x:f>IF('신청 원장'!L1465="","",'신청 원장'!L1465)</x:f>
        <x:v>KRIC</x:v>
      </x:c>
      <x:c r="F306" s="2" t="str">
        <x:f>IF('신청 원장'!M1465="","",'신청 원장'!M1465)</x:f>
      </x:c>
      <x:c r="G306" s="2" t="str">
        <x:f>IF('신청 원장'!N1465="","",'신청 원장'!N1465)</x:f>
      </x:c>
      <x:c r="H306" s="2" t="str">
        <x:f>IF('신청 원장'!AA1465="","",'신청 원장'!AA1465)</x:f>
        <x:v>신청일 확인</x:v>
      </x:c>
      <x:c r="I306" s="2" t="str">
        <x:f>IF('신청 원장'!O1465="","",'신청 원장'!O1465)</x:f>
      </x:c>
      <x:c r="J306" s="2" t="str">
        <x:f>IF('신청 원장'!W1465="","",'신청 원장'!W1465)</x:f>
      </x:c>
      <x:c r="K306" s="2" t="str">
        <x:f>IF('신청 원장'!X1465="","",'신청 원장'!X1465)</x:f>
        <x:v>검토 진행 일정 확인</x:v>
      </x:c>
      <x:c r="L306" s="2" t="str">
        <x:f>IF('신청 원장'!R1465="","",'신청 원장'!R1465)</x:f>
        <x:v>국외평가</x:v>
      </x:c>
      <x:c r="M306" s="2" t="n">
        <x:f>IF('신청 원장'!S1465="","",'신청 원장'!S1465)</x:f>
        <x:v>89</x:v>
      </x:c>
      <x:c r="N306" s="2" t="str">
        <x:f>IF('신청 원장'!K1465&lt;&gt;"미종결 표시","종결 상태 확인",IF('신청 원장'!N1465="","일자 확인 필요",IF('신청 원장'!N1465&gt;365,"366일 이상",IF('신청 원장'!N1465&gt;90,"91~365일",IF('신청 원장'!N1465&gt;30,"31~90일","0~30일")))))</x:f>
        <x:v>일자 확인 필요</x:v>
      </x:c>
      <x:c r="O306" s="2" t="str">
        <x:f>IF(OR('신청 원장'!L1465="",'신청 원장'!L1465="선택"),"담당 원문 확인","기재")</x:f>
        <x:v>기재</x:v>
      </x:c>
      <x:c r="P306" s="2" t="str">
        <x:f>IF('신청 원장'!A1465="","",'신청 원장'!A1465)</x:f>
        <x:v>a012d0493905af543d4c2dc8</x:v>
      </x:c>
    </x:row>
    <x:row r="307" ht="42" customHeight="1">
      <x:c r="A307" s="2" t="str">
        <x:f>IF('신청 원장'!B1466="","",'신청 원장'!B1466)</x:f>
        <x:v>사업 평가</x:v>
      </x:c>
      <x:c r="B307" s="7" t="str">
        <x:f>IF('신청 원장'!D1466="","",'신청 원장'!D1466)</x:f>
        <x:v>BioLite의 발전된 쿡스토브 프로그램 - 한국에서 지원하는 CPA 023</x:v>
      </x:c>
      <x:c r="C307" s="2" t="str">
        <x:f>IF('신청 원장'!F1466="","",'신청 원장'!F1466)</x:f>
        <x:v>2020-09</x:v>
      </x:c>
      <x:c r="D307" s="2" t="str">
        <x:f>IF('신청 원장'!J1466="","",'신청 원장'!J1466)</x:f>
        <x:v>보류</x:v>
      </x:c>
      <x:c r="E307" s="2" t="str">
        <x:f>IF('신청 원장'!L1466="","",'신청 원장'!L1466)</x:f>
        <x:v>KRIC</x:v>
      </x:c>
      <x:c r="F307" s="2" t="str">
        <x:f>IF('신청 원장'!M1466="","",'신청 원장'!M1466)</x:f>
      </x:c>
      <x:c r="G307" s="2" t="str">
        <x:f>IF('신청 원장'!N1466="","",'신청 원장'!N1466)</x:f>
      </x:c>
      <x:c r="H307" s="2" t="str">
        <x:f>IF('신청 원장'!AA1466="","",'신청 원장'!AA1466)</x:f>
        <x:v>신청일 확인</x:v>
      </x:c>
      <x:c r="I307" s="2" t="str">
        <x:f>IF('신청 원장'!O1466="","",'신청 원장'!O1466)</x:f>
      </x:c>
      <x:c r="J307" s="2" t="str">
        <x:f>IF('신청 원장'!W1466="","",'신청 원장'!W1466)</x:f>
      </x:c>
      <x:c r="K307" s="2" t="str">
        <x:f>IF('신청 원장'!X1466="","",'신청 원장'!X1466)</x:f>
        <x:v>검토 진행 일정 확인</x:v>
      </x:c>
      <x:c r="L307" s="2" t="str">
        <x:f>IF('신청 원장'!R1466="","",'신청 원장'!R1466)</x:f>
        <x:v>국외평가</x:v>
      </x:c>
      <x:c r="M307" s="2" t="n">
        <x:f>IF('신청 원장'!S1466="","",'신청 원장'!S1466)</x:f>
        <x:v>90</x:v>
      </x:c>
      <x:c r="N307" s="2" t="str">
        <x:f>IF('신청 원장'!K1466&lt;&gt;"미종결 표시","종결 상태 확인",IF('신청 원장'!N1466="","일자 확인 필요",IF('신청 원장'!N1466&gt;365,"366일 이상",IF('신청 원장'!N1466&gt;90,"91~365일",IF('신청 원장'!N1466&gt;30,"31~90일","0~30일")))))</x:f>
        <x:v>일자 확인 필요</x:v>
      </x:c>
      <x:c r="O307" s="2" t="str">
        <x:f>IF(OR('신청 원장'!L1466="",'신청 원장'!L1466="선택"),"담당 원문 확인","기재")</x:f>
        <x:v>기재</x:v>
      </x:c>
      <x:c r="P307" s="2" t="str">
        <x:f>IF('신청 원장'!A1466="","",'신청 원장'!A1466)</x:f>
        <x:v>9f8a4ea5541eb8a9b58cc1f4</x:v>
      </x:c>
    </x:row>
    <x:row r="308" ht="42" customHeight="1">
      <x:c r="A308" s="2" t="str">
        <x:f>IF('신청 원장'!B1467="","",'신청 원장'!B1467)</x:f>
        <x:v>사업 평가</x:v>
      </x:c>
      <x:c r="B308" s="7" t="str">
        <x:f>IF('신청 원장'!D1467="","",'신청 원장'!D1467)</x:f>
        <x:v>BioLite의 발전된 쿡스토브 프로그램 - 한국에서 지원하는 CPA 024</x:v>
      </x:c>
      <x:c r="C308" s="2" t="str">
        <x:f>IF('신청 원장'!F1467="","",'신청 원장'!F1467)</x:f>
        <x:v>2020-09</x:v>
      </x:c>
      <x:c r="D308" s="2" t="str">
        <x:f>IF('신청 원장'!J1467="","",'신청 원장'!J1467)</x:f>
        <x:v>보류</x:v>
      </x:c>
      <x:c r="E308" s="2" t="str">
        <x:f>IF('신청 원장'!L1467="","",'신청 원장'!L1467)</x:f>
        <x:v>KRIC</x:v>
      </x:c>
      <x:c r="F308" s="2" t="str">
        <x:f>IF('신청 원장'!M1467="","",'신청 원장'!M1467)</x:f>
      </x:c>
      <x:c r="G308" s="2" t="str">
        <x:f>IF('신청 원장'!N1467="","",'신청 원장'!N1467)</x:f>
      </x:c>
      <x:c r="H308" s="2" t="str">
        <x:f>IF('신청 원장'!AA1467="","",'신청 원장'!AA1467)</x:f>
        <x:v>신청일 확인</x:v>
      </x:c>
      <x:c r="I308" s="2" t="str">
        <x:f>IF('신청 원장'!O1467="","",'신청 원장'!O1467)</x:f>
      </x:c>
      <x:c r="J308" s="2" t="str">
        <x:f>IF('신청 원장'!W1467="","",'신청 원장'!W1467)</x:f>
      </x:c>
      <x:c r="K308" s="2" t="str">
        <x:f>IF('신청 원장'!X1467="","",'신청 원장'!X1467)</x:f>
        <x:v>검토 진행 일정 확인</x:v>
      </x:c>
      <x:c r="L308" s="2" t="str">
        <x:f>IF('신청 원장'!R1467="","",'신청 원장'!R1467)</x:f>
        <x:v>국외평가</x:v>
      </x:c>
      <x:c r="M308" s="2" t="n">
        <x:f>IF('신청 원장'!S1467="","",'신청 원장'!S1467)</x:f>
        <x:v>91</x:v>
      </x:c>
      <x:c r="N308" s="2" t="str">
        <x:f>IF('신청 원장'!K1467&lt;&gt;"미종결 표시","종결 상태 확인",IF('신청 원장'!N1467="","일자 확인 필요",IF('신청 원장'!N1467&gt;365,"366일 이상",IF('신청 원장'!N1467&gt;90,"91~365일",IF('신청 원장'!N1467&gt;30,"31~90일","0~30일")))))</x:f>
        <x:v>일자 확인 필요</x:v>
      </x:c>
      <x:c r="O308" s="2" t="str">
        <x:f>IF(OR('신청 원장'!L1467="",'신청 원장'!L1467="선택"),"담당 원문 확인","기재")</x:f>
        <x:v>기재</x:v>
      </x:c>
      <x:c r="P308" s="2" t="str">
        <x:f>IF('신청 원장'!A1467="","",'신청 원장'!A1467)</x:f>
        <x:v>7beb7553e26b55b4861a69c4</x:v>
      </x:c>
    </x:row>
    <x:row r="309" ht="42" customHeight="1">
      <x:c r="A309" s="2" t="str">
        <x:f>IF('신청 원장'!B1472="","",'신청 원장'!B1472)</x:f>
        <x:v>사업 평가</x:v>
      </x:c>
      <x:c r="B309" s="7" t="str">
        <x:f>IF('신청 원장'!D1472="","",'신청 원장'!D1472)</x:f>
        <x:v>BioLite의 발전된 쿡스토브 프로그램 - 한국에서 지원하는 CPA 025</x:v>
      </x:c>
      <x:c r="C309" s="2" t="str">
        <x:f>IF('신청 원장'!F1472="","",'신청 원장'!F1472)</x:f>
        <x:v>2020-09</x:v>
      </x:c>
      <x:c r="D309" s="2" t="str">
        <x:f>IF('신청 원장'!J1472="","",'신청 원장'!J1472)</x:f>
        <x:v>보류</x:v>
      </x:c>
      <x:c r="E309" s="2" t="str">
        <x:f>IF('신청 원장'!L1472="","",'신청 원장'!L1472)</x:f>
        <x:v>KRIC</x:v>
      </x:c>
      <x:c r="F309" s="2" t="str">
        <x:f>IF('신청 원장'!M1472="","",'신청 원장'!M1472)</x:f>
      </x:c>
      <x:c r="G309" s="2" t="str">
        <x:f>IF('신청 원장'!N1472="","",'신청 원장'!N1472)</x:f>
      </x:c>
      <x:c r="H309" s="2" t="str">
        <x:f>IF('신청 원장'!AA1472="","",'신청 원장'!AA1472)</x:f>
        <x:v>신청일 확인</x:v>
      </x:c>
      <x:c r="I309" s="2" t="str">
        <x:f>IF('신청 원장'!O1472="","",'신청 원장'!O1472)</x:f>
      </x:c>
      <x:c r="J309" s="2" t="str">
        <x:f>IF('신청 원장'!W1472="","",'신청 원장'!W1472)</x:f>
      </x:c>
      <x:c r="K309" s="2" t="str">
        <x:f>IF('신청 원장'!X1472="","",'신청 원장'!X1472)</x:f>
        <x:v>검토 진행 일정 확인</x:v>
      </x:c>
      <x:c r="L309" s="2" t="str">
        <x:f>IF('신청 원장'!R1472="","",'신청 원장'!R1472)</x:f>
        <x:v>국외평가</x:v>
      </x:c>
      <x:c r="M309" s="2" t="n">
        <x:f>IF('신청 원장'!S1472="","",'신청 원장'!S1472)</x:f>
        <x:v>96</x:v>
      </x:c>
      <x:c r="N309" s="2" t="str">
        <x:f>IF('신청 원장'!K1472&lt;&gt;"미종결 표시","종결 상태 확인",IF('신청 원장'!N1472="","일자 확인 필요",IF('신청 원장'!N1472&gt;365,"366일 이상",IF('신청 원장'!N1472&gt;90,"91~365일",IF('신청 원장'!N1472&gt;30,"31~90일","0~30일")))))</x:f>
        <x:v>일자 확인 필요</x:v>
      </x:c>
      <x:c r="O309" s="2" t="str">
        <x:f>IF(OR('신청 원장'!L1472="",'신청 원장'!L1472="선택"),"담당 원문 확인","기재")</x:f>
        <x:v>기재</x:v>
      </x:c>
      <x:c r="P309" s="2" t="str">
        <x:f>IF('신청 원장'!A1472="","",'신청 원장'!A1472)</x:f>
        <x:v>ca5dbad623654ccc50b8a2f7</x:v>
      </x:c>
    </x:row>
    <x:row r="310" ht="42" customHeight="1">
      <x:c r="A310" s="2" t="str">
        <x:f>IF('신청 원장'!B1473="","",'신청 원장'!B1473)</x:f>
        <x:v>사업 평가</x:v>
      </x:c>
      <x:c r="B310" s="7" t="str">
        <x:f>IF('신청 원장'!D1473="","",'신청 원장'!D1473)</x:f>
        <x:v>BioLite의 발전된 쿡스토브 프로그램 - 한국에서 지원하는 CPA 026</x:v>
      </x:c>
      <x:c r="C310" s="2" t="str">
        <x:f>IF('신청 원장'!F1473="","",'신청 원장'!F1473)</x:f>
        <x:v>2020-09</x:v>
      </x:c>
      <x:c r="D310" s="2" t="str">
        <x:f>IF('신청 원장'!J1473="","",'신청 원장'!J1473)</x:f>
        <x:v>보류</x:v>
      </x:c>
      <x:c r="E310" s="2" t="str">
        <x:f>IF('신청 원장'!L1473="","",'신청 원장'!L1473)</x:f>
        <x:v>KRIC</x:v>
      </x:c>
      <x:c r="F310" s="2" t="str">
        <x:f>IF('신청 원장'!M1473="","",'신청 원장'!M1473)</x:f>
      </x:c>
      <x:c r="G310" s="2" t="str">
        <x:f>IF('신청 원장'!N1473="","",'신청 원장'!N1473)</x:f>
      </x:c>
      <x:c r="H310" s="2" t="str">
        <x:f>IF('신청 원장'!AA1473="","",'신청 원장'!AA1473)</x:f>
        <x:v>신청일 확인</x:v>
      </x:c>
      <x:c r="I310" s="2" t="str">
        <x:f>IF('신청 원장'!O1473="","",'신청 원장'!O1473)</x:f>
      </x:c>
      <x:c r="J310" s="2" t="str">
        <x:f>IF('신청 원장'!W1473="","",'신청 원장'!W1473)</x:f>
      </x:c>
      <x:c r="K310" s="2" t="str">
        <x:f>IF('신청 원장'!X1473="","",'신청 원장'!X1473)</x:f>
        <x:v>검토 진행 일정 확인</x:v>
      </x:c>
      <x:c r="L310" s="2" t="str">
        <x:f>IF('신청 원장'!R1473="","",'신청 원장'!R1473)</x:f>
        <x:v>국외평가</x:v>
      </x:c>
      <x:c r="M310" s="2" t="n">
        <x:f>IF('신청 원장'!S1473="","",'신청 원장'!S1473)</x:f>
        <x:v>97</x:v>
      </x:c>
      <x:c r="N310" s="2" t="str">
        <x:f>IF('신청 원장'!K1473&lt;&gt;"미종결 표시","종결 상태 확인",IF('신청 원장'!N1473="","일자 확인 필요",IF('신청 원장'!N1473&gt;365,"366일 이상",IF('신청 원장'!N1473&gt;90,"91~365일",IF('신청 원장'!N1473&gt;30,"31~90일","0~30일")))))</x:f>
        <x:v>일자 확인 필요</x:v>
      </x:c>
      <x:c r="O310" s="2" t="str">
        <x:f>IF(OR('신청 원장'!L1473="",'신청 원장'!L1473="선택"),"담당 원문 확인","기재")</x:f>
        <x:v>기재</x:v>
      </x:c>
      <x:c r="P310" s="2" t="str">
        <x:f>IF('신청 원장'!A1473="","",'신청 원장'!A1473)</x:f>
        <x:v>bdc6e724dd3a8011147dfccb</x:v>
      </x:c>
    </x:row>
    <x:row r="311" ht="42" customHeight="1">
      <x:c r="A311" s="2" t="str">
        <x:f>IF('신청 원장'!B1474="","",'신청 원장'!B1474)</x:f>
        <x:v>사업 평가</x:v>
      </x:c>
      <x:c r="B311" s="7" t="str">
        <x:f>IF('신청 원장'!D1474="","",'신청 원장'!D1474)</x:f>
        <x:v>BioLite의 발전된 쿡스토브 프로그램 - 한국에서 지원하는 CPA 027</x:v>
      </x:c>
      <x:c r="C311" s="2" t="str">
        <x:f>IF('신청 원장'!F1474="","",'신청 원장'!F1474)</x:f>
        <x:v>2020-09</x:v>
      </x:c>
      <x:c r="D311" s="2" t="str">
        <x:f>IF('신청 원장'!J1474="","",'신청 원장'!J1474)</x:f>
        <x:v>보류</x:v>
      </x:c>
      <x:c r="E311" s="2" t="str">
        <x:f>IF('신청 원장'!L1474="","",'신청 원장'!L1474)</x:f>
        <x:v>KRIC</x:v>
      </x:c>
      <x:c r="F311" s="2" t="str">
        <x:f>IF('신청 원장'!M1474="","",'신청 원장'!M1474)</x:f>
      </x:c>
      <x:c r="G311" s="2" t="str">
        <x:f>IF('신청 원장'!N1474="","",'신청 원장'!N1474)</x:f>
      </x:c>
      <x:c r="H311" s="2" t="str">
        <x:f>IF('신청 원장'!AA1474="","",'신청 원장'!AA1474)</x:f>
        <x:v>신청일 확인</x:v>
      </x:c>
      <x:c r="I311" s="2" t="str">
        <x:f>IF('신청 원장'!O1474="","",'신청 원장'!O1474)</x:f>
      </x:c>
      <x:c r="J311" s="2" t="str">
        <x:f>IF('신청 원장'!W1474="","",'신청 원장'!W1474)</x:f>
      </x:c>
      <x:c r="K311" s="2" t="str">
        <x:f>IF('신청 원장'!X1474="","",'신청 원장'!X1474)</x:f>
        <x:v>검토 진행 일정 확인</x:v>
      </x:c>
      <x:c r="L311" s="2" t="str">
        <x:f>IF('신청 원장'!R1474="","",'신청 원장'!R1474)</x:f>
        <x:v>국외평가</x:v>
      </x:c>
      <x:c r="M311" s="2" t="n">
        <x:f>IF('신청 원장'!S1474="","",'신청 원장'!S1474)</x:f>
        <x:v>98</x:v>
      </x:c>
      <x:c r="N311" s="2" t="str">
        <x:f>IF('신청 원장'!K1474&lt;&gt;"미종결 표시","종결 상태 확인",IF('신청 원장'!N1474="","일자 확인 필요",IF('신청 원장'!N1474&gt;365,"366일 이상",IF('신청 원장'!N1474&gt;90,"91~365일",IF('신청 원장'!N1474&gt;30,"31~90일","0~30일")))))</x:f>
        <x:v>일자 확인 필요</x:v>
      </x:c>
      <x:c r="O311" s="2" t="str">
        <x:f>IF(OR('신청 원장'!L1474="",'신청 원장'!L1474="선택"),"담당 원문 확인","기재")</x:f>
        <x:v>기재</x:v>
      </x:c>
      <x:c r="P311" s="2" t="str">
        <x:f>IF('신청 원장'!A1474="","",'신청 원장'!A1474)</x:f>
        <x:v>62b543ed0430e9a0fb98f6a2</x:v>
      </x:c>
    </x:row>
    <x:row r="312" ht="42" customHeight="1">
      <x:c r="A312" s="2" t="str">
        <x:f>IF('신청 원장'!B1475="","",'신청 원장'!B1475)</x:f>
        <x:v>사업 평가</x:v>
      </x:c>
      <x:c r="B312" s="7" t="str">
        <x:f>IF('신청 원장'!D1475="","",'신청 원장'!D1475)</x:f>
        <x:v>BioLite의 발전된 쿡스토브 프로그램 - 한국에서 지원하는 CPA 029</x:v>
      </x:c>
      <x:c r="C312" s="2" t="str">
        <x:f>IF('신청 원장'!F1475="","",'신청 원장'!F1475)</x:f>
        <x:v>2020-09</x:v>
      </x:c>
      <x:c r="D312" s="2" t="str">
        <x:f>IF('신청 원장'!J1475="","",'신청 원장'!J1475)</x:f>
        <x:v>보류</x:v>
      </x:c>
      <x:c r="E312" s="2" t="str">
        <x:f>IF('신청 원장'!L1475="","",'신청 원장'!L1475)</x:f>
        <x:v>KRIC</x:v>
      </x:c>
      <x:c r="F312" s="2" t="str">
        <x:f>IF('신청 원장'!M1475="","",'신청 원장'!M1475)</x:f>
      </x:c>
      <x:c r="G312" s="2" t="str">
        <x:f>IF('신청 원장'!N1475="","",'신청 원장'!N1475)</x:f>
      </x:c>
      <x:c r="H312" s="2" t="str">
        <x:f>IF('신청 원장'!AA1475="","",'신청 원장'!AA1475)</x:f>
        <x:v>신청일 확인</x:v>
      </x:c>
      <x:c r="I312" s="2" t="str">
        <x:f>IF('신청 원장'!O1475="","",'신청 원장'!O1475)</x:f>
      </x:c>
      <x:c r="J312" s="2" t="str">
        <x:f>IF('신청 원장'!W1475="","",'신청 원장'!W1475)</x:f>
      </x:c>
      <x:c r="K312" s="2" t="str">
        <x:f>IF('신청 원장'!X1475="","",'신청 원장'!X1475)</x:f>
        <x:v>검토 진행 일정 확인</x:v>
      </x:c>
      <x:c r="L312" s="2" t="str">
        <x:f>IF('신청 원장'!R1475="","",'신청 원장'!R1475)</x:f>
        <x:v>국외평가</x:v>
      </x:c>
      <x:c r="M312" s="2" t="n">
        <x:f>IF('신청 원장'!S1475="","",'신청 원장'!S1475)</x:f>
        <x:v>99</x:v>
      </x:c>
      <x:c r="N312" s="2" t="str">
        <x:f>IF('신청 원장'!K1475&lt;&gt;"미종결 표시","종결 상태 확인",IF('신청 원장'!N1475="","일자 확인 필요",IF('신청 원장'!N1475&gt;365,"366일 이상",IF('신청 원장'!N1475&gt;90,"91~365일",IF('신청 원장'!N1475&gt;30,"31~90일","0~30일")))))</x:f>
        <x:v>일자 확인 필요</x:v>
      </x:c>
      <x:c r="O312" s="2" t="str">
        <x:f>IF(OR('신청 원장'!L1475="",'신청 원장'!L1475="선택"),"담당 원문 확인","기재")</x:f>
        <x:v>기재</x:v>
      </x:c>
      <x:c r="P312" s="2" t="str">
        <x:f>IF('신청 원장'!A1475="","",'신청 원장'!A1475)</x:f>
        <x:v>da1cc3b38e0c3d37f6886037</x:v>
      </x:c>
    </x:row>
    <x:row r="313" ht="42" customHeight="1">
      <x:c r="A313" s="2" t="str">
        <x:f>IF('신청 원장'!B1476="","",'신청 원장'!B1476)</x:f>
        <x:v>사업 평가</x:v>
      </x:c>
      <x:c r="B313" s="7" t="str">
        <x:f>IF('신청 원장'!D1476="","",'신청 원장'!D1476)</x:f>
        <x:v>BioLite의 발전된 쿡스토브 프로그램 - 한국에서 지원하는 CPA 030</x:v>
      </x:c>
      <x:c r="C313" s="2" t="str">
        <x:f>IF('신청 원장'!F1476="","",'신청 원장'!F1476)</x:f>
        <x:v>2020-09</x:v>
      </x:c>
      <x:c r="D313" s="2" t="str">
        <x:f>IF('신청 원장'!J1476="","",'신청 원장'!J1476)</x:f>
        <x:v>보류</x:v>
      </x:c>
      <x:c r="E313" s="2" t="str">
        <x:f>IF('신청 원장'!L1476="","",'신청 원장'!L1476)</x:f>
        <x:v>KRIC</x:v>
      </x:c>
      <x:c r="F313" s="2" t="str">
        <x:f>IF('신청 원장'!M1476="","",'신청 원장'!M1476)</x:f>
      </x:c>
      <x:c r="G313" s="2" t="str">
        <x:f>IF('신청 원장'!N1476="","",'신청 원장'!N1476)</x:f>
      </x:c>
      <x:c r="H313" s="2" t="str">
        <x:f>IF('신청 원장'!AA1476="","",'신청 원장'!AA1476)</x:f>
        <x:v>신청일 확인</x:v>
      </x:c>
      <x:c r="I313" s="2" t="str">
        <x:f>IF('신청 원장'!O1476="","",'신청 원장'!O1476)</x:f>
      </x:c>
      <x:c r="J313" s="2" t="str">
        <x:f>IF('신청 원장'!W1476="","",'신청 원장'!W1476)</x:f>
      </x:c>
      <x:c r="K313" s="2" t="str">
        <x:f>IF('신청 원장'!X1476="","",'신청 원장'!X1476)</x:f>
        <x:v>검토 진행 일정 확인</x:v>
      </x:c>
      <x:c r="L313" s="2" t="str">
        <x:f>IF('신청 원장'!R1476="","",'신청 원장'!R1476)</x:f>
        <x:v>국외평가</x:v>
      </x:c>
      <x:c r="M313" s="2" t="n">
        <x:f>IF('신청 원장'!S1476="","",'신청 원장'!S1476)</x:f>
        <x:v>100</x:v>
      </x:c>
      <x:c r="N313" s="2" t="str">
        <x:f>IF('신청 원장'!K1476&lt;&gt;"미종결 표시","종결 상태 확인",IF('신청 원장'!N1476="","일자 확인 필요",IF('신청 원장'!N1476&gt;365,"366일 이상",IF('신청 원장'!N1476&gt;90,"91~365일",IF('신청 원장'!N1476&gt;30,"31~90일","0~30일")))))</x:f>
        <x:v>일자 확인 필요</x:v>
      </x:c>
      <x:c r="O313" s="2" t="str">
        <x:f>IF(OR('신청 원장'!L1476="",'신청 원장'!L1476="선택"),"담당 원문 확인","기재")</x:f>
        <x:v>기재</x:v>
      </x:c>
      <x:c r="P313" s="2" t="str">
        <x:f>IF('신청 원장'!A1476="","",'신청 원장'!A1476)</x:f>
        <x:v>08ce35e7e28f396cf757717e</x:v>
      </x:c>
    </x:row>
    <x:row r="314" ht="42" customHeight="1">
      <x:c r="A314" s="2" t="str">
        <x:f>IF('신청 원장'!B1480="","",'신청 원장'!B1480)</x:f>
        <x:v>사업 평가</x:v>
      </x:c>
      <x:c r="B314" s="7" t="str">
        <x:f>IF('신청 원장'!D1480="","",'신청 원장'!D1480)</x:f>
        <x:v>BioLite의 발전된 쿡스토브 프로그램 - 한국에서 지원하는 CPA 031</x:v>
      </x:c>
      <x:c r="C314" s="2" t="str">
        <x:f>IF('신청 원장'!F1480="","",'신청 원장'!F1480)</x:f>
        <x:v>2020-09</x:v>
      </x:c>
      <x:c r="D314" s="2" t="str">
        <x:f>IF('신청 원장'!J1480="","",'신청 원장'!J1480)</x:f>
        <x:v>보류</x:v>
      </x:c>
      <x:c r="E314" s="2" t="str">
        <x:f>IF('신청 원장'!L1480="","",'신청 원장'!L1480)</x:f>
        <x:v>KRIC</x:v>
      </x:c>
      <x:c r="F314" s="2" t="str">
        <x:f>IF('신청 원장'!M1480="","",'신청 원장'!M1480)</x:f>
      </x:c>
      <x:c r="G314" s="2" t="str">
        <x:f>IF('신청 원장'!N1480="","",'신청 원장'!N1480)</x:f>
      </x:c>
      <x:c r="H314" s="2" t="str">
        <x:f>IF('신청 원장'!AA1480="","",'신청 원장'!AA1480)</x:f>
        <x:v>신청일 확인</x:v>
      </x:c>
      <x:c r="I314" s="2" t="str">
        <x:f>IF('신청 원장'!O1480="","",'신청 원장'!O1480)</x:f>
      </x:c>
      <x:c r="J314" s="2" t="str">
        <x:f>IF('신청 원장'!W1480="","",'신청 원장'!W1480)</x:f>
      </x:c>
      <x:c r="K314" s="2" t="str">
        <x:f>IF('신청 원장'!X1480="","",'신청 원장'!X1480)</x:f>
        <x:v>검토 진행 일정 확인</x:v>
      </x:c>
      <x:c r="L314" s="2" t="str">
        <x:f>IF('신청 원장'!R1480="","",'신청 원장'!R1480)</x:f>
        <x:v>국외평가</x:v>
      </x:c>
      <x:c r="M314" s="2" t="n">
        <x:f>IF('신청 원장'!S1480="","",'신청 원장'!S1480)</x:f>
        <x:v>104</x:v>
      </x:c>
      <x:c r="N314" s="2" t="str">
        <x:f>IF('신청 원장'!K1480&lt;&gt;"미종결 표시","종결 상태 확인",IF('신청 원장'!N1480="","일자 확인 필요",IF('신청 원장'!N1480&gt;365,"366일 이상",IF('신청 원장'!N1480&gt;90,"91~365일",IF('신청 원장'!N1480&gt;30,"31~90일","0~30일")))))</x:f>
        <x:v>일자 확인 필요</x:v>
      </x:c>
      <x:c r="O314" s="2" t="str">
        <x:f>IF(OR('신청 원장'!L1480="",'신청 원장'!L1480="선택"),"담당 원문 확인","기재")</x:f>
        <x:v>기재</x:v>
      </x:c>
      <x:c r="P314" s="2" t="str">
        <x:f>IF('신청 원장'!A1480="","",'신청 원장'!A1480)</x:f>
        <x:v>5a8549f59d653b268eec725c</x:v>
      </x:c>
    </x:row>
    <x:row r="315" ht="42" customHeight="1">
      <x:c r="A315" s="2" t="str">
        <x:f>IF('신청 원장'!B1494="","",'신청 원장'!B1494)</x:f>
        <x:v>사업 평가</x:v>
      </x:c>
      <x:c r="B315" s="7" t="str">
        <x:f>IF('신청 원장'!D1494="","",'신청 원장'!D1494)</x:f>
        <x:v>BioLite의 발전된 쿡스토브 프로그램 - 한국에서 지원하는 CPA 032</x:v>
      </x:c>
      <x:c r="C315" s="2" t="str">
        <x:f>IF('신청 원장'!F1494="","",'신청 원장'!F1494)</x:f>
        <x:v>2020-09</x:v>
      </x:c>
      <x:c r="D315" s="2" t="str">
        <x:f>IF('신청 원장'!J1494="","",'신청 원장'!J1494)</x:f>
        <x:v>보류</x:v>
      </x:c>
      <x:c r="E315" s="2" t="str">
        <x:f>IF('신청 원장'!L1494="","",'신청 원장'!L1494)</x:f>
        <x:v>KRIC</x:v>
      </x:c>
      <x:c r="F315" s="2" t="str">
        <x:f>IF('신청 원장'!M1494="","",'신청 원장'!M1494)</x:f>
      </x:c>
      <x:c r="G315" s="2" t="str">
        <x:f>IF('신청 원장'!N1494="","",'신청 원장'!N1494)</x:f>
      </x:c>
      <x:c r="H315" s="2" t="str">
        <x:f>IF('신청 원장'!AA1494="","",'신청 원장'!AA1494)</x:f>
        <x:v>신청일 확인</x:v>
      </x:c>
      <x:c r="I315" s="2" t="str">
        <x:f>IF('신청 원장'!O1494="","",'신청 원장'!O1494)</x:f>
      </x:c>
      <x:c r="J315" s="2" t="str">
        <x:f>IF('신청 원장'!W1494="","",'신청 원장'!W1494)</x:f>
      </x:c>
      <x:c r="K315" s="2" t="str">
        <x:f>IF('신청 원장'!X1494="","",'신청 원장'!X1494)</x:f>
        <x:v>검토 진행 일정 확인</x:v>
      </x:c>
      <x:c r="L315" s="2" t="str">
        <x:f>IF('신청 원장'!R1494="","",'신청 원장'!R1494)</x:f>
        <x:v>국외평가</x:v>
      </x:c>
      <x:c r="M315" s="2" t="n">
        <x:f>IF('신청 원장'!S1494="","",'신청 원장'!S1494)</x:f>
        <x:v>118</x:v>
      </x:c>
      <x:c r="N315" s="2" t="str">
        <x:f>IF('신청 원장'!K1494&lt;&gt;"미종결 표시","종결 상태 확인",IF('신청 원장'!N1494="","일자 확인 필요",IF('신청 원장'!N1494&gt;365,"366일 이상",IF('신청 원장'!N1494&gt;90,"91~365일",IF('신청 원장'!N1494&gt;30,"31~90일","0~30일")))))</x:f>
        <x:v>일자 확인 필요</x:v>
      </x:c>
      <x:c r="O315" s="2" t="str">
        <x:f>IF(OR('신청 원장'!L1494="",'신청 원장'!L1494="선택"),"담당 원문 확인","기재")</x:f>
        <x:v>기재</x:v>
      </x:c>
      <x:c r="P315" s="2" t="str">
        <x:f>IF('신청 원장'!A1494="","",'신청 원장'!A1494)</x:f>
        <x:v>e9639b7b61747a408a17dba9</x:v>
      </x:c>
    </x:row>
    <x:row r="316" ht="42" customHeight="1">
      <x:c r="A316" s="2" t="str">
        <x:f>IF('신청 원장'!B1495="","",'신청 원장'!B1495)</x:f>
        <x:v>사업 평가</x:v>
      </x:c>
      <x:c r="B316" s="7" t="str">
        <x:f>IF('신청 원장'!D1495="","",'신청 원장'!D1495)</x:f>
        <x:v>BioLite의 발전된 쿡스토브 프로그램 - 한국에서 지원하는 CPA 033</x:v>
      </x:c>
      <x:c r="C316" s="2" t="str">
        <x:f>IF('신청 원장'!F1495="","",'신청 원장'!F1495)</x:f>
        <x:v>2020-09</x:v>
      </x:c>
      <x:c r="D316" s="2" t="str">
        <x:f>IF('신청 원장'!J1495="","",'신청 원장'!J1495)</x:f>
        <x:v>보류</x:v>
      </x:c>
      <x:c r="E316" s="2" t="str">
        <x:f>IF('신청 원장'!L1495="","",'신청 원장'!L1495)</x:f>
        <x:v>KRIC</x:v>
      </x:c>
      <x:c r="F316" s="2" t="str">
        <x:f>IF('신청 원장'!M1495="","",'신청 원장'!M1495)</x:f>
      </x:c>
      <x:c r="G316" s="2" t="str">
        <x:f>IF('신청 원장'!N1495="","",'신청 원장'!N1495)</x:f>
      </x:c>
      <x:c r="H316" s="2" t="str">
        <x:f>IF('신청 원장'!AA1495="","",'신청 원장'!AA1495)</x:f>
        <x:v>신청일 확인</x:v>
      </x:c>
      <x:c r="I316" s="2" t="str">
        <x:f>IF('신청 원장'!O1495="","",'신청 원장'!O1495)</x:f>
      </x:c>
      <x:c r="J316" s="2" t="str">
        <x:f>IF('신청 원장'!W1495="","",'신청 원장'!W1495)</x:f>
      </x:c>
      <x:c r="K316" s="2" t="str">
        <x:f>IF('신청 원장'!X1495="","",'신청 원장'!X1495)</x:f>
        <x:v>검토 진행 일정 확인</x:v>
      </x:c>
      <x:c r="L316" s="2" t="str">
        <x:f>IF('신청 원장'!R1495="","",'신청 원장'!R1495)</x:f>
        <x:v>국외평가</x:v>
      </x:c>
      <x:c r="M316" s="2" t="n">
        <x:f>IF('신청 원장'!S1495="","",'신청 원장'!S1495)</x:f>
        <x:v>119</x:v>
      </x:c>
      <x:c r="N316" s="2" t="str">
        <x:f>IF('신청 원장'!K1495&lt;&gt;"미종결 표시","종결 상태 확인",IF('신청 원장'!N1495="","일자 확인 필요",IF('신청 원장'!N1495&gt;365,"366일 이상",IF('신청 원장'!N1495&gt;90,"91~365일",IF('신청 원장'!N1495&gt;30,"31~90일","0~30일")))))</x:f>
        <x:v>일자 확인 필요</x:v>
      </x:c>
      <x:c r="O316" s="2" t="str">
        <x:f>IF(OR('신청 원장'!L1495="",'신청 원장'!L1495="선택"),"담당 원문 확인","기재")</x:f>
        <x:v>기재</x:v>
      </x:c>
      <x:c r="P316" s="2" t="str">
        <x:f>IF('신청 원장'!A1495="","",'신청 원장'!A1495)</x:f>
        <x:v>f41577735735f36c43874a49</x:v>
      </x:c>
    </x:row>
    <x:row r="317" ht="42" customHeight="1">
      <x:c r="A317" s="2" t="str">
        <x:f>IF('신청 원장'!B1496="","",'신청 원장'!B1496)</x:f>
        <x:v>사업 평가</x:v>
      </x:c>
      <x:c r="B317" s="7" t="str">
        <x:f>IF('신청 원장'!D1496="","",'신청 원장'!D1496)</x:f>
        <x:v>BioLite의 발전된 쿡스토브 프로그램 - 한국에서 지원하는 CPA 034</x:v>
      </x:c>
      <x:c r="C317" s="2" t="str">
        <x:f>IF('신청 원장'!F1496="","",'신청 원장'!F1496)</x:f>
        <x:v>2020-09</x:v>
      </x:c>
      <x:c r="D317" s="2" t="str">
        <x:f>IF('신청 원장'!J1496="","",'신청 원장'!J1496)</x:f>
        <x:v>보류</x:v>
      </x:c>
      <x:c r="E317" s="2" t="str">
        <x:f>IF('신청 원장'!L1496="","",'신청 원장'!L1496)</x:f>
        <x:v>KRIC</x:v>
      </x:c>
      <x:c r="F317" s="2" t="str">
        <x:f>IF('신청 원장'!M1496="","",'신청 원장'!M1496)</x:f>
      </x:c>
      <x:c r="G317" s="2" t="str">
        <x:f>IF('신청 원장'!N1496="","",'신청 원장'!N1496)</x:f>
      </x:c>
      <x:c r="H317" s="2" t="str">
        <x:f>IF('신청 원장'!AA1496="","",'신청 원장'!AA1496)</x:f>
        <x:v>신청일 확인</x:v>
      </x:c>
      <x:c r="I317" s="2" t="str">
        <x:f>IF('신청 원장'!O1496="","",'신청 원장'!O1496)</x:f>
      </x:c>
      <x:c r="J317" s="2" t="str">
        <x:f>IF('신청 원장'!W1496="","",'신청 원장'!W1496)</x:f>
      </x:c>
      <x:c r="K317" s="2" t="str">
        <x:f>IF('신청 원장'!X1496="","",'신청 원장'!X1496)</x:f>
        <x:v>검토 진행 일정 확인</x:v>
      </x:c>
      <x:c r="L317" s="2" t="str">
        <x:f>IF('신청 원장'!R1496="","",'신청 원장'!R1496)</x:f>
        <x:v>국외평가</x:v>
      </x:c>
      <x:c r="M317" s="2" t="n">
        <x:f>IF('신청 원장'!S1496="","",'신청 원장'!S1496)</x:f>
        <x:v>120</x:v>
      </x:c>
      <x:c r="N317" s="2" t="str">
        <x:f>IF('신청 원장'!K1496&lt;&gt;"미종결 표시","종결 상태 확인",IF('신청 원장'!N1496="","일자 확인 필요",IF('신청 원장'!N1496&gt;365,"366일 이상",IF('신청 원장'!N1496&gt;90,"91~365일",IF('신청 원장'!N1496&gt;30,"31~90일","0~30일")))))</x:f>
        <x:v>일자 확인 필요</x:v>
      </x:c>
      <x:c r="O317" s="2" t="str">
        <x:f>IF(OR('신청 원장'!L1496="",'신청 원장'!L1496="선택"),"담당 원문 확인","기재")</x:f>
        <x:v>기재</x:v>
      </x:c>
      <x:c r="P317" s="2" t="str">
        <x:f>IF('신청 원장'!A1496="","",'신청 원장'!A1496)</x:f>
        <x:v>cdaddb2d3d2c3a5e6ea249e2</x:v>
      </x:c>
    </x:row>
    <x:row r="318" ht="42" customHeight="1">
      <x:c r="A318" s="2" t="str">
        <x:f>IF('신청 원장'!B1503="","",'신청 원장'!B1503)</x:f>
        <x:v>사업 평가</x:v>
      </x:c>
      <x:c r="B318" s="7" t="str">
        <x:f>IF('신청 원장'!D1503="","",'신청 원장'!D1503)</x:f>
        <x:v>BioLite의 발전된 쿡스토브 프로그램 - 한국에서 지원하는 CPA 020</x:v>
      </x:c>
      <x:c r="C318" s="2" t="str">
        <x:f>IF('신청 원장'!F1503="","",'신청 원장'!F1503)</x:f>
        <x:v>2020-09</x:v>
      </x:c>
      <x:c r="D318" s="2" t="str">
        <x:f>IF('신청 원장'!J1503="","",'신청 원장'!J1503)</x:f>
        <x:v>보류</x:v>
      </x:c>
      <x:c r="E318" s="2" t="str">
        <x:f>IF('신청 원장'!L1503="","",'신청 원장'!L1503)</x:f>
        <x:v>KECM&gt;KRIC</x:v>
      </x:c>
      <x:c r="F318" s="2" t="n">
        <x:f>IF('신청 원장'!M1503="","",'신청 원장'!M1503)</x:f>
        <x:v>1</x:v>
      </x:c>
      <x:c r="G318" s="2" t="str">
        <x:f>IF('신청 원장'!N1503="","",'신청 원장'!N1503)</x:f>
      </x:c>
      <x:c r="H318" s="2" t="str">
        <x:f>IF('신청 원장'!AA1503="","",'신청 원장'!AA1503)</x:f>
        <x:v>신청일 확인</x:v>
      </x:c>
      <x:c r="I318" s="2" t="str">
        <x:f>IF('신청 원장'!O1503="","",'신청 원장'!O1503)</x:f>
      </x:c>
      <x:c r="J318" s="2" t="str">
        <x:f>IF('신청 원장'!W1503="","",'신청 원장'!W1503)</x:f>
      </x:c>
      <x:c r="K318" s="2" t="str">
        <x:f>IF('신청 원장'!X1503="","",'신청 원장'!X1503)</x:f>
        <x:v>검토 진행 일정 확인</x:v>
      </x:c>
      <x:c r="L318" s="2" t="str">
        <x:f>IF('신청 원장'!R1503="","",'신청 원장'!R1503)</x:f>
        <x:v>국외평가</x:v>
      </x:c>
      <x:c r="M318" s="2" t="n">
        <x:f>IF('신청 원장'!S1503="","",'신청 원장'!S1503)</x:f>
        <x:v>127</x:v>
      </x:c>
      <x:c r="N318" s="2" t="str">
        <x:f>IF('신청 원장'!K1503&lt;&gt;"미종결 표시","종결 상태 확인",IF('신청 원장'!N1503="","일자 확인 필요",IF('신청 원장'!N1503&gt;365,"366일 이상",IF('신청 원장'!N1503&gt;90,"91~365일",IF('신청 원장'!N1503&gt;30,"31~90일","0~30일")))))</x:f>
        <x:v>일자 확인 필요</x:v>
      </x:c>
      <x:c r="O318" s="2" t="str">
        <x:f>IF(OR('신청 원장'!L1503="",'신청 원장'!L1503="선택"),"담당 원문 확인","기재")</x:f>
        <x:v>기재</x:v>
      </x:c>
      <x:c r="P318" s="2" t="str">
        <x:f>IF('신청 원장'!A1503="","",'신청 원장'!A1503)</x:f>
        <x:v>621c88025bf1e4e002b10ee2</x:v>
      </x:c>
    </x:row>
    <x:row r="319" ht="42" customHeight="1">
      <x:c r="A319" s="2" t="str">
        <x:f>IF('신청 원장'!B1504="","",'신청 원장'!B1504)</x:f>
        <x:v>사업 평가</x:v>
      </x:c>
      <x:c r="B319" s="7" t="str">
        <x:f>IF('신청 원장'!D1504="","",'신청 원장'!D1504)</x:f>
        <x:v>BioLite의 발전된 쿡스토브 프로그램 - 한국에서 지원하는 CPA 021</x:v>
      </x:c>
      <x:c r="C319" s="2" t="str">
        <x:f>IF('신청 원장'!F1504="","",'신청 원장'!F1504)</x:f>
        <x:v>2020-09</x:v>
      </x:c>
      <x:c r="D319" s="2" t="str">
        <x:f>IF('신청 원장'!J1504="","",'신청 원장'!J1504)</x:f>
        <x:v>보류</x:v>
      </x:c>
      <x:c r="E319" s="2" t="str">
        <x:f>IF('신청 원장'!L1504="","",'신청 원장'!L1504)</x:f>
        <x:v>KECM&gt;KRIC</x:v>
      </x:c>
      <x:c r="F319" s="2" t="n">
        <x:f>IF('신청 원장'!M1504="","",'신청 원장'!M1504)</x:f>
        <x:v>1</x:v>
      </x:c>
      <x:c r="G319" s="2" t="str">
        <x:f>IF('신청 원장'!N1504="","",'신청 원장'!N1504)</x:f>
      </x:c>
      <x:c r="H319" s="2" t="str">
        <x:f>IF('신청 원장'!AA1504="","",'신청 원장'!AA1504)</x:f>
        <x:v>신청일 확인</x:v>
      </x:c>
      <x:c r="I319" s="2" t="str">
        <x:f>IF('신청 원장'!O1504="","",'신청 원장'!O1504)</x:f>
      </x:c>
      <x:c r="J319" s="2" t="str">
        <x:f>IF('신청 원장'!W1504="","",'신청 원장'!W1504)</x:f>
      </x:c>
      <x:c r="K319" s="2" t="str">
        <x:f>IF('신청 원장'!X1504="","",'신청 원장'!X1504)</x:f>
        <x:v>검토 진행 일정 확인</x:v>
      </x:c>
      <x:c r="L319" s="2" t="str">
        <x:f>IF('신청 원장'!R1504="","",'신청 원장'!R1504)</x:f>
        <x:v>국외평가</x:v>
      </x:c>
      <x:c r="M319" s="2" t="n">
        <x:f>IF('신청 원장'!S1504="","",'신청 원장'!S1504)</x:f>
        <x:v>128</x:v>
      </x:c>
      <x:c r="N319" s="2" t="str">
        <x:f>IF('신청 원장'!K1504&lt;&gt;"미종결 표시","종결 상태 확인",IF('신청 원장'!N1504="","일자 확인 필요",IF('신청 원장'!N1504&gt;365,"366일 이상",IF('신청 원장'!N1504&gt;90,"91~365일",IF('신청 원장'!N1504&gt;30,"31~90일","0~30일")))))</x:f>
        <x:v>일자 확인 필요</x:v>
      </x:c>
      <x:c r="O319" s="2" t="str">
        <x:f>IF(OR('신청 원장'!L1504="",'신청 원장'!L1504="선택"),"담당 원문 확인","기재")</x:f>
        <x:v>기재</x:v>
      </x:c>
      <x:c r="P319" s="2" t="str">
        <x:f>IF('신청 원장'!A1504="","",'신청 원장'!A1504)</x:f>
        <x:v>e303f95c65af08fd8e7a2e7c</x:v>
      </x:c>
    </x:row>
    <x:row r="320" ht="42" customHeight="1">
      <x:c r="A320" s="2" t="str">
        <x:f>IF('신청 원장'!B1505="","",'신청 원장'!B1505)</x:f>
        <x:v>사업 평가</x:v>
      </x:c>
      <x:c r="B320" s="7" t="str">
        <x:f>IF('신청 원장'!D1505="","",'신청 원장'!D1505)</x:f>
        <x:v>BioLite의 발전된 쿡스토브 프로그램 - 한국에서 지원하는 CPA 022</x:v>
      </x:c>
      <x:c r="C320" s="2" t="str">
        <x:f>IF('신청 원장'!F1505="","",'신청 원장'!F1505)</x:f>
        <x:v>2020-09</x:v>
      </x:c>
      <x:c r="D320" s="2" t="str">
        <x:f>IF('신청 원장'!J1505="","",'신청 원장'!J1505)</x:f>
        <x:v>보류</x:v>
      </x:c>
      <x:c r="E320" s="2" t="str">
        <x:f>IF('신청 원장'!L1505="","",'신청 원장'!L1505)</x:f>
        <x:v>KECM&gt;KRIC</x:v>
      </x:c>
      <x:c r="F320" s="2" t="n">
        <x:f>IF('신청 원장'!M1505="","",'신청 원장'!M1505)</x:f>
        <x:v>1</x:v>
      </x:c>
      <x:c r="G320" s="2" t="str">
        <x:f>IF('신청 원장'!N1505="","",'신청 원장'!N1505)</x:f>
      </x:c>
      <x:c r="H320" s="2" t="str">
        <x:f>IF('신청 원장'!AA1505="","",'신청 원장'!AA1505)</x:f>
        <x:v>신청일 확인</x:v>
      </x:c>
      <x:c r="I320" s="2" t="str">
        <x:f>IF('신청 원장'!O1505="","",'신청 원장'!O1505)</x:f>
      </x:c>
      <x:c r="J320" s="2" t="str">
        <x:f>IF('신청 원장'!W1505="","",'신청 원장'!W1505)</x:f>
      </x:c>
      <x:c r="K320" s="2" t="str">
        <x:f>IF('신청 원장'!X1505="","",'신청 원장'!X1505)</x:f>
        <x:v>검토 진행 일정 확인</x:v>
      </x:c>
      <x:c r="L320" s="2" t="str">
        <x:f>IF('신청 원장'!R1505="","",'신청 원장'!R1505)</x:f>
        <x:v>국외평가</x:v>
      </x:c>
      <x:c r="M320" s="2" t="n">
        <x:f>IF('신청 원장'!S1505="","",'신청 원장'!S1505)</x:f>
        <x:v>129</x:v>
      </x:c>
      <x:c r="N320" s="2" t="str">
        <x:f>IF('신청 원장'!K1505&lt;&gt;"미종결 표시","종결 상태 확인",IF('신청 원장'!N1505="","일자 확인 필요",IF('신청 원장'!N1505&gt;365,"366일 이상",IF('신청 원장'!N1505&gt;90,"91~365일",IF('신청 원장'!N1505&gt;30,"31~90일","0~30일")))))</x:f>
        <x:v>일자 확인 필요</x:v>
      </x:c>
      <x:c r="O320" s="2" t="str">
        <x:f>IF(OR('신청 원장'!L1505="",'신청 원장'!L1505="선택"),"담당 원문 확인","기재")</x:f>
        <x:v>기재</x:v>
      </x:c>
      <x:c r="P320" s="2" t="str">
        <x:f>IF('신청 원장'!A1505="","",'신청 원장'!A1505)</x:f>
        <x:v>fd36fcfbe675b52f068610f2</x:v>
      </x:c>
    </x:row>
    <x:row r="321" ht="42" customHeight="1">
      <x:c r="A321" s="2" t="str">
        <x:f>IF('신청 원장'!B1506="","",'신청 원장'!B1506)</x:f>
        <x:v>사업 평가</x:v>
      </x:c>
      <x:c r="B321" s="7" t="str">
        <x:f>IF('신청 원장'!D1506="","",'신청 원장'!D1506)</x:f>
        <x:v>BioLite의 발전된 쿡스토브 프로그램 - 한국에서 지원하는 CPA 035</x:v>
      </x:c>
      <x:c r="C321" s="2" t="str">
        <x:f>IF('신청 원장'!F1506="","",'신청 원장'!F1506)</x:f>
        <x:v>2020-09</x:v>
      </x:c>
      <x:c r="D321" s="2" t="str">
        <x:f>IF('신청 원장'!J1506="","",'신청 원장'!J1506)</x:f>
        <x:v>보류</x:v>
      </x:c>
      <x:c r="E321" s="2" t="str">
        <x:f>IF('신청 원장'!L1506="","",'신청 원장'!L1506)</x:f>
        <x:v>KRIC</x:v>
      </x:c>
      <x:c r="F321" s="2" t="str">
        <x:f>IF('신청 원장'!M1506="","",'신청 원장'!M1506)</x:f>
      </x:c>
      <x:c r="G321" s="2" t="str">
        <x:f>IF('신청 원장'!N1506="","",'신청 원장'!N1506)</x:f>
      </x:c>
      <x:c r="H321" s="2" t="str">
        <x:f>IF('신청 원장'!AA1506="","",'신청 원장'!AA1506)</x:f>
        <x:v>신청일 확인</x:v>
      </x:c>
      <x:c r="I321" s="2" t="str">
        <x:f>IF('신청 원장'!O1506="","",'신청 원장'!O1506)</x:f>
      </x:c>
      <x:c r="J321" s="2" t="str">
        <x:f>IF('신청 원장'!W1506="","",'신청 원장'!W1506)</x:f>
      </x:c>
      <x:c r="K321" s="2" t="str">
        <x:f>IF('신청 원장'!X1506="","",'신청 원장'!X1506)</x:f>
        <x:v>검토 진행 일정 확인</x:v>
      </x:c>
      <x:c r="L321" s="2" t="str">
        <x:f>IF('신청 원장'!R1506="","",'신청 원장'!R1506)</x:f>
        <x:v>국외평가</x:v>
      </x:c>
      <x:c r="M321" s="2" t="n">
        <x:f>IF('신청 원장'!S1506="","",'신청 원장'!S1506)</x:f>
        <x:v>130</x:v>
      </x:c>
      <x:c r="N321" s="2" t="str">
        <x:f>IF('신청 원장'!K1506&lt;&gt;"미종결 표시","종결 상태 확인",IF('신청 원장'!N1506="","일자 확인 필요",IF('신청 원장'!N1506&gt;365,"366일 이상",IF('신청 원장'!N1506&gt;90,"91~365일",IF('신청 원장'!N1506&gt;30,"31~90일","0~30일")))))</x:f>
        <x:v>일자 확인 필요</x:v>
      </x:c>
      <x:c r="O321" s="2" t="str">
        <x:f>IF(OR('신청 원장'!L1506="",'신청 원장'!L1506="선택"),"담당 원문 확인","기재")</x:f>
        <x:v>기재</x:v>
      </x:c>
      <x:c r="P321" s="2" t="str">
        <x:f>IF('신청 원장'!A1506="","",'신청 원장'!A1506)</x:f>
        <x:v>edeca0d271bbdedfc3a9c25d</x:v>
      </x:c>
    </x:row>
    <x:row r="322" ht="42" customHeight="1">
      <x:c r="A322" s="2" t="str">
        <x:f>IF('신청 원장'!B1507="","",'신청 원장'!B1507)</x:f>
        <x:v>사업 평가</x:v>
      </x:c>
      <x:c r="B322" s="7" t="str">
        <x:f>IF('신청 원장'!D1507="","",'신청 원장'!D1507)</x:f>
        <x:v>BioLite의 발전된 쿡스토브 프로그램 - 한국에서 지원하는 CPA 036</x:v>
      </x:c>
      <x:c r="C322" s="2" t="str">
        <x:f>IF('신청 원장'!F1507="","",'신청 원장'!F1507)</x:f>
        <x:v>2020-09</x:v>
      </x:c>
      <x:c r="D322" s="2" t="str">
        <x:f>IF('신청 원장'!J1507="","",'신청 원장'!J1507)</x:f>
        <x:v>보류</x:v>
      </x:c>
      <x:c r="E322" s="2" t="str">
        <x:f>IF('신청 원장'!L1507="","",'신청 원장'!L1507)</x:f>
        <x:v>KRIC</x:v>
      </x:c>
      <x:c r="F322" s="2" t="str">
        <x:f>IF('신청 원장'!M1507="","",'신청 원장'!M1507)</x:f>
      </x:c>
      <x:c r="G322" s="2" t="str">
        <x:f>IF('신청 원장'!N1507="","",'신청 원장'!N1507)</x:f>
      </x:c>
      <x:c r="H322" s="2" t="str">
        <x:f>IF('신청 원장'!AA1507="","",'신청 원장'!AA1507)</x:f>
        <x:v>신청일 확인</x:v>
      </x:c>
      <x:c r="I322" s="2" t="str">
        <x:f>IF('신청 원장'!O1507="","",'신청 원장'!O1507)</x:f>
      </x:c>
      <x:c r="J322" s="2" t="str">
        <x:f>IF('신청 원장'!W1507="","",'신청 원장'!W1507)</x:f>
      </x:c>
      <x:c r="K322" s="2" t="str">
        <x:f>IF('신청 원장'!X1507="","",'신청 원장'!X1507)</x:f>
        <x:v>검토 진행 일정 확인</x:v>
      </x:c>
      <x:c r="L322" s="2" t="str">
        <x:f>IF('신청 원장'!R1507="","",'신청 원장'!R1507)</x:f>
        <x:v>국외평가</x:v>
      </x:c>
      <x:c r="M322" s="2" t="n">
        <x:f>IF('신청 원장'!S1507="","",'신청 원장'!S1507)</x:f>
        <x:v>131</x:v>
      </x:c>
      <x:c r="N322" s="2" t="str">
        <x:f>IF('신청 원장'!K1507&lt;&gt;"미종결 표시","종결 상태 확인",IF('신청 원장'!N1507="","일자 확인 필요",IF('신청 원장'!N1507&gt;365,"366일 이상",IF('신청 원장'!N1507&gt;90,"91~365일",IF('신청 원장'!N1507&gt;30,"31~90일","0~30일")))))</x:f>
        <x:v>일자 확인 필요</x:v>
      </x:c>
      <x:c r="O322" s="2" t="str">
        <x:f>IF(OR('신청 원장'!L1507="",'신청 원장'!L1507="선택"),"담당 원문 확인","기재")</x:f>
        <x:v>기재</x:v>
      </x:c>
      <x:c r="P322" s="2" t="str">
        <x:f>IF('신청 원장'!A1507="","",'신청 원장'!A1507)</x:f>
        <x:v>c16cefdb7ce1e36fecede939</x:v>
      </x:c>
    </x:row>
    <x:row r="323" ht="42" customHeight="1">
      <x:c r="A323" s="2" t="str">
        <x:f>IF('신청 원장'!B1508="","",'신청 원장'!B1508)</x:f>
        <x:v>사업 평가</x:v>
      </x:c>
      <x:c r="B323" s="7" t="str">
        <x:f>IF('신청 원장'!D1508="","",'신청 원장'!D1508)</x:f>
        <x:v>BioLite의 발전된 쿡스토브 프로그램 - 한국에서 지원하는 CPA 037</x:v>
      </x:c>
      <x:c r="C323" s="2" t="str">
        <x:f>IF('신청 원장'!F1508="","",'신청 원장'!F1508)</x:f>
        <x:v>2020-09</x:v>
      </x:c>
      <x:c r="D323" s="2" t="str">
        <x:f>IF('신청 원장'!J1508="","",'신청 원장'!J1508)</x:f>
        <x:v>보류</x:v>
      </x:c>
      <x:c r="E323" s="2" t="str">
        <x:f>IF('신청 원장'!L1508="","",'신청 원장'!L1508)</x:f>
        <x:v>KRIC</x:v>
      </x:c>
      <x:c r="F323" s="2" t="str">
        <x:f>IF('신청 원장'!M1508="","",'신청 원장'!M1508)</x:f>
      </x:c>
      <x:c r="G323" s="2" t="str">
        <x:f>IF('신청 원장'!N1508="","",'신청 원장'!N1508)</x:f>
      </x:c>
      <x:c r="H323" s="2" t="str">
        <x:f>IF('신청 원장'!AA1508="","",'신청 원장'!AA1508)</x:f>
        <x:v>신청일 확인</x:v>
      </x:c>
      <x:c r="I323" s="2" t="str">
        <x:f>IF('신청 원장'!O1508="","",'신청 원장'!O1508)</x:f>
      </x:c>
      <x:c r="J323" s="2" t="str">
        <x:f>IF('신청 원장'!W1508="","",'신청 원장'!W1508)</x:f>
      </x:c>
      <x:c r="K323" s="2" t="str">
        <x:f>IF('신청 원장'!X1508="","",'신청 원장'!X1508)</x:f>
        <x:v>검토 진행 일정 확인</x:v>
      </x:c>
      <x:c r="L323" s="2" t="str">
        <x:f>IF('신청 원장'!R1508="","",'신청 원장'!R1508)</x:f>
        <x:v>국외평가</x:v>
      </x:c>
      <x:c r="M323" s="2" t="n">
        <x:f>IF('신청 원장'!S1508="","",'신청 원장'!S1508)</x:f>
        <x:v>132</x:v>
      </x:c>
      <x:c r="N323" s="2" t="str">
        <x:f>IF('신청 원장'!K1508&lt;&gt;"미종결 표시","종결 상태 확인",IF('신청 원장'!N1508="","일자 확인 필요",IF('신청 원장'!N1508&gt;365,"366일 이상",IF('신청 원장'!N1508&gt;90,"91~365일",IF('신청 원장'!N1508&gt;30,"31~90일","0~30일")))))</x:f>
        <x:v>일자 확인 필요</x:v>
      </x:c>
      <x:c r="O323" s="2" t="str">
        <x:f>IF(OR('신청 원장'!L1508="",'신청 원장'!L1508="선택"),"담당 원문 확인","기재")</x:f>
        <x:v>기재</x:v>
      </x:c>
      <x:c r="P323" s="2" t="str">
        <x:f>IF('신청 원장'!A1508="","",'신청 원장'!A1508)</x:f>
        <x:v>f75a82087b87db74e5456e41</x:v>
      </x:c>
    </x:row>
    <x:row r="324" ht="42" customHeight="1">
      <x:c r="A324" s="2" t="str">
        <x:f>IF('신청 원장'!B1509="","",'신청 원장'!B1509)</x:f>
        <x:v>사업 평가</x:v>
      </x:c>
      <x:c r="B324" s="7" t="str">
        <x:f>IF('신청 원장'!D1509="","",'신청 원장'!D1509)</x:f>
        <x:v>BioLite의 발전된 쿡스토브 프로그램 - 한국에서 지원하는 CPA 038</x:v>
      </x:c>
      <x:c r="C324" s="2" t="str">
        <x:f>IF('신청 원장'!F1509="","",'신청 원장'!F1509)</x:f>
        <x:v>2020-09</x:v>
      </x:c>
      <x:c r="D324" s="2" t="str">
        <x:f>IF('신청 원장'!J1509="","",'신청 원장'!J1509)</x:f>
        <x:v>보류</x:v>
      </x:c>
      <x:c r="E324" s="2" t="str">
        <x:f>IF('신청 원장'!L1509="","",'신청 원장'!L1509)</x:f>
        <x:v>KRIC</x:v>
      </x:c>
      <x:c r="F324" s="2" t="str">
        <x:f>IF('신청 원장'!M1509="","",'신청 원장'!M1509)</x:f>
      </x:c>
      <x:c r="G324" s="2" t="str">
        <x:f>IF('신청 원장'!N1509="","",'신청 원장'!N1509)</x:f>
      </x:c>
      <x:c r="H324" s="2" t="str">
        <x:f>IF('신청 원장'!AA1509="","",'신청 원장'!AA1509)</x:f>
        <x:v>신청일 확인</x:v>
      </x:c>
      <x:c r="I324" s="2" t="str">
        <x:f>IF('신청 원장'!O1509="","",'신청 원장'!O1509)</x:f>
      </x:c>
      <x:c r="J324" s="2" t="str">
        <x:f>IF('신청 원장'!W1509="","",'신청 원장'!W1509)</x:f>
      </x:c>
      <x:c r="K324" s="2" t="str">
        <x:f>IF('신청 원장'!X1509="","",'신청 원장'!X1509)</x:f>
        <x:v>검토 진행 일정 확인</x:v>
      </x:c>
      <x:c r="L324" s="2" t="str">
        <x:f>IF('신청 원장'!R1509="","",'신청 원장'!R1509)</x:f>
        <x:v>국외평가</x:v>
      </x:c>
      <x:c r="M324" s="2" t="n">
        <x:f>IF('신청 원장'!S1509="","",'신청 원장'!S1509)</x:f>
        <x:v>133</x:v>
      </x:c>
      <x:c r="N324" s="2" t="str">
        <x:f>IF('신청 원장'!K1509&lt;&gt;"미종결 표시","종결 상태 확인",IF('신청 원장'!N1509="","일자 확인 필요",IF('신청 원장'!N1509&gt;365,"366일 이상",IF('신청 원장'!N1509&gt;90,"91~365일",IF('신청 원장'!N1509&gt;30,"31~90일","0~30일")))))</x:f>
        <x:v>일자 확인 필요</x:v>
      </x:c>
      <x:c r="O324" s="2" t="str">
        <x:f>IF(OR('신청 원장'!L1509="",'신청 원장'!L1509="선택"),"담당 원문 확인","기재")</x:f>
        <x:v>기재</x:v>
      </x:c>
      <x:c r="P324" s="2" t="str">
        <x:f>IF('신청 원장'!A1509="","",'신청 원장'!A1509)</x:f>
        <x:v>b5596f64cd8ce2cbfcad9572</x:v>
      </x:c>
    </x:row>
    <x:row r="325" ht="42" customHeight="1">
      <x:c r="A325" s="2" t="str">
        <x:f>IF('신청 원장'!B1510="","",'신청 원장'!B1510)</x:f>
        <x:v>사업 평가</x:v>
      </x:c>
      <x:c r="B325" s="7" t="str">
        <x:f>IF('신청 원장'!D1510="","",'신청 원장'!D1510)</x:f>
        <x:v>BioLite의 발전된 쿡스토브 프로그램 - 한국에서 지원하는 CPA 039</x:v>
      </x:c>
      <x:c r="C325" s="2" t="str">
        <x:f>IF('신청 원장'!F1510="","",'신청 원장'!F1510)</x:f>
        <x:v>2020-09</x:v>
      </x:c>
      <x:c r="D325" s="2" t="str">
        <x:f>IF('신청 원장'!J1510="","",'신청 원장'!J1510)</x:f>
        <x:v>보류</x:v>
      </x:c>
      <x:c r="E325" s="2" t="str">
        <x:f>IF('신청 원장'!L1510="","",'신청 원장'!L1510)</x:f>
        <x:v>KRIC</x:v>
      </x:c>
      <x:c r="F325" s="2" t="str">
        <x:f>IF('신청 원장'!M1510="","",'신청 원장'!M1510)</x:f>
      </x:c>
      <x:c r="G325" s="2" t="str">
        <x:f>IF('신청 원장'!N1510="","",'신청 원장'!N1510)</x:f>
      </x:c>
      <x:c r="H325" s="2" t="str">
        <x:f>IF('신청 원장'!AA1510="","",'신청 원장'!AA1510)</x:f>
        <x:v>신청일 확인</x:v>
      </x:c>
      <x:c r="I325" s="2" t="str">
        <x:f>IF('신청 원장'!O1510="","",'신청 원장'!O1510)</x:f>
      </x:c>
      <x:c r="J325" s="2" t="str">
        <x:f>IF('신청 원장'!W1510="","",'신청 원장'!W1510)</x:f>
      </x:c>
      <x:c r="K325" s="2" t="str">
        <x:f>IF('신청 원장'!X1510="","",'신청 원장'!X1510)</x:f>
        <x:v>검토 진행 일정 확인</x:v>
      </x:c>
      <x:c r="L325" s="2" t="str">
        <x:f>IF('신청 원장'!R1510="","",'신청 원장'!R1510)</x:f>
        <x:v>국외평가</x:v>
      </x:c>
      <x:c r="M325" s="2" t="n">
        <x:f>IF('신청 원장'!S1510="","",'신청 원장'!S1510)</x:f>
        <x:v>134</x:v>
      </x:c>
      <x:c r="N325" s="2" t="str">
        <x:f>IF('신청 원장'!K1510&lt;&gt;"미종결 표시","종결 상태 확인",IF('신청 원장'!N1510="","일자 확인 필요",IF('신청 원장'!N1510&gt;365,"366일 이상",IF('신청 원장'!N1510&gt;90,"91~365일",IF('신청 원장'!N1510&gt;30,"31~90일","0~30일")))))</x:f>
        <x:v>일자 확인 필요</x:v>
      </x:c>
      <x:c r="O325" s="2" t="str">
        <x:f>IF(OR('신청 원장'!L1510="",'신청 원장'!L1510="선택"),"담당 원문 확인","기재")</x:f>
        <x:v>기재</x:v>
      </x:c>
      <x:c r="P325" s="2" t="str">
        <x:f>IF('신청 원장'!A1510="","",'신청 원장'!A1510)</x:f>
        <x:v>183209a7980b35dc81c6afbb</x:v>
      </x:c>
    </x:row>
    <x:row r="326" ht="42" customHeight="1">
      <x:c r="A326" s="2" t="str">
        <x:f>IF('신청 원장'!B1512="","",'신청 원장'!B1512)</x:f>
        <x:v>사업 평가</x:v>
      </x:c>
      <x:c r="B326" s="7" t="str">
        <x:f>IF('신청 원장'!D1512="","",'신청 원장'!D1512)</x:f>
        <x:v>BioLite의 발전된 쿡스토브 프로그램 - 한국에서 지원하는 CPA 040</x:v>
      </x:c>
      <x:c r="C326" s="2" t="str">
        <x:f>IF('신청 원장'!F1512="","",'신청 원장'!F1512)</x:f>
        <x:v>2020-09</x:v>
      </x:c>
      <x:c r="D326" s="2" t="str">
        <x:f>IF('신청 원장'!J1512="","",'신청 원장'!J1512)</x:f>
        <x:v>보류</x:v>
      </x:c>
      <x:c r="E326" s="2" t="str">
        <x:f>IF('신청 원장'!L1512="","",'신청 원장'!L1512)</x:f>
        <x:v>KRIC</x:v>
      </x:c>
      <x:c r="F326" s="2" t="str">
        <x:f>IF('신청 원장'!M1512="","",'신청 원장'!M1512)</x:f>
      </x:c>
      <x:c r="G326" s="2" t="str">
        <x:f>IF('신청 원장'!N1512="","",'신청 원장'!N1512)</x:f>
      </x:c>
      <x:c r="H326" s="2" t="str">
        <x:f>IF('신청 원장'!AA1512="","",'신청 원장'!AA1512)</x:f>
        <x:v>신청일 확인</x:v>
      </x:c>
      <x:c r="I326" s="2" t="str">
        <x:f>IF('신청 원장'!O1512="","",'신청 원장'!O1512)</x:f>
      </x:c>
      <x:c r="J326" s="2" t="str">
        <x:f>IF('신청 원장'!W1512="","",'신청 원장'!W1512)</x:f>
      </x:c>
      <x:c r="K326" s="2" t="str">
        <x:f>IF('신청 원장'!X1512="","",'신청 원장'!X1512)</x:f>
        <x:v>검토 진행 일정 확인</x:v>
      </x:c>
      <x:c r="L326" s="2" t="str">
        <x:f>IF('신청 원장'!R1512="","",'신청 원장'!R1512)</x:f>
        <x:v>국외평가</x:v>
      </x:c>
      <x:c r="M326" s="2" t="n">
        <x:f>IF('신청 원장'!S1512="","",'신청 원장'!S1512)</x:f>
        <x:v>136</x:v>
      </x:c>
      <x:c r="N326" s="2" t="str">
        <x:f>IF('신청 원장'!K1512&lt;&gt;"미종결 표시","종결 상태 확인",IF('신청 원장'!N1512="","일자 확인 필요",IF('신청 원장'!N1512&gt;365,"366일 이상",IF('신청 원장'!N1512&gt;90,"91~365일",IF('신청 원장'!N1512&gt;30,"31~90일","0~30일")))))</x:f>
        <x:v>일자 확인 필요</x:v>
      </x:c>
      <x:c r="O326" s="2" t="str">
        <x:f>IF(OR('신청 원장'!L1512="",'신청 원장'!L1512="선택"),"담당 원문 확인","기재")</x:f>
        <x:v>기재</x:v>
      </x:c>
      <x:c r="P326" s="2" t="str">
        <x:f>IF('신청 원장'!A1512="","",'신청 원장'!A1512)</x:f>
        <x:v>c605a9a1775f3b827f4e55a2</x:v>
      </x:c>
    </x:row>
    <x:row r="327" ht="42" customHeight="1">
      <x:c r="A327" s="2" t="str">
        <x:f>IF('신청 원장'!B1548="","",'신청 원장'!B1548)</x:f>
        <x:v>사업 평가</x:v>
      </x:c>
      <x:c r="B327" s="7" t="str">
        <x:f>IF('신청 원장'!D1548="","",'신청 원장'!D1548)</x:f>
        <x:v>CPA 053 - 케나에 설치하는 석탄 스토브</x:v>
      </x:c>
      <x:c r="C327" s="2" t="str">
        <x:f>IF('신청 원장'!F1548="","",'신청 원장'!F1548)</x:f>
        <x:v>2021-01</x:v>
      </x:c>
      <x:c r="D327" s="2" t="str">
        <x:f>IF('신청 원장'!J1548="","",'신청 원장'!J1548)</x:f>
        <x:v>보류</x:v>
      </x:c>
      <x:c r="E327" s="2" t="str">
        <x:f>IF('신청 원장'!L1548="","",'신청 원장'!L1548)</x:f>
        <x:v>KECM&gt;KRIC</x:v>
      </x:c>
      <x:c r="F327" s="2" t="str">
        <x:f>IF('신청 원장'!M1548="","",'신청 원장'!M1548)</x:f>
      </x:c>
      <x:c r="G327" s="2" t="str">
        <x:f>IF('신청 원장'!N1548="","",'신청 원장'!N1548)</x:f>
      </x:c>
      <x:c r="H327" s="2" t="str">
        <x:f>IF('신청 원장'!AA1548="","",'신청 원장'!AA1548)</x:f>
        <x:v>신청일 확인</x:v>
      </x:c>
      <x:c r="I327" s="2" t="str">
        <x:f>IF('신청 원장'!O1548="","",'신청 원장'!O1548)</x:f>
      </x:c>
      <x:c r="J327" s="2" t="str">
        <x:f>IF('신청 원장'!W1548="","",'신청 원장'!W1548)</x:f>
      </x:c>
      <x:c r="K327" s="2" t="str">
        <x:f>IF('신청 원장'!X1548="","",'신청 원장'!X1548)</x:f>
        <x:v>검토 진행 일정 확인</x:v>
      </x:c>
      <x:c r="L327" s="2" t="str">
        <x:f>IF('신청 원장'!R1548="","",'신청 원장'!R1548)</x:f>
        <x:v>국외평가</x:v>
      </x:c>
      <x:c r="M327" s="2" t="n">
        <x:f>IF('신청 원장'!S1548="","",'신청 원장'!S1548)</x:f>
        <x:v>172</x:v>
      </x:c>
      <x:c r="N327" s="2" t="str">
        <x:f>IF('신청 원장'!K1548&lt;&gt;"미종결 표시","종결 상태 확인",IF('신청 원장'!N1548="","일자 확인 필요",IF('신청 원장'!N1548&gt;365,"366일 이상",IF('신청 원장'!N1548&gt;90,"91~365일",IF('신청 원장'!N1548&gt;30,"31~90일","0~30일")))))</x:f>
        <x:v>일자 확인 필요</x:v>
      </x:c>
      <x:c r="O327" s="2" t="str">
        <x:f>IF(OR('신청 원장'!L1548="",'신청 원장'!L1548="선택"),"담당 원문 확인","기재")</x:f>
        <x:v>기재</x:v>
      </x:c>
      <x:c r="P327" s="2" t="str">
        <x:f>IF('신청 원장'!A1548="","",'신청 원장'!A1548)</x:f>
        <x:v>fd00c03f8f05cb8836171325</x:v>
      </x:c>
    </x:row>
    <x:row r="328" ht="42" customHeight="1">
      <x:c r="A328" s="2" t="str">
        <x:f>IF('신청 원장'!B1549="","",'신청 원장'!B1549)</x:f>
        <x:v>사업 평가</x:v>
      </x:c>
      <x:c r="B328" s="7" t="str">
        <x:f>IF('신청 원장'!D1549="","",'신청 원장'!D1549)</x:f>
        <x:v>CPA 054 - 케나에 설치하는 석탄 스토브</x:v>
      </x:c>
      <x:c r="C328" s="2" t="str">
        <x:f>IF('신청 원장'!F1549="","",'신청 원장'!F1549)</x:f>
        <x:v>2021-01</x:v>
      </x:c>
      <x:c r="D328" s="2" t="str">
        <x:f>IF('신청 원장'!J1549="","",'신청 원장'!J1549)</x:f>
        <x:v>보류</x:v>
      </x:c>
      <x:c r="E328" s="2" t="str">
        <x:f>IF('신청 원장'!L1549="","",'신청 원장'!L1549)</x:f>
        <x:v>KECM&gt;KRIC</x:v>
      </x:c>
      <x:c r="F328" s="2" t="str">
        <x:f>IF('신청 원장'!M1549="","",'신청 원장'!M1549)</x:f>
      </x:c>
      <x:c r="G328" s="2" t="str">
        <x:f>IF('신청 원장'!N1549="","",'신청 원장'!N1549)</x:f>
      </x:c>
      <x:c r="H328" s="2" t="str">
        <x:f>IF('신청 원장'!AA1549="","",'신청 원장'!AA1549)</x:f>
        <x:v>신청일 확인</x:v>
      </x:c>
      <x:c r="I328" s="2" t="str">
        <x:f>IF('신청 원장'!O1549="","",'신청 원장'!O1549)</x:f>
      </x:c>
      <x:c r="J328" s="2" t="str">
        <x:f>IF('신청 원장'!W1549="","",'신청 원장'!W1549)</x:f>
      </x:c>
      <x:c r="K328" s="2" t="str">
        <x:f>IF('신청 원장'!X1549="","",'신청 원장'!X1549)</x:f>
        <x:v>검토 진행 일정 확인</x:v>
      </x:c>
      <x:c r="L328" s="2" t="str">
        <x:f>IF('신청 원장'!R1549="","",'신청 원장'!R1549)</x:f>
        <x:v>국외평가</x:v>
      </x:c>
      <x:c r="M328" s="2" t="n">
        <x:f>IF('신청 원장'!S1549="","",'신청 원장'!S1549)</x:f>
        <x:v>173</x:v>
      </x:c>
      <x:c r="N328" s="2" t="str">
        <x:f>IF('신청 원장'!K1549&lt;&gt;"미종결 표시","종결 상태 확인",IF('신청 원장'!N1549="","일자 확인 필요",IF('신청 원장'!N1549&gt;365,"366일 이상",IF('신청 원장'!N1549&gt;90,"91~365일",IF('신청 원장'!N1549&gt;30,"31~90일","0~30일")))))</x:f>
        <x:v>일자 확인 필요</x:v>
      </x:c>
      <x:c r="O328" s="2" t="str">
        <x:f>IF(OR('신청 원장'!L1549="",'신청 원장'!L1549="선택"),"담당 원문 확인","기재")</x:f>
        <x:v>기재</x:v>
      </x:c>
      <x:c r="P328" s="2" t="str">
        <x:f>IF('신청 원장'!A1549="","",'신청 원장'!A1549)</x:f>
        <x:v>462f550051c347c3a60eb3c5</x:v>
      </x:c>
    </x:row>
    <x:row r="329" ht="42" customHeight="1">
      <x:c r="A329" s="2" t="str">
        <x:f>IF('신청 원장'!B1550="","",'신청 원장'!B1550)</x:f>
        <x:v>사업 평가</x:v>
      </x:c>
      <x:c r="B329" s="7" t="str">
        <x:f>IF('신청 원장'!D1550="","",'신청 원장'!D1550)</x:f>
        <x:v>CPA 055 - 케나에 설치하는 석탄 스토브</x:v>
      </x:c>
      <x:c r="C329" s="2" t="str">
        <x:f>IF('신청 원장'!F1550="","",'신청 원장'!F1550)</x:f>
        <x:v>2021-01</x:v>
      </x:c>
      <x:c r="D329" s="2" t="str">
        <x:f>IF('신청 원장'!J1550="","",'신청 원장'!J1550)</x:f>
        <x:v>보류</x:v>
      </x:c>
      <x:c r="E329" s="2" t="str">
        <x:f>IF('신청 원장'!L1550="","",'신청 원장'!L1550)</x:f>
        <x:v>KECM&gt;KRIC</x:v>
      </x:c>
      <x:c r="F329" s="2" t="str">
        <x:f>IF('신청 원장'!M1550="","",'신청 원장'!M1550)</x:f>
      </x:c>
      <x:c r="G329" s="2" t="str">
        <x:f>IF('신청 원장'!N1550="","",'신청 원장'!N1550)</x:f>
      </x:c>
      <x:c r="H329" s="2" t="str">
        <x:f>IF('신청 원장'!AA1550="","",'신청 원장'!AA1550)</x:f>
        <x:v>신청일 확인</x:v>
      </x:c>
      <x:c r="I329" s="2" t="str">
        <x:f>IF('신청 원장'!O1550="","",'신청 원장'!O1550)</x:f>
      </x:c>
      <x:c r="J329" s="2" t="str">
        <x:f>IF('신청 원장'!W1550="","",'신청 원장'!W1550)</x:f>
      </x:c>
      <x:c r="K329" s="2" t="str">
        <x:f>IF('신청 원장'!X1550="","",'신청 원장'!X1550)</x:f>
        <x:v>검토 진행 일정 확인</x:v>
      </x:c>
      <x:c r="L329" s="2" t="str">
        <x:f>IF('신청 원장'!R1550="","",'신청 원장'!R1550)</x:f>
        <x:v>국외평가</x:v>
      </x:c>
      <x:c r="M329" s="2" t="n">
        <x:f>IF('신청 원장'!S1550="","",'신청 원장'!S1550)</x:f>
        <x:v>174</x:v>
      </x:c>
      <x:c r="N329" s="2" t="str">
        <x:f>IF('신청 원장'!K1550&lt;&gt;"미종결 표시","종결 상태 확인",IF('신청 원장'!N1550="","일자 확인 필요",IF('신청 원장'!N1550&gt;365,"366일 이상",IF('신청 원장'!N1550&gt;90,"91~365일",IF('신청 원장'!N1550&gt;30,"31~90일","0~30일")))))</x:f>
        <x:v>일자 확인 필요</x:v>
      </x:c>
      <x:c r="O329" s="2" t="str">
        <x:f>IF(OR('신청 원장'!L1550="",'신청 원장'!L1550="선택"),"담당 원문 확인","기재")</x:f>
        <x:v>기재</x:v>
      </x:c>
      <x:c r="P329" s="2" t="str">
        <x:f>IF('신청 원장'!A1550="","",'신청 원장'!A1550)</x:f>
        <x:v>8d7e561c0f5ea844b4f7338d</x:v>
      </x:c>
    </x:row>
    <x:row r="330" ht="42" customHeight="1">
      <x:c r="A330" s="2" t="str">
        <x:f>IF('신청 원장'!B1683="","",'신청 원장'!B1683)</x:f>
        <x:v>사업 평가</x:v>
      </x:c>
      <x:c r="B330" s="7" t="str">
        <x:f>IF('신청 원장'!D1683="","",'신청 원장'!D1683)</x:f>
        <x:v>MJ AGRI Vietnam의 바이오매스 열 생산</x:v>
      </x:c>
      <x:c r="C330" s="2" t="str">
        <x:f>IF('신청 원장'!F1683="","",'신청 원장'!F1683)</x:f>
        <x:v>2023-11</x:v>
      </x:c>
      <x:c r="D330" s="2" t="str">
        <x:f>IF('신청 원장'!J1683="","",'신청 원장'!J1683)</x:f>
        <x:v>보류</x:v>
      </x:c>
      <x:c r="E330" s="2" t="str">
        <x:f>IF('신청 원장'!L1683="","",'신청 원장'!L1683)</x:f>
        <x:v>KRIC</x:v>
      </x:c>
      <x:c r="F330" s="2" t="str">
        <x:f>IF('신청 원장'!M1683="","",'신청 원장'!M1683)</x:f>
      </x:c>
      <x:c r="G330" s="2" t="str">
        <x:f>IF('신청 원장'!N1683="","",'신청 원장'!N1683)</x:f>
      </x:c>
      <x:c r="H330" s="2" t="str">
        <x:f>IF('신청 원장'!AA1683="","",'신청 원장'!AA1683)</x:f>
        <x:v>신청일 확인</x:v>
      </x:c>
      <x:c r="I330" s="2" t="str">
        <x:f>IF('신청 원장'!O1683="","",'신청 원장'!O1683)</x:f>
      </x:c>
      <x:c r="J330" s="2" t="str">
        <x:f>IF('신청 원장'!W1683="","",'신청 원장'!W1683)</x:f>
      </x:c>
      <x:c r="K330" s="2" t="str">
        <x:f>IF('신청 원장'!X1683="","",'신청 원장'!X1683)</x:f>
        <x:v>검토 진행 일정 확인</x:v>
      </x:c>
      <x:c r="L330" s="2" t="str">
        <x:f>IF('신청 원장'!R1683="","",'신청 원장'!R1683)</x:f>
        <x:v>국외평가</x:v>
      </x:c>
      <x:c r="M330" s="2" t="n">
        <x:f>IF('신청 원장'!S1683="","",'신청 원장'!S1683)</x:f>
        <x:v>307</x:v>
      </x:c>
      <x:c r="N330" s="2" t="str">
        <x:f>IF('신청 원장'!K1683&lt;&gt;"미종결 표시","종결 상태 확인",IF('신청 원장'!N1683="","일자 확인 필요",IF('신청 원장'!N1683&gt;365,"366일 이상",IF('신청 원장'!N1683&gt;90,"91~365일",IF('신청 원장'!N1683&gt;30,"31~90일","0~30일")))))</x:f>
        <x:v>일자 확인 필요</x:v>
      </x:c>
      <x:c r="O330" s="2" t="str">
        <x:f>IF(OR('신청 원장'!L1683="",'신청 원장'!L1683="선택"),"담당 원문 확인","기재")</x:f>
        <x:v>기재</x:v>
      </x:c>
      <x:c r="P330" s="2" t="str">
        <x:f>IF('신청 원장'!A1683="","",'신청 원장'!A1683)</x:f>
        <x:v>872fb9391ca37402932e61be</x:v>
      </x:c>
    </x:row>
    <x:row r="331" ht="42" customHeight="1">
      <x:c r="A331" s="2" t="str">
        <x:f>IF('신청 원장'!B2118="","",'신청 원장'!B2118)</x:f>
        <x:v>감축량 인증</x:v>
      </x:c>
      <x:c r="B331" s="7" t="str">
        <x:f>IF('신청 원장'!D2118="","",'신청 원장'!D2118)</x:f>
        <x:v>(주)한국요업 소성로 미활용에너지 회수를 통한 온실가스 감축사업</x:v>
      </x:c>
      <x:c r="C331" s="2" t="str">
        <x:f>IF('신청 원장'!F2118="","",'신청 원장'!F2118)</x:f>
        <x:v>2019-11-18</x:v>
      </x:c>
      <x:c r="D331" s="2" t="str">
        <x:f>IF('신청 원장'!J2118="","",'신청 원장'!J2118)</x:f>
        <x:v>보완요청</x:v>
      </x:c>
      <x:c r="E331" s="2" t="str">
        <x:f>IF('신청 원장'!L2118="","",'신청 원장'!L2118)</x:f>
        <x:v>에코시안_조은지</x:v>
      </x:c>
      <x:c r="F331" s="2" t="str">
        <x:f>IF('신청 원장'!M2118="","",'신청 원장'!M2118)</x:f>
      </x:c>
      <x:c r="G331" s="2" t="n">
        <x:f>IF('신청 원장'!N2118="","",'신청 원장'!N2118)</x:f>
        <x:v>2523</x:v>
      </x:c>
      <x:c r="H331" s="2" t="str">
        <x:f>IF('신청 원장'!AA2118="","",'신청 원장'!AA2118)</x:f>
        <x:v>내부 관찰 대상</x:v>
      </x:c>
      <x:c r="I331" s="2" t="str">
        <x:f>IF('신청 원장'!O2118="","",'신청 원장'!O2118)</x:f>
      </x:c>
      <x:c r="J331" s="2" t="str">
        <x:f>IF('신청 원장'!W2118="","",'신청 원장'!W2118)</x:f>
      </x:c>
      <x:c r="K331" s="2" t="str">
        <x:f>IF('신청 원장'!X2118="","",'신청 원장'!X2118)</x:f>
        <x:v>보완 회신 일정 확인</x:v>
      </x:c>
      <x:c r="L331" s="2" t="str">
        <x:f>IF('신청 원장'!R2118="","",'신청 원장'!R2118)</x:f>
        <x:v>국내인증</x:v>
      </x:c>
      <x:c r="M331" s="2" t="n">
        <x:f>IF('신청 원장'!S2118="","",'신청 원장'!S2118)</x:f>
        <x:v>436</x:v>
      </x:c>
      <x:c r="N331" s="2" t="str">
        <x:f>IF('신청 원장'!K2118&lt;&gt;"미종결 표시","종결 상태 확인",IF('신청 원장'!N2118="","일자 확인 필요",IF('신청 원장'!N2118&gt;365,"366일 이상",IF('신청 원장'!N2118&gt;90,"91~365일",IF('신청 원장'!N2118&gt;30,"31~90일","0~30일")))))</x:f>
        <x:v>366일 이상</x:v>
      </x:c>
      <x:c r="O331" s="2" t="str">
        <x:f>IF(OR('신청 원장'!L2118="",'신청 원장'!L2118="선택"),"담당 원문 확인","기재")</x:f>
        <x:v>기재</x:v>
      </x:c>
      <x:c r="P331" s="2" t="str">
        <x:f>IF('신청 원장'!A2118="","",'신청 원장'!A2118)</x:f>
        <x:v>7f1d8c2971292794ffb534d8</x:v>
      </x:c>
    </x:row>
    <x:row r="332" ht="42" customHeight="1">
      <x:c r="A332" s="2" t="str">
        <x:f>IF('신청 원장'!B2121="","",'신청 원장'!B2121)</x:f>
        <x:v>감축량 인증</x:v>
      </x:c>
      <x:c r="B332" s="7" t="str">
        <x:f>IF('신청 원장'!D2121="","",'신청 원장'!D2121)</x:f>
        <x:v>동원유지 목재펠릿 연료 전환을 통한 온실가스 감축사업</x:v>
      </x:c>
      <x:c r="C332" s="2" t="str">
        <x:f>IF('신청 원장'!F2121="","",'신청 원장'!F2121)</x:f>
        <x:v>2019-11-14</x:v>
      </x:c>
      <x:c r="D332" s="2" t="str">
        <x:f>IF('신청 원장'!J2121="","",'신청 원장'!J2121)</x:f>
        <x:v>보완요청</x:v>
      </x:c>
      <x:c r="E332" s="2" t="str">
        <x:f>IF('신청 원장'!L2121="","",'신청 원장'!L2121)</x:f>
        <x:v>에코시안_조영우</x:v>
      </x:c>
      <x:c r="F332" s="2" t="str">
        <x:f>IF('신청 원장'!M2121="","",'신청 원장'!M2121)</x:f>
      </x:c>
      <x:c r="G332" s="2" t="n">
        <x:f>IF('신청 원장'!N2121="","",'신청 원장'!N2121)</x:f>
        <x:v>2527</x:v>
      </x:c>
      <x:c r="H332" s="2" t="str">
        <x:f>IF('신청 원장'!AA2121="","",'신청 원장'!AA2121)</x:f>
        <x:v>내부 관찰 대상</x:v>
      </x:c>
      <x:c r="I332" s="2" t="str">
        <x:f>IF('신청 원장'!O2121="","",'신청 원장'!O2121)</x:f>
      </x:c>
      <x:c r="J332" s="2" t="str">
        <x:f>IF('신청 원장'!W2121="","",'신청 원장'!W2121)</x:f>
      </x:c>
      <x:c r="K332" s="2" t="str">
        <x:f>IF('신청 원장'!X2121="","",'신청 원장'!X2121)</x:f>
        <x:v>보완 회신 일정 확인</x:v>
      </x:c>
      <x:c r="L332" s="2" t="str">
        <x:f>IF('신청 원장'!R2121="","",'신청 원장'!R2121)</x:f>
        <x:v>국내인증</x:v>
      </x:c>
      <x:c r="M332" s="2" t="n">
        <x:f>IF('신청 원장'!S2121="","",'신청 원장'!S2121)</x:f>
        <x:v>439</x:v>
      </x:c>
      <x:c r="N332" s="2" t="str">
        <x:f>IF('신청 원장'!K2121&lt;&gt;"미종결 표시","종결 상태 확인",IF('신청 원장'!N2121="","일자 확인 필요",IF('신청 원장'!N2121&gt;365,"366일 이상",IF('신청 원장'!N2121&gt;90,"91~365일",IF('신청 원장'!N2121&gt;30,"31~90일","0~30일")))))</x:f>
        <x:v>366일 이상</x:v>
      </x:c>
      <x:c r="O332" s="2" t="str">
        <x:f>IF(OR('신청 원장'!L2121="",'신청 원장'!L2121="선택"),"담당 원문 확인","기재")</x:f>
        <x:v>기재</x:v>
      </x:c>
      <x:c r="P332" s="2" t="str">
        <x:f>IF('신청 원장'!A2121="","",'신청 원장'!A2121)</x:f>
        <x:v>cca3dc9412ad3e7dffecb45f</x:v>
      </x:c>
    </x:row>
    <x:row r="333" ht="42" customHeight="1">
      <x:c r="A333" s="2" t="str">
        <x:f>IF('신청 원장'!B2132="","",'신청 원장'!B2132)</x:f>
        <x:v>감축량 인증</x:v>
      </x:c>
      <x:c r="B333" s="7" t="str">
        <x:f>IF('신청 원장'!D2132="","",'신청 원장'!D2132)</x:f>
        <x:v>주식회사 디티알 진주공장 인버터 공기압축기 고효율설비 교체 사업</x:v>
      </x:c>
      <x:c r="C333" s="2" t="str">
        <x:f>IF('신청 원장'!F2132="","",'신청 원장'!F2132)</x:f>
        <x:v>2021-06-25</x:v>
      </x:c>
      <x:c r="D333" s="2" t="str">
        <x:f>IF('신청 원장'!J2132="","",'신청 원장'!J2132)</x:f>
        <x:v>보완요청</x:v>
      </x:c>
      <x:c r="E333" s="2" t="str">
        <x:f>IF('신청 원장'!L2132="","",'신청 원장'!L2132)</x:f>
        <x:v>에코시안_김명은</x:v>
      </x:c>
      <x:c r="F333" s="2" t="str">
        <x:f>IF('신청 원장'!M2132="","",'신청 원장'!M2132)</x:f>
      </x:c>
      <x:c r="G333" s="2" t="n">
        <x:f>IF('신청 원장'!N2132="","",'신청 원장'!N2132)</x:f>
        <x:v>1938</x:v>
      </x:c>
      <x:c r="H333" s="2" t="str">
        <x:f>IF('신청 원장'!AA2132="","",'신청 원장'!AA2132)</x:f>
        <x:v>내부 관찰 대상</x:v>
      </x:c>
      <x:c r="I333" s="2" t="str">
        <x:f>IF('신청 원장'!O2132="","",'신청 원장'!O2132)</x:f>
      </x:c>
      <x:c r="J333" s="2" t="str">
        <x:f>IF('신청 원장'!W2132="","",'신청 원장'!W2132)</x:f>
      </x:c>
      <x:c r="K333" s="2" t="str">
        <x:f>IF('신청 원장'!X2132="","",'신청 원장'!X2132)</x:f>
        <x:v>보완 회신 일정 확인</x:v>
      </x:c>
      <x:c r="L333" s="2" t="str">
        <x:f>IF('신청 원장'!R2132="","",'신청 원장'!R2132)</x:f>
        <x:v>국내인증</x:v>
      </x:c>
      <x:c r="M333" s="2" t="n">
        <x:f>IF('신청 원장'!S2132="","",'신청 원장'!S2132)</x:f>
        <x:v>450</x:v>
      </x:c>
      <x:c r="N333" s="2" t="str">
        <x:f>IF('신청 원장'!K2132&lt;&gt;"미종결 표시","종결 상태 확인",IF('신청 원장'!N2132="","일자 확인 필요",IF('신청 원장'!N2132&gt;365,"366일 이상",IF('신청 원장'!N2132&gt;90,"91~365일",IF('신청 원장'!N2132&gt;30,"31~90일","0~30일")))))</x:f>
        <x:v>366일 이상</x:v>
      </x:c>
      <x:c r="O333" s="2" t="str">
        <x:f>IF(OR('신청 원장'!L2132="",'신청 원장'!L2132="선택"),"담당 원문 확인","기재")</x:f>
        <x:v>기재</x:v>
      </x:c>
      <x:c r="P333" s="2" t="str">
        <x:f>IF('신청 원장'!A2132="","",'신청 원장'!A2132)</x:f>
        <x:v>8eceb35fe40292cb239afc76</x:v>
      </x:c>
    </x:row>
    <x:row r="334" ht="42" customHeight="1">
      <x:c r="A334" s="2" t="str">
        <x:f>IF('신청 원장'!B2327="","",'신청 원장'!B2327)</x:f>
        <x:v>감축량 인증</x:v>
      </x:c>
      <x:c r="B334" s="7" t="str">
        <x:f>IF('신청 원장'!D2327="","",'신청 원장'!D2327)</x:f>
        <x:v>황산공정 미활용 폐열 회수 및 공급을 통한 화석연료 사용 절감 및 온실가스 배출 감축사업</x:v>
      </x:c>
      <x:c r="C334" s="2" t="str">
        <x:f>IF('신청 원장'!F2327="","",'신청 원장'!F2327)</x:f>
        <x:v>2023-11-06</x:v>
      </x:c>
      <x:c r="D334" s="2" t="str">
        <x:f>IF('신청 원장'!J2327="","",'신청 원장'!J2327)</x:f>
        <x:v>보완요청</x:v>
      </x:c>
      <x:c r="E334" s="2" t="str">
        <x:f>IF('신청 원장'!L2327="","",'신청 원장'!L2327)</x:f>
        <x:v>KECM_이태준</x:v>
      </x:c>
      <x:c r="F334" s="2" t="str">
        <x:f>IF('신청 원장'!M2327="","",'신청 원장'!M2327)</x:f>
      </x:c>
      <x:c r="G334" s="2" t="n">
        <x:f>IF('신청 원장'!N2327="","",'신청 원장'!N2327)</x:f>
        <x:v>1074</x:v>
      </x:c>
      <x:c r="H334" s="2" t="str">
        <x:f>IF('신청 원장'!AA2327="","",'신청 원장'!AA2327)</x:f>
        <x:v>내부 관찰 대상</x:v>
      </x:c>
      <x:c r="I334" s="2" t="str">
        <x:f>IF('신청 원장'!O2327="","",'신청 원장'!O2327)</x:f>
      </x:c>
      <x:c r="J334" s="2" t="str">
        <x:f>IF('신청 원장'!W2327="","",'신청 원장'!W2327)</x:f>
      </x:c>
      <x:c r="K334" s="2" t="str">
        <x:f>IF('신청 원장'!X2327="","",'신청 원장'!X2327)</x:f>
        <x:v>보완 회신 일정 확인</x:v>
      </x:c>
      <x:c r="L334" s="2" t="str">
        <x:f>IF('신청 원장'!R2327="","",'신청 원장'!R2327)</x:f>
        <x:v>국내인증</x:v>
      </x:c>
      <x:c r="M334" s="2" t="n">
        <x:f>IF('신청 원장'!S2327="","",'신청 원장'!S2327)</x:f>
        <x:v>645</x:v>
      </x:c>
      <x:c r="N334" s="2" t="str">
        <x:f>IF('신청 원장'!K2327&lt;&gt;"미종결 표시","종결 상태 확인",IF('신청 원장'!N2327="","일자 확인 필요",IF('신청 원장'!N2327&gt;365,"366일 이상",IF('신청 원장'!N2327&gt;90,"91~365일",IF('신청 원장'!N2327&gt;30,"31~90일","0~30일")))))</x:f>
        <x:v>366일 이상</x:v>
      </x:c>
      <x:c r="O334" s="2" t="str">
        <x:f>IF(OR('신청 원장'!L2327="",'신청 원장'!L2327="선택"),"담당 원문 확인","기재")</x:f>
        <x:v>기재</x:v>
      </x:c>
      <x:c r="P334" s="2" t="str">
        <x:f>IF('신청 원장'!A2327="","",'신청 원장'!A2327)</x:f>
        <x:v>7252b84469f2669c2416004b</x:v>
      </x:c>
    </x:row>
    <x:row r="335" ht="42" customHeight="1">
      <x:c r="A335" s="2" t="str">
        <x:f>IF('신청 원장'!B2346="","",'신청 원장'!B2346)</x:f>
        <x:v>감축량 인증</x:v>
      </x:c>
      <x:c r="B335" s="7" t="str">
        <x:f>IF('신청 원장'!D2346="","",'신청 원장'!D2346)</x:f>
        <x:v>원주시 보안등 LED교체 ESCO용역사업</x:v>
      </x:c>
      <x:c r="C335" s="2" t="str">
        <x:f>IF('신청 원장'!F2346="","",'신청 원장'!F2346)</x:f>
        <x:v>2024-10-30</x:v>
      </x:c>
      <x:c r="D335" s="2" t="str">
        <x:f>IF('신청 원장'!J2346="","",'신청 원장'!J2346)</x:f>
        <x:v>기후부협의</x:v>
      </x:c>
      <x:c r="E335" s="2" t="str">
        <x:f>IF('신청 원장'!L2346="","",'신청 원장'!L2346)</x:f>
        <x:v>리저브카본&gt;에코시안_남혜원</x:v>
      </x:c>
      <x:c r="F335" s="2" t="str">
        <x:f>IF('신청 원장'!M2346="","",'신청 원장'!M2346)</x:f>
      </x:c>
      <x:c r="G335" s="2" t="n">
        <x:f>IF('신청 원장'!N2346="","",'신청 원장'!N2346)</x:f>
        <x:v>715</x:v>
      </x:c>
      <x:c r="H335" s="2" t="str">
        <x:f>IF('신청 원장'!AA2346="","",'신청 원장'!AA2346)</x:f>
        <x:v>내부 관찰 대상</x:v>
      </x:c>
      <x:c r="I335" s="2" t="str">
        <x:f>IF('신청 원장'!O2346="","",'신청 원장'!O2346)</x:f>
      </x:c>
      <x:c r="J335" s="2" t="str">
        <x:f>IF('신청 원장'!W2346="","",'신청 원장'!W2346)</x:f>
      </x:c>
      <x:c r="K335" s="2" t="str">
        <x:f>IF('신청 원장'!X2346="","",'신청 원장'!X2346)</x:f>
        <x:v>검토 진행 일정 확인</x:v>
      </x:c>
      <x:c r="L335" s="2" t="str">
        <x:f>IF('신청 원장'!R2346="","",'신청 원장'!R2346)</x:f>
        <x:v>국내인증</x:v>
      </x:c>
      <x:c r="M335" s="2" t="n">
        <x:f>IF('신청 원장'!S2346="","",'신청 원장'!S2346)</x:f>
        <x:v>664</x:v>
      </x:c>
      <x:c r="N335" s="2" t="str">
        <x:f>IF('신청 원장'!K2346&lt;&gt;"미종결 표시","종결 상태 확인",IF('신청 원장'!N2346="","일자 확인 필요",IF('신청 원장'!N2346&gt;365,"366일 이상",IF('신청 원장'!N2346&gt;90,"91~365일",IF('신청 원장'!N2346&gt;30,"31~90일","0~30일")))))</x:f>
        <x:v>366일 이상</x:v>
      </x:c>
      <x:c r="O335" s="2" t="str">
        <x:f>IF(OR('신청 원장'!L2346="",'신청 원장'!L2346="선택"),"담당 원문 확인","기재")</x:f>
        <x:v>기재</x:v>
      </x:c>
      <x:c r="P335" s="2" t="str">
        <x:f>IF('신청 원장'!A2346="","",'신청 원장'!A2346)</x:f>
        <x:v>d56009c0964448171a50f512</x:v>
      </x:c>
    </x:row>
    <x:row r="336" ht="42" customHeight="1">
      <x:c r="A336" s="2" t="str">
        <x:f>IF('신청 원장'!B2388="","",'신청 원장'!B2388)</x:f>
        <x:v>감축량 인증</x:v>
      </x:c>
      <x:c r="B336" s="7" t="str">
        <x:f>IF('신청 원장'!D2388="","",'신청 원장'!D2388)</x:f>
        <x:v>휴켐스 질산공장 N2O 감축사업(휴켐스 주식회사의 질산 공장 세 곳에서 tail gas에 포함된 아산화질소를 촉매를 사용하여 제거하는 프로젝트)</x:v>
      </x:c>
      <x:c r="C336" s="2" t="str">
        <x:f>IF('신청 원장'!F2388="","",'신청 원장'!F2388)</x:f>
        <x:v>2025-12-01</x:v>
      </x:c>
      <x:c r="D336" s="2" t="str">
        <x:f>IF('신청 원장'!J2388="","",'신청 원장'!J2388)</x:f>
        <x:v>보완요청</x:v>
      </x:c>
      <x:c r="E336" s="2" t="str">
        <x:f>IF('신청 원장'!L2388="","",'신청 원장'!L2388)</x:f>
        <x:v>KECM</x:v>
      </x:c>
      <x:c r="F336" s="2" t="str">
        <x:f>IF('신청 원장'!M2388="","",'신청 원장'!M2388)</x:f>
      </x:c>
      <x:c r="G336" s="2" t="n">
        <x:f>IF('신청 원장'!N2388="","",'신청 원장'!N2388)</x:f>
        <x:v>318</x:v>
      </x:c>
      <x:c r="H336" s="2" t="str">
        <x:f>IF('신청 원장'!AA2388="","",'신청 원장'!AA2388)</x:f>
        <x:v>내부 관찰 대상</x:v>
      </x:c>
      <x:c r="I336" s="2" t="str">
        <x:f>IF('신청 원장'!O2388="","",'신청 원장'!O2388)</x:f>
      </x:c>
      <x:c r="J336" s="2" t="str">
        <x:f>IF('신청 원장'!W2388="","",'신청 원장'!W2388)</x:f>
      </x:c>
      <x:c r="K336" s="2" t="str">
        <x:f>IF('신청 원장'!X2388="","",'신청 원장'!X2388)</x:f>
        <x:v>보완 회신 일정 확인</x:v>
      </x:c>
      <x:c r="L336" s="2" t="str">
        <x:f>IF('신청 원장'!R2388="","",'신청 원장'!R2388)</x:f>
        <x:v>국내인증</x:v>
      </x:c>
      <x:c r="M336" s="2" t="n">
        <x:f>IF('신청 원장'!S2388="","",'신청 원장'!S2388)</x:f>
        <x:v>706</x:v>
      </x:c>
      <x:c r="N336" s="2" t="str">
        <x:f>IF('신청 원장'!K2388&lt;&gt;"미종결 표시","종결 상태 확인",IF('신청 원장'!N2388="","일자 확인 필요",IF('신청 원장'!N2388&gt;365,"366일 이상",IF('신청 원장'!N2388&gt;90,"91~365일",IF('신청 원장'!N2388&gt;30,"31~90일","0~30일")))))</x:f>
        <x:v>91~365일</x:v>
      </x:c>
      <x:c r="O336" s="2" t="str">
        <x:f>IF(OR('신청 원장'!L2388="",'신청 원장'!L2388="선택"),"담당 원문 확인","기재")</x:f>
        <x:v>기재</x:v>
      </x:c>
      <x:c r="P336" s="2" t="str">
        <x:f>IF('신청 원장'!A2388="","",'신청 원장'!A2388)</x:f>
        <x:v>28a8172ed3fdf253f2c71bab</x:v>
      </x:c>
    </x:row>
    <x:row r="337" ht="42" customHeight="1">
      <x:c r="A337" s="2" t="str">
        <x:f>IF('신청 원장'!B2389="","",'신청 원장'!B2389)</x:f>
        <x:v>감축량 인증</x:v>
      </x:c>
      <x:c r="B337" s="7" t="str">
        <x:f>IF('신청 원장'!D2389="","",'신청 원장'!D2389)</x:f>
        <x:v>휴켐스 질산공장 N2O 감축사업(휴켐스 주식회사의 질산 공장 세 곳에서 tail gas에 포함된 아산화질소를 촉매를 사용하여 제거하는 프로젝트)</x:v>
      </x:c>
      <x:c r="C337" s="2" t="str">
        <x:f>IF('신청 원장'!F2389="","",'신청 원장'!F2389)</x:f>
        <x:v>2025-12-29</x:v>
      </x:c>
      <x:c r="D337" s="2" t="str">
        <x:f>IF('신청 원장'!J2389="","",'신청 원장'!J2389)</x:f>
        <x:v>기후부협의</x:v>
      </x:c>
      <x:c r="E337" s="2" t="str">
        <x:f>IF('신청 원장'!L2389="","",'신청 원장'!L2389)</x:f>
        <x:v>KECM</x:v>
      </x:c>
      <x:c r="F337" s="2" t="str">
        <x:f>IF('신청 원장'!M2389="","",'신청 원장'!M2389)</x:f>
      </x:c>
      <x:c r="G337" s="2" t="n">
        <x:f>IF('신청 원장'!N2389="","",'신청 원장'!N2389)</x:f>
        <x:v>290</x:v>
      </x:c>
      <x:c r="H337" s="2" t="str">
        <x:f>IF('신청 원장'!AA2389="","",'신청 원장'!AA2389)</x:f>
        <x:v>내부 관찰 대상</x:v>
      </x:c>
      <x:c r="I337" s="2" t="str">
        <x:f>IF('신청 원장'!O2389="","",'신청 원장'!O2389)</x:f>
      </x:c>
      <x:c r="J337" s="2" t="str">
        <x:f>IF('신청 원장'!W2389="","",'신청 원장'!W2389)</x:f>
      </x:c>
      <x:c r="K337" s="2" t="str">
        <x:f>IF('신청 원장'!X2389="","",'신청 원장'!X2389)</x:f>
        <x:v>검토 진행 일정 확인</x:v>
      </x:c>
      <x:c r="L337" s="2" t="str">
        <x:f>IF('신청 원장'!R2389="","",'신청 원장'!R2389)</x:f>
        <x:v>국내인증</x:v>
      </x:c>
      <x:c r="M337" s="2" t="n">
        <x:f>IF('신청 원장'!S2389="","",'신청 원장'!S2389)</x:f>
        <x:v>707</x:v>
      </x:c>
      <x:c r="N337" s="2" t="str">
        <x:f>IF('신청 원장'!K2389&lt;&gt;"미종결 표시","종결 상태 확인",IF('신청 원장'!N2389="","일자 확인 필요",IF('신청 원장'!N2389&gt;365,"366일 이상",IF('신청 원장'!N2389&gt;90,"91~365일",IF('신청 원장'!N2389&gt;30,"31~90일","0~30일")))))</x:f>
        <x:v>91~365일</x:v>
      </x:c>
      <x:c r="O337" s="2" t="str">
        <x:f>IF(OR('신청 원장'!L2389="",'신청 원장'!L2389="선택"),"담당 원문 확인","기재")</x:f>
        <x:v>기재</x:v>
      </x:c>
      <x:c r="P337" s="2" t="str">
        <x:f>IF('신청 원장'!A2389="","",'신청 원장'!A2389)</x:f>
        <x:v>e2862f5c3ffe566d32f26acc</x:v>
      </x:c>
    </x:row>
    <x:row r="338" ht="42" customHeight="1">
      <x:c r="A338" s="2" t="str">
        <x:f>IF('신청 원장'!B2390="","",'신청 원장'!B2390)</x:f>
        <x:v>감축량 인증</x:v>
      </x:c>
      <x:c r="B338" s="7" t="str">
        <x:f>IF('신청 원장'!D2390="","",'신청 원장'!D2390)</x:f>
        <x:v>㈜중앙벽돌 소성로 연료교체(B-C유→LPG)를 통한 온실가스(CO2) 배출 감축사업</x:v>
      </x:c>
      <x:c r="C338" s="2" t="str">
        <x:f>IF('신청 원장'!F2390="","",'신청 원장'!F2390)</x:f>
        <x:v>2026-01-07</x:v>
      </x:c>
      <x:c r="D338" s="2" t="str">
        <x:f>IF('신청 원장'!J2390="","",'신청 원장'!J2390)</x:f>
        <x:v>보완요청</x:v>
      </x:c>
      <x:c r="E338" s="2" t="str">
        <x:f>IF('신청 원장'!L2390="","",'신청 원장'!L2390)</x:f>
        <x:v>KECM</x:v>
      </x:c>
      <x:c r="F338" s="2" t="str">
        <x:f>IF('신청 원장'!M2390="","",'신청 원장'!M2390)</x:f>
      </x:c>
      <x:c r="G338" s="2" t="n">
        <x:f>IF('신청 원장'!N2390="","",'신청 원장'!N2390)</x:f>
        <x:v>281</x:v>
      </x:c>
      <x:c r="H338" s="2" t="str">
        <x:f>IF('신청 원장'!AA2390="","",'신청 원장'!AA2390)</x:f>
        <x:v>내부 관찰 대상</x:v>
      </x:c>
      <x:c r="I338" s="2" t="str">
        <x:f>IF('신청 원장'!O2390="","",'신청 원장'!O2390)</x:f>
      </x:c>
      <x:c r="J338" s="2" t="str">
        <x:f>IF('신청 원장'!W2390="","",'신청 원장'!W2390)</x:f>
      </x:c>
      <x:c r="K338" s="2" t="str">
        <x:f>IF('신청 원장'!X2390="","",'신청 원장'!X2390)</x:f>
        <x:v>보완 회신 일정 확인</x:v>
      </x:c>
      <x:c r="L338" s="2" t="str">
        <x:f>IF('신청 원장'!R2390="","",'신청 원장'!R2390)</x:f>
        <x:v>국내인증</x:v>
      </x:c>
      <x:c r="M338" s="2" t="n">
        <x:f>IF('신청 원장'!S2390="","",'신청 원장'!S2390)</x:f>
        <x:v>708</x:v>
      </x:c>
      <x:c r="N338" s="2" t="str">
        <x:f>IF('신청 원장'!K2390&lt;&gt;"미종결 표시","종결 상태 확인",IF('신청 원장'!N2390="","일자 확인 필요",IF('신청 원장'!N2390&gt;365,"366일 이상",IF('신청 원장'!N2390&gt;90,"91~365일",IF('신청 원장'!N2390&gt;30,"31~90일","0~30일")))))</x:f>
        <x:v>91~365일</x:v>
      </x:c>
      <x:c r="O338" s="2" t="str">
        <x:f>IF(OR('신청 원장'!L2390="",'신청 원장'!L2390="선택"),"담당 원문 확인","기재")</x:f>
        <x:v>기재</x:v>
      </x:c>
      <x:c r="P338" s="2" t="str">
        <x:f>IF('신청 원장'!A2390="","",'신청 원장'!A2390)</x:f>
        <x:v>0e37a2234e171d819796eb10</x:v>
      </x:c>
    </x:row>
    <x:row r="339" ht="42" customHeight="1">
      <x:c r="A339" s="2" t="str">
        <x:f>IF('신청 원장'!B2391="","",'신청 원장'!B2391)</x:f>
        <x:v>감축량 인증</x:v>
      </x:c>
      <x:c r="B339" s="7" t="str">
        <x:f>IF('신청 원장'!D2391="","",'신청 원장'!D2391)</x:f>
        <x:v>태화기독교사회복지관 서울형 에너지복지 태양광 발전사업</x:v>
      </x:c>
      <x:c r="C339" s="2" t="str">
        <x:f>IF('신청 원장'!F2391="","",'신청 원장'!F2391)</x:f>
        <x:v>2026-01-26</x:v>
      </x:c>
      <x:c r="D339" s="2" t="str">
        <x:f>IF('신청 원장'!J2391="","",'신청 원장'!J2391)</x:f>
        <x:v>보완요청</x:v>
      </x:c>
      <x:c r="E339" s="2" t="str">
        <x:f>IF('신청 원장'!L2391="","",'신청 원장'!L2391)</x:f>
        <x:v>에코시안_남혜원</x:v>
      </x:c>
      <x:c r="F339" s="2" t="str">
        <x:f>IF('신청 원장'!M2391="","",'신청 원장'!M2391)</x:f>
      </x:c>
      <x:c r="G339" s="2" t="n">
        <x:f>IF('신청 원장'!N2391="","",'신청 원장'!N2391)</x:f>
        <x:v>262</x:v>
      </x:c>
      <x:c r="H339" s="2" t="str">
        <x:f>IF('신청 원장'!AA2391="","",'신청 원장'!AA2391)</x:f>
        <x:v>내부 관찰 대상</x:v>
      </x:c>
      <x:c r="I339" s="2" t="str">
        <x:f>IF('신청 원장'!O2391="","",'신청 원장'!O2391)</x:f>
      </x:c>
      <x:c r="J339" s="2" t="str">
        <x:f>IF('신청 원장'!W2391="","",'신청 원장'!W2391)</x:f>
      </x:c>
      <x:c r="K339" s="2" t="str">
        <x:f>IF('신청 원장'!X2391="","",'신청 원장'!X2391)</x:f>
        <x:v>보완 회신 일정 확인</x:v>
      </x:c>
      <x:c r="L339" s="2" t="str">
        <x:f>IF('신청 원장'!R2391="","",'신청 원장'!R2391)</x:f>
        <x:v>국내인증</x:v>
      </x:c>
      <x:c r="M339" s="2" t="n">
        <x:f>IF('신청 원장'!S2391="","",'신청 원장'!S2391)</x:f>
        <x:v>709</x:v>
      </x:c>
      <x:c r="N339" s="2" t="str">
        <x:f>IF('신청 원장'!K2391&lt;&gt;"미종결 표시","종결 상태 확인",IF('신청 원장'!N2391="","일자 확인 필요",IF('신청 원장'!N2391&gt;365,"366일 이상",IF('신청 원장'!N2391&gt;90,"91~365일",IF('신청 원장'!N2391&gt;30,"31~90일","0~30일")))))</x:f>
        <x:v>91~365일</x:v>
      </x:c>
      <x:c r="O339" s="2" t="str">
        <x:f>IF(OR('신청 원장'!L2391="",'신청 원장'!L2391="선택"),"담당 원문 확인","기재")</x:f>
        <x:v>기재</x:v>
      </x:c>
      <x:c r="P339" s="2" t="str">
        <x:f>IF('신청 원장'!A2391="","",'신청 원장'!A2391)</x:f>
        <x:v>7b1b494eae72e95b544452fb</x:v>
      </x:c>
    </x:row>
    <x:row r="340" ht="42" customHeight="1">
      <x:c r="A340" s="2" t="str">
        <x:f>IF('신청 원장'!B2392="","",'신청 원장'!B2392)</x:f>
        <x:v>감축량 인증</x:v>
      </x:c>
      <x:c r="B340" s="7" t="str">
        <x:f>IF('신청 원장'!D2392="","",'신청 원장'!D2392)</x:f>
        <x:v>밀알학교 서울형 에너지복지 태양광 발전사업</x:v>
      </x:c>
      <x:c r="C340" s="2" t="str">
        <x:f>IF('신청 원장'!F2392="","",'신청 원장'!F2392)</x:f>
        <x:v>2026-01-26</x:v>
      </x:c>
      <x:c r="D340" s="2" t="str">
        <x:f>IF('신청 원장'!J2392="","",'신청 원장'!J2392)</x:f>
        <x:v>보완요청</x:v>
      </x:c>
      <x:c r="E340" s="2" t="str">
        <x:f>IF('신청 원장'!L2392="","",'신청 원장'!L2392)</x:f>
        <x:v>에코시안_남혜원</x:v>
      </x:c>
      <x:c r="F340" s="2" t="str">
        <x:f>IF('신청 원장'!M2392="","",'신청 원장'!M2392)</x:f>
      </x:c>
      <x:c r="G340" s="2" t="n">
        <x:f>IF('신청 원장'!N2392="","",'신청 원장'!N2392)</x:f>
        <x:v>262</x:v>
      </x:c>
      <x:c r="H340" s="2" t="str">
        <x:f>IF('신청 원장'!AA2392="","",'신청 원장'!AA2392)</x:f>
        <x:v>내부 관찰 대상</x:v>
      </x:c>
      <x:c r="I340" s="2" t="str">
        <x:f>IF('신청 원장'!O2392="","",'신청 원장'!O2392)</x:f>
      </x:c>
      <x:c r="J340" s="2" t="str">
        <x:f>IF('신청 원장'!W2392="","",'신청 원장'!W2392)</x:f>
      </x:c>
      <x:c r="K340" s="2" t="str">
        <x:f>IF('신청 원장'!X2392="","",'신청 원장'!X2392)</x:f>
        <x:v>보완 회신 일정 확인</x:v>
      </x:c>
      <x:c r="L340" s="2" t="str">
        <x:f>IF('신청 원장'!R2392="","",'신청 원장'!R2392)</x:f>
        <x:v>국내인증</x:v>
      </x:c>
      <x:c r="M340" s="2" t="n">
        <x:f>IF('신청 원장'!S2392="","",'신청 원장'!S2392)</x:f>
        <x:v>710</x:v>
      </x:c>
      <x:c r="N340" s="2" t="str">
        <x:f>IF('신청 원장'!K2392&lt;&gt;"미종결 표시","종결 상태 확인",IF('신청 원장'!N2392="","일자 확인 필요",IF('신청 원장'!N2392&gt;365,"366일 이상",IF('신청 원장'!N2392&gt;90,"91~365일",IF('신청 원장'!N2392&gt;30,"31~90일","0~30일")))))</x:f>
        <x:v>91~365일</x:v>
      </x:c>
      <x:c r="O340" s="2" t="str">
        <x:f>IF(OR('신청 원장'!L2392="",'신청 원장'!L2392="선택"),"담당 원문 확인","기재")</x:f>
        <x:v>기재</x:v>
      </x:c>
      <x:c r="P340" s="2" t="str">
        <x:f>IF('신청 원장'!A2392="","",'신청 원장'!A2392)</x:f>
        <x:v>97a8a89f4f82b2211f05091b</x:v>
      </x:c>
    </x:row>
    <x:row r="341" ht="42" customHeight="1">
      <x:c r="A341" s="2" t="str">
        <x:f>IF('신청 원장'!B2393="","",'신청 원장'!B2393)</x:f>
        <x:v>감축량 인증</x:v>
      </x:c>
      <x:c r="B341" s="7" t="str">
        <x:f>IF('신청 원장'!D2393="","",'신청 원장'!D2393)</x:f>
        <x:v>동방사회복지회 서울형 에너지복지 태양광 발전사업</x:v>
      </x:c>
      <x:c r="C341" s="2" t="str">
        <x:f>IF('신청 원장'!F2393="","",'신청 원장'!F2393)</x:f>
        <x:v>2026-01-26</x:v>
      </x:c>
      <x:c r="D341" s="2" t="str">
        <x:f>IF('신청 원장'!J2393="","",'신청 원장'!J2393)</x:f>
        <x:v>보완요청</x:v>
      </x:c>
      <x:c r="E341" s="2" t="str">
        <x:f>IF('신청 원장'!L2393="","",'신청 원장'!L2393)</x:f>
        <x:v>에코시안_조영우</x:v>
      </x:c>
      <x:c r="F341" s="2" t="str">
        <x:f>IF('신청 원장'!M2393="","",'신청 원장'!M2393)</x:f>
      </x:c>
      <x:c r="G341" s="2" t="n">
        <x:f>IF('신청 원장'!N2393="","",'신청 원장'!N2393)</x:f>
        <x:v>262</x:v>
      </x:c>
      <x:c r="H341" s="2" t="str">
        <x:f>IF('신청 원장'!AA2393="","",'신청 원장'!AA2393)</x:f>
        <x:v>내부 관찰 대상</x:v>
      </x:c>
      <x:c r="I341" s="2" t="str">
        <x:f>IF('신청 원장'!O2393="","",'신청 원장'!O2393)</x:f>
      </x:c>
      <x:c r="J341" s="2" t="str">
        <x:f>IF('신청 원장'!W2393="","",'신청 원장'!W2393)</x:f>
      </x:c>
      <x:c r="K341" s="2" t="str">
        <x:f>IF('신청 원장'!X2393="","",'신청 원장'!X2393)</x:f>
        <x:v>보완 회신 일정 확인</x:v>
      </x:c>
      <x:c r="L341" s="2" t="str">
        <x:f>IF('신청 원장'!R2393="","",'신청 원장'!R2393)</x:f>
        <x:v>국내인증</x:v>
      </x:c>
      <x:c r="M341" s="2" t="n">
        <x:f>IF('신청 원장'!S2393="","",'신청 원장'!S2393)</x:f>
        <x:v>711</x:v>
      </x:c>
      <x:c r="N341" s="2" t="str">
        <x:f>IF('신청 원장'!K2393&lt;&gt;"미종결 표시","종결 상태 확인",IF('신청 원장'!N2393="","일자 확인 필요",IF('신청 원장'!N2393&gt;365,"366일 이상",IF('신청 원장'!N2393&gt;90,"91~365일",IF('신청 원장'!N2393&gt;30,"31~90일","0~30일")))))</x:f>
        <x:v>91~365일</x:v>
      </x:c>
      <x:c r="O341" s="2" t="str">
        <x:f>IF(OR('신청 원장'!L2393="",'신청 원장'!L2393="선택"),"담당 원문 확인","기재")</x:f>
        <x:v>기재</x:v>
      </x:c>
      <x:c r="P341" s="2" t="str">
        <x:f>IF('신청 원장'!A2393="","",'신청 원장'!A2393)</x:f>
        <x:v>2a3c902b24acd43cebbc97e9</x:v>
      </x:c>
    </x:row>
    <x:row r="342" ht="42" customHeight="1">
      <x:c r="A342" s="2" t="str">
        <x:f>IF('신청 원장'!B2394="","",'신청 원장'!B2394)</x:f>
        <x:v>감축량 인증</x:v>
      </x:c>
      <x:c r="B342" s="7" t="str">
        <x:f>IF('신청 원장'!D2394="","",'신청 원장'!D2394)</x:f>
        <x:v>한국국제기아대책기구 서울형 에너지복지 태양광 발전사업</x:v>
      </x:c>
      <x:c r="C342" s="2" t="str">
        <x:f>IF('신청 원장'!F2394="","",'신청 원장'!F2394)</x:f>
        <x:v>2026-01-26</x:v>
      </x:c>
      <x:c r="D342" s="2" t="str">
        <x:f>IF('신청 원장'!J2394="","",'신청 원장'!J2394)</x:f>
        <x:v>보완요청</x:v>
      </x:c>
      <x:c r="E342" s="2" t="str">
        <x:f>IF('신청 원장'!L2394="","",'신청 원장'!L2394)</x:f>
        <x:v>에코시안_조영우</x:v>
      </x:c>
      <x:c r="F342" s="2" t="str">
        <x:f>IF('신청 원장'!M2394="","",'신청 원장'!M2394)</x:f>
      </x:c>
      <x:c r="G342" s="2" t="n">
        <x:f>IF('신청 원장'!N2394="","",'신청 원장'!N2394)</x:f>
        <x:v>262</x:v>
      </x:c>
      <x:c r="H342" s="2" t="str">
        <x:f>IF('신청 원장'!AA2394="","",'신청 원장'!AA2394)</x:f>
        <x:v>내부 관찰 대상</x:v>
      </x:c>
      <x:c r="I342" s="2" t="str">
        <x:f>IF('신청 원장'!O2394="","",'신청 원장'!O2394)</x:f>
      </x:c>
      <x:c r="J342" s="2" t="str">
        <x:f>IF('신청 원장'!W2394="","",'신청 원장'!W2394)</x:f>
      </x:c>
      <x:c r="K342" s="2" t="str">
        <x:f>IF('신청 원장'!X2394="","",'신청 원장'!X2394)</x:f>
        <x:v>보완 회신 일정 확인</x:v>
      </x:c>
      <x:c r="L342" s="2" t="str">
        <x:f>IF('신청 원장'!R2394="","",'신청 원장'!R2394)</x:f>
        <x:v>국내인증</x:v>
      </x:c>
      <x:c r="M342" s="2" t="n">
        <x:f>IF('신청 원장'!S2394="","",'신청 원장'!S2394)</x:f>
        <x:v>712</x:v>
      </x:c>
      <x:c r="N342" s="2" t="str">
        <x:f>IF('신청 원장'!K2394&lt;&gt;"미종결 표시","종결 상태 확인",IF('신청 원장'!N2394="","일자 확인 필요",IF('신청 원장'!N2394&gt;365,"366일 이상",IF('신청 원장'!N2394&gt;90,"91~365일",IF('신청 원장'!N2394&gt;30,"31~90일","0~30일")))))</x:f>
        <x:v>91~365일</x:v>
      </x:c>
      <x:c r="O342" s="2" t="str">
        <x:f>IF(OR('신청 원장'!L2394="",'신청 원장'!L2394="선택"),"담당 원문 확인","기재")</x:f>
        <x:v>기재</x:v>
      </x:c>
      <x:c r="P342" s="2" t="str">
        <x:f>IF('신청 원장'!A2394="","",'신청 원장'!A2394)</x:f>
        <x:v>0d9abcdf65a89381ed250099</x:v>
      </x:c>
    </x:row>
    <x:row r="343" ht="42" customHeight="1">
      <x:c r="A343" s="2" t="str">
        <x:f>IF('신청 원장'!B2395="","",'신청 원장'!B2395)</x:f>
        <x:v>감축량 인증</x:v>
      </x:c>
      <x:c r="B343" s="7" t="str">
        <x:f>IF('신청 원장'!D2395="","",'신청 원장'!D2395)</x:f>
        <x:v>혜명보육원 서울형 에너지복지 태양광 발전사업</x:v>
      </x:c>
      <x:c r="C343" s="2" t="str">
        <x:f>IF('신청 원장'!F2395="","",'신청 원장'!F2395)</x:f>
        <x:v>2026-01-26</x:v>
      </x:c>
      <x:c r="D343" s="2" t="str">
        <x:f>IF('신청 원장'!J2395="","",'신청 원장'!J2395)</x:f>
        <x:v>보완요청</x:v>
      </x:c>
      <x:c r="E343" s="2" t="str">
        <x:f>IF('신청 원장'!L2395="","",'신청 원장'!L2395)</x:f>
        <x:v>에코시안_조은지</x:v>
      </x:c>
      <x:c r="F343" s="2" t="str">
        <x:f>IF('신청 원장'!M2395="","",'신청 원장'!M2395)</x:f>
      </x:c>
      <x:c r="G343" s="2" t="n">
        <x:f>IF('신청 원장'!N2395="","",'신청 원장'!N2395)</x:f>
        <x:v>262</x:v>
      </x:c>
      <x:c r="H343" s="2" t="str">
        <x:f>IF('신청 원장'!AA2395="","",'신청 원장'!AA2395)</x:f>
        <x:v>내부 관찰 대상</x:v>
      </x:c>
      <x:c r="I343" s="2" t="str">
        <x:f>IF('신청 원장'!O2395="","",'신청 원장'!O2395)</x:f>
      </x:c>
      <x:c r="J343" s="2" t="str">
        <x:f>IF('신청 원장'!W2395="","",'신청 원장'!W2395)</x:f>
      </x:c>
      <x:c r="K343" s="2" t="str">
        <x:f>IF('신청 원장'!X2395="","",'신청 원장'!X2395)</x:f>
        <x:v>보완 회신 일정 확인</x:v>
      </x:c>
      <x:c r="L343" s="2" t="str">
        <x:f>IF('신청 원장'!R2395="","",'신청 원장'!R2395)</x:f>
        <x:v>국내인증</x:v>
      </x:c>
      <x:c r="M343" s="2" t="n">
        <x:f>IF('신청 원장'!S2395="","",'신청 원장'!S2395)</x:f>
        <x:v>713</x:v>
      </x:c>
      <x:c r="N343" s="2" t="str">
        <x:f>IF('신청 원장'!K2395&lt;&gt;"미종결 표시","종결 상태 확인",IF('신청 원장'!N2395="","일자 확인 필요",IF('신청 원장'!N2395&gt;365,"366일 이상",IF('신청 원장'!N2395&gt;90,"91~365일",IF('신청 원장'!N2395&gt;30,"31~90일","0~30일")))))</x:f>
        <x:v>91~365일</x:v>
      </x:c>
      <x:c r="O343" s="2" t="str">
        <x:f>IF(OR('신청 원장'!L2395="",'신청 원장'!L2395="선택"),"담당 원문 확인","기재")</x:f>
        <x:v>기재</x:v>
      </x:c>
      <x:c r="P343" s="2" t="str">
        <x:f>IF('신청 원장'!A2395="","",'신청 원장'!A2395)</x:f>
        <x:v>bfc68e52f770abd9f7953afa</x:v>
      </x:c>
    </x:row>
    <x:row r="344" ht="42" customHeight="1">
      <x:c r="A344" s="2" t="str">
        <x:f>IF('신청 원장'!B2396="","",'신청 원장'!B2396)</x:f>
        <x:v>감축량 인증</x:v>
      </x:c>
      <x:c r="B344" s="7" t="str">
        <x:f>IF('신청 원장'!D2396="","",'신청 원장'!D2396)</x:f>
        <x:v>교남소망의집2차 서울형 에너지복지 태양광 발전사업</x:v>
      </x:c>
      <x:c r="C344" s="2" t="str">
        <x:f>IF('신청 원장'!F2396="","",'신청 원장'!F2396)</x:f>
        <x:v>2026-01-26</x:v>
      </x:c>
      <x:c r="D344" s="2" t="str">
        <x:f>IF('신청 원장'!J2396="","",'신청 원장'!J2396)</x:f>
        <x:v>보완요청</x:v>
      </x:c>
      <x:c r="E344" s="2" t="str">
        <x:f>IF('신청 원장'!L2396="","",'신청 원장'!L2396)</x:f>
        <x:v>에코시안_조은지</x:v>
      </x:c>
      <x:c r="F344" s="2" t="str">
        <x:f>IF('신청 원장'!M2396="","",'신청 원장'!M2396)</x:f>
      </x:c>
      <x:c r="G344" s="2" t="n">
        <x:f>IF('신청 원장'!N2396="","",'신청 원장'!N2396)</x:f>
        <x:v>262</x:v>
      </x:c>
      <x:c r="H344" s="2" t="str">
        <x:f>IF('신청 원장'!AA2396="","",'신청 원장'!AA2396)</x:f>
        <x:v>내부 관찰 대상</x:v>
      </x:c>
      <x:c r="I344" s="2" t="str">
        <x:f>IF('신청 원장'!O2396="","",'신청 원장'!O2396)</x:f>
      </x:c>
      <x:c r="J344" s="2" t="str">
        <x:f>IF('신청 원장'!W2396="","",'신청 원장'!W2396)</x:f>
      </x:c>
      <x:c r="K344" s="2" t="str">
        <x:f>IF('신청 원장'!X2396="","",'신청 원장'!X2396)</x:f>
        <x:v>보완 회신 일정 확인</x:v>
      </x:c>
      <x:c r="L344" s="2" t="str">
        <x:f>IF('신청 원장'!R2396="","",'신청 원장'!R2396)</x:f>
        <x:v>국내인증</x:v>
      </x:c>
      <x:c r="M344" s="2" t="n">
        <x:f>IF('신청 원장'!S2396="","",'신청 원장'!S2396)</x:f>
        <x:v>714</x:v>
      </x:c>
      <x:c r="N344" s="2" t="str">
        <x:f>IF('신청 원장'!K2396&lt;&gt;"미종결 표시","종결 상태 확인",IF('신청 원장'!N2396="","일자 확인 필요",IF('신청 원장'!N2396&gt;365,"366일 이상",IF('신청 원장'!N2396&gt;90,"91~365일",IF('신청 원장'!N2396&gt;30,"31~90일","0~30일")))))</x:f>
        <x:v>91~365일</x:v>
      </x:c>
      <x:c r="O344" s="2" t="str">
        <x:f>IF(OR('신청 원장'!L2396="",'신청 원장'!L2396="선택"),"담당 원문 확인","기재")</x:f>
        <x:v>기재</x:v>
      </x:c>
      <x:c r="P344" s="2" t="str">
        <x:f>IF('신청 원장'!A2396="","",'신청 원장'!A2396)</x:f>
        <x:v>e6ba0410d5148cc119c7894f</x:v>
      </x:c>
    </x:row>
    <x:row r="345" ht="42" customHeight="1">
      <x:c r="A345" s="2" t="str">
        <x:f>IF('신청 원장'!B2397="","",'신청 원장'!B2397)</x:f>
        <x:v>감축량 인증</x:v>
      </x:c>
      <x:c r="B345" s="7" t="str">
        <x:f>IF('신청 원장'!D2397="","",'신청 원장'!D2397)</x:f>
        <x:v>인강원2차 서울형 에너지복지 태양광 발전사업</x:v>
      </x:c>
      <x:c r="C345" s="2" t="str">
        <x:f>IF('신청 원장'!F2397="","",'신청 원장'!F2397)</x:f>
        <x:v>2026-01-26</x:v>
      </x:c>
      <x:c r="D345" s="2" t="str">
        <x:f>IF('신청 원장'!J2397="","",'신청 원장'!J2397)</x:f>
        <x:v>보완요청</x:v>
      </x:c>
      <x:c r="E345" s="2" t="str">
        <x:f>IF('신청 원장'!L2397="","",'신청 원장'!L2397)</x:f>
        <x:v>에코시안_이혜연</x:v>
      </x:c>
      <x:c r="F345" s="2" t="str">
        <x:f>IF('신청 원장'!M2397="","",'신청 원장'!M2397)</x:f>
      </x:c>
      <x:c r="G345" s="2" t="n">
        <x:f>IF('신청 원장'!N2397="","",'신청 원장'!N2397)</x:f>
        <x:v>262</x:v>
      </x:c>
      <x:c r="H345" s="2" t="str">
        <x:f>IF('신청 원장'!AA2397="","",'신청 원장'!AA2397)</x:f>
        <x:v>내부 관찰 대상</x:v>
      </x:c>
      <x:c r="I345" s="2" t="str">
        <x:f>IF('신청 원장'!O2397="","",'신청 원장'!O2397)</x:f>
      </x:c>
      <x:c r="J345" s="2" t="str">
        <x:f>IF('신청 원장'!W2397="","",'신청 원장'!W2397)</x:f>
      </x:c>
      <x:c r="K345" s="2" t="str">
        <x:f>IF('신청 원장'!X2397="","",'신청 원장'!X2397)</x:f>
        <x:v>보완 회신 일정 확인</x:v>
      </x:c>
      <x:c r="L345" s="2" t="str">
        <x:f>IF('신청 원장'!R2397="","",'신청 원장'!R2397)</x:f>
        <x:v>국내인증</x:v>
      </x:c>
      <x:c r="M345" s="2" t="n">
        <x:f>IF('신청 원장'!S2397="","",'신청 원장'!S2397)</x:f>
        <x:v>715</x:v>
      </x:c>
      <x:c r="N345" s="2" t="str">
        <x:f>IF('신청 원장'!K2397&lt;&gt;"미종결 표시","종결 상태 확인",IF('신청 원장'!N2397="","일자 확인 필요",IF('신청 원장'!N2397&gt;365,"366일 이상",IF('신청 원장'!N2397&gt;90,"91~365일",IF('신청 원장'!N2397&gt;30,"31~90일","0~30일")))))</x:f>
        <x:v>91~365일</x:v>
      </x:c>
      <x:c r="O345" s="2" t="str">
        <x:f>IF(OR('신청 원장'!L2397="",'신청 원장'!L2397="선택"),"담당 원문 확인","기재")</x:f>
        <x:v>기재</x:v>
      </x:c>
      <x:c r="P345" s="2" t="str">
        <x:f>IF('신청 원장'!A2397="","",'신청 원장'!A2397)</x:f>
        <x:v>e13fb33222a5be329b55006b</x:v>
      </x:c>
    </x:row>
    <x:row r="346" ht="42" customHeight="1">
      <x:c r="A346" s="2" t="str">
        <x:f>IF('신청 원장'!B2398="","",'신청 원장'!B2398)</x:f>
        <x:v>감축량 인증</x:v>
      </x:c>
      <x:c r="B346" s="7" t="str">
        <x:f>IF('신청 원장'!D2398="","",'신청 원장'!D2398)</x:f>
        <x:v>암사재활원 서울형 에너지복지 태양광발전사업</x:v>
      </x:c>
      <x:c r="C346" s="2" t="str">
        <x:f>IF('신청 원장'!F2398="","",'신청 원장'!F2398)</x:f>
        <x:v>2026-01-26</x:v>
      </x:c>
      <x:c r="D346" s="2" t="str">
        <x:f>IF('신청 원장'!J2398="","",'신청 원장'!J2398)</x:f>
        <x:v>보완요청</x:v>
      </x:c>
      <x:c r="E346" s="2" t="str">
        <x:f>IF('신청 원장'!L2398="","",'신청 원장'!L2398)</x:f>
        <x:v>에코시안_이혜연</x:v>
      </x:c>
      <x:c r="F346" s="2" t="str">
        <x:f>IF('신청 원장'!M2398="","",'신청 원장'!M2398)</x:f>
      </x:c>
      <x:c r="G346" s="2" t="n">
        <x:f>IF('신청 원장'!N2398="","",'신청 원장'!N2398)</x:f>
        <x:v>262</x:v>
      </x:c>
      <x:c r="H346" s="2" t="str">
        <x:f>IF('신청 원장'!AA2398="","",'신청 원장'!AA2398)</x:f>
        <x:v>내부 관찰 대상</x:v>
      </x:c>
      <x:c r="I346" s="2" t="str">
        <x:f>IF('신청 원장'!O2398="","",'신청 원장'!O2398)</x:f>
      </x:c>
      <x:c r="J346" s="2" t="str">
        <x:f>IF('신청 원장'!W2398="","",'신청 원장'!W2398)</x:f>
      </x:c>
      <x:c r="K346" s="2" t="str">
        <x:f>IF('신청 원장'!X2398="","",'신청 원장'!X2398)</x:f>
        <x:v>보완 회신 일정 확인</x:v>
      </x:c>
      <x:c r="L346" s="2" t="str">
        <x:f>IF('신청 원장'!R2398="","",'신청 원장'!R2398)</x:f>
        <x:v>국내인증</x:v>
      </x:c>
      <x:c r="M346" s="2" t="n">
        <x:f>IF('신청 원장'!S2398="","",'신청 원장'!S2398)</x:f>
        <x:v>716</x:v>
      </x:c>
      <x:c r="N346" s="2" t="str">
        <x:f>IF('신청 원장'!K2398&lt;&gt;"미종결 표시","종결 상태 확인",IF('신청 원장'!N2398="","일자 확인 필요",IF('신청 원장'!N2398&gt;365,"366일 이상",IF('신청 원장'!N2398&gt;90,"91~365일",IF('신청 원장'!N2398&gt;30,"31~90일","0~30일")))))</x:f>
        <x:v>91~365일</x:v>
      </x:c>
      <x:c r="O346" s="2" t="str">
        <x:f>IF(OR('신청 원장'!L2398="",'신청 원장'!L2398="선택"),"담당 원문 확인","기재")</x:f>
        <x:v>기재</x:v>
      </x:c>
      <x:c r="P346" s="2" t="str">
        <x:f>IF('신청 원장'!A2398="","",'신청 원장'!A2398)</x:f>
        <x:v>5dfac47630486534ed573347</x:v>
      </x:c>
    </x:row>
    <x:row r="347" ht="42" customHeight="1">
      <x:c r="A347" s="2" t="str">
        <x:f>IF('신청 원장'!B2399="","",'신청 원장'!B2399)</x:f>
        <x:v>감축량 인증</x:v>
      </x:c>
      <x:c r="B347" s="7" t="str">
        <x:f>IF('신청 원장'!D2399="","",'신청 원장'!D2399)</x:f>
        <x:v>성모자애드림힐 태양광발전 자가사용 감축사업</x:v>
      </x:c>
      <x:c r="C347" s="2" t="str">
        <x:f>IF('신청 원장'!F2399="","",'신청 원장'!F2399)</x:f>
        <x:v>2026-01-26</x:v>
      </x:c>
      <x:c r="D347" s="2" t="str">
        <x:f>IF('신청 원장'!J2399="","",'신청 원장'!J2399)</x:f>
        <x:v>보완요청</x:v>
      </x:c>
      <x:c r="E347" s="2" t="str">
        <x:f>IF('신청 원장'!L2399="","",'신청 원장'!L2399)</x:f>
        <x:v>KECM</x:v>
      </x:c>
      <x:c r="F347" s="2" t="str">
        <x:f>IF('신청 원장'!M2399="","",'신청 원장'!M2399)</x:f>
      </x:c>
      <x:c r="G347" s="2" t="n">
        <x:f>IF('신청 원장'!N2399="","",'신청 원장'!N2399)</x:f>
        <x:v>262</x:v>
      </x:c>
      <x:c r="H347" s="2" t="str">
        <x:f>IF('신청 원장'!AA2399="","",'신청 원장'!AA2399)</x:f>
        <x:v>내부 관찰 대상</x:v>
      </x:c>
      <x:c r="I347" s="2" t="str">
        <x:f>IF('신청 원장'!O2399="","",'신청 원장'!O2399)</x:f>
      </x:c>
      <x:c r="J347" s="2" t="str">
        <x:f>IF('신청 원장'!W2399="","",'신청 원장'!W2399)</x:f>
      </x:c>
      <x:c r="K347" s="2" t="str">
        <x:f>IF('신청 원장'!X2399="","",'신청 원장'!X2399)</x:f>
        <x:v>보완 회신 일정 확인</x:v>
      </x:c>
      <x:c r="L347" s="2" t="str">
        <x:f>IF('신청 원장'!R2399="","",'신청 원장'!R2399)</x:f>
        <x:v>국내인증</x:v>
      </x:c>
      <x:c r="M347" s="2" t="n">
        <x:f>IF('신청 원장'!S2399="","",'신청 원장'!S2399)</x:f>
        <x:v>717</x:v>
      </x:c>
      <x:c r="N347" s="2" t="str">
        <x:f>IF('신청 원장'!K2399&lt;&gt;"미종결 표시","종결 상태 확인",IF('신청 원장'!N2399="","일자 확인 필요",IF('신청 원장'!N2399&gt;365,"366일 이상",IF('신청 원장'!N2399&gt;90,"91~365일",IF('신청 원장'!N2399&gt;30,"31~90일","0~30일")))))</x:f>
        <x:v>91~365일</x:v>
      </x:c>
      <x:c r="O347" s="2" t="str">
        <x:f>IF(OR('신청 원장'!L2399="",'신청 원장'!L2399="선택"),"담당 원문 확인","기재")</x:f>
        <x:v>기재</x:v>
      </x:c>
      <x:c r="P347" s="2" t="str">
        <x:f>IF('신청 원장'!A2399="","",'신청 원장'!A2399)</x:f>
        <x:v>8fdc977c8acfb214a5bac8e2</x:v>
      </x:c>
    </x:row>
    <x:row r="348" ht="42" customHeight="1">
      <x:c r="A348" s="2" t="str">
        <x:f>IF('신청 원장'!B2400="","",'신청 원장'!B2400)</x:f>
        <x:v>감축량 인증</x:v>
      </x:c>
      <x:c r="B348" s="7" t="str">
        <x:f>IF('신청 원장'!D2400="","",'신청 원장'!D2400)</x:f>
        <x:v>교남소망의집 태양광발전 자가사용 감축사업</x:v>
      </x:c>
      <x:c r="C348" s="2" t="str">
        <x:f>IF('신청 원장'!F2400="","",'신청 원장'!F2400)</x:f>
        <x:v>2026-01-26</x:v>
      </x:c>
      <x:c r="D348" s="2" t="str">
        <x:f>IF('신청 원장'!J2400="","",'신청 원장'!J2400)</x:f>
        <x:v>보완요청</x:v>
      </x:c>
      <x:c r="E348" s="2" t="str">
        <x:f>IF('신청 원장'!L2400="","",'신청 원장'!L2400)</x:f>
        <x:v>KECM</x:v>
      </x:c>
      <x:c r="F348" s="2" t="str">
        <x:f>IF('신청 원장'!M2400="","",'신청 원장'!M2400)</x:f>
      </x:c>
      <x:c r="G348" s="2" t="n">
        <x:f>IF('신청 원장'!N2400="","",'신청 원장'!N2400)</x:f>
        <x:v>262</x:v>
      </x:c>
      <x:c r="H348" s="2" t="str">
        <x:f>IF('신청 원장'!AA2400="","",'신청 원장'!AA2400)</x:f>
        <x:v>내부 관찰 대상</x:v>
      </x:c>
      <x:c r="I348" s="2" t="str">
        <x:f>IF('신청 원장'!O2400="","",'신청 원장'!O2400)</x:f>
      </x:c>
      <x:c r="J348" s="2" t="str">
        <x:f>IF('신청 원장'!W2400="","",'신청 원장'!W2400)</x:f>
      </x:c>
      <x:c r="K348" s="2" t="str">
        <x:f>IF('신청 원장'!X2400="","",'신청 원장'!X2400)</x:f>
        <x:v>보완 회신 일정 확인</x:v>
      </x:c>
      <x:c r="L348" s="2" t="str">
        <x:f>IF('신청 원장'!R2400="","",'신청 원장'!R2400)</x:f>
        <x:v>국내인증</x:v>
      </x:c>
      <x:c r="M348" s="2" t="n">
        <x:f>IF('신청 원장'!S2400="","",'신청 원장'!S2400)</x:f>
        <x:v>718</x:v>
      </x:c>
      <x:c r="N348" s="2" t="str">
        <x:f>IF('신청 원장'!K2400&lt;&gt;"미종결 표시","종결 상태 확인",IF('신청 원장'!N2400="","일자 확인 필요",IF('신청 원장'!N2400&gt;365,"366일 이상",IF('신청 원장'!N2400&gt;90,"91~365일",IF('신청 원장'!N2400&gt;30,"31~90일","0~30일")))))</x:f>
        <x:v>91~365일</x:v>
      </x:c>
      <x:c r="O348" s="2" t="str">
        <x:f>IF(OR('신청 원장'!L2400="",'신청 원장'!L2400="선택"),"담당 원문 확인","기재")</x:f>
        <x:v>기재</x:v>
      </x:c>
      <x:c r="P348" s="2" t="str">
        <x:f>IF('신청 원장'!A2400="","",'신청 원장'!A2400)</x:f>
        <x:v>055f83187243885a9dd4ecc7</x:v>
      </x:c>
    </x:row>
    <x:row r="349" ht="42" customHeight="1">
      <x:c r="A349" s="2" t="str">
        <x:f>IF('신청 원장'!B2401="","",'신청 원장'!B2401)</x:f>
        <x:v>감축량 인증</x:v>
      </x:c>
      <x:c r="B349" s="7" t="str">
        <x:f>IF('신청 원장'!D2401="","",'신청 원장'!D2401)</x:f>
        <x:v>돈보스코자립생활관 태양광발전 자가사용 감축사업</x:v>
      </x:c>
      <x:c r="C349" s="2" t="str">
        <x:f>IF('신청 원장'!F2401="","",'신청 원장'!F2401)</x:f>
        <x:v>2026-01-26</x:v>
      </x:c>
      <x:c r="D349" s="2" t="str">
        <x:f>IF('신청 원장'!J2401="","",'신청 원장'!J2401)</x:f>
        <x:v>보완요청</x:v>
      </x:c>
      <x:c r="E349" s="2" t="str">
        <x:f>IF('신청 원장'!L2401="","",'신청 원장'!L2401)</x:f>
        <x:v>KECM</x:v>
      </x:c>
      <x:c r="F349" s="2" t="str">
        <x:f>IF('신청 원장'!M2401="","",'신청 원장'!M2401)</x:f>
      </x:c>
      <x:c r="G349" s="2" t="n">
        <x:f>IF('신청 원장'!N2401="","",'신청 원장'!N2401)</x:f>
        <x:v>262</x:v>
      </x:c>
      <x:c r="H349" s="2" t="str">
        <x:f>IF('신청 원장'!AA2401="","",'신청 원장'!AA2401)</x:f>
        <x:v>내부 관찰 대상</x:v>
      </x:c>
      <x:c r="I349" s="2" t="str">
        <x:f>IF('신청 원장'!O2401="","",'신청 원장'!O2401)</x:f>
      </x:c>
      <x:c r="J349" s="2" t="str">
        <x:f>IF('신청 원장'!W2401="","",'신청 원장'!W2401)</x:f>
      </x:c>
      <x:c r="K349" s="2" t="str">
        <x:f>IF('신청 원장'!X2401="","",'신청 원장'!X2401)</x:f>
        <x:v>보완 회신 일정 확인</x:v>
      </x:c>
      <x:c r="L349" s="2" t="str">
        <x:f>IF('신청 원장'!R2401="","",'신청 원장'!R2401)</x:f>
        <x:v>국내인증</x:v>
      </x:c>
      <x:c r="M349" s="2" t="n">
        <x:f>IF('신청 원장'!S2401="","",'신청 원장'!S2401)</x:f>
        <x:v>719</x:v>
      </x:c>
      <x:c r="N349" s="2" t="str">
        <x:f>IF('신청 원장'!K2401&lt;&gt;"미종결 표시","종결 상태 확인",IF('신청 원장'!N2401="","일자 확인 필요",IF('신청 원장'!N2401&gt;365,"366일 이상",IF('신청 원장'!N2401&gt;90,"91~365일",IF('신청 원장'!N2401&gt;30,"31~90일","0~30일")))))</x:f>
        <x:v>91~365일</x:v>
      </x:c>
      <x:c r="O349" s="2" t="str">
        <x:f>IF(OR('신청 원장'!L2401="",'신청 원장'!L2401="선택"),"담당 원문 확인","기재")</x:f>
        <x:v>기재</x:v>
      </x:c>
      <x:c r="P349" s="2" t="str">
        <x:f>IF('신청 원장'!A2401="","",'신청 원장'!A2401)</x:f>
        <x:v>2c7d77258cd535536deaa034</x:v>
      </x:c>
    </x:row>
    <x:row r="350" ht="42" customHeight="1">
      <x:c r="A350" s="2" t="str">
        <x:f>IF('신청 원장'!B2402="","",'신청 원장'!B2402)</x:f>
        <x:v>감축량 인증</x:v>
      </x:c>
      <x:c r="B350" s="7" t="str">
        <x:f>IF('신청 원장'!D2402="","",'신청 원장'!D2402)</x:f>
        <x:v>청운보육원 태양광발전 자가사용 감축사업</x:v>
      </x:c>
      <x:c r="C350" s="2" t="str">
        <x:f>IF('신청 원장'!F2402="","",'신청 원장'!F2402)</x:f>
        <x:v>2026-01-26</x:v>
      </x:c>
      <x:c r="D350" s="2" t="str">
        <x:f>IF('신청 원장'!J2402="","",'신청 원장'!J2402)</x:f>
        <x:v>보완요청</x:v>
      </x:c>
      <x:c r="E350" s="2" t="str">
        <x:f>IF('신청 원장'!L2402="","",'신청 원장'!L2402)</x:f>
        <x:v>KECM</x:v>
      </x:c>
      <x:c r="F350" s="2" t="str">
        <x:f>IF('신청 원장'!M2402="","",'신청 원장'!M2402)</x:f>
      </x:c>
      <x:c r="G350" s="2" t="n">
        <x:f>IF('신청 원장'!N2402="","",'신청 원장'!N2402)</x:f>
        <x:v>262</x:v>
      </x:c>
      <x:c r="H350" s="2" t="str">
        <x:f>IF('신청 원장'!AA2402="","",'신청 원장'!AA2402)</x:f>
        <x:v>내부 관찰 대상</x:v>
      </x:c>
      <x:c r="I350" s="2" t="str">
        <x:f>IF('신청 원장'!O2402="","",'신청 원장'!O2402)</x:f>
      </x:c>
      <x:c r="J350" s="2" t="str">
        <x:f>IF('신청 원장'!W2402="","",'신청 원장'!W2402)</x:f>
      </x:c>
      <x:c r="K350" s="2" t="str">
        <x:f>IF('신청 원장'!X2402="","",'신청 원장'!X2402)</x:f>
        <x:v>보완 회신 일정 확인</x:v>
      </x:c>
      <x:c r="L350" s="2" t="str">
        <x:f>IF('신청 원장'!R2402="","",'신청 원장'!R2402)</x:f>
        <x:v>국내인증</x:v>
      </x:c>
      <x:c r="M350" s="2" t="n">
        <x:f>IF('신청 원장'!S2402="","",'신청 원장'!S2402)</x:f>
        <x:v>720</x:v>
      </x:c>
      <x:c r="N350" s="2" t="str">
        <x:f>IF('신청 원장'!K2402&lt;&gt;"미종결 표시","종결 상태 확인",IF('신청 원장'!N2402="","일자 확인 필요",IF('신청 원장'!N2402&gt;365,"366일 이상",IF('신청 원장'!N2402&gt;90,"91~365일",IF('신청 원장'!N2402&gt;30,"31~90일","0~30일")))))</x:f>
        <x:v>91~365일</x:v>
      </x:c>
      <x:c r="O350" s="2" t="str">
        <x:f>IF(OR('신청 원장'!L2402="",'신청 원장'!L2402="선택"),"담당 원문 확인","기재")</x:f>
        <x:v>기재</x:v>
      </x:c>
      <x:c r="P350" s="2" t="str">
        <x:f>IF('신청 원장'!A2402="","",'신청 원장'!A2402)</x:f>
        <x:v>36f3ab3bf39d705b685c2c9e</x:v>
      </x:c>
    </x:row>
    <x:row r="351" ht="42" customHeight="1">
      <x:c r="A351" s="2" t="str">
        <x:f>IF('신청 원장'!B2403="","",'신청 원장'!B2403)</x:f>
        <x:v>감축량 인증</x:v>
      </x:c>
      <x:c r="B351" s="7" t="str">
        <x:f>IF('신청 원장'!D2403="","",'신청 원장'!D2403)</x:f>
        <x:v>남산원 태양광발전 자가사용 감축사업</x:v>
      </x:c>
      <x:c r="C351" s="2" t="str">
        <x:f>IF('신청 원장'!F2403="","",'신청 원장'!F2403)</x:f>
        <x:v>2026-01-26</x:v>
      </x:c>
      <x:c r="D351" s="2" t="str">
        <x:f>IF('신청 원장'!J2403="","",'신청 원장'!J2403)</x:f>
        <x:v>보완요청</x:v>
      </x:c>
      <x:c r="E351" s="2" t="str">
        <x:f>IF('신청 원장'!L2403="","",'신청 원장'!L2403)</x:f>
        <x:v>KECM</x:v>
      </x:c>
      <x:c r="F351" s="2" t="str">
        <x:f>IF('신청 원장'!M2403="","",'신청 원장'!M2403)</x:f>
      </x:c>
      <x:c r="G351" s="2" t="n">
        <x:f>IF('신청 원장'!N2403="","",'신청 원장'!N2403)</x:f>
        <x:v>262</x:v>
      </x:c>
      <x:c r="H351" s="2" t="str">
        <x:f>IF('신청 원장'!AA2403="","",'신청 원장'!AA2403)</x:f>
        <x:v>내부 관찰 대상</x:v>
      </x:c>
      <x:c r="I351" s="2" t="str">
        <x:f>IF('신청 원장'!O2403="","",'신청 원장'!O2403)</x:f>
      </x:c>
      <x:c r="J351" s="2" t="str">
        <x:f>IF('신청 원장'!W2403="","",'신청 원장'!W2403)</x:f>
      </x:c>
      <x:c r="K351" s="2" t="str">
        <x:f>IF('신청 원장'!X2403="","",'신청 원장'!X2403)</x:f>
        <x:v>보완 회신 일정 확인</x:v>
      </x:c>
      <x:c r="L351" s="2" t="str">
        <x:f>IF('신청 원장'!R2403="","",'신청 원장'!R2403)</x:f>
        <x:v>국내인증</x:v>
      </x:c>
      <x:c r="M351" s="2" t="n">
        <x:f>IF('신청 원장'!S2403="","",'신청 원장'!S2403)</x:f>
        <x:v>721</x:v>
      </x:c>
      <x:c r="N351" s="2" t="str">
        <x:f>IF('신청 원장'!K2403&lt;&gt;"미종결 표시","종결 상태 확인",IF('신청 원장'!N2403="","일자 확인 필요",IF('신청 원장'!N2403&gt;365,"366일 이상",IF('신청 원장'!N2403&gt;90,"91~365일",IF('신청 원장'!N2403&gt;30,"31~90일","0~30일")))))</x:f>
        <x:v>91~365일</x:v>
      </x:c>
      <x:c r="O351" s="2" t="str">
        <x:f>IF(OR('신청 원장'!L2403="",'신청 원장'!L2403="선택"),"담당 원문 확인","기재")</x:f>
        <x:v>기재</x:v>
      </x:c>
      <x:c r="P351" s="2" t="str">
        <x:f>IF('신청 원장'!A2403="","",'신청 원장'!A2403)</x:f>
        <x:v>2b762ab359bdd96bfb0a0291</x:v>
      </x:c>
    </x:row>
    <x:row r="352" ht="42" customHeight="1">
      <x:c r="A352" s="2" t="str">
        <x:f>IF('신청 원장'!B2404="","",'신청 원장'!B2404)</x:f>
        <x:v>감축량 인증</x:v>
      </x:c>
      <x:c r="B352" s="7" t="str">
        <x:f>IF('신청 원장'!D2404="","",'신청 원장'!D2404)</x:f>
        <x:v>H2빌 태양광발전 자가사용 감축사업</x:v>
      </x:c>
      <x:c r="C352" s="2" t="str">
        <x:f>IF('신청 원장'!F2404="","",'신청 원장'!F2404)</x:f>
        <x:v>2026-01-26</x:v>
      </x:c>
      <x:c r="D352" s="2" t="str">
        <x:f>IF('신청 원장'!J2404="","",'신청 원장'!J2404)</x:f>
        <x:v>보완요청</x:v>
      </x:c>
      <x:c r="E352" s="2" t="str">
        <x:f>IF('신청 원장'!L2404="","",'신청 원장'!L2404)</x:f>
        <x:v>KECM</x:v>
      </x:c>
      <x:c r="F352" s="2" t="str">
        <x:f>IF('신청 원장'!M2404="","",'신청 원장'!M2404)</x:f>
      </x:c>
      <x:c r="G352" s="2" t="n">
        <x:f>IF('신청 원장'!N2404="","",'신청 원장'!N2404)</x:f>
        <x:v>262</x:v>
      </x:c>
      <x:c r="H352" s="2" t="str">
        <x:f>IF('신청 원장'!AA2404="","",'신청 원장'!AA2404)</x:f>
        <x:v>내부 관찰 대상</x:v>
      </x:c>
      <x:c r="I352" s="2" t="str">
        <x:f>IF('신청 원장'!O2404="","",'신청 원장'!O2404)</x:f>
      </x:c>
      <x:c r="J352" s="2" t="str">
        <x:f>IF('신청 원장'!W2404="","",'신청 원장'!W2404)</x:f>
      </x:c>
      <x:c r="K352" s="2" t="str">
        <x:f>IF('신청 원장'!X2404="","",'신청 원장'!X2404)</x:f>
        <x:v>보완 회신 일정 확인</x:v>
      </x:c>
      <x:c r="L352" s="2" t="str">
        <x:f>IF('신청 원장'!R2404="","",'신청 원장'!R2404)</x:f>
        <x:v>국내인증</x:v>
      </x:c>
      <x:c r="M352" s="2" t="n">
        <x:f>IF('신청 원장'!S2404="","",'신청 원장'!S2404)</x:f>
        <x:v>722</x:v>
      </x:c>
      <x:c r="N352" s="2" t="str">
        <x:f>IF('신청 원장'!K2404&lt;&gt;"미종결 표시","종결 상태 확인",IF('신청 원장'!N2404="","일자 확인 필요",IF('신청 원장'!N2404&gt;365,"366일 이상",IF('신청 원장'!N2404&gt;90,"91~365일",IF('신청 원장'!N2404&gt;30,"31~90일","0~30일")))))</x:f>
        <x:v>91~365일</x:v>
      </x:c>
      <x:c r="O352" s="2" t="str">
        <x:f>IF(OR('신청 원장'!L2404="",'신청 원장'!L2404="선택"),"담당 원문 확인","기재")</x:f>
        <x:v>기재</x:v>
      </x:c>
      <x:c r="P352" s="2" t="str">
        <x:f>IF('신청 원장'!A2404="","",'신청 원장'!A2404)</x:f>
        <x:v>b2870043db14d3ca29c992f2</x:v>
      </x:c>
    </x:row>
    <x:row r="353" ht="42" customHeight="1">
      <x:c r="A353" s="2" t="str">
        <x:f>IF('신청 원장'!B2405="","",'신청 원장'!B2405)</x:f>
        <x:v>감축량 인증</x:v>
      </x:c>
      <x:c r="B353" s="7" t="str">
        <x:f>IF('신청 원장'!D2405="","",'신청 원장'!D2405)</x:f>
        <x:v>은평재활원 태양광발전 자가사용 감축사업</x:v>
      </x:c>
      <x:c r="C353" s="2" t="str">
        <x:f>IF('신청 원장'!F2405="","",'신청 원장'!F2405)</x:f>
        <x:v>2026-01-26</x:v>
      </x:c>
      <x:c r="D353" s="2" t="str">
        <x:f>IF('신청 원장'!J2405="","",'신청 원장'!J2405)</x:f>
        <x:v>보완요청</x:v>
      </x:c>
      <x:c r="E353" s="2" t="str">
        <x:f>IF('신청 원장'!L2405="","",'신청 원장'!L2405)</x:f>
        <x:v>KECM</x:v>
      </x:c>
      <x:c r="F353" s="2" t="str">
        <x:f>IF('신청 원장'!M2405="","",'신청 원장'!M2405)</x:f>
      </x:c>
      <x:c r="G353" s="2" t="n">
        <x:f>IF('신청 원장'!N2405="","",'신청 원장'!N2405)</x:f>
        <x:v>262</x:v>
      </x:c>
      <x:c r="H353" s="2" t="str">
        <x:f>IF('신청 원장'!AA2405="","",'신청 원장'!AA2405)</x:f>
        <x:v>내부 관찰 대상</x:v>
      </x:c>
      <x:c r="I353" s="2" t="str">
        <x:f>IF('신청 원장'!O2405="","",'신청 원장'!O2405)</x:f>
      </x:c>
      <x:c r="J353" s="2" t="str">
        <x:f>IF('신청 원장'!W2405="","",'신청 원장'!W2405)</x:f>
      </x:c>
      <x:c r="K353" s="2" t="str">
        <x:f>IF('신청 원장'!X2405="","",'신청 원장'!X2405)</x:f>
        <x:v>보완 회신 일정 확인</x:v>
      </x:c>
      <x:c r="L353" s="2" t="str">
        <x:f>IF('신청 원장'!R2405="","",'신청 원장'!R2405)</x:f>
        <x:v>국내인증</x:v>
      </x:c>
      <x:c r="M353" s="2" t="n">
        <x:f>IF('신청 원장'!S2405="","",'신청 원장'!S2405)</x:f>
        <x:v>723</x:v>
      </x:c>
      <x:c r="N353" s="2" t="str">
        <x:f>IF('신청 원장'!K2405&lt;&gt;"미종결 표시","종결 상태 확인",IF('신청 원장'!N2405="","일자 확인 필요",IF('신청 원장'!N2405&gt;365,"366일 이상",IF('신청 원장'!N2405&gt;90,"91~365일",IF('신청 원장'!N2405&gt;30,"31~90일","0~30일")))))</x:f>
        <x:v>91~365일</x:v>
      </x:c>
      <x:c r="O353" s="2" t="str">
        <x:f>IF(OR('신청 원장'!L2405="",'신청 원장'!L2405="선택"),"담당 원문 확인","기재")</x:f>
        <x:v>기재</x:v>
      </x:c>
      <x:c r="P353" s="2" t="str">
        <x:f>IF('신청 원장'!A2405="","",'신청 원장'!A2405)</x:f>
        <x:v>4816f49b32f52c48f61b248d</x:v>
      </x:c>
    </x:row>
    <x:row r="354" ht="42" customHeight="1">
      <x:c r="A354" s="2" t="str">
        <x:f>IF('신청 원장'!B2406="","",'신청 원장'!B2406)</x:f>
        <x:v>감축량 인증</x:v>
      </x:c>
      <x:c r="B354" s="7" t="str">
        <x:f>IF('신청 원장'!D2406="","",'신청 원장'!D2406)</x:f>
        <x:v>명진들꽃사랑마을 태양광발전 자가사용 감축사업</x:v>
      </x:c>
      <x:c r="C354" s="2" t="str">
        <x:f>IF('신청 원장'!F2406="","",'신청 원장'!F2406)</x:f>
        <x:v>2026-01-26</x:v>
      </x:c>
      <x:c r="D354" s="2" t="str">
        <x:f>IF('신청 원장'!J2406="","",'신청 원장'!J2406)</x:f>
        <x:v>보완요청</x:v>
      </x:c>
      <x:c r="E354" s="2" t="str">
        <x:f>IF('신청 원장'!L2406="","",'신청 원장'!L2406)</x:f>
        <x:v>KECM</x:v>
      </x:c>
      <x:c r="F354" s="2" t="str">
        <x:f>IF('신청 원장'!M2406="","",'신청 원장'!M2406)</x:f>
      </x:c>
      <x:c r="G354" s="2" t="n">
        <x:f>IF('신청 원장'!N2406="","",'신청 원장'!N2406)</x:f>
        <x:v>262</x:v>
      </x:c>
      <x:c r="H354" s="2" t="str">
        <x:f>IF('신청 원장'!AA2406="","",'신청 원장'!AA2406)</x:f>
        <x:v>내부 관찰 대상</x:v>
      </x:c>
      <x:c r="I354" s="2" t="str">
        <x:f>IF('신청 원장'!O2406="","",'신청 원장'!O2406)</x:f>
      </x:c>
      <x:c r="J354" s="2" t="str">
        <x:f>IF('신청 원장'!W2406="","",'신청 원장'!W2406)</x:f>
      </x:c>
      <x:c r="K354" s="2" t="str">
        <x:f>IF('신청 원장'!X2406="","",'신청 원장'!X2406)</x:f>
        <x:v>보완 회신 일정 확인</x:v>
      </x:c>
      <x:c r="L354" s="2" t="str">
        <x:f>IF('신청 원장'!R2406="","",'신청 원장'!R2406)</x:f>
        <x:v>국내인증</x:v>
      </x:c>
      <x:c r="M354" s="2" t="n">
        <x:f>IF('신청 원장'!S2406="","",'신청 원장'!S2406)</x:f>
        <x:v>724</x:v>
      </x:c>
      <x:c r="N354" s="2" t="str">
        <x:f>IF('신청 원장'!K2406&lt;&gt;"미종결 표시","종결 상태 확인",IF('신청 원장'!N2406="","일자 확인 필요",IF('신청 원장'!N2406&gt;365,"366일 이상",IF('신청 원장'!N2406&gt;90,"91~365일",IF('신청 원장'!N2406&gt;30,"31~90일","0~30일")))))</x:f>
        <x:v>91~365일</x:v>
      </x:c>
      <x:c r="O354" s="2" t="str">
        <x:f>IF(OR('신청 원장'!L2406="",'신청 원장'!L2406="선택"),"담당 원문 확인","기재")</x:f>
        <x:v>기재</x:v>
      </x:c>
      <x:c r="P354" s="2" t="str">
        <x:f>IF('신청 원장'!A2406="","",'신청 원장'!A2406)</x:f>
        <x:v>6dd81b0d975fa8d0043a3d60</x:v>
      </x:c>
    </x:row>
    <x:row r="355" ht="42" customHeight="1">
      <x:c r="A355" s="2" t="str">
        <x:f>IF('신청 원장'!B2407="","",'신청 원장'!B2407)</x:f>
        <x:v>감축량 인증</x:v>
      </x:c>
      <x:c r="B355" s="7" t="str">
        <x:f>IF('신청 원장'!D2407="","",'신청 원장'!D2407)</x:f>
        <x:v>인강원 태양광발전 자가사용 감축사업</x:v>
      </x:c>
      <x:c r="C355" s="2" t="str">
        <x:f>IF('신청 원장'!F2407="","",'신청 원장'!F2407)</x:f>
        <x:v>2026-01-26</x:v>
      </x:c>
      <x:c r="D355" s="2" t="str">
        <x:f>IF('신청 원장'!J2407="","",'신청 원장'!J2407)</x:f>
        <x:v>보완요청</x:v>
      </x:c>
      <x:c r="E355" s="2" t="str">
        <x:f>IF('신청 원장'!L2407="","",'신청 원장'!L2407)</x:f>
        <x:v>KECM</x:v>
      </x:c>
      <x:c r="F355" s="2" t="str">
        <x:f>IF('신청 원장'!M2407="","",'신청 원장'!M2407)</x:f>
      </x:c>
      <x:c r="G355" s="2" t="n">
        <x:f>IF('신청 원장'!N2407="","",'신청 원장'!N2407)</x:f>
        <x:v>262</x:v>
      </x:c>
      <x:c r="H355" s="2" t="str">
        <x:f>IF('신청 원장'!AA2407="","",'신청 원장'!AA2407)</x:f>
        <x:v>내부 관찰 대상</x:v>
      </x:c>
      <x:c r="I355" s="2" t="str">
        <x:f>IF('신청 원장'!O2407="","",'신청 원장'!O2407)</x:f>
      </x:c>
      <x:c r="J355" s="2" t="str">
        <x:f>IF('신청 원장'!W2407="","",'신청 원장'!W2407)</x:f>
      </x:c>
      <x:c r="K355" s="2" t="str">
        <x:f>IF('신청 원장'!X2407="","",'신청 원장'!X2407)</x:f>
        <x:v>보완 회신 일정 확인</x:v>
      </x:c>
      <x:c r="L355" s="2" t="str">
        <x:f>IF('신청 원장'!R2407="","",'신청 원장'!R2407)</x:f>
        <x:v>국내인증</x:v>
      </x:c>
      <x:c r="M355" s="2" t="n">
        <x:f>IF('신청 원장'!S2407="","",'신청 원장'!S2407)</x:f>
        <x:v>725</x:v>
      </x:c>
      <x:c r="N355" s="2" t="str">
        <x:f>IF('신청 원장'!K2407&lt;&gt;"미종결 표시","종결 상태 확인",IF('신청 원장'!N2407="","일자 확인 필요",IF('신청 원장'!N2407&gt;365,"366일 이상",IF('신청 원장'!N2407&gt;90,"91~365일",IF('신청 원장'!N2407&gt;30,"31~90일","0~30일")))))</x:f>
        <x:v>91~365일</x:v>
      </x:c>
      <x:c r="O355" s="2" t="str">
        <x:f>IF(OR('신청 원장'!L2407="",'신청 원장'!L2407="선택"),"담당 원문 확인","기재")</x:f>
        <x:v>기재</x:v>
      </x:c>
      <x:c r="P355" s="2" t="str">
        <x:f>IF('신청 원장'!A2407="","",'신청 원장'!A2407)</x:f>
        <x:v>417b073474981ce5bc4ba2d6</x:v>
      </x:c>
    </x:row>
    <x:row r="356" ht="42" customHeight="1">
      <x:c r="A356" s="2" t="str">
        <x:f>IF('신청 원장'!B2408="","",'신청 원장'!B2408)</x:f>
        <x:v>감축량 인증</x:v>
      </x:c>
      <x:c r="B356" s="7" t="str">
        <x:f>IF('신청 원장'!D2408="","",'신청 원장'!D2408)</x:f>
        <x:v>한빛맹아원 태양광발전 자가사용 감축사업</x:v>
      </x:c>
      <x:c r="C356" s="2" t="str">
        <x:f>IF('신청 원장'!F2408="","",'신청 원장'!F2408)</x:f>
        <x:v>2026-01-26</x:v>
      </x:c>
      <x:c r="D356" s="2" t="str">
        <x:f>IF('신청 원장'!J2408="","",'신청 원장'!J2408)</x:f>
        <x:v>보완요청</x:v>
      </x:c>
      <x:c r="E356" s="2" t="str">
        <x:f>IF('신청 원장'!L2408="","",'신청 원장'!L2408)</x:f>
        <x:v>KECM</x:v>
      </x:c>
      <x:c r="F356" s="2" t="str">
        <x:f>IF('신청 원장'!M2408="","",'신청 원장'!M2408)</x:f>
      </x:c>
      <x:c r="G356" s="2" t="n">
        <x:f>IF('신청 원장'!N2408="","",'신청 원장'!N2408)</x:f>
        <x:v>262</x:v>
      </x:c>
      <x:c r="H356" s="2" t="str">
        <x:f>IF('신청 원장'!AA2408="","",'신청 원장'!AA2408)</x:f>
        <x:v>내부 관찰 대상</x:v>
      </x:c>
      <x:c r="I356" s="2" t="str">
        <x:f>IF('신청 원장'!O2408="","",'신청 원장'!O2408)</x:f>
      </x:c>
      <x:c r="J356" s="2" t="str">
        <x:f>IF('신청 원장'!W2408="","",'신청 원장'!W2408)</x:f>
      </x:c>
      <x:c r="K356" s="2" t="str">
        <x:f>IF('신청 원장'!X2408="","",'신청 원장'!X2408)</x:f>
        <x:v>보완 회신 일정 확인</x:v>
      </x:c>
      <x:c r="L356" s="2" t="str">
        <x:f>IF('신청 원장'!R2408="","",'신청 원장'!R2408)</x:f>
        <x:v>국내인증</x:v>
      </x:c>
      <x:c r="M356" s="2" t="n">
        <x:f>IF('신청 원장'!S2408="","",'신청 원장'!S2408)</x:f>
        <x:v>726</x:v>
      </x:c>
      <x:c r="N356" s="2" t="str">
        <x:f>IF('신청 원장'!K2408&lt;&gt;"미종결 표시","종결 상태 확인",IF('신청 원장'!N2408="","일자 확인 필요",IF('신청 원장'!N2408&gt;365,"366일 이상",IF('신청 원장'!N2408&gt;90,"91~365일",IF('신청 원장'!N2408&gt;30,"31~90일","0~30일")))))</x:f>
        <x:v>91~365일</x:v>
      </x:c>
      <x:c r="O356" s="2" t="str">
        <x:f>IF(OR('신청 원장'!L2408="",'신청 원장'!L2408="선택"),"담당 원문 확인","기재")</x:f>
        <x:v>기재</x:v>
      </x:c>
      <x:c r="P356" s="2" t="str">
        <x:f>IF('신청 원장'!A2408="","",'신청 원장'!A2408)</x:f>
        <x:v>54bb35bf75d69c131d0b5c93</x:v>
      </x:c>
    </x:row>
    <x:row r="357" ht="42" customHeight="1">
      <x:c r="A357" s="2" t="str">
        <x:f>IF('신청 원장'!B2409="","",'신청 원장'!B2409)</x:f>
        <x:v>감축량 인증</x:v>
      </x:c>
      <x:c r="B357" s="7" t="str">
        <x:f>IF('신청 원장'!D2409="","",'신청 원장'!D2409)</x:f>
        <x:v>플루오린코리아 주식회사 육불화황 회수 및 플라즈마 분해를 통한 온실가스 배출 감축사업</x:v>
      </x:c>
      <x:c r="C357" s="2" t="str">
        <x:f>IF('신청 원장'!F2409="","",'신청 원장'!F2409)</x:f>
        <x:v>2026-03-16</x:v>
      </x:c>
      <x:c r="D357" s="2" t="str">
        <x:f>IF('신청 원장'!J2409="","",'신청 원장'!J2409)</x:f>
        <x:v>기후부협의</x:v>
      </x:c>
      <x:c r="E357" s="2" t="str">
        <x:f>IF('신청 원장'!L2409="","",'신청 원장'!L2409)</x:f>
        <x:v>KECM</x:v>
      </x:c>
      <x:c r="F357" s="2" t="str">
        <x:f>IF('신청 원장'!M2409="","",'신청 원장'!M2409)</x:f>
      </x:c>
      <x:c r="G357" s="2" t="n">
        <x:f>IF('신청 원장'!N2409="","",'신청 원장'!N2409)</x:f>
        <x:v>213</x:v>
      </x:c>
      <x:c r="H357" s="2" t="str">
        <x:f>IF('신청 원장'!AA2409="","",'신청 원장'!AA2409)</x:f>
        <x:v>내부 관찰 대상</x:v>
      </x:c>
      <x:c r="I357" s="2" t="str">
        <x:f>IF('신청 원장'!O2409="","",'신청 원장'!O2409)</x:f>
      </x:c>
      <x:c r="J357" s="2" t="str">
        <x:f>IF('신청 원장'!W2409="","",'신청 원장'!W2409)</x:f>
      </x:c>
      <x:c r="K357" s="2" t="str">
        <x:f>IF('신청 원장'!X2409="","",'신청 원장'!X2409)</x:f>
        <x:v>검토 진행 일정 확인</x:v>
      </x:c>
      <x:c r="L357" s="2" t="str">
        <x:f>IF('신청 원장'!R2409="","",'신청 원장'!R2409)</x:f>
        <x:v>국내인증</x:v>
      </x:c>
      <x:c r="M357" s="2" t="n">
        <x:f>IF('신청 원장'!S2409="","",'신청 원장'!S2409)</x:f>
        <x:v>727</x:v>
      </x:c>
      <x:c r="N357" s="2" t="str">
        <x:f>IF('신청 원장'!K2409&lt;&gt;"미종결 표시","종결 상태 확인",IF('신청 원장'!N2409="","일자 확인 필요",IF('신청 원장'!N2409&gt;365,"366일 이상",IF('신청 원장'!N2409&gt;90,"91~365일",IF('신청 원장'!N2409&gt;30,"31~90일","0~30일")))))</x:f>
        <x:v>91~365일</x:v>
      </x:c>
      <x:c r="O357" s="2" t="str">
        <x:f>IF(OR('신청 원장'!L2409="",'신청 원장'!L2409="선택"),"담당 원문 확인","기재")</x:f>
        <x:v>기재</x:v>
      </x:c>
      <x:c r="P357" s="2" t="str">
        <x:f>IF('신청 원장'!A2409="","",'신청 원장'!A2409)</x:f>
        <x:v>a68446a0a96feacb3b893d7f</x:v>
      </x:c>
    </x:row>
    <x:row r="358" ht="42" customHeight="1">
      <x:c r="A358" s="2" t="str">
        <x:f>IF('신청 원장'!B2410="","",'신청 원장'!B2410)</x:f>
        <x:v>감축량 인증</x:v>
      </x:c>
      <x:c r="B358" s="7" t="str">
        <x:f>IF('신청 원장'!D2410="","",'신청 원장'!D2410)</x:f>
        <x:v>휴켐스 질산공장 N2O 감축사업(휴켐스 주식회사의 질산 공장 세 곳에서 tail gas에 포함된 아산화질소를 촉매를 사용하여 제거하는 프로젝트)</x:v>
      </x:c>
      <x:c r="C358" s="2" t="str">
        <x:f>IF('신청 원장'!F2410="","",'신청 원장'!F2410)</x:f>
        <x:v>2026-04-15</x:v>
      </x:c>
      <x:c r="D358" s="2" t="str">
        <x:f>IF('신청 원장'!J2410="","",'신청 원장'!J2410)</x:f>
        <x:v>보완요청</x:v>
      </x:c>
      <x:c r="E358" s="2" t="str">
        <x:f>IF('신청 원장'!L2410="","",'신청 원장'!L2410)</x:f>
        <x:v>KECM</x:v>
      </x:c>
      <x:c r="F358" s="2" t="str">
        <x:f>IF('신청 원장'!M2410="","",'신청 원장'!M2410)</x:f>
      </x:c>
      <x:c r="G358" s="2" t="n">
        <x:f>IF('신청 원장'!N2410="","",'신청 원장'!N2410)</x:f>
        <x:v>183</x:v>
      </x:c>
      <x:c r="H358" s="2" t="str">
        <x:f>IF('신청 원장'!AA2410="","",'신청 원장'!AA2410)</x:f>
        <x:v>내부 관찰 대상</x:v>
      </x:c>
      <x:c r="I358" s="2" t="str">
        <x:f>IF('신청 원장'!O2410="","",'신청 원장'!O2410)</x:f>
      </x:c>
      <x:c r="J358" s="2" t="str">
        <x:f>IF('신청 원장'!W2410="","",'신청 원장'!W2410)</x:f>
      </x:c>
      <x:c r="K358" s="2" t="str">
        <x:f>IF('신청 원장'!X2410="","",'신청 원장'!X2410)</x:f>
        <x:v>보완 회신 일정 확인</x:v>
      </x:c>
      <x:c r="L358" s="2" t="str">
        <x:f>IF('신청 원장'!R2410="","",'신청 원장'!R2410)</x:f>
        <x:v>국내인증</x:v>
      </x:c>
      <x:c r="M358" s="2" t="n">
        <x:f>IF('신청 원장'!S2410="","",'신청 원장'!S2410)</x:f>
        <x:v>728</x:v>
      </x:c>
      <x:c r="N358" s="2" t="str">
        <x:f>IF('신청 원장'!K2410&lt;&gt;"미종결 표시","종결 상태 확인",IF('신청 원장'!N2410="","일자 확인 필요",IF('신청 원장'!N2410&gt;365,"366일 이상",IF('신청 원장'!N2410&gt;90,"91~365일",IF('신청 원장'!N2410&gt;30,"31~90일","0~30일")))))</x:f>
        <x:v>91~365일</x:v>
      </x:c>
      <x:c r="O358" s="2" t="str">
        <x:f>IF(OR('신청 원장'!L2410="",'신청 원장'!L2410="선택"),"담당 원문 확인","기재")</x:f>
        <x:v>기재</x:v>
      </x:c>
      <x:c r="P358" s="2" t="str">
        <x:f>IF('신청 원장'!A2410="","",'신청 원장'!A2410)</x:f>
        <x:v>2593c0aca0783828302e8ec6</x:v>
      </x:c>
    </x:row>
    <x:row r="359" ht="42" customHeight="1">
      <x:c r="A359" s="2" t="str">
        <x:f>IF('신청 원장'!B2411="","",'신청 원장'!B2411)</x:f>
        <x:v>감축량 인증</x:v>
      </x:c>
      <x:c r="B359" s="7" t="str">
        <x:f>IF('신청 원장'!D2411="","",'신청 원장'!D2411)</x:f>
        <x:v>㈜한화 울산소재 질산공장 N2O 감축 프로젝트</x:v>
      </x:c>
      <x:c r="C359" s="2" t="str">
        <x:f>IF('신청 원장'!F2411="","",'신청 원장'!F2411)</x:f>
        <x:v>2026-04-27</x:v>
      </x:c>
      <x:c r="D359" s="2" t="str">
        <x:f>IF('신청 원장'!J2411="","",'신청 원장'!J2411)</x:f>
        <x:v>보완요청</x:v>
      </x:c>
      <x:c r="E359" s="2" t="str">
        <x:f>IF('신청 원장'!L2411="","",'신청 원장'!L2411)</x:f>
        <x:v>KECM</x:v>
      </x:c>
      <x:c r="F359" s="2" t="str">
        <x:f>IF('신청 원장'!M2411="","",'신청 원장'!M2411)</x:f>
      </x:c>
      <x:c r="G359" s="2" t="n">
        <x:f>IF('신청 원장'!N2411="","",'신청 원장'!N2411)</x:f>
        <x:v>171</x:v>
      </x:c>
      <x:c r="H359" s="2" t="str">
        <x:f>IF('신청 원장'!AA2411="","",'신청 원장'!AA2411)</x:f>
        <x:v>내부 관찰 대상</x:v>
      </x:c>
      <x:c r="I359" s="2" t="str">
        <x:f>IF('신청 원장'!O2411="","",'신청 원장'!O2411)</x:f>
      </x:c>
      <x:c r="J359" s="2" t="str">
        <x:f>IF('신청 원장'!W2411="","",'신청 원장'!W2411)</x:f>
      </x:c>
      <x:c r="K359" s="2" t="str">
        <x:f>IF('신청 원장'!X2411="","",'신청 원장'!X2411)</x:f>
        <x:v>보완 회신 일정 확인</x:v>
      </x:c>
      <x:c r="L359" s="2" t="str">
        <x:f>IF('신청 원장'!R2411="","",'신청 원장'!R2411)</x:f>
        <x:v>국내인증</x:v>
      </x:c>
      <x:c r="M359" s="2" t="n">
        <x:f>IF('신청 원장'!S2411="","",'신청 원장'!S2411)</x:f>
        <x:v>729</x:v>
      </x:c>
      <x:c r="N359" s="2" t="str">
        <x:f>IF('신청 원장'!K2411&lt;&gt;"미종결 표시","종결 상태 확인",IF('신청 원장'!N2411="","일자 확인 필요",IF('신청 원장'!N2411&gt;365,"366일 이상",IF('신청 원장'!N2411&gt;90,"91~365일",IF('신청 원장'!N2411&gt;30,"31~90일","0~30일")))))</x:f>
        <x:v>91~365일</x:v>
      </x:c>
      <x:c r="O359" s="2" t="str">
        <x:f>IF(OR('신청 원장'!L2411="",'신청 원장'!L2411="선택"),"담당 원문 확인","기재")</x:f>
        <x:v>기재</x:v>
      </x:c>
      <x:c r="P359" s="2" t="str">
        <x:f>IF('신청 원장'!A2411="","",'신청 원장'!A2411)</x:f>
        <x:v>4c2271fc6231dfe73b43945e</x:v>
      </x:c>
    </x:row>
    <x:row r="360" ht="42" customHeight="1">
      <x:c r="A360" s="2" t="str">
        <x:f>IF('신청 원장'!B2412="","",'신청 원장'!B2412)</x:f>
        <x:v>감축량 인증</x:v>
      </x:c>
      <x:c r="B360" s="7" t="str">
        <x:f>IF('신청 원장'!D2412="","",'신청 원장'!D2412)</x:f>
        <x:v>㈜규원이엔지 바이오매스 연료기반 열에너지 공급으로 수용가 화석연료 사용량 절감 사업</x:v>
      </x:c>
      <x:c r="C360" s="2" t="str">
        <x:f>IF('신청 원장'!F2412="","",'신청 원장'!F2412)</x:f>
        <x:v>2026-05-18</x:v>
      </x:c>
      <x:c r="D360" s="2" t="str">
        <x:f>IF('신청 원장'!J2412="","",'신청 원장'!J2412)</x:f>
        <x:v>보완요청</x:v>
      </x:c>
      <x:c r="E360" s="2" t="str">
        <x:f>IF('신청 원장'!L2412="","",'신청 원장'!L2412)</x:f>
        <x:v>에코시안_조영우</x:v>
      </x:c>
      <x:c r="F360" s="2" t="str">
        <x:f>IF('신청 원장'!M2412="","",'신청 원장'!M2412)</x:f>
      </x:c>
      <x:c r="G360" s="2" t="n">
        <x:f>IF('신청 원장'!N2412="","",'신청 원장'!N2412)</x:f>
        <x:v>150</x:v>
      </x:c>
      <x:c r="H360" s="2" t="str">
        <x:f>IF('신청 원장'!AA2412="","",'신청 원장'!AA2412)</x:f>
        <x:v>내부 관찰 대상</x:v>
      </x:c>
      <x:c r="I360" s="2" t="str">
        <x:f>IF('신청 원장'!O2412="","",'신청 원장'!O2412)</x:f>
      </x:c>
      <x:c r="J360" s="2" t="str">
        <x:f>IF('신청 원장'!W2412="","",'신청 원장'!W2412)</x:f>
      </x:c>
      <x:c r="K360" s="2" t="str">
        <x:f>IF('신청 원장'!X2412="","",'신청 원장'!X2412)</x:f>
        <x:v>보완 회신 일정 확인</x:v>
      </x:c>
      <x:c r="L360" s="2" t="str">
        <x:f>IF('신청 원장'!R2412="","",'신청 원장'!R2412)</x:f>
        <x:v>국내인증</x:v>
      </x:c>
      <x:c r="M360" s="2" t="n">
        <x:f>IF('신청 원장'!S2412="","",'신청 원장'!S2412)</x:f>
        <x:v>730</x:v>
      </x:c>
      <x:c r="N360" s="2" t="str">
        <x:f>IF('신청 원장'!K2412&lt;&gt;"미종결 표시","종결 상태 확인",IF('신청 원장'!N2412="","일자 확인 필요",IF('신청 원장'!N2412&gt;365,"366일 이상",IF('신청 원장'!N2412&gt;90,"91~365일",IF('신청 원장'!N2412&gt;30,"31~90일","0~30일")))))</x:f>
        <x:v>91~365일</x:v>
      </x:c>
      <x:c r="O360" s="2" t="str">
        <x:f>IF(OR('신청 원장'!L2412="",'신청 원장'!L2412="선택"),"담당 원문 확인","기재")</x:f>
        <x:v>기재</x:v>
      </x:c>
      <x:c r="P360" s="2" t="str">
        <x:f>IF('신청 원장'!A2412="","",'신청 원장'!A2412)</x:f>
        <x:v>b08b56f0eb9740afccb18db5</x:v>
      </x:c>
    </x:row>
    <x:row r="361" ht="42" customHeight="1">
      <x:c r="A361" s="2" t="str">
        <x:f>IF('신청 원장'!B2413="","",'신청 원장'!B2413)</x:f>
        <x:v>감축량 인증</x:v>
      </x:c>
      <x:c r="B361" s="7" t="str">
        <x:f>IF('신청 원장'!D2413="","",'신청 원장'!D2413)</x:f>
        <x:v>공동주택 태양광 발전사업 2011-LH-001-01457</x:v>
      </x:c>
      <x:c r="C361" s="2" t="str">
        <x:f>IF('신청 원장'!F2413="","",'신청 원장'!F2413)</x:f>
        <x:v>2026-07-29</x:v>
      </x:c>
      <x:c r="D361" s="2" t="str">
        <x:f>IF('신청 원장'!J2413="","",'신청 원장'!J2413)</x:f>
      </x:c>
      <x:c r="E361" s="2" t="str">
        <x:f>IF('신청 원장'!L2413="","",'신청 원장'!L2413)</x:f>
      </x:c>
      <x:c r="F361" s="2" t="str">
        <x:f>IF('신청 원장'!M2413="","",'신청 원장'!M2413)</x:f>
      </x:c>
      <x:c r="G361" s="2" t="n">
        <x:f>IF('신청 원장'!N2413="","",'신청 원장'!N2413)</x:f>
        <x:v>78</x:v>
      </x:c>
      <x:c r="H361" s="2" t="str">
        <x:f>IF('신청 원장'!AA2413="","",'신청 원장'!AA2413)</x:f>
        <x:v>대상 아님</x:v>
      </x:c>
      <x:c r="I361" s="2" t="str">
        <x:f>IF('신청 원장'!O2413="","",'신청 원장'!O2413)</x:f>
      </x:c>
      <x:c r="J361" s="2" t="str">
        <x:f>IF('신청 원장'!W2413="","",'신청 원장'!W2413)</x:f>
        <x:v>담당기관 확인 / 종결 여부 확인</x:v>
      </x:c>
      <x:c r="K361" s="2" t="str">
        <x:f>IF('신청 원장'!X2413="","",'신청 원장'!X2413)</x:f>
        <x:v>원본·배정 기록 확인</x:v>
      </x:c>
      <x:c r="L361" s="2" t="str">
        <x:f>IF('신청 원장'!R2413="","",'신청 원장'!R2413)</x:f>
        <x:v>국내인증</x:v>
      </x:c>
      <x:c r="M361" s="2" t="n">
        <x:f>IF('신청 원장'!S2413="","",'신청 원장'!S2413)</x:f>
        <x:v>731</x:v>
      </x:c>
      <x:c r="N361" s="2" t="str">
        <x:f>IF('신청 원장'!K2413&lt;&gt;"미종결 표시","종결 상태 확인",IF('신청 원장'!N2413="","일자 확인 필요",IF('신청 원장'!N2413&gt;365,"366일 이상",IF('신청 원장'!N2413&gt;90,"91~365일",IF('신청 원장'!N2413&gt;30,"31~90일","0~30일")))))</x:f>
        <x:v>종결 상태 확인</x:v>
      </x:c>
      <x:c r="O361" s="2" t="str">
        <x:f>IF(OR('신청 원장'!L2413="",'신청 원장'!L2413="선택"),"담당 원문 확인","기재")</x:f>
        <x:v>담당 원문 확인</x:v>
      </x:c>
      <x:c r="P361" s="2" t="str">
        <x:f>IF('신청 원장'!A2413="","",'신청 원장'!A2413)</x:f>
        <x:v>4d409687109350dc4d3f2999</x:v>
      </x:c>
    </x:row>
    <x:row r="362" ht="42" customHeight="1">
      <x:c r="A362" s="2" t="str">
        <x:f>IF('신청 원장'!B2414="","",'신청 원장'!B2414)</x:f>
        <x:v>감축량 인증</x:v>
      </x:c>
      <x:c r="B362" s="7" t="str">
        <x:f>IF('신청 원장'!D2414="","",'신청 원장'!D2414)</x:f>
        <x:v>공동주택 태양광 발전사업 2016-LH-001-05826</x:v>
      </x:c>
      <x:c r="C362" s="2" t="str">
        <x:f>IF('신청 원장'!F2414="","",'신청 원장'!F2414)</x:f>
        <x:v>2026-09-04</x:v>
      </x:c>
      <x:c r="D362" s="2" t="str">
        <x:f>IF('신청 원장'!J2414="","",'신청 원장'!J2414)</x:f>
      </x:c>
      <x:c r="E362" s="2" t="str">
        <x:f>IF('신청 원장'!L2414="","",'신청 원장'!L2414)</x:f>
      </x:c>
      <x:c r="F362" s="2" t="str">
        <x:f>IF('신청 원장'!M2414="","",'신청 원장'!M2414)</x:f>
      </x:c>
      <x:c r="G362" s="2" t="n">
        <x:f>IF('신청 원장'!N2414="","",'신청 원장'!N2414)</x:f>
        <x:v>41</x:v>
      </x:c>
      <x:c r="H362" s="2" t="str">
        <x:f>IF('신청 원장'!AA2414="","",'신청 원장'!AA2414)</x:f>
        <x:v>대상 아님</x:v>
      </x:c>
      <x:c r="I362" s="2" t="str">
        <x:f>IF('신청 원장'!O2414="","",'신청 원장'!O2414)</x:f>
      </x:c>
      <x:c r="J362" s="2" t="str">
        <x:f>IF('신청 원장'!W2414="","",'신청 원장'!W2414)</x:f>
        <x:v>담당기관 확인 / 종결 여부 확인</x:v>
      </x:c>
      <x:c r="K362" s="2" t="str">
        <x:f>IF('신청 원장'!X2414="","",'신청 원장'!X2414)</x:f>
        <x:v>원본·배정 기록 확인</x:v>
      </x:c>
      <x:c r="L362" s="2" t="str">
        <x:f>IF('신청 원장'!R2414="","",'신청 원장'!R2414)</x:f>
        <x:v>국내인증</x:v>
      </x:c>
      <x:c r="M362" s="2" t="n">
        <x:f>IF('신청 원장'!S2414="","",'신청 원장'!S2414)</x:f>
        <x:v>732</x:v>
      </x:c>
      <x:c r="N362" s="2" t="str">
        <x:f>IF('신청 원장'!K2414&lt;&gt;"미종결 표시","종결 상태 확인",IF('신청 원장'!N2414="","일자 확인 필요",IF('신청 원장'!N2414&gt;365,"366일 이상",IF('신청 원장'!N2414&gt;90,"91~365일",IF('신청 원장'!N2414&gt;30,"31~90일","0~30일")))))</x:f>
        <x:v>종결 상태 확인</x:v>
      </x:c>
      <x:c r="O362" s="2" t="str">
        <x:f>IF(OR('신청 원장'!L2414="",'신청 원장'!L2414="선택"),"담당 원문 확인","기재")</x:f>
        <x:v>담당 원문 확인</x:v>
      </x:c>
      <x:c r="P362" s="2" t="str">
        <x:f>IF('신청 원장'!A2414="","",'신청 원장'!A2414)</x:f>
        <x:v>77e6d0cba530d6ae0a275ad0</x:v>
      </x:c>
    </x:row>
    <x:row r="363" ht="42" customHeight="1">
      <x:c r="A363" s="2" t="str">
        <x:f>IF('신청 원장'!B2415="","",'신청 원장'!B2415)</x:f>
        <x:v>감축량 인증</x:v>
      </x:c>
      <x:c r="B363" s="7" t="str">
        <x:f>IF('신청 원장'!D2415="","",'신청 원장'!D2415)</x:f>
        <x:v>공동주택 태양광 발전사업 2019-LH-001-02396</x:v>
      </x:c>
      <x:c r="C363" s="2" t="str">
        <x:f>IF('신청 원장'!F2415="","",'신청 원장'!F2415)</x:f>
        <x:v>2026-08-10</x:v>
      </x:c>
      <x:c r="D363" s="2" t="str">
        <x:f>IF('신청 원장'!J2415="","",'신청 원장'!J2415)</x:f>
      </x:c>
      <x:c r="E363" s="2" t="str">
        <x:f>IF('신청 원장'!L2415="","",'신청 원장'!L2415)</x:f>
      </x:c>
      <x:c r="F363" s="2" t="str">
        <x:f>IF('신청 원장'!M2415="","",'신청 원장'!M2415)</x:f>
      </x:c>
      <x:c r="G363" s="2" t="n">
        <x:f>IF('신청 원장'!N2415="","",'신청 원장'!N2415)</x:f>
        <x:v>66</x:v>
      </x:c>
      <x:c r="H363" s="2" t="str">
        <x:f>IF('신청 원장'!AA2415="","",'신청 원장'!AA2415)</x:f>
        <x:v>대상 아님</x:v>
      </x:c>
      <x:c r="I363" s="2" t="str">
        <x:f>IF('신청 원장'!O2415="","",'신청 원장'!O2415)</x:f>
      </x:c>
      <x:c r="J363" s="2" t="str">
        <x:f>IF('신청 원장'!W2415="","",'신청 원장'!W2415)</x:f>
        <x:v>담당기관 확인 / 종결 여부 확인</x:v>
      </x:c>
      <x:c r="K363" s="2" t="str">
        <x:f>IF('신청 원장'!X2415="","",'신청 원장'!X2415)</x:f>
        <x:v>원본·배정 기록 확인</x:v>
      </x:c>
      <x:c r="L363" s="2" t="str">
        <x:f>IF('신청 원장'!R2415="","",'신청 원장'!R2415)</x:f>
        <x:v>국내인증</x:v>
      </x:c>
      <x:c r="M363" s="2" t="n">
        <x:f>IF('신청 원장'!S2415="","",'신청 원장'!S2415)</x:f>
        <x:v>733</x:v>
      </x:c>
      <x:c r="N363" s="2" t="str">
        <x:f>IF('신청 원장'!K2415&lt;&gt;"미종결 표시","종결 상태 확인",IF('신청 원장'!N2415="","일자 확인 필요",IF('신청 원장'!N2415&gt;365,"366일 이상",IF('신청 원장'!N2415&gt;90,"91~365일",IF('신청 원장'!N2415&gt;30,"31~90일","0~30일")))))</x:f>
        <x:v>종결 상태 확인</x:v>
      </x:c>
      <x:c r="O363" s="2" t="str">
        <x:f>IF(OR('신청 원장'!L2415="",'신청 원장'!L2415="선택"),"담당 원문 확인","기재")</x:f>
        <x:v>담당 원문 확인</x:v>
      </x:c>
      <x:c r="P363" s="2" t="str">
        <x:f>IF('신청 원장'!A2415="","",'신청 원장'!A2415)</x:f>
        <x:v>7c4515b27853ccf88c5edc8d</x:v>
      </x:c>
    </x:row>
    <x:row r="364" ht="42" customHeight="1">
      <x:c r="A364" s="2" t="str">
        <x:f>IF('신청 원장'!B3069="","",'신청 원장'!B3069)</x:f>
        <x:v>감축량 인증</x:v>
      </x:c>
      <x:c r="B364" s="7" t="str">
        <x:f>IF('신청 원장'!D3069="","",'신청 원장'!D3069)</x:f>
        <x:v>청정 에너지 프로그램 CPA MM 02</x:v>
      </x:c>
      <x:c r="C364" s="2" t="str">
        <x:f>IF('신청 원장'!F3069="","",'신청 원장'!F3069)</x:f>
        <x:v>2022-12-27</x:v>
      </x:c>
      <x:c r="D364" s="2" t="str">
        <x:f>IF('신청 원장'!J3069="","",'신청 원장'!J3069)</x:f>
        <x:v>보완요청(1차)</x:v>
      </x:c>
      <x:c r="E364" s="2" t="str">
        <x:f>IF('신청 원장'!L3069="","",'신청 원장'!L3069)</x:f>
        <x:v>KRIC</x:v>
      </x:c>
      <x:c r="F364" s="2" t="n">
        <x:f>IF('신청 원장'!M3069="","",'신청 원장'!M3069)</x:f>
        <x:v>1</x:v>
      </x:c>
      <x:c r="G364" s="2" t="n">
        <x:f>IF('신청 원장'!N3069="","",'신청 원장'!N3069)</x:f>
        <x:v>1388</x:v>
      </x:c>
      <x:c r="H364" s="2" t="str">
        <x:f>IF('신청 원장'!AA3069="","",'신청 원장'!AA3069)</x:f>
        <x:v>내부 관찰 대상</x:v>
      </x:c>
      <x:c r="I364" s="2" t="str">
        <x:f>IF('신청 원장'!O3069="","",'신청 원장'!O3069)</x:f>
      </x:c>
      <x:c r="J364" s="2" t="str">
        <x:f>IF('신청 원장'!W3069="","",'신청 원장'!W3069)</x:f>
      </x:c>
      <x:c r="K364" s="2" t="str">
        <x:f>IF('신청 원장'!X3069="","",'신청 원장'!X3069)</x:f>
        <x:v>보완 회신 일정 확인</x:v>
      </x:c>
      <x:c r="L364" s="2" t="str">
        <x:f>IF('신청 원장'!R3069="","",'신청 원장'!R3069)</x:f>
        <x:v>국외인증</x:v>
      </x:c>
      <x:c r="M364" s="2" t="n">
        <x:f>IF('신청 원장'!S3069="","",'신청 원장'!S3069)</x:f>
        <x:v>656</x:v>
      </x:c>
      <x:c r="N364" s="2" t="str">
        <x:f>IF('신청 원장'!K3069&lt;&gt;"미종결 표시","종결 상태 확인",IF('신청 원장'!N3069="","일자 확인 필요",IF('신청 원장'!N3069&gt;365,"366일 이상",IF('신청 원장'!N3069&gt;90,"91~365일",IF('신청 원장'!N3069&gt;30,"31~90일","0~30일")))))</x:f>
        <x:v>366일 이상</x:v>
      </x:c>
      <x:c r="O364" s="2" t="str">
        <x:f>IF(OR('신청 원장'!L3069="",'신청 원장'!L3069="선택"),"담당 원문 확인","기재")</x:f>
        <x:v>기재</x:v>
      </x:c>
      <x:c r="P364" s="2" t="str">
        <x:f>IF('신청 원장'!A3069="","",'신청 원장'!A3069)</x:f>
        <x:v>0e1c5b1e24d39663e2bef917</x:v>
      </x:c>
    </x:row>
    <x:row r="365" ht="42" customHeight="1">
      <x:c r="A365" s="2" t="str">
        <x:f>IF('신청 원장'!B3070="","",'신청 원장'!B3070)</x:f>
        <x:v>감축량 인증</x:v>
      </x:c>
      <x:c r="B365" s="7" t="str">
        <x:f>IF('신청 원장'!D3070="","",'신청 원장'!D3070)</x:f>
        <x:v>대한민국이 지원하는 방글라데시 고효율 쿡스토브 프로그램 - CPA01</x:v>
      </x:c>
      <x:c r="C365" s="2" t="str">
        <x:f>IF('신청 원장'!F3070="","",'신청 원장'!F3070)</x:f>
        <x:v>2022-12-27</x:v>
      </x:c>
      <x:c r="D365" s="2" t="str">
        <x:f>IF('신청 원장'!J3070="","",'신청 원장'!J3070)</x:f>
        <x:v>보완요청(1차)</x:v>
      </x:c>
      <x:c r="E365" s="2" t="str">
        <x:f>IF('신청 원장'!L3070="","",'신청 원장'!L3070)</x:f>
        <x:v>KRIC</x:v>
      </x:c>
      <x:c r="F365" s="2" t="n">
        <x:f>IF('신청 원장'!M3070="","",'신청 원장'!M3070)</x:f>
        <x:v>1</x:v>
      </x:c>
      <x:c r="G365" s="2" t="n">
        <x:f>IF('신청 원장'!N3070="","",'신청 원장'!N3070)</x:f>
        <x:v>1388</x:v>
      </x:c>
      <x:c r="H365" s="2" t="str">
        <x:f>IF('신청 원장'!AA3070="","",'신청 원장'!AA3070)</x:f>
        <x:v>내부 관찰 대상</x:v>
      </x:c>
      <x:c r="I365" s="2" t="str">
        <x:f>IF('신청 원장'!O3070="","",'신청 원장'!O3070)</x:f>
      </x:c>
      <x:c r="J365" s="2" t="str">
        <x:f>IF('신청 원장'!W3070="","",'신청 원장'!W3070)</x:f>
      </x:c>
      <x:c r="K365" s="2" t="str">
        <x:f>IF('신청 원장'!X3070="","",'신청 원장'!X3070)</x:f>
        <x:v>보완 회신 일정 확인</x:v>
      </x:c>
      <x:c r="L365" s="2" t="str">
        <x:f>IF('신청 원장'!R3070="","",'신청 원장'!R3070)</x:f>
        <x:v>국외인증</x:v>
      </x:c>
      <x:c r="M365" s="2" t="n">
        <x:f>IF('신청 원장'!S3070="","",'신청 원장'!S3070)</x:f>
        <x:v>657</x:v>
      </x:c>
      <x:c r="N365" s="2" t="str">
        <x:f>IF('신청 원장'!K3070&lt;&gt;"미종결 표시","종결 상태 확인",IF('신청 원장'!N3070="","일자 확인 필요",IF('신청 원장'!N3070&gt;365,"366일 이상",IF('신청 원장'!N3070&gt;90,"91~365일",IF('신청 원장'!N3070&gt;30,"31~90일","0~30일")))))</x:f>
        <x:v>366일 이상</x:v>
      </x:c>
      <x:c r="O365" s="2" t="str">
        <x:f>IF(OR('신청 원장'!L3070="",'신청 원장'!L3070="선택"),"담당 원문 확인","기재")</x:f>
        <x:v>기재</x:v>
      </x:c>
      <x:c r="P365" s="2" t="str">
        <x:f>IF('신청 원장'!A3070="","",'신청 원장'!A3070)</x:f>
        <x:v>1c3089f4cd1c5e8016af6cc7</x:v>
      </x:c>
    </x:row>
    <x:row r="366" ht="42" customHeight="1">
      <x:c r="A366" s="2" t="str">
        <x:f>IF('신청 원장'!B3091="","",'신청 원장'!B3091)</x:f>
        <x:v>감축량 인증</x:v>
      </x:c>
      <x:c r="B366" s="7" t="str">
        <x:f>IF('신청 원장'!D3091="","",'신청 원장'!D3091)</x:f>
        <x:v>청정 에너지 프로그램 CPA MM 02</x:v>
      </x:c>
      <x:c r="C366" s="2" t="str">
        <x:f>IF('신청 원장'!F3091="","",'신청 원장'!F3091)</x:f>
        <x:v>2023-10-19</x:v>
      </x:c>
      <x:c r="D366" s="2" t="str">
        <x:f>IF('신청 원장'!J3091="","",'신청 원장'!J3091)</x:f>
        <x:v>보완요청(1차)</x:v>
      </x:c>
      <x:c r="E366" s="2" t="str">
        <x:f>IF('신청 원장'!L3091="","",'신청 원장'!L3091)</x:f>
        <x:v>KRIC</x:v>
      </x:c>
      <x:c r="F366" s="2" t="n">
        <x:f>IF('신청 원장'!M3091="","",'신청 원장'!M3091)</x:f>
        <x:v>1</x:v>
      </x:c>
      <x:c r="G366" s="2" t="n">
        <x:f>IF('신청 원장'!N3091="","",'신청 원장'!N3091)</x:f>
        <x:v>1092</x:v>
      </x:c>
      <x:c r="H366" s="2" t="str">
        <x:f>IF('신청 원장'!AA3091="","",'신청 원장'!AA3091)</x:f>
        <x:v>내부 관찰 대상</x:v>
      </x:c>
      <x:c r="I366" s="2" t="str">
        <x:f>IF('신청 원장'!O3091="","",'신청 원장'!O3091)</x:f>
      </x:c>
      <x:c r="J366" s="2" t="str">
        <x:f>IF('신청 원장'!W3091="","",'신청 원장'!W3091)</x:f>
      </x:c>
      <x:c r="K366" s="2" t="str">
        <x:f>IF('신청 원장'!X3091="","",'신청 원장'!X3091)</x:f>
        <x:v>보완 회신 일정 확인</x:v>
      </x:c>
      <x:c r="L366" s="2" t="str">
        <x:f>IF('신청 원장'!R3091="","",'신청 원장'!R3091)</x:f>
        <x:v>국외인증</x:v>
      </x:c>
      <x:c r="M366" s="2" t="n">
        <x:f>IF('신청 원장'!S3091="","",'신청 원장'!S3091)</x:f>
        <x:v>678</x:v>
      </x:c>
      <x:c r="N366" s="2" t="str">
        <x:f>IF('신청 원장'!K3091&lt;&gt;"미종결 표시","종결 상태 확인",IF('신청 원장'!N3091="","일자 확인 필요",IF('신청 원장'!N3091&gt;365,"366일 이상",IF('신청 원장'!N3091&gt;90,"91~365일",IF('신청 원장'!N3091&gt;30,"31~90일","0~30일")))))</x:f>
        <x:v>366일 이상</x:v>
      </x:c>
      <x:c r="O366" s="2" t="str">
        <x:f>IF(OR('신청 원장'!L3091="",'신청 원장'!L3091="선택"),"담당 원문 확인","기재")</x:f>
        <x:v>기재</x:v>
      </x:c>
      <x:c r="P366" s="2" t="str">
        <x:f>IF('신청 원장'!A3091="","",'신청 원장'!A3091)</x:f>
        <x:v>6452b492d8454c1d2081aaaa</x:v>
      </x:c>
    </x:row>
    <x:row r="367" ht="42" customHeight="1">
      <x:c r="A367" s="2" t="str">
        <x:f>IF('신청 원장'!B3092="","",'신청 원장'!B3092)</x:f>
        <x:v>감축량 인증</x:v>
      </x:c>
      <x:c r="B367" s="7" t="str">
        <x:f>IF('신청 원장'!D3092="","",'신청 원장'!D3092)</x:f>
        <x:v>삼성전자 인도 고효율 냉장고 CDM 사업</x:v>
      </x:c>
      <x:c r="C367" s="2" t="str">
        <x:f>IF('신청 원장'!F3092="","",'신청 원장'!F3092)</x:f>
        <x:v>2023-12-18</x:v>
      </x:c>
      <x:c r="D367" s="2" t="str">
        <x:f>IF('신청 원장'!J3092="","",'신청 원장'!J3092)</x:f>
        <x:v>보류</x:v>
      </x:c>
      <x:c r="E367" s="2" t="str">
        <x:f>IF('신청 원장'!L3092="","",'신청 원장'!L3092)</x:f>
        <x:v>KRIC</x:v>
      </x:c>
      <x:c r="F367" s="2" t="str">
        <x:f>IF('신청 원장'!M3092="","",'신청 원장'!M3092)</x:f>
      </x:c>
      <x:c r="G367" s="2" t="n">
        <x:f>IF('신청 원장'!N3092="","",'신청 원장'!N3092)</x:f>
        <x:v>1032</x:v>
      </x:c>
      <x:c r="H367" s="2" t="str">
        <x:f>IF('신청 원장'!AA3092="","",'신청 원장'!AA3092)</x:f>
        <x:v>내부 관찰 대상</x:v>
      </x:c>
      <x:c r="I367" s="2" t="str">
        <x:f>IF('신청 원장'!O3092="","",'신청 원장'!O3092)</x:f>
      </x:c>
      <x:c r="J367" s="2" t="str">
        <x:f>IF('신청 원장'!W3092="","",'신청 원장'!W3092)</x:f>
      </x:c>
      <x:c r="K367" s="2" t="str">
        <x:f>IF('신청 원장'!X3092="","",'신청 원장'!X3092)</x:f>
        <x:v>검토 진행 일정 확인</x:v>
      </x:c>
      <x:c r="L367" s="2" t="str">
        <x:f>IF('신청 원장'!R3092="","",'신청 원장'!R3092)</x:f>
        <x:v>국외인증</x:v>
      </x:c>
      <x:c r="M367" s="2" t="n">
        <x:f>IF('신청 원장'!S3092="","",'신청 원장'!S3092)</x:f>
        <x:v>679</x:v>
      </x:c>
      <x:c r="N367" s="2" t="str">
        <x:f>IF('신청 원장'!K3092&lt;&gt;"미종결 표시","종결 상태 확인",IF('신청 원장'!N3092="","일자 확인 필요",IF('신청 원장'!N3092&gt;365,"366일 이상",IF('신청 원장'!N3092&gt;90,"91~365일",IF('신청 원장'!N3092&gt;30,"31~90일","0~30일")))))</x:f>
        <x:v>366일 이상</x:v>
      </x:c>
      <x:c r="O367" s="2" t="str">
        <x:f>IF(OR('신청 원장'!L3092="",'신청 원장'!L3092="선택"),"담당 원문 확인","기재")</x:f>
        <x:v>기재</x:v>
      </x:c>
      <x:c r="P367" s="2" t="str">
        <x:f>IF('신청 원장'!A3092="","",'신청 원장'!A3092)</x:f>
        <x:v>1d8c910f246b2d9be2313b44</x:v>
      </x:c>
    </x:row>
    <x:row r="368" ht="42" customHeight="1">
      <x:c r="A368" s="2" t="str">
        <x:f>IF('신청 원장'!B3093="","",'신청 원장'!B3093)</x:f>
        <x:v>감축량 인증</x:v>
      </x:c>
      <x:c r="B368" s="7" t="str">
        <x:f>IF('신청 원장'!D3093="","",'신청 원장'!D3093)</x:f>
        <x:v>삼성전자 인도 고효율 냉장고 CDM 사업</x:v>
      </x:c>
      <x:c r="C368" s="2" t="str">
        <x:f>IF('신청 원장'!F3093="","",'신청 원장'!F3093)</x:f>
        <x:v>2023-12-18</x:v>
      </x:c>
      <x:c r="D368" s="2" t="str">
        <x:f>IF('신청 원장'!J3093="","",'신청 원장'!J3093)</x:f>
        <x:v>보류</x:v>
      </x:c>
      <x:c r="E368" s="2" t="str">
        <x:f>IF('신청 원장'!L3093="","",'신청 원장'!L3093)</x:f>
        <x:v>KRIC</x:v>
      </x:c>
      <x:c r="F368" s="2" t="str">
        <x:f>IF('신청 원장'!M3093="","",'신청 원장'!M3093)</x:f>
      </x:c>
      <x:c r="G368" s="2" t="n">
        <x:f>IF('신청 원장'!N3093="","",'신청 원장'!N3093)</x:f>
        <x:v>1032</x:v>
      </x:c>
      <x:c r="H368" s="2" t="str">
        <x:f>IF('신청 원장'!AA3093="","",'신청 원장'!AA3093)</x:f>
        <x:v>내부 관찰 대상</x:v>
      </x:c>
      <x:c r="I368" s="2" t="str">
        <x:f>IF('신청 원장'!O3093="","",'신청 원장'!O3093)</x:f>
      </x:c>
      <x:c r="J368" s="2" t="str">
        <x:f>IF('신청 원장'!W3093="","",'신청 원장'!W3093)</x:f>
      </x:c>
      <x:c r="K368" s="2" t="str">
        <x:f>IF('신청 원장'!X3093="","",'신청 원장'!X3093)</x:f>
        <x:v>검토 진행 일정 확인</x:v>
      </x:c>
      <x:c r="L368" s="2" t="str">
        <x:f>IF('신청 원장'!R3093="","",'신청 원장'!R3093)</x:f>
        <x:v>국외인증</x:v>
      </x:c>
      <x:c r="M368" s="2" t="n">
        <x:f>IF('신청 원장'!S3093="","",'신청 원장'!S3093)</x:f>
        <x:v>680</x:v>
      </x:c>
      <x:c r="N368" s="2" t="str">
        <x:f>IF('신청 원장'!K3093&lt;&gt;"미종결 표시","종결 상태 확인",IF('신청 원장'!N3093="","일자 확인 필요",IF('신청 원장'!N3093&gt;365,"366일 이상",IF('신청 원장'!N3093&gt;90,"91~365일",IF('신청 원장'!N3093&gt;30,"31~90일","0~30일")))))</x:f>
        <x:v>366일 이상</x:v>
      </x:c>
      <x:c r="O368" s="2" t="str">
        <x:f>IF(OR('신청 원장'!L3093="",'신청 원장'!L3093="선택"),"담당 원문 확인","기재")</x:f>
        <x:v>기재</x:v>
      </x:c>
      <x:c r="P368" s="2" t="str">
        <x:f>IF('신청 원장'!A3093="","",'신청 원장'!A3093)</x:f>
        <x:v>3d5b499d2dd731c3d21032c0</x:v>
      </x:c>
    </x:row>
    <x:row r="369" ht="42" customHeight="1">
      <x:c r="A369" s="2" t="str">
        <x:f>IF('신청 원장'!B3095="","",'신청 원장'!B3095)</x:f>
        <x:v>사업 비공개 신청</x:v>
      </x:c>
      <x:c r="B369" s="7" t="str">
        <x:f>IF('신청 원장'!D3095="","",'신청 원장'!D3095)</x:f>
        <x:v>생태산업개발을 통한 미세먼지 및 온실가스 감축 사업-산단 친환경설비 인프라지원</x:v>
      </x:c>
      <x:c r="C369" s="2" t="str">
        <x:f>IF('신청 원장'!F3095="","",'신청 원장'!F3095)</x:f>
        <x:v>2025-12-15</x:v>
      </x:c>
      <x:c r="D369" s="2" t="str">
        <x:f>IF('신청 원장'!J3095="","",'신청 원장'!J3095)</x:f>
        <x:v>반려요청</x:v>
      </x:c>
      <x:c r="E369" s="2" t="str">
        <x:f>IF('신청 원장'!L3095="","",'신청 원장'!L3095)</x:f>
        <x:v>에코시안</x:v>
      </x:c>
      <x:c r="F369" s="2" t="str">
        <x:f>IF('신청 원장'!M3095="","",'신청 원장'!M3095)</x:f>
      </x:c>
      <x:c r="G369" s="2" t="n">
        <x:f>IF('신청 원장'!N3095="","",'신청 원장'!N3095)</x:f>
        <x:v>304</x:v>
      </x:c>
      <x:c r="H369" s="2" t="str">
        <x:f>IF('신청 원장'!AA3095="","",'신청 원장'!AA3095)</x:f>
        <x:v>내부 관찰 대상</x:v>
      </x:c>
      <x:c r="I369" s="2" t="str">
        <x:f>IF('신청 원장'!O3095="","",'신청 원장'!O3095)</x:f>
      </x:c>
      <x:c r="J369" s="2" t="str">
        <x:f>IF('신청 원장'!W3095="","",'신청 원장'!W3095)</x:f>
      </x:c>
      <x:c r="K369" s="2" t="str">
        <x:f>IF('신청 원장'!X3095="","",'신청 원장'!X3095)</x:f>
        <x:v>검토 진행 일정 확인</x:v>
      </x:c>
      <x:c r="L369" s="2" t="str">
        <x:f>IF('신청 원장'!R3095="","",'신청 원장'!R3095)</x:f>
        <x:v>(비공개)국내평가</x:v>
      </x:c>
      <x:c r="M369" s="2" t="n">
        <x:f>IF('신청 원장'!S3095="","",'신청 원장'!S3095)</x:f>
        <x:v>3</x:v>
      </x:c>
      <x:c r="N369" s="2" t="str">
        <x:f>IF('신청 원장'!K3095&lt;&gt;"미종결 표시","종결 상태 확인",IF('신청 원장'!N3095="","일자 확인 필요",IF('신청 원장'!N3095&gt;365,"366일 이상",IF('신청 원장'!N3095&gt;90,"91~365일",IF('신청 원장'!N3095&gt;30,"31~90일","0~30일")))))</x:f>
        <x:v>91~365일</x:v>
      </x:c>
      <x:c r="O369" s="2" t="str">
        <x:f>IF(OR('신청 원장'!L3095="",'신청 원장'!L3095="선택"),"담당 원문 확인","기재")</x:f>
        <x:v>기재</x:v>
      </x:c>
      <x:c r="P369" s="2" t="str">
        <x:f>IF('신청 원장'!A3095="","",'신청 원장'!A3095)</x:f>
        <x:v>583581316153262bd3523391</x:v>
      </x:c>
    </x:row>
    <x:row r="370" ht="42" customHeight="1">
      <x:c r="A370" s="2" t="str">
        <x:f>IF('신청 원장'!B3096="","",'신청 원장'!B3096)</x:f>
        <x:v>사업 비공개 신청</x:v>
      </x:c>
      <x:c r="B370" s="7" t="str">
        <x:f>IF('신청 원장'!D3096="","",'신청 원장'!D3096)</x:f>
        <x:v>서울시 20212023년 LED 도로조명 교체를 통한 온실가스 감축사업</x:v>
      </x:c>
      <x:c r="C370" s="2" t="str">
        <x:f>IF('신청 원장'!F3096="","",'신청 원장'!F3096)</x:f>
        <x:v>2025-11-04</x:v>
      </x:c>
      <x:c r="D370" s="2" t="str">
        <x:f>IF('신청 원장'!J3096="","",'신청 원장'!J3096)</x:f>
        <x:v>보완요청</x:v>
      </x:c>
      <x:c r="E370" s="2" t="str">
        <x:f>IF('신청 원장'!L3096="","",'신청 원장'!L3096)</x:f>
        <x:v>KECM</x:v>
      </x:c>
      <x:c r="F370" s="2" t="str">
        <x:f>IF('신청 원장'!M3096="","",'신청 원장'!M3096)</x:f>
      </x:c>
      <x:c r="G370" s="2" t="n">
        <x:f>IF('신청 원장'!N3096="","",'신청 원장'!N3096)</x:f>
        <x:v>345</x:v>
      </x:c>
      <x:c r="H370" s="2" t="str">
        <x:f>IF('신청 원장'!AA3096="","",'신청 원장'!AA3096)</x:f>
        <x:v>내부 관찰 대상</x:v>
      </x:c>
      <x:c r="I370" s="2" t="str">
        <x:f>IF('신청 원장'!O3096="","",'신청 원장'!O3096)</x:f>
      </x:c>
      <x:c r="J370" s="2" t="str">
        <x:f>IF('신청 원장'!W3096="","",'신청 원장'!W3096)</x:f>
      </x:c>
      <x:c r="K370" s="2" t="str">
        <x:f>IF('신청 원장'!X3096="","",'신청 원장'!X3096)</x:f>
        <x:v>보완 회신 일정 확인</x:v>
      </x:c>
      <x:c r="L370" s="2" t="str">
        <x:f>IF('신청 원장'!R3096="","",'신청 원장'!R3096)</x:f>
        <x:v>(비공개)국내평가</x:v>
      </x:c>
      <x:c r="M370" s="2" t="n">
        <x:f>IF('신청 원장'!S3096="","",'신청 원장'!S3096)</x:f>
        <x:v>4</x:v>
      </x:c>
      <x:c r="N370" s="2" t="str">
        <x:f>IF('신청 원장'!K3096&lt;&gt;"미종결 표시","종결 상태 확인",IF('신청 원장'!N3096="","일자 확인 필요",IF('신청 원장'!N3096&gt;365,"366일 이상",IF('신청 원장'!N3096&gt;90,"91~365일",IF('신청 원장'!N3096&gt;30,"31~90일","0~30일")))))</x:f>
        <x:v>91~365일</x:v>
      </x:c>
      <x:c r="O370" s="2" t="str">
        <x:f>IF(OR('신청 원장'!L3096="",'신청 원장'!L3096="선택"),"담당 원문 확인","기재")</x:f>
        <x:v>기재</x:v>
      </x:c>
      <x:c r="P370" s="2" t="str">
        <x:f>IF('신청 원장'!A3096="","",'신청 원장'!A3096)</x:f>
        <x:v>c8431b5335e71b511b4f7c51</x:v>
      </x:c>
    </x:row>
    <x:row r="371" ht="42" customHeight="1">
      <x:c r="A371" s="2" t="str">
        <x:f>IF('신청 원장'!B3101="","",'신청 원장'!B3101)</x:f>
        <x:v>사업 비공개 신청</x:v>
      </x:c>
      <x:c r="B371" s="7" t="str">
        <x:f>IF('신청 원장'!D3101="","",'신청 원장'!D3101)</x:f>
        <x:v>주택용 태양광 발전 시스템을 이용한 자가사용 묶음 감축사업</x:v>
      </x:c>
      <x:c r="C371" s="2" t="str">
        <x:f>IF('신청 원장'!F3101="","",'신청 원장'!F3101)</x:f>
        <x:v>2024-10-16</x:v>
      </x:c>
      <x:c r="D371" s="2" t="str">
        <x:f>IF('신청 원장'!J3101="","",'신청 원장'!J3101)</x:f>
        <x:v>보완요청</x:v>
      </x:c>
      <x:c r="E371" s="2" t="str">
        <x:f>IF('신청 원장'!L3101="","",'신청 원장'!L3101)</x:f>
        <x:v>에코시안_조영우</x:v>
      </x:c>
      <x:c r="F371" s="2" t="str">
        <x:f>IF('신청 원장'!M3101="","",'신청 원장'!M3101)</x:f>
      </x:c>
      <x:c r="G371" s="2" t="n">
        <x:f>IF('신청 원장'!N3101="","",'신청 원장'!N3101)</x:f>
        <x:v>729</x:v>
      </x:c>
      <x:c r="H371" s="2" t="str">
        <x:f>IF('신청 원장'!AA3101="","",'신청 원장'!AA3101)</x:f>
        <x:v>내부 관찰 대상</x:v>
      </x:c>
      <x:c r="I371" s="2" t="str">
        <x:f>IF('신청 원장'!O3101="","",'신청 원장'!O3101)</x:f>
      </x:c>
      <x:c r="J371" s="2" t="str">
        <x:f>IF('신청 원장'!W3101="","",'신청 원장'!W3101)</x:f>
      </x:c>
      <x:c r="K371" s="2" t="str">
        <x:f>IF('신청 원장'!X3101="","",'신청 원장'!X3101)</x:f>
        <x:v>보완 회신 일정 확인</x:v>
      </x:c>
      <x:c r="L371" s="2" t="str">
        <x:f>IF('신청 원장'!R3101="","",'신청 원장'!R3101)</x:f>
        <x:v>(비공개)국내평가</x:v>
      </x:c>
      <x:c r="M371" s="2" t="n">
        <x:f>IF('신청 원장'!S3101="","",'신청 원장'!S3101)</x:f>
        <x:v>9</x:v>
      </x:c>
      <x:c r="N371" s="2" t="str">
        <x:f>IF('신청 원장'!K3101&lt;&gt;"미종결 표시","종결 상태 확인",IF('신청 원장'!N3101="","일자 확인 필요",IF('신청 원장'!N3101&gt;365,"366일 이상",IF('신청 원장'!N3101&gt;90,"91~365일",IF('신청 원장'!N3101&gt;30,"31~90일","0~30일")))))</x:f>
        <x:v>366일 이상</x:v>
      </x:c>
      <x:c r="O371" s="2" t="str">
        <x:f>IF(OR('신청 원장'!L3101="",'신청 원장'!L3101="선택"),"담당 원문 확인","기재")</x:f>
        <x:v>기재</x:v>
      </x:c>
      <x:c r="P371" s="2" t="str">
        <x:f>IF('신청 원장'!A3101="","",'신청 원장'!A3101)</x:f>
        <x:v>754ab33ae702a0a2a99e18c9</x:v>
      </x:c>
    </x:row>
    <x:row r="372" ht="42" customHeight="1">
      <x:c r="A372" s="2" t="str">
        <x:f>IF('신청 원장'!B3103="","",'신청 원장'!B3103)</x:f>
        <x:v>사업 비공개 신청</x:v>
      </x:c>
      <x:c r="B372" s="7" t="str">
        <x:f>IF('신청 원장'!D3103="","",'신청 원장'!D3103)</x:f>
        <x:v>2022년 춘천시 도로조명 LED 교체를 통한 감축사업</x:v>
      </x:c>
      <x:c r="C372" s="2" t="str">
        <x:f>IF('신청 원장'!F3103="","",'신청 원장'!F3103)</x:f>
        <x:v>2025-10-28</x:v>
      </x:c>
      <x:c r="D372" s="2" t="str">
        <x:f>IF('신청 원장'!J3103="","",'신청 원장'!J3103)</x:f>
        <x:v>보완완료</x:v>
      </x:c>
      <x:c r="E372" s="2" t="str">
        <x:f>IF('신청 원장'!L3103="","",'신청 원장'!L3103)</x:f>
        <x:v>에코시안</x:v>
      </x:c>
      <x:c r="F372" s="2" t="str">
        <x:f>IF('신청 원장'!M3103="","",'신청 원장'!M3103)</x:f>
      </x:c>
      <x:c r="G372" s="2" t="n">
        <x:f>IF('신청 원장'!N3103="","",'신청 원장'!N3103)</x:f>
        <x:v>352</x:v>
      </x:c>
      <x:c r="H372" s="2" t="str">
        <x:f>IF('신청 원장'!AA3103="","",'신청 원장'!AA3103)</x:f>
        <x:v>내부 관찰 대상</x:v>
      </x:c>
      <x:c r="I372" s="2" t="str">
        <x:f>IF('신청 원장'!O3103="","",'신청 원장'!O3103)</x:f>
      </x:c>
      <x:c r="J372" s="2" t="str">
        <x:f>IF('신청 원장'!W3103="","",'신청 원장'!W3103)</x:f>
      </x:c>
      <x:c r="K372" s="2" t="str">
        <x:f>IF('신청 원장'!X3103="","",'신청 원장'!X3103)</x:f>
        <x:v>보완 회신 일정 확인</x:v>
      </x:c>
      <x:c r="L372" s="2" t="str">
        <x:f>IF('신청 원장'!R3103="","",'신청 원장'!R3103)</x:f>
        <x:v>(비공개)국내평가</x:v>
      </x:c>
      <x:c r="M372" s="2" t="n">
        <x:f>IF('신청 원장'!S3103="","",'신청 원장'!S3103)</x:f>
        <x:v>11</x:v>
      </x:c>
      <x:c r="N372" s="2" t="str">
        <x:f>IF('신청 원장'!K3103&lt;&gt;"미종결 표시","종결 상태 확인",IF('신청 원장'!N3103="","일자 확인 필요",IF('신청 원장'!N3103&gt;365,"366일 이상",IF('신청 원장'!N3103&gt;90,"91~365일",IF('신청 원장'!N3103&gt;30,"31~90일","0~30일")))))</x:f>
        <x:v>91~365일</x:v>
      </x:c>
      <x:c r="O372" s="2" t="str">
        <x:f>IF(OR('신청 원장'!L3103="",'신청 원장'!L3103="선택"),"담당 원문 확인","기재")</x:f>
        <x:v>기재</x:v>
      </x:c>
      <x:c r="P372" s="2" t="str">
        <x:f>IF('신청 원장'!A3103="","",'신청 원장'!A3103)</x:f>
        <x:v>ced696084ad3414762fc7b73</x:v>
      </x:c>
    </x:row>
    <x:row r="373" ht="42" customHeight="1">
      <x:c r="A373" s="2" t="str">
        <x:f>IF('신청 원장'!B3104="","",'신청 원장'!B3104)</x:f>
        <x:v>사업 비공개 신청</x:v>
      </x:c>
      <x:c r="B373" s="7" t="str">
        <x:f>IF('신청 원장'!D3104="","",'신청 원장'!D3104)</x:f>
        <x:v>신성이앤에스 영덕군 태양광 발전시설의 리파워링 사업</x:v>
      </x:c>
      <x:c r="C373" s="2" t="str">
        <x:f>IF('신청 원장'!F3104="","",'신청 원장'!F3104)</x:f>
        <x:v>2024-01-29</x:v>
      </x:c>
      <x:c r="D373" s="2" t="str">
        <x:f>IF('신청 원장'!J3104="","",'신청 원장'!J3104)</x:f>
        <x:v>보완요청</x:v>
      </x:c>
      <x:c r="E373" s="2" t="str">
        <x:f>IF('신청 원장'!L3104="","",'신청 원장'!L3104)</x:f>
        <x:v>KECM_조수민</x:v>
      </x:c>
      <x:c r="F373" s="2" t="str">
        <x:f>IF('신청 원장'!M3104="","",'신청 원장'!M3104)</x:f>
      </x:c>
      <x:c r="G373" s="2" t="n">
        <x:f>IF('신청 원장'!N3104="","",'신청 원장'!N3104)</x:f>
        <x:v>990</x:v>
      </x:c>
      <x:c r="H373" s="2" t="str">
        <x:f>IF('신청 원장'!AA3104="","",'신청 원장'!AA3104)</x:f>
        <x:v>내부 관찰 대상</x:v>
      </x:c>
      <x:c r="I373" s="2" t="str">
        <x:f>IF('신청 원장'!O3104="","",'신청 원장'!O3104)</x:f>
      </x:c>
      <x:c r="J373" s="2" t="str">
        <x:f>IF('신청 원장'!W3104="","",'신청 원장'!W3104)</x:f>
      </x:c>
      <x:c r="K373" s="2" t="str">
        <x:f>IF('신청 원장'!X3104="","",'신청 원장'!X3104)</x:f>
        <x:v>보완 회신 일정 확인</x:v>
      </x:c>
      <x:c r="L373" s="2" t="str">
        <x:f>IF('신청 원장'!R3104="","",'신청 원장'!R3104)</x:f>
        <x:v>(비공개)국내평가</x:v>
      </x:c>
      <x:c r="M373" s="2" t="n">
        <x:f>IF('신청 원장'!S3104="","",'신청 원장'!S3104)</x:f>
        <x:v>12</x:v>
      </x:c>
      <x:c r="N373" s="2" t="str">
        <x:f>IF('신청 원장'!K3104&lt;&gt;"미종결 표시","종결 상태 확인",IF('신청 원장'!N3104="","일자 확인 필요",IF('신청 원장'!N3104&gt;365,"366일 이상",IF('신청 원장'!N3104&gt;90,"91~365일",IF('신청 원장'!N3104&gt;30,"31~90일","0~30일")))))</x:f>
        <x:v>366일 이상</x:v>
      </x:c>
      <x:c r="O373" s="2" t="str">
        <x:f>IF(OR('신청 원장'!L3104="",'신청 원장'!L3104="선택"),"담당 원문 확인","기재")</x:f>
        <x:v>기재</x:v>
      </x:c>
      <x:c r="P373" s="2" t="str">
        <x:f>IF('신청 원장'!A3104="","",'신청 원장'!A3104)</x:f>
        <x:v>59bdb4609825202725d2958a</x:v>
      </x:c>
    </x:row>
    <x:row r="374" ht="42" customHeight="1">
      <x:c r="A374" s="2" t="str">
        <x:f>IF('신청 원장'!B3105="","",'신청 원장'!B3105)</x:f>
        <x:v>사업 비공개 신청</x:v>
      </x:c>
      <x:c r="B374" s="7" t="str">
        <x:f>IF('신청 원장'!D3105="","",'신청 원장'!D3105)</x:f>
        <x:v>신성이앤에스 영동군 태양광 발전시설의 리파워링 사업</x:v>
      </x:c>
      <x:c r="C374" s="2" t="str">
        <x:f>IF('신청 원장'!F3105="","",'신청 원장'!F3105)</x:f>
        <x:v>2024-01-29</x:v>
      </x:c>
      <x:c r="D374" s="2" t="str">
        <x:f>IF('신청 원장'!J3105="","",'신청 원장'!J3105)</x:f>
        <x:v>보완요청</x:v>
      </x:c>
      <x:c r="E374" s="2" t="str">
        <x:f>IF('신청 원장'!L3105="","",'신청 원장'!L3105)</x:f>
        <x:v>KECM_조수민</x:v>
      </x:c>
      <x:c r="F374" s="2" t="str">
        <x:f>IF('신청 원장'!M3105="","",'신청 원장'!M3105)</x:f>
      </x:c>
      <x:c r="G374" s="2" t="n">
        <x:f>IF('신청 원장'!N3105="","",'신청 원장'!N3105)</x:f>
        <x:v>990</x:v>
      </x:c>
      <x:c r="H374" s="2" t="str">
        <x:f>IF('신청 원장'!AA3105="","",'신청 원장'!AA3105)</x:f>
        <x:v>내부 관찰 대상</x:v>
      </x:c>
      <x:c r="I374" s="2" t="str">
        <x:f>IF('신청 원장'!O3105="","",'신청 원장'!O3105)</x:f>
      </x:c>
      <x:c r="J374" s="2" t="str">
        <x:f>IF('신청 원장'!W3105="","",'신청 원장'!W3105)</x:f>
      </x:c>
      <x:c r="K374" s="2" t="str">
        <x:f>IF('신청 원장'!X3105="","",'신청 원장'!X3105)</x:f>
        <x:v>보완 회신 일정 확인</x:v>
      </x:c>
      <x:c r="L374" s="2" t="str">
        <x:f>IF('신청 원장'!R3105="","",'신청 원장'!R3105)</x:f>
        <x:v>(비공개)국내평가</x:v>
      </x:c>
      <x:c r="M374" s="2" t="n">
        <x:f>IF('신청 원장'!S3105="","",'신청 원장'!S3105)</x:f>
        <x:v>13</x:v>
      </x:c>
      <x:c r="N374" s="2" t="str">
        <x:f>IF('신청 원장'!K3105&lt;&gt;"미종결 표시","종결 상태 확인",IF('신청 원장'!N3105="","일자 확인 필요",IF('신청 원장'!N3105&gt;365,"366일 이상",IF('신청 원장'!N3105&gt;90,"91~365일",IF('신청 원장'!N3105&gt;30,"31~90일","0~30일")))))</x:f>
        <x:v>366일 이상</x:v>
      </x:c>
      <x:c r="O374" s="2" t="str">
        <x:f>IF(OR('신청 원장'!L3105="",'신청 원장'!L3105="선택"),"담당 원문 확인","기재")</x:f>
        <x:v>기재</x:v>
      </x:c>
      <x:c r="P374" s="2" t="str">
        <x:f>IF('신청 원장'!A3105="","",'신청 원장'!A3105)</x:f>
        <x:v>31dbb33e0e004ac16f4aa775</x:v>
      </x:c>
    </x:row>
    <x:row r="375" ht="42" customHeight="1">
      <x:c r="A375" s="2" t="str">
        <x:f>IF('신청 원장'!B3109="","",'신청 원장'!B3109)</x:f>
        <x:v>사업 비공개 신청</x:v>
      </x:c>
      <x:c r="B375" s="7" t="str">
        <x:f>IF('신청 원장'!D3109="","",'신청 원장'!D3109)</x:f>
        <x:v>대림아스콘의 B-C유에서 도시가스(LNG)로 연료전환을 통한 온실가스 배출 감축사업</x:v>
      </x:c>
      <x:c r="C375" s="2" t="str">
        <x:f>IF('신청 원장'!F3109="","",'신청 원장'!F3109)</x:f>
        <x:v>2022-06-07</x:v>
      </x:c>
      <x:c r="D375" s="2" t="str">
        <x:f>IF('신청 원장'!J3109="","",'신청 원장'!J3109)</x:f>
        <x:v>보완요청</x:v>
      </x:c>
      <x:c r="E375" s="2" t="str">
        <x:f>IF('신청 원장'!L3109="","",'신청 원장'!L3109)</x:f>
        <x:v>에코시안_조영우</x:v>
      </x:c>
      <x:c r="F375" s="2" t="str">
        <x:f>IF('신청 원장'!M3109="","",'신청 원장'!M3109)</x:f>
      </x:c>
      <x:c r="G375" s="2" t="n">
        <x:f>IF('신청 원장'!N3109="","",'신청 원장'!N3109)</x:f>
        <x:v>1591</x:v>
      </x:c>
      <x:c r="H375" s="2" t="str">
        <x:f>IF('신청 원장'!AA3109="","",'신청 원장'!AA3109)</x:f>
        <x:v>내부 관찰 대상</x:v>
      </x:c>
      <x:c r="I375" s="2" t="str">
        <x:f>IF('신청 원장'!O3109="","",'신청 원장'!O3109)</x:f>
      </x:c>
      <x:c r="J375" s="2" t="str">
        <x:f>IF('신청 원장'!W3109="","",'신청 원장'!W3109)</x:f>
      </x:c>
      <x:c r="K375" s="2" t="str">
        <x:f>IF('신청 원장'!X3109="","",'신청 원장'!X3109)</x:f>
        <x:v>보완 회신 일정 확인</x:v>
      </x:c>
      <x:c r="L375" s="2" t="str">
        <x:f>IF('신청 원장'!R3109="","",'신청 원장'!R3109)</x:f>
        <x:v>(비공개)국내평가</x:v>
      </x:c>
      <x:c r="M375" s="2" t="n">
        <x:f>IF('신청 원장'!S3109="","",'신청 원장'!S3109)</x:f>
        <x:v>17</x:v>
      </x:c>
      <x:c r="N375" s="2" t="str">
        <x:f>IF('신청 원장'!K3109&lt;&gt;"미종결 표시","종결 상태 확인",IF('신청 원장'!N3109="","일자 확인 필요",IF('신청 원장'!N3109&gt;365,"366일 이상",IF('신청 원장'!N3109&gt;90,"91~365일",IF('신청 원장'!N3109&gt;30,"31~90일","0~30일")))))</x:f>
        <x:v>366일 이상</x:v>
      </x:c>
      <x:c r="O375" s="2" t="str">
        <x:f>IF(OR('신청 원장'!L3109="",'신청 원장'!L3109="선택"),"담당 원문 확인","기재")</x:f>
        <x:v>기재</x:v>
      </x:c>
      <x:c r="P375" s="2" t="str">
        <x:f>IF('신청 원장'!A3109="","",'신청 원장'!A3109)</x:f>
        <x:v>4da6d91ef9ea52a3f1b5b387</x:v>
      </x:c>
    </x:row>
    <x:row r="376" ht="42" customHeight="1">
      <x:c r="A376" s="2" t="str">
        <x:f>IF('신청 원장'!B3111="","",'신청 원장'!B3111)</x:f>
        <x:v>사업 비공개 신청</x:v>
      </x:c>
      <x:c r="B376" s="7" t="str">
        <x:f>IF('신청 원장'!D3111="","",'신청 원장'!D3111)</x:f>
        <x:v>동신산업 평택공장의 B-C유에서 LNG로 연료전환을 통한 온실가스 배출 감축사업</x:v>
      </x:c>
      <x:c r="C376" s="2" t="str">
        <x:f>IF('신청 원장'!F3111="","",'신청 원장'!F3111)</x:f>
        <x:v>2021-06-10</x:v>
      </x:c>
      <x:c r="D376" s="2" t="str">
        <x:f>IF('신청 원장'!J3111="","",'신청 원장'!J3111)</x:f>
        <x:v>보완요청</x:v>
      </x:c>
      <x:c r="E376" s="2" t="str">
        <x:f>IF('신청 원장'!L3111="","",'신청 원장'!L3111)</x:f>
        <x:v>에코시안_정인혜</x:v>
      </x:c>
      <x:c r="F376" s="2" t="str">
        <x:f>IF('신청 원장'!M3111="","",'신청 원장'!M3111)</x:f>
      </x:c>
      <x:c r="G376" s="2" t="n">
        <x:f>IF('신청 원장'!N3111="","",'신청 원장'!N3111)</x:f>
        <x:v>1953</x:v>
      </x:c>
      <x:c r="H376" s="2" t="str">
        <x:f>IF('신청 원장'!AA3111="","",'신청 원장'!AA3111)</x:f>
        <x:v>내부 관찰 대상</x:v>
      </x:c>
      <x:c r="I376" s="2" t="str">
        <x:f>IF('신청 원장'!O3111="","",'신청 원장'!O3111)</x:f>
      </x:c>
      <x:c r="J376" s="2" t="str">
        <x:f>IF('신청 원장'!W3111="","",'신청 원장'!W3111)</x:f>
      </x:c>
      <x:c r="K376" s="2" t="str">
        <x:f>IF('신청 원장'!X3111="","",'신청 원장'!X3111)</x:f>
        <x:v>보완 회신 일정 확인</x:v>
      </x:c>
      <x:c r="L376" s="2" t="str">
        <x:f>IF('신청 원장'!R3111="","",'신청 원장'!R3111)</x:f>
        <x:v>(비공개)국내평가</x:v>
      </x:c>
      <x:c r="M376" s="2" t="n">
        <x:f>IF('신청 원장'!S3111="","",'신청 원장'!S3111)</x:f>
        <x:v>19</x:v>
      </x:c>
      <x:c r="N376" s="2" t="str">
        <x:f>IF('신청 원장'!K3111&lt;&gt;"미종결 표시","종결 상태 확인",IF('신청 원장'!N3111="","일자 확인 필요",IF('신청 원장'!N3111&gt;365,"366일 이상",IF('신청 원장'!N3111&gt;90,"91~365일",IF('신청 원장'!N3111&gt;30,"31~90일","0~30일")))))</x:f>
        <x:v>366일 이상</x:v>
      </x:c>
      <x:c r="O376" s="2" t="str">
        <x:f>IF(OR('신청 원장'!L3111="",'신청 원장'!L3111="선택"),"담당 원문 확인","기재")</x:f>
        <x:v>기재</x:v>
      </x:c>
      <x:c r="P376" s="2" t="str">
        <x:f>IF('신청 원장'!A3111="","",'신청 원장'!A3111)</x:f>
        <x:v>6f1077e85ca7fa3590313e7a</x:v>
      </x:c>
    </x:row>
    <x:row r="377" ht="42" customHeight="1">
      <x:c r="A377" s="2" t="str">
        <x:f>IF('신청 원장'!B3112="","",'신청 원장'!B3112)</x:f>
        <x:v>사업 비공개 신청</x:v>
      </x:c>
      <x:c r="B377" s="7" t="str">
        <x:f>IF('신청 원장'!D3112="","",'신청 원장'!D3112)</x:f>
        <x:v>서울시사회복지협의회 태양광발전설비 설치를 통한 프로그램 온실가스 배출 감축사업</x:v>
      </x:c>
      <x:c r="C377" s="2" t="str">
        <x:f>IF('신청 원장'!F3112="","",'신청 원장'!F3112)</x:f>
        <x:v>2021-05-03</x:v>
      </x:c>
      <x:c r="D377" s="2" t="str">
        <x:f>IF('신청 원장'!J3112="","",'신청 원장'!J3112)</x:f>
        <x:v>선택</x:v>
      </x:c>
      <x:c r="E377" s="2" t="str">
        <x:f>IF('신청 원장'!L3112="","",'신청 원장'!L3112)</x:f>
      </x:c>
      <x:c r="F377" s="2" t="str">
        <x:f>IF('신청 원장'!M3112="","",'신청 원장'!M3112)</x:f>
      </x:c>
      <x:c r="G377" s="2" t="n">
        <x:f>IF('신청 원장'!N3112="","",'신청 원장'!N3112)</x:f>
        <x:v>1991</x:v>
      </x:c>
      <x:c r="H377" s="2" t="str">
        <x:f>IF('신청 원장'!AA3112="","",'신청 원장'!AA3112)</x:f>
        <x:v>대상 아님</x:v>
      </x:c>
      <x:c r="I377" s="2" t="str">
        <x:f>IF('신청 원장'!O3112="","",'신청 원장'!O3112)</x:f>
      </x:c>
      <x:c r="J377" s="2" t="str">
        <x:f>IF('신청 원장'!W3112="","",'신청 원장'!W3112)</x:f>
        <x:v>담당기관 확인 / 종결 여부 확인</x:v>
      </x:c>
      <x:c r="K377" s="2" t="str">
        <x:f>IF('신청 원장'!X3112="","",'신청 원장'!X3112)</x:f>
        <x:v>원본·배정 기록 확인</x:v>
      </x:c>
      <x:c r="L377" s="2" t="str">
        <x:f>IF('신청 원장'!R3112="","",'신청 원장'!R3112)</x:f>
        <x:v>(비공개)국내평가</x:v>
      </x:c>
      <x:c r="M377" s="2" t="n">
        <x:f>IF('신청 원장'!S3112="","",'신청 원장'!S3112)</x:f>
        <x:v>20</x:v>
      </x:c>
      <x:c r="N377" s="2" t="str">
        <x:f>IF('신청 원장'!K3112&lt;&gt;"미종결 표시","종결 상태 확인",IF('신청 원장'!N3112="","일자 확인 필요",IF('신청 원장'!N3112&gt;365,"366일 이상",IF('신청 원장'!N3112&gt;90,"91~365일",IF('신청 원장'!N3112&gt;30,"31~90일","0~30일")))))</x:f>
        <x:v>종결 상태 확인</x:v>
      </x:c>
      <x:c r="O377" s="2" t="str">
        <x:f>IF(OR('신청 원장'!L3112="",'신청 원장'!L3112="선택"),"담당 원문 확인","기재")</x:f>
        <x:v>담당 원문 확인</x:v>
      </x:c>
      <x:c r="P377" s="2" t="str">
        <x:f>IF('신청 원장'!A3112="","",'신청 원장'!A3112)</x:f>
        <x:v>1d02bb1a7469d23c4c0a3230</x:v>
      </x:c>
    </x:row>
    <x:row r="378" ht="42" customHeight="1">
      <x:c r="A378" s="2" t="str">
        <x:f>IF('신청 원장'!B3113="","",'신청 원장'!B3113)</x:f>
        <x:v>사업 비공개 신청</x:v>
      </x:c>
      <x:c r="B378" s="7" t="str">
        <x:f>IF('신청 원장'!D3113="","",'신청 원장'!D3113)</x:f>
        <x:v>서울시사회복지협의회 태양광발전설비 설치를 통한 프로그램 온실가스 배출 감축사업</x:v>
      </x:c>
      <x:c r="C378" s="2" t="str">
        <x:f>IF('신청 원장'!F3113="","",'신청 원장'!F3113)</x:f>
        <x:v>2021-05-03</x:v>
      </x:c>
      <x:c r="D378" s="2" t="str">
        <x:f>IF('신청 원장'!J3113="","",'신청 원장'!J3113)</x:f>
        <x:v>선택</x:v>
      </x:c>
      <x:c r="E378" s="2" t="str">
        <x:f>IF('신청 원장'!L3113="","",'신청 원장'!L3113)</x:f>
      </x:c>
      <x:c r="F378" s="2" t="str">
        <x:f>IF('신청 원장'!M3113="","",'신청 원장'!M3113)</x:f>
      </x:c>
      <x:c r="G378" s="2" t="n">
        <x:f>IF('신청 원장'!N3113="","",'신청 원장'!N3113)</x:f>
        <x:v>1991</x:v>
      </x:c>
      <x:c r="H378" s="2" t="str">
        <x:f>IF('신청 원장'!AA3113="","",'신청 원장'!AA3113)</x:f>
        <x:v>대상 아님</x:v>
      </x:c>
      <x:c r="I378" s="2" t="str">
        <x:f>IF('신청 원장'!O3113="","",'신청 원장'!O3113)</x:f>
      </x:c>
      <x:c r="J378" s="2" t="str">
        <x:f>IF('신청 원장'!W3113="","",'신청 원장'!W3113)</x:f>
        <x:v>담당기관 확인 / 종결 여부 확인</x:v>
      </x:c>
      <x:c r="K378" s="2" t="str">
        <x:f>IF('신청 원장'!X3113="","",'신청 원장'!X3113)</x:f>
        <x:v>원본·배정 기록 확인</x:v>
      </x:c>
      <x:c r="L378" s="2" t="str">
        <x:f>IF('신청 원장'!R3113="","",'신청 원장'!R3113)</x:f>
        <x:v>(비공개)국내평가</x:v>
      </x:c>
      <x:c r="M378" s="2" t="n">
        <x:f>IF('신청 원장'!S3113="","",'신청 원장'!S3113)</x:f>
        <x:v>21</x:v>
      </x:c>
      <x:c r="N378" s="2" t="str">
        <x:f>IF('신청 원장'!K3113&lt;&gt;"미종결 표시","종결 상태 확인",IF('신청 원장'!N3113="","일자 확인 필요",IF('신청 원장'!N3113&gt;365,"366일 이상",IF('신청 원장'!N3113&gt;90,"91~365일",IF('신청 원장'!N3113&gt;30,"31~90일","0~30일")))))</x:f>
        <x:v>종결 상태 확인</x:v>
      </x:c>
      <x:c r="O378" s="2" t="str">
        <x:f>IF(OR('신청 원장'!L3113="",'신청 원장'!L3113="선택"),"담당 원문 확인","기재")</x:f>
        <x:v>담당 원문 확인</x:v>
      </x:c>
      <x:c r="P378" s="2" t="str">
        <x:f>IF('신청 원장'!A3113="","",'신청 원장'!A3113)</x:f>
        <x:v>1b861f8bf9ba06a9eed835bc</x:v>
      </x:c>
    </x:row>
    <x:row r="379" ht="42" customHeight="1">
      <x:c r="A379" s="2" t="str">
        <x:f>IF('신청 원장'!B3114="","",'신청 원장'!B3114)</x:f>
        <x:v>사업 비공개 신청</x:v>
      </x:c>
      <x:c r="B379" s="7" t="str">
        <x:f>IF('신청 원장'!D3114="","",'신청 원장'!D3114)</x:f>
        <x:v>공동폐수처리장의 고효율 터보블로워 도입을 통한 온실가스 감축사업</x:v>
      </x:c>
      <x:c r="C379" s="2" t="str">
        <x:f>IF('신청 원장'!F3114="","",'신청 원장'!F3114)</x:f>
        <x:v>2021-04-15</x:v>
      </x:c>
      <x:c r="D379" s="2" t="str">
        <x:f>IF('신청 원장'!J3114="","",'신청 원장'!J3114)</x:f>
        <x:v>선택</x:v>
      </x:c>
      <x:c r="E379" s="2" t="str">
        <x:f>IF('신청 원장'!L3114="","",'신청 원장'!L3114)</x:f>
      </x:c>
      <x:c r="F379" s="2" t="str">
        <x:f>IF('신청 원장'!M3114="","",'신청 원장'!M3114)</x:f>
      </x:c>
      <x:c r="G379" s="2" t="n">
        <x:f>IF('신청 원장'!N3114="","",'신청 원장'!N3114)</x:f>
        <x:v>2009</x:v>
      </x:c>
      <x:c r="H379" s="2" t="str">
        <x:f>IF('신청 원장'!AA3114="","",'신청 원장'!AA3114)</x:f>
        <x:v>대상 아님</x:v>
      </x:c>
      <x:c r="I379" s="2" t="str">
        <x:f>IF('신청 원장'!O3114="","",'신청 원장'!O3114)</x:f>
      </x:c>
      <x:c r="J379" s="2" t="str">
        <x:f>IF('신청 원장'!W3114="","",'신청 원장'!W3114)</x:f>
        <x:v>담당기관 확인 / 종결 여부 확인</x:v>
      </x:c>
      <x:c r="K379" s="2" t="str">
        <x:f>IF('신청 원장'!X3114="","",'신청 원장'!X3114)</x:f>
        <x:v>원본·배정 기록 확인</x:v>
      </x:c>
      <x:c r="L379" s="2" t="str">
        <x:f>IF('신청 원장'!R3114="","",'신청 원장'!R3114)</x:f>
        <x:v>(비공개)국내평가</x:v>
      </x:c>
      <x:c r="M379" s="2" t="n">
        <x:f>IF('신청 원장'!S3114="","",'신청 원장'!S3114)</x:f>
        <x:v>22</x:v>
      </x:c>
      <x:c r="N379" s="2" t="str">
        <x:f>IF('신청 원장'!K3114&lt;&gt;"미종결 표시","종결 상태 확인",IF('신청 원장'!N3114="","일자 확인 필요",IF('신청 원장'!N3114&gt;365,"366일 이상",IF('신청 원장'!N3114&gt;90,"91~365일",IF('신청 원장'!N3114&gt;30,"31~90일","0~30일")))))</x:f>
        <x:v>종결 상태 확인</x:v>
      </x:c>
      <x:c r="O379" s="2" t="str">
        <x:f>IF(OR('신청 원장'!L3114="",'신청 원장'!L3114="선택"),"담당 원문 확인","기재")</x:f>
        <x:v>담당 원문 확인</x:v>
      </x:c>
      <x:c r="P379" s="2" t="str">
        <x:f>IF('신청 원장'!A3114="","",'신청 원장'!A3114)</x:f>
        <x:v>a1f396326b91a504dda6cd35</x:v>
      </x:c>
    </x:row>
    <x:row r="380" ht="42" customHeight="1">
      <x:c r="A380" s="2" t="str">
        <x:f>IF('신청 원장'!B3115="","",'신청 원장'!B3115)</x:f>
        <x:v>사업 비공개 신청</x:v>
      </x:c>
      <x:c r="B380" s="7" t="str">
        <x:f>IF('신청 원장'!D3115="","",'신청 원장'!D3115)</x:f>
        <x:v>한미약품의 경유에서 LNG로 연료전환을 통한 온실가스 배출 감축사업</x:v>
      </x:c>
      <x:c r="C380" s="2" t="str">
        <x:f>IF('신청 원장'!F3115="","",'신청 원장'!F3115)</x:f>
        <x:v>2021-02-04</x:v>
      </x:c>
      <x:c r="D380" s="2" t="str">
        <x:f>IF('신청 원장'!J3115="","",'신청 원장'!J3115)</x:f>
        <x:v>보완요청</x:v>
      </x:c>
      <x:c r="E380" s="2" t="str">
        <x:f>IF('신청 원장'!L3115="","",'신청 원장'!L3115)</x:f>
        <x:v>에코시안_정인혜</x:v>
      </x:c>
      <x:c r="F380" s="2" t="str">
        <x:f>IF('신청 원장'!M3115="","",'신청 원장'!M3115)</x:f>
      </x:c>
      <x:c r="G380" s="2" t="n">
        <x:f>IF('신청 원장'!N3115="","",'신청 원장'!N3115)</x:f>
        <x:v>2079</x:v>
      </x:c>
      <x:c r="H380" s="2" t="str">
        <x:f>IF('신청 원장'!AA3115="","",'신청 원장'!AA3115)</x:f>
        <x:v>내부 관찰 대상</x:v>
      </x:c>
      <x:c r="I380" s="2" t="str">
        <x:f>IF('신청 원장'!O3115="","",'신청 원장'!O3115)</x:f>
      </x:c>
      <x:c r="J380" s="2" t="str">
        <x:f>IF('신청 원장'!W3115="","",'신청 원장'!W3115)</x:f>
      </x:c>
      <x:c r="K380" s="2" t="str">
        <x:f>IF('신청 원장'!X3115="","",'신청 원장'!X3115)</x:f>
        <x:v>보완 회신 일정 확인</x:v>
      </x:c>
      <x:c r="L380" s="2" t="str">
        <x:f>IF('신청 원장'!R3115="","",'신청 원장'!R3115)</x:f>
        <x:v>(비공개)국내평가</x:v>
      </x:c>
      <x:c r="M380" s="2" t="n">
        <x:f>IF('신청 원장'!S3115="","",'신청 원장'!S3115)</x:f>
        <x:v>23</x:v>
      </x:c>
      <x:c r="N380" s="2" t="str">
        <x:f>IF('신청 원장'!K3115&lt;&gt;"미종결 표시","종결 상태 확인",IF('신청 원장'!N3115="","일자 확인 필요",IF('신청 원장'!N3115&gt;365,"366일 이상",IF('신청 원장'!N3115&gt;90,"91~365일",IF('신청 원장'!N3115&gt;30,"31~90일","0~30일")))))</x:f>
        <x:v>366일 이상</x:v>
      </x:c>
      <x:c r="O380" s="2" t="str">
        <x:f>IF(OR('신청 원장'!L3115="",'신청 원장'!L3115="선택"),"담당 원문 확인","기재")</x:f>
        <x:v>기재</x:v>
      </x:c>
      <x:c r="P380" s="2" t="str">
        <x:f>IF('신청 원장'!A3115="","",'신청 원장'!A3115)</x:f>
        <x:v>e48a5ee1c948612531dbb7b8</x:v>
      </x:c>
    </x:row>
    <x:row r="381" ht="42" customHeight="1">
      <x:c r="A381" s="2" t="str">
        <x:f>IF('신청 원장'!B3116="","",'신청 원장'!B3116)</x:f>
        <x:v>사업 비공개 신청</x:v>
      </x:c>
      <x:c r="B381" s="7" t="str">
        <x:f>IF('신청 원장'!D3116="","",'신청 원장'!D3116)</x:f>
        <x:v>검상산업단지 스팀생산 노후 LNG보일러 교체사업</x:v>
      </x:c>
      <x:c r="C381" s="2" t="str">
        <x:f>IF('신청 원장'!F3116="","",'신청 원장'!F3116)</x:f>
        <x:v>2020-12-21</x:v>
      </x:c>
      <x:c r="D381" s="2" t="str">
        <x:f>IF('신청 원장'!J3116="","",'신청 원장'!J3116)</x:f>
        <x:v>선택</x:v>
      </x:c>
      <x:c r="E381" s="2" t="str">
        <x:f>IF('신청 원장'!L3116="","",'신청 원장'!L3116)</x:f>
      </x:c>
      <x:c r="F381" s="2" t="str">
        <x:f>IF('신청 원장'!M3116="","",'신청 원장'!M3116)</x:f>
      </x:c>
      <x:c r="G381" s="2" t="n">
        <x:f>IF('신청 원장'!N3116="","",'신청 원장'!N3116)</x:f>
        <x:v>2124</x:v>
      </x:c>
      <x:c r="H381" s="2" t="str">
        <x:f>IF('신청 원장'!AA3116="","",'신청 원장'!AA3116)</x:f>
        <x:v>대상 아님</x:v>
      </x:c>
      <x:c r="I381" s="2" t="str">
        <x:f>IF('신청 원장'!O3116="","",'신청 원장'!O3116)</x:f>
      </x:c>
      <x:c r="J381" s="2" t="str">
        <x:f>IF('신청 원장'!W3116="","",'신청 원장'!W3116)</x:f>
        <x:v>담당기관 확인 / 종결 여부 확인</x:v>
      </x:c>
      <x:c r="K381" s="2" t="str">
        <x:f>IF('신청 원장'!X3116="","",'신청 원장'!X3116)</x:f>
        <x:v>원본·배정 기록 확인</x:v>
      </x:c>
      <x:c r="L381" s="2" t="str">
        <x:f>IF('신청 원장'!R3116="","",'신청 원장'!R3116)</x:f>
        <x:v>(비공개)국내평가</x:v>
      </x:c>
      <x:c r="M381" s="2" t="n">
        <x:f>IF('신청 원장'!S3116="","",'신청 원장'!S3116)</x:f>
        <x:v>24</x:v>
      </x:c>
      <x:c r="N381" s="2" t="str">
        <x:f>IF('신청 원장'!K3116&lt;&gt;"미종결 표시","종결 상태 확인",IF('신청 원장'!N3116="","일자 확인 필요",IF('신청 원장'!N3116&gt;365,"366일 이상",IF('신청 원장'!N3116&gt;90,"91~365일",IF('신청 원장'!N3116&gt;30,"31~90일","0~30일")))))</x:f>
        <x:v>종결 상태 확인</x:v>
      </x:c>
      <x:c r="O381" s="2" t="str">
        <x:f>IF(OR('신청 원장'!L3116="",'신청 원장'!L3116="선택"),"담당 원문 확인","기재")</x:f>
        <x:v>담당 원문 확인</x:v>
      </x:c>
      <x:c r="P381" s="2" t="str">
        <x:f>IF('신청 원장'!A3116="","",'신청 원장'!A3116)</x:f>
        <x:v>99e41ae36cfa3b4fc20bc6d5</x:v>
      </x:c>
    </x:row>
    <x:row r="382" ht="42" customHeight="1">
      <x:c r="A382" s="2" t="str">
        <x:f>IF('신청 원장'!B3117="","",'신청 원장'!B3117)</x:f>
        <x:v>사업 비공개 신청</x:v>
      </x:c>
      <x:c r="B382" s="7" t="str">
        <x:f>IF('신청 원장'!D3117="","",'신청 원장'!D3117)</x:f>
        <x:v>태형기업(주) 양주사업장의 B-C유에서 도시가스(LNG)로 연료전환을 통한 온실가스(CO2) 배출 감축사업</x:v>
      </x:c>
      <x:c r="C382" s="2" t="str">
        <x:f>IF('신청 원장'!F3117="","",'신청 원장'!F3117)</x:f>
        <x:v>2020-10-27</x:v>
      </x:c>
      <x:c r="D382" s="2" t="str">
        <x:f>IF('신청 원장'!J3117="","",'신청 원장'!J3117)</x:f>
        <x:v>보완요청</x:v>
      </x:c>
      <x:c r="E382" s="2" t="str">
        <x:f>IF('신청 원장'!L3117="","",'신청 원장'!L3117)</x:f>
        <x:v>에코시안_정인혜</x:v>
      </x:c>
      <x:c r="F382" s="2" t="str">
        <x:f>IF('신청 원장'!M3117="","",'신청 원장'!M3117)</x:f>
      </x:c>
      <x:c r="G382" s="2" t="n">
        <x:f>IF('신청 원장'!N3117="","",'신청 원장'!N3117)</x:f>
        <x:v>2179</x:v>
      </x:c>
      <x:c r="H382" s="2" t="str">
        <x:f>IF('신청 원장'!AA3117="","",'신청 원장'!AA3117)</x:f>
        <x:v>내부 관찰 대상</x:v>
      </x:c>
      <x:c r="I382" s="2" t="str">
        <x:f>IF('신청 원장'!O3117="","",'신청 원장'!O3117)</x:f>
      </x:c>
      <x:c r="J382" s="2" t="str">
        <x:f>IF('신청 원장'!W3117="","",'신청 원장'!W3117)</x:f>
      </x:c>
      <x:c r="K382" s="2" t="str">
        <x:f>IF('신청 원장'!X3117="","",'신청 원장'!X3117)</x:f>
        <x:v>보완 회신 일정 확인</x:v>
      </x:c>
      <x:c r="L382" s="2" t="str">
        <x:f>IF('신청 원장'!R3117="","",'신청 원장'!R3117)</x:f>
        <x:v>(비공개)국내평가</x:v>
      </x:c>
      <x:c r="M382" s="2" t="n">
        <x:f>IF('신청 원장'!S3117="","",'신청 원장'!S3117)</x:f>
        <x:v>25</x:v>
      </x:c>
      <x:c r="N382" s="2" t="str">
        <x:f>IF('신청 원장'!K3117&lt;&gt;"미종결 표시","종결 상태 확인",IF('신청 원장'!N3117="","일자 확인 필요",IF('신청 원장'!N3117&gt;365,"366일 이상",IF('신청 원장'!N3117&gt;90,"91~365일",IF('신청 원장'!N3117&gt;30,"31~90일","0~30일")))))</x:f>
        <x:v>366일 이상</x:v>
      </x:c>
      <x:c r="O382" s="2" t="str">
        <x:f>IF(OR('신청 원장'!L3117="",'신청 원장'!L3117="선택"),"담당 원문 확인","기재")</x:f>
        <x:v>기재</x:v>
      </x:c>
      <x:c r="P382" s="2" t="str">
        <x:f>IF('신청 원장'!A3117="","",'신청 원장'!A3117)</x:f>
        <x:v>796b4c34363528f10d9c8782</x:v>
      </x:c>
    </x:row>
    <x:row r="383" ht="42" customHeight="1">
      <x:c r="A383" s="2" t="str">
        <x:f>IF('신청 원장'!B3118="","",'신청 원장'!B3118)</x:f>
        <x:v>사업 비공개 신청</x:v>
      </x:c>
      <x:c r="B383" s="7" t="str">
        <x:f>IF('신청 원장'!D3118="","",'신청 원장'!D3118)</x:f>
        <x:v>(주)선일로에스의 B-A유에서 LNG로 연료전환을 통한 온실가스 배출 감축사업</x:v>
      </x:c>
      <x:c r="C383" s="2" t="str">
        <x:f>IF('신청 원장'!F3118="","",'신청 원장'!F3118)</x:f>
        <x:v>2020-10-05</x:v>
      </x:c>
      <x:c r="D383" s="2" t="str">
        <x:f>IF('신청 원장'!J3118="","",'신청 원장'!J3118)</x:f>
        <x:v>보완요청</x:v>
      </x:c>
      <x:c r="E383" s="2" t="str">
        <x:f>IF('신청 원장'!L3118="","",'신청 원장'!L3118)</x:f>
        <x:v>에코시안_정인혜</x:v>
      </x:c>
      <x:c r="F383" s="2" t="str">
        <x:f>IF('신청 원장'!M3118="","",'신청 원장'!M3118)</x:f>
      </x:c>
      <x:c r="G383" s="2" t="n">
        <x:f>IF('신청 원장'!N3118="","",'신청 원장'!N3118)</x:f>
        <x:v>2201</x:v>
      </x:c>
      <x:c r="H383" s="2" t="str">
        <x:f>IF('신청 원장'!AA3118="","",'신청 원장'!AA3118)</x:f>
        <x:v>내부 관찰 대상</x:v>
      </x:c>
      <x:c r="I383" s="2" t="str">
        <x:f>IF('신청 원장'!O3118="","",'신청 원장'!O3118)</x:f>
      </x:c>
      <x:c r="J383" s="2" t="str">
        <x:f>IF('신청 원장'!W3118="","",'신청 원장'!W3118)</x:f>
      </x:c>
      <x:c r="K383" s="2" t="str">
        <x:f>IF('신청 원장'!X3118="","",'신청 원장'!X3118)</x:f>
        <x:v>보완 회신 일정 확인</x:v>
      </x:c>
      <x:c r="L383" s="2" t="str">
        <x:f>IF('신청 원장'!R3118="","",'신청 원장'!R3118)</x:f>
        <x:v>(비공개)국내평가</x:v>
      </x:c>
      <x:c r="M383" s="2" t="n">
        <x:f>IF('신청 원장'!S3118="","",'신청 원장'!S3118)</x:f>
        <x:v>26</x:v>
      </x:c>
      <x:c r="N383" s="2" t="str">
        <x:f>IF('신청 원장'!K3118&lt;&gt;"미종결 표시","종결 상태 확인",IF('신청 원장'!N3118="","일자 확인 필요",IF('신청 원장'!N3118&gt;365,"366일 이상",IF('신청 원장'!N3118&gt;90,"91~365일",IF('신청 원장'!N3118&gt;30,"31~90일","0~30일")))))</x:f>
        <x:v>366일 이상</x:v>
      </x:c>
      <x:c r="O383" s="2" t="str">
        <x:f>IF(OR('신청 원장'!L3118="",'신청 원장'!L3118="선택"),"담당 원문 확인","기재")</x:f>
        <x:v>기재</x:v>
      </x:c>
      <x:c r="P383" s="2" t="str">
        <x:f>IF('신청 원장'!A3118="","",'신청 원장'!A3118)</x:f>
        <x:v>be3c81acaf40061ab485374f</x:v>
      </x:c>
    </x:row>
    <x:row r="384" ht="42" customHeight="1">
      <x:c r="A384" s="2" t="str">
        <x:f>IF('신청 원장'!B3119="","",'신청 원장'!B3119)</x:f>
        <x:v>사업 비공개 신청</x:v>
      </x:c>
      <x:c r="B384" s="7" t="str">
        <x:f>IF('신청 원장'!D3119="","",'신청 원장'!D3119)</x:f>
        <x:v>(주)덕산의 신재 및 재생 드라이어의 B-C유에서 도시가스(LNG)로 연료전환을 통한 온실가스 배출 감축사업</x:v>
      </x:c>
      <x:c r="C384" s="2" t="str">
        <x:f>IF('신청 원장'!F3119="","",'신청 원장'!F3119)</x:f>
        <x:v>2020-09-29</x:v>
      </x:c>
      <x:c r="D384" s="2" t="str">
        <x:f>IF('신청 원장'!J3119="","",'신청 원장'!J3119)</x:f>
        <x:v>선택</x:v>
      </x:c>
      <x:c r="E384" s="2" t="str">
        <x:f>IF('신청 원장'!L3119="","",'신청 원장'!L3119)</x:f>
        <x:v>에코시안_박세은</x:v>
      </x:c>
      <x:c r="F384" s="2" t="str">
        <x:f>IF('신청 원장'!M3119="","",'신청 원장'!M3119)</x:f>
      </x:c>
      <x:c r="G384" s="2" t="n">
        <x:f>IF('신청 원장'!N3119="","",'신청 원장'!N3119)</x:f>
        <x:v>2207</x:v>
      </x:c>
      <x:c r="H384" s="2" t="str">
        <x:f>IF('신청 원장'!AA3119="","",'신청 원장'!AA3119)</x:f>
        <x:v>대상 아님</x:v>
      </x:c>
      <x:c r="I384" s="2" t="str">
        <x:f>IF('신청 원장'!O3119="","",'신청 원장'!O3119)</x:f>
      </x:c>
      <x:c r="J384" s="2" t="str">
        <x:f>IF('신청 원장'!W3119="","",'신청 원장'!W3119)</x:f>
        <x:v>종결 여부 확인</x:v>
      </x:c>
      <x:c r="K384" s="2" t="str">
        <x:f>IF('신청 원장'!X3119="","",'신청 원장'!X3119)</x:f>
        <x:v>원본·배정 기록 확인</x:v>
      </x:c>
      <x:c r="L384" s="2" t="str">
        <x:f>IF('신청 원장'!R3119="","",'신청 원장'!R3119)</x:f>
        <x:v>(비공개)국내평가</x:v>
      </x:c>
      <x:c r="M384" s="2" t="n">
        <x:f>IF('신청 원장'!S3119="","",'신청 원장'!S3119)</x:f>
        <x:v>27</x:v>
      </x:c>
      <x:c r="N384" s="2" t="str">
        <x:f>IF('신청 원장'!K3119&lt;&gt;"미종결 표시","종결 상태 확인",IF('신청 원장'!N3119="","일자 확인 필요",IF('신청 원장'!N3119&gt;365,"366일 이상",IF('신청 원장'!N3119&gt;90,"91~365일",IF('신청 원장'!N3119&gt;30,"31~90일","0~30일")))))</x:f>
        <x:v>종결 상태 확인</x:v>
      </x:c>
      <x:c r="O384" s="2" t="str">
        <x:f>IF(OR('신청 원장'!L3119="",'신청 원장'!L3119="선택"),"담당 원문 확인","기재")</x:f>
        <x:v>기재</x:v>
      </x:c>
      <x:c r="P384" s="2" t="str">
        <x:f>IF('신청 원장'!A3119="","",'신청 원장'!A3119)</x:f>
        <x:v>3f5b74adc328d1db74abedaf</x:v>
      </x:c>
    </x:row>
    <x:row r="385" ht="42" customHeight="1">
      <x:c r="A385" s="2" t="str">
        <x:f>IF('신청 원장'!B3120="","",'신청 원장'!B3120)</x:f>
        <x:v>사업 비공개 신청</x:v>
      </x:c>
      <x:c r="B385" s="7" t="str">
        <x:f>IF('신청 원장'!D3120="","",'신청 원장'!D3120)</x:f>
        <x:v>에스오엠의 정제유에서 도시가스(LNG)로 연료전환을 통한 온실가스 배출 감축사업</x:v>
      </x:c>
      <x:c r="C385" s="2" t="str">
        <x:f>IF('신청 원장'!F3120="","",'신청 원장'!F3120)</x:f>
        <x:v>2020-09-21</x:v>
      </x:c>
      <x:c r="D385" s="2" t="str">
        <x:f>IF('신청 원장'!J3120="","",'신청 원장'!J3120)</x:f>
        <x:v>보완요청</x:v>
      </x:c>
      <x:c r="E385" s="2" t="str">
        <x:f>IF('신청 원장'!L3120="","",'신청 원장'!L3120)</x:f>
        <x:v>에코시안_박세은</x:v>
      </x:c>
      <x:c r="F385" s="2" t="str">
        <x:f>IF('신청 원장'!M3120="","",'신청 원장'!M3120)</x:f>
      </x:c>
      <x:c r="G385" s="2" t="n">
        <x:f>IF('신청 원장'!N3120="","",'신청 원장'!N3120)</x:f>
        <x:v>2215</x:v>
      </x:c>
      <x:c r="H385" s="2" t="str">
        <x:f>IF('신청 원장'!AA3120="","",'신청 원장'!AA3120)</x:f>
        <x:v>내부 관찰 대상</x:v>
      </x:c>
      <x:c r="I385" s="2" t="str">
        <x:f>IF('신청 원장'!O3120="","",'신청 원장'!O3120)</x:f>
      </x:c>
      <x:c r="J385" s="2" t="str">
        <x:f>IF('신청 원장'!W3120="","",'신청 원장'!W3120)</x:f>
      </x:c>
      <x:c r="K385" s="2" t="str">
        <x:f>IF('신청 원장'!X3120="","",'신청 원장'!X3120)</x:f>
        <x:v>보완 회신 일정 확인</x:v>
      </x:c>
      <x:c r="L385" s="2" t="str">
        <x:f>IF('신청 원장'!R3120="","",'신청 원장'!R3120)</x:f>
        <x:v>(비공개)국내평가</x:v>
      </x:c>
      <x:c r="M385" s="2" t="n">
        <x:f>IF('신청 원장'!S3120="","",'신청 원장'!S3120)</x:f>
        <x:v>28</x:v>
      </x:c>
      <x:c r="N385" s="2" t="str">
        <x:f>IF('신청 원장'!K3120&lt;&gt;"미종결 표시","종결 상태 확인",IF('신청 원장'!N3120="","일자 확인 필요",IF('신청 원장'!N3120&gt;365,"366일 이상",IF('신청 원장'!N3120&gt;90,"91~365일",IF('신청 원장'!N3120&gt;30,"31~90일","0~30일")))))</x:f>
        <x:v>366일 이상</x:v>
      </x:c>
      <x:c r="O385" s="2" t="str">
        <x:f>IF(OR('신청 원장'!L3120="",'신청 원장'!L3120="선택"),"담당 원문 확인","기재")</x:f>
        <x:v>기재</x:v>
      </x:c>
      <x:c r="P385" s="2" t="str">
        <x:f>IF('신청 원장'!A3120="","",'신청 원장'!A3120)</x:f>
        <x:v>3f99475d04dc93d8019c51db</x:v>
      </x:c>
    </x:row>
    <x:row r="386" ht="42" customHeight="1">
      <x:c r="A386" s="2" t="str">
        <x:f>IF('신청 원장'!B3121="","",'신청 원장'!B3121)</x:f>
        <x:v>사업 비공개 신청</x:v>
      </x:c>
      <x:c r="B386" s="7" t="str">
        <x:f>IF('신청 원장'!D3121="","",'신청 원장'!D3121)</x:f>
        <x:v>구미시 LED 가로등 교체를 통한 전력사용량 절감 및 온실가스 감축사업</x:v>
      </x:c>
      <x:c r="C386" s="2" t="str">
        <x:f>IF('신청 원장'!F3121="","",'신청 원장'!F3121)</x:f>
        <x:v>2020-09-09</x:v>
      </x:c>
      <x:c r="D386" s="2" t="str">
        <x:f>IF('신청 원장'!J3121="","",'신청 원장'!J3121)</x:f>
        <x:v>선택</x:v>
      </x:c>
      <x:c r="E386" s="2" t="str">
        <x:f>IF('신청 원장'!L3121="","",'신청 원장'!L3121)</x:f>
      </x:c>
      <x:c r="F386" s="2" t="str">
        <x:f>IF('신청 원장'!M3121="","",'신청 원장'!M3121)</x:f>
      </x:c>
      <x:c r="G386" s="2" t="n">
        <x:f>IF('신청 원장'!N3121="","",'신청 원장'!N3121)</x:f>
        <x:v>2227</x:v>
      </x:c>
      <x:c r="H386" s="2" t="str">
        <x:f>IF('신청 원장'!AA3121="","",'신청 원장'!AA3121)</x:f>
        <x:v>대상 아님</x:v>
      </x:c>
      <x:c r="I386" s="2" t="str">
        <x:f>IF('신청 원장'!O3121="","",'신청 원장'!O3121)</x:f>
      </x:c>
      <x:c r="J386" s="2" t="str">
        <x:f>IF('신청 원장'!W3121="","",'신청 원장'!W3121)</x:f>
        <x:v>담당기관 확인 / 종결 여부 확인</x:v>
      </x:c>
      <x:c r="K386" s="2" t="str">
        <x:f>IF('신청 원장'!X3121="","",'신청 원장'!X3121)</x:f>
        <x:v>원본·배정 기록 확인</x:v>
      </x:c>
      <x:c r="L386" s="2" t="str">
        <x:f>IF('신청 원장'!R3121="","",'신청 원장'!R3121)</x:f>
        <x:v>(비공개)국내평가</x:v>
      </x:c>
      <x:c r="M386" s="2" t="n">
        <x:f>IF('신청 원장'!S3121="","",'신청 원장'!S3121)</x:f>
        <x:v>29</x:v>
      </x:c>
      <x:c r="N386" s="2" t="str">
        <x:f>IF('신청 원장'!K3121&lt;&gt;"미종결 표시","종결 상태 확인",IF('신청 원장'!N3121="","일자 확인 필요",IF('신청 원장'!N3121&gt;365,"366일 이상",IF('신청 원장'!N3121&gt;90,"91~365일",IF('신청 원장'!N3121&gt;30,"31~90일","0~30일")))))</x:f>
        <x:v>종결 상태 확인</x:v>
      </x:c>
      <x:c r="O386" s="2" t="str">
        <x:f>IF(OR('신청 원장'!L3121="",'신청 원장'!L3121="선택"),"담당 원문 확인","기재")</x:f>
        <x:v>담당 원문 확인</x:v>
      </x:c>
      <x:c r="P386" s="2" t="str">
        <x:f>IF('신청 원장'!A3121="","",'신청 원장'!A3121)</x:f>
        <x:v>9336c0a419f45d2d7ad94e35</x:v>
      </x:c>
    </x:row>
    <x:row r="387" ht="42" customHeight="1">
      <x:c r="A387" s="2" t="str">
        <x:f>IF('신청 원장'!B3122="","",'신청 원장'!B3122)</x:f>
        <x:v>사업 비공개 신청</x:v>
      </x:c>
      <x:c r="B387" s="7" t="str">
        <x:f>IF('신청 원장'!D3122="","",'신청 원장'!D3122)</x:f>
        <x:v>부천수지의 B-C유에서 도시가스(LNG)로 연료전환을 통한 온실가스 배출 감축사업</x:v>
      </x:c>
      <x:c r="C387" s="2" t="str">
        <x:f>IF('신청 원장'!F3122="","",'신청 원장'!F3122)</x:f>
        <x:v>2020-07-06</x:v>
      </x:c>
      <x:c r="D387" s="2" t="str">
        <x:f>IF('신청 원장'!J3122="","",'신청 원장'!J3122)</x:f>
        <x:v>보완요청</x:v>
      </x:c>
      <x:c r="E387" s="2" t="str">
        <x:f>IF('신청 원장'!L3122="","",'신청 원장'!L3122)</x:f>
        <x:v>에코시안_박세은</x:v>
      </x:c>
      <x:c r="F387" s="2" t="str">
        <x:f>IF('신청 원장'!M3122="","",'신청 원장'!M3122)</x:f>
      </x:c>
      <x:c r="G387" s="2" t="n">
        <x:f>IF('신청 원장'!N3122="","",'신청 원장'!N3122)</x:f>
        <x:v>2292</x:v>
      </x:c>
      <x:c r="H387" s="2" t="str">
        <x:f>IF('신청 원장'!AA3122="","",'신청 원장'!AA3122)</x:f>
        <x:v>내부 관찰 대상</x:v>
      </x:c>
      <x:c r="I387" s="2" t="str">
        <x:f>IF('신청 원장'!O3122="","",'신청 원장'!O3122)</x:f>
      </x:c>
      <x:c r="J387" s="2" t="str">
        <x:f>IF('신청 원장'!W3122="","",'신청 원장'!W3122)</x:f>
      </x:c>
      <x:c r="K387" s="2" t="str">
        <x:f>IF('신청 원장'!X3122="","",'신청 원장'!X3122)</x:f>
        <x:v>보완 회신 일정 확인</x:v>
      </x:c>
      <x:c r="L387" s="2" t="str">
        <x:f>IF('신청 원장'!R3122="","",'신청 원장'!R3122)</x:f>
        <x:v>(비공개)국내평가</x:v>
      </x:c>
      <x:c r="M387" s="2" t="n">
        <x:f>IF('신청 원장'!S3122="","",'신청 원장'!S3122)</x:f>
        <x:v>30</x:v>
      </x:c>
      <x:c r="N387" s="2" t="str">
        <x:f>IF('신청 원장'!K3122&lt;&gt;"미종결 표시","종결 상태 확인",IF('신청 원장'!N3122="","일자 확인 필요",IF('신청 원장'!N3122&gt;365,"366일 이상",IF('신청 원장'!N3122&gt;90,"91~365일",IF('신청 원장'!N3122&gt;30,"31~90일","0~30일")))))</x:f>
        <x:v>366일 이상</x:v>
      </x:c>
      <x:c r="O387" s="2" t="str">
        <x:f>IF(OR('신청 원장'!L3122="",'신청 원장'!L3122="선택"),"담당 원문 확인","기재")</x:f>
        <x:v>기재</x:v>
      </x:c>
      <x:c r="P387" s="2" t="str">
        <x:f>IF('신청 원장'!A3122="","",'신청 원장'!A3122)</x:f>
        <x:v>2846045197371b7cb4e87036</x:v>
      </x:c>
    </x:row>
    <x:row r="388" ht="42" customHeight="1">
      <x:c r="A388" s="2" t="str">
        <x:f>IF('신청 원장'!B3123="","",'신청 원장'!B3123)</x:f>
        <x:v>사업 비공개 신청</x:v>
      </x:c>
      <x:c r="B388" s="7" t="str">
        <x:f>IF('신청 원장'!D3123="","",'신청 원장'!D3123)</x:f>
        <x:v>서울금속공업의 정제유에서 LNG로 연료전환을 통한 온실가스 배출 감축사업</x:v>
      </x:c>
      <x:c r="C388" s="2" t="str">
        <x:f>IF('신청 원장'!F3123="","",'신청 원장'!F3123)</x:f>
        <x:v>2020-06-24</x:v>
      </x:c>
      <x:c r="D388" s="2" t="str">
        <x:f>IF('신청 원장'!J3123="","",'신청 원장'!J3123)</x:f>
        <x:v>보완요청</x:v>
      </x:c>
      <x:c r="E388" s="2" t="str">
        <x:f>IF('신청 원장'!L3123="","",'신청 원장'!L3123)</x:f>
        <x:v>미정</x:v>
      </x:c>
      <x:c r="F388" s="2" t="str">
        <x:f>IF('신청 원장'!M3123="","",'신청 원장'!M3123)</x:f>
      </x:c>
      <x:c r="G388" s="2" t="n">
        <x:f>IF('신청 원장'!N3123="","",'신청 원장'!N3123)</x:f>
        <x:v>2304</x:v>
      </x:c>
      <x:c r="H388" s="2" t="str">
        <x:f>IF('신청 원장'!AA3123="","",'신청 원장'!AA3123)</x:f>
        <x:v>내부 관찰 대상</x:v>
      </x:c>
      <x:c r="I388" s="2" t="str">
        <x:f>IF('신청 원장'!O3123="","",'신청 원장'!O3123)</x:f>
      </x:c>
      <x:c r="J388" s="2" t="str">
        <x:f>IF('신청 원장'!W3123="","",'신청 원장'!W3123)</x:f>
        <x:v>담당기관 확인</x:v>
      </x:c>
      <x:c r="K388" s="2" t="str">
        <x:f>IF('신청 원장'!X3123="","",'신청 원장'!X3123)</x:f>
        <x:v>원본·배정 기록 확인</x:v>
      </x:c>
      <x:c r="L388" s="2" t="str">
        <x:f>IF('신청 원장'!R3123="","",'신청 원장'!R3123)</x:f>
        <x:v>(비공개)국내평가</x:v>
      </x:c>
      <x:c r="M388" s="2" t="n">
        <x:f>IF('신청 원장'!S3123="","",'신청 원장'!S3123)</x:f>
        <x:v>31</x:v>
      </x:c>
      <x:c r="N388" s="2" t="str">
        <x:f>IF('신청 원장'!K3123&lt;&gt;"미종결 표시","종결 상태 확인",IF('신청 원장'!N3123="","일자 확인 필요",IF('신청 원장'!N3123&gt;365,"366일 이상",IF('신청 원장'!N3123&gt;90,"91~365일",IF('신청 원장'!N3123&gt;30,"31~90일","0~30일")))))</x:f>
        <x:v>366일 이상</x:v>
      </x:c>
      <x:c r="O388" s="2" t="str">
        <x:f>IF(OR('신청 원장'!L3123="",'신청 원장'!L3123="선택"),"담당 원문 확인","기재")</x:f>
        <x:v>기재</x:v>
      </x:c>
      <x:c r="P388" s="2" t="str">
        <x:f>IF('신청 원장'!A3123="","",'신청 원장'!A3123)</x:f>
        <x:v>0f243acc7832d68810c671ab</x:v>
      </x:c>
    </x:row>
    <x:row r="389" ht="42" customHeight="1">
      <x:c r="A389" s="2" t="str">
        <x:f>IF('신청 원장'!B3124="","",'신청 원장'!B3124)</x:f>
        <x:v>사업 비공개 신청</x:v>
      </x:c>
      <x:c r="B389" s="7" t="str">
        <x:f>IF('신청 원장'!D3124="","",'신청 원장'!D3124)</x:f>
        <x:v>우성세라믹스공업의 LPG에서 LNG로 연료전환을 통한 온실가스 배출 감축사업</x:v>
      </x:c>
      <x:c r="C389" s="2" t="str">
        <x:f>IF('신청 원장'!F3124="","",'신청 원장'!F3124)</x:f>
        <x:v>2020-06-24</x:v>
      </x:c>
      <x:c r="D389" s="2" t="str">
        <x:f>IF('신청 원장'!J3124="","",'신청 원장'!J3124)</x:f>
        <x:v>보완요청</x:v>
      </x:c>
      <x:c r="E389" s="2" t="str">
        <x:f>IF('신청 원장'!L3124="","",'신청 원장'!L3124)</x:f>
        <x:v>에코시안_박세은</x:v>
      </x:c>
      <x:c r="F389" s="2" t="str">
        <x:f>IF('신청 원장'!M3124="","",'신청 원장'!M3124)</x:f>
      </x:c>
      <x:c r="G389" s="2" t="n">
        <x:f>IF('신청 원장'!N3124="","",'신청 원장'!N3124)</x:f>
        <x:v>2304</x:v>
      </x:c>
      <x:c r="H389" s="2" t="str">
        <x:f>IF('신청 원장'!AA3124="","",'신청 원장'!AA3124)</x:f>
        <x:v>내부 관찰 대상</x:v>
      </x:c>
      <x:c r="I389" s="2" t="str">
        <x:f>IF('신청 원장'!O3124="","",'신청 원장'!O3124)</x:f>
      </x:c>
      <x:c r="J389" s="2" t="str">
        <x:f>IF('신청 원장'!W3124="","",'신청 원장'!W3124)</x:f>
      </x:c>
      <x:c r="K389" s="2" t="str">
        <x:f>IF('신청 원장'!X3124="","",'신청 원장'!X3124)</x:f>
        <x:v>보완 회신 일정 확인</x:v>
      </x:c>
      <x:c r="L389" s="2" t="str">
        <x:f>IF('신청 원장'!R3124="","",'신청 원장'!R3124)</x:f>
        <x:v>(비공개)국내평가</x:v>
      </x:c>
      <x:c r="M389" s="2" t="n">
        <x:f>IF('신청 원장'!S3124="","",'신청 원장'!S3124)</x:f>
        <x:v>32</x:v>
      </x:c>
      <x:c r="N389" s="2" t="str">
        <x:f>IF('신청 원장'!K3124&lt;&gt;"미종결 표시","종결 상태 확인",IF('신청 원장'!N3124="","일자 확인 필요",IF('신청 원장'!N3124&gt;365,"366일 이상",IF('신청 원장'!N3124&gt;90,"91~365일",IF('신청 원장'!N3124&gt;30,"31~90일","0~30일")))))</x:f>
        <x:v>366일 이상</x:v>
      </x:c>
      <x:c r="O389" s="2" t="str">
        <x:f>IF(OR('신청 원장'!L3124="",'신청 원장'!L3124="선택"),"담당 원문 확인","기재")</x:f>
        <x:v>기재</x:v>
      </x:c>
      <x:c r="P389" s="2" t="str">
        <x:f>IF('신청 원장'!A3124="","",'신청 원장'!A3124)</x:f>
        <x:v>182c5a899e951ac47d362693</x:v>
      </x:c>
    </x:row>
    <x:row r="390" ht="42" customHeight="1">
      <x:c r="A390" s="2" t="str">
        <x:f>IF('신청 원장'!B3125="","",'신청 원장'!B3125)</x:f>
        <x:v>사업 비공개 신청</x:v>
      </x:c>
      <x:c r="B390" s="7" t="str">
        <x:f>IF('신청 원장'!D3125="","",'신청 원장'!D3125)</x:f>
        <x:v>덕성 인천사업장의 B-A유 및 B-C유에서 LNG로 연료전환을 통한 온실가스 배출 감축사업</x:v>
      </x:c>
      <x:c r="C390" s="2" t="str">
        <x:f>IF('신청 원장'!F3125="","",'신청 원장'!F3125)</x:f>
        <x:v>2020-04-27</x:v>
      </x:c>
      <x:c r="D390" s="2" t="str">
        <x:f>IF('신청 원장'!J3125="","",'신청 원장'!J3125)</x:f>
        <x:v>보완요청</x:v>
      </x:c>
      <x:c r="E390" s="2" t="str">
        <x:f>IF('신청 원장'!L3125="","",'신청 원장'!L3125)</x:f>
        <x:v>에코시안_박세은</x:v>
      </x:c>
      <x:c r="F390" s="2" t="str">
        <x:f>IF('신청 원장'!M3125="","",'신청 원장'!M3125)</x:f>
      </x:c>
      <x:c r="G390" s="2" t="n">
        <x:f>IF('신청 원장'!N3125="","",'신청 원장'!N3125)</x:f>
        <x:v>2362</x:v>
      </x:c>
      <x:c r="H390" s="2" t="str">
        <x:f>IF('신청 원장'!AA3125="","",'신청 원장'!AA3125)</x:f>
        <x:v>내부 관찰 대상</x:v>
      </x:c>
      <x:c r="I390" s="2" t="str">
        <x:f>IF('신청 원장'!O3125="","",'신청 원장'!O3125)</x:f>
      </x:c>
      <x:c r="J390" s="2" t="str">
        <x:f>IF('신청 원장'!W3125="","",'신청 원장'!W3125)</x:f>
      </x:c>
      <x:c r="K390" s="2" t="str">
        <x:f>IF('신청 원장'!X3125="","",'신청 원장'!X3125)</x:f>
        <x:v>보완 회신 일정 확인</x:v>
      </x:c>
      <x:c r="L390" s="2" t="str">
        <x:f>IF('신청 원장'!R3125="","",'신청 원장'!R3125)</x:f>
        <x:v>(비공개)국내평가</x:v>
      </x:c>
      <x:c r="M390" s="2" t="n">
        <x:f>IF('신청 원장'!S3125="","",'신청 원장'!S3125)</x:f>
        <x:v>33</x:v>
      </x:c>
      <x:c r="N390" s="2" t="str">
        <x:f>IF('신청 원장'!K3125&lt;&gt;"미종결 표시","종결 상태 확인",IF('신청 원장'!N3125="","일자 확인 필요",IF('신청 원장'!N3125&gt;365,"366일 이상",IF('신청 원장'!N3125&gt;90,"91~365일",IF('신청 원장'!N3125&gt;30,"31~90일","0~30일")))))</x:f>
        <x:v>366일 이상</x:v>
      </x:c>
      <x:c r="O390" s="2" t="str">
        <x:f>IF(OR('신청 원장'!L3125="",'신청 원장'!L3125="선택"),"담당 원문 확인","기재")</x:f>
        <x:v>기재</x:v>
      </x:c>
      <x:c r="P390" s="2" t="str">
        <x:f>IF('신청 원장'!A3125="","",'신청 원장'!A3125)</x:f>
        <x:v>2d38cf68a5aaa8b16e17847c</x:v>
      </x:c>
    </x:row>
    <x:row r="391" ht="42" customHeight="1">
      <x:c r="A391" s="2" t="str">
        <x:f>IF('신청 원장'!B3126="","",'신청 원장'!B3126)</x:f>
        <x:v>사업 비공개 신청</x:v>
      </x:c>
      <x:c r="B391" s="7" t="str">
        <x:f>IF('신청 원장'!D3126="","",'신청 원장'!D3126)</x:f>
        <x:v>덕성 수원사업장의 B-A유에서 LNG로 연료전환을 통한 온실가스 배출 감축사업</x:v>
      </x:c>
      <x:c r="C391" s="2" t="str">
        <x:f>IF('신청 원장'!F3126="","",'신청 원장'!F3126)</x:f>
        <x:v>2020-04-27</x:v>
      </x:c>
      <x:c r="D391" s="2" t="str">
        <x:f>IF('신청 원장'!J3126="","",'신청 원장'!J3126)</x:f>
        <x:v>보완요청</x:v>
      </x:c>
      <x:c r="E391" s="2" t="str">
        <x:f>IF('신청 원장'!L3126="","",'신청 원장'!L3126)</x:f>
        <x:v>에코시안_박세은</x:v>
      </x:c>
      <x:c r="F391" s="2" t="str">
        <x:f>IF('신청 원장'!M3126="","",'신청 원장'!M3126)</x:f>
      </x:c>
      <x:c r="G391" s="2" t="n">
        <x:f>IF('신청 원장'!N3126="","",'신청 원장'!N3126)</x:f>
        <x:v>2362</x:v>
      </x:c>
      <x:c r="H391" s="2" t="str">
        <x:f>IF('신청 원장'!AA3126="","",'신청 원장'!AA3126)</x:f>
        <x:v>내부 관찰 대상</x:v>
      </x:c>
      <x:c r="I391" s="2" t="str">
        <x:f>IF('신청 원장'!O3126="","",'신청 원장'!O3126)</x:f>
      </x:c>
      <x:c r="J391" s="2" t="str">
        <x:f>IF('신청 원장'!W3126="","",'신청 원장'!W3126)</x:f>
      </x:c>
      <x:c r="K391" s="2" t="str">
        <x:f>IF('신청 원장'!X3126="","",'신청 원장'!X3126)</x:f>
        <x:v>보완 회신 일정 확인</x:v>
      </x:c>
      <x:c r="L391" s="2" t="str">
        <x:f>IF('신청 원장'!R3126="","",'신청 원장'!R3126)</x:f>
        <x:v>(비공개)국내평가</x:v>
      </x:c>
      <x:c r="M391" s="2" t="n">
        <x:f>IF('신청 원장'!S3126="","",'신청 원장'!S3126)</x:f>
        <x:v>34</x:v>
      </x:c>
      <x:c r="N391" s="2" t="str">
        <x:f>IF('신청 원장'!K3126&lt;&gt;"미종결 표시","종결 상태 확인",IF('신청 원장'!N3126="","일자 확인 필요",IF('신청 원장'!N3126&gt;365,"366일 이상",IF('신청 원장'!N3126&gt;90,"91~365일",IF('신청 원장'!N3126&gt;30,"31~90일","0~30일")))))</x:f>
        <x:v>366일 이상</x:v>
      </x:c>
      <x:c r="O391" s="2" t="str">
        <x:f>IF(OR('신청 원장'!L3126="",'신청 원장'!L3126="선택"),"담당 원문 확인","기재")</x:f>
        <x:v>기재</x:v>
      </x:c>
      <x:c r="P391" s="2" t="str">
        <x:f>IF('신청 원장'!A3126="","",'신청 원장'!A3126)</x:f>
        <x:v>fdcdc787b1c54be1a7cf8c00</x:v>
      </x:c>
    </x:row>
    <x:row r="392" ht="42" customHeight="1">
      <x:c r="A392" s="2" t="str">
        <x:f>IF('신청 원장'!B3127="","",'신청 원장'!B3127)</x:f>
        <x:v>사업 비공개 신청</x:v>
      </x:c>
      <x:c r="B392" s="7" t="str">
        <x:f>IF('신청 원장'!D3127="","",'신청 원장'!D3127)</x:f>
        <x:v>부옥물산의 B-C유에서 LNG로 연료전환을 통한 온실가스 배출 감축사업</x:v>
      </x:c>
      <x:c r="C392" s="2" t="str">
        <x:f>IF('신청 원장'!F3127="","",'신청 원장'!F3127)</x:f>
        <x:v>2020-04-14</x:v>
      </x:c>
      <x:c r="D392" s="2" t="str">
        <x:f>IF('신청 원장'!J3127="","",'신청 원장'!J3127)</x:f>
        <x:v>보완요청</x:v>
      </x:c>
      <x:c r="E392" s="2" t="str">
        <x:f>IF('신청 원장'!L3127="","",'신청 원장'!L3127)</x:f>
        <x:v>에코시안_박세은</x:v>
      </x:c>
      <x:c r="F392" s="2" t="str">
        <x:f>IF('신청 원장'!M3127="","",'신청 원장'!M3127)</x:f>
      </x:c>
      <x:c r="G392" s="2" t="n">
        <x:f>IF('신청 원장'!N3127="","",'신청 원장'!N3127)</x:f>
        <x:v>2375</x:v>
      </x:c>
      <x:c r="H392" s="2" t="str">
        <x:f>IF('신청 원장'!AA3127="","",'신청 원장'!AA3127)</x:f>
        <x:v>내부 관찰 대상</x:v>
      </x:c>
      <x:c r="I392" s="2" t="str">
        <x:f>IF('신청 원장'!O3127="","",'신청 원장'!O3127)</x:f>
      </x:c>
      <x:c r="J392" s="2" t="str">
        <x:f>IF('신청 원장'!W3127="","",'신청 원장'!W3127)</x:f>
      </x:c>
      <x:c r="K392" s="2" t="str">
        <x:f>IF('신청 원장'!X3127="","",'신청 원장'!X3127)</x:f>
        <x:v>보완 회신 일정 확인</x:v>
      </x:c>
      <x:c r="L392" s="2" t="str">
        <x:f>IF('신청 원장'!R3127="","",'신청 원장'!R3127)</x:f>
        <x:v>(비공개)국내평가</x:v>
      </x:c>
      <x:c r="M392" s="2" t="n">
        <x:f>IF('신청 원장'!S3127="","",'신청 원장'!S3127)</x:f>
        <x:v>35</x:v>
      </x:c>
      <x:c r="N392" s="2" t="str">
        <x:f>IF('신청 원장'!K3127&lt;&gt;"미종결 표시","종결 상태 확인",IF('신청 원장'!N3127="","일자 확인 필요",IF('신청 원장'!N3127&gt;365,"366일 이상",IF('신청 원장'!N3127&gt;90,"91~365일",IF('신청 원장'!N3127&gt;30,"31~90일","0~30일")))))</x:f>
        <x:v>366일 이상</x:v>
      </x:c>
      <x:c r="O392" s="2" t="str">
        <x:f>IF(OR('신청 원장'!L3127="",'신청 원장'!L3127="선택"),"담당 원문 확인","기재")</x:f>
        <x:v>기재</x:v>
      </x:c>
      <x:c r="P392" s="2" t="str">
        <x:f>IF('신청 원장'!A3127="","",'신청 원장'!A3127)</x:f>
        <x:v>bc54bb1123f8b0366bbc3d27</x:v>
      </x:c>
    </x:row>
    <x:row r="393" ht="42" customHeight="1">
      <x:c r="A393" s="2" t="str">
        <x:f>IF('신청 원장'!B3128="","",'신청 원장'!B3128)</x:f>
        <x:v>사업 비공개 신청</x:v>
      </x:c>
      <x:c r="B393" s="7" t="str">
        <x:f>IF('신청 원장'!D3128="","",'신청 원장'!D3128)</x:f>
        <x:v>삼승텍스타일의 LPG에서 LNG로 연료전환을 통한 온실가스 배출 감축사업</x:v>
      </x:c>
      <x:c r="C393" s="2" t="str">
        <x:f>IF('신청 원장'!F3128="","",'신청 원장'!F3128)</x:f>
        <x:v>2020-03-06</x:v>
      </x:c>
      <x:c r="D393" s="2" t="str">
        <x:f>IF('신청 원장'!J3128="","",'신청 원장'!J3128)</x:f>
        <x:v>선택</x:v>
      </x:c>
      <x:c r="E393" s="2" t="str">
        <x:f>IF('신청 원장'!L3128="","",'신청 원장'!L3128)</x:f>
      </x:c>
      <x:c r="F393" s="2" t="str">
        <x:f>IF('신청 원장'!M3128="","",'신청 원장'!M3128)</x:f>
      </x:c>
      <x:c r="G393" s="2" t="n">
        <x:f>IF('신청 원장'!N3128="","",'신청 원장'!N3128)</x:f>
        <x:v>2414</x:v>
      </x:c>
      <x:c r="H393" s="2" t="str">
        <x:f>IF('신청 원장'!AA3128="","",'신청 원장'!AA3128)</x:f>
        <x:v>대상 아님</x:v>
      </x:c>
      <x:c r="I393" s="2" t="str">
        <x:f>IF('신청 원장'!O3128="","",'신청 원장'!O3128)</x:f>
      </x:c>
      <x:c r="J393" s="2" t="str">
        <x:f>IF('신청 원장'!W3128="","",'신청 원장'!W3128)</x:f>
        <x:v>담당기관 확인 / 종결 여부 확인</x:v>
      </x:c>
      <x:c r="K393" s="2" t="str">
        <x:f>IF('신청 원장'!X3128="","",'신청 원장'!X3128)</x:f>
        <x:v>원본·배정 기록 확인</x:v>
      </x:c>
      <x:c r="L393" s="2" t="str">
        <x:f>IF('신청 원장'!R3128="","",'신청 원장'!R3128)</x:f>
        <x:v>(비공개)국내평가</x:v>
      </x:c>
      <x:c r="M393" s="2" t="n">
        <x:f>IF('신청 원장'!S3128="","",'신청 원장'!S3128)</x:f>
        <x:v>36</x:v>
      </x:c>
      <x:c r="N393" s="2" t="str">
        <x:f>IF('신청 원장'!K3128&lt;&gt;"미종결 표시","종결 상태 확인",IF('신청 원장'!N3128="","일자 확인 필요",IF('신청 원장'!N3128&gt;365,"366일 이상",IF('신청 원장'!N3128&gt;90,"91~365일",IF('신청 원장'!N3128&gt;30,"31~90일","0~30일")))))</x:f>
        <x:v>종결 상태 확인</x:v>
      </x:c>
      <x:c r="O393" s="2" t="str">
        <x:f>IF(OR('신청 원장'!L3128="",'신청 원장'!L3128="선택"),"담당 원문 확인","기재")</x:f>
        <x:v>담당 원문 확인</x:v>
      </x:c>
      <x:c r="P393" s="2" t="str">
        <x:f>IF('신청 원장'!A3128="","",'신청 원장'!A3128)</x:f>
        <x:v>2a8d4d140a32d81eddd1dc8b</x:v>
      </x:c>
    </x:row>
    <x:row r="394" ht="42" customHeight="1">
      <x:c r="A394" s="2" t="str">
        <x:f>IF('신청 원장'!B3129="","",'신청 원장'!B3129)</x:f>
        <x:v>사업 비공개 신청</x:v>
      </x:c>
      <x:c r="B394" s="7" t="str">
        <x:f>IF('신청 원장'!D3129="","",'신청 원장'!D3129)</x:f>
        <x:v>휴켐스(주) 신설 6질산 공장에서 발생하는 아산화질소(N2O) 배출량 저감사업</x:v>
      </x:c>
      <x:c r="C394" s="2" t="str">
        <x:f>IF('신청 원장'!F3129="","",'신청 원장'!F3129)</x:f>
        <x:v>2020-02-24</x:v>
      </x:c>
      <x:c r="D394" s="2" t="str">
        <x:f>IF('신청 원장'!J3129="","",'신청 원장'!J3129)</x:f>
        <x:v>선택</x:v>
      </x:c>
      <x:c r="E394" s="2" t="str">
        <x:f>IF('신청 원장'!L3129="","",'신청 원장'!L3129)</x:f>
      </x:c>
      <x:c r="F394" s="2" t="str">
        <x:f>IF('신청 원장'!M3129="","",'신청 원장'!M3129)</x:f>
      </x:c>
      <x:c r="G394" s="2" t="n">
        <x:f>IF('신청 원장'!N3129="","",'신청 원장'!N3129)</x:f>
        <x:v>2425</x:v>
      </x:c>
      <x:c r="H394" s="2" t="str">
        <x:f>IF('신청 원장'!AA3129="","",'신청 원장'!AA3129)</x:f>
        <x:v>대상 아님</x:v>
      </x:c>
      <x:c r="I394" s="2" t="str">
        <x:f>IF('신청 원장'!O3129="","",'신청 원장'!O3129)</x:f>
      </x:c>
      <x:c r="J394" s="2" t="str">
        <x:f>IF('신청 원장'!W3129="","",'신청 원장'!W3129)</x:f>
        <x:v>담당기관 확인 / 종결 여부 확인</x:v>
      </x:c>
      <x:c r="K394" s="2" t="str">
        <x:f>IF('신청 원장'!X3129="","",'신청 원장'!X3129)</x:f>
        <x:v>원본·배정 기록 확인</x:v>
      </x:c>
      <x:c r="L394" s="2" t="str">
        <x:f>IF('신청 원장'!R3129="","",'신청 원장'!R3129)</x:f>
        <x:v>(비공개)국내평가</x:v>
      </x:c>
      <x:c r="M394" s="2" t="n">
        <x:f>IF('신청 원장'!S3129="","",'신청 원장'!S3129)</x:f>
        <x:v>37</x:v>
      </x:c>
      <x:c r="N394" s="2" t="str">
        <x:f>IF('신청 원장'!K3129&lt;&gt;"미종결 표시","종결 상태 확인",IF('신청 원장'!N3129="","일자 확인 필요",IF('신청 원장'!N3129&gt;365,"366일 이상",IF('신청 원장'!N3129&gt;90,"91~365일",IF('신청 원장'!N3129&gt;30,"31~90일","0~30일")))))</x:f>
        <x:v>종결 상태 확인</x:v>
      </x:c>
      <x:c r="O394" s="2" t="str">
        <x:f>IF(OR('신청 원장'!L3129="",'신청 원장'!L3129="선택"),"담당 원문 확인","기재")</x:f>
        <x:v>담당 원문 확인</x:v>
      </x:c>
      <x:c r="P394" s="2" t="str">
        <x:f>IF('신청 원장'!A3129="","",'신청 원장'!A3129)</x:f>
        <x:v>47023a09a9a6d76c1de9b80a</x:v>
      </x:c>
    </x:row>
    <x:row r="395" ht="42" customHeight="1">
      <x:c r="A395" s="2" t="str">
        <x:f>IF('신청 원장'!B3130="","",'신청 원장'!B3130)</x:f>
        <x:v>사업 비공개 신청</x:v>
      </x:c>
      <x:c r="B395" s="7" t="str">
        <x:f>IF('신청 원장'!D3130="","",'신청 원장'!D3130)</x:f>
        <x:v>2019년 인천광역시 보안등 LED 교체 묶음 감축사업</x:v>
      </x:c>
      <x:c r="C395" s="2" t="str">
        <x:f>IF('신청 원장'!F3130="","",'신청 원장'!F3130)</x:f>
        <x:v>2019-12-31</x:v>
      </x:c>
      <x:c r="D395" s="2" t="str">
        <x:f>IF('신청 원장'!J3130="","",'신청 원장'!J3130)</x:f>
        <x:v>보완요청</x:v>
      </x:c>
      <x:c r="E395" s="2" t="str">
        <x:f>IF('신청 원장'!L3130="","",'신청 원장'!L3130)</x:f>
        <x:v>미정</x:v>
      </x:c>
      <x:c r="F395" s="2" t="str">
        <x:f>IF('신청 원장'!M3130="","",'신청 원장'!M3130)</x:f>
      </x:c>
      <x:c r="G395" s="2" t="n">
        <x:f>IF('신청 원장'!N3130="","",'신청 원장'!N3130)</x:f>
        <x:v>2480</x:v>
      </x:c>
      <x:c r="H395" s="2" t="str">
        <x:f>IF('신청 원장'!AA3130="","",'신청 원장'!AA3130)</x:f>
        <x:v>내부 관찰 대상</x:v>
      </x:c>
      <x:c r="I395" s="2" t="str">
        <x:f>IF('신청 원장'!O3130="","",'신청 원장'!O3130)</x:f>
      </x:c>
      <x:c r="J395" s="2" t="str">
        <x:f>IF('신청 원장'!W3130="","",'신청 원장'!W3130)</x:f>
        <x:v>담당기관 확인</x:v>
      </x:c>
      <x:c r="K395" s="2" t="str">
        <x:f>IF('신청 원장'!X3130="","",'신청 원장'!X3130)</x:f>
        <x:v>원본·배정 기록 확인</x:v>
      </x:c>
      <x:c r="L395" s="2" t="str">
        <x:f>IF('신청 원장'!R3130="","",'신청 원장'!R3130)</x:f>
        <x:v>(비공개)국내평가</x:v>
      </x:c>
      <x:c r="M395" s="2" t="n">
        <x:f>IF('신청 원장'!S3130="","",'신청 원장'!S3130)</x:f>
        <x:v>38</x:v>
      </x:c>
      <x:c r="N395" s="2" t="str">
        <x:f>IF('신청 원장'!K3130&lt;&gt;"미종결 표시","종결 상태 확인",IF('신청 원장'!N3130="","일자 확인 필요",IF('신청 원장'!N3130&gt;365,"366일 이상",IF('신청 원장'!N3130&gt;90,"91~365일",IF('신청 원장'!N3130&gt;30,"31~90일","0~30일")))))</x:f>
        <x:v>366일 이상</x:v>
      </x:c>
      <x:c r="O395" s="2" t="str">
        <x:f>IF(OR('신청 원장'!L3130="",'신청 원장'!L3130="선택"),"담당 원문 확인","기재")</x:f>
        <x:v>기재</x:v>
      </x:c>
      <x:c r="P395" s="2" t="str">
        <x:f>IF('신청 원장'!A3130="","",'신청 원장'!A3130)</x:f>
        <x:v>09dcd7c71aa9aefdd7c2d8ef</x:v>
      </x:c>
    </x:row>
    <x:row r="396" ht="42" customHeight="1">
      <x:c r="A396" s="2" t="str">
        <x:f>IF('신청 원장'!B3131="","",'신청 원장'!B3131)</x:f>
        <x:v>사업 비공개 신청</x:v>
      </x:c>
      <x:c r="B396" s="7" t="str">
        <x:f>IF('신청 원장'!D3131="","",'신청 원장'!D3131)</x:f>
        <x:v>2019년 인천광역시 도로조명 LED 교체 묶음 감축사업</x:v>
      </x:c>
      <x:c r="C396" s="2" t="str">
        <x:f>IF('신청 원장'!F3131="","",'신청 원장'!F3131)</x:f>
        <x:v>2019-12-31</x:v>
      </x:c>
      <x:c r="D396" s="2" t="str">
        <x:f>IF('신청 원장'!J3131="","",'신청 원장'!J3131)</x:f>
        <x:v>보완요청</x:v>
      </x:c>
      <x:c r="E396" s="2" t="str">
        <x:f>IF('신청 원장'!L3131="","",'신청 원장'!L3131)</x:f>
        <x:v>미정</x:v>
      </x:c>
      <x:c r="F396" s="2" t="str">
        <x:f>IF('신청 원장'!M3131="","",'신청 원장'!M3131)</x:f>
      </x:c>
      <x:c r="G396" s="2" t="n">
        <x:f>IF('신청 원장'!N3131="","",'신청 원장'!N3131)</x:f>
        <x:v>2480</x:v>
      </x:c>
      <x:c r="H396" s="2" t="str">
        <x:f>IF('신청 원장'!AA3131="","",'신청 원장'!AA3131)</x:f>
        <x:v>내부 관찰 대상</x:v>
      </x:c>
      <x:c r="I396" s="2" t="str">
        <x:f>IF('신청 원장'!O3131="","",'신청 원장'!O3131)</x:f>
      </x:c>
      <x:c r="J396" s="2" t="str">
        <x:f>IF('신청 원장'!W3131="","",'신청 원장'!W3131)</x:f>
        <x:v>담당기관 확인</x:v>
      </x:c>
      <x:c r="K396" s="2" t="str">
        <x:f>IF('신청 원장'!X3131="","",'신청 원장'!X3131)</x:f>
        <x:v>원본·배정 기록 확인</x:v>
      </x:c>
      <x:c r="L396" s="2" t="str">
        <x:f>IF('신청 원장'!R3131="","",'신청 원장'!R3131)</x:f>
        <x:v>(비공개)국내평가</x:v>
      </x:c>
      <x:c r="M396" s="2" t="n">
        <x:f>IF('신청 원장'!S3131="","",'신청 원장'!S3131)</x:f>
        <x:v>39</x:v>
      </x:c>
      <x:c r="N396" s="2" t="str">
        <x:f>IF('신청 원장'!K3131&lt;&gt;"미종결 표시","종결 상태 확인",IF('신청 원장'!N3131="","일자 확인 필요",IF('신청 원장'!N3131&gt;365,"366일 이상",IF('신청 원장'!N3131&gt;90,"91~365일",IF('신청 원장'!N3131&gt;30,"31~90일","0~30일")))))</x:f>
        <x:v>366일 이상</x:v>
      </x:c>
      <x:c r="O396" s="2" t="str">
        <x:f>IF(OR('신청 원장'!L3131="",'신청 원장'!L3131="선택"),"담당 원문 확인","기재")</x:f>
        <x:v>기재</x:v>
      </x:c>
      <x:c r="P396" s="2" t="str">
        <x:f>IF('신청 원장'!A3131="","",'신청 원장'!A3131)</x:f>
        <x:v>1ac036aba0a1a0f6acb0683f</x:v>
      </x:c>
    </x:row>
    <x:row r="397" ht="42" customHeight="1">
      <x:c r="A397" s="2" t="str">
        <x:f>IF('신청 원장'!B3132="","",'신청 원장'!B3132)</x:f>
        <x:v>사업 비공개 신청</x:v>
      </x:c>
      <x:c r="B397" s="7" t="str">
        <x:f>IF('신청 원장'!D3132="","",'신청 원장'!D3132)</x:f>
        <x:v>인천광역시 주택 태양광 발전설비 보급 프로그램 감축사업</x:v>
      </x:c>
      <x:c r="C397" s="2" t="str">
        <x:f>IF('신청 원장'!F3132="","",'신청 원장'!F3132)</x:f>
        <x:v>2019-12-31</x:v>
      </x:c>
      <x:c r="D397" s="2" t="str">
        <x:f>IF('신청 원장'!J3132="","",'신청 원장'!J3132)</x:f>
        <x:v>선택</x:v>
      </x:c>
      <x:c r="E397" s="2" t="str">
        <x:f>IF('신청 원장'!L3132="","",'신청 원장'!L3132)</x:f>
      </x:c>
      <x:c r="F397" s="2" t="str">
        <x:f>IF('신청 원장'!M3132="","",'신청 원장'!M3132)</x:f>
      </x:c>
      <x:c r="G397" s="2" t="n">
        <x:f>IF('신청 원장'!N3132="","",'신청 원장'!N3132)</x:f>
        <x:v>2480</x:v>
      </x:c>
      <x:c r="H397" s="2" t="str">
        <x:f>IF('신청 원장'!AA3132="","",'신청 원장'!AA3132)</x:f>
        <x:v>대상 아님</x:v>
      </x:c>
      <x:c r="I397" s="2" t="str">
        <x:f>IF('신청 원장'!O3132="","",'신청 원장'!O3132)</x:f>
      </x:c>
      <x:c r="J397" s="2" t="str">
        <x:f>IF('신청 원장'!W3132="","",'신청 원장'!W3132)</x:f>
        <x:v>담당기관 확인 / 종결 여부 확인</x:v>
      </x:c>
      <x:c r="K397" s="2" t="str">
        <x:f>IF('신청 원장'!X3132="","",'신청 원장'!X3132)</x:f>
        <x:v>원본·배정 기록 확인</x:v>
      </x:c>
      <x:c r="L397" s="2" t="str">
        <x:f>IF('신청 원장'!R3132="","",'신청 원장'!R3132)</x:f>
        <x:v>(비공개)국내평가</x:v>
      </x:c>
      <x:c r="M397" s="2" t="n">
        <x:f>IF('신청 원장'!S3132="","",'신청 원장'!S3132)</x:f>
        <x:v>40</x:v>
      </x:c>
      <x:c r="N397" s="2" t="str">
        <x:f>IF('신청 원장'!K3132&lt;&gt;"미종결 표시","종결 상태 확인",IF('신청 원장'!N3132="","일자 확인 필요",IF('신청 원장'!N3132&gt;365,"366일 이상",IF('신청 원장'!N3132&gt;90,"91~365일",IF('신청 원장'!N3132&gt;30,"31~90일","0~30일")))))</x:f>
        <x:v>종결 상태 확인</x:v>
      </x:c>
      <x:c r="O397" s="2" t="str">
        <x:f>IF(OR('신청 원장'!L3132="",'신청 원장'!L3132="선택"),"담당 원문 확인","기재")</x:f>
        <x:v>담당 원문 확인</x:v>
      </x:c>
      <x:c r="P397" s="2" t="str">
        <x:f>IF('신청 원장'!A3132="","",'신청 원장'!A3132)</x:f>
        <x:v>6e675b90fcb50e806eed1880</x:v>
      </x:c>
    </x:row>
    <x:row r="398" ht="42" customHeight="1">
      <x:c r="A398" s="2" t="str">
        <x:f>IF('신청 원장'!B3133="","",'신청 원장'!B3133)</x:f>
        <x:v>사업 비공개 신청</x:v>
      </x:c>
      <x:c r="B398" s="7" t="str">
        <x:f>IF('신청 원장'!D3133="","",'신청 원장'!D3133)</x:f>
        <x:v>롯데케미칼㈜ 공정폐열의 ㈜스마트에너지팩토리 공정스팀 활용사업</x:v>
      </x:c>
      <x:c r="C398" s="2" t="str">
        <x:f>IF('신청 원장'!F3133="","",'신청 원장'!F3133)</x:f>
        <x:v>2019-12-25</x:v>
      </x:c>
      <x:c r="D398" s="2" t="str">
        <x:f>IF('신청 원장'!J3133="","",'신청 원장'!J3133)</x:f>
        <x:v>선택</x:v>
      </x:c>
      <x:c r="E398" s="2" t="str">
        <x:f>IF('신청 원장'!L3133="","",'신청 원장'!L3133)</x:f>
      </x:c>
      <x:c r="F398" s="2" t="str">
        <x:f>IF('신청 원장'!M3133="","",'신청 원장'!M3133)</x:f>
      </x:c>
      <x:c r="G398" s="2" t="n">
        <x:f>IF('신청 원장'!N3133="","",'신청 원장'!N3133)</x:f>
        <x:v>2486</x:v>
      </x:c>
      <x:c r="H398" s="2" t="str">
        <x:f>IF('신청 원장'!AA3133="","",'신청 원장'!AA3133)</x:f>
        <x:v>대상 아님</x:v>
      </x:c>
      <x:c r="I398" s="2" t="str">
        <x:f>IF('신청 원장'!O3133="","",'신청 원장'!O3133)</x:f>
      </x:c>
      <x:c r="J398" s="2" t="str">
        <x:f>IF('신청 원장'!W3133="","",'신청 원장'!W3133)</x:f>
        <x:v>담당기관 확인 / 종결 여부 확인</x:v>
      </x:c>
      <x:c r="K398" s="2" t="str">
        <x:f>IF('신청 원장'!X3133="","",'신청 원장'!X3133)</x:f>
        <x:v>원본·배정 기록 확인</x:v>
      </x:c>
      <x:c r="L398" s="2" t="str">
        <x:f>IF('신청 원장'!R3133="","",'신청 원장'!R3133)</x:f>
        <x:v>(비공개)국내평가</x:v>
      </x:c>
      <x:c r="M398" s="2" t="n">
        <x:f>IF('신청 원장'!S3133="","",'신청 원장'!S3133)</x:f>
        <x:v>41</x:v>
      </x:c>
      <x:c r="N398" s="2" t="str">
        <x:f>IF('신청 원장'!K3133&lt;&gt;"미종결 표시","종결 상태 확인",IF('신청 원장'!N3133="","일자 확인 필요",IF('신청 원장'!N3133&gt;365,"366일 이상",IF('신청 원장'!N3133&gt;90,"91~365일",IF('신청 원장'!N3133&gt;30,"31~90일","0~30일")))))</x:f>
        <x:v>종결 상태 확인</x:v>
      </x:c>
      <x:c r="O398" s="2" t="str">
        <x:f>IF(OR('신청 원장'!L3133="",'신청 원장'!L3133="선택"),"담당 원문 확인","기재")</x:f>
        <x:v>담당 원문 확인</x:v>
      </x:c>
      <x:c r="P398" s="2" t="str">
        <x:f>IF('신청 원장'!A3133="","",'신청 원장'!A3133)</x:f>
        <x:v>6228c6c9571f88fb9c404bdc</x:v>
      </x:c>
    </x:row>
    <x:row r="399" ht="42" customHeight="1">
      <x:c r="A399" s="2" t="str">
        <x:f>IF('신청 원장'!B3134="","",'신청 원장'!B3134)</x:f>
        <x:v>사업 비공개 신청</x:v>
      </x:c>
      <x:c r="B399" s="7" t="str">
        <x:f>IF('신청 원장'!D3134="","",'신청 원장'!D3134)</x:f>
        <x:v>(주)엘지화학 자가 소비용 태양광 발전설비의 설치 지원을 통한 프로그램 감축사업</x:v>
      </x:c>
      <x:c r="C399" s="2" t="str">
        <x:f>IF('신청 원장'!F3134="","",'신청 원장'!F3134)</x:f>
        <x:v>2019-12-19</x:v>
      </x:c>
      <x:c r="D399" s="2" t="str">
        <x:f>IF('신청 원장'!J3134="","",'신청 원장'!J3134)</x:f>
        <x:v>보완요청</x:v>
      </x:c>
      <x:c r="E399" s="2" t="str">
        <x:f>IF('신청 원장'!L3134="","",'신청 원장'!L3134)</x:f>
        <x:v>에코시안_박세은</x:v>
      </x:c>
      <x:c r="F399" s="2" t="str">
        <x:f>IF('신청 원장'!M3134="","",'신청 원장'!M3134)</x:f>
      </x:c>
      <x:c r="G399" s="2" t="n">
        <x:f>IF('신청 원장'!N3134="","",'신청 원장'!N3134)</x:f>
        <x:v>2492</x:v>
      </x:c>
      <x:c r="H399" s="2" t="str">
        <x:f>IF('신청 원장'!AA3134="","",'신청 원장'!AA3134)</x:f>
        <x:v>내부 관찰 대상</x:v>
      </x:c>
      <x:c r="I399" s="2" t="str">
        <x:f>IF('신청 원장'!O3134="","",'신청 원장'!O3134)</x:f>
      </x:c>
      <x:c r="J399" s="2" t="str">
        <x:f>IF('신청 원장'!W3134="","",'신청 원장'!W3134)</x:f>
      </x:c>
      <x:c r="K399" s="2" t="str">
        <x:f>IF('신청 원장'!X3134="","",'신청 원장'!X3134)</x:f>
        <x:v>보완 회신 일정 확인</x:v>
      </x:c>
      <x:c r="L399" s="2" t="str">
        <x:f>IF('신청 원장'!R3134="","",'신청 원장'!R3134)</x:f>
        <x:v>(비공개)국내평가</x:v>
      </x:c>
      <x:c r="M399" s="2" t="n">
        <x:f>IF('신청 원장'!S3134="","",'신청 원장'!S3134)</x:f>
        <x:v>42</x:v>
      </x:c>
      <x:c r="N399" s="2" t="str">
        <x:f>IF('신청 원장'!K3134&lt;&gt;"미종결 표시","종결 상태 확인",IF('신청 원장'!N3134="","일자 확인 필요",IF('신청 원장'!N3134&gt;365,"366일 이상",IF('신청 원장'!N3134&gt;90,"91~365일",IF('신청 원장'!N3134&gt;30,"31~90일","0~30일")))))</x:f>
        <x:v>366일 이상</x:v>
      </x:c>
      <x:c r="O399" s="2" t="str">
        <x:f>IF(OR('신청 원장'!L3134="",'신청 원장'!L3134="선택"),"담당 원문 확인","기재")</x:f>
        <x:v>기재</x:v>
      </x:c>
      <x:c r="P399" s="2" t="str">
        <x:f>IF('신청 원장'!A3134="","",'신청 원장'!A3134)</x:f>
        <x:v>f533f121ecf512938d45ca69</x:v>
      </x:c>
    </x:row>
    <x:row r="400" ht="42" customHeight="1">
      <x:c r="A400" s="2" t="str">
        <x:f>IF('신청 원장'!B3135="","",'신청 원장'!B3135)</x:f>
        <x:v>사업 비공개 신청</x:v>
      </x:c>
      <x:c r="B400" s="7" t="str">
        <x:f>IF('신청 원장'!D3135="","",'신청 원장'!D3135)</x:f>
        <x:v>고효율인덕션히터 도입을 통한 온실가스 감축 사업</x:v>
      </x:c>
      <x:c r="C400" s="2" t="str">
        <x:f>IF('신청 원장'!F3135="","",'신청 원장'!F3135)</x:f>
        <x:v>2019-12-17</x:v>
      </x:c>
      <x:c r="D400" s="2" t="str">
        <x:f>IF('신청 원장'!J3135="","",'신청 원장'!J3135)</x:f>
        <x:v>선택</x:v>
      </x:c>
      <x:c r="E400" s="2" t="str">
        <x:f>IF('신청 원장'!L3135="","",'신청 원장'!L3135)</x:f>
      </x:c>
      <x:c r="F400" s="2" t="str">
        <x:f>IF('신청 원장'!M3135="","",'신청 원장'!M3135)</x:f>
      </x:c>
      <x:c r="G400" s="2" t="n">
        <x:f>IF('신청 원장'!N3135="","",'신청 원장'!N3135)</x:f>
        <x:v>2494</x:v>
      </x:c>
      <x:c r="H400" s="2" t="str">
        <x:f>IF('신청 원장'!AA3135="","",'신청 원장'!AA3135)</x:f>
        <x:v>대상 아님</x:v>
      </x:c>
      <x:c r="I400" s="2" t="str">
        <x:f>IF('신청 원장'!O3135="","",'신청 원장'!O3135)</x:f>
      </x:c>
      <x:c r="J400" s="2" t="str">
        <x:f>IF('신청 원장'!W3135="","",'신청 원장'!W3135)</x:f>
        <x:v>담당기관 확인 / 종결 여부 확인</x:v>
      </x:c>
      <x:c r="K400" s="2" t="str">
        <x:f>IF('신청 원장'!X3135="","",'신청 원장'!X3135)</x:f>
        <x:v>원본·배정 기록 확인</x:v>
      </x:c>
      <x:c r="L400" s="2" t="str">
        <x:f>IF('신청 원장'!R3135="","",'신청 원장'!R3135)</x:f>
        <x:v>(비공개)국내평가</x:v>
      </x:c>
      <x:c r="M400" s="2" t="n">
        <x:f>IF('신청 원장'!S3135="","",'신청 원장'!S3135)</x:f>
        <x:v>43</x:v>
      </x:c>
      <x:c r="N400" s="2" t="str">
        <x:f>IF('신청 원장'!K3135&lt;&gt;"미종결 표시","종결 상태 확인",IF('신청 원장'!N3135="","일자 확인 필요",IF('신청 원장'!N3135&gt;365,"366일 이상",IF('신청 원장'!N3135&gt;90,"91~365일",IF('신청 원장'!N3135&gt;30,"31~90일","0~30일")))))</x:f>
        <x:v>종결 상태 확인</x:v>
      </x:c>
      <x:c r="O400" s="2" t="str">
        <x:f>IF(OR('신청 원장'!L3135="",'신청 원장'!L3135="선택"),"담당 원문 확인","기재")</x:f>
        <x:v>담당 원문 확인</x:v>
      </x:c>
      <x:c r="P400" s="2" t="str">
        <x:f>IF('신청 원장'!A3135="","",'신청 원장'!A3135)</x:f>
        <x:v>ce457eb25cc603749bb88d05</x:v>
      </x:c>
    </x:row>
    <x:row r="401" ht="42" customHeight="1">
      <x:c r="A401" s="2" t="str">
        <x:f>IF('신청 원장'!B3136="","",'신청 원장'!B3136)</x:f>
        <x:v>사업 비공개 신청</x:v>
      </x:c>
      <x:c r="B401" s="7" t="str">
        <x:f>IF('신청 원장'!D3136="","",'신청 원장'!D3136)</x:f>
        <x:v>고효율인덕션히터 도입을 통한 온실가스 감축 사업</x:v>
      </x:c>
      <x:c r="C401" s="2" t="str">
        <x:f>IF('신청 원장'!F3136="","",'신청 원장'!F3136)</x:f>
        <x:v>2019-12-17</x:v>
      </x:c>
      <x:c r="D401" s="2" t="str">
        <x:f>IF('신청 원장'!J3136="","",'신청 원장'!J3136)</x:f>
        <x:v>선택</x:v>
      </x:c>
      <x:c r="E401" s="2" t="str">
        <x:f>IF('신청 원장'!L3136="","",'신청 원장'!L3136)</x:f>
      </x:c>
      <x:c r="F401" s="2" t="str">
        <x:f>IF('신청 원장'!M3136="","",'신청 원장'!M3136)</x:f>
      </x:c>
      <x:c r="G401" s="2" t="n">
        <x:f>IF('신청 원장'!N3136="","",'신청 원장'!N3136)</x:f>
        <x:v>2494</x:v>
      </x:c>
      <x:c r="H401" s="2" t="str">
        <x:f>IF('신청 원장'!AA3136="","",'신청 원장'!AA3136)</x:f>
        <x:v>대상 아님</x:v>
      </x:c>
      <x:c r="I401" s="2" t="str">
        <x:f>IF('신청 원장'!O3136="","",'신청 원장'!O3136)</x:f>
      </x:c>
      <x:c r="J401" s="2" t="str">
        <x:f>IF('신청 원장'!W3136="","",'신청 원장'!W3136)</x:f>
        <x:v>담당기관 확인 / 종결 여부 확인</x:v>
      </x:c>
      <x:c r="K401" s="2" t="str">
        <x:f>IF('신청 원장'!X3136="","",'신청 원장'!X3136)</x:f>
        <x:v>원본·배정 기록 확인</x:v>
      </x:c>
      <x:c r="L401" s="2" t="str">
        <x:f>IF('신청 원장'!R3136="","",'신청 원장'!R3136)</x:f>
        <x:v>(비공개)국내평가</x:v>
      </x:c>
      <x:c r="M401" s="2" t="n">
        <x:f>IF('신청 원장'!S3136="","",'신청 원장'!S3136)</x:f>
        <x:v>44</x:v>
      </x:c>
      <x:c r="N401" s="2" t="str">
        <x:f>IF('신청 원장'!K3136&lt;&gt;"미종결 표시","종결 상태 확인",IF('신청 원장'!N3136="","일자 확인 필요",IF('신청 원장'!N3136&gt;365,"366일 이상",IF('신청 원장'!N3136&gt;90,"91~365일",IF('신청 원장'!N3136&gt;30,"31~90일","0~30일")))))</x:f>
        <x:v>종결 상태 확인</x:v>
      </x:c>
      <x:c r="O401" s="2" t="str">
        <x:f>IF(OR('신청 원장'!L3136="",'신청 원장'!L3136="선택"),"담당 원문 확인","기재")</x:f>
        <x:v>담당 원문 확인</x:v>
      </x:c>
      <x:c r="P401" s="2" t="str">
        <x:f>IF('신청 원장'!A3136="","",'신청 원장'!A3136)</x:f>
        <x:v>070b3bc0111b39aebaf28142</x:v>
      </x:c>
    </x:row>
    <x:row r="402" ht="42" customHeight="1">
      <x:c r="A402" s="2" t="str">
        <x:f>IF('신청 원장'!B3137="","",'신청 원장'!B3137)</x:f>
        <x:v>사업 비공개 신청</x:v>
      </x:c>
      <x:c r="B402" s="7" t="str">
        <x:f>IF('신청 원장'!D3137="","",'신청 원장'!D3137)</x:f>
        <x:v>고효율인덕션히터 도입을 통한 온실가스 감축 사업</x:v>
      </x:c>
      <x:c r="C402" s="2" t="str">
        <x:f>IF('신청 원장'!F3137="","",'신청 원장'!F3137)</x:f>
        <x:v>2019-12-17</x:v>
      </x:c>
      <x:c r="D402" s="2" t="str">
        <x:f>IF('신청 원장'!J3137="","",'신청 원장'!J3137)</x:f>
        <x:v>선택</x:v>
      </x:c>
      <x:c r="E402" s="2" t="str">
        <x:f>IF('신청 원장'!L3137="","",'신청 원장'!L3137)</x:f>
      </x:c>
      <x:c r="F402" s="2" t="str">
        <x:f>IF('신청 원장'!M3137="","",'신청 원장'!M3137)</x:f>
      </x:c>
      <x:c r="G402" s="2" t="n">
        <x:f>IF('신청 원장'!N3137="","",'신청 원장'!N3137)</x:f>
        <x:v>2494</x:v>
      </x:c>
      <x:c r="H402" s="2" t="str">
        <x:f>IF('신청 원장'!AA3137="","",'신청 원장'!AA3137)</x:f>
        <x:v>대상 아님</x:v>
      </x:c>
      <x:c r="I402" s="2" t="str">
        <x:f>IF('신청 원장'!O3137="","",'신청 원장'!O3137)</x:f>
      </x:c>
      <x:c r="J402" s="2" t="str">
        <x:f>IF('신청 원장'!W3137="","",'신청 원장'!W3137)</x:f>
        <x:v>담당기관 확인 / 종결 여부 확인</x:v>
      </x:c>
      <x:c r="K402" s="2" t="str">
        <x:f>IF('신청 원장'!X3137="","",'신청 원장'!X3137)</x:f>
        <x:v>원본·배정 기록 확인</x:v>
      </x:c>
      <x:c r="L402" s="2" t="str">
        <x:f>IF('신청 원장'!R3137="","",'신청 원장'!R3137)</x:f>
        <x:v>(비공개)국내평가</x:v>
      </x:c>
      <x:c r="M402" s="2" t="n">
        <x:f>IF('신청 원장'!S3137="","",'신청 원장'!S3137)</x:f>
        <x:v>45</x:v>
      </x:c>
      <x:c r="N402" s="2" t="str">
        <x:f>IF('신청 원장'!K3137&lt;&gt;"미종결 표시","종결 상태 확인",IF('신청 원장'!N3137="","일자 확인 필요",IF('신청 원장'!N3137&gt;365,"366일 이상",IF('신청 원장'!N3137&gt;90,"91~365일",IF('신청 원장'!N3137&gt;30,"31~90일","0~30일")))))</x:f>
        <x:v>종결 상태 확인</x:v>
      </x:c>
      <x:c r="O402" s="2" t="str">
        <x:f>IF(OR('신청 원장'!L3137="",'신청 원장'!L3137="선택"),"담당 원문 확인","기재")</x:f>
        <x:v>담당 원문 확인</x:v>
      </x:c>
      <x:c r="P402" s="2" t="str">
        <x:f>IF('신청 원장'!A3137="","",'신청 원장'!A3137)</x:f>
        <x:v>427089a2636e5c94ad00527c</x:v>
      </x:c>
    </x:row>
    <x:row r="403" ht="42" customHeight="1">
      <x:c r="A403" s="2" t="str">
        <x:f>IF('신청 원장'!B3138="","",'신청 원장'!B3138)</x:f>
        <x:v>사업 비공개 신청</x:v>
      </x:c>
      <x:c r="B403" s="7" t="str">
        <x:f>IF('신청 원장'!D3138="","",'신청 원장'!D3138)</x:f>
        <x:v>고효율인덕션히터 도입을 통한 온실가스 감축 사업</x:v>
      </x:c>
      <x:c r="C403" s="2" t="str">
        <x:f>IF('신청 원장'!F3138="","",'신청 원장'!F3138)</x:f>
        <x:v>2019-12-17</x:v>
      </x:c>
      <x:c r="D403" s="2" t="str">
        <x:f>IF('신청 원장'!J3138="","",'신청 원장'!J3138)</x:f>
        <x:v>선택</x:v>
      </x:c>
      <x:c r="E403" s="2" t="str">
        <x:f>IF('신청 원장'!L3138="","",'신청 원장'!L3138)</x:f>
      </x:c>
      <x:c r="F403" s="2" t="str">
        <x:f>IF('신청 원장'!M3138="","",'신청 원장'!M3138)</x:f>
      </x:c>
      <x:c r="G403" s="2" t="n">
        <x:f>IF('신청 원장'!N3138="","",'신청 원장'!N3138)</x:f>
        <x:v>2494</x:v>
      </x:c>
      <x:c r="H403" s="2" t="str">
        <x:f>IF('신청 원장'!AA3138="","",'신청 원장'!AA3138)</x:f>
        <x:v>대상 아님</x:v>
      </x:c>
      <x:c r="I403" s="2" t="str">
        <x:f>IF('신청 원장'!O3138="","",'신청 원장'!O3138)</x:f>
      </x:c>
      <x:c r="J403" s="2" t="str">
        <x:f>IF('신청 원장'!W3138="","",'신청 원장'!W3138)</x:f>
        <x:v>담당기관 확인 / 종결 여부 확인</x:v>
      </x:c>
      <x:c r="K403" s="2" t="str">
        <x:f>IF('신청 원장'!X3138="","",'신청 원장'!X3138)</x:f>
        <x:v>원본·배정 기록 확인</x:v>
      </x:c>
      <x:c r="L403" s="2" t="str">
        <x:f>IF('신청 원장'!R3138="","",'신청 원장'!R3138)</x:f>
        <x:v>(비공개)국내평가</x:v>
      </x:c>
      <x:c r="M403" s="2" t="n">
        <x:f>IF('신청 원장'!S3138="","",'신청 원장'!S3138)</x:f>
        <x:v>46</x:v>
      </x:c>
      <x:c r="N403" s="2" t="str">
        <x:f>IF('신청 원장'!K3138&lt;&gt;"미종결 표시","종결 상태 확인",IF('신청 원장'!N3138="","일자 확인 필요",IF('신청 원장'!N3138&gt;365,"366일 이상",IF('신청 원장'!N3138&gt;90,"91~365일",IF('신청 원장'!N3138&gt;30,"31~90일","0~30일")))))</x:f>
        <x:v>종결 상태 확인</x:v>
      </x:c>
      <x:c r="O403" s="2" t="str">
        <x:f>IF(OR('신청 원장'!L3138="",'신청 원장'!L3138="선택"),"담당 원문 확인","기재")</x:f>
        <x:v>담당 원문 확인</x:v>
      </x:c>
      <x:c r="P403" s="2" t="str">
        <x:f>IF('신청 원장'!A3138="","",'신청 원장'!A3138)</x:f>
        <x:v>7f903f3ef2ddf26b62988487</x:v>
      </x:c>
    </x:row>
    <x:row r="404" ht="42" customHeight="1">
      <x:c r="A404" s="2" t="str">
        <x:f>IF('신청 원장'!B3139="","",'신청 원장'!B3139)</x:f>
        <x:v>사업 비공개 신청</x:v>
      </x:c>
      <x:c r="B404" s="7" t="str">
        <x:f>IF('신청 원장'!D3139="","",'신청 원장'!D3139)</x:f>
        <x:v>고효율인덕션히터 도입을 통한 온실가스 감축 사업</x:v>
      </x:c>
      <x:c r="C404" s="2" t="str">
        <x:f>IF('신청 원장'!F3139="","",'신청 원장'!F3139)</x:f>
        <x:v>2019-12-17</x:v>
      </x:c>
      <x:c r="D404" s="2" t="str">
        <x:f>IF('신청 원장'!J3139="","",'신청 원장'!J3139)</x:f>
        <x:v>선택</x:v>
      </x:c>
      <x:c r="E404" s="2" t="str">
        <x:f>IF('신청 원장'!L3139="","",'신청 원장'!L3139)</x:f>
      </x:c>
      <x:c r="F404" s="2" t="str">
        <x:f>IF('신청 원장'!M3139="","",'신청 원장'!M3139)</x:f>
      </x:c>
      <x:c r="G404" s="2" t="n">
        <x:f>IF('신청 원장'!N3139="","",'신청 원장'!N3139)</x:f>
        <x:v>2494</x:v>
      </x:c>
      <x:c r="H404" s="2" t="str">
        <x:f>IF('신청 원장'!AA3139="","",'신청 원장'!AA3139)</x:f>
        <x:v>대상 아님</x:v>
      </x:c>
      <x:c r="I404" s="2" t="str">
        <x:f>IF('신청 원장'!O3139="","",'신청 원장'!O3139)</x:f>
      </x:c>
      <x:c r="J404" s="2" t="str">
        <x:f>IF('신청 원장'!W3139="","",'신청 원장'!W3139)</x:f>
        <x:v>담당기관 확인 / 종결 여부 확인</x:v>
      </x:c>
      <x:c r="K404" s="2" t="str">
        <x:f>IF('신청 원장'!X3139="","",'신청 원장'!X3139)</x:f>
        <x:v>원본·배정 기록 확인</x:v>
      </x:c>
      <x:c r="L404" s="2" t="str">
        <x:f>IF('신청 원장'!R3139="","",'신청 원장'!R3139)</x:f>
        <x:v>(비공개)국내평가</x:v>
      </x:c>
      <x:c r="M404" s="2" t="n">
        <x:f>IF('신청 원장'!S3139="","",'신청 원장'!S3139)</x:f>
        <x:v>47</x:v>
      </x:c>
      <x:c r="N404" s="2" t="str">
        <x:f>IF('신청 원장'!K3139&lt;&gt;"미종결 표시","종결 상태 확인",IF('신청 원장'!N3139="","일자 확인 필요",IF('신청 원장'!N3139&gt;365,"366일 이상",IF('신청 원장'!N3139&gt;90,"91~365일",IF('신청 원장'!N3139&gt;30,"31~90일","0~30일")))))</x:f>
        <x:v>종결 상태 확인</x:v>
      </x:c>
      <x:c r="O404" s="2" t="str">
        <x:f>IF(OR('신청 원장'!L3139="",'신청 원장'!L3139="선택"),"담당 원문 확인","기재")</x:f>
        <x:v>담당 원문 확인</x:v>
      </x:c>
      <x:c r="P404" s="2" t="str">
        <x:f>IF('신청 원장'!A3139="","",'신청 원장'!A3139)</x:f>
        <x:v>d485b1f81c893403e71cc0ff</x:v>
      </x:c>
    </x:row>
    <x:row r="405" ht="42" customHeight="1">
      <x:c r="A405" s="2" t="str">
        <x:f>IF('신청 원장'!B3140="","",'신청 원장'!B3140)</x:f>
        <x:v>사업 비공개 신청</x:v>
      </x:c>
      <x:c r="B405" s="7" t="str">
        <x:f>IF('신청 원장'!D3140="","",'신청 원장'!D3140)</x:f>
        <x:v>고효율인덕션히터 도입을 통한 온실가스 감축 사업</x:v>
      </x:c>
      <x:c r="C405" s="2" t="str">
        <x:f>IF('신청 원장'!F3140="","",'신청 원장'!F3140)</x:f>
        <x:v>2019-12-17</x:v>
      </x:c>
      <x:c r="D405" s="2" t="str">
        <x:f>IF('신청 원장'!J3140="","",'신청 원장'!J3140)</x:f>
        <x:v>선택</x:v>
      </x:c>
      <x:c r="E405" s="2" t="str">
        <x:f>IF('신청 원장'!L3140="","",'신청 원장'!L3140)</x:f>
      </x:c>
      <x:c r="F405" s="2" t="str">
        <x:f>IF('신청 원장'!M3140="","",'신청 원장'!M3140)</x:f>
      </x:c>
      <x:c r="G405" s="2" t="n">
        <x:f>IF('신청 원장'!N3140="","",'신청 원장'!N3140)</x:f>
        <x:v>2494</x:v>
      </x:c>
      <x:c r="H405" s="2" t="str">
        <x:f>IF('신청 원장'!AA3140="","",'신청 원장'!AA3140)</x:f>
        <x:v>대상 아님</x:v>
      </x:c>
      <x:c r="I405" s="2" t="str">
        <x:f>IF('신청 원장'!O3140="","",'신청 원장'!O3140)</x:f>
      </x:c>
      <x:c r="J405" s="2" t="str">
        <x:f>IF('신청 원장'!W3140="","",'신청 원장'!W3140)</x:f>
        <x:v>담당기관 확인 / 종결 여부 확인</x:v>
      </x:c>
      <x:c r="K405" s="2" t="str">
        <x:f>IF('신청 원장'!X3140="","",'신청 원장'!X3140)</x:f>
        <x:v>원본·배정 기록 확인</x:v>
      </x:c>
      <x:c r="L405" s="2" t="str">
        <x:f>IF('신청 원장'!R3140="","",'신청 원장'!R3140)</x:f>
        <x:v>(비공개)국내평가</x:v>
      </x:c>
      <x:c r="M405" s="2" t="n">
        <x:f>IF('신청 원장'!S3140="","",'신청 원장'!S3140)</x:f>
        <x:v>48</x:v>
      </x:c>
      <x:c r="N405" s="2" t="str">
        <x:f>IF('신청 원장'!K3140&lt;&gt;"미종결 표시","종결 상태 확인",IF('신청 원장'!N3140="","일자 확인 필요",IF('신청 원장'!N3140&gt;365,"366일 이상",IF('신청 원장'!N3140&gt;90,"91~365일",IF('신청 원장'!N3140&gt;30,"31~90일","0~30일")))))</x:f>
        <x:v>종결 상태 확인</x:v>
      </x:c>
      <x:c r="O405" s="2" t="str">
        <x:f>IF(OR('신청 원장'!L3140="",'신청 원장'!L3140="선택"),"담당 원문 확인","기재")</x:f>
        <x:v>담당 원문 확인</x:v>
      </x:c>
      <x:c r="P405" s="2" t="str">
        <x:f>IF('신청 원장'!A3140="","",'신청 원장'!A3140)</x:f>
        <x:v>38ea96401486744a5041f586</x:v>
      </x:c>
    </x:row>
    <x:row r="406" ht="42" customHeight="1">
      <x:c r="A406" s="2" t="str">
        <x:f>IF('신청 원장'!B3141="","",'신청 원장'!B3141)</x:f>
        <x:v>사업 비공개 신청</x:v>
      </x:c>
      <x:c r="B406" s="7" t="str">
        <x:f>IF('신청 원장'!D3141="","",'신청 원장'!D3141)</x:f>
        <x:v>신원산업 열교환기 설치를 통한 온실가스 감축사업</x:v>
      </x:c>
      <x:c r="C406" s="2" t="str">
        <x:f>IF('신청 원장'!F3141="","",'신청 원장'!F3141)</x:f>
        <x:v>2019-12-16</x:v>
      </x:c>
      <x:c r="D406" s="2" t="str">
        <x:f>IF('신청 원장'!J3141="","",'신청 원장'!J3141)</x:f>
        <x:v>선택</x:v>
      </x:c>
      <x:c r="E406" s="2" t="str">
        <x:f>IF('신청 원장'!L3141="","",'신청 원장'!L3141)</x:f>
      </x:c>
      <x:c r="F406" s="2" t="str">
        <x:f>IF('신청 원장'!M3141="","",'신청 원장'!M3141)</x:f>
      </x:c>
      <x:c r="G406" s="2" t="n">
        <x:f>IF('신청 원장'!N3141="","",'신청 원장'!N3141)</x:f>
        <x:v>2495</x:v>
      </x:c>
      <x:c r="H406" s="2" t="str">
        <x:f>IF('신청 원장'!AA3141="","",'신청 원장'!AA3141)</x:f>
        <x:v>대상 아님</x:v>
      </x:c>
      <x:c r="I406" s="2" t="str">
        <x:f>IF('신청 원장'!O3141="","",'신청 원장'!O3141)</x:f>
      </x:c>
      <x:c r="J406" s="2" t="str">
        <x:f>IF('신청 원장'!W3141="","",'신청 원장'!W3141)</x:f>
        <x:v>담당기관 확인 / 종결 여부 확인</x:v>
      </x:c>
      <x:c r="K406" s="2" t="str">
        <x:f>IF('신청 원장'!X3141="","",'신청 원장'!X3141)</x:f>
        <x:v>원본·배정 기록 확인</x:v>
      </x:c>
      <x:c r="L406" s="2" t="str">
        <x:f>IF('신청 원장'!R3141="","",'신청 원장'!R3141)</x:f>
        <x:v>(비공개)국내평가</x:v>
      </x:c>
      <x:c r="M406" s="2" t="n">
        <x:f>IF('신청 원장'!S3141="","",'신청 원장'!S3141)</x:f>
        <x:v>49</x:v>
      </x:c>
      <x:c r="N406" s="2" t="str">
        <x:f>IF('신청 원장'!K3141&lt;&gt;"미종결 표시","종결 상태 확인",IF('신청 원장'!N3141="","일자 확인 필요",IF('신청 원장'!N3141&gt;365,"366일 이상",IF('신청 원장'!N3141&gt;90,"91~365일",IF('신청 원장'!N3141&gt;30,"31~90일","0~30일")))))</x:f>
        <x:v>종결 상태 확인</x:v>
      </x:c>
      <x:c r="O406" s="2" t="str">
        <x:f>IF(OR('신청 원장'!L3141="",'신청 원장'!L3141="선택"),"담당 원문 확인","기재")</x:f>
        <x:v>담당 원문 확인</x:v>
      </x:c>
      <x:c r="P406" s="2" t="str">
        <x:f>IF('신청 원장'!A3141="","",'신청 원장'!A3141)</x:f>
        <x:v>d56befdfd731c3cb48d454e8</x:v>
      </x:c>
    </x:row>
    <x:row r="407" ht="42" customHeight="1">
      <x:c r="A407" s="2" t="str">
        <x:f>IF('신청 원장'!B3142="","",'신청 원장'!B3142)</x:f>
        <x:v>사업 비공개 신청</x:v>
      </x:c>
      <x:c r="B407" s="7" t="str">
        <x:f>IF('신청 원장'!D3142="","",'신청 원장'!D3142)</x:f>
        <x:v>영덕산업의 LPG에서 도시가스(LNG)로 연료전환을 통한 온실가스 배출 감축사업</x:v>
      </x:c>
      <x:c r="C407" s="2" t="str">
        <x:f>IF('신청 원장'!F3142="","",'신청 원장'!F3142)</x:f>
        <x:v>2019-12-12</x:v>
      </x:c>
      <x:c r="D407" s="2" t="str">
        <x:f>IF('신청 원장'!J3142="","",'신청 원장'!J3142)</x:f>
        <x:v>선택</x:v>
      </x:c>
      <x:c r="E407" s="2" t="str">
        <x:f>IF('신청 원장'!L3142="","",'신청 원장'!L3142)</x:f>
      </x:c>
      <x:c r="F407" s="2" t="str">
        <x:f>IF('신청 원장'!M3142="","",'신청 원장'!M3142)</x:f>
      </x:c>
      <x:c r="G407" s="2" t="n">
        <x:f>IF('신청 원장'!N3142="","",'신청 원장'!N3142)</x:f>
        <x:v>2499</x:v>
      </x:c>
      <x:c r="H407" s="2" t="str">
        <x:f>IF('신청 원장'!AA3142="","",'신청 원장'!AA3142)</x:f>
        <x:v>대상 아님</x:v>
      </x:c>
      <x:c r="I407" s="2" t="str">
        <x:f>IF('신청 원장'!O3142="","",'신청 원장'!O3142)</x:f>
      </x:c>
      <x:c r="J407" s="2" t="str">
        <x:f>IF('신청 원장'!W3142="","",'신청 원장'!W3142)</x:f>
        <x:v>담당기관 확인 / 종결 여부 확인</x:v>
      </x:c>
      <x:c r="K407" s="2" t="str">
        <x:f>IF('신청 원장'!X3142="","",'신청 원장'!X3142)</x:f>
        <x:v>원본·배정 기록 확인</x:v>
      </x:c>
      <x:c r="L407" s="2" t="str">
        <x:f>IF('신청 원장'!R3142="","",'신청 원장'!R3142)</x:f>
        <x:v>(비공개)국내평가</x:v>
      </x:c>
      <x:c r="M407" s="2" t="n">
        <x:f>IF('신청 원장'!S3142="","",'신청 원장'!S3142)</x:f>
        <x:v>50</x:v>
      </x:c>
      <x:c r="N407" s="2" t="str">
        <x:f>IF('신청 원장'!K3142&lt;&gt;"미종결 표시","종결 상태 확인",IF('신청 원장'!N3142="","일자 확인 필요",IF('신청 원장'!N3142&gt;365,"366일 이상",IF('신청 원장'!N3142&gt;90,"91~365일",IF('신청 원장'!N3142&gt;30,"31~90일","0~30일")))))</x:f>
        <x:v>종결 상태 확인</x:v>
      </x:c>
      <x:c r="O407" s="2" t="str">
        <x:f>IF(OR('신청 원장'!L3142="",'신청 원장'!L3142="선택"),"담당 원문 확인","기재")</x:f>
        <x:v>담당 원문 확인</x:v>
      </x:c>
      <x:c r="P407" s="2" t="str">
        <x:f>IF('신청 원장'!A3142="","",'신청 원장'!A3142)</x:f>
        <x:v>d49ce5d65aa8decfc2c03125</x:v>
      </x:c>
    </x:row>
    <x:row r="408" ht="42" customHeight="1">
      <x:c r="A408" s="2" t="str">
        <x:f>IF('신청 원장'!B3143="","",'신청 원장'!B3143)</x:f>
        <x:v>사업 비공개 신청</x:v>
      </x:c>
      <x:c r="B408" s="7" t="str">
        <x:f>IF('신청 원장'!D3143="","",'신청 원장'!D3143)</x:f>
        <x:v>원주시 보안등 LED교체 ESCO용역사업</x:v>
      </x:c>
      <x:c r="C408" s="2" t="str">
        <x:f>IF('신청 원장'!F3143="","",'신청 원장'!F3143)</x:f>
        <x:v>2024-08-20</x:v>
      </x:c>
      <x:c r="D408" s="2" t="str">
        <x:f>IF('신청 원장'!J3143="","",'신청 원장'!J3143)</x:f>
        <x:v>평가필요</x:v>
      </x:c>
      <x:c r="E408" s="2" t="str">
        <x:f>IF('신청 원장'!L3143="","",'신청 원장'!L3143)</x:f>
        <x:v>KECM</x:v>
      </x:c>
      <x:c r="F408" s="2" t="str">
        <x:f>IF('신청 원장'!M3143="","",'신청 원장'!M3143)</x:f>
      </x:c>
      <x:c r="G408" s="2" t="n">
        <x:f>IF('신청 원장'!N3143="","",'신청 원장'!N3143)</x:f>
        <x:v>786</x:v>
      </x:c>
      <x:c r="H408" s="2" t="str">
        <x:f>IF('신청 원장'!AA3143="","",'신청 원장'!AA3143)</x:f>
        <x:v>내부 관찰 대상</x:v>
      </x:c>
      <x:c r="I408" s="2" t="str">
        <x:f>IF('신청 원장'!O3143="","",'신청 원장'!O3143)</x:f>
      </x:c>
      <x:c r="J408" s="2" t="str">
        <x:f>IF('신청 원장'!W3143="","",'신청 원장'!W3143)</x:f>
      </x:c>
      <x:c r="K408" s="2" t="str">
        <x:f>IF('신청 원장'!X3143="","",'신청 원장'!X3143)</x:f>
        <x:v>검토 진행 일정 확인</x:v>
      </x:c>
      <x:c r="L408" s="2" t="str">
        <x:f>IF('신청 원장'!R3143="","",'신청 원장'!R3143)</x:f>
        <x:v>(비공개)국내평가</x:v>
      </x:c>
      <x:c r="M408" s="2" t="n">
        <x:f>IF('신청 원장'!S3143="","",'신청 원장'!S3143)</x:f>
        <x:v>51</x:v>
      </x:c>
      <x:c r="N408" s="2" t="str">
        <x:f>IF('신청 원장'!K3143&lt;&gt;"미종결 표시","종결 상태 확인",IF('신청 원장'!N3143="","일자 확인 필요",IF('신청 원장'!N3143&gt;365,"366일 이상",IF('신청 원장'!N3143&gt;90,"91~365일",IF('신청 원장'!N3143&gt;30,"31~90일","0~30일")))))</x:f>
        <x:v>366일 이상</x:v>
      </x:c>
      <x:c r="O408" s="2" t="str">
        <x:f>IF(OR('신청 원장'!L3143="",'신청 원장'!L3143="선택"),"담당 원문 확인","기재")</x:f>
        <x:v>기재</x:v>
      </x:c>
      <x:c r="P408" s="2" t="str">
        <x:f>IF('신청 원장'!A3143="","",'신청 원장'!A3143)</x:f>
        <x:v>6c7942da3393c31cfe329c97</x:v>
      </x:c>
    </x:row>
    <x:row r="409" ht="42" customHeight="1">
      <x:c r="A409" s="2" t="str">
        <x:f>IF('신청 원장'!B3144="","",'신청 원장'!B3144)</x:f>
        <x:v>사업 비공개 신청</x:v>
      </x:c>
      <x:c r="B409" s="7" t="str">
        <x:f>IF('신청 원장'!D3144="","",'신청 원장'!D3144)</x:f>
        <x:v>(주)엘림 188.7kW 태양광 발전사업</x:v>
      </x:c>
      <x:c r="C409" s="2" t="str">
        <x:f>IF('신청 원장'!F3144="","",'신청 원장'!F3144)</x:f>
        <x:v>2019-11-27</x:v>
      </x:c>
      <x:c r="D409" s="2" t="str">
        <x:f>IF('신청 원장'!J3144="","",'신청 원장'!J3144)</x:f>
        <x:v>선택</x:v>
      </x:c>
      <x:c r="E409" s="2" t="str">
        <x:f>IF('신청 원장'!L3144="","",'신청 원장'!L3144)</x:f>
      </x:c>
      <x:c r="F409" s="2" t="str">
        <x:f>IF('신청 원장'!M3144="","",'신청 원장'!M3144)</x:f>
      </x:c>
      <x:c r="G409" s="2" t="n">
        <x:f>IF('신청 원장'!N3144="","",'신청 원장'!N3144)</x:f>
        <x:v>2514</x:v>
      </x:c>
      <x:c r="H409" s="2" t="str">
        <x:f>IF('신청 원장'!AA3144="","",'신청 원장'!AA3144)</x:f>
        <x:v>대상 아님</x:v>
      </x:c>
      <x:c r="I409" s="2" t="str">
        <x:f>IF('신청 원장'!O3144="","",'신청 원장'!O3144)</x:f>
      </x:c>
      <x:c r="J409" s="2" t="str">
        <x:f>IF('신청 원장'!W3144="","",'신청 원장'!W3144)</x:f>
        <x:v>담당기관 확인 / 종결 여부 확인</x:v>
      </x:c>
      <x:c r="K409" s="2" t="str">
        <x:f>IF('신청 원장'!X3144="","",'신청 원장'!X3144)</x:f>
        <x:v>원본·배정 기록 확인</x:v>
      </x:c>
      <x:c r="L409" s="2" t="str">
        <x:f>IF('신청 원장'!R3144="","",'신청 원장'!R3144)</x:f>
        <x:v>(비공개)국내평가</x:v>
      </x:c>
      <x:c r="M409" s="2" t="n">
        <x:f>IF('신청 원장'!S3144="","",'신청 원장'!S3144)</x:f>
        <x:v>52</x:v>
      </x:c>
      <x:c r="N409" s="2" t="str">
        <x:f>IF('신청 원장'!K3144&lt;&gt;"미종결 표시","종결 상태 확인",IF('신청 원장'!N3144="","일자 확인 필요",IF('신청 원장'!N3144&gt;365,"366일 이상",IF('신청 원장'!N3144&gt;90,"91~365일",IF('신청 원장'!N3144&gt;30,"31~90일","0~30일")))))</x:f>
        <x:v>종결 상태 확인</x:v>
      </x:c>
      <x:c r="O409" s="2" t="str">
        <x:f>IF(OR('신청 원장'!L3144="",'신청 원장'!L3144="선택"),"담당 원문 확인","기재")</x:f>
        <x:v>담당 원문 확인</x:v>
      </x:c>
      <x:c r="P409" s="2" t="str">
        <x:f>IF('신청 원장'!A3144="","",'신청 원장'!A3144)</x:f>
        <x:v>e2938c5d6f39412532ac3671</x:v>
      </x:c>
    </x:row>
    <x:row r="410" ht="42" customHeight="1">
      <x:c r="A410" s="2" t="str">
        <x:f>IF('신청 원장'!B3145="","",'신청 원장'!B3145)</x:f>
        <x:v>사업 비공개 신청</x:v>
      </x:c>
      <x:c r="B410" s="7" t="str">
        <x:f>IF('신청 원장'!D3145="","",'신청 원장'!D3145)</x:f>
        <x:v>용탕온도관리시스템 도입을 통한 온실가스 감축 사업</x:v>
      </x:c>
      <x:c r="C410" s="2" t="str">
        <x:f>IF('신청 원장'!F3145="","",'신청 원장'!F3145)</x:f>
        <x:v>2019-11-01</x:v>
      </x:c>
      <x:c r="D410" s="2" t="str">
        <x:f>IF('신청 원장'!J3145="","",'신청 원장'!J3145)</x:f>
        <x:v>선택</x:v>
      </x:c>
      <x:c r="E410" s="2" t="str">
        <x:f>IF('신청 원장'!L3145="","",'신청 원장'!L3145)</x:f>
      </x:c>
      <x:c r="F410" s="2" t="str">
        <x:f>IF('신청 원장'!M3145="","",'신청 원장'!M3145)</x:f>
      </x:c>
      <x:c r="G410" s="2" t="n">
        <x:f>IF('신청 원장'!N3145="","",'신청 원장'!N3145)</x:f>
        <x:v>2540</x:v>
      </x:c>
      <x:c r="H410" s="2" t="str">
        <x:f>IF('신청 원장'!AA3145="","",'신청 원장'!AA3145)</x:f>
        <x:v>대상 아님</x:v>
      </x:c>
      <x:c r="I410" s="2" t="str">
        <x:f>IF('신청 원장'!O3145="","",'신청 원장'!O3145)</x:f>
      </x:c>
      <x:c r="J410" s="2" t="str">
        <x:f>IF('신청 원장'!W3145="","",'신청 원장'!W3145)</x:f>
        <x:v>담당기관 확인 / 종결 여부 확인</x:v>
      </x:c>
      <x:c r="K410" s="2" t="str">
        <x:f>IF('신청 원장'!X3145="","",'신청 원장'!X3145)</x:f>
        <x:v>원본·배정 기록 확인</x:v>
      </x:c>
      <x:c r="L410" s="2" t="str">
        <x:f>IF('신청 원장'!R3145="","",'신청 원장'!R3145)</x:f>
        <x:v>(비공개)국내평가</x:v>
      </x:c>
      <x:c r="M410" s="2" t="n">
        <x:f>IF('신청 원장'!S3145="","",'신청 원장'!S3145)</x:f>
        <x:v>53</x:v>
      </x:c>
      <x:c r="N410" s="2" t="str">
        <x:f>IF('신청 원장'!K3145&lt;&gt;"미종결 표시","종결 상태 확인",IF('신청 원장'!N3145="","일자 확인 필요",IF('신청 원장'!N3145&gt;365,"366일 이상",IF('신청 원장'!N3145&gt;90,"91~365일",IF('신청 원장'!N3145&gt;30,"31~90일","0~30일")))))</x:f>
        <x:v>종결 상태 확인</x:v>
      </x:c>
      <x:c r="O410" s="2" t="str">
        <x:f>IF(OR('신청 원장'!L3145="",'신청 원장'!L3145="선택"),"담당 원문 확인","기재")</x:f>
        <x:v>담당 원문 확인</x:v>
      </x:c>
      <x:c r="P410" s="2" t="str">
        <x:f>IF('신청 원장'!A3145="","",'신청 원장'!A3145)</x:f>
        <x:v>2a3edb5c9c57ebab65400b3e</x:v>
      </x:c>
    </x:row>
    <x:row r="411" ht="42" customHeight="1">
      <x:c r="A411" s="2" t="str">
        <x:f>IF('신청 원장'!B3146="","",'신청 원장'!B3146)</x:f>
        <x:v>사업 비공개 신청</x:v>
      </x:c>
      <x:c r="B411" s="7" t="str">
        <x:f>IF('신청 원장'!D3146="","",'신청 원장'!D3146)</x:f>
        <x:v>용탕온도관리시스템 도입을 통한 온실가스 감축 사업</x:v>
      </x:c>
      <x:c r="C411" s="2" t="str">
        <x:f>IF('신청 원장'!F3146="","",'신청 원장'!F3146)</x:f>
        <x:v>2019-11-01</x:v>
      </x:c>
      <x:c r="D411" s="2" t="str">
        <x:f>IF('신청 원장'!J3146="","",'신청 원장'!J3146)</x:f>
        <x:v>선택</x:v>
      </x:c>
      <x:c r="E411" s="2" t="str">
        <x:f>IF('신청 원장'!L3146="","",'신청 원장'!L3146)</x:f>
      </x:c>
      <x:c r="F411" s="2" t="str">
        <x:f>IF('신청 원장'!M3146="","",'신청 원장'!M3146)</x:f>
      </x:c>
      <x:c r="G411" s="2" t="n">
        <x:f>IF('신청 원장'!N3146="","",'신청 원장'!N3146)</x:f>
        <x:v>2540</x:v>
      </x:c>
      <x:c r="H411" s="2" t="str">
        <x:f>IF('신청 원장'!AA3146="","",'신청 원장'!AA3146)</x:f>
        <x:v>대상 아님</x:v>
      </x:c>
      <x:c r="I411" s="2" t="str">
        <x:f>IF('신청 원장'!O3146="","",'신청 원장'!O3146)</x:f>
      </x:c>
      <x:c r="J411" s="2" t="str">
        <x:f>IF('신청 원장'!W3146="","",'신청 원장'!W3146)</x:f>
        <x:v>담당기관 확인 / 종결 여부 확인</x:v>
      </x:c>
      <x:c r="K411" s="2" t="str">
        <x:f>IF('신청 원장'!X3146="","",'신청 원장'!X3146)</x:f>
        <x:v>원본·배정 기록 확인</x:v>
      </x:c>
      <x:c r="L411" s="2" t="str">
        <x:f>IF('신청 원장'!R3146="","",'신청 원장'!R3146)</x:f>
        <x:v>(비공개)국내평가</x:v>
      </x:c>
      <x:c r="M411" s="2" t="n">
        <x:f>IF('신청 원장'!S3146="","",'신청 원장'!S3146)</x:f>
        <x:v>54</x:v>
      </x:c>
      <x:c r="N411" s="2" t="str">
        <x:f>IF('신청 원장'!K3146&lt;&gt;"미종결 표시","종결 상태 확인",IF('신청 원장'!N3146="","일자 확인 필요",IF('신청 원장'!N3146&gt;365,"366일 이상",IF('신청 원장'!N3146&gt;90,"91~365일",IF('신청 원장'!N3146&gt;30,"31~90일","0~30일")))))</x:f>
        <x:v>종결 상태 확인</x:v>
      </x:c>
      <x:c r="O411" s="2" t="str">
        <x:f>IF(OR('신청 원장'!L3146="",'신청 원장'!L3146="선택"),"담당 원문 확인","기재")</x:f>
        <x:v>담당 원문 확인</x:v>
      </x:c>
      <x:c r="P411" s="2" t="str">
        <x:f>IF('신청 원장'!A3146="","",'신청 원장'!A3146)</x:f>
        <x:v>993cad3d74501740906a7499</x:v>
      </x:c>
    </x:row>
    <x:row r="412" ht="42" customHeight="1">
      <x:c r="A412" s="2" t="str">
        <x:f>IF('신청 원장'!B3147="","",'신청 원장'!B3147)</x:f>
        <x:v>사업 비공개 신청</x:v>
      </x:c>
      <x:c r="B412" s="7" t="str">
        <x:f>IF('신청 원장'!D3147="","",'신청 원장'!D3147)</x:f>
        <x:v>용탕온도관리시스템 도입을 통한 온실가스 감축 사업</x:v>
      </x:c>
      <x:c r="C412" s="2" t="str">
        <x:f>IF('신청 원장'!F3147="","",'신청 원장'!F3147)</x:f>
        <x:v>2019-11-01</x:v>
      </x:c>
      <x:c r="D412" s="2" t="str">
        <x:f>IF('신청 원장'!J3147="","",'신청 원장'!J3147)</x:f>
        <x:v>선택</x:v>
      </x:c>
      <x:c r="E412" s="2" t="str">
        <x:f>IF('신청 원장'!L3147="","",'신청 원장'!L3147)</x:f>
      </x:c>
      <x:c r="F412" s="2" t="str">
        <x:f>IF('신청 원장'!M3147="","",'신청 원장'!M3147)</x:f>
      </x:c>
      <x:c r="G412" s="2" t="n">
        <x:f>IF('신청 원장'!N3147="","",'신청 원장'!N3147)</x:f>
        <x:v>2540</x:v>
      </x:c>
      <x:c r="H412" s="2" t="str">
        <x:f>IF('신청 원장'!AA3147="","",'신청 원장'!AA3147)</x:f>
        <x:v>대상 아님</x:v>
      </x:c>
      <x:c r="I412" s="2" t="str">
        <x:f>IF('신청 원장'!O3147="","",'신청 원장'!O3147)</x:f>
      </x:c>
      <x:c r="J412" s="2" t="str">
        <x:f>IF('신청 원장'!W3147="","",'신청 원장'!W3147)</x:f>
        <x:v>담당기관 확인 / 종결 여부 확인</x:v>
      </x:c>
      <x:c r="K412" s="2" t="str">
        <x:f>IF('신청 원장'!X3147="","",'신청 원장'!X3147)</x:f>
        <x:v>원본·배정 기록 확인</x:v>
      </x:c>
      <x:c r="L412" s="2" t="str">
        <x:f>IF('신청 원장'!R3147="","",'신청 원장'!R3147)</x:f>
        <x:v>(비공개)국내평가</x:v>
      </x:c>
      <x:c r="M412" s="2" t="n">
        <x:f>IF('신청 원장'!S3147="","",'신청 원장'!S3147)</x:f>
        <x:v>55</x:v>
      </x:c>
      <x:c r="N412" s="2" t="str">
        <x:f>IF('신청 원장'!K3147&lt;&gt;"미종결 표시","종결 상태 확인",IF('신청 원장'!N3147="","일자 확인 필요",IF('신청 원장'!N3147&gt;365,"366일 이상",IF('신청 원장'!N3147&gt;90,"91~365일",IF('신청 원장'!N3147&gt;30,"31~90일","0~30일")))))</x:f>
        <x:v>종결 상태 확인</x:v>
      </x:c>
      <x:c r="O412" s="2" t="str">
        <x:f>IF(OR('신청 원장'!L3147="",'신청 원장'!L3147="선택"),"담당 원문 확인","기재")</x:f>
        <x:v>담당 원문 확인</x:v>
      </x:c>
      <x:c r="P412" s="2" t="str">
        <x:f>IF('신청 원장'!A3147="","",'신청 원장'!A3147)</x:f>
        <x:v>8031832f07955b458735ba63</x:v>
      </x:c>
    </x:row>
    <x:row r="413" ht="42" customHeight="1">
      <x:c r="A413" s="2" t="str">
        <x:f>IF('신청 원장'!B3148="","",'신청 원장'!B3148)</x:f>
        <x:v>사업 비공개 신청</x:v>
      </x:c>
      <x:c r="B413" s="7" t="str">
        <x:f>IF('신청 원장'!D3148="","",'신청 원장'!D3148)</x:f>
        <x:v>용탕온도관리시스템 도입을 통한 온실가스 감축 사업</x:v>
      </x:c>
      <x:c r="C413" s="2" t="str">
        <x:f>IF('신청 원장'!F3148="","",'신청 원장'!F3148)</x:f>
        <x:v>2019-11-01</x:v>
      </x:c>
      <x:c r="D413" s="2" t="str">
        <x:f>IF('신청 원장'!J3148="","",'신청 원장'!J3148)</x:f>
        <x:v>선택</x:v>
      </x:c>
      <x:c r="E413" s="2" t="str">
        <x:f>IF('신청 원장'!L3148="","",'신청 원장'!L3148)</x:f>
      </x:c>
      <x:c r="F413" s="2" t="str">
        <x:f>IF('신청 원장'!M3148="","",'신청 원장'!M3148)</x:f>
      </x:c>
      <x:c r="G413" s="2" t="n">
        <x:f>IF('신청 원장'!N3148="","",'신청 원장'!N3148)</x:f>
        <x:v>2540</x:v>
      </x:c>
      <x:c r="H413" s="2" t="str">
        <x:f>IF('신청 원장'!AA3148="","",'신청 원장'!AA3148)</x:f>
        <x:v>대상 아님</x:v>
      </x:c>
      <x:c r="I413" s="2" t="str">
        <x:f>IF('신청 원장'!O3148="","",'신청 원장'!O3148)</x:f>
      </x:c>
      <x:c r="J413" s="2" t="str">
        <x:f>IF('신청 원장'!W3148="","",'신청 원장'!W3148)</x:f>
        <x:v>담당기관 확인 / 종결 여부 확인</x:v>
      </x:c>
      <x:c r="K413" s="2" t="str">
        <x:f>IF('신청 원장'!X3148="","",'신청 원장'!X3148)</x:f>
        <x:v>원본·배정 기록 확인</x:v>
      </x:c>
      <x:c r="L413" s="2" t="str">
        <x:f>IF('신청 원장'!R3148="","",'신청 원장'!R3148)</x:f>
        <x:v>(비공개)국내평가</x:v>
      </x:c>
      <x:c r="M413" s="2" t="n">
        <x:f>IF('신청 원장'!S3148="","",'신청 원장'!S3148)</x:f>
        <x:v>56</x:v>
      </x:c>
      <x:c r="N413" s="2" t="str">
        <x:f>IF('신청 원장'!K3148&lt;&gt;"미종결 표시","종결 상태 확인",IF('신청 원장'!N3148="","일자 확인 필요",IF('신청 원장'!N3148&gt;365,"366일 이상",IF('신청 원장'!N3148&gt;90,"91~365일",IF('신청 원장'!N3148&gt;30,"31~90일","0~30일")))))</x:f>
        <x:v>종결 상태 확인</x:v>
      </x:c>
      <x:c r="O413" s="2" t="str">
        <x:f>IF(OR('신청 원장'!L3148="",'신청 원장'!L3148="선택"),"담당 원문 확인","기재")</x:f>
        <x:v>담당 원문 확인</x:v>
      </x:c>
      <x:c r="P413" s="2" t="str">
        <x:f>IF('신청 원장'!A3148="","",'신청 원장'!A3148)</x:f>
        <x:v>5be07f05a63085f66bfb81c9</x:v>
      </x:c>
    </x:row>
    <x:row r="414" ht="42" customHeight="1">
      <x:c r="A414" s="2" t="str">
        <x:f>IF('신청 원장'!B3149="","",'신청 원장'!B3149)</x:f>
        <x:v>사업 비공개 신청</x:v>
      </x:c>
      <x:c r="B414" s="7" t="str">
        <x:f>IF('신청 원장'!D3149="","",'신청 원장'!D3149)</x:f>
        <x:v>용탕온도관리시스템 도입을 통한 온실가스 감축 사업</x:v>
      </x:c>
      <x:c r="C414" s="2" t="str">
        <x:f>IF('신청 원장'!F3149="","",'신청 원장'!F3149)</x:f>
        <x:v>2019-11-01</x:v>
      </x:c>
      <x:c r="D414" s="2" t="str">
        <x:f>IF('신청 원장'!J3149="","",'신청 원장'!J3149)</x:f>
        <x:v>선택</x:v>
      </x:c>
      <x:c r="E414" s="2" t="str">
        <x:f>IF('신청 원장'!L3149="","",'신청 원장'!L3149)</x:f>
      </x:c>
      <x:c r="F414" s="2" t="str">
        <x:f>IF('신청 원장'!M3149="","",'신청 원장'!M3149)</x:f>
      </x:c>
      <x:c r="G414" s="2" t="n">
        <x:f>IF('신청 원장'!N3149="","",'신청 원장'!N3149)</x:f>
        <x:v>2540</x:v>
      </x:c>
      <x:c r="H414" s="2" t="str">
        <x:f>IF('신청 원장'!AA3149="","",'신청 원장'!AA3149)</x:f>
        <x:v>대상 아님</x:v>
      </x:c>
      <x:c r="I414" s="2" t="str">
        <x:f>IF('신청 원장'!O3149="","",'신청 원장'!O3149)</x:f>
      </x:c>
      <x:c r="J414" s="2" t="str">
        <x:f>IF('신청 원장'!W3149="","",'신청 원장'!W3149)</x:f>
        <x:v>담당기관 확인 / 종결 여부 확인</x:v>
      </x:c>
      <x:c r="K414" s="2" t="str">
        <x:f>IF('신청 원장'!X3149="","",'신청 원장'!X3149)</x:f>
        <x:v>원본·배정 기록 확인</x:v>
      </x:c>
      <x:c r="L414" s="2" t="str">
        <x:f>IF('신청 원장'!R3149="","",'신청 원장'!R3149)</x:f>
        <x:v>(비공개)국내평가</x:v>
      </x:c>
      <x:c r="M414" s="2" t="n">
        <x:f>IF('신청 원장'!S3149="","",'신청 원장'!S3149)</x:f>
        <x:v>57</x:v>
      </x:c>
      <x:c r="N414" s="2" t="str">
        <x:f>IF('신청 원장'!K3149&lt;&gt;"미종결 표시","종결 상태 확인",IF('신청 원장'!N3149="","일자 확인 필요",IF('신청 원장'!N3149&gt;365,"366일 이상",IF('신청 원장'!N3149&gt;90,"91~365일",IF('신청 원장'!N3149&gt;30,"31~90일","0~30일")))))</x:f>
        <x:v>종결 상태 확인</x:v>
      </x:c>
      <x:c r="O414" s="2" t="str">
        <x:f>IF(OR('신청 원장'!L3149="",'신청 원장'!L3149="선택"),"담당 원문 확인","기재")</x:f>
        <x:v>담당 원문 확인</x:v>
      </x:c>
      <x:c r="P414" s="2" t="str">
        <x:f>IF('신청 원장'!A3149="","",'신청 원장'!A3149)</x:f>
        <x:v>ff789d253161e06c49db587d</x:v>
      </x:c>
    </x:row>
    <x:row r="415" ht="42" customHeight="1">
      <x:c r="A415" s="2" t="str">
        <x:f>IF('신청 원장'!B3150="","",'신청 원장'!B3150)</x:f>
        <x:v>사업 비공개 신청</x:v>
      </x:c>
      <x:c r="B415" s="7" t="str">
        <x:f>IF('신청 원장'!D3150="","",'신청 원장'!D3150)</x:f>
        <x:v>㈜엘지화학 자가 소비용 태양광 발전설비의 설치 지원을 통한 프로그램 감축사업</x:v>
      </x:c>
      <x:c r="C415" s="2" t="str">
        <x:f>IF('신청 원장'!F3150="","",'신청 원장'!F3150)</x:f>
        <x:v>2019-10-11</x:v>
      </x:c>
      <x:c r="D415" s="2" t="str">
        <x:f>IF('신청 원장'!J3150="","",'신청 원장'!J3150)</x:f>
        <x:v>선택</x:v>
      </x:c>
      <x:c r="E415" s="2" t="str">
        <x:f>IF('신청 원장'!L3150="","",'신청 원장'!L3150)</x:f>
      </x:c>
      <x:c r="F415" s="2" t="str">
        <x:f>IF('신청 원장'!M3150="","",'신청 원장'!M3150)</x:f>
      </x:c>
      <x:c r="G415" s="2" t="n">
        <x:f>IF('신청 원장'!N3150="","",'신청 원장'!N3150)</x:f>
        <x:v>2561</x:v>
      </x:c>
      <x:c r="H415" s="2" t="str">
        <x:f>IF('신청 원장'!AA3150="","",'신청 원장'!AA3150)</x:f>
        <x:v>대상 아님</x:v>
      </x:c>
      <x:c r="I415" s="2" t="str">
        <x:f>IF('신청 원장'!O3150="","",'신청 원장'!O3150)</x:f>
      </x:c>
      <x:c r="J415" s="2" t="str">
        <x:f>IF('신청 원장'!W3150="","",'신청 원장'!W3150)</x:f>
        <x:v>담당기관 확인 / 종결 여부 확인</x:v>
      </x:c>
      <x:c r="K415" s="2" t="str">
        <x:f>IF('신청 원장'!X3150="","",'신청 원장'!X3150)</x:f>
        <x:v>원본·배정 기록 확인</x:v>
      </x:c>
      <x:c r="L415" s="2" t="str">
        <x:f>IF('신청 원장'!R3150="","",'신청 원장'!R3150)</x:f>
        <x:v>(비공개)국내평가</x:v>
      </x:c>
      <x:c r="M415" s="2" t="n">
        <x:f>IF('신청 원장'!S3150="","",'신청 원장'!S3150)</x:f>
        <x:v>58</x:v>
      </x:c>
      <x:c r="N415" s="2" t="str">
        <x:f>IF('신청 원장'!K3150&lt;&gt;"미종결 표시","종결 상태 확인",IF('신청 원장'!N3150="","일자 확인 필요",IF('신청 원장'!N3150&gt;365,"366일 이상",IF('신청 원장'!N3150&gt;90,"91~365일",IF('신청 원장'!N3150&gt;30,"31~90일","0~30일")))))</x:f>
        <x:v>종결 상태 확인</x:v>
      </x:c>
      <x:c r="O415" s="2" t="str">
        <x:f>IF(OR('신청 원장'!L3150="",'신청 원장'!L3150="선택"),"담당 원문 확인","기재")</x:f>
        <x:v>담당 원문 확인</x:v>
      </x:c>
      <x:c r="P415" s="2" t="str">
        <x:f>IF('신청 원장'!A3150="","",'신청 원장'!A3150)</x:f>
        <x:v>eb7e40a98f660ed8146623c3</x:v>
      </x:c>
    </x:row>
    <x:row r="416" ht="42" customHeight="1">
      <x:c r="A416" s="2" t="str">
        <x:f>IF('신청 원장'!B3151="","",'신청 원장'!B3151)</x:f>
        <x:v>사업 비공개 신청</x:v>
      </x:c>
      <x:c r="B416" s="7" t="str">
        <x:f>IF('신청 원장'!D3151="","",'신청 원장'!D3151)</x:f>
        <x:v>대평산업개발의 정제유 및 B-C유에서 도시가스(LNG)로의 연료전환을 통한 온실가스 배출 감축사업</x:v>
      </x:c>
      <x:c r="C416" s="2" t="str">
        <x:f>IF('신청 원장'!F3151="","",'신청 원장'!F3151)</x:f>
        <x:v>2019-08-23</x:v>
      </x:c>
      <x:c r="D416" s="2" t="str">
        <x:f>IF('신청 원장'!J3151="","",'신청 원장'!J3151)</x:f>
        <x:v>보완요청</x:v>
      </x:c>
      <x:c r="E416" s="2" t="str">
        <x:f>IF('신청 원장'!L3151="","",'신청 원장'!L3151)</x:f>
        <x:v>에코시안_박세은</x:v>
      </x:c>
      <x:c r="F416" s="2" t="str">
        <x:f>IF('신청 원장'!M3151="","",'신청 원장'!M3151)</x:f>
      </x:c>
      <x:c r="G416" s="2" t="n">
        <x:f>IF('신청 원장'!N3151="","",'신청 원장'!N3151)</x:f>
        <x:v>2610</x:v>
      </x:c>
      <x:c r="H416" s="2" t="str">
        <x:f>IF('신청 원장'!AA3151="","",'신청 원장'!AA3151)</x:f>
        <x:v>내부 관찰 대상</x:v>
      </x:c>
      <x:c r="I416" s="2" t="str">
        <x:f>IF('신청 원장'!O3151="","",'신청 원장'!O3151)</x:f>
      </x:c>
      <x:c r="J416" s="2" t="str">
        <x:f>IF('신청 원장'!W3151="","",'신청 원장'!W3151)</x:f>
      </x:c>
      <x:c r="K416" s="2" t="str">
        <x:f>IF('신청 원장'!X3151="","",'신청 원장'!X3151)</x:f>
        <x:v>보완 회신 일정 확인</x:v>
      </x:c>
      <x:c r="L416" s="2" t="str">
        <x:f>IF('신청 원장'!R3151="","",'신청 원장'!R3151)</x:f>
        <x:v>(비공개)국내평가</x:v>
      </x:c>
      <x:c r="M416" s="2" t="n">
        <x:f>IF('신청 원장'!S3151="","",'신청 원장'!S3151)</x:f>
        <x:v>59</x:v>
      </x:c>
      <x:c r="N416" s="2" t="str">
        <x:f>IF('신청 원장'!K3151&lt;&gt;"미종결 표시","종결 상태 확인",IF('신청 원장'!N3151="","일자 확인 필요",IF('신청 원장'!N3151&gt;365,"366일 이상",IF('신청 원장'!N3151&gt;90,"91~365일",IF('신청 원장'!N3151&gt;30,"31~90일","0~30일")))))</x:f>
        <x:v>366일 이상</x:v>
      </x:c>
      <x:c r="O416" s="2" t="str">
        <x:f>IF(OR('신청 원장'!L3151="",'신청 원장'!L3151="선택"),"담당 원문 확인","기재")</x:f>
        <x:v>기재</x:v>
      </x:c>
      <x:c r="P416" s="2" t="str">
        <x:f>IF('신청 원장'!A3151="","",'신청 원장'!A3151)</x:f>
        <x:v>f9d922e94b5fd3e908af326d</x:v>
      </x:c>
    </x:row>
    <x:row r="417" ht="42" customHeight="1">
      <x:c r="A417" s="2" t="str">
        <x:f>IF('신청 원장'!B3152="","",'신청 원장'!B3152)</x:f>
        <x:v>사업 비공개 신청</x:v>
      </x:c>
      <x:c r="B417" s="7" t="str">
        <x:f>IF('신청 원장'!D3152="","",'신청 원장'!D3152)</x:f>
        <x:v>덕산지에스의 부생연료유 2호에서 도시가스(LNG)로의 연료전환을 통한 온실가스 배출 감축사업</x:v>
      </x:c>
      <x:c r="C417" s="2" t="str">
        <x:f>IF('신청 원장'!F3152="","",'신청 원장'!F3152)</x:f>
        <x:v>2019-07-29</x:v>
      </x:c>
      <x:c r="D417" s="2" t="str">
        <x:f>IF('신청 원장'!J3152="","",'신청 원장'!J3152)</x:f>
        <x:v>보완요청</x:v>
      </x:c>
      <x:c r="E417" s="2" t="str">
        <x:f>IF('신청 원장'!L3152="","",'신청 원장'!L3152)</x:f>
        <x:v>에코시안_박세은</x:v>
      </x:c>
      <x:c r="F417" s="2" t="str">
        <x:f>IF('신청 원장'!M3152="","",'신청 원장'!M3152)</x:f>
      </x:c>
      <x:c r="G417" s="2" t="n">
        <x:f>IF('신청 원장'!N3152="","",'신청 원장'!N3152)</x:f>
        <x:v>2635</x:v>
      </x:c>
      <x:c r="H417" s="2" t="str">
        <x:f>IF('신청 원장'!AA3152="","",'신청 원장'!AA3152)</x:f>
        <x:v>내부 관찰 대상</x:v>
      </x:c>
      <x:c r="I417" s="2" t="str">
        <x:f>IF('신청 원장'!O3152="","",'신청 원장'!O3152)</x:f>
      </x:c>
      <x:c r="J417" s="2" t="str">
        <x:f>IF('신청 원장'!W3152="","",'신청 원장'!W3152)</x:f>
      </x:c>
      <x:c r="K417" s="2" t="str">
        <x:f>IF('신청 원장'!X3152="","",'신청 원장'!X3152)</x:f>
        <x:v>보완 회신 일정 확인</x:v>
      </x:c>
      <x:c r="L417" s="2" t="str">
        <x:f>IF('신청 원장'!R3152="","",'신청 원장'!R3152)</x:f>
        <x:v>(비공개)국내평가</x:v>
      </x:c>
      <x:c r="M417" s="2" t="n">
        <x:f>IF('신청 원장'!S3152="","",'신청 원장'!S3152)</x:f>
        <x:v>60</x:v>
      </x:c>
      <x:c r="N417" s="2" t="str">
        <x:f>IF('신청 원장'!K3152&lt;&gt;"미종결 표시","종결 상태 확인",IF('신청 원장'!N3152="","일자 확인 필요",IF('신청 원장'!N3152&gt;365,"366일 이상",IF('신청 원장'!N3152&gt;90,"91~365일",IF('신청 원장'!N3152&gt;30,"31~90일","0~30일")))))</x:f>
        <x:v>366일 이상</x:v>
      </x:c>
      <x:c r="O417" s="2" t="str">
        <x:f>IF(OR('신청 원장'!L3152="",'신청 원장'!L3152="선택"),"담당 원문 확인","기재")</x:f>
        <x:v>기재</x:v>
      </x:c>
      <x:c r="P417" s="2" t="str">
        <x:f>IF('신청 원장'!A3152="","",'신청 원장'!A3152)</x:f>
        <x:v>e105c750bf894a32221abcb9</x:v>
      </x:c>
    </x:row>
    <x:row r="418" ht="42" customHeight="1">
      <x:c r="A418" s="2" t="str">
        <x:f>IF('신청 원장'!B3153="","",'신청 원장'!B3153)</x:f>
        <x:v>사업 비공개 신청</x:v>
      </x:c>
      <x:c r="B418" s="7" t="str">
        <x:f>IF('신청 원장'!D3153="","",'신청 원장'!D3153)</x:f>
        <x:v>남부산업의 이온정제유에서 LNG로 연료전환을 통한 온실가스 배출 감축사업</x:v>
      </x:c>
      <x:c r="C418" s="2" t="str">
        <x:f>IF('신청 원장'!F3153="","",'신청 원장'!F3153)</x:f>
        <x:v>2019-07-17</x:v>
      </x:c>
      <x:c r="D418" s="2" t="str">
        <x:f>IF('신청 원장'!J3153="","",'신청 원장'!J3153)</x:f>
        <x:v>보완요청</x:v>
      </x:c>
      <x:c r="E418" s="2" t="str">
        <x:f>IF('신청 원장'!L3153="","",'신청 원장'!L3153)</x:f>
        <x:v>에코시안_박세은</x:v>
      </x:c>
      <x:c r="F418" s="2" t="str">
        <x:f>IF('신청 원장'!M3153="","",'신청 원장'!M3153)</x:f>
      </x:c>
      <x:c r="G418" s="2" t="n">
        <x:f>IF('신청 원장'!N3153="","",'신청 원장'!N3153)</x:f>
        <x:v>2647</x:v>
      </x:c>
      <x:c r="H418" s="2" t="str">
        <x:f>IF('신청 원장'!AA3153="","",'신청 원장'!AA3153)</x:f>
        <x:v>내부 관찰 대상</x:v>
      </x:c>
      <x:c r="I418" s="2" t="str">
        <x:f>IF('신청 원장'!O3153="","",'신청 원장'!O3153)</x:f>
      </x:c>
      <x:c r="J418" s="2" t="str">
        <x:f>IF('신청 원장'!W3153="","",'신청 원장'!W3153)</x:f>
      </x:c>
      <x:c r="K418" s="2" t="str">
        <x:f>IF('신청 원장'!X3153="","",'신청 원장'!X3153)</x:f>
        <x:v>보완 회신 일정 확인</x:v>
      </x:c>
      <x:c r="L418" s="2" t="str">
        <x:f>IF('신청 원장'!R3153="","",'신청 원장'!R3153)</x:f>
        <x:v>(비공개)국내평가</x:v>
      </x:c>
      <x:c r="M418" s="2" t="n">
        <x:f>IF('신청 원장'!S3153="","",'신청 원장'!S3153)</x:f>
        <x:v>61</x:v>
      </x:c>
      <x:c r="N418" s="2" t="str">
        <x:f>IF('신청 원장'!K3153&lt;&gt;"미종결 표시","종결 상태 확인",IF('신청 원장'!N3153="","일자 확인 필요",IF('신청 원장'!N3153&gt;365,"366일 이상",IF('신청 원장'!N3153&gt;90,"91~365일",IF('신청 원장'!N3153&gt;30,"31~90일","0~30일")))))</x:f>
        <x:v>366일 이상</x:v>
      </x:c>
      <x:c r="O418" s="2" t="str">
        <x:f>IF(OR('신청 원장'!L3153="",'신청 원장'!L3153="선택"),"담당 원문 확인","기재")</x:f>
        <x:v>기재</x:v>
      </x:c>
      <x:c r="P418" s="2" t="str">
        <x:f>IF('신청 원장'!A3153="","",'신청 원장'!A3153)</x:f>
        <x:v>2b49f6b96b3abbe7420265b5</x:v>
      </x:c>
    </x:row>
    <x:row r="419" ht="42" customHeight="1">
      <x:c r="A419" s="2" t="str">
        <x:f>IF('신청 원장'!B3154="","",'신청 원장'!B3154)</x:f>
        <x:v>사업 비공개 신청</x:v>
      </x:c>
      <x:c r="B419" s="7" t="str">
        <x:f>IF('신청 원장'!D3154="","",'신청 원장'!D3154)</x:f>
        <x:v>현대리바트의 부생연료 1호에서 LNG로 연료전환을 통한 온실가스 배출 감축사업</x:v>
      </x:c>
      <x:c r="C419" s="2" t="str">
        <x:f>IF('신청 원장'!F3154="","",'신청 원장'!F3154)</x:f>
        <x:v>2019-06-13</x:v>
      </x:c>
      <x:c r="D419" s="2" t="str">
        <x:f>IF('신청 원장'!J3154="","",'신청 원장'!J3154)</x:f>
        <x:v>보완요청</x:v>
      </x:c>
      <x:c r="E419" s="2" t="str">
        <x:f>IF('신청 원장'!L3154="","",'신청 원장'!L3154)</x:f>
        <x:v>에코시안_박세은</x:v>
      </x:c>
      <x:c r="F419" s="2" t="str">
        <x:f>IF('신청 원장'!M3154="","",'신청 원장'!M3154)</x:f>
      </x:c>
      <x:c r="G419" s="2" t="n">
        <x:f>IF('신청 원장'!N3154="","",'신청 원장'!N3154)</x:f>
        <x:v>2681</x:v>
      </x:c>
      <x:c r="H419" s="2" t="str">
        <x:f>IF('신청 원장'!AA3154="","",'신청 원장'!AA3154)</x:f>
        <x:v>내부 관찰 대상</x:v>
      </x:c>
      <x:c r="I419" s="2" t="str">
        <x:f>IF('신청 원장'!O3154="","",'신청 원장'!O3154)</x:f>
      </x:c>
      <x:c r="J419" s="2" t="str">
        <x:f>IF('신청 원장'!W3154="","",'신청 원장'!W3154)</x:f>
      </x:c>
      <x:c r="K419" s="2" t="str">
        <x:f>IF('신청 원장'!X3154="","",'신청 원장'!X3154)</x:f>
        <x:v>보완 회신 일정 확인</x:v>
      </x:c>
      <x:c r="L419" s="2" t="str">
        <x:f>IF('신청 원장'!R3154="","",'신청 원장'!R3154)</x:f>
        <x:v>(비공개)국내평가</x:v>
      </x:c>
      <x:c r="M419" s="2" t="n">
        <x:f>IF('신청 원장'!S3154="","",'신청 원장'!S3154)</x:f>
        <x:v>62</x:v>
      </x:c>
      <x:c r="N419" s="2" t="str">
        <x:f>IF('신청 원장'!K3154&lt;&gt;"미종결 표시","종결 상태 확인",IF('신청 원장'!N3154="","일자 확인 필요",IF('신청 원장'!N3154&gt;365,"366일 이상",IF('신청 원장'!N3154&gt;90,"91~365일",IF('신청 원장'!N3154&gt;30,"31~90일","0~30일")))))</x:f>
        <x:v>366일 이상</x:v>
      </x:c>
      <x:c r="O419" s="2" t="str">
        <x:f>IF(OR('신청 원장'!L3154="",'신청 원장'!L3154="선택"),"담당 원문 확인","기재")</x:f>
        <x:v>기재</x:v>
      </x:c>
      <x:c r="P419" s="2" t="str">
        <x:f>IF('신청 원장'!A3154="","",'신청 원장'!A3154)</x:f>
        <x:v>4010296babf22d8daae30ae0</x:v>
      </x:c>
    </x:row>
    <x:row r="420" ht="42" customHeight="1">
      <x:c r="A420" s="2" t="str">
        <x:f>IF('신청 원장'!B3155="","",'신청 원장'!B3155)</x:f>
        <x:v>사업 비공개 신청</x:v>
      </x:c>
      <x:c r="B420" s="7" t="str">
        <x:f>IF('신청 원장'!D3155="","",'신청 원장'!D3155)</x:f>
        <x:v>삼일이노팩의 B-C유에서 LNG로 연료전환을 통한 온실가스 배출 감축사업</x:v>
      </x:c>
      <x:c r="C420" s="2" t="str">
        <x:f>IF('신청 원장'!F3155="","",'신청 원장'!F3155)</x:f>
        <x:v>2019-05-14</x:v>
      </x:c>
      <x:c r="D420" s="2" t="str">
        <x:f>IF('신청 원장'!J3155="","",'신청 원장'!J3155)</x:f>
        <x:v>보완요청</x:v>
      </x:c>
      <x:c r="E420" s="2" t="str">
        <x:f>IF('신청 원장'!L3155="","",'신청 원장'!L3155)</x:f>
        <x:v>에코시안_박세은</x:v>
      </x:c>
      <x:c r="F420" s="2" t="str">
        <x:f>IF('신청 원장'!M3155="","",'신청 원장'!M3155)</x:f>
      </x:c>
      <x:c r="G420" s="2" t="n">
        <x:f>IF('신청 원장'!N3155="","",'신청 원장'!N3155)</x:f>
        <x:v>2711</x:v>
      </x:c>
      <x:c r="H420" s="2" t="str">
        <x:f>IF('신청 원장'!AA3155="","",'신청 원장'!AA3155)</x:f>
        <x:v>내부 관찰 대상</x:v>
      </x:c>
      <x:c r="I420" s="2" t="str">
        <x:f>IF('신청 원장'!O3155="","",'신청 원장'!O3155)</x:f>
      </x:c>
      <x:c r="J420" s="2" t="str">
        <x:f>IF('신청 원장'!W3155="","",'신청 원장'!W3155)</x:f>
      </x:c>
      <x:c r="K420" s="2" t="str">
        <x:f>IF('신청 원장'!X3155="","",'신청 원장'!X3155)</x:f>
        <x:v>보완 회신 일정 확인</x:v>
      </x:c>
      <x:c r="L420" s="2" t="str">
        <x:f>IF('신청 원장'!R3155="","",'신청 원장'!R3155)</x:f>
        <x:v>(비공개)국내평가</x:v>
      </x:c>
      <x:c r="M420" s="2" t="n">
        <x:f>IF('신청 원장'!S3155="","",'신청 원장'!S3155)</x:f>
        <x:v>63</x:v>
      </x:c>
      <x:c r="N420" s="2" t="str">
        <x:f>IF('신청 원장'!K3155&lt;&gt;"미종결 표시","종결 상태 확인",IF('신청 원장'!N3155="","일자 확인 필요",IF('신청 원장'!N3155&gt;365,"366일 이상",IF('신청 원장'!N3155&gt;90,"91~365일",IF('신청 원장'!N3155&gt;30,"31~90일","0~30일")))))</x:f>
        <x:v>366일 이상</x:v>
      </x:c>
      <x:c r="O420" s="2" t="str">
        <x:f>IF(OR('신청 원장'!L3155="",'신청 원장'!L3155="선택"),"담당 원문 확인","기재")</x:f>
        <x:v>기재</x:v>
      </x:c>
      <x:c r="P420" s="2" t="str">
        <x:f>IF('신청 원장'!A3155="","",'신청 원장'!A3155)</x:f>
        <x:v>b788e4cf0f2b93024726d910</x:v>
      </x:c>
    </x:row>
    <x:row r="421" ht="42" customHeight="1">
      <x:c r="A421" s="2" t="str">
        <x:f>IF('신청 원장'!B3156="","",'신청 원장'!B3156)</x:f>
        <x:v>사업 비공개 신청</x:v>
      </x:c>
      <x:c r="B421" s="7" t="str">
        <x:f>IF('신청 원장'!D3156="","",'신청 원장'!D3156)</x:f>
        <x:v>이연제약 진천공장의 B-C유에서 LNG로의 연료전환을 통한 온실가스 배출 감축사업</x:v>
      </x:c>
      <x:c r="C421" s="2" t="str">
        <x:f>IF('신청 원장'!F3156="","",'신청 원장'!F3156)</x:f>
        <x:v>2019-04-02</x:v>
      </x:c>
      <x:c r="D421" s="2" t="str">
        <x:f>IF('신청 원장'!J3156="","",'신청 원장'!J3156)</x:f>
        <x:v>보완요청</x:v>
      </x:c>
      <x:c r="E421" s="2" t="str">
        <x:f>IF('신청 원장'!L3156="","",'신청 원장'!L3156)</x:f>
        <x:v>에코시안_박세은</x:v>
      </x:c>
      <x:c r="F421" s="2" t="str">
        <x:f>IF('신청 원장'!M3156="","",'신청 원장'!M3156)</x:f>
      </x:c>
      <x:c r="G421" s="2" t="n">
        <x:f>IF('신청 원장'!N3156="","",'신청 원장'!N3156)</x:f>
        <x:v>2753</x:v>
      </x:c>
      <x:c r="H421" s="2" t="str">
        <x:f>IF('신청 원장'!AA3156="","",'신청 원장'!AA3156)</x:f>
        <x:v>내부 관찰 대상</x:v>
      </x:c>
      <x:c r="I421" s="2" t="str">
        <x:f>IF('신청 원장'!O3156="","",'신청 원장'!O3156)</x:f>
      </x:c>
      <x:c r="J421" s="2" t="str">
        <x:f>IF('신청 원장'!W3156="","",'신청 원장'!W3156)</x:f>
      </x:c>
      <x:c r="K421" s="2" t="str">
        <x:f>IF('신청 원장'!X3156="","",'신청 원장'!X3156)</x:f>
        <x:v>보완 회신 일정 확인</x:v>
      </x:c>
      <x:c r="L421" s="2" t="str">
        <x:f>IF('신청 원장'!R3156="","",'신청 원장'!R3156)</x:f>
        <x:v>(비공개)국내평가</x:v>
      </x:c>
      <x:c r="M421" s="2" t="n">
        <x:f>IF('신청 원장'!S3156="","",'신청 원장'!S3156)</x:f>
        <x:v>64</x:v>
      </x:c>
      <x:c r="N421" s="2" t="str">
        <x:f>IF('신청 원장'!K3156&lt;&gt;"미종결 표시","종결 상태 확인",IF('신청 원장'!N3156="","일자 확인 필요",IF('신청 원장'!N3156&gt;365,"366일 이상",IF('신청 원장'!N3156&gt;90,"91~365일",IF('신청 원장'!N3156&gt;30,"31~90일","0~30일")))))</x:f>
        <x:v>366일 이상</x:v>
      </x:c>
      <x:c r="O421" s="2" t="str">
        <x:f>IF(OR('신청 원장'!L3156="",'신청 원장'!L3156="선택"),"담당 원문 확인","기재")</x:f>
        <x:v>기재</x:v>
      </x:c>
      <x:c r="P421" s="2" t="str">
        <x:f>IF('신청 원장'!A3156="","",'신청 원장'!A3156)</x:f>
        <x:v>5b0158528849283df70b61c8</x:v>
      </x:c>
    </x:row>
    <x:row r="422" ht="42" customHeight="1">
      <x:c r="A422" s="2" t="str">
        <x:f>IF('신청 원장'!B3157="","",'신청 원장'!B3157)</x:f>
        <x:v>사업 비공개 신청</x:v>
      </x:c>
      <x:c r="B422" s="7" t="str">
        <x:f>IF('신청 원장'!D3157="","",'신청 원장'!D3157)</x:f>
        <x:v>에이스침대 여주공장의 B-C유에서 도시가스(LNG)로 연료전환을 통한 온실가스 배출 감축사업</x:v>
      </x:c>
      <x:c r="C422" s="2" t="str">
        <x:f>IF('신청 원장'!F3157="","",'신청 원장'!F3157)</x:f>
        <x:v>2019-04-02</x:v>
      </x:c>
      <x:c r="D422" s="2" t="str">
        <x:f>IF('신청 원장'!J3157="","",'신청 원장'!J3157)</x:f>
        <x:v>보완요청</x:v>
      </x:c>
      <x:c r="E422" s="2" t="str">
        <x:f>IF('신청 원장'!L3157="","",'신청 원장'!L3157)</x:f>
      </x:c>
      <x:c r="F422" s="2" t="str">
        <x:f>IF('신청 원장'!M3157="","",'신청 원장'!M3157)</x:f>
      </x:c>
      <x:c r="G422" s="2" t="n">
        <x:f>IF('신청 원장'!N3157="","",'신청 원장'!N3157)</x:f>
        <x:v>2753</x:v>
      </x:c>
      <x:c r="H422" s="2" t="str">
        <x:f>IF('신청 원장'!AA3157="","",'신청 원장'!AA3157)</x:f>
        <x:v>내부 관찰 대상</x:v>
      </x:c>
      <x:c r="I422" s="2" t="str">
        <x:f>IF('신청 원장'!O3157="","",'신청 원장'!O3157)</x:f>
      </x:c>
      <x:c r="J422" s="2" t="str">
        <x:f>IF('신청 원장'!W3157="","",'신청 원장'!W3157)</x:f>
        <x:v>담당기관 확인</x:v>
      </x:c>
      <x:c r="K422" s="2" t="str">
        <x:f>IF('신청 원장'!X3157="","",'신청 원장'!X3157)</x:f>
        <x:v>원본·배정 기록 확인</x:v>
      </x:c>
      <x:c r="L422" s="2" t="str">
        <x:f>IF('신청 원장'!R3157="","",'신청 원장'!R3157)</x:f>
        <x:v>(비공개)국내평가</x:v>
      </x:c>
      <x:c r="M422" s="2" t="n">
        <x:f>IF('신청 원장'!S3157="","",'신청 원장'!S3157)</x:f>
        <x:v>65</x:v>
      </x:c>
      <x:c r="N422" s="2" t="str">
        <x:f>IF('신청 원장'!K3157&lt;&gt;"미종결 표시","종결 상태 확인",IF('신청 원장'!N3157="","일자 확인 필요",IF('신청 원장'!N3157&gt;365,"366일 이상",IF('신청 원장'!N3157&gt;90,"91~365일",IF('신청 원장'!N3157&gt;30,"31~90일","0~30일")))))</x:f>
        <x:v>366일 이상</x:v>
      </x:c>
      <x:c r="O422" s="2" t="str">
        <x:f>IF(OR('신청 원장'!L3157="",'신청 원장'!L3157="선택"),"담당 원문 확인","기재")</x:f>
        <x:v>담당 원문 확인</x:v>
      </x:c>
      <x:c r="P422" s="2" t="str">
        <x:f>IF('신청 원장'!A3157="","",'신청 원장'!A3157)</x:f>
        <x:v>b99b6524c97e6b094571a96d</x:v>
      </x:c>
    </x:row>
    <x:row r="423" ht="42" customHeight="1">
      <x:c r="A423" s="2" t="str">
        <x:f>IF('신청 원장'!B3159="","",'신청 원장'!B3159)</x:f>
        <x:v>사업 비공개 신청</x:v>
      </x:c>
      <x:c r="B423" s="7" t="str">
        <x:f>IF('신청 원장'!D3159="","",'신청 원장'!D3159)</x:f>
        <x:v>부일레미콘의 B-C유에서 도시가스(LNG)로 연료전환을 통한 온실가스 배출 감축사업</x:v>
      </x:c>
      <x:c r="C423" s="2" t="str">
        <x:f>IF('신청 원장'!F3159="","",'신청 원장'!F3159)</x:f>
        <x:v>2019-04-02</x:v>
      </x:c>
      <x:c r="D423" s="2" t="str">
        <x:f>IF('신청 원장'!J3159="","",'신청 원장'!J3159)</x:f>
        <x:v>보완요청</x:v>
      </x:c>
      <x:c r="E423" s="2" t="str">
        <x:f>IF('신청 원장'!L3159="","",'신청 원장'!L3159)</x:f>
        <x:v>에코시안_박세은</x:v>
      </x:c>
      <x:c r="F423" s="2" t="str">
        <x:f>IF('신청 원장'!M3159="","",'신청 원장'!M3159)</x:f>
      </x:c>
      <x:c r="G423" s="2" t="n">
        <x:f>IF('신청 원장'!N3159="","",'신청 원장'!N3159)</x:f>
        <x:v>2753</x:v>
      </x:c>
      <x:c r="H423" s="2" t="str">
        <x:f>IF('신청 원장'!AA3159="","",'신청 원장'!AA3159)</x:f>
        <x:v>내부 관찰 대상</x:v>
      </x:c>
      <x:c r="I423" s="2" t="str">
        <x:f>IF('신청 원장'!O3159="","",'신청 원장'!O3159)</x:f>
      </x:c>
      <x:c r="J423" s="2" t="str">
        <x:f>IF('신청 원장'!W3159="","",'신청 원장'!W3159)</x:f>
      </x:c>
      <x:c r="K423" s="2" t="str">
        <x:f>IF('신청 원장'!X3159="","",'신청 원장'!X3159)</x:f>
        <x:v>보완 회신 일정 확인</x:v>
      </x:c>
      <x:c r="L423" s="2" t="str">
        <x:f>IF('신청 원장'!R3159="","",'신청 원장'!R3159)</x:f>
        <x:v>(비공개)국내평가</x:v>
      </x:c>
      <x:c r="M423" s="2" t="n">
        <x:f>IF('신청 원장'!S3159="","",'신청 원장'!S3159)</x:f>
        <x:v>67</x:v>
      </x:c>
      <x:c r="N423" s="2" t="str">
        <x:f>IF('신청 원장'!K3159&lt;&gt;"미종결 표시","종결 상태 확인",IF('신청 원장'!N3159="","일자 확인 필요",IF('신청 원장'!N3159&gt;365,"366일 이상",IF('신청 원장'!N3159&gt;90,"91~365일",IF('신청 원장'!N3159&gt;30,"31~90일","0~30일")))))</x:f>
        <x:v>366일 이상</x:v>
      </x:c>
      <x:c r="O423" s="2" t="str">
        <x:f>IF(OR('신청 원장'!L3159="",'신청 원장'!L3159="선택"),"담당 원문 확인","기재")</x:f>
        <x:v>기재</x:v>
      </x:c>
      <x:c r="P423" s="2" t="str">
        <x:f>IF('신청 원장'!A3159="","",'신청 원장'!A3159)</x:f>
        <x:v>0ed5c9cd7a0d172642c0d767</x:v>
      </x:c>
    </x:row>
    <x:row r="424" ht="42" customHeight="1">
      <x:c r="A424" s="2" t="str">
        <x:f>IF('신청 원장'!B3160="","",'신청 원장'!B3160)</x:f>
        <x:v>사업 비공개 신청</x:v>
      </x:c>
      <x:c r="B424" s="7" t="str">
        <x:f>IF('신청 원장'!D3160="","",'신청 원장'!D3160)</x:f>
        <x:v>고효율 공기압축기 도입을 통한 온실가스 감축사업</x:v>
      </x:c>
      <x:c r="C424" s="2" t="str">
        <x:f>IF('신청 원장'!F3160="","",'신청 원장'!F3160)</x:f>
        <x:v>2018-12-03</x:v>
      </x:c>
      <x:c r="D424" s="2" t="str">
        <x:f>IF('신청 원장'!J3160="","",'신청 원장'!J3160)</x:f>
        <x:v>선택</x:v>
      </x:c>
      <x:c r="E424" s="2" t="str">
        <x:f>IF('신청 원장'!L3160="","",'신청 원장'!L3160)</x:f>
      </x:c>
      <x:c r="F424" s="2" t="str">
        <x:f>IF('신청 원장'!M3160="","",'신청 원장'!M3160)</x:f>
      </x:c>
      <x:c r="G424" s="2" t="n">
        <x:f>IF('신청 원장'!N3160="","",'신청 원장'!N3160)</x:f>
        <x:v>2873</x:v>
      </x:c>
      <x:c r="H424" s="2" t="str">
        <x:f>IF('신청 원장'!AA3160="","",'신청 원장'!AA3160)</x:f>
        <x:v>대상 아님</x:v>
      </x:c>
      <x:c r="I424" s="2" t="str">
        <x:f>IF('신청 원장'!O3160="","",'신청 원장'!O3160)</x:f>
      </x:c>
      <x:c r="J424" s="2" t="str">
        <x:f>IF('신청 원장'!W3160="","",'신청 원장'!W3160)</x:f>
        <x:v>담당기관 확인 / 종결 여부 확인</x:v>
      </x:c>
      <x:c r="K424" s="2" t="str">
        <x:f>IF('신청 원장'!X3160="","",'신청 원장'!X3160)</x:f>
        <x:v>원본·배정 기록 확인</x:v>
      </x:c>
      <x:c r="L424" s="2" t="str">
        <x:f>IF('신청 원장'!R3160="","",'신청 원장'!R3160)</x:f>
        <x:v>(비공개)국내평가</x:v>
      </x:c>
      <x:c r="M424" s="2" t="n">
        <x:f>IF('신청 원장'!S3160="","",'신청 원장'!S3160)</x:f>
        <x:v>68</x:v>
      </x:c>
      <x:c r="N424" s="2" t="str">
        <x:f>IF('신청 원장'!K3160&lt;&gt;"미종결 표시","종결 상태 확인",IF('신청 원장'!N3160="","일자 확인 필요",IF('신청 원장'!N3160&gt;365,"366일 이상",IF('신청 원장'!N3160&gt;90,"91~365일",IF('신청 원장'!N3160&gt;30,"31~90일","0~30일")))))</x:f>
        <x:v>종결 상태 확인</x:v>
      </x:c>
      <x:c r="O424" s="2" t="str">
        <x:f>IF(OR('신청 원장'!L3160="",'신청 원장'!L3160="선택"),"담당 원문 확인","기재")</x:f>
        <x:v>담당 원문 확인</x:v>
      </x:c>
      <x:c r="P424" s="2" t="str">
        <x:f>IF('신청 원장'!A3160="","",'신청 원장'!A3160)</x:f>
        <x:v>ac84b0b0cc1d6af3cec306d9</x:v>
      </x:c>
    </x:row>
    <x:row r="425" ht="42" customHeight="1">
      <x:c r="A425" s="2" t="str">
        <x:f>IF('신청 원장'!B3161="","",'신청 원장'!B3161)</x:f>
        <x:v>사업 비공개 신청</x:v>
      </x:c>
      <x:c r="B425" s="7" t="str">
        <x:f>IF('신청 원장'!D3161="","",'신청 원장'!D3161)</x:f>
        <x:v>서울시 태양광 미니발전소 보급사업에 의한 온실가스 배출량 감축사업</x:v>
      </x:c>
      <x:c r="C425" s="2" t="str">
        <x:f>IF('신청 원장'!F3161="","",'신청 원장'!F3161)</x:f>
        <x:v>2018-11-08</x:v>
      </x:c>
      <x:c r="D425" s="2" t="str">
        <x:f>IF('신청 원장'!J3161="","",'신청 원장'!J3161)</x:f>
        <x:v>선택</x:v>
      </x:c>
      <x:c r="E425" s="2" t="str">
        <x:f>IF('신청 원장'!L3161="","",'신청 원장'!L3161)</x:f>
      </x:c>
      <x:c r="F425" s="2" t="str">
        <x:f>IF('신청 원장'!M3161="","",'신청 원장'!M3161)</x:f>
      </x:c>
      <x:c r="G425" s="2" t="n">
        <x:f>IF('신청 원장'!N3161="","",'신청 원장'!N3161)</x:f>
        <x:v>2898</x:v>
      </x:c>
      <x:c r="H425" s="2" t="str">
        <x:f>IF('신청 원장'!AA3161="","",'신청 원장'!AA3161)</x:f>
        <x:v>대상 아님</x:v>
      </x:c>
      <x:c r="I425" s="2" t="str">
        <x:f>IF('신청 원장'!O3161="","",'신청 원장'!O3161)</x:f>
      </x:c>
      <x:c r="J425" s="2" t="str">
        <x:f>IF('신청 원장'!W3161="","",'신청 원장'!W3161)</x:f>
        <x:v>담당기관 확인 / 종결 여부 확인</x:v>
      </x:c>
      <x:c r="K425" s="2" t="str">
        <x:f>IF('신청 원장'!X3161="","",'신청 원장'!X3161)</x:f>
        <x:v>원본·배정 기록 확인</x:v>
      </x:c>
      <x:c r="L425" s="2" t="str">
        <x:f>IF('신청 원장'!R3161="","",'신청 원장'!R3161)</x:f>
        <x:v>(비공개)국내평가</x:v>
      </x:c>
      <x:c r="M425" s="2" t="n">
        <x:f>IF('신청 원장'!S3161="","",'신청 원장'!S3161)</x:f>
        <x:v>69</x:v>
      </x:c>
      <x:c r="N425" s="2" t="str">
        <x:f>IF('신청 원장'!K3161&lt;&gt;"미종결 표시","종결 상태 확인",IF('신청 원장'!N3161="","일자 확인 필요",IF('신청 원장'!N3161&gt;365,"366일 이상",IF('신청 원장'!N3161&gt;90,"91~365일",IF('신청 원장'!N3161&gt;30,"31~90일","0~30일")))))</x:f>
        <x:v>종결 상태 확인</x:v>
      </x:c>
      <x:c r="O425" s="2" t="str">
        <x:f>IF(OR('신청 원장'!L3161="",'신청 원장'!L3161="선택"),"담당 원문 확인","기재")</x:f>
        <x:v>담당 원문 확인</x:v>
      </x:c>
      <x:c r="P425" s="2" t="str">
        <x:f>IF('신청 원장'!A3161="","",'신청 원장'!A3161)</x:f>
        <x:v>35401e535fa9566d40e9145d</x:v>
      </x:c>
    </x:row>
    <x:row r="426" ht="42" customHeight="1">
      <x:c r="A426" s="2" t="str">
        <x:f>IF('신청 원장'!B3162="","",'신청 원장'!B3162)</x:f>
        <x:v>사업 비공개 신청</x:v>
      </x:c>
      <x:c r="B426" s="7" t="str">
        <x:f>IF('신청 원장'!D3162="","",'신청 원장'!D3162)</x:f>
        <x:v>(주)동방전기에서의 가스절연개폐장치 검사용 SF6 회수․정제 및 재사용을 통한 SF6 감축사업</x:v>
      </x:c>
      <x:c r="C426" s="2" t="str">
        <x:f>IF('신청 원장'!F3162="","",'신청 원장'!F3162)</x:f>
        <x:v>2018-10-23</x:v>
      </x:c>
      <x:c r="D426" s="2" t="str">
        <x:f>IF('신청 원장'!J3162="","",'신청 원장'!J3162)</x:f>
        <x:v>선택</x:v>
      </x:c>
      <x:c r="E426" s="2" t="str">
        <x:f>IF('신청 원장'!L3162="","",'신청 원장'!L3162)</x:f>
      </x:c>
      <x:c r="F426" s="2" t="str">
        <x:f>IF('신청 원장'!M3162="","",'신청 원장'!M3162)</x:f>
      </x:c>
      <x:c r="G426" s="2" t="n">
        <x:f>IF('신청 원장'!N3162="","",'신청 원장'!N3162)</x:f>
        <x:v>2914</x:v>
      </x:c>
      <x:c r="H426" s="2" t="str">
        <x:f>IF('신청 원장'!AA3162="","",'신청 원장'!AA3162)</x:f>
        <x:v>대상 아님</x:v>
      </x:c>
      <x:c r="I426" s="2" t="str">
        <x:f>IF('신청 원장'!O3162="","",'신청 원장'!O3162)</x:f>
      </x:c>
      <x:c r="J426" s="2" t="str">
        <x:f>IF('신청 원장'!W3162="","",'신청 원장'!W3162)</x:f>
        <x:v>담당기관 확인 / 종결 여부 확인</x:v>
      </x:c>
      <x:c r="K426" s="2" t="str">
        <x:f>IF('신청 원장'!X3162="","",'신청 원장'!X3162)</x:f>
        <x:v>원본·배정 기록 확인</x:v>
      </x:c>
      <x:c r="L426" s="2" t="str">
        <x:f>IF('신청 원장'!R3162="","",'신청 원장'!R3162)</x:f>
        <x:v>(비공개)국내평가</x:v>
      </x:c>
      <x:c r="M426" s="2" t="n">
        <x:f>IF('신청 원장'!S3162="","",'신청 원장'!S3162)</x:f>
        <x:v>70</x:v>
      </x:c>
      <x:c r="N426" s="2" t="str">
        <x:f>IF('신청 원장'!K3162&lt;&gt;"미종결 표시","종결 상태 확인",IF('신청 원장'!N3162="","일자 확인 필요",IF('신청 원장'!N3162&gt;365,"366일 이상",IF('신청 원장'!N3162&gt;90,"91~365일",IF('신청 원장'!N3162&gt;30,"31~90일","0~30일")))))</x:f>
        <x:v>종결 상태 확인</x:v>
      </x:c>
      <x:c r="O426" s="2" t="str">
        <x:f>IF(OR('신청 원장'!L3162="",'신청 원장'!L3162="선택"),"담당 원문 확인","기재")</x:f>
        <x:v>담당 원문 확인</x:v>
      </x:c>
      <x:c r="P426" s="2" t="str">
        <x:f>IF('신청 원장'!A3162="","",'신청 원장'!A3162)</x:f>
        <x:v>c013c8888eead70d80cc9b19</x:v>
      </x:c>
    </x:row>
    <x:row r="427" ht="42" customHeight="1">
      <x:c r="A427" s="2" t="str">
        <x:f>IF('신청 원장'!B3179="","",'신청 원장'!B3179)</x:f>
        <x:v>사업 비공개 신청</x:v>
      </x:c>
      <x:c r="B427" s="7" t="str">
        <x:f>IF('신청 원장'!D3179="","",'신청 원장'!D3179)</x:f>
        <x:v>동서발전 당진 소수력 프로젝트</x:v>
      </x:c>
      <x:c r="C427" s="2" t="str">
        <x:f>IF('신청 원장'!F3179="","",'신청 원장'!F3179)</x:f>
        <x:v>2018-07-04</x:v>
      </x:c>
      <x:c r="D427" s="2" t="str">
        <x:f>IF('신청 원장'!J3179="","",'신청 원장'!J3179)</x:f>
        <x:v>보완요청</x:v>
      </x:c>
      <x:c r="E427" s="2" t="str">
        <x:f>IF('신청 원장'!L3179="","",'신청 원장'!L3179)</x:f>
        <x:v>KECM_이태준</x:v>
      </x:c>
      <x:c r="F427" s="2" t="str">
        <x:f>IF('신청 원장'!M3179="","",'신청 원장'!M3179)</x:f>
      </x:c>
      <x:c r="G427" s="2" t="n">
        <x:f>IF('신청 원장'!N3179="","",'신청 원장'!N3179)</x:f>
        <x:v>3025</x:v>
      </x:c>
      <x:c r="H427" s="2" t="str">
        <x:f>IF('신청 원장'!AA3179="","",'신청 원장'!AA3179)</x:f>
        <x:v>내부 관찰 대상</x:v>
      </x:c>
      <x:c r="I427" s="2" t="str">
        <x:f>IF('신청 원장'!O3179="","",'신청 원장'!O3179)</x:f>
      </x:c>
      <x:c r="J427" s="2" t="str">
        <x:f>IF('신청 원장'!W3179="","",'신청 원장'!W3179)</x:f>
      </x:c>
      <x:c r="K427" s="2" t="str">
        <x:f>IF('신청 원장'!X3179="","",'신청 원장'!X3179)</x:f>
        <x:v>보완 회신 일정 확인</x:v>
      </x:c>
      <x:c r="L427" s="2" t="str">
        <x:f>IF('신청 원장'!R3179="","",'신청 원장'!R3179)</x:f>
        <x:v>(비공개)국내평가</x:v>
      </x:c>
      <x:c r="M427" s="2" t="n">
        <x:f>IF('신청 원장'!S3179="","",'신청 원장'!S3179)</x:f>
        <x:v>87</x:v>
      </x:c>
      <x:c r="N427" s="2" t="str">
        <x:f>IF('신청 원장'!K3179&lt;&gt;"미종결 표시","종결 상태 확인",IF('신청 원장'!N3179="","일자 확인 필요",IF('신청 원장'!N3179&gt;365,"366일 이상",IF('신청 원장'!N3179&gt;90,"91~365일",IF('신청 원장'!N3179&gt;30,"31~90일","0~30일")))))</x:f>
        <x:v>366일 이상</x:v>
      </x:c>
      <x:c r="O427" s="2" t="str">
        <x:f>IF(OR('신청 원장'!L3179="",'신청 원장'!L3179="선택"),"담당 원문 확인","기재")</x:f>
        <x:v>기재</x:v>
      </x:c>
      <x:c r="P427" s="2" t="str">
        <x:f>IF('신청 원장'!A3179="","",'신청 원장'!A3179)</x:f>
        <x:v>21b94e2d08c8434718432235</x:v>
      </x:c>
    </x:row>
    <x:row r="428" ht="42" customHeight="1">
      <x:c r="A428" s="2" t="str">
        <x:f>IF('신청 원장'!B3180="","",'신청 원장'!B3180)</x:f>
        <x:v>사업 비공개 신청</x:v>
      </x:c>
      <x:c r="B428" s="7" t="str">
        <x:f>IF('신청 원장'!D3180="","",'신청 원장'!D3180)</x:f>
        <x:v>부일화학의 B-C유에서 LNG로 연료전환을 통한 온실가스 배출 감축사업</x:v>
      </x:c>
      <x:c r="C428" s="2" t="str">
        <x:f>IF('신청 원장'!F3180="","",'신청 원장'!F3180)</x:f>
        <x:v>2017-12-29</x:v>
      </x:c>
      <x:c r="D428" s="2" t="str">
        <x:f>IF('신청 원장'!J3180="","",'신청 원장'!J3180)</x:f>
        <x:v>보완요청</x:v>
      </x:c>
      <x:c r="E428" s="2" t="str">
        <x:f>IF('신청 원장'!L3180="","",'신청 원장'!L3180)</x:f>
        <x:v>KECM_이태준</x:v>
      </x:c>
      <x:c r="F428" s="2" t="str">
        <x:f>IF('신청 원장'!M3180="","",'신청 원장'!M3180)</x:f>
      </x:c>
      <x:c r="G428" s="2" t="n">
        <x:f>IF('신청 원장'!N3180="","",'신청 원장'!N3180)</x:f>
        <x:v>3212</x:v>
      </x:c>
      <x:c r="H428" s="2" t="str">
        <x:f>IF('신청 원장'!AA3180="","",'신청 원장'!AA3180)</x:f>
        <x:v>내부 관찰 대상</x:v>
      </x:c>
      <x:c r="I428" s="2" t="str">
        <x:f>IF('신청 원장'!O3180="","",'신청 원장'!O3180)</x:f>
      </x:c>
      <x:c r="J428" s="2" t="str">
        <x:f>IF('신청 원장'!W3180="","",'신청 원장'!W3180)</x:f>
      </x:c>
      <x:c r="K428" s="2" t="str">
        <x:f>IF('신청 원장'!X3180="","",'신청 원장'!X3180)</x:f>
        <x:v>보완 회신 일정 확인</x:v>
      </x:c>
      <x:c r="L428" s="2" t="str">
        <x:f>IF('신청 원장'!R3180="","",'신청 원장'!R3180)</x:f>
        <x:v>(비공개)국내평가</x:v>
      </x:c>
      <x:c r="M428" s="2" t="n">
        <x:f>IF('신청 원장'!S3180="","",'신청 원장'!S3180)</x:f>
        <x:v>88</x:v>
      </x:c>
      <x:c r="N428" s="2" t="str">
        <x:f>IF('신청 원장'!K3180&lt;&gt;"미종결 표시","종결 상태 확인",IF('신청 원장'!N3180="","일자 확인 필요",IF('신청 원장'!N3180&gt;365,"366일 이상",IF('신청 원장'!N3180&gt;90,"91~365일",IF('신청 원장'!N3180&gt;30,"31~90일","0~30일")))))</x:f>
        <x:v>366일 이상</x:v>
      </x:c>
      <x:c r="O428" s="2" t="str">
        <x:f>IF(OR('신청 원장'!L3180="",'신청 원장'!L3180="선택"),"담당 원문 확인","기재")</x:f>
        <x:v>기재</x:v>
      </x:c>
      <x:c r="P428" s="2" t="str">
        <x:f>IF('신청 원장'!A3180="","",'신청 원장'!A3180)</x:f>
        <x:v>bbc344c7063416fddf86daf4</x:v>
      </x:c>
    </x:row>
    <x:row r="429" ht="42" customHeight="1">
      <x:c r="A429" s="2" t="str">
        <x:f>IF('신청 원장'!B3181="","",'신청 원장'!B3181)</x:f>
        <x:v>사업 비공개 신청</x:v>
      </x:c>
      <x:c r="B429" s="7" t="str">
        <x:f>IF('신청 원장'!D3181="","",'신청 원장'!D3181)</x:f>
        <x:v>마니커 동두천지점의 B-C유에서 LNG로 연료전환을 통한 온실가스 배출 감축사업</x:v>
      </x:c>
      <x:c r="C429" s="2" t="str">
        <x:f>IF('신청 원장'!F3181="","",'신청 원장'!F3181)</x:f>
        <x:v>2017-12-29</x:v>
      </x:c>
      <x:c r="D429" s="2" t="str">
        <x:f>IF('신청 원장'!J3181="","",'신청 원장'!J3181)</x:f>
        <x:v>보완요청</x:v>
      </x:c>
      <x:c r="E429" s="2" t="str">
        <x:f>IF('신청 원장'!L3181="","",'신청 원장'!L3181)</x:f>
        <x:v>KECM_이태준</x:v>
      </x:c>
      <x:c r="F429" s="2" t="str">
        <x:f>IF('신청 원장'!M3181="","",'신청 원장'!M3181)</x:f>
      </x:c>
      <x:c r="G429" s="2" t="n">
        <x:f>IF('신청 원장'!N3181="","",'신청 원장'!N3181)</x:f>
        <x:v>3212</x:v>
      </x:c>
      <x:c r="H429" s="2" t="str">
        <x:f>IF('신청 원장'!AA3181="","",'신청 원장'!AA3181)</x:f>
        <x:v>내부 관찰 대상</x:v>
      </x:c>
      <x:c r="I429" s="2" t="str">
        <x:f>IF('신청 원장'!O3181="","",'신청 원장'!O3181)</x:f>
      </x:c>
      <x:c r="J429" s="2" t="str">
        <x:f>IF('신청 원장'!W3181="","",'신청 원장'!W3181)</x:f>
      </x:c>
      <x:c r="K429" s="2" t="str">
        <x:f>IF('신청 원장'!X3181="","",'신청 원장'!X3181)</x:f>
        <x:v>보완 회신 일정 확인</x:v>
      </x:c>
      <x:c r="L429" s="2" t="str">
        <x:f>IF('신청 원장'!R3181="","",'신청 원장'!R3181)</x:f>
        <x:v>(비공개)국내평가</x:v>
      </x:c>
      <x:c r="M429" s="2" t="n">
        <x:f>IF('신청 원장'!S3181="","",'신청 원장'!S3181)</x:f>
        <x:v>89</x:v>
      </x:c>
      <x:c r="N429" s="2" t="str">
        <x:f>IF('신청 원장'!K3181&lt;&gt;"미종결 표시","종결 상태 확인",IF('신청 원장'!N3181="","일자 확인 필요",IF('신청 원장'!N3181&gt;365,"366일 이상",IF('신청 원장'!N3181&gt;90,"91~365일",IF('신청 원장'!N3181&gt;30,"31~90일","0~30일")))))</x:f>
        <x:v>366일 이상</x:v>
      </x:c>
      <x:c r="O429" s="2" t="str">
        <x:f>IF(OR('신청 원장'!L3181="",'신청 원장'!L3181="선택"),"담당 원문 확인","기재")</x:f>
        <x:v>기재</x:v>
      </x:c>
      <x:c r="P429" s="2" t="str">
        <x:f>IF('신청 원장'!A3181="","",'신청 원장'!A3181)</x:f>
        <x:v>68b7ddc70faa532865b01b39</x:v>
      </x:c>
    </x:row>
    <x:row r="430" ht="42" customHeight="1">
      <x:c r="A430" s="2" t="str">
        <x:f>IF('신청 원장'!B3182="","",'신청 원장'!B3182)</x:f>
        <x:v>사업 비공개 신청</x:v>
      </x:c>
      <x:c r="B430" s="7" t="str">
        <x:f>IF('신청 원장'!D3182="","",'신청 원장'!D3182)</x:f>
        <x:v>한국 경기도 지역의 천연가스 연료전환 번들링 사업</x:v>
      </x:c>
      <x:c r="C430" s="2" t="str">
        <x:f>IF('신청 원장'!F3182="","",'신청 원장'!F3182)</x:f>
        <x:v>2017-12-18</x:v>
      </x:c>
      <x:c r="D430" s="2" t="str">
        <x:f>IF('신청 원장'!J3182="","",'신청 원장'!J3182)</x:f>
        <x:v>보완요청</x:v>
      </x:c>
      <x:c r="E430" s="2" t="str">
        <x:f>IF('신청 원장'!L3182="","",'신청 원장'!L3182)</x:f>
        <x:v>KECM_이태준</x:v>
      </x:c>
      <x:c r="F430" s="2" t="str">
        <x:f>IF('신청 원장'!M3182="","",'신청 원장'!M3182)</x:f>
      </x:c>
      <x:c r="G430" s="2" t="n">
        <x:f>IF('신청 원장'!N3182="","",'신청 원장'!N3182)</x:f>
        <x:v>3223</x:v>
      </x:c>
      <x:c r="H430" s="2" t="str">
        <x:f>IF('신청 원장'!AA3182="","",'신청 원장'!AA3182)</x:f>
        <x:v>내부 관찰 대상</x:v>
      </x:c>
      <x:c r="I430" s="2" t="str">
        <x:f>IF('신청 원장'!O3182="","",'신청 원장'!O3182)</x:f>
      </x:c>
      <x:c r="J430" s="2" t="str">
        <x:f>IF('신청 원장'!W3182="","",'신청 원장'!W3182)</x:f>
      </x:c>
      <x:c r="K430" s="2" t="str">
        <x:f>IF('신청 원장'!X3182="","",'신청 원장'!X3182)</x:f>
        <x:v>보완 회신 일정 확인</x:v>
      </x:c>
      <x:c r="L430" s="2" t="str">
        <x:f>IF('신청 원장'!R3182="","",'신청 원장'!R3182)</x:f>
        <x:v>(비공개)국내평가</x:v>
      </x:c>
      <x:c r="M430" s="2" t="n">
        <x:f>IF('신청 원장'!S3182="","",'신청 원장'!S3182)</x:f>
        <x:v>90</x:v>
      </x:c>
      <x:c r="N430" s="2" t="str">
        <x:f>IF('신청 원장'!K3182&lt;&gt;"미종결 표시","종결 상태 확인",IF('신청 원장'!N3182="","일자 확인 필요",IF('신청 원장'!N3182&gt;365,"366일 이상",IF('신청 원장'!N3182&gt;90,"91~365일",IF('신청 원장'!N3182&gt;30,"31~90일","0~30일")))))</x:f>
        <x:v>366일 이상</x:v>
      </x:c>
      <x:c r="O430" s="2" t="str">
        <x:f>IF(OR('신청 원장'!L3182="",'신청 원장'!L3182="선택"),"담당 원문 확인","기재")</x:f>
        <x:v>기재</x:v>
      </x:c>
      <x:c r="P430" s="2" t="str">
        <x:f>IF('신청 원장'!A3182="","",'신청 원장'!A3182)</x:f>
        <x:v>3803157eb28c6858b5e02586</x:v>
      </x:c>
    </x:row>
    <x:row r="431" ht="42" customHeight="1">
      <x:c r="A431" s="2" t="str">
        <x:f>IF('신청 원장'!B3183="","",'신청 원장'!B3183)</x:f>
        <x:v>사업 비공개 신청</x:v>
      </x:c>
      <x:c r="B431" s="7" t="str">
        <x:f>IF('신청 원장'!D3183="","",'신청 원장'!D3183)</x:f>
        <x:v>인제군 내린천요양원 태양광 발전설비 설치 및 자가 사용을 통한 온실가스 배출 감축사업</x:v>
      </x:c>
      <x:c r="C431" s="2" t="str">
        <x:f>IF('신청 원장'!F3183="","",'신청 원장'!F3183)</x:f>
        <x:v>2017-12-14</x:v>
      </x:c>
      <x:c r="D431" s="2" t="str">
        <x:f>IF('신청 원장'!J3183="","",'신청 원장'!J3183)</x:f>
        <x:v>선택</x:v>
      </x:c>
      <x:c r="E431" s="2" t="str">
        <x:f>IF('신청 원장'!L3183="","",'신청 원장'!L3183)</x:f>
      </x:c>
      <x:c r="F431" s="2" t="str">
        <x:f>IF('신청 원장'!M3183="","",'신청 원장'!M3183)</x:f>
      </x:c>
      <x:c r="G431" s="2" t="n">
        <x:f>IF('신청 원장'!N3183="","",'신청 원장'!N3183)</x:f>
        <x:v>3227</x:v>
      </x:c>
      <x:c r="H431" s="2" t="str">
        <x:f>IF('신청 원장'!AA3183="","",'신청 원장'!AA3183)</x:f>
        <x:v>대상 아님</x:v>
      </x:c>
      <x:c r="I431" s="2" t="str">
        <x:f>IF('신청 원장'!O3183="","",'신청 원장'!O3183)</x:f>
      </x:c>
      <x:c r="J431" s="2" t="str">
        <x:f>IF('신청 원장'!W3183="","",'신청 원장'!W3183)</x:f>
        <x:v>담당기관 확인 / 종결 여부 확인</x:v>
      </x:c>
      <x:c r="K431" s="2" t="str">
        <x:f>IF('신청 원장'!X3183="","",'신청 원장'!X3183)</x:f>
        <x:v>원본·배정 기록 확인</x:v>
      </x:c>
      <x:c r="L431" s="2" t="str">
        <x:f>IF('신청 원장'!R3183="","",'신청 원장'!R3183)</x:f>
        <x:v>(비공개)국내평가</x:v>
      </x:c>
      <x:c r="M431" s="2" t="n">
        <x:f>IF('신청 원장'!S3183="","",'신청 원장'!S3183)</x:f>
        <x:v>91</x:v>
      </x:c>
      <x:c r="N431" s="2" t="str">
        <x:f>IF('신청 원장'!K3183&lt;&gt;"미종결 표시","종결 상태 확인",IF('신청 원장'!N3183="","일자 확인 필요",IF('신청 원장'!N3183&gt;365,"366일 이상",IF('신청 원장'!N3183&gt;90,"91~365일",IF('신청 원장'!N3183&gt;30,"31~90일","0~30일")))))</x:f>
        <x:v>종결 상태 확인</x:v>
      </x:c>
      <x:c r="O431" s="2" t="str">
        <x:f>IF(OR('신청 원장'!L3183="",'신청 원장'!L3183="선택"),"담당 원문 확인","기재")</x:f>
        <x:v>담당 원문 확인</x:v>
      </x:c>
      <x:c r="P431" s="2" t="str">
        <x:f>IF('신청 원장'!A3183="","",'신청 원장'!A3183)</x:f>
        <x:v>e77406dbd669a187674686d1</x:v>
      </x:c>
    </x:row>
    <x:row r="432" ht="42" customHeight="1">
      <x:c r="A432" s="2" t="str">
        <x:f>IF('신청 원장'!B3184="","",'신청 원장'!B3184)</x:f>
        <x:v>사업 비공개 신청</x:v>
      </x:c>
      <x:c r="B432" s="7" t="str">
        <x:f>IF('신청 원장'!D3184="","",'신청 원장'!D3184)</x:f>
        <x:v>인제군 실버홈 태양광 발전설비 설치 및 자가 사용을 통한 온실가스 배출 감축사업</x:v>
      </x:c>
      <x:c r="C432" s="2" t="str">
        <x:f>IF('신청 원장'!F3184="","",'신청 원장'!F3184)</x:f>
        <x:v>2017-12-14</x:v>
      </x:c>
      <x:c r="D432" s="2" t="str">
        <x:f>IF('신청 원장'!J3184="","",'신청 원장'!J3184)</x:f>
        <x:v>선택</x:v>
      </x:c>
      <x:c r="E432" s="2" t="str">
        <x:f>IF('신청 원장'!L3184="","",'신청 원장'!L3184)</x:f>
      </x:c>
      <x:c r="F432" s="2" t="str">
        <x:f>IF('신청 원장'!M3184="","",'신청 원장'!M3184)</x:f>
      </x:c>
      <x:c r="G432" s="2" t="n">
        <x:f>IF('신청 원장'!N3184="","",'신청 원장'!N3184)</x:f>
        <x:v>3227</x:v>
      </x:c>
      <x:c r="H432" s="2" t="str">
        <x:f>IF('신청 원장'!AA3184="","",'신청 원장'!AA3184)</x:f>
        <x:v>대상 아님</x:v>
      </x:c>
      <x:c r="I432" s="2" t="str">
        <x:f>IF('신청 원장'!O3184="","",'신청 원장'!O3184)</x:f>
      </x:c>
      <x:c r="J432" s="2" t="str">
        <x:f>IF('신청 원장'!W3184="","",'신청 원장'!W3184)</x:f>
        <x:v>담당기관 확인 / 종결 여부 확인</x:v>
      </x:c>
      <x:c r="K432" s="2" t="str">
        <x:f>IF('신청 원장'!X3184="","",'신청 원장'!X3184)</x:f>
        <x:v>원본·배정 기록 확인</x:v>
      </x:c>
      <x:c r="L432" s="2" t="str">
        <x:f>IF('신청 원장'!R3184="","",'신청 원장'!R3184)</x:f>
        <x:v>(비공개)국내평가</x:v>
      </x:c>
      <x:c r="M432" s="2" t="n">
        <x:f>IF('신청 원장'!S3184="","",'신청 원장'!S3184)</x:f>
        <x:v>92</x:v>
      </x:c>
      <x:c r="N432" s="2" t="str">
        <x:f>IF('신청 원장'!K3184&lt;&gt;"미종결 표시","종결 상태 확인",IF('신청 원장'!N3184="","일자 확인 필요",IF('신청 원장'!N3184&gt;365,"366일 이상",IF('신청 원장'!N3184&gt;90,"91~365일",IF('신청 원장'!N3184&gt;30,"31~90일","0~30일")))))</x:f>
        <x:v>종결 상태 확인</x:v>
      </x:c>
      <x:c r="O432" s="2" t="str">
        <x:f>IF(OR('신청 원장'!L3184="",'신청 원장'!L3184="선택"),"담당 원문 확인","기재")</x:f>
        <x:v>담당 원문 확인</x:v>
      </x:c>
      <x:c r="P432" s="2" t="str">
        <x:f>IF('신청 원장'!A3184="","",'신청 원장'!A3184)</x:f>
        <x:v>0a710542c75384e7adb472bb</x:v>
      </x:c>
    </x:row>
    <x:row r="433" ht="42" customHeight="1">
      <x:c r="A433" s="2" t="str">
        <x:f>IF('신청 원장'!B3185="","",'신청 원장'!B3185)</x:f>
        <x:v>사업 비공개 신청</x:v>
      </x:c>
      <x:c r="B433" s="7" t="str">
        <x:f>IF('신청 원장'!D3185="","",'신청 원장'!D3185)</x:f>
        <x:v>인제군 애향원 태양광 발전설비 설치 및 자가 사용을 통한 온실가스 배출 감축사업</x:v>
      </x:c>
      <x:c r="C433" s="2" t="str">
        <x:f>IF('신청 원장'!F3185="","",'신청 원장'!F3185)</x:f>
        <x:v>2017-12-14</x:v>
      </x:c>
      <x:c r="D433" s="2" t="str">
        <x:f>IF('신청 원장'!J3185="","",'신청 원장'!J3185)</x:f>
        <x:v>선택</x:v>
      </x:c>
      <x:c r="E433" s="2" t="str">
        <x:f>IF('신청 원장'!L3185="","",'신청 원장'!L3185)</x:f>
      </x:c>
      <x:c r="F433" s="2" t="str">
        <x:f>IF('신청 원장'!M3185="","",'신청 원장'!M3185)</x:f>
      </x:c>
      <x:c r="G433" s="2" t="n">
        <x:f>IF('신청 원장'!N3185="","",'신청 원장'!N3185)</x:f>
        <x:v>3227</x:v>
      </x:c>
      <x:c r="H433" s="2" t="str">
        <x:f>IF('신청 원장'!AA3185="","",'신청 원장'!AA3185)</x:f>
        <x:v>대상 아님</x:v>
      </x:c>
      <x:c r="I433" s="2" t="str">
        <x:f>IF('신청 원장'!O3185="","",'신청 원장'!O3185)</x:f>
      </x:c>
      <x:c r="J433" s="2" t="str">
        <x:f>IF('신청 원장'!W3185="","",'신청 원장'!W3185)</x:f>
        <x:v>담당기관 확인 / 종결 여부 확인</x:v>
      </x:c>
      <x:c r="K433" s="2" t="str">
        <x:f>IF('신청 원장'!X3185="","",'신청 원장'!X3185)</x:f>
        <x:v>원본·배정 기록 확인</x:v>
      </x:c>
      <x:c r="L433" s="2" t="str">
        <x:f>IF('신청 원장'!R3185="","",'신청 원장'!R3185)</x:f>
        <x:v>(비공개)국내평가</x:v>
      </x:c>
      <x:c r="M433" s="2" t="n">
        <x:f>IF('신청 원장'!S3185="","",'신청 원장'!S3185)</x:f>
        <x:v>93</x:v>
      </x:c>
      <x:c r="N433" s="2" t="str">
        <x:f>IF('신청 원장'!K3185&lt;&gt;"미종결 표시","종결 상태 확인",IF('신청 원장'!N3185="","일자 확인 필요",IF('신청 원장'!N3185&gt;365,"366일 이상",IF('신청 원장'!N3185&gt;90,"91~365일",IF('신청 원장'!N3185&gt;30,"31~90일","0~30일")))))</x:f>
        <x:v>종결 상태 확인</x:v>
      </x:c>
      <x:c r="O433" s="2" t="str">
        <x:f>IF(OR('신청 원장'!L3185="",'신청 원장'!L3185="선택"),"담당 원문 확인","기재")</x:f>
        <x:v>담당 원문 확인</x:v>
      </x:c>
      <x:c r="P433" s="2" t="str">
        <x:f>IF('신청 원장'!A3185="","",'신청 원장'!A3185)</x:f>
        <x:v>45e14829891f6b03a0cf8c37</x:v>
      </x:c>
    </x:row>
    <x:row r="434" ht="42" customHeight="1">
      <x:c r="A434" s="2" t="str">
        <x:f>IF('신청 원장'!B3186="","",'신청 원장'!B3186)</x:f>
        <x:v>사업 비공개 신청</x:v>
      </x:c>
      <x:c r="B434" s="7" t="str">
        <x:f>IF('신청 원장'!D3186="","",'신청 원장'!D3186)</x:f>
        <x:v>속초시 목우재터널 고효율 도로조명 교체를 통한 온실가스 배출감축 사업</x:v>
      </x:c>
      <x:c r="C434" s="2" t="str">
        <x:f>IF('신청 원장'!F3186="","",'신청 원장'!F3186)</x:f>
        <x:v>2017-12-14</x:v>
      </x:c>
      <x:c r="D434" s="2" t="str">
        <x:f>IF('신청 원장'!J3186="","",'신청 원장'!J3186)</x:f>
        <x:v>선택</x:v>
      </x:c>
      <x:c r="E434" s="2" t="str">
        <x:f>IF('신청 원장'!L3186="","",'신청 원장'!L3186)</x:f>
      </x:c>
      <x:c r="F434" s="2" t="str">
        <x:f>IF('신청 원장'!M3186="","",'신청 원장'!M3186)</x:f>
      </x:c>
      <x:c r="G434" s="2" t="n">
        <x:f>IF('신청 원장'!N3186="","",'신청 원장'!N3186)</x:f>
        <x:v>3227</x:v>
      </x:c>
      <x:c r="H434" s="2" t="str">
        <x:f>IF('신청 원장'!AA3186="","",'신청 원장'!AA3186)</x:f>
        <x:v>대상 아님</x:v>
      </x:c>
      <x:c r="I434" s="2" t="str">
        <x:f>IF('신청 원장'!O3186="","",'신청 원장'!O3186)</x:f>
      </x:c>
      <x:c r="J434" s="2" t="str">
        <x:f>IF('신청 원장'!W3186="","",'신청 원장'!W3186)</x:f>
        <x:v>담당기관 확인 / 종결 여부 확인</x:v>
      </x:c>
      <x:c r="K434" s="2" t="str">
        <x:f>IF('신청 원장'!X3186="","",'신청 원장'!X3186)</x:f>
        <x:v>원본·배정 기록 확인</x:v>
      </x:c>
      <x:c r="L434" s="2" t="str">
        <x:f>IF('신청 원장'!R3186="","",'신청 원장'!R3186)</x:f>
        <x:v>(비공개)국내평가</x:v>
      </x:c>
      <x:c r="M434" s="2" t="n">
        <x:f>IF('신청 원장'!S3186="","",'신청 원장'!S3186)</x:f>
        <x:v>94</x:v>
      </x:c>
      <x:c r="N434" s="2" t="str">
        <x:f>IF('신청 원장'!K3186&lt;&gt;"미종결 표시","종결 상태 확인",IF('신청 원장'!N3186="","일자 확인 필요",IF('신청 원장'!N3186&gt;365,"366일 이상",IF('신청 원장'!N3186&gt;90,"91~365일",IF('신청 원장'!N3186&gt;30,"31~90일","0~30일")))))</x:f>
        <x:v>종결 상태 확인</x:v>
      </x:c>
      <x:c r="O434" s="2" t="str">
        <x:f>IF(OR('신청 원장'!L3186="",'신청 원장'!L3186="선택"),"담당 원문 확인","기재")</x:f>
        <x:v>담당 원문 확인</x:v>
      </x:c>
      <x:c r="P434" s="2" t="str">
        <x:f>IF('신청 원장'!A3186="","",'신청 원장'!A3186)</x:f>
        <x:v>a777dce5234e994134103fe5</x:v>
      </x:c>
    </x:row>
    <x:row r="435" ht="42" customHeight="1">
      <x:c r="A435" s="2" t="str">
        <x:f>IF('신청 원장'!B3187="","",'신청 원장'!B3187)</x:f>
        <x:v>사업 비공개 신청</x:v>
      </x:c>
      <x:c r="B435" s="7" t="str">
        <x:f>IF('신청 원장'!D3187="","",'신청 원장'!D3187)</x:f>
        <x:v>태림포장의 B-C유에서 LNG로 연료전환을 통한 온실가스 배출 감축사업</x:v>
      </x:c>
      <x:c r="C435" s="2" t="str">
        <x:f>IF('신청 원장'!F3187="","",'신청 원장'!F3187)</x:f>
        <x:v>2017-11-03</x:v>
      </x:c>
      <x:c r="D435" s="2" t="str">
        <x:f>IF('신청 원장'!J3187="","",'신청 원장'!J3187)</x:f>
        <x:v>보완요청</x:v>
      </x:c>
      <x:c r="E435" s="2" t="str">
        <x:f>IF('신청 원장'!L3187="","",'신청 원장'!L3187)</x:f>
        <x:v>KECM_이태준</x:v>
      </x:c>
      <x:c r="F435" s="2" t="str">
        <x:f>IF('신청 원장'!M3187="","",'신청 원장'!M3187)</x:f>
      </x:c>
      <x:c r="G435" s="2" t="n">
        <x:f>IF('신청 원장'!N3187="","",'신청 원장'!N3187)</x:f>
        <x:v>3268</x:v>
      </x:c>
      <x:c r="H435" s="2" t="str">
        <x:f>IF('신청 원장'!AA3187="","",'신청 원장'!AA3187)</x:f>
        <x:v>내부 관찰 대상</x:v>
      </x:c>
      <x:c r="I435" s="2" t="str">
        <x:f>IF('신청 원장'!O3187="","",'신청 원장'!O3187)</x:f>
      </x:c>
      <x:c r="J435" s="2" t="str">
        <x:f>IF('신청 원장'!W3187="","",'신청 원장'!W3187)</x:f>
      </x:c>
      <x:c r="K435" s="2" t="str">
        <x:f>IF('신청 원장'!X3187="","",'신청 원장'!X3187)</x:f>
        <x:v>보완 회신 일정 확인</x:v>
      </x:c>
      <x:c r="L435" s="2" t="str">
        <x:f>IF('신청 원장'!R3187="","",'신청 원장'!R3187)</x:f>
        <x:v>(비공개)국내평가</x:v>
      </x:c>
      <x:c r="M435" s="2" t="n">
        <x:f>IF('신청 원장'!S3187="","",'신청 원장'!S3187)</x:f>
        <x:v>95</x:v>
      </x:c>
      <x:c r="N435" s="2" t="str">
        <x:f>IF('신청 원장'!K3187&lt;&gt;"미종결 표시","종결 상태 확인",IF('신청 원장'!N3187="","일자 확인 필요",IF('신청 원장'!N3187&gt;365,"366일 이상",IF('신청 원장'!N3187&gt;90,"91~365일",IF('신청 원장'!N3187&gt;30,"31~90일","0~30일")))))</x:f>
        <x:v>366일 이상</x:v>
      </x:c>
      <x:c r="O435" s="2" t="str">
        <x:f>IF(OR('신청 원장'!L3187="",'신청 원장'!L3187="선택"),"담당 원문 확인","기재")</x:f>
        <x:v>기재</x:v>
      </x:c>
      <x:c r="P435" s="2" t="str">
        <x:f>IF('신청 원장'!A3187="","",'신청 원장'!A3187)</x:f>
        <x:v>fed73d538d31e2d4827718a9</x:v>
      </x:c>
    </x:row>
    <x:row r="436" ht="42" customHeight="1">
      <x:c r="A436" s="2" t="str">
        <x:f>IF('신청 원장'!B3188="","",'신청 원장'!B3188)</x:f>
        <x:v>사업 비공개 신청</x:v>
      </x:c>
      <x:c r="B436" s="7" t="str">
        <x:f>IF('신청 원장'!D3188="","",'신청 원장'!D3188)</x:f>
        <x:v>2016년 서울시 건물형 미니발전소 설치 및 자가사용 묶음감축사업</x:v>
      </x:c>
      <x:c r="C436" s="2" t="str">
        <x:f>IF('신청 원장'!F3188="","",'신청 원장'!F3188)</x:f>
        <x:v>2017-10-17</x:v>
      </x:c>
      <x:c r="D436" s="2" t="str">
        <x:f>IF('신청 원장'!J3188="","",'신청 원장'!J3188)</x:f>
        <x:v>선택</x:v>
      </x:c>
      <x:c r="E436" s="2" t="str">
        <x:f>IF('신청 원장'!L3188="","",'신청 원장'!L3188)</x:f>
      </x:c>
      <x:c r="F436" s="2" t="str">
        <x:f>IF('신청 원장'!M3188="","",'신청 원장'!M3188)</x:f>
      </x:c>
      <x:c r="G436" s="2" t="n">
        <x:f>IF('신청 원장'!N3188="","",'신청 원장'!N3188)</x:f>
        <x:v>3285</x:v>
      </x:c>
      <x:c r="H436" s="2" t="str">
        <x:f>IF('신청 원장'!AA3188="","",'신청 원장'!AA3188)</x:f>
        <x:v>대상 아님</x:v>
      </x:c>
      <x:c r="I436" s="2" t="str">
        <x:f>IF('신청 원장'!O3188="","",'신청 원장'!O3188)</x:f>
      </x:c>
      <x:c r="J436" s="2" t="str">
        <x:f>IF('신청 원장'!W3188="","",'신청 원장'!W3188)</x:f>
        <x:v>담당기관 확인 / 종결 여부 확인</x:v>
      </x:c>
      <x:c r="K436" s="2" t="str">
        <x:f>IF('신청 원장'!X3188="","",'신청 원장'!X3188)</x:f>
        <x:v>원본·배정 기록 확인</x:v>
      </x:c>
      <x:c r="L436" s="2" t="str">
        <x:f>IF('신청 원장'!R3188="","",'신청 원장'!R3188)</x:f>
        <x:v>(비공개)국내평가</x:v>
      </x:c>
      <x:c r="M436" s="2" t="n">
        <x:f>IF('신청 원장'!S3188="","",'신청 원장'!S3188)</x:f>
        <x:v>96</x:v>
      </x:c>
      <x:c r="N436" s="2" t="str">
        <x:f>IF('신청 원장'!K3188&lt;&gt;"미종결 표시","종결 상태 확인",IF('신청 원장'!N3188="","일자 확인 필요",IF('신청 원장'!N3188&gt;365,"366일 이상",IF('신청 원장'!N3188&gt;90,"91~365일",IF('신청 원장'!N3188&gt;30,"31~90일","0~30일")))))</x:f>
        <x:v>종결 상태 확인</x:v>
      </x:c>
      <x:c r="O436" s="2" t="str">
        <x:f>IF(OR('신청 원장'!L3188="",'신청 원장'!L3188="선택"),"담당 원문 확인","기재")</x:f>
        <x:v>담당 원문 확인</x:v>
      </x:c>
      <x:c r="P436" s="2" t="str">
        <x:f>IF('신청 원장'!A3188="","",'신청 원장'!A3188)</x:f>
        <x:v>0f807bb75c5b82befef800ba</x:v>
      </x:c>
    </x:row>
    <x:row r="437" ht="42" customHeight="1">
      <x:c r="A437" s="2" t="str">
        <x:f>IF('신청 원장'!B3189="","",'신청 원장'!B3189)</x:f>
        <x:v>사업 비공개 신청</x:v>
      </x:c>
      <x:c r="B437" s="7" t="str">
        <x:f>IF('신청 원장'!D3189="","",'신청 원장'!D3189)</x:f>
        <x:v>삼천리 도시가스 공급 권역의 연료전환을 통한 프로그램 감축사업</x:v>
      </x:c>
      <x:c r="C437" s="2" t="str">
        <x:f>IF('신청 원장'!F3189="","",'신청 원장'!F3189)</x:f>
        <x:v>2017-05-26</x:v>
      </x:c>
      <x:c r="D437" s="2" t="str">
        <x:f>IF('신청 원장'!J3189="","",'신청 원장'!J3189)</x:f>
        <x:v>보완요청</x:v>
      </x:c>
      <x:c r="E437" s="2" t="str">
        <x:f>IF('신청 원장'!L3189="","",'신청 원장'!L3189)</x:f>
        <x:v>KECM_이태준</x:v>
      </x:c>
      <x:c r="F437" s="2" t="str">
        <x:f>IF('신청 원장'!M3189="","",'신청 원장'!M3189)</x:f>
      </x:c>
      <x:c r="G437" s="2" t="n">
        <x:f>IF('신청 원장'!N3189="","",'신청 원장'!N3189)</x:f>
        <x:v>3429</x:v>
      </x:c>
      <x:c r="H437" s="2" t="str">
        <x:f>IF('신청 원장'!AA3189="","",'신청 원장'!AA3189)</x:f>
        <x:v>내부 관찰 대상</x:v>
      </x:c>
      <x:c r="I437" s="2" t="str">
        <x:f>IF('신청 원장'!O3189="","",'신청 원장'!O3189)</x:f>
      </x:c>
      <x:c r="J437" s="2" t="str">
        <x:f>IF('신청 원장'!W3189="","",'신청 원장'!W3189)</x:f>
      </x:c>
      <x:c r="K437" s="2" t="str">
        <x:f>IF('신청 원장'!X3189="","",'신청 원장'!X3189)</x:f>
        <x:v>보완 회신 일정 확인</x:v>
      </x:c>
      <x:c r="L437" s="2" t="str">
        <x:f>IF('신청 원장'!R3189="","",'신청 원장'!R3189)</x:f>
        <x:v>(비공개)국내평가</x:v>
      </x:c>
      <x:c r="M437" s="2" t="n">
        <x:f>IF('신청 원장'!S3189="","",'신청 원장'!S3189)</x:f>
        <x:v>97</x:v>
      </x:c>
      <x:c r="N437" s="2" t="str">
        <x:f>IF('신청 원장'!K3189&lt;&gt;"미종결 표시","종결 상태 확인",IF('신청 원장'!N3189="","일자 확인 필요",IF('신청 원장'!N3189&gt;365,"366일 이상",IF('신청 원장'!N3189&gt;90,"91~365일",IF('신청 원장'!N3189&gt;30,"31~90일","0~30일")))))</x:f>
        <x:v>366일 이상</x:v>
      </x:c>
      <x:c r="O437" s="2" t="str">
        <x:f>IF(OR('신청 원장'!L3189="",'신청 원장'!L3189="선택"),"담당 원문 확인","기재")</x:f>
        <x:v>기재</x:v>
      </x:c>
      <x:c r="P437" s="2" t="str">
        <x:f>IF('신청 원장'!A3189="","",'신청 원장'!A3189)</x:f>
        <x:v>828fa5aaa29d745eb4a33634</x:v>
      </x:c>
    </x:row>
    <x:row r="438" ht="42" customHeight="1">
      <x:c r="A438" s="2" t="str">
        <x:f>IF('신청 원장'!B3190="","",'신청 원장'!B3190)</x:f>
        <x:v>사업 비공개 신청</x:v>
      </x:c>
      <x:c r="B438" s="7" t="str">
        <x:f>IF('신청 원장'!D3190="","",'신청 원장'!D3190)</x:f>
        <x:v>2015년 건물형 태양광 미니발전소 설치 및 자가사용 사업</x:v>
      </x:c>
      <x:c r="C438" s="2" t="str">
        <x:f>IF('신청 원장'!F3190="","",'신청 원장'!F3190)</x:f>
        <x:v>2017-10-17</x:v>
      </x:c>
      <x:c r="D438" s="2" t="str">
        <x:f>IF('신청 원장'!J3190="","",'신청 원장'!J3190)</x:f>
        <x:v>선택</x:v>
      </x:c>
      <x:c r="E438" s="2" t="str">
        <x:f>IF('신청 원장'!L3190="","",'신청 원장'!L3190)</x:f>
      </x:c>
      <x:c r="F438" s="2" t="str">
        <x:f>IF('신청 원장'!M3190="","",'신청 원장'!M3190)</x:f>
      </x:c>
      <x:c r="G438" s="2" t="n">
        <x:f>IF('신청 원장'!N3190="","",'신청 원장'!N3190)</x:f>
        <x:v>3285</x:v>
      </x:c>
      <x:c r="H438" s="2" t="str">
        <x:f>IF('신청 원장'!AA3190="","",'신청 원장'!AA3190)</x:f>
        <x:v>대상 아님</x:v>
      </x:c>
      <x:c r="I438" s="2" t="str">
        <x:f>IF('신청 원장'!O3190="","",'신청 원장'!O3190)</x:f>
      </x:c>
      <x:c r="J438" s="2" t="str">
        <x:f>IF('신청 원장'!W3190="","",'신청 원장'!W3190)</x:f>
        <x:v>담당기관 확인 / 종결 여부 확인</x:v>
      </x:c>
      <x:c r="K438" s="2" t="str">
        <x:f>IF('신청 원장'!X3190="","",'신청 원장'!X3190)</x:f>
        <x:v>원본·배정 기록 확인</x:v>
      </x:c>
      <x:c r="L438" s="2" t="str">
        <x:f>IF('신청 원장'!R3190="","",'신청 원장'!R3190)</x:f>
        <x:v>(비공개)국내평가</x:v>
      </x:c>
      <x:c r="M438" s="2" t="n">
        <x:f>IF('신청 원장'!S3190="","",'신청 원장'!S3190)</x:f>
        <x:v>98</x:v>
      </x:c>
      <x:c r="N438" s="2" t="str">
        <x:f>IF('신청 원장'!K3190&lt;&gt;"미종결 표시","종결 상태 확인",IF('신청 원장'!N3190="","일자 확인 필요",IF('신청 원장'!N3190&gt;365,"366일 이상",IF('신청 원장'!N3190&gt;90,"91~365일",IF('신청 원장'!N3190&gt;30,"31~90일","0~30일")))))</x:f>
        <x:v>종결 상태 확인</x:v>
      </x:c>
      <x:c r="O438" s="2" t="str">
        <x:f>IF(OR('신청 원장'!L3190="",'신청 원장'!L3190="선택"),"담당 원문 확인","기재")</x:f>
        <x:v>담당 원문 확인</x:v>
      </x:c>
      <x:c r="P438" s="2" t="str">
        <x:f>IF('신청 원장'!A3190="","",'신청 원장'!A3190)</x:f>
        <x:v>66355d8ea399184a744d9b39</x:v>
      </x:c>
    </x:row>
    <x:row r="439" ht="42" customHeight="1">
      <x:c r="A439" s="2" t="str">
        <x:f>IF('신청 원장'!B3191="","",'신청 원장'!B3191)</x:f>
        <x:v>사업 비공개 신청</x:v>
      </x:c>
      <x:c r="B439" s="7" t="str">
        <x:f>IF('신청 원장'!D3191="","",'신청 원장'!D3191)</x:f>
        <x:v>황산공정 미활용 폐열 회수 및 공급을 통한 화석연료 사용 절감 및 온실가스 배출 감축사업</x:v>
      </x:c>
      <x:c r="C439" s="2" t="str">
        <x:f>IF('신청 원장'!F3191="","",'신청 원장'!F3191)</x:f>
        <x:v>2017-09-20</x:v>
      </x:c>
      <x:c r="D439" s="2" t="str">
        <x:f>IF('신청 원장'!J3191="","",'신청 원장'!J3191)</x:f>
        <x:v>보완요청</x:v>
      </x:c>
      <x:c r="E439" s="2" t="str">
        <x:f>IF('신청 원장'!L3191="","",'신청 원장'!L3191)</x:f>
        <x:v>KECM_이태준</x:v>
      </x:c>
      <x:c r="F439" s="2" t="str">
        <x:f>IF('신청 원장'!M3191="","",'신청 원장'!M3191)</x:f>
      </x:c>
      <x:c r="G439" s="2" t="n">
        <x:f>IF('신청 원장'!N3191="","",'신청 원장'!N3191)</x:f>
        <x:v>3312</x:v>
      </x:c>
      <x:c r="H439" s="2" t="str">
        <x:f>IF('신청 원장'!AA3191="","",'신청 원장'!AA3191)</x:f>
        <x:v>내부 관찰 대상</x:v>
      </x:c>
      <x:c r="I439" s="2" t="str">
        <x:f>IF('신청 원장'!O3191="","",'신청 원장'!O3191)</x:f>
      </x:c>
      <x:c r="J439" s="2" t="str">
        <x:f>IF('신청 원장'!W3191="","",'신청 원장'!W3191)</x:f>
      </x:c>
      <x:c r="K439" s="2" t="str">
        <x:f>IF('신청 원장'!X3191="","",'신청 원장'!X3191)</x:f>
        <x:v>보완 회신 일정 확인</x:v>
      </x:c>
      <x:c r="L439" s="2" t="str">
        <x:f>IF('신청 원장'!R3191="","",'신청 원장'!R3191)</x:f>
        <x:v>(비공개)국내평가</x:v>
      </x:c>
      <x:c r="M439" s="2" t="n">
        <x:f>IF('신청 원장'!S3191="","",'신청 원장'!S3191)</x:f>
        <x:v>99</x:v>
      </x:c>
      <x:c r="N439" s="2" t="str">
        <x:f>IF('신청 원장'!K3191&lt;&gt;"미종결 표시","종결 상태 확인",IF('신청 원장'!N3191="","일자 확인 필요",IF('신청 원장'!N3191&gt;365,"366일 이상",IF('신청 원장'!N3191&gt;90,"91~365일",IF('신청 원장'!N3191&gt;30,"31~90일","0~30일")))))</x:f>
        <x:v>366일 이상</x:v>
      </x:c>
      <x:c r="O439" s="2" t="str">
        <x:f>IF(OR('신청 원장'!L3191="",'신청 원장'!L3191="선택"),"담당 원문 확인","기재")</x:f>
        <x:v>기재</x:v>
      </x:c>
      <x:c r="P439" s="2" t="str">
        <x:f>IF('신청 원장'!A3191="","",'신청 원장'!A3191)</x:f>
        <x:v>a60f53cef9e5d34567ee9513</x:v>
      </x:c>
    </x:row>
    <x:row r="440" ht="42" customHeight="1">
      <x:c r="A440" s="2" t="str">
        <x:f>IF('신청 원장'!B3192="","",'신청 원장'!B3192)</x:f>
        <x:v>사업 비공개 신청</x:v>
      </x:c>
      <x:c r="B440" s="7" t="str">
        <x:f>IF('신청 원장'!D3192="","",'신청 원장'!D3192)</x:f>
        <x:v>영미산업(주) 보일러 연료 BC유 및 부생연료1호를 LNG로의 전환을 통한 온실가스 감축사업</x:v>
      </x:c>
      <x:c r="C440" s="2" t="str">
        <x:f>IF('신청 원장'!F3192="","",'신청 원장'!F3192)</x:f>
        <x:v>2017-07-19</x:v>
      </x:c>
      <x:c r="D440" s="2" t="str">
        <x:f>IF('신청 원장'!J3192="","",'신청 원장'!J3192)</x:f>
        <x:v>보완요청</x:v>
      </x:c>
      <x:c r="E440" s="2" t="str">
        <x:f>IF('신청 원장'!L3192="","",'신청 원장'!L3192)</x:f>
        <x:v>KECM_이태준</x:v>
      </x:c>
      <x:c r="F440" s="2" t="str">
        <x:f>IF('신청 원장'!M3192="","",'신청 원장'!M3192)</x:f>
      </x:c>
      <x:c r="G440" s="2" t="n">
        <x:f>IF('신청 원장'!N3192="","",'신청 원장'!N3192)</x:f>
        <x:v>3375</x:v>
      </x:c>
      <x:c r="H440" s="2" t="str">
        <x:f>IF('신청 원장'!AA3192="","",'신청 원장'!AA3192)</x:f>
        <x:v>내부 관찰 대상</x:v>
      </x:c>
      <x:c r="I440" s="2" t="str">
        <x:f>IF('신청 원장'!O3192="","",'신청 원장'!O3192)</x:f>
      </x:c>
      <x:c r="J440" s="2" t="str">
        <x:f>IF('신청 원장'!W3192="","",'신청 원장'!W3192)</x:f>
      </x:c>
      <x:c r="K440" s="2" t="str">
        <x:f>IF('신청 원장'!X3192="","",'신청 원장'!X3192)</x:f>
        <x:v>보완 회신 일정 확인</x:v>
      </x:c>
      <x:c r="L440" s="2" t="str">
        <x:f>IF('신청 원장'!R3192="","",'신청 원장'!R3192)</x:f>
        <x:v>(비공개)국내평가</x:v>
      </x:c>
      <x:c r="M440" s="2" t="n">
        <x:f>IF('신청 원장'!S3192="","",'신청 원장'!S3192)</x:f>
        <x:v>100</x:v>
      </x:c>
      <x:c r="N440" s="2" t="str">
        <x:f>IF('신청 원장'!K3192&lt;&gt;"미종결 표시","종결 상태 확인",IF('신청 원장'!N3192="","일자 확인 필요",IF('신청 원장'!N3192&gt;365,"366일 이상",IF('신청 원장'!N3192&gt;90,"91~365일",IF('신청 원장'!N3192&gt;30,"31~90일","0~30일")))))</x:f>
        <x:v>366일 이상</x:v>
      </x:c>
      <x:c r="O440" s="2" t="str">
        <x:f>IF(OR('신청 원장'!L3192="",'신청 원장'!L3192="선택"),"담당 원문 확인","기재")</x:f>
        <x:v>기재</x:v>
      </x:c>
      <x:c r="P440" s="2" t="str">
        <x:f>IF('신청 원장'!A3192="","",'신청 원장'!A3192)</x:f>
        <x:v>62074dcd38805f9871ed679b</x:v>
      </x:c>
    </x:row>
    <x:row r="441" ht="42" customHeight="1">
      <x:c r="A441" s="2" t="str">
        <x:f>IF('신청 원장'!B3193="","",'신청 원장'!B3193)</x:f>
        <x:v>사업 비공개 신청</x:v>
      </x:c>
      <x:c r="B441" s="7" t="str">
        <x:f>IF('신청 원장'!D3193="","",'신청 원장'!D3193)</x:f>
        <x:v>양산시 공공시설 태양광발전 자가 사용에 의한 온실가스 배출 감축사업</x:v>
      </x:c>
      <x:c r="C441" s="2" t="str">
        <x:f>IF('신청 원장'!F3193="","",'신청 원장'!F3193)</x:f>
        <x:v>2017-11-13</x:v>
      </x:c>
      <x:c r="D441" s="2" t="str">
        <x:f>IF('신청 원장'!J3193="","",'신청 원장'!J3193)</x:f>
        <x:v>선택</x:v>
      </x:c>
      <x:c r="E441" s="2" t="str">
        <x:f>IF('신청 원장'!L3193="","",'신청 원장'!L3193)</x:f>
      </x:c>
      <x:c r="F441" s="2" t="str">
        <x:f>IF('신청 원장'!M3193="","",'신청 원장'!M3193)</x:f>
      </x:c>
      <x:c r="G441" s="2" t="n">
        <x:f>IF('신청 원장'!N3193="","",'신청 원장'!N3193)</x:f>
        <x:v>3258</x:v>
      </x:c>
      <x:c r="H441" s="2" t="str">
        <x:f>IF('신청 원장'!AA3193="","",'신청 원장'!AA3193)</x:f>
        <x:v>대상 아님</x:v>
      </x:c>
      <x:c r="I441" s="2" t="str">
        <x:f>IF('신청 원장'!O3193="","",'신청 원장'!O3193)</x:f>
      </x:c>
      <x:c r="J441" s="2" t="str">
        <x:f>IF('신청 원장'!W3193="","",'신청 원장'!W3193)</x:f>
        <x:v>담당기관 확인 / 종결 여부 확인</x:v>
      </x:c>
      <x:c r="K441" s="2" t="str">
        <x:f>IF('신청 원장'!X3193="","",'신청 원장'!X3193)</x:f>
        <x:v>원본·배정 기록 확인</x:v>
      </x:c>
      <x:c r="L441" s="2" t="str">
        <x:f>IF('신청 원장'!R3193="","",'신청 원장'!R3193)</x:f>
        <x:v>(비공개)국내평가</x:v>
      </x:c>
      <x:c r="M441" s="2" t="n">
        <x:f>IF('신청 원장'!S3193="","",'신청 원장'!S3193)</x:f>
        <x:v>101</x:v>
      </x:c>
      <x:c r="N441" s="2" t="str">
        <x:f>IF('신청 원장'!K3193&lt;&gt;"미종결 표시","종결 상태 확인",IF('신청 원장'!N3193="","일자 확인 필요",IF('신청 원장'!N3193&gt;365,"366일 이상",IF('신청 원장'!N3193&gt;90,"91~365일",IF('신청 원장'!N3193&gt;30,"31~90일","0~30일")))))</x:f>
        <x:v>종결 상태 확인</x:v>
      </x:c>
      <x:c r="O441" s="2" t="str">
        <x:f>IF(OR('신청 원장'!L3193="",'신청 원장'!L3193="선택"),"담당 원문 확인","기재")</x:f>
        <x:v>담당 원문 확인</x:v>
      </x:c>
      <x:c r="P441" s="2" t="str">
        <x:f>IF('신청 원장'!A3193="","",'신청 원장'!A3193)</x:f>
        <x:v>e65b73f5da1425d90ac4e332</x:v>
      </x:c>
    </x:row>
    <x:row r="442" ht="42" customHeight="1">
      <x:c r="A442" s="2" t="str">
        <x:f>IF('신청 원장'!B3194="","",'신청 원장'!B3194)</x:f>
        <x:v>사업 비공개 신청</x:v>
      </x:c>
      <x:c r="B442" s="7" t="str">
        <x:f>IF('신청 원장'!D3194="","",'신청 원장'!D3194)</x:f>
        <x:v>양산시 주택 태양광발전 자가 사용에 의한 온실가스 배출 감축사업</x:v>
      </x:c>
      <x:c r="C442" s="2" t="str">
        <x:f>IF('신청 원장'!F3194="","",'신청 원장'!F3194)</x:f>
        <x:v>2017-10-31</x:v>
      </x:c>
      <x:c r="D442" s="2" t="str">
        <x:f>IF('신청 원장'!J3194="","",'신청 원장'!J3194)</x:f>
        <x:v>선택</x:v>
      </x:c>
      <x:c r="E442" s="2" t="str">
        <x:f>IF('신청 원장'!L3194="","",'신청 원장'!L3194)</x:f>
      </x:c>
      <x:c r="F442" s="2" t="str">
        <x:f>IF('신청 원장'!M3194="","",'신청 원장'!M3194)</x:f>
      </x:c>
      <x:c r="G442" s="2" t="n">
        <x:f>IF('신청 원장'!N3194="","",'신청 원장'!N3194)</x:f>
        <x:v>3271</x:v>
      </x:c>
      <x:c r="H442" s="2" t="str">
        <x:f>IF('신청 원장'!AA3194="","",'신청 원장'!AA3194)</x:f>
        <x:v>대상 아님</x:v>
      </x:c>
      <x:c r="I442" s="2" t="str">
        <x:f>IF('신청 원장'!O3194="","",'신청 원장'!O3194)</x:f>
      </x:c>
      <x:c r="J442" s="2" t="str">
        <x:f>IF('신청 원장'!W3194="","",'신청 원장'!W3194)</x:f>
        <x:v>담당기관 확인 / 종결 여부 확인</x:v>
      </x:c>
      <x:c r="K442" s="2" t="str">
        <x:f>IF('신청 원장'!X3194="","",'신청 원장'!X3194)</x:f>
        <x:v>원본·배정 기록 확인</x:v>
      </x:c>
      <x:c r="L442" s="2" t="str">
        <x:f>IF('신청 원장'!R3194="","",'신청 원장'!R3194)</x:f>
        <x:v>(비공개)국내평가</x:v>
      </x:c>
      <x:c r="M442" s="2" t="n">
        <x:f>IF('신청 원장'!S3194="","",'신청 원장'!S3194)</x:f>
        <x:v>102</x:v>
      </x:c>
      <x:c r="N442" s="2" t="str">
        <x:f>IF('신청 원장'!K3194&lt;&gt;"미종결 표시","종결 상태 확인",IF('신청 원장'!N3194="","일자 확인 필요",IF('신청 원장'!N3194&gt;365,"366일 이상",IF('신청 원장'!N3194&gt;90,"91~365일",IF('신청 원장'!N3194&gt;30,"31~90일","0~30일")))))</x:f>
        <x:v>종결 상태 확인</x:v>
      </x:c>
      <x:c r="O442" s="2" t="str">
        <x:f>IF(OR('신청 원장'!L3194="",'신청 원장'!L3194="선택"),"담당 원문 확인","기재")</x:f>
        <x:v>담당 원문 확인</x:v>
      </x:c>
      <x:c r="P442" s="2" t="str">
        <x:f>IF('신청 원장'!A3194="","",'신청 원장'!A3194)</x:f>
        <x:v>cc0d00ec09fb6a8f2a688bc7</x:v>
      </x:c>
    </x:row>
    <x:row r="443" ht="42" customHeight="1">
      <x:c r="A443" s="2" t="str">
        <x:f>IF('신청 원장'!B3195="","",'신청 원장'!B3195)</x:f>
        <x:v>사업 비공개 신청</x:v>
      </x:c>
      <x:c r="B443" s="7" t="str">
        <x:f>IF('신청 원장'!D3195="","",'신청 원장'!D3195)</x:f>
        <x:v>삼성전자 경기도 LED 보안등 조명 교체 묶음 감축사업</x:v>
      </x:c>
      <x:c r="C443" s="2" t="str">
        <x:f>IF('신청 원장'!F3195="","",'신청 원장'!F3195)</x:f>
        <x:v>2017-08-07</x:v>
      </x:c>
      <x:c r="D443" s="2" t="str">
        <x:f>IF('신청 원장'!J3195="","",'신청 원장'!J3195)</x:f>
        <x:v>선택</x:v>
      </x:c>
      <x:c r="E443" s="2" t="str">
        <x:f>IF('신청 원장'!L3195="","",'신청 원장'!L3195)</x:f>
      </x:c>
      <x:c r="F443" s="2" t="str">
        <x:f>IF('신청 원장'!M3195="","",'신청 원장'!M3195)</x:f>
      </x:c>
      <x:c r="G443" s="2" t="n">
        <x:f>IF('신청 원장'!N3195="","",'신청 원장'!N3195)</x:f>
        <x:v>3356</x:v>
      </x:c>
      <x:c r="H443" s="2" t="str">
        <x:f>IF('신청 원장'!AA3195="","",'신청 원장'!AA3195)</x:f>
        <x:v>대상 아님</x:v>
      </x:c>
      <x:c r="I443" s="2" t="str">
        <x:f>IF('신청 원장'!O3195="","",'신청 원장'!O3195)</x:f>
      </x:c>
      <x:c r="J443" s="2" t="str">
        <x:f>IF('신청 원장'!W3195="","",'신청 원장'!W3195)</x:f>
        <x:v>담당기관 확인 / 종결 여부 확인</x:v>
      </x:c>
      <x:c r="K443" s="2" t="str">
        <x:f>IF('신청 원장'!X3195="","",'신청 원장'!X3195)</x:f>
        <x:v>원본·배정 기록 확인</x:v>
      </x:c>
      <x:c r="L443" s="2" t="str">
        <x:f>IF('신청 원장'!R3195="","",'신청 원장'!R3195)</x:f>
        <x:v>(비공개)국내평가</x:v>
      </x:c>
      <x:c r="M443" s="2" t="n">
        <x:f>IF('신청 원장'!S3195="","",'신청 원장'!S3195)</x:f>
        <x:v>103</x:v>
      </x:c>
      <x:c r="N443" s="2" t="str">
        <x:f>IF('신청 원장'!K3195&lt;&gt;"미종결 표시","종결 상태 확인",IF('신청 원장'!N3195="","일자 확인 필요",IF('신청 원장'!N3195&gt;365,"366일 이상",IF('신청 원장'!N3195&gt;90,"91~365일",IF('신청 원장'!N3195&gt;30,"31~90일","0~30일")))))</x:f>
        <x:v>종결 상태 확인</x:v>
      </x:c>
      <x:c r="O443" s="2" t="str">
        <x:f>IF(OR('신청 원장'!L3195="",'신청 원장'!L3195="선택"),"담당 원문 확인","기재")</x:f>
        <x:v>담당 원문 확인</x:v>
      </x:c>
      <x:c r="P443" s="2" t="str">
        <x:f>IF('신청 원장'!A3195="","",'신청 원장'!A3195)</x:f>
        <x:v>77cfe9f983f7e490d5b9d7a9</x:v>
      </x:c>
    </x:row>
    <x:row r="444" ht="42" customHeight="1">
      <x:c r="A444" s="2" t="str">
        <x:f>IF('신청 원장'!B3196="","",'신청 원장'!B3196)</x:f>
        <x:v>사업 비공개 신청</x:v>
      </x:c>
      <x:c r="B444" s="7" t="str">
        <x:f>IF('신청 원장'!D3196="","",'신청 원장'!D3196)</x:f>
        <x:v>㈜서대구에너지의 집단에너지 열공급시설에서 목질계 바이오매스 연료를 이용하여 생산된 열에너지 공급을 통한 수용가의 화석연료 사용량 절감사업</x:v>
      </x:c>
      <x:c r="C444" s="2" t="str">
        <x:f>IF('신청 원장'!F3196="","",'신청 원장'!F3196)</x:f>
        <x:v>2017-08-28</x:v>
      </x:c>
      <x:c r="D444" s="2" t="str">
        <x:f>IF('신청 원장'!J3196="","",'신청 원장'!J3196)</x:f>
        <x:v>보완요청</x:v>
      </x:c>
      <x:c r="E444" s="2" t="str">
        <x:f>IF('신청 원장'!L3196="","",'신청 원장'!L3196)</x:f>
      </x:c>
      <x:c r="F444" s="2" t="str">
        <x:f>IF('신청 원장'!M3196="","",'신청 원장'!M3196)</x:f>
      </x:c>
      <x:c r="G444" s="2" t="n">
        <x:f>IF('신청 원장'!N3196="","",'신청 원장'!N3196)</x:f>
        <x:v>3335</x:v>
      </x:c>
      <x:c r="H444" s="2" t="str">
        <x:f>IF('신청 원장'!AA3196="","",'신청 원장'!AA3196)</x:f>
        <x:v>내부 관찰 대상</x:v>
      </x:c>
      <x:c r="I444" s="2" t="str">
        <x:f>IF('신청 원장'!O3196="","",'신청 원장'!O3196)</x:f>
      </x:c>
      <x:c r="J444" s="2" t="str">
        <x:f>IF('신청 원장'!W3196="","",'신청 원장'!W3196)</x:f>
        <x:v>담당기관 확인</x:v>
      </x:c>
      <x:c r="K444" s="2" t="str">
        <x:f>IF('신청 원장'!X3196="","",'신청 원장'!X3196)</x:f>
        <x:v>원본·배정 기록 확인</x:v>
      </x:c>
      <x:c r="L444" s="2" t="str">
        <x:f>IF('신청 원장'!R3196="","",'신청 원장'!R3196)</x:f>
        <x:v>(비공개)국내평가</x:v>
      </x:c>
      <x:c r="M444" s="2" t="n">
        <x:f>IF('신청 원장'!S3196="","",'신청 원장'!S3196)</x:f>
        <x:v>104</x:v>
      </x:c>
      <x:c r="N444" s="2" t="str">
        <x:f>IF('신청 원장'!K3196&lt;&gt;"미종결 표시","종결 상태 확인",IF('신청 원장'!N3196="","일자 확인 필요",IF('신청 원장'!N3196&gt;365,"366일 이상",IF('신청 원장'!N3196&gt;90,"91~365일",IF('신청 원장'!N3196&gt;30,"31~90일","0~30일")))))</x:f>
        <x:v>366일 이상</x:v>
      </x:c>
      <x:c r="O444" s="2" t="str">
        <x:f>IF(OR('신청 원장'!L3196="",'신청 원장'!L3196="선택"),"담당 원문 확인","기재")</x:f>
        <x:v>담당 원문 확인</x:v>
      </x:c>
      <x:c r="P444" s="2" t="str">
        <x:f>IF('신청 원장'!A3196="","",'신청 원장'!A3196)</x:f>
        <x:v>d4b75d6d815839d8c80b36d6</x:v>
      </x:c>
    </x:row>
    <x:row r="445" ht="42" customHeight="1">
      <x:c r="A445" s="2" t="str">
        <x:f>IF('신청 원장'!B3197="","",'신청 원장'!B3197)</x:f>
        <x:v>사업 비공개 신청</x:v>
      </x:c>
      <x:c r="B445" s="7" t="str">
        <x:f>IF('신청 원장'!D3197="","",'신청 원장'!D3197)</x:f>
        <x:v>케이디파워텍 폐열활용 발전</x:v>
      </x:c>
      <x:c r="C445" s="2" t="str">
        <x:f>IF('신청 원장'!F3197="","",'신청 원장'!F3197)</x:f>
        <x:v>2017-08-25</x:v>
      </x:c>
      <x:c r="D445" s="2" t="str">
        <x:f>IF('신청 원장'!J3197="","",'신청 원장'!J3197)</x:f>
        <x:v>선택</x:v>
      </x:c>
      <x:c r="E445" s="2" t="str">
        <x:f>IF('신청 원장'!L3197="","",'신청 원장'!L3197)</x:f>
      </x:c>
      <x:c r="F445" s="2" t="str">
        <x:f>IF('신청 원장'!M3197="","",'신청 원장'!M3197)</x:f>
      </x:c>
      <x:c r="G445" s="2" t="n">
        <x:f>IF('신청 원장'!N3197="","",'신청 원장'!N3197)</x:f>
        <x:v>3338</x:v>
      </x:c>
      <x:c r="H445" s="2" t="str">
        <x:f>IF('신청 원장'!AA3197="","",'신청 원장'!AA3197)</x:f>
        <x:v>대상 아님</x:v>
      </x:c>
      <x:c r="I445" s="2" t="str">
        <x:f>IF('신청 원장'!O3197="","",'신청 원장'!O3197)</x:f>
      </x:c>
      <x:c r="J445" s="2" t="str">
        <x:f>IF('신청 원장'!W3197="","",'신청 원장'!W3197)</x:f>
        <x:v>담당기관 확인 / 종결 여부 확인</x:v>
      </x:c>
      <x:c r="K445" s="2" t="str">
        <x:f>IF('신청 원장'!X3197="","",'신청 원장'!X3197)</x:f>
        <x:v>원본·배정 기록 확인</x:v>
      </x:c>
      <x:c r="L445" s="2" t="str">
        <x:f>IF('신청 원장'!R3197="","",'신청 원장'!R3197)</x:f>
        <x:v>(비공개)국내평가</x:v>
      </x:c>
      <x:c r="M445" s="2" t="n">
        <x:f>IF('신청 원장'!S3197="","",'신청 원장'!S3197)</x:f>
        <x:v>105</x:v>
      </x:c>
      <x:c r="N445" s="2" t="str">
        <x:f>IF('신청 원장'!K3197&lt;&gt;"미종결 표시","종결 상태 확인",IF('신청 원장'!N3197="","일자 확인 필요",IF('신청 원장'!N3197&gt;365,"366일 이상",IF('신청 원장'!N3197&gt;90,"91~365일",IF('신청 원장'!N3197&gt;30,"31~90일","0~30일")))))</x:f>
        <x:v>종결 상태 확인</x:v>
      </x:c>
      <x:c r="O445" s="2" t="str">
        <x:f>IF(OR('신청 원장'!L3197="",'신청 원장'!L3197="선택"),"담당 원문 확인","기재")</x:f>
        <x:v>담당 원문 확인</x:v>
      </x:c>
      <x:c r="P445" s="2" t="str">
        <x:f>IF('신청 원장'!A3197="","",'신청 원장'!A3197)</x:f>
        <x:v>5f992b08b7261876714b16dc</x:v>
      </x:c>
    </x:row>
    <x:row r="446" ht="42" customHeight="1">
      <x:c r="A446" s="2" t="str">
        <x:f>IF('신청 원장'!B3198="","",'신청 원장'!B3198)</x:f>
        <x:v>사업 비공개 신청</x:v>
      </x:c>
      <x:c r="B446" s="7" t="str">
        <x:f>IF('신청 원장'!D3198="","",'신청 원장'!D3198)</x:f>
        <x:v>영진글로벌(주) 열풍기의 연료전환(이온정제유-&gt;LNG)을 통한 온실가스 배출 감축사업</x:v>
      </x:c>
      <x:c r="C446" s="2" t="str">
        <x:f>IF('신청 원장'!F3198="","",'신청 원장'!F3198)</x:f>
        <x:v>2017-08-11</x:v>
      </x:c>
      <x:c r="D446" s="2" t="str">
        <x:f>IF('신청 원장'!J3198="","",'신청 원장'!J3198)</x:f>
        <x:v>보완요청</x:v>
      </x:c>
      <x:c r="E446" s="2" t="str">
        <x:f>IF('신청 원장'!L3198="","",'신청 원장'!L3198)</x:f>
        <x:v>KECM_이태준</x:v>
      </x:c>
      <x:c r="F446" s="2" t="str">
        <x:f>IF('신청 원장'!M3198="","",'신청 원장'!M3198)</x:f>
      </x:c>
      <x:c r="G446" s="2" t="n">
        <x:f>IF('신청 원장'!N3198="","",'신청 원장'!N3198)</x:f>
        <x:v>3352</x:v>
      </x:c>
      <x:c r="H446" s="2" t="str">
        <x:f>IF('신청 원장'!AA3198="","",'신청 원장'!AA3198)</x:f>
        <x:v>내부 관찰 대상</x:v>
      </x:c>
      <x:c r="I446" s="2" t="str">
        <x:f>IF('신청 원장'!O3198="","",'신청 원장'!O3198)</x:f>
      </x:c>
      <x:c r="J446" s="2" t="str">
        <x:f>IF('신청 원장'!W3198="","",'신청 원장'!W3198)</x:f>
      </x:c>
      <x:c r="K446" s="2" t="str">
        <x:f>IF('신청 원장'!X3198="","",'신청 원장'!X3198)</x:f>
        <x:v>보완 회신 일정 확인</x:v>
      </x:c>
      <x:c r="L446" s="2" t="str">
        <x:f>IF('신청 원장'!R3198="","",'신청 원장'!R3198)</x:f>
        <x:v>(비공개)국내평가</x:v>
      </x:c>
      <x:c r="M446" s="2" t="n">
        <x:f>IF('신청 원장'!S3198="","",'신청 원장'!S3198)</x:f>
        <x:v>106</x:v>
      </x:c>
      <x:c r="N446" s="2" t="str">
        <x:f>IF('신청 원장'!K3198&lt;&gt;"미종결 표시","종결 상태 확인",IF('신청 원장'!N3198="","일자 확인 필요",IF('신청 원장'!N3198&gt;365,"366일 이상",IF('신청 원장'!N3198&gt;90,"91~365일",IF('신청 원장'!N3198&gt;30,"31~90일","0~30일")))))</x:f>
        <x:v>366일 이상</x:v>
      </x:c>
      <x:c r="O446" s="2" t="str">
        <x:f>IF(OR('신청 원장'!L3198="",'신청 원장'!L3198="선택"),"담당 원문 확인","기재")</x:f>
        <x:v>기재</x:v>
      </x:c>
      <x:c r="P446" s="2" t="str">
        <x:f>IF('신청 원장'!A3198="","",'신청 원장'!A3198)</x:f>
        <x:v>23c1b224380b180be7db5cea</x:v>
      </x:c>
    </x:row>
    <x:row r="447" ht="42" customHeight="1">
      <x:c r="A447" s="2" t="str">
        <x:f>IF('신청 원장'!B3199="","",'신청 원장'!B3199)</x:f>
        <x:v>사업 비공개 신청</x:v>
      </x:c>
      <x:c r="B447" s="7" t="str">
        <x:f>IF('신청 원장'!D3199="","",'신청 원장'!D3199)</x:f>
        <x:v>한국지역난방공사 대구지사 목질 바이오매스 열병합발전 프로젝트</x:v>
      </x:c>
      <x:c r="C447" s="2" t="str">
        <x:f>IF('신청 원장'!F3199="","",'신청 원장'!F3199)</x:f>
        <x:v>2017-04-21</x:v>
      </x:c>
      <x:c r="D447" s="2" t="str">
        <x:f>IF('신청 원장'!J3199="","",'신청 원장'!J3199)</x:f>
        <x:v>보완요청</x:v>
      </x:c>
      <x:c r="E447" s="2" t="str">
        <x:f>IF('신청 원장'!L3199="","",'신청 원장'!L3199)</x:f>
        <x:v>KECM_이태준</x:v>
      </x:c>
      <x:c r="F447" s="2" t="str">
        <x:f>IF('신청 원장'!M3199="","",'신청 원장'!M3199)</x:f>
      </x:c>
      <x:c r="G447" s="2" t="n">
        <x:f>IF('신청 원장'!N3199="","",'신청 원장'!N3199)</x:f>
        <x:v>3464</x:v>
      </x:c>
      <x:c r="H447" s="2" t="str">
        <x:f>IF('신청 원장'!AA3199="","",'신청 원장'!AA3199)</x:f>
        <x:v>내부 관찰 대상</x:v>
      </x:c>
      <x:c r="I447" s="2" t="str">
        <x:f>IF('신청 원장'!O3199="","",'신청 원장'!O3199)</x:f>
      </x:c>
      <x:c r="J447" s="2" t="str">
        <x:f>IF('신청 원장'!W3199="","",'신청 원장'!W3199)</x:f>
      </x:c>
      <x:c r="K447" s="2" t="str">
        <x:f>IF('신청 원장'!X3199="","",'신청 원장'!X3199)</x:f>
        <x:v>보완 회신 일정 확인</x:v>
      </x:c>
      <x:c r="L447" s="2" t="str">
        <x:f>IF('신청 원장'!R3199="","",'신청 원장'!R3199)</x:f>
        <x:v>(비공개)국내평가</x:v>
      </x:c>
      <x:c r="M447" s="2" t="n">
        <x:f>IF('신청 원장'!S3199="","",'신청 원장'!S3199)</x:f>
        <x:v>107</x:v>
      </x:c>
      <x:c r="N447" s="2" t="str">
        <x:f>IF('신청 원장'!K3199&lt;&gt;"미종결 표시","종결 상태 확인",IF('신청 원장'!N3199="","일자 확인 필요",IF('신청 원장'!N3199&gt;365,"366일 이상",IF('신청 원장'!N3199&gt;90,"91~365일",IF('신청 원장'!N3199&gt;30,"31~90일","0~30일")))))</x:f>
        <x:v>366일 이상</x:v>
      </x:c>
      <x:c r="O447" s="2" t="str">
        <x:f>IF(OR('신청 원장'!L3199="",'신청 원장'!L3199="선택"),"담당 원문 확인","기재")</x:f>
        <x:v>기재</x:v>
      </x:c>
      <x:c r="P447" s="2" t="str">
        <x:f>IF('신청 원장'!A3199="","",'신청 원장'!A3199)</x:f>
        <x:v>04d714766d8f5f266fcde01d</x:v>
      </x:c>
    </x:row>
    <x:row r="448" ht="42" customHeight="1">
      <x:c r="A448" s="2" t="str">
        <x:f>IF('신청 원장'!B3200="","",'신청 원장'!B3200)</x:f>
        <x:v>사업 비공개 신청</x:v>
      </x:c>
      <x:c r="B448" s="7" t="str">
        <x:f>IF('신청 원장'!D3200="","",'신청 원장'!D3200)</x:f>
        <x:v>(주)크레아 서산지점에서 건조공정의 연료를 LPG에서 도시가스(LNG)로 전환하는 사업</x:v>
      </x:c>
      <x:c r="C448" s="2" t="str">
        <x:f>IF('신청 원장'!F3200="","",'신청 원장'!F3200)</x:f>
        <x:v>2017-11-28</x:v>
      </x:c>
      <x:c r="D448" s="2" t="str">
        <x:f>IF('신청 원장'!J3200="","",'신청 원장'!J3200)</x:f>
        <x:v>보완요청</x:v>
      </x:c>
      <x:c r="E448" s="2" t="str">
        <x:f>IF('신청 원장'!L3200="","",'신청 원장'!L3200)</x:f>
        <x:v>KECM_이태준</x:v>
      </x:c>
      <x:c r="F448" s="2" t="str">
        <x:f>IF('신청 원장'!M3200="","",'신청 원장'!M3200)</x:f>
      </x:c>
      <x:c r="G448" s="2" t="n">
        <x:f>IF('신청 원장'!N3200="","",'신청 원장'!N3200)</x:f>
        <x:v>3243</x:v>
      </x:c>
      <x:c r="H448" s="2" t="str">
        <x:f>IF('신청 원장'!AA3200="","",'신청 원장'!AA3200)</x:f>
        <x:v>내부 관찰 대상</x:v>
      </x:c>
      <x:c r="I448" s="2" t="str">
        <x:f>IF('신청 원장'!O3200="","",'신청 원장'!O3200)</x:f>
      </x:c>
      <x:c r="J448" s="2" t="str">
        <x:f>IF('신청 원장'!W3200="","",'신청 원장'!W3200)</x:f>
      </x:c>
      <x:c r="K448" s="2" t="str">
        <x:f>IF('신청 원장'!X3200="","",'신청 원장'!X3200)</x:f>
        <x:v>보완 회신 일정 확인</x:v>
      </x:c>
      <x:c r="L448" s="2" t="str">
        <x:f>IF('신청 원장'!R3200="","",'신청 원장'!R3200)</x:f>
        <x:v>(비공개)국내평가</x:v>
      </x:c>
      <x:c r="M448" s="2" t="n">
        <x:f>IF('신청 원장'!S3200="","",'신청 원장'!S3200)</x:f>
        <x:v>108</x:v>
      </x:c>
      <x:c r="N448" s="2" t="str">
        <x:f>IF('신청 원장'!K3200&lt;&gt;"미종결 표시","종결 상태 확인",IF('신청 원장'!N3200="","일자 확인 필요",IF('신청 원장'!N3200&gt;365,"366일 이상",IF('신청 원장'!N3200&gt;90,"91~365일",IF('신청 원장'!N3200&gt;30,"31~90일","0~30일")))))</x:f>
        <x:v>366일 이상</x:v>
      </x:c>
      <x:c r="O448" s="2" t="str">
        <x:f>IF(OR('신청 원장'!L3200="",'신청 원장'!L3200="선택"),"담당 원문 확인","기재")</x:f>
        <x:v>기재</x:v>
      </x:c>
      <x:c r="P448" s="2" t="str">
        <x:f>IF('신청 원장'!A3200="","",'신청 원장'!A3200)</x:f>
        <x:v>4acc638c7bc1126a38410e01</x:v>
      </x:c>
    </x:row>
    <x:row r="449" ht="42" customHeight="1">
      <x:c r="A449" s="2" t="str">
        <x:f>IF('신청 원장'!B3210="","",'신청 원장'!B3210)</x:f>
        <x:v>사업 비공개 신청</x:v>
      </x:c>
      <x:c r="B449" s="7" t="str">
        <x:f>IF('신청 원장'!D3210="","",'신청 원장'!D3210)</x:f>
        <x:v>인도 청정에너지 기기 보급 사업 (PoA 9181-CPA 22)</x:v>
      </x:c>
      <x:c r="C449" s="2" t="str">
        <x:f>IF('신청 원장'!F3210="","",'신청 원장'!F3210)</x:f>
        <x:v>2020-12-10</x:v>
      </x:c>
      <x:c r="D449" s="2" t="str">
        <x:f>IF('신청 원장'!J3210="","",'신청 원장'!J3210)</x:f>
        <x:v>보완요청</x:v>
      </x:c>
      <x:c r="E449" s="2" t="str">
        <x:f>IF('신청 원장'!L3210="","",'신청 원장'!L3210)</x:f>
        <x:v>에코시안</x:v>
      </x:c>
      <x:c r="F449" s="2" t="str">
        <x:f>IF('신청 원장'!M3210="","",'신청 원장'!M3210)</x:f>
      </x:c>
      <x:c r="G449" s="2" t="n">
        <x:f>IF('신청 원장'!N3210="","",'신청 원장'!N3210)</x:f>
        <x:v>2135</x:v>
      </x:c>
      <x:c r="H449" s="2" t="str">
        <x:f>IF('신청 원장'!AA3210="","",'신청 원장'!AA3210)</x:f>
        <x:v>내부 관찰 대상</x:v>
      </x:c>
      <x:c r="I449" s="2" t="str">
        <x:f>IF('신청 원장'!O3210="","",'신청 원장'!O3210)</x:f>
      </x:c>
      <x:c r="J449" s="2" t="str">
        <x:f>IF('신청 원장'!W3210="","",'신청 원장'!W3210)</x:f>
      </x:c>
      <x:c r="K449" s="2" t="str">
        <x:f>IF('신청 원장'!X3210="","",'신청 원장'!X3210)</x:f>
        <x:v>보완 회신 일정 확인</x:v>
      </x:c>
      <x:c r="L449" s="2" t="str">
        <x:f>IF('신청 원장'!R3210="","",'신청 원장'!R3210)</x:f>
        <x:v>(비공개)국외평가</x:v>
      </x:c>
      <x:c r="M449" s="2" t="n">
        <x:f>IF('신청 원장'!S3210="","",'신청 원장'!S3210)</x:f>
        <x:v>11</x:v>
      </x:c>
      <x:c r="N449" s="2" t="str">
        <x:f>IF('신청 원장'!K3210&lt;&gt;"미종결 표시","종결 상태 확인",IF('신청 원장'!N3210="","일자 확인 필요",IF('신청 원장'!N3210&gt;365,"366일 이상",IF('신청 원장'!N3210&gt;90,"91~365일",IF('신청 원장'!N3210&gt;30,"31~90일","0~30일")))))</x:f>
        <x:v>366일 이상</x:v>
      </x:c>
      <x:c r="O449" s="2" t="str">
        <x:f>IF(OR('신청 원장'!L3210="",'신청 원장'!L3210="선택"),"담당 원문 확인","기재")</x:f>
        <x:v>기재</x:v>
      </x:c>
      <x:c r="P449" s="2" t="str">
        <x:f>IF('신청 원장'!A3210="","",'신청 원장'!A3210)</x:f>
        <x:v>533bc13e728c16d804b509ef</x:v>
      </x:c>
    </x:row>
    <x:row r="450" ht="42" customHeight="1">
      <x:c r="A450" s="2" t="str">
        <x:f>IF('신청 원장'!B3211="","",'신청 원장'!B3211)</x:f>
        <x:v>사업 비공개 신청</x:v>
      </x:c>
      <x:c r="B450" s="7" t="str">
        <x:f>IF('신청 원장'!D3211="","",'신청 원장'!D3211)</x:f>
        <x:v>인도 청정에너지 기기 보급 사업 (PoA 9181-CPA 20)</x:v>
      </x:c>
      <x:c r="C450" s="2" t="str">
        <x:f>IF('신청 원장'!F3211="","",'신청 원장'!F3211)</x:f>
        <x:v>2020-12-10</x:v>
      </x:c>
      <x:c r="D450" s="2" t="str">
        <x:f>IF('신청 원장'!J3211="","",'신청 원장'!J3211)</x:f>
        <x:v>보완요청</x:v>
      </x:c>
      <x:c r="E450" s="2" t="str">
        <x:f>IF('신청 원장'!L3211="","",'신청 원장'!L3211)</x:f>
        <x:v>에코시안</x:v>
      </x:c>
      <x:c r="F450" s="2" t="str">
        <x:f>IF('신청 원장'!M3211="","",'신청 원장'!M3211)</x:f>
      </x:c>
      <x:c r="G450" s="2" t="n">
        <x:f>IF('신청 원장'!N3211="","",'신청 원장'!N3211)</x:f>
        <x:v>2135</x:v>
      </x:c>
      <x:c r="H450" s="2" t="str">
        <x:f>IF('신청 원장'!AA3211="","",'신청 원장'!AA3211)</x:f>
        <x:v>내부 관찰 대상</x:v>
      </x:c>
      <x:c r="I450" s="2" t="str">
        <x:f>IF('신청 원장'!O3211="","",'신청 원장'!O3211)</x:f>
      </x:c>
      <x:c r="J450" s="2" t="str">
        <x:f>IF('신청 원장'!W3211="","",'신청 원장'!W3211)</x:f>
      </x:c>
      <x:c r="K450" s="2" t="str">
        <x:f>IF('신청 원장'!X3211="","",'신청 원장'!X3211)</x:f>
        <x:v>보완 회신 일정 확인</x:v>
      </x:c>
      <x:c r="L450" s="2" t="str">
        <x:f>IF('신청 원장'!R3211="","",'신청 원장'!R3211)</x:f>
        <x:v>(비공개)국외평가</x:v>
      </x:c>
      <x:c r="M450" s="2" t="n">
        <x:f>IF('신청 원장'!S3211="","",'신청 원장'!S3211)</x:f>
        <x:v>12</x:v>
      </x:c>
      <x:c r="N450" s="2" t="str">
        <x:f>IF('신청 원장'!K3211&lt;&gt;"미종결 표시","종결 상태 확인",IF('신청 원장'!N3211="","일자 확인 필요",IF('신청 원장'!N3211&gt;365,"366일 이상",IF('신청 원장'!N3211&gt;90,"91~365일",IF('신청 원장'!N3211&gt;30,"31~90일","0~30일")))))</x:f>
        <x:v>366일 이상</x:v>
      </x:c>
      <x:c r="O450" s="2" t="str">
        <x:f>IF(OR('신청 원장'!L3211="",'신청 원장'!L3211="선택"),"담당 원문 확인","기재")</x:f>
        <x:v>기재</x:v>
      </x:c>
      <x:c r="P450" s="2" t="str">
        <x:f>IF('신청 원장'!A3211="","",'신청 원장'!A3211)</x:f>
        <x:v>545b7e64c4a70c5b6a09236e</x:v>
      </x:c>
    </x:row>
    <x:row r="451" ht="42" customHeight="1">
      <x:c r="A451" s="2" t="str">
        <x:f>IF('신청 원장'!B3212="","",'신청 원장'!B3212)</x:f>
        <x:v>사업 비공개 신청</x:v>
      </x:c>
      <x:c r="B451" s="7" t="str">
        <x:f>IF('신청 원장'!D3212="","",'신청 원장'!D3212)</x:f>
        <x:v>인도 청정에너지 기기 보급 사업 (PoA 9181-CPA 19)</x:v>
      </x:c>
      <x:c r="C451" s="2" t="str">
        <x:f>IF('신청 원장'!F3212="","",'신청 원장'!F3212)</x:f>
        <x:v>2020-12-10</x:v>
      </x:c>
      <x:c r="D451" s="2" t="str">
        <x:f>IF('신청 원장'!J3212="","",'신청 원장'!J3212)</x:f>
        <x:v>보완요청</x:v>
      </x:c>
      <x:c r="E451" s="2" t="str">
        <x:f>IF('신청 원장'!L3212="","",'신청 원장'!L3212)</x:f>
        <x:v>에코시안</x:v>
      </x:c>
      <x:c r="F451" s="2" t="str">
        <x:f>IF('신청 원장'!M3212="","",'신청 원장'!M3212)</x:f>
      </x:c>
      <x:c r="G451" s="2" t="n">
        <x:f>IF('신청 원장'!N3212="","",'신청 원장'!N3212)</x:f>
        <x:v>2135</x:v>
      </x:c>
      <x:c r="H451" s="2" t="str">
        <x:f>IF('신청 원장'!AA3212="","",'신청 원장'!AA3212)</x:f>
        <x:v>내부 관찰 대상</x:v>
      </x:c>
      <x:c r="I451" s="2" t="str">
        <x:f>IF('신청 원장'!O3212="","",'신청 원장'!O3212)</x:f>
      </x:c>
      <x:c r="J451" s="2" t="str">
        <x:f>IF('신청 원장'!W3212="","",'신청 원장'!W3212)</x:f>
      </x:c>
      <x:c r="K451" s="2" t="str">
        <x:f>IF('신청 원장'!X3212="","",'신청 원장'!X3212)</x:f>
        <x:v>보완 회신 일정 확인</x:v>
      </x:c>
      <x:c r="L451" s="2" t="str">
        <x:f>IF('신청 원장'!R3212="","",'신청 원장'!R3212)</x:f>
        <x:v>(비공개)국외평가</x:v>
      </x:c>
      <x:c r="M451" s="2" t="n">
        <x:f>IF('신청 원장'!S3212="","",'신청 원장'!S3212)</x:f>
        <x:v>13</x:v>
      </x:c>
      <x:c r="N451" s="2" t="str">
        <x:f>IF('신청 원장'!K3212&lt;&gt;"미종결 표시","종결 상태 확인",IF('신청 원장'!N3212="","일자 확인 필요",IF('신청 원장'!N3212&gt;365,"366일 이상",IF('신청 원장'!N3212&gt;90,"91~365일",IF('신청 원장'!N3212&gt;30,"31~90일","0~30일")))))</x:f>
        <x:v>366일 이상</x:v>
      </x:c>
      <x:c r="O451" s="2" t="str">
        <x:f>IF(OR('신청 원장'!L3212="",'신청 원장'!L3212="선택"),"담당 원문 확인","기재")</x:f>
        <x:v>기재</x:v>
      </x:c>
      <x:c r="P451" s="2" t="str">
        <x:f>IF('신청 원장'!A3212="","",'신청 원장'!A3212)</x:f>
        <x:v>c85313f0420422bd3593ae0e</x:v>
      </x:c>
    </x:row>
    <x:row r="452" ht="42" customHeight="1">
      <x:c r="A452" s="2" t="str">
        <x:f>IF('신청 원장'!B3213="","",'신청 원장'!B3213)</x:f>
        <x:v>사업 비공개 신청</x:v>
      </x:c>
      <x:c r="B452" s="7" t="str">
        <x:f>IF('신청 원장'!D3213="","",'신청 원장'!D3213)</x:f>
        <x:v>인도 청정에너지 기기 보급 사업 (PoA 9181-CPA 23)</x:v>
      </x:c>
      <x:c r="C452" s="2" t="str">
        <x:f>IF('신청 원장'!F3213="","",'신청 원장'!F3213)</x:f>
        <x:v>2020-12-10</x:v>
      </x:c>
      <x:c r="D452" s="2" t="str">
        <x:f>IF('신청 원장'!J3213="","",'신청 원장'!J3213)</x:f>
        <x:v>보완요청</x:v>
      </x:c>
      <x:c r="E452" s="2" t="str">
        <x:f>IF('신청 원장'!L3213="","",'신청 원장'!L3213)</x:f>
        <x:v>에코시안</x:v>
      </x:c>
      <x:c r="F452" s="2" t="str">
        <x:f>IF('신청 원장'!M3213="","",'신청 원장'!M3213)</x:f>
      </x:c>
      <x:c r="G452" s="2" t="n">
        <x:f>IF('신청 원장'!N3213="","",'신청 원장'!N3213)</x:f>
        <x:v>2135</x:v>
      </x:c>
      <x:c r="H452" s="2" t="str">
        <x:f>IF('신청 원장'!AA3213="","",'신청 원장'!AA3213)</x:f>
        <x:v>내부 관찰 대상</x:v>
      </x:c>
      <x:c r="I452" s="2" t="str">
        <x:f>IF('신청 원장'!O3213="","",'신청 원장'!O3213)</x:f>
      </x:c>
      <x:c r="J452" s="2" t="str">
        <x:f>IF('신청 원장'!W3213="","",'신청 원장'!W3213)</x:f>
      </x:c>
      <x:c r="K452" s="2" t="str">
        <x:f>IF('신청 원장'!X3213="","",'신청 원장'!X3213)</x:f>
        <x:v>보완 회신 일정 확인</x:v>
      </x:c>
      <x:c r="L452" s="2" t="str">
        <x:f>IF('신청 원장'!R3213="","",'신청 원장'!R3213)</x:f>
        <x:v>(비공개)국외평가</x:v>
      </x:c>
      <x:c r="M452" s="2" t="n">
        <x:f>IF('신청 원장'!S3213="","",'신청 원장'!S3213)</x:f>
        <x:v>14</x:v>
      </x:c>
      <x:c r="N452" s="2" t="str">
        <x:f>IF('신청 원장'!K3213&lt;&gt;"미종결 표시","종결 상태 확인",IF('신청 원장'!N3213="","일자 확인 필요",IF('신청 원장'!N3213&gt;365,"366일 이상",IF('신청 원장'!N3213&gt;90,"91~365일",IF('신청 원장'!N3213&gt;30,"31~90일","0~30일")))))</x:f>
        <x:v>366일 이상</x:v>
      </x:c>
      <x:c r="O452" s="2" t="str">
        <x:f>IF(OR('신청 원장'!L3213="",'신청 원장'!L3213="선택"),"담당 원문 확인","기재")</x:f>
        <x:v>기재</x:v>
      </x:c>
      <x:c r="P452" s="2" t="str">
        <x:f>IF('신청 원장'!A3213="","",'신청 원장'!A3213)</x:f>
        <x:v>0bfc9d8ef321597753624025</x:v>
      </x:c>
    </x:row>
    <x:row r="453" ht="42" customHeight="1">
      <x:c r="A453" s="2" t="str">
        <x:f>IF('신청 원장'!B3214="","",'신청 원장'!B3214)</x:f>
        <x:v>사업 비공개 신청</x:v>
      </x:c>
      <x:c r="B453" s="7" t="str">
        <x:f>IF('신청 원장'!D3214="","",'신청 원장'!D3214)</x:f>
        <x:v>인도 청정에너지 기기 보급 사업 (PoA 9181-CPA 21)</x:v>
      </x:c>
      <x:c r="C453" s="2" t="str">
        <x:f>IF('신청 원장'!F3214="","",'신청 원장'!F3214)</x:f>
        <x:v>2020-12-10</x:v>
      </x:c>
      <x:c r="D453" s="2" t="str">
        <x:f>IF('신청 원장'!J3214="","",'신청 원장'!J3214)</x:f>
        <x:v>보완요청</x:v>
      </x:c>
      <x:c r="E453" s="2" t="str">
        <x:f>IF('신청 원장'!L3214="","",'신청 원장'!L3214)</x:f>
        <x:v>에코시안</x:v>
      </x:c>
      <x:c r="F453" s="2" t="str">
        <x:f>IF('신청 원장'!M3214="","",'신청 원장'!M3214)</x:f>
      </x:c>
      <x:c r="G453" s="2" t="n">
        <x:f>IF('신청 원장'!N3214="","",'신청 원장'!N3214)</x:f>
        <x:v>2135</x:v>
      </x:c>
      <x:c r="H453" s="2" t="str">
        <x:f>IF('신청 원장'!AA3214="","",'신청 원장'!AA3214)</x:f>
        <x:v>내부 관찰 대상</x:v>
      </x:c>
      <x:c r="I453" s="2" t="str">
        <x:f>IF('신청 원장'!O3214="","",'신청 원장'!O3214)</x:f>
      </x:c>
      <x:c r="J453" s="2" t="str">
        <x:f>IF('신청 원장'!W3214="","",'신청 원장'!W3214)</x:f>
      </x:c>
      <x:c r="K453" s="2" t="str">
        <x:f>IF('신청 원장'!X3214="","",'신청 원장'!X3214)</x:f>
        <x:v>보완 회신 일정 확인</x:v>
      </x:c>
      <x:c r="L453" s="2" t="str">
        <x:f>IF('신청 원장'!R3214="","",'신청 원장'!R3214)</x:f>
        <x:v>(비공개)국외평가</x:v>
      </x:c>
      <x:c r="M453" s="2" t="n">
        <x:f>IF('신청 원장'!S3214="","",'신청 원장'!S3214)</x:f>
        <x:v>15</x:v>
      </x:c>
      <x:c r="N453" s="2" t="str">
        <x:f>IF('신청 원장'!K3214&lt;&gt;"미종결 표시","종결 상태 확인",IF('신청 원장'!N3214="","일자 확인 필요",IF('신청 원장'!N3214&gt;365,"366일 이상",IF('신청 원장'!N3214&gt;90,"91~365일",IF('신청 원장'!N3214&gt;30,"31~90일","0~30일")))))</x:f>
        <x:v>366일 이상</x:v>
      </x:c>
      <x:c r="O453" s="2" t="str">
        <x:f>IF(OR('신청 원장'!L3214="",'신청 원장'!L3214="선택"),"담당 원문 확인","기재")</x:f>
        <x:v>기재</x:v>
      </x:c>
      <x:c r="P453" s="2" t="str">
        <x:f>IF('신청 원장'!A3214="","",'신청 원장'!A3214)</x:f>
        <x:v>d6c4e4a89d971c69eec84d9b</x:v>
      </x:c>
    </x:row>
    <x:row r="454" ht="42" customHeight="1">
      <x:c r="A454" s="2" t="str">
        <x:f>IF('신청 원장'!B3215="","",'신청 원장'!B3215)</x:f>
        <x:v>사업 비공개 신청</x:v>
      </x:c>
      <x:c r="B454" s="7" t="str">
        <x:f>IF('신청 원장'!D3215="","",'신청 원장'!D3215)</x:f>
        <x:v>인도 청정에너지 기기 보급 사업 (PoA 9181-CPA 24)</x:v>
      </x:c>
      <x:c r="C454" s="2" t="str">
        <x:f>IF('신청 원장'!F3215="","",'신청 원장'!F3215)</x:f>
        <x:v>2020-12-10</x:v>
      </x:c>
      <x:c r="D454" s="2" t="str">
        <x:f>IF('신청 원장'!J3215="","",'신청 원장'!J3215)</x:f>
        <x:v>보완요청</x:v>
      </x:c>
      <x:c r="E454" s="2" t="str">
        <x:f>IF('신청 원장'!L3215="","",'신청 원장'!L3215)</x:f>
        <x:v>에코시안</x:v>
      </x:c>
      <x:c r="F454" s="2" t="str">
        <x:f>IF('신청 원장'!M3215="","",'신청 원장'!M3215)</x:f>
      </x:c>
      <x:c r="G454" s="2" t="n">
        <x:f>IF('신청 원장'!N3215="","",'신청 원장'!N3215)</x:f>
        <x:v>2135</x:v>
      </x:c>
      <x:c r="H454" s="2" t="str">
        <x:f>IF('신청 원장'!AA3215="","",'신청 원장'!AA3215)</x:f>
        <x:v>내부 관찰 대상</x:v>
      </x:c>
      <x:c r="I454" s="2" t="str">
        <x:f>IF('신청 원장'!O3215="","",'신청 원장'!O3215)</x:f>
      </x:c>
      <x:c r="J454" s="2" t="str">
        <x:f>IF('신청 원장'!W3215="","",'신청 원장'!W3215)</x:f>
      </x:c>
      <x:c r="K454" s="2" t="str">
        <x:f>IF('신청 원장'!X3215="","",'신청 원장'!X3215)</x:f>
        <x:v>보완 회신 일정 확인</x:v>
      </x:c>
      <x:c r="L454" s="2" t="str">
        <x:f>IF('신청 원장'!R3215="","",'신청 원장'!R3215)</x:f>
        <x:v>(비공개)국외평가</x:v>
      </x:c>
      <x:c r="M454" s="2" t="n">
        <x:f>IF('신청 원장'!S3215="","",'신청 원장'!S3215)</x:f>
        <x:v>16</x:v>
      </x:c>
      <x:c r="N454" s="2" t="str">
        <x:f>IF('신청 원장'!K3215&lt;&gt;"미종결 표시","종결 상태 확인",IF('신청 원장'!N3215="","일자 확인 필요",IF('신청 원장'!N3215&gt;365,"366일 이상",IF('신청 원장'!N3215&gt;90,"91~365일",IF('신청 원장'!N3215&gt;30,"31~90일","0~30일")))))</x:f>
        <x:v>366일 이상</x:v>
      </x:c>
      <x:c r="O454" s="2" t="str">
        <x:f>IF(OR('신청 원장'!L3215="",'신청 원장'!L3215="선택"),"담당 원문 확인","기재")</x:f>
        <x:v>기재</x:v>
      </x:c>
      <x:c r="P454" s="2" t="str">
        <x:f>IF('신청 원장'!A3215="","",'신청 원장'!A3215)</x:f>
        <x:v>449f372fd5594bb1c200fbc5</x:v>
      </x:c>
    </x:row>
    <x:row r="455" ht="42" customHeight="1">
      <x:c r="A455" s="2" t="str">
        <x:f>IF('신청 원장'!B3216="","",'신청 원장'!B3216)</x:f>
        <x:v>사업 비공개 신청</x:v>
      </x:c>
      <x:c r="B455" s="7" t="str">
        <x:f>IF('신청 원장'!D3216="","",'신청 원장'!D3216)</x:f>
        <x:v>인도 청정에너지 기기 보급 사업 (PoA 9181-CPA 25)</x:v>
      </x:c>
      <x:c r="C455" s="2" t="str">
        <x:f>IF('신청 원장'!F3216="","",'신청 원장'!F3216)</x:f>
        <x:v>2020-12-10</x:v>
      </x:c>
      <x:c r="D455" s="2" t="str">
        <x:f>IF('신청 원장'!J3216="","",'신청 원장'!J3216)</x:f>
        <x:v>보완요청</x:v>
      </x:c>
      <x:c r="E455" s="2" t="str">
        <x:f>IF('신청 원장'!L3216="","",'신청 원장'!L3216)</x:f>
        <x:v>에코시안</x:v>
      </x:c>
      <x:c r="F455" s="2" t="str">
        <x:f>IF('신청 원장'!M3216="","",'신청 원장'!M3216)</x:f>
      </x:c>
      <x:c r="G455" s="2" t="n">
        <x:f>IF('신청 원장'!N3216="","",'신청 원장'!N3216)</x:f>
        <x:v>2135</x:v>
      </x:c>
      <x:c r="H455" s="2" t="str">
        <x:f>IF('신청 원장'!AA3216="","",'신청 원장'!AA3216)</x:f>
        <x:v>내부 관찰 대상</x:v>
      </x:c>
      <x:c r="I455" s="2" t="str">
        <x:f>IF('신청 원장'!O3216="","",'신청 원장'!O3216)</x:f>
      </x:c>
      <x:c r="J455" s="2" t="str">
        <x:f>IF('신청 원장'!W3216="","",'신청 원장'!W3216)</x:f>
      </x:c>
      <x:c r="K455" s="2" t="str">
        <x:f>IF('신청 원장'!X3216="","",'신청 원장'!X3216)</x:f>
        <x:v>보완 회신 일정 확인</x:v>
      </x:c>
      <x:c r="L455" s="2" t="str">
        <x:f>IF('신청 원장'!R3216="","",'신청 원장'!R3216)</x:f>
        <x:v>(비공개)국외평가</x:v>
      </x:c>
      <x:c r="M455" s="2" t="n">
        <x:f>IF('신청 원장'!S3216="","",'신청 원장'!S3216)</x:f>
        <x:v>17</x:v>
      </x:c>
      <x:c r="N455" s="2" t="str">
        <x:f>IF('신청 원장'!K3216&lt;&gt;"미종결 표시","종결 상태 확인",IF('신청 원장'!N3216="","일자 확인 필요",IF('신청 원장'!N3216&gt;365,"366일 이상",IF('신청 원장'!N3216&gt;90,"91~365일",IF('신청 원장'!N3216&gt;30,"31~90일","0~30일")))))</x:f>
        <x:v>366일 이상</x:v>
      </x:c>
      <x:c r="O455" s="2" t="str">
        <x:f>IF(OR('신청 원장'!L3216="",'신청 원장'!L3216="선택"),"담당 원문 확인","기재")</x:f>
        <x:v>기재</x:v>
      </x:c>
      <x:c r="P455" s="2" t="str">
        <x:f>IF('신청 원장'!A3216="","",'신청 원장'!A3216)</x:f>
        <x:v>476c40361a016f8d8f48a67d</x:v>
      </x:c>
    </x:row>
    <x:row r="456" ht="42" customHeight="1">
      <x:c r="A456" s="2" t="str">
        <x:f>IF('신청 원장'!B3217="","",'신청 원장'!B3217)</x:f>
        <x:v>사업 비공개 신청</x:v>
      </x:c>
      <x:c r="B456" s="7" t="str">
        <x:f>IF('신청 원장'!D3217="","",'신청 원장'!D3217)</x:f>
        <x:v>인도 청정에너지 기기 보급 사업 (PoA 9181-CPA 26)</x:v>
      </x:c>
      <x:c r="C456" s="2" t="str">
        <x:f>IF('신청 원장'!F3217="","",'신청 원장'!F3217)</x:f>
        <x:v>2020-12-10</x:v>
      </x:c>
      <x:c r="D456" s="2" t="str">
        <x:f>IF('신청 원장'!J3217="","",'신청 원장'!J3217)</x:f>
        <x:v>보완요청</x:v>
      </x:c>
      <x:c r="E456" s="2" t="str">
        <x:f>IF('신청 원장'!L3217="","",'신청 원장'!L3217)</x:f>
        <x:v>에코시안</x:v>
      </x:c>
      <x:c r="F456" s="2" t="str">
        <x:f>IF('신청 원장'!M3217="","",'신청 원장'!M3217)</x:f>
      </x:c>
      <x:c r="G456" s="2" t="n">
        <x:f>IF('신청 원장'!N3217="","",'신청 원장'!N3217)</x:f>
        <x:v>2135</x:v>
      </x:c>
      <x:c r="H456" s="2" t="str">
        <x:f>IF('신청 원장'!AA3217="","",'신청 원장'!AA3217)</x:f>
        <x:v>내부 관찰 대상</x:v>
      </x:c>
      <x:c r="I456" s="2" t="str">
        <x:f>IF('신청 원장'!O3217="","",'신청 원장'!O3217)</x:f>
      </x:c>
      <x:c r="J456" s="2" t="str">
        <x:f>IF('신청 원장'!W3217="","",'신청 원장'!W3217)</x:f>
      </x:c>
      <x:c r="K456" s="2" t="str">
        <x:f>IF('신청 원장'!X3217="","",'신청 원장'!X3217)</x:f>
        <x:v>보완 회신 일정 확인</x:v>
      </x:c>
      <x:c r="L456" s="2" t="str">
        <x:f>IF('신청 원장'!R3217="","",'신청 원장'!R3217)</x:f>
        <x:v>(비공개)국외평가</x:v>
      </x:c>
      <x:c r="M456" s="2" t="n">
        <x:f>IF('신청 원장'!S3217="","",'신청 원장'!S3217)</x:f>
        <x:v>18</x:v>
      </x:c>
      <x:c r="N456" s="2" t="str">
        <x:f>IF('신청 원장'!K3217&lt;&gt;"미종결 표시","종결 상태 확인",IF('신청 원장'!N3217="","일자 확인 필요",IF('신청 원장'!N3217&gt;365,"366일 이상",IF('신청 원장'!N3217&gt;90,"91~365일",IF('신청 원장'!N3217&gt;30,"31~90일","0~30일")))))</x:f>
        <x:v>366일 이상</x:v>
      </x:c>
      <x:c r="O456" s="2" t="str">
        <x:f>IF(OR('신청 원장'!L3217="",'신청 원장'!L3217="선택"),"담당 원문 확인","기재")</x:f>
        <x:v>기재</x:v>
      </x:c>
      <x:c r="P456" s="2" t="str">
        <x:f>IF('신청 원장'!A3217="","",'신청 원장'!A3217)</x:f>
        <x:v>a2e8b9a8b85f1ee9a5c87cb3</x:v>
      </x:c>
    </x:row>
    <x:row r="457" ht="42" customHeight="1">
      <x:c r="A457" s="2" t="str">
        <x:f>IF('신청 원장'!B3218="","",'신청 원장'!B3218)</x:f>
        <x:v>사업 비공개 신청</x:v>
      </x:c>
      <x:c r="B457" s="7" t="str">
        <x:f>IF('신청 원장'!D3218="","",'신청 원장'!D3218)</x:f>
        <x:v>인도 청정에너지 기기 보급 사업 (PoA 9181-CPA 27)</x:v>
      </x:c>
      <x:c r="C457" s="2" t="str">
        <x:f>IF('신청 원장'!F3218="","",'신청 원장'!F3218)</x:f>
        <x:v>2020-12-10</x:v>
      </x:c>
      <x:c r="D457" s="2" t="str">
        <x:f>IF('신청 원장'!J3218="","",'신청 원장'!J3218)</x:f>
        <x:v>보완요청</x:v>
      </x:c>
      <x:c r="E457" s="2" t="str">
        <x:f>IF('신청 원장'!L3218="","",'신청 원장'!L3218)</x:f>
        <x:v>에코시안</x:v>
      </x:c>
      <x:c r="F457" s="2" t="str">
        <x:f>IF('신청 원장'!M3218="","",'신청 원장'!M3218)</x:f>
      </x:c>
      <x:c r="G457" s="2" t="n">
        <x:f>IF('신청 원장'!N3218="","",'신청 원장'!N3218)</x:f>
        <x:v>2135</x:v>
      </x:c>
      <x:c r="H457" s="2" t="str">
        <x:f>IF('신청 원장'!AA3218="","",'신청 원장'!AA3218)</x:f>
        <x:v>내부 관찰 대상</x:v>
      </x:c>
      <x:c r="I457" s="2" t="str">
        <x:f>IF('신청 원장'!O3218="","",'신청 원장'!O3218)</x:f>
      </x:c>
      <x:c r="J457" s="2" t="str">
        <x:f>IF('신청 원장'!W3218="","",'신청 원장'!W3218)</x:f>
      </x:c>
      <x:c r="K457" s="2" t="str">
        <x:f>IF('신청 원장'!X3218="","",'신청 원장'!X3218)</x:f>
        <x:v>보완 회신 일정 확인</x:v>
      </x:c>
      <x:c r="L457" s="2" t="str">
        <x:f>IF('신청 원장'!R3218="","",'신청 원장'!R3218)</x:f>
        <x:v>(비공개)국외평가</x:v>
      </x:c>
      <x:c r="M457" s="2" t="n">
        <x:f>IF('신청 원장'!S3218="","",'신청 원장'!S3218)</x:f>
        <x:v>19</x:v>
      </x:c>
      <x:c r="N457" s="2" t="str">
        <x:f>IF('신청 원장'!K3218&lt;&gt;"미종결 표시","종결 상태 확인",IF('신청 원장'!N3218="","일자 확인 필요",IF('신청 원장'!N3218&gt;365,"366일 이상",IF('신청 원장'!N3218&gt;90,"91~365일",IF('신청 원장'!N3218&gt;30,"31~90일","0~30일")))))</x:f>
        <x:v>366일 이상</x:v>
      </x:c>
      <x:c r="O457" s="2" t="str">
        <x:f>IF(OR('신청 원장'!L3218="",'신청 원장'!L3218="선택"),"담당 원문 확인","기재")</x:f>
        <x:v>기재</x:v>
      </x:c>
      <x:c r="P457" s="2" t="str">
        <x:f>IF('신청 원장'!A3218="","",'신청 원장'!A3218)</x:f>
        <x:v>9ecd4b39b49841f35f44be14</x:v>
      </x:c>
    </x:row>
    <x:row r="458" ht="42" customHeight="1">
      <x:c r="A458" s="2" t="str">
        <x:f>IF('신청 원장'!B3219="","",'신청 원장'!B3219)</x:f>
        <x:v>사업 비공개 신청</x:v>
      </x:c>
      <x:c r="B458" s="7" t="str">
        <x:f>IF('신청 원장'!D3219="","",'신청 원장'!D3219)</x:f>
        <x:v>인도 청정에너지 기기 보급 사업 (PoA 9181-CPA 28)</x:v>
      </x:c>
      <x:c r="C458" s="2" t="str">
        <x:f>IF('신청 원장'!F3219="","",'신청 원장'!F3219)</x:f>
        <x:v>2020-12-10</x:v>
      </x:c>
      <x:c r="D458" s="2" t="str">
        <x:f>IF('신청 원장'!J3219="","",'신청 원장'!J3219)</x:f>
        <x:v>보완요청</x:v>
      </x:c>
      <x:c r="E458" s="2" t="str">
        <x:f>IF('신청 원장'!L3219="","",'신청 원장'!L3219)</x:f>
        <x:v>에코시안</x:v>
      </x:c>
      <x:c r="F458" s="2" t="str">
        <x:f>IF('신청 원장'!M3219="","",'신청 원장'!M3219)</x:f>
      </x:c>
      <x:c r="G458" s="2" t="n">
        <x:f>IF('신청 원장'!N3219="","",'신청 원장'!N3219)</x:f>
        <x:v>2135</x:v>
      </x:c>
      <x:c r="H458" s="2" t="str">
        <x:f>IF('신청 원장'!AA3219="","",'신청 원장'!AA3219)</x:f>
        <x:v>내부 관찰 대상</x:v>
      </x:c>
      <x:c r="I458" s="2" t="str">
        <x:f>IF('신청 원장'!O3219="","",'신청 원장'!O3219)</x:f>
      </x:c>
      <x:c r="J458" s="2" t="str">
        <x:f>IF('신청 원장'!W3219="","",'신청 원장'!W3219)</x:f>
      </x:c>
      <x:c r="K458" s="2" t="str">
        <x:f>IF('신청 원장'!X3219="","",'신청 원장'!X3219)</x:f>
        <x:v>보완 회신 일정 확인</x:v>
      </x:c>
      <x:c r="L458" s="2" t="str">
        <x:f>IF('신청 원장'!R3219="","",'신청 원장'!R3219)</x:f>
        <x:v>(비공개)국외평가</x:v>
      </x:c>
      <x:c r="M458" s="2" t="n">
        <x:f>IF('신청 원장'!S3219="","",'신청 원장'!S3219)</x:f>
        <x:v>20</x:v>
      </x:c>
      <x:c r="N458" s="2" t="str">
        <x:f>IF('신청 원장'!K3219&lt;&gt;"미종결 표시","종결 상태 확인",IF('신청 원장'!N3219="","일자 확인 필요",IF('신청 원장'!N3219&gt;365,"366일 이상",IF('신청 원장'!N3219&gt;90,"91~365일",IF('신청 원장'!N3219&gt;30,"31~90일","0~30일")))))</x:f>
        <x:v>366일 이상</x:v>
      </x:c>
      <x:c r="O458" s="2" t="str">
        <x:f>IF(OR('신청 원장'!L3219="",'신청 원장'!L3219="선택"),"담당 원문 확인","기재")</x:f>
        <x:v>기재</x:v>
      </x:c>
      <x:c r="P458" s="2" t="str">
        <x:f>IF('신청 원장'!A3219="","",'신청 원장'!A3219)</x:f>
        <x:v>9fcb596b2e085b9d90039797</x:v>
      </x:c>
    </x:row>
    <x:row r="459" ht="42" customHeight="1">
      <x:c r="A459" s="2" t="str">
        <x:f>IF('신청 원장'!B3220="","",'신청 원장'!B3220)</x:f>
        <x:v>사업 비공개 신청</x:v>
      </x:c>
      <x:c r="B459" s="7" t="str">
        <x:f>IF('신청 원장'!D3220="","",'신청 원장'!D3220)</x:f>
        <x:v>인도 청정에너지 기기 보급 사업 (PoA 9181-CPA 29)</x:v>
      </x:c>
      <x:c r="C459" s="2" t="str">
        <x:f>IF('신청 원장'!F3220="","",'신청 원장'!F3220)</x:f>
        <x:v>2020-12-10</x:v>
      </x:c>
      <x:c r="D459" s="2" t="str">
        <x:f>IF('신청 원장'!J3220="","",'신청 원장'!J3220)</x:f>
        <x:v>보완요청</x:v>
      </x:c>
      <x:c r="E459" s="2" t="str">
        <x:f>IF('신청 원장'!L3220="","",'신청 원장'!L3220)</x:f>
        <x:v>에코시안</x:v>
      </x:c>
      <x:c r="F459" s="2" t="str">
        <x:f>IF('신청 원장'!M3220="","",'신청 원장'!M3220)</x:f>
      </x:c>
      <x:c r="G459" s="2" t="n">
        <x:f>IF('신청 원장'!N3220="","",'신청 원장'!N3220)</x:f>
        <x:v>2135</x:v>
      </x:c>
      <x:c r="H459" s="2" t="str">
        <x:f>IF('신청 원장'!AA3220="","",'신청 원장'!AA3220)</x:f>
        <x:v>내부 관찰 대상</x:v>
      </x:c>
      <x:c r="I459" s="2" t="str">
        <x:f>IF('신청 원장'!O3220="","",'신청 원장'!O3220)</x:f>
      </x:c>
      <x:c r="J459" s="2" t="str">
        <x:f>IF('신청 원장'!W3220="","",'신청 원장'!W3220)</x:f>
      </x:c>
      <x:c r="K459" s="2" t="str">
        <x:f>IF('신청 원장'!X3220="","",'신청 원장'!X3220)</x:f>
        <x:v>보완 회신 일정 확인</x:v>
      </x:c>
      <x:c r="L459" s="2" t="str">
        <x:f>IF('신청 원장'!R3220="","",'신청 원장'!R3220)</x:f>
        <x:v>(비공개)국외평가</x:v>
      </x:c>
      <x:c r="M459" s="2" t="n">
        <x:f>IF('신청 원장'!S3220="","",'신청 원장'!S3220)</x:f>
        <x:v>21</x:v>
      </x:c>
      <x:c r="N459" s="2" t="str">
        <x:f>IF('신청 원장'!K3220&lt;&gt;"미종결 표시","종결 상태 확인",IF('신청 원장'!N3220="","일자 확인 필요",IF('신청 원장'!N3220&gt;365,"366일 이상",IF('신청 원장'!N3220&gt;90,"91~365일",IF('신청 원장'!N3220&gt;30,"31~90일","0~30일")))))</x:f>
        <x:v>366일 이상</x:v>
      </x:c>
      <x:c r="O459" s="2" t="str">
        <x:f>IF(OR('신청 원장'!L3220="",'신청 원장'!L3220="선택"),"담당 원문 확인","기재")</x:f>
        <x:v>기재</x:v>
      </x:c>
      <x:c r="P459" s="2" t="str">
        <x:f>IF('신청 원장'!A3220="","",'신청 원장'!A3220)</x:f>
        <x:v>45d0f8c247e9388ac3d2f6bf</x:v>
      </x:c>
    </x:row>
    <x:row r="460" ht="42" customHeight="1">
      <x:c r="A460" s="2" t="str">
        <x:f>IF('신청 원장'!B3221="","",'신청 원장'!B3221)</x:f>
        <x:v>사업 비공개 신청</x:v>
      </x:c>
      <x:c r="B460" s="7" t="str">
        <x:f>IF('신청 원장'!D3221="","",'신청 원장'!D3221)</x:f>
        <x:v>인도 청정에너지 기기 보급 사업 (PoA 9181-CPA 30)</x:v>
      </x:c>
      <x:c r="C460" s="2" t="str">
        <x:f>IF('신청 원장'!F3221="","",'신청 원장'!F3221)</x:f>
        <x:v>2020-12-10</x:v>
      </x:c>
      <x:c r="D460" s="2" t="str">
        <x:f>IF('신청 원장'!J3221="","",'신청 원장'!J3221)</x:f>
        <x:v>보완요청</x:v>
      </x:c>
      <x:c r="E460" s="2" t="str">
        <x:f>IF('신청 원장'!L3221="","",'신청 원장'!L3221)</x:f>
        <x:v>에코시안_기샛별</x:v>
      </x:c>
      <x:c r="F460" s="2" t="str">
        <x:f>IF('신청 원장'!M3221="","",'신청 원장'!M3221)</x:f>
      </x:c>
      <x:c r="G460" s="2" t="n">
        <x:f>IF('신청 원장'!N3221="","",'신청 원장'!N3221)</x:f>
        <x:v>2135</x:v>
      </x:c>
      <x:c r="H460" s="2" t="str">
        <x:f>IF('신청 원장'!AA3221="","",'신청 원장'!AA3221)</x:f>
        <x:v>내부 관찰 대상</x:v>
      </x:c>
      <x:c r="I460" s="2" t="str">
        <x:f>IF('신청 원장'!O3221="","",'신청 원장'!O3221)</x:f>
      </x:c>
      <x:c r="J460" s="2" t="str">
        <x:f>IF('신청 원장'!W3221="","",'신청 원장'!W3221)</x:f>
      </x:c>
      <x:c r="K460" s="2" t="str">
        <x:f>IF('신청 원장'!X3221="","",'신청 원장'!X3221)</x:f>
        <x:v>보완 회신 일정 확인</x:v>
      </x:c>
      <x:c r="L460" s="2" t="str">
        <x:f>IF('신청 원장'!R3221="","",'신청 원장'!R3221)</x:f>
        <x:v>(비공개)국외평가</x:v>
      </x:c>
      <x:c r="M460" s="2" t="n">
        <x:f>IF('신청 원장'!S3221="","",'신청 원장'!S3221)</x:f>
        <x:v>22</x:v>
      </x:c>
      <x:c r="N460" s="2" t="str">
        <x:f>IF('신청 원장'!K3221&lt;&gt;"미종결 표시","종결 상태 확인",IF('신청 원장'!N3221="","일자 확인 필요",IF('신청 원장'!N3221&gt;365,"366일 이상",IF('신청 원장'!N3221&gt;90,"91~365일",IF('신청 원장'!N3221&gt;30,"31~90일","0~30일")))))</x:f>
        <x:v>366일 이상</x:v>
      </x:c>
      <x:c r="O460" s="2" t="str">
        <x:f>IF(OR('신청 원장'!L3221="",'신청 원장'!L3221="선택"),"담당 원문 확인","기재")</x:f>
        <x:v>기재</x:v>
      </x:c>
      <x:c r="P460" s="2" t="str">
        <x:f>IF('신청 원장'!A3221="","",'신청 원장'!A3221)</x:f>
        <x:v>9fe00a74ee8d314f79231999</x:v>
      </x:c>
    </x:row>
    <x:row r="461" ht="42" customHeight="1">
      <x:c r="A461" s="2" t="str">
        <x:f>IF('신청 원장'!B3222="","",'신청 원장'!B3222)</x:f>
        <x:v>사업 비공개 신청</x:v>
      </x:c>
      <x:c r="B461" s="7" t="str">
        <x:f>IF('신청 원장'!D3222="","",'신청 원장'!D3222)</x:f>
        <x:v>중국 파랍기여덕 풍력발전 프로젝트 감축사업</x:v>
      </x:c>
      <x:c r="C461" s="2" t="str">
        <x:f>IF('신청 원장'!F3222="","",'신청 원장'!F3222)</x:f>
        <x:v>2023-01-12</x:v>
      </x:c>
      <x:c r="D461" s="2" t="str">
        <x:f>IF('신청 원장'!J3222="","",'신청 원장'!J3222)</x:f>
        <x:v>보완요청</x:v>
      </x:c>
      <x:c r="E461" s="2" t="str">
        <x:f>IF('신청 원장'!L3222="","",'신청 원장'!L3222)</x:f>
        <x:v>에코시안_조영우</x:v>
      </x:c>
      <x:c r="F461" s="2" t="str">
        <x:f>IF('신청 원장'!M3222="","",'신청 원장'!M3222)</x:f>
      </x:c>
      <x:c r="G461" s="2" t="n">
        <x:f>IF('신청 원장'!N3222="","",'신청 원장'!N3222)</x:f>
        <x:v>1372</x:v>
      </x:c>
      <x:c r="H461" s="2" t="str">
        <x:f>IF('신청 원장'!AA3222="","",'신청 원장'!AA3222)</x:f>
        <x:v>내부 관찰 대상</x:v>
      </x:c>
      <x:c r="I461" s="2" t="str">
        <x:f>IF('신청 원장'!O3222="","",'신청 원장'!O3222)</x:f>
      </x:c>
      <x:c r="J461" s="2" t="str">
        <x:f>IF('신청 원장'!W3222="","",'신청 원장'!W3222)</x:f>
      </x:c>
      <x:c r="K461" s="2" t="str">
        <x:f>IF('신청 원장'!X3222="","",'신청 원장'!X3222)</x:f>
        <x:v>보완 회신 일정 확인</x:v>
      </x:c>
      <x:c r="L461" s="2" t="str">
        <x:f>IF('신청 원장'!R3222="","",'신청 원장'!R3222)</x:f>
        <x:v>(비공개)국외평가</x:v>
      </x:c>
      <x:c r="M461" s="2" t="n">
        <x:f>IF('신청 원장'!S3222="","",'신청 원장'!S3222)</x:f>
        <x:v>23</x:v>
      </x:c>
      <x:c r="N461" s="2" t="str">
        <x:f>IF('신청 원장'!K3222&lt;&gt;"미종결 표시","종결 상태 확인",IF('신청 원장'!N3222="","일자 확인 필요",IF('신청 원장'!N3222&gt;365,"366일 이상",IF('신청 원장'!N3222&gt;90,"91~365일",IF('신청 원장'!N3222&gt;30,"31~90일","0~30일")))))</x:f>
        <x:v>366일 이상</x:v>
      </x:c>
      <x:c r="O461" s="2" t="str">
        <x:f>IF(OR('신청 원장'!L3222="",'신청 원장'!L3222="선택"),"담당 원문 확인","기재")</x:f>
        <x:v>기재</x:v>
      </x:c>
      <x:c r="P461" s="2" t="str">
        <x:f>IF('신청 원장'!A3222="","",'신청 원장'!A3222)</x:f>
        <x:v>16114a85411253e181c3aba8</x:v>
      </x:c>
    </x:row>
    <x:row r="462" ht="42" customHeight="1">
      <x:c r="A462" s="2" t="str">
        <x:f>IF('신청 원장'!B3223="","",'신청 원장'!B3223)</x:f>
        <x:v>사업 비공개 신청</x:v>
      </x:c>
      <x:c r="B462" s="7" t="str">
        <x:f>IF('신청 원장'!D3223="","",'신청 원장'!D3223)</x:f>
        <x:v>중국 북표소탑자 풍력발전 프로젝트 감축사업</x:v>
      </x:c>
      <x:c r="C462" s="2" t="str">
        <x:f>IF('신청 원장'!F3223="","",'신청 원장'!F3223)</x:f>
        <x:v>2023-01-12</x:v>
      </x:c>
      <x:c r="D462" s="2" t="str">
        <x:f>IF('신청 원장'!J3223="","",'신청 원장'!J3223)</x:f>
        <x:v>보완요청</x:v>
      </x:c>
      <x:c r="E462" s="2" t="str">
        <x:f>IF('신청 원장'!L3223="","",'신청 원장'!L3223)</x:f>
        <x:v>에코시안_조영우</x:v>
      </x:c>
      <x:c r="F462" s="2" t="str">
        <x:f>IF('신청 원장'!M3223="","",'신청 원장'!M3223)</x:f>
      </x:c>
      <x:c r="G462" s="2" t="n">
        <x:f>IF('신청 원장'!N3223="","",'신청 원장'!N3223)</x:f>
        <x:v>1372</x:v>
      </x:c>
      <x:c r="H462" s="2" t="str">
        <x:f>IF('신청 원장'!AA3223="","",'신청 원장'!AA3223)</x:f>
        <x:v>내부 관찰 대상</x:v>
      </x:c>
      <x:c r="I462" s="2" t="str">
        <x:f>IF('신청 원장'!O3223="","",'신청 원장'!O3223)</x:f>
      </x:c>
      <x:c r="J462" s="2" t="str">
        <x:f>IF('신청 원장'!W3223="","",'신청 원장'!W3223)</x:f>
      </x:c>
      <x:c r="K462" s="2" t="str">
        <x:f>IF('신청 원장'!X3223="","",'신청 원장'!X3223)</x:f>
        <x:v>보완 회신 일정 확인</x:v>
      </x:c>
      <x:c r="L462" s="2" t="str">
        <x:f>IF('신청 원장'!R3223="","",'신청 원장'!R3223)</x:f>
        <x:v>(비공개)국외평가</x:v>
      </x:c>
      <x:c r="M462" s="2" t="n">
        <x:f>IF('신청 원장'!S3223="","",'신청 원장'!S3223)</x:f>
        <x:v>24</x:v>
      </x:c>
      <x:c r="N462" s="2" t="str">
        <x:f>IF('신청 원장'!K3223&lt;&gt;"미종결 표시","종결 상태 확인",IF('신청 원장'!N3223="","일자 확인 필요",IF('신청 원장'!N3223&gt;365,"366일 이상",IF('신청 원장'!N3223&gt;90,"91~365일",IF('신청 원장'!N3223&gt;30,"31~90일","0~30일")))))</x:f>
        <x:v>366일 이상</x:v>
      </x:c>
      <x:c r="O462" s="2" t="str">
        <x:f>IF(OR('신청 원장'!L3223="",'신청 원장'!L3223="선택"),"담당 원문 확인","기재")</x:f>
        <x:v>기재</x:v>
      </x:c>
      <x:c r="P462" s="2" t="str">
        <x:f>IF('신청 원장'!A3223="","",'신청 원장'!A3223)</x:f>
        <x:v>0f3ad8a0d9f4f93527e73b33</x:v>
      </x:c>
    </x:row>
    <x:row r="463" ht="42" customHeight="1">
      <x:c r="A463" s="2" t="str">
        <x:f>IF('신청 원장'!B3224="","",'신청 원장'!B3224)</x:f>
        <x:v>사업 비공개 신청</x:v>
      </x:c>
      <x:c r="B463" s="7" t="str">
        <x:f>IF('신청 원장'!D3224="","",'신청 원장'!D3224)</x:f>
        <x:v>중국 객좌쌍묘 풍력발전 프로젝트 감축사업</x:v>
      </x:c>
      <x:c r="C463" s="2" t="str">
        <x:f>IF('신청 원장'!F3224="","",'신청 원장'!F3224)</x:f>
        <x:v>2023-01-12</x:v>
      </x:c>
      <x:c r="D463" s="2" t="str">
        <x:f>IF('신청 원장'!J3224="","",'신청 원장'!J3224)</x:f>
        <x:v>보완요청</x:v>
      </x:c>
      <x:c r="E463" s="2" t="str">
        <x:f>IF('신청 원장'!L3224="","",'신청 원장'!L3224)</x:f>
        <x:v>에코시안_조영우</x:v>
      </x:c>
      <x:c r="F463" s="2" t="str">
        <x:f>IF('신청 원장'!M3224="","",'신청 원장'!M3224)</x:f>
      </x:c>
      <x:c r="G463" s="2" t="n">
        <x:f>IF('신청 원장'!N3224="","",'신청 원장'!N3224)</x:f>
        <x:v>1372</x:v>
      </x:c>
      <x:c r="H463" s="2" t="str">
        <x:f>IF('신청 원장'!AA3224="","",'신청 원장'!AA3224)</x:f>
        <x:v>내부 관찰 대상</x:v>
      </x:c>
      <x:c r="I463" s="2" t="str">
        <x:f>IF('신청 원장'!O3224="","",'신청 원장'!O3224)</x:f>
      </x:c>
      <x:c r="J463" s="2" t="str">
        <x:f>IF('신청 원장'!W3224="","",'신청 원장'!W3224)</x:f>
      </x:c>
      <x:c r="K463" s="2" t="str">
        <x:f>IF('신청 원장'!X3224="","",'신청 원장'!X3224)</x:f>
        <x:v>보완 회신 일정 확인</x:v>
      </x:c>
      <x:c r="L463" s="2" t="str">
        <x:f>IF('신청 원장'!R3224="","",'신청 원장'!R3224)</x:f>
        <x:v>(비공개)국외평가</x:v>
      </x:c>
      <x:c r="M463" s="2" t="n">
        <x:f>IF('신청 원장'!S3224="","",'신청 원장'!S3224)</x:f>
        <x:v>25</x:v>
      </x:c>
      <x:c r="N463" s="2" t="str">
        <x:f>IF('신청 원장'!K3224&lt;&gt;"미종결 표시","종결 상태 확인",IF('신청 원장'!N3224="","일자 확인 필요",IF('신청 원장'!N3224&gt;365,"366일 이상",IF('신청 원장'!N3224&gt;90,"91~365일",IF('신청 원장'!N3224&gt;30,"31~90일","0~30일")))))</x:f>
        <x:v>366일 이상</x:v>
      </x:c>
      <x:c r="O463" s="2" t="str">
        <x:f>IF(OR('신청 원장'!L3224="",'신청 원장'!L3224="선택"),"담당 원문 확인","기재")</x:f>
        <x:v>기재</x:v>
      </x:c>
      <x:c r="P463" s="2" t="str">
        <x:f>IF('신청 원장'!A3224="","",'신청 원장'!A3224)</x:f>
        <x:v>fe3ed9764bf35c8ad287dc4c</x:v>
      </x:c>
    </x:row>
    <x:row r="464" ht="42" customHeight="1">
      <x:c r="A464" s="2" t="str">
        <x:f>IF('신청 원장'!B3225="","",'신청 원장'!B3225)</x:f>
        <x:v>인증 비공개 신청</x:v>
      </x:c>
      <x:c r="B464" s="7" t="str">
        <x:f>IF('신청 원장'!D3225="","",'신청 원장'!D3225)</x:f>
        <x:v>원주시 보안등 LED교체 ESCO용역사업</x:v>
      </x:c>
      <x:c r="C464" s="2" t="str">
        <x:f>IF('신청 원장'!F3225="","",'신청 원장'!F3225)</x:f>
        <x:v>2026-05-20</x:v>
      </x:c>
      <x:c r="D464" s="2" t="str">
        <x:f>IF('신청 원장'!J3225="","",'신청 원장'!J3225)</x:f>
        <x:v>보완요청</x:v>
      </x:c>
      <x:c r="E464" s="2" t="str">
        <x:f>IF('신청 원장'!L3225="","",'신청 원장'!L3225)</x:f>
        <x:v>에코시안_남혜원</x:v>
      </x:c>
      <x:c r="F464" s="2" t="str">
        <x:f>IF('신청 원장'!M3225="","",'신청 원장'!M3225)</x:f>
      </x:c>
      <x:c r="G464" s="2" t="n">
        <x:f>IF('신청 원장'!N3225="","",'신청 원장'!N3225)</x:f>
        <x:v>148</x:v>
      </x:c>
      <x:c r="H464" s="2" t="str">
        <x:f>IF('신청 원장'!AA3225="","",'신청 원장'!AA3225)</x:f>
        <x:v>내부 관찰 대상</x:v>
      </x:c>
      <x:c r="I464" s="2" t="str">
        <x:f>IF('신청 원장'!O3225="","",'신청 원장'!O3225)</x:f>
      </x:c>
      <x:c r="J464" s="2" t="str">
        <x:f>IF('신청 원장'!W3225="","",'신청 원장'!W3225)</x:f>
      </x:c>
      <x:c r="K464" s="2" t="str">
        <x:f>IF('신청 원장'!X3225="","",'신청 원장'!X3225)</x:f>
        <x:v>보완 회신 일정 확인</x:v>
      </x:c>
      <x:c r="L464" s="2" t="str">
        <x:f>IF('신청 원장'!R3225="","",'신청 원장'!R3225)</x:f>
        <x:v>(비공개)국내인증</x:v>
      </x:c>
      <x:c r="M464" s="2" t="n">
        <x:f>IF('신청 원장'!S3225="","",'신청 원장'!S3225)</x:f>
        <x:v>3</x:v>
      </x:c>
      <x:c r="N464" s="2" t="str">
        <x:f>IF('신청 원장'!K3225&lt;&gt;"미종결 표시","종결 상태 확인",IF('신청 원장'!N3225="","일자 확인 필요",IF('신청 원장'!N3225&gt;365,"366일 이상",IF('신청 원장'!N3225&gt;90,"91~365일",IF('신청 원장'!N3225&gt;30,"31~90일","0~30일")))))</x:f>
        <x:v>91~365일</x:v>
      </x:c>
      <x:c r="O464" s="2" t="str">
        <x:f>IF(OR('신청 원장'!L3225="",'신청 원장'!L3225="선택"),"담당 원문 확인","기재")</x:f>
        <x:v>기재</x:v>
      </x:c>
      <x:c r="P464" s="2" t="str">
        <x:f>IF('신청 원장'!A3225="","",'신청 원장'!A3225)</x:f>
        <x:v>8ecd0ed3daeb07136376fdcf</x:v>
      </x:c>
    </x:row>
    <x:row r="465" ht="42" customHeight="1">
      <x:c r="A465" s="2" t="str">
        <x:f>IF('신청 원장'!B3228="","",'신청 원장'!B3228)</x:f>
        <x:v>인증 비공개 신청</x:v>
      </x:c>
      <x:c r="B465" s="7" t="str">
        <x:f>IF('신청 원장'!D3228="","",'신청 원장'!D3228)</x:f>
        <x:v>카프로 N2O 저감 사업</x:v>
      </x:c>
      <x:c r="C465" s="2" t="str">
        <x:f>IF('신청 원장'!F3228="","",'신청 원장'!F3228)</x:f>
        <x:v>2024-01-24</x:v>
      </x:c>
      <x:c r="D465" s="2" t="str">
        <x:f>IF('신청 원장'!J3228="","",'신청 원장'!J3228)</x:f>
        <x:v>보완요청</x:v>
      </x:c>
      <x:c r="E465" s="2" t="str">
        <x:f>IF('신청 원장'!L3228="","",'신청 원장'!L3228)</x:f>
        <x:v>에코시안_조영우</x:v>
      </x:c>
      <x:c r="F465" s="2" t="str">
        <x:f>IF('신청 원장'!M3228="","",'신청 원장'!M3228)</x:f>
      </x:c>
      <x:c r="G465" s="2" t="n">
        <x:f>IF('신청 원장'!N3228="","",'신청 원장'!N3228)</x:f>
        <x:v>995</x:v>
      </x:c>
      <x:c r="H465" s="2" t="str">
        <x:f>IF('신청 원장'!AA3228="","",'신청 원장'!AA3228)</x:f>
        <x:v>내부 관찰 대상</x:v>
      </x:c>
      <x:c r="I465" s="2" t="str">
        <x:f>IF('신청 원장'!O3228="","",'신청 원장'!O3228)</x:f>
      </x:c>
      <x:c r="J465" s="2" t="str">
        <x:f>IF('신청 원장'!W3228="","",'신청 원장'!W3228)</x:f>
      </x:c>
      <x:c r="K465" s="2" t="str">
        <x:f>IF('신청 원장'!X3228="","",'신청 원장'!X3228)</x:f>
        <x:v>보완 회신 일정 확인</x:v>
      </x:c>
      <x:c r="L465" s="2" t="str">
        <x:f>IF('신청 원장'!R3228="","",'신청 원장'!R3228)</x:f>
        <x:v>(비공개)국내인증</x:v>
      </x:c>
      <x:c r="M465" s="2" t="n">
        <x:f>IF('신청 원장'!S3228="","",'신청 원장'!S3228)</x:f>
        <x:v>6</x:v>
      </x:c>
      <x:c r="N465" s="2" t="str">
        <x:f>IF('신청 원장'!K3228&lt;&gt;"미종결 표시","종결 상태 확인",IF('신청 원장'!N3228="","일자 확인 필요",IF('신청 원장'!N3228&gt;365,"366일 이상",IF('신청 원장'!N3228&gt;90,"91~365일",IF('신청 원장'!N3228&gt;30,"31~90일","0~30일")))))</x:f>
        <x:v>366일 이상</x:v>
      </x:c>
      <x:c r="O465" s="2" t="str">
        <x:f>IF(OR('신청 원장'!L3228="",'신청 원장'!L3228="선택"),"담당 원문 확인","기재")</x:f>
        <x:v>기재</x:v>
      </x:c>
      <x:c r="P465" s="2" t="str">
        <x:f>IF('신청 원장'!A3228="","",'신청 원장'!A3228)</x:f>
        <x:v>edc61e6c1aeca7ebf4133d62</x:v>
      </x:c>
    </x:row>
    <x:row r="466" ht="42" customHeight="1">
      <x:c r="A466" s="2" t="str">
        <x:f>IF('신청 원장'!B3229="","",'신청 원장'!B3229)</x:f>
        <x:v>인증 비공개 신청</x:v>
      </x:c>
      <x:c r="B466" s="7" t="str">
        <x:f>IF('신청 원장'!D3229="","",'신청 원장'!D3229)</x:f>
        <x:v>덕성 인천사업장의 B-A유 및 B-C유에서 LNG로 연료전환을 통한 온실가스 배출 감축사업</x:v>
      </x:c>
      <x:c r="C466" s="2" t="str">
        <x:f>IF('신청 원장'!F3229="","",'신청 원장'!F3229)</x:f>
        <x:v>2023-11-24</x:v>
      </x:c>
      <x:c r="D466" s="2" t="str">
        <x:f>IF('신청 원장'!J3229="","",'신청 원장'!J3229)</x:f>
        <x:v>보완요청</x:v>
      </x:c>
      <x:c r="E466" s="2" t="str">
        <x:f>IF('신청 원장'!L3229="","",'신청 원장'!L3229)</x:f>
        <x:v>에코시안_조영우</x:v>
      </x:c>
      <x:c r="F466" s="2" t="str">
        <x:f>IF('신청 원장'!M3229="","",'신청 원장'!M3229)</x:f>
      </x:c>
      <x:c r="G466" s="2" t="n">
        <x:f>IF('신청 원장'!N3229="","",'신청 원장'!N3229)</x:f>
        <x:v>1056</x:v>
      </x:c>
      <x:c r="H466" s="2" t="str">
        <x:f>IF('신청 원장'!AA3229="","",'신청 원장'!AA3229)</x:f>
        <x:v>내부 관찰 대상</x:v>
      </x:c>
      <x:c r="I466" s="2" t="str">
        <x:f>IF('신청 원장'!O3229="","",'신청 원장'!O3229)</x:f>
      </x:c>
      <x:c r="J466" s="2" t="str">
        <x:f>IF('신청 원장'!W3229="","",'신청 원장'!W3229)</x:f>
      </x:c>
      <x:c r="K466" s="2" t="str">
        <x:f>IF('신청 원장'!X3229="","",'신청 원장'!X3229)</x:f>
        <x:v>보완 회신 일정 확인</x:v>
      </x:c>
      <x:c r="L466" s="2" t="str">
        <x:f>IF('신청 원장'!R3229="","",'신청 원장'!R3229)</x:f>
        <x:v>(비공개)국내인증</x:v>
      </x:c>
      <x:c r="M466" s="2" t="n">
        <x:f>IF('신청 원장'!S3229="","",'신청 원장'!S3229)</x:f>
        <x:v>7</x:v>
      </x:c>
      <x:c r="N466" s="2" t="str">
        <x:f>IF('신청 원장'!K3229&lt;&gt;"미종결 표시","종결 상태 확인",IF('신청 원장'!N3229="","일자 확인 필요",IF('신청 원장'!N3229&gt;365,"366일 이상",IF('신청 원장'!N3229&gt;90,"91~365일",IF('신청 원장'!N3229&gt;30,"31~90일","0~30일")))))</x:f>
        <x:v>366일 이상</x:v>
      </x:c>
      <x:c r="O466" s="2" t="str">
        <x:f>IF(OR('신청 원장'!L3229="",'신청 원장'!L3229="선택"),"담당 원문 확인","기재")</x:f>
        <x:v>기재</x:v>
      </x:c>
      <x:c r="P466" s="2" t="str">
        <x:f>IF('신청 원장'!A3229="","",'신청 원장'!A3229)</x:f>
        <x:v>fde1c28eeb1e12e4854148d1</x:v>
      </x:c>
    </x:row>
    <x:row r="467" ht="42" customHeight="1">
      <x:c r="A467" s="2" t="str">
        <x:f>IF('신청 원장'!B3230="","",'신청 원장'!B3230)</x:f>
        <x:v>인증 비공개 신청</x:v>
      </x:c>
      <x:c r="B467" s="7" t="str">
        <x:f>IF('신청 원장'!D3230="","",'신청 원장'!D3230)</x:f>
        <x:v>카프로 N2O 저감 사업</x:v>
      </x:c>
      <x:c r="C467" s="2" t="str">
        <x:f>IF('신청 원장'!F3230="","",'신청 원장'!F3230)</x:f>
        <x:v>2024-01-24</x:v>
      </x:c>
      <x:c r="D467" s="2" t="str">
        <x:f>IF('신청 원장'!J3230="","",'신청 원장'!J3230)</x:f>
        <x:v>선택</x:v>
      </x:c>
      <x:c r="E467" s="2" t="str">
        <x:f>IF('신청 원장'!L3230="","",'신청 원장'!L3230)</x:f>
      </x:c>
      <x:c r="F467" s="2" t="str">
        <x:f>IF('신청 원장'!M3230="","",'신청 원장'!M3230)</x:f>
      </x:c>
      <x:c r="G467" s="2" t="n">
        <x:f>IF('신청 원장'!N3230="","",'신청 원장'!N3230)</x:f>
        <x:v>995</x:v>
      </x:c>
      <x:c r="H467" s="2" t="str">
        <x:f>IF('신청 원장'!AA3230="","",'신청 원장'!AA3230)</x:f>
        <x:v>대상 아님</x:v>
      </x:c>
      <x:c r="I467" s="2" t="str">
        <x:f>IF('신청 원장'!O3230="","",'신청 원장'!O3230)</x:f>
      </x:c>
      <x:c r="J467" s="2" t="str">
        <x:f>IF('신청 원장'!W3230="","",'신청 원장'!W3230)</x:f>
        <x:v>담당기관 확인 / 종결 여부 확인</x:v>
      </x:c>
      <x:c r="K467" s="2" t="str">
        <x:f>IF('신청 원장'!X3230="","",'신청 원장'!X3230)</x:f>
        <x:v>원본·배정 기록 확인</x:v>
      </x:c>
      <x:c r="L467" s="2" t="str">
        <x:f>IF('신청 원장'!R3230="","",'신청 원장'!R3230)</x:f>
        <x:v>(비공개)국내인증</x:v>
      </x:c>
      <x:c r="M467" s="2" t="n">
        <x:f>IF('신청 원장'!S3230="","",'신청 원장'!S3230)</x:f>
        <x:v>8</x:v>
      </x:c>
      <x:c r="N467" s="2" t="str">
        <x:f>IF('신청 원장'!K3230&lt;&gt;"미종결 표시","종결 상태 확인",IF('신청 원장'!N3230="","일자 확인 필요",IF('신청 원장'!N3230&gt;365,"366일 이상",IF('신청 원장'!N3230&gt;90,"91~365일",IF('신청 원장'!N3230&gt;30,"31~90일","0~30일")))))</x:f>
        <x:v>종결 상태 확인</x:v>
      </x:c>
      <x:c r="O467" s="2" t="str">
        <x:f>IF(OR('신청 원장'!L3230="",'신청 원장'!L3230="선택"),"담당 원문 확인","기재")</x:f>
        <x:v>담당 원문 확인</x:v>
      </x:c>
      <x:c r="P467" s="2" t="str">
        <x:f>IF('신청 원장'!A3230="","",'신청 원장'!A3230)</x:f>
        <x:v>9b405d5a114c4eb0a6c30b0c</x:v>
      </x:c>
    </x:row>
    <x:row r="468" ht="42" customHeight="1">
      <x:c r="A468" s="2" t="str">
        <x:f>IF('신청 원장'!B3231="","",'신청 원장'!B3231)</x:f>
        <x:v>인증 비공개 신청</x:v>
      </x:c>
      <x:c r="B468" s="7" t="str">
        <x:f>IF('신청 원장'!D3231="","",'신청 원장'!D3231)</x:f>
        <x:v>에이스침대 여주공장의 B-C유에서 도시가스(LNG)로 연료전환을 통한 온실가스 배출 감축사업</x:v>
      </x:c>
      <x:c r="C468" s="2" t="str">
        <x:f>IF('신청 원장'!F3231="","",'신청 원장'!F3231)</x:f>
        <x:v>2022-11-30</x:v>
      </x:c>
      <x:c r="D468" s="2" t="str">
        <x:f>IF('신청 원장'!J3231="","",'신청 원장'!J3231)</x:f>
        <x:v>보완요청</x:v>
      </x:c>
      <x:c r="E468" s="2" t="str">
        <x:f>IF('신청 원장'!L3231="","",'신청 원장'!L3231)</x:f>
        <x:v>에코시안_조영우</x:v>
      </x:c>
      <x:c r="F468" s="2" t="str">
        <x:f>IF('신청 원장'!M3231="","",'신청 원장'!M3231)</x:f>
      </x:c>
      <x:c r="G468" s="2" t="n">
        <x:f>IF('신청 원장'!N3231="","",'신청 원장'!N3231)</x:f>
        <x:v>1415</x:v>
      </x:c>
      <x:c r="H468" s="2" t="str">
        <x:f>IF('신청 원장'!AA3231="","",'신청 원장'!AA3231)</x:f>
        <x:v>내부 관찰 대상</x:v>
      </x:c>
      <x:c r="I468" s="2" t="str">
        <x:f>IF('신청 원장'!O3231="","",'신청 원장'!O3231)</x:f>
      </x:c>
      <x:c r="J468" s="2" t="str">
        <x:f>IF('신청 원장'!W3231="","",'신청 원장'!W3231)</x:f>
      </x:c>
      <x:c r="K468" s="2" t="str">
        <x:f>IF('신청 원장'!X3231="","",'신청 원장'!X3231)</x:f>
        <x:v>보완 회신 일정 확인</x:v>
      </x:c>
      <x:c r="L468" s="2" t="str">
        <x:f>IF('신청 원장'!R3231="","",'신청 원장'!R3231)</x:f>
        <x:v>(비공개)국내인증</x:v>
      </x:c>
      <x:c r="M468" s="2" t="n">
        <x:f>IF('신청 원장'!S3231="","",'신청 원장'!S3231)</x:f>
        <x:v>9</x:v>
      </x:c>
      <x:c r="N468" s="2" t="str">
        <x:f>IF('신청 원장'!K3231&lt;&gt;"미종결 표시","종결 상태 확인",IF('신청 원장'!N3231="","일자 확인 필요",IF('신청 원장'!N3231&gt;365,"366일 이상",IF('신청 원장'!N3231&gt;90,"91~365일",IF('신청 원장'!N3231&gt;30,"31~90일","0~30일")))))</x:f>
        <x:v>366일 이상</x:v>
      </x:c>
      <x:c r="O468" s="2" t="str">
        <x:f>IF(OR('신청 원장'!L3231="",'신청 원장'!L3231="선택"),"담당 원문 확인","기재")</x:f>
        <x:v>기재</x:v>
      </x:c>
      <x:c r="P468" s="2" t="str">
        <x:f>IF('신청 원장'!A3231="","",'신청 원장'!A3231)</x:f>
        <x:v>18f8cfbc75f3adbbb321bd33</x:v>
      </x:c>
    </x:row>
    <x:row r="469" ht="42" customHeight="1">
      <x:c r="A469" s="2" t="str">
        <x:f>IF('신청 원장'!B3232="","",'신청 원장'!B3232)</x:f>
        <x:v>인증 비공개 신청</x:v>
      </x:c>
      <x:c r="B469" s="7" t="str">
        <x:f>IF('신청 원장'!D3232="","",'신청 원장'!D3232)</x:f>
        <x:v>에스오엠의 정제유에서 도시가스(LNG)로 연료전환을 통한 온실가스 배출 감축사업</x:v>
      </x:c>
      <x:c r="C469" s="2" t="str">
        <x:f>IF('신청 원장'!F3232="","",'신청 원장'!F3232)</x:f>
        <x:v>2022-11-25</x:v>
      </x:c>
      <x:c r="D469" s="2" t="str">
        <x:f>IF('신청 원장'!J3232="","",'신청 원장'!J3232)</x:f>
        <x:v>보완요청</x:v>
      </x:c>
      <x:c r="E469" s="2" t="str">
        <x:f>IF('신청 원장'!L3232="","",'신청 원장'!L3232)</x:f>
        <x:v>에코시안_조영우</x:v>
      </x:c>
      <x:c r="F469" s="2" t="str">
        <x:f>IF('신청 원장'!M3232="","",'신청 원장'!M3232)</x:f>
      </x:c>
      <x:c r="G469" s="2" t="n">
        <x:f>IF('신청 원장'!N3232="","",'신청 원장'!N3232)</x:f>
        <x:v>1420</x:v>
      </x:c>
      <x:c r="H469" s="2" t="str">
        <x:f>IF('신청 원장'!AA3232="","",'신청 원장'!AA3232)</x:f>
        <x:v>내부 관찰 대상</x:v>
      </x:c>
      <x:c r="I469" s="2" t="str">
        <x:f>IF('신청 원장'!O3232="","",'신청 원장'!O3232)</x:f>
      </x:c>
      <x:c r="J469" s="2" t="str">
        <x:f>IF('신청 원장'!W3232="","",'신청 원장'!W3232)</x:f>
      </x:c>
      <x:c r="K469" s="2" t="str">
        <x:f>IF('신청 원장'!X3232="","",'신청 원장'!X3232)</x:f>
        <x:v>보완 회신 일정 확인</x:v>
      </x:c>
      <x:c r="L469" s="2" t="str">
        <x:f>IF('신청 원장'!R3232="","",'신청 원장'!R3232)</x:f>
        <x:v>(비공개)국내인증</x:v>
      </x:c>
      <x:c r="M469" s="2" t="n">
        <x:f>IF('신청 원장'!S3232="","",'신청 원장'!S3232)</x:f>
        <x:v>10</x:v>
      </x:c>
      <x:c r="N469" s="2" t="str">
        <x:f>IF('신청 원장'!K3232&lt;&gt;"미종결 표시","종결 상태 확인",IF('신청 원장'!N3232="","일자 확인 필요",IF('신청 원장'!N3232&gt;365,"366일 이상",IF('신청 원장'!N3232&gt;90,"91~365일",IF('신청 원장'!N3232&gt;30,"31~90일","0~30일")))))</x:f>
        <x:v>366일 이상</x:v>
      </x:c>
      <x:c r="O469" s="2" t="str">
        <x:f>IF(OR('신청 원장'!L3232="",'신청 원장'!L3232="선택"),"담당 원문 확인","기재")</x:f>
        <x:v>기재</x:v>
      </x:c>
      <x:c r="P469" s="2" t="str">
        <x:f>IF('신청 원장'!A3232="","",'신청 원장'!A3232)</x:f>
        <x:v>6160103a617dc7c48f069eee</x:v>
      </x:c>
    </x:row>
    <x:row r="470" ht="42" customHeight="1">
      <x:c r="A470" s="2" t="str">
        <x:f>IF('신청 원장'!B3233="","",'신청 원장'!B3233)</x:f>
        <x:v>인증 비공개 신청</x:v>
      </x:c>
      <x:c r="B470" s="7" t="str">
        <x:f>IF('신청 원장'!D3233="","",'신청 원장'!D3233)</x:f>
        <x:v>삼일이노팩의 B-C유에서 LNG로 연료전환을 통한 온실가스 배출 감축사업</x:v>
      </x:c>
      <x:c r="C470" s="2" t="str">
        <x:f>IF('신청 원장'!F3233="","",'신청 원장'!F3233)</x:f>
        <x:v>2022-11-15</x:v>
      </x:c>
      <x:c r="D470" s="2" t="str">
        <x:f>IF('신청 원장'!J3233="","",'신청 원장'!J3233)</x:f>
        <x:v>보완요청</x:v>
      </x:c>
      <x:c r="E470" s="2" t="str">
        <x:f>IF('신청 원장'!L3233="","",'신청 원장'!L3233)</x:f>
        <x:v>에코시안_조영우</x:v>
      </x:c>
      <x:c r="F470" s="2" t="str">
        <x:f>IF('신청 원장'!M3233="","",'신청 원장'!M3233)</x:f>
      </x:c>
      <x:c r="G470" s="2" t="n">
        <x:f>IF('신청 원장'!N3233="","",'신청 원장'!N3233)</x:f>
        <x:v>1430</x:v>
      </x:c>
      <x:c r="H470" s="2" t="str">
        <x:f>IF('신청 원장'!AA3233="","",'신청 원장'!AA3233)</x:f>
        <x:v>내부 관찰 대상</x:v>
      </x:c>
      <x:c r="I470" s="2" t="str">
        <x:f>IF('신청 원장'!O3233="","",'신청 원장'!O3233)</x:f>
      </x:c>
      <x:c r="J470" s="2" t="str">
        <x:f>IF('신청 원장'!W3233="","",'신청 원장'!W3233)</x:f>
      </x:c>
      <x:c r="K470" s="2" t="str">
        <x:f>IF('신청 원장'!X3233="","",'신청 원장'!X3233)</x:f>
        <x:v>보완 회신 일정 확인</x:v>
      </x:c>
      <x:c r="L470" s="2" t="str">
        <x:f>IF('신청 원장'!R3233="","",'신청 원장'!R3233)</x:f>
        <x:v>(비공개)국내인증</x:v>
      </x:c>
      <x:c r="M470" s="2" t="n">
        <x:f>IF('신청 원장'!S3233="","",'신청 원장'!S3233)</x:f>
        <x:v>11</x:v>
      </x:c>
      <x:c r="N470" s="2" t="str">
        <x:f>IF('신청 원장'!K3233&lt;&gt;"미종결 표시","종결 상태 확인",IF('신청 원장'!N3233="","일자 확인 필요",IF('신청 원장'!N3233&gt;365,"366일 이상",IF('신청 원장'!N3233&gt;90,"91~365일",IF('신청 원장'!N3233&gt;30,"31~90일","0~30일")))))</x:f>
        <x:v>366일 이상</x:v>
      </x:c>
      <x:c r="O470" s="2" t="str">
        <x:f>IF(OR('신청 원장'!L3233="",'신청 원장'!L3233="선택"),"담당 원문 확인","기재")</x:f>
        <x:v>기재</x:v>
      </x:c>
      <x:c r="P470" s="2" t="str">
        <x:f>IF('신청 원장'!A3233="","",'신청 원장'!A3233)</x:f>
        <x:v>6dc4456d0e5ecd484dbd9f03</x:v>
      </x:c>
    </x:row>
    <x:row r="471" ht="42" customHeight="1">
      <x:c r="A471" s="2" t="str">
        <x:f>IF('신청 원장'!B3234="","",'신청 원장'!B3234)</x:f>
        <x:v>인증 비공개 신청</x:v>
      </x:c>
      <x:c r="B471" s="7" t="str">
        <x:f>IF('신청 원장'!D3234="","",'신청 원장'!D3234)</x:f>
        <x:v>남부산업의 이온정제유에서 LNG로 연료전환을 통한 온실가스 배출 감축사업</x:v>
      </x:c>
      <x:c r="C471" s="2" t="str">
        <x:f>IF('신청 원장'!F3234="","",'신청 원장'!F3234)</x:f>
        <x:v>2022-07-20</x:v>
      </x:c>
      <x:c r="D471" s="2" t="str">
        <x:f>IF('신청 원장'!J3234="","",'신청 원장'!J3234)</x:f>
        <x:v>보완요청</x:v>
      </x:c>
      <x:c r="E471" s="2" t="str">
        <x:f>IF('신청 원장'!L3234="","",'신청 원장'!L3234)</x:f>
        <x:v>에코시안</x:v>
      </x:c>
      <x:c r="F471" s="2" t="str">
        <x:f>IF('신청 원장'!M3234="","",'신청 원장'!M3234)</x:f>
      </x:c>
      <x:c r="G471" s="2" t="n">
        <x:f>IF('신청 원장'!N3234="","",'신청 원장'!N3234)</x:f>
        <x:v>1548</x:v>
      </x:c>
      <x:c r="H471" s="2" t="str">
        <x:f>IF('신청 원장'!AA3234="","",'신청 원장'!AA3234)</x:f>
        <x:v>내부 관찰 대상</x:v>
      </x:c>
      <x:c r="I471" s="2" t="str">
        <x:f>IF('신청 원장'!O3234="","",'신청 원장'!O3234)</x:f>
      </x:c>
      <x:c r="J471" s="2" t="str">
        <x:f>IF('신청 원장'!W3234="","",'신청 원장'!W3234)</x:f>
      </x:c>
      <x:c r="K471" s="2" t="str">
        <x:f>IF('신청 원장'!X3234="","",'신청 원장'!X3234)</x:f>
        <x:v>보완 회신 일정 확인</x:v>
      </x:c>
      <x:c r="L471" s="2" t="str">
        <x:f>IF('신청 원장'!R3234="","",'신청 원장'!R3234)</x:f>
        <x:v>(비공개)국내인증</x:v>
      </x:c>
      <x:c r="M471" s="2" t="n">
        <x:f>IF('신청 원장'!S3234="","",'신청 원장'!S3234)</x:f>
        <x:v>12</x:v>
      </x:c>
      <x:c r="N471" s="2" t="str">
        <x:f>IF('신청 원장'!K3234&lt;&gt;"미종결 표시","종결 상태 확인",IF('신청 원장'!N3234="","일자 확인 필요",IF('신청 원장'!N3234&gt;365,"366일 이상",IF('신청 원장'!N3234&gt;90,"91~365일",IF('신청 원장'!N3234&gt;30,"31~90일","0~30일")))))</x:f>
        <x:v>366일 이상</x:v>
      </x:c>
      <x:c r="O471" s="2" t="str">
        <x:f>IF(OR('신청 원장'!L3234="",'신청 원장'!L3234="선택"),"담당 원문 확인","기재")</x:f>
        <x:v>기재</x:v>
      </x:c>
      <x:c r="P471" s="2" t="str">
        <x:f>IF('신청 원장'!A3234="","",'신청 원장'!A3234)</x:f>
        <x:v>ba5d88060ec15691749050ef</x:v>
      </x:c>
    </x:row>
    <x:row r="472" ht="42" customHeight="1">
      <x:c r="A472" s="2" t="str">
        <x:f>IF('신청 원장'!B3235="","",'신청 원장'!B3235)</x:f>
        <x:v>인증 비공개 신청</x:v>
      </x:c>
      <x:c r="B472" s="7" t="str">
        <x:f>IF('신청 원장'!D3235="","",'신청 원장'!D3235)</x:f>
        <x:v>동신산업 평택공장의 B-C유에서 LNG로 연료전환을 통한 온실가스 배출 감축사업</x:v>
      </x:c>
      <x:c r="C472" s="2" t="str">
        <x:f>IF('신청 원장'!F3235="","",'신청 원장'!F3235)</x:f>
        <x:v>2022-07-20</x:v>
      </x:c>
      <x:c r="D472" s="2" t="str">
        <x:f>IF('신청 원장'!J3235="","",'신청 원장'!J3235)</x:f>
        <x:v>보완요청</x:v>
      </x:c>
      <x:c r="E472" s="2" t="str">
        <x:f>IF('신청 원장'!L3235="","",'신청 원장'!L3235)</x:f>
        <x:v>에코시안</x:v>
      </x:c>
      <x:c r="F472" s="2" t="str">
        <x:f>IF('신청 원장'!M3235="","",'신청 원장'!M3235)</x:f>
      </x:c>
      <x:c r="G472" s="2" t="n">
        <x:f>IF('신청 원장'!N3235="","",'신청 원장'!N3235)</x:f>
        <x:v>1548</x:v>
      </x:c>
      <x:c r="H472" s="2" t="str">
        <x:f>IF('신청 원장'!AA3235="","",'신청 원장'!AA3235)</x:f>
        <x:v>내부 관찰 대상</x:v>
      </x:c>
      <x:c r="I472" s="2" t="str">
        <x:f>IF('신청 원장'!O3235="","",'신청 원장'!O3235)</x:f>
      </x:c>
      <x:c r="J472" s="2" t="str">
        <x:f>IF('신청 원장'!W3235="","",'신청 원장'!W3235)</x:f>
      </x:c>
      <x:c r="K472" s="2" t="str">
        <x:f>IF('신청 원장'!X3235="","",'신청 원장'!X3235)</x:f>
        <x:v>보완 회신 일정 확인</x:v>
      </x:c>
      <x:c r="L472" s="2" t="str">
        <x:f>IF('신청 원장'!R3235="","",'신청 원장'!R3235)</x:f>
        <x:v>(비공개)국내인증</x:v>
      </x:c>
      <x:c r="M472" s="2" t="n">
        <x:f>IF('신청 원장'!S3235="","",'신청 원장'!S3235)</x:f>
        <x:v>13</x:v>
      </x:c>
      <x:c r="N472" s="2" t="str">
        <x:f>IF('신청 원장'!K3235&lt;&gt;"미종결 표시","종결 상태 확인",IF('신청 원장'!N3235="","일자 확인 필요",IF('신청 원장'!N3235&gt;365,"366일 이상",IF('신청 원장'!N3235&gt;90,"91~365일",IF('신청 원장'!N3235&gt;30,"31~90일","0~30일")))))</x:f>
        <x:v>366일 이상</x:v>
      </x:c>
      <x:c r="O472" s="2" t="str">
        <x:f>IF(OR('신청 원장'!L3235="",'신청 원장'!L3235="선택"),"담당 원문 확인","기재")</x:f>
        <x:v>기재</x:v>
      </x:c>
      <x:c r="P472" s="2" t="str">
        <x:f>IF('신청 원장'!A3235="","",'신청 원장'!A3235)</x:f>
        <x:v>b69625d1d4a17619eea32a23</x:v>
      </x:c>
    </x:row>
    <x:row r="473" ht="42" customHeight="1">
      <x:c r="A473" s="2" t="str">
        <x:f>IF('신청 원장'!B3236="","",'신청 원장'!B3236)</x:f>
        <x:v>인증 비공개 신청</x:v>
      </x:c>
      <x:c r="B473" s="7" t="str">
        <x:f>IF('신청 원장'!D3236="","",'신청 원장'!D3236)</x:f>
        <x:v>부천수지의 B-C유에서 도시가스(LNG)로 연료전환을 통한 온실가스 배출 감축사업</x:v>
      </x:c>
      <x:c r="C473" s="2" t="str">
        <x:f>IF('신청 원장'!F3236="","",'신청 원장'!F3236)</x:f>
        <x:v>2022-06-10</x:v>
      </x:c>
      <x:c r="D473" s="2" t="str">
        <x:f>IF('신청 원장'!J3236="","",'신청 원장'!J3236)</x:f>
        <x:v>보완요청</x:v>
      </x:c>
      <x:c r="E473" s="2" t="str">
        <x:f>IF('신청 원장'!L3236="","",'신청 원장'!L3236)</x:f>
        <x:v>에코시안_조영우</x:v>
      </x:c>
      <x:c r="F473" s="2" t="str">
        <x:f>IF('신청 원장'!M3236="","",'신청 원장'!M3236)</x:f>
      </x:c>
      <x:c r="G473" s="2" t="n">
        <x:f>IF('신청 원장'!N3236="","",'신청 원장'!N3236)</x:f>
        <x:v>1588</x:v>
      </x:c>
      <x:c r="H473" s="2" t="str">
        <x:f>IF('신청 원장'!AA3236="","",'신청 원장'!AA3236)</x:f>
        <x:v>내부 관찰 대상</x:v>
      </x:c>
      <x:c r="I473" s="2" t="str">
        <x:f>IF('신청 원장'!O3236="","",'신청 원장'!O3236)</x:f>
      </x:c>
      <x:c r="J473" s="2" t="str">
        <x:f>IF('신청 원장'!W3236="","",'신청 원장'!W3236)</x:f>
      </x:c>
      <x:c r="K473" s="2" t="str">
        <x:f>IF('신청 원장'!X3236="","",'신청 원장'!X3236)</x:f>
        <x:v>보완 회신 일정 확인</x:v>
      </x:c>
      <x:c r="L473" s="2" t="str">
        <x:f>IF('신청 원장'!R3236="","",'신청 원장'!R3236)</x:f>
        <x:v>(비공개)국내인증</x:v>
      </x:c>
      <x:c r="M473" s="2" t="n">
        <x:f>IF('신청 원장'!S3236="","",'신청 원장'!S3236)</x:f>
        <x:v>14</x:v>
      </x:c>
      <x:c r="N473" s="2" t="str">
        <x:f>IF('신청 원장'!K3236&lt;&gt;"미종결 표시","종결 상태 확인",IF('신청 원장'!N3236="","일자 확인 필요",IF('신청 원장'!N3236&gt;365,"366일 이상",IF('신청 원장'!N3236&gt;90,"91~365일",IF('신청 원장'!N3236&gt;30,"31~90일","0~30일")))))</x:f>
        <x:v>366일 이상</x:v>
      </x:c>
      <x:c r="O473" s="2" t="str">
        <x:f>IF(OR('신청 원장'!L3236="",'신청 원장'!L3236="선택"),"담당 원문 확인","기재")</x:f>
        <x:v>기재</x:v>
      </x:c>
      <x:c r="P473" s="2" t="str">
        <x:f>IF('신청 원장'!A3236="","",'신청 원장'!A3236)</x:f>
        <x:v>5e72d4b053e893a078523f9a</x:v>
      </x:c>
    </x:row>
    <x:row r="474" ht="42" customHeight="1">
      <x:c r="A474" s="2" t="str">
        <x:f>IF('신청 원장'!B3237="","",'신청 원장'!B3237)</x:f>
        <x:v>인증 비공개 신청</x:v>
      </x:c>
      <x:c r="B474" s="7" t="str">
        <x:f>IF('신청 원장'!D3237="","",'신청 원장'!D3237)</x:f>
        <x:v>태림포장의 B-C유에서 LNG로 연료전환을 통한 온실가스 배출 감축사업</x:v>
      </x:c>
      <x:c r="C474" s="2" t="str">
        <x:f>IF('신청 원장'!F3237="","",'신청 원장'!F3237)</x:f>
        <x:v>2022-06-10</x:v>
      </x:c>
      <x:c r="D474" s="2" t="str">
        <x:f>IF('신청 원장'!J3237="","",'신청 원장'!J3237)</x:f>
        <x:v>보완요청</x:v>
      </x:c>
      <x:c r="E474" s="2" t="str">
        <x:f>IF('신청 원장'!L3237="","",'신청 원장'!L3237)</x:f>
        <x:v>에코시안_조영우</x:v>
      </x:c>
      <x:c r="F474" s="2" t="str">
        <x:f>IF('신청 원장'!M3237="","",'신청 원장'!M3237)</x:f>
      </x:c>
      <x:c r="G474" s="2" t="n">
        <x:f>IF('신청 원장'!N3237="","",'신청 원장'!N3237)</x:f>
        <x:v>1588</x:v>
      </x:c>
      <x:c r="H474" s="2" t="str">
        <x:f>IF('신청 원장'!AA3237="","",'신청 원장'!AA3237)</x:f>
        <x:v>내부 관찰 대상</x:v>
      </x:c>
      <x:c r="I474" s="2" t="str">
        <x:f>IF('신청 원장'!O3237="","",'신청 원장'!O3237)</x:f>
      </x:c>
      <x:c r="J474" s="2" t="str">
        <x:f>IF('신청 원장'!W3237="","",'신청 원장'!W3237)</x:f>
      </x:c>
      <x:c r="K474" s="2" t="str">
        <x:f>IF('신청 원장'!X3237="","",'신청 원장'!X3237)</x:f>
        <x:v>보완 회신 일정 확인</x:v>
      </x:c>
      <x:c r="L474" s="2" t="str">
        <x:f>IF('신청 원장'!R3237="","",'신청 원장'!R3237)</x:f>
        <x:v>(비공개)국내인증</x:v>
      </x:c>
      <x:c r="M474" s="2" t="n">
        <x:f>IF('신청 원장'!S3237="","",'신청 원장'!S3237)</x:f>
        <x:v>15</x:v>
      </x:c>
      <x:c r="N474" s="2" t="str">
        <x:f>IF('신청 원장'!K3237&lt;&gt;"미종결 표시","종결 상태 확인",IF('신청 원장'!N3237="","일자 확인 필요",IF('신청 원장'!N3237&gt;365,"366일 이상",IF('신청 원장'!N3237&gt;90,"91~365일",IF('신청 원장'!N3237&gt;30,"31~90일","0~30일")))))</x:f>
        <x:v>366일 이상</x:v>
      </x:c>
      <x:c r="O474" s="2" t="str">
        <x:f>IF(OR('신청 원장'!L3237="",'신청 원장'!L3237="선택"),"담당 원문 확인","기재")</x:f>
        <x:v>기재</x:v>
      </x:c>
      <x:c r="P474" s="2" t="str">
        <x:f>IF('신청 원장'!A3237="","",'신청 원장'!A3237)</x:f>
        <x:v>3fa0c572cc90862aded04c0b</x:v>
      </x:c>
    </x:row>
    <x:row r="475" ht="42" customHeight="1">
      <x:c r="A475" s="2" t="str">
        <x:f>IF('신청 원장'!B3238="","",'신청 원장'!B3238)</x:f>
        <x:v>인증 비공개 신청</x:v>
      </x:c>
      <x:c r="B475" s="7" t="str">
        <x:f>IF('신청 원장'!D3238="","",'신청 원장'!D3238)</x:f>
        <x:v>(주)덕산의 신재 및 재생 드라이어의 B-C유에서 도시가스(LNG)로 연료전환을 통한 온실가스 배출 감축사업</x:v>
      </x:c>
      <x:c r="C475" s="2" t="str">
        <x:f>IF('신청 원장'!F3238="","",'신청 원장'!F3238)</x:f>
        <x:v>2022-05-30</x:v>
      </x:c>
      <x:c r="D475" s="2" t="str">
        <x:f>IF('신청 원장'!J3238="","",'신청 원장'!J3238)</x:f>
        <x:v>보완요청</x:v>
      </x:c>
      <x:c r="E475" s="2" t="str">
        <x:f>IF('신청 원장'!L3238="","",'신청 원장'!L3238)</x:f>
        <x:v>에코시안_조영우</x:v>
      </x:c>
      <x:c r="F475" s="2" t="str">
        <x:f>IF('신청 원장'!M3238="","",'신청 원장'!M3238)</x:f>
      </x:c>
      <x:c r="G475" s="2" t="n">
        <x:f>IF('신청 원장'!N3238="","",'신청 원장'!N3238)</x:f>
        <x:v>1599</x:v>
      </x:c>
      <x:c r="H475" s="2" t="str">
        <x:f>IF('신청 원장'!AA3238="","",'신청 원장'!AA3238)</x:f>
        <x:v>내부 관찰 대상</x:v>
      </x:c>
      <x:c r="I475" s="2" t="str">
        <x:f>IF('신청 원장'!O3238="","",'신청 원장'!O3238)</x:f>
      </x:c>
      <x:c r="J475" s="2" t="str">
        <x:f>IF('신청 원장'!W3238="","",'신청 원장'!W3238)</x:f>
      </x:c>
      <x:c r="K475" s="2" t="str">
        <x:f>IF('신청 원장'!X3238="","",'신청 원장'!X3238)</x:f>
        <x:v>보완 회신 일정 확인</x:v>
      </x:c>
      <x:c r="L475" s="2" t="str">
        <x:f>IF('신청 원장'!R3238="","",'신청 원장'!R3238)</x:f>
        <x:v>(비공개)국내인증</x:v>
      </x:c>
      <x:c r="M475" s="2" t="n">
        <x:f>IF('신청 원장'!S3238="","",'신청 원장'!S3238)</x:f>
        <x:v>16</x:v>
      </x:c>
      <x:c r="N475" s="2" t="str">
        <x:f>IF('신청 원장'!K3238&lt;&gt;"미종결 표시","종결 상태 확인",IF('신청 원장'!N3238="","일자 확인 필요",IF('신청 원장'!N3238&gt;365,"366일 이상",IF('신청 원장'!N3238&gt;90,"91~365일",IF('신청 원장'!N3238&gt;30,"31~90일","0~30일")))))</x:f>
        <x:v>366일 이상</x:v>
      </x:c>
      <x:c r="O475" s="2" t="str">
        <x:f>IF(OR('신청 원장'!L3238="",'신청 원장'!L3238="선택"),"담당 원문 확인","기재")</x:f>
        <x:v>기재</x:v>
      </x:c>
      <x:c r="P475" s="2" t="str">
        <x:f>IF('신청 원장'!A3238="","",'신청 원장'!A3238)</x:f>
        <x:v>e25675eea36da3f2be769069</x:v>
      </x:c>
    </x:row>
    <x:row r="476" ht="42" customHeight="1">
      <x:c r="A476" s="2" t="str">
        <x:f>IF('신청 원장'!B3239="","",'신청 원장'!B3239)</x:f>
        <x:v>인증 비공개 신청</x:v>
      </x:c>
      <x:c r="B476" s="7" t="str">
        <x:f>IF('신청 원장'!D3239="","",'신청 원장'!D3239)</x:f>
        <x:v>대평산업개발의 정제유 및 B-C유에서 도시가스(LNG)로의 연료전환을 통한 온실가스 배출 감축사업</x:v>
      </x:c>
      <x:c r="C476" s="2" t="str">
        <x:f>IF('신청 원장'!F3239="","",'신청 원장'!F3239)</x:f>
        <x:v>2022-05-16</x:v>
      </x:c>
      <x:c r="D476" s="2" t="str">
        <x:f>IF('신청 원장'!J3239="","",'신청 원장'!J3239)</x:f>
        <x:v>보완요청</x:v>
      </x:c>
      <x:c r="E476" s="2" t="str">
        <x:f>IF('신청 원장'!L3239="","",'신청 원장'!L3239)</x:f>
        <x:v>에코시안_조영우</x:v>
      </x:c>
      <x:c r="F476" s="2" t="str">
        <x:f>IF('신청 원장'!M3239="","",'신청 원장'!M3239)</x:f>
      </x:c>
      <x:c r="G476" s="2" t="n">
        <x:f>IF('신청 원장'!N3239="","",'신청 원장'!N3239)</x:f>
        <x:v>1613</x:v>
      </x:c>
      <x:c r="H476" s="2" t="str">
        <x:f>IF('신청 원장'!AA3239="","",'신청 원장'!AA3239)</x:f>
        <x:v>내부 관찰 대상</x:v>
      </x:c>
      <x:c r="I476" s="2" t="str">
        <x:f>IF('신청 원장'!O3239="","",'신청 원장'!O3239)</x:f>
      </x:c>
      <x:c r="J476" s="2" t="str">
        <x:f>IF('신청 원장'!W3239="","",'신청 원장'!W3239)</x:f>
      </x:c>
      <x:c r="K476" s="2" t="str">
        <x:f>IF('신청 원장'!X3239="","",'신청 원장'!X3239)</x:f>
        <x:v>보완 회신 일정 확인</x:v>
      </x:c>
      <x:c r="L476" s="2" t="str">
        <x:f>IF('신청 원장'!R3239="","",'신청 원장'!R3239)</x:f>
        <x:v>(비공개)국내인증</x:v>
      </x:c>
      <x:c r="M476" s="2" t="n">
        <x:f>IF('신청 원장'!S3239="","",'신청 원장'!S3239)</x:f>
        <x:v>17</x:v>
      </x:c>
      <x:c r="N476" s="2" t="str">
        <x:f>IF('신청 원장'!K3239&lt;&gt;"미종결 표시","종결 상태 확인",IF('신청 원장'!N3239="","일자 확인 필요",IF('신청 원장'!N3239&gt;365,"366일 이상",IF('신청 원장'!N3239&gt;90,"91~365일",IF('신청 원장'!N3239&gt;30,"31~90일","0~30일")))))</x:f>
        <x:v>366일 이상</x:v>
      </x:c>
      <x:c r="O476" s="2" t="str">
        <x:f>IF(OR('신청 원장'!L3239="",'신청 원장'!L3239="선택"),"담당 원문 확인","기재")</x:f>
        <x:v>기재</x:v>
      </x:c>
      <x:c r="P476" s="2" t="str">
        <x:f>IF('신청 원장'!A3239="","",'신청 원장'!A3239)</x:f>
        <x:v>496e0f8d63a165b7e508609a</x:v>
      </x:c>
    </x:row>
    <x:row r="477" ht="42" customHeight="1">
      <x:c r="A477" s="2" t="str">
        <x:f>IF('신청 원장'!B3240="","",'신청 원장'!B3240)</x:f>
        <x:v>인증 비공개 신청</x:v>
      </x:c>
      <x:c r="B477" s="7" t="str">
        <x:f>IF('신청 원장'!D3240="","",'신청 원장'!D3240)</x:f>
        <x:v>덕산지에스의 부생연료유 2호에서 도시가스(LNG)로의 연료전환을 통한 온실가스 배출 감축사업</x:v>
      </x:c>
      <x:c r="C477" s="2" t="str">
        <x:f>IF('신청 원장'!F3240="","",'신청 원장'!F3240)</x:f>
        <x:v>2022-05-16</x:v>
      </x:c>
      <x:c r="D477" s="2" t="str">
        <x:f>IF('신청 원장'!J3240="","",'신청 원장'!J3240)</x:f>
        <x:v>보완요청</x:v>
      </x:c>
      <x:c r="E477" s="2" t="str">
        <x:f>IF('신청 원장'!L3240="","",'신청 원장'!L3240)</x:f>
        <x:v>에코시안_조영우</x:v>
      </x:c>
      <x:c r="F477" s="2" t="str">
        <x:f>IF('신청 원장'!M3240="","",'신청 원장'!M3240)</x:f>
      </x:c>
      <x:c r="G477" s="2" t="n">
        <x:f>IF('신청 원장'!N3240="","",'신청 원장'!N3240)</x:f>
        <x:v>1613</x:v>
      </x:c>
      <x:c r="H477" s="2" t="str">
        <x:f>IF('신청 원장'!AA3240="","",'신청 원장'!AA3240)</x:f>
        <x:v>내부 관찰 대상</x:v>
      </x:c>
      <x:c r="I477" s="2" t="str">
        <x:f>IF('신청 원장'!O3240="","",'신청 원장'!O3240)</x:f>
      </x:c>
      <x:c r="J477" s="2" t="str">
        <x:f>IF('신청 원장'!W3240="","",'신청 원장'!W3240)</x:f>
      </x:c>
      <x:c r="K477" s="2" t="str">
        <x:f>IF('신청 원장'!X3240="","",'신청 원장'!X3240)</x:f>
        <x:v>보완 회신 일정 확인</x:v>
      </x:c>
      <x:c r="L477" s="2" t="str">
        <x:f>IF('신청 원장'!R3240="","",'신청 원장'!R3240)</x:f>
        <x:v>(비공개)국내인증</x:v>
      </x:c>
      <x:c r="M477" s="2" t="n">
        <x:f>IF('신청 원장'!S3240="","",'신청 원장'!S3240)</x:f>
        <x:v>18</x:v>
      </x:c>
      <x:c r="N477" s="2" t="str">
        <x:f>IF('신청 원장'!K3240&lt;&gt;"미종결 표시","종결 상태 확인",IF('신청 원장'!N3240="","일자 확인 필요",IF('신청 원장'!N3240&gt;365,"366일 이상",IF('신청 원장'!N3240&gt;90,"91~365일",IF('신청 원장'!N3240&gt;30,"31~90일","0~30일")))))</x:f>
        <x:v>366일 이상</x:v>
      </x:c>
      <x:c r="O477" s="2" t="str">
        <x:f>IF(OR('신청 원장'!L3240="",'신청 원장'!L3240="선택"),"담당 원문 확인","기재")</x:f>
        <x:v>기재</x:v>
      </x:c>
      <x:c r="P477" s="2" t="str">
        <x:f>IF('신청 원장'!A3240="","",'신청 원장'!A3240)</x:f>
        <x:v>86f7ee2b3a39ff00606f2e88</x:v>
      </x:c>
    </x:row>
    <x:row r="478" ht="42" customHeight="1">
      <x:c r="A478" s="2" t="str">
        <x:f>IF('신청 원장'!B3241="","",'신청 원장'!B3241)</x:f>
        <x:v>인증 비공개 신청</x:v>
      </x:c>
      <x:c r="B478" s="7" t="str">
        <x:f>IF('신청 원장'!D3241="","",'신청 원장'!D3241)</x:f>
        <x:v>이연제약 진천공장의 B-C유에서 LNG로의 연료전환을 통한 온실가스 배출 감축사업</x:v>
      </x:c>
      <x:c r="C478" s="2" t="str">
        <x:f>IF('신청 원장'!F3241="","",'신청 원장'!F3241)</x:f>
        <x:v>2022-02-15</x:v>
      </x:c>
      <x:c r="D478" s="2" t="str">
        <x:f>IF('신청 원장'!J3241="","",'신청 원장'!J3241)</x:f>
        <x:v>보완요청</x:v>
      </x:c>
      <x:c r="E478" s="2" t="str">
        <x:f>IF('신청 원장'!L3241="","",'신청 원장'!L3241)</x:f>
        <x:v>에코시안</x:v>
      </x:c>
      <x:c r="F478" s="2" t="str">
        <x:f>IF('신청 원장'!M3241="","",'신청 원장'!M3241)</x:f>
      </x:c>
      <x:c r="G478" s="2" t="n">
        <x:f>IF('신청 원장'!N3241="","",'신청 원장'!N3241)</x:f>
        <x:v>1703</x:v>
      </x:c>
      <x:c r="H478" s="2" t="str">
        <x:f>IF('신청 원장'!AA3241="","",'신청 원장'!AA3241)</x:f>
        <x:v>내부 관찰 대상</x:v>
      </x:c>
      <x:c r="I478" s="2" t="str">
        <x:f>IF('신청 원장'!O3241="","",'신청 원장'!O3241)</x:f>
      </x:c>
      <x:c r="J478" s="2" t="str">
        <x:f>IF('신청 원장'!W3241="","",'신청 원장'!W3241)</x:f>
      </x:c>
      <x:c r="K478" s="2" t="str">
        <x:f>IF('신청 원장'!X3241="","",'신청 원장'!X3241)</x:f>
        <x:v>보완 회신 일정 확인</x:v>
      </x:c>
      <x:c r="L478" s="2" t="str">
        <x:f>IF('신청 원장'!R3241="","",'신청 원장'!R3241)</x:f>
        <x:v>(비공개)국내인증</x:v>
      </x:c>
      <x:c r="M478" s="2" t="n">
        <x:f>IF('신청 원장'!S3241="","",'신청 원장'!S3241)</x:f>
        <x:v>19</x:v>
      </x:c>
      <x:c r="N478" s="2" t="str">
        <x:f>IF('신청 원장'!K3241&lt;&gt;"미종결 표시","종결 상태 확인",IF('신청 원장'!N3241="","일자 확인 필요",IF('신청 원장'!N3241&gt;365,"366일 이상",IF('신청 원장'!N3241&gt;90,"91~365일",IF('신청 원장'!N3241&gt;30,"31~90일","0~30일")))))</x:f>
        <x:v>366일 이상</x:v>
      </x:c>
      <x:c r="O478" s="2" t="str">
        <x:f>IF(OR('신청 원장'!L3241="",'신청 원장'!L3241="선택"),"담당 원문 확인","기재")</x:f>
        <x:v>기재</x:v>
      </x:c>
      <x:c r="P478" s="2" t="str">
        <x:f>IF('신청 원장'!A3241="","",'신청 원장'!A3241)</x:f>
        <x:v>0908f0046cdf23762f832115</x:v>
      </x:c>
    </x:row>
    <x:row r="479" ht="42" customHeight="1">
      <x:c r="A479" s="2" t="str">
        <x:f>IF('신청 원장'!B3242="","",'신청 원장'!B3242)</x:f>
        <x:v>인증 비공개 신청</x:v>
      </x:c>
      <x:c r="B479" s="7" t="str">
        <x:f>IF('신청 원장'!D3242="","",'신청 원장'!D3242)</x:f>
        <x:v>(주)선일로에스의 B-A유에서 LNG로 연료전환을 통한 온실가스 배출 감축사업</x:v>
      </x:c>
      <x:c r="C479" s="2" t="str">
        <x:f>IF('신청 원장'!F3242="","",'신청 원장'!F3242)</x:f>
        <x:v>2022-01-04</x:v>
      </x:c>
      <x:c r="D479" s="2" t="str">
        <x:f>IF('신청 원장'!J3242="","",'신청 원장'!J3242)</x:f>
        <x:v>보완요청</x:v>
      </x:c>
      <x:c r="E479" s="2" t="str">
        <x:f>IF('신청 원장'!L3242="","",'신청 원장'!L3242)</x:f>
        <x:v>에코시안</x:v>
      </x:c>
      <x:c r="F479" s="2" t="str">
        <x:f>IF('신청 원장'!M3242="","",'신청 원장'!M3242)</x:f>
      </x:c>
      <x:c r="G479" s="2" t="n">
        <x:f>IF('신청 원장'!N3242="","",'신청 원장'!N3242)</x:f>
        <x:v>1745</x:v>
      </x:c>
      <x:c r="H479" s="2" t="str">
        <x:f>IF('신청 원장'!AA3242="","",'신청 원장'!AA3242)</x:f>
        <x:v>내부 관찰 대상</x:v>
      </x:c>
      <x:c r="I479" s="2" t="str">
        <x:f>IF('신청 원장'!O3242="","",'신청 원장'!O3242)</x:f>
      </x:c>
      <x:c r="J479" s="2" t="str">
        <x:f>IF('신청 원장'!W3242="","",'신청 원장'!W3242)</x:f>
      </x:c>
      <x:c r="K479" s="2" t="str">
        <x:f>IF('신청 원장'!X3242="","",'신청 원장'!X3242)</x:f>
        <x:v>보완 회신 일정 확인</x:v>
      </x:c>
      <x:c r="L479" s="2" t="str">
        <x:f>IF('신청 원장'!R3242="","",'신청 원장'!R3242)</x:f>
        <x:v>(비공개)국내인증</x:v>
      </x:c>
      <x:c r="M479" s="2" t="n">
        <x:f>IF('신청 원장'!S3242="","",'신청 원장'!S3242)</x:f>
        <x:v>20</x:v>
      </x:c>
      <x:c r="N479" s="2" t="str">
        <x:f>IF('신청 원장'!K3242&lt;&gt;"미종결 표시","종결 상태 확인",IF('신청 원장'!N3242="","일자 확인 필요",IF('신청 원장'!N3242&gt;365,"366일 이상",IF('신청 원장'!N3242&gt;90,"91~365일",IF('신청 원장'!N3242&gt;30,"31~90일","0~30일")))))</x:f>
        <x:v>366일 이상</x:v>
      </x:c>
      <x:c r="O479" s="2" t="str">
        <x:f>IF(OR('신청 원장'!L3242="",'신청 원장'!L3242="선택"),"담당 원문 확인","기재")</x:f>
        <x:v>기재</x:v>
      </x:c>
      <x:c r="P479" s="2" t="str">
        <x:f>IF('신청 원장'!A3242="","",'신청 원장'!A3242)</x:f>
        <x:v>da01fafcafbea15d1a778df6</x:v>
      </x:c>
    </x:row>
    <x:row r="480" ht="42" customHeight="1">
      <x:c r="A480" s="2" t="str">
        <x:f>IF('신청 원장'!B3243="","",'신청 원장'!B3243)</x:f>
        <x:v>인증 비공개 신청</x:v>
      </x:c>
      <x:c r="B480" s="7" t="str">
        <x:f>IF('신청 원장'!D3243="","",'신청 원장'!D3243)</x:f>
        <x:v>금강 연료전환(B-C유-&gt;도시가스) 감축사업(C-002)</x:v>
      </x:c>
      <x:c r="C480" s="2" t="str">
        <x:f>IF('신청 원장'!F3243="","",'신청 원장'!F3243)</x:f>
        <x:v>2021-12-22</x:v>
      </x:c>
      <x:c r="D480" s="2" t="str">
        <x:f>IF('신청 원장'!J3243="","",'신청 원장'!J3243)</x:f>
        <x:v>보완요청</x:v>
      </x:c>
      <x:c r="E480" s="2" t="str">
        <x:f>IF('신청 원장'!L3243="","",'신청 원장'!L3243)</x:f>
        <x:v>에코시안</x:v>
      </x:c>
      <x:c r="F480" s="2" t="str">
        <x:f>IF('신청 원장'!M3243="","",'신청 원장'!M3243)</x:f>
      </x:c>
      <x:c r="G480" s="2" t="n">
        <x:f>IF('신청 원장'!N3243="","",'신청 원장'!N3243)</x:f>
        <x:v>1758</x:v>
      </x:c>
      <x:c r="H480" s="2" t="str">
        <x:f>IF('신청 원장'!AA3243="","",'신청 원장'!AA3243)</x:f>
        <x:v>내부 관찰 대상</x:v>
      </x:c>
      <x:c r="I480" s="2" t="str">
        <x:f>IF('신청 원장'!O3243="","",'신청 원장'!O3243)</x:f>
      </x:c>
      <x:c r="J480" s="2" t="str">
        <x:f>IF('신청 원장'!W3243="","",'신청 원장'!W3243)</x:f>
      </x:c>
      <x:c r="K480" s="2" t="str">
        <x:f>IF('신청 원장'!X3243="","",'신청 원장'!X3243)</x:f>
        <x:v>보완 회신 일정 확인</x:v>
      </x:c>
      <x:c r="L480" s="2" t="str">
        <x:f>IF('신청 원장'!R3243="","",'신청 원장'!R3243)</x:f>
        <x:v>(비공개)국내인증</x:v>
      </x:c>
      <x:c r="M480" s="2" t="n">
        <x:f>IF('신청 원장'!S3243="","",'신청 원장'!S3243)</x:f>
        <x:v>21</x:v>
      </x:c>
      <x:c r="N480" s="2" t="str">
        <x:f>IF('신청 원장'!K3243&lt;&gt;"미종결 표시","종결 상태 확인",IF('신청 원장'!N3243="","일자 확인 필요",IF('신청 원장'!N3243&gt;365,"366일 이상",IF('신청 원장'!N3243&gt;90,"91~365일",IF('신청 원장'!N3243&gt;30,"31~90일","0~30일")))))</x:f>
        <x:v>366일 이상</x:v>
      </x:c>
      <x:c r="O480" s="2" t="str">
        <x:f>IF(OR('신청 원장'!L3243="",'신청 원장'!L3243="선택"),"담당 원문 확인","기재")</x:f>
        <x:v>기재</x:v>
      </x:c>
      <x:c r="P480" s="2" t="str">
        <x:f>IF('신청 원장'!A3243="","",'신청 원장'!A3243)</x:f>
        <x:v>abc4efbda82670021bb58324</x:v>
      </x:c>
    </x:row>
    <x:row r="481" ht="42" customHeight="1">
      <x:c r="A481" s="2" t="str">
        <x:f>IF('신청 원장'!B3244="","",'신청 원장'!B3244)</x:f>
        <x:v>인증 비공개 신청</x:v>
      </x:c>
      <x:c r="B481" s="7" t="str">
        <x:f>IF('신청 원장'!D3244="","",'신청 원장'!D3244)</x:f>
        <x:v>부일레미콘의 B-C유에서 도시가스(LNG)로 연료전환을 통한 온실가스 배출 감축사업</x:v>
      </x:c>
      <x:c r="C481" s="2" t="str">
        <x:f>IF('신청 원장'!F3244="","",'신청 원장'!F3244)</x:f>
        <x:v>2021-12-17</x:v>
      </x:c>
      <x:c r="D481" s="2" t="str">
        <x:f>IF('신청 원장'!J3244="","",'신청 원장'!J3244)</x:f>
        <x:v>보완요청</x:v>
      </x:c>
      <x:c r="E481" s="2" t="str">
        <x:f>IF('신청 원장'!L3244="","",'신청 원장'!L3244)</x:f>
        <x:v>에코시안</x:v>
      </x:c>
      <x:c r="F481" s="2" t="str">
        <x:f>IF('신청 원장'!M3244="","",'신청 원장'!M3244)</x:f>
      </x:c>
      <x:c r="G481" s="2" t="n">
        <x:f>IF('신청 원장'!N3244="","",'신청 원장'!N3244)</x:f>
        <x:v>1763</x:v>
      </x:c>
      <x:c r="H481" s="2" t="str">
        <x:f>IF('신청 원장'!AA3244="","",'신청 원장'!AA3244)</x:f>
        <x:v>내부 관찰 대상</x:v>
      </x:c>
      <x:c r="I481" s="2" t="str">
        <x:f>IF('신청 원장'!O3244="","",'신청 원장'!O3244)</x:f>
      </x:c>
      <x:c r="J481" s="2" t="str">
        <x:f>IF('신청 원장'!W3244="","",'신청 원장'!W3244)</x:f>
      </x:c>
      <x:c r="K481" s="2" t="str">
        <x:f>IF('신청 원장'!X3244="","",'신청 원장'!X3244)</x:f>
        <x:v>보완 회신 일정 확인</x:v>
      </x:c>
      <x:c r="L481" s="2" t="str">
        <x:f>IF('신청 원장'!R3244="","",'신청 원장'!R3244)</x:f>
        <x:v>(비공개)국내인증</x:v>
      </x:c>
      <x:c r="M481" s="2" t="n">
        <x:f>IF('신청 원장'!S3244="","",'신청 원장'!S3244)</x:f>
        <x:v>22</x:v>
      </x:c>
      <x:c r="N481" s="2" t="str">
        <x:f>IF('신청 원장'!K3244&lt;&gt;"미종결 표시","종결 상태 확인",IF('신청 원장'!N3244="","일자 확인 필요",IF('신청 원장'!N3244&gt;365,"366일 이상",IF('신청 원장'!N3244&gt;90,"91~365일",IF('신청 원장'!N3244&gt;30,"31~90일","0~30일")))))</x:f>
        <x:v>366일 이상</x:v>
      </x:c>
      <x:c r="O481" s="2" t="str">
        <x:f>IF(OR('신청 원장'!L3244="",'신청 원장'!L3244="선택"),"담당 원문 확인","기재")</x:f>
        <x:v>기재</x:v>
      </x:c>
      <x:c r="P481" s="2" t="str">
        <x:f>IF('신청 원장'!A3244="","",'신청 원장'!A3244)</x:f>
        <x:v>6261f54aaf8269f01882fa39</x:v>
      </x:c>
    </x:row>
    <x:row r="482" ht="42" customHeight="1">
      <x:c r="A482" s="2" t="str">
        <x:f>IF('신청 원장'!B3245="","",'신청 원장'!B3245)</x:f>
        <x:v>인증 비공개 신청</x:v>
      </x:c>
      <x:c r="B482" s="7" t="str">
        <x:f>IF('신청 원장'!D3245="","",'신청 원장'!D3245)</x:f>
        <x:v>현대리바트의 부생연료 1호에서 LNG로 연료전환을 통한 온실가스 배출 감축사업</x:v>
      </x:c>
      <x:c r="C482" s="2" t="str">
        <x:f>IF('신청 원장'!F3245="","",'신청 원장'!F3245)</x:f>
        <x:v>2021-09-28</x:v>
      </x:c>
      <x:c r="D482" s="2" t="str">
        <x:f>IF('신청 원장'!J3245="","",'신청 원장'!J3245)</x:f>
        <x:v>보완요청</x:v>
      </x:c>
      <x:c r="E482" s="2" t="str">
        <x:f>IF('신청 원장'!L3245="","",'신청 원장'!L3245)</x:f>
        <x:v>에코시안</x:v>
      </x:c>
      <x:c r="F482" s="2" t="str">
        <x:f>IF('신청 원장'!M3245="","",'신청 원장'!M3245)</x:f>
      </x:c>
      <x:c r="G482" s="2" t="n">
        <x:f>IF('신청 원장'!N3245="","",'신청 원장'!N3245)</x:f>
        <x:v>1843</x:v>
      </x:c>
      <x:c r="H482" s="2" t="str">
        <x:f>IF('신청 원장'!AA3245="","",'신청 원장'!AA3245)</x:f>
        <x:v>내부 관찰 대상</x:v>
      </x:c>
      <x:c r="I482" s="2" t="str">
        <x:f>IF('신청 원장'!O3245="","",'신청 원장'!O3245)</x:f>
      </x:c>
      <x:c r="J482" s="2" t="str">
        <x:f>IF('신청 원장'!W3245="","",'신청 원장'!W3245)</x:f>
      </x:c>
      <x:c r="K482" s="2" t="str">
        <x:f>IF('신청 원장'!X3245="","",'신청 원장'!X3245)</x:f>
        <x:v>보완 회신 일정 확인</x:v>
      </x:c>
      <x:c r="L482" s="2" t="str">
        <x:f>IF('신청 원장'!R3245="","",'신청 원장'!R3245)</x:f>
        <x:v>(비공개)국내인증</x:v>
      </x:c>
      <x:c r="M482" s="2" t="n">
        <x:f>IF('신청 원장'!S3245="","",'신청 원장'!S3245)</x:f>
        <x:v>23</x:v>
      </x:c>
      <x:c r="N482" s="2" t="str">
        <x:f>IF('신청 원장'!K3245&lt;&gt;"미종결 표시","종결 상태 확인",IF('신청 원장'!N3245="","일자 확인 필요",IF('신청 원장'!N3245&gt;365,"366일 이상",IF('신청 원장'!N3245&gt;90,"91~365일",IF('신청 원장'!N3245&gt;30,"31~90일","0~30일")))))</x:f>
        <x:v>366일 이상</x:v>
      </x:c>
      <x:c r="O482" s="2" t="str">
        <x:f>IF(OR('신청 원장'!L3245="",'신청 원장'!L3245="선택"),"담당 원문 확인","기재")</x:f>
        <x:v>기재</x:v>
      </x:c>
      <x:c r="P482" s="2" t="str">
        <x:f>IF('신청 원장'!A3245="","",'신청 원장'!A3245)</x:f>
        <x:v>2382bdb64d8015d186362750</x:v>
      </x:c>
    </x:row>
    <x:row r="483" ht="42" customHeight="1">
      <x:c r="A483" s="2" t="str">
        <x:f>IF('신청 원장'!B3246="","",'신청 원장'!B3246)</x:f>
        <x:v>인증 비공개 신청</x:v>
      </x:c>
      <x:c r="B483" s="7" t="str">
        <x:f>IF('신청 원장'!D3246="","",'신청 원장'!D3246)</x:f>
        <x:v>우성세라믹스공업의 LPG에서 LNG로 연료전환을 통한 온실가스 배출 감축사업</x:v>
      </x:c>
      <x:c r="C483" s="2" t="str">
        <x:f>IF('신청 원장'!F3246="","",'신청 원장'!F3246)</x:f>
        <x:v>2021-09-28</x:v>
      </x:c>
      <x:c r="D483" s="2" t="str">
        <x:f>IF('신청 원장'!J3246="","",'신청 원장'!J3246)</x:f>
        <x:v>보완요청</x:v>
      </x:c>
      <x:c r="E483" s="2" t="str">
        <x:f>IF('신청 원장'!L3246="","",'신청 원장'!L3246)</x:f>
        <x:v>에코시안_조영우</x:v>
      </x:c>
      <x:c r="F483" s="2" t="str">
        <x:f>IF('신청 원장'!M3246="","",'신청 원장'!M3246)</x:f>
      </x:c>
      <x:c r="G483" s="2" t="n">
        <x:f>IF('신청 원장'!N3246="","",'신청 원장'!N3246)</x:f>
        <x:v>1843</x:v>
      </x:c>
      <x:c r="H483" s="2" t="str">
        <x:f>IF('신청 원장'!AA3246="","",'신청 원장'!AA3246)</x:f>
        <x:v>내부 관찰 대상</x:v>
      </x:c>
      <x:c r="I483" s="2" t="str">
        <x:f>IF('신청 원장'!O3246="","",'신청 원장'!O3246)</x:f>
      </x:c>
      <x:c r="J483" s="2" t="str">
        <x:f>IF('신청 원장'!W3246="","",'신청 원장'!W3246)</x:f>
      </x:c>
      <x:c r="K483" s="2" t="str">
        <x:f>IF('신청 원장'!X3246="","",'신청 원장'!X3246)</x:f>
        <x:v>보완 회신 일정 확인</x:v>
      </x:c>
      <x:c r="L483" s="2" t="str">
        <x:f>IF('신청 원장'!R3246="","",'신청 원장'!R3246)</x:f>
        <x:v>(비공개)국내인증</x:v>
      </x:c>
      <x:c r="M483" s="2" t="n">
        <x:f>IF('신청 원장'!S3246="","",'신청 원장'!S3246)</x:f>
        <x:v>24</x:v>
      </x:c>
      <x:c r="N483" s="2" t="str">
        <x:f>IF('신청 원장'!K3246&lt;&gt;"미종결 표시","종결 상태 확인",IF('신청 원장'!N3246="","일자 확인 필요",IF('신청 원장'!N3246&gt;365,"366일 이상",IF('신청 원장'!N3246&gt;90,"91~365일",IF('신청 원장'!N3246&gt;30,"31~90일","0~30일")))))</x:f>
        <x:v>366일 이상</x:v>
      </x:c>
      <x:c r="O483" s="2" t="str">
        <x:f>IF(OR('신청 원장'!L3246="",'신청 원장'!L3246="선택"),"담당 원문 확인","기재")</x:f>
        <x:v>기재</x:v>
      </x:c>
      <x:c r="P483" s="2" t="str">
        <x:f>IF('신청 원장'!A3246="","",'신청 원장'!A3246)</x:f>
        <x:v>52e4519f52e665baf64272e5</x:v>
      </x:c>
    </x:row>
    <x:row r="484" ht="42" customHeight="1">
      <x:c r="A484" s="2" t="str">
        <x:f>IF('신청 원장'!B3247="","",'신청 원장'!B3247)</x:f>
        <x:v>인증 비공개 신청</x:v>
      </x:c>
      <x:c r="B484" s="7" t="str">
        <x:f>IF('신청 원장'!D3247="","",'신청 원장'!D3247)</x:f>
        <x:v>태형기업(주) 양주사업장의 B-C유에서 도시가스(LNG)로 연료전환을 통한 온실가스(CO2) 배출 감축사업</x:v>
      </x:c>
      <x:c r="C484" s="2" t="str">
        <x:f>IF('신청 원장'!F3247="","",'신청 원장'!F3247)</x:f>
        <x:v>2021-04-22</x:v>
      </x:c>
      <x:c r="D484" s="2" t="str">
        <x:f>IF('신청 원장'!J3247="","",'신청 원장'!J3247)</x:f>
        <x:v>보완요청</x:v>
      </x:c>
      <x:c r="E484" s="2" t="str">
        <x:f>IF('신청 원장'!L3247="","",'신청 원장'!L3247)</x:f>
        <x:v>에코시안_조영우</x:v>
      </x:c>
      <x:c r="F484" s="2" t="str">
        <x:f>IF('신청 원장'!M3247="","",'신청 원장'!M3247)</x:f>
      </x:c>
      <x:c r="G484" s="2" t="n">
        <x:f>IF('신청 원장'!N3247="","",'신청 원장'!N3247)</x:f>
        <x:v>2002</x:v>
      </x:c>
      <x:c r="H484" s="2" t="str">
        <x:f>IF('신청 원장'!AA3247="","",'신청 원장'!AA3247)</x:f>
        <x:v>내부 관찰 대상</x:v>
      </x:c>
      <x:c r="I484" s="2" t="str">
        <x:f>IF('신청 원장'!O3247="","",'신청 원장'!O3247)</x:f>
      </x:c>
      <x:c r="J484" s="2" t="str">
        <x:f>IF('신청 원장'!W3247="","",'신청 원장'!W3247)</x:f>
      </x:c>
      <x:c r="K484" s="2" t="str">
        <x:f>IF('신청 원장'!X3247="","",'신청 원장'!X3247)</x:f>
        <x:v>보완 회신 일정 확인</x:v>
      </x:c>
      <x:c r="L484" s="2" t="str">
        <x:f>IF('신청 원장'!R3247="","",'신청 원장'!R3247)</x:f>
        <x:v>(비공개)국내인증</x:v>
      </x:c>
      <x:c r="M484" s="2" t="n">
        <x:f>IF('신청 원장'!S3247="","",'신청 원장'!S3247)</x:f>
        <x:v>25</x:v>
      </x:c>
      <x:c r="N484" s="2" t="str">
        <x:f>IF('신청 원장'!K3247&lt;&gt;"미종결 표시","종결 상태 확인",IF('신청 원장'!N3247="","일자 확인 필요",IF('신청 원장'!N3247&gt;365,"366일 이상",IF('신청 원장'!N3247&gt;90,"91~365일",IF('신청 원장'!N3247&gt;30,"31~90일","0~30일")))))</x:f>
        <x:v>366일 이상</x:v>
      </x:c>
      <x:c r="O484" s="2" t="str">
        <x:f>IF(OR('신청 원장'!L3247="",'신청 원장'!L3247="선택"),"담당 원문 확인","기재")</x:f>
        <x:v>기재</x:v>
      </x:c>
      <x:c r="P484" s="2" t="str">
        <x:f>IF('신청 원장'!A3247="","",'신청 원장'!A3247)</x:f>
        <x:v>d1e36bf7d446875b5bfda54d</x:v>
      </x:c>
    </x:row>
    <x:row r="485" ht="42" customHeight="1">
      <x:c r="A485" s="2" t="str">
        <x:f>IF('신청 원장'!B3248="","",'신청 원장'!B3248)</x:f>
        <x:v>인증 비공개 신청</x:v>
      </x:c>
      <x:c r="B485" s="7" t="str">
        <x:f>IF('신청 원장'!D3248="","",'신청 원장'!D3248)</x:f>
        <x:v>덕성 인천사업장의 B-A유 및 B-C유에서 LNG로 연료전환을 통한 온실가스 배출 감축사업</x:v>
      </x:c>
      <x:c r="C485" s="2" t="str">
        <x:f>IF('신청 원장'!F3248="","",'신청 원장'!F3248)</x:f>
        <x:v>2023-11-24</x:v>
      </x:c>
      <x:c r="D485" s="2" t="str">
        <x:f>IF('신청 원장'!J3248="","",'신청 원장'!J3248)</x:f>
        <x:v>보완요청</x:v>
      </x:c>
      <x:c r="E485" s="2" t="str">
        <x:f>IF('신청 원장'!L3248="","",'신청 원장'!L3248)</x:f>
        <x:v>에코시안_조영우</x:v>
      </x:c>
      <x:c r="F485" s="2" t="str">
        <x:f>IF('신청 원장'!M3248="","",'신청 원장'!M3248)</x:f>
      </x:c>
      <x:c r="G485" s="2" t="n">
        <x:f>IF('신청 원장'!N3248="","",'신청 원장'!N3248)</x:f>
        <x:v>1056</x:v>
      </x:c>
      <x:c r="H485" s="2" t="str">
        <x:f>IF('신청 원장'!AA3248="","",'신청 원장'!AA3248)</x:f>
        <x:v>내부 관찰 대상</x:v>
      </x:c>
      <x:c r="I485" s="2" t="str">
        <x:f>IF('신청 원장'!O3248="","",'신청 원장'!O3248)</x:f>
      </x:c>
      <x:c r="J485" s="2" t="str">
        <x:f>IF('신청 원장'!W3248="","",'신청 원장'!W3248)</x:f>
      </x:c>
      <x:c r="K485" s="2" t="str">
        <x:f>IF('신청 원장'!X3248="","",'신청 원장'!X3248)</x:f>
        <x:v>보완 회신 일정 확인</x:v>
      </x:c>
      <x:c r="L485" s="2" t="str">
        <x:f>IF('신청 원장'!R3248="","",'신청 원장'!R3248)</x:f>
        <x:v>(비공개)국내인증</x:v>
      </x:c>
      <x:c r="M485" s="2" t="n">
        <x:f>IF('신청 원장'!S3248="","",'신청 원장'!S3248)</x:f>
        <x:v>26</x:v>
      </x:c>
      <x:c r="N485" s="2" t="str">
        <x:f>IF('신청 원장'!K3248&lt;&gt;"미종결 표시","종결 상태 확인",IF('신청 원장'!N3248="","일자 확인 필요",IF('신청 원장'!N3248&gt;365,"366일 이상",IF('신청 원장'!N3248&gt;90,"91~365일",IF('신청 원장'!N3248&gt;30,"31~90일","0~30일")))))</x:f>
        <x:v>366일 이상</x:v>
      </x:c>
      <x:c r="O485" s="2" t="str">
        <x:f>IF(OR('신청 원장'!L3248="",'신청 원장'!L3248="선택"),"담당 원문 확인","기재")</x:f>
        <x:v>기재</x:v>
      </x:c>
      <x:c r="P485" s="2" t="str">
        <x:f>IF('신청 원장'!A3248="","",'신청 원장'!A3248)</x:f>
        <x:v>fcd24a1ee9c1c6474750c61f</x:v>
      </x:c>
    </x:row>
    <x:row r="486" ht="42" customHeight="1">
      <x:c r="A486" s="2" t="str">
        <x:f>IF('신청 원장'!B3249="","",'신청 원장'!B3249)</x:f>
        <x:v>인증 비공개 신청</x:v>
      </x:c>
      <x:c r="B486" s="7" t="str">
        <x:f>IF('신청 원장'!D3249="","",'신청 원장'!D3249)</x:f>
        <x:v>삼일이노팩의 B-C유에서 LNG로 연료전환을 통한 온실가스 배출 감축사업</x:v>
      </x:c>
      <x:c r="C486" s="2" t="str">
        <x:f>IF('신청 원장'!F3249="","",'신청 원장'!F3249)</x:f>
        <x:v>2022-11-15</x:v>
      </x:c>
      <x:c r="D486" s="2" t="str">
        <x:f>IF('신청 원장'!J3249="","",'신청 원장'!J3249)</x:f>
        <x:v>보완요청</x:v>
      </x:c>
      <x:c r="E486" s="2" t="str">
        <x:f>IF('신청 원장'!L3249="","",'신청 원장'!L3249)</x:f>
        <x:v>에코시안_조영우</x:v>
      </x:c>
      <x:c r="F486" s="2" t="str">
        <x:f>IF('신청 원장'!M3249="","",'신청 원장'!M3249)</x:f>
      </x:c>
      <x:c r="G486" s="2" t="n">
        <x:f>IF('신청 원장'!N3249="","",'신청 원장'!N3249)</x:f>
        <x:v>1430</x:v>
      </x:c>
      <x:c r="H486" s="2" t="str">
        <x:f>IF('신청 원장'!AA3249="","",'신청 원장'!AA3249)</x:f>
        <x:v>내부 관찰 대상</x:v>
      </x:c>
      <x:c r="I486" s="2" t="str">
        <x:f>IF('신청 원장'!O3249="","",'신청 원장'!O3249)</x:f>
      </x:c>
      <x:c r="J486" s="2" t="str">
        <x:f>IF('신청 원장'!W3249="","",'신청 원장'!W3249)</x:f>
      </x:c>
      <x:c r="K486" s="2" t="str">
        <x:f>IF('신청 원장'!X3249="","",'신청 원장'!X3249)</x:f>
        <x:v>보완 회신 일정 확인</x:v>
      </x:c>
      <x:c r="L486" s="2" t="str">
        <x:f>IF('신청 원장'!R3249="","",'신청 원장'!R3249)</x:f>
        <x:v>(비공개)국내인증</x:v>
      </x:c>
      <x:c r="M486" s="2" t="n">
        <x:f>IF('신청 원장'!S3249="","",'신청 원장'!S3249)</x:f>
        <x:v>27</x:v>
      </x:c>
      <x:c r="N486" s="2" t="str">
        <x:f>IF('신청 원장'!K3249&lt;&gt;"미종결 표시","종결 상태 확인",IF('신청 원장'!N3249="","일자 확인 필요",IF('신청 원장'!N3249&gt;365,"366일 이상",IF('신청 원장'!N3249&gt;90,"91~365일",IF('신청 원장'!N3249&gt;30,"31~90일","0~30일")))))</x:f>
        <x:v>366일 이상</x:v>
      </x:c>
      <x:c r="O486" s="2" t="str">
        <x:f>IF(OR('신청 원장'!L3249="",'신청 원장'!L3249="선택"),"담당 원문 확인","기재")</x:f>
        <x:v>기재</x:v>
      </x:c>
      <x:c r="P486" s="2" t="str">
        <x:f>IF('신청 원장'!A3249="","",'신청 원장'!A3249)</x:f>
        <x:v>942a72be564f715a187bbd9d</x:v>
      </x:c>
    </x:row>
    <x:row r="487" ht="42" customHeight="1">
      <x:c r="A487" s="2" t="str">
        <x:f>IF('신청 원장'!B3250="","",'신청 원장'!B3250)</x:f>
        <x:v>인증 비공개 신청</x:v>
      </x:c>
      <x:c r="B487" s="7" t="str">
        <x:f>IF('신청 원장'!D3250="","",'신청 원장'!D3250)</x:f>
        <x:v>한미약품의 경유에서 LNG로 연료전환을 통한 온실가스 배출 감축사업</x:v>
      </x:c>
      <x:c r="C487" s="2" t="str">
        <x:f>IF('신청 원장'!F3250="","",'신청 원장'!F3250)</x:f>
        <x:v>2021-02-09</x:v>
      </x:c>
      <x:c r="D487" s="2" t="str">
        <x:f>IF('신청 원장'!J3250="","",'신청 원장'!J3250)</x:f>
        <x:v>보완요청</x:v>
      </x:c>
      <x:c r="E487" s="2" t="str">
        <x:f>IF('신청 원장'!L3250="","",'신청 원장'!L3250)</x:f>
        <x:v>에코시안_조영우</x:v>
      </x:c>
      <x:c r="F487" s="2" t="str">
        <x:f>IF('신청 원장'!M3250="","",'신청 원장'!M3250)</x:f>
      </x:c>
      <x:c r="G487" s="2" t="n">
        <x:f>IF('신청 원장'!N3250="","",'신청 원장'!N3250)</x:f>
        <x:v>2074</x:v>
      </x:c>
      <x:c r="H487" s="2" t="str">
        <x:f>IF('신청 원장'!AA3250="","",'신청 원장'!AA3250)</x:f>
        <x:v>내부 관찰 대상</x:v>
      </x:c>
      <x:c r="I487" s="2" t="str">
        <x:f>IF('신청 원장'!O3250="","",'신청 원장'!O3250)</x:f>
      </x:c>
      <x:c r="J487" s="2" t="str">
        <x:f>IF('신청 원장'!W3250="","",'신청 원장'!W3250)</x:f>
      </x:c>
      <x:c r="K487" s="2" t="str">
        <x:f>IF('신청 원장'!X3250="","",'신청 원장'!X3250)</x:f>
        <x:v>보완 회신 일정 확인</x:v>
      </x:c>
      <x:c r="L487" s="2" t="str">
        <x:f>IF('신청 원장'!R3250="","",'신청 원장'!R3250)</x:f>
        <x:v>(비공개)국내인증</x:v>
      </x:c>
      <x:c r="M487" s="2" t="n">
        <x:f>IF('신청 원장'!S3250="","",'신청 원장'!S3250)</x:f>
        <x:v>28</x:v>
      </x:c>
      <x:c r="N487" s="2" t="str">
        <x:f>IF('신청 원장'!K3250&lt;&gt;"미종결 표시","종결 상태 확인",IF('신청 원장'!N3250="","일자 확인 필요",IF('신청 원장'!N3250&gt;365,"366일 이상",IF('신청 원장'!N3250&gt;90,"91~365일",IF('신청 원장'!N3250&gt;30,"31~90일","0~30일")))))</x:f>
        <x:v>366일 이상</x:v>
      </x:c>
      <x:c r="O487" s="2" t="str">
        <x:f>IF(OR('신청 원장'!L3250="",'신청 원장'!L3250="선택"),"담당 원문 확인","기재")</x:f>
        <x:v>기재</x:v>
      </x:c>
      <x:c r="P487" s="2" t="str">
        <x:f>IF('신청 원장'!A3250="","",'신청 원장'!A3250)</x:f>
        <x:v>305f05372f72fdbc60517451</x:v>
      </x:c>
    </x:row>
    <x:row r="488" ht="42" customHeight="1">
      <x:c r="A488" s="2" t="str">
        <x:f>IF('신청 원장'!B3251="","",'신청 원장'!B3251)</x:f>
        <x:v>인증 비공개 신청</x:v>
      </x:c>
      <x:c r="B488" s="7" t="str">
        <x:f>IF('신청 원장'!D3251="","",'신청 원장'!D3251)</x:f>
        <x:v>(주)대평의 연료전환 (B-B유 → LNG)에 의한 온실가스(CO2) 배출 감축사업</x:v>
      </x:c>
      <x:c r="C488" s="2" t="str">
        <x:f>IF('신청 원장'!F3251="","",'신청 원장'!F3251)</x:f>
        <x:v>2021-01-25</x:v>
      </x:c>
      <x:c r="D488" s="2" t="str">
        <x:f>IF('신청 원장'!J3251="","",'신청 원장'!J3251)</x:f>
        <x:v>보완요청</x:v>
      </x:c>
      <x:c r="E488" s="2" t="str">
        <x:f>IF('신청 원장'!L3251="","",'신청 원장'!L3251)</x:f>
        <x:v>에코시안_조영우</x:v>
      </x:c>
      <x:c r="F488" s="2" t="str">
        <x:f>IF('신청 원장'!M3251="","",'신청 원장'!M3251)</x:f>
      </x:c>
      <x:c r="G488" s="2" t="n">
        <x:f>IF('신청 원장'!N3251="","",'신청 원장'!N3251)</x:f>
        <x:v>2089</x:v>
      </x:c>
      <x:c r="H488" s="2" t="str">
        <x:f>IF('신청 원장'!AA3251="","",'신청 원장'!AA3251)</x:f>
        <x:v>내부 관찰 대상</x:v>
      </x:c>
      <x:c r="I488" s="2" t="str">
        <x:f>IF('신청 원장'!O3251="","",'신청 원장'!O3251)</x:f>
      </x:c>
      <x:c r="J488" s="2" t="str">
        <x:f>IF('신청 원장'!W3251="","",'신청 원장'!W3251)</x:f>
      </x:c>
      <x:c r="K488" s="2" t="str">
        <x:f>IF('신청 원장'!X3251="","",'신청 원장'!X3251)</x:f>
        <x:v>보완 회신 일정 확인</x:v>
      </x:c>
      <x:c r="L488" s="2" t="str">
        <x:f>IF('신청 원장'!R3251="","",'신청 원장'!R3251)</x:f>
        <x:v>(비공개)국내인증</x:v>
      </x:c>
      <x:c r="M488" s="2" t="n">
        <x:f>IF('신청 원장'!S3251="","",'신청 원장'!S3251)</x:f>
        <x:v>29</x:v>
      </x:c>
      <x:c r="N488" s="2" t="str">
        <x:f>IF('신청 원장'!K3251&lt;&gt;"미종결 표시","종결 상태 확인",IF('신청 원장'!N3251="","일자 확인 필요",IF('신청 원장'!N3251&gt;365,"366일 이상",IF('신청 원장'!N3251&gt;90,"91~365일",IF('신청 원장'!N3251&gt;30,"31~90일","0~30일")))))</x:f>
        <x:v>366일 이상</x:v>
      </x:c>
      <x:c r="O488" s="2" t="str">
        <x:f>IF(OR('신청 원장'!L3251="",'신청 원장'!L3251="선택"),"담당 원문 확인","기재")</x:f>
        <x:v>기재</x:v>
      </x:c>
      <x:c r="P488" s="2" t="str">
        <x:f>IF('신청 원장'!A3251="","",'신청 원장'!A3251)</x:f>
        <x:v>7e20832a7904c2ade5e82702</x:v>
      </x:c>
    </x:row>
    <x:row r="489" ht="42" customHeight="1">
      <x:c r="A489" s="2" t="str">
        <x:f>IF('신청 원장'!B3252="","",'신청 원장'!B3252)</x:f>
        <x:v>인증 비공개 신청</x:v>
      </x:c>
      <x:c r="B489" s="7" t="str">
        <x:f>IF('신청 원장'!D3252="","",'신청 원장'!D3252)</x:f>
        <x:v>마니커 동두천지점의 B-C유에서 LNG로 연료전환을 통한 온실가스 배출 감축사업</x:v>
      </x:c>
      <x:c r="C489" s="2" t="str">
        <x:f>IF('신청 원장'!F3252="","",'신청 원장'!F3252)</x:f>
        <x:v>2020-09-02</x:v>
      </x:c>
      <x:c r="D489" s="2" t="str">
        <x:f>IF('신청 원장'!J3252="","",'신청 원장'!J3252)</x:f>
        <x:v>보완요청</x:v>
      </x:c>
      <x:c r="E489" s="2" t="str">
        <x:f>IF('신청 원장'!L3252="","",'신청 원장'!L3252)</x:f>
        <x:v>에코시안_조영우</x:v>
      </x:c>
      <x:c r="F489" s="2" t="str">
        <x:f>IF('신청 원장'!M3252="","",'신청 원장'!M3252)</x:f>
      </x:c>
      <x:c r="G489" s="2" t="n">
        <x:f>IF('신청 원장'!N3252="","",'신청 원장'!N3252)</x:f>
        <x:v>2234</x:v>
      </x:c>
      <x:c r="H489" s="2" t="str">
        <x:f>IF('신청 원장'!AA3252="","",'신청 원장'!AA3252)</x:f>
        <x:v>내부 관찰 대상</x:v>
      </x:c>
      <x:c r="I489" s="2" t="str">
        <x:f>IF('신청 원장'!O3252="","",'신청 원장'!O3252)</x:f>
      </x:c>
      <x:c r="J489" s="2" t="str">
        <x:f>IF('신청 원장'!W3252="","",'신청 원장'!W3252)</x:f>
      </x:c>
      <x:c r="K489" s="2" t="str">
        <x:f>IF('신청 원장'!X3252="","",'신청 원장'!X3252)</x:f>
        <x:v>보완 회신 일정 확인</x:v>
      </x:c>
      <x:c r="L489" s="2" t="str">
        <x:f>IF('신청 원장'!R3252="","",'신청 원장'!R3252)</x:f>
        <x:v>(비공개)국내인증</x:v>
      </x:c>
      <x:c r="M489" s="2" t="n">
        <x:f>IF('신청 원장'!S3252="","",'신청 원장'!S3252)</x:f>
        <x:v>30</x:v>
      </x:c>
      <x:c r="N489" s="2" t="str">
        <x:f>IF('신청 원장'!K3252&lt;&gt;"미종결 표시","종결 상태 확인",IF('신청 원장'!N3252="","일자 확인 필요",IF('신청 원장'!N3252&gt;365,"366일 이상",IF('신청 원장'!N3252&gt;90,"91~365일",IF('신청 원장'!N3252&gt;30,"31~90일","0~30일")))))</x:f>
        <x:v>366일 이상</x:v>
      </x:c>
      <x:c r="O489" s="2" t="str">
        <x:f>IF(OR('신청 원장'!L3252="",'신청 원장'!L3252="선택"),"담당 원문 확인","기재")</x:f>
        <x:v>기재</x:v>
      </x:c>
      <x:c r="P489" s="2" t="str">
        <x:f>IF('신청 원장'!A3252="","",'신청 원장'!A3252)</x:f>
        <x:v>6ee330524e1fa7656bd0f82f</x:v>
      </x:c>
    </x:row>
    <x:row r="490" ht="42" customHeight="1">
      <x:c r="A490" s="2" t="str">
        <x:f>IF('신청 원장'!B3254="","",'신청 원장'!B3254)</x:f>
        <x:v>인증 비공개 신청</x:v>
      </x:c>
      <x:c r="B490" s="7" t="str">
        <x:f>IF('신청 원장'!D3254="","",'신청 원장'!D3254)</x:f>
        <x:v>부일화학의 B-C유에서 LNG로 연료전환을 통한 온실가스 배출 감축사업</x:v>
      </x:c>
      <x:c r="C490" s="2" t="str">
        <x:f>IF('신청 원장'!F3254="","",'신청 원장'!F3254)</x:f>
        <x:v>2020-08-24</x:v>
      </x:c>
      <x:c r="D490" s="2" t="str">
        <x:f>IF('신청 원장'!J3254="","",'신청 원장'!J3254)</x:f>
        <x:v>보완요청</x:v>
      </x:c>
      <x:c r="E490" s="2" t="str">
        <x:f>IF('신청 원장'!L3254="","",'신청 원장'!L3254)</x:f>
        <x:v>에코시안_조영우</x:v>
      </x:c>
      <x:c r="F490" s="2" t="str">
        <x:f>IF('신청 원장'!M3254="","",'신청 원장'!M3254)</x:f>
      </x:c>
      <x:c r="G490" s="2" t="n">
        <x:f>IF('신청 원장'!N3254="","",'신청 원장'!N3254)</x:f>
        <x:v>2243</x:v>
      </x:c>
      <x:c r="H490" s="2" t="str">
        <x:f>IF('신청 원장'!AA3254="","",'신청 원장'!AA3254)</x:f>
        <x:v>내부 관찰 대상</x:v>
      </x:c>
      <x:c r="I490" s="2" t="str">
        <x:f>IF('신청 원장'!O3254="","",'신청 원장'!O3254)</x:f>
      </x:c>
      <x:c r="J490" s="2" t="str">
        <x:f>IF('신청 원장'!W3254="","",'신청 원장'!W3254)</x:f>
      </x:c>
      <x:c r="K490" s="2" t="str">
        <x:f>IF('신청 원장'!X3254="","",'신청 원장'!X3254)</x:f>
        <x:v>보완 회신 일정 확인</x:v>
      </x:c>
      <x:c r="L490" s="2" t="str">
        <x:f>IF('신청 원장'!R3254="","",'신청 원장'!R3254)</x:f>
        <x:v>(비공개)국내인증</x:v>
      </x:c>
      <x:c r="M490" s="2" t="n">
        <x:f>IF('신청 원장'!S3254="","",'신청 원장'!S3254)</x:f>
        <x:v>32</x:v>
      </x:c>
      <x:c r="N490" s="2" t="str">
        <x:f>IF('신청 원장'!K3254&lt;&gt;"미종결 표시","종결 상태 확인",IF('신청 원장'!N3254="","일자 확인 필요",IF('신청 원장'!N3254&gt;365,"366일 이상",IF('신청 원장'!N3254&gt;90,"91~365일",IF('신청 원장'!N3254&gt;30,"31~90일","0~30일")))))</x:f>
        <x:v>366일 이상</x:v>
      </x:c>
      <x:c r="O490" s="2" t="str">
        <x:f>IF(OR('신청 원장'!L3254="",'신청 원장'!L3254="선택"),"담당 원문 확인","기재")</x:f>
        <x:v>기재</x:v>
      </x:c>
      <x:c r="P490" s="2" t="str">
        <x:f>IF('신청 원장'!A3254="","",'신청 원장'!A3254)</x:f>
        <x:v>18e6b4f5cbb80bc02f681344</x:v>
      </x:c>
    </x:row>
    <x:row r="491" ht="42" customHeight="1">
      <x:c r="A491" s="2" t="str">
        <x:f>IF('신청 원장'!B3255="","",'신청 원장'!B3255)</x:f>
        <x:v>인증 비공개 신청</x:v>
      </x:c>
      <x:c r="B491" s="7" t="str">
        <x:f>IF('신청 원장'!D3255="","",'신청 원장'!D3255)</x:f>
        <x:v>신성금속 용해로 버너교체에 따른 설비 성능개선 및 연료전환을 통한 온실가스 감축사업</x:v>
      </x:c>
      <x:c r="C491" s="2" t="str">
        <x:f>IF('신청 원장'!F3255="","",'신청 원장'!F3255)</x:f>
        <x:v>2020-07-14</x:v>
      </x:c>
      <x:c r="D491" s="2" t="str">
        <x:f>IF('신청 원장'!J3255="","",'신청 원장'!J3255)</x:f>
        <x:v>보완요청</x:v>
      </x:c>
      <x:c r="E491" s="2" t="str">
        <x:f>IF('신청 원장'!L3255="","",'신청 원장'!L3255)</x:f>
        <x:v>에코시안_조영우</x:v>
      </x:c>
      <x:c r="F491" s="2" t="str">
        <x:f>IF('신청 원장'!M3255="","",'신청 원장'!M3255)</x:f>
      </x:c>
      <x:c r="G491" s="2" t="n">
        <x:f>IF('신청 원장'!N3255="","",'신청 원장'!N3255)</x:f>
        <x:v>2284</x:v>
      </x:c>
      <x:c r="H491" s="2" t="str">
        <x:f>IF('신청 원장'!AA3255="","",'신청 원장'!AA3255)</x:f>
        <x:v>내부 관찰 대상</x:v>
      </x:c>
      <x:c r="I491" s="2" t="str">
        <x:f>IF('신청 원장'!O3255="","",'신청 원장'!O3255)</x:f>
      </x:c>
      <x:c r="J491" s="2" t="str">
        <x:f>IF('신청 원장'!W3255="","",'신청 원장'!W3255)</x:f>
      </x:c>
      <x:c r="K491" s="2" t="str">
        <x:f>IF('신청 원장'!X3255="","",'신청 원장'!X3255)</x:f>
        <x:v>보완 회신 일정 확인</x:v>
      </x:c>
      <x:c r="L491" s="2" t="str">
        <x:f>IF('신청 원장'!R3255="","",'신청 원장'!R3255)</x:f>
        <x:v>(비공개)국내인증</x:v>
      </x:c>
      <x:c r="M491" s="2" t="n">
        <x:f>IF('신청 원장'!S3255="","",'신청 원장'!S3255)</x:f>
        <x:v>33</x:v>
      </x:c>
      <x:c r="N491" s="2" t="str">
        <x:f>IF('신청 원장'!K3255&lt;&gt;"미종결 표시","종결 상태 확인",IF('신청 원장'!N3255="","일자 확인 필요",IF('신청 원장'!N3255&gt;365,"366일 이상",IF('신청 원장'!N3255&gt;90,"91~365일",IF('신청 원장'!N3255&gt;30,"31~90일","0~30일")))))</x:f>
        <x:v>366일 이상</x:v>
      </x:c>
      <x:c r="O491" s="2" t="str">
        <x:f>IF(OR('신청 원장'!L3255="",'신청 원장'!L3255="선택"),"담당 원문 확인","기재")</x:f>
        <x:v>기재</x:v>
      </x:c>
      <x:c r="P491" s="2" t="str">
        <x:f>IF('신청 원장'!A3255="","",'신청 원장'!A3255)</x:f>
        <x:v>ab261c998f7a302168829559</x:v>
      </x:c>
    </x:row>
    <x:row r="492" ht="42" customHeight="1">
      <x:c r="A492" s="2" t="str">
        <x:f>IF('신청 원장'!B3256="","",'신청 원장'!B3256)</x:f>
        <x:v>인증 비공개 신청</x:v>
      </x:c>
      <x:c r="B492" s="7" t="str">
        <x:f>IF('신청 원장'!D3256="","",'신청 원장'!D3256)</x:f>
        <x:v>서울금속공업의 정제유에서 LNG로 연료전환을 통한 온실가스 배출 감축사업</x:v>
      </x:c>
      <x:c r="C492" s="2" t="str">
        <x:f>IF('신청 원장'!F3256="","",'신청 원장'!F3256)</x:f>
        <x:v>2020-07-10</x:v>
      </x:c>
      <x:c r="D492" s="2" t="str">
        <x:f>IF('신청 원장'!J3256="","",'신청 원장'!J3256)</x:f>
        <x:v>보완요청</x:v>
      </x:c>
      <x:c r="E492" s="2" t="str">
        <x:f>IF('신청 원장'!L3256="","",'신청 원장'!L3256)</x:f>
        <x:v>에코시안_조영우</x:v>
      </x:c>
      <x:c r="F492" s="2" t="str">
        <x:f>IF('신청 원장'!M3256="","",'신청 원장'!M3256)</x:f>
      </x:c>
      <x:c r="G492" s="2" t="n">
        <x:f>IF('신청 원장'!N3256="","",'신청 원장'!N3256)</x:f>
        <x:v>2288</x:v>
      </x:c>
      <x:c r="H492" s="2" t="str">
        <x:f>IF('신청 원장'!AA3256="","",'신청 원장'!AA3256)</x:f>
        <x:v>내부 관찰 대상</x:v>
      </x:c>
      <x:c r="I492" s="2" t="str">
        <x:f>IF('신청 원장'!O3256="","",'신청 원장'!O3256)</x:f>
      </x:c>
      <x:c r="J492" s="2" t="str">
        <x:f>IF('신청 원장'!W3256="","",'신청 원장'!W3256)</x:f>
      </x:c>
      <x:c r="K492" s="2" t="str">
        <x:f>IF('신청 원장'!X3256="","",'신청 원장'!X3256)</x:f>
        <x:v>보완 회신 일정 확인</x:v>
      </x:c>
      <x:c r="L492" s="2" t="str">
        <x:f>IF('신청 원장'!R3256="","",'신청 원장'!R3256)</x:f>
        <x:v>(비공개)국내인증</x:v>
      </x:c>
      <x:c r="M492" s="2" t="n">
        <x:f>IF('신청 원장'!S3256="","",'신청 원장'!S3256)</x:f>
        <x:v>34</x:v>
      </x:c>
      <x:c r="N492" s="2" t="str">
        <x:f>IF('신청 원장'!K3256&lt;&gt;"미종결 표시","종결 상태 확인",IF('신청 원장'!N3256="","일자 확인 필요",IF('신청 원장'!N3256&gt;365,"366일 이상",IF('신청 원장'!N3256&gt;90,"91~365일",IF('신청 원장'!N3256&gt;30,"31~90일","0~30일")))))</x:f>
        <x:v>366일 이상</x:v>
      </x:c>
      <x:c r="O492" s="2" t="str">
        <x:f>IF(OR('신청 원장'!L3256="",'신청 원장'!L3256="선택"),"담당 원문 확인","기재")</x:f>
        <x:v>기재</x:v>
      </x:c>
      <x:c r="P492" s="2" t="str">
        <x:f>IF('신청 원장'!A3256="","",'신청 원장'!A3256)</x:f>
        <x:v>4ed7fcf4e4d5bf8697327f96</x:v>
      </x:c>
    </x:row>
    <x:row r="493" ht="42" customHeight="1">
      <x:c r="A493" s="2" t="str">
        <x:f>IF('신청 원장'!B3257="","",'신청 원장'!B3257)</x:f>
        <x:v>인증 비공개 신청</x:v>
      </x:c>
      <x:c r="B493" s="7" t="str">
        <x:f>IF('신청 원장'!D3257="","",'신청 원장'!D3257)</x:f>
        <x:v>카프로 N2O 저감 사업</x:v>
      </x:c>
      <x:c r="C493" s="2" t="str">
        <x:f>IF('신청 원장'!F3257="","",'신청 원장'!F3257)</x:f>
        <x:v>2024-01-24</x:v>
      </x:c>
      <x:c r="D493" s="2" t="str">
        <x:f>IF('신청 원장'!J3257="","",'신청 원장'!J3257)</x:f>
        <x:v>보완요청</x:v>
      </x:c>
      <x:c r="E493" s="2" t="str">
        <x:f>IF('신청 원장'!L3257="","",'신청 원장'!L3257)</x:f>
        <x:v>에코시안_조영우</x:v>
      </x:c>
      <x:c r="F493" s="2" t="str">
        <x:f>IF('신청 원장'!M3257="","",'신청 원장'!M3257)</x:f>
      </x:c>
      <x:c r="G493" s="2" t="n">
        <x:f>IF('신청 원장'!N3257="","",'신청 원장'!N3257)</x:f>
        <x:v>995</x:v>
      </x:c>
      <x:c r="H493" s="2" t="str">
        <x:f>IF('신청 원장'!AA3257="","",'신청 원장'!AA3257)</x:f>
        <x:v>내부 관찰 대상</x:v>
      </x:c>
      <x:c r="I493" s="2" t="str">
        <x:f>IF('신청 원장'!O3257="","",'신청 원장'!O3257)</x:f>
      </x:c>
      <x:c r="J493" s="2" t="str">
        <x:f>IF('신청 원장'!W3257="","",'신청 원장'!W3257)</x:f>
      </x:c>
      <x:c r="K493" s="2" t="str">
        <x:f>IF('신청 원장'!X3257="","",'신청 원장'!X3257)</x:f>
        <x:v>보완 회신 일정 확인</x:v>
      </x:c>
      <x:c r="L493" s="2" t="str">
        <x:f>IF('신청 원장'!R3257="","",'신청 원장'!R3257)</x:f>
        <x:v>(비공개)국내인증</x:v>
      </x:c>
      <x:c r="M493" s="2" t="n">
        <x:f>IF('신청 원장'!S3257="","",'신청 원장'!S3257)</x:f>
        <x:v>35</x:v>
      </x:c>
      <x:c r="N493" s="2" t="str">
        <x:f>IF('신청 원장'!K3257&lt;&gt;"미종결 표시","종결 상태 확인",IF('신청 원장'!N3257="","일자 확인 필요",IF('신청 원장'!N3257&gt;365,"366일 이상",IF('신청 원장'!N3257&gt;90,"91~365일",IF('신청 원장'!N3257&gt;30,"31~90일","0~30일")))))</x:f>
        <x:v>366일 이상</x:v>
      </x:c>
      <x:c r="O493" s="2" t="str">
        <x:f>IF(OR('신청 원장'!L3257="",'신청 원장'!L3257="선택"),"담당 원문 확인","기재")</x:f>
        <x:v>기재</x:v>
      </x:c>
      <x:c r="P493" s="2" t="str">
        <x:f>IF('신청 원장'!A3257="","",'신청 원장'!A3257)</x:f>
        <x:v>9cc076bf9920f6306de0dfc2</x:v>
      </x:c>
    </x:row>
    <x:row r="494" ht="42" customHeight="1">
      <x:c r="A494" s="2" t="str">
        <x:f>IF('신청 원장'!B3258="","",'신청 원장'!B3258)</x:f>
        <x:v>인증 비공개 신청</x:v>
      </x:c>
      <x:c r="B494" s="7" t="str">
        <x:f>IF('신청 원장'!D3258="","",'신청 원장'!D3258)</x:f>
        <x:v>카프로 N2O 저감 사업</x:v>
      </x:c>
      <x:c r="C494" s="2" t="str">
        <x:f>IF('신청 원장'!F3258="","",'신청 원장'!F3258)</x:f>
        <x:v>2020-06-20</x:v>
      </x:c>
      <x:c r="D494" s="2" t="str">
        <x:f>IF('신청 원장'!J3258="","",'신청 원장'!J3258)</x:f>
        <x:v>보완요청</x:v>
      </x:c>
      <x:c r="E494" s="2" t="str">
        <x:f>IF('신청 원장'!L3258="","",'신청 원장'!L3258)</x:f>
        <x:v>에코시안_조영우</x:v>
      </x:c>
      <x:c r="F494" s="2" t="str">
        <x:f>IF('신청 원장'!M3258="","",'신청 원장'!M3258)</x:f>
      </x:c>
      <x:c r="G494" s="2" t="n">
        <x:f>IF('신청 원장'!N3258="","",'신청 원장'!N3258)</x:f>
        <x:v>2308</x:v>
      </x:c>
      <x:c r="H494" s="2" t="str">
        <x:f>IF('신청 원장'!AA3258="","",'신청 원장'!AA3258)</x:f>
        <x:v>내부 관찰 대상</x:v>
      </x:c>
      <x:c r="I494" s="2" t="str">
        <x:f>IF('신청 원장'!O3258="","",'신청 원장'!O3258)</x:f>
      </x:c>
      <x:c r="J494" s="2" t="str">
        <x:f>IF('신청 원장'!W3258="","",'신청 원장'!W3258)</x:f>
      </x:c>
      <x:c r="K494" s="2" t="str">
        <x:f>IF('신청 원장'!X3258="","",'신청 원장'!X3258)</x:f>
        <x:v>보완 회신 일정 확인</x:v>
      </x:c>
      <x:c r="L494" s="2" t="str">
        <x:f>IF('신청 원장'!R3258="","",'신청 원장'!R3258)</x:f>
        <x:v>(비공개)국내인증</x:v>
      </x:c>
      <x:c r="M494" s="2" t="n">
        <x:f>IF('신청 원장'!S3258="","",'신청 원장'!S3258)</x:f>
        <x:v>36</x:v>
      </x:c>
      <x:c r="N494" s="2" t="str">
        <x:f>IF('신청 원장'!K3258&lt;&gt;"미종결 표시","종결 상태 확인",IF('신청 원장'!N3258="","일자 확인 필요",IF('신청 원장'!N3258&gt;365,"366일 이상",IF('신청 원장'!N3258&gt;90,"91~365일",IF('신청 원장'!N3258&gt;30,"31~90일","0~30일")))))</x:f>
        <x:v>366일 이상</x:v>
      </x:c>
      <x:c r="O494" s="2" t="str">
        <x:f>IF(OR('신청 원장'!L3258="",'신청 원장'!L3258="선택"),"담당 원문 확인","기재")</x:f>
        <x:v>기재</x:v>
      </x:c>
      <x:c r="P494" s="2" t="str">
        <x:f>IF('신청 원장'!A3258="","",'신청 원장'!A3258)</x:f>
        <x:v>b7a43bcffb16d2b4320807a5</x:v>
      </x:c>
    </x:row>
    <x:row r="495" ht="42" customHeight="1">
      <x:c r="A495" s="2" t="str">
        <x:f>IF('신청 원장'!B3259="","",'신청 원장'!B3259)</x:f>
        <x:v>인증 비공개 신청</x:v>
      </x:c>
      <x:c r="B495" s="7" t="str">
        <x:f>IF('신청 원장'!D3259="","",'신청 원장'!D3259)</x:f>
        <x:v>덕성 수원사업장의 B-A유에서 LNG로 연료전환을 통한 온실가스 배출 감축사업</x:v>
      </x:c>
      <x:c r="C495" s="2" t="str">
        <x:f>IF('신청 원장'!F3259="","",'신청 원장'!F3259)</x:f>
        <x:v>2020-04-27</x:v>
      </x:c>
      <x:c r="D495" s="2" t="str">
        <x:f>IF('신청 원장'!J3259="","",'신청 원장'!J3259)</x:f>
        <x:v>보완요청</x:v>
      </x:c>
      <x:c r="E495" s="2" t="str">
        <x:f>IF('신청 원장'!L3259="","",'신청 원장'!L3259)</x:f>
        <x:v>에코시안_조영우</x:v>
      </x:c>
      <x:c r="F495" s="2" t="str">
        <x:f>IF('신청 원장'!M3259="","",'신청 원장'!M3259)</x:f>
      </x:c>
      <x:c r="G495" s="2" t="n">
        <x:f>IF('신청 원장'!N3259="","",'신청 원장'!N3259)</x:f>
        <x:v>2362</x:v>
      </x:c>
      <x:c r="H495" s="2" t="str">
        <x:f>IF('신청 원장'!AA3259="","",'신청 원장'!AA3259)</x:f>
        <x:v>내부 관찰 대상</x:v>
      </x:c>
      <x:c r="I495" s="2" t="str">
        <x:f>IF('신청 원장'!O3259="","",'신청 원장'!O3259)</x:f>
      </x:c>
      <x:c r="J495" s="2" t="str">
        <x:f>IF('신청 원장'!W3259="","",'신청 원장'!W3259)</x:f>
      </x:c>
      <x:c r="K495" s="2" t="str">
        <x:f>IF('신청 원장'!X3259="","",'신청 원장'!X3259)</x:f>
        <x:v>보완 회신 일정 확인</x:v>
      </x:c>
      <x:c r="L495" s="2" t="str">
        <x:f>IF('신청 원장'!R3259="","",'신청 원장'!R3259)</x:f>
        <x:v>(비공개)국내인증</x:v>
      </x:c>
      <x:c r="M495" s="2" t="n">
        <x:f>IF('신청 원장'!S3259="","",'신청 원장'!S3259)</x:f>
        <x:v>37</x:v>
      </x:c>
      <x:c r="N495" s="2" t="str">
        <x:f>IF('신청 원장'!K3259&lt;&gt;"미종결 표시","종결 상태 확인",IF('신청 원장'!N3259="","일자 확인 필요",IF('신청 원장'!N3259&gt;365,"366일 이상",IF('신청 원장'!N3259&gt;90,"91~365일",IF('신청 원장'!N3259&gt;30,"31~90일","0~30일")))))</x:f>
        <x:v>366일 이상</x:v>
      </x:c>
      <x:c r="O495" s="2" t="str">
        <x:f>IF(OR('신청 원장'!L3259="",'신청 원장'!L3259="선택"),"담당 원문 확인","기재")</x:f>
        <x:v>기재</x:v>
      </x:c>
      <x:c r="P495" s="2" t="str">
        <x:f>IF('신청 원장'!A3259="","",'신청 원장'!A3259)</x:f>
        <x:v>4469eb8413c2b2baeb43fc5a</x:v>
      </x:c>
    </x:row>
    <x:row r="496" ht="42" customHeight="1">
      <x:c r="A496" s="2" t="str">
        <x:f>IF('신청 원장'!B3261="","",'신청 원장'!B3261)</x:f>
        <x:v>인증 비공개 신청</x:v>
      </x:c>
      <x:c r="B496" s="7" t="str">
        <x:f>IF('신청 원장'!D3261="","",'신청 원장'!D3261)</x:f>
        <x:v>부옥물산의 B-C유에서 LNG로 연료전환을 통한 온실가스 배출 감축사업</x:v>
      </x:c>
      <x:c r="C496" s="2" t="str">
        <x:f>IF('신청 원장'!F3261="","",'신청 원장'!F3261)</x:f>
        <x:v>2020-04-14</x:v>
      </x:c>
      <x:c r="D496" s="2" t="str">
        <x:f>IF('신청 원장'!J3261="","",'신청 원장'!J3261)</x:f>
        <x:v>보완요청</x:v>
      </x:c>
      <x:c r="E496" s="2" t="str">
        <x:f>IF('신청 원장'!L3261="","",'신청 원장'!L3261)</x:f>
        <x:v>에코시안_조영우</x:v>
      </x:c>
      <x:c r="F496" s="2" t="str">
        <x:f>IF('신청 원장'!M3261="","",'신청 원장'!M3261)</x:f>
      </x:c>
      <x:c r="G496" s="2" t="n">
        <x:f>IF('신청 원장'!N3261="","",'신청 원장'!N3261)</x:f>
        <x:v>2375</x:v>
      </x:c>
      <x:c r="H496" s="2" t="str">
        <x:f>IF('신청 원장'!AA3261="","",'신청 원장'!AA3261)</x:f>
        <x:v>내부 관찰 대상</x:v>
      </x:c>
      <x:c r="I496" s="2" t="str">
        <x:f>IF('신청 원장'!O3261="","",'신청 원장'!O3261)</x:f>
      </x:c>
      <x:c r="J496" s="2" t="str">
        <x:f>IF('신청 원장'!W3261="","",'신청 원장'!W3261)</x:f>
      </x:c>
      <x:c r="K496" s="2" t="str">
        <x:f>IF('신청 원장'!X3261="","",'신청 원장'!X3261)</x:f>
        <x:v>보완 회신 일정 확인</x:v>
      </x:c>
      <x:c r="L496" s="2" t="str">
        <x:f>IF('신청 원장'!R3261="","",'신청 원장'!R3261)</x:f>
        <x:v>(비공개)국내인증</x:v>
      </x:c>
      <x:c r="M496" s="2" t="n">
        <x:f>IF('신청 원장'!S3261="","",'신청 원장'!S3261)</x:f>
        <x:v>39</x:v>
      </x:c>
      <x:c r="N496" s="2" t="str">
        <x:f>IF('신청 원장'!K3261&lt;&gt;"미종결 표시","종결 상태 확인",IF('신청 원장'!N3261="","일자 확인 필요",IF('신청 원장'!N3261&gt;365,"366일 이상",IF('신청 원장'!N3261&gt;90,"91~365일",IF('신청 원장'!N3261&gt;30,"31~90일","0~30일")))))</x:f>
        <x:v>366일 이상</x:v>
      </x:c>
      <x:c r="O496" s="2" t="str">
        <x:f>IF(OR('신청 원장'!L3261="",'신청 원장'!L3261="선택"),"담당 원문 확인","기재")</x:f>
        <x:v>기재</x:v>
      </x:c>
      <x:c r="P496" s="2" t="str">
        <x:f>IF('신청 원장'!A3261="","",'신청 원장'!A3261)</x:f>
        <x:v>f2ae92c02fbaeceecf9b7dfd</x:v>
      </x:c>
    </x:row>
    <x:row r="497" ht="42" customHeight="1">
      <x:c r="A497" s="2" t="str">
        <x:f>IF('신청 원장'!B3262="","",'신청 원장'!B3262)</x:f>
        <x:v>인증 비공개 신청</x:v>
      </x:c>
      <x:c r="B497" s="7" t="str">
        <x:f>IF('신청 원장'!D3262="","",'신청 원장'!D3262)</x:f>
        <x:v>한청판지 보일러 버너의 연료전환 (B-C유 → LNG)을 통한 온실가스 감축사업</x:v>
      </x:c>
      <x:c r="C497" s="2" t="str">
        <x:f>IF('신청 원장'!F3262="","",'신청 원장'!F3262)</x:f>
        <x:v>2019-11-18</x:v>
      </x:c>
      <x:c r="D497" s="2" t="str">
        <x:f>IF('신청 원장'!J3262="","",'신청 원장'!J3262)</x:f>
        <x:v>보완요청</x:v>
      </x:c>
      <x:c r="E497" s="2" t="str">
        <x:f>IF('신청 원장'!L3262="","",'신청 원장'!L3262)</x:f>
        <x:v>에코시안_조영우</x:v>
      </x:c>
      <x:c r="F497" s="2" t="str">
        <x:f>IF('신청 원장'!M3262="","",'신청 원장'!M3262)</x:f>
      </x:c>
      <x:c r="G497" s="2" t="n">
        <x:f>IF('신청 원장'!N3262="","",'신청 원장'!N3262)</x:f>
        <x:v>2523</x:v>
      </x:c>
      <x:c r="H497" s="2" t="str">
        <x:f>IF('신청 원장'!AA3262="","",'신청 원장'!AA3262)</x:f>
        <x:v>내부 관찰 대상</x:v>
      </x:c>
      <x:c r="I497" s="2" t="str">
        <x:f>IF('신청 원장'!O3262="","",'신청 원장'!O3262)</x:f>
      </x:c>
      <x:c r="J497" s="2" t="str">
        <x:f>IF('신청 원장'!W3262="","",'신청 원장'!W3262)</x:f>
      </x:c>
      <x:c r="K497" s="2" t="str">
        <x:f>IF('신청 원장'!X3262="","",'신청 원장'!X3262)</x:f>
        <x:v>보완 회신 일정 확인</x:v>
      </x:c>
      <x:c r="L497" s="2" t="str">
        <x:f>IF('신청 원장'!R3262="","",'신청 원장'!R3262)</x:f>
        <x:v>(비공개)국내인증</x:v>
      </x:c>
      <x:c r="M497" s="2" t="n">
        <x:f>IF('신청 원장'!S3262="","",'신청 원장'!S3262)</x:f>
        <x:v>40</x:v>
      </x:c>
      <x:c r="N497" s="2" t="str">
        <x:f>IF('신청 원장'!K3262&lt;&gt;"미종결 표시","종결 상태 확인",IF('신청 원장'!N3262="","일자 확인 필요",IF('신청 원장'!N3262&gt;365,"366일 이상",IF('신청 원장'!N3262&gt;90,"91~365일",IF('신청 원장'!N3262&gt;30,"31~90일","0~30일")))))</x:f>
        <x:v>366일 이상</x:v>
      </x:c>
      <x:c r="O497" s="2" t="str">
        <x:f>IF(OR('신청 원장'!L3262="",'신청 원장'!L3262="선택"),"담당 원문 확인","기재")</x:f>
        <x:v>기재</x:v>
      </x:c>
      <x:c r="P497" s="2" t="str">
        <x:f>IF('신청 원장'!A3262="","",'신청 원장'!A3262)</x:f>
        <x:v>d8cc9d6697031f94f1331fe1</x:v>
      </x:c>
    </x:row>
    <x:row r="498" ht="42" customHeight="1">
      <x:c r="A498" s="2" t="str">
        <x:f>IF('신청 원장'!B3263="","",'신청 원장'!B3263)</x:f>
        <x:v>인증 비공개 신청</x:v>
      </x:c>
      <x:c r="B498" s="7" t="str">
        <x:f>IF('신청 원장'!D3263="","",'신청 원장'!D3263)</x:f>
        <x:v>(주)한국요업 소성로 미활용에너지 회수를 통한 온실가스 감축사업</x:v>
      </x:c>
      <x:c r="C498" s="2" t="str">
        <x:f>IF('신청 원장'!F3263="","",'신청 원장'!F3263)</x:f>
        <x:v>2019-11-18</x:v>
      </x:c>
      <x:c r="D498" s="2" t="str">
        <x:f>IF('신청 원장'!J3263="","",'신청 원장'!J3263)</x:f>
        <x:v>보완요청</x:v>
      </x:c>
      <x:c r="E498" s="2" t="str">
        <x:f>IF('신청 원장'!L3263="","",'신청 원장'!L3263)</x:f>
        <x:v>에코시안_조은지</x:v>
      </x:c>
      <x:c r="F498" s="2" t="str">
        <x:f>IF('신청 원장'!M3263="","",'신청 원장'!M3263)</x:f>
      </x:c>
      <x:c r="G498" s="2" t="n">
        <x:f>IF('신청 원장'!N3263="","",'신청 원장'!N3263)</x:f>
        <x:v>2523</x:v>
      </x:c>
      <x:c r="H498" s="2" t="str">
        <x:f>IF('신청 원장'!AA3263="","",'신청 원장'!AA3263)</x:f>
        <x:v>내부 관찰 대상</x:v>
      </x:c>
      <x:c r="I498" s="2" t="str">
        <x:f>IF('신청 원장'!O3263="","",'신청 원장'!O3263)</x:f>
      </x:c>
      <x:c r="J498" s="2" t="str">
        <x:f>IF('신청 원장'!W3263="","",'신청 원장'!W3263)</x:f>
      </x:c>
      <x:c r="K498" s="2" t="str">
        <x:f>IF('신청 원장'!X3263="","",'신청 원장'!X3263)</x:f>
        <x:v>보완 회신 일정 확인</x:v>
      </x:c>
      <x:c r="L498" s="2" t="str">
        <x:f>IF('신청 원장'!R3263="","",'신청 원장'!R3263)</x:f>
        <x:v>(비공개)국내인증</x:v>
      </x:c>
      <x:c r="M498" s="2" t="n">
        <x:f>IF('신청 원장'!S3263="","",'신청 원장'!S3263)</x:f>
        <x:v>41</x:v>
      </x:c>
      <x:c r="N498" s="2" t="str">
        <x:f>IF('신청 원장'!K3263&lt;&gt;"미종결 표시","종결 상태 확인",IF('신청 원장'!N3263="","일자 확인 필요",IF('신청 원장'!N3263&gt;365,"366일 이상",IF('신청 원장'!N3263&gt;90,"91~365일",IF('신청 원장'!N3263&gt;30,"31~90일","0~30일")))))</x:f>
        <x:v>366일 이상</x:v>
      </x:c>
      <x:c r="O498" s="2" t="str">
        <x:f>IF(OR('신청 원장'!L3263="",'신청 원장'!L3263="선택"),"담당 원문 확인","기재")</x:f>
        <x:v>기재</x:v>
      </x:c>
      <x:c r="P498" s="2" t="str">
        <x:f>IF('신청 원장'!A3263="","",'신청 원장'!A3263)</x:f>
        <x:v>d86f740ce21e9c1305a2ea22</x:v>
      </x:c>
    </x:row>
    <x:row r="499" ht="42" customHeight="1">
      <x:c r="A499" s="2" t="str">
        <x:f>IF('신청 원장'!B3264="","",'신청 원장'!B3264)</x:f>
        <x:v>인증 비공개 신청</x:v>
      </x:c>
      <x:c r="B499" s="7" t="str">
        <x:f>IF('신청 원장'!D3264="","",'신청 원장'!D3264)</x:f>
        <x:v>피피이씨의령 두부공장 목재펠릿 연료 전환을 통한 온실가스 감축사업</x:v>
      </x:c>
      <x:c r="C499" s="2" t="str">
        <x:f>IF('신청 원장'!F3264="","",'신청 원장'!F3264)</x:f>
        <x:v>2019-11-17</x:v>
      </x:c>
      <x:c r="D499" s="2" t="str">
        <x:f>IF('신청 원장'!J3264="","",'신청 원장'!J3264)</x:f>
        <x:v>보완요청</x:v>
      </x:c>
      <x:c r="E499" s="2" t="str">
        <x:f>IF('신청 원장'!L3264="","",'신청 원장'!L3264)</x:f>
        <x:v>에코시안_조영우</x:v>
      </x:c>
      <x:c r="F499" s="2" t="str">
        <x:f>IF('신청 원장'!M3264="","",'신청 원장'!M3264)</x:f>
      </x:c>
      <x:c r="G499" s="2" t="n">
        <x:f>IF('신청 원장'!N3264="","",'신청 원장'!N3264)</x:f>
        <x:v>2524</x:v>
      </x:c>
      <x:c r="H499" s="2" t="str">
        <x:f>IF('신청 원장'!AA3264="","",'신청 원장'!AA3264)</x:f>
        <x:v>내부 관찰 대상</x:v>
      </x:c>
      <x:c r="I499" s="2" t="str">
        <x:f>IF('신청 원장'!O3264="","",'신청 원장'!O3264)</x:f>
      </x:c>
      <x:c r="J499" s="2" t="str">
        <x:f>IF('신청 원장'!W3264="","",'신청 원장'!W3264)</x:f>
      </x:c>
      <x:c r="K499" s="2" t="str">
        <x:f>IF('신청 원장'!X3264="","",'신청 원장'!X3264)</x:f>
        <x:v>보완 회신 일정 확인</x:v>
      </x:c>
      <x:c r="L499" s="2" t="str">
        <x:f>IF('신청 원장'!R3264="","",'신청 원장'!R3264)</x:f>
        <x:v>(비공개)국내인증</x:v>
      </x:c>
      <x:c r="M499" s="2" t="n">
        <x:f>IF('신청 원장'!S3264="","",'신청 원장'!S3264)</x:f>
        <x:v>42</x:v>
      </x:c>
      <x:c r="N499" s="2" t="str">
        <x:f>IF('신청 원장'!K3264&lt;&gt;"미종결 표시","종결 상태 확인",IF('신청 원장'!N3264="","일자 확인 필요",IF('신청 원장'!N3264&gt;365,"366일 이상",IF('신청 원장'!N3264&gt;90,"91~365일",IF('신청 원장'!N3264&gt;30,"31~90일","0~30일")))))</x:f>
        <x:v>366일 이상</x:v>
      </x:c>
      <x:c r="O499" s="2" t="str">
        <x:f>IF(OR('신청 원장'!L3264="",'신청 원장'!L3264="선택"),"담당 원문 확인","기재")</x:f>
        <x:v>기재</x:v>
      </x:c>
      <x:c r="P499" s="2" t="str">
        <x:f>IF('신청 원장'!A3264="","",'신청 원장'!A3264)</x:f>
        <x:v>d64646796afbfe9469e4bc30</x:v>
      </x:c>
    </x:row>
    <x:row r="500" ht="42" customHeight="1">
      <x:c r="A500" s="2" t="str">
        <x:f>IF('신청 원장'!B3265="","",'신청 원장'!B3265)</x:f>
        <x:v>인증 비공개 신청</x:v>
      </x:c>
      <x:c r="B500" s="7" t="str">
        <x:f>IF('신청 원장'!D3265="","",'신청 원장'!D3265)</x:f>
        <x:v>풀무원 음성 두부공장 목재펠릿 연료 전환을 통한 온실가스 감축사업</x:v>
      </x:c>
      <x:c r="C500" s="2" t="str">
        <x:f>IF('신청 원장'!F3265="","",'신청 원장'!F3265)</x:f>
        <x:v>2019-11-17</x:v>
      </x:c>
      <x:c r="D500" s="2" t="str">
        <x:f>IF('신청 원장'!J3265="","",'신청 원장'!J3265)</x:f>
        <x:v>보완요청</x:v>
      </x:c>
      <x:c r="E500" s="2" t="str">
        <x:f>IF('신청 원장'!L3265="","",'신청 원장'!L3265)</x:f>
        <x:v>에코시안_조영우</x:v>
      </x:c>
      <x:c r="F500" s="2" t="str">
        <x:f>IF('신청 원장'!M3265="","",'신청 원장'!M3265)</x:f>
      </x:c>
      <x:c r="G500" s="2" t="n">
        <x:f>IF('신청 원장'!N3265="","",'신청 원장'!N3265)</x:f>
        <x:v>2524</x:v>
      </x:c>
      <x:c r="H500" s="2" t="str">
        <x:f>IF('신청 원장'!AA3265="","",'신청 원장'!AA3265)</x:f>
        <x:v>내부 관찰 대상</x:v>
      </x:c>
      <x:c r="I500" s="2" t="str">
        <x:f>IF('신청 원장'!O3265="","",'신청 원장'!O3265)</x:f>
      </x:c>
      <x:c r="J500" s="2" t="str">
        <x:f>IF('신청 원장'!W3265="","",'신청 원장'!W3265)</x:f>
      </x:c>
      <x:c r="K500" s="2" t="str">
        <x:f>IF('신청 원장'!X3265="","",'신청 원장'!X3265)</x:f>
        <x:v>보완 회신 일정 확인</x:v>
      </x:c>
      <x:c r="L500" s="2" t="str">
        <x:f>IF('신청 원장'!R3265="","",'신청 원장'!R3265)</x:f>
        <x:v>(비공개)국내인증</x:v>
      </x:c>
      <x:c r="M500" s="2" t="n">
        <x:f>IF('신청 원장'!S3265="","",'신청 원장'!S3265)</x:f>
        <x:v>43</x:v>
      </x:c>
      <x:c r="N500" s="2" t="str">
        <x:f>IF('신청 원장'!K3265&lt;&gt;"미종결 표시","종결 상태 확인",IF('신청 원장'!N3265="","일자 확인 필요",IF('신청 원장'!N3265&gt;365,"366일 이상",IF('신청 원장'!N3265&gt;90,"91~365일",IF('신청 원장'!N3265&gt;30,"31~90일","0~30일")))))</x:f>
        <x:v>366일 이상</x:v>
      </x:c>
      <x:c r="O500" s="2" t="str">
        <x:f>IF(OR('신청 원장'!L3265="",'신청 원장'!L3265="선택"),"담당 원문 확인","기재")</x:f>
        <x:v>기재</x:v>
      </x:c>
      <x:c r="P500" s="2" t="str">
        <x:f>IF('신청 원장'!A3265="","",'신청 원장'!A3265)</x:f>
        <x:v>3f576cfa5f464bd2dfb0616b</x:v>
      </x:c>
    </x:row>
    <x:row r="501" ht="42" customHeight="1">
      <x:c r="A501" s="2" t="str">
        <x:f>IF('신청 원장'!B3266="","",'신청 원장'!B3266)</x:f>
        <x:v>인증 비공개 신청</x:v>
      </x:c>
      <x:c r="B501" s="7" t="str">
        <x:f>IF('신청 원장'!D3266="","",'신청 원장'!D3266)</x:f>
        <x:v>영광아스콘(주) 버너연료를 B-C유 에서 LNG로 연료 전환 하는 온실가스 감축사업</x:v>
      </x:c>
      <x:c r="C501" s="2" t="str">
        <x:f>IF('신청 원장'!F3266="","",'신청 원장'!F3266)</x:f>
        <x:v>2019-11-17</x:v>
      </x:c>
      <x:c r="D501" s="2" t="str">
        <x:f>IF('신청 원장'!J3266="","",'신청 원장'!J3266)</x:f>
        <x:v>보완요청</x:v>
      </x:c>
      <x:c r="E501" s="2" t="str">
        <x:f>IF('신청 원장'!L3266="","",'신청 원장'!L3266)</x:f>
        <x:v>에코시안_조영우</x:v>
      </x:c>
      <x:c r="F501" s="2" t="str">
        <x:f>IF('신청 원장'!M3266="","",'신청 원장'!M3266)</x:f>
      </x:c>
      <x:c r="G501" s="2" t="n">
        <x:f>IF('신청 원장'!N3266="","",'신청 원장'!N3266)</x:f>
        <x:v>2524</x:v>
      </x:c>
      <x:c r="H501" s="2" t="str">
        <x:f>IF('신청 원장'!AA3266="","",'신청 원장'!AA3266)</x:f>
        <x:v>내부 관찰 대상</x:v>
      </x:c>
      <x:c r="I501" s="2" t="str">
        <x:f>IF('신청 원장'!O3266="","",'신청 원장'!O3266)</x:f>
      </x:c>
      <x:c r="J501" s="2" t="str">
        <x:f>IF('신청 원장'!W3266="","",'신청 원장'!W3266)</x:f>
      </x:c>
      <x:c r="K501" s="2" t="str">
        <x:f>IF('신청 원장'!X3266="","",'신청 원장'!X3266)</x:f>
        <x:v>보완 회신 일정 확인</x:v>
      </x:c>
      <x:c r="L501" s="2" t="str">
        <x:f>IF('신청 원장'!R3266="","",'신청 원장'!R3266)</x:f>
        <x:v>(비공개)국내인증</x:v>
      </x:c>
      <x:c r="M501" s="2" t="n">
        <x:f>IF('신청 원장'!S3266="","",'신청 원장'!S3266)</x:f>
        <x:v>44</x:v>
      </x:c>
      <x:c r="N501" s="2" t="str">
        <x:f>IF('신청 원장'!K3266&lt;&gt;"미종결 표시","종결 상태 확인",IF('신청 원장'!N3266="","일자 확인 필요",IF('신청 원장'!N3266&gt;365,"366일 이상",IF('신청 원장'!N3266&gt;90,"91~365일",IF('신청 원장'!N3266&gt;30,"31~90일","0~30일")))))</x:f>
        <x:v>366일 이상</x:v>
      </x:c>
      <x:c r="O501" s="2" t="str">
        <x:f>IF(OR('신청 원장'!L3266="",'신청 원장'!L3266="선택"),"담당 원문 확인","기재")</x:f>
        <x:v>기재</x:v>
      </x:c>
      <x:c r="P501" s="2" t="str">
        <x:f>IF('신청 원장'!A3266="","",'신청 원장'!A3266)</x:f>
        <x:v>fbbca990fe690cfd2e1e2bd8</x:v>
      </x:c>
    </x:row>
    <x:row r="502" ht="42" customHeight="1">
      <x:c r="A502" s="2" t="str">
        <x:f>IF('신청 원장'!B3267="","",'신청 원장'!B3267)</x:f>
        <x:v>인증 비공개 신청</x:v>
      </x:c>
      <x:c r="B502" s="7" t="str">
        <x:f>IF('신청 원장'!D3267="","",'신청 원장'!D3267)</x:f>
        <x:v>신일산업의 보일러 연료교체(LNG-&gt;목재펠릿)을 통한 온실가스 감축사업</x:v>
      </x:c>
      <x:c r="C502" s="2" t="str">
        <x:f>IF('신청 원장'!F3267="","",'신청 원장'!F3267)</x:f>
        <x:v>2019-11-17</x:v>
      </x:c>
      <x:c r="D502" s="2" t="str">
        <x:f>IF('신청 원장'!J3267="","",'신청 원장'!J3267)</x:f>
        <x:v>보완요청</x:v>
      </x:c>
      <x:c r="E502" s="2" t="str">
        <x:f>IF('신청 원장'!L3267="","",'신청 원장'!L3267)</x:f>
        <x:v>에코시안_조영우</x:v>
      </x:c>
      <x:c r="F502" s="2" t="str">
        <x:f>IF('신청 원장'!M3267="","",'신청 원장'!M3267)</x:f>
      </x:c>
      <x:c r="G502" s="2" t="n">
        <x:f>IF('신청 원장'!N3267="","",'신청 원장'!N3267)</x:f>
        <x:v>2524</x:v>
      </x:c>
      <x:c r="H502" s="2" t="str">
        <x:f>IF('신청 원장'!AA3267="","",'신청 원장'!AA3267)</x:f>
        <x:v>내부 관찰 대상</x:v>
      </x:c>
      <x:c r="I502" s="2" t="str">
        <x:f>IF('신청 원장'!O3267="","",'신청 원장'!O3267)</x:f>
      </x:c>
      <x:c r="J502" s="2" t="str">
        <x:f>IF('신청 원장'!W3267="","",'신청 원장'!W3267)</x:f>
      </x:c>
      <x:c r="K502" s="2" t="str">
        <x:f>IF('신청 원장'!X3267="","",'신청 원장'!X3267)</x:f>
        <x:v>보완 회신 일정 확인</x:v>
      </x:c>
      <x:c r="L502" s="2" t="str">
        <x:f>IF('신청 원장'!R3267="","",'신청 원장'!R3267)</x:f>
        <x:v>(비공개)국내인증</x:v>
      </x:c>
      <x:c r="M502" s="2" t="n">
        <x:f>IF('신청 원장'!S3267="","",'신청 원장'!S3267)</x:f>
        <x:v>45</x:v>
      </x:c>
      <x:c r="N502" s="2" t="str">
        <x:f>IF('신청 원장'!K3267&lt;&gt;"미종결 표시","종결 상태 확인",IF('신청 원장'!N3267="","일자 확인 필요",IF('신청 원장'!N3267&gt;365,"366일 이상",IF('신청 원장'!N3267&gt;90,"91~365일",IF('신청 원장'!N3267&gt;30,"31~90일","0~30일")))))</x:f>
        <x:v>366일 이상</x:v>
      </x:c>
      <x:c r="O502" s="2" t="str">
        <x:f>IF(OR('신청 원장'!L3267="",'신청 원장'!L3267="선택"),"담당 원문 확인","기재")</x:f>
        <x:v>기재</x:v>
      </x:c>
      <x:c r="P502" s="2" t="str">
        <x:f>IF('신청 원장'!A3267="","",'신청 원장'!A3267)</x:f>
        <x:v>3a235b6780f222fc4d1b4f63</x:v>
      </x:c>
    </x:row>
    <x:row r="503" ht="42" customHeight="1">
      <x:c r="A503" s="2" t="str">
        <x:f>IF('신청 원장'!B3268="","",'신청 원장'!B3268)</x:f>
        <x:v>인증 비공개 신청</x:v>
      </x:c>
      <x:c r="B503" s="7" t="str">
        <x:f>IF('신청 원장'!D3268="","",'신청 원장'!D3268)</x:f>
        <x:v>신원아이엔티 버너교체 연료전환(B-C유 → LPG)을 통한 온실가스 감축 사업</x:v>
      </x:c>
      <x:c r="C503" s="2" t="str">
        <x:f>IF('신청 원장'!F3268="","",'신청 원장'!F3268)</x:f>
        <x:v>2019-11-17</x:v>
      </x:c>
      <x:c r="D503" s="2" t="str">
        <x:f>IF('신청 원장'!J3268="","",'신청 원장'!J3268)</x:f>
        <x:v>보완요청</x:v>
      </x:c>
      <x:c r="E503" s="2" t="str">
        <x:f>IF('신청 원장'!L3268="","",'신청 원장'!L3268)</x:f>
        <x:v>에코시안_조혜민</x:v>
      </x:c>
      <x:c r="F503" s="2" t="str">
        <x:f>IF('신청 원장'!M3268="","",'신청 원장'!M3268)</x:f>
      </x:c>
      <x:c r="G503" s="2" t="n">
        <x:f>IF('신청 원장'!N3268="","",'신청 원장'!N3268)</x:f>
        <x:v>2524</x:v>
      </x:c>
      <x:c r="H503" s="2" t="str">
        <x:f>IF('신청 원장'!AA3268="","",'신청 원장'!AA3268)</x:f>
        <x:v>내부 관찰 대상</x:v>
      </x:c>
      <x:c r="I503" s="2" t="str">
        <x:f>IF('신청 원장'!O3268="","",'신청 원장'!O3268)</x:f>
      </x:c>
      <x:c r="J503" s="2" t="str">
        <x:f>IF('신청 원장'!W3268="","",'신청 원장'!W3268)</x:f>
      </x:c>
      <x:c r="K503" s="2" t="str">
        <x:f>IF('신청 원장'!X3268="","",'신청 원장'!X3268)</x:f>
        <x:v>보완 회신 일정 확인</x:v>
      </x:c>
      <x:c r="L503" s="2" t="str">
        <x:f>IF('신청 원장'!R3268="","",'신청 원장'!R3268)</x:f>
        <x:v>(비공개)국내인증</x:v>
      </x:c>
      <x:c r="M503" s="2" t="n">
        <x:f>IF('신청 원장'!S3268="","",'신청 원장'!S3268)</x:f>
        <x:v>46</x:v>
      </x:c>
      <x:c r="N503" s="2" t="str">
        <x:f>IF('신청 원장'!K3268&lt;&gt;"미종결 표시","종결 상태 확인",IF('신청 원장'!N3268="","일자 확인 필요",IF('신청 원장'!N3268&gt;365,"366일 이상",IF('신청 원장'!N3268&gt;90,"91~365일",IF('신청 원장'!N3268&gt;30,"31~90일","0~30일")))))</x:f>
        <x:v>366일 이상</x:v>
      </x:c>
      <x:c r="O503" s="2" t="str">
        <x:f>IF(OR('신청 원장'!L3268="",'신청 원장'!L3268="선택"),"담당 원문 확인","기재")</x:f>
        <x:v>기재</x:v>
      </x:c>
      <x:c r="P503" s="2" t="str">
        <x:f>IF('신청 원장'!A3268="","",'신청 원장'!A3268)</x:f>
        <x:v>553987dd71fb2f7e5d40be4a</x:v>
      </x:c>
    </x:row>
    <x:row r="504" ht="42" customHeight="1">
      <x:c r="A504" s="2" t="str">
        <x:f>IF('신청 원장'!B3269="","",'신청 원장'!B3269)</x:f>
        <x:v>인증 비공개 신청</x:v>
      </x:c>
      <x:c r="B504" s="7" t="str">
        <x:f>IF('신청 원장'!D3269="","",'신청 원장'!D3269)</x:f>
        <x:v>신명염색 버너교체 연료전환(B-C유 → LPG)을 통한 온실가스 감축 사업</x:v>
      </x:c>
      <x:c r="C504" s="2" t="str">
        <x:f>IF('신청 원장'!F3269="","",'신청 원장'!F3269)</x:f>
        <x:v>2019-11-17</x:v>
      </x:c>
      <x:c r="D504" s="2" t="str">
        <x:f>IF('신청 원장'!J3269="","",'신청 원장'!J3269)</x:f>
        <x:v>보완요청</x:v>
      </x:c>
      <x:c r="E504" s="2" t="str">
        <x:f>IF('신청 원장'!L3269="","",'신청 원장'!L3269)</x:f>
        <x:v>에코시안_조혜민</x:v>
      </x:c>
      <x:c r="F504" s="2" t="str">
        <x:f>IF('신청 원장'!M3269="","",'신청 원장'!M3269)</x:f>
      </x:c>
      <x:c r="G504" s="2" t="n">
        <x:f>IF('신청 원장'!N3269="","",'신청 원장'!N3269)</x:f>
        <x:v>2524</x:v>
      </x:c>
      <x:c r="H504" s="2" t="str">
        <x:f>IF('신청 원장'!AA3269="","",'신청 원장'!AA3269)</x:f>
        <x:v>내부 관찰 대상</x:v>
      </x:c>
      <x:c r="I504" s="2" t="str">
        <x:f>IF('신청 원장'!O3269="","",'신청 원장'!O3269)</x:f>
      </x:c>
      <x:c r="J504" s="2" t="str">
        <x:f>IF('신청 원장'!W3269="","",'신청 원장'!W3269)</x:f>
      </x:c>
      <x:c r="K504" s="2" t="str">
        <x:f>IF('신청 원장'!X3269="","",'신청 원장'!X3269)</x:f>
        <x:v>보완 회신 일정 확인</x:v>
      </x:c>
      <x:c r="L504" s="2" t="str">
        <x:f>IF('신청 원장'!R3269="","",'신청 원장'!R3269)</x:f>
        <x:v>(비공개)국내인증</x:v>
      </x:c>
      <x:c r="M504" s="2" t="n">
        <x:f>IF('신청 원장'!S3269="","",'신청 원장'!S3269)</x:f>
        <x:v>47</x:v>
      </x:c>
      <x:c r="N504" s="2" t="str">
        <x:f>IF('신청 원장'!K3269&lt;&gt;"미종결 표시","종결 상태 확인",IF('신청 원장'!N3269="","일자 확인 필요",IF('신청 원장'!N3269&gt;365,"366일 이상",IF('신청 원장'!N3269&gt;90,"91~365일",IF('신청 원장'!N3269&gt;30,"31~90일","0~30일")))))</x:f>
        <x:v>366일 이상</x:v>
      </x:c>
      <x:c r="O504" s="2" t="str">
        <x:f>IF(OR('신청 원장'!L3269="",'신청 원장'!L3269="선택"),"담당 원문 확인","기재")</x:f>
        <x:v>기재</x:v>
      </x:c>
      <x:c r="P504" s="2" t="str">
        <x:f>IF('신청 원장'!A3269="","",'신청 원장'!A3269)</x:f>
        <x:v>3ecb4db70ef7b8bcd2feab8c</x:v>
      </x:c>
    </x:row>
    <x:row r="505" ht="42" customHeight="1">
      <x:c r="A505" s="2" t="str">
        <x:f>IF('신청 원장'!B3270="","",'신청 원장'!B3270)</x:f>
        <x:v>인증 비공개 신청</x:v>
      </x:c>
      <x:c r="B505" s="7" t="str">
        <x:f>IF('신청 원장'!D3270="","",'신청 원장'!D3270)</x:f>
        <x:v>세흥 목재펠릿 보일러 설치를 통한 온실가스 감축사업</x:v>
      </x:c>
      <x:c r="C505" s="2" t="str">
        <x:f>IF('신청 원장'!F3270="","",'신청 원장'!F3270)</x:f>
        <x:v>2019-11-17</x:v>
      </x:c>
      <x:c r="D505" s="2" t="str">
        <x:f>IF('신청 원장'!J3270="","",'신청 원장'!J3270)</x:f>
        <x:v>보완요청</x:v>
      </x:c>
      <x:c r="E505" s="2" t="str">
        <x:f>IF('신청 원장'!L3270="","",'신청 원장'!L3270)</x:f>
        <x:v>에코시안_조혜민</x:v>
      </x:c>
      <x:c r="F505" s="2" t="str">
        <x:f>IF('신청 원장'!M3270="","",'신청 원장'!M3270)</x:f>
      </x:c>
      <x:c r="G505" s="2" t="n">
        <x:f>IF('신청 원장'!N3270="","",'신청 원장'!N3270)</x:f>
        <x:v>2524</x:v>
      </x:c>
      <x:c r="H505" s="2" t="str">
        <x:f>IF('신청 원장'!AA3270="","",'신청 원장'!AA3270)</x:f>
        <x:v>내부 관찰 대상</x:v>
      </x:c>
      <x:c r="I505" s="2" t="str">
        <x:f>IF('신청 원장'!O3270="","",'신청 원장'!O3270)</x:f>
      </x:c>
      <x:c r="J505" s="2" t="str">
        <x:f>IF('신청 원장'!W3270="","",'신청 원장'!W3270)</x:f>
      </x:c>
      <x:c r="K505" s="2" t="str">
        <x:f>IF('신청 원장'!X3270="","",'신청 원장'!X3270)</x:f>
        <x:v>보완 회신 일정 확인</x:v>
      </x:c>
      <x:c r="L505" s="2" t="str">
        <x:f>IF('신청 원장'!R3270="","",'신청 원장'!R3270)</x:f>
        <x:v>(비공개)국내인증</x:v>
      </x:c>
      <x:c r="M505" s="2" t="n">
        <x:f>IF('신청 원장'!S3270="","",'신청 원장'!S3270)</x:f>
        <x:v>48</x:v>
      </x:c>
      <x:c r="N505" s="2" t="str">
        <x:f>IF('신청 원장'!K3270&lt;&gt;"미종결 표시","종결 상태 확인",IF('신청 원장'!N3270="","일자 확인 필요",IF('신청 원장'!N3270&gt;365,"366일 이상",IF('신청 원장'!N3270&gt;90,"91~365일",IF('신청 원장'!N3270&gt;30,"31~90일","0~30일")))))</x:f>
        <x:v>366일 이상</x:v>
      </x:c>
      <x:c r="O505" s="2" t="str">
        <x:f>IF(OR('신청 원장'!L3270="",'신청 원장'!L3270="선택"),"담당 원문 확인","기재")</x:f>
        <x:v>기재</x:v>
      </x:c>
      <x:c r="P505" s="2" t="str">
        <x:f>IF('신청 원장'!A3270="","",'신청 원장'!A3270)</x:f>
        <x:v>6d6cec397b0c954b49033546</x:v>
      </x:c>
    </x:row>
    <x:row r="506" ht="42" customHeight="1">
      <x:c r="A506" s="2" t="str">
        <x:f>IF('신청 원장'!B3271="","",'신청 원장'!B3271)</x:f>
        <x:v>인증 비공개 신청</x:v>
      </x:c>
      <x:c r="B506" s="7" t="str">
        <x:f>IF('신청 원장'!D3271="","",'신청 원장'!D3271)</x:f>
        <x:v>삼두염색(주) 보일러 연료전환(LNG → 목재펠릿)을 통한 온실가스(CO2) 감축사업</x:v>
      </x:c>
      <x:c r="C506" s="2" t="str">
        <x:f>IF('신청 원장'!F3271="","",'신청 원장'!F3271)</x:f>
        <x:v>2019-11-17</x:v>
      </x:c>
      <x:c r="D506" s="2" t="str">
        <x:f>IF('신청 원장'!J3271="","",'신청 원장'!J3271)</x:f>
        <x:v>보완요청</x:v>
      </x:c>
      <x:c r="E506" s="2" t="str">
        <x:f>IF('신청 원장'!L3271="","",'신청 원장'!L3271)</x:f>
        <x:v>에코시안_조혜민</x:v>
      </x:c>
      <x:c r="F506" s="2" t="str">
        <x:f>IF('신청 원장'!M3271="","",'신청 원장'!M3271)</x:f>
      </x:c>
      <x:c r="G506" s="2" t="n">
        <x:f>IF('신청 원장'!N3271="","",'신청 원장'!N3271)</x:f>
        <x:v>2524</x:v>
      </x:c>
      <x:c r="H506" s="2" t="str">
        <x:f>IF('신청 원장'!AA3271="","",'신청 원장'!AA3271)</x:f>
        <x:v>내부 관찰 대상</x:v>
      </x:c>
      <x:c r="I506" s="2" t="str">
        <x:f>IF('신청 원장'!O3271="","",'신청 원장'!O3271)</x:f>
      </x:c>
      <x:c r="J506" s="2" t="str">
        <x:f>IF('신청 원장'!W3271="","",'신청 원장'!W3271)</x:f>
      </x:c>
      <x:c r="K506" s="2" t="str">
        <x:f>IF('신청 원장'!X3271="","",'신청 원장'!X3271)</x:f>
        <x:v>보완 회신 일정 확인</x:v>
      </x:c>
      <x:c r="L506" s="2" t="str">
        <x:f>IF('신청 원장'!R3271="","",'신청 원장'!R3271)</x:f>
        <x:v>(비공개)국내인증</x:v>
      </x:c>
      <x:c r="M506" s="2" t="n">
        <x:f>IF('신청 원장'!S3271="","",'신청 원장'!S3271)</x:f>
        <x:v>49</x:v>
      </x:c>
      <x:c r="N506" s="2" t="str">
        <x:f>IF('신청 원장'!K3271&lt;&gt;"미종결 표시","종결 상태 확인",IF('신청 원장'!N3271="","일자 확인 필요",IF('신청 원장'!N3271&gt;365,"366일 이상",IF('신청 원장'!N3271&gt;90,"91~365일",IF('신청 원장'!N3271&gt;30,"31~90일","0~30일")))))</x:f>
        <x:v>366일 이상</x:v>
      </x:c>
      <x:c r="O506" s="2" t="str">
        <x:f>IF(OR('신청 원장'!L3271="",'신청 원장'!L3271="선택"),"담당 원문 확인","기재")</x:f>
        <x:v>기재</x:v>
      </x:c>
      <x:c r="P506" s="2" t="str">
        <x:f>IF('신청 원장'!A3271="","",'신청 원장'!A3271)</x:f>
        <x:v>d28523344b5dde6ca047f2ae</x:v>
      </x:c>
    </x:row>
    <x:row r="507" ht="42" customHeight="1">
      <x:c r="A507" s="2" t="str">
        <x:f>IF('신청 원장'!B3272="","",'신청 원장'!B3272)</x:f>
        <x:v>인증 비공개 신청</x:v>
      </x:c>
      <x:c r="B507" s="7" t="str">
        <x:f>IF('신청 원장'!D3272="","",'신청 원장'!D3272)</x:f>
        <x:v>삼광에프엔씨 목재펠릿 연료 전환을 통한 온실가스 감축사업</x:v>
      </x:c>
      <x:c r="C507" s="2" t="str">
        <x:f>IF('신청 원장'!F3272="","",'신청 원장'!F3272)</x:f>
        <x:v>2019-11-17</x:v>
      </x:c>
      <x:c r="D507" s="2" t="str">
        <x:f>IF('신청 원장'!J3272="","",'신청 원장'!J3272)</x:f>
        <x:v>보완요청</x:v>
      </x:c>
      <x:c r="E507" s="2" t="str">
        <x:f>IF('신청 원장'!L3272="","",'신청 원장'!L3272)</x:f>
        <x:v>에코시안_조혜민</x:v>
      </x:c>
      <x:c r="F507" s="2" t="str">
        <x:f>IF('신청 원장'!M3272="","",'신청 원장'!M3272)</x:f>
      </x:c>
      <x:c r="G507" s="2" t="n">
        <x:f>IF('신청 원장'!N3272="","",'신청 원장'!N3272)</x:f>
        <x:v>2524</x:v>
      </x:c>
      <x:c r="H507" s="2" t="str">
        <x:f>IF('신청 원장'!AA3272="","",'신청 원장'!AA3272)</x:f>
        <x:v>내부 관찰 대상</x:v>
      </x:c>
      <x:c r="I507" s="2" t="str">
        <x:f>IF('신청 원장'!O3272="","",'신청 원장'!O3272)</x:f>
      </x:c>
      <x:c r="J507" s="2" t="str">
        <x:f>IF('신청 원장'!W3272="","",'신청 원장'!W3272)</x:f>
      </x:c>
      <x:c r="K507" s="2" t="str">
        <x:f>IF('신청 원장'!X3272="","",'신청 원장'!X3272)</x:f>
        <x:v>보완 회신 일정 확인</x:v>
      </x:c>
      <x:c r="L507" s="2" t="str">
        <x:f>IF('신청 원장'!R3272="","",'신청 원장'!R3272)</x:f>
        <x:v>(비공개)국내인증</x:v>
      </x:c>
      <x:c r="M507" s="2" t="n">
        <x:f>IF('신청 원장'!S3272="","",'신청 원장'!S3272)</x:f>
        <x:v>50</x:v>
      </x:c>
      <x:c r="N507" s="2" t="str">
        <x:f>IF('신청 원장'!K3272&lt;&gt;"미종결 표시","종결 상태 확인",IF('신청 원장'!N3272="","일자 확인 필요",IF('신청 원장'!N3272&gt;365,"366일 이상",IF('신청 원장'!N3272&gt;90,"91~365일",IF('신청 원장'!N3272&gt;30,"31~90일","0~30일")))))</x:f>
        <x:v>366일 이상</x:v>
      </x:c>
      <x:c r="O507" s="2" t="str">
        <x:f>IF(OR('신청 원장'!L3272="",'신청 원장'!L3272="선택"),"담당 원문 확인","기재")</x:f>
        <x:v>기재</x:v>
      </x:c>
      <x:c r="P507" s="2" t="str">
        <x:f>IF('신청 원장'!A3272="","",'신청 원장'!A3272)</x:f>
        <x:v>5912d06242763d39b27d3a47</x:v>
      </x:c>
    </x:row>
    <x:row r="508" ht="42" customHeight="1">
      <x:c r="A508" s="2" t="str">
        <x:f>IF('신청 원장'!B3273="","",'신청 원장'!B3273)</x:f>
        <x:v>인증 비공개 신청</x:v>
      </x:c>
      <x:c r="B508" s="7" t="str">
        <x:f>IF('신청 원장'!D3273="","",'신청 원장'!D3273)</x:f>
        <x:v>동양제지공업 보일러 연료 전환([B-C유+정제유]→LNG) 온실가스 감축사업</x:v>
      </x:c>
      <x:c r="C508" s="2" t="str">
        <x:f>IF('신청 원장'!F3273="","",'신청 원장'!F3273)</x:f>
        <x:v>2019-11-17</x:v>
      </x:c>
      <x:c r="D508" s="2" t="str">
        <x:f>IF('신청 원장'!J3273="","",'신청 원장'!J3273)</x:f>
        <x:v>보완요청</x:v>
      </x:c>
      <x:c r="E508" s="2" t="str">
        <x:f>IF('신청 원장'!L3273="","",'신청 원장'!L3273)</x:f>
        <x:v>에코시안_조혜민</x:v>
      </x:c>
      <x:c r="F508" s="2" t="str">
        <x:f>IF('신청 원장'!M3273="","",'신청 원장'!M3273)</x:f>
      </x:c>
      <x:c r="G508" s="2" t="n">
        <x:f>IF('신청 원장'!N3273="","",'신청 원장'!N3273)</x:f>
        <x:v>2524</x:v>
      </x:c>
      <x:c r="H508" s="2" t="str">
        <x:f>IF('신청 원장'!AA3273="","",'신청 원장'!AA3273)</x:f>
        <x:v>내부 관찰 대상</x:v>
      </x:c>
      <x:c r="I508" s="2" t="str">
        <x:f>IF('신청 원장'!O3273="","",'신청 원장'!O3273)</x:f>
      </x:c>
      <x:c r="J508" s="2" t="str">
        <x:f>IF('신청 원장'!W3273="","",'신청 원장'!W3273)</x:f>
      </x:c>
      <x:c r="K508" s="2" t="str">
        <x:f>IF('신청 원장'!X3273="","",'신청 원장'!X3273)</x:f>
        <x:v>보완 회신 일정 확인</x:v>
      </x:c>
      <x:c r="L508" s="2" t="str">
        <x:f>IF('신청 원장'!R3273="","",'신청 원장'!R3273)</x:f>
        <x:v>(비공개)국내인증</x:v>
      </x:c>
      <x:c r="M508" s="2" t="n">
        <x:f>IF('신청 원장'!S3273="","",'신청 원장'!S3273)</x:f>
        <x:v>51</x:v>
      </x:c>
      <x:c r="N508" s="2" t="str">
        <x:f>IF('신청 원장'!K3273&lt;&gt;"미종결 표시","종결 상태 확인",IF('신청 원장'!N3273="","일자 확인 필요",IF('신청 원장'!N3273&gt;365,"366일 이상",IF('신청 원장'!N3273&gt;90,"91~365일",IF('신청 원장'!N3273&gt;30,"31~90일","0~30일")))))</x:f>
        <x:v>366일 이상</x:v>
      </x:c>
      <x:c r="O508" s="2" t="str">
        <x:f>IF(OR('신청 원장'!L3273="",'신청 원장'!L3273="선택"),"담당 원문 확인","기재")</x:f>
        <x:v>기재</x:v>
      </x:c>
      <x:c r="P508" s="2" t="str">
        <x:f>IF('신청 원장'!A3273="","",'신청 원장'!A3273)</x:f>
        <x:v>140e80e0263951778dfc5e5b</x:v>
      </x:c>
    </x:row>
    <x:row r="509" ht="42" customHeight="1">
      <x:c r="A509" s="2" t="str">
        <x:f>IF('신청 원장'!B3274="","",'신청 원장'!B3274)</x:f>
        <x:v>인증 비공개 신청</x:v>
      </x:c>
      <x:c r="B509" s="7" t="str">
        <x:f>IF('신청 원장'!D3274="","",'신청 원장'!D3274)</x:f>
        <x:v>동보피엔티 목재펠릿 연료 전환을 통한 온실가스 감축사업</x:v>
      </x:c>
      <x:c r="C509" s="2" t="str">
        <x:f>IF('신청 원장'!F3274="","",'신청 원장'!F3274)</x:f>
        <x:v>2019-11-17</x:v>
      </x:c>
      <x:c r="D509" s="2" t="str">
        <x:f>IF('신청 원장'!J3274="","",'신청 원장'!J3274)</x:f>
        <x:v>보완요청</x:v>
      </x:c>
      <x:c r="E509" s="2" t="str">
        <x:f>IF('신청 원장'!L3274="","",'신청 원장'!L3274)</x:f>
        <x:v>에코시안_조혜민</x:v>
      </x:c>
      <x:c r="F509" s="2" t="str">
        <x:f>IF('신청 원장'!M3274="","",'신청 원장'!M3274)</x:f>
      </x:c>
      <x:c r="G509" s="2" t="n">
        <x:f>IF('신청 원장'!N3274="","",'신청 원장'!N3274)</x:f>
        <x:v>2524</x:v>
      </x:c>
      <x:c r="H509" s="2" t="str">
        <x:f>IF('신청 원장'!AA3274="","",'신청 원장'!AA3274)</x:f>
        <x:v>내부 관찰 대상</x:v>
      </x:c>
      <x:c r="I509" s="2" t="str">
        <x:f>IF('신청 원장'!O3274="","",'신청 원장'!O3274)</x:f>
      </x:c>
      <x:c r="J509" s="2" t="str">
        <x:f>IF('신청 원장'!W3274="","",'신청 원장'!W3274)</x:f>
      </x:c>
      <x:c r="K509" s="2" t="str">
        <x:f>IF('신청 원장'!X3274="","",'신청 원장'!X3274)</x:f>
        <x:v>보완 회신 일정 확인</x:v>
      </x:c>
      <x:c r="L509" s="2" t="str">
        <x:f>IF('신청 원장'!R3274="","",'신청 원장'!R3274)</x:f>
        <x:v>(비공개)국내인증</x:v>
      </x:c>
      <x:c r="M509" s="2" t="n">
        <x:f>IF('신청 원장'!S3274="","",'신청 원장'!S3274)</x:f>
        <x:v>52</x:v>
      </x:c>
      <x:c r="N509" s="2" t="str">
        <x:f>IF('신청 원장'!K3274&lt;&gt;"미종결 표시","종결 상태 확인",IF('신청 원장'!N3274="","일자 확인 필요",IF('신청 원장'!N3274&gt;365,"366일 이상",IF('신청 원장'!N3274&gt;90,"91~365일",IF('신청 원장'!N3274&gt;30,"31~90일","0~30일")))))</x:f>
        <x:v>366일 이상</x:v>
      </x:c>
      <x:c r="O509" s="2" t="str">
        <x:f>IF(OR('신청 원장'!L3274="",'신청 원장'!L3274="선택"),"담당 원문 확인","기재")</x:f>
        <x:v>기재</x:v>
      </x:c>
      <x:c r="P509" s="2" t="str">
        <x:f>IF('신청 원장'!A3274="","",'신청 원장'!A3274)</x:f>
        <x:v>43ce0fc8ddd27d906712736c</x:v>
      </x:c>
    </x:row>
    <x:row r="510" ht="42" customHeight="1">
      <x:c r="A510" s="2" t="str">
        <x:f>IF('신청 원장'!B3275="","",'신청 원장'!B3275)</x:f>
        <x:v>인증 비공개 신청</x:v>
      </x:c>
      <x:c r="B510" s="7" t="str">
        <x:f>IF('신청 원장'!D3275="","",'신청 원장'!D3275)</x:f>
        <x:v>경림산업(주) 제주사업장 B-B유에서 목재펠릿으로 연료 전환을 통한 온실가스 감축사업</x:v>
      </x:c>
      <x:c r="C510" s="2" t="str">
        <x:f>IF('신청 원장'!F3275="","",'신청 원장'!F3275)</x:f>
        <x:v>2019-11-17</x:v>
      </x:c>
      <x:c r="D510" s="2" t="str">
        <x:f>IF('신청 원장'!J3275="","",'신청 원장'!J3275)</x:f>
        <x:v>보완요청</x:v>
      </x:c>
      <x:c r="E510" s="2" t="str">
        <x:f>IF('신청 원장'!L3275="","",'신청 원장'!L3275)</x:f>
        <x:v>에코시안_조혜민</x:v>
      </x:c>
      <x:c r="F510" s="2" t="str">
        <x:f>IF('신청 원장'!M3275="","",'신청 원장'!M3275)</x:f>
      </x:c>
      <x:c r="G510" s="2" t="n">
        <x:f>IF('신청 원장'!N3275="","",'신청 원장'!N3275)</x:f>
        <x:v>2524</x:v>
      </x:c>
      <x:c r="H510" s="2" t="str">
        <x:f>IF('신청 원장'!AA3275="","",'신청 원장'!AA3275)</x:f>
        <x:v>내부 관찰 대상</x:v>
      </x:c>
      <x:c r="I510" s="2" t="str">
        <x:f>IF('신청 원장'!O3275="","",'신청 원장'!O3275)</x:f>
      </x:c>
      <x:c r="J510" s="2" t="str">
        <x:f>IF('신청 원장'!W3275="","",'신청 원장'!W3275)</x:f>
      </x:c>
      <x:c r="K510" s="2" t="str">
        <x:f>IF('신청 원장'!X3275="","",'신청 원장'!X3275)</x:f>
        <x:v>보완 회신 일정 확인</x:v>
      </x:c>
      <x:c r="L510" s="2" t="str">
        <x:f>IF('신청 원장'!R3275="","",'신청 원장'!R3275)</x:f>
        <x:v>(비공개)국내인증</x:v>
      </x:c>
      <x:c r="M510" s="2" t="n">
        <x:f>IF('신청 원장'!S3275="","",'신청 원장'!S3275)</x:f>
        <x:v>53</x:v>
      </x:c>
      <x:c r="N510" s="2" t="str">
        <x:f>IF('신청 원장'!K3275&lt;&gt;"미종결 표시","종결 상태 확인",IF('신청 원장'!N3275="","일자 확인 필요",IF('신청 원장'!N3275&gt;365,"366일 이상",IF('신청 원장'!N3275&gt;90,"91~365일",IF('신청 원장'!N3275&gt;30,"31~90일","0~30일")))))</x:f>
        <x:v>366일 이상</x:v>
      </x:c>
      <x:c r="O510" s="2" t="str">
        <x:f>IF(OR('신청 원장'!L3275="",'신청 원장'!L3275="선택"),"담당 원문 확인","기재")</x:f>
        <x:v>기재</x:v>
      </x:c>
      <x:c r="P510" s="2" t="str">
        <x:f>IF('신청 원장'!A3275="","",'신청 원장'!A3275)</x:f>
        <x:v>77be6c275cf634042a90e343</x:v>
      </x:c>
    </x:row>
    <x:row r="511" ht="42" customHeight="1">
      <x:c r="A511" s="2" t="str">
        <x:f>IF('신청 원장'!B3276="","",'신청 원장'!B3276)</x:f>
        <x:v>인증 비공개 신청</x:v>
      </x:c>
      <x:c r="B511" s="7" t="str">
        <x:f>IF('신청 원장'!D3276="","",'신청 원장'!D3276)</x:f>
        <x:v>(주)우리섬유 버너교체 연료전환(경유, B-C유 → LPG)을 통한 온실가스 감축 사업</x:v>
      </x:c>
      <x:c r="C511" s="2" t="str">
        <x:f>IF('신청 원장'!F3276="","",'신청 원장'!F3276)</x:f>
        <x:v>2019-11-17</x:v>
      </x:c>
      <x:c r="D511" s="2" t="str">
        <x:f>IF('신청 원장'!J3276="","",'신청 원장'!J3276)</x:f>
        <x:v>보완요청</x:v>
      </x:c>
      <x:c r="E511" s="2" t="str">
        <x:f>IF('신청 원장'!L3276="","",'신청 원장'!L3276)</x:f>
        <x:v>에코시안_조혜민</x:v>
      </x:c>
      <x:c r="F511" s="2" t="str">
        <x:f>IF('신청 원장'!M3276="","",'신청 원장'!M3276)</x:f>
      </x:c>
      <x:c r="G511" s="2" t="n">
        <x:f>IF('신청 원장'!N3276="","",'신청 원장'!N3276)</x:f>
        <x:v>2524</x:v>
      </x:c>
      <x:c r="H511" s="2" t="str">
        <x:f>IF('신청 원장'!AA3276="","",'신청 원장'!AA3276)</x:f>
        <x:v>내부 관찰 대상</x:v>
      </x:c>
      <x:c r="I511" s="2" t="str">
        <x:f>IF('신청 원장'!O3276="","",'신청 원장'!O3276)</x:f>
      </x:c>
      <x:c r="J511" s="2" t="str">
        <x:f>IF('신청 원장'!W3276="","",'신청 원장'!W3276)</x:f>
      </x:c>
      <x:c r="K511" s="2" t="str">
        <x:f>IF('신청 원장'!X3276="","",'신청 원장'!X3276)</x:f>
        <x:v>보완 회신 일정 확인</x:v>
      </x:c>
      <x:c r="L511" s="2" t="str">
        <x:f>IF('신청 원장'!R3276="","",'신청 원장'!R3276)</x:f>
        <x:v>(비공개)국내인증</x:v>
      </x:c>
      <x:c r="M511" s="2" t="n">
        <x:f>IF('신청 원장'!S3276="","",'신청 원장'!S3276)</x:f>
        <x:v>54</x:v>
      </x:c>
      <x:c r="N511" s="2" t="str">
        <x:f>IF('신청 원장'!K3276&lt;&gt;"미종결 표시","종결 상태 확인",IF('신청 원장'!N3276="","일자 확인 필요",IF('신청 원장'!N3276&gt;365,"366일 이상",IF('신청 원장'!N3276&gt;90,"91~365일",IF('신청 원장'!N3276&gt;30,"31~90일","0~30일")))))</x:f>
        <x:v>366일 이상</x:v>
      </x:c>
      <x:c r="O511" s="2" t="str">
        <x:f>IF(OR('신청 원장'!L3276="",'신청 원장'!L3276="선택"),"담당 원문 확인","기재")</x:f>
        <x:v>기재</x:v>
      </x:c>
      <x:c r="P511" s="2" t="str">
        <x:f>IF('신청 원장'!A3276="","",'신청 원장'!A3276)</x:f>
        <x:v>6472f34b0211cce8cc155a2e</x:v>
      </x:c>
    </x:row>
    <x:row r="512" ht="42" customHeight="1">
      <x:c r="A512" s="2" t="str">
        <x:f>IF('신청 원장'!B3277="","",'신청 원장'!B3277)</x:f>
        <x:v>인증 비공개 신청</x:v>
      </x:c>
      <x:c r="B512" s="7" t="str">
        <x:f>IF('신청 원장'!D3277="","",'신청 원장'!D3277)</x:f>
        <x:v>(주)와이엠 프로폴의 보일러 연료전환 (B-C유 → LNG)에 의한 온실가스(CO2) 배출 감축사업</x:v>
      </x:c>
      <x:c r="C512" s="2" t="str">
        <x:f>IF('신청 원장'!F3277="","",'신청 원장'!F3277)</x:f>
        <x:v>2019-11-17</x:v>
      </x:c>
      <x:c r="D512" s="2" t="str">
        <x:f>IF('신청 원장'!J3277="","",'신청 원장'!J3277)</x:f>
        <x:v>보완요청</x:v>
      </x:c>
      <x:c r="E512" s="2" t="str">
        <x:f>IF('신청 원장'!L3277="","",'신청 원장'!L3277)</x:f>
        <x:v>에코시안_조혜민</x:v>
      </x:c>
      <x:c r="F512" s="2" t="str">
        <x:f>IF('신청 원장'!M3277="","",'신청 원장'!M3277)</x:f>
      </x:c>
      <x:c r="G512" s="2" t="n">
        <x:f>IF('신청 원장'!N3277="","",'신청 원장'!N3277)</x:f>
        <x:v>2524</x:v>
      </x:c>
      <x:c r="H512" s="2" t="str">
        <x:f>IF('신청 원장'!AA3277="","",'신청 원장'!AA3277)</x:f>
        <x:v>내부 관찰 대상</x:v>
      </x:c>
      <x:c r="I512" s="2" t="str">
        <x:f>IF('신청 원장'!O3277="","",'신청 원장'!O3277)</x:f>
      </x:c>
      <x:c r="J512" s="2" t="str">
        <x:f>IF('신청 원장'!W3277="","",'신청 원장'!W3277)</x:f>
      </x:c>
      <x:c r="K512" s="2" t="str">
        <x:f>IF('신청 원장'!X3277="","",'신청 원장'!X3277)</x:f>
        <x:v>보완 회신 일정 확인</x:v>
      </x:c>
      <x:c r="L512" s="2" t="str">
        <x:f>IF('신청 원장'!R3277="","",'신청 원장'!R3277)</x:f>
        <x:v>(비공개)국내인증</x:v>
      </x:c>
      <x:c r="M512" s="2" t="n">
        <x:f>IF('신청 원장'!S3277="","",'신청 원장'!S3277)</x:f>
        <x:v>55</x:v>
      </x:c>
      <x:c r="N512" s="2" t="str">
        <x:f>IF('신청 원장'!K3277&lt;&gt;"미종결 표시","종결 상태 확인",IF('신청 원장'!N3277="","일자 확인 필요",IF('신청 원장'!N3277&gt;365,"366일 이상",IF('신청 원장'!N3277&gt;90,"91~365일",IF('신청 원장'!N3277&gt;30,"31~90일","0~30일")))))</x:f>
        <x:v>366일 이상</x:v>
      </x:c>
      <x:c r="O512" s="2" t="str">
        <x:f>IF(OR('신청 원장'!L3277="",'신청 원장'!L3277="선택"),"담당 원문 확인","기재")</x:f>
        <x:v>기재</x:v>
      </x:c>
      <x:c r="P512" s="2" t="str">
        <x:f>IF('신청 원장'!A3277="","",'신청 원장'!A3277)</x:f>
        <x:v>d370e02c99d6d08e147beb1d</x:v>
      </x:c>
    </x:row>
    <x:row r="513" ht="42" customHeight="1">
      <x:c r="A513" s="2" t="str">
        <x:f>IF('신청 원장'!B3278="","",'신청 원장'!B3278)</x:f>
        <x:v>인증 비공개 신청</x:v>
      </x:c>
      <x:c r="B513" s="7" t="str">
        <x:f>IF('신청 원장'!D3278="","",'신청 원장'!D3278)</x:f>
        <x:v>(주)에이치에스아쿠아피드 밀양사업장 B-C유에서 목재펠릿으로 연료전환을 통한 온실가스 감축사업</x:v>
      </x:c>
      <x:c r="C513" s="2" t="str">
        <x:f>IF('신청 원장'!F3278="","",'신청 원장'!F3278)</x:f>
        <x:v>2019-11-17</x:v>
      </x:c>
      <x:c r="D513" s="2" t="str">
        <x:f>IF('신청 원장'!J3278="","",'신청 원장'!J3278)</x:f>
        <x:v>보완요청</x:v>
      </x:c>
      <x:c r="E513" s="2" t="str">
        <x:f>IF('신청 원장'!L3278="","",'신청 원장'!L3278)</x:f>
        <x:v>에코시안_조혜민</x:v>
      </x:c>
      <x:c r="F513" s="2" t="str">
        <x:f>IF('신청 원장'!M3278="","",'신청 원장'!M3278)</x:f>
      </x:c>
      <x:c r="G513" s="2" t="n">
        <x:f>IF('신청 원장'!N3278="","",'신청 원장'!N3278)</x:f>
        <x:v>2524</x:v>
      </x:c>
      <x:c r="H513" s="2" t="str">
        <x:f>IF('신청 원장'!AA3278="","",'신청 원장'!AA3278)</x:f>
        <x:v>내부 관찰 대상</x:v>
      </x:c>
      <x:c r="I513" s="2" t="str">
        <x:f>IF('신청 원장'!O3278="","",'신청 원장'!O3278)</x:f>
      </x:c>
      <x:c r="J513" s="2" t="str">
        <x:f>IF('신청 원장'!W3278="","",'신청 원장'!W3278)</x:f>
      </x:c>
      <x:c r="K513" s="2" t="str">
        <x:f>IF('신청 원장'!X3278="","",'신청 원장'!X3278)</x:f>
        <x:v>보완 회신 일정 확인</x:v>
      </x:c>
      <x:c r="L513" s="2" t="str">
        <x:f>IF('신청 원장'!R3278="","",'신청 원장'!R3278)</x:f>
        <x:v>(비공개)국내인증</x:v>
      </x:c>
      <x:c r="M513" s="2" t="n">
        <x:f>IF('신청 원장'!S3278="","",'신청 원장'!S3278)</x:f>
        <x:v>56</x:v>
      </x:c>
      <x:c r="N513" s="2" t="str">
        <x:f>IF('신청 원장'!K3278&lt;&gt;"미종결 표시","종결 상태 확인",IF('신청 원장'!N3278="","일자 확인 필요",IF('신청 원장'!N3278&gt;365,"366일 이상",IF('신청 원장'!N3278&gt;90,"91~365일",IF('신청 원장'!N3278&gt;30,"31~90일","0~30일")))))</x:f>
        <x:v>366일 이상</x:v>
      </x:c>
      <x:c r="O513" s="2" t="str">
        <x:f>IF(OR('신청 원장'!L3278="",'신청 원장'!L3278="선택"),"담당 원문 확인","기재")</x:f>
        <x:v>기재</x:v>
      </x:c>
      <x:c r="P513" s="2" t="str">
        <x:f>IF('신청 원장'!A3278="","",'신청 원장'!A3278)</x:f>
        <x:v>e8059032039d449d06301a0c</x:v>
      </x:c>
    </x:row>
    <x:row r="514" ht="42" customHeight="1">
      <x:c r="A514" s="2" t="str">
        <x:f>IF('신청 원장'!B3279="","",'신청 원장'!B3279)</x:f>
        <x:v>인증 비공개 신청</x:v>
      </x:c>
      <x:c r="B514" s="7" t="str">
        <x:f>IF('신청 원장'!D3279="","",'신청 원장'!D3279)</x:f>
        <x:v>성창 버너 연료전환을 통한 온실가스 (CO2) 감축사업</x:v>
      </x:c>
      <x:c r="C514" s="2" t="str">
        <x:f>IF('신청 원장'!F3279="","",'신청 원장'!F3279)</x:f>
        <x:v>2019-11-17</x:v>
      </x:c>
      <x:c r="D514" s="2" t="str">
        <x:f>IF('신청 원장'!J3279="","",'신청 원장'!J3279)</x:f>
        <x:v>보완요청</x:v>
      </x:c>
      <x:c r="E514" s="2" t="str">
        <x:f>IF('신청 원장'!L3279="","",'신청 원장'!L3279)</x:f>
        <x:v>에코시안_조혜민</x:v>
      </x:c>
      <x:c r="F514" s="2" t="str">
        <x:f>IF('신청 원장'!M3279="","",'신청 원장'!M3279)</x:f>
      </x:c>
      <x:c r="G514" s="2" t="n">
        <x:f>IF('신청 원장'!N3279="","",'신청 원장'!N3279)</x:f>
        <x:v>2524</x:v>
      </x:c>
      <x:c r="H514" s="2" t="str">
        <x:f>IF('신청 원장'!AA3279="","",'신청 원장'!AA3279)</x:f>
        <x:v>내부 관찰 대상</x:v>
      </x:c>
      <x:c r="I514" s="2" t="str">
        <x:f>IF('신청 원장'!O3279="","",'신청 원장'!O3279)</x:f>
      </x:c>
      <x:c r="J514" s="2" t="str">
        <x:f>IF('신청 원장'!W3279="","",'신청 원장'!W3279)</x:f>
      </x:c>
      <x:c r="K514" s="2" t="str">
        <x:f>IF('신청 원장'!X3279="","",'신청 원장'!X3279)</x:f>
        <x:v>보완 회신 일정 확인</x:v>
      </x:c>
      <x:c r="L514" s="2" t="str">
        <x:f>IF('신청 원장'!R3279="","",'신청 원장'!R3279)</x:f>
        <x:v>(비공개)국내인증</x:v>
      </x:c>
      <x:c r="M514" s="2" t="n">
        <x:f>IF('신청 원장'!S3279="","",'신청 원장'!S3279)</x:f>
        <x:v>57</x:v>
      </x:c>
      <x:c r="N514" s="2" t="str">
        <x:f>IF('신청 원장'!K3279&lt;&gt;"미종결 표시","종결 상태 확인",IF('신청 원장'!N3279="","일자 확인 필요",IF('신청 원장'!N3279&gt;365,"366일 이상",IF('신청 원장'!N3279&gt;90,"91~365일",IF('신청 원장'!N3279&gt;30,"31~90일","0~30일")))))</x:f>
        <x:v>366일 이상</x:v>
      </x:c>
      <x:c r="O514" s="2" t="str">
        <x:f>IF(OR('신청 원장'!L3279="",'신청 원장'!L3279="선택"),"담당 원문 확인","기재")</x:f>
        <x:v>기재</x:v>
      </x:c>
      <x:c r="P514" s="2" t="str">
        <x:f>IF('신청 원장'!A3279="","",'신청 원장'!A3279)</x:f>
        <x:v>964a597fa27bde8f797648bd</x:v>
      </x:c>
    </x:row>
    <x:row r="515" ht="42" customHeight="1">
      <x:c r="A515" s="2" t="str">
        <x:f>IF('신청 원장'!B3280="","",'신청 원장'!B3280)</x:f>
        <x:v>인증 비공개 신청</x:v>
      </x:c>
      <x:c r="B515" s="7" t="str">
        <x:f>IF('신청 원장'!D3280="","",'신청 원장'!D3280)</x:f>
        <x:v>경보판지공업의 연료전환을 통한 온실가스 감축사업</x:v>
      </x:c>
      <x:c r="C515" s="2" t="str">
        <x:f>IF('신청 원장'!F3280="","",'신청 원장'!F3280)</x:f>
        <x:v>2019-11-17</x:v>
      </x:c>
      <x:c r="D515" s="2" t="str">
        <x:f>IF('신청 원장'!J3280="","",'신청 원장'!J3280)</x:f>
        <x:v>보완요청</x:v>
      </x:c>
      <x:c r="E515" s="2" t="str">
        <x:f>IF('신청 원장'!L3280="","",'신청 원장'!L3280)</x:f>
        <x:v>에코시안_조혜민</x:v>
      </x:c>
      <x:c r="F515" s="2" t="str">
        <x:f>IF('신청 원장'!M3280="","",'신청 원장'!M3280)</x:f>
      </x:c>
      <x:c r="G515" s="2" t="n">
        <x:f>IF('신청 원장'!N3280="","",'신청 원장'!N3280)</x:f>
        <x:v>2524</x:v>
      </x:c>
      <x:c r="H515" s="2" t="str">
        <x:f>IF('신청 원장'!AA3280="","",'신청 원장'!AA3280)</x:f>
        <x:v>내부 관찰 대상</x:v>
      </x:c>
      <x:c r="I515" s="2" t="str">
        <x:f>IF('신청 원장'!O3280="","",'신청 원장'!O3280)</x:f>
      </x:c>
      <x:c r="J515" s="2" t="str">
        <x:f>IF('신청 원장'!W3280="","",'신청 원장'!W3280)</x:f>
      </x:c>
      <x:c r="K515" s="2" t="str">
        <x:f>IF('신청 원장'!X3280="","",'신청 원장'!X3280)</x:f>
        <x:v>보완 회신 일정 확인</x:v>
      </x:c>
      <x:c r="L515" s="2" t="str">
        <x:f>IF('신청 원장'!R3280="","",'신청 원장'!R3280)</x:f>
        <x:v>(비공개)국내인증</x:v>
      </x:c>
      <x:c r="M515" s="2" t="n">
        <x:f>IF('신청 원장'!S3280="","",'신청 원장'!S3280)</x:f>
        <x:v>58</x:v>
      </x:c>
      <x:c r="N515" s="2" t="str">
        <x:f>IF('신청 원장'!K3280&lt;&gt;"미종결 표시","종결 상태 확인",IF('신청 원장'!N3280="","일자 확인 필요",IF('신청 원장'!N3280&gt;365,"366일 이상",IF('신청 원장'!N3280&gt;90,"91~365일",IF('신청 원장'!N3280&gt;30,"31~90일","0~30일")))))</x:f>
        <x:v>366일 이상</x:v>
      </x:c>
      <x:c r="O515" s="2" t="str">
        <x:f>IF(OR('신청 원장'!L3280="",'신청 원장'!L3280="선택"),"담당 원문 확인","기재")</x:f>
        <x:v>기재</x:v>
      </x:c>
      <x:c r="P515" s="2" t="str">
        <x:f>IF('신청 원장'!A3280="","",'신청 원장'!A3280)</x:f>
        <x:v>b3b520106280e24e2ef074ce</x:v>
      </x:c>
    </x:row>
    <x:row r="516" ht="42" customHeight="1">
      <x:c r="A516" s="2" t="str">
        <x:f>IF('신청 원장'!B3281="","",'신청 원장'!B3281)</x:f>
        <x:v>인증 비공개 신청</x:v>
      </x:c>
      <x:c r="B516" s="7" t="str">
        <x:f>IF('신청 원장'!D3281="","",'신청 원장'!D3281)</x:f>
        <x:v>한일섬유  건조공정 연료교체 KVER사업</x:v>
      </x:c>
      <x:c r="C516" s="2" t="str">
        <x:f>IF('신청 원장'!F3281="","",'신청 원장'!F3281)</x:f>
        <x:v>2019-11-17</x:v>
      </x:c>
      <x:c r="D516" s="2" t="str">
        <x:f>IF('신청 원장'!J3281="","",'신청 원장'!J3281)</x:f>
        <x:v>보완요청</x:v>
      </x:c>
      <x:c r="E516" s="2" t="str">
        <x:f>IF('신청 원장'!L3281="","",'신청 원장'!L3281)</x:f>
        <x:v>에코시안_조혜민</x:v>
      </x:c>
      <x:c r="F516" s="2" t="str">
        <x:f>IF('신청 원장'!M3281="","",'신청 원장'!M3281)</x:f>
      </x:c>
      <x:c r="G516" s="2" t="n">
        <x:f>IF('신청 원장'!N3281="","",'신청 원장'!N3281)</x:f>
        <x:v>2524</x:v>
      </x:c>
      <x:c r="H516" s="2" t="str">
        <x:f>IF('신청 원장'!AA3281="","",'신청 원장'!AA3281)</x:f>
        <x:v>내부 관찰 대상</x:v>
      </x:c>
      <x:c r="I516" s="2" t="str">
        <x:f>IF('신청 원장'!O3281="","",'신청 원장'!O3281)</x:f>
      </x:c>
      <x:c r="J516" s="2" t="str">
        <x:f>IF('신청 원장'!W3281="","",'신청 원장'!W3281)</x:f>
      </x:c>
      <x:c r="K516" s="2" t="str">
        <x:f>IF('신청 원장'!X3281="","",'신청 원장'!X3281)</x:f>
        <x:v>보완 회신 일정 확인</x:v>
      </x:c>
      <x:c r="L516" s="2" t="str">
        <x:f>IF('신청 원장'!R3281="","",'신청 원장'!R3281)</x:f>
        <x:v>(비공개)국내인증</x:v>
      </x:c>
      <x:c r="M516" s="2" t="n">
        <x:f>IF('신청 원장'!S3281="","",'신청 원장'!S3281)</x:f>
        <x:v>59</x:v>
      </x:c>
      <x:c r="N516" s="2" t="str">
        <x:f>IF('신청 원장'!K3281&lt;&gt;"미종결 표시","종결 상태 확인",IF('신청 원장'!N3281="","일자 확인 필요",IF('신청 원장'!N3281&gt;365,"366일 이상",IF('신청 원장'!N3281&gt;90,"91~365일",IF('신청 원장'!N3281&gt;30,"31~90일","0~30일")))))</x:f>
        <x:v>366일 이상</x:v>
      </x:c>
      <x:c r="O516" s="2" t="str">
        <x:f>IF(OR('신청 원장'!L3281="",'신청 원장'!L3281="선택"),"담당 원문 확인","기재")</x:f>
        <x:v>기재</x:v>
      </x:c>
      <x:c r="P516" s="2" t="str">
        <x:f>IF('신청 원장'!A3281="","",'신청 원장'!A3281)</x:f>
        <x:v>6139785dcbeffa91666767b7</x:v>
      </x:c>
    </x:row>
    <x:row r="517" ht="42" customHeight="1">
      <x:c r="A517" s="2" t="str">
        <x:f>IF('신청 원장'!B3282="","",'신청 원장'!B3282)</x:f>
        <x:v>인증 비공개 신청</x:v>
      </x:c>
      <x:c r="B517" s="7" t="str">
        <x:f>IF('신청 원장'!D3282="","",'신청 원장'!D3282)</x:f>
        <x:v>팜스코 스팀보일러의 연료교체를 통한 온실가스 감축사업</x:v>
      </x:c>
      <x:c r="C517" s="2" t="str">
        <x:f>IF('신청 원장'!F3282="","",'신청 원장'!F3282)</x:f>
        <x:v>2019-11-17</x:v>
      </x:c>
      <x:c r="D517" s="2" t="str">
        <x:f>IF('신청 원장'!J3282="","",'신청 원장'!J3282)</x:f>
        <x:v>보완요청</x:v>
      </x:c>
      <x:c r="E517" s="2" t="str">
        <x:f>IF('신청 원장'!L3282="","",'신청 원장'!L3282)</x:f>
        <x:v>에코시안_조혜민</x:v>
      </x:c>
      <x:c r="F517" s="2" t="str">
        <x:f>IF('신청 원장'!M3282="","",'신청 원장'!M3282)</x:f>
      </x:c>
      <x:c r="G517" s="2" t="n">
        <x:f>IF('신청 원장'!N3282="","",'신청 원장'!N3282)</x:f>
        <x:v>2524</x:v>
      </x:c>
      <x:c r="H517" s="2" t="str">
        <x:f>IF('신청 원장'!AA3282="","",'신청 원장'!AA3282)</x:f>
        <x:v>내부 관찰 대상</x:v>
      </x:c>
      <x:c r="I517" s="2" t="str">
        <x:f>IF('신청 원장'!O3282="","",'신청 원장'!O3282)</x:f>
      </x:c>
      <x:c r="J517" s="2" t="str">
        <x:f>IF('신청 원장'!W3282="","",'신청 원장'!W3282)</x:f>
      </x:c>
      <x:c r="K517" s="2" t="str">
        <x:f>IF('신청 원장'!X3282="","",'신청 원장'!X3282)</x:f>
        <x:v>보완 회신 일정 확인</x:v>
      </x:c>
      <x:c r="L517" s="2" t="str">
        <x:f>IF('신청 원장'!R3282="","",'신청 원장'!R3282)</x:f>
        <x:v>(비공개)국내인증</x:v>
      </x:c>
      <x:c r="M517" s="2" t="n">
        <x:f>IF('신청 원장'!S3282="","",'신청 원장'!S3282)</x:f>
        <x:v>60</x:v>
      </x:c>
      <x:c r="N517" s="2" t="str">
        <x:f>IF('신청 원장'!K3282&lt;&gt;"미종결 표시","종결 상태 확인",IF('신청 원장'!N3282="","일자 확인 필요",IF('신청 원장'!N3282&gt;365,"366일 이상",IF('신청 원장'!N3282&gt;90,"91~365일",IF('신청 원장'!N3282&gt;30,"31~90일","0~30일")))))</x:f>
        <x:v>366일 이상</x:v>
      </x:c>
      <x:c r="O517" s="2" t="str">
        <x:f>IF(OR('신청 원장'!L3282="",'신청 원장'!L3282="선택"),"담당 원문 확인","기재")</x:f>
        <x:v>기재</x:v>
      </x:c>
      <x:c r="P517" s="2" t="str">
        <x:f>IF('신청 원장'!A3282="","",'신청 원장'!A3282)</x:f>
        <x:v>c4444ac5ca063b02eeab566f</x:v>
      </x:c>
    </x:row>
    <x:row r="518" ht="42" customHeight="1">
      <x:c r="A518" s="2" t="str">
        <x:f>IF('신청 원장'!B3283="","",'신청 원장'!B3283)</x:f>
        <x:v>인증 비공개 신청</x:v>
      </x:c>
      <x:c r="B518" s="7" t="str">
        <x:f>IF('신청 원장'!D3283="","",'신청 원장'!D3283)</x:f>
        <x:v>중앙아스콘(주) 버너연료를 B-C유 에서 LNG로 연료 전환 하는 온실가스 감축사업</x:v>
      </x:c>
      <x:c r="C518" s="2" t="str">
        <x:f>IF('신청 원장'!F3283="","",'신청 원장'!F3283)</x:f>
        <x:v>2019-11-14</x:v>
      </x:c>
      <x:c r="D518" s="2" t="str">
        <x:f>IF('신청 원장'!J3283="","",'신청 원장'!J3283)</x:f>
        <x:v>보완요청</x:v>
      </x:c>
      <x:c r="E518" s="2" t="str">
        <x:f>IF('신청 원장'!L3283="","",'신청 원장'!L3283)</x:f>
        <x:v>에코시안_조혜민</x:v>
      </x:c>
      <x:c r="F518" s="2" t="str">
        <x:f>IF('신청 원장'!M3283="","",'신청 원장'!M3283)</x:f>
      </x:c>
      <x:c r="G518" s="2" t="n">
        <x:f>IF('신청 원장'!N3283="","",'신청 원장'!N3283)</x:f>
        <x:v>2527</x:v>
      </x:c>
      <x:c r="H518" s="2" t="str">
        <x:f>IF('신청 원장'!AA3283="","",'신청 원장'!AA3283)</x:f>
        <x:v>내부 관찰 대상</x:v>
      </x:c>
      <x:c r="I518" s="2" t="str">
        <x:f>IF('신청 원장'!O3283="","",'신청 원장'!O3283)</x:f>
      </x:c>
      <x:c r="J518" s="2" t="str">
        <x:f>IF('신청 원장'!W3283="","",'신청 원장'!W3283)</x:f>
      </x:c>
      <x:c r="K518" s="2" t="str">
        <x:f>IF('신청 원장'!X3283="","",'신청 원장'!X3283)</x:f>
        <x:v>보완 회신 일정 확인</x:v>
      </x:c>
      <x:c r="L518" s="2" t="str">
        <x:f>IF('신청 원장'!R3283="","",'신청 원장'!R3283)</x:f>
        <x:v>(비공개)국내인증</x:v>
      </x:c>
      <x:c r="M518" s="2" t="n">
        <x:f>IF('신청 원장'!S3283="","",'신청 원장'!S3283)</x:f>
        <x:v>61</x:v>
      </x:c>
      <x:c r="N518" s="2" t="str">
        <x:f>IF('신청 원장'!K3283&lt;&gt;"미종결 표시","종결 상태 확인",IF('신청 원장'!N3283="","일자 확인 필요",IF('신청 원장'!N3283&gt;365,"366일 이상",IF('신청 원장'!N3283&gt;90,"91~365일",IF('신청 원장'!N3283&gt;30,"31~90일","0~30일")))))</x:f>
        <x:v>366일 이상</x:v>
      </x:c>
      <x:c r="O518" s="2" t="str">
        <x:f>IF(OR('신청 원장'!L3283="",'신청 원장'!L3283="선택"),"담당 원문 확인","기재")</x:f>
        <x:v>기재</x:v>
      </x:c>
      <x:c r="P518" s="2" t="str">
        <x:f>IF('신청 원장'!A3283="","",'신청 원장'!A3283)</x:f>
        <x:v>32ddec89c45728425d1cd2f6</x:v>
      </x:c>
    </x:row>
    <x:row r="519" ht="42" customHeight="1">
      <x:c r="A519" s="2" t="str">
        <x:f>IF('신청 원장'!B3284="","",'신청 원장'!B3284)</x:f>
        <x:v>인증 비공개 신청</x:v>
      </x:c>
      <x:c r="B519" s="7" t="str">
        <x:f>IF('신청 원장'!D3284="","",'신청 원장'!D3284)</x:f>
        <x:v>폴린트컴포지트코리아 연료교체를 통한 온실가스 배출감축사업</x:v>
      </x:c>
      <x:c r="C519" s="2" t="str">
        <x:f>IF('신청 원장'!F3284="","",'신청 원장'!F3284)</x:f>
        <x:v>2019-11-14</x:v>
      </x:c>
      <x:c r="D519" s="2" t="str">
        <x:f>IF('신청 원장'!J3284="","",'신청 원장'!J3284)</x:f>
        <x:v>보완요청</x:v>
      </x:c>
      <x:c r="E519" s="2" t="str">
        <x:f>IF('신청 원장'!L3284="","",'신청 원장'!L3284)</x:f>
        <x:v>에코시안_조혜민</x:v>
      </x:c>
      <x:c r="F519" s="2" t="str">
        <x:f>IF('신청 원장'!M3284="","",'신청 원장'!M3284)</x:f>
      </x:c>
      <x:c r="G519" s="2" t="n">
        <x:f>IF('신청 원장'!N3284="","",'신청 원장'!N3284)</x:f>
        <x:v>2527</x:v>
      </x:c>
      <x:c r="H519" s="2" t="str">
        <x:f>IF('신청 원장'!AA3284="","",'신청 원장'!AA3284)</x:f>
        <x:v>내부 관찰 대상</x:v>
      </x:c>
      <x:c r="I519" s="2" t="str">
        <x:f>IF('신청 원장'!O3284="","",'신청 원장'!O3284)</x:f>
      </x:c>
      <x:c r="J519" s="2" t="str">
        <x:f>IF('신청 원장'!W3284="","",'신청 원장'!W3284)</x:f>
      </x:c>
      <x:c r="K519" s="2" t="str">
        <x:f>IF('신청 원장'!X3284="","",'신청 원장'!X3284)</x:f>
        <x:v>보완 회신 일정 확인</x:v>
      </x:c>
      <x:c r="L519" s="2" t="str">
        <x:f>IF('신청 원장'!R3284="","",'신청 원장'!R3284)</x:f>
        <x:v>(비공개)국내인증</x:v>
      </x:c>
      <x:c r="M519" s="2" t="n">
        <x:f>IF('신청 원장'!S3284="","",'신청 원장'!S3284)</x:f>
        <x:v>62</x:v>
      </x:c>
      <x:c r="N519" s="2" t="str">
        <x:f>IF('신청 원장'!K3284&lt;&gt;"미종결 표시","종결 상태 확인",IF('신청 원장'!N3284="","일자 확인 필요",IF('신청 원장'!N3284&gt;365,"366일 이상",IF('신청 원장'!N3284&gt;90,"91~365일",IF('신청 원장'!N3284&gt;30,"31~90일","0~30일")))))</x:f>
        <x:v>366일 이상</x:v>
      </x:c>
      <x:c r="O519" s="2" t="str">
        <x:f>IF(OR('신청 원장'!L3284="",'신청 원장'!L3284="선택"),"담당 원문 확인","기재")</x:f>
        <x:v>기재</x:v>
      </x:c>
      <x:c r="P519" s="2" t="str">
        <x:f>IF('신청 원장'!A3284="","",'신청 원장'!A3284)</x:f>
        <x:v>f1ed3f776e74ec3b556effce</x:v>
      </x:c>
    </x:row>
    <x:row r="520" ht="42" customHeight="1">
      <x:c r="A520" s="2" t="str">
        <x:f>IF('신청 원장'!B3285="","",'신청 원장'!B3285)</x:f>
        <x:v>인증 비공개 신청</x:v>
      </x:c>
      <x:c r="B520" s="7" t="str">
        <x:f>IF('신청 원장'!D3285="","",'신청 원장'!D3285)</x:f>
        <x:v>㈜태형기업 화성 공장 아스콘 생산 시 연료 B-C유에서 LNG로의 연료전환을 통한 온실가스 감축사업</x:v>
      </x:c>
      <x:c r="C520" s="2" t="str">
        <x:f>IF('신청 원장'!F3285="","",'신청 원장'!F3285)</x:f>
        <x:v>2019-11-14</x:v>
      </x:c>
      <x:c r="D520" s="2" t="str">
        <x:f>IF('신청 원장'!J3285="","",'신청 원장'!J3285)</x:f>
        <x:v>보완요청</x:v>
      </x:c>
      <x:c r="E520" s="2" t="str">
        <x:f>IF('신청 원장'!L3285="","",'신청 원장'!L3285)</x:f>
        <x:v>에코시안_조혜민</x:v>
      </x:c>
      <x:c r="F520" s="2" t="str">
        <x:f>IF('신청 원장'!M3285="","",'신청 원장'!M3285)</x:f>
      </x:c>
      <x:c r="G520" s="2" t="n">
        <x:f>IF('신청 원장'!N3285="","",'신청 원장'!N3285)</x:f>
        <x:v>2527</x:v>
      </x:c>
      <x:c r="H520" s="2" t="str">
        <x:f>IF('신청 원장'!AA3285="","",'신청 원장'!AA3285)</x:f>
        <x:v>내부 관찰 대상</x:v>
      </x:c>
      <x:c r="I520" s="2" t="str">
        <x:f>IF('신청 원장'!O3285="","",'신청 원장'!O3285)</x:f>
      </x:c>
      <x:c r="J520" s="2" t="str">
        <x:f>IF('신청 원장'!W3285="","",'신청 원장'!W3285)</x:f>
      </x:c>
      <x:c r="K520" s="2" t="str">
        <x:f>IF('신청 원장'!X3285="","",'신청 원장'!X3285)</x:f>
        <x:v>보완 회신 일정 확인</x:v>
      </x:c>
      <x:c r="L520" s="2" t="str">
        <x:f>IF('신청 원장'!R3285="","",'신청 원장'!R3285)</x:f>
        <x:v>(비공개)국내인증</x:v>
      </x:c>
      <x:c r="M520" s="2" t="n">
        <x:f>IF('신청 원장'!S3285="","",'신청 원장'!S3285)</x:f>
        <x:v>63</x:v>
      </x:c>
      <x:c r="N520" s="2" t="str">
        <x:f>IF('신청 원장'!K3285&lt;&gt;"미종결 표시","종결 상태 확인",IF('신청 원장'!N3285="","일자 확인 필요",IF('신청 원장'!N3285&gt;365,"366일 이상",IF('신청 원장'!N3285&gt;90,"91~365일",IF('신청 원장'!N3285&gt;30,"31~90일","0~30일")))))</x:f>
        <x:v>366일 이상</x:v>
      </x:c>
      <x:c r="O520" s="2" t="str">
        <x:f>IF(OR('신청 원장'!L3285="",'신청 원장'!L3285="선택"),"담당 원문 확인","기재")</x:f>
        <x:v>기재</x:v>
      </x:c>
      <x:c r="P520" s="2" t="str">
        <x:f>IF('신청 원장'!A3285="","",'신청 원장'!A3285)</x:f>
        <x:v>ca641869db9715a1192c1168</x:v>
      </x:c>
    </x:row>
    <x:row r="521" ht="42" customHeight="1">
      <x:c r="A521" s="2" t="str">
        <x:f>IF('신청 원장'!B3286="","",'신청 원장'!B3286)</x:f>
        <x:v>인증 비공개 신청</x:v>
      </x:c>
      <x:c r="B521" s="7" t="str">
        <x:f>IF('신청 원장'!D3286="","",'신청 원장'!D3286)</x:f>
        <x:v>케이비에프 보일러의 연료전환(부생연료2호-&gt;LPG)을 통한 온실가스 감축 사업</x:v>
      </x:c>
      <x:c r="C521" s="2" t="str">
        <x:f>IF('신청 원장'!F3286="","",'신청 원장'!F3286)</x:f>
        <x:v>2019-11-14</x:v>
      </x:c>
      <x:c r="D521" s="2" t="str">
        <x:f>IF('신청 원장'!J3286="","",'신청 원장'!J3286)</x:f>
        <x:v>보완요청</x:v>
      </x:c>
      <x:c r="E521" s="2" t="str">
        <x:f>IF('신청 원장'!L3286="","",'신청 원장'!L3286)</x:f>
        <x:v>에코시안_조영우</x:v>
      </x:c>
      <x:c r="F521" s="2" t="str">
        <x:f>IF('신청 원장'!M3286="","",'신청 원장'!M3286)</x:f>
      </x:c>
      <x:c r="G521" s="2" t="n">
        <x:f>IF('신청 원장'!N3286="","",'신청 원장'!N3286)</x:f>
        <x:v>2527</x:v>
      </x:c>
      <x:c r="H521" s="2" t="str">
        <x:f>IF('신청 원장'!AA3286="","",'신청 원장'!AA3286)</x:f>
        <x:v>내부 관찰 대상</x:v>
      </x:c>
      <x:c r="I521" s="2" t="str">
        <x:f>IF('신청 원장'!O3286="","",'신청 원장'!O3286)</x:f>
      </x:c>
      <x:c r="J521" s="2" t="str">
        <x:f>IF('신청 원장'!W3286="","",'신청 원장'!W3286)</x:f>
      </x:c>
      <x:c r="K521" s="2" t="str">
        <x:f>IF('신청 원장'!X3286="","",'신청 원장'!X3286)</x:f>
        <x:v>보완 회신 일정 확인</x:v>
      </x:c>
      <x:c r="L521" s="2" t="str">
        <x:f>IF('신청 원장'!R3286="","",'신청 원장'!R3286)</x:f>
        <x:v>(비공개)국내인증</x:v>
      </x:c>
      <x:c r="M521" s="2" t="n">
        <x:f>IF('신청 원장'!S3286="","",'신청 원장'!S3286)</x:f>
        <x:v>64</x:v>
      </x:c>
      <x:c r="N521" s="2" t="str">
        <x:f>IF('신청 원장'!K3286&lt;&gt;"미종결 표시","종결 상태 확인",IF('신청 원장'!N3286="","일자 확인 필요",IF('신청 원장'!N3286&gt;365,"366일 이상",IF('신청 원장'!N3286&gt;90,"91~365일",IF('신청 원장'!N3286&gt;30,"31~90일","0~30일")))))</x:f>
        <x:v>366일 이상</x:v>
      </x:c>
      <x:c r="O521" s="2" t="str">
        <x:f>IF(OR('신청 원장'!L3286="",'신청 원장'!L3286="선택"),"담당 원문 확인","기재")</x:f>
        <x:v>기재</x:v>
      </x:c>
      <x:c r="P521" s="2" t="str">
        <x:f>IF('신청 원장'!A3286="","",'신청 원장'!A3286)</x:f>
        <x:v>a559797e82a60c4af9aeebab</x:v>
      </x:c>
    </x:row>
    <x:row r="522" ht="42" customHeight="1">
      <x:c r="A522" s="2" t="str">
        <x:f>IF('신청 원장'!B3287="","",'신청 원장'!B3287)</x:f>
        <x:v>인증 비공개 신청</x:v>
      </x:c>
      <x:c r="B522" s="7" t="str">
        <x:f>IF('신청 원장'!D3287="","",'신청 원장'!D3287)</x:f>
        <x:v>우일산업 청양공장 목재펠릿 연료 전환(부생연료 2호-&gt; 목재펠릿)을 통한 온실가스 감축사업</x:v>
      </x:c>
      <x:c r="C522" s="2" t="str">
        <x:f>IF('신청 원장'!F3287="","",'신청 원장'!F3287)</x:f>
        <x:v>2019-11-14</x:v>
      </x:c>
      <x:c r="D522" s="2" t="str">
        <x:f>IF('신청 원장'!J3287="","",'신청 원장'!J3287)</x:f>
        <x:v>보완요청</x:v>
      </x:c>
      <x:c r="E522" s="2" t="str">
        <x:f>IF('신청 원장'!L3287="","",'신청 원장'!L3287)</x:f>
        <x:v>에코시안_조혜민</x:v>
      </x:c>
      <x:c r="F522" s="2" t="str">
        <x:f>IF('신청 원장'!M3287="","",'신청 원장'!M3287)</x:f>
      </x:c>
      <x:c r="G522" s="2" t="n">
        <x:f>IF('신청 원장'!N3287="","",'신청 원장'!N3287)</x:f>
        <x:v>2527</x:v>
      </x:c>
      <x:c r="H522" s="2" t="str">
        <x:f>IF('신청 원장'!AA3287="","",'신청 원장'!AA3287)</x:f>
        <x:v>내부 관찰 대상</x:v>
      </x:c>
      <x:c r="I522" s="2" t="str">
        <x:f>IF('신청 원장'!O3287="","",'신청 원장'!O3287)</x:f>
      </x:c>
      <x:c r="J522" s="2" t="str">
        <x:f>IF('신청 원장'!W3287="","",'신청 원장'!W3287)</x:f>
      </x:c>
      <x:c r="K522" s="2" t="str">
        <x:f>IF('신청 원장'!X3287="","",'신청 원장'!X3287)</x:f>
        <x:v>보완 회신 일정 확인</x:v>
      </x:c>
      <x:c r="L522" s="2" t="str">
        <x:f>IF('신청 원장'!R3287="","",'신청 원장'!R3287)</x:f>
        <x:v>(비공개)국내인증</x:v>
      </x:c>
      <x:c r="M522" s="2" t="n">
        <x:f>IF('신청 원장'!S3287="","",'신청 원장'!S3287)</x:f>
        <x:v>65</x:v>
      </x:c>
      <x:c r="N522" s="2" t="str">
        <x:f>IF('신청 원장'!K3287&lt;&gt;"미종결 표시","종결 상태 확인",IF('신청 원장'!N3287="","일자 확인 필요",IF('신청 원장'!N3287&gt;365,"366일 이상",IF('신청 원장'!N3287&gt;90,"91~365일",IF('신청 원장'!N3287&gt;30,"31~90일","0~30일")))))</x:f>
        <x:v>366일 이상</x:v>
      </x:c>
      <x:c r="O522" s="2" t="str">
        <x:f>IF(OR('신청 원장'!L3287="",'신청 원장'!L3287="선택"),"담당 원문 확인","기재")</x:f>
        <x:v>기재</x:v>
      </x:c>
      <x:c r="P522" s="2" t="str">
        <x:f>IF('신청 원장'!A3287="","",'신청 원장'!A3287)</x:f>
        <x:v>e7efdc36a61ade653dea0bd8</x:v>
      </x:c>
    </x:row>
    <x:row r="523" ht="42" customHeight="1">
      <x:c r="A523" s="2" t="str">
        <x:f>IF('신청 원장'!B3288="","",'신청 원장'!B3288)</x:f>
        <x:v>인증 비공개 신청</x:v>
      </x:c>
      <x:c r="B523" s="7" t="str">
        <x:f>IF('신청 원장'!D3288="","",'신청 원장'!D3288)</x:f>
        <x:v>신화콘크리트의 목재펠릿 연료전환(B-C유-&gt;목재펠릿)을 통한 온실가스 감축사업</x:v>
      </x:c>
      <x:c r="C523" s="2" t="str">
        <x:f>IF('신청 원장'!F3288="","",'신청 원장'!F3288)</x:f>
        <x:v>2019-11-14</x:v>
      </x:c>
      <x:c r="D523" s="2" t="str">
        <x:f>IF('신청 원장'!J3288="","",'신청 원장'!J3288)</x:f>
        <x:v>보완요청</x:v>
      </x:c>
      <x:c r="E523" s="2" t="str">
        <x:f>IF('신청 원장'!L3288="","",'신청 원장'!L3288)</x:f>
        <x:v>에코시안_조혜민</x:v>
      </x:c>
      <x:c r="F523" s="2" t="str">
        <x:f>IF('신청 원장'!M3288="","",'신청 원장'!M3288)</x:f>
      </x:c>
      <x:c r="G523" s="2" t="n">
        <x:f>IF('신청 원장'!N3288="","",'신청 원장'!N3288)</x:f>
        <x:v>2527</x:v>
      </x:c>
      <x:c r="H523" s="2" t="str">
        <x:f>IF('신청 원장'!AA3288="","",'신청 원장'!AA3288)</x:f>
        <x:v>내부 관찰 대상</x:v>
      </x:c>
      <x:c r="I523" s="2" t="str">
        <x:f>IF('신청 원장'!O3288="","",'신청 원장'!O3288)</x:f>
      </x:c>
      <x:c r="J523" s="2" t="str">
        <x:f>IF('신청 원장'!W3288="","",'신청 원장'!W3288)</x:f>
      </x:c>
      <x:c r="K523" s="2" t="str">
        <x:f>IF('신청 원장'!X3288="","",'신청 원장'!X3288)</x:f>
        <x:v>보완 회신 일정 확인</x:v>
      </x:c>
      <x:c r="L523" s="2" t="str">
        <x:f>IF('신청 원장'!R3288="","",'신청 원장'!R3288)</x:f>
        <x:v>(비공개)국내인증</x:v>
      </x:c>
      <x:c r="M523" s="2" t="n">
        <x:f>IF('신청 원장'!S3288="","",'신청 원장'!S3288)</x:f>
        <x:v>66</x:v>
      </x:c>
      <x:c r="N523" s="2" t="str">
        <x:f>IF('신청 원장'!K3288&lt;&gt;"미종결 표시","종결 상태 확인",IF('신청 원장'!N3288="","일자 확인 필요",IF('신청 원장'!N3288&gt;365,"366일 이상",IF('신청 원장'!N3288&gt;90,"91~365일",IF('신청 원장'!N3288&gt;30,"31~90일","0~30일")))))</x:f>
        <x:v>366일 이상</x:v>
      </x:c>
      <x:c r="O523" s="2" t="str">
        <x:f>IF(OR('신청 원장'!L3288="",'신청 원장'!L3288="선택"),"담당 원문 확인","기재")</x:f>
        <x:v>기재</x:v>
      </x:c>
      <x:c r="P523" s="2" t="str">
        <x:f>IF('신청 원장'!A3288="","",'신청 원장'!A3288)</x:f>
        <x:v>c9573971764e8b88d20874e2</x:v>
      </x:c>
    </x:row>
    <x:row r="524" ht="42" customHeight="1">
      <x:c r="A524" s="2" t="str">
        <x:f>IF('신청 원장'!B3289="","",'신청 원장'!B3289)</x:f>
        <x:v>인증 비공개 신청</x:v>
      </x:c>
      <x:c r="B524" s="7" t="str">
        <x:f>IF('신청 원장'!D3289="","",'신청 원장'!D3289)</x:f>
        <x:v>승민섬유 보일러 버너의 연료전환(B-C → LNG)을 통한 온실가스 감축사업</x:v>
      </x:c>
      <x:c r="C524" s="2" t="str">
        <x:f>IF('신청 원장'!F3289="","",'신청 원장'!F3289)</x:f>
        <x:v>2019-11-14</x:v>
      </x:c>
      <x:c r="D524" s="2" t="str">
        <x:f>IF('신청 원장'!J3289="","",'신청 원장'!J3289)</x:f>
        <x:v>보완요청</x:v>
      </x:c>
      <x:c r="E524" s="2" t="str">
        <x:f>IF('신청 원장'!L3289="","",'신청 원장'!L3289)</x:f>
        <x:v>에코시안_기샛별</x:v>
      </x:c>
      <x:c r="F524" s="2" t="str">
        <x:f>IF('신청 원장'!M3289="","",'신청 원장'!M3289)</x:f>
      </x:c>
      <x:c r="G524" s="2" t="n">
        <x:f>IF('신청 원장'!N3289="","",'신청 원장'!N3289)</x:f>
        <x:v>2527</x:v>
      </x:c>
      <x:c r="H524" s="2" t="str">
        <x:f>IF('신청 원장'!AA3289="","",'신청 원장'!AA3289)</x:f>
        <x:v>내부 관찰 대상</x:v>
      </x:c>
      <x:c r="I524" s="2" t="str">
        <x:f>IF('신청 원장'!O3289="","",'신청 원장'!O3289)</x:f>
      </x:c>
      <x:c r="J524" s="2" t="str">
        <x:f>IF('신청 원장'!W3289="","",'신청 원장'!W3289)</x:f>
      </x:c>
      <x:c r="K524" s="2" t="str">
        <x:f>IF('신청 원장'!X3289="","",'신청 원장'!X3289)</x:f>
        <x:v>보완 회신 일정 확인</x:v>
      </x:c>
      <x:c r="L524" s="2" t="str">
        <x:f>IF('신청 원장'!R3289="","",'신청 원장'!R3289)</x:f>
        <x:v>(비공개)국내인증</x:v>
      </x:c>
      <x:c r="M524" s="2" t="n">
        <x:f>IF('신청 원장'!S3289="","",'신청 원장'!S3289)</x:f>
        <x:v>67</x:v>
      </x:c>
      <x:c r="N524" s="2" t="str">
        <x:f>IF('신청 원장'!K3289&lt;&gt;"미종결 표시","종결 상태 확인",IF('신청 원장'!N3289="","일자 확인 필요",IF('신청 원장'!N3289&gt;365,"366일 이상",IF('신청 원장'!N3289&gt;90,"91~365일",IF('신청 원장'!N3289&gt;30,"31~90일","0~30일")))))</x:f>
        <x:v>366일 이상</x:v>
      </x:c>
      <x:c r="O524" s="2" t="str">
        <x:f>IF(OR('신청 원장'!L3289="",'신청 원장'!L3289="선택"),"담당 원문 확인","기재")</x:f>
        <x:v>기재</x:v>
      </x:c>
      <x:c r="P524" s="2" t="str">
        <x:f>IF('신청 원장'!A3289="","",'신청 원장'!A3289)</x:f>
        <x:v>ee5e1a0d191d061e3667a60a</x:v>
      </x:c>
    </x:row>
    <x:row r="525" ht="42" customHeight="1">
      <x:c r="A525" s="2" t="str">
        <x:f>IF('신청 원장'!B3290="","",'신청 원장'!B3290)</x:f>
        <x:v>인증 비공개 신청</x:v>
      </x:c>
      <x:c r="B525" s="7" t="str">
        <x:f>IF('신청 원장'!D3290="","",'신청 원장'!D3290)</x:f>
        <x:v>세창이피에스 김포공장 목재펠릿 연료 전환(LNG→목재펠릿)을 통한 온실가스 감축사업</x:v>
      </x:c>
      <x:c r="C525" s="2" t="str">
        <x:f>IF('신청 원장'!F3290="","",'신청 원장'!F3290)</x:f>
        <x:v>2019-11-14</x:v>
      </x:c>
      <x:c r="D525" s="2" t="str">
        <x:f>IF('신청 원장'!J3290="","",'신청 원장'!J3290)</x:f>
        <x:v>보완요청</x:v>
      </x:c>
      <x:c r="E525" s="2" t="str">
        <x:f>IF('신청 원장'!L3290="","",'신청 원장'!L3290)</x:f>
        <x:v>에코시안_조영우</x:v>
      </x:c>
      <x:c r="F525" s="2" t="str">
        <x:f>IF('신청 원장'!M3290="","",'신청 원장'!M3290)</x:f>
      </x:c>
      <x:c r="G525" s="2" t="n">
        <x:f>IF('신청 원장'!N3290="","",'신청 원장'!N3290)</x:f>
        <x:v>2527</x:v>
      </x:c>
      <x:c r="H525" s="2" t="str">
        <x:f>IF('신청 원장'!AA3290="","",'신청 원장'!AA3290)</x:f>
        <x:v>내부 관찰 대상</x:v>
      </x:c>
      <x:c r="I525" s="2" t="str">
        <x:f>IF('신청 원장'!O3290="","",'신청 원장'!O3290)</x:f>
      </x:c>
      <x:c r="J525" s="2" t="str">
        <x:f>IF('신청 원장'!W3290="","",'신청 원장'!W3290)</x:f>
      </x:c>
      <x:c r="K525" s="2" t="str">
        <x:f>IF('신청 원장'!X3290="","",'신청 원장'!X3290)</x:f>
        <x:v>보완 회신 일정 확인</x:v>
      </x:c>
      <x:c r="L525" s="2" t="str">
        <x:f>IF('신청 원장'!R3290="","",'신청 원장'!R3290)</x:f>
        <x:v>(비공개)국내인증</x:v>
      </x:c>
      <x:c r="M525" s="2" t="n">
        <x:f>IF('신청 원장'!S3290="","",'신청 원장'!S3290)</x:f>
        <x:v>68</x:v>
      </x:c>
      <x:c r="N525" s="2" t="str">
        <x:f>IF('신청 원장'!K3290&lt;&gt;"미종결 표시","종결 상태 확인",IF('신청 원장'!N3290="","일자 확인 필요",IF('신청 원장'!N3290&gt;365,"366일 이상",IF('신청 원장'!N3290&gt;90,"91~365일",IF('신청 원장'!N3290&gt;30,"31~90일","0~30일")))))</x:f>
        <x:v>366일 이상</x:v>
      </x:c>
      <x:c r="O525" s="2" t="str">
        <x:f>IF(OR('신청 원장'!L3290="",'신청 원장'!L3290="선택"),"담당 원문 확인","기재")</x:f>
        <x:v>기재</x:v>
      </x:c>
      <x:c r="P525" s="2" t="str">
        <x:f>IF('신청 원장'!A3290="","",'신청 원장'!A3290)</x:f>
        <x:v>f36b9049475ef0996337b63d</x:v>
      </x:c>
    </x:row>
    <x:row r="526" ht="42" customHeight="1">
      <x:c r="A526" s="2" t="str">
        <x:f>IF('신청 원장'!B3291="","",'신청 원장'!B3291)</x:f>
        <x:v>인증 비공개 신청</x:v>
      </x:c>
      <x:c r="B526" s="7" t="str">
        <x:f>IF('신청 원장'!D3291="","",'신청 원장'!D3291)</x:f>
        <x:v>(주)세광케미칼김포사업장 정제유 및 벙커C유에서 목재펠릿 연료전환을 통한 온실가스 감축사업</x:v>
      </x:c>
      <x:c r="C526" s="2" t="str">
        <x:f>IF('신청 원장'!F3291="","",'신청 원장'!F3291)</x:f>
        <x:v>2019-11-14</x:v>
      </x:c>
      <x:c r="D526" s="2" t="str">
        <x:f>IF('신청 원장'!J3291="","",'신청 원장'!J3291)</x:f>
        <x:v>보완요청</x:v>
      </x:c>
      <x:c r="E526" s="2" t="str">
        <x:f>IF('신청 원장'!L3291="","",'신청 원장'!L3291)</x:f>
        <x:v>에코시안_기샛별</x:v>
      </x:c>
      <x:c r="F526" s="2" t="str">
        <x:f>IF('신청 원장'!M3291="","",'신청 원장'!M3291)</x:f>
      </x:c>
      <x:c r="G526" s="2" t="n">
        <x:f>IF('신청 원장'!N3291="","",'신청 원장'!N3291)</x:f>
        <x:v>2527</x:v>
      </x:c>
      <x:c r="H526" s="2" t="str">
        <x:f>IF('신청 원장'!AA3291="","",'신청 원장'!AA3291)</x:f>
        <x:v>내부 관찰 대상</x:v>
      </x:c>
      <x:c r="I526" s="2" t="str">
        <x:f>IF('신청 원장'!O3291="","",'신청 원장'!O3291)</x:f>
      </x:c>
      <x:c r="J526" s="2" t="str">
        <x:f>IF('신청 원장'!W3291="","",'신청 원장'!W3291)</x:f>
      </x:c>
      <x:c r="K526" s="2" t="str">
        <x:f>IF('신청 원장'!X3291="","",'신청 원장'!X3291)</x:f>
        <x:v>보완 회신 일정 확인</x:v>
      </x:c>
      <x:c r="L526" s="2" t="str">
        <x:f>IF('신청 원장'!R3291="","",'신청 원장'!R3291)</x:f>
        <x:v>(비공개)국내인증</x:v>
      </x:c>
      <x:c r="M526" s="2" t="n">
        <x:f>IF('신청 원장'!S3291="","",'신청 원장'!S3291)</x:f>
        <x:v>69</x:v>
      </x:c>
      <x:c r="N526" s="2" t="str">
        <x:f>IF('신청 원장'!K3291&lt;&gt;"미종결 표시","종결 상태 확인",IF('신청 원장'!N3291="","일자 확인 필요",IF('신청 원장'!N3291&gt;365,"366일 이상",IF('신청 원장'!N3291&gt;90,"91~365일",IF('신청 원장'!N3291&gt;30,"31~90일","0~30일")))))</x:f>
        <x:v>366일 이상</x:v>
      </x:c>
      <x:c r="O526" s="2" t="str">
        <x:f>IF(OR('신청 원장'!L3291="",'신청 원장'!L3291="선택"),"담당 원문 확인","기재")</x:f>
        <x:v>기재</x:v>
      </x:c>
      <x:c r="P526" s="2" t="str">
        <x:f>IF('신청 원장'!A3291="","",'신청 원장'!A3291)</x:f>
        <x:v>06cef47073d5a36ca1c3a1b6</x:v>
      </x:c>
    </x:row>
    <x:row r="527" ht="42" customHeight="1">
      <x:c r="A527" s="2" t="str">
        <x:f>IF('신청 원장'!B3292="","",'신청 원장'!B3292)</x:f>
        <x:v>인증 비공개 신청</x:v>
      </x:c>
      <x:c r="B527" s="7" t="str">
        <x:f>IF('신청 원장'!D3292="","",'신청 원장'!D3292)</x:f>
        <x:v>성원산업사 열매체보일러 버너교체를 통한 연료전환(B-C유 → LNG) 온실가스 배출 감축 사업</x:v>
      </x:c>
      <x:c r="C527" s="2" t="str">
        <x:f>IF('신청 원장'!F3292="","",'신청 원장'!F3292)</x:f>
        <x:v>2019-11-14</x:v>
      </x:c>
      <x:c r="D527" s="2" t="str">
        <x:f>IF('신청 원장'!J3292="","",'신청 원장'!J3292)</x:f>
        <x:v>보완요청</x:v>
      </x:c>
      <x:c r="E527" s="2" t="str">
        <x:f>IF('신청 원장'!L3292="","",'신청 원장'!L3292)</x:f>
        <x:v>에코시안_기샛별</x:v>
      </x:c>
      <x:c r="F527" s="2" t="str">
        <x:f>IF('신청 원장'!M3292="","",'신청 원장'!M3292)</x:f>
      </x:c>
      <x:c r="G527" s="2" t="n">
        <x:f>IF('신청 원장'!N3292="","",'신청 원장'!N3292)</x:f>
        <x:v>2527</x:v>
      </x:c>
      <x:c r="H527" s="2" t="str">
        <x:f>IF('신청 원장'!AA3292="","",'신청 원장'!AA3292)</x:f>
        <x:v>내부 관찰 대상</x:v>
      </x:c>
      <x:c r="I527" s="2" t="str">
        <x:f>IF('신청 원장'!O3292="","",'신청 원장'!O3292)</x:f>
      </x:c>
      <x:c r="J527" s="2" t="str">
        <x:f>IF('신청 원장'!W3292="","",'신청 원장'!W3292)</x:f>
      </x:c>
      <x:c r="K527" s="2" t="str">
        <x:f>IF('신청 원장'!X3292="","",'신청 원장'!X3292)</x:f>
        <x:v>보완 회신 일정 확인</x:v>
      </x:c>
      <x:c r="L527" s="2" t="str">
        <x:f>IF('신청 원장'!R3292="","",'신청 원장'!R3292)</x:f>
        <x:v>(비공개)국내인증</x:v>
      </x:c>
      <x:c r="M527" s="2" t="n">
        <x:f>IF('신청 원장'!S3292="","",'신청 원장'!S3292)</x:f>
        <x:v>70</x:v>
      </x:c>
      <x:c r="N527" s="2" t="str">
        <x:f>IF('신청 원장'!K3292&lt;&gt;"미종결 표시","종결 상태 확인",IF('신청 원장'!N3292="","일자 확인 필요",IF('신청 원장'!N3292&gt;365,"366일 이상",IF('신청 원장'!N3292&gt;90,"91~365일",IF('신청 원장'!N3292&gt;30,"31~90일","0~30일")))))</x:f>
        <x:v>366일 이상</x:v>
      </x:c>
      <x:c r="O527" s="2" t="str">
        <x:f>IF(OR('신청 원장'!L3292="",'신청 원장'!L3292="선택"),"담당 원문 확인","기재")</x:f>
        <x:v>기재</x:v>
      </x:c>
      <x:c r="P527" s="2" t="str">
        <x:f>IF('신청 원장'!A3292="","",'신청 원장'!A3292)</x:f>
        <x:v>405d8c75f31a9afba50edecd</x:v>
      </x:c>
    </x:row>
    <x:row r="528" ht="42" customHeight="1">
      <x:c r="A528" s="2" t="str">
        <x:f>IF('신청 원장'!B3293="","",'신청 원장'!B3293)</x:f>
        <x:v>인증 비공개 신청</x:v>
      </x:c>
      <x:c r="B528" s="7" t="str">
        <x:f>IF('신청 원장'!D3293="","",'신청 원장'!D3293)</x:f>
        <x:v>폐열스팀으로 기존의 LNG 및 B-C유 사용 생산스팀을 대체하여 온실가스 배출을 감축하는 사업</x:v>
      </x:c>
      <x:c r="C528" s="2" t="str">
        <x:f>IF('신청 원장'!F3293="","",'신청 원장'!F3293)</x:f>
        <x:v>2019-11-14</x:v>
      </x:c>
      <x:c r="D528" s="2" t="str">
        <x:f>IF('신청 원장'!J3293="","",'신청 원장'!J3293)</x:f>
        <x:v>보완요청</x:v>
      </x:c>
      <x:c r="E528" s="2" t="str">
        <x:f>IF('신청 원장'!L3293="","",'신청 원장'!L3293)</x:f>
        <x:v>에코시안_기샛별</x:v>
      </x:c>
      <x:c r="F528" s="2" t="str">
        <x:f>IF('신청 원장'!M3293="","",'신청 원장'!M3293)</x:f>
      </x:c>
      <x:c r="G528" s="2" t="n">
        <x:f>IF('신청 원장'!N3293="","",'신청 원장'!N3293)</x:f>
        <x:v>2527</x:v>
      </x:c>
      <x:c r="H528" s="2" t="str">
        <x:f>IF('신청 원장'!AA3293="","",'신청 원장'!AA3293)</x:f>
        <x:v>내부 관찰 대상</x:v>
      </x:c>
      <x:c r="I528" s="2" t="str">
        <x:f>IF('신청 원장'!O3293="","",'신청 원장'!O3293)</x:f>
      </x:c>
      <x:c r="J528" s="2" t="str">
        <x:f>IF('신청 원장'!W3293="","",'신청 원장'!W3293)</x:f>
      </x:c>
      <x:c r="K528" s="2" t="str">
        <x:f>IF('신청 원장'!X3293="","",'신청 원장'!X3293)</x:f>
        <x:v>보완 회신 일정 확인</x:v>
      </x:c>
      <x:c r="L528" s="2" t="str">
        <x:f>IF('신청 원장'!R3293="","",'신청 원장'!R3293)</x:f>
        <x:v>(비공개)국내인증</x:v>
      </x:c>
      <x:c r="M528" s="2" t="n">
        <x:f>IF('신청 원장'!S3293="","",'신청 원장'!S3293)</x:f>
        <x:v>71</x:v>
      </x:c>
      <x:c r="N528" s="2" t="str">
        <x:f>IF('신청 원장'!K3293&lt;&gt;"미종결 표시","종결 상태 확인",IF('신청 원장'!N3293="","일자 확인 필요",IF('신청 원장'!N3293&gt;365,"366일 이상",IF('신청 원장'!N3293&gt;90,"91~365일",IF('신청 원장'!N3293&gt;30,"31~90일","0~30일")))))</x:f>
        <x:v>366일 이상</x:v>
      </x:c>
      <x:c r="O528" s="2" t="str">
        <x:f>IF(OR('신청 원장'!L3293="",'신청 원장'!L3293="선택"),"담당 원문 확인","기재")</x:f>
        <x:v>기재</x:v>
      </x:c>
      <x:c r="P528" s="2" t="str">
        <x:f>IF('신청 원장'!A3293="","",'신청 원장'!A3293)</x:f>
        <x:v>c641d74221ffa0c7c5a7f9a1</x:v>
      </x:c>
    </x:row>
    <x:row r="529" ht="42" customHeight="1">
      <x:c r="A529" s="2" t="str">
        <x:f>IF('신청 원장'!B3294="","",'신청 원장'!B3294)</x:f>
        <x:v>인증 비공개 신청</x:v>
      </x:c>
      <x:c r="B529" s="7" t="str">
        <x:f>IF('신청 원장'!D3294="","",'신청 원장'!D3294)</x:f>
        <x:v>한탈L&amp;C의 보일러 연료 교체(LPG-&gt;목재펠릿)을 통한 온실가스 감축사업</x:v>
      </x:c>
      <x:c r="C529" s="2" t="str">
        <x:f>IF('신청 원장'!F3294="","",'신청 원장'!F3294)</x:f>
        <x:v>2019-11-14</x:v>
      </x:c>
      <x:c r="D529" s="2" t="str">
        <x:f>IF('신청 원장'!J3294="","",'신청 원장'!J3294)</x:f>
        <x:v>보완요청</x:v>
      </x:c>
      <x:c r="E529" s="2" t="str">
        <x:f>IF('신청 원장'!L3294="","",'신청 원장'!L3294)</x:f>
        <x:v>에코시안</x:v>
      </x:c>
      <x:c r="F529" s="2" t="str">
        <x:f>IF('신청 원장'!M3294="","",'신청 원장'!M3294)</x:f>
      </x:c>
      <x:c r="G529" s="2" t="n">
        <x:f>IF('신청 원장'!N3294="","",'신청 원장'!N3294)</x:f>
        <x:v>2527</x:v>
      </x:c>
      <x:c r="H529" s="2" t="str">
        <x:f>IF('신청 원장'!AA3294="","",'신청 원장'!AA3294)</x:f>
        <x:v>내부 관찰 대상</x:v>
      </x:c>
      <x:c r="I529" s="2" t="str">
        <x:f>IF('신청 원장'!O3294="","",'신청 원장'!O3294)</x:f>
      </x:c>
      <x:c r="J529" s="2" t="str">
        <x:f>IF('신청 원장'!W3294="","",'신청 원장'!W3294)</x:f>
      </x:c>
      <x:c r="K529" s="2" t="str">
        <x:f>IF('신청 원장'!X3294="","",'신청 원장'!X3294)</x:f>
        <x:v>보완 회신 일정 확인</x:v>
      </x:c>
      <x:c r="L529" s="2" t="str">
        <x:f>IF('신청 원장'!R3294="","",'신청 원장'!R3294)</x:f>
        <x:v>(비공개)국내인증</x:v>
      </x:c>
      <x:c r="M529" s="2" t="n">
        <x:f>IF('신청 원장'!S3294="","",'신청 원장'!S3294)</x:f>
        <x:v>72</x:v>
      </x:c>
      <x:c r="N529" s="2" t="str">
        <x:f>IF('신청 원장'!K3294&lt;&gt;"미종결 표시","종결 상태 확인",IF('신청 원장'!N3294="","일자 확인 필요",IF('신청 원장'!N3294&gt;365,"366일 이상",IF('신청 원장'!N3294&gt;90,"91~365일",IF('신청 원장'!N3294&gt;30,"31~90일","0~30일")))))</x:f>
        <x:v>366일 이상</x:v>
      </x:c>
      <x:c r="O529" s="2" t="str">
        <x:f>IF(OR('신청 원장'!L3294="",'신청 원장'!L3294="선택"),"담당 원문 확인","기재")</x:f>
        <x:v>기재</x:v>
      </x:c>
      <x:c r="P529" s="2" t="str">
        <x:f>IF('신청 원장'!A3294="","",'신청 원장'!A3294)</x:f>
        <x:v>0f01dbd0a24fdb3ea7783e0d</x:v>
      </x:c>
    </x:row>
    <x:row r="530" ht="42" customHeight="1">
      <x:c r="A530" s="2" t="str">
        <x:f>IF('신청 원장'!B3295="","",'신청 원장'!B3295)</x:f>
        <x:v>인증 비공개 신청</x:v>
      </x:c>
      <x:c r="B530" s="7" t="str">
        <x:f>IF('신청 원장'!D3295="","",'신청 원장'!D3295)</x:f>
        <x:v>폐열스팀으로 LNG 스팀보일러 생산스팀을 대체하여 CO2를 감축하는 사업</x:v>
      </x:c>
      <x:c r="C530" s="2" t="str">
        <x:f>IF('신청 원장'!F3295="","",'신청 원장'!F3295)</x:f>
        <x:v>2019-11-14</x:v>
      </x:c>
      <x:c r="D530" s="2" t="str">
        <x:f>IF('신청 원장'!J3295="","",'신청 원장'!J3295)</x:f>
        <x:v>보완요청</x:v>
      </x:c>
      <x:c r="E530" s="2" t="str">
        <x:f>IF('신청 원장'!L3295="","",'신청 원장'!L3295)</x:f>
        <x:v>에코시안_기샛별</x:v>
      </x:c>
      <x:c r="F530" s="2" t="str">
        <x:f>IF('신청 원장'!M3295="","",'신청 원장'!M3295)</x:f>
      </x:c>
      <x:c r="G530" s="2" t="n">
        <x:f>IF('신청 원장'!N3295="","",'신청 원장'!N3295)</x:f>
        <x:v>2527</x:v>
      </x:c>
      <x:c r="H530" s="2" t="str">
        <x:f>IF('신청 원장'!AA3295="","",'신청 원장'!AA3295)</x:f>
        <x:v>내부 관찰 대상</x:v>
      </x:c>
      <x:c r="I530" s="2" t="str">
        <x:f>IF('신청 원장'!O3295="","",'신청 원장'!O3295)</x:f>
      </x:c>
      <x:c r="J530" s="2" t="str">
        <x:f>IF('신청 원장'!W3295="","",'신청 원장'!W3295)</x:f>
      </x:c>
      <x:c r="K530" s="2" t="str">
        <x:f>IF('신청 원장'!X3295="","",'신청 원장'!X3295)</x:f>
        <x:v>보완 회신 일정 확인</x:v>
      </x:c>
      <x:c r="L530" s="2" t="str">
        <x:f>IF('신청 원장'!R3295="","",'신청 원장'!R3295)</x:f>
        <x:v>(비공개)국내인증</x:v>
      </x:c>
      <x:c r="M530" s="2" t="n">
        <x:f>IF('신청 원장'!S3295="","",'신청 원장'!S3295)</x:f>
        <x:v>73</x:v>
      </x:c>
      <x:c r="N530" s="2" t="str">
        <x:f>IF('신청 원장'!K3295&lt;&gt;"미종결 표시","종결 상태 확인",IF('신청 원장'!N3295="","일자 확인 필요",IF('신청 원장'!N3295&gt;365,"366일 이상",IF('신청 원장'!N3295&gt;90,"91~365일",IF('신청 원장'!N3295&gt;30,"31~90일","0~30일")))))</x:f>
        <x:v>366일 이상</x:v>
      </x:c>
      <x:c r="O530" s="2" t="str">
        <x:f>IF(OR('신청 원장'!L3295="",'신청 원장'!L3295="선택"),"담당 원문 확인","기재")</x:f>
        <x:v>기재</x:v>
      </x:c>
      <x:c r="P530" s="2" t="str">
        <x:f>IF('신청 원장'!A3295="","",'신청 원장'!A3295)</x:f>
        <x:v>9a97f1c9dd52621cd95a03b1</x:v>
      </x:c>
    </x:row>
    <x:row r="531" ht="42" customHeight="1">
      <x:c r="A531" s="2" t="str">
        <x:f>IF('신청 원장'!B3296="","",'신청 원장'!B3296)</x:f>
        <x:v>인증 비공개 신청</x:v>
      </x:c>
      <x:c r="B531" s="7" t="str">
        <x:f>IF('신청 원장'!D3296="","",'신청 원장'!D3296)</x:f>
        <x:v>동호칼슘(주)의 보일러 연료전환(벙커C유-&gt;LNG)을 통한 온실가스 배출 감축사업</x:v>
      </x:c>
      <x:c r="C531" s="2" t="str">
        <x:f>IF('신청 원장'!F3296="","",'신청 원장'!F3296)</x:f>
        <x:v>2019-11-14</x:v>
      </x:c>
      <x:c r="D531" s="2" t="str">
        <x:f>IF('신청 원장'!J3296="","",'신청 원장'!J3296)</x:f>
        <x:v>보완요청</x:v>
      </x:c>
      <x:c r="E531" s="2" t="str">
        <x:f>IF('신청 원장'!L3296="","",'신청 원장'!L3296)</x:f>
        <x:v>에코시안_기샛별</x:v>
      </x:c>
      <x:c r="F531" s="2" t="str">
        <x:f>IF('신청 원장'!M3296="","",'신청 원장'!M3296)</x:f>
      </x:c>
      <x:c r="G531" s="2" t="n">
        <x:f>IF('신청 원장'!N3296="","",'신청 원장'!N3296)</x:f>
        <x:v>2527</x:v>
      </x:c>
      <x:c r="H531" s="2" t="str">
        <x:f>IF('신청 원장'!AA3296="","",'신청 원장'!AA3296)</x:f>
        <x:v>내부 관찰 대상</x:v>
      </x:c>
      <x:c r="I531" s="2" t="str">
        <x:f>IF('신청 원장'!O3296="","",'신청 원장'!O3296)</x:f>
      </x:c>
      <x:c r="J531" s="2" t="str">
        <x:f>IF('신청 원장'!W3296="","",'신청 원장'!W3296)</x:f>
      </x:c>
      <x:c r="K531" s="2" t="str">
        <x:f>IF('신청 원장'!X3296="","",'신청 원장'!X3296)</x:f>
        <x:v>보완 회신 일정 확인</x:v>
      </x:c>
      <x:c r="L531" s="2" t="str">
        <x:f>IF('신청 원장'!R3296="","",'신청 원장'!R3296)</x:f>
        <x:v>(비공개)국내인증</x:v>
      </x:c>
      <x:c r="M531" s="2" t="n">
        <x:f>IF('신청 원장'!S3296="","",'신청 원장'!S3296)</x:f>
        <x:v>74</x:v>
      </x:c>
      <x:c r="N531" s="2" t="str">
        <x:f>IF('신청 원장'!K3296&lt;&gt;"미종결 표시","종결 상태 확인",IF('신청 원장'!N3296="","일자 확인 필요",IF('신청 원장'!N3296&gt;365,"366일 이상",IF('신청 원장'!N3296&gt;90,"91~365일",IF('신청 원장'!N3296&gt;30,"31~90일","0~30일")))))</x:f>
        <x:v>366일 이상</x:v>
      </x:c>
      <x:c r="O531" s="2" t="str">
        <x:f>IF(OR('신청 원장'!L3296="",'신청 원장'!L3296="선택"),"담당 원문 확인","기재")</x:f>
        <x:v>기재</x:v>
      </x:c>
      <x:c r="P531" s="2" t="str">
        <x:f>IF('신청 원장'!A3296="","",'신청 원장'!A3296)</x:f>
        <x:v>427c546bf0db32f467aa0aad</x:v>
      </x:c>
    </x:row>
    <x:row r="532" ht="42" customHeight="1">
      <x:c r="A532" s="2" t="str">
        <x:f>IF('신청 원장'!B3297="","",'신청 원장'!B3297)</x:f>
        <x:v>인증 비공개 신청</x:v>
      </x:c>
      <x:c r="B532" s="7" t="str">
        <x:f>IF('신청 원장'!D3297="","",'신청 원장'!D3297)</x:f>
        <x:v>동원유지 목재펠릿 연료 전환을 통한 온실가스 감축사업</x:v>
      </x:c>
      <x:c r="C532" s="2" t="str">
        <x:f>IF('신청 원장'!F3297="","",'신청 원장'!F3297)</x:f>
        <x:v>2019-11-14</x:v>
      </x:c>
      <x:c r="D532" s="2" t="str">
        <x:f>IF('신청 원장'!J3297="","",'신청 원장'!J3297)</x:f>
        <x:v>보완요청</x:v>
      </x:c>
      <x:c r="E532" s="2" t="str">
        <x:f>IF('신청 원장'!L3297="","",'신청 원장'!L3297)</x:f>
        <x:v>에코시안_조영우</x:v>
      </x:c>
      <x:c r="F532" s="2" t="str">
        <x:f>IF('신청 원장'!M3297="","",'신청 원장'!M3297)</x:f>
      </x:c>
      <x:c r="G532" s="2" t="n">
        <x:f>IF('신청 원장'!N3297="","",'신청 원장'!N3297)</x:f>
        <x:v>2527</x:v>
      </x:c>
      <x:c r="H532" s="2" t="str">
        <x:f>IF('신청 원장'!AA3297="","",'신청 원장'!AA3297)</x:f>
        <x:v>내부 관찰 대상</x:v>
      </x:c>
      <x:c r="I532" s="2" t="str">
        <x:f>IF('신청 원장'!O3297="","",'신청 원장'!O3297)</x:f>
      </x:c>
      <x:c r="J532" s="2" t="str">
        <x:f>IF('신청 원장'!W3297="","",'신청 원장'!W3297)</x:f>
      </x:c>
      <x:c r="K532" s="2" t="str">
        <x:f>IF('신청 원장'!X3297="","",'신청 원장'!X3297)</x:f>
        <x:v>보완 회신 일정 확인</x:v>
      </x:c>
      <x:c r="L532" s="2" t="str">
        <x:f>IF('신청 원장'!R3297="","",'신청 원장'!R3297)</x:f>
        <x:v>(비공개)국내인증</x:v>
      </x:c>
      <x:c r="M532" s="2" t="n">
        <x:f>IF('신청 원장'!S3297="","",'신청 원장'!S3297)</x:f>
        <x:v>75</x:v>
      </x:c>
      <x:c r="N532" s="2" t="str">
        <x:f>IF('신청 원장'!K3297&lt;&gt;"미종결 표시","종결 상태 확인",IF('신청 원장'!N3297="","일자 확인 필요",IF('신청 원장'!N3297&gt;365,"366일 이상",IF('신청 원장'!N3297&gt;90,"91~365일",IF('신청 원장'!N3297&gt;30,"31~90일","0~30일")))))</x:f>
        <x:v>366일 이상</x:v>
      </x:c>
      <x:c r="O532" s="2" t="str">
        <x:f>IF(OR('신청 원장'!L3297="",'신청 원장'!L3297="선택"),"담당 원문 확인","기재")</x:f>
        <x:v>기재</x:v>
      </x:c>
      <x:c r="P532" s="2" t="str">
        <x:f>IF('신청 원장'!A3297="","",'신청 원장'!A3297)</x:f>
        <x:v>4d061ad4b697c428d0f67bb0</x:v>
      </x:c>
    </x:row>
    <x:row r="533" ht="42" customHeight="1">
      <x:c r="A533" s="2" t="str">
        <x:f>IF('신청 원장'!B3298="","",'신청 원장'!B3298)</x:f>
        <x:v>인증 비공개 신청</x:v>
      </x:c>
      <x:c r="B533" s="7" t="str">
        <x:f>IF('신청 원장'!D3298="","",'신청 원장'!D3298)</x:f>
        <x:v>도형아스콘 버너 연료전환을 통한 온실가스 감축사업</x:v>
      </x:c>
      <x:c r="C533" s="2" t="str">
        <x:f>IF('신청 원장'!F3298="","",'신청 원장'!F3298)</x:f>
        <x:v>2019-11-14</x:v>
      </x:c>
      <x:c r="D533" s="2" t="str">
        <x:f>IF('신청 원장'!J3298="","",'신청 원장'!J3298)</x:f>
        <x:v>보완요청</x:v>
      </x:c>
      <x:c r="E533" s="2" t="str">
        <x:f>IF('신청 원장'!L3298="","",'신청 원장'!L3298)</x:f>
        <x:v>에코시안_기샛별</x:v>
      </x:c>
      <x:c r="F533" s="2" t="str">
        <x:f>IF('신청 원장'!M3298="","",'신청 원장'!M3298)</x:f>
      </x:c>
      <x:c r="G533" s="2" t="n">
        <x:f>IF('신청 원장'!N3298="","",'신청 원장'!N3298)</x:f>
        <x:v>2527</x:v>
      </x:c>
      <x:c r="H533" s="2" t="str">
        <x:f>IF('신청 원장'!AA3298="","",'신청 원장'!AA3298)</x:f>
        <x:v>내부 관찰 대상</x:v>
      </x:c>
      <x:c r="I533" s="2" t="str">
        <x:f>IF('신청 원장'!O3298="","",'신청 원장'!O3298)</x:f>
      </x:c>
      <x:c r="J533" s="2" t="str">
        <x:f>IF('신청 원장'!W3298="","",'신청 원장'!W3298)</x:f>
      </x:c>
      <x:c r="K533" s="2" t="str">
        <x:f>IF('신청 원장'!X3298="","",'신청 원장'!X3298)</x:f>
        <x:v>보완 회신 일정 확인</x:v>
      </x:c>
      <x:c r="L533" s="2" t="str">
        <x:f>IF('신청 원장'!R3298="","",'신청 원장'!R3298)</x:f>
        <x:v>(비공개)국내인증</x:v>
      </x:c>
      <x:c r="M533" s="2" t="n">
        <x:f>IF('신청 원장'!S3298="","",'신청 원장'!S3298)</x:f>
        <x:v>76</x:v>
      </x:c>
      <x:c r="N533" s="2" t="str">
        <x:f>IF('신청 원장'!K3298&lt;&gt;"미종결 표시","종결 상태 확인",IF('신청 원장'!N3298="","일자 확인 필요",IF('신청 원장'!N3298&gt;365,"366일 이상",IF('신청 원장'!N3298&gt;90,"91~365일",IF('신청 원장'!N3298&gt;30,"31~90일","0~30일")))))</x:f>
        <x:v>366일 이상</x:v>
      </x:c>
      <x:c r="O533" s="2" t="str">
        <x:f>IF(OR('신청 원장'!L3298="",'신청 원장'!L3298="선택"),"담당 원문 확인","기재")</x:f>
        <x:v>기재</x:v>
      </x:c>
      <x:c r="P533" s="2" t="str">
        <x:f>IF('신청 원장'!A3298="","",'신청 원장'!A3298)</x:f>
        <x:v>a9bb52f4d0cf06fce9072162</x:v>
      </x:c>
    </x:row>
    <x:row r="534" ht="42" customHeight="1">
      <x:c r="A534" s="2" t="str">
        <x:f>IF('신청 원장'!B3299="","",'신청 원장'!B3299)</x:f>
        <x:v>인증 비공개 신청</x:v>
      </x:c>
      <x:c r="B534" s="7" t="str">
        <x:f>IF('신청 원장'!D3299="","",'신청 원장'!D3299)</x:f>
        <x:v>대흥산업 열매체 보일러의 연료교체(B-C유→LNG)를 통한 온실가스(CO2) 배출 감축사업</x:v>
      </x:c>
      <x:c r="C534" s="2" t="str">
        <x:f>IF('신청 원장'!F3299="","",'신청 원장'!F3299)</x:f>
        <x:v>2019-11-14</x:v>
      </x:c>
      <x:c r="D534" s="2" t="str">
        <x:f>IF('신청 원장'!J3299="","",'신청 원장'!J3299)</x:f>
        <x:v>보완요청</x:v>
      </x:c>
      <x:c r="E534" s="2" t="str">
        <x:f>IF('신청 원장'!L3299="","",'신청 원장'!L3299)</x:f>
        <x:v>에코시안_기샛별</x:v>
      </x:c>
      <x:c r="F534" s="2" t="str">
        <x:f>IF('신청 원장'!M3299="","",'신청 원장'!M3299)</x:f>
      </x:c>
      <x:c r="G534" s="2" t="n">
        <x:f>IF('신청 원장'!N3299="","",'신청 원장'!N3299)</x:f>
        <x:v>2527</x:v>
      </x:c>
      <x:c r="H534" s="2" t="str">
        <x:f>IF('신청 원장'!AA3299="","",'신청 원장'!AA3299)</x:f>
        <x:v>내부 관찰 대상</x:v>
      </x:c>
      <x:c r="I534" s="2" t="str">
        <x:f>IF('신청 원장'!O3299="","",'신청 원장'!O3299)</x:f>
      </x:c>
      <x:c r="J534" s="2" t="str">
        <x:f>IF('신청 원장'!W3299="","",'신청 원장'!W3299)</x:f>
      </x:c>
      <x:c r="K534" s="2" t="str">
        <x:f>IF('신청 원장'!X3299="","",'신청 원장'!X3299)</x:f>
        <x:v>보완 회신 일정 확인</x:v>
      </x:c>
      <x:c r="L534" s="2" t="str">
        <x:f>IF('신청 원장'!R3299="","",'신청 원장'!R3299)</x:f>
        <x:v>(비공개)국내인증</x:v>
      </x:c>
      <x:c r="M534" s="2" t="n">
        <x:f>IF('신청 원장'!S3299="","",'신청 원장'!S3299)</x:f>
        <x:v>77</x:v>
      </x:c>
      <x:c r="N534" s="2" t="str">
        <x:f>IF('신청 원장'!K3299&lt;&gt;"미종결 표시","종결 상태 확인",IF('신청 원장'!N3299="","일자 확인 필요",IF('신청 원장'!N3299&gt;365,"366일 이상",IF('신청 원장'!N3299&gt;90,"91~365일",IF('신청 원장'!N3299&gt;30,"31~90일","0~30일")))))</x:f>
        <x:v>366일 이상</x:v>
      </x:c>
      <x:c r="O534" s="2" t="str">
        <x:f>IF(OR('신청 원장'!L3299="",'신청 원장'!L3299="선택"),"담당 원문 확인","기재")</x:f>
        <x:v>기재</x:v>
      </x:c>
      <x:c r="P534" s="2" t="str">
        <x:f>IF('신청 원장'!A3299="","",'신청 원장'!A3299)</x:f>
        <x:v>8c48bddc8f37e94b8b17162f</x:v>
      </x:c>
    </x:row>
    <x:row r="535" ht="42" customHeight="1">
      <x:c r="A535" s="2" t="str">
        <x:f>IF('신청 원장'!B3300="","",'신청 원장'!B3300)</x:f>
        <x:v>인증 비공개 신청</x:v>
      </x:c>
      <x:c r="B535" s="7" t="str">
        <x:f>IF('신청 원장'!D3300="","",'신청 원장'!D3300)</x:f>
        <x:v>대동EPS의 보일러 교체(B-C유 -&gt; 목재펠릿보일러)를 통한 온실가스 감축사업</x:v>
      </x:c>
      <x:c r="C535" s="2" t="str">
        <x:f>IF('신청 원장'!F3300="","",'신청 원장'!F3300)</x:f>
        <x:v>2019-11-14</x:v>
      </x:c>
      <x:c r="D535" s="2" t="str">
        <x:f>IF('신청 원장'!J3300="","",'신청 원장'!J3300)</x:f>
        <x:v>보완요청</x:v>
      </x:c>
      <x:c r="E535" s="2" t="str">
        <x:f>IF('신청 원장'!L3300="","",'신청 원장'!L3300)</x:f>
        <x:v>에코시안_기샛별</x:v>
      </x:c>
      <x:c r="F535" s="2" t="str">
        <x:f>IF('신청 원장'!M3300="","",'신청 원장'!M3300)</x:f>
      </x:c>
      <x:c r="G535" s="2" t="n">
        <x:f>IF('신청 원장'!N3300="","",'신청 원장'!N3300)</x:f>
        <x:v>2527</x:v>
      </x:c>
      <x:c r="H535" s="2" t="str">
        <x:f>IF('신청 원장'!AA3300="","",'신청 원장'!AA3300)</x:f>
        <x:v>내부 관찰 대상</x:v>
      </x:c>
      <x:c r="I535" s="2" t="str">
        <x:f>IF('신청 원장'!O3300="","",'신청 원장'!O3300)</x:f>
      </x:c>
      <x:c r="J535" s="2" t="str">
        <x:f>IF('신청 원장'!W3300="","",'신청 원장'!W3300)</x:f>
      </x:c>
      <x:c r="K535" s="2" t="str">
        <x:f>IF('신청 원장'!X3300="","",'신청 원장'!X3300)</x:f>
        <x:v>보완 회신 일정 확인</x:v>
      </x:c>
      <x:c r="L535" s="2" t="str">
        <x:f>IF('신청 원장'!R3300="","",'신청 원장'!R3300)</x:f>
        <x:v>(비공개)국내인증</x:v>
      </x:c>
      <x:c r="M535" s="2" t="n">
        <x:f>IF('신청 원장'!S3300="","",'신청 원장'!S3300)</x:f>
        <x:v>78</x:v>
      </x:c>
      <x:c r="N535" s="2" t="str">
        <x:f>IF('신청 원장'!K3300&lt;&gt;"미종결 표시","종결 상태 확인",IF('신청 원장'!N3300="","일자 확인 필요",IF('신청 원장'!N3300&gt;365,"366일 이상",IF('신청 원장'!N3300&gt;90,"91~365일",IF('신청 원장'!N3300&gt;30,"31~90일","0~30일")))))</x:f>
        <x:v>366일 이상</x:v>
      </x:c>
      <x:c r="O535" s="2" t="str">
        <x:f>IF(OR('신청 원장'!L3300="",'신청 원장'!L3300="선택"),"담당 원문 확인","기재")</x:f>
        <x:v>기재</x:v>
      </x:c>
      <x:c r="P535" s="2" t="str">
        <x:f>IF('신청 원장'!A3300="","",'신청 원장'!A3300)</x:f>
        <x:v>39ef9b6ed0f99465ec7d816e</x:v>
      </x:c>
    </x:row>
    <x:row r="536" ht="42" customHeight="1">
      <x:c r="A536" s="2" t="str">
        <x:f>IF('신청 원장'!B3301="","",'신청 원장'!B3301)</x:f>
        <x:v>인증 비공개 신청</x:v>
      </x:c>
      <x:c r="B536" s="7" t="str">
        <x:f>IF('신청 원장'!D3301="","",'신청 원장'!D3301)</x:f>
        <x:v>대경화학 증기재압축장치 등(B-C유를 LNG로 연료전환) 설치를 통한 온실가스 감축사업</x:v>
      </x:c>
      <x:c r="C536" s="2" t="str">
        <x:f>IF('신청 원장'!F3301="","",'신청 원장'!F3301)</x:f>
        <x:v>2019-11-14</x:v>
      </x:c>
      <x:c r="D536" s="2" t="str">
        <x:f>IF('신청 원장'!J3301="","",'신청 원장'!J3301)</x:f>
        <x:v>보완요청</x:v>
      </x:c>
      <x:c r="E536" s="2" t="str">
        <x:f>IF('신청 원장'!L3301="","",'신청 원장'!L3301)</x:f>
        <x:v>에코시안_기샛별</x:v>
      </x:c>
      <x:c r="F536" s="2" t="str">
        <x:f>IF('신청 원장'!M3301="","",'신청 원장'!M3301)</x:f>
      </x:c>
      <x:c r="G536" s="2" t="n">
        <x:f>IF('신청 원장'!N3301="","",'신청 원장'!N3301)</x:f>
        <x:v>2527</x:v>
      </x:c>
      <x:c r="H536" s="2" t="str">
        <x:f>IF('신청 원장'!AA3301="","",'신청 원장'!AA3301)</x:f>
        <x:v>내부 관찰 대상</x:v>
      </x:c>
      <x:c r="I536" s="2" t="str">
        <x:f>IF('신청 원장'!O3301="","",'신청 원장'!O3301)</x:f>
      </x:c>
      <x:c r="J536" s="2" t="str">
        <x:f>IF('신청 원장'!W3301="","",'신청 원장'!W3301)</x:f>
      </x:c>
      <x:c r="K536" s="2" t="str">
        <x:f>IF('신청 원장'!X3301="","",'신청 원장'!X3301)</x:f>
        <x:v>보완 회신 일정 확인</x:v>
      </x:c>
      <x:c r="L536" s="2" t="str">
        <x:f>IF('신청 원장'!R3301="","",'신청 원장'!R3301)</x:f>
        <x:v>(비공개)국내인증</x:v>
      </x:c>
      <x:c r="M536" s="2" t="n">
        <x:f>IF('신청 원장'!S3301="","",'신청 원장'!S3301)</x:f>
        <x:v>79</x:v>
      </x:c>
      <x:c r="N536" s="2" t="str">
        <x:f>IF('신청 원장'!K3301&lt;&gt;"미종결 표시","종결 상태 확인",IF('신청 원장'!N3301="","일자 확인 필요",IF('신청 원장'!N3301&gt;365,"366일 이상",IF('신청 원장'!N3301&gt;90,"91~365일",IF('신청 원장'!N3301&gt;30,"31~90일","0~30일")))))</x:f>
        <x:v>366일 이상</x:v>
      </x:c>
      <x:c r="O536" s="2" t="str">
        <x:f>IF(OR('신청 원장'!L3301="",'신청 원장'!L3301="선택"),"담당 원문 확인","기재")</x:f>
        <x:v>기재</x:v>
      </x:c>
      <x:c r="P536" s="2" t="str">
        <x:f>IF('신청 원장'!A3301="","",'신청 원장'!A3301)</x:f>
        <x:v>613a7098deb96804b8821600</x:v>
      </x:c>
    </x:row>
    <x:row r="537" ht="42" customHeight="1">
      <x:c r="A537" s="2" t="str">
        <x:f>IF('신청 원장'!B3302="","",'신청 원장'!B3302)</x:f>
        <x:v>인증 비공개 신청</x:v>
      </x:c>
      <x:c r="B537" s="7" t="str">
        <x:f>IF('신청 원장'!D3302="","",'신청 원장'!D3302)</x:f>
        <x:v>㈜태호화학 논산사업장 B-C유에서 LPG로 연료 전환을 통한 온실가스 감축사업</x:v>
      </x:c>
      <x:c r="C537" s="2" t="str">
        <x:f>IF('신청 원장'!F3302="","",'신청 원장'!F3302)</x:f>
        <x:v>2019-11-14</x:v>
      </x:c>
      <x:c r="D537" s="2" t="str">
        <x:f>IF('신청 원장'!J3302="","",'신청 원장'!J3302)</x:f>
        <x:v>보완요청</x:v>
      </x:c>
      <x:c r="E537" s="2" t="str">
        <x:f>IF('신청 원장'!L3302="","",'신청 원장'!L3302)</x:f>
        <x:v>KECM_이태준</x:v>
      </x:c>
      <x:c r="F537" s="2" t="str">
        <x:f>IF('신청 원장'!M3302="","",'신청 원장'!M3302)</x:f>
      </x:c>
      <x:c r="G537" s="2" t="n">
        <x:f>IF('신청 원장'!N3302="","",'신청 원장'!N3302)</x:f>
        <x:v>2527</x:v>
      </x:c>
      <x:c r="H537" s="2" t="str">
        <x:f>IF('신청 원장'!AA3302="","",'신청 원장'!AA3302)</x:f>
        <x:v>내부 관찰 대상</x:v>
      </x:c>
      <x:c r="I537" s="2" t="str">
        <x:f>IF('신청 원장'!O3302="","",'신청 원장'!O3302)</x:f>
      </x:c>
      <x:c r="J537" s="2" t="str">
        <x:f>IF('신청 원장'!W3302="","",'신청 원장'!W3302)</x:f>
      </x:c>
      <x:c r="K537" s="2" t="str">
        <x:f>IF('신청 원장'!X3302="","",'신청 원장'!X3302)</x:f>
        <x:v>보완 회신 일정 확인</x:v>
      </x:c>
      <x:c r="L537" s="2" t="str">
        <x:f>IF('신청 원장'!R3302="","",'신청 원장'!R3302)</x:f>
        <x:v>(비공개)국내인증</x:v>
      </x:c>
      <x:c r="M537" s="2" t="n">
        <x:f>IF('신청 원장'!S3302="","",'신청 원장'!S3302)</x:f>
        <x:v>80</x:v>
      </x:c>
      <x:c r="N537" s="2" t="str">
        <x:f>IF('신청 원장'!K3302&lt;&gt;"미종결 표시","종결 상태 확인",IF('신청 원장'!N3302="","일자 확인 필요",IF('신청 원장'!N3302&gt;365,"366일 이상",IF('신청 원장'!N3302&gt;90,"91~365일",IF('신청 원장'!N3302&gt;30,"31~90일","0~30일")))))</x:f>
        <x:v>366일 이상</x:v>
      </x:c>
      <x:c r="O537" s="2" t="str">
        <x:f>IF(OR('신청 원장'!L3302="",'신청 원장'!L3302="선택"),"담당 원문 확인","기재")</x:f>
        <x:v>기재</x:v>
      </x:c>
      <x:c r="P537" s="2" t="str">
        <x:f>IF('신청 원장'!A3302="","",'신청 원장'!A3302)</x:f>
        <x:v>b6119837c13937328da81d20</x:v>
      </x:c>
    </x:row>
    <x:row r="538" ht="42" customHeight="1">
      <x:c r="A538" s="2" t="str">
        <x:f>IF('신청 원장'!B3303="","",'신청 원장'!B3303)</x:f>
        <x:v>인증 비공개 신청</x:v>
      </x:c>
      <x:c r="B538" s="7" t="str">
        <x:f>IF('신청 원장'!D3303="","",'신청 원장'!D3303)</x:f>
        <x:v>크린멤버스의 목재펠릿 연료전환(LPG-&gt;목재펠릿)을 통한 온실가스 감축사업</x:v>
      </x:c>
      <x:c r="C538" s="2" t="str">
        <x:f>IF('신청 원장'!F3303="","",'신청 원장'!F3303)</x:f>
        <x:v>2019-11-14</x:v>
      </x:c>
      <x:c r="D538" s="2" t="str">
        <x:f>IF('신청 원장'!J3303="","",'신청 원장'!J3303)</x:f>
        <x:v>보완요청</x:v>
      </x:c>
      <x:c r="E538" s="2" t="str">
        <x:f>IF('신청 원장'!L3303="","",'신청 원장'!L3303)</x:f>
        <x:v>에코시안</x:v>
      </x:c>
      <x:c r="F538" s="2" t="str">
        <x:f>IF('신청 원장'!M3303="","",'신청 원장'!M3303)</x:f>
      </x:c>
      <x:c r="G538" s="2" t="n">
        <x:f>IF('신청 원장'!N3303="","",'신청 원장'!N3303)</x:f>
        <x:v>2527</x:v>
      </x:c>
      <x:c r="H538" s="2" t="str">
        <x:f>IF('신청 원장'!AA3303="","",'신청 원장'!AA3303)</x:f>
        <x:v>내부 관찰 대상</x:v>
      </x:c>
      <x:c r="I538" s="2" t="str">
        <x:f>IF('신청 원장'!O3303="","",'신청 원장'!O3303)</x:f>
      </x:c>
      <x:c r="J538" s="2" t="str">
        <x:f>IF('신청 원장'!W3303="","",'신청 원장'!W3303)</x:f>
      </x:c>
      <x:c r="K538" s="2" t="str">
        <x:f>IF('신청 원장'!X3303="","",'신청 원장'!X3303)</x:f>
        <x:v>보완 회신 일정 확인</x:v>
      </x:c>
      <x:c r="L538" s="2" t="str">
        <x:f>IF('신청 원장'!R3303="","",'신청 원장'!R3303)</x:f>
        <x:v>(비공개)국내인증</x:v>
      </x:c>
      <x:c r="M538" s="2" t="n">
        <x:f>IF('신청 원장'!S3303="","",'신청 원장'!S3303)</x:f>
        <x:v>81</x:v>
      </x:c>
      <x:c r="N538" s="2" t="str">
        <x:f>IF('신청 원장'!K3303&lt;&gt;"미종결 표시","종결 상태 확인",IF('신청 원장'!N3303="","일자 확인 필요",IF('신청 원장'!N3303&gt;365,"366일 이상",IF('신청 원장'!N3303&gt;90,"91~365일",IF('신청 원장'!N3303&gt;30,"31~90일","0~30일")))))</x:f>
        <x:v>366일 이상</x:v>
      </x:c>
      <x:c r="O538" s="2" t="str">
        <x:f>IF(OR('신청 원장'!L3303="",'신청 원장'!L3303="선택"),"담당 원문 확인","기재")</x:f>
        <x:v>기재</x:v>
      </x:c>
      <x:c r="P538" s="2" t="str">
        <x:f>IF('신청 원장'!A3303="","",'신청 원장'!A3303)</x:f>
        <x:v>7c3adb82b318957f586774f8</x:v>
      </x:c>
    </x:row>
    <x:row r="539" ht="42" customHeight="1">
      <x:c r="A539" s="2" t="str">
        <x:f>IF('신청 원장'!B3304="","",'신청 원장'!B3304)</x:f>
        <x:v>인증 비공개 신청</x:v>
      </x:c>
      <x:c r="B539" s="7" t="str">
        <x:f>IF('신청 원장'!D3304="","",'신청 원장'!D3304)</x:f>
        <x:v>케이티세라믹 당진사업장 소성로 및 드라이어의 연료교체(LPG-&gt;LNG)를 통한 온실가스 배출 감축사업</x:v>
      </x:c>
      <x:c r="C539" s="2" t="str">
        <x:f>IF('신청 원장'!F3304="","",'신청 원장'!F3304)</x:f>
        <x:v>2019-11-14</x:v>
      </x:c>
      <x:c r="D539" s="2" t="str">
        <x:f>IF('신청 원장'!J3304="","",'신청 원장'!J3304)</x:f>
        <x:v>보완요청</x:v>
      </x:c>
      <x:c r="E539" s="2" t="str">
        <x:f>IF('신청 원장'!L3304="","",'신청 원장'!L3304)</x:f>
        <x:v>에코시안</x:v>
      </x:c>
      <x:c r="F539" s="2" t="str">
        <x:f>IF('신청 원장'!M3304="","",'신청 원장'!M3304)</x:f>
      </x:c>
      <x:c r="G539" s="2" t="n">
        <x:f>IF('신청 원장'!N3304="","",'신청 원장'!N3304)</x:f>
        <x:v>2527</x:v>
      </x:c>
      <x:c r="H539" s="2" t="str">
        <x:f>IF('신청 원장'!AA3304="","",'신청 원장'!AA3304)</x:f>
        <x:v>내부 관찰 대상</x:v>
      </x:c>
      <x:c r="I539" s="2" t="str">
        <x:f>IF('신청 원장'!O3304="","",'신청 원장'!O3304)</x:f>
      </x:c>
      <x:c r="J539" s="2" t="str">
        <x:f>IF('신청 원장'!W3304="","",'신청 원장'!W3304)</x:f>
      </x:c>
      <x:c r="K539" s="2" t="str">
        <x:f>IF('신청 원장'!X3304="","",'신청 원장'!X3304)</x:f>
        <x:v>보완 회신 일정 확인</x:v>
      </x:c>
      <x:c r="L539" s="2" t="str">
        <x:f>IF('신청 원장'!R3304="","",'신청 원장'!R3304)</x:f>
        <x:v>(비공개)국내인증</x:v>
      </x:c>
      <x:c r="M539" s="2" t="n">
        <x:f>IF('신청 원장'!S3304="","",'신청 원장'!S3304)</x:f>
        <x:v>82</x:v>
      </x:c>
      <x:c r="N539" s="2" t="str">
        <x:f>IF('신청 원장'!K3304&lt;&gt;"미종결 표시","종결 상태 확인",IF('신청 원장'!N3304="","일자 확인 필요",IF('신청 원장'!N3304&gt;365,"366일 이상",IF('신청 원장'!N3304&gt;90,"91~365일",IF('신청 원장'!N3304&gt;30,"31~90일","0~30일")))))</x:f>
        <x:v>366일 이상</x:v>
      </x:c>
      <x:c r="O539" s="2" t="str">
        <x:f>IF(OR('신청 원장'!L3304="",'신청 원장'!L3304="선택"),"담당 원문 확인","기재")</x:f>
        <x:v>기재</x:v>
      </x:c>
      <x:c r="P539" s="2" t="str">
        <x:f>IF('신청 원장'!A3304="","",'신청 원장'!A3304)</x:f>
        <x:v>2a3601d01ac9825d18da85b2</x:v>
      </x:c>
    </x:row>
    <x:row r="540" ht="42" customHeight="1">
      <x:c r="A540" s="2" t="str">
        <x:f>IF('신청 원장'!B3305="","",'신청 원장'!B3305)</x:f>
        <x:v>인증 비공개 신청</x:v>
      </x:c>
      <x:c r="B540" s="7" t="str">
        <x:f>IF('신청 원장'!D3305="","",'신청 원장'!D3305)</x:f>
        <x:v>(주)산하의 아스콘 제조 사업장의 버너연료를 B-C유에서 LNG로 연료 전환하는 온실가스 감축사업</x:v>
      </x:c>
      <x:c r="C540" s="2" t="str">
        <x:f>IF('신청 원장'!F3305="","",'신청 원장'!F3305)</x:f>
        <x:v>2019-11-14</x:v>
      </x:c>
      <x:c r="D540" s="2" t="str">
        <x:f>IF('신청 원장'!J3305="","",'신청 원장'!J3305)</x:f>
        <x:v>보완요청</x:v>
      </x:c>
      <x:c r="E540" s="2" t="str">
        <x:f>IF('신청 원장'!L3305="","",'신청 원장'!L3305)</x:f>
        <x:v>KECM_이태준</x:v>
      </x:c>
      <x:c r="F540" s="2" t="str">
        <x:f>IF('신청 원장'!M3305="","",'신청 원장'!M3305)</x:f>
      </x:c>
      <x:c r="G540" s="2" t="n">
        <x:f>IF('신청 원장'!N3305="","",'신청 원장'!N3305)</x:f>
        <x:v>2527</x:v>
      </x:c>
      <x:c r="H540" s="2" t="str">
        <x:f>IF('신청 원장'!AA3305="","",'신청 원장'!AA3305)</x:f>
        <x:v>내부 관찰 대상</x:v>
      </x:c>
      <x:c r="I540" s="2" t="str">
        <x:f>IF('신청 원장'!O3305="","",'신청 원장'!O3305)</x:f>
      </x:c>
      <x:c r="J540" s="2" t="str">
        <x:f>IF('신청 원장'!W3305="","",'신청 원장'!W3305)</x:f>
      </x:c>
      <x:c r="K540" s="2" t="str">
        <x:f>IF('신청 원장'!X3305="","",'신청 원장'!X3305)</x:f>
        <x:v>보완 회신 일정 확인</x:v>
      </x:c>
      <x:c r="L540" s="2" t="str">
        <x:f>IF('신청 원장'!R3305="","",'신청 원장'!R3305)</x:f>
        <x:v>(비공개)국내인증</x:v>
      </x:c>
      <x:c r="M540" s="2" t="n">
        <x:f>IF('신청 원장'!S3305="","",'신청 원장'!S3305)</x:f>
        <x:v>83</x:v>
      </x:c>
      <x:c r="N540" s="2" t="str">
        <x:f>IF('신청 원장'!K3305&lt;&gt;"미종결 표시","종결 상태 확인",IF('신청 원장'!N3305="","일자 확인 필요",IF('신청 원장'!N3305&gt;365,"366일 이상",IF('신청 원장'!N3305&gt;90,"91~365일",IF('신청 원장'!N3305&gt;30,"31~90일","0~30일")))))</x:f>
        <x:v>366일 이상</x:v>
      </x:c>
      <x:c r="O540" s="2" t="str">
        <x:f>IF(OR('신청 원장'!L3305="",'신청 원장'!L3305="선택"),"담당 원문 확인","기재")</x:f>
        <x:v>기재</x:v>
      </x:c>
      <x:c r="P540" s="2" t="str">
        <x:f>IF('신청 원장'!A3305="","",'신청 원장'!A3305)</x:f>
        <x:v>17dca43bd606c7818cc479a1</x:v>
      </x:c>
    </x:row>
    <x:row r="541" ht="42" customHeight="1">
      <x:c r="A541" s="2" t="str">
        <x:f>IF('신청 원장'!B3306="","",'신청 원장'!B3306)</x:f>
        <x:v>인증 비공개 신청</x:v>
      </x:c>
      <x:c r="B541" s="7" t="str">
        <x:f>IF('신청 원장'!D3306="","",'신청 원장'!D3306)</x:f>
        <x:v>케이티세라믹 예산사업장 소성로 및 드라이어의 연료교체(LPG-LNG)을 통한 온실가스 배출 감축사업</x:v>
      </x:c>
      <x:c r="C541" s="2" t="str">
        <x:f>IF('신청 원장'!F3306="","",'신청 원장'!F3306)</x:f>
        <x:v>2019-11-14</x:v>
      </x:c>
      <x:c r="D541" s="2" t="str">
        <x:f>IF('신청 원장'!J3306="","",'신청 원장'!J3306)</x:f>
        <x:v>보완요청</x:v>
      </x:c>
      <x:c r="E541" s="2" t="str">
        <x:f>IF('신청 원장'!L3306="","",'신청 원장'!L3306)</x:f>
        <x:v>에코시안</x:v>
      </x:c>
      <x:c r="F541" s="2" t="str">
        <x:f>IF('신청 원장'!M3306="","",'신청 원장'!M3306)</x:f>
      </x:c>
      <x:c r="G541" s="2" t="n">
        <x:f>IF('신청 원장'!N3306="","",'신청 원장'!N3306)</x:f>
        <x:v>2527</x:v>
      </x:c>
      <x:c r="H541" s="2" t="str">
        <x:f>IF('신청 원장'!AA3306="","",'신청 원장'!AA3306)</x:f>
        <x:v>내부 관찰 대상</x:v>
      </x:c>
      <x:c r="I541" s="2" t="str">
        <x:f>IF('신청 원장'!O3306="","",'신청 원장'!O3306)</x:f>
      </x:c>
      <x:c r="J541" s="2" t="str">
        <x:f>IF('신청 원장'!W3306="","",'신청 원장'!W3306)</x:f>
      </x:c>
      <x:c r="K541" s="2" t="str">
        <x:f>IF('신청 원장'!X3306="","",'신청 원장'!X3306)</x:f>
        <x:v>보완 회신 일정 확인</x:v>
      </x:c>
      <x:c r="L541" s="2" t="str">
        <x:f>IF('신청 원장'!R3306="","",'신청 원장'!R3306)</x:f>
        <x:v>(비공개)국내인증</x:v>
      </x:c>
      <x:c r="M541" s="2" t="n">
        <x:f>IF('신청 원장'!S3306="","",'신청 원장'!S3306)</x:f>
        <x:v>84</x:v>
      </x:c>
      <x:c r="N541" s="2" t="str">
        <x:f>IF('신청 원장'!K3306&lt;&gt;"미종결 표시","종결 상태 확인",IF('신청 원장'!N3306="","일자 확인 필요",IF('신청 원장'!N3306&gt;365,"366일 이상",IF('신청 원장'!N3306&gt;90,"91~365일",IF('신청 원장'!N3306&gt;30,"31~90일","0~30일")))))</x:f>
        <x:v>366일 이상</x:v>
      </x:c>
      <x:c r="O541" s="2" t="str">
        <x:f>IF(OR('신청 원장'!L3306="",'신청 원장'!L3306="선택"),"담당 원문 확인","기재")</x:f>
        <x:v>기재</x:v>
      </x:c>
      <x:c r="P541" s="2" t="str">
        <x:f>IF('신청 원장'!A3306="","",'신청 원장'!A3306)</x:f>
        <x:v>a18640141d1b39e83fd8e5a6</x:v>
      </x:c>
    </x:row>
    <x:row r="542" ht="42" customHeight="1">
      <x:c r="A542" s="2" t="str">
        <x:f>IF('신청 원장'!B3307="","",'신청 원장'!B3307)</x:f>
        <x:v>인증 비공개 신청</x:v>
      </x:c>
      <x:c r="B542" s="7" t="str">
        <x:f>IF('신청 원장'!D3307="","",'신청 원장'!D3307)</x:f>
        <x:v>미활용열을 회수하는 사업</x:v>
      </x:c>
      <x:c r="C542" s="2" t="str">
        <x:f>IF('신청 원장'!F3307="","",'신청 원장'!F3307)</x:f>
        <x:v>2019-11-14</x:v>
      </x:c>
      <x:c r="D542" s="2" t="str">
        <x:f>IF('신청 원장'!J3307="","",'신청 원장'!J3307)</x:f>
        <x:v>보완요청</x:v>
      </x:c>
      <x:c r="E542" s="2" t="str">
        <x:f>IF('신청 원장'!L3307="","",'신청 원장'!L3307)</x:f>
        <x:v>KECM_이태준</x:v>
      </x:c>
      <x:c r="F542" s="2" t="str">
        <x:f>IF('신청 원장'!M3307="","",'신청 원장'!M3307)</x:f>
      </x:c>
      <x:c r="G542" s="2" t="n">
        <x:f>IF('신청 원장'!N3307="","",'신청 원장'!N3307)</x:f>
        <x:v>2527</x:v>
      </x:c>
      <x:c r="H542" s="2" t="str">
        <x:f>IF('신청 원장'!AA3307="","",'신청 원장'!AA3307)</x:f>
        <x:v>내부 관찰 대상</x:v>
      </x:c>
      <x:c r="I542" s="2" t="str">
        <x:f>IF('신청 원장'!O3307="","",'신청 원장'!O3307)</x:f>
      </x:c>
      <x:c r="J542" s="2" t="str">
        <x:f>IF('신청 원장'!W3307="","",'신청 원장'!W3307)</x:f>
      </x:c>
      <x:c r="K542" s="2" t="str">
        <x:f>IF('신청 원장'!X3307="","",'신청 원장'!X3307)</x:f>
        <x:v>보완 회신 일정 확인</x:v>
      </x:c>
      <x:c r="L542" s="2" t="str">
        <x:f>IF('신청 원장'!R3307="","",'신청 원장'!R3307)</x:f>
        <x:v>(비공개)국내인증</x:v>
      </x:c>
      <x:c r="M542" s="2" t="n">
        <x:f>IF('신청 원장'!S3307="","",'신청 원장'!S3307)</x:f>
        <x:v>85</x:v>
      </x:c>
      <x:c r="N542" s="2" t="str">
        <x:f>IF('신청 원장'!K3307&lt;&gt;"미종결 표시","종결 상태 확인",IF('신청 원장'!N3307="","일자 확인 필요",IF('신청 원장'!N3307&gt;365,"366일 이상",IF('신청 원장'!N3307&gt;90,"91~365일",IF('신청 원장'!N3307&gt;30,"31~90일","0~30일")))))</x:f>
        <x:v>366일 이상</x:v>
      </x:c>
      <x:c r="O542" s="2" t="str">
        <x:f>IF(OR('신청 원장'!L3307="",'신청 원장'!L3307="선택"),"담당 원문 확인","기재")</x:f>
        <x:v>기재</x:v>
      </x:c>
      <x:c r="P542" s="2" t="str">
        <x:f>IF('신청 원장'!A3307="","",'신청 원장'!A3307)</x:f>
        <x:v>955e92105535dee967bef72d</x:v>
      </x:c>
    </x:row>
    <x:row r="543" ht="42" customHeight="1">
      <x:c r="A543" s="2" t="str">
        <x:f>IF('신청 원장'!B3308="","",'신청 원장'!B3308)</x:f>
        <x:v>인증 비공개 신청</x:v>
      </x:c>
      <x:c r="B543" s="7" t="str">
        <x:f>IF('신청 원장'!D3308="","",'신청 원장'!D3308)</x:f>
        <x:v>㈜ 상산쎄라믹 버너 연료전환(B-C유-LNG)를 통한 온실가스 감축사업</x:v>
      </x:c>
      <x:c r="C543" s="2" t="str">
        <x:f>IF('신청 원장'!F3308="","",'신청 원장'!F3308)</x:f>
        <x:v>2019-11-14</x:v>
      </x:c>
      <x:c r="D543" s="2" t="str">
        <x:f>IF('신청 원장'!J3308="","",'신청 원장'!J3308)</x:f>
        <x:v>보완요청</x:v>
      </x:c>
      <x:c r="E543" s="2" t="str">
        <x:f>IF('신청 원장'!L3308="","",'신청 원장'!L3308)</x:f>
        <x:v>KECM_이태준</x:v>
      </x:c>
      <x:c r="F543" s="2" t="str">
        <x:f>IF('신청 원장'!M3308="","",'신청 원장'!M3308)</x:f>
      </x:c>
      <x:c r="G543" s="2" t="n">
        <x:f>IF('신청 원장'!N3308="","",'신청 원장'!N3308)</x:f>
        <x:v>2527</x:v>
      </x:c>
      <x:c r="H543" s="2" t="str">
        <x:f>IF('신청 원장'!AA3308="","",'신청 원장'!AA3308)</x:f>
        <x:v>내부 관찰 대상</x:v>
      </x:c>
      <x:c r="I543" s="2" t="str">
        <x:f>IF('신청 원장'!O3308="","",'신청 원장'!O3308)</x:f>
      </x:c>
      <x:c r="J543" s="2" t="str">
        <x:f>IF('신청 원장'!W3308="","",'신청 원장'!W3308)</x:f>
      </x:c>
      <x:c r="K543" s="2" t="str">
        <x:f>IF('신청 원장'!X3308="","",'신청 원장'!X3308)</x:f>
        <x:v>보완 회신 일정 확인</x:v>
      </x:c>
      <x:c r="L543" s="2" t="str">
        <x:f>IF('신청 원장'!R3308="","",'신청 원장'!R3308)</x:f>
        <x:v>(비공개)국내인증</x:v>
      </x:c>
      <x:c r="M543" s="2" t="n">
        <x:f>IF('신청 원장'!S3308="","",'신청 원장'!S3308)</x:f>
        <x:v>86</x:v>
      </x:c>
      <x:c r="N543" s="2" t="str">
        <x:f>IF('신청 원장'!K3308&lt;&gt;"미종결 표시","종결 상태 확인",IF('신청 원장'!N3308="","일자 확인 필요",IF('신청 원장'!N3308&gt;365,"366일 이상",IF('신청 원장'!N3308&gt;90,"91~365일",IF('신청 원장'!N3308&gt;30,"31~90일","0~30일")))))</x:f>
        <x:v>366일 이상</x:v>
      </x:c>
      <x:c r="O543" s="2" t="str">
        <x:f>IF(OR('신청 원장'!L3308="",'신청 원장'!L3308="선택"),"담당 원문 확인","기재")</x:f>
        <x:v>기재</x:v>
      </x:c>
      <x:c r="P543" s="2" t="str">
        <x:f>IF('신청 원장'!A3308="","",'신청 원장'!A3308)</x:f>
        <x:v>24a56c61c2f36425a23c8dff</x:v>
      </x:c>
    </x:row>
    <x:row r="544" ht="42" customHeight="1">
      <x:c r="A544" s="2" t="str">
        <x:f>IF('신청 원장'!B3309="","",'신청 원장'!B3309)</x:f>
        <x:v>인증 비공개 신청</x:v>
      </x:c>
      <x:c r="B544" s="7" t="str">
        <x:f>IF('신청 원장'!D3309="","",'신청 원장'!D3309)</x:f>
        <x:v>동원유지 보일러 연료 전환(B-C유→목재펠릿)을 통한 온실가스 감축사업</x:v>
      </x:c>
      <x:c r="C544" s="2" t="str">
        <x:f>IF('신청 원장'!F3309="","",'신청 원장'!F3309)</x:f>
        <x:v>2019-11-14</x:v>
      </x:c>
      <x:c r="D544" s="2" t="str">
        <x:f>IF('신청 원장'!J3309="","",'신청 원장'!J3309)</x:f>
        <x:v>보완요청</x:v>
      </x:c>
      <x:c r="E544" s="2" t="str">
        <x:f>IF('신청 원장'!L3309="","",'신청 원장'!L3309)</x:f>
        <x:v>KECM_이태준</x:v>
      </x:c>
      <x:c r="F544" s="2" t="str">
        <x:f>IF('신청 원장'!M3309="","",'신청 원장'!M3309)</x:f>
      </x:c>
      <x:c r="G544" s="2" t="n">
        <x:f>IF('신청 원장'!N3309="","",'신청 원장'!N3309)</x:f>
        <x:v>2527</x:v>
      </x:c>
      <x:c r="H544" s="2" t="str">
        <x:f>IF('신청 원장'!AA3309="","",'신청 원장'!AA3309)</x:f>
        <x:v>내부 관찰 대상</x:v>
      </x:c>
      <x:c r="I544" s="2" t="str">
        <x:f>IF('신청 원장'!O3309="","",'신청 원장'!O3309)</x:f>
      </x:c>
      <x:c r="J544" s="2" t="str">
        <x:f>IF('신청 원장'!W3309="","",'신청 원장'!W3309)</x:f>
      </x:c>
      <x:c r="K544" s="2" t="str">
        <x:f>IF('신청 원장'!X3309="","",'신청 원장'!X3309)</x:f>
        <x:v>보완 회신 일정 확인</x:v>
      </x:c>
      <x:c r="L544" s="2" t="str">
        <x:f>IF('신청 원장'!R3309="","",'신청 원장'!R3309)</x:f>
        <x:v>(비공개)국내인증</x:v>
      </x:c>
      <x:c r="M544" s="2" t="n">
        <x:f>IF('신청 원장'!S3309="","",'신청 원장'!S3309)</x:f>
        <x:v>87</x:v>
      </x:c>
      <x:c r="N544" s="2" t="str">
        <x:f>IF('신청 원장'!K3309&lt;&gt;"미종결 표시","종결 상태 확인",IF('신청 원장'!N3309="","일자 확인 필요",IF('신청 원장'!N3309&gt;365,"366일 이상",IF('신청 원장'!N3309&gt;90,"91~365일",IF('신청 원장'!N3309&gt;30,"31~90일","0~30일")))))</x:f>
        <x:v>366일 이상</x:v>
      </x:c>
      <x:c r="O544" s="2" t="str">
        <x:f>IF(OR('신청 원장'!L3309="",'신청 원장'!L3309="선택"),"담당 원문 확인","기재")</x:f>
        <x:v>기재</x:v>
      </x:c>
      <x:c r="P544" s="2" t="str">
        <x:f>IF('신청 원장'!A3309="","",'신청 원장'!A3309)</x:f>
        <x:v>3cb6c2e4c3608e52e2060714</x:v>
      </x:c>
    </x:row>
    <x:row r="545" ht="42" customHeight="1">
      <x:c r="A545" s="2" t="str">
        <x:f>IF('신청 원장'!B3310="","",'신청 원장'!B3310)</x:f>
        <x:v>인증 비공개 신청</x:v>
      </x:c>
      <x:c r="B545" s="7" t="str">
        <x:f>IF('신청 원장'!D3310="","",'신청 원장'!D3310)</x:f>
        <x:v>금산공영(합) 아스콘 드라이어 버너 연료전환(B-C유 → LPG)을 통한 온실가스(CO2) 감축사업</x:v>
      </x:c>
      <x:c r="C545" s="2" t="str">
        <x:f>IF('신청 원장'!F3310="","",'신청 원장'!F3310)</x:f>
        <x:v>2019-11-14</x:v>
      </x:c>
      <x:c r="D545" s="2" t="str">
        <x:f>IF('신청 원장'!J3310="","",'신청 원장'!J3310)</x:f>
        <x:v>보완요청</x:v>
      </x:c>
      <x:c r="E545" s="2" t="str">
        <x:f>IF('신청 원장'!L3310="","",'신청 원장'!L3310)</x:f>
        <x:v>KECM_이태준</x:v>
      </x:c>
      <x:c r="F545" s="2" t="str">
        <x:f>IF('신청 원장'!M3310="","",'신청 원장'!M3310)</x:f>
      </x:c>
      <x:c r="G545" s="2" t="n">
        <x:f>IF('신청 원장'!N3310="","",'신청 원장'!N3310)</x:f>
        <x:v>2527</x:v>
      </x:c>
      <x:c r="H545" s="2" t="str">
        <x:f>IF('신청 원장'!AA3310="","",'신청 원장'!AA3310)</x:f>
        <x:v>내부 관찰 대상</x:v>
      </x:c>
      <x:c r="I545" s="2" t="str">
        <x:f>IF('신청 원장'!O3310="","",'신청 원장'!O3310)</x:f>
      </x:c>
      <x:c r="J545" s="2" t="str">
        <x:f>IF('신청 원장'!W3310="","",'신청 원장'!W3310)</x:f>
      </x:c>
      <x:c r="K545" s="2" t="str">
        <x:f>IF('신청 원장'!X3310="","",'신청 원장'!X3310)</x:f>
        <x:v>보완 회신 일정 확인</x:v>
      </x:c>
      <x:c r="L545" s="2" t="str">
        <x:f>IF('신청 원장'!R3310="","",'신청 원장'!R3310)</x:f>
        <x:v>(비공개)국내인증</x:v>
      </x:c>
      <x:c r="M545" s="2" t="n">
        <x:f>IF('신청 원장'!S3310="","",'신청 원장'!S3310)</x:f>
        <x:v>88</x:v>
      </x:c>
      <x:c r="N545" s="2" t="str">
        <x:f>IF('신청 원장'!K3310&lt;&gt;"미종결 표시","종결 상태 확인",IF('신청 원장'!N3310="","일자 확인 필요",IF('신청 원장'!N3310&gt;365,"366일 이상",IF('신청 원장'!N3310&gt;90,"91~365일",IF('신청 원장'!N3310&gt;30,"31~90일","0~30일")))))</x:f>
        <x:v>366일 이상</x:v>
      </x:c>
      <x:c r="O545" s="2" t="str">
        <x:f>IF(OR('신청 원장'!L3310="",'신청 원장'!L3310="선택"),"담당 원문 확인","기재")</x:f>
        <x:v>기재</x:v>
      </x:c>
      <x:c r="P545" s="2" t="str">
        <x:f>IF('신청 원장'!A3310="","",'신청 원장'!A3310)</x:f>
        <x:v>97a8deb3a2e0b6e7b3a8389c</x:v>
      </x:c>
    </x:row>
    <x:row r="546" ht="42" customHeight="1">
      <x:c r="A546" s="2" t="str">
        <x:f>IF('신청 원장'!B3311="","",'신청 원장'!B3311)</x:f>
        <x:v>인증 비공개 신청</x:v>
      </x:c>
      <x:c r="B546" s="7" t="str">
        <x:f>IF('신청 원장'!D3311="","",'신청 원장'!D3311)</x:f>
        <x:v>한화제약(주) 스팀보일러 버너 연료전환(부생연료유 1호 → LPG)을 통한 온실가스(CO2) 감축사업</x:v>
      </x:c>
      <x:c r="C546" s="2" t="str">
        <x:f>IF('신청 원장'!F3311="","",'신청 원장'!F3311)</x:f>
        <x:v>2019-11-14</x:v>
      </x:c>
      <x:c r="D546" s="2" t="str">
        <x:f>IF('신청 원장'!J3311="","",'신청 원장'!J3311)</x:f>
        <x:v>보완요청</x:v>
      </x:c>
      <x:c r="E546" s="2" t="str">
        <x:f>IF('신청 원장'!L3311="","",'신청 원장'!L3311)</x:f>
        <x:v>KECM_이태준</x:v>
      </x:c>
      <x:c r="F546" s="2" t="str">
        <x:f>IF('신청 원장'!M3311="","",'신청 원장'!M3311)</x:f>
      </x:c>
      <x:c r="G546" s="2" t="n">
        <x:f>IF('신청 원장'!N3311="","",'신청 원장'!N3311)</x:f>
        <x:v>2527</x:v>
      </x:c>
      <x:c r="H546" s="2" t="str">
        <x:f>IF('신청 원장'!AA3311="","",'신청 원장'!AA3311)</x:f>
        <x:v>내부 관찰 대상</x:v>
      </x:c>
      <x:c r="I546" s="2" t="str">
        <x:f>IF('신청 원장'!O3311="","",'신청 원장'!O3311)</x:f>
      </x:c>
      <x:c r="J546" s="2" t="str">
        <x:f>IF('신청 원장'!W3311="","",'신청 원장'!W3311)</x:f>
      </x:c>
      <x:c r="K546" s="2" t="str">
        <x:f>IF('신청 원장'!X3311="","",'신청 원장'!X3311)</x:f>
        <x:v>보완 회신 일정 확인</x:v>
      </x:c>
      <x:c r="L546" s="2" t="str">
        <x:f>IF('신청 원장'!R3311="","",'신청 원장'!R3311)</x:f>
        <x:v>(비공개)국내인증</x:v>
      </x:c>
      <x:c r="M546" s="2" t="n">
        <x:f>IF('신청 원장'!S3311="","",'신청 원장'!S3311)</x:f>
        <x:v>89</x:v>
      </x:c>
      <x:c r="N546" s="2" t="str">
        <x:f>IF('신청 원장'!K3311&lt;&gt;"미종결 표시","종결 상태 확인",IF('신청 원장'!N3311="","일자 확인 필요",IF('신청 원장'!N3311&gt;365,"366일 이상",IF('신청 원장'!N3311&gt;90,"91~365일",IF('신청 원장'!N3311&gt;30,"31~90일","0~30일")))))</x:f>
        <x:v>366일 이상</x:v>
      </x:c>
      <x:c r="O546" s="2" t="str">
        <x:f>IF(OR('신청 원장'!L3311="",'신청 원장'!L3311="선택"),"담당 원문 확인","기재")</x:f>
        <x:v>기재</x:v>
      </x:c>
      <x:c r="P546" s="2" t="str">
        <x:f>IF('신청 원장'!A3311="","",'신청 원장'!A3311)</x:f>
        <x:v>df9ecefab319d1ccfd172935</x:v>
      </x:c>
    </x:row>
    <x:row r="547" ht="42" customHeight="1">
      <x:c r="A547" s="2" t="str">
        <x:f>IF('신청 원장'!B3312="","",'신청 원장'!B3312)</x:f>
        <x:v>인증 비공개 신청</x:v>
      </x:c>
      <x:c r="B547" s="7" t="str">
        <x:f>IF('신청 원장'!D3312="","",'신청 원장'!D3312)</x:f>
        <x:v>보일러 연료전환(벙커C유 및 보일러 등유 -&gt; LNG)을 통한 온실가스(CO2) 배출 감축 사업</x:v>
      </x:c>
      <x:c r="C547" s="2" t="str">
        <x:f>IF('신청 원장'!F3312="","",'신청 원장'!F3312)</x:f>
        <x:v>2019-11-13</x:v>
      </x:c>
      <x:c r="D547" s="2" t="str">
        <x:f>IF('신청 원장'!J3312="","",'신청 원장'!J3312)</x:f>
        <x:v>보완요청</x:v>
      </x:c>
      <x:c r="E547" s="2" t="str">
        <x:f>IF('신청 원장'!L3312="","",'신청 원장'!L3312)</x:f>
        <x:v>KECM_이태준</x:v>
      </x:c>
      <x:c r="F547" s="2" t="str">
        <x:f>IF('신청 원장'!M3312="","",'신청 원장'!M3312)</x:f>
      </x:c>
      <x:c r="G547" s="2" t="n">
        <x:f>IF('신청 원장'!N3312="","",'신청 원장'!N3312)</x:f>
        <x:v>2528</x:v>
      </x:c>
      <x:c r="H547" s="2" t="str">
        <x:f>IF('신청 원장'!AA3312="","",'신청 원장'!AA3312)</x:f>
        <x:v>내부 관찰 대상</x:v>
      </x:c>
      <x:c r="I547" s="2" t="str">
        <x:f>IF('신청 원장'!O3312="","",'신청 원장'!O3312)</x:f>
      </x:c>
      <x:c r="J547" s="2" t="str">
        <x:f>IF('신청 원장'!W3312="","",'신청 원장'!W3312)</x:f>
      </x:c>
      <x:c r="K547" s="2" t="str">
        <x:f>IF('신청 원장'!X3312="","",'신청 원장'!X3312)</x:f>
        <x:v>보완 회신 일정 확인</x:v>
      </x:c>
      <x:c r="L547" s="2" t="str">
        <x:f>IF('신청 원장'!R3312="","",'신청 원장'!R3312)</x:f>
        <x:v>(비공개)국내인증</x:v>
      </x:c>
      <x:c r="M547" s="2" t="n">
        <x:f>IF('신청 원장'!S3312="","",'신청 원장'!S3312)</x:f>
        <x:v>90</x:v>
      </x:c>
      <x:c r="N547" s="2" t="str">
        <x:f>IF('신청 원장'!K3312&lt;&gt;"미종결 표시","종결 상태 확인",IF('신청 원장'!N3312="","일자 확인 필요",IF('신청 원장'!N3312&gt;365,"366일 이상",IF('신청 원장'!N3312&gt;90,"91~365일",IF('신청 원장'!N3312&gt;30,"31~90일","0~30일")))))</x:f>
        <x:v>366일 이상</x:v>
      </x:c>
      <x:c r="O547" s="2" t="str">
        <x:f>IF(OR('신청 원장'!L3312="",'신청 원장'!L3312="선택"),"담당 원문 확인","기재")</x:f>
        <x:v>기재</x:v>
      </x:c>
      <x:c r="P547" s="2" t="str">
        <x:f>IF('신청 원장'!A3312="","",'신청 원장'!A3312)</x:f>
        <x:v>d485143a3fdd1bb36d7206e3</x:v>
      </x:c>
    </x:row>
    <x:row r="548" ht="42" customHeight="1">
      <x:c r="A548" s="2" t="str">
        <x:f>IF('신청 원장'!B3314="","",'신청 원장'!B3314)</x:f>
        <x:v>인증 비공개 신청</x:v>
      </x:c>
      <x:c r="B548" s="7" t="str">
        <x:f>IF('신청 원장'!D3314="","",'신청 원장'!D3314)</x:f>
        <x:v>산청토기와 버너교체 연료전환(c9+,LPG → LNG)를 통한 온실가스(CO2) 감축사업</x:v>
      </x:c>
      <x:c r="C548" s="2" t="str">
        <x:f>IF('신청 원장'!F3314="","",'신청 원장'!F3314)</x:f>
        <x:v>2019-09-29</x:v>
      </x:c>
      <x:c r="D548" s="2" t="str">
        <x:f>IF('신청 원장'!J3314="","",'신청 원장'!J3314)</x:f>
        <x:v>보완요청</x:v>
      </x:c>
      <x:c r="E548" s="2" t="str">
        <x:f>IF('신청 원장'!L3314="","",'신청 원장'!L3314)</x:f>
        <x:v>KECM_이태준</x:v>
      </x:c>
      <x:c r="F548" s="2" t="str">
        <x:f>IF('신청 원장'!M3314="","",'신청 원장'!M3314)</x:f>
      </x:c>
      <x:c r="G548" s="2" t="n">
        <x:f>IF('신청 원장'!N3314="","",'신청 원장'!N3314)</x:f>
        <x:v>2573</x:v>
      </x:c>
      <x:c r="H548" s="2" t="str">
        <x:f>IF('신청 원장'!AA3314="","",'신청 원장'!AA3314)</x:f>
        <x:v>내부 관찰 대상</x:v>
      </x:c>
      <x:c r="I548" s="2" t="str">
        <x:f>IF('신청 원장'!O3314="","",'신청 원장'!O3314)</x:f>
      </x:c>
      <x:c r="J548" s="2" t="str">
        <x:f>IF('신청 원장'!W3314="","",'신청 원장'!W3314)</x:f>
      </x:c>
      <x:c r="K548" s="2" t="str">
        <x:f>IF('신청 원장'!X3314="","",'신청 원장'!X3314)</x:f>
        <x:v>보완 회신 일정 확인</x:v>
      </x:c>
      <x:c r="L548" s="2" t="str">
        <x:f>IF('신청 원장'!R3314="","",'신청 원장'!R3314)</x:f>
        <x:v>(비공개)국내인증</x:v>
      </x:c>
      <x:c r="M548" s="2" t="n">
        <x:f>IF('신청 원장'!S3314="","",'신청 원장'!S3314)</x:f>
        <x:v>92</x:v>
      </x:c>
      <x:c r="N548" s="2" t="str">
        <x:f>IF('신청 원장'!K3314&lt;&gt;"미종결 표시","종결 상태 확인",IF('신청 원장'!N3314="","일자 확인 필요",IF('신청 원장'!N3314&gt;365,"366일 이상",IF('신청 원장'!N3314&gt;90,"91~365일",IF('신청 원장'!N3314&gt;30,"31~90일","0~30일")))))</x:f>
        <x:v>366일 이상</x:v>
      </x:c>
      <x:c r="O548" s="2" t="str">
        <x:f>IF(OR('신청 원장'!L3314="",'신청 원장'!L3314="선택"),"담당 원문 확인","기재")</x:f>
        <x:v>기재</x:v>
      </x:c>
      <x:c r="P548" s="2" t="str">
        <x:f>IF('신청 원장'!A3314="","",'신청 원장'!A3314)</x:f>
        <x:v>9741e201378071ecf5508347</x:v>
      </x:c>
    </x:row>
    <x:row r="549" ht="42" customHeight="1">
      <x:c r="A549" s="2" t="str">
        <x:f>IF('신청 원장'!B3315="","",'신청 원장'!B3315)</x:f>
        <x:v>인증 비공개 신청</x:v>
      </x:c>
      <x:c r="B549" s="7" t="str">
        <x:f>IF('신청 원장'!D3315="","",'신청 원장'!D3315)</x:f>
        <x:v>정암산업 버너 교체를 통한 연료전환 사업 (콘크리트 파일 생산)</x:v>
      </x:c>
      <x:c r="C549" s="2" t="str">
        <x:f>IF('신청 원장'!F3315="","",'신청 원장'!F3315)</x:f>
        <x:v>2019-09-22</x:v>
      </x:c>
      <x:c r="D549" s="2" t="str">
        <x:f>IF('신청 원장'!J3315="","",'신청 원장'!J3315)</x:f>
        <x:v>보완요청</x:v>
      </x:c>
      <x:c r="E549" s="2" t="str">
        <x:f>IF('신청 원장'!L3315="","",'신청 원장'!L3315)</x:f>
        <x:v>KECM_이태준</x:v>
      </x:c>
      <x:c r="F549" s="2" t="str">
        <x:f>IF('신청 원장'!M3315="","",'신청 원장'!M3315)</x:f>
      </x:c>
      <x:c r="G549" s="2" t="n">
        <x:f>IF('신청 원장'!N3315="","",'신청 원장'!N3315)</x:f>
        <x:v>2580</x:v>
      </x:c>
      <x:c r="H549" s="2" t="str">
        <x:f>IF('신청 원장'!AA3315="","",'신청 원장'!AA3315)</x:f>
        <x:v>내부 관찰 대상</x:v>
      </x:c>
      <x:c r="I549" s="2" t="str">
        <x:f>IF('신청 원장'!O3315="","",'신청 원장'!O3315)</x:f>
      </x:c>
      <x:c r="J549" s="2" t="str">
        <x:f>IF('신청 원장'!W3315="","",'신청 원장'!W3315)</x:f>
      </x:c>
      <x:c r="K549" s="2" t="str">
        <x:f>IF('신청 원장'!X3315="","",'신청 원장'!X3315)</x:f>
        <x:v>보완 회신 일정 확인</x:v>
      </x:c>
      <x:c r="L549" s="2" t="str">
        <x:f>IF('신청 원장'!R3315="","",'신청 원장'!R3315)</x:f>
        <x:v>(비공개)국내인증</x:v>
      </x:c>
      <x:c r="M549" s="2" t="n">
        <x:f>IF('신청 원장'!S3315="","",'신청 원장'!S3315)</x:f>
        <x:v>93</x:v>
      </x:c>
      <x:c r="N549" s="2" t="str">
        <x:f>IF('신청 원장'!K3315&lt;&gt;"미종결 표시","종결 상태 확인",IF('신청 원장'!N3315="","일자 확인 필요",IF('신청 원장'!N3315&gt;365,"366일 이상",IF('신청 원장'!N3315&gt;90,"91~365일",IF('신청 원장'!N3315&gt;30,"31~90일","0~30일")))))</x:f>
        <x:v>366일 이상</x:v>
      </x:c>
      <x:c r="O549" s="2" t="str">
        <x:f>IF(OR('신청 원장'!L3315="",'신청 원장'!L3315="선택"),"담당 원문 확인","기재")</x:f>
        <x:v>기재</x:v>
      </x:c>
      <x:c r="P549" s="2" t="str">
        <x:f>IF('신청 원장'!A3315="","",'신청 원장'!A3315)</x:f>
        <x:v>51c9ab8dd1e3244c04372708</x:v>
      </x:c>
    </x:row>
    <x:row r="550" ht="42" customHeight="1">
      <x:c r="A550" s="2" t="str">
        <x:f>IF('신청 원장'!B3316="","",'신청 원장'!B3316)</x:f>
        <x:v>인증 비공개 신청</x:v>
      </x:c>
      <x:c r="B550" s="7" t="str">
        <x:f>IF('신청 원장'!D3316="","",'신청 원장'!D3316)</x:f>
        <x:v>정암산업 버너 교체를 통한 연료전환 사업 (아스콘 생산)</x:v>
      </x:c>
      <x:c r="C550" s="2" t="str">
        <x:f>IF('신청 원장'!F3316="","",'신청 원장'!F3316)</x:f>
        <x:v>2019-09-22</x:v>
      </x:c>
      <x:c r="D550" s="2" t="str">
        <x:f>IF('신청 원장'!J3316="","",'신청 원장'!J3316)</x:f>
        <x:v>보완요청</x:v>
      </x:c>
      <x:c r="E550" s="2" t="str">
        <x:f>IF('신청 원장'!L3316="","",'신청 원장'!L3316)</x:f>
        <x:v>KECM_이태준</x:v>
      </x:c>
      <x:c r="F550" s="2" t="str">
        <x:f>IF('신청 원장'!M3316="","",'신청 원장'!M3316)</x:f>
      </x:c>
      <x:c r="G550" s="2" t="n">
        <x:f>IF('신청 원장'!N3316="","",'신청 원장'!N3316)</x:f>
        <x:v>2580</x:v>
      </x:c>
      <x:c r="H550" s="2" t="str">
        <x:f>IF('신청 원장'!AA3316="","",'신청 원장'!AA3316)</x:f>
        <x:v>내부 관찰 대상</x:v>
      </x:c>
      <x:c r="I550" s="2" t="str">
        <x:f>IF('신청 원장'!O3316="","",'신청 원장'!O3316)</x:f>
      </x:c>
      <x:c r="J550" s="2" t="str">
        <x:f>IF('신청 원장'!W3316="","",'신청 원장'!W3316)</x:f>
      </x:c>
      <x:c r="K550" s="2" t="str">
        <x:f>IF('신청 원장'!X3316="","",'신청 원장'!X3316)</x:f>
        <x:v>보완 회신 일정 확인</x:v>
      </x:c>
      <x:c r="L550" s="2" t="str">
        <x:f>IF('신청 원장'!R3316="","",'신청 원장'!R3316)</x:f>
        <x:v>(비공개)국내인증</x:v>
      </x:c>
      <x:c r="M550" s="2" t="n">
        <x:f>IF('신청 원장'!S3316="","",'신청 원장'!S3316)</x:f>
        <x:v>94</x:v>
      </x:c>
      <x:c r="N550" s="2" t="str">
        <x:f>IF('신청 원장'!K3316&lt;&gt;"미종결 표시","종결 상태 확인",IF('신청 원장'!N3316="","일자 확인 필요",IF('신청 원장'!N3316&gt;365,"366일 이상",IF('신청 원장'!N3316&gt;90,"91~365일",IF('신청 원장'!N3316&gt;30,"31~90일","0~30일")))))</x:f>
        <x:v>366일 이상</x:v>
      </x:c>
      <x:c r="O550" s="2" t="str">
        <x:f>IF(OR('신청 원장'!L3316="",'신청 원장'!L3316="선택"),"담당 원문 확인","기재")</x:f>
        <x:v>기재</x:v>
      </x:c>
      <x:c r="P550" s="2" t="str">
        <x:f>IF('신청 원장'!A3316="","",'신청 원장'!A3316)</x:f>
        <x:v>7e1593e29821ad7e7648fc47</x:v>
      </x:c>
    </x:row>
    <x:row r="551" ht="42" customHeight="1">
      <x:c r="A551" s="2" t="str">
        <x:f>IF('신청 원장'!B3318="","",'신청 원장'!B3318)</x:f>
        <x:v>인증 비공개 신청</x:v>
      </x:c>
      <x:c r="B551" s="7" t="str">
        <x:f>IF('신청 원장'!D3318="","",'신청 원장'!D3318)</x:f>
        <x:v>한국유에스지보랄 소성공정 연료전환(B-C유에서 LNG)을 통한 온실가스 감축사업</x:v>
      </x:c>
      <x:c r="C551" s="2" t="str">
        <x:f>IF('신청 원장'!F3318="","",'신청 원장'!F3318)</x:f>
        <x:v>2019-08-06</x:v>
      </x:c>
      <x:c r="D551" s="2" t="str">
        <x:f>IF('신청 원장'!J3318="","",'신청 원장'!J3318)</x:f>
        <x:v>보완요청</x:v>
      </x:c>
      <x:c r="E551" s="2" t="str">
        <x:f>IF('신청 원장'!L3318="","",'신청 원장'!L3318)</x:f>
        <x:v>KECM_이태준</x:v>
      </x:c>
      <x:c r="F551" s="2" t="str">
        <x:f>IF('신청 원장'!M3318="","",'신청 원장'!M3318)</x:f>
      </x:c>
      <x:c r="G551" s="2" t="n">
        <x:f>IF('신청 원장'!N3318="","",'신청 원장'!N3318)</x:f>
        <x:v>2627</x:v>
      </x:c>
      <x:c r="H551" s="2" t="str">
        <x:f>IF('신청 원장'!AA3318="","",'신청 원장'!AA3318)</x:f>
        <x:v>내부 관찰 대상</x:v>
      </x:c>
      <x:c r="I551" s="2" t="str">
        <x:f>IF('신청 원장'!O3318="","",'신청 원장'!O3318)</x:f>
      </x:c>
      <x:c r="J551" s="2" t="str">
        <x:f>IF('신청 원장'!W3318="","",'신청 원장'!W3318)</x:f>
      </x:c>
      <x:c r="K551" s="2" t="str">
        <x:f>IF('신청 원장'!X3318="","",'신청 원장'!X3318)</x:f>
        <x:v>보완 회신 일정 확인</x:v>
      </x:c>
      <x:c r="L551" s="2" t="str">
        <x:f>IF('신청 원장'!R3318="","",'신청 원장'!R3318)</x:f>
        <x:v>(비공개)국내인증</x:v>
      </x:c>
      <x:c r="M551" s="2" t="n">
        <x:f>IF('신청 원장'!S3318="","",'신청 원장'!S3318)</x:f>
        <x:v>96</x:v>
      </x:c>
      <x:c r="N551" s="2" t="str">
        <x:f>IF('신청 원장'!K3318&lt;&gt;"미종결 표시","종결 상태 확인",IF('신청 원장'!N3318="","일자 확인 필요",IF('신청 원장'!N3318&gt;365,"366일 이상",IF('신청 원장'!N3318&gt;90,"91~365일",IF('신청 원장'!N3318&gt;30,"31~90일","0~30일")))))</x:f>
        <x:v>366일 이상</x:v>
      </x:c>
      <x:c r="O551" s="2" t="str">
        <x:f>IF(OR('신청 원장'!L3318="",'신청 원장'!L3318="선택"),"담당 원문 확인","기재")</x:f>
        <x:v>기재</x:v>
      </x:c>
      <x:c r="P551" s="2" t="str">
        <x:f>IF('신청 원장'!A3318="","",'신청 원장'!A3318)</x:f>
        <x:v>bb6d8ee35853213af5e206eb</x:v>
      </x:c>
    </x:row>
    <x:row r="552" ht="42" customHeight="1">
      <x:c r="A552" s="2" t="str">
        <x:f>IF('신청 원장'!B3319="","",'신청 원장'!B3319)</x:f>
        <x:v>인증 비공개 신청</x:v>
      </x:c>
      <x:c r="B552" s="7" t="str">
        <x:f>IF('신청 원장'!D3319="","",'신청 원장'!D3319)</x:f>
        <x:v>청우테크 반사로 버너(정제유, LNG)에서 순산소-LNG버너로의 설비 성능개선을 통한 온실가스 감축 사업</x:v>
      </x:c>
      <x:c r="C552" s="2" t="str">
        <x:f>IF('신청 원장'!F3319="","",'신청 원장'!F3319)</x:f>
        <x:v>2019-08-01</x:v>
      </x:c>
      <x:c r="D552" s="2" t="str">
        <x:f>IF('신청 원장'!J3319="","",'신청 원장'!J3319)</x:f>
        <x:v>보완요청</x:v>
      </x:c>
      <x:c r="E552" s="2" t="str">
        <x:f>IF('신청 원장'!L3319="","",'신청 원장'!L3319)</x:f>
        <x:v>KECM_이태준</x:v>
      </x:c>
      <x:c r="F552" s="2" t="str">
        <x:f>IF('신청 원장'!M3319="","",'신청 원장'!M3319)</x:f>
      </x:c>
      <x:c r="G552" s="2" t="n">
        <x:f>IF('신청 원장'!N3319="","",'신청 원장'!N3319)</x:f>
        <x:v>2632</x:v>
      </x:c>
      <x:c r="H552" s="2" t="str">
        <x:f>IF('신청 원장'!AA3319="","",'신청 원장'!AA3319)</x:f>
        <x:v>내부 관찰 대상</x:v>
      </x:c>
      <x:c r="I552" s="2" t="str">
        <x:f>IF('신청 원장'!O3319="","",'신청 원장'!O3319)</x:f>
      </x:c>
      <x:c r="J552" s="2" t="str">
        <x:f>IF('신청 원장'!W3319="","",'신청 원장'!W3319)</x:f>
      </x:c>
      <x:c r="K552" s="2" t="str">
        <x:f>IF('신청 원장'!X3319="","",'신청 원장'!X3319)</x:f>
        <x:v>보완 회신 일정 확인</x:v>
      </x:c>
      <x:c r="L552" s="2" t="str">
        <x:f>IF('신청 원장'!R3319="","",'신청 원장'!R3319)</x:f>
        <x:v>(비공개)국내인증</x:v>
      </x:c>
      <x:c r="M552" s="2" t="n">
        <x:f>IF('신청 원장'!S3319="","",'신청 원장'!S3319)</x:f>
        <x:v>97</x:v>
      </x:c>
      <x:c r="N552" s="2" t="str">
        <x:f>IF('신청 원장'!K3319&lt;&gt;"미종결 표시","종결 상태 확인",IF('신청 원장'!N3319="","일자 확인 필요",IF('신청 원장'!N3319&gt;365,"366일 이상",IF('신청 원장'!N3319&gt;90,"91~365일",IF('신청 원장'!N3319&gt;30,"31~90일","0~30일")))))</x:f>
        <x:v>366일 이상</x:v>
      </x:c>
      <x:c r="O552" s="2" t="str">
        <x:f>IF(OR('신청 원장'!L3319="",'신청 원장'!L3319="선택"),"담당 원문 확인","기재")</x:f>
        <x:v>기재</x:v>
      </x:c>
      <x:c r="P552" s="2" t="str">
        <x:f>IF('신청 원장'!A3319="","",'신청 원장'!A3319)</x:f>
        <x:v>39d2c810cfce2f8ac4a109c2</x:v>
      </x:c>
    </x:row>
    <x:row r="553" ht="42" customHeight="1">
      <x:c r="A553" s="2" t="str">
        <x:f>IF('신청 원장'!B3320="","",'신청 원장'!B3320)</x:f>
        <x:v>인증 비공개 신청</x:v>
      </x:c>
      <x:c r="B553" s="7" t="str">
        <x:f>IF('신청 원장'!D3320="","",'신청 원장'!D3320)</x:f>
        <x:v>성암 스팀보일러 연료교체(B-C유 -&gt; LNG)를 통한 온실가스 배출 감축사업</x:v>
      </x:c>
      <x:c r="C553" s="2" t="str">
        <x:f>IF('신청 원장'!F3320="","",'신청 원장'!F3320)</x:f>
        <x:v>2019-07-10</x:v>
      </x:c>
      <x:c r="D553" s="2" t="str">
        <x:f>IF('신청 원장'!J3320="","",'신청 원장'!J3320)</x:f>
        <x:v>보완요청</x:v>
      </x:c>
      <x:c r="E553" s="2" t="str">
        <x:f>IF('신청 원장'!L3320="","",'신청 원장'!L3320)</x:f>
        <x:v>KECM_이태준</x:v>
      </x:c>
      <x:c r="F553" s="2" t="str">
        <x:f>IF('신청 원장'!M3320="","",'신청 원장'!M3320)</x:f>
      </x:c>
      <x:c r="G553" s="2" t="n">
        <x:f>IF('신청 원장'!N3320="","",'신청 원장'!N3320)</x:f>
        <x:v>2654</x:v>
      </x:c>
      <x:c r="H553" s="2" t="str">
        <x:f>IF('신청 원장'!AA3320="","",'신청 원장'!AA3320)</x:f>
        <x:v>내부 관찰 대상</x:v>
      </x:c>
      <x:c r="I553" s="2" t="str">
        <x:f>IF('신청 원장'!O3320="","",'신청 원장'!O3320)</x:f>
      </x:c>
      <x:c r="J553" s="2" t="str">
        <x:f>IF('신청 원장'!W3320="","",'신청 원장'!W3320)</x:f>
      </x:c>
      <x:c r="K553" s="2" t="str">
        <x:f>IF('신청 원장'!X3320="","",'신청 원장'!X3320)</x:f>
        <x:v>보완 회신 일정 확인</x:v>
      </x:c>
      <x:c r="L553" s="2" t="str">
        <x:f>IF('신청 원장'!R3320="","",'신청 원장'!R3320)</x:f>
        <x:v>(비공개)국내인증</x:v>
      </x:c>
      <x:c r="M553" s="2" t="n">
        <x:f>IF('신청 원장'!S3320="","",'신청 원장'!S3320)</x:f>
        <x:v>98</x:v>
      </x:c>
      <x:c r="N553" s="2" t="str">
        <x:f>IF('신청 원장'!K3320&lt;&gt;"미종결 표시","종결 상태 확인",IF('신청 원장'!N3320="","일자 확인 필요",IF('신청 원장'!N3320&gt;365,"366일 이상",IF('신청 원장'!N3320&gt;90,"91~365일",IF('신청 원장'!N3320&gt;30,"31~90일","0~30일")))))</x:f>
        <x:v>366일 이상</x:v>
      </x:c>
      <x:c r="O553" s="2" t="str">
        <x:f>IF(OR('신청 원장'!L3320="",'신청 원장'!L3320="선택"),"담당 원문 확인","기재")</x:f>
        <x:v>기재</x:v>
      </x:c>
      <x:c r="P553" s="2" t="str">
        <x:f>IF('신청 원장'!A3320="","",'신청 원장'!A3320)</x:f>
        <x:v>3204effa4306fba1a4d815cf</x:v>
      </x:c>
    </x:row>
    <x:row r="554" ht="42" customHeight="1">
      <x:c r="A554" s="2" t="str">
        <x:f>IF('신청 원장'!B3321="","",'신청 원장'!B3321)</x:f>
        <x:v>인증 비공개 신청</x:v>
      </x:c>
      <x:c r="B554" s="7" t="str">
        <x:f>IF('신청 원장'!D3321="","",'신청 원장'!D3321)</x:f>
        <x:v>성암아스콘 건조로 연료교체(B-C유 -&gt; LNG)를 통한 온실가스 배출 감축사업</x:v>
      </x:c>
      <x:c r="C554" s="2" t="str">
        <x:f>IF('신청 원장'!F3321="","",'신청 원장'!F3321)</x:f>
        <x:v>2019-07-10</x:v>
      </x:c>
      <x:c r="D554" s="2" t="str">
        <x:f>IF('신청 원장'!J3321="","",'신청 원장'!J3321)</x:f>
        <x:v>보완요청</x:v>
      </x:c>
      <x:c r="E554" s="2" t="str">
        <x:f>IF('신청 원장'!L3321="","",'신청 원장'!L3321)</x:f>
        <x:v>KECM_임하진</x:v>
      </x:c>
      <x:c r="F554" s="2" t="str">
        <x:f>IF('신청 원장'!M3321="","",'신청 원장'!M3321)</x:f>
      </x:c>
      <x:c r="G554" s="2" t="n">
        <x:f>IF('신청 원장'!N3321="","",'신청 원장'!N3321)</x:f>
        <x:v>2654</x:v>
      </x:c>
      <x:c r="H554" s="2" t="str">
        <x:f>IF('신청 원장'!AA3321="","",'신청 원장'!AA3321)</x:f>
        <x:v>내부 관찰 대상</x:v>
      </x:c>
      <x:c r="I554" s="2" t="str">
        <x:f>IF('신청 원장'!O3321="","",'신청 원장'!O3321)</x:f>
      </x:c>
      <x:c r="J554" s="2" t="str">
        <x:f>IF('신청 원장'!W3321="","",'신청 원장'!W3321)</x:f>
      </x:c>
      <x:c r="K554" s="2" t="str">
        <x:f>IF('신청 원장'!X3321="","",'신청 원장'!X3321)</x:f>
        <x:v>보완 회신 일정 확인</x:v>
      </x:c>
      <x:c r="L554" s="2" t="str">
        <x:f>IF('신청 원장'!R3321="","",'신청 원장'!R3321)</x:f>
        <x:v>(비공개)국내인증</x:v>
      </x:c>
      <x:c r="M554" s="2" t="n">
        <x:f>IF('신청 원장'!S3321="","",'신청 원장'!S3321)</x:f>
        <x:v>99</x:v>
      </x:c>
      <x:c r="N554" s="2" t="str">
        <x:f>IF('신청 원장'!K3321&lt;&gt;"미종결 표시","종결 상태 확인",IF('신청 원장'!N3321="","일자 확인 필요",IF('신청 원장'!N3321&gt;365,"366일 이상",IF('신청 원장'!N3321&gt;90,"91~365일",IF('신청 원장'!N3321&gt;30,"31~90일","0~30일")))))</x:f>
        <x:v>366일 이상</x:v>
      </x:c>
      <x:c r="O554" s="2" t="str">
        <x:f>IF(OR('신청 원장'!L3321="",'신청 원장'!L3321="선택"),"담당 원문 확인","기재")</x:f>
        <x:v>기재</x:v>
      </x:c>
      <x:c r="P554" s="2" t="str">
        <x:f>IF('신청 원장'!A3321="","",'신청 원장'!A3321)</x:f>
        <x:v>8e955facce159aae633277b3</x:v>
      </x:c>
    </x:row>
    <x:row r="555" ht="42" customHeight="1">
      <x:c r="A555" s="2" t="str">
        <x:f>IF('신청 원장'!B3322="","",'신청 원장'!B3322)</x:f>
        <x:v>인증 비공개 신청</x:v>
      </x:c>
      <x:c r="B555" s="7" t="str">
        <x:f>IF('신청 원장'!D3322="","",'신청 원장'!D3322)</x:f>
        <x:v>삼화판지 보일러의 연료전환 (B-C유→LNG)를 통한 온실가스 감축사업</x:v>
      </x:c>
      <x:c r="C555" s="2" t="str">
        <x:f>IF('신청 원장'!F3322="","",'신청 원장'!F3322)</x:f>
        <x:v>2019-05-31</x:v>
      </x:c>
      <x:c r="D555" s="2" t="str">
        <x:f>IF('신청 원장'!J3322="","",'신청 원장'!J3322)</x:f>
        <x:v>보완요청</x:v>
      </x:c>
      <x:c r="E555" s="2" t="str">
        <x:f>IF('신청 원장'!L3322="","",'신청 원장'!L3322)</x:f>
        <x:v>KECM_임하진</x:v>
      </x:c>
      <x:c r="F555" s="2" t="str">
        <x:f>IF('신청 원장'!M3322="","",'신청 원장'!M3322)</x:f>
      </x:c>
      <x:c r="G555" s="2" t="n">
        <x:f>IF('신청 원장'!N3322="","",'신청 원장'!N3322)</x:f>
        <x:v>2694</x:v>
      </x:c>
      <x:c r="H555" s="2" t="str">
        <x:f>IF('신청 원장'!AA3322="","",'신청 원장'!AA3322)</x:f>
        <x:v>내부 관찰 대상</x:v>
      </x:c>
      <x:c r="I555" s="2" t="str">
        <x:f>IF('신청 원장'!O3322="","",'신청 원장'!O3322)</x:f>
      </x:c>
      <x:c r="J555" s="2" t="str">
        <x:f>IF('신청 원장'!W3322="","",'신청 원장'!W3322)</x:f>
      </x:c>
      <x:c r="K555" s="2" t="str">
        <x:f>IF('신청 원장'!X3322="","",'신청 원장'!X3322)</x:f>
        <x:v>보완 회신 일정 확인</x:v>
      </x:c>
      <x:c r="L555" s="2" t="str">
        <x:f>IF('신청 원장'!R3322="","",'신청 원장'!R3322)</x:f>
        <x:v>(비공개)국내인증</x:v>
      </x:c>
      <x:c r="M555" s="2" t="n">
        <x:f>IF('신청 원장'!S3322="","",'신청 원장'!S3322)</x:f>
        <x:v>100</x:v>
      </x:c>
      <x:c r="N555" s="2" t="str">
        <x:f>IF('신청 원장'!K3322&lt;&gt;"미종결 표시","종결 상태 확인",IF('신청 원장'!N3322="","일자 확인 필요",IF('신청 원장'!N3322&gt;365,"366일 이상",IF('신청 원장'!N3322&gt;90,"91~365일",IF('신청 원장'!N3322&gt;30,"31~90일","0~30일")))))</x:f>
        <x:v>366일 이상</x:v>
      </x:c>
      <x:c r="O555" s="2" t="str">
        <x:f>IF(OR('신청 원장'!L3322="",'신청 원장'!L3322="선택"),"담당 원문 확인","기재")</x:f>
        <x:v>기재</x:v>
      </x:c>
      <x:c r="P555" s="2" t="str">
        <x:f>IF('신청 원장'!A3322="","",'신청 원장'!A3322)</x:f>
        <x:v>a2fe42e07e9be7e8e23dc186</x:v>
      </x:c>
    </x:row>
    <x:row r="556" ht="42" customHeight="1">
      <x:c r="A556" s="2" t="str">
        <x:f>IF('신청 원장'!B3323="","",'신청 원장'!B3323)</x:f>
        <x:v>인증 비공개 신청</x:v>
      </x:c>
      <x:c r="B556" s="7" t="str">
        <x:f>IF('신청 원장'!D3323="","",'신청 원장'!D3323)</x:f>
        <x:v>남양아스콘(주) 버너연료를 B-C유에서 LNG로 연료 전환 하는 온실가스감축사업</x:v>
      </x:c>
      <x:c r="C556" s="2" t="str">
        <x:f>IF('신청 원장'!F3323="","",'신청 원장'!F3323)</x:f>
        <x:v>2019-04-19</x:v>
      </x:c>
      <x:c r="D556" s="2" t="str">
        <x:f>IF('신청 원장'!J3323="","",'신청 원장'!J3323)</x:f>
        <x:v>보완요청</x:v>
      </x:c>
      <x:c r="E556" s="2" t="str">
        <x:f>IF('신청 원장'!L3323="","",'신청 원장'!L3323)</x:f>
        <x:v>KECM_임하진</x:v>
      </x:c>
      <x:c r="F556" s="2" t="str">
        <x:f>IF('신청 원장'!M3323="","",'신청 원장'!M3323)</x:f>
      </x:c>
      <x:c r="G556" s="2" t="n">
        <x:f>IF('신청 원장'!N3323="","",'신청 원장'!N3323)</x:f>
        <x:v>2736</x:v>
      </x:c>
      <x:c r="H556" s="2" t="str">
        <x:f>IF('신청 원장'!AA3323="","",'신청 원장'!AA3323)</x:f>
        <x:v>내부 관찰 대상</x:v>
      </x:c>
      <x:c r="I556" s="2" t="str">
        <x:f>IF('신청 원장'!O3323="","",'신청 원장'!O3323)</x:f>
      </x:c>
      <x:c r="J556" s="2" t="str">
        <x:f>IF('신청 원장'!W3323="","",'신청 원장'!W3323)</x:f>
      </x:c>
      <x:c r="K556" s="2" t="str">
        <x:f>IF('신청 원장'!X3323="","",'신청 원장'!X3323)</x:f>
        <x:v>보완 회신 일정 확인</x:v>
      </x:c>
      <x:c r="L556" s="2" t="str">
        <x:f>IF('신청 원장'!R3323="","",'신청 원장'!R3323)</x:f>
        <x:v>(비공개)국내인증</x:v>
      </x:c>
      <x:c r="M556" s="2" t="n">
        <x:f>IF('신청 원장'!S3323="","",'신청 원장'!S3323)</x:f>
        <x:v>101</x:v>
      </x:c>
      <x:c r="N556" s="2" t="str">
        <x:f>IF('신청 원장'!K3323&lt;&gt;"미종결 표시","종결 상태 확인",IF('신청 원장'!N3323="","일자 확인 필요",IF('신청 원장'!N3323&gt;365,"366일 이상",IF('신청 원장'!N3323&gt;90,"91~365일",IF('신청 원장'!N3323&gt;30,"31~90일","0~30일")))))</x:f>
        <x:v>366일 이상</x:v>
      </x:c>
      <x:c r="O556" s="2" t="str">
        <x:f>IF(OR('신청 원장'!L3323="",'신청 원장'!L3323="선택"),"담당 원문 확인","기재")</x:f>
        <x:v>기재</x:v>
      </x:c>
      <x:c r="P556" s="2" t="str">
        <x:f>IF('신청 원장'!A3323="","",'신청 원장'!A3323)</x:f>
        <x:v>38989911c70251eee2bcfa96</x:v>
      </x:c>
    </x:row>
    <x:row r="557" ht="42" customHeight="1">
      <x:c r="A557" s="2" t="str">
        <x:f>IF('신청 원장'!B3324="","",'신청 원장'!B3324)</x:f>
        <x:v>인증 비공개 신청</x:v>
      </x:c>
      <x:c r="B557" s="7" t="str">
        <x:f>IF('신청 원장'!D3324="","",'신청 원장'!D3324)</x:f>
        <x:v>가열드라이어 버너 연료전환(벙커C유 및 이온정제유 → LNG)을 통한 온실가스(CO2) 배출 감축사업</x:v>
      </x:c>
      <x:c r="C557" s="2" t="str">
        <x:f>IF('신청 원장'!F3324="","",'신청 원장'!F3324)</x:f>
        <x:v>2019-04-08</x:v>
      </x:c>
      <x:c r="D557" s="2" t="str">
        <x:f>IF('신청 원장'!J3324="","",'신청 원장'!J3324)</x:f>
        <x:v>보완요청</x:v>
      </x:c>
      <x:c r="E557" s="2" t="str">
        <x:f>IF('신청 원장'!L3324="","",'신청 원장'!L3324)</x:f>
        <x:v>KECM_임하진</x:v>
      </x:c>
      <x:c r="F557" s="2" t="str">
        <x:f>IF('신청 원장'!M3324="","",'신청 원장'!M3324)</x:f>
      </x:c>
      <x:c r="G557" s="2" t="n">
        <x:f>IF('신청 원장'!N3324="","",'신청 원장'!N3324)</x:f>
        <x:v>2747</x:v>
      </x:c>
      <x:c r="H557" s="2" t="str">
        <x:f>IF('신청 원장'!AA3324="","",'신청 원장'!AA3324)</x:f>
        <x:v>내부 관찰 대상</x:v>
      </x:c>
      <x:c r="I557" s="2" t="str">
        <x:f>IF('신청 원장'!O3324="","",'신청 원장'!O3324)</x:f>
      </x:c>
      <x:c r="J557" s="2" t="str">
        <x:f>IF('신청 원장'!W3324="","",'신청 원장'!W3324)</x:f>
      </x:c>
      <x:c r="K557" s="2" t="str">
        <x:f>IF('신청 원장'!X3324="","",'신청 원장'!X3324)</x:f>
        <x:v>보완 회신 일정 확인</x:v>
      </x:c>
      <x:c r="L557" s="2" t="str">
        <x:f>IF('신청 원장'!R3324="","",'신청 원장'!R3324)</x:f>
        <x:v>(비공개)국내인증</x:v>
      </x:c>
      <x:c r="M557" s="2" t="n">
        <x:f>IF('신청 원장'!S3324="","",'신청 원장'!S3324)</x:f>
        <x:v>102</x:v>
      </x:c>
      <x:c r="N557" s="2" t="str">
        <x:f>IF('신청 원장'!K3324&lt;&gt;"미종결 표시","종결 상태 확인",IF('신청 원장'!N3324="","일자 확인 필요",IF('신청 원장'!N3324&gt;365,"366일 이상",IF('신청 원장'!N3324&gt;90,"91~365일",IF('신청 원장'!N3324&gt;30,"31~90일","0~30일")))))</x:f>
        <x:v>366일 이상</x:v>
      </x:c>
      <x:c r="O557" s="2" t="str">
        <x:f>IF(OR('신청 원장'!L3324="",'신청 원장'!L3324="선택"),"담당 원문 확인","기재")</x:f>
        <x:v>기재</x:v>
      </x:c>
      <x:c r="P557" s="2" t="str">
        <x:f>IF('신청 원장'!A3324="","",'신청 원장'!A3324)</x:f>
        <x:v>fed731b6a09d0850156ac263</x:v>
      </x:c>
    </x:row>
    <x:row r="558" ht="42" customHeight="1">
      <x:c r="A558" s="2" t="str">
        <x:f>IF('신청 원장'!B3325="","",'신청 원장'!B3325)</x:f>
        <x:v>인증 비공개 신청</x:v>
      </x:c>
      <x:c r="B558" s="7" t="str">
        <x:f>IF('신청 원장'!D3325="","",'신청 원장'!D3325)</x:f>
        <x:v>IS동서 청양 보일러 연료전환(B-C유→LNG)을 통한 온실가스 감축 사업</x:v>
      </x:c>
      <x:c r="C558" s="2" t="str">
        <x:f>IF('신청 원장'!F3325="","",'신청 원장'!F3325)</x:f>
        <x:v>2019-04-08</x:v>
      </x:c>
      <x:c r="D558" s="2" t="str">
        <x:f>IF('신청 원장'!J3325="","",'신청 원장'!J3325)</x:f>
        <x:v>보완요청</x:v>
      </x:c>
      <x:c r="E558" s="2" t="str">
        <x:f>IF('신청 원장'!L3325="","",'신청 원장'!L3325)</x:f>
        <x:v>KECM_임하진</x:v>
      </x:c>
      <x:c r="F558" s="2" t="str">
        <x:f>IF('신청 원장'!M3325="","",'신청 원장'!M3325)</x:f>
      </x:c>
      <x:c r="G558" s="2" t="n">
        <x:f>IF('신청 원장'!N3325="","",'신청 원장'!N3325)</x:f>
        <x:v>2747</x:v>
      </x:c>
      <x:c r="H558" s="2" t="str">
        <x:f>IF('신청 원장'!AA3325="","",'신청 원장'!AA3325)</x:f>
        <x:v>내부 관찰 대상</x:v>
      </x:c>
      <x:c r="I558" s="2" t="str">
        <x:f>IF('신청 원장'!O3325="","",'신청 원장'!O3325)</x:f>
      </x:c>
      <x:c r="J558" s="2" t="str">
        <x:f>IF('신청 원장'!W3325="","",'신청 원장'!W3325)</x:f>
      </x:c>
      <x:c r="K558" s="2" t="str">
        <x:f>IF('신청 원장'!X3325="","",'신청 원장'!X3325)</x:f>
        <x:v>보완 회신 일정 확인</x:v>
      </x:c>
      <x:c r="L558" s="2" t="str">
        <x:f>IF('신청 원장'!R3325="","",'신청 원장'!R3325)</x:f>
        <x:v>(비공개)국내인증</x:v>
      </x:c>
      <x:c r="M558" s="2" t="n">
        <x:f>IF('신청 원장'!S3325="","",'신청 원장'!S3325)</x:f>
        <x:v>103</x:v>
      </x:c>
      <x:c r="N558" s="2" t="str">
        <x:f>IF('신청 원장'!K3325&lt;&gt;"미종결 표시","종결 상태 확인",IF('신청 원장'!N3325="","일자 확인 필요",IF('신청 원장'!N3325&gt;365,"366일 이상",IF('신청 원장'!N3325&gt;90,"91~365일",IF('신청 원장'!N3325&gt;30,"31~90일","0~30일")))))</x:f>
        <x:v>366일 이상</x:v>
      </x:c>
      <x:c r="O558" s="2" t="str">
        <x:f>IF(OR('신청 원장'!L3325="",'신청 원장'!L3325="선택"),"담당 원문 확인","기재")</x:f>
        <x:v>기재</x:v>
      </x:c>
      <x:c r="P558" s="2" t="str">
        <x:f>IF('신청 원장'!A3325="","",'신청 원장'!A3325)</x:f>
        <x:v>869b2771e52189c957142e76</x:v>
      </x:c>
    </x:row>
    <x:row r="559" ht="42" customHeight="1">
      <x:c r="A559" s="2" t="str">
        <x:f>IF('신청 원장'!B3326="","",'신청 원장'!B3326)</x:f>
        <x:v>인증 비공개 신청</x:v>
      </x:c>
      <x:c r="B559" s="7" t="str">
        <x:f>IF('신청 원장'!D3326="","",'신청 원장'!D3326)</x:f>
        <x:v>삼원의 스팀보일러 연료교체를 통한 온실가스 감축사업</x:v>
      </x:c>
      <x:c r="C559" s="2" t="str">
        <x:f>IF('신청 원장'!F3326="","",'신청 원장'!F3326)</x:f>
        <x:v>2019-04-08</x:v>
      </x:c>
      <x:c r="D559" s="2" t="str">
        <x:f>IF('신청 원장'!J3326="","",'신청 원장'!J3326)</x:f>
        <x:v>보완요청</x:v>
      </x:c>
      <x:c r="E559" s="2" t="str">
        <x:f>IF('신청 원장'!L3326="","",'신청 원장'!L3326)</x:f>
        <x:v>KECM_임하진</x:v>
      </x:c>
      <x:c r="F559" s="2" t="str">
        <x:f>IF('신청 원장'!M3326="","",'신청 원장'!M3326)</x:f>
      </x:c>
      <x:c r="G559" s="2" t="n">
        <x:f>IF('신청 원장'!N3326="","",'신청 원장'!N3326)</x:f>
        <x:v>2747</x:v>
      </x:c>
      <x:c r="H559" s="2" t="str">
        <x:f>IF('신청 원장'!AA3326="","",'신청 원장'!AA3326)</x:f>
        <x:v>내부 관찰 대상</x:v>
      </x:c>
      <x:c r="I559" s="2" t="str">
        <x:f>IF('신청 원장'!O3326="","",'신청 원장'!O3326)</x:f>
      </x:c>
      <x:c r="J559" s="2" t="str">
        <x:f>IF('신청 원장'!W3326="","",'신청 원장'!W3326)</x:f>
      </x:c>
      <x:c r="K559" s="2" t="str">
        <x:f>IF('신청 원장'!X3326="","",'신청 원장'!X3326)</x:f>
        <x:v>보완 회신 일정 확인</x:v>
      </x:c>
      <x:c r="L559" s="2" t="str">
        <x:f>IF('신청 원장'!R3326="","",'신청 원장'!R3326)</x:f>
        <x:v>(비공개)국내인증</x:v>
      </x:c>
      <x:c r="M559" s="2" t="n">
        <x:f>IF('신청 원장'!S3326="","",'신청 원장'!S3326)</x:f>
        <x:v>104</x:v>
      </x:c>
      <x:c r="N559" s="2" t="str">
        <x:f>IF('신청 원장'!K3326&lt;&gt;"미종결 표시","종결 상태 확인",IF('신청 원장'!N3326="","일자 확인 필요",IF('신청 원장'!N3326&gt;365,"366일 이상",IF('신청 원장'!N3326&gt;90,"91~365일",IF('신청 원장'!N3326&gt;30,"31~90일","0~30일")))))</x:f>
        <x:v>366일 이상</x:v>
      </x:c>
      <x:c r="O559" s="2" t="str">
        <x:f>IF(OR('신청 원장'!L3326="",'신청 원장'!L3326="선택"),"담당 원문 확인","기재")</x:f>
        <x:v>기재</x:v>
      </x:c>
      <x:c r="P559" s="2" t="str">
        <x:f>IF('신청 원장'!A3326="","",'신청 원장'!A3326)</x:f>
        <x:v>c538c542ccb28baec72792b7</x:v>
      </x:c>
    </x:row>
    <x:row r="560" ht="42" customHeight="1">
      <x:c r="A560" s="2" t="str">
        <x:f>IF('신청 원장'!B3327="","",'신청 원장'!B3327)</x:f>
        <x:v>인증 비공개 신청</x:v>
      </x:c>
      <x:c r="B560" s="7" t="str">
        <x:f>IF('신청 원장'!D3327="","",'신청 원장'!D3327)</x:f>
        <x:v>㈜한화 울산소재 질산공장 N2O 감축 프로젝트</x:v>
      </x:c>
      <x:c r="C560" s="2" t="str">
        <x:f>IF('신청 원장'!F3327="","",'신청 원장'!F3327)</x:f>
        <x:v>2019-04-05</x:v>
      </x:c>
      <x:c r="D560" s="2" t="str">
        <x:f>IF('신청 원장'!J3327="","",'신청 원장'!J3327)</x:f>
        <x:v>보완요청</x:v>
      </x:c>
      <x:c r="E560" s="2" t="str">
        <x:f>IF('신청 원장'!L3327="","",'신청 원장'!L3327)</x:f>
        <x:v>KECM_임하진</x:v>
      </x:c>
      <x:c r="F560" s="2" t="str">
        <x:f>IF('신청 원장'!M3327="","",'신청 원장'!M3327)</x:f>
      </x:c>
      <x:c r="G560" s="2" t="n">
        <x:f>IF('신청 원장'!N3327="","",'신청 원장'!N3327)</x:f>
        <x:v>2750</x:v>
      </x:c>
      <x:c r="H560" s="2" t="str">
        <x:f>IF('신청 원장'!AA3327="","",'신청 원장'!AA3327)</x:f>
        <x:v>내부 관찰 대상</x:v>
      </x:c>
      <x:c r="I560" s="2" t="str">
        <x:f>IF('신청 원장'!O3327="","",'신청 원장'!O3327)</x:f>
      </x:c>
      <x:c r="J560" s="2" t="str">
        <x:f>IF('신청 원장'!W3327="","",'신청 원장'!W3327)</x:f>
      </x:c>
      <x:c r="K560" s="2" t="str">
        <x:f>IF('신청 원장'!X3327="","",'신청 원장'!X3327)</x:f>
        <x:v>보완 회신 일정 확인</x:v>
      </x:c>
      <x:c r="L560" s="2" t="str">
        <x:f>IF('신청 원장'!R3327="","",'신청 원장'!R3327)</x:f>
        <x:v>(비공개)국내인증</x:v>
      </x:c>
      <x:c r="M560" s="2" t="n">
        <x:f>IF('신청 원장'!S3327="","",'신청 원장'!S3327)</x:f>
        <x:v>105</x:v>
      </x:c>
      <x:c r="N560" s="2" t="str">
        <x:f>IF('신청 원장'!K3327&lt;&gt;"미종결 표시","종결 상태 확인",IF('신청 원장'!N3327="","일자 확인 필요",IF('신청 원장'!N3327&gt;365,"366일 이상",IF('신청 원장'!N3327&gt;90,"91~365일",IF('신청 원장'!N3327&gt;30,"31~90일","0~30일")))))</x:f>
        <x:v>366일 이상</x:v>
      </x:c>
      <x:c r="O560" s="2" t="str">
        <x:f>IF(OR('신청 원장'!L3327="",'신청 원장'!L3327="선택"),"담당 원문 확인","기재")</x:f>
        <x:v>기재</x:v>
      </x:c>
      <x:c r="P560" s="2" t="str">
        <x:f>IF('신청 원장'!A3327="","",'신청 원장'!A3327)</x:f>
        <x:v>0267468a3e4cd3193b297cc6</x:v>
      </x:c>
    </x:row>
    <x:row r="561" ht="42" customHeight="1">
      <x:c r="A561" s="2" t="str">
        <x:f>IF('신청 원장'!B3328="","",'신청 원장'!B3328)</x:f>
        <x:v>인증 비공개 신청</x:v>
      </x:c>
      <x:c r="B561" s="7" t="str">
        <x:f>IF('신청 원장'!D3328="","",'신청 원장'!D3328)</x:f>
        <x:v>신안포장산업 주식회사 연료전환 (정제유 -&gt;도시가스) 감축사업</x:v>
      </x:c>
      <x:c r="C561" s="2" t="str">
        <x:f>IF('신청 원장'!F3328="","",'신청 원장'!F3328)</x:f>
        <x:v>2019-01-21</x:v>
      </x:c>
      <x:c r="D561" s="2" t="str">
        <x:f>IF('신청 원장'!J3328="","",'신청 원장'!J3328)</x:f>
        <x:v>보완요청</x:v>
      </x:c>
      <x:c r="E561" s="2" t="str">
        <x:f>IF('신청 원장'!L3328="","",'신청 원장'!L3328)</x:f>
        <x:v>KECM_임하진</x:v>
      </x:c>
      <x:c r="F561" s="2" t="str">
        <x:f>IF('신청 원장'!M3328="","",'신청 원장'!M3328)</x:f>
      </x:c>
      <x:c r="G561" s="2" t="n">
        <x:f>IF('신청 원장'!N3328="","",'신청 원장'!N3328)</x:f>
        <x:v>2824</x:v>
      </x:c>
      <x:c r="H561" s="2" t="str">
        <x:f>IF('신청 원장'!AA3328="","",'신청 원장'!AA3328)</x:f>
        <x:v>내부 관찰 대상</x:v>
      </x:c>
      <x:c r="I561" s="2" t="str">
        <x:f>IF('신청 원장'!O3328="","",'신청 원장'!O3328)</x:f>
      </x:c>
      <x:c r="J561" s="2" t="str">
        <x:f>IF('신청 원장'!W3328="","",'신청 원장'!W3328)</x:f>
      </x:c>
      <x:c r="K561" s="2" t="str">
        <x:f>IF('신청 원장'!X3328="","",'신청 원장'!X3328)</x:f>
        <x:v>보완 회신 일정 확인</x:v>
      </x:c>
      <x:c r="L561" s="2" t="str">
        <x:f>IF('신청 원장'!R3328="","",'신청 원장'!R3328)</x:f>
        <x:v>(비공개)국내인증</x:v>
      </x:c>
      <x:c r="M561" s="2" t="n">
        <x:f>IF('신청 원장'!S3328="","",'신청 원장'!S3328)</x:f>
        <x:v>106</x:v>
      </x:c>
      <x:c r="N561" s="2" t="str">
        <x:f>IF('신청 원장'!K3328&lt;&gt;"미종결 표시","종결 상태 확인",IF('신청 원장'!N3328="","일자 확인 필요",IF('신청 원장'!N3328&gt;365,"366일 이상",IF('신청 원장'!N3328&gt;90,"91~365일",IF('신청 원장'!N3328&gt;30,"31~90일","0~30일")))))</x:f>
        <x:v>366일 이상</x:v>
      </x:c>
      <x:c r="O561" s="2" t="str">
        <x:f>IF(OR('신청 원장'!L3328="",'신청 원장'!L3328="선택"),"담당 원문 확인","기재")</x:f>
        <x:v>기재</x:v>
      </x:c>
      <x:c r="P561" s="2" t="str">
        <x:f>IF('신청 원장'!A3328="","",'신청 원장'!A3328)</x:f>
        <x:v>dc57edac8ab237933a7816e5</x:v>
      </x:c>
    </x:row>
    <x:row r="562" ht="42" customHeight="1">
      <x:c r="A562" s="2" t="str">
        <x:f>IF('신청 원장'!B3329="","",'신청 원장'!B3329)</x:f>
        <x:v>인증 비공개 신청</x:v>
      </x:c>
      <x:c r="B562" s="7" t="str">
        <x:f>IF('신청 원장'!D3329="","",'신청 원장'!D3329)</x:f>
        <x:v>팜스코 중부공장 연료전환 (B-C유 &gt;도시가스) 감축사업</x:v>
      </x:c>
      <x:c r="C562" s="2" t="str">
        <x:f>IF('신청 원장'!F3329="","",'신청 원장'!F3329)</x:f>
        <x:v>2019-01-21</x:v>
      </x:c>
      <x:c r="D562" s="2" t="str">
        <x:f>IF('신청 원장'!J3329="","",'신청 원장'!J3329)</x:f>
        <x:v>보완요청</x:v>
      </x:c>
      <x:c r="E562" s="2" t="str">
        <x:f>IF('신청 원장'!L3329="","",'신청 원장'!L3329)</x:f>
        <x:v>KECM_임하진</x:v>
      </x:c>
      <x:c r="F562" s="2" t="str">
        <x:f>IF('신청 원장'!M3329="","",'신청 원장'!M3329)</x:f>
      </x:c>
      <x:c r="G562" s="2" t="n">
        <x:f>IF('신청 원장'!N3329="","",'신청 원장'!N3329)</x:f>
        <x:v>2824</x:v>
      </x:c>
      <x:c r="H562" s="2" t="str">
        <x:f>IF('신청 원장'!AA3329="","",'신청 원장'!AA3329)</x:f>
        <x:v>내부 관찰 대상</x:v>
      </x:c>
      <x:c r="I562" s="2" t="str">
        <x:f>IF('신청 원장'!O3329="","",'신청 원장'!O3329)</x:f>
      </x:c>
      <x:c r="J562" s="2" t="str">
        <x:f>IF('신청 원장'!W3329="","",'신청 원장'!W3329)</x:f>
      </x:c>
      <x:c r="K562" s="2" t="str">
        <x:f>IF('신청 원장'!X3329="","",'신청 원장'!X3329)</x:f>
        <x:v>보완 회신 일정 확인</x:v>
      </x:c>
      <x:c r="L562" s="2" t="str">
        <x:f>IF('신청 원장'!R3329="","",'신청 원장'!R3329)</x:f>
        <x:v>(비공개)국내인증</x:v>
      </x:c>
      <x:c r="M562" s="2" t="n">
        <x:f>IF('신청 원장'!S3329="","",'신청 원장'!S3329)</x:f>
        <x:v>107</x:v>
      </x:c>
      <x:c r="N562" s="2" t="str">
        <x:f>IF('신청 원장'!K3329&lt;&gt;"미종결 표시","종결 상태 확인",IF('신청 원장'!N3329="","일자 확인 필요",IF('신청 원장'!N3329&gt;365,"366일 이상",IF('신청 원장'!N3329&gt;90,"91~365일",IF('신청 원장'!N3329&gt;30,"31~90일","0~30일")))))</x:f>
        <x:v>366일 이상</x:v>
      </x:c>
      <x:c r="O562" s="2" t="str">
        <x:f>IF(OR('신청 원장'!L3329="",'신청 원장'!L3329="선택"),"담당 원문 확인","기재")</x:f>
        <x:v>기재</x:v>
      </x:c>
      <x:c r="P562" s="2" t="str">
        <x:f>IF('신청 원장'!A3329="","",'신청 원장'!A3329)</x:f>
        <x:v>762a9abba46c4c271406339c</x:v>
      </x:c>
    </x:row>
    <x:row r="563" ht="42" customHeight="1">
      <x:c r="A563" s="2" t="str">
        <x:f>IF('신청 원장'!B3330="","",'신청 원장'!B3330)</x:f>
        <x:v>인증 비공개 신청</x:v>
      </x:c>
      <x:c r="B563" s="7" t="str">
        <x:f>IF('신청 원장'!D3330="","",'신청 원장'!D3330)</x:f>
        <x:v>홍익콘크리트산업 연료전환(B-C유-&gt;도시가스) 감축사업(C-001)</x:v>
      </x:c>
      <x:c r="C563" s="2" t="str">
        <x:f>IF('신청 원장'!F3330="","",'신청 원장'!F3330)</x:f>
        <x:v>2019-01-21</x:v>
      </x:c>
      <x:c r="D563" s="2" t="str">
        <x:f>IF('신청 원장'!J3330="","",'신청 원장'!J3330)</x:f>
        <x:v>보완요청</x:v>
      </x:c>
      <x:c r="E563" s="2" t="str">
        <x:f>IF('신청 원장'!L3330="","",'신청 원장'!L3330)</x:f>
        <x:v>에코시안</x:v>
      </x:c>
      <x:c r="F563" s="2" t="str">
        <x:f>IF('신청 원장'!M3330="","",'신청 원장'!M3330)</x:f>
      </x:c>
      <x:c r="G563" s="2" t="n">
        <x:f>IF('신청 원장'!N3330="","",'신청 원장'!N3330)</x:f>
        <x:v>2824</x:v>
      </x:c>
      <x:c r="H563" s="2" t="str">
        <x:f>IF('신청 원장'!AA3330="","",'신청 원장'!AA3330)</x:f>
        <x:v>내부 관찰 대상</x:v>
      </x:c>
      <x:c r="I563" s="2" t="str">
        <x:f>IF('신청 원장'!O3330="","",'신청 원장'!O3330)</x:f>
      </x:c>
      <x:c r="J563" s="2" t="str">
        <x:f>IF('신청 원장'!W3330="","",'신청 원장'!W3330)</x:f>
      </x:c>
      <x:c r="K563" s="2" t="str">
        <x:f>IF('신청 원장'!X3330="","",'신청 원장'!X3330)</x:f>
        <x:v>보완 회신 일정 확인</x:v>
      </x:c>
      <x:c r="L563" s="2" t="str">
        <x:f>IF('신청 원장'!R3330="","",'신청 원장'!R3330)</x:f>
        <x:v>(비공개)국내인증</x:v>
      </x:c>
      <x:c r="M563" s="2" t="n">
        <x:f>IF('신청 원장'!S3330="","",'신청 원장'!S3330)</x:f>
        <x:v>108</x:v>
      </x:c>
      <x:c r="N563" s="2" t="str">
        <x:f>IF('신청 원장'!K3330&lt;&gt;"미종결 표시","종결 상태 확인",IF('신청 원장'!N3330="","일자 확인 필요",IF('신청 원장'!N3330&gt;365,"366일 이상",IF('신청 원장'!N3330&gt;90,"91~365일",IF('신청 원장'!N3330&gt;30,"31~90일","0~30일")))))</x:f>
        <x:v>366일 이상</x:v>
      </x:c>
      <x:c r="O563" s="2" t="str">
        <x:f>IF(OR('신청 원장'!L3330="",'신청 원장'!L3330="선택"),"담당 원문 확인","기재")</x:f>
        <x:v>기재</x:v>
      </x:c>
      <x:c r="P563" s="2" t="str">
        <x:f>IF('신청 원장'!A3330="","",'신청 원장'!A3330)</x:f>
        <x:v>d13a1eb097ddc953f4cb4004</x:v>
      </x:c>
    </x:row>
    <x:row r="564" ht="42" customHeight="1">
      <x:c r="A564" s="2" t="str">
        <x:f>IF('신청 원장'!B3331="","",'신청 원장'!B3331)</x:f>
        <x:v>인증 비공개 신청</x:v>
      </x:c>
      <x:c r="B564" s="7" t="str">
        <x:f>IF('신청 원장'!D3331="","",'신청 원장'!D3331)</x:f>
        <x:v>삼화페인트공업 주식회사 연료전환 (B-C유 → 도시가스) 감축사업</x:v>
      </x:c>
      <x:c r="C564" s="2" t="str">
        <x:f>IF('신청 원장'!F3331="","",'신청 원장'!F3331)</x:f>
        <x:v>2019-01-15</x:v>
      </x:c>
      <x:c r="D564" s="2" t="str">
        <x:f>IF('신청 원장'!J3331="","",'신청 원장'!J3331)</x:f>
        <x:v>보완요청</x:v>
      </x:c>
      <x:c r="E564" s="2" t="str">
        <x:f>IF('신청 원장'!L3331="","",'신청 원장'!L3331)</x:f>
        <x:v>KECM_임하진</x:v>
      </x:c>
      <x:c r="F564" s="2" t="str">
        <x:f>IF('신청 원장'!M3331="","",'신청 원장'!M3331)</x:f>
      </x:c>
      <x:c r="G564" s="2" t="n">
        <x:f>IF('신청 원장'!N3331="","",'신청 원장'!N3331)</x:f>
        <x:v>2830</x:v>
      </x:c>
      <x:c r="H564" s="2" t="str">
        <x:f>IF('신청 원장'!AA3331="","",'신청 원장'!AA3331)</x:f>
        <x:v>내부 관찰 대상</x:v>
      </x:c>
      <x:c r="I564" s="2" t="str">
        <x:f>IF('신청 원장'!O3331="","",'신청 원장'!O3331)</x:f>
      </x:c>
      <x:c r="J564" s="2" t="str">
        <x:f>IF('신청 원장'!W3331="","",'신청 원장'!W3331)</x:f>
      </x:c>
      <x:c r="K564" s="2" t="str">
        <x:f>IF('신청 원장'!X3331="","",'신청 원장'!X3331)</x:f>
        <x:v>보완 회신 일정 확인</x:v>
      </x:c>
      <x:c r="L564" s="2" t="str">
        <x:f>IF('신청 원장'!R3331="","",'신청 원장'!R3331)</x:f>
        <x:v>(비공개)국내인증</x:v>
      </x:c>
      <x:c r="M564" s="2" t="n">
        <x:f>IF('신청 원장'!S3331="","",'신청 원장'!S3331)</x:f>
        <x:v>109</x:v>
      </x:c>
      <x:c r="N564" s="2" t="str">
        <x:f>IF('신청 원장'!K3331&lt;&gt;"미종결 표시","종결 상태 확인",IF('신청 원장'!N3331="","일자 확인 필요",IF('신청 원장'!N3331&gt;365,"366일 이상",IF('신청 원장'!N3331&gt;90,"91~365일",IF('신청 원장'!N3331&gt;30,"31~90일","0~30일")))))</x:f>
        <x:v>366일 이상</x:v>
      </x:c>
      <x:c r="O564" s="2" t="str">
        <x:f>IF(OR('신청 원장'!L3331="",'신청 원장'!L3331="선택"),"담당 원문 확인","기재")</x:f>
        <x:v>기재</x:v>
      </x:c>
      <x:c r="P564" s="2" t="str">
        <x:f>IF('신청 원장'!A3331="","",'신청 원장'!A3331)</x:f>
        <x:v>f7190dcb88f9b2aeaa51f753</x:v>
      </x:c>
    </x:row>
    <x:row r="565" ht="42" customHeight="1">
      <x:c r="A565" s="2" t="str">
        <x:f>IF('신청 원장'!B3332="","",'신청 원장'!B3332)</x:f>
        <x:v>인증 비공개 신청</x:v>
      </x:c>
      <x:c r="B565" s="7" t="str">
        <x:f>IF('신청 원장'!D3332="","",'신청 원장'!D3332)</x:f>
        <x:v>선호피엔에스 연료전환 (B-B유 -&gt; 도시가스) 감축사업</x:v>
      </x:c>
      <x:c r="C565" s="2" t="str">
        <x:f>IF('신청 원장'!F3332="","",'신청 원장'!F3332)</x:f>
        <x:v>2019-01-15</x:v>
      </x:c>
      <x:c r="D565" s="2" t="str">
        <x:f>IF('신청 원장'!J3332="","",'신청 원장'!J3332)</x:f>
        <x:v>보완요청</x:v>
      </x:c>
      <x:c r="E565" s="2" t="str">
        <x:f>IF('신청 원장'!L3332="","",'신청 원장'!L3332)</x:f>
        <x:v>KECM_임하진</x:v>
      </x:c>
      <x:c r="F565" s="2" t="str">
        <x:f>IF('신청 원장'!M3332="","",'신청 원장'!M3332)</x:f>
      </x:c>
      <x:c r="G565" s="2" t="n">
        <x:f>IF('신청 원장'!N3332="","",'신청 원장'!N3332)</x:f>
        <x:v>2830</x:v>
      </x:c>
      <x:c r="H565" s="2" t="str">
        <x:f>IF('신청 원장'!AA3332="","",'신청 원장'!AA3332)</x:f>
        <x:v>내부 관찰 대상</x:v>
      </x:c>
      <x:c r="I565" s="2" t="str">
        <x:f>IF('신청 원장'!O3332="","",'신청 원장'!O3332)</x:f>
      </x:c>
      <x:c r="J565" s="2" t="str">
        <x:f>IF('신청 원장'!W3332="","",'신청 원장'!W3332)</x:f>
      </x:c>
      <x:c r="K565" s="2" t="str">
        <x:f>IF('신청 원장'!X3332="","",'신청 원장'!X3332)</x:f>
        <x:v>보완 회신 일정 확인</x:v>
      </x:c>
      <x:c r="L565" s="2" t="str">
        <x:f>IF('신청 원장'!R3332="","",'신청 원장'!R3332)</x:f>
        <x:v>(비공개)국내인증</x:v>
      </x:c>
      <x:c r="M565" s="2" t="n">
        <x:f>IF('신청 원장'!S3332="","",'신청 원장'!S3332)</x:f>
        <x:v>110</x:v>
      </x:c>
      <x:c r="N565" s="2" t="str">
        <x:f>IF('신청 원장'!K3332&lt;&gt;"미종결 표시","종결 상태 확인",IF('신청 원장'!N3332="","일자 확인 필요",IF('신청 원장'!N3332&gt;365,"366일 이상",IF('신청 원장'!N3332&gt;90,"91~365일",IF('신청 원장'!N3332&gt;30,"31~90일","0~30일")))))</x:f>
        <x:v>366일 이상</x:v>
      </x:c>
      <x:c r="O565" s="2" t="str">
        <x:f>IF(OR('신청 원장'!L3332="",'신청 원장'!L3332="선택"),"담당 원문 확인","기재")</x:f>
        <x:v>기재</x:v>
      </x:c>
      <x:c r="P565" s="2" t="str">
        <x:f>IF('신청 원장'!A3332="","",'신청 원장'!A3332)</x:f>
        <x:v>3c1319f8bd67fbe26490fe4e</x:v>
      </x:c>
    </x:row>
    <x:row r="566" ht="42" customHeight="1">
      <x:c r="A566" s="2" t="str">
        <x:f>IF('신청 원장'!B3333="","",'신청 원장'!B3333)</x:f>
        <x:v>인증 비공개 신청</x:v>
      </x:c>
      <x:c r="B566" s="7" t="str">
        <x:f>IF('신청 원장'!D3333="","",'신청 원장'!D3333)</x:f>
        <x:v>동인신철공업 주식회사 연료전환 (B-C유 -&gt; 도시가스) 감축사업</x:v>
      </x:c>
      <x:c r="C566" s="2" t="str">
        <x:f>IF('신청 원장'!F3333="","",'신청 원장'!F3333)</x:f>
        <x:v>2019-01-15</x:v>
      </x:c>
      <x:c r="D566" s="2" t="str">
        <x:f>IF('신청 원장'!J3333="","",'신청 원장'!J3333)</x:f>
        <x:v>보완요청</x:v>
      </x:c>
      <x:c r="E566" s="2" t="str">
        <x:f>IF('신청 원장'!L3333="","",'신청 원장'!L3333)</x:f>
        <x:v>KECM_임하진</x:v>
      </x:c>
      <x:c r="F566" s="2" t="str">
        <x:f>IF('신청 원장'!M3333="","",'신청 원장'!M3333)</x:f>
      </x:c>
      <x:c r="G566" s="2" t="n">
        <x:f>IF('신청 원장'!N3333="","",'신청 원장'!N3333)</x:f>
        <x:v>2830</x:v>
      </x:c>
      <x:c r="H566" s="2" t="str">
        <x:f>IF('신청 원장'!AA3333="","",'신청 원장'!AA3333)</x:f>
        <x:v>내부 관찰 대상</x:v>
      </x:c>
      <x:c r="I566" s="2" t="str">
        <x:f>IF('신청 원장'!O3333="","",'신청 원장'!O3333)</x:f>
      </x:c>
      <x:c r="J566" s="2" t="str">
        <x:f>IF('신청 원장'!W3333="","",'신청 원장'!W3333)</x:f>
      </x:c>
      <x:c r="K566" s="2" t="str">
        <x:f>IF('신청 원장'!X3333="","",'신청 원장'!X3333)</x:f>
        <x:v>보완 회신 일정 확인</x:v>
      </x:c>
      <x:c r="L566" s="2" t="str">
        <x:f>IF('신청 원장'!R3333="","",'신청 원장'!R3333)</x:f>
        <x:v>(비공개)국내인증</x:v>
      </x:c>
      <x:c r="M566" s="2" t="n">
        <x:f>IF('신청 원장'!S3333="","",'신청 원장'!S3333)</x:f>
        <x:v>111</x:v>
      </x:c>
      <x:c r="N566" s="2" t="str">
        <x:f>IF('신청 원장'!K3333&lt;&gt;"미종결 표시","종결 상태 확인",IF('신청 원장'!N3333="","일자 확인 필요",IF('신청 원장'!N3333&gt;365,"366일 이상",IF('신청 원장'!N3333&gt;90,"91~365일",IF('신청 원장'!N3333&gt;30,"31~90일","0~30일")))))</x:f>
        <x:v>366일 이상</x:v>
      </x:c>
      <x:c r="O566" s="2" t="str">
        <x:f>IF(OR('신청 원장'!L3333="",'신청 원장'!L3333="선택"),"담당 원문 확인","기재")</x:f>
        <x:v>기재</x:v>
      </x:c>
      <x:c r="P566" s="2" t="str">
        <x:f>IF('신청 원장'!A3333="","",'신청 원장'!A3333)</x:f>
        <x:v>1c2ba60f4f60068d7d331d23</x:v>
      </x:c>
    </x:row>
    <x:row r="567" ht="42" customHeight="1">
      <x:c r="A567" s="2" t="str">
        <x:f>IF('신청 원장'!B3334="","",'신청 원장'!B3334)</x:f>
        <x:v>인증 비공개 신청</x:v>
      </x:c>
      <x:c r="B567" s="7" t="str">
        <x:f>IF('신청 원장'!D3334="","",'신청 원장'!D3334)</x:f>
        <x:v>영덕물산 연료전환(B-C유-&gt; 도시가스) 감축사업</x:v>
      </x:c>
      <x:c r="C567" s="2" t="str">
        <x:f>IF('신청 원장'!F3334="","",'신청 원장'!F3334)</x:f>
        <x:v>2019-01-15</x:v>
      </x:c>
      <x:c r="D567" s="2" t="str">
        <x:f>IF('신청 원장'!J3334="","",'신청 원장'!J3334)</x:f>
        <x:v>보완요청</x:v>
      </x:c>
      <x:c r="E567" s="2" t="str">
        <x:f>IF('신청 원장'!L3334="","",'신청 원장'!L3334)</x:f>
        <x:v>KECM_임하진</x:v>
      </x:c>
      <x:c r="F567" s="2" t="str">
        <x:f>IF('신청 원장'!M3334="","",'신청 원장'!M3334)</x:f>
      </x:c>
      <x:c r="G567" s="2" t="n">
        <x:f>IF('신청 원장'!N3334="","",'신청 원장'!N3334)</x:f>
        <x:v>2830</x:v>
      </x:c>
      <x:c r="H567" s="2" t="str">
        <x:f>IF('신청 원장'!AA3334="","",'신청 원장'!AA3334)</x:f>
        <x:v>내부 관찰 대상</x:v>
      </x:c>
      <x:c r="I567" s="2" t="str">
        <x:f>IF('신청 원장'!O3334="","",'신청 원장'!O3334)</x:f>
      </x:c>
      <x:c r="J567" s="2" t="str">
        <x:f>IF('신청 원장'!W3334="","",'신청 원장'!W3334)</x:f>
      </x:c>
      <x:c r="K567" s="2" t="str">
        <x:f>IF('신청 원장'!X3334="","",'신청 원장'!X3334)</x:f>
        <x:v>보완 회신 일정 확인</x:v>
      </x:c>
      <x:c r="L567" s="2" t="str">
        <x:f>IF('신청 원장'!R3334="","",'신청 원장'!R3334)</x:f>
        <x:v>(비공개)국내인증</x:v>
      </x:c>
      <x:c r="M567" s="2" t="n">
        <x:f>IF('신청 원장'!S3334="","",'신청 원장'!S3334)</x:f>
        <x:v>112</x:v>
      </x:c>
      <x:c r="N567" s="2" t="str">
        <x:f>IF('신청 원장'!K3334&lt;&gt;"미종결 표시","종결 상태 확인",IF('신청 원장'!N3334="","일자 확인 필요",IF('신청 원장'!N3334&gt;365,"366일 이상",IF('신청 원장'!N3334&gt;90,"91~365일",IF('신청 원장'!N3334&gt;30,"31~90일","0~30일")))))</x:f>
        <x:v>366일 이상</x:v>
      </x:c>
      <x:c r="O567" s="2" t="str">
        <x:f>IF(OR('신청 원장'!L3334="",'신청 원장'!L3334="선택"),"담당 원문 확인","기재")</x:f>
        <x:v>기재</x:v>
      </x:c>
      <x:c r="P567" s="2" t="str">
        <x:f>IF('신청 원장'!A3334="","",'신청 원장'!A3334)</x:f>
        <x:v>594ce7bb961300cb58086136</x:v>
      </x:c>
    </x:row>
    <x:row r="568" ht="42" customHeight="1">
      <x:c r="A568" s="2" t="str">
        <x:f>IF('신청 원장'!B3335="","",'신청 원장'!B3335)</x:f>
        <x:v>인증 비공개 신청</x:v>
      </x:c>
      <x:c r="B568" s="7" t="str">
        <x:f>IF('신청 원장'!D3335="","",'신청 원장'!D3335)</x:f>
        <x:v>제천 장락 주공 1단지 아파트 연료전환을 통한 온실가스 감축사업</x:v>
      </x:c>
      <x:c r="C568" s="2" t="str">
        <x:f>IF('신청 원장'!F3335="","",'신청 원장'!F3335)</x:f>
        <x:v>2025-08-06</x:v>
      </x:c>
      <x:c r="D568" s="2" t="str">
        <x:f>IF('신청 원장'!J3335="","",'신청 원장'!J3335)</x:f>
        <x:v>반려요청</x:v>
      </x:c>
      <x:c r="E568" s="2" t="str">
        <x:f>IF('신청 원장'!L3335="","",'신청 원장'!L3335)</x:f>
        <x:v>에코시안_남혜원</x:v>
      </x:c>
      <x:c r="F568" s="2" t="str">
        <x:f>IF('신청 원장'!M3335="","",'신청 원장'!M3335)</x:f>
      </x:c>
      <x:c r="G568" s="2" t="n">
        <x:f>IF('신청 원장'!N3335="","",'신청 원장'!N3335)</x:f>
        <x:v>435</x:v>
      </x:c>
      <x:c r="H568" s="2" t="str">
        <x:f>IF('신청 원장'!AA3335="","",'신청 원장'!AA3335)</x:f>
        <x:v>내부 관찰 대상</x:v>
      </x:c>
      <x:c r="I568" s="2" t="str">
        <x:f>IF('신청 원장'!O3335="","",'신청 원장'!O3335)</x:f>
      </x:c>
      <x:c r="J568" s="2" t="str">
        <x:f>IF('신청 원장'!W3335="","",'신청 원장'!W3335)</x:f>
      </x:c>
      <x:c r="K568" s="2" t="str">
        <x:f>IF('신청 원장'!X3335="","",'신청 원장'!X3335)</x:f>
        <x:v>검토 진행 일정 확인</x:v>
      </x:c>
      <x:c r="L568" s="2" t="str">
        <x:f>IF('신청 원장'!R3335="","",'신청 원장'!R3335)</x:f>
        <x:v>(비공개)국내인증</x:v>
      </x:c>
      <x:c r="M568" s="2" t="n">
        <x:f>IF('신청 원장'!S3335="","",'신청 원장'!S3335)</x:f>
        <x:v>113</x:v>
      </x:c>
      <x:c r="N568" s="2" t="str">
        <x:f>IF('신청 원장'!K3335&lt;&gt;"미종결 표시","종결 상태 확인",IF('신청 원장'!N3335="","일자 확인 필요",IF('신청 원장'!N3335&gt;365,"366일 이상",IF('신청 원장'!N3335&gt;90,"91~365일",IF('신청 원장'!N3335&gt;30,"31~90일","0~30일")))))</x:f>
        <x:v>366일 이상</x:v>
      </x:c>
      <x:c r="O568" s="2" t="str">
        <x:f>IF(OR('신청 원장'!L3335="",'신청 원장'!L3335="선택"),"담당 원문 확인","기재")</x:f>
        <x:v>기재</x:v>
      </x:c>
      <x:c r="P568" s="2" t="str">
        <x:f>IF('신청 원장'!A3335="","",'신청 원장'!A3335)</x:f>
        <x:v>04fc0d5c165dbbe7ffb2d10d</x:v>
      </x:c>
    </x:row>
    <x:row r="569" ht="42" customHeight="1">
      <x:c r="A569" s="2" t="str">
        <x:f>IF('신청 원장'!B3336="","",'신청 원장'!B3336)</x:f>
        <x:v>인증 비공개 신청</x:v>
      </x:c>
      <x:c r="B569" s="7" t="str">
        <x:f>IF('신청 원장'!D3336="","",'신청 원장'!D3336)</x:f>
        <x:v>서울 월계 주공1단지 아파트 연료전환을 통한 온실가스 감축사업</x:v>
      </x:c>
      <x:c r="C569" s="2" t="str">
        <x:f>IF('신청 원장'!F3336="","",'신청 원장'!F3336)</x:f>
        <x:v>2025-10-15</x:v>
      </x:c>
      <x:c r="D569" s="2" t="str">
        <x:f>IF('신청 원장'!J3336="","",'신청 원장'!J3336)</x:f>
        <x:v>반려요청</x:v>
      </x:c>
      <x:c r="E569" s="2" t="str">
        <x:f>IF('신청 원장'!L3336="","",'신청 원장'!L3336)</x:f>
        <x:v>KECM</x:v>
      </x:c>
      <x:c r="F569" s="2" t="str">
        <x:f>IF('신청 원장'!M3336="","",'신청 원장'!M3336)</x:f>
      </x:c>
      <x:c r="G569" s="2" t="n">
        <x:f>IF('신청 원장'!N3336="","",'신청 원장'!N3336)</x:f>
        <x:v>365</x:v>
      </x:c>
      <x:c r="H569" s="2" t="str">
        <x:f>IF('신청 원장'!AA3336="","",'신청 원장'!AA3336)</x:f>
        <x:v>내부 관찰 대상</x:v>
      </x:c>
      <x:c r="I569" s="2" t="str">
        <x:f>IF('신청 원장'!O3336="","",'신청 원장'!O3336)</x:f>
      </x:c>
      <x:c r="J569" s="2" t="str">
        <x:f>IF('신청 원장'!W3336="","",'신청 원장'!W3336)</x:f>
      </x:c>
      <x:c r="K569" s="2" t="str">
        <x:f>IF('신청 원장'!X3336="","",'신청 원장'!X3336)</x:f>
        <x:v>검토 진행 일정 확인</x:v>
      </x:c>
      <x:c r="L569" s="2" t="str">
        <x:f>IF('신청 원장'!R3336="","",'신청 원장'!R3336)</x:f>
        <x:v>(비공개)국내인증</x:v>
      </x:c>
      <x:c r="M569" s="2" t="n">
        <x:f>IF('신청 원장'!S3336="","",'신청 원장'!S3336)</x:f>
        <x:v>114</x:v>
      </x:c>
      <x:c r="N569" s="2" t="str">
        <x:f>IF('신청 원장'!K3336&lt;&gt;"미종결 표시","종결 상태 확인",IF('신청 원장'!N3336="","일자 확인 필요",IF('신청 원장'!N3336&gt;365,"366일 이상",IF('신청 원장'!N3336&gt;90,"91~365일",IF('신청 원장'!N3336&gt;30,"31~90일","0~30일")))))</x:f>
        <x:v>91~365일</x:v>
      </x:c>
      <x:c r="O569" s="2" t="str">
        <x:f>IF(OR('신청 원장'!L3336="",'신청 원장'!L3336="선택"),"담당 원문 확인","기재")</x:f>
        <x:v>기재</x:v>
      </x:c>
      <x:c r="P569" s="2" t="str">
        <x:f>IF('신청 원장'!A3336="","",'신청 원장'!A3336)</x:f>
        <x:v>eff19dbbe0343a284a030819</x:v>
      </x:c>
    </x:row>
    <x:row r="570" ht="42" customHeight="1">
      <x:c r="A570" s="2" t="str">
        <x:f>IF('신청 원장'!B3337="","",'신청 원장'!B3337)</x:f>
        <x:v>인증 비공개 신청</x:v>
      </x:c>
      <x:c r="B570" s="7" t="str">
        <x:f>IF('신청 원장'!D3337="","",'신청 원장'!D3337)</x:f>
        <x:v>서울 우면아파트 연료전환을 통한 온실가스 감축사업</x:v>
      </x:c>
      <x:c r="C570" s="2" t="str">
        <x:f>IF('신청 원장'!F3337="","",'신청 원장'!F3337)</x:f>
        <x:v>2025-10-15</x:v>
      </x:c>
      <x:c r="D570" s="2" t="str">
        <x:f>IF('신청 원장'!J3337="","",'신청 원장'!J3337)</x:f>
        <x:v>반려요청</x:v>
      </x:c>
      <x:c r="E570" s="2" t="str">
        <x:f>IF('신청 원장'!L3337="","",'신청 원장'!L3337)</x:f>
        <x:v>KECM_임하진</x:v>
      </x:c>
      <x:c r="F570" s="2" t="str">
        <x:f>IF('신청 원장'!M3337="","",'신청 원장'!M3337)</x:f>
      </x:c>
      <x:c r="G570" s="2" t="n">
        <x:f>IF('신청 원장'!N3337="","",'신청 원장'!N3337)</x:f>
        <x:v>365</x:v>
      </x:c>
      <x:c r="H570" s="2" t="str">
        <x:f>IF('신청 원장'!AA3337="","",'신청 원장'!AA3337)</x:f>
        <x:v>내부 관찰 대상</x:v>
      </x:c>
      <x:c r="I570" s="2" t="str">
        <x:f>IF('신청 원장'!O3337="","",'신청 원장'!O3337)</x:f>
      </x:c>
      <x:c r="J570" s="2" t="str">
        <x:f>IF('신청 원장'!W3337="","",'신청 원장'!W3337)</x:f>
      </x:c>
      <x:c r="K570" s="2" t="str">
        <x:f>IF('신청 원장'!X3337="","",'신청 원장'!X3337)</x:f>
        <x:v>검토 진행 일정 확인</x:v>
      </x:c>
      <x:c r="L570" s="2" t="str">
        <x:f>IF('신청 원장'!R3337="","",'신청 원장'!R3337)</x:f>
        <x:v>(비공개)국내인증</x:v>
      </x:c>
      <x:c r="M570" s="2" t="n">
        <x:f>IF('신청 원장'!S3337="","",'신청 원장'!S3337)</x:f>
        <x:v>115</x:v>
      </x:c>
      <x:c r="N570" s="2" t="str">
        <x:f>IF('신청 원장'!K3337&lt;&gt;"미종결 표시","종결 상태 확인",IF('신청 원장'!N3337="","일자 확인 필요",IF('신청 원장'!N3337&gt;365,"366일 이상",IF('신청 원장'!N3337&gt;90,"91~365일",IF('신청 원장'!N3337&gt;30,"31~90일","0~30일")))))</x:f>
        <x:v>91~365일</x:v>
      </x:c>
      <x:c r="O570" s="2" t="str">
        <x:f>IF(OR('신청 원장'!L3337="",'신청 원장'!L3337="선택"),"담당 원문 확인","기재")</x:f>
        <x:v>기재</x:v>
      </x:c>
      <x:c r="P570" s="2" t="str">
        <x:f>IF('신청 원장'!A3337="","",'신청 원장'!A3337)</x:f>
        <x:v>d0627110fd3a64dcbd4c6791</x:v>
      </x:c>
    </x:row>
    <x:row r="571" ht="42" customHeight="1">
      <x:c r="A571" s="2" t="str">
        <x:f>IF('신청 원장'!B3338="","",'신청 원장'!B3338)</x:f>
        <x:v>인증 비공개 신청</x:v>
      </x:c>
      <x:c r="B571" s="7" t="str">
        <x:f>IF('신청 원장'!D3338="","",'신청 원장'!D3338)</x:f>
        <x:v>서울 번동 주공 5단지 아파트 연료전환을 통한 온실가스 감축사업</x:v>
      </x:c>
      <x:c r="C571" s="2" t="str">
        <x:f>IF('신청 원장'!F3338="","",'신청 원장'!F3338)</x:f>
        <x:v>2025-10-15</x:v>
      </x:c>
      <x:c r="D571" s="2" t="str">
        <x:f>IF('신청 원장'!J3338="","",'신청 원장'!J3338)</x:f>
        <x:v>반려요청</x:v>
      </x:c>
      <x:c r="E571" s="2" t="str">
        <x:f>IF('신청 원장'!L3338="","",'신청 원장'!L3338)</x:f>
        <x:v>KECM_임하진</x:v>
      </x:c>
      <x:c r="F571" s="2" t="str">
        <x:f>IF('신청 원장'!M3338="","",'신청 원장'!M3338)</x:f>
      </x:c>
      <x:c r="G571" s="2" t="n">
        <x:f>IF('신청 원장'!N3338="","",'신청 원장'!N3338)</x:f>
        <x:v>365</x:v>
      </x:c>
      <x:c r="H571" s="2" t="str">
        <x:f>IF('신청 원장'!AA3338="","",'신청 원장'!AA3338)</x:f>
        <x:v>내부 관찰 대상</x:v>
      </x:c>
      <x:c r="I571" s="2" t="str">
        <x:f>IF('신청 원장'!O3338="","",'신청 원장'!O3338)</x:f>
      </x:c>
      <x:c r="J571" s="2" t="str">
        <x:f>IF('신청 원장'!W3338="","",'신청 원장'!W3338)</x:f>
      </x:c>
      <x:c r="K571" s="2" t="str">
        <x:f>IF('신청 원장'!X3338="","",'신청 원장'!X3338)</x:f>
        <x:v>검토 진행 일정 확인</x:v>
      </x:c>
      <x:c r="L571" s="2" t="str">
        <x:f>IF('신청 원장'!R3338="","",'신청 원장'!R3338)</x:f>
        <x:v>(비공개)국내인증</x:v>
      </x:c>
      <x:c r="M571" s="2" t="n">
        <x:f>IF('신청 원장'!S3338="","",'신청 원장'!S3338)</x:f>
        <x:v>116</x:v>
      </x:c>
      <x:c r="N571" s="2" t="str">
        <x:f>IF('신청 원장'!K3338&lt;&gt;"미종결 표시","종결 상태 확인",IF('신청 원장'!N3338="","일자 확인 필요",IF('신청 원장'!N3338&gt;365,"366일 이상",IF('신청 원장'!N3338&gt;90,"91~365일",IF('신청 원장'!N3338&gt;30,"31~90일","0~30일")))))</x:f>
        <x:v>91~365일</x:v>
      </x:c>
      <x:c r="O571" s="2" t="str">
        <x:f>IF(OR('신청 원장'!L3338="",'신청 원장'!L3338="선택"),"담당 원문 확인","기재")</x:f>
        <x:v>기재</x:v>
      </x:c>
      <x:c r="P571" s="2" t="str">
        <x:f>IF('신청 원장'!A3338="","",'신청 원장'!A3338)</x:f>
        <x:v>fa5c171155f892c3a9db9eab</x:v>
      </x:c>
    </x:row>
    <x:row r="572" ht="42" customHeight="1">
      <x:c r="A572" s="2" t="str">
        <x:f>IF('신청 원장'!B3339="","",'신청 원장'!B3339)</x:f>
        <x:v>인증 비공개 신청</x:v>
      </x:c>
      <x:c r="B572" s="7" t="str">
        <x:f>IF('신청 원장'!D3339="","",'신청 원장'!D3339)</x:f>
        <x:v>서울 번동 주공3단지 아파트연료전환을 통한 온실가스 감축사업</x:v>
      </x:c>
      <x:c r="C572" s="2" t="str">
        <x:f>IF('신청 원장'!F3339="","",'신청 원장'!F3339)</x:f>
        <x:v>2025-10-15</x:v>
      </x:c>
      <x:c r="D572" s="2" t="str">
        <x:f>IF('신청 원장'!J3339="","",'신청 원장'!J3339)</x:f>
        <x:v>반려요청</x:v>
      </x:c>
      <x:c r="E572" s="2" t="str">
        <x:f>IF('신청 원장'!L3339="","",'신청 원장'!L3339)</x:f>
        <x:v>KECM_임하진</x:v>
      </x:c>
      <x:c r="F572" s="2" t="str">
        <x:f>IF('신청 원장'!M3339="","",'신청 원장'!M3339)</x:f>
      </x:c>
      <x:c r="G572" s="2" t="n">
        <x:f>IF('신청 원장'!N3339="","",'신청 원장'!N3339)</x:f>
        <x:v>365</x:v>
      </x:c>
      <x:c r="H572" s="2" t="str">
        <x:f>IF('신청 원장'!AA3339="","",'신청 원장'!AA3339)</x:f>
        <x:v>내부 관찰 대상</x:v>
      </x:c>
      <x:c r="I572" s="2" t="str">
        <x:f>IF('신청 원장'!O3339="","",'신청 원장'!O3339)</x:f>
      </x:c>
      <x:c r="J572" s="2" t="str">
        <x:f>IF('신청 원장'!W3339="","",'신청 원장'!W3339)</x:f>
      </x:c>
      <x:c r="K572" s="2" t="str">
        <x:f>IF('신청 원장'!X3339="","",'신청 원장'!X3339)</x:f>
        <x:v>검토 진행 일정 확인</x:v>
      </x:c>
      <x:c r="L572" s="2" t="str">
        <x:f>IF('신청 원장'!R3339="","",'신청 원장'!R3339)</x:f>
        <x:v>(비공개)국내인증</x:v>
      </x:c>
      <x:c r="M572" s="2" t="n">
        <x:f>IF('신청 원장'!S3339="","",'신청 원장'!S3339)</x:f>
        <x:v>117</x:v>
      </x:c>
      <x:c r="N572" s="2" t="str">
        <x:f>IF('신청 원장'!K3339&lt;&gt;"미종결 표시","종결 상태 확인",IF('신청 원장'!N3339="","일자 확인 필요",IF('신청 원장'!N3339&gt;365,"366일 이상",IF('신청 원장'!N3339&gt;90,"91~365일",IF('신청 원장'!N3339&gt;30,"31~90일","0~30일")))))</x:f>
        <x:v>91~365일</x:v>
      </x:c>
      <x:c r="O572" s="2" t="str">
        <x:f>IF(OR('신청 원장'!L3339="",'신청 원장'!L3339="선택"),"담당 원문 확인","기재")</x:f>
        <x:v>기재</x:v>
      </x:c>
      <x:c r="P572" s="2" t="str">
        <x:f>IF('신청 원장'!A3339="","",'신청 원장'!A3339)</x:f>
        <x:v>bbb255a78c26d2e473521c6e</x:v>
      </x:c>
    </x:row>
    <x:row r="573" ht="42" customHeight="1">
      <x:c r="A573" s="2" t="str">
        <x:f>IF('신청 원장'!B3340="","",'신청 원장'!B3340)</x:f>
        <x:v>인증 비공개 신청</x:v>
      </x:c>
      <x:c r="B573" s="7" t="str">
        <x:f>IF('신청 원장'!D3340="","",'신청 원장'!D3340)</x:f>
        <x:v>서울 번동 주공2단지 아파트 연료전환을 통한 온실가스 감축사업</x:v>
      </x:c>
      <x:c r="C573" s="2" t="str">
        <x:f>IF('신청 원장'!F3340="","",'신청 원장'!F3340)</x:f>
        <x:v>2025-10-15</x:v>
      </x:c>
      <x:c r="D573" s="2" t="str">
        <x:f>IF('신청 원장'!J3340="","",'신청 원장'!J3340)</x:f>
        <x:v>반려요청</x:v>
      </x:c>
      <x:c r="E573" s="2" t="str">
        <x:f>IF('신청 원장'!L3340="","",'신청 원장'!L3340)</x:f>
        <x:v>KECM_임하진</x:v>
      </x:c>
      <x:c r="F573" s="2" t="str">
        <x:f>IF('신청 원장'!M3340="","",'신청 원장'!M3340)</x:f>
      </x:c>
      <x:c r="G573" s="2" t="n">
        <x:f>IF('신청 원장'!N3340="","",'신청 원장'!N3340)</x:f>
        <x:v>365</x:v>
      </x:c>
      <x:c r="H573" s="2" t="str">
        <x:f>IF('신청 원장'!AA3340="","",'신청 원장'!AA3340)</x:f>
        <x:v>내부 관찰 대상</x:v>
      </x:c>
      <x:c r="I573" s="2" t="str">
        <x:f>IF('신청 원장'!O3340="","",'신청 원장'!O3340)</x:f>
      </x:c>
      <x:c r="J573" s="2" t="str">
        <x:f>IF('신청 원장'!W3340="","",'신청 원장'!W3340)</x:f>
      </x:c>
      <x:c r="K573" s="2" t="str">
        <x:f>IF('신청 원장'!X3340="","",'신청 원장'!X3340)</x:f>
        <x:v>검토 진행 일정 확인</x:v>
      </x:c>
      <x:c r="L573" s="2" t="str">
        <x:f>IF('신청 원장'!R3340="","",'신청 원장'!R3340)</x:f>
        <x:v>(비공개)국내인증</x:v>
      </x:c>
      <x:c r="M573" s="2" t="n">
        <x:f>IF('신청 원장'!S3340="","",'신청 원장'!S3340)</x:f>
        <x:v>118</x:v>
      </x:c>
      <x:c r="N573" s="2" t="str">
        <x:f>IF('신청 원장'!K3340&lt;&gt;"미종결 표시","종결 상태 확인",IF('신청 원장'!N3340="","일자 확인 필요",IF('신청 원장'!N3340&gt;365,"366일 이상",IF('신청 원장'!N3340&gt;90,"91~365일",IF('신청 원장'!N3340&gt;30,"31~90일","0~30일")))))</x:f>
        <x:v>91~365일</x:v>
      </x:c>
      <x:c r="O573" s="2" t="str">
        <x:f>IF(OR('신청 원장'!L3340="",'신청 원장'!L3340="선택"),"담당 원문 확인","기재")</x:f>
        <x:v>기재</x:v>
      </x:c>
      <x:c r="P573" s="2" t="str">
        <x:f>IF('신청 원장'!A3340="","",'신청 원장'!A3340)</x:f>
        <x:v>c6301b3a06efdb754fd85b38</x:v>
      </x:c>
    </x:row>
    <x:row r="574" ht="42" customHeight="1">
      <x:c r="A574" s="2" t="str">
        <x:f>IF('신청 원장'!B3341="","",'신청 원장'!B3341)</x:f>
        <x:v>인증 비공개 신청</x:v>
      </x:c>
      <x:c r="B574" s="7" t="str">
        <x:f>IF('신청 원장'!D3341="","",'신청 원장'!D3341)</x:f>
        <x:v>부천 춘의단지 아파트 연료전환을 통한 온실가스 감축사업</x:v>
      </x:c>
      <x:c r="C574" s="2" t="str">
        <x:f>IF('신청 원장'!F3341="","",'신청 원장'!F3341)</x:f>
        <x:v>2025-10-15</x:v>
      </x:c>
      <x:c r="D574" s="2" t="str">
        <x:f>IF('신청 원장'!J3341="","",'신청 원장'!J3341)</x:f>
        <x:v>반려요청</x:v>
      </x:c>
      <x:c r="E574" s="2" t="str">
        <x:f>IF('신청 원장'!L3341="","",'신청 원장'!L3341)</x:f>
        <x:v>KECM_임하진</x:v>
      </x:c>
      <x:c r="F574" s="2" t="str">
        <x:f>IF('신청 원장'!M3341="","",'신청 원장'!M3341)</x:f>
      </x:c>
      <x:c r="G574" s="2" t="n">
        <x:f>IF('신청 원장'!N3341="","",'신청 원장'!N3341)</x:f>
        <x:v>365</x:v>
      </x:c>
      <x:c r="H574" s="2" t="str">
        <x:f>IF('신청 원장'!AA3341="","",'신청 원장'!AA3341)</x:f>
        <x:v>내부 관찰 대상</x:v>
      </x:c>
      <x:c r="I574" s="2" t="str">
        <x:f>IF('신청 원장'!O3341="","",'신청 원장'!O3341)</x:f>
      </x:c>
      <x:c r="J574" s="2" t="str">
        <x:f>IF('신청 원장'!W3341="","",'신청 원장'!W3341)</x:f>
      </x:c>
      <x:c r="K574" s="2" t="str">
        <x:f>IF('신청 원장'!X3341="","",'신청 원장'!X3341)</x:f>
        <x:v>검토 진행 일정 확인</x:v>
      </x:c>
      <x:c r="L574" s="2" t="str">
        <x:f>IF('신청 원장'!R3341="","",'신청 원장'!R3341)</x:f>
        <x:v>(비공개)국내인증</x:v>
      </x:c>
      <x:c r="M574" s="2" t="n">
        <x:f>IF('신청 원장'!S3341="","",'신청 원장'!S3341)</x:f>
        <x:v>119</x:v>
      </x:c>
      <x:c r="N574" s="2" t="str">
        <x:f>IF('신청 원장'!K3341&lt;&gt;"미종결 표시","종결 상태 확인",IF('신청 원장'!N3341="","일자 확인 필요",IF('신청 원장'!N3341&gt;365,"366일 이상",IF('신청 원장'!N3341&gt;90,"91~365일",IF('신청 원장'!N3341&gt;30,"31~90일","0~30일")))))</x:f>
        <x:v>91~365일</x:v>
      </x:c>
      <x:c r="O574" s="2" t="str">
        <x:f>IF(OR('신청 원장'!L3341="",'신청 원장'!L3341="선택"),"담당 원문 확인","기재")</x:f>
        <x:v>기재</x:v>
      </x:c>
      <x:c r="P574" s="2" t="str">
        <x:f>IF('신청 원장'!A3341="","",'신청 원장'!A3341)</x:f>
        <x:v>f1e4e600e1efd9f76ef13051</x:v>
      </x:c>
    </x:row>
    <x:row r="575" ht="42" customHeight="1">
      <x:c r="A575" s="2" t="str">
        <x:f>IF('신청 원장'!B3342="","",'신청 원장'!B3342)</x:f>
        <x:v>인증 비공개 신청</x:v>
      </x:c>
      <x:c r="B575" s="7" t="str">
        <x:f>IF('신청 원장'!D3342="","",'신청 원장'!D3342)</x:f>
        <x:v>광주 하남 주공 1차 아파트 연료전환을 통한 온실가스 감축사업</x:v>
      </x:c>
      <x:c r="C575" s="2" t="str">
        <x:f>IF('신청 원장'!F3342="","",'신청 원장'!F3342)</x:f>
        <x:v>2025-10-15</x:v>
      </x:c>
      <x:c r="D575" s="2" t="str">
        <x:f>IF('신청 원장'!J3342="","",'신청 원장'!J3342)</x:f>
        <x:v>반려요청</x:v>
      </x:c>
      <x:c r="E575" s="2" t="str">
        <x:f>IF('신청 원장'!L3342="","",'신청 원장'!L3342)</x:f>
        <x:v>KECM_임하진</x:v>
      </x:c>
      <x:c r="F575" s="2" t="str">
        <x:f>IF('신청 원장'!M3342="","",'신청 원장'!M3342)</x:f>
      </x:c>
      <x:c r="G575" s="2" t="n">
        <x:f>IF('신청 원장'!N3342="","",'신청 원장'!N3342)</x:f>
        <x:v>365</x:v>
      </x:c>
      <x:c r="H575" s="2" t="str">
        <x:f>IF('신청 원장'!AA3342="","",'신청 원장'!AA3342)</x:f>
        <x:v>내부 관찰 대상</x:v>
      </x:c>
      <x:c r="I575" s="2" t="str">
        <x:f>IF('신청 원장'!O3342="","",'신청 원장'!O3342)</x:f>
      </x:c>
      <x:c r="J575" s="2" t="str">
        <x:f>IF('신청 원장'!W3342="","",'신청 원장'!W3342)</x:f>
      </x:c>
      <x:c r="K575" s="2" t="str">
        <x:f>IF('신청 원장'!X3342="","",'신청 원장'!X3342)</x:f>
        <x:v>검토 진행 일정 확인</x:v>
      </x:c>
      <x:c r="L575" s="2" t="str">
        <x:f>IF('신청 원장'!R3342="","",'신청 원장'!R3342)</x:f>
        <x:v>(비공개)국내인증</x:v>
      </x:c>
      <x:c r="M575" s="2" t="n">
        <x:f>IF('신청 원장'!S3342="","",'신청 원장'!S3342)</x:f>
        <x:v>120</x:v>
      </x:c>
      <x:c r="N575" s="2" t="str">
        <x:f>IF('신청 원장'!K3342&lt;&gt;"미종결 표시","종결 상태 확인",IF('신청 원장'!N3342="","일자 확인 필요",IF('신청 원장'!N3342&gt;365,"366일 이상",IF('신청 원장'!N3342&gt;90,"91~365일",IF('신청 원장'!N3342&gt;30,"31~90일","0~30일")))))</x:f>
        <x:v>91~365일</x:v>
      </x:c>
      <x:c r="O575" s="2" t="str">
        <x:f>IF(OR('신청 원장'!L3342="",'신청 원장'!L3342="선택"),"담당 원문 확인","기재")</x:f>
        <x:v>기재</x:v>
      </x:c>
      <x:c r="P575" s="2" t="str">
        <x:f>IF('신청 원장'!A3342="","",'신청 원장'!A3342)</x:f>
        <x:v>f28769d4b42eb657043780ea</x:v>
      </x:c>
    </x:row>
    <x:row r="576" ht="42" customHeight="1">
      <x:c r="A576" s="2" t="str">
        <x:f>IF('신청 원장'!B3343="","",'신청 원장'!B3343)</x:f>
        <x:v>인증 비공개 신청</x:v>
      </x:c>
      <x:c r="B576" s="7" t="str">
        <x:f>IF('신청 원장'!D3343="","",'신청 원장'!D3343)</x:f>
        <x:v>광주 우산 주공 3단지 아파트 연료전환을 통한 온실가스 감축사업</x:v>
      </x:c>
      <x:c r="C576" s="2" t="str">
        <x:f>IF('신청 원장'!F3343="","",'신청 원장'!F3343)</x:f>
        <x:v>2025-10-15</x:v>
      </x:c>
      <x:c r="D576" s="2" t="str">
        <x:f>IF('신청 원장'!J3343="","",'신청 원장'!J3343)</x:f>
        <x:v>반려요청</x:v>
      </x:c>
      <x:c r="E576" s="2" t="str">
        <x:f>IF('신청 원장'!L3343="","",'신청 원장'!L3343)</x:f>
        <x:v>KECM_임하진</x:v>
      </x:c>
      <x:c r="F576" s="2" t="str">
        <x:f>IF('신청 원장'!M3343="","",'신청 원장'!M3343)</x:f>
      </x:c>
      <x:c r="G576" s="2" t="n">
        <x:f>IF('신청 원장'!N3343="","",'신청 원장'!N3343)</x:f>
        <x:v>365</x:v>
      </x:c>
      <x:c r="H576" s="2" t="str">
        <x:f>IF('신청 원장'!AA3343="","",'신청 원장'!AA3343)</x:f>
        <x:v>내부 관찰 대상</x:v>
      </x:c>
      <x:c r="I576" s="2" t="str">
        <x:f>IF('신청 원장'!O3343="","",'신청 원장'!O3343)</x:f>
      </x:c>
      <x:c r="J576" s="2" t="str">
        <x:f>IF('신청 원장'!W3343="","",'신청 원장'!W3343)</x:f>
      </x:c>
      <x:c r="K576" s="2" t="str">
        <x:f>IF('신청 원장'!X3343="","",'신청 원장'!X3343)</x:f>
        <x:v>검토 진행 일정 확인</x:v>
      </x:c>
      <x:c r="L576" s="2" t="str">
        <x:f>IF('신청 원장'!R3343="","",'신청 원장'!R3343)</x:f>
        <x:v>(비공개)국내인증</x:v>
      </x:c>
      <x:c r="M576" s="2" t="n">
        <x:f>IF('신청 원장'!S3343="","",'신청 원장'!S3343)</x:f>
        <x:v>121</x:v>
      </x:c>
      <x:c r="N576" s="2" t="str">
        <x:f>IF('신청 원장'!K3343&lt;&gt;"미종결 표시","종결 상태 확인",IF('신청 원장'!N3343="","일자 확인 필요",IF('신청 원장'!N3343&gt;365,"366일 이상",IF('신청 원장'!N3343&gt;90,"91~365일",IF('신청 원장'!N3343&gt;30,"31~90일","0~30일")))))</x:f>
        <x:v>91~365일</x:v>
      </x:c>
      <x:c r="O576" s="2" t="str">
        <x:f>IF(OR('신청 원장'!L3343="",'신청 원장'!L3343="선택"),"담당 원문 확인","기재")</x:f>
        <x:v>기재</x:v>
      </x:c>
      <x:c r="P576" s="2" t="str">
        <x:f>IF('신청 원장'!A3343="","",'신청 원장'!A3343)</x:f>
        <x:v>d7cd0e839afa4328607b28a6</x:v>
      </x:c>
    </x:row>
    <x:row r="577" ht="42" customHeight="1">
      <x:c r="A577" s="2" t="str">
        <x:f>IF('신청 원장'!B3344="","",'신청 원장'!B3344)</x:f>
        <x:v>인증 비공개 신청</x:v>
      </x:c>
      <x:c r="B577" s="7" t="str">
        <x:f>IF('신청 원장'!D3344="","",'신청 원장'!D3344)</x:f>
        <x:v>광주 오치 주공 1단지 아파트 연료전환을 통한 온실가스 감축사업</x:v>
      </x:c>
      <x:c r="C577" s="2" t="str">
        <x:f>IF('신청 원장'!F3344="","",'신청 원장'!F3344)</x:f>
        <x:v>2025-10-15</x:v>
      </x:c>
      <x:c r="D577" s="2" t="str">
        <x:f>IF('신청 원장'!J3344="","",'신청 원장'!J3344)</x:f>
        <x:v>반려요청</x:v>
      </x:c>
      <x:c r="E577" s="2" t="str">
        <x:f>IF('신청 원장'!L3344="","",'신청 원장'!L3344)</x:f>
        <x:v>KECM_임하진</x:v>
      </x:c>
      <x:c r="F577" s="2" t="str">
        <x:f>IF('신청 원장'!M3344="","",'신청 원장'!M3344)</x:f>
      </x:c>
      <x:c r="G577" s="2" t="n">
        <x:f>IF('신청 원장'!N3344="","",'신청 원장'!N3344)</x:f>
        <x:v>365</x:v>
      </x:c>
      <x:c r="H577" s="2" t="str">
        <x:f>IF('신청 원장'!AA3344="","",'신청 원장'!AA3344)</x:f>
        <x:v>내부 관찰 대상</x:v>
      </x:c>
      <x:c r="I577" s="2" t="str">
        <x:f>IF('신청 원장'!O3344="","",'신청 원장'!O3344)</x:f>
      </x:c>
      <x:c r="J577" s="2" t="str">
        <x:f>IF('신청 원장'!W3344="","",'신청 원장'!W3344)</x:f>
      </x:c>
      <x:c r="K577" s="2" t="str">
        <x:f>IF('신청 원장'!X3344="","",'신청 원장'!X3344)</x:f>
        <x:v>검토 진행 일정 확인</x:v>
      </x:c>
      <x:c r="L577" s="2" t="str">
        <x:f>IF('신청 원장'!R3344="","",'신청 원장'!R3344)</x:f>
        <x:v>(비공개)국내인증</x:v>
      </x:c>
      <x:c r="M577" s="2" t="n">
        <x:f>IF('신청 원장'!S3344="","",'신청 원장'!S3344)</x:f>
        <x:v>122</x:v>
      </x:c>
      <x:c r="N577" s="2" t="str">
        <x:f>IF('신청 원장'!K3344&lt;&gt;"미종결 표시","종결 상태 확인",IF('신청 원장'!N3344="","일자 확인 필요",IF('신청 원장'!N3344&gt;365,"366일 이상",IF('신청 원장'!N3344&gt;90,"91~365일",IF('신청 원장'!N3344&gt;30,"31~90일","0~30일")))))</x:f>
        <x:v>91~365일</x:v>
      </x:c>
      <x:c r="O577" s="2" t="str">
        <x:f>IF(OR('신청 원장'!L3344="",'신청 원장'!L3344="선택"),"담당 원문 확인","기재")</x:f>
        <x:v>기재</x:v>
      </x:c>
      <x:c r="P577" s="2" t="str">
        <x:f>IF('신청 원장'!A3344="","",'신청 원장'!A3344)</x:f>
        <x:v>45e59efff41088a7c80266a3</x:v>
      </x:c>
    </x:row>
    <x:row r="578" ht="42" customHeight="1">
      <x:c r="A578" s="2" t="str">
        <x:f>IF('신청 원장'!B3345="","",'신청 원장'!B3345)</x:f>
        <x:v>인증 비공개 신청</x:v>
      </x:c>
      <x:c r="B578" s="7" t="str">
        <x:f>IF('신청 원장'!D3345="","",'신청 원장'!D3345)</x:f>
        <x:v>광주 쌍촌 주공 아파트 연료전환을 통한 온실가스 감축사업</x:v>
      </x:c>
      <x:c r="C578" s="2" t="str">
        <x:f>IF('신청 원장'!F3345="","",'신청 원장'!F3345)</x:f>
        <x:v>2025-09-18</x:v>
      </x:c>
      <x:c r="D578" s="2" t="str">
        <x:f>IF('신청 원장'!J3345="","",'신청 원장'!J3345)</x:f>
        <x:v>반려요청</x:v>
      </x:c>
      <x:c r="E578" s="2" t="str">
        <x:f>IF('신청 원장'!L3345="","",'신청 원장'!L3345)</x:f>
        <x:v>KECM_임하진</x:v>
      </x:c>
      <x:c r="F578" s="2" t="str">
        <x:f>IF('신청 원장'!M3345="","",'신청 원장'!M3345)</x:f>
      </x:c>
      <x:c r="G578" s="2" t="n">
        <x:f>IF('신청 원장'!N3345="","",'신청 원장'!N3345)</x:f>
        <x:v>392</x:v>
      </x:c>
      <x:c r="H578" s="2" t="str">
        <x:f>IF('신청 원장'!AA3345="","",'신청 원장'!AA3345)</x:f>
        <x:v>내부 관찰 대상</x:v>
      </x:c>
      <x:c r="I578" s="2" t="str">
        <x:f>IF('신청 원장'!O3345="","",'신청 원장'!O3345)</x:f>
      </x:c>
      <x:c r="J578" s="2" t="str">
        <x:f>IF('신청 원장'!W3345="","",'신청 원장'!W3345)</x:f>
      </x:c>
      <x:c r="K578" s="2" t="str">
        <x:f>IF('신청 원장'!X3345="","",'신청 원장'!X3345)</x:f>
        <x:v>검토 진행 일정 확인</x:v>
      </x:c>
      <x:c r="L578" s="2" t="str">
        <x:f>IF('신청 원장'!R3345="","",'신청 원장'!R3345)</x:f>
        <x:v>(비공개)국내인증</x:v>
      </x:c>
      <x:c r="M578" s="2" t="n">
        <x:f>IF('신청 원장'!S3345="","",'신청 원장'!S3345)</x:f>
        <x:v>123</x:v>
      </x:c>
      <x:c r="N578" s="2" t="str">
        <x:f>IF('신청 원장'!K3345&lt;&gt;"미종결 표시","종결 상태 확인",IF('신청 원장'!N3345="","일자 확인 필요",IF('신청 원장'!N3345&gt;365,"366일 이상",IF('신청 원장'!N3345&gt;90,"91~365일",IF('신청 원장'!N3345&gt;30,"31~90일","0~30일")))))</x:f>
        <x:v>366일 이상</x:v>
      </x:c>
      <x:c r="O578" s="2" t="str">
        <x:f>IF(OR('신청 원장'!L3345="",'신청 원장'!L3345="선택"),"담당 원문 확인","기재")</x:f>
        <x:v>기재</x:v>
      </x:c>
      <x:c r="P578" s="2" t="str">
        <x:f>IF('신청 원장'!A3345="","",'신청 원장'!A3345)</x:f>
        <x:v>697078d34336384323f2df92</x:v>
      </x:c>
    </x:row>
    <x:row r="579" ht="42" customHeight="1">
      <x:c r="A579" s="2" t="str">
        <x:f>IF('신청 원장'!B3346="","",'신청 원장'!B3346)</x:f>
        <x:v>인증 비공개 신청</x:v>
      </x:c>
      <x:c r="B579" s="7" t="str">
        <x:f>IF('신청 원장'!D3346="","",'신청 원장'!D3346)</x:f>
        <x:v>광주 두암 주공 4단지 아파트 연료전환을 통한 온실가스 감축사업</x:v>
      </x:c>
      <x:c r="C579" s="2" t="str">
        <x:f>IF('신청 원장'!F3346="","",'신청 원장'!F3346)</x:f>
        <x:v>2025-10-15</x:v>
      </x:c>
      <x:c r="D579" s="2" t="str">
        <x:f>IF('신청 원장'!J3346="","",'신청 원장'!J3346)</x:f>
        <x:v>반려요청</x:v>
      </x:c>
      <x:c r="E579" s="2" t="str">
        <x:f>IF('신청 원장'!L3346="","",'신청 원장'!L3346)</x:f>
        <x:v>KECM_임하진</x:v>
      </x:c>
      <x:c r="F579" s="2" t="str">
        <x:f>IF('신청 원장'!M3346="","",'신청 원장'!M3346)</x:f>
      </x:c>
      <x:c r="G579" s="2" t="n">
        <x:f>IF('신청 원장'!N3346="","",'신청 원장'!N3346)</x:f>
        <x:v>365</x:v>
      </x:c>
      <x:c r="H579" s="2" t="str">
        <x:f>IF('신청 원장'!AA3346="","",'신청 원장'!AA3346)</x:f>
        <x:v>내부 관찰 대상</x:v>
      </x:c>
      <x:c r="I579" s="2" t="str">
        <x:f>IF('신청 원장'!O3346="","",'신청 원장'!O3346)</x:f>
      </x:c>
      <x:c r="J579" s="2" t="str">
        <x:f>IF('신청 원장'!W3346="","",'신청 원장'!W3346)</x:f>
      </x:c>
      <x:c r="K579" s="2" t="str">
        <x:f>IF('신청 원장'!X3346="","",'신청 원장'!X3346)</x:f>
        <x:v>검토 진행 일정 확인</x:v>
      </x:c>
      <x:c r="L579" s="2" t="str">
        <x:f>IF('신청 원장'!R3346="","",'신청 원장'!R3346)</x:f>
        <x:v>(비공개)국내인증</x:v>
      </x:c>
      <x:c r="M579" s="2" t="n">
        <x:f>IF('신청 원장'!S3346="","",'신청 원장'!S3346)</x:f>
        <x:v>124</x:v>
      </x:c>
      <x:c r="N579" s="2" t="str">
        <x:f>IF('신청 원장'!K3346&lt;&gt;"미종결 표시","종결 상태 확인",IF('신청 원장'!N3346="","일자 확인 필요",IF('신청 원장'!N3346&gt;365,"366일 이상",IF('신청 원장'!N3346&gt;90,"91~365일",IF('신청 원장'!N3346&gt;30,"31~90일","0~30일")))))</x:f>
        <x:v>91~365일</x:v>
      </x:c>
      <x:c r="O579" s="2" t="str">
        <x:f>IF(OR('신청 원장'!L3346="",'신청 원장'!L3346="선택"),"담당 원문 확인","기재")</x:f>
        <x:v>기재</x:v>
      </x:c>
      <x:c r="P579" s="2" t="str">
        <x:f>IF('신청 원장'!A3346="","",'신청 원장'!A3346)</x:f>
        <x:v>94b991fce108a1436cae10d3</x:v>
      </x:c>
    </x:row>
    <x:row r="580" ht="42" customHeight="1">
      <x:c r="A580" s="2" t="str">
        <x:f>IF('신청 원장'!B3347="","",'신청 원장'!B3347)</x:f>
        <x:v>인증 비공개 신청</x:v>
      </x:c>
      <x:c r="B580" s="7" t="str">
        <x:f>IF('신청 원장'!D3347="","",'신청 원장'!D3347)</x:f>
        <x:v>광주 두암 주공 2단지 아파트 연료전환을 통한 온실가스 감축사업</x:v>
      </x:c>
      <x:c r="C580" s="2" t="str">
        <x:f>IF('신청 원장'!F3347="","",'신청 원장'!F3347)</x:f>
        <x:v>2025-10-15</x:v>
      </x:c>
      <x:c r="D580" s="2" t="str">
        <x:f>IF('신청 원장'!J3347="","",'신청 원장'!J3347)</x:f>
        <x:v>반려요청</x:v>
      </x:c>
      <x:c r="E580" s="2" t="str">
        <x:f>IF('신청 원장'!L3347="","",'신청 원장'!L3347)</x:f>
        <x:v>KECM_임하진</x:v>
      </x:c>
      <x:c r="F580" s="2" t="str">
        <x:f>IF('신청 원장'!M3347="","",'신청 원장'!M3347)</x:f>
      </x:c>
      <x:c r="G580" s="2" t="n">
        <x:f>IF('신청 원장'!N3347="","",'신청 원장'!N3347)</x:f>
        <x:v>365</x:v>
      </x:c>
      <x:c r="H580" s="2" t="str">
        <x:f>IF('신청 원장'!AA3347="","",'신청 원장'!AA3347)</x:f>
        <x:v>내부 관찰 대상</x:v>
      </x:c>
      <x:c r="I580" s="2" t="str">
        <x:f>IF('신청 원장'!O3347="","",'신청 원장'!O3347)</x:f>
      </x:c>
      <x:c r="J580" s="2" t="str">
        <x:f>IF('신청 원장'!W3347="","",'신청 원장'!W3347)</x:f>
      </x:c>
      <x:c r="K580" s="2" t="str">
        <x:f>IF('신청 원장'!X3347="","",'신청 원장'!X3347)</x:f>
        <x:v>검토 진행 일정 확인</x:v>
      </x:c>
      <x:c r="L580" s="2" t="str">
        <x:f>IF('신청 원장'!R3347="","",'신청 원장'!R3347)</x:f>
        <x:v>(비공개)국내인증</x:v>
      </x:c>
      <x:c r="M580" s="2" t="n">
        <x:f>IF('신청 원장'!S3347="","",'신청 원장'!S3347)</x:f>
        <x:v>125</x:v>
      </x:c>
      <x:c r="N580" s="2" t="str">
        <x:f>IF('신청 원장'!K3347&lt;&gt;"미종결 표시","종결 상태 확인",IF('신청 원장'!N3347="","일자 확인 필요",IF('신청 원장'!N3347&gt;365,"366일 이상",IF('신청 원장'!N3347&gt;90,"91~365일",IF('신청 원장'!N3347&gt;30,"31~90일","0~30일")))))</x:f>
        <x:v>91~365일</x:v>
      </x:c>
      <x:c r="O580" s="2" t="str">
        <x:f>IF(OR('신청 원장'!L3347="",'신청 원장'!L3347="선택"),"담당 원문 확인","기재")</x:f>
        <x:v>기재</x:v>
      </x:c>
      <x:c r="P580" s="2" t="str">
        <x:f>IF('신청 원장'!A3347="","",'신청 원장'!A3347)</x:f>
        <x:v>9119142ea02215766c8f8927</x:v>
      </x:c>
    </x:row>
    <x:row r="581" ht="42" customHeight="1">
      <x:c r="A581" s="2" t="str">
        <x:f>IF('신청 원장'!B3348="","",'신청 원장'!B3348)</x:f>
        <x:v>인증 비공개 신청</x:v>
      </x:c>
      <x:c r="B581" s="7" t="str">
        <x:f>IF('신청 원장'!D3348="","",'신청 원장'!D3348)</x:f>
        <x:v>광주 각화 주공아파트 연료전환을 통한 온실가스 감축사업</x:v>
      </x:c>
      <x:c r="C581" s="2" t="str">
        <x:f>IF('신청 원장'!F3348="","",'신청 원장'!F3348)</x:f>
        <x:v>2025-10-15</x:v>
      </x:c>
      <x:c r="D581" s="2" t="str">
        <x:f>IF('신청 원장'!J3348="","",'신청 원장'!J3348)</x:f>
        <x:v>반려요청</x:v>
      </x:c>
      <x:c r="E581" s="2" t="str">
        <x:f>IF('신청 원장'!L3348="","",'신청 원장'!L3348)</x:f>
        <x:v>KECM_임하진</x:v>
      </x:c>
      <x:c r="F581" s="2" t="str">
        <x:f>IF('신청 원장'!M3348="","",'신청 원장'!M3348)</x:f>
      </x:c>
      <x:c r="G581" s="2" t="n">
        <x:f>IF('신청 원장'!N3348="","",'신청 원장'!N3348)</x:f>
        <x:v>365</x:v>
      </x:c>
      <x:c r="H581" s="2" t="str">
        <x:f>IF('신청 원장'!AA3348="","",'신청 원장'!AA3348)</x:f>
        <x:v>내부 관찰 대상</x:v>
      </x:c>
      <x:c r="I581" s="2" t="str">
        <x:f>IF('신청 원장'!O3348="","",'신청 원장'!O3348)</x:f>
      </x:c>
      <x:c r="J581" s="2" t="str">
        <x:f>IF('신청 원장'!W3348="","",'신청 원장'!W3348)</x:f>
      </x:c>
      <x:c r="K581" s="2" t="str">
        <x:f>IF('신청 원장'!X3348="","",'신청 원장'!X3348)</x:f>
        <x:v>검토 진행 일정 확인</x:v>
      </x:c>
      <x:c r="L581" s="2" t="str">
        <x:f>IF('신청 원장'!R3348="","",'신청 원장'!R3348)</x:f>
        <x:v>(비공개)국내인증</x:v>
      </x:c>
      <x:c r="M581" s="2" t="n">
        <x:f>IF('신청 원장'!S3348="","",'신청 원장'!S3348)</x:f>
        <x:v>126</x:v>
      </x:c>
      <x:c r="N581" s="2" t="str">
        <x:f>IF('신청 원장'!K3348&lt;&gt;"미종결 표시","종결 상태 확인",IF('신청 원장'!N3348="","일자 확인 필요",IF('신청 원장'!N3348&gt;365,"366일 이상",IF('신청 원장'!N3348&gt;90,"91~365일",IF('신청 원장'!N3348&gt;30,"31~90일","0~30일")))))</x:f>
        <x:v>91~365일</x:v>
      </x:c>
      <x:c r="O581" s="2" t="str">
        <x:f>IF(OR('신청 원장'!L3348="",'신청 원장'!L3348="선택"),"담당 원문 확인","기재")</x:f>
        <x:v>기재</x:v>
      </x:c>
      <x:c r="P581" s="2" t="str">
        <x:f>IF('신청 원장'!A3348="","",'신청 원장'!A3348)</x:f>
        <x:v>643929244459af45e95e9e8f</x:v>
      </x:c>
    </x:row>
    <x:row r="582" ht="42" customHeight="1">
      <x:c r="A582" s="2" t="str">
        <x:f>IF('신청 원장'!B3349="","",'신청 원장'!B3349)</x:f>
        <x:v>인증 비공개 신청</x:v>
      </x:c>
      <x:c r="B582" s="7" t="str">
        <x:f>IF('신청 원장'!D3349="","",'신청 원장'!D3349)</x:f>
        <x:v>동서발전 당진 소수력 프로젝트</x:v>
      </x:c>
      <x:c r="C582" s="2" t="str">
        <x:f>IF('신청 원장'!F3349="","",'신청 원장'!F3349)</x:f>
        <x:v>2017-08-17</x:v>
      </x:c>
      <x:c r="D582" s="2" t="str">
        <x:f>IF('신청 원장'!J3349="","",'신청 원장'!J3349)</x:f>
        <x:v>보완요청</x:v>
      </x:c>
      <x:c r="E582" s="2" t="str">
        <x:f>IF('신청 원장'!L3349="","",'신청 원장'!L3349)</x:f>
        <x:v>KECM_임하진</x:v>
      </x:c>
      <x:c r="F582" s="2" t="str">
        <x:f>IF('신청 원장'!M3349="","",'신청 원장'!M3349)</x:f>
      </x:c>
      <x:c r="G582" s="2" t="n">
        <x:f>IF('신청 원장'!N3349="","",'신청 원장'!N3349)</x:f>
        <x:v>3346</x:v>
      </x:c>
      <x:c r="H582" s="2" t="str">
        <x:f>IF('신청 원장'!AA3349="","",'신청 원장'!AA3349)</x:f>
        <x:v>내부 관찰 대상</x:v>
      </x:c>
      <x:c r="I582" s="2" t="str">
        <x:f>IF('신청 원장'!O3349="","",'신청 원장'!O3349)</x:f>
      </x:c>
      <x:c r="J582" s="2" t="str">
        <x:f>IF('신청 원장'!W3349="","",'신청 원장'!W3349)</x:f>
      </x:c>
      <x:c r="K582" s="2" t="str">
        <x:f>IF('신청 원장'!X3349="","",'신청 원장'!X3349)</x:f>
        <x:v>보완 회신 일정 확인</x:v>
      </x:c>
      <x:c r="L582" s="2" t="str">
        <x:f>IF('신청 원장'!R3349="","",'신청 원장'!R3349)</x:f>
        <x:v>(비공개)국내인증</x:v>
      </x:c>
      <x:c r="M582" s="2" t="n">
        <x:f>IF('신청 원장'!S3349="","",'신청 원장'!S3349)</x:f>
        <x:v>127</x:v>
      </x:c>
      <x:c r="N582" s="2" t="str">
        <x:f>IF('신청 원장'!K3349&lt;&gt;"미종결 표시","종결 상태 확인",IF('신청 원장'!N3349="","일자 확인 필요",IF('신청 원장'!N3349&gt;365,"366일 이상",IF('신청 원장'!N3349&gt;90,"91~365일",IF('신청 원장'!N3349&gt;30,"31~90일","0~30일")))))</x:f>
        <x:v>366일 이상</x:v>
      </x:c>
      <x:c r="O582" s="2" t="str">
        <x:f>IF(OR('신청 원장'!L3349="",'신청 원장'!L3349="선택"),"담당 원문 확인","기재")</x:f>
        <x:v>기재</x:v>
      </x:c>
      <x:c r="P582" s="2" t="str">
        <x:f>IF('신청 원장'!A3349="","",'신청 원장'!A3349)</x:f>
        <x:v>bb2033ba1c6f378d32b9f6e3</x:v>
      </x:c>
    </x:row>
    <x:row r="583" ht="42" customHeight="1">
      <x:c r="A583" s="2" t="str">
        <x:f>IF('신청 원장'!B3350="","",'신청 원장'!B3350)</x:f>
        <x:v>인증 비공개 신청</x:v>
      </x:c>
      <x:c r="B583" s="7" t="str">
        <x:f>IF('신청 원장'!D3350="","",'신청 원장'!D3350)</x:f>
        <x:v>LG 솔라에너지 태안 태양광발전소 사업</x:v>
      </x:c>
      <x:c r="C583" s="2" t="str">
        <x:f>IF('신청 원장'!F3350="","",'신청 원장'!F3350)</x:f>
        <x:v>2017-04-12</x:v>
      </x:c>
      <x:c r="D583" s="2" t="str">
        <x:f>IF('신청 원장'!J3350="","",'신청 원장'!J3350)</x:f>
        <x:v>보완요청</x:v>
      </x:c>
      <x:c r="E583" s="2" t="str">
        <x:f>IF('신청 원장'!L3350="","",'신청 원장'!L3350)</x:f>
        <x:v>KECM_임하진</x:v>
      </x:c>
      <x:c r="F583" s="2" t="str">
        <x:f>IF('신청 원장'!M3350="","",'신청 원장'!M3350)</x:f>
      </x:c>
      <x:c r="G583" s="2" t="n">
        <x:f>IF('신청 원장'!N3350="","",'신청 원장'!N3350)</x:f>
        <x:v>3473</x:v>
      </x:c>
      <x:c r="H583" s="2" t="str">
        <x:f>IF('신청 원장'!AA3350="","",'신청 원장'!AA3350)</x:f>
        <x:v>내부 관찰 대상</x:v>
      </x:c>
      <x:c r="I583" s="2" t="str">
        <x:f>IF('신청 원장'!O3350="","",'신청 원장'!O3350)</x:f>
      </x:c>
      <x:c r="J583" s="2" t="str">
        <x:f>IF('신청 원장'!W3350="","",'신청 원장'!W3350)</x:f>
      </x:c>
      <x:c r="K583" s="2" t="str">
        <x:f>IF('신청 원장'!X3350="","",'신청 원장'!X3350)</x:f>
        <x:v>보완 회신 일정 확인</x:v>
      </x:c>
      <x:c r="L583" s="2" t="str">
        <x:f>IF('신청 원장'!R3350="","",'신청 원장'!R3350)</x:f>
        <x:v>(비공개)국내인증</x:v>
      </x:c>
      <x:c r="M583" s="2" t="n">
        <x:f>IF('신청 원장'!S3350="","",'신청 원장'!S3350)</x:f>
        <x:v>128</x:v>
      </x:c>
      <x:c r="N583" s="2" t="str">
        <x:f>IF('신청 원장'!K3350&lt;&gt;"미종결 표시","종결 상태 확인",IF('신청 원장'!N3350="","일자 확인 필요",IF('신청 원장'!N3350&gt;365,"366일 이상",IF('신청 원장'!N3350&gt;90,"91~365일",IF('신청 원장'!N3350&gt;30,"31~90일","0~30일")))))</x:f>
        <x:v>366일 이상</x:v>
      </x:c>
      <x:c r="O583" s="2" t="str">
        <x:f>IF(OR('신청 원장'!L3350="",'신청 원장'!L3350="선택"),"담당 원문 확인","기재")</x:f>
        <x:v>기재</x:v>
      </x:c>
      <x:c r="P583" s="2" t="str">
        <x:f>IF('신청 원장'!A3350="","",'신청 원장'!A3350)</x:f>
        <x:v>afa433d5b9849e8dbfffcdde</x:v>
      </x:c>
    </x:row>
    <x:row r="584" ht="42" customHeight="1">
      <x:c r="A584" s="2" t="str">
        <x:f>IF('신청 원장'!B3360="","",'신청 원장'!B3360)</x:f>
        <x:v>인증 비공개 신청</x:v>
      </x:c>
      <x:c r="B584" s="7" t="str">
        <x:f>IF('신청 원장'!D3360="","",'신청 원장'!D3360)</x:f>
        <x:v>서하남 사막 이남의 아프리카-말라위에 향상된 쿡스토브 보급 CPA-006사업</x:v>
      </x:c>
      <x:c r="C584" s="2" t="str">
        <x:f>IF('신청 원장'!F3360="","",'신청 원장'!F3360)</x:f>
        <x:v>2021-10-06</x:v>
      </x:c>
      <x:c r="D584" s="2" t="str">
        <x:f>IF('신청 원장'!J3360="","",'신청 원장'!J3360)</x:f>
        <x:v>보완요청</x:v>
      </x:c>
      <x:c r="E584" s="2" t="str">
        <x:f>IF('신청 원장'!L3360="","",'신청 원장'!L3360)</x:f>
        <x:v>에코시안</x:v>
      </x:c>
      <x:c r="F584" s="2" t="str">
        <x:f>IF('신청 원장'!M3360="","",'신청 원장'!M3360)</x:f>
      </x:c>
      <x:c r="G584" s="2" t="n">
        <x:f>IF('신청 원장'!N3360="","",'신청 원장'!N3360)</x:f>
        <x:v>1835</x:v>
      </x:c>
      <x:c r="H584" s="2" t="str">
        <x:f>IF('신청 원장'!AA3360="","",'신청 원장'!AA3360)</x:f>
        <x:v>내부 관찰 대상</x:v>
      </x:c>
      <x:c r="I584" s="2" t="str">
        <x:f>IF('신청 원장'!O3360="","",'신청 원장'!O3360)</x:f>
      </x:c>
      <x:c r="J584" s="2" t="str">
        <x:f>IF('신청 원장'!W3360="","",'신청 원장'!W3360)</x:f>
      </x:c>
      <x:c r="K584" s="2" t="str">
        <x:f>IF('신청 원장'!X3360="","",'신청 원장'!X3360)</x:f>
        <x:v>보완 회신 일정 확인</x:v>
      </x:c>
      <x:c r="L584" s="2" t="str">
        <x:f>IF('신청 원장'!R3360="","",'신청 원장'!R3360)</x:f>
        <x:v>(비공개)국외인증</x:v>
      </x:c>
      <x:c r="M584" s="2" t="n">
        <x:f>IF('신청 원장'!S3360="","",'신청 원장'!S3360)</x:f>
        <x:v>11</x:v>
      </x:c>
      <x:c r="N584" s="2" t="str">
        <x:f>IF('신청 원장'!K3360&lt;&gt;"미종결 표시","종결 상태 확인",IF('신청 원장'!N3360="","일자 확인 필요",IF('신청 원장'!N3360&gt;365,"366일 이상",IF('신청 원장'!N3360&gt;90,"91~365일",IF('신청 원장'!N3360&gt;30,"31~90일","0~30일")))))</x:f>
        <x:v>366일 이상</x:v>
      </x:c>
      <x:c r="O584" s="2" t="str">
        <x:f>IF(OR('신청 원장'!L3360="",'신청 원장'!L3360="선택"),"담당 원문 확인","기재")</x:f>
        <x:v>기재</x:v>
      </x:c>
      <x:c r="P584" s="2" t="str">
        <x:f>IF('신청 원장'!A3360="","",'신청 원장'!A3360)</x:f>
        <x:v>4e4b4bde37db67ce1c4fcee2</x:v>
      </x:c>
    </x:row>
    <x:row r="585" ht="42" customHeight="1">
      <x:c r="A585" s="2" t="str">
        <x:f>IF('신청 원장'!B3421="","",'신청 원장'!B3421)</x:f>
        <x:v>인증 비공개 신청</x:v>
      </x:c>
      <x:c r="B585" s="7" t="str">
        <x:f>IF('신청 원장'!D3421="","",'신청 원장'!D3421)</x:f>
        <x:v>안전한 식수 공급을 위한 정수기 보급 사업 : CPA 42(한국 지원)</x:v>
      </x:c>
      <x:c r="C585" s="2" t="str">
        <x:f>IF('신청 원장'!F3421="","",'신청 원장'!F3421)</x:f>
        <x:v>2021-05-20</x:v>
      </x:c>
      <x:c r="D585" s="2" t="str">
        <x:f>IF('신청 원장'!J3421="","",'신청 원장'!J3421)</x:f>
        <x:v>선택</x:v>
      </x:c>
      <x:c r="E585" s="2" t="str">
        <x:f>IF('신청 원장'!L3421="","",'신청 원장'!L3421)</x:f>
      </x:c>
      <x:c r="F585" s="2" t="str">
        <x:f>IF('신청 원장'!M3421="","",'신청 원장'!M3421)</x:f>
      </x:c>
      <x:c r="G585" s="2" t="n">
        <x:f>IF('신청 원장'!N3421="","",'신청 원장'!N3421)</x:f>
        <x:v>1974</x:v>
      </x:c>
      <x:c r="H585" s="2" t="str">
        <x:f>IF('신청 원장'!AA3421="","",'신청 원장'!AA3421)</x:f>
        <x:v>대상 아님</x:v>
      </x:c>
      <x:c r="I585" s="2" t="str">
        <x:f>IF('신청 원장'!O3421="","",'신청 원장'!O3421)</x:f>
      </x:c>
      <x:c r="J585" s="2" t="str">
        <x:f>IF('신청 원장'!W3421="","",'신청 원장'!W3421)</x:f>
        <x:v>담당기관 확인 / 종결 여부 확인</x:v>
      </x:c>
      <x:c r="K585" s="2" t="str">
        <x:f>IF('신청 원장'!X3421="","",'신청 원장'!X3421)</x:f>
        <x:v>원본·배정 기록 확인</x:v>
      </x:c>
      <x:c r="L585" s="2" t="str">
        <x:f>IF('신청 원장'!R3421="","",'신청 원장'!R3421)</x:f>
        <x:v>(비공개)국외인증</x:v>
      </x:c>
      <x:c r="M585" s="2" t="n">
        <x:f>IF('신청 원장'!S3421="","",'신청 원장'!S3421)</x:f>
        <x:v>72</x:v>
      </x:c>
      <x:c r="N585" s="2" t="str">
        <x:f>IF('신청 원장'!K3421&lt;&gt;"미종결 표시","종결 상태 확인",IF('신청 원장'!N3421="","일자 확인 필요",IF('신청 원장'!N3421&gt;365,"366일 이상",IF('신청 원장'!N3421&gt;90,"91~365일",IF('신청 원장'!N3421&gt;30,"31~90일","0~30일")))))</x:f>
        <x:v>종결 상태 확인</x:v>
      </x:c>
      <x:c r="O585" s="2" t="str">
        <x:f>IF(OR('신청 원장'!L3421="",'신청 원장'!L3421="선택"),"담당 원문 확인","기재")</x:f>
        <x:v>담당 원문 확인</x:v>
      </x:c>
      <x:c r="P585" s="2" t="str">
        <x:f>IF('신청 원장'!A3421="","",'신청 원장'!A3421)</x:f>
        <x:v>b3273f18efd70e4305b147cd</x:v>
      </x:c>
    </x:row>
    <x:row r="586" ht="42" customHeight="1">
      <x:c r="A586" s="2" t="str">
        <x:f>IF('신청 원장'!B3422="","",'신청 원장'!B3422)</x:f>
        <x:v>인증 비공개 신청</x:v>
      </x:c>
      <x:c r="B586" s="7" t="str">
        <x:f>IF('신청 원장'!D3422="","",'신청 원장'!D3422)</x:f>
        <x:v>안전한 식수 공급을 위한 정수기 보급 사업 : CPA 41(한국 지원)</x:v>
      </x:c>
      <x:c r="C586" s="2" t="str">
        <x:f>IF('신청 원장'!F3422="","",'신청 원장'!F3422)</x:f>
        <x:v>2021-05-20</x:v>
      </x:c>
      <x:c r="D586" s="2" t="str">
        <x:f>IF('신청 원장'!J3422="","",'신청 원장'!J3422)</x:f>
        <x:v>선택</x:v>
      </x:c>
      <x:c r="E586" s="2" t="str">
        <x:f>IF('신청 원장'!L3422="","",'신청 원장'!L3422)</x:f>
      </x:c>
      <x:c r="F586" s="2" t="str">
        <x:f>IF('신청 원장'!M3422="","",'신청 원장'!M3422)</x:f>
      </x:c>
      <x:c r="G586" s="2" t="n">
        <x:f>IF('신청 원장'!N3422="","",'신청 원장'!N3422)</x:f>
        <x:v>1974</x:v>
      </x:c>
      <x:c r="H586" s="2" t="str">
        <x:f>IF('신청 원장'!AA3422="","",'신청 원장'!AA3422)</x:f>
        <x:v>대상 아님</x:v>
      </x:c>
      <x:c r="I586" s="2" t="str">
        <x:f>IF('신청 원장'!O3422="","",'신청 원장'!O3422)</x:f>
      </x:c>
      <x:c r="J586" s="2" t="str">
        <x:f>IF('신청 원장'!W3422="","",'신청 원장'!W3422)</x:f>
        <x:v>담당기관 확인 / 종결 여부 확인</x:v>
      </x:c>
      <x:c r="K586" s="2" t="str">
        <x:f>IF('신청 원장'!X3422="","",'신청 원장'!X3422)</x:f>
        <x:v>원본·배정 기록 확인</x:v>
      </x:c>
      <x:c r="L586" s="2" t="str">
        <x:f>IF('신청 원장'!R3422="","",'신청 원장'!R3422)</x:f>
        <x:v>(비공개)국외인증</x:v>
      </x:c>
      <x:c r="M586" s="2" t="n">
        <x:f>IF('신청 원장'!S3422="","",'신청 원장'!S3422)</x:f>
        <x:v>73</x:v>
      </x:c>
      <x:c r="N586" s="2" t="str">
        <x:f>IF('신청 원장'!K3422&lt;&gt;"미종결 표시","종결 상태 확인",IF('신청 원장'!N3422="","일자 확인 필요",IF('신청 원장'!N3422&gt;365,"366일 이상",IF('신청 원장'!N3422&gt;90,"91~365일",IF('신청 원장'!N3422&gt;30,"31~90일","0~30일")))))</x:f>
        <x:v>종결 상태 확인</x:v>
      </x:c>
      <x:c r="O586" s="2" t="str">
        <x:f>IF(OR('신청 원장'!L3422="",'신청 원장'!L3422="선택"),"담당 원문 확인","기재")</x:f>
        <x:v>담당 원문 확인</x:v>
      </x:c>
      <x:c r="P586" s="2" t="str">
        <x:f>IF('신청 원장'!A3422="","",'신청 원장'!A3422)</x:f>
        <x:v>40c96cdbb490a5f442d4adc6</x:v>
      </x:c>
    </x:row>
    <x:row r="587" ht="42" customHeight="1">
      <x:c r="A587" s="2" t="str">
        <x:f>IF('신청 원장'!B3423="","",'신청 원장'!B3423)</x:f>
        <x:v>인증 비공개 신청</x:v>
      </x:c>
      <x:c r="B587" s="7" t="str">
        <x:f>IF('신청 원장'!D3423="","",'신청 원장'!D3423)</x:f>
        <x:v>안전한 식수 공급을 위한 정수기 보급 사업 : CPA 40(한국 지원)</x:v>
      </x:c>
      <x:c r="C587" s="2" t="str">
        <x:f>IF('신청 원장'!F3423="","",'신청 원장'!F3423)</x:f>
        <x:v>2021-05-20</x:v>
      </x:c>
      <x:c r="D587" s="2" t="str">
        <x:f>IF('신청 원장'!J3423="","",'신청 원장'!J3423)</x:f>
        <x:v>선택</x:v>
      </x:c>
      <x:c r="E587" s="2" t="str">
        <x:f>IF('신청 원장'!L3423="","",'신청 원장'!L3423)</x:f>
      </x:c>
      <x:c r="F587" s="2" t="str">
        <x:f>IF('신청 원장'!M3423="","",'신청 원장'!M3423)</x:f>
      </x:c>
      <x:c r="G587" s="2" t="n">
        <x:f>IF('신청 원장'!N3423="","",'신청 원장'!N3423)</x:f>
        <x:v>1974</x:v>
      </x:c>
      <x:c r="H587" s="2" t="str">
        <x:f>IF('신청 원장'!AA3423="","",'신청 원장'!AA3423)</x:f>
        <x:v>대상 아님</x:v>
      </x:c>
      <x:c r="I587" s="2" t="str">
        <x:f>IF('신청 원장'!O3423="","",'신청 원장'!O3423)</x:f>
      </x:c>
      <x:c r="J587" s="2" t="str">
        <x:f>IF('신청 원장'!W3423="","",'신청 원장'!W3423)</x:f>
        <x:v>담당기관 확인 / 종결 여부 확인</x:v>
      </x:c>
      <x:c r="K587" s="2" t="str">
        <x:f>IF('신청 원장'!X3423="","",'신청 원장'!X3423)</x:f>
        <x:v>원본·배정 기록 확인</x:v>
      </x:c>
      <x:c r="L587" s="2" t="str">
        <x:f>IF('신청 원장'!R3423="","",'신청 원장'!R3423)</x:f>
        <x:v>(비공개)국외인증</x:v>
      </x:c>
      <x:c r="M587" s="2" t="n">
        <x:f>IF('신청 원장'!S3423="","",'신청 원장'!S3423)</x:f>
        <x:v>74</x:v>
      </x:c>
      <x:c r="N587" s="2" t="str">
        <x:f>IF('신청 원장'!K3423&lt;&gt;"미종결 표시","종결 상태 확인",IF('신청 원장'!N3423="","일자 확인 필요",IF('신청 원장'!N3423&gt;365,"366일 이상",IF('신청 원장'!N3423&gt;90,"91~365일",IF('신청 원장'!N3423&gt;30,"31~90일","0~30일")))))</x:f>
        <x:v>종결 상태 확인</x:v>
      </x:c>
      <x:c r="O587" s="2" t="str">
        <x:f>IF(OR('신청 원장'!L3423="",'신청 원장'!L3423="선택"),"담당 원문 확인","기재")</x:f>
        <x:v>담당 원문 확인</x:v>
      </x:c>
      <x:c r="P587" s="2" t="str">
        <x:f>IF('신청 원장'!A3423="","",'신청 원장'!A3423)</x:f>
        <x:v>b0bb75aeee68765d71e92973</x:v>
      </x:c>
    </x:row>
    <x:row r="588" ht="42" customHeight="1">
      <x:c r="A588" s="2" t="str">
        <x:f>IF('신청 원장'!B3424="","",'신청 원장'!B3424)</x:f>
        <x:v>인증 비공개 신청</x:v>
      </x:c>
      <x:c r="B588" s="7" t="str">
        <x:f>IF('신청 원장'!D3424="","",'신청 원장'!D3424)</x:f>
        <x:v>안전한 식수 공급을 위한 정수기 보급 사업 : CPA 39(한국 지원)</x:v>
      </x:c>
      <x:c r="C588" s="2" t="str">
        <x:f>IF('신청 원장'!F3424="","",'신청 원장'!F3424)</x:f>
        <x:v>2021-05-20</x:v>
      </x:c>
      <x:c r="D588" s="2" t="str">
        <x:f>IF('신청 원장'!J3424="","",'신청 원장'!J3424)</x:f>
        <x:v>선택</x:v>
      </x:c>
      <x:c r="E588" s="2" t="str">
        <x:f>IF('신청 원장'!L3424="","",'신청 원장'!L3424)</x:f>
      </x:c>
      <x:c r="F588" s="2" t="str">
        <x:f>IF('신청 원장'!M3424="","",'신청 원장'!M3424)</x:f>
      </x:c>
      <x:c r="G588" s="2" t="n">
        <x:f>IF('신청 원장'!N3424="","",'신청 원장'!N3424)</x:f>
        <x:v>1974</x:v>
      </x:c>
      <x:c r="H588" s="2" t="str">
        <x:f>IF('신청 원장'!AA3424="","",'신청 원장'!AA3424)</x:f>
        <x:v>대상 아님</x:v>
      </x:c>
      <x:c r="I588" s="2" t="str">
        <x:f>IF('신청 원장'!O3424="","",'신청 원장'!O3424)</x:f>
      </x:c>
      <x:c r="J588" s="2" t="str">
        <x:f>IF('신청 원장'!W3424="","",'신청 원장'!W3424)</x:f>
        <x:v>담당기관 확인 / 종결 여부 확인</x:v>
      </x:c>
      <x:c r="K588" s="2" t="str">
        <x:f>IF('신청 원장'!X3424="","",'신청 원장'!X3424)</x:f>
        <x:v>원본·배정 기록 확인</x:v>
      </x:c>
      <x:c r="L588" s="2" t="str">
        <x:f>IF('신청 원장'!R3424="","",'신청 원장'!R3424)</x:f>
        <x:v>(비공개)국외인증</x:v>
      </x:c>
      <x:c r="M588" s="2" t="n">
        <x:f>IF('신청 원장'!S3424="","",'신청 원장'!S3424)</x:f>
        <x:v>75</x:v>
      </x:c>
      <x:c r="N588" s="2" t="str">
        <x:f>IF('신청 원장'!K3424&lt;&gt;"미종결 표시","종결 상태 확인",IF('신청 원장'!N3424="","일자 확인 필요",IF('신청 원장'!N3424&gt;365,"366일 이상",IF('신청 원장'!N3424&gt;90,"91~365일",IF('신청 원장'!N3424&gt;30,"31~90일","0~30일")))))</x:f>
        <x:v>종결 상태 확인</x:v>
      </x:c>
      <x:c r="O588" s="2" t="str">
        <x:f>IF(OR('신청 원장'!L3424="",'신청 원장'!L3424="선택"),"담당 원문 확인","기재")</x:f>
        <x:v>담당 원문 확인</x:v>
      </x:c>
      <x:c r="P588" s="2" t="str">
        <x:f>IF('신청 원장'!A3424="","",'신청 원장'!A3424)</x:f>
        <x:v>a89180a85751bbd998e7f440</x:v>
      </x:c>
    </x:row>
    <x:row r="589" ht="42" customHeight="1">
      <x:c r="A589" s="2" t="str">
        <x:f>IF('신청 원장'!B3425="","",'신청 원장'!B3425)</x:f>
        <x:v>인증 비공개 신청</x:v>
      </x:c>
      <x:c r="B589" s="7" t="str">
        <x:f>IF('신청 원장'!D3425="","",'신청 원장'!D3425)</x:f>
        <x:v>안전한 식수 공급을 위한 정수기 보급 사업 : CPA 38(한국 지원)</x:v>
      </x:c>
      <x:c r="C589" s="2" t="str">
        <x:f>IF('신청 원장'!F3425="","",'신청 원장'!F3425)</x:f>
        <x:v>2021-05-20</x:v>
      </x:c>
      <x:c r="D589" s="2" t="str">
        <x:f>IF('신청 원장'!J3425="","",'신청 원장'!J3425)</x:f>
        <x:v>선택</x:v>
      </x:c>
      <x:c r="E589" s="2" t="str">
        <x:f>IF('신청 원장'!L3425="","",'신청 원장'!L3425)</x:f>
      </x:c>
      <x:c r="F589" s="2" t="str">
        <x:f>IF('신청 원장'!M3425="","",'신청 원장'!M3425)</x:f>
      </x:c>
      <x:c r="G589" s="2" t="n">
        <x:f>IF('신청 원장'!N3425="","",'신청 원장'!N3425)</x:f>
        <x:v>1974</x:v>
      </x:c>
      <x:c r="H589" s="2" t="str">
        <x:f>IF('신청 원장'!AA3425="","",'신청 원장'!AA3425)</x:f>
        <x:v>대상 아님</x:v>
      </x:c>
      <x:c r="I589" s="2" t="str">
        <x:f>IF('신청 원장'!O3425="","",'신청 원장'!O3425)</x:f>
      </x:c>
      <x:c r="J589" s="2" t="str">
        <x:f>IF('신청 원장'!W3425="","",'신청 원장'!W3425)</x:f>
        <x:v>담당기관 확인 / 종결 여부 확인</x:v>
      </x:c>
      <x:c r="K589" s="2" t="str">
        <x:f>IF('신청 원장'!X3425="","",'신청 원장'!X3425)</x:f>
        <x:v>원본·배정 기록 확인</x:v>
      </x:c>
      <x:c r="L589" s="2" t="str">
        <x:f>IF('신청 원장'!R3425="","",'신청 원장'!R3425)</x:f>
        <x:v>(비공개)국외인증</x:v>
      </x:c>
      <x:c r="M589" s="2" t="n">
        <x:f>IF('신청 원장'!S3425="","",'신청 원장'!S3425)</x:f>
        <x:v>76</x:v>
      </x:c>
      <x:c r="N589" s="2" t="str">
        <x:f>IF('신청 원장'!K3425&lt;&gt;"미종결 표시","종결 상태 확인",IF('신청 원장'!N3425="","일자 확인 필요",IF('신청 원장'!N3425&gt;365,"366일 이상",IF('신청 원장'!N3425&gt;90,"91~365일",IF('신청 원장'!N3425&gt;30,"31~90일","0~30일")))))</x:f>
        <x:v>종결 상태 확인</x:v>
      </x:c>
      <x:c r="O589" s="2" t="str">
        <x:f>IF(OR('신청 원장'!L3425="",'신청 원장'!L3425="선택"),"담당 원문 확인","기재")</x:f>
        <x:v>담당 원문 확인</x:v>
      </x:c>
      <x:c r="P589" s="2" t="str">
        <x:f>IF('신청 원장'!A3425="","",'신청 원장'!A3425)</x:f>
        <x:v>917ebca2e8a6b7844e74fc4d</x:v>
      </x:c>
    </x:row>
  </x:sheetData>
  <x:pageMargins left="0.7" right="0.7" top="0.75" bottom="0.75" header="0.3" footer="0.3"/>
  <x:tableParts count="1">
    <x:tablePart xmlns:r="http://schemas.openxmlformats.org/officeDocument/2006/relationships" r:id="Rbf3bea9a11f24c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비교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 31일 → 9월 21일 · 같은 업무·산업 범위의 유일한 복합키만 비교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 t="str">
        <x:v>추가·미등장은 매칭 후보이며 실제 신규·삭제가 아닙니다. 발전과 기후는 자동으로 같은 범위로 보지 않습니다.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업무 종류</x:v>
      </x:c>
      <x:c r="B6" s="6" t="str">
        <x:v>범위</x:v>
      </x:c>
      <x:c r="C6" s="6" t="str">
        <x:v>7월 원장행</x:v>
      </x:c>
      <x:c r="D6" s="6" t="str">
        <x:v>9월 원장행</x:v>
      </x:c>
      <x:c r="E6" s="6" t="str">
        <x:v>연결</x:v>
      </x:c>
      <x:c r="F6" s="6" t="str">
        <x:v>값 변경</x:v>
      </x:c>
      <x:c r="G6" s="6" t="str">
        <x:v>9월 추가 후보</x:v>
      </x:c>
      <x:c r="H6" s="6" t="str">
        <x:v>9월 미등장</x:v>
      </x:c>
      <x:c r="I6" s="6" t="str">
        <x:v>비교 상태</x:v>
      </x:c>
      <x:c r="J6" s="2"/>
      <x:c r="K6" s="2"/>
      <x:c r="L6" s="2"/>
    </x:row>
    <x:row r="7" ht="25" customHeight="1">
      <x:c r="A7" s="2" t="str">
        <x:v>domestic_credit</x:v>
      </x:c>
      <x:c r="B7" s="2" t="str">
        <x:v>산업</x:v>
      </x:c>
      <x:c r="C7" s="2" t="n">
        <x:v>551</x:v>
      </x:c>
      <x:c r="D7" s="2" t="n">
        <x:v>551</x:v>
      </x:c>
      <x:c r="E7" s="2" t="n">
        <x:v>545</x:v>
      </x:c>
      <x:c r="F7" s="2" t="n">
        <x:v>50</x:v>
      </x:c>
      <x:c r="G7" s="2" t="n">
        <x:v>6</x:v>
      </x:c>
      <x:c r="H7" s="2" t="n">
        <x:v>6</x:v>
      </x:c>
      <x:c r="I7" s="2" t="str">
        <x:v>동일 업무·산업 범위 비교</x:v>
      </x:c>
      <x:c r="J7" s="2"/>
      <x:c r="K7" s="2"/>
      <x:c r="L7" s="2"/>
    </x:row>
    <x:row r="8" ht="25" customHeight="1">
      <x:c r="A8" s="2" t="str">
        <x:v>domestic_credit</x:v>
      </x:c>
      <x:c r="B8" s="2" t="str">
        <x:v>기후</x:v>
      </x:c>
      <x:c r="C8" s="2"/>
      <x:c r="D8" s="2" t="n">
        <x:v>280</x:v>
      </x:c>
      <x:c r="E8" s="2"/>
      <x:c r="F8" s="2"/>
      <x:c r="G8" s="2"/>
      <x:c r="H8" s="2"/>
      <x:c r="I8" s="2" t="str">
        <x:v>비교 범위 미확보</x:v>
      </x:c>
      <x:c r="J8" s="2"/>
      <x:c r="K8" s="2"/>
      <x:c r="L8" s="2"/>
    </x:row>
    <x:row r="9" ht="25" customHeight="1">
      <x:c r="A9" s="2" t="str">
        <x:v>domestic_project</x:v>
      </x:c>
      <x:c r="B9" s="2" t="str">
        <x:v>기후</x:v>
      </x:c>
      <x:c r="C9" s="2"/>
      <x:c r="D9" s="2" t="n">
        <x:v>317</x:v>
      </x:c>
      <x:c r="E9" s="2"/>
      <x:c r="F9" s="2"/>
      <x:c r="G9" s="2"/>
      <x:c r="H9" s="2"/>
      <x:c r="I9" s="2" t="str">
        <x:v>비교 범위 미확보</x:v>
      </x:c>
      <x:c r="J9" s="2"/>
      <x:c r="K9" s="2"/>
      <x:c r="L9" s="2"/>
    </x:row>
    <x:row r="10" ht="25" customHeight="1">
      <x:c r="A10" s="2" t="str">
        <x:v>domestic_project</x:v>
      </x:c>
      <x:c r="B10" s="2" t="str">
        <x:v>산업</x:v>
      </x:c>
      <x:c r="C10" s="2" t="n">
        <x:v>1041</x:v>
      </x:c>
      <x:c r="D10" s="2" t="n">
        <x:v>1046</x:v>
      </x:c>
      <x:c r="E10" s="2" t="n">
        <x:v>861</x:v>
      </x:c>
      <x:c r="F10" s="2" t="n">
        <x:v>21</x:v>
      </x:c>
      <x:c r="G10" s="2" t="n">
        <x:v>185</x:v>
      </x:c>
      <x:c r="H10" s="2" t="n">
        <x:v>180</x:v>
      </x:c>
      <x:c r="I10" s="2" t="str">
        <x:v>동일 업무·산업 범위 비교</x:v>
      </x:c>
      <x:c r="J10" s="2"/>
      <x:c r="K10" s="2"/>
      <x:c r="L10" s="2"/>
    </x:row>
    <x:row r="11" ht="25" customHeight="1">
      <x:c r="A11" s="2" t="str">
        <x:v>disclosure_project_domestic</x:v>
      </x:c>
      <x:c r="B11" s="2" t="str">
        <x:v>기후</x:v>
      </x:c>
      <x:c r="C11" s="2"/>
      <x:c r="D11" s="2" t="n">
        <x:v>37</x:v>
      </x:c>
      <x:c r="E11" s="2"/>
      <x:c r="F11" s="2"/>
      <x:c r="G11" s="2"/>
      <x:c r="H11" s="2"/>
      <x:c r="I11" s="2" t="str">
        <x:v>비교 범위 미확보</x:v>
      </x:c>
      <x:c r="J11" s="2"/>
      <x:c r="K11" s="2"/>
      <x:c r="L11" s="2"/>
    </x:row>
    <x:row r="12" ht="25" customHeight="1">
      <x:c r="A12" s="2" t="str">
        <x:v>disclosure_project_domestic</x:v>
      </x:c>
      <x:c r="B12" s="2" t="str">
        <x:v>산업</x:v>
      </x:c>
      <x:c r="C12" s="2" t="n">
        <x:v>86</x:v>
      </x:c>
      <x:c r="D12" s="2" t="n">
        <x:v>86</x:v>
      </x:c>
      <x:c r="E12" s="2" t="n">
        <x:v>86</x:v>
      </x:c>
      <x:c r="F12" s="2" t="n">
        <x:v>0</x:v>
      </x:c>
      <x:c r="G12" s="2" t="n">
        <x:v>0</x:v>
      </x:c>
      <x:c r="H12" s="2" t="n">
        <x:v>0</x:v>
      </x:c>
      <x:c r="I12" s="2" t="str">
        <x:v>동일 업무·산업 범위 비교</x:v>
      </x:c>
      <x:c r="J12" s="2"/>
      <x:c r="K12" s="2"/>
      <x:c r="L12" s="2"/>
    </x:row>
    <x:row r="13" ht="25" customHeight="1">
      <x:c r="A13" s="2" t="str">
        <x:v>disclosure_credit_domestic</x:v>
      </x:c>
      <x:c r="B13" s="2" t="str">
        <x:v>기후</x:v>
      </x:c>
      <x:c r="C13" s="2"/>
      <x:c r="D13" s="2" t="n">
        <x:v>22</x:v>
      </x:c>
      <x:c r="E13" s="2"/>
      <x:c r="F13" s="2"/>
      <x:c r="G13" s="2"/>
      <x:c r="H13" s="2"/>
      <x:c r="I13" s="2" t="str">
        <x:v>비교 범위 미확보</x:v>
      </x:c>
      <x:c r="J13" s="2"/>
      <x:c r="K13" s="2"/>
      <x:c r="L13" s="2"/>
    </x:row>
    <x:row r="14" ht="25" customHeight="1">
      <x:c r="A14" s="2" t="str">
        <x:v>disclosure_credit_domestic</x:v>
      </x:c>
      <x:c r="B14" s="2" t="str">
        <x:v>산업</x:v>
      </x:c>
      <x:c r="C14" s="2" t="n">
        <x:v>123</x:v>
      </x:c>
      <x:c r="D14" s="2" t="n">
        <x:v>123</x:v>
      </x:c>
      <x:c r="E14" s="2" t="n">
        <x:v>123</x:v>
      </x:c>
      <x:c r="F14" s="2" t="n">
        <x:v>0</x:v>
      </x:c>
      <x:c r="G14" s="2" t="n">
        <x:v>0</x:v>
      </x:c>
      <x:c r="H14" s="2" t="n">
        <x:v>0</x:v>
      </x:c>
      <x:c r="I14" s="2" t="str">
        <x:v>동일 업무·산업 범위 비교</x:v>
      </x:c>
      <x:c r="J14" s="2"/>
      <x:c r="K14" s="2"/>
      <x:c r="L14" s="2"/>
    </x:row>
    <x:row r="15" ht="25" customHeight="1">
      <x:c r="A15" s="2" t="str">
        <x:v>disclosure_credit_domestic</x:v>
      </x:c>
      <x:c r="B15" s="2" t="str">
        <x:v>발전</x:v>
      </x:c>
      <x:c r="C15" s="2" t="n">
        <x:v>19</x:v>
      </x:c>
      <x:c r="D15" s="2"/>
      <x:c r="E15" s="2"/>
      <x:c r="F15" s="2"/>
      <x:c r="G15" s="2"/>
      <x:c r="H15" s="2"/>
      <x:c r="I15" s="2" t="str">
        <x:v>비교 범위 미확보</x:v>
      </x:c>
      <x:c r="J15" s="2"/>
      <x:c r="K15" s="2"/>
      <x:c r="L15" s="2"/>
    </x:row>
    <x:row r="16" ht="25" customHeight="1">
      <x:c r="A16" s="2" t="str">
        <x:v>domestic_credit</x:v>
      </x:c>
      <x:c r="B16" s="2" t="str">
        <x:v>발전</x:v>
      </x:c>
      <x:c r="C16" s="2" t="n">
        <x:v>274</x:v>
      </x:c>
      <x:c r="D16" s="2"/>
      <x:c r="E16" s="2"/>
      <x:c r="F16" s="2"/>
      <x:c r="G16" s="2"/>
      <x:c r="H16" s="2"/>
      <x:c r="I16" s="2" t="str">
        <x:v>비교 범위 미확보</x:v>
      </x:c>
      <x:c r="J16" s="2"/>
      <x:c r="K16" s="2"/>
      <x:c r="L16" s="2"/>
    </x:row>
    <x:row r="17" ht="25" customHeight="1">
      <x:c r="A17" s="2" t="str">
        <x:v>domestic_project</x:v>
      </x:c>
      <x:c r="B17" s="2" t="str">
        <x:v>발전</x:v>
      </x:c>
      <x:c r="C17" s="2" t="n">
        <x:v>316</x:v>
      </x:c>
      <x:c r="D17" s="2"/>
      <x:c r="E17" s="2"/>
      <x:c r="F17" s="2"/>
      <x:c r="G17" s="2"/>
      <x:c r="H17" s="2"/>
      <x:c r="I17" s="2" t="str">
        <x:v>비교 범위 미확보</x:v>
      </x:c>
      <x:c r="J17" s="2"/>
      <x:c r="K17" s="2"/>
      <x:c r="L17" s="2"/>
    </x:row>
    <x:row r="18" ht="25" customHeight="1">
      <x:c r="A18" s="2" t="str">
        <x:v>foreign_disclosure_project</x:v>
      </x:c>
      <x:c r="B18" s="2" t="str">
        <x:v>산업</x:v>
      </x:c>
      <x:c r="C18" s="2" t="n">
        <x:v>24</x:v>
      </x:c>
      <x:c r="D18" s="2"/>
      <x:c r="E18" s="2"/>
      <x:c r="F18" s="2"/>
      <x:c r="G18" s="2"/>
      <x:c r="H18" s="2"/>
      <x:c r="I18" s="2" t="str">
        <x:v>비교 범위 미확보</x:v>
      </x:c>
      <x:c r="J18" s="2"/>
      <x:c r="K18" s="2"/>
      <x:c r="L18" s="2"/>
    </x:row>
    <x:row r="19" ht="25" customHeight="1">
      <x:c r="A19" s="2" t="str">
        <x:v>foreign_disclosure_credit</x:v>
      </x:c>
      <x:c r="B19" s="2" t="str">
        <x:v>산업</x:v>
      </x:c>
      <x:c r="C19" s="2" t="n">
        <x:v>75</x:v>
      </x:c>
      <x:c r="D19" s="2"/>
      <x:c r="E19" s="2"/>
      <x:c r="F19" s="2"/>
      <x:c r="G19" s="2"/>
      <x:c r="H19" s="2"/>
      <x:c r="I19" s="2" t="str">
        <x:v>비교 범위 미확보</x:v>
      </x:c>
      <x:c r="J19" s="2"/>
      <x:c r="K19" s="2"/>
      <x:c r="L19" s="2"/>
    </x:row>
    <x:row r="20" ht="25" customHeight="1">
      <x:c r="A20" s="2" t="str">
        <x:v>foreign_credit</x:v>
      </x:c>
      <x:c r="B20" s="2" t="str">
        <x:v>산업</x:v>
      </x:c>
      <x:c r="C20" s="2" t="n">
        <x:v>679</x:v>
      </x:c>
      <x:c r="D20" s="2"/>
      <x:c r="E20" s="2"/>
      <x:c r="F20" s="2"/>
      <x:c r="G20" s="2"/>
      <x:c r="H20" s="2"/>
      <x:c r="I20" s="2" t="str">
        <x:v>비교 범위 미확보</x:v>
      </x:c>
      <x:c r="J20" s="2"/>
      <x:c r="K20" s="2"/>
      <x:c r="L20" s="2"/>
    </x:row>
    <x:row r="21" ht="25" customHeight="1">
      <x:c r="A21" s="2" t="str">
        <x:v>foreign_project</x:v>
      </x:c>
      <x:c r="B21" s="2" t="str">
        <x:v>산업</x:v>
      </x:c>
      <x:c r="C21" s="2" t="n">
        <x:v>311</x:v>
      </x:c>
      <x:c r="D21" s="2"/>
      <x:c r="E21" s="2"/>
      <x:c r="F21" s="2"/>
      <x:c r="G21" s="2"/>
      <x:c r="H21" s="2"/>
      <x:c r="I21" s="2" t="str">
        <x:v>비교 범위 미확보</x:v>
      </x:c>
      <x:c r="J21" s="2"/>
      <x:c r="K21" s="2"/>
      <x:c r="L21" s="2"/>
    </x:row>
    <x:row r="22" ht="25" customHeight="1">
      <x:c r="A22" s="2" t="str">
        <x:v>disclosure_project_domestic</x:v>
      </x:c>
      <x:c r="B22" s="2" t="str">
        <x:v>발전</x:v>
      </x:c>
      <x:c r="C22" s="2" t="n">
        <x:v>37</x:v>
      </x:c>
      <x:c r="D22" s="2"/>
      <x:c r="E22" s="2"/>
      <x:c r="F22" s="2"/>
      <x:c r="G22" s="2"/>
      <x:c r="H22" s="2"/>
      <x:c r="I22" s="2" t="str">
        <x:v>비교 범위 미확보</x:v>
      </x:c>
      <x:c r="J22" s="2"/>
      <x:c r="K22" s="2"/>
      <x:c r="L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5" customHeight="1">
      <x:c r="A26" s="2" t="str">
        <x:v>변경 전·후 값과 원본 위치는 ORS 변경상세 시트에서 조회합니다.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70" hidden="0" customWidth="1"/>
    <x:col min="6" max="6" width="17" hidden="0" customWidth="1"/>
    <x:col min="7" max="7" width="45" hidden="0" customWidth="1"/>
    <x:col min="8" max="8" width="45" hidden="0" customWidth="1"/>
    <x:col min="9" max="9" width="45" hidden="0" customWidth="1"/>
    <x:col min="10" max="10" width="17" hidden="0" customWidth="1"/>
    <x:col min="11" max="11" width="45" hidden="0" customWidth="1"/>
    <x:col min="12" max="12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ORS 변경상세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2" t="str">
        <x:v>7월→9월 복합키 연결 결과의 변경 전·후 및 추가·미등장 후보. 실제 신규·삭제로 확정하지 않습니다.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0" customHeight="1">
      <x:c r="A6" s="6" t="str">
        <x:v>비교 ID</x:v>
      </x:c>
      <x:c r="B6" s="6" t="str">
        <x:v>업무 코드</x:v>
      </x:c>
      <x:c r="C6" s="6" t="str">
        <x:v>범위</x:v>
      </x:c>
      <x:c r="D6" s="6" t="str">
        <x:v>비교 상태</x:v>
      </x:c>
      <x:c r="E6" s="6" t="str">
        <x:v>복합키 원문</x:v>
      </x:c>
      <x:c r="F6" s="6" t="str">
        <x:v>비교 항목</x:v>
      </x:c>
      <x:c r="G6" s="6" t="str">
        <x:v>7월 원문</x:v>
      </x:c>
      <x:c r="H6" s="6" t="str">
        <x:v>9월 원문</x:v>
      </x:c>
      <x:c r="I6" s="6" t="str">
        <x:v>7월 파일</x:v>
      </x:c>
      <x:c r="J6" s="6" t="str">
        <x:v>7월 행</x:v>
      </x:c>
      <x:c r="K6" s="6" t="str">
        <x:v>9월 파일</x:v>
      </x:c>
      <x:c r="L6" s="6" t="str">
        <x:v>9월 행</x:v>
      </x:c>
    </x:row>
    <x:row r="7" ht="25" customHeight="1">
      <x:c r="A7" s="2" t="n">
        <x:v>1</x:v>
      </x:c>
      <x:c r="B7" s="2" t="str">
        <x:v>domestic_credit</x:v>
      </x:c>
      <x:c r="C7" s="2" t="str">
        <x:v>산업</x:v>
      </x:c>
      <x:c r="D7" s="2" t="str">
        <x:v>값 변경</x:v>
      </x:c>
      <x:c r="E7" s="2" t="str">
        <x:v>10 | 1428156603 | 한국의 LCD 제조 과정의 SF6 방출 감축을 위한 사용점 감축 설비 | 5차 | 2011-09-01~2012-01-31</x:v>
      </x:c>
      <x:c r="F7" s="2" t="str">
        <x:v>사업분야</x:v>
      </x:c>
      <x:c r="G7" s="2" t="str">
        <x:v>할로겐화탄소, 육불화항 생산및소비로부터의 탈루배출</x:v>
      </x:c>
      <x:c r="H7" s="2" t="str">
        <x:v>할로겐화탄소, 육불화황 생산및소비로부터의 탈루배출</x:v>
      </x:c>
      <x:c r="I7" s="2" t="str">
        <x:v>국내_감축량_인증신청_20260731160830_산업부문.xls</x:v>
      </x:c>
      <x:c r="J7" s="2" t="n">
        <x:v>543</x:v>
      </x:c>
      <x:c r="K7" s="2" t="str">
        <x:v>국내_감축량_인증신청_20260921092518_산업부.xls</x:v>
      </x:c>
      <x:c r="L7" s="2" t="n">
        <x:v>543</x:v>
      </x:c>
    </x:row>
    <x:row r="8" ht="25" customHeight="1">
      <x:c r="A8" s="2" t="n">
        <x:v>2</x:v>
      </x:c>
      <x:c r="B8" s="2" t="str">
        <x:v>domestic_credit</x:v>
      </x:c>
      <x:c r="C8" s="2" t="str">
        <x:v>산업</x:v>
      </x:c>
      <x:c r="D8" s="2" t="str">
        <x:v>값 변경</x:v>
      </x:c>
      <x:c r="E8" s="2" t="str">
        <x:v>103 | 3148173570 | 삼성전자 SF6 저감 사업 | 2차 | 2013-11-01~2015-02-28</x:v>
      </x:c>
      <x:c r="F8" s="2" t="str">
        <x:v>사업분야</x:v>
      </x:c>
      <x:c r="G8" s="2" t="str">
        <x:v>할로겐화탄소, 육불화항 생산및소비로부터의 탈루배출</x:v>
      </x:c>
      <x:c r="H8" s="2" t="str">
        <x:v>할로겐화탄소, 육불화황 생산및소비로부터의 탈루배출</x:v>
      </x:c>
      <x:c r="I8" s="2" t="str">
        <x:v>국내_감축량_인증신청_20260731160830_산업부문.xls</x:v>
      </x:c>
      <x:c r="J8" s="2" t="n">
        <x:v>450</x:v>
      </x:c>
      <x:c r="K8" s="2" t="str">
        <x:v>국내_감축량_인증신청_20260921092518_산업부.xls</x:v>
      </x:c>
      <x:c r="L8" s="2" t="n">
        <x:v>450</x:v>
      </x:c>
    </x:row>
    <x:row r="9" ht="25" customHeight="1">
      <x:c r="A9" s="2" t="n">
        <x:v>3</x:v>
      </x:c>
      <x:c r="B9" s="2" t="str">
        <x:v>domestic_credit</x:v>
      </x:c>
      <x:c r="C9" s="2" t="str">
        <x:v>산업</x:v>
      </x:c>
      <x:c r="D9" s="2" t="str">
        <x:v>값 변경</x:v>
      </x:c>
      <x:c r="E9" s="2" t="str">
        <x:v>11 | 1428156603 | 한국의 LCD 제조 과정의 SF6 방출 감축을 위한 사용점 감축 설비 | 4차 | 2011-05-01~2011-08-31</x:v>
      </x:c>
      <x:c r="F9" s="2" t="str">
        <x:v>사업분야</x:v>
      </x:c>
      <x:c r="G9" s="2" t="str">
        <x:v>할로겐화탄소, 육불화항 생산및소비로부터의 탈루배출</x:v>
      </x:c>
      <x:c r="H9" s="2" t="str">
        <x:v>할로겐화탄소, 육불화황 생산및소비로부터의 탈루배출</x:v>
      </x:c>
      <x:c r="I9" s="2" t="str">
        <x:v>국내_감축량_인증신청_20260731160830_산업부문.xls</x:v>
      </x:c>
      <x:c r="J9" s="2" t="n">
        <x:v>542</x:v>
      </x:c>
      <x:c r="K9" s="2" t="str">
        <x:v>국내_감축량_인증신청_20260921092518_산업부.xls</x:v>
      </x:c>
      <x:c r="L9" s="2" t="n">
        <x:v>542</x:v>
      </x:c>
    </x:row>
    <x:row r="10" ht="25" customHeight="1">
      <x:c r="A10" s="2" t="n">
        <x:v>4</x:v>
      </x:c>
      <x:c r="B10" s="2" t="str">
        <x:v>domestic_credit</x:v>
      </x:c>
      <x:c r="C10" s="2" t="str">
        <x:v>산업</x:v>
      </x:c>
      <x:c r="D10" s="2" t="str">
        <x:v>값 변경</x:v>
      </x:c>
      <x:c r="E10" s="2" t="str">
        <x:v>110 | 6108177834 | SF6 회수 및 재생사업 | 5차 | 2017-01-01~2017-12-31</x:v>
      </x:c>
      <x:c r="F10" s="2" t="str">
        <x:v>사업분야</x:v>
      </x:c>
      <x:c r="G10" s="2" t="str">
        <x:v>할로겐화탄소, 육불화항 생산및소비로부터의 탈루배출</x:v>
      </x:c>
      <x:c r="H10" s="2" t="str">
        <x:v>할로겐화탄소, 육불화황 생산및소비로부터의 탈루배출</x:v>
      </x:c>
      <x:c r="I10" s="2" t="str">
        <x:v>국내_감축량_인증신청_20260731160830_산업부문.xls</x:v>
      </x:c>
      <x:c r="J10" s="2" t="n">
        <x:v>443</x:v>
      </x:c>
      <x:c r="K10" s="2" t="str">
        <x:v>국내_감축량_인증신청_20260921092518_산업부.xls</x:v>
      </x:c>
      <x:c r="L10" s="2" t="n">
        <x:v>443</x:v>
      </x:c>
    </x:row>
    <x:row r="11" ht="25" customHeight="1">
      <x:c r="A11" s="2" t="n">
        <x:v>5</x:v>
      </x:c>
      <x:c r="B11" s="2" t="str">
        <x:v>domestic_credit</x:v>
      </x:c>
      <x:c r="C11" s="2" t="str">
        <x:v>산업</x:v>
      </x:c>
      <x:c r="D11" s="2" t="str">
        <x:v>값 변경</x:v>
      </x:c>
      <x:c r="E11" s="2" t="str">
        <x:v>116 | 3148173570 | SF6 회수 및 재생사업 | 5차 | 2017-01-01~2017-12-31</x:v>
      </x:c>
      <x:c r="F11" s="2" t="str">
        <x:v>사업분야</x:v>
      </x:c>
      <x:c r="G11" s="2" t="str">
        <x:v>할로겐화탄소, 육불화항 생산및소비로부터의 탈루배출</x:v>
      </x:c>
      <x:c r="H11" s="2" t="str">
        <x:v>할로겐화탄소, 육불화황 생산및소비로부터의 탈루배출</x:v>
      </x:c>
      <x:c r="I11" s="2" t="str">
        <x:v>국내_감축량_인증신청_20260731160830_산업부문.xls</x:v>
      </x:c>
      <x:c r="J11" s="2" t="n">
        <x:v>437</x:v>
      </x:c>
      <x:c r="K11" s="2" t="str">
        <x:v>국내_감축량_인증신청_20260921092518_산업부.xls</x:v>
      </x:c>
      <x:c r="L11" s="2" t="n">
        <x:v>437</x:v>
      </x:c>
    </x:row>
    <x:row r="12" ht="25" customHeight="1">
      <x:c r="A12" s="2" t="n">
        <x:v>6</x:v>
      </x:c>
      <x:c r="B12" s="2" t="str">
        <x:v>domestic_credit</x:v>
      </x:c>
      <x:c r="C12" s="2" t="str">
        <x:v>산업</x:v>
      </x:c>
      <x:c r="D12" s="2" t="str">
        <x:v>값 변경</x:v>
      </x:c>
      <x:c r="E12" s="2" t="str">
        <x:v>122 | 1428156603 | 삼성전자 SF6 저감 사업 | 2차 | 2013-11-01~2015-02-28</x:v>
      </x:c>
      <x:c r="F12" s="2" t="str">
        <x:v>사업분야</x:v>
      </x:c>
      <x:c r="G12" s="2" t="str">
        <x:v>할로겐화탄소, 육불화항 생산및소비로부터의 탈루배출</x:v>
      </x:c>
      <x:c r="H12" s="2" t="str">
        <x:v>할로겐화탄소, 육불화황 생산및소비로부터의 탈루배출</x:v>
      </x:c>
      <x:c r="I12" s="2" t="str">
        <x:v>국내_감축량_인증신청_20260731160830_산업부문.xls</x:v>
      </x:c>
      <x:c r="J12" s="2" t="n">
        <x:v>431</x:v>
      </x:c>
      <x:c r="K12" s="2" t="str">
        <x:v>국내_감축량_인증신청_20260921092518_산업부.xls</x:v>
      </x:c>
      <x:c r="L12" s="2" t="n">
        <x:v>431</x:v>
      </x:c>
    </x:row>
    <x:row r="13" ht="25" customHeight="1">
      <x:c r="A13" s="2" t="n">
        <x:v>7</x:v>
      </x:c>
      <x:c r="B13" s="2" t="str">
        <x:v>domestic_credit</x:v>
      </x:c>
      <x:c r="C13" s="2" t="str">
        <x:v>산업</x:v>
      </x:c>
      <x:c r="D13" s="2" t="str">
        <x:v>값 변경</x:v>
      </x:c>
      <x:c r="E13" s="2" t="str">
        <x:v>14 | 1168118686 | 한국의 LCD 제조 과정의 SF6 방출 감축을 위한 사용점 감축 설비 | 1차 | 2011-01-01~2011-04-30</x:v>
      </x:c>
      <x:c r="F13" s="2" t="str">
        <x:v>사업분야</x:v>
      </x:c>
      <x:c r="G13" s="2" t="str">
        <x:v>할로겐화탄소, 육불화항 생산및소비로부터의 탈루배출</x:v>
      </x:c>
      <x:c r="H13" s="2" t="str">
        <x:v>할로겐화탄소, 육불화황 생산및소비로부터의 탈루배출</x:v>
      </x:c>
      <x:c r="I13" s="2" t="str">
        <x:v>국내_감축량_인증신청_20260731160830_산업부문.xls</x:v>
      </x:c>
      <x:c r="J13" s="2" t="n">
        <x:v>539</x:v>
      </x:c>
      <x:c r="K13" s="2" t="str">
        <x:v>국내_감축량_인증신청_20260921092518_산업부.xls</x:v>
      </x:c>
      <x:c r="L13" s="2" t="n">
        <x:v>539</x:v>
      </x:c>
    </x:row>
    <x:row r="14" ht="25" customHeight="1">
      <x:c r="A14" s="2" t="n">
        <x:v>8</x:v>
      </x:c>
      <x:c r="B14" s="2" t="str">
        <x:v>domestic_credit</x:v>
      </x:c>
      <x:c r="C14" s="2" t="str">
        <x:v>산업</x:v>
      </x:c>
      <x:c r="D14" s="2" t="str">
        <x:v>값 변경</x:v>
      </x:c>
      <x:c r="E14" s="2" t="str">
        <x:v>15 | 1168118686 | 한국의 LCD 제조 과정의 SF6 방출 감축을 위한 사용점 감축 설비 | 2차 | 2011-05-01~2011-08-31</x:v>
      </x:c>
      <x:c r="F14" s="2" t="str">
        <x:v>사업분야</x:v>
      </x:c>
      <x:c r="G14" s="2" t="str">
        <x:v>할로겐화탄소, 육불화항 생산및소비로부터의 탈루배출</x:v>
      </x:c>
      <x:c r="H14" s="2" t="str">
        <x:v>할로겐화탄소, 육불화황 생산및소비로부터의 탈루배출</x:v>
      </x:c>
      <x:c r="I14" s="2" t="str">
        <x:v>국내_감축량_인증신청_20260731160830_산업부문.xls</x:v>
      </x:c>
      <x:c r="J14" s="2" t="n">
        <x:v>538</x:v>
      </x:c>
      <x:c r="K14" s="2" t="str">
        <x:v>국내_감축량_인증신청_20260921092518_산업부.xls</x:v>
      </x:c>
      <x:c r="L14" s="2" t="n">
        <x:v>538</x:v>
      </x:c>
    </x:row>
    <x:row r="15" ht="25" customHeight="1">
      <x:c r="A15" s="2" t="n">
        <x:v>9</x:v>
      </x:c>
      <x:c r="B15" s="2" t="str">
        <x:v>domestic_credit</x:v>
      </x:c>
      <x:c r="C15" s="2" t="str">
        <x:v>산업</x:v>
      </x:c>
      <x:c r="D15" s="2" t="str">
        <x:v>값 변경</x:v>
      </x:c>
      <x:c r="E15" s="2" t="str">
        <x:v>16 | 1168118686 | 한국의 LCD 제조 과정의 SF6 방출 감축을 위한 사용점 감축 설비 | 3차 | 2011-09-01~2012-01-31</x:v>
      </x:c>
      <x:c r="F15" s="2" t="str">
        <x:v>사업분야</x:v>
      </x:c>
      <x:c r="G15" s="2" t="str">
        <x:v>할로겐화탄소, 육불화항 생산및소비로부터의 탈루배출</x:v>
      </x:c>
      <x:c r="H15" s="2" t="str">
        <x:v>할로겐화탄소, 육불화황 생산및소비로부터의 탈루배출</x:v>
      </x:c>
      <x:c r="I15" s="2" t="str">
        <x:v>국내_감축량_인증신청_20260731160830_산업부문.xls</x:v>
      </x:c>
      <x:c r="J15" s="2" t="n">
        <x:v>537</x:v>
      </x:c>
      <x:c r="K15" s="2" t="str">
        <x:v>국내_감축량_인증신청_20260921092518_산업부.xls</x:v>
      </x:c>
      <x:c r="L15" s="2" t="n">
        <x:v>537</x:v>
      </x:c>
    </x:row>
    <x:row r="16" ht="25" customHeight="1">
      <x:c r="A16" s="2" t="n">
        <x:v>10</x:v>
      </x:c>
      <x:c r="B16" s="2" t="str">
        <x:v>domestic_credit</x:v>
      </x:c>
      <x:c r="C16" s="2" t="str">
        <x:v>산업</x:v>
      </x:c>
      <x:c r="D16" s="2" t="str">
        <x:v>값 변경</x:v>
      </x:c>
      <x:c r="E16" s="2" t="str">
        <x:v>17 | 1168118686 | 한국의 LCD 제조 과정의 SF6 방출 감축을 위한 사용점 감축 설비 | 4차 | 2012-02-01~2012-03-31</x:v>
      </x:c>
      <x:c r="F16" s="2" t="str">
        <x:v>사업분야</x:v>
      </x:c>
      <x:c r="G16" s="2" t="str">
        <x:v>할로겐화탄소, 육불화항 생산및소비로부터의 탈루배출</x:v>
      </x:c>
      <x:c r="H16" s="2" t="str">
        <x:v>할로겐화탄소, 육불화황 생산및소비로부터의 탈루배출</x:v>
      </x:c>
      <x:c r="I16" s="2" t="str">
        <x:v>국내_감축량_인증신청_20260731160830_산업부문.xls</x:v>
      </x:c>
      <x:c r="J16" s="2" t="n">
        <x:v>536</x:v>
      </x:c>
      <x:c r="K16" s="2" t="str">
        <x:v>국내_감축량_인증신청_20260921092518_산업부.xls</x:v>
      </x:c>
      <x:c r="L16" s="2" t="n">
        <x:v>536</x:v>
      </x:c>
    </x:row>
    <x:row r="17" ht="25" customHeight="1">
      <x:c r="A17" s="2" t="n">
        <x:v>11</x:v>
      </x:c>
      <x:c r="B17" s="2" t="str">
        <x:v>domestic_credit</x:v>
      </x:c>
      <x:c r="C17" s="2" t="str">
        <x:v>산업</x:v>
      </x:c>
      <x:c r="D17" s="2" t="str">
        <x:v>값 변경</x:v>
      </x:c>
      <x:c r="E17" s="2" t="str">
        <x:v>18 | 1168118686 | 한국의 LCD 제조 과정의 SF6 방출 감축을 위한 사용점 감축 설비 | 5차 | 2012-04-01~2012-08-31</x:v>
      </x:c>
      <x:c r="F17" s="2" t="str">
        <x:v>사업분야</x:v>
      </x:c>
      <x:c r="G17" s="2" t="str">
        <x:v>할로겐화탄소, 육불화항 생산및소비로부터의 탈루배출</x:v>
      </x:c>
      <x:c r="H17" s="2" t="str">
        <x:v>할로겐화탄소, 육불화황 생산및소비로부터의 탈루배출</x:v>
      </x:c>
      <x:c r="I17" s="2" t="str">
        <x:v>국내_감축량_인증신청_20260731160830_산업부문.xls</x:v>
      </x:c>
      <x:c r="J17" s="2" t="n">
        <x:v>535</x:v>
      </x:c>
      <x:c r="K17" s="2" t="str">
        <x:v>국내_감축량_인증신청_20260921092518_산업부.xls</x:v>
      </x:c>
      <x:c r="L17" s="2" t="n">
        <x:v>535</x:v>
      </x:c>
    </x:row>
    <x:row r="18" ht="25" customHeight="1">
      <x:c r="A18" s="2" t="n">
        <x:v>12</x:v>
      </x:c>
      <x:c r="B18" s="2" t="str">
        <x:v>domestic_credit</x:v>
      </x:c>
      <x:c r="C18" s="2" t="str">
        <x:v>산업</x:v>
      </x:c>
      <x:c r="D18" s="2" t="str">
        <x:v>값 변경</x:v>
      </x:c>
      <x:c r="E18" s="2" t="str">
        <x:v>182 | 6108177834 | SF6 회수 및 재생사업 | 6차 | 2018-01-01~2019-01-31</x:v>
      </x:c>
      <x:c r="F18" s="2" t="str">
        <x:v>사업분야</x:v>
      </x:c>
      <x:c r="G18" s="2" t="str">
        <x:v>할로겐화탄소, 육불화항 생산및소비로부터의 탈루배출</x:v>
      </x:c>
      <x:c r="H18" s="2" t="str">
        <x:v>할로겐화탄소, 육불화황 생산및소비로부터의 탈루배출</x:v>
      </x:c>
      <x:c r="I18" s="2" t="str">
        <x:v>국내_감축량_인증신청_20260731160830_산업부문.xls</x:v>
      </x:c>
      <x:c r="J18" s="2" t="n">
        <x:v>371</x:v>
      </x:c>
      <x:c r="K18" s="2" t="str">
        <x:v>국내_감축량_인증신청_20260921092518_산업부.xls</x:v>
      </x:c>
      <x:c r="L18" s="2" t="n">
        <x:v>371</x:v>
      </x:c>
    </x:row>
    <x:row r="19" ht="25" customHeight="1">
      <x:c r="A19" s="2" t="n">
        <x:v>13</x:v>
      </x:c>
      <x:c r="B19" s="2" t="str">
        <x:v>domestic_credit</x:v>
      </x:c>
      <x:c r="C19" s="2" t="str">
        <x:v>산업</x:v>
      </x:c>
      <x:c r="D19" s="2" t="str">
        <x:v>값 변경</x:v>
      </x:c>
      <x:c r="E19" s="2" t="str">
        <x:v>187 | 3148173570 | SF6 회수 및 재생사업 | 7차 | 2018-01-01~2019-01-31</x:v>
      </x:c>
      <x:c r="F19" s="2" t="str">
        <x:v>사업분야</x:v>
      </x:c>
      <x:c r="G19" s="2" t="str">
        <x:v>할로겐화탄소, 육불화항 생산및소비로부터의 탈루배출</x:v>
      </x:c>
      <x:c r="H19" s="2" t="str">
        <x:v>할로겐화탄소, 육불화황 생산및소비로부터의 탈루배출</x:v>
      </x:c>
      <x:c r="I19" s="2" t="str">
        <x:v>국내_감축량_인증신청_20260731160830_산업부문.xls</x:v>
      </x:c>
      <x:c r="J19" s="2" t="n">
        <x:v>366</x:v>
      </x:c>
      <x:c r="K19" s="2" t="str">
        <x:v>국내_감축량_인증신청_20260921092518_산업부.xls</x:v>
      </x:c>
      <x:c r="L19" s="2" t="n">
        <x:v>366</x:v>
      </x:c>
    </x:row>
    <x:row r="20" ht="25" customHeight="1">
      <x:c r="A20" s="2" t="n">
        <x:v>14</x:v>
      </x:c>
      <x:c r="B20" s="2" t="str">
        <x:v>domestic_credit</x:v>
      </x:c>
      <x:c r="C20" s="2" t="str">
        <x:v>산업</x:v>
      </x:c>
      <x:c r="D20" s="2" t="str">
        <x:v>값 변경</x:v>
      </x:c>
      <x:c r="E20" s="2" t="str">
        <x:v>188 | 3148173570 | SF6 회수 및 재생사업 | 6차 | 2017-01-01~2017-12-31</x:v>
      </x:c>
      <x:c r="F20" s="2" t="str">
        <x:v>사업분야</x:v>
      </x:c>
      <x:c r="G20" s="2" t="str">
        <x:v>할로겐화탄소, 육불화항 생산및소비로부터의 탈루배출</x:v>
      </x:c>
      <x:c r="H20" s="2" t="str">
        <x:v>할로겐화탄소, 육불화황 생산및소비로부터의 탈루배출</x:v>
      </x:c>
      <x:c r="I20" s="2" t="str">
        <x:v>국내_감축량_인증신청_20260731160830_산업부문.xls</x:v>
      </x:c>
      <x:c r="J20" s="2" t="n">
        <x:v>365</x:v>
      </x:c>
      <x:c r="K20" s="2" t="str">
        <x:v>국내_감축량_인증신청_20260921092518_산업부.xls</x:v>
      </x:c>
      <x:c r="L20" s="2" t="n">
        <x:v>365</x:v>
      </x:c>
    </x:row>
    <x:row r="21" ht="25" customHeight="1">
      <x:c r="A21" s="2" t="n">
        <x:v>15</x:v>
      </x:c>
      <x:c r="B21" s="2" t="str">
        <x:v>domestic_credit</x:v>
      </x:c>
      <x:c r="C21" s="2" t="str">
        <x:v>산업</x:v>
      </x:c>
      <x:c r="D21" s="2" t="str">
        <x:v>값 변경</x:v>
      </x:c>
      <x:c r="E21" s="2" t="str">
        <x:v>19 | 1168118686 | 한국의 LCD 제조 과정의 SF6 방출 감축을 위한 사용점 감축 설비 | 6차 | 2012-09-01~2012-12-31</x:v>
      </x:c>
      <x:c r="F21" s="2" t="str">
        <x:v>사업분야</x:v>
      </x:c>
      <x:c r="G21" s="2" t="str">
        <x:v>할로겐화탄소, 육불화항 생산및소비로부터의 탈루배출</x:v>
      </x:c>
      <x:c r="H21" s="2" t="str">
        <x:v>할로겐화탄소, 육불화황 생산및소비로부터의 탈루배출</x:v>
      </x:c>
      <x:c r="I21" s="2" t="str">
        <x:v>국내_감축량_인증신청_20260731160830_산업부문.xls</x:v>
      </x:c>
      <x:c r="J21" s="2" t="n">
        <x:v>534</x:v>
      </x:c>
      <x:c r="K21" s="2" t="str">
        <x:v>국내_감축량_인증신청_20260921092518_산업부.xls</x:v>
      </x:c>
      <x:c r="L21" s="2" t="n">
        <x:v>534</x:v>
      </x:c>
    </x:row>
    <x:row r="22" ht="25" customHeight="1">
      <x:c r="A22" s="2" t="n">
        <x:v>16</x:v>
      </x:c>
      <x:c r="B22" s="2" t="str">
        <x:v>domestic_credit</x:v>
      </x:c>
      <x:c r="C22" s="2" t="str">
        <x:v>산업</x:v>
      </x:c>
      <x:c r="D22" s="2" t="str">
        <x:v>값 변경</x:v>
      </x:c>
      <x:c r="E22" s="2" t="str">
        <x:v>29 | 6108177834 | SF6 회수 및 재생사업 | 2차 | 2012-04-27~2014-12-31</x:v>
      </x:c>
      <x:c r="F22" s="2" t="str">
        <x:v>사업분야</x:v>
      </x:c>
      <x:c r="G22" s="2" t="str">
        <x:v>할로겐화탄소, 육불화항 생산및소비로부터의 탈루배출</x:v>
      </x:c>
      <x:c r="H22" s="2" t="str">
        <x:v>할로겐화탄소, 육불화황 생산및소비로부터의 탈루배출</x:v>
      </x:c>
      <x:c r="I22" s="2" t="str">
        <x:v>국내_감축량_인증신청_20260731160830_산업부문.xls</x:v>
      </x:c>
      <x:c r="J22" s="2" t="n">
        <x:v>524</x:v>
      </x:c>
      <x:c r="K22" s="2" t="str">
        <x:v>국내_감축량_인증신청_20260921092518_산업부.xls</x:v>
      </x:c>
      <x:c r="L22" s="2" t="n">
        <x:v>524</x:v>
      </x:c>
    </x:row>
    <x:row r="23" ht="25" customHeight="1">
      <x:c r="A23" s="2" t="n">
        <x:v>17</x:v>
      </x:c>
      <x:c r="B23" s="2" t="str">
        <x:v>domestic_credit</x:v>
      </x:c>
      <x:c r="C23" s="2" t="str">
        <x:v>산업</x:v>
      </x:c>
      <x:c r="D23" s="2" t="str">
        <x:v>값 변경</x:v>
      </x:c>
      <x:c r="E23" s="2" t="str">
        <x:v>297 | 3148173570 | SF6 회수 및 재생사업 | 8차 | 2019-02-01~2020-02-12</x:v>
      </x:c>
      <x:c r="F23" s="2" t="str">
        <x:v>사업분야</x:v>
      </x:c>
      <x:c r="G23" s="2" t="str">
        <x:v>할로겐화탄소, 육불화항 생산및소비로부터의 탈루배출</x:v>
      </x:c>
      <x:c r="H23" s="2" t="str">
        <x:v>할로겐화탄소, 육불화황 생산및소비로부터의 탈루배출</x:v>
      </x:c>
      <x:c r="I23" s="2" t="str">
        <x:v>국내_감축량_인증신청_20260731160830_산업부문.xls</x:v>
      </x:c>
      <x:c r="J23" s="2" t="n">
        <x:v>256</x:v>
      </x:c>
      <x:c r="K23" s="2" t="str">
        <x:v>국내_감축량_인증신청_20260921092518_산업부.xls</x:v>
      </x:c>
      <x:c r="L23" s="2" t="n">
        <x:v>256</x:v>
      </x:c>
    </x:row>
    <x:row r="24" ht="25" customHeight="1">
      <x:c r="A24" s="2" t="n">
        <x:v>18</x:v>
      </x:c>
      <x:c r="B24" s="2" t="str">
        <x:v>domestic_credit</x:v>
      </x:c>
      <x:c r="C24" s="2" t="str">
        <x:v>산업</x:v>
      </x:c>
      <x:c r="D24" s="2" t="str">
        <x:v>값 변경</x:v>
      </x:c>
      <x:c r="E24" s="2" t="str">
        <x:v>3 | 1428156603 | 삼성전자 SF6 저감 사업 | 1차 | 2010-10-21~2011-02-28</x:v>
      </x:c>
      <x:c r="F24" s="2" t="str">
        <x:v>사업분야</x:v>
      </x:c>
      <x:c r="G24" s="2" t="str">
        <x:v>할로겐화탄소, 육불화항 생산및소비로부터의 탈루배출</x:v>
      </x:c>
      <x:c r="H24" s="2" t="str">
        <x:v>할로겐화탄소, 육불화황 생산및소비로부터의 탈루배출</x:v>
      </x:c>
      <x:c r="I24" s="2" t="str">
        <x:v>국내_감축량_인증신청_20260731160830_산업부문.xls</x:v>
      </x:c>
      <x:c r="J24" s="2" t="n">
        <x:v>550</x:v>
      </x:c>
      <x:c r="K24" s="2" t="str">
        <x:v>국내_감축량_인증신청_20260921092518_산업부.xls</x:v>
      </x:c>
      <x:c r="L24" s="2" t="n">
        <x:v>550</x:v>
      </x:c>
    </x:row>
    <x:row r="25" ht="25" customHeight="1">
      <x:c r="A25" s="2" t="n">
        <x:v>19</x:v>
      </x:c>
      <x:c r="B25" s="2" t="str">
        <x:v>domestic_credit</x:v>
      </x:c>
      <x:c r="C25" s="2" t="str">
        <x:v>산업</x:v>
      </x:c>
      <x:c r="D25" s="2" t="str">
        <x:v>값 변경</x:v>
      </x:c>
      <x:c r="E25" s="2" t="str">
        <x:v>30 | 3148173570 | SF6 회수 및 재생사업 | 2차 | 2012-04-27~2014-12-31</x:v>
      </x:c>
      <x:c r="F25" s="2" t="str">
        <x:v>사업분야</x:v>
      </x:c>
      <x:c r="G25" s="2" t="str">
        <x:v>할로겐화탄소, 육불화항 생산및소비로부터의 탈루배출</x:v>
      </x:c>
      <x:c r="H25" s="2" t="str">
        <x:v>할로겐화탄소, 육불화황 생산및소비로부터의 탈루배출</x:v>
      </x:c>
      <x:c r="I25" s="2" t="str">
        <x:v>국내_감축량_인증신청_20260731160830_산업부문.xls</x:v>
      </x:c>
      <x:c r="J25" s="2" t="n">
        <x:v>523</x:v>
      </x:c>
      <x:c r="K25" s="2" t="str">
        <x:v>국내_감축량_인증신청_20260921092518_산업부.xls</x:v>
      </x:c>
      <x:c r="L25" s="2" t="n">
        <x:v>523</x:v>
      </x:c>
    </x:row>
    <x:row r="26" ht="25" customHeight="1">
      <x:c r="A26" s="2" t="n">
        <x:v>20</x:v>
      </x:c>
      <x:c r="B26" s="2" t="str">
        <x:v>domestic_credit</x:v>
      </x:c>
      <x:c r="C26" s="2" t="str">
        <x:v>산업</x:v>
      </x:c>
      <x:c r="D26" s="2" t="str">
        <x:v>값 변경</x:v>
      </x:c>
      <x:c r="E26" s="2" t="str">
        <x:v>31 | 3148173570 | SF6 회수 및 재생사업 | 1차 | 2012-04-27~2014-12-31</x:v>
      </x:c>
      <x:c r="F26" s="2" t="str">
        <x:v>사업분야</x:v>
      </x:c>
      <x:c r="G26" s="2" t="str">
        <x:v>할로겐화탄소, 육불화항 생산및소비로부터의 탈루배출</x:v>
      </x:c>
      <x:c r="H26" s="2" t="str">
        <x:v>할로겐화탄소, 육불화황 생산및소비로부터의 탈루배출</x:v>
      </x:c>
      <x:c r="I26" s="2" t="str">
        <x:v>국내_감축량_인증신청_20260731160830_산업부문.xls</x:v>
      </x:c>
      <x:c r="J26" s="2" t="n">
        <x:v>522</x:v>
      </x:c>
      <x:c r="K26" s="2" t="str">
        <x:v>국내_감축량_인증신청_20260921092518_산업부.xls</x:v>
      </x:c>
      <x:c r="L26" s="2" t="n">
        <x:v>522</x:v>
      </x:c>
    </x:row>
    <x:row r="27" ht="25" customHeight="1">
      <x:c r="A27" s="2" t="n">
        <x:v>21</x:v>
      </x:c>
      <x:c r="B27" s="2" t="str">
        <x:v>domestic_credit</x:v>
      </x:c>
      <x:c r="C27" s="2" t="str">
        <x:v>산업</x:v>
      </x:c>
      <x:c r="D27" s="2" t="str">
        <x:v>값 변경</x:v>
      </x:c>
      <x:c r="E27" s="2" t="str">
        <x:v>33 | 3148173570 | 한국의 LCD 제조 과정의 SF6 방출 감축을 위한 사용점 감축설비 | 6차 | 2012-09-01~2012-12-31</x:v>
      </x:c>
      <x:c r="F27" s="2" t="str">
        <x:v>사업분야</x:v>
      </x:c>
      <x:c r="G27" s="2" t="str">
        <x:v>할로겐화탄소, 육불화항 생산및소비로부터의 탈루배출</x:v>
      </x:c>
      <x:c r="H27" s="2" t="str">
        <x:v>할로겐화탄소, 육불화황 생산및소비로부터의 탈루배출</x:v>
      </x:c>
      <x:c r="I27" s="2" t="str">
        <x:v>국내_감축량_인증신청_20260731160830_산업부문.xls</x:v>
      </x:c>
      <x:c r="J27" s="2" t="n">
        <x:v>520</x:v>
      </x:c>
      <x:c r="K27" s="2" t="str">
        <x:v>국내_감축량_인증신청_20260921092518_산업부.xls</x:v>
      </x:c>
      <x:c r="L27" s="2" t="n">
        <x:v>520</x:v>
      </x:c>
    </x:row>
    <x:row r="28" ht="25" customHeight="1">
      <x:c r="A28" s="2" t="n">
        <x:v>22</x:v>
      </x:c>
      <x:c r="B28" s="2" t="str">
        <x:v>domestic_credit</x:v>
      </x:c>
      <x:c r="C28" s="2" t="str">
        <x:v>산업</x:v>
      </x:c>
      <x:c r="D28" s="2" t="str">
        <x:v>값 변경</x:v>
      </x:c>
      <x:c r="E28" s="2" t="str">
        <x:v>332 | 6108177834 | SF6 회수 및 재생사업 | 7차 | 2019-02-01~2020-02-12</x:v>
      </x:c>
      <x:c r="F28" s="2" t="str">
        <x:v>사업분야</x:v>
      </x:c>
      <x:c r="G28" s="2" t="str">
        <x:v>할로겐화탄소, 육불화항 생산및소비로부터의 탈루배출</x:v>
      </x:c>
      <x:c r="H28" s="2" t="str">
        <x:v>할로겐화탄소, 육불화황 생산및소비로부터의 탈루배출</x:v>
      </x:c>
      <x:c r="I28" s="2" t="str">
        <x:v>국내_감축량_인증신청_20260731160830_산업부문.xls</x:v>
      </x:c>
      <x:c r="J28" s="2" t="n">
        <x:v>221</x:v>
      </x:c>
      <x:c r="K28" s="2" t="str">
        <x:v>국내_감축량_인증신청_20260921092518_산업부.xls</x:v>
      </x:c>
      <x:c r="L28" s="2" t="n">
        <x:v>221</x:v>
      </x:c>
    </x:row>
    <x:row r="29" ht="25" customHeight="1">
      <x:c r="A29" s="2" t="n">
        <x:v>23</x:v>
      </x:c>
      <x:c r="B29" s="2" t="str">
        <x:v>domestic_credit</x:v>
      </x:c>
      <x:c r="C29" s="2" t="str">
        <x:v>산업</x:v>
      </x:c>
      <x:c r="D29" s="2" t="str">
        <x:v>값 변경</x:v>
      </x:c>
      <x:c r="E29" s="2" t="str">
        <x:v>34 | 3148173570 | 한국의 LCD 제조 과정의 SF6 방출 감축을 위한 사용점 감축설비 | 5차 | 2012-04-01~2012-08-31</x:v>
      </x:c>
      <x:c r="F29" s="2" t="str">
        <x:v>사업분야</x:v>
      </x:c>
      <x:c r="G29" s="2" t="str">
        <x:v>할로겐화탄소, 육불화항 생산및소비로부터의 탈루배출</x:v>
      </x:c>
      <x:c r="H29" s="2" t="str">
        <x:v>할로겐화탄소, 육불화황 생산및소비로부터의 탈루배출</x:v>
      </x:c>
      <x:c r="I29" s="2" t="str">
        <x:v>국내_감축량_인증신청_20260731160830_산업부문.xls</x:v>
      </x:c>
      <x:c r="J29" s="2" t="n">
        <x:v>519</x:v>
      </x:c>
      <x:c r="K29" s="2" t="str">
        <x:v>국내_감축량_인증신청_20260921092518_산업부.xls</x:v>
      </x:c>
      <x:c r="L29" s="2" t="n">
        <x:v>519</x:v>
      </x:c>
    </x:row>
    <x:row r="30" ht="25" customHeight="1">
      <x:c r="A30" s="2" t="n">
        <x:v>24</x:v>
      </x:c>
      <x:c r="B30" s="2" t="str">
        <x:v>domestic_credit</x:v>
      </x:c>
      <x:c r="C30" s="2" t="str">
        <x:v>산업</x:v>
      </x:c>
      <x:c r="D30" s="2" t="str">
        <x:v>값 변경</x:v>
      </x:c>
      <x:c r="E30" s="2" t="str">
        <x:v>35 | 3148173570 | 한국의 LCD 제조 과정의 SF6 방출 감축을 위한 사용점 감축설비 | 4차 | 2012-02-01~2012-03-31</x:v>
      </x:c>
      <x:c r="F30" s="2" t="str">
        <x:v>사업분야</x:v>
      </x:c>
      <x:c r="G30" s="2" t="str">
        <x:v>할로겐화탄소, 육불화항 생산및소비로부터의 탈루배출</x:v>
      </x:c>
      <x:c r="H30" s="2" t="str">
        <x:v>할로겐화탄소, 육불화황 생산및소비로부터의 탈루배출</x:v>
      </x:c>
      <x:c r="I30" s="2" t="str">
        <x:v>국내_감축량_인증신청_20260731160830_산업부문.xls</x:v>
      </x:c>
      <x:c r="J30" s="2" t="n">
        <x:v>518</x:v>
      </x:c>
      <x:c r="K30" s="2" t="str">
        <x:v>국내_감축량_인증신청_20260921092518_산업부.xls</x:v>
      </x:c>
      <x:c r="L30" s="2" t="n">
        <x:v>518</x:v>
      </x:c>
    </x:row>
    <x:row r="31" ht="25" customHeight="1">
      <x:c r="A31" s="2" t="n">
        <x:v>25</x:v>
      </x:c>
      <x:c r="B31" s="2" t="str">
        <x:v>domestic_credit</x:v>
      </x:c>
      <x:c r="C31" s="2" t="str">
        <x:v>산업</x:v>
      </x:c>
      <x:c r="D31" s="2" t="str">
        <x:v>값 변경</x:v>
      </x:c>
      <x:c r="E31" s="2" t="str">
        <x:v>36 | 3148173570 | 한국의 LCD 제조 과정의 SF6 방출 감축을 위한 사용점 감축설비 | 3차 | 2011-09-01~2012-01-31</x:v>
      </x:c>
      <x:c r="F31" s="2" t="str">
        <x:v>사업분야</x:v>
      </x:c>
      <x:c r="G31" s="2" t="str">
        <x:v>할로겐화탄소, 육불화항 생산및소비로부터의 탈루배출</x:v>
      </x:c>
      <x:c r="H31" s="2" t="str">
        <x:v>할로겐화탄소, 육불화황 생산및소비로부터의 탈루배출</x:v>
      </x:c>
      <x:c r="I31" s="2" t="str">
        <x:v>국내_감축량_인증신청_20260731160830_산업부문.xls</x:v>
      </x:c>
      <x:c r="J31" s="2" t="n">
        <x:v>517</x:v>
      </x:c>
      <x:c r="K31" s="2" t="str">
        <x:v>국내_감축량_인증신청_20260921092518_산업부.xls</x:v>
      </x:c>
      <x:c r="L31" s="2" t="n">
        <x:v>517</x:v>
      </x:c>
    </x:row>
    <x:row r="32" ht="25" customHeight="1">
      <x:c r="A32" s="2" t="n">
        <x:v>26</x:v>
      </x:c>
      <x:c r="B32" s="2" t="str">
        <x:v>domestic_credit</x:v>
      </x:c>
      <x:c r="C32" s="2" t="str">
        <x:v>산업</x:v>
      </x:c>
      <x:c r="D32" s="2" t="str">
        <x:v>값 변경</x:v>
      </x:c>
      <x:c r="E32" s="2" t="str">
        <x:v>37 | 3148173570 | 한국의 LCD 제조 과정의 SF6 방출 감축을 위한 사용점 감축설비 | 2차 | 2011-05-01~2011-08-31</x:v>
      </x:c>
      <x:c r="F32" s="2" t="str">
        <x:v>사업분야</x:v>
      </x:c>
      <x:c r="G32" s="2" t="str">
        <x:v>할로겐화탄소, 육불화항 생산및소비로부터의 탈루배출</x:v>
      </x:c>
      <x:c r="H32" s="2" t="str">
        <x:v>할로겐화탄소, 육불화황 생산및소비로부터의 탈루배출</x:v>
      </x:c>
      <x:c r="I32" s="2" t="str">
        <x:v>국내_감축량_인증신청_20260731160830_산업부문.xls</x:v>
      </x:c>
      <x:c r="J32" s="2" t="n">
        <x:v>516</x:v>
      </x:c>
      <x:c r="K32" s="2" t="str">
        <x:v>국내_감축량_인증신청_20260921092518_산업부.xls</x:v>
      </x:c>
      <x:c r="L32" s="2" t="n">
        <x:v>516</x:v>
      </x:c>
    </x:row>
    <x:row r="33" ht="25" customHeight="1">
      <x:c r="A33" s="2" t="n">
        <x:v>27</x:v>
      </x:c>
      <x:c r="B33" s="2" t="str">
        <x:v>domestic_credit</x:v>
      </x:c>
      <x:c r="C33" s="2" t="str">
        <x:v>산업</x:v>
      </x:c>
      <x:c r="D33" s="2" t="str">
        <x:v>값 변경</x:v>
      </x:c>
      <x:c r="E33" s="2" t="str">
        <x:v>38 | 3148173570 | 한국의 LCD 제조 과정의 SF6 방출 감축을 위한 사용점 감축설비 | 1차 | 2011-01-01~2011-04-30</x:v>
      </x:c>
      <x:c r="F33" s="2" t="str">
        <x:v>사업분야</x:v>
      </x:c>
      <x:c r="G33" s="2" t="str">
        <x:v>할로겐화탄소, 육불화항 생산및소비로부터의 탈루배출</x:v>
      </x:c>
      <x:c r="H33" s="2" t="str">
        <x:v>할로겐화탄소, 육불화황 생산및소비로부터의 탈루배출</x:v>
      </x:c>
      <x:c r="I33" s="2" t="str">
        <x:v>국내_감축량_인증신청_20260731160830_산업부문.xls</x:v>
      </x:c>
      <x:c r="J33" s="2" t="n">
        <x:v>515</x:v>
      </x:c>
      <x:c r="K33" s="2" t="str">
        <x:v>국내_감축량_인증신청_20260921092518_산업부.xls</x:v>
      </x:c>
      <x:c r="L33" s="2" t="n">
        <x:v>515</x:v>
      </x:c>
    </x:row>
    <x:row r="34" ht="25" customHeight="1">
      <x:c r="A34" s="2" t="n">
        <x:v>28</x:v>
      </x:c>
      <x:c r="B34" s="2" t="str">
        <x:v>domestic_credit</x:v>
      </x:c>
      <x:c r="C34" s="2" t="str">
        <x:v>산업</x:v>
      </x:c>
      <x:c r="D34" s="2" t="str">
        <x:v>값 변경</x:v>
      </x:c>
      <x:c r="E34" s="2" t="str">
        <x:v>386 | 6108177834 | SF6 회수 및 재생사업 | 8차 | 2020-02-13~2020-12-31</x:v>
      </x:c>
      <x:c r="F34" s="2" t="str">
        <x:v>사업분야</x:v>
      </x:c>
      <x:c r="G34" s="2" t="str">
        <x:v>할로겐화탄소, 육불화항 생산및소비로부터의 탈루배출</x:v>
      </x:c>
      <x:c r="H34" s="2" t="str">
        <x:v>할로겐화탄소, 육불화황 생산및소비로부터의 탈루배출</x:v>
      </x:c>
      <x:c r="I34" s="2" t="str">
        <x:v>국내_감축량_인증신청_20260731160830_산업부문.xls</x:v>
      </x:c>
      <x:c r="J34" s="2" t="n">
        <x:v>167</x:v>
      </x:c>
      <x:c r="K34" s="2" t="str">
        <x:v>국내_감축량_인증신청_20260921092518_산업부.xls</x:v>
      </x:c>
      <x:c r="L34" s="2" t="n">
        <x:v>167</x:v>
      </x:c>
    </x:row>
    <x:row r="35" ht="25" customHeight="1">
      <x:c r="A35" s="2" t="n">
        <x:v>29</x:v>
      </x:c>
      <x:c r="B35" s="2" t="str">
        <x:v>domestic_credit</x:v>
      </x:c>
      <x:c r="C35" s="2" t="str">
        <x:v>산업</x:v>
      </x:c>
      <x:c r="D35" s="2" t="str">
        <x:v>값 변경</x:v>
      </x:c>
      <x:c r="E35" s="2" t="str">
        <x:v>4 | 1428156603 | 한국의 LCD 제조 과정의 SF6 방출 감축을 위한 사용점 감축 설비 | 8차 | 2012-09-01~2012-12-31</x:v>
      </x:c>
      <x:c r="F35" s="2" t="str">
        <x:v>사업분야</x:v>
      </x:c>
      <x:c r="G35" s="2" t="str">
        <x:v>할로겐화탄소, 육불화항 생산및소비로부터의 탈루배출</x:v>
      </x:c>
      <x:c r="H35" s="2" t="str">
        <x:v>할로겐화탄소, 육불화황 생산및소비로부터의 탈루배출</x:v>
      </x:c>
      <x:c r="I35" s="2" t="str">
        <x:v>국내_감축량_인증신청_20260731160830_산업부문.xls</x:v>
      </x:c>
      <x:c r="J35" s="2" t="n">
        <x:v>549</x:v>
      </x:c>
      <x:c r="K35" s="2" t="str">
        <x:v>국내_감축량_인증신청_20260921092518_산업부.xls</x:v>
      </x:c>
      <x:c r="L35" s="2" t="n">
        <x:v>549</x:v>
      </x:c>
    </x:row>
    <x:row r="36" ht="25" customHeight="1">
      <x:c r="A36" s="2" t="n">
        <x:v>30</x:v>
      </x:c>
      <x:c r="B36" s="2" t="str">
        <x:v>domestic_credit</x:v>
      </x:c>
      <x:c r="C36" s="2" t="str">
        <x:v>산업</x:v>
      </x:c>
      <x:c r="D36" s="2" t="str">
        <x:v>값 변경</x:v>
      </x:c>
      <x:c r="E36" s="2" t="str">
        <x:v>40 | 6108177834 | SF6 회수 및 재생사업 | 1차 | 2011-04-01~2012-04-26</x:v>
      </x:c>
      <x:c r="F36" s="2" t="str">
        <x:v>사업분야</x:v>
      </x:c>
      <x:c r="G36" s="2" t="str">
        <x:v>할로겐화탄소, 육불화항 생산및소비로부터의 탈루배출</x:v>
      </x:c>
      <x:c r="H36" s="2" t="str">
        <x:v>할로겐화탄소, 육불화황 생산및소비로부터의 탈루배출</x:v>
      </x:c>
      <x:c r="I36" s="2" t="str">
        <x:v>국내_감축량_인증신청_20260731160830_산업부문.xls</x:v>
      </x:c>
      <x:c r="J36" s="2" t="n">
        <x:v>513</x:v>
      </x:c>
      <x:c r="K36" s="2" t="str">
        <x:v>국내_감축량_인증신청_20260921092518_산업부.xls</x:v>
      </x:c>
      <x:c r="L36" s="2" t="n">
        <x:v>513</x:v>
      </x:c>
    </x:row>
    <x:row r="37" ht="25" customHeight="1">
      <x:c r="A37" s="2" t="n">
        <x:v>31</x:v>
      </x:c>
      <x:c r="B37" s="2" t="str">
        <x:v>domestic_credit</x:v>
      </x:c>
      <x:c r="C37" s="2" t="str">
        <x:v>산업</x:v>
      </x:c>
      <x:c r="D37" s="2" t="str">
        <x:v>값 변경</x:v>
      </x:c>
      <x:c r="E37" s="2" t="str">
        <x:v>43 | 1078703594 | 한국의 LCD제조 과정의 SF6 방출 감축을 위한 사용점 감축 설비 | 2차 | 2010-10-01~2010-12-31</x:v>
      </x:c>
      <x:c r="F37" s="2" t="str">
        <x:v>사업분야</x:v>
      </x:c>
      <x:c r="G37" s="2" t="str">
        <x:v>할로겐화탄소, 육불화항 생산및소비로부터의 탈루배출</x:v>
      </x:c>
      <x:c r="H37" s="2" t="str">
        <x:v>할로겐화탄소, 육불화황 생산및소비로부터의 탈루배출</x:v>
      </x:c>
      <x:c r="I37" s="2" t="str">
        <x:v>국내_감축량_인증신청_20260731160830_산업부문.xls</x:v>
      </x:c>
      <x:c r="J37" s="2" t="n">
        <x:v>510</x:v>
      </x:c>
      <x:c r="K37" s="2" t="str">
        <x:v>국내_감축량_인증신청_20260921092518_산업부.xls</x:v>
      </x:c>
      <x:c r="L37" s="2" t="n">
        <x:v>510</x:v>
      </x:c>
    </x:row>
    <x:row r="38" ht="25" customHeight="1">
      <x:c r="A38" s="2" t="n">
        <x:v>32</x:v>
      </x:c>
      <x:c r="B38" s="2" t="str">
        <x:v>domestic_credit</x:v>
      </x:c>
      <x:c r="C38" s="2" t="str">
        <x:v>산업</x:v>
      </x:c>
      <x:c r="D38" s="2" t="str">
        <x:v>값 변경</x:v>
      </x:c>
      <x:c r="E38" s="2" t="str">
        <x:v>44 | 1078703594 | 한국의 LCD제조 과정의 SF6 방출 감축을 위한 사용점 감축 설비 | 1차 | 2010-08-01~2010-09-30</x:v>
      </x:c>
      <x:c r="F38" s="2" t="str">
        <x:v>사업분야</x:v>
      </x:c>
      <x:c r="G38" s="2" t="str">
        <x:v>할로겐화탄소, 육불화항 생산및소비로부터의 탈루배출</x:v>
      </x:c>
      <x:c r="H38" s="2" t="str">
        <x:v>할로겐화탄소, 육불화황 생산및소비로부터의 탈루배출</x:v>
      </x:c>
      <x:c r="I38" s="2" t="str">
        <x:v>국내_감축량_인증신청_20260731160830_산업부문.xls</x:v>
      </x:c>
      <x:c r="J38" s="2" t="n">
        <x:v>509</x:v>
      </x:c>
      <x:c r="K38" s="2" t="str">
        <x:v>국내_감축량_인증신청_20260921092518_산업부.xls</x:v>
      </x:c>
      <x:c r="L38" s="2" t="n">
        <x:v>509</x:v>
      </x:c>
    </x:row>
    <x:row r="39" ht="25" customHeight="1">
      <x:c r="A39" s="2" t="n">
        <x:v>33</x:v>
      </x:c>
      <x:c r="B39" s="2" t="str">
        <x:v>domestic_credit</x:v>
      </x:c>
      <x:c r="C39" s="2" t="str">
        <x:v>산업</x:v>
      </x:c>
      <x:c r="D39" s="2" t="str">
        <x:v>값 변경</x:v>
      </x:c>
      <x:c r="E39" s="2" t="str">
        <x:v>45 | 1428145237 | 삼성전자 SF6 저감 사업 | 1차 | 2010-10-21~2011-02-28</x:v>
      </x:c>
      <x:c r="F39" s="2" t="str">
        <x:v>사업분야</x:v>
      </x:c>
      <x:c r="G39" s="2" t="str">
        <x:v>할로겐화탄소, 육불화항 생산및소비로부터의 탈루배출</x:v>
      </x:c>
      <x:c r="H39" s="2" t="str">
        <x:v>할로겐화탄소, 육불화황 생산및소비로부터의 탈루배출</x:v>
      </x:c>
      <x:c r="I39" s="2" t="str">
        <x:v>국내_감축량_인증신청_20260731160830_산업부문.xls</x:v>
      </x:c>
      <x:c r="J39" s="2" t="n">
        <x:v>508</x:v>
      </x:c>
      <x:c r="K39" s="2" t="str">
        <x:v>국내_감축량_인증신청_20260921092518_산업부.xls</x:v>
      </x:c>
      <x:c r="L39" s="2" t="n">
        <x:v>508</x:v>
      </x:c>
    </x:row>
    <x:row r="40" ht="25" customHeight="1">
      <x:c r="A40" s="2" t="n">
        <x:v>34</x:v>
      </x:c>
      <x:c r="B40" s="2" t="str">
        <x:v>domestic_credit</x:v>
      </x:c>
      <x:c r="C40" s="2" t="str">
        <x:v>산업</x:v>
      </x:c>
      <x:c r="D40" s="2" t="str">
        <x:v>값 변경</x:v>
      </x:c>
      <x:c r="E40" s="2" t="str">
        <x:v>498 | 6108177834 | 플루오린코리아 주식회사 육불화황 회수 및 플라즈마 분해를 통한 온실가스 배출 감축사업 | 1차 | 2023-01-01~2023-12-31</x:v>
      </x:c>
      <x:c r="F40" s="2" t="str">
        <x:v>사업분야</x:v>
      </x:c>
      <x:c r="G40" s="2" t="str">
        <x:v>할로겐화탄소, 육불화항 생산및소비로부터의 탈루배출</x:v>
      </x:c>
      <x:c r="H40" s="2" t="str">
        <x:v>할로겐화탄소, 육불화황 생산및소비로부터의 탈루배출</x:v>
      </x:c>
      <x:c r="I40" s="2" t="str">
        <x:v>국내_감축량_인증신청_20260731160830_산업부문.xls</x:v>
      </x:c>
      <x:c r="J40" s="2" t="n">
        <x:v>55</x:v>
      </x:c>
      <x:c r="K40" s="2" t="str">
        <x:v>국내_감축량_인증신청_20260921092518_산업부.xls</x:v>
      </x:c>
      <x:c r="L40" s="2" t="n">
        <x:v>55</x:v>
      </x:c>
    </x:row>
    <x:row r="41" ht="25" customHeight="1">
      <x:c r="A41" s="2" t="n">
        <x:v>35</x:v>
      </x:c>
      <x:c r="B41" s="2" t="str">
        <x:v>domestic_credit</x:v>
      </x:c>
      <x:c r="C41" s="2" t="str">
        <x:v>산업</x:v>
      </x:c>
      <x:c r="D41" s="2" t="str">
        <x:v>값 변경</x:v>
      </x:c>
      <x:c r="E41" s="2" t="str">
        <x:v>5 | 1428156603 | 한국의 LCD 제조 과정의 SF6 방출 감축을 위한 사용점 감축 설비 | 6차 | 2012-02-01~2012-03-31</x:v>
      </x:c>
      <x:c r="F41" s="2" t="str">
        <x:v>사업분야</x:v>
      </x:c>
      <x:c r="G41" s="2" t="str">
        <x:v>할로겐화탄소, 육불화항 생산및소비로부터의 탈루배출</x:v>
      </x:c>
      <x:c r="H41" s="2" t="str">
        <x:v>할로겐화탄소, 육불화황 생산및소비로부터의 탈루배출</x:v>
      </x:c>
      <x:c r="I41" s="2" t="str">
        <x:v>국내_감축량_인증신청_20260731160830_산업부문.xls</x:v>
      </x:c>
      <x:c r="J41" s="2" t="n">
        <x:v>548</x:v>
      </x:c>
      <x:c r="K41" s="2" t="str">
        <x:v>국내_감축량_인증신청_20260921092518_산업부.xls</x:v>
      </x:c>
      <x:c r="L41" s="2" t="n">
        <x:v>548</x:v>
      </x:c>
    </x:row>
    <x:row r="42" ht="25" customHeight="1">
      <x:c r="A42" s="2" t="n">
        <x:v>36</x:v>
      </x:c>
      <x:c r="B42" s="2" t="str">
        <x:v>domestic_credit</x:v>
      </x:c>
      <x:c r="C42" s="2" t="str">
        <x:v>산업</x:v>
      </x:c>
      <x:c r="D42" s="2" t="str">
        <x:v>값 변경</x:v>
      </x:c>
      <x:c r="E42" s="2" t="str">
        <x:v>505 | 6108177834 | 플루오린코리아 주식회사 육불화황 회수 및 플라즈마 분해를 통한 온실가스 배출 감축사업 | 2차 | 2024-01-01~2024-12-31</x:v>
      </x:c>
      <x:c r="F42" s="2" t="str">
        <x:v>사업분야</x:v>
      </x:c>
      <x:c r="G42" s="2" t="str">
        <x:v>할로겐화탄소, 육불화항 생산및소비로부터의 탈루배출</x:v>
      </x:c>
      <x:c r="H42" s="2" t="str">
        <x:v>할로겐화탄소, 육불화황 생산및소비로부터의 탈루배출</x:v>
      </x:c>
      <x:c r="I42" s="2" t="str">
        <x:v>국내_감축량_인증신청_20260731160830_산업부문.xls</x:v>
      </x:c>
      <x:c r="J42" s="2" t="n">
        <x:v>48</x:v>
      </x:c>
      <x:c r="K42" s="2" t="str">
        <x:v>국내_감축량_인증신청_20260921092518_산업부.xls</x:v>
      </x:c>
      <x:c r="L42" s="2" t="n">
        <x:v>48</x:v>
      </x:c>
    </x:row>
    <x:row r="43" ht="25" customHeight="1">
      <x:c r="A43" s="2" t="n">
        <x:v>37</x:v>
      </x:c>
      <x:c r="B43" s="2" t="str">
        <x:v>domestic_credit</x:v>
      </x:c>
      <x:c r="C43" s="2" t="str">
        <x:v>산업</x:v>
      </x:c>
      <x:c r="D43" s="2" t="str">
        <x:v>9월 추가 후보</x:v>
      </x:c>
      <x:c r="E43" s="2" t="str">
        <x:v>546 | 2018176228 | 휴켐스 질산공장 N2O 감축사업(휴켐스 주식회사의 질산 공장 세 곳에서 tail gas에 포함된 아산화질소를 촉매를 사용하여 제거하는 프로젝트) | 25차 | 2024-04-01~2024-12-31</x:v>
      </x:c>
      <x:c r="F43" s="2" t="str">
        <x:v>변경 필드 없음</x:v>
      </x:c>
      <x:c r="G43" s="2" t="str"/>
      <x:c r="H43" s="2" t="str"/>
      <x:c r="I43" s="2" t="str">
        <x:v>국내_감축량_인증신청_20260731160830_산업부문.xls</x:v>
      </x:c>
      <x:c r="J43" s="2"/>
      <x:c r="K43" s="2" t="str">
        <x:v>국내_감축량_인증신청_20260921092518_산업부.xls</x:v>
      </x:c>
      <x:c r="L43" s="2" t="n">
        <x:v>7</x:v>
      </x:c>
    </x:row>
    <x:row r="44" ht="25" customHeight="1">
      <x:c r="A44" s="2" t="n">
        <x:v>38</x:v>
      </x:c>
      <x:c r="B44" s="2" t="str">
        <x:v>domestic_credit</x:v>
      </x:c>
      <x:c r="C44" s="2" t="str">
        <x:v>산업</x:v>
      </x:c>
      <x:c r="D44" s="2" t="str">
        <x:v>9월 미등장·삭제 아님</x:v>
      </x:c>
      <x:c r="E44" s="2" t="str">
        <x:v>546 | 5158139758 | ㈜규원이엔지 바이오매스 연료기반 열에너지 공급으로 수용가 화석연료 사용량 절감 사업 | 1차 | 2023-09-05~2025-09-04</x:v>
      </x:c>
      <x:c r="F44" s="2" t="str">
        <x:v>변경 필드 없음</x:v>
      </x:c>
      <x:c r="G44" s="2" t="str"/>
      <x:c r="H44" s="2" t="str"/>
      <x:c r="I44" s="2" t="str">
        <x:v>국내_감축량_인증신청_20260731160830_산업부문.xls</x:v>
      </x:c>
      <x:c r="J44" s="2" t="n">
        <x:v>7</x:v>
      </x:c>
      <x:c r="K44" s="2" t="str">
        <x:v>국내_감축량_인증신청_20260921092518_산업부.xls</x:v>
      </x:c>
      <x:c r="L44" s="2"/>
    </x:row>
    <x:row r="45" ht="25" customHeight="1">
      <x:c r="A45" s="2" t="n">
        <x:v>39</x:v>
      </x:c>
      <x:c r="B45" s="2" t="str">
        <x:v>domestic_credit</x:v>
      </x:c>
      <x:c r="C45" s="2" t="str">
        <x:v>산업</x:v>
      </x:c>
      <x:c r="D45" s="2" t="str">
        <x:v>9월 미등장·삭제 아님</x:v>
      </x:c>
      <x:c r="E45" s="2" t="str">
        <x:v>547 | 2018176228 | 휴켐스 질산공장 N2O 감축사업(휴켐스 주식회사의 질산 공장 세 곳에서 tail gas에 포함된 아산화질소를 촉매를 사용하여 제거하는 프로젝트) | 25차 | 2024-04-01~2024-12-31</x:v>
      </x:c>
      <x:c r="F45" s="2" t="str">
        <x:v>변경 필드 없음</x:v>
      </x:c>
      <x:c r="G45" s="2" t="str"/>
      <x:c r="H45" s="2" t="str"/>
      <x:c r="I45" s="2" t="str">
        <x:v>국내_감축량_인증신청_20260731160830_산업부문.xls</x:v>
      </x:c>
      <x:c r="J45" s="2" t="n">
        <x:v>6</x:v>
      </x:c>
      <x:c r="K45" s="2" t="str">
        <x:v>국내_감축량_인증신청_20260921092518_산업부.xls</x:v>
      </x:c>
      <x:c r="L45" s="2"/>
    </x:row>
    <x:row r="46" ht="25" customHeight="1">
      <x:c r="A46" s="2" t="n">
        <x:v>40</x:v>
      </x:c>
      <x:c r="B46" s="2" t="str">
        <x:v>domestic_credit</x:v>
      </x:c>
      <x:c r="C46" s="2" t="str">
        <x:v>산업</x:v>
      </x:c>
      <x:c r="D46" s="2" t="str">
        <x:v>9월 추가 후보</x:v>
      </x:c>
      <x:c r="E46" s="2" t="str">
        <x:v>547 | 5158139758 | ㈜규원이엔지 바이오매스 연료기반 열에너지 공급으로 수용가 화석연료 사용량 절감 사업 | 1차 | 2023-09-05~2025-09-04</x:v>
      </x:c>
      <x:c r="F46" s="2" t="str">
        <x:v>변경 필드 없음</x:v>
      </x:c>
      <x:c r="G46" s="2" t="str"/>
      <x:c r="H46" s="2" t="str"/>
      <x:c r="I46" s="2" t="str">
        <x:v>국내_감축량_인증신청_20260731160830_산업부문.xls</x:v>
      </x:c>
      <x:c r="J46" s="2"/>
      <x:c r="K46" s="2" t="str">
        <x:v>국내_감축량_인증신청_20260921092518_산업부.xls</x:v>
      </x:c>
      <x:c r="L46" s="2" t="n">
        <x:v>6</x:v>
      </x:c>
    </x:row>
    <x:row r="47" ht="25" customHeight="1">
      <x:c r="A47" s="2" t="n">
        <x:v>41</x:v>
      </x:c>
      <x:c r="B47" s="2" t="str">
        <x:v>domestic_credit</x:v>
      </x:c>
      <x:c r="C47" s="2" t="str">
        <x:v>산업</x:v>
      </x:c>
      <x:c r="D47" s="2" t="str">
        <x:v>9월 미등장·삭제 아님</x:v>
      </x:c>
      <x:c r="E47" s="2" t="str">
        <x:v>548 | 2028116825 | ㈜한화 울산소재 질산공장 N2O 감축 프로젝트 | 9차 | 2025-01-01~2025-12-31</x:v>
      </x:c>
      <x:c r="F47" s="2" t="str">
        <x:v>변경 필드 없음</x:v>
      </x:c>
      <x:c r="G47" s="2" t="str"/>
      <x:c r="H47" s="2" t="str"/>
      <x:c r="I47" s="2" t="str">
        <x:v>국내_감축량_인증신청_20260731160830_산업부문.xls</x:v>
      </x:c>
      <x:c r="J47" s="2" t="n">
        <x:v>5</x:v>
      </x:c>
      <x:c r="K47" s="2" t="str">
        <x:v>국내_감축량_인증신청_20260921092518_산업부.xls</x:v>
      </x:c>
      <x:c r="L47" s="2"/>
    </x:row>
    <x:row r="48" ht="25" customHeight="1">
      <x:c r="A48" s="2" t="n">
        <x:v>42</x:v>
      </x:c>
      <x:c r="B48" s="2" t="str">
        <x:v>domestic_credit</x:v>
      </x:c>
      <x:c r="C48" s="2" t="str">
        <x:v>산업</x:v>
      </x:c>
      <x:c r="D48" s="2" t="str">
        <x:v>9월 추가 후보</x:v>
      </x:c>
      <x:c r="E48" s="2" t="str">
        <x:v>548 | 6108177834 | 플루오린코리아 주식회사 육불화황 회수 및 플라즈마 분해를 통한 온실가스 배출 감축사업 | 3차 | 2025-01-01~2025-12-31</x:v>
      </x:c>
      <x:c r="F48" s="2" t="str">
        <x:v>변경 필드 없음</x:v>
      </x:c>
      <x:c r="G48" s="2" t="str"/>
      <x:c r="H48" s="2" t="str"/>
      <x:c r="I48" s="2" t="str">
        <x:v>국내_감축량_인증신청_20260731160830_산업부문.xls</x:v>
      </x:c>
      <x:c r="J48" s="2"/>
      <x:c r="K48" s="2" t="str">
        <x:v>국내_감축량_인증신청_20260921092518_산업부.xls</x:v>
      </x:c>
      <x:c r="L48" s="2" t="n">
        <x:v>5</x:v>
      </x:c>
    </x:row>
    <x:row r="49" ht="25" customHeight="1">
      <x:c r="A49" s="2" t="n">
        <x:v>43</x:v>
      </x:c>
      <x:c r="B49" s="2" t="str">
        <x:v>domestic_credit</x:v>
      </x:c>
      <x:c r="C49" s="2" t="str">
        <x:v>산업</x:v>
      </x:c>
      <x:c r="D49" s="2" t="str">
        <x:v>9월 추가 후보</x:v>
      </x:c>
      <x:c r="E49" s="2" t="str">
        <x:v>549 | 2018176228 | 휴켐스 질산공장 N2O 감축사업(휴켐스 주식회사의 질산 공장 세 곳에서 tail gas에 포함된 아산화질소를 촉매를 사용하여 제거하는 프로젝트) | 26차 | 2025-01-01~2025-07-31</x:v>
      </x:c>
      <x:c r="F49" s="2" t="str">
        <x:v>변경 필드 없음</x:v>
      </x:c>
      <x:c r="G49" s="2" t="str"/>
      <x:c r="H49" s="2" t="str"/>
      <x:c r="I49" s="2" t="str">
        <x:v>국내_감축량_인증신청_20260731160830_산업부문.xls</x:v>
      </x:c>
      <x:c r="J49" s="2"/>
      <x:c r="K49" s="2" t="str">
        <x:v>국내_감축량_인증신청_20260921092518_산업부.xls</x:v>
      </x:c>
      <x:c r="L49" s="2" t="n">
        <x:v>4</x:v>
      </x:c>
    </x:row>
    <x:row r="50" ht="25" customHeight="1">
      <x:c r="A50" s="2" t="n">
        <x:v>44</x:v>
      </x:c>
      <x:c r="B50" s="2" t="str">
        <x:v>domestic_credit</x:v>
      </x:c>
      <x:c r="C50" s="2" t="str">
        <x:v>산업</x:v>
      </x:c>
      <x:c r="D50" s="2" t="str">
        <x:v>9월 미등장·삭제 아님</x:v>
      </x:c>
      <x:c r="E50" s="2" t="str">
        <x:v>549 | 2248300026 | 원주시 보안등 LED교체 ESCO용역사업 | 1차 | 2016-10-31~2023-10-30</x:v>
      </x:c>
      <x:c r="F50" s="2" t="str">
        <x:v>변경 필드 없음</x:v>
      </x:c>
      <x:c r="G50" s="2" t="str"/>
      <x:c r="H50" s="2" t="str"/>
      <x:c r="I50" s="2" t="str">
        <x:v>국내_감축량_인증신청_20260731160830_산업부문.xls</x:v>
      </x:c>
      <x:c r="J50" s="2" t="n">
        <x:v>3</x:v>
      </x:c>
      <x:c r="K50" s="2" t="str">
        <x:v>국내_감축량_인증신청_20260921092518_산업부.xls</x:v>
      </x:c>
      <x:c r="L50" s="2"/>
    </x:row>
    <x:row r="51" ht="25" customHeight="1">
      <x:c r="A51" s="2" t="n">
        <x:v>45</x:v>
      </x:c>
      <x:c r="B51" s="2" t="str">
        <x:v>domestic_credit</x:v>
      </x:c>
      <x:c r="C51" s="2" t="str">
        <x:v>산업</x:v>
      </x:c>
      <x:c r="D51" s="2" t="str">
        <x:v>9월 추가 후보</x:v>
      </x:c>
      <x:c r="E51" s="2" t="str">
        <x:v>550 | 2248300026 | 원주시 보안등 LED교체 ESCO용역사업 | 1차 | 2016-10-31~2023-10-30</x:v>
      </x:c>
      <x:c r="F51" s="2" t="str">
        <x:v>변경 필드 없음</x:v>
      </x:c>
      <x:c r="G51" s="2" t="str"/>
      <x:c r="H51" s="2" t="str"/>
      <x:c r="I51" s="2" t="str">
        <x:v>국내_감축량_인증신청_20260731160830_산업부문.xls</x:v>
      </x:c>
      <x:c r="J51" s="2"/>
      <x:c r="K51" s="2" t="str">
        <x:v>국내_감축량_인증신청_20260921092518_산업부.xls</x:v>
      </x:c>
      <x:c r="L51" s="2" t="n">
        <x:v>3</x:v>
      </x:c>
    </x:row>
    <x:row r="52" ht="25" customHeight="1">
      <x:c r="A52" s="2" t="n">
        <x:v>46</x:v>
      </x:c>
      <x:c r="B52" s="2" t="str">
        <x:v>domestic_credit</x:v>
      </x:c>
      <x:c r="C52" s="2" t="str">
        <x:v>산업</x:v>
      </x:c>
      <x:c r="D52" s="2" t="str">
        <x:v>9월 미등장·삭제 아님</x:v>
      </x:c>
      <x:c r="E52" s="2" t="str">
        <x:v>550 | 6108177834 | 플루오린코리아 주식회사 육불화황 회수 및 플라즈마 분해를 통한 온실가스 배출 감축사업 | 3차 | 2025-01-01~2025-12-31</x:v>
      </x:c>
      <x:c r="F52" s="2" t="str">
        <x:v>변경 필드 없음</x:v>
      </x:c>
      <x:c r="G52" s="2" t="str"/>
      <x:c r="H52" s="2" t="str"/>
      <x:c r="I52" s="2" t="str">
        <x:v>국내_감축량_인증신청_20260731160830_산업부문.xls</x:v>
      </x:c>
      <x:c r="J52" s="2" t="n">
        <x:v>4</x:v>
      </x:c>
      <x:c r="K52" s="2" t="str">
        <x:v>국내_감축량_인증신청_20260921092518_산업부.xls</x:v>
      </x:c>
      <x:c r="L52" s="2"/>
    </x:row>
    <x:row r="53" ht="25" customHeight="1">
      <x:c r="A53" s="2" t="n">
        <x:v>47</x:v>
      </x:c>
      <x:c r="B53" s="2" t="str">
        <x:v>domestic_credit</x:v>
      </x:c>
      <x:c r="C53" s="2" t="str">
        <x:v>산업</x:v>
      </x:c>
      <x:c r="D53" s="2" t="str">
        <x:v>9월 미등장·삭제 아님</x:v>
      </x:c>
      <x:c r="E53" s="2" t="str">
        <x:v>551 | 2018176228 | 휴켐스 질산공장 N2O 감축사업(휴켐스 주식회사의 질산 공장 세 곳에서 tail gas에 포함된 아산화질소를 촉매를 사용하여 제거하는 프로젝트) | 26차 | 2025-01-01~2025-07-31</x:v>
      </x:c>
      <x:c r="F53" s="2" t="str">
        <x:v>변경 필드 없음</x:v>
      </x:c>
      <x:c r="G53" s="2" t="str"/>
      <x:c r="H53" s="2" t="str"/>
      <x:c r="I53" s="2" t="str">
        <x:v>국내_감축량_인증신청_20260731160830_산업부문.xls</x:v>
      </x:c>
      <x:c r="J53" s="2" t="n">
        <x:v>2</x:v>
      </x:c>
      <x:c r="K53" s="2" t="str">
        <x:v>국내_감축량_인증신청_20260921092518_산업부.xls</x:v>
      </x:c>
      <x:c r="L53" s="2"/>
    </x:row>
    <x:row r="54" ht="25" customHeight="1">
      <x:c r="A54" s="2" t="n">
        <x:v>48</x:v>
      </x:c>
      <x:c r="B54" s="2" t="str">
        <x:v>domestic_credit</x:v>
      </x:c>
      <x:c r="C54" s="2" t="str">
        <x:v>산업</x:v>
      </x:c>
      <x:c r="D54" s="2" t="str">
        <x:v>9월 추가 후보</x:v>
      </x:c>
      <x:c r="E54" s="2" t="str">
        <x:v>551 | 2028116825 | ㈜한화 울산소재 질산공장 N2O 감축 프로젝트 | 9차 | 2025-01-01~2025-12-31</x:v>
      </x:c>
      <x:c r="F54" s="2" t="str">
        <x:v>변경 필드 없음</x:v>
      </x:c>
      <x:c r="G54" s="2" t="str"/>
      <x:c r="H54" s="2" t="str"/>
      <x:c r="I54" s="2" t="str">
        <x:v>국내_감축량_인증신청_20260731160830_산업부문.xls</x:v>
      </x:c>
      <x:c r="J54" s="2"/>
      <x:c r="K54" s="2" t="str">
        <x:v>국내_감축량_인증신청_20260921092518_산업부.xls</x:v>
      </x:c>
      <x:c r="L54" s="2" t="n">
        <x:v>2</x:v>
      </x:c>
    </x:row>
    <x:row r="55" ht="25" customHeight="1">
      <x:c r="A55" s="2" t="n">
        <x:v>49</x:v>
      </x:c>
      <x:c r="B55" s="2" t="str">
        <x:v>domestic_credit</x:v>
      </x:c>
      <x:c r="C55" s="2" t="str">
        <x:v>산업</x:v>
      </x:c>
      <x:c r="D55" s="2" t="str">
        <x:v>값 변경</x:v>
      </x:c>
      <x:c r="E55" s="2" t="str">
        <x:v>57 | 1428145237 | 삼성전자 SF6 저감 사업 | 2차 | 2011-03-01~2013-10-31</x:v>
      </x:c>
      <x:c r="F55" s="2" t="str">
        <x:v>사업분야</x:v>
      </x:c>
      <x:c r="G55" s="2" t="str">
        <x:v>할로겐화탄소, 육불화항 생산및소비로부터의 탈루배출</x:v>
      </x:c>
      <x:c r="H55" s="2" t="str">
        <x:v>할로겐화탄소, 육불화황 생산및소비로부터의 탈루배출</x:v>
      </x:c>
      <x:c r="I55" s="2" t="str">
        <x:v>국내_감축량_인증신청_20260731160830_산업부문.xls</x:v>
      </x:c>
      <x:c r="J55" s="2" t="n">
        <x:v>496</x:v>
      </x:c>
      <x:c r="K55" s="2" t="str">
        <x:v>국내_감축량_인증신청_20260921092518_산업부.xls</x:v>
      </x:c>
      <x:c r="L55" s="2" t="n">
        <x:v>496</x:v>
      </x:c>
    </x:row>
    <x:row r="56" ht="25" customHeight="1">
      <x:c r="A56" s="2" t="n">
        <x:v>50</x:v>
      </x:c>
      <x:c r="B56" s="2" t="str">
        <x:v>domestic_credit</x:v>
      </x:c>
      <x:c r="C56" s="2" t="str">
        <x:v>산업</x:v>
      </x:c>
      <x:c r="D56" s="2" t="str">
        <x:v>값 변경</x:v>
      </x:c>
      <x:c r="E56" s="2" t="str">
        <x:v>58 | 3148173570 | 삼성전자 SF6 저감 사업 | 1차 | 2011-03-01~2013-10-31</x:v>
      </x:c>
      <x:c r="F56" s="2" t="str">
        <x:v>사업분야</x:v>
      </x:c>
      <x:c r="G56" s="2" t="str">
        <x:v>할로겐화탄소, 육불화항 생산및소비로부터의 탈루배출</x:v>
      </x:c>
      <x:c r="H56" s="2" t="str">
        <x:v>할로겐화탄소, 육불화황 생산및소비로부터의 탈루배출</x:v>
      </x:c>
      <x:c r="I56" s="2" t="str">
        <x:v>국내_감축량_인증신청_20260731160830_산업부문.xls</x:v>
      </x:c>
      <x:c r="J56" s="2" t="n">
        <x:v>495</x:v>
      </x:c>
      <x:c r="K56" s="2" t="str">
        <x:v>국내_감축량_인증신청_20260921092518_산업부.xls</x:v>
      </x:c>
      <x:c r="L56" s="2" t="n">
        <x:v>495</x:v>
      </x:c>
    </x:row>
    <x:row r="57" ht="25" customHeight="1">
      <x:c r="A57" s="2" t="n">
        <x:v>51</x:v>
      </x:c>
      <x:c r="B57" s="2" t="str">
        <x:v>domestic_credit</x:v>
      </x:c>
      <x:c r="C57" s="2" t="str">
        <x:v>산업</x:v>
      </x:c>
      <x:c r="D57" s="2" t="str">
        <x:v>값 변경</x:v>
      </x:c>
      <x:c r="E57" s="2" t="str">
        <x:v>6 | 1428156603 | 한국의 LCD 제조 과정의 SF6 방출 감축을 위한 사용점 감축 설비 | 7차 | 2012-04-01~2012-08-31</x:v>
      </x:c>
      <x:c r="F57" s="2" t="str">
        <x:v>사업분야</x:v>
      </x:c>
      <x:c r="G57" s="2" t="str">
        <x:v>할로겐화탄소, 육불화항 생산및소비로부터의 탈루배출</x:v>
      </x:c>
      <x:c r="H57" s="2" t="str">
        <x:v>할로겐화탄소, 육불화황 생산및소비로부터의 탈루배출</x:v>
      </x:c>
      <x:c r="I57" s="2" t="str">
        <x:v>국내_감축량_인증신청_20260731160830_산업부문.xls</x:v>
      </x:c>
      <x:c r="J57" s="2" t="n">
        <x:v>547</x:v>
      </x:c>
      <x:c r="K57" s="2" t="str">
        <x:v>국내_감축량_인증신청_20260921092518_산업부.xls</x:v>
      </x:c>
      <x:c r="L57" s="2" t="n">
        <x:v>547</x:v>
      </x:c>
    </x:row>
    <x:row r="58" ht="25" customHeight="1">
      <x:c r="A58" s="2" t="n">
        <x:v>52</x:v>
      </x:c>
      <x:c r="B58" s="2" t="str">
        <x:v>domestic_credit</x:v>
      </x:c>
      <x:c r="C58" s="2" t="str">
        <x:v>산업</x:v>
      </x:c>
      <x:c r="D58" s="2" t="str">
        <x:v>값 변경</x:v>
      </x:c>
      <x:c r="E58" s="2" t="str">
        <x:v>63 | 6108177834 | SF6 회수 및 재생사업 | 3차 | 2015-01-01~2015-12-31</x:v>
      </x:c>
      <x:c r="F58" s="2" t="str">
        <x:v>사업분야</x:v>
      </x:c>
      <x:c r="G58" s="2" t="str">
        <x:v>할로겐화탄소, 육불화항 생산및소비로부터의 탈루배출</x:v>
      </x:c>
      <x:c r="H58" s="2" t="str">
        <x:v>할로겐화탄소, 육불화황 생산및소비로부터의 탈루배출</x:v>
      </x:c>
      <x:c r="I58" s="2" t="str">
        <x:v>국내_감축량_인증신청_20260731160830_산업부문.xls</x:v>
      </x:c>
      <x:c r="J58" s="2" t="n">
        <x:v>490</x:v>
      </x:c>
      <x:c r="K58" s="2" t="str">
        <x:v>국내_감축량_인증신청_20260921092518_산업부.xls</x:v>
      </x:c>
      <x:c r="L58" s="2" t="n">
        <x:v>490</x:v>
      </x:c>
    </x:row>
    <x:row r="59" ht="25" customHeight="1">
      <x:c r="A59" s="2" t="n">
        <x:v>53</x:v>
      </x:c>
      <x:c r="B59" s="2" t="str">
        <x:v>domestic_credit</x:v>
      </x:c>
      <x:c r="C59" s="2" t="str">
        <x:v>산업</x:v>
      </x:c>
      <x:c r="D59" s="2" t="str">
        <x:v>값 변경</x:v>
      </x:c>
      <x:c r="E59" s="2" t="str">
        <x:v>64 | 3148173570 | SF6 회수 및 재생사업 | 3차 | 2015-01-01~2015-12-31</x:v>
      </x:c>
      <x:c r="F59" s="2" t="str">
        <x:v>사업분야</x:v>
      </x:c>
      <x:c r="G59" s="2" t="str">
        <x:v>할로겐화탄소, 육불화항 생산및소비로부터의 탈루배출</x:v>
      </x:c>
      <x:c r="H59" s="2" t="str">
        <x:v>할로겐화탄소, 육불화황 생산및소비로부터의 탈루배출</x:v>
      </x:c>
      <x:c r="I59" s="2" t="str">
        <x:v>국내_감축량_인증신청_20260731160830_산업부문.xls</x:v>
      </x:c>
      <x:c r="J59" s="2" t="n">
        <x:v>489</x:v>
      </x:c>
      <x:c r="K59" s="2" t="str">
        <x:v>국내_감축량_인증신청_20260921092518_산업부.xls</x:v>
      </x:c>
      <x:c r="L59" s="2" t="n">
        <x:v>489</x:v>
      </x:c>
    </x:row>
    <x:row r="60" ht="25" customHeight="1">
      <x:c r="A60" s="2" t="n">
        <x:v>54</x:v>
      </x:c>
      <x:c r="B60" s="2" t="str">
        <x:v>domestic_credit</x:v>
      </x:c>
      <x:c r="C60" s="2" t="str">
        <x:v>산업</x:v>
      </x:c>
      <x:c r="D60" s="2" t="str">
        <x:v>값 변경</x:v>
      </x:c>
      <x:c r="E60" s="2" t="str">
        <x:v>7 | 1428156603 | 한국의 LCD 제조 과정의 SF6 방출 감축을 위한 사용점 감축 설비 | 1차 | 2010-08-01~2010-09-30</x:v>
      </x:c>
      <x:c r="F60" s="2" t="str">
        <x:v>사업분야</x:v>
      </x:c>
      <x:c r="G60" s="2" t="str">
        <x:v>할로겐화탄소, 육불화항 생산및소비로부터의 탈루배출</x:v>
      </x:c>
      <x:c r="H60" s="2" t="str">
        <x:v>할로겐화탄소, 육불화황 생산및소비로부터의 탈루배출</x:v>
      </x:c>
      <x:c r="I60" s="2" t="str">
        <x:v>국내_감축량_인증신청_20260731160830_산업부문.xls</x:v>
      </x:c>
      <x:c r="J60" s="2" t="n">
        <x:v>546</x:v>
      </x:c>
      <x:c r="K60" s="2" t="str">
        <x:v>국내_감축량_인증신청_20260921092518_산업부.xls</x:v>
      </x:c>
      <x:c r="L60" s="2" t="n">
        <x:v>546</x:v>
      </x:c>
    </x:row>
    <x:row r="61" ht="25" customHeight="1">
      <x:c r="A61" s="2" t="n">
        <x:v>55</x:v>
      </x:c>
      <x:c r="B61" s="2" t="str">
        <x:v>domestic_credit</x:v>
      </x:c>
      <x:c r="C61" s="2" t="str">
        <x:v>산업</x:v>
      </x:c>
      <x:c r="D61" s="2" t="str">
        <x:v>값 변경</x:v>
      </x:c>
      <x:c r="E61" s="2" t="str">
        <x:v>8 | 1428156603 | 한국의 LCD 제조 과정의 SF6 방출 감축을 위한 사용점 감축 설비 | 2차 | 2010-10-01~2010-12-31</x:v>
      </x:c>
      <x:c r="F61" s="2" t="str">
        <x:v>사업분야</x:v>
      </x:c>
      <x:c r="G61" s="2" t="str">
        <x:v>할로겐화탄소, 육불화항 생산및소비로부터의 탈루배출</x:v>
      </x:c>
      <x:c r="H61" s="2" t="str">
        <x:v>할로겐화탄소, 육불화황 생산및소비로부터의 탈루배출</x:v>
      </x:c>
      <x:c r="I61" s="2" t="str">
        <x:v>국내_감축량_인증신청_20260731160830_산업부문.xls</x:v>
      </x:c>
      <x:c r="J61" s="2" t="n">
        <x:v>545</x:v>
      </x:c>
      <x:c r="K61" s="2" t="str">
        <x:v>국내_감축량_인증신청_20260921092518_산업부.xls</x:v>
      </x:c>
      <x:c r="L61" s="2" t="n">
        <x:v>545</x:v>
      </x:c>
    </x:row>
    <x:row r="62" ht="25" customHeight="1">
      <x:c r="A62" s="2" t="n">
        <x:v>56</x:v>
      </x:c>
      <x:c r="B62" s="2" t="str">
        <x:v>domestic_credit</x:v>
      </x:c>
      <x:c r="C62" s="2" t="str">
        <x:v>산업</x:v>
      </x:c>
      <x:c r="D62" s="2" t="str">
        <x:v>값 변경</x:v>
      </x:c>
      <x:c r="E62" s="2" t="str">
        <x:v>84 | 3148173570 | 한국의 LCD 제조 과정의 SF6 방출 감축을 위한 사용점 감축설비 | 7차 | 2013-01-01~2013-04-02</x:v>
      </x:c>
      <x:c r="F62" s="2" t="str">
        <x:v>사업분야</x:v>
      </x:c>
      <x:c r="G62" s="2" t="str">
        <x:v>할로겐화탄소, 육불화항 생산및소비로부터의 탈루배출</x:v>
      </x:c>
      <x:c r="H62" s="2" t="str">
        <x:v>할로겐화탄소, 육불화황 생산및소비로부터의 탈루배출</x:v>
      </x:c>
      <x:c r="I62" s="2" t="str">
        <x:v>국내_감축량_인증신청_20260731160830_산업부문.xls</x:v>
      </x:c>
      <x:c r="J62" s="2" t="n">
        <x:v>469</x:v>
      </x:c>
      <x:c r="K62" s="2" t="str">
        <x:v>국내_감축량_인증신청_20260921092518_산업부.xls</x:v>
      </x:c>
      <x:c r="L62" s="2" t="n">
        <x:v>469</x:v>
      </x:c>
    </x:row>
    <x:row r="63" ht="25" customHeight="1">
      <x:c r="A63" s="2" t="n">
        <x:v>57</x:v>
      </x:c>
      <x:c r="B63" s="2" t="str">
        <x:v>domestic_credit</x:v>
      </x:c>
      <x:c r="C63" s="2" t="str">
        <x:v>산업</x:v>
      </x:c>
      <x:c r="D63" s="2" t="str">
        <x:v>값 변경</x:v>
      </x:c>
      <x:c r="E63" s="2" t="str">
        <x:v>85 | 1168118686 | 한국의 LCD 제조 과정의 SF6 방출 감축을 위한 사용점 감축 설비 | 7차 | 2013-01-01~2013-04-02</x:v>
      </x:c>
      <x:c r="F63" s="2" t="str">
        <x:v>사업분야</x:v>
      </x:c>
      <x:c r="G63" s="2" t="str">
        <x:v>할로겐화탄소, 육불화항 생산및소비로부터의 탈루배출</x:v>
      </x:c>
      <x:c r="H63" s="2" t="str">
        <x:v>할로겐화탄소, 육불화황 생산및소비로부터의 탈루배출</x:v>
      </x:c>
      <x:c r="I63" s="2" t="str">
        <x:v>국내_감축량_인증신청_20260731160830_산업부문.xls</x:v>
      </x:c>
      <x:c r="J63" s="2" t="n">
        <x:v>468</x:v>
      </x:c>
      <x:c r="K63" s="2" t="str">
        <x:v>국내_감축량_인증신청_20260921092518_산업부.xls</x:v>
      </x:c>
      <x:c r="L63" s="2" t="n">
        <x:v>468</x:v>
      </x:c>
    </x:row>
    <x:row r="64" ht="25" customHeight="1">
      <x:c r="A64" s="2" t="n">
        <x:v>58</x:v>
      </x:c>
      <x:c r="B64" s="2" t="str">
        <x:v>domestic_credit</x:v>
      </x:c>
      <x:c r="C64" s="2" t="str">
        <x:v>산업</x:v>
      </x:c>
      <x:c r="D64" s="2" t="str">
        <x:v>값 변경</x:v>
      </x:c>
      <x:c r="E64" s="2" t="str">
        <x:v>86 | 6108177834 | SF6 회수 및 재생사업 | 4차 | 2016-01-01~2016-12-31</x:v>
      </x:c>
      <x:c r="F64" s="2" t="str">
        <x:v>사업분야</x:v>
      </x:c>
      <x:c r="G64" s="2" t="str">
        <x:v>할로겐화탄소, 육불화항 생산및소비로부터의 탈루배출</x:v>
      </x:c>
      <x:c r="H64" s="2" t="str">
        <x:v>할로겐화탄소, 육불화황 생산및소비로부터의 탈루배출</x:v>
      </x:c>
      <x:c r="I64" s="2" t="str">
        <x:v>국내_감축량_인증신청_20260731160830_산업부문.xls</x:v>
      </x:c>
      <x:c r="J64" s="2" t="n">
        <x:v>467</x:v>
      </x:c>
      <x:c r="K64" s="2" t="str">
        <x:v>국내_감축량_인증신청_20260921092518_산업부.xls</x:v>
      </x:c>
      <x:c r="L64" s="2" t="n">
        <x:v>467</x:v>
      </x:c>
    </x:row>
    <x:row r="65" ht="25" customHeight="1">
      <x:c r="A65" s="2" t="n">
        <x:v>59</x:v>
      </x:c>
      <x:c r="B65" s="2" t="str">
        <x:v>domestic_credit</x:v>
      </x:c>
      <x:c r="C65" s="2" t="str">
        <x:v>산업</x:v>
      </x:c>
      <x:c r="D65" s="2" t="str">
        <x:v>값 변경</x:v>
      </x:c>
      <x:c r="E65" s="2" t="str">
        <x:v>9 | 1428156603 | 한국의 LCD 제조 과정의 SF6 방출 감축을 위한 사용점 감축 설비 | 3차 | 2011-01-01~2011-04-30</x:v>
      </x:c>
      <x:c r="F65" s="2" t="str">
        <x:v>사업분야</x:v>
      </x:c>
      <x:c r="G65" s="2" t="str">
        <x:v>할로겐화탄소, 육불화항 생산및소비로부터의 탈루배출</x:v>
      </x:c>
      <x:c r="H65" s="2" t="str">
        <x:v>할로겐화탄소, 육불화황 생산및소비로부터의 탈루배출</x:v>
      </x:c>
      <x:c r="I65" s="2" t="str">
        <x:v>국내_감축량_인증신청_20260731160830_산업부문.xls</x:v>
      </x:c>
      <x:c r="J65" s="2" t="n">
        <x:v>544</x:v>
      </x:c>
      <x:c r="K65" s="2" t="str">
        <x:v>국내_감축량_인증신청_20260921092518_산업부.xls</x:v>
      </x:c>
      <x:c r="L65" s="2" t="n">
        <x:v>544</x:v>
      </x:c>
    </x:row>
    <x:row r="66" ht="25" customHeight="1">
      <x:c r="A66" s="2" t="n">
        <x:v>60</x:v>
      </x:c>
      <x:c r="B66" s="2" t="str">
        <x:v>domestic_credit</x:v>
      </x:c>
      <x:c r="C66" s="2" t="str">
        <x:v>산업</x:v>
      </x:c>
      <x:c r="D66" s="2" t="str">
        <x:v>값 변경</x:v>
      </x:c>
      <x:c r="E66" s="2" t="str">
        <x:v>90 | 3148173570 | SF6 회수 및 재생사업 | 4차 | 2016-01-01~2016-12-31</x:v>
      </x:c>
      <x:c r="F66" s="2" t="str">
        <x:v>사업분야</x:v>
      </x:c>
      <x:c r="G66" s="2" t="str">
        <x:v>할로겐화탄소, 육불화항 생산및소비로부터의 탈루배출</x:v>
      </x:c>
      <x:c r="H66" s="2" t="str">
        <x:v>할로겐화탄소, 육불화황 생산및소비로부터의 탈루배출</x:v>
      </x:c>
      <x:c r="I66" s="2" t="str">
        <x:v>국내_감축량_인증신청_20260731160830_산업부문.xls</x:v>
      </x:c>
      <x:c r="J66" s="2" t="n">
        <x:v>463</x:v>
      </x:c>
      <x:c r="K66" s="2" t="str">
        <x:v>국내_감축량_인증신청_20260921092518_산업부.xls</x:v>
      </x:c>
      <x:c r="L66" s="2" t="n">
        <x:v>463</x:v>
      </x:c>
    </x:row>
    <x:row r="67" ht="25" customHeight="1">
      <x:c r="A67" s="2" t="n">
        <x:v>61</x:v>
      </x:c>
      <x:c r="B67" s="2" t="str">
        <x:v>domestic_credit</x:v>
      </x:c>
      <x:c r="C67" s="2" t="str">
        <x:v>산업</x:v>
      </x:c>
      <x:c r="D67" s="2" t="str">
        <x:v>값 변경</x:v>
      </x:c>
      <x:c r="E67" s="2" t="str">
        <x:v>93 | 1428156603 | 한국의 LCD 제조 과정의 SF6 방출 감축을 위한 사용점 감축 설비 | 9차 | 2013-01-01~2013-04-02</x:v>
      </x:c>
      <x:c r="F67" s="2" t="str">
        <x:v>사업분야</x:v>
      </x:c>
      <x:c r="G67" s="2" t="str">
        <x:v>할로겐화탄소, 육불화항 생산및소비로부터의 탈루배출</x:v>
      </x:c>
      <x:c r="H67" s="2" t="str">
        <x:v>할로겐화탄소, 육불화황 생산및소비로부터의 탈루배출</x:v>
      </x:c>
      <x:c r="I67" s="2" t="str">
        <x:v>국내_감축량_인증신청_20260731160830_산업부문.xls</x:v>
      </x:c>
      <x:c r="J67" s="2" t="n">
        <x:v>460</x:v>
      </x:c>
      <x:c r="K67" s="2" t="str">
        <x:v>국내_감축량_인증신청_20260921092518_산업부.xls</x:v>
      </x:c>
      <x:c r="L67" s="2" t="n">
        <x:v>460</x:v>
      </x:c>
    </x:row>
    <x:row r="68" ht="25" customHeight="1">
      <x:c r="A68" s="2" t="n">
        <x:v>62</x:v>
      </x:c>
      <x:c r="B68" s="2" t="str">
        <x:v>domestic_credit</x:v>
      </x:c>
      <x:c r="C68" s="2" t="str">
        <x:v>산업</x:v>
      </x:c>
      <x:c r="D68" s="2" t="str">
        <x:v>값 변경</x:v>
      </x:c>
      <x:c r="E68" s="2" t="str">
        <x:v>95 | 1428145237 | 삼성전자 SF6 저감 사업 | 3차 | 2013-11-01~2015-02-28</x:v>
      </x:c>
      <x:c r="F68" s="2" t="str">
        <x:v>사업분야</x:v>
      </x:c>
      <x:c r="G68" s="2" t="str">
        <x:v>할로겐화탄소, 육불화항 생산및소비로부터의 탈루배출</x:v>
      </x:c>
      <x:c r="H68" s="2" t="str">
        <x:v>할로겐화탄소, 육불화황 생산및소비로부터의 탈루배출</x:v>
      </x:c>
      <x:c r="I68" s="2" t="str">
        <x:v>국내_감축량_인증신청_20260731160830_산업부문.xls</x:v>
      </x:c>
      <x:c r="J68" s="2" t="n">
        <x:v>458</x:v>
      </x:c>
      <x:c r="K68" s="2" t="str">
        <x:v>국내_감축량_인증신청_20260921092518_산업부.xls</x:v>
      </x:c>
      <x:c r="L68" s="2" t="n">
        <x:v>458</x:v>
      </x:c>
    </x:row>
    <x:row r="69" ht="25" customHeight="1">
      <x:c r="A69" s="2" t="n">
        <x:v>63</x:v>
      </x:c>
      <x:c r="B69" s="2" t="str">
        <x:v>domestic_project</x:v>
      </x:c>
      <x:c r="C69" s="2" t="str">
        <x:v>산업</x:v>
      </x:c>
      <x:c r="D69" s="2" t="str">
        <x:v>값 변경</x:v>
      </x:c>
      <x:c r="E69" s="2" t="str">
        <x:v>10 | 3148173570 | SF6 회수 및 재생사업 | 신규 | - | -</x:v>
      </x:c>
      <x:c r="F69" s="2" t="str">
        <x:v>사업분야</x:v>
      </x:c>
      <x:c r="G69" s="2" t="str">
        <x:v>할로겐화탄소, 육불화항 생산및소비로부터의 탈루배출</x:v>
      </x:c>
      <x:c r="H69" s="2" t="str">
        <x:v>할로겐화탄소, 육불화황 생산및소비로부터의 탈루배출</x:v>
      </x:c>
      <x:c r="I69" s="2" t="str">
        <x:v>국내_사업신청관리_20260731_산업부문.xls</x:v>
      </x:c>
      <x:c r="J69" s="2" t="n">
        <x:v>1033</x:v>
      </x:c>
      <x:c r="K69" s="2" t="str">
        <x:v>국내_사업신청관리_20260921_산업부.xls</x:v>
      </x:c>
      <x:c r="L69" s="2" t="n">
        <x:v>1038</x:v>
      </x:c>
    </x:row>
    <x:row r="70" ht="25" customHeight="1">
      <x:c r="A70" s="2" t="n">
        <x:v>64</x:v>
      </x:c>
      <x:c r="B70" s="2" t="str">
        <x:v>domestic_project</x:v>
      </x:c>
      <x:c r="C70" s="2" t="str">
        <x:v>산업</x:v>
      </x:c>
      <x:c r="D70" s="2" t="str">
        <x:v>9월 미등장·삭제 아님</x:v>
      </x:c>
      <x:c r="E70" s="2" t="str">
        <x:v>1000 | 5048138778 | 씨엘테크 외 5개사의 인버터 공기압축기 교체를 통한 온실가스 감축사업 | 신규 | - | -</x:v>
      </x:c>
      <x:c r="F70" s="2" t="str">
        <x:v>변경 필드 없음</x:v>
      </x:c>
      <x:c r="G70" s="2" t="str"/>
      <x:c r="H70" s="2" t="str"/>
      <x:c r="I70" s="2" t="str">
        <x:v>국내_사업신청관리_20260731_산업부문.xls</x:v>
      </x:c>
      <x:c r="J70" s="2" t="n">
        <x:v>43</x:v>
      </x:c>
      <x:c r="K70" s="2" t="str">
        <x:v>국내_사업신청관리_20260921_산업부.xls</x:v>
      </x:c>
      <x:c r="L70" s="2"/>
    </x:row>
    <x:row r="71" ht="25" customHeight="1">
      <x:c r="A71" s="2" t="n">
        <x:v>65</x:v>
      </x:c>
      <x:c r="B71" s="2" t="str">
        <x:v>domestic_project</x:v>
      </x:c>
      <x:c r="C71" s="2" t="str">
        <x:v>산업</x:v>
      </x:c>
      <x:c r="D71" s="2" t="str">
        <x:v>9월 추가 후보</x:v>
      </x:c>
      <x:c r="E71" s="2" t="str">
        <x:v>1000 | 5048138778 | 주식회사 정석케미칼 외 4개사의 인버터 공기압축기 교체를 통한 온실가스 감축사업 | 신규 | - | -</x:v>
      </x:c>
      <x:c r="F71" s="2" t="str">
        <x:v>변경 필드 없음</x:v>
      </x:c>
      <x:c r="G71" s="2" t="str"/>
      <x:c r="H71" s="2" t="str"/>
      <x:c r="I71" s="2" t="str">
        <x:v>국내_사업신청관리_20260731_산업부문.xls</x:v>
      </x:c>
      <x:c r="J71" s="2"/>
      <x:c r="K71" s="2" t="str">
        <x:v>국내_사업신청관리_20260921_산업부.xls</x:v>
      </x:c>
      <x:c r="L71" s="2" t="n">
        <x:v>48</x:v>
      </x:c>
    </x:row>
    <x:row r="72" ht="25" customHeight="1">
      <x:c r="A72" s="2" t="n">
        <x:v>66</x:v>
      </x:c>
      <x:c r="B72" s="2" t="str">
        <x:v>domestic_project</x:v>
      </x:c>
      <x:c r="C72" s="2" t="str">
        <x:v>산업</x:v>
      </x:c>
      <x:c r="D72" s="2" t="str">
        <x:v>9월 추가 후보</x:v>
      </x:c>
      <x:c r="E72" s="2" t="str">
        <x:v>1001 | 2168108703 | 방태산업(주) 연료 전환(B-C유에서 LPG)을 통한 온실가스 배출 감축사업 | 신규 | - | -</x:v>
      </x:c>
      <x:c r="F72" s="2" t="str">
        <x:v>변경 필드 없음</x:v>
      </x:c>
      <x:c r="G72" s="2" t="str"/>
      <x:c r="H72" s="2" t="str"/>
      <x:c r="I72" s="2" t="str">
        <x:v>국내_사업신청관리_20260731_산업부문.xls</x:v>
      </x:c>
      <x:c r="J72" s="2"/>
      <x:c r="K72" s="2" t="str">
        <x:v>국내_사업신청관리_20260921_산업부.xls</x:v>
      </x:c>
      <x:c r="L72" s="2" t="n">
        <x:v>47</x:v>
      </x:c>
    </x:row>
    <x:row r="73" ht="25" customHeight="1">
      <x:c r="A73" s="2" t="n">
        <x:v>67</x:v>
      </x:c>
      <x:c r="B73" s="2" t="str">
        <x:v>domestic_project</x:v>
      </x:c>
      <x:c r="C73" s="2" t="str">
        <x:v>산업</x:v>
      </x:c>
      <x:c r="D73" s="2" t="str">
        <x:v>9월 미등장·삭제 아님</x:v>
      </x:c>
      <x:c r="E73" s="2" t="str">
        <x:v>1001 | 5048138778 | 삼환염공(주) 외 5개사의 인버터 공기압축기 교체를 통한 온실가스 감축사업 | 신규 | - | -</x:v>
      </x:c>
      <x:c r="F73" s="2" t="str">
        <x:v>변경 필드 없음</x:v>
      </x:c>
      <x:c r="G73" s="2" t="str"/>
      <x:c r="H73" s="2" t="str"/>
      <x:c r="I73" s="2" t="str">
        <x:v>국내_사업신청관리_20260731_산업부문.xls</x:v>
      </x:c>
      <x:c r="J73" s="2" t="n">
        <x:v>42</x:v>
      </x:c>
      <x:c r="K73" s="2" t="str">
        <x:v>국내_사업신청관리_20260921_산업부.xls</x:v>
      </x:c>
      <x:c r="L73" s="2"/>
    </x:row>
    <x:row r="74" ht="25" customHeight="1">
      <x:c r="A74" s="2" t="n">
        <x:v>68</x:v>
      </x:c>
      <x:c r="B74" s="2" t="str">
        <x:v>domestic_project</x:v>
      </x:c>
      <x:c r="C74" s="2" t="str">
        <x:v>산업</x:v>
      </x:c>
      <x:c r="D74" s="2" t="str">
        <x:v>9월 추가 후보</x:v>
      </x:c>
      <x:c r="E74" s="2" t="str">
        <x:v>1002 | 1298628832 | ㈜공영사 연료전환(B-C유 → LPG)을 통한 온실가스 배출 감축사업 | 신규 | - | -</x:v>
      </x:c>
      <x:c r="F74" s="2" t="str">
        <x:v>변경 필드 없음</x:v>
      </x:c>
      <x:c r="G74" s="2" t="str"/>
      <x:c r="H74" s="2" t="str"/>
      <x:c r="I74" s="2" t="str">
        <x:v>국내_사업신청관리_20260731_산업부문.xls</x:v>
      </x:c>
      <x:c r="J74" s="2"/>
      <x:c r="K74" s="2" t="str">
        <x:v>국내_사업신청관리_20260921_산업부.xls</x:v>
      </x:c>
      <x:c r="L74" s="2" t="n">
        <x:v>46</x:v>
      </x:c>
    </x:row>
    <x:row r="75" ht="25" customHeight="1">
      <x:c r="A75" s="2" t="n">
        <x:v>69</x:v>
      </x:c>
      <x:c r="B75" s="2" t="str">
        <x:v>domestic_project</x:v>
      </x:c>
      <x:c r="C75" s="2" t="str">
        <x:v>산업</x:v>
      </x:c>
      <x:c r="D75" s="2" t="str">
        <x:v>9월 미등장·삭제 아님</x:v>
      </x:c>
      <x:c r="E75" s="2" t="str">
        <x:v>1002 | 8498100781 | (주)동해로씨푸드 인버터 공기압축기 교체를 통한 온실가스 감축사업 | 신규 | - | -</x:v>
      </x:c>
      <x:c r="F75" s="2" t="str">
        <x:v>변경 필드 없음</x:v>
      </x:c>
      <x:c r="G75" s="2" t="str"/>
      <x:c r="H75" s="2" t="str"/>
      <x:c r="I75" s="2" t="str">
        <x:v>국내_사업신청관리_20260731_산업부문.xls</x:v>
      </x:c>
      <x:c r="J75" s="2" t="n">
        <x:v>41</x:v>
      </x:c>
      <x:c r="K75" s="2" t="str">
        <x:v>국내_사업신청관리_20260921_산업부.xls</x:v>
      </x:c>
      <x:c r="L75" s="2"/>
    </x:row>
    <x:row r="76" ht="25" customHeight="1">
      <x:c r="A76" s="2" t="n">
        <x:v>70</x:v>
      </x:c>
      <x:c r="B76" s="2" t="str">
        <x:v>domestic_project</x:v>
      </x:c>
      <x:c r="C76" s="2" t="str">
        <x:v>산업</x:v>
      </x:c>
      <x:c r="D76" s="2" t="str">
        <x:v>9월 미등장·삭제 아님</x:v>
      </x:c>
      <x:c r="E76" s="2" t="str">
        <x:v>1003 | 5048138778 | (주)동양코어 외 5개사의 고효율 공기압축기 교체를 통한 온실가스 감축사업 | 신규 | - | -</x:v>
      </x:c>
      <x:c r="F76" s="2" t="str">
        <x:v>변경 필드 없음</x:v>
      </x:c>
      <x:c r="G76" s="2" t="str"/>
      <x:c r="H76" s="2" t="str"/>
      <x:c r="I76" s="2" t="str">
        <x:v>국내_사업신청관리_20260731_산업부문.xls</x:v>
      </x:c>
      <x:c r="J76" s="2" t="n">
        <x:v>40</x:v>
      </x:c>
      <x:c r="K76" s="2" t="str">
        <x:v>국내_사업신청관리_20260921_산업부.xls</x:v>
      </x:c>
      <x:c r="L76" s="2"/>
    </x:row>
    <x:row r="77" ht="25" customHeight="1">
      <x:c r="A77" s="2" t="n">
        <x:v>71</x:v>
      </x:c>
      <x:c r="B77" s="2" t="str">
        <x:v>domestic_project</x:v>
      </x:c>
      <x:c r="C77" s="2" t="str">
        <x:v>산업</x:v>
      </x:c>
      <x:c r="D77" s="2" t="str">
        <x:v>9월 추가 후보</x:v>
      </x:c>
      <x:c r="E77" s="2" t="str">
        <x:v>1003 | 5078104049 | 주식회사 창성 연료전환(B-C유 → LPG)을 통한 온실가스 배출 감축사업 | 신규 | - | -</x:v>
      </x:c>
      <x:c r="F77" s="2" t="str">
        <x:v>변경 필드 없음</x:v>
      </x:c>
      <x:c r="G77" s="2" t="str"/>
      <x:c r="H77" s="2" t="str"/>
      <x:c r="I77" s="2" t="str">
        <x:v>국내_사업신청관리_20260731_산업부문.xls</x:v>
      </x:c>
      <x:c r="J77" s="2"/>
      <x:c r="K77" s="2" t="str">
        <x:v>국내_사업신청관리_20260921_산업부.xls</x:v>
      </x:c>
      <x:c r="L77" s="2" t="n">
        <x:v>45</x:v>
      </x:c>
    </x:row>
    <x:row r="78" ht="25" customHeight="1">
      <x:c r="A78" s="2" t="n">
        <x:v>72</x:v>
      </x:c>
      <x:c r="B78" s="2" t="str">
        <x:v>domestic_project</x:v>
      </x:c>
      <x:c r="C78" s="2" t="str">
        <x:v>산업</x:v>
      </x:c>
      <x:c r="D78" s="2" t="str">
        <x:v>9월 미등장·삭제 아님</x:v>
      </x:c>
      <x:c r="E78" s="2" t="str">
        <x:v>1004 | 5158511670 | (주)유성에프티 고효율 공기압축기 교체를 통한 온실가스 감축사업 | 신규 | - | -</x:v>
      </x:c>
      <x:c r="F78" s="2" t="str">
        <x:v>변경 필드 없음</x:v>
      </x:c>
      <x:c r="G78" s="2" t="str"/>
      <x:c r="H78" s="2" t="str"/>
      <x:c r="I78" s="2" t="str">
        <x:v>국내_사업신청관리_20260731_산업부문.xls</x:v>
      </x:c>
      <x:c r="J78" s="2" t="n">
        <x:v>39</x:v>
      </x:c>
      <x:c r="K78" s="2" t="str">
        <x:v>국내_사업신청관리_20260921_산업부.xls</x:v>
      </x:c>
      <x:c r="L78" s="2"/>
    </x:row>
    <x:row r="79" ht="25" customHeight="1">
      <x:c r="A79" s="2" t="n">
        <x:v>73</x:v>
      </x:c>
      <x:c r="B79" s="2" t="str">
        <x:v>domestic_project</x:v>
      </x:c>
      <x:c r="C79" s="2" t="str">
        <x:v>산업</x:v>
      </x:c>
      <x:c r="D79" s="2" t="str">
        <x:v>9월 추가 후보</x:v>
      </x:c>
      <x:c r="E79" s="2" t="str">
        <x:v>1004 | 7668802538 | 농산아스콘㈜ 연료전환(B-C유, 감압정제유→LPG)을 통한 온실가스 배출 감축사업 | 신규 | - | -</x:v>
      </x:c>
      <x:c r="F79" s="2" t="str">
        <x:v>변경 필드 없음</x:v>
      </x:c>
      <x:c r="G79" s="2" t="str"/>
      <x:c r="H79" s="2" t="str"/>
      <x:c r="I79" s="2" t="str">
        <x:v>국내_사업신청관리_20260731_산업부문.xls</x:v>
      </x:c>
      <x:c r="J79" s="2"/>
      <x:c r="K79" s="2" t="str">
        <x:v>국내_사업신청관리_20260921_산업부.xls</x:v>
      </x:c>
      <x:c r="L79" s="2" t="n">
        <x:v>44</x:v>
      </x:c>
    </x:row>
    <x:row r="80" ht="25" customHeight="1">
      <x:c r="A80" s="2" t="n">
        <x:v>74</x:v>
      </x:c>
      <x:c r="B80" s="2" t="str">
        <x:v>domestic_project</x:v>
      </x:c>
      <x:c r="C80" s="2" t="str">
        <x:v>산업</x:v>
      </x:c>
      <x:c r="D80" s="2" t="str">
        <x:v>9월 추가 후보</x:v>
      </x:c>
      <x:c r="E80" s="2" t="str">
        <x:v>1005 | 3108115578 | (주)제일기업 연료전환(B-C유 → LPG)을 통한 온실가스 배출 감축사업 | 신규 | - | -</x:v>
      </x:c>
      <x:c r="F80" s="2" t="str">
        <x:v>변경 필드 없음</x:v>
      </x:c>
      <x:c r="G80" s="2" t="str"/>
      <x:c r="H80" s="2" t="str"/>
      <x:c r="I80" s="2" t="str">
        <x:v>국내_사업신청관리_20260731_산업부문.xls</x:v>
      </x:c>
      <x:c r="J80" s="2"/>
      <x:c r="K80" s="2" t="str">
        <x:v>국내_사업신청관리_20260921_산업부.xls</x:v>
      </x:c>
      <x:c r="L80" s="2" t="n">
        <x:v>43</x:v>
      </x:c>
    </x:row>
    <x:row r="81" ht="25" customHeight="1">
      <x:c r="A81" s="2" t="n">
        <x:v>75</x:v>
      </x:c>
      <x:c r="B81" s="2" t="str">
        <x:v>domestic_project</x:v>
      </x:c>
      <x:c r="C81" s="2" t="str">
        <x:v>산업</x:v>
      </x:c>
      <x:c r="D81" s="2" t="str">
        <x:v>9월 미등장·삭제 아님</x:v>
      </x:c>
      <x:c r="E81" s="2" t="str">
        <x:v>1005 | 6108177834 | 플루오린코리아 주식회사 육불화황 회수 및 플라즈마 분해를 통한 온실가스 배출 감축사업 | 사업변경 | - | 2차</x:v>
      </x:c>
      <x:c r="F81" s="2" t="str">
        <x:v>변경 필드 없음</x:v>
      </x:c>
      <x:c r="G81" s="2" t="str"/>
      <x:c r="H81" s="2" t="str"/>
      <x:c r="I81" s="2" t="str">
        <x:v>국내_사업신청관리_20260731_산업부문.xls</x:v>
      </x:c>
      <x:c r="J81" s="2" t="n">
        <x:v>38</x:v>
      </x:c>
      <x:c r="K81" s="2" t="str">
        <x:v>국내_사업신청관리_20260921_산업부.xls</x:v>
      </x:c>
      <x:c r="L81" s="2"/>
    </x:row>
    <x:row r="82" ht="25" customHeight="1">
      <x:c r="A82" s="2" t="n">
        <x:v>76</x:v>
      </x:c>
      <x:c r="B82" s="2" t="str">
        <x:v>domestic_project</x:v>
      </x:c>
      <x:c r="C82" s="2" t="str">
        <x:v>산업</x:v>
      </x:c>
      <x:c r="D82" s="2" t="str">
        <x:v>9월 추가 후보</x:v>
      </x:c>
      <x:c r="E82" s="2" t="str">
        <x:v>1006 | 5128106957 | ㈜경북환경 연료전환(B-C유 → LPG)을 통한 온실가스 배출 감축사업 | 신규 | - | -</x:v>
      </x:c>
      <x:c r="F82" s="2" t="str">
        <x:v>변경 필드 없음</x:v>
      </x:c>
      <x:c r="G82" s="2" t="str"/>
      <x:c r="H82" s="2" t="str"/>
      <x:c r="I82" s="2" t="str">
        <x:v>국내_사업신청관리_20260731_산업부문.xls</x:v>
      </x:c>
      <x:c r="J82" s="2"/>
      <x:c r="K82" s="2" t="str">
        <x:v>국내_사업신청관리_20260921_산업부.xls</x:v>
      </x:c>
      <x:c r="L82" s="2" t="n">
        <x:v>42</x:v>
      </x:c>
    </x:row>
    <x:row r="83" ht="25" customHeight="1">
      <x:c r="A83" s="2" t="n">
        <x:v>77</x:v>
      </x:c>
      <x:c r="B83" s="2" t="str">
        <x:v>domestic_project</x:v>
      </x:c>
      <x:c r="C83" s="2" t="str">
        <x:v>산업</x:v>
      </x:c>
      <x:c r="D83" s="2" t="str">
        <x:v>9월 미등장·삭제 아님</x:v>
      </x:c>
      <x:c r="E83" s="2" t="str">
        <x:v>1006 | 5158139758 | ㈜규원이엔지 바이오매스 연료기반 열에너지 공급으로 수용가 화석연료 사용량 절감 사업 | 사업변경 | - | 1차</x:v>
      </x:c>
      <x:c r="F83" s="2" t="str">
        <x:v>변경 필드 없음</x:v>
      </x:c>
      <x:c r="G83" s="2" t="str"/>
      <x:c r="H83" s="2" t="str"/>
      <x:c r="I83" s="2" t="str">
        <x:v>국내_사업신청관리_20260731_산업부문.xls</x:v>
      </x:c>
      <x:c r="J83" s="2" t="n">
        <x:v>37</x:v>
      </x:c>
      <x:c r="K83" s="2" t="str">
        <x:v>국내_사업신청관리_20260921_산업부.xls</x:v>
      </x:c>
      <x:c r="L83" s="2"/>
    </x:row>
    <x:row r="84" ht="25" customHeight="1">
      <x:c r="A84" s="2" t="n">
        <x:v>78</x:v>
      </x:c>
      <x:c r="B84" s="2" t="str">
        <x:v>domestic_project</x:v>
      </x:c>
      <x:c r="C84" s="2" t="str">
        <x:v>산업</x:v>
      </x:c>
      <x:c r="D84" s="2" t="str">
        <x:v>9월 추가 후보</x:v>
      </x:c>
      <x:c r="E84" s="2" t="str">
        <x:v>1007 | 2228116872 | 우광아스콘(주) 연료전환(B-C유, 정제유 → LPG)을 통한 온실가스 배출 감축사업 | 신규 | - | -</x:v>
      </x:c>
      <x:c r="F84" s="2" t="str">
        <x:v>변경 필드 없음</x:v>
      </x:c>
      <x:c r="G84" s="2" t="str"/>
      <x:c r="H84" s="2" t="str"/>
      <x:c r="I84" s="2" t="str">
        <x:v>국내_사업신청관리_20260731_산업부문.xls</x:v>
      </x:c>
      <x:c r="J84" s="2"/>
      <x:c r="K84" s="2" t="str">
        <x:v>국내_사업신청관리_20260921_산업부.xls</x:v>
      </x:c>
      <x:c r="L84" s="2" t="n">
        <x:v>41</x:v>
      </x:c>
    </x:row>
    <x:row r="85" ht="25" customHeight="1">
      <x:c r="A85" s="2" t="n">
        <x:v>79</x:v>
      </x:c>
      <x:c r="B85" s="2" t="str">
        <x:v>domestic_project</x:v>
      </x:c>
      <x:c r="C85" s="2" t="str">
        <x:v>산업</x:v>
      </x:c>
      <x:c r="D85" s="2" t="str">
        <x:v>9월 미등장·삭제 아님</x:v>
      </x:c>
      <x:c r="E85" s="2" t="str">
        <x:v>1007 | 5048138778 | 대한미디어(주) 외 4개사의 고효율 공기압축기 교체를 통한 온실가스 감축사업 | 신규 | - | -</x:v>
      </x:c>
      <x:c r="F85" s="2" t="str">
        <x:v>변경 필드 없음</x:v>
      </x:c>
      <x:c r="G85" s="2" t="str"/>
      <x:c r="H85" s="2" t="str"/>
      <x:c r="I85" s="2" t="str">
        <x:v>국내_사업신청관리_20260731_산업부문.xls</x:v>
      </x:c>
      <x:c r="J85" s="2" t="n">
        <x:v>36</x:v>
      </x:c>
      <x:c r="K85" s="2" t="str">
        <x:v>국내_사업신청관리_20260921_산업부.xls</x:v>
      </x:c>
      <x:c r="L85" s="2"/>
    </x:row>
    <x:row r="86" ht="25" customHeight="1">
      <x:c r="A86" s="2" t="n">
        <x:v>80</x:v>
      </x:c>
      <x:c r="B86" s="2" t="str">
        <x:v>domestic_project</x:v>
      </x:c>
      <x:c r="C86" s="2" t="str">
        <x:v>산업</x:v>
      </x:c>
      <x:c r="D86" s="2" t="str">
        <x:v>9월 추가 후보</x:v>
      </x:c>
      <x:c r="E86" s="2" t="str">
        <x:v>1008 | 5048138778 | 구름테크 외 6개사의 고효율 공기압축기 교체를 통한 온실가스 감축사업 | 신규 | - | -</x:v>
      </x:c>
      <x:c r="F86" s="2" t="str">
        <x:v>변경 필드 없음</x:v>
      </x:c>
      <x:c r="G86" s="2" t="str"/>
      <x:c r="H86" s="2" t="str"/>
      <x:c r="I86" s="2" t="str">
        <x:v>국내_사업신청관리_20260731_산업부문.xls</x:v>
      </x:c>
      <x:c r="J86" s="2"/>
      <x:c r="K86" s="2" t="str">
        <x:v>국내_사업신청관리_20260921_산업부.xls</x:v>
      </x:c>
      <x:c r="L86" s="2" t="n">
        <x:v>40</x:v>
      </x:c>
    </x:row>
    <x:row r="87" ht="25" customHeight="1">
      <x:c r="A87" s="2" t="n">
        <x:v>81</x:v>
      </x:c>
      <x:c r="B87" s="2" t="str">
        <x:v>domestic_project</x:v>
      </x:c>
      <x:c r="C87" s="2" t="str">
        <x:v>산업</x:v>
      </x:c>
      <x:c r="D87" s="2" t="str">
        <x:v>9월 미등장·삭제 아님</x:v>
      </x:c>
      <x:c r="E87" s="2" t="str">
        <x:v>1008 | 5128106957 | ㈜경북환경 연료전환(B-C유 → LPG)을 통한 온실가스 배출 감축사업 | 신규 | - | -</x:v>
      </x:c>
      <x:c r="F87" s="2" t="str">
        <x:v>변경 필드 없음</x:v>
      </x:c>
      <x:c r="G87" s="2" t="str"/>
      <x:c r="H87" s="2" t="str"/>
      <x:c r="I87" s="2" t="str">
        <x:v>국내_사업신청관리_20260731_산업부문.xls</x:v>
      </x:c>
      <x:c r="J87" s="2" t="n">
        <x:v>35</x:v>
      </x:c>
      <x:c r="K87" s="2" t="str">
        <x:v>국내_사업신청관리_20260921_산업부.xls</x:v>
      </x:c>
      <x:c r="L87" s="2"/>
    </x:row>
    <x:row r="88" ht="25" customHeight="1">
      <x:c r="A88" s="2" t="n">
        <x:v>82</x:v>
      </x:c>
      <x:c r="B88" s="2" t="str">
        <x:v>domestic_project</x:v>
      </x:c>
      <x:c r="C88" s="2" t="str">
        <x:v>산업</x:v>
      </x:c>
      <x:c r="D88" s="2" t="str">
        <x:v>9월 미등장·삭제 아님</x:v>
      </x:c>
      <x:c r="E88" s="2" t="str">
        <x:v>1009 | 3108115578 | (주)제일기업 연료전환(B-C유 → LPG)을 통한 온실가스 배출 감축사업 | 신규 | - | -</x:v>
      </x:c>
      <x:c r="F88" s="2" t="str">
        <x:v>변경 필드 없음</x:v>
      </x:c>
      <x:c r="G88" s="2" t="str"/>
      <x:c r="H88" s="2" t="str"/>
      <x:c r="I88" s="2" t="str">
        <x:v>국내_사업신청관리_20260731_산업부문.xls</x:v>
      </x:c>
      <x:c r="J88" s="2" t="n">
        <x:v>34</x:v>
      </x:c>
      <x:c r="K88" s="2" t="str">
        <x:v>국내_사업신청관리_20260921_산업부.xls</x:v>
      </x:c>
      <x:c r="L88" s="2"/>
    </x:row>
    <x:row r="89" ht="25" customHeight="1">
      <x:c r="A89" s="2" t="n">
        <x:v>83</x:v>
      </x:c>
      <x:c r="B89" s="2" t="str">
        <x:v>domestic_project</x:v>
      </x:c>
      <x:c r="C89" s="2" t="str">
        <x:v>산업</x:v>
      </x:c>
      <x:c r="D89" s="2" t="str">
        <x:v>9월 추가 후보</x:v>
      </x:c>
      <x:c r="E89" s="2" t="str">
        <x:v>1009 | 5048138778 | ㈜디비전 외 4개사의 인버터 공기압축기 교체를 통한 온실가스 감축사업 | 신규 | - | -</x:v>
      </x:c>
      <x:c r="F89" s="2" t="str">
        <x:v>변경 필드 없음</x:v>
      </x:c>
      <x:c r="G89" s="2" t="str"/>
      <x:c r="H89" s="2" t="str"/>
      <x:c r="I89" s="2" t="str">
        <x:v>국내_사업신청관리_20260731_산업부문.xls</x:v>
      </x:c>
      <x:c r="J89" s="2"/>
      <x:c r="K89" s="2" t="str">
        <x:v>국내_사업신청관리_20260921_산업부.xls</x:v>
      </x:c>
      <x:c r="L89" s="2" t="n">
        <x:v>39</x:v>
      </x:c>
    </x:row>
    <x:row r="90" ht="25" customHeight="1">
      <x:c r="A90" s="2" t="n">
        <x:v>84</x:v>
      </x:c>
      <x:c r="B90" s="2" t="str">
        <x:v>domestic_project</x:v>
      </x:c>
      <x:c r="C90" s="2" t="str">
        <x:v>산업</x:v>
      </x:c>
      <x:c r="D90" s="2" t="str">
        <x:v>9월 미등장·삭제 아님</x:v>
      </x:c>
      <x:c r="E90" s="2" t="str">
        <x:v>1010 | 5048138778 | (주)기홍메가텍 외 5개사의 고효율 공기압축기 교체를 통한 온실가스 감축사업 | 신규 | - | -</x:v>
      </x:c>
      <x:c r="F90" s="2" t="str">
        <x:v>변경 필드 없음</x:v>
      </x:c>
      <x:c r="G90" s="2" t="str"/>
      <x:c r="H90" s="2" t="str"/>
      <x:c r="I90" s="2" t="str">
        <x:v>국내_사업신청관리_20260731_산업부문.xls</x:v>
      </x:c>
      <x:c r="J90" s="2" t="n">
        <x:v>33</x:v>
      </x:c>
      <x:c r="K90" s="2" t="str">
        <x:v>국내_사업신청관리_20260921_산업부.xls</x:v>
      </x:c>
      <x:c r="L90" s="2"/>
    </x:row>
    <x:row r="91" ht="25" customHeight="1">
      <x:c r="A91" s="2" t="n">
        <x:v>85</x:v>
      </x:c>
      <x:c r="B91" s="2" t="str">
        <x:v>domestic_project</x:v>
      </x:c>
      <x:c r="C91" s="2" t="str">
        <x:v>산업</x:v>
      </x:c>
      <x:c r="D91" s="2" t="str">
        <x:v>9월 추가 후보</x:v>
      </x:c>
      <x:c r="E91" s="2" t="str">
        <x:v>1010 | 5048138778 | 태화오토텍주식회사 외 4개사의 인버터 공기압축기 교체를 통한 온실가스 감축사업 | 신규 | - | -</x:v>
      </x:c>
      <x:c r="F91" s="2" t="str">
        <x:v>변경 필드 없음</x:v>
      </x:c>
      <x:c r="G91" s="2" t="str"/>
      <x:c r="H91" s="2" t="str"/>
      <x:c r="I91" s="2" t="str">
        <x:v>국내_사업신청관리_20260731_산업부문.xls</x:v>
      </x:c>
      <x:c r="J91" s="2"/>
      <x:c r="K91" s="2" t="str">
        <x:v>국내_사업신청관리_20260921_산업부.xls</x:v>
      </x:c>
      <x:c r="L91" s="2" t="n">
        <x:v>38</x:v>
      </x:c>
    </x:row>
    <x:row r="92" ht="25" customHeight="1">
      <x:c r="A92" s="2" t="n">
        <x:v>86</x:v>
      </x:c>
      <x:c r="B92" s="2" t="str">
        <x:v>domestic_project</x:v>
      </x:c>
      <x:c r="C92" s="2" t="str">
        <x:v>산업</x:v>
      </x:c>
      <x:c r="D92" s="2" t="str">
        <x:v>9월 추가 후보</x:v>
      </x:c>
      <x:c r="E92" s="2" t="str">
        <x:v>1011 | 5048138778 | (주)기홍메가텍 외 5개사의 고효율 공기압축기 교체를 통한 온실가스 감축사업 | 신규 | - | -</x:v>
      </x:c>
      <x:c r="F92" s="2" t="str">
        <x:v>변경 필드 없음</x:v>
      </x:c>
      <x:c r="G92" s="2" t="str"/>
      <x:c r="H92" s="2" t="str"/>
      <x:c r="I92" s="2" t="str">
        <x:v>국내_사업신청관리_20260731_산업부문.xls</x:v>
      </x:c>
      <x:c r="J92" s="2"/>
      <x:c r="K92" s="2" t="str">
        <x:v>국내_사업신청관리_20260921_산업부.xls</x:v>
      </x:c>
      <x:c r="L92" s="2" t="n">
        <x:v>37</x:v>
      </x:c>
    </x:row>
    <x:row r="93" ht="25" customHeight="1">
      <x:c r="A93" s="2" t="n">
        <x:v>87</x:v>
      </x:c>
      <x:c r="B93" s="2" t="str">
        <x:v>domestic_project</x:v>
      </x:c>
      <x:c r="C93" s="2" t="str">
        <x:v>산업</x:v>
      </x:c>
      <x:c r="D93" s="2" t="str">
        <x:v>9월 미등장·삭제 아님</x:v>
      </x:c>
      <x:c r="E93" s="2" t="str">
        <x:v>1011 | 5048138778 | ㈜유창염직 외 5개사의 고효율 공기압축기 교체를 통한 온실가스 감축사업 | 신규 | - | -</x:v>
      </x:c>
      <x:c r="F93" s="2" t="str">
        <x:v>변경 필드 없음</x:v>
      </x:c>
      <x:c r="G93" s="2" t="str"/>
      <x:c r="H93" s="2" t="str"/>
      <x:c r="I93" s="2" t="str">
        <x:v>국내_사업신청관리_20260731_산업부문.xls</x:v>
      </x:c>
      <x:c r="J93" s="2" t="n">
        <x:v>32</x:v>
      </x:c>
      <x:c r="K93" s="2" t="str">
        <x:v>국내_사업신청관리_20260921_산업부.xls</x:v>
      </x:c>
      <x:c r="L93" s="2"/>
    </x:row>
    <x:row r="94" ht="25" customHeight="1">
      <x:c r="A94" s="2" t="n">
        <x:v>88</x:v>
      </x:c>
      <x:c r="B94" s="2" t="str">
        <x:v>domestic_project</x:v>
      </x:c>
      <x:c r="C94" s="2" t="str">
        <x:v>산업</x:v>
      </x:c>
      <x:c r="D94" s="2" t="str">
        <x:v>9월 추가 후보</x:v>
      </x:c>
      <x:c r="E94" s="2" t="str">
        <x:v>1012 | 5048138778 | ㈜한신특수가공 외 4개사의 인버터 공기압축기 교체를 통한 온실가스 감축사업 | 신규 | - | -</x:v>
      </x:c>
      <x:c r="F94" s="2" t="str">
        <x:v>변경 필드 없음</x:v>
      </x:c>
      <x:c r="G94" s="2" t="str"/>
      <x:c r="H94" s="2" t="str"/>
      <x:c r="I94" s="2" t="str">
        <x:v>국내_사업신청관리_20260731_산업부문.xls</x:v>
      </x:c>
      <x:c r="J94" s="2"/>
      <x:c r="K94" s="2" t="str">
        <x:v>국내_사업신청관리_20260921_산업부.xls</x:v>
      </x:c>
      <x:c r="L94" s="2" t="n">
        <x:v>36</x:v>
      </x:c>
    </x:row>
    <x:row r="95" ht="25" customHeight="1">
      <x:c r="A95" s="2" t="n">
        <x:v>89</x:v>
      </x:c>
      <x:c r="B95" s="2" t="str">
        <x:v>domestic_project</x:v>
      </x:c>
      <x:c r="C95" s="2" t="str">
        <x:v>산업</x:v>
      </x:c>
      <x:c r="D95" s="2" t="str">
        <x:v>9월 미등장·삭제 아님</x:v>
      </x:c>
      <x:c r="E95" s="2" t="str">
        <x:v>1012 | 5048138778 | 구름테크 외 6개사의 고효율 공기압축기 교체를 통한 온실가스 감축사업 | 신규 | - | -</x:v>
      </x:c>
      <x:c r="F95" s="2" t="str">
        <x:v>변경 필드 없음</x:v>
      </x:c>
      <x:c r="G95" s="2" t="str"/>
      <x:c r="H95" s="2" t="str"/>
      <x:c r="I95" s="2" t="str">
        <x:v>국내_사업신청관리_20260731_산업부문.xls</x:v>
      </x:c>
      <x:c r="J95" s="2" t="n">
        <x:v>31</x:v>
      </x:c>
      <x:c r="K95" s="2" t="str">
        <x:v>국내_사업신청관리_20260921_산업부.xls</x:v>
      </x:c>
      <x:c r="L95" s="2"/>
    </x:row>
    <x:row r="96" ht="25" customHeight="1">
      <x:c r="A96" s="2" t="n">
        <x:v>90</x:v>
      </x:c>
      <x:c r="B96" s="2" t="str">
        <x:v>domestic_project</x:v>
      </x:c>
      <x:c r="C96" s="2" t="str">
        <x:v>산업</x:v>
      </x:c>
      <x:c r="D96" s="2" t="str">
        <x:v>9월 미등장·삭제 아님</x:v>
      </x:c>
      <x:c r="E96" s="2" t="str">
        <x:v>1013 | 5048138778 | 보광 외 7개사의 고효율 공기압축기 교체를 통한 온실가스 감축사업 | 신규 | - | -</x:v>
      </x:c>
      <x:c r="F96" s="2" t="str">
        <x:v>변경 필드 없음</x:v>
      </x:c>
      <x:c r="G96" s="2" t="str"/>
      <x:c r="H96" s="2" t="str"/>
      <x:c r="I96" s="2" t="str">
        <x:v>국내_사업신청관리_20260731_산업부문.xls</x:v>
      </x:c>
      <x:c r="J96" s="2" t="n">
        <x:v>30</x:v>
      </x:c>
      <x:c r="K96" s="2" t="str">
        <x:v>국내_사업신청관리_20260921_산업부.xls</x:v>
      </x:c>
      <x:c r="L96" s="2"/>
    </x:row>
    <x:row r="97" ht="25" customHeight="1">
      <x:c r="A97" s="2" t="n">
        <x:v>91</x:v>
      </x:c>
      <x:c r="B97" s="2" t="str">
        <x:v>domestic_project</x:v>
      </x:c>
      <x:c r="C97" s="2" t="str">
        <x:v>산업</x:v>
      </x:c>
      <x:c r="D97" s="2" t="str">
        <x:v>9월 추가 후보</x:v>
      </x:c>
      <x:c r="E97" s="2" t="str">
        <x:v>1013 | 5048138778 | 성창실업 외 4개사의 인버터 공기압축기 교체를 통한 온실가스 감축사업 | 신규 | - | -</x:v>
      </x:c>
      <x:c r="F97" s="2" t="str">
        <x:v>변경 필드 없음</x:v>
      </x:c>
      <x:c r="G97" s="2" t="str"/>
      <x:c r="H97" s="2" t="str"/>
      <x:c r="I97" s="2" t="str">
        <x:v>국내_사업신청관리_20260731_산업부문.xls</x:v>
      </x:c>
      <x:c r="J97" s="2"/>
      <x:c r="K97" s="2" t="str">
        <x:v>국내_사업신청관리_20260921_산업부.xls</x:v>
      </x:c>
      <x:c r="L97" s="2" t="n">
        <x:v>35</x:v>
      </x:c>
    </x:row>
    <x:row r="98" ht="25" customHeight="1">
      <x:c r="A98" s="2" t="n">
        <x:v>92</x:v>
      </x:c>
      <x:c r="B98" s="2" t="str">
        <x:v>domestic_project</x:v>
      </x:c>
      <x:c r="C98" s="2" t="str">
        <x:v>산업</x:v>
      </x:c>
      <x:c r="D98" s="2" t="str">
        <x:v>9월 추가 후보</x:v>
      </x:c>
      <x:c r="E98" s="2" t="str">
        <x:v>1014 | 5048138778 | A.N.TEX 외 6개사의 고효율 공기압축기 교체를 통한 온실가스 감축사업 | 신규 | - | -</x:v>
      </x:c>
      <x:c r="F98" s="2" t="str">
        <x:v>변경 필드 없음</x:v>
      </x:c>
      <x:c r="G98" s="2" t="str"/>
      <x:c r="H98" s="2" t="str"/>
      <x:c r="I98" s="2" t="str">
        <x:v>국내_사업신청관리_20260731_산업부문.xls</x:v>
      </x:c>
      <x:c r="J98" s="2"/>
      <x:c r="K98" s="2" t="str">
        <x:v>국내_사업신청관리_20260921_산업부.xls</x:v>
      </x:c>
      <x:c r="L98" s="2" t="n">
        <x:v>34</x:v>
      </x:c>
    </x:row>
    <x:row r="99" ht="25" customHeight="1">
      <x:c r="A99" s="2" t="n">
        <x:v>93</x:v>
      </x:c>
      <x:c r="B99" s="2" t="str">
        <x:v>domestic_project</x:v>
      </x:c>
      <x:c r="C99" s="2" t="str">
        <x:v>산업</x:v>
      </x:c>
      <x:c r="D99" s="2" t="str">
        <x:v>9월 미등장·삭제 아님</x:v>
      </x:c>
      <x:c r="E99" s="2" t="str">
        <x:v>1014 | 5048138778 | 에스엠텍스타일 외 6개사의 고효율 공기압축기 교체를 통한 온실가스 감축사업 | 신규 | - | -</x:v>
      </x:c>
      <x:c r="F99" s="2" t="str">
        <x:v>변경 필드 없음</x:v>
      </x:c>
      <x:c r="G99" s="2" t="str"/>
      <x:c r="H99" s="2" t="str"/>
      <x:c r="I99" s="2" t="str">
        <x:v>국내_사업신청관리_20260731_산업부문.xls</x:v>
      </x:c>
      <x:c r="J99" s="2" t="n">
        <x:v>29</x:v>
      </x:c>
      <x:c r="K99" s="2" t="str">
        <x:v>국내_사업신청관리_20260921_산업부.xls</x:v>
      </x:c>
      <x:c r="L99" s="2"/>
    </x:row>
    <x:row r="100" ht="25" customHeight="1">
      <x:c r="A100" s="2" t="n">
        <x:v>94</x:v>
      </x:c>
      <x:c r="B100" s="2" t="str">
        <x:v>domestic_project</x:v>
      </x:c>
      <x:c r="C100" s="2" t="str">
        <x:v>산업</x:v>
      </x:c>
      <x:c r="D100" s="2" t="str">
        <x:v>9월 추가 후보</x:v>
      </x:c>
      <x:c r="E100" s="2" t="str">
        <x:v>1015 | 5048138778 | 삼환염공(주) 외 5개사의 인버터 공기압축기 교체를 통한 온실가스 감축사업 | 신규 | - | -</x:v>
      </x:c>
      <x:c r="F100" s="2" t="str">
        <x:v>변경 필드 없음</x:v>
      </x:c>
      <x:c r="G100" s="2" t="str"/>
      <x:c r="H100" s="2" t="str"/>
      <x:c r="I100" s="2" t="str">
        <x:v>국내_사업신청관리_20260731_산업부문.xls</x:v>
      </x:c>
      <x:c r="J100" s="2"/>
      <x:c r="K100" s="2" t="str">
        <x:v>국내_사업신청관리_20260921_산업부.xls</x:v>
      </x:c>
      <x:c r="L100" s="2" t="n">
        <x:v>33</x:v>
      </x:c>
    </x:row>
    <x:row r="101" ht="25" customHeight="1">
      <x:c r="A101" s="2" t="n">
        <x:v>95</x:v>
      </x:c>
      <x:c r="B101" s="2" t="str">
        <x:v>domestic_project</x:v>
      </x:c>
      <x:c r="C101" s="2" t="str">
        <x:v>산업</x:v>
      </x:c>
      <x:c r="D101" s="2" t="str">
        <x:v>9월 미등장·삭제 아님</x:v>
      </x:c>
      <x:c r="E101" s="2" t="str">
        <x:v>1015 | 5848802601 | ㈜하이테크 ENV의 육불화황 회수 및 플라즈마 분해를 통한 온실가스 감축사업 | 신규 | - | -</x:v>
      </x:c>
      <x:c r="F101" s="2" t="str">
        <x:v>변경 필드 없음</x:v>
      </x:c>
      <x:c r="G101" s="2" t="str"/>
      <x:c r="H101" s="2" t="str"/>
      <x:c r="I101" s="2" t="str">
        <x:v>국내_사업신청관리_20260731_산업부문.xls</x:v>
      </x:c>
      <x:c r="J101" s="2" t="n">
        <x:v>28</x:v>
      </x:c>
      <x:c r="K101" s="2" t="str">
        <x:v>국내_사업신청관리_20260921_산업부.xls</x:v>
      </x:c>
      <x:c r="L101" s="2"/>
    </x:row>
    <x:row r="102" ht="25" customHeight="1">
      <x:c r="A102" s="2" t="n">
        <x:v>96</x:v>
      </x:c>
      <x:c r="B102" s="2" t="str">
        <x:v>domestic_project</x:v>
      </x:c>
      <x:c r="C102" s="2" t="str">
        <x:v>산업</x:v>
      </x:c>
      <x:c r="D102" s="2" t="str">
        <x:v>9월 미등장·삭제 아님</x:v>
      </x:c>
      <x:c r="E102" s="2" t="str">
        <x:v>1016 | 2228116872 | 우광아스콘(주) 연료전환(B-C유, 정제유 → LPG)을 통한 온실가스 배출 감축사업 | 신규 | - | -</x:v>
      </x:c>
      <x:c r="F102" s="2" t="str">
        <x:v>변경 필드 없음</x:v>
      </x:c>
      <x:c r="G102" s="2" t="str"/>
      <x:c r="H102" s="2" t="str"/>
      <x:c r="I102" s="2" t="str">
        <x:v>국내_사업신청관리_20260731_산업부문.xls</x:v>
      </x:c>
      <x:c r="J102" s="2" t="n">
        <x:v>27</x:v>
      </x:c>
      <x:c r="K102" s="2" t="str">
        <x:v>국내_사업신청관리_20260921_산업부.xls</x:v>
      </x:c>
      <x:c r="L102" s="2"/>
    </x:row>
    <x:row r="103" ht="25" customHeight="1">
      <x:c r="A103" s="2" t="n">
        <x:v>97</x:v>
      </x:c>
      <x:c r="B103" s="2" t="str">
        <x:v>domestic_project</x:v>
      </x:c>
      <x:c r="C103" s="2" t="str">
        <x:v>산업</x:v>
      </x:c>
      <x:c r="D103" s="2" t="str">
        <x:v>9월 추가 후보</x:v>
      </x:c>
      <x:c r="E103" s="2" t="str">
        <x:v>1016 | 5048138778 | (주)대일정공사 외 6개사의 고효율 공기압축기 교체를 통한 온실가스 감축사업 | 신규 | - | -</x:v>
      </x:c>
      <x:c r="F103" s="2" t="str">
        <x:v>변경 필드 없음</x:v>
      </x:c>
      <x:c r="G103" s="2" t="str"/>
      <x:c r="H103" s="2" t="str"/>
      <x:c r="I103" s="2" t="str">
        <x:v>국내_사업신청관리_20260731_산업부문.xls</x:v>
      </x:c>
      <x:c r="J103" s="2"/>
      <x:c r="K103" s="2" t="str">
        <x:v>국내_사업신청관리_20260921_산업부.xls</x:v>
      </x:c>
      <x:c r="L103" s="2" t="n">
        <x:v>32</x:v>
      </x:c>
    </x:row>
    <x:row r="104" ht="25" customHeight="1">
      <x:c r="A104" s="2" t="n">
        <x:v>98</x:v>
      </x:c>
      <x:c r="B104" s="2" t="str">
        <x:v>domestic_project</x:v>
      </x:c>
      <x:c r="C104" s="2" t="str">
        <x:v>산업</x:v>
      </x:c>
      <x:c r="D104" s="2" t="str">
        <x:v>9월 추가 후보</x:v>
      </x:c>
      <x:c r="E104" s="2" t="str">
        <x:v>1017 | 5048138778 | 씨엘테크 외 5개사의 인버터 공기압축기 교체를 통한 온실가스 감축사업 | 신규 | - | -</x:v>
      </x:c>
      <x:c r="F104" s="2" t="str">
        <x:v>변경 필드 없음</x:v>
      </x:c>
      <x:c r="G104" s="2" t="str"/>
      <x:c r="H104" s="2" t="str"/>
      <x:c r="I104" s="2" t="str">
        <x:v>국내_사업신청관리_20260731_산업부문.xls</x:v>
      </x:c>
      <x:c r="J104" s="2"/>
      <x:c r="K104" s="2" t="str">
        <x:v>국내_사업신청관리_20260921_산업부.xls</x:v>
      </x:c>
      <x:c r="L104" s="2" t="n">
        <x:v>31</x:v>
      </x:c>
    </x:row>
    <x:row r="105" ht="25" customHeight="1">
      <x:c r="A105" s="2" t="n">
        <x:v>99</x:v>
      </x:c>
      <x:c r="B105" s="2" t="str">
        <x:v>domestic_project</x:v>
      </x:c>
      <x:c r="C105" s="2" t="str">
        <x:v>산업</x:v>
      </x:c>
      <x:c r="D105" s="2" t="str">
        <x:v>9월 미등장·삭제 아님</x:v>
      </x:c>
      <x:c r="E105" s="2" t="str">
        <x:v>1017 | 6028131628 | 부산항만공사의 LED 도로조명 교체를 통한 온실가스 묶음 감축 사업 | 신규 | - | -</x:v>
      </x:c>
      <x:c r="F105" s="2" t="str">
        <x:v>변경 필드 없음</x:v>
      </x:c>
      <x:c r="G105" s="2" t="str"/>
      <x:c r="H105" s="2" t="str"/>
      <x:c r="I105" s="2" t="str">
        <x:v>국내_사업신청관리_20260731_산업부문.xls</x:v>
      </x:c>
      <x:c r="J105" s="2" t="n">
        <x:v>26</x:v>
      </x:c>
      <x:c r="K105" s="2" t="str">
        <x:v>국내_사업신청관리_20260921_산업부.xls</x:v>
      </x:c>
      <x:c r="L105" s="2"/>
    </x:row>
    <x:row r="106" ht="25" customHeight="1">
      <x:c r="A106" s="2" t="n">
        <x:v>100</x:v>
      </x:c>
      <x:c r="B106" s="2" t="str">
        <x:v>domestic_project</x:v>
      </x:c>
      <x:c r="C106" s="2" t="str">
        <x:v>산업</x:v>
      </x:c>
      <x:c r="D106" s="2" t="str">
        <x:v>9월 미등장·삭제 아님</x:v>
      </x:c>
      <x:c r="E106" s="2" t="str">
        <x:v>1018 | 1448127818 | 주식회사 띵스파이어의 인버터 공기압축기 도입을 통한 프로그램 감축사업 | 신규 | - | -</x:v>
      </x:c>
      <x:c r="F106" s="2" t="str">
        <x:v>변경 필드 없음</x:v>
      </x:c>
      <x:c r="G106" s="2" t="str"/>
      <x:c r="H106" s="2" t="str"/>
      <x:c r="I106" s="2" t="str">
        <x:v>국내_사업신청관리_20260731_산업부문.xls</x:v>
      </x:c>
      <x:c r="J106" s="2" t="n">
        <x:v>25</x:v>
      </x:c>
      <x:c r="K106" s="2" t="str">
        <x:v>국내_사업신청관리_20260921_산업부.xls</x:v>
      </x:c>
      <x:c r="L106" s="2"/>
    </x:row>
    <x:row r="107" ht="25" customHeight="1">
      <x:c r="A107" s="2" t="n">
        <x:v>101</x:v>
      </x:c>
      <x:c r="B107" s="2" t="str">
        <x:v>domestic_project</x:v>
      </x:c>
      <x:c r="C107" s="2" t="str">
        <x:v>산업</x:v>
      </x:c>
      <x:c r="D107" s="2" t="str">
        <x:v>9월 추가 후보</x:v>
      </x:c>
      <x:c r="E107" s="2" t="str">
        <x:v>1018 | 5048138778 | 주식회사 동진염색 외 5개사의 인버터 공기압축기 교체를 통한 온실가스 감축사업 | 신규 | - | -</x:v>
      </x:c>
      <x:c r="F107" s="2" t="str">
        <x:v>변경 필드 없음</x:v>
      </x:c>
      <x:c r="G107" s="2" t="str"/>
      <x:c r="H107" s="2" t="str"/>
      <x:c r="I107" s="2" t="str">
        <x:v>국내_사업신청관리_20260731_산업부문.xls</x:v>
      </x:c>
      <x:c r="J107" s="2"/>
      <x:c r="K107" s="2" t="str">
        <x:v>국내_사업신청관리_20260921_산업부.xls</x:v>
      </x:c>
      <x:c r="L107" s="2" t="n">
        <x:v>30</x:v>
      </x:c>
    </x:row>
    <x:row r="108" ht="25" customHeight="1">
      <x:c r="A108" s="2" t="n">
        <x:v>102</x:v>
      </x:c>
      <x:c r="B108" s="2" t="str">
        <x:v>domestic_project</x:v>
      </x:c>
      <x:c r="C108" s="2" t="str">
        <x:v>산업</x:v>
      </x:c>
      <x:c r="D108" s="2" t="str">
        <x:v>9월 미등장·삭제 아님</x:v>
      </x:c>
      <x:c r="E108" s="2" t="str">
        <x:v>1019 | 1448127818 | 주식회사 띵스파이어의 인버터 공기압축기 도입을 통한 프로그램 감축사업 | 신규 | - | -</x:v>
      </x:c>
      <x:c r="F108" s="2" t="str">
        <x:v>변경 필드 없음</x:v>
      </x:c>
      <x:c r="G108" s="2" t="str"/>
      <x:c r="H108" s="2" t="str"/>
      <x:c r="I108" s="2" t="str">
        <x:v>국내_사업신청관리_20260731_산업부문.xls</x:v>
      </x:c>
      <x:c r="J108" s="2" t="n">
        <x:v>24</x:v>
      </x:c>
      <x:c r="K108" s="2" t="str">
        <x:v>국내_사업신청관리_20260921_산업부.xls</x:v>
      </x:c>
      <x:c r="L108" s="2"/>
    </x:row>
    <x:row r="109" ht="25" customHeight="1">
      <x:c r="A109" s="2" t="n">
        <x:v>103</x:v>
      </x:c>
      <x:c r="B109" s="2" t="str">
        <x:v>domestic_project</x:v>
      </x:c>
      <x:c r="C109" s="2" t="str">
        <x:v>산업</x:v>
      </x:c>
      <x:c r="D109" s="2" t="str">
        <x:v>9월 추가 후보</x:v>
      </x:c>
      <x:c r="E109" s="2" t="str">
        <x:v>1019 | 5048138778 | 보광 외 7개사의 고효율 공기압축기 교체를 통한 온실가스 감축사업 | 신규 | - | -</x:v>
      </x:c>
      <x:c r="F109" s="2" t="str">
        <x:v>변경 필드 없음</x:v>
      </x:c>
      <x:c r="G109" s="2" t="str"/>
      <x:c r="H109" s="2" t="str"/>
      <x:c r="I109" s="2" t="str">
        <x:v>국내_사업신청관리_20260731_산업부문.xls</x:v>
      </x:c>
      <x:c r="J109" s="2"/>
      <x:c r="K109" s="2" t="str">
        <x:v>국내_사업신청관리_20260921_산업부.xls</x:v>
      </x:c>
      <x:c r="L109" s="2" t="n">
        <x:v>29</x:v>
      </x:c>
    </x:row>
    <x:row r="110" ht="25" customHeight="1">
      <x:c r="A110" s="2" t="n">
        <x:v>104</x:v>
      </x:c>
      <x:c r="B110" s="2" t="str">
        <x:v>domestic_project</x:v>
      </x:c>
      <x:c r="C110" s="2" t="str">
        <x:v>산업</x:v>
      </x:c>
      <x:c r="D110" s="2" t="str">
        <x:v>9월 추가 후보</x:v>
      </x:c>
      <x:c r="E110" s="2" t="str">
        <x:v>1020 | 5048138778 | 주식회사디와이씨 외 8개사의 고효율 공기압축기 교체를 통한 온실가스 감축사업 | 신규 | - | -</x:v>
      </x:c>
      <x:c r="F110" s="2" t="str">
        <x:v>변경 필드 없음</x:v>
      </x:c>
      <x:c r="G110" s="2" t="str"/>
      <x:c r="H110" s="2" t="str"/>
      <x:c r="I110" s="2" t="str">
        <x:v>국내_사업신청관리_20260731_산업부문.xls</x:v>
      </x:c>
      <x:c r="J110" s="2"/>
      <x:c r="K110" s="2" t="str">
        <x:v>국내_사업신청관리_20260921_산업부.xls</x:v>
      </x:c>
      <x:c r="L110" s="2" t="n">
        <x:v>28</x:v>
      </x:c>
    </x:row>
    <x:row r="111" ht="25" customHeight="1">
      <x:c r="A111" s="2" t="n">
        <x:v>105</x:v>
      </x:c>
      <x:c r="B111" s="2" t="str">
        <x:v>domestic_project</x:v>
      </x:c>
      <x:c r="C111" s="2" t="str">
        <x:v>산업</x:v>
      </x:c>
      <x:c r="D111" s="2" t="str">
        <x:v>9월 미등장·삭제 아님</x:v>
      </x:c>
      <x:c r="E111" s="2" t="str">
        <x:v>1020 | 6218118169 | (주)대경오앤티 서농공장 미활용 소각폐열 회수를 통한 화석연료 사용 절감 및 온실가스 배출 감축사업 | 신규 | - | -</x:v>
      </x:c>
      <x:c r="F111" s="2" t="str">
        <x:v>변경 필드 없음</x:v>
      </x:c>
      <x:c r="G111" s="2" t="str"/>
      <x:c r="H111" s="2" t="str"/>
      <x:c r="I111" s="2" t="str">
        <x:v>국내_사업신청관리_20260731_산업부문.xls</x:v>
      </x:c>
      <x:c r="J111" s="2" t="n">
        <x:v>23</x:v>
      </x:c>
      <x:c r="K111" s="2" t="str">
        <x:v>국내_사업신청관리_20260921_산업부.xls</x:v>
      </x:c>
      <x:c r="L111" s="2"/>
    </x:row>
    <x:row r="112" ht="25" customHeight="1">
      <x:c r="A112" s="2" t="n">
        <x:v>106</x:v>
      </x:c>
      <x:c r="B112" s="2" t="str">
        <x:v>domestic_project</x:v>
      </x:c>
      <x:c r="C112" s="2" t="str">
        <x:v>산업</x:v>
      </x:c>
      <x:c r="D112" s="2" t="str">
        <x:v>9월 미등장·삭제 아님</x:v>
      </x:c>
      <x:c r="E112" s="2" t="str">
        <x:v>1021 | 1048300469 | 서울시 2021~2023년 LED 도로조명 교체를 통한 온실가스 감축사업 | 신규 | - | -</x:v>
      </x:c>
      <x:c r="F112" s="2" t="str">
        <x:v>변경 필드 없음</x:v>
      </x:c>
      <x:c r="G112" s="2" t="str"/>
      <x:c r="H112" s="2" t="str"/>
      <x:c r="I112" s="2" t="str">
        <x:v>국내_사업신청관리_20260731_산업부문.xls</x:v>
      </x:c>
      <x:c r="J112" s="2" t="n">
        <x:v>22</x:v>
      </x:c>
      <x:c r="K112" s="2" t="str">
        <x:v>국내_사업신청관리_20260921_산업부.xls</x:v>
      </x:c>
      <x:c r="L112" s="2"/>
    </x:row>
    <x:row r="113" ht="25" customHeight="1">
      <x:c r="A113" s="2" t="n">
        <x:v>107</x:v>
      </x:c>
      <x:c r="B113" s="2" t="str">
        <x:v>domestic_project</x:v>
      </x:c>
      <x:c r="C113" s="2" t="str">
        <x:v>산업</x:v>
      </x:c>
      <x:c r="D113" s="2" t="str">
        <x:v>9월 추가 후보</x:v>
      </x:c>
      <x:c r="E113" s="2" t="str">
        <x:v>1021 | 5048138778 | 주식회사 달성정공 외 5개사의 고효율 공기압축기 교체를 통한 온실가스 감축사업 | 신규 | - | -</x:v>
      </x:c>
      <x:c r="F113" s="2" t="str">
        <x:v>변경 필드 없음</x:v>
      </x:c>
      <x:c r="G113" s="2" t="str"/>
      <x:c r="H113" s="2" t="str"/>
      <x:c r="I113" s="2" t="str">
        <x:v>국내_사업신청관리_20260731_산업부문.xls</x:v>
      </x:c>
      <x:c r="J113" s="2"/>
      <x:c r="K113" s="2" t="str">
        <x:v>국내_사업신청관리_20260921_산업부.xls</x:v>
      </x:c>
      <x:c r="L113" s="2" t="n">
        <x:v>27</x:v>
      </x:c>
    </x:row>
    <x:row r="114" ht="25" customHeight="1">
      <x:c r="A114" s="2" t="n">
        <x:v>108</x:v>
      </x:c>
      <x:c r="B114" s="2" t="str">
        <x:v>domestic_project</x:v>
      </x:c>
      <x:c r="C114" s="2" t="str">
        <x:v>산업</x:v>
      </x:c>
      <x:c r="D114" s="2" t="str">
        <x:v>9월 미등장·삭제 아님</x:v>
      </x:c>
      <x:c r="E114" s="2" t="str">
        <x:v>1022 | 5048138778 | (주)대일정공사 외 6개사의 고효율 공기압축기 교체를 통한 온실가스 감축사업 | 신규 | - | -</x:v>
      </x:c>
      <x:c r="F114" s="2" t="str">
        <x:v>변경 필드 없음</x:v>
      </x:c>
      <x:c r="G114" s="2" t="str"/>
      <x:c r="H114" s="2" t="str"/>
      <x:c r="I114" s="2" t="str">
        <x:v>국내_사업신청관리_20260731_산업부문.xls</x:v>
      </x:c>
      <x:c r="J114" s="2" t="n">
        <x:v>21</x:v>
      </x:c>
      <x:c r="K114" s="2" t="str">
        <x:v>국내_사업신청관리_20260921_산업부.xls</x:v>
      </x:c>
      <x:c r="L114" s="2"/>
    </x:row>
    <x:row r="115" ht="25" customHeight="1">
      <x:c r="A115" s="2" t="n">
        <x:v>109</x:v>
      </x:c>
      <x:c r="B115" s="2" t="str">
        <x:v>domestic_project</x:v>
      </x:c>
      <x:c r="C115" s="2" t="str">
        <x:v>산업</x:v>
      </x:c>
      <x:c r="D115" s="2" t="str">
        <x:v>9월 추가 후보</x:v>
      </x:c>
      <x:c r="E115" s="2" t="str">
        <x:v>1022 | 5048138778 | 대한미디어(주) 외 4개사의 고효율 공기압축기 교체를 통한 온실가스 감축사업 | 신규 | - | -</x:v>
      </x:c>
      <x:c r="F115" s="2" t="str">
        <x:v>변경 필드 없음</x:v>
      </x:c>
      <x:c r="G115" s="2" t="str"/>
      <x:c r="H115" s="2" t="str"/>
      <x:c r="I115" s="2" t="str">
        <x:v>국내_사업신청관리_20260731_산업부문.xls</x:v>
      </x:c>
      <x:c r="J115" s="2"/>
      <x:c r="K115" s="2" t="str">
        <x:v>국내_사업신청관리_20260921_산업부.xls</x:v>
      </x:c>
      <x:c r="L115" s="2" t="n">
        <x:v>26</x:v>
      </x:c>
    </x:row>
    <x:row r="116" ht="25" customHeight="1">
      <x:c r="A116" s="2" t="n">
        <x:v>110</x:v>
      </x:c>
      <x:c r="B116" s="2" t="str">
        <x:v>domestic_project</x:v>
      </x:c>
      <x:c r="C116" s="2" t="str">
        <x:v>산업</x:v>
      </x:c>
      <x:c r="D116" s="2" t="str">
        <x:v>9월 미등장·삭제 아님</x:v>
      </x:c>
      <x:c r="E116" s="2" t="str">
        <x:v>1023 | 4358800539 | 에이프로  고효율 2단 PM Motor 공기압축기로 교체 사업 | 신규 | - | -</x:v>
      </x:c>
      <x:c r="F116" s="2" t="str">
        <x:v>변경 필드 없음</x:v>
      </x:c>
      <x:c r="G116" s="2" t="str"/>
      <x:c r="H116" s="2" t="str"/>
      <x:c r="I116" s="2" t="str">
        <x:v>국내_사업신청관리_20260731_산업부문.xls</x:v>
      </x:c>
      <x:c r="J116" s="2" t="n">
        <x:v>20</x:v>
      </x:c>
      <x:c r="K116" s="2" t="str">
        <x:v>국내_사업신청관리_20260921_산업부.xls</x:v>
      </x:c>
      <x:c r="L116" s="2"/>
    </x:row>
    <x:row r="117" ht="25" customHeight="1">
      <x:c r="A117" s="2" t="n">
        <x:v>111</x:v>
      </x:c>
      <x:c r="B117" s="2" t="str">
        <x:v>domestic_project</x:v>
      </x:c>
      <x:c r="C117" s="2" t="str">
        <x:v>산업</x:v>
      </x:c>
      <x:c r="D117" s="2" t="str">
        <x:v>9월 추가 후보</x:v>
      </x:c>
      <x:c r="E117" s="2" t="str">
        <x:v>1023 | 5048138778 | (주)동양코어 외 5개사의 고효율 공기압축기 교체를 통한 온실가스 감축사업 | 신규 | - | -</x:v>
      </x:c>
      <x:c r="F117" s="2" t="str">
        <x:v>변경 필드 없음</x:v>
      </x:c>
      <x:c r="G117" s="2" t="str"/>
      <x:c r="H117" s="2" t="str"/>
      <x:c r="I117" s="2" t="str">
        <x:v>국내_사업신청관리_20260731_산업부문.xls</x:v>
      </x:c>
      <x:c r="J117" s="2"/>
      <x:c r="K117" s="2" t="str">
        <x:v>국내_사업신청관리_20260921_산업부.xls</x:v>
      </x:c>
      <x:c r="L117" s="2" t="n">
        <x:v>25</x:v>
      </x:c>
    </x:row>
    <x:row r="118" ht="25" customHeight="1">
      <x:c r="A118" s="2" t="n">
        <x:v>112</x:v>
      </x:c>
      <x:c r="B118" s="2" t="str">
        <x:v>domestic_project</x:v>
      </x:c>
      <x:c r="C118" s="2" t="str">
        <x:v>산업</x:v>
      </x:c>
      <x:c r="D118" s="2" t="str">
        <x:v>9월 미등장·삭제 아님</x:v>
      </x:c>
      <x:c r="E118" s="2" t="str">
        <x:v>1024 | 4358800539 | 삼진프라스틱공업(주)  고효율 2단 인버터  PM Motor 공기압축기로 교체 사업 | 신규 | - | -</x:v>
      </x:c>
      <x:c r="F118" s="2" t="str">
        <x:v>변경 필드 없음</x:v>
      </x:c>
      <x:c r="G118" s="2" t="str"/>
      <x:c r="H118" s="2" t="str"/>
      <x:c r="I118" s="2" t="str">
        <x:v>국내_사업신청관리_20260731_산업부문.xls</x:v>
      </x:c>
      <x:c r="J118" s="2" t="n">
        <x:v>19</x:v>
      </x:c>
      <x:c r="K118" s="2" t="str">
        <x:v>국내_사업신청관리_20260921_산업부.xls</x:v>
      </x:c>
      <x:c r="L118" s="2"/>
    </x:row>
    <x:row r="119" ht="25" customHeight="1">
      <x:c r="A119" s="2" t="n">
        <x:v>113</x:v>
      </x:c>
      <x:c r="B119" s="2" t="str">
        <x:v>domestic_project</x:v>
      </x:c>
      <x:c r="C119" s="2" t="str">
        <x:v>산업</x:v>
      </x:c>
      <x:c r="D119" s="2" t="str">
        <x:v>9월 추가 후보</x:v>
      </x:c>
      <x:c r="E119" s="2" t="str">
        <x:v>1024 | 5048138778 | ㈜유창염직 외 5개사의 고효율 공기압축기 교체를 통한 온실가스 감축사업 | 신규 | - | -</x:v>
      </x:c>
      <x:c r="F119" s="2" t="str">
        <x:v>변경 필드 없음</x:v>
      </x:c>
      <x:c r="G119" s="2" t="str"/>
      <x:c r="H119" s="2" t="str"/>
      <x:c r="I119" s="2" t="str">
        <x:v>국내_사업신청관리_20260731_산업부문.xls</x:v>
      </x:c>
      <x:c r="J119" s="2"/>
      <x:c r="K119" s="2" t="str">
        <x:v>국내_사업신청관리_20260921_산업부.xls</x:v>
      </x:c>
      <x:c r="L119" s="2" t="n">
        <x:v>24</x:v>
      </x:c>
    </x:row>
    <x:row r="120" ht="25" customHeight="1">
      <x:c r="A120" s="2" t="n">
        <x:v>114</x:v>
      </x:c>
      <x:c r="B120" s="2" t="str">
        <x:v>domestic_project</x:v>
      </x:c>
      <x:c r="C120" s="2" t="str">
        <x:v>산업</x:v>
      </x:c>
      <x:c r="D120" s="2" t="str">
        <x:v>9월 추가 후보</x:v>
      </x:c>
      <x:c r="E120" s="2" t="str">
        <x:v>1025 | 5048138778 | 에스엠텍스타일 외 6개사의 고효율 공기압축기 교체를 통한 온실가스 감축사업 | 신규 | - | -</x:v>
      </x:c>
      <x:c r="F120" s="2" t="str">
        <x:v>변경 필드 없음</x:v>
      </x:c>
      <x:c r="G120" s="2" t="str"/>
      <x:c r="H120" s="2" t="str"/>
      <x:c r="I120" s="2" t="str">
        <x:v>국내_사업신청관리_20260731_산업부문.xls</x:v>
      </x:c>
      <x:c r="J120" s="2"/>
      <x:c r="K120" s="2" t="str">
        <x:v>국내_사업신청관리_20260921_산업부.xls</x:v>
      </x:c>
      <x:c r="L120" s="2" t="n">
        <x:v>23</x:v>
      </x:c>
    </x:row>
    <x:row r="121" ht="25" customHeight="1">
      <x:c r="A121" s="2" t="n">
        <x:v>115</x:v>
      </x:c>
      <x:c r="B121" s="2" t="str">
        <x:v>domestic_project</x:v>
      </x:c>
      <x:c r="C121" s="2" t="str">
        <x:v>산업</x:v>
      </x:c>
      <x:c r="D121" s="2" t="str">
        <x:v>9월 미등장·삭제 아님</x:v>
      </x:c>
      <x:c r="E121" s="2" t="str">
        <x:v>1025 | 5128103829 | (주)대창아스콘 아스콘생산시설 연료전환(B-C유 → LPG) 사업 | 신규 | - | -</x:v>
      </x:c>
      <x:c r="F121" s="2" t="str">
        <x:v>변경 필드 없음</x:v>
      </x:c>
      <x:c r="G121" s="2" t="str"/>
      <x:c r="H121" s="2" t="str"/>
      <x:c r="I121" s="2" t="str">
        <x:v>국내_사업신청관리_20260731_산업부문.xls</x:v>
      </x:c>
      <x:c r="J121" s="2" t="n">
        <x:v>18</x:v>
      </x:c>
      <x:c r="K121" s="2" t="str">
        <x:v>국내_사업신청관리_20260921_산업부.xls</x:v>
      </x:c>
      <x:c r="L121" s="2"/>
    </x:row>
    <x:row r="122" ht="25" customHeight="1">
      <x:c r="A122" s="2" t="n">
        <x:v>116</x:v>
      </x:c>
      <x:c r="B122" s="2" t="str">
        <x:v>domestic_project</x:v>
      </x:c>
      <x:c r="C122" s="2" t="str">
        <x:v>산업</x:v>
      </x:c>
      <x:c r="D122" s="2" t="str">
        <x:v>9월 미등장·삭제 아님</x:v>
      </x:c>
      <x:c r="E122" s="2" t="str">
        <x:v>1026 | 4118132088 | 고효율 공기압축기 설치로 온실가스 배출 감축사업 | 신규 | - | -</x:v>
      </x:c>
      <x:c r="F122" s="2" t="str">
        <x:v>변경 필드 없음</x:v>
      </x:c>
      <x:c r="G122" s="2" t="str"/>
      <x:c r="H122" s="2" t="str"/>
      <x:c r="I122" s="2" t="str">
        <x:v>국내_사업신청관리_20260731_산업부문.xls</x:v>
      </x:c>
      <x:c r="J122" s="2" t="n">
        <x:v>17</x:v>
      </x:c>
      <x:c r="K122" s="2" t="str">
        <x:v>국내_사업신청관리_20260921_산업부.xls</x:v>
      </x:c>
      <x:c r="L122" s="2"/>
    </x:row>
    <x:row r="123" ht="25" customHeight="1">
      <x:c r="A123" s="2" t="n">
        <x:v>117</x:v>
      </x:c>
      <x:c r="B123" s="2" t="str">
        <x:v>domestic_project</x:v>
      </x:c>
      <x:c r="C123" s="2" t="str">
        <x:v>산업</x:v>
      </x:c>
      <x:c r="D123" s="2" t="str">
        <x:v>9월 추가 후보</x:v>
      </x:c>
      <x:c r="E123" s="2" t="str">
        <x:v>1026 | 5848802601 | ㈜하이테크 ENV의 육불화황 회수 및 플라즈마 분해를 통한 온실가스 감축사업 | 신규 | - | -</x:v>
      </x:c>
      <x:c r="F123" s="2" t="str">
        <x:v>변경 필드 없음</x:v>
      </x:c>
      <x:c r="G123" s="2" t="str"/>
      <x:c r="H123" s="2" t="str"/>
      <x:c r="I123" s="2" t="str">
        <x:v>국내_사업신청관리_20260731_산업부문.xls</x:v>
      </x:c>
      <x:c r="J123" s="2"/>
      <x:c r="K123" s="2" t="str">
        <x:v>국내_사업신청관리_20260921_산업부.xls</x:v>
      </x:c>
      <x:c r="L123" s="2" t="n">
        <x:v>22</x:v>
      </x:c>
    </x:row>
    <x:row r="124" ht="25" customHeight="1">
      <x:c r="A124" s="2" t="n">
        <x:v>118</x:v>
      </x:c>
      <x:c r="B124" s="2" t="str">
        <x:v>domestic_project</x:v>
      </x:c>
      <x:c r="C124" s="2" t="str">
        <x:v>산업</x:v>
      </x:c>
      <x:c r="D124" s="2" t="str">
        <x:v>9월 미등장·삭제 아님</x:v>
      </x:c>
      <x:c r="E124" s="2" t="str">
        <x:v>1027 | 3098104479 | 주식회사일아아스콘 연료전환(B-C유, 등유 → LPG)을 통한 온실가스 배출 감축사업 | 신규 | - | -</x:v>
      </x:c>
      <x:c r="F124" s="2" t="str">
        <x:v>변경 필드 없음</x:v>
      </x:c>
      <x:c r="G124" s="2" t="str"/>
      <x:c r="H124" s="2" t="str"/>
      <x:c r="I124" s="2" t="str">
        <x:v>국내_사업신청관리_20260731_산업부문.xls</x:v>
      </x:c>
      <x:c r="J124" s="2" t="n">
        <x:v>16</x:v>
      </x:c>
      <x:c r="K124" s="2" t="str">
        <x:v>국내_사업신청관리_20260921_산업부.xls</x:v>
      </x:c>
      <x:c r="L124" s="2"/>
    </x:row>
    <x:row r="125" ht="25" customHeight="1">
      <x:c r="A125" s="2" t="n">
        <x:v>119</x:v>
      </x:c>
      <x:c r="B125" s="2" t="str">
        <x:v>domestic_project</x:v>
      </x:c>
      <x:c r="C125" s="2" t="str">
        <x:v>산업</x:v>
      </x:c>
      <x:c r="D125" s="2" t="str">
        <x:v>9월 추가 후보</x:v>
      </x:c>
      <x:c r="E125" s="2" t="str">
        <x:v>1027 | 6028131628 | 부산항만공사의 LED 도로조명 교체를 통한 온실가스 묶음 감축 사업 | 신규 | - | -</x:v>
      </x:c>
      <x:c r="F125" s="2" t="str">
        <x:v>변경 필드 없음</x:v>
      </x:c>
      <x:c r="G125" s="2" t="str"/>
      <x:c r="H125" s="2" t="str"/>
      <x:c r="I125" s="2" t="str">
        <x:v>국내_사업신청관리_20260731_산업부문.xls</x:v>
      </x:c>
      <x:c r="J125" s="2"/>
      <x:c r="K125" s="2" t="str">
        <x:v>국내_사업신청관리_20260921_산업부.xls</x:v>
      </x:c>
      <x:c r="L125" s="2" t="n">
        <x:v>21</x:v>
      </x:c>
    </x:row>
    <x:row r="126" ht="25" customHeight="1">
      <x:c r="A126" s="2" t="n">
        <x:v>120</x:v>
      </x:c>
      <x:c r="B126" s="2" t="str">
        <x:v>domestic_project</x:v>
      </x:c>
      <x:c r="C126" s="2" t="str">
        <x:v>산업</x:v>
      </x:c>
      <x:c r="D126" s="2" t="str">
        <x:v>9월 추가 후보</x:v>
      </x:c>
      <x:c r="E126" s="2" t="str">
        <x:v>1028 | 1048300469 | 서울시 2021~2023년 LED 도로조명 교체를 통한 온실가스 감축사업 | 신규 | - | -</x:v>
      </x:c>
      <x:c r="F126" s="2" t="str">
        <x:v>변경 필드 없음</x:v>
      </x:c>
      <x:c r="G126" s="2" t="str"/>
      <x:c r="H126" s="2" t="str"/>
      <x:c r="I126" s="2" t="str">
        <x:v>국내_사업신청관리_20260731_산업부문.xls</x:v>
      </x:c>
      <x:c r="J126" s="2"/>
      <x:c r="K126" s="2" t="str">
        <x:v>국내_사업신청관리_20260921_산업부.xls</x:v>
      </x:c>
      <x:c r="L126" s="2" t="n">
        <x:v>20</x:v>
      </x:c>
    </x:row>
    <x:row r="127" ht="25" customHeight="1">
      <x:c r="A127" s="2" t="n">
        <x:v>121</x:v>
      </x:c>
      <x:c r="B127" s="2" t="str">
        <x:v>domestic_project</x:v>
      </x:c>
      <x:c r="C127" s="2" t="str">
        <x:v>산업</x:v>
      </x:c>
      <x:c r="D127" s="2" t="str">
        <x:v>9월 미등장·삭제 아님</x:v>
      </x:c>
      <x:c r="E127" s="2" t="str">
        <x:v>1028 | 4358800539 | (주)에어론 고효율 인버터 PM  Motor 공기압축기로 교체 사업 | 신규 | - | -</x:v>
      </x:c>
      <x:c r="F127" s="2" t="str">
        <x:v>변경 필드 없음</x:v>
      </x:c>
      <x:c r="G127" s="2" t="str"/>
      <x:c r="H127" s="2" t="str"/>
      <x:c r="I127" s="2" t="str">
        <x:v>국내_사업신청관리_20260731_산업부문.xls</x:v>
      </x:c>
      <x:c r="J127" s="2" t="n">
        <x:v>15</x:v>
      </x:c>
      <x:c r="K127" s="2" t="str">
        <x:v>국내_사업신청관리_20260921_산업부.xls</x:v>
      </x:c>
      <x:c r="L127" s="2"/>
    </x:row>
    <x:row r="128" ht="25" customHeight="1">
      <x:c r="A128" s="2" t="n">
        <x:v>122</x:v>
      </x:c>
      <x:c r="B128" s="2" t="str">
        <x:v>domestic_project</x:v>
      </x:c>
      <x:c r="C128" s="2" t="str">
        <x:v>산업</x:v>
      </x:c>
      <x:c r="D128" s="2" t="str">
        <x:v>9월 추가 후보</x:v>
      </x:c>
      <x:c r="E128" s="2" t="str">
        <x:v>1029 | 3108102296 | 서전산업㈜ 연료전환(B-C유→ LPG)을 통한 온실가스 배출 감축사업 | 신규 | - | -</x:v>
      </x:c>
      <x:c r="F128" s="2" t="str">
        <x:v>변경 필드 없음</x:v>
      </x:c>
      <x:c r="G128" s="2" t="str"/>
      <x:c r="H128" s="2" t="str"/>
      <x:c r="I128" s="2" t="str">
        <x:v>국내_사업신청관리_20260731_산업부문.xls</x:v>
      </x:c>
      <x:c r="J128" s="2"/>
      <x:c r="K128" s="2" t="str">
        <x:v>국내_사업신청관리_20260921_산업부.xls</x:v>
      </x:c>
      <x:c r="L128" s="2" t="n">
        <x:v>19</x:v>
      </x:c>
    </x:row>
    <x:row r="129" ht="25" customHeight="1">
      <x:c r="A129" s="2" t="n">
        <x:v>123</x:v>
      </x:c>
      <x:c r="B129" s="2" t="str">
        <x:v>domestic_project</x:v>
      </x:c>
      <x:c r="C129" s="2" t="str">
        <x:v>산업</x:v>
      </x:c>
      <x:c r="D129" s="2" t="str">
        <x:v>9월 미등장·삭제 아님</x:v>
      </x:c>
      <x:c r="E129" s="2" t="str">
        <x:v>1029 | 6068140018 | 대영에스앤씨(주) 외 4개사의 인버터 공기압축기 교체를 통한 온실가스 감축사업 | 신규 | - | -</x:v>
      </x:c>
      <x:c r="F129" s="2" t="str">
        <x:v>변경 필드 없음</x:v>
      </x:c>
      <x:c r="G129" s="2" t="str"/>
      <x:c r="H129" s="2" t="str"/>
      <x:c r="I129" s="2" t="str">
        <x:v>국내_사업신청관리_20260731_산업부문.xls</x:v>
      </x:c>
      <x:c r="J129" s="2" t="n">
        <x:v>14</x:v>
      </x:c>
      <x:c r="K129" s="2" t="str">
        <x:v>국내_사업신청관리_20260921_산업부.xls</x:v>
      </x:c>
      <x:c r="L129" s="2"/>
    </x:row>
    <x:row r="130" ht="25" customHeight="1">
      <x:c r="A130" s="2" t="n">
        <x:v>124</x:v>
      </x:c>
      <x:c r="B130" s="2" t="str">
        <x:v>domestic_project</x:v>
      </x:c>
      <x:c r="C130" s="2" t="str">
        <x:v>산업</x:v>
      </x:c>
      <x:c r="D130" s="2" t="str">
        <x:v>9월 추가 후보</x:v>
      </x:c>
      <x:c r="E130" s="2" t="str">
        <x:v>1030 | 2228114082 | 태광아스콘(주) 연료전환(B-C유, 경유, 정제유→ LPG)을 통한 온실가스 배출 감축사업 | 신규 | - | -</x:v>
      </x:c>
      <x:c r="F130" s="2" t="str">
        <x:v>변경 필드 없음</x:v>
      </x:c>
      <x:c r="G130" s="2" t="str"/>
      <x:c r="H130" s="2" t="str"/>
      <x:c r="I130" s="2" t="str">
        <x:v>국내_사업신청관리_20260731_산업부문.xls</x:v>
      </x:c>
      <x:c r="J130" s="2"/>
      <x:c r="K130" s="2" t="str">
        <x:v>국내_사업신청관리_20260921_산업부.xls</x:v>
      </x:c>
      <x:c r="L130" s="2" t="n">
        <x:v>18</x:v>
      </x:c>
    </x:row>
    <x:row r="131" ht="25" customHeight="1">
      <x:c r="A131" s="2" t="n">
        <x:v>125</x:v>
      </x:c>
      <x:c r="B131" s="2" t="str">
        <x:v>domestic_project</x:v>
      </x:c>
      <x:c r="C131" s="2" t="str">
        <x:v>산업</x:v>
      </x:c>
      <x:c r="D131" s="2" t="str">
        <x:v>9월 미등장·삭제 아님</x:v>
      </x:c>
      <x:c r="E131" s="2" t="str">
        <x:v>1030 | 3018600270 | ㈜대아산업 연료전환(B-C유 → LPG)을 통한 온실가스 배출 감축사업 | 신규 | - | -</x:v>
      </x:c>
      <x:c r="F131" s="2" t="str">
        <x:v>변경 필드 없음</x:v>
      </x:c>
      <x:c r="G131" s="2" t="str"/>
      <x:c r="H131" s="2" t="str"/>
      <x:c r="I131" s="2" t="str">
        <x:v>국내_사업신청관리_20260731_산업부문.xls</x:v>
      </x:c>
      <x:c r="J131" s="2" t="n">
        <x:v>13</x:v>
      </x:c>
      <x:c r="K131" s="2" t="str">
        <x:v>국내_사업신청관리_20260921_산업부.xls</x:v>
      </x:c>
      <x:c r="L131" s="2"/>
    </x:row>
    <x:row r="132" ht="25" customHeight="1">
      <x:c r="A132" s="2" t="n">
        <x:v>126</x:v>
      </x:c>
      <x:c r="B132" s="2" t="str">
        <x:v>domestic_project</x:v>
      </x:c>
      <x:c r="C132" s="2" t="str">
        <x:v>산업</x:v>
      </x:c>
      <x:c r="D132" s="2" t="str">
        <x:v>9월 미등장·삭제 아님</x:v>
      </x:c>
      <x:c r="E132" s="2" t="str">
        <x:v>1031 | 1608601324 | 대주아스콘 주식회사 연료전환(B-C유→ LPG)을 통한 온실가스 배출 감축사업 | 신규 | - | -</x:v>
      </x:c>
      <x:c r="F132" s="2" t="str">
        <x:v>변경 필드 없음</x:v>
      </x:c>
      <x:c r="G132" s="2" t="str"/>
      <x:c r="H132" s="2" t="str"/>
      <x:c r="I132" s="2" t="str">
        <x:v>국내_사업신청관리_20260731_산업부문.xls</x:v>
      </x:c>
      <x:c r="J132" s="2" t="n">
        <x:v>12</x:v>
      </x:c>
      <x:c r="K132" s="2" t="str">
        <x:v>국내_사업신청관리_20260921_산업부.xls</x:v>
      </x:c>
      <x:c r="L132" s="2"/>
    </x:row>
    <x:row r="133" ht="25" customHeight="1">
      <x:c r="A133" s="2" t="n">
        <x:v>127</x:v>
      </x:c>
      <x:c r="B133" s="2" t="str">
        <x:v>domestic_project</x:v>
      </x:c>
      <x:c r="C133" s="2" t="str">
        <x:v>산업</x:v>
      </x:c>
      <x:c r="D133" s="2" t="str">
        <x:v>9월 추가 후보</x:v>
      </x:c>
      <x:c r="E133" s="2" t="str">
        <x:v>1031 | 4028512368 | (유)호경완주지점 연료전환(B-C유 → LPG)을 통한 온실가스 배출 감축사업 | 신규 | - | -</x:v>
      </x:c>
      <x:c r="F133" s="2" t="str">
        <x:v>변경 필드 없음</x:v>
      </x:c>
      <x:c r="G133" s="2" t="str"/>
      <x:c r="H133" s="2" t="str"/>
      <x:c r="I133" s="2" t="str">
        <x:v>국내_사업신청관리_20260731_산업부문.xls</x:v>
      </x:c>
      <x:c r="J133" s="2"/>
      <x:c r="K133" s="2" t="str">
        <x:v>국내_사업신청관리_20260921_산업부.xls</x:v>
      </x:c>
      <x:c r="L133" s="2" t="n">
        <x:v>17</x:v>
      </x:c>
    </x:row>
    <x:row r="134" ht="25" customHeight="1">
      <x:c r="A134" s="2" t="n">
        <x:v>128</x:v>
      </x:c>
      <x:c r="B134" s="2" t="str">
        <x:v>domestic_project</x:v>
      </x:c>
      <x:c r="C134" s="2" t="str">
        <x:v>산업</x:v>
      </x:c>
      <x:c r="D134" s="2" t="str">
        <x:v>값 변경</x:v>
      </x:c>
      <x:c r="E134" s="2" t="str">
        <x:v>1032 | 5088509730 | 대성골재(주) 아스콘지점 연료전환(B-C유 → LPG)을 통한 온실가스 배출 감축사업 | 신규 | - | -</x:v>
      </x:c>
      <x:c r="F134" s="2" t="str">
        <x:v>[첨부파일]사업계획서</x:v>
      </x:c>
      <x:c r="G134" s="2" t="str">
        <x:v>★ 대성골재_ORS 사업계획서_ver3_260506.pdf</x:v>
      </x:c>
      <x:c r="H134" s="2" t="str">
        <x:v>★ 대성골재_ORS 사업계획서_ver3_260723.pdf</x:v>
      </x:c>
      <x:c r="I134" s="2" t="str">
        <x:v>국내_사업신청관리_20260731_산업부문.xls</x:v>
      </x:c>
      <x:c r="J134" s="2" t="n">
        <x:v>11</x:v>
      </x:c>
      <x:c r="K134" s="2" t="str">
        <x:v>국내_사업신청관리_20260921_산업부.xls</x:v>
      </x:c>
      <x:c r="L134" s="2" t="n">
        <x:v>16</x:v>
      </x:c>
    </x:row>
    <x:row r="135" ht="25" customHeight="1">
      <x:c r="A135" s="2" t="n">
        <x:v>128</x:v>
      </x:c>
      <x:c r="B135" s="2" t="str">
        <x:v>domestic_project</x:v>
      </x:c>
      <x:c r="C135" s="2" t="str">
        <x:v>산업</x:v>
      </x:c>
      <x:c r="D135" s="2" t="str">
        <x:v>값 변경</x:v>
      </x:c>
      <x:c r="E135" s="2" t="str">
        <x:v>1032 | 5088509730 | 대성골재(주) 아스콘지점 연료전환(B-C유 → LPG)을 통한 온실가스 배출 감축사업 | 신규 | - | -</x:v>
      </x:c>
      <x:c r="F135" s="2" t="str">
        <x:v>기타증빙문서</x:v>
      </x:c>
      <x:c r="G135" s="2" t="str">
        <x:v>
대성골재(주) 아스콘지점 연료전환(B-C유 &amp;rarr; LPG)을 통한 온실가스 배출 감축사업_수정 및 보완 내역서(제출 필요)_재제출9차.pdf
3. 증빙서류.zip</x:v>
      </x:c>
      <x:c r="H135" s="2" t="str">
        <x:v>
3. 증빙서류.zip</x:v>
      </x:c>
      <x:c r="I135" s="2" t="str">
        <x:v>국내_사업신청관리_20260731_산업부문.xls</x:v>
      </x:c>
      <x:c r="J135" s="2" t="n">
        <x:v>11</x:v>
      </x:c>
      <x:c r="K135" s="2" t="str">
        <x:v>국내_사업신청관리_20260921_산업부.xls</x:v>
      </x:c>
      <x:c r="L135" s="2" t="n">
        <x:v>16</x:v>
      </x:c>
    </x:row>
    <x:row r="136" ht="25" customHeight="1">
      <x:c r="A136" s="2" t="n">
        <x:v>128</x:v>
      </x:c>
      <x:c r="B136" s="2" t="str">
        <x:v>domestic_project</x:v>
      </x:c>
      <x:c r="C136" s="2" t="str">
        <x:v>산업</x:v>
      </x:c>
      <x:c r="D136" s="2" t="str">
        <x:v>값 변경</x:v>
      </x:c>
      <x:c r="E136" s="2" t="str">
        <x:v>1032 | 5088509730 | 대성골재(주) 아스콘지점 연료전환(B-C유 → LPG)을 통한 온실가스 배출 감축사업 | 신규 | - | -</x:v>
      </x:c>
      <x:c r="F136" s="2" t="str">
        <x:v>외부사업고유번호</x:v>
      </x:c>
      <x:c r="G136" s="2"/>
      <x:c r="H136" s="2" t="str">
        <x:v>R-2026-KR-03-001396</x:v>
      </x:c>
      <x:c r="I136" s="2" t="str">
        <x:v>국내_사업신청관리_20260731_산업부문.xls</x:v>
      </x:c>
      <x:c r="J136" s="2" t="n">
        <x:v>11</x:v>
      </x:c>
      <x:c r="K136" s="2" t="str">
        <x:v>국내_사업신청관리_20260921_산업부.xls</x:v>
      </x:c>
      <x:c r="L136" s="2" t="n">
        <x:v>16</x:v>
      </x:c>
    </x:row>
    <x:row r="137" ht="25" customHeight="1">
      <x:c r="A137" s="2" t="n">
        <x:v>128</x:v>
      </x:c>
      <x:c r="B137" s="2" t="str">
        <x:v>domestic_project</x:v>
      </x:c>
      <x:c r="C137" s="2" t="str">
        <x:v>산업</x:v>
      </x:c>
      <x:c r="D137" s="2" t="str">
        <x:v>값 변경</x:v>
      </x:c>
      <x:c r="E137" s="2" t="str">
        <x:v>1032 | 5088509730 | 대성골재(주) 아스콘지점 연료전환(B-C유 → LPG)을 통한 온실가스 배출 감축사업 | 신규 | - | -</x:v>
      </x:c>
      <x:c r="F137" s="2" t="str">
        <x:v>이력</x:v>
      </x:c>
      <x:c r="G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</x:v>
      </x:c>
      <x:c r="H137" s="2" t="str">
        <x:v>2020-10-06 15:53:38 - 신규신청 - 접수 
2020-10-06 15:53:38 - 관장기관 지정 - 기후에너지환경부
2020-10-07 07:43:43 - 신규신청 - 신청 
2020-10-07 14:08:03 - 관장기관 지정 - 산업통상부
2021-04-02 14:53:47 - 신규신청 - 보완요청 
2021-04-14 15:06:59 - 보완신청 - 접수 
2021-04-15 08:41:04 - 보완신청 - 신청 
2021-05-14 08:05:03 - 보완신청 - 문서재제출요청 
2021-05-21 13:21:18 - 재제출신청 - 접수 
2021-05-21 15:36:00 - 재제출신청 - 신청 
2021-05-24 22:44:18 - 재제출신청 - 문서재제출요청 
2021-05-26 17:23:36 - 재제출신청 - 접수 
2021-05-26 18:45:42 - 재제출신청 - 신청 
2021-05-26 19:23:23 - 재제출신청 - 문서재제출요청 
2021-05-26 19:44:37 - 재제출신청 - 접수 
2021-05-26 19:49:42 - 재제출신청 - 신청 
2021-07-14 18:08:02 - 재제출신청 - 문서재제출요청 
2021-08-31 11:53:45 - 재제출신청 - 접수 
2021-09-01 11:01:35 - 재제출신청 - 신청 
2021-11-03 14:37:26 - 재제출신청 - 문서재제출요청 
2025-05-21 08:32:36 - 재제출신청 - 접수 
2025-07-02 08:33:58 - 재제출신청 - 신청 
2025-07-03 09:21:47 - 재제출신청 - 보완요청 
2025-08-06 11:48:39 - 보완신청 - 접수 
2025-09-17 14:31:46 - 보완신청 - 신청 
2025-09-17 14:32:28 - 보완신청 - 보완요청 
2025-10-20 08:34:26 - 보완신청 - 접수 
2025-11-25 10:46:09 - 보완신청 - 신청 
2025-11-25 10:58:02 - 보완신청 - 문서재제출요청 
2025-11-28 15:07:02 - 재제출신청 - 접수 
2026-01-12 10:42:27 - 재제출신청 - 신청 
2026-01-12 10:42:41 - 재제출신청 - 문서재제출요청 
2026-02-06 13:34:07 - 재제출신청 - 접수 
2026-03-10 13:12:00 - 재제출신청 - 신청 
2026-03-10 13:12:15 - 재제출신청 - 문서재제출요청 
2026-03-10 15:10:05 - 재제출신청 - 접수 
2026-04-10 16:36:26 - 재제출신청 - 신청 
2026-04-10 16:36:40 - 재제출신청 - 문서재제출요청 
2026-05-06 16:25:18 - 재제출신청 - 접수 
2026-05-14 10:25:58 - 재제출신청 - 신청 
2026-05-15 13:10:25 - 재제출신청 - 문서재제출요청 
2026-05-15 13:15:37 - 재제출신청 - 접수 
2026-05-18 13:30:14 - 재제출신청 - 신청 
2026-06-10 11:24:23 - 재제출신청 - 평가승인  (협의 요청일 : 2026-06-09)
2026-06-10 16:49:14 - 재제출신청 - 협의검토중  (협의 통보일 : 2026-07-21)
2026-07-21 15:21:04 - 재제출신청 - 협의통보 
2026-09-08 16:54:30 - 재제출신청 - 심의승인 
</x:v>
      </x:c>
      <x:c r="I137" s="2" t="str">
        <x:v>국내_사업신청관리_20260731_산업부문.xls</x:v>
      </x:c>
      <x:c r="J137" s="2" t="n">
        <x:v>11</x:v>
      </x:c>
      <x:c r="K137" s="2" t="str">
        <x:v>국내_사업신청관리_20260921_산업부.xls</x:v>
      </x:c>
      <x:c r="L137" s="2" t="n">
        <x:v>16</x:v>
      </x:c>
    </x:row>
    <x:row r="138" ht="25" customHeight="1">
      <x:c r="A138" s="2" t="n">
        <x:v>128</x:v>
      </x:c>
      <x:c r="B138" s="2" t="str">
        <x:v>domestic_project</x:v>
      </x:c>
      <x:c r="C138" s="2" t="str">
        <x:v>산업</x:v>
      </x:c>
      <x:c r="D138" s="2" t="str">
        <x:v>값 변경</x:v>
      </x:c>
      <x:c r="E138" s="2" t="str">
        <x:v>1032 | 5088509730 | 대성골재(주) 아스콘지점 연료전환(B-C유 → LPG)을 통한 온실가스 배출 감축사업 | 신규 | - | -</x:v>
      </x:c>
      <x:c r="F138" s="2" t="str">
        <x:v>인증유효기간</x:v>
      </x:c>
      <x:c r="G138" s="2" t="str">
        <x:v>2020-03-02~2030-03-01</x:v>
      </x:c>
      <x:c r="H138" s="2" t="str">
        <x:v>2026-09-02~2036-09-01</x:v>
      </x:c>
      <x:c r="I138" s="2" t="str">
        <x:v>국내_사업신청관리_20260731_산업부문.xls</x:v>
      </x:c>
      <x:c r="J138" s="2" t="n">
        <x:v>11</x:v>
      </x:c>
      <x:c r="K138" s="2" t="str">
        <x:v>국내_사업신청관리_20260921_산업부.xls</x:v>
      </x:c>
      <x:c r="L138" s="2" t="n">
        <x:v>16</x:v>
      </x:c>
    </x:row>
    <x:row r="139" ht="25" customHeight="1">
      <x:c r="A139" s="2" t="n">
        <x:v>128</x:v>
      </x:c>
      <x:c r="B139" s="2" t="str">
        <x:v>domestic_project</x:v>
      </x:c>
      <x:c r="C139" s="2" t="str">
        <x:v>산업</x:v>
      </x:c>
      <x:c r="D139" s="2" t="str">
        <x:v>값 변경</x:v>
      </x:c>
      <x:c r="E139" s="2" t="str">
        <x:v>1032 | 5088509730 | 대성골재(주) 아스콘지점 연료전환(B-C유 → LPG)을 통한 온실가스 배출 감축사업 | 신규 | - | -</x:v>
      </x:c>
      <x:c r="F139" s="2" t="str">
        <x:v>처리상태</x:v>
      </x:c>
      <x:c r="G139" s="2" t="str">
        <x:v>[보완3차]협의통보
2026-07-21</x:v>
      </x:c>
      <x:c r="H139" s="2" t="str">
        <x:v>[보완3차]심의승인
2026-09-08</x:v>
      </x:c>
      <x:c r="I139" s="2" t="str">
        <x:v>국내_사업신청관리_20260731_산업부문.xls</x:v>
      </x:c>
      <x:c r="J139" s="2" t="n">
        <x:v>11</x:v>
      </x:c>
      <x:c r="K139" s="2" t="str">
        <x:v>국내_사업신청관리_20260921_산업부.xls</x:v>
      </x:c>
      <x:c r="L139" s="2" t="n">
        <x:v>16</x:v>
      </x:c>
    </x:row>
    <x:row r="140" ht="25" customHeight="1">
      <x:c r="A140" s="2" t="n">
        <x:v>128</x:v>
      </x:c>
      <x:c r="B140" s="2" t="str">
        <x:v>domestic_project</x:v>
      </x:c>
      <x:c r="C140" s="2" t="str">
        <x:v>산업</x:v>
      </x:c>
      <x:c r="D140" s="2" t="str">
        <x:v>값 변경</x:v>
      </x:c>
      <x:c r="E140" s="2" t="str">
        <x:v>1032 | 5088509730 | 대성골재(주) 아스콘지점 연료전환(B-C유 → LPG)을 통한 온실가스 배출 감축사업 | 신규 | - | -</x:v>
      </x:c>
      <x:c r="F140" s="2" t="str">
        <x:v>처리일자</x:v>
      </x:c>
      <x:c r="G140" s="2" t="str">
        <x:v>2026-07-21</x:v>
      </x:c>
      <x:c r="H140" s="2" t="str">
        <x:v>2026-09-08</x:v>
      </x:c>
      <x:c r="I140" s="2" t="str">
        <x:v>국내_사업신청관리_20260731_산업부문.xls</x:v>
      </x:c>
      <x:c r="J140" s="2" t="n">
        <x:v>11</x:v>
      </x:c>
      <x:c r="K140" s="2" t="str">
        <x:v>국내_사업신청관리_20260921_산업부.xls</x:v>
      </x:c>
      <x:c r="L140" s="2" t="n">
        <x:v>16</x:v>
      </x:c>
    </x:row>
    <x:row r="141" ht="25" customHeight="1">
      <x:c r="A141" s="2" t="n">
        <x:v>129</x:v>
      </x:c>
      <x:c r="B141" s="2" t="str">
        <x:v>domestic_project</x:v>
      </x:c>
      <x:c r="C141" s="2" t="str">
        <x:v>산업</x:v>
      </x:c>
      <x:c r="D141" s="2" t="str">
        <x:v>값 변경</x:v>
      </x:c>
      <x:c r="E141" s="2" t="str">
        <x:v>1033 | 4358800539 | (주)송광프라스틱 고효율 2단 인버터 PM Motor 공기압축기로 교체 사업 | 신규 | - | -</x:v>
      </x:c>
      <x:c r="F141" s="2" t="str">
        <x:v>외부사업고유번호</x:v>
      </x:c>
      <x:c r="G141" s="2"/>
      <x:c r="H141" s="2" t="str">
        <x:v>R-2026-KR-03-001397</x:v>
      </x:c>
      <x:c r="I141" s="2" t="str">
        <x:v>국내_사업신청관리_20260731_산업부문.xls</x:v>
      </x:c>
      <x:c r="J141" s="2" t="n">
        <x:v>10</x:v>
      </x:c>
      <x:c r="K141" s="2" t="str">
        <x:v>국내_사업신청관리_20260921_산업부.xls</x:v>
      </x:c>
      <x:c r="L141" s="2" t="n">
        <x:v>15</x:v>
      </x:c>
    </x:row>
    <x:row r="142" ht="25" customHeight="1">
      <x:c r="A142" s="2" t="n">
        <x:v>129</x:v>
      </x:c>
      <x:c r="B142" s="2" t="str">
        <x:v>domestic_project</x:v>
      </x:c>
      <x:c r="C142" s="2" t="str">
        <x:v>산업</x:v>
      </x:c>
      <x:c r="D142" s="2" t="str">
        <x:v>값 변경</x:v>
      </x:c>
      <x:c r="E142" s="2" t="str">
        <x:v>1033 | 4358800539 | (주)송광프라스틱 고효율 2단 인버터 PM Motor 공기압축기로 교체 사업 | 신규 | - | -</x:v>
      </x:c>
      <x:c r="F142" s="2" t="str">
        <x:v>이력</x:v>
      </x:c>
      <x:c r="G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</x:v>
      </x:c>
      <x:c r="H142" s="2" t="str">
        <x:v>2024-07-11 10:21:22 - 신규신청 - 접수 
2024-07-11 10:21:22 - 관장기관 지정 - 기후에너지환경부
2024-07-12 10:42:59 - 관장기관 지정 - 산업통상부
2024-08-05 13:21:00 - 신규신청 - 신청 
2024-08-05 13:21:29 - 신규신청 - 보완요청 
2024-11-26 16:52:37 - 보완신청 - 접수 
2025-02-04 10:41:39 - 보완신청 - 신청 
2025-02-04 10:45:05 - 보완신청 - 보완요청 
2025-03-24 15:17:56 - 보완신청 - 접수 
2025-09-29 15:38:43 - 보완신청 - 신청 
2025-09-29 15:39:21 - 보완신청 - 보완요청 
2025-10-16 16:31:19 - 보완신청 - 접수 
2025-11-25 08:22:02 - 보완신청 - 신청 
2025-11-25 08:22:18 - 보완신청 - 문서재제출요청 
2025-11-26 15:43:40 - 재제출신청 - 접수 
2025-12-10 15:14:37 - 재제출신청 - 신청 
2025-12-10 15:14:48 - 재제출신청 - 문서재제출요청 
2025-12-16 13:55:07 - 재제출신청 - 접수 
2026-03-03 11:53:27 - 재제출신청 - 신청 
2026-03-03 14:24:50 - 재제출신청 - 문서재제출요청 
2026-05-29 10:37:43 - 재제출신청 - 접수 
2026-06-05 09:50:05 - 재제출신청 - 신청 
2026-06-10 11:26:05 - 재제출신청 - 평가승인  (협의 요청일 : 2026-06-09)
2026-06-10 16:49:14 - 재제출신청 - 협의검토중  (협의 통보일 : 2026-07-21)
2026-07-21 15:21:04 - 재제출신청 - 협의통보 
2026-09-08 16:55:43 - 재제출신청 - 심의승인 
</x:v>
      </x:c>
      <x:c r="I142" s="2" t="str">
        <x:v>국내_사업신청관리_20260731_산업부문.xls</x:v>
      </x:c>
      <x:c r="J142" s="2" t="n">
        <x:v>10</x:v>
      </x:c>
      <x:c r="K142" s="2" t="str">
        <x:v>국내_사업신청관리_20260921_산업부.xls</x:v>
      </x:c>
      <x:c r="L142" s="2" t="n">
        <x:v>15</x:v>
      </x:c>
    </x:row>
    <x:row r="143" ht="25" customHeight="1">
      <x:c r="A143" s="2" t="n">
        <x:v>129</x:v>
      </x:c>
      <x:c r="B143" s="2" t="str">
        <x:v>domestic_project</x:v>
      </x:c>
      <x:c r="C143" s="2" t="str">
        <x:v>산업</x:v>
      </x:c>
      <x:c r="D143" s="2" t="str">
        <x:v>값 변경</x:v>
      </x:c>
      <x:c r="E143" s="2" t="str">
        <x:v>1033 | 4358800539 | (주)송광프라스틱 고효율 2단 인버터 PM Motor 공기압축기로 교체 사업 | 신규 | - | -</x:v>
      </x:c>
      <x:c r="F143" s="2" t="str">
        <x:v>인증유효기간</x:v>
      </x:c>
      <x:c r="G143" s="2" t="str">
        <x:v>2020-12-21~2030-12-20</x:v>
      </x:c>
      <x:c r="H143" s="2" t="str">
        <x:v>2026-09-02~2036-09-01</x:v>
      </x:c>
      <x:c r="I143" s="2" t="str">
        <x:v>국내_사업신청관리_20260731_산업부문.xls</x:v>
      </x:c>
      <x:c r="J143" s="2" t="n">
        <x:v>10</x:v>
      </x:c>
      <x:c r="K143" s="2" t="str">
        <x:v>국내_사업신청관리_20260921_산업부.xls</x:v>
      </x:c>
      <x:c r="L143" s="2" t="n">
        <x:v>15</x:v>
      </x:c>
    </x:row>
    <x:row r="144" ht="25" customHeight="1">
      <x:c r="A144" s="2" t="n">
        <x:v>129</x:v>
      </x:c>
      <x:c r="B144" s="2" t="str">
        <x:v>domestic_project</x:v>
      </x:c>
      <x:c r="C144" s="2" t="str">
        <x:v>산업</x:v>
      </x:c>
      <x:c r="D144" s="2" t="str">
        <x:v>값 변경</x:v>
      </x:c>
      <x:c r="E144" s="2" t="str">
        <x:v>1033 | 4358800539 | (주)송광프라스틱 고효율 2단 인버터 PM Motor 공기압축기로 교체 사업 | 신규 | - | -</x:v>
      </x:c>
      <x:c r="F144" s="2" t="str">
        <x:v>처리상태</x:v>
      </x:c>
      <x:c r="G144" s="2" t="str">
        <x:v>[보완3차]협의통보
2026-07-21</x:v>
      </x:c>
      <x:c r="H144" s="2" t="str">
        <x:v>[보완3차]심의승인
2026-09-08</x:v>
      </x:c>
      <x:c r="I144" s="2" t="str">
        <x:v>국내_사업신청관리_20260731_산업부문.xls</x:v>
      </x:c>
      <x:c r="J144" s="2" t="n">
        <x:v>10</x:v>
      </x:c>
      <x:c r="K144" s="2" t="str">
        <x:v>국내_사업신청관리_20260921_산업부.xls</x:v>
      </x:c>
      <x:c r="L144" s="2" t="n">
        <x:v>15</x:v>
      </x:c>
    </x:row>
    <x:row r="145" ht="25" customHeight="1">
      <x:c r="A145" s="2" t="n">
        <x:v>129</x:v>
      </x:c>
      <x:c r="B145" s="2" t="str">
        <x:v>domestic_project</x:v>
      </x:c>
      <x:c r="C145" s="2" t="str">
        <x:v>산업</x:v>
      </x:c>
      <x:c r="D145" s="2" t="str">
        <x:v>값 변경</x:v>
      </x:c>
      <x:c r="E145" s="2" t="str">
        <x:v>1033 | 4358800539 | (주)송광프라스틱 고효율 2단 인버터 PM Motor 공기압축기로 교체 사업 | 신규 | - | -</x:v>
      </x:c>
      <x:c r="F145" s="2" t="str">
        <x:v>처리일자</x:v>
      </x:c>
      <x:c r="G145" s="2" t="str">
        <x:v>2026-07-21</x:v>
      </x:c>
      <x:c r="H145" s="2" t="str">
        <x:v>2026-09-08</x:v>
      </x:c>
      <x:c r="I145" s="2" t="str">
        <x:v>국내_사업신청관리_20260731_산업부문.xls</x:v>
      </x:c>
      <x:c r="J145" s="2" t="n">
        <x:v>10</x:v>
      </x:c>
      <x:c r="K145" s="2" t="str">
        <x:v>국내_사업신청관리_20260921_산업부.xls</x:v>
      </x:c>
      <x:c r="L145" s="2" t="n">
        <x:v>15</x:v>
      </x:c>
    </x:row>
    <x:row r="146" ht="25" customHeight="1">
      <x:c r="A146" s="2" t="n">
        <x:v>130</x:v>
      </x:c>
      <x:c r="B146" s="2" t="str">
        <x:v>domestic_project</x:v>
      </x:c>
      <x:c r="C146" s="2" t="str">
        <x:v>산업</x:v>
      </x:c>
      <x:c r="D146" s="2" t="str">
        <x:v>9월 추가 후보</x:v>
      </x:c>
      <x:c r="E146" s="2" t="str">
        <x:v>1034 | 1608601324 | 대주아스콘 주식회사 연료전환(B-C유→ LPG)을 통한 온실가스 배출 감축사업 | 신규 | - | -</x:v>
      </x:c>
      <x:c r="F146" s="2" t="str">
        <x:v>변경 필드 없음</x:v>
      </x:c>
      <x:c r="G146" s="2" t="str"/>
      <x:c r="H146" s="2" t="str"/>
      <x:c r="I146" s="2" t="str">
        <x:v>국내_사업신청관리_20260731_산업부문.xls</x:v>
      </x:c>
      <x:c r="J146" s="2"/>
      <x:c r="K146" s="2" t="str">
        <x:v>국내_사업신청관리_20260921_산업부.xls</x:v>
      </x:c>
      <x:c r="L146" s="2" t="n">
        <x:v>14</x:v>
      </x:c>
    </x:row>
    <x:row r="147" ht="25" customHeight="1">
      <x:c r="A147" s="2" t="n">
        <x:v>131</x:v>
      </x:c>
      <x:c r="B147" s="2" t="str">
        <x:v>domestic_project</x:v>
      </x:c>
      <x:c r="C147" s="2" t="str">
        <x:v>산업</x:v>
      </x:c>
      <x:c r="D147" s="2" t="str">
        <x:v>9월 미등장·삭제 아님</x:v>
      </x:c>
      <x:c r="E147" s="2" t="str">
        <x:v>1034 | 4028512368 | (유)호경완주지점 연료전환(B-C유 → LPG)을 통한 온실가스 배출 감축사업 | 신규 | - | -</x:v>
      </x:c>
      <x:c r="F147" s="2" t="str">
        <x:v>변경 필드 없음</x:v>
      </x:c>
      <x:c r="G147" s="2" t="str"/>
      <x:c r="H147" s="2" t="str"/>
      <x:c r="I147" s="2" t="str">
        <x:v>국내_사업신청관리_20260731_산업부문.xls</x:v>
      </x:c>
      <x:c r="J147" s="2" t="n">
        <x:v>9</x:v>
      </x:c>
      <x:c r="K147" s="2" t="str">
        <x:v>국내_사업신청관리_20260921_산업부.xls</x:v>
      </x:c>
      <x:c r="L147" s="2"/>
    </x:row>
    <x:row r="148" ht="25" customHeight="1">
      <x:c r="A148" s="2" t="n">
        <x:v>132</x:v>
      </x:c>
      <x:c r="B148" s="2" t="str">
        <x:v>domestic_project</x:v>
      </x:c>
      <x:c r="C148" s="2" t="str">
        <x:v>산업</x:v>
      </x:c>
      <x:c r="D148" s="2" t="str">
        <x:v>값 변경</x:v>
      </x:c>
      <x:c r="E148" s="2" t="str">
        <x:v>1035 | 3458100218 | 신성아스콘주식회사 연료전환(B-C유 → LPG)을 통한 온실가스 배출 감축사업 | 신규 | - | -</x:v>
      </x:c>
      <x:c r="F148" s="2" t="str">
        <x:v>[첨부파일]사업계획서</x:v>
      </x:c>
      <x:c r="G148" s="2" t="str">
        <x:v>[신성아스콘] 연료전환 외부사업 사업계획서 Ver.5.0_260522.pdf</x:v>
      </x:c>
      <x:c r="H148" s="2" t="str">
        <x:v>[신성아스콘] 연료전환 외부사업 사업계획서 Ver.6.0_260527.pdf</x:v>
      </x:c>
      <x:c r="I148" s="2" t="str">
        <x:v>국내_사업신청관리_20260731_산업부문.xls</x:v>
      </x:c>
      <x:c r="J148" s="2" t="n">
        <x:v>8</x:v>
      </x:c>
      <x:c r="K148" s="2" t="str">
        <x:v>국내_사업신청관리_20260921_산업부.xls</x:v>
      </x:c>
      <x:c r="L148" s="2" t="n">
        <x:v>13</x:v>
      </x:c>
    </x:row>
    <x:row r="149" ht="25" customHeight="1">
      <x:c r="A149" s="2" t="n">
        <x:v>132</x:v>
      </x:c>
      <x:c r="B149" s="2" t="str">
        <x:v>domestic_project</x:v>
      </x:c>
      <x:c r="C149" s="2" t="str">
        <x:v>산업</x:v>
      </x:c>
      <x:c r="D149" s="2" t="str">
        <x:v>값 변경</x:v>
      </x:c>
      <x:c r="E149" s="2" t="str">
        <x:v>1035 | 3458100218 | 신성아스콘주식회사 연료전환(B-C유 → LPG)을 통한 온실가스 배출 감축사업 | 신규 | - | -</x:v>
      </x:c>
      <x:c r="F149" s="2" t="str">
        <x:v>외부사업고유번호</x:v>
      </x:c>
      <x:c r="G149" s="2"/>
      <x:c r="H149" s="2" t="str">
        <x:v>R-2026-KR-03-001400</x:v>
      </x:c>
      <x:c r="I149" s="2" t="str">
        <x:v>국내_사업신청관리_20260731_산업부문.xls</x:v>
      </x:c>
      <x:c r="J149" s="2" t="n">
        <x:v>8</x:v>
      </x:c>
      <x:c r="K149" s="2" t="str">
        <x:v>국내_사업신청관리_20260921_산업부.xls</x:v>
      </x:c>
      <x:c r="L149" s="2" t="n">
        <x:v>13</x:v>
      </x:c>
    </x:row>
    <x:row r="150" ht="25" customHeight="1">
      <x:c r="A150" s="2" t="n">
        <x:v>132</x:v>
      </x:c>
      <x:c r="B150" s="2" t="str">
        <x:v>domestic_project</x:v>
      </x:c>
      <x:c r="C150" s="2" t="str">
        <x:v>산업</x:v>
      </x:c>
      <x:c r="D150" s="2" t="str">
        <x:v>값 변경</x:v>
      </x:c>
      <x:c r="E150" s="2" t="str">
        <x:v>1035 | 3458100218 | 신성아스콘주식회사 연료전환(B-C유 → LPG)을 통한 온실가스 배출 감축사업 | 신규 | - | -</x:v>
      </x:c>
      <x:c r="F150" s="2" t="str">
        <x:v>이력</x:v>
      </x:c>
      <x:c r="G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</x:v>
      </x:c>
      <x:c r="H150" s="2" t="str">
        <x:v>2025-02-25 15:22:58 - 신규신청 - 접수 
2025-02-25 15:22:58 - 관장기관 지정 - 기후에너지환경부
2025-02-26 18:31:55 - 관장기관 지정 - 산업통상부
2025-04-23 10:00:33 - 신규신청 - 신청 
2025-04-25 17:28:32 - 신규신청 - 보완요청 
2025-06-09 09:14:33 - 보완신청 - 접수 
2025-07-28 09:14:14 - 보완신청 - 신청 
2025-07-29 08:49:02 - 보완신청 - 보완요청 
2025-09-24 13:15:49 - 보완신청 - 접수 
2025-11-07 14:19:49 - 보완신청 - 신청 
2025-11-07 14:21:52 - 보완신청 - 보완요청 
2025-11-12 11:19:03 - 보완신청 - 접수 
2025-12-03 16:51:36 - 보완신청 - 신청 
2025-12-03 16:51:54 - 보완신청 - 문서재제출요청 
2026-03-03 15:17:35 - 재제출신청 - 접수 
2026-04-07 16:19:44 - 재제출신청 - 신청 
2026-04-07 16:20:06 - 재제출신청 - 문서재제출요청 
2026-04-08 15:10:59 - 재제출신청 - 접수 
2026-05-13 16:58:24 - 재제출신청 - 신청 
2026-05-13 16:58:36 - 재제출신청 - 문서재제출요청 
2026-05-22 11:05:16 - 재제출신청 - 접수 
2026-06-10 13:13:06 - 재제출신청 - 신청 
2026-06-10 16:46:49 - 재제출신청 - 평가승인  (협의 요청일 : 2026-06-09)
2026-06-10 16:49:14 - 재제출신청 - 협의검토중  (협의 통보일 : 2026-07-21)
2026-07-21 15:21:04 - 재제출신청 - 협의통보 
2026-09-08 17:46:55 - 재제출신청 - 심의승인 
</x:v>
      </x:c>
      <x:c r="I150" s="2" t="str">
        <x:v>국내_사업신청관리_20260731_산업부문.xls</x:v>
      </x:c>
      <x:c r="J150" s="2" t="n">
        <x:v>8</x:v>
      </x:c>
      <x:c r="K150" s="2" t="str">
        <x:v>국내_사업신청관리_20260921_산업부.xls</x:v>
      </x:c>
      <x:c r="L150" s="2" t="n">
        <x:v>13</x:v>
      </x:c>
    </x:row>
    <x:row r="151" ht="25" customHeight="1">
      <x:c r="A151" s="2" t="n">
        <x:v>132</x:v>
      </x:c>
      <x:c r="B151" s="2" t="str">
        <x:v>domestic_project</x:v>
      </x:c>
      <x:c r="C151" s="2" t="str">
        <x:v>산업</x:v>
      </x:c>
      <x:c r="D151" s="2" t="str">
        <x:v>값 변경</x:v>
      </x:c>
      <x:c r="E151" s="2" t="str">
        <x:v>1035 | 3458100218 | 신성아스콘주식회사 연료전환(B-C유 → LPG)을 통한 온실가스 배출 감축사업 | 신규 | - | -</x:v>
      </x:c>
      <x:c r="F151" s="2" t="str">
        <x:v>인증유효기간</x:v>
      </x:c>
      <x:c r="G151" s="2" t="str">
        <x:v>2019-02-18~2029-02-17</x:v>
      </x:c>
      <x:c r="H151" s="2" t="str">
        <x:v>2026-09-02~2036-09-01</x:v>
      </x:c>
      <x:c r="I151" s="2" t="str">
        <x:v>국내_사업신청관리_20260731_산업부문.xls</x:v>
      </x:c>
      <x:c r="J151" s="2" t="n">
        <x:v>8</x:v>
      </x:c>
      <x:c r="K151" s="2" t="str">
        <x:v>국내_사업신청관리_20260921_산업부.xls</x:v>
      </x:c>
      <x:c r="L151" s="2" t="n">
        <x:v>13</x:v>
      </x:c>
    </x:row>
    <x:row r="152" ht="25" customHeight="1">
      <x:c r="A152" s="2" t="n">
        <x:v>132</x:v>
      </x:c>
      <x:c r="B152" s="2" t="str">
        <x:v>domestic_project</x:v>
      </x:c>
      <x:c r="C152" s="2" t="str">
        <x:v>산업</x:v>
      </x:c>
      <x:c r="D152" s="2" t="str">
        <x:v>값 변경</x:v>
      </x:c>
      <x:c r="E152" s="2" t="str">
        <x:v>1035 | 3458100218 | 신성아스콘주식회사 연료전환(B-C유 → LPG)을 통한 온실가스 배출 감축사업 | 신규 | - | -</x:v>
      </x:c>
      <x:c r="F152" s="2" t="str">
        <x:v>처리상태</x:v>
      </x:c>
      <x:c r="G152" s="2" t="str">
        <x:v>[보완3차]협의통보
2026-07-21</x:v>
      </x:c>
      <x:c r="H152" s="2" t="str">
        <x:v>[보완3차]심의승인
2026-09-08</x:v>
      </x:c>
      <x:c r="I152" s="2" t="str">
        <x:v>국내_사업신청관리_20260731_산업부문.xls</x:v>
      </x:c>
      <x:c r="J152" s="2" t="n">
        <x:v>8</x:v>
      </x:c>
      <x:c r="K152" s="2" t="str">
        <x:v>국내_사업신청관리_20260921_산업부.xls</x:v>
      </x:c>
      <x:c r="L152" s="2" t="n">
        <x:v>13</x:v>
      </x:c>
    </x:row>
    <x:row r="153" ht="25" customHeight="1">
      <x:c r="A153" s="2" t="n">
        <x:v>132</x:v>
      </x:c>
      <x:c r="B153" s="2" t="str">
        <x:v>domestic_project</x:v>
      </x:c>
      <x:c r="C153" s="2" t="str">
        <x:v>산업</x:v>
      </x:c>
      <x:c r="D153" s="2" t="str">
        <x:v>값 변경</x:v>
      </x:c>
      <x:c r="E153" s="2" t="str">
        <x:v>1035 | 3458100218 | 신성아스콘주식회사 연료전환(B-C유 → LPG)을 통한 온실가스 배출 감축사업 | 신규 | - | -</x:v>
      </x:c>
      <x:c r="F153" s="2" t="str">
        <x:v>처리일자</x:v>
      </x:c>
      <x:c r="G153" s="2" t="str">
        <x:v>2026-07-21</x:v>
      </x:c>
      <x:c r="H153" s="2" t="str">
        <x:v>2026-09-08</x:v>
      </x:c>
      <x:c r="I153" s="2" t="str">
        <x:v>국내_사업신청관리_20260731_산업부문.xls</x:v>
      </x:c>
      <x:c r="J153" s="2" t="n">
        <x:v>8</x:v>
      </x:c>
      <x:c r="K153" s="2" t="str">
        <x:v>국내_사업신청관리_20260921_산업부.xls</x:v>
      </x:c>
      <x:c r="L153" s="2" t="n">
        <x:v>13</x:v>
      </x:c>
    </x:row>
    <x:row r="154" ht="25" customHeight="1">
      <x:c r="A154" s="2" t="n">
        <x:v>133</x:v>
      </x:c>
      <x:c r="B154" s="2" t="str">
        <x:v>domestic_project</x:v>
      </x:c>
      <x:c r="C154" s="2" t="str">
        <x:v>산업</x:v>
      </x:c>
      <x:c r="D154" s="2" t="str">
        <x:v>9월 추가 후보</x:v>
      </x:c>
      <x:c r="E154" s="2" t="str">
        <x:v>1036 | 3018600270 | ㈜대아산업 연료전환(B-C유 → LPG)을 통한 온실가스 배출 감축사업 | 신규 | - | -</x:v>
      </x:c>
      <x:c r="F154" s="2" t="str">
        <x:v>변경 필드 없음</x:v>
      </x:c>
      <x:c r="G154" s="2" t="str"/>
      <x:c r="H154" s="2" t="str"/>
      <x:c r="I154" s="2" t="str">
        <x:v>국내_사업신청관리_20260731_산업부문.xls</x:v>
      </x:c>
      <x:c r="J154" s="2"/>
      <x:c r="K154" s="2" t="str">
        <x:v>국내_사업신청관리_20260921_산업부.xls</x:v>
      </x:c>
      <x:c r="L154" s="2" t="n">
        <x:v>12</x:v>
      </x:c>
    </x:row>
    <x:row r="155" ht="25" customHeight="1">
      <x:c r="A155" s="2" t="n">
        <x:v>134</x:v>
      </x:c>
      <x:c r="B155" s="2" t="str">
        <x:v>domestic_project</x:v>
      </x:c>
      <x:c r="C155" s="2" t="str">
        <x:v>산업</x:v>
      </x:c>
      <x:c r="D155" s="2" t="str">
        <x:v>9월 미등장·삭제 아님</x:v>
      </x:c>
      <x:c r="E155" s="2" t="str">
        <x:v>1036 | 5078104049 | 주식회사 창성 연료전환(B-C유 → LPG)을 통한 온실가스 배출 감축사업 | 신규 | - | -</x:v>
      </x:c>
      <x:c r="F155" s="2" t="str">
        <x:v>변경 필드 없음</x:v>
      </x:c>
      <x:c r="G155" s="2" t="str"/>
      <x:c r="H155" s="2" t="str"/>
      <x:c r="I155" s="2" t="str">
        <x:v>국내_사업신청관리_20260731_산업부문.xls</x:v>
      </x:c>
      <x:c r="J155" s="2" t="n">
        <x:v>7</x:v>
      </x:c>
      <x:c r="K155" s="2" t="str">
        <x:v>국내_사업신청관리_20260921_산업부.xls</x:v>
      </x:c>
      <x:c r="L155" s="2"/>
    </x:row>
    <x:row r="156" ht="25" customHeight="1">
      <x:c r="A156" s="2" t="n">
        <x:v>135</x:v>
      </x:c>
      <x:c r="B156" s="2" t="str">
        <x:v>domestic_project</x:v>
      </x:c>
      <x:c r="C156" s="2" t="str">
        <x:v>산업</x:v>
      </x:c>
      <x:c r="D156" s="2" t="str">
        <x:v>9월 추가 후보</x:v>
      </x:c>
      <x:c r="E156" s="2" t="str">
        <x:v>1037 | 4358800539 | (주)에어론 고효율 인버터 PM  Motor 공기압축기로 교체 사업 | 신규 | - | -</x:v>
      </x:c>
      <x:c r="F156" s="2" t="str">
        <x:v>변경 필드 없음</x:v>
      </x:c>
      <x:c r="G156" s="2" t="str"/>
      <x:c r="H156" s="2" t="str"/>
      <x:c r="I156" s="2" t="str">
        <x:v>국내_사업신청관리_20260731_산업부문.xls</x:v>
      </x:c>
      <x:c r="J156" s="2"/>
      <x:c r="K156" s="2" t="str">
        <x:v>국내_사업신청관리_20260921_산업부.xls</x:v>
      </x:c>
      <x:c r="L156" s="2" t="n">
        <x:v>11</x:v>
      </x:c>
    </x:row>
    <x:row r="157" ht="25" customHeight="1">
      <x:c r="A157" s="2" t="n">
        <x:v>136</x:v>
      </x:c>
      <x:c r="B157" s="2" t="str">
        <x:v>domestic_project</x:v>
      </x:c>
      <x:c r="C157" s="2" t="str">
        <x:v>산업</x:v>
      </x:c>
      <x:c r="D157" s="2" t="str">
        <x:v>9월 미등장·삭제 아님</x:v>
      </x:c>
      <x:c r="E157" s="2" t="str">
        <x:v>1037 | 7668802538 | 농산아스콘㈜ 연료전환(B-C유, 감압정제유→LPG)을 통한 온실가스 배출 감축사업 | 신규 | - | -</x:v>
      </x:c>
      <x:c r="F157" s="2" t="str">
        <x:v>변경 필드 없음</x:v>
      </x:c>
      <x:c r="G157" s="2" t="str"/>
      <x:c r="H157" s="2" t="str"/>
      <x:c r="I157" s="2" t="str">
        <x:v>국내_사업신청관리_20260731_산업부문.xls</x:v>
      </x:c>
      <x:c r="J157" s="2" t="n">
        <x:v>6</x:v>
      </x:c>
      <x:c r="K157" s="2" t="str">
        <x:v>국내_사업신청관리_20260921_산업부.xls</x:v>
      </x:c>
      <x:c r="L157" s="2"/>
    </x:row>
    <x:row r="158" ht="25" customHeight="1">
      <x:c r="A158" s="2" t="n">
        <x:v>137</x:v>
      </x:c>
      <x:c r="B158" s="2" t="str">
        <x:v>domestic_project</x:v>
      </x:c>
      <x:c r="C158" s="2" t="str">
        <x:v>산업</x:v>
      </x:c>
      <x:c r="D158" s="2" t="str">
        <x:v>9월 미등장·삭제 아님</x:v>
      </x:c>
      <x:c r="E158" s="2" t="str">
        <x:v>1038 | 1298628832 | ㈜공영사 연료전환(B-C유 → LPG)을 통한 온실가스 배출 감축사업 | 신규 | - | -</x:v>
      </x:c>
      <x:c r="F158" s="2" t="str">
        <x:v>변경 필드 없음</x:v>
      </x:c>
      <x:c r="G158" s="2" t="str"/>
      <x:c r="H158" s="2" t="str"/>
      <x:c r="I158" s="2" t="str">
        <x:v>국내_사업신청관리_20260731_산업부문.xls</x:v>
      </x:c>
      <x:c r="J158" s="2" t="n">
        <x:v>5</x:v>
      </x:c>
      <x:c r="K158" s="2" t="str">
        <x:v>국내_사업신청관리_20260921_산업부.xls</x:v>
      </x:c>
      <x:c r="L158" s="2"/>
    </x:row>
    <x:row r="159" ht="25" customHeight="1">
      <x:c r="A159" s="2" t="n">
        <x:v>138</x:v>
      </x:c>
      <x:c r="B159" s="2" t="str">
        <x:v>domestic_project</x:v>
      </x:c>
      <x:c r="C159" s="2" t="str">
        <x:v>산업</x:v>
      </x:c>
      <x:c r="D159" s="2" t="str">
        <x:v>9월 추가 후보</x:v>
      </x:c>
      <x:c r="E159" s="2" t="str">
        <x:v>1038 | 6068140018 | 대영에스앤씨(주) 외 4개사의 인버터 공기압축기 교체를 통한 온실가스 감축사업 | 신규 | - | -</x:v>
      </x:c>
      <x:c r="F159" s="2" t="str">
        <x:v>변경 필드 없음</x:v>
      </x:c>
      <x:c r="G159" s="2" t="str"/>
      <x:c r="H159" s="2" t="str"/>
      <x:c r="I159" s="2" t="str">
        <x:v>국내_사업신청관리_20260731_산업부문.xls</x:v>
      </x:c>
      <x:c r="J159" s="2"/>
      <x:c r="K159" s="2" t="str">
        <x:v>국내_사업신청관리_20260921_산업부.xls</x:v>
      </x:c>
      <x:c r="L159" s="2" t="n">
        <x:v>10</x:v>
      </x:c>
    </x:row>
    <x:row r="160" ht="25" customHeight="1">
      <x:c r="A160" s="2" t="n">
        <x:v>139</x:v>
      </x:c>
      <x:c r="B160" s="2" t="str">
        <x:v>domestic_project</x:v>
      </x:c>
      <x:c r="C160" s="2" t="str">
        <x:v>산업</x:v>
      </x:c>
      <x:c r="D160" s="2" t="str">
        <x:v>9월 미등장·삭제 아님</x:v>
      </x:c>
      <x:c r="E160" s="2" t="str">
        <x:v>1039 | 3108112794 | 인평산업주식회사 연료전환(B-C유 및 감압정제유 → LPG)을 통한 온실가스 배출 감축사업 | 신규 | - | -</x:v>
      </x:c>
      <x:c r="F160" s="2" t="str">
        <x:v>변경 필드 없음</x:v>
      </x:c>
      <x:c r="G160" s="2" t="str"/>
      <x:c r="H160" s="2" t="str"/>
      <x:c r="I160" s="2" t="str">
        <x:v>국내_사업신청관리_20260731_산업부문.xls</x:v>
      </x:c>
      <x:c r="J160" s="2" t="n">
        <x:v>4</x:v>
      </x:c>
      <x:c r="K160" s="2" t="str">
        <x:v>국내_사업신청관리_20260921_산업부.xls</x:v>
      </x:c>
      <x:c r="L160" s="2"/>
    </x:row>
    <x:row r="161" ht="25" customHeight="1">
      <x:c r="A161" s="2" t="n">
        <x:v>140</x:v>
      </x:c>
      <x:c r="B161" s="2" t="str">
        <x:v>domestic_project</x:v>
      </x:c>
      <x:c r="C161" s="2" t="str">
        <x:v>산업</x:v>
      </x:c>
      <x:c r="D161" s="2" t="str">
        <x:v>9월 추가 후보</x:v>
      </x:c>
      <x:c r="E161" s="2" t="str">
        <x:v>1039 | 6068140018 | (주)대산금속 사봉공장 외 4개사의 인버터 공기압축기 교체를 통한 온실가스 감축사업 | 신규 | - | -</x:v>
      </x:c>
      <x:c r="F161" s="2" t="str">
        <x:v>변경 필드 없음</x:v>
      </x:c>
      <x:c r="G161" s="2" t="str"/>
      <x:c r="H161" s="2" t="str"/>
      <x:c r="I161" s="2" t="str">
        <x:v>국내_사업신청관리_20260731_산업부문.xls</x:v>
      </x:c>
      <x:c r="J161" s="2"/>
      <x:c r="K161" s="2" t="str">
        <x:v>국내_사업신청관리_20260921_산업부.xls</x:v>
      </x:c>
      <x:c r="L161" s="2" t="n">
        <x:v>9</x:v>
      </x:c>
    </x:row>
    <x:row r="162" ht="25" customHeight="1">
      <x:c r="A162" s="2" t="n">
        <x:v>141</x:v>
      </x:c>
      <x:c r="B162" s="2" t="str">
        <x:v>domestic_project</x:v>
      </x:c>
      <x:c r="C162" s="2" t="str">
        <x:v>산업</x:v>
      </x:c>
      <x:c r="D162" s="2" t="str">
        <x:v>9월 미등장·삭제 아님</x:v>
      </x:c>
      <x:c r="E162" s="2" t="str">
        <x:v>1040 | 1278122012 | (주)포천수지 보일러 연료교체(B-C유→LPG) 사업 | 신규 | - | -</x:v>
      </x:c>
      <x:c r="F162" s="2" t="str">
        <x:v>변경 필드 없음</x:v>
      </x:c>
      <x:c r="G162" s="2" t="str"/>
      <x:c r="H162" s="2" t="str"/>
      <x:c r="I162" s="2" t="str">
        <x:v>국내_사업신청관리_20260731_산업부문.xls</x:v>
      </x:c>
      <x:c r="J162" s="2" t="n">
        <x:v>3</x:v>
      </x:c>
      <x:c r="K162" s="2" t="str">
        <x:v>국내_사업신청관리_20260921_산업부.xls</x:v>
      </x:c>
      <x:c r="L162" s="2"/>
    </x:row>
    <x:row r="163" ht="25" customHeight="1">
      <x:c r="A163" s="2" t="n">
        <x:v>142</x:v>
      </x:c>
      <x:c r="B163" s="2" t="str">
        <x:v>domestic_project</x:v>
      </x:c>
      <x:c r="C163" s="2" t="str">
        <x:v>산업</x:v>
      </x:c>
      <x:c r="D163" s="2" t="str">
        <x:v>9월 추가 후보</x:v>
      </x:c>
      <x:c r="E163" s="2" t="str">
        <x:v>1040 | 6068140018 | (주)다스코 외 3개사의 고효율 공기압축기 교체를 통한 온실가스 감축사업 | 신규 | - | -</x:v>
      </x:c>
      <x:c r="F163" s="2" t="str">
        <x:v>변경 필드 없음</x:v>
      </x:c>
      <x:c r="G163" s="2" t="str"/>
      <x:c r="H163" s="2" t="str"/>
      <x:c r="I163" s="2" t="str">
        <x:v>국내_사업신청관리_20260731_산업부문.xls</x:v>
      </x:c>
      <x:c r="J163" s="2"/>
      <x:c r="K163" s="2" t="str">
        <x:v>국내_사업신청관리_20260921_산업부.xls</x:v>
      </x:c>
      <x:c r="L163" s="2" t="n">
        <x:v>8</x:v>
      </x:c>
    </x:row>
    <x:row r="164" ht="25" customHeight="1">
      <x:c r="A164" s="2" t="n">
        <x:v>143</x:v>
      </x:c>
      <x:c r="B164" s="2" t="str">
        <x:v>domestic_project</x:v>
      </x:c>
      <x:c r="C164" s="2" t="str">
        <x:v>산업</x:v>
      </x:c>
      <x:c r="D164" s="2" t="str">
        <x:v>9월 미등장·삭제 아님</x:v>
      </x:c>
      <x:c r="E164" s="2" t="str">
        <x:v>1041 | 6068140018 | (주)대연정공 1공장 외 1개사의 고효율 공기압축기 교체를 통한 온실가스 감축사업 | 사업변경 | - | 1차</x:v>
      </x:c>
      <x:c r="F164" s="2" t="str">
        <x:v>변경 필드 없음</x:v>
      </x:c>
      <x:c r="G164" s="2" t="str"/>
      <x:c r="H164" s="2" t="str"/>
      <x:c r="I164" s="2" t="str">
        <x:v>국내_사업신청관리_20260731_산업부문.xls</x:v>
      </x:c>
      <x:c r="J164" s="2" t="n">
        <x:v>2</x:v>
      </x:c>
      <x:c r="K164" s="2" t="str">
        <x:v>국내_사업신청관리_20260921_산업부.xls</x:v>
      </x:c>
      <x:c r="L164" s="2"/>
    </x:row>
    <x:row r="165" ht="25" customHeight="1">
      <x:c r="A165" s="2" t="n">
        <x:v>144</x:v>
      </x:c>
      <x:c r="B165" s="2" t="str">
        <x:v>domestic_project</x:v>
      </x:c>
      <x:c r="C165" s="2" t="str">
        <x:v>산업</x:v>
      </x:c>
      <x:c r="D165" s="2" t="str">
        <x:v>9월 추가 후보</x:v>
      </x:c>
      <x:c r="E165" s="2" t="str">
        <x:v>1041 | 6068140018 | 주식회사 대한테크 외 2개사의 인버터 공기압축기 교체를 통한 온실가스 감축사업 | 신규 | - | -</x:v>
      </x:c>
      <x:c r="F165" s="2" t="str">
        <x:v>변경 필드 없음</x:v>
      </x:c>
      <x:c r="G165" s="2" t="str"/>
      <x:c r="H165" s="2" t="str"/>
      <x:c r="I165" s="2" t="str">
        <x:v>국내_사업신청관리_20260731_산업부문.xls</x:v>
      </x:c>
      <x:c r="J165" s="2"/>
      <x:c r="K165" s="2" t="str">
        <x:v>국내_사업신청관리_20260921_산업부.xls</x:v>
      </x:c>
      <x:c r="L165" s="2" t="n">
        <x:v>7</x:v>
      </x:c>
    </x:row>
    <x:row r="166" ht="25" customHeight="1">
      <x:c r="A166" s="2" t="n">
        <x:v>145</x:v>
      </x:c>
      <x:c r="B166" s="2" t="str">
        <x:v>domestic_project</x:v>
      </x:c>
      <x:c r="C166" s="2" t="str">
        <x:v>산업</x:v>
      </x:c>
      <x:c r="D166" s="2" t="str">
        <x:v>9월 추가 후보</x:v>
      </x:c>
      <x:c r="E166" s="2" t="str">
        <x:v>1042 | 6068140018 | 주식회사 넥스턴바이오사이언스 외 3개사의 고효율 공기압축기 교체를 통한 온실가스 감축사업 | 신규 | - | -</x:v>
      </x:c>
      <x:c r="F166" s="2" t="str">
        <x:v>변경 필드 없음</x:v>
      </x:c>
      <x:c r="G166" s="2" t="str"/>
      <x:c r="H166" s="2" t="str"/>
      <x:c r="I166" s="2" t="str">
        <x:v>국내_사업신청관리_20260731_산업부문.xls</x:v>
      </x:c>
      <x:c r="J166" s="2"/>
      <x:c r="K166" s="2" t="str">
        <x:v>국내_사업신청관리_20260921_산업부.xls</x:v>
      </x:c>
      <x:c r="L166" s="2" t="n">
        <x:v>6</x:v>
      </x:c>
    </x:row>
    <x:row r="167" ht="25" customHeight="1">
      <x:c r="A167" s="2" t="n">
        <x:v>146</x:v>
      </x:c>
      <x:c r="B167" s="2" t="str">
        <x:v>domestic_project</x:v>
      </x:c>
      <x:c r="C167" s="2" t="str">
        <x:v>산업</x:v>
      </x:c>
      <x:c r="D167" s="2" t="str">
        <x:v>9월 추가 후보</x:v>
      </x:c>
      <x:c r="E167" s="2" t="str">
        <x:v>1043 | 6068140018 | 신성에스앤티(주) 외 4개사의 고효율 공기압축기 교체를 통한 온실가스 감축사업 | 신규 | - | -</x:v>
      </x:c>
      <x:c r="F167" s="2" t="str">
        <x:v>변경 필드 없음</x:v>
      </x:c>
      <x:c r="G167" s="2" t="str"/>
      <x:c r="H167" s="2" t="str"/>
      <x:c r="I167" s="2" t="str">
        <x:v>국내_사업신청관리_20260731_산업부문.xls</x:v>
      </x:c>
      <x:c r="J167" s="2"/>
      <x:c r="K167" s="2" t="str">
        <x:v>국내_사업신청관리_20260921_산업부.xls</x:v>
      </x:c>
      <x:c r="L167" s="2" t="n">
        <x:v>5</x:v>
      </x:c>
    </x:row>
    <x:row r="168" ht="25" customHeight="1">
      <x:c r="A168" s="2" t="n">
        <x:v>147</x:v>
      </x:c>
      <x:c r="B168" s="2" t="str">
        <x:v>domestic_project</x:v>
      </x:c>
      <x:c r="C168" s="2" t="str">
        <x:v>산업</x:v>
      </x:c>
      <x:c r="D168" s="2" t="str">
        <x:v>9월 추가 후보</x:v>
      </x:c>
      <x:c r="E168" s="2" t="str">
        <x:v>1044 | 6068140018 | (주)전유산업 외 2개사의 고효율 공기압축기 교체를 통한 온실가스 감축사업 | 신규 | - | -</x:v>
      </x:c>
      <x:c r="F168" s="2" t="str">
        <x:v>변경 필드 없음</x:v>
      </x:c>
      <x:c r="G168" s="2" t="str"/>
      <x:c r="H168" s="2" t="str"/>
      <x:c r="I168" s="2" t="str">
        <x:v>국내_사업신청관리_20260731_산업부문.xls</x:v>
      </x:c>
      <x:c r="J168" s="2"/>
      <x:c r="K168" s="2" t="str">
        <x:v>국내_사업신청관리_20260921_산업부.xls</x:v>
      </x:c>
      <x:c r="L168" s="2" t="n">
        <x:v>4</x:v>
      </x:c>
    </x:row>
    <x:row r="169" ht="25" customHeight="1">
      <x:c r="A169" s="2" t="n">
        <x:v>148</x:v>
      </x:c>
      <x:c r="B169" s="2" t="str">
        <x:v>domestic_project</x:v>
      </x:c>
      <x:c r="C169" s="2" t="str">
        <x:v>산업</x:v>
      </x:c>
      <x:c r="D169" s="2" t="str">
        <x:v>9월 추가 후보</x:v>
      </x:c>
      <x:c r="E169" s="2" t="str">
        <x:v>1045 | 1208200557 | 한국초저온평택 &amp; 한국가스공사의 미활용 LNG 기화 냉열 활용을 통한 전력 및 또는 화석연료 사용 절감 사업 | 신규 | - | -</x:v>
      </x:c>
      <x:c r="F169" s="2" t="str">
        <x:v>변경 필드 없음</x:v>
      </x:c>
      <x:c r="G169" s="2" t="str"/>
      <x:c r="H169" s="2" t="str"/>
      <x:c r="I169" s="2" t="str">
        <x:v>국내_사업신청관리_20260731_산업부문.xls</x:v>
      </x:c>
      <x:c r="J169" s="2"/>
      <x:c r="K169" s="2" t="str">
        <x:v>국내_사업신청관리_20260921_산업부.xls</x:v>
      </x:c>
      <x:c r="L169" s="2" t="n">
        <x:v>3</x:v>
      </x:c>
    </x:row>
    <x:row r="170" ht="25" customHeight="1">
      <x:c r="A170" s="2" t="n">
        <x:v>149</x:v>
      </x:c>
      <x:c r="B170" s="2" t="str">
        <x:v>domestic_project</x:v>
      </x:c>
      <x:c r="C170" s="2" t="str">
        <x:v>산업</x:v>
      </x:c>
      <x:c r="D170" s="2" t="str">
        <x:v>9월 추가 후보</x:v>
      </x:c>
      <x:c r="E170" s="2" t="str">
        <x:v>1046 | 1278122012 | (주)포천수지 보일러 연료교체(B-C유→LPG) 사업 | 신규 | - | -</x:v>
      </x:c>
      <x:c r="F170" s="2" t="str">
        <x:v>변경 필드 없음</x:v>
      </x:c>
      <x:c r="G170" s="2" t="str"/>
      <x:c r="H170" s="2" t="str"/>
      <x:c r="I170" s="2" t="str">
        <x:v>국내_사업신청관리_20260731_산업부문.xls</x:v>
      </x:c>
      <x:c r="J170" s="2"/>
      <x:c r="K170" s="2" t="str">
        <x:v>국내_사업신청관리_20260921_산업부.xls</x:v>
      </x:c>
      <x:c r="L170" s="2" t="n">
        <x:v>2</x:v>
      </x:c>
    </x:row>
    <x:row r="171" ht="25" customHeight="1">
      <x:c r="A171" s="2" t="n">
        <x:v>150</x:v>
      </x:c>
      <x:c r="B171" s="2" t="str">
        <x:v>domestic_project</x:v>
      </x:c>
      <x:c r="C171" s="2" t="str">
        <x:v>산업</x:v>
      </x:c>
      <x:c r="D171" s="2" t="str">
        <x:v>값 변경</x:v>
      </x:c>
      <x:c r="E171" s="2" t="str">
        <x:v>12 | 1428145237 | 삼성전자 SF6 저감 사업 | 신규 | - | -</x:v>
      </x:c>
      <x:c r="F171" s="2" t="str">
        <x:v>사업분야</x:v>
      </x:c>
      <x:c r="G171" s="2" t="str">
        <x:v>할로겐화탄소, 육불화항 생산및소비로부터의 탈루배출</x:v>
      </x:c>
      <x:c r="H171" s="2" t="str">
        <x:v>할로겐화탄소, 육불화황 생산및소비로부터의 탈루배출</x:v>
      </x:c>
      <x:c r="I171" s="2" t="str">
        <x:v>국내_사업신청관리_20260731_산업부문.xls</x:v>
      </x:c>
      <x:c r="J171" s="2" t="n">
        <x:v>1031</x:v>
      </x:c>
      <x:c r="K171" s="2" t="str">
        <x:v>국내_사업신청관리_20260921_산업부.xls</x:v>
      </x:c>
      <x:c r="L171" s="2" t="n">
        <x:v>1036</x:v>
      </x:c>
    </x:row>
    <x:row r="172" ht="25" customHeight="1">
      <x:c r="A172" s="2" t="n">
        <x:v>151</x:v>
      </x:c>
      <x:c r="B172" s="2" t="str">
        <x:v>domestic_project</x:v>
      </x:c>
      <x:c r="C172" s="2" t="str">
        <x:v>산업</x:v>
      </x:c>
      <x:c r="D172" s="2" t="str">
        <x:v>값 변경</x:v>
      </x:c>
      <x:c r="E172" s="2" t="str">
        <x:v>13 | 1078703594 | 한국의 LCD제조 과정의 SF6 방출 감축을 위한 사용점 감축 설비 | 신규 | - | -</x:v>
      </x:c>
      <x:c r="F172" s="2" t="str">
        <x:v>사업분야</x:v>
      </x:c>
      <x:c r="G172" s="2" t="str">
        <x:v>할로겐화탄소, 육불화항 생산및소비로부터의 탈루배출</x:v>
      </x:c>
      <x:c r="H172" s="2" t="str">
        <x:v>할로겐화탄소, 육불화황 생산및소비로부터의 탈루배출</x:v>
      </x:c>
      <x:c r="I172" s="2" t="str">
        <x:v>국내_사업신청관리_20260731_산업부문.xls</x:v>
      </x:c>
      <x:c r="J172" s="2" t="n">
        <x:v>1030</x:v>
      </x:c>
      <x:c r="K172" s="2" t="str">
        <x:v>국내_사업신청관리_20260921_산업부.xls</x:v>
      </x:c>
      <x:c r="L172" s="2" t="n">
        <x:v>1035</x:v>
      </x:c>
    </x:row>
    <x:row r="173" ht="25" customHeight="1">
      <x:c r="A173" s="2" t="n">
        <x:v>152</x:v>
      </x:c>
      <x:c r="B173" s="2" t="str">
        <x:v>domestic_project</x:v>
      </x:c>
      <x:c r="C173" s="2" t="str">
        <x:v>산업</x:v>
      </x:c>
      <x:c r="D173" s="2" t="str">
        <x:v>값 변경</x:v>
      </x:c>
      <x:c r="E173" s="2" t="str">
        <x:v>15 | 3148173570 | 삼성전자 SF6 저감 사업 | 신규 | - | -</x:v>
      </x:c>
      <x:c r="F173" s="2" t="str">
        <x:v>사업분야</x:v>
      </x:c>
      <x:c r="G173" s="2" t="str">
        <x:v>할로겐화탄소, 육불화항 생산및소비로부터의 탈루배출</x:v>
      </x:c>
      <x:c r="H173" s="2" t="str">
        <x:v>할로겐화탄소, 육불화황 생산및소비로부터의 탈루배출</x:v>
      </x:c>
      <x:c r="I173" s="2" t="str">
        <x:v>국내_사업신청관리_20260731_산업부문.xls</x:v>
      </x:c>
      <x:c r="J173" s="2" t="n">
        <x:v>1028</x:v>
      </x:c>
      <x:c r="K173" s="2" t="str">
        <x:v>국내_사업신청관리_20260921_산업부.xls</x:v>
      </x:c>
      <x:c r="L173" s="2" t="n">
        <x:v>1033</x:v>
      </x:c>
    </x:row>
    <x:row r="174" ht="25" customHeight="1">
      <x:c r="A174" s="2" t="n">
        <x:v>153</x:v>
      </x:c>
      <x:c r="B174" s="2" t="str">
        <x:v>domestic_project</x:v>
      </x:c>
      <x:c r="C174" s="2" t="str">
        <x:v>산업</x:v>
      </x:c>
      <x:c r="D174" s="2" t="str">
        <x:v>값 변경</x:v>
      </x:c>
      <x:c r="E174" s="2" t="str">
        <x:v>202 | 4548600026 | 융도물산 목재펠릿 연료전환(B-C유, 연료유→목재펠릿)을 통한 온실가스 감축사업 | 신규 | - | -</x:v>
      </x:c>
      <x:c r="F174" s="2" t="str">
        <x:v>담당자e-mail</x:v>
      </x:c>
      <x:c r="G174" s="2" t="str">
        <x:v>yoongdotape@naver.com</x:v>
      </x:c>
      <x:c r="H174" s="2"/>
      <x:c r="I174" s="2" t="str">
        <x:v>국내_사업신청관리_20260731_산업부문.xls</x:v>
      </x:c>
      <x:c r="J174" s="2" t="n">
        <x:v>841</x:v>
      </x:c>
      <x:c r="K174" s="2" t="str">
        <x:v>국내_사업신청관리_20260921_산업부.xls</x:v>
      </x:c>
      <x:c r="L174" s="2" t="n">
        <x:v>846</x:v>
      </x:c>
    </x:row>
    <x:row r="175" ht="25" customHeight="1">
      <x:c r="A175" s="2" t="n">
        <x:v>153</x:v>
      </x:c>
      <x:c r="B175" s="2" t="str">
        <x:v>domestic_project</x:v>
      </x:c>
      <x:c r="C175" s="2" t="str">
        <x:v>산업</x:v>
      </x:c>
      <x:c r="D175" s="2" t="str">
        <x:v>값 변경</x:v>
      </x:c>
      <x:c r="E175" s="2" t="str">
        <x:v>202 | 4548600026 | 융도물산 목재펠릿 연료전환(B-C유, 연료유→목재펠릿)을 통한 온실가스 감축사업 | 신규 | - | -</x:v>
      </x:c>
      <x:c r="F175" s="2" t="str">
        <x:v>담당자전화번호</x:v>
      </x:c>
      <x:c r="G175" s="2" t="str">
        <x:v>031-866-3377</x:v>
      </x:c>
      <x:c r="H175" s="2" t="str">
        <x:v>--</x:v>
      </x:c>
      <x:c r="I175" s="2" t="str">
        <x:v>국내_사업신청관리_20260731_산업부문.xls</x:v>
      </x:c>
      <x:c r="J175" s="2" t="n">
        <x:v>841</x:v>
      </x:c>
      <x:c r="K175" s="2" t="str">
        <x:v>국내_사업신청관리_20260921_산업부.xls</x:v>
      </x:c>
      <x:c r="L175" s="2" t="n">
        <x:v>846</x:v>
      </x:c>
    </x:row>
    <x:row r="176" ht="25" customHeight="1">
      <x:c r="A176" s="2" t="n">
        <x:v>154</x:v>
      </x:c>
      <x:c r="B176" s="2" t="str">
        <x:v>domestic_project</x:v>
      </x:c>
      <x:c r="C176" s="2" t="str">
        <x:v>산업</x:v>
      </x:c>
      <x:c r="D176" s="2" t="str">
        <x:v>값 변경</x:v>
      </x:c>
      <x:c r="E176" s="2" t="str">
        <x:v>264 | 6108177834 | SF6 회수 및 재생사업 | 사업변경 | - | 1차</x:v>
      </x:c>
      <x:c r="F176" s="2" t="str">
        <x:v>사업분야</x:v>
      </x:c>
      <x:c r="G176" s="2" t="str">
        <x:v>할로겐화탄소, 육불화항 생산및소비로부터의 탈루배출</x:v>
      </x:c>
      <x:c r="H176" s="2" t="str">
        <x:v>할로겐화탄소, 육불화황 생산및소비로부터의 탈루배출</x:v>
      </x:c>
      <x:c r="I176" s="2" t="str">
        <x:v>국내_사업신청관리_20260731_산업부문.xls</x:v>
      </x:c>
      <x:c r="J176" s="2" t="n">
        <x:v>779</x:v>
      </x:c>
      <x:c r="K176" s="2" t="str">
        <x:v>국내_사업신청관리_20260921_산업부.xls</x:v>
      </x:c>
      <x:c r="L176" s="2" t="n">
        <x:v>784</x:v>
      </x:c>
    </x:row>
    <x:row r="177" ht="25" customHeight="1">
      <x:c r="A177" s="2" t="n">
        <x:v>155</x:v>
      </x:c>
      <x:c r="B177" s="2" t="str">
        <x:v>domestic_project</x:v>
      </x:c>
      <x:c r="C177" s="2" t="str">
        <x:v>산업</x:v>
      </x:c>
      <x:c r="D177" s="2" t="str">
        <x:v>값 변경</x:v>
      </x:c>
      <x:c r="E177" s="2" t="str">
        <x:v>3 | 1428156603 | 한국의 LCD 제조 과정의 SF6 방출 감축을 위한 사용점 감축 설비 | 신규 | - | -</x:v>
      </x:c>
      <x:c r="F177" s="2" t="str">
        <x:v>사업분야</x:v>
      </x:c>
      <x:c r="G177" s="2" t="str">
        <x:v>할로겐화탄소, 육불화항 생산및소비로부터의 탈루배출</x:v>
      </x:c>
      <x:c r="H177" s="2" t="str">
        <x:v>할로겐화탄소, 육불화황 생산및소비로부터의 탈루배출</x:v>
      </x:c>
      <x:c r="I177" s="2" t="str">
        <x:v>국내_사업신청관리_20260731_산업부문.xls</x:v>
      </x:c>
      <x:c r="J177" s="2" t="n">
        <x:v>1040</x:v>
      </x:c>
      <x:c r="K177" s="2" t="str">
        <x:v>국내_사업신청관리_20260921_산업부.xls</x:v>
      </x:c>
      <x:c r="L177" s="2" t="n">
        <x:v>1045</x:v>
      </x:c>
    </x:row>
    <x:row r="178" ht="25" customHeight="1">
      <x:c r="A178" s="2" t="n">
        <x:v>156</x:v>
      </x:c>
      <x:c r="B178" s="2" t="str">
        <x:v>domestic_project</x:v>
      </x:c>
      <x:c r="C178" s="2" t="str">
        <x:v>산업</x:v>
      </x:c>
      <x:c r="D178" s="2" t="str">
        <x:v>값 변경</x:v>
      </x:c>
      <x:c r="E178" s="2" t="str">
        <x:v>336 | 1108149202 | 진양화학주식회사 인버터 공기압축기 교체를 통한 온실가스 감축사업 | 신규 | - | -</x:v>
      </x:c>
      <x:c r="F178" s="2" t="str">
        <x:v>담당자e-mail</x:v>
      </x:c>
      <x:c r="G178" s="2" t="str">
        <x:v>uzeus@naver.com</x:v>
      </x:c>
      <x:c r="H178" s="2"/>
      <x:c r="I178" s="2" t="str">
        <x:v>국내_사업신청관리_20260731_산업부문.xls</x:v>
      </x:c>
      <x:c r="J178" s="2" t="n">
        <x:v>707</x:v>
      </x:c>
      <x:c r="K178" s="2" t="str">
        <x:v>국내_사업신청관리_20260921_산업부.xls</x:v>
      </x:c>
      <x:c r="L178" s="2" t="n">
        <x:v>712</x:v>
      </x:c>
    </x:row>
    <x:row r="179" ht="25" customHeight="1">
      <x:c r="A179" s="2" t="n">
        <x:v>156</x:v>
      </x:c>
      <x:c r="B179" s="2" t="str">
        <x:v>domestic_project</x:v>
      </x:c>
      <x:c r="C179" s="2" t="str">
        <x:v>산업</x:v>
      </x:c>
      <x:c r="D179" s="2" t="str">
        <x:v>값 변경</x:v>
      </x:c>
      <x:c r="E179" s="2" t="str">
        <x:v>336 | 1108149202 | 진양화학주식회사 인버터 공기압축기 교체를 통한 온실가스 감축사업 | 신규 | - | -</x:v>
      </x:c>
      <x:c r="F179" s="2" t="str">
        <x:v>담당자부서</x:v>
      </x:c>
      <x:c r="G179" s="2" t="str">
        <x:v>생산팀</x:v>
      </x:c>
      <x:c r="H179" s="2"/>
      <x:c r="I179" s="2" t="str">
        <x:v>국내_사업신청관리_20260731_산업부문.xls</x:v>
      </x:c>
      <x:c r="J179" s="2" t="n">
        <x:v>707</x:v>
      </x:c>
      <x:c r="K179" s="2" t="str">
        <x:v>국내_사업신청관리_20260921_산업부.xls</x:v>
      </x:c>
      <x:c r="L179" s="2" t="n">
        <x:v>712</x:v>
      </x:c>
    </x:row>
    <x:row r="180" ht="25" customHeight="1">
      <x:c r="A180" s="2" t="n">
        <x:v>156</x:v>
      </x:c>
      <x:c r="B180" s="2" t="str">
        <x:v>domestic_project</x:v>
      </x:c>
      <x:c r="C180" s="2" t="str">
        <x:v>산업</x:v>
      </x:c>
      <x:c r="D180" s="2" t="str">
        <x:v>값 변경</x:v>
      </x:c>
      <x:c r="E180" s="2" t="str">
        <x:v>336 | 1108149202 | 진양화학주식회사 인버터 공기압축기 교체를 통한 온실가스 감축사업 | 신규 | - | -</x:v>
      </x:c>
      <x:c r="F180" s="2" t="str">
        <x:v>담당자전화번호</x:v>
      </x:c>
      <x:c r="G180" s="2" t="str">
        <x:v>052-278-0778</x:v>
      </x:c>
      <x:c r="H180" s="2" t="str">
        <x:v>--</x:v>
      </x:c>
      <x:c r="I180" s="2" t="str">
        <x:v>국내_사업신청관리_20260731_산업부문.xls</x:v>
      </x:c>
      <x:c r="J180" s="2" t="n">
        <x:v>707</x:v>
      </x:c>
      <x:c r="K180" s="2" t="str">
        <x:v>국내_사업신청관리_20260921_산업부.xls</x:v>
      </x:c>
      <x:c r="L180" s="2" t="n">
        <x:v>712</x:v>
      </x:c>
    </x:row>
    <x:row r="181" ht="25" customHeight="1">
      <x:c r="A181" s="2" t="n">
        <x:v>156</x:v>
      </x:c>
      <x:c r="B181" s="2" t="str">
        <x:v>domestic_project</x:v>
      </x:c>
      <x:c r="C181" s="2" t="str">
        <x:v>산업</x:v>
      </x:c>
      <x:c r="D181" s="2" t="str">
        <x:v>값 변경</x:v>
      </x:c>
      <x:c r="E181" s="2" t="str">
        <x:v>336 | 1108149202 | 진양화학주식회사 인버터 공기압축기 교체를 통한 온실가스 감축사업 | 신규 | - | -</x:v>
      </x:c>
      <x:c r="F181" s="2" t="str">
        <x:v>담당자직위</x:v>
      </x:c>
      <x:c r="G181" s="2" t="str">
        <x:v>대리</x:v>
      </x:c>
      <x:c r="H181" s="2"/>
      <x:c r="I181" s="2" t="str">
        <x:v>국내_사업신청관리_20260731_산업부문.xls</x:v>
      </x:c>
      <x:c r="J181" s="2" t="n">
        <x:v>707</x:v>
      </x:c>
      <x:c r="K181" s="2" t="str">
        <x:v>국내_사업신청관리_20260921_산업부.xls</x:v>
      </x:c>
      <x:c r="L181" s="2" t="n">
        <x:v>712</x:v>
      </x:c>
    </x:row>
    <x:row r="182" ht="25" customHeight="1">
      <x:c r="A182" s="2" t="n">
        <x:v>157</x:v>
      </x:c>
      <x:c r="B182" s="2" t="str">
        <x:v>domestic_project</x:v>
      </x:c>
      <x:c r="C182" s="2" t="str">
        <x:v>산업</x:v>
      </x:c>
      <x:c r="D182" s="2" t="str">
        <x:v>9월 미등장·삭제 아님</x:v>
      </x:c>
      <x:c r="E182" s="2" t="str">
        <x:v>384 | 6060370950 | 제일단조 고효율 공기압축기 교체를 통한 온실가스 감축사업 | 신규 | - | -</x:v>
      </x:c>
      <x:c r="F182" s="2" t="str">
        <x:v>변경 필드 없음</x:v>
      </x:c>
      <x:c r="G182" s="2" t="str"/>
      <x:c r="H182" s="2" t="str"/>
      <x:c r="I182" s="2" t="str">
        <x:v>국내_사업신청관리_20260731_산업부문.xls</x:v>
      </x:c>
      <x:c r="J182" s="2" t="n">
        <x:v>659</x:v>
      </x:c>
      <x:c r="K182" s="2" t="str">
        <x:v>국내_사업신청관리_20260921_산업부.xls</x:v>
      </x:c>
      <x:c r="L182" s="2"/>
    </x:row>
    <x:row r="183" ht="25" customHeight="1">
      <x:c r="A183" s="2" t="n">
        <x:v>158</x:v>
      </x:c>
      <x:c r="B183" s="2" t="str">
        <x:v>domestic_project</x:v>
      </x:c>
      <x:c r="C183" s="2" t="str">
        <x:v>산업</x:v>
      </x:c>
      <x:c r="D183" s="2" t="str">
        <x:v>9월 추가 후보</x:v>
      </x:c>
      <x:c r="E183" s="2" t="str">
        <x:v>384 | 6064573767 | 신성밸브 고효율인버터 공기압축기 교체를 통한 온실가스 감축사업 | 신규 | - | -</x:v>
      </x:c>
      <x:c r="F183" s="2" t="str">
        <x:v>변경 필드 없음</x:v>
      </x:c>
      <x:c r="G183" s="2" t="str"/>
      <x:c r="H183" s="2" t="str"/>
      <x:c r="I183" s="2" t="str">
        <x:v>국내_사업신청관리_20260731_산업부문.xls</x:v>
      </x:c>
      <x:c r="J183" s="2"/>
      <x:c r="K183" s="2" t="str">
        <x:v>국내_사업신청관리_20260921_산업부.xls</x:v>
      </x:c>
      <x:c r="L183" s="2" t="n">
        <x:v>664</x:v>
      </x:c>
    </x:row>
    <x:row r="184" ht="25" customHeight="1">
      <x:c r="A184" s="2" t="n">
        <x:v>159</x:v>
      </x:c>
      <x:c r="B184" s="2" t="str">
        <x:v>domestic_project</x:v>
      </x:c>
      <x:c r="C184" s="2" t="str">
        <x:v>산업</x:v>
      </x:c>
      <x:c r="D184" s="2" t="str">
        <x:v>9월 추가 후보</x:v>
      </x:c>
      <x:c r="E184" s="2" t="str">
        <x:v>385 | 6060370950 | 제일단조 고효율 공기압축기 교체를 통한 온실가스 감축사업 | 신규 | - | -</x:v>
      </x:c>
      <x:c r="F184" s="2" t="str">
        <x:v>변경 필드 없음</x:v>
      </x:c>
      <x:c r="G184" s="2" t="str"/>
      <x:c r="H184" s="2" t="str"/>
      <x:c r="I184" s="2" t="str">
        <x:v>국내_사업신청관리_20260731_산업부문.xls</x:v>
      </x:c>
      <x:c r="J184" s="2"/>
      <x:c r="K184" s="2" t="str">
        <x:v>국내_사업신청관리_20260921_산업부.xls</x:v>
      </x:c>
      <x:c r="L184" s="2" t="n">
        <x:v>663</x:v>
      </x:c>
    </x:row>
    <x:row r="185" ht="25" customHeight="1">
      <x:c r="A185" s="2" t="n">
        <x:v>160</x:v>
      </x:c>
      <x:c r="B185" s="2" t="str">
        <x:v>domestic_project</x:v>
      </x:c>
      <x:c r="C185" s="2" t="str">
        <x:v>산업</x:v>
      </x:c>
      <x:c r="D185" s="2" t="str">
        <x:v>9월 미등장·삭제 아님</x:v>
      </x:c>
      <x:c r="E185" s="2" t="str">
        <x:v>385 | 6064573767 | 신성밸브 고효율인버터 공기압축기 교체를 통한 온실가스 감축사업 | 신규 | - | -</x:v>
      </x:c>
      <x:c r="F185" s="2" t="str">
        <x:v>변경 필드 없음</x:v>
      </x:c>
      <x:c r="G185" s="2" t="str"/>
      <x:c r="H185" s="2" t="str"/>
      <x:c r="I185" s="2" t="str">
        <x:v>국내_사업신청관리_20260731_산업부문.xls</x:v>
      </x:c>
      <x:c r="J185" s="2" t="n">
        <x:v>658</x:v>
      </x:c>
      <x:c r="K185" s="2" t="str">
        <x:v>국내_사업신청관리_20260921_산업부.xls</x:v>
      </x:c>
      <x:c r="L185" s="2"/>
    </x:row>
    <x:row r="186" ht="25" customHeight="1">
      <x:c r="A186" s="2" t="n">
        <x:v>161</x:v>
      </x:c>
      <x:c r="B186" s="2" t="str">
        <x:v>domestic_project</x:v>
      </x:c>
      <x:c r="C186" s="2" t="str">
        <x:v>산업</x:v>
      </x:c>
      <x:c r="D186" s="2" t="str">
        <x:v>값 변경</x:v>
      </x:c>
      <x:c r="E186" s="2" t="str">
        <x:v>4 | 1428156603 | 삼성전자 SF6 저감 사업 | 신규 | - | -</x:v>
      </x:c>
      <x:c r="F186" s="2" t="str">
        <x:v>사업분야</x:v>
      </x:c>
      <x:c r="G186" s="2" t="str">
        <x:v>할로겐화탄소, 육불화항 생산및소비로부터의 탈루배출</x:v>
      </x:c>
      <x:c r="H186" s="2" t="str">
        <x:v>할로겐화탄소, 육불화황 생산및소비로부터의 탈루배출</x:v>
      </x:c>
      <x:c r="I186" s="2" t="str">
        <x:v>국내_사업신청관리_20260731_산업부문.xls</x:v>
      </x:c>
      <x:c r="J186" s="2" t="n">
        <x:v>1039</x:v>
      </x:c>
      <x:c r="K186" s="2" t="str">
        <x:v>국내_사업신청관리_20260921_산업부.xls</x:v>
      </x:c>
      <x:c r="L186" s="2" t="n">
        <x:v>1044</x:v>
      </x:c>
    </x:row>
    <x:row r="187" ht="25" customHeight="1">
      <x:c r="A187" s="2" t="n">
        <x:v>162</x:v>
      </x:c>
      <x:c r="B187" s="2" t="str">
        <x:v>domestic_project</x:v>
      </x:c>
      <x:c r="C187" s="2" t="str">
        <x:v>산업</x:v>
      </x:c>
      <x:c r="D187" s="2" t="str">
        <x:v>값 변경</x:v>
      </x:c>
      <x:c r="E187" s="2" t="str">
        <x:v>548 | 1208200052 | (주)동방전기에서의 가스절연개폐장치 검사용 SF6 회수․정제 및 재사용을 통한 SF6 감축사업 | 신규 | - | -</x:v>
      </x:c>
      <x:c r="F187" s="2" t="str">
        <x:v>사업분야</x:v>
      </x:c>
      <x:c r="G187" s="2" t="str">
        <x:v>할로겐화탄소, 육불화항 생산및소비로부터의 탈루배출</x:v>
      </x:c>
      <x:c r="H187" s="2" t="str">
        <x:v>할로겐화탄소, 육불화황 생산및소비로부터의 탈루배출</x:v>
      </x:c>
      <x:c r="I187" s="2" t="str">
        <x:v>국내_사업신청관리_20260731_산업부문.xls</x:v>
      </x:c>
      <x:c r="J187" s="2" t="n">
        <x:v>495</x:v>
      </x:c>
      <x:c r="K187" s="2" t="str">
        <x:v>국내_사업신청관리_20260921_산업부.xls</x:v>
      </x:c>
      <x:c r="L187" s="2" t="n">
        <x:v>500</x:v>
      </x:c>
    </x:row>
    <x:row r="188" ht="25" customHeight="1">
      <x:c r="A188" s="2" t="n">
        <x:v>163</x:v>
      </x:c>
      <x:c r="B188" s="2" t="str">
        <x:v>domestic_project</x:v>
      </x:c>
      <x:c r="C188" s="2" t="str">
        <x:v>산업</x:v>
      </x:c>
      <x:c r="D188" s="2" t="str">
        <x:v>값 변경</x:v>
      </x:c>
      <x:c r="E188" s="2" t="str">
        <x:v>554 | 3058608366 | 제일사료 주식회사 연료교체(B-C유 → LNG) 사업 | 신규 | - | -</x:v>
      </x:c>
      <x:c r="F188" s="2" t="str">
        <x:v>담당자e-mail</x:v>
      </x:c>
      <x:c r="G188" s="2" t="str">
        <x:v>kingka@jeilfeed.co.kr</x:v>
      </x:c>
      <x:c r="H188" s="2"/>
      <x:c r="I188" s="2" t="str">
        <x:v>국내_사업신청관리_20260731_산업부문.xls</x:v>
      </x:c>
      <x:c r="J188" s="2" t="n">
        <x:v>489</x:v>
      </x:c>
      <x:c r="K188" s="2" t="str">
        <x:v>국내_사업신청관리_20260921_산업부.xls</x:v>
      </x:c>
      <x:c r="L188" s="2" t="n">
        <x:v>494</x:v>
      </x:c>
    </x:row>
    <x:row r="189" ht="25" customHeight="1">
      <x:c r="A189" s="2" t="n">
        <x:v>163</x:v>
      </x:c>
      <x:c r="B189" s="2" t="str">
        <x:v>domestic_project</x:v>
      </x:c>
      <x:c r="C189" s="2" t="str">
        <x:v>산업</x:v>
      </x:c>
      <x:c r="D189" s="2" t="str">
        <x:v>값 변경</x:v>
      </x:c>
      <x:c r="E189" s="2" t="str">
        <x:v>554 | 3058608366 | 제일사료 주식회사 연료교체(B-C유 → LNG) 사업 | 신규 | - | -</x:v>
      </x:c>
      <x:c r="F189" s="2" t="str">
        <x:v>담당자부서</x:v>
      </x:c>
      <x:c r="G189" s="2" t="str">
        <x:v>생산팀</x:v>
      </x:c>
      <x:c r="H189" s="2"/>
      <x:c r="I189" s="2" t="str">
        <x:v>국내_사업신청관리_20260731_산업부문.xls</x:v>
      </x:c>
      <x:c r="J189" s="2" t="n">
        <x:v>489</x:v>
      </x:c>
      <x:c r="K189" s="2" t="str">
        <x:v>국내_사업신청관리_20260921_산업부.xls</x:v>
      </x:c>
      <x:c r="L189" s="2" t="n">
        <x:v>494</x:v>
      </x:c>
    </x:row>
    <x:row r="190" ht="25" customHeight="1">
      <x:c r="A190" s="2" t="n">
        <x:v>163</x:v>
      </x:c>
      <x:c r="B190" s="2" t="str">
        <x:v>domestic_project</x:v>
      </x:c>
      <x:c r="C190" s="2" t="str">
        <x:v>산업</x:v>
      </x:c>
      <x:c r="D190" s="2" t="str">
        <x:v>값 변경</x:v>
      </x:c>
      <x:c r="E190" s="2" t="str">
        <x:v>554 | 3058608366 | 제일사료 주식회사 연료교체(B-C유 → LNG) 사업 | 신규 | - | -</x:v>
      </x:c>
      <x:c r="F190" s="2" t="str">
        <x:v>담당자전화번호</x:v>
      </x:c>
      <x:c r="G190" s="2" t="str">
        <x:v>010-3599-7920</x:v>
      </x:c>
      <x:c r="H190" s="2" t="str">
        <x:v>--</x:v>
      </x:c>
      <x:c r="I190" s="2" t="str">
        <x:v>국내_사업신청관리_20260731_산업부문.xls</x:v>
      </x:c>
      <x:c r="J190" s="2" t="n">
        <x:v>489</x:v>
      </x:c>
      <x:c r="K190" s="2" t="str">
        <x:v>국내_사업신청관리_20260921_산업부.xls</x:v>
      </x:c>
      <x:c r="L190" s="2" t="n">
        <x:v>494</x:v>
      </x:c>
    </x:row>
    <x:row r="191" ht="25" customHeight="1">
      <x:c r="A191" s="2" t="n">
        <x:v>163</x:v>
      </x:c>
      <x:c r="B191" s="2" t="str">
        <x:v>domestic_project</x:v>
      </x:c>
      <x:c r="C191" s="2" t="str">
        <x:v>산업</x:v>
      </x:c>
      <x:c r="D191" s="2" t="str">
        <x:v>값 변경</x:v>
      </x:c>
      <x:c r="E191" s="2" t="str">
        <x:v>554 | 3058608366 | 제일사료 주식회사 연료교체(B-C유 → LNG) 사업 | 신규 | - | -</x:v>
      </x:c>
      <x:c r="F191" s="2" t="str">
        <x:v>담당자직위</x:v>
      </x:c>
      <x:c r="G191" s="2" t="str">
        <x:v>부장</x:v>
      </x:c>
      <x:c r="H191" s="2"/>
      <x:c r="I191" s="2" t="str">
        <x:v>국내_사업신청관리_20260731_산업부문.xls</x:v>
      </x:c>
      <x:c r="J191" s="2" t="n">
        <x:v>489</x:v>
      </x:c>
      <x:c r="K191" s="2" t="str">
        <x:v>국내_사업신청관리_20260921_산업부.xls</x:v>
      </x:c>
      <x:c r="L191" s="2" t="n">
        <x:v>494</x:v>
      </x:c>
    </x:row>
    <x:row r="192" ht="25" customHeight="1">
      <x:c r="A192" s="2" t="n">
        <x:v>164</x:v>
      </x:c>
      <x:c r="B192" s="2" t="str">
        <x:v>domestic_project</x:v>
      </x:c>
      <x:c r="C192" s="2" t="str">
        <x:v>산업</x:v>
      </x:c>
      <x:c r="D192" s="2" t="str">
        <x:v>값 변경</x:v>
      </x:c>
      <x:c r="E192" s="2" t="str">
        <x:v>6 | 1168118686 | 한국의 LCD 제조 과정의 SF6 방출 감축을 위한 사용점 감축 설비 | 신규 | - | -</x:v>
      </x:c>
      <x:c r="F192" s="2" t="str">
        <x:v>사업분야</x:v>
      </x:c>
      <x:c r="G192" s="2" t="str">
        <x:v>할로겐화탄소, 육불화항 생산및소비로부터의 탈루배출</x:v>
      </x:c>
      <x:c r="H192" s="2" t="str">
        <x:v>할로겐화탄소, 육불화황 생산및소비로부터의 탈루배출</x:v>
      </x:c>
      <x:c r="I192" s="2" t="str">
        <x:v>국내_사업신청관리_20260731_산업부문.xls</x:v>
      </x:c>
      <x:c r="J192" s="2" t="n">
        <x:v>1037</x:v>
      </x:c>
      <x:c r="K192" s="2" t="str">
        <x:v>국내_사업신청관리_20260921_산업부.xls</x:v>
      </x:c>
      <x:c r="L192" s="2" t="n">
        <x:v>1042</x:v>
      </x:c>
    </x:row>
    <x:row r="193" ht="25" customHeight="1">
      <x:c r="A193" s="2" t="n">
        <x:v>165</x:v>
      </x:c>
      <x:c r="B193" s="2" t="str">
        <x:v>domestic_project</x:v>
      </x:c>
      <x:c r="C193" s="2" t="str">
        <x:v>산업</x:v>
      </x:c>
      <x:c r="D193" s="2" t="str">
        <x:v>값 변경</x:v>
      </x:c>
      <x:c r="E193" s="2" t="str">
        <x:v>671 | 3058608366 | 제일사료(주) 함안공장 연료전환(B-C유→LNG) 사업 | 신규 | - | -</x:v>
      </x:c>
      <x:c r="F193" s="2" t="str">
        <x:v>담당자e-mail</x:v>
      </x:c>
      <x:c r="G193" s="2" t="str">
        <x:v>kingka@jeilfeed.co.kr</x:v>
      </x:c>
      <x:c r="H193" s="2"/>
      <x:c r="I193" s="2" t="str">
        <x:v>국내_사업신청관리_20260731_산업부문.xls</x:v>
      </x:c>
      <x:c r="J193" s="2" t="n">
        <x:v>372</x:v>
      </x:c>
      <x:c r="K193" s="2" t="str">
        <x:v>국내_사업신청관리_20260921_산업부.xls</x:v>
      </x:c>
      <x:c r="L193" s="2" t="n">
        <x:v>377</x:v>
      </x:c>
    </x:row>
    <x:row r="194" ht="25" customHeight="1">
      <x:c r="A194" s="2" t="n">
        <x:v>165</x:v>
      </x:c>
      <x:c r="B194" s="2" t="str">
        <x:v>domestic_project</x:v>
      </x:c>
      <x:c r="C194" s="2" t="str">
        <x:v>산업</x:v>
      </x:c>
      <x:c r="D194" s="2" t="str">
        <x:v>값 변경</x:v>
      </x:c>
      <x:c r="E194" s="2" t="str">
        <x:v>671 | 3058608366 | 제일사료(주) 함안공장 연료전환(B-C유→LNG) 사업 | 신규 | - | -</x:v>
      </x:c>
      <x:c r="F194" s="2" t="str">
        <x:v>담당자부서</x:v>
      </x:c>
      <x:c r="G194" s="2" t="str">
        <x:v>생산팀</x:v>
      </x:c>
      <x:c r="H194" s="2"/>
      <x:c r="I194" s="2" t="str">
        <x:v>국내_사업신청관리_20260731_산업부문.xls</x:v>
      </x:c>
      <x:c r="J194" s="2" t="n">
        <x:v>372</x:v>
      </x:c>
      <x:c r="K194" s="2" t="str">
        <x:v>국내_사업신청관리_20260921_산업부.xls</x:v>
      </x:c>
      <x:c r="L194" s="2" t="n">
        <x:v>377</x:v>
      </x:c>
    </x:row>
    <x:row r="195" ht="25" customHeight="1">
      <x:c r="A195" s="2" t="n">
        <x:v>165</x:v>
      </x:c>
      <x:c r="B195" s="2" t="str">
        <x:v>domestic_project</x:v>
      </x:c>
      <x:c r="C195" s="2" t="str">
        <x:v>산업</x:v>
      </x:c>
      <x:c r="D195" s="2" t="str">
        <x:v>값 변경</x:v>
      </x:c>
      <x:c r="E195" s="2" t="str">
        <x:v>671 | 3058608366 | 제일사료(주) 함안공장 연료전환(B-C유→LNG) 사업 | 신규 | - | -</x:v>
      </x:c>
      <x:c r="F195" s="2" t="str">
        <x:v>담당자전화번호</x:v>
      </x:c>
      <x:c r="G195" s="2" t="str">
        <x:v>010-3599-7920</x:v>
      </x:c>
      <x:c r="H195" s="2" t="str">
        <x:v>--</x:v>
      </x:c>
      <x:c r="I195" s="2" t="str">
        <x:v>국내_사업신청관리_20260731_산업부문.xls</x:v>
      </x:c>
      <x:c r="J195" s="2" t="n">
        <x:v>372</x:v>
      </x:c>
      <x:c r="K195" s="2" t="str">
        <x:v>국내_사업신청관리_20260921_산업부.xls</x:v>
      </x:c>
      <x:c r="L195" s="2" t="n">
        <x:v>377</x:v>
      </x:c>
    </x:row>
    <x:row r="196" ht="25" customHeight="1">
      <x:c r="A196" s="2" t="n">
        <x:v>165</x:v>
      </x:c>
      <x:c r="B196" s="2" t="str">
        <x:v>domestic_project</x:v>
      </x:c>
      <x:c r="C196" s="2" t="str">
        <x:v>산업</x:v>
      </x:c>
      <x:c r="D196" s="2" t="str">
        <x:v>값 변경</x:v>
      </x:c>
      <x:c r="E196" s="2" t="str">
        <x:v>671 | 3058608366 | 제일사료(주) 함안공장 연료전환(B-C유→LNG) 사업 | 신규 | - | -</x:v>
      </x:c>
      <x:c r="F196" s="2" t="str">
        <x:v>담당자직위</x:v>
      </x:c>
      <x:c r="G196" s="2" t="str">
        <x:v>부장</x:v>
      </x:c>
      <x:c r="H196" s="2"/>
      <x:c r="I196" s="2" t="str">
        <x:v>국내_사업신청관리_20260731_산업부문.xls</x:v>
      </x:c>
      <x:c r="J196" s="2" t="n">
        <x:v>372</x:v>
      </x:c>
      <x:c r="K196" s="2" t="str">
        <x:v>국내_사업신청관리_20260921_산업부.xls</x:v>
      </x:c>
      <x:c r="L196" s="2" t="n">
        <x:v>377</x:v>
      </x:c>
    </x:row>
    <x:row r="197" ht="25" customHeight="1">
      <x:c r="A197" s="2" t="n">
        <x:v>166</x:v>
      </x:c>
      <x:c r="B197" s="2" t="str">
        <x:v>domestic_project</x:v>
      </x:c>
      <x:c r="C197" s="2" t="str">
        <x:v>산업</x:v>
      </x:c>
      <x:c r="D197" s="2" t="str">
        <x:v>값 변경</x:v>
      </x:c>
      <x:c r="E197" s="2" t="str">
        <x:v>760 | 6168130083 | (유)도로산업  연료전환(B-C유 → LNG)을 통한  온실가스 배출 감축사업 | 신규 | - | -</x:v>
      </x:c>
      <x:c r="F197" s="2" t="str">
        <x:v>담당자e-mail</x:v>
      </x:c>
      <x:c r="G197" s="2" t="str">
        <x:v>d30083@hanmail.net</x:v>
      </x:c>
      <x:c r="H197" s="2"/>
      <x:c r="I197" s="2" t="str">
        <x:v>국내_사업신청관리_20260731_산업부문.xls</x:v>
      </x:c>
      <x:c r="J197" s="2" t="n">
        <x:v>283</x:v>
      </x:c>
      <x:c r="K197" s="2" t="str">
        <x:v>국내_사업신청관리_20260921_산업부.xls</x:v>
      </x:c>
      <x:c r="L197" s="2" t="n">
        <x:v>288</x:v>
      </x:c>
    </x:row>
    <x:row r="198" ht="25" customHeight="1">
      <x:c r="A198" s="2" t="n">
        <x:v>166</x:v>
      </x:c>
      <x:c r="B198" s="2" t="str">
        <x:v>domestic_project</x:v>
      </x:c>
      <x:c r="C198" s="2" t="str">
        <x:v>산업</x:v>
      </x:c>
      <x:c r="D198" s="2" t="str">
        <x:v>값 변경</x:v>
      </x:c>
      <x:c r="E198" s="2" t="str">
        <x:v>760 | 6168130083 | (유)도로산업  연료전환(B-C유 → LNG)을 통한  온실가스 배출 감축사업 | 신규 | - | -</x:v>
      </x:c>
      <x:c r="F198" s="2" t="str">
        <x:v>담당자부서</x:v>
      </x:c>
      <x:c r="G198" s="2" t="str">
        <x:v>관리부</x:v>
      </x:c>
      <x:c r="H198" s="2"/>
      <x:c r="I198" s="2" t="str">
        <x:v>국내_사업신청관리_20260731_산업부문.xls</x:v>
      </x:c>
      <x:c r="J198" s="2" t="n">
        <x:v>283</x:v>
      </x:c>
      <x:c r="K198" s="2" t="str">
        <x:v>국내_사업신청관리_20260921_산업부.xls</x:v>
      </x:c>
      <x:c r="L198" s="2" t="n">
        <x:v>288</x:v>
      </x:c>
    </x:row>
    <x:row r="199" ht="25" customHeight="1">
      <x:c r="A199" s="2" t="n">
        <x:v>166</x:v>
      </x:c>
      <x:c r="B199" s="2" t="str">
        <x:v>domestic_project</x:v>
      </x:c>
      <x:c r="C199" s="2" t="str">
        <x:v>산업</x:v>
      </x:c>
      <x:c r="D199" s="2" t="str">
        <x:v>값 변경</x:v>
      </x:c>
      <x:c r="E199" s="2" t="str">
        <x:v>760 | 6168130083 | (유)도로산업  연료전환(B-C유 → LNG)을 통한  온실가스 배출 감축사업 | 신규 | - | -</x:v>
      </x:c>
      <x:c r="F199" s="2" t="str">
        <x:v>담당자전화번호</x:v>
      </x:c>
      <x:c r="G199" s="2" t="str">
        <x:v>061-1566-2566</x:v>
      </x:c>
      <x:c r="H199" s="2" t="str">
        <x:v>--</x:v>
      </x:c>
      <x:c r="I199" s="2" t="str">
        <x:v>국내_사업신청관리_20260731_산업부문.xls</x:v>
      </x:c>
      <x:c r="J199" s="2" t="n">
        <x:v>283</x:v>
      </x:c>
      <x:c r="K199" s="2" t="str">
        <x:v>국내_사업신청관리_20260921_산업부.xls</x:v>
      </x:c>
      <x:c r="L199" s="2" t="n">
        <x:v>288</x:v>
      </x:c>
    </x:row>
    <x:row r="200" ht="25" customHeight="1">
      <x:c r="A200" s="2" t="n">
        <x:v>166</x:v>
      </x:c>
      <x:c r="B200" s="2" t="str">
        <x:v>domestic_project</x:v>
      </x:c>
      <x:c r="C200" s="2" t="str">
        <x:v>산업</x:v>
      </x:c>
      <x:c r="D200" s="2" t="str">
        <x:v>값 변경</x:v>
      </x:c>
      <x:c r="E200" s="2" t="str">
        <x:v>760 | 6168130083 | (유)도로산업  연료전환(B-C유 → LNG)을 통한  온실가스 배출 감축사업 | 신규 | - | -</x:v>
      </x:c>
      <x:c r="F200" s="2" t="str">
        <x:v>담당자직위</x:v>
      </x:c>
      <x:c r="G200" s="2" t="str">
        <x:v>상무</x:v>
      </x:c>
      <x:c r="H200" s="2"/>
      <x:c r="I200" s="2" t="str">
        <x:v>국내_사업신청관리_20260731_산업부문.xls</x:v>
      </x:c>
      <x:c r="J200" s="2" t="n">
        <x:v>283</x:v>
      </x:c>
      <x:c r="K200" s="2" t="str">
        <x:v>국내_사업신청관리_20260921_산업부.xls</x:v>
      </x:c>
      <x:c r="L200" s="2" t="n">
        <x:v>288</x:v>
      </x:c>
    </x:row>
    <x:row r="201" ht="25" customHeight="1">
      <x:c r="A201" s="2" t="n">
        <x:v>167</x:v>
      </x:c>
      <x:c r="B201" s="2" t="str">
        <x:v>domestic_project</x:v>
      </x:c>
      <x:c r="C201" s="2" t="str">
        <x:v>산업</x:v>
      </x:c>
      <x:c r="D201" s="2" t="str">
        <x:v>값 변경</x:v>
      </x:c>
      <x:c r="E201" s="2" t="str">
        <x:v>791 | 4188111217 | (유)대연산업 버너 연료전환(B-C유 -&gt; LNG) 온실가스 감축사업 | 신규 | - | -</x:v>
      </x:c>
      <x:c r="F201" s="2" t="str">
        <x:v>담당자e-mail</x:v>
      </x:c>
      <x:c r="G201" s="2" t="str">
        <x:v>mhmoon@daeyeon.net</x:v>
      </x:c>
      <x:c r="H201" s="2"/>
      <x:c r="I201" s="2" t="str">
        <x:v>국내_사업신청관리_20260731_산업부문.xls</x:v>
      </x:c>
      <x:c r="J201" s="2" t="n">
        <x:v>252</x:v>
      </x:c>
      <x:c r="K201" s="2" t="str">
        <x:v>국내_사업신청관리_20260921_산업부.xls</x:v>
      </x:c>
      <x:c r="L201" s="2" t="n">
        <x:v>257</x:v>
      </x:c>
    </x:row>
    <x:row r="202" ht="25" customHeight="1">
      <x:c r="A202" s="2" t="n">
        <x:v>167</x:v>
      </x:c>
      <x:c r="B202" s="2" t="str">
        <x:v>domestic_project</x:v>
      </x:c>
      <x:c r="C202" s="2" t="str">
        <x:v>산업</x:v>
      </x:c>
      <x:c r="D202" s="2" t="str">
        <x:v>값 변경</x:v>
      </x:c>
      <x:c r="E202" s="2" t="str">
        <x:v>791 | 4188111217 | (유)대연산업 버너 연료전환(B-C유 -&gt; LNG) 온실가스 감축사업 | 신규 | - | -</x:v>
      </x:c>
      <x:c r="F202" s="2" t="str">
        <x:v>담당자전화번호</x:v>
      </x:c>
      <x:c r="G202" s="2" t="str">
        <x:v>063-211-9133</x:v>
      </x:c>
      <x:c r="H202" s="2" t="str">
        <x:v>--</x:v>
      </x:c>
      <x:c r="I202" s="2" t="str">
        <x:v>국내_사업신청관리_20260731_산업부문.xls</x:v>
      </x:c>
      <x:c r="J202" s="2" t="n">
        <x:v>252</x:v>
      </x:c>
      <x:c r="K202" s="2" t="str">
        <x:v>국내_사업신청관리_20260921_산업부.xls</x:v>
      </x:c>
      <x:c r="L202" s="2" t="n">
        <x:v>257</x:v>
      </x:c>
    </x:row>
    <x:row r="203" ht="25" customHeight="1">
      <x:c r="A203" s="2" t="n">
        <x:v>167</x:v>
      </x:c>
      <x:c r="B203" s="2" t="str">
        <x:v>domestic_project</x:v>
      </x:c>
      <x:c r="C203" s="2" t="str">
        <x:v>산업</x:v>
      </x:c>
      <x:c r="D203" s="2" t="str">
        <x:v>값 변경</x:v>
      </x:c>
      <x:c r="E203" s="2" t="str">
        <x:v>791 | 4188111217 | (유)대연산업 버너 연료전환(B-C유 -&gt; LNG) 온실가스 감축사업 | 신규 | - | -</x:v>
      </x:c>
      <x:c r="F203" s="2" t="str">
        <x:v>담당자직위</x:v>
      </x:c>
      <x:c r="G203" s="2" t="str">
        <x:v>이사</x:v>
      </x:c>
      <x:c r="H203" s="2"/>
      <x:c r="I203" s="2" t="str">
        <x:v>국내_사업신청관리_20260731_산업부문.xls</x:v>
      </x:c>
      <x:c r="J203" s="2" t="n">
        <x:v>252</x:v>
      </x:c>
      <x:c r="K203" s="2" t="str">
        <x:v>국내_사업신청관리_20260921_산업부.xls</x:v>
      </x:c>
      <x:c r="L203" s="2" t="n">
        <x:v>257</x:v>
      </x:c>
    </x:row>
    <x:row r="204" ht="25" customHeight="1">
      <x:c r="A204" s="2" t="n">
        <x:v>168</x:v>
      </x:c>
      <x:c r="B204" s="2" t="str">
        <x:v>domestic_project</x:v>
      </x:c>
      <x:c r="C204" s="2" t="str">
        <x:v>산업</x:v>
      </x:c>
      <x:c r="D204" s="2" t="str">
        <x:v>값 변경</x:v>
      </x:c>
      <x:c r="E204" s="2" t="str">
        <x:v>821 | 1408277555 | 하안주공5단지 보일러의 연료전환(B-C유 → LNG)을 통한 온실가스 배출 감축 사업 | 신규 | - | -</x:v>
      </x:c>
      <x:c r="F204" s="2" t="str">
        <x:v>담당자e-mail</x:v>
      </x:c>
      <x:c r="G204" s="2" t="str">
        <x:v>haan5apt@naver.com</x:v>
      </x:c>
      <x:c r="H204" s="2"/>
      <x:c r="I204" s="2" t="str">
        <x:v>국내_사업신청관리_20260731_산업부문.xls</x:v>
      </x:c>
      <x:c r="J204" s="2" t="n">
        <x:v>222</x:v>
      </x:c>
      <x:c r="K204" s="2" t="str">
        <x:v>국내_사업신청관리_20260921_산업부.xls</x:v>
      </x:c>
      <x:c r="L204" s="2" t="n">
        <x:v>227</x:v>
      </x:c>
    </x:row>
    <x:row r="205" ht="25" customHeight="1">
      <x:c r="A205" s="2" t="n">
        <x:v>168</x:v>
      </x:c>
      <x:c r="B205" s="2" t="str">
        <x:v>domestic_project</x:v>
      </x:c>
      <x:c r="C205" s="2" t="str">
        <x:v>산업</x:v>
      </x:c>
      <x:c r="D205" s="2" t="str">
        <x:v>값 변경</x:v>
      </x:c>
      <x:c r="E205" s="2" t="str">
        <x:v>821 | 1408277555 | 하안주공5단지 보일러의 연료전환(B-C유 → LNG)을 통한 온실가스 배출 감축 사업 | 신규 | - | -</x:v>
      </x:c>
      <x:c r="F205" s="2" t="str">
        <x:v>담당자부서</x:v>
      </x:c>
      <x:c r="G205" s="2" t="str">
        <x:v>기전실</x:v>
      </x:c>
      <x:c r="H205" s="2"/>
      <x:c r="I205" s="2" t="str">
        <x:v>국내_사업신청관리_20260731_산업부문.xls</x:v>
      </x:c>
      <x:c r="J205" s="2" t="n">
        <x:v>222</x:v>
      </x:c>
      <x:c r="K205" s="2" t="str">
        <x:v>국내_사업신청관리_20260921_산업부.xls</x:v>
      </x:c>
      <x:c r="L205" s="2" t="n">
        <x:v>227</x:v>
      </x:c>
    </x:row>
    <x:row r="206" ht="25" customHeight="1">
      <x:c r="A206" s="2" t="n">
        <x:v>168</x:v>
      </x:c>
      <x:c r="B206" s="2" t="str">
        <x:v>domestic_project</x:v>
      </x:c>
      <x:c r="C206" s="2" t="str">
        <x:v>산업</x:v>
      </x:c>
      <x:c r="D206" s="2" t="str">
        <x:v>값 변경</x:v>
      </x:c>
      <x:c r="E206" s="2" t="str">
        <x:v>821 | 1408277555 | 하안주공5단지 보일러의 연료전환(B-C유 → LNG)을 통한 온실가스 배출 감축 사업 | 신규 | - | -</x:v>
      </x:c>
      <x:c r="F206" s="2" t="str">
        <x:v>담당자전화번호</x:v>
      </x:c>
      <x:c r="G206" s="2" t="str">
        <x:v>02-898-7935</x:v>
      </x:c>
      <x:c r="H206" s="2" t="str">
        <x:v>--</x:v>
      </x:c>
      <x:c r="I206" s="2" t="str">
        <x:v>국내_사업신청관리_20260731_산업부문.xls</x:v>
      </x:c>
      <x:c r="J206" s="2" t="n">
        <x:v>222</x:v>
      </x:c>
      <x:c r="K206" s="2" t="str">
        <x:v>국내_사업신청관리_20260921_산업부.xls</x:v>
      </x:c>
      <x:c r="L206" s="2" t="n">
        <x:v>227</x:v>
      </x:c>
    </x:row>
    <x:row r="207" ht="25" customHeight="1">
      <x:c r="A207" s="2" t="n">
        <x:v>168</x:v>
      </x:c>
      <x:c r="B207" s="2" t="str">
        <x:v>domestic_project</x:v>
      </x:c>
      <x:c r="C207" s="2" t="str">
        <x:v>산업</x:v>
      </x:c>
      <x:c r="D207" s="2" t="str">
        <x:v>값 변경</x:v>
      </x:c>
      <x:c r="E207" s="2" t="str">
        <x:v>821 | 1408277555 | 하안주공5단지 보일러의 연료전환(B-C유 → LNG)을 통한 온실가스 배출 감축 사업 | 신규 | - | -</x:v>
      </x:c>
      <x:c r="F207" s="2" t="str">
        <x:v>담당자직위</x:v>
      </x:c>
      <x:c r="G207" s="2" t="str">
        <x:v>시설과장</x:v>
      </x:c>
      <x:c r="H207" s="2"/>
      <x:c r="I207" s="2" t="str">
        <x:v>국내_사업신청관리_20260731_산업부문.xls</x:v>
      </x:c>
      <x:c r="J207" s="2" t="n">
        <x:v>222</x:v>
      </x:c>
      <x:c r="K207" s="2" t="str">
        <x:v>국내_사업신청관리_20260921_산업부.xls</x:v>
      </x:c>
      <x:c r="L207" s="2" t="n">
        <x:v>227</x:v>
      </x:c>
    </x:row>
    <x:row r="208" ht="25" customHeight="1">
      <x:c r="A208" s="2" t="n">
        <x:v>169</x:v>
      </x:c>
      <x:c r="B208" s="2" t="str">
        <x:v>domestic_project</x:v>
      </x:c>
      <x:c r="C208" s="2" t="str">
        <x:v>산업</x:v>
      </x:c>
      <x:c r="D208" s="2" t="str">
        <x:v>값 변경</x:v>
      </x:c>
      <x:c r="E208" s="2" t="str">
        <x:v>822 | 1398135655 | 두양산업(주) 연료전환(B-C유→ LNG)을 통한 온실가스 배출 감축사업 | 신규 | - | -</x:v>
      </x:c>
      <x:c r="F208" s="2" t="str">
        <x:v>담당자e-mail</x:v>
      </x:c>
      <x:c r="G208" s="2" t="str">
        <x:v>jwkim@doo-yang.co.kr</x:v>
      </x:c>
      <x:c r="H208" s="2"/>
      <x:c r="I208" s="2" t="str">
        <x:v>국내_사업신청관리_20260731_산업부문.xls</x:v>
      </x:c>
      <x:c r="J208" s="2" t="n">
        <x:v>221</x:v>
      </x:c>
      <x:c r="K208" s="2" t="str">
        <x:v>국내_사업신청관리_20260921_산업부.xls</x:v>
      </x:c>
      <x:c r="L208" s="2" t="n">
        <x:v>226</x:v>
      </x:c>
    </x:row>
    <x:row r="209" ht="25" customHeight="1">
      <x:c r="A209" s="2" t="n">
        <x:v>169</x:v>
      </x:c>
      <x:c r="B209" s="2" t="str">
        <x:v>domestic_project</x:v>
      </x:c>
      <x:c r="C209" s="2" t="str">
        <x:v>산업</x:v>
      </x:c>
      <x:c r="D209" s="2" t="str">
        <x:v>값 변경</x:v>
      </x:c>
      <x:c r="E209" s="2" t="str">
        <x:v>822 | 1398135655 | 두양산업(주) 연료전환(B-C유→ LNG)을 통한 온실가스 배출 감축사업 | 신규 | - | -</x:v>
      </x:c>
      <x:c r="F209" s="2" t="str">
        <x:v>담당자전화번호</x:v>
      </x:c>
      <x:c r="G209" s="2" t="str">
        <x:v>041-663-0357</x:v>
      </x:c>
      <x:c r="H209" s="2" t="str">
        <x:v>--</x:v>
      </x:c>
      <x:c r="I209" s="2" t="str">
        <x:v>국내_사업신청관리_20260731_산업부문.xls</x:v>
      </x:c>
      <x:c r="J209" s="2" t="n">
        <x:v>221</x:v>
      </x:c>
      <x:c r="K209" s="2" t="str">
        <x:v>국내_사업신청관리_20260921_산업부.xls</x:v>
      </x:c>
      <x:c r="L209" s="2" t="n">
        <x:v>226</x:v>
      </x:c>
    </x:row>
    <x:row r="210" ht="25" customHeight="1">
      <x:c r="A210" s="2" t="n">
        <x:v>170</x:v>
      </x:c>
      <x:c r="B210" s="2" t="str">
        <x:v>domestic_project</x:v>
      </x:c>
      <x:c r="C210" s="2" t="str">
        <x:v>산업</x:v>
      </x:c>
      <x:c r="D210" s="2" t="str">
        <x:v>9월 추가 후보</x:v>
      </x:c>
      <x:c r="E210" s="2" t="str">
        <x:v>861 | 2118764342 | ㈜비젼세라믹 소성로 연료교체(B-C유→LPG)를 통한 온실가스(CO2) 배출 감축사업 | 신규 | - | -</x:v>
      </x:c>
      <x:c r="F210" s="2" t="str">
        <x:v>변경 필드 없음</x:v>
      </x:c>
      <x:c r="G210" s="2" t="str"/>
      <x:c r="H210" s="2" t="str"/>
      <x:c r="I210" s="2" t="str">
        <x:v>국내_사업신청관리_20260731_산업부문.xls</x:v>
      </x:c>
      <x:c r="J210" s="2"/>
      <x:c r="K210" s="2" t="str">
        <x:v>국내_사업신청관리_20260921_산업부.xls</x:v>
      </x:c>
      <x:c r="L210" s="2" t="n">
        <x:v>187</x:v>
      </x:c>
    </x:row>
    <x:row r="211" ht="25" customHeight="1">
      <x:c r="A211" s="2" t="n">
        <x:v>171</x:v>
      </x:c>
      <x:c r="B211" s="2" t="str">
        <x:v>domestic_project</x:v>
      </x:c>
      <x:c r="C211" s="2" t="str">
        <x:v>산업</x:v>
      </x:c>
      <x:c r="D211" s="2" t="str">
        <x:v>9월 미등장·삭제 아님</x:v>
      </x:c>
      <x:c r="E211" s="2" t="str">
        <x:v>861 | 6068140018 | (주)전유산업 외 2개사의 고효율 공기압축기 교체를 통한 온실가스 감축사업 | 신규 | - | -</x:v>
      </x:c>
      <x:c r="F211" s="2" t="str">
        <x:v>변경 필드 없음</x:v>
      </x:c>
      <x:c r="G211" s="2" t="str"/>
      <x:c r="H211" s="2" t="str"/>
      <x:c r="I211" s="2" t="str">
        <x:v>국내_사업신청관리_20260731_산업부문.xls</x:v>
      </x:c>
      <x:c r="J211" s="2" t="n">
        <x:v>182</x:v>
      </x:c>
      <x:c r="K211" s="2" t="str">
        <x:v>국내_사업신청관리_20260921_산업부.xls</x:v>
      </x:c>
      <x:c r="L211" s="2"/>
    </x:row>
    <x:row r="212" ht="25" customHeight="1">
      <x:c r="A212" s="2" t="n">
        <x:v>172</x:v>
      </x:c>
      <x:c r="B212" s="2" t="str">
        <x:v>domestic_project</x:v>
      </x:c>
      <x:c r="C212" s="2" t="str">
        <x:v>산업</x:v>
      </x:c>
      <x:c r="D212" s="2" t="str">
        <x:v>9월 추가 후보</x:v>
      </x:c>
      <x:c r="E212" s="2" t="str">
        <x:v>862 | 1148645159 | 청라에너지(주) 미활용 소각폐열 회수를 통한 화석연료 사용 절감 및 온실가스 배출 감축사업 | 인증유효기간 갱신 | 2차 | -</x:v>
      </x:c>
      <x:c r="F212" s="2" t="str">
        <x:v>변경 필드 없음</x:v>
      </x:c>
      <x:c r="G212" s="2" t="str"/>
      <x:c r="H212" s="2" t="str"/>
      <x:c r="I212" s="2" t="str">
        <x:v>국내_사업신청관리_20260731_산업부문.xls</x:v>
      </x:c>
      <x:c r="J212" s="2"/>
      <x:c r="K212" s="2" t="str">
        <x:v>국내_사업신청관리_20260921_산업부.xls</x:v>
      </x:c>
      <x:c r="L212" s="2" t="n">
        <x:v>186</x:v>
      </x:c>
    </x:row>
    <x:row r="213" ht="25" customHeight="1">
      <x:c r="A213" s="2" t="n">
        <x:v>173</x:v>
      </x:c>
      <x:c r="B213" s="2" t="str">
        <x:v>domestic_project</x:v>
      </x:c>
      <x:c r="C213" s="2" t="str">
        <x:v>산업</x:v>
      </x:c>
      <x:c r="D213" s="2" t="str">
        <x:v>9월 미등장·삭제 아님</x:v>
      </x:c>
      <x:c r="E213" s="2" t="str">
        <x:v>862 | 6068140018 | 신성에스앤티(주) 외 4개사의 고효율 공기압축기 교체를 통한 온실가스 감축사업 | 신규 | - | -</x:v>
      </x:c>
      <x:c r="F213" s="2" t="str">
        <x:v>변경 필드 없음</x:v>
      </x:c>
      <x:c r="G213" s="2" t="str"/>
      <x:c r="H213" s="2" t="str"/>
      <x:c r="I213" s="2" t="str">
        <x:v>국내_사업신청관리_20260731_산업부문.xls</x:v>
      </x:c>
      <x:c r="J213" s="2" t="n">
        <x:v>181</x:v>
      </x:c>
      <x:c r="K213" s="2" t="str">
        <x:v>국내_사업신청관리_20260921_산업부.xls</x:v>
      </x:c>
      <x:c r="L213" s="2"/>
    </x:row>
    <x:row r="214" ht="25" customHeight="1">
      <x:c r="A214" s="2" t="n">
        <x:v>174</x:v>
      </x:c>
      <x:c r="B214" s="2" t="str">
        <x:v>domestic_project</x:v>
      </x:c>
      <x:c r="C214" s="2" t="str">
        <x:v>산업</x:v>
      </x:c>
      <x:c r="D214" s="2" t="str">
        <x:v>9월 미등장·삭제 아님</x:v>
      </x:c>
      <x:c r="E214" s="2" t="str">
        <x:v>863 | 2118764342 | ㈜비젼세라믹 소성로 연료교체(B-C유→LPG)를 통한 온실가스(CO2) 배출 감축사업 | 신규 | - | -</x:v>
      </x:c>
      <x:c r="F214" s="2" t="str">
        <x:v>변경 필드 없음</x:v>
      </x:c>
      <x:c r="G214" s="2" t="str"/>
      <x:c r="H214" s="2" t="str"/>
      <x:c r="I214" s="2" t="str">
        <x:v>국내_사업신청관리_20260731_산업부문.xls</x:v>
      </x:c>
      <x:c r="J214" s="2" t="n">
        <x:v>180</x:v>
      </x:c>
      <x:c r="K214" s="2" t="str">
        <x:v>국내_사업신청관리_20260921_산업부.xls</x:v>
      </x:c>
      <x:c r="L214" s="2"/>
    </x:row>
    <x:row r="215" ht="25" customHeight="1">
      <x:c r="A215" s="2" t="n">
        <x:v>175</x:v>
      </x:c>
      <x:c r="B215" s="2" t="str">
        <x:v>domestic_project</x:v>
      </x:c>
      <x:c r="C215" s="2" t="str">
        <x:v>산업</x:v>
      </x:c>
      <x:c r="D215" s="2" t="str">
        <x:v>9월 추가 후보</x:v>
      </x:c>
      <x:c r="E215" s="2" t="str">
        <x:v>863 | 4358800539 | (주)성진엔프라 고효율 인버터 PM  Motor 공기압축기로 교체 사업 | 신규 | - | -</x:v>
      </x:c>
      <x:c r="F215" s="2" t="str">
        <x:v>변경 필드 없음</x:v>
      </x:c>
      <x:c r="G215" s="2" t="str"/>
      <x:c r="H215" s="2" t="str"/>
      <x:c r="I215" s="2" t="str">
        <x:v>국내_사업신청관리_20260731_산업부문.xls</x:v>
      </x:c>
      <x:c r="J215" s="2"/>
      <x:c r="K215" s="2" t="str">
        <x:v>국내_사업신청관리_20260921_산업부.xls</x:v>
      </x:c>
      <x:c r="L215" s="2" t="n">
        <x:v>185</x:v>
      </x:c>
    </x:row>
    <x:row r="216" ht="25" customHeight="1">
      <x:c r="A216" s="2" t="n">
        <x:v>176</x:v>
      </x:c>
      <x:c r="B216" s="2" t="str">
        <x:v>domestic_project</x:v>
      </x:c>
      <x:c r="C216" s="2" t="str">
        <x:v>산업</x:v>
      </x:c>
      <x:c r="D216" s="2" t="str">
        <x:v>9월 추가 후보</x:v>
      </x:c>
      <x:c r="E216" s="2" t="str">
        <x:v>864 | 3148213486 | 대구 산격아파트 연료전환을 통한 온실가스 단위감축사업 | 신규 | - | -</x:v>
      </x:c>
      <x:c r="F216" s="2" t="str">
        <x:v>변경 필드 없음</x:v>
      </x:c>
      <x:c r="G216" s="2" t="str"/>
      <x:c r="H216" s="2" t="str"/>
      <x:c r="I216" s="2" t="str">
        <x:v>국내_사업신청관리_20260731_산업부문.xls</x:v>
      </x:c>
      <x:c r="J216" s="2"/>
      <x:c r="K216" s="2" t="str">
        <x:v>국내_사업신청관리_20260921_산업부.xls</x:v>
      </x:c>
      <x:c r="L216" s="2" t="n">
        <x:v>184</x:v>
      </x:c>
    </x:row>
    <x:row r="217" ht="25" customHeight="1">
      <x:c r="A217" s="2" t="n">
        <x:v>177</x:v>
      </x:c>
      <x:c r="B217" s="2" t="str">
        <x:v>domestic_project</x:v>
      </x:c>
      <x:c r="C217" s="2" t="str">
        <x:v>산업</x:v>
      </x:c>
      <x:c r="D217" s="2" t="str">
        <x:v>9월 미등장·삭제 아님</x:v>
      </x:c>
      <x:c r="E217" s="2" t="str">
        <x:v>864 | 6068140018 | 주식회사 넥스턴바이오사이언스 외 3개사의 고효율 공기압축기 교체를 통한 온실가스 감축사업 | 신규 | - | -</x:v>
      </x:c>
      <x:c r="F217" s="2" t="str">
        <x:v>변경 필드 없음</x:v>
      </x:c>
      <x:c r="G217" s="2" t="str"/>
      <x:c r="H217" s="2" t="str"/>
      <x:c r="I217" s="2" t="str">
        <x:v>국내_사업신청관리_20260731_산업부문.xls</x:v>
      </x:c>
      <x:c r="J217" s="2" t="n">
        <x:v>179</x:v>
      </x:c>
      <x:c r="K217" s="2" t="str">
        <x:v>국내_사업신청관리_20260921_산업부.xls</x:v>
      </x:c>
      <x:c r="L217" s="2"/>
    </x:row>
    <x:row r="218" ht="25" customHeight="1">
      <x:c r="A218" s="2" t="n">
        <x:v>178</x:v>
      </x:c>
      <x:c r="B218" s="2" t="str">
        <x:v>domestic_project</x:v>
      </x:c>
      <x:c r="C218" s="2" t="str">
        <x:v>산업</x:v>
      </x:c>
      <x:c r="D218" s="2" t="str">
        <x:v>9월 미등장·삭제 아님</x:v>
      </x:c>
      <x:c r="E218" s="2" t="str">
        <x:v>865 | 1148645159 | 청라에너지(주) 미활용 소각폐열 회수를 통한 화석연료 사용 절감 및 온실가스 배출 감축사업 | 인증유효기간 갱신 | 2차 | -</x:v>
      </x:c>
      <x:c r="F218" s="2" t="str">
        <x:v>변경 필드 없음</x:v>
      </x:c>
      <x:c r="G218" s="2" t="str"/>
      <x:c r="H218" s="2" t="str"/>
      <x:c r="I218" s="2" t="str">
        <x:v>국내_사업신청관리_20260731_산업부문.xls</x:v>
      </x:c>
      <x:c r="J218" s="2" t="n">
        <x:v>178</x:v>
      </x:c>
      <x:c r="K218" s="2" t="str">
        <x:v>국내_사업신청관리_20260921_산업부.xls</x:v>
      </x:c>
      <x:c r="L218" s="2"/>
    </x:row>
    <x:row r="219" ht="25" customHeight="1">
      <x:c r="A219" s="2" t="n">
        <x:v>179</x:v>
      </x:c>
      <x:c r="B219" s="2" t="str">
        <x:v>domestic_project</x:v>
      </x:c>
      <x:c r="C219" s="2" t="str">
        <x:v>산업</x:v>
      </x:c>
      <x:c r="D219" s="2" t="str">
        <x:v>9월 추가 후보</x:v>
      </x:c>
      <x:c r="E219" s="2" t="str">
        <x:v>865 | 5078104296 | ㈜성보아스콘 연료전환(B-C유 → LPG)을 통한 온실가스 배출 감축사업 | 신규 | - | -</x:v>
      </x:c>
      <x:c r="F219" s="2" t="str">
        <x:v>변경 필드 없음</x:v>
      </x:c>
      <x:c r="G219" s="2" t="str"/>
      <x:c r="H219" s="2" t="str"/>
      <x:c r="I219" s="2" t="str">
        <x:v>국내_사업신청관리_20260731_산업부문.xls</x:v>
      </x:c>
      <x:c r="J219" s="2"/>
      <x:c r="K219" s="2" t="str">
        <x:v>국내_사업신청관리_20260921_산업부.xls</x:v>
      </x:c>
      <x:c r="L219" s="2" t="n">
        <x:v>183</x:v>
      </x:c>
    </x:row>
    <x:row r="220" ht="25" customHeight="1">
      <x:c r="A220" s="2" t="n">
        <x:v>180</x:v>
      </x:c>
      <x:c r="B220" s="2" t="str">
        <x:v>domestic_project</x:v>
      </x:c>
      <x:c r="C220" s="2" t="str">
        <x:v>산업</x:v>
      </x:c>
      <x:c r="D220" s="2" t="str">
        <x:v>9월 미등장·삭제 아님</x:v>
      </x:c>
      <x:c r="E220" s="2" t="str">
        <x:v>866 | 4358800539 | (주)성진엔프라 고효율 인버터 PM  Motor 공기압축기로 교체 사업 | 신규 | - | -</x:v>
      </x:c>
      <x:c r="F220" s="2" t="str">
        <x:v>변경 필드 없음</x:v>
      </x:c>
      <x:c r="G220" s="2" t="str"/>
      <x:c r="H220" s="2" t="str"/>
      <x:c r="I220" s="2" t="str">
        <x:v>국내_사업신청관리_20260731_산업부문.xls</x:v>
      </x:c>
      <x:c r="J220" s="2" t="n">
        <x:v>177</x:v>
      </x:c>
      <x:c r="K220" s="2" t="str">
        <x:v>국내_사업신청관리_20260921_산업부.xls</x:v>
      </x:c>
      <x:c r="L220" s="2"/>
    </x:row>
    <x:row r="221" ht="25" customHeight="1">
      <x:c r="A221" s="2" t="n">
        <x:v>181</x:v>
      </x:c>
      <x:c r="B221" s="2" t="str">
        <x:v>domestic_project</x:v>
      </x:c>
      <x:c r="C221" s="2" t="str">
        <x:v>산업</x:v>
      </x:c>
      <x:c r="D221" s="2" t="str">
        <x:v>9월 추가 후보</x:v>
      </x:c>
      <x:c r="E221" s="2" t="str">
        <x:v>866 | 5078104049 | 주식회사 창성 연료전환(B-C유 → LPG)을 통한 온실가스 배출 감축사업 | 신규 | - | -</x:v>
      </x:c>
      <x:c r="F221" s="2" t="str">
        <x:v>변경 필드 없음</x:v>
      </x:c>
      <x:c r="G221" s="2" t="str"/>
      <x:c r="H221" s="2" t="str"/>
      <x:c r="I221" s="2" t="str">
        <x:v>국내_사업신청관리_20260731_산업부문.xls</x:v>
      </x:c>
      <x:c r="J221" s="2"/>
      <x:c r="K221" s="2" t="str">
        <x:v>국내_사업신청관리_20260921_산업부.xls</x:v>
      </x:c>
      <x:c r="L221" s="2" t="n">
        <x:v>182</x:v>
      </x:c>
    </x:row>
    <x:row r="222" ht="25" customHeight="1">
      <x:c r="A222" s="2" t="n">
        <x:v>182</x:v>
      </x:c>
      <x:c r="B222" s="2" t="str">
        <x:v>domestic_project</x:v>
      </x:c>
      <x:c r="C222" s="2" t="str">
        <x:v>산업</x:v>
      </x:c>
      <x:c r="D222" s="2" t="str">
        <x:v>9월 미등장·삭제 아님</x:v>
      </x:c>
      <x:c r="E222" s="2" t="str">
        <x:v>867 | 3148213486 | 대구 산격아파트 연료전환을 통한 온실가스 단위감축사업 | 신규 | - | -</x:v>
      </x:c>
      <x:c r="F222" s="2" t="str">
        <x:v>변경 필드 없음</x:v>
      </x:c>
      <x:c r="G222" s="2" t="str"/>
      <x:c r="H222" s="2" t="str"/>
      <x:c r="I222" s="2" t="str">
        <x:v>국내_사업신청관리_20260731_산업부문.xls</x:v>
      </x:c>
      <x:c r="J222" s="2" t="n">
        <x:v>176</x:v>
      </x:c>
      <x:c r="K222" s="2" t="str">
        <x:v>국내_사업신청관리_20260921_산업부.xls</x:v>
      </x:c>
      <x:c r="L222" s="2"/>
    </x:row>
    <x:row r="223" ht="25" customHeight="1">
      <x:c r="A223" s="2" t="n">
        <x:v>183</x:v>
      </x:c>
      <x:c r="B223" s="2" t="str">
        <x:v>domestic_project</x:v>
      </x:c>
      <x:c r="C223" s="2" t="str">
        <x:v>산업</x:v>
      </x:c>
      <x:c r="D223" s="2" t="str">
        <x:v>9월 추가 후보</x:v>
      </x:c>
      <x:c r="E223" s="2" t="str">
        <x:v>867 | 6118103524 | ㈜보광아스콘 연료전환(B-C유 → LPG)을 통한 온실가스 배출 감축사업 | 신규 | - | -</x:v>
      </x:c>
      <x:c r="F223" s="2" t="str">
        <x:v>변경 필드 없음</x:v>
      </x:c>
      <x:c r="G223" s="2" t="str"/>
      <x:c r="H223" s="2" t="str"/>
      <x:c r="I223" s="2" t="str">
        <x:v>국내_사업신청관리_20260731_산업부문.xls</x:v>
      </x:c>
      <x:c r="J223" s="2"/>
      <x:c r="K223" s="2" t="str">
        <x:v>국내_사업신청관리_20260921_산업부.xls</x:v>
      </x:c>
      <x:c r="L223" s="2" t="n">
        <x:v>181</x:v>
      </x:c>
    </x:row>
    <x:row r="224" ht="25" customHeight="1">
      <x:c r="A224" s="2" t="n">
        <x:v>184</x:v>
      </x:c>
      <x:c r="B224" s="2" t="str">
        <x:v>domestic_project</x:v>
      </x:c>
      <x:c r="C224" s="2" t="str">
        <x:v>산업</x:v>
      </x:c>
      <x:c r="D224" s="2" t="str">
        <x:v>9월 추가 후보</x:v>
      </x:c>
      <x:c r="E224" s="2" t="str">
        <x:v>868 | 1418111165 | 주식회사 대원아스콘 연료전주식회사 대원아스콘 연료전환(정제유→ LPG)을 통한 온실가스 배출 감축사업 | 신규 | - | -</x:v>
      </x:c>
      <x:c r="F224" s="2" t="str">
        <x:v>변경 필드 없음</x:v>
      </x:c>
      <x:c r="G224" s="2" t="str"/>
      <x:c r="H224" s="2" t="str"/>
      <x:c r="I224" s="2" t="str">
        <x:v>국내_사업신청관리_20260731_산업부문.xls</x:v>
      </x:c>
      <x:c r="J224" s="2"/>
      <x:c r="K224" s="2" t="str">
        <x:v>국내_사업신청관리_20260921_산업부.xls</x:v>
      </x:c>
      <x:c r="L224" s="2" t="n">
        <x:v>180</x:v>
      </x:c>
    </x:row>
    <x:row r="225" ht="25" customHeight="1">
      <x:c r="A225" s="2" t="n">
        <x:v>185</x:v>
      </x:c>
      <x:c r="B225" s="2" t="str">
        <x:v>domestic_project</x:v>
      </x:c>
      <x:c r="C225" s="2" t="str">
        <x:v>산업</x:v>
      </x:c>
      <x:c r="D225" s="2" t="str">
        <x:v>9월 미등장·삭제 아님</x:v>
      </x:c>
      <x:c r="E225" s="2" t="str">
        <x:v>868 | 5078104296 | ㈜성보아스콘 연료전환(B-C유 → LPG)을 통한 온실가스 배출 감축사업 | 신규 | - | -</x:v>
      </x:c>
      <x:c r="F225" s="2" t="str">
        <x:v>변경 필드 없음</x:v>
      </x:c>
      <x:c r="G225" s="2" t="str"/>
      <x:c r="H225" s="2" t="str"/>
      <x:c r="I225" s="2" t="str">
        <x:v>국내_사업신청관리_20260731_산업부문.xls</x:v>
      </x:c>
      <x:c r="J225" s="2" t="n">
        <x:v>175</x:v>
      </x:c>
      <x:c r="K225" s="2" t="str">
        <x:v>국내_사업신청관리_20260921_산업부.xls</x:v>
      </x:c>
      <x:c r="L225" s="2"/>
    </x:row>
    <x:row r="226" ht="25" customHeight="1">
      <x:c r="A226" s="2" t="n">
        <x:v>186</x:v>
      </x:c>
      <x:c r="B226" s="2" t="str">
        <x:v>domestic_project</x:v>
      </x:c>
      <x:c r="C226" s="2" t="str">
        <x:v>산업</x:v>
      </x:c>
      <x:c r="D226" s="2" t="str">
        <x:v>9월 추가 후보</x:v>
      </x:c>
      <x:c r="E226" s="2" t="str">
        <x:v>869 | 4358800539 | (주)큐텔 고효율 2단 인버터 PM  Motor 공기압축기로 교체 사업 | 신규 | - | -</x:v>
      </x:c>
      <x:c r="F226" s="2" t="str">
        <x:v>변경 필드 없음</x:v>
      </x:c>
      <x:c r="G226" s="2" t="str"/>
      <x:c r="H226" s="2" t="str"/>
      <x:c r="I226" s="2" t="str">
        <x:v>국내_사업신청관리_20260731_산업부문.xls</x:v>
      </x:c>
      <x:c r="J226" s="2"/>
      <x:c r="K226" s="2" t="str">
        <x:v>국내_사업신청관리_20260921_산업부.xls</x:v>
      </x:c>
      <x:c r="L226" s="2" t="n">
        <x:v>179</x:v>
      </x:c>
    </x:row>
    <x:row r="227" ht="25" customHeight="1">
      <x:c r="A227" s="2" t="n">
        <x:v>187</x:v>
      </x:c>
      <x:c r="B227" s="2" t="str">
        <x:v>domestic_project</x:v>
      </x:c>
      <x:c r="C227" s="2" t="str">
        <x:v>산업</x:v>
      </x:c>
      <x:c r="D227" s="2" t="str">
        <x:v>9월 미등장·삭제 아님</x:v>
      </x:c>
      <x:c r="E227" s="2" t="str">
        <x:v>869 | 5078104049 | 주식회사 창성 연료전환(B-C유 → LPG)을 통한 온실가스 배출 감축사업 | 신규 | - | -</x:v>
      </x:c>
      <x:c r="F227" s="2" t="str">
        <x:v>변경 필드 없음</x:v>
      </x:c>
      <x:c r="G227" s="2" t="str"/>
      <x:c r="H227" s="2" t="str"/>
      <x:c r="I227" s="2" t="str">
        <x:v>국내_사업신청관리_20260731_산업부문.xls</x:v>
      </x:c>
      <x:c r="J227" s="2" t="n">
        <x:v>174</x:v>
      </x:c>
      <x:c r="K227" s="2" t="str">
        <x:v>국내_사업신청관리_20260921_산업부.xls</x:v>
      </x:c>
      <x:c r="L227" s="2"/>
    </x:row>
    <x:row r="228" ht="25" customHeight="1">
      <x:c r="A228" s="2" t="n">
        <x:v>188</x:v>
      </x:c>
      <x:c r="B228" s="2" t="str">
        <x:v>domestic_project</x:v>
      </x:c>
      <x:c r="C228" s="2" t="str">
        <x:v>산업</x:v>
      </x:c>
      <x:c r="D228" s="2" t="str">
        <x:v>9월 추가 후보</x:v>
      </x:c>
      <x:c r="E228" s="2" t="str">
        <x:v>870 | 3038172154 | (주)창조아스콘 연료전환(정제유→LPG) 온실가스 감축사업 | 신규 | - | -</x:v>
      </x:c>
      <x:c r="F228" s="2" t="str">
        <x:v>변경 필드 없음</x:v>
      </x:c>
      <x:c r="G228" s="2" t="str"/>
      <x:c r="H228" s="2" t="str"/>
      <x:c r="I228" s="2" t="str">
        <x:v>국내_사업신청관리_20260731_산업부문.xls</x:v>
      </x:c>
      <x:c r="J228" s="2"/>
      <x:c r="K228" s="2" t="str">
        <x:v>국내_사업신청관리_20260921_산업부.xls</x:v>
      </x:c>
      <x:c r="L228" s="2" t="n">
        <x:v>178</x:v>
      </x:c>
    </x:row>
    <x:row r="229" ht="25" customHeight="1">
      <x:c r="A229" s="2" t="n">
        <x:v>189</x:v>
      </x:c>
      <x:c r="B229" s="2" t="str">
        <x:v>domestic_project</x:v>
      </x:c>
      <x:c r="C229" s="2" t="str">
        <x:v>산업</x:v>
      </x:c>
      <x:c r="D229" s="2" t="str">
        <x:v>9월 미등장·삭제 아님</x:v>
      </x:c>
      <x:c r="E229" s="2" t="str">
        <x:v>870 | 6118103524 | ㈜보광아스콘 연료전환(B-C유 → LPG)을 통한 온실가스 배출 감축사업 | 신규 | - | -</x:v>
      </x:c>
      <x:c r="F229" s="2" t="str">
        <x:v>변경 필드 없음</x:v>
      </x:c>
      <x:c r="G229" s="2" t="str"/>
      <x:c r="H229" s="2" t="str"/>
      <x:c r="I229" s="2" t="str">
        <x:v>국내_사업신청관리_20260731_산업부문.xls</x:v>
      </x:c>
      <x:c r="J229" s="2" t="n">
        <x:v>173</x:v>
      </x:c>
      <x:c r="K229" s="2" t="str">
        <x:v>국내_사업신청관리_20260921_산업부.xls</x:v>
      </x:c>
      <x:c r="L229" s="2"/>
    </x:row>
    <x:row r="230" ht="25" customHeight="1">
      <x:c r="A230" s="2" t="n">
        <x:v>190</x:v>
      </x:c>
      <x:c r="B230" s="2" t="str">
        <x:v>domestic_project</x:v>
      </x:c>
      <x:c r="C230" s="2" t="str">
        <x:v>산업</x:v>
      </x:c>
      <x:c r="D230" s="2" t="str">
        <x:v>9월 미등장·삭제 아님</x:v>
      </x:c>
      <x:c r="E230" s="2" t="str">
        <x:v>871 | 1418111165 | 주식회사 대원아스콘 연료전주식회사 대원아스콘 연료전환(정제유→ LPG)을 통한 온실가스 배출 감축사업 | 신규 | - | -</x:v>
      </x:c>
      <x:c r="F230" s="2" t="str">
        <x:v>변경 필드 없음</x:v>
      </x:c>
      <x:c r="G230" s="2" t="str"/>
      <x:c r="H230" s="2" t="str"/>
      <x:c r="I230" s="2" t="str">
        <x:v>국내_사업신청관리_20260731_산업부문.xls</x:v>
      </x:c>
      <x:c r="J230" s="2" t="n">
        <x:v>172</x:v>
      </x:c>
      <x:c r="K230" s="2" t="str">
        <x:v>국내_사업신청관리_20260921_산업부.xls</x:v>
      </x:c>
      <x:c r="L230" s="2"/>
    </x:row>
    <x:row r="231" ht="25" customHeight="1">
      <x:c r="A231" s="2" t="n">
        <x:v>191</x:v>
      </x:c>
      <x:c r="B231" s="2" t="str">
        <x:v>domestic_project</x:v>
      </x:c>
      <x:c r="C231" s="2" t="str">
        <x:v>산업</x:v>
      </x:c>
      <x:c r="D231" s="2" t="str">
        <x:v>9월 추가 후보</x:v>
      </x:c>
      <x:c r="E231" s="2" t="str">
        <x:v>871 | 4358800539 | (주)신영금형 고효율 인버터 PM  Motor 공기압축기로 교체 사업 | 신규 | - | -</x:v>
      </x:c>
      <x:c r="F231" s="2" t="str">
        <x:v>변경 필드 없음</x:v>
      </x:c>
      <x:c r="G231" s="2" t="str"/>
      <x:c r="H231" s="2" t="str"/>
      <x:c r="I231" s="2" t="str">
        <x:v>국내_사업신청관리_20260731_산업부문.xls</x:v>
      </x:c>
      <x:c r="J231" s="2"/>
      <x:c r="K231" s="2" t="str">
        <x:v>국내_사업신청관리_20260921_산업부.xls</x:v>
      </x:c>
      <x:c r="L231" s="2" t="n">
        <x:v>177</x:v>
      </x:c>
    </x:row>
    <x:row r="232" ht="25" customHeight="1">
      <x:c r="A232" s="2" t="n">
        <x:v>192</x:v>
      </x:c>
      <x:c r="B232" s="2" t="str">
        <x:v>domestic_project</x:v>
      </x:c>
      <x:c r="C232" s="2" t="str">
        <x:v>산업</x:v>
      </x:c>
      <x:c r="D232" s="2" t="str">
        <x:v>9월 미등장·삭제 아님</x:v>
      </x:c>
      <x:c r="E232" s="2" t="str">
        <x:v>872 | 4358800539 | (주)큐텔 고효율 2단 인버터 PM  Motor 공기압축기로 교체 사업 | 신규 | - | -</x:v>
      </x:c>
      <x:c r="F232" s="2" t="str">
        <x:v>변경 필드 없음</x:v>
      </x:c>
      <x:c r="G232" s="2" t="str"/>
      <x:c r="H232" s="2" t="str"/>
      <x:c r="I232" s="2" t="str">
        <x:v>국내_사업신청관리_20260731_산업부문.xls</x:v>
      </x:c>
      <x:c r="J232" s="2" t="n">
        <x:v>171</x:v>
      </x:c>
      <x:c r="K232" s="2" t="str">
        <x:v>국내_사업신청관리_20260921_산업부.xls</x:v>
      </x:c>
      <x:c r="L232" s="2"/>
    </x:row>
    <x:row r="233" ht="25" customHeight="1">
      <x:c r="A233" s="2" t="n">
        <x:v>193</x:v>
      </x:c>
      <x:c r="B233" s="2" t="str">
        <x:v>domestic_project</x:v>
      </x:c>
      <x:c r="C233" s="2" t="str">
        <x:v>산업</x:v>
      </x:c>
      <x:c r="D233" s="2" t="str">
        <x:v>9월 추가 후보</x:v>
      </x:c>
      <x:c r="E233" s="2" t="str">
        <x:v>872 | 6068140018 | (주)영엽 외 2개사의 고효율 공기압축기 교체를 통한 온실가스 감축사업 | 신규 | - | -</x:v>
      </x:c>
      <x:c r="F233" s="2" t="str">
        <x:v>변경 필드 없음</x:v>
      </x:c>
      <x:c r="G233" s="2" t="str"/>
      <x:c r="H233" s="2" t="str"/>
      <x:c r="I233" s="2" t="str">
        <x:v>국내_사업신청관리_20260731_산업부문.xls</x:v>
      </x:c>
      <x:c r="J233" s="2"/>
      <x:c r="K233" s="2" t="str">
        <x:v>국내_사업신청관리_20260921_산업부.xls</x:v>
      </x:c>
      <x:c r="L233" s="2" t="n">
        <x:v>176</x:v>
      </x:c>
    </x:row>
    <x:row r="234" ht="25" customHeight="1">
      <x:c r="A234" s="2" t="n">
        <x:v>194</x:v>
      </x:c>
      <x:c r="B234" s="2" t="str">
        <x:v>domestic_project</x:v>
      </x:c>
      <x:c r="C234" s="2" t="str">
        <x:v>산업</x:v>
      </x:c>
      <x:c r="D234" s="2" t="str">
        <x:v>9월 미등장·삭제 아님</x:v>
      </x:c>
      <x:c r="E234" s="2" t="str">
        <x:v>873 | 3038172154 | (주)창조아스콘 연료전환(정제유→LPG) 온실가스 감축사업 | 신규 | - | -</x:v>
      </x:c>
      <x:c r="F234" s="2" t="str">
        <x:v>변경 필드 없음</x:v>
      </x:c>
      <x:c r="G234" s="2" t="str"/>
      <x:c r="H234" s="2" t="str"/>
      <x:c r="I234" s="2" t="str">
        <x:v>국내_사업신청관리_20260731_산업부문.xls</x:v>
      </x:c>
      <x:c r="J234" s="2" t="n">
        <x:v>170</x:v>
      </x:c>
      <x:c r="K234" s="2" t="str">
        <x:v>국내_사업신청관리_20260921_산업부.xls</x:v>
      </x:c>
      <x:c r="L234" s="2"/>
    </x:row>
    <x:row r="235" ht="25" customHeight="1">
      <x:c r="A235" s="2" t="n">
        <x:v>195</x:v>
      </x:c>
      <x:c r="B235" s="2" t="str">
        <x:v>domestic_project</x:v>
      </x:c>
      <x:c r="C235" s="2" t="str">
        <x:v>산업</x:v>
      </x:c>
      <x:c r="D235" s="2" t="str">
        <x:v>9월 추가 후보</x:v>
      </x:c>
      <x:c r="E235" s="2" t="str">
        <x:v>873 | 6068140018 | (주)동산테크 외 3개사의 고효율 공기압축기 교체를 통한 온실가스 감축사업 | 신규 | - | -</x:v>
      </x:c>
      <x:c r="F235" s="2" t="str">
        <x:v>변경 필드 없음</x:v>
      </x:c>
      <x:c r="G235" s="2" t="str"/>
      <x:c r="H235" s="2" t="str"/>
      <x:c r="I235" s="2" t="str">
        <x:v>국내_사업신청관리_20260731_산업부문.xls</x:v>
      </x:c>
      <x:c r="J235" s="2"/>
      <x:c r="K235" s="2" t="str">
        <x:v>국내_사업신청관리_20260921_산업부.xls</x:v>
      </x:c>
      <x:c r="L235" s="2" t="n">
        <x:v>175</x:v>
      </x:c>
    </x:row>
    <x:row r="236" ht="25" customHeight="1">
      <x:c r="A236" s="2" t="n">
        <x:v>196</x:v>
      </x:c>
      <x:c r="B236" s="2" t="str">
        <x:v>domestic_project</x:v>
      </x:c>
      <x:c r="C236" s="2" t="str">
        <x:v>산업</x:v>
      </x:c>
      <x:c r="D236" s="2" t="str">
        <x:v>9월 추가 후보</x:v>
      </x:c>
      <x:c r="E236" s="2" t="str">
        <x:v>874 | 1208200052 | 2017년 경기남부권역 기존 심야전기 보일러의 축열식 히트펌프 보일러 교체를 통한 온실가스 묶음 감축사업 | 신규 | - | -</x:v>
      </x:c>
      <x:c r="F236" s="2" t="str">
        <x:v>변경 필드 없음</x:v>
      </x:c>
      <x:c r="G236" s="2" t="str"/>
      <x:c r="H236" s="2" t="str"/>
      <x:c r="I236" s="2" t="str">
        <x:v>국내_사업신청관리_20260731_산업부문.xls</x:v>
      </x:c>
      <x:c r="J236" s="2"/>
      <x:c r="K236" s="2" t="str">
        <x:v>국내_사업신청관리_20260921_산업부.xls</x:v>
      </x:c>
      <x:c r="L236" s="2" t="n">
        <x:v>174</x:v>
      </x:c>
    </x:row>
    <x:row r="237" ht="25" customHeight="1">
      <x:c r="A237" s="2" t="n">
        <x:v>197</x:v>
      </x:c>
      <x:c r="B237" s="2" t="str">
        <x:v>domestic_project</x:v>
      </x:c>
      <x:c r="C237" s="2" t="str">
        <x:v>산업</x:v>
      </x:c>
      <x:c r="D237" s="2" t="str">
        <x:v>9월 미등장·삭제 아님</x:v>
      </x:c>
      <x:c r="E237" s="2" t="str">
        <x:v>874 | 4358800539 | (주)신영금형 고효율 인버터 PM  Motor 공기압축기로 교체 사업 | 신규 | - | -</x:v>
      </x:c>
      <x:c r="F237" s="2" t="str">
        <x:v>변경 필드 없음</x:v>
      </x:c>
      <x:c r="G237" s="2" t="str"/>
      <x:c r="H237" s="2" t="str"/>
      <x:c r="I237" s="2" t="str">
        <x:v>국내_사업신청관리_20260731_산업부문.xls</x:v>
      </x:c>
      <x:c r="J237" s="2" t="n">
        <x:v>169</x:v>
      </x:c>
      <x:c r="K237" s="2" t="str">
        <x:v>국내_사업신청관리_20260921_산업부.xls</x:v>
      </x:c>
      <x:c r="L237" s="2"/>
    </x:row>
    <x:row r="238" ht="25" customHeight="1">
      <x:c r="A238" s="2" t="n">
        <x:v>198</x:v>
      </x:c>
      <x:c r="B238" s="2" t="str">
        <x:v>domestic_project</x:v>
      </x:c>
      <x:c r="C238" s="2" t="str">
        <x:v>산업</x:v>
      </x:c>
      <x:c r="D238" s="2" t="str">
        <x:v>9월 추가 후보</x:v>
      </x:c>
      <x:c r="E238" s="2" t="str">
        <x:v>875 | 1208200052 | 2017년 수도권역 기존 심야전기 보일러의 축열식 히트펌프 보일러 교체를 통한 온실가스 묶음 감축 사업 | 신규 | - | -</x:v>
      </x:c>
      <x:c r="F238" s="2" t="str">
        <x:v>변경 필드 없음</x:v>
      </x:c>
      <x:c r="G238" s="2" t="str"/>
      <x:c r="H238" s="2" t="str"/>
      <x:c r="I238" s="2" t="str">
        <x:v>국내_사업신청관리_20260731_산업부문.xls</x:v>
      </x:c>
      <x:c r="J238" s="2"/>
      <x:c r="K238" s="2" t="str">
        <x:v>국내_사업신청관리_20260921_산업부.xls</x:v>
      </x:c>
      <x:c r="L238" s="2" t="n">
        <x:v>173</x:v>
      </x:c>
    </x:row>
    <x:row r="239" ht="25" customHeight="1">
      <x:c r="A239" s="2" t="n">
        <x:v>199</x:v>
      </x:c>
      <x:c r="B239" s="2" t="str">
        <x:v>domestic_project</x:v>
      </x:c>
      <x:c r="C239" s="2" t="str">
        <x:v>산업</x:v>
      </x:c>
      <x:c r="D239" s="2" t="str">
        <x:v>9월 미등장·삭제 아님</x:v>
      </x:c>
      <x:c r="E239" s="2" t="str">
        <x:v>875 | 6068140018 | (주)영엽 외 2개사의 고효율 공기압축기 교체를 통한 온실가스 감축사업 | 신규 | - | -</x:v>
      </x:c>
      <x:c r="F239" s="2" t="str">
        <x:v>변경 필드 없음</x:v>
      </x:c>
      <x:c r="G239" s="2" t="str"/>
      <x:c r="H239" s="2" t="str"/>
      <x:c r="I239" s="2" t="str">
        <x:v>국내_사업신청관리_20260731_산업부문.xls</x:v>
      </x:c>
      <x:c r="J239" s="2" t="n">
        <x:v>168</x:v>
      </x:c>
      <x:c r="K239" s="2" t="str">
        <x:v>국내_사업신청관리_20260921_산업부.xls</x:v>
      </x:c>
      <x:c r="L239" s="2"/>
    </x:row>
    <x:row r="240" ht="25" customHeight="1">
      <x:c r="A240" s="2" t="n">
        <x:v>200</x:v>
      </x:c>
      <x:c r="B240" s="2" t="str">
        <x:v>domestic_project</x:v>
      </x:c>
      <x:c r="C240" s="2" t="str">
        <x:v>산업</x:v>
      </x:c>
      <x:c r="D240" s="2" t="str">
        <x:v>9월 추가 후보</x:v>
      </x:c>
      <x:c r="E240" s="2" t="str">
        <x:v>876 | 1208200052 | 2017년 영남권역 기존 심야전기 보일러의 축열식 히트펌프 보일러 교체를 통한 온실가스 묶음 감축 사업 | 신규 | - | -</x:v>
      </x:c>
      <x:c r="F240" s="2" t="str">
        <x:v>변경 필드 없음</x:v>
      </x:c>
      <x:c r="G240" s="2" t="str"/>
      <x:c r="H240" s="2" t="str"/>
      <x:c r="I240" s="2" t="str">
        <x:v>국내_사업신청관리_20260731_산업부문.xls</x:v>
      </x:c>
      <x:c r="J240" s="2"/>
      <x:c r="K240" s="2" t="str">
        <x:v>국내_사업신청관리_20260921_산업부.xls</x:v>
      </x:c>
      <x:c r="L240" s="2" t="n">
        <x:v>172</x:v>
      </x:c>
    </x:row>
    <x:row r="241" ht="25" customHeight="1">
      <x:c r="A241" s="2" t="n">
        <x:v>201</x:v>
      </x:c>
      <x:c r="B241" s="2" t="str">
        <x:v>domestic_project</x:v>
      </x:c>
      <x:c r="C241" s="2" t="str">
        <x:v>산업</x:v>
      </x:c>
      <x:c r="D241" s="2" t="str">
        <x:v>9월 미등장·삭제 아님</x:v>
      </x:c>
      <x:c r="E241" s="2" t="str">
        <x:v>876 | 6068140018 | (주)동산테크 외 3개사의 고효율 공기압축기 교체를 통한 온실가스 감축사업 | 신규 | - | -</x:v>
      </x:c>
      <x:c r="F241" s="2" t="str">
        <x:v>변경 필드 없음</x:v>
      </x:c>
      <x:c r="G241" s="2" t="str"/>
      <x:c r="H241" s="2" t="str"/>
      <x:c r="I241" s="2" t="str">
        <x:v>국내_사업신청관리_20260731_산업부문.xls</x:v>
      </x:c>
      <x:c r="J241" s="2" t="n">
        <x:v>167</x:v>
      </x:c>
      <x:c r="K241" s="2" t="str">
        <x:v>국내_사업신청관리_20260921_산업부.xls</x:v>
      </x:c>
      <x:c r="L241" s="2"/>
    </x:row>
    <x:row r="242" ht="25" customHeight="1">
      <x:c r="A242" s="2" t="n">
        <x:v>202</x:v>
      </x:c>
      <x:c r="B242" s="2" t="str">
        <x:v>domestic_project</x:v>
      </x:c>
      <x:c r="C242" s="2" t="str">
        <x:v>산업</x:v>
      </x:c>
      <x:c r="D242" s="2" t="str">
        <x:v>9월 미등장·삭제 아님</x:v>
      </x:c>
      <x:c r="E242" s="2" t="str">
        <x:v>877 | 1208200052 | 2017년 경기남부권역 기존 심야전기 보일러의 축열식 히트펌프 보일러 교체를 통한 온실가스 묶음 감축사업 | 신규 | - | -</x:v>
      </x:c>
      <x:c r="F242" s="2" t="str">
        <x:v>변경 필드 없음</x:v>
      </x:c>
      <x:c r="G242" s="2" t="str"/>
      <x:c r="H242" s="2" t="str"/>
      <x:c r="I242" s="2" t="str">
        <x:v>국내_사업신청관리_20260731_산업부문.xls</x:v>
      </x:c>
      <x:c r="J242" s="2" t="n">
        <x:v>166</x:v>
      </x:c>
      <x:c r="K242" s="2" t="str">
        <x:v>국내_사업신청관리_20260921_산업부.xls</x:v>
      </x:c>
      <x:c r="L242" s="2"/>
    </x:row>
    <x:row r="243" ht="25" customHeight="1">
      <x:c r="A243" s="2" t="n">
        <x:v>203</x:v>
      </x:c>
      <x:c r="B243" s="2" t="str">
        <x:v>domestic_project</x:v>
      </x:c>
      <x:c r="C243" s="2" t="str">
        <x:v>산업</x:v>
      </x:c>
      <x:c r="D243" s="2" t="str">
        <x:v>9월 추가 후보</x:v>
      </x:c>
      <x:c r="E243" s="2" t="str">
        <x:v>877 | 1208200052 | 2017년 중부권역 기존 심야전기 보일러의 축열식 히트펌프 보일러 교체를 통한 온실가스 묶음 감축 사업 | 신규 | - | -</x:v>
      </x:c>
      <x:c r="F243" s="2" t="str">
        <x:v>변경 필드 없음</x:v>
      </x:c>
      <x:c r="G243" s="2" t="str"/>
      <x:c r="H243" s="2" t="str"/>
      <x:c r="I243" s="2" t="str">
        <x:v>국내_사업신청관리_20260731_산업부문.xls</x:v>
      </x:c>
      <x:c r="J243" s="2"/>
      <x:c r="K243" s="2" t="str">
        <x:v>국내_사업신청관리_20260921_산업부.xls</x:v>
      </x:c>
      <x:c r="L243" s="2" t="n">
        <x:v>171</x:v>
      </x:c>
    </x:row>
    <x:row r="244" ht="25" customHeight="1">
      <x:c r="A244" s="2" t="n">
        <x:v>204</x:v>
      </x:c>
      <x:c r="B244" s="2" t="str">
        <x:v>domestic_project</x:v>
      </x:c>
      <x:c r="C244" s="2" t="str">
        <x:v>산업</x:v>
      </x:c>
      <x:c r="D244" s="2" t="str">
        <x:v>9월 미등장·삭제 아님</x:v>
      </x:c>
      <x:c r="E244" s="2" t="str">
        <x:v>878 | 1208200052 | 2017년 수도권역 기존 심야전기 보일러의 축열식 히트펌프 보일러 교체를 통한 온실가스 묶음 감축 사업 | 신규 | - | -</x:v>
      </x:c>
      <x:c r="F244" s="2" t="str">
        <x:v>변경 필드 없음</x:v>
      </x:c>
      <x:c r="G244" s="2" t="str"/>
      <x:c r="H244" s="2" t="str"/>
      <x:c r="I244" s="2" t="str">
        <x:v>국내_사업신청관리_20260731_산업부문.xls</x:v>
      </x:c>
      <x:c r="J244" s="2" t="n">
        <x:v>165</x:v>
      </x:c>
      <x:c r="K244" s="2" t="str">
        <x:v>국내_사업신청관리_20260921_산업부.xls</x:v>
      </x:c>
      <x:c r="L244" s="2"/>
    </x:row>
    <x:row r="245" ht="25" customHeight="1">
      <x:c r="A245" s="2" t="n">
        <x:v>205</x:v>
      </x:c>
      <x:c r="B245" s="2" t="str">
        <x:v>domestic_project</x:v>
      </x:c>
      <x:c r="C245" s="2" t="str">
        <x:v>산업</x:v>
      </x:c>
      <x:c r="D245" s="2" t="str">
        <x:v>9월 추가 후보</x:v>
      </x:c>
      <x:c r="E245" s="2" t="str">
        <x:v>878 | 1208200052 | 2017년 호남권역 기존 심야전기 보일러의 축열식 히트펌프 보일러 교체를 통한 온실가스 묶음 감축 사업 | 신규 | - | -</x:v>
      </x:c>
      <x:c r="F245" s="2" t="str">
        <x:v>변경 필드 없음</x:v>
      </x:c>
      <x:c r="G245" s="2" t="str"/>
      <x:c r="H245" s="2" t="str"/>
      <x:c r="I245" s="2" t="str">
        <x:v>국내_사업신청관리_20260731_산업부문.xls</x:v>
      </x:c>
      <x:c r="J245" s="2"/>
      <x:c r="K245" s="2" t="str">
        <x:v>국내_사업신청관리_20260921_산업부.xls</x:v>
      </x:c>
      <x:c r="L245" s="2" t="n">
        <x:v>170</x:v>
      </x:c>
    </x:row>
    <x:row r="246" ht="25" customHeight="1">
      <x:c r="A246" s="2" t="n">
        <x:v>206</x:v>
      </x:c>
      <x:c r="B246" s="2" t="str">
        <x:v>domestic_project</x:v>
      </x:c>
      <x:c r="C246" s="2" t="str">
        <x:v>산업</x:v>
      </x:c>
      <x:c r="D246" s="2" t="str">
        <x:v>9월 미등장·삭제 아님</x:v>
      </x:c>
      <x:c r="E246" s="2" t="str">
        <x:v>879 | 1208200052 | 2017년 영남권역 기존 심야전기 보일러의 축열식 히트펌프 보일러 교체를 통한 온실가스 묶음 감축 사업 | 신규 | - | -</x:v>
      </x:c>
      <x:c r="F246" s="2" t="str">
        <x:v>변경 필드 없음</x:v>
      </x:c>
      <x:c r="G246" s="2" t="str"/>
      <x:c r="H246" s="2" t="str"/>
      <x:c r="I246" s="2" t="str">
        <x:v>국내_사업신청관리_20260731_산업부문.xls</x:v>
      </x:c>
      <x:c r="J246" s="2" t="n">
        <x:v>164</x:v>
      </x:c>
      <x:c r="K246" s="2" t="str">
        <x:v>국내_사업신청관리_20260921_산업부.xls</x:v>
      </x:c>
      <x:c r="L246" s="2"/>
    </x:row>
    <x:row r="247" ht="25" customHeight="1">
      <x:c r="A247" s="2" t="n">
        <x:v>207</x:v>
      </x:c>
      <x:c r="B247" s="2" t="str">
        <x:v>domestic_project</x:v>
      </x:c>
      <x:c r="C247" s="2" t="str">
        <x:v>산업</x:v>
      </x:c>
      <x:c r="D247" s="2" t="str">
        <x:v>9월 추가 후보</x:v>
      </x:c>
      <x:c r="E247" s="2" t="str">
        <x:v>879 | 4058106232 | ㈜중앙벽돌 소성로 연료교체(B-C유→LPG)를 통한 온실가스(CO2) 배출 감축사업 | 사업변경 | - | 1차</x:v>
      </x:c>
      <x:c r="F247" s="2" t="str">
        <x:v>변경 필드 없음</x:v>
      </x:c>
      <x:c r="G247" s="2" t="str"/>
      <x:c r="H247" s="2" t="str"/>
      <x:c r="I247" s="2" t="str">
        <x:v>국내_사업신청관리_20260731_산업부문.xls</x:v>
      </x:c>
      <x:c r="J247" s="2"/>
      <x:c r="K247" s="2" t="str">
        <x:v>국내_사업신청관리_20260921_산업부.xls</x:v>
      </x:c>
      <x:c r="L247" s="2" t="n">
        <x:v>169</x:v>
      </x:c>
    </x:row>
    <x:row r="248" ht="25" customHeight="1">
      <x:c r="A248" s="2" t="n">
        <x:v>208</x:v>
      </x:c>
      <x:c r="B248" s="2" t="str">
        <x:v>domestic_project</x:v>
      </x:c>
      <x:c r="C248" s="2" t="str">
        <x:v>산업</x:v>
      </x:c>
      <x:c r="D248" s="2" t="str">
        <x:v>9월 미등장·삭제 아님</x:v>
      </x:c>
      <x:c r="E248" s="2" t="str">
        <x:v>880 | 1208200052 | 2017년 중부권역 기존 심야전기 보일러의 축열식 히트펌프 보일러 교체를 통한 온실가스 묶음 감축 사업 | 신규 | - | -</x:v>
      </x:c>
      <x:c r="F248" s="2" t="str">
        <x:v>변경 필드 없음</x:v>
      </x:c>
      <x:c r="G248" s="2" t="str"/>
      <x:c r="H248" s="2" t="str"/>
      <x:c r="I248" s="2" t="str">
        <x:v>국내_사업신청관리_20260731_산업부문.xls</x:v>
      </x:c>
      <x:c r="J248" s="2" t="n">
        <x:v>163</x:v>
      </x:c>
      <x:c r="K248" s="2" t="str">
        <x:v>국내_사업신청관리_20260921_산업부.xls</x:v>
      </x:c>
      <x:c r="L248" s="2"/>
    </x:row>
    <x:row r="249" ht="25" customHeight="1">
      <x:c r="A249" s="2" t="n">
        <x:v>209</x:v>
      </x:c>
      <x:c r="B249" s="2" t="str">
        <x:v>domestic_project</x:v>
      </x:c>
      <x:c r="C249" s="2" t="str">
        <x:v>산업</x:v>
      </x:c>
      <x:c r="D249" s="2" t="str">
        <x:v>9월 추가 후보</x:v>
      </x:c>
      <x:c r="E249" s="2" t="str">
        <x:v>880 | 4358800539 | 일동정밀(주) 고효율 인버터 PM  Motor 공기압축기로 교체 사업 | 신규 | - | -</x:v>
      </x:c>
      <x:c r="F249" s="2" t="str">
        <x:v>변경 필드 없음</x:v>
      </x:c>
      <x:c r="G249" s="2" t="str"/>
      <x:c r="H249" s="2" t="str"/>
      <x:c r="I249" s="2" t="str">
        <x:v>국내_사업신청관리_20260731_산업부문.xls</x:v>
      </x:c>
      <x:c r="J249" s="2"/>
      <x:c r="K249" s="2" t="str">
        <x:v>국내_사업신청관리_20260921_산업부.xls</x:v>
      </x:c>
      <x:c r="L249" s="2" t="n">
        <x:v>168</x:v>
      </x:c>
    </x:row>
    <x:row r="250" ht="25" customHeight="1">
      <x:c r="A250" s="2" t="n">
        <x:v>210</x:v>
      </x:c>
      <x:c r="B250" s="2" t="str">
        <x:v>domestic_project</x:v>
      </x:c>
      <x:c r="C250" s="2" t="str">
        <x:v>산업</x:v>
      </x:c>
      <x:c r="D250" s="2" t="str">
        <x:v>9월 미등장·삭제 아님</x:v>
      </x:c>
      <x:c r="E250" s="2" t="str">
        <x:v>881 | 1208200052 | 2017년 호남권역 기존 심야전기 보일러의 축열식 히트펌프 보일러 교체를 통한 온실가스 묶음 감축 사업 | 신규 | - | -</x:v>
      </x:c>
      <x:c r="F250" s="2" t="str">
        <x:v>변경 필드 없음</x:v>
      </x:c>
      <x:c r="G250" s="2" t="str"/>
      <x:c r="H250" s="2" t="str"/>
      <x:c r="I250" s="2" t="str">
        <x:v>국내_사업신청관리_20260731_산업부문.xls</x:v>
      </x:c>
      <x:c r="J250" s="2" t="n">
        <x:v>162</x:v>
      </x:c>
      <x:c r="K250" s="2" t="str">
        <x:v>국내_사업신청관리_20260921_산업부.xls</x:v>
      </x:c>
      <x:c r="L250" s="2"/>
    </x:row>
    <x:row r="251" ht="25" customHeight="1">
      <x:c r="A251" s="2" t="n">
        <x:v>211</x:v>
      </x:c>
      <x:c r="B251" s="2" t="str">
        <x:v>domestic_project</x:v>
      </x:c>
      <x:c r="C251" s="2" t="str">
        <x:v>산업</x:v>
      </x:c>
      <x:c r="D251" s="2" t="str">
        <x:v>9월 추가 후보</x:v>
      </x:c>
      <x:c r="E251" s="2" t="str">
        <x:v>881 | 4358800539 | 성창기업 고효율 인버터 PM  Motor 공기압축기로 교체 사업 | 신규 | - | -</x:v>
      </x:c>
      <x:c r="F251" s="2" t="str">
        <x:v>변경 필드 없음</x:v>
      </x:c>
      <x:c r="G251" s="2" t="str"/>
      <x:c r="H251" s="2" t="str"/>
      <x:c r="I251" s="2" t="str">
        <x:v>국내_사업신청관리_20260731_산업부문.xls</x:v>
      </x:c>
      <x:c r="J251" s="2"/>
      <x:c r="K251" s="2" t="str">
        <x:v>국내_사업신청관리_20260921_산업부.xls</x:v>
      </x:c>
      <x:c r="L251" s="2" t="n">
        <x:v>167</x:v>
      </x:c>
    </x:row>
    <x:row r="252" ht="25" customHeight="1">
      <x:c r="A252" s="2" t="n">
        <x:v>212</x:v>
      </x:c>
      <x:c r="B252" s="2" t="str">
        <x:v>domestic_project</x:v>
      </x:c>
      <x:c r="C252" s="2" t="str">
        <x:v>산업</x:v>
      </x:c>
      <x:c r="D252" s="2" t="str">
        <x:v>9월 추가 후보</x:v>
      </x:c>
      <x:c r="E252" s="2" t="str">
        <x:v>882 | 5038607753 | (주)윤성산업개발 버너 연료전환 (B-C유-&gt;LPG) 온실가스 감축사업 | 신규 | - | -</x:v>
      </x:c>
      <x:c r="F252" s="2" t="str">
        <x:v>변경 필드 없음</x:v>
      </x:c>
      <x:c r="G252" s="2" t="str"/>
      <x:c r="H252" s="2" t="str"/>
      <x:c r="I252" s="2" t="str">
        <x:v>국내_사업신청관리_20260731_산업부문.xls</x:v>
      </x:c>
      <x:c r="J252" s="2"/>
      <x:c r="K252" s="2" t="str">
        <x:v>국내_사업신청관리_20260921_산업부.xls</x:v>
      </x:c>
      <x:c r="L252" s="2" t="n">
        <x:v>166</x:v>
      </x:c>
    </x:row>
    <x:row r="253" ht="25" customHeight="1">
      <x:c r="A253" s="2" t="n">
        <x:v>213</x:v>
      </x:c>
      <x:c r="B253" s="2" t="str">
        <x:v>domestic_project</x:v>
      </x:c>
      <x:c r="C253" s="2" t="str">
        <x:v>산업</x:v>
      </x:c>
      <x:c r="D253" s="2" t="str">
        <x:v>9월 미등장·삭제 아님</x:v>
      </x:c>
      <x:c r="E253" s="2" t="str">
        <x:v>882 | 6068140018 | 주식회사 대한테크 외 2개사의 인버터 공기압축기 교체를 통한 온실가스 감축사업 | 신규 | - | -</x:v>
      </x:c>
      <x:c r="F253" s="2" t="str">
        <x:v>변경 필드 없음</x:v>
      </x:c>
      <x:c r="G253" s="2" t="str"/>
      <x:c r="H253" s="2" t="str"/>
      <x:c r="I253" s="2" t="str">
        <x:v>국내_사업신청관리_20260731_산업부문.xls</x:v>
      </x:c>
      <x:c r="J253" s="2" t="n">
        <x:v>161</x:v>
      </x:c>
      <x:c r="K253" s="2" t="str">
        <x:v>국내_사업신청관리_20260921_산업부.xls</x:v>
      </x:c>
      <x:c r="L253" s="2"/>
    </x:row>
    <x:row r="254" ht="25" customHeight="1">
      <x:c r="A254" s="2" t="n">
        <x:v>214</x:v>
      </x:c>
      <x:c r="B254" s="2" t="str">
        <x:v>domestic_project</x:v>
      </x:c>
      <x:c r="C254" s="2" t="str">
        <x:v>산업</x:v>
      </x:c>
      <x:c r="D254" s="2" t="str">
        <x:v>9월 미등장·삭제 아님</x:v>
      </x:c>
      <x:c r="E254" s="2" t="str">
        <x:v>883 | 4058106232 | ㈜중앙벽돌 소성로 연료교체(B-C유→LPG)를 통한 온실가스(CO2) 배출 감축사업 | 사업변경 | - | 1차</x:v>
      </x:c>
      <x:c r="F254" s="2" t="str">
        <x:v>변경 필드 없음</x:v>
      </x:c>
      <x:c r="G254" s="2" t="str"/>
      <x:c r="H254" s="2" t="str"/>
      <x:c r="I254" s="2" t="str">
        <x:v>국내_사업신청관리_20260731_산업부문.xls</x:v>
      </x:c>
      <x:c r="J254" s="2" t="n">
        <x:v>160</x:v>
      </x:c>
      <x:c r="K254" s="2" t="str">
        <x:v>국내_사업신청관리_20260921_산업부.xls</x:v>
      </x:c>
      <x:c r="L254" s="2"/>
    </x:row>
    <x:row r="255" ht="25" customHeight="1">
      <x:c r="A255" s="2" t="n">
        <x:v>215</x:v>
      </x:c>
      <x:c r="B255" s="2" t="str">
        <x:v>domestic_project</x:v>
      </x:c>
      <x:c r="C255" s="2" t="str">
        <x:v>산업</x:v>
      </x:c>
      <x:c r="D255" s="2" t="str">
        <x:v>9월 추가 후보</x:v>
      </x:c>
      <x:c r="E255" s="2" t="str">
        <x:v>883 | 4358800539 | 삼우스텐레스(주) 고효율 인버터 PM Motor 공기압축기로 교체 사업 | 신규 | - | -</x:v>
      </x:c>
      <x:c r="F255" s="2" t="str">
        <x:v>변경 필드 없음</x:v>
      </x:c>
      <x:c r="G255" s="2" t="str"/>
      <x:c r="H255" s="2" t="str"/>
      <x:c r="I255" s="2" t="str">
        <x:v>국내_사업신청관리_20260731_산업부문.xls</x:v>
      </x:c>
      <x:c r="J255" s="2"/>
      <x:c r="K255" s="2" t="str">
        <x:v>국내_사업신청관리_20260921_산업부.xls</x:v>
      </x:c>
      <x:c r="L255" s="2" t="n">
        <x:v>165</x:v>
      </x:c>
    </x:row>
    <x:row r="256" ht="25" customHeight="1">
      <x:c r="A256" s="2" t="n">
        <x:v>216</x:v>
      </x:c>
      <x:c r="B256" s="2" t="str">
        <x:v>domestic_project</x:v>
      </x:c>
      <x:c r="C256" s="2" t="str">
        <x:v>산업</x:v>
      </x:c>
      <x:c r="D256" s="2" t="str">
        <x:v>9월 미등장·삭제 아님</x:v>
      </x:c>
      <x:c r="E256" s="2" t="str">
        <x:v>884 | 4358800539 | 일동정밀(주) 고효율 인버터 PM  Motor 공기압축기로 교체 사업 | 신규 | - | -</x:v>
      </x:c>
      <x:c r="F256" s="2" t="str">
        <x:v>변경 필드 없음</x:v>
      </x:c>
      <x:c r="G256" s="2" t="str"/>
      <x:c r="H256" s="2" t="str"/>
      <x:c r="I256" s="2" t="str">
        <x:v>국내_사업신청관리_20260731_산업부문.xls</x:v>
      </x:c>
      <x:c r="J256" s="2" t="n">
        <x:v>159</x:v>
      </x:c>
      <x:c r="K256" s="2" t="str">
        <x:v>국내_사업신청관리_20260921_산업부.xls</x:v>
      </x:c>
      <x:c r="L256" s="2"/>
    </x:row>
    <x:row r="257" ht="25" customHeight="1">
      <x:c r="A257" s="2" t="n">
        <x:v>217</x:v>
      </x:c>
      <x:c r="B257" s="2" t="str">
        <x:v>domestic_project</x:v>
      </x:c>
      <x:c r="C257" s="2" t="str">
        <x:v>산업</x:v>
      </x:c>
      <x:c r="D257" s="2" t="str">
        <x:v>9월 추가 후보</x:v>
      </x:c>
      <x:c r="E257" s="2" t="str">
        <x:v>884 | 6068140018 | 대일테크 외 3개사의 인버터 공기압축기 교체를 통한 온실가스 감축사업 | 신규 | - | -</x:v>
      </x:c>
      <x:c r="F257" s="2" t="str">
        <x:v>변경 필드 없음</x:v>
      </x:c>
      <x:c r="G257" s="2" t="str"/>
      <x:c r="H257" s="2" t="str"/>
      <x:c r="I257" s="2" t="str">
        <x:v>국내_사업신청관리_20260731_산업부문.xls</x:v>
      </x:c>
      <x:c r="J257" s="2"/>
      <x:c r="K257" s="2" t="str">
        <x:v>국내_사업신청관리_20260921_산업부.xls</x:v>
      </x:c>
      <x:c r="L257" s="2" t="n">
        <x:v>164</x:v>
      </x:c>
    </x:row>
    <x:row r="258" ht="25" customHeight="1">
      <x:c r="A258" s="2" t="n">
        <x:v>218</x:v>
      </x:c>
      <x:c r="B258" s="2" t="str">
        <x:v>domestic_project</x:v>
      </x:c>
      <x:c r="C258" s="2" t="str">
        <x:v>산업</x:v>
      </x:c>
      <x:c r="D258" s="2" t="str">
        <x:v>9월 추가 후보</x:v>
      </x:c>
      <x:c r="E258" s="2" t="str">
        <x:v>885 | 3058150383 | 금산환경재생산업(주) 연료전환(B-C유 → LPG)을 통한 온실가스 배출 감축사업 | 신규 | - | -</x:v>
      </x:c>
      <x:c r="F258" s="2" t="str">
        <x:v>변경 필드 없음</x:v>
      </x:c>
      <x:c r="G258" s="2" t="str"/>
      <x:c r="H258" s="2" t="str"/>
      <x:c r="I258" s="2" t="str">
        <x:v>국내_사업신청관리_20260731_산업부문.xls</x:v>
      </x:c>
      <x:c r="J258" s="2"/>
      <x:c r="K258" s="2" t="str">
        <x:v>국내_사업신청관리_20260921_산업부.xls</x:v>
      </x:c>
      <x:c r="L258" s="2" t="n">
        <x:v>163</x:v>
      </x:c>
    </x:row>
    <x:row r="259" ht="25" customHeight="1">
      <x:c r="A259" s="2" t="n">
        <x:v>219</x:v>
      </x:c>
      <x:c r="B259" s="2" t="str">
        <x:v>domestic_project</x:v>
      </x:c>
      <x:c r="C259" s="2" t="str">
        <x:v>산업</x:v>
      </x:c>
      <x:c r="D259" s="2" t="str">
        <x:v>9월 미등장·삭제 아님</x:v>
      </x:c>
      <x:c r="E259" s="2" t="str">
        <x:v>885 | 4358800539 | 성창기업 고효율 인버터 PM  Motor 공기압축기로 교체 사업 | 신규 | - | -</x:v>
      </x:c>
      <x:c r="F259" s="2" t="str">
        <x:v>변경 필드 없음</x:v>
      </x:c>
      <x:c r="G259" s="2" t="str"/>
      <x:c r="H259" s="2" t="str"/>
      <x:c r="I259" s="2" t="str">
        <x:v>국내_사업신청관리_20260731_산업부문.xls</x:v>
      </x:c>
      <x:c r="J259" s="2" t="n">
        <x:v>158</x:v>
      </x:c>
      <x:c r="K259" s="2" t="str">
        <x:v>국내_사업신청관리_20260921_산업부.xls</x:v>
      </x:c>
      <x:c r="L259" s="2"/>
    </x:row>
    <x:row r="260" ht="25" customHeight="1">
      <x:c r="A260" s="2" t="n">
        <x:v>220</x:v>
      </x:c>
      <x:c r="B260" s="2" t="str">
        <x:v>domestic_project</x:v>
      </x:c>
      <x:c r="C260" s="2" t="str">
        <x:v>산업</x:v>
      </x:c>
      <x:c r="D260" s="2" t="str">
        <x:v>9월 추가 후보</x:v>
      </x:c>
      <x:c r="E260" s="2" t="str">
        <x:v>886 | 3058150383 | 금산환경재생산업(주) 연료전환(B-C유 → LPG)을 통한 온실가스 배출 감축사업 | 신규 | - | -</x:v>
      </x:c>
      <x:c r="F260" s="2" t="str">
        <x:v>변경 필드 없음</x:v>
      </x:c>
      <x:c r="G260" s="2" t="str"/>
      <x:c r="H260" s="2" t="str"/>
      <x:c r="I260" s="2" t="str">
        <x:v>국내_사업신청관리_20260731_산업부문.xls</x:v>
      </x:c>
      <x:c r="J260" s="2"/>
      <x:c r="K260" s="2" t="str">
        <x:v>국내_사업신청관리_20260921_산업부.xls</x:v>
      </x:c>
      <x:c r="L260" s="2" t="n">
        <x:v>162</x:v>
      </x:c>
    </x:row>
    <x:row r="261" ht="25" customHeight="1">
      <x:c r="A261" s="2" t="n">
        <x:v>221</x:v>
      </x:c>
      <x:c r="B261" s="2" t="str">
        <x:v>domestic_project</x:v>
      </x:c>
      <x:c r="C261" s="2" t="str">
        <x:v>산업</x:v>
      </x:c>
      <x:c r="D261" s="2" t="str">
        <x:v>9월 미등장·삭제 아님</x:v>
      </x:c>
      <x:c r="E261" s="2" t="str">
        <x:v>886 | 5038607753 | (주)윤성산업개발 버너 연료전환 (B-C유-&gt;LPG) 온실가스 감축사업 | 신규 | - | -</x:v>
      </x:c>
      <x:c r="F261" s="2" t="str">
        <x:v>변경 필드 없음</x:v>
      </x:c>
      <x:c r="G261" s="2" t="str"/>
      <x:c r="H261" s="2" t="str"/>
      <x:c r="I261" s="2" t="str">
        <x:v>국내_사업신청관리_20260731_산업부문.xls</x:v>
      </x:c>
      <x:c r="J261" s="2" t="n">
        <x:v>157</x:v>
      </x:c>
      <x:c r="K261" s="2" t="str">
        <x:v>국내_사업신청관리_20260921_산업부.xls</x:v>
      </x:c>
      <x:c r="L261" s="2"/>
    </x:row>
    <x:row r="262" ht="25" customHeight="1">
      <x:c r="A262" s="2" t="n">
        <x:v>222</x:v>
      </x:c>
      <x:c r="B262" s="2" t="str">
        <x:v>domestic_project</x:v>
      </x:c>
      <x:c r="C262" s="2" t="str">
        <x:v>산업</x:v>
      </x:c>
      <x:c r="D262" s="2" t="str">
        <x:v>9월 미등장·삭제 아님</x:v>
      </x:c>
      <x:c r="E262" s="2" t="str">
        <x:v>887 | 4358800539 | 삼우스텐레스(주) 고효율 인버터 PM Motor 공기압축기로 교체 사업 | 신규 | - | -</x:v>
      </x:c>
      <x:c r="F262" s="2" t="str">
        <x:v>변경 필드 없음</x:v>
      </x:c>
      <x:c r="G262" s="2" t="str"/>
      <x:c r="H262" s="2" t="str"/>
      <x:c r="I262" s="2" t="str">
        <x:v>국내_사업신청관리_20260731_산업부문.xls</x:v>
      </x:c>
      <x:c r="J262" s="2" t="n">
        <x:v>156</x:v>
      </x:c>
      <x:c r="K262" s="2" t="str">
        <x:v>국내_사업신청관리_20260921_산업부.xls</x:v>
      </x:c>
      <x:c r="L262" s="2"/>
    </x:row>
    <x:row r="263" ht="25" customHeight="1">
      <x:c r="A263" s="2" t="n">
        <x:v>223</x:v>
      </x:c>
      <x:c r="B263" s="2" t="str">
        <x:v>domestic_project</x:v>
      </x:c>
      <x:c r="C263" s="2" t="str">
        <x:v>산업</x:v>
      </x:c>
      <x:c r="D263" s="2" t="str">
        <x:v>9월 추가 후보</x:v>
      </x:c>
      <x:c r="E263" s="2" t="str">
        <x:v>887 | 5068187391 | 우광산업(주) 연료전환(B-C유 → LPG)을 통한 온실가스 배출 감축사업 | 신규 | - | -</x:v>
      </x:c>
      <x:c r="F263" s="2" t="str">
        <x:v>변경 필드 없음</x:v>
      </x:c>
      <x:c r="G263" s="2" t="str"/>
      <x:c r="H263" s="2" t="str"/>
      <x:c r="I263" s="2" t="str">
        <x:v>국내_사업신청관리_20260731_산업부문.xls</x:v>
      </x:c>
      <x:c r="J263" s="2"/>
      <x:c r="K263" s="2" t="str">
        <x:v>국내_사업신청관리_20260921_산업부.xls</x:v>
      </x:c>
      <x:c r="L263" s="2" t="n">
        <x:v>161</x:v>
      </x:c>
    </x:row>
    <x:row r="264" ht="25" customHeight="1">
      <x:c r="A264" s="2" t="n">
        <x:v>224</x:v>
      </x:c>
      <x:c r="B264" s="2" t="str">
        <x:v>domestic_project</x:v>
      </x:c>
      <x:c r="C264" s="2" t="str">
        <x:v>산업</x:v>
      </x:c>
      <x:c r="D264" s="2" t="str">
        <x:v>9월 추가 후보</x:v>
      </x:c>
      <x:c r="E264" s="2" t="str">
        <x:v>888 | 5068125416 | 우정건설(주) 연료전환(B-C유 → LPG)을 통한 온실가스 배출 감축사업 | 신규 | - | -</x:v>
      </x:c>
      <x:c r="F264" s="2" t="str">
        <x:v>변경 필드 없음</x:v>
      </x:c>
      <x:c r="G264" s="2" t="str"/>
      <x:c r="H264" s="2" t="str"/>
      <x:c r="I264" s="2" t="str">
        <x:v>국내_사업신청관리_20260731_산업부문.xls</x:v>
      </x:c>
      <x:c r="J264" s="2"/>
      <x:c r="K264" s="2" t="str">
        <x:v>국내_사업신청관리_20260921_산업부.xls</x:v>
      </x:c>
      <x:c r="L264" s="2" t="n">
        <x:v>160</x:v>
      </x:c>
    </x:row>
    <x:row r="265" ht="25" customHeight="1">
      <x:c r="A265" s="2" t="n">
        <x:v>225</x:v>
      </x:c>
      <x:c r="B265" s="2" t="str">
        <x:v>domestic_project</x:v>
      </x:c>
      <x:c r="C265" s="2" t="str">
        <x:v>산업</x:v>
      </x:c>
      <x:c r="D265" s="2" t="str">
        <x:v>9월 미등장·삭제 아님</x:v>
      </x:c>
      <x:c r="E265" s="2" t="str">
        <x:v>888 | 6068140018 | 대일테크 외 3개사의 인버터 공기압축기 교체를 통한 온실가스 감축사업 | 신규 | - | -</x:v>
      </x:c>
      <x:c r="F265" s="2" t="str">
        <x:v>변경 필드 없음</x:v>
      </x:c>
      <x:c r="G265" s="2" t="str"/>
      <x:c r="H265" s="2" t="str"/>
      <x:c r="I265" s="2" t="str">
        <x:v>국내_사업신청관리_20260731_산업부문.xls</x:v>
      </x:c>
      <x:c r="J265" s="2" t="n">
        <x:v>155</x:v>
      </x:c>
      <x:c r="K265" s="2" t="str">
        <x:v>국내_사업신청관리_20260921_산업부.xls</x:v>
      </x:c>
      <x:c r="L265" s="2"/>
    </x:row>
    <x:row r="266" ht="25" customHeight="1">
      <x:c r="A266" s="2" t="n">
        <x:v>226</x:v>
      </x:c>
      <x:c r="B266" s="2" t="str">
        <x:v>domestic_project</x:v>
      </x:c>
      <x:c r="C266" s="2" t="str">
        <x:v>산업</x:v>
      </x:c>
      <x:c r="D266" s="2" t="str">
        <x:v>9월 미등장·삭제 아님</x:v>
      </x:c>
      <x:c r="E266" s="2" t="str">
        <x:v>889 | 3058150383 | 금산환경재생산업(주) 연료전환(B-C유 → LPG)을 통한 온실가스 배출 감축사업 | 신규 | - | -</x:v>
      </x:c>
      <x:c r="F266" s="2" t="str">
        <x:v>변경 필드 없음</x:v>
      </x:c>
      <x:c r="G266" s="2" t="str"/>
      <x:c r="H266" s="2" t="str"/>
      <x:c r="I266" s="2" t="str">
        <x:v>국내_사업신청관리_20260731_산업부문.xls</x:v>
      </x:c>
      <x:c r="J266" s="2" t="n">
        <x:v>154</x:v>
      </x:c>
      <x:c r="K266" s="2" t="str">
        <x:v>국내_사업신청관리_20260921_산업부.xls</x:v>
      </x:c>
      <x:c r="L266" s="2"/>
    </x:row>
    <x:row r="267" ht="25" customHeight="1">
      <x:c r="A267" s="2" t="n">
        <x:v>227</x:v>
      </x:c>
      <x:c r="B267" s="2" t="str">
        <x:v>domestic_project</x:v>
      </x:c>
      <x:c r="C267" s="2" t="str">
        <x:v>산업</x:v>
      </x:c>
      <x:c r="D267" s="2" t="str">
        <x:v>9월 추가 후보</x:v>
      </x:c>
      <x:c r="E267" s="2" t="str">
        <x:v>889 | 5048138778 | ㈜고려텍스 외 5개사의 고효율 공기압축기 교체를 통한 온실가스 감축사업 | 신규 | - | -</x:v>
      </x:c>
      <x:c r="F267" s="2" t="str">
        <x:v>변경 필드 없음</x:v>
      </x:c>
      <x:c r="G267" s="2" t="str"/>
      <x:c r="H267" s="2" t="str"/>
      <x:c r="I267" s="2" t="str">
        <x:v>국내_사업신청관리_20260731_산업부문.xls</x:v>
      </x:c>
      <x:c r="J267" s="2"/>
      <x:c r="K267" s="2" t="str">
        <x:v>국내_사업신청관리_20260921_산업부.xls</x:v>
      </x:c>
      <x:c r="L267" s="2" t="n">
        <x:v>159</x:v>
      </x:c>
    </x:row>
    <x:row r="268" ht="25" customHeight="1">
      <x:c r="A268" s="2" t="n">
        <x:v>228</x:v>
      </x:c>
      <x:c r="B268" s="2" t="str">
        <x:v>domestic_project</x:v>
      </x:c>
      <x:c r="C268" s="2" t="str">
        <x:v>산업</x:v>
      </x:c>
      <x:c r="D268" s="2" t="str">
        <x:v>9월 미등장·삭제 아님</x:v>
      </x:c>
      <x:c r="E268" s="2" t="str">
        <x:v>890 | 3058150383 | 금산환경재생산업(주) 연료전환(B-C유 → LPG)을 통한 온실가스 배출 감축사업 | 신규 | - | -</x:v>
      </x:c>
      <x:c r="F268" s="2" t="str">
        <x:v>변경 필드 없음</x:v>
      </x:c>
      <x:c r="G268" s="2" t="str"/>
      <x:c r="H268" s="2" t="str"/>
      <x:c r="I268" s="2" t="str">
        <x:v>국내_사업신청관리_20260731_산업부문.xls</x:v>
      </x:c>
      <x:c r="J268" s="2" t="n">
        <x:v>153</x:v>
      </x:c>
      <x:c r="K268" s="2" t="str">
        <x:v>국내_사업신청관리_20260921_산업부.xls</x:v>
      </x:c>
      <x:c r="L268" s="2"/>
    </x:row>
    <x:row r="269" ht="25" customHeight="1">
      <x:c r="A269" s="2" t="n">
        <x:v>229</x:v>
      </x:c>
      <x:c r="B269" s="2" t="str">
        <x:v>domestic_project</x:v>
      </x:c>
      <x:c r="C269" s="2" t="str">
        <x:v>산업</x:v>
      </x:c>
      <x:c r="D269" s="2" t="str">
        <x:v>9월 추가 후보</x:v>
      </x:c>
      <x:c r="E269" s="2" t="str">
        <x:v>890 | 3148213486 | 광주 오치 주공 1단지 아파트 연료전환을 통한 온실가스 감축사업 | 인증유효기간 갱신 | 2차 | -</x:v>
      </x:c>
      <x:c r="F269" s="2" t="str">
        <x:v>변경 필드 없음</x:v>
      </x:c>
      <x:c r="G269" s="2" t="str"/>
      <x:c r="H269" s="2" t="str"/>
      <x:c r="I269" s="2" t="str">
        <x:v>국내_사업신청관리_20260731_산업부문.xls</x:v>
      </x:c>
      <x:c r="J269" s="2"/>
      <x:c r="K269" s="2" t="str">
        <x:v>국내_사업신청관리_20260921_산업부.xls</x:v>
      </x:c>
      <x:c r="L269" s="2" t="n">
        <x:v>158</x:v>
      </x:c>
    </x:row>
    <x:row r="270" ht="25" customHeight="1">
      <x:c r="A270" s="2" t="n">
        <x:v>230</x:v>
      </x:c>
      <x:c r="B270" s="2" t="str">
        <x:v>domestic_project</x:v>
      </x:c>
      <x:c r="C270" s="2" t="str">
        <x:v>산업</x:v>
      </x:c>
      <x:c r="D270" s="2" t="str">
        <x:v>9월 추가 후보</x:v>
      </x:c>
      <x:c r="E270" s="2" t="str">
        <x:v>891 | 3148213486 | 광주 두암 주공 2단지 아파트 연료전환을 통한 온실가스 감축사업 | 인증유효기간 갱신 | 2차 | -</x:v>
      </x:c>
      <x:c r="F270" s="2" t="str">
        <x:v>변경 필드 없음</x:v>
      </x:c>
      <x:c r="G270" s="2" t="str"/>
      <x:c r="H270" s="2" t="str"/>
      <x:c r="I270" s="2" t="str">
        <x:v>국내_사업신청관리_20260731_산업부문.xls</x:v>
      </x:c>
      <x:c r="J270" s="2"/>
      <x:c r="K270" s="2" t="str">
        <x:v>국내_사업신청관리_20260921_산업부.xls</x:v>
      </x:c>
      <x:c r="L270" s="2" t="n">
        <x:v>157</x:v>
      </x:c>
    </x:row>
    <x:row r="271" ht="25" customHeight="1">
      <x:c r="A271" s="2" t="n">
        <x:v>231</x:v>
      </x:c>
      <x:c r="B271" s="2" t="str">
        <x:v>domestic_project</x:v>
      </x:c>
      <x:c r="C271" s="2" t="str">
        <x:v>산업</x:v>
      </x:c>
      <x:c r="D271" s="2" t="str">
        <x:v>9월 미등장·삭제 아님</x:v>
      </x:c>
      <x:c r="E271" s="2" t="str">
        <x:v>891 | 5068187391 | 우광산업(주) 연료전환(B-C유 → LPG)을 통한 온실가스 배출 감축사업 | 신규 | - | -</x:v>
      </x:c>
      <x:c r="F271" s="2" t="str">
        <x:v>변경 필드 없음</x:v>
      </x:c>
      <x:c r="G271" s="2" t="str"/>
      <x:c r="H271" s="2" t="str"/>
      <x:c r="I271" s="2" t="str">
        <x:v>국내_사업신청관리_20260731_산업부문.xls</x:v>
      </x:c>
      <x:c r="J271" s="2" t="n">
        <x:v>152</x:v>
      </x:c>
      <x:c r="K271" s="2" t="str">
        <x:v>국내_사업신청관리_20260921_산업부.xls</x:v>
      </x:c>
      <x:c r="L271" s="2"/>
    </x:row>
    <x:row r="272" ht="25" customHeight="1">
      <x:c r="A272" s="2" t="n">
        <x:v>232</x:v>
      </x:c>
      <x:c r="B272" s="2" t="str">
        <x:v>domestic_project</x:v>
      </x:c>
      <x:c r="C272" s="2" t="str">
        <x:v>산업</x:v>
      </x:c>
      <x:c r="D272" s="2" t="str">
        <x:v>9월 추가 후보</x:v>
      </x:c>
      <x:c r="E272" s="2" t="str">
        <x:v>892 | 3148213486 | 광주 두암 주공 4단지 아파트 연료전환을 통한 온실가스 감축사업 | 인증유효기간 갱신 | 2차 | -</x:v>
      </x:c>
      <x:c r="F272" s="2" t="str">
        <x:v>변경 필드 없음</x:v>
      </x:c>
      <x:c r="G272" s="2" t="str"/>
      <x:c r="H272" s="2" t="str"/>
      <x:c r="I272" s="2" t="str">
        <x:v>국내_사업신청관리_20260731_산업부문.xls</x:v>
      </x:c>
      <x:c r="J272" s="2"/>
      <x:c r="K272" s="2" t="str">
        <x:v>국내_사업신청관리_20260921_산업부.xls</x:v>
      </x:c>
      <x:c r="L272" s="2" t="n">
        <x:v>156</x:v>
      </x:c>
    </x:row>
    <x:row r="273" ht="25" customHeight="1">
      <x:c r="A273" s="2" t="n">
        <x:v>233</x:v>
      </x:c>
      <x:c r="B273" s="2" t="str">
        <x:v>domestic_project</x:v>
      </x:c>
      <x:c r="C273" s="2" t="str">
        <x:v>산업</x:v>
      </x:c>
      <x:c r="D273" s="2" t="str">
        <x:v>9월 미등장·삭제 아님</x:v>
      </x:c>
      <x:c r="E273" s="2" t="str">
        <x:v>892 | 5068125416 | 우정건설(주) 연료전환(B-C유 → LPG)을 통한 온실가스 배출 감축사업 | 신규 | - | -</x:v>
      </x:c>
      <x:c r="F273" s="2" t="str">
        <x:v>변경 필드 없음</x:v>
      </x:c>
      <x:c r="G273" s="2" t="str"/>
      <x:c r="H273" s="2" t="str"/>
      <x:c r="I273" s="2" t="str">
        <x:v>국내_사업신청관리_20260731_산업부문.xls</x:v>
      </x:c>
      <x:c r="J273" s="2" t="n">
        <x:v>151</x:v>
      </x:c>
      <x:c r="K273" s="2" t="str">
        <x:v>국내_사업신청관리_20260921_산업부.xls</x:v>
      </x:c>
      <x:c r="L273" s="2"/>
    </x:row>
    <x:row r="274" ht="25" customHeight="1">
      <x:c r="A274" s="2" t="n">
        <x:v>234</x:v>
      </x:c>
      <x:c r="B274" s="2" t="str">
        <x:v>domestic_project</x:v>
      </x:c>
      <x:c r="C274" s="2" t="str">
        <x:v>산업</x:v>
      </x:c>
      <x:c r="D274" s="2" t="str">
        <x:v>9월 추가 후보</x:v>
      </x:c>
      <x:c r="E274" s="2" t="str">
        <x:v>893 | 3148213486 | 광주 쌍촌 주공 아파트 연료전환을 통한 온실가스 감축사업 | 인증유효기간 갱신 | 2차 | -</x:v>
      </x:c>
      <x:c r="F274" s="2" t="str">
        <x:v>변경 필드 없음</x:v>
      </x:c>
      <x:c r="G274" s="2" t="str"/>
      <x:c r="H274" s="2" t="str"/>
      <x:c r="I274" s="2" t="str">
        <x:v>국내_사업신청관리_20260731_산업부문.xls</x:v>
      </x:c>
      <x:c r="J274" s="2"/>
      <x:c r="K274" s="2" t="str">
        <x:v>국내_사업신청관리_20260921_산업부.xls</x:v>
      </x:c>
      <x:c r="L274" s="2" t="n">
        <x:v>155</x:v>
      </x:c>
    </x:row>
    <x:row r="275" ht="25" customHeight="1">
      <x:c r="A275" s="2" t="n">
        <x:v>235</x:v>
      </x:c>
      <x:c r="B275" s="2" t="str">
        <x:v>domestic_project</x:v>
      </x:c>
      <x:c r="C275" s="2" t="str">
        <x:v>산업</x:v>
      </x:c>
      <x:c r="D275" s="2" t="str">
        <x:v>9월 미등장·삭제 아님</x:v>
      </x:c>
      <x:c r="E275" s="2" t="str">
        <x:v>893 | 5048138778 | ㈜고려텍스 외 5개사의 고효율 공기압축기 교체를 통한 온실가스 감축사업 | 신규 | - | -</x:v>
      </x:c>
      <x:c r="F275" s="2" t="str">
        <x:v>변경 필드 없음</x:v>
      </x:c>
      <x:c r="G275" s="2" t="str"/>
      <x:c r="H275" s="2" t="str"/>
      <x:c r="I275" s="2" t="str">
        <x:v>국내_사업신청관리_20260731_산업부문.xls</x:v>
      </x:c>
      <x:c r="J275" s="2" t="n">
        <x:v>150</x:v>
      </x:c>
      <x:c r="K275" s="2" t="str">
        <x:v>국내_사업신청관리_20260921_산업부.xls</x:v>
      </x:c>
      <x:c r="L275" s="2"/>
    </x:row>
    <x:row r="276" ht="25" customHeight="1">
      <x:c r="A276" s="2" t="n">
        <x:v>236</x:v>
      </x:c>
      <x:c r="B276" s="2" t="str">
        <x:v>domestic_project</x:v>
      </x:c>
      <x:c r="C276" s="2" t="str">
        <x:v>산업</x:v>
      </x:c>
      <x:c r="D276" s="2" t="str">
        <x:v>9월 미등장·삭제 아님</x:v>
      </x:c>
      <x:c r="E276" s="2" t="str">
        <x:v>894 | 3148213486 | 광주 쌍촌 주공 아파트 연료전환을 통한 온실가스 감축사업 | 인증유효기간 갱신 | 2차 | -</x:v>
      </x:c>
      <x:c r="F276" s="2" t="str">
        <x:v>변경 필드 없음</x:v>
      </x:c>
      <x:c r="G276" s="2" t="str"/>
      <x:c r="H276" s="2" t="str"/>
      <x:c r="I276" s="2" t="str">
        <x:v>국내_사업신청관리_20260731_산업부문.xls</x:v>
      </x:c>
      <x:c r="J276" s="2" t="n">
        <x:v>149</x:v>
      </x:c>
      <x:c r="K276" s="2" t="str">
        <x:v>국내_사업신청관리_20260921_산업부.xls</x:v>
      </x:c>
      <x:c r="L276" s="2"/>
    </x:row>
    <x:row r="277" ht="25" customHeight="1">
      <x:c r="A277" s="2" t="n">
        <x:v>237</x:v>
      </x:c>
      <x:c r="B277" s="2" t="str">
        <x:v>domestic_project</x:v>
      </x:c>
      <x:c r="C277" s="2" t="str">
        <x:v>산업</x:v>
      </x:c>
      <x:c r="D277" s="2" t="str">
        <x:v>9월 추가 후보</x:v>
      </x:c>
      <x:c r="E277" s="2" t="str">
        <x:v>894 | 3148213486 | 광주 하남 주공 1차 아파트 연료전환을 통한 온실가스 감축사업 | 인증유효기간 갱신 | 2차 | -</x:v>
      </x:c>
      <x:c r="F277" s="2" t="str">
        <x:v>변경 필드 없음</x:v>
      </x:c>
      <x:c r="G277" s="2" t="str"/>
      <x:c r="H277" s="2" t="str"/>
      <x:c r="I277" s="2" t="str">
        <x:v>국내_사업신청관리_20260731_산업부문.xls</x:v>
      </x:c>
      <x:c r="J277" s="2"/>
      <x:c r="K277" s="2" t="str">
        <x:v>국내_사업신청관리_20260921_산업부.xls</x:v>
      </x:c>
      <x:c r="L277" s="2" t="n">
        <x:v>154</x:v>
      </x:c>
    </x:row>
    <x:row r="278" ht="25" customHeight="1">
      <x:c r="A278" s="2" t="n">
        <x:v>238</x:v>
      </x:c>
      <x:c r="B278" s="2" t="str">
        <x:v>domestic_project</x:v>
      </x:c>
      <x:c r="C278" s="2" t="str">
        <x:v>산업</x:v>
      </x:c>
      <x:c r="D278" s="2" t="str">
        <x:v>9월 추가 후보</x:v>
      </x:c>
      <x:c r="E278" s="2" t="str">
        <x:v>895 | 1378158818 | 세화제관(주)_고효율 공기압축기 교체를 통한 온실가스 감축사업 | 신규 | - | -</x:v>
      </x:c>
      <x:c r="F278" s="2" t="str">
        <x:v>변경 필드 없음</x:v>
      </x:c>
      <x:c r="G278" s="2" t="str"/>
      <x:c r="H278" s="2" t="str"/>
      <x:c r="I278" s="2" t="str">
        <x:v>국내_사업신청관리_20260731_산업부문.xls</x:v>
      </x:c>
      <x:c r="J278" s="2"/>
      <x:c r="K278" s="2" t="str">
        <x:v>국내_사업신청관리_20260921_산업부.xls</x:v>
      </x:c>
      <x:c r="L278" s="2" t="n">
        <x:v>153</x:v>
      </x:c>
    </x:row>
    <x:row r="279" ht="25" customHeight="1">
      <x:c r="A279" s="2" t="n">
        <x:v>239</x:v>
      </x:c>
      <x:c r="B279" s="2" t="str">
        <x:v>domestic_project</x:v>
      </x:c>
      <x:c r="C279" s="2" t="str">
        <x:v>산업</x:v>
      </x:c>
      <x:c r="D279" s="2" t="str">
        <x:v>9월 미등장·삭제 아님</x:v>
      </x:c>
      <x:c r="E279" s="2" t="str">
        <x:v>895 | 3148213486 | 광주 오치 주공 1단지 아파트 연료전환을 통한 온실가스 감축사업 | 인증유효기간 갱신 | 2차 | -</x:v>
      </x:c>
      <x:c r="F279" s="2" t="str">
        <x:v>변경 필드 없음</x:v>
      </x:c>
      <x:c r="G279" s="2" t="str"/>
      <x:c r="H279" s="2" t="str"/>
      <x:c r="I279" s="2" t="str">
        <x:v>국내_사업신청관리_20260731_산업부문.xls</x:v>
      </x:c>
      <x:c r="J279" s="2" t="n">
        <x:v>148</x:v>
      </x:c>
      <x:c r="K279" s="2" t="str">
        <x:v>국내_사업신청관리_20260921_산업부.xls</x:v>
      </x:c>
      <x:c r="L279" s="2"/>
    </x:row>
    <x:row r="280" ht="25" customHeight="1">
      <x:c r="A280" s="2" t="n">
        <x:v>240</x:v>
      </x:c>
      <x:c r="B280" s="2" t="str">
        <x:v>domestic_project</x:v>
      </x:c>
      <x:c r="C280" s="2" t="str">
        <x:v>산업</x:v>
      </x:c>
      <x:c r="D280" s="2" t="str">
        <x:v>9월 미등장·삭제 아님</x:v>
      </x:c>
      <x:c r="E280" s="2" t="str">
        <x:v>896 | 3148213486 | 광주 두암 주공 2단지 아파트 연료전환을 통한 온실가스 감축사업 | 인증유효기간 갱신 | 2차 | -</x:v>
      </x:c>
      <x:c r="F280" s="2" t="str">
        <x:v>변경 필드 없음</x:v>
      </x:c>
      <x:c r="G280" s="2" t="str"/>
      <x:c r="H280" s="2" t="str"/>
      <x:c r="I280" s="2" t="str">
        <x:v>국내_사업신청관리_20260731_산업부문.xls</x:v>
      </x:c>
      <x:c r="J280" s="2" t="n">
        <x:v>147</x:v>
      </x:c>
      <x:c r="K280" s="2" t="str">
        <x:v>국내_사업신청관리_20260921_산업부.xls</x:v>
      </x:c>
      <x:c r="L280" s="2"/>
    </x:row>
    <x:row r="281" ht="25" customHeight="1">
      <x:c r="A281" s="2" t="n">
        <x:v>241</x:v>
      </x:c>
      <x:c r="B281" s="2" t="str">
        <x:v>domestic_project</x:v>
      </x:c>
      <x:c r="C281" s="2" t="str">
        <x:v>산업</x:v>
      </x:c>
      <x:c r="D281" s="2" t="str">
        <x:v>9월 추가 후보</x:v>
      </x:c>
      <x:c r="E281" s="2" t="str">
        <x:v>896 | 6068140018 | (주)대립 외 4개사의 인버터 공기압축기 교체를 통한 온실가스 감축사업 | 신규 | - | -</x:v>
      </x:c>
      <x:c r="F281" s="2" t="str">
        <x:v>변경 필드 없음</x:v>
      </x:c>
      <x:c r="G281" s="2" t="str"/>
      <x:c r="H281" s="2" t="str"/>
      <x:c r="I281" s="2" t="str">
        <x:v>국내_사업신청관리_20260731_산업부문.xls</x:v>
      </x:c>
      <x:c r="J281" s="2"/>
      <x:c r="K281" s="2" t="str">
        <x:v>국내_사업신청관리_20260921_산업부.xls</x:v>
      </x:c>
      <x:c r="L281" s="2" t="n">
        <x:v>152</x:v>
      </x:c>
    </x:row>
    <x:row r="282" ht="25" customHeight="1">
      <x:c r="A282" s="2" t="n">
        <x:v>242</x:v>
      </x:c>
      <x:c r="B282" s="2" t="str">
        <x:v>domestic_project</x:v>
      </x:c>
      <x:c r="C282" s="2" t="str">
        <x:v>산업</x:v>
      </x:c>
      <x:c r="D282" s="2" t="str">
        <x:v>9월 미등장·삭제 아님</x:v>
      </x:c>
      <x:c r="E282" s="2" t="str">
        <x:v>897 | 3148213486 | 광주 두암 주공 4단지 아파트 연료전환을 통한 온실가스 감축사업 | 인증유효기간 갱신 | 2차 | -</x:v>
      </x:c>
      <x:c r="F282" s="2" t="str">
        <x:v>변경 필드 없음</x:v>
      </x:c>
      <x:c r="G282" s="2" t="str"/>
      <x:c r="H282" s="2" t="str"/>
      <x:c r="I282" s="2" t="str">
        <x:v>국내_사업신청관리_20260731_산업부문.xls</x:v>
      </x:c>
      <x:c r="J282" s="2" t="n">
        <x:v>146</x:v>
      </x:c>
      <x:c r="K282" s="2" t="str">
        <x:v>국내_사업신청관리_20260921_산업부.xls</x:v>
      </x:c>
      <x:c r="L282" s="2"/>
    </x:row>
    <x:row r="283" ht="25" customHeight="1">
      <x:c r="A283" s="2" t="n">
        <x:v>243</x:v>
      </x:c>
      <x:c r="B283" s="2" t="str">
        <x:v>domestic_project</x:v>
      </x:c>
      <x:c r="C283" s="2" t="str">
        <x:v>산업</x:v>
      </x:c>
      <x:c r="D283" s="2" t="str">
        <x:v>9월 추가 후보</x:v>
      </x:c>
      <x:c r="E283" s="2" t="str">
        <x:v>897 | 5138108040 | 대평산업개발의 정제유 및 B-C유에서 도시가스(LNG)로의 연료전환을 통한 온실가스 배출 감축사업 | 인증유효기간 갱신 | 1차 | -</x:v>
      </x:c>
      <x:c r="F283" s="2" t="str">
        <x:v>변경 필드 없음</x:v>
      </x:c>
      <x:c r="G283" s="2" t="str"/>
      <x:c r="H283" s="2" t="str"/>
      <x:c r="I283" s="2" t="str">
        <x:v>국내_사업신청관리_20260731_산업부문.xls</x:v>
      </x:c>
      <x:c r="J283" s="2"/>
      <x:c r="K283" s="2" t="str">
        <x:v>국내_사업신청관리_20260921_산업부.xls</x:v>
      </x:c>
      <x:c r="L283" s="2" t="n">
        <x:v>151</x:v>
      </x:c>
    </x:row>
    <x:row r="284" ht="25" customHeight="1">
      <x:c r="A284" s="2" t="n">
        <x:v>244</x:v>
      </x:c>
      <x:c r="B284" s="2" t="str">
        <x:v>domestic_project</x:v>
      </x:c>
      <x:c r="C284" s="2" t="str">
        <x:v>산업</x:v>
      </x:c>
      <x:c r="D284" s="2" t="str">
        <x:v>9월 추가 후보</x:v>
      </x:c>
      <x:c r="E284" s="2" t="str">
        <x:v>898 | 3108108738 | 청화요업(주) 소성로 연료전환(B-C유에서 LPG)을 통한 온실가스 배출 감축사업 | 신규 | - | -</x:v>
      </x:c>
      <x:c r="F284" s="2" t="str">
        <x:v>변경 필드 없음</x:v>
      </x:c>
      <x:c r="G284" s="2" t="str"/>
      <x:c r="H284" s="2" t="str"/>
      <x:c r="I284" s="2" t="str">
        <x:v>국내_사업신청관리_20260731_산업부문.xls</x:v>
      </x:c>
      <x:c r="J284" s="2"/>
      <x:c r="K284" s="2" t="str">
        <x:v>국내_사업신청관리_20260921_산업부.xls</x:v>
      </x:c>
      <x:c r="L284" s="2" t="n">
        <x:v>150</x:v>
      </x:c>
    </x:row>
    <x:row r="285" ht="25" customHeight="1">
      <x:c r="A285" s="2" t="n">
        <x:v>245</x:v>
      </x:c>
      <x:c r="B285" s="2" t="str">
        <x:v>domestic_project</x:v>
      </x:c>
      <x:c r="C285" s="2" t="str">
        <x:v>산업</x:v>
      </x:c>
      <x:c r="D285" s="2" t="str">
        <x:v>9월 미등장·삭제 아님</x:v>
      </x:c>
      <x:c r="E285" s="2" t="str">
        <x:v>898 | 3148213486 | 광주 하남 주공 1차 아파트 연료전환을 통한 온실가스 감축사업 | 인증유효기간 갱신 | 2차 | -</x:v>
      </x:c>
      <x:c r="F285" s="2" t="str">
        <x:v>변경 필드 없음</x:v>
      </x:c>
      <x:c r="G285" s="2" t="str"/>
      <x:c r="H285" s="2" t="str"/>
      <x:c r="I285" s="2" t="str">
        <x:v>국내_사업신청관리_20260731_산업부문.xls</x:v>
      </x:c>
      <x:c r="J285" s="2" t="n">
        <x:v>145</x:v>
      </x:c>
      <x:c r="K285" s="2" t="str">
        <x:v>국내_사업신청관리_20260921_산업부.xls</x:v>
      </x:c>
      <x:c r="L285" s="2"/>
    </x:row>
    <x:row r="286" ht="25" customHeight="1">
      <x:c r="A286" s="2" t="n">
        <x:v>246</x:v>
      </x:c>
      <x:c r="B286" s="2" t="str">
        <x:v>domestic_project</x:v>
      </x:c>
      <x:c r="C286" s="2" t="str">
        <x:v>산업</x:v>
      </x:c>
      <x:c r="D286" s="2" t="str">
        <x:v>9월 미등장·삭제 아님</x:v>
      </x:c>
      <x:c r="E286" s="2" t="str">
        <x:v>899 | 1378158818 | 세화제관(주)_고효율 공기압축기 교체를 통한 온실가스 감축사업 | 신규 | - | -</x:v>
      </x:c>
      <x:c r="F286" s="2" t="str">
        <x:v>변경 필드 없음</x:v>
      </x:c>
      <x:c r="G286" s="2" t="str"/>
      <x:c r="H286" s="2" t="str"/>
      <x:c r="I286" s="2" t="str">
        <x:v>국내_사업신청관리_20260731_산업부문.xls</x:v>
      </x:c>
      <x:c r="J286" s="2" t="n">
        <x:v>144</x:v>
      </x:c>
      <x:c r="K286" s="2" t="str">
        <x:v>국내_사업신청관리_20260921_산업부.xls</x:v>
      </x:c>
      <x:c r="L286" s="2"/>
    </x:row>
    <x:row r="287" ht="25" customHeight="1">
      <x:c r="A287" s="2" t="n">
        <x:v>247</x:v>
      </x:c>
      <x:c r="B287" s="2" t="str">
        <x:v>domestic_project</x:v>
      </x:c>
      <x:c r="C287" s="2" t="str">
        <x:v>산업</x:v>
      </x:c>
      <x:c r="D287" s="2" t="str">
        <x:v>9월 추가 후보</x:v>
      </x:c>
      <x:c r="E287" s="2" t="str">
        <x:v>899 | 6068140018 | 수성기체산업(주) 외 3개사의 고효율 공기압축기 교체를 통한 온실가스 감축사업 | 신규 | - | -</x:v>
      </x:c>
      <x:c r="F287" s="2" t="str">
        <x:v>변경 필드 없음</x:v>
      </x:c>
      <x:c r="G287" s="2" t="str"/>
      <x:c r="H287" s="2" t="str"/>
      <x:c r="I287" s="2" t="str">
        <x:v>국내_사업신청관리_20260731_산업부문.xls</x:v>
      </x:c>
      <x:c r="J287" s="2"/>
      <x:c r="K287" s="2" t="str">
        <x:v>국내_사업신청관리_20260921_산업부.xls</x:v>
      </x:c>
      <x:c r="L287" s="2" t="n">
        <x:v>149</x:v>
      </x:c>
    </x:row>
    <x:row r="288" ht="25" customHeight="1">
      <x:c r="A288" s="2" t="n">
        <x:v>248</x:v>
      </x:c>
      <x:c r="B288" s="2" t="str">
        <x:v>domestic_project</x:v>
      </x:c>
      <x:c r="C288" s="2" t="str">
        <x:v>산업</x:v>
      </x:c>
      <x:c r="D288" s="2" t="str">
        <x:v>값 변경</x:v>
      </x:c>
      <x:c r="E288" s="2" t="str">
        <x:v>9 | 3148173570 | 한국의 LCD 제조 과정의 SF6 방출 감축을 위한 사용점 감축설비 | 신규 | - | -</x:v>
      </x:c>
      <x:c r="F288" s="2" t="str">
        <x:v>사업분야</x:v>
      </x:c>
      <x:c r="G288" s="2" t="str">
        <x:v>할로겐화탄소, 육불화항 생산및소비로부터의 탈루배출</x:v>
      </x:c>
      <x:c r="H288" s="2" t="str">
        <x:v>할로겐화탄소, 육불화황 생산및소비로부터의 탈루배출</x:v>
      </x:c>
      <x:c r="I288" s="2" t="str">
        <x:v>국내_사업신청관리_20260731_산업부문.xls</x:v>
      </x:c>
      <x:c r="J288" s="2" t="n">
        <x:v>1034</x:v>
      </x:c>
      <x:c r="K288" s="2" t="str">
        <x:v>국내_사업신청관리_20260921_산업부.xls</x:v>
      </x:c>
      <x:c r="L288" s="2" t="n">
        <x:v>1039</x:v>
      </x:c>
    </x:row>
    <x:row r="289" ht="25" customHeight="1">
      <x:c r="A289" s="2" t="n">
        <x:v>249</x:v>
      </x:c>
      <x:c r="B289" s="2" t="str">
        <x:v>domestic_project</x:v>
      </x:c>
      <x:c r="C289" s="2" t="str">
        <x:v>산업</x:v>
      </x:c>
      <x:c r="D289" s="2" t="str">
        <x:v>9월 추가 후보</x:v>
      </x:c>
      <x:c r="E289" s="2" t="str">
        <x:v>900 | 1208619151 | (주)동산글로벌의 고효율 공기압축기 교체를 통한 온실가스 배출 감축사업 | 신규 | - | -</x:v>
      </x:c>
      <x:c r="F289" s="2" t="str">
        <x:v>변경 필드 없음</x:v>
      </x:c>
      <x:c r="G289" s="2" t="str"/>
      <x:c r="H289" s="2" t="str"/>
      <x:c r="I289" s="2" t="str">
        <x:v>국내_사업신청관리_20260731_산업부문.xls</x:v>
      </x:c>
      <x:c r="J289" s="2"/>
      <x:c r="K289" s="2" t="str">
        <x:v>국내_사업신청관리_20260921_산업부.xls</x:v>
      </x:c>
      <x:c r="L289" s="2" t="n">
        <x:v>148</x:v>
      </x:c>
    </x:row>
    <x:row r="290" ht="25" customHeight="1">
      <x:c r="A290" s="2" t="n">
        <x:v>250</x:v>
      </x:c>
      <x:c r="B290" s="2" t="str">
        <x:v>domestic_project</x:v>
      </x:c>
      <x:c r="C290" s="2" t="str">
        <x:v>산업</x:v>
      </x:c>
      <x:c r="D290" s="2" t="str">
        <x:v>9월 미등장·삭제 아님</x:v>
      </x:c>
      <x:c r="E290" s="2" t="str">
        <x:v>900 | 6068140018 | (주)대립 외 4개사의 인버터 공기압축기 교체를 통한 온실가스 감축사업 | 신규 | - | -</x:v>
      </x:c>
      <x:c r="F290" s="2" t="str">
        <x:v>변경 필드 없음</x:v>
      </x:c>
      <x:c r="G290" s="2" t="str"/>
      <x:c r="H290" s="2" t="str"/>
      <x:c r="I290" s="2" t="str">
        <x:v>국내_사업신청관리_20260731_산업부문.xls</x:v>
      </x:c>
      <x:c r="J290" s="2" t="n">
        <x:v>143</x:v>
      </x:c>
      <x:c r="K290" s="2" t="str">
        <x:v>국내_사업신청관리_20260921_산업부.xls</x:v>
      </x:c>
      <x:c r="L290" s="2"/>
    </x:row>
    <x:row r="291" ht="25" customHeight="1">
      <x:c r="A291" s="2" t="n">
        <x:v>251</x:v>
      </x:c>
      <x:c r="B291" s="2" t="str">
        <x:v>domestic_project</x:v>
      </x:c>
      <x:c r="C291" s="2" t="str">
        <x:v>산업</x:v>
      </x:c>
      <x:c r="D291" s="2" t="str">
        <x:v>9월 미등장·삭제 아님</x:v>
      </x:c>
      <x:c r="E291" s="2" t="str">
        <x:v>901 | 2168108703 | 방태산업(주) 연료 전환(B-C유에서 LPG)을 통한 온실가스 배출 감축사업 | 신규 | - | -</x:v>
      </x:c>
      <x:c r="F291" s="2" t="str">
        <x:v>변경 필드 없음</x:v>
      </x:c>
      <x:c r="G291" s="2" t="str"/>
      <x:c r="H291" s="2" t="str"/>
      <x:c r="I291" s="2" t="str">
        <x:v>국내_사업신청관리_20260731_산업부문.xls</x:v>
      </x:c>
      <x:c r="J291" s="2" t="n">
        <x:v>142</x:v>
      </x:c>
      <x:c r="K291" s="2" t="str">
        <x:v>국내_사업신청관리_20260921_산업부.xls</x:v>
      </x:c>
      <x:c r="L291" s="2"/>
    </x:row>
    <x:row r="292" ht="25" customHeight="1">
      <x:c r="A292" s="2" t="n">
        <x:v>252</x:v>
      </x:c>
      <x:c r="B292" s="2" t="str">
        <x:v>domestic_project</x:v>
      </x:c>
      <x:c r="C292" s="2" t="str">
        <x:v>산업</x:v>
      </x:c>
      <x:c r="D292" s="2" t="str">
        <x:v>9월 추가 후보</x:v>
      </x:c>
      <x:c r="E292" s="2" t="str">
        <x:v>901 | 6038119267 | (주)아즈텍더블유비이 인버터 공기압축기 교체를 통한 온실가스 감축사업 | 신규 | - | -</x:v>
      </x:c>
      <x:c r="F292" s="2" t="str">
        <x:v>변경 필드 없음</x:v>
      </x:c>
      <x:c r="G292" s="2" t="str"/>
      <x:c r="H292" s="2" t="str"/>
      <x:c r="I292" s="2" t="str">
        <x:v>국내_사업신청관리_20260731_산업부문.xls</x:v>
      </x:c>
      <x:c r="J292" s="2"/>
      <x:c r="K292" s="2" t="str">
        <x:v>국내_사업신청관리_20260921_산업부.xls</x:v>
      </x:c>
      <x:c r="L292" s="2" t="n">
        <x:v>147</x:v>
      </x:c>
    </x:row>
    <x:row r="293" ht="25" customHeight="1">
      <x:c r="A293" s="2" t="n">
        <x:v>253</x:v>
      </x:c>
      <x:c r="B293" s="2" t="str">
        <x:v>domestic_project</x:v>
      </x:c>
      <x:c r="C293" s="2" t="str">
        <x:v>산업</x:v>
      </x:c>
      <x:c r="D293" s="2" t="str">
        <x:v>9월 미등장·삭제 아님</x:v>
      </x:c>
      <x:c r="E293" s="2" t="str">
        <x:v>902 | 5138108040 | 대평산업개발의 정제유 및 B-C유에서 도시가스(LNG)로의 연료전환을 통한 온실가스 배출 감축사업 | 인증유효기간 갱신 | 1차 | -</x:v>
      </x:c>
      <x:c r="F293" s="2" t="str">
        <x:v>변경 필드 없음</x:v>
      </x:c>
      <x:c r="G293" s="2" t="str"/>
      <x:c r="H293" s="2" t="str"/>
      <x:c r="I293" s="2" t="str">
        <x:v>국내_사업신청관리_20260731_산업부문.xls</x:v>
      </x:c>
      <x:c r="J293" s="2" t="n">
        <x:v>141</x:v>
      </x:c>
      <x:c r="K293" s="2" t="str">
        <x:v>국내_사업신청관리_20260921_산업부.xls</x:v>
      </x:c>
      <x:c r="L293" s="2"/>
    </x:row>
    <x:row r="294" ht="25" customHeight="1">
      <x:c r="A294" s="2" t="n">
        <x:v>254</x:v>
      </x:c>
      <x:c r="B294" s="2" t="str">
        <x:v>domestic_project</x:v>
      </x:c>
      <x:c r="C294" s="2" t="str">
        <x:v>산업</x:v>
      </x:c>
      <x:c r="D294" s="2" t="str">
        <x:v>9월 추가 후보</x:v>
      </x:c>
      <x:c r="E294" s="2" t="str">
        <x:v>902 | 6218126198 | 부곡스텐레스(주) 인버터 공기압축기 교체를 통한 온실가스 감축사업 | 신규 | - | -</x:v>
      </x:c>
      <x:c r="F294" s="2" t="str">
        <x:v>변경 필드 없음</x:v>
      </x:c>
      <x:c r="G294" s="2" t="str"/>
      <x:c r="H294" s="2" t="str"/>
      <x:c r="I294" s="2" t="str">
        <x:v>국내_사업신청관리_20260731_산업부문.xls</x:v>
      </x:c>
      <x:c r="J294" s="2"/>
      <x:c r="K294" s="2" t="str">
        <x:v>국내_사업신청관리_20260921_산업부.xls</x:v>
      </x:c>
      <x:c r="L294" s="2" t="n">
        <x:v>146</x:v>
      </x:c>
    </x:row>
    <x:row r="295" ht="25" customHeight="1">
      <x:c r="A295" s="2" t="n">
        <x:v>255</x:v>
      </x:c>
      <x:c r="B295" s="2" t="str">
        <x:v>domestic_project</x:v>
      </x:c>
      <x:c r="C295" s="2" t="str">
        <x:v>산업</x:v>
      </x:c>
      <x:c r="D295" s="2" t="str">
        <x:v>9월 미등장·삭제 아님</x:v>
      </x:c>
      <x:c r="E295" s="2" t="str">
        <x:v>903 | 3108108738 | 청화요업(주) 소성로 연료전환(B-C유에서 LPG)을 통한 온실가스 배출 감축사업 | 신규 | - | -</x:v>
      </x:c>
      <x:c r="F295" s="2" t="str">
        <x:v>변경 필드 없음</x:v>
      </x:c>
      <x:c r="G295" s="2" t="str"/>
      <x:c r="H295" s="2" t="str"/>
      <x:c r="I295" s="2" t="str">
        <x:v>국내_사업신청관리_20260731_산업부문.xls</x:v>
      </x:c>
      <x:c r="J295" s="2" t="n">
        <x:v>140</x:v>
      </x:c>
      <x:c r="K295" s="2" t="str">
        <x:v>국내_사업신청관리_20260921_산업부.xls</x:v>
      </x:c>
      <x:c r="L295" s="2"/>
    </x:row>
    <x:row r="296" ht="25" customHeight="1">
      <x:c r="A296" s="2" t="n">
        <x:v>256</x:v>
      </x:c>
      <x:c r="B296" s="2" t="str">
        <x:v>domestic_project</x:v>
      </x:c>
      <x:c r="C296" s="2" t="str">
        <x:v>산업</x:v>
      </x:c>
      <x:c r="D296" s="2" t="str">
        <x:v>9월 추가 후보</x:v>
      </x:c>
      <x:c r="E296" s="2" t="str">
        <x:v>903 | 6038140173 | 주식회사 하트만 인버터 공기압축기 교체를 통한 온실가스 감축사업 | 신규 | - | -</x:v>
      </x:c>
      <x:c r="F296" s="2" t="str">
        <x:v>변경 필드 없음</x:v>
      </x:c>
      <x:c r="G296" s="2" t="str"/>
      <x:c r="H296" s="2" t="str"/>
      <x:c r="I296" s="2" t="str">
        <x:v>국내_사업신청관리_20260731_산업부문.xls</x:v>
      </x:c>
      <x:c r="J296" s="2"/>
      <x:c r="K296" s="2" t="str">
        <x:v>국내_사업신청관리_20260921_산업부.xls</x:v>
      </x:c>
      <x:c r="L296" s="2" t="n">
        <x:v>145</x:v>
      </x:c>
    </x:row>
    <x:row r="297" ht="25" customHeight="1">
      <x:c r="A297" s="2" t="n">
        <x:v>257</x:v>
      </x:c>
      <x:c r="B297" s="2" t="str">
        <x:v>domestic_project</x:v>
      </x:c>
      <x:c r="C297" s="2" t="str">
        <x:v>산업</x:v>
      </x:c>
      <x:c r="D297" s="2" t="str">
        <x:v>9월 추가 후보</x:v>
      </x:c>
      <x:c r="E297" s="2" t="str">
        <x:v>904 | 4048141255 | (주)태곡유지 스팀보일러 연료전환(부생유(C-9)→LNG)을 통한 온실가스 배출 감축사업 | 신규 | - | -</x:v>
      </x:c>
      <x:c r="F297" s="2" t="str">
        <x:v>변경 필드 없음</x:v>
      </x:c>
      <x:c r="G297" s="2" t="str"/>
      <x:c r="H297" s="2" t="str"/>
      <x:c r="I297" s="2" t="str">
        <x:v>국내_사업신청관리_20260731_산업부문.xls</x:v>
      </x:c>
      <x:c r="J297" s="2"/>
      <x:c r="K297" s="2" t="str">
        <x:v>국내_사업신청관리_20260921_산업부.xls</x:v>
      </x:c>
      <x:c r="L297" s="2" t="n">
        <x:v>144</x:v>
      </x:c>
    </x:row>
    <x:row r="298" ht="25" customHeight="1">
      <x:c r="A298" s="2" t="n">
        <x:v>258</x:v>
      </x:c>
      <x:c r="B298" s="2" t="str">
        <x:v>domestic_project</x:v>
      </x:c>
      <x:c r="C298" s="2" t="str">
        <x:v>산업</x:v>
      </x:c>
      <x:c r="D298" s="2" t="str">
        <x:v>9월 미등장·삭제 아님</x:v>
      </x:c>
      <x:c r="E298" s="2" t="str">
        <x:v>904 | 6068140018 | 수성기체산업(주) 외 3개사의 고효율 공기압축기 교체를 통한 온실가스 감축사업 | 신규 | - | -</x:v>
      </x:c>
      <x:c r="F298" s="2" t="str">
        <x:v>변경 필드 없음</x:v>
      </x:c>
      <x:c r="G298" s="2" t="str"/>
      <x:c r="H298" s="2" t="str"/>
      <x:c r="I298" s="2" t="str">
        <x:v>국내_사업신청관리_20260731_산업부문.xls</x:v>
      </x:c>
      <x:c r="J298" s="2" t="n">
        <x:v>139</x:v>
      </x:c>
      <x:c r="K298" s="2" t="str">
        <x:v>국내_사업신청관리_20260921_산업부.xls</x:v>
      </x:c>
      <x:c r="L298" s="2"/>
    </x:row>
    <x:row r="299" ht="25" customHeight="1">
      <x:c r="A299" s="2" t="n">
        <x:v>259</x:v>
      </x:c>
      <x:c r="B299" s="2" t="str">
        <x:v>domestic_project</x:v>
      </x:c>
      <x:c r="C299" s="2" t="str">
        <x:v>산업</x:v>
      </x:c>
      <x:c r="D299" s="2" t="str">
        <x:v>9월 추가 후보</x:v>
      </x:c>
      <x:c r="E299" s="2" t="str">
        <x:v>905 | 1048137225 | 화성시 LED 도로조명 교체를 통한 온실가스 감축사업 | 신규 | - | -</x:v>
      </x:c>
      <x:c r="F299" s="2" t="str">
        <x:v>변경 필드 없음</x:v>
      </x:c>
      <x:c r="G299" s="2" t="str"/>
      <x:c r="H299" s="2" t="str"/>
      <x:c r="I299" s="2" t="str">
        <x:v>국내_사업신청관리_20260731_산업부문.xls</x:v>
      </x:c>
      <x:c r="J299" s="2"/>
      <x:c r="K299" s="2" t="str">
        <x:v>국내_사업신청관리_20260921_산업부.xls</x:v>
      </x:c>
      <x:c r="L299" s="2" t="n">
        <x:v>143</x:v>
      </x:c>
    </x:row>
    <x:row r="300" ht="25" customHeight="1">
      <x:c r="A300" s="2" t="n">
        <x:v>260</x:v>
      </x:c>
      <x:c r="B300" s="2" t="str">
        <x:v>domestic_project</x:v>
      </x:c>
      <x:c r="C300" s="2" t="str">
        <x:v>산업</x:v>
      </x:c>
      <x:c r="D300" s="2" t="str">
        <x:v>9월 미등장·삭제 아님</x:v>
      </x:c>
      <x:c r="E300" s="2" t="str">
        <x:v>905 | 1208619151 | (주)동산글로벌의 고효율 공기압축기 교체를 통한 온실가스 배출 감축사업 | 신규 | - | -</x:v>
      </x:c>
      <x:c r="F300" s="2" t="str">
        <x:v>변경 필드 없음</x:v>
      </x:c>
      <x:c r="G300" s="2" t="str"/>
      <x:c r="H300" s="2" t="str"/>
      <x:c r="I300" s="2" t="str">
        <x:v>국내_사업신청관리_20260731_산업부문.xls</x:v>
      </x:c>
      <x:c r="J300" s="2" t="n">
        <x:v>138</x:v>
      </x:c>
      <x:c r="K300" s="2" t="str">
        <x:v>국내_사업신청관리_20260921_산업부.xls</x:v>
      </x:c>
      <x:c r="L300" s="2"/>
    </x:row>
    <x:row r="301" ht="25" customHeight="1">
      <x:c r="A301" s="2" t="n">
        <x:v>261</x:v>
      </x:c>
      <x:c r="B301" s="2" t="str">
        <x:v>domestic_project</x:v>
      </x:c>
      <x:c r="C301" s="2" t="str">
        <x:v>산업</x:v>
      </x:c>
      <x:c r="D301" s="2" t="str">
        <x:v>9월 추가 후보</x:v>
      </x:c>
      <x:c r="E301" s="2" t="str">
        <x:v>906 | 1048137225 | 순천시 LED 도로조명 교체를 통한 온실가스 감축사업 | 신규 | - | -</x:v>
      </x:c>
      <x:c r="F301" s="2" t="str">
        <x:v>변경 필드 없음</x:v>
      </x:c>
      <x:c r="G301" s="2" t="str"/>
      <x:c r="H301" s="2" t="str"/>
      <x:c r="I301" s="2" t="str">
        <x:v>국내_사업신청관리_20260731_산업부문.xls</x:v>
      </x:c>
      <x:c r="J301" s="2"/>
      <x:c r="K301" s="2" t="str">
        <x:v>국내_사업신청관리_20260921_산업부.xls</x:v>
      </x:c>
      <x:c r="L301" s="2" t="n">
        <x:v>142</x:v>
      </x:c>
    </x:row>
    <x:row r="302" ht="25" customHeight="1">
      <x:c r="A302" s="2" t="n">
        <x:v>262</x:v>
      </x:c>
      <x:c r="B302" s="2" t="str">
        <x:v>domestic_project</x:v>
      </x:c>
      <x:c r="C302" s="2" t="str">
        <x:v>산업</x:v>
      </x:c>
      <x:c r="D302" s="2" t="str">
        <x:v>9월 미등장·삭제 아님</x:v>
      </x:c>
      <x:c r="E302" s="2" t="str">
        <x:v>906 | 6038119267 | (주)아즈텍더블유비이 인버터 공기압축기 교체를 통한 온실가스 감축사업 | 신규 | - | -</x:v>
      </x:c>
      <x:c r="F302" s="2" t="str">
        <x:v>변경 필드 없음</x:v>
      </x:c>
      <x:c r="G302" s="2" t="str"/>
      <x:c r="H302" s="2" t="str"/>
      <x:c r="I302" s="2" t="str">
        <x:v>국내_사업신청관리_20260731_산업부문.xls</x:v>
      </x:c>
      <x:c r="J302" s="2" t="n">
        <x:v>137</x:v>
      </x:c>
      <x:c r="K302" s="2" t="str">
        <x:v>국내_사업신청관리_20260921_산업부.xls</x:v>
      </x:c>
      <x:c r="L302" s="2"/>
    </x:row>
    <x:row r="303" ht="25" customHeight="1">
      <x:c r="A303" s="2" t="n">
        <x:v>263</x:v>
      </x:c>
      <x:c r="B303" s="2" t="str">
        <x:v>domestic_project</x:v>
      </x:c>
      <x:c r="C303" s="2" t="str">
        <x:v>산업</x:v>
      </x:c>
      <x:c r="D303" s="2" t="str">
        <x:v>9월 추가 후보</x:v>
      </x:c>
      <x:c r="E303" s="2" t="str">
        <x:v>907 | 6060758084 | 선후정밀 인버터 공기압축기 교체를 통한 온실가스 감축사업 | 신규 | - | -</x:v>
      </x:c>
      <x:c r="F303" s="2" t="str">
        <x:v>변경 필드 없음</x:v>
      </x:c>
      <x:c r="G303" s="2" t="str"/>
      <x:c r="H303" s="2" t="str"/>
      <x:c r="I303" s="2" t="str">
        <x:v>국내_사업신청관리_20260731_산업부문.xls</x:v>
      </x:c>
      <x:c r="J303" s="2"/>
      <x:c r="K303" s="2" t="str">
        <x:v>국내_사업신청관리_20260921_산업부.xls</x:v>
      </x:c>
      <x:c r="L303" s="2" t="n">
        <x:v>141</x:v>
      </x:c>
    </x:row>
    <x:row r="304" ht="25" customHeight="1">
      <x:c r="A304" s="2" t="n">
        <x:v>264</x:v>
      </x:c>
      <x:c r="B304" s="2" t="str">
        <x:v>domestic_project</x:v>
      </x:c>
      <x:c r="C304" s="2" t="str">
        <x:v>산업</x:v>
      </x:c>
      <x:c r="D304" s="2" t="str">
        <x:v>9월 미등장·삭제 아님</x:v>
      </x:c>
      <x:c r="E304" s="2" t="str">
        <x:v>907 | 6218126198 | 부곡스텐레스(주) 인버터 공기압축기 교체를 통한 온실가스 감축사업 | 신규 | - | -</x:v>
      </x:c>
      <x:c r="F304" s="2" t="str">
        <x:v>변경 필드 없음</x:v>
      </x:c>
      <x:c r="G304" s="2" t="str"/>
      <x:c r="H304" s="2" t="str"/>
      <x:c r="I304" s="2" t="str">
        <x:v>국내_사업신청관리_20260731_산업부문.xls</x:v>
      </x:c>
      <x:c r="J304" s="2" t="n">
        <x:v>136</x:v>
      </x:c>
      <x:c r="K304" s="2" t="str">
        <x:v>국내_사업신청관리_20260921_산업부.xls</x:v>
      </x:c>
      <x:c r="L304" s="2"/>
    </x:row>
    <x:row r="305" ht="25" customHeight="1">
      <x:c r="A305" s="2" t="n">
        <x:v>265</x:v>
      </x:c>
      <x:c r="B305" s="2" t="str">
        <x:v>domestic_project</x:v>
      </x:c>
      <x:c r="C305" s="2" t="str">
        <x:v>산업</x:v>
      </x:c>
      <x:c r="D305" s="2" t="str">
        <x:v>9월 미등장·삭제 아님</x:v>
      </x:c>
      <x:c r="E305" s="2" t="str">
        <x:v>908 | 6038140173 | 주식회사 하트만 인버터 공기압축기 교체를 통한 온실가스 감축사업 | 신규 | - | -</x:v>
      </x:c>
      <x:c r="F305" s="2" t="str">
        <x:v>변경 필드 없음</x:v>
      </x:c>
      <x:c r="G305" s="2" t="str"/>
      <x:c r="H305" s="2" t="str"/>
      <x:c r="I305" s="2" t="str">
        <x:v>국내_사업신청관리_20260731_산업부문.xls</x:v>
      </x:c>
      <x:c r="J305" s="2" t="n">
        <x:v>135</x:v>
      </x:c>
      <x:c r="K305" s="2" t="str">
        <x:v>국내_사업신청관리_20260921_산업부.xls</x:v>
      </x:c>
      <x:c r="L305" s="2"/>
    </x:row>
    <x:row r="306" ht="25" customHeight="1">
      <x:c r="A306" s="2" t="n">
        <x:v>266</x:v>
      </x:c>
      <x:c r="B306" s="2" t="str">
        <x:v>domestic_project</x:v>
      </x:c>
      <x:c r="C306" s="2" t="str">
        <x:v>산업</x:v>
      </x:c>
      <x:c r="D306" s="2" t="str">
        <x:v>9월 추가 후보</x:v>
      </x:c>
      <x:c r="E306" s="2" t="str">
        <x:v>908 | 6068175462 | (주)래치원 인버터 공기압축기 교체를 통한 온실가스 감축사업 | 신규 | - | -</x:v>
      </x:c>
      <x:c r="F306" s="2" t="str">
        <x:v>변경 필드 없음</x:v>
      </x:c>
      <x:c r="G306" s="2" t="str"/>
      <x:c r="H306" s="2" t="str"/>
      <x:c r="I306" s="2" t="str">
        <x:v>국내_사업신청관리_20260731_산업부문.xls</x:v>
      </x:c>
      <x:c r="J306" s="2"/>
      <x:c r="K306" s="2" t="str">
        <x:v>국내_사업신청관리_20260921_산업부.xls</x:v>
      </x:c>
      <x:c r="L306" s="2" t="n">
        <x:v>140</x:v>
      </x:c>
    </x:row>
    <x:row r="307" ht="25" customHeight="1">
      <x:c r="A307" s="2" t="n">
        <x:v>267</x:v>
      </x:c>
      <x:c r="B307" s="2" t="str">
        <x:v>domestic_project</x:v>
      </x:c>
      <x:c r="C307" s="2" t="str">
        <x:v>산업</x:v>
      </x:c>
      <x:c r="D307" s="2" t="str">
        <x:v>9월 미등장·삭제 아님</x:v>
      </x:c>
      <x:c r="E307" s="2" t="str">
        <x:v>909 | 4048141255 | (주)태곡유지 스팀보일러 연료전환(부생유(C-9)→LNG)을 통한 온실가스 배출 감축사업 | 신규 | - | -</x:v>
      </x:c>
      <x:c r="F307" s="2" t="str">
        <x:v>변경 필드 없음</x:v>
      </x:c>
      <x:c r="G307" s="2" t="str"/>
      <x:c r="H307" s="2" t="str"/>
      <x:c r="I307" s="2" t="str">
        <x:v>국내_사업신청관리_20260731_산업부문.xls</x:v>
      </x:c>
      <x:c r="J307" s="2" t="n">
        <x:v>134</x:v>
      </x:c>
      <x:c r="K307" s="2" t="str">
        <x:v>국내_사업신청관리_20260921_산업부.xls</x:v>
      </x:c>
      <x:c r="L307" s="2"/>
    </x:row>
    <x:row r="308" ht="25" customHeight="1">
      <x:c r="A308" s="2" t="n">
        <x:v>268</x:v>
      </x:c>
      <x:c r="B308" s="2" t="str">
        <x:v>domestic_project</x:v>
      </x:c>
      <x:c r="C308" s="2" t="str">
        <x:v>산업</x:v>
      </x:c>
      <x:c r="D308" s="2" t="str">
        <x:v>9월 추가 후보</x:v>
      </x:c>
      <x:c r="E308" s="2" t="str">
        <x:v>909 | 6068134990 | (주)일흥 고효율 보일러 교체를 통한 온실가스 감축사업 | 신규 | - | -</x:v>
      </x:c>
      <x:c r="F308" s="2" t="str">
        <x:v>변경 필드 없음</x:v>
      </x:c>
      <x:c r="G308" s="2" t="str"/>
      <x:c r="H308" s="2" t="str"/>
      <x:c r="I308" s="2" t="str">
        <x:v>국내_사업신청관리_20260731_산업부문.xls</x:v>
      </x:c>
      <x:c r="J308" s="2"/>
      <x:c r="K308" s="2" t="str">
        <x:v>국내_사업신청관리_20260921_산업부.xls</x:v>
      </x:c>
      <x:c r="L308" s="2" t="n">
        <x:v>139</x:v>
      </x:c>
    </x:row>
    <x:row r="309" ht="25" customHeight="1">
      <x:c r="A309" s="2" t="n">
        <x:v>269</x:v>
      </x:c>
      <x:c r="B309" s="2" t="str">
        <x:v>domestic_project</x:v>
      </x:c>
      <x:c r="C309" s="2" t="str">
        <x:v>산업</x:v>
      </x:c>
      <x:c r="D309" s="2" t="str">
        <x:v>9월 미등장·삭제 아님</x:v>
      </x:c>
      <x:c r="E309" s="2" t="str">
        <x:v>910 | 1048137225 | 화성시 LED 도로조명 교체를 통한 온실가스 감축사업 | 신규 | - | -</x:v>
      </x:c>
      <x:c r="F309" s="2" t="str">
        <x:v>변경 필드 없음</x:v>
      </x:c>
      <x:c r="G309" s="2" t="str"/>
      <x:c r="H309" s="2" t="str"/>
      <x:c r="I309" s="2" t="str">
        <x:v>국내_사업신청관리_20260731_산업부문.xls</x:v>
      </x:c>
      <x:c r="J309" s="2" t="n">
        <x:v>133</x:v>
      </x:c>
      <x:c r="K309" s="2" t="str">
        <x:v>국내_사업신청관리_20260921_산업부.xls</x:v>
      </x:c>
      <x:c r="L309" s="2"/>
    </x:row>
    <x:row r="310" ht="25" customHeight="1">
      <x:c r="A310" s="2" t="n">
        <x:v>270</x:v>
      </x:c>
      <x:c r="B310" s="2" t="str">
        <x:v>domestic_project</x:v>
      </x:c>
      <x:c r="C310" s="2" t="str">
        <x:v>산업</x:v>
      </x:c>
      <x:c r="D310" s="2" t="str">
        <x:v>9월 추가 후보</x:v>
      </x:c>
      <x:c r="E310" s="2" t="str">
        <x:v>910 | 4358800539 | 부경아스콘(주) 고효율 2단 인버터 PM  Motor 공기압축기로 교체 사업 | 신규 | - | -</x:v>
      </x:c>
      <x:c r="F310" s="2" t="str">
        <x:v>변경 필드 없음</x:v>
      </x:c>
      <x:c r="G310" s="2" t="str"/>
      <x:c r="H310" s="2" t="str"/>
      <x:c r="I310" s="2" t="str">
        <x:v>국내_사업신청관리_20260731_산업부문.xls</x:v>
      </x:c>
      <x:c r="J310" s="2"/>
      <x:c r="K310" s="2" t="str">
        <x:v>국내_사업신청관리_20260921_산업부.xls</x:v>
      </x:c>
      <x:c r="L310" s="2" t="n">
        <x:v>138</x:v>
      </x:c>
    </x:row>
    <x:row r="311" ht="25" customHeight="1">
      <x:c r="A311" s="2" t="n">
        <x:v>271</x:v>
      </x:c>
      <x:c r="B311" s="2" t="str">
        <x:v>domestic_project</x:v>
      </x:c>
      <x:c r="C311" s="2" t="str">
        <x:v>산업</x:v>
      </x:c>
      <x:c r="D311" s="2" t="str">
        <x:v>9월 미등장·삭제 아님</x:v>
      </x:c>
      <x:c r="E311" s="2" t="str">
        <x:v>911 | 1048137225 | 순천시 LED 도로조명 교체를 통한 온실가스 감축사업 | 신규 | - | -</x:v>
      </x:c>
      <x:c r="F311" s="2" t="str">
        <x:v>변경 필드 없음</x:v>
      </x:c>
      <x:c r="G311" s="2" t="str"/>
      <x:c r="H311" s="2" t="str"/>
      <x:c r="I311" s="2" t="str">
        <x:v>국내_사업신청관리_20260731_산업부문.xls</x:v>
      </x:c>
      <x:c r="J311" s="2" t="n">
        <x:v>132</x:v>
      </x:c>
      <x:c r="K311" s="2" t="str">
        <x:v>국내_사업신청관리_20260921_산업부.xls</x:v>
      </x:c>
      <x:c r="L311" s="2"/>
    </x:row>
    <x:row r="312" ht="25" customHeight="1">
      <x:c r="A312" s="2" t="n">
        <x:v>272</x:v>
      </x:c>
      <x:c r="B312" s="2" t="str">
        <x:v>domestic_project</x:v>
      </x:c>
      <x:c r="C312" s="2" t="str">
        <x:v>산업</x:v>
      </x:c>
      <x:c r="D312" s="2" t="str">
        <x:v>9월 추가 후보</x:v>
      </x:c>
      <x:c r="E312" s="2" t="str">
        <x:v>911 | 4358800539 | ㈜정석이엔지  고효율 2단 인버터 PM  Motor 공기압축기로 교체 사업 | 신규 | - | -</x:v>
      </x:c>
      <x:c r="F312" s="2" t="str">
        <x:v>변경 필드 없음</x:v>
      </x:c>
      <x:c r="G312" s="2" t="str"/>
      <x:c r="H312" s="2" t="str"/>
      <x:c r="I312" s="2" t="str">
        <x:v>국내_사업신청관리_20260731_산업부문.xls</x:v>
      </x:c>
      <x:c r="J312" s="2"/>
      <x:c r="K312" s="2" t="str">
        <x:v>국내_사업신청관리_20260921_산업부.xls</x:v>
      </x:c>
      <x:c r="L312" s="2" t="n">
        <x:v>137</x:v>
      </x:c>
    </x:row>
    <x:row r="313" ht="25" customHeight="1">
      <x:c r="A313" s="2" t="n">
        <x:v>273</x:v>
      </x:c>
      <x:c r="B313" s="2" t="str">
        <x:v>domestic_project</x:v>
      </x:c>
      <x:c r="C313" s="2" t="str">
        <x:v>산업</x:v>
      </x:c>
      <x:c r="D313" s="2" t="str">
        <x:v>9월 추가 후보</x:v>
      </x:c>
      <x:c r="E313" s="2" t="str">
        <x:v>912 | 4358800539 | 대한정밀풀리산업(주) 고효율 인버터 PM Motor 공기압축기로 교체 사업 | 신규 | - | -</x:v>
      </x:c>
      <x:c r="F313" s="2" t="str">
        <x:v>변경 필드 없음</x:v>
      </x:c>
      <x:c r="G313" s="2" t="str"/>
      <x:c r="H313" s="2" t="str"/>
      <x:c r="I313" s="2" t="str">
        <x:v>국내_사업신청관리_20260731_산업부문.xls</x:v>
      </x:c>
      <x:c r="J313" s="2"/>
      <x:c r="K313" s="2" t="str">
        <x:v>국내_사업신청관리_20260921_산업부.xls</x:v>
      </x:c>
      <x:c r="L313" s="2" t="n">
        <x:v>136</x:v>
      </x:c>
    </x:row>
    <x:row r="314" ht="25" customHeight="1">
      <x:c r="A314" s="2" t="n">
        <x:v>274</x:v>
      </x:c>
      <x:c r="B314" s="2" t="str">
        <x:v>domestic_project</x:v>
      </x:c>
      <x:c r="C314" s="2" t="str">
        <x:v>산업</x:v>
      </x:c>
      <x:c r="D314" s="2" t="str">
        <x:v>9월 미등장·삭제 아님</x:v>
      </x:c>
      <x:c r="E314" s="2" t="str">
        <x:v>912 | 6060758084 | 선후정밀 인버터 공기압축기 교체를 통한 온실가스 감축사업 | 신규 | - | -</x:v>
      </x:c>
      <x:c r="F314" s="2" t="str">
        <x:v>변경 필드 없음</x:v>
      </x:c>
      <x:c r="G314" s="2" t="str"/>
      <x:c r="H314" s="2" t="str"/>
      <x:c r="I314" s="2" t="str">
        <x:v>국내_사업신청관리_20260731_산업부문.xls</x:v>
      </x:c>
      <x:c r="J314" s="2" t="n">
        <x:v>131</x:v>
      </x:c>
      <x:c r="K314" s="2" t="str">
        <x:v>국내_사업신청관리_20260921_산업부.xls</x:v>
      </x:c>
      <x:c r="L314" s="2"/>
    </x:row>
    <x:row r="315" ht="25" customHeight="1">
      <x:c r="A315" s="2" t="n">
        <x:v>275</x:v>
      </x:c>
      <x:c r="B315" s="2" t="str">
        <x:v>domestic_project</x:v>
      </x:c>
      <x:c r="C315" s="2" t="str">
        <x:v>산업</x:v>
      </x:c>
      <x:c r="D315" s="2" t="str">
        <x:v>9월 추가 후보</x:v>
      </x:c>
      <x:c r="E315" s="2" t="str">
        <x:v>913 | 4358800539 | (주)신영에스앤씨 고효율 인버터 PM  Motor 공기압축기로 교체 사업 | 신규 | - | -</x:v>
      </x:c>
      <x:c r="F315" s="2" t="str">
        <x:v>변경 필드 없음</x:v>
      </x:c>
      <x:c r="G315" s="2" t="str"/>
      <x:c r="H315" s="2" t="str"/>
      <x:c r="I315" s="2" t="str">
        <x:v>국내_사업신청관리_20260731_산업부문.xls</x:v>
      </x:c>
      <x:c r="J315" s="2"/>
      <x:c r="K315" s="2" t="str">
        <x:v>국내_사업신청관리_20260921_산업부.xls</x:v>
      </x:c>
      <x:c r="L315" s="2" t="n">
        <x:v>135</x:v>
      </x:c>
    </x:row>
    <x:row r="316" ht="25" customHeight="1">
      <x:c r="A316" s="2" t="n">
        <x:v>276</x:v>
      </x:c>
      <x:c r="B316" s="2" t="str">
        <x:v>domestic_project</x:v>
      </x:c>
      <x:c r="C316" s="2" t="str">
        <x:v>산업</x:v>
      </x:c>
      <x:c r="D316" s="2" t="str">
        <x:v>9월 미등장·삭제 아님</x:v>
      </x:c>
      <x:c r="E316" s="2" t="str">
        <x:v>913 | 6068175462 | (주)래치원 인버터 공기압축기 교체를 통한 온실가스 감축사업 | 신규 | - | -</x:v>
      </x:c>
      <x:c r="F316" s="2" t="str">
        <x:v>변경 필드 없음</x:v>
      </x:c>
      <x:c r="G316" s="2" t="str"/>
      <x:c r="H316" s="2" t="str"/>
      <x:c r="I316" s="2" t="str">
        <x:v>국내_사업신청관리_20260731_산업부문.xls</x:v>
      </x:c>
      <x:c r="J316" s="2" t="n">
        <x:v>130</x:v>
      </x:c>
      <x:c r="K316" s="2" t="str">
        <x:v>국내_사업신청관리_20260921_산업부.xls</x:v>
      </x:c>
      <x:c r="L316" s="2"/>
    </x:row>
    <x:row r="317" ht="25" customHeight="1">
      <x:c r="A317" s="2" t="n">
        <x:v>277</x:v>
      </x:c>
      <x:c r="B317" s="2" t="str">
        <x:v>domestic_project</x:v>
      </x:c>
      <x:c r="C317" s="2" t="str">
        <x:v>산업</x:v>
      </x:c>
      <x:c r="D317" s="2" t="str">
        <x:v>9월 추가 후보</x:v>
      </x:c>
      <x:c r="E317" s="2" t="str">
        <x:v>914 | 6063387797 | 성창사 고효율 보일러 교체를 통한 온실가스 감축사업 | 신규 | - | -</x:v>
      </x:c>
      <x:c r="F317" s="2" t="str">
        <x:v>변경 필드 없음</x:v>
      </x:c>
      <x:c r="G317" s="2" t="str"/>
      <x:c r="H317" s="2" t="str"/>
      <x:c r="I317" s="2" t="str">
        <x:v>국내_사업신청관리_20260731_산업부문.xls</x:v>
      </x:c>
      <x:c r="J317" s="2"/>
      <x:c r="K317" s="2" t="str">
        <x:v>국내_사업신청관리_20260921_산업부.xls</x:v>
      </x:c>
      <x:c r="L317" s="2" t="n">
        <x:v>134</x:v>
      </x:c>
    </x:row>
    <x:row r="318" ht="25" customHeight="1">
      <x:c r="A318" s="2" t="n">
        <x:v>278</x:v>
      </x:c>
      <x:c r="B318" s="2" t="str">
        <x:v>domestic_project</x:v>
      </x:c>
      <x:c r="C318" s="2" t="str">
        <x:v>산업</x:v>
      </x:c>
      <x:c r="D318" s="2" t="str">
        <x:v>9월 미등장·삭제 아님</x:v>
      </x:c>
      <x:c r="E318" s="2" t="str">
        <x:v>914 | 6068134990 | (주)일흥 고효율 보일러 교체를 통한 온실가스 감축사업 | 신규 | - | -</x:v>
      </x:c>
      <x:c r="F318" s="2" t="str">
        <x:v>변경 필드 없음</x:v>
      </x:c>
      <x:c r="G318" s="2" t="str"/>
      <x:c r="H318" s="2" t="str"/>
      <x:c r="I318" s="2" t="str">
        <x:v>국내_사업신청관리_20260731_산업부문.xls</x:v>
      </x:c>
      <x:c r="J318" s="2" t="n">
        <x:v>129</x:v>
      </x:c>
      <x:c r="K318" s="2" t="str">
        <x:v>국내_사업신청관리_20260921_산업부.xls</x:v>
      </x:c>
      <x:c r="L318" s="2"/>
    </x:row>
    <x:row r="319" ht="25" customHeight="1">
      <x:c r="A319" s="2" t="n">
        <x:v>279</x:v>
      </x:c>
      <x:c r="B319" s="2" t="str">
        <x:v>domestic_project</x:v>
      </x:c>
      <x:c r="C319" s="2" t="str">
        <x:v>산업</x:v>
      </x:c>
      <x:c r="D319" s="2" t="str">
        <x:v>9월 미등장·삭제 아님</x:v>
      </x:c>
      <x:c r="E319" s="2" t="str">
        <x:v>915 | 4358800539 | 부경아스콘(주) 고효율 2단 인버터 PM  Motor 공기압축기로 교체 사업 | 신규 | - | -</x:v>
      </x:c>
      <x:c r="F319" s="2" t="str">
        <x:v>변경 필드 없음</x:v>
      </x:c>
      <x:c r="G319" s="2" t="str"/>
      <x:c r="H319" s="2" t="str"/>
      <x:c r="I319" s="2" t="str">
        <x:v>국내_사업신청관리_20260731_산업부문.xls</x:v>
      </x:c>
      <x:c r="J319" s="2" t="n">
        <x:v>128</x:v>
      </x:c>
      <x:c r="K319" s="2" t="str">
        <x:v>국내_사업신청관리_20260921_산업부.xls</x:v>
      </x:c>
      <x:c r="L319" s="2"/>
    </x:row>
    <x:row r="320" ht="25" customHeight="1">
      <x:c r="A320" s="2" t="n">
        <x:v>280</x:v>
      </x:c>
      <x:c r="B320" s="2" t="str">
        <x:v>domestic_project</x:v>
      </x:c>
      <x:c r="C320" s="2" t="str">
        <x:v>산업</x:v>
      </x:c>
      <x:c r="D320" s="2" t="str">
        <x:v>9월 추가 후보</x:v>
      </x:c>
      <x:c r="E320" s="2" t="str">
        <x:v>915 | 7678803281 | 주식회사 태원정공 인버터 공기압축기 교체를 통한 온실가스 감축사업 | 신규 | - | -</x:v>
      </x:c>
      <x:c r="F320" s="2" t="str">
        <x:v>변경 필드 없음</x:v>
      </x:c>
      <x:c r="G320" s="2" t="str"/>
      <x:c r="H320" s="2" t="str"/>
      <x:c r="I320" s="2" t="str">
        <x:v>국내_사업신청관리_20260731_산업부문.xls</x:v>
      </x:c>
      <x:c r="J320" s="2"/>
      <x:c r="K320" s="2" t="str">
        <x:v>국내_사업신청관리_20260921_산업부.xls</x:v>
      </x:c>
      <x:c r="L320" s="2" t="n">
        <x:v>133</x:v>
      </x:c>
    </x:row>
    <x:row r="321" ht="25" customHeight="1">
      <x:c r="A321" s="2" t="n">
        <x:v>281</x:v>
      </x:c>
      <x:c r="B321" s="2" t="str">
        <x:v>domestic_project</x:v>
      </x:c>
      <x:c r="C321" s="2" t="str">
        <x:v>산업</x:v>
      </x:c>
      <x:c r="D321" s="2" t="str">
        <x:v>9월 미등장·삭제 아님</x:v>
      </x:c>
      <x:c r="E321" s="2" t="str">
        <x:v>916 | 4358800539 | ㈜정석이엔지  고효율 2단 인버터 PM  Motor 공기압축기로 교체 사업 | 신규 | - | -</x:v>
      </x:c>
      <x:c r="F321" s="2" t="str">
        <x:v>변경 필드 없음</x:v>
      </x:c>
      <x:c r="G321" s="2" t="str"/>
      <x:c r="H321" s="2" t="str"/>
      <x:c r="I321" s="2" t="str">
        <x:v>국내_사업신청관리_20260731_산업부문.xls</x:v>
      </x:c>
      <x:c r="J321" s="2" t="n">
        <x:v>127</x:v>
      </x:c>
      <x:c r="K321" s="2" t="str">
        <x:v>국내_사업신청관리_20260921_산업부.xls</x:v>
      </x:c>
      <x:c r="L321" s="2"/>
    </x:row>
    <x:row r="322" ht="25" customHeight="1">
      <x:c r="A322" s="2" t="n">
        <x:v>282</x:v>
      </x:c>
      <x:c r="B322" s="2" t="str">
        <x:v>domestic_project</x:v>
      </x:c>
      <x:c r="C322" s="2" t="str">
        <x:v>산업</x:v>
      </x:c>
      <x:c r="D322" s="2" t="str">
        <x:v>9월 추가 후보</x:v>
      </x:c>
      <x:c r="E322" s="2" t="str">
        <x:v>916 | 7988800181 | 생태산업개발을 통한 미세먼지 및 온실가스 감축 사업-산단 친환경설비 인프라지원 | 신규 | - | -</x:v>
      </x:c>
      <x:c r="F322" s="2" t="str">
        <x:v>변경 필드 없음</x:v>
      </x:c>
      <x:c r="G322" s="2" t="str"/>
      <x:c r="H322" s="2" t="str"/>
      <x:c r="I322" s="2" t="str">
        <x:v>국내_사업신청관리_20260731_산업부문.xls</x:v>
      </x:c>
      <x:c r="J322" s="2"/>
      <x:c r="K322" s="2" t="str">
        <x:v>국내_사업신청관리_20260921_산업부.xls</x:v>
      </x:c>
      <x:c r="L322" s="2" t="n">
        <x:v>132</x:v>
      </x:c>
    </x:row>
    <x:row r="323" ht="25" customHeight="1">
      <x:c r="A323" s="2" t="n">
        <x:v>283</x:v>
      </x:c>
      <x:c r="B323" s="2" t="str">
        <x:v>domestic_project</x:v>
      </x:c>
      <x:c r="C323" s="2" t="str">
        <x:v>산업</x:v>
      </x:c>
      <x:c r="D323" s="2" t="str">
        <x:v>9월 추가 후보</x:v>
      </x:c>
      <x:c r="E323" s="2" t="str">
        <x:v>917 | 4038108059 | (주)덕산의 신재 및 재생 드라이어의 B-C유에서 도시가스(LNG)로 연료전환을 통한 온실가스 배출 감축사업 | 신규 | - | -</x:v>
      </x:c>
      <x:c r="F323" s="2" t="str">
        <x:v>변경 필드 없음</x:v>
      </x:c>
      <x:c r="G323" s="2" t="str"/>
      <x:c r="H323" s="2" t="str"/>
      <x:c r="I323" s="2" t="str">
        <x:v>국내_사업신청관리_20260731_산업부문.xls</x:v>
      </x:c>
      <x:c r="J323" s="2"/>
      <x:c r="K323" s="2" t="str">
        <x:v>국내_사업신청관리_20260921_산업부.xls</x:v>
      </x:c>
      <x:c r="L323" s="2" t="n">
        <x:v>131</x:v>
      </x:c>
    </x:row>
    <x:row r="324" ht="25" customHeight="1">
      <x:c r="A324" s="2" t="n">
        <x:v>284</x:v>
      </x:c>
      <x:c r="B324" s="2" t="str">
        <x:v>domestic_project</x:v>
      </x:c>
      <x:c r="C324" s="2" t="str">
        <x:v>산업</x:v>
      </x:c>
      <x:c r="D324" s="2" t="str">
        <x:v>9월 미등장·삭제 아님</x:v>
      </x:c>
      <x:c r="E324" s="2" t="str">
        <x:v>917 | 4358800539 | 대한정밀풀리산업(주) 고효율 인버터 PM Motor 공기압축기로 교체 사업 | 신규 | - | -</x:v>
      </x:c>
      <x:c r="F324" s="2" t="str">
        <x:v>변경 필드 없음</x:v>
      </x:c>
      <x:c r="G324" s="2" t="str"/>
      <x:c r="H324" s="2" t="str"/>
      <x:c r="I324" s="2" t="str">
        <x:v>국내_사업신청관리_20260731_산업부문.xls</x:v>
      </x:c>
      <x:c r="J324" s="2" t="n">
        <x:v>126</x:v>
      </x:c>
      <x:c r="K324" s="2" t="str">
        <x:v>국내_사업신청관리_20260921_산업부.xls</x:v>
      </x:c>
      <x:c r="L324" s="2"/>
    </x:row>
    <x:row r="325" ht="25" customHeight="1">
      <x:c r="A325" s="2" t="n">
        <x:v>285</x:v>
      </x:c>
      <x:c r="B325" s="2" t="str">
        <x:v>domestic_project</x:v>
      </x:c>
      <x:c r="C325" s="2" t="str">
        <x:v>산업</x:v>
      </x:c>
      <x:c r="D325" s="2" t="str">
        <x:v>9월 미등장·삭제 아님</x:v>
      </x:c>
      <x:c r="E325" s="2" t="str">
        <x:v>918 | 4358800539 | (주)신영에스앤씨 고효율 인버터 PM  Motor 공기압축기로 교체 사업 | 신규 | - | -</x:v>
      </x:c>
      <x:c r="F325" s="2" t="str">
        <x:v>변경 필드 없음</x:v>
      </x:c>
      <x:c r="G325" s="2" t="str"/>
      <x:c r="H325" s="2" t="str"/>
      <x:c r="I325" s="2" t="str">
        <x:v>국내_사업신청관리_20260731_산업부문.xls</x:v>
      </x:c>
      <x:c r="J325" s="2" t="n">
        <x:v>125</x:v>
      </x:c>
      <x:c r="K325" s="2" t="str">
        <x:v>국내_사업신청관리_20260921_산업부.xls</x:v>
      </x:c>
      <x:c r="L325" s="2"/>
    </x:row>
    <x:row r="326" ht="25" customHeight="1">
      <x:c r="A326" s="2" t="n">
        <x:v>286</x:v>
      </x:c>
      <x:c r="B326" s="2" t="str">
        <x:v>domestic_project</x:v>
      </x:c>
      <x:c r="C326" s="2" t="str">
        <x:v>산업</x:v>
      </x:c>
      <x:c r="D326" s="2" t="str">
        <x:v>9월 추가 후보</x:v>
      </x:c>
      <x:c r="E326" s="2" t="str">
        <x:v>918 | 4358800539 | 인제산업(주) 고효율 인버터 PM  Motor 공기압축기로 교체 사업 | 신규 | - | -</x:v>
      </x:c>
      <x:c r="F326" s="2" t="str">
        <x:v>변경 필드 없음</x:v>
      </x:c>
      <x:c r="G326" s="2" t="str"/>
      <x:c r="H326" s="2" t="str"/>
      <x:c r="I326" s="2" t="str">
        <x:v>국내_사업신청관리_20260731_산업부문.xls</x:v>
      </x:c>
      <x:c r="J326" s="2"/>
      <x:c r="K326" s="2" t="str">
        <x:v>국내_사업신청관리_20260921_산업부.xls</x:v>
      </x:c>
      <x:c r="L326" s="2" t="n">
        <x:v>130</x:v>
      </x:c>
    </x:row>
    <x:row r="327" ht="25" customHeight="1">
      <x:c r="A327" s="2" t="n">
        <x:v>287</x:v>
      </x:c>
      <x:c r="B327" s="2" t="str">
        <x:v>domestic_project</x:v>
      </x:c>
      <x:c r="C327" s="2" t="str">
        <x:v>산업</x:v>
      </x:c>
      <x:c r="D327" s="2" t="str">
        <x:v>9월 미등장·삭제 아님</x:v>
      </x:c>
      <x:c r="E327" s="2" t="str">
        <x:v>919 | 6063387797 | 성창사 고효율 보일러 교체를 통한 온실가스 감축사업 | 신규 | - | -</x:v>
      </x:c>
      <x:c r="F327" s="2" t="str">
        <x:v>변경 필드 없음</x:v>
      </x:c>
      <x:c r="G327" s="2" t="str"/>
      <x:c r="H327" s="2" t="str"/>
      <x:c r="I327" s="2" t="str">
        <x:v>국내_사업신청관리_20260731_산업부문.xls</x:v>
      </x:c>
      <x:c r="J327" s="2" t="n">
        <x:v>124</x:v>
      </x:c>
      <x:c r="K327" s="2" t="str">
        <x:v>국내_사업신청관리_20260921_산업부.xls</x:v>
      </x:c>
      <x:c r="L327" s="2"/>
    </x:row>
    <x:row r="328" ht="25" customHeight="1">
      <x:c r="A328" s="2" t="n">
        <x:v>288</x:v>
      </x:c>
      <x:c r="B328" s="2" t="str">
        <x:v>domestic_project</x:v>
      </x:c>
      <x:c r="C328" s="2" t="str">
        <x:v>산업</x:v>
      </x:c>
      <x:c r="D328" s="2" t="str">
        <x:v>9월 추가 후보</x:v>
      </x:c>
      <x:c r="E328" s="2" t="str">
        <x:v>919 | 6218114256 | (주)신신기계 인버터 공기압축기 교체를 통한 온실가스 감축사업 | 신규 | - | -</x:v>
      </x:c>
      <x:c r="F328" s="2" t="str">
        <x:v>변경 필드 없음</x:v>
      </x:c>
      <x:c r="G328" s="2" t="str"/>
      <x:c r="H328" s="2" t="str"/>
      <x:c r="I328" s="2" t="str">
        <x:v>국내_사업신청관리_20260731_산업부문.xls</x:v>
      </x:c>
      <x:c r="J328" s="2"/>
      <x:c r="K328" s="2" t="str">
        <x:v>국내_사업신청관리_20260921_산업부.xls</x:v>
      </x:c>
      <x:c r="L328" s="2" t="n">
        <x:v>129</x:v>
      </x:c>
    </x:row>
    <x:row r="329" ht="25" customHeight="1">
      <x:c r="A329" s="2" t="n">
        <x:v>289</x:v>
      </x:c>
      <x:c r="B329" s="2" t="str">
        <x:v>domestic_project</x:v>
      </x:c>
      <x:c r="C329" s="2" t="str">
        <x:v>산업</x:v>
      </x:c>
      <x:c r="D329" s="2" t="str">
        <x:v>9월 추가 후보</x:v>
      </x:c>
      <x:c r="E329" s="2" t="str">
        <x:v>920 | 6068140018 | (주)신한단조 외 4개사의 고효율 공기압축기 교체를 통한 온실가스 감축사업 | 신규 | - | -</x:v>
      </x:c>
      <x:c r="F329" s="2" t="str">
        <x:v>변경 필드 없음</x:v>
      </x:c>
      <x:c r="G329" s="2" t="str"/>
      <x:c r="H329" s="2" t="str"/>
      <x:c r="I329" s="2" t="str">
        <x:v>국내_사업신청관리_20260731_산업부문.xls</x:v>
      </x:c>
      <x:c r="J329" s="2"/>
      <x:c r="K329" s="2" t="str">
        <x:v>국내_사업신청관리_20260921_산업부.xls</x:v>
      </x:c>
      <x:c r="L329" s="2" t="n">
        <x:v>128</x:v>
      </x:c>
    </x:row>
    <x:row r="330" ht="25" customHeight="1">
      <x:c r="A330" s="2" t="n">
        <x:v>290</x:v>
      </x:c>
      <x:c r="B330" s="2" t="str">
        <x:v>domestic_project</x:v>
      </x:c>
      <x:c r="C330" s="2" t="str">
        <x:v>산업</x:v>
      </x:c>
      <x:c r="D330" s="2" t="str">
        <x:v>9월 미등장·삭제 아님</x:v>
      </x:c>
      <x:c r="E330" s="2" t="str">
        <x:v>920 | 7678803281 | 주식회사 태원정공 인버터 공기압축기 교체를 통한 온실가스 감축사업 | 신규 | - | -</x:v>
      </x:c>
      <x:c r="F330" s="2" t="str">
        <x:v>변경 필드 없음</x:v>
      </x:c>
      <x:c r="G330" s="2" t="str"/>
      <x:c r="H330" s="2" t="str"/>
      <x:c r="I330" s="2" t="str">
        <x:v>국내_사업신청관리_20260731_산업부문.xls</x:v>
      </x:c>
      <x:c r="J330" s="2" t="n">
        <x:v>123</x:v>
      </x:c>
      <x:c r="K330" s="2" t="str">
        <x:v>국내_사업신청관리_20260921_산업부.xls</x:v>
      </x:c>
      <x:c r="L330" s="2"/>
    </x:row>
    <x:row r="331" ht="25" customHeight="1">
      <x:c r="A331" s="2" t="n">
        <x:v>291</x:v>
      </x:c>
      <x:c r="B331" s="2" t="str">
        <x:v>domestic_project</x:v>
      </x:c>
      <x:c r="C331" s="2" t="str">
        <x:v>산업</x:v>
      </x:c>
      <x:c r="D331" s="2" t="str">
        <x:v>9월 추가 후보</x:v>
      </x:c>
      <x:c r="E331" s="2" t="str">
        <x:v>921 | 6068140018 | (주)경성하이테크 외 5개사의 인버터 공기압축기 교체를 통한 온실가스 감축사업 | 신규 | - | -</x:v>
      </x:c>
      <x:c r="F331" s="2" t="str">
        <x:v>변경 필드 없음</x:v>
      </x:c>
      <x:c r="G331" s="2" t="str"/>
      <x:c r="H331" s="2" t="str"/>
      <x:c r="I331" s="2" t="str">
        <x:v>국내_사업신청관리_20260731_산업부문.xls</x:v>
      </x:c>
      <x:c r="J331" s="2"/>
      <x:c r="K331" s="2" t="str">
        <x:v>국내_사업신청관리_20260921_산업부.xls</x:v>
      </x:c>
      <x:c r="L331" s="2" t="n">
        <x:v>127</x:v>
      </x:c>
    </x:row>
    <x:row r="332" ht="25" customHeight="1">
      <x:c r="A332" s="2" t="n">
        <x:v>292</x:v>
      </x:c>
      <x:c r="B332" s="2" t="str">
        <x:v>domestic_project</x:v>
      </x:c>
      <x:c r="C332" s="2" t="str">
        <x:v>산업</x:v>
      </x:c>
      <x:c r="D332" s="2" t="str">
        <x:v>9월 미등장·삭제 아님</x:v>
      </x:c>
      <x:c r="E332" s="2" t="str">
        <x:v>921 | 7988800181 | 생태산업개발을 통한 미세먼지 및 온실가스 감축 사업-산단 친환경설비 인프라지원 | 신규 | - | -</x:v>
      </x:c>
      <x:c r="F332" s="2" t="str">
        <x:v>변경 필드 없음</x:v>
      </x:c>
      <x:c r="G332" s="2" t="str"/>
      <x:c r="H332" s="2" t="str"/>
      <x:c r="I332" s="2" t="str">
        <x:v>국내_사업신청관리_20260731_산업부문.xls</x:v>
      </x:c>
      <x:c r="J332" s="2" t="n">
        <x:v>122</x:v>
      </x:c>
      <x:c r="K332" s="2" t="str">
        <x:v>국내_사업신청관리_20260921_산업부.xls</x:v>
      </x:c>
      <x:c r="L332" s="2"/>
    </x:row>
    <x:row r="333" ht="25" customHeight="1">
      <x:c r="A333" s="2" t="n">
        <x:v>293</x:v>
      </x:c>
      <x:c r="B333" s="2" t="str">
        <x:v>domestic_project</x:v>
      </x:c>
      <x:c r="C333" s="2" t="str">
        <x:v>산업</x:v>
      </x:c>
      <x:c r="D333" s="2" t="str">
        <x:v>9월 미등장·삭제 아님</x:v>
      </x:c>
      <x:c r="E333" s="2" t="str">
        <x:v>922 | 4038108059 | (주)덕산의 신재 및 재생 드라이어의 B-C유에서 도시가스(LNG)로 연료전환을 통한 온실가스 배출 감축사업 | 신규 | - | -</x:v>
      </x:c>
      <x:c r="F333" s="2" t="str">
        <x:v>변경 필드 없음</x:v>
      </x:c>
      <x:c r="G333" s="2" t="str"/>
      <x:c r="H333" s="2" t="str"/>
      <x:c r="I333" s="2" t="str">
        <x:v>국내_사업신청관리_20260731_산업부문.xls</x:v>
      </x:c>
      <x:c r="J333" s="2" t="n">
        <x:v>121</x:v>
      </x:c>
      <x:c r="K333" s="2" t="str">
        <x:v>국내_사업신청관리_20260921_산업부.xls</x:v>
      </x:c>
      <x:c r="L333" s="2"/>
    </x:row>
    <x:row r="334" ht="25" customHeight="1">
      <x:c r="A334" s="2" t="n">
        <x:v>294</x:v>
      </x:c>
      <x:c r="B334" s="2" t="str">
        <x:v>domestic_project</x:v>
      </x:c>
      <x:c r="C334" s="2" t="str">
        <x:v>산업</x:v>
      </x:c>
      <x:c r="D334" s="2" t="str">
        <x:v>9월 추가 후보</x:v>
      </x:c>
      <x:c r="E334" s="2" t="str">
        <x:v>922 | 6068140018 | 주)경한코리아 외 3개사의 인버터 공기압축기 교체를 통한 온실가스 감축사업 | 신규 | - | -</x:v>
      </x:c>
      <x:c r="F334" s="2" t="str">
        <x:v>변경 필드 없음</x:v>
      </x:c>
      <x:c r="G334" s="2" t="str"/>
      <x:c r="H334" s="2" t="str"/>
      <x:c r="I334" s="2" t="str">
        <x:v>국내_사업신청관리_20260731_산업부문.xls</x:v>
      </x:c>
      <x:c r="J334" s="2"/>
      <x:c r="K334" s="2" t="str">
        <x:v>국내_사업신청관리_20260921_산업부.xls</x:v>
      </x:c>
      <x:c r="L334" s="2" t="n">
        <x:v>126</x:v>
      </x:c>
    </x:row>
    <x:row r="335" ht="25" customHeight="1">
      <x:c r="A335" s="2" t="n">
        <x:v>295</x:v>
      </x:c>
      <x:c r="B335" s="2" t="str">
        <x:v>domestic_project</x:v>
      </x:c>
      <x:c r="C335" s="2" t="str">
        <x:v>산업</x:v>
      </x:c>
      <x:c r="D335" s="2" t="str">
        <x:v>9월 미등장·삭제 아님</x:v>
      </x:c>
      <x:c r="E335" s="2" t="str">
        <x:v>923 | 4358800539 | 인제산업(주) 고효율 인버터 PM  Motor 공기압축기로 교체 사업 | 신규 | - | -</x:v>
      </x:c>
      <x:c r="F335" s="2" t="str">
        <x:v>변경 필드 없음</x:v>
      </x:c>
      <x:c r="G335" s="2" t="str"/>
      <x:c r="H335" s="2" t="str"/>
      <x:c r="I335" s="2" t="str">
        <x:v>국내_사업신청관리_20260731_산업부문.xls</x:v>
      </x:c>
      <x:c r="J335" s="2" t="n">
        <x:v>120</x:v>
      </x:c>
      <x:c r="K335" s="2" t="str">
        <x:v>국내_사업신청관리_20260921_산업부.xls</x:v>
      </x:c>
      <x:c r="L335" s="2"/>
    </x:row>
    <x:row r="336" ht="25" customHeight="1">
      <x:c r="A336" s="2" t="n">
        <x:v>296</x:v>
      </x:c>
      <x:c r="B336" s="2" t="str">
        <x:v>domestic_project</x:v>
      </x:c>
      <x:c r="C336" s="2" t="str">
        <x:v>산업</x:v>
      </x:c>
      <x:c r="D336" s="2" t="str">
        <x:v>9월 추가 후보</x:v>
      </x:c>
      <x:c r="E336" s="2" t="str">
        <x:v>923 | 6068140018 | 덕성인더스트리(주) 외 3개사의 인버터 공기압축기 교체를 통한 온실가스 감축사업 | 신규 | - | -</x:v>
      </x:c>
      <x:c r="F336" s="2" t="str">
        <x:v>변경 필드 없음</x:v>
      </x:c>
      <x:c r="G336" s="2" t="str"/>
      <x:c r="H336" s="2" t="str"/>
      <x:c r="I336" s="2" t="str">
        <x:v>국내_사업신청관리_20260731_산업부문.xls</x:v>
      </x:c>
      <x:c r="J336" s="2"/>
      <x:c r="K336" s="2" t="str">
        <x:v>국내_사업신청관리_20260921_산업부.xls</x:v>
      </x:c>
      <x:c r="L336" s="2" t="n">
        <x:v>125</x:v>
      </x:c>
    </x:row>
    <x:row r="337" ht="25" customHeight="1">
      <x:c r="A337" s="2" t="n">
        <x:v>297</x:v>
      </x:c>
      <x:c r="B337" s="2" t="str">
        <x:v>domestic_project</x:v>
      </x:c>
      <x:c r="C337" s="2" t="str">
        <x:v>산업</x:v>
      </x:c>
      <x:c r="D337" s="2" t="str">
        <x:v>9월 추가 후보</x:v>
      </x:c>
      <x:c r="E337" s="2" t="str">
        <x:v>924 | 6068140018 | (주)동호 외 3개사의 인버터 공기압축기 교체를 통한 온실가스 감축사업 | 신규 | - | -</x:v>
      </x:c>
      <x:c r="F337" s="2" t="str">
        <x:v>변경 필드 없음</x:v>
      </x:c>
      <x:c r="G337" s="2" t="str"/>
      <x:c r="H337" s="2" t="str"/>
      <x:c r="I337" s="2" t="str">
        <x:v>국내_사업신청관리_20260731_산업부문.xls</x:v>
      </x:c>
      <x:c r="J337" s="2"/>
      <x:c r="K337" s="2" t="str">
        <x:v>국내_사업신청관리_20260921_산업부.xls</x:v>
      </x:c>
      <x:c r="L337" s="2" t="n">
        <x:v>124</x:v>
      </x:c>
    </x:row>
    <x:row r="338" ht="25" customHeight="1">
      <x:c r="A338" s="2" t="n">
        <x:v>298</x:v>
      </x:c>
      <x:c r="B338" s="2" t="str">
        <x:v>domestic_project</x:v>
      </x:c>
      <x:c r="C338" s="2" t="str">
        <x:v>산업</x:v>
      </x:c>
      <x:c r="D338" s="2" t="str">
        <x:v>9월 미등장·삭제 아님</x:v>
      </x:c>
      <x:c r="E338" s="2" t="str">
        <x:v>924 | 6218114256 | (주)신신기계 인버터 공기압축기 교체를 통한 온실가스 감축사업 | 신규 | - | -</x:v>
      </x:c>
      <x:c r="F338" s="2" t="str">
        <x:v>변경 필드 없음</x:v>
      </x:c>
      <x:c r="G338" s="2" t="str"/>
      <x:c r="H338" s="2" t="str"/>
      <x:c r="I338" s="2" t="str">
        <x:v>국내_사업신청관리_20260731_산업부문.xls</x:v>
      </x:c>
      <x:c r="J338" s="2" t="n">
        <x:v>119</x:v>
      </x:c>
      <x:c r="K338" s="2" t="str">
        <x:v>국내_사업신청관리_20260921_산업부.xls</x:v>
      </x:c>
      <x:c r="L338" s="2"/>
    </x:row>
    <x:row r="339" ht="25" customHeight="1">
      <x:c r="A339" s="2" t="n">
        <x:v>299</x:v>
      </x:c>
      <x:c r="B339" s="2" t="str">
        <x:v>domestic_project</x:v>
      </x:c>
      <x:c r="C339" s="2" t="str">
        <x:v>산업</x:v>
      </x:c>
      <x:c r="D339" s="2" t="str">
        <x:v>9월 추가 후보</x:v>
      </x:c>
      <x:c r="E339" s="2" t="str">
        <x:v>925 | 6068140018 | (주)부국 외 3개사의 인버터 공기압축기 교체를 통한 온실가스 감축사업 | 신규 | - | -</x:v>
      </x:c>
      <x:c r="F339" s="2" t="str">
        <x:v>변경 필드 없음</x:v>
      </x:c>
      <x:c r="G339" s="2" t="str"/>
      <x:c r="H339" s="2" t="str"/>
      <x:c r="I339" s="2" t="str">
        <x:v>국내_사업신청관리_20260731_산업부문.xls</x:v>
      </x:c>
      <x:c r="J339" s="2"/>
      <x:c r="K339" s="2" t="str">
        <x:v>국내_사업신청관리_20260921_산업부.xls</x:v>
      </x:c>
      <x:c r="L339" s="2" t="n">
        <x:v>123</x:v>
      </x:c>
    </x:row>
    <x:row r="340" ht="25" customHeight="1">
      <x:c r="A340" s="2" t="n">
        <x:v>300</x:v>
      </x:c>
      <x:c r="B340" s="2" t="str">
        <x:v>domestic_project</x:v>
      </x:c>
      <x:c r="C340" s="2" t="str">
        <x:v>산업</x:v>
      </x:c>
      <x:c r="D340" s="2" t="str">
        <x:v>9월 미등장·삭제 아님</x:v>
      </x:c>
      <x:c r="E340" s="2" t="str">
        <x:v>925 | 6068140018 | (주)신한단조 외 4개사의 고효율 공기압축기 교체를 통한 온실가스 감축사업 | 신규 | - | -</x:v>
      </x:c>
      <x:c r="F340" s="2" t="str">
        <x:v>변경 필드 없음</x:v>
      </x:c>
      <x:c r="G340" s="2" t="str"/>
      <x:c r="H340" s="2" t="str"/>
      <x:c r="I340" s="2" t="str">
        <x:v>국내_사업신청관리_20260731_산업부문.xls</x:v>
      </x:c>
      <x:c r="J340" s="2" t="n">
        <x:v>118</x:v>
      </x:c>
      <x:c r="K340" s="2" t="str">
        <x:v>국내_사업신청관리_20260921_산업부.xls</x:v>
      </x:c>
      <x:c r="L340" s="2"/>
    </x:row>
    <x:row r="341" ht="25" customHeight="1">
      <x:c r="A341" s="2" t="n">
        <x:v>301</x:v>
      </x:c>
      <x:c r="B341" s="2" t="str">
        <x:v>domestic_project</x:v>
      </x:c>
      <x:c r="C341" s="2" t="str">
        <x:v>산업</x:v>
      </x:c>
      <x:c r="D341" s="2" t="str">
        <x:v>9월 미등장·삭제 아님</x:v>
      </x:c>
      <x:c r="E341" s="2" t="str">
        <x:v>926 | 6068140018 | (주)경성하이테크 외 5개사의 인버터 공기압축기 교체를 통한 온실가스 감축사업 | 신규 | - | -</x:v>
      </x:c>
      <x:c r="F341" s="2" t="str">
        <x:v>변경 필드 없음</x:v>
      </x:c>
      <x:c r="G341" s="2" t="str"/>
      <x:c r="H341" s="2" t="str"/>
      <x:c r="I341" s="2" t="str">
        <x:v>국내_사업신청관리_20260731_산업부문.xls</x:v>
      </x:c>
      <x:c r="J341" s="2" t="n">
        <x:v>117</x:v>
      </x:c>
      <x:c r="K341" s="2" t="str">
        <x:v>국내_사업신청관리_20260921_산업부.xls</x:v>
      </x:c>
      <x:c r="L341" s="2"/>
    </x:row>
    <x:row r="342" ht="25" customHeight="1">
      <x:c r="A342" s="2" t="n">
        <x:v>302</x:v>
      </x:c>
      <x:c r="B342" s="2" t="str">
        <x:v>domestic_project</x:v>
      </x:c>
      <x:c r="C342" s="2" t="str">
        <x:v>산업</x:v>
      </x:c>
      <x:c r="D342" s="2" t="str">
        <x:v>9월 추가 후보</x:v>
      </x:c>
      <x:c r="E342" s="2" t="str">
        <x:v>926 | 6118103524 | ㈜보광아스콘 연료전환(B-C유 → LPG)을 통한 온실가스 배출 감축사업 | 신규 | - | -</x:v>
      </x:c>
      <x:c r="F342" s="2" t="str">
        <x:v>변경 필드 없음</x:v>
      </x:c>
      <x:c r="G342" s="2" t="str"/>
      <x:c r="H342" s="2" t="str"/>
      <x:c r="I342" s="2" t="str">
        <x:v>국내_사업신청관리_20260731_산업부문.xls</x:v>
      </x:c>
      <x:c r="J342" s="2"/>
      <x:c r="K342" s="2" t="str">
        <x:v>국내_사업신청관리_20260921_산업부.xls</x:v>
      </x:c>
      <x:c r="L342" s="2" t="n">
        <x:v>122</x:v>
      </x:c>
    </x:row>
    <x:row r="343" ht="25" customHeight="1">
      <x:c r="A343" s="2" t="n">
        <x:v>303</x:v>
      </x:c>
      <x:c r="B343" s="2" t="str">
        <x:v>domestic_project</x:v>
      </x:c>
      <x:c r="C343" s="2" t="str">
        <x:v>산업</x:v>
      </x:c>
      <x:c r="D343" s="2" t="str">
        <x:v>9월 추가 후보</x:v>
      </x:c>
      <x:c r="E343" s="2" t="str">
        <x:v>927 | 3148213486 | 광주 우산 주공 3단지 아파트 연료전환을 통한 온실가스 감축사업 | 인증유효기간 갱신 | 2차 | -</x:v>
      </x:c>
      <x:c r="F343" s="2" t="str">
        <x:v>변경 필드 없음</x:v>
      </x:c>
      <x:c r="G343" s="2" t="str"/>
      <x:c r="H343" s="2" t="str"/>
      <x:c r="I343" s="2" t="str">
        <x:v>국내_사업신청관리_20260731_산업부문.xls</x:v>
      </x:c>
      <x:c r="J343" s="2"/>
      <x:c r="K343" s="2" t="str">
        <x:v>국내_사업신청관리_20260921_산업부.xls</x:v>
      </x:c>
      <x:c r="L343" s="2" t="n">
        <x:v>121</x:v>
      </x:c>
    </x:row>
    <x:row r="344" ht="25" customHeight="1">
      <x:c r="A344" s="2" t="n">
        <x:v>304</x:v>
      </x:c>
      <x:c r="B344" s="2" t="str">
        <x:v>domestic_project</x:v>
      </x:c>
      <x:c r="C344" s="2" t="str">
        <x:v>산업</x:v>
      </x:c>
      <x:c r="D344" s="2" t="str">
        <x:v>9월 미등장·삭제 아님</x:v>
      </x:c>
      <x:c r="E344" s="2" t="str">
        <x:v>927 | 6068140018 | 주)경한코리아 외 3개사의 인버터 공기압축기 교체를 통한 온실가스 감축사업 | 신규 | - | -</x:v>
      </x:c>
      <x:c r="F344" s="2" t="str">
        <x:v>변경 필드 없음</x:v>
      </x:c>
      <x:c r="G344" s="2" t="str"/>
      <x:c r="H344" s="2" t="str"/>
      <x:c r="I344" s="2" t="str">
        <x:v>국내_사업신청관리_20260731_산업부문.xls</x:v>
      </x:c>
      <x:c r="J344" s="2" t="n">
        <x:v>116</x:v>
      </x:c>
      <x:c r="K344" s="2" t="str">
        <x:v>국내_사업신청관리_20260921_산업부.xls</x:v>
      </x:c>
      <x:c r="L344" s="2"/>
    </x:row>
    <x:row r="345" ht="25" customHeight="1">
      <x:c r="A345" s="2" t="n">
        <x:v>305</x:v>
      </x:c>
      <x:c r="B345" s="2" t="str">
        <x:v>domestic_project</x:v>
      </x:c>
      <x:c r="C345" s="2" t="str">
        <x:v>산업</x:v>
      </x:c>
      <x:c r="D345" s="2" t="str">
        <x:v>9월 추가 후보</x:v>
      </x:c>
      <x:c r="E345" s="2" t="str">
        <x:v>928 | 1828100465 | 엑사옵토닉스(주)의 고효율 인버터 공기압축기 교체를 통한 온실가스 감축사업 | 신규 | - | -</x:v>
      </x:c>
      <x:c r="F345" s="2" t="str">
        <x:v>변경 필드 없음</x:v>
      </x:c>
      <x:c r="G345" s="2" t="str"/>
      <x:c r="H345" s="2" t="str"/>
      <x:c r="I345" s="2" t="str">
        <x:v>국내_사업신청관리_20260731_산업부문.xls</x:v>
      </x:c>
      <x:c r="J345" s="2"/>
      <x:c r="K345" s="2" t="str">
        <x:v>국내_사업신청관리_20260921_산업부.xls</x:v>
      </x:c>
      <x:c r="L345" s="2" t="n">
        <x:v>120</x:v>
      </x:c>
    </x:row>
    <x:row r="346" ht="25" customHeight="1">
      <x:c r="A346" s="2" t="n">
        <x:v>306</x:v>
      </x:c>
      <x:c r="B346" s="2" t="str">
        <x:v>domestic_project</x:v>
      </x:c>
      <x:c r="C346" s="2" t="str">
        <x:v>산업</x:v>
      </x:c>
      <x:c r="D346" s="2" t="str">
        <x:v>9월 미등장·삭제 아님</x:v>
      </x:c>
      <x:c r="E346" s="2" t="str">
        <x:v>928 | 6068140018 | 덕성인더스트리(주) 외 3개사의 인버터 공기압축기 교체를 통한 온실가스 감축사업 | 신규 | - | -</x:v>
      </x:c>
      <x:c r="F346" s="2" t="str">
        <x:v>변경 필드 없음</x:v>
      </x:c>
      <x:c r="G346" s="2" t="str"/>
      <x:c r="H346" s="2" t="str"/>
      <x:c r="I346" s="2" t="str">
        <x:v>국내_사업신청관리_20260731_산업부문.xls</x:v>
      </x:c>
      <x:c r="J346" s="2" t="n">
        <x:v>115</x:v>
      </x:c>
      <x:c r="K346" s="2" t="str">
        <x:v>국내_사업신청관리_20260921_산업부.xls</x:v>
      </x:c>
      <x:c r="L346" s="2"/>
    </x:row>
    <x:row r="347" ht="25" customHeight="1">
      <x:c r="A347" s="2" t="n">
        <x:v>307</x:v>
      </x:c>
      <x:c r="B347" s="2" t="str">
        <x:v>domestic_project</x:v>
      </x:c>
      <x:c r="C347" s="2" t="str">
        <x:v>산업</x:v>
      </x:c>
      <x:c r="D347" s="2" t="str">
        <x:v>9월 추가 후보</x:v>
      </x:c>
      <x:c r="E347" s="2" t="str">
        <x:v>929 | 1168100755 | 부산경남우유협동조합 울산공장의 B-C유에서 LPG로 연료전환을 통한 온실가스 감축 외부사업 | 신규 | - | -</x:v>
      </x:c>
      <x:c r="F347" s="2" t="str">
        <x:v>변경 필드 없음</x:v>
      </x:c>
      <x:c r="G347" s="2" t="str"/>
      <x:c r="H347" s="2" t="str"/>
      <x:c r="I347" s="2" t="str">
        <x:v>국내_사업신청관리_20260731_산업부문.xls</x:v>
      </x:c>
      <x:c r="J347" s="2"/>
      <x:c r="K347" s="2" t="str">
        <x:v>국내_사업신청관리_20260921_산업부.xls</x:v>
      </x:c>
      <x:c r="L347" s="2" t="n">
        <x:v>119</x:v>
      </x:c>
    </x:row>
    <x:row r="348" ht="25" customHeight="1">
      <x:c r="A348" s="2" t="n">
        <x:v>308</x:v>
      </x:c>
      <x:c r="B348" s="2" t="str">
        <x:v>domestic_project</x:v>
      </x:c>
      <x:c r="C348" s="2" t="str">
        <x:v>산업</x:v>
      </x:c>
      <x:c r="D348" s="2" t="str">
        <x:v>9월 미등장·삭제 아님</x:v>
      </x:c>
      <x:c r="E348" s="2" t="str">
        <x:v>929 | 6068140018 | (주)동호 외 3개사의 인버터 공기압축기 교체를 통한 온실가스 감축사업 | 신규 | - | -</x:v>
      </x:c>
      <x:c r="F348" s="2" t="str">
        <x:v>변경 필드 없음</x:v>
      </x:c>
      <x:c r="G348" s="2" t="str"/>
      <x:c r="H348" s="2" t="str"/>
      <x:c r="I348" s="2" t="str">
        <x:v>국내_사업신청관리_20260731_산업부문.xls</x:v>
      </x:c>
      <x:c r="J348" s="2" t="n">
        <x:v>114</x:v>
      </x:c>
      <x:c r="K348" s="2" t="str">
        <x:v>국내_사업신청관리_20260921_산업부.xls</x:v>
      </x:c>
      <x:c r="L348" s="2"/>
    </x:row>
    <x:row r="349" ht="25" customHeight="1">
      <x:c r="A349" s="2" t="n">
        <x:v>309</x:v>
      </x:c>
      <x:c r="B349" s="2" t="str">
        <x:v>domestic_project</x:v>
      </x:c>
      <x:c r="C349" s="2" t="str">
        <x:v>산업</x:v>
      </x:c>
      <x:c r="D349" s="2" t="str">
        <x:v>9월 추가 후보</x:v>
      </x:c>
      <x:c r="E349" s="2" t="str">
        <x:v>930 | 1168100755 | 명광아스콘의 B-C유에서 LPG로 연료전환을 통한 온실가스 감축 외부사업 | 신규 | - | -</x:v>
      </x:c>
      <x:c r="F349" s="2" t="str">
        <x:v>변경 필드 없음</x:v>
      </x:c>
      <x:c r="G349" s="2" t="str"/>
      <x:c r="H349" s="2" t="str"/>
      <x:c r="I349" s="2" t="str">
        <x:v>국내_사업신청관리_20260731_산업부문.xls</x:v>
      </x:c>
      <x:c r="J349" s="2"/>
      <x:c r="K349" s="2" t="str">
        <x:v>국내_사업신청관리_20260921_산업부.xls</x:v>
      </x:c>
      <x:c r="L349" s="2" t="n">
        <x:v>118</x:v>
      </x:c>
    </x:row>
    <x:row r="350" ht="25" customHeight="1">
      <x:c r="A350" s="2" t="n">
        <x:v>310</x:v>
      </x:c>
      <x:c r="B350" s="2" t="str">
        <x:v>domestic_project</x:v>
      </x:c>
      <x:c r="C350" s="2" t="str">
        <x:v>산업</x:v>
      </x:c>
      <x:c r="D350" s="2" t="str">
        <x:v>9월 미등장·삭제 아님</x:v>
      </x:c>
      <x:c r="E350" s="2" t="str">
        <x:v>930 | 6068140018 | (주)부국 외 3개사의 인버터 공기압축기 교체를 통한 온실가스 감축사업 | 신규 | - | -</x:v>
      </x:c>
      <x:c r="F350" s="2" t="str">
        <x:v>변경 필드 없음</x:v>
      </x:c>
      <x:c r="G350" s="2" t="str"/>
      <x:c r="H350" s="2" t="str"/>
      <x:c r="I350" s="2" t="str">
        <x:v>국내_사업신청관리_20260731_산업부문.xls</x:v>
      </x:c>
      <x:c r="J350" s="2" t="n">
        <x:v>113</x:v>
      </x:c>
      <x:c r="K350" s="2" t="str">
        <x:v>국내_사업신청관리_20260921_산업부.xls</x:v>
      </x:c>
      <x:c r="L350" s="2"/>
    </x:row>
    <x:row r="351" ht="25" customHeight="1">
      <x:c r="A351" s="2" t="n">
        <x:v>311</x:v>
      </x:c>
      <x:c r="B351" s="2" t="str">
        <x:v>domestic_project</x:v>
      </x:c>
      <x:c r="C351" s="2" t="str">
        <x:v>산업</x:v>
      </x:c>
      <x:c r="D351" s="2" t="str">
        <x:v>9월 추가 후보</x:v>
      </x:c>
      <x:c r="E351" s="2" t="str">
        <x:v>931 | 2218300385 | 2022년 춘천시 도로조명 LED 교체를 통한 감축사업 | 신규 | - | -</x:v>
      </x:c>
      <x:c r="F351" s="2" t="str">
        <x:v>변경 필드 없음</x:v>
      </x:c>
      <x:c r="G351" s="2" t="str"/>
      <x:c r="H351" s="2" t="str"/>
      <x:c r="I351" s="2" t="str">
        <x:v>국내_사업신청관리_20260731_산업부문.xls</x:v>
      </x:c>
      <x:c r="J351" s="2"/>
      <x:c r="K351" s="2" t="str">
        <x:v>국내_사업신청관리_20260921_산업부.xls</x:v>
      </x:c>
      <x:c r="L351" s="2" t="n">
        <x:v>117</x:v>
      </x:c>
    </x:row>
    <x:row r="352" ht="25" customHeight="1">
      <x:c r="A352" s="2" t="n">
        <x:v>312</x:v>
      </x:c>
      <x:c r="B352" s="2" t="str">
        <x:v>domestic_project</x:v>
      </x:c>
      <x:c r="C352" s="2" t="str">
        <x:v>산업</x:v>
      </x:c>
      <x:c r="D352" s="2" t="str">
        <x:v>9월 미등장·삭제 아님</x:v>
      </x:c>
      <x:c r="E352" s="2" t="str">
        <x:v>931 | 6118103524 | ㈜보광아스콘 연료전환(B-C유 → LPG)을 통한 온실가스 배출 감축사업 | 신규 | - | -</x:v>
      </x:c>
      <x:c r="F352" s="2" t="str">
        <x:v>변경 필드 없음</x:v>
      </x:c>
      <x:c r="G352" s="2" t="str"/>
      <x:c r="H352" s="2" t="str"/>
      <x:c r="I352" s="2" t="str">
        <x:v>국내_사업신청관리_20260731_산업부문.xls</x:v>
      </x:c>
      <x:c r="J352" s="2" t="n">
        <x:v>112</x:v>
      </x:c>
      <x:c r="K352" s="2" t="str">
        <x:v>국내_사업신청관리_20260921_산업부.xls</x:v>
      </x:c>
      <x:c r="L352" s="2"/>
    </x:row>
    <x:row r="353" ht="25" customHeight="1">
      <x:c r="A353" s="2" t="n">
        <x:v>313</x:v>
      </x:c>
      <x:c r="B353" s="2" t="str">
        <x:v>domestic_project</x:v>
      </x:c>
      <x:c r="C353" s="2" t="str">
        <x:v>산업</x:v>
      </x:c>
      <x:c r="D353" s="2" t="str">
        <x:v>9월 추가 후보</x:v>
      </x:c>
      <x:c r="E353" s="2" t="str">
        <x:v>932 | 1828100465 | 미활용 열에너지를 활용한 온실가스 감축 사업 | 신규 | - | -</x:v>
      </x:c>
      <x:c r="F353" s="2" t="str">
        <x:v>변경 필드 없음</x:v>
      </x:c>
      <x:c r="G353" s="2" t="str"/>
      <x:c r="H353" s="2" t="str"/>
      <x:c r="I353" s="2" t="str">
        <x:v>국내_사업신청관리_20260731_산업부문.xls</x:v>
      </x:c>
      <x:c r="J353" s="2"/>
      <x:c r="K353" s="2" t="str">
        <x:v>국내_사업신청관리_20260921_산업부.xls</x:v>
      </x:c>
      <x:c r="L353" s="2" t="n">
        <x:v>116</x:v>
      </x:c>
    </x:row>
    <x:row r="354" ht="25" customHeight="1">
      <x:c r="A354" s="2" t="n">
        <x:v>314</x:v>
      </x:c>
      <x:c r="B354" s="2" t="str">
        <x:v>domestic_project</x:v>
      </x:c>
      <x:c r="C354" s="2" t="str">
        <x:v>산업</x:v>
      </x:c>
      <x:c r="D354" s="2" t="str">
        <x:v>9월 미등장·삭제 아님</x:v>
      </x:c>
      <x:c r="E354" s="2" t="str">
        <x:v>932 | 3148213486 | 광주 우산 주공 3단지 아파트 연료전환을 통한 온실가스 감축사업 | 인증유효기간 갱신 | 2차 | -</x:v>
      </x:c>
      <x:c r="F354" s="2" t="str">
        <x:v>변경 필드 없음</x:v>
      </x:c>
      <x:c r="G354" s="2" t="str"/>
      <x:c r="H354" s="2" t="str"/>
      <x:c r="I354" s="2" t="str">
        <x:v>국내_사업신청관리_20260731_산업부문.xls</x:v>
      </x:c>
      <x:c r="J354" s="2" t="n">
        <x:v>111</x:v>
      </x:c>
      <x:c r="K354" s="2" t="str">
        <x:v>국내_사업신청관리_20260921_산업부.xls</x:v>
      </x:c>
      <x:c r="L354" s="2"/>
    </x:row>
    <x:row r="355" ht="25" customHeight="1">
      <x:c r="A355" s="2" t="n">
        <x:v>315</x:v>
      </x:c>
      <x:c r="B355" s="2" t="str">
        <x:v>domestic_project</x:v>
      </x:c>
      <x:c r="C355" s="2" t="str">
        <x:v>산업</x:v>
      </x:c>
      <x:c r="D355" s="2" t="str">
        <x:v>9월 미등장·삭제 아님</x:v>
      </x:c>
      <x:c r="E355" s="2" t="str">
        <x:v>933 | 1828100465 | 엑사옵토닉스(주)의 고효율 인버터 공기압축기 교체를 통한 온실가스 감축사업 | 신규 | - | -</x:v>
      </x:c>
      <x:c r="F355" s="2" t="str">
        <x:v>변경 필드 없음</x:v>
      </x:c>
      <x:c r="G355" s="2" t="str"/>
      <x:c r="H355" s="2" t="str"/>
      <x:c r="I355" s="2" t="str">
        <x:v>국내_사업신청관리_20260731_산업부문.xls</x:v>
      </x:c>
      <x:c r="J355" s="2" t="n">
        <x:v>110</x:v>
      </x:c>
      <x:c r="K355" s="2" t="str">
        <x:v>국내_사업신청관리_20260921_산업부.xls</x:v>
      </x:c>
      <x:c r="L355" s="2"/>
    </x:row>
    <x:row r="356" ht="25" customHeight="1">
      <x:c r="A356" s="2" t="n">
        <x:v>316</x:v>
      </x:c>
      <x:c r="B356" s="2" t="str">
        <x:v>domestic_project</x:v>
      </x:c>
      <x:c r="C356" s="2" t="str">
        <x:v>산업</x:v>
      </x:c>
      <x:c r="D356" s="2" t="str">
        <x:v>9월 추가 후보</x:v>
      </x:c>
      <x:c r="E356" s="2" t="str">
        <x:v>933 | 5048138778 | (주)건영기계의 에너지절감형 공기압축기  설치를 통한 전력사용량 및 온실가스 묶음 감축사업 | 신규 | - | -</x:v>
      </x:c>
      <x:c r="F356" s="2" t="str">
        <x:v>변경 필드 없음</x:v>
      </x:c>
      <x:c r="G356" s="2" t="str"/>
      <x:c r="H356" s="2" t="str"/>
      <x:c r="I356" s="2" t="str">
        <x:v>국내_사업신청관리_20260731_산업부문.xls</x:v>
      </x:c>
      <x:c r="J356" s="2"/>
      <x:c r="K356" s="2" t="str">
        <x:v>국내_사업신청관리_20260921_산업부.xls</x:v>
      </x:c>
      <x:c r="L356" s="2" t="n">
        <x:v>115</x:v>
      </x:c>
    </x:row>
    <x:row r="357" ht="25" customHeight="1">
      <x:c r="A357" s="2" t="n">
        <x:v>317</x:v>
      </x:c>
      <x:c r="B357" s="2" t="str">
        <x:v>domestic_project</x:v>
      </x:c>
      <x:c r="C357" s="2" t="str">
        <x:v>산업</x:v>
      </x:c>
      <x:c r="D357" s="2" t="str">
        <x:v>9월 미등장·삭제 아님</x:v>
      </x:c>
      <x:c r="E357" s="2" t="str">
        <x:v>934 | 1168100755 | 부산경남우유협동조합 울산공장의 B-C유에서 LPG로 연료전환을 통한 온실가스 감축 외부사업 | 신규 | - | -</x:v>
      </x:c>
      <x:c r="F357" s="2" t="str">
        <x:v>변경 필드 없음</x:v>
      </x:c>
      <x:c r="G357" s="2" t="str"/>
      <x:c r="H357" s="2" t="str"/>
      <x:c r="I357" s="2" t="str">
        <x:v>국내_사업신청관리_20260731_산업부문.xls</x:v>
      </x:c>
      <x:c r="J357" s="2" t="n">
        <x:v>109</x:v>
      </x:c>
      <x:c r="K357" s="2" t="str">
        <x:v>국내_사업신청관리_20260921_산업부.xls</x:v>
      </x:c>
      <x:c r="L357" s="2"/>
    </x:row>
    <x:row r="358" ht="25" customHeight="1">
      <x:c r="A358" s="2" t="n">
        <x:v>318</x:v>
      </x:c>
      <x:c r="B358" s="2" t="str">
        <x:v>domestic_project</x:v>
      </x:c>
      <x:c r="C358" s="2" t="str">
        <x:v>산업</x:v>
      </x:c>
      <x:c r="D358" s="2" t="str">
        <x:v>9월 추가 후보</x:v>
      </x:c>
      <x:c r="E358" s="2" t="str">
        <x:v>934 | 5068125416 | 우정건설(주) 연료전환(B-C유 → LPG)을 통한 온실가스 배출 감축사업 | 신규 | - | -</x:v>
      </x:c>
      <x:c r="F358" s="2" t="str">
        <x:v>변경 필드 없음</x:v>
      </x:c>
      <x:c r="G358" s="2" t="str"/>
      <x:c r="H358" s="2" t="str"/>
      <x:c r="I358" s="2" t="str">
        <x:v>국내_사업신청관리_20260731_산업부문.xls</x:v>
      </x:c>
      <x:c r="J358" s="2"/>
      <x:c r="K358" s="2" t="str">
        <x:v>국내_사업신청관리_20260921_산업부.xls</x:v>
      </x:c>
      <x:c r="L358" s="2" t="n">
        <x:v>114</x:v>
      </x:c>
    </x:row>
    <x:row r="359" ht="25" customHeight="1">
      <x:c r="A359" s="2" t="n">
        <x:v>319</x:v>
      </x:c>
      <x:c r="B359" s="2" t="str">
        <x:v>domestic_project</x:v>
      </x:c>
      <x:c r="C359" s="2" t="str">
        <x:v>산업</x:v>
      </x:c>
      <x:c r="D359" s="2" t="str">
        <x:v>9월 미등장·삭제 아님</x:v>
      </x:c>
      <x:c r="E359" s="2" t="str">
        <x:v>935 | 1168100755 | 명광아스콘의 B-C유에서 LPG로 연료전환을 통한 온실가스 감축 외부사업 | 신규 | - | -</x:v>
      </x:c>
      <x:c r="F359" s="2" t="str">
        <x:v>변경 필드 없음</x:v>
      </x:c>
      <x:c r="G359" s="2" t="str"/>
      <x:c r="H359" s="2" t="str"/>
      <x:c r="I359" s="2" t="str">
        <x:v>국내_사업신청관리_20260731_산업부문.xls</x:v>
      </x:c>
      <x:c r="J359" s="2" t="n">
        <x:v>108</x:v>
      </x:c>
      <x:c r="K359" s="2" t="str">
        <x:v>국내_사업신청관리_20260921_산업부.xls</x:v>
      </x:c>
      <x:c r="L359" s="2"/>
    </x:row>
    <x:row r="360" ht="25" customHeight="1">
      <x:c r="A360" s="2" t="n">
        <x:v>320</x:v>
      </x:c>
      <x:c r="B360" s="2" t="str">
        <x:v>domestic_project</x:v>
      </x:c>
      <x:c r="C360" s="2" t="str">
        <x:v>산업</x:v>
      </x:c>
      <x:c r="D360" s="2" t="str">
        <x:v>9월 추가 후보</x:v>
      </x:c>
      <x:c r="E360" s="2" t="str">
        <x:v>935 | 5068187391 | 우광산업(주) 연료전환(B-C유 → LPG)을 통한 온실가스 배출 감축사업 | 신규 | - | -</x:v>
      </x:c>
      <x:c r="F360" s="2" t="str">
        <x:v>변경 필드 없음</x:v>
      </x:c>
      <x:c r="G360" s="2" t="str"/>
      <x:c r="H360" s="2" t="str"/>
      <x:c r="I360" s="2" t="str">
        <x:v>국내_사업신청관리_20260731_산업부문.xls</x:v>
      </x:c>
      <x:c r="J360" s="2"/>
      <x:c r="K360" s="2" t="str">
        <x:v>국내_사업신청관리_20260921_산업부.xls</x:v>
      </x:c>
      <x:c r="L360" s="2" t="n">
        <x:v>113</x:v>
      </x:c>
    </x:row>
    <x:row r="361" ht="25" customHeight="1">
      <x:c r="A361" s="2" t="n">
        <x:v>321</x:v>
      </x:c>
      <x:c r="B361" s="2" t="str">
        <x:v>domestic_project</x:v>
      </x:c>
      <x:c r="C361" s="2" t="str">
        <x:v>산업</x:v>
      </x:c>
      <x:c r="D361" s="2" t="str">
        <x:v>9월 미등장·삭제 아님</x:v>
      </x:c>
      <x:c r="E361" s="2" t="str">
        <x:v>936 | 2218300385 | 2022년 춘천시 도로조명 LED 교체를 통한 감축사업 | 신규 | - | -</x:v>
      </x:c>
      <x:c r="F361" s="2" t="str">
        <x:v>변경 필드 없음</x:v>
      </x:c>
      <x:c r="G361" s="2" t="str"/>
      <x:c r="H361" s="2" t="str"/>
      <x:c r="I361" s="2" t="str">
        <x:v>국내_사업신청관리_20260731_산업부문.xls</x:v>
      </x:c>
      <x:c r="J361" s="2" t="n">
        <x:v>107</x:v>
      </x:c>
      <x:c r="K361" s="2" t="str">
        <x:v>국내_사업신청관리_20260921_산업부.xls</x:v>
      </x:c>
      <x:c r="L361" s="2"/>
    </x:row>
    <x:row r="362" ht="25" customHeight="1">
      <x:c r="A362" s="2" t="n">
        <x:v>322</x:v>
      </x:c>
      <x:c r="B362" s="2" t="str">
        <x:v>domestic_project</x:v>
      </x:c>
      <x:c r="C362" s="2" t="str">
        <x:v>산업</x:v>
      </x:c>
      <x:c r="D362" s="2" t="str">
        <x:v>9월 추가 후보</x:v>
      </x:c>
      <x:c r="E362" s="2" t="str">
        <x:v>936 | 5128106957 | ㈜경북환경 연료전환(B-C유→ LPG)을 통한 온실가스 배출 감축사업 | 신규 | - | -</x:v>
      </x:c>
      <x:c r="F362" s="2" t="str">
        <x:v>변경 필드 없음</x:v>
      </x:c>
      <x:c r="G362" s="2" t="str"/>
      <x:c r="H362" s="2" t="str"/>
      <x:c r="I362" s="2" t="str">
        <x:v>국내_사업신청관리_20260731_산업부문.xls</x:v>
      </x:c>
      <x:c r="J362" s="2"/>
      <x:c r="K362" s="2" t="str">
        <x:v>국내_사업신청관리_20260921_산업부.xls</x:v>
      </x:c>
      <x:c r="L362" s="2" t="n">
        <x:v>112</x:v>
      </x:c>
    </x:row>
    <x:row r="363" ht="25" customHeight="1">
      <x:c r="A363" s="2" t="n">
        <x:v>323</x:v>
      </x:c>
      <x:c r="B363" s="2" t="str">
        <x:v>domestic_project</x:v>
      </x:c>
      <x:c r="C363" s="2" t="str">
        <x:v>산업</x:v>
      </x:c>
      <x:c r="D363" s="2" t="str">
        <x:v>9월 미등장·삭제 아님</x:v>
      </x:c>
      <x:c r="E363" s="2" t="str">
        <x:v>937 | 1828100465 | 미활용 열에너지를 활용한 온실가스 감축 사업 | 신규 | - | -</x:v>
      </x:c>
      <x:c r="F363" s="2" t="str">
        <x:v>변경 필드 없음</x:v>
      </x:c>
      <x:c r="G363" s="2" t="str"/>
      <x:c r="H363" s="2" t="str"/>
      <x:c r="I363" s="2" t="str">
        <x:v>국내_사업신청관리_20260731_산업부문.xls</x:v>
      </x:c>
      <x:c r="J363" s="2" t="n">
        <x:v>106</x:v>
      </x:c>
      <x:c r="K363" s="2" t="str">
        <x:v>국내_사업신청관리_20260921_산업부.xls</x:v>
      </x:c>
      <x:c r="L363" s="2"/>
    </x:row>
    <x:row r="364" ht="25" customHeight="1">
      <x:c r="A364" s="2" t="n">
        <x:v>324</x:v>
      </x:c>
      <x:c r="B364" s="2" t="str">
        <x:v>domestic_project</x:v>
      </x:c>
      <x:c r="C364" s="2" t="str">
        <x:v>산업</x:v>
      </x:c>
      <x:c r="D364" s="2" t="str">
        <x:v>9월 추가 후보</x:v>
      </x:c>
      <x:c r="E364" s="2" t="str">
        <x:v>937 | 8408700258 | 제조분야 에너지관리 개선을 위한 인버터 도입 프로그램 감축사업 | 신규 | - | -</x:v>
      </x:c>
      <x:c r="F364" s="2" t="str">
        <x:v>변경 필드 없음</x:v>
      </x:c>
      <x:c r="G364" s="2" t="str"/>
      <x:c r="H364" s="2" t="str"/>
      <x:c r="I364" s="2" t="str">
        <x:v>국내_사업신청관리_20260731_산업부문.xls</x:v>
      </x:c>
      <x:c r="J364" s="2"/>
      <x:c r="K364" s="2" t="str">
        <x:v>국내_사업신청관리_20260921_산업부.xls</x:v>
      </x:c>
      <x:c r="L364" s="2" t="n">
        <x:v>111</x:v>
      </x:c>
    </x:row>
    <x:row r="365" ht="25" customHeight="1">
      <x:c r="A365" s="2" t="n">
        <x:v>325</x:v>
      </x:c>
      <x:c r="B365" s="2" t="str">
        <x:v>domestic_project</x:v>
      </x:c>
      <x:c r="C365" s="2" t="str">
        <x:v>산업</x:v>
      </x:c>
      <x:c r="D365" s="2" t="str">
        <x:v>9월 추가 후보</x:v>
      </x:c>
      <x:c r="E365" s="2" t="str">
        <x:v>938 | 1388156604 | 코오롱바스프이노폼의 TX 생산공정에서의 폐열회수를 통한 온실가스 감축사업 | 권리의 승계 | - | 1차</x:v>
      </x:c>
      <x:c r="F365" s="2" t="str">
        <x:v>변경 필드 없음</x:v>
      </x:c>
      <x:c r="G365" s="2" t="str"/>
      <x:c r="H365" s="2" t="str"/>
      <x:c r="I365" s="2" t="str">
        <x:v>국내_사업신청관리_20260731_산업부문.xls</x:v>
      </x:c>
      <x:c r="J365" s="2"/>
      <x:c r="K365" s="2" t="str">
        <x:v>국내_사업신청관리_20260921_산업부.xls</x:v>
      </x:c>
      <x:c r="L365" s="2" t="n">
        <x:v>110</x:v>
      </x:c>
    </x:row>
    <x:row r="366" ht="25" customHeight="1">
      <x:c r="A366" s="2" t="n">
        <x:v>326</x:v>
      </x:c>
      <x:c r="B366" s="2" t="str">
        <x:v>domestic_project</x:v>
      </x:c>
      <x:c r="C366" s="2" t="str">
        <x:v>산업</x:v>
      </x:c>
      <x:c r="D366" s="2" t="str">
        <x:v>9월 미등장·삭제 아님</x:v>
      </x:c>
      <x:c r="E366" s="2" t="str">
        <x:v>938 | 5048138778 | (주)건영기계의 에너지절감형 공기압축기  설치를 통한 전력사용량 및 온실가스 묶음 감축사업 | 신규 | - | -</x:v>
      </x:c>
      <x:c r="F366" s="2" t="str">
        <x:v>변경 필드 없음</x:v>
      </x:c>
      <x:c r="G366" s="2" t="str"/>
      <x:c r="H366" s="2" t="str"/>
      <x:c r="I366" s="2" t="str">
        <x:v>국내_사업신청관리_20260731_산업부문.xls</x:v>
      </x:c>
      <x:c r="J366" s="2" t="n">
        <x:v>105</x:v>
      </x:c>
      <x:c r="K366" s="2" t="str">
        <x:v>국내_사업신청관리_20260921_산업부.xls</x:v>
      </x:c>
      <x:c r="L366" s="2"/>
    </x:row>
    <x:row r="367" ht="25" customHeight="1">
      <x:c r="A367" s="2" t="n">
        <x:v>327</x:v>
      </x:c>
      <x:c r="B367" s="2" t="str">
        <x:v>domestic_project</x:v>
      </x:c>
      <x:c r="C367" s="2" t="str">
        <x:v>산업</x:v>
      </x:c>
      <x:c r="D367" s="2" t="str">
        <x:v>9월 미등장·삭제 아님</x:v>
      </x:c>
      <x:c r="E367" s="2" t="str">
        <x:v>939 | 5068125416 | 우정건설(주) 연료전환(B-C유 → LPG)을 통한 온실가스 배출 감축사업 | 신규 | - | -</x:v>
      </x:c>
      <x:c r="F367" s="2" t="str">
        <x:v>변경 필드 없음</x:v>
      </x:c>
      <x:c r="G367" s="2" t="str"/>
      <x:c r="H367" s="2" t="str"/>
      <x:c r="I367" s="2" t="str">
        <x:v>국내_사업신청관리_20260731_산업부문.xls</x:v>
      </x:c>
      <x:c r="J367" s="2" t="n">
        <x:v>104</x:v>
      </x:c>
      <x:c r="K367" s="2" t="str">
        <x:v>국내_사업신청관리_20260921_산업부.xls</x:v>
      </x:c>
      <x:c r="L367" s="2"/>
    </x:row>
    <x:row r="368" ht="25" customHeight="1">
      <x:c r="A368" s="2" t="n">
        <x:v>328</x:v>
      </x:c>
      <x:c r="B368" s="2" t="str">
        <x:v>domestic_project</x:v>
      </x:c>
      <x:c r="C368" s="2" t="str">
        <x:v>산업</x:v>
      </x:c>
      <x:c r="D368" s="2" t="str">
        <x:v>9월 추가 후보</x:v>
      </x:c>
      <x:c r="E368" s="2" t="str">
        <x:v>939 | 6068140018 | (주)금강부러쉬 외 5개사의 인버터 공기압축기 교체를 통한 온실가스 감축사업 | 사업변경 | - | 1차</x:v>
      </x:c>
      <x:c r="F368" s="2" t="str">
        <x:v>변경 필드 없음</x:v>
      </x:c>
      <x:c r="G368" s="2" t="str"/>
      <x:c r="H368" s="2" t="str"/>
      <x:c r="I368" s="2" t="str">
        <x:v>국내_사업신청관리_20260731_산업부문.xls</x:v>
      </x:c>
      <x:c r="J368" s="2"/>
      <x:c r="K368" s="2" t="str">
        <x:v>국내_사업신청관리_20260921_산업부.xls</x:v>
      </x:c>
      <x:c r="L368" s="2" t="n">
        <x:v>109</x:v>
      </x:c>
    </x:row>
    <x:row r="369" ht="25" customHeight="1">
      <x:c r="A369" s="2" t="n">
        <x:v>329</x:v>
      </x:c>
      <x:c r="B369" s="2" t="str">
        <x:v>domestic_project</x:v>
      </x:c>
      <x:c r="C369" s="2" t="str">
        <x:v>산업</x:v>
      </x:c>
      <x:c r="D369" s="2" t="str">
        <x:v>9월 추가 후보</x:v>
      </x:c>
      <x:c r="E369" s="2" t="str">
        <x:v>940 | 4358800539 | 대흥우드산업(주)  고효율 1단 인버터 PM Motor 공기압축기로 교체 사업 | 신규 | - | -</x:v>
      </x:c>
      <x:c r="F369" s="2" t="str">
        <x:v>변경 필드 없음</x:v>
      </x:c>
      <x:c r="G369" s="2" t="str"/>
      <x:c r="H369" s="2" t="str"/>
      <x:c r="I369" s="2" t="str">
        <x:v>국내_사업신청관리_20260731_산업부문.xls</x:v>
      </x:c>
      <x:c r="J369" s="2"/>
      <x:c r="K369" s="2" t="str">
        <x:v>국내_사업신청관리_20260921_산업부.xls</x:v>
      </x:c>
      <x:c r="L369" s="2" t="n">
        <x:v>108</x:v>
      </x:c>
    </x:row>
    <x:row r="370" ht="25" customHeight="1">
      <x:c r="A370" s="2" t="n">
        <x:v>330</x:v>
      </x:c>
      <x:c r="B370" s="2" t="str">
        <x:v>domestic_project</x:v>
      </x:c>
      <x:c r="C370" s="2" t="str">
        <x:v>산업</x:v>
      </x:c>
      <x:c r="D370" s="2" t="str">
        <x:v>9월 미등장·삭제 아님</x:v>
      </x:c>
      <x:c r="E370" s="2" t="str">
        <x:v>940 | 5068187391 | 우광산업(주) 연료전환(B-C유 → LPG)을 통한 온실가스 배출 감축사업 | 신규 | - | -</x:v>
      </x:c>
      <x:c r="F370" s="2" t="str">
        <x:v>변경 필드 없음</x:v>
      </x:c>
      <x:c r="G370" s="2" t="str"/>
      <x:c r="H370" s="2" t="str"/>
      <x:c r="I370" s="2" t="str">
        <x:v>국내_사업신청관리_20260731_산업부문.xls</x:v>
      </x:c>
      <x:c r="J370" s="2" t="n">
        <x:v>103</x:v>
      </x:c>
      <x:c r="K370" s="2" t="str">
        <x:v>국내_사업신청관리_20260921_산업부.xls</x:v>
      </x:c>
      <x:c r="L370" s="2"/>
    </x:row>
    <x:row r="371" ht="25" customHeight="1">
      <x:c r="A371" s="2" t="n">
        <x:v>331</x:v>
      </x:c>
      <x:c r="B371" s="2" t="str">
        <x:v>domestic_project</x:v>
      </x:c>
      <x:c r="C371" s="2" t="str">
        <x:v>산업</x:v>
      </x:c>
      <x:c r="D371" s="2" t="str">
        <x:v>9월 추가 후보</x:v>
      </x:c>
      <x:c r="E371" s="2" t="str">
        <x:v>941 | 3148213486 | 광주 각화 주공아파트 연료전환을 통한 온실가스 감축사업 | 인증유효기간 갱신 | 2차 | -</x:v>
      </x:c>
      <x:c r="F371" s="2" t="str">
        <x:v>변경 필드 없음</x:v>
      </x:c>
      <x:c r="G371" s="2" t="str"/>
      <x:c r="H371" s="2" t="str"/>
      <x:c r="I371" s="2" t="str">
        <x:v>국내_사업신청관리_20260731_산업부문.xls</x:v>
      </x:c>
      <x:c r="J371" s="2"/>
      <x:c r="K371" s="2" t="str">
        <x:v>국내_사업신청관리_20260921_산업부.xls</x:v>
      </x:c>
      <x:c r="L371" s="2" t="n">
        <x:v>107</x:v>
      </x:c>
    </x:row>
    <x:row r="372" ht="25" customHeight="1">
      <x:c r="A372" s="2" t="n">
        <x:v>332</x:v>
      </x:c>
      <x:c r="B372" s="2" t="str">
        <x:v>domestic_project</x:v>
      </x:c>
      <x:c r="C372" s="2" t="str">
        <x:v>산업</x:v>
      </x:c>
      <x:c r="D372" s="2" t="str">
        <x:v>9월 미등장·삭제 아님</x:v>
      </x:c>
      <x:c r="E372" s="2" t="str">
        <x:v>941 | 5128106957 | ㈜경북환경 연료전환(B-C유→ LPG)을 통한 온실가스 배출 감축사업 | 신규 | - | -</x:v>
      </x:c>
      <x:c r="F372" s="2" t="str">
        <x:v>변경 필드 없음</x:v>
      </x:c>
      <x:c r="G372" s="2" t="str"/>
      <x:c r="H372" s="2" t="str"/>
      <x:c r="I372" s="2" t="str">
        <x:v>국내_사업신청관리_20260731_산업부문.xls</x:v>
      </x:c>
      <x:c r="J372" s="2" t="n">
        <x:v>102</x:v>
      </x:c>
      <x:c r="K372" s="2" t="str">
        <x:v>국내_사업신청관리_20260921_산업부.xls</x:v>
      </x:c>
      <x:c r="L372" s="2"/>
    </x:row>
    <x:row r="373" ht="25" customHeight="1">
      <x:c r="A373" s="2" t="n">
        <x:v>333</x:v>
      </x:c>
      <x:c r="B373" s="2" t="str">
        <x:v>domestic_project</x:v>
      </x:c>
      <x:c r="C373" s="2" t="str">
        <x:v>산업</x:v>
      </x:c>
      <x:c r="D373" s="2" t="str">
        <x:v>9월 추가 후보</x:v>
      </x:c>
      <x:c r="E373" s="2" t="str">
        <x:v>942 | 4358800539 | 동해산업(주) 고효율 2단 인버터 PM  Motor 공기압축기로 교체 사업 | 신규 | - | -</x:v>
      </x:c>
      <x:c r="F373" s="2" t="str">
        <x:v>변경 필드 없음</x:v>
      </x:c>
      <x:c r="G373" s="2" t="str"/>
      <x:c r="H373" s="2" t="str"/>
      <x:c r="I373" s="2" t="str">
        <x:v>국내_사업신청관리_20260731_산업부문.xls</x:v>
      </x:c>
      <x:c r="J373" s="2"/>
      <x:c r="K373" s="2" t="str">
        <x:v>국내_사업신청관리_20260921_산업부.xls</x:v>
      </x:c>
      <x:c r="L373" s="2" t="n">
        <x:v>106</x:v>
      </x:c>
    </x:row>
    <x:row r="374" ht="25" customHeight="1">
      <x:c r="A374" s="2" t="n">
        <x:v>334</x:v>
      </x:c>
      <x:c r="B374" s="2" t="str">
        <x:v>domestic_project</x:v>
      </x:c>
      <x:c r="C374" s="2" t="str">
        <x:v>산업</x:v>
      </x:c>
      <x:c r="D374" s="2" t="str">
        <x:v>9월 미등장·삭제 아님</x:v>
      </x:c>
      <x:c r="E374" s="2" t="str">
        <x:v>942 | 8408700258 | 제조분야 에너지관리 개선을 위한 인버터 도입 프로그램 감축사업 | 신규 | - | -</x:v>
      </x:c>
      <x:c r="F374" s="2" t="str">
        <x:v>변경 필드 없음</x:v>
      </x:c>
      <x:c r="G374" s="2" t="str"/>
      <x:c r="H374" s="2" t="str"/>
      <x:c r="I374" s="2" t="str">
        <x:v>국내_사업신청관리_20260731_산업부문.xls</x:v>
      </x:c>
      <x:c r="J374" s="2" t="n">
        <x:v>101</x:v>
      </x:c>
      <x:c r="K374" s="2" t="str">
        <x:v>국내_사업신청관리_20260921_산업부.xls</x:v>
      </x:c>
      <x:c r="L374" s="2"/>
    </x:row>
    <x:row r="375" ht="25" customHeight="1">
      <x:c r="A375" s="2" t="n">
        <x:v>335</x:v>
      </x:c>
      <x:c r="B375" s="2" t="str">
        <x:v>domestic_project</x:v>
      </x:c>
      <x:c r="C375" s="2" t="str">
        <x:v>산업</x:v>
      </x:c>
      <x:c r="D375" s="2" t="str">
        <x:v>9월 미등장·삭제 아님</x:v>
      </x:c>
      <x:c r="E375" s="2" t="str">
        <x:v>943 | 1388156604 | 코오롱바스프이노폼의 TX 생산공정에서의 폐열회수를 통한 온실가스 감축사업 | 권리의 승계 | - | 1차</x:v>
      </x:c>
      <x:c r="F375" s="2" t="str">
        <x:v>변경 필드 없음</x:v>
      </x:c>
      <x:c r="G375" s="2" t="str"/>
      <x:c r="H375" s="2" t="str"/>
      <x:c r="I375" s="2" t="str">
        <x:v>국내_사업신청관리_20260731_산업부문.xls</x:v>
      </x:c>
      <x:c r="J375" s="2" t="n">
        <x:v>100</x:v>
      </x:c>
      <x:c r="K375" s="2" t="str">
        <x:v>국내_사업신청관리_20260921_산업부.xls</x:v>
      </x:c>
      <x:c r="L375" s="2"/>
    </x:row>
    <x:row r="376" ht="25" customHeight="1">
      <x:c r="A376" s="2" t="n">
        <x:v>336</x:v>
      </x:c>
      <x:c r="B376" s="2" t="str">
        <x:v>domestic_project</x:v>
      </x:c>
      <x:c r="C376" s="2" t="str">
        <x:v>산업</x:v>
      </x:c>
      <x:c r="D376" s="2" t="str">
        <x:v>9월 추가 후보</x:v>
      </x:c>
      <x:c r="E376" s="2" t="str">
        <x:v>943 | 4358800539 | (주)금장 고효율 2단 인버터 PM  Motor 공기압축기로 교체 사업 | 신규 | - | -</x:v>
      </x:c>
      <x:c r="F376" s="2" t="str">
        <x:v>변경 필드 없음</x:v>
      </x:c>
      <x:c r="G376" s="2" t="str"/>
      <x:c r="H376" s="2" t="str"/>
      <x:c r="I376" s="2" t="str">
        <x:v>국내_사업신청관리_20260731_산업부문.xls</x:v>
      </x:c>
      <x:c r="J376" s="2"/>
      <x:c r="K376" s="2" t="str">
        <x:v>국내_사업신청관리_20260921_산업부.xls</x:v>
      </x:c>
      <x:c r="L376" s="2" t="n">
        <x:v>105</x:v>
      </x:c>
    </x:row>
    <x:row r="377" ht="25" customHeight="1">
      <x:c r="A377" s="2" t="n">
        <x:v>337</x:v>
      </x:c>
      <x:c r="B377" s="2" t="str">
        <x:v>domestic_project</x:v>
      </x:c>
      <x:c r="C377" s="2" t="str">
        <x:v>산업</x:v>
      </x:c>
      <x:c r="D377" s="2" t="str">
        <x:v>9월 미등장·삭제 아님</x:v>
      </x:c>
      <x:c r="E377" s="2" t="str">
        <x:v>944 | 6068140018 | (주)금강부러쉬 외 5개사의 인버터 공기압축기 교체를 통한 온실가스 감축사업 | 사업변경 | - | 1차</x:v>
      </x:c>
      <x:c r="F377" s="2" t="str">
        <x:v>변경 필드 없음</x:v>
      </x:c>
      <x:c r="G377" s="2" t="str"/>
      <x:c r="H377" s="2" t="str"/>
      <x:c r="I377" s="2" t="str">
        <x:v>국내_사업신청관리_20260731_산업부문.xls</x:v>
      </x:c>
      <x:c r="J377" s="2" t="n">
        <x:v>99</x:v>
      </x:c>
      <x:c r="K377" s="2" t="str">
        <x:v>국내_사업신청관리_20260921_산업부.xls</x:v>
      </x:c>
      <x:c r="L377" s="2"/>
    </x:row>
    <x:row r="378" ht="25" customHeight="1">
      <x:c r="A378" s="2" t="n">
        <x:v>338</x:v>
      </x:c>
      <x:c r="B378" s="2" t="str">
        <x:v>domestic_project</x:v>
      </x:c>
      <x:c r="C378" s="2" t="str">
        <x:v>산업</x:v>
      </x:c>
      <x:c r="D378" s="2" t="str">
        <x:v>9월 추가 후보</x:v>
      </x:c>
      <x:c r="E378" s="2" t="str">
        <x:v>944 | 8778700473 | (주)대한캐스팅 외 2개사의 고효율 공기압축기 교체를 통한 온실가스 감축사업 | 신규 | - | -</x:v>
      </x:c>
      <x:c r="F378" s="2" t="str">
        <x:v>변경 필드 없음</x:v>
      </x:c>
      <x:c r="G378" s="2" t="str"/>
      <x:c r="H378" s="2" t="str"/>
      <x:c r="I378" s="2" t="str">
        <x:v>국내_사업신청관리_20260731_산업부문.xls</x:v>
      </x:c>
      <x:c r="J378" s="2"/>
      <x:c r="K378" s="2" t="str">
        <x:v>국내_사업신청관리_20260921_산업부.xls</x:v>
      </x:c>
      <x:c r="L378" s="2" t="n">
        <x:v>104</x:v>
      </x:c>
    </x:row>
    <x:row r="379" ht="25" customHeight="1">
      <x:c r="A379" s="2" t="n">
        <x:v>339</x:v>
      </x:c>
      <x:c r="B379" s="2" t="str">
        <x:v>domestic_project</x:v>
      </x:c>
      <x:c r="C379" s="2" t="str">
        <x:v>산업</x:v>
      </x:c>
      <x:c r="D379" s="2" t="str">
        <x:v>9월 추가 후보</x:v>
      </x:c>
      <x:c r="E379" s="2" t="str">
        <x:v>945 | 4358800539 | (주)풀잎라인 고효율 2단 인버터  PM Motor 공기압축기로 교체 사업 | 신규 | - | -</x:v>
      </x:c>
      <x:c r="F379" s="2" t="str">
        <x:v>변경 필드 없음</x:v>
      </x:c>
      <x:c r="G379" s="2" t="str"/>
      <x:c r="H379" s="2" t="str"/>
      <x:c r="I379" s="2" t="str">
        <x:v>국내_사업신청관리_20260731_산업부문.xls</x:v>
      </x:c>
      <x:c r="J379" s="2"/>
      <x:c r="K379" s="2" t="str">
        <x:v>국내_사업신청관리_20260921_산업부.xls</x:v>
      </x:c>
      <x:c r="L379" s="2" t="n">
        <x:v>103</x:v>
      </x:c>
    </x:row>
    <x:row r="380" ht="25" customHeight="1">
      <x:c r="A380" s="2" t="n">
        <x:v>340</x:v>
      </x:c>
      <x:c r="B380" s="2" t="str">
        <x:v>domestic_project</x:v>
      </x:c>
      <x:c r="C380" s="2" t="str">
        <x:v>산업</x:v>
      </x:c>
      <x:c r="D380" s="2" t="str">
        <x:v>9월 미등장·삭제 아님</x:v>
      </x:c>
      <x:c r="E380" s="2" t="str">
        <x:v>945 | 4358800539 | 대흥우드산업(주)  고효율 1단 인버터 PM Motor 공기압축기로 교체 사업 | 신규 | - | -</x:v>
      </x:c>
      <x:c r="F380" s="2" t="str">
        <x:v>변경 필드 없음</x:v>
      </x:c>
      <x:c r="G380" s="2" t="str"/>
      <x:c r="H380" s="2" t="str"/>
      <x:c r="I380" s="2" t="str">
        <x:v>국내_사업신청관리_20260731_산업부문.xls</x:v>
      </x:c>
      <x:c r="J380" s="2" t="n">
        <x:v>98</x:v>
      </x:c>
      <x:c r="K380" s="2" t="str">
        <x:v>국내_사업신청관리_20260921_산업부.xls</x:v>
      </x:c>
      <x:c r="L380" s="2"/>
    </x:row>
    <x:row r="381" ht="25" customHeight="1">
      <x:c r="A381" s="2" t="n">
        <x:v>341</x:v>
      </x:c>
      <x:c r="B381" s="2" t="str">
        <x:v>domestic_project</x:v>
      </x:c>
      <x:c r="C381" s="2" t="str">
        <x:v>산업</x:v>
      </x:c>
      <x:c r="D381" s="2" t="str">
        <x:v>9월 추가 후보</x:v>
      </x:c>
      <x:c r="E381" s="2" t="str">
        <x:v>946 | 4358800539 | 인제산업주식회사 고효율 인버터 PM  Motor 공기압축기로 교체 사업 | 신규 | - | -</x:v>
      </x:c>
      <x:c r="F381" s="2" t="str">
        <x:v>변경 필드 없음</x:v>
      </x:c>
      <x:c r="G381" s="2" t="str"/>
      <x:c r="H381" s="2" t="str"/>
      <x:c r="I381" s="2" t="str">
        <x:v>국내_사업신청관리_20260731_산업부문.xls</x:v>
      </x:c>
      <x:c r="J381" s="2"/>
      <x:c r="K381" s="2" t="str">
        <x:v>국내_사업신청관리_20260921_산업부.xls</x:v>
      </x:c>
      <x:c r="L381" s="2" t="n">
        <x:v>102</x:v>
      </x:c>
    </x:row>
    <x:row r="382" ht="25" customHeight="1">
      <x:c r="A382" s="2" t="n">
        <x:v>342</x:v>
      </x:c>
      <x:c r="B382" s="2" t="str">
        <x:v>domestic_project</x:v>
      </x:c>
      <x:c r="C382" s="2" t="str">
        <x:v>산업</x:v>
      </x:c>
      <x:c r="D382" s="2" t="str">
        <x:v>9월 미등장·삭제 아님</x:v>
      </x:c>
      <x:c r="E382" s="2" t="str">
        <x:v>946 | 6068140018 | (주)다스코 외 3개사의 고효율 공기압축기 교체를 통한 온실가스 감축사업 | 신규 | - | -</x:v>
      </x:c>
      <x:c r="F382" s="2" t="str">
        <x:v>변경 필드 없음</x:v>
      </x:c>
      <x:c r="G382" s="2" t="str"/>
      <x:c r="H382" s="2" t="str"/>
      <x:c r="I382" s="2" t="str">
        <x:v>국내_사업신청관리_20260731_산업부문.xls</x:v>
      </x:c>
      <x:c r="J382" s="2" t="n">
        <x:v>97</x:v>
      </x:c>
      <x:c r="K382" s="2" t="str">
        <x:v>국내_사업신청관리_20260921_산업부.xls</x:v>
      </x:c>
      <x:c r="L382" s="2"/>
    </x:row>
    <x:row r="383" ht="25" customHeight="1">
      <x:c r="A383" s="2" t="n">
        <x:v>343</x:v>
      </x:c>
      <x:c r="B383" s="2" t="str">
        <x:v>domestic_project</x:v>
      </x:c>
      <x:c r="C383" s="2" t="str">
        <x:v>산업</x:v>
      </x:c>
      <x:c r="D383" s="2" t="str">
        <x:v>9월 미등장·삭제 아님</x:v>
      </x:c>
      <x:c r="E383" s="2" t="str">
        <x:v>947 | 3148213486 | 광주 각화 주공아파트 연료전환을 통한 온실가스 감축사업 | 인증유효기간 갱신 | 2차 | -</x:v>
      </x:c>
      <x:c r="F383" s="2" t="str">
        <x:v>변경 필드 없음</x:v>
      </x:c>
      <x:c r="G383" s="2" t="str"/>
      <x:c r="H383" s="2" t="str"/>
      <x:c r="I383" s="2" t="str">
        <x:v>국내_사업신청관리_20260731_산업부문.xls</x:v>
      </x:c>
      <x:c r="J383" s="2" t="n">
        <x:v>96</x:v>
      </x:c>
      <x:c r="K383" s="2" t="str">
        <x:v>국내_사업신청관리_20260921_산업부.xls</x:v>
      </x:c>
      <x:c r="L383" s="2"/>
    </x:row>
    <x:row r="384" ht="25" customHeight="1">
      <x:c r="A384" s="2" t="n">
        <x:v>344</x:v>
      </x:c>
      <x:c r="B384" s="2" t="str">
        <x:v>domestic_project</x:v>
      </x:c>
      <x:c r="C384" s="2" t="str">
        <x:v>산업</x:v>
      </x:c>
      <x:c r="D384" s="2" t="str">
        <x:v>9월 추가 후보</x:v>
      </x:c>
      <x:c r="E384" s="2" t="str">
        <x:v>947 | 4358800539 | (주)신명유압 고효율 인버터 PM  Motor 공기압축기로 교체 사업 | 신규 | - | -</x:v>
      </x:c>
      <x:c r="F384" s="2" t="str">
        <x:v>변경 필드 없음</x:v>
      </x:c>
      <x:c r="G384" s="2" t="str"/>
      <x:c r="H384" s="2" t="str"/>
      <x:c r="I384" s="2" t="str">
        <x:v>국내_사업신청관리_20260731_산업부문.xls</x:v>
      </x:c>
      <x:c r="J384" s="2"/>
      <x:c r="K384" s="2" t="str">
        <x:v>국내_사업신청관리_20260921_산업부.xls</x:v>
      </x:c>
      <x:c r="L384" s="2" t="n">
        <x:v>101</x:v>
      </x:c>
    </x:row>
    <x:row r="385" ht="25" customHeight="1">
      <x:c r="A385" s="2" t="n">
        <x:v>345</x:v>
      </x:c>
      <x:c r="B385" s="2" t="str">
        <x:v>domestic_project</x:v>
      </x:c>
      <x:c r="C385" s="2" t="str">
        <x:v>산업</x:v>
      </x:c>
      <x:c r="D385" s="2" t="str">
        <x:v>9월 추가 후보</x:v>
      </x:c>
      <x:c r="E385" s="2" t="str">
        <x:v>948 | 4358800539 | (주)성도 고효율 2단 인버터  PM Motor 공기압축기로 교체 사업 | 신규 | - | -</x:v>
      </x:c>
      <x:c r="F385" s="2" t="str">
        <x:v>변경 필드 없음</x:v>
      </x:c>
      <x:c r="G385" s="2" t="str"/>
      <x:c r="H385" s="2" t="str"/>
      <x:c r="I385" s="2" t="str">
        <x:v>국내_사업신청관리_20260731_산업부문.xls</x:v>
      </x:c>
      <x:c r="J385" s="2"/>
      <x:c r="K385" s="2" t="str">
        <x:v>국내_사업신청관리_20260921_산업부.xls</x:v>
      </x:c>
      <x:c r="L385" s="2" t="n">
        <x:v>100</x:v>
      </x:c>
    </x:row>
    <x:row r="386" ht="25" customHeight="1">
      <x:c r="A386" s="2" t="n">
        <x:v>346</x:v>
      </x:c>
      <x:c r="B386" s="2" t="str">
        <x:v>domestic_project</x:v>
      </x:c>
      <x:c r="C386" s="2" t="str">
        <x:v>산업</x:v>
      </x:c>
      <x:c r="D386" s="2" t="str">
        <x:v>9월 미등장·삭제 아님</x:v>
      </x:c>
      <x:c r="E386" s="2" t="str">
        <x:v>948 | 6068140018 | (주)대산금속 사봉공장 외 4개사의 인버터 공기압축기 교체를 통한 온실가스 감축사업 | 신규 | - | -</x:v>
      </x:c>
      <x:c r="F386" s="2" t="str">
        <x:v>변경 필드 없음</x:v>
      </x:c>
      <x:c r="G386" s="2" t="str"/>
      <x:c r="H386" s="2" t="str"/>
      <x:c r="I386" s="2" t="str">
        <x:v>국내_사업신청관리_20260731_산업부문.xls</x:v>
      </x:c>
      <x:c r="J386" s="2" t="n">
        <x:v>95</x:v>
      </x:c>
      <x:c r="K386" s="2" t="str">
        <x:v>국내_사업신청관리_20260921_산업부.xls</x:v>
      </x:c>
      <x:c r="L386" s="2"/>
    </x:row>
    <x:row r="387" ht="25" customHeight="1">
      <x:c r="A387" s="2" t="n">
        <x:v>347</x:v>
      </x:c>
      <x:c r="B387" s="2" t="str">
        <x:v>domestic_project</x:v>
      </x:c>
      <x:c r="C387" s="2" t="str">
        <x:v>산업</x:v>
      </x:c>
      <x:c r="D387" s="2" t="str">
        <x:v>9월 추가 후보</x:v>
      </x:c>
      <x:c r="E387" s="2" t="str">
        <x:v>949 | 4358800539 | (주)유진하이텍 고효율 2단 인버터 PM  Motor 공기압축기로 교체 사업 | 신규 | - | -</x:v>
      </x:c>
      <x:c r="F387" s="2" t="str">
        <x:v>변경 필드 없음</x:v>
      </x:c>
      <x:c r="G387" s="2" t="str"/>
      <x:c r="H387" s="2" t="str"/>
      <x:c r="I387" s="2" t="str">
        <x:v>국내_사업신청관리_20260731_산업부문.xls</x:v>
      </x:c>
      <x:c r="J387" s="2"/>
      <x:c r="K387" s="2" t="str">
        <x:v>국내_사업신청관리_20260921_산업부.xls</x:v>
      </x:c>
      <x:c r="L387" s="2" t="n">
        <x:v>99</x:v>
      </x:c>
    </x:row>
    <x:row r="388" ht="25" customHeight="1">
      <x:c r="A388" s="2" t="n">
        <x:v>348</x:v>
      </x:c>
      <x:c r="B388" s="2" t="str">
        <x:v>domestic_project</x:v>
      </x:c>
      <x:c r="C388" s="2" t="str">
        <x:v>산업</x:v>
      </x:c>
      <x:c r="D388" s="2" t="str">
        <x:v>9월 미등장·삭제 아님</x:v>
      </x:c>
      <x:c r="E388" s="2" t="str">
        <x:v>949 | 4358800539 | 동해산업(주) 고효율 2단 인버터 PM  Motor 공기압축기로 교체 사업 | 신규 | - | -</x:v>
      </x:c>
      <x:c r="F388" s="2" t="str">
        <x:v>변경 필드 없음</x:v>
      </x:c>
      <x:c r="G388" s="2" t="str"/>
      <x:c r="H388" s="2" t="str"/>
      <x:c r="I388" s="2" t="str">
        <x:v>국내_사업신청관리_20260731_산업부문.xls</x:v>
      </x:c>
      <x:c r="J388" s="2" t="n">
        <x:v>94</x:v>
      </x:c>
      <x:c r="K388" s="2" t="str">
        <x:v>국내_사업신청관리_20260921_산업부.xls</x:v>
      </x:c>
      <x:c r="L388" s="2"/>
    </x:row>
    <x:row r="389" ht="25" customHeight="1">
      <x:c r="A389" s="2" t="n">
        <x:v>349</x:v>
      </x:c>
      <x:c r="B389" s="2" t="str">
        <x:v>domestic_project</x:v>
      </x:c>
      <x:c r="C389" s="2" t="str">
        <x:v>산업</x:v>
      </x:c>
      <x:c r="D389" s="2" t="str">
        <x:v>9월 미등장·삭제 아님</x:v>
      </x:c>
      <x:c r="E389" s="2" t="str">
        <x:v>950 | 4358800539 | (주)금장 고효율 2단 인버터 PM  Motor 공기압축기로 교체 사업 | 신규 | - | -</x:v>
      </x:c>
      <x:c r="F389" s="2" t="str">
        <x:v>변경 필드 없음</x:v>
      </x:c>
      <x:c r="G389" s="2" t="str"/>
      <x:c r="H389" s="2" t="str"/>
      <x:c r="I389" s="2" t="str">
        <x:v>국내_사업신청관리_20260731_산업부문.xls</x:v>
      </x:c>
      <x:c r="J389" s="2" t="n">
        <x:v>93</x:v>
      </x:c>
      <x:c r="K389" s="2" t="str">
        <x:v>국내_사업신청관리_20260921_산업부.xls</x:v>
      </x:c>
      <x:c r="L389" s="2"/>
    </x:row>
    <x:row r="390" ht="25" customHeight="1">
      <x:c r="A390" s="2" t="n">
        <x:v>350</x:v>
      </x:c>
      <x:c r="B390" s="2" t="str">
        <x:v>domestic_project</x:v>
      </x:c>
      <x:c r="C390" s="2" t="str">
        <x:v>산업</x:v>
      </x:c>
      <x:c r="D390" s="2" t="str">
        <x:v>9월 추가 후보</x:v>
      </x:c>
      <x:c r="E390" s="2" t="str">
        <x:v>950 | 4358800539 | 대진기공(주) 고효율 인버터 PM Motor 공기압축기로 교체 사업 | 신규 | - | -</x:v>
      </x:c>
      <x:c r="F390" s="2" t="str">
        <x:v>변경 필드 없음</x:v>
      </x:c>
      <x:c r="G390" s="2" t="str"/>
      <x:c r="H390" s="2" t="str"/>
      <x:c r="I390" s="2" t="str">
        <x:v>국내_사업신청관리_20260731_산업부문.xls</x:v>
      </x:c>
      <x:c r="J390" s="2"/>
      <x:c r="K390" s="2" t="str">
        <x:v>국내_사업신청관리_20260921_산업부.xls</x:v>
      </x:c>
      <x:c r="L390" s="2" t="n">
        <x:v>98</x:v>
      </x:c>
    </x:row>
    <x:row r="391" ht="25" customHeight="1">
      <x:c r="A391" s="2" t="n">
        <x:v>351</x:v>
      </x:c>
      <x:c r="B391" s="2" t="str">
        <x:v>domestic_project</x:v>
      </x:c>
      <x:c r="C391" s="2" t="str">
        <x:v>산업</x:v>
      </x:c>
      <x:c r="D391" s="2" t="str">
        <x:v>9월 추가 후보</x:v>
      </x:c>
      <x:c r="E391" s="2" t="str">
        <x:v>951 | 1208200052 | 2018년 중부권역 심야 전기보일러의 축열식 히트펌프 교체를 통한 온실가스 묶음 감축사업 | 신규 | - | -</x:v>
      </x:c>
      <x:c r="F391" s="2" t="str">
        <x:v>변경 필드 없음</x:v>
      </x:c>
      <x:c r="G391" s="2" t="str"/>
      <x:c r="H391" s="2" t="str"/>
      <x:c r="I391" s="2" t="str">
        <x:v>국내_사업신청관리_20260731_산업부문.xls</x:v>
      </x:c>
      <x:c r="J391" s="2"/>
      <x:c r="K391" s="2" t="str">
        <x:v>국내_사업신청관리_20260921_산업부.xls</x:v>
      </x:c>
      <x:c r="L391" s="2" t="n">
        <x:v>97</x:v>
      </x:c>
    </x:row>
    <x:row r="392" ht="25" customHeight="1">
      <x:c r="A392" s="2" t="n">
        <x:v>352</x:v>
      </x:c>
      <x:c r="B392" s="2" t="str">
        <x:v>domestic_project</x:v>
      </x:c>
      <x:c r="C392" s="2" t="str">
        <x:v>산업</x:v>
      </x:c>
      <x:c r="D392" s="2" t="str">
        <x:v>9월 미등장·삭제 아님</x:v>
      </x:c>
      <x:c r="E392" s="2" t="str">
        <x:v>951 | 8778700473 | (주)대한캐스팅 외 2개사의 고효율 공기압축기 교체를 통한 온실가스 감축사업 | 신규 | - | -</x:v>
      </x:c>
      <x:c r="F392" s="2" t="str">
        <x:v>변경 필드 없음</x:v>
      </x:c>
      <x:c r="G392" s="2" t="str"/>
      <x:c r="H392" s="2" t="str"/>
      <x:c r="I392" s="2" t="str">
        <x:v>국내_사업신청관리_20260731_산업부문.xls</x:v>
      </x:c>
      <x:c r="J392" s="2" t="n">
        <x:v>92</x:v>
      </x:c>
      <x:c r="K392" s="2" t="str">
        <x:v>국내_사업신청관리_20260921_산업부.xls</x:v>
      </x:c>
      <x:c r="L392" s="2"/>
    </x:row>
    <x:row r="393" ht="25" customHeight="1">
      <x:c r="A393" s="2" t="n">
        <x:v>353</x:v>
      </x:c>
      <x:c r="B393" s="2" t="str">
        <x:v>domestic_project</x:v>
      </x:c>
      <x:c r="C393" s="2" t="str">
        <x:v>산업</x:v>
      </x:c>
      <x:c r="D393" s="2" t="str">
        <x:v>9월 추가 후보</x:v>
      </x:c>
      <x:c r="E393" s="2" t="str">
        <x:v>952 | 1208200052 | 2018년 호남권역 기존 심야 전기보일러의 축열식 히트펌프 교체를 통한 온실가스 묶음 감축사업 | 신규 | - | -</x:v>
      </x:c>
      <x:c r="F393" s="2" t="str">
        <x:v>변경 필드 없음</x:v>
      </x:c>
      <x:c r="G393" s="2" t="str"/>
      <x:c r="H393" s="2" t="str"/>
      <x:c r="I393" s="2" t="str">
        <x:v>국내_사업신청관리_20260731_산업부문.xls</x:v>
      </x:c>
      <x:c r="J393" s="2"/>
      <x:c r="K393" s="2" t="str">
        <x:v>국내_사업신청관리_20260921_산업부.xls</x:v>
      </x:c>
      <x:c r="L393" s="2" t="n">
        <x:v>96</x:v>
      </x:c>
    </x:row>
    <x:row r="394" ht="25" customHeight="1">
      <x:c r="A394" s="2" t="n">
        <x:v>354</x:v>
      </x:c>
      <x:c r="B394" s="2" t="str">
        <x:v>domestic_project</x:v>
      </x:c>
      <x:c r="C394" s="2" t="str">
        <x:v>산업</x:v>
      </x:c>
      <x:c r="D394" s="2" t="str">
        <x:v>9월 미등장·삭제 아님</x:v>
      </x:c>
      <x:c r="E394" s="2" t="str">
        <x:v>952 | 4358800539 | (주)풀잎라인 고효율 2단 인버터  PM Motor 공기압축기로 교체 사업 | 신규 | - | -</x:v>
      </x:c>
      <x:c r="F394" s="2" t="str">
        <x:v>변경 필드 없음</x:v>
      </x:c>
      <x:c r="G394" s="2" t="str"/>
      <x:c r="H394" s="2" t="str"/>
      <x:c r="I394" s="2" t="str">
        <x:v>국내_사업신청관리_20260731_산업부문.xls</x:v>
      </x:c>
      <x:c r="J394" s="2" t="n">
        <x:v>91</x:v>
      </x:c>
      <x:c r="K394" s="2" t="str">
        <x:v>국내_사업신청관리_20260921_산업부.xls</x:v>
      </x:c>
      <x:c r="L394" s="2"/>
    </x:row>
    <x:row r="395" ht="25" customHeight="1">
      <x:c r="A395" s="2" t="n">
        <x:v>355</x:v>
      </x:c>
      <x:c r="B395" s="2" t="str">
        <x:v>domestic_project</x:v>
      </x:c>
      <x:c r="C395" s="2" t="str">
        <x:v>산업</x:v>
      </x:c>
      <x:c r="D395" s="2" t="str">
        <x:v>9월 추가 후보</x:v>
      </x:c>
      <x:c r="E395" s="2" t="str">
        <x:v>953 | 1208200052 | 2018년 경북권역 기존 심야 전기보일러의 축열식 히트펌프 교체를  통한 온실가스 묶음 감축사업 | 신규 | - | -</x:v>
      </x:c>
      <x:c r="F395" s="2" t="str">
        <x:v>변경 필드 없음</x:v>
      </x:c>
      <x:c r="G395" s="2" t="str"/>
      <x:c r="H395" s="2" t="str"/>
      <x:c r="I395" s="2" t="str">
        <x:v>국내_사업신청관리_20260731_산업부문.xls</x:v>
      </x:c>
      <x:c r="J395" s="2"/>
      <x:c r="K395" s="2" t="str">
        <x:v>국내_사업신청관리_20260921_산업부.xls</x:v>
      </x:c>
      <x:c r="L395" s="2" t="n">
        <x:v>95</x:v>
      </x:c>
    </x:row>
    <x:row r="396" ht="25" customHeight="1">
      <x:c r="A396" s="2" t="n">
        <x:v>356</x:v>
      </x:c>
      <x:c r="B396" s="2" t="str">
        <x:v>domestic_project</x:v>
      </x:c>
      <x:c r="C396" s="2" t="str">
        <x:v>산업</x:v>
      </x:c>
      <x:c r="D396" s="2" t="str">
        <x:v>9월 미등장·삭제 아님</x:v>
      </x:c>
      <x:c r="E396" s="2" t="str">
        <x:v>953 | 4358800539 | 인제산업주식회사 고효율 인버터 PM  Motor 공기압축기로 교체 사업 | 신규 | - | -</x:v>
      </x:c>
      <x:c r="F396" s="2" t="str">
        <x:v>변경 필드 없음</x:v>
      </x:c>
      <x:c r="G396" s="2" t="str"/>
      <x:c r="H396" s="2" t="str"/>
      <x:c r="I396" s="2" t="str">
        <x:v>국내_사업신청관리_20260731_산업부문.xls</x:v>
      </x:c>
      <x:c r="J396" s="2" t="n">
        <x:v>90</x:v>
      </x:c>
      <x:c r="K396" s="2" t="str">
        <x:v>국내_사업신청관리_20260921_산업부.xls</x:v>
      </x:c>
      <x:c r="L396" s="2"/>
    </x:row>
    <x:row r="397" ht="25" customHeight="1">
      <x:c r="A397" s="2" t="n">
        <x:v>357</x:v>
      </x:c>
      <x:c r="B397" s="2" t="str">
        <x:v>domestic_project</x:v>
      </x:c>
      <x:c r="C397" s="2" t="str">
        <x:v>산업</x:v>
      </x:c>
      <x:c r="D397" s="2" t="str">
        <x:v>9월 추가 후보</x:v>
      </x:c>
      <x:c r="E397" s="2" t="str">
        <x:v>954 | 1208200052 | 2018년 수도권역 기존 심야 전기보일러의 축열식 히트펌프 교체를 통한 온실가스 묶음 감축사업 | 신규 | - | -</x:v>
      </x:c>
      <x:c r="F397" s="2" t="str">
        <x:v>변경 필드 없음</x:v>
      </x:c>
      <x:c r="G397" s="2" t="str"/>
      <x:c r="H397" s="2" t="str"/>
      <x:c r="I397" s="2" t="str">
        <x:v>국내_사업신청관리_20260731_산업부문.xls</x:v>
      </x:c>
      <x:c r="J397" s="2"/>
      <x:c r="K397" s="2" t="str">
        <x:v>국내_사업신청관리_20260921_산업부.xls</x:v>
      </x:c>
      <x:c r="L397" s="2" t="n">
        <x:v>94</x:v>
      </x:c>
    </x:row>
    <x:row r="398" ht="25" customHeight="1">
      <x:c r="A398" s="2" t="n">
        <x:v>358</x:v>
      </x:c>
      <x:c r="B398" s="2" t="str">
        <x:v>domestic_project</x:v>
      </x:c>
      <x:c r="C398" s="2" t="str">
        <x:v>산업</x:v>
      </x:c>
      <x:c r="D398" s="2" t="str">
        <x:v>9월 미등장·삭제 아님</x:v>
      </x:c>
      <x:c r="E398" s="2" t="str">
        <x:v>954 | 4358800539 | (주)신명유압 고효율 인버터 PM  Motor 공기압축기로 교체 사업 | 신규 | - | -</x:v>
      </x:c>
      <x:c r="F398" s="2" t="str">
        <x:v>변경 필드 없음</x:v>
      </x:c>
      <x:c r="G398" s="2" t="str"/>
      <x:c r="H398" s="2" t="str"/>
      <x:c r="I398" s="2" t="str">
        <x:v>국내_사업신청관리_20260731_산업부문.xls</x:v>
      </x:c>
      <x:c r="J398" s="2" t="n">
        <x:v>89</x:v>
      </x:c>
      <x:c r="K398" s="2" t="str">
        <x:v>국내_사업신청관리_20260921_산업부.xls</x:v>
      </x:c>
      <x:c r="L398" s="2"/>
    </x:row>
    <x:row r="399" ht="25" customHeight="1">
      <x:c r="A399" s="2" t="n">
        <x:v>359</x:v>
      </x:c>
      <x:c r="B399" s="2" t="str">
        <x:v>domestic_project</x:v>
      </x:c>
      <x:c r="C399" s="2" t="str">
        <x:v>산업</x:v>
      </x:c>
      <x:c r="D399" s="2" t="str">
        <x:v>9월 추가 후보</x:v>
      </x:c>
      <x:c r="E399" s="2" t="str">
        <x:v>955 | 1208200052 | 2018년 경기남부권역 기존 심야 전기보일러의 축열식 히트펌프 교체를  통한 온실가스 묶음 감축사업 | 신규 | - | -</x:v>
      </x:c>
      <x:c r="F399" s="2" t="str">
        <x:v>변경 필드 없음</x:v>
      </x:c>
      <x:c r="G399" s="2" t="str"/>
      <x:c r="H399" s="2" t="str"/>
      <x:c r="I399" s="2" t="str">
        <x:v>국내_사업신청관리_20260731_산업부문.xls</x:v>
      </x:c>
      <x:c r="J399" s="2"/>
      <x:c r="K399" s="2" t="str">
        <x:v>국내_사업신청관리_20260921_산업부.xls</x:v>
      </x:c>
      <x:c r="L399" s="2" t="n">
        <x:v>93</x:v>
      </x:c>
    </x:row>
    <x:row r="400" ht="25" customHeight="1">
      <x:c r="A400" s="2" t="n">
        <x:v>360</x:v>
      </x:c>
      <x:c r="B400" s="2" t="str">
        <x:v>domestic_project</x:v>
      </x:c>
      <x:c r="C400" s="2" t="str">
        <x:v>산업</x:v>
      </x:c>
      <x:c r="D400" s="2" t="str">
        <x:v>9월 미등장·삭제 아님</x:v>
      </x:c>
      <x:c r="E400" s="2" t="str">
        <x:v>955 | 4358800539 | (주)성도 고효율 2단 인버터  PM Motor 공기압축기로 교체 사업 | 신규 | - | -</x:v>
      </x:c>
      <x:c r="F400" s="2" t="str">
        <x:v>변경 필드 없음</x:v>
      </x:c>
      <x:c r="G400" s="2" t="str"/>
      <x:c r="H400" s="2" t="str"/>
      <x:c r="I400" s="2" t="str">
        <x:v>국내_사업신청관리_20260731_산업부문.xls</x:v>
      </x:c>
      <x:c r="J400" s="2" t="n">
        <x:v>88</x:v>
      </x:c>
      <x:c r="K400" s="2" t="str">
        <x:v>국내_사업신청관리_20260921_산업부.xls</x:v>
      </x:c>
      <x:c r="L400" s="2"/>
    </x:row>
    <x:row r="401" ht="25" customHeight="1">
      <x:c r="A401" s="2" t="n">
        <x:v>361</x:v>
      </x:c>
      <x:c r="B401" s="2" t="str">
        <x:v>domestic_project</x:v>
      </x:c>
      <x:c r="C401" s="2" t="str">
        <x:v>산업</x:v>
      </x:c>
      <x:c r="D401" s="2" t="str">
        <x:v>9월 추가 후보</x:v>
      </x:c>
      <x:c r="E401" s="2" t="str">
        <x:v>956 | 1208200052 | 2018년 강원권역 기존 심야 전기보일러의 축열식 히트펌프 교체를  통한 온실가스 묶음 감축사업 | 신규 | - | -</x:v>
      </x:c>
      <x:c r="F401" s="2" t="str">
        <x:v>변경 필드 없음</x:v>
      </x:c>
      <x:c r="G401" s="2" t="str"/>
      <x:c r="H401" s="2" t="str"/>
      <x:c r="I401" s="2" t="str">
        <x:v>국내_사업신청관리_20260731_산업부문.xls</x:v>
      </x:c>
      <x:c r="J401" s="2"/>
      <x:c r="K401" s="2" t="str">
        <x:v>국내_사업신청관리_20260921_산업부.xls</x:v>
      </x:c>
      <x:c r="L401" s="2" t="n">
        <x:v>92</x:v>
      </x:c>
    </x:row>
    <x:row r="402" ht="25" customHeight="1">
      <x:c r="A402" s="2" t="n">
        <x:v>362</x:v>
      </x:c>
      <x:c r="B402" s="2" t="str">
        <x:v>domestic_project</x:v>
      </x:c>
      <x:c r="C402" s="2" t="str">
        <x:v>산업</x:v>
      </x:c>
      <x:c r="D402" s="2" t="str">
        <x:v>9월 미등장·삭제 아님</x:v>
      </x:c>
      <x:c r="E402" s="2" t="str">
        <x:v>956 | 4358800539 | (주)유진하이텍 고효율 2단 인버터 PM  Motor 공기압축기로 교체 사업 | 신규 | - | -</x:v>
      </x:c>
      <x:c r="F402" s="2" t="str">
        <x:v>변경 필드 없음</x:v>
      </x:c>
      <x:c r="G402" s="2" t="str"/>
      <x:c r="H402" s="2" t="str"/>
      <x:c r="I402" s="2" t="str">
        <x:v>국내_사업신청관리_20260731_산업부문.xls</x:v>
      </x:c>
      <x:c r="J402" s="2" t="n">
        <x:v>87</x:v>
      </x:c>
      <x:c r="K402" s="2" t="str">
        <x:v>국내_사업신청관리_20260921_산업부.xls</x:v>
      </x:c>
      <x:c r="L402" s="2"/>
    </x:row>
    <x:row r="403" ht="25" customHeight="1">
      <x:c r="A403" s="2" t="n">
        <x:v>363</x:v>
      </x:c>
      <x:c r="B403" s="2" t="str">
        <x:v>domestic_project</x:v>
      </x:c>
      <x:c r="C403" s="2" t="str">
        <x:v>산업</x:v>
      </x:c>
      <x:c r="D403" s="2" t="str">
        <x:v>9월 추가 후보</x:v>
      </x:c>
      <x:c r="E403" s="2" t="str">
        <x:v>957 | 1208200052 | 2019년 강원권역 기존 심야 전기보일러의 축열식 히트펌프 교체를 통한 온실가스 묶음 감축사업 | 신규 | - | -</x:v>
      </x:c>
      <x:c r="F403" s="2" t="str">
        <x:v>변경 필드 없음</x:v>
      </x:c>
      <x:c r="G403" s="2" t="str"/>
      <x:c r="H403" s="2" t="str"/>
      <x:c r="I403" s="2" t="str">
        <x:v>국내_사업신청관리_20260731_산업부문.xls</x:v>
      </x:c>
      <x:c r="J403" s="2"/>
      <x:c r="K403" s="2" t="str">
        <x:v>국내_사업신청관리_20260921_산업부.xls</x:v>
      </x:c>
      <x:c r="L403" s="2" t="n">
        <x:v>91</x:v>
      </x:c>
    </x:row>
    <x:row r="404" ht="25" customHeight="1">
      <x:c r="A404" s="2" t="n">
        <x:v>364</x:v>
      </x:c>
      <x:c r="B404" s="2" t="str">
        <x:v>domestic_project</x:v>
      </x:c>
      <x:c r="C404" s="2" t="str">
        <x:v>산업</x:v>
      </x:c>
      <x:c r="D404" s="2" t="str">
        <x:v>9월 미등장·삭제 아님</x:v>
      </x:c>
      <x:c r="E404" s="2" t="str">
        <x:v>957 | 4358800539 | 대진기공(주) 고효율 인버터 PM Motor 공기압축기로 교체 사업 | 신규 | - | -</x:v>
      </x:c>
      <x:c r="F404" s="2" t="str">
        <x:v>변경 필드 없음</x:v>
      </x:c>
      <x:c r="G404" s="2" t="str"/>
      <x:c r="H404" s="2" t="str"/>
      <x:c r="I404" s="2" t="str">
        <x:v>국내_사업신청관리_20260731_산업부문.xls</x:v>
      </x:c>
      <x:c r="J404" s="2" t="n">
        <x:v>86</x:v>
      </x:c>
      <x:c r="K404" s="2" t="str">
        <x:v>국내_사업신청관리_20260921_산업부.xls</x:v>
      </x:c>
      <x:c r="L404" s="2"/>
    </x:row>
    <x:row r="405" ht="25" customHeight="1">
      <x:c r="A405" s="2" t="n">
        <x:v>365</x:v>
      </x:c>
      <x:c r="B405" s="2" t="str">
        <x:v>domestic_project</x:v>
      </x:c>
      <x:c r="C405" s="2" t="str">
        <x:v>산업</x:v>
      </x:c>
      <x:c r="D405" s="2" t="str">
        <x:v>9월 추가 후보</x:v>
      </x:c>
      <x:c r="E405" s="2" t="str">
        <x:v>958 | 1208200052 | 2019년 경기남부권역 기존 심야 전기보일러의 축열식 히트펌프 교체를 통한 온실가스 묶음 감축사업 | 신규 | - | -</x:v>
      </x:c>
      <x:c r="F405" s="2" t="str">
        <x:v>변경 필드 없음</x:v>
      </x:c>
      <x:c r="G405" s="2" t="str"/>
      <x:c r="H405" s="2" t="str"/>
      <x:c r="I405" s="2" t="str">
        <x:v>국내_사업신청관리_20260731_산업부문.xls</x:v>
      </x:c>
      <x:c r="J405" s="2"/>
      <x:c r="K405" s="2" t="str">
        <x:v>국내_사업신청관리_20260921_산업부.xls</x:v>
      </x:c>
      <x:c r="L405" s="2" t="n">
        <x:v>90</x:v>
      </x:c>
    </x:row>
    <x:row r="406" ht="25" customHeight="1">
      <x:c r="A406" s="2" t="n">
        <x:v>366</x:v>
      </x:c>
      <x:c r="B406" s="2" t="str">
        <x:v>domestic_project</x:v>
      </x:c>
      <x:c r="C406" s="2" t="str">
        <x:v>산업</x:v>
      </x:c>
      <x:c r="D406" s="2" t="str">
        <x:v>9월 미등장·삭제 아님</x:v>
      </x:c>
      <x:c r="E406" s="2" t="str">
        <x:v>958 | 6068140018 | 하이즈항공주식회사 진주공장 외 2개사의 고효율 공기압축기 교체를 통한 온실가스 감축사업 | 신규 | - | -</x:v>
      </x:c>
      <x:c r="F406" s="2" t="str">
        <x:v>변경 필드 없음</x:v>
      </x:c>
      <x:c r="G406" s="2" t="str"/>
      <x:c r="H406" s="2" t="str"/>
      <x:c r="I406" s="2" t="str">
        <x:v>국내_사업신청관리_20260731_산업부문.xls</x:v>
      </x:c>
      <x:c r="J406" s="2" t="n">
        <x:v>85</x:v>
      </x:c>
      <x:c r="K406" s="2" t="str">
        <x:v>국내_사업신청관리_20260921_산업부.xls</x:v>
      </x:c>
      <x:c r="L406" s="2"/>
    </x:row>
    <x:row r="407" ht="25" customHeight="1">
      <x:c r="A407" s="2" t="n">
        <x:v>367</x:v>
      </x:c>
      <x:c r="B407" s="2" t="str">
        <x:v>domestic_project</x:v>
      </x:c>
      <x:c r="C407" s="2" t="str">
        <x:v>산업</x:v>
      </x:c>
      <x:c r="D407" s="2" t="str">
        <x:v>9월 미등장·삭제 아님</x:v>
      </x:c>
      <x:c r="E407" s="2" t="str">
        <x:v>959 | 1208200052 | 2018년 중부권역 심야 전기보일러의 축열식 히트펌프 교체를 통한 온실가스 묶음 감축사업 | 신규 | - | -</x:v>
      </x:c>
      <x:c r="F407" s="2" t="str">
        <x:v>변경 필드 없음</x:v>
      </x:c>
      <x:c r="G407" s="2" t="str"/>
      <x:c r="H407" s="2" t="str"/>
      <x:c r="I407" s="2" t="str">
        <x:v>국내_사업신청관리_20260731_산업부문.xls</x:v>
      </x:c>
      <x:c r="J407" s="2" t="n">
        <x:v>84</x:v>
      </x:c>
      <x:c r="K407" s="2" t="str">
        <x:v>국내_사업신청관리_20260921_산업부.xls</x:v>
      </x:c>
      <x:c r="L407" s="2"/>
    </x:row>
    <x:row r="408" ht="25" customHeight="1">
      <x:c r="A408" s="2" t="n">
        <x:v>368</x:v>
      </x:c>
      <x:c r="B408" s="2" t="str">
        <x:v>domestic_project</x:v>
      </x:c>
      <x:c r="C408" s="2" t="str">
        <x:v>산업</x:v>
      </x:c>
      <x:c r="D408" s="2" t="str">
        <x:v>9월 추가 후보</x:v>
      </x:c>
      <x:c r="E408" s="2" t="str">
        <x:v>959 | 1208200052 | 2019년 수도권역 기존 심야 전기보일러의 축열식 히트펌프 교체를  통한 온실가스 묶음 감축사업 | 신규 | - | -</x:v>
      </x:c>
      <x:c r="F408" s="2" t="str">
        <x:v>변경 필드 없음</x:v>
      </x:c>
      <x:c r="G408" s="2" t="str"/>
      <x:c r="H408" s="2" t="str"/>
      <x:c r="I408" s="2" t="str">
        <x:v>국내_사업신청관리_20260731_산업부문.xls</x:v>
      </x:c>
      <x:c r="J408" s="2"/>
      <x:c r="K408" s="2" t="str">
        <x:v>국내_사업신청관리_20260921_산업부.xls</x:v>
      </x:c>
      <x:c r="L408" s="2" t="n">
        <x:v>89</x:v>
      </x:c>
    </x:row>
    <x:row r="409" ht="25" customHeight="1">
      <x:c r="A409" s="2" t="n">
        <x:v>369</x:v>
      </x:c>
      <x:c r="B409" s="2" t="str">
        <x:v>domestic_project</x:v>
      </x:c>
      <x:c r="C409" s="2" t="str">
        <x:v>산업</x:v>
      </x:c>
      <x:c r="D409" s="2" t="str">
        <x:v>9월 미등장·삭제 아님</x:v>
      </x:c>
      <x:c r="E409" s="2" t="str">
        <x:v>960 | 1208200052 | 2018년 호남권역 기존 심야 전기보일러의 축열식 히트펌프 교체를 통한 온실가스 묶음 감축사업 | 신규 | - | -</x:v>
      </x:c>
      <x:c r="F409" s="2" t="str">
        <x:v>변경 필드 없음</x:v>
      </x:c>
      <x:c r="G409" s="2" t="str"/>
      <x:c r="H409" s="2" t="str"/>
      <x:c r="I409" s="2" t="str">
        <x:v>국내_사업신청관리_20260731_산업부문.xls</x:v>
      </x:c>
      <x:c r="J409" s="2" t="n">
        <x:v>83</x:v>
      </x:c>
      <x:c r="K409" s="2" t="str">
        <x:v>국내_사업신청관리_20260921_산업부.xls</x:v>
      </x:c>
      <x:c r="L409" s="2"/>
    </x:row>
    <x:row r="410" ht="25" customHeight="1">
      <x:c r="A410" s="2" t="n">
        <x:v>370</x:v>
      </x:c>
      <x:c r="B410" s="2" t="str">
        <x:v>domestic_project</x:v>
      </x:c>
      <x:c r="C410" s="2" t="str">
        <x:v>산업</x:v>
      </x:c>
      <x:c r="D410" s="2" t="str">
        <x:v>9월 추가 후보</x:v>
      </x:c>
      <x:c r="E410" s="2" t="str">
        <x:v>960 | 1208200052 | 2019년 중부권역 기존 심야 전기보일러의 축열식 히트펌프 교체를 통한 온실가스 묶음 감축사업 | 신규 | - | -</x:v>
      </x:c>
      <x:c r="F410" s="2" t="str">
        <x:v>변경 필드 없음</x:v>
      </x:c>
      <x:c r="G410" s="2" t="str"/>
      <x:c r="H410" s="2" t="str"/>
      <x:c r="I410" s="2" t="str">
        <x:v>국내_사업신청관리_20260731_산업부문.xls</x:v>
      </x:c>
      <x:c r="J410" s="2"/>
      <x:c r="K410" s="2" t="str">
        <x:v>국내_사업신청관리_20260921_산업부.xls</x:v>
      </x:c>
      <x:c r="L410" s="2" t="n">
        <x:v>88</x:v>
      </x:c>
    </x:row>
    <x:row r="411" ht="25" customHeight="1">
      <x:c r="A411" s="2" t="n">
        <x:v>371</x:v>
      </x:c>
      <x:c r="B411" s="2" t="str">
        <x:v>domestic_project</x:v>
      </x:c>
      <x:c r="C411" s="2" t="str">
        <x:v>산업</x:v>
      </x:c>
      <x:c r="D411" s="2" t="str">
        <x:v>9월 미등장·삭제 아님</x:v>
      </x:c>
      <x:c r="E411" s="2" t="str">
        <x:v>961 | 1208200052 | 2018년 경북권역 기존 심야 전기보일러의 축열식 히트펌프 교체를  통한 온실가스 묶음 감축사업 | 신규 | - | -</x:v>
      </x:c>
      <x:c r="F411" s="2" t="str">
        <x:v>변경 필드 없음</x:v>
      </x:c>
      <x:c r="G411" s="2" t="str"/>
      <x:c r="H411" s="2" t="str"/>
      <x:c r="I411" s="2" t="str">
        <x:v>국내_사업신청관리_20260731_산업부문.xls</x:v>
      </x:c>
      <x:c r="J411" s="2" t="n">
        <x:v>82</x:v>
      </x:c>
      <x:c r="K411" s="2" t="str">
        <x:v>국내_사업신청관리_20260921_산업부.xls</x:v>
      </x:c>
      <x:c r="L411" s="2"/>
    </x:row>
    <x:row r="412" ht="25" customHeight="1">
      <x:c r="A412" s="2" t="n">
        <x:v>372</x:v>
      </x:c>
      <x:c r="B412" s="2" t="str">
        <x:v>domestic_project</x:v>
      </x:c>
      <x:c r="C412" s="2" t="str">
        <x:v>산업</x:v>
      </x:c>
      <x:c r="D412" s="2" t="str">
        <x:v>9월 추가 후보</x:v>
      </x:c>
      <x:c r="E412" s="2" t="str">
        <x:v>961 | 1208200052 | 2019년 영남권역 기존 심야 전기보일러의 축열식 히트펌프 교체를  통한 온실가스 묶음 감축사업 | 신규 | - | -</x:v>
      </x:c>
      <x:c r="F412" s="2" t="str">
        <x:v>변경 필드 없음</x:v>
      </x:c>
      <x:c r="G412" s="2" t="str"/>
      <x:c r="H412" s="2" t="str"/>
      <x:c r="I412" s="2" t="str">
        <x:v>국내_사업신청관리_20260731_산업부문.xls</x:v>
      </x:c>
      <x:c r="J412" s="2"/>
      <x:c r="K412" s="2" t="str">
        <x:v>국내_사업신청관리_20260921_산업부.xls</x:v>
      </x:c>
      <x:c r="L412" s="2" t="n">
        <x:v>87</x:v>
      </x:c>
    </x:row>
    <x:row r="413" ht="25" customHeight="1">
      <x:c r="A413" s="2" t="n">
        <x:v>373</x:v>
      </x:c>
      <x:c r="B413" s="2" t="str">
        <x:v>domestic_project</x:v>
      </x:c>
      <x:c r="C413" s="2" t="str">
        <x:v>산업</x:v>
      </x:c>
      <x:c r="D413" s="2" t="str">
        <x:v>9월 미등장·삭제 아님</x:v>
      </x:c>
      <x:c r="E413" s="2" t="str">
        <x:v>962 | 1208200052 | 2018년 수도권역 기존 심야 전기보일러의 축열식 히트펌프 교체를 통한 온실가스 묶음 감축사업 | 신규 | - | -</x:v>
      </x:c>
      <x:c r="F413" s="2" t="str">
        <x:v>변경 필드 없음</x:v>
      </x:c>
      <x:c r="G413" s="2" t="str"/>
      <x:c r="H413" s="2" t="str"/>
      <x:c r="I413" s="2" t="str">
        <x:v>국내_사업신청관리_20260731_산업부문.xls</x:v>
      </x:c>
      <x:c r="J413" s="2" t="n">
        <x:v>81</x:v>
      </x:c>
      <x:c r="K413" s="2" t="str">
        <x:v>국내_사업신청관리_20260921_산업부.xls</x:v>
      </x:c>
      <x:c r="L413" s="2"/>
    </x:row>
    <x:row r="414" ht="25" customHeight="1">
      <x:c r="A414" s="2" t="n">
        <x:v>374</x:v>
      </x:c>
      <x:c r="B414" s="2" t="str">
        <x:v>domestic_project</x:v>
      </x:c>
      <x:c r="C414" s="2" t="str">
        <x:v>산업</x:v>
      </x:c>
      <x:c r="D414" s="2" t="str">
        <x:v>9월 추가 후보</x:v>
      </x:c>
      <x:c r="E414" s="2" t="str">
        <x:v>962 | 1208200052 | 2019년 호남권역 기존 심야 전기보일러의 축열식 히트펌프 교체를  통한 온실가스 묶음 감축사업 | 신규 | - | -</x:v>
      </x:c>
      <x:c r="F414" s="2" t="str">
        <x:v>변경 필드 없음</x:v>
      </x:c>
      <x:c r="G414" s="2" t="str"/>
      <x:c r="H414" s="2" t="str"/>
      <x:c r="I414" s="2" t="str">
        <x:v>국내_사업신청관리_20260731_산업부문.xls</x:v>
      </x:c>
      <x:c r="J414" s="2"/>
      <x:c r="K414" s="2" t="str">
        <x:v>국내_사업신청관리_20260921_산업부.xls</x:v>
      </x:c>
      <x:c r="L414" s="2" t="n">
        <x:v>86</x:v>
      </x:c>
    </x:row>
    <x:row r="415" ht="25" customHeight="1">
      <x:c r="A415" s="2" t="n">
        <x:v>375</x:v>
      </x:c>
      <x:c r="B415" s="2" t="str">
        <x:v>domestic_project</x:v>
      </x:c>
      <x:c r="C415" s="2" t="str">
        <x:v>산업</x:v>
      </x:c>
      <x:c r="D415" s="2" t="str">
        <x:v>9월 미등장·삭제 아님</x:v>
      </x:c>
      <x:c r="E415" s="2" t="str">
        <x:v>963 | 1208200052 | 2018년 경기남부권역 기존 심야 전기보일러의 축열식 히트펌프 교체를  통한 온실가스 묶음 감축사업 | 신규 | - | -</x:v>
      </x:c>
      <x:c r="F415" s="2" t="str">
        <x:v>변경 필드 없음</x:v>
      </x:c>
      <x:c r="G415" s="2" t="str"/>
      <x:c r="H415" s="2" t="str"/>
      <x:c r="I415" s="2" t="str">
        <x:v>국내_사업신청관리_20260731_산업부문.xls</x:v>
      </x:c>
      <x:c r="J415" s="2" t="n">
        <x:v>80</x:v>
      </x:c>
      <x:c r="K415" s="2" t="str">
        <x:v>국내_사업신청관리_20260921_산업부.xls</x:v>
      </x:c>
      <x:c r="L415" s="2"/>
    </x:row>
    <x:row r="416" ht="25" customHeight="1">
      <x:c r="A416" s="2" t="n">
        <x:v>376</x:v>
      </x:c>
      <x:c r="B416" s="2" t="str">
        <x:v>domestic_project</x:v>
      </x:c>
      <x:c r="C416" s="2" t="str">
        <x:v>산업</x:v>
      </x:c>
      <x:c r="D416" s="2" t="str">
        <x:v>9월 추가 후보</x:v>
      </x:c>
      <x:c r="E416" s="2" t="str">
        <x:v>963 | 4358800539 | (주)고은산업  고효율 2단 인버터 PM Motor 공기압축기로 교체 사업 | 신규 | - | -</x:v>
      </x:c>
      <x:c r="F416" s="2" t="str">
        <x:v>변경 필드 없음</x:v>
      </x:c>
      <x:c r="G416" s="2" t="str"/>
      <x:c r="H416" s="2" t="str"/>
      <x:c r="I416" s="2" t="str">
        <x:v>국내_사업신청관리_20260731_산업부문.xls</x:v>
      </x:c>
      <x:c r="J416" s="2"/>
      <x:c r="K416" s="2" t="str">
        <x:v>국내_사업신청관리_20260921_산업부.xls</x:v>
      </x:c>
      <x:c r="L416" s="2" t="n">
        <x:v>85</x:v>
      </x:c>
    </x:row>
    <x:row r="417" ht="25" customHeight="1">
      <x:c r="A417" s="2" t="n">
        <x:v>377</x:v>
      </x:c>
      <x:c r="B417" s="2" t="str">
        <x:v>domestic_project</x:v>
      </x:c>
      <x:c r="C417" s="2" t="str">
        <x:v>산업</x:v>
      </x:c>
      <x:c r="D417" s="2" t="str">
        <x:v>9월 미등장·삭제 아님</x:v>
      </x:c>
      <x:c r="E417" s="2" t="str">
        <x:v>964 | 1208200052 | 2018년 강원권역 기존 심야 전기보일러의 축열식 히트펌프 교체를  통한 온실가스 묶음 감축사업 | 신규 | - | -</x:v>
      </x:c>
      <x:c r="F417" s="2" t="str">
        <x:v>변경 필드 없음</x:v>
      </x:c>
      <x:c r="G417" s="2" t="str"/>
      <x:c r="H417" s="2" t="str"/>
      <x:c r="I417" s="2" t="str">
        <x:v>국내_사업신청관리_20260731_산업부문.xls</x:v>
      </x:c>
      <x:c r="J417" s="2" t="n">
        <x:v>79</x:v>
      </x:c>
      <x:c r="K417" s="2" t="str">
        <x:v>국내_사업신청관리_20260921_산업부.xls</x:v>
      </x:c>
      <x:c r="L417" s="2"/>
    </x:row>
    <x:row r="418" ht="25" customHeight="1">
      <x:c r="A418" s="2" t="n">
        <x:v>378</x:v>
      </x:c>
      <x:c r="B418" s="2" t="str">
        <x:v>domestic_project</x:v>
      </x:c>
      <x:c r="C418" s="2" t="str">
        <x:v>산업</x:v>
      </x:c>
      <x:c r="D418" s="2" t="str">
        <x:v>9월 추가 후보</x:v>
      </x:c>
      <x:c r="E418" s="2" t="str">
        <x:v>964 | 1208200052 | 2018년 경남권역 기존 심야 전기보일러의 축열식 히트펌프 교체를  통한 온실가스 묶음 감축사업 | 신규 | - | -</x:v>
      </x:c>
      <x:c r="F418" s="2" t="str">
        <x:v>변경 필드 없음</x:v>
      </x:c>
      <x:c r="G418" s="2" t="str"/>
      <x:c r="H418" s="2" t="str"/>
      <x:c r="I418" s="2" t="str">
        <x:v>국내_사업신청관리_20260731_산업부문.xls</x:v>
      </x:c>
      <x:c r="J418" s="2"/>
      <x:c r="K418" s="2" t="str">
        <x:v>국내_사업신청관리_20260921_산업부.xls</x:v>
      </x:c>
      <x:c r="L418" s="2" t="n">
        <x:v>84</x:v>
      </x:c>
    </x:row>
    <x:row r="419" ht="25" customHeight="1">
      <x:c r="A419" s="2" t="n">
        <x:v>379</x:v>
      </x:c>
      <x:c r="B419" s="2" t="str">
        <x:v>domestic_project</x:v>
      </x:c>
      <x:c r="C419" s="2" t="str">
        <x:v>산업</x:v>
      </x:c>
      <x:c r="D419" s="2" t="str">
        <x:v>9월 추가 후보</x:v>
      </x:c>
      <x:c r="E419" s="2" t="str">
        <x:v>965 | 1168100755 | 삼천리 도시가스 공급 권역의 연료전환을 통한 프로그램 감축사업 | 인증유효기간 갱신 | 1차 | -</x:v>
      </x:c>
      <x:c r="F419" s="2" t="str">
        <x:v>변경 필드 없음</x:v>
      </x:c>
      <x:c r="G419" s="2" t="str"/>
      <x:c r="H419" s="2" t="str"/>
      <x:c r="I419" s="2" t="str">
        <x:v>국내_사업신청관리_20260731_산업부문.xls</x:v>
      </x:c>
      <x:c r="J419" s="2"/>
      <x:c r="K419" s="2" t="str">
        <x:v>국내_사업신청관리_20260921_산업부.xls</x:v>
      </x:c>
      <x:c r="L419" s="2" t="n">
        <x:v>83</x:v>
      </x:c>
    </x:row>
    <x:row r="420" ht="25" customHeight="1">
      <x:c r="A420" s="2" t="n">
        <x:v>380</x:v>
      </x:c>
      <x:c r="B420" s="2" t="str">
        <x:v>domestic_project</x:v>
      </x:c>
      <x:c r="C420" s="2" t="str">
        <x:v>산업</x:v>
      </x:c>
      <x:c r="D420" s="2" t="str">
        <x:v>9월 미등장·삭제 아님</x:v>
      </x:c>
      <x:c r="E420" s="2" t="str">
        <x:v>965 | 1208200052 | 2019년 강원권역 기존 심야 전기보일러의 축열식 히트펌프 교체를 통한 온실가스 묶음 감축사업 | 신규 | - | -</x:v>
      </x:c>
      <x:c r="F420" s="2" t="str">
        <x:v>변경 필드 없음</x:v>
      </x:c>
      <x:c r="G420" s="2" t="str"/>
      <x:c r="H420" s="2" t="str"/>
      <x:c r="I420" s="2" t="str">
        <x:v>국내_사업신청관리_20260731_산업부문.xls</x:v>
      </x:c>
      <x:c r="J420" s="2" t="n">
        <x:v>78</x:v>
      </x:c>
      <x:c r="K420" s="2" t="str">
        <x:v>국내_사업신청관리_20260921_산업부.xls</x:v>
      </x:c>
      <x:c r="L420" s="2"/>
    </x:row>
    <x:row r="421" ht="25" customHeight="1">
      <x:c r="A421" s="2" t="n">
        <x:v>381</x:v>
      </x:c>
      <x:c r="B421" s="2" t="str">
        <x:v>domestic_project</x:v>
      </x:c>
      <x:c r="C421" s="2" t="str">
        <x:v>산업</x:v>
      </x:c>
      <x:c r="D421" s="2" t="str">
        <x:v>9월 미등장·삭제 아님</x:v>
      </x:c>
      <x:c r="E421" s="2" t="str">
        <x:v>966 | 1208200052 | 2019년 경기남부권역 기존 심야 전기보일러의 축열식 히트펌프 교체를 통한 온실가스 묶음 감축사업 | 신규 | - | -</x:v>
      </x:c>
      <x:c r="F421" s="2" t="str">
        <x:v>변경 필드 없음</x:v>
      </x:c>
      <x:c r="G421" s="2" t="str"/>
      <x:c r="H421" s="2" t="str"/>
      <x:c r="I421" s="2" t="str">
        <x:v>국내_사업신청관리_20260731_산업부문.xls</x:v>
      </x:c>
      <x:c r="J421" s="2" t="n">
        <x:v>77</x:v>
      </x:c>
      <x:c r="K421" s="2" t="str">
        <x:v>국내_사업신청관리_20260921_산업부.xls</x:v>
      </x:c>
      <x:c r="L421" s="2"/>
    </x:row>
    <x:row r="422" ht="25" customHeight="1">
      <x:c r="A422" s="2" t="n">
        <x:v>382</x:v>
      </x:c>
      <x:c r="B422" s="2" t="str">
        <x:v>domestic_project</x:v>
      </x:c>
      <x:c r="C422" s="2" t="str">
        <x:v>산업</x:v>
      </x:c>
      <x:c r="D422" s="2" t="str">
        <x:v>9월 추가 후보</x:v>
      </x:c>
      <x:c r="E422" s="2" t="str">
        <x:v>966 | 3038120317 | (주)석진산업 연료전환(B-C유→ LPG)을 통한 온실가스 배출 감축사업 | 신규 | - | -</x:v>
      </x:c>
      <x:c r="F422" s="2" t="str">
        <x:v>변경 필드 없음</x:v>
      </x:c>
      <x:c r="G422" s="2" t="str"/>
      <x:c r="H422" s="2" t="str"/>
      <x:c r="I422" s="2" t="str">
        <x:v>국내_사업신청관리_20260731_산업부문.xls</x:v>
      </x:c>
      <x:c r="J422" s="2"/>
      <x:c r="K422" s="2" t="str">
        <x:v>국내_사업신청관리_20260921_산업부.xls</x:v>
      </x:c>
      <x:c r="L422" s="2" t="n">
        <x:v>82</x:v>
      </x:c>
    </x:row>
    <x:row r="423" ht="25" customHeight="1">
      <x:c r="A423" s="2" t="n">
        <x:v>383</x:v>
      </x:c>
      <x:c r="B423" s="2" t="str">
        <x:v>domestic_project</x:v>
      </x:c>
      <x:c r="C423" s="2" t="str">
        <x:v>산업</x:v>
      </x:c>
      <x:c r="D423" s="2" t="str">
        <x:v>9월 미등장·삭제 아님</x:v>
      </x:c>
      <x:c r="E423" s="2" t="str">
        <x:v>967 | 1208200052 | 2019년 수도권역 기존 심야 전기보일러의 축열식 히트펌프 교체를  통한 온실가스 묶음 감축사업 | 신규 | - | -</x:v>
      </x:c>
      <x:c r="F423" s="2" t="str">
        <x:v>변경 필드 없음</x:v>
      </x:c>
      <x:c r="G423" s="2" t="str"/>
      <x:c r="H423" s="2" t="str"/>
      <x:c r="I423" s="2" t="str">
        <x:v>국내_사업신청관리_20260731_산업부문.xls</x:v>
      </x:c>
      <x:c r="J423" s="2" t="n">
        <x:v>76</x:v>
      </x:c>
      <x:c r="K423" s="2" t="str">
        <x:v>국내_사업신청관리_20260921_산업부.xls</x:v>
      </x:c>
      <x:c r="L423" s="2"/>
    </x:row>
    <x:row r="424" ht="25" customHeight="1">
      <x:c r="A424" s="2" t="n">
        <x:v>384</x:v>
      </x:c>
      <x:c r="B424" s="2" t="str">
        <x:v>domestic_project</x:v>
      </x:c>
      <x:c r="C424" s="2" t="str">
        <x:v>산업</x:v>
      </x:c>
      <x:c r="D424" s="2" t="str">
        <x:v>9월 추가 후보</x:v>
      </x:c>
      <x:c r="E424" s="2" t="str">
        <x:v>967 | 5078104296 | ㈜성보아스콘 연료전환(B-C유 → LPG)을 통한 온실가스 배출 감축사업 | 신규 | - | -</x:v>
      </x:c>
      <x:c r="F424" s="2" t="str">
        <x:v>변경 필드 없음</x:v>
      </x:c>
      <x:c r="G424" s="2" t="str"/>
      <x:c r="H424" s="2" t="str"/>
      <x:c r="I424" s="2" t="str">
        <x:v>국내_사업신청관리_20260731_산업부문.xls</x:v>
      </x:c>
      <x:c r="J424" s="2"/>
      <x:c r="K424" s="2" t="str">
        <x:v>국내_사업신청관리_20260921_산업부.xls</x:v>
      </x:c>
      <x:c r="L424" s="2" t="n">
        <x:v>81</x:v>
      </x:c>
    </x:row>
    <x:row r="425" ht="25" customHeight="1">
      <x:c r="A425" s="2" t="n">
        <x:v>385</x:v>
      </x:c>
      <x:c r="B425" s="2" t="str">
        <x:v>domestic_project</x:v>
      </x:c>
      <x:c r="C425" s="2" t="str">
        <x:v>산업</x:v>
      </x:c>
      <x:c r="D425" s="2" t="str">
        <x:v>9월 미등장·삭제 아님</x:v>
      </x:c>
      <x:c r="E425" s="2" t="str">
        <x:v>968 | 1208200052 | 2019년 중부권역 기존 심야 전기보일러의 축열식 히트펌프 교체를 통한 온실가스 묶음 감축사업 | 신규 | - | -</x:v>
      </x:c>
      <x:c r="F425" s="2" t="str">
        <x:v>변경 필드 없음</x:v>
      </x:c>
      <x:c r="G425" s="2" t="str"/>
      <x:c r="H425" s="2" t="str"/>
      <x:c r="I425" s="2" t="str">
        <x:v>국내_사업신청관리_20260731_산업부문.xls</x:v>
      </x:c>
      <x:c r="J425" s="2" t="n">
        <x:v>75</x:v>
      </x:c>
      <x:c r="K425" s="2" t="str">
        <x:v>국내_사업신청관리_20260921_산업부.xls</x:v>
      </x:c>
      <x:c r="L425" s="2"/>
    </x:row>
    <x:row r="426" ht="25" customHeight="1">
      <x:c r="A426" s="2" t="n">
        <x:v>386</x:v>
      </x:c>
      <x:c r="B426" s="2" t="str">
        <x:v>domestic_project</x:v>
      </x:c>
      <x:c r="C426" s="2" t="str">
        <x:v>산업</x:v>
      </x:c>
      <x:c r="D426" s="2" t="str">
        <x:v>9월 추가 후보</x:v>
      </x:c>
      <x:c r="E426" s="2" t="str">
        <x:v>968 | 6068127539 | (주)케이에스피 인버터 공기압축기 교체를 통한 온실가스 감축사업 | 신규 | - | -</x:v>
      </x:c>
      <x:c r="F426" s="2" t="str">
        <x:v>변경 필드 없음</x:v>
      </x:c>
      <x:c r="G426" s="2" t="str"/>
      <x:c r="H426" s="2" t="str"/>
      <x:c r="I426" s="2" t="str">
        <x:v>국내_사업신청관리_20260731_산업부문.xls</x:v>
      </x:c>
      <x:c r="J426" s="2"/>
      <x:c r="K426" s="2" t="str">
        <x:v>국내_사업신청관리_20260921_산업부.xls</x:v>
      </x:c>
      <x:c r="L426" s="2" t="n">
        <x:v>80</x:v>
      </x:c>
    </x:row>
    <x:row r="427" ht="25" customHeight="1">
      <x:c r="A427" s="2" t="n">
        <x:v>387</x:v>
      </x:c>
      <x:c r="B427" s="2" t="str">
        <x:v>domestic_project</x:v>
      </x:c>
      <x:c r="C427" s="2" t="str">
        <x:v>산업</x:v>
      </x:c>
      <x:c r="D427" s="2" t="str">
        <x:v>9월 미등장·삭제 아님</x:v>
      </x:c>
      <x:c r="E427" s="2" t="str">
        <x:v>969 | 1208200052 | 2019년 영남권역 기존 심야 전기보일러의 축열식 히트펌프 교체를  통한 온실가스 묶음 감축사업 | 신규 | - | -</x:v>
      </x:c>
      <x:c r="F427" s="2" t="str">
        <x:v>변경 필드 없음</x:v>
      </x:c>
      <x:c r="G427" s="2" t="str"/>
      <x:c r="H427" s="2" t="str"/>
      <x:c r="I427" s="2" t="str">
        <x:v>국내_사업신청관리_20260731_산업부문.xls</x:v>
      </x:c>
      <x:c r="J427" s="2" t="n">
        <x:v>74</x:v>
      </x:c>
      <x:c r="K427" s="2" t="str">
        <x:v>국내_사업신청관리_20260921_산업부.xls</x:v>
      </x:c>
      <x:c r="L427" s="2"/>
    </x:row>
    <x:row r="428" ht="25" customHeight="1">
      <x:c r="A428" s="2" t="n">
        <x:v>388</x:v>
      </x:c>
      <x:c r="B428" s="2" t="str">
        <x:v>domestic_project</x:v>
      </x:c>
      <x:c r="C428" s="2" t="str">
        <x:v>산업</x:v>
      </x:c>
      <x:c r="D428" s="2" t="str">
        <x:v>9월 추가 후보</x:v>
      </x:c>
      <x:c r="E428" s="2" t="str">
        <x:v>969 | 6228110025 | 삼성금속(주) 외 4개사의 에이치디한국조선해양 및 조선자회사 협력사 대상 온실가스 감축사업 | 신규 | - | -</x:v>
      </x:c>
      <x:c r="F428" s="2" t="str">
        <x:v>변경 필드 없음</x:v>
      </x:c>
      <x:c r="G428" s="2" t="str"/>
      <x:c r="H428" s="2" t="str"/>
      <x:c r="I428" s="2" t="str">
        <x:v>국내_사업신청관리_20260731_산업부문.xls</x:v>
      </x:c>
      <x:c r="J428" s="2"/>
      <x:c r="K428" s="2" t="str">
        <x:v>국내_사업신청관리_20260921_산업부.xls</x:v>
      </x:c>
      <x:c r="L428" s="2" t="n">
        <x:v>79</x:v>
      </x:c>
    </x:row>
    <x:row r="429" ht="25" customHeight="1">
      <x:c r="A429" s="2" t="n">
        <x:v>389</x:v>
      </x:c>
      <x:c r="B429" s="2" t="str">
        <x:v>domestic_project</x:v>
      </x:c>
      <x:c r="C429" s="2" t="str">
        <x:v>산업</x:v>
      </x:c>
      <x:c r="D429" s="2" t="str">
        <x:v>9월 미등장·삭제 아님</x:v>
      </x:c>
      <x:c r="E429" s="2" t="str">
        <x:v>970 | 1208200052 | 2019년 호남권역 기존 심야 전기보일러의 축열식 히트펌프 교체를  통한 온실가스 묶음 감축사업 | 신규 | - | -</x:v>
      </x:c>
      <x:c r="F429" s="2" t="str">
        <x:v>변경 필드 없음</x:v>
      </x:c>
      <x:c r="G429" s="2" t="str"/>
      <x:c r="H429" s="2" t="str"/>
      <x:c r="I429" s="2" t="str">
        <x:v>국내_사업신청관리_20260731_산업부문.xls</x:v>
      </x:c>
      <x:c r="J429" s="2" t="n">
        <x:v>73</x:v>
      </x:c>
      <x:c r="K429" s="2" t="str">
        <x:v>국내_사업신청관리_20260921_산업부.xls</x:v>
      </x:c>
      <x:c r="L429" s="2"/>
    </x:row>
    <x:row r="430" ht="25" customHeight="1">
      <x:c r="A430" s="2" t="n">
        <x:v>390</x:v>
      </x:c>
      <x:c r="B430" s="2" t="str">
        <x:v>domestic_project</x:v>
      </x:c>
      <x:c r="C430" s="2" t="str">
        <x:v>산업</x:v>
      </x:c>
      <x:c r="D430" s="2" t="str">
        <x:v>9월 추가 후보</x:v>
      </x:c>
      <x:c r="E430" s="2" t="str">
        <x:v>970 | 6098150081 | 주식회사 세복 고효율 사출성형기 교체 사업 | 신규 | - | -</x:v>
      </x:c>
      <x:c r="F430" s="2" t="str">
        <x:v>변경 필드 없음</x:v>
      </x:c>
      <x:c r="G430" s="2" t="str"/>
      <x:c r="H430" s="2" t="str"/>
      <x:c r="I430" s="2" t="str">
        <x:v>국내_사업신청관리_20260731_산업부문.xls</x:v>
      </x:c>
      <x:c r="J430" s="2"/>
      <x:c r="K430" s="2" t="str">
        <x:v>국내_사업신청관리_20260921_산업부.xls</x:v>
      </x:c>
      <x:c r="L430" s="2" t="n">
        <x:v>78</x:v>
      </x:c>
    </x:row>
    <x:row r="431" ht="25" customHeight="1">
      <x:c r="A431" s="2" t="n">
        <x:v>391</x:v>
      </x:c>
      <x:c r="B431" s="2" t="str">
        <x:v>domestic_project</x:v>
      </x:c>
      <x:c r="C431" s="2" t="str">
        <x:v>산업</x:v>
      </x:c>
      <x:c r="D431" s="2" t="str">
        <x:v>9월 미등장·삭제 아님</x:v>
      </x:c>
      <x:c r="E431" s="2" t="str">
        <x:v>971 | 4358800539 | (주)고은산업  고효율 2단 인버터 PM Motor 공기압축기로 교체 사업 | 신규 | - | -</x:v>
      </x:c>
      <x:c r="F431" s="2" t="str">
        <x:v>변경 필드 없음</x:v>
      </x:c>
      <x:c r="G431" s="2" t="str"/>
      <x:c r="H431" s="2" t="str"/>
      <x:c r="I431" s="2" t="str">
        <x:v>국내_사업신청관리_20260731_산업부문.xls</x:v>
      </x:c>
      <x:c r="J431" s="2" t="n">
        <x:v>72</x:v>
      </x:c>
      <x:c r="K431" s="2" t="str">
        <x:v>국내_사업신청관리_20260921_산업부.xls</x:v>
      </x:c>
      <x:c r="L431" s="2"/>
    </x:row>
    <x:row r="432" ht="25" customHeight="1">
      <x:c r="A432" s="2" t="n">
        <x:v>392</x:v>
      </x:c>
      <x:c r="B432" s="2" t="str">
        <x:v>domestic_project</x:v>
      </x:c>
      <x:c r="C432" s="2" t="str">
        <x:v>산업</x:v>
      </x:c>
      <x:c r="D432" s="2" t="str">
        <x:v>9월 추가 후보</x:v>
      </x:c>
      <x:c r="E432" s="2" t="str">
        <x:v>971 | 6218141146 | 이코리아산업(주) 고효율 사출성형기 교체 사업 | 신규 | - | -</x:v>
      </x:c>
      <x:c r="F432" s="2" t="str">
        <x:v>변경 필드 없음</x:v>
      </x:c>
      <x:c r="G432" s="2" t="str"/>
      <x:c r="H432" s="2" t="str"/>
      <x:c r="I432" s="2" t="str">
        <x:v>국내_사업신청관리_20260731_산업부문.xls</x:v>
      </x:c>
      <x:c r="J432" s="2"/>
      <x:c r="K432" s="2" t="str">
        <x:v>국내_사업신청관리_20260921_산업부.xls</x:v>
      </x:c>
      <x:c r="L432" s="2" t="n">
        <x:v>77</x:v>
      </x:c>
    </x:row>
    <x:row r="433" ht="25" customHeight="1">
      <x:c r="A433" s="2" t="n">
        <x:v>393</x:v>
      </x:c>
      <x:c r="B433" s="2" t="str">
        <x:v>domestic_project</x:v>
      </x:c>
      <x:c r="C433" s="2" t="str">
        <x:v>산업</x:v>
      </x:c>
      <x:c r="D433" s="2" t="str">
        <x:v>9월 미등장·삭제 아님</x:v>
      </x:c>
      <x:c r="E433" s="2" t="str">
        <x:v>972 | 1208200052 | 2018년 경남권역 기존 심야 전기보일러의 축열식 히트펌프 교체를  통한 온실가스 묶음 감축사업 | 신규 | - | -</x:v>
      </x:c>
      <x:c r="F433" s="2" t="str">
        <x:v>변경 필드 없음</x:v>
      </x:c>
      <x:c r="G433" s="2" t="str"/>
      <x:c r="H433" s="2" t="str"/>
      <x:c r="I433" s="2" t="str">
        <x:v>국내_사업신청관리_20260731_산업부문.xls</x:v>
      </x:c>
      <x:c r="J433" s="2" t="n">
        <x:v>71</x:v>
      </x:c>
      <x:c r="K433" s="2" t="str">
        <x:v>국내_사업신청관리_20260921_산업부.xls</x:v>
      </x:c>
      <x:c r="L433" s="2"/>
    </x:row>
    <x:row r="434" ht="25" customHeight="1">
      <x:c r="A434" s="2" t="n">
        <x:v>394</x:v>
      </x:c>
      <x:c r="B434" s="2" t="str">
        <x:v>domestic_project</x:v>
      </x:c>
      <x:c r="C434" s="2" t="str">
        <x:v>산업</x:v>
      </x:c>
      <x:c r="D434" s="2" t="str">
        <x:v>9월 추가 후보</x:v>
      </x:c>
      <x:c r="E434" s="2" t="str">
        <x:v>972 | 5048138778 | 주식회사 태양산업사 고효율 공기압축기 교체 사업 | 신규 | - | -</x:v>
      </x:c>
      <x:c r="F434" s="2" t="str">
        <x:v>변경 필드 없음</x:v>
      </x:c>
      <x:c r="G434" s="2" t="str"/>
      <x:c r="H434" s="2" t="str"/>
      <x:c r="I434" s="2" t="str">
        <x:v>국내_사업신청관리_20260731_산업부문.xls</x:v>
      </x:c>
      <x:c r="J434" s="2"/>
      <x:c r="K434" s="2" t="str">
        <x:v>국내_사업신청관리_20260921_산업부.xls</x:v>
      </x:c>
      <x:c r="L434" s="2" t="n">
        <x:v>76</x:v>
      </x:c>
    </x:row>
    <x:row r="435" ht="25" customHeight="1">
      <x:c r="A435" s="2" t="n">
        <x:v>395</x:v>
      </x:c>
      <x:c r="B435" s="2" t="str">
        <x:v>domestic_project</x:v>
      </x:c>
      <x:c r="C435" s="2" t="str">
        <x:v>산업</x:v>
      </x:c>
      <x:c r="D435" s="2" t="str">
        <x:v>9월 미등장·삭제 아님</x:v>
      </x:c>
      <x:c r="E435" s="2" t="str">
        <x:v>973 | 1168100755 | 삼천리 도시가스 공급 권역의 연료전환을 통한 프로그램 감축사업 | 인증유효기간 갱신 | 1차 | -</x:v>
      </x:c>
      <x:c r="F435" s="2" t="str">
        <x:v>변경 필드 없음</x:v>
      </x:c>
      <x:c r="G435" s="2" t="str"/>
      <x:c r="H435" s="2" t="str"/>
      <x:c r="I435" s="2" t="str">
        <x:v>국내_사업신청관리_20260731_산업부문.xls</x:v>
      </x:c>
      <x:c r="J435" s="2" t="n">
        <x:v>70</x:v>
      </x:c>
      <x:c r="K435" s="2" t="str">
        <x:v>국내_사업신청관리_20260921_산업부.xls</x:v>
      </x:c>
      <x:c r="L435" s="2"/>
    </x:row>
    <x:row r="436" ht="25" customHeight="1">
      <x:c r="A436" s="2" t="n">
        <x:v>396</x:v>
      </x:c>
      <x:c r="B436" s="2" t="str">
        <x:v>domestic_project</x:v>
      </x:c>
      <x:c r="C436" s="2" t="str">
        <x:v>산업</x:v>
      </x:c>
      <x:c r="D436" s="2" t="str">
        <x:v>9월 추가 후보</x:v>
      </x:c>
      <x:c r="E436" s="2" t="str">
        <x:v>973 | 2918603650 | 주식회사 디에이치지 고효율 공기압축기 교체 사업 | 신규 | - | -</x:v>
      </x:c>
      <x:c r="F436" s="2" t="str">
        <x:v>변경 필드 없음</x:v>
      </x:c>
      <x:c r="G436" s="2" t="str"/>
      <x:c r="H436" s="2" t="str"/>
      <x:c r="I436" s="2" t="str">
        <x:v>국내_사업신청관리_20260731_산업부문.xls</x:v>
      </x:c>
      <x:c r="J436" s="2"/>
      <x:c r="K436" s="2" t="str">
        <x:v>국내_사업신청관리_20260921_산업부.xls</x:v>
      </x:c>
      <x:c r="L436" s="2" t="n">
        <x:v>75</x:v>
      </x:c>
    </x:row>
    <x:row r="437" ht="25" customHeight="1">
      <x:c r="A437" s="2" t="n">
        <x:v>397</x:v>
      </x:c>
      <x:c r="B437" s="2" t="str">
        <x:v>domestic_project</x:v>
      </x:c>
      <x:c r="C437" s="2" t="str">
        <x:v>산업</x:v>
      </x:c>
      <x:c r="D437" s="2" t="str">
        <x:v>9월 미등장·삭제 아님</x:v>
      </x:c>
      <x:c r="E437" s="2" t="str">
        <x:v>974 | 3038120317 | (주)석진산업 연료전환(B-C유→ LPG)을 통한 온실가스 배출 감축사업 | 신규 | - | -</x:v>
      </x:c>
      <x:c r="F437" s="2" t="str">
        <x:v>변경 필드 없음</x:v>
      </x:c>
      <x:c r="G437" s="2" t="str"/>
      <x:c r="H437" s="2" t="str"/>
      <x:c r="I437" s="2" t="str">
        <x:v>국내_사업신청관리_20260731_산업부문.xls</x:v>
      </x:c>
      <x:c r="J437" s="2" t="n">
        <x:v>69</x:v>
      </x:c>
      <x:c r="K437" s="2" t="str">
        <x:v>국내_사업신청관리_20260921_산업부.xls</x:v>
      </x:c>
      <x:c r="L437" s="2"/>
    </x:row>
    <x:row r="438" ht="25" customHeight="1">
      <x:c r="A438" s="2" t="n">
        <x:v>398</x:v>
      </x:c>
      <x:c r="B438" s="2" t="str">
        <x:v>domestic_project</x:v>
      </x:c>
      <x:c r="C438" s="2" t="str">
        <x:v>산업</x:v>
      </x:c>
      <x:c r="D438" s="2" t="str">
        <x:v>9월 추가 후보</x:v>
      </x:c>
      <x:c r="E438" s="2" t="str">
        <x:v>974 | 7988800181 | 주식회사 신우테크의 고효율 레이저 절단기 교체를 통한 온실가스 감축사업 | 신규 | - | -</x:v>
      </x:c>
      <x:c r="F438" s="2" t="str">
        <x:v>변경 필드 없음</x:v>
      </x:c>
      <x:c r="G438" s="2" t="str"/>
      <x:c r="H438" s="2" t="str"/>
      <x:c r="I438" s="2" t="str">
        <x:v>국내_사업신청관리_20260731_산업부문.xls</x:v>
      </x:c>
      <x:c r="J438" s="2"/>
      <x:c r="K438" s="2" t="str">
        <x:v>국내_사업신청관리_20260921_산업부.xls</x:v>
      </x:c>
      <x:c r="L438" s="2" t="n">
        <x:v>74</x:v>
      </x:c>
    </x:row>
    <x:row r="439" ht="25" customHeight="1">
      <x:c r="A439" s="2" t="n">
        <x:v>399</x:v>
      </x:c>
      <x:c r="B439" s="2" t="str">
        <x:v>domestic_project</x:v>
      </x:c>
      <x:c r="C439" s="2" t="str">
        <x:v>산업</x:v>
      </x:c>
      <x:c r="D439" s="2" t="str">
        <x:v>9월 미등장·삭제 아님</x:v>
      </x:c>
      <x:c r="E439" s="2" t="str">
        <x:v>975 | 5078104296 | ㈜성보아스콘 연료전환(B-C유 → LPG)을 통한 온실가스 배출 감축사업 | 신규 | - | -</x:v>
      </x:c>
      <x:c r="F439" s="2" t="str">
        <x:v>변경 필드 없음</x:v>
      </x:c>
      <x:c r="G439" s="2" t="str"/>
      <x:c r="H439" s="2" t="str"/>
      <x:c r="I439" s="2" t="str">
        <x:v>국내_사업신청관리_20260731_산업부문.xls</x:v>
      </x:c>
      <x:c r="J439" s="2" t="n">
        <x:v>68</x:v>
      </x:c>
      <x:c r="K439" s="2" t="str">
        <x:v>국내_사업신청관리_20260921_산업부.xls</x:v>
      </x:c>
      <x:c r="L439" s="2"/>
    </x:row>
    <x:row r="440" ht="25" customHeight="1">
      <x:c r="A440" s="2" t="n">
        <x:v>400</x:v>
      </x:c>
      <x:c r="B440" s="2" t="str">
        <x:v>domestic_project</x:v>
      </x:c>
      <x:c r="C440" s="2" t="str">
        <x:v>산업</x:v>
      </x:c>
      <x:c r="D440" s="2" t="str">
        <x:v>9월 추가 후보</x:v>
      </x:c>
      <x:c r="E440" s="2" t="str">
        <x:v>975 | 6228110933 | 주식회사 태성정밀 고효율 사출성형기 교체사업 | 신규 | - | -</x:v>
      </x:c>
      <x:c r="F440" s="2" t="str">
        <x:v>변경 필드 없음</x:v>
      </x:c>
      <x:c r="G440" s="2" t="str"/>
      <x:c r="H440" s="2" t="str"/>
      <x:c r="I440" s="2" t="str">
        <x:v>국내_사업신청관리_20260731_산업부문.xls</x:v>
      </x:c>
      <x:c r="J440" s="2"/>
      <x:c r="K440" s="2" t="str">
        <x:v>국내_사업신청관리_20260921_산업부.xls</x:v>
      </x:c>
      <x:c r="L440" s="2" t="n">
        <x:v>73</x:v>
      </x:c>
    </x:row>
    <x:row r="441" ht="25" customHeight="1">
      <x:c r="A441" s="2" t="n">
        <x:v>401</x:v>
      </x:c>
      <x:c r="B441" s="2" t="str">
        <x:v>domestic_project</x:v>
      </x:c>
      <x:c r="C441" s="2" t="str">
        <x:v>산업</x:v>
      </x:c>
      <x:c r="D441" s="2" t="str">
        <x:v>9월 추가 후보</x:v>
      </x:c>
      <x:c r="E441" s="2" t="str">
        <x:v>976 | 1268135509 | 태창산업(주) 연료전환(B-C유 → LPG)을 통한 온실가스 배출 감축사업 | 신규 | - | -</x:v>
      </x:c>
      <x:c r="F441" s="2" t="str">
        <x:v>변경 필드 없음</x:v>
      </x:c>
      <x:c r="G441" s="2" t="str"/>
      <x:c r="H441" s="2" t="str"/>
      <x:c r="I441" s="2" t="str">
        <x:v>국내_사업신청관리_20260731_산업부문.xls</x:v>
      </x:c>
      <x:c r="J441" s="2"/>
      <x:c r="K441" s="2" t="str">
        <x:v>국내_사업신청관리_20260921_산업부.xls</x:v>
      </x:c>
      <x:c r="L441" s="2" t="n">
        <x:v>72</x:v>
      </x:c>
    </x:row>
    <x:row r="442" ht="25" customHeight="1">
      <x:c r="A442" s="2" t="n">
        <x:v>402</x:v>
      </x:c>
      <x:c r="B442" s="2" t="str">
        <x:v>domestic_project</x:v>
      </x:c>
      <x:c r="C442" s="2" t="str">
        <x:v>산업</x:v>
      </x:c>
      <x:c r="D442" s="2" t="str">
        <x:v>9월 미등장·삭제 아님</x:v>
      </x:c>
      <x:c r="E442" s="2" t="str">
        <x:v>976 | 6068127539 | (주)케이에스피 인버터 공기압축기 교체를 통한 온실가스 감축사업 | 신규 | - | -</x:v>
      </x:c>
      <x:c r="F442" s="2" t="str">
        <x:v>변경 필드 없음</x:v>
      </x:c>
      <x:c r="G442" s="2" t="str"/>
      <x:c r="H442" s="2" t="str"/>
      <x:c r="I442" s="2" t="str">
        <x:v>국내_사업신청관리_20260731_산업부문.xls</x:v>
      </x:c>
      <x:c r="J442" s="2" t="n">
        <x:v>67</x:v>
      </x:c>
      <x:c r="K442" s="2" t="str">
        <x:v>국내_사업신청관리_20260921_산업부.xls</x:v>
      </x:c>
      <x:c r="L442" s="2"/>
    </x:row>
    <x:row r="443" ht="25" customHeight="1">
      <x:c r="A443" s="2" t="n">
        <x:v>403</x:v>
      </x:c>
      <x:c r="B443" s="2" t="str">
        <x:v>domestic_project</x:v>
      </x:c>
      <x:c r="C443" s="2" t="str">
        <x:v>산업</x:v>
      </x:c>
      <x:c r="D443" s="2" t="str">
        <x:v>9월 추가 후보</x:v>
      </x:c>
      <x:c r="E443" s="2" t="str">
        <x:v>977 | 1228644980 | 티알에너지 산업용 보일러 내 목재펠릿 연료를 통한 화석연료 대체사업 | 신규 | - | -</x:v>
      </x:c>
      <x:c r="F443" s="2" t="str">
        <x:v>변경 필드 없음</x:v>
      </x:c>
      <x:c r="G443" s="2" t="str"/>
      <x:c r="H443" s="2" t="str"/>
      <x:c r="I443" s="2" t="str">
        <x:v>국내_사업신청관리_20260731_산업부문.xls</x:v>
      </x:c>
      <x:c r="J443" s="2"/>
      <x:c r="K443" s="2" t="str">
        <x:v>국내_사업신청관리_20260921_산업부.xls</x:v>
      </x:c>
      <x:c r="L443" s="2" t="n">
        <x:v>71</x:v>
      </x:c>
    </x:row>
    <x:row r="444" ht="25" customHeight="1">
      <x:c r="A444" s="2" t="n">
        <x:v>404</x:v>
      </x:c>
      <x:c r="B444" s="2" t="str">
        <x:v>domestic_project</x:v>
      </x:c>
      <x:c r="C444" s="2" t="str">
        <x:v>산업</x:v>
      </x:c>
      <x:c r="D444" s="2" t="str">
        <x:v>9월 미등장·삭제 아님</x:v>
      </x:c>
      <x:c r="E444" s="2" t="str">
        <x:v>977 | 6228110025 | 삼성금속(주) 외 4개사의 에이치디한국조선해양 및 조선자회사 협력사 대상 온실가스 감축사업 | 신규 | - | -</x:v>
      </x:c>
      <x:c r="F444" s="2" t="str">
        <x:v>변경 필드 없음</x:v>
      </x:c>
      <x:c r="G444" s="2" t="str"/>
      <x:c r="H444" s="2" t="str"/>
      <x:c r="I444" s="2" t="str">
        <x:v>국내_사업신청관리_20260731_산업부문.xls</x:v>
      </x:c>
      <x:c r="J444" s="2" t="n">
        <x:v>66</x:v>
      </x:c>
      <x:c r="K444" s="2" t="str">
        <x:v>국내_사업신청관리_20260921_산업부.xls</x:v>
      </x:c>
      <x:c r="L444" s="2"/>
    </x:row>
    <x:row r="445" ht="25" customHeight="1">
      <x:c r="A445" s="2" t="n">
        <x:v>405</x:v>
      </x:c>
      <x:c r="B445" s="2" t="str">
        <x:v>domestic_project</x:v>
      </x:c>
      <x:c r="C445" s="2" t="str">
        <x:v>산업</x:v>
      </x:c>
      <x:c r="D445" s="2" t="str">
        <x:v>9월 추가 후보</x:v>
      </x:c>
      <x:c r="E445" s="2" t="str">
        <x:v>978 | 3148213486 | 동해천곡5관리소 온수보일러 연료전환(B-C유-&gt;LNG)을 통한 온실가스 배출 감축사업 | 인증유효기간 갱신 | 2차 | -</x:v>
      </x:c>
      <x:c r="F445" s="2" t="str">
        <x:v>변경 필드 없음</x:v>
      </x:c>
      <x:c r="G445" s="2" t="str"/>
      <x:c r="H445" s="2" t="str"/>
      <x:c r="I445" s="2" t="str">
        <x:v>국내_사업신청관리_20260731_산업부문.xls</x:v>
      </x:c>
      <x:c r="J445" s="2"/>
      <x:c r="K445" s="2" t="str">
        <x:v>국내_사업신청관리_20260921_산업부.xls</x:v>
      </x:c>
      <x:c r="L445" s="2" t="n">
        <x:v>70</x:v>
      </x:c>
    </x:row>
    <x:row r="446" ht="25" customHeight="1">
      <x:c r="A446" s="2" t="n">
        <x:v>406</x:v>
      </x:c>
      <x:c r="B446" s="2" t="str">
        <x:v>domestic_project</x:v>
      </x:c>
      <x:c r="C446" s="2" t="str">
        <x:v>산업</x:v>
      </x:c>
      <x:c r="D446" s="2" t="str">
        <x:v>9월 미등장·삭제 아님</x:v>
      </x:c>
      <x:c r="E446" s="2" t="str">
        <x:v>978 | 6098150081 | 주식회사 세복 고효율 사출성형기 교체 사업 | 신규 | - | -</x:v>
      </x:c>
      <x:c r="F446" s="2" t="str">
        <x:v>변경 필드 없음</x:v>
      </x:c>
      <x:c r="G446" s="2" t="str"/>
      <x:c r="H446" s="2" t="str"/>
      <x:c r="I446" s="2" t="str">
        <x:v>국내_사업신청관리_20260731_산업부문.xls</x:v>
      </x:c>
      <x:c r="J446" s="2" t="n">
        <x:v>65</x:v>
      </x:c>
      <x:c r="K446" s="2" t="str">
        <x:v>국내_사업신청관리_20260921_산업부.xls</x:v>
      </x:c>
      <x:c r="L446" s="2"/>
    </x:row>
    <x:row r="447" ht="25" customHeight="1">
      <x:c r="A447" s="2" t="n">
        <x:v>407</x:v>
      </x:c>
      <x:c r="B447" s="2" t="str">
        <x:v>domestic_project</x:v>
      </x:c>
      <x:c r="C447" s="2" t="str">
        <x:v>산업</x:v>
      </x:c>
      <x:c r="D447" s="2" t="str">
        <x:v>9월 추가 후보</x:v>
      </x:c>
      <x:c r="E447" s="2" t="str">
        <x:v>979 | 3148213486 | 석사3관리소 온수보일러 연료전환(B-C유-&gt;LNG)을 통한 온실가스 배출 감축사업 | 인증유효기간 갱신 | 2차 | -</x:v>
      </x:c>
      <x:c r="F447" s="2" t="str">
        <x:v>변경 필드 없음</x:v>
      </x:c>
      <x:c r="G447" s="2" t="str"/>
      <x:c r="H447" s="2" t="str"/>
      <x:c r="I447" s="2" t="str">
        <x:v>국내_사업신청관리_20260731_산업부문.xls</x:v>
      </x:c>
      <x:c r="J447" s="2"/>
      <x:c r="K447" s="2" t="str">
        <x:v>국내_사업신청관리_20260921_산업부.xls</x:v>
      </x:c>
      <x:c r="L447" s="2" t="n">
        <x:v>69</x:v>
      </x:c>
    </x:row>
    <x:row r="448" ht="25" customHeight="1">
      <x:c r="A448" s="2" t="n">
        <x:v>408</x:v>
      </x:c>
      <x:c r="B448" s="2" t="str">
        <x:v>domestic_project</x:v>
      </x:c>
      <x:c r="C448" s="2" t="str">
        <x:v>산업</x:v>
      </x:c>
      <x:c r="D448" s="2" t="str">
        <x:v>9월 미등장·삭제 아님</x:v>
      </x:c>
      <x:c r="E448" s="2" t="str">
        <x:v>979 | 6218141146 | 이코리아산업(주) 고효율 사출성형기 교체 사업 | 신규 | - | -</x:v>
      </x:c>
      <x:c r="F448" s="2" t="str">
        <x:v>변경 필드 없음</x:v>
      </x:c>
      <x:c r="G448" s="2" t="str"/>
      <x:c r="H448" s="2" t="str"/>
      <x:c r="I448" s="2" t="str">
        <x:v>국내_사업신청관리_20260731_산업부문.xls</x:v>
      </x:c>
      <x:c r="J448" s="2" t="n">
        <x:v>64</x:v>
      </x:c>
      <x:c r="K448" s="2" t="str">
        <x:v>국내_사업신청관리_20260921_산업부.xls</x:v>
      </x:c>
      <x:c r="L448" s="2"/>
    </x:row>
    <x:row r="449" ht="25" customHeight="1">
      <x:c r="A449" s="2" t="n">
        <x:v>409</x:v>
      </x:c>
      <x:c r="B449" s="2" t="str">
        <x:v>domestic_project</x:v>
      </x:c>
      <x:c r="C449" s="2" t="str">
        <x:v>산업</x:v>
      </x:c>
      <x:c r="D449" s="2" t="str">
        <x:v>9월 추가 후보</x:v>
      </x:c>
      <x:c r="E449" s="2" t="str">
        <x:v>980 | 1828100465 | ㈜태경식품 제천공장의 고효율 인버터 공기압축기 교체를 통한 온실가스 감축 사업 | 신규 | - | -</x:v>
      </x:c>
      <x:c r="F449" s="2" t="str">
        <x:v>변경 필드 없음</x:v>
      </x:c>
      <x:c r="G449" s="2" t="str"/>
      <x:c r="H449" s="2" t="str"/>
      <x:c r="I449" s="2" t="str">
        <x:v>국내_사업신청관리_20260731_산업부문.xls</x:v>
      </x:c>
      <x:c r="J449" s="2"/>
      <x:c r="K449" s="2" t="str">
        <x:v>국내_사업신청관리_20260921_산업부.xls</x:v>
      </x:c>
      <x:c r="L449" s="2" t="n">
        <x:v>68</x:v>
      </x:c>
    </x:row>
    <x:row r="450" ht="25" customHeight="1">
      <x:c r="A450" s="2" t="n">
        <x:v>410</x:v>
      </x:c>
      <x:c r="B450" s="2" t="str">
        <x:v>domestic_project</x:v>
      </x:c>
      <x:c r="C450" s="2" t="str">
        <x:v>산업</x:v>
      </x:c>
      <x:c r="D450" s="2" t="str">
        <x:v>9월 미등장·삭제 아님</x:v>
      </x:c>
      <x:c r="E450" s="2" t="str">
        <x:v>980 | 5048138778 | 주식회사 태양산업사 고효율 공기압축기 교체 사업 | 신규 | - | -</x:v>
      </x:c>
      <x:c r="F450" s="2" t="str">
        <x:v>변경 필드 없음</x:v>
      </x:c>
      <x:c r="G450" s="2" t="str"/>
      <x:c r="H450" s="2" t="str"/>
      <x:c r="I450" s="2" t="str">
        <x:v>국내_사업신청관리_20260731_산업부문.xls</x:v>
      </x:c>
      <x:c r="J450" s="2" t="n">
        <x:v>63</x:v>
      </x:c>
      <x:c r="K450" s="2" t="str">
        <x:v>국내_사업신청관리_20260921_산업부.xls</x:v>
      </x:c>
      <x:c r="L450" s="2"/>
    </x:row>
    <x:row r="451" ht="25" customHeight="1">
      <x:c r="A451" s="2" t="n">
        <x:v>411</x:v>
      </x:c>
      <x:c r="B451" s="2" t="str">
        <x:v>domestic_project</x:v>
      </x:c>
      <x:c r="C451" s="2" t="str">
        <x:v>산업</x:v>
      </x:c>
      <x:c r="D451" s="2" t="str">
        <x:v>9월 미등장·삭제 아님</x:v>
      </x:c>
      <x:c r="E451" s="2" t="str">
        <x:v>981 | 2918603650 | 주식회사 디에이치지 고효율 공기압축기 교체 사업 | 신규 | - | -</x:v>
      </x:c>
      <x:c r="F451" s="2" t="str">
        <x:v>변경 필드 없음</x:v>
      </x:c>
      <x:c r="G451" s="2" t="str"/>
      <x:c r="H451" s="2" t="str"/>
      <x:c r="I451" s="2" t="str">
        <x:v>국내_사업신청관리_20260731_산업부문.xls</x:v>
      </x:c>
      <x:c r="J451" s="2" t="n">
        <x:v>62</x:v>
      </x:c>
      <x:c r="K451" s="2" t="str">
        <x:v>국내_사업신청관리_20260921_산업부.xls</x:v>
      </x:c>
      <x:c r="L451" s="2"/>
    </x:row>
    <x:row r="452" ht="25" customHeight="1">
      <x:c r="A452" s="2" t="n">
        <x:v>412</x:v>
      </x:c>
      <x:c r="B452" s="2" t="str">
        <x:v>domestic_project</x:v>
      </x:c>
      <x:c r="C452" s="2" t="str">
        <x:v>산업</x:v>
      </x:c>
      <x:c r="D452" s="2" t="str">
        <x:v>9월 추가 후보</x:v>
      </x:c>
      <x:c r="E452" s="2" t="str">
        <x:v>981 | 8498100781 | (주)동해로씨푸드 인버터 공기압축기 교체를 통한 온실가스 감축사업 | 신규 | - | -</x:v>
      </x:c>
      <x:c r="F452" s="2" t="str">
        <x:v>변경 필드 없음</x:v>
      </x:c>
      <x:c r="G452" s="2" t="str"/>
      <x:c r="H452" s="2" t="str"/>
      <x:c r="I452" s="2" t="str">
        <x:v>국내_사업신청관리_20260731_산업부문.xls</x:v>
      </x:c>
      <x:c r="J452" s="2"/>
      <x:c r="K452" s="2" t="str">
        <x:v>국내_사업신청관리_20260921_산업부.xls</x:v>
      </x:c>
      <x:c r="L452" s="2" t="n">
        <x:v>67</x:v>
      </x:c>
    </x:row>
    <x:row r="453" ht="25" customHeight="1">
      <x:c r="A453" s="2" t="n">
        <x:v>413</x:v>
      </x:c>
      <x:c r="B453" s="2" t="str">
        <x:v>domestic_project</x:v>
      </x:c>
      <x:c r="C453" s="2" t="str">
        <x:v>산업</x:v>
      </x:c>
      <x:c r="D453" s="2" t="str">
        <x:v>9월 추가 후보</x:v>
      </x:c>
      <x:c r="E453" s="2" t="str">
        <x:v>982 | 5158511670 | (주)유성에프티 고효율 공기압축기 교체를 통한 온실가스 감축사업 | 신규 | - | -</x:v>
      </x:c>
      <x:c r="F453" s="2" t="str">
        <x:v>변경 필드 없음</x:v>
      </x:c>
      <x:c r="G453" s="2" t="str"/>
      <x:c r="H453" s="2" t="str"/>
      <x:c r="I453" s="2" t="str">
        <x:v>국내_사업신청관리_20260731_산업부문.xls</x:v>
      </x:c>
      <x:c r="J453" s="2"/>
      <x:c r="K453" s="2" t="str">
        <x:v>국내_사업신청관리_20260921_산업부.xls</x:v>
      </x:c>
      <x:c r="L453" s="2" t="n">
        <x:v>66</x:v>
      </x:c>
    </x:row>
    <x:row r="454" ht="25" customHeight="1">
      <x:c r="A454" s="2" t="n">
        <x:v>414</x:v>
      </x:c>
      <x:c r="B454" s="2" t="str">
        <x:v>domestic_project</x:v>
      </x:c>
      <x:c r="C454" s="2" t="str">
        <x:v>산업</x:v>
      </x:c>
      <x:c r="D454" s="2" t="str">
        <x:v>9월 미등장·삭제 아님</x:v>
      </x:c>
      <x:c r="E454" s="2" t="str">
        <x:v>982 | 7988800181 | 주식회사 신우테크의 고효율 레이저 절단기 교체를 통한 온실가스 감축사업 | 신규 | - | -</x:v>
      </x:c>
      <x:c r="F454" s="2" t="str">
        <x:v>변경 필드 없음</x:v>
      </x:c>
      <x:c r="G454" s="2" t="str"/>
      <x:c r="H454" s="2" t="str"/>
      <x:c r="I454" s="2" t="str">
        <x:v>국내_사업신청관리_20260731_산업부문.xls</x:v>
      </x:c>
      <x:c r="J454" s="2" t="n">
        <x:v>61</x:v>
      </x:c>
      <x:c r="K454" s="2" t="str">
        <x:v>국내_사업신청관리_20260921_산업부.xls</x:v>
      </x:c>
      <x:c r="L454" s="2"/>
    </x:row>
    <x:row r="455" ht="25" customHeight="1">
      <x:c r="A455" s="2" t="n">
        <x:v>415</x:v>
      </x:c>
      <x:c r="B455" s="2" t="str">
        <x:v>domestic_project</x:v>
      </x:c>
      <x:c r="C455" s="2" t="str">
        <x:v>산업</x:v>
      </x:c>
      <x:c r="D455" s="2" t="str">
        <x:v>9월 추가 후보</x:v>
      </x:c>
      <x:c r="E455" s="2" t="str">
        <x:v>983 | 6108177834 | 플루오린코리아 주식회사 육불화황 회수 및 플라즈마 분해를 통한 온실가스 배출 감축사업 | 사업변경 | - | 2차</x:v>
      </x:c>
      <x:c r="F455" s="2" t="str">
        <x:v>변경 필드 없음</x:v>
      </x:c>
      <x:c r="G455" s="2" t="str"/>
      <x:c r="H455" s="2" t="str"/>
      <x:c r="I455" s="2" t="str">
        <x:v>국내_사업신청관리_20260731_산업부문.xls</x:v>
      </x:c>
      <x:c r="J455" s="2"/>
      <x:c r="K455" s="2" t="str">
        <x:v>국내_사업신청관리_20260921_산업부.xls</x:v>
      </x:c>
      <x:c r="L455" s="2" t="n">
        <x:v>65</x:v>
      </x:c>
    </x:row>
    <x:row r="456">
      <x:c r="A456" t="n">
        <x:v>416</x:v>
      </x:c>
      <x:c r="B456" t="str">
        <x:v>domestic_project</x:v>
      </x:c>
      <x:c r="C456" t="str">
        <x:v>산업</x:v>
      </x:c>
      <x:c r="D456" t="str">
        <x:v>9월 미등장·삭제 아님</x:v>
      </x:c>
      <x:c r="E456" t="str">
        <x:v>983 | 6228110933 | 주식회사 태성정밀 고효율 사출성형기 교체사업 | 신규 | - | -</x:v>
      </x:c>
      <x:c r="F456" t="str">
        <x:v>변경 필드 없음</x:v>
      </x:c>
      <x:c r="G456" t="str"/>
      <x:c r="H456" t="str"/>
      <x:c r="I456" t="str">
        <x:v>국내_사업신청관리_20260731_산업부문.xls</x:v>
      </x:c>
      <x:c r="J456" t="n">
        <x:v>60</x:v>
      </x:c>
      <x:c r="K456" t="str">
        <x:v>국내_사업신청관리_20260921_산업부.xls</x:v>
      </x:c>
      <x:c r="L456"/>
    </x:row>
    <x:row r="457">
      <x:c r="A457" t="n">
        <x:v>417</x:v>
      </x:c>
      <x:c r="B457" t="str">
        <x:v>domestic_project</x:v>
      </x:c>
      <x:c r="C457" t="str">
        <x:v>산업</x:v>
      </x:c>
      <x:c r="D457" t="str">
        <x:v>9월 미등장·삭제 아님</x:v>
      </x:c>
      <x:c r="E457" t="str">
        <x:v>984 | 1268135509 | 태창산업(주) 연료전환(B-C유 → LPG)을 통한 온실가스 배출 감축사업 | 신규 | - | -</x:v>
      </x:c>
      <x:c r="F457" t="str">
        <x:v>변경 필드 없음</x:v>
      </x:c>
      <x:c r="G457" t="str"/>
      <x:c r="H457" t="str"/>
      <x:c r="I457" t="str">
        <x:v>국내_사업신청관리_20260731_산업부문.xls</x:v>
      </x:c>
      <x:c r="J457" t="n">
        <x:v>59</x:v>
      </x:c>
      <x:c r="K457" t="str">
        <x:v>국내_사업신청관리_20260921_산업부.xls</x:v>
      </x:c>
      <x:c r="L457"/>
    </x:row>
    <x:row r="458">
      <x:c r="A458" t="n">
        <x:v>418</x:v>
      </x:c>
      <x:c r="B458" t="str">
        <x:v>domestic_project</x:v>
      </x:c>
      <x:c r="C458" t="str">
        <x:v>산업</x:v>
      </x:c>
      <x:c r="D458" t="str">
        <x:v>9월 추가 후보</x:v>
      </x:c>
      <x:c r="E458" t="str">
        <x:v>984 | 5158139758 | ㈜규원이엔지 바이오매스 연료기반 열에너지 공급으로 수용가 화석연료 사용량 절감 사업 | 사업변경 | - | 1차</x:v>
      </x:c>
      <x:c r="F458" t="str">
        <x:v>변경 필드 없음</x:v>
      </x:c>
      <x:c r="G458" t="str"/>
      <x:c r="H458" t="str"/>
      <x:c r="I458" t="str">
        <x:v>국내_사업신청관리_20260731_산업부문.xls</x:v>
      </x:c>
      <x:c r="J458"/>
      <x:c r="K458" t="str">
        <x:v>국내_사업신청관리_20260921_산업부.xls</x:v>
      </x:c>
      <x:c r="L458" t="n">
        <x:v>64</x:v>
      </x:c>
    </x:row>
    <x:row r="459">
      <x:c r="A459" t="n">
        <x:v>419</x:v>
      </x:c>
      <x:c r="B459" t="str">
        <x:v>domestic_project</x:v>
      </x:c>
      <x:c r="C459" t="str">
        <x:v>산업</x:v>
      </x:c>
      <x:c r="D459" t="str">
        <x:v>9월 미등장·삭제 아님</x:v>
      </x:c>
      <x:c r="E459" t="str">
        <x:v>985 | 1228644980 | 티알에너지 산업용 보일러 내 목재펠릿 연료를 통한 화석연료 대체사업 | 신규 | - | -</x:v>
      </x:c>
      <x:c r="F459" t="str">
        <x:v>변경 필드 없음</x:v>
      </x:c>
      <x:c r="G459" t="str"/>
      <x:c r="H459" t="str"/>
      <x:c r="I459" t="str">
        <x:v>국내_사업신청관리_20260731_산업부문.xls</x:v>
      </x:c>
      <x:c r="J459" t="n">
        <x:v>58</x:v>
      </x:c>
      <x:c r="K459" t="str">
        <x:v>국내_사업신청관리_20260921_산업부.xls</x:v>
      </x:c>
      <x:c r="L459"/>
    </x:row>
    <x:row r="460">
      <x:c r="A460" t="n">
        <x:v>420</x:v>
      </x:c>
      <x:c r="B460" t="str">
        <x:v>domestic_project</x:v>
      </x:c>
      <x:c r="C460" t="str">
        <x:v>산업</x:v>
      </x:c>
      <x:c r="D460" t="str">
        <x:v>9월 추가 후보</x:v>
      </x:c>
      <x:c r="E460" t="str">
        <x:v>985 | 4358800539 | 에이프로  고효율 2단 PM Motor 공기압축기로 교체 사업 | 신규 | - | -</x:v>
      </x:c>
      <x:c r="F460" t="str">
        <x:v>변경 필드 없음</x:v>
      </x:c>
      <x:c r="G460" t="str"/>
      <x:c r="H460" t="str"/>
      <x:c r="I460" t="str">
        <x:v>국내_사업신청관리_20260731_산업부문.xls</x:v>
      </x:c>
      <x:c r="J460"/>
      <x:c r="K460" t="str">
        <x:v>국내_사업신청관리_20260921_산업부.xls</x:v>
      </x:c>
      <x:c r="L460" t="n">
        <x:v>63</x:v>
      </x:c>
    </x:row>
    <x:row r="461">
      <x:c r="A461" t="n">
        <x:v>421</x:v>
      </x:c>
      <x:c r="B461" t="str">
        <x:v>domestic_project</x:v>
      </x:c>
      <x:c r="C461" t="str">
        <x:v>산업</x:v>
      </x:c>
      <x:c r="D461" t="str">
        <x:v>9월 미등장·삭제 아님</x:v>
      </x:c>
      <x:c r="E461" t="str">
        <x:v>986 | 3148213486 | 동해천곡5관리소 온수보일러 연료전환(B-C유-&gt;LNG)을 통한 온실가스 배출 감축사업 | 인증유효기간 갱신 | 2차 | -</x:v>
      </x:c>
      <x:c r="F461" t="str">
        <x:v>변경 필드 없음</x:v>
      </x:c>
      <x:c r="G461" t="str"/>
      <x:c r="H461" t="str"/>
      <x:c r="I461" t="str">
        <x:v>국내_사업신청관리_20260731_산업부문.xls</x:v>
      </x:c>
      <x:c r="J461" t="n">
        <x:v>57</x:v>
      </x:c>
      <x:c r="K461" t="str">
        <x:v>국내_사업신청관리_20260921_산업부.xls</x:v>
      </x:c>
      <x:c r="L461"/>
    </x:row>
    <x:row r="462">
      <x:c r="A462" t="n">
        <x:v>422</x:v>
      </x:c>
      <x:c r="B462" t="str">
        <x:v>domestic_project</x:v>
      </x:c>
      <x:c r="C462" t="str">
        <x:v>산업</x:v>
      </x:c>
      <x:c r="D462" t="str">
        <x:v>9월 추가 후보</x:v>
      </x:c>
      <x:c r="E462" t="str">
        <x:v>986 | 4358800539 | 삼진프라스틱공업(주)  고효율 2단 인버터  PM Motor 공기압축기로 교체 사업 | 신규 | - | -</x:v>
      </x:c>
      <x:c r="F462" t="str">
        <x:v>변경 필드 없음</x:v>
      </x:c>
      <x:c r="G462" t="str"/>
      <x:c r="H462" t="str"/>
      <x:c r="I462" t="str">
        <x:v>국내_사업신청관리_20260731_산업부문.xls</x:v>
      </x:c>
      <x:c r="J462"/>
      <x:c r="K462" t="str">
        <x:v>국내_사업신청관리_20260921_산업부.xls</x:v>
      </x:c>
      <x:c r="L462" t="n">
        <x:v>62</x:v>
      </x:c>
    </x:row>
    <x:row r="463">
      <x:c r="A463" t="n">
        <x:v>423</x:v>
      </x:c>
      <x:c r="B463" t="str">
        <x:v>domestic_project</x:v>
      </x:c>
      <x:c r="C463" t="str">
        <x:v>산업</x:v>
      </x:c>
      <x:c r="D463" t="str">
        <x:v>9월 추가 후보</x:v>
      </x:c>
      <x:c r="E463" t="str">
        <x:v>987 | 3098104479 | 주식회사일아아스콘 연료전환(B-C유, 등유 → LPG)을 통한 온실가스 배출 감축사업 | 신규 | - | -</x:v>
      </x:c>
      <x:c r="F463" t="str">
        <x:v>변경 필드 없음</x:v>
      </x:c>
      <x:c r="G463" t="str"/>
      <x:c r="H463" t="str"/>
      <x:c r="I463" t="str">
        <x:v>국내_사업신청관리_20260731_산업부문.xls</x:v>
      </x:c>
      <x:c r="J463"/>
      <x:c r="K463" t="str">
        <x:v>국내_사업신청관리_20260921_산업부.xls</x:v>
      </x:c>
      <x:c r="L463" t="n">
        <x:v>61</x:v>
      </x:c>
    </x:row>
    <x:row r="464">
      <x:c r="A464" t="n">
        <x:v>424</x:v>
      </x:c>
      <x:c r="B464" t="str">
        <x:v>domestic_project</x:v>
      </x:c>
      <x:c r="C464" t="str">
        <x:v>산업</x:v>
      </x:c>
      <x:c r="D464" t="str">
        <x:v>9월 미등장·삭제 아님</x:v>
      </x:c>
      <x:c r="E464" t="str">
        <x:v>987 | 3148213486 | 석사3관리소 온수보일러 연료전환(B-C유-&gt;LNG)을 통한 온실가스 배출 감축사업 | 인증유효기간 갱신 | 2차 | -</x:v>
      </x:c>
      <x:c r="F464" t="str">
        <x:v>변경 필드 없음</x:v>
      </x:c>
      <x:c r="G464" t="str"/>
      <x:c r="H464" t="str"/>
      <x:c r="I464" t="str">
        <x:v>국내_사업신청관리_20260731_산업부문.xls</x:v>
      </x:c>
      <x:c r="J464" t="n">
        <x:v>56</x:v>
      </x:c>
      <x:c r="K464" t="str">
        <x:v>국내_사업신청관리_20260921_산업부.xls</x:v>
      </x:c>
      <x:c r="L464"/>
    </x:row>
    <x:row r="465">
      <x:c r="A465" t="n">
        <x:v>425</x:v>
      </x:c>
      <x:c r="B465" t="str">
        <x:v>domestic_project</x:v>
      </x:c>
      <x:c r="C465" t="str">
        <x:v>산업</x:v>
      </x:c>
      <x:c r="D465" t="str">
        <x:v>9월 미등장·삭제 아님</x:v>
      </x:c>
      <x:c r="E465" t="str">
        <x:v>988 | 1208200557 | 한국초저온평택 &amp; 한국가스공사의 미활용 LNG 기화 냉열 활용을 통한 전력 및 또는 화석연료 사용 절감 사업 | 신규 | - | -</x:v>
      </x:c>
      <x:c r="F465" t="str">
        <x:v>변경 필드 없음</x:v>
      </x:c>
      <x:c r="G465" t="str"/>
      <x:c r="H465" t="str"/>
      <x:c r="I465" t="str">
        <x:v>국내_사업신청관리_20260731_산업부문.xls</x:v>
      </x:c>
      <x:c r="J465" t="n">
        <x:v>55</x:v>
      </x:c>
      <x:c r="K465" t="str">
        <x:v>국내_사업신청관리_20260921_산업부.xls</x:v>
      </x:c>
      <x:c r="L465"/>
    </x:row>
    <x:row r="466">
      <x:c r="A466" t="n">
        <x:v>426</x:v>
      </x:c>
      <x:c r="B466" t="str">
        <x:v>domestic_project</x:v>
      </x:c>
      <x:c r="C466" t="str">
        <x:v>산업</x:v>
      </x:c>
      <x:c r="D466" t="str">
        <x:v>9월 추가 후보</x:v>
      </x:c>
      <x:c r="E466" t="str">
        <x:v>988 | 3108112794 | 인평산업주식회사 연료전환(B-C유 및 감압정제유 → LPG)을 통한 온실가스 배출 감축사업 | 신규 | - | -</x:v>
      </x:c>
      <x:c r="F466" t="str">
        <x:v>변경 필드 없음</x:v>
      </x:c>
      <x:c r="G466" t="str"/>
      <x:c r="H466" t="str"/>
      <x:c r="I466" t="str">
        <x:v>국내_사업신청관리_20260731_산업부문.xls</x:v>
      </x:c>
      <x:c r="J466"/>
      <x:c r="K466" t="str">
        <x:v>국내_사업신청관리_20260921_산업부.xls</x:v>
      </x:c>
      <x:c r="L466" t="n">
        <x:v>60</x:v>
      </x:c>
    </x:row>
    <x:row r="467">
      <x:c r="A467" t="n">
        <x:v>427</x:v>
      </x:c>
      <x:c r="B467" t="str">
        <x:v>domestic_project</x:v>
      </x:c>
      <x:c r="C467" t="str">
        <x:v>산업</x:v>
      </x:c>
      <x:c r="D467" t="str">
        <x:v>9월 미등장·삭제 아님</x:v>
      </x:c>
      <x:c r="E467" t="str">
        <x:v>989 | 3108102296 | 서전산업㈜ 연료전환(B-C유→ LPG)을 통한 온실가스 배출 감축사업 | 신규 | - | -</x:v>
      </x:c>
      <x:c r="F467" t="str">
        <x:v>변경 필드 없음</x:v>
      </x:c>
      <x:c r="G467" t="str"/>
      <x:c r="H467" t="str"/>
      <x:c r="I467" t="str">
        <x:v>국내_사업신청관리_20260731_산업부문.xls</x:v>
      </x:c>
      <x:c r="J467" t="n">
        <x:v>54</x:v>
      </x:c>
      <x:c r="K467" t="str">
        <x:v>국내_사업신청관리_20260921_산업부.xls</x:v>
      </x:c>
      <x:c r="L467"/>
    </x:row>
    <x:row r="468">
      <x:c r="A468" t="n">
        <x:v>428</x:v>
      </x:c>
      <x:c r="B468" t="str">
        <x:v>domestic_project</x:v>
      </x:c>
      <x:c r="C468" t="str">
        <x:v>산업</x:v>
      </x:c>
      <x:c r="D468" t="str">
        <x:v>9월 추가 후보</x:v>
      </x:c>
      <x:c r="E468" t="str">
        <x:v>989 | 6068140018 | (주)대연정공 1공장 외 1개사의 고효율 공기압축기 교체를 통한 온실가스 감축사업 | 사업변경 | - | 1차</x:v>
      </x:c>
      <x:c r="F468" t="str">
        <x:v>변경 필드 없음</x:v>
      </x:c>
      <x:c r="G468" t="str"/>
      <x:c r="H468" t="str"/>
      <x:c r="I468" t="str">
        <x:v>국내_사업신청관리_20260731_산업부문.xls</x:v>
      </x:c>
      <x:c r="J468"/>
      <x:c r="K468" t="str">
        <x:v>국내_사업신청관리_20260921_산업부.xls</x:v>
      </x:c>
      <x:c r="L468" t="n">
        <x:v>59</x:v>
      </x:c>
    </x:row>
    <x:row r="469">
      <x:c r="A469" t="n">
        <x:v>429</x:v>
      </x:c>
      <x:c r="B469" t="str">
        <x:v>domestic_project</x:v>
      </x:c>
      <x:c r="C469" t="str">
        <x:v>산업</x:v>
      </x:c>
      <x:c r="D469" t="str">
        <x:v>9월 미등장·삭제 아님</x:v>
      </x:c>
      <x:c r="E469" t="str">
        <x:v>990 | 2228114082 | 태광아스콘(주) 연료전환(B-C유, 경유, 정제유→ LPG)을 통한 온실가스 배출 감축사업 | 신규 | - | -</x:v>
      </x:c>
      <x:c r="F469" t="str">
        <x:v>변경 필드 없음</x:v>
      </x:c>
      <x:c r="G469" t="str"/>
      <x:c r="H469" t="str"/>
      <x:c r="I469" t="str">
        <x:v>국내_사업신청관리_20260731_산업부문.xls</x:v>
      </x:c>
      <x:c r="J469" t="n">
        <x:v>53</x:v>
      </x:c>
      <x:c r="K469" t="str">
        <x:v>국내_사업신청관리_20260921_산업부.xls</x:v>
      </x:c>
      <x:c r="L469"/>
    </x:row>
    <x:row r="470">
      <x:c r="A470" t="n">
        <x:v>430</x:v>
      </x:c>
      <x:c r="B470" t="str">
        <x:v>domestic_project</x:v>
      </x:c>
      <x:c r="C470" t="str">
        <x:v>산업</x:v>
      </x:c>
      <x:c r="D470" t="str">
        <x:v>9월 추가 후보</x:v>
      </x:c>
      <x:c r="E470" t="str">
        <x:v>990 | 6218118169 | (주)대경오앤티 서농공장 미활용 소각폐열 회수를 통한 화석연료 사용 절감 및 온실가스 배출 감축사업 | 신규 | - | -</x:v>
      </x:c>
      <x:c r="F470" t="str">
        <x:v>변경 필드 없음</x:v>
      </x:c>
      <x:c r="G470" t="str"/>
      <x:c r="H470" t="str"/>
      <x:c r="I470" t="str">
        <x:v>국내_사업신청관리_20260731_산업부문.xls</x:v>
      </x:c>
      <x:c r="J470"/>
      <x:c r="K470" t="str">
        <x:v>국내_사업신청관리_20260921_산업부.xls</x:v>
      </x:c>
      <x:c r="L470" t="n">
        <x:v>58</x:v>
      </x:c>
    </x:row>
    <x:row r="471">
      <x:c r="A471" t="n">
        <x:v>431</x:v>
      </x:c>
      <x:c r="B471" t="str">
        <x:v>domestic_project</x:v>
      </x:c>
      <x:c r="C471" t="str">
        <x:v>산업</x:v>
      </x:c>
      <x:c r="D471" t="str">
        <x:v>9월 미등장·삭제 아님</x:v>
      </x:c>
      <x:c r="E471" t="str">
        <x:v>991 | 1828100465 | ㈜태경식품 제천공장의 고효율 인버터 공기압축기 교체를 통한 온실가스 감축 사업 | 신규 | - | -</x:v>
      </x:c>
      <x:c r="F471" t="str">
        <x:v>변경 필드 없음</x:v>
      </x:c>
      <x:c r="G471" t="str"/>
      <x:c r="H471" t="str"/>
      <x:c r="I471" t="str">
        <x:v>국내_사업신청관리_20260731_산업부문.xls</x:v>
      </x:c>
      <x:c r="J471" t="n">
        <x:v>52</x:v>
      </x:c>
      <x:c r="K471" t="str">
        <x:v>국내_사업신청관리_20260921_산업부.xls</x:v>
      </x:c>
      <x:c r="L471"/>
    </x:row>
    <x:row r="472">
      <x:c r="A472" t="n">
        <x:v>432</x:v>
      </x:c>
      <x:c r="B472" t="str">
        <x:v>domestic_project</x:v>
      </x:c>
      <x:c r="C472" t="str">
        <x:v>산업</x:v>
      </x:c>
      <x:c r="D472" t="str">
        <x:v>9월 추가 후보</x:v>
      </x:c>
      <x:c r="E472" t="str">
        <x:v>991 | 5128103829 | (주)대창아스콘 아스콘생산시설 연료전환(B-C유 → LPG) 사업 | 신규 | - | -</x:v>
      </x:c>
      <x:c r="F472" t="str">
        <x:v>변경 필드 없음</x:v>
      </x:c>
      <x:c r="G472" t="str"/>
      <x:c r="H472" t="str"/>
      <x:c r="I472" t="str">
        <x:v>국내_사업신청관리_20260731_산업부문.xls</x:v>
      </x:c>
      <x:c r="J472"/>
      <x:c r="K472" t="str">
        <x:v>국내_사업신청관리_20260921_산업부.xls</x:v>
      </x:c>
      <x:c r="L472" t="n">
        <x:v>57</x:v>
      </x:c>
    </x:row>
    <x:row r="473">
      <x:c r="A473" t="n">
        <x:v>433</x:v>
      </x:c>
      <x:c r="B473" t="str">
        <x:v>domestic_project</x:v>
      </x:c>
      <x:c r="C473" t="str">
        <x:v>산업</x:v>
      </x:c>
      <x:c r="D473" t="str">
        <x:v>9월 추가 후보</x:v>
      </x:c>
      <x:c r="E473" t="str">
        <x:v>992 | 1448127818 | 주식회사 띵스파이어의 인버터 공기압축기 도입을 통한 프로그램 감축사업 | 신규 | - | -</x:v>
      </x:c>
      <x:c r="F473" t="str">
        <x:v>변경 필드 없음</x:v>
      </x:c>
      <x:c r="G473" t="str"/>
      <x:c r="H473" t="str"/>
      <x:c r="I473" t="str">
        <x:v>국내_사업신청관리_20260731_산업부문.xls</x:v>
      </x:c>
      <x:c r="J473"/>
      <x:c r="K473" t="str">
        <x:v>국내_사업신청관리_20260921_산업부.xls</x:v>
      </x:c>
      <x:c r="L473" t="n">
        <x:v>56</x:v>
      </x:c>
    </x:row>
    <x:row r="474">
      <x:c r="A474" t="n">
        <x:v>434</x:v>
      </x:c>
      <x:c r="B474" t="str">
        <x:v>domestic_project</x:v>
      </x:c>
      <x:c r="C474" t="str">
        <x:v>산업</x:v>
      </x:c>
      <x:c r="D474" t="str">
        <x:v>9월 미등장·삭제 아님</x:v>
      </x:c>
      <x:c r="E474" t="str">
        <x:v>992 | 5048138778 | A.N.TEX 외 6개사의 고효율 공기압축기 교체를 통한 온실가스 감축사업 | 신규 | - | -</x:v>
      </x:c>
      <x:c r="F474" t="str">
        <x:v>변경 필드 없음</x:v>
      </x:c>
      <x:c r="G474" t="str"/>
      <x:c r="H474" t="str"/>
      <x:c r="I474" t="str">
        <x:v>국내_사업신청관리_20260731_산업부문.xls</x:v>
      </x:c>
      <x:c r="J474" t="n">
        <x:v>51</x:v>
      </x:c>
      <x:c r="K474" t="str">
        <x:v>국내_사업신청관리_20260921_산업부.xls</x:v>
      </x:c>
      <x:c r="L474"/>
    </x:row>
    <x:row r="475">
      <x:c r="A475" t="n">
        <x:v>435</x:v>
      </x:c>
      <x:c r="B475" t="str">
        <x:v>domestic_project</x:v>
      </x:c>
      <x:c r="C475" t="str">
        <x:v>산업</x:v>
      </x:c>
      <x:c r="D475" t="str">
        <x:v>9월 추가 후보</x:v>
      </x:c>
      <x:c r="E475" t="str">
        <x:v>993 | 1448127818 | 주식회사 띵스파이어의 인버터 공기압축기 도입을 통한 프로그램 감축사업 | 신규 | - | -</x:v>
      </x:c>
      <x:c r="F475" t="str">
        <x:v>변경 필드 없음</x:v>
      </x:c>
      <x:c r="G475" t="str"/>
      <x:c r="H475" t="str"/>
      <x:c r="I475" t="str">
        <x:v>국내_사업신청관리_20260731_산업부문.xls</x:v>
      </x:c>
      <x:c r="J475"/>
      <x:c r="K475" t="str">
        <x:v>국내_사업신청관리_20260921_산업부.xls</x:v>
      </x:c>
      <x:c r="L475" t="n">
        <x:v>55</x:v>
      </x:c>
    </x:row>
    <x:row r="476">
      <x:c r="A476" t="n">
        <x:v>436</x:v>
      </x:c>
      <x:c r="B476" t="str">
        <x:v>domestic_project</x:v>
      </x:c>
      <x:c r="C476" t="str">
        <x:v>산업</x:v>
      </x:c>
      <x:c r="D476" t="str">
        <x:v>9월 미등장·삭제 아님</x:v>
      </x:c>
      <x:c r="E476" t="str">
        <x:v>993 | 5048138778 | 주식회사 달성정공 외 5개사의 고효율 공기압축기 교체를 통한 온실가스 감축사업 | 신규 | - | -</x:v>
      </x:c>
      <x:c r="F476" t="str">
        <x:v>변경 필드 없음</x:v>
      </x:c>
      <x:c r="G476" t="str"/>
      <x:c r="H476" t="str"/>
      <x:c r="I476" t="str">
        <x:v>국내_사업신청관리_20260731_산업부문.xls</x:v>
      </x:c>
      <x:c r="J476" t="n">
        <x:v>50</x:v>
      </x:c>
      <x:c r="K476" t="str">
        <x:v>국내_사업신청관리_20260921_산업부.xls</x:v>
      </x:c>
      <x:c r="L476"/>
    </x:row>
    <x:row r="477">
      <x:c r="A477" t="n">
        <x:v>437</x:v>
      </x:c>
      <x:c r="B477" t="str">
        <x:v>domestic_project</x:v>
      </x:c>
      <x:c r="C477" t="str">
        <x:v>산업</x:v>
      </x:c>
      <x:c r="D477" t="str">
        <x:v>9월 미등장·삭제 아님</x:v>
      </x:c>
      <x:c r="E477" t="str">
        <x:v>994 | 5048138778 | 주식회사디와이씨 외 8개사의 고효율 공기압축기 교체를 통한 온실가스 감축사업 | 신규 | - | -</x:v>
      </x:c>
      <x:c r="F477" t="str">
        <x:v>변경 필드 없음</x:v>
      </x:c>
      <x:c r="G477" t="str"/>
      <x:c r="H477" t="str"/>
      <x:c r="I477" t="str">
        <x:v>국내_사업신청관리_20260731_산업부문.xls</x:v>
      </x:c>
      <x:c r="J477" t="n">
        <x:v>49</x:v>
      </x:c>
      <x:c r="K477" t="str">
        <x:v>국내_사업신청관리_20260921_산업부.xls</x:v>
      </x:c>
      <x:c r="L477"/>
    </x:row>
    <x:row r="478">
      <x:c r="A478" t="n">
        <x:v>438</x:v>
      </x:c>
      <x:c r="B478" t="str">
        <x:v>domestic_project</x:v>
      </x:c>
      <x:c r="C478" t="str">
        <x:v>산업</x:v>
      </x:c>
      <x:c r="D478" t="str">
        <x:v>9월 추가 후보</x:v>
      </x:c>
      <x:c r="E478" t="str">
        <x:v>994 | 6068140018 | 하이즈항공주식회사 진주공장 외 2개사의 고효율 공기압축기 교체를 통한 온실가스 감축사업 | 신규 | - | -</x:v>
      </x:c>
      <x:c r="F478" t="str">
        <x:v>변경 필드 없음</x:v>
      </x:c>
      <x:c r="G478" t="str"/>
      <x:c r="H478" t="str"/>
      <x:c r="I478" t="str">
        <x:v>국내_사업신청관리_20260731_산업부문.xls</x:v>
      </x:c>
      <x:c r="J478"/>
      <x:c r="K478" t="str">
        <x:v>국내_사업신청관리_20260921_산업부.xls</x:v>
      </x:c>
      <x:c r="L478" t="n">
        <x:v>54</x:v>
      </x:c>
    </x:row>
    <x:row r="479">
      <x:c r="A479" t="n">
        <x:v>439</x:v>
      </x:c>
      <x:c r="B479" t="str">
        <x:v>domestic_project</x:v>
      </x:c>
      <x:c r="C479" t="str">
        <x:v>산업</x:v>
      </x:c>
      <x:c r="D479" t="str">
        <x:v>9월 추가 후보</x:v>
      </x:c>
      <x:c r="E479" t="str">
        <x:v>995 | 1398142253 | (주)인목 고효율공기압축기 교체 사업 | 신규 | - | -</x:v>
      </x:c>
      <x:c r="F479" t="str">
        <x:v>변경 필드 없음</x:v>
      </x:c>
      <x:c r="G479" t="str"/>
      <x:c r="H479" t="str"/>
      <x:c r="I479" t="str">
        <x:v>국내_사업신청관리_20260731_산업부문.xls</x:v>
      </x:c>
      <x:c r="J479"/>
      <x:c r="K479" t="str">
        <x:v>국내_사업신청관리_20260921_산업부.xls</x:v>
      </x:c>
      <x:c r="L479" t="n">
        <x:v>53</x:v>
      </x:c>
    </x:row>
    <x:row r="480">
      <x:c r="A480" t="n">
        <x:v>440</x:v>
      </x:c>
      <x:c r="B480" t="str">
        <x:v>domestic_project</x:v>
      </x:c>
      <x:c r="C480" t="str">
        <x:v>산업</x:v>
      </x:c>
      <x:c r="D480" t="str">
        <x:v>9월 미등장·삭제 아님</x:v>
      </x:c>
      <x:c r="E480" t="str">
        <x:v>995 | 5048138778 | ㈜한신특수가공 외 4개사의 인버터 공기압축기 교체를 통한 온실가스 감축사업 | 신규 | - | -</x:v>
      </x:c>
      <x:c r="F480" t="str">
        <x:v>변경 필드 없음</x:v>
      </x:c>
      <x:c r="G480" t="str"/>
      <x:c r="H480" t="str"/>
      <x:c r="I480" t="str">
        <x:v>국내_사업신청관리_20260731_산업부문.xls</x:v>
      </x:c>
      <x:c r="J480" t="n">
        <x:v>48</x:v>
      </x:c>
      <x:c r="K480" t="str">
        <x:v>국내_사업신청관리_20260921_산업부.xls</x:v>
      </x:c>
      <x:c r="L480"/>
    </x:row>
    <x:row r="481">
      <x:c r="A481" t="n">
        <x:v>441</x:v>
      </x:c>
      <x:c r="B481" t="str">
        <x:v>domestic_project</x:v>
      </x:c>
      <x:c r="C481" t="str">
        <x:v>산업</x:v>
      </x:c>
      <x:c r="D481" t="str">
        <x:v>9월 추가 후보</x:v>
      </x:c>
      <x:c r="E481" t="str">
        <x:v>996 | 1318642458 | 거산테크 고효율 공기압축기 교체사업 | 신규 | - | -</x:v>
      </x:c>
      <x:c r="F481" t="str">
        <x:v>변경 필드 없음</x:v>
      </x:c>
      <x:c r="G481" t="str"/>
      <x:c r="H481" t="str"/>
      <x:c r="I481" t="str">
        <x:v>국내_사업신청관리_20260731_산업부문.xls</x:v>
      </x:c>
      <x:c r="J481"/>
      <x:c r="K481" t="str">
        <x:v>국내_사업신청관리_20260921_산업부.xls</x:v>
      </x:c>
      <x:c r="L481" t="n">
        <x:v>52</x:v>
      </x:c>
    </x:row>
    <x:row r="482">
      <x:c r="A482" t="n">
        <x:v>442</x:v>
      </x:c>
      <x:c r="B482" t="str">
        <x:v>domestic_project</x:v>
      </x:c>
      <x:c r="C482" t="str">
        <x:v>산업</x:v>
      </x:c>
      <x:c r="D482" t="str">
        <x:v>9월 미등장·삭제 아님</x:v>
      </x:c>
      <x:c r="E482" t="str">
        <x:v>996 | 5048138778 | 태화오토텍주식회사 외 4개사의 인버터 공기압축기 교체를 통한 온실가스 감축사업 | 신규 | - | -</x:v>
      </x:c>
      <x:c r="F482" t="str">
        <x:v>변경 필드 없음</x:v>
      </x:c>
      <x:c r="G482" t="str"/>
      <x:c r="H482" t="str"/>
      <x:c r="I482" t="str">
        <x:v>국내_사업신청관리_20260731_산업부문.xls</x:v>
      </x:c>
      <x:c r="J482" t="n">
        <x:v>47</x:v>
      </x:c>
      <x:c r="K482" t="str">
        <x:v>국내_사업신청관리_20260921_산업부.xls</x:v>
      </x:c>
      <x:c r="L482"/>
    </x:row>
    <x:row r="483">
      <x:c r="A483" t="n">
        <x:v>443</x:v>
      </x:c>
      <x:c r="B483" t="str">
        <x:v>domestic_project</x:v>
      </x:c>
      <x:c r="C483" t="str">
        <x:v>산업</x:v>
      </x:c>
      <x:c r="D483" t="str">
        <x:v>9월 추가 후보</x:v>
      </x:c>
      <x:c r="E483" t="str">
        <x:v>997 | 4118132088 | 고효율 공기압축기 설치로 온실가스 배출 감축사업 | 신규 | - | -</x:v>
      </x:c>
      <x:c r="F483" t="str">
        <x:v>변경 필드 없음</x:v>
      </x:c>
      <x:c r="G483" t="str"/>
      <x:c r="H483" t="str"/>
      <x:c r="I483" t="str">
        <x:v>국내_사업신청관리_20260731_산업부문.xls</x:v>
      </x:c>
      <x:c r="J483"/>
      <x:c r="K483" t="str">
        <x:v>국내_사업신청관리_20260921_산업부.xls</x:v>
      </x:c>
      <x:c r="L483" t="n">
        <x:v>51</x:v>
      </x:c>
    </x:row>
    <x:row r="484">
      <x:c r="A484" t="n">
        <x:v>444</x:v>
      </x:c>
      <x:c r="B484" t="str">
        <x:v>domestic_project</x:v>
      </x:c>
      <x:c r="C484" t="str">
        <x:v>산업</x:v>
      </x:c>
      <x:c r="D484" t="str">
        <x:v>9월 미등장·삭제 아님</x:v>
      </x:c>
      <x:c r="E484" t="str">
        <x:v>997 | 5048138778 | 성창실업 외 4개사의 인버터 공기압축기 교체를 통한 온실가스 감축사업 | 신규 | - | -</x:v>
      </x:c>
      <x:c r="F484" t="str">
        <x:v>변경 필드 없음</x:v>
      </x:c>
      <x:c r="G484" t="str"/>
      <x:c r="H484" t="str"/>
      <x:c r="I484" t="str">
        <x:v>국내_사업신청관리_20260731_산업부문.xls</x:v>
      </x:c>
      <x:c r="J484" t="n">
        <x:v>46</x:v>
      </x:c>
      <x:c r="K484" t="str">
        <x:v>국내_사업신청관리_20260921_산업부.xls</x:v>
      </x:c>
      <x:c r="L484"/>
    </x:row>
    <x:row r="485">
      <x:c r="A485" t="n">
        <x:v>445</x:v>
      </x:c>
      <x:c r="B485" t="str">
        <x:v>domestic_project</x:v>
      </x:c>
      <x:c r="C485" t="str">
        <x:v>산업</x:v>
      </x:c>
      <x:c r="D485" t="str">
        <x:v>9월 추가 후보</x:v>
      </x:c>
      <x:c r="E485" t="str">
        <x:v>998 | 5048138778 | (주)케이제이 외 5개사의 인버터 공기압축기 교체를 통한 온실가스 감축사업 | 신규 | - | -</x:v>
      </x:c>
      <x:c r="F485" t="str">
        <x:v>변경 필드 없음</x:v>
      </x:c>
      <x:c r="G485" t="str"/>
      <x:c r="H485" t="str"/>
      <x:c r="I485" t="str">
        <x:v>국내_사업신청관리_20260731_산업부문.xls</x:v>
      </x:c>
      <x:c r="J485"/>
      <x:c r="K485" t="str">
        <x:v>국내_사업신청관리_20260921_산업부.xls</x:v>
      </x:c>
      <x:c r="L485" t="n">
        <x:v>50</x:v>
      </x:c>
    </x:row>
    <x:row r="486">
      <x:c r="A486" t="n">
        <x:v>446</x:v>
      </x:c>
      <x:c r="B486" t="str">
        <x:v>domestic_project</x:v>
      </x:c>
      <x:c r="C486" t="str">
        <x:v>산업</x:v>
      </x:c>
      <x:c r="D486" t="str">
        <x:v>9월 미등장·삭제 아님</x:v>
      </x:c>
      <x:c r="E486" t="str">
        <x:v>998 | 5048138778 | ㈜디비전 외 4개사의 인버터 공기압축기 교체를 통한 온실가스 감축사업 | 신규 | - | -</x:v>
      </x:c>
      <x:c r="F486" t="str">
        <x:v>변경 필드 없음</x:v>
      </x:c>
      <x:c r="G486" t="str"/>
      <x:c r="H486" t="str"/>
      <x:c r="I486" t="str">
        <x:v>국내_사업신청관리_20260731_산업부문.xls</x:v>
      </x:c>
      <x:c r="J486" t="n">
        <x:v>45</x:v>
      </x:c>
      <x:c r="K486" t="str">
        <x:v>국내_사업신청관리_20260921_산업부.xls</x:v>
      </x:c>
      <x:c r="L486"/>
    </x:row>
    <x:row r="487">
      <x:c r="A487" t="n">
        <x:v>447</x:v>
      </x:c>
      <x:c r="B487" t="str">
        <x:v>domestic_project</x:v>
      </x:c>
      <x:c r="C487" t="str">
        <x:v>산업</x:v>
      </x:c>
      <x:c r="D487" t="str">
        <x:v>9월 추가 후보</x:v>
      </x:c>
      <x:c r="E487" t="str">
        <x:v>999 | 5048138778 | (주)금창4공장 외 4개사의 인버터 공기압축기 교체를 통한 온실가스 감축사업 | 신규 | - | -</x:v>
      </x:c>
      <x:c r="F487" t="str">
        <x:v>변경 필드 없음</x:v>
      </x:c>
      <x:c r="G487" t="str"/>
      <x:c r="H487" t="str"/>
      <x:c r="I487" t="str">
        <x:v>국내_사업신청관리_20260731_산업부문.xls</x:v>
      </x:c>
      <x:c r="J487"/>
      <x:c r="K487" t="str">
        <x:v>국내_사업신청관리_20260921_산업부.xls</x:v>
      </x:c>
      <x:c r="L487" t="n">
        <x:v>49</x:v>
      </x:c>
    </x:row>
    <x:row r="488">
      <x:c r="A488" t="n">
        <x:v>448</x:v>
      </x:c>
      <x:c r="B488" t="str">
        <x:v>domestic_project</x:v>
      </x:c>
      <x:c r="C488" t="str">
        <x:v>산업</x:v>
      </x:c>
      <x:c r="D488" t="str">
        <x:v>9월 미등장·삭제 아님</x:v>
      </x:c>
      <x:c r="E488" t="str">
        <x:v>999 | 5048138778 | 주식회사 동진염색 외 5개사의 인버터 공기압축기 교체를 통한 온실가스 감축사업 | 신규 | - | -</x:v>
      </x:c>
      <x:c r="F488" t="str">
        <x:v>변경 필드 없음</x:v>
      </x:c>
      <x:c r="G488" t="str"/>
      <x:c r="H488" t="str"/>
      <x:c r="I488" t="str">
        <x:v>국내_사업신청관리_20260731_산업부문.xls</x:v>
      </x:c>
      <x:c r="J488" t="n">
        <x:v>44</x:v>
      </x:c>
      <x:c r="K488" t="str">
        <x:v>국내_사업신청관리_20260921_산업부.xls</x:v>
      </x:c>
      <x:c r="L488"/>
    </x:row>
  </x:sheetData>
  <x:pageMargins left="0.7" right="0.7" top="0.75" bottom="0.75" header="0.3" footer="0.3"/>
  <x:tableParts count="1">
    <x:tablePart xmlns:r="http://schemas.openxmlformats.org/officeDocument/2006/relationships" r:id="R862a85e1219c4f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자료 품질</x:v>
      </x:c>
      <x:c r="B2" s="2"/>
      <x:c r="C2" s="2"/>
      <x:c r="D2" s="2"/>
      <x:c r="E2" s="2"/>
      <x:c r="F2" s="2"/>
    </x:row>
    <x:row r="3" ht="25" customHeight="1">
      <x:c r="A3" s="2" t="str">
        <x:v>첨부 원본을 직접 읽은 결과 · 과거 보정본의 오류 개수와 구분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40" customHeight="1">
      <x:c r="A6" s="6" t="str">
        <x:v>원본 구분</x:v>
      </x:c>
      <x:c r="B6" s="6" t="str">
        <x:v>시트</x:v>
      </x:c>
      <x:c r="C6" s="6" t="str">
        <x:v>유효 셀</x:v>
      </x:c>
      <x:c r="D6" s="6" t="str">
        <x:v>수식</x:v>
      </x:c>
      <x:c r="E6" s="6" t="str">
        <x:v>저장 오류</x:v>
      </x:c>
      <x:c r="F6" s="6" t="str">
        <x:v>끊어진 참조 수식</x:v>
      </x:c>
    </x:row>
    <x:row r="7" ht="25" customHeight="1">
      <x:c r="A7" s="2" t="str">
        <x:v>disclosure</x:v>
      </x:c>
      <x:c r="B7" s="2" t="str">
        <x:v>지침</x:v>
      </x:c>
      <x:c r="C7" s="2" t="n">
        <x:v>1</x:v>
      </x:c>
      <x:c r="D7" s="2" t="n">
        <x:v>0</x:v>
      </x:c>
      <x:c r="E7" s="2" t="n">
        <x:v>0</x:v>
      </x:c>
      <x:c r="F7" s="2" t="n">
        <x:v>0</x:v>
      </x:c>
    </x:row>
    <x:row r="8" ht="25" customHeight="1">
      <x:c r="A8" s="2" t="str">
        <x:v>disclosure</x:v>
      </x:c>
      <x:c r="B8" s="2" t="str">
        <x:v>검토기준</x:v>
      </x:c>
      <x:c r="C8" s="2" t="n">
        <x:v>436</x:v>
      </x:c>
      <x:c r="D8" s="2" t="n">
        <x:v>66</x:v>
      </x:c>
      <x:c r="E8" s="2" t="n">
        <x:v>0</x:v>
      </x:c>
      <x:c r="F8" s="2" t="n">
        <x:v>0</x:v>
      </x:c>
    </x:row>
    <x:row r="9" ht="25" customHeight="1">
      <x:c r="A9" s="2" t="str">
        <x:v>disclosure</x:v>
      </x:c>
      <x:c r="B9" s="2" t="str">
        <x:v>통계</x:v>
      </x:c>
      <x:c r="C9" s="2" t="n">
        <x:v>694</x:v>
      </x:c>
      <x:c r="D9" s="2" t="n">
        <x:v>242</x:v>
      </x:c>
      <x:c r="E9" s="2" t="n">
        <x:v>0</x:v>
      </x:c>
      <x:c r="F9" s="2" t="n">
        <x:v>0</x:v>
      </x:c>
    </x:row>
    <x:row r="10" ht="25" customHeight="1">
      <x:c r="A10" s="2" t="str">
        <x:v>disclosure</x:v>
      </x:c>
      <x:c r="B10" s="2" t="str">
        <x:v>(비공개)국내평가</x:v>
      </x:c>
      <x:c r="C10" s="2" t="n">
        <x:v>2390</x:v>
      </x:c>
      <x:c r="D10" s="2" t="n">
        <x:v>946</x:v>
      </x:c>
      <x:c r="E10" s="2" t="n">
        <x:v>0</x:v>
      </x:c>
      <x:c r="F10" s="2" t="n">
        <x:v>0</x:v>
      </x:c>
    </x:row>
    <x:row r="11" ht="25" customHeight="1">
      <x:c r="A11" s="2" t="str">
        <x:v>disclosure</x:v>
      </x:c>
      <x:c r="B11" s="2" t="str">
        <x:v>(비공개)국내인증</x:v>
      </x:c>
      <x:c r="C11" s="2" t="n">
        <x:v>3375</x:v>
      </x:c>
      <x:c r="D11" s="2" t="n">
        <x:v>1136</x:v>
      </x:c>
      <x:c r="E11" s="2" t="n">
        <x:v>126</x:v>
      </x:c>
      <x:c r="F11" s="2" t="n">
        <x:v>126</x:v>
      </x:c>
    </x:row>
    <x:row r="12" ht="25" customHeight="1">
      <x:c r="A12" s="2" t="str">
        <x:v>disclosure</x:v>
      </x:c>
      <x:c r="B12" s="2" t="str">
        <x:v>(비공개)국외평가</x:v>
      </x:c>
      <x:c r="C12" s="2" t="n">
        <x:v>560</x:v>
      </x:c>
      <x:c r="D12" s="2" t="n">
        <x:v>120</x:v>
      </x:c>
      <x:c r="E12" s="2" t="n">
        <x:v>0</x:v>
      </x:c>
      <x:c r="F12" s="2" t="n">
        <x:v>0</x:v>
      </x:c>
    </x:row>
    <x:row r="13" ht="25" customHeight="1">
      <x:c r="A13" s="2" t="str">
        <x:v>disclosure</x:v>
      </x:c>
      <x:c r="B13" s="2" t="str">
        <x:v>(비공개)국외인증</x:v>
      </x:c>
      <x:c r="C13" s="2" t="n">
        <x:v>2384</x:v>
      </x:c>
      <x:c r="D13" s="2" t="n">
        <x:v>525</x:v>
      </x:c>
      <x:c r="E13" s="2" t="n">
        <x:v>0</x:v>
      </x:c>
      <x:c r="F13" s="2" t="n">
        <x:v>0</x:v>
      </x:c>
    </x:row>
    <x:row r="14" ht="25" customHeight="1">
      <x:c r="A14" s="2" t="str">
        <x:v>disclosure</x:v>
      </x:c>
      <x:c r="B14" s="2" t="str">
        <x:v>외부사업 비공개승인관리_국내</x:v>
      </x:c>
      <x:c r="C14" s="2" t="n">
        <x:v>856</x:v>
      </x:c>
      <x:c r="D14" s="2" t="n">
        <x:v>0</x:v>
      </x:c>
      <x:c r="E14" s="2" t="n">
        <x:v>0</x:v>
      </x:c>
      <x:c r="F14" s="2" t="n">
        <x:v>0</x:v>
      </x:c>
    </x:row>
    <x:row r="15" ht="25" customHeight="1">
      <x:c r="A15" s="2" t="str">
        <x:v>disclosure</x:v>
      </x:c>
      <x:c r="B15" s="2" t="str">
        <x:v>인증실적 비공개승인관리_국내</x:v>
      </x:c>
      <x:c r="C15" s="2" t="n">
        <x:v>1650</x:v>
      </x:c>
      <x:c r="D15" s="2" t="n">
        <x:v>378</x:v>
      </x:c>
      <x:c r="E15" s="2" t="n">
        <x:v>0</x:v>
      </x:c>
      <x:c r="F15" s="2" t="n">
        <x:v>0</x:v>
      </x:c>
    </x:row>
    <x:row r="16" ht="25" customHeight="1">
      <x:c r="A16" s="2" t="str">
        <x:v>disclosure</x:v>
      </x:c>
      <x:c r="B16" s="2" t="str">
        <x:v>국내평가(ORS)</x:v>
      </x:c>
      <x:c r="C16" s="2" t="n">
        <x:v>53515</x:v>
      </x:c>
      <x:c r="D16" s="2" t="n">
        <x:v>2726</x:v>
      </x:c>
      <x:c r="E16" s="2" t="n">
        <x:v>0</x:v>
      </x:c>
      <x:c r="F16" s="2" t="n">
        <x:v>0</x:v>
      </x:c>
    </x:row>
    <x:row r="17" ht="25" customHeight="1">
      <x:c r="A17" s="2" t="str">
        <x:v>disclosure</x:v>
      </x:c>
      <x:c r="B17" s="2" t="str">
        <x:v>국내인증(ORS)</x:v>
      </x:c>
      <x:c r="C17" s="2" t="n">
        <x:v>36626</x:v>
      </x:c>
      <x:c r="D17" s="2" t="n">
        <x:v>1662</x:v>
      </x:c>
      <x:c r="E17" s="2" t="n">
        <x:v>0</x:v>
      </x:c>
      <x:c r="F17" s="2" t="n">
        <x:v>0</x:v>
      </x:c>
    </x:row>
    <x:row r="18" ht="25" customHeight="1">
      <x:c r="A18" s="2" t="str">
        <x:v>disclosure</x:v>
      </x:c>
      <x:c r="B18" s="2" t="str">
        <x:v>국외평가(ORS)</x:v>
      </x:c>
      <x:c r="C18" s="2" t="n">
        <x:v>14806</x:v>
      </x:c>
      <x:c r="D18" s="2" t="n">
        <x:v>610</x:v>
      </x:c>
      <x:c r="E18" s="2" t="n">
        <x:v>0</x:v>
      </x:c>
      <x:c r="F18" s="2" t="n">
        <x:v>0</x:v>
      </x:c>
    </x:row>
    <x:row r="19" ht="25" customHeight="1">
      <x:c r="A19" s="2" t="str">
        <x:v>disclosure</x:v>
      </x:c>
      <x:c r="B19" s="2" t="str">
        <x:v>국외인증(ORS)</x:v>
      </x:c>
      <x:c r="C19" s="2" t="n">
        <x:v>33003</x:v>
      </x:c>
      <x:c r="D19" s="2" t="n">
        <x:v>679</x:v>
      </x:c>
      <x:c r="E19" s="2" t="n">
        <x:v>0</x:v>
      </x:c>
      <x:c r="F19" s="2" t="n">
        <x:v>0</x:v>
      </x:c>
    </x:row>
    <x:row r="20" ht="25" customHeight="1">
      <x:c r="A20" s="2" t="str">
        <x:v>disclosure</x:v>
      </x:c>
      <x:c r="B20" s="2" t="str">
        <x:v>참고(타부문 검토사례)</x:v>
      </x:c>
      <x:c r="C20" s="2" t="n">
        <x:v>1662</x:v>
      </x:c>
      <x:c r="D20" s="2" t="n">
        <x:v>94</x:v>
      </x:c>
      <x:c r="E20" s="2" t="n">
        <x:v>0</x:v>
      </x:c>
      <x:c r="F20" s="2" t="n">
        <x:v>0</x:v>
      </x:c>
    </x:row>
    <x:row r="21" ht="25" customHeight="1">
      <x:c r="A21" s="2" t="str">
        <x:v>disclosure</x:v>
      </x:c>
      <x:c r="B21" s="2" t="str">
        <x:v>국내평가(ORS_타부문포함)</x:v>
      </x:c>
      <x:c r="C21" s="2" t="n">
        <x:v>85720</x:v>
      </x:c>
      <x:c r="D21" s="2" t="n">
        <x:v>0</x:v>
      </x:c>
      <x:c r="E21" s="2" t="n">
        <x:v>0</x:v>
      </x:c>
      <x:c r="F21" s="2" t="n">
        <x:v>0</x:v>
      </x:c>
    </x:row>
    <x:row r="22" ht="25" customHeight="1">
      <x:c r="A22" s="2" t="str">
        <x:v>disclosure</x:v>
      </x:c>
      <x:c r="B22" s="2" t="str">
        <x:v>tool 이력</x:v>
      </x:c>
      <x:c r="C22" s="2" t="n">
        <x:v>12</x:v>
      </x:c>
      <x:c r="D22" s="2" t="n">
        <x:v>0</x:v>
      </x:c>
      <x:c r="E22" s="2" t="n">
        <x:v>0</x:v>
      </x:c>
      <x:c r="F22" s="2" t="n">
        <x:v>0</x:v>
      </x:c>
    </x:row>
    <x:row r="23" ht="25" customHeight="1">
      <x:c r="A23" s="2" t="str">
        <x:v>disclosure</x:v>
      </x:c>
      <x:c r="B23" s="2" t="str">
        <x:v>Sheet1</x:v>
      </x:c>
      <x:c r="C23" s="2" t="n">
        <x:v>13</x:v>
      </x:c>
      <x:c r="D23" s="2" t="n">
        <x:v>0</x:v>
      </x:c>
      <x:c r="E23" s="2" t="n">
        <x:v>0</x:v>
      </x:c>
      <x:c r="F23" s="2" t="n">
        <x:v>0</x:v>
      </x:c>
    </x:row>
    <x:row r="24" ht="25" customHeight="1">
      <x:c r="A24" s="2" t="str">
        <x:v>management</x:v>
      </x:c>
      <x:c r="B24" s="2" t="str">
        <x:v>기준 통계</x:v>
      </x:c>
      <x:c r="C24" s="2" t="n">
        <x:v>666</x:v>
      </x:c>
      <x:c r="D24" s="2" t="n">
        <x:v>197</x:v>
      </x:c>
      <x:c r="E24" s="2" t="n">
        <x:v>0</x:v>
      </x:c>
      <x:c r="F24" s="2" t="n">
        <x:v>0</x:v>
      </x:c>
    </x:row>
    <x:row r="25" ht="25" customHeight="1">
      <x:c r="A25" s="2" t="str">
        <x:v>management</x:v>
      </x:c>
      <x:c r="B25" s="2" t="str">
        <x:v>신청현황</x:v>
      </x:c>
      <x:c r="C25" s="2" t="n">
        <x:v>453</x:v>
      </x:c>
      <x:c r="D25" s="2" t="n">
        <x:v>296</x:v>
      </x:c>
      <x:c r="E25" s="2" t="n">
        <x:v>50</x:v>
      </x:c>
      <x:c r="F25" s="2" t="n">
        <x:v>26</x:v>
      </x:c>
    </x:row>
    <x:row r="26" ht="25" customHeight="1">
      <x:c r="A26" s="2" t="str">
        <x:v>management</x:v>
      </x:c>
      <x:c r="B26" s="2" t="str">
        <x:v>신규통계(공단)</x:v>
      </x:c>
      <x:c r="C26" s="2" t="n">
        <x:v>2786</x:v>
      </x:c>
      <x:c r="D26" s="2" t="n">
        <x:v>2307</x:v>
      </x:c>
      <x:c r="E26" s="2" t="n">
        <x:v>0</x:v>
      </x:c>
      <x:c r="F26" s="2" t="n">
        <x:v>0</x:v>
      </x:c>
    </x:row>
    <x:row r="27" ht="25" customHeight="1">
      <x:c r="A27" s="2" t="str">
        <x:v>management</x:v>
      </x:c>
      <x:c r="B27" s="2" t="str">
        <x:v>연도별 승인 통계(인증위 기준)</x:v>
      </x:c>
      <x:c r="C27" s="2" t="n">
        <x:v>5533</x:v>
      </x:c>
      <x:c r="D27" s="2" t="n">
        <x:v>5069</x:v>
      </x:c>
      <x:c r="E27" s="2" t="n">
        <x:v>0</x:v>
      </x:c>
      <x:c r="F27" s="2" t="n">
        <x:v>0</x:v>
      </x:c>
    </x:row>
    <x:row r="28" ht="25" customHeight="1">
      <x:c r="A28" s="2" t="str">
        <x:v>management</x:v>
      </x:c>
      <x:c r="B28" s="2" t="str">
        <x:v>연도별 승인 통계(승인일 기준)</x:v>
      </x:c>
      <x:c r="C28" s="2" t="n">
        <x:v>4684</x:v>
      </x:c>
      <x:c r="D28" s="2" t="n">
        <x:v>4306</x:v>
      </x:c>
      <x:c r="E28" s="2" t="n">
        <x:v>0</x:v>
      </x:c>
      <x:c r="F28" s="2" t="n">
        <x:v>252</x:v>
      </x:c>
    </x:row>
    <x:row r="29" ht="25" customHeight="1">
      <x:c r="A29" s="2" t="str">
        <x:v>management</x:v>
      </x:c>
      <x:c r="B29" s="2" t="str">
        <x:v>반려통계(공단)</x:v>
      </x:c>
      <x:c r="C29" s="2" t="n">
        <x:v>1580</x:v>
      </x:c>
      <x:c r="D29" s="2" t="n">
        <x:v>1282</x:v>
      </x:c>
      <x:c r="E29" s="2" t="n">
        <x:v>0</x:v>
      </x:c>
      <x:c r="F29" s="2" t="n">
        <x:v>0</x:v>
      </x:c>
    </x:row>
    <x:row r="30" ht="25" customHeight="1">
      <x:c r="A30" s="2" t="str">
        <x:v>management</x:v>
      </x:c>
      <x:c r="B30" s="2" t="str">
        <x:v>배분</x:v>
      </x:c>
      <x:c r="C30" s="2" t="n">
        <x:v>2851</x:v>
      </x:c>
      <x:c r="D30" s="2" t="n">
        <x:v>989</x:v>
      </x:c>
      <x:c r="E30" s="2" t="n">
        <x:v>63</x:v>
      </x:c>
      <x:c r="F30" s="2" t="n">
        <x:v>39</x:v>
      </x:c>
    </x:row>
    <x:row r="31" ht="25" customHeight="1">
      <x:c r="A31" s="2" t="str">
        <x:v>management</x:v>
      </x:c>
      <x:c r="B31" s="2" t="str">
        <x:v>국내평가</x:v>
      </x:c>
      <x:c r="C31" s="2" t="n">
        <x:v>44512</x:v>
      </x:c>
      <x:c r="D31" s="2" t="n">
        <x:v>24653</x:v>
      </x:c>
      <x:c r="E31" s="2" t="n">
        <x:v>0</x:v>
      </x:c>
      <x:c r="F31" s="2" t="n">
        <x:v>0</x:v>
      </x:c>
    </x:row>
    <x:row r="32" ht="25" customHeight="1">
      <x:c r="A32" s="2" t="str">
        <x:v>management</x:v>
      </x:c>
      <x:c r="B32" s="2" t="str">
        <x:v>국외평가</x:v>
      </x:c>
      <x:c r="C32" s="2" t="n">
        <x:v>7281</x:v>
      </x:c>
      <x:c r="D32" s="2" t="n">
        <x:v>4265</x:v>
      </x:c>
      <x:c r="E32" s="2" t="n">
        <x:v>0</x:v>
      </x:c>
      <x:c r="F32" s="2" t="n">
        <x:v>0</x:v>
      </x:c>
    </x:row>
    <x:row r="33" ht="25" customHeight="1">
      <x:c r="A33" s="2" t="str">
        <x:v>management</x:v>
      </x:c>
      <x:c r="B33" s="2" t="str">
        <x:v>국외인증</x:v>
      </x:c>
      <x:c r="C33" s="2" t="n">
        <x:v>14221</x:v>
      </x:c>
      <x:c r="D33" s="2" t="n">
        <x:v>5810</x:v>
      </x:c>
      <x:c r="E33" s="2" t="n">
        <x:v>0</x:v>
      </x:c>
      <x:c r="F33" s="2" t="n">
        <x:v>0</x:v>
      </x:c>
    </x:row>
    <x:row r="34" ht="25" customHeight="1">
      <x:c r="A34" s="2" t="str">
        <x:v>management</x:v>
      </x:c>
      <x:c r="B34" s="2" t="str">
        <x:v>국내인증</x:v>
      </x:c>
      <x:c r="C34" s="2" t="n">
        <x:v>24292</x:v>
      </x:c>
      <x:c r="D34" s="2" t="n">
        <x:v>13727</x:v>
      </x:c>
      <x:c r="E34" s="2" t="n">
        <x:v>0</x:v>
      </x:c>
      <x:c r="F34" s="2" t="n">
        <x:v>0</x:v>
      </x:c>
    </x:row>
    <x:row r="35" ht="25" customHeight="1">
      <x:c r="A35" s="2" t="str">
        <x:v>management</x:v>
      </x:c>
      <x:c r="B35" s="2" t="str">
        <x:v>방법론</x:v>
      </x:c>
      <x:c r="C35" s="2" t="n">
        <x:v>1567</x:v>
      </x:c>
      <x:c r="D35" s="2" t="n">
        <x:v>845</x:v>
      </x:c>
      <x:c r="E35" s="2" t="n">
        <x:v>0</x:v>
      </x:c>
      <x:c r="F35" s="2" t="n">
        <x:v>0</x:v>
      </x:c>
    </x:row>
    <x:row r="36" ht="25" customHeight="1">
      <x:c r="A36" s="2" t="str">
        <x:v>management</x:v>
      </x:c>
      <x:c r="B36" s="2" t="str">
        <x:v>ORS. 국내평가</x:v>
      </x:c>
      <x:c r="C36" s="2" t="n">
        <x:v>52313</x:v>
      </x:c>
      <x:c r="D36" s="2" t="n">
        <x:v>2546</x:v>
      </x:c>
      <x:c r="E36" s="2" t="n">
        <x:v>0</x:v>
      </x:c>
      <x:c r="F36" s="2" t="n">
        <x:v>0</x:v>
      </x:c>
    </x:row>
    <x:row r="37" ht="25" customHeight="1">
      <x:c r="A37" s="2" t="str">
        <x:v>management</x:v>
      </x:c>
      <x:c r="B37" s="2" t="str">
        <x:v>ORS.국내인증</x:v>
      </x:c>
      <x:c r="C37" s="2" t="n">
        <x:v>31710</x:v>
      </x:c>
      <x:c r="D37" s="2" t="n">
        <x:v>1380</x:v>
      </x:c>
      <x:c r="E37" s="2" t="n">
        <x:v>0</x:v>
      </x:c>
      <x:c r="F37" s="2" t="n">
        <x:v>0</x:v>
      </x:c>
    </x:row>
    <x:row r="38" ht="25" customHeight="1">
      <x:c r="A38" s="2" t="str">
        <x:v>management</x:v>
      </x:c>
      <x:c r="B38" s="2" t="str">
        <x:v>ORS.국외평가</x:v>
      </x:c>
      <x:c r="C38" s="2" t="n">
        <x:v>15824</x:v>
      </x:c>
      <x:c r="D38" s="2" t="n">
        <x:v>1305</x:v>
      </x:c>
      <x:c r="E38" s="2" t="n">
        <x:v>0</x:v>
      </x:c>
      <x:c r="F38" s="2" t="n">
        <x:v>0</x:v>
      </x:c>
    </x:row>
    <x:row r="39" ht="25" customHeight="1">
      <x:c r="A39" s="2" t="str">
        <x:v>management</x:v>
      </x:c>
      <x:c r="B39" s="2" t="str">
        <x:v>ORS.국외인증</x:v>
      </x:c>
      <x:c r="C39" s="2" t="n">
        <x:v>31995</x:v>
      </x:c>
      <x:c r="D39" s="2" t="n">
        <x:v>2717</x:v>
      </x:c>
      <x:c r="E39" s="2" t="n">
        <x:v>0</x:v>
      </x:c>
      <x:c r="F39" s="2" t="n">
        <x:v>0</x:v>
      </x:c>
    </x:row>
    <x:row r="40" ht="25" customHeight="1">
      <x:c r="A40" s="2" t="str">
        <x:v>management</x:v>
      </x:c>
      <x:c r="B40" s="2" t="str">
        <x:v>ORS 방법론</x:v>
      </x:c>
      <x:c r="C40" s="2" t="n">
        <x:v>2831</x:v>
      </x:c>
      <x:c r="D40" s="2" t="n">
        <x:v>496</x:v>
      </x:c>
      <x:c r="E40" s="2" t="n">
        <x:v>0</x:v>
      </x:c>
      <x:c r="F40" s="2" t="n">
        <x:v>0</x:v>
      </x:c>
    </x:row>
    <x:row r="41" ht="25" customHeight="1">
      <x:c r="A41" s="2" t="str">
        <x:v>management</x:v>
      </x:c>
      <x:c r="B41" s="2" t="str">
        <x:v>참고. 방법론 기준 구분</x:v>
      </x:c>
      <x:c r="C41" s="2" t="n">
        <x:v>374</x:v>
      </x:c>
      <x:c r="D41" s="2" t="n">
        <x:v>0</x:v>
      </x:c>
      <x:c r="E41" s="2" t="n">
        <x:v>0</x:v>
      </x:c>
      <x:c r="F41" s="2" t="n">
        <x:v>0</x:v>
      </x:c>
    </x:row>
    <x:row r="42" ht="25" customHeight="1">
      <x:c r="A42" s="2" t="str">
        <x:v>management</x:v>
      </x:c>
      <x:c r="B42" s="2" t="str">
        <x:v>2021~2026 공휴일</x:v>
      </x:c>
      <x:c r="C42" s="2" t="n">
        <x:v>316</x:v>
      </x:c>
      <x:c r="D42" s="2" t="n">
        <x:v>0</x:v>
      </x:c>
      <x:c r="E42" s="2" t="n">
        <x:v>0</x:v>
      </x:c>
      <x:c r="F42" s="2" t="n">
        <x:v>0</x:v>
      </x:c>
    </x:row>
    <x:row r="43" ht="25" customHeight="1">
      <x:c r="A43" s="2"/>
      <x:c r="B43" s="2"/>
      <x:c r="C43" s="2"/>
      <x:c r="D43" s="2"/>
      <x:c r="E43" s="2"/>
      <x:c r="F43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  <x:col min="3" max="3" width="17" hidden="0" customWidth="1"/>
    <x:col min="4" max="4" width="17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정의·출처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0" customHeight="1">
      <x:c r="A6" s="6" t="str">
        <x:v>항목</x:v>
      </x:c>
      <x:c r="B6" s="6" t="str">
        <x:v>정의·출처</x:v>
      </x:c>
      <x:c r="C6" s="2"/>
      <x:c r="D6" s="2"/>
    </x:row>
    <x:row r="7" ht="68" customHeight="1">
      <x:c r="A7" s="7" t="str">
        <x:v>count</x:v>
      </x:c>
      <x:c r="B7" s="7" t="str">
        <x:v>명칭이 있는 원장행. 고유 사업·신청 회차 수로 확정하지 않음.</x:v>
      </x:c>
      <x:c r="C7" s="2"/>
      <x:c r="D7" s="2"/>
    </x:row>
    <x:row r="8" ht="68" customHeight="1">
      <x:c r="A8" s="7" t="str">
        <x:v>closed</x:v>
      </x:c>
      <x:c r="B8" s="7" t="str">
        <x:v>내부 진행상태가 심의승인/반려/반려완료/심의완료인 행. 공식 승인·검토 완료와 구분.</x:v>
      </x:c>
      <x:c r="C8" s="2"/>
      <x:c r="D8" s="2"/>
    </x:row>
    <x:row r="9" ht="68" customHeight="1">
      <x:c r="A9" s="7" t="str">
        <x:v>elapsed</x:v>
      </x:c>
      <x:c r="B9" s="7" t="str">
        <x:v>정확한 신청일과 2026-10-15의 달력일 차이. 단계 체류일·순수 검토일·기한 초과가 아님.</x:v>
      </x:c>
      <x:c r="C9" s="2"/>
      <x:c r="D9" s="2"/>
    </x:row>
    <x:row r="10" ht="68" customHeight="1">
      <x:c r="A10" s="7" t="str">
        <x:v>sla</x:v>
      </x:c>
      <x:c r="B10" s="7" t="str">
        <x:v>기준 미설정. 기한 초과 건수는 산출 불가.</x:v>
      </x:c>
      <x:c r="C10" s="2"/>
      <x:c r="D10" s="2"/>
    </x:row>
    <x:row r="11" ht="68" customHeight="1">
      <x:c r="A11" s="7" t="str">
        <x:v>comparison</x:v>
      </x:c>
      <x:c r="B11" s="7" t="str">
        <x:v>동일 업무·산업 범위의 완전하고 유일한 복합키만 비교. 발전→기후 자동 치환 금지.</x:v>
      </x:c>
      <x:c r="C11" s="2"/>
      <x:c r="D11" s="2"/>
    </x:row>
    <x:row r="12" ht="68" customHeight="1">
      <x:c r="A12" s="7" t="str">
        <x:v>identity</x:v>
      </x:c>
      <x:c r="B12" s="7" t="str">
        <x:v>관리키는 원문 보존. 중복키 자동 병합 없음; record_id는 원본 해시+시트+행의 출처 ID로 신청 ID가 아님.</x:v>
      </x:c>
      <x:c r="C12" s="2"/>
      <x:c r="D12" s="2"/>
    </x:row>
    <x:row r="13" ht="68" customHeight="1">
      <x:c r="A13" s="7" t="str">
        <x:v>C:\Users\24jos\Downloads\산업전환 외부사업 정보비공개 신청 관리 Tool_260707_LJY_261013.xlsx</x:v>
      </x:c>
      <x:c r="B13" s="7" t="str">
        <x:v>SHA-256: 22df6d619b696c1eba8e26790f6382083d9fb1bc48481283e3e8a92ea6897677</x:v>
      </x:c>
      <x:c r="C13" s="2"/>
      <x:c r="D13" s="2"/>
    </x:row>
    <x:row r="14" ht="68" customHeight="1">
      <x:c r="A14" s="7" t="str">
        <x:v>C:\Users\24jos\Downloads\산업전환_외부사업관리Tool_260707_이너젠 수정_LJY_261013.xlsx</x:v>
      </x:c>
      <x:c r="B14" s="7" t="str">
        <x:v>SHA-256: ad210cd9ec132cfd447541c8984dc53d30aff0f4fb2dc92d254d49275cc55976</x:v>
      </x:c>
      <x:c r="C14" s="2"/>
      <x:c r="D14" s="2"/>
    </x:row>
    <x:row r="15" ht="68" customHeight="1">
      <x:c r="A15" s="7" t="str">
        <x:v>C:\Users\24jos\Downloads\ORS 현황 자료 공유_0921.zip</x:v>
      </x:c>
      <x:c r="B15" s="7" t="str">
        <x:v>SHA-256: a784b7b44f9582782a617e38ffc1020896dcf37e1babf669116fee6854e16a11</x:v>
      </x:c>
      <x:c r="C15" s="2"/>
      <x:c r="D15" s="2"/>
    </x:row>
    <x:row r="16" ht="68" customHeight="1">
      <x:c r="A16" s="7" t="str">
        <x:v>B:\이너젠 Dropbox\김세진\2026_06_한국에너지공단 산업전환부문 외부사업 평가\98 ORS 현황자료 공유_0731\ORS_7월.zip</x:v>
      </x:c>
      <x:c r="B16" s="7" t="str">
        <x:v>SHA-256: ee2f6e0ec53721583f14b2ac4802bcc87cb57d7d323b90555b2cd39f5a985db2</x:v>
      </x:c>
      <x:c r="C16" s="2"/>
      <x:c r="D16" s="2"/>
    </x:row>
    <x:row r="17" ht="68" customHeight="1">
      <x:c r="A17" s="7" t="str">
        <x:v>내부 관찰 기준</x:v>
      </x:c>
      <x:c r="B17" s="7" t="str">
        <x:v>2026-10-15 기준 신청 후 경과 달력일 &gt; 30. 30일은 대상 아님, 31일부터 대상. 원본 신청일이 일자까지 확인된 미종결 행만 판정. 보완 중단기간·단계별 기산일 미반영. 법정·계약 기한 초과와 구분.</x:v>
      </x:c>
      <x:c r="C17" s="2"/>
      <x:c r="D17" s="2"/>
    </x:row>
    <x:row r="18" ht="68" customHeight="1">
      <x:c r="A18" s="7" t="str">
        <x:v>경과 구간</x:v>
      </x:c>
      <x:c r="B18" s="7" t="str">
        <x:v>0~30일, 31~90일, 91~365일, 366일 이상은 신청 후 달력일을 나눈 내부 점검 구간. 장기 경과가 실제 검토 지연이나 미처리 확정을 뜻하지 않음.</x:v>
      </x:c>
      <x:c r="C18" s="2"/>
      <x:c r="D18" s="2"/>
    </x:row>
    <x:row r="19" ht="68" customHeight="1">
      <x:c r="A19" s="7" t="str">
        <x:v>배정 이력</x:v>
      </x:c>
      <x:c r="B19" s="7" t="str">
        <x:v>가장 이른 기록연도와 현재 담당 원문을 보존. 최초 기관·정확한 인계일로 확정하지 않음.</x:v>
      </x:c>
      <x:c r="C19" s="2"/>
      <x:c r="D19" s="2"/>
    </x:row>
    <x:row r="20" ht="68" customHeight="1">
      <x:c r="A20" s="7" t="str">
        <x:v>회의록</x:v>
      </x:c>
      <x:c r="B20" s="7" t="str">
        <x:v>2026-10-15 녹취 01:57~03:08, 08:50~09:28, 14:33~15:07</x:v>
      </x:c>
      <x:c r="C20" s="2"/>
      <x:c r="D20" s="2"/>
    </x:row>
    <x:row r="21" ht="68" customHeight="1">
      <x:c r="A21" s="7" t="str">
        <x:v>버전</x:v>
      </x:c>
      <x:c r="B21" s="7" t="str">
        <x:v>v12 · 월별 비교 및 경과 구간/담당 확인 강화. 원본 2종 + ORS ZIP 2개. 권한 있는 사용자 전용.</x:v>
      </x:c>
      <x:c r="C21" s="2"/>
      <x:c r="D21" s="2"/>
    </x:row>
    <x:row r="22" ht="25" customHeight="1">
      <x:c r="A22" s="2"/>
      <x:c r="B22" s="2"/>
      <x:c r="C22" s="2"/>
      <x:c r="D22" s="2"/>
    </x:row>
    <x:row r="23" ht="25" customHeight="1">
      <x:c r="A23" s="2"/>
      <x:c r="B23" s="2"/>
      <x:c r="C23" s="2"/>
      <x:c r="D23" s="2"/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  <x:row r="36" ht="25" customHeight="1">
      <x:c r="A36" s="2"/>
      <x:c r="B36" s="2"/>
      <x:c r="C36" s="2"/>
      <x:c r="D36" s="2"/>
    </x:row>
    <x:row r="37" ht="25" customHeight="1">
      <x:c r="A37" s="2"/>
      <x:c r="B37" s="2"/>
      <x:c r="C37" s="2"/>
      <x:c r="D37" s="2"/>
    </x:row>
    <x:row r="38" ht="25" customHeight="1">
      <x:c r="A38" s="2"/>
      <x:c r="B38" s="2"/>
      <x:c r="C38" s="2"/>
      <x:c r="D38" s="2"/>
    </x:row>
    <x:row r="39" ht="25" customHeight="1">
      <x:c r="A39" s="2"/>
      <x:c r="B39" s="2"/>
      <x:c r="C39" s="2"/>
      <x:c r="D39" s="2"/>
    </x:row>
    <x:row r="40" ht="25" customHeight="1">
      <x:c r="A40" s="2"/>
      <x:c r="B40" s="2"/>
      <x:c r="C40" s="2"/>
      <x:c r="D40" s="2"/>
    </x:row>
    <x:row r="41" ht="25" customHeight="1">
      <x:c r="A41" s="2"/>
      <x:c r="B41" s="2"/>
      <x:c r="C41" s="2"/>
      <x:c r="D41" s="2"/>
    </x:row>
    <x:row r="42" ht="25" customHeight="1">
      <x:c r="A42" s="2"/>
      <x:c r="B42" s="2"/>
      <x:c r="C42" s="2"/>
      <x:c r="D42" s="2"/>
    </x:row>
    <x:row r="43" ht="25" customHeight="1">
      <x:c r="A43" s="2"/>
      <x:c r="B43" s="2"/>
      <x:c r="C43" s="2"/>
      <x:c r="D43" s="2"/>
    </x:row>
    <x:row r="44" ht="25" customHeight="1">
      <x:c r="A44" s="2"/>
      <x:c r="B44" s="2"/>
      <x:c r="C44" s="2"/>
      <x:c r="D44" s="2"/>
    </x:row>
    <x:row r="45" ht="25" customHeight="1">
      <x:c r="A45" s="2"/>
      <x:c r="B45" s="2"/>
      <x:c r="C45" s="2"/>
      <x:c r="D45" s="2"/>
    </x:row>
    <x:row r="46" ht="25" customHeight="1">
      <x:c r="A46" s="2"/>
      <x:c r="B46" s="2"/>
      <x:c r="C46" s="2"/>
      <x:c r="D46" s="2"/>
    </x:row>
    <x:row r="47" ht="25" customHeight="1">
      <x:c r="A47" s="2"/>
      <x:c r="B47" s="2"/>
      <x:c r="C47" s="2"/>
      <x:c r="D47" s="2"/>
    </x:row>
    <x:row r="48" ht="25" customHeight="1">
      <x:c r="A48" s="2"/>
      <x:c r="B48" s="2"/>
      <x:c r="C48" s="2"/>
      <x:c r="D48" s="2"/>
    </x:row>
    <x:row r="49" ht="25" customHeight="1">
      <x:c r="A49" s="2"/>
      <x:c r="B49" s="2"/>
      <x:c r="C49" s="2"/>
      <x:c r="D49" s="2"/>
    </x:row>
    <x:row r="50" ht="25" customHeight="1">
      <x:c r="A50" s="2"/>
      <x:c r="B50" s="2"/>
      <x:c r="C50" s="2"/>
      <x:c r="D50" s="2"/>
    </x:row>
  </x:sheetData>
  <x:pageMargins left="0.7" right="0.7" top="0.75" bottom="0.75" header="0.3" footer="0.3"/>
</x:worksheet>
</file>